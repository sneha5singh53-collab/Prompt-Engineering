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DAILY TASK TRACKER" sheetId="3" state="visible" r:id="rId3"/>
    <sheet xmlns:r="http://schemas.openxmlformats.org/officeDocument/2006/relationships" name="CAMPAIGN MASTER" sheetId="4" state="visible" r:id="rId4"/>
    <sheet xmlns:r="http://schemas.openxmlformats.org/officeDocument/2006/relationships" name="LEAD MQL TRACKER" sheetId="5" state="visible" r:id="rId5"/>
    <sheet xmlns:r="http://schemas.openxmlformats.org/officeDocument/2006/relationships" name="EMAIL MARKETING" sheetId="6" state="visible" r:id="rId6"/>
    <sheet xmlns:r="http://schemas.openxmlformats.org/officeDocument/2006/relationships" name="PAID MEDIA ADS" sheetId="7" state="visible" r:id="rId7"/>
    <sheet xmlns:r="http://schemas.openxmlformats.org/officeDocument/2006/relationships" name="LINKEDIN OUTREACH" sheetId="8" state="visible" r:id="rId8"/>
    <sheet xmlns:r="http://schemas.openxmlformats.org/officeDocument/2006/relationships" name="WEBSITE CONTENT SEO" sheetId="9" state="visible" r:id="rId9"/>
    <sheet xmlns:r="http://schemas.openxmlformats.org/officeDocument/2006/relationships" name="TEAM PERFORMANCE" sheetId="10" state="visible" r:id="rId10"/>
    <sheet xmlns:r="http://schemas.openxmlformats.org/officeDocument/2006/relationships" name="CLIENT PERFORMANCE" sheetId="11" state="visible" r:id="rId11"/>
    <sheet xmlns:r="http://schemas.openxmlformats.org/officeDocument/2006/relationships" name="TCL DIGITAL DASHBOARD" sheetId="12" state="visible" r:id="rId12"/>
    <sheet xmlns:r="http://schemas.openxmlformats.org/officeDocument/2006/relationships" name="WEEKLY REVIEW" sheetId="13" state="visible" r:id="rId13"/>
    <sheet xmlns:r="http://schemas.openxmlformats.org/officeDocument/2006/relationships" name="MONTHLY PERFORMANCE" sheetId="14" state="visible" r:id="rId14"/>
    <sheet xmlns:r="http://schemas.openxmlformats.org/officeDocument/2006/relationships" name="CLIENT MASTER" sheetId="15" state="visible" r:id="rId15"/>
    <sheet xmlns:r="http://schemas.openxmlformats.org/officeDocument/2006/relationships" name="MASTER DATA" sheetId="16" state="visible" r:id="rId16"/>
    <sheet xmlns:r="http://schemas.openxmlformats.org/officeDocument/2006/relationships" name="BASELINE NOTES" sheetId="17" state="visible" r:id="rId17"/>
  </sheets>
  <definedNames>
    <definedName name="StaleDays">'MASTER DATA'!$B$4</definedName>
    <definedName name="CampStaleDays">'MASTER DATA'!$B$5</definedName>
    <definedName name="DueSoonDays">'MASTER DATA'!$B$6</definedName>
    <definedName name="OnTrackPct">'MASTER DATA'!$B$7</definedName>
    <definedName name="WatchPct">'MASTER DATA'!$B$8</definedName>
    <definedName name="EscalationName">'MASTER DATA'!$B$9</definedName>
    <definedName name="Currency">'MASTER DATA'!$B$10</definedName>
    <definedName name="lst_Team">OFFSET('MASTER DATA'!$A$15,0,0,MAX(1,COUNTA('MASTER DATA'!$A$15:$A$34)),1)</definedName>
    <definedName name="lst_Priority">OFFSET('MASTER DATA'!$G$15,0,0,MAX(1,COUNTA('MASTER DATA'!$G$15:$G$54)),1)</definedName>
    <definedName name="lst_TaskStatus">OFFSET('MASTER DATA'!$H$15,0,0,MAX(1,COUNTA('MASTER DATA'!$H$15:$H$54)),1)</definedName>
    <definedName name="lst_CampStatus">OFFSET('MASTER DATA'!$I$15,0,0,MAX(1,COUNTA('MASTER DATA'!$I$15:$I$54)),1)</definedName>
    <definedName name="lst_Workstream">OFFSET('MASTER DATA'!$J$15,0,0,MAX(1,COUNTA('MASTER DATA'!$J$15:$J$54)),1)</definedName>
    <definedName name="lst_Channel">OFFSET('MASTER DATA'!$K$15,0,0,MAX(1,COUNTA('MASTER DATA'!$K$15:$K$54)),1)</definedName>
    <definedName name="lst_Platform">OFFSET('MASTER DATA'!$L$15,0,0,MAX(1,COUNTA('MASTER DATA'!$L$15:$L$54)),1)</definedName>
    <definedName name="lst_Region">OFFSET('MASTER DATA'!$M$15,0,0,MAX(1,COUNTA('MASTER DATA'!$M$15:$M$54)),1)</definedName>
    <definedName name="lst_LeadStatus">OFFSET('MASTER DATA'!$N$15,0,0,MAX(1,COUNTA('MASTER DATA'!$N$15:$N$54)),1)</definedName>
    <definedName name="lst_MQLStatus">OFFSET('MASTER DATA'!$O$15,0,0,MAX(1,COUNTA('MASTER DATA'!$O$15:$O$54)),1)</definedName>
    <definedName name="lst_SQLStatus">OFFSET('MASTER DATA'!$P$15,0,0,MAX(1,COUNTA('MASTER DATA'!$P$15:$P$54)),1)</definedName>
    <definedName name="lst_OppStatus">OFFSET('MASTER DATA'!$Q$15,0,0,MAX(1,COUNTA('MASTER DATA'!$Q$15:$Q$54)),1)</definedName>
    <definedName name="lst_YesNo">OFFSET('MASTER DATA'!$R$15,0,0,MAX(1,COUNTA('MASTER DATA'!$R$15:$R$54)),1)</definedName>
    <definedName name="lst_LeadSource">OFFSET('MASTER DATA'!$S$15,0,0,MAX(1,COUNTA('MASTER DATA'!$S$15:$S$54)),1)</definedName>
    <definedName name="lst_ActType">OFFSET('MASTER DATA'!$T$15,0,0,MAX(1,COUNTA('MASTER DATA'!$T$15:$T$54)),1)</definedName>
    <definedName name="lst_WebStatus">OFFSET('MASTER DATA'!$U$15,0,0,MAX(1,COUNTA('MASTER DATA'!$U$15:$U$54)),1)</definedName>
    <definedName name="lst_EmailStatus">OFFSET('MASTER DATA'!$V$15,0,0,MAX(1,COUNTA('MASTER DATA'!$V$15:$V$54)),1)</definedName>
    <definedName name="lst_AdStatus">OFFSET('MASTER DATA'!$W$15,0,0,MAX(1,COUNTA('MASTER DATA'!$W$15:$W$54)),1)</definedName>
    <definedName name="lst_AcctStatus">OFFSET('MASTER DATA'!$X$15,0,0,MAX(1,COUNTA('MASTER DATA'!$X$15:$X$54)),1)</definedName>
    <definedName name="lst_AcctType">OFFSET('MASTER DATA'!$Y$15,0,0,MAX(1,COUNTA('MASTER DATA'!$Y$15:$Y$54)),1)</definedName>
    <definedName name="lst_MilestoneStatus">OFFSET('MASTER DATA'!$Z$15,0,0,MAX(1,COUNTA('MASTER DATA'!$Z$15:$Z$54)),1)</definedName>
    <definedName name="lst_AssignedBy">OFFSET('MASTER DATA'!$AA$15,0,0,MAX(1,COUNTA('MASTER DATA'!$AA$15:$AA$54)),1)</definedName>
    <definedName name="lst_FClient">OFFSET('MASTER DATA'!$AD$15,0,0,MAX(1,COUNTIF('MASTER DATA'!$AD$15:$AD$75,"?*")),1)</definedName>
    <definedName name="lst_FCampaign">OFFSET('MASTER DATA'!$AE$15,0,0,MAX(1,COUNTIF('MASTER DATA'!$AE$15:$AE$215,"?*")),1)</definedName>
    <definedName name="lst_FTeam">OFFSET('MASTER DATA'!$AF$15,0,0,MAX(1,COUNTIF('MASTER DATA'!$AF$15:$AF$35,"?*")),1)</definedName>
    <definedName name="lst_FChannel">OFFSET('MASTER DATA'!$AG$15,0,0,MAX(1,COUNTIF('MASTER DATA'!$AG$15:$AG$55,"?*")),1)</definedName>
    <definedName name="lst_FTStatus">OFFSET('MASTER DATA'!$AH$15,0,0,MAX(1,COUNTIF('MASTER DATA'!$AH$15:$AH$55,"?*")),1)</definedName>
    <definedName name="lst_FCStatus">OFFSET('MASTER DATA'!$AI$15,0,0,MAX(1,COUNTIF('MASTER DATA'!$AI$15:$AI$55,"?*")),1)</definedName>
    <definedName name="lst_FMonth">OFFSET('MASTER DATA'!$AJ$15,0,0,MAX(1,COUNTIF('MASTER DATA'!$AJ$15:$AJ$51,"?*")),1)</definedName>
    <definedName name="lst_Client">OFFSET('CLIENT MASTER'!$A$5,0,0,MAX(1,COUNTA('CLIENT MASTER'!$A$5:$A$64)),1)</definedName>
    <definedName name="lst_Campaign">OFFSET('CAMPAIGN MASTER'!$B$5,0,0,MAX(1,COUNTA('CAMPAIGN MASTER'!$B$5:$B$204)),1)</definedName>
    <definedName name="ReportDate">'EXECUTIVE DASHBOARD'!$B$5</definedName>
    <definedName name="fMonth">'EXECUTIVE DASHBOARD'!$D$5</definedName>
    <definedName name="fClient">'EXECUTIVE DASHBOARD'!$F$5</definedName>
    <definedName name="fCampaign">'EXECUTIVE DASHBOARD'!$H$5</definedName>
    <definedName name="fTeam">'EXECUTIVE DASHBOARD'!$K$5</definedName>
    <definedName name="fChannel">'EXECUTIVE DASHBOARD'!$M$5</definedName>
    <definedName name="fTStatus">'EXECUTIVE DASHBOARD'!$O$5</definedName>
    <definedName name="fCStatus">'EXECUTIVE DASHBOARD'!$Q$5</definedName>
    <definedName name="tpCrit">'TEAM PERFORMANCE'!$C$3</definedName>
    <definedName name="cpCrit">'CLIENT PERFORMANCE'!$C$3</definedName>
    <definedName name="TCL_Client">'TCL DIGITAL DASHBOARD'!$B$3</definedName>
    <definedName name="MECCA_Client">'TCL DIGITAL DASHBOARD'!$B$4</definedName>
    <definedName name="_xlnm.Print_Area" localSheetId="1">'EXECUTIVE DASHBOARD'!$A$1:$S$133</definedName>
    <definedName name="_xlnm.Print_Titles" localSheetId="2">'DAILY TASK TRACKER'!$4:$4</definedName>
    <definedName name="_xlnm.Print_Titles" localSheetId="3">'CAMPAIGN MASTER'!$4:$4</definedName>
    <definedName name="_xlnm.Print_Titles" localSheetId="4">'LEAD MQL TRACKER'!$4:$4</definedName>
    <definedName name="_xlnm.Print_Titles" localSheetId="5">'EMAIL MARKETING'!$4:$4</definedName>
    <definedName name="_xlnm.Print_Titles" localSheetId="6">'PAID MEDIA ADS'!$4:$4</definedName>
    <definedName name="_xlnm.Print_Titles" localSheetId="7">'LINKEDIN OUTREACH'!$4:$4</definedName>
    <definedName name="_xlnm.Print_Titles" localSheetId="8">'WEBSITE CONTENT SEO'!$4:$4</definedName>
    <definedName name="_xlnm.Print_Titles" localSheetId="14">'CLIENT MASTER'!$4:$4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-mmm-yy"/>
    <numFmt numFmtId="165" formatCode="#,##0;[Red]-#,##0;0"/>
    <numFmt numFmtId="166" formatCode="0.0%"/>
    <numFmt numFmtId="167" formatCode="dd-mmm-yyyy"/>
    <numFmt numFmtId="168" formatCode="#,##0;-#,##0;0"/>
    <numFmt numFmtId="169" formatCode="dd-mmm"/>
    <numFmt numFmtId="170" formatCode="0;-0;;@"/>
    <numFmt numFmtId="171" formatCode="mmm-yyyy"/>
    <numFmt numFmtId="172" formatCode="+0.0%;[Red]-0.0%;0.0%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C88"/>
      <sz val="10"/>
    </font>
    <font>
      <name val="Arial"/>
      <b val="1"/>
      <color rgb="00FFFFFF"/>
      <sz val="10"/>
    </font>
    <font>
      <name val="Arial"/>
      <color rgb="001F3C88"/>
      <sz val="10"/>
    </font>
    <font>
      <name val="Arial"/>
      <b val="1"/>
      <color rgb="001F3864"/>
      <sz val="11"/>
    </font>
    <font>
      <name val="Arial"/>
      <b val="1"/>
      <color rgb="00595959"/>
      <sz val="11"/>
    </font>
    <font>
      <name val="Arial"/>
      <i val="1"/>
      <color rgb="007F7F7F"/>
      <sz val="9"/>
    </font>
    <font>
      <name val="Arial"/>
      <b val="1"/>
      <color rgb="00FFFFFF"/>
      <sz val="18"/>
    </font>
    <font>
      <name val="Arial"/>
      <b val="1"/>
      <color rgb="00595959"/>
      <sz val="8"/>
    </font>
    <font>
      <name val="Arial"/>
      <b val="1"/>
      <color rgb="001F3C88"/>
      <sz val="11"/>
    </font>
    <font>
      <name val="Arial"/>
      <i val="1"/>
      <color rgb="007F7F7F"/>
      <sz val="8"/>
    </font>
    <font>
      <name val="Arial"/>
      <b val="1"/>
      <color rgb="001F3864"/>
      <sz val="13"/>
    </font>
    <font>
      <name val="Arial"/>
      <b val="1"/>
      <color rgb="001F3864"/>
      <sz val="10"/>
    </font>
    <font>
      <name val="Arial"/>
      <b val="1"/>
      <color rgb="001F3864"/>
      <sz val="16"/>
    </font>
    <font>
      <name val="Arial"/>
      <b val="1"/>
      <color rgb="00375623"/>
      <sz val="16"/>
    </font>
    <font>
      <name val="Arial"/>
      <b val="1"/>
      <color rgb="00C00000"/>
      <sz val="16"/>
    </font>
    <font>
      <name val="Arial"/>
      <b val="1"/>
      <color rgb="00C55A11"/>
      <sz val="16"/>
    </font>
    <font>
      <name val="Arial"/>
      <b val="1"/>
      <color rgb="00FFFFFF"/>
      <sz val="9"/>
    </font>
    <font>
      <name val="Arial"/>
      <b val="1"/>
      <color rgb="001F3864"/>
      <sz val="15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i val="1"/>
      <color rgb="00000000"/>
      <sz val="9"/>
    </font>
    <font>
      <name val="Arial"/>
      <color rgb="00000000"/>
      <sz val="9"/>
    </font>
    <font>
      <name val="Arial"/>
      <color rgb="00FFFFFF"/>
      <sz val="8"/>
    </font>
    <font>
      <name val="Arial"/>
      <b val="1"/>
      <color rgb="00000000"/>
      <sz val="9"/>
    </font>
    <font>
      <name val="Arial"/>
      <color rgb="007F7F7F"/>
      <sz val="8"/>
    </font>
    <font>
      <name val="Arial"/>
      <b val="1"/>
      <color rgb="009C5700"/>
      <sz val="9"/>
    </font>
    <font>
      <name val="Arial"/>
      <color rgb="00FFFFFF"/>
      <sz val="9"/>
    </font>
    <font>
      <name val="Arial"/>
      <b val="1"/>
      <color rgb="00FFFFFF"/>
      <sz val="16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595959"/>
        <bgColor rgb="00595959"/>
      </patternFill>
    </fill>
    <fill>
      <patternFill patternType="solid">
        <fgColor rgb="00EDEDED"/>
        <bgColor rgb="00EDEDED"/>
      </patternFill>
    </fill>
    <fill>
      <patternFill patternType="solid">
        <fgColor rgb="007F7F7F"/>
        <bgColor rgb="007F7F7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  <fill>
      <patternFill patternType="solid">
        <fgColor rgb="00C55A11"/>
        <bgColor rgb="00C55A11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medium">
        <color rgb="001F3864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375623"/>
      </bottom>
    </border>
    <border>
      <left style="thin">
        <color rgb="00BFBFBF"/>
      </left>
      <right style="thin">
        <color rgb="00BFBFBF"/>
      </right>
      <top style="medium">
        <color rgb="00375623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C00000"/>
      </bottom>
    </border>
    <border>
      <left style="thin">
        <color rgb="00BFBFBF"/>
      </left>
      <right style="thin">
        <color rgb="00BFBFBF"/>
      </right>
      <top style="medium">
        <color rgb="00C00000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C55A11"/>
      </bottom>
    </border>
    <border>
      <left style="thin">
        <color rgb="00BFBFBF"/>
      </left>
      <right style="thin">
        <color rgb="00BFBFBF"/>
      </right>
      <top style="medium">
        <color rgb="00C55A11"/>
      </top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1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23" fillId="5" borderId="1" applyAlignment="1" pivotButton="0" quotePrefix="0" xfId="0">
      <alignment vertical="center" wrapText="1"/>
    </xf>
    <xf numFmtId="0" fontId="16" fillId="8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0" applyAlignment="1" pivotButton="0" quotePrefix="0" xfId="0">
      <alignment indent="1"/>
    </xf>
    <xf numFmtId="0" fontId="12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167" fontId="13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pivotButton="0" quotePrefix="0" xfId="0"/>
    <xf numFmtId="0" fontId="13" fillId="3" borderId="1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pivotButton="0" quotePrefix="0" xfId="0">
      <alignment vertical="top" wrapText="1"/>
    </xf>
    <xf numFmtId="0" fontId="12" fillId="7" borderId="3" applyAlignment="1" pivotButton="0" quotePrefix="0" xfId="0">
      <alignment horizontal="center" vertical="center" wrapText="1"/>
    </xf>
    <xf numFmtId="0" fontId="12" fillId="7" borderId="5" applyAlignment="1" pivotButton="0" quotePrefix="0" xfId="0">
      <alignment horizontal="center" vertical="center" wrapText="1"/>
    </xf>
    <xf numFmtId="0" fontId="12" fillId="7" borderId="7" applyAlignment="1" pivotButton="0" quotePrefix="0" xfId="0">
      <alignment horizontal="center" vertical="center" wrapText="1"/>
    </xf>
    <xf numFmtId="0" fontId="12" fillId="7" borderId="9" applyAlignment="1" pivotButton="0" quotePrefix="0" xfId="0">
      <alignment horizontal="center" vertical="center" wrapText="1"/>
    </xf>
    <xf numFmtId="164" fontId="15" fillId="8" borderId="2" applyAlignment="1" pivotButton="0" quotePrefix="0" xfId="0">
      <alignment horizontal="center" vertical="center" wrapText="1"/>
    </xf>
    <xf numFmtId="49" fontId="16" fillId="8" borderId="2" applyAlignment="1" pivotButton="0" quotePrefix="0" xfId="0">
      <alignment horizontal="center" vertical="center" wrapText="1"/>
    </xf>
    <xf numFmtId="49" fontId="15" fillId="8" borderId="2" applyAlignment="1" pivotButton="0" quotePrefix="0" xfId="0">
      <alignment horizontal="center" vertical="center" wrapText="1"/>
    </xf>
    <xf numFmtId="168" fontId="17" fillId="8" borderId="2" applyAlignment="1" pivotButton="0" quotePrefix="0" xfId="0">
      <alignment horizontal="center" vertical="center" wrapText="1"/>
    </xf>
    <xf numFmtId="168" fontId="18" fillId="8" borderId="4" applyAlignment="1" pivotButton="0" quotePrefix="0" xfId="0">
      <alignment horizontal="center" vertical="center" wrapText="1"/>
    </xf>
    <xf numFmtId="168" fontId="19" fillId="8" borderId="6" applyAlignment="1" pivotButton="0" quotePrefix="0" xfId="0">
      <alignment horizontal="center" vertical="center" wrapText="1"/>
    </xf>
    <xf numFmtId="168" fontId="20" fillId="8" borderId="8" applyAlignment="1" pivotButton="0" quotePrefix="0" xfId="0">
      <alignment horizontal="center" vertical="center" wrapText="1"/>
    </xf>
    <xf numFmtId="0" fontId="21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168" fontId="22" fillId="8" borderId="2" applyAlignment="1" pivotButton="0" quotePrefix="0" xfId="0">
      <alignment horizontal="center" vertical="center" wrapText="1"/>
    </xf>
    <xf numFmtId="166" fontId="22" fillId="8" borderId="2" applyAlignment="1" pivotButton="0" quotePrefix="0" xfId="0">
      <alignment horizontal="center" vertical="center" wrapText="1"/>
    </xf>
    <xf numFmtId="3" fontId="22" fillId="8" borderId="2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indent="1"/>
    </xf>
    <xf numFmtId="0" fontId="2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3" fillId="0" borderId="1" applyAlignment="1" pivotButton="0" quotePrefix="0" xfId="0">
      <alignment horizontal="left" vertical="center"/>
    </xf>
    <xf numFmtId="0" fontId="0" fillId="0" borderId="1" pivotButton="0" quotePrefix="0" xfId="0"/>
    <xf numFmtId="168" fontId="8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8" fontId="23" fillId="0" borderId="1" applyAlignment="1" pivotButton="0" quotePrefix="0" xfId="0">
      <alignment horizontal="center" vertical="center" wrapText="1"/>
    </xf>
    <xf numFmtId="168" fontId="16" fillId="0" borderId="1" applyAlignment="1" pivotButton="0" quotePrefix="0" xfId="0">
      <alignment horizontal="center" vertical="center" wrapText="1"/>
    </xf>
    <xf numFmtId="0" fontId="24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25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169" fontId="26" fillId="0" borderId="1" applyAlignment="1" pivotButton="0" quotePrefix="0" xfId="0">
      <alignment horizontal="center" vertical="center" wrapText="1"/>
    </xf>
    <xf numFmtId="1" fontId="26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9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1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9" fontId="7" fillId="3" borderId="1" applyAlignment="1" pivotButton="0" quotePrefix="0" xfId="0">
      <alignment vertical="center"/>
    </xf>
    <xf numFmtId="3" fontId="7" fillId="3" borderId="1" applyAlignment="1" pivotButton="0" quotePrefix="0" xfId="0">
      <alignment vertical="center"/>
    </xf>
    <xf numFmtId="165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3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3" fillId="0" borderId="0" pivotButton="0" quotePrefix="0" xfId="0"/>
    <xf numFmtId="0" fontId="27" fillId="0" borderId="0" pivotButton="0" quotePrefix="0" xfId="0"/>
    <xf numFmtId="0" fontId="21" fillId="2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9" fontId="6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 wrapText="1"/>
    </xf>
    <xf numFmtId="0" fontId="28" fillId="0" borderId="1" pivotButton="0" quotePrefix="0" xfId="0"/>
    <xf numFmtId="170" fontId="4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7" fillId="6" borderId="0" pivotButton="0" quotePrefix="0" xfId="0"/>
    <xf numFmtId="0" fontId="29" fillId="0" borderId="0" pivotButton="0" quotePrefix="0" xfId="0"/>
    <xf numFmtId="166" fontId="6" fillId="4" borderId="0" applyAlignment="1" pivotButton="0" quotePrefix="0" xfId="0">
      <alignment horizontal="center" vertical="center" wrapText="1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1" fontId="26" fillId="0" borderId="1" applyAlignment="1" pivotButton="0" quotePrefix="0" xfId="0">
      <alignment horizontal="left" vertical="center" wrapText="1"/>
    </xf>
    <xf numFmtId="168" fontId="4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1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left" vertical="center" wrapText="1"/>
    </xf>
    <xf numFmtId="0" fontId="7" fillId="3" borderId="1" applyAlignment="1" applyProtection="1" pivotButton="0" quotePrefix="0" xfId="0">
      <alignment horizontal="center" vertical="center" wrapText="1"/>
      <protection locked="0" hidden="0"/>
    </xf>
    <xf numFmtId="164" fontId="7" fillId="3" borderId="1" applyAlignment="1" applyProtection="1" pivotButton="0" quotePrefix="0" xfId="0">
      <alignment horizontal="center" vertical="center" wrapText="1"/>
      <protection locked="0" hidden="0"/>
    </xf>
    <xf numFmtId="0" fontId="26" fillId="5" borderId="1" applyAlignment="1" pivotButton="0" quotePrefix="0" xfId="0">
      <alignment horizontal="left" vertical="center" wrapText="1"/>
    </xf>
    <xf numFmtId="0" fontId="7" fillId="3" borderId="1" applyAlignment="1" applyProtection="1" pivotButton="0" quotePrefix="0" xfId="0">
      <alignment horizontal="left" vertical="center" wrapText="1"/>
      <protection locked="0" hidden="0"/>
    </xf>
    <xf numFmtId="0" fontId="0" fillId="3" borderId="0" pivotButton="0" quotePrefix="0" xfId="0"/>
    <xf numFmtId="0" fontId="6" fillId="4" borderId="0" applyAlignment="1" pivotButton="0" quotePrefix="0" xfId="0">
      <alignment horizontal="left" vertical="center"/>
    </xf>
    <xf numFmtId="9" fontId="3" fillId="4" borderId="0" applyAlignment="1" pivotButton="0" quotePrefix="0" xfId="0">
      <alignment horizontal="center" vertical="center" wrapText="1"/>
    </xf>
    <xf numFmtId="164" fontId="13" fillId="3" borderId="1" applyAlignment="1" applyProtection="1" pivotButton="0" quotePrefix="0" xfId="0">
      <alignment horizontal="center" vertical="center" wrapText="1"/>
      <protection locked="0" hidden="0"/>
    </xf>
    <xf numFmtId="0" fontId="30" fillId="11" borderId="0" applyAlignment="1" pivotButton="0" quotePrefix="0" xfId="0">
      <alignment indent="1"/>
    </xf>
    <xf numFmtId="164" fontId="6" fillId="2" borderId="0" applyAlignment="1" pivotButton="0" quotePrefix="0" xfId="0">
      <alignment horizontal="center" vertical="center" wrapText="1"/>
    </xf>
    <xf numFmtId="164" fontId="31" fillId="4" borderId="0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71" fontId="13" fillId="3" borderId="1" applyAlignment="1" applyProtection="1" pivotButton="0" quotePrefix="0" xfId="0">
      <alignment horizontal="center" vertical="center" wrapText="1"/>
      <protection locked="0" hidden="0"/>
    </xf>
    <xf numFmtId="0" fontId="6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172" fontId="4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/>
    </xf>
    <xf numFmtId="0" fontId="21" fillId="4" borderId="0" pivotButton="0" quotePrefix="0" xfId="0"/>
    <xf numFmtId="168" fontId="6" fillId="4" borderId="0" applyAlignment="1" pivotButton="0" quotePrefix="0" xfId="0">
      <alignment horizontal="center" vertical="center" wrapText="1"/>
    </xf>
    <xf numFmtId="0" fontId="4" fillId="0" borderId="1" pivotButton="0" quotePrefix="0" xfId="0"/>
    <xf numFmtId="1" fontId="5" fillId="3" borderId="1" applyAlignment="1" pivotButton="0" quotePrefix="0" xfId="0">
      <alignment horizontal="center"/>
    </xf>
    <xf numFmtId="9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4" fillId="5" borderId="0" pivotButton="0" quotePrefix="0" xfId="0"/>
    <xf numFmtId="0" fontId="32" fillId="2" borderId="0" applyAlignment="1" pivotButton="0" quotePrefix="0" xfId="0">
      <alignment vertical="center" indent="1"/>
    </xf>
  </cellXfs>
  <cellStyles count="1">
    <cellStyle name="Normal" xfId="0" builtinId="0" hidden="0"/>
  </cellStyles>
  <dxfs count="2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833C0B"/>
      </font>
      <fill>
        <patternFill patternType="solid">
          <fgColor rgb="00F8CBAD"/>
          <bgColor rgb="00F8CBAD"/>
        </patternFill>
      </fill>
    </dxf>
    <dxf>
      <font>
        <color rgb="007F6000"/>
      </font>
      <fill>
        <patternFill patternType="solid">
          <fgColor rgb="00FFEB9C"/>
          <bgColor rgb="00FFEB9C"/>
        </patternFill>
      </fill>
    </dxf>
    <dxf>
      <fill>
        <patternFill patternType="solid">
          <fgColor rgb="00FFF2CC"/>
          <bgColor rgb="00FFF2CC"/>
        </patternFill>
      </fill>
    </dxf>
    <dxf>
      <font>
        <color rgb="00006100"/>
      </font>
      <fill>
        <patternFill patternType="solid">
          <fgColor rgb="00E2EFDA"/>
          <bgColor rgb="00E2EFDA"/>
        </patternFill>
      </fill>
    </dxf>
    <dxf>
      <font>
        <b val="1"/>
        <color rgb="009C0006"/>
      </font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FFFFFF"/>
      </font>
      <fill>
        <patternFill patternType="solid">
          <fgColor rgb="00ED7D31"/>
          <bgColor rgb="00ED7D31"/>
        </patternFill>
      </fill>
    </dxf>
    <dxf>
      <font>
        <b val="1"/>
      </font>
      <fill>
        <patternFill patternType="solid">
          <fgColor rgb="00FFC000"/>
          <bgColor rgb="00FFC000"/>
        </patternFill>
      </fill>
    </dxf>
    <dxf>
      <fill>
        <patternFill patternType="solid">
          <fgColor rgb="00FFE699"/>
          <bgColor rgb="00FFE699"/>
        </patternFill>
      </fill>
    </dxf>
    <dxf>
      <font>
        <i val="1"/>
        <color rgb="007F6000"/>
      </font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7F6000"/>
      </font>
      <fill>
        <patternFill patternType="solid">
          <fgColor rgb="00FFEB9C"/>
          <bgColor rgb="00FFEB9C"/>
        </patternFill>
      </fill>
    </dxf>
    <dxf>
      <fill>
        <patternFill patternType="solid">
          <fgColor rgb="00FDE9D9"/>
          <bgColor rgb="00FDE9D9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2F5597"/>
      </font>
      <fill>
        <patternFill patternType="solid">
          <fgColor rgb="00DDEBF7"/>
          <bgColor rgb="00DDEBF7"/>
        </patternFill>
      </fill>
    </dxf>
    <dxf>
      <font>
        <i val="1"/>
        <color rgb="007F7F7F"/>
      </font>
    </dxf>
    <dxf>
      <font>
        <b val="1"/>
        <color rgb="002F5597"/>
      </font>
      <fill>
        <patternFill patternType="solid">
          <fgColor rgb="00DDEBF7"/>
          <bgColor rgb="00DDEBF7"/>
        </patternFill>
      </fill>
    </dxf>
    <dxf>
      <fill>
        <patternFill patternType="solid">
          <fgColor rgb="00F2F7FC"/>
          <bgColor rgb="00F2F7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Funnel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'EXECUTIVE DASHBOARD'!$B$24:$B$29</f>
            </numRef>
          </cat>
          <val>
            <numRef>
              <f>'EXECUTIVE DASHBOARD'!$E$24:$E$29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'EXECUTIVE DASHBOARD'!$B$34:$B$40</f>
            </numRef>
          </cat>
          <val>
            <numRef>
              <f>'EXECUTIVE DASHBOARD'!$E$34:$E$40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Pending actions by team member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'TEAM PERFORMANCE'!$A$7:$A$14</f>
            </numRef>
          </cat>
          <val>
            <numRef>
              <f>'TEAM PERFORMANCE'!$H$7:$H$14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client (where the team spends time)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'CLIENT PERFORMANCE'!$A$7:$A$22</f>
            </numRef>
          </cat>
          <val>
            <numRef>
              <f>'CLIENT PERFORMANCE'!$E$7:$E$22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client (where leads are generated)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'CLIENT PERFORMANCE'!$A$7:$A$22</f>
            </numRef>
          </cat>
          <val>
            <numRef>
              <f>'CLIENT PERFORMANCE'!$L$7:$L$22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TCL + MECCA funnel (combined)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'TCL DIGITAL DASHBOARD'!$A$26:$A$31</f>
            </numRef>
          </cat>
          <val>
            <numRef>
              <f>'TCL DIGITAL DASHBOARD'!$D$26:$D$31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logged vs completed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REVIEW'!A11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'WEEKLY REVIEW'!$B$6:$I$6</f>
            </numRef>
          </cat>
          <val>
            <numRef>
              <f>'WEEKLY REVIEW'!$B$11:$I$11</f>
            </numRef>
          </val>
        </ser>
        <ser>
          <idx val="1"/>
          <order val="1"/>
          <tx>
            <strRef>
              <f>'WEEKLY REVIEW'!A12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'WEEKLY REVIEW'!$B$6:$I$6</f>
            </numRef>
          </cat>
          <val>
            <numRef>
              <f>'WEEKLY REVIEW'!$B$12:$I$12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Leads, MQLs, SQLs by week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REVIEW'!A18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REVIEW'!$B$6:$I$6</f>
            </numRef>
          </cat>
          <val>
            <numRef>
              <f>'WEEKLY REVIEW'!$B$18:$I$18</f>
            </numRef>
          </val>
        </ser>
        <ser>
          <idx val="1"/>
          <order val="1"/>
          <tx>
            <strRef>
              <f>'WEEKLY REVIEW'!A19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REVIEW'!$B$6:$I$6</f>
            </numRef>
          </cat>
          <val>
            <numRef>
              <f>'WEEKLY REVIEW'!$B$19:$I$19</f>
            </numRef>
          </val>
        </ser>
        <ser>
          <idx val="2"/>
          <order val="2"/>
          <tx>
            <strRef>
              <f>'WEEKLY REVIEW'!A20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REVIEW'!$B$6:$I$6</f>
            </numRef>
          </cat>
          <val>
            <numRef>
              <f>'WEEKLY REVIEW'!$B$20:$I$20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Leads, MQLs &amp; SQLs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PERFORMANCE'!A18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PERFORMANCE'!$B$6:$M$6</f>
            </numRef>
          </cat>
          <val>
            <numRef>
              <f>'MONTHLY PERFORMANCE'!$B$18:$M$18</f>
            </numRef>
          </val>
        </ser>
        <ser>
          <idx val="1"/>
          <order val="1"/>
          <tx>
            <strRef>
              <f>'MONTHLY PERFORMANCE'!A19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PERFORMANCE'!$B$6:$M$6</f>
            </numRef>
          </cat>
          <val>
            <numRef>
              <f>'MONTHLY PERFORMANCE'!$B$19:$M$19</f>
            </numRef>
          </val>
        </ser>
        <ser>
          <idx val="2"/>
          <order val="2"/>
          <tx>
            <strRef>
              <f>'MONTHLY PERFORMANCE'!A20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PERFORMANCE'!$B$6:$M$6</f>
            </numRef>
          </cat>
          <val>
            <numRef>
              <f>'MONTHLY PERFORMANCE'!$B$20:$M$20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Emails sent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PERFORMANCE'!A30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PERFORMANCE'!$B$6:$M$6</f>
            </numRef>
          </cat>
          <val>
            <numRef>
              <f>'MONTHLY PERFORMANCE'!$B$30:$M$30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 spend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PERFORMANCE'!A42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PERFORMANCE'!$B$6:$M$6</f>
            </numRef>
          </cat>
          <val>
            <numRef>
              <f>'MONTHLY PERFORMANCE'!$B$42:$M$42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22</row>
      <rowOff>0</rowOff>
    </from>
    <ext cx="7920000" cy="230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35</row>
      <rowOff>0</rowOff>
    </from>
    <ext cx="7920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24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39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39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8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14</col>
      <colOff>0</colOff>
      <row>5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21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37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asks" displayName="tblTasks" ref="A4:BL1004" headerRowCount="1">
  <autoFilter ref="A4:BL1004"/>
  <tableColumns count="64">
    <tableColumn id="1" name="Date"/>
    <tableColumn id="2" name="Team Member"/>
    <tableColumn id="3" name="Client"/>
    <tableColumn id="4" name="Campaign"/>
    <tableColumn id="5" name="Workstream"/>
    <tableColumn id="6" name="Channel"/>
    <tableColumn id="7" name="Activity / Task"/>
    <tableColumn id="8" name="Task Description"/>
    <tableColumn id="9" name="Priority"/>
    <tableColumn id="10" name="Assigned By"/>
    <tableColumn id="11" name="Start Date"/>
    <tableColumn id="12" name="Due Date"/>
    <tableColumn id="13" name="Status"/>
    <tableColumn id="14" name="% Complete"/>
    <tableColumn id="15" name="Output / Result"/>
    <tableColumn id="16" name="KPI / Metric"/>
    <tableColumn id="17" name="Actual Result"/>
    <tableColumn id="18" name="Target"/>
    <tableColumn id="19" name="Variance"/>
    <tableColumn id="20" name="Blocker"/>
    <tableColumn id="21" name="Dependency"/>
    <tableColumn id="22" name="Next Action"/>
    <tableColumn id="23" name="Next Action Date"/>
    <tableColumn id="24" name="Remarks"/>
    <tableColumn id="25" name="Last Updated"/>
    <tableColumn id="26" name="Needs Manager Decision?"/>
    <tableColumn id="27" name="Escalate to Rajesh?"/>
    <tableColumn id="28" name="Target Note (as provided)"/>
    <tableColumn id="29" name="Days Open"/>
    <tableColumn id="30" name="Days Overdue"/>
    <tableColumn id="31" name="Completion %"/>
    <tableColumn id="32" name="Target Achievement %"/>
    <tableColumn id="33" name="Alert"/>
    <tableColumn id="34" name="Month Key"/>
    <tableColumn id="35" name="In Dashboard Filter"/>
    <tableColumn id="36" name="In List Filter"/>
    <tableColumn id="37" name="Open"/>
    <tableColumn id="38" name="Overdue"/>
    <tableColumn id="39" name="Blocked"/>
    <tableColumn id="40" name="Due Today"/>
    <tableColumn id="41" name="Due Tomorrow"/>
    <tableColumn id="42" name="Due Soon"/>
    <tableColumn id="43" name="High Priority Pending"/>
    <tableColumn id="44" name="Stale"/>
    <tableColumn id="45" name="Missed Target"/>
    <tableColumn id="46" name="Planned Today"/>
    <tableColumn id="47" name="Planned Tomorrow"/>
    <tableColumn id="48" name="Completed Yesterday"/>
    <tableColumn id="49" name="Decision Needed"/>
    <tableColumn id="50" name="Escalate"/>
    <tableColumn id="51" name="High Priority Blocker"/>
    <tableColumn id="52" name="TCL Open"/>
    <tableColumn id="53" name="Priority Score"/>
    <tableColumn id="54" name="Sort key overdue"/>
    <tableColumn id="55" name="Sort key blocked"/>
    <tableColumn id="56" name="Sort key soon"/>
    <tableColumn id="57" name="Sort key plantoday"/>
    <tableColumn id="58" name="Sort key plantom"/>
    <tableColumn id="59" name="Sort key yday"/>
    <tableColumn id="60" name="Sort key dec"/>
    <tableColumn id="61" name="Sort key esc"/>
    <tableColumn id="62" name="Sort key missed"/>
    <tableColumn id="63" name="Sort key highblock"/>
    <tableColumn id="64" name="Sort key tcl"/>
  </tableColumns>
  <tableStyleInfo name="TableStyleLight1" showRowStripes="0"/>
</table>
</file>

<file path=xl/tables/table2.xml><?xml version="1.0" encoding="utf-8"?>
<table xmlns="http://schemas.openxmlformats.org/spreadsheetml/2006/main" id="2" name="tblCampaigns" displayName="tblCampaigns" ref="A4:BB204" headerRowCount="1">
  <autoFilter ref="A4:BB204"/>
  <tableColumns count="54">
    <tableColumn id="1" name="Client"/>
    <tableColumn id="2" name="Campaign Name"/>
    <tableColumn id="3" name="Campaign ID"/>
    <tableColumn id="4" name="Product / Service"/>
    <tableColumn id="5" name="Market / Region"/>
    <tableColumn id="6" name="Campaign Objective"/>
    <tableColumn id="7" name="Target Audience"/>
    <tableColumn id="8" name="Channel"/>
    <tableColumn id="9" name="Campaign Owner"/>
    <tableColumn id="10" name="Supporting Team"/>
    <tableColumn id="11" name="Start Date"/>
    <tableColumn id="12" name="Planned End Date"/>
    <tableColumn id="13" name="Actual End Date"/>
    <tableColumn id="14" name="Status"/>
    <tableColumn id="15" name="Budget"/>
    <tableColumn id="16" name="Spend"/>
    <tableColumn id="17" name="Leads Target"/>
    <tableColumn id="18" name="Leads Generated"/>
    <tableColumn id="19" name="MQL Target"/>
    <tableColumn id="20" name="MQL Generated"/>
    <tableColumn id="21" name="SQL Target"/>
    <tableColumn id="22" name="SQL Generated"/>
    <tableColumn id="23" name="Digital Handraisers"/>
    <tableColumn id="24" name="Positive Responses"/>
    <tableColumn id="25" name="Conversion Rate"/>
    <tableColumn id="26" name="CPL"/>
    <tableColumn id="27" name="Current Performance"/>
    <tableColumn id="28" name="Key Challenge"/>
    <tableColumn id="29" name="Next Action"/>
    <tableColumn id="30" name="Remarks"/>
    <tableColumn id="31" name="Accounts Targeted"/>
    <tableColumn id="32" name="Contacts Reached"/>
    <tableColumn id="33" name="Last Updated"/>
    <tableColumn id="34" name="Pacing Factor"/>
    <tableColumn id="35" name="Attainment vs Pacing"/>
    <tableColumn id="36" name="Start Month Key"/>
    <tableColumn id="37" name="In Filter"/>
    <tableColumn id="38" name="In List"/>
    <tableColumn id="39" name="Live"/>
    <tableColumn id="40" name="Launched"/>
    <tableColumn id="41" name="Past Planned End"/>
    <tableColumn id="42" name="No Recent Update"/>
    <tableColumn id="43" name="Low Performing"/>
    <tableColumn id="44" name="Performing Well"/>
    <tableColumn id="45" name="Needs Attention"/>
    <tableColumn id="46" name="Attention Reason"/>
    <tableColumn id="47" name="Key Attn"/>
    <tableColumn id="48" name="Key Low"/>
    <tableColumn id="49" name="Key Stale"/>
    <tableColumn id="50" name="Key Good"/>
    <tableColumn id="51" name="TCL"/>
    <tableColumn id="52" name="Key TCL"/>
    <tableColumn id="53" name="MECCA"/>
    <tableColumn id="54" name="Key MECCA"/>
  </tableColumns>
  <tableStyleInfo name="TableStyleLight1" showRowStripes="0"/>
</table>
</file>

<file path=xl/tables/table3.xml><?xml version="1.0" encoding="utf-8"?>
<table xmlns="http://schemas.openxmlformats.org/spreadsheetml/2006/main" id="3" name="tblLeads" displayName="tblLeads" ref="A4:AI504" headerRowCount="1">
  <autoFilter ref="A4:AI504"/>
  <tableColumns count="35">
    <tableColumn id="1" name="Date"/>
    <tableColumn id="2" name="Client"/>
    <tableColumn id="3" name="Campaign"/>
    <tableColumn id="4" name="Product"/>
    <tableColumn id="5" name="Lead Source"/>
    <tableColumn id="6" name="Channel"/>
    <tableColumn id="7" name="Digital Handraiser"/>
    <tableColumn id="8" name="Lead Name/ID"/>
    <tableColumn id="9" name="Company"/>
    <tableColumn id="10" name="Designation"/>
    <tableColumn id="11" name="Region"/>
    <tableColumn id="12" name="Lead Owner"/>
    <tableColumn id="13" name="Lead Status"/>
    <tableColumn id="14" name="MQL Status"/>
    <tableColumn id="15" name="SQL Status"/>
    <tableColumn id="16" name="Opportunity Status"/>
    <tableColumn id="17" name="Date Generated"/>
    <tableColumn id="18" name="Date Qualified"/>
    <tableColumn id="19" name="Date Passed to Sales"/>
    <tableColumn id="20" name="Sales Feedback"/>
    <tableColumn id="21" name="Reason Rejected"/>
    <tableColumn id="22" name="Next Follow-up"/>
    <tableColumn id="23" name="Remarks"/>
    <tableColumn id="24" name="Days to Qualify"/>
    <tableColumn id="25" name="Follow-up Due"/>
    <tableColumn id="26" name="Key Date"/>
    <tableColumn id="27" name="Month Key"/>
    <tableColumn id="28" name="Is Lead"/>
    <tableColumn id="29" name="Is Handraiser"/>
    <tableColumn id="30" name="Is MQL"/>
    <tableColumn id="31" name="Is SQL"/>
    <tableColumn id="32" name="Is Opportunity"/>
    <tableColumn id="33" name="Is Converted"/>
    <tableColumn id="34" name="In Filter"/>
    <tableColumn id="35" name="In List"/>
  </tableColumns>
  <tableStyleInfo name="TableStyleLight1" showRowStripes="0"/>
</table>
</file>

<file path=xl/tables/table4.xml><?xml version="1.0" encoding="utf-8"?>
<table xmlns="http://schemas.openxmlformats.org/spreadsheetml/2006/main" id="4" name="tblEmail" displayName="tblEmail" ref="A4:Z304" headerRowCount="1">
  <autoFilter ref="A4:Z304"/>
  <tableColumns count="26">
    <tableColumn id="1" name="Date"/>
    <tableColumn id="2" name="Client"/>
    <tableColumn id="3" name="Campaign"/>
    <tableColumn id="4" name="Email Campaign Name"/>
    <tableColumn id="5" name="Audience Size"/>
    <tableColumn id="6" name="Emails Sent"/>
    <tableColumn id="7" name="Delivered"/>
    <tableColumn id="8" name="Bounced"/>
    <tableColumn id="9" name="Opens"/>
    <tableColumn id="10" name="Open Rate"/>
    <tableColumn id="11" name="Clicks"/>
    <tableColumn id="12" name="CTR"/>
    <tableColumn id="13" name="Replies"/>
    <tableColumn id="14" name="Reply Rate"/>
    <tableColumn id="15" name="Positive Responses"/>
    <tableColumn id="16" name="Positive Response Rate"/>
    <tableColumn id="17" name="Leads"/>
    <tableColumn id="18" name="MQLs"/>
    <tableColumn id="19" name="Unsubscribes"/>
    <tableColumn id="20" name="Campaign Owner"/>
    <tableColumn id="21" name="Status"/>
    <tableColumn id="22" name="Remarks"/>
    <tableColumn id="23" name="Delivered Base"/>
    <tableColumn id="24" name="Month Key"/>
    <tableColumn id="25" name="In Filter"/>
    <tableColumn id="26" name="In List"/>
  </tableColumns>
  <tableStyleInfo name="TableStyleLight1" showRowStripes="0"/>
</table>
</file>

<file path=xl/tables/table5.xml><?xml version="1.0" encoding="utf-8"?>
<table xmlns="http://schemas.openxmlformats.org/spreadsheetml/2006/main" id="5" name="tblPaid" displayName="tblPaid" ref="A4:W304" headerRowCount="1">
  <autoFilter ref="A4:W304"/>
  <tableColumns count="23">
    <tableColumn id="1" name="Date"/>
    <tableColumn id="2" name="Client"/>
    <tableColumn id="3" name="Campaign"/>
    <tableColumn id="4" name="Platform"/>
    <tableColumn id="5" name="Objective"/>
    <tableColumn id="6" name="Budget"/>
    <tableColumn id="7" name="Spend"/>
    <tableColumn id="8" name="Impressions"/>
    <tableColumn id="9" name="Reach"/>
    <tableColumn id="10" name="Clicks"/>
    <tableColumn id="11" name="CTR"/>
    <tableColumn id="12" name="CPC"/>
    <tableColumn id="13" name="Leads"/>
    <tableColumn id="14" name="MQLs"/>
    <tableColumn id="15" name="CPL"/>
    <tableColumn id="16" name="Conversion Rate"/>
    <tableColumn id="17" name="Campaign Status"/>
    <tableColumn id="18" name="Owner"/>
    <tableColumn id="19" name="Optimization Action"/>
    <tableColumn id="20" name="Remarks"/>
    <tableColumn id="21" name="Month Key"/>
    <tableColumn id="22" name="In Filter"/>
    <tableColumn id="23" name="In List"/>
  </tableColumns>
  <tableStyleInfo name="TableStyleLight1" showRowStripes="0"/>
</table>
</file>

<file path=xl/tables/table6.xml><?xml version="1.0" encoding="utf-8"?>
<table xmlns="http://schemas.openxmlformats.org/spreadsheetml/2006/main" id="6" name="tblLinkedIn" displayName="tblLinkedIn" ref="A4:U204" headerRowCount="1">
  <autoFilter ref="A4:U204"/>
  <tableColumns count="21">
    <tableColumn id="1" name="Date"/>
    <tableColumn id="2" name="Client"/>
    <tableColumn id="3" name="Campaign"/>
    <tableColumn id="4" name="Tool / Profile"/>
    <tableColumn id="5" name="Connection Requests Sent"/>
    <tableColumn id="6" name="Requests Accepted"/>
    <tableColumn id="7" name="Acceptance Rate"/>
    <tableColumn id="8" name="Messages Sent"/>
    <tableColumn id="9" name="Replies"/>
    <tableColumn id="10" name="Reply Rate"/>
    <tableColumn id="11" name="Positive Responses"/>
    <tableColumn id="12" name="Positive Response Rate"/>
    <tableColumn id="13" name="Digital Handraisers"/>
    <tableColumn id="14" name="Leads"/>
    <tableColumn id="15" name="MQLs"/>
    <tableColumn id="16" name="Owner"/>
    <tableColumn id="17" name="Status"/>
    <tableColumn id="18" name="Remarks"/>
    <tableColumn id="19" name="Month Key"/>
    <tableColumn id="20" name="In Filter"/>
    <tableColumn id="21" name="In List"/>
  </tableColumns>
  <tableStyleInfo name="TableStyleLight1" showRowStripes="0"/>
</table>
</file>

<file path=xl/tables/table7.xml><?xml version="1.0" encoding="utf-8"?>
<table xmlns="http://schemas.openxmlformats.org/spreadsheetml/2006/main" id="7" name="tblWeb" displayName="tblWeb" ref="A4:X304" headerRowCount="1">
  <autoFilter ref="A4:X304"/>
  <tableColumns count="24">
    <tableColumn id="1" name="Date"/>
    <tableColumn id="2" name="Client"/>
    <tableColumn id="3" name="Activity Type"/>
    <tableColumn id="4" name="Asset / Page"/>
    <tableColumn id="5" name="Owner"/>
    <tableColumn id="6" name="Objective"/>
    <tableColumn id="7" name="Status"/>
    <tableColumn id="8" name="Planned Date"/>
    <tableColumn id="9" name="Due Date"/>
    <tableColumn id="10" name="Published Date"/>
    <tableColumn id="11" name="Traffic"/>
    <tableColumn id="12" name="Leads"/>
    <tableColumn id="13" name="Conversions"/>
    <tableColumn id="14" name="Result"/>
    <tableColumn id="15" name="SEO Keyword"/>
    <tableColumn id="16" name="Ranking"/>
    <tableColumn id="17" name="Issue"/>
    <tableColumn id="18" name="Next Action"/>
    <tableColumn id="19" name="Remarks"/>
    <tableColumn id="20" name="Open"/>
    <tableColumn id="21" name="Days Overdue"/>
    <tableColumn id="22" name="Month Key"/>
    <tableColumn id="23" name="In Filter"/>
    <tableColumn id="24" name="In List"/>
  </tableColumns>
  <tableStyleInfo name="TableStyleLight1" showRowStripes="0"/>
</table>
</file>

<file path=xl/tables/table8.xml><?xml version="1.0" encoding="utf-8"?>
<table xmlns="http://schemas.openxmlformats.org/spreadsheetml/2006/main" id="8" name="tblClients" displayName="tblClients" ref="A4:K64" headerRowCount="1">
  <autoFilter ref="A4:K64"/>
  <tableColumns count="11">
    <tableColumn id="1" name="Client"/>
    <tableColumn id="2" name="Legal / Billing Name"/>
    <tableColumn id="3" name="Account Type"/>
    <tableColumn id="4" name="Account Status"/>
    <tableColumn id="5" name="Services in Scope"/>
    <tableColumn id="6" name="KPIs Tracked"/>
    <tableColumn id="7" name="Account Owner"/>
    <tableColumn id="8" name="Key Issues"/>
    <tableColumn id="9" name="Current Priority"/>
    <tableColumn id="10" name="Next Action"/>
    <tableColumn id="11" name="Notes / Source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1:E79"/>
  <sheetViews>
    <sheetView showGridLines="0" tabSelected="0" zoomScale="95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34" customWidth="1" min="4" max="4"/>
    <col width="22" customWidth="1" min="5" max="5"/>
  </cols>
  <sheetData>
    <row r="1" ht="38" customHeight="1">
      <c r="B1" s="1" t="inlineStr">
        <is>
          <t>HOW TO USE THIS WORKBOOK</t>
        </is>
      </c>
      <c r="C1" s="2" t="n"/>
      <c r="D1" s="2" t="n"/>
      <c r="E1" s="2" t="n"/>
    </row>
    <row r="3" ht="22" customHeight="1">
      <c r="B3" s="3" t="inlineStr">
        <is>
          <t>1. THE WORKFLOW IN ONE LINE</t>
        </is>
      </c>
      <c r="C3" s="2" t="n"/>
      <c r="D3" s="2" t="n"/>
      <c r="E3" s="2" t="n"/>
    </row>
    <row r="4" ht="32" customHeight="1">
      <c r="B4" s="4" t="inlineStr">
        <is>
          <t>Team updates the BLUE input sheets  &gt;  Excel formulas process everything  &gt;  Dashboards refresh automatically  &gt;  Manager reviews the EXECUTIVE DASHBOARD. Nobody types numbers into a dashboard.</t>
        </is>
      </c>
    </row>
    <row r="6" ht="22" customHeight="1">
      <c r="B6" s="3" t="inlineStr">
        <is>
          <t>2. COLOUR CODE</t>
        </is>
      </c>
      <c r="C6" s="2" t="n"/>
      <c r="D6" s="2" t="n"/>
      <c r="E6" s="2" t="n"/>
    </row>
    <row r="7" ht="22" customHeight="1">
      <c r="B7" s="5" t="inlineStr">
        <is>
          <t>BLUE cells (light blue fill) = INPUT. Team members type / pick from dropdowns here.</t>
        </is>
      </c>
    </row>
    <row r="8" ht="22" customHeight="1">
      <c r="B8" s="6" t="inlineStr">
        <is>
          <t>GREY cells = FORMULA. Automatic - never type over them.</t>
        </is>
      </c>
    </row>
    <row r="9" ht="22" customHeight="1">
      <c r="B9" s="7" t="inlineStr">
        <is>
          <t>WHITE / navy cards, tables &amp; charts on dashboards = READ-ONLY. Sheets are protected (no password) to prevent accidents.</t>
        </is>
      </c>
    </row>
    <row r="11" ht="22" customHeight="1">
      <c r="B11" s="3" t="inlineStr">
        <is>
          <t>3. WHAT EACH SHEET IS FOR</t>
        </is>
      </c>
      <c r="C11" s="2" t="n"/>
      <c r="D11" s="2" t="n"/>
      <c r="E11" s="2" t="n"/>
    </row>
    <row r="12">
      <c r="B12" s="8" t="inlineStr">
        <is>
          <t>Sheet</t>
        </is>
      </c>
      <c r="C12" s="8" t="inlineStr">
        <is>
          <t>Purpose</t>
        </is>
      </c>
      <c r="D12" s="8" t="inlineStr">
        <is>
          <t>Who updates</t>
        </is>
      </c>
      <c r="E12" s="8" t="inlineStr">
        <is>
          <t>How often</t>
        </is>
      </c>
    </row>
    <row r="13" ht="44" customHeight="1">
      <c r="B13" s="9" t="inlineStr">
        <is>
          <t>EXECUTIVE DASHBOARD</t>
        </is>
      </c>
      <c r="C13" s="10" t="inlineStr">
        <is>
          <t>Single-page management view: KPIs, funnel, daily Management Attention (Q1-Q14), filters.</t>
        </is>
      </c>
      <c r="D13" s="10" t="inlineStr">
        <is>
          <t>Nobody (read-only). Manager changes only the blue filters.</t>
        </is>
      </c>
      <c r="E13" s="10" t="inlineStr">
        <is>
          <t>Review daily</t>
        </is>
      </c>
    </row>
    <row r="14" ht="44" customHeight="1">
      <c r="B14" s="9" t="inlineStr">
        <is>
          <t>DAILY TASK TRACKER</t>
        </is>
      </c>
      <c r="C14" s="10" t="inlineStr">
        <is>
          <t>THE key sheet. One row per task/update. Drives overdue, blocked, due-today, completion and escalation alerts.</t>
        </is>
      </c>
      <c r="D14" s="10" t="inlineStr">
        <is>
          <t>Every team member (own rows)</t>
        </is>
      </c>
      <c r="E14" s="10" t="inlineStr">
        <is>
          <t>Daily, before EOD</t>
        </is>
      </c>
    </row>
    <row r="15" ht="44" customHeight="1">
      <c r="B15" s="9" t="inlineStr">
        <is>
          <t>CAMPAIGN MASTER</t>
        </is>
      </c>
      <c r="C15" s="10" t="inlineStr">
        <is>
          <t>One row per campaign: owner, dates, status, targets. Results (leads, MQL, SQL, spend, CPL, performance) pull in automatically.</t>
        </is>
      </c>
      <c r="D15" s="10" t="inlineStr">
        <is>
          <t>Campaign owner (status, dates, targets, challenge, next action, Last Updated)</t>
        </is>
      </c>
      <c r="E15" s="10" t="inlineStr">
        <is>
          <t>Weekly / on change</t>
        </is>
      </c>
    </row>
    <row r="16" ht="44" customHeight="1">
      <c r="B16" s="9" t="inlineStr">
        <is>
          <t>LEAD MQL TRACKER</t>
        </is>
      </c>
      <c r="C16" s="10" t="inlineStr">
        <is>
          <t>Lead-level funnel records (handraiser &gt; lead &gt; MQL &gt; SQL &gt; opportunity).</t>
        </is>
      </c>
      <c r="D16" s="10" t="inlineStr">
        <is>
          <t>Lead owner</t>
        </is>
      </c>
      <c r="E16" s="10" t="inlineStr">
        <is>
          <t>Daily when leads move</t>
        </is>
      </c>
    </row>
    <row r="17" ht="44" customHeight="1">
      <c r="B17" s="9" t="inlineStr">
        <is>
          <t>EMAIL MARKETING</t>
        </is>
      </c>
      <c r="C17" s="10" t="inlineStr">
        <is>
          <t>Per-send email performance. Rates calculate automatically.</t>
        </is>
      </c>
      <c r="D17" s="10" t="inlineStr">
        <is>
          <t>Email owner</t>
        </is>
      </c>
      <c r="E17" s="10" t="inlineStr">
        <is>
          <t>Per deployment</t>
        </is>
      </c>
    </row>
    <row r="18" ht="44" customHeight="1">
      <c r="B18" s="9" t="inlineStr">
        <is>
          <t>PAID MEDIA ADS</t>
        </is>
      </c>
      <c r="C18" s="10" t="inlineStr">
        <is>
          <t>Google / Meta / LinkedIn / other paid: spend, clicks, leads. Period figures, not cumulative.</t>
        </is>
      </c>
      <c r="D18" s="10" t="inlineStr">
        <is>
          <t>Paid specialist (Richi)</t>
        </is>
      </c>
      <c r="E18" s="10" t="inlineStr">
        <is>
          <t>Daily / weekly</t>
        </is>
      </c>
    </row>
    <row r="19" ht="44" customHeight="1">
      <c r="B19" s="9" t="inlineStr">
        <is>
          <t>LINKEDIN OUTREACH</t>
        </is>
      </c>
      <c r="C19" s="10" t="inlineStr">
        <is>
          <t>Dripify / Sales Navigator outreach counts (added - LinkedIn had no tracker).</t>
        </is>
      </c>
      <c r="D19" s="10" t="inlineStr">
        <is>
          <t>LinkedIn campaign owner</t>
        </is>
      </c>
      <c r="E19" s="10" t="inlineStr">
        <is>
          <t>Weekly</t>
        </is>
      </c>
    </row>
    <row r="20" ht="44" customHeight="1">
      <c r="B20" s="9" t="inlineStr">
        <is>
          <t>WEBSITE CONTENT SEO</t>
        </is>
      </c>
      <c r="C20" s="10" t="inlineStr">
        <is>
          <t>Website, landing page, blog, SEO, video, webinar assets: status, traffic, leads, rankings.</t>
        </is>
      </c>
      <c r="D20" s="10" t="inlineStr">
        <is>
          <t>Content / SEO / web owners</t>
        </is>
      </c>
      <c r="E20" s="10" t="inlineStr">
        <is>
          <t>On change</t>
        </is>
      </c>
    </row>
    <row r="21" ht="44" customHeight="1">
      <c r="B21" s="9" t="inlineStr">
        <is>
          <t>TEAM PERFORMANCE</t>
        </is>
      </c>
      <c r="C21" s="10" t="inlineStr">
        <is>
          <t>Workload &amp; delivery by member; matrix of who works on which client. For balancing workload, not ranking.</t>
        </is>
      </c>
      <c r="D21" s="10" t="inlineStr">
        <is>
          <t>Nobody (automatic)</t>
        </is>
      </c>
      <c r="E21" s="10" t="inlineStr">
        <is>
          <t>Review weekly</t>
        </is>
      </c>
    </row>
    <row r="22" ht="44" customHeight="1">
      <c r="B22" s="9" t="inlineStr">
        <is>
          <t>CLIENT PERFORMANCE</t>
        </is>
      </c>
      <c r="C22" s="10" t="inlineStr">
        <is>
          <t>Per-client tasks, leads, email, paid, health flag + issues/priority/next action.</t>
        </is>
      </c>
      <c r="D22" s="10" t="inlineStr">
        <is>
          <t>Nobody (automatic). Issues / priority / next action are edited in CLIENT MASTER.</t>
        </is>
      </c>
      <c r="E22" s="10" t="inlineStr">
        <is>
          <t>Review weekly</t>
        </is>
      </c>
    </row>
    <row r="23" ht="44" customHeight="1">
      <c r="B23" s="9" t="inlineStr">
        <is>
          <t>TCL DIGITAL DASHBOARD</t>
        </is>
      </c>
      <c r="C23" s="10" t="inlineStr">
        <is>
          <t>TCL funnel/performance/execution + MECCA readiness tracker.</t>
        </is>
      </c>
      <c r="D23" s="10" t="inlineStr">
        <is>
          <t>Automatic; MECCA tracker blue cells by TCL/MECCA owner</t>
        </is>
      </c>
      <c r="E23" s="10" t="inlineStr">
        <is>
          <t>Weekly</t>
        </is>
      </c>
    </row>
    <row r="24" ht="44" customHeight="1">
      <c r="B24" s="9" t="inlineStr">
        <is>
          <t>WEEKLY REVIEW</t>
        </is>
      </c>
      <c r="C24" s="10" t="inlineStr">
        <is>
          <t>8-week trend table + management attention lists.</t>
        </is>
      </c>
      <c r="D24" s="10" t="inlineStr">
        <is>
          <t>Nobody (automatic)</t>
        </is>
      </c>
      <c r="E24" s="10" t="inlineStr">
        <is>
          <t>Weekly review</t>
        </is>
      </c>
    </row>
    <row r="25" ht="44" customHeight="1">
      <c r="B25" s="9" t="inlineStr">
        <is>
          <t>MONTHLY PERFORMANCE</t>
        </is>
      </c>
      <c r="C25" s="10" t="inlineStr">
        <is>
          <t>12-month trend, month-over-month %, client-by-month matrices.</t>
        </is>
      </c>
      <c r="D25" s="10" t="inlineStr">
        <is>
          <t>Nobody (automatic)</t>
        </is>
      </c>
      <c r="E25" s="10" t="inlineStr">
        <is>
          <t>Monthly review</t>
        </is>
      </c>
    </row>
    <row r="26" ht="44" customHeight="1">
      <c r="B26" s="9" t="inlineStr">
        <is>
          <t>CLIENT MASTER</t>
        </is>
      </c>
      <c r="C26" s="10" t="inlineStr">
        <is>
          <t>Client list &amp; status (feeds every Client dropdown), services, KPIs, issues, priority, next action.</t>
        </is>
      </c>
      <c r="D26" s="10" t="inlineStr">
        <is>
          <t>Manager / Program Managers</t>
        </is>
      </c>
      <c r="E26" s="10" t="inlineStr">
        <is>
          <t>On change</t>
        </is>
      </c>
    </row>
    <row r="27" ht="44" customHeight="1">
      <c r="B27" s="9" t="inlineStr">
        <is>
          <t>MASTER DATA</t>
        </is>
      </c>
      <c r="C27" s="10" t="inlineStr">
        <is>
          <t>Team list, dropdown lists and thresholds (stale-days, on-track %, etc.).</t>
        </is>
      </c>
      <c r="D27" s="10" t="inlineStr">
        <is>
          <t>Manager only</t>
        </is>
      </c>
      <c r="E27" s="10" t="inlineStr">
        <is>
          <t>Rarely</t>
        </is>
      </c>
    </row>
    <row r="28" ht="44" customHeight="1">
      <c r="B28" s="9" t="inlineStr">
        <is>
          <t>BASELINE NOTES</t>
        </is>
      </c>
      <c r="C28" s="10" t="inlineStr">
        <is>
          <t>What was loaded from your existing files, assumptions, discrepancies to confirm.</t>
        </is>
      </c>
      <c r="D28" s="10" t="inlineStr">
        <is>
          <t>Manager (read, then clear items)</t>
        </is>
      </c>
      <c r="E28" s="10" t="inlineStr">
        <is>
          <t>Once</t>
        </is>
      </c>
    </row>
    <row r="30" ht="22" customHeight="1">
      <c r="B30" s="3" t="inlineStr">
        <is>
          <t>4. WHAT TEAM MEMBERS UPDATE DAILY</t>
        </is>
      </c>
      <c r="C30" s="2" t="n"/>
      <c r="D30" s="2" t="n"/>
      <c r="E30" s="2" t="n"/>
    </row>
    <row r="31" ht="44" customHeight="1">
      <c r="B31" s="11" t="inlineStr">
        <is>
          <t>-  DAILY TASK TRACKER: add/refresh a row for every task you touched. Always set Status, Due Date, % Complete and Last Updated. Use Blocker + Status = Blocked when stuck; set 'Needs Manager Decision?' / 'Escalate to Rajesh?' = Yes when you need help.</t>
        </is>
      </c>
    </row>
    <row r="32" ht="44" customHeight="1">
      <c r="B32" s="11" t="inlineStr">
        <is>
          <t>-  Planned work: put today's/tomorrow's date in Date, Start Date, Due Date or Next Action Date so it shows under 'Planned today' / 'Top priorities for tomorrow'.</t>
        </is>
      </c>
    </row>
    <row r="33" ht="44" customHeight="1">
      <c r="B33" s="11" t="inlineStr">
        <is>
          <t>-  Results: enter Actual Result and Target (numbers) - Variance and Achievement % calculate automatically.</t>
        </is>
      </c>
    </row>
    <row r="34" ht="44" customHeight="1">
      <c r="B34" s="11" t="inlineStr">
        <is>
          <t>-  Channel owners also update EMAIL MARKETING, PAID MEDIA ADS, LINKEDIN OUTREACH, LEAD MQL TRACKER and WEBSITE CONTENT SEO. Campaign owners keep CAMPAIGN MASTER status &amp; Last Updated current.</t>
        </is>
      </c>
    </row>
    <row r="36" ht="22" customHeight="1">
      <c r="B36" s="3" t="inlineStr">
        <is>
          <t>5. WHAT NOT TO EDIT</t>
        </is>
      </c>
      <c r="C36" s="2" t="n"/>
      <c r="D36" s="2" t="n"/>
      <c r="E36" s="2" t="n"/>
    </row>
    <row r="37" ht="32" customHeight="1">
      <c r="B37" s="11" t="inlineStr">
        <is>
          <t>-  Grey cells and the hidden/grouped 'system' columns at the right of each input sheet (click the [+] above the columns to see them).</t>
        </is>
      </c>
    </row>
    <row r="38" ht="32" customHeight="1">
      <c r="B38" s="11" t="inlineStr">
        <is>
          <t>-  Anything on the dashboard sheets (they are protected). Do not rename sheets, tables or column headers, and do not delete columns - formulas depend on them.</t>
        </is>
      </c>
    </row>
    <row r="39" ht="32" customHeight="1">
      <c r="B39" s="11" t="inlineStr">
        <is>
          <t>-  Do not type over the Campaign Name in CAMPAIGN MASTER once rows exist in other sheets (results are matched by name). To rename a campaign, change it everywhere (Find &amp; Replace).</t>
        </is>
      </c>
    </row>
    <row r="41" ht="22" customHeight="1">
      <c r="B41" s="3" t="inlineStr">
        <is>
          <t>6. HOW THE DASHBOARD GETS UPDATED</t>
        </is>
      </c>
      <c r="C41" s="2" t="n"/>
      <c r="D41" s="2" t="n"/>
      <c r="E41" s="2" t="n"/>
    </row>
    <row r="42" ht="78" customHeight="1">
      <c r="B42" s="11" t="inlineStr">
        <is>
          <t>Every input sheet is an Excel Table with pre-built formula columns (rows are pre-filled so just type in the next empty blue row; if you ever reach the last pre-built row, copy the last row down). Hidden helper columns convert each row into flags (Overdue, Blocked, Due today ...) and a 'rank'. Dashboards use COUNTIFS / SUMIFS / INDEX-MATCH over those columns (pre-built rows plus a 500-row buffer), so no pivot refresh is ever needed - results update the moment a cell changes. Change the Reporting Date on the dashboard to review any past day.</t>
        </is>
      </c>
    </row>
    <row r="44" ht="22" customHeight="1">
      <c r="B44" s="3" t="inlineStr">
        <is>
          <t>7. KPI DEFINITIONS</t>
        </is>
      </c>
      <c r="C44" s="2" t="n"/>
      <c r="D44" s="2" t="n"/>
      <c r="E44" s="2" t="n"/>
    </row>
    <row r="45">
      <c r="B45" s="8" t="inlineStr">
        <is>
          <t>KPI</t>
        </is>
      </c>
      <c r="C45" s="8" t="inlineStr">
        <is>
          <t>Definition</t>
        </is>
      </c>
      <c r="D45" s="8" t="inlineStr"/>
      <c r="E45" s="8" t="inlineStr"/>
    </row>
    <row r="46" ht="34" customHeight="1">
      <c r="B46" s="9" t="inlineStr">
        <is>
          <t>Completion %</t>
        </is>
      </c>
      <c r="C46" s="10" t="inlineStr">
        <is>
          <t>Completed tasks / total tasks (Cancelled tasks are included in total).</t>
        </is>
      </c>
      <c r="D46" s="12" t="n"/>
      <c r="E46" s="13" t="n"/>
    </row>
    <row r="47" ht="34" customHeight="1">
      <c r="B47" s="9" t="inlineStr">
        <is>
          <t>Pending / Open task</t>
        </is>
      </c>
      <c r="C47" s="10" t="inlineStr">
        <is>
          <t>Any task not Completed or Cancelled (includes blank status, Not Started, In Progress, On Hold, Blocked).</t>
        </is>
      </c>
      <c r="D47" s="12" t="n"/>
      <c r="E47" s="13" t="n"/>
    </row>
    <row r="48" ht="34" customHeight="1">
      <c r="B48" s="9" t="inlineStr">
        <is>
          <t>Overdue</t>
        </is>
      </c>
      <c r="C48" s="10" t="inlineStr">
        <is>
          <t>Open task whose Due Date is before the Reporting Date. Days Overdue = Reporting Date - Due Date.</t>
        </is>
      </c>
      <c r="D48" s="12" t="n"/>
      <c r="E48" s="13" t="n"/>
    </row>
    <row r="49" ht="34" customHeight="1">
      <c r="B49" s="9" t="inlineStr">
        <is>
          <t>Due soon</t>
        </is>
      </c>
      <c r="C49" s="10" t="inlineStr">
        <is>
          <t>Open task due between the Reporting Date and +2 days (configurable in MASTER DATA).</t>
        </is>
      </c>
      <c r="D49" s="12" t="n"/>
      <c r="E49" s="13" t="n"/>
    </row>
    <row r="50" ht="34" customHeight="1">
      <c r="B50" s="9" t="inlineStr">
        <is>
          <t>No recent update</t>
        </is>
      </c>
      <c r="C50" s="10" t="inlineStr">
        <is>
          <t>Open task whose Last Updated is blank or older than 3 days (configurable). Live campaigns: older than 7 days.</t>
        </is>
      </c>
      <c r="D50" s="12" t="n"/>
      <c r="E50" s="13" t="n"/>
    </row>
    <row r="51" ht="34" customHeight="1">
      <c r="B51" s="9" t="inlineStr">
        <is>
          <t>Variance / Achievement %</t>
        </is>
      </c>
      <c r="C51" s="10" t="inlineStr">
        <is>
          <t>Variance = Actual - Target. Achievement % = Actual / Target.</t>
        </is>
      </c>
      <c r="D51" s="12" t="n"/>
      <c r="E51" s="13" t="n"/>
    </row>
    <row r="52" ht="34" customHeight="1">
      <c r="B52" s="9" t="inlineStr">
        <is>
          <t>Leads</t>
        </is>
      </c>
      <c r="C52" s="10" t="inlineStr">
        <is>
          <t>Lead-level records (LEAD MQL TRACKER rows with a Lead Name/ID) + summary Leads entered in EMAIL, PAID, LINKEDIN and WEBSITE sheets. Never enter the same lead in both places.</t>
        </is>
      </c>
      <c r="D52" s="12" t="n"/>
      <c r="E52" s="13" t="n"/>
    </row>
    <row r="53" ht="34" customHeight="1">
      <c r="B53" s="9" t="inlineStr">
        <is>
          <t>Digital Handraiser</t>
        </is>
      </c>
      <c r="C53" s="10" t="inlineStr">
        <is>
          <t>A lead flagged 'Yes' in LEAD MQL TRACKER + Handraisers entered in LINKEDIN OUTREACH. A subset of leads.</t>
        </is>
      </c>
      <c r="D53" s="12" t="n"/>
      <c r="E53" s="13" t="n"/>
    </row>
    <row r="54" ht="34" customHeight="1">
      <c r="B54" s="9" t="inlineStr">
        <is>
          <t>MQL / SQL / Opportunity</t>
        </is>
      </c>
      <c r="C54" s="10" t="inlineStr">
        <is>
          <t>MQL = MQL Status 'MQL' (+ MQLs in channel sheets). SQL = SQL Status 'SQL'. Opportunity = Opportunity Status Open / Won / Lost. Converted = Lead Status 'Converted' or Opportunity 'Won'.</t>
        </is>
      </c>
      <c r="D54" s="12" t="n"/>
      <c r="E54" s="13" t="n"/>
    </row>
    <row r="55" ht="34" customHeight="1">
      <c r="B55" s="9" t="inlineStr">
        <is>
          <t>Funnel step conversion</t>
        </is>
      </c>
      <c r="C55" s="10" t="inlineStr">
        <is>
          <t>Each stage / previous stage (MQL/Leads, SQL/MQL, Opportunity/SQL, Converted/Opportunity).</t>
        </is>
      </c>
      <c r="D55" s="12" t="n"/>
      <c r="E55" s="13" t="n"/>
    </row>
    <row r="56" ht="34" customHeight="1">
      <c r="B56" s="9" t="inlineStr">
        <is>
          <t>Open rate / CTR / Reply rate / Positive response rate</t>
        </is>
      </c>
      <c r="C56" s="10" t="inlineStr">
        <is>
          <t>Opens, Clicks, Replies, Positive Responses divided by Delivered (or by Emails Sent if Delivered is blank).</t>
        </is>
      </c>
      <c r="D56" s="12" t="n"/>
      <c r="E56" s="13" t="n"/>
    </row>
    <row r="57" ht="34" customHeight="1">
      <c r="B57" s="9" t="inlineStr">
        <is>
          <t>CPL</t>
        </is>
      </c>
      <c r="C57" s="10" t="inlineStr">
        <is>
          <t>Spend / Leads. In PAID MEDIA: row spend / row leads. In CAMPAIGN MASTER: paid spend / all leads of the campaign.</t>
        </is>
      </c>
      <c r="D57" s="12" t="n"/>
      <c r="E57" s="13" t="n"/>
    </row>
    <row r="58" ht="34" customHeight="1">
      <c r="B58" s="9" t="inlineStr">
        <is>
          <t>Paid conversion rate</t>
        </is>
      </c>
      <c r="C58" s="10" t="inlineStr">
        <is>
          <t>Leads / Clicks (PAID MEDIA ADS).</t>
        </is>
      </c>
      <c r="D58" s="12" t="n"/>
      <c r="E58" s="13" t="n"/>
    </row>
    <row r="59" ht="34" customHeight="1">
      <c r="B59" s="9" t="inlineStr">
        <is>
          <t>Campaign conversion rate</t>
        </is>
      </c>
      <c r="C59" s="10" t="inlineStr">
        <is>
          <t>MQLs / Leads for the campaign.</t>
        </is>
      </c>
      <c r="D59" s="12" t="n"/>
      <c r="E59" s="13" t="n"/>
    </row>
    <row r="60" ht="34" customHeight="1">
      <c r="B60" s="9" t="inlineStr">
        <is>
          <t>Campaign performance</t>
        </is>
      </c>
      <c r="C60" s="10" t="inlineStr">
        <is>
          <t>Leads generated vs the Leads Target pro-rated for elapsed time (Start-to-Planned End). Ahead &gt;= 100%, On Track &gt;= 90%, Behind &gt;= 60%, At Risk &lt; 60%. 'No Target Set' if no Leads Target; 'Not Live' unless status is Live/Optimizing/Paused/Completed.</t>
        </is>
      </c>
      <c r="D60" s="12" t="n"/>
      <c r="E60" s="13" t="n"/>
    </row>
    <row r="61" ht="34" customHeight="1">
      <c r="B61" s="9" t="inlineStr">
        <is>
          <t>Campaign needing attention</t>
        </is>
      </c>
      <c r="C61" s="10" t="inlineStr">
        <is>
          <t>Live/Optimizing campaign that is Behind / At Risk, or has no recent update, or is past its Planned End without an Actual End.</t>
        </is>
      </c>
      <c r="D61" s="12" t="n"/>
      <c r="E61" s="13" t="n"/>
    </row>
    <row r="62" ht="34" customHeight="1">
      <c r="B62" s="9" t="inlineStr">
        <is>
          <t>Client health</t>
        </is>
      </c>
      <c r="C62" s="10" t="inlineStr">
        <is>
          <t>Needs Attention = any overdue/blocked task or campaign needing attention. Performing = completion &gt;= 70% with no issues. In Progress = otherwise. No Activity = no tasks or campaigns.</t>
        </is>
      </c>
      <c r="D62" s="12" t="n"/>
      <c r="E62" s="13" t="n"/>
    </row>
    <row r="63" ht="34" customHeight="1">
      <c r="B63" s="9" t="inlineStr">
        <is>
          <t>Major deliverables</t>
        </is>
      </c>
      <c r="C63" s="10" t="inlineStr">
        <is>
          <t>Completed tasks with Priority Critical or High.</t>
        </is>
      </c>
      <c r="D63" s="12" t="n"/>
      <c r="E63" s="13" t="n"/>
    </row>
    <row r="64" ht="34" customHeight="1">
      <c r="B64" s="9" t="inlineStr">
        <is>
          <t>Workload index</t>
        </is>
      </c>
      <c r="C64" s="10" t="inlineStr">
        <is>
          <t>Member's pending actions / team average pending actions. &gt; 1.3 = 'Workload high'.</t>
        </is>
      </c>
      <c r="D64" s="12" t="n"/>
      <c r="E64" s="13" t="n"/>
    </row>
    <row r="66" ht="22" customHeight="1">
      <c r="B66" s="3" t="inlineStr">
        <is>
          <t>8. WHO IS RESPONSIBLE</t>
        </is>
      </c>
      <c r="C66" s="2" t="n"/>
      <c r="D66" s="2" t="n"/>
      <c r="E66" s="2" t="n"/>
    </row>
    <row r="67">
      <c r="B67" s="8" t="inlineStr">
        <is>
          <t>Area</t>
        </is>
      </c>
      <c r="C67" s="8" t="inlineStr">
        <is>
          <t>Owner</t>
        </is>
      </c>
      <c r="D67" s="8" t="inlineStr">
        <is>
          <t>Accountable for</t>
        </is>
      </c>
      <c r="E67" s="8" t="inlineStr"/>
    </row>
    <row r="68" ht="30" customHeight="1">
      <c r="B68" s="9" t="inlineStr">
        <is>
          <t>Daily task updates</t>
        </is>
      </c>
      <c r="C68" s="10" t="inlineStr">
        <is>
          <t>Each team member</t>
        </is>
      </c>
      <c r="D68" s="10" t="inlineStr">
        <is>
          <t>Own rows in DAILY TASK TRACKER by end of day</t>
        </is>
      </c>
    </row>
    <row r="69" ht="30" customHeight="1">
      <c r="B69" s="9" t="inlineStr">
        <is>
          <t>Email / Paid / LinkedIn / Web / Lead sheets</t>
        </is>
      </c>
      <c r="C69" s="10" t="inlineStr">
        <is>
          <t>Channel or lead owner</t>
        </is>
      </c>
      <c r="D69" s="10" t="inlineStr">
        <is>
          <t>Accurate counts for every deployment/period</t>
        </is>
      </c>
    </row>
    <row r="70" ht="30" customHeight="1">
      <c r="B70" s="9" t="inlineStr">
        <is>
          <t>Campaign status, dates, targets</t>
        </is>
      </c>
      <c r="C70" s="10" t="inlineStr">
        <is>
          <t>Campaign Owner</t>
        </is>
      </c>
      <c r="D70" s="10" t="inlineStr">
        <is>
          <t>CAMPAIGN MASTER accuracy and Last Updated</t>
        </is>
      </c>
    </row>
    <row r="71" ht="30" customHeight="1">
      <c r="B71" s="9" t="inlineStr">
        <is>
          <t>Clients, team, lists, thresholds</t>
        </is>
      </c>
      <c r="C71" s="10" t="inlineStr">
        <is>
          <t>Manager (Sr. Manager - AI Marketing)</t>
        </is>
      </c>
      <c r="D71" s="10" t="inlineStr">
        <is>
          <t>CLIENT MASTER and MASTER DATA</t>
        </is>
      </c>
    </row>
    <row r="72" ht="30" customHeight="1">
      <c r="B72" s="9" t="inlineStr">
        <is>
          <t>Data hygiene check</t>
        </is>
      </c>
      <c r="C72" s="10" t="inlineStr">
        <is>
          <t>Program Managers (e.g. Ayush, Richi)</t>
        </is>
      </c>
      <c r="D72" s="10" t="inlineStr">
        <is>
          <t>Weekly: no blank Status / Due Date, no overdue tasks without a reason</t>
        </is>
      </c>
    </row>
    <row r="73" ht="30" customHeight="1">
      <c r="B73" s="9" t="inlineStr">
        <is>
          <t>Decisions &amp; escalations</t>
        </is>
      </c>
      <c r="C73" s="10" t="inlineStr">
        <is>
          <t>Manager; escalation to Rajesh</t>
        </is>
      </c>
      <c r="D73" s="10" t="inlineStr">
        <is>
          <t>Clear items under Q12 / Q13 daily</t>
        </is>
      </c>
    </row>
    <row r="75" ht="22" customHeight="1">
      <c r="B75" s="3" t="inlineStr">
        <is>
          <t>9. COMMON TASKS</t>
        </is>
      </c>
      <c r="C75" s="2" t="n"/>
      <c r="D75" s="2" t="n"/>
      <c r="E75" s="2" t="n"/>
    </row>
    <row r="76" ht="34" customHeight="1">
      <c r="B76" s="11" t="inlineStr">
        <is>
          <t>-  Add a client: CLIENT MASTER &gt; next blue row. Add a campaign: CAMPAIGN MASTER &gt; next blue row (Client, Campaign Name, Owner...). Add a team member: MASTER DATA &gt; Team table. They appear in dropdowns immediately.</t>
        </is>
      </c>
    </row>
    <row r="77" ht="34" customHeight="1">
      <c r="B77" s="11" t="inlineStr">
        <is>
          <t>-  Add a dropdown option: MASTER DATA &gt; type at the bottom of the list (no blank rows between items).</t>
        </is>
      </c>
    </row>
    <row r="78" ht="34" customHeight="1">
      <c r="B78" s="11" t="inlineStr">
        <is>
          <t>-  Review a past day/week/month: change the Reporting Date / Month on the EXECUTIVE DASHBOARD, or the week / first month on WEEKLY REVIEW / MONTHLY PERFORMANCE.</t>
        </is>
      </c>
    </row>
    <row r="79" ht="34" customHeight="1">
      <c r="B79" s="11" t="inlineStr">
        <is>
          <t>-  Filtering sheets: use the filter arrows on each table header. Sharing: store on OneDrive/SharePoint and allow co-authoring so everyone updates at the same time.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5">
    <mergeCell ref="C54:E54"/>
    <mergeCell ref="B9:E9"/>
    <mergeCell ref="C50:E50"/>
    <mergeCell ref="C55:E55"/>
    <mergeCell ref="C47:E47"/>
    <mergeCell ref="B6:E6"/>
    <mergeCell ref="B30:E30"/>
    <mergeCell ref="B33:E33"/>
    <mergeCell ref="C56:E56"/>
    <mergeCell ref="C59:E59"/>
    <mergeCell ref="B36:E36"/>
    <mergeCell ref="C46:E46"/>
    <mergeCell ref="B32:E32"/>
    <mergeCell ref="C51:E51"/>
    <mergeCell ref="C60:E60"/>
    <mergeCell ref="B76:E76"/>
    <mergeCell ref="B41:E41"/>
    <mergeCell ref="B79:E79"/>
    <mergeCell ref="B4:E4"/>
    <mergeCell ref="C52:E52"/>
    <mergeCell ref="B75:E75"/>
    <mergeCell ref="C61:E61"/>
    <mergeCell ref="B7:E7"/>
    <mergeCell ref="C48:E48"/>
    <mergeCell ref="B3:E3"/>
    <mergeCell ref="B66:E66"/>
    <mergeCell ref="B31:E31"/>
    <mergeCell ref="C57:E57"/>
    <mergeCell ref="C53:E53"/>
    <mergeCell ref="C49:E49"/>
    <mergeCell ref="B39:E39"/>
    <mergeCell ref="B11:E11"/>
    <mergeCell ref="B77:E77"/>
    <mergeCell ref="B42:E42"/>
    <mergeCell ref="C62:E62"/>
    <mergeCell ref="C58:E58"/>
    <mergeCell ref="B1:E1"/>
    <mergeCell ref="B8:E8"/>
    <mergeCell ref="B38:E38"/>
    <mergeCell ref="B44:E44"/>
    <mergeCell ref="B78:E78"/>
    <mergeCell ref="C64:E64"/>
    <mergeCell ref="B37:E37"/>
    <mergeCell ref="C63:E63"/>
    <mergeCell ref="B34:E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R133"/>
  <sheetViews>
    <sheetView showGridLines="0" tabSelected="1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5.5" customWidth="1" min="2" max="2"/>
    <col width="15.5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15.5" customWidth="1" min="9" max="9"/>
    <col width="2" customWidth="1" min="10" max="10"/>
    <col width="15.5" customWidth="1" min="11" max="11"/>
    <col width="15.5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  <col width="15.5" customWidth="1" min="18" max="18"/>
    <col width="2" customWidth="1" min="19" max="19"/>
  </cols>
  <sheetData>
    <row r="1" ht="38" customHeight="1">
      <c r="B1" s="1" t="inlineStr">
        <is>
          <t>DIGITAL MARKETING - DAILY REVIEW &amp; PERFORMANCE DASHBOARD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B2" s="14" t="inlineStr">
        <is>
          <t>Read-only management view. Everything below is calculated automatically from the input sheets. Only the BLUE filter cells in row 5 can be changed.</t>
        </is>
      </c>
    </row>
    <row r="4">
      <c r="B4" s="15" t="inlineStr">
        <is>
          <t>REPORTING DATE</t>
        </is>
      </c>
      <c r="C4" s="16" t="n"/>
      <c r="D4" s="15" t="inlineStr">
        <is>
          <t>MONTH</t>
        </is>
      </c>
      <c r="E4" s="16" t="n"/>
      <c r="F4" s="15" t="inlineStr">
        <is>
          <t>CLIENT</t>
        </is>
      </c>
      <c r="G4" s="16" t="n"/>
      <c r="H4" s="15" t="inlineStr">
        <is>
          <t>CAMPAIGN</t>
        </is>
      </c>
      <c r="I4" s="16" t="n"/>
      <c r="K4" s="15" t="inlineStr">
        <is>
          <t>TEAM MEMBER</t>
        </is>
      </c>
      <c r="L4" s="16" t="n"/>
      <c r="M4" s="15" t="inlineStr">
        <is>
          <t>CHANNEL</t>
        </is>
      </c>
      <c r="N4" s="16" t="n"/>
      <c r="O4" s="15" t="inlineStr">
        <is>
          <t>TASK STATUS</t>
        </is>
      </c>
      <c r="P4" s="16" t="n"/>
      <c r="Q4" s="15" t="inlineStr">
        <is>
          <t>CAMPAIGN STATUS</t>
        </is>
      </c>
      <c r="R4" s="16" t="n"/>
    </row>
    <row r="5" ht="26" customHeight="1">
      <c r="B5" s="17">
        <f>TODAY()</f>
        <v>46300.0</v>
      </c>
      <c r="C5" s="18" t="n"/>
      <c r="D5" s="19" t="inlineStr">
        <is>
          <t>All</t>
        </is>
      </c>
      <c r="E5" s="18" t="n"/>
      <c r="F5" s="19" t="inlineStr">
        <is>
          <t>All</t>
        </is>
      </c>
      <c r="G5" s="18" t="n"/>
      <c r="H5" s="19" t="inlineStr">
        <is>
          <t>All</t>
        </is>
      </c>
      <c r="I5" s="18" t="n"/>
      <c r="K5" s="19" t="inlineStr">
        <is>
          <t>All</t>
        </is>
      </c>
      <c r="L5" s="18" t="n"/>
      <c r="M5" s="19" t="inlineStr">
        <is>
          <t>All</t>
        </is>
      </c>
      <c r="N5" s="18" t="n"/>
      <c r="O5" s="19" t="inlineStr">
        <is>
          <t>All</t>
        </is>
      </c>
      <c r="P5" s="18" t="n"/>
      <c r="Q5" s="19" t="inlineStr">
        <is>
          <t>All</t>
        </is>
      </c>
      <c r="R5" s="18" t="n"/>
    </row>
    <row r="6" ht="24" customHeight="1">
      <c r="B6" s="20" t="inlineStr">
        <is>
          <t>Reporting Date drives overdue / due-today / yesterday logic (default = today; type a date to review a past day). KPI cards &amp; funnel respect ALL filters. Daily Management Attention lists respect Client / Campaign / Team / Channel only. Task Status filter applies to tasks; Campaign Status filter to campaigns.</t>
        </is>
      </c>
    </row>
    <row r="8" ht="22" customHeight="1">
      <c r="B8" s="3" t="inlineStr">
        <is>
          <t>SNAPSHOT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 ht="24" customHeight="1">
      <c r="B9" s="21" t="inlineStr">
        <is>
          <t>REPORTING DATE</t>
        </is>
      </c>
      <c r="C9" s="21" t="inlineStr">
        <is>
          <t>CURRENT WEEK</t>
        </is>
      </c>
      <c r="D9" s="21" t="inlineStr">
        <is>
          <t>CURRENT MONTH</t>
        </is>
      </c>
      <c r="E9" s="21" t="inlineStr">
        <is>
          <t>ACTIVE CLIENTS</t>
        </is>
      </c>
      <c r="F9" s="21" t="inlineStr">
        <is>
          <t>ACTIVE CAMPAIGNS</t>
        </is>
      </c>
      <c r="G9" s="21" t="inlineStr">
        <is>
          <t>TOTAL TASKS</t>
        </is>
      </c>
      <c r="H9" s="22" t="inlineStr">
        <is>
          <t>COMPLETED TASKS</t>
        </is>
      </c>
      <c r="I9" s="21" t="inlineStr">
        <is>
          <t>PENDING TASKS</t>
        </is>
      </c>
      <c r="K9" s="23" t="inlineStr">
        <is>
          <t>OVERDUE TASKS</t>
        </is>
      </c>
      <c r="L9" s="24" t="inlineStr">
        <is>
          <t>BLOCKED TASKS</t>
        </is>
      </c>
      <c r="M9" s="21" t="inlineStr">
        <is>
          <t>LEADS GENERATED</t>
        </is>
      </c>
      <c r="N9" s="21" t="inlineStr">
        <is>
          <t>MQLs GENERATED</t>
        </is>
      </c>
      <c r="O9" s="21" t="inlineStr">
        <is>
          <t>SQLs GENERATED</t>
        </is>
      </c>
      <c r="P9" s="21" t="inlineStr">
        <is>
          <t>DIGITAL HANDRAISERS</t>
        </is>
      </c>
      <c r="Q9" s="21" t="inlineStr">
        <is>
          <t>CAMPAIGNS LIVE</t>
        </is>
      </c>
      <c r="R9" s="21" t="inlineStr">
        <is>
          <t>UNDER OPTIMIZATION</t>
        </is>
      </c>
    </row>
    <row r="10" ht="34" customHeight="1">
      <c r="B10" s="25">
        <f>ReportDate</f>
        <v>46300.0</v>
      </c>
      <c r="C10" s="26" t="str">
        <f>"Wk "&amp;WEEKNUM(ReportDate,21)&amp;CHAR(10)&amp;TEXT(ReportDate-WEEKDAY(ReportDate,2)+1,"dd mmm")&amp;" - "&amp;TEXT(ReportDate-WEEKDAY(ReportDate,2)+7,"dd mmm")</f>
        <v>Wk 41
05 Oct - 11 Oct</v>
      </c>
      <c r="D10" s="27" t="str">
        <f>TEXT(ReportDate,"mmm yyyy")</f>
        <v>Oct 2026</v>
      </c>
      <c r="E10" s="28">
        <f>IF(fClient="All",COUNTIF('CLIENT MASTER'!$D$5:$D$64,"Active"),COUNTIFS('CLIENT MASTER'!$A$5:$A$64,fClient,'CLIENT MASTER'!$D$5:$D$64,"Active"))</f>
        <v>12</v>
      </c>
      <c r="F10" s="28">
        <f>COUNTIFS('CAMPAIGN MASTER'!$AK$5:$AK$704,1,'CAMPAIGN MASTER'!$AM$5:$AM$704,1)</f>
        <v>0</v>
      </c>
      <c r="G10" s="28">
        <f>COUNTIFS('DAILY TASK TRACKER'!$AI$5:$AI$1504,1)</f>
        <v>58</v>
      </c>
      <c r="H10" s="29">
        <f>COUNTIFS('DAILY TASK TRACKER'!$AI$5:$AI$1504,1,'DAILY TASK TRACKER'!$M$5:$M$1504,"Completed")</f>
        <v>0</v>
      </c>
      <c r="I10" s="28">
        <f>SUMIFS('DAILY TASK TRACKER'!$AK$5:$AK$1504,'DAILY TASK TRACKER'!$AI$5:$AI$1504,1)</f>
        <v>58</v>
      </c>
      <c r="K10" s="30">
        <f>SUMIFS('DAILY TASK TRACKER'!$AL$5:$AL$1504,'DAILY TASK TRACKER'!$AI$5:$AI$1504,1)</f>
        <v>3</v>
      </c>
      <c r="L10" s="31">
        <f>SUMIFS('DAILY TASK TRACKER'!$AM$5:$AM$1504,'DAILY TASK TRACKER'!$AI$5:$AI$1504,1)</f>
        <v>0</v>
      </c>
      <c r="M10" s="28">
        <f>(COUNTIFS('LEAD MQL TRACKER'!$AH$5:$AH$1004,1)+SUMIFS('EMAIL MARKETING'!$Q$5:$Q$804,'EMAIL MARKETING'!$Y$5:$Y$804,1)+SUMIFS('PAID MEDIA ADS'!$M$5:$M$804,'PAID MEDIA ADS'!$V$5:$V$804,1)+SUMIFS('LINKEDIN OUTREACH'!$N$5:$N$704,'LINKEDIN OUTREACH'!$T$5:$T$704,1)+SUMIFS('WEBSITE CONTENT SEO'!$L$5:$L$804,'WEBSITE CONTENT SEO'!$W$5:$W$804,1))</f>
        <v>0</v>
      </c>
      <c r="N10" s="28">
        <f>(COUNTIFS('LEAD MQL TRACKER'!$AH$5:$AH$1004,1,'LEAD MQL TRACKER'!$AD$5:$AD$1004,1)+SUMIFS('EMAIL MARKETING'!$R$5:$R$804,'EMAIL MARKETING'!$Y$5:$Y$804,1)+SUMIFS('PAID MEDIA ADS'!$N$5:$N$804,'PAID MEDIA ADS'!$V$5:$V$804,1)+SUMIFS('LINKEDIN OUTREACH'!$O$5:$O$704,'LINKEDIN OUTREACH'!$T$5:$T$704,1))</f>
        <v>0</v>
      </c>
      <c r="O10" s="28">
        <f>COUNTIFS('LEAD MQL TRACKER'!$AH$5:$AH$1004,1,'LEAD MQL TRACKER'!$AE$5:$AE$1004,1)</f>
        <v>0</v>
      </c>
      <c r="P10" s="28">
        <f>(COUNTIFS('LEAD MQL TRACKER'!$AH$5:$AH$1004,1,'LEAD MQL TRACKER'!$AC$5:$AC$1004,1)+SUMIFS('LINKEDIN OUTREACH'!$M$5:$M$704,'LINKEDIN OUTREACH'!$T$5:$T$704,1))</f>
        <v>0</v>
      </c>
      <c r="Q10" s="28">
        <f>COUNTIFS('CAMPAIGN MASTER'!$AK$5:$AK$704,1,'CAMPAIGN MASTER'!$N$5:$N$704,"Live")</f>
        <v>0</v>
      </c>
      <c r="R10" s="28">
        <f>COUNTIFS('CAMPAIGN MASTER'!$AK$5:$AK$704,1,'CAMPAIGN MASTER'!$N$5:$N$704,"Optimizing")</f>
        <v>0</v>
      </c>
    </row>
    <row r="12" ht="22" customHeight="1">
      <c r="B12" s="3" t="inlineStr">
        <is>
          <t>KPI CARDS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18" customHeight="1">
      <c r="B13" s="32" t="inlineStr">
        <is>
          <t>ACTIVITY KPIs</t>
        </is>
      </c>
      <c r="C13" s="33" t="n"/>
      <c r="D13" s="33" t="n"/>
      <c r="E13" s="33" t="n"/>
      <c r="F13" s="33" t="n"/>
      <c r="G13" s="33" t="n"/>
      <c r="H13" s="33" t="n"/>
      <c r="I13" s="33" t="n"/>
      <c r="K13" s="32" t="inlineStr">
        <is>
          <t>LEAD KPIs</t>
        </is>
      </c>
      <c r="L13" s="33" t="n"/>
      <c r="M13" s="33" t="n"/>
      <c r="N13" s="33" t="n"/>
      <c r="O13" s="33" t="n"/>
      <c r="P13" s="33" t="n"/>
      <c r="Q13" s="33" t="n"/>
      <c r="R13" s="33" t="n"/>
    </row>
    <row r="14" ht="24" customHeight="1">
      <c r="B14" s="21" t="inlineStr">
        <is>
          <t>TASKS ASSIGNED</t>
        </is>
      </c>
      <c r="C14" s="21" t="inlineStr">
        <is>
          <t>TASKS COMPLETED</t>
        </is>
      </c>
      <c r="D14" s="21" t="inlineStr">
        <is>
          <t>COMPLETION %</t>
        </is>
      </c>
      <c r="E14" s="21" t="inlineStr">
        <is>
          <t>OVERDUE TASKS</t>
        </is>
      </c>
      <c r="F14" s="21" t="inlineStr">
        <is>
          <t>BLOCKED TASKS</t>
        </is>
      </c>
      <c r="G14" s="21" t="inlineStr">
        <is>
          <t>DUE TODAY</t>
        </is>
      </c>
      <c r="H14" s="21" t="inlineStr">
        <is>
          <t>DUE TOMORROW</t>
        </is>
      </c>
      <c r="I14" s="21" t="inlineStr">
        <is>
          <t>NO RECENT UPDATE</t>
        </is>
      </c>
      <c r="K14" s="21" t="inlineStr">
        <is>
          <t>LEADS GENERATED</t>
        </is>
      </c>
      <c r="L14" s="21" t="inlineStr">
        <is>
          <t>DIGITAL HANDRAISERS</t>
        </is>
      </c>
      <c r="M14" s="21" t="inlineStr">
        <is>
          <t>MQLs</t>
        </is>
      </c>
      <c r="N14" s="21" t="inlineStr">
        <is>
          <t>SQLs</t>
        </is>
      </c>
      <c r="O14" s="21" t="inlineStr">
        <is>
          <t>OPPORTUNITIES</t>
        </is>
      </c>
      <c r="P14" s="21" t="inlineStr">
        <is>
          <t>LEAD &gt; MQL %</t>
        </is>
      </c>
      <c r="Q14" s="21" t="inlineStr">
        <is>
          <t>MQL &gt; SQL %</t>
        </is>
      </c>
      <c r="R14" s="21" t="inlineStr">
        <is>
          <t>SQL &gt; OPP %</t>
        </is>
      </c>
    </row>
    <row r="15" ht="34" customHeight="1">
      <c r="B15" s="34">
        <f>COUNTIFS('DAILY TASK TRACKER'!$AI$5:$AI$1504,1)</f>
        <v>58</v>
      </c>
      <c r="C15" s="34">
        <f>COUNTIFS('DAILY TASK TRACKER'!$AI$5:$AI$1504,1,'DAILY TASK TRACKER'!$M$5:$M$1504,"Completed")</f>
        <v>0</v>
      </c>
      <c r="D15" s="35">
        <f>IFERROR((COUNTIFS('DAILY TASK TRACKER'!$AI$5:$AI$1504,1,'DAILY TASK TRACKER'!$M$5:$M$1504,"Completed"))/(COUNTIFS('DAILY TASK TRACKER'!$AI$5:$AI$1504,1)),"N/A")</f>
        <v>0</v>
      </c>
      <c r="E15" s="34">
        <f>SUMIFS('DAILY TASK TRACKER'!$AL$5:$AL$1504,'DAILY TASK TRACKER'!$AI$5:$AI$1504,1)</f>
        <v>3</v>
      </c>
      <c r="F15" s="34">
        <f>SUMIFS('DAILY TASK TRACKER'!$AM$5:$AM$1504,'DAILY TASK TRACKER'!$AI$5:$AI$1504,1)</f>
        <v>0</v>
      </c>
      <c r="G15" s="34">
        <f>SUMIFS('DAILY TASK TRACKER'!$AN$5:$AN$1504,'DAILY TASK TRACKER'!$AI$5:$AI$1504,1)</f>
        <v>0</v>
      </c>
      <c r="H15" s="34">
        <f>SUMIFS('DAILY TASK TRACKER'!$AO$5:$AO$1504,'DAILY TASK TRACKER'!$AI$5:$AI$1504,1)</f>
        <v>1</v>
      </c>
      <c r="I15" s="34">
        <f>SUMIFS('DAILY TASK TRACKER'!$AR$5:$AR$1504,'DAILY TASK TRACKER'!$AI$5:$AI$1504,1)</f>
        <v>58</v>
      </c>
      <c r="K15" s="34">
        <f>(COUNTIFS('LEAD MQL TRACKER'!$AH$5:$AH$1004,1)+SUMIFS('EMAIL MARKETING'!$Q$5:$Q$804,'EMAIL MARKETING'!$Y$5:$Y$804,1)+SUMIFS('PAID MEDIA ADS'!$M$5:$M$804,'PAID MEDIA ADS'!$V$5:$V$804,1)+SUMIFS('LINKEDIN OUTREACH'!$N$5:$N$704,'LINKEDIN OUTREACH'!$T$5:$T$704,1)+SUMIFS('WEBSITE CONTENT SEO'!$L$5:$L$804,'WEBSITE CONTENT SEO'!$W$5:$W$804,1))</f>
        <v>0</v>
      </c>
      <c r="L15" s="34">
        <f>(COUNTIFS('LEAD MQL TRACKER'!$AH$5:$AH$1004,1,'LEAD MQL TRACKER'!$AC$5:$AC$1004,1)+SUMIFS('LINKEDIN OUTREACH'!$M$5:$M$704,'LINKEDIN OUTREACH'!$T$5:$T$704,1))</f>
        <v>0</v>
      </c>
      <c r="M15" s="34">
        <f>(COUNTIFS('LEAD MQL TRACKER'!$AH$5:$AH$1004,1,'LEAD MQL TRACKER'!$AD$5:$AD$1004,1)+SUMIFS('EMAIL MARKETING'!$R$5:$R$804,'EMAIL MARKETING'!$Y$5:$Y$804,1)+SUMIFS('PAID MEDIA ADS'!$N$5:$N$804,'PAID MEDIA ADS'!$V$5:$V$804,1)+SUMIFS('LINKEDIN OUTREACH'!$O$5:$O$704,'LINKEDIN OUTREACH'!$T$5:$T$704,1))</f>
        <v>0</v>
      </c>
      <c r="N15" s="34">
        <f>COUNTIFS('LEAD MQL TRACKER'!$AH$5:$AH$1004,1,'LEAD MQL TRACKER'!$AE$5:$AE$1004,1)</f>
        <v>0</v>
      </c>
      <c r="O15" s="34">
        <f>COUNTIFS('LEAD MQL TRACKER'!$AH$5:$AH$1004,1,'LEAD MQL TRACKER'!$AF$5:$AF$1004,1)</f>
        <v>0</v>
      </c>
      <c r="P15" s="35" t="str">
        <f>IFERROR(((COUNTIFS('LEAD MQL TRACKER'!$AH$5:$AH$1004,1,'LEAD MQL TRACKER'!$AD$5:$AD$1004,1)+SUMIFS('EMAIL MARKETING'!$R$5:$R$804,'EMAIL MARKETING'!$Y$5:$Y$804,1)+SUMIFS('PAID MEDIA ADS'!$N$5:$N$804,'PAID MEDIA ADS'!$V$5:$V$804,1)+SUMIFS('LINKEDIN OUTREACH'!$O$5:$O$704,'LINKEDIN OUTREACH'!$T$5:$T$704,1)))/((COUNTIFS('LEAD MQL TRACKER'!$AH$5:$AH$1004,1)+SUMIFS('EMAIL MARKETING'!$Q$5:$Q$804,'EMAIL MARKETING'!$Y$5:$Y$804,1)+SUMIFS('PAID MEDIA ADS'!$M$5:$M$804,'PAID MEDIA ADS'!$V$5:$V$804,1)+SUMIFS('LINKEDIN OUTREACH'!$N$5:$N$704,'LINKEDIN OUTREACH'!$T$5:$T$704,1)+SUMIFS('WEBSITE CONTENT SEO'!$L$5:$L$804,'WEBSITE CONTENT SEO'!$W$5:$W$804,1))),"N/A")</f>
        <v>N/A</v>
      </c>
      <c r="Q15" s="35" t="str">
        <f>IFERROR((COUNTIFS('LEAD MQL TRACKER'!$AH$5:$AH$1004,1,'LEAD MQL TRACKER'!$AE$5:$AE$1004,1))/((COUNTIFS('LEAD MQL TRACKER'!$AH$5:$AH$1004,1,'LEAD MQL TRACKER'!$AD$5:$AD$1004,1)+SUMIFS('EMAIL MARKETING'!$R$5:$R$804,'EMAIL MARKETING'!$Y$5:$Y$804,1)+SUMIFS('PAID MEDIA ADS'!$N$5:$N$804,'PAID MEDIA ADS'!$V$5:$V$804,1)+SUMIFS('LINKEDIN OUTREACH'!$O$5:$O$704,'LINKEDIN OUTREACH'!$T$5:$T$704,1))),"N/A")</f>
        <v>N/A</v>
      </c>
      <c r="R15" s="35" t="str">
        <f>IFERROR((COUNTIFS('LEAD MQL TRACKER'!$AH$5:$AH$1004,1,'LEAD MQL TRACKER'!$AF$5:$AF$1004,1))/(COUNTIFS('LEAD MQL TRACKER'!$AH$5:$AH$1004,1,'LEAD MQL TRACKER'!$AE$5:$AE$1004,1)),"N/A")</f>
        <v>N/A</v>
      </c>
    </row>
    <row r="17" ht="18" customHeight="1">
      <c r="B17" s="32" t="inlineStr">
        <is>
          <t>CAMPAIGN KPIs</t>
        </is>
      </c>
      <c r="C17" s="33" t="n"/>
      <c r="D17" s="33" t="n"/>
      <c r="E17" s="33" t="n"/>
      <c r="F17" s="33" t="n"/>
      <c r="G17" s="33" t="n"/>
      <c r="H17" s="33" t="n"/>
      <c r="I17" s="33" t="n"/>
      <c r="K17" s="32" t="inlineStr">
        <is>
          <t>PERFORMANCE KPIs (where data is available)</t>
        </is>
      </c>
      <c r="L17" s="33" t="n"/>
      <c r="M17" s="33" t="n"/>
      <c r="N17" s="33" t="n"/>
      <c r="O17" s="33" t="n"/>
      <c r="P17" s="33" t="n"/>
      <c r="Q17" s="33" t="n"/>
      <c r="R17" s="33" t="n"/>
    </row>
    <row r="18" ht="24" customHeight="1">
      <c r="B18" s="21" t="inlineStr">
        <is>
          <t>ACTIVE CAMPAIGNS</t>
        </is>
      </c>
      <c r="C18" s="21" t="inlineStr">
        <is>
          <t>CAMPAIGNS LAUNCHED</t>
        </is>
      </c>
      <c r="D18" s="21" t="inlineStr">
        <is>
          <t>LIVE</t>
        </is>
      </c>
      <c r="E18" s="21" t="inlineStr">
        <is>
          <t>UNDER OPTIMIZATION</t>
        </is>
      </c>
      <c r="F18" s="21" t="inlineStr">
        <is>
          <t>REQUIRING ATTENTION</t>
        </is>
      </c>
      <c r="G18" s="21" t="inlineStr">
        <is>
          <t>COMPLETED</t>
        </is>
      </c>
      <c r="H18" s="21" t="inlineStr">
        <is>
          <t>PAUSED</t>
        </is>
      </c>
      <c r="I18" s="21" t="inlineStr">
        <is>
          <t>PLANNED / IN PREP.</t>
        </is>
      </c>
      <c r="K18" s="21" t="inlineStr">
        <is>
          <t>EMAILS SENT</t>
        </is>
      </c>
      <c r="L18" s="21" t="inlineStr">
        <is>
          <t>OPEN RATE</t>
        </is>
      </c>
      <c r="M18" s="21" t="inlineStr">
        <is>
          <t>CTR (EMAIL)</t>
        </is>
      </c>
      <c r="N18" s="21" t="inlineStr">
        <is>
          <t>REPLY RATE</t>
        </is>
      </c>
      <c r="O18" s="21" t="inlineStr">
        <is>
          <t>POSITIVE RESPONSE %</t>
        </is>
      </c>
      <c r="P18" s="21" t="inlineStr">
        <is>
          <t>AD SPEND</t>
        </is>
      </c>
      <c r="Q18" s="21" t="inlineStr">
        <is>
          <t>CPL (PAID)</t>
        </is>
      </c>
      <c r="R18" s="21" t="inlineStr">
        <is>
          <t>CONV. RATE (PAID)</t>
        </is>
      </c>
    </row>
    <row r="19" ht="34" customHeight="1">
      <c r="B19" s="34">
        <f>COUNTIFS('CAMPAIGN MASTER'!$AK$5:$AK$704,1,'CAMPAIGN MASTER'!$AM$5:$AM$704,1)</f>
        <v>0</v>
      </c>
      <c r="C19" s="34">
        <f>COUNTIFS('CAMPAIGN MASTER'!$AK$5:$AK$704,1,'CAMPAIGN MASTER'!$AN$5:$AN$704,1,'CAMPAIGN MASTER'!$AJ$5:$AJ$704,IF(fMonth="All","&lt;&gt;@@",fMonth))</f>
        <v>0</v>
      </c>
      <c r="D19" s="34">
        <f>COUNTIFS('CAMPAIGN MASTER'!$AK$5:$AK$704,1,'CAMPAIGN MASTER'!$N$5:$N$704,"Live")</f>
        <v>0</v>
      </c>
      <c r="E19" s="34">
        <f>COUNTIFS('CAMPAIGN MASTER'!$AK$5:$AK$704,1,'CAMPAIGN MASTER'!$N$5:$N$704,"Optimizing")</f>
        <v>0</v>
      </c>
      <c r="F19" s="34">
        <f>SUMIFS('CAMPAIGN MASTER'!$AS$5:$AS$704,'CAMPAIGN MASTER'!$AK$5:$AK$704,1)</f>
        <v>0</v>
      </c>
      <c r="G19" s="34">
        <f>COUNTIFS('CAMPAIGN MASTER'!$AK$5:$AK$704,1,'CAMPAIGN MASTER'!$N$5:$N$704,"Completed")</f>
        <v>0</v>
      </c>
      <c r="H19" s="34">
        <f>COUNTIFS('CAMPAIGN MASTER'!$AK$5:$AK$704,1,'CAMPAIGN MASTER'!$N$5:$N$704,"Paused")</f>
        <v>0</v>
      </c>
      <c r="I19" s="34">
        <f>COUNTIFS('CAMPAIGN MASTER'!$AK$5:$AK$704,1,'CAMPAIGN MASTER'!$N$5:$N$704,"Planned")+COUNTIFS('CAMPAIGN MASTER'!$AK$5:$AK$704,1,'CAMPAIGN MASTER'!$N$5:$N$704,"In Preparation")</f>
        <v>0</v>
      </c>
      <c r="K19" s="34">
        <f>SUMIFS('EMAIL MARKETING'!$F$5:$F$804,'EMAIL MARKETING'!$Y$5:$Y$804,1)</f>
        <v>0</v>
      </c>
      <c r="L19" s="35" t="str">
        <f>IFERROR((SUMIFS('EMAIL MARKETING'!$I$5:$I$804,'EMAIL MARKETING'!$Y$5:$Y$804,1))/(SUMIFS('EMAIL MARKETING'!$W$5:$W$804,'EMAIL MARKETING'!$Y$5:$Y$804,1)),"N/A")</f>
        <v>N/A</v>
      </c>
      <c r="M19" s="35" t="str">
        <f>IFERROR((SUMIFS('EMAIL MARKETING'!$K$5:$K$804,'EMAIL MARKETING'!$Y$5:$Y$804,1))/(SUMIFS('EMAIL MARKETING'!$W$5:$W$804,'EMAIL MARKETING'!$Y$5:$Y$804,1)),"N/A")</f>
        <v>N/A</v>
      </c>
      <c r="N19" s="35" t="str">
        <f>IFERROR((SUMIFS('EMAIL MARKETING'!$M$5:$M$804,'EMAIL MARKETING'!$Y$5:$Y$804,1))/(SUMIFS('EMAIL MARKETING'!$W$5:$W$804,'EMAIL MARKETING'!$Y$5:$Y$804,1)),"N/A")</f>
        <v>N/A</v>
      </c>
      <c r="O19" s="35" t="str">
        <f>IFERROR((SUMIFS('EMAIL MARKETING'!$O$5:$O$804,'EMAIL MARKETING'!$Y$5:$Y$804,1))/(SUMIFS('EMAIL MARKETING'!$W$5:$W$804,'EMAIL MARKETING'!$Y$5:$Y$804,1)),"N/A")</f>
        <v>N/A</v>
      </c>
      <c r="P19" s="34">
        <f>SUMIFS('PAID MEDIA ADS'!$G$5:$G$804,'PAID MEDIA ADS'!$V$5:$V$804,1)</f>
        <v>0</v>
      </c>
      <c r="Q19" s="36" t="str">
        <f>IFERROR((SUMIFS('PAID MEDIA ADS'!$G$5:$G$804,'PAID MEDIA ADS'!$V$5:$V$804,1))/(SUMIFS('PAID MEDIA ADS'!$M$5:$M$804,'PAID MEDIA ADS'!$V$5:$V$804,1)),"N/A")</f>
        <v>N/A</v>
      </c>
      <c r="R19" s="35" t="str">
        <f>IFERROR((SUMIFS('PAID MEDIA ADS'!$M$5:$M$804,'PAID MEDIA ADS'!$V$5:$V$804,1))/(SUMIFS('PAID MEDIA ADS'!$J$5:$J$804,'PAID MEDIA ADS'!$V$5:$V$804,1)),"N/A")</f>
        <v>N/A</v>
      </c>
    </row>
    <row r="22" ht="20" customHeight="1">
      <c r="B22" s="37" t="inlineStr">
        <is>
          <t>LEAD FUNNEL (respects filters)</t>
        </is>
      </c>
      <c r="C22" s="33" t="n"/>
      <c r="D22" s="33" t="n"/>
      <c r="E22" s="33" t="n"/>
      <c r="F22" s="33" t="n"/>
      <c r="G22" s="33" t="n"/>
      <c r="H22" s="33" t="n"/>
      <c r="I22" s="33" t="n"/>
      <c r="K22" s="37" t="inlineStr">
        <is>
          <t>FUNNEL &amp; TASK-STATUS CHARTS</t>
        </is>
      </c>
      <c r="L22" s="33" t="n"/>
      <c r="M22" s="33" t="n"/>
      <c r="N22" s="33" t="n"/>
      <c r="O22" s="33" t="n"/>
      <c r="P22" s="33" t="n"/>
      <c r="Q22" s="33" t="n"/>
      <c r="R22" s="33" t="n"/>
    </row>
    <row r="23" ht="22" customHeight="1">
      <c r="B23" s="38" t="inlineStr">
        <is>
          <t>Stage</t>
        </is>
      </c>
      <c r="C23" s="39" t="n"/>
      <c r="D23" s="39" t="n"/>
      <c r="E23" s="38" t="inlineStr">
        <is>
          <t>Count</t>
        </is>
      </c>
      <c r="F23" s="38" t="inlineStr">
        <is>
          <t>Step Conv. %</t>
        </is>
      </c>
      <c r="G23" s="39" t="n"/>
      <c r="H23" s="38" t="inlineStr">
        <is>
          <t>% of Leads</t>
        </is>
      </c>
      <c r="I23" s="39" t="n"/>
    </row>
    <row r="24">
      <c r="B24" s="40" t="inlineStr">
        <is>
          <t>Digital Handraisers</t>
        </is>
      </c>
      <c r="C24" s="41" t="n"/>
      <c r="D24" s="41" t="n"/>
      <c r="E24" s="42">
        <f>(COUNTIFS('LEAD MQL TRACKER'!$AH$5:$AH$1004,1,'LEAD MQL TRACKER'!$AC$5:$AC$1004,1)+SUMIFS('LINKEDIN OUTREACH'!$M$5:$M$704,'LINKEDIN OUTREACH'!$T$5:$T$704,1))</f>
        <v>0</v>
      </c>
      <c r="F24" s="43" t="str">
        <f>"n/a"</f>
        <v>n/a</v>
      </c>
      <c r="G24" s="41" t="n"/>
      <c r="H24" s="43" t="str">
        <f>IFERROR(E24/$E$25,"–")</f>
        <v>–</v>
      </c>
      <c r="I24" s="41" t="n"/>
    </row>
    <row r="25">
      <c r="B25" s="40" t="inlineStr">
        <is>
          <t>Leads</t>
        </is>
      </c>
      <c r="C25" s="41" t="n"/>
      <c r="D25" s="41" t="n"/>
      <c r="E25" s="42">
        <f>(COUNTIFS('LEAD MQL TRACKER'!$AH$5:$AH$1004,1)+SUMIFS('EMAIL MARKETING'!$Q$5:$Q$804,'EMAIL MARKETING'!$Y$5:$Y$804,1)+SUMIFS('PAID MEDIA ADS'!$M$5:$M$804,'PAID MEDIA ADS'!$V$5:$V$804,1)+SUMIFS('LINKEDIN OUTREACH'!$N$5:$N$704,'LINKEDIN OUTREACH'!$T$5:$T$704,1)+SUMIFS('WEBSITE CONTENT SEO'!$L$5:$L$804,'WEBSITE CONTENT SEO'!$W$5:$W$804,1))</f>
        <v>0</v>
      </c>
      <c r="F25" s="43" t="str">
        <f>"n/a"</f>
        <v>n/a</v>
      </c>
      <c r="G25" s="41" t="n"/>
      <c r="H25" s="43" t="str">
        <f>IFERROR(E25/$E$25,"–")</f>
        <v>–</v>
      </c>
      <c r="I25" s="41" t="n"/>
    </row>
    <row r="26">
      <c r="B26" s="40" t="inlineStr">
        <is>
          <t>MQLs</t>
        </is>
      </c>
      <c r="C26" s="41" t="n"/>
      <c r="D26" s="41" t="n"/>
      <c r="E26" s="42">
        <f>(COUNTIFS('LEAD MQL TRACKER'!$AH$5:$AH$1004,1,'LEAD MQL TRACKER'!$AD$5:$AD$1004,1)+SUMIFS('EMAIL MARKETING'!$R$5:$R$804,'EMAIL MARKETING'!$Y$5:$Y$804,1)+SUMIFS('PAID MEDIA ADS'!$N$5:$N$804,'PAID MEDIA ADS'!$V$5:$V$804,1)+SUMIFS('LINKEDIN OUTREACH'!$O$5:$O$704,'LINKEDIN OUTREACH'!$T$5:$T$704,1))</f>
        <v>0</v>
      </c>
      <c r="F26" s="43" t="str">
        <f>IFERROR(E26/E25,"–")</f>
        <v>–</v>
      </c>
      <c r="G26" s="41" t="n"/>
      <c r="H26" s="43" t="str">
        <f>IFERROR(E26/$E$25,"–")</f>
        <v>–</v>
      </c>
      <c r="I26" s="41" t="n"/>
    </row>
    <row r="27">
      <c r="B27" s="40" t="inlineStr">
        <is>
          <t>SQLs</t>
        </is>
      </c>
      <c r="C27" s="41" t="n"/>
      <c r="D27" s="41" t="n"/>
      <c r="E27" s="42">
        <f>COUNTIFS('LEAD MQL TRACKER'!$AH$5:$AH$1004,1,'LEAD MQL TRACKER'!$AE$5:$AE$1004,1)</f>
        <v>0</v>
      </c>
      <c r="F27" s="43" t="str">
        <f>IFERROR(E27/E26,"–")</f>
        <v>–</v>
      </c>
      <c r="G27" s="41" t="n"/>
      <c r="H27" s="43" t="str">
        <f>IFERROR(E27/$E$25,"–")</f>
        <v>–</v>
      </c>
      <c r="I27" s="41" t="n"/>
    </row>
    <row r="28">
      <c r="B28" s="40" t="inlineStr">
        <is>
          <t>Opportunities</t>
        </is>
      </c>
      <c r="C28" s="41" t="n"/>
      <c r="D28" s="41" t="n"/>
      <c r="E28" s="42">
        <f>COUNTIFS('LEAD MQL TRACKER'!$AH$5:$AH$1004,1,'LEAD MQL TRACKER'!$AF$5:$AF$1004,1)</f>
        <v>0</v>
      </c>
      <c r="F28" s="43" t="str">
        <f>IFERROR(E28/E27,"–")</f>
        <v>–</v>
      </c>
      <c r="G28" s="41" t="n"/>
      <c r="H28" s="43" t="str">
        <f>IFERROR(E28/$E$25,"–")</f>
        <v>–</v>
      </c>
      <c r="I28" s="41" t="n"/>
    </row>
    <row r="29">
      <c r="B29" s="40" t="inlineStr">
        <is>
          <t>Converted / Won</t>
        </is>
      </c>
      <c r="C29" s="41" t="n"/>
      <c r="D29" s="41" t="n"/>
      <c r="E29" s="42">
        <f>COUNTIFS('LEAD MQL TRACKER'!$AH$5:$AH$1004,1,'LEAD MQL TRACKER'!$AG$5:$AG$1004,1)</f>
        <v>0</v>
      </c>
      <c r="F29" s="43" t="str">
        <f>IFERROR(E29/E28,"–")</f>
        <v>–</v>
      </c>
      <c r="G29" s="41" t="n"/>
      <c r="H29" s="43" t="str">
        <f>IFERROR(E29/$E$25,"–")</f>
        <v>–</v>
      </c>
      <c r="I29" s="41" t="n"/>
    </row>
    <row r="30" ht="24" customHeight="1">
      <c r="B30" s="20" t="inlineStr">
        <is>
          <t>Handraisers are a subset of Leads; step conversion applies from Leads &gt; MQL onwards. Leads include lead-level records plus channel summary counts (Email / Paid / LinkedIn / Web).</t>
        </is>
      </c>
    </row>
    <row r="32" ht="20" customHeight="1">
      <c r="B32" s="37" t="inlineStr">
        <is>
          <t>TASKS BY STATUS (respects filters)</t>
        </is>
      </c>
      <c r="C32" s="33" t="n"/>
      <c r="D32" s="33" t="n"/>
      <c r="E32" s="33" t="n"/>
      <c r="F32" s="33" t="n"/>
      <c r="G32" s="33" t="n"/>
      <c r="H32" s="33" t="n"/>
      <c r="I32" s="33" t="n"/>
    </row>
    <row r="33" ht="22" customHeight="1">
      <c r="B33" s="38" t="inlineStr">
        <is>
          <t>Status</t>
        </is>
      </c>
      <c r="C33" s="39" t="n"/>
      <c r="D33" s="39" t="n"/>
      <c r="E33" s="38" t="inlineStr">
        <is>
          <t>Tasks</t>
        </is>
      </c>
      <c r="F33" s="39" t="n"/>
      <c r="G33" s="38" t="inlineStr">
        <is>
          <t>% of Total</t>
        </is>
      </c>
      <c r="H33" s="39" t="n"/>
      <c r="I33" s="39" t="n"/>
    </row>
    <row r="34">
      <c r="B34" s="44" t="inlineStr">
        <is>
          <t>Not Started</t>
        </is>
      </c>
      <c r="C34" s="41" t="n"/>
      <c r="D34" s="41" t="n"/>
      <c r="E34" s="45">
        <f>COUNTIFS('DAILY TASK TRACKER'!$AI$5:$AI$1504,1,'DAILY TASK TRACKER'!$M$5:$M$1504,"Not Started")</f>
        <v>0</v>
      </c>
      <c r="F34" s="41" t="n"/>
      <c r="G34" s="43">
        <f>IFERROR(E34/COUNTIFS('DAILY TASK TRACKER'!$AI$5:$AI$1504,1),"–")</f>
        <v>0</v>
      </c>
      <c r="H34" s="41" t="n"/>
      <c r="I34" s="41" t="n"/>
    </row>
    <row r="35">
      <c r="B35" s="44" t="inlineStr">
        <is>
          <t>In Progress</t>
        </is>
      </c>
      <c r="C35" s="41" t="n"/>
      <c r="D35" s="41" t="n"/>
      <c r="E35" s="45">
        <f>COUNTIFS('DAILY TASK TRACKER'!$AI$5:$AI$1504,1,'DAILY TASK TRACKER'!$M$5:$M$1504,"In Progress")</f>
        <v>0</v>
      </c>
      <c r="F35" s="41" t="n"/>
      <c r="G35" s="43">
        <f>IFERROR(E35/COUNTIFS('DAILY TASK TRACKER'!$AI$5:$AI$1504,1),"–")</f>
        <v>0</v>
      </c>
      <c r="H35" s="41" t="n"/>
      <c r="I35" s="41" t="n"/>
    </row>
    <row r="36">
      <c r="B36" s="44" t="inlineStr">
        <is>
          <t>Completed</t>
        </is>
      </c>
      <c r="C36" s="41" t="n"/>
      <c r="D36" s="41" t="n"/>
      <c r="E36" s="45">
        <f>COUNTIFS('DAILY TASK TRACKER'!$AI$5:$AI$1504,1,'DAILY TASK TRACKER'!$M$5:$M$1504,"Completed")</f>
        <v>0</v>
      </c>
      <c r="F36" s="41" t="n"/>
      <c r="G36" s="43">
        <f>IFERROR(E36/COUNTIFS('DAILY TASK TRACKER'!$AI$5:$AI$1504,1),"–")</f>
        <v>0</v>
      </c>
      <c r="H36" s="41" t="n"/>
      <c r="I36" s="41" t="n"/>
    </row>
    <row r="37">
      <c r="B37" s="44" t="inlineStr">
        <is>
          <t>On Hold</t>
        </is>
      </c>
      <c r="C37" s="41" t="n"/>
      <c r="D37" s="41" t="n"/>
      <c r="E37" s="45">
        <f>COUNTIFS('DAILY TASK TRACKER'!$AI$5:$AI$1504,1,'DAILY TASK TRACKER'!$M$5:$M$1504,"On Hold")</f>
        <v>0</v>
      </c>
      <c r="F37" s="41" t="n"/>
      <c r="G37" s="43">
        <f>IFERROR(E37/COUNTIFS('DAILY TASK TRACKER'!$AI$5:$AI$1504,1),"–")</f>
        <v>0</v>
      </c>
      <c r="H37" s="41" t="n"/>
      <c r="I37" s="41" t="n"/>
    </row>
    <row r="38">
      <c r="B38" s="44" t="inlineStr">
        <is>
          <t>Blocked</t>
        </is>
      </c>
      <c r="C38" s="41" t="n"/>
      <c r="D38" s="41" t="n"/>
      <c r="E38" s="45">
        <f>COUNTIFS('DAILY TASK TRACKER'!$AI$5:$AI$1504,1,'DAILY TASK TRACKER'!$M$5:$M$1504,"Blocked")</f>
        <v>0</v>
      </c>
      <c r="F38" s="41" t="n"/>
      <c r="G38" s="43">
        <f>IFERROR(E38/COUNTIFS('DAILY TASK TRACKER'!$AI$5:$AI$1504,1),"–")</f>
        <v>0</v>
      </c>
      <c r="H38" s="41" t="n"/>
      <c r="I38" s="41" t="n"/>
    </row>
    <row r="39">
      <c r="B39" s="44" t="inlineStr">
        <is>
          <t>Cancelled</t>
        </is>
      </c>
      <c r="C39" s="41" t="n"/>
      <c r="D39" s="41" t="n"/>
      <c r="E39" s="45">
        <f>COUNTIFS('DAILY TASK TRACKER'!$AI$5:$AI$1504,1,'DAILY TASK TRACKER'!$M$5:$M$1504,"Cancelled")</f>
        <v>0</v>
      </c>
      <c r="F39" s="41" t="n"/>
      <c r="G39" s="43">
        <f>IFERROR(E39/COUNTIFS('DAILY TASK TRACKER'!$AI$5:$AI$1504,1),"–")</f>
        <v>0</v>
      </c>
      <c r="H39" s="41" t="n"/>
      <c r="I39" s="41" t="n"/>
    </row>
    <row r="40">
      <c r="B40" s="44" t="inlineStr">
        <is>
          <t>Status Not Updated</t>
        </is>
      </c>
      <c r="C40" s="41" t="n"/>
      <c r="D40" s="41" t="n"/>
      <c r="E40" s="45">
        <f>COUNTIFS('DAILY TASK TRACKER'!$AI$5:$AI$1504,1)-SUM(E34:E39)</f>
        <v>58</v>
      </c>
      <c r="F40" s="41" t="n"/>
      <c r="G40" s="43">
        <f>IFERROR(E40/COUNTIFS('DAILY TASK TRACKER'!$AI$5:$AI$1504,1),"–")</f>
        <v>1</v>
      </c>
      <c r="H40" s="41" t="n"/>
      <c r="I40" s="41" t="n"/>
    </row>
    <row r="43" ht="20" customHeight="1">
      <c r="B43" s="37" t="inlineStr">
        <is>
          <t>LEAD GENERATION SNAPSHOT (Q8 / Q9 - respects Client, Campaign, Team, Channel filters)</t>
        </is>
      </c>
      <c r="C43" s="33" t="n"/>
      <c r="D43" s="33" t="n"/>
      <c r="E43" s="33" t="n"/>
      <c r="F43" s="33" t="n"/>
      <c r="G43" s="33" t="n"/>
      <c r="H43" s="33" t="n"/>
      <c r="I43" s="33" t="n"/>
    </row>
    <row r="44" ht="22" customHeight="1">
      <c r="B44" s="38" t="inlineStr">
        <is>
          <t>Metric</t>
        </is>
      </c>
      <c r="C44" s="39" t="n"/>
      <c r="D44" s="39" t="n"/>
      <c r="E44" s="38" t="inlineStr">
        <is>
          <t>Yesterday</t>
        </is>
      </c>
      <c r="F44" s="38" t="inlineStr">
        <is>
          <t>Week to Date</t>
        </is>
      </c>
      <c r="G44" s="38" t="inlineStr">
        <is>
          <t>Month to Date</t>
        </is>
      </c>
      <c r="H44" s="38" t="inlineStr">
        <is>
          <t>Previous Month</t>
        </is>
      </c>
      <c r="I44" s="38" t="inlineStr">
        <is>
          <t>All Time</t>
        </is>
      </c>
    </row>
    <row r="45">
      <c r="B45" s="40" t="inlineStr">
        <is>
          <t>Leads Generated</t>
        </is>
      </c>
      <c r="C45" s="41" t="n"/>
      <c r="D45" s="41" t="n"/>
      <c r="E45" s="46">
        <f>(COUNTIFS('LEAD MQL TRACKER'!$AI$5:$AI$1004,1,'LEAD MQL TRACKER'!$Z$5:$Z$1004,"&gt;="&amp;(ReportDate-1),'LEAD MQL TRACKER'!$Z$5:$Z$1004,"&lt;="&amp;(ReportDate-1))+SUMIFS('EMAIL MARKETING'!$Q$5:$Q$804,'EMAIL MARKETING'!$Z$5:$Z$804,1,'EMAIL MARKETING'!$A$5:$A$804,"&gt;="&amp;(ReportDate-1),'EMAIL MARKETING'!$A$5:$A$804,"&lt;="&amp;(ReportDate-1))+SUMIFS('PAID MEDIA ADS'!$M$5:$M$804,'PAID MEDIA ADS'!$W$5:$W$804,1,'PAID MEDIA ADS'!$A$5:$A$804,"&gt;="&amp;(ReportDate-1),'PAID MEDIA ADS'!$A$5:$A$804,"&lt;="&amp;(ReportDate-1))+SUMIFS('LINKEDIN OUTREACH'!$N$5:$N$704,'LINKEDIN OUTREACH'!$U$5:$U$704,1,'LINKEDIN OUTREACH'!$A$5:$A$704,"&gt;="&amp;(ReportDate-1),'LINKEDIN OUTREACH'!$A$5:$A$704,"&lt;="&amp;(ReportDate-1))+SUMIFS('WEBSITE CONTENT SEO'!$L$5:$L$804,'WEBSITE CONTENT SEO'!$X$5:$X$804,1,'WEBSITE CONTENT SEO'!$A$5:$A$804,"&gt;="&amp;(ReportDate-1),'WEBSITE CONTENT SEO'!$A$5:$A$804,"&lt;="&amp;(ReportDate-1)))</f>
        <v>0</v>
      </c>
      <c r="F45" s="46">
        <f>(COUNTIFS('LEAD MQL TRACKER'!$AI$5:$AI$1004,1,'LEAD MQL TRACKER'!$Z$5:$Z$1004,"&gt;="&amp;(ReportDate-WEEKDAY(ReportDate,2)+1),'LEAD MQL TRACKER'!$Z$5:$Z$1004,"&lt;="&amp;(ReportDate))+SUMIFS('EMAIL MARKETING'!$Q$5:$Q$804,'EMAIL MARKETING'!$Z$5:$Z$804,1,'EMAIL MARKETING'!$A$5:$A$804,"&gt;="&amp;(ReportDate-WEEKDAY(ReportDate,2)+1),'EMAIL MARKETING'!$A$5:$A$804,"&lt;="&amp;(ReportDate))+SUMIFS('PAID MEDIA ADS'!$M$5:$M$804,'PAID MEDIA ADS'!$W$5:$W$804,1,'PAID MEDIA ADS'!$A$5:$A$804,"&gt;="&amp;(ReportDate-WEEKDAY(ReportDate,2)+1),'PAID MEDIA ADS'!$A$5:$A$804,"&lt;="&amp;(ReportDate))+SUMIFS('LINKEDIN OUTREACH'!$N$5:$N$704,'LINKEDIN OUTREACH'!$U$5:$U$704,1,'LINKEDIN OUTREACH'!$A$5:$A$704,"&gt;="&amp;(ReportDate-WEEKDAY(ReportDate,2)+1),'LINKEDIN OUTREACH'!$A$5:$A$704,"&lt;="&amp;(ReportDate))+SUMIFS('WEBSITE CONTENT SEO'!$L$5:$L$804,'WEBSITE CONTENT SEO'!$X$5:$X$804,1,'WEBSITE CONTENT SEO'!$A$5:$A$804,"&gt;="&amp;(ReportDate-WEEKDAY(ReportDate,2)+1),'WEBSITE CONTENT SEO'!$A$5:$A$804,"&lt;="&amp;(ReportDate)))</f>
        <v>0</v>
      </c>
      <c r="G45" s="46">
        <f>(COUNTIFS('LEAD MQL TRACKER'!$AI$5:$AI$1004,1,'LEAD MQL TRACKER'!$Z$5:$Z$1004,"&gt;="&amp;(DATE(YEAR(ReportDate),MONTH(ReportDate),1)),'LEAD MQL TRACKER'!$Z$5:$Z$1004,"&lt;="&amp;(ReportDate))+SUMIFS('EMAIL MARKETING'!$Q$5:$Q$804,'EMAIL MARKETING'!$Z$5:$Z$804,1,'EMAIL MARKETING'!$A$5:$A$804,"&gt;="&amp;(DATE(YEAR(ReportDate),MONTH(ReportDate),1)),'EMAIL MARKETING'!$A$5:$A$804,"&lt;="&amp;(ReportDate))+SUMIFS('PAID MEDIA ADS'!$M$5:$M$804,'PAID MEDIA ADS'!$W$5:$W$804,1,'PAID MEDIA ADS'!$A$5:$A$804,"&gt;="&amp;(DATE(YEAR(ReportDate),MONTH(ReportDate),1)),'PAID MEDIA ADS'!$A$5:$A$804,"&lt;="&amp;(ReportDate))+SUMIFS('LINKEDIN OUTREACH'!$N$5:$N$704,'LINKEDIN OUTREACH'!$U$5:$U$704,1,'LINKEDIN OUTREACH'!$A$5:$A$704,"&gt;="&amp;(DATE(YEAR(ReportDate),MONTH(ReportDate),1)),'LINKEDIN OUTREACH'!$A$5:$A$704,"&lt;="&amp;(ReportDate))+SUMIFS('WEBSITE CONTENT SEO'!$L$5:$L$804,'WEBSITE CONTENT SEO'!$X$5:$X$804,1,'WEBSITE CONTENT SEO'!$A$5:$A$804,"&gt;="&amp;(DATE(YEAR(ReportDate),MONTH(ReportDate),1)),'WEBSITE CONTENT SEO'!$A$5:$A$804,"&lt;="&amp;(ReportDate)))</f>
        <v>0</v>
      </c>
      <c r="H45" s="46">
        <f>(COUNTIFS('LEAD MQL TRACKER'!$AI$5:$AI$1004,1,'LEAD MQL TRACKER'!$Z$5:$Z$1004,"&gt;="&amp;(EDATE(DATE(YEAR(ReportDate),MONTH(ReportDate),1),-1)),'LEAD MQL TRACKER'!$Z$5:$Z$1004,"&lt;="&amp;(DATE(YEAR(ReportDate),MONTH(ReportDate),1)-1))+SUMIFS('EMAIL MARKETING'!$Q$5:$Q$804,'EMAIL MARKETING'!$Z$5:$Z$804,1,'EMAIL MARKETING'!$A$5:$A$804,"&gt;="&amp;(EDATE(DATE(YEAR(ReportDate),MONTH(ReportDate),1),-1)),'EMAIL MARKETING'!$A$5:$A$804,"&lt;="&amp;(DATE(YEAR(ReportDate),MONTH(ReportDate),1)-1))+SUMIFS('PAID MEDIA ADS'!$M$5:$M$804,'PAID MEDIA ADS'!$W$5:$W$804,1,'PAID MEDIA ADS'!$A$5:$A$804,"&gt;="&amp;(EDATE(DATE(YEAR(ReportDate),MONTH(ReportDate),1),-1)),'PAID MEDIA ADS'!$A$5:$A$804,"&lt;="&amp;(DATE(YEAR(ReportDate),MONTH(ReportDate),1)-1))+SUMIFS('LINKEDIN OUTREACH'!$N$5:$N$704,'LINKEDIN OUTREACH'!$U$5:$U$704,1,'LINKEDIN OUTREACH'!$A$5:$A$704,"&gt;="&amp;(EDATE(DATE(YEAR(ReportDate),MONTH(ReportDate),1),-1)),'LINKEDIN OUTREACH'!$A$5:$A$704,"&lt;="&amp;(DATE(YEAR(ReportDate),MONTH(ReportDate),1)-1))+SUMIFS('WEBSITE CONTENT SEO'!$L$5:$L$804,'WEBSITE CONTENT SEO'!$X$5:$X$804,1,'WEBSITE CONTENT SEO'!$A$5:$A$804,"&gt;="&amp;(EDATE(DATE(YEAR(ReportDate),MONTH(ReportDate),1),-1)),'WEBSITE CONTENT SEO'!$A$5:$A$804,"&lt;="&amp;(DATE(YEAR(ReportDate),MONTH(ReportDate),1)-1)))</f>
        <v>0</v>
      </c>
      <c r="I45" s="46">
        <f>(COUNTIFS('LEAD MQL TRACKER'!$AI$5:$AI$1004,1)+SUMIFS('EMAIL MARKETING'!$Q$5:$Q$804,'EMAIL MARKETING'!$Z$5:$Z$804,1)+SUMIFS('PAID MEDIA ADS'!$M$5:$M$804,'PAID MEDIA ADS'!$W$5:$W$804,1)+SUMIFS('LINKEDIN OUTREACH'!$N$5:$N$704,'LINKEDIN OUTREACH'!$U$5:$U$704,1)+SUMIFS('WEBSITE CONTENT SEO'!$L$5:$L$804,'WEBSITE CONTENT SEO'!$X$5:$X$804,1))</f>
        <v>0</v>
      </c>
    </row>
    <row r="46">
      <c r="B46" s="40" t="inlineStr">
        <is>
          <t>Digital Handraisers</t>
        </is>
      </c>
      <c r="C46" s="41" t="n"/>
      <c r="D46" s="41" t="n"/>
      <c r="E46" s="46">
        <f>(COUNTIFS('LEAD MQL TRACKER'!$AI$5:$AI$1004,1,'LEAD MQL TRACKER'!$Z$5:$Z$1004,"&gt;="&amp;(ReportDate-1),'LEAD MQL TRACKER'!$Z$5:$Z$1004,"&lt;="&amp;(ReportDate-1),'LEAD MQL TRACKER'!$AC$5:$AC$1004,1)+SUMIFS('LINKEDIN OUTREACH'!$M$5:$M$704,'LINKEDIN OUTREACH'!$U$5:$U$704,1,'LINKEDIN OUTREACH'!$A$5:$A$704,"&gt;="&amp;(ReportDate-1),'LINKEDIN OUTREACH'!$A$5:$A$704,"&lt;="&amp;(ReportDate-1)))</f>
        <v>0</v>
      </c>
      <c r="F46" s="46">
        <f>(COUNTIFS('LEAD MQL TRACKER'!$AI$5:$AI$1004,1,'LEAD MQL TRACKER'!$Z$5:$Z$1004,"&gt;="&amp;(ReportDate-WEEKDAY(ReportDate,2)+1),'LEAD MQL TRACKER'!$Z$5:$Z$1004,"&lt;="&amp;(ReportDate),'LEAD MQL TRACKER'!$AC$5:$AC$1004,1)+SUMIFS('LINKEDIN OUTREACH'!$M$5:$M$704,'LINKEDIN OUTREACH'!$U$5:$U$704,1,'LINKEDIN OUTREACH'!$A$5:$A$704,"&gt;="&amp;(ReportDate-WEEKDAY(ReportDate,2)+1),'LINKEDIN OUTREACH'!$A$5:$A$704,"&lt;="&amp;(ReportDate)))</f>
        <v>0</v>
      </c>
      <c r="G46" s="46">
        <f>(COUNTIFS('LEAD MQL TRACKER'!$AI$5:$AI$1004,1,'LEAD MQL TRACKER'!$Z$5:$Z$1004,"&gt;="&amp;(DATE(YEAR(ReportDate),MONTH(ReportDate),1)),'LEAD MQL TRACKER'!$Z$5:$Z$1004,"&lt;="&amp;(ReportDate),'LEAD MQL TRACKER'!$AC$5:$AC$1004,1)+SUMIFS('LINKEDIN OUTREACH'!$M$5:$M$704,'LINKEDIN OUTREACH'!$U$5:$U$704,1,'LINKEDIN OUTREACH'!$A$5:$A$704,"&gt;="&amp;(DATE(YEAR(ReportDate),MONTH(ReportDate),1)),'LINKEDIN OUTREACH'!$A$5:$A$704,"&lt;="&amp;(ReportDate)))</f>
        <v>0</v>
      </c>
      <c r="H46" s="46">
        <f>(COUNTIFS('LEAD MQL TRACKER'!$AI$5:$AI$1004,1,'LEAD MQL TRACKER'!$Z$5:$Z$1004,"&gt;="&amp;(EDATE(DATE(YEAR(ReportDate),MONTH(ReportDate),1),-1)),'LEAD MQL TRACKER'!$Z$5:$Z$1004,"&lt;="&amp;(DATE(YEAR(ReportDate),MONTH(ReportDate),1)-1),'LEAD MQL TRACKER'!$AC$5:$AC$1004,1)+SUMIFS('LINKEDIN OUTREACH'!$M$5:$M$704,'LINKEDIN OUTREACH'!$U$5:$U$704,1,'LINKEDIN OUTREACH'!$A$5:$A$704,"&gt;="&amp;(EDATE(DATE(YEAR(ReportDate),MONTH(ReportDate),1),-1)),'LINKEDIN OUTREACH'!$A$5:$A$704,"&lt;="&amp;(DATE(YEAR(ReportDate),MONTH(ReportDate),1)-1)))</f>
        <v>0</v>
      </c>
      <c r="I46" s="46">
        <f>(COUNTIFS('LEAD MQL TRACKER'!$AI$5:$AI$1004,1,'LEAD MQL TRACKER'!$AC$5:$AC$1004,1)+SUMIFS('LINKEDIN OUTREACH'!$M$5:$M$704,'LINKEDIN OUTREACH'!$U$5:$U$704,1))</f>
        <v>0</v>
      </c>
    </row>
    <row r="47">
      <c r="B47" s="40" t="inlineStr">
        <is>
          <t>MQLs Generated</t>
        </is>
      </c>
      <c r="C47" s="41" t="n"/>
      <c r="D47" s="41" t="n"/>
      <c r="E47" s="46">
        <f>(COUNTIFS('LEAD MQL TRACKER'!$AI$5:$AI$1004,1,'LEAD MQL TRACKER'!$Z$5:$Z$1004,"&gt;="&amp;(ReportDate-1),'LEAD MQL TRACKER'!$Z$5:$Z$1004,"&lt;="&amp;(ReportDate-1),'LEAD MQL TRACKER'!$AD$5:$AD$1004,1)+SUMIFS('EMAIL MARKETING'!$R$5:$R$804,'EMAIL MARKETING'!$Z$5:$Z$804,1,'EMAIL MARKETING'!$A$5:$A$804,"&gt;="&amp;(ReportDate-1),'EMAIL MARKETING'!$A$5:$A$804,"&lt;="&amp;(ReportDate-1))+SUMIFS('PAID MEDIA ADS'!$N$5:$N$804,'PAID MEDIA ADS'!$W$5:$W$804,1,'PAID MEDIA ADS'!$A$5:$A$804,"&gt;="&amp;(ReportDate-1),'PAID MEDIA ADS'!$A$5:$A$804,"&lt;="&amp;(ReportDate-1))+SUMIFS('LINKEDIN OUTREACH'!$O$5:$O$704,'LINKEDIN OUTREACH'!$U$5:$U$704,1,'LINKEDIN OUTREACH'!$A$5:$A$704,"&gt;="&amp;(ReportDate-1),'LINKEDIN OUTREACH'!$A$5:$A$704,"&lt;="&amp;(ReportDate-1)))</f>
        <v>0</v>
      </c>
      <c r="F47" s="46">
        <f>(COUNTIFS('LEAD MQL TRACKER'!$AI$5:$AI$1004,1,'LEAD MQL TRACKER'!$Z$5:$Z$1004,"&gt;="&amp;(ReportDate-WEEKDAY(ReportDate,2)+1),'LEAD MQL TRACKER'!$Z$5:$Z$1004,"&lt;="&amp;(ReportDate),'LEAD MQL TRACKER'!$AD$5:$AD$1004,1)+SUMIFS('EMAIL MARKETING'!$R$5:$R$804,'EMAIL MARKETING'!$Z$5:$Z$804,1,'EMAIL MARKETING'!$A$5:$A$804,"&gt;="&amp;(ReportDate-WEEKDAY(ReportDate,2)+1),'EMAIL MARKETING'!$A$5:$A$804,"&lt;="&amp;(ReportDate))+SUMIFS('PAID MEDIA ADS'!$N$5:$N$804,'PAID MEDIA ADS'!$W$5:$W$804,1,'PAID MEDIA ADS'!$A$5:$A$804,"&gt;="&amp;(ReportDate-WEEKDAY(ReportDate,2)+1),'PAID MEDIA ADS'!$A$5:$A$804,"&lt;="&amp;(ReportDate))+SUMIFS('LINKEDIN OUTREACH'!$O$5:$O$704,'LINKEDIN OUTREACH'!$U$5:$U$704,1,'LINKEDIN OUTREACH'!$A$5:$A$704,"&gt;="&amp;(ReportDate-WEEKDAY(ReportDate,2)+1),'LINKEDIN OUTREACH'!$A$5:$A$704,"&lt;="&amp;(ReportDate)))</f>
        <v>0</v>
      </c>
      <c r="G47" s="46">
        <f>(COUNTIFS('LEAD MQL TRACKER'!$AI$5:$AI$1004,1,'LEAD MQL TRACKER'!$Z$5:$Z$1004,"&gt;="&amp;(DATE(YEAR(ReportDate),MONTH(ReportDate),1)),'LEAD MQL TRACKER'!$Z$5:$Z$1004,"&lt;="&amp;(ReportDate),'LEAD MQL TRACKER'!$AD$5:$AD$1004,1)+SUMIFS('EMAIL MARKETING'!$R$5:$R$804,'EMAIL MARKETING'!$Z$5:$Z$804,1,'EMAIL MARKETING'!$A$5:$A$804,"&gt;="&amp;(DATE(YEAR(ReportDate),MONTH(ReportDate),1)),'EMAIL MARKETING'!$A$5:$A$804,"&lt;="&amp;(ReportDate))+SUMIFS('PAID MEDIA ADS'!$N$5:$N$804,'PAID MEDIA ADS'!$W$5:$W$804,1,'PAID MEDIA ADS'!$A$5:$A$804,"&gt;="&amp;(DATE(YEAR(ReportDate),MONTH(ReportDate),1)),'PAID MEDIA ADS'!$A$5:$A$804,"&lt;="&amp;(ReportDate))+SUMIFS('LINKEDIN OUTREACH'!$O$5:$O$704,'LINKEDIN OUTREACH'!$U$5:$U$704,1,'LINKEDIN OUTREACH'!$A$5:$A$704,"&gt;="&amp;(DATE(YEAR(ReportDate),MONTH(ReportDate),1)),'LINKEDIN OUTREACH'!$A$5:$A$704,"&lt;="&amp;(ReportDate)))</f>
        <v>0</v>
      </c>
      <c r="H47" s="46">
        <f>(COUNTIFS('LEAD MQL TRACKER'!$AI$5:$AI$1004,1,'LEAD MQL TRACKER'!$Z$5:$Z$1004,"&gt;="&amp;(EDATE(DATE(YEAR(ReportDate),MONTH(ReportDate),1),-1)),'LEAD MQL TRACKER'!$Z$5:$Z$1004,"&lt;="&amp;(DATE(YEAR(ReportDate),MONTH(ReportDate),1)-1),'LEAD MQL TRACKER'!$AD$5:$AD$1004,1)+SUMIFS('EMAIL MARKETING'!$R$5:$R$804,'EMAIL MARKETING'!$Z$5:$Z$804,1,'EMAIL MARKETING'!$A$5:$A$804,"&gt;="&amp;(EDATE(DATE(YEAR(ReportDate),MONTH(ReportDate),1),-1)),'EMAIL MARKETING'!$A$5:$A$804,"&lt;="&amp;(DATE(YEAR(ReportDate),MONTH(ReportDate),1)-1))+SUMIFS('PAID MEDIA ADS'!$N$5:$N$804,'PAID MEDIA ADS'!$W$5:$W$804,1,'PAID MEDIA ADS'!$A$5:$A$804,"&gt;="&amp;(EDATE(DATE(YEAR(ReportDate),MONTH(ReportDate),1),-1)),'PAID MEDIA ADS'!$A$5:$A$804,"&lt;="&amp;(DATE(YEAR(ReportDate),MONTH(ReportDate),1)-1))+SUMIFS('LINKEDIN OUTREACH'!$O$5:$O$704,'LINKEDIN OUTREACH'!$U$5:$U$704,1,'LINKEDIN OUTREACH'!$A$5:$A$704,"&gt;="&amp;(EDATE(DATE(YEAR(ReportDate),MONTH(ReportDate),1),-1)),'LINKEDIN OUTREACH'!$A$5:$A$704,"&lt;="&amp;(DATE(YEAR(ReportDate),MONTH(ReportDate),1)-1)))</f>
        <v>0</v>
      </c>
      <c r="I47" s="46">
        <f>(COUNTIFS('LEAD MQL TRACKER'!$AI$5:$AI$1004,1,'LEAD MQL TRACKER'!$AD$5:$AD$1004,1)+SUMIFS('EMAIL MARKETING'!$R$5:$R$804,'EMAIL MARKETING'!$Z$5:$Z$804,1)+SUMIFS('PAID MEDIA ADS'!$N$5:$N$804,'PAID MEDIA ADS'!$W$5:$W$804,1)+SUMIFS('LINKEDIN OUTREACH'!$O$5:$O$704,'LINKEDIN OUTREACH'!$U$5:$U$704,1))</f>
        <v>0</v>
      </c>
    </row>
    <row r="48">
      <c r="B48" s="40" t="inlineStr">
        <is>
          <t>SQLs Generated</t>
        </is>
      </c>
      <c r="C48" s="41" t="n"/>
      <c r="D48" s="41" t="n"/>
      <c r="E48" s="46">
        <f>COUNTIFS('LEAD MQL TRACKER'!$AI$5:$AI$1004,1,'LEAD MQL TRACKER'!$Z$5:$Z$1004,"&gt;="&amp;(ReportDate-1),'LEAD MQL TRACKER'!$Z$5:$Z$1004,"&lt;="&amp;(ReportDate-1),'LEAD MQL TRACKER'!$AE$5:$AE$1004,1)</f>
        <v>0</v>
      </c>
      <c r="F48" s="46">
        <f>COUNTIFS('LEAD MQL TRACKER'!$AI$5:$AI$1004,1,'LEAD MQL TRACKER'!$Z$5:$Z$1004,"&gt;="&amp;(ReportDate-WEEKDAY(ReportDate,2)+1),'LEAD MQL TRACKER'!$Z$5:$Z$1004,"&lt;="&amp;(ReportDate),'LEAD MQL TRACKER'!$AE$5:$AE$1004,1)</f>
        <v>0</v>
      </c>
      <c r="G48" s="46">
        <f>COUNTIFS('LEAD MQL TRACKER'!$AI$5:$AI$1004,1,'LEAD MQL TRACKER'!$Z$5:$Z$1004,"&gt;="&amp;(DATE(YEAR(ReportDate),MONTH(ReportDate),1)),'LEAD MQL TRACKER'!$Z$5:$Z$1004,"&lt;="&amp;(ReportDate),'LEAD MQL TRACKER'!$AE$5:$AE$1004,1)</f>
        <v>0</v>
      </c>
      <c r="H48" s="46">
        <f>COUNTIFS('LEAD MQL TRACKER'!$AI$5:$AI$1004,1,'LEAD MQL TRACKER'!$Z$5:$Z$1004,"&gt;="&amp;(EDATE(DATE(YEAR(ReportDate),MONTH(ReportDate),1),-1)),'LEAD MQL TRACKER'!$Z$5:$Z$1004,"&lt;="&amp;(DATE(YEAR(ReportDate),MONTH(ReportDate),1)-1),'LEAD MQL TRACKER'!$AE$5:$AE$1004,1)</f>
        <v>0</v>
      </c>
      <c r="I48" s="46">
        <f>COUNTIFS('LEAD MQL TRACKER'!$AI$5:$AI$1004,1,'LEAD MQL TRACKER'!$AE$5:$AE$1004,1)</f>
        <v>0</v>
      </c>
    </row>
    <row r="49">
      <c r="B49" s="40" t="inlineStr">
        <is>
          <t>Opportunities</t>
        </is>
      </c>
      <c r="C49" s="41" t="n"/>
      <c r="D49" s="41" t="n"/>
      <c r="E49" s="46">
        <f>COUNTIFS('LEAD MQL TRACKER'!$AI$5:$AI$1004,1,'LEAD MQL TRACKER'!$Z$5:$Z$1004,"&gt;="&amp;(ReportDate-1),'LEAD MQL TRACKER'!$Z$5:$Z$1004,"&lt;="&amp;(ReportDate-1),'LEAD MQL TRACKER'!$AF$5:$AF$1004,1)</f>
        <v>0</v>
      </c>
      <c r="F49" s="46">
        <f>COUNTIFS('LEAD MQL TRACKER'!$AI$5:$AI$1004,1,'LEAD MQL TRACKER'!$Z$5:$Z$1004,"&gt;="&amp;(ReportDate-WEEKDAY(ReportDate,2)+1),'LEAD MQL TRACKER'!$Z$5:$Z$1004,"&lt;="&amp;(ReportDate),'LEAD MQL TRACKER'!$AF$5:$AF$1004,1)</f>
        <v>0</v>
      </c>
      <c r="G49" s="46">
        <f>COUNTIFS('LEAD MQL TRACKER'!$AI$5:$AI$1004,1,'LEAD MQL TRACKER'!$Z$5:$Z$1004,"&gt;="&amp;(DATE(YEAR(ReportDate),MONTH(ReportDate),1)),'LEAD MQL TRACKER'!$Z$5:$Z$1004,"&lt;="&amp;(ReportDate),'LEAD MQL TRACKER'!$AF$5:$AF$1004,1)</f>
        <v>0</v>
      </c>
      <c r="H49" s="46">
        <f>COUNTIFS('LEAD MQL TRACKER'!$AI$5:$AI$1004,1,'LEAD MQL TRACKER'!$Z$5:$Z$1004,"&gt;="&amp;(EDATE(DATE(YEAR(ReportDate),MONTH(ReportDate),1),-1)),'LEAD MQL TRACKER'!$Z$5:$Z$1004,"&lt;="&amp;(DATE(YEAR(ReportDate),MONTH(ReportDate),1)-1),'LEAD MQL TRACKER'!$AF$5:$AF$1004,1)</f>
        <v>0</v>
      </c>
      <c r="I49" s="46">
        <f>COUNTIFS('LEAD MQL TRACKER'!$AI$5:$AI$1004,1,'LEAD MQL TRACKER'!$AF$5:$AF$1004,1)</f>
        <v>0</v>
      </c>
    </row>
    <row r="52" ht="26" customHeight="1">
      <c r="B52" s="47" t="inlineStr">
        <is>
          <t>MANAGEMENT ATTENTION - DAILY REVIEW</t>
        </is>
      </c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</row>
    <row r="53" ht="20" customHeight="1">
      <c r="B53" s="37" t="inlineStr">
        <is>
          <t>Q1. What did the team complete yesterday?</t>
        </is>
      </c>
      <c r="C53" s="33" t="n"/>
      <c r="D53" s="33" t="n"/>
      <c r="E53" s="33" t="n"/>
      <c r="F53" s="33" t="n"/>
      <c r="G53" s="33" t="n"/>
      <c r="H53" s="33" t="n"/>
      <c r="I53" s="33" t="n"/>
      <c r="K53" s="37" t="inlineStr">
        <is>
          <t>Q2. What is planned for today?</t>
        </is>
      </c>
      <c r="L53" s="33" t="n"/>
      <c r="M53" s="33" t="n"/>
      <c r="N53" s="33" t="n"/>
      <c r="O53" s="33" t="n"/>
      <c r="P53" s="33" t="n"/>
      <c r="Q53" s="33" t="n"/>
      <c r="R53" s="33" t="n"/>
    </row>
    <row r="54" ht="22" customHeight="1">
      <c r="B54" s="38" t="inlineStr">
        <is>
          <t>Team Member</t>
        </is>
      </c>
      <c r="C54" s="38" t="inlineStr">
        <is>
          <t>Client</t>
        </is>
      </c>
      <c r="D54" s="38" t="inlineStr">
        <is>
          <t>Task</t>
        </is>
      </c>
      <c r="E54" s="39" t="n"/>
      <c r="F54" s="39" t="n"/>
      <c r="G54" s="39" t="n"/>
      <c r="H54" s="38" t="inlineStr">
        <is>
          <t>Output / Result</t>
        </is>
      </c>
      <c r="I54" s="39" t="n"/>
      <c r="K54" s="38" t="inlineStr">
        <is>
          <t>Team Member</t>
        </is>
      </c>
      <c r="L54" s="38" t="inlineStr">
        <is>
          <t>Client</t>
        </is>
      </c>
      <c r="M54" s="38" t="inlineStr">
        <is>
          <t>Task</t>
        </is>
      </c>
      <c r="N54" s="39" t="n"/>
      <c r="O54" s="39" t="n"/>
      <c r="P54" s="38" t="inlineStr">
        <is>
          <t>Priority</t>
        </is>
      </c>
      <c r="Q54" s="38" t="inlineStr">
        <is>
          <t>Status</t>
        </is>
      </c>
      <c r="R54" s="38" t="inlineStr">
        <is>
          <t>Due</t>
        </is>
      </c>
    </row>
    <row r="55" ht="26" customHeight="1">
      <c r="B55" s="49" t="str">
        <f>IFERROR(IF(INDEX('DAILY TASK TRACKER'!$B$5:$B$1504,MATCH(SMALL('DAILY TASK TRACKER'!$BG$5:$BG$1504,1),'DAILY TASK TRACKER'!$BG$5:$BG$1504,0))="","",INDEX('DAILY TASK TRACKER'!$B$5:$B$1504,MATCH(SMALL('DAILY TASK TRACKER'!$BG$5:$BG$1504,1),'DAILY TASK TRACKER'!$BG$5:$BG$1504,0))),"- none -")</f>
        <v>- none -</v>
      </c>
      <c r="C55" s="50" t="str">
        <f>IFERROR(IF(INDEX('DAILY TASK TRACKER'!$C$5:$C$1504,MATCH(SMALL('DAILY TASK TRACKER'!$BG$5:$BG$1504,1),'DAILY TASK TRACKER'!$BG$5:$BG$1504,0))="","",INDEX('DAILY TASK TRACKER'!$C$5:$C$1504,MATCH(SMALL('DAILY TASK TRACKER'!$BG$5:$BG$1504,1),'DAILY TASK TRACKER'!$BG$5:$BG$1504,0))),"")</f>
        <v/>
      </c>
      <c r="D55" s="50" t="str">
        <f>IFERROR(IF(INDEX('DAILY TASK TRACKER'!$G$5:$G$1504,MATCH(SMALL('DAILY TASK TRACKER'!$BG$5:$BG$1504,1),'DAILY TASK TRACKER'!$BG$5:$BG$1504,0))="","",INDEX('DAILY TASK TRACKER'!$G$5:$G$1504,MATCH(SMALL('DAILY TASK TRACKER'!$BG$5:$BG$1504,1),'DAILY TASK TRACKER'!$BG$5:$BG$1504,0))),"")</f>
        <v/>
      </c>
      <c r="E55" s="41" t="n"/>
      <c r="F55" s="41" t="n"/>
      <c r="G55" s="41" t="n"/>
      <c r="H55" s="50" t="str">
        <f>IFERROR(IF(INDEX('DAILY TASK TRACKER'!$O$5:$O$1504,MATCH(SMALL('DAILY TASK TRACKER'!$BG$5:$BG$1504,1),'DAILY TASK TRACKER'!$BG$5:$BG$1504,0))="","",INDEX('DAILY TASK TRACKER'!$O$5:$O$1504,MATCH(SMALL('DAILY TASK TRACKER'!$BG$5:$BG$1504,1),'DAILY TASK TRACKER'!$BG$5:$BG$1504,0))),"")</f>
        <v/>
      </c>
      <c r="I55" s="41" t="n"/>
      <c r="K55" s="49" t="str">
        <f>IFERROR(IF(INDEX('DAILY TASK TRACKER'!$B$5:$B$1504,MATCH(SMALL('DAILY TASK TRACKER'!$BE$5:$BE$1504,1),'DAILY TASK TRACKER'!$BE$5:$BE$1504,0))="","",INDEX('DAILY TASK TRACKER'!$B$5:$B$1504,MATCH(SMALL('DAILY TASK TRACKER'!$BE$5:$BE$1504,1),'DAILY TASK TRACKER'!$BE$5:$BE$1504,0))),"- none -")</f>
        <v>- none -</v>
      </c>
      <c r="L55" s="50" t="str">
        <f>IFERROR(IF(INDEX('DAILY TASK TRACKER'!$C$5:$C$1504,MATCH(SMALL('DAILY TASK TRACKER'!$BE$5:$BE$1504,1),'DAILY TASK TRACKER'!$BE$5:$BE$1504,0))="","",INDEX('DAILY TASK TRACKER'!$C$5:$C$1504,MATCH(SMALL('DAILY TASK TRACKER'!$BE$5:$BE$1504,1),'DAILY TASK TRACKER'!$BE$5:$BE$1504,0))),"")</f>
        <v/>
      </c>
      <c r="M55" s="50" t="str">
        <f>IFERROR(IF(INDEX('DAILY TASK TRACKER'!$G$5:$G$1504,MATCH(SMALL('DAILY TASK TRACKER'!$BE$5:$BE$1504,1),'DAILY TASK TRACKER'!$BE$5:$BE$1504,0))="","",INDEX('DAILY TASK TRACKER'!$G$5:$G$1504,MATCH(SMALL('DAILY TASK TRACKER'!$BE$5:$BE$1504,1),'DAILY TASK TRACKER'!$BE$5:$BE$1504,0))),"")</f>
        <v/>
      </c>
      <c r="N55" s="41" t="n"/>
      <c r="O55" s="41" t="n"/>
      <c r="P55" s="50" t="str">
        <f>IFERROR(IF(INDEX('DAILY TASK TRACKER'!$I$5:$I$1504,MATCH(SMALL('DAILY TASK TRACKER'!$BE$5:$BE$1504,1),'DAILY TASK TRACKER'!$BE$5:$BE$1504,0))="","",INDEX('DAILY TASK TRACKER'!$I$5:$I$1504,MATCH(SMALL('DAILY TASK TRACKER'!$BE$5:$BE$1504,1),'DAILY TASK TRACKER'!$BE$5:$BE$1504,0))),"")</f>
        <v/>
      </c>
      <c r="Q55" s="50" t="str">
        <f>IFERROR(IF(INDEX('DAILY TASK TRACKER'!$M$5:$M$1504,MATCH(SMALL('DAILY TASK TRACKER'!$BE$5:$BE$1504,1),'DAILY TASK TRACKER'!$BE$5:$BE$1504,0))="","",INDEX('DAILY TASK TRACKER'!$M$5:$M$1504,MATCH(SMALL('DAILY TASK TRACKER'!$BE$5:$BE$1504,1),'DAILY TASK TRACKER'!$BE$5:$BE$1504,0))),"")</f>
        <v/>
      </c>
      <c r="R55" s="51" t="str">
        <f>IFERROR(IF(INDEX('DAILY TASK TRACKER'!$L$5:$L$1504,MATCH(SMALL('DAILY TASK TRACKER'!$BE$5:$BE$1504,1),'DAILY TASK TRACKER'!$BE$5:$BE$1504,0))="","",INDEX('DAILY TASK TRACKER'!$L$5:$L$1504,MATCH(SMALL('DAILY TASK TRACKER'!$BE$5:$BE$1504,1),'DAILY TASK TRACKER'!$BE$5:$BE$1504,0))),"")</f>
        <v/>
      </c>
    </row>
    <row r="56" ht="26" customHeight="1">
      <c r="B56" s="50" t="str">
        <f>IFERROR(IF(INDEX('DAILY TASK TRACKER'!$B$5:$B$1504,MATCH(SMALL('DAILY TASK TRACKER'!$BG$5:$BG$1504,2),'DAILY TASK TRACKER'!$BG$5:$BG$1504,0))="","",INDEX('DAILY TASK TRACKER'!$B$5:$B$1504,MATCH(SMALL('DAILY TASK TRACKER'!$BG$5:$BG$1504,2),'DAILY TASK TRACKER'!$BG$5:$BG$1504,0))),"")</f>
        <v/>
      </c>
      <c r="C56" s="50" t="str">
        <f>IFERROR(IF(INDEX('DAILY TASK TRACKER'!$C$5:$C$1504,MATCH(SMALL('DAILY TASK TRACKER'!$BG$5:$BG$1504,2),'DAILY TASK TRACKER'!$BG$5:$BG$1504,0))="","",INDEX('DAILY TASK TRACKER'!$C$5:$C$1504,MATCH(SMALL('DAILY TASK TRACKER'!$BG$5:$BG$1504,2),'DAILY TASK TRACKER'!$BG$5:$BG$1504,0))),"")</f>
        <v/>
      </c>
      <c r="D56" s="50" t="str">
        <f>IFERROR(IF(INDEX('DAILY TASK TRACKER'!$G$5:$G$1504,MATCH(SMALL('DAILY TASK TRACKER'!$BG$5:$BG$1504,2),'DAILY TASK TRACKER'!$BG$5:$BG$1504,0))="","",INDEX('DAILY TASK TRACKER'!$G$5:$G$1504,MATCH(SMALL('DAILY TASK TRACKER'!$BG$5:$BG$1504,2),'DAILY TASK TRACKER'!$BG$5:$BG$1504,0))),"")</f>
        <v/>
      </c>
      <c r="E56" s="41" t="n"/>
      <c r="F56" s="41" t="n"/>
      <c r="G56" s="41" t="n"/>
      <c r="H56" s="50" t="str">
        <f>IFERROR(IF(INDEX('DAILY TASK TRACKER'!$O$5:$O$1504,MATCH(SMALL('DAILY TASK TRACKER'!$BG$5:$BG$1504,2),'DAILY TASK TRACKER'!$BG$5:$BG$1504,0))="","",INDEX('DAILY TASK TRACKER'!$O$5:$O$1504,MATCH(SMALL('DAILY TASK TRACKER'!$BG$5:$BG$1504,2),'DAILY TASK TRACKER'!$BG$5:$BG$1504,0))),"")</f>
        <v/>
      </c>
      <c r="I56" s="41" t="n"/>
      <c r="K56" s="50" t="str">
        <f>IFERROR(IF(INDEX('DAILY TASK TRACKER'!$B$5:$B$1504,MATCH(SMALL('DAILY TASK TRACKER'!$BE$5:$BE$1504,2),'DAILY TASK TRACKER'!$BE$5:$BE$1504,0))="","",INDEX('DAILY TASK TRACKER'!$B$5:$B$1504,MATCH(SMALL('DAILY TASK TRACKER'!$BE$5:$BE$1504,2),'DAILY TASK TRACKER'!$BE$5:$BE$1504,0))),"")</f>
        <v/>
      </c>
      <c r="L56" s="50" t="str">
        <f>IFERROR(IF(INDEX('DAILY TASK TRACKER'!$C$5:$C$1504,MATCH(SMALL('DAILY TASK TRACKER'!$BE$5:$BE$1504,2),'DAILY TASK TRACKER'!$BE$5:$BE$1504,0))="","",INDEX('DAILY TASK TRACKER'!$C$5:$C$1504,MATCH(SMALL('DAILY TASK TRACKER'!$BE$5:$BE$1504,2),'DAILY TASK TRACKER'!$BE$5:$BE$1504,0))),"")</f>
        <v/>
      </c>
      <c r="M56" s="50" t="str">
        <f>IFERROR(IF(INDEX('DAILY TASK TRACKER'!$G$5:$G$1504,MATCH(SMALL('DAILY TASK TRACKER'!$BE$5:$BE$1504,2),'DAILY TASK TRACKER'!$BE$5:$BE$1504,0))="","",INDEX('DAILY TASK TRACKER'!$G$5:$G$1504,MATCH(SMALL('DAILY TASK TRACKER'!$BE$5:$BE$1504,2),'DAILY TASK TRACKER'!$BE$5:$BE$1504,0))),"")</f>
        <v/>
      </c>
      <c r="N56" s="41" t="n"/>
      <c r="O56" s="41" t="n"/>
      <c r="P56" s="50" t="str">
        <f>IFERROR(IF(INDEX('DAILY TASK TRACKER'!$I$5:$I$1504,MATCH(SMALL('DAILY TASK TRACKER'!$BE$5:$BE$1504,2),'DAILY TASK TRACKER'!$BE$5:$BE$1504,0))="","",INDEX('DAILY TASK TRACKER'!$I$5:$I$1504,MATCH(SMALL('DAILY TASK TRACKER'!$BE$5:$BE$1504,2),'DAILY TASK TRACKER'!$BE$5:$BE$1504,0))),"")</f>
        <v/>
      </c>
      <c r="Q56" s="50" t="str">
        <f>IFERROR(IF(INDEX('DAILY TASK TRACKER'!$M$5:$M$1504,MATCH(SMALL('DAILY TASK TRACKER'!$BE$5:$BE$1504,2),'DAILY TASK TRACKER'!$BE$5:$BE$1504,0))="","",INDEX('DAILY TASK TRACKER'!$M$5:$M$1504,MATCH(SMALL('DAILY TASK TRACKER'!$BE$5:$BE$1504,2),'DAILY TASK TRACKER'!$BE$5:$BE$1504,0))),"")</f>
        <v/>
      </c>
      <c r="R56" s="51" t="str">
        <f>IFERROR(IF(INDEX('DAILY TASK TRACKER'!$L$5:$L$1504,MATCH(SMALL('DAILY TASK TRACKER'!$BE$5:$BE$1504,2),'DAILY TASK TRACKER'!$BE$5:$BE$1504,0))="","",INDEX('DAILY TASK TRACKER'!$L$5:$L$1504,MATCH(SMALL('DAILY TASK TRACKER'!$BE$5:$BE$1504,2),'DAILY TASK TRACKER'!$BE$5:$BE$1504,0))),"")</f>
        <v/>
      </c>
    </row>
    <row r="57" ht="26" customHeight="1">
      <c r="B57" s="50" t="str">
        <f>IFERROR(IF(INDEX('DAILY TASK TRACKER'!$B$5:$B$1504,MATCH(SMALL('DAILY TASK TRACKER'!$BG$5:$BG$1504,3),'DAILY TASK TRACKER'!$BG$5:$BG$1504,0))="","",INDEX('DAILY TASK TRACKER'!$B$5:$B$1504,MATCH(SMALL('DAILY TASK TRACKER'!$BG$5:$BG$1504,3),'DAILY TASK TRACKER'!$BG$5:$BG$1504,0))),"")</f>
        <v/>
      </c>
      <c r="C57" s="50" t="str">
        <f>IFERROR(IF(INDEX('DAILY TASK TRACKER'!$C$5:$C$1504,MATCH(SMALL('DAILY TASK TRACKER'!$BG$5:$BG$1504,3),'DAILY TASK TRACKER'!$BG$5:$BG$1504,0))="","",INDEX('DAILY TASK TRACKER'!$C$5:$C$1504,MATCH(SMALL('DAILY TASK TRACKER'!$BG$5:$BG$1504,3),'DAILY TASK TRACKER'!$BG$5:$BG$1504,0))),"")</f>
        <v/>
      </c>
      <c r="D57" s="50" t="str">
        <f>IFERROR(IF(INDEX('DAILY TASK TRACKER'!$G$5:$G$1504,MATCH(SMALL('DAILY TASK TRACKER'!$BG$5:$BG$1504,3),'DAILY TASK TRACKER'!$BG$5:$BG$1504,0))="","",INDEX('DAILY TASK TRACKER'!$G$5:$G$1504,MATCH(SMALL('DAILY TASK TRACKER'!$BG$5:$BG$1504,3),'DAILY TASK TRACKER'!$BG$5:$BG$1504,0))),"")</f>
        <v/>
      </c>
      <c r="E57" s="41" t="n"/>
      <c r="F57" s="41" t="n"/>
      <c r="G57" s="41" t="n"/>
      <c r="H57" s="50" t="str">
        <f>IFERROR(IF(INDEX('DAILY TASK TRACKER'!$O$5:$O$1504,MATCH(SMALL('DAILY TASK TRACKER'!$BG$5:$BG$1504,3),'DAILY TASK TRACKER'!$BG$5:$BG$1504,0))="","",INDEX('DAILY TASK TRACKER'!$O$5:$O$1504,MATCH(SMALL('DAILY TASK TRACKER'!$BG$5:$BG$1504,3),'DAILY TASK TRACKER'!$BG$5:$BG$1504,0))),"")</f>
        <v/>
      </c>
      <c r="I57" s="41" t="n"/>
      <c r="K57" s="50" t="str">
        <f>IFERROR(IF(INDEX('DAILY TASK TRACKER'!$B$5:$B$1504,MATCH(SMALL('DAILY TASK TRACKER'!$BE$5:$BE$1504,3),'DAILY TASK TRACKER'!$BE$5:$BE$1504,0))="","",INDEX('DAILY TASK TRACKER'!$B$5:$B$1504,MATCH(SMALL('DAILY TASK TRACKER'!$BE$5:$BE$1504,3),'DAILY TASK TRACKER'!$BE$5:$BE$1504,0))),"")</f>
        <v/>
      </c>
      <c r="L57" s="50" t="str">
        <f>IFERROR(IF(INDEX('DAILY TASK TRACKER'!$C$5:$C$1504,MATCH(SMALL('DAILY TASK TRACKER'!$BE$5:$BE$1504,3),'DAILY TASK TRACKER'!$BE$5:$BE$1504,0))="","",INDEX('DAILY TASK TRACKER'!$C$5:$C$1504,MATCH(SMALL('DAILY TASK TRACKER'!$BE$5:$BE$1504,3),'DAILY TASK TRACKER'!$BE$5:$BE$1504,0))),"")</f>
        <v/>
      </c>
      <c r="M57" s="50" t="str">
        <f>IFERROR(IF(INDEX('DAILY TASK TRACKER'!$G$5:$G$1504,MATCH(SMALL('DAILY TASK TRACKER'!$BE$5:$BE$1504,3),'DAILY TASK TRACKER'!$BE$5:$BE$1504,0))="","",INDEX('DAILY TASK TRACKER'!$G$5:$G$1504,MATCH(SMALL('DAILY TASK TRACKER'!$BE$5:$BE$1504,3),'DAILY TASK TRACKER'!$BE$5:$BE$1504,0))),"")</f>
        <v/>
      </c>
      <c r="N57" s="41" t="n"/>
      <c r="O57" s="41" t="n"/>
      <c r="P57" s="50" t="str">
        <f>IFERROR(IF(INDEX('DAILY TASK TRACKER'!$I$5:$I$1504,MATCH(SMALL('DAILY TASK TRACKER'!$BE$5:$BE$1504,3),'DAILY TASK TRACKER'!$BE$5:$BE$1504,0))="","",INDEX('DAILY TASK TRACKER'!$I$5:$I$1504,MATCH(SMALL('DAILY TASK TRACKER'!$BE$5:$BE$1504,3),'DAILY TASK TRACKER'!$BE$5:$BE$1504,0))),"")</f>
        <v/>
      </c>
      <c r="Q57" s="50" t="str">
        <f>IFERROR(IF(INDEX('DAILY TASK TRACKER'!$M$5:$M$1504,MATCH(SMALL('DAILY TASK TRACKER'!$BE$5:$BE$1504,3),'DAILY TASK TRACKER'!$BE$5:$BE$1504,0))="","",INDEX('DAILY TASK TRACKER'!$M$5:$M$1504,MATCH(SMALL('DAILY TASK TRACKER'!$BE$5:$BE$1504,3),'DAILY TASK TRACKER'!$BE$5:$BE$1504,0))),"")</f>
        <v/>
      </c>
      <c r="R57" s="51" t="str">
        <f>IFERROR(IF(INDEX('DAILY TASK TRACKER'!$L$5:$L$1504,MATCH(SMALL('DAILY TASK TRACKER'!$BE$5:$BE$1504,3),'DAILY TASK TRACKER'!$BE$5:$BE$1504,0))="","",INDEX('DAILY TASK TRACKER'!$L$5:$L$1504,MATCH(SMALL('DAILY TASK TRACKER'!$BE$5:$BE$1504,3),'DAILY TASK TRACKER'!$BE$5:$BE$1504,0))),"")</f>
        <v/>
      </c>
    </row>
    <row r="58" ht="26" customHeight="1">
      <c r="B58" s="50" t="str">
        <f>IFERROR(IF(INDEX('DAILY TASK TRACKER'!$B$5:$B$1504,MATCH(SMALL('DAILY TASK TRACKER'!$BG$5:$BG$1504,4),'DAILY TASK TRACKER'!$BG$5:$BG$1504,0))="","",INDEX('DAILY TASK TRACKER'!$B$5:$B$1504,MATCH(SMALL('DAILY TASK TRACKER'!$BG$5:$BG$1504,4),'DAILY TASK TRACKER'!$BG$5:$BG$1504,0))),"")</f>
        <v/>
      </c>
      <c r="C58" s="50" t="str">
        <f>IFERROR(IF(INDEX('DAILY TASK TRACKER'!$C$5:$C$1504,MATCH(SMALL('DAILY TASK TRACKER'!$BG$5:$BG$1504,4),'DAILY TASK TRACKER'!$BG$5:$BG$1504,0))="","",INDEX('DAILY TASK TRACKER'!$C$5:$C$1504,MATCH(SMALL('DAILY TASK TRACKER'!$BG$5:$BG$1504,4),'DAILY TASK TRACKER'!$BG$5:$BG$1504,0))),"")</f>
        <v/>
      </c>
      <c r="D58" s="50" t="str">
        <f>IFERROR(IF(INDEX('DAILY TASK TRACKER'!$G$5:$G$1504,MATCH(SMALL('DAILY TASK TRACKER'!$BG$5:$BG$1504,4),'DAILY TASK TRACKER'!$BG$5:$BG$1504,0))="","",INDEX('DAILY TASK TRACKER'!$G$5:$G$1504,MATCH(SMALL('DAILY TASK TRACKER'!$BG$5:$BG$1504,4),'DAILY TASK TRACKER'!$BG$5:$BG$1504,0))),"")</f>
        <v/>
      </c>
      <c r="E58" s="41" t="n"/>
      <c r="F58" s="41" t="n"/>
      <c r="G58" s="41" t="n"/>
      <c r="H58" s="50" t="str">
        <f>IFERROR(IF(INDEX('DAILY TASK TRACKER'!$O$5:$O$1504,MATCH(SMALL('DAILY TASK TRACKER'!$BG$5:$BG$1504,4),'DAILY TASK TRACKER'!$BG$5:$BG$1504,0))="","",INDEX('DAILY TASK TRACKER'!$O$5:$O$1504,MATCH(SMALL('DAILY TASK TRACKER'!$BG$5:$BG$1504,4),'DAILY TASK TRACKER'!$BG$5:$BG$1504,0))),"")</f>
        <v/>
      </c>
      <c r="I58" s="41" t="n"/>
      <c r="K58" s="50" t="str">
        <f>IFERROR(IF(INDEX('DAILY TASK TRACKER'!$B$5:$B$1504,MATCH(SMALL('DAILY TASK TRACKER'!$BE$5:$BE$1504,4),'DAILY TASK TRACKER'!$BE$5:$BE$1504,0))="","",INDEX('DAILY TASK TRACKER'!$B$5:$B$1504,MATCH(SMALL('DAILY TASK TRACKER'!$BE$5:$BE$1504,4),'DAILY TASK TRACKER'!$BE$5:$BE$1504,0))),"")</f>
        <v/>
      </c>
      <c r="L58" s="50" t="str">
        <f>IFERROR(IF(INDEX('DAILY TASK TRACKER'!$C$5:$C$1504,MATCH(SMALL('DAILY TASK TRACKER'!$BE$5:$BE$1504,4),'DAILY TASK TRACKER'!$BE$5:$BE$1504,0))="","",INDEX('DAILY TASK TRACKER'!$C$5:$C$1504,MATCH(SMALL('DAILY TASK TRACKER'!$BE$5:$BE$1504,4),'DAILY TASK TRACKER'!$BE$5:$BE$1504,0))),"")</f>
        <v/>
      </c>
      <c r="M58" s="50" t="str">
        <f>IFERROR(IF(INDEX('DAILY TASK TRACKER'!$G$5:$G$1504,MATCH(SMALL('DAILY TASK TRACKER'!$BE$5:$BE$1504,4),'DAILY TASK TRACKER'!$BE$5:$BE$1504,0))="","",INDEX('DAILY TASK TRACKER'!$G$5:$G$1504,MATCH(SMALL('DAILY TASK TRACKER'!$BE$5:$BE$1504,4),'DAILY TASK TRACKER'!$BE$5:$BE$1504,0))),"")</f>
        <v/>
      </c>
      <c r="N58" s="41" t="n"/>
      <c r="O58" s="41" t="n"/>
      <c r="P58" s="50" t="str">
        <f>IFERROR(IF(INDEX('DAILY TASK TRACKER'!$I$5:$I$1504,MATCH(SMALL('DAILY TASK TRACKER'!$BE$5:$BE$1504,4),'DAILY TASK TRACKER'!$BE$5:$BE$1504,0))="","",INDEX('DAILY TASK TRACKER'!$I$5:$I$1504,MATCH(SMALL('DAILY TASK TRACKER'!$BE$5:$BE$1504,4),'DAILY TASK TRACKER'!$BE$5:$BE$1504,0))),"")</f>
        <v/>
      </c>
      <c r="Q58" s="50" t="str">
        <f>IFERROR(IF(INDEX('DAILY TASK TRACKER'!$M$5:$M$1504,MATCH(SMALL('DAILY TASK TRACKER'!$BE$5:$BE$1504,4),'DAILY TASK TRACKER'!$BE$5:$BE$1504,0))="","",INDEX('DAILY TASK TRACKER'!$M$5:$M$1504,MATCH(SMALL('DAILY TASK TRACKER'!$BE$5:$BE$1504,4),'DAILY TASK TRACKER'!$BE$5:$BE$1504,0))),"")</f>
        <v/>
      </c>
      <c r="R58" s="51" t="str">
        <f>IFERROR(IF(INDEX('DAILY TASK TRACKER'!$L$5:$L$1504,MATCH(SMALL('DAILY TASK TRACKER'!$BE$5:$BE$1504,4),'DAILY TASK TRACKER'!$BE$5:$BE$1504,0))="","",INDEX('DAILY TASK TRACKER'!$L$5:$L$1504,MATCH(SMALL('DAILY TASK TRACKER'!$BE$5:$BE$1504,4),'DAILY TASK TRACKER'!$BE$5:$BE$1504,0))),"")</f>
        <v/>
      </c>
    </row>
    <row r="59" ht="26" customHeight="1">
      <c r="B59" s="50" t="str">
        <f>IFERROR(IF(INDEX('DAILY TASK TRACKER'!$B$5:$B$1504,MATCH(SMALL('DAILY TASK TRACKER'!$BG$5:$BG$1504,5),'DAILY TASK TRACKER'!$BG$5:$BG$1504,0))="","",INDEX('DAILY TASK TRACKER'!$B$5:$B$1504,MATCH(SMALL('DAILY TASK TRACKER'!$BG$5:$BG$1504,5),'DAILY TASK TRACKER'!$BG$5:$BG$1504,0))),"")</f>
        <v/>
      </c>
      <c r="C59" s="50" t="str">
        <f>IFERROR(IF(INDEX('DAILY TASK TRACKER'!$C$5:$C$1504,MATCH(SMALL('DAILY TASK TRACKER'!$BG$5:$BG$1504,5),'DAILY TASK TRACKER'!$BG$5:$BG$1504,0))="","",INDEX('DAILY TASK TRACKER'!$C$5:$C$1504,MATCH(SMALL('DAILY TASK TRACKER'!$BG$5:$BG$1504,5),'DAILY TASK TRACKER'!$BG$5:$BG$1504,0))),"")</f>
        <v/>
      </c>
      <c r="D59" s="50" t="str">
        <f>IFERROR(IF(INDEX('DAILY TASK TRACKER'!$G$5:$G$1504,MATCH(SMALL('DAILY TASK TRACKER'!$BG$5:$BG$1504,5),'DAILY TASK TRACKER'!$BG$5:$BG$1504,0))="","",INDEX('DAILY TASK TRACKER'!$G$5:$G$1504,MATCH(SMALL('DAILY TASK TRACKER'!$BG$5:$BG$1504,5),'DAILY TASK TRACKER'!$BG$5:$BG$1504,0))),"")</f>
        <v/>
      </c>
      <c r="E59" s="41" t="n"/>
      <c r="F59" s="41" t="n"/>
      <c r="G59" s="41" t="n"/>
      <c r="H59" s="50" t="str">
        <f>IFERROR(IF(INDEX('DAILY TASK TRACKER'!$O$5:$O$1504,MATCH(SMALL('DAILY TASK TRACKER'!$BG$5:$BG$1504,5),'DAILY TASK TRACKER'!$BG$5:$BG$1504,0))="","",INDEX('DAILY TASK TRACKER'!$O$5:$O$1504,MATCH(SMALL('DAILY TASK TRACKER'!$BG$5:$BG$1504,5),'DAILY TASK TRACKER'!$BG$5:$BG$1504,0))),"")</f>
        <v/>
      </c>
      <c r="I59" s="41" t="n"/>
      <c r="K59" s="50" t="str">
        <f>IFERROR(IF(INDEX('DAILY TASK TRACKER'!$B$5:$B$1504,MATCH(SMALL('DAILY TASK TRACKER'!$BE$5:$BE$1504,5),'DAILY TASK TRACKER'!$BE$5:$BE$1504,0))="","",INDEX('DAILY TASK TRACKER'!$B$5:$B$1504,MATCH(SMALL('DAILY TASK TRACKER'!$BE$5:$BE$1504,5),'DAILY TASK TRACKER'!$BE$5:$BE$1504,0))),"")</f>
        <v/>
      </c>
      <c r="L59" s="50" t="str">
        <f>IFERROR(IF(INDEX('DAILY TASK TRACKER'!$C$5:$C$1504,MATCH(SMALL('DAILY TASK TRACKER'!$BE$5:$BE$1504,5),'DAILY TASK TRACKER'!$BE$5:$BE$1504,0))="","",INDEX('DAILY TASK TRACKER'!$C$5:$C$1504,MATCH(SMALL('DAILY TASK TRACKER'!$BE$5:$BE$1504,5),'DAILY TASK TRACKER'!$BE$5:$BE$1504,0))),"")</f>
        <v/>
      </c>
      <c r="M59" s="50" t="str">
        <f>IFERROR(IF(INDEX('DAILY TASK TRACKER'!$G$5:$G$1504,MATCH(SMALL('DAILY TASK TRACKER'!$BE$5:$BE$1504,5),'DAILY TASK TRACKER'!$BE$5:$BE$1504,0))="","",INDEX('DAILY TASK TRACKER'!$G$5:$G$1504,MATCH(SMALL('DAILY TASK TRACKER'!$BE$5:$BE$1504,5),'DAILY TASK TRACKER'!$BE$5:$BE$1504,0))),"")</f>
        <v/>
      </c>
      <c r="N59" s="41" t="n"/>
      <c r="O59" s="41" t="n"/>
      <c r="P59" s="50" t="str">
        <f>IFERROR(IF(INDEX('DAILY TASK TRACKER'!$I$5:$I$1504,MATCH(SMALL('DAILY TASK TRACKER'!$BE$5:$BE$1504,5),'DAILY TASK TRACKER'!$BE$5:$BE$1504,0))="","",INDEX('DAILY TASK TRACKER'!$I$5:$I$1504,MATCH(SMALL('DAILY TASK TRACKER'!$BE$5:$BE$1504,5),'DAILY TASK TRACKER'!$BE$5:$BE$1504,0))),"")</f>
        <v/>
      </c>
      <c r="Q59" s="50" t="str">
        <f>IFERROR(IF(INDEX('DAILY TASK TRACKER'!$M$5:$M$1504,MATCH(SMALL('DAILY TASK TRACKER'!$BE$5:$BE$1504,5),'DAILY TASK TRACKER'!$BE$5:$BE$1504,0))="","",INDEX('DAILY TASK TRACKER'!$M$5:$M$1504,MATCH(SMALL('DAILY TASK TRACKER'!$BE$5:$BE$1504,5),'DAILY TASK TRACKER'!$BE$5:$BE$1504,0))),"")</f>
        <v/>
      </c>
      <c r="R59" s="51" t="str">
        <f>IFERROR(IF(INDEX('DAILY TASK TRACKER'!$L$5:$L$1504,MATCH(SMALL('DAILY TASK TRACKER'!$BE$5:$BE$1504,5),'DAILY TASK TRACKER'!$BE$5:$BE$1504,0))="","",INDEX('DAILY TASK TRACKER'!$L$5:$L$1504,MATCH(SMALL('DAILY TASK TRACKER'!$BE$5:$BE$1504,5),'DAILY TASK TRACKER'!$BE$5:$BE$1504,0))),"")</f>
        <v/>
      </c>
    </row>
    <row r="60" ht="26" customHeight="1">
      <c r="B60" s="50" t="str">
        <f>IFERROR(IF(INDEX('DAILY TASK TRACKER'!$B$5:$B$1504,MATCH(SMALL('DAILY TASK TRACKER'!$BG$5:$BG$1504,6),'DAILY TASK TRACKER'!$BG$5:$BG$1504,0))="","",INDEX('DAILY TASK TRACKER'!$B$5:$B$1504,MATCH(SMALL('DAILY TASK TRACKER'!$BG$5:$BG$1504,6),'DAILY TASK TRACKER'!$BG$5:$BG$1504,0))),"")</f>
        <v/>
      </c>
      <c r="C60" s="50" t="str">
        <f>IFERROR(IF(INDEX('DAILY TASK TRACKER'!$C$5:$C$1504,MATCH(SMALL('DAILY TASK TRACKER'!$BG$5:$BG$1504,6),'DAILY TASK TRACKER'!$BG$5:$BG$1504,0))="","",INDEX('DAILY TASK TRACKER'!$C$5:$C$1504,MATCH(SMALL('DAILY TASK TRACKER'!$BG$5:$BG$1504,6),'DAILY TASK TRACKER'!$BG$5:$BG$1504,0))),"")</f>
        <v/>
      </c>
      <c r="D60" s="50" t="str">
        <f>IFERROR(IF(INDEX('DAILY TASK TRACKER'!$G$5:$G$1504,MATCH(SMALL('DAILY TASK TRACKER'!$BG$5:$BG$1504,6),'DAILY TASK TRACKER'!$BG$5:$BG$1504,0))="","",INDEX('DAILY TASK TRACKER'!$G$5:$G$1504,MATCH(SMALL('DAILY TASK TRACKER'!$BG$5:$BG$1504,6),'DAILY TASK TRACKER'!$BG$5:$BG$1504,0))),"")</f>
        <v/>
      </c>
      <c r="E60" s="41" t="n"/>
      <c r="F60" s="41" t="n"/>
      <c r="G60" s="41" t="n"/>
      <c r="H60" s="50" t="str">
        <f>IFERROR(IF(INDEX('DAILY TASK TRACKER'!$O$5:$O$1504,MATCH(SMALL('DAILY TASK TRACKER'!$BG$5:$BG$1504,6),'DAILY TASK TRACKER'!$BG$5:$BG$1504,0))="","",INDEX('DAILY TASK TRACKER'!$O$5:$O$1504,MATCH(SMALL('DAILY TASK TRACKER'!$BG$5:$BG$1504,6),'DAILY TASK TRACKER'!$BG$5:$BG$1504,0))),"")</f>
        <v/>
      </c>
      <c r="I60" s="41" t="n"/>
      <c r="K60" s="50" t="str">
        <f>IFERROR(IF(INDEX('DAILY TASK TRACKER'!$B$5:$B$1504,MATCH(SMALL('DAILY TASK TRACKER'!$BE$5:$BE$1504,6),'DAILY TASK TRACKER'!$BE$5:$BE$1504,0))="","",INDEX('DAILY TASK TRACKER'!$B$5:$B$1504,MATCH(SMALL('DAILY TASK TRACKER'!$BE$5:$BE$1504,6),'DAILY TASK TRACKER'!$BE$5:$BE$1504,0))),"")</f>
        <v/>
      </c>
      <c r="L60" s="50" t="str">
        <f>IFERROR(IF(INDEX('DAILY TASK TRACKER'!$C$5:$C$1504,MATCH(SMALL('DAILY TASK TRACKER'!$BE$5:$BE$1504,6),'DAILY TASK TRACKER'!$BE$5:$BE$1504,0))="","",INDEX('DAILY TASK TRACKER'!$C$5:$C$1504,MATCH(SMALL('DAILY TASK TRACKER'!$BE$5:$BE$1504,6),'DAILY TASK TRACKER'!$BE$5:$BE$1504,0))),"")</f>
        <v/>
      </c>
      <c r="M60" s="50" t="str">
        <f>IFERROR(IF(INDEX('DAILY TASK TRACKER'!$G$5:$G$1504,MATCH(SMALL('DAILY TASK TRACKER'!$BE$5:$BE$1504,6),'DAILY TASK TRACKER'!$BE$5:$BE$1504,0))="","",INDEX('DAILY TASK TRACKER'!$G$5:$G$1504,MATCH(SMALL('DAILY TASK TRACKER'!$BE$5:$BE$1504,6),'DAILY TASK TRACKER'!$BE$5:$BE$1504,0))),"")</f>
        <v/>
      </c>
      <c r="N60" s="41" t="n"/>
      <c r="O60" s="41" t="n"/>
      <c r="P60" s="50" t="str">
        <f>IFERROR(IF(INDEX('DAILY TASK TRACKER'!$I$5:$I$1504,MATCH(SMALL('DAILY TASK TRACKER'!$BE$5:$BE$1504,6),'DAILY TASK TRACKER'!$BE$5:$BE$1504,0))="","",INDEX('DAILY TASK TRACKER'!$I$5:$I$1504,MATCH(SMALL('DAILY TASK TRACKER'!$BE$5:$BE$1504,6),'DAILY TASK TRACKER'!$BE$5:$BE$1504,0))),"")</f>
        <v/>
      </c>
      <c r="Q60" s="50" t="str">
        <f>IFERROR(IF(INDEX('DAILY TASK TRACKER'!$M$5:$M$1504,MATCH(SMALL('DAILY TASK TRACKER'!$BE$5:$BE$1504,6),'DAILY TASK TRACKER'!$BE$5:$BE$1504,0))="","",INDEX('DAILY TASK TRACKER'!$M$5:$M$1504,MATCH(SMALL('DAILY TASK TRACKER'!$BE$5:$BE$1504,6),'DAILY TASK TRACKER'!$BE$5:$BE$1504,0))),"")</f>
        <v/>
      </c>
      <c r="R60" s="51" t="str">
        <f>IFERROR(IF(INDEX('DAILY TASK TRACKER'!$L$5:$L$1504,MATCH(SMALL('DAILY TASK TRACKER'!$BE$5:$BE$1504,6),'DAILY TASK TRACKER'!$BE$5:$BE$1504,0))="","",INDEX('DAILY TASK TRACKER'!$L$5:$L$1504,MATCH(SMALL('DAILY TASK TRACKER'!$BE$5:$BE$1504,6),'DAILY TASK TRACKER'!$BE$5:$BE$1504,0))),"")</f>
        <v/>
      </c>
    </row>
    <row r="61" ht="26" customHeight="1">
      <c r="B61" s="50" t="str">
        <f>IFERROR(IF(INDEX('DAILY TASK TRACKER'!$B$5:$B$1504,MATCH(SMALL('DAILY TASK TRACKER'!$BG$5:$BG$1504,7),'DAILY TASK TRACKER'!$BG$5:$BG$1504,0))="","",INDEX('DAILY TASK TRACKER'!$B$5:$B$1504,MATCH(SMALL('DAILY TASK TRACKER'!$BG$5:$BG$1504,7),'DAILY TASK TRACKER'!$BG$5:$BG$1504,0))),"")</f>
        <v/>
      </c>
      <c r="C61" s="50" t="str">
        <f>IFERROR(IF(INDEX('DAILY TASK TRACKER'!$C$5:$C$1504,MATCH(SMALL('DAILY TASK TRACKER'!$BG$5:$BG$1504,7),'DAILY TASK TRACKER'!$BG$5:$BG$1504,0))="","",INDEX('DAILY TASK TRACKER'!$C$5:$C$1504,MATCH(SMALL('DAILY TASK TRACKER'!$BG$5:$BG$1504,7),'DAILY TASK TRACKER'!$BG$5:$BG$1504,0))),"")</f>
        <v/>
      </c>
      <c r="D61" s="50" t="str">
        <f>IFERROR(IF(INDEX('DAILY TASK TRACKER'!$G$5:$G$1504,MATCH(SMALL('DAILY TASK TRACKER'!$BG$5:$BG$1504,7),'DAILY TASK TRACKER'!$BG$5:$BG$1504,0))="","",INDEX('DAILY TASK TRACKER'!$G$5:$G$1504,MATCH(SMALL('DAILY TASK TRACKER'!$BG$5:$BG$1504,7),'DAILY TASK TRACKER'!$BG$5:$BG$1504,0))),"")</f>
        <v/>
      </c>
      <c r="E61" s="41" t="n"/>
      <c r="F61" s="41" t="n"/>
      <c r="G61" s="41" t="n"/>
      <c r="H61" s="50" t="str">
        <f>IFERROR(IF(INDEX('DAILY TASK TRACKER'!$O$5:$O$1504,MATCH(SMALL('DAILY TASK TRACKER'!$BG$5:$BG$1504,7),'DAILY TASK TRACKER'!$BG$5:$BG$1504,0))="","",INDEX('DAILY TASK TRACKER'!$O$5:$O$1504,MATCH(SMALL('DAILY TASK TRACKER'!$BG$5:$BG$1504,7),'DAILY TASK TRACKER'!$BG$5:$BG$1504,0))),"")</f>
        <v/>
      </c>
      <c r="I61" s="41" t="n"/>
      <c r="K61" s="50" t="str">
        <f>IFERROR(IF(INDEX('DAILY TASK TRACKER'!$B$5:$B$1504,MATCH(SMALL('DAILY TASK TRACKER'!$BE$5:$BE$1504,7),'DAILY TASK TRACKER'!$BE$5:$BE$1504,0))="","",INDEX('DAILY TASK TRACKER'!$B$5:$B$1504,MATCH(SMALL('DAILY TASK TRACKER'!$BE$5:$BE$1504,7),'DAILY TASK TRACKER'!$BE$5:$BE$1504,0))),"")</f>
        <v/>
      </c>
      <c r="L61" s="50" t="str">
        <f>IFERROR(IF(INDEX('DAILY TASK TRACKER'!$C$5:$C$1504,MATCH(SMALL('DAILY TASK TRACKER'!$BE$5:$BE$1504,7),'DAILY TASK TRACKER'!$BE$5:$BE$1504,0))="","",INDEX('DAILY TASK TRACKER'!$C$5:$C$1504,MATCH(SMALL('DAILY TASK TRACKER'!$BE$5:$BE$1504,7),'DAILY TASK TRACKER'!$BE$5:$BE$1504,0))),"")</f>
        <v/>
      </c>
      <c r="M61" s="50" t="str">
        <f>IFERROR(IF(INDEX('DAILY TASK TRACKER'!$G$5:$G$1504,MATCH(SMALL('DAILY TASK TRACKER'!$BE$5:$BE$1504,7),'DAILY TASK TRACKER'!$BE$5:$BE$1504,0))="","",INDEX('DAILY TASK TRACKER'!$G$5:$G$1504,MATCH(SMALL('DAILY TASK TRACKER'!$BE$5:$BE$1504,7),'DAILY TASK TRACKER'!$BE$5:$BE$1504,0))),"")</f>
        <v/>
      </c>
      <c r="N61" s="41" t="n"/>
      <c r="O61" s="41" t="n"/>
      <c r="P61" s="50" t="str">
        <f>IFERROR(IF(INDEX('DAILY TASK TRACKER'!$I$5:$I$1504,MATCH(SMALL('DAILY TASK TRACKER'!$BE$5:$BE$1504,7),'DAILY TASK TRACKER'!$BE$5:$BE$1504,0))="","",INDEX('DAILY TASK TRACKER'!$I$5:$I$1504,MATCH(SMALL('DAILY TASK TRACKER'!$BE$5:$BE$1504,7),'DAILY TASK TRACKER'!$BE$5:$BE$1504,0))),"")</f>
        <v/>
      </c>
      <c r="Q61" s="50" t="str">
        <f>IFERROR(IF(INDEX('DAILY TASK TRACKER'!$M$5:$M$1504,MATCH(SMALL('DAILY TASK TRACKER'!$BE$5:$BE$1504,7),'DAILY TASK TRACKER'!$BE$5:$BE$1504,0))="","",INDEX('DAILY TASK TRACKER'!$M$5:$M$1504,MATCH(SMALL('DAILY TASK TRACKER'!$BE$5:$BE$1504,7),'DAILY TASK TRACKER'!$BE$5:$BE$1504,0))),"")</f>
        <v/>
      </c>
      <c r="R61" s="51" t="str">
        <f>IFERROR(IF(INDEX('DAILY TASK TRACKER'!$L$5:$L$1504,MATCH(SMALL('DAILY TASK TRACKER'!$BE$5:$BE$1504,7),'DAILY TASK TRACKER'!$BE$5:$BE$1504,0))="","",INDEX('DAILY TASK TRACKER'!$L$5:$L$1504,MATCH(SMALL('DAILY TASK TRACKER'!$BE$5:$BE$1504,7),'DAILY TASK TRACKER'!$BE$5:$BE$1504,0))),"")</f>
        <v/>
      </c>
    </row>
    <row r="62" ht="26" customHeight="1">
      <c r="B62" s="50" t="str">
        <f>IFERROR(IF(INDEX('DAILY TASK TRACKER'!$B$5:$B$1504,MATCH(SMALL('DAILY TASK TRACKER'!$BG$5:$BG$1504,8),'DAILY TASK TRACKER'!$BG$5:$BG$1504,0))="","",INDEX('DAILY TASK TRACKER'!$B$5:$B$1504,MATCH(SMALL('DAILY TASK TRACKER'!$BG$5:$BG$1504,8),'DAILY TASK TRACKER'!$BG$5:$BG$1504,0))),"")</f>
        <v/>
      </c>
      <c r="C62" s="50" t="str">
        <f>IFERROR(IF(INDEX('DAILY TASK TRACKER'!$C$5:$C$1504,MATCH(SMALL('DAILY TASK TRACKER'!$BG$5:$BG$1504,8),'DAILY TASK TRACKER'!$BG$5:$BG$1504,0))="","",INDEX('DAILY TASK TRACKER'!$C$5:$C$1504,MATCH(SMALL('DAILY TASK TRACKER'!$BG$5:$BG$1504,8),'DAILY TASK TRACKER'!$BG$5:$BG$1504,0))),"")</f>
        <v/>
      </c>
      <c r="D62" s="50" t="str">
        <f>IFERROR(IF(INDEX('DAILY TASK TRACKER'!$G$5:$G$1504,MATCH(SMALL('DAILY TASK TRACKER'!$BG$5:$BG$1504,8),'DAILY TASK TRACKER'!$BG$5:$BG$1504,0))="","",INDEX('DAILY TASK TRACKER'!$G$5:$G$1504,MATCH(SMALL('DAILY TASK TRACKER'!$BG$5:$BG$1504,8),'DAILY TASK TRACKER'!$BG$5:$BG$1504,0))),"")</f>
        <v/>
      </c>
      <c r="E62" s="41" t="n"/>
      <c r="F62" s="41" t="n"/>
      <c r="G62" s="41" t="n"/>
      <c r="H62" s="50" t="str">
        <f>IFERROR(IF(INDEX('DAILY TASK TRACKER'!$O$5:$O$1504,MATCH(SMALL('DAILY TASK TRACKER'!$BG$5:$BG$1504,8),'DAILY TASK TRACKER'!$BG$5:$BG$1504,0))="","",INDEX('DAILY TASK TRACKER'!$O$5:$O$1504,MATCH(SMALL('DAILY TASK TRACKER'!$BG$5:$BG$1504,8),'DAILY TASK TRACKER'!$BG$5:$BG$1504,0))),"")</f>
        <v/>
      </c>
      <c r="I62" s="41" t="n"/>
      <c r="K62" s="50" t="str">
        <f>IFERROR(IF(INDEX('DAILY TASK TRACKER'!$B$5:$B$1504,MATCH(SMALL('DAILY TASK TRACKER'!$BE$5:$BE$1504,8),'DAILY TASK TRACKER'!$BE$5:$BE$1504,0))="","",INDEX('DAILY TASK TRACKER'!$B$5:$B$1504,MATCH(SMALL('DAILY TASK TRACKER'!$BE$5:$BE$1504,8),'DAILY TASK TRACKER'!$BE$5:$BE$1504,0))),"")</f>
        <v/>
      </c>
      <c r="L62" s="50" t="str">
        <f>IFERROR(IF(INDEX('DAILY TASK TRACKER'!$C$5:$C$1504,MATCH(SMALL('DAILY TASK TRACKER'!$BE$5:$BE$1504,8),'DAILY TASK TRACKER'!$BE$5:$BE$1504,0))="","",INDEX('DAILY TASK TRACKER'!$C$5:$C$1504,MATCH(SMALL('DAILY TASK TRACKER'!$BE$5:$BE$1504,8),'DAILY TASK TRACKER'!$BE$5:$BE$1504,0))),"")</f>
        <v/>
      </c>
      <c r="M62" s="50" t="str">
        <f>IFERROR(IF(INDEX('DAILY TASK TRACKER'!$G$5:$G$1504,MATCH(SMALL('DAILY TASK TRACKER'!$BE$5:$BE$1504,8),'DAILY TASK TRACKER'!$BE$5:$BE$1504,0))="","",INDEX('DAILY TASK TRACKER'!$G$5:$G$1504,MATCH(SMALL('DAILY TASK TRACKER'!$BE$5:$BE$1504,8),'DAILY TASK TRACKER'!$BE$5:$BE$1504,0))),"")</f>
        <v/>
      </c>
      <c r="N62" s="41" t="n"/>
      <c r="O62" s="41" t="n"/>
      <c r="P62" s="50" t="str">
        <f>IFERROR(IF(INDEX('DAILY TASK TRACKER'!$I$5:$I$1504,MATCH(SMALL('DAILY TASK TRACKER'!$BE$5:$BE$1504,8),'DAILY TASK TRACKER'!$BE$5:$BE$1504,0))="","",INDEX('DAILY TASK TRACKER'!$I$5:$I$1504,MATCH(SMALL('DAILY TASK TRACKER'!$BE$5:$BE$1504,8),'DAILY TASK TRACKER'!$BE$5:$BE$1504,0))),"")</f>
        <v/>
      </c>
      <c r="Q62" s="50" t="str">
        <f>IFERROR(IF(INDEX('DAILY TASK TRACKER'!$M$5:$M$1504,MATCH(SMALL('DAILY TASK TRACKER'!$BE$5:$BE$1504,8),'DAILY TASK TRACKER'!$BE$5:$BE$1504,0))="","",INDEX('DAILY TASK TRACKER'!$M$5:$M$1504,MATCH(SMALL('DAILY TASK TRACKER'!$BE$5:$BE$1504,8),'DAILY TASK TRACKER'!$BE$5:$BE$1504,0))),"")</f>
        <v/>
      </c>
      <c r="R62" s="51" t="str">
        <f>IFERROR(IF(INDEX('DAILY TASK TRACKER'!$L$5:$L$1504,MATCH(SMALL('DAILY TASK TRACKER'!$BE$5:$BE$1504,8),'DAILY TASK TRACKER'!$BE$5:$BE$1504,0))="","",INDEX('DAILY TASK TRACKER'!$L$5:$L$1504,MATCH(SMALL('DAILY TASK TRACKER'!$BE$5:$BE$1504,8),'DAILY TASK TRACKER'!$BE$5:$BE$1504,0))),"")</f>
        <v/>
      </c>
    </row>
    <row r="64" ht="20" customHeight="1">
      <c r="B64" s="37" t="inlineStr">
        <is>
          <t>Q3. What is overdue?</t>
        </is>
      </c>
      <c r="C64" s="33" t="n"/>
      <c r="D64" s="33" t="n"/>
      <c r="E64" s="33" t="n"/>
      <c r="F64" s="33" t="n"/>
      <c r="G64" s="33" t="n"/>
      <c r="H64" s="33" t="n"/>
      <c r="I64" s="33" t="n"/>
      <c r="K64" s="37" t="inlineStr">
        <is>
          <t>Q4. What is blocked?</t>
        </is>
      </c>
      <c r="L64" s="33" t="n"/>
      <c r="M64" s="33" t="n"/>
      <c r="N64" s="33" t="n"/>
      <c r="O64" s="33" t="n"/>
      <c r="P64" s="33" t="n"/>
      <c r="Q64" s="33" t="n"/>
      <c r="R64" s="33" t="n"/>
    </row>
    <row r="65" ht="22" customHeight="1">
      <c r="B65" s="38" t="inlineStr">
        <is>
          <t>Team Member</t>
        </is>
      </c>
      <c r="C65" s="38" t="inlineStr">
        <is>
          <t>Client</t>
        </is>
      </c>
      <c r="D65" s="38" t="inlineStr">
        <is>
          <t>Task</t>
        </is>
      </c>
      <c r="E65" s="39" t="n"/>
      <c r="F65" s="39" t="n"/>
      <c r="G65" s="38" t="inlineStr">
        <is>
          <t>Priority</t>
        </is>
      </c>
      <c r="H65" s="38" t="inlineStr">
        <is>
          <t>Due</t>
        </is>
      </c>
      <c r="I65" s="38" t="inlineStr">
        <is>
          <t>Days Over</t>
        </is>
      </c>
      <c r="K65" s="38" t="inlineStr">
        <is>
          <t>Team Member</t>
        </is>
      </c>
      <c r="L65" s="38" t="inlineStr">
        <is>
          <t>Client</t>
        </is>
      </c>
      <c r="M65" s="38" t="inlineStr">
        <is>
          <t>Task</t>
        </is>
      </c>
      <c r="N65" s="39" t="n"/>
      <c r="O65" s="38" t="inlineStr">
        <is>
          <t>Blocker</t>
        </is>
      </c>
      <c r="P65" s="39" t="n"/>
      <c r="Q65" s="39" t="n"/>
      <c r="R65" s="38" t="inlineStr">
        <is>
          <t>Priority</t>
        </is>
      </c>
    </row>
    <row r="66" ht="26" customHeight="1">
      <c r="B66" s="49" t="str">
        <f>IFERROR(IF(INDEX('DAILY TASK TRACKER'!$B$5:$B$1504,MATCH(SMALL('DAILY TASK TRACKER'!$BB$5:$BB$1504,1),'DAILY TASK TRACKER'!$BB$5:$BB$1504,0))="","",INDEX('DAILY TASK TRACKER'!$B$5:$B$1504,MATCH(SMALL('DAILY TASK TRACKER'!$BB$5:$BB$1504,1),'DAILY TASK TRACKER'!$BB$5:$BB$1504,0))),"- none -")</f>
        <v>Surbhi Pandey</v>
      </c>
      <c r="C66" s="50" t="str">
        <f>IFERROR(IF(INDEX('DAILY TASK TRACKER'!$C$5:$C$1504,MATCH(SMALL('DAILY TASK TRACKER'!$BB$5:$BB$1504,1),'DAILY TASK TRACKER'!$BB$5:$BB$1504,0))="","",INDEX('DAILY TASK TRACKER'!$C$5:$C$1504,MATCH(SMALL('DAILY TASK TRACKER'!$BB$5:$BB$1504,1),'DAILY TASK TRACKER'!$BB$5:$BB$1504,0))),"")</f>
        <v>SAP</v>
      </c>
      <c r="D66" s="50" t="str">
        <f>IFERROR(IF(INDEX('DAILY TASK TRACKER'!$G$5:$G$1504,MATCH(SMALL('DAILY TASK TRACKER'!$BB$5:$BB$1504,1),'DAILY TASK TRACKER'!$BB$5:$BB$1504,0))="","",INDEX('DAILY TASK TRACKER'!$G$5:$G$1504,MATCH(SMALL('DAILY TASK TRACKER'!$BB$5:$BB$1504,1),'DAILY TASK TRACKER'!$BB$5:$BB$1504,0))),"")</f>
        <v>Content Syndication - Email + WhatsApp deployment</v>
      </c>
      <c r="E66" s="41" t="n"/>
      <c r="F66" s="41" t="n"/>
      <c r="G66" s="50" t="str">
        <f>IFERROR(IF(INDEX('DAILY TASK TRACKER'!$I$5:$I$1504,MATCH(SMALL('DAILY TASK TRACKER'!$BB$5:$BB$1504,1),'DAILY TASK TRACKER'!$BB$5:$BB$1504,0))="","",INDEX('DAILY TASK TRACKER'!$I$5:$I$1504,MATCH(SMALL('DAILY TASK TRACKER'!$BB$5:$BB$1504,1),'DAILY TASK TRACKER'!$BB$5:$BB$1504,0))),"")</f>
        <v/>
      </c>
      <c r="H66" s="51">
        <f>IFERROR(IF(INDEX('DAILY TASK TRACKER'!$L$5:$L$1504,MATCH(SMALL('DAILY TASK TRACKER'!$BB$5:$BB$1504,1),'DAILY TASK TRACKER'!$BB$5:$BB$1504,0))="","",INDEX('DAILY TASK TRACKER'!$L$5:$L$1504,MATCH(SMALL('DAILY TASK TRACKER'!$BB$5:$BB$1504,1),'DAILY TASK TRACKER'!$BB$5:$BB$1504,0))),"")</f>
        <v>46290.0</v>
      </c>
      <c r="I66" s="52">
        <f>IFERROR(IF(INDEX('DAILY TASK TRACKER'!$AD$5:$AD$1504,MATCH(SMALL('DAILY TASK TRACKER'!$BB$5:$BB$1504,1),'DAILY TASK TRACKER'!$BB$5:$BB$1504,0))="","",INDEX('DAILY TASK TRACKER'!$AD$5:$AD$1504,MATCH(SMALL('DAILY TASK TRACKER'!$BB$5:$BB$1504,1),'DAILY TASK TRACKER'!$BB$5:$BB$1504,0))),"")</f>
        <v>10</v>
      </c>
      <c r="K66" s="49" t="str">
        <f>IFERROR(IF(INDEX('DAILY TASK TRACKER'!$B$5:$B$1504,MATCH(SMALL('DAILY TASK TRACKER'!$BC$5:$BC$1504,1),'DAILY TASK TRACKER'!$BC$5:$BC$1504,0))="","",INDEX('DAILY TASK TRACKER'!$B$5:$B$1504,MATCH(SMALL('DAILY TASK TRACKER'!$BC$5:$BC$1504,1),'DAILY TASK TRACKER'!$BC$5:$BC$1504,0))),"- none -")</f>
        <v>- none -</v>
      </c>
      <c r="L66" s="50" t="str">
        <f>IFERROR(IF(INDEX('DAILY TASK TRACKER'!$C$5:$C$1504,MATCH(SMALL('DAILY TASK TRACKER'!$BC$5:$BC$1504,1),'DAILY TASK TRACKER'!$BC$5:$BC$1504,0))="","",INDEX('DAILY TASK TRACKER'!$C$5:$C$1504,MATCH(SMALL('DAILY TASK TRACKER'!$BC$5:$BC$1504,1),'DAILY TASK TRACKER'!$BC$5:$BC$1504,0))),"")</f>
        <v/>
      </c>
      <c r="M66" s="50" t="str">
        <f>IFERROR(IF(INDEX('DAILY TASK TRACKER'!$G$5:$G$1504,MATCH(SMALL('DAILY TASK TRACKER'!$BC$5:$BC$1504,1),'DAILY TASK TRACKER'!$BC$5:$BC$1504,0))="","",INDEX('DAILY TASK TRACKER'!$G$5:$G$1504,MATCH(SMALL('DAILY TASK TRACKER'!$BC$5:$BC$1504,1),'DAILY TASK TRACKER'!$BC$5:$BC$1504,0))),"")</f>
        <v/>
      </c>
      <c r="N66" s="41" t="n"/>
      <c r="O66" s="50" t="str">
        <f>IFERROR(IF(INDEX('DAILY TASK TRACKER'!$T$5:$T$1504,MATCH(SMALL('DAILY TASK TRACKER'!$BC$5:$BC$1504,1),'DAILY TASK TRACKER'!$BC$5:$BC$1504,0))="","",INDEX('DAILY TASK TRACKER'!$T$5:$T$1504,MATCH(SMALL('DAILY TASK TRACKER'!$BC$5:$BC$1504,1),'DAILY TASK TRACKER'!$BC$5:$BC$1504,0))),"")</f>
        <v/>
      </c>
      <c r="P66" s="41" t="n"/>
      <c r="Q66" s="41" t="n"/>
      <c r="R66" s="50" t="str">
        <f>IFERROR(IF(INDEX('DAILY TASK TRACKER'!$I$5:$I$1504,MATCH(SMALL('DAILY TASK TRACKER'!$BC$5:$BC$1504,1),'DAILY TASK TRACKER'!$BC$5:$BC$1504,0))="","",INDEX('DAILY TASK TRACKER'!$I$5:$I$1504,MATCH(SMALL('DAILY TASK TRACKER'!$BC$5:$BC$1504,1),'DAILY TASK TRACKER'!$BC$5:$BC$1504,0))),"")</f>
        <v/>
      </c>
    </row>
    <row r="67" ht="26" customHeight="1">
      <c r="B67" s="50" t="str">
        <f>IFERROR(IF(INDEX('DAILY TASK TRACKER'!$B$5:$B$1504,MATCH(SMALL('DAILY TASK TRACKER'!$BB$5:$BB$1504,2),'DAILY TASK TRACKER'!$BB$5:$BB$1504,0))="","",INDEX('DAILY TASK TRACKER'!$B$5:$B$1504,MATCH(SMALL('DAILY TASK TRACKER'!$BB$5:$BB$1504,2),'DAILY TASK TRACKER'!$BB$5:$BB$1504,0))),"")</f>
        <v>Surbhi Pandey</v>
      </c>
      <c r="C67" s="50" t="str">
        <f>IFERROR(IF(INDEX('DAILY TASK TRACKER'!$C$5:$C$1504,MATCH(SMALL('DAILY TASK TRACKER'!$BB$5:$BB$1504,2),'DAILY TASK TRACKER'!$BB$5:$BB$1504,0))="","",INDEX('DAILY TASK TRACKER'!$C$5:$C$1504,MATCH(SMALL('DAILY TASK TRACKER'!$BB$5:$BB$1504,2),'DAILY TASK TRACKER'!$BB$5:$BB$1504,0))),"")</f>
        <v>SAP</v>
      </c>
      <c r="D67" s="50" t="str">
        <f>IFERROR(IF(INDEX('DAILY TASK TRACKER'!$G$5:$G$1504,MATCH(SMALL('DAILY TASK TRACKER'!$BB$5:$BB$1504,2),'DAILY TASK TRACKER'!$BB$5:$BB$1504,0))="","",INDEX('DAILY TASK TRACKER'!$G$5:$G$1504,MATCH(SMALL('DAILY TASK TRACKER'!$BB$5:$BB$1504,2),'DAILY TASK TRACKER'!$BB$5:$BB$1504,0))),"")</f>
        <v>Content Syndication - Email + WhatsApp deployment</v>
      </c>
      <c r="E67" s="41" t="n"/>
      <c r="F67" s="41" t="n"/>
      <c r="G67" s="50" t="str">
        <f>IFERROR(IF(INDEX('DAILY TASK TRACKER'!$I$5:$I$1504,MATCH(SMALL('DAILY TASK TRACKER'!$BB$5:$BB$1504,2),'DAILY TASK TRACKER'!$BB$5:$BB$1504,0))="","",INDEX('DAILY TASK TRACKER'!$I$5:$I$1504,MATCH(SMALL('DAILY TASK TRACKER'!$BB$5:$BB$1504,2),'DAILY TASK TRACKER'!$BB$5:$BB$1504,0))),"")</f>
        <v/>
      </c>
      <c r="H67" s="51">
        <f>IFERROR(IF(INDEX('DAILY TASK TRACKER'!$L$5:$L$1504,MATCH(SMALL('DAILY TASK TRACKER'!$BB$5:$BB$1504,2),'DAILY TASK TRACKER'!$BB$5:$BB$1504,0))="","",INDEX('DAILY TASK TRACKER'!$L$5:$L$1504,MATCH(SMALL('DAILY TASK TRACKER'!$BB$5:$BB$1504,2),'DAILY TASK TRACKER'!$BB$5:$BB$1504,0))),"")</f>
        <v>46290.0</v>
      </c>
      <c r="I67" s="52">
        <f>IFERROR(IF(INDEX('DAILY TASK TRACKER'!$AD$5:$AD$1504,MATCH(SMALL('DAILY TASK TRACKER'!$BB$5:$BB$1504,2),'DAILY TASK TRACKER'!$BB$5:$BB$1504,0))="","",INDEX('DAILY TASK TRACKER'!$AD$5:$AD$1504,MATCH(SMALL('DAILY TASK TRACKER'!$BB$5:$BB$1504,2),'DAILY TASK TRACKER'!$BB$5:$BB$1504,0))),"")</f>
        <v>10</v>
      </c>
      <c r="K67" s="50" t="str">
        <f>IFERROR(IF(INDEX('DAILY TASK TRACKER'!$B$5:$B$1504,MATCH(SMALL('DAILY TASK TRACKER'!$BC$5:$BC$1504,2),'DAILY TASK TRACKER'!$BC$5:$BC$1504,0))="","",INDEX('DAILY TASK TRACKER'!$B$5:$B$1504,MATCH(SMALL('DAILY TASK TRACKER'!$BC$5:$BC$1504,2),'DAILY TASK TRACKER'!$BC$5:$BC$1504,0))),"")</f>
        <v/>
      </c>
      <c r="L67" s="50" t="str">
        <f>IFERROR(IF(INDEX('DAILY TASK TRACKER'!$C$5:$C$1504,MATCH(SMALL('DAILY TASK TRACKER'!$BC$5:$BC$1504,2),'DAILY TASK TRACKER'!$BC$5:$BC$1504,0))="","",INDEX('DAILY TASK TRACKER'!$C$5:$C$1504,MATCH(SMALL('DAILY TASK TRACKER'!$BC$5:$BC$1504,2),'DAILY TASK TRACKER'!$BC$5:$BC$1504,0))),"")</f>
        <v/>
      </c>
      <c r="M67" s="50" t="str">
        <f>IFERROR(IF(INDEX('DAILY TASK TRACKER'!$G$5:$G$1504,MATCH(SMALL('DAILY TASK TRACKER'!$BC$5:$BC$1504,2),'DAILY TASK TRACKER'!$BC$5:$BC$1504,0))="","",INDEX('DAILY TASK TRACKER'!$G$5:$G$1504,MATCH(SMALL('DAILY TASK TRACKER'!$BC$5:$BC$1504,2),'DAILY TASK TRACKER'!$BC$5:$BC$1504,0))),"")</f>
        <v/>
      </c>
      <c r="N67" s="41" t="n"/>
      <c r="O67" s="50" t="str">
        <f>IFERROR(IF(INDEX('DAILY TASK TRACKER'!$T$5:$T$1504,MATCH(SMALL('DAILY TASK TRACKER'!$BC$5:$BC$1504,2),'DAILY TASK TRACKER'!$BC$5:$BC$1504,0))="","",INDEX('DAILY TASK TRACKER'!$T$5:$T$1504,MATCH(SMALL('DAILY TASK TRACKER'!$BC$5:$BC$1504,2),'DAILY TASK TRACKER'!$BC$5:$BC$1504,0))),"")</f>
        <v/>
      </c>
      <c r="P67" s="41" t="n"/>
      <c r="Q67" s="41" t="n"/>
      <c r="R67" s="50" t="str">
        <f>IFERROR(IF(INDEX('DAILY TASK TRACKER'!$I$5:$I$1504,MATCH(SMALL('DAILY TASK TRACKER'!$BC$5:$BC$1504,2),'DAILY TASK TRACKER'!$BC$5:$BC$1504,0))="","",INDEX('DAILY TASK TRACKER'!$I$5:$I$1504,MATCH(SMALL('DAILY TASK TRACKER'!$BC$5:$BC$1504,2),'DAILY TASK TRACKER'!$BC$5:$BC$1504,0))),"")</f>
        <v/>
      </c>
    </row>
    <row r="68" ht="26" customHeight="1">
      <c r="B68" s="50" t="str">
        <f>IFERROR(IF(INDEX('DAILY TASK TRACKER'!$B$5:$B$1504,MATCH(SMALL('DAILY TASK TRACKER'!$BB$5:$BB$1504,3),'DAILY TASK TRACKER'!$BB$5:$BB$1504,0))="","",INDEX('DAILY TASK TRACKER'!$B$5:$B$1504,MATCH(SMALL('DAILY TASK TRACKER'!$BB$5:$BB$1504,3),'DAILY TASK TRACKER'!$BB$5:$BB$1504,0))),"")</f>
        <v>Surbhi Pandey</v>
      </c>
      <c r="C68" s="50" t="str">
        <f>IFERROR(IF(INDEX('DAILY TASK TRACKER'!$C$5:$C$1504,MATCH(SMALL('DAILY TASK TRACKER'!$BB$5:$BB$1504,3),'DAILY TASK TRACKER'!$BB$5:$BB$1504,0))="","",INDEX('DAILY TASK TRACKER'!$C$5:$C$1504,MATCH(SMALL('DAILY TASK TRACKER'!$BB$5:$BB$1504,3),'DAILY TASK TRACKER'!$BB$5:$BB$1504,0))),"")</f>
        <v>SAP</v>
      </c>
      <c r="D68" s="50" t="str">
        <f>IFERROR(IF(INDEX('DAILY TASK TRACKER'!$G$5:$G$1504,MATCH(SMALL('DAILY TASK TRACKER'!$BB$5:$BB$1504,3),'DAILY TASK TRACKER'!$BB$5:$BB$1504,0))="","",INDEX('DAILY TASK TRACKER'!$G$5:$G$1504,MATCH(SMALL('DAILY TASK TRACKER'!$BB$5:$BB$1504,3),'DAILY TASK TRACKER'!$BB$5:$BB$1504,0))),"")</f>
        <v>Content Syndication - Email + WhatsApp deployment</v>
      </c>
      <c r="E68" s="41" t="n"/>
      <c r="F68" s="41" t="n"/>
      <c r="G68" s="50" t="str">
        <f>IFERROR(IF(INDEX('DAILY TASK TRACKER'!$I$5:$I$1504,MATCH(SMALL('DAILY TASK TRACKER'!$BB$5:$BB$1504,3),'DAILY TASK TRACKER'!$BB$5:$BB$1504,0))="","",INDEX('DAILY TASK TRACKER'!$I$5:$I$1504,MATCH(SMALL('DAILY TASK TRACKER'!$BB$5:$BB$1504,3),'DAILY TASK TRACKER'!$BB$5:$BB$1504,0))),"")</f>
        <v/>
      </c>
      <c r="H68" s="51">
        <f>IFERROR(IF(INDEX('DAILY TASK TRACKER'!$L$5:$L$1504,MATCH(SMALL('DAILY TASK TRACKER'!$BB$5:$BB$1504,3),'DAILY TASK TRACKER'!$BB$5:$BB$1504,0))="","",INDEX('DAILY TASK TRACKER'!$L$5:$L$1504,MATCH(SMALL('DAILY TASK TRACKER'!$BB$5:$BB$1504,3),'DAILY TASK TRACKER'!$BB$5:$BB$1504,0))),"")</f>
        <v>46295.0</v>
      </c>
      <c r="I68" s="52">
        <f>IFERROR(IF(INDEX('DAILY TASK TRACKER'!$AD$5:$AD$1504,MATCH(SMALL('DAILY TASK TRACKER'!$BB$5:$BB$1504,3),'DAILY TASK TRACKER'!$BB$5:$BB$1504,0))="","",INDEX('DAILY TASK TRACKER'!$AD$5:$AD$1504,MATCH(SMALL('DAILY TASK TRACKER'!$BB$5:$BB$1504,3),'DAILY TASK TRACKER'!$BB$5:$BB$1504,0))),"")</f>
        <v>5</v>
      </c>
      <c r="K68" s="50" t="str">
        <f>IFERROR(IF(INDEX('DAILY TASK TRACKER'!$B$5:$B$1504,MATCH(SMALL('DAILY TASK TRACKER'!$BC$5:$BC$1504,3),'DAILY TASK TRACKER'!$BC$5:$BC$1504,0))="","",INDEX('DAILY TASK TRACKER'!$B$5:$B$1504,MATCH(SMALL('DAILY TASK TRACKER'!$BC$5:$BC$1504,3),'DAILY TASK TRACKER'!$BC$5:$BC$1504,0))),"")</f>
        <v/>
      </c>
      <c r="L68" s="50" t="str">
        <f>IFERROR(IF(INDEX('DAILY TASK TRACKER'!$C$5:$C$1504,MATCH(SMALL('DAILY TASK TRACKER'!$BC$5:$BC$1504,3),'DAILY TASK TRACKER'!$BC$5:$BC$1504,0))="","",INDEX('DAILY TASK TRACKER'!$C$5:$C$1504,MATCH(SMALL('DAILY TASK TRACKER'!$BC$5:$BC$1504,3),'DAILY TASK TRACKER'!$BC$5:$BC$1504,0))),"")</f>
        <v/>
      </c>
      <c r="M68" s="50" t="str">
        <f>IFERROR(IF(INDEX('DAILY TASK TRACKER'!$G$5:$G$1504,MATCH(SMALL('DAILY TASK TRACKER'!$BC$5:$BC$1504,3),'DAILY TASK TRACKER'!$BC$5:$BC$1504,0))="","",INDEX('DAILY TASK TRACKER'!$G$5:$G$1504,MATCH(SMALL('DAILY TASK TRACKER'!$BC$5:$BC$1504,3),'DAILY TASK TRACKER'!$BC$5:$BC$1504,0))),"")</f>
        <v/>
      </c>
      <c r="N68" s="41" t="n"/>
      <c r="O68" s="50" t="str">
        <f>IFERROR(IF(INDEX('DAILY TASK TRACKER'!$T$5:$T$1504,MATCH(SMALL('DAILY TASK TRACKER'!$BC$5:$BC$1504,3),'DAILY TASK TRACKER'!$BC$5:$BC$1504,0))="","",INDEX('DAILY TASK TRACKER'!$T$5:$T$1504,MATCH(SMALL('DAILY TASK TRACKER'!$BC$5:$BC$1504,3),'DAILY TASK TRACKER'!$BC$5:$BC$1504,0))),"")</f>
        <v/>
      </c>
      <c r="P68" s="41" t="n"/>
      <c r="Q68" s="41" t="n"/>
      <c r="R68" s="50" t="str">
        <f>IFERROR(IF(INDEX('DAILY TASK TRACKER'!$I$5:$I$1504,MATCH(SMALL('DAILY TASK TRACKER'!$BC$5:$BC$1504,3),'DAILY TASK TRACKER'!$BC$5:$BC$1504,0))="","",INDEX('DAILY TASK TRACKER'!$I$5:$I$1504,MATCH(SMALL('DAILY TASK TRACKER'!$BC$5:$BC$1504,3),'DAILY TASK TRACKER'!$BC$5:$BC$1504,0))),"")</f>
        <v/>
      </c>
    </row>
    <row r="69" ht="26" customHeight="1">
      <c r="B69" s="50" t="str">
        <f>IFERROR(IF(INDEX('DAILY TASK TRACKER'!$B$5:$B$1504,MATCH(SMALL('DAILY TASK TRACKER'!$BB$5:$BB$1504,4),'DAILY TASK TRACKER'!$BB$5:$BB$1504,0))="","",INDEX('DAILY TASK TRACKER'!$B$5:$B$1504,MATCH(SMALL('DAILY TASK TRACKER'!$BB$5:$BB$1504,4),'DAILY TASK TRACKER'!$BB$5:$BB$1504,0))),"")</f>
        <v/>
      </c>
      <c r="C69" s="50" t="str">
        <f>IFERROR(IF(INDEX('DAILY TASK TRACKER'!$C$5:$C$1504,MATCH(SMALL('DAILY TASK TRACKER'!$BB$5:$BB$1504,4),'DAILY TASK TRACKER'!$BB$5:$BB$1504,0))="","",INDEX('DAILY TASK TRACKER'!$C$5:$C$1504,MATCH(SMALL('DAILY TASK TRACKER'!$BB$5:$BB$1504,4),'DAILY TASK TRACKER'!$BB$5:$BB$1504,0))),"")</f>
        <v/>
      </c>
      <c r="D69" s="50" t="str">
        <f>IFERROR(IF(INDEX('DAILY TASK TRACKER'!$G$5:$G$1504,MATCH(SMALL('DAILY TASK TRACKER'!$BB$5:$BB$1504,4),'DAILY TASK TRACKER'!$BB$5:$BB$1504,0))="","",INDEX('DAILY TASK TRACKER'!$G$5:$G$1504,MATCH(SMALL('DAILY TASK TRACKER'!$BB$5:$BB$1504,4),'DAILY TASK TRACKER'!$BB$5:$BB$1504,0))),"")</f>
        <v/>
      </c>
      <c r="E69" s="41" t="n"/>
      <c r="F69" s="41" t="n"/>
      <c r="G69" s="50" t="str">
        <f>IFERROR(IF(INDEX('DAILY TASK TRACKER'!$I$5:$I$1504,MATCH(SMALL('DAILY TASK TRACKER'!$BB$5:$BB$1504,4),'DAILY TASK TRACKER'!$BB$5:$BB$1504,0))="","",INDEX('DAILY TASK TRACKER'!$I$5:$I$1504,MATCH(SMALL('DAILY TASK TRACKER'!$BB$5:$BB$1504,4),'DAILY TASK TRACKER'!$BB$5:$BB$1504,0))),"")</f>
        <v/>
      </c>
      <c r="H69" s="51" t="str">
        <f>IFERROR(IF(INDEX('DAILY TASK TRACKER'!$L$5:$L$1504,MATCH(SMALL('DAILY TASK TRACKER'!$BB$5:$BB$1504,4),'DAILY TASK TRACKER'!$BB$5:$BB$1504,0))="","",INDEX('DAILY TASK TRACKER'!$L$5:$L$1504,MATCH(SMALL('DAILY TASK TRACKER'!$BB$5:$BB$1504,4),'DAILY TASK TRACKER'!$BB$5:$BB$1504,0))),"")</f>
        <v/>
      </c>
      <c r="I69" s="52" t="str">
        <f>IFERROR(IF(INDEX('DAILY TASK TRACKER'!$AD$5:$AD$1504,MATCH(SMALL('DAILY TASK TRACKER'!$BB$5:$BB$1504,4),'DAILY TASK TRACKER'!$BB$5:$BB$1504,0))="","",INDEX('DAILY TASK TRACKER'!$AD$5:$AD$1504,MATCH(SMALL('DAILY TASK TRACKER'!$BB$5:$BB$1504,4),'DAILY TASK TRACKER'!$BB$5:$BB$1504,0))),"")</f>
        <v/>
      </c>
      <c r="K69" s="50" t="str">
        <f>IFERROR(IF(INDEX('DAILY TASK TRACKER'!$B$5:$B$1504,MATCH(SMALL('DAILY TASK TRACKER'!$BC$5:$BC$1504,4),'DAILY TASK TRACKER'!$BC$5:$BC$1504,0))="","",INDEX('DAILY TASK TRACKER'!$B$5:$B$1504,MATCH(SMALL('DAILY TASK TRACKER'!$BC$5:$BC$1504,4),'DAILY TASK TRACKER'!$BC$5:$BC$1504,0))),"")</f>
        <v/>
      </c>
      <c r="L69" s="50" t="str">
        <f>IFERROR(IF(INDEX('DAILY TASK TRACKER'!$C$5:$C$1504,MATCH(SMALL('DAILY TASK TRACKER'!$BC$5:$BC$1504,4),'DAILY TASK TRACKER'!$BC$5:$BC$1504,0))="","",INDEX('DAILY TASK TRACKER'!$C$5:$C$1504,MATCH(SMALL('DAILY TASK TRACKER'!$BC$5:$BC$1504,4),'DAILY TASK TRACKER'!$BC$5:$BC$1504,0))),"")</f>
        <v/>
      </c>
      <c r="M69" s="50" t="str">
        <f>IFERROR(IF(INDEX('DAILY TASK TRACKER'!$G$5:$G$1504,MATCH(SMALL('DAILY TASK TRACKER'!$BC$5:$BC$1504,4),'DAILY TASK TRACKER'!$BC$5:$BC$1504,0))="","",INDEX('DAILY TASK TRACKER'!$G$5:$G$1504,MATCH(SMALL('DAILY TASK TRACKER'!$BC$5:$BC$1504,4),'DAILY TASK TRACKER'!$BC$5:$BC$1504,0))),"")</f>
        <v/>
      </c>
      <c r="N69" s="41" t="n"/>
      <c r="O69" s="50" t="str">
        <f>IFERROR(IF(INDEX('DAILY TASK TRACKER'!$T$5:$T$1504,MATCH(SMALL('DAILY TASK TRACKER'!$BC$5:$BC$1504,4),'DAILY TASK TRACKER'!$BC$5:$BC$1504,0))="","",INDEX('DAILY TASK TRACKER'!$T$5:$T$1504,MATCH(SMALL('DAILY TASK TRACKER'!$BC$5:$BC$1504,4),'DAILY TASK TRACKER'!$BC$5:$BC$1504,0))),"")</f>
        <v/>
      </c>
      <c r="P69" s="41" t="n"/>
      <c r="Q69" s="41" t="n"/>
      <c r="R69" s="50" t="str">
        <f>IFERROR(IF(INDEX('DAILY TASK TRACKER'!$I$5:$I$1504,MATCH(SMALL('DAILY TASK TRACKER'!$BC$5:$BC$1504,4),'DAILY TASK TRACKER'!$BC$5:$BC$1504,0))="","",INDEX('DAILY TASK TRACKER'!$I$5:$I$1504,MATCH(SMALL('DAILY TASK TRACKER'!$BC$5:$BC$1504,4),'DAILY TASK TRACKER'!$BC$5:$BC$1504,0))),"")</f>
        <v/>
      </c>
    </row>
    <row r="70" ht="26" customHeight="1">
      <c r="B70" s="50" t="str">
        <f>IFERROR(IF(INDEX('DAILY TASK TRACKER'!$B$5:$B$1504,MATCH(SMALL('DAILY TASK TRACKER'!$BB$5:$BB$1504,5),'DAILY TASK TRACKER'!$BB$5:$BB$1504,0))="","",INDEX('DAILY TASK TRACKER'!$B$5:$B$1504,MATCH(SMALL('DAILY TASK TRACKER'!$BB$5:$BB$1504,5),'DAILY TASK TRACKER'!$BB$5:$BB$1504,0))),"")</f>
        <v/>
      </c>
      <c r="C70" s="50" t="str">
        <f>IFERROR(IF(INDEX('DAILY TASK TRACKER'!$C$5:$C$1504,MATCH(SMALL('DAILY TASK TRACKER'!$BB$5:$BB$1504,5),'DAILY TASK TRACKER'!$BB$5:$BB$1504,0))="","",INDEX('DAILY TASK TRACKER'!$C$5:$C$1504,MATCH(SMALL('DAILY TASK TRACKER'!$BB$5:$BB$1504,5),'DAILY TASK TRACKER'!$BB$5:$BB$1504,0))),"")</f>
        <v/>
      </c>
      <c r="D70" s="50" t="str">
        <f>IFERROR(IF(INDEX('DAILY TASK TRACKER'!$G$5:$G$1504,MATCH(SMALL('DAILY TASK TRACKER'!$BB$5:$BB$1504,5),'DAILY TASK TRACKER'!$BB$5:$BB$1504,0))="","",INDEX('DAILY TASK TRACKER'!$G$5:$G$1504,MATCH(SMALL('DAILY TASK TRACKER'!$BB$5:$BB$1504,5),'DAILY TASK TRACKER'!$BB$5:$BB$1504,0))),"")</f>
        <v/>
      </c>
      <c r="E70" s="41" t="n"/>
      <c r="F70" s="41" t="n"/>
      <c r="G70" s="50" t="str">
        <f>IFERROR(IF(INDEX('DAILY TASK TRACKER'!$I$5:$I$1504,MATCH(SMALL('DAILY TASK TRACKER'!$BB$5:$BB$1504,5),'DAILY TASK TRACKER'!$BB$5:$BB$1504,0))="","",INDEX('DAILY TASK TRACKER'!$I$5:$I$1504,MATCH(SMALL('DAILY TASK TRACKER'!$BB$5:$BB$1504,5),'DAILY TASK TRACKER'!$BB$5:$BB$1504,0))),"")</f>
        <v/>
      </c>
      <c r="H70" s="51" t="str">
        <f>IFERROR(IF(INDEX('DAILY TASK TRACKER'!$L$5:$L$1504,MATCH(SMALL('DAILY TASK TRACKER'!$BB$5:$BB$1504,5),'DAILY TASK TRACKER'!$BB$5:$BB$1504,0))="","",INDEX('DAILY TASK TRACKER'!$L$5:$L$1504,MATCH(SMALL('DAILY TASK TRACKER'!$BB$5:$BB$1504,5),'DAILY TASK TRACKER'!$BB$5:$BB$1504,0))),"")</f>
        <v/>
      </c>
      <c r="I70" s="52" t="str">
        <f>IFERROR(IF(INDEX('DAILY TASK TRACKER'!$AD$5:$AD$1504,MATCH(SMALL('DAILY TASK TRACKER'!$BB$5:$BB$1504,5),'DAILY TASK TRACKER'!$BB$5:$BB$1504,0))="","",INDEX('DAILY TASK TRACKER'!$AD$5:$AD$1504,MATCH(SMALL('DAILY TASK TRACKER'!$BB$5:$BB$1504,5),'DAILY TASK TRACKER'!$BB$5:$BB$1504,0))),"")</f>
        <v/>
      </c>
      <c r="K70" s="50" t="str">
        <f>IFERROR(IF(INDEX('DAILY TASK TRACKER'!$B$5:$B$1504,MATCH(SMALL('DAILY TASK TRACKER'!$BC$5:$BC$1504,5),'DAILY TASK TRACKER'!$BC$5:$BC$1504,0))="","",INDEX('DAILY TASK TRACKER'!$B$5:$B$1504,MATCH(SMALL('DAILY TASK TRACKER'!$BC$5:$BC$1504,5),'DAILY TASK TRACKER'!$BC$5:$BC$1504,0))),"")</f>
        <v/>
      </c>
      <c r="L70" s="50" t="str">
        <f>IFERROR(IF(INDEX('DAILY TASK TRACKER'!$C$5:$C$1504,MATCH(SMALL('DAILY TASK TRACKER'!$BC$5:$BC$1504,5),'DAILY TASK TRACKER'!$BC$5:$BC$1504,0))="","",INDEX('DAILY TASK TRACKER'!$C$5:$C$1504,MATCH(SMALL('DAILY TASK TRACKER'!$BC$5:$BC$1504,5),'DAILY TASK TRACKER'!$BC$5:$BC$1504,0))),"")</f>
        <v/>
      </c>
      <c r="M70" s="50" t="str">
        <f>IFERROR(IF(INDEX('DAILY TASK TRACKER'!$G$5:$G$1504,MATCH(SMALL('DAILY TASK TRACKER'!$BC$5:$BC$1504,5),'DAILY TASK TRACKER'!$BC$5:$BC$1504,0))="","",INDEX('DAILY TASK TRACKER'!$G$5:$G$1504,MATCH(SMALL('DAILY TASK TRACKER'!$BC$5:$BC$1504,5),'DAILY TASK TRACKER'!$BC$5:$BC$1504,0))),"")</f>
        <v/>
      </c>
      <c r="N70" s="41" t="n"/>
      <c r="O70" s="50" t="str">
        <f>IFERROR(IF(INDEX('DAILY TASK TRACKER'!$T$5:$T$1504,MATCH(SMALL('DAILY TASK TRACKER'!$BC$5:$BC$1504,5),'DAILY TASK TRACKER'!$BC$5:$BC$1504,0))="","",INDEX('DAILY TASK TRACKER'!$T$5:$T$1504,MATCH(SMALL('DAILY TASK TRACKER'!$BC$5:$BC$1504,5),'DAILY TASK TRACKER'!$BC$5:$BC$1504,0))),"")</f>
        <v/>
      </c>
      <c r="P70" s="41" t="n"/>
      <c r="Q70" s="41" t="n"/>
      <c r="R70" s="50" t="str">
        <f>IFERROR(IF(INDEX('DAILY TASK TRACKER'!$I$5:$I$1504,MATCH(SMALL('DAILY TASK TRACKER'!$BC$5:$BC$1504,5),'DAILY TASK TRACKER'!$BC$5:$BC$1504,0))="","",INDEX('DAILY TASK TRACKER'!$I$5:$I$1504,MATCH(SMALL('DAILY TASK TRACKER'!$BC$5:$BC$1504,5),'DAILY TASK TRACKER'!$BC$5:$BC$1504,0))),"")</f>
        <v/>
      </c>
    </row>
    <row r="71" ht="26" customHeight="1">
      <c r="B71" s="50" t="str">
        <f>IFERROR(IF(INDEX('DAILY TASK TRACKER'!$B$5:$B$1504,MATCH(SMALL('DAILY TASK TRACKER'!$BB$5:$BB$1504,6),'DAILY TASK TRACKER'!$BB$5:$BB$1504,0))="","",INDEX('DAILY TASK TRACKER'!$B$5:$B$1504,MATCH(SMALL('DAILY TASK TRACKER'!$BB$5:$BB$1504,6),'DAILY TASK TRACKER'!$BB$5:$BB$1504,0))),"")</f>
        <v/>
      </c>
      <c r="C71" s="50" t="str">
        <f>IFERROR(IF(INDEX('DAILY TASK TRACKER'!$C$5:$C$1504,MATCH(SMALL('DAILY TASK TRACKER'!$BB$5:$BB$1504,6),'DAILY TASK TRACKER'!$BB$5:$BB$1504,0))="","",INDEX('DAILY TASK TRACKER'!$C$5:$C$1504,MATCH(SMALL('DAILY TASK TRACKER'!$BB$5:$BB$1504,6),'DAILY TASK TRACKER'!$BB$5:$BB$1504,0))),"")</f>
        <v/>
      </c>
      <c r="D71" s="50" t="str">
        <f>IFERROR(IF(INDEX('DAILY TASK TRACKER'!$G$5:$G$1504,MATCH(SMALL('DAILY TASK TRACKER'!$BB$5:$BB$1504,6),'DAILY TASK TRACKER'!$BB$5:$BB$1504,0))="","",INDEX('DAILY TASK TRACKER'!$G$5:$G$1504,MATCH(SMALL('DAILY TASK TRACKER'!$BB$5:$BB$1504,6),'DAILY TASK TRACKER'!$BB$5:$BB$1504,0))),"")</f>
        <v/>
      </c>
      <c r="E71" s="41" t="n"/>
      <c r="F71" s="41" t="n"/>
      <c r="G71" s="50" t="str">
        <f>IFERROR(IF(INDEX('DAILY TASK TRACKER'!$I$5:$I$1504,MATCH(SMALL('DAILY TASK TRACKER'!$BB$5:$BB$1504,6),'DAILY TASK TRACKER'!$BB$5:$BB$1504,0))="","",INDEX('DAILY TASK TRACKER'!$I$5:$I$1504,MATCH(SMALL('DAILY TASK TRACKER'!$BB$5:$BB$1504,6),'DAILY TASK TRACKER'!$BB$5:$BB$1504,0))),"")</f>
        <v/>
      </c>
      <c r="H71" s="51" t="str">
        <f>IFERROR(IF(INDEX('DAILY TASK TRACKER'!$L$5:$L$1504,MATCH(SMALL('DAILY TASK TRACKER'!$BB$5:$BB$1504,6),'DAILY TASK TRACKER'!$BB$5:$BB$1504,0))="","",INDEX('DAILY TASK TRACKER'!$L$5:$L$1504,MATCH(SMALL('DAILY TASK TRACKER'!$BB$5:$BB$1504,6),'DAILY TASK TRACKER'!$BB$5:$BB$1504,0))),"")</f>
        <v/>
      </c>
      <c r="I71" s="52" t="str">
        <f>IFERROR(IF(INDEX('DAILY TASK TRACKER'!$AD$5:$AD$1504,MATCH(SMALL('DAILY TASK TRACKER'!$BB$5:$BB$1504,6),'DAILY TASK TRACKER'!$BB$5:$BB$1504,0))="","",INDEX('DAILY TASK TRACKER'!$AD$5:$AD$1504,MATCH(SMALL('DAILY TASK TRACKER'!$BB$5:$BB$1504,6),'DAILY TASK TRACKER'!$BB$5:$BB$1504,0))),"")</f>
        <v/>
      </c>
      <c r="K71" s="50" t="str">
        <f>IFERROR(IF(INDEX('DAILY TASK TRACKER'!$B$5:$B$1504,MATCH(SMALL('DAILY TASK TRACKER'!$BC$5:$BC$1504,6),'DAILY TASK TRACKER'!$BC$5:$BC$1504,0))="","",INDEX('DAILY TASK TRACKER'!$B$5:$B$1504,MATCH(SMALL('DAILY TASK TRACKER'!$BC$5:$BC$1504,6),'DAILY TASK TRACKER'!$BC$5:$BC$1504,0))),"")</f>
        <v/>
      </c>
      <c r="L71" s="50" t="str">
        <f>IFERROR(IF(INDEX('DAILY TASK TRACKER'!$C$5:$C$1504,MATCH(SMALL('DAILY TASK TRACKER'!$BC$5:$BC$1504,6),'DAILY TASK TRACKER'!$BC$5:$BC$1504,0))="","",INDEX('DAILY TASK TRACKER'!$C$5:$C$1504,MATCH(SMALL('DAILY TASK TRACKER'!$BC$5:$BC$1504,6),'DAILY TASK TRACKER'!$BC$5:$BC$1504,0))),"")</f>
        <v/>
      </c>
      <c r="M71" s="50" t="str">
        <f>IFERROR(IF(INDEX('DAILY TASK TRACKER'!$G$5:$G$1504,MATCH(SMALL('DAILY TASK TRACKER'!$BC$5:$BC$1504,6),'DAILY TASK TRACKER'!$BC$5:$BC$1504,0))="","",INDEX('DAILY TASK TRACKER'!$G$5:$G$1504,MATCH(SMALL('DAILY TASK TRACKER'!$BC$5:$BC$1504,6),'DAILY TASK TRACKER'!$BC$5:$BC$1504,0))),"")</f>
        <v/>
      </c>
      <c r="N71" s="41" t="n"/>
      <c r="O71" s="50" t="str">
        <f>IFERROR(IF(INDEX('DAILY TASK TRACKER'!$T$5:$T$1504,MATCH(SMALL('DAILY TASK TRACKER'!$BC$5:$BC$1504,6),'DAILY TASK TRACKER'!$BC$5:$BC$1504,0))="","",INDEX('DAILY TASK TRACKER'!$T$5:$T$1504,MATCH(SMALL('DAILY TASK TRACKER'!$BC$5:$BC$1504,6),'DAILY TASK TRACKER'!$BC$5:$BC$1504,0))),"")</f>
        <v/>
      </c>
      <c r="P71" s="41" t="n"/>
      <c r="Q71" s="41" t="n"/>
      <c r="R71" s="50" t="str">
        <f>IFERROR(IF(INDEX('DAILY TASK TRACKER'!$I$5:$I$1504,MATCH(SMALL('DAILY TASK TRACKER'!$BC$5:$BC$1504,6),'DAILY TASK TRACKER'!$BC$5:$BC$1504,0))="","",INDEX('DAILY TASK TRACKER'!$I$5:$I$1504,MATCH(SMALL('DAILY TASK TRACKER'!$BC$5:$BC$1504,6),'DAILY TASK TRACKER'!$BC$5:$BC$1504,0))),"")</f>
        <v/>
      </c>
    </row>
    <row r="72" ht="26" customHeight="1">
      <c r="B72" s="50" t="str">
        <f>IFERROR(IF(INDEX('DAILY TASK TRACKER'!$B$5:$B$1504,MATCH(SMALL('DAILY TASK TRACKER'!$BB$5:$BB$1504,7),'DAILY TASK TRACKER'!$BB$5:$BB$1504,0))="","",INDEX('DAILY TASK TRACKER'!$B$5:$B$1504,MATCH(SMALL('DAILY TASK TRACKER'!$BB$5:$BB$1504,7),'DAILY TASK TRACKER'!$BB$5:$BB$1504,0))),"")</f>
        <v/>
      </c>
      <c r="C72" s="50" t="str">
        <f>IFERROR(IF(INDEX('DAILY TASK TRACKER'!$C$5:$C$1504,MATCH(SMALL('DAILY TASK TRACKER'!$BB$5:$BB$1504,7),'DAILY TASK TRACKER'!$BB$5:$BB$1504,0))="","",INDEX('DAILY TASK TRACKER'!$C$5:$C$1504,MATCH(SMALL('DAILY TASK TRACKER'!$BB$5:$BB$1504,7),'DAILY TASK TRACKER'!$BB$5:$BB$1504,0))),"")</f>
        <v/>
      </c>
      <c r="D72" s="50" t="str">
        <f>IFERROR(IF(INDEX('DAILY TASK TRACKER'!$G$5:$G$1504,MATCH(SMALL('DAILY TASK TRACKER'!$BB$5:$BB$1504,7),'DAILY TASK TRACKER'!$BB$5:$BB$1504,0))="","",INDEX('DAILY TASK TRACKER'!$G$5:$G$1504,MATCH(SMALL('DAILY TASK TRACKER'!$BB$5:$BB$1504,7),'DAILY TASK TRACKER'!$BB$5:$BB$1504,0))),"")</f>
        <v/>
      </c>
      <c r="E72" s="41" t="n"/>
      <c r="F72" s="41" t="n"/>
      <c r="G72" s="50" t="str">
        <f>IFERROR(IF(INDEX('DAILY TASK TRACKER'!$I$5:$I$1504,MATCH(SMALL('DAILY TASK TRACKER'!$BB$5:$BB$1504,7),'DAILY TASK TRACKER'!$BB$5:$BB$1504,0))="","",INDEX('DAILY TASK TRACKER'!$I$5:$I$1504,MATCH(SMALL('DAILY TASK TRACKER'!$BB$5:$BB$1504,7),'DAILY TASK TRACKER'!$BB$5:$BB$1504,0))),"")</f>
        <v/>
      </c>
      <c r="H72" s="51" t="str">
        <f>IFERROR(IF(INDEX('DAILY TASK TRACKER'!$L$5:$L$1504,MATCH(SMALL('DAILY TASK TRACKER'!$BB$5:$BB$1504,7),'DAILY TASK TRACKER'!$BB$5:$BB$1504,0))="","",INDEX('DAILY TASK TRACKER'!$L$5:$L$1504,MATCH(SMALL('DAILY TASK TRACKER'!$BB$5:$BB$1504,7),'DAILY TASK TRACKER'!$BB$5:$BB$1504,0))),"")</f>
        <v/>
      </c>
      <c r="I72" s="52" t="str">
        <f>IFERROR(IF(INDEX('DAILY TASK TRACKER'!$AD$5:$AD$1504,MATCH(SMALL('DAILY TASK TRACKER'!$BB$5:$BB$1504,7),'DAILY TASK TRACKER'!$BB$5:$BB$1504,0))="","",INDEX('DAILY TASK TRACKER'!$AD$5:$AD$1504,MATCH(SMALL('DAILY TASK TRACKER'!$BB$5:$BB$1504,7),'DAILY TASK TRACKER'!$BB$5:$BB$1504,0))),"")</f>
        <v/>
      </c>
      <c r="K72" s="50" t="str">
        <f>IFERROR(IF(INDEX('DAILY TASK TRACKER'!$B$5:$B$1504,MATCH(SMALL('DAILY TASK TRACKER'!$BC$5:$BC$1504,7),'DAILY TASK TRACKER'!$BC$5:$BC$1504,0))="","",INDEX('DAILY TASK TRACKER'!$B$5:$B$1504,MATCH(SMALL('DAILY TASK TRACKER'!$BC$5:$BC$1504,7),'DAILY TASK TRACKER'!$BC$5:$BC$1504,0))),"")</f>
        <v/>
      </c>
      <c r="L72" s="50" t="str">
        <f>IFERROR(IF(INDEX('DAILY TASK TRACKER'!$C$5:$C$1504,MATCH(SMALL('DAILY TASK TRACKER'!$BC$5:$BC$1504,7),'DAILY TASK TRACKER'!$BC$5:$BC$1504,0))="","",INDEX('DAILY TASK TRACKER'!$C$5:$C$1504,MATCH(SMALL('DAILY TASK TRACKER'!$BC$5:$BC$1504,7),'DAILY TASK TRACKER'!$BC$5:$BC$1504,0))),"")</f>
        <v/>
      </c>
      <c r="M72" s="50" t="str">
        <f>IFERROR(IF(INDEX('DAILY TASK TRACKER'!$G$5:$G$1504,MATCH(SMALL('DAILY TASK TRACKER'!$BC$5:$BC$1504,7),'DAILY TASK TRACKER'!$BC$5:$BC$1504,0))="","",INDEX('DAILY TASK TRACKER'!$G$5:$G$1504,MATCH(SMALL('DAILY TASK TRACKER'!$BC$5:$BC$1504,7),'DAILY TASK TRACKER'!$BC$5:$BC$1504,0))),"")</f>
        <v/>
      </c>
      <c r="N72" s="41" t="n"/>
      <c r="O72" s="50" t="str">
        <f>IFERROR(IF(INDEX('DAILY TASK TRACKER'!$T$5:$T$1504,MATCH(SMALL('DAILY TASK TRACKER'!$BC$5:$BC$1504,7),'DAILY TASK TRACKER'!$BC$5:$BC$1504,0))="","",INDEX('DAILY TASK TRACKER'!$T$5:$T$1504,MATCH(SMALL('DAILY TASK TRACKER'!$BC$5:$BC$1504,7),'DAILY TASK TRACKER'!$BC$5:$BC$1504,0))),"")</f>
        <v/>
      </c>
      <c r="P72" s="41" t="n"/>
      <c r="Q72" s="41" t="n"/>
      <c r="R72" s="50" t="str">
        <f>IFERROR(IF(INDEX('DAILY TASK TRACKER'!$I$5:$I$1504,MATCH(SMALL('DAILY TASK TRACKER'!$BC$5:$BC$1504,7),'DAILY TASK TRACKER'!$BC$5:$BC$1504,0))="","",INDEX('DAILY TASK TRACKER'!$I$5:$I$1504,MATCH(SMALL('DAILY TASK TRACKER'!$BC$5:$BC$1504,7),'DAILY TASK TRACKER'!$BC$5:$BC$1504,0))),"")</f>
        <v/>
      </c>
    </row>
    <row r="73" ht="26" customHeight="1">
      <c r="B73" s="50" t="str">
        <f>IFERROR(IF(INDEX('DAILY TASK TRACKER'!$B$5:$B$1504,MATCH(SMALL('DAILY TASK TRACKER'!$BB$5:$BB$1504,8),'DAILY TASK TRACKER'!$BB$5:$BB$1504,0))="","",INDEX('DAILY TASK TRACKER'!$B$5:$B$1504,MATCH(SMALL('DAILY TASK TRACKER'!$BB$5:$BB$1504,8),'DAILY TASK TRACKER'!$BB$5:$BB$1504,0))),"")</f>
        <v/>
      </c>
      <c r="C73" s="50" t="str">
        <f>IFERROR(IF(INDEX('DAILY TASK TRACKER'!$C$5:$C$1504,MATCH(SMALL('DAILY TASK TRACKER'!$BB$5:$BB$1504,8),'DAILY TASK TRACKER'!$BB$5:$BB$1504,0))="","",INDEX('DAILY TASK TRACKER'!$C$5:$C$1504,MATCH(SMALL('DAILY TASK TRACKER'!$BB$5:$BB$1504,8),'DAILY TASK TRACKER'!$BB$5:$BB$1504,0))),"")</f>
        <v/>
      </c>
      <c r="D73" s="50" t="str">
        <f>IFERROR(IF(INDEX('DAILY TASK TRACKER'!$G$5:$G$1504,MATCH(SMALL('DAILY TASK TRACKER'!$BB$5:$BB$1504,8),'DAILY TASK TRACKER'!$BB$5:$BB$1504,0))="","",INDEX('DAILY TASK TRACKER'!$G$5:$G$1504,MATCH(SMALL('DAILY TASK TRACKER'!$BB$5:$BB$1504,8),'DAILY TASK TRACKER'!$BB$5:$BB$1504,0))),"")</f>
        <v/>
      </c>
      <c r="E73" s="41" t="n"/>
      <c r="F73" s="41" t="n"/>
      <c r="G73" s="50" t="str">
        <f>IFERROR(IF(INDEX('DAILY TASK TRACKER'!$I$5:$I$1504,MATCH(SMALL('DAILY TASK TRACKER'!$BB$5:$BB$1504,8),'DAILY TASK TRACKER'!$BB$5:$BB$1504,0))="","",INDEX('DAILY TASK TRACKER'!$I$5:$I$1504,MATCH(SMALL('DAILY TASK TRACKER'!$BB$5:$BB$1504,8),'DAILY TASK TRACKER'!$BB$5:$BB$1504,0))),"")</f>
        <v/>
      </c>
      <c r="H73" s="51" t="str">
        <f>IFERROR(IF(INDEX('DAILY TASK TRACKER'!$L$5:$L$1504,MATCH(SMALL('DAILY TASK TRACKER'!$BB$5:$BB$1504,8),'DAILY TASK TRACKER'!$BB$5:$BB$1504,0))="","",INDEX('DAILY TASK TRACKER'!$L$5:$L$1504,MATCH(SMALL('DAILY TASK TRACKER'!$BB$5:$BB$1504,8),'DAILY TASK TRACKER'!$BB$5:$BB$1504,0))),"")</f>
        <v/>
      </c>
      <c r="I73" s="52" t="str">
        <f>IFERROR(IF(INDEX('DAILY TASK TRACKER'!$AD$5:$AD$1504,MATCH(SMALL('DAILY TASK TRACKER'!$BB$5:$BB$1504,8),'DAILY TASK TRACKER'!$BB$5:$BB$1504,0))="","",INDEX('DAILY TASK TRACKER'!$AD$5:$AD$1504,MATCH(SMALL('DAILY TASK TRACKER'!$BB$5:$BB$1504,8),'DAILY TASK TRACKER'!$BB$5:$BB$1504,0))),"")</f>
        <v/>
      </c>
      <c r="K73" s="50" t="str">
        <f>IFERROR(IF(INDEX('DAILY TASK TRACKER'!$B$5:$B$1504,MATCH(SMALL('DAILY TASK TRACKER'!$BC$5:$BC$1504,8),'DAILY TASK TRACKER'!$BC$5:$BC$1504,0))="","",INDEX('DAILY TASK TRACKER'!$B$5:$B$1504,MATCH(SMALL('DAILY TASK TRACKER'!$BC$5:$BC$1504,8),'DAILY TASK TRACKER'!$BC$5:$BC$1504,0))),"")</f>
        <v/>
      </c>
      <c r="L73" s="50" t="str">
        <f>IFERROR(IF(INDEX('DAILY TASK TRACKER'!$C$5:$C$1504,MATCH(SMALL('DAILY TASK TRACKER'!$BC$5:$BC$1504,8),'DAILY TASK TRACKER'!$BC$5:$BC$1504,0))="","",INDEX('DAILY TASK TRACKER'!$C$5:$C$1504,MATCH(SMALL('DAILY TASK TRACKER'!$BC$5:$BC$1504,8),'DAILY TASK TRACKER'!$BC$5:$BC$1504,0))),"")</f>
        <v/>
      </c>
      <c r="M73" s="50" t="str">
        <f>IFERROR(IF(INDEX('DAILY TASK TRACKER'!$G$5:$G$1504,MATCH(SMALL('DAILY TASK TRACKER'!$BC$5:$BC$1504,8),'DAILY TASK TRACKER'!$BC$5:$BC$1504,0))="","",INDEX('DAILY TASK TRACKER'!$G$5:$G$1504,MATCH(SMALL('DAILY TASK TRACKER'!$BC$5:$BC$1504,8),'DAILY TASK TRACKER'!$BC$5:$BC$1504,0))),"")</f>
        <v/>
      </c>
      <c r="N73" s="41" t="n"/>
      <c r="O73" s="50" t="str">
        <f>IFERROR(IF(INDEX('DAILY TASK TRACKER'!$T$5:$T$1504,MATCH(SMALL('DAILY TASK TRACKER'!$BC$5:$BC$1504,8),'DAILY TASK TRACKER'!$BC$5:$BC$1504,0))="","",INDEX('DAILY TASK TRACKER'!$T$5:$T$1504,MATCH(SMALL('DAILY TASK TRACKER'!$BC$5:$BC$1504,8),'DAILY TASK TRACKER'!$BC$5:$BC$1504,0))),"")</f>
        <v/>
      </c>
      <c r="P73" s="41" t="n"/>
      <c r="Q73" s="41" t="n"/>
      <c r="R73" s="50" t="str">
        <f>IFERROR(IF(INDEX('DAILY TASK TRACKER'!$I$5:$I$1504,MATCH(SMALL('DAILY TASK TRACKER'!$BC$5:$BC$1504,8),'DAILY TASK TRACKER'!$BC$5:$BC$1504,0))="","",INDEX('DAILY TASK TRACKER'!$I$5:$I$1504,MATCH(SMALL('DAILY TASK TRACKER'!$BC$5:$BC$1504,8),'DAILY TASK TRACKER'!$BC$5:$BC$1504,0))),"")</f>
        <v/>
      </c>
    </row>
    <row r="75" ht="20" customHeight="1">
      <c r="B75" s="37" t="inlineStr">
        <is>
          <t>Q12. Decisions / approvals required from me</t>
        </is>
      </c>
      <c r="C75" s="33" t="n"/>
      <c r="D75" s="33" t="n"/>
      <c r="E75" s="33" t="n"/>
      <c r="F75" s="33" t="n"/>
      <c r="G75" s="33" t="n"/>
      <c r="H75" s="33" t="n"/>
      <c r="I75" s="33" t="n"/>
      <c r="K75" s="37" t="inlineStr">
        <is>
          <t>Q13. Escalate to Rajesh</t>
        </is>
      </c>
      <c r="L75" s="33" t="n"/>
      <c r="M75" s="33" t="n"/>
      <c r="N75" s="33" t="n"/>
      <c r="O75" s="33" t="n"/>
      <c r="P75" s="33" t="n"/>
      <c r="Q75" s="33" t="n"/>
      <c r="R75" s="33" t="n"/>
    </row>
    <row r="76" ht="22" customHeight="1">
      <c r="B76" s="38" t="inlineStr">
        <is>
          <t>Team Member</t>
        </is>
      </c>
      <c r="C76" s="38" t="inlineStr">
        <is>
          <t>Client</t>
        </is>
      </c>
      <c r="D76" s="38" t="inlineStr">
        <is>
          <t>Task</t>
        </is>
      </c>
      <c r="E76" s="39" t="n"/>
      <c r="F76" s="39" t="n"/>
      <c r="G76" s="38" t="inlineStr">
        <is>
          <t>Next Action</t>
        </is>
      </c>
      <c r="H76" s="39" t="n"/>
      <c r="I76" s="38" t="inlineStr">
        <is>
          <t>Due</t>
        </is>
      </c>
      <c r="K76" s="38" t="inlineStr">
        <is>
          <t>Team Member</t>
        </is>
      </c>
      <c r="L76" s="38" t="inlineStr">
        <is>
          <t>Client</t>
        </is>
      </c>
      <c r="M76" s="38" t="inlineStr">
        <is>
          <t>Task</t>
        </is>
      </c>
      <c r="N76" s="39" t="n"/>
      <c r="O76" s="39" t="n"/>
      <c r="P76" s="38" t="inlineStr">
        <is>
          <t>Blocker</t>
        </is>
      </c>
      <c r="Q76" s="39" t="n"/>
      <c r="R76" s="38" t="inlineStr">
        <is>
          <t>Due</t>
        </is>
      </c>
    </row>
    <row r="77" ht="26" customHeight="1">
      <c r="B77" s="49" t="str">
        <f>IFERROR(IF(INDEX('DAILY TASK TRACKER'!$B$5:$B$1504,MATCH(SMALL('DAILY TASK TRACKER'!$BH$5:$BH$1504,1),'DAILY TASK TRACKER'!$BH$5:$BH$1504,0))="","",INDEX('DAILY TASK TRACKER'!$B$5:$B$1504,MATCH(SMALL('DAILY TASK TRACKER'!$BH$5:$BH$1504,1),'DAILY TASK TRACKER'!$BH$5:$BH$1504,0))),"- none -")</f>
        <v>- none -</v>
      </c>
      <c r="C77" s="50" t="str">
        <f>IFERROR(IF(INDEX('DAILY TASK TRACKER'!$C$5:$C$1504,MATCH(SMALL('DAILY TASK TRACKER'!$BH$5:$BH$1504,1),'DAILY TASK TRACKER'!$BH$5:$BH$1504,0))="","",INDEX('DAILY TASK TRACKER'!$C$5:$C$1504,MATCH(SMALL('DAILY TASK TRACKER'!$BH$5:$BH$1504,1),'DAILY TASK TRACKER'!$BH$5:$BH$1504,0))),"")</f>
        <v/>
      </c>
      <c r="D77" s="50" t="str">
        <f>IFERROR(IF(INDEX('DAILY TASK TRACKER'!$G$5:$G$1504,MATCH(SMALL('DAILY TASK TRACKER'!$BH$5:$BH$1504,1),'DAILY TASK TRACKER'!$BH$5:$BH$1504,0))="","",INDEX('DAILY TASK TRACKER'!$G$5:$G$1504,MATCH(SMALL('DAILY TASK TRACKER'!$BH$5:$BH$1504,1),'DAILY TASK TRACKER'!$BH$5:$BH$1504,0))),"")</f>
        <v/>
      </c>
      <c r="E77" s="41" t="n"/>
      <c r="F77" s="41" t="n"/>
      <c r="G77" s="50" t="str">
        <f>IFERROR(IF(INDEX('DAILY TASK TRACKER'!$V$5:$V$1504,MATCH(SMALL('DAILY TASK TRACKER'!$BH$5:$BH$1504,1),'DAILY TASK TRACKER'!$BH$5:$BH$1504,0))="","",INDEX('DAILY TASK TRACKER'!$V$5:$V$1504,MATCH(SMALL('DAILY TASK TRACKER'!$BH$5:$BH$1504,1),'DAILY TASK TRACKER'!$BH$5:$BH$1504,0))),"")</f>
        <v/>
      </c>
      <c r="H77" s="41" t="n"/>
      <c r="I77" s="51" t="str">
        <f>IFERROR(IF(INDEX('DAILY TASK TRACKER'!$L$5:$L$1504,MATCH(SMALL('DAILY TASK TRACKER'!$BH$5:$BH$1504,1),'DAILY TASK TRACKER'!$BH$5:$BH$1504,0))="","",INDEX('DAILY TASK TRACKER'!$L$5:$L$1504,MATCH(SMALL('DAILY TASK TRACKER'!$BH$5:$BH$1504,1),'DAILY TASK TRACKER'!$BH$5:$BH$1504,0))),"")</f>
        <v/>
      </c>
      <c r="K77" s="49" t="str">
        <f>IFERROR(IF(INDEX('DAILY TASK TRACKER'!$B$5:$B$1504,MATCH(SMALL('DAILY TASK TRACKER'!$BI$5:$BI$1504,1),'DAILY TASK TRACKER'!$BI$5:$BI$1504,0))="","",INDEX('DAILY TASK TRACKER'!$B$5:$B$1504,MATCH(SMALL('DAILY TASK TRACKER'!$BI$5:$BI$1504,1),'DAILY TASK TRACKER'!$BI$5:$BI$1504,0))),"- none -")</f>
        <v>- none -</v>
      </c>
      <c r="L77" s="50" t="str">
        <f>IFERROR(IF(INDEX('DAILY TASK TRACKER'!$C$5:$C$1504,MATCH(SMALL('DAILY TASK TRACKER'!$BI$5:$BI$1504,1),'DAILY TASK TRACKER'!$BI$5:$BI$1504,0))="","",INDEX('DAILY TASK TRACKER'!$C$5:$C$1504,MATCH(SMALL('DAILY TASK TRACKER'!$BI$5:$BI$1504,1),'DAILY TASK TRACKER'!$BI$5:$BI$1504,0))),"")</f>
        <v/>
      </c>
      <c r="M77" s="50" t="str">
        <f>IFERROR(IF(INDEX('DAILY TASK TRACKER'!$G$5:$G$1504,MATCH(SMALL('DAILY TASK TRACKER'!$BI$5:$BI$1504,1),'DAILY TASK TRACKER'!$BI$5:$BI$1504,0))="","",INDEX('DAILY TASK TRACKER'!$G$5:$G$1504,MATCH(SMALL('DAILY TASK TRACKER'!$BI$5:$BI$1504,1),'DAILY TASK TRACKER'!$BI$5:$BI$1504,0))),"")</f>
        <v/>
      </c>
      <c r="N77" s="41" t="n"/>
      <c r="O77" s="41" t="n"/>
      <c r="P77" s="50" t="str">
        <f>IFERROR(IF(INDEX('DAILY TASK TRACKER'!$T$5:$T$1504,MATCH(SMALL('DAILY TASK TRACKER'!$BI$5:$BI$1504,1),'DAILY TASK TRACKER'!$BI$5:$BI$1504,0))="","",INDEX('DAILY TASK TRACKER'!$T$5:$T$1504,MATCH(SMALL('DAILY TASK TRACKER'!$BI$5:$BI$1504,1),'DAILY TASK TRACKER'!$BI$5:$BI$1504,0))),"")</f>
        <v/>
      </c>
      <c r="Q77" s="41" t="n"/>
      <c r="R77" s="51" t="str">
        <f>IFERROR(IF(INDEX('DAILY TASK TRACKER'!$L$5:$L$1504,MATCH(SMALL('DAILY TASK TRACKER'!$BI$5:$BI$1504,1),'DAILY TASK TRACKER'!$BI$5:$BI$1504,0))="","",INDEX('DAILY TASK TRACKER'!$L$5:$L$1504,MATCH(SMALL('DAILY TASK TRACKER'!$BI$5:$BI$1504,1),'DAILY TASK TRACKER'!$BI$5:$BI$1504,0))),"")</f>
        <v/>
      </c>
    </row>
    <row r="78" ht="26" customHeight="1">
      <c r="B78" s="50" t="str">
        <f>IFERROR(IF(INDEX('DAILY TASK TRACKER'!$B$5:$B$1504,MATCH(SMALL('DAILY TASK TRACKER'!$BH$5:$BH$1504,2),'DAILY TASK TRACKER'!$BH$5:$BH$1504,0))="","",INDEX('DAILY TASK TRACKER'!$B$5:$B$1504,MATCH(SMALL('DAILY TASK TRACKER'!$BH$5:$BH$1504,2),'DAILY TASK TRACKER'!$BH$5:$BH$1504,0))),"")</f>
        <v/>
      </c>
      <c r="C78" s="50" t="str">
        <f>IFERROR(IF(INDEX('DAILY TASK TRACKER'!$C$5:$C$1504,MATCH(SMALL('DAILY TASK TRACKER'!$BH$5:$BH$1504,2),'DAILY TASK TRACKER'!$BH$5:$BH$1504,0))="","",INDEX('DAILY TASK TRACKER'!$C$5:$C$1504,MATCH(SMALL('DAILY TASK TRACKER'!$BH$5:$BH$1504,2),'DAILY TASK TRACKER'!$BH$5:$BH$1504,0))),"")</f>
        <v/>
      </c>
      <c r="D78" s="50" t="str">
        <f>IFERROR(IF(INDEX('DAILY TASK TRACKER'!$G$5:$G$1504,MATCH(SMALL('DAILY TASK TRACKER'!$BH$5:$BH$1504,2),'DAILY TASK TRACKER'!$BH$5:$BH$1504,0))="","",INDEX('DAILY TASK TRACKER'!$G$5:$G$1504,MATCH(SMALL('DAILY TASK TRACKER'!$BH$5:$BH$1504,2),'DAILY TASK TRACKER'!$BH$5:$BH$1504,0))),"")</f>
        <v/>
      </c>
      <c r="E78" s="41" t="n"/>
      <c r="F78" s="41" t="n"/>
      <c r="G78" s="50" t="str">
        <f>IFERROR(IF(INDEX('DAILY TASK TRACKER'!$V$5:$V$1504,MATCH(SMALL('DAILY TASK TRACKER'!$BH$5:$BH$1504,2),'DAILY TASK TRACKER'!$BH$5:$BH$1504,0))="","",INDEX('DAILY TASK TRACKER'!$V$5:$V$1504,MATCH(SMALL('DAILY TASK TRACKER'!$BH$5:$BH$1504,2),'DAILY TASK TRACKER'!$BH$5:$BH$1504,0))),"")</f>
        <v/>
      </c>
      <c r="H78" s="41" t="n"/>
      <c r="I78" s="51" t="str">
        <f>IFERROR(IF(INDEX('DAILY TASK TRACKER'!$L$5:$L$1504,MATCH(SMALL('DAILY TASK TRACKER'!$BH$5:$BH$1504,2),'DAILY TASK TRACKER'!$BH$5:$BH$1504,0))="","",INDEX('DAILY TASK TRACKER'!$L$5:$L$1504,MATCH(SMALL('DAILY TASK TRACKER'!$BH$5:$BH$1504,2),'DAILY TASK TRACKER'!$BH$5:$BH$1504,0))),"")</f>
        <v/>
      </c>
      <c r="K78" s="50" t="str">
        <f>IFERROR(IF(INDEX('DAILY TASK TRACKER'!$B$5:$B$1504,MATCH(SMALL('DAILY TASK TRACKER'!$BI$5:$BI$1504,2),'DAILY TASK TRACKER'!$BI$5:$BI$1504,0))="","",INDEX('DAILY TASK TRACKER'!$B$5:$B$1504,MATCH(SMALL('DAILY TASK TRACKER'!$BI$5:$BI$1504,2),'DAILY TASK TRACKER'!$BI$5:$BI$1504,0))),"")</f>
        <v/>
      </c>
      <c r="L78" s="50" t="str">
        <f>IFERROR(IF(INDEX('DAILY TASK TRACKER'!$C$5:$C$1504,MATCH(SMALL('DAILY TASK TRACKER'!$BI$5:$BI$1504,2),'DAILY TASK TRACKER'!$BI$5:$BI$1504,0))="","",INDEX('DAILY TASK TRACKER'!$C$5:$C$1504,MATCH(SMALL('DAILY TASK TRACKER'!$BI$5:$BI$1504,2),'DAILY TASK TRACKER'!$BI$5:$BI$1504,0))),"")</f>
        <v/>
      </c>
      <c r="M78" s="50" t="str">
        <f>IFERROR(IF(INDEX('DAILY TASK TRACKER'!$G$5:$G$1504,MATCH(SMALL('DAILY TASK TRACKER'!$BI$5:$BI$1504,2),'DAILY TASK TRACKER'!$BI$5:$BI$1504,0))="","",INDEX('DAILY TASK TRACKER'!$G$5:$G$1504,MATCH(SMALL('DAILY TASK TRACKER'!$BI$5:$BI$1504,2),'DAILY TASK TRACKER'!$BI$5:$BI$1504,0))),"")</f>
        <v/>
      </c>
      <c r="N78" s="41" t="n"/>
      <c r="O78" s="41" t="n"/>
      <c r="P78" s="50" t="str">
        <f>IFERROR(IF(INDEX('DAILY TASK TRACKER'!$T$5:$T$1504,MATCH(SMALL('DAILY TASK TRACKER'!$BI$5:$BI$1504,2),'DAILY TASK TRACKER'!$BI$5:$BI$1504,0))="","",INDEX('DAILY TASK TRACKER'!$T$5:$T$1504,MATCH(SMALL('DAILY TASK TRACKER'!$BI$5:$BI$1504,2),'DAILY TASK TRACKER'!$BI$5:$BI$1504,0))),"")</f>
        <v/>
      </c>
      <c r="Q78" s="41" t="n"/>
      <c r="R78" s="51" t="str">
        <f>IFERROR(IF(INDEX('DAILY TASK TRACKER'!$L$5:$L$1504,MATCH(SMALL('DAILY TASK TRACKER'!$BI$5:$BI$1504,2),'DAILY TASK TRACKER'!$BI$5:$BI$1504,0))="","",INDEX('DAILY TASK TRACKER'!$L$5:$L$1504,MATCH(SMALL('DAILY TASK TRACKER'!$BI$5:$BI$1504,2),'DAILY TASK TRACKER'!$BI$5:$BI$1504,0))),"")</f>
        <v/>
      </c>
    </row>
    <row r="79" ht="26" customHeight="1">
      <c r="B79" s="50" t="str">
        <f>IFERROR(IF(INDEX('DAILY TASK TRACKER'!$B$5:$B$1504,MATCH(SMALL('DAILY TASK TRACKER'!$BH$5:$BH$1504,3),'DAILY TASK TRACKER'!$BH$5:$BH$1504,0))="","",INDEX('DAILY TASK TRACKER'!$B$5:$B$1504,MATCH(SMALL('DAILY TASK TRACKER'!$BH$5:$BH$1504,3),'DAILY TASK TRACKER'!$BH$5:$BH$1504,0))),"")</f>
        <v/>
      </c>
      <c r="C79" s="50" t="str">
        <f>IFERROR(IF(INDEX('DAILY TASK TRACKER'!$C$5:$C$1504,MATCH(SMALL('DAILY TASK TRACKER'!$BH$5:$BH$1504,3),'DAILY TASK TRACKER'!$BH$5:$BH$1504,0))="","",INDEX('DAILY TASK TRACKER'!$C$5:$C$1504,MATCH(SMALL('DAILY TASK TRACKER'!$BH$5:$BH$1504,3),'DAILY TASK TRACKER'!$BH$5:$BH$1504,0))),"")</f>
        <v/>
      </c>
      <c r="D79" s="50" t="str">
        <f>IFERROR(IF(INDEX('DAILY TASK TRACKER'!$G$5:$G$1504,MATCH(SMALL('DAILY TASK TRACKER'!$BH$5:$BH$1504,3),'DAILY TASK TRACKER'!$BH$5:$BH$1504,0))="","",INDEX('DAILY TASK TRACKER'!$G$5:$G$1504,MATCH(SMALL('DAILY TASK TRACKER'!$BH$5:$BH$1504,3),'DAILY TASK TRACKER'!$BH$5:$BH$1504,0))),"")</f>
        <v/>
      </c>
      <c r="E79" s="41" t="n"/>
      <c r="F79" s="41" t="n"/>
      <c r="G79" s="50" t="str">
        <f>IFERROR(IF(INDEX('DAILY TASK TRACKER'!$V$5:$V$1504,MATCH(SMALL('DAILY TASK TRACKER'!$BH$5:$BH$1504,3),'DAILY TASK TRACKER'!$BH$5:$BH$1504,0))="","",INDEX('DAILY TASK TRACKER'!$V$5:$V$1504,MATCH(SMALL('DAILY TASK TRACKER'!$BH$5:$BH$1504,3),'DAILY TASK TRACKER'!$BH$5:$BH$1504,0))),"")</f>
        <v/>
      </c>
      <c r="H79" s="41" t="n"/>
      <c r="I79" s="51" t="str">
        <f>IFERROR(IF(INDEX('DAILY TASK TRACKER'!$L$5:$L$1504,MATCH(SMALL('DAILY TASK TRACKER'!$BH$5:$BH$1504,3),'DAILY TASK TRACKER'!$BH$5:$BH$1504,0))="","",INDEX('DAILY TASK TRACKER'!$L$5:$L$1504,MATCH(SMALL('DAILY TASK TRACKER'!$BH$5:$BH$1504,3),'DAILY TASK TRACKER'!$BH$5:$BH$1504,0))),"")</f>
        <v/>
      </c>
      <c r="K79" s="50" t="str">
        <f>IFERROR(IF(INDEX('DAILY TASK TRACKER'!$B$5:$B$1504,MATCH(SMALL('DAILY TASK TRACKER'!$BI$5:$BI$1504,3),'DAILY TASK TRACKER'!$BI$5:$BI$1504,0))="","",INDEX('DAILY TASK TRACKER'!$B$5:$B$1504,MATCH(SMALL('DAILY TASK TRACKER'!$BI$5:$BI$1504,3),'DAILY TASK TRACKER'!$BI$5:$BI$1504,0))),"")</f>
        <v/>
      </c>
      <c r="L79" s="50" t="str">
        <f>IFERROR(IF(INDEX('DAILY TASK TRACKER'!$C$5:$C$1504,MATCH(SMALL('DAILY TASK TRACKER'!$BI$5:$BI$1504,3),'DAILY TASK TRACKER'!$BI$5:$BI$1504,0))="","",INDEX('DAILY TASK TRACKER'!$C$5:$C$1504,MATCH(SMALL('DAILY TASK TRACKER'!$BI$5:$BI$1504,3),'DAILY TASK TRACKER'!$BI$5:$BI$1504,0))),"")</f>
        <v/>
      </c>
      <c r="M79" s="50" t="str">
        <f>IFERROR(IF(INDEX('DAILY TASK TRACKER'!$G$5:$G$1504,MATCH(SMALL('DAILY TASK TRACKER'!$BI$5:$BI$1504,3),'DAILY TASK TRACKER'!$BI$5:$BI$1504,0))="","",INDEX('DAILY TASK TRACKER'!$G$5:$G$1504,MATCH(SMALL('DAILY TASK TRACKER'!$BI$5:$BI$1504,3),'DAILY TASK TRACKER'!$BI$5:$BI$1504,0))),"")</f>
        <v/>
      </c>
      <c r="N79" s="41" t="n"/>
      <c r="O79" s="41" t="n"/>
      <c r="P79" s="50" t="str">
        <f>IFERROR(IF(INDEX('DAILY TASK TRACKER'!$T$5:$T$1504,MATCH(SMALL('DAILY TASK TRACKER'!$BI$5:$BI$1504,3),'DAILY TASK TRACKER'!$BI$5:$BI$1504,0))="","",INDEX('DAILY TASK TRACKER'!$T$5:$T$1504,MATCH(SMALL('DAILY TASK TRACKER'!$BI$5:$BI$1504,3),'DAILY TASK TRACKER'!$BI$5:$BI$1504,0))),"")</f>
        <v/>
      </c>
      <c r="Q79" s="41" t="n"/>
      <c r="R79" s="51" t="str">
        <f>IFERROR(IF(INDEX('DAILY TASK TRACKER'!$L$5:$L$1504,MATCH(SMALL('DAILY TASK TRACKER'!$BI$5:$BI$1504,3),'DAILY TASK TRACKER'!$BI$5:$BI$1504,0))="","",INDEX('DAILY TASK TRACKER'!$L$5:$L$1504,MATCH(SMALL('DAILY TASK TRACKER'!$BI$5:$BI$1504,3),'DAILY TASK TRACKER'!$BI$5:$BI$1504,0))),"")</f>
        <v/>
      </c>
    </row>
    <row r="80" ht="26" customHeight="1">
      <c r="B80" s="50" t="str">
        <f>IFERROR(IF(INDEX('DAILY TASK TRACKER'!$B$5:$B$1504,MATCH(SMALL('DAILY TASK TRACKER'!$BH$5:$BH$1504,4),'DAILY TASK TRACKER'!$BH$5:$BH$1504,0))="","",INDEX('DAILY TASK TRACKER'!$B$5:$B$1504,MATCH(SMALL('DAILY TASK TRACKER'!$BH$5:$BH$1504,4),'DAILY TASK TRACKER'!$BH$5:$BH$1504,0))),"")</f>
        <v/>
      </c>
      <c r="C80" s="50" t="str">
        <f>IFERROR(IF(INDEX('DAILY TASK TRACKER'!$C$5:$C$1504,MATCH(SMALL('DAILY TASK TRACKER'!$BH$5:$BH$1504,4),'DAILY TASK TRACKER'!$BH$5:$BH$1504,0))="","",INDEX('DAILY TASK TRACKER'!$C$5:$C$1504,MATCH(SMALL('DAILY TASK TRACKER'!$BH$5:$BH$1504,4),'DAILY TASK TRACKER'!$BH$5:$BH$1504,0))),"")</f>
        <v/>
      </c>
      <c r="D80" s="50" t="str">
        <f>IFERROR(IF(INDEX('DAILY TASK TRACKER'!$G$5:$G$1504,MATCH(SMALL('DAILY TASK TRACKER'!$BH$5:$BH$1504,4),'DAILY TASK TRACKER'!$BH$5:$BH$1504,0))="","",INDEX('DAILY TASK TRACKER'!$G$5:$G$1504,MATCH(SMALL('DAILY TASK TRACKER'!$BH$5:$BH$1504,4),'DAILY TASK TRACKER'!$BH$5:$BH$1504,0))),"")</f>
        <v/>
      </c>
      <c r="E80" s="41" t="n"/>
      <c r="F80" s="41" t="n"/>
      <c r="G80" s="50" t="str">
        <f>IFERROR(IF(INDEX('DAILY TASK TRACKER'!$V$5:$V$1504,MATCH(SMALL('DAILY TASK TRACKER'!$BH$5:$BH$1504,4),'DAILY TASK TRACKER'!$BH$5:$BH$1504,0))="","",INDEX('DAILY TASK TRACKER'!$V$5:$V$1504,MATCH(SMALL('DAILY TASK TRACKER'!$BH$5:$BH$1504,4),'DAILY TASK TRACKER'!$BH$5:$BH$1504,0))),"")</f>
        <v/>
      </c>
      <c r="H80" s="41" t="n"/>
      <c r="I80" s="51" t="str">
        <f>IFERROR(IF(INDEX('DAILY TASK TRACKER'!$L$5:$L$1504,MATCH(SMALL('DAILY TASK TRACKER'!$BH$5:$BH$1504,4),'DAILY TASK TRACKER'!$BH$5:$BH$1504,0))="","",INDEX('DAILY TASK TRACKER'!$L$5:$L$1504,MATCH(SMALL('DAILY TASK TRACKER'!$BH$5:$BH$1504,4),'DAILY TASK TRACKER'!$BH$5:$BH$1504,0))),"")</f>
        <v/>
      </c>
      <c r="K80" s="50" t="str">
        <f>IFERROR(IF(INDEX('DAILY TASK TRACKER'!$B$5:$B$1504,MATCH(SMALL('DAILY TASK TRACKER'!$BI$5:$BI$1504,4),'DAILY TASK TRACKER'!$BI$5:$BI$1504,0))="","",INDEX('DAILY TASK TRACKER'!$B$5:$B$1504,MATCH(SMALL('DAILY TASK TRACKER'!$BI$5:$BI$1504,4),'DAILY TASK TRACKER'!$BI$5:$BI$1504,0))),"")</f>
        <v/>
      </c>
      <c r="L80" s="50" t="str">
        <f>IFERROR(IF(INDEX('DAILY TASK TRACKER'!$C$5:$C$1504,MATCH(SMALL('DAILY TASK TRACKER'!$BI$5:$BI$1504,4),'DAILY TASK TRACKER'!$BI$5:$BI$1504,0))="","",INDEX('DAILY TASK TRACKER'!$C$5:$C$1504,MATCH(SMALL('DAILY TASK TRACKER'!$BI$5:$BI$1504,4),'DAILY TASK TRACKER'!$BI$5:$BI$1504,0))),"")</f>
        <v/>
      </c>
      <c r="M80" s="50" t="str">
        <f>IFERROR(IF(INDEX('DAILY TASK TRACKER'!$G$5:$G$1504,MATCH(SMALL('DAILY TASK TRACKER'!$BI$5:$BI$1504,4),'DAILY TASK TRACKER'!$BI$5:$BI$1504,0))="","",INDEX('DAILY TASK TRACKER'!$G$5:$G$1504,MATCH(SMALL('DAILY TASK TRACKER'!$BI$5:$BI$1504,4),'DAILY TASK TRACKER'!$BI$5:$BI$1504,0))),"")</f>
        <v/>
      </c>
      <c r="N80" s="41" t="n"/>
      <c r="O80" s="41" t="n"/>
      <c r="P80" s="50" t="str">
        <f>IFERROR(IF(INDEX('DAILY TASK TRACKER'!$T$5:$T$1504,MATCH(SMALL('DAILY TASK TRACKER'!$BI$5:$BI$1504,4),'DAILY TASK TRACKER'!$BI$5:$BI$1504,0))="","",INDEX('DAILY TASK TRACKER'!$T$5:$T$1504,MATCH(SMALL('DAILY TASK TRACKER'!$BI$5:$BI$1504,4),'DAILY TASK TRACKER'!$BI$5:$BI$1504,0))),"")</f>
        <v/>
      </c>
      <c r="Q80" s="41" t="n"/>
      <c r="R80" s="51" t="str">
        <f>IFERROR(IF(INDEX('DAILY TASK TRACKER'!$L$5:$L$1504,MATCH(SMALL('DAILY TASK TRACKER'!$BI$5:$BI$1504,4),'DAILY TASK TRACKER'!$BI$5:$BI$1504,0))="","",INDEX('DAILY TASK TRACKER'!$L$5:$L$1504,MATCH(SMALL('DAILY TASK TRACKER'!$BI$5:$BI$1504,4),'DAILY TASK TRACKER'!$BI$5:$BI$1504,0))),"")</f>
        <v/>
      </c>
    </row>
    <row r="81" ht="26" customHeight="1">
      <c r="B81" s="50" t="str">
        <f>IFERROR(IF(INDEX('DAILY TASK TRACKER'!$B$5:$B$1504,MATCH(SMALL('DAILY TASK TRACKER'!$BH$5:$BH$1504,5),'DAILY TASK TRACKER'!$BH$5:$BH$1504,0))="","",INDEX('DAILY TASK TRACKER'!$B$5:$B$1504,MATCH(SMALL('DAILY TASK TRACKER'!$BH$5:$BH$1504,5),'DAILY TASK TRACKER'!$BH$5:$BH$1504,0))),"")</f>
        <v/>
      </c>
      <c r="C81" s="50" t="str">
        <f>IFERROR(IF(INDEX('DAILY TASK TRACKER'!$C$5:$C$1504,MATCH(SMALL('DAILY TASK TRACKER'!$BH$5:$BH$1504,5),'DAILY TASK TRACKER'!$BH$5:$BH$1504,0))="","",INDEX('DAILY TASK TRACKER'!$C$5:$C$1504,MATCH(SMALL('DAILY TASK TRACKER'!$BH$5:$BH$1504,5),'DAILY TASK TRACKER'!$BH$5:$BH$1504,0))),"")</f>
        <v/>
      </c>
      <c r="D81" s="50" t="str">
        <f>IFERROR(IF(INDEX('DAILY TASK TRACKER'!$G$5:$G$1504,MATCH(SMALL('DAILY TASK TRACKER'!$BH$5:$BH$1504,5),'DAILY TASK TRACKER'!$BH$5:$BH$1504,0))="","",INDEX('DAILY TASK TRACKER'!$G$5:$G$1504,MATCH(SMALL('DAILY TASK TRACKER'!$BH$5:$BH$1504,5),'DAILY TASK TRACKER'!$BH$5:$BH$1504,0))),"")</f>
        <v/>
      </c>
      <c r="E81" s="41" t="n"/>
      <c r="F81" s="41" t="n"/>
      <c r="G81" s="50" t="str">
        <f>IFERROR(IF(INDEX('DAILY TASK TRACKER'!$V$5:$V$1504,MATCH(SMALL('DAILY TASK TRACKER'!$BH$5:$BH$1504,5),'DAILY TASK TRACKER'!$BH$5:$BH$1504,0))="","",INDEX('DAILY TASK TRACKER'!$V$5:$V$1504,MATCH(SMALL('DAILY TASK TRACKER'!$BH$5:$BH$1504,5),'DAILY TASK TRACKER'!$BH$5:$BH$1504,0))),"")</f>
        <v/>
      </c>
      <c r="H81" s="41" t="n"/>
      <c r="I81" s="51" t="str">
        <f>IFERROR(IF(INDEX('DAILY TASK TRACKER'!$L$5:$L$1504,MATCH(SMALL('DAILY TASK TRACKER'!$BH$5:$BH$1504,5),'DAILY TASK TRACKER'!$BH$5:$BH$1504,0))="","",INDEX('DAILY TASK TRACKER'!$L$5:$L$1504,MATCH(SMALL('DAILY TASK TRACKER'!$BH$5:$BH$1504,5),'DAILY TASK TRACKER'!$BH$5:$BH$1504,0))),"")</f>
        <v/>
      </c>
      <c r="K81" s="50" t="str">
        <f>IFERROR(IF(INDEX('DAILY TASK TRACKER'!$B$5:$B$1504,MATCH(SMALL('DAILY TASK TRACKER'!$BI$5:$BI$1504,5),'DAILY TASK TRACKER'!$BI$5:$BI$1504,0))="","",INDEX('DAILY TASK TRACKER'!$B$5:$B$1504,MATCH(SMALL('DAILY TASK TRACKER'!$BI$5:$BI$1504,5),'DAILY TASK TRACKER'!$BI$5:$BI$1504,0))),"")</f>
        <v/>
      </c>
      <c r="L81" s="50" t="str">
        <f>IFERROR(IF(INDEX('DAILY TASK TRACKER'!$C$5:$C$1504,MATCH(SMALL('DAILY TASK TRACKER'!$BI$5:$BI$1504,5),'DAILY TASK TRACKER'!$BI$5:$BI$1504,0))="","",INDEX('DAILY TASK TRACKER'!$C$5:$C$1504,MATCH(SMALL('DAILY TASK TRACKER'!$BI$5:$BI$1504,5),'DAILY TASK TRACKER'!$BI$5:$BI$1504,0))),"")</f>
        <v/>
      </c>
      <c r="M81" s="50" t="str">
        <f>IFERROR(IF(INDEX('DAILY TASK TRACKER'!$G$5:$G$1504,MATCH(SMALL('DAILY TASK TRACKER'!$BI$5:$BI$1504,5),'DAILY TASK TRACKER'!$BI$5:$BI$1504,0))="","",INDEX('DAILY TASK TRACKER'!$G$5:$G$1504,MATCH(SMALL('DAILY TASK TRACKER'!$BI$5:$BI$1504,5),'DAILY TASK TRACKER'!$BI$5:$BI$1504,0))),"")</f>
        <v/>
      </c>
      <c r="N81" s="41" t="n"/>
      <c r="O81" s="41" t="n"/>
      <c r="P81" s="50" t="str">
        <f>IFERROR(IF(INDEX('DAILY TASK TRACKER'!$T$5:$T$1504,MATCH(SMALL('DAILY TASK TRACKER'!$BI$5:$BI$1504,5),'DAILY TASK TRACKER'!$BI$5:$BI$1504,0))="","",INDEX('DAILY TASK TRACKER'!$T$5:$T$1504,MATCH(SMALL('DAILY TASK TRACKER'!$BI$5:$BI$1504,5),'DAILY TASK TRACKER'!$BI$5:$BI$1504,0))),"")</f>
        <v/>
      </c>
      <c r="Q81" s="41" t="n"/>
      <c r="R81" s="51" t="str">
        <f>IFERROR(IF(INDEX('DAILY TASK TRACKER'!$L$5:$L$1504,MATCH(SMALL('DAILY TASK TRACKER'!$BI$5:$BI$1504,5),'DAILY TASK TRACKER'!$BI$5:$BI$1504,0))="","",INDEX('DAILY TASK TRACKER'!$L$5:$L$1504,MATCH(SMALL('DAILY TASK TRACKER'!$BI$5:$BI$1504,5),'DAILY TASK TRACKER'!$BI$5:$BI$1504,0))),"")</f>
        <v/>
      </c>
    </row>
    <row r="82" ht="26" customHeight="1">
      <c r="B82" s="50" t="str">
        <f>IFERROR(IF(INDEX('DAILY TASK TRACKER'!$B$5:$B$1504,MATCH(SMALL('DAILY TASK TRACKER'!$BH$5:$BH$1504,6),'DAILY TASK TRACKER'!$BH$5:$BH$1504,0))="","",INDEX('DAILY TASK TRACKER'!$B$5:$B$1504,MATCH(SMALL('DAILY TASK TRACKER'!$BH$5:$BH$1504,6),'DAILY TASK TRACKER'!$BH$5:$BH$1504,0))),"")</f>
        <v/>
      </c>
      <c r="C82" s="50" t="str">
        <f>IFERROR(IF(INDEX('DAILY TASK TRACKER'!$C$5:$C$1504,MATCH(SMALL('DAILY TASK TRACKER'!$BH$5:$BH$1504,6),'DAILY TASK TRACKER'!$BH$5:$BH$1504,0))="","",INDEX('DAILY TASK TRACKER'!$C$5:$C$1504,MATCH(SMALL('DAILY TASK TRACKER'!$BH$5:$BH$1504,6),'DAILY TASK TRACKER'!$BH$5:$BH$1504,0))),"")</f>
        <v/>
      </c>
      <c r="D82" s="50" t="str">
        <f>IFERROR(IF(INDEX('DAILY TASK TRACKER'!$G$5:$G$1504,MATCH(SMALL('DAILY TASK TRACKER'!$BH$5:$BH$1504,6),'DAILY TASK TRACKER'!$BH$5:$BH$1504,0))="","",INDEX('DAILY TASK TRACKER'!$G$5:$G$1504,MATCH(SMALL('DAILY TASK TRACKER'!$BH$5:$BH$1504,6),'DAILY TASK TRACKER'!$BH$5:$BH$1504,0))),"")</f>
        <v/>
      </c>
      <c r="E82" s="41" t="n"/>
      <c r="F82" s="41" t="n"/>
      <c r="G82" s="50" t="str">
        <f>IFERROR(IF(INDEX('DAILY TASK TRACKER'!$V$5:$V$1504,MATCH(SMALL('DAILY TASK TRACKER'!$BH$5:$BH$1504,6),'DAILY TASK TRACKER'!$BH$5:$BH$1504,0))="","",INDEX('DAILY TASK TRACKER'!$V$5:$V$1504,MATCH(SMALL('DAILY TASK TRACKER'!$BH$5:$BH$1504,6),'DAILY TASK TRACKER'!$BH$5:$BH$1504,0))),"")</f>
        <v/>
      </c>
      <c r="H82" s="41" t="n"/>
      <c r="I82" s="51" t="str">
        <f>IFERROR(IF(INDEX('DAILY TASK TRACKER'!$L$5:$L$1504,MATCH(SMALL('DAILY TASK TRACKER'!$BH$5:$BH$1504,6),'DAILY TASK TRACKER'!$BH$5:$BH$1504,0))="","",INDEX('DAILY TASK TRACKER'!$L$5:$L$1504,MATCH(SMALL('DAILY TASK TRACKER'!$BH$5:$BH$1504,6),'DAILY TASK TRACKER'!$BH$5:$BH$1504,0))),"")</f>
        <v/>
      </c>
      <c r="K82" s="50" t="str">
        <f>IFERROR(IF(INDEX('DAILY TASK TRACKER'!$B$5:$B$1504,MATCH(SMALL('DAILY TASK TRACKER'!$BI$5:$BI$1504,6),'DAILY TASK TRACKER'!$BI$5:$BI$1504,0))="","",INDEX('DAILY TASK TRACKER'!$B$5:$B$1504,MATCH(SMALL('DAILY TASK TRACKER'!$BI$5:$BI$1504,6),'DAILY TASK TRACKER'!$BI$5:$BI$1504,0))),"")</f>
        <v/>
      </c>
      <c r="L82" s="50" t="str">
        <f>IFERROR(IF(INDEX('DAILY TASK TRACKER'!$C$5:$C$1504,MATCH(SMALL('DAILY TASK TRACKER'!$BI$5:$BI$1504,6),'DAILY TASK TRACKER'!$BI$5:$BI$1504,0))="","",INDEX('DAILY TASK TRACKER'!$C$5:$C$1504,MATCH(SMALL('DAILY TASK TRACKER'!$BI$5:$BI$1504,6),'DAILY TASK TRACKER'!$BI$5:$BI$1504,0))),"")</f>
        <v/>
      </c>
      <c r="M82" s="50" t="str">
        <f>IFERROR(IF(INDEX('DAILY TASK TRACKER'!$G$5:$G$1504,MATCH(SMALL('DAILY TASK TRACKER'!$BI$5:$BI$1504,6),'DAILY TASK TRACKER'!$BI$5:$BI$1504,0))="","",INDEX('DAILY TASK TRACKER'!$G$5:$G$1504,MATCH(SMALL('DAILY TASK TRACKER'!$BI$5:$BI$1504,6),'DAILY TASK TRACKER'!$BI$5:$BI$1504,0))),"")</f>
        <v/>
      </c>
      <c r="N82" s="41" t="n"/>
      <c r="O82" s="41" t="n"/>
      <c r="P82" s="50" t="str">
        <f>IFERROR(IF(INDEX('DAILY TASK TRACKER'!$T$5:$T$1504,MATCH(SMALL('DAILY TASK TRACKER'!$BI$5:$BI$1504,6),'DAILY TASK TRACKER'!$BI$5:$BI$1504,0))="","",INDEX('DAILY TASK TRACKER'!$T$5:$T$1504,MATCH(SMALL('DAILY TASK TRACKER'!$BI$5:$BI$1504,6),'DAILY TASK TRACKER'!$BI$5:$BI$1504,0))),"")</f>
        <v/>
      </c>
      <c r="Q82" s="41" t="n"/>
      <c r="R82" s="51" t="str">
        <f>IFERROR(IF(INDEX('DAILY TASK TRACKER'!$L$5:$L$1504,MATCH(SMALL('DAILY TASK TRACKER'!$BI$5:$BI$1504,6),'DAILY TASK TRACKER'!$BI$5:$BI$1504,0))="","",INDEX('DAILY TASK TRACKER'!$L$5:$L$1504,MATCH(SMALL('DAILY TASK TRACKER'!$BI$5:$BI$1504,6),'DAILY TASK TRACKER'!$BI$5:$BI$1504,0))),"")</f>
        <v/>
      </c>
    </row>
    <row r="83" ht="26" customHeight="1">
      <c r="B83" s="50" t="str">
        <f>IFERROR(IF(INDEX('DAILY TASK TRACKER'!$B$5:$B$1504,MATCH(SMALL('DAILY TASK TRACKER'!$BH$5:$BH$1504,7),'DAILY TASK TRACKER'!$BH$5:$BH$1504,0))="","",INDEX('DAILY TASK TRACKER'!$B$5:$B$1504,MATCH(SMALL('DAILY TASK TRACKER'!$BH$5:$BH$1504,7),'DAILY TASK TRACKER'!$BH$5:$BH$1504,0))),"")</f>
        <v/>
      </c>
      <c r="C83" s="50" t="str">
        <f>IFERROR(IF(INDEX('DAILY TASK TRACKER'!$C$5:$C$1504,MATCH(SMALL('DAILY TASK TRACKER'!$BH$5:$BH$1504,7),'DAILY TASK TRACKER'!$BH$5:$BH$1504,0))="","",INDEX('DAILY TASK TRACKER'!$C$5:$C$1504,MATCH(SMALL('DAILY TASK TRACKER'!$BH$5:$BH$1504,7),'DAILY TASK TRACKER'!$BH$5:$BH$1504,0))),"")</f>
        <v/>
      </c>
      <c r="D83" s="50" t="str">
        <f>IFERROR(IF(INDEX('DAILY TASK TRACKER'!$G$5:$G$1504,MATCH(SMALL('DAILY TASK TRACKER'!$BH$5:$BH$1504,7),'DAILY TASK TRACKER'!$BH$5:$BH$1504,0))="","",INDEX('DAILY TASK TRACKER'!$G$5:$G$1504,MATCH(SMALL('DAILY TASK TRACKER'!$BH$5:$BH$1504,7),'DAILY TASK TRACKER'!$BH$5:$BH$1504,0))),"")</f>
        <v/>
      </c>
      <c r="E83" s="41" t="n"/>
      <c r="F83" s="41" t="n"/>
      <c r="G83" s="50" t="str">
        <f>IFERROR(IF(INDEX('DAILY TASK TRACKER'!$V$5:$V$1504,MATCH(SMALL('DAILY TASK TRACKER'!$BH$5:$BH$1504,7),'DAILY TASK TRACKER'!$BH$5:$BH$1504,0))="","",INDEX('DAILY TASK TRACKER'!$V$5:$V$1504,MATCH(SMALL('DAILY TASK TRACKER'!$BH$5:$BH$1504,7),'DAILY TASK TRACKER'!$BH$5:$BH$1504,0))),"")</f>
        <v/>
      </c>
      <c r="H83" s="41" t="n"/>
      <c r="I83" s="51" t="str">
        <f>IFERROR(IF(INDEX('DAILY TASK TRACKER'!$L$5:$L$1504,MATCH(SMALL('DAILY TASK TRACKER'!$BH$5:$BH$1504,7),'DAILY TASK TRACKER'!$BH$5:$BH$1504,0))="","",INDEX('DAILY TASK TRACKER'!$L$5:$L$1504,MATCH(SMALL('DAILY TASK TRACKER'!$BH$5:$BH$1504,7),'DAILY TASK TRACKER'!$BH$5:$BH$1504,0))),"")</f>
        <v/>
      </c>
      <c r="K83" s="50" t="str">
        <f>IFERROR(IF(INDEX('DAILY TASK TRACKER'!$B$5:$B$1504,MATCH(SMALL('DAILY TASK TRACKER'!$BI$5:$BI$1504,7),'DAILY TASK TRACKER'!$BI$5:$BI$1504,0))="","",INDEX('DAILY TASK TRACKER'!$B$5:$B$1504,MATCH(SMALL('DAILY TASK TRACKER'!$BI$5:$BI$1504,7),'DAILY TASK TRACKER'!$BI$5:$BI$1504,0))),"")</f>
        <v/>
      </c>
      <c r="L83" s="50" t="str">
        <f>IFERROR(IF(INDEX('DAILY TASK TRACKER'!$C$5:$C$1504,MATCH(SMALL('DAILY TASK TRACKER'!$BI$5:$BI$1504,7),'DAILY TASK TRACKER'!$BI$5:$BI$1504,0))="","",INDEX('DAILY TASK TRACKER'!$C$5:$C$1504,MATCH(SMALL('DAILY TASK TRACKER'!$BI$5:$BI$1504,7),'DAILY TASK TRACKER'!$BI$5:$BI$1504,0))),"")</f>
        <v/>
      </c>
      <c r="M83" s="50" t="str">
        <f>IFERROR(IF(INDEX('DAILY TASK TRACKER'!$G$5:$G$1504,MATCH(SMALL('DAILY TASK TRACKER'!$BI$5:$BI$1504,7),'DAILY TASK TRACKER'!$BI$5:$BI$1504,0))="","",INDEX('DAILY TASK TRACKER'!$G$5:$G$1504,MATCH(SMALL('DAILY TASK TRACKER'!$BI$5:$BI$1504,7),'DAILY TASK TRACKER'!$BI$5:$BI$1504,0))),"")</f>
        <v/>
      </c>
      <c r="N83" s="41" t="n"/>
      <c r="O83" s="41" t="n"/>
      <c r="P83" s="50" t="str">
        <f>IFERROR(IF(INDEX('DAILY TASK TRACKER'!$T$5:$T$1504,MATCH(SMALL('DAILY TASK TRACKER'!$BI$5:$BI$1504,7),'DAILY TASK TRACKER'!$BI$5:$BI$1504,0))="","",INDEX('DAILY TASK TRACKER'!$T$5:$T$1504,MATCH(SMALL('DAILY TASK TRACKER'!$BI$5:$BI$1504,7),'DAILY TASK TRACKER'!$BI$5:$BI$1504,0))),"")</f>
        <v/>
      </c>
      <c r="Q83" s="41" t="n"/>
      <c r="R83" s="51" t="str">
        <f>IFERROR(IF(INDEX('DAILY TASK TRACKER'!$L$5:$L$1504,MATCH(SMALL('DAILY TASK TRACKER'!$BI$5:$BI$1504,7),'DAILY TASK TRACKER'!$BI$5:$BI$1504,0))="","",INDEX('DAILY TASK TRACKER'!$L$5:$L$1504,MATCH(SMALL('DAILY TASK TRACKER'!$BI$5:$BI$1504,7),'DAILY TASK TRACKER'!$BI$5:$BI$1504,0))),"")</f>
        <v/>
      </c>
    </row>
    <row r="84" ht="26" customHeight="1">
      <c r="B84" s="50" t="str">
        <f>IFERROR(IF(INDEX('DAILY TASK TRACKER'!$B$5:$B$1504,MATCH(SMALL('DAILY TASK TRACKER'!$BH$5:$BH$1504,8),'DAILY TASK TRACKER'!$BH$5:$BH$1504,0))="","",INDEX('DAILY TASK TRACKER'!$B$5:$B$1504,MATCH(SMALL('DAILY TASK TRACKER'!$BH$5:$BH$1504,8),'DAILY TASK TRACKER'!$BH$5:$BH$1504,0))),"")</f>
        <v/>
      </c>
      <c r="C84" s="50" t="str">
        <f>IFERROR(IF(INDEX('DAILY TASK TRACKER'!$C$5:$C$1504,MATCH(SMALL('DAILY TASK TRACKER'!$BH$5:$BH$1504,8),'DAILY TASK TRACKER'!$BH$5:$BH$1504,0))="","",INDEX('DAILY TASK TRACKER'!$C$5:$C$1504,MATCH(SMALL('DAILY TASK TRACKER'!$BH$5:$BH$1504,8),'DAILY TASK TRACKER'!$BH$5:$BH$1504,0))),"")</f>
        <v/>
      </c>
      <c r="D84" s="50" t="str">
        <f>IFERROR(IF(INDEX('DAILY TASK TRACKER'!$G$5:$G$1504,MATCH(SMALL('DAILY TASK TRACKER'!$BH$5:$BH$1504,8),'DAILY TASK TRACKER'!$BH$5:$BH$1504,0))="","",INDEX('DAILY TASK TRACKER'!$G$5:$G$1504,MATCH(SMALL('DAILY TASK TRACKER'!$BH$5:$BH$1504,8),'DAILY TASK TRACKER'!$BH$5:$BH$1504,0))),"")</f>
        <v/>
      </c>
      <c r="E84" s="41" t="n"/>
      <c r="F84" s="41" t="n"/>
      <c r="G84" s="50" t="str">
        <f>IFERROR(IF(INDEX('DAILY TASK TRACKER'!$V$5:$V$1504,MATCH(SMALL('DAILY TASK TRACKER'!$BH$5:$BH$1504,8),'DAILY TASK TRACKER'!$BH$5:$BH$1504,0))="","",INDEX('DAILY TASK TRACKER'!$V$5:$V$1504,MATCH(SMALL('DAILY TASK TRACKER'!$BH$5:$BH$1504,8),'DAILY TASK TRACKER'!$BH$5:$BH$1504,0))),"")</f>
        <v/>
      </c>
      <c r="H84" s="41" t="n"/>
      <c r="I84" s="51" t="str">
        <f>IFERROR(IF(INDEX('DAILY TASK TRACKER'!$L$5:$L$1504,MATCH(SMALL('DAILY TASK TRACKER'!$BH$5:$BH$1504,8),'DAILY TASK TRACKER'!$BH$5:$BH$1504,0))="","",INDEX('DAILY TASK TRACKER'!$L$5:$L$1504,MATCH(SMALL('DAILY TASK TRACKER'!$BH$5:$BH$1504,8),'DAILY TASK TRACKER'!$BH$5:$BH$1504,0))),"")</f>
        <v/>
      </c>
      <c r="K84" s="50" t="str">
        <f>IFERROR(IF(INDEX('DAILY TASK TRACKER'!$B$5:$B$1504,MATCH(SMALL('DAILY TASK TRACKER'!$BI$5:$BI$1504,8),'DAILY TASK TRACKER'!$BI$5:$BI$1504,0))="","",INDEX('DAILY TASK TRACKER'!$B$5:$B$1504,MATCH(SMALL('DAILY TASK TRACKER'!$BI$5:$BI$1504,8),'DAILY TASK TRACKER'!$BI$5:$BI$1504,0))),"")</f>
        <v/>
      </c>
      <c r="L84" s="50" t="str">
        <f>IFERROR(IF(INDEX('DAILY TASK TRACKER'!$C$5:$C$1504,MATCH(SMALL('DAILY TASK TRACKER'!$BI$5:$BI$1504,8),'DAILY TASK TRACKER'!$BI$5:$BI$1504,0))="","",INDEX('DAILY TASK TRACKER'!$C$5:$C$1504,MATCH(SMALL('DAILY TASK TRACKER'!$BI$5:$BI$1504,8),'DAILY TASK TRACKER'!$BI$5:$BI$1504,0))),"")</f>
        <v/>
      </c>
      <c r="M84" s="50" t="str">
        <f>IFERROR(IF(INDEX('DAILY TASK TRACKER'!$G$5:$G$1504,MATCH(SMALL('DAILY TASK TRACKER'!$BI$5:$BI$1504,8),'DAILY TASK TRACKER'!$BI$5:$BI$1504,0))="","",INDEX('DAILY TASK TRACKER'!$G$5:$G$1504,MATCH(SMALL('DAILY TASK TRACKER'!$BI$5:$BI$1504,8),'DAILY TASK TRACKER'!$BI$5:$BI$1504,0))),"")</f>
        <v/>
      </c>
      <c r="N84" s="41" t="n"/>
      <c r="O84" s="41" t="n"/>
      <c r="P84" s="50" t="str">
        <f>IFERROR(IF(INDEX('DAILY TASK TRACKER'!$T$5:$T$1504,MATCH(SMALL('DAILY TASK TRACKER'!$BI$5:$BI$1504,8),'DAILY TASK TRACKER'!$BI$5:$BI$1504,0))="","",INDEX('DAILY TASK TRACKER'!$T$5:$T$1504,MATCH(SMALL('DAILY TASK TRACKER'!$BI$5:$BI$1504,8),'DAILY TASK TRACKER'!$BI$5:$BI$1504,0))),"")</f>
        <v/>
      </c>
      <c r="Q84" s="41" t="n"/>
      <c r="R84" s="51" t="str">
        <f>IFERROR(IF(INDEX('DAILY TASK TRACKER'!$L$5:$L$1504,MATCH(SMALL('DAILY TASK TRACKER'!$BI$5:$BI$1504,8),'DAILY TASK TRACKER'!$BI$5:$BI$1504,0))="","",INDEX('DAILY TASK TRACKER'!$L$5:$L$1504,MATCH(SMALL('DAILY TASK TRACKER'!$BI$5:$BI$1504,8),'DAILY TASK TRACKER'!$BI$5:$BI$1504,0))),"")</f>
        <v/>
      </c>
    </row>
    <row r="86" ht="20" customHeight="1">
      <c r="B86" s="37" t="inlineStr">
        <is>
          <t>Q14. Top priorities for tomorrow</t>
        </is>
      </c>
      <c r="C86" s="33" t="n"/>
      <c r="D86" s="33" t="n"/>
      <c r="E86" s="33" t="n"/>
      <c r="F86" s="33" t="n"/>
      <c r="G86" s="33" t="n"/>
      <c r="H86" s="33" t="n"/>
      <c r="I86" s="33" t="n"/>
      <c r="K86" s="37" t="inlineStr">
        <is>
          <t>Due within the next 2 days (incl. today)</t>
        </is>
      </c>
      <c r="L86" s="33" t="n"/>
      <c r="M86" s="33" t="n"/>
      <c r="N86" s="33" t="n"/>
      <c r="O86" s="33" t="n"/>
      <c r="P86" s="33" t="n"/>
      <c r="Q86" s="33" t="n"/>
      <c r="R86" s="33" t="n"/>
    </row>
    <row r="87" ht="22" customHeight="1">
      <c r="B87" s="38" t="inlineStr">
        <is>
          <t>Team Member</t>
        </is>
      </c>
      <c r="C87" s="38" t="inlineStr">
        <is>
          <t>Client</t>
        </is>
      </c>
      <c r="D87" s="38" t="inlineStr">
        <is>
          <t>Task</t>
        </is>
      </c>
      <c r="E87" s="39" t="n"/>
      <c r="F87" s="39" t="n"/>
      <c r="G87" s="38" t="inlineStr">
        <is>
          <t>Priority</t>
        </is>
      </c>
      <c r="H87" s="38" t="inlineStr">
        <is>
          <t>Status</t>
        </is>
      </c>
      <c r="I87" s="38" t="inlineStr">
        <is>
          <t>Due</t>
        </is>
      </c>
      <c r="K87" s="38" t="inlineStr">
        <is>
          <t>Team Member</t>
        </is>
      </c>
      <c r="L87" s="38" t="inlineStr">
        <is>
          <t>Client</t>
        </is>
      </c>
      <c r="M87" s="38" t="inlineStr">
        <is>
          <t>Task</t>
        </is>
      </c>
      <c r="N87" s="39" t="n"/>
      <c r="O87" s="39" t="n"/>
      <c r="P87" s="38" t="inlineStr">
        <is>
          <t>Priority</t>
        </is>
      </c>
      <c r="Q87" s="38" t="inlineStr">
        <is>
          <t>Status</t>
        </is>
      </c>
      <c r="R87" s="38" t="inlineStr">
        <is>
          <t>Due</t>
        </is>
      </c>
    </row>
    <row r="88" ht="26" customHeight="1">
      <c r="B88" s="49" t="str">
        <f>IFERROR(IF(INDEX('DAILY TASK TRACKER'!$B$5:$B$1504,MATCH(SMALL('DAILY TASK TRACKER'!$BF$5:$BF$1504,1),'DAILY TASK TRACKER'!$BF$5:$BF$1504,0))="","",INDEX('DAILY TASK TRACKER'!$B$5:$B$1504,MATCH(SMALL('DAILY TASK TRACKER'!$BF$5:$BF$1504,1),'DAILY TASK TRACKER'!$BF$5:$BF$1504,0))),"- none -")</f>
        <v>Surbhi Pandey</v>
      </c>
      <c r="C88" s="50" t="str">
        <f>IFERROR(IF(INDEX('DAILY TASK TRACKER'!$C$5:$C$1504,MATCH(SMALL('DAILY TASK TRACKER'!$BF$5:$BF$1504,1),'DAILY TASK TRACKER'!$BF$5:$BF$1504,0))="","",INDEX('DAILY TASK TRACKER'!$C$5:$C$1504,MATCH(SMALL('DAILY TASK TRACKER'!$BF$5:$BF$1504,1),'DAILY TASK TRACKER'!$BF$5:$BF$1504,0))),"")</f>
        <v>SAP</v>
      </c>
      <c r="D88" s="50" t="str">
        <f>IFERROR(IF(INDEX('DAILY TASK TRACKER'!$G$5:$G$1504,MATCH(SMALL('DAILY TASK TRACKER'!$BF$5:$BF$1504,1),'DAILY TASK TRACKER'!$BF$5:$BF$1504,0))="","",INDEX('DAILY TASK TRACKER'!$G$5:$G$1504,MATCH(SMALL('DAILY TASK TRACKER'!$BF$5:$BF$1504,1),'DAILY TASK TRACKER'!$BF$5:$BF$1504,0))),"")</f>
        <v>Content Syndication - Email + WhatsApp deployment</v>
      </c>
      <c r="E88" s="41" t="n"/>
      <c r="F88" s="41" t="n"/>
      <c r="G88" s="50" t="str">
        <f>IFERROR(IF(INDEX('DAILY TASK TRACKER'!$I$5:$I$1504,MATCH(SMALL('DAILY TASK TRACKER'!$BF$5:$BF$1504,1),'DAILY TASK TRACKER'!$BF$5:$BF$1504,0))="","",INDEX('DAILY TASK TRACKER'!$I$5:$I$1504,MATCH(SMALL('DAILY TASK TRACKER'!$BF$5:$BF$1504,1),'DAILY TASK TRACKER'!$BF$5:$BF$1504,0))),"")</f>
        <v/>
      </c>
      <c r="H88" s="50" t="str">
        <f>IFERROR(IF(INDEX('DAILY TASK TRACKER'!$M$5:$M$1504,MATCH(SMALL('DAILY TASK TRACKER'!$BF$5:$BF$1504,1),'DAILY TASK TRACKER'!$BF$5:$BF$1504,0))="","",INDEX('DAILY TASK TRACKER'!$M$5:$M$1504,MATCH(SMALL('DAILY TASK TRACKER'!$BF$5:$BF$1504,1),'DAILY TASK TRACKER'!$BF$5:$BF$1504,0))),"")</f>
        <v/>
      </c>
      <c r="I88" s="51">
        <f>IFERROR(IF(INDEX('DAILY TASK TRACKER'!$L$5:$L$1504,MATCH(SMALL('DAILY TASK TRACKER'!$BF$5:$BF$1504,1),'DAILY TASK TRACKER'!$BF$5:$BF$1504,0))="","",INDEX('DAILY TASK TRACKER'!$L$5:$L$1504,MATCH(SMALL('DAILY TASK TRACKER'!$BF$5:$BF$1504,1),'DAILY TASK TRACKER'!$BF$5:$BF$1504,0))),"")</f>
        <v>46301.0</v>
      </c>
      <c r="K88" s="49" t="str">
        <f>IFERROR(IF(INDEX('DAILY TASK TRACKER'!$B$5:$B$1504,MATCH(SMALL('DAILY TASK TRACKER'!$BD$5:$BD$1504,1),'DAILY TASK TRACKER'!$BD$5:$BD$1504,0))="","",INDEX('DAILY TASK TRACKER'!$B$5:$B$1504,MATCH(SMALL('DAILY TASK TRACKER'!$BD$5:$BD$1504,1),'DAILY TASK TRACKER'!$BD$5:$BD$1504,0))),"- none -")</f>
        <v>Surbhi Pandey</v>
      </c>
      <c r="L88" s="50" t="str">
        <f>IFERROR(IF(INDEX('DAILY TASK TRACKER'!$C$5:$C$1504,MATCH(SMALL('DAILY TASK TRACKER'!$BD$5:$BD$1504,1),'DAILY TASK TRACKER'!$BD$5:$BD$1504,0))="","",INDEX('DAILY TASK TRACKER'!$C$5:$C$1504,MATCH(SMALL('DAILY TASK TRACKER'!$BD$5:$BD$1504,1),'DAILY TASK TRACKER'!$BD$5:$BD$1504,0))),"")</f>
        <v>SAP</v>
      </c>
      <c r="M88" s="50" t="str">
        <f>IFERROR(IF(INDEX('DAILY TASK TRACKER'!$G$5:$G$1504,MATCH(SMALL('DAILY TASK TRACKER'!$BD$5:$BD$1504,1),'DAILY TASK TRACKER'!$BD$5:$BD$1504,0))="","",INDEX('DAILY TASK TRACKER'!$G$5:$G$1504,MATCH(SMALL('DAILY TASK TRACKER'!$BD$5:$BD$1504,1),'DAILY TASK TRACKER'!$BD$5:$BD$1504,0))),"")</f>
        <v>Content Syndication - Email + WhatsApp deployment</v>
      </c>
      <c r="N88" s="41" t="n"/>
      <c r="O88" s="41" t="n"/>
      <c r="P88" s="50" t="str">
        <f>IFERROR(IF(INDEX('DAILY TASK TRACKER'!$I$5:$I$1504,MATCH(SMALL('DAILY TASK TRACKER'!$BD$5:$BD$1504,1),'DAILY TASK TRACKER'!$BD$5:$BD$1504,0))="","",INDEX('DAILY TASK TRACKER'!$I$5:$I$1504,MATCH(SMALL('DAILY TASK TRACKER'!$BD$5:$BD$1504,1),'DAILY TASK TRACKER'!$BD$5:$BD$1504,0))),"")</f>
        <v/>
      </c>
      <c r="Q88" s="50" t="str">
        <f>IFERROR(IF(INDEX('DAILY TASK TRACKER'!$M$5:$M$1504,MATCH(SMALL('DAILY TASK TRACKER'!$BD$5:$BD$1504,1),'DAILY TASK TRACKER'!$BD$5:$BD$1504,0))="","",INDEX('DAILY TASK TRACKER'!$M$5:$M$1504,MATCH(SMALL('DAILY TASK TRACKER'!$BD$5:$BD$1504,1),'DAILY TASK TRACKER'!$BD$5:$BD$1504,0))),"")</f>
        <v/>
      </c>
      <c r="R88" s="51">
        <f>IFERROR(IF(INDEX('DAILY TASK TRACKER'!$L$5:$L$1504,MATCH(SMALL('DAILY TASK TRACKER'!$BD$5:$BD$1504,1),'DAILY TASK TRACKER'!$BD$5:$BD$1504,0))="","",INDEX('DAILY TASK TRACKER'!$L$5:$L$1504,MATCH(SMALL('DAILY TASK TRACKER'!$BD$5:$BD$1504,1),'DAILY TASK TRACKER'!$BD$5:$BD$1504,0))),"")</f>
        <v>46301.0</v>
      </c>
    </row>
    <row r="89" ht="26" customHeight="1">
      <c r="B89" s="50" t="str">
        <f>IFERROR(IF(INDEX('DAILY TASK TRACKER'!$B$5:$B$1504,MATCH(SMALL('DAILY TASK TRACKER'!$BF$5:$BF$1504,2),'DAILY TASK TRACKER'!$BF$5:$BF$1504,0))="","",INDEX('DAILY TASK TRACKER'!$B$5:$B$1504,MATCH(SMALL('DAILY TASK TRACKER'!$BF$5:$BF$1504,2),'DAILY TASK TRACKER'!$BF$5:$BF$1504,0))),"")</f>
        <v/>
      </c>
      <c r="C89" s="50" t="str">
        <f>IFERROR(IF(INDEX('DAILY TASK TRACKER'!$C$5:$C$1504,MATCH(SMALL('DAILY TASK TRACKER'!$BF$5:$BF$1504,2),'DAILY TASK TRACKER'!$BF$5:$BF$1504,0))="","",INDEX('DAILY TASK TRACKER'!$C$5:$C$1504,MATCH(SMALL('DAILY TASK TRACKER'!$BF$5:$BF$1504,2),'DAILY TASK TRACKER'!$BF$5:$BF$1504,0))),"")</f>
        <v/>
      </c>
      <c r="D89" s="50" t="str">
        <f>IFERROR(IF(INDEX('DAILY TASK TRACKER'!$G$5:$G$1504,MATCH(SMALL('DAILY TASK TRACKER'!$BF$5:$BF$1504,2),'DAILY TASK TRACKER'!$BF$5:$BF$1504,0))="","",INDEX('DAILY TASK TRACKER'!$G$5:$G$1504,MATCH(SMALL('DAILY TASK TRACKER'!$BF$5:$BF$1504,2),'DAILY TASK TRACKER'!$BF$5:$BF$1504,0))),"")</f>
        <v/>
      </c>
      <c r="E89" s="41" t="n"/>
      <c r="F89" s="41" t="n"/>
      <c r="G89" s="50" t="str">
        <f>IFERROR(IF(INDEX('DAILY TASK TRACKER'!$I$5:$I$1504,MATCH(SMALL('DAILY TASK TRACKER'!$BF$5:$BF$1504,2),'DAILY TASK TRACKER'!$BF$5:$BF$1504,0))="","",INDEX('DAILY TASK TRACKER'!$I$5:$I$1504,MATCH(SMALL('DAILY TASK TRACKER'!$BF$5:$BF$1504,2),'DAILY TASK TRACKER'!$BF$5:$BF$1504,0))),"")</f>
        <v/>
      </c>
      <c r="H89" s="50" t="str">
        <f>IFERROR(IF(INDEX('DAILY TASK TRACKER'!$M$5:$M$1504,MATCH(SMALL('DAILY TASK TRACKER'!$BF$5:$BF$1504,2),'DAILY TASK TRACKER'!$BF$5:$BF$1504,0))="","",INDEX('DAILY TASK TRACKER'!$M$5:$M$1504,MATCH(SMALL('DAILY TASK TRACKER'!$BF$5:$BF$1504,2),'DAILY TASK TRACKER'!$BF$5:$BF$1504,0))),"")</f>
        <v/>
      </c>
      <c r="I89" s="51" t="str">
        <f>IFERROR(IF(INDEX('DAILY TASK TRACKER'!$L$5:$L$1504,MATCH(SMALL('DAILY TASK TRACKER'!$BF$5:$BF$1504,2),'DAILY TASK TRACKER'!$BF$5:$BF$1504,0))="","",INDEX('DAILY TASK TRACKER'!$L$5:$L$1504,MATCH(SMALL('DAILY TASK TRACKER'!$BF$5:$BF$1504,2),'DAILY TASK TRACKER'!$BF$5:$BF$1504,0))),"")</f>
        <v/>
      </c>
      <c r="K89" s="50" t="str">
        <f>IFERROR(IF(INDEX('DAILY TASK TRACKER'!$B$5:$B$1504,MATCH(SMALL('DAILY TASK TRACKER'!$BD$5:$BD$1504,2),'DAILY TASK TRACKER'!$BD$5:$BD$1504,0))="","",INDEX('DAILY TASK TRACKER'!$B$5:$B$1504,MATCH(SMALL('DAILY TASK TRACKER'!$BD$5:$BD$1504,2),'DAILY TASK TRACKER'!$BD$5:$BD$1504,0))),"")</f>
        <v/>
      </c>
      <c r="L89" s="50" t="str">
        <f>IFERROR(IF(INDEX('DAILY TASK TRACKER'!$C$5:$C$1504,MATCH(SMALL('DAILY TASK TRACKER'!$BD$5:$BD$1504,2),'DAILY TASK TRACKER'!$BD$5:$BD$1504,0))="","",INDEX('DAILY TASK TRACKER'!$C$5:$C$1504,MATCH(SMALL('DAILY TASK TRACKER'!$BD$5:$BD$1504,2),'DAILY TASK TRACKER'!$BD$5:$BD$1504,0))),"")</f>
        <v/>
      </c>
      <c r="M89" s="50" t="str">
        <f>IFERROR(IF(INDEX('DAILY TASK TRACKER'!$G$5:$G$1504,MATCH(SMALL('DAILY TASK TRACKER'!$BD$5:$BD$1504,2),'DAILY TASK TRACKER'!$BD$5:$BD$1504,0))="","",INDEX('DAILY TASK TRACKER'!$G$5:$G$1504,MATCH(SMALL('DAILY TASK TRACKER'!$BD$5:$BD$1504,2),'DAILY TASK TRACKER'!$BD$5:$BD$1504,0))),"")</f>
        <v/>
      </c>
      <c r="N89" s="41" t="n"/>
      <c r="O89" s="41" t="n"/>
      <c r="P89" s="50" t="str">
        <f>IFERROR(IF(INDEX('DAILY TASK TRACKER'!$I$5:$I$1504,MATCH(SMALL('DAILY TASK TRACKER'!$BD$5:$BD$1504,2),'DAILY TASK TRACKER'!$BD$5:$BD$1504,0))="","",INDEX('DAILY TASK TRACKER'!$I$5:$I$1504,MATCH(SMALL('DAILY TASK TRACKER'!$BD$5:$BD$1504,2),'DAILY TASK TRACKER'!$BD$5:$BD$1504,0))),"")</f>
        <v/>
      </c>
      <c r="Q89" s="50" t="str">
        <f>IFERROR(IF(INDEX('DAILY TASK TRACKER'!$M$5:$M$1504,MATCH(SMALL('DAILY TASK TRACKER'!$BD$5:$BD$1504,2),'DAILY TASK TRACKER'!$BD$5:$BD$1504,0))="","",INDEX('DAILY TASK TRACKER'!$M$5:$M$1504,MATCH(SMALL('DAILY TASK TRACKER'!$BD$5:$BD$1504,2),'DAILY TASK TRACKER'!$BD$5:$BD$1504,0))),"")</f>
        <v/>
      </c>
      <c r="R89" s="51" t="str">
        <f>IFERROR(IF(INDEX('DAILY TASK TRACKER'!$L$5:$L$1504,MATCH(SMALL('DAILY TASK TRACKER'!$BD$5:$BD$1504,2),'DAILY TASK TRACKER'!$BD$5:$BD$1504,0))="","",INDEX('DAILY TASK TRACKER'!$L$5:$L$1504,MATCH(SMALL('DAILY TASK TRACKER'!$BD$5:$BD$1504,2),'DAILY TASK TRACKER'!$BD$5:$BD$1504,0))),"")</f>
        <v/>
      </c>
    </row>
    <row r="90" ht="26" customHeight="1">
      <c r="B90" s="50" t="str">
        <f>IFERROR(IF(INDEX('DAILY TASK TRACKER'!$B$5:$B$1504,MATCH(SMALL('DAILY TASK TRACKER'!$BF$5:$BF$1504,3),'DAILY TASK TRACKER'!$BF$5:$BF$1504,0))="","",INDEX('DAILY TASK TRACKER'!$B$5:$B$1504,MATCH(SMALL('DAILY TASK TRACKER'!$BF$5:$BF$1504,3),'DAILY TASK TRACKER'!$BF$5:$BF$1504,0))),"")</f>
        <v/>
      </c>
      <c r="C90" s="50" t="str">
        <f>IFERROR(IF(INDEX('DAILY TASK TRACKER'!$C$5:$C$1504,MATCH(SMALL('DAILY TASK TRACKER'!$BF$5:$BF$1504,3),'DAILY TASK TRACKER'!$BF$5:$BF$1504,0))="","",INDEX('DAILY TASK TRACKER'!$C$5:$C$1504,MATCH(SMALL('DAILY TASK TRACKER'!$BF$5:$BF$1504,3),'DAILY TASK TRACKER'!$BF$5:$BF$1504,0))),"")</f>
        <v/>
      </c>
      <c r="D90" s="50" t="str">
        <f>IFERROR(IF(INDEX('DAILY TASK TRACKER'!$G$5:$G$1504,MATCH(SMALL('DAILY TASK TRACKER'!$BF$5:$BF$1504,3),'DAILY TASK TRACKER'!$BF$5:$BF$1504,0))="","",INDEX('DAILY TASK TRACKER'!$G$5:$G$1504,MATCH(SMALL('DAILY TASK TRACKER'!$BF$5:$BF$1504,3),'DAILY TASK TRACKER'!$BF$5:$BF$1504,0))),"")</f>
        <v/>
      </c>
      <c r="E90" s="41" t="n"/>
      <c r="F90" s="41" t="n"/>
      <c r="G90" s="50" t="str">
        <f>IFERROR(IF(INDEX('DAILY TASK TRACKER'!$I$5:$I$1504,MATCH(SMALL('DAILY TASK TRACKER'!$BF$5:$BF$1504,3),'DAILY TASK TRACKER'!$BF$5:$BF$1504,0))="","",INDEX('DAILY TASK TRACKER'!$I$5:$I$1504,MATCH(SMALL('DAILY TASK TRACKER'!$BF$5:$BF$1504,3),'DAILY TASK TRACKER'!$BF$5:$BF$1504,0))),"")</f>
        <v/>
      </c>
      <c r="H90" s="50" t="str">
        <f>IFERROR(IF(INDEX('DAILY TASK TRACKER'!$M$5:$M$1504,MATCH(SMALL('DAILY TASK TRACKER'!$BF$5:$BF$1504,3),'DAILY TASK TRACKER'!$BF$5:$BF$1504,0))="","",INDEX('DAILY TASK TRACKER'!$M$5:$M$1504,MATCH(SMALL('DAILY TASK TRACKER'!$BF$5:$BF$1504,3),'DAILY TASK TRACKER'!$BF$5:$BF$1504,0))),"")</f>
        <v/>
      </c>
      <c r="I90" s="51" t="str">
        <f>IFERROR(IF(INDEX('DAILY TASK TRACKER'!$L$5:$L$1504,MATCH(SMALL('DAILY TASK TRACKER'!$BF$5:$BF$1504,3),'DAILY TASK TRACKER'!$BF$5:$BF$1504,0))="","",INDEX('DAILY TASK TRACKER'!$L$5:$L$1504,MATCH(SMALL('DAILY TASK TRACKER'!$BF$5:$BF$1504,3),'DAILY TASK TRACKER'!$BF$5:$BF$1504,0))),"")</f>
        <v/>
      </c>
      <c r="K90" s="50" t="str">
        <f>IFERROR(IF(INDEX('DAILY TASK TRACKER'!$B$5:$B$1504,MATCH(SMALL('DAILY TASK TRACKER'!$BD$5:$BD$1504,3),'DAILY TASK TRACKER'!$BD$5:$BD$1504,0))="","",INDEX('DAILY TASK TRACKER'!$B$5:$B$1504,MATCH(SMALL('DAILY TASK TRACKER'!$BD$5:$BD$1504,3),'DAILY TASK TRACKER'!$BD$5:$BD$1504,0))),"")</f>
        <v/>
      </c>
      <c r="L90" s="50" t="str">
        <f>IFERROR(IF(INDEX('DAILY TASK TRACKER'!$C$5:$C$1504,MATCH(SMALL('DAILY TASK TRACKER'!$BD$5:$BD$1504,3),'DAILY TASK TRACKER'!$BD$5:$BD$1504,0))="","",INDEX('DAILY TASK TRACKER'!$C$5:$C$1504,MATCH(SMALL('DAILY TASK TRACKER'!$BD$5:$BD$1504,3),'DAILY TASK TRACKER'!$BD$5:$BD$1504,0))),"")</f>
        <v/>
      </c>
      <c r="M90" s="50" t="str">
        <f>IFERROR(IF(INDEX('DAILY TASK TRACKER'!$G$5:$G$1504,MATCH(SMALL('DAILY TASK TRACKER'!$BD$5:$BD$1504,3),'DAILY TASK TRACKER'!$BD$5:$BD$1504,0))="","",INDEX('DAILY TASK TRACKER'!$G$5:$G$1504,MATCH(SMALL('DAILY TASK TRACKER'!$BD$5:$BD$1504,3),'DAILY TASK TRACKER'!$BD$5:$BD$1504,0))),"")</f>
        <v/>
      </c>
      <c r="N90" s="41" t="n"/>
      <c r="O90" s="41" t="n"/>
      <c r="P90" s="50" t="str">
        <f>IFERROR(IF(INDEX('DAILY TASK TRACKER'!$I$5:$I$1504,MATCH(SMALL('DAILY TASK TRACKER'!$BD$5:$BD$1504,3),'DAILY TASK TRACKER'!$BD$5:$BD$1504,0))="","",INDEX('DAILY TASK TRACKER'!$I$5:$I$1504,MATCH(SMALL('DAILY TASK TRACKER'!$BD$5:$BD$1504,3),'DAILY TASK TRACKER'!$BD$5:$BD$1504,0))),"")</f>
        <v/>
      </c>
      <c r="Q90" s="50" t="str">
        <f>IFERROR(IF(INDEX('DAILY TASK TRACKER'!$M$5:$M$1504,MATCH(SMALL('DAILY TASK TRACKER'!$BD$5:$BD$1504,3),'DAILY TASK TRACKER'!$BD$5:$BD$1504,0))="","",INDEX('DAILY TASK TRACKER'!$M$5:$M$1504,MATCH(SMALL('DAILY TASK TRACKER'!$BD$5:$BD$1504,3),'DAILY TASK TRACKER'!$BD$5:$BD$1504,0))),"")</f>
        <v/>
      </c>
      <c r="R90" s="51" t="str">
        <f>IFERROR(IF(INDEX('DAILY TASK TRACKER'!$L$5:$L$1504,MATCH(SMALL('DAILY TASK TRACKER'!$BD$5:$BD$1504,3),'DAILY TASK TRACKER'!$BD$5:$BD$1504,0))="","",INDEX('DAILY TASK TRACKER'!$L$5:$L$1504,MATCH(SMALL('DAILY TASK TRACKER'!$BD$5:$BD$1504,3),'DAILY TASK TRACKER'!$BD$5:$BD$1504,0))),"")</f>
        <v/>
      </c>
    </row>
    <row r="91" ht="26" customHeight="1">
      <c r="B91" s="50" t="str">
        <f>IFERROR(IF(INDEX('DAILY TASK TRACKER'!$B$5:$B$1504,MATCH(SMALL('DAILY TASK TRACKER'!$BF$5:$BF$1504,4),'DAILY TASK TRACKER'!$BF$5:$BF$1504,0))="","",INDEX('DAILY TASK TRACKER'!$B$5:$B$1504,MATCH(SMALL('DAILY TASK TRACKER'!$BF$5:$BF$1504,4),'DAILY TASK TRACKER'!$BF$5:$BF$1504,0))),"")</f>
        <v/>
      </c>
      <c r="C91" s="50" t="str">
        <f>IFERROR(IF(INDEX('DAILY TASK TRACKER'!$C$5:$C$1504,MATCH(SMALL('DAILY TASK TRACKER'!$BF$5:$BF$1504,4),'DAILY TASK TRACKER'!$BF$5:$BF$1504,0))="","",INDEX('DAILY TASK TRACKER'!$C$5:$C$1504,MATCH(SMALL('DAILY TASK TRACKER'!$BF$5:$BF$1504,4),'DAILY TASK TRACKER'!$BF$5:$BF$1504,0))),"")</f>
        <v/>
      </c>
      <c r="D91" s="50" t="str">
        <f>IFERROR(IF(INDEX('DAILY TASK TRACKER'!$G$5:$G$1504,MATCH(SMALL('DAILY TASK TRACKER'!$BF$5:$BF$1504,4),'DAILY TASK TRACKER'!$BF$5:$BF$1504,0))="","",INDEX('DAILY TASK TRACKER'!$G$5:$G$1504,MATCH(SMALL('DAILY TASK TRACKER'!$BF$5:$BF$1504,4),'DAILY TASK TRACKER'!$BF$5:$BF$1504,0))),"")</f>
        <v/>
      </c>
      <c r="E91" s="41" t="n"/>
      <c r="F91" s="41" t="n"/>
      <c r="G91" s="50" t="str">
        <f>IFERROR(IF(INDEX('DAILY TASK TRACKER'!$I$5:$I$1504,MATCH(SMALL('DAILY TASK TRACKER'!$BF$5:$BF$1504,4),'DAILY TASK TRACKER'!$BF$5:$BF$1504,0))="","",INDEX('DAILY TASK TRACKER'!$I$5:$I$1504,MATCH(SMALL('DAILY TASK TRACKER'!$BF$5:$BF$1504,4),'DAILY TASK TRACKER'!$BF$5:$BF$1504,0))),"")</f>
        <v/>
      </c>
      <c r="H91" s="50" t="str">
        <f>IFERROR(IF(INDEX('DAILY TASK TRACKER'!$M$5:$M$1504,MATCH(SMALL('DAILY TASK TRACKER'!$BF$5:$BF$1504,4),'DAILY TASK TRACKER'!$BF$5:$BF$1504,0))="","",INDEX('DAILY TASK TRACKER'!$M$5:$M$1504,MATCH(SMALL('DAILY TASK TRACKER'!$BF$5:$BF$1504,4),'DAILY TASK TRACKER'!$BF$5:$BF$1504,0))),"")</f>
        <v/>
      </c>
      <c r="I91" s="51" t="str">
        <f>IFERROR(IF(INDEX('DAILY TASK TRACKER'!$L$5:$L$1504,MATCH(SMALL('DAILY TASK TRACKER'!$BF$5:$BF$1504,4),'DAILY TASK TRACKER'!$BF$5:$BF$1504,0))="","",INDEX('DAILY TASK TRACKER'!$L$5:$L$1504,MATCH(SMALL('DAILY TASK TRACKER'!$BF$5:$BF$1504,4),'DAILY TASK TRACKER'!$BF$5:$BF$1504,0))),"")</f>
        <v/>
      </c>
      <c r="K91" s="50" t="str">
        <f>IFERROR(IF(INDEX('DAILY TASK TRACKER'!$B$5:$B$1504,MATCH(SMALL('DAILY TASK TRACKER'!$BD$5:$BD$1504,4),'DAILY TASK TRACKER'!$BD$5:$BD$1504,0))="","",INDEX('DAILY TASK TRACKER'!$B$5:$B$1504,MATCH(SMALL('DAILY TASK TRACKER'!$BD$5:$BD$1504,4),'DAILY TASK TRACKER'!$BD$5:$BD$1504,0))),"")</f>
        <v/>
      </c>
      <c r="L91" s="50" t="str">
        <f>IFERROR(IF(INDEX('DAILY TASK TRACKER'!$C$5:$C$1504,MATCH(SMALL('DAILY TASK TRACKER'!$BD$5:$BD$1504,4),'DAILY TASK TRACKER'!$BD$5:$BD$1504,0))="","",INDEX('DAILY TASK TRACKER'!$C$5:$C$1504,MATCH(SMALL('DAILY TASK TRACKER'!$BD$5:$BD$1504,4),'DAILY TASK TRACKER'!$BD$5:$BD$1504,0))),"")</f>
        <v/>
      </c>
      <c r="M91" s="50" t="str">
        <f>IFERROR(IF(INDEX('DAILY TASK TRACKER'!$G$5:$G$1504,MATCH(SMALL('DAILY TASK TRACKER'!$BD$5:$BD$1504,4),'DAILY TASK TRACKER'!$BD$5:$BD$1504,0))="","",INDEX('DAILY TASK TRACKER'!$G$5:$G$1504,MATCH(SMALL('DAILY TASK TRACKER'!$BD$5:$BD$1504,4),'DAILY TASK TRACKER'!$BD$5:$BD$1504,0))),"")</f>
        <v/>
      </c>
      <c r="N91" s="41" t="n"/>
      <c r="O91" s="41" t="n"/>
      <c r="P91" s="50" t="str">
        <f>IFERROR(IF(INDEX('DAILY TASK TRACKER'!$I$5:$I$1504,MATCH(SMALL('DAILY TASK TRACKER'!$BD$5:$BD$1504,4),'DAILY TASK TRACKER'!$BD$5:$BD$1504,0))="","",INDEX('DAILY TASK TRACKER'!$I$5:$I$1504,MATCH(SMALL('DAILY TASK TRACKER'!$BD$5:$BD$1504,4),'DAILY TASK TRACKER'!$BD$5:$BD$1504,0))),"")</f>
        <v/>
      </c>
      <c r="Q91" s="50" t="str">
        <f>IFERROR(IF(INDEX('DAILY TASK TRACKER'!$M$5:$M$1504,MATCH(SMALL('DAILY TASK TRACKER'!$BD$5:$BD$1504,4),'DAILY TASK TRACKER'!$BD$5:$BD$1504,0))="","",INDEX('DAILY TASK TRACKER'!$M$5:$M$1504,MATCH(SMALL('DAILY TASK TRACKER'!$BD$5:$BD$1504,4),'DAILY TASK TRACKER'!$BD$5:$BD$1504,0))),"")</f>
        <v/>
      </c>
      <c r="R91" s="51" t="str">
        <f>IFERROR(IF(INDEX('DAILY TASK TRACKER'!$L$5:$L$1504,MATCH(SMALL('DAILY TASK TRACKER'!$BD$5:$BD$1504,4),'DAILY TASK TRACKER'!$BD$5:$BD$1504,0))="","",INDEX('DAILY TASK TRACKER'!$L$5:$L$1504,MATCH(SMALL('DAILY TASK TRACKER'!$BD$5:$BD$1504,4),'DAILY TASK TRACKER'!$BD$5:$BD$1504,0))),"")</f>
        <v/>
      </c>
    </row>
    <row r="92" ht="26" customHeight="1">
      <c r="B92" s="50" t="str">
        <f>IFERROR(IF(INDEX('DAILY TASK TRACKER'!$B$5:$B$1504,MATCH(SMALL('DAILY TASK TRACKER'!$BF$5:$BF$1504,5),'DAILY TASK TRACKER'!$BF$5:$BF$1504,0))="","",INDEX('DAILY TASK TRACKER'!$B$5:$B$1504,MATCH(SMALL('DAILY TASK TRACKER'!$BF$5:$BF$1504,5),'DAILY TASK TRACKER'!$BF$5:$BF$1504,0))),"")</f>
        <v/>
      </c>
      <c r="C92" s="50" t="str">
        <f>IFERROR(IF(INDEX('DAILY TASK TRACKER'!$C$5:$C$1504,MATCH(SMALL('DAILY TASK TRACKER'!$BF$5:$BF$1504,5),'DAILY TASK TRACKER'!$BF$5:$BF$1504,0))="","",INDEX('DAILY TASK TRACKER'!$C$5:$C$1504,MATCH(SMALL('DAILY TASK TRACKER'!$BF$5:$BF$1504,5),'DAILY TASK TRACKER'!$BF$5:$BF$1504,0))),"")</f>
        <v/>
      </c>
      <c r="D92" s="50" t="str">
        <f>IFERROR(IF(INDEX('DAILY TASK TRACKER'!$G$5:$G$1504,MATCH(SMALL('DAILY TASK TRACKER'!$BF$5:$BF$1504,5),'DAILY TASK TRACKER'!$BF$5:$BF$1504,0))="","",INDEX('DAILY TASK TRACKER'!$G$5:$G$1504,MATCH(SMALL('DAILY TASK TRACKER'!$BF$5:$BF$1504,5),'DAILY TASK TRACKER'!$BF$5:$BF$1504,0))),"")</f>
        <v/>
      </c>
      <c r="E92" s="41" t="n"/>
      <c r="F92" s="41" t="n"/>
      <c r="G92" s="50" t="str">
        <f>IFERROR(IF(INDEX('DAILY TASK TRACKER'!$I$5:$I$1504,MATCH(SMALL('DAILY TASK TRACKER'!$BF$5:$BF$1504,5),'DAILY TASK TRACKER'!$BF$5:$BF$1504,0))="","",INDEX('DAILY TASK TRACKER'!$I$5:$I$1504,MATCH(SMALL('DAILY TASK TRACKER'!$BF$5:$BF$1504,5),'DAILY TASK TRACKER'!$BF$5:$BF$1504,0))),"")</f>
        <v/>
      </c>
      <c r="H92" s="50" t="str">
        <f>IFERROR(IF(INDEX('DAILY TASK TRACKER'!$M$5:$M$1504,MATCH(SMALL('DAILY TASK TRACKER'!$BF$5:$BF$1504,5),'DAILY TASK TRACKER'!$BF$5:$BF$1504,0))="","",INDEX('DAILY TASK TRACKER'!$M$5:$M$1504,MATCH(SMALL('DAILY TASK TRACKER'!$BF$5:$BF$1504,5),'DAILY TASK TRACKER'!$BF$5:$BF$1504,0))),"")</f>
        <v/>
      </c>
      <c r="I92" s="51" t="str">
        <f>IFERROR(IF(INDEX('DAILY TASK TRACKER'!$L$5:$L$1504,MATCH(SMALL('DAILY TASK TRACKER'!$BF$5:$BF$1504,5),'DAILY TASK TRACKER'!$BF$5:$BF$1504,0))="","",INDEX('DAILY TASK TRACKER'!$L$5:$L$1504,MATCH(SMALL('DAILY TASK TRACKER'!$BF$5:$BF$1504,5),'DAILY TASK TRACKER'!$BF$5:$BF$1504,0))),"")</f>
        <v/>
      </c>
      <c r="K92" s="50" t="str">
        <f>IFERROR(IF(INDEX('DAILY TASK TRACKER'!$B$5:$B$1504,MATCH(SMALL('DAILY TASK TRACKER'!$BD$5:$BD$1504,5),'DAILY TASK TRACKER'!$BD$5:$BD$1504,0))="","",INDEX('DAILY TASK TRACKER'!$B$5:$B$1504,MATCH(SMALL('DAILY TASK TRACKER'!$BD$5:$BD$1504,5),'DAILY TASK TRACKER'!$BD$5:$BD$1504,0))),"")</f>
        <v/>
      </c>
      <c r="L92" s="50" t="str">
        <f>IFERROR(IF(INDEX('DAILY TASK TRACKER'!$C$5:$C$1504,MATCH(SMALL('DAILY TASK TRACKER'!$BD$5:$BD$1504,5),'DAILY TASK TRACKER'!$BD$5:$BD$1504,0))="","",INDEX('DAILY TASK TRACKER'!$C$5:$C$1504,MATCH(SMALL('DAILY TASK TRACKER'!$BD$5:$BD$1504,5),'DAILY TASK TRACKER'!$BD$5:$BD$1504,0))),"")</f>
        <v/>
      </c>
      <c r="M92" s="50" t="str">
        <f>IFERROR(IF(INDEX('DAILY TASK TRACKER'!$G$5:$G$1504,MATCH(SMALL('DAILY TASK TRACKER'!$BD$5:$BD$1504,5),'DAILY TASK TRACKER'!$BD$5:$BD$1504,0))="","",INDEX('DAILY TASK TRACKER'!$G$5:$G$1504,MATCH(SMALL('DAILY TASK TRACKER'!$BD$5:$BD$1504,5),'DAILY TASK TRACKER'!$BD$5:$BD$1504,0))),"")</f>
        <v/>
      </c>
      <c r="N92" s="41" t="n"/>
      <c r="O92" s="41" t="n"/>
      <c r="P92" s="50" t="str">
        <f>IFERROR(IF(INDEX('DAILY TASK TRACKER'!$I$5:$I$1504,MATCH(SMALL('DAILY TASK TRACKER'!$BD$5:$BD$1504,5),'DAILY TASK TRACKER'!$BD$5:$BD$1504,0))="","",INDEX('DAILY TASK TRACKER'!$I$5:$I$1504,MATCH(SMALL('DAILY TASK TRACKER'!$BD$5:$BD$1504,5),'DAILY TASK TRACKER'!$BD$5:$BD$1504,0))),"")</f>
        <v/>
      </c>
      <c r="Q92" s="50" t="str">
        <f>IFERROR(IF(INDEX('DAILY TASK TRACKER'!$M$5:$M$1504,MATCH(SMALL('DAILY TASK TRACKER'!$BD$5:$BD$1504,5),'DAILY TASK TRACKER'!$BD$5:$BD$1504,0))="","",INDEX('DAILY TASK TRACKER'!$M$5:$M$1504,MATCH(SMALL('DAILY TASK TRACKER'!$BD$5:$BD$1504,5),'DAILY TASK TRACKER'!$BD$5:$BD$1504,0))),"")</f>
        <v/>
      </c>
      <c r="R92" s="51" t="str">
        <f>IFERROR(IF(INDEX('DAILY TASK TRACKER'!$L$5:$L$1504,MATCH(SMALL('DAILY TASK TRACKER'!$BD$5:$BD$1504,5),'DAILY TASK TRACKER'!$BD$5:$BD$1504,0))="","",INDEX('DAILY TASK TRACKER'!$L$5:$L$1504,MATCH(SMALL('DAILY TASK TRACKER'!$BD$5:$BD$1504,5),'DAILY TASK TRACKER'!$BD$5:$BD$1504,0))),"")</f>
        <v/>
      </c>
    </row>
    <row r="93" ht="26" customHeight="1">
      <c r="B93" s="50" t="str">
        <f>IFERROR(IF(INDEX('DAILY TASK TRACKER'!$B$5:$B$1504,MATCH(SMALL('DAILY TASK TRACKER'!$BF$5:$BF$1504,6),'DAILY TASK TRACKER'!$BF$5:$BF$1504,0))="","",INDEX('DAILY TASK TRACKER'!$B$5:$B$1504,MATCH(SMALL('DAILY TASK TRACKER'!$BF$5:$BF$1504,6),'DAILY TASK TRACKER'!$BF$5:$BF$1504,0))),"")</f>
        <v/>
      </c>
      <c r="C93" s="50" t="str">
        <f>IFERROR(IF(INDEX('DAILY TASK TRACKER'!$C$5:$C$1504,MATCH(SMALL('DAILY TASK TRACKER'!$BF$5:$BF$1504,6),'DAILY TASK TRACKER'!$BF$5:$BF$1504,0))="","",INDEX('DAILY TASK TRACKER'!$C$5:$C$1504,MATCH(SMALL('DAILY TASK TRACKER'!$BF$5:$BF$1504,6),'DAILY TASK TRACKER'!$BF$5:$BF$1504,0))),"")</f>
        <v/>
      </c>
      <c r="D93" s="50" t="str">
        <f>IFERROR(IF(INDEX('DAILY TASK TRACKER'!$G$5:$G$1504,MATCH(SMALL('DAILY TASK TRACKER'!$BF$5:$BF$1504,6),'DAILY TASK TRACKER'!$BF$5:$BF$1504,0))="","",INDEX('DAILY TASK TRACKER'!$G$5:$G$1504,MATCH(SMALL('DAILY TASK TRACKER'!$BF$5:$BF$1504,6),'DAILY TASK TRACKER'!$BF$5:$BF$1504,0))),"")</f>
        <v/>
      </c>
      <c r="E93" s="41" t="n"/>
      <c r="F93" s="41" t="n"/>
      <c r="G93" s="50" t="str">
        <f>IFERROR(IF(INDEX('DAILY TASK TRACKER'!$I$5:$I$1504,MATCH(SMALL('DAILY TASK TRACKER'!$BF$5:$BF$1504,6),'DAILY TASK TRACKER'!$BF$5:$BF$1504,0))="","",INDEX('DAILY TASK TRACKER'!$I$5:$I$1504,MATCH(SMALL('DAILY TASK TRACKER'!$BF$5:$BF$1504,6),'DAILY TASK TRACKER'!$BF$5:$BF$1504,0))),"")</f>
        <v/>
      </c>
      <c r="H93" s="50" t="str">
        <f>IFERROR(IF(INDEX('DAILY TASK TRACKER'!$M$5:$M$1504,MATCH(SMALL('DAILY TASK TRACKER'!$BF$5:$BF$1504,6),'DAILY TASK TRACKER'!$BF$5:$BF$1504,0))="","",INDEX('DAILY TASK TRACKER'!$M$5:$M$1504,MATCH(SMALL('DAILY TASK TRACKER'!$BF$5:$BF$1504,6),'DAILY TASK TRACKER'!$BF$5:$BF$1504,0))),"")</f>
        <v/>
      </c>
      <c r="I93" s="51" t="str">
        <f>IFERROR(IF(INDEX('DAILY TASK TRACKER'!$L$5:$L$1504,MATCH(SMALL('DAILY TASK TRACKER'!$BF$5:$BF$1504,6),'DAILY TASK TRACKER'!$BF$5:$BF$1504,0))="","",INDEX('DAILY TASK TRACKER'!$L$5:$L$1504,MATCH(SMALL('DAILY TASK TRACKER'!$BF$5:$BF$1504,6),'DAILY TASK TRACKER'!$BF$5:$BF$1504,0))),"")</f>
        <v/>
      </c>
      <c r="K93" s="50" t="str">
        <f>IFERROR(IF(INDEX('DAILY TASK TRACKER'!$B$5:$B$1504,MATCH(SMALL('DAILY TASK TRACKER'!$BD$5:$BD$1504,6),'DAILY TASK TRACKER'!$BD$5:$BD$1504,0))="","",INDEX('DAILY TASK TRACKER'!$B$5:$B$1504,MATCH(SMALL('DAILY TASK TRACKER'!$BD$5:$BD$1504,6),'DAILY TASK TRACKER'!$BD$5:$BD$1504,0))),"")</f>
        <v/>
      </c>
      <c r="L93" s="50" t="str">
        <f>IFERROR(IF(INDEX('DAILY TASK TRACKER'!$C$5:$C$1504,MATCH(SMALL('DAILY TASK TRACKER'!$BD$5:$BD$1504,6),'DAILY TASK TRACKER'!$BD$5:$BD$1504,0))="","",INDEX('DAILY TASK TRACKER'!$C$5:$C$1504,MATCH(SMALL('DAILY TASK TRACKER'!$BD$5:$BD$1504,6),'DAILY TASK TRACKER'!$BD$5:$BD$1504,0))),"")</f>
        <v/>
      </c>
      <c r="M93" s="50" t="str">
        <f>IFERROR(IF(INDEX('DAILY TASK TRACKER'!$G$5:$G$1504,MATCH(SMALL('DAILY TASK TRACKER'!$BD$5:$BD$1504,6),'DAILY TASK TRACKER'!$BD$5:$BD$1504,0))="","",INDEX('DAILY TASK TRACKER'!$G$5:$G$1504,MATCH(SMALL('DAILY TASK TRACKER'!$BD$5:$BD$1504,6),'DAILY TASK TRACKER'!$BD$5:$BD$1504,0))),"")</f>
        <v/>
      </c>
      <c r="N93" s="41" t="n"/>
      <c r="O93" s="41" t="n"/>
      <c r="P93" s="50" t="str">
        <f>IFERROR(IF(INDEX('DAILY TASK TRACKER'!$I$5:$I$1504,MATCH(SMALL('DAILY TASK TRACKER'!$BD$5:$BD$1504,6),'DAILY TASK TRACKER'!$BD$5:$BD$1504,0))="","",INDEX('DAILY TASK TRACKER'!$I$5:$I$1504,MATCH(SMALL('DAILY TASK TRACKER'!$BD$5:$BD$1504,6),'DAILY TASK TRACKER'!$BD$5:$BD$1504,0))),"")</f>
        <v/>
      </c>
      <c r="Q93" s="50" t="str">
        <f>IFERROR(IF(INDEX('DAILY TASK TRACKER'!$M$5:$M$1504,MATCH(SMALL('DAILY TASK TRACKER'!$BD$5:$BD$1504,6),'DAILY TASK TRACKER'!$BD$5:$BD$1504,0))="","",INDEX('DAILY TASK TRACKER'!$M$5:$M$1504,MATCH(SMALL('DAILY TASK TRACKER'!$BD$5:$BD$1504,6),'DAILY TASK TRACKER'!$BD$5:$BD$1504,0))),"")</f>
        <v/>
      </c>
      <c r="R93" s="51" t="str">
        <f>IFERROR(IF(INDEX('DAILY TASK TRACKER'!$L$5:$L$1504,MATCH(SMALL('DAILY TASK TRACKER'!$BD$5:$BD$1504,6),'DAILY TASK TRACKER'!$BD$5:$BD$1504,0))="","",INDEX('DAILY TASK TRACKER'!$L$5:$L$1504,MATCH(SMALL('DAILY TASK TRACKER'!$BD$5:$BD$1504,6),'DAILY TASK TRACKER'!$BD$5:$BD$1504,0))),"")</f>
        <v/>
      </c>
    </row>
    <row r="94" ht="26" customHeight="1">
      <c r="B94" s="50" t="str">
        <f>IFERROR(IF(INDEX('DAILY TASK TRACKER'!$B$5:$B$1504,MATCH(SMALL('DAILY TASK TRACKER'!$BF$5:$BF$1504,7),'DAILY TASK TRACKER'!$BF$5:$BF$1504,0))="","",INDEX('DAILY TASK TRACKER'!$B$5:$B$1504,MATCH(SMALL('DAILY TASK TRACKER'!$BF$5:$BF$1504,7),'DAILY TASK TRACKER'!$BF$5:$BF$1504,0))),"")</f>
        <v/>
      </c>
      <c r="C94" s="50" t="str">
        <f>IFERROR(IF(INDEX('DAILY TASK TRACKER'!$C$5:$C$1504,MATCH(SMALL('DAILY TASK TRACKER'!$BF$5:$BF$1504,7),'DAILY TASK TRACKER'!$BF$5:$BF$1504,0))="","",INDEX('DAILY TASK TRACKER'!$C$5:$C$1504,MATCH(SMALL('DAILY TASK TRACKER'!$BF$5:$BF$1504,7),'DAILY TASK TRACKER'!$BF$5:$BF$1504,0))),"")</f>
        <v/>
      </c>
      <c r="D94" s="50" t="str">
        <f>IFERROR(IF(INDEX('DAILY TASK TRACKER'!$G$5:$G$1504,MATCH(SMALL('DAILY TASK TRACKER'!$BF$5:$BF$1504,7),'DAILY TASK TRACKER'!$BF$5:$BF$1504,0))="","",INDEX('DAILY TASK TRACKER'!$G$5:$G$1504,MATCH(SMALL('DAILY TASK TRACKER'!$BF$5:$BF$1504,7),'DAILY TASK TRACKER'!$BF$5:$BF$1504,0))),"")</f>
        <v/>
      </c>
      <c r="E94" s="41" t="n"/>
      <c r="F94" s="41" t="n"/>
      <c r="G94" s="50" t="str">
        <f>IFERROR(IF(INDEX('DAILY TASK TRACKER'!$I$5:$I$1504,MATCH(SMALL('DAILY TASK TRACKER'!$BF$5:$BF$1504,7),'DAILY TASK TRACKER'!$BF$5:$BF$1504,0))="","",INDEX('DAILY TASK TRACKER'!$I$5:$I$1504,MATCH(SMALL('DAILY TASK TRACKER'!$BF$5:$BF$1504,7),'DAILY TASK TRACKER'!$BF$5:$BF$1504,0))),"")</f>
        <v/>
      </c>
      <c r="H94" s="50" t="str">
        <f>IFERROR(IF(INDEX('DAILY TASK TRACKER'!$M$5:$M$1504,MATCH(SMALL('DAILY TASK TRACKER'!$BF$5:$BF$1504,7),'DAILY TASK TRACKER'!$BF$5:$BF$1504,0))="","",INDEX('DAILY TASK TRACKER'!$M$5:$M$1504,MATCH(SMALL('DAILY TASK TRACKER'!$BF$5:$BF$1504,7),'DAILY TASK TRACKER'!$BF$5:$BF$1504,0))),"")</f>
        <v/>
      </c>
      <c r="I94" s="51" t="str">
        <f>IFERROR(IF(INDEX('DAILY TASK TRACKER'!$L$5:$L$1504,MATCH(SMALL('DAILY TASK TRACKER'!$BF$5:$BF$1504,7),'DAILY TASK TRACKER'!$BF$5:$BF$1504,0))="","",INDEX('DAILY TASK TRACKER'!$L$5:$L$1504,MATCH(SMALL('DAILY TASK TRACKER'!$BF$5:$BF$1504,7),'DAILY TASK TRACKER'!$BF$5:$BF$1504,0))),"")</f>
        <v/>
      </c>
      <c r="K94" s="50" t="str">
        <f>IFERROR(IF(INDEX('DAILY TASK TRACKER'!$B$5:$B$1504,MATCH(SMALL('DAILY TASK TRACKER'!$BD$5:$BD$1504,7),'DAILY TASK TRACKER'!$BD$5:$BD$1504,0))="","",INDEX('DAILY TASK TRACKER'!$B$5:$B$1504,MATCH(SMALL('DAILY TASK TRACKER'!$BD$5:$BD$1504,7),'DAILY TASK TRACKER'!$BD$5:$BD$1504,0))),"")</f>
        <v/>
      </c>
      <c r="L94" s="50" t="str">
        <f>IFERROR(IF(INDEX('DAILY TASK TRACKER'!$C$5:$C$1504,MATCH(SMALL('DAILY TASK TRACKER'!$BD$5:$BD$1504,7),'DAILY TASK TRACKER'!$BD$5:$BD$1504,0))="","",INDEX('DAILY TASK TRACKER'!$C$5:$C$1504,MATCH(SMALL('DAILY TASK TRACKER'!$BD$5:$BD$1504,7),'DAILY TASK TRACKER'!$BD$5:$BD$1504,0))),"")</f>
        <v/>
      </c>
      <c r="M94" s="50" t="str">
        <f>IFERROR(IF(INDEX('DAILY TASK TRACKER'!$G$5:$G$1504,MATCH(SMALL('DAILY TASK TRACKER'!$BD$5:$BD$1504,7),'DAILY TASK TRACKER'!$BD$5:$BD$1504,0))="","",INDEX('DAILY TASK TRACKER'!$G$5:$G$1504,MATCH(SMALL('DAILY TASK TRACKER'!$BD$5:$BD$1504,7),'DAILY TASK TRACKER'!$BD$5:$BD$1504,0))),"")</f>
        <v/>
      </c>
      <c r="N94" s="41" t="n"/>
      <c r="O94" s="41" t="n"/>
      <c r="P94" s="50" t="str">
        <f>IFERROR(IF(INDEX('DAILY TASK TRACKER'!$I$5:$I$1504,MATCH(SMALL('DAILY TASK TRACKER'!$BD$5:$BD$1504,7),'DAILY TASK TRACKER'!$BD$5:$BD$1504,0))="","",INDEX('DAILY TASK TRACKER'!$I$5:$I$1504,MATCH(SMALL('DAILY TASK TRACKER'!$BD$5:$BD$1504,7),'DAILY TASK TRACKER'!$BD$5:$BD$1504,0))),"")</f>
        <v/>
      </c>
      <c r="Q94" s="50" t="str">
        <f>IFERROR(IF(INDEX('DAILY TASK TRACKER'!$M$5:$M$1504,MATCH(SMALL('DAILY TASK TRACKER'!$BD$5:$BD$1504,7),'DAILY TASK TRACKER'!$BD$5:$BD$1504,0))="","",INDEX('DAILY TASK TRACKER'!$M$5:$M$1504,MATCH(SMALL('DAILY TASK TRACKER'!$BD$5:$BD$1504,7),'DAILY TASK TRACKER'!$BD$5:$BD$1504,0))),"")</f>
        <v/>
      </c>
      <c r="R94" s="51" t="str">
        <f>IFERROR(IF(INDEX('DAILY TASK TRACKER'!$L$5:$L$1504,MATCH(SMALL('DAILY TASK TRACKER'!$BD$5:$BD$1504,7),'DAILY TASK TRACKER'!$BD$5:$BD$1504,0))="","",INDEX('DAILY TASK TRACKER'!$L$5:$L$1504,MATCH(SMALL('DAILY TASK TRACKER'!$BD$5:$BD$1504,7),'DAILY TASK TRACKER'!$BD$5:$BD$1504,0))),"")</f>
        <v/>
      </c>
    </row>
    <row r="95" ht="26" customHeight="1">
      <c r="B95" s="50" t="str">
        <f>IFERROR(IF(INDEX('DAILY TASK TRACKER'!$B$5:$B$1504,MATCH(SMALL('DAILY TASK TRACKER'!$BF$5:$BF$1504,8),'DAILY TASK TRACKER'!$BF$5:$BF$1504,0))="","",INDEX('DAILY TASK TRACKER'!$B$5:$B$1504,MATCH(SMALL('DAILY TASK TRACKER'!$BF$5:$BF$1504,8),'DAILY TASK TRACKER'!$BF$5:$BF$1504,0))),"")</f>
        <v/>
      </c>
      <c r="C95" s="50" t="str">
        <f>IFERROR(IF(INDEX('DAILY TASK TRACKER'!$C$5:$C$1504,MATCH(SMALL('DAILY TASK TRACKER'!$BF$5:$BF$1504,8),'DAILY TASK TRACKER'!$BF$5:$BF$1504,0))="","",INDEX('DAILY TASK TRACKER'!$C$5:$C$1504,MATCH(SMALL('DAILY TASK TRACKER'!$BF$5:$BF$1504,8),'DAILY TASK TRACKER'!$BF$5:$BF$1504,0))),"")</f>
        <v/>
      </c>
      <c r="D95" s="50" t="str">
        <f>IFERROR(IF(INDEX('DAILY TASK TRACKER'!$G$5:$G$1504,MATCH(SMALL('DAILY TASK TRACKER'!$BF$5:$BF$1504,8),'DAILY TASK TRACKER'!$BF$5:$BF$1504,0))="","",INDEX('DAILY TASK TRACKER'!$G$5:$G$1504,MATCH(SMALL('DAILY TASK TRACKER'!$BF$5:$BF$1504,8),'DAILY TASK TRACKER'!$BF$5:$BF$1504,0))),"")</f>
        <v/>
      </c>
      <c r="E95" s="41" t="n"/>
      <c r="F95" s="41" t="n"/>
      <c r="G95" s="50" t="str">
        <f>IFERROR(IF(INDEX('DAILY TASK TRACKER'!$I$5:$I$1504,MATCH(SMALL('DAILY TASK TRACKER'!$BF$5:$BF$1504,8),'DAILY TASK TRACKER'!$BF$5:$BF$1504,0))="","",INDEX('DAILY TASK TRACKER'!$I$5:$I$1504,MATCH(SMALL('DAILY TASK TRACKER'!$BF$5:$BF$1504,8),'DAILY TASK TRACKER'!$BF$5:$BF$1504,0))),"")</f>
        <v/>
      </c>
      <c r="H95" s="50" t="str">
        <f>IFERROR(IF(INDEX('DAILY TASK TRACKER'!$M$5:$M$1504,MATCH(SMALL('DAILY TASK TRACKER'!$BF$5:$BF$1504,8),'DAILY TASK TRACKER'!$BF$5:$BF$1504,0))="","",INDEX('DAILY TASK TRACKER'!$M$5:$M$1504,MATCH(SMALL('DAILY TASK TRACKER'!$BF$5:$BF$1504,8),'DAILY TASK TRACKER'!$BF$5:$BF$1504,0))),"")</f>
        <v/>
      </c>
      <c r="I95" s="51" t="str">
        <f>IFERROR(IF(INDEX('DAILY TASK TRACKER'!$L$5:$L$1504,MATCH(SMALL('DAILY TASK TRACKER'!$BF$5:$BF$1504,8),'DAILY TASK TRACKER'!$BF$5:$BF$1504,0))="","",INDEX('DAILY TASK TRACKER'!$L$5:$L$1504,MATCH(SMALL('DAILY TASK TRACKER'!$BF$5:$BF$1504,8),'DAILY TASK TRACKER'!$BF$5:$BF$1504,0))),"")</f>
        <v/>
      </c>
      <c r="K95" s="50" t="str">
        <f>IFERROR(IF(INDEX('DAILY TASK TRACKER'!$B$5:$B$1504,MATCH(SMALL('DAILY TASK TRACKER'!$BD$5:$BD$1504,8),'DAILY TASK TRACKER'!$BD$5:$BD$1504,0))="","",INDEX('DAILY TASK TRACKER'!$B$5:$B$1504,MATCH(SMALL('DAILY TASK TRACKER'!$BD$5:$BD$1504,8),'DAILY TASK TRACKER'!$BD$5:$BD$1504,0))),"")</f>
        <v/>
      </c>
      <c r="L95" s="50" t="str">
        <f>IFERROR(IF(INDEX('DAILY TASK TRACKER'!$C$5:$C$1504,MATCH(SMALL('DAILY TASK TRACKER'!$BD$5:$BD$1504,8),'DAILY TASK TRACKER'!$BD$5:$BD$1504,0))="","",INDEX('DAILY TASK TRACKER'!$C$5:$C$1504,MATCH(SMALL('DAILY TASK TRACKER'!$BD$5:$BD$1504,8),'DAILY TASK TRACKER'!$BD$5:$BD$1504,0))),"")</f>
        <v/>
      </c>
      <c r="M95" s="50" t="str">
        <f>IFERROR(IF(INDEX('DAILY TASK TRACKER'!$G$5:$G$1504,MATCH(SMALL('DAILY TASK TRACKER'!$BD$5:$BD$1504,8),'DAILY TASK TRACKER'!$BD$5:$BD$1504,0))="","",INDEX('DAILY TASK TRACKER'!$G$5:$G$1504,MATCH(SMALL('DAILY TASK TRACKER'!$BD$5:$BD$1504,8),'DAILY TASK TRACKER'!$BD$5:$BD$1504,0))),"")</f>
        <v/>
      </c>
      <c r="N95" s="41" t="n"/>
      <c r="O95" s="41" t="n"/>
      <c r="P95" s="50" t="str">
        <f>IFERROR(IF(INDEX('DAILY TASK TRACKER'!$I$5:$I$1504,MATCH(SMALL('DAILY TASK TRACKER'!$BD$5:$BD$1504,8),'DAILY TASK TRACKER'!$BD$5:$BD$1504,0))="","",INDEX('DAILY TASK TRACKER'!$I$5:$I$1504,MATCH(SMALL('DAILY TASK TRACKER'!$BD$5:$BD$1504,8),'DAILY TASK TRACKER'!$BD$5:$BD$1504,0))),"")</f>
        <v/>
      </c>
      <c r="Q95" s="50" t="str">
        <f>IFERROR(IF(INDEX('DAILY TASK TRACKER'!$M$5:$M$1504,MATCH(SMALL('DAILY TASK TRACKER'!$BD$5:$BD$1504,8),'DAILY TASK TRACKER'!$BD$5:$BD$1504,0))="","",INDEX('DAILY TASK TRACKER'!$M$5:$M$1504,MATCH(SMALL('DAILY TASK TRACKER'!$BD$5:$BD$1504,8),'DAILY TASK TRACKER'!$BD$5:$BD$1504,0))),"")</f>
        <v/>
      </c>
      <c r="R95" s="51" t="str">
        <f>IFERROR(IF(INDEX('DAILY TASK TRACKER'!$L$5:$L$1504,MATCH(SMALL('DAILY TASK TRACKER'!$BD$5:$BD$1504,8),'DAILY TASK TRACKER'!$BD$5:$BD$1504,0))="","",INDEX('DAILY TASK TRACKER'!$L$5:$L$1504,MATCH(SMALL('DAILY TASK TRACKER'!$BD$5:$BD$1504,8),'DAILY TASK TRACKER'!$BD$5:$BD$1504,0))),"")</f>
        <v/>
      </c>
    </row>
    <row r="97" ht="20" customHeight="1">
      <c r="B97" s="37" t="inlineStr">
        <is>
          <t>Q5. Who is working on what? (open work per team member)</t>
        </is>
      </c>
      <c r="C97" s="33" t="n"/>
      <c r="D97" s="33" t="n"/>
      <c r="E97" s="33" t="n"/>
      <c r="F97" s="33" t="n"/>
      <c r="G97" s="33" t="n"/>
      <c r="H97" s="33" t="n"/>
      <c r="I97" s="33" t="n"/>
      <c r="K97" s="37" t="inlineStr">
        <is>
          <t>Q6. Which client needs attention?</t>
        </is>
      </c>
      <c r="L97" s="33" t="n"/>
      <c r="M97" s="33" t="n"/>
      <c r="N97" s="33" t="n"/>
      <c r="O97" s="33" t="n"/>
      <c r="P97" s="33" t="n"/>
      <c r="Q97" s="33" t="n"/>
      <c r="R97" s="33" t="n"/>
    </row>
    <row r="98" ht="22" customHeight="1">
      <c r="B98" s="38" t="inlineStr">
        <is>
          <t>Team Member</t>
        </is>
      </c>
      <c r="C98" s="39" t="n"/>
      <c r="D98" s="38" t="inlineStr">
        <is>
          <t>Open</t>
        </is>
      </c>
      <c r="E98" s="38" t="inlineStr">
        <is>
          <t>Overdue</t>
        </is>
      </c>
      <c r="F98" s="38" t="inlineStr">
        <is>
          <t>Blocked</t>
        </is>
      </c>
      <c r="G98" s="38" t="inlineStr">
        <is>
          <t>Due &lt;=2d</t>
        </is>
      </c>
      <c r="H98" s="38" t="inlineStr">
        <is>
          <t>Clients with open work</t>
        </is>
      </c>
      <c r="I98" s="39" t="n"/>
      <c r="K98" s="38" t="inlineStr">
        <is>
          <t>Client</t>
        </is>
      </c>
      <c r="L98" s="39" t="n"/>
      <c r="M98" s="38" t="inlineStr">
        <is>
          <t>Overdue</t>
        </is>
      </c>
      <c r="N98" s="38" t="inlineStr">
        <is>
          <t>Blocked</t>
        </is>
      </c>
      <c r="O98" s="38" t="inlineStr">
        <is>
          <t>Camp. Attn</t>
        </is>
      </c>
      <c r="P98" s="38" t="inlineStr">
        <is>
          <t>Completion</t>
        </is>
      </c>
      <c r="Q98" s="38" t="inlineStr">
        <is>
          <t>Current Priority</t>
        </is>
      </c>
      <c r="R98" s="39" t="n"/>
    </row>
    <row r="99" ht="26" customHeight="1">
      <c r="B99" s="50" t="str">
        <f>'TEAM PERFORMANCE'!A7</f>
        <v>Ayush Jain</v>
      </c>
      <c r="C99" s="41" t="n"/>
      <c r="D99" s="53">
        <f>'TEAM PERFORMANCE'!H7</f>
        <v>16</v>
      </c>
      <c r="E99" s="53">
        <f>'TEAM PERFORMANCE'!F7</f>
        <v>0</v>
      </c>
      <c r="F99" s="53">
        <f>'TEAM PERFORMANCE'!G7</f>
        <v>0</v>
      </c>
      <c r="G99" s="53">
        <f>'TEAM PERFORMANCE'!I7</f>
        <v>0</v>
      </c>
      <c r="H99" s="50" t="str">
        <f>'TEAM PERFORMANCE'!U7</f>
        <v>Chola MS, Magnasoft, Eternelle, Vestrics, Google Chrome Enterprise</v>
      </c>
      <c r="I99" s="41" t="n"/>
      <c r="K99" s="49" t="str">
        <f>IFERROR(IF(INDEX('CLIENT PERFORMANCE'!$A$7:$A$36,MATCH(SMALL('CLIENT PERFORMANCE'!$AD$7:$AD$36,1),'CLIENT PERFORMANCE'!$AD$7:$AD$36,0))="","",INDEX('CLIENT PERFORMANCE'!$A$7:$A$36,MATCH(SMALL('CLIENT PERFORMANCE'!$AD$7:$AD$36,1),'CLIENT PERFORMANCE'!$AD$7:$AD$36,0))),"- none -")</f>
        <v>SAP</v>
      </c>
      <c r="L99" s="41" t="n"/>
      <c r="M99" s="52">
        <f>IFERROR(IF(INDEX('CLIENT PERFORMANCE'!$H$7:$H$36,MATCH(SMALL('CLIENT PERFORMANCE'!$AD$7:$AD$36,1),'CLIENT PERFORMANCE'!$AD$7:$AD$36,0))="","",INDEX('CLIENT PERFORMANCE'!$H$7:$H$36,MATCH(SMALL('CLIENT PERFORMANCE'!$AD$7:$AD$36,1),'CLIENT PERFORMANCE'!$AD$7:$AD$36,0))),"")</f>
        <v>3</v>
      </c>
      <c r="N99" s="52">
        <f>IFERROR(IF(INDEX('CLIENT PERFORMANCE'!$I$7:$I$36,MATCH(SMALL('CLIENT PERFORMANCE'!$AD$7:$AD$36,1),'CLIENT PERFORMANCE'!$AD$7:$AD$36,0))="","",INDEX('CLIENT PERFORMANCE'!$I$7:$I$36,MATCH(SMALL('CLIENT PERFORMANCE'!$AD$7:$AD$36,1),'CLIENT PERFORMANCE'!$AD$7:$AD$36,0))),"")</f>
        <v>0</v>
      </c>
      <c r="O99" s="52">
        <f>IFERROR(IF(INDEX('CLIENT PERFORMANCE'!$Y$7:$Y$36,MATCH(SMALL('CLIENT PERFORMANCE'!$AD$7:$AD$36,1),'CLIENT PERFORMANCE'!$AD$7:$AD$36,0))="","",INDEX('CLIENT PERFORMANCE'!$Y$7:$Y$36,MATCH(SMALL('CLIENT PERFORMANCE'!$AD$7:$AD$36,1),'CLIENT PERFORMANCE'!$AD$7:$AD$36,0))),"")</f>
        <v>0</v>
      </c>
      <c r="P99" s="54">
        <f>IFERROR(IF(INDEX('CLIENT PERFORMANCE'!$J$7:$J$36,MATCH(SMALL('CLIENT PERFORMANCE'!$AD$7:$AD$36,1),'CLIENT PERFORMANCE'!$AD$7:$AD$36,0))="","",INDEX('CLIENT PERFORMANCE'!$J$7:$J$36,MATCH(SMALL('CLIENT PERFORMANCE'!$AD$7:$AD$36,1),'CLIENT PERFORMANCE'!$AD$7:$AD$36,0))),"")</f>
        <v>0</v>
      </c>
      <c r="Q99" s="50" t="str">
        <f>IFERROR(IF(INDEX('CLIENT PERFORMANCE'!$AB$7:$AB$36,MATCH(SMALL('CLIENT PERFORMANCE'!$AD$7:$AD$36,1),'CLIENT PERFORMANCE'!$AD$7:$AD$36,0))="","",INDEX('CLIENT PERFORMANCE'!$AB$7:$AB$36,MATCH(SMALL('CLIENT PERFORMANCE'!$AD$7:$AD$36,1),'CLIENT PERFORMANCE'!$AD$7:$AD$36,0))),"")</f>
        <v/>
      </c>
      <c r="R99" s="41" t="n"/>
    </row>
    <row r="100" ht="26" customHeight="1">
      <c r="B100" s="50" t="str">
        <f>'TEAM PERFORMANCE'!A8</f>
        <v>Piyush Sambria</v>
      </c>
      <c r="C100" s="41" t="n"/>
      <c r="D100" s="53">
        <f>'TEAM PERFORMANCE'!H8</f>
        <v>0</v>
      </c>
      <c r="E100" s="53">
        <f>'TEAM PERFORMANCE'!F8</f>
        <v>0</v>
      </c>
      <c r="F100" s="53">
        <f>'TEAM PERFORMANCE'!G8</f>
        <v>0</v>
      </c>
      <c r="G100" s="53">
        <f>'TEAM PERFORMANCE'!I8</f>
        <v>0</v>
      </c>
      <c r="H100" s="50" t="str">
        <f>'TEAM PERFORMANCE'!U8</f>
        <v/>
      </c>
      <c r="I100" s="41" t="n"/>
      <c r="K100" s="50" t="str">
        <f>IFERROR(IF(INDEX('CLIENT PERFORMANCE'!$A$7:$A$36,MATCH(SMALL('CLIENT PERFORMANCE'!$AD$7:$AD$36,2),'CLIENT PERFORMANCE'!$AD$7:$AD$36,0))="","",INDEX('CLIENT PERFORMANCE'!$A$7:$A$36,MATCH(SMALL('CLIENT PERFORMANCE'!$AD$7:$AD$36,2),'CLIENT PERFORMANCE'!$AD$7:$AD$36,0))),"")</f>
        <v/>
      </c>
      <c r="L100" s="41" t="n"/>
      <c r="M100" s="52" t="str">
        <f>IFERROR(IF(INDEX('CLIENT PERFORMANCE'!$H$7:$H$36,MATCH(SMALL('CLIENT PERFORMANCE'!$AD$7:$AD$36,2),'CLIENT PERFORMANCE'!$AD$7:$AD$36,0))="","",INDEX('CLIENT PERFORMANCE'!$H$7:$H$36,MATCH(SMALL('CLIENT PERFORMANCE'!$AD$7:$AD$36,2),'CLIENT PERFORMANCE'!$AD$7:$AD$36,0))),"")</f>
        <v/>
      </c>
      <c r="N100" s="52" t="str">
        <f>IFERROR(IF(INDEX('CLIENT PERFORMANCE'!$I$7:$I$36,MATCH(SMALL('CLIENT PERFORMANCE'!$AD$7:$AD$36,2),'CLIENT PERFORMANCE'!$AD$7:$AD$36,0))="","",INDEX('CLIENT PERFORMANCE'!$I$7:$I$36,MATCH(SMALL('CLIENT PERFORMANCE'!$AD$7:$AD$36,2),'CLIENT PERFORMANCE'!$AD$7:$AD$36,0))),"")</f>
        <v/>
      </c>
      <c r="O100" s="52" t="str">
        <f>IFERROR(IF(INDEX('CLIENT PERFORMANCE'!$Y$7:$Y$36,MATCH(SMALL('CLIENT PERFORMANCE'!$AD$7:$AD$36,2),'CLIENT PERFORMANCE'!$AD$7:$AD$36,0))="","",INDEX('CLIENT PERFORMANCE'!$Y$7:$Y$36,MATCH(SMALL('CLIENT PERFORMANCE'!$AD$7:$AD$36,2),'CLIENT PERFORMANCE'!$AD$7:$AD$36,0))),"")</f>
        <v/>
      </c>
      <c r="P100" s="54" t="str">
        <f>IFERROR(IF(INDEX('CLIENT PERFORMANCE'!$J$7:$J$36,MATCH(SMALL('CLIENT PERFORMANCE'!$AD$7:$AD$36,2),'CLIENT PERFORMANCE'!$AD$7:$AD$36,0))="","",INDEX('CLIENT PERFORMANCE'!$J$7:$J$36,MATCH(SMALL('CLIENT PERFORMANCE'!$AD$7:$AD$36,2),'CLIENT PERFORMANCE'!$AD$7:$AD$36,0))),"")</f>
        <v/>
      </c>
      <c r="Q100" s="50" t="str">
        <f>IFERROR(IF(INDEX('CLIENT PERFORMANCE'!$AB$7:$AB$36,MATCH(SMALL('CLIENT PERFORMANCE'!$AD$7:$AD$36,2),'CLIENT PERFORMANCE'!$AD$7:$AD$36,0))="","",INDEX('CLIENT PERFORMANCE'!$AB$7:$AB$36,MATCH(SMALL('CLIENT PERFORMANCE'!$AD$7:$AD$36,2),'CLIENT PERFORMANCE'!$AD$7:$AD$36,0))),"")</f>
        <v/>
      </c>
      <c r="R100" s="41" t="n"/>
    </row>
    <row r="101" ht="26" customHeight="1">
      <c r="B101" s="50" t="str">
        <f>'TEAM PERFORMANCE'!A9</f>
        <v>Riya Diwan</v>
      </c>
      <c r="C101" s="41" t="n"/>
      <c r="D101" s="53">
        <f>'TEAM PERFORMANCE'!H9</f>
        <v>16</v>
      </c>
      <c r="E101" s="53">
        <f>'TEAM PERFORMANCE'!F9</f>
        <v>0</v>
      </c>
      <c r="F101" s="53">
        <f>'TEAM PERFORMANCE'!G9</f>
        <v>0</v>
      </c>
      <c r="G101" s="53">
        <f>'TEAM PERFORMANCE'!I9</f>
        <v>0</v>
      </c>
      <c r="H101" s="50" t="str">
        <f>'TEAM PERFORMANCE'!U9</f>
        <v>Chola MS, Magnasoft, Eternelle, Vestrics, SAP, Google Chrome Enterprise</v>
      </c>
      <c r="I101" s="41" t="n"/>
      <c r="K101" s="50" t="str">
        <f>IFERROR(IF(INDEX('CLIENT PERFORMANCE'!$A$7:$A$36,MATCH(SMALL('CLIENT PERFORMANCE'!$AD$7:$AD$36,3),'CLIENT PERFORMANCE'!$AD$7:$AD$36,0))="","",INDEX('CLIENT PERFORMANCE'!$A$7:$A$36,MATCH(SMALL('CLIENT PERFORMANCE'!$AD$7:$AD$36,3),'CLIENT PERFORMANCE'!$AD$7:$AD$36,0))),"")</f>
        <v/>
      </c>
      <c r="L101" s="41" t="n"/>
      <c r="M101" s="52" t="str">
        <f>IFERROR(IF(INDEX('CLIENT PERFORMANCE'!$H$7:$H$36,MATCH(SMALL('CLIENT PERFORMANCE'!$AD$7:$AD$36,3),'CLIENT PERFORMANCE'!$AD$7:$AD$36,0))="","",INDEX('CLIENT PERFORMANCE'!$H$7:$H$36,MATCH(SMALL('CLIENT PERFORMANCE'!$AD$7:$AD$36,3),'CLIENT PERFORMANCE'!$AD$7:$AD$36,0))),"")</f>
        <v/>
      </c>
      <c r="N101" s="52" t="str">
        <f>IFERROR(IF(INDEX('CLIENT PERFORMANCE'!$I$7:$I$36,MATCH(SMALL('CLIENT PERFORMANCE'!$AD$7:$AD$36,3),'CLIENT PERFORMANCE'!$AD$7:$AD$36,0))="","",INDEX('CLIENT PERFORMANCE'!$I$7:$I$36,MATCH(SMALL('CLIENT PERFORMANCE'!$AD$7:$AD$36,3),'CLIENT PERFORMANCE'!$AD$7:$AD$36,0))),"")</f>
        <v/>
      </c>
      <c r="O101" s="52" t="str">
        <f>IFERROR(IF(INDEX('CLIENT PERFORMANCE'!$Y$7:$Y$36,MATCH(SMALL('CLIENT PERFORMANCE'!$AD$7:$AD$36,3),'CLIENT PERFORMANCE'!$AD$7:$AD$36,0))="","",INDEX('CLIENT PERFORMANCE'!$Y$7:$Y$36,MATCH(SMALL('CLIENT PERFORMANCE'!$AD$7:$AD$36,3),'CLIENT PERFORMANCE'!$AD$7:$AD$36,0))),"")</f>
        <v/>
      </c>
      <c r="P101" s="54" t="str">
        <f>IFERROR(IF(INDEX('CLIENT PERFORMANCE'!$J$7:$J$36,MATCH(SMALL('CLIENT PERFORMANCE'!$AD$7:$AD$36,3),'CLIENT PERFORMANCE'!$AD$7:$AD$36,0))="","",INDEX('CLIENT PERFORMANCE'!$J$7:$J$36,MATCH(SMALL('CLIENT PERFORMANCE'!$AD$7:$AD$36,3),'CLIENT PERFORMANCE'!$AD$7:$AD$36,0))),"")</f>
        <v/>
      </c>
      <c r="Q101" s="50" t="str">
        <f>IFERROR(IF(INDEX('CLIENT PERFORMANCE'!$AB$7:$AB$36,MATCH(SMALL('CLIENT PERFORMANCE'!$AD$7:$AD$36,3),'CLIENT PERFORMANCE'!$AD$7:$AD$36,0))="","",INDEX('CLIENT PERFORMANCE'!$AB$7:$AB$36,MATCH(SMALL('CLIENT PERFORMANCE'!$AD$7:$AD$36,3),'CLIENT PERFORMANCE'!$AD$7:$AD$36,0))),"")</f>
        <v/>
      </c>
      <c r="R101" s="41" t="n"/>
    </row>
    <row r="102" ht="26" customHeight="1">
      <c r="B102" s="50" t="str">
        <f>'TEAM PERFORMANCE'!A10</f>
        <v>Surbhi Pandey</v>
      </c>
      <c r="C102" s="41" t="n"/>
      <c r="D102" s="53">
        <f>'TEAM PERFORMANCE'!H10</f>
        <v>19</v>
      </c>
      <c r="E102" s="53">
        <f>'TEAM PERFORMANCE'!F10</f>
        <v>3</v>
      </c>
      <c r="F102" s="53">
        <f>'TEAM PERFORMANCE'!G10</f>
        <v>0</v>
      </c>
      <c r="G102" s="53">
        <f>'TEAM PERFORMANCE'!I10</f>
        <v>1</v>
      </c>
      <c r="H102" s="50" t="str">
        <f>'TEAM PERFORMANCE'!U10</f>
        <v>SAP, Utimaco Singapore</v>
      </c>
      <c r="I102" s="41" t="n"/>
      <c r="K102" s="50" t="str">
        <f>IFERROR(IF(INDEX('CLIENT PERFORMANCE'!$A$7:$A$36,MATCH(SMALL('CLIENT PERFORMANCE'!$AD$7:$AD$36,4),'CLIENT PERFORMANCE'!$AD$7:$AD$36,0))="","",INDEX('CLIENT PERFORMANCE'!$A$7:$A$36,MATCH(SMALL('CLIENT PERFORMANCE'!$AD$7:$AD$36,4),'CLIENT PERFORMANCE'!$AD$7:$AD$36,0))),"")</f>
        <v/>
      </c>
      <c r="L102" s="41" t="n"/>
      <c r="M102" s="52" t="str">
        <f>IFERROR(IF(INDEX('CLIENT PERFORMANCE'!$H$7:$H$36,MATCH(SMALL('CLIENT PERFORMANCE'!$AD$7:$AD$36,4),'CLIENT PERFORMANCE'!$AD$7:$AD$36,0))="","",INDEX('CLIENT PERFORMANCE'!$H$7:$H$36,MATCH(SMALL('CLIENT PERFORMANCE'!$AD$7:$AD$36,4),'CLIENT PERFORMANCE'!$AD$7:$AD$36,0))),"")</f>
        <v/>
      </c>
      <c r="N102" s="52" t="str">
        <f>IFERROR(IF(INDEX('CLIENT PERFORMANCE'!$I$7:$I$36,MATCH(SMALL('CLIENT PERFORMANCE'!$AD$7:$AD$36,4),'CLIENT PERFORMANCE'!$AD$7:$AD$36,0))="","",INDEX('CLIENT PERFORMANCE'!$I$7:$I$36,MATCH(SMALL('CLIENT PERFORMANCE'!$AD$7:$AD$36,4),'CLIENT PERFORMANCE'!$AD$7:$AD$36,0))),"")</f>
        <v/>
      </c>
      <c r="O102" s="52" t="str">
        <f>IFERROR(IF(INDEX('CLIENT PERFORMANCE'!$Y$7:$Y$36,MATCH(SMALL('CLIENT PERFORMANCE'!$AD$7:$AD$36,4),'CLIENT PERFORMANCE'!$AD$7:$AD$36,0))="","",INDEX('CLIENT PERFORMANCE'!$Y$7:$Y$36,MATCH(SMALL('CLIENT PERFORMANCE'!$AD$7:$AD$36,4),'CLIENT PERFORMANCE'!$AD$7:$AD$36,0))),"")</f>
        <v/>
      </c>
      <c r="P102" s="54" t="str">
        <f>IFERROR(IF(INDEX('CLIENT PERFORMANCE'!$J$7:$J$36,MATCH(SMALL('CLIENT PERFORMANCE'!$AD$7:$AD$36,4),'CLIENT PERFORMANCE'!$AD$7:$AD$36,0))="","",INDEX('CLIENT PERFORMANCE'!$J$7:$J$36,MATCH(SMALL('CLIENT PERFORMANCE'!$AD$7:$AD$36,4),'CLIENT PERFORMANCE'!$AD$7:$AD$36,0))),"")</f>
        <v/>
      </c>
      <c r="Q102" s="50" t="str">
        <f>IFERROR(IF(INDEX('CLIENT PERFORMANCE'!$AB$7:$AB$36,MATCH(SMALL('CLIENT PERFORMANCE'!$AD$7:$AD$36,4),'CLIENT PERFORMANCE'!$AD$7:$AD$36,0))="","",INDEX('CLIENT PERFORMANCE'!$AB$7:$AB$36,MATCH(SMALL('CLIENT PERFORMANCE'!$AD$7:$AD$36,4),'CLIENT PERFORMANCE'!$AD$7:$AD$36,0))),"")</f>
        <v/>
      </c>
      <c r="R102" s="41" t="n"/>
    </row>
    <row r="103" ht="26" customHeight="1">
      <c r="B103" s="50" t="str">
        <f>'TEAM PERFORMANCE'!A11</f>
        <v>Rahul Sondhi</v>
      </c>
      <c r="C103" s="41" t="n"/>
      <c r="D103" s="53">
        <f>'TEAM PERFORMANCE'!H11</f>
        <v>0</v>
      </c>
      <c r="E103" s="53">
        <f>'TEAM PERFORMANCE'!F11</f>
        <v>0</v>
      </c>
      <c r="F103" s="53">
        <f>'TEAM PERFORMANCE'!G11</f>
        <v>0</v>
      </c>
      <c r="G103" s="53">
        <f>'TEAM PERFORMANCE'!I11</f>
        <v>0</v>
      </c>
      <c r="H103" s="50" t="str">
        <f>'TEAM PERFORMANCE'!U11</f>
        <v/>
      </c>
      <c r="I103" s="41" t="n"/>
      <c r="K103" s="50" t="str">
        <f>IFERROR(IF(INDEX('CLIENT PERFORMANCE'!$A$7:$A$36,MATCH(SMALL('CLIENT PERFORMANCE'!$AD$7:$AD$36,5),'CLIENT PERFORMANCE'!$AD$7:$AD$36,0))="","",INDEX('CLIENT PERFORMANCE'!$A$7:$A$36,MATCH(SMALL('CLIENT PERFORMANCE'!$AD$7:$AD$36,5),'CLIENT PERFORMANCE'!$AD$7:$AD$36,0))),"")</f>
        <v/>
      </c>
      <c r="L103" s="41" t="n"/>
      <c r="M103" s="52" t="str">
        <f>IFERROR(IF(INDEX('CLIENT PERFORMANCE'!$H$7:$H$36,MATCH(SMALL('CLIENT PERFORMANCE'!$AD$7:$AD$36,5),'CLIENT PERFORMANCE'!$AD$7:$AD$36,0))="","",INDEX('CLIENT PERFORMANCE'!$H$7:$H$36,MATCH(SMALL('CLIENT PERFORMANCE'!$AD$7:$AD$36,5),'CLIENT PERFORMANCE'!$AD$7:$AD$36,0))),"")</f>
        <v/>
      </c>
      <c r="N103" s="52" t="str">
        <f>IFERROR(IF(INDEX('CLIENT PERFORMANCE'!$I$7:$I$36,MATCH(SMALL('CLIENT PERFORMANCE'!$AD$7:$AD$36,5),'CLIENT PERFORMANCE'!$AD$7:$AD$36,0))="","",INDEX('CLIENT PERFORMANCE'!$I$7:$I$36,MATCH(SMALL('CLIENT PERFORMANCE'!$AD$7:$AD$36,5),'CLIENT PERFORMANCE'!$AD$7:$AD$36,0))),"")</f>
        <v/>
      </c>
      <c r="O103" s="52" t="str">
        <f>IFERROR(IF(INDEX('CLIENT PERFORMANCE'!$Y$7:$Y$36,MATCH(SMALL('CLIENT PERFORMANCE'!$AD$7:$AD$36,5),'CLIENT PERFORMANCE'!$AD$7:$AD$36,0))="","",INDEX('CLIENT PERFORMANCE'!$Y$7:$Y$36,MATCH(SMALL('CLIENT PERFORMANCE'!$AD$7:$AD$36,5),'CLIENT PERFORMANCE'!$AD$7:$AD$36,0))),"")</f>
        <v/>
      </c>
      <c r="P103" s="54" t="str">
        <f>IFERROR(IF(INDEX('CLIENT PERFORMANCE'!$J$7:$J$36,MATCH(SMALL('CLIENT PERFORMANCE'!$AD$7:$AD$36,5),'CLIENT PERFORMANCE'!$AD$7:$AD$36,0))="","",INDEX('CLIENT PERFORMANCE'!$J$7:$J$36,MATCH(SMALL('CLIENT PERFORMANCE'!$AD$7:$AD$36,5),'CLIENT PERFORMANCE'!$AD$7:$AD$36,0))),"")</f>
        <v/>
      </c>
      <c r="Q103" s="50" t="str">
        <f>IFERROR(IF(INDEX('CLIENT PERFORMANCE'!$AB$7:$AB$36,MATCH(SMALL('CLIENT PERFORMANCE'!$AD$7:$AD$36,5),'CLIENT PERFORMANCE'!$AD$7:$AD$36,0))="","",INDEX('CLIENT PERFORMANCE'!$AB$7:$AB$36,MATCH(SMALL('CLIENT PERFORMANCE'!$AD$7:$AD$36,5),'CLIENT PERFORMANCE'!$AD$7:$AD$36,0))),"")</f>
        <v/>
      </c>
      <c r="R103" s="41" t="n"/>
    </row>
    <row r="104" ht="26" customHeight="1">
      <c r="B104" s="50" t="str">
        <f>'TEAM PERFORMANCE'!A12</f>
        <v>Priyanshu</v>
      </c>
      <c r="C104" s="41" t="n"/>
      <c r="D104" s="53">
        <f>'TEAM PERFORMANCE'!H12</f>
        <v>0</v>
      </c>
      <c r="E104" s="53">
        <f>'TEAM PERFORMANCE'!F12</f>
        <v>0</v>
      </c>
      <c r="F104" s="53">
        <f>'TEAM PERFORMANCE'!G12</f>
        <v>0</v>
      </c>
      <c r="G104" s="53">
        <f>'TEAM PERFORMANCE'!I12</f>
        <v>0</v>
      </c>
      <c r="H104" s="50" t="str">
        <f>'TEAM PERFORMANCE'!U12</f>
        <v/>
      </c>
      <c r="I104" s="41" t="n"/>
      <c r="K104" s="50" t="str">
        <f>IFERROR(IF(INDEX('CLIENT PERFORMANCE'!$A$7:$A$36,MATCH(SMALL('CLIENT PERFORMANCE'!$AD$7:$AD$36,6),'CLIENT PERFORMANCE'!$AD$7:$AD$36,0))="","",INDEX('CLIENT PERFORMANCE'!$A$7:$A$36,MATCH(SMALL('CLIENT PERFORMANCE'!$AD$7:$AD$36,6),'CLIENT PERFORMANCE'!$AD$7:$AD$36,0))),"")</f>
        <v/>
      </c>
      <c r="L104" s="41" t="n"/>
      <c r="M104" s="52" t="str">
        <f>IFERROR(IF(INDEX('CLIENT PERFORMANCE'!$H$7:$H$36,MATCH(SMALL('CLIENT PERFORMANCE'!$AD$7:$AD$36,6),'CLIENT PERFORMANCE'!$AD$7:$AD$36,0))="","",INDEX('CLIENT PERFORMANCE'!$H$7:$H$36,MATCH(SMALL('CLIENT PERFORMANCE'!$AD$7:$AD$36,6),'CLIENT PERFORMANCE'!$AD$7:$AD$36,0))),"")</f>
        <v/>
      </c>
      <c r="N104" s="52" t="str">
        <f>IFERROR(IF(INDEX('CLIENT PERFORMANCE'!$I$7:$I$36,MATCH(SMALL('CLIENT PERFORMANCE'!$AD$7:$AD$36,6),'CLIENT PERFORMANCE'!$AD$7:$AD$36,0))="","",INDEX('CLIENT PERFORMANCE'!$I$7:$I$36,MATCH(SMALL('CLIENT PERFORMANCE'!$AD$7:$AD$36,6),'CLIENT PERFORMANCE'!$AD$7:$AD$36,0))),"")</f>
        <v/>
      </c>
      <c r="O104" s="52" t="str">
        <f>IFERROR(IF(INDEX('CLIENT PERFORMANCE'!$Y$7:$Y$36,MATCH(SMALL('CLIENT PERFORMANCE'!$AD$7:$AD$36,6),'CLIENT PERFORMANCE'!$AD$7:$AD$36,0))="","",INDEX('CLIENT PERFORMANCE'!$Y$7:$Y$36,MATCH(SMALL('CLIENT PERFORMANCE'!$AD$7:$AD$36,6),'CLIENT PERFORMANCE'!$AD$7:$AD$36,0))),"")</f>
        <v/>
      </c>
      <c r="P104" s="54" t="str">
        <f>IFERROR(IF(INDEX('CLIENT PERFORMANCE'!$J$7:$J$36,MATCH(SMALL('CLIENT PERFORMANCE'!$AD$7:$AD$36,6),'CLIENT PERFORMANCE'!$AD$7:$AD$36,0))="","",INDEX('CLIENT PERFORMANCE'!$J$7:$J$36,MATCH(SMALL('CLIENT PERFORMANCE'!$AD$7:$AD$36,6),'CLIENT PERFORMANCE'!$AD$7:$AD$36,0))),"")</f>
        <v/>
      </c>
      <c r="Q104" s="50" t="str">
        <f>IFERROR(IF(INDEX('CLIENT PERFORMANCE'!$AB$7:$AB$36,MATCH(SMALL('CLIENT PERFORMANCE'!$AD$7:$AD$36,6),'CLIENT PERFORMANCE'!$AD$7:$AD$36,0))="","",INDEX('CLIENT PERFORMANCE'!$AB$7:$AB$36,MATCH(SMALL('CLIENT PERFORMANCE'!$AD$7:$AD$36,6),'CLIENT PERFORMANCE'!$AD$7:$AD$36,0))),"")</f>
        <v/>
      </c>
      <c r="R104" s="41" t="n"/>
    </row>
    <row r="105" ht="26" customHeight="1">
      <c r="B105" s="50" t="str">
        <f>'TEAM PERFORMANCE'!A13</f>
        <v>Richi Bagla</v>
      </c>
      <c r="C105" s="41" t="n"/>
      <c r="D105" s="53">
        <f>'TEAM PERFORMANCE'!H13</f>
        <v>7</v>
      </c>
      <c r="E105" s="53">
        <f>'TEAM PERFORMANCE'!F13</f>
        <v>0</v>
      </c>
      <c r="F105" s="53">
        <f>'TEAM PERFORMANCE'!G13</f>
        <v>0</v>
      </c>
      <c r="G105" s="53">
        <f>'TEAM PERFORMANCE'!I13</f>
        <v>0</v>
      </c>
      <c r="H105" s="50" t="str">
        <f>'TEAM PERFORMANCE'!U13</f>
        <v>Magnasoft, Eternelle, Vestrics, SAP, Ruckus Networks, Equinix</v>
      </c>
      <c r="I105" s="41" t="n"/>
      <c r="K105" s="50" t="str">
        <f>IFERROR(IF(INDEX('CLIENT PERFORMANCE'!$A$7:$A$36,MATCH(SMALL('CLIENT PERFORMANCE'!$AD$7:$AD$36,7),'CLIENT PERFORMANCE'!$AD$7:$AD$36,0))="","",INDEX('CLIENT PERFORMANCE'!$A$7:$A$36,MATCH(SMALL('CLIENT PERFORMANCE'!$AD$7:$AD$36,7),'CLIENT PERFORMANCE'!$AD$7:$AD$36,0))),"")</f>
        <v/>
      </c>
      <c r="L105" s="41" t="n"/>
      <c r="M105" s="52" t="str">
        <f>IFERROR(IF(INDEX('CLIENT PERFORMANCE'!$H$7:$H$36,MATCH(SMALL('CLIENT PERFORMANCE'!$AD$7:$AD$36,7),'CLIENT PERFORMANCE'!$AD$7:$AD$36,0))="","",INDEX('CLIENT PERFORMANCE'!$H$7:$H$36,MATCH(SMALL('CLIENT PERFORMANCE'!$AD$7:$AD$36,7),'CLIENT PERFORMANCE'!$AD$7:$AD$36,0))),"")</f>
        <v/>
      </c>
      <c r="N105" s="52" t="str">
        <f>IFERROR(IF(INDEX('CLIENT PERFORMANCE'!$I$7:$I$36,MATCH(SMALL('CLIENT PERFORMANCE'!$AD$7:$AD$36,7),'CLIENT PERFORMANCE'!$AD$7:$AD$36,0))="","",INDEX('CLIENT PERFORMANCE'!$I$7:$I$36,MATCH(SMALL('CLIENT PERFORMANCE'!$AD$7:$AD$36,7),'CLIENT PERFORMANCE'!$AD$7:$AD$36,0))),"")</f>
        <v/>
      </c>
      <c r="O105" s="52" t="str">
        <f>IFERROR(IF(INDEX('CLIENT PERFORMANCE'!$Y$7:$Y$36,MATCH(SMALL('CLIENT PERFORMANCE'!$AD$7:$AD$36,7),'CLIENT PERFORMANCE'!$AD$7:$AD$36,0))="","",INDEX('CLIENT PERFORMANCE'!$Y$7:$Y$36,MATCH(SMALL('CLIENT PERFORMANCE'!$AD$7:$AD$36,7),'CLIENT PERFORMANCE'!$AD$7:$AD$36,0))),"")</f>
        <v/>
      </c>
      <c r="P105" s="54" t="str">
        <f>IFERROR(IF(INDEX('CLIENT PERFORMANCE'!$J$7:$J$36,MATCH(SMALL('CLIENT PERFORMANCE'!$AD$7:$AD$36,7),'CLIENT PERFORMANCE'!$AD$7:$AD$36,0))="","",INDEX('CLIENT PERFORMANCE'!$J$7:$J$36,MATCH(SMALL('CLIENT PERFORMANCE'!$AD$7:$AD$36,7),'CLIENT PERFORMANCE'!$AD$7:$AD$36,0))),"")</f>
        <v/>
      </c>
      <c r="Q105" s="50" t="str">
        <f>IFERROR(IF(INDEX('CLIENT PERFORMANCE'!$AB$7:$AB$36,MATCH(SMALL('CLIENT PERFORMANCE'!$AD$7:$AD$36,7),'CLIENT PERFORMANCE'!$AD$7:$AD$36,0))="","",INDEX('CLIENT PERFORMANCE'!$AB$7:$AB$36,MATCH(SMALL('CLIENT PERFORMANCE'!$AD$7:$AD$36,7),'CLIENT PERFORMANCE'!$AD$7:$AD$36,0))),"")</f>
        <v/>
      </c>
      <c r="R105" s="41" t="n"/>
    </row>
    <row r="106" ht="26" customHeight="1">
      <c r="B106" s="50" t="str">
        <f>'TEAM PERFORMANCE'!A14</f>
        <v>Kapil Chadha</v>
      </c>
      <c r="C106" s="41" t="n"/>
      <c r="D106" s="53">
        <f>'TEAM PERFORMANCE'!H14</f>
        <v>0</v>
      </c>
      <c r="E106" s="53">
        <f>'TEAM PERFORMANCE'!F14</f>
        <v>0</v>
      </c>
      <c r="F106" s="53">
        <f>'TEAM PERFORMANCE'!G14</f>
        <v>0</v>
      </c>
      <c r="G106" s="53">
        <f>'TEAM PERFORMANCE'!I14</f>
        <v>0</v>
      </c>
      <c r="H106" s="50" t="str">
        <f>'TEAM PERFORMANCE'!U14</f>
        <v/>
      </c>
      <c r="I106" s="41" t="n"/>
      <c r="K106" s="50" t="str">
        <f>IFERROR(IF(INDEX('CLIENT PERFORMANCE'!$A$7:$A$36,MATCH(SMALL('CLIENT PERFORMANCE'!$AD$7:$AD$36,8),'CLIENT PERFORMANCE'!$AD$7:$AD$36,0))="","",INDEX('CLIENT PERFORMANCE'!$A$7:$A$36,MATCH(SMALL('CLIENT PERFORMANCE'!$AD$7:$AD$36,8),'CLIENT PERFORMANCE'!$AD$7:$AD$36,0))),"")</f>
        <v/>
      </c>
      <c r="L106" s="41" t="n"/>
      <c r="M106" s="52" t="str">
        <f>IFERROR(IF(INDEX('CLIENT PERFORMANCE'!$H$7:$H$36,MATCH(SMALL('CLIENT PERFORMANCE'!$AD$7:$AD$36,8),'CLIENT PERFORMANCE'!$AD$7:$AD$36,0))="","",INDEX('CLIENT PERFORMANCE'!$H$7:$H$36,MATCH(SMALL('CLIENT PERFORMANCE'!$AD$7:$AD$36,8),'CLIENT PERFORMANCE'!$AD$7:$AD$36,0))),"")</f>
        <v/>
      </c>
      <c r="N106" s="52" t="str">
        <f>IFERROR(IF(INDEX('CLIENT PERFORMANCE'!$I$7:$I$36,MATCH(SMALL('CLIENT PERFORMANCE'!$AD$7:$AD$36,8),'CLIENT PERFORMANCE'!$AD$7:$AD$36,0))="","",INDEX('CLIENT PERFORMANCE'!$I$7:$I$36,MATCH(SMALL('CLIENT PERFORMANCE'!$AD$7:$AD$36,8),'CLIENT PERFORMANCE'!$AD$7:$AD$36,0))),"")</f>
        <v/>
      </c>
      <c r="O106" s="52" t="str">
        <f>IFERROR(IF(INDEX('CLIENT PERFORMANCE'!$Y$7:$Y$36,MATCH(SMALL('CLIENT PERFORMANCE'!$AD$7:$AD$36,8),'CLIENT PERFORMANCE'!$AD$7:$AD$36,0))="","",INDEX('CLIENT PERFORMANCE'!$Y$7:$Y$36,MATCH(SMALL('CLIENT PERFORMANCE'!$AD$7:$AD$36,8),'CLIENT PERFORMANCE'!$AD$7:$AD$36,0))),"")</f>
        <v/>
      </c>
      <c r="P106" s="54" t="str">
        <f>IFERROR(IF(INDEX('CLIENT PERFORMANCE'!$J$7:$J$36,MATCH(SMALL('CLIENT PERFORMANCE'!$AD$7:$AD$36,8),'CLIENT PERFORMANCE'!$AD$7:$AD$36,0))="","",INDEX('CLIENT PERFORMANCE'!$J$7:$J$36,MATCH(SMALL('CLIENT PERFORMANCE'!$AD$7:$AD$36,8),'CLIENT PERFORMANCE'!$AD$7:$AD$36,0))),"")</f>
        <v/>
      </c>
      <c r="Q106" s="50" t="str">
        <f>IFERROR(IF(INDEX('CLIENT PERFORMANCE'!$AB$7:$AB$36,MATCH(SMALL('CLIENT PERFORMANCE'!$AD$7:$AD$36,8),'CLIENT PERFORMANCE'!$AD$7:$AD$36,0))="","",INDEX('CLIENT PERFORMANCE'!$AB$7:$AB$36,MATCH(SMALL('CLIENT PERFORMANCE'!$AD$7:$AD$36,8),'CLIENT PERFORMANCE'!$AD$7:$AD$36,0))),"")</f>
        <v/>
      </c>
      <c r="R106" s="41" t="n"/>
    </row>
    <row r="107" ht="26" customHeight="1">
      <c r="B107" s="50" t="str">
        <f>'TEAM PERFORMANCE'!A15</f>
        <v/>
      </c>
      <c r="C107" s="41" t="n"/>
      <c r="D107" s="53" t="str">
        <f>'TEAM PERFORMANCE'!H15</f>
        <v/>
      </c>
      <c r="E107" s="53" t="str">
        <f>'TEAM PERFORMANCE'!F15</f>
        <v/>
      </c>
      <c r="F107" s="53" t="str">
        <f>'TEAM PERFORMANCE'!G15</f>
        <v/>
      </c>
      <c r="G107" s="53" t="str">
        <f>'TEAM PERFORMANCE'!I15</f>
        <v/>
      </c>
      <c r="H107" s="50" t="str">
        <f>'TEAM PERFORMANCE'!U15</f>
        <v/>
      </c>
      <c r="I107" s="41" t="n"/>
      <c r="K107" s="50" t="str">
        <f>IFERROR(IF(INDEX('CLIENT PERFORMANCE'!$A$7:$A$36,MATCH(SMALL('CLIENT PERFORMANCE'!$AD$7:$AD$36,9),'CLIENT PERFORMANCE'!$AD$7:$AD$36,0))="","",INDEX('CLIENT PERFORMANCE'!$A$7:$A$36,MATCH(SMALL('CLIENT PERFORMANCE'!$AD$7:$AD$36,9),'CLIENT PERFORMANCE'!$AD$7:$AD$36,0))),"")</f>
        <v/>
      </c>
      <c r="L107" s="41" t="n"/>
      <c r="M107" s="52" t="str">
        <f>IFERROR(IF(INDEX('CLIENT PERFORMANCE'!$H$7:$H$36,MATCH(SMALL('CLIENT PERFORMANCE'!$AD$7:$AD$36,9),'CLIENT PERFORMANCE'!$AD$7:$AD$36,0))="","",INDEX('CLIENT PERFORMANCE'!$H$7:$H$36,MATCH(SMALL('CLIENT PERFORMANCE'!$AD$7:$AD$36,9),'CLIENT PERFORMANCE'!$AD$7:$AD$36,0))),"")</f>
        <v/>
      </c>
      <c r="N107" s="52" t="str">
        <f>IFERROR(IF(INDEX('CLIENT PERFORMANCE'!$I$7:$I$36,MATCH(SMALL('CLIENT PERFORMANCE'!$AD$7:$AD$36,9),'CLIENT PERFORMANCE'!$AD$7:$AD$36,0))="","",INDEX('CLIENT PERFORMANCE'!$I$7:$I$36,MATCH(SMALL('CLIENT PERFORMANCE'!$AD$7:$AD$36,9),'CLIENT PERFORMANCE'!$AD$7:$AD$36,0))),"")</f>
        <v/>
      </c>
      <c r="O107" s="52" t="str">
        <f>IFERROR(IF(INDEX('CLIENT PERFORMANCE'!$Y$7:$Y$36,MATCH(SMALL('CLIENT PERFORMANCE'!$AD$7:$AD$36,9),'CLIENT PERFORMANCE'!$AD$7:$AD$36,0))="","",INDEX('CLIENT PERFORMANCE'!$Y$7:$Y$36,MATCH(SMALL('CLIENT PERFORMANCE'!$AD$7:$AD$36,9),'CLIENT PERFORMANCE'!$AD$7:$AD$36,0))),"")</f>
        <v/>
      </c>
      <c r="P107" s="54" t="str">
        <f>IFERROR(IF(INDEX('CLIENT PERFORMANCE'!$J$7:$J$36,MATCH(SMALL('CLIENT PERFORMANCE'!$AD$7:$AD$36,9),'CLIENT PERFORMANCE'!$AD$7:$AD$36,0))="","",INDEX('CLIENT PERFORMANCE'!$J$7:$J$36,MATCH(SMALL('CLIENT PERFORMANCE'!$AD$7:$AD$36,9),'CLIENT PERFORMANCE'!$AD$7:$AD$36,0))),"")</f>
        <v/>
      </c>
      <c r="Q107" s="50" t="str">
        <f>IFERROR(IF(INDEX('CLIENT PERFORMANCE'!$AB$7:$AB$36,MATCH(SMALL('CLIENT PERFORMANCE'!$AD$7:$AD$36,9),'CLIENT PERFORMANCE'!$AD$7:$AD$36,0))="","",INDEX('CLIENT PERFORMANCE'!$AB$7:$AB$36,MATCH(SMALL('CLIENT PERFORMANCE'!$AD$7:$AD$36,9),'CLIENT PERFORMANCE'!$AD$7:$AD$36,0))),"")</f>
        <v/>
      </c>
      <c r="R107" s="41" t="n"/>
    </row>
    <row r="108" ht="26" customHeight="1">
      <c r="B108" s="50" t="str">
        <f>'TEAM PERFORMANCE'!A16</f>
        <v/>
      </c>
      <c r="C108" s="41" t="n"/>
      <c r="D108" s="53" t="str">
        <f>'TEAM PERFORMANCE'!H16</f>
        <v/>
      </c>
      <c r="E108" s="53" t="str">
        <f>'TEAM PERFORMANCE'!F16</f>
        <v/>
      </c>
      <c r="F108" s="53" t="str">
        <f>'TEAM PERFORMANCE'!G16</f>
        <v/>
      </c>
      <c r="G108" s="53" t="str">
        <f>'TEAM PERFORMANCE'!I16</f>
        <v/>
      </c>
      <c r="H108" s="50" t="str">
        <f>'TEAM PERFORMANCE'!U16</f>
        <v/>
      </c>
      <c r="I108" s="41" t="n"/>
      <c r="K108" s="50" t="str">
        <f>IFERROR(IF(INDEX('CLIENT PERFORMANCE'!$A$7:$A$36,MATCH(SMALL('CLIENT PERFORMANCE'!$AD$7:$AD$36,10),'CLIENT PERFORMANCE'!$AD$7:$AD$36,0))="","",INDEX('CLIENT PERFORMANCE'!$A$7:$A$36,MATCH(SMALL('CLIENT PERFORMANCE'!$AD$7:$AD$36,10),'CLIENT PERFORMANCE'!$AD$7:$AD$36,0))),"")</f>
        <v/>
      </c>
      <c r="L108" s="41" t="n"/>
      <c r="M108" s="52" t="str">
        <f>IFERROR(IF(INDEX('CLIENT PERFORMANCE'!$H$7:$H$36,MATCH(SMALL('CLIENT PERFORMANCE'!$AD$7:$AD$36,10),'CLIENT PERFORMANCE'!$AD$7:$AD$36,0))="","",INDEX('CLIENT PERFORMANCE'!$H$7:$H$36,MATCH(SMALL('CLIENT PERFORMANCE'!$AD$7:$AD$36,10),'CLIENT PERFORMANCE'!$AD$7:$AD$36,0))),"")</f>
        <v/>
      </c>
      <c r="N108" s="52" t="str">
        <f>IFERROR(IF(INDEX('CLIENT PERFORMANCE'!$I$7:$I$36,MATCH(SMALL('CLIENT PERFORMANCE'!$AD$7:$AD$36,10),'CLIENT PERFORMANCE'!$AD$7:$AD$36,0))="","",INDEX('CLIENT PERFORMANCE'!$I$7:$I$36,MATCH(SMALL('CLIENT PERFORMANCE'!$AD$7:$AD$36,10),'CLIENT PERFORMANCE'!$AD$7:$AD$36,0))),"")</f>
        <v/>
      </c>
      <c r="O108" s="52" t="str">
        <f>IFERROR(IF(INDEX('CLIENT PERFORMANCE'!$Y$7:$Y$36,MATCH(SMALL('CLIENT PERFORMANCE'!$AD$7:$AD$36,10),'CLIENT PERFORMANCE'!$AD$7:$AD$36,0))="","",INDEX('CLIENT PERFORMANCE'!$Y$7:$Y$36,MATCH(SMALL('CLIENT PERFORMANCE'!$AD$7:$AD$36,10),'CLIENT PERFORMANCE'!$AD$7:$AD$36,0))),"")</f>
        <v/>
      </c>
      <c r="P108" s="54" t="str">
        <f>IFERROR(IF(INDEX('CLIENT PERFORMANCE'!$J$7:$J$36,MATCH(SMALL('CLIENT PERFORMANCE'!$AD$7:$AD$36,10),'CLIENT PERFORMANCE'!$AD$7:$AD$36,0))="","",INDEX('CLIENT PERFORMANCE'!$J$7:$J$36,MATCH(SMALL('CLIENT PERFORMANCE'!$AD$7:$AD$36,10),'CLIENT PERFORMANCE'!$AD$7:$AD$36,0))),"")</f>
        <v/>
      </c>
      <c r="Q108" s="50" t="str">
        <f>IFERROR(IF(INDEX('CLIENT PERFORMANCE'!$AB$7:$AB$36,MATCH(SMALL('CLIENT PERFORMANCE'!$AD$7:$AD$36,10),'CLIENT PERFORMANCE'!$AD$7:$AD$36,0))="","",INDEX('CLIENT PERFORMANCE'!$AB$7:$AB$36,MATCH(SMALL('CLIENT PERFORMANCE'!$AD$7:$AD$36,10),'CLIENT PERFORMANCE'!$AD$7:$AD$36,0))),"")</f>
        <v/>
      </c>
      <c r="R108" s="41" t="n"/>
    </row>
    <row r="111" ht="20" customHeight="1">
      <c r="B111" s="37" t="inlineStr">
        <is>
          <t>Q7. Which campaign needs attention?</t>
        </is>
      </c>
      <c r="C111" s="33" t="n"/>
      <c r="D111" s="33" t="n"/>
      <c r="E111" s="33" t="n"/>
      <c r="F111" s="33" t="n"/>
      <c r="G111" s="33" t="n"/>
      <c r="H111" s="33" t="n"/>
      <c r="I111" s="33" t="n"/>
      <c r="K111" s="37" t="inlineStr">
        <is>
          <t>Q10. Which campaigns are performing well?</t>
        </is>
      </c>
      <c r="L111" s="33" t="n"/>
      <c r="M111" s="33" t="n"/>
      <c r="N111" s="33" t="n"/>
      <c r="O111" s="33" t="n"/>
      <c r="P111" s="33" t="n"/>
      <c r="Q111" s="33" t="n"/>
      <c r="R111" s="33" t="n"/>
    </row>
    <row r="112" ht="22" customHeight="1">
      <c r="B112" s="38" t="inlineStr">
        <is>
          <t>Campaign</t>
        </is>
      </c>
      <c r="C112" s="39" t="n"/>
      <c r="D112" s="39" t="n"/>
      <c r="E112" s="38" t="inlineStr">
        <is>
          <t>Client</t>
        </is>
      </c>
      <c r="F112" s="38" t="inlineStr">
        <is>
          <t>Owner</t>
        </is>
      </c>
      <c r="G112" s="38" t="inlineStr">
        <is>
          <t>Performance</t>
        </is>
      </c>
      <c r="H112" s="38" t="inlineStr">
        <is>
          <t>Reason</t>
        </is>
      </c>
      <c r="I112" s="39" t="n"/>
      <c r="K112" s="38" t="inlineStr">
        <is>
          <t>Campaign</t>
        </is>
      </c>
      <c r="L112" s="39" t="n"/>
      <c r="M112" s="39" t="n"/>
      <c r="N112" s="38" t="inlineStr">
        <is>
          <t>Client</t>
        </is>
      </c>
      <c r="O112" s="38" t="inlineStr">
        <is>
          <t>Owner</t>
        </is>
      </c>
      <c r="P112" s="38" t="inlineStr">
        <is>
          <t>Leads</t>
        </is>
      </c>
      <c r="Q112" s="38" t="inlineStr">
        <is>
          <t>Target</t>
        </is>
      </c>
      <c r="R112" s="38" t="inlineStr">
        <is>
          <t>Status</t>
        </is>
      </c>
    </row>
    <row r="113" ht="26" customHeight="1">
      <c r="B113" s="49" t="str">
        <f>IFERROR(IF(INDEX('CAMPAIGN MASTER'!$B$5:$B$704,MATCH(SMALL('CAMPAIGN MASTER'!$AU$5:$AU$704,1),'CAMPAIGN MASTER'!$AU$5:$AU$704,0))="","",INDEX('CAMPAIGN MASTER'!$B$5:$B$704,MATCH(SMALL('CAMPAIGN MASTER'!$AU$5:$AU$704,1),'CAMPAIGN MASTER'!$AU$5:$AU$704,0))),"- none -")</f>
        <v>- none -</v>
      </c>
      <c r="C113" s="41" t="n"/>
      <c r="D113" s="41" t="n"/>
      <c r="E113" s="50" t="str">
        <f>IFERROR(IF(INDEX('CAMPAIGN MASTER'!$A$5:$A$704,MATCH(SMALL('CAMPAIGN MASTER'!$AU$5:$AU$704,1),'CAMPAIGN MASTER'!$AU$5:$AU$704,0))="","",INDEX('CAMPAIGN MASTER'!$A$5:$A$704,MATCH(SMALL('CAMPAIGN MASTER'!$AU$5:$AU$704,1),'CAMPAIGN MASTER'!$AU$5:$AU$704,0))),"")</f>
        <v/>
      </c>
      <c r="F113" s="50" t="str">
        <f>IFERROR(IF(INDEX('CAMPAIGN MASTER'!$I$5:$I$704,MATCH(SMALL('CAMPAIGN MASTER'!$AU$5:$AU$704,1),'CAMPAIGN MASTER'!$AU$5:$AU$704,0))="","",INDEX('CAMPAIGN MASTER'!$I$5:$I$704,MATCH(SMALL('CAMPAIGN MASTER'!$AU$5:$AU$704,1),'CAMPAIGN MASTER'!$AU$5:$AU$704,0))),"")</f>
        <v/>
      </c>
      <c r="G113" s="50" t="str">
        <f>IFERROR(IF(INDEX('CAMPAIGN MASTER'!$AA$5:$AA$704,MATCH(SMALL('CAMPAIGN MASTER'!$AU$5:$AU$704,1),'CAMPAIGN MASTER'!$AU$5:$AU$704,0))="","",INDEX('CAMPAIGN MASTER'!$AA$5:$AA$704,MATCH(SMALL('CAMPAIGN MASTER'!$AU$5:$AU$704,1),'CAMPAIGN MASTER'!$AU$5:$AU$704,0))),"")</f>
        <v/>
      </c>
      <c r="H113" s="50" t="str">
        <f>IFERROR(IF(INDEX('CAMPAIGN MASTER'!$AT$5:$AT$704,MATCH(SMALL('CAMPAIGN MASTER'!$AU$5:$AU$704,1),'CAMPAIGN MASTER'!$AU$5:$AU$704,0))="","",INDEX('CAMPAIGN MASTER'!$AT$5:$AT$704,MATCH(SMALL('CAMPAIGN MASTER'!$AU$5:$AU$704,1),'CAMPAIGN MASTER'!$AU$5:$AU$704,0))),"")</f>
        <v/>
      </c>
      <c r="I113" s="41" t="n"/>
      <c r="K113" s="49" t="str">
        <f>IFERROR(IF(INDEX('CAMPAIGN MASTER'!$B$5:$B$704,MATCH(SMALL('CAMPAIGN MASTER'!$AX$5:$AX$704,1),'CAMPAIGN MASTER'!$AX$5:$AX$704,0))="","",INDEX('CAMPAIGN MASTER'!$B$5:$B$704,MATCH(SMALL('CAMPAIGN MASTER'!$AX$5:$AX$704,1),'CAMPAIGN MASTER'!$AX$5:$AX$704,0))),"- none -")</f>
        <v>- none -</v>
      </c>
      <c r="L113" s="41" t="n"/>
      <c r="M113" s="41" t="n"/>
      <c r="N113" s="50" t="str">
        <f>IFERROR(IF(INDEX('CAMPAIGN MASTER'!$A$5:$A$704,MATCH(SMALL('CAMPAIGN MASTER'!$AX$5:$AX$704,1),'CAMPAIGN MASTER'!$AX$5:$AX$704,0))="","",INDEX('CAMPAIGN MASTER'!$A$5:$A$704,MATCH(SMALL('CAMPAIGN MASTER'!$AX$5:$AX$704,1),'CAMPAIGN MASTER'!$AX$5:$AX$704,0))),"")</f>
        <v/>
      </c>
      <c r="O113" s="50" t="str">
        <f>IFERROR(IF(INDEX('CAMPAIGN MASTER'!$I$5:$I$704,MATCH(SMALL('CAMPAIGN MASTER'!$AX$5:$AX$704,1),'CAMPAIGN MASTER'!$AX$5:$AX$704,0))="","",INDEX('CAMPAIGN MASTER'!$I$5:$I$704,MATCH(SMALL('CAMPAIGN MASTER'!$AX$5:$AX$704,1),'CAMPAIGN MASTER'!$AX$5:$AX$704,0))),"")</f>
        <v/>
      </c>
      <c r="P113" s="52" t="str">
        <f>IFERROR(IF(INDEX('CAMPAIGN MASTER'!$R$5:$R$704,MATCH(SMALL('CAMPAIGN MASTER'!$AX$5:$AX$704,1),'CAMPAIGN MASTER'!$AX$5:$AX$704,0))="","",INDEX('CAMPAIGN MASTER'!$R$5:$R$704,MATCH(SMALL('CAMPAIGN MASTER'!$AX$5:$AX$704,1),'CAMPAIGN MASTER'!$AX$5:$AX$704,0))),"")</f>
        <v/>
      </c>
      <c r="Q113" s="52" t="str">
        <f>IFERROR(IF(INDEX('CAMPAIGN MASTER'!$Q$5:$Q$704,MATCH(SMALL('CAMPAIGN MASTER'!$AX$5:$AX$704,1),'CAMPAIGN MASTER'!$AX$5:$AX$704,0))="","",INDEX('CAMPAIGN MASTER'!$Q$5:$Q$704,MATCH(SMALL('CAMPAIGN MASTER'!$AX$5:$AX$704,1),'CAMPAIGN MASTER'!$AX$5:$AX$704,0))),"")</f>
        <v/>
      </c>
      <c r="R113" s="50" t="str">
        <f>IFERROR(IF(INDEX('CAMPAIGN MASTER'!$AA$5:$AA$704,MATCH(SMALL('CAMPAIGN MASTER'!$AX$5:$AX$704,1),'CAMPAIGN MASTER'!$AX$5:$AX$704,0))="","",INDEX('CAMPAIGN MASTER'!$AA$5:$AA$704,MATCH(SMALL('CAMPAIGN MASTER'!$AX$5:$AX$704,1),'CAMPAIGN MASTER'!$AX$5:$AX$704,0))),"")</f>
        <v/>
      </c>
    </row>
    <row r="114" ht="26" customHeight="1">
      <c r="B114" s="50" t="str">
        <f>IFERROR(IF(INDEX('CAMPAIGN MASTER'!$B$5:$B$704,MATCH(SMALL('CAMPAIGN MASTER'!$AU$5:$AU$704,2),'CAMPAIGN MASTER'!$AU$5:$AU$704,0))="","",INDEX('CAMPAIGN MASTER'!$B$5:$B$704,MATCH(SMALL('CAMPAIGN MASTER'!$AU$5:$AU$704,2),'CAMPAIGN MASTER'!$AU$5:$AU$704,0))),"")</f>
        <v/>
      </c>
      <c r="C114" s="41" t="n"/>
      <c r="D114" s="41" t="n"/>
      <c r="E114" s="50" t="str">
        <f>IFERROR(IF(INDEX('CAMPAIGN MASTER'!$A$5:$A$704,MATCH(SMALL('CAMPAIGN MASTER'!$AU$5:$AU$704,2),'CAMPAIGN MASTER'!$AU$5:$AU$704,0))="","",INDEX('CAMPAIGN MASTER'!$A$5:$A$704,MATCH(SMALL('CAMPAIGN MASTER'!$AU$5:$AU$704,2),'CAMPAIGN MASTER'!$AU$5:$AU$704,0))),"")</f>
        <v/>
      </c>
      <c r="F114" s="50" t="str">
        <f>IFERROR(IF(INDEX('CAMPAIGN MASTER'!$I$5:$I$704,MATCH(SMALL('CAMPAIGN MASTER'!$AU$5:$AU$704,2),'CAMPAIGN MASTER'!$AU$5:$AU$704,0))="","",INDEX('CAMPAIGN MASTER'!$I$5:$I$704,MATCH(SMALL('CAMPAIGN MASTER'!$AU$5:$AU$704,2),'CAMPAIGN MASTER'!$AU$5:$AU$704,0))),"")</f>
        <v/>
      </c>
      <c r="G114" s="50" t="str">
        <f>IFERROR(IF(INDEX('CAMPAIGN MASTER'!$AA$5:$AA$704,MATCH(SMALL('CAMPAIGN MASTER'!$AU$5:$AU$704,2),'CAMPAIGN MASTER'!$AU$5:$AU$704,0))="","",INDEX('CAMPAIGN MASTER'!$AA$5:$AA$704,MATCH(SMALL('CAMPAIGN MASTER'!$AU$5:$AU$704,2),'CAMPAIGN MASTER'!$AU$5:$AU$704,0))),"")</f>
        <v/>
      </c>
      <c r="H114" s="50" t="str">
        <f>IFERROR(IF(INDEX('CAMPAIGN MASTER'!$AT$5:$AT$704,MATCH(SMALL('CAMPAIGN MASTER'!$AU$5:$AU$704,2),'CAMPAIGN MASTER'!$AU$5:$AU$704,0))="","",INDEX('CAMPAIGN MASTER'!$AT$5:$AT$704,MATCH(SMALL('CAMPAIGN MASTER'!$AU$5:$AU$704,2),'CAMPAIGN MASTER'!$AU$5:$AU$704,0))),"")</f>
        <v/>
      </c>
      <c r="I114" s="41" t="n"/>
      <c r="K114" s="50" t="str">
        <f>IFERROR(IF(INDEX('CAMPAIGN MASTER'!$B$5:$B$704,MATCH(SMALL('CAMPAIGN MASTER'!$AX$5:$AX$704,2),'CAMPAIGN MASTER'!$AX$5:$AX$704,0))="","",INDEX('CAMPAIGN MASTER'!$B$5:$B$704,MATCH(SMALL('CAMPAIGN MASTER'!$AX$5:$AX$704,2),'CAMPAIGN MASTER'!$AX$5:$AX$704,0))),"")</f>
        <v/>
      </c>
      <c r="L114" s="41" t="n"/>
      <c r="M114" s="41" t="n"/>
      <c r="N114" s="50" t="str">
        <f>IFERROR(IF(INDEX('CAMPAIGN MASTER'!$A$5:$A$704,MATCH(SMALL('CAMPAIGN MASTER'!$AX$5:$AX$704,2),'CAMPAIGN MASTER'!$AX$5:$AX$704,0))="","",INDEX('CAMPAIGN MASTER'!$A$5:$A$704,MATCH(SMALL('CAMPAIGN MASTER'!$AX$5:$AX$704,2),'CAMPAIGN MASTER'!$AX$5:$AX$704,0))),"")</f>
        <v/>
      </c>
      <c r="O114" s="50" t="str">
        <f>IFERROR(IF(INDEX('CAMPAIGN MASTER'!$I$5:$I$704,MATCH(SMALL('CAMPAIGN MASTER'!$AX$5:$AX$704,2),'CAMPAIGN MASTER'!$AX$5:$AX$704,0))="","",INDEX('CAMPAIGN MASTER'!$I$5:$I$704,MATCH(SMALL('CAMPAIGN MASTER'!$AX$5:$AX$704,2),'CAMPAIGN MASTER'!$AX$5:$AX$704,0))),"")</f>
        <v/>
      </c>
      <c r="P114" s="52" t="str">
        <f>IFERROR(IF(INDEX('CAMPAIGN MASTER'!$R$5:$R$704,MATCH(SMALL('CAMPAIGN MASTER'!$AX$5:$AX$704,2),'CAMPAIGN MASTER'!$AX$5:$AX$704,0))="","",INDEX('CAMPAIGN MASTER'!$R$5:$R$704,MATCH(SMALL('CAMPAIGN MASTER'!$AX$5:$AX$704,2),'CAMPAIGN MASTER'!$AX$5:$AX$704,0))),"")</f>
        <v/>
      </c>
      <c r="Q114" s="52" t="str">
        <f>IFERROR(IF(INDEX('CAMPAIGN MASTER'!$Q$5:$Q$704,MATCH(SMALL('CAMPAIGN MASTER'!$AX$5:$AX$704,2),'CAMPAIGN MASTER'!$AX$5:$AX$704,0))="","",INDEX('CAMPAIGN MASTER'!$Q$5:$Q$704,MATCH(SMALL('CAMPAIGN MASTER'!$AX$5:$AX$704,2),'CAMPAIGN MASTER'!$AX$5:$AX$704,0))),"")</f>
        <v/>
      </c>
      <c r="R114" s="50" t="str">
        <f>IFERROR(IF(INDEX('CAMPAIGN MASTER'!$AA$5:$AA$704,MATCH(SMALL('CAMPAIGN MASTER'!$AX$5:$AX$704,2),'CAMPAIGN MASTER'!$AX$5:$AX$704,0))="","",INDEX('CAMPAIGN MASTER'!$AA$5:$AA$704,MATCH(SMALL('CAMPAIGN MASTER'!$AX$5:$AX$704,2),'CAMPAIGN MASTER'!$AX$5:$AX$704,0))),"")</f>
        <v/>
      </c>
    </row>
    <row r="115" ht="26" customHeight="1">
      <c r="B115" s="50" t="str">
        <f>IFERROR(IF(INDEX('CAMPAIGN MASTER'!$B$5:$B$704,MATCH(SMALL('CAMPAIGN MASTER'!$AU$5:$AU$704,3),'CAMPAIGN MASTER'!$AU$5:$AU$704,0))="","",INDEX('CAMPAIGN MASTER'!$B$5:$B$704,MATCH(SMALL('CAMPAIGN MASTER'!$AU$5:$AU$704,3),'CAMPAIGN MASTER'!$AU$5:$AU$704,0))),"")</f>
        <v/>
      </c>
      <c r="C115" s="41" t="n"/>
      <c r="D115" s="41" t="n"/>
      <c r="E115" s="50" t="str">
        <f>IFERROR(IF(INDEX('CAMPAIGN MASTER'!$A$5:$A$704,MATCH(SMALL('CAMPAIGN MASTER'!$AU$5:$AU$704,3),'CAMPAIGN MASTER'!$AU$5:$AU$704,0))="","",INDEX('CAMPAIGN MASTER'!$A$5:$A$704,MATCH(SMALL('CAMPAIGN MASTER'!$AU$5:$AU$704,3),'CAMPAIGN MASTER'!$AU$5:$AU$704,0))),"")</f>
        <v/>
      </c>
      <c r="F115" s="50" t="str">
        <f>IFERROR(IF(INDEX('CAMPAIGN MASTER'!$I$5:$I$704,MATCH(SMALL('CAMPAIGN MASTER'!$AU$5:$AU$704,3),'CAMPAIGN MASTER'!$AU$5:$AU$704,0))="","",INDEX('CAMPAIGN MASTER'!$I$5:$I$704,MATCH(SMALL('CAMPAIGN MASTER'!$AU$5:$AU$704,3),'CAMPAIGN MASTER'!$AU$5:$AU$704,0))),"")</f>
        <v/>
      </c>
      <c r="G115" s="50" t="str">
        <f>IFERROR(IF(INDEX('CAMPAIGN MASTER'!$AA$5:$AA$704,MATCH(SMALL('CAMPAIGN MASTER'!$AU$5:$AU$704,3),'CAMPAIGN MASTER'!$AU$5:$AU$704,0))="","",INDEX('CAMPAIGN MASTER'!$AA$5:$AA$704,MATCH(SMALL('CAMPAIGN MASTER'!$AU$5:$AU$704,3),'CAMPAIGN MASTER'!$AU$5:$AU$704,0))),"")</f>
        <v/>
      </c>
      <c r="H115" s="50" t="str">
        <f>IFERROR(IF(INDEX('CAMPAIGN MASTER'!$AT$5:$AT$704,MATCH(SMALL('CAMPAIGN MASTER'!$AU$5:$AU$704,3),'CAMPAIGN MASTER'!$AU$5:$AU$704,0))="","",INDEX('CAMPAIGN MASTER'!$AT$5:$AT$704,MATCH(SMALL('CAMPAIGN MASTER'!$AU$5:$AU$704,3),'CAMPAIGN MASTER'!$AU$5:$AU$704,0))),"")</f>
        <v/>
      </c>
      <c r="I115" s="41" t="n"/>
      <c r="K115" s="50" t="str">
        <f>IFERROR(IF(INDEX('CAMPAIGN MASTER'!$B$5:$B$704,MATCH(SMALL('CAMPAIGN MASTER'!$AX$5:$AX$704,3),'CAMPAIGN MASTER'!$AX$5:$AX$704,0))="","",INDEX('CAMPAIGN MASTER'!$B$5:$B$704,MATCH(SMALL('CAMPAIGN MASTER'!$AX$5:$AX$704,3),'CAMPAIGN MASTER'!$AX$5:$AX$704,0))),"")</f>
        <v/>
      </c>
      <c r="L115" s="41" t="n"/>
      <c r="M115" s="41" t="n"/>
      <c r="N115" s="50" t="str">
        <f>IFERROR(IF(INDEX('CAMPAIGN MASTER'!$A$5:$A$704,MATCH(SMALL('CAMPAIGN MASTER'!$AX$5:$AX$704,3),'CAMPAIGN MASTER'!$AX$5:$AX$704,0))="","",INDEX('CAMPAIGN MASTER'!$A$5:$A$704,MATCH(SMALL('CAMPAIGN MASTER'!$AX$5:$AX$704,3),'CAMPAIGN MASTER'!$AX$5:$AX$704,0))),"")</f>
        <v/>
      </c>
      <c r="O115" s="50" t="str">
        <f>IFERROR(IF(INDEX('CAMPAIGN MASTER'!$I$5:$I$704,MATCH(SMALL('CAMPAIGN MASTER'!$AX$5:$AX$704,3),'CAMPAIGN MASTER'!$AX$5:$AX$704,0))="","",INDEX('CAMPAIGN MASTER'!$I$5:$I$704,MATCH(SMALL('CAMPAIGN MASTER'!$AX$5:$AX$704,3),'CAMPAIGN MASTER'!$AX$5:$AX$704,0))),"")</f>
        <v/>
      </c>
      <c r="P115" s="52" t="str">
        <f>IFERROR(IF(INDEX('CAMPAIGN MASTER'!$R$5:$R$704,MATCH(SMALL('CAMPAIGN MASTER'!$AX$5:$AX$704,3),'CAMPAIGN MASTER'!$AX$5:$AX$704,0))="","",INDEX('CAMPAIGN MASTER'!$R$5:$R$704,MATCH(SMALL('CAMPAIGN MASTER'!$AX$5:$AX$704,3),'CAMPAIGN MASTER'!$AX$5:$AX$704,0))),"")</f>
        <v/>
      </c>
      <c r="Q115" s="52" t="str">
        <f>IFERROR(IF(INDEX('CAMPAIGN MASTER'!$Q$5:$Q$704,MATCH(SMALL('CAMPAIGN MASTER'!$AX$5:$AX$704,3),'CAMPAIGN MASTER'!$AX$5:$AX$704,0))="","",INDEX('CAMPAIGN MASTER'!$Q$5:$Q$704,MATCH(SMALL('CAMPAIGN MASTER'!$AX$5:$AX$704,3),'CAMPAIGN MASTER'!$AX$5:$AX$704,0))),"")</f>
        <v/>
      </c>
      <c r="R115" s="50" t="str">
        <f>IFERROR(IF(INDEX('CAMPAIGN MASTER'!$AA$5:$AA$704,MATCH(SMALL('CAMPAIGN MASTER'!$AX$5:$AX$704,3),'CAMPAIGN MASTER'!$AX$5:$AX$704,0))="","",INDEX('CAMPAIGN MASTER'!$AA$5:$AA$704,MATCH(SMALL('CAMPAIGN MASTER'!$AX$5:$AX$704,3),'CAMPAIGN MASTER'!$AX$5:$AX$704,0))),"")</f>
        <v/>
      </c>
    </row>
    <row r="116" ht="26" customHeight="1">
      <c r="B116" s="50" t="str">
        <f>IFERROR(IF(INDEX('CAMPAIGN MASTER'!$B$5:$B$704,MATCH(SMALL('CAMPAIGN MASTER'!$AU$5:$AU$704,4),'CAMPAIGN MASTER'!$AU$5:$AU$704,0))="","",INDEX('CAMPAIGN MASTER'!$B$5:$B$704,MATCH(SMALL('CAMPAIGN MASTER'!$AU$5:$AU$704,4),'CAMPAIGN MASTER'!$AU$5:$AU$704,0))),"")</f>
        <v/>
      </c>
      <c r="C116" s="41" t="n"/>
      <c r="D116" s="41" t="n"/>
      <c r="E116" s="50" t="str">
        <f>IFERROR(IF(INDEX('CAMPAIGN MASTER'!$A$5:$A$704,MATCH(SMALL('CAMPAIGN MASTER'!$AU$5:$AU$704,4),'CAMPAIGN MASTER'!$AU$5:$AU$704,0))="","",INDEX('CAMPAIGN MASTER'!$A$5:$A$704,MATCH(SMALL('CAMPAIGN MASTER'!$AU$5:$AU$704,4),'CAMPAIGN MASTER'!$AU$5:$AU$704,0))),"")</f>
        <v/>
      </c>
      <c r="F116" s="50" t="str">
        <f>IFERROR(IF(INDEX('CAMPAIGN MASTER'!$I$5:$I$704,MATCH(SMALL('CAMPAIGN MASTER'!$AU$5:$AU$704,4),'CAMPAIGN MASTER'!$AU$5:$AU$704,0))="","",INDEX('CAMPAIGN MASTER'!$I$5:$I$704,MATCH(SMALL('CAMPAIGN MASTER'!$AU$5:$AU$704,4),'CAMPAIGN MASTER'!$AU$5:$AU$704,0))),"")</f>
        <v/>
      </c>
      <c r="G116" s="50" t="str">
        <f>IFERROR(IF(INDEX('CAMPAIGN MASTER'!$AA$5:$AA$704,MATCH(SMALL('CAMPAIGN MASTER'!$AU$5:$AU$704,4),'CAMPAIGN MASTER'!$AU$5:$AU$704,0))="","",INDEX('CAMPAIGN MASTER'!$AA$5:$AA$704,MATCH(SMALL('CAMPAIGN MASTER'!$AU$5:$AU$704,4),'CAMPAIGN MASTER'!$AU$5:$AU$704,0))),"")</f>
        <v/>
      </c>
      <c r="H116" s="50" t="str">
        <f>IFERROR(IF(INDEX('CAMPAIGN MASTER'!$AT$5:$AT$704,MATCH(SMALL('CAMPAIGN MASTER'!$AU$5:$AU$704,4),'CAMPAIGN MASTER'!$AU$5:$AU$704,0))="","",INDEX('CAMPAIGN MASTER'!$AT$5:$AT$704,MATCH(SMALL('CAMPAIGN MASTER'!$AU$5:$AU$704,4),'CAMPAIGN MASTER'!$AU$5:$AU$704,0))),"")</f>
        <v/>
      </c>
      <c r="I116" s="41" t="n"/>
      <c r="K116" s="50" t="str">
        <f>IFERROR(IF(INDEX('CAMPAIGN MASTER'!$B$5:$B$704,MATCH(SMALL('CAMPAIGN MASTER'!$AX$5:$AX$704,4),'CAMPAIGN MASTER'!$AX$5:$AX$704,0))="","",INDEX('CAMPAIGN MASTER'!$B$5:$B$704,MATCH(SMALL('CAMPAIGN MASTER'!$AX$5:$AX$704,4),'CAMPAIGN MASTER'!$AX$5:$AX$704,0))),"")</f>
        <v/>
      </c>
      <c r="L116" s="41" t="n"/>
      <c r="M116" s="41" t="n"/>
      <c r="N116" s="50" t="str">
        <f>IFERROR(IF(INDEX('CAMPAIGN MASTER'!$A$5:$A$704,MATCH(SMALL('CAMPAIGN MASTER'!$AX$5:$AX$704,4),'CAMPAIGN MASTER'!$AX$5:$AX$704,0))="","",INDEX('CAMPAIGN MASTER'!$A$5:$A$704,MATCH(SMALL('CAMPAIGN MASTER'!$AX$5:$AX$704,4),'CAMPAIGN MASTER'!$AX$5:$AX$704,0))),"")</f>
        <v/>
      </c>
      <c r="O116" s="50" t="str">
        <f>IFERROR(IF(INDEX('CAMPAIGN MASTER'!$I$5:$I$704,MATCH(SMALL('CAMPAIGN MASTER'!$AX$5:$AX$704,4),'CAMPAIGN MASTER'!$AX$5:$AX$704,0))="","",INDEX('CAMPAIGN MASTER'!$I$5:$I$704,MATCH(SMALL('CAMPAIGN MASTER'!$AX$5:$AX$704,4),'CAMPAIGN MASTER'!$AX$5:$AX$704,0))),"")</f>
        <v/>
      </c>
      <c r="P116" s="52" t="str">
        <f>IFERROR(IF(INDEX('CAMPAIGN MASTER'!$R$5:$R$704,MATCH(SMALL('CAMPAIGN MASTER'!$AX$5:$AX$704,4),'CAMPAIGN MASTER'!$AX$5:$AX$704,0))="","",INDEX('CAMPAIGN MASTER'!$R$5:$R$704,MATCH(SMALL('CAMPAIGN MASTER'!$AX$5:$AX$704,4),'CAMPAIGN MASTER'!$AX$5:$AX$704,0))),"")</f>
        <v/>
      </c>
      <c r="Q116" s="52" t="str">
        <f>IFERROR(IF(INDEX('CAMPAIGN MASTER'!$Q$5:$Q$704,MATCH(SMALL('CAMPAIGN MASTER'!$AX$5:$AX$704,4),'CAMPAIGN MASTER'!$AX$5:$AX$704,0))="","",INDEX('CAMPAIGN MASTER'!$Q$5:$Q$704,MATCH(SMALL('CAMPAIGN MASTER'!$AX$5:$AX$704,4),'CAMPAIGN MASTER'!$AX$5:$AX$704,0))),"")</f>
        <v/>
      </c>
      <c r="R116" s="50" t="str">
        <f>IFERROR(IF(INDEX('CAMPAIGN MASTER'!$AA$5:$AA$704,MATCH(SMALL('CAMPAIGN MASTER'!$AX$5:$AX$704,4),'CAMPAIGN MASTER'!$AX$5:$AX$704,0))="","",INDEX('CAMPAIGN MASTER'!$AA$5:$AA$704,MATCH(SMALL('CAMPAIGN MASTER'!$AX$5:$AX$704,4),'CAMPAIGN MASTER'!$AX$5:$AX$704,0))),"")</f>
        <v/>
      </c>
    </row>
    <row r="117" ht="26" customHeight="1">
      <c r="B117" s="50" t="str">
        <f>IFERROR(IF(INDEX('CAMPAIGN MASTER'!$B$5:$B$704,MATCH(SMALL('CAMPAIGN MASTER'!$AU$5:$AU$704,5),'CAMPAIGN MASTER'!$AU$5:$AU$704,0))="","",INDEX('CAMPAIGN MASTER'!$B$5:$B$704,MATCH(SMALL('CAMPAIGN MASTER'!$AU$5:$AU$704,5),'CAMPAIGN MASTER'!$AU$5:$AU$704,0))),"")</f>
        <v/>
      </c>
      <c r="C117" s="41" t="n"/>
      <c r="D117" s="41" t="n"/>
      <c r="E117" s="50" t="str">
        <f>IFERROR(IF(INDEX('CAMPAIGN MASTER'!$A$5:$A$704,MATCH(SMALL('CAMPAIGN MASTER'!$AU$5:$AU$704,5),'CAMPAIGN MASTER'!$AU$5:$AU$704,0))="","",INDEX('CAMPAIGN MASTER'!$A$5:$A$704,MATCH(SMALL('CAMPAIGN MASTER'!$AU$5:$AU$704,5),'CAMPAIGN MASTER'!$AU$5:$AU$704,0))),"")</f>
        <v/>
      </c>
      <c r="F117" s="50" t="str">
        <f>IFERROR(IF(INDEX('CAMPAIGN MASTER'!$I$5:$I$704,MATCH(SMALL('CAMPAIGN MASTER'!$AU$5:$AU$704,5),'CAMPAIGN MASTER'!$AU$5:$AU$704,0))="","",INDEX('CAMPAIGN MASTER'!$I$5:$I$704,MATCH(SMALL('CAMPAIGN MASTER'!$AU$5:$AU$704,5),'CAMPAIGN MASTER'!$AU$5:$AU$704,0))),"")</f>
        <v/>
      </c>
      <c r="G117" s="50" t="str">
        <f>IFERROR(IF(INDEX('CAMPAIGN MASTER'!$AA$5:$AA$704,MATCH(SMALL('CAMPAIGN MASTER'!$AU$5:$AU$704,5),'CAMPAIGN MASTER'!$AU$5:$AU$704,0))="","",INDEX('CAMPAIGN MASTER'!$AA$5:$AA$704,MATCH(SMALL('CAMPAIGN MASTER'!$AU$5:$AU$704,5),'CAMPAIGN MASTER'!$AU$5:$AU$704,0))),"")</f>
        <v/>
      </c>
      <c r="H117" s="50" t="str">
        <f>IFERROR(IF(INDEX('CAMPAIGN MASTER'!$AT$5:$AT$704,MATCH(SMALL('CAMPAIGN MASTER'!$AU$5:$AU$704,5),'CAMPAIGN MASTER'!$AU$5:$AU$704,0))="","",INDEX('CAMPAIGN MASTER'!$AT$5:$AT$704,MATCH(SMALL('CAMPAIGN MASTER'!$AU$5:$AU$704,5),'CAMPAIGN MASTER'!$AU$5:$AU$704,0))),"")</f>
        <v/>
      </c>
      <c r="I117" s="41" t="n"/>
      <c r="K117" s="50" t="str">
        <f>IFERROR(IF(INDEX('CAMPAIGN MASTER'!$B$5:$B$704,MATCH(SMALL('CAMPAIGN MASTER'!$AX$5:$AX$704,5),'CAMPAIGN MASTER'!$AX$5:$AX$704,0))="","",INDEX('CAMPAIGN MASTER'!$B$5:$B$704,MATCH(SMALL('CAMPAIGN MASTER'!$AX$5:$AX$704,5),'CAMPAIGN MASTER'!$AX$5:$AX$704,0))),"")</f>
        <v/>
      </c>
      <c r="L117" s="41" t="n"/>
      <c r="M117" s="41" t="n"/>
      <c r="N117" s="50" t="str">
        <f>IFERROR(IF(INDEX('CAMPAIGN MASTER'!$A$5:$A$704,MATCH(SMALL('CAMPAIGN MASTER'!$AX$5:$AX$704,5),'CAMPAIGN MASTER'!$AX$5:$AX$704,0))="","",INDEX('CAMPAIGN MASTER'!$A$5:$A$704,MATCH(SMALL('CAMPAIGN MASTER'!$AX$5:$AX$704,5),'CAMPAIGN MASTER'!$AX$5:$AX$704,0))),"")</f>
        <v/>
      </c>
      <c r="O117" s="50" t="str">
        <f>IFERROR(IF(INDEX('CAMPAIGN MASTER'!$I$5:$I$704,MATCH(SMALL('CAMPAIGN MASTER'!$AX$5:$AX$704,5),'CAMPAIGN MASTER'!$AX$5:$AX$704,0))="","",INDEX('CAMPAIGN MASTER'!$I$5:$I$704,MATCH(SMALL('CAMPAIGN MASTER'!$AX$5:$AX$704,5),'CAMPAIGN MASTER'!$AX$5:$AX$704,0))),"")</f>
        <v/>
      </c>
      <c r="P117" s="52" t="str">
        <f>IFERROR(IF(INDEX('CAMPAIGN MASTER'!$R$5:$R$704,MATCH(SMALL('CAMPAIGN MASTER'!$AX$5:$AX$704,5),'CAMPAIGN MASTER'!$AX$5:$AX$704,0))="","",INDEX('CAMPAIGN MASTER'!$R$5:$R$704,MATCH(SMALL('CAMPAIGN MASTER'!$AX$5:$AX$704,5),'CAMPAIGN MASTER'!$AX$5:$AX$704,0))),"")</f>
        <v/>
      </c>
      <c r="Q117" s="52" t="str">
        <f>IFERROR(IF(INDEX('CAMPAIGN MASTER'!$Q$5:$Q$704,MATCH(SMALL('CAMPAIGN MASTER'!$AX$5:$AX$704,5),'CAMPAIGN MASTER'!$AX$5:$AX$704,0))="","",INDEX('CAMPAIGN MASTER'!$Q$5:$Q$704,MATCH(SMALL('CAMPAIGN MASTER'!$AX$5:$AX$704,5),'CAMPAIGN MASTER'!$AX$5:$AX$704,0))),"")</f>
        <v/>
      </c>
      <c r="R117" s="50" t="str">
        <f>IFERROR(IF(INDEX('CAMPAIGN MASTER'!$AA$5:$AA$704,MATCH(SMALL('CAMPAIGN MASTER'!$AX$5:$AX$704,5),'CAMPAIGN MASTER'!$AX$5:$AX$704,0))="","",INDEX('CAMPAIGN MASTER'!$AA$5:$AA$704,MATCH(SMALL('CAMPAIGN MASTER'!$AX$5:$AX$704,5),'CAMPAIGN MASTER'!$AX$5:$AX$704,0))),"")</f>
        <v/>
      </c>
    </row>
    <row r="118" ht="26" customHeight="1">
      <c r="B118" s="50" t="str">
        <f>IFERROR(IF(INDEX('CAMPAIGN MASTER'!$B$5:$B$704,MATCH(SMALL('CAMPAIGN MASTER'!$AU$5:$AU$704,6),'CAMPAIGN MASTER'!$AU$5:$AU$704,0))="","",INDEX('CAMPAIGN MASTER'!$B$5:$B$704,MATCH(SMALL('CAMPAIGN MASTER'!$AU$5:$AU$704,6),'CAMPAIGN MASTER'!$AU$5:$AU$704,0))),"")</f>
        <v/>
      </c>
      <c r="C118" s="41" t="n"/>
      <c r="D118" s="41" t="n"/>
      <c r="E118" s="50" t="str">
        <f>IFERROR(IF(INDEX('CAMPAIGN MASTER'!$A$5:$A$704,MATCH(SMALL('CAMPAIGN MASTER'!$AU$5:$AU$704,6),'CAMPAIGN MASTER'!$AU$5:$AU$704,0))="","",INDEX('CAMPAIGN MASTER'!$A$5:$A$704,MATCH(SMALL('CAMPAIGN MASTER'!$AU$5:$AU$704,6),'CAMPAIGN MASTER'!$AU$5:$AU$704,0))),"")</f>
        <v/>
      </c>
      <c r="F118" s="50" t="str">
        <f>IFERROR(IF(INDEX('CAMPAIGN MASTER'!$I$5:$I$704,MATCH(SMALL('CAMPAIGN MASTER'!$AU$5:$AU$704,6),'CAMPAIGN MASTER'!$AU$5:$AU$704,0))="","",INDEX('CAMPAIGN MASTER'!$I$5:$I$704,MATCH(SMALL('CAMPAIGN MASTER'!$AU$5:$AU$704,6),'CAMPAIGN MASTER'!$AU$5:$AU$704,0))),"")</f>
        <v/>
      </c>
      <c r="G118" s="50" t="str">
        <f>IFERROR(IF(INDEX('CAMPAIGN MASTER'!$AA$5:$AA$704,MATCH(SMALL('CAMPAIGN MASTER'!$AU$5:$AU$704,6),'CAMPAIGN MASTER'!$AU$5:$AU$704,0))="","",INDEX('CAMPAIGN MASTER'!$AA$5:$AA$704,MATCH(SMALL('CAMPAIGN MASTER'!$AU$5:$AU$704,6),'CAMPAIGN MASTER'!$AU$5:$AU$704,0))),"")</f>
        <v/>
      </c>
      <c r="H118" s="50" t="str">
        <f>IFERROR(IF(INDEX('CAMPAIGN MASTER'!$AT$5:$AT$704,MATCH(SMALL('CAMPAIGN MASTER'!$AU$5:$AU$704,6),'CAMPAIGN MASTER'!$AU$5:$AU$704,0))="","",INDEX('CAMPAIGN MASTER'!$AT$5:$AT$704,MATCH(SMALL('CAMPAIGN MASTER'!$AU$5:$AU$704,6),'CAMPAIGN MASTER'!$AU$5:$AU$704,0))),"")</f>
        <v/>
      </c>
      <c r="I118" s="41" t="n"/>
      <c r="K118" s="50" t="str">
        <f>IFERROR(IF(INDEX('CAMPAIGN MASTER'!$B$5:$B$704,MATCH(SMALL('CAMPAIGN MASTER'!$AX$5:$AX$704,6),'CAMPAIGN MASTER'!$AX$5:$AX$704,0))="","",INDEX('CAMPAIGN MASTER'!$B$5:$B$704,MATCH(SMALL('CAMPAIGN MASTER'!$AX$5:$AX$704,6),'CAMPAIGN MASTER'!$AX$5:$AX$704,0))),"")</f>
        <v/>
      </c>
      <c r="L118" s="41" t="n"/>
      <c r="M118" s="41" t="n"/>
      <c r="N118" s="50" t="str">
        <f>IFERROR(IF(INDEX('CAMPAIGN MASTER'!$A$5:$A$704,MATCH(SMALL('CAMPAIGN MASTER'!$AX$5:$AX$704,6),'CAMPAIGN MASTER'!$AX$5:$AX$704,0))="","",INDEX('CAMPAIGN MASTER'!$A$5:$A$704,MATCH(SMALL('CAMPAIGN MASTER'!$AX$5:$AX$704,6),'CAMPAIGN MASTER'!$AX$5:$AX$704,0))),"")</f>
        <v/>
      </c>
      <c r="O118" s="50" t="str">
        <f>IFERROR(IF(INDEX('CAMPAIGN MASTER'!$I$5:$I$704,MATCH(SMALL('CAMPAIGN MASTER'!$AX$5:$AX$704,6),'CAMPAIGN MASTER'!$AX$5:$AX$704,0))="","",INDEX('CAMPAIGN MASTER'!$I$5:$I$704,MATCH(SMALL('CAMPAIGN MASTER'!$AX$5:$AX$704,6),'CAMPAIGN MASTER'!$AX$5:$AX$704,0))),"")</f>
        <v/>
      </c>
      <c r="P118" s="52" t="str">
        <f>IFERROR(IF(INDEX('CAMPAIGN MASTER'!$R$5:$R$704,MATCH(SMALL('CAMPAIGN MASTER'!$AX$5:$AX$704,6),'CAMPAIGN MASTER'!$AX$5:$AX$704,0))="","",INDEX('CAMPAIGN MASTER'!$R$5:$R$704,MATCH(SMALL('CAMPAIGN MASTER'!$AX$5:$AX$704,6),'CAMPAIGN MASTER'!$AX$5:$AX$704,0))),"")</f>
        <v/>
      </c>
      <c r="Q118" s="52" t="str">
        <f>IFERROR(IF(INDEX('CAMPAIGN MASTER'!$Q$5:$Q$704,MATCH(SMALL('CAMPAIGN MASTER'!$AX$5:$AX$704,6),'CAMPAIGN MASTER'!$AX$5:$AX$704,0))="","",INDEX('CAMPAIGN MASTER'!$Q$5:$Q$704,MATCH(SMALL('CAMPAIGN MASTER'!$AX$5:$AX$704,6),'CAMPAIGN MASTER'!$AX$5:$AX$704,0))),"")</f>
        <v/>
      </c>
      <c r="R118" s="50" t="str">
        <f>IFERROR(IF(INDEX('CAMPAIGN MASTER'!$AA$5:$AA$704,MATCH(SMALL('CAMPAIGN MASTER'!$AX$5:$AX$704,6),'CAMPAIGN MASTER'!$AX$5:$AX$704,0))="","",INDEX('CAMPAIGN MASTER'!$AA$5:$AA$704,MATCH(SMALL('CAMPAIGN MASTER'!$AX$5:$AX$704,6),'CAMPAIGN MASTER'!$AX$5:$AX$704,0))),"")</f>
        <v/>
      </c>
    </row>
    <row r="122" ht="20" customHeight="1">
      <c r="B122" s="37" t="inlineStr">
        <is>
          <t>Q11. Which campaigns are underperforming?</t>
        </is>
      </c>
      <c r="C122" s="33" t="n"/>
      <c r="D122" s="33" t="n"/>
      <c r="E122" s="33" t="n"/>
      <c r="F122" s="33" t="n"/>
      <c r="G122" s="33" t="n"/>
      <c r="H122" s="33" t="n"/>
      <c r="I122" s="33" t="n"/>
      <c r="K122" s="37" t="inlineStr">
        <is>
          <t>Campaigns with no recent update</t>
        </is>
      </c>
      <c r="L122" s="33" t="n"/>
      <c r="M122" s="33" t="n"/>
      <c r="N122" s="33" t="n"/>
      <c r="O122" s="33" t="n"/>
      <c r="P122" s="33" t="n"/>
      <c r="Q122" s="33" t="n"/>
      <c r="R122" s="33" t="n"/>
    </row>
    <row r="123" ht="22" customHeight="1">
      <c r="B123" s="38" t="inlineStr">
        <is>
          <t>Campaign</t>
        </is>
      </c>
      <c r="C123" s="39" t="n"/>
      <c r="D123" s="39" t="n"/>
      <c r="E123" s="38" t="inlineStr">
        <is>
          <t>Client</t>
        </is>
      </c>
      <c r="F123" s="38" t="inlineStr">
        <is>
          <t>Owner</t>
        </is>
      </c>
      <c r="G123" s="38" t="inlineStr">
        <is>
          <t>Leads</t>
        </is>
      </c>
      <c r="H123" s="38" t="inlineStr">
        <is>
          <t>Target</t>
        </is>
      </c>
      <c r="I123" s="38" t="inlineStr">
        <is>
          <t>Status</t>
        </is>
      </c>
      <c r="K123" s="38" t="inlineStr">
        <is>
          <t>Campaign</t>
        </is>
      </c>
      <c r="L123" s="39" t="n"/>
      <c r="M123" s="39" t="n"/>
      <c r="N123" s="38" t="inlineStr">
        <is>
          <t>Client</t>
        </is>
      </c>
      <c r="O123" s="38" t="inlineStr">
        <is>
          <t>Owner</t>
        </is>
      </c>
      <c r="P123" s="38" t="inlineStr">
        <is>
          <t>Status</t>
        </is>
      </c>
      <c r="Q123" s="38" t="inlineStr">
        <is>
          <t>Last Updated</t>
        </is>
      </c>
      <c r="R123" s="39" t="n"/>
    </row>
    <row r="124" ht="26" customHeight="1">
      <c r="B124" s="49" t="str">
        <f>IFERROR(IF(INDEX('CAMPAIGN MASTER'!$B$5:$B$704,MATCH(SMALL('CAMPAIGN MASTER'!$AV$5:$AV$704,1),'CAMPAIGN MASTER'!$AV$5:$AV$704,0))="","",INDEX('CAMPAIGN MASTER'!$B$5:$B$704,MATCH(SMALL('CAMPAIGN MASTER'!$AV$5:$AV$704,1),'CAMPAIGN MASTER'!$AV$5:$AV$704,0))),"- none -")</f>
        <v>- none -</v>
      </c>
      <c r="C124" s="41" t="n"/>
      <c r="D124" s="41" t="n"/>
      <c r="E124" s="50" t="str">
        <f>IFERROR(IF(INDEX('CAMPAIGN MASTER'!$A$5:$A$704,MATCH(SMALL('CAMPAIGN MASTER'!$AV$5:$AV$704,1),'CAMPAIGN MASTER'!$AV$5:$AV$704,0))="","",INDEX('CAMPAIGN MASTER'!$A$5:$A$704,MATCH(SMALL('CAMPAIGN MASTER'!$AV$5:$AV$704,1),'CAMPAIGN MASTER'!$AV$5:$AV$704,0))),"")</f>
        <v/>
      </c>
      <c r="F124" s="50" t="str">
        <f>IFERROR(IF(INDEX('CAMPAIGN MASTER'!$I$5:$I$704,MATCH(SMALL('CAMPAIGN MASTER'!$AV$5:$AV$704,1),'CAMPAIGN MASTER'!$AV$5:$AV$704,0))="","",INDEX('CAMPAIGN MASTER'!$I$5:$I$704,MATCH(SMALL('CAMPAIGN MASTER'!$AV$5:$AV$704,1),'CAMPAIGN MASTER'!$AV$5:$AV$704,0))),"")</f>
        <v/>
      </c>
      <c r="G124" s="52" t="str">
        <f>IFERROR(IF(INDEX('CAMPAIGN MASTER'!$R$5:$R$704,MATCH(SMALL('CAMPAIGN MASTER'!$AV$5:$AV$704,1),'CAMPAIGN MASTER'!$AV$5:$AV$704,0))="","",INDEX('CAMPAIGN MASTER'!$R$5:$R$704,MATCH(SMALL('CAMPAIGN MASTER'!$AV$5:$AV$704,1),'CAMPAIGN MASTER'!$AV$5:$AV$704,0))),"")</f>
        <v/>
      </c>
      <c r="H124" s="52" t="str">
        <f>IFERROR(IF(INDEX('CAMPAIGN MASTER'!$Q$5:$Q$704,MATCH(SMALL('CAMPAIGN MASTER'!$AV$5:$AV$704,1),'CAMPAIGN MASTER'!$AV$5:$AV$704,0))="","",INDEX('CAMPAIGN MASTER'!$Q$5:$Q$704,MATCH(SMALL('CAMPAIGN MASTER'!$AV$5:$AV$704,1),'CAMPAIGN MASTER'!$AV$5:$AV$704,0))),"")</f>
        <v/>
      </c>
      <c r="I124" s="50" t="str">
        <f>IFERROR(IF(INDEX('CAMPAIGN MASTER'!$AA$5:$AA$704,MATCH(SMALL('CAMPAIGN MASTER'!$AV$5:$AV$704,1),'CAMPAIGN MASTER'!$AV$5:$AV$704,0))="","",INDEX('CAMPAIGN MASTER'!$AA$5:$AA$704,MATCH(SMALL('CAMPAIGN MASTER'!$AV$5:$AV$704,1),'CAMPAIGN MASTER'!$AV$5:$AV$704,0))),"")</f>
        <v/>
      </c>
      <c r="K124" s="49" t="str">
        <f>IFERROR(IF(INDEX('CAMPAIGN MASTER'!$B$5:$B$704,MATCH(SMALL('CAMPAIGN MASTER'!$AW$5:$AW$704,1),'CAMPAIGN MASTER'!$AW$5:$AW$704,0))="","",INDEX('CAMPAIGN MASTER'!$B$5:$B$704,MATCH(SMALL('CAMPAIGN MASTER'!$AW$5:$AW$704,1),'CAMPAIGN MASTER'!$AW$5:$AW$704,0))),"- none -")</f>
        <v>- none -</v>
      </c>
      <c r="L124" s="41" t="n"/>
      <c r="M124" s="41" t="n"/>
      <c r="N124" s="50" t="str">
        <f>IFERROR(IF(INDEX('CAMPAIGN MASTER'!$A$5:$A$704,MATCH(SMALL('CAMPAIGN MASTER'!$AW$5:$AW$704,1),'CAMPAIGN MASTER'!$AW$5:$AW$704,0))="","",INDEX('CAMPAIGN MASTER'!$A$5:$A$704,MATCH(SMALL('CAMPAIGN MASTER'!$AW$5:$AW$704,1),'CAMPAIGN MASTER'!$AW$5:$AW$704,0))),"")</f>
        <v/>
      </c>
      <c r="O124" s="50" t="str">
        <f>IFERROR(IF(INDEX('CAMPAIGN MASTER'!$I$5:$I$704,MATCH(SMALL('CAMPAIGN MASTER'!$AW$5:$AW$704,1),'CAMPAIGN MASTER'!$AW$5:$AW$704,0))="","",INDEX('CAMPAIGN MASTER'!$I$5:$I$704,MATCH(SMALL('CAMPAIGN MASTER'!$AW$5:$AW$704,1),'CAMPAIGN MASTER'!$AW$5:$AW$704,0))),"")</f>
        <v/>
      </c>
      <c r="P124" s="50" t="str">
        <f>IFERROR(IF(INDEX('CAMPAIGN MASTER'!$N$5:$N$704,MATCH(SMALL('CAMPAIGN MASTER'!$AW$5:$AW$704,1),'CAMPAIGN MASTER'!$AW$5:$AW$704,0))="","",INDEX('CAMPAIGN MASTER'!$N$5:$N$704,MATCH(SMALL('CAMPAIGN MASTER'!$AW$5:$AW$704,1),'CAMPAIGN MASTER'!$AW$5:$AW$704,0))),"")</f>
        <v/>
      </c>
      <c r="Q124" s="55" t="str">
        <f>IFERROR(IF(INDEX('CAMPAIGN MASTER'!$AG$5:$AG$704,MATCH(SMALL('CAMPAIGN MASTER'!$AW$5:$AW$704,1),'CAMPAIGN MASTER'!$AW$5:$AW$704,0))="","",INDEX('CAMPAIGN MASTER'!$AG$5:$AG$704,MATCH(SMALL('CAMPAIGN MASTER'!$AW$5:$AW$704,1),'CAMPAIGN MASTER'!$AW$5:$AW$704,0))),"")</f>
        <v/>
      </c>
      <c r="R124" s="41" t="n"/>
    </row>
    <row r="125" ht="26" customHeight="1">
      <c r="B125" s="50" t="str">
        <f>IFERROR(IF(INDEX('CAMPAIGN MASTER'!$B$5:$B$704,MATCH(SMALL('CAMPAIGN MASTER'!$AV$5:$AV$704,2),'CAMPAIGN MASTER'!$AV$5:$AV$704,0))="","",INDEX('CAMPAIGN MASTER'!$B$5:$B$704,MATCH(SMALL('CAMPAIGN MASTER'!$AV$5:$AV$704,2),'CAMPAIGN MASTER'!$AV$5:$AV$704,0))),"")</f>
        <v/>
      </c>
      <c r="C125" s="41" t="n"/>
      <c r="D125" s="41" t="n"/>
      <c r="E125" s="50" t="str">
        <f>IFERROR(IF(INDEX('CAMPAIGN MASTER'!$A$5:$A$704,MATCH(SMALL('CAMPAIGN MASTER'!$AV$5:$AV$704,2),'CAMPAIGN MASTER'!$AV$5:$AV$704,0))="","",INDEX('CAMPAIGN MASTER'!$A$5:$A$704,MATCH(SMALL('CAMPAIGN MASTER'!$AV$5:$AV$704,2),'CAMPAIGN MASTER'!$AV$5:$AV$704,0))),"")</f>
        <v/>
      </c>
      <c r="F125" s="50" t="str">
        <f>IFERROR(IF(INDEX('CAMPAIGN MASTER'!$I$5:$I$704,MATCH(SMALL('CAMPAIGN MASTER'!$AV$5:$AV$704,2),'CAMPAIGN MASTER'!$AV$5:$AV$704,0))="","",INDEX('CAMPAIGN MASTER'!$I$5:$I$704,MATCH(SMALL('CAMPAIGN MASTER'!$AV$5:$AV$704,2),'CAMPAIGN MASTER'!$AV$5:$AV$704,0))),"")</f>
        <v/>
      </c>
      <c r="G125" s="52" t="str">
        <f>IFERROR(IF(INDEX('CAMPAIGN MASTER'!$R$5:$R$704,MATCH(SMALL('CAMPAIGN MASTER'!$AV$5:$AV$704,2),'CAMPAIGN MASTER'!$AV$5:$AV$704,0))="","",INDEX('CAMPAIGN MASTER'!$R$5:$R$704,MATCH(SMALL('CAMPAIGN MASTER'!$AV$5:$AV$704,2),'CAMPAIGN MASTER'!$AV$5:$AV$704,0))),"")</f>
        <v/>
      </c>
      <c r="H125" s="52" t="str">
        <f>IFERROR(IF(INDEX('CAMPAIGN MASTER'!$Q$5:$Q$704,MATCH(SMALL('CAMPAIGN MASTER'!$AV$5:$AV$704,2),'CAMPAIGN MASTER'!$AV$5:$AV$704,0))="","",INDEX('CAMPAIGN MASTER'!$Q$5:$Q$704,MATCH(SMALL('CAMPAIGN MASTER'!$AV$5:$AV$704,2),'CAMPAIGN MASTER'!$AV$5:$AV$704,0))),"")</f>
        <v/>
      </c>
      <c r="I125" s="50" t="str">
        <f>IFERROR(IF(INDEX('CAMPAIGN MASTER'!$AA$5:$AA$704,MATCH(SMALL('CAMPAIGN MASTER'!$AV$5:$AV$704,2),'CAMPAIGN MASTER'!$AV$5:$AV$704,0))="","",INDEX('CAMPAIGN MASTER'!$AA$5:$AA$704,MATCH(SMALL('CAMPAIGN MASTER'!$AV$5:$AV$704,2),'CAMPAIGN MASTER'!$AV$5:$AV$704,0))),"")</f>
        <v/>
      </c>
      <c r="K125" s="50" t="str">
        <f>IFERROR(IF(INDEX('CAMPAIGN MASTER'!$B$5:$B$704,MATCH(SMALL('CAMPAIGN MASTER'!$AW$5:$AW$704,2),'CAMPAIGN MASTER'!$AW$5:$AW$704,0))="","",INDEX('CAMPAIGN MASTER'!$B$5:$B$704,MATCH(SMALL('CAMPAIGN MASTER'!$AW$5:$AW$704,2),'CAMPAIGN MASTER'!$AW$5:$AW$704,0))),"")</f>
        <v/>
      </c>
      <c r="L125" s="41" t="n"/>
      <c r="M125" s="41" t="n"/>
      <c r="N125" s="50" t="str">
        <f>IFERROR(IF(INDEX('CAMPAIGN MASTER'!$A$5:$A$704,MATCH(SMALL('CAMPAIGN MASTER'!$AW$5:$AW$704,2),'CAMPAIGN MASTER'!$AW$5:$AW$704,0))="","",INDEX('CAMPAIGN MASTER'!$A$5:$A$704,MATCH(SMALL('CAMPAIGN MASTER'!$AW$5:$AW$704,2),'CAMPAIGN MASTER'!$AW$5:$AW$704,0))),"")</f>
        <v/>
      </c>
      <c r="O125" s="50" t="str">
        <f>IFERROR(IF(INDEX('CAMPAIGN MASTER'!$I$5:$I$704,MATCH(SMALL('CAMPAIGN MASTER'!$AW$5:$AW$704,2),'CAMPAIGN MASTER'!$AW$5:$AW$704,0))="","",INDEX('CAMPAIGN MASTER'!$I$5:$I$704,MATCH(SMALL('CAMPAIGN MASTER'!$AW$5:$AW$704,2),'CAMPAIGN MASTER'!$AW$5:$AW$704,0))),"")</f>
        <v/>
      </c>
      <c r="P125" s="50" t="str">
        <f>IFERROR(IF(INDEX('CAMPAIGN MASTER'!$N$5:$N$704,MATCH(SMALL('CAMPAIGN MASTER'!$AW$5:$AW$704,2),'CAMPAIGN MASTER'!$AW$5:$AW$704,0))="","",INDEX('CAMPAIGN MASTER'!$N$5:$N$704,MATCH(SMALL('CAMPAIGN MASTER'!$AW$5:$AW$704,2),'CAMPAIGN MASTER'!$AW$5:$AW$704,0))),"")</f>
        <v/>
      </c>
      <c r="Q125" s="55" t="str">
        <f>IFERROR(IF(INDEX('CAMPAIGN MASTER'!$AG$5:$AG$704,MATCH(SMALL('CAMPAIGN MASTER'!$AW$5:$AW$704,2),'CAMPAIGN MASTER'!$AW$5:$AW$704,0))="","",INDEX('CAMPAIGN MASTER'!$AG$5:$AG$704,MATCH(SMALL('CAMPAIGN MASTER'!$AW$5:$AW$704,2),'CAMPAIGN MASTER'!$AW$5:$AW$704,0))),"")</f>
        <v/>
      </c>
      <c r="R125" s="41" t="n"/>
    </row>
    <row r="126" ht="26" customHeight="1">
      <c r="B126" s="50" t="str">
        <f>IFERROR(IF(INDEX('CAMPAIGN MASTER'!$B$5:$B$704,MATCH(SMALL('CAMPAIGN MASTER'!$AV$5:$AV$704,3),'CAMPAIGN MASTER'!$AV$5:$AV$704,0))="","",INDEX('CAMPAIGN MASTER'!$B$5:$B$704,MATCH(SMALL('CAMPAIGN MASTER'!$AV$5:$AV$704,3),'CAMPAIGN MASTER'!$AV$5:$AV$704,0))),"")</f>
        <v/>
      </c>
      <c r="C126" s="41" t="n"/>
      <c r="D126" s="41" t="n"/>
      <c r="E126" s="50" t="str">
        <f>IFERROR(IF(INDEX('CAMPAIGN MASTER'!$A$5:$A$704,MATCH(SMALL('CAMPAIGN MASTER'!$AV$5:$AV$704,3),'CAMPAIGN MASTER'!$AV$5:$AV$704,0))="","",INDEX('CAMPAIGN MASTER'!$A$5:$A$704,MATCH(SMALL('CAMPAIGN MASTER'!$AV$5:$AV$704,3),'CAMPAIGN MASTER'!$AV$5:$AV$704,0))),"")</f>
        <v/>
      </c>
      <c r="F126" s="50" t="str">
        <f>IFERROR(IF(INDEX('CAMPAIGN MASTER'!$I$5:$I$704,MATCH(SMALL('CAMPAIGN MASTER'!$AV$5:$AV$704,3),'CAMPAIGN MASTER'!$AV$5:$AV$704,0))="","",INDEX('CAMPAIGN MASTER'!$I$5:$I$704,MATCH(SMALL('CAMPAIGN MASTER'!$AV$5:$AV$704,3),'CAMPAIGN MASTER'!$AV$5:$AV$704,0))),"")</f>
        <v/>
      </c>
      <c r="G126" s="52" t="str">
        <f>IFERROR(IF(INDEX('CAMPAIGN MASTER'!$R$5:$R$704,MATCH(SMALL('CAMPAIGN MASTER'!$AV$5:$AV$704,3),'CAMPAIGN MASTER'!$AV$5:$AV$704,0))="","",INDEX('CAMPAIGN MASTER'!$R$5:$R$704,MATCH(SMALL('CAMPAIGN MASTER'!$AV$5:$AV$704,3),'CAMPAIGN MASTER'!$AV$5:$AV$704,0))),"")</f>
        <v/>
      </c>
      <c r="H126" s="52" t="str">
        <f>IFERROR(IF(INDEX('CAMPAIGN MASTER'!$Q$5:$Q$704,MATCH(SMALL('CAMPAIGN MASTER'!$AV$5:$AV$704,3),'CAMPAIGN MASTER'!$AV$5:$AV$704,0))="","",INDEX('CAMPAIGN MASTER'!$Q$5:$Q$704,MATCH(SMALL('CAMPAIGN MASTER'!$AV$5:$AV$704,3),'CAMPAIGN MASTER'!$AV$5:$AV$704,0))),"")</f>
        <v/>
      </c>
      <c r="I126" s="50" t="str">
        <f>IFERROR(IF(INDEX('CAMPAIGN MASTER'!$AA$5:$AA$704,MATCH(SMALL('CAMPAIGN MASTER'!$AV$5:$AV$704,3),'CAMPAIGN MASTER'!$AV$5:$AV$704,0))="","",INDEX('CAMPAIGN MASTER'!$AA$5:$AA$704,MATCH(SMALL('CAMPAIGN MASTER'!$AV$5:$AV$704,3),'CAMPAIGN MASTER'!$AV$5:$AV$704,0))),"")</f>
        <v/>
      </c>
      <c r="K126" s="50" t="str">
        <f>IFERROR(IF(INDEX('CAMPAIGN MASTER'!$B$5:$B$704,MATCH(SMALL('CAMPAIGN MASTER'!$AW$5:$AW$704,3),'CAMPAIGN MASTER'!$AW$5:$AW$704,0))="","",INDEX('CAMPAIGN MASTER'!$B$5:$B$704,MATCH(SMALL('CAMPAIGN MASTER'!$AW$5:$AW$704,3),'CAMPAIGN MASTER'!$AW$5:$AW$704,0))),"")</f>
        <v/>
      </c>
      <c r="L126" s="41" t="n"/>
      <c r="M126" s="41" t="n"/>
      <c r="N126" s="50" t="str">
        <f>IFERROR(IF(INDEX('CAMPAIGN MASTER'!$A$5:$A$704,MATCH(SMALL('CAMPAIGN MASTER'!$AW$5:$AW$704,3),'CAMPAIGN MASTER'!$AW$5:$AW$704,0))="","",INDEX('CAMPAIGN MASTER'!$A$5:$A$704,MATCH(SMALL('CAMPAIGN MASTER'!$AW$5:$AW$704,3),'CAMPAIGN MASTER'!$AW$5:$AW$704,0))),"")</f>
        <v/>
      </c>
      <c r="O126" s="50" t="str">
        <f>IFERROR(IF(INDEX('CAMPAIGN MASTER'!$I$5:$I$704,MATCH(SMALL('CAMPAIGN MASTER'!$AW$5:$AW$704,3),'CAMPAIGN MASTER'!$AW$5:$AW$704,0))="","",INDEX('CAMPAIGN MASTER'!$I$5:$I$704,MATCH(SMALL('CAMPAIGN MASTER'!$AW$5:$AW$704,3),'CAMPAIGN MASTER'!$AW$5:$AW$704,0))),"")</f>
        <v/>
      </c>
      <c r="P126" s="50" t="str">
        <f>IFERROR(IF(INDEX('CAMPAIGN MASTER'!$N$5:$N$704,MATCH(SMALL('CAMPAIGN MASTER'!$AW$5:$AW$704,3),'CAMPAIGN MASTER'!$AW$5:$AW$704,0))="","",INDEX('CAMPAIGN MASTER'!$N$5:$N$704,MATCH(SMALL('CAMPAIGN MASTER'!$AW$5:$AW$704,3),'CAMPAIGN MASTER'!$AW$5:$AW$704,0))),"")</f>
        <v/>
      </c>
      <c r="Q126" s="55" t="str">
        <f>IFERROR(IF(INDEX('CAMPAIGN MASTER'!$AG$5:$AG$704,MATCH(SMALL('CAMPAIGN MASTER'!$AW$5:$AW$704,3),'CAMPAIGN MASTER'!$AW$5:$AW$704,0))="","",INDEX('CAMPAIGN MASTER'!$AG$5:$AG$704,MATCH(SMALL('CAMPAIGN MASTER'!$AW$5:$AW$704,3),'CAMPAIGN MASTER'!$AW$5:$AW$704,0))),"")</f>
        <v/>
      </c>
      <c r="R126" s="41" t="n"/>
    </row>
    <row r="127" ht="26" customHeight="1">
      <c r="B127" s="50" t="str">
        <f>IFERROR(IF(INDEX('CAMPAIGN MASTER'!$B$5:$B$704,MATCH(SMALL('CAMPAIGN MASTER'!$AV$5:$AV$704,4),'CAMPAIGN MASTER'!$AV$5:$AV$704,0))="","",INDEX('CAMPAIGN MASTER'!$B$5:$B$704,MATCH(SMALL('CAMPAIGN MASTER'!$AV$5:$AV$704,4),'CAMPAIGN MASTER'!$AV$5:$AV$704,0))),"")</f>
        <v/>
      </c>
      <c r="C127" s="41" t="n"/>
      <c r="D127" s="41" t="n"/>
      <c r="E127" s="50" t="str">
        <f>IFERROR(IF(INDEX('CAMPAIGN MASTER'!$A$5:$A$704,MATCH(SMALL('CAMPAIGN MASTER'!$AV$5:$AV$704,4),'CAMPAIGN MASTER'!$AV$5:$AV$704,0))="","",INDEX('CAMPAIGN MASTER'!$A$5:$A$704,MATCH(SMALL('CAMPAIGN MASTER'!$AV$5:$AV$704,4),'CAMPAIGN MASTER'!$AV$5:$AV$704,0))),"")</f>
        <v/>
      </c>
      <c r="F127" s="50" t="str">
        <f>IFERROR(IF(INDEX('CAMPAIGN MASTER'!$I$5:$I$704,MATCH(SMALL('CAMPAIGN MASTER'!$AV$5:$AV$704,4),'CAMPAIGN MASTER'!$AV$5:$AV$704,0))="","",INDEX('CAMPAIGN MASTER'!$I$5:$I$704,MATCH(SMALL('CAMPAIGN MASTER'!$AV$5:$AV$704,4),'CAMPAIGN MASTER'!$AV$5:$AV$704,0))),"")</f>
        <v/>
      </c>
      <c r="G127" s="52" t="str">
        <f>IFERROR(IF(INDEX('CAMPAIGN MASTER'!$R$5:$R$704,MATCH(SMALL('CAMPAIGN MASTER'!$AV$5:$AV$704,4),'CAMPAIGN MASTER'!$AV$5:$AV$704,0))="","",INDEX('CAMPAIGN MASTER'!$R$5:$R$704,MATCH(SMALL('CAMPAIGN MASTER'!$AV$5:$AV$704,4),'CAMPAIGN MASTER'!$AV$5:$AV$704,0))),"")</f>
        <v/>
      </c>
      <c r="H127" s="52" t="str">
        <f>IFERROR(IF(INDEX('CAMPAIGN MASTER'!$Q$5:$Q$704,MATCH(SMALL('CAMPAIGN MASTER'!$AV$5:$AV$704,4),'CAMPAIGN MASTER'!$AV$5:$AV$704,0))="","",INDEX('CAMPAIGN MASTER'!$Q$5:$Q$704,MATCH(SMALL('CAMPAIGN MASTER'!$AV$5:$AV$704,4),'CAMPAIGN MASTER'!$AV$5:$AV$704,0))),"")</f>
        <v/>
      </c>
      <c r="I127" s="50" t="str">
        <f>IFERROR(IF(INDEX('CAMPAIGN MASTER'!$AA$5:$AA$704,MATCH(SMALL('CAMPAIGN MASTER'!$AV$5:$AV$704,4),'CAMPAIGN MASTER'!$AV$5:$AV$704,0))="","",INDEX('CAMPAIGN MASTER'!$AA$5:$AA$704,MATCH(SMALL('CAMPAIGN MASTER'!$AV$5:$AV$704,4),'CAMPAIGN MASTER'!$AV$5:$AV$704,0))),"")</f>
        <v/>
      </c>
      <c r="K127" s="50" t="str">
        <f>IFERROR(IF(INDEX('CAMPAIGN MASTER'!$B$5:$B$704,MATCH(SMALL('CAMPAIGN MASTER'!$AW$5:$AW$704,4),'CAMPAIGN MASTER'!$AW$5:$AW$704,0))="","",INDEX('CAMPAIGN MASTER'!$B$5:$B$704,MATCH(SMALL('CAMPAIGN MASTER'!$AW$5:$AW$704,4),'CAMPAIGN MASTER'!$AW$5:$AW$704,0))),"")</f>
        <v/>
      </c>
      <c r="L127" s="41" t="n"/>
      <c r="M127" s="41" t="n"/>
      <c r="N127" s="50" t="str">
        <f>IFERROR(IF(INDEX('CAMPAIGN MASTER'!$A$5:$A$704,MATCH(SMALL('CAMPAIGN MASTER'!$AW$5:$AW$704,4),'CAMPAIGN MASTER'!$AW$5:$AW$704,0))="","",INDEX('CAMPAIGN MASTER'!$A$5:$A$704,MATCH(SMALL('CAMPAIGN MASTER'!$AW$5:$AW$704,4),'CAMPAIGN MASTER'!$AW$5:$AW$704,0))),"")</f>
        <v/>
      </c>
      <c r="O127" s="50" t="str">
        <f>IFERROR(IF(INDEX('CAMPAIGN MASTER'!$I$5:$I$704,MATCH(SMALL('CAMPAIGN MASTER'!$AW$5:$AW$704,4),'CAMPAIGN MASTER'!$AW$5:$AW$704,0))="","",INDEX('CAMPAIGN MASTER'!$I$5:$I$704,MATCH(SMALL('CAMPAIGN MASTER'!$AW$5:$AW$704,4),'CAMPAIGN MASTER'!$AW$5:$AW$704,0))),"")</f>
        <v/>
      </c>
      <c r="P127" s="50" t="str">
        <f>IFERROR(IF(INDEX('CAMPAIGN MASTER'!$N$5:$N$704,MATCH(SMALL('CAMPAIGN MASTER'!$AW$5:$AW$704,4),'CAMPAIGN MASTER'!$AW$5:$AW$704,0))="","",INDEX('CAMPAIGN MASTER'!$N$5:$N$704,MATCH(SMALL('CAMPAIGN MASTER'!$AW$5:$AW$704,4),'CAMPAIGN MASTER'!$AW$5:$AW$704,0))),"")</f>
        <v/>
      </c>
      <c r="Q127" s="55" t="str">
        <f>IFERROR(IF(INDEX('CAMPAIGN MASTER'!$AG$5:$AG$704,MATCH(SMALL('CAMPAIGN MASTER'!$AW$5:$AW$704,4),'CAMPAIGN MASTER'!$AW$5:$AW$704,0))="","",INDEX('CAMPAIGN MASTER'!$AG$5:$AG$704,MATCH(SMALL('CAMPAIGN MASTER'!$AW$5:$AW$704,4),'CAMPAIGN MASTER'!$AW$5:$AW$704,0))),"")</f>
        <v/>
      </c>
      <c r="R127" s="41" t="n"/>
    </row>
    <row r="128" ht="26" customHeight="1">
      <c r="B128" s="50" t="str">
        <f>IFERROR(IF(INDEX('CAMPAIGN MASTER'!$B$5:$B$704,MATCH(SMALL('CAMPAIGN MASTER'!$AV$5:$AV$704,5),'CAMPAIGN MASTER'!$AV$5:$AV$704,0))="","",INDEX('CAMPAIGN MASTER'!$B$5:$B$704,MATCH(SMALL('CAMPAIGN MASTER'!$AV$5:$AV$704,5),'CAMPAIGN MASTER'!$AV$5:$AV$704,0))),"")</f>
        <v/>
      </c>
      <c r="C128" s="41" t="n"/>
      <c r="D128" s="41" t="n"/>
      <c r="E128" s="50" t="str">
        <f>IFERROR(IF(INDEX('CAMPAIGN MASTER'!$A$5:$A$704,MATCH(SMALL('CAMPAIGN MASTER'!$AV$5:$AV$704,5),'CAMPAIGN MASTER'!$AV$5:$AV$704,0))="","",INDEX('CAMPAIGN MASTER'!$A$5:$A$704,MATCH(SMALL('CAMPAIGN MASTER'!$AV$5:$AV$704,5),'CAMPAIGN MASTER'!$AV$5:$AV$704,0))),"")</f>
        <v/>
      </c>
      <c r="F128" s="50" t="str">
        <f>IFERROR(IF(INDEX('CAMPAIGN MASTER'!$I$5:$I$704,MATCH(SMALL('CAMPAIGN MASTER'!$AV$5:$AV$704,5),'CAMPAIGN MASTER'!$AV$5:$AV$704,0))="","",INDEX('CAMPAIGN MASTER'!$I$5:$I$704,MATCH(SMALL('CAMPAIGN MASTER'!$AV$5:$AV$704,5),'CAMPAIGN MASTER'!$AV$5:$AV$704,0))),"")</f>
        <v/>
      </c>
      <c r="G128" s="52" t="str">
        <f>IFERROR(IF(INDEX('CAMPAIGN MASTER'!$R$5:$R$704,MATCH(SMALL('CAMPAIGN MASTER'!$AV$5:$AV$704,5),'CAMPAIGN MASTER'!$AV$5:$AV$704,0))="","",INDEX('CAMPAIGN MASTER'!$R$5:$R$704,MATCH(SMALL('CAMPAIGN MASTER'!$AV$5:$AV$704,5),'CAMPAIGN MASTER'!$AV$5:$AV$704,0))),"")</f>
        <v/>
      </c>
      <c r="H128" s="52" t="str">
        <f>IFERROR(IF(INDEX('CAMPAIGN MASTER'!$Q$5:$Q$704,MATCH(SMALL('CAMPAIGN MASTER'!$AV$5:$AV$704,5),'CAMPAIGN MASTER'!$AV$5:$AV$704,0))="","",INDEX('CAMPAIGN MASTER'!$Q$5:$Q$704,MATCH(SMALL('CAMPAIGN MASTER'!$AV$5:$AV$704,5),'CAMPAIGN MASTER'!$AV$5:$AV$704,0))),"")</f>
        <v/>
      </c>
      <c r="I128" s="50" t="str">
        <f>IFERROR(IF(INDEX('CAMPAIGN MASTER'!$AA$5:$AA$704,MATCH(SMALL('CAMPAIGN MASTER'!$AV$5:$AV$704,5),'CAMPAIGN MASTER'!$AV$5:$AV$704,0))="","",INDEX('CAMPAIGN MASTER'!$AA$5:$AA$704,MATCH(SMALL('CAMPAIGN MASTER'!$AV$5:$AV$704,5),'CAMPAIGN MASTER'!$AV$5:$AV$704,0))),"")</f>
        <v/>
      </c>
      <c r="K128" s="50" t="str">
        <f>IFERROR(IF(INDEX('CAMPAIGN MASTER'!$B$5:$B$704,MATCH(SMALL('CAMPAIGN MASTER'!$AW$5:$AW$704,5),'CAMPAIGN MASTER'!$AW$5:$AW$704,0))="","",INDEX('CAMPAIGN MASTER'!$B$5:$B$704,MATCH(SMALL('CAMPAIGN MASTER'!$AW$5:$AW$704,5),'CAMPAIGN MASTER'!$AW$5:$AW$704,0))),"")</f>
        <v/>
      </c>
      <c r="L128" s="41" t="n"/>
      <c r="M128" s="41" t="n"/>
      <c r="N128" s="50" t="str">
        <f>IFERROR(IF(INDEX('CAMPAIGN MASTER'!$A$5:$A$704,MATCH(SMALL('CAMPAIGN MASTER'!$AW$5:$AW$704,5),'CAMPAIGN MASTER'!$AW$5:$AW$704,0))="","",INDEX('CAMPAIGN MASTER'!$A$5:$A$704,MATCH(SMALL('CAMPAIGN MASTER'!$AW$5:$AW$704,5),'CAMPAIGN MASTER'!$AW$5:$AW$704,0))),"")</f>
        <v/>
      </c>
      <c r="O128" s="50" t="str">
        <f>IFERROR(IF(INDEX('CAMPAIGN MASTER'!$I$5:$I$704,MATCH(SMALL('CAMPAIGN MASTER'!$AW$5:$AW$704,5),'CAMPAIGN MASTER'!$AW$5:$AW$704,0))="","",INDEX('CAMPAIGN MASTER'!$I$5:$I$704,MATCH(SMALL('CAMPAIGN MASTER'!$AW$5:$AW$704,5),'CAMPAIGN MASTER'!$AW$5:$AW$704,0))),"")</f>
        <v/>
      </c>
      <c r="P128" s="50" t="str">
        <f>IFERROR(IF(INDEX('CAMPAIGN MASTER'!$N$5:$N$704,MATCH(SMALL('CAMPAIGN MASTER'!$AW$5:$AW$704,5),'CAMPAIGN MASTER'!$AW$5:$AW$704,0))="","",INDEX('CAMPAIGN MASTER'!$N$5:$N$704,MATCH(SMALL('CAMPAIGN MASTER'!$AW$5:$AW$704,5),'CAMPAIGN MASTER'!$AW$5:$AW$704,0))),"")</f>
        <v/>
      </c>
      <c r="Q128" s="55" t="str">
        <f>IFERROR(IF(INDEX('CAMPAIGN MASTER'!$AG$5:$AG$704,MATCH(SMALL('CAMPAIGN MASTER'!$AW$5:$AW$704,5),'CAMPAIGN MASTER'!$AW$5:$AW$704,0))="","",INDEX('CAMPAIGN MASTER'!$AG$5:$AG$704,MATCH(SMALL('CAMPAIGN MASTER'!$AW$5:$AW$704,5),'CAMPAIGN MASTER'!$AW$5:$AW$704,0))),"")</f>
        <v/>
      </c>
      <c r="R128" s="41" t="n"/>
    </row>
    <row r="129" ht="26" customHeight="1">
      <c r="B129" s="50" t="str">
        <f>IFERROR(IF(INDEX('CAMPAIGN MASTER'!$B$5:$B$704,MATCH(SMALL('CAMPAIGN MASTER'!$AV$5:$AV$704,6),'CAMPAIGN MASTER'!$AV$5:$AV$704,0))="","",INDEX('CAMPAIGN MASTER'!$B$5:$B$704,MATCH(SMALL('CAMPAIGN MASTER'!$AV$5:$AV$704,6),'CAMPAIGN MASTER'!$AV$5:$AV$704,0))),"")</f>
        <v/>
      </c>
      <c r="C129" s="41" t="n"/>
      <c r="D129" s="41" t="n"/>
      <c r="E129" s="50" t="str">
        <f>IFERROR(IF(INDEX('CAMPAIGN MASTER'!$A$5:$A$704,MATCH(SMALL('CAMPAIGN MASTER'!$AV$5:$AV$704,6),'CAMPAIGN MASTER'!$AV$5:$AV$704,0))="","",INDEX('CAMPAIGN MASTER'!$A$5:$A$704,MATCH(SMALL('CAMPAIGN MASTER'!$AV$5:$AV$704,6),'CAMPAIGN MASTER'!$AV$5:$AV$704,0))),"")</f>
        <v/>
      </c>
      <c r="F129" s="50" t="str">
        <f>IFERROR(IF(INDEX('CAMPAIGN MASTER'!$I$5:$I$704,MATCH(SMALL('CAMPAIGN MASTER'!$AV$5:$AV$704,6),'CAMPAIGN MASTER'!$AV$5:$AV$704,0))="","",INDEX('CAMPAIGN MASTER'!$I$5:$I$704,MATCH(SMALL('CAMPAIGN MASTER'!$AV$5:$AV$704,6),'CAMPAIGN MASTER'!$AV$5:$AV$704,0))),"")</f>
        <v/>
      </c>
      <c r="G129" s="52" t="str">
        <f>IFERROR(IF(INDEX('CAMPAIGN MASTER'!$R$5:$R$704,MATCH(SMALL('CAMPAIGN MASTER'!$AV$5:$AV$704,6),'CAMPAIGN MASTER'!$AV$5:$AV$704,0))="","",INDEX('CAMPAIGN MASTER'!$R$5:$R$704,MATCH(SMALL('CAMPAIGN MASTER'!$AV$5:$AV$704,6),'CAMPAIGN MASTER'!$AV$5:$AV$704,0))),"")</f>
        <v/>
      </c>
      <c r="H129" s="52" t="str">
        <f>IFERROR(IF(INDEX('CAMPAIGN MASTER'!$Q$5:$Q$704,MATCH(SMALL('CAMPAIGN MASTER'!$AV$5:$AV$704,6),'CAMPAIGN MASTER'!$AV$5:$AV$704,0))="","",INDEX('CAMPAIGN MASTER'!$Q$5:$Q$704,MATCH(SMALL('CAMPAIGN MASTER'!$AV$5:$AV$704,6),'CAMPAIGN MASTER'!$AV$5:$AV$704,0))),"")</f>
        <v/>
      </c>
      <c r="I129" s="50" t="str">
        <f>IFERROR(IF(INDEX('CAMPAIGN MASTER'!$AA$5:$AA$704,MATCH(SMALL('CAMPAIGN MASTER'!$AV$5:$AV$704,6),'CAMPAIGN MASTER'!$AV$5:$AV$704,0))="","",INDEX('CAMPAIGN MASTER'!$AA$5:$AA$704,MATCH(SMALL('CAMPAIGN MASTER'!$AV$5:$AV$704,6),'CAMPAIGN MASTER'!$AV$5:$AV$704,0))),"")</f>
        <v/>
      </c>
      <c r="K129" s="50" t="str">
        <f>IFERROR(IF(INDEX('CAMPAIGN MASTER'!$B$5:$B$704,MATCH(SMALL('CAMPAIGN MASTER'!$AW$5:$AW$704,6),'CAMPAIGN MASTER'!$AW$5:$AW$704,0))="","",INDEX('CAMPAIGN MASTER'!$B$5:$B$704,MATCH(SMALL('CAMPAIGN MASTER'!$AW$5:$AW$704,6),'CAMPAIGN MASTER'!$AW$5:$AW$704,0))),"")</f>
        <v/>
      </c>
      <c r="L129" s="41" t="n"/>
      <c r="M129" s="41" t="n"/>
      <c r="N129" s="50" t="str">
        <f>IFERROR(IF(INDEX('CAMPAIGN MASTER'!$A$5:$A$704,MATCH(SMALL('CAMPAIGN MASTER'!$AW$5:$AW$704,6),'CAMPAIGN MASTER'!$AW$5:$AW$704,0))="","",INDEX('CAMPAIGN MASTER'!$A$5:$A$704,MATCH(SMALL('CAMPAIGN MASTER'!$AW$5:$AW$704,6),'CAMPAIGN MASTER'!$AW$5:$AW$704,0))),"")</f>
        <v/>
      </c>
      <c r="O129" s="50" t="str">
        <f>IFERROR(IF(INDEX('CAMPAIGN MASTER'!$I$5:$I$704,MATCH(SMALL('CAMPAIGN MASTER'!$AW$5:$AW$704,6),'CAMPAIGN MASTER'!$AW$5:$AW$704,0))="","",INDEX('CAMPAIGN MASTER'!$I$5:$I$704,MATCH(SMALL('CAMPAIGN MASTER'!$AW$5:$AW$704,6),'CAMPAIGN MASTER'!$AW$5:$AW$704,0))),"")</f>
        <v/>
      </c>
      <c r="P129" s="50" t="str">
        <f>IFERROR(IF(INDEX('CAMPAIGN MASTER'!$N$5:$N$704,MATCH(SMALL('CAMPAIGN MASTER'!$AW$5:$AW$704,6),'CAMPAIGN MASTER'!$AW$5:$AW$704,0))="","",INDEX('CAMPAIGN MASTER'!$N$5:$N$704,MATCH(SMALL('CAMPAIGN MASTER'!$AW$5:$AW$704,6),'CAMPAIGN MASTER'!$AW$5:$AW$704,0))),"")</f>
        <v/>
      </c>
      <c r="Q129" s="55" t="str">
        <f>IFERROR(IF(INDEX('CAMPAIGN MASTER'!$AG$5:$AG$704,MATCH(SMALL('CAMPAIGN MASTER'!$AW$5:$AW$704,6),'CAMPAIGN MASTER'!$AW$5:$AW$704,0))="","",INDEX('CAMPAIGN MASTER'!$AG$5:$AG$704,MATCH(SMALL('CAMPAIGN MASTER'!$AW$5:$AW$704,6),'CAMPAIGN MASTER'!$AW$5:$AW$704,0))),"")</f>
        <v/>
      </c>
      <c r="R129" s="41" t="n"/>
    </row>
    <row r="133">
      <c r="B133" s="56" t="inlineStr">
        <is>
          <t>Questions Q8 and Q9 (leads / MQLs generated) are answered in the Lead Generation Snapshot and the KPI cards above.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90">
    <mergeCell ref="G38:I38"/>
    <mergeCell ref="G81:H81"/>
    <mergeCell ref="B100:C100"/>
    <mergeCell ref="D76:F76"/>
    <mergeCell ref="O65:Q65"/>
    <mergeCell ref="Q125:R125"/>
    <mergeCell ref="F29:G29"/>
    <mergeCell ref="P76:Q76"/>
    <mergeCell ref="F25:G25"/>
    <mergeCell ref="K104:L104"/>
    <mergeCell ref="D66:F66"/>
    <mergeCell ref="B44:D44"/>
    <mergeCell ref="H55:I55"/>
    <mergeCell ref="D55:G55"/>
    <mergeCell ref="B102:C102"/>
    <mergeCell ref="H113:I113"/>
    <mergeCell ref="M81:O81"/>
    <mergeCell ref="Q127:R127"/>
    <mergeCell ref="P84:Q84"/>
    <mergeCell ref="B34:D34"/>
    <mergeCell ref="H118:I118"/>
    <mergeCell ref="B28:D28"/>
    <mergeCell ref="M70:N70"/>
    <mergeCell ref="B37:D37"/>
    <mergeCell ref="D59:G59"/>
    <mergeCell ref="D60:G60"/>
    <mergeCell ref="B111:I111"/>
    <mergeCell ref="O70:Q70"/>
    <mergeCell ref="P80:Q80"/>
    <mergeCell ref="B101:C101"/>
    <mergeCell ref="K99:L99"/>
    <mergeCell ref="D92:F92"/>
    <mergeCell ref="K22:R22"/>
    <mergeCell ref="H108:I108"/>
    <mergeCell ref="M76:O76"/>
    <mergeCell ref="B17:I17"/>
    <mergeCell ref="B8:R8"/>
    <mergeCell ref="E34:F34"/>
    <mergeCell ref="K111:R111"/>
    <mergeCell ref="D94:F94"/>
    <mergeCell ref="K86:R86"/>
    <mergeCell ref="F23:G23"/>
    <mergeCell ref="Q99:R99"/>
    <mergeCell ref="K124:M124"/>
    <mergeCell ref="D4:E4"/>
    <mergeCell ref="E36:F36"/>
    <mergeCell ref="B125:D125"/>
    <mergeCell ref="H105:I105"/>
    <mergeCell ref="K97:R97"/>
    <mergeCell ref="G36:I36"/>
    <mergeCell ref="M55:O55"/>
    <mergeCell ref="B104:C104"/>
    <mergeCell ref="D80:F80"/>
    <mergeCell ref="H62:I62"/>
    <mergeCell ref="K101:L101"/>
    <mergeCell ref="K123:M123"/>
    <mergeCell ref="H23:I23"/>
    <mergeCell ref="G84:H84"/>
    <mergeCell ref="H107:I107"/>
    <mergeCell ref="P79:Q79"/>
    <mergeCell ref="B106:C106"/>
    <mergeCell ref="D62:G62"/>
    <mergeCell ref="D56:G56"/>
    <mergeCell ref="M94:O94"/>
    <mergeCell ref="G77:H77"/>
    <mergeCell ref="B75:I75"/>
    <mergeCell ref="D58:G58"/>
    <mergeCell ref="G37:I37"/>
    <mergeCell ref="H54:I54"/>
    <mergeCell ref="M84:O84"/>
    <mergeCell ref="B22:I22"/>
    <mergeCell ref="D91:F91"/>
    <mergeCell ref="H102:I102"/>
    <mergeCell ref="H56:I56"/>
    <mergeCell ref="H25:I25"/>
    <mergeCell ref="M80:O80"/>
    <mergeCell ref="M95:O95"/>
    <mergeCell ref="E38:F38"/>
    <mergeCell ref="M73:N73"/>
    <mergeCell ref="B86:I86"/>
    <mergeCell ref="M89:O89"/>
    <mergeCell ref="Q102:R102"/>
    <mergeCell ref="H117:I117"/>
    <mergeCell ref="D93:F93"/>
    <mergeCell ref="F5:G5"/>
    <mergeCell ref="M57:O57"/>
    <mergeCell ref="K106:L106"/>
    <mergeCell ref="D68:F68"/>
    <mergeCell ref="E40:F40"/>
    <mergeCell ref="D83:F83"/>
    <mergeCell ref="P77:Q77"/>
    <mergeCell ref="B1:R1"/>
    <mergeCell ref="K75:R75"/>
    <mergeCell ref="B13:I13"/>
    <mergeCell ref="M65:N65"/>
    <mergeCell ref="O72:Q72"/>
    <mergeCell ref="B36:D36"/>
    <mergeCell ref="D67:F67"/>
    <mergeCell ref="K105:L105"/>
    <mergeCell ref="B124:D124"/>
    <mergeCell ref="B45:D45"/>
    <mergeCell ref="B103:C103"/>
    <mergeCell ref="K128:M128"/>
    <mergeCell ref="M56:O56"/>
    <mergeCell ref="K98:L98"/>
    <mergeCell ref="F28:G28"/>
    <mergeCell ref="B126:D126"/>
    <mergeCell ref="H28:I28"/>
    <mergeCell ref="M58:O58"/>
    <mergeCell ref="D69:F69"/>
    <mergeCell ref="K107:L107"/>
    <mergeCell ref="B47:D47"/>
    <mergeCell ref="Q105:R105"/>
    <mergeCell ref="Q123:R123"/>
    <mergeCell ref="P78:Q78"/>
    <mergeCell ref="K53:R53"/>
    <mergeCell ref="D61:G61"/>
    <mergeCell ref="B64:I64"/>
    <mergeCell ref="K113:M113"/>
    <mergeCell ref="B46:D46"/>
    <mergeCell ref="H104:I104"/>
    <mergeCell ref="G76:H76"/>
    <mergeCell ref="K114:M114"/>
    <mergeCell ref="Q107:R107"/>
    <mergeCell ref="M66:N66"/>
    <mergeCell ref="H5:I5"/>
    <mergeCell ref="Q104:R104"/>
    <mergeCell ref="B39:D39"/>
    <mergeCell ref="K13:R13"/>
    <mergeCell ref="B48:D48"/>
    <mergeCell ref="D95:F95"/>
    <mergeCell ref="H106:I106"/>
    <mergeCell ref="F4:G4"/>
    <mergeCell ref="Q100:R100"/>
    <mergeCell ref="M68:N68"/>
    <mergeCell ref="B23:D23"/>
    <mergeCell ref="Q124:R124"/>
    <mergeCell ref="Q106:R106"/>
    <mergeCell ref="K5:L5"/>
    <mergeCell ref="M67:N67"/>
    <mergeCell ref="M5:N5"/>
    <mergeCell ref="G34:I34"/>
    <mergeCell ref="O69:Q69"/>
    <mergeCell ref="H58:I58"/>
    <mergeCell ref="D78:F78"/>
    <mergeCell ref="E39:F39"/>
    <mergeCell ref="B105:C105"/>
    <mergeCell ref="Q126:R126"/>
    <mergeCell ref="D87:F87"/>
    <mergeCell ref="K64:R64"/>
    <mergeCell ref="M77:O77"/>
    <mergeCell ref="K117:M117"/>
    <mergeCell ref="B128:D128"/>
    <mergeCell ref="M69:N69"/>
    <mergeCell ref="O5:P5"/>
    <mergeCell ref="D71:F71"/>
    <mergeCell ref="Q5:R5"/>
    <mergeCell ref="B12:R12"/>
    <mergeCell ref="B49:D49"/>
    <mergeCell ref="H60:I60"/>
    <mergeCell ref="B98:C98"/>
    <mergeCell ref="B107:C107"/>
    <mergeCell ref="Q103:R103"/>
    <mergeCell ref="M61:O61"/>
    <mergeCell ref="O4:P4"/>
    <mergeCell ref="M62:O62"/>
    <mergeCell ref="Q4:R4"/>
    <mergeCell ref="D73:F73"/>
    <mergeCell ref="G78:H78"/>
    <mergeCell ref="K116:M116"/>
    <mergeCell ref="D82:F82"/>
    <mergeCell ref="K125:M125"/>
    <mergeCell ref="O67:Q67"/>
    <mergeCell ref="B114:D114"/>
    <mergeCell ref="P83:Q83"/>
    <mergeCell ref="P82:Q82"/>
    <mergeCell ref="H100:I100"/>
    <mergeCell ref="K112:M112"/>
    <mergeCell ref="B123:D123"/>
    <mergeCell ref="B35:D35"/>
    <mergeCell ref="G80:H80"/>
    <mergeCell ref="G40:I40"/>
    <mergeCell ref="B99:C99"/>
    <mergeCell ref="H57:I57"/>
    <mergeCell ref="Q98:R98"/>
    <mergeCell ref="B108:C108"/>
    <mergeCell ref="K118:M118"/>
    <mergeCell ref="M87:O87"/>
    <mergeCell ref="B113:D113"/>
    <mergeCell ref="K127:M127"/>
    <mergeCell ref="B25:D25"/>
    <mergeCell ref="G79:H79"/>
    <mergeCell ref="K17:R17"/>
    <mergeCell ref="M59:O59"/>
    <mergeCell ref="B5:C5"/>
    <mergeCell ref="D84:F84"/>
    <mergeCell ref="B115:D115"/>
    <mergeCell ref="D5:E5"/>
    <mergeCell ref="M79:O79"/>
    <mergeCell ref="M71:N71"/>
    <mergeCell ref="M88:O88"/>
    <mergeCell ref="M82:O82"/>
    <mergeCell ref="B32:I32"/>
    <mergeCell ref="B4:C4"/>
    <mergeCell ref="M60:O60"/>
    <mergeCell ref="D77:F77"/>
    <mergeCell ref="B117:D117"/>
    <mergeCell ref="B97:I97"/>
    <mergeCell ref="K129:M129"/>
    <mergeCell ref="M54:O54"/>
    <mergeCell ref="H103:I103"/>
    <mergeCell ref="H29:I29"/>
    <mergeCell ref="M90:O90"/>
    <mergeCell ref="E33:F33"/>
    <mergeCell ref="K108:L108"/>
    <mergeCell ref="H112:I112"/>
    <mergeCell ref="D70:F70"/>
    <mergeCell ref="K115:M115"/>
    <mergeCell ref="H4:I4"/>
    <mergeCell ref="B116:D116"/>
    <mergeCell ref="B29:D29"/>
    <mergeCell ref="B122:I122"/>
    <mergeCell ref="B38:D38"/>
    <mergeCell ref="G33:I33"/>
    <mergeCell ref="B43:I43"/>
    <mergeCell ref="D72:F72"/>
    <mergeCell ref="E35:F35"/>
    <mergeCell ref="D54:G54"/>
    <mergeCell ref="G82:H82"/>
    <mergeCell ref="H59:I59"/>
    <mergeCell ref="F24:G24"/>
    <mergeCell ref="B112:D112"/>
    <mergeCell ref="H114:I114"/>
    <mergeCell ref="B52:R52"/>
    <mergeCell ref="O71:Q71"/>
    <mergeCell ref="P81:Q81"/>
    <mergeCell ref="K100:L100"/>
    <mergeCell ref="B118:D118"/>
    <mergeCell ref="H98:I98"/>
    <mergeCell ref="K122:R122"/>
    <mergeCell ref="B127:D127"/>
    <mergeCell ref="B40:D40"/>
    <mergeCell ref="B2:R2"/>
    <mergeCell ref="G35:I35"/>
    <mergeCell ref="H61:I61"/>
    <mergeCell ref="F26:G26"/>
    <mergeCell ref="M91:O91"/>
    <mergeCell ref="B24:D24"/>
    <mergeCell ref="O73:Q73"/>
    <mergeCell ref="K102:L102"/>
    <mergeCell ref="B33:D33"/>
    <mergeCell ref="G83:H83"/>
    <mergeCell ref="B53:I53"/>
    <mergeCell ref="D89:F89"/>
    <mergeCell ref="H115:I115"/>
    <mergeCell ref="M93:O93"/>
    <mergeCell ref="O66:Q66"/>
    <mergeCell ref="D79:F79"/>
    <mergeCell ref="B26:D26"/>
    <mergeCell ref="D88:F88"/>
    <mergeCell ref="H99:I99"/>
    <mergeCell ref="D57:G57"/>
    <mergeCell ref="M83:O83"/>
    <mergeCell ref="F27:G27"/>
    <mergeCell ref="B129:D129"/>
    <mergeCell ref="Q129:R129"/>
    <mergeCell ref="H27:I27"/>
    <mergeCell ref="M92:O92"/>
    <mergeCell ref="O68:Q68"/>
    <mergeCell ref="D81:F81"/>
    <mergeCell ref="Q108:R108"/>
    <mergeCell ref="B30:I30"/>
    <mergeCell ref="D90:F90"/>
    <mergeCell ref="H101:I101"/>
    <mergeCell ref="H24:I24"/>
    <mergeCell ref="K103:L103"/>
    <mergeCell ref="D65:F65"/>
    <mergeCell ref="M72:N72"/>
    <mergeCell ref="B6:R6"/>
    <mergeCell ref="G39:I39"/>
    <mergeCell ref="B27:D27"/>
    <mergeCell ref="E37:F37"/>
    <mergeCell ref="Q101:R101"/>
    <mergeCell ref="H116:I116"/>
    <mergeCell ref="K126:M126"/>
    <mergeCell ref="Q128:R128"/>
    <mergeCell ref="K4:L4"/>
    <mergeCell ref="M4:N4"/>
    <mergeCell ref="M78:O78"/>
    <mergeCell ref="H26:I26"/>
  </mergeCells>
  <conditionalFormatting sqref="K10">
    <cfRule type="cellIs" priority="1" operator="greaterThan" dxfId="0">
      <formula>0</formula>
    </cfRule>
  </conditionalFormatting>
  <conditionalFormatting sqref="L10">
    <cfRule type="cellIs" priority="2" operator="greaterThan" dxfId="1">
      <formula>0</formula>
    </cfRule>
  </conditionalFormatting>
  <conditionalFormatting sqref="F19">
    <cfRule type="cellIs" priority="3" operator="greaterThan" dxfId="1">
      <formula>0</formula>
    </cfRule>
  </conditionalFormatting>
  <conditionalFormatting sqref="E15">
    <cfRule type="cellIs" priority="4" operator="greaterThan" dxfId="0">
      <formula>0</formula>
    </cfRule>
  </conditionalFormatting>
  <conditionalFormatting sqref="F15">
    <cfRule type="cellIs" priority="5" operator="greaterThan" dxfId="1">
      <formula>0</formula>
    </cfRule>
  </conditionalFormatting>
  <conditionalFormatting sqref="E99:E108">
    <cfRule type="cellIs" priority="6" operator="greaterThan" dxfId="2">
      <formula>0</formula>
    </cfRule>
  </conditionalFormatting>
  <conditionalFormatting sqref="F99:F108">
    <cfRule type="cellIs" priority="7" operator="greaterThan" dxfId="1">
      <formula>0</formula>
    </cfRule>
  </conditionalFormatting>
  <dataValidations count="8">
    <dataValidation sqref="B5" showDropDown="0" showInputMessage="0" showErrorMessage="1" allowBlank="1" errorTitle="Invalid date" error="Enter a valid date, e.g. 05-Oct-2026." type="date" operator="greaterThan">
      <formula1>36526</formula1>
    </dataValidation>
    <dataValidation sqref="D5" showDropDown="0" showInputMessage="0" showErrorMessage="1" allowBlank="1" errorTitle="Pick from list" error="Please choose a value from the dropdown (lists are maintained in MASTER DATA / CLIENT MASTER / CAMPAIGN MASTER)." type="list" errorStyle="stop">
      <formula1>=lst_FMonth</formula1>
    </dataValidation>
    <dataValidation sqref="F5" showDropDown="0" showInputMessage="0" showErrorMessage="1" allowBlank="1" errorTitle="Pick from list" error="Please choose a value from the dropdown (lists are maintained in MASTER DATA / CLIENT MASTER / CAMPAIGN MASTER)." type="list" errorStyle="stop">
      <formula1>=lst_FClient</formula1>
    </dataValidation>
    <dataValidation sqref="H5" showDropDown="0" showInputMessage="0" showErrorMessage="1" allowBlank="1" errorTitle="Pick from list" error="Please choose a value from the dropdown (lists are maintained in MASTER DATA / CLIENT MASTER / CAMPAIGN MASTER)." type="list" errorStyle="stop">
      <formula1>=lst_FCampaign</formula1>
    </dataValidation>
    <dataValidation sqref="K5" showDropDown="0" showInputMessage="0" showErrorMessage="1" allowBlank="1" errorTitle="Pick from list" error="Please choose a value from the dropdown (lists are maintained in MASTER DATA / CLIENT MASTER / CAMPAIGN MASTER)." type="list" errorStyle="stop">
      <formula1>=lst_FTeam</formula1>
    </dataValidation>
    <dataValidation sqref="M5" showDropDown="0" showInputMessage="0" showErrorMessage="1" allowBlank="1" errorTitle="Pick from list" error="Please choose a value from the dropdown (lists are maintained in MASTER DATA / CLIENT MASTER / CAMPAIGN MASTER)." type="list" errorStyle="stop">
      <formula1>=lst_FChannel</formula1>
    </dataValidation>
    <dataValidation sqref="O5" showDropDown="0" showInputMessage="0" showErrorMessage="1" allowBlank="1" errorTitle="Pick from list" error="Please choose a value from the dropdown (lists are maintained in MASTER DATA / CLIENT MASTER / CAMPAIGN MASTER)." type="list" errorStyle="stop">
      <formula1>=lst_FTStatus</formula1>
    </dataValidation>
    <dataValidation sqref="Q5" showDropDown="0" showInputMessage="0" showErrorMessage="1" allowBlank="1" errorTitle="Pick from list" error="Please choose a value from the dropdown (lists are maintained in MASTER DATA / CLIENT MASTER / CAMPAIGN MASTER)." type="list" errorStyle="stop">
      <formula1>=lst_FCStatus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BL1004"/>
  <sheetViews>
    <sheetView showGridLines="0" tabSelected="0" zoomScale="9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30" customWidth="1" min="4" max="4"/>
    <col width="18" customWidth="1" min="5" max="5"/>
    <col width="18" customWidth="1" min="6" max="6"/>
    <col width="38" customWidth="1" min="7" max="7"/>
    <col width="30" customWidth="1" min="8" max="8"/>
    <col width="10" customWidth="1" min="9" max="9"/>
    <col width="16" customWidth="1" min="10" max="10"/>
    <col width="11" customWidth="1" min="11" max="11"/>
    <col width="11" customWidth="1" min="12" max="12"/>
    <col width="13" customWidth="1" min="13" max="13"/>
    <col width="10" customWidth="1" min="14" max="14"/>
    <col width="26" customWidth="1" min="15" max="15"/>
    <col width="18" customWidth="1" min="16" max="16"/>
    <col width="10" customWidth="1" min="17" max="17"/>
    <col width="10" customWidth="1" min="18" max="18"/>
    <col width="10" customWidth="1" min="19" max="19"/>
    <col width="24" customWidth="1" min="20" max="20"/>
    <col width="20" customWidth="1" min="21" max="21"/>
    <col width="26" customWidth="1" min="22" max="22"/>
    <col width="12" customWidth="1" min="23" max="23"/>
    <col width="28" customWidth="1" min="24" max="24"/>
    <col width="11" customWidth="1" min="25" max="25"/>
    <col width="12" customWidth="1" min="26" max="26"/>
    <col width="12" customWidth="1" min="27" max="27"/>
    <col width="24" customWidth="1" min="28" max="28"/>
    <col width="9" customWidth="1" min="29" max="29"/>
    <col width="9" customWidth="1" min="30" max="30"/>
    <col width="10" customWidth="1" min="31" max="31"/>
    <col width="12" customWidth="1" min="32" max="32"/>
    <col width="18" customWidth="1" min="33" max="33"/>
    <col hidden="1" outlineLevel="1" width="10" customWidth="1" min="34" max="64"/>
  </cols>
  <sheetData>
    <row r="1" ht="30" customHeight="1">
      <c r="A1" s="57" t="inlineStr">
        <is>
          <t>DAILY ACTIVITY / TASK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8" t="inlineStr">
        <is>
          <t>BLUE cells = team enters data   |   GREY cells = automatic formulas (do not edit)   |   Add one row per task per day/update. Status, Due Date and Last Updated drive all alerts.</t>
        </is>
      </c>
    </row>
    <row r="3">
      <c r="A3" s="59" t="inlineStr">
        <is>
          <t>Example: 05-Oct-26 | Surbhi Pandey | SAP | SAP Viksit Bharat | Campaign Execution | Content Syndication | Deploy mailer batch 2 | ... | High | Rajesh | ... | 09-Oct-26 | In Progress | 50% ...</t>
        </is>
      </c>
    </row>
    <row r="4" ht="34" customHeight="1">
      <c r="A4" s="60" t="inlineStr">
        <is>
          <t>Date</t>
        </is>
      </c>
      <c r="B4" s="60" t="inlineStr">
        <is>
          <t>Team Member</t>
        </is>
      </c>
      <c r="C4" s="60" t="inlineStr">
        <is>
          <t>Client</t>
        </is>
      </c>
      <c r="D4" s="60" t="inlineStr">
        <is>
          <t>Campaign</t>
        </is>
      </c>
      <c r="E4" s="60" t="inlineStr">
        <is>
          <t>Workstream</t>
        </is>
      </c>
      <c r="F4" s="60" t="inlineStr">
        <is>
          <t>Channel</t>
        </is>
      </c>
      <c r="G4" s="60" t="inlineStr">
        <is>
          <t>Activity / Task</t>
        </is>
      </c>
      <c r="H4" s="60" t="inlineStr">
        <is>
          <t>Task Description</t>
        </is>
      </c>
      <c r="I4" s="60" t="inlineStr">
        <is>
          <t>Priority</t>
        </is>
      </c>
      <c r="J4" s="60" t="inlineStr">
        <is>
          <t>Assigned By</t>
        </is>
      </c>
      <c r="K4" s="60" t="inlineStr">
        <is>
          <t>Start Date</t>
        </is>
      </c>
      <c r="L4" s="60" t="inlineStr">
        <is>
          <t>Due Date</t>
        </is>
      </c>
      <c r="M4" s="60" t="inlineStr">
        <is>
          <t>Status</t>
        </is>
      </c>
      <c r="N4" s="60" t="inlineStr">
        <is>
          <t>% Complete</t>
        </is>
      </c>
      <c r="O4" s="60" t="inlineStr">
        <is>
          <t>Output / Result</t>
        </is>
      </c>
      <c r="P4" s="60" t="inlineStr">
        <is>
          <t>KPI / Metric</t>
        </is>
      </c>
      <c r="Q4" s="60" t="inlineStr">
        <is>
          <t>Actual Result</t>
        </is>
      </c>
      <c r="R4" s="60" t="inlineStr">
        <is>
          <t>Target</t>
        </is>
      </c>
      <c r="S4" s="61" t="inlineStr">
        <is>
          <t>Variance</t>
        </is>
      </c>
      <c r="T4" s="60" t="inlineStr">
        <is>
          <t>Blocker</t>
        </is>
      </c>
      <c r="U4" s="60" t="inlineStr">
        <is>
          <t>Dependency</t>
        </is>
      </c>
      <c r="V4" s="60" t="inlineStr">
        <is>
          <t>Next Action</t>
        </is>
      </c>
      <c r="W4" s="60" t="inlineStr">
        <is>
          <t>Next Action Date</t>
        </is>
      </c>
      <c r="X4" s="60" t="inlineStr">
        <is>
          <t>Remarks</t>
        </is>
      </c>
      <c r="Y4" s="60" t="inlineStr">
        <is>
          <t>Last Updated</t>
        </is>
      </c>
      <c r="Z4" s="60" t="inlineStr">
        <is>
          <t>Needs Manager Decision?</t>
        </is>
      </c>
      <c r="AA4" s="60" t="inlineStr">
        <is>
          <t>Escalate to Rajesh?</t>
        </is>
      </c>
      <c r="AB4" s="60" t="inlineStr">
        <is>
          <t>Target Note (as provided)</t>
        </is>
      </c>
      <c r="AC4" s="61" t="inlineStr">
        <is>
          <t>Days Open</t>
        </is>
      </c>
      <c r="AD4" s="61" t="inlineStr">
        <is>
          <t>Days Overdue</t>
        </is>
      </c>
      <c r="AE4" s="61" t="inlineStr">
        <is>
          <t>Completion %</t>
        </is>
      </c>
      <c r="AF4" s="61" t="inlineStr">
        <is>
          <t>Target Achievement %</t>
        </is>
      </c>
      <c r="AG4" s="61" t="inlineStr">
        <is>
          <t>Alert</t>
        </is>
      </c>
      <c r="AH4" s="62" t="inlineStr">
        <is>
          <t>Month Key</t>
        </is>
      </c>
      <c r="AI4" s="62" t="inlineStr">
        <is>
          <t>In Dashboard Filter</t>
        </is>
      </c>
      <c r="AJ4" s="62" t="inlineStr">
        <is>
          <t>In List Filter</t>
        </is>
      </c>
      <c r="AK4" s="62" t="inlineStr">
        <is>
          <t>Open</t>
        </is>
      </c>
      <c r="AL4" s="62" t="inlineStr">
        <is>
          <t>Overdue</t>
        </is>
      </c>
      <c r="AM4" s="62" t="inlineStr">
        <is>
          <t>Blocked</t>
        </is>
      </c>
      <c r="AN4" s="62" t="inlineStr">
        <is>
          <t>Due Today</t>
        </is>
      </c>
      <c r="AO4" s="62" t="inlineStr">
        <is>
          <t>Due Tomorrow</t>
        </is>
      </c>
      <c r="AP4" s="62" t="inlineStr">
        <is>
          <t>Due Soon</t>
        </is>
      </c>
      <c r="AQ4" s="62" t="inlineStr">
        <is>
          <t>High Priority Pending</t>
        </is>
      </c>
      <c r="AR4" s="62" t="inlineStr">
        <is>
          <t>Stale</t>
        </is>
      </c>
      <c r="AS4" s="62" t="inlineStr">
        <is>
          <t>Missed Target</t>
        </is>
      </c>
      <c r="AT4" s="62" t="inlineStr">
        <is>
          <t>Planned Today</t>
        </is>
      </c>
      <c r="AU4" s="62" t="inlineStr">
        <is>
          <t>Planned Tomorrow</t>
        </is>
      </c>
      <c r="AV4" s="62" t="inlineStr">
        <is>
          <t>Completed Yesterday</t>
        </is>
      </c>
      <c r="AW4" s="62" t="inlineStr">
        <is>
          <t>Decision Needed</t>
        </is>
      </c>
      <c r="AX4" s="62" t="inlineStr">
        <is>
          <t>Escalate</t>
        </is>
      </c>
      <c r="AY4" s="62" t="inlineStr">
        <is>
          <t>High Priority Blocker</t>
        </is>
      </c>
      <c r="AZ4" s="62" t="inlineStr">
        <is>
          <t>TCL Open</t>
        </is>
      </c>
      <c r="BA4" s="62" t="inlineStr">
        <is>
          <t>Priority Score</t>
        </is>
      </c>
      <c r="BB4" s="62" t="inlineStr">
        <is>
          <t>Sort key overdue</t>
        </is>
      </c>
      <c r="BC4" s="62" t="inlineStr">
        <is>
          <t>Sort key blocked</t>
        </is>
      </c>
      <c r="BD4" s="62" t="inlineStr">
        <is>
          <t>Sort key soon</t>
        </is>
      </c>
      <c r="BE4" s="62" t="inlineStr">
        <is>
          <t>Sort key plantoday</t>
        </is>
      </c>
      <c r="BF4" s="62" t="inlineStr">
        <is>
          <t>Sort key plantom</t>
        </is>
      </c>
      <c r="BG4" s="62" t="inlineStr">
        <is>
          <t>Sort key yday</t>
        </is>
      </c>
      <c r="BH4" s="62" t="inlineStr">
        <is>
          <t>Sort key dec</t>
        </is>
      </c>
      <c r="BI4" s="62" t="inlineStr">
        <is>
          <t>Sort key esc</t>
        </is>
      </c>
      <c r="BJ4" s="62" t="inlineStr">
        <is>
          <t>Sort key missed</t>
        </is>
      </c>
      <c r="BK4" s="62" t="inlineStr">
        <is>
          <t>Sort key highblock</t>
        </is>
      </c>
      <c r="BL4" s="62" t="inlineStr">
        <is>
          <t>Sort key tcl</t>
        </is>
      </c>
    </row>
    <row r="5">
      <c r="A5" s="63" t="n"/>
      <c r="B5" s="64" t="inlineStr">
        <is>
          <t>Surbhi Pandey</t>
        </is>
      </c>
      <c r="C5" s="64" t="inlineStr">
        <is>
          <t>SAP</t>
        </is>
      </c>
      <c r="D5" s="64" t="inlineStr">
        <is>
          <t>SAP Partner Campaign - Citek</t>
        </is>
      </c>
      <c r="E5" s="64" t="inlineStr">
        <is>
          <t>Campaign Execution</t>
        </is>
      </c>
      <c r="F5" s="64" t="inlineStr">
        <is>
          <t>Content Syndication</t>
        </is>
      </c>
      <c r="G5" s="65" t="inlineStr">
        <is>
          <t>Content Syndication - Email</t>
        </is>
      </c>
      <c r="H5" s="65" t="n"/>
      <c r="I5" s="64" t="n"/>
      <c r="J5" s="64" t="n"/>
      <c r="K5" s="63" t="n"/>
      <c r="L5" s="63" t="n"/>
      <c r="M5" s="64" t="n"/>
      <c r="N5" s="66" t="n"/>
      <c r="O5" s="65" t="n"/>
      <c r="P5" s="64" t="n"/>
      <c r="Q5" s="67" t="n"/>
      <c r="R5" s="67" t="n"/>
      <c r="S5" s="68" t="str">
        <f>IF(AND(ISNUMBER($Q5),ISNUMBER($R5)),$Q5-$R5,"")</f>
        <v/>
      </c>
      <c r="T5" s="65" t="n"/>
      <c r="U5" s="64" t="n"/>
      <c r="V5" s="65" t="n"/>
      <c r="W5" s="63" t="n"/>
      <c r="X5" s="65" t="inlineStr">
        <is>
          <t>Baseline: status not provided.</t>
        </is>
      </c>
      <c r="Y5" s="63" t="n"/>
      <c r="Z5" s="64" t="n"/>
      <c r="AA5" s="64" t="n"/>
      <c r="AB5" s="65" t="n"/>
      <c r="AC5" s="69" t="str">
        <f>IF(OR($G5="",NOT(ISNUMBER($K5)),$AK5=0),"",MAX(0,ReportDate-$K5))</f>
        <v/>
      </c>
      <c r="AD5" s="69">
        <f>IF($G5="","",IF($AL5=1,ReportDate-$L5,0))</f>
        <v>0</v>
      </c>
      <c r="AE5" s="70">
        <f>IF($G5="","",IF($M5="Completed",1,IF(ISNUMBER($N5),$N5,0)))</f>
        <v>0</v>
      </c>
      <c r="AF5" s="70" t="str">
        <f>IF(AND(ISNUMBER($Q5),ISNUMBER($R5)),IF($R5&lt;&gt;0,$Q5/$R5,""),"")</f>
        <v/>
      </c>
      <c r="AG5" s="71" t="str">
        <f>IF($G5="","",IF($AL5=1,"OVERDUE",IF($AM5=1,"BLOCKED",IF($AN5=1,"DUE TODAY",IF($AO5=1,"DUE TOMORROW",IF($AQ5=1,"HIGH PRIORITY",IF($AR5=1,"NO RECENT UPDATE",""))))))) </f>
        <v>NO RECENT UPDATE</v>
      </c>
      <c r="AH5" s="71" t="str">
        <f>IF($G5="","",IF(ISNUMBER($A5),IF(ISNUMBER($A5),YEAR($A5)&amp;"-"&amp;TEXT(MONTH($A5),"00"),""),IF(ISNUMBER($L5),IF(ISNUMBER($L5),YEAR($L5)&amp;"-"&amp;TEXT(MONTH($L5),"00"),""),"")))</f>
        <v/>
      </c>
      <c r="AI5" s="71">
        <f>IF($G5="",0,IF(AND(OR(fClient="All",$C5=fClient),OR(fCampaign="All",$D5=fCampaign),OR(fTeam="All",$B5=fTeam),OR(fChannel="All",$F5=fChannel),OR(fMonth="All",$AH5=fMonth),OR(fTStatus="All",$M5=fTStatus)),1,0))</f>
        <v>1</v>
      </c>
      <c r="AJ5" s="71">
        <f>IF($G5="",0,IF(AND(OR(fClient="All",$C5=fClient),OR(fCampaign="All",$D5=fCampaign),OR(fTeam="All",$B5=fTeam),OR(fChannel="All",$F5=fChannel)),1,0))</f>
        <v>1</v>
      </c>
      <c r="AK5" s="71">
        <f>IF($G5="",0,IF(OR($M5="Completed",$M5="Cancelled"),0,1))</f>
        <v>1</v>
      </c>
      <c r="AL5" s="71">
        <f>IF(AND($AK5=1,ISNUMBER($L5)),IF($L5&lt;ReportDate,1,0),0)</f>
        <v>0</v>
      </c>
      <c r="AM5" s="71">
        <f>IF(AND($G5&lt;&gt;"",$M5="Blocked"),1,0)</f>
        <v>0</v>
      </c>
      <c r="AN5" s="71">
        <f>IF(AND($AK5=1,ISNUMBER($L5)),IF($L5=ReportDate,1,0),0)</f>
        <v>0</v>
      </c>
      <c r="AO5" s="71">
        <f>IF(AND($AK5=1,ISNUMBER($L5)),IF($L5=ReportDate+1,1,0),0)</f>
        <v>0</v>
      </c>
      <c r="AP5" s="71">
        <f>IF(AND($AK5=1,ISNUMBER($L5)),IF(AND($L5&gt;=ReportDate,$L5&lt;=ReportDate+DueSoonDays),1,0),0)</f>
        <v>0</v>
      </c>
      <c r="AQ5" s="71">
        <f>IF(AND($AK5=1,OR($I5="Critical",$I5="High")),1,0)</f>
        <v>0</v>
      </c>
      <c r="AR5" s="71">
        <f>IF($AK5=1,IF(ISNUMBER($Y5),IF(ReportDate-$Y5&gt;StaleDays,1,0),1),0)</f>
        <v>1</v>
      </c>
      <c r="AS5" s="71">
        <f>IF(AND($G5&lt;&gt;"",ISNUMBER($Q5),ISNUMBER($R5)),IF(AND($Q5&lt;$R5,OR($M5="Completed",AND(ISNUMBER($L5),$L5&lt;ReportDate))),1,0),0)</f>
        <v>0</v>
      </c>
      <c r="AT5" s="71">
        <f>IF($AK5=1,IF(OR($L5=ReportDate,$W5=ReportDate,$K5=ReportDate,$A5=ReportDate),1,0),0)</f>
        <v>0</v>
      </c>
      <c r="AU5" s="71">
        <f>IF($AK5=1,IF(OR($L5=ReportDate+1,$W5=ReportDate+1,$K5=ReportDate+1,$A5=ReportDate+1),1,0),0)</f>
        <v>0</v>
      </c>
      <c r="AV5" s="71">
        <f>IF(AND($G5&lt;&gt;"",$M5="Completed"),IF(OR($Y5=ReportDate-1,$A5=ReportDate-1),1,0),0)</f>
        <v>0</v>
      </c>
      <c r="AW5" s="71">
        <f>IF(AND($AK5=1,$Z5="Yes"),1,0)</f>
        <v>0</v>
      </c>
      <c r="AX5" s="71">
        <f>IF(AND($AK5=1,$AA5="Yes"),1,0)</f>
        <v>0</v>
      </c>
      <c r="AY5" s="71">
        <f>IF(AND($AM5=1,OR($I5="Critical",$I5="High")),1,0)</f>
        <v>0</v>
      </c>
      <c r="AZ5" s="71">
        <f>IF(AND($AK5=1,OR($C5=TCL_Client,$C5=MECCA_Client)),1,0)</f>
        <v>0</v>
      </c>
      <c r="BA5" s="71">
        <f>IF($G5="","",IFERROR(MATCH($I5,lst_Priority,0),5))</f>
        <v>5</v>
      </c>
      <c r="BB5" s="71" t="str">
        <f>IF(AND($AL5=1,$AJ5=1),$BA5*100000+ROW(),"")</f>
        <v/>
      </c>
      <c r="BC5" s="71" t="str">
        <f>IF(AND($AM5=1,$AJ5=1),$BA5*100000+ROW(),"")</f>
        <v/>
      </c>
      <c r="BD5" s="71" t="str">
        <f>IF(AND($AP5=1,$AJ5=1),$BA5*100000+ROW(),"")</f>
        <v/>
      </c>
      <c r="BE5" s="71" t="str">
        <f>IF(AND($AT5=1,$AJ5=1),$BA5*100000+ROW(),"")</f>
        <v/>
      </c>
      <c r="BF5" s="71" t="str">
        <f>IF(AND($AU5=1,$AJ5=1),$BA5*100000+ROW(),"")</f>
        <v/>
      </c>
      <c r="BG5" s="71" t="str">
        <f>IF(AND($AV5=1,$AJ5=1),$BA5*100000+ROW(),"")</f>
        <v/>
      </c>
      <c r="BH5" s="71" t="str">
        <f>IF(AND($AW5=1,$AJ5=1),$BA5*100000+ROW(),"")</f>
        <v/>
      </c>
      <c r="BI5" s="71" t="str">
        <f>IF(AND($AX5=1,$AJ5=1),$BA5*100000+ROW(),"")</f>
        <v/>
      </c>
      <c r="BJ5" s="71" t="str">
        <f>IF(AND($AS5=1,$AJ5=1),$BA5*100000+ROW(),"")</f>
        <v/>
      </c>
      <c r="BK5" s="71" t="str">
        <f>IF(AND($AY5=1,$AJ5=1),$BA5*100000+ROW(),"")</f>
        <v/>
      </c>
      <c r="BL5" s="71" t="str">
        <f>IF(AND($AZ5=1),$BA5*100000+ROW(),"")</f>
        <v/>
      </c>
    </row>
    <row r="6">
      <c r="A6" s="63" t="n"/>
      <c r="B6" s="64" t="inlineStr">
        <is>
          <t>Surbhi Pandey</t>
        </is>
      </c>
      <c r="C6" s="64" t="inlineStr">
        <is>
          <t>SAP</t>
        </is>
      </c>
      <c r="D6" s="64" t="inlineStr">
        <is>
          <t>SAP Partner Campaign - Apptech</t>
        </is>
      </c>
      <c r="E6" s="64" t="inlineStr">
        <is>
          <t>Campaign Execution</t>
        </is>
      </c>
      <c r="F6" s="64" t="inlineStr">
        <is>
          <t>Content Syndication</t>
        </is>
      </c>
      <c r="G6" s="65" t="inlineStr">
        <is>
          <t>Content Syndication - Email</t>
        </is>
      </c>
      <c r="H6" s="65" t="n"/>
      <c r="I6" s="64" t="n"/>
      <c r="J6" s="64" t="n"/>
      <c r="K6" s="63" t="n"/>
      <c r="L6" s="63" t="n"/>
      <c r="M6" s="64" t="n"/>
      <c r="N6" s="66" t="n"/>
      <c r="O6" s="65" t="n"/>
      <c r="P6" s="64" t="n"/>
      <c r="Q6" s="67" t="n"/>
      <c r="R6" s="67" t="n"/>
      <c r="S6" s="68" t="str">
        <f>IF(AND(ISNUMBER($Q6),ISNUMBER($R6)),$Q6-$R6,"")</f>
        <v/>
      </c>
      <c r="T6" s="65" t="n"/>
      <c r="U6" s="64" t="n"/>
      <c r="V6" s="65" t="n"/>
      <c r="W6" s="63" t="n"/>
      <c r="X6" s="65" t="inlineStr">
        <is>
          <t>Baseline: status not provided.</t>
        </is>
      </c>
      <c r="Y6" s="63" t="n"/>
      <c r="Z6" s="64" t="n"/>
      <c r="AA6" s="64" t="n"/>
      <c r="AB6" s="65" t="n"/>
      <c r="AC6" s="69" t="str">
        <f>IF(OR($G6="",NOT(ISNUMBER($K6)),$AK6=0),"",MAX(0,ReportDate-$K6))</f>
        <v/>
      </c>
      <c r="AD6" s="69">
        <f>IF($G6="","",IF($AL6=1,ReportDate-$L6,0))</f>
        <v>0</v>
      </c>
      <c r="AE6" s="70">
        <f>IF($G6="","",IF($M6="Completed",1,IF(ISNUMBER($N6),$N6,0)))</f>
        <v>0</v>
      </c>
      <c r="AF6" s="70" t="str">
        <f>IF(AND(ISNUMBER($Q6),ISNUMBER($R6)),IF($R6&lt;&gt;0,$Q6/$R6,""),"")</f>
        <v/>
      </c>
      <c r="AG6" s="71" t="str">
        <f>IF($G6="","",IF($AL6=1,"OVERDUE",IF($AM6=1,"BLOCKED",IF($AN6=1,"DUE TODAY",IF($AO6=1,"DUE TOMORROW",IF($AQ6=1,"HIGH PRIORITY",IF($AR6=1,"NO RECENT UPDATE",""))))))) </f>
        <v>NO RECENT UPDATE</v>
      </c>
      <c r="AH6" s="71" t="str">
        <f>IF($G6="","",IF(ISNUMBER($A6),IF(ISNUMBER($A6),YEAR($A6)&amp;"-"&amp;TEXT(MONTH($A6),"00"),""),IF(ISNUMBER($L6),IF(ISNUMBER($L6),YEAR($L6)&amp;"-"&amp;TEXT(MONTH($L6),"00"),""),"")))</f>
        <v/>
      </c>
      <c r="AI6" s="71">
        <f>IF($G6="",0,IF(AND(OR(fClient="All",$C6=fClient),OR(fCampaign="All",$D6=fCampaign),OR(fTeam="All",$B6=fTeam),OR(fChannel="All",$F6=fChannel),OR(fMonth="All",$AH6=fMonth),OR(fTStatus="All",$M6=fTStatus)),1,0))</f>
        <v>1</v>
      </c>
      <c r="AJ6" s="71">
        <f>IF($G6="",0,IF(AND(OR(fClient="All",$C6=fClient),OR(fCampaign="All",$D6=fCampaign),OR(fTeam="All",$B6=fTeam),OR(fChannel="All",$F6=fChannel)),1,0))</f>
        <v>1</v>
      </c>
      <c r="AK6" s="71">
        <f>IF($G6="",0,IF(OR($M6="Completed",$M6="Cancelled"),0,1))</f>
        <v>1</v>
      </c>
      <c r="AL6" s="71">
        <f>IF(AND($AK6=1,ISNUMBER($L6)),IF($L6&lt;ReportDate,1,0),0)</f>
        <v>0</v>
      </c>
      <c r="AM6" s="71">
        <f>IF(AND($G6&lt;&gt;"",$M6="Blocked"),1,0)</f>
        <v>0</v>
      </c>
      <c r="AN6" s="71">
        <f>IF(AND($AK6=1,ISNUMBER($L6)),IF($L6=ReportDate,1,0),0)</f>
        <v>0</v>
      </c>
      <c r="AO6" s="71">
        <f>IF(AND($AK6=1,ISNUMBER($L6)),IF($L6=ReportDate+1,1,0),0)</f>
        <v>0</v>
      </c>
      <c r="AP6" s="71">
        <f>IF(AND($AK6=1,ISNUMBER($L6)),IF(AND($L6&gt;=ReportDate,$L6&lt;=ReportDate+DueSoonDays),1,0),0)</f>
        <v>0</v>
      </c>
      <c r="AQ6" s="71">
        <f>IF(AND($AK6=1,OR($I6="Critical",$I6="High")),1,0)</f>
        <v>0</v>
      </c>
      <c r="AR6" s="71">
        <f>IF($AK6=1,IF(ISNUMBER($Y6),IF(ReportDate-$Y6&gt;StaleDays,1,0),1),0)</f>
        <v>1</v>
      </c>
      <c r="AS6" s="71">
        <f>IF(AND($G6&lt;&gt;"",ISNUMBER($Q6),ISNUMBER($R6)),IF(AND($Q6&lt;$R6,OR($M6="Completed",AND(ISNUMBER($L6),$L6&lt;ReportDate))),1,0),0)</f>
        <v>0</v>
      </c>
      <c r="AT6" s="71">
        <f>IF($AK6=1,IF(OR($L6=ReportDate,$W6=ReportDate,$K6=ReportDate,$A6=ReportDate),1,0),0)</f>
        <v>0</v>
      </c>
      <c r="AU6" s="71">
        <f>IF($AK6=1,IF(OR($L6=ReportDate+1,$W6=ReportDate+1,$K6=ReportDate+1,$A6=ReportDate+1),1,0),0)</f>
        <v>0</v>
      </c>
      <c r="AV6" s="71">
        <f>IF(AND($G6&lt;&gt;"",$M6="Completed"),IF(OR($Y6=ReportDate-1,$A6=ReportDate-1),1,0),0)</f>
        <v>0</v>
      </c>
      <c r="AW6" s="71">
        <f>IF(AND($AK6=1,$Z6="Yes"),1,0)</f>
        <v>0</v>
      </c>
      <c r="AX6" s="71">
        <f>IF(AND($AK6=1,$AA6="Yes"),1,0)</f>
        <v>0</v>
      </c>
      <c r="AY6" s="71">
        <f>IF(AND($AM6=1,OR($I6="Critical",$I6="High")),1,0)</f>
        <v>0</v>
      </c>
      <c r="AZ6" s="71">
        <f>IF(AND($AK6=1,OR($C6=TCL_Client,$C6=MECCA_Client)),1,0)</f>
        <v>0</v>
      </c>
      <c r="BA6" s="71">
        <f>IF($G6="","",IFERROR(MATCH($I6,lst_Priority,0),5))</f>
        <v>5</v>
      </c>
      <c r="BB6" s="71" t="str">
        <f>IF(AND($AL6=1,$AJ6=1),$BA6*100000+ROW(),"")</f>
        <v/>
      </c>
      <c r="BC6" s="71" t="str">
        <f>IF(AND($AM6=1,$AJ6=1),$BA6*100000+ROW(),"")</f>
        <v/>
      </c>
      <c r="BD6" s="71" t="str">
        <f>IF(AND($AP6=1,$AJ6=1),$BA6*100000+ROW(),"")</f>
        <v/>
      </c>
      <c r="BE6" s="71" t="str">
        <f>IF(AND($AT6=1,$AJ6=1),$BA6*100000+ROW(),"")</f>
        <v/>
      </c>
      <c r="BF6" s="71" t="str">
        <f>IF(AND($AU6=1,$AJ6=1),$BA6*100000+ROW(),"")</f>
        <v/>
      </c>
      <c r="BG6" s="71" t="str">
        <f>IF(AND($AV6=1,$AJ6=1),$BA6*100000+ROW(),"")</f>
        <v/>
      </c>
      <c r="BH6" s="71" t="str">
        <f>IF(AND($AW6=1,$AJ6=1),$BA6*100000+ROW(),"")</f>
        <v/>
      </c>
      <c r="BI6" s="71" t="str">
        <f>IF(AND($AX6=1,$AJ6=1),$BA6*100000+ROW(),"")</f>
        <v/>
      </c>
      <c r="BJ6" s="71" t="str">
        <f>IF(AND($AS6=1,$AJ6=1),$BA6*100000+ROW(),"")</f>
        <v/>
      </c>
      <c r="BK6" s="71" t="str">
        <f>IF(AND($AY6=1,$AJ6=1),$BA6*100000+ROW(),"")</f>
        <v/>
      </c>
      <c r="BL6" s="71" t="str">
        <f>IF(AND($AZ6=1),$BA6*100000+ROW(),"")</f>
        <v/>
      </c>
    </row>
    <row r="7">
      <c r="A7" s="63" t="n"/>
      <c r="B7" s="64" t="inlineStr">
        <is>
          <t>Surbhi Pandey</t>
        </is>
      </c>
      <c r="C7" s="64" t="inlineStr">
        <is>
          <t>SAP</t>
        </is>
      </c>
      <c r="D7" s="64" t="inlineStr">
        <is>
          <t>SAP Partner Campaign - Netizen</t>
        </is>
      </c>
      <c r="E7" s="64" t="inlineStr">
        <is>
          <t>Campaign Execution</t>
        </is>
      </c>
      <c r="F7" s="64" t="inlineStr">
        <is>
          <t>Content Syndication</t>
        </is>
      </c>
      <c r="G7" s="65" t="inlineStr">
        <is>
          <t>Content Syndication - Email</t>
        </is>
      </c>
      <c r="H7" s="65" t="n"/>
      <c r="I7" s="64" t="n"/>
      <c r="J7" s="64" t="n"/>
      <c r="K7" s="63" t="n"/>
      <c r="L7" s="63" t="n"/>
      <c r="M7" s="64" t="n"/>
      <c r="N7" s="66" t="n"/>
      <c r="O7" s="65" t="n"/>
      <c r="P7" s="64" t="n"/>
      <c r="Q7" s="67" t="n"/>
      <c r="R7" s="67" t="n"/>
      <c r="S7" s="68" t="str">
        <f>IF(AND(ISNUMBER($Q7),ISNUMBER($R7)),$Q7-$R7,"")</f>
        <v/>
      </c>
      <c r="T7" s="65" t="n"/>
      <c r="U7" s="64" t="n"/>
      <c r="V7" s="65" t="n"/>
      <c r="W7" s="63" t="n"/>
      <c r="X7" s="65" t="inlineStr">
        <is>
          <t>Baseline: status not provided.</t>
        </is>
      </c>
      <c r="Y7" s="63" t="n"/>
      <c r="Z7" s="64" t="n"/>
      <c r="AA7" s="64" t="n"/>
      <c r="AB7" s="65" t="n"/>
      <c r="AC7" s="69" t="str">
        <f>IF(OR($G7="",NOT(ISNUMBER($K7)),$AK7=0),"",MAX(0,ReportDate-$K7))</f>
        <v/>
      </c>
      <c r="AD7" s="69">
        <f>IF($G7="","",IF($AL7=1,ReportDate-$L7,0))</f>
        <v>0</v>
      </c>
      <c r="AE7" s="70">
        <f>IF($G7="","",IF($M7="Completed",1,IF(ISNUMBER($N7),$N7,0)))</f>
        <v>0</v>
      </c>
      <c r="AF7" s="70" t="str">
        <f>IF(AND(ISNUMBER($Q7),ISNUMBER($R7)),IF($R7&lt;&gt;0,$Q7/$R7,""),"")</f>
        <v/>
      </c>
      <c r="AG7" s="71" t="str">
        <f>IF($G7="","",IF($AL7=1,"OVERDUE",IF($AM7=1,"BLOCKED",IF($AN7=1,"DUE TODAY",IF($AO7=1,"DUE TOMORROW",IF($AQ7=1,"HIGH PRIORITY",IF($AR7=1,"NO RECENT UPDATE",""))))))) </f>
        <v>NO RECENT UPDATE</v>
      </c>
      <c r="AH7" s="71" t="str">
        <f>IF($G7="","",IF(ISNUMBER($A7),IF(ISNUMBER($A7),YEAR($A7)&amp;"-"&amp;TEXT(MONTH($A7),"00"),""),IF(ISNUMBER($L7),IF(ISNUMBER($L7),YEAR($L7)&amp;"-"&amp;TEXT(MONTH($L7),"00"),""),"")))</f>
        <v/>
      </c>
      <c r="AI7" s="71">
        <f>IF($G7="",0,IF(AND(OR(fClient="All",$C7=fClient),OR(fCampaign="All",$D7=fCampaign),OR(fTeam="All",$B7=fTeam),OR(fChannel="All",$F7=fChannel),OR(fMonth="All",$AH7=fMonth),OR(fTStatus="All",$M7=fTStatus)),1,0))</f>
        <v>1</v>
      </c>
      <c r="AJ7" s="71">
        <f>IF($G7="",0,IF(AND(OR(fClient="All",$C7=fClient),OR(fCampaign="All",$D7=fCampaign),OR(fTeam="All",$B7=fTeam),OR(fChannel="All",$F7=fChannel)),1,0))</f>
        <v>1</v>
      </c>
      <c r="AK7" s="71">
        <f>IF($G7="",0,IF(OR($M7="Completed",$M7="Cancelled"),0,1))</f>
        <v>1</v>
      </c>
      <c r="AL7" s="71">
        <f>IF(AND($AK7=1,ISNUMBER($L7)),IF($L7&lt;ReportDate,1,0),0)</f>
        <v>0</v>
      </c>
      <c r="AM7" s="71">
        <f>IF(AND($G7&lt;&gt;"",$M7="Blocked"),1,0)</f>
        <v>0</v>
      </c>
      <c r="AN7" s="71">
        <f>IF(AND($AK7=1,ISNUMBER($L7)),IF($L7=ReportDate,1,0),0)</f>
        <v>0</v>
      </c>
      <c r="AO7" s="71">
        <f>IF(AND($AK7=1,ISNUMBER($L7)),IF($L7=ReportDate+1,1,0),0)</f>
        <v>0</v>
      </c>
      <c r="AP7" s="71">
        <f>IF(AND($AK7=1,ISNUMBER($L7)),IF(AND($L7&gt;=ReportDate,$L7&lt;=ReportDate+DueSoonDays),1,0),0)</f>
        <v>0</v>
      </c>
      <c r="AQ7" s="71">
        <f>IF(AND($AK7=1,OR($I7="Critical",$I7="High")),1,0)</f>
        <v>0</v>
      </c>
      <c r="AR7" s="71">
        <f>IF($AK7=1,IF(ISNUMBER($Y7),IF(ReportDate-$Y7&gt;StaleDays,1,0),1),0)</f>
        <v>1</v>
      </c>
      <c r="AS7" s="71">
        <f>IF(AND($G7&lt;&gt;"",ISNUMBER($Q7),ISNUMBER($R7)),IF(AND($Q7&lt;$R7,OR($M7="Completed",AND(ISNUMBER($L7),$L7&lt;ReportDate))),1,0),0)</f>
        <v>0</v>
      </c>
      <c r="AT7" s="71">
        <f>IF($AK7=1,IF(OR($L7=ReportDate,$W7=ReportDate,$K7=ReportDate,$A7=ReportDate),1,0),0)</f>
        <v>0</v>
      </c>
      <c r="AU7" s="71">
        <f>IF($AK7=1,IF(OR($L7=ReportDate+1,$W7=ReportDate+1,$K7=ReportDate+1,$A7=ReportDate+1),1,0),0)</f>
        <v>0</v>
      </c>
      <c r="AV7" s="71">
        <f>IF(AND($G7&lt;&gt;"",$M7="Completed"),IF(OR($Y7=ReportDate-1,$A7=ReportDate-1),1,0),0)</f>
        <v>0</v>
      </c>
      <c r="AW7" s="71">
        <f>IF(AND($AK7=1,$Z7="Yes"),1,0)</f>
        <v>0</v>
      </c>
      <c r="AX7" s="71">
        <f>IF(AND($AK7=1,$AA7="Yes"),1,0)</f>
        <v>0</v>
      </c>
      <c r="AY7" s="71">
        <f>IF(AND($AM7=1,OR($I7="Critical",$I7="High")),1,0)</f>
        <v>0</v>
      </c>
      <c r="AZ7" s="71">
        <f>IF(AND($AK7=1,OR($C7=TCL_Client,$C7=MECCA_Client)),1,0)</f>
        <v>0</v>
      </c>
      <c r="BA7" s="71">
        <f>IF($G7="","",IFERROR(MATCH($I7,lst_Priority,0),5))</f>
        <v>5</v>
      </c>
      <c r="BB7" s="71" t="str">
        <f>IF(AND($AL7=1,$AJ7=1),$BA7*100000+ROW(),"")</f>
        <v/>
      </c>
      <c r="BC7" s="71" t="str">
        <f>IF(AND($AM7=1,$AJ7=1),$BA7*100000+ROW(),"")</f>
        <v/>
      </c>
      <c r="BD7" s="71" t="str">
        <f>IF(AND($AP7=1,$AJ7=1),$BA7*100000+ROW(),"")</f>
        <v/>
      </c>
      <c r="BE7" s="71" t="str">
        <f>IF(AND($AT7=1,$AJ7=1),$BA7*100000+ROW(),"")</f>
        <v/>
      </c>
      <c r="BF7" s="71" t="str">
        <f>IF(AND($AU7=1,$AJ7=1),$BA7*100000+ROW(),"")</f>
        <v/>
      </c>
      <c r="BG7" s="71" t="str">
        <f>IF(AND($AV7=1,$AJ7=1),$BA7*100000+ROW(),"")</f>
        <v/>
      </c>
      <c r="BH7" s="71" t="str">
        <f>IF(AND($AW7=1,$AJ7=1),$BA7*100000+ROW(),"")</f>
        <v/>
      </c>
      <c r="BI7" s="71" t="str">
        <f>IF(AND($AX7=1,$AJ7=1),$BA7*100000+ROW(),"")</f>
        <v/>
      </c>
      <c r="BJ7" s="71" t="str">
        <f>IF(AND($AS7=1,$AJ7=1),$BA7*100000+ROW(),"")</f>
        <v/>
      </c>
      <c r="BK7" s="71" t="str">
        <f>IF(AND($AY7=1,$AJ7=1),$BA7*100000+ROW(),"")</f>
        <v/>
      </c>
      <c r="BL7" s="71" t="str">
        <f>IF(AND($AZ7=1),$BA7*100000+ROW(),"")</f>
        <v/>
      </c>
    </row>
    <row r="8">
      <c r="A8" s="63" t="n"/>
      <c r="B8" s="64" t="inlineStr">
        <is>
          <t>Surbhi Pandey</t>
        </is>
      </c>
      <c r="C8" s="64" t="inlineStr">
        <is>
          <t>SAP</t>
        </is>
      </c>
      <c r="D8" s="64" t="inlineStr">
        <is>
          <t>SAP Partner Campaign - Ikyam</t>
        </is>
      </c>
      <c r="E8" s="64" t="inlineStr">
        <is>
          <t>Campaign Execution</t>
        </is>
      </c>
      <c r="F8" s="64" t="inlineStr">
        <is>
          <t>Content Syndication</t>
        </is>
      </c>
      <c r="G8" s="65" t="inlineStr">
        <is>
          <t>Content Syndication - Email</t>
        </is>
      </c>
      <c r="H8" s="65" t="n"/>
      <c r="I8" s="64" t="n"/>
      <c r="J8" s="64" t="n"/>
      <c r="K8" s="63" t="n"/>
      <c r="L8" s="63" t="n"/>
      <c r="M8" s="64" t="n"/>
      <c r="N8" s="66" t="n"/>
      <c r="O8" s="65" t="n"/>
      <c r="P8" s="64" t="n"/>
      <c r="Q8" s="67" t="n"/>
      <c r="R8" s="67" t="n"/>
      <c r="S8" s="68" t="str">
        <f>IF(AND(ISNUMBER($Q8),ISNUMBER($R8)),$Q8-$R8,"")</f>
        <v/>
      </c>
      <c r="T8" s="65" t="n"/>
      <c r="U8" s="64" t="n"/>
      <c r="V8" s="65" t="n"/>
      <c r="W8" s="63" t="n"/>
      <c r="X8" s="65" t="inlineStr">
        <is>
          <t>Baseline: status not provided.</t>
        </is>
      </c>
      <c r="Y8" s="63" t="n"/>
      <c r="Z8" s="64" t="n"/>
      <c r="AA8" s="64" t="n"/>
      <c r="AB8" s="65" t="n"/>
      <c r="AC8" s="69" t="str">
        <f>IF(OR($G8="",NOT(ISNUMBER($K8)),$AK8=0),"",MAX(0,ReportDate-$K8))</f>
        <v/>
      </c>
      <c r="AD8" s="69">
        <f>IF($G8="","",IF($AL8=1,ReportDate-$L8,0))</f>
        <v>0</v>
      </c>
      <c r="AE8" s="70">
        <f>IF($G8="","",IF($M8="Completed",1,IF(ISNUMBER($N8),$N8,0)))</f>
        <v>0</v>
      </c>
      <c r="AF8" s="70" t="str">
        <f>IF(AND(ISNUMBER($Q8),ISNUMBER($R8)),IF($R8&lt;&gt;0,$Q8/$R8,""),"")</f>
        <v/>
      </c>
      <c r="AG8" s="71" t="str">
        <f>IF($G8="","",IF($AL8=1,"OVERDUE",IF($AM8=1,"BLOCKED",IF($AN8=1,"DUE TODAY",IF($AO8=1,"DUE TOMORROW",IF($AQ8=1,"HIGH PRIORITY",IF($AR8=1,"NO RECENT UPDATE",""))))))) </f>
        <v>NO RECENT UPDATE</v>
      </c>
      <c r="AH8" s="71" t="str">
        <f>IF($G8="","",IF(ISNUMBER($A8),IF(ISNUMBER($A8),YEAR($A8)&amp;"-"&amp;TEXT(MONTH($A8),"00"),""),IF(ISNUMBER($L8),IF(ISNUMBER($L8),YEAR($L8)&amp;"-"&amp;TEXT(MONTH($L8),"00"),""),"")))</f>
        <v/>
      </c>
      <c r="AI8" s="71">
        <f>IF($G8="",0,IF(AND(OR(fClient="All",$C8=fClient),OR(fCampaign="All",$D8=fCampaign),OR(fTeam="All",$B8=fTeam),OR(fChannel="All",$F8=fChannel),OR(fMonth="All",$AH8=fMonth),OR(fTStatus="All",$M8=fTStatus)),1,0))</f>
        <v>1</v>
      </c>
      <c r="AJ8" s="71">
        <f>IF($G8="",0,IF(AND(OR(fClient="All",$C8=fClient),OR(fCampaign="All",$D8=fCampaign),OR(fTeam="All",$B8=fTeam),OR(fChannel="All",$F8=fChannel)),1,0))</f>
        <v>1</v>
      </c>
      <c r="AK8" s="71">
        <f>IF($G8="",0,IF(OR($M8="Completed",$M8="Cancelled"),0,1))</f>
        <v>1</v>
      </c>
      <c r="AL8" s="71">
        <f>IF(AND($AK8=1,ISNUMBER($L8)),IF($L8&lt;ReportDate,1,0),0)</f>
        <v>0</v>
      </c>
      <c r="AM8" s="71">
        <f>IF(AND($G8&lt;&gt;"",$M8="Blocked"),1,0)</f>
        <v>0</v>
      </c>
      <c r="AN8" s="71">
        <f>IF(AND($AK8=1,ISNUMBER($L8)),IF($L8=ReportDate,1,0),0)</f>
        <v>0</v>
      </c>
      <c r="AO8" s="71">
        <f>IF(AND($AK8=1,ISNUMBER($L8)),IF($L8=ReportDate+1,1,0),0)</f>
        <v>0</v>
      </c>
      <c r="AP8" s="71">
        <f>IF(AND($AK8=1,ISNUMBER($L8)),IF(AND($L8&gt;=ReportDate,$L8&lt;=ReportDate+DueSoonDays),1,0),0)</f>
        <v>0</v>
      </c>
      <c r="AQ8" s="71">
        <f>IF(AND($AK8=1,OR($I8="Critical",$I8="High")),1,0)</f>
        <v>0</v>
      </c>
      <c r="AR8" s="71">
        <f>IF($AK8=1,IF(ISNUMBER($Y8),IF(ReportDate-$Y8&gt;StaleDays,1,0),1),0)</f>
        <v>1</v>
      </c>
      <c r="AS8" s="71">
        <f>IF(AND($G8&lt;&gt;"",ISNUMBER($Q8),ISNUMBER($R8)),IF(AND($Q8&lt;$R8,OR($M8="Completed",AND(ISNUMBER($L8),$L8&lt;ReportDate))),1,0),0)</f>
        <v>0</v>
      </c>
      <c r="AT8" s="71">
        <f>IF($AK8=1,IF(OR($L8=ReportDate,$W8=ReportDate,$K8=ReportDate,$A8=ReportDate),1,0),0)</f>
        <v>0</v>
      </c>
      <c r="AU8" s="71">
        <f>IF($AK8=1,IF(OR($L8=ReportDate+1,$W8=ReportDate+1,$K8=ReportDate+1,$A8=ReportDate+1),1,0),0)</f>
        <v>0</v>
      </c>
      <c r="AV8" s="71">
        <f>IF(AND($G8&lt;&gt;"",$M8="Completed"),IF(OR($Y8=ReportDate-1,$A8=ReportDate-1),1,0),0)</f>
        <v>0</v>
      </c>
      <c r="AW8" s="71">
        <f>IF(AND($AK8=1,$Z8="Yes"),1,0)</f>
        <v>0</v>
      </c>
      <c r="AX8" s="71">
        <f>IF(AND($AK8=1,$AA8="Yes"),1,0)</f>
        <v>0</v>
      </c>
      <c r="AY8" s="71">
        <f>IF(AND($AM8=1,OR($I8="Critical",$I8="High")),1,0)</f>
        <v>0</v>
      </c>
      <c r="AZ8" s="71">
        <f>IF(AND($AK8=1,OR($C8=TCL_Client,$C8=MECCA_Client)),1,0)</f>
        <v>0</v>
      </c>
      <c r="BA8" s="71">
        <f>IF($G8="","",IFERROR(MATCH($I8,lst_Priority,0),5))</f>
        <v>5</v>
      </c>
      <c r="BB8" s="71" t="str">
        <f>IF(AND($AL8=1,$AJ8=1),$BA8*100000+ROW(),"")</f>
        <v/>
      </c>
      <c r="BC8" s="71" t="str">
        <f>IF(AND($AM8=1,$AJ8=1),$BA8*100000+ROW(),"")</f>
        <v/>
      </c>
      <c r="BD8" s="71" t="str">
        <f>IF(AND($AP8=1,$AJ8=1),$BA8*100000+ROW(),"")</f>
        <v/>
      </c>
      <c r="BE8" s="71" t="str">
        <f>IF(AND($AT8=1,$AJ8=1),$BA8*100000+ROW(),"")</f>
        <v/>
      </c>
      <c r="BF8" s="71" t="str">
        <f>IF(AND($AU8=1,$AJ8=1),$BA8*100000+ROW(),"")</f>
        <v/>
      </c>
      <c r="BG8" s="71" t="str">
        <f>IF(AND($AV8=1,$AJ8=1),$BA8*100000+ROW(),"")</f>
        <v/>
      </c>
      <c r="BH8" s="71" t="str">
        <f>IF(AND($AW8=1,$AJ8=1),$BA8*100000+ROW(),"")</f>
        <v/>
      </c>
      <c r="BI8" s="71" t="str">
        <f>IF(AND($AX8=1,$AJ8=1),$BA8*100000+ROW(),"")</f>
        <v/>
      </c>
      <c r="BJ8" s="71" t="str">
        <f>IF(AND($AS8=1,$AJ8=1),$BA8*100000+ROW(),"")</f>
        <v/>
      </c>
      <c r="BK8" s="71" t="str">
        <f>IF(AND($AY8=1,$AJ8=1),$BA8*100000+ROW(),"")</f>
        <v/>
      </c>
      <c r="BL8" s="71" t="str">
        <f>IF(AND($AZ8=1),$BA8*100000+ROW(),"")</f>
        <v/>
      </c>
    </row>
    <row r="9">
      <c r="A9" s="63" t="n"/>
      <c r="B9" s="64" t="inlineStr">
        <is>
          <t>Surbhi Pandey</t>
        </is>
      </c>
      <c r="C9" s="64" t="inlineStr">
        <is>
          <t>SAP</t>
        </is>
      </c>
      <c r="D9" s="64" t="inlineStr">
        <is>
          <t>SAP Partner Campaign - Castaliaz</t>
        </is>
      </c>
      <c r="E9" s="64" t="inlineStr">
        <is>
          <t>Campaign Execution</t>
        </is>
      </c>
      <c r="F9" s="64" t="inlineStr">
        <is>
          <t>Content Syndication</t>
        </is>
      </c>
      <c r="G9" s="65" t="inlineStr">
        <is>
          <t>Content Syndication - Email</t>
        </is>
      </c>
      <c r="H9" s="65" t="n"/>
      <c r="I9" s="64" t="n"/>
      <c r="J9" s="64" t="n"/>
      <c r="K9" s="63" t="n"/>
      <c r="L9" s="63" t="n"/>
      <c r="M9" s="64" t="n"/>
      <c r="N9" s="66" t="n"/>
      <c r="O9" s="65" t="n"/>
      <c r="P9" s="64" t="n"/>
      <c r="Q9" s="67" t="n"/>
      <c r="R9" s="67" t="n"/>
      <c r="S9" s="68" t="str">
        <f>IF(AND(ISNUMBER($Q9),ISNUMBER($R9)),$Q9-$R9,"")</f>
        <v/>
      </c>
      <c r="T9" s="65" t="n"/>
      <c r="U9" s="64" t="n"/>
      <c r="V9" s="65" t="n"/>
      <c r="W9" s="63" t="n"/>
      <c r="X9" s="65" t="inlineStr">
        <is>
          <t>Baseline: status not provided.</t>
        </is>
      </c>
      <c r="Y9" s="63" t="n"/>
      <c r="Z9" s="64" t="n"/>
      <c r="AA9" s="64" t="n"/>
      <c r="AB9" s="65" t="n"/>
      <c r="AC9" s="69" t="str">
        <f>IF(OR($G9="",NOT(ISNUMBER($K9)),$AK9=0),"",MAX(0,ReportDate-$K9))</f>
        <v/>
      </c>
      <c r="AD9" s="69">
        <f>IF($G9="","",IF($AL9=1,ReportDate-$L9,0))</f>
        <v>0</v>
      </c>
      <c r="AE9" s="70">
        <f>IF($G9="","",IF($M9="Completed",1,IF(ISNUMBER($N9),$N9,0)))</f>
        <v>0</v>
      </c>
      <c r="AF9" s="70" t="str">
        <f>IF(AND(ISNUMBER($Q9),ISNUMBER($R9)),IF($R9&lt;&gt;0,$Q9/$R9,""),"")</f>
        <v/>
      </c>
      <c r="AG9" s="71" t="str">
        <f>IF($G9="","",IF($AL9=1,"OVERDUE",IF($AM9=1,"BLOCKED",IF($AN9=1,"DUE TODAY",IF($AO9=1,"DUE TOMORROW",IF($AQ9=1,"HIGH PRIORITY",IF($AR9=1,"NO RECENT UPDATE",""))))))) </f>
        <v>NO RECENT UPDATE</v>
      </c>
      <c r="AH9" s="71" t="str">
        <f>IF($G9="","",IF(ISNUMBER($A9),IF(ISNUMBER($A9),YEAR($A9)&amp;"-"&amp;TEXT(MONTH($A9),"00"),""),IF(ISNUMBER($L9),IF(ISNUMBER($L9),YEAR($L9)&amp;"-"&amp;TEXT(MONTH($L9),"00"),""),"")))</f>
        <v/>
      </c>
      <c r="AI9" s="71">
        <f>IF($G9="",0,IF(AND(OR(fClient="All",$C9=fClient),OR(fCampaign="All",$D9=fCampaign),OR(fTeam="All",$B9=fTeam),OR(fChannel="All",$F9=fChannel),OR(fMonth="All",$AH9=fMonth),OR(fTStatus="All",$M9=fTStatus)),1,0))</f>
        <v>1</v>
      </c>
      <c r="AJ9" s="71">
        <f>IF($G9="",0,IF(AND(OR(fClient="All",$C9=fClient),OR(fCampaign="All",$D9=fCampaign),OR(fTeam="All",$B9=fTeam),OR(fChannel="All",$F9=fChannel)),1,0))</f>
        <v>1</v>
      </c>
      <c r="AK9" s="71">
        <f>IF($G9="",0,IF(OR($M9="Completed",$M9="Cancelled"),0,1))</f>
        <v>1</v>
      </c>
      <c r="AL9" s="71">
        <f>IF(AND($AK9=1,ISNUMBER($L9)),IF($L9&lt;ReportDate,1,0),0)</f>
        <v>0</v>
      </c>
      <c r="AM9" s="71">
        <f>IF(AND($G9&lt;&gt;"",$M9="Blocked"),1,0)</f>
        <v>0</v>
      </c>
      <c r="AN9" s="71">
        <f>IF(AND($AK9=1,ISNUMBER($L9)),IF($L9=ReportDate,1,0),0)</f>
        <v>0</v>
      </c>
      <c r="AO9" s="71">
        <f>IF(AND($AK9=1,ISNUMBER($L9)),IF($L9=ReportDate+1,1,0),0)</f>
        <v>0</v>
      </c>
      <c r="AP9" s="71">
        <f>IF(AND($AK9=1,ISNUMBER($L9)),IF(AND($L9&gt;=ReportDate,$L9&lt;=ReportDate+DueSoonDays),1,0),0)</f>
        <v>0</v>
      </c>
      <c r="AQ9" s="71">
        <f>IF(AND($AK9=1,OR($I9="Critical",$I9="High")),1,0)</f>
        <v>0</v>
      </c>
      <c r="AR9" s="71">
        <f>IF($AK9=1,IF(ISNUMBER($Y9),IF(ReportDate-$Y9&gt;StaleDays,1,0),1),0)</f>
        <v>1</v>
      </c>
      <c r="AS9" s="71">
        <f>IF(AND($G9&lt;&gt;"",ISNUMBER($Q9),ISNUMBER($R9)),IF(AND($Q9&lt;$R9,OR($M9="Completed",AND(ISNUMBER($L9),$L9&lt;ReportDate))),1,0),0)</f>
        <v>0</v>
      </c>
      <c r="AT9" s="71">
        <f>IF($AK9=1,IF(OR($L9=ReportDate,$W9=ReportDate,$K9=ReportDate,$A9=ReportDate),1,0),0)</f>
        <v>0</v>
      </c>
      <c r="AU9" s="71">
        <f>IF($AK9=1,IF(OR($L9=ReportDate+1,$W9=ReportDate+1,$K9=ReportDate+1,$A9=ReportDate+1),1,0),0)</f>
        <v>0</v>
      </c>
      <c r="AV9" s="71">
        <f>IF(AND($G9&lt;&gt;"",$M9="Completed"),IF(OR($Y9=ReportDate-1,$A9=ReportDate-1),1,0),0)</f>
        <v>0</v>
      </c>
      <c r="AW9" s="71">
        <f>IF(AND($AK9=1,$Z9="Yes"),1,0)</f>
        <v>0</v>
      </c>
      <c r="AX9" s="71">
        <f>IF(AND($AK9=1,$AA9="Yes"),1,0)</f>
        <v>0</v>
      </c>
      <c r="AY9" s="71">
        <f>IF(AND($AM9=1,OR($I9="Critical",$I9="High")),1,0)</f>
        <v>0</v>
      </c>
      <c r="AZ9" s="71">
        <f>IF(AND($AK9=1,OR($C9=TCL_Client,$C9=MECCA_Client)),1,0)</f>
        <v>0</v>
      </c>
      <c r="BA9" s="71">
        <f>IF($G9="","",IFERROR(MATCH($I9,lst_Priority,0),5))</f>
        <v>5</v>
      </c>
      <c r="BB9" s="71" t="str">
        <f>IF(AND($AL9=1,$AJ9=1),$BA9*100000+ROW(),"")</f>
        <v/>
      </c>
      <c r="BC9" s="71" t="str">
        <f>IF(AND($AM9=1,$AJ9=1),$BA9*100000+ROW(),"")</f>
        <v/>
      </c>
      <c r="BD9" s="71" t="str">
        <f>IF(AND($AP9=1,$AJ9=1),$BA9*100000+ROW(),"")</f>
        <v/>
      </c>
      <c r="BE9" s="71" t="str">
        <f>IF(AND($AT9=1,$AJ9=1),$BA9*100000+ROW(),"")</f>
        <v/>
      </c>
      <c r="BF9" s="71" t="str">
        <f>IF(AND($AU9=1,$AJ9=1),$BA9*100000+ROW(),"")</f>
        <v/>
      </c>
      <c r="BG9" s="71" t="str">
        <f>IF(AND($AV9=1,$AJ9=1),$BA9*100000+ROW(),"")</f>
        <v/>
      </c>
      <c r="BH9" s="71" t="str">
        <f>IF(AND($AW9=1,$AJ9=1),$BA9*100000+ROW(),"")</f>
        <v/>
      </c>
      <c r="BI9" s="71" t="str">
        <f>IF(AND($AX9=1,$AJ9=1),$BA9*100000+ROW(),"")</f>
        <v/>
      </c>
      <c r="BJ9" s="71" t="str">
        <f>IF(AND($AS9=1,$AJ9=1),$BA9*100000+ROW(),"")</f>
        <v/>
      </c>
      <c r="BK9" s="71" t="str">
        <f>IF(AND($AY9=1,$AJ9=1),$BA9*100000+ROW(),"")</f>
        <v/>
      </c>
      <c r="BL9" s="71" t="str">
        <f>IF(AND($AZ9=1),$BA9*100000+ROW(),"")</f>
        <v/>
      </c>
    </row>
    <row r="10">
      <c r="A10" s="63" t="n"/>
      <c r="B10" s="64" t="inlineStr">
        <is>
          <t>Surbhi Pandey</t>
        </is>
      </c>
      <c r="C10" s="64" t="inlineStr">
        <is>
          <t>SAP</t>
        </is>
      </c>
      <c r="D10" s="64" t="inlineStr">
        <is>
          <t>SAP Partner Campaign - Truspeq</t>
        </is>
      </c>
      <c r="E10" s="64" t="inlineStr">
        <is>
          <t>Campaign Execution</t>
        </is>
      </c>
      <c r="F10" s="64" t="inlineStr">
        <is>
          <t>Content Syndication</t>
        </is>
      </c>
      <c r="G10" s="65" t="inlineStr">
        <is>
          <t>Content Syndication - Email</t>
        </is>
      </c>
      <c r="H10" s="65" t="n"/>
      <c r="I10" s="64" t="n"/>
      <c r="J10" s="64" t="n"/>
      <c r="K10" s="63" t="n"/>
      <c r="L10" s="63" t="n"/>
      <c r="M10" s="64" t="n"/>
      <c r="N10" s="66" t="n"/>
      <c r="O10" s="65" t="n"/>
      <c r="P10" s="64" t="n"/>
      <c r="Q10" s="67" t="n"/>
      <c r="R10" s="67" t="n"/>
      <c r="S10" s="68" t="str">
        <f>IF(AND(ISNUMBER($Q10),ISNUMBER($R10)),$Q10-$R10,"")</f>
        <v/>
      </c>
      <c r="T10" s="65" t="n"/>
      <c r="U10" s="64" t="n"/>
      <c r="V10" s="65" t="n"/>
      <c r="W10" s="63" t="n"/>
      <c r="X10" s="65" t="inlineStr">
        <is>
          <t>Baseline: status not provided.</t>
        </is>
      </c>
      <c r="Y10" s="63" t="n"/>
      <c r="Z10" s="64" t="n"/>
      <c r="AA10" s="64" t="n"/>
      <c r="AB10" s="65" t="n"/>
      <c r="AC10" s="69" t="str">
        <f>IF(OR($G10="",NOT(ISNUMBER($K10)),$AK10=0),"",MAX(0,ReportDate-$K10))</f>
        <v/>
      </c>
      <c r="AD10" s="69">
        <f>IF($G10="","",IF($AL10=1,ReportDate-$L10,0))</f>
        <v>0</v>
      </c>
      <c r="AE10" s="70">
        <f>IF($G10="","",IF($M10="Completed",1,IF(ISNUMBER($N10),$N10,0)))</f>
        <v>0</v>
      </c>
      <c r="AF10" s="70" t="str">
        <f>IF(AND(ISNUMBER($Q10),ISNUMBER($R10)),IF($R10&lt;&gt;0,$Q10/$R10,""),"")</f>
        <v/>
      </c>
      <c r="AG10" s="71" t="str">
        <f>IF($G10="","",IF($AL10=1,"OVERDUE",IF($AM10=1,"BLOCKED",IF($AN10=1,"DUE TODAY",IF($AO10=1,"DUE TOMORROW",IF($AQ10=1,"HIGH PRIORITY",IF($AR10=1,"NO RECENT UPDATE",""))))))) </f>
        <v>NO RECENT UPDATE</v>
      </c>
      <c r="AH10" s="71" t="str">
        <f>IF($G10="","",IF(ISNUMBER($A10),IF(ISNUMBER($A10),YEAR($A10)&amp;"-"&amp;TEXT(MONTH($A10),"00"),""),IF(ISNUMBER($L10),IF(ISNUMBER($L10),YEAR($L10)&amp;"-"&amp;TEXT(MONTH($L10),"00"),""),"")))</f>
        <v/>
      </c>
      <c r="AI10" s="71">
        <f>IF($G10="",0,IF(AND(OR(fClient="All",$C10=fClient),OR(fCampaign="All",$D10=fCampaign),OR(fTeam="All",$B10=fTeam),OR(fChannel="All",$F10=fChannel),OR(fMonth="All",$AH10=fMonth),OR(fTStatus="All",$M10=fTStatus)),1,0))</f>
        <v>1</v>
      </c>
      <c r="AJ10" s="71">
        <f>IF($G10="",0,IF(AND(OR(fClient="All",$C10=fClient),OR(fCampaign="All",$D10=fCampaign),OR(fTeam="All",$B10=fTeam),OR(fChannel="All",$F10=fChannel)),1,0))</f>
        <v>1</v>
      </c>
      <c r="AK10" s="71">
        <f>IF($G10="",0,IF(OR($M10="Completed",$M10="Cancelled"),0,1))</f>
        <v>1</v>
      </c>
      <c r="AL10" s="71">
        <f>IF(AND($AK10=1,ISNUMBER($L10)),IF($L10&lt;ReportDate,1,0),0)</f>
        <v>0</v>
      </c>
      <c r="AM10" s="71">
        <f>IF(AND($G10&lt;&gt;"",$M10="Blocked"),1,0)</f>
        <v>0</v>
      </c>
      <c r="AN10" s="71">
        <f>IF(AND($AK10=1,ISNUMBER($L10)),IF($L10=ReportDate,1,0),0)</f>
        <v>0</v>
      </c>
      <c r="AO10" s="71">
        <f>IF(AND($AK10=1,ISNUMBER($L10)),IF($L10=ReportDate+1,1,0),0)</f>
        <v>0</v>
      </c>
      <c r="AP10" s="71">
        <f>IF(AND($AK10=1,ISNUMBER($L10)),IF(AND($L10&gt;=ReportDate,$L10&lt;=ReportDate+DueSoonDays),1,0),0)</f>
        <v>0</v>
      </c>
      <c r="AQ10" s="71">
        <f>IF(AND($AK10=1,OR($I10="Critical",$I10="High")),1,0)</f>
        <v>0</v>
      </c>
      <c r="AR10" s="71">
        <f>IF($AK10=1,IF(ISNUMBER($Y10),IF(ReportDate-$Y10&gt;StaleDays,1,0),1),0)</f>
        <v>1</v>
      </c>
      <c r="AS10" s="71">
        <f>IF(AND($G10&lt;&gt;"",ISNUMBER($Q10),ISNUMBER($R10)),IF(AND($Q10&lt;$R10,OR($M10="Completed",AND(ISNUMBER($L10),$L10&lt;ReportDate))),1,0),0)</f>
        <v>0</v>
      </c>
      <c r="AT10" s="71">
        <f>IF($AK10=1,IF(OR($L10=ReportDate,$W10=ReportDate,$K10=ReportDate,$A10=ReportDate),1,0),0)</f>
        <v>0</v>
      </c>
      <c r="AU10" s="71">
        <f>IF($AK10=1,IF(OR($L10=ReportDate+1,$W10=ReportDate+1,$K10=ReportDate+1,$A10=ReportDate+1),1,0),0)</f>
        <v>0</v>
      </c>
      <c r="AV10" s="71">
        <f>IF(AND($G10&lt;&gt;"",$M10="Completed"),IF(OR($Y10=ReportDate-1,$A10=ReportDate-1),1,0),0)</f>
        <v>0</v>
      </c>
      <c r="AW10" s="71">
        <f>IF(AND($AK10=1,$Z10="Yes"),1,0)</f>
        <v>0</v>
      </c>
      <c r="AX10" s="71">
        <f>IF(AND($AK10=1,$AA10="Yes"),1,0)</f>
        <v>0</v>
      </c>
      <c r="AY10" s="71">
        <f>IF(AND($AM10=1,OR($I10="Critical",$I10="High")),1,0)</f>
        <v>0</v>
      </c>
      <c r="AZ10" s="71">
        <f>IF(AND($AK10=1,OR($C10=TCL_Client,$C10=MECCA_Client)),1,0)</f>
        <v>0</v>
      </c>
      <c r="BA10" s="71">
        <f>IF($G10="","",IFERROR(MATCH($I10,lst_Priority,0),5))</f>
        <v>5</v>
      </c>
      <c r="BB10" s="71" t="str">
        <f>IF(AND($AL10=1,$AJ10=1),$BA10*100000+ROW(),"")</f>
        <v/>
      </c>
      <c r="BC10" s="71" t="str">
        <f>IF(AND($AM10=1,$AJ10=1),$BA10*100000+ROW(),"")</f>
        <v/>
      </c>
      <c r="BD10" s="71" t="str">
        <f>IF(AND($AP10=1,$AJ10=1),$BA10*100000+ROW(),"")</f>
        <v/>
      </c>
      <c r="BE10" s="71" t="str">
        <f>IF(AND($AT10=1,$AJ10=1),$BA10*100000+ROW(),"")</f>
        <v/>
      </c>
      <c r="BF10" s="71" t="str">
        <f>IF(AND($AU10=1,$AJ10=1),$BA10*100000+ROW(),"")</f>
        <v/>
      </c>
      <c r="BG10" s="71" t="str">
        <f>IF(AND($AV10=1,$AJ10=1),$BA10*100000+ROW(),"")</f>
        <v/>
      </c>
      <c r="BH10" s="71" t="str">
        <f>IF(AND($AW10=1,$AJ10=1),$BA10*100000+ROW(),"")</f>
        <v/>
      </c>
      <c r="BI10" s="71" t="str">
        <f>IF(AND($AX10=1,$AJ10=1),$BA10*100000+ROW(),"")</f>
        <v/>
      </c>
      <c r="BJ10" s="71" t="str">
        <f>IF(AND($AS10=1,$AJ10=1),$BA10*100000+ROW(),"")</f>
        <v/>
      </c>
      <c r="BK10" s="71" t="str">
        <f>IF(AND($AY10=1,$AJ10=1),$BA10*100000+ROW(),"")</f>
        <v/>
      </c>
      <c r="BL10" s="71" t="str">
        <f>IF(AND($AZ10=1),$BA10*100000+ROW(),"")</f>
        <v/>
      </c>
    </row>
    <row r="11">
      <c r="A11" s="63" t="n"/>
      <c r="B11" s="64" t="inlineStr">
        <is>
          <t>Surbhi Pandey</t>
        </is>
      </c>
      <c r="C11" s="64" t="inlineStr">
        <is>
          <t>SAP</t>
        </is>
      </c>
      <c r="D11" s="64" t="inlineStr">
        <is>
          <t>SAP Partner Campaign - NTT Data</t>
        </is>
      </c>
      <c r="E11" s="64" t="inlineStr">
        <is>
          <t>Campaign Execution</t>
        </is>
      </c>
      <c r="F11" s="64" t="inlineStr">
        <is>
          <t>Content Syndication</t>
        </is>
      </c>
      <c r="G11" s="65" t="inlineStr">
        <is>
          <t>Content Syndication - Email</t>
        </is>
      </c>
      <c r="H11" s="65" t="n"/>
      <c r="I11" s="64" t="n"/>
      <c r="J11" s="64" t="n"/>
      <c r="K11" s="63" t="n"/>
      <c r="L11" s="63" t="n"/>
      <c r="M11" s="64" t="n"/>
      <c r="N11" s="66" t="n"/>
      <c r="O11" s="65" t="n"/>
      <c r="P11" s="64" t="n"/>
      <c r="Q11" s="67" t="n"/>
      <c r="R11" s="67" t="n"/>
      <c r="S11" s="68" t="str">
        <f>IF(AND(ISNUMBER($Q11),ISNUMBER($R11)),$Q11-$R11,"")</f>
        <v/>
      </c>
      <c r="T11" s="65" t="n"/>
      <c r="U11" s="64" t="n"/>
      <c r="V11" s="65" t="n"/>
      <c r="W11" s="63" t="n"/>
      <c r="X11" s="65" t="inlineStr">
        <is>
          <t>Baseline: status not provided.</t>
        </is>
      </c>
      <c r="Y11" s="63" t="n"/>
      <c r="Z11" s="64" t="n"/>
      <c r="AA11" s="64" t="n"/>
      <c r="AB11" s="65" t="n"/>
      <c r="AC11" s="69" t="str">
        <f>IF(OR($G11="",NOT(ISNUMBER($K11)),$AK11=0),"",MAX(0,ReportDate-$K11))</f>
        <v/>
      </c>
      <c r="AD11" s="69">
        <f>IF($G11="","",IF($AL11=1,ReportDate-$L11,0))</f>
        <v>0</v>
      </c>
      <c r="AE11" s="70">
        <f>IF($G11="","",IF($M11="Completed",1,IF(ISNUMBER($N11),$N11,0)))</f>
        <v>0</v>
      </c>
      <c r="AF11" s="70" t="str">
        <f>IF(AND(ISNUMBER($Q11),ISNUMBER($R11)),IF($R11&lt;&gt;0,$Q11/$R11,""),"")</f>
        <v/>
      </c>
      <c r="AG11" s="71" t="str">
        <f>IF($G11="","",IF($AL11=1,"OVERDUE",IF($AM11=1,"BLOCKED",IF($AN11=1,"DUE TODAY",IF($AO11=1,"DUE TOMORROW",IF($AQ11=1,"HIGH PRIORITY",IF($AR11=1,"NO RECENT UPDATE",""))))))) </f>
        <v>NO RECENT UPDATE</v>
      </c>
      <c r="AH11" s="71" t="str">
        <f>IF($G11="","",IF(ISNUMBER($A11),IF(ISNUMBER($A11),YEAR($A11)&amp;"-"&amp;TEXT(MONTH($A11),"00"),""),IF(ISNUMBER($L11),IF(ISNUMBER($L11),YEAR($L11)&amp;"-"&amp;TEXT(MONTH($L11),"00"),""),"")))</f>
        <v/>
      </c>
      <c r="AI11" s="71">
        <f>IF($G11="",0,IF(AND(OR(fClient="All",$C11=fClient),OR(fCampaign="All",$D11=fCampaign),OR(fTeam="All",$B11=fTeam),OR(fChannel="All",$F11=fChannel),OR(fMonth="All",$AH11=fMonth),OR(fTStatus="All",$M11=fTStatus)),1,0))</f>
        <v>1</v>
      </c>
      <c r="AJ11" s="71">
        <f>IF($G11="",0,IF(AND(OR(fClient="All",$C11=fClient),OR(fCampaign="All",$D11=fCampaign),OR(fTeam="All",$B11=fTeam),OR(fChannel="All",$F11=fChannel)),1,0))</f>
        <v>1</v>
      </c>
      <c r="AK11" s="71">
        <f>IF($G11="",0,IF(OR($M11="Completed",$M11="Cancelled"),0,1))</f>
        <v>1</v>
      </c>
      <c r="AL11" s="71">
        <f>IF(AND($AK11=1,ISNUMBER($L11)),IF($L11&lt;ReportDate,1,0),0)</f>
        <v>0</v>
      </c>
      <c r="AM11" s="71">
        <f>IF(AND($G11&lt;&gt;"",$M11="Blocked"),1,0)</f>
        <v>0</v>
      </c>
      <c r="AN11" s="71">
        <f>IF(AND($AK11=1,ISNUMBER($L11)),IF($L11=ReportDate,1,0),0)</f>
        <v>0</v>
      </c>
      <c r="AO11" s="71">
        <f>IF(AND($AK11=1,ISNUMBER($L11)),IF($L11=ReportDate+1,1,0),0)</f>
        <v>0</v>
      </c>
      <c r="AP11" s="71">
        <f>IF(AND($AK11=1,ISNUMBER($L11)),IF(AND($L11&gt;=ReportDate,$L11&lt;=ReportDate+DueSoonDays),1,0),0)</f>
        <v>0</v>
      </c>
      <c r="AQ11" s="71">
        <f>IF(AND($AK11=1,OR($I11="Critical",$I11="High")),1,0)</f>
        <v>0</v>
      </c>
      <c r="AR11" s="71">
        <f>IF($AK11=1,IF(ISNUMBER($Y11),IF(ReportDate-$Y11&gt;StaleDays,1,0),1),0)</f>
        <v>1</v>
      </c>
      <c r="AS11" s="71">
        <f>IF(AND($G11&lt;&gt;"",ISNUMBER($Q11),ISNUMBER($R11)),IF(AND($Q11&lt;$R11,OR($M11="Completed",AND(ISNUMBER($L11),$L11&lt;ReportDate))),1,0),0)</f>
        <v>0</v>
      </c>
      <c r="AT11" s="71">
        <f>IF($AK11=1,IF(OR($L11=ReportDate,$W11=ReportDate,$K11=ReportDate,$A11=ReportDate),1,0),0)</f>
        <v>0</v>
      </c>
      <c r="AU11" s="71">
        <f>IF($AK11=1,IF(OR($L11=ReportDate+1,$W11=ReportDate+1,$K11=ReportDate+1,$A11=ReportDate+1),1,0),0)</f>
        <v>0</v>
      </c>
      <c r="AV11" s="71">
        <f>IF(AND($G11&lt;&gt;"",$M11="Completed"),IF(OR($Y11=ReportDate-1,$A11=ReportDate-1),1,0),0)</f>
        <v>0</v>
      </c>
      <c r="AW11" s="71">
        <f>IF(AND($AK11=1,$Z11="Yes"),1,0)</f>
        <v>0</v>
      </c>
      <c r="AX11" s="71">
        <f>IF(AND($AK11=1,$AA11="Yes"),1,0)</f>
        <v>0</v>
      </c>
      <c r="AY11" s="71">
        <f>IF(AND($AM11=1,OR($I11="Critical",$I11="High")),1,0)</f>
        <v>0</v>
      </c>
      <c r="AZ11" s="71">
        <f>IF(AND($AK11=1,OR($C11=TCL_Client,$C11=MECCA_Client)),1,0)</f>
        <v>0</v>
      </c>
      <c r="BA11" s="71">
        <f>IF($G11="","",IFERROR(MATCH($I11,lst_Priority,0),5))</f>
        <v>5</v>
      </c>
      <c r="BB11" s="71" t="str">
        <f>IF(AND($AL11=1,$AJ11=1),$BA11*100000+ROW(),"")</f>
        <v/>
      </c>
      <c r="BC11" s="71" t="str">
        <f>IF(AND($AM11=1,$AJ11=1),$BA11*100000+ROW(),"")</f>
        <v/>
      </c>
      <c r="BD11" s="71" t="str">
        <f>IF(AND($AP11=1,$AJ11=1),$BA11*100000+ROW(),"")</f>
        <v/>
      </c>
      <c r="BE11" s="71" t="str">
        <f>IF(AND($AT11=1,$AJ11=1),$BA11*100000+ROW(),"")</f>
        <v/>
      </c>
      <c r="BF11" s="71" t="str">
        <f>IF(AND($AU11=1,$AJ11=1),$BA11*100000+ROW(),"")</f>
        <v/>
      </c>
      <c r="BG11" s="71" t="str">
        <f>IF(AND($AV11=1,$AJ11=1),$BA11*100000+ROW(),"")</f>
        <v/>
      </c>
      <c r="BH11" s="71" t="str">
        <f>IF(AND($AW11=1,$AJ11=1),$BA11*100000+ROW(),"")</f>
        <v/>
      </c>
      <c r="BI11" s="71" t="str">
        <f>IF(AND($AX11=1,$AJ11=1),$BA11*100000+ROW(),"")</f>
        <v/>
      </c>
      <c r="BJ11" s="71" t="str">
        <f>IF(AND($AS11=1,$AJ11=1),$BA11*100000+ROW(),"")</f>
        <v/>
      </c>
      <c r="BK11" s="71" t="str">
        <f>IF(AND($AY11=1,$AJ11=1),$BA11*100000+ROW(),"")</f>
        <v/>
      </c>
      <c r="BL11" s="71" t="str">
        <f>IF(AND($AZ11=1),$BA11*100000+ROW(),"")</f>
        <v/>
      </c>
    </row>
    <row r="12">
      <c r="A12" s="63" t="n"/>
      <c r="B12" s="64" t="inlineStr">
        <is>
          <t>Surbhi Pandey</t>
        </is>
      </c>
      <c r="C12" s="64" t="inlineStr">
        <is>
          <t>SAP</t>
        </is>
      </c>
      <c r="D12" s="64" t="inlineStr">
        <is>
          <t>SAP Partner Campaign - Abeam TH</t>
        </is>
      </c>
      <c r="E12" s="64" t="inlineStr">
        <is>
          <t>Campaign Execution</t>
        </is>
      </c>
      <c r="F12" s="64" t="inlineStr">
        <is>
          <t>Content Syndication</t>
        </is>
      </c>
      <c r="G12" s="65" t="inlineStr">
        <is>
          <t>Content Syndication - Email</t>
        </is>
      </c>
      <c r="H12" s="65" t="n"/>
      <c r="I12" s="64" t="n"/>
      <c r="J12" s="64" t="n"/>
      <c r="K12" s="63" t="n"/>
      <c r="L12" s="63" t="n"/>
      <c r="M12" s="64" t="n"/>
      <c r="N12" s="66" t="n"/>
      <c r="O12" s="65" t="n"/>
      <c r="P12" s="64" t="n"/>
      <c r="Q12" s="67" t="n"/>
      <c r="R12" s="67" t="n"/>
      <c r="S12" s="68" t="str">
        <f>IF(AND(ISNUMBER($Q12),ISNUMBER($R12)),$Q12-$R12,"")</f>
        <v/>
      </c>
      <c r="T12" s="65" t="n"/>
      <c r="U12" s="64" t="n"/>
      <c r="V12" s="65" t="n"/>
      <c r="W12" s="63" t="n"/>
      <c r="X12" s="65" t="inlineStr">
        <is>
          <t>Baseline: status not provided.</t>
        </is>
      </c>
      <c r="Y12" s="63" t="n"/>
      <c r="Z12" s="64" t="n"/>
      <c r="AA12" s="64" t="n"/>
      <c r="AB12" s="65" t="n"/>
      <c r="AC12" s="69" t="str">
        <f>IF(OR($G12="",NOT(ISNUMBER($K12)),$AK12=0),"",MAX(0,ReportDate-$K12))</f>
        <v/>
      </c>
      <c r="AD12" s="69">
        <f>IF($G12="","",IF($AL12=1,ReportDate-$L12,0))</f>
        <v>0</v>
      </c>
      <c r="AE12" s="70">
        <f>IF($G12="","",IF($M12="Completed",1,IF(ISNUMBER($N12),$N12,0)))</f>
        <v>0</v>
      </c>
      <c r="AF12" s="70" t="str">
        <f>IF(AND(ISNUMBER($Q12),ISNUMBER($R12)),IF($R12&lt;&gt;0,$Q12/$R12,""),"")</f>
        <v/>
      </c>
      <c r="AG12" s="71" t="str">
        <f>IF($G12="","",IF($AL12=1,"OVERDUE",IF($AM12=1,"BLOCKED",IF($AN12=1,"DUE TODAY",IF($AO12=1,"DUE TOMORROW",IF($AQ12=1,"HIGH PRIORITY",IF($AR12=1,"NO RECENT UPDATE",""))))))) </f>
        <v>NO RECENT UPDATE</v>
      </c>
      <c r="AH12" s="71" t="str">
        <f>IF($G12="","",IF(ISNUMBER($A12),IF(ISNUMBER($A12),YEAR($A12)&amp;"-"&amp;TEXT(MONTH($A12),"00"),""),IF(ISNUMBER($L12),IF(ISNUMBER($L12),YEAR($L12)&amp;"-"&amp;TEXT(MONTH($L12),"00"),""),"")))</f>
        <v/>
      </c>
      <c r="AI12" s="71">
        <f>IF($G12="",0,IF(AND(OR(fClient="All",$C12=fClient),OR(fCampaign="All",$D12=fCampaign),OR(fTeam="All",$B12=fTeam),OR(fChannel="All",$F12=fChannel),OR(fMonth="All",$AH12=fMonth),OR(fTStatus="All",$M12=fTStatus)),1,0))</f>
        <v>1</v>
      </c>
      <c r="AJ12" s="71">
        <f>IF($G12="",0,IF(AND(OR(fClient="All",$C12=fClient),OR(fCampaign="All",$D12=fCampaign),OR(fTeam="All",$B12=fTeam),OR(fChannel="All",$F12=fChannel)),1,0))</f>
        <v>1</v>
      </c>
      <c r="AK12" s="71">
        <f>IF($G12="",0,IF(OR($M12="Completed",$M12="Cancelled"),0,1))</f>
        <v>1</v>
      </c>
      <c r="AL12" s="71">
        <f>IF(AND($AK12=1,ISNUMBER($L12)),IF($L12&lt;ReportDate,1,0),0)</f>
        <v>0</v>
      </c>
      <c r="AM12" s="71">
        <f>IF(AND($G12&lt;&gt;"",$M12="Blocked"),1,0)</f>
        <v>0</v>
      </c>
      <c r="AN12" s="71">
        <f>IF(AND($AK12=1,ISNUMBER($L12)),IF($L12=ReportDate,1,0),0)</f>
        <v>0</v>
      </c>
      <c r="AO12" s="71">
        <f>IF(AND($AK12=1,ISNUMBER($L12)),IF($L12=ReportDate+1,1,0),0)</f>
        <v>0</v>
      </c>
      <c r="AP12" s="71">
        <f>IF(AND($AK12=1,ISNUMBER($L12)),IF(AND($L12&gt;=ReportDate,$L12&lt;=ReportDate+DueSoonDays),1,0),0)</f>
        <v>0</v>
      </c>
      <c r="AQ12" s="71">
        <f>IF(AND($AK12=1,OR($I12="Critical",$I12="High")),1,0)</f>
        <v>0</v>
      </c>
      <c r="AR12" s="71">
        <f>IF($AK12=1,IF(ISNUMBER($Y12),IF(ReportDate-$Y12&gt;StaleDays,1,0),1),0)</f>
        <v>1</v>
      </c>
      <c r="AS12" s="71">
        <f>IF(AND($G12&lt;&gt;"",ISNUMBER($Q12),ISNUMBER($R12)),IF(AND($Q12&lt;$R12,OR($M12="Completed",AND(ISNUMBER($L12),$L12&lt;ReportDate))),1,0),0)</f>
        <v>0</v>
      </c>
      <c r="AT12" s="71">
        <f>IF($AK12=1,IF(OR($L12=ReportDate,$W12=ReportDate,$K12=ReportDate,$A12=ReportDate),1,0),0)</f>
        <v>0</v>
      </c>
      <c r="AU12" s="71">
        <f>IF($AK12=1,IF(OR($L12=ReportDate+1,$W12=ReportDate+1,$K12=ReportDate+1,$A12=ReportDate+1),1,0),0)</f>
        <v>0</v>
      </c>
      <c r="AV12" s="71">
        <f>IF(AND($G12&lt;&gt;"",$M12="Completed"),IF(OR($Y12=ReportDate-1,$A12=ReportDate-1),1,0),0)</f>
        <v>0</v>
      </c>
      <c r="AW12" s="71">
        <f>IF(AND($AK12=1,$Z12="Yes"),1,0)</f>
        <v>0</v>
      </c>
      <c r="AX12" s="71">
        <f>IF(AND($AK12=1,$AA12="Yes"),1,0)</f>
        <v>0</v>
      </c>
      <c r="AY12" s="71">
        <f>IF(AND($AM12=1,OR($I12="Critical",$I12="High")),1,0)</f>
        <v>0</v>
      </c>
      <c r="AZ12" s="71">
        <f>IF(AND($AK12=1,OR($C12=TCL_Client,$C12=MECCA_Client)),1,0)</f>
        <v>0</v>
      </c>
      <c r="BA12" s="71">
        <f>IF($G12="","",IFERROR(MATCH($I12,lst_Priority,0),5))</f>
        <v>5</v>
      </c>
      <c r="BB12" s="71" t="str">
        <f>IF(AND($AL12=1,$AJ12=1),$BA12*100000+ROW(),"")</f>
        <v/>
      </c>
      <c r="BC12" s="71" t="str">
        <f>IF(AND($AM12=1,$AJ12=1),$BA12*100000+ROW(),"")</f>
        <v/>
      </c>
      <c r="BD12" s="71" t="str">
        <f>IF(AND($AP12=1,$AJ12=1),$BA12*100000+ROW(),"")</f>
        <v/>
      </c>
      <c r="BE12" s="71" t="str">
        <f>IF(AND($AT12=1,$AJ12=1),$BA12*100000+ROW(),"")</f>
        <v/>
      </c>
      <c r="BF12" s="71" t="str">
        <f>IF(AND($AU12=1,$AJ12=1),$BA12*100000+ROW(),"")</f>
        <v/>
      </c>
      <c r="BG12" s="71" t="str">
        <f>IF(AND($AV12=1,$AJ12=1),$BA12*100000+ROW(),"")</f>
        <v/>
      </c>
      <c r="BH12" s="71" t="str">
        <f>IF(AND($AW12=1,$AJ12=1),$BA12*100000+ROW(),"")</f>
        <v/>
      </c>
      <c r="BI12" s="71" t="str">
        <f>IF(AND($AX12=1,$AJ12=1),$BA12*100000+ROW(),"")</f>
        <v/>
      </c>
      <c r="BJ12" s="71" t="str">
        <f>IF(AND($AS12=1,$AJ12=1),$BA12*100000+ROW(),"")</f>
        <v/>
      </c>
      <c r="BK12" s="71" t="str">
        <f>IF(AND($AY12=1,$AJ12=1),$BA12*100000+ROW(),"")</f>
        <v/>
      </c>
      <c r="BL12" s="71" t="str">
        <f>IF(AND($AZ12=1),$BA12*100000+ROW(),"")</f>
        <v/>
      </c>
    </row>
    <row r="13">
      <c r="A13" s="63" t="n"/>
      <c r="B13" s="64" t="inlineStr">
        <is>
          <t>Surbhi Pandey</t>
        </is>
      </c>
      <c r="C13" s="64" t="inlineStr">
        <is>
          <t>Utimaco Singapore</t>
        </is>
      </c>
      <c r="D13" s="64" t="inlineStr">
        <is>
          <t>Utimaco Singapore</t>
        </is>
      </c>
      <c r="E13" s="64" t="inlineStr">
        <is>
          <t>Campaign Execution</t>
        </is>
      </c>
      <c r="F13" s="64" t="inlineStr">
        <is>
          <t>Content Syndication</t>
        </is>
      </c>
      <c r="G13" s="65" t="inlineStr">
        <is>
          <t>Content Syndication - Email</t>
        </is>
      </c>
      <c r="H13" s="65" t="n"/>
      <c r="I13" s="64" t="n"/>
      <c r="J13" s="64" t="n"/>
      <c r="K13" s="63" t="n"/>
      <c r="L13" s="63" t="n"/>
      <c r="M13" s="64" t="n"/>
      <c r="N13" s="66" t="n"/>
      <c r="O13" s="65" t="n"/>
      <c r="P13" s="64" t="n"/>
      <c r="Q13" s="67" t="n"/>
      <c r="R13" s="67" t="n"/>
      <c r="S13" s="68" t="str">
        <f>IF(AND(ISNUMBER($Q13),ISNUMBER($R13)),$Q13-$R13,"")</f>
        <v/>
      </c>
      <c r="T13" s="65" t="n"/>
      <c r="U13" s="64" t="n"/>
      <c r="V13" s="65" t="n"/>
      <c r="W13" s="63" t="n"/>
      <c r="X13" s="65" t="inlineStr">
        <is>
          <t>Baseline: status not provided.</t>
        </is>
      </c>
      <c r="Y13" s="63" t="n"/>
      <c r="Z13" s="64" t="n"/>
      <c r="AA13" s="64" t="n"/>
      <c r="AB13" s="65" t="n"/>
      <c r="AC13" s="69" t="str">
        <f>IF(OR($G13="",NOT(ISNUMBER($K13)),$AK13=0),"",MAX(0,ReportDate-$K13))</f>
        <v/>
      </c>
      <c r="AD13" s="69">
        <f>IF($G13="","",IF($AL13=1,ReportDate-$L13,0))</f>
        <v>0</v>
      </c>
      <c r="AE13" s="70">
        <f>IF($G13="","",IF($M13="Completed",1,IF(ISNUMBER($N13),$N13,0)))</f>
        <v>0</v>
      </c>
      <c r="AF13" s="70" t="str">
        <f>IF(AND(ISNUMBER($Q13),ISNUMBER($R13)),IF($R13&lt;&gt;0,$Q13/$R13,""),"")</f>
        <v/>
      </c>
      <c r="AG13" s="71" t="str">
        <f>IF($G13="","",IF($AL13=1,"OVERDUE",IF($AM13=1,"BLOCKED",IF($AN13=1,"DUE TODAY",IF($AO13=1,"DUE TOMORROW",IF($AQ13=1,"HIGH PRIORITY",IF($AR13=1,"NO RECENT UPDATE",""))))))) </f>
        <v>NO RECENT UPDATE</v>
      </c>
      <c r="AH13" s="71" t="str">
        <f>IF($G13="","",IF(ISNUMBER($A13),IF(ISNUMBER($A13),YEAR($A13)&amp;"-"&amp;TEXT(MONTH($A13),"00"),""),IF(ISNUMBER($L13),IF(ISNUMBER($L13),YEAR($L13)&amp;"-"&amp;TEXT(MONTH($L13),"00"),""),"")))</f>
        <v/>
      </c>
      <c r="AI13" s="71">
        <f>IF($G13="",0,IF(AND(OR(fClient="All",$C13=fClient),OR(fCampaign="All",$D13=fCampaign),OR(fTeam="All",$B13=fTeam),OR(fChannel="All",$F13=fChannel),OR(fMonth="All",$AH13=fMonth),OR(fTStatus="All",$M13=fTStatus)),1,0))</f>
        <v>1</v>
      </c>
      <c r="AJ13" s="71">
        <f>IF($G13="",0,IF(AND(OR(fClient="All",$C13=fClient),OR(fCampaign="All",$D13=fCampaign),OR(fTeam="All",$B13=fTeam),OR(fChannel="All",$F13=fChannel)),1,0))</f>
        <v>1</v>
      </c>
      <c r="AK13" s="71">
        <f>IF($G13="",0,IF(OR($M13="Completed",$M13="Cancelled"),0,1))</f>
        <v>1</v>
      </c>
      <c r="AL13" s="71">
        <f>IF(AND($AK13=1,ISNUMBER($L13)),IF($L13&lt;ReportDate,1,0),0)</f>
        <v>0</v>
      </c>
      <c r="AM13" s="71">
        <f>IF(AND($G13&lt;&gt;"",$M13="Blocked"),1,0)</f>
        <v>0</v>
      </c>
      <c r="AN13" s="71">
        <f>IF(AND($AK13=1,ISNUMBER($L13)),IF($L13=ReportDate,1,0),0)</f>
        <v>0</v>
      </c>
      <c r="AO13" s="71">
        <f>IF(AND($AK13=1,ISNUMBER($L13)),IF($L13=ReportDate+1,1,0),0)</f>
        <v>0</v>
      </c>
      <c r="AP13" s="71">
        <f>IF(AND($AK13=1,ISNUMBER($L13)),IF(AND($L13&gt;=ReportDate,$L13&lt;=ReportDate+DueSoonDays),1,0),0)</f>
        <v>0</v>
      </c>
      <c r="AQ13" s="71">
        <f>IF(AND($AK13=1,OR($I13="Critical",$I13="High")),1,0)</f>
        <v>0</v>
      </c>
      <c r="AR13" s="71">
        <f>IF($AK13=1,IF(ISNUMBER($Y13),IF(ReportDate-$Y13&gt;StaleDays,1,0),1),0)</f>
        <v>1</v>
      </c>
      <c r="AS13" s="71">
        <f>IF(AND($G13&lt;&gt;"",ISNUMBER($Q13),ISNUMBER($R13)),IF(AND($Q13&lt;$R13,OR($M13="Completed",AND(ISNUMBER($L13),$L13&lt;ReportDate))),1,0),0)</f>
        <v>0</v>
      </c>
      <c r="AT13" s="71">
        <f>IF($AK13=1,IF(OR($L13=ReportDate,$W13=ReportDate,$K13=ReportDate,$A13=ReportDate),1,0),0)</f>
        <v>0</v>
      </c>
      <c r="AU13" s="71">
        <f>IF($AK13=1,IF(OR($L13=ReportDate+1,$W13=ReportDate+1,$K13=ReportDate+1,$A13=ReportDate+1),1,0),0)</f>
        <v>0</v>
      </c>
      <c r="AV13" s="71">
        <f>IF(AND($G13&lt;&gt;"",$M13="Completed"),IF(OR($Y13=ReportDate-1,$A13=ReportDate-1),1,0),0)</f>
        <v>0</v>
      </c>
      <c r="AW13" s="71">
        <f>IF(AND($AK13=1,$Z13="Yes"),1,0)</f>
        <v>0</v>
      </c>
      <c r="AX13" s="71">
        <f>IF(AND($AK13=1,$AA13="Yes"),1,0)</f>
        <v>0</v>
      </c>
      <c r="AY13" s="71">
        <f>IF(AND($AM13=1,OR($I13="Critical",$I13="High")),1,0)</f>
        <v>0</v>
      </c>
      <c r="AZ13" s="71">
        <f>IF(AND($AK13=1,OR($C13=TCL_Client,$C13=MECCA_Client)),1,0)</f>
        <v>0</v>
      </c>
      <c r="BA13" s="71">
        <f>IF($G13="","",IFERROR(MATCH($I13,lst_Priority,0),5))</f>
        <v>5</v>
      </c>
      <c r="BB13" s="71" t="str">
        <f>IF(AND($AL13=1,$AJ13=1),$BA13*100000+ROW(),"")</f>
        <v/>
      </c>
      <c r="BC13" s="71" t="str">
        <f>IF(AND($AM13=1,$AJ13=1),$BA13*100000+ROW(),"")</f>
        <v/>
      </c>
      <c r="BD13" s="71" t="str">
        <f>IF(AND($AP13=1,$AJ13=1),$BA13*100000+ROW(),"")</f>
        <v/>
      </c>
      <c r="BE13" s="71" t="str">
        <f>IF(AND($AT13=1,$AJ13=1),$BA13*100000+ROW(),"")</f>
        <v/>
      </c>
      <c r="BF13" s="71" t="str">
        <f>IF(AND($AU13=1,$AJ13=1),$BA13*100000+ROW(),"")</f>
        <v/>
      </c>
      <c r="BG13" s="71" t="str">
        <f>IF(AND($AV13=1,$AJ13=1),$BA13*100000+ROW(),"")</f>
        <v/>
      </c>
      <c r="BH13" s="71" t="str">
        <f>IF(AND($AW13=1,$AJ13=1),$BA13*100000+ROW(),"")</f>
        <v/>
      </c>
      <c r="BI13" s="71" t="str">
        <f>IF(AND($AX13=1,$AJ13=1),$BA13*100000+ROW(),"")</f>
        <v/>
      </c>
      <c r="BJ13" s="71" t="str">
        <f>IF(AND($AS13=1,$AJ13=1),$BA13*100000+ROW(),"")</f>
        <v/>
      </c>
      <c r="BK13" s="71" t="str">
        <f>IF(AND($AY13=1,$AJ13=1),$BA13*100000+ROW(),"")</f>
        <v/>
      </c>
      <c r="BL13" s="71" t="str">
        <f>IF(AND($AZ13=1),$BA13*100000+ROW(),"")</f>
        <v/>
      </c>
    </row>
    <row r="14">
      <c r="A14" s="63" t="n"/>
      <c r="B14" s="64" t="inlineStr">
        <is>
          <t>Surbhi Pandey</t>
        </is>
      </c>
      <c r="C14" s="64" t="inlineStr">
        <is>
          <t>SAP</t>
        </is>
      </c>
      <c r="D14" s="64" t="inlineStr">
        <is>
          <t>SAP Success Factor HR Bengaluru</t>
        </is>
      </c>
      <c r="E14" s="64" t="inlineStr">
        <is>
          <t>Campaign Execution</t>
        </is>
      </c>
      <c r="F14" s="64" t="inlineStr">
        <is>
          <t>Content Syndication</t>
        </is>
      </c>
      <c r="G14" s="65" t="inlineStr">
        <is>
          <t>Content Syndication - Email + WhatsApp deployment</t>
        </is>
      </c>
      <c r="H14" s="65" t="n"/>
      <c r="I14" s="64" t="n"/>
      <c r="J14" s="64" t="n"/>
      <c r="K14" s="63" t="n"/>
      <c r="L14" s="63" t="n">
        <v>46290</v>
      </c>
      <c r="M14" s="64" t="n"/>
      <c r="N14" s="66" t="n"/>
      <c r="O14" s="65" t="n"/>
      <c r="P14" s="64" t="n"/>
      <c r="Q14" s="67" t="n"/>
      <c r="R14" s="67" t="n"/>
      <c r="S14" s="68" t="str">
        <f>IF(AND(ISNUMBER($Q14),ISNUMBER($R14)),$Q14-$R14,"")</f>
        <v/>
      </c>
      <c r="T14" s="65" t="n"/>
      <c r="U14" s="64" t="n"/>
      <c r="V14" s="65" t="n"/>
      <c r="W14" s="63" t="n"/>
      <c r="X14" s="65" t="inlineStr">
        <is>
          <t>Date as provided: '25th Sep' (year assumed 2026 - please confirm). Baseline: status not provided.</t>
        </is>
      </c>
      <c r="Y14" s="63" t="n"/>
      <c r="Z14" s="64" t="n"/>
      <c r="AA14" s="64" t="n"/>
      <c r="AB14" s="65" t="n"/>
      <c r="AC14" s="69" t="str">
        <f>IF(OR($G14="",NOT(ISNUMBER($K14)),$AK14=0),"",MAX(0,ReportDate-$K14))</f>
        <v/>
      </c>
      <c r="AD14" s="69">
        <f>IF($G14="","",IF($AL14=1,ReportDate-$L14,0))</f>
        <v>10</v>
      </c>
      <c r="AE14" s="70">
        <f>IF($G14="","",IF($M14="Completed",1,IF(ISNUMBER($N14),$N14,0)))</f>
        <v>0</v>
      </c>
      <c r="AF14" s="70" t="str">
        <f>IF(AND(ISNUMBER($Q14),ISNUMBER($R14)),IF($R14&lt;&gt;0,$Q14/$R14,""),"")</f>
        <v/>
      </c>
      <c r="AG14" s="71" t="str">
        <f>IF($G14="","",IF($AL14=1,"OVERDUE",IF($AM14=1,"BLOCKED",IF($AN14=1,"DUE TODAY",IF($AO14=1,"DUE TOMORROW",IF($AQ14=1,"HIGH PRIORITY",IF($AR14=1,"NO RECENT UPDATE",""))))))) </f>
        <v>OVERDUE</v>
      </c>
      <c r="AH14" s="71" t="str">
        <f>IF($G14="","",IF(ISNUMBER($A14),IF(ISNUMBER($A14),YEAR($A14)&amp;"-"&amp;TEXT(MONTH($A14),"00"),""),IF(ISNUMBER($L14),IF(ISNUMBER($L14),YEAR($L14)&amp;"-"&amp;TEXT(MONTH($L14),"00"),""),"")))</f>
        <v>2026-09</v>
      </c>
      <c r="AI14" s="71">
        <f>IF($G14="",0,IF(AND(OR(fClient="All",$C14=fClient),OR(fCampaign="All",$D14=fCampaign),OR(fTeam="All",$B14=fTeam),OR(fChannel="All",$F14=fChannel),OR(fMonth="All",$AH14=fMonth),OR(fTStatus="All",$M14=fTStatus)),1,0))</f>
        <v>1</v>
      </c>
      <c r="AJ14" s="71">
        <f>IF($G14="",0,IF(AND(OR(fClient="All",$C14=fClient),OR(fCampaign="All",$D14=fCampaign),OR(fTeam="All",$B14=fTeam),OR(fChannel="All",$F14=fChannel)),1,0))</f>
        <v>1</v>
      </c>
      <c r="AK14" s="71">
        <f>IF($G14="",0,IF(OR($M14="Completed",$M14="Cancelled"),0,1))</f>
        <v>1</v>
      </c>
      <c r="AL14" s="71">
        <f>IF(AND($AK14=1,ISNUMBER($L14)),IF($L14&lt;ReportDate,1,0),0)</f>
        <v>1</v>
      </c>
      <c r="AM14" s="71">
        <f>IF(AND($G14&lt;&gt;"",$M14="Blocked"),1,0)</f>
        <v>0</v>
      </c>
      <c r="AN14" s="71">
        <f>IF(AND($AK14=1,ISNUMBER($L14)),IF($L14=ReportDate,1,0),0)</f>
        <v>0</v>
      </c>
      <c r="AO14" s="71">
        <f>IF(AND($AK14=1,ISNUMBER($L14)),IF($L14=ReportDate+1,1,0),0)</f>
        <v>0</v>
      </c>
      <c r="AP14" s="71">
        <f>IF(AND($AK14=1,ISNUMBER($L14)),IF(AND($L14&gt;=ReportDate,$L14&lt;=ReportDate+DueSoonDays),1,0),0)</f>
        <v>0</v>
      </c>
      <c r="AQ14" s="71">
        <f>IF(AND($AK14=1,OR($I14="Critical",$I14="High")),1,0)</f>
        <v>0</v>
      </c>
      <c r="AR14" s="71">
        <f>IF($AK14=1,IF(ISNUMBER($Y14),IF(ReportDate-$Y14&gt;StaleDays,1,0),1),0)</f>
        <v>1</v>
      </c>
      <c r="AS14" s="71">
        <f>IF(AND($G14&lt;&gt;"",ISNUMBER($Q14),ISNUMBER($R14)),IF(AND($Q14&lt;$R14,OR($M14="Completed",AND(ISNUMBER($L14),$L14&lt;ReportDate))),1,0),0)</f>
        <v>0</v>
      </c>
      <c r="AT14" s="71">
        <f>IF($AK14=1,IF(OR($L14=ReportDate,$W14=ReportDate,$K14=ReportDate,$A14=ReportDate),1,0),0)</f>
        <v>0</v>
      </c>
      <c r="AU14" s="71">
        <f>IF($AK14=1,IF(OR($L14=ReportDate+1,$W14=ReportDate+1,$K14=ReportDate+1,$A14=ReportDate+1),1,0),0)</f>
        <v>0</v>
      </c>
      <c r="AV14" s="71">
        <f>IF(AND($G14&lt;&gt;"",$M14="Completed"),IF(OR($Y14=ReportDate-1,$A14=ReportDate-1),1,0),0)</f>
        <v>0</v>
      </c>
      <c r="AW14" s="71">
        <f>IF(AND($AK14=1,$Z14="Yes"),1,0)</f>
        <v>0</v>
      </c>
      <c r="AX14" s="71">
        <f>IF(AND($AK14=1,$AA14="Yes"),1,0)</f>
        <v>0</v>
      </c>
      <c r="AY14" s="71">
        <f>IF(AND($AM14=1,OR($I14="Critical",$I14="High")),1,0)</f>
        <v>0</v>
      </c>
      <c r="AZ14" s="71">
        <f>IF(AND($AK14=1,OR($C14=TCL_Client,$C14=MECCA_Client)),1,0)</f>
        <v>0</v>
      </c>
      <c r="BA14" s="71">
        <f>IF($G14="","",IFERROR(MATCH($I14,lst_Priority,0),5))</f>
        <v>5</v>
      </c>
      <c r="BB14" s="71">
        <f>IF(AND($AL14=1,$AJ14=1),$BA14*100000+ROW(),"")</f>
        <v>500014</v>
      </c>
      <c r="BC14" s="71" t="str">
        <f>IF(AND($AM14=1,$AJ14=1),$BA14*100000+ROW(),"")</f>
        <v/>
      </c>
      <c r="BD14" s="71" t="str">
        <f>IF(AND($AP14=1,$AJ14=1),$BA14*100000+ROW(),"")</f>
        <v/>
      </c>
      <c r="BE14" s="71" t="str">
        <f>IF(AND($AT14=1,$AJ14=1),$BA14*100000+ROW(),"")</f>
        <v/>
      </c>
      <c r="BF14" s="71" t="str">
        <f>IF(AND($AU14=1,$AJ14=1),$BA14*100000+ROW(),"")</f>
        <v/>
      </c>
      <c r="BG14" s="71" t="str">
        <f>IF(AND($AV14=1,$AJ14=1),$BA14*100000+ROW(),"")</f>
        <v/>
      </c>
      <c r="BH14" s="71" t="str">
        <f>IF(AND($AW14=1,$AJ14=1),$BA14*100000+ROW(),"")</f>
        <v/>
      </c>
      <c r="BI14" s="71" t="str">
        <f>IF(AND($AX14=1,$AJ14=1),$BA14*100000+ROW(),"")</f>
        <v/>
      </c>
      <c r="BJ14" s="71" t="str">
        <f>IF(AND($AS14=1,$AJ14=1),$BA14*100000+ROW(),"")</f>
        <v/>
      </c>
      <c r="BK14" s="71" t="str">
        <f>IF(AND($AY14=1,$AJ14=1),$BA14*100000+ROW(),"")</f>
        <v/>
      </c>
      <c r="BL14" s="71" t="str">
        <f>IF(AND($AZ14=1),$BA14*100000+ROW(),"")</f>
        <v/>
      </c>
    </row>
    <row r="15">
      <c r="A15" s="63" t="n"/>
      <c r="B15" s="64" t="inlineStr">
        <is>
          <t>Surbhi Pandey</t>
        </is>
      </c>
      <c r="C15" s="64" t="inlineStr">
        <is>
          <t>SAP</t>
        </is>
      </c>
      <c r="D15" s="64" t="inlineStr">
        <is>
          <t>SAP Success Factor HR Bengaluru</t>
        </is>
      </c>
      <c r="E15" s="64" t="inlineStr">
        <is>
          <t>Campaign Execution</t>
        </is>
      </c>
      <c r="F15" s="64" t="inlineStr">
        <is>
          <t>Content Syndication</t>
        </is>
      </c>
      <c r="G15" s="65" t="inlineStr">
        <is>
          <t>Content Syndication - Email + WhatsApp deployment</t>
        </is>
      </c>
      <c r="H15" s="65" t="n"/>
      <c r="I15" s="64" t="n"/>
      <c r="J15" s="64" t="n"/>
      <c r="K15" s="63" t="n"/>
      <c r="L15" s="63" t="n">
        <v>46304</v>
      </c>
      <c r="M15" s="64" t="n"/>
      <c r="N15" s="66" t="n"/>
      <c r="O15" s="65" t="n"/>
      <c r="P15" s="64" t="n"/>
      <c r="Q15" s="67" t="n"/>
      <c r="R15" s="67" t="n"/>
      <c r="S15" s="68" t="str">
        <f>IF(AND(ISNUMBER($Q15),ISNUMBER($R15)),$Q15-$R15,"")</f>
        <v/>
      </c>
      <c r="T15" s="65" t="n"/>
      <c r="U15" s="64" t="n"/>
      <c r="V15" s="65" t="n"/>
      <c r="W15" s="63" t="n"/>
      <c r="X15" s="65" t="inlineStr">
        <is>
          <t>Date as provided: '9th Oct' (year assumed 2026 - please confirm). Baseline: status not provided.</t>
        </is>
      </c>
      <c r="Y15" s="63" t="n"/>
      <c r="Z15" s="64" t="n"/>
      <c r="AA15" s="64" t="n"/>
      <c r="AB15" s="65" t="n"/>
      <c r="AC15" s="69" t="str">
        <f>IF(OR($G15="",NOT(ISNUMBER($K15)),$AK15=0),"",MAX(0,ReportDate-$K15))</f>
        <v/>
      </c>
      <c r="AD15" s="69">
        <f>IF($G15="","",IF($AL15=1,ReportDate-$L15,0))</f>
        <v>0</v>
      </c>
      <c r="AE15" s="70">
        <f>IF($G15="","",IF($M15="Completed",1,IF(ISNUMBER($N15),$N15,0)))</f>
        <v>0</v>
      </c>
      <c r="AF15" s="70" t="str">
        <f>IF(AND(ISNUMBER($Q15),ISNUMBER($R15)),IF($R15&lt;&gt;0,$Q15/$R15,""),"")</f>
        <v/>
      </c>
      <c r="AG15" s="71" t="str">
        <f>IF($G15="","",IF($AL15=1,"OVERDUE",IF($AM15=1,"BLOCKED",IF($AN15=1,"DUE TODAY",IF($AO15=1,"DUE TOMORROW",IF($AQ15=1,"HIGH PRIORITY",IF($AR15=1,"NO RECENT UPDATE",""))))))) </f>
        <v>NO RECENT UPDATE</v>
      </c>
      <c r="AH15" s="71" t="str">
        <f>IF($G15="","",IF(ISNUMBER($A15),IF(ISNUMBER($A15),YEAR($A15)&amp;"-"&amp;TEXT(MONTH($A15),"00"),""),IF(ISNUMBER($L15),IF(ISNUMBER($L15),YEAR($L15)&amp;"-"&amp;TEXT(MONTH($L15),"00"),""),"")))</f>
        <v>2026-10</v>
      </c>
      <c r="AI15" s="71">
        <f>IF($G15="",0,IF(AND(OR(fClient="All",$C15=fClient),OR(fCampaign="All",$D15=fCampaign),OR(fTeam="All",$B15=fTeam),OR(fChannel="All",$F15=fChannel),OR(fMonth="All",$AH15=fMonth),OR(fTStatus="All",$M15=fTStatus)),1,0))</f>
        <v>1</v>
      </c>
      <c r="AJ15" s="71">
        <f>IF($G15="",0,IF(AND(OR(fClient="All",$C15=fClient),OR(fCampaign="All",$D15=fCampaign),OR(fTeam="All",$B15=fTeam),OR(fChannel="All",$F15=fChannel)),1,0))</f>
        <v>1</v>
      </c>
      <c r="AK15" s="71">
        <f>IF($G15="",0,IF(OR($M15="Completed",$M15="Cancelled"),0,1))</f>
        <v>1</v>
      </c>
      <c r="AL15" s="71">
        <f>IF(AND($AK15=1,ISNUMBER($L15)),IF($L15&lt;ReportDate,1,0),0)</f>
        <v>0</v>
      </c>
      <c r="AM15" s="71">
        <f>IF(AND($G15&lt;&gt;"",$M15="Blocked"),1,0)</f>
        <v>0</v>
      </c>
      <c r="AN15" s="71">
        <f>IF(AND($AK15=1,ISNUMBER($L15)),IF($L15=ReportDate,1,0),0)</f>
        <v>0</v>
      </c>
      <c r="AO15" s="71">
        <f>IF(AND($AK15=1,ISNUMBER($L15)),IF($L15=ReportDate+1,1,0),0)</f>
        <v>0</v>
      </c>
      <c r="AP15" s="71">
        <f>IF(AND($AK15=1,ISNUMBER($L15)),IF(AND($L15&gt;=ReportDate,$L15&lt;=ReportDate+DueSoonDays),1,0),0)</f>
        <v>0</v>
      </c>
      <c r="AQ15" s="71">
        <f>IF(AND($AK15=1,OR($I15="Critical",$I15="High")),1,0)</f>
        <v>0</v>
      </c>
      <c r="AR15" s="71">
        <f>IF($AK15=1,IF(ISNUMBER($Y15),IF(ReportDate-$Y15&gt;StaleDays,1,0),1),0)</f>
        <v>1</v>
      </c>
      <c r="AS15" s="71">
        <f>IF(AND($G15&lt;&gt;"",ISNUMBER($Q15),ISNUMBER($R15)),IF(AND($Q15&lt;$R15,OR($M15="Completed",AND(ISNUMBER($L15),$L15&lt;ReportDate))),1,0),0)</f>
        <v>0</v>
      </c>
      <c r="AT15" s="71">
        <f>IF($AK15=1,IF(OR($L15=ReportDate,$W15=ReportDate,$K15=ReportDate,$A15=ReportDate),1,0),0)</f>
        <v>0</v>
      </c>
      <c r="AU15" s="71">
        <f>IF($AK15=1,IF(OR($L15=ReportDate+1,$W15=ReportDate+1,$K15=ReportDate+1,$A15=ReportDate+1),1,0),0)</f>
        <v>0</v>
      </c>
      <c r="AV15" s="71">
        <f>IF(AND($G15&lt;&gt;"",$M15="Completed"),IF(OR($Y15=ReportDate-1,$A15=ReportDate-1),1,0),0)</f>
        <v>0</v>
      </c>
      <c r="AW15" s="71">
        <f>IF(AND($AK15=1,$Z15="Yes"),1,0)</f>
        <v>0</v>
      </c>
      <c r="AX15" s="71">
        <f>IF(AND($AK15=1,$AA15="Yes"),1,0)</f>
        <v>0</v>
      </c>
      <c r="AY15" s="71">
        <f>IF(AND($AM15=1,OR($I15="Critical",$I15="High")),1,0)</f>
        <v>0</v>
      </c>
      <c r="AZ15" s="71">
        <f>IF(AND($AK15=1,OR($C15=TCL_Client,$C15=MECCA_Client)),1,0)</f>
        <v>0</v>
      </c>
      <c r="BA15" s="71">
        <f>IF($G15="","",IFERROR(MATCH($I15,lst_Priority,0),5))</f>
        <v>5</v>
      </c>
      <c r="BB15" s="71" t="str">
        <f>IF(AND($AL15=1,$AJ15=1),$BA15*100000+ROW(),"")</f>
        <v/>
      </c>
      <c r="BC15" s="71" t="str">
        <f>IF(AND($AM15=1,$AJ15=1),$BA15*100000+ROW(),"")</f>
        <v/>
      </c>
      <c r="BD15" s="71" t="str">
        <f>IF(AND($AP15=1,$AJ15=1),$BA15*100000+ROW(),"")</f>
        <v/>
      </c>
      <c r="BE15" s="71" t="str">
        <f>IF(AND($AT15=1,$AJ15=1),$BA15*100000+ROW(),"")</f>
        <v/>
      </c>
      <c r="BF15" s="71" t="str">
        <f>IF(AND($AU15=1,$AJ15=1),$BA15*100000+ROW(),"")</f>
        <v/>
      </c>
      <c r="BG15" s="71" t="str">
        <f>IF(AND($AV15=1,$AJ15=1),$BA15*100000+ROW(),"")</f>
        <v/>
      </c>
      <c r="BH15" s="71" t="str">
        <f>IF(AND($AW15=1,$AJ15=1),$BA15*100000+ROW(),"")</f>
        <v/>
      </c>
      <c r="BI15" s="71" t="str">
        <f>IF(AND($AX15=1,$AJ15=1),$BA15*100000+ROW(),"")</f>
        <v/>
      </c>
      <c r="BJ15" s="71" t="str">
        <f>IF(AND($AS15=1,$AJ15=1),$BA15*100000+ROW(),"")</f>
        <v/>
      </c>
      <c r="BK15" s="71" t="str">
        <f>IF(AND($AY15=1,$AJ15=1),$BA15*100000+ROW(),"")</f>
        <v/>
      </c>
      <c r="BL15" s="71" t="str">
        <f>IF(AND($AZ15=1),$BA15*100000+ROW(),"")</f>
        <v/>
      </c>
    </row>
    <row r="16">
      <c r="A16" s="63" t="n"/>
      <c r="B16" s="64" t="inlineStr">
        <is>
          <t>Surbhi Pandey</t>
        </is>
      </c>
      <c r="C16" s="64" t="inlineStr">
        <is>
          <t>SAP</t>
        </is>
      </c>
      <c r="D16" s="64" t="inlineStr">
        <is>
          <t>SAP Viksit Bharat</t>
        </is>
      </c>
      <c r="E16" s="64" t="inlineStr">
        <is>
          <t>Campaign Execution</t>
        </is>
      </c>
      <c r="F16" s="64" t="inlineStr">
        <is>
          <t>Content Syndication</t>
        </is>
      </c>
      <c r="G16" s="65" t="inlineStr">
        <is>
          <t>Content Syndication - Email + WhatsApp deployment</t>
        </is>
      </c>
      <c r="H16" s="65" t="n"/>
      <c r="I16" s="64" t="n"/>
      <c r="J16" s="64" t="n"/>
      <c r="K16" s="63" t="n"/>
      <c r="L16" s="63" t="n">
        <v>46290</v>
      </c>
      <c r="M16" s="64" t="n"/>
      <c r="N16" s="66" t="n"/>
      <c r="O16" s="65" t="n"/>
      <c r="P16" s="64" t="n"/>
      <c r="Q16" s="67" t="n"/>
      <c r="R16" s="67" t="n"/>
      <c r="S16" s="68" t="str">
        <f>IF(AND(ISNUMBER($Q16),ISNUMBER($R16)),$Q16-$R16,"")</f>
        <v/>
      </c>
      <c r="T16" s="65" t="n"/>
      <c r="U16" s="64" t="n"/>
      <c r="V16" s="65" t="n"/>
      <c r="W16" s="63" t="n"/>
      <c r="X16" s="65" t="inlineStr">
        <is>
          <t>Date as provided: '25th Sep' (year assumed 2026 - please confirm). Baseline: status not provided.</t>
        </is>
      </c>
      <c r="Y16" s="63" t="n"/>
      <c r="Z16" s="64" t="n"/>
      <c r="AA16" s="64" t="n"/>
      <c r="AB16" s="65" t="n"/>
      <c r="AC16" s="69" t="str">
        <f>IF(OR($G16="",NOT(ISNUMBER($K16)),$AK16=0),"",MAX(0,ReportDate-$K16))</f>
        <v/>
      </c>
      <c r="AD16" s="69">
        <f>IF($G16="","",IF($AL16=1,ReportDate-$L16,0))</f>
        <v>10</v>
      </c>
      <c r="AE16" s="70">
        <f>IF($G16="","",IF($M16="Completed",1,IF(ISNUMBER($N16),$N16,0)))</f>
        <v>0</v>
      </c>
      <c r="AF16" s="70" t="str">
        <f>IF(AND(ISNUMBER($Q16),ISNUMBER($R16)),IF($R16&lt;&gt;0,$Q16/$R16,""),"")</f>
        <v/>
      </c>
      <c r="AG16" s="71" t="str">
        <f>IF($G16="","",IF($AL16=1,"OVERDUE",IF($AM16=1,"BLOCKED",IF($AN16=1,"DUE TODAY",IF($AO16=1,"DUE TOMORROW",IF($AQ16=1,"HIGH PRIORITY",IF($AR16=1,"NO RECENT UPDATE",""))))))) </f>
        <v>OVERDUE</v>
      </c>
      <c r="AH16" s="71" t="str">
        <f>IF($G16="","",IF(ISNUMBER($A16),IF(ISNUMBER($A16),YEAR($A16)&amp;"-"&amp;TEXT(MONTH($A16),"00"),""),IF(ISNUMBER($L16),IF(ISNUMBER($L16),YEAR($L16)&amp;"-"&amp;TEXT(MONTH($L16),"00"),""),"")))</f>
        <v>2026-09</v>
      </c>
      <c r="AI16" s="71">
        <f>IF($G16="",0,IF(AND(OR(fClient="All",$C16=fClient),OR(fCampaign="All",$D16=fCampaign),OR(fTeam="All",$B16=fTeam),OR(fChannel="All",$F16=fChannel),OR(fMonth="All",$AH16=fMonth),OR(fTStatus="All",$M16=fTStatus)),1,0))</f>
        <v>1</v>
      </c>
      <c r="AJ16" s="71">
        <f>IF($G16="",0,IF(AND(OR(fClient="All",$C16=fClient),OR(fCampaign="All",$D16=fCampaign),OR(fTeam="All",$B16=fTeam),OR(fChannel="All",$F16=fChannel)),1,0))</f>
        <v>1</v>
      </c>
      <c r="AK16" s="71">
        <f>IF($G16="",0,IF(OR($M16="Completed",$M16="Cancelled"),0,1))</f>
        <v>1</v>
      </c>
      <c r="AL16" s="71">
        <f>IF(AND($AK16=1,ISNUMBER($L16)),IF($L16&lt;ReportDate,1,0),0)</f>
        <v>1</v>
      </c>
      <c r="AM16" s="71">
        <f>IF(AND($G16&lt;&gt;"",$M16="Blocked"),1,0)</f>
        <v>0</v>
      </c>
      <c r="AN16" s="71">
        <f>IF(AND($AK16=1,ISNUMBER($L16)),IF($L16=ReportDate,1,0),0)</f>
        <v>0</v>
      </c>
      <c r="AO16" s="71">
        <f>IF(AND($AK16=1,ISNUMBER($L16)),IF($L16=ReportDate+1,1,0),0)</f>
        <v>0</v>
      </c>
      <c r="AP16" s="71">
        <f>IF(AND($AK16=1,ISNUMBER($L16)),IF(AND($L16&gt;=ReportDate,$L16&lt;=ReportDate+DueSoonDays),1,0),0)</f>
        <v>0</v>
      </c>
      <c r="AQ16" s="71">
        <f>IF(AND($AK16=1,OR($I16="Critical",$I16="High")),1,0)</f>
        <v>0</v>
      </c>
      <c r="AR16" s="71">
        <f>IF($AK16=1,IF(ISNUMBER($Y16),IF(ReportDate-$Y16&gt;StaleDays,1,0),1),0)</f>
        <v>1</v>
      </c>
      <c r="AS16" s="71">
        <f>IF(AND($G16&lt;&gt;"",ISNUMBER($Q16),ISNUMBER($R16)),IF(AND($Q16&lt;$R16,OR($M16="Completed",AND(ISNUMBER($L16),$L16&lt;ReportDate))),1,0),0)</f>
        <v>0</v>
      </c>
      <c r="AT16" s="71">
        <f>IF($AK16=1,IF(OR($L16=ReportDate,$W16=ReportDate,$K16=ReportDate,$A16=ReportDate),1,0),0)</f>
        <v>0</v>
      </c>
      <c r="AU16" s="71">
        <f>IF($AK16=1,IF(OR($L16=ReportDate+1,$W16=ReportDate+1,$K16=ReportDate+1,$A16=ReportDate+1),1,0),0)</f>
        <v>0</v>
      </c>
      <c r="AV16" s="71">
        <f>IF(AND($G16&lt;&gt;"",$M16="Completed"),IF(OR($Y16=ReportDate-1,$A16=ReportDate-1),1,0),0)</f>
        <v>0</v>
      </c>
      <c r="AW16" s="71">
        <f>IF(AND($AK16=1,$Z16="Yes"),1,0)</f>
        <v>0</v>
      </c>
      <c r="AX16" s="71">
        <f>IF(AND($AK16=1,$AA16="Yes"),1,0)</f>
        <v>0</v>
      </c>
      <c r="AY16" s="71">
        <f>IF(AND($AM16=1,OR($I16="Critical",$I16="High")),1,0)</f>
        <v>0</v>
      </c>
      <c r="AZ16" s="71">
        <f>IF(AND($AK16=1,OR($C16=TCL_Client,$C16=MECCA_Client)),1,0)</f>
        <v>0</v>
      </c>
      <c r="BA16" s="71">
        <f>IF($G16="","",IFERROR(MATCH($I16,lst_Priority,0),5))</f>
        <v>5</v>
      </c>
      <c r="BB16" s="71">
        <f>IF(AND($AL16=1,$AJ16=1),$BA16*100000+ROW(),"")</f>
        <v>500016</v>
      </c>
      <c r="BC16" s="71" t="str">
        <f>IF(AND($AM16=1,$AJ16=1),$BA16*100000+ROW(),"")</f>
        <v/>
      </c>
      <c r="BD16" s="71" t="str">
        <f>IF(AND($AP16=1,$AJ16=1),$BA16*100000+ROW(),"")</f>
        <v/>
      </c>
      <c r="BE16" s="71" t="str">
        <f>IF(AND($AT16=1,$AJ16=1),$BA16*100000+ROW(),"")</f>
        <v/>
      </c>
      <c r="BF16" s="71" t="str">
        <f>IF(AND($AU16=1,$AJ16=1),$BA16*100000+ROW(),"")</f>
        <v/>
      </c>
      <c r="BG16" s="71" t="str">
        <f>IF(AND($AV16=1,$AJ16=1),$BA16*100000+ROW(),"")</f>
        <v/>
      </c>
      <c r="BH16" s="71" t="str">
        <f>IF(AND($AW16=1,$AJ16=1),$BA16*100000+ROW(),"")</f>
        <v/>
      </c>
      <c r="BI16" s="71" t="str">
        <f>IF(AND($AX16=1,$AJ16=1),$BA16*100000+ROW(),"")</f>
        <v/>
      </c>
      <c r="BJ16" s="71" t="str">
        <f>IF(AND($AS16=1,$AJ16=1),$BA16*100000+ROW(),"")</f>
        <v/>
      </c>
      <c r="BK16" s="71" t="str">
        <f>IF(AND($AY16=1,$AJ16=1),$BA16*100000+ROW(),"")</f>
        <v/>
      </c>
      <c r="BL16" s="71" t="str">
        <f>IF(AND($AZ16=1),$BA16*100000+ROW(),"")</f>
        <v/>
      </c>
    </row>
    <row r="17">
      <c r="A17" s="63" t="n"/>
      <c r="B17" s="64" t="inlineStr">
        <is>
          <t>Surbhi Pandey</t>
        </is>
      </c>
      <c r="C17" s="64" t="inlineStr">
        <is>
          <t>SAP</t>
        </is>
      </c>
      <c r="D17" s="64" t="inlineStr">
        <is>
          <t>SAP Viksit Bharat</t>
        </is>
      </c>
      <c r="E17" s="64" t="inlineStr">
        <is>
          <t>Campaign Execution</t>
        </is>
      </c>
      <c r="F17" s="64" t="inlineStr">
        <is>
          <t>Content Syndication</t>
        </is>
      </c>
      <c r="G17" s="65" t="inlineStr">
        <is>
          <t>Content Syndication - Email + WhatsApp deployment</t>
        </is>
      </c>
      <c r="H17" s="65" t="n"/>
      <c r="I17" s="64" t="n"/>
      <c r="J17" s="64" t="n"/>
      <c r="K17" s="63" t="n"/>
      <c r="L17" s="63" t="n">
        <v>46301</v>
      </c>
      <c r="M17" s="64" t="n"/>
      <c r="N17" s="66" t="n"/>
      <c r="O17" s="65" t="n"/>
      <c r="P17" s="64" t="n"/>
      <c r="Q17" s="67" t="n"/>
      <c r="R17" s="67" t="n"/>
      <c r="S17" s="68" t="str">
        <f>IF(AND(ISNUMBER($Q17),ISNUMBER($R17)),$Q17-$R17,"")</f>
        <v/>
      </c>
      <c r="T17" s="65" t="n"/>
      <c r="U17" s="64" t="n"/>
      <c r="V17" s="65" t="n"/>
      <c r="W17" s="63" t="n"/>
      <c r="X17" s="65" t="inlineStr">
        <is>
          <t>Date as provided: '6th Oct' (year assumed 2026 - please confirm). Baseline: status not provided.</t>
        </is>
      </c>
      <c r="Y17" s="63" t="n"/>
      <c r="Z17" s="64" t="n"/>
      <c r="AA17" s="64" t="n"/>
      <c r="AB17" s="65" t="n"/>
      <c r="AC17" s="69" t="str">
        <f>IF(OR($G17="",NOT(ISNUMBER($K17)),$AK17=0),"",MAX(0,ReportDate-$K17))</f>
        <v/>
      </c>
      <c r="AD17" s="69">
        <f>IF($G17="","",IF($AL17=1,ReportDate-$L17,0))</f>
        <v>0</v>
      </c>
      <c r="AE17" s="70">
        <f>IF($G17="","",IF($M17="Completed",1,IF(ISNUMBER($N17),$N17,0)))</f>
        <v>0</v>
      </c>
      <c r="AF17" s="70" t="str">
        <f>IF(AND(ISNUMBER($Q17),ISNUMBER($R17)),IF($R17&lt;&gt;0,$Q17/$R17,""),"")</f>
        <v/>
      </c>
      <c r="AG17" s="71" t="str">
        <f>IF($G17="","",IF($AL17=1,"OVERDUE",IF($AM17=1,"BLOCKED",IF($AN17=1,"DUE TODAY",IF($AO17=1,"DUE TOMORROW",IF($AQ17=1,"HIGH PRIORITY",IF($AR17=1,"NO RECENT UPDATE",""))))))) </f>
        <v>DUE TOMORROW</v>
      </c>
      <c r="AH17" s="71" t="str">
        <f>IF($G17="","",IF(ISNUMBER($A17),IF(ISNUMBER($A17),YEAR($A17)&amp;"-"&amp;TEXT(MONTH($A17),"00"),""),IF(ISNUMBER($L17),IF(ISNUMBER($L17),YEAR($L17)&amp;"-"&amp;TEXT(MONTH($L17),"00"),""),"")))</f>
        <v>2026-10</v>
      </c>
      <c r="AI17" s="71">
        <f>IF($G17="",0,IF(AND(OR(fClient="All",$C17=fClient),OR(fCampaign="All",$D17=fCampaign),OR(fTeam="All",$B17=fTeam),OR(fChannel="All",$F17=fChannel),OR(fMonth="All",$AH17=fMonth),OR(fTStatus="All",$M17=fTStatus)),1,0))</f>
        <v>1</v>
      </c>
      <c r="AJ17" s="71">
        <f>IF($G17="",0,IF(AND(OR(fClient="All",$C17=fClient),OR(fCampaign="All",$D17=fCampaign),OR(fTeam="All",$B17=fTeam),OR(fChannel="All",$F17=fChannel)),1,0))</f>
        <v>1</v>
      </c>
      <c r="AK17" s="71">
        <f>IF($G17="",0,IF(OR($M17="Completed",$M17="Cancelled"),0,1))</f>
        <v>1</v>
      </c>
      <c r="AL17" s="71">
        <f>IF(AND($AK17=1,ISNUMBER($L17)),IF($L17&lt;ReportDate,1,0),0)</f>
        <v>0</v>
      </c>
      <c r="AM17" s="71">
        <f>IF(AND($G17&lt;&gt;"",$M17="Blocked"),1,0)</f>
        <v>0</v>
      </c>
      <c r="AN17" s="71">
        <f>IF(AND($AK17=1,ISNUMBER($L17)),IF($L17=ReportDate,1,0),0)</f>
        <v>0</v>
      </c>
      <c r="AO17" s="71">
        <f>IF(AND($AK17=1,ISNUMBER($L17)),IF($L17=ReportDate+1,1,0),0)</f>
        <v>1</v>
      </c>
      <c r="AP17" s="71">
        <f>IF(AND($AK17=1,ISNUMBER($L17)),IF(AND($L17&gt;=ReportDate,$L17&lt;=ReportDate+DueSoonDays),1,0),0)</f>
        <v>1</v>
      </c>
      <c r="AQ17" s="71">
        <f>IF(AND($AK17=1,OR($I17="Critical",$I17="High")),1,0)</f>
        <v>0</v>
      </c>
      <c r="AR17" s="71">
        <f>IF($AK17=1,IF(ISNUMBER($Y17),IF(ReportDate-$Y17&gt;StaleDays,1,0),1),0)</f>
        <v>1</v>
      </c>
      <c r="AS17" s="71">
        <f>IF(AND($G17&lt;&gt;"",ISNUMBER($Q17),ISNUMBER($R17)),IF(AND($Q17&lt;$R17,OR($M17="Completed",AND(ISNUMBER($L17),$L17&lt;ReportDate))),1,0),0)</f>
        <v>0</v>
      </c>
      <c r="AT17" s="71">
        <f>IF($AK17=1,IF(OR($L17=ReportDate,$W17=ReportDate,$K17=ReportDate,$A17=ReportDate),1,0),0)</f>
        <v>0</v>
      </c>
      <c r="AU17" s="71">
        <f>IF($AK17=1,IF(OR($L17=ReportDate+1,$W17=ReportDate+1,$K17=ReportDate+1,$A17=ReportDate+1),1,0),0)</f>
        <v>1</v>
      </c>
      <c r="AV17" s="71">
        <f>IF(AND($G17&lt;&gt;"",$M17="Completed"),IF(OR($Y17=ReportDate-1,$A17=ReportDate-1),1,0),0)</f>
        <v>0</v>
      </c>
      <c r="AW17" s="71">
        <f>IF(AND($AK17=1,$Z17="Yes"),1,0)</f>
        <v>0</v>
      </c>
      <c r="AX17" s="71">
        <f>IF(AND($AK17=1,$AA17="Yes"),1,0)</f>
        <v>0</v>
      </c>
      <c r="AY17" s="71">
        <f>IF(AND($AM17=1,OR($I17="Critical",$I17="High")),1,0)</f>
        <v>0</v>
      </c>
      <c r="AZ17" s="71">
        <f>IF(AND($AK17=1,OR($C17=TCL_Client,$C17=MECCA_Client)),1,0)</f>
        <v>0</v>
      </c>
      <c r="BA17" s="71">
        <f>IF($G17="","",IFERROR(MATCH($I17,lst_Priority,0),5))</f>
        <v>5</v>
      </c>
      <c r="BB17" s="71" t="str">
        <f>IF(AND($AL17=1,$AJ17=1),$BA17*100000+ROW(),"")</f>
        <v/>
      </c>
      <c r="BC17" s="71" t="str">
        <f>IF(AND($AM17=1,$AJ17=1),$BA17*100000+ROW(),"")</f>
        <v/>
      </c>
      <c r="BD17" s="71">
        <f>IF(AND($AP17=1,$AJ17=1),$BA17*100000+ROW(),"")</f>
        <v>500017</v>
      </c>
      <c r="BE17" s="71" t="str">
        <f>IF(AND($AT17=1,$AJ17=1),$BA17*100000+ROW(),"")</f>
        <v/>
      </c>
      <c r="BF17" s="71">
        <f>IF(AND($AU17=1,$AJ17=1),$BA17*100000+ROW(),"")</f>
        <v>500017</v>
      </c>
      <c r="BG17" s="71" t="str">
        <f>IF(AND($AV17=1,$AJ17=1),$BA17*100000+ROW(),"")</f>
        <v/>
      </c>
      <c r="BH17" s="71" t="str">
        <f>IF(AND($AW17=1,$AJ17=1),$BA17*100000+ROW(),"")</f>
        <v/>
      </c>
      <c r="BI17" s="71" t="str">
        <f>IF(AND($AX17=1,$AJ17=1),$BA17*100000+ROW(),"")</f>
        <v/>
      </c>
      <c r="BJ17" s="71" t="str">
        <f>IF(AND($AS17=1,$AJ17=1),$BA17*100000+ROW(),"")</f>
        <v/>
      </c>
      <c r="BK17" s="71" t="str">
        <f>IF(AND($AY17=1,$AJ17=1),$BA17*100000+ROW(),"")</f>
        <v/>
      </c>
      <c r="BL17" s="71" t="str">
        <f>IF(AND($AZ17=1),$BA17*100000+ROW(),"")</f>
        <v/>
      </c>
    </row>
    <row r="18">
      <c r="A18" s="63" t="n"/>
      <c r="B18" s="64" t="inlineStr">
        <is>
          <t>Surbhi Pandey</t>
        </is>
      </c>
      <c r="C18" s="64" t="inlineStr">
        <is>
          <t>SAP</t>
        </is>
      </c>
      <c r="D18" s="64" t="inlineStr">
        <is>
          <t>SAP Success Factor Delhi</t>
        </is>
      </c>
      <c r="E18" s="64" t="inlineStr">
        <is>
          <t>Campaign Execution</t>
        </is>
      </c>
      <c r="F18" s="64" t="inlineStr">
        <is>
          <t>Content Syndication</t>
        </is>
      </c>
      <c r="G18" s="65" t="inlineStr">
        <is>
          <t>Content Syndication - Email + WhatsApp deployment</t>
        </is>
      </c>
      <c r="H18" s="65" t="n"/>
      <c r="I18" s="64" t="n"/>
      <c r="J18" s="64" t="n"/>
      <c r="K18" s="63" t="n"/>
      <c r="L18" s="63" t="n">
        <v>46295</v>
      </c>
      <c r="M18" s="64" t="n"/>
      <c r="N18" s="66" t="n"/>
      <c r="O18" s="65" t="n"/>
      <c r="P18" s="64" t="n"/>
      <c r="Q18" s="67" t="n"/>
      <c r="R18" s="67" t="n"/>
      <c r="S18" s="68" t="str">
        <f>IF(AND(ISNUMBER($Q18),ISNUMBER($R18)),$Q18-$R18,"")</f>
        <v/>
      </c>
      <c r="T18" s="65" t="n"/>
      <c r="U18" s="64" t="n"/>
      <c r="V18" s="65" t="n"/>
      <c r="W18" s="63" t="n"/>
      <c r="X18" s="65" t="inlineStr">
        <is>
          <t>Date as provided: '30th Sep' (year assumed 2026 - please confirm). Baseline: status not provided.</t>
        </is>
      </c>
      <c r="Y18" s="63" t="n"/>
      <c r="Z18" s="64" t="n"/>
      <c r="AA18" s="64" t="n"/>
      <c r="AB18" s="65" t="n"/>
      <c r="AC18" s="69" t="str">
        <f>IF(OR($G18="",NOT(ISNUMBER($K18)),$AK18=0),"",MAX(0,ReportDate-$K18))</f>
        <v/>
      </c>
      <c r="AD18" s="69">
        <f>IF($G18="","",IF($AL18=1,ReportDate-$L18,0))</f>
        <v>5</v>
      </c>
      <c r="AE18" s="70">
        <f>IF($G18="","",IF($M18="Completed",1,IF(ISNUMBER($N18),$N18,0)))</f>
        <v>0</v>
      </c>
      <c r="AF18" s="70" t="str">
        <f>IF(AND(ISNUMBER($Q18),ISNUMBER($R18)),IF($R18&lt;&gt;0,$Q18/$R18,""),"")</f>
        <v/>
      </c>
      <c r="AG18" s="71" t="str">
        <f>IF($G18="","",IF($AL18=1,"OVERDUE",IF($AM18=1,"BLOCKED",IF($AN18=1,"DUE TODAY",IF($AO18=1,"DUE TOMORROW",IF($AQ18=1,"HIGH PRIORITY",IF($AR18=1,"NO RECENT UPDATE",""))))))) </f>
        <v>OVERDUE</v>
      </c>
      <c r="AH18" s="71" t="str">
        <f>IF($G18="","",IF(ISNUMBER($A18),IF(ISNUMBER($A18),YEAR($A18)&amp;"-"&amp;TEXT(MONTH($A18),"00"),""),IF(ISNUMBER($L18),IF(ISNUMBER($L18),YEAR($L18)&amp;"-"&amp;TEXT(MONTH($L18),"00"),""),"")))</f>
        <v>2026-09</v>
      </c>
      <c r="AI18" s="71">
        <f>IF($G18="",0,IF(AND(OR(fClient="All",$C18=fClient),OR(fCampaign="All",$D18=fCampaign),OR(fTeam="All",$B18=fTeam),OR(fChannel="All",$F18=fChannel),OR(fMonth="All",$AH18=fMonth),OR(fTStatus="All",$M18=fTStatus)),1,0))</f>
        <v>1</v>
      </c>
      <c r="AJ18" s="71">
        <f>IF($G18="",0,IF(AND(OR(fClient="All",$C18=fClient),OR(fCampaign="All",$D18=fCampaign),OR(fTeam="All",$B18=fTeam),OR(fChannel="All",$F18=fChannel)),1,0))</f>
        <v>1</v>
      </c>
      <c r="AK18" s="71">
        <f>IF($G18="",0,IF(OR($M18="Completed",$M18="Cancelled"),0,1))</f>
        <v>1</v>
      </c>
      <c r="AL18" s="71">
        <f>IF(AND($AK18=1,ISNUMBER($L18)),IF($L18&lt;ReportDate,1,0),0)</f>
        <v>1</v>
      </c>
      <c r="AM18" s="71">
        <f>IF(AND($G18&lt;&gt;"",$M18="Blocked"),1,0)</f>
        <v>0</v>
      </c>
      <c r="AN18" s="71">
        <f>IF(AND($AK18=1,ISNUMBER($L18)),IF($L18=ReportDate,1,0),0)</f>
        <v>0</v>
      </c>
      <c r="AO18" s="71">
        <f>IF(AND($AK18=1,ISNUMBER($L18)),IF($L18=ReportDate+1,1,0),0)</f>
        <v>0</v>
      </c>
      <c r="AP18" s="71">
        <f>IF(AND($AK18=1,ISNUMBER($L18)),IF(AND($L18&gt;=ReportDate,$L18&lt;=ReportDate+DueSoonDays),1,0),0)</f>
        <v>0</v>
      </c>
      <c r="AQ18" s="71">
        <f>IF(AND($AK18=1,OR($I18="Critical",$I18="High")),1,0)</f>
        <v>0</v>
      </c>
      <c r="AR18" s="71">
        <f>IF($AK18=1,IF(ISNUMBER($Y18),IF(ReportDate-$Y18&gt;StaleDays,1,0),1),0)</f>
        <v>1</v>
      </c>
      <c r="AS18" s="71">
        <f>IF(AND($G18&lt;&gt;"",ISNUMBER($Q18),ISNUMBER($R18)),IF(AND($Q18&lt;$R18,OR($M18="Completed",AND(ISNUMBER($L18),$L18&lt;ReportDate))),1,0),0)</f>
        <v>0</v>
      </c>
      <c r="AT18" s="71">
        <f>IF($AK18=1,IF(OR($L18=ReportDate,$W18=ReportDate,$K18=ReportDate,$A18=ReportDate),1,0),0)</f>
        <v>0</v>
      </c>
      <c r="AU18" s="71">
        <f>IF($AK18=1,IF(OR($L18=ReportDate+1,$W18=ReportDate+1,$K18=ReportDate+1,$A18=ReportDate+1),1,0),0)</f>
        <v>0</v>
      </c>
      <c r="AV18" s="71">
        <f>IF(AND($G18&lt;&gt;"",$M18="Completed"),IF(OR($Y18=ReportDate-1,$A18=ReportDate-1),1,0),0)</f>
        <v>0</v>
      </c>
      <c r="AW18" s="71">
        <f>IF(AND($AK18=1,$Z18="Yes"),1,0)</f>
        <v>0</v>
      </c>
      <c r="AX18" s="71">
        <f>IF(AND($AK18=1,$AA18="Yes"),1,0)</f>
        <v>0</v>
      </c>
      <c r="AY18" s="71">
        <f>IF(AND($AM18=1,OR($I18="Critical",$I18="High")),1,0)</f>
        <v>0</v>
      </c>
      <c r="AZ18" s="71">
        <f>IF(AND($AK18=1,OR($C18=TCL_Client,$C18=MECCA_Client)),1,0)</f>
        <v>0</v>
      </c>
      <c r="BA18" s="71">
        <f>IF($G18="","",IFERROR(MATCH($I18,lst_Priority,0),5))</f>
        <v>5</v>
      </c>
      <c r="BB18" s="71">
        <f>IF(AND($AL18=1,$AJ18=1),$BA18*100000+ROW(),"")</f>
        <v>500018</v>
      </c>
      <c r="BC18" s="71" t="str">
        <f>IF(AND($AM18=1,$AJ18=1),$BA18*100000+ROW(),"")</f>
        <v/>
      </c>
      <c r="BD18" s="71" t="str">
        <f>IF(AND($AP18=1,$AJ18=1),$BA18*100000+ROW(),"")</f>
        <v/>
      </c>
      <c r="BE18" s="71" t="str">
        <f>IF(AND($AT18=1,$AJ18=1),$BA18*100000+ROW(),"")</f>
        <v/>
      </c>
      <c r="BF18" s="71" t="str">
        <f>IF(AND($AU18=1,$AJ18=1),$BA18*100000+ROW(),"")</f>
        <v/>
      </c>
      <c r="BG18" s="71" t="str">
        <f>IF(AND($AV18=1,$AJ18=1),$BA18*100000+ROW(),"")</f>
        <v/>
      </c>
      <c r="BH18" s="71" t="str">
        <f>IF(AND($AW18=1,$AJ18=1),$BA18*100000+ROW(),"")</f>
        <v/>
      </c>
      <c r="BI18" s="71" t="str">
        <f>IF(AND($AX18=1,$AJ18=1),$BA18*100000+ROW(),"")</f>
        <v/>
      </c>
      <c r="BJ18" s="71" t="str">
        <f>IF(AND($AS18=1,$AJ18=1),$BA18*100000+ROW(),"")</f>
        <v/>
      </c>
      <c r="BK18" s="71" t="str">
        <f>IF(AND($AY18=1,$AJ18=1),$BA18*100000+ROW(),"")</f>
        <v/>
      </c>
      <c r="BL18" s="71" t="str">
        <f>IF(AND($AZ18=1),$BA18*100000+ROW(),"")</f>
        <v/>
      </c>
    </row>
    <row r="19">
      <c r="A19" s="63" t="n"/>
      <c r="B19" s="64" t="inlineStr">
        <is>
          <t>Surbhi Pandey</t>
        </is>
      </c>
      <c r="C19" s="64" t="inlineStr">
        <is>
          <t>SAP</t>
        </is>
      </c>
      <c r="D19" s="64" t="inlineStr">
        <is>
          <t>SAP HRMS</t>
        </is>
      </c>
      <c r="E19" s="64" t="inlineStr">
        <is>
          <t>LinkedIn Outreach</t>
        </is>
      </c>
      <c r="F19" s="64" t="inlineStr">
        <is>
          <t>LinkedIn Outreach</t>
        </is>
      </c>
      <c r="G19" s="65" t="inlineStr">
        <is>
          <t>Dripify &amp; Sales Navigator</t>
        </is>
      </c>
      <c r="H19" s="65" t="n"/>
      <c r="I19" s="64" t="n"/>
      <c r="J19" s="64" t="n"/>
      <c r="K19" s="63" t="n"/>
      <c r="L19" s="63" t="n"/>
      <c r="M19" s="64" t="n"/>
      <c r="N19" s="66" t="n"/>
      <c r="O19" s="65" t="n"/>
      <c r="P19" s="64" t="n"/>
      <c r="Q19" s="67" t="n"/>
      <c r="R19" s="67" t="n"/>
      <c r="S19" s="68" t="str">
        <f>IF(AND(ISNUMBER($Q19),ISNUMBER($R19)),$Q19-$R19,"")</f>
        <v/>
      </c>
      <c r="T19" s="65" t="n"/>
      <c r="U19" s="64" t="n"/>
      <c r="V19" s="65" t="n"/>
      <c r="W19" s="63" t="n"/>
      <c r="X19" s="65" t="inlineStr">
        <is>
          <t>Baseline: status not provided.</t>
        </is>
      </c>
      <c r="Y19" s="63" t="n"/>
      <c r="Z19" s="64" t="n"/>
      <c r="AA19" s="64" t="n"/>
      <c r="AB19" s="65" t="n"/>
      <c r="AC19" s="69" t="str">
        <f>IF(OR($G19="",NOT(ISNUMBER($K19)),$AK19=0),"",MAX(0,ReportDate-$K19))</f>
        <v/>
      </c>
      <c r="AD19" s="69">
        <f>IF($G19="","",IF($AL19=1,ReportDate-$L19,0))</f>
        <v>0</v>
      </c>
      <c r="AE19" s="70">
        <f>IF($G19="","",IF($M19="Completed",1,IF(ISNUMBER($N19),$N19,0)))</f>
        <v>0</v>
      </c>
      <c r="AF19" s="70" t="str">
        <f>IF(AND(ISNUMBER($Q19),ISNUMBER($R19)),IF($R19&lt;&gt;0,$Q19/$R19,""),"")</f>
        <v/>
      </c>
      <c r="AG19" s="71" t="str">
        <f>IF($G19="","",IF($AL19=1,"OVERDUE",IF($AM19=1,"BLOCKED",IF($AN19=1,"DUE TODAY",IF($AO19=1,"DUE TOMORROW",IF($AQ19=1,"HIGH PRIORITY",IF($AR19=1,"NO RECENT UPDATE",""))))))) </f>
        <v>NO RECENT UPDATE</v>
      </c>
      <c r="AH19" s="71" t="str">
        <f>IF($G19="","",IF(ISNUMBER($A19),IF(ISNUMBER($A19),YEAR($A19)&amp;"-"&amp;TEXT(MONTH($A19),"00"),""),IF(ISNUMBER($L19),IF(ISNUMBER($L19),YEAR($L19)&amp;"-"&amp;TEXT(MONTH($L19),"00"),""),"")))</f>
        <v/>
      </c>
      <c r="AI19" s="71">
        <f>IF($G19="",0,IF(AND(OR(fClient="All",$C19=fClient),OR(fCampaign="All",$D19=fCampaign),OR(fTeam="All",$B19=fTeam),OR(fChannel="All",$F19=fChannel),OR(fMonth="All",$AH19=fMonth),OR(fTStatus="All",$M19=fTStatus)),1,0))</f>
        <v>1</v>
      </c>
      <c r="AJ19" s="71">
        <f>IF($G19="",0,IF(AND(OR(fClient="All",$C19=fClient),OR(fCampaign="All",$D19=fCampaign),OR(fTeam="All",$B19=fTeam),OR(fChannel="All",$F19=fChannel)),1,0))</f>
        <v>1</v>
      </c>
      <c r="AK19" s="71">
        <f>IF($G19="",0,IF(OR($M19="Completed",$M19="Cancelled"),0,1))</f>
        <v>1</v>
      </c>
      <c r="AL19" s="71">
        <f>IF(AND($AK19=1,ISNUMBER($L19)),IF($L19&lt;ReportDate,1,0),0)</f>
        <v>0</v>
      </c>
      <c r="AM19" s="71">
        <f>IF(AND($G19&lt;&gt;"",$M19="Blocked"),1,0)</f>
        <v>0</v>
      </c>
      <c r="AN19" s="71">
        <f>IF(AND($AK19=1,ISNUMBER($L19)),IF($L19=ReportDate,1,0),0)</f>
        <v>0</v>
      </c>
      <c r="AO19" s="71">
        <f>IF(AND($AK19=1,ISNUMBER($L19)),IF($L19=ReportDate+1,1,0),0)</f>
        <v>0</v>
      </c>
      <c r="AP19" s="71">
        <f>IF(AND($AK19=1,ISNUMBER($L19)),IF(AND($L19&gt;=ReportDate,$L19&lt;=ReportDate+DueSoonDays),1,0),0)</f>
        <v>0</v>
      </c>
      <c r="AQ19" s="71">
        <f>IF(AND($AK19=1,OR($I19="Critical",$I19="High")),1,0)</f>
        <v>0</v>
      </c>
      <c r="AR19" s="71">
        <f>IF($AK19=1,IF(ISNUMBER($Y19),IF(ReportDate-$Y19&gt;StaleDays,1,0),1),0)</f>
        <v>1</v>
      </c>
      <c r="AS19" s="71">
        <f>IF(AND($G19&lt;&gt;"",ISNUMBER($Q19),ISNUMBER($R19)),IF(AND($Q19&lt;$R19,OR($M19="Completed",AND(ISNUMBER($L19),$L19&lt;ReportDate))),1,0),0)</f>
        <v>0</v>
      </c>
      <c r="AT19" s="71">
        <f>IF($AK19=1,IF(OR($L19=ReportDate,$W19=ReportDate,$K19=ReportDate,$A19=ReportDate),1,0),0)</f>
        <v>0</v>
      </c>
      <c r="AU19" s="71">
        <f>IF($AK19=1,IF(OR($L19=ReportDate+1,$W19=ReportDate+1,$K19=ReportDate+1,$A19=ReportDate+1),1,0),0)</f>
        <v>0</v>
      </c>
      <c r="AV19" s="71">
        <f>IF(AND($G19&lt;&gt;"",$M19="Completed"),IF(OR($Y19=ReportDate-1,$A19=ReportDate-1),1,0),0)</f>
        <v>0</v>
      </c>
      <c r="AW19" s="71">
        <f>IF(AND($AK19=1,$Z19="Yes"),1,0)</f>
        <v>0</v>
      </c>
      <c r="AX19" s="71">
        <f>IF(AND($AK19=1,$AA19="Yes"),1,0)</f>
        <v>0</v>
      </c>
      <c r="AY19" s="71">
        <f>IF(AND($AM19=1,OR($I19="Critical",$I19="High")),1,0)</f>
        <v>0</v>
      </c>
      <c r="AZ19" s="71">
        <f>IF(AND($AK19=1,OR($C19=TCL_Client,$C19=MECCA_Client)),1,0)</f>
        <v>0</v>
      </c>
      <c r="BA19" s="71">
        <f>IF($G19="","",IFERROR(MATCH($I19,lst_Priority,0),5))</f>
        <v>5</v>
      </c>
      <c r="BB19" s="71" t="str">
        <f>IF(AND($AL19=1,$AJ19=1),$BA19*100000+ROW(),"")</f>
        <v/>
      </c>
      <c r="BC19" s="71" t="str">
        <f>IF(AND($AM19=1,$AJ19=1),$BA19*100000+ROW(),"")</f>
        <v/>
      </c>
      <c r="BD19" s="71" t="str">
        <f>IF(AND($AP19=1,$AJ19=1),$BA19*100000+ROW(),"")</f>
        <v/>
      </c>
      <c r="BE19" s="71" t="str">
        <f>IF(AND($AT19=1,$AJ19=1),$BA19*100000+ROW(),"")</f>
        <v/>
      </c>
      <c r="BF19" s="71" t="str">
        <f>IF(AND($AU19=1,$AJ19=1),$BA19*100000+ROW(),"")</f>
        <v/>
      </c>
      <c r="BG19" s="71" t="str">
        <f>IF(AND($AV19=1,$AJ19=1),$BA19*100000+ROW(),"")</f>
        <v/>
      </c>
      <c r="BH19" s="71" t="str">
        <f>IF(AND($AW19=1,$AJ19=1),$BA19*100000+ROW(),"")</f>
        <v/>
      </c>
      <c r="BI19" s="71" t="str">
        <f>IF(AND($AX19=1,$AJ19=1),$BA19*100000+ROW(),"")</f>
        <v/>
      </c>
      <c r="BJ19" s="71" t="str">
        <f>IF(AND($AS19=1,$AJ19=1),$BA19*100000+ROW(),"")</f>
        <v/>
      </c>
      <c r="BK19" s="71" t="str">
        <f>IF(AND($AY19=1,$AJ19=1),$BA19*100000+ROW(),"")</f>
        <v/>
      </c>
      <c r="BL19" s="71" t="str">
        <f>IF(AND($AZ19=1),$BA19*100000+ROW(),"")</f>
        <v/>
      </c>
    </row>
    <row r="20">
      <c r="A20" s="63" t="n"/>
      <c r="B20" s="64" t="inlineStr">
        <is>
          <t>Surbhi Pandey</t>
        </is>
      </c>
      <c r="C20" s="64" t="inlineStr">
        <is>
          <t>SAP</t>
        </is>
      </c>
      <c r="D20" s="64" t="n"/>
      <c r="E20" s="64" t="inlineStr">
        <is>
          <t>Reporting &amp; Analytics</t>
        </is>
      </c>
      <c r="F20" s="64" t="inlineStr">
        <is>
          <t>Email</t>
        </is>
      </c>
      <c r="G20" s="65" t="inlineStr">
        <is>
          <t>SAP Events Intent Report</t>
        </is>
      </c>
      <c r="H20" s="65" t="n"/>
      <c r="I20" s="64" t="n"/>
      <c r="J20" s="64" t="n"/>
      <c r="K20" s="63" t="n"/>
      <c r="L20" s="63" t="n"/>
      <c r="M20" s="64" t="n"/>
      <c r="N20" s="66" t="n"/>
      <c r="O20" s="65" t="n"/>
      <c r="P20" s="64" t="n"/>
      <c r="Q20" s="67" t="n"/>
      <c r="R20" s="67" t="n"/>
      <c r="S20" s="68" t="str">
        <f>IF(AND(ISNUMBER($Q20),ISNUMBER($R20)),$Q20-$R20,"")</f>
        <v/>
      </c>
      <c r="T20" s="65" t="n"/>
      <c r="U20" s="64" t="n"/>
      <c r="V20" s="65" t="n"/>
      <c r="W20" s="63" t="n"/>
      <c r="X20" s="65" t="inlineStr">
        <is>
          <t>Baseline: status not provided.</t>
        </is>
      </c>
      <c r="Y20" s="63" t="n"/>
      <c r="Z20" s="64" t="n"/>
      <c r="AA20" s="64" t="n"/>
      <c r="AB20" s="65" t="n"/>
      <c r="AC20" s="69" t="str">
        <f>IF(OR($G20="",NOT(ISNUMBER($K20)),$AK20=0),"",MAX(0,ReportDate-$K20))</f>
        <v/>
      </c>
      <c r="AD20" s="69">
        <f>IF($G20="","",IF($AL20=1,ReportDate-$L20,0))</f>
        <v>0</v>
      </c>
      <c r="AE20" s="70">
        <f>IF($G20="","",IF($M20="Completed",1,IF(ISNUMBER($N20),$N20,0)))</f>
        <v>0</v>
      </c>
      <c r="AF20" s="70" t="str">
        <f>IF(AND(ISNUMBER($Q20),ISNUMBER($R20)),IF($R20&lt;&gt;0,$Q20/$R20,""),"")</f>
        <v/>
      </c>
      <c r="AG20" s="71" t="str">
        <f>IF($G20="","",IF($AL20=1,"OVERDUE",IF($AM20=1,"BLOCKED",IF($AN20=1,"DUE TODAY",IF($AO20=1,"DUE TOMORROW",IF($AQ20=1,"HIGH PRIORITY",IF($AR20=1,"NO RECENT UPDATE",""))))))) </f>
        <v>NO RECENT UPDATE</v>
      </c>
      <c r="AH20" s="71" t="str">
        <f>IF($G20="","",IF(ISNUMBER($A20),IF(ISNUMBER($A20),YEAR($A20)&amp;"-"&amp;TEXT(MONTH($A20),"00"),""),IF(ISNUMBER($L20),IF(ISNUMBER($L20),YEAR($L20)&amp;"-"&amp;TEXT(MONTH($L20),"00"),""),"")))</f>
        <v/>
      </c>
      <c r="AI20" s="71">
        <f>IF($G20="",0,IF(AND(OR(fClient="All",$C20=fClient),OR(fCampaign="All",$D20=fCampaign),OR(fTeam="All",$B20=fTeam),OR(fChannel="All",$F20=fChannel),OR(fMonth="All",$AH20=fMonth),OR(fTStatus="All",$M20=fTStatus)),1,0))</f>
        <v>1</v>
      </c>
      <c r="AJ20" s="71">
        <f>IF($G20="",0,IF(AND(OR(fClient="All",$C20=fClient),OR(fCampaign="All",$D20=fCampaign),OR(fTeam="All",$B20=fTeam),OR(fChannel="All",$F20=fChannel)),1,0))</f>
        <v>1</v>
      </c>
      <c r="AK20" s="71">
        <f>IF($G20="",0,IF(OR($M20="Completed",$M20="Cancelled"),0,1))</f>
        <v>1</v>
      </c>
      <c r="AL20" s="71">
        <f>IF(AND($AK20=1,ISNUMBER($L20)),IF($L20&lt;ReportDate,1,0),0)</f>
        <v>0</v>
      </c>
      <c r="AM20" s="71">
        <f>IF(AND($G20&lt;&gt;"",$M20="Blocked"),1,0)</f>
        <v>0</v>
      </c>
      <c r="AN20" s="71">
        <f>IF(AND($AK20=1,ISNUMBER($L20)),IF($L20=ReportDate,1,0),0)</f>
        <v>0</v>
      </c>
      <c r="AO20" s="71">
        <f>IF(AND($AK20=1,ISNUMBER($L20)),IF($L20=ReportDate+1,1,0),0)</f>
        <v>0</v>
      </c>
      <c r="AP20" s="71">
        <f>IF(AND($AK20=1,ISNUMBER($L20)),IF(AND($L20&gt;=ReportDate,$L20&lt;=ReportDate+DueSoonDays),1,0),0)</f>
        <v>0</v>
      </c>
      <c r="AQ20" s="71">
        <f>IF(AND($AK20=1,OR($I20="Critical",$I20="High")),1,0)</f>
        <v>0</v>
      </c>
      <c r="AR20" s="71">
        <f>IF($AK20=1,IF(ISNUMBER($Y20),IF(ReportDate-$Y20&gt;StaleDays,1,0),1),0)</f>
        <v>1</v>
      </c>
      <c r="AS20" s="71">
        <f>IF(AND($G20&lt;&gt;"",ISNUMBER($Q20),ISNUMBER($R20)),IF(AND($Q20&lt;$R20,OR($M20="Completed",AND(ISNUMBER($L20),$L20&lt;ReportDate))),1,0),0)</f>
        <v>0</v>
      </c>
      <c r="AT20" s="71">
        <f>IF($AK20=1,IF(OR($L20=ReportDate,$W20=ReportDate,$K20=ReportDate,$A20=ReportDate),1,0),0)</f>
        <v>0</v>
      </c>
      <c r="AU20" s="71">
        <f>IF($AK20=1,IF(OR($L20=ReportDate+1,$W20=ReportDate+1,$K20=ReportDate+1,$A20=ReportDate+1),1,0),0)</f>
        <v>0</v>
      </c>
      <c r="AV20" s="71">
        <f>IF(AND($G20&lt;&gt;"",$M20="Completed"),IF(OR($Y20=ReportDate-1,$A20=ReportDate-1),1,0),0)</f>
        <v>0</v>
      </c>
      <c r="AW20" s="71">
        <f>IF(AND($AK20=1,$Z20="Yes"),1,0)</f>
        <v>0</v>
      </c>
      <c r="AX20" s="71">
        <f>IF(AND($AK20=1,$AA20="Yes"),1,0)</f>
        <v>0</v>
      </c>
      <c r="AY20" s="71">
        <f>IF(AND($AM20=1,OR($I20="Critical",$I20="High")),1,0)</f>
        <v>0</v>
      </c>
      <c r="AZ20" s="71">
        <f>IF(AND($AK20=1,OR($C20=TCL_Client,$C20=MECCA_Client)),1,0)</f>
        <v>0</v>
      </c>
      <c r="BA20" s="71">
        <f>IF($G20="","",IFERROR(MATCH($I20,lst_Priority,0),5))</f>
        <v>5</v>
      </c>
      <c r="BB20" s="71" t="str">
        <f>IF(AND($AL20=1,$AJ20=1),$BA20*100000+ROW(),"")</f>
        <v/>
      </c>
      <c r="BC20" s="71" t="str">
        <f>IF(AND($AM20=1,$AJ20=1),$BA20*100000+ROW(),"")</f>
        <v/>
      </c>
      <c r="BD20" s="71" t="str">
        <f>IF(AND($AP20=1,$AJ20=1),$BA20*100000+ROW(),"")</f>
        <v/>
      </c>
      <c r="BE20" s="71" t="str">
        <f>IF(AND($AT20=1,$AJ20=1),$BA20*100000+ROW(),"")</f>
        <v/>
      </c>
      <c r="BF20" s="71" t="str">
        <f>IF(AND($AU20=1,$AJ20=1),$BA20*100000+ROW(),"")</f>
        <v/>
      </c>
      <c r="BG20" s="71" t="str">
        <f>IF(AND($AV20=1,$AJ20=1),$BA20*100000+ROW(),"")</f>
        <v/>
      </c>
      <c r="BH20" s="71" t="str">
        <f>IF(AND($AW20=1,$AJ20=1),$BA20*100000+ROW(),"")</f>
        <v/>
      </c>
      <c r="BI20" s="71" t="str">
        <f>IF(AND($AX20=1,$AJ20=1),$BA20*100000+ROW(),"")</f>
        <v/>
      </c>
      <c r="BJ20" s="71" t="str">
        <f>IF(AND($AS20=1,$AJ20=1),$BA20*100000+ROW(),"")</f>
        <v/>
      </c>
      <c r="BK20" s="71" t="str">
        <f>IF(AND($AY20=1,$AJ20=1),$BA20*100000+ROW(),"")</f>
        <v/>
      </c>
      <c r="BL20" s="71" t="str">
        <f>IF(AND($AZ20=1),$BA20*100000+ROW(),"")</f>
        <v/>
      </c>
    </row>
    <row r="21">
      <c r="A21" s="63" t="n"/>
      <c r="B21" s="64" t="inlineStr">
        <is>
          <t>Surbhi Pandey</t>
        </is>
      </c>
      <c r="C21" s="64" t="inlineStr">
        <is>
          <t>SAP</t>
        </is>
      </c>
      <c r="D21" s="64" t="n"/>
      <c r="E21" s="64" t="inlineStr">
        <is>
          <t>Reporting &amp; Analytics</t>
        </is>
      </c>
      <c r="F21" s="64" t="inlineStr">
        <is>
          <t>Email</t>
        </is>
      </c>
      <c r="G21" s="65" t="inlineStr">
        <is>
          <t>SAP Partner Campaign Report &amp; Dashboard</t>
        </is>
      </c>
      <c r="H21" s="65" t="n"/>
      <c r="I21" s="64" t="n"/>
      <c r="J21" s="64" t="n"/>
      <c r="K21" s="63" t="n"/>
      <c r="L21" s="63" t="n"/>
      <c r="M21" s="64" t="n"/>
      <c r="N21" s="66" t="n"/>
      <c r="O21" s="65" t="n"/>
      <c r="P21" s="64" t="n"/>
      <c r="Q21" s="67" t="n"/>
      <c r="R21" s="67" t="n"/>
      <c r="S21" s="68" t="str">
        <f>IF(AND(ISNUMBER($Q21),ISNUMBER($R21)),$Q21-$R21,"")</f>
        <v/>
      </c>
      <c r="T21" s="65" t="n"/>
      <c r="U21" s="64" t="n"/>
      <c r="V21" s="65" t="n"/>
      <c r="W21" s="63" t="n"/>
      <c r="X21" s="65" t="inlineStr">
        <is>
          <t>Baseline: status not provided.</t>
        </is>
      </c>
      <c r="Y21" s="63" t="n"/>
      <c r="Z21" s="64" t="n"/>
      <c r="AA21" s="64" t="n"/>
      <c r="AB21" s="65" t="n"/>
      <c r="AC21" s="69" t="str">
        <f>IF(OR($G21="",NOT(ISNUMBER($K21)),$AK21=0),"",MAX(0,ReportDate-$K21))</f>
        <v/>
      </c>
      <c r="AD21" s="69">
        <f>IF($G21="","",IF($AL21=1,ReportDate-$L21,0))</f>
        <v>0</v>
      </c>
      <c r="AE21" s="70">
        <f>IF($G21="","",IF($M21="Completed",1,IF(ISNUMBER($N21),$N21,0)))</f>
        <v>0</v>
      </c>
      <c r="AF21" s="70" t="str">
        <f>IF(AND(ISNUMBER($Q21),ISNUMBER($R21)),IF($R21&lt;&gt;0,$Q21/$R21,""),"")</f>
        <v/>
      </c>
      <c r="AG21" s="71" t="str">
        <f>IF($G21="","",IF($AL21=1,"OVERDUE",IF($AM21=1,"BLOCKED",IF($AN21=1,"DUE TODAY",IF($AO21=1,"DUE TOMORROW",IF($AQ21=1,"HIGH PRIORITY",IF($AR21=1,"NO RECENT UPDATE",""))))))) </f>
        <v>NO RECENT UPDATE</v>
      </c>
      <c r="AH21" s="71" t="str">
        <f>IF($G21="","",IF(ISNUMBER($A21),IF(ISNUMBER($A21),YEAR($A21)&amp;"-"&amp;TEXT(MONTH($A21),"00"),""),IF(ISNUMBER($L21),IF(ISNUMBER($L21),YEAR($L21)&amp;"-"&amp;TEXT(MONTH($L21),"00"),""),"")))</f>
        <v/>
      </c>
      <c r="AI21" s="71">
        <f>IF($G21="",0,IF(AND(OR(fClient="All",$C21=fClient),OR(fCampaign="All",$D21=fCampaign),OR(fTeam="All",$B21=fTeam),OR(fChannel="All",$F21=fChannel),OR(fMonth="All",$AH21=fMonth),OR(fTStatus="All",$M21=fTStatus)),1,0))</f>
        <v>1</v>
      </c>
      <c r="AJ21" s="71">
        <f>IF($G21="",0,IF(AND(OR(fClient="All",$C21=fClient),OR(fCampaign="All",$D21=fCampaign),OR(fTeam="All",$B21=fTeam),OR(fChannel="All",$F21=fChannel)),1,0))</f>
        <v>1</v>
      </c>
      <c r="AK21" s="71">
        <f>IF($G21="",0,IF(OR($M21="Completed",$M21="Cancelled"),0,1))</f>
        <v>1</v>
      </c>
      <c r="AL21" s="71">
        <f>IF(AND($AK21=1,ISNUMBER($L21)),IF($L21&lt;ReportDate,1,0),0)</f>
        <v>0</v>
      </c>
      <c r="AM21" s="71">
        <f>IF(AND($G21&lt;&gt;"",$M21="Blocked"),1,0)</f>
        <v>0</v>
      </c>
      <c r="AN21" s="71">
        <f>IF(AND($AK21=1,ISNUMBER($L21)),IF($L21=ReportDate,1,0),0)</f>
        <v>0</v>
      </c>
      <c r="AO21" s="71">
        <f>IF(AND($AK21=1,ISNUMBER($L21)),IF($L21=ReportDate+1,1,0),0)</f>
        <v>0</v>
      </c>
      <c r="AP21" s="71">
        <f>IF(AND($AK21=1,ISNUMBER($L21)),IF(AND($L21&gt;=ReportDate,$L21&lt;=ReportDate+DueSoonDays),1,0),0)</f>
        <v>0</v>
      </c>
      <c r="AQ21" s="71">
        <f>IF(AND($AK21=1,OR($I21="Critical",$I21="High")),1,0)</f>
        <v>0</v>
      </c>
      <c r="AR21" s="71">
        <f>IF($AK21=1,IF(ISNUMBER($Y21),IF(ReportDate-$Y21&gt;StaleDays,1,0),1),0)</f>
        <v>1</v>
      </c>
      <c r="AS21" s="71">
        <f>IF(AND($G21&lt;&gt;"",ISNUMBER($Q21),ISNUMBER($R21)),IF(AND($Q21&lt;$R21,OR($M21="Completed",AND(ISNUMBER($L21),$L21&lt;ReportDate))),1,0),0)</f>
        <v>0</v>
      </c>
      <c r="AT21" s="71">
        <f>IF($AK21=1,IF(OR($L21=ReportDate,$W21=ReportDate,$K21=ReportDate,$A21=ReportDate),1,0),0)</f>
        <v>0</v>
      </c>
      <c r="AU21" s="71">
        <f>IF($AK21=1,IF(OR($L21=ReportDate+1,$W21=ReportDate+1,$K21=ReportDate+1,$A21=ReportDate+1),1,0),0)</f>
        <v>0</v>
      </c>
      <c r="AV21" s="71">
        <f>IF(AND($G21&lt;&gt;"",$M21="Completed"),IF(OR($Y21=ReportDate-1,$A21=ReportDate-1),1,0),0)</f>
        <v>0</v>
      </c>
      <c r="AW21" s="71">
        <f>IF(AND($AK21=1,$Z21="Yes"),1,0)</f>
        <v>0</v>
      </c>
      <c r="AX21" s="71">
        <f>IF(AND($AK21=1,$AA21="Yes"),1,0)</f>
        <v>0</v>
      </c>
      <c r="AY21" s="71">
        <f>IF(AND($AM21=1,OR($I21="Critical",$I21="High")),1,0)</f>
        <v>0</v>
      </c>
      <c r="AZ21" s="71">
        <f>IF(AND($AK21=1,OR($C21=TCL_Client,$C21=MECCA_Client)),1,0)</f>
        <v>0</v>
      </c>
      <c r="BA21" s="71">
        <f>IF($G21="","",IFERROR(MATCH($I21,lst_Priority,0),5))</f>
        <v>5</v>
      </c>
      <c r="BB21" s="71" t="str">
        <f>IF(AND($AL21=1,$AJ21=1),$BA21*100000+ROW(),"")</f>
        <v/>
      </c>
      <c r="BC21" s="71" t="str">
        <f>IF(AND($AM21=1,$AJ21=1),$BA21*100000+ROW(),"")</f>
        <v/>
      </c>
      <c r="BD21" s="71" t="str">
        <f>IF(AND($AP21=1,$AJ21=1),$BA21*100000+ROW(),"")</f>
        <v/>
      </c>
      <c r="BE21" s="71" t="str">
        <f>IF(AND($AT21=1,$AJ21=1),$BA21*100000+ROW(),"")</f>
        <v/>
      </c>
      <c r="BF21" s="71" t="str">
        <f>IF(AND($AU21=1,$AJ21=1),$BA21*100000+ROW(),"")</f>
        <v/>
      </c>
      <c r="BG21" s="71" t="str">
        <f>IF(AND($AV21=1,$AJ21=1),$BA21*100000+ROW(),"")</f>
        <v/>
      </c>
      <c r="BH21" s="71" t="str">
        <f>IF(AND($AW21=1,$AJ21=1),$BA21*100000+ROW(),"")</f>
        <v/>
      </c>
      <c r="BI21" s="71" t="str">
        <f>IF(AND($AX21=1,$AJ21=1),$BA21*100000+ROW(),"")</f>
        <v/>
      </c>
      <c r="BJ21" s="71" t="str">
        <f>IF(AND($AS21=1,$AJ21=1),$BA21*100000+ROW(),"")</f>
        <v/>
      </c>
      <c r="BK21" s="71" t="str">
        <f>IF(AND($AY21=1,$AJ21=1),$BA21*100000+ROW(),"")</f>
        <v/>
      </c>
      <c r="BL21" s="71" t="str">
        <f>IF(AND($AZ21=1),$BA21*100000+ROW(),"")</f>
        <v/>
      </c>
    </row>
    <row r="22">
      <c r="A22" s="63" t="n"/>
      <c r="B22" s="64" t="inlineStr">
        <is>
          <t>Surbhi Pandey</t>
        </is>
      </c>
      <c r="C22" s="64" t="inlineStr">
        <is>
          <t>SAP</t>
        </is>
      </c>
      <c r="D22" s="64" t="n"/>
      <c r="E22" s="64" t="inlineStr">
        <is>
          <t>Creative &amp; Design</t>
        </is>
      </c>
      <c r="F22" s="64" t="inlineStr">
        <is>
          <t>Email</t>
        </is>
      </c>
      <c r="G22" s="65" t="inlineStr">
        <is>
          <t>Create EDM HTML and work on EDM content</t>
        </is>
      </c>
      <c r="H22" s="65" t="n"/>
      <c r="I22" s="64" t="n"/>
      <c r="J22" s="64" t="n"/>
      <c r="K22" s="63" t="n"/>
      <c r="L22" s="63" t="n"/>
      <c r="M22" s="64" t="n"/>
      <c r="N22" s="66" t="n"/>
      <c r="O22" s="65" t="n"/>
      <c r="P22" s="64" t="n"/>
      <c r="Q22" s="67" t="n"/>
      <c r="R22" s="67" t="n"/>
      <c r="S22" s="68" t="str">
        <f>IF(AND(ISNUMBER($Q22),ISNUMBER($R22)),$Q22-$R22,"")</f>
        <v/>
      </c>
      <c r="T22" s="65" t="n"/>
      <c r="U22" s="64" t="n"/>
      <c r="V22" s="65" t="n"/>
      <c r="W22" s="63" t="n"/>
      <c r="X22" s="65" t="inlineStr">
        <is>
          <t>Baseline: status not provided.</t>
        </is>
      </c>
      <c r="Y22" s="63" t="n"/>
      <c r="Z22" s="64" t="n"/>
      <c r="AA22" s="64" t="n"/>
      <c r="AB22" s="65" t="n"/>
      <c r="AC22" s="69" t="str">
        <f>IF(OR($G22="",NOT(ISNUMBER($K22)),$AK22=0),"",MAX(0,ReportDate-$K22))</f>
        <v/>
      </c>
      <c r="AD22" s="69">
        <f>IF($G22="","",IF($AL22=1,ReportDate-$L22,0))</f>
        <v>0</v>
      </c>
      <c r="AE22" s="70">
        <f>IF($G22="","",IF($M22="Completed",1,IF(ISNUMBER($N22),$N22,0)))</f>
        <v>0</v>
      </c>
      <c r="AF22" s="70" t="str">
        <f>IF(AND(ISNUMBER($Q22),ISNUMBER($R22)),IF($R22&lt;&gt;0,$Q22/$R22,""),"")</f>
        <v/>
      </c>
      <c r="AG22" s="71" t="str">
        <f>IF($G22="","",IF($AL22=1,"OVERDUE",IF($AM22=1,"BLOCKED",IF($AN22=1,"DUE TODAY",IF($AO22=1,"DUE TOMORROW",IF($AQ22=1,"HIGH PRIORITY",IF($AR22=1,"NO RECENT UPDATE",""))))))) </f>
        <v>NO RECENT UPDATE</v>
      </c>
      <c r="AH22" s="71" t="str">
        <f>IF($G22="","",IF(ISNUMBER($A22),IF(ISNUMBER($A22),YEAR($A22)&amp;"-"&amp;TEXT(MONTH($A22),"00"),""),IF(ISNUMBER($L22),IF(ISNUMBER($L22),YEAR($L22)&amp;"-"&amp;TEXT(MONTH($L22),"00"),""),"")))</f>
        <v/>
      </c>
      <c r="AI22" s="71">
        <f>IF($G22="",0,IF(AND(OR(fClient="All",$C22=fClient),OR(fCampaign="All",$D22=fCampaign),OR(fTeam="All",$B22=fTeam),OR(fChannel="All",$F22=fChannel),OR(fMonth="All",$AH22=fMonth),OR(fTStatus="All",$M22=fTStatus)),1,0))</f>
        <v>1</v>
      </c>
      <c r="AJ22" s="71">
        <f>IF($G22="",0,IF(AND(OR(fClient="All",$C22=fClient),OR(fCampaign="All",$D22=fCampaign),OR(fTeam="All",$B22=fTeam),OR(fChannel="All",$F22=fChannel)),1,0))</f>
        <v>1</v>
      </c>
      <c r="AK22" s="71">
        <f>IF($G22="",0,IF(OR($M22="Completed",$M22="Cancelled"),0,1))</f>
        <v>1</v>
      </c>
      <c r="AL22" s="71">
        <f>IF(AND($AK22=1,ISNUMBER($L22)),IF($L22&lt;ReportDate,1,0),0)</f>
        <v>0</v>
      </c>
      <c r="AM22" s="71">
        <f>IF(AND($G22&lt;&gt;"",$M22="Blocked"),1,0)</f>
        <v>0</v>
      </c>
      <c r="AN22" s="71">
        <f>IF(AND($AK22=1,ISNUMBER($L22)),IF($L22=ReportDate,1,0),0)</f>
        <v>0</v>
      </c>
      <c r="AO22" s="71">
        <f>IF(AND($AK22=1,ISNUMBER($L22)),IF($L22=ReportDate+1,1,0),0)</f>
        <v>0</v>
      </c>
      <c r="AP22" s="71">
        <f>IF(AND($AK22=1,ISNUMBER($L22)),IF(AND($L22&gt;=ReportDate,$L22&lt;=ReportDate+DueSoonDays),1,0),0)</f>
        <v>0</v>
      </c>
      <c r="AQ22" s="71">
        <f>IF(AND($AK22=1,OR($I22="Critical",$I22="High")),1,0)</f>
        <v>0</v>
      </c>
      <c r="AR22" s="71">
        <f>IF($AK22=1,IF(ISNUMBER($Y22),IF(ReportDate-$Y22&gt;StaleDays,1,0),1),0)</f>
        <v>1</v>
      </c>
      <c r="AS22" s="71">
        <f>IF(AND($G22&lt;&gt;"",ISNUMBER($Q22),ISNUMBER($R22)),IF(AND($Q22&lt;$R22,OR($M22="Completed",AND(ISNUMBER($L22),$L22&lt;ReportDate))),1,0),0)</f>
        <v>0</v>
      </c>
      <c r="AT22" s="71">
        <f>IF($AK22=1,IF(OR($L22=ReportDate,$W22=ReportDate,$K22=ReportDate,$A22=ReportDate),1,0),0)</f>
        <v>0</v>
      </c>
      <c r="AU22" s="71">
        <f>IF($AK22=1,IF(OR($L22=ReportDate+1,$W22=ReportDate+1,$K22=ReportDate+1,$A22=ReportDate+1),1,0),0)</f>
        <v>0</v>
      </c>
      <c r="AV22" s="71">
        <f>IF(AND($G22&lt;&gt;"",$M22="Completed"),IF(OR($Y22=ReportDate-1,$A22=ReportDate-1),1,0),0)</f>
        <v>0</v>
      </c>
      <c r="AW22" s="71">
        <f>IF(AND($AK22=1,$Z22="Yes"),1,0)</f>
        <v>0</v>
      </c>
      <c r="AX22" s="71">
        <f>IF(AND($AK22=1,$AA22="Yes"),1,0)</f>
        <v>0</v>
      </c>
      <c r="AY22" s="71">
        <f>IF(AND($AM22=1,OR($I22="Critical",$I22="High")),1,0)</f>
        <v>0</v>
      </c>
      <c r="AZ22" s="71">
        <f>IF(AND($AK22=1,OR($C22=TCL_Client,$C22=MECCA_Client)),1,0)</f>
        <v>0</v>
      </c>
      <c r="BA22" s="71">
        <f>IF($G22="","",IFERROR(MATCH($I22,lst_Priority,0),5))</f>
        <v>5</v>
      </c>
      <c r="BB22" s="71" t="str">
        <f>IF(AND($AL22=1,$AJ22=1),$BA22*100000+ROW(),"")</f>
        <v/>
      </c>
      <c r="BC22" s="71" t="str">
        <f>IF(AND($AM22=1,$AJ22=1),$BA22*100000+ROW(),"")</f>
        <v/>
      </c>
      <c r="BD22" s="71" t="str">
        <f>IF(AND($AP22=1,$AJ22=1),$BA22*100000+ROW(),"")</f>
        <v/>
      </c>
      <c r="BE22" s="71" t="str">
        <f>IF(AND($AT22=1,$AJ22=1),$BA22*100000+ROW(),"")</f>
        <v/>
      </c>
      <c r="BF22" s="71" t="str">
        <f>IF(AND($AU22=1,$AJ22=1),$BA22*100000+ROW(),"")</f>
        <v/>
      </c>
      <c r="BG22" s="71" t="str">
        <f>IF(AND($AV22=1,$AJ22=1),$BA22*100000+ROW(),"")</f>
        <v/>
      </c>
      <c r="BH22" s="71" t="str">
        <f>IF(AND($AW22=1,$AJ22=1),$BA22*100000+ROW(),"")</f>
        <v/>
      </c>
      <c r="BI22" s="71" t="str">
        <f>IF(AND($AX22=1,$AJ22=1),$BA22*100000+ROW(),"")</f>
        <v/>
      </c>
      <c r="BJ22" s="71" t="str">
        <f>IF(AND($AS22=1,$AJ22=1),$BA22*100000+ROW(),"")</f>
        <v/>
      </c>
      <c r="BK22" s="71" t="str">
        <f>IF(AND($AY22=1,$AJ22=1),$BA22*100000+ROW(),"")</f>
        <v/>
      </c>
      <c r="BL22" s="71" t="str">
        <f>IF(AND($AZ22=1),$BA22*100000+ROW(),"")</f>
        <v/>
      </c>
    </row>
    <row r="23">
      <c r="A23" s="63" t="n"/>
      <c r="B23" s="64" t="inlineStr">
        <is>
          <t>Surbhi Pandey</t>
        </is>
      </c>
      <c r="C23" s="64" t="inlineStr">
        <is>
          <t>SAP</t>
        </is>
      </c>
      <c r="D23" s="64" t="n"/>
      <c r="E23" s="64" t="inlineStr">
        <is>
          <t>Campaign Execution</t>
        </is>
      </c>
      <c r="F23" s="64" t="inlineStr">
        <is>
          <t>WhatsApp</t>
        </is>
      </c>
      <c r="G23" s="65" t="inlineStr">
        <is>
          <t>SAP Events WhatsApp Templates</t>
        </is>
      </c>
      <c r="H23" s="65" t="n"/>
      <c r="I23" s="64" t="n"/>
      <c r="J23" s="64" t="n"/>
      <c r="K23" s="63" t="n"/>
      <c r="L23" s="63" t="n"/>
      <c r="M23" s="64" t="n"/>
      <c r="N23" s="66" t="n"/>
      <c r="O23" s="65" t="n"/>
      <c r="P23" s="64" t="n"/>
      <c r="Q23" s="67" t="n"/>
      <c r="R23" s="67" t="n"/>
      <c r="S23" s="68" t="str">
        <f>IF(AND(ISNUMBER($Q23),ISNUMBER($R23)),$Q23-$R23,"")</f>
        <v/>
      </c>
      <c r="T23" s="65" t="n"/>
      <c r="U23" s="64" t="n"/>
      <c r="V23" s="65" t="n"/>
      <c r="W23" s="63" t="n"/>
      <c r="X23" s="65" t="inlineStr">
        <is>
          <t>Baseline: status not provided.</t>
        </is>
      </c>
      <c r="Y23" s="63" t="n"/>
      <c r="Z23" s="64" t="n"/>
      <c r="AA23" s="64" t="n"/>
      <c r="AB23" s="65" t="n"/>
      <c r="AC23" s="69" t="str">
        <f>IF(OR($G23="",NOT(ISNUMBER($K23)),$AK23=0),"",MAX(0,ReportDate-$K23))</f>
        <v/>
      </c>
      <c r="AD23" s="69">
        <f>IF($G23="","",IF($AL23=1,ReportDate-$L23,0))</f>
        <v>0</v>
      </c>
      <c r="AE23" s="70">
        <f>IF($G23="","",IF($M23="Completed",1,IF(ISNUMBER($N23),$N23,0)))</f>
        <v>0</v>
      </c>
      <c r="AF23" s="70" t="str">
        <f>IF(AND(ISNUMBER($Q23),ISNUMBER($R23)),IF($R23&lt;&gt;0,$Q23/$R23,""),"")</f>
        <v/>
      </c>
      <c r="AG23" s="71" t="str">
        <f>IF($G23="","",IF($AL23=1,"OVERDUE",IF($AM23=1,"BLOCKED",IF($AN23=1,"DUE TODAY",IF($AO23=1,"DUE TOMORROW",IF($AQ23=1,"HIGH PRIORITY",IF($AR23=1,"NO RECENT UPDATE",""))))))) </f>
        <v>NO RECENT UPDATE</v>
      </c>
      <c r="AH23" s="71" t="str">
        <f>IF($G23="","",IF(ISNUMBER($A23),IF(ISNUMBER($A23),YEAR($A23)&amp;"-"&amp;TEXT(MONTH($A23),"00"),""),IF(ISNUMBER($L23),IF(ISNUMBER($L23),YEAR($L23)&amp;"-"&amp;TEXT(MONTH($L23),"00"),""),"")))</f>
        <v/>
      </c>
      <c r="AI23" s="71">
        <f>IF($G23="",0,IF(AND(OR(fClient="All",$C23=fClient),OR(fCampaign="All",$D23=fCampaign),OR(fTeam="All",$B23=fTeam),OR(fChannel="All",$F23=fChannel),OR(fMonth="All",$AH23=fMonth),OR(fTStatus="All",$M23=fTStatus)),1,0))</f>
        <v>1</v>
      </c>
      <c r="AJ23" s="71">
        <f>IF($G23="",0,IF(AND(OR(fClient="All",$C23=fClient),OR(fCampaign="All",$D23=fCampaign),OR(fTeam="All",$B23=fTeam),OR(fChannel="All",$F23=fChannel)),1,0))</f>
        <v>1</v>
      </c>
      <c r="AK23" s="71">
        <f>IF($G23="",0,IF(OR($M23="Completed",$M23="Cancelled"),0,1))</f>
        <v>1</v>
      </c>
      <c r="AL23" s="71">
        <f>IF(AND($AK23=1,ISNUMBER($L23)),IF($L23&lt;ReportDate,1,0),0)</f>
        <v>0</v>
      </c>
      <c r="AM23" s="71">
        <f>IF(AND($G23&lt;&gt;"",$M23="Blocked"),1,0)</f>
        <v>0</v>
      </c>
      <c r="AN23" s="71">
        <f>IF(AND($AK23=1,ISNUMBER($L23)),IF($L23=ReportDate,1,0),0)</f>
        <v>0</v>
      </c>
      <c r="AO23" s="71">
        <f>IF(AND($AK23=1,ISNUMBER($L23)),IF($L23=ReportDate+1,1,0),0)</f>
        <v>0</v>
      </c>
      <c r="AP23" s="71">
        <f>IF(AND($AK23=1,ISNUMBER($L23)),IF(AND($L23&gt;=ReportDate,$L23&lt;=ReportDate+DueSoonDays),1,0),0)</f>
        <v>0</v>
      </c>
      <c r="AQ23" s="71">
        <f>IF(AND($AK23=1,OR($I23="Critical",$I23="High")),1,0)</f>
        <v>0</v>
      </c>
      <c r="AR23" s="71">
        <f>IF($AK23=1,IF(ISNUMBER($Y23),IF(ReportDate-$Y23&gt;StaleDays,1,0),1),0)</f>
        <v>1</v>
      </c>
      <c r="AS23" s="71">
        <f>IF(AND($G23&lt;&gt;"",ISNUMBER($Q23),ISNUMBER($R23)),IF(AND($Q23&lt;$R23,OR($M23="Completed",AND(ISNUMBER($L23),$L23&lt;ReportDate))),1,0),0)</f>
        <v>0</v>
      </c>
      <c r="AT23" s="71">
        <f>IF($AK23=1,IF(OR($L23=ReportDate,$W23=ReportDate,$K23=ReportDate,$A23=ReportDate),1,0),0)</f>
        <v>0</v>
      </c>
      <c r="AU23" s="71">
        <f>IF($AK23=1,IF(OR($L23=ReportDate+1,$W23=ReportDate+1,$K23=ReportDate+1,$A23=ReportDate+1),1,0),0)</f>
        <v>0</v>
      </c>
      <c r="AV23" s="71">
        <f>IF(AND($G23&lt;&gt;"",$M23="Completed"),IF(OR($Y23=ReportDate-1,$A23=ReportDate-1),1,0),0)</f>
        <v>0</v>
      </c>
      <c r="AW23" s="71">
        <f>IF(AND($AK23=1,$Z23="Yes"),1,0)</f>
        <v>0</v>
      </c>
      <c r="AX23" s="71">
        <f>IF(AND($AK23=1,$AA23="Yes"),1,0)</f>
        <v>0</v>
      </c>
      <c r="AY23" s="71">
        <f>IF(AND($AM23=1,OR($I23="Critical",$I23="High")),1,0)</f>
        <v>0</v>
      </c>
      <c r="AZ23" s="71">
        <f>IF(AND($AK23=1,OR($C23=TCL_Client,$C23=MECCA_Client)),1,0)</f>
        <v>0</v>
      </c>
      <c r="BA23" s="71">
        <f>IF($G23="","",IFERROR(MATCH($I23,lst_Priority,0),5))</f>
        <v>5</v>
      </c>
      <c r="BB23" s="71" t="str">
        <f>IF(AND($AL23=1,$AJ23=1),$BA23*100000+ROW(),"")</f>
        <v/>
      </c>
      <c r="BC23" s="71" t="str">
        <f>IF(AND($AM23=1,$AJ23=1),$BA23*100000+ROW(),"")</f>
        <v/>
      </c>
      <c r="BD23" s="71" t="str">
        <f>IF(AND($AP23=1,$AJ23=1),$BA23*100000+ROW(),"")</f>
        <v/>
      </c>
      <c r="BE23" s="71" t="str">
        <f>IF(AND($AT23=1,$AJ23=1),$BA23*100000+ROW(),"")</f>
        <v/>
      </c>
      <c r="BF23" s="71" t="str">
        <f>IF(AND($AU23=1,$AJ23=1),$BA23*100000+ROW(),"")</f>
        <v/>
      </c>
      <c r="BG23" s="71" t="str">
        <f>IF(AND($AV23=1,$AJ23=1),$BA23*100000+ROW(),"")</f>
        <v/>
      </c>
      <c r="BH23" s="71" t="str">
        <f>IF(AND($AW23=1,$AJ23=1),$BA23*100000+ROW(),"")</f>
        <v/>
      </c>
      <c r="BI23" s="71" t="str">
        <f>IF(AND($AX23=1,$AJ23=1),$BA23*100000+ROW(),"")</f>
        <v/>
      </c>
      <c r="BJ23" s="71" t="str">
        <f>IF(AND($AS23=1,$AJ23=1),$BA23*100000+ROW(),"")</f>
        <v/>
      </c>
      <c r="BK23" s="71" t="str">
        <f>IF(AND($AY23=1,$AJ23=1),$BA23*100000+ROW(),"")</f>
        <v/>
      </c>
      <c r="BL23" s="71" t="str">
        <f>IF(AND($AZ23=1),$BA23*100000+ROW(),"")</f>
        <v/>
      </c>
    </row>
    <row r="24">
      <c r="A24" s="63" t="n"/>
      <c r="B24" s="64" t="inlineStr">
        <is>
          <t>Richi Bagla</t>
        </is>
      </c>
      <c r="C24" s="64" t="inlineStr">
        <is>
          <t>Vestrics</t>
        </is>
      </c>
      <c r="D24" s="64" t="inlineStr">
        <is>
          <t>Vestrics - Google Ads</t>
        </is>
      </c>
      <c r="E24" s="64" t="inlineStr">
        <is>
          <t>Paid Media</t>
        </is>
      </c>
      <c r="F24" s="64" t="inlineStr">
        <is>
          <t>Google Ads</t>
        </is>
      </c>
      <c r="G24" s="65" t="inlineStr">
        <is>
          <t>Google Ads</t>
        </is>
      </c>
      <c r="H24" s="65" t="n"/>
      <c r="I24" s="64" t="n"/>
      <c r="J24" s="64" t="n"/>
      <c r="K24" s="63" t="n"/>
      <c r="L24" s="63" t="n"/>
      <c r="M24" s="64" t="n"/>
      <c r="N24" s="66" t="n"/>
      <c r="O24" s="65" t="n"/>
      <c r="P24" s="64" t="inlineStr">
        <is>
          <t>Leads</t>
        </is>
      </c>
      <c r="Q24" s="67" t="n"/>
      <c r="R24" s="67" t="n"/>
      <c r="S24" s="68" t="str">
        <f>IF(AND(ISNUMBER($Q24),ISNUMBER($R24)),$Q24-$R24,"")</f>
        <v/>
      </c>
      <c r="T24" s="65" t="n"/>
      <c r="U24" s="64" t="n"/>
      <c r="V24" s="65" t="n"/>
      <c r="W24" s="63" t="n"/>
      <c r="X24" s="65" t="inlineStr">
        <is>
          <t>Baseline: status not provided.</t>
        </is>
      </c>
      <c r="Y24" s="63" t="n"/>
      <c r="Z24" s="64" t="n"/>
      <c r="AA24" s="64" t="n"/>
      <c r="AB24" s="65" t="inlineStr">
        <is>
          <t>10-15 leads in a month</t>
        </is>
      </c>
      <c r="AC24" s="69" t="str">
        <f>IF(OR($G24="",NOT(ISNUMBER($K24)),$AK24=0),"",MAX(0,ReportDate-$K24))</f>
        <v/>
      </c>
      <c r="AD24" s="69">
        <f>IF($G24="","",IF($AL24=1,ReportDate-$L24,0))</f>
        <v>0</v>
      </c>
      <c r="AE24" s="70">
        <f>IF($G24="","",IF($M24="Completed",1,IF(ISNUMBER($N24),$N24,0)))</f>
        <v>0</v>
      </c>
      <c r="AF24" s="70" t="str">
        <f>IF(AND(ISNUMBER($Q24),ISNUMBER($R24)),IF($R24&lt;&gt;0,$Q24/$R24,""),"")</f>
        <v/>
      </c>
      <c r="AG24" s="71" t="str">
        <f>IF($G24="","",IF($AL24=1,"OVERDUE",IF($AM24=1,"BLOCKED",IF($AN24=1,"DUE TODAY",IF($AO24=1,"DUE TOMORROW",IF($AQ24=1,"HIGH PRIORITY",IF($AR24=1,"NO RECENT UPDATE",""))))))) </f>
        <v>NO RECENT UPDATE</v>
      </c>
      <c r="AH24" s="71" t="str">
        <f>IF($G24="","",IF(ISNUMBER($A24),IF(ISNUMBER($A24),YEAR($A24)&amp;"-"&amp;TEXT(MONTH($A24),"00"),""),IF(ISNUMBER($L24),IF(ISNUMBER($L24),YEAR($L24)&amp;"-"&amp;TEXT(MONTH($L24),"00"),""),"")))</f>
        <v/>
      </c>
      <c r="AI24" s="71">
        <f>IF($G24="",0,IF(AND(OR(fClient="All",$C24=fClient),OR(fCampaign="All",$D24=fCampaign),OR(fTeam="All",$B24=fTeam),OR(fChannel="All",$F24=fChannel),OR(fMonth="All",$AH24=fMonth),OR(fTStatus="All",$M24=fTStatus)),1,0))</f>
        <v>1</v>
      </c>
      <c r="AJ24" s="71">
        <f>IF($G24="",0,IF(AND(OR(fClient="All",$C24=fClient),OR(fCampaign="All",$D24=fCampaign),OR(fTeam="All",$B24=fTeam),OR(fChannel="All",$F24=fChannel)),1,0))</f>
        <v>1</v>
      </c>
      <c r="AK24" s="71">
        <f>IF($G24="",0,IF(OR($M24="Completed",$M24="Cancelled"),0,1))</f>
        <v>1</v>
      </c>
      <c r="AL24" s="71">
        <f>IF(AND($AK24=1,ISNUMBER($L24)),IF($L24&lt;ReportDate,1,0),0)</f>
        <v>0</v>
      </c>
      <c r="AM24" s="71">
        <f>IF(AND($G24&lt;&gt;"",$M24="Blocked"),1,0)</f>
        <v>0</v>
      </c>
      <c r="AN24" s="71">
        <f>IF(AND($AK24=1,ISNUMBER($L24)),IF($L24=ReportDate,1,0),0)</f>
        <v>0</v>
      </c>
      <c r="AO24" s="71">
        <f>IF(AND($AK24=1,ISNUMBER($L24)),IF($L24=ReportDate+1,1,0),0)</f>
        <v>0</v>
      </c>
      <c r="AP24" s="71">
        <f>IF(AND($AK24=1,ISNUMBER($L24)),IF(AND($L24&gt;=ReportDate,$L24&lt;=ReportDate+DueSoonDays),1,0),0)</f>
        <v>0</v>
      </c>
      <c r="AQ24" s="71">
        <f>IF(AND($AK24=1,OR($I24="Critical",$I24="High")),1,0)</f>
        <v>0</v>
      </c>
      <c r="AR24" s="71">
        <f>IF($AK24=1,IF(ISNUMBER($Y24),IF(ReportDate-$Y24&gt;StaleDays,1,0),1),0)</f>
        <v>1</v>
      </c>
      <c r="AS24" s="71">
        <f>IF(AND($G24&lt;&gt;"",ISNUMBER($Q24),ISNUMBER($R24)),IF(AND($Q24&lt;$R24,OR($M24="Completed",AND(ISNUMBER($L24),$L24&lt;ReportDate))),1,0),0)</f>
        <v>0</v>
      </c>
      <c r="AT24" s="71">
        <f>IF($AK24=1,IF(OR($L24=ReportDate,$W24=ReportDate,$K24=ReportDate,$A24=ReportDate),1,0),0)</f>
        <v>0</v>
      </c>
      <c r="AU24" s="71">
        <f>IF($AK24=1,IF(OR($L24=ReportDate+1,$W24=ReportDate+1,$K24=ReportDate+1,$A24=ReportDate+1),1,0),0)</f>
        <v>0</v>
      </c>
      <c r="AV24" s="71">
        <f>IF(AND($G24&lt;&gt;"",$M24="Completed"),IF(OR($Y24=ReportDate-1,$A24=ReportDate-1),1,0),0)</f>
        <v>0</v>
      </c>
      <c r="AW24" s="71">
        <f>IF(AND($AK24=1,$Z24="Yes"),1,0)</f>
        <v>0</v>
      </c>
      <c r="AX24" s="71">
        <f>IF(AND($AK24=1,$AA24="Yes"),1,0)</f>
        <v>0</v>
      </c>
      <c r="AY24" s="71">
        <f>IF(AND($AM24=1,OR($I24="Critical",$I24="High")),1,0)</f>
        <v>0</v>
      </c>
      <c r="AZ24" s="71">
        <f>IF(AND($AK24=1,OR($C24=TCL_Client,$C24=MECCA_Client)),1,0)</f>
        <v>0</v>
      </c>
      <c r="BA24" s="71">
        <f>IF($G24="","",IFERROR(MATCH($I24,lst_Priority,0),5))</f>
        <v>5</v>
      </c>
      <c r="BB24" s="71" t="str">
        <f>IF(AND($AL24=1,$AJ24=1),$BA24*100000+ROW(),"")</f>
        <v/>
      </c>
      <c r="BC24" s="71" t="str">
        <f>IF(AND($AM24=1,$AJ24=1),$BA24*100000+ROW(),"")</f>
        <v/>
      </c>
      <c r="BD24" s="71" t="str">
        <f>IF(AND($AP24=1,$AJ24=1),$BA24*100000+ROW(),"")</f>
        <v/>
      </c>
      <c r="BE24" s="71" t="str">
        <f>IF(AND($AT24=1,$AJ24=1),$BA24*100000+ROW(),"")</f>
        <v/>
      </c>
      <c r="BF24" s="71" t="str">
        <f>IF(AND($AU24=1,$AJ24=1),$BA24*100000+ROW(),"")</f>
        <v/>
      </c>
      <c r="BG24" s="71" t="str">
        <f>IF(AND($AV24=1,$AJ24=1),$BA24*100000+ROW(),"")</f>
        <v/>
      </c>
      <c r="BH24" s="71" t="str">
        <f>IF(AND($AW24=1,$AJ24=1),$BA24*100000+ROW(),"")</f>
        <v/>
      </c>
      <c r="BI24" s="71" t="str">
        <f>IF(AND($AX24=1,$AJ24=1),$BA24*100000+ROW(),"")</f>
        <v/>
      </c>
      <c r="BJ24" s="71" t="str">
        <f>IF(AND($AS24=1,$AJ24=1),$BA24*100000+ROW(),"")</f>
        <v/>
      </c>
      <c r="BK24" s="71" t="str">
        <f>IF(AND($AY24=1,$AJ24=1),$BA24*100000+ROW(),"")</f>
        <v/>
      </c>
      <c r="BL24" s="71" t="str">
        <f>IF(AND($AZ24=1),$BA24*100000+ROW(),"")</f>
        <v/>
      </c>
    </row>
    <row r="25">
      <c r="A25" s="63" t="n"/>
      <c r="B25" s="64" t="inlineStr">
        <is>
          <t>Richi Bagla</t>
        </is>
      </c>
      <c r="C25" s="64" t="inlineStr">
        <is>
          <t>Eternelle</t>
        </is>
      </c>
      <c r="D25" s="64" t="inlineStr">
        <is>
          <t>Eternelle - Google Ads</t>
        </is>
      </c>
      <c r="E25" s="64" t="inlineStr">
        <is>
          <t>Paid Media</t>
        </is>
      </c>
      <c r="F25" s="64" t="inlineStr">
        <is>
          <t>Google Ads</t>
        </is>
      </c>
      <c r="G25" s="65" t="inlineStr">
        <is>
          <t>Google Ads</t>
        </is>
      </c>
      <c r="H25" s="65" t="n"/>
      <c r="I25" s="64" t="n"/>
      <c r="J25" s="64" t="n"/>
      <c r="K25" s="63" t="n"/>
      <c r="L25" s="63" t="n"/>
      <c r="M25" s="64" t="n"/>
      <c r="N25" s="66" t="n"/>
      <c r="O25" s="65" t="n"/>
      <c r="P25" s="64" t="inlineStr">
        <is>
          <t>Leads</t>
        </is>
      </c>
      <c r="Q25" s="67" t="n"/>
      <c r="R25" s="67" t="n"/>
      <c r="S25" s="68" t="str">
        <f>IF(AND(ISNUMBER($Q25),ISNUMBER($R25)),$Q25-$R25,"")</f>
        <v/>
      </c>
      <c r="T25" s="65" t="n"/>
      <c r="U25" s="64" t="n"/>
      <c r="V25" s="65" t="n"/>
      <c r="W25" s="63" t="n"/>
      <c r="X25" s="65" t="inlineStr">
        <is>
          <t>Baseline: status not provided.</t>
        </is>
      </c>
      <c r="Y25" s="63" t="n"/>
      <c r="Z25" s="64" t="n"/>
      <c r="AA25" s="64" t="n"/>
      <c r="AB25" s="65" t="inlineStr">
        <is>
          <t>8-10 leads daily</t>
        </is>
      </c>
      <c r="AC25" s="69" t="str">
        <f>IF(OR($G25="",NOT(ISNUMBER($K25)),$AK25=0),"",MAX(0,ReportDate-$K25))</f>
        <v/>
      </c>
      <c r="AD25" s="69">
        <f>IF($G25="","",IF($AL25=1,ReportDate-$L25,0))</f>
        <v>0</v>
      </c>
      <c r="AE25" s="70">
        <f>IF($G25="","",IF($M25="Completed",1,IF(ISNUMBER($N25),$N25,0)))</f>
        <v>0</v>
      </c>
      <c r="AF25" s="70" t="str">
        <f>IF(AND(ISNUMBER($Q25),ISNUMBER($R25)),IF($R25&lt;&gt;0,$Q25/$R25,""),"")</f>
        <v/>
      </c>
      <c r="AG25" s="71" t="str">
        <f>IF($G25="","",IF($AL25=1,"OVERDUE",IF($AM25=1,"BLOCKED",IF($AN25=1,"DUE TODAY",IF($AO25=1,"DUE TOMORROW",IF($AQ25=1,"HIGH PRIORITY",IF($AR25=1,"NO RECENT UPDATE",""))))))) </f>
        <v>NO RECENT UPDATE</v>
      </c>
      <c r="AH25" s="71" t="str">
        <f>IF($G25="","",IF(ISNUMBER($A25),IF(ISNUMBER($A25),YEAR($A25)&amp;"-"&amp;TEXT(MONTH($A25),"00"),""),IF(ISNUMBER($L25),IF(ISNUMBER($L25),YEAR($L25)&amp;"-"&amp;TEXT(MONTH($L25),"00"),""),"")))</f>
        <v/>
      </c>
      <c r="AI25" s="71">
        <f>IF($G25="",0,IF(AND(OR(fClient="All",$C25=fClient),OR(fCampaign="All",$D25=fCampaign),OR(fTeam="All",$B25=fTeam),OR(fChannel="All",$F25=fChannel),OR(fMonth="All",$AH25=fMonth),OR(fTStatus="All",$M25=fTStatus)),1,0))</f>
        <v>1</v>
      </c>
      <c r="AJ25" s="71">
        <f>IF($G25="",0,IF(AND(OR(fClient="All",$C25=fClient),OR(fCampaign="All",$D25=fCampaign),OR(fTeam="All",$B25=fTeam),OR(fChannel="All",$F25=fChannel)),1,0))</f>
        <v>1</v>
      </c>
      <c r="AK25" s="71">
        <f>IF($G25="",0,IF(OR($M25="Completed",$M25="Cancelled"),0,1))</f>
        <v>1</v>
      </c>
      <c r="AL25" s="71">
        <f>IF(AND($AK25=1,ISNUMBER($L25)),IF($L25&lt;ReportDate,1,0),0)</f>
        <v>0</v>
      </c>
      <c r="AM25" s="71">
        <f>IF(AND($G25&lt;&gt;"",$M25="Blocked"),1,0)</f>
        <v>0</v>
      </c>
      <c r="AN25" s="71">
        <f>IF(AND($AK25=1,ISNUMBER($L25)),IF($L25=ReportDate,1,0),0)</f>
        <v>0</v>
      </c>
      <c r="AO25" s="71">
        <f>IF(AND($AK25=1,ISNUMBER($L25)),IF($L25=ReportDate+1,1,0),0)</f>
        <v>0</v>
      </c>
      <c r="AP25" s="71">
        <f>IF(AND($AK25=1,ISNUMBER($L25)),IF(AND($L25&gt;=ReportDate,$L25&lt;=ReportDate+DueSoonDays),1,0),0)</f>
        <v>0</v>
      </c>
      <c r="AQ25" s="71">
        <f>IF(AND($AK25=1,OR($I25="Critical",$I25="High")),1,0)</f>
        <v>0</v>
      </c>
      <c r="AR25" s="71">
        <f>IF($AK25=1,IF(ISNUMBER($Y25),IF(ReportDate-$Y25&gt;StaleDays,1,0),1),0)</f>
        <v>1</v>
      </c>
      <c r="AS25" s="71">
        <f>IF(AND($G25&lt;&gt;"",ISNUMBER($Q25),ISNUMBER($R25)),IF(AND($Q25&lt;$R25,OR($M25="Completed",AND(ISNUMBER($L25),$L25&lt;ReportDate))),1,0),0)</f>
        <v>0</v>
      </c>
      <c r="AT25" s="71">
        <f>IF($AK25=1,IF(OR($L25=ReportDate,$W25=ReportDate,$K25=ReportDate,$A25=ReportDate),1,0),0)</f>
        <v>0</v>
      </c>
      <c r="AU25" s="71">
        <f>IF($AK25=1,IF(OR($L25=ReportDate+1,$W25=ReportDate+1,$K25=ReportDate+1,$A25=ReportDate+1),1,0),0)</f>
        <v>0</v>
      </c>
      <c r="AV25" s="71">
        <f>IF(AND($G25&lt;&gt;"",$M25="Completed"),IF(OR($Y25=ReportDate-1,$A25=ReportDate-1),1,0),0)</f>
        <v>0</v>
      </c>
      <c r="AW25" s="71">
        <f>IF(AND($AK25=1,$Z25="Yes"),1,0)</f>
        <v>0</v>
      </c>
      <c r="AX25" s="71">
        <f>IF(AND($AK25=1,$AA25="Yes"),1,0)</f>
        <v>0</v>
      </c>
      <c r="AY25" s="71">
        <f>IF(AND($AM25=1,OR($I25="Critical",$I25="High")),1,0)</f>
        <v>0</v>
      </c>
      <c r="AZ25" s="71">
        <f>IF(AND($AK25=1,OR($C25=TCL_Client,$C25=MECCA_Client)),1,0)</f>
        <v>0</v>
      </c>
      <c r="BA25" s="71">
        <f>IF($G25="","",IFERROR(MATCH($I25,lst_Priority,0),5))</f>
        <v>5</v>
      </c>
      <c r="BB25" s="71" t="str">
        <f>IF(AND($AL25=1,$AJ25=1),$BA25*100000+ROW(),"")</f>
        <v/>
      </c>
      <c r="BC25" s="71" t="str">
        <f>IF(AND($AM25=1,$AJ25=1),$BA25*100000+ROW(),"")</f>
        <v/>
      </c>
      <c r="BD25" s="71" t="str">
        <f>IF(AND($AP25=1,$AJ25=1),$BA25*100000+ROW(),"")</f>
        <v/>
      </c>
      <c r="BE25" s="71" t="str">
        <f>IF(AND($AT25=1,$AJ25=1),$BA25*100000+ROW(),"")</f>
        <v/>
      </c>
      <c r="BF25" s="71" t="str">
        <f>IF(AND($AU25=1,$AJ25=1),$BA25*100000+ROW(),"")</f>
        <v/>
      </c>
      <c r="BG25" s="71" t="str">
        <f>IF(AND($AV25=1,$AJ25=1),$BA25*100000+ROW(),"")</f>
        <v/>
      </c>
      <c r="BH25" s="71" t="str">
        <f>IF(AND($AW25=1,$AJ25=1),$BA25*100000+ROW(),"")</f>
        <v/>
      </c>
      <c r="BI25" s="71" t="str">
        <f>IF(AND($AX25=1,$AJ25=1),$BA25*100000+ROW(),"")</f>
        <v/>
      </c>
      <c r="BJ25" s="71" t="str">
        <f>IF(AND($AS25=1,$AJ25=1),$BA25*100000+ROW(),"")</f>
        <v/>
      </c>
      <c r="BK25" s="71" t="str">
        <f>IF(AND($AY25=1,$AJ25=1),$BA25*100000+ROW(),"")</f>
        <v/>
      </c>
      <c r="BL25" s="71" t="str">
        <f>IF(AND($AZ25=1),$BA25*100000+ROW(),"")</f>
        <v/>
      </c>
    </row>
    <row r="26">
      <c r="A26" s="63" t="n"/>
      <c r="B26" s="64" t="inlineStr">
        <is>
          <t>Richi Bagla</t>
        </is>
      </c>
      <c r="C26" s="64" t="inlineStr">
        <is>
          <t>Eternelle</t>
        </is>
      </c>
      <c r="D26" s="64" t="n"/>
      <c r="E26" s="64" t="inlineStr">
        <is>
          <t>Client Coordination</t>
        </is>
      </c>
      <c r="F26" s="64" t="inlineStr">
        <is>
          <t>Internal / Coordination</t>
        </is>
      </c>
      <c r="G26" s="65" t="inlineStr">
        <is>
          <t>Client Co-ordination</t>
        </is>
      </c>
      <c r="H26" s="65" t="n"/>
      <c r="I26" s="64" t="n"/>
      <c r="J26" s="64" t="n"/>
      <c r="K26" s="63" t="n"/>
      <c r="L26" s="63" t="n"/>
      <c r="M26" s="64" t="n"/>
      <c r="N26" s="66" t="n"/>
      <c r="O26" s="65" t="n"/>
      <c r="P26" s="64" t="n"/>
      <c r="Q26" s="67" t="n"/>
      <c r="R26" s="67" t="n"/>
      <c r="S26" s="68" t="str">
        <f>IF(AND(ISNUMBER($Q26),ISNUMBER($R26)),$Q26-$R26,"")</f>
        <v/>
      </c>
      <c r="T26" s="65" t="n"/>
      <c r="U26" s="64" t="n"/>
      <c r="V26" s="65" t="n"/>
      <c r="W26" s="63" t="n"/>
      <c r="X26" s="65" t="inlineStr">
        <is>
          <t>Baseline: status not provided.</t>
        </is>
      </c>
      <c r="Y26" s="63" t="n"/>
      <c r="Z26" s="64" t="n"/>
      <c r="AA26" s="64" t="n"/>
      <c r="AB26" s="65" t="n"/>
      <c r="AC26" s="69" t="str">
        <f>IF(OR($G26="",NOT(ISNUMBER($K26)),$AK26=0),"",MAX(0,ReportDate-$K26))</f>
        <v/>
      </c>
      <c r="AD26" s="69">
        <f>IF($G26="","",IF($AL26=1,ReportDate-$L26,0))</f>
        <v>0</v>
      </c>
      <c r="AE26" s="70">
        <f>IF($G26="","",IF($M26="Completed",1,IF(ISNUMBER($N26),$N26,0)))</f>
        <v>0</v>
      </c>
      <c r="AF26" s="70" t="str">
        <f>IF(AND(ISNUMBER($Q26),ISNUMBER($R26)),IF($R26&lt;&gt;0,$Q26/$R26,""),"")</f>
        <v/>
      </c>
      <c r="AG26" s="71" t="str">
        <f>IF($G26="","",IF($AL26=1,"OVERDUE",IF($AM26=1,"BLOCKED",IF($AN26=1,"DUE TODAY",IF($AO26=1,"DUE TOMORROW",IF($AQ26=1,"HIGH PRIORITY",IF($AR26=1,"NO RECENT UPDATE",""))))))) </f>
        <v>NO RECENT UPDATE</v>
      </c>
      <c r="AH26" s="71" t="str">
        <f>IF($G26="","",IF(ISNUMBER($A26),IF(ISNUMBER($A26),YEAR($A26)&amp;"-"&amp;TEXT(MONTH($A26),"00"),""),IF(ISNUMBER($L26),IF(ISNUMBER($L26),YEAR($L26)&amp;"-"&amp;TEXT(MONTH($L26),"00"),""),"")))</f>
        <v/>
      </c>
      <c r="AI26" s="71">
        <f>IF($G26="",0,IF(AND(OR(fClient="All",$C26=fClient),OR(fCampaign="All",$D26=fCampaign),OR(fTeam="All",$B26=fTeam),OR(fChannel="All",$F26=fChannel),OR(fMonth="All",$AH26=fMonth),OR(fTStatus="All",$M26=fTStatus)),1,0))</f>
        <v>1</v>
      </c>
      <c r="AJ26" s="71">
        <f>IF($G26="",0,IF(AND(OR(fClient="All",$C26=fClient),OR(fCampaign="All",$D26=fCampaign),OR(fTeam="All",$B26=fTeam),OR(fChannel="All",$F26=fChannel)),1,0))</f>
        <v>1</v>
      </c>
      <c r="AK26" s="71">
        <f>IF($G26="",0,IF(OR($M26="Completed",$M26="Cancelled"),0,1))</f>
        <v>1</v>
      </c>
      <c r="AL26" s="71">
        <f>IF(AND($AK26=1,ISNUMBER($L26)),IF($L26&lt;ReportDate,1,0),0)</f>
        <v>0</v>
      </c>
      <c r="AM26" s="71">
        <f>IF(AND($G26&lt;&gt;"",$M26="Blocked"),1,0)</f>
        <v>0</v>
      </c>
      <c r="AN26" s="71">
        <f>IF(AND($AK26=1,ISNUMBER($L26)),IF($L26=ReportDate,1,0),0)</f>
        <v>0</v>
      </c>
      <c r="AO26" s="71">
        <f>IF(AND($AK26=1,ISNUMBER($L26)),IF($L26=ReportDate+1,1,0),0)</f>
        <v>0</v>
      </c>
      <c r="AP26" s="71">
        <f>IF(AND($AK26=1,ISNUMBER($L26)),IF(AND($L26&gt;=ReportDate,$L26&lt;=ReportDate+DueSoonDays),1,0),0)</f>
        <v>0</v>
      </c>
      <c r="AQ26" s="71">
        <f>IF(AND($AK26=1,OR($I26="Critical",$I26="High")),1,0)</f>
        <v>0</v>
      </c>
      <c r="AR26" s="71">
        <f>IF($AK26=1,IF(ISNUMBER($Y26),IF(ReportDate-$Y26&gt;StaleDays,1,0),1),0)</f>
        <v>1</v>
      </c>
      <c r="AS26" s="71">
        <f>IF(AND($G26&lt;&gt;"",ISNUMBER($Q26),ISNUMBER($R26)),IF(AND($Q26&lt;$R26,OR($M26="Completed",AND(ISNUMBER($L26),$L26&lt;ReportDate))),1,0),0)</f>
        <v>0</v>
      </c>
      <c r="AT26" s="71">
        <f>IF($AK26=1,IF(OR($L26=ReportDate,$W26=ReportDate,$K26=ReportDate,$A26=ReportDate),1,0),0)</f>
        <v>0</v>
      </c>
      <c r="AU26" s="71">
        <f>IF($AK26=1,IF(OR($L26=ReportDate+1,$W26=ReportDate+1,$K26=ReportDate+1,$A26=ReportDate+1),1,0),0)</f>
        <v>0</v>
      </c>
      <c r="AV26" s="71">
        <f>IF(AND($G26&lt;&gt;"",$M26="Completed"),IF(OR($Y26=ReportDate-1,$A26=ReportDate-1),1,0),0)</f>
        <v>0</v>
      </c>
      <c r="AW26" s="71">
        <f>IF(AND($AK26=1,$Z26="Yes"),1,0)</f>
        <v>0</v>
      </c>
      <c r="AX26" s="71">
        <f>IF(AND($AK26=1,$AA26="Yes"),1,0)</f>
        <v>0</v>
      </c>
      <c r="AY26" s="71">
        <f>IF(AND($AM26=1,OR($I26="Critical",$I26="High")),1,0)</f>
        <v>0</v>
      </c>
      <c r="AZ26" s="71">
        <f>IF(AND($AK26=1,OR($C26=TCL_Client,$C26=MECCA_Client)),1,0)</f>
        <v>0</v>
      </c>
      <c r="BA26" s="71">
        <f>IF($G26="","",IFERROR(MATCH($I26,lst_Priority,0),5))</f>
        <v>5</v>
      </c>
      <c r="BB26" s="71" t="str">
        <f>IF(AND($AL26=1,$AJ26=1),$BA26*100000+ROW(),"")</f>
        <v/>
      </c>
      <c r="BC26" s="71" t="str">
        <f>IF(AND($AM26=1,$AJ26=1),$BA26*100000+ROW(),"")</f>
        <v/>
      </c>
      <c r="BD26" s="71" t="str">
        <f>IF(AND($AP26=1,$AJ26=1),$BA26*100000+ROW(),"")</f>
        <v/>
      </c>
      <c r="BE26" s="71" t="str">
        <f>IF(AND($AT26=1,$AJ26=1),$BA26*100000+ROW(),"")</f>
        <v/>
      </c>
      <c r="BF26" s="71" t="str">
        <f>IF(AND($AU26=1,$AJ26=1),$BA26*100000+ROW(),"")</f>
        <v/>
      </c>
      <c r="BG26" s="71" t="str">
        <f>IF(AND($AV26=1,$AJ26=1),$BA26*100000+ROW(),"")</f>
        <v/>
      </c>
      <c r="BH26" s="71" t="str">
        <f>IF(AND($AW26=1,$AJ26=1),$BA26*100000+ROW(),"")</f>
        <v/>
      </c>
      <c r="BI26" s="71" t="str">
        <f>IF(AND($AX26=1,$AJ26=1),$BA26*100000+ROW(),"")</f>
        <v/>
      </c>
      <c r="BJ26" s="71" t="str">
        <f>IF(AND($AS26=1,$AJ26=1),$BA26*100000+ROW(),"")</f>
        <v/>
      </c>
      <c r="BK26" s="71" t="str">
        <f>IF(AND($AY26=1,$AJ26=1),$BA26*100000+ROW(),"")</f>
        <v/>
      </c>
      <c r="BL26" s="71" t="str">
        <f>IF(AND($AZ26=1),$BA26*100000+ROW(),"")</f>
        <v/>
      </c>
    </row>
    <row r="27">
      <c r="A27" s="63" t="n"/>
      <c r="B27" s="64" t="inlineStr">
        <is>
          <t>Richi Bagla</t>
        </is>
      </c>
      <c r="C27" s="64" t="inlineStr">
        <is>
          <t>Magnasoft</t>
        </is>
      </c>
      <c r="D27" s="64" t="inlineStr">
        <is>
          <t>Magnasoft - Google Ads</t>
        </is>
      </c>
      <c r="E27" s="64" t="inlineStr">
        <is>
          <t>Paid Media</t>
        </is>
      </c>
      <c r="F27" s="64" t="inlineStr">
        <is>
          <t>Google Ads</t>
        </is>
      </c>
      <c r="G27" s="65" t="inlineStr">
        <is>
          <t>Google Ads</t>
        </is>
      </c>
      <c r="H27" s="65" t="n"/>
      <c r="I27" s="64" t="n"/>
      <c r="J27" s="64" t="n"/>
      <c r="K27" s="63" t="n"/>
      <c r="L27" s="63" t="n"/>
      <c r="M27" s="64" t="n"/>
      <c r="N27" s="66" t="n"/>
      <c r="O27" s="65" t="n"/>
      <c r="P27" s="64" t="n"/>
      <c r="Q27" s="67" t="n"/>
      <c r="R27" s="67" t="n"/>
      <c r="S27" s="68" t="str">
        <f>IF(AND(ISNUMBER($Q27),ISNUMBER($R27)),$Q27-$R27,"")</f>
        <v/>
      </c>
      <c r="T27" s="65" t="n"/>
      <c r="U27" s="64" t="n"/>
      <c r="V27" s="65" t="n"/>
      <c r="W27" s="63" t="n"/>
      <c r="X27" s="65" t="inlineStr">
        <is>
          <t>Baseline: status not provided.</t>
        </is>
      </c>
      <c r="Y27" s="63" t="n"/>
      <c r="Z27" s="64" t="n"/>
      <c r="AA27" s="64" t="n"/>
      <c r="AB27" s="65" t="inlineStr">
        <is>
          <t>No update</t>
        </is>
      </c>
      <c r="AC27" s="69" t="str">
        <f>IF(OR($G27="",NOT(ISNUMBER($K27)),$AK27=0),"",MAX(0,ReportDate-$K27))</f>
        <v/>
      </c>
      <c r="AD27" s="69">
        <f>IF($G27="","",IF($AL27=1,ReportDate-$L27,0))</f>
        <v>0</v>
      </c>
      <c r="AE27" s="70">
        <f>IF($G27="","",IF($M27="Completed",1,IF(ISNUMBER($N27),$N27,0)))</f>
        <v>0</v>
      </c>
      <c r="AF27" s="70" t="str">
        <f>IF(AND(ISNUMBER($Q27),ISNUMBER($R27)),IF($R27&lt;&gt;0,$Q27/$R27,""),"")</f>
        <v/>
      </c>
      <c r="AG27" s="71" t="str">
        <f>IF($G27="","",IF($AL27=1,"OVERDUE",IF($AM27=1,"BLOCKED",IF($AN27=1,"DUE TODAY",IF($AO27=1,"DUE TOMORROW",IF($AQ27=1,"HIGH PRIORITY",IF($AR27=1,"NO RECENT UPDATE",""))))))) </f>
        <v>NO RECENT UPDATE</v>
      </c>
      <c r="AH27" s="71" t="str">
        <f>IF($G27="","",IF(ISNUMBER($A27),IF(ISNUMBER($A27),YEAR($A27)&amp;"-"&amp;TEXT(MONTH($A27),"00"),""),IF(ISNUMBER($L27),IF(ISNUMBER($L27),YEAR($L27)&amp;"-"&amp;TEXT(MONTH($L27),"00"),""),"")))</f>
        <v/>
      </c>
      <c r="AI27" s="71">
        <f>IF($G27="",0,IF(AND(OR(fClient="All",$C27=fClient),OR(fCampaign="All",$D27=fCampaign),OR(fTeam="All",$B27=fTeam),OR(fChannel="All",$F27=fChannel),OR(fMonth="All",$AH27=fMonth),OR(fTStatus="All",$M27=fTStatus)),1,0))</f>
        <v>1</v>
      </c>
      <c r="AJ27" s="71">
        <f>IF($G27="",0,IF(AND(OR(fClient="All",$C27=fClient),OR(fCampaign="All",$D27=fCampaign),OR(fTeam="All",$B27=fTeam),OR(fChannel="All",$F27=fChannel)),1,0))</f>
        <v>1</v>
      </c>
      <c r="AK27" s="71">
        <f>IF($G27="",0,IF(OR($M27="Completed",$M27="Cancelled"),0,1))</f>
        <v>1</v>
      </c>
      <c r="AL27" s="71">
        <f>IF(AND($AK27=1,ISNUMBER($L27)),IF($L27&lt;ReportDate,1,0),0)</f>
        <v>0</v>
      </c>
      <c r="AM27" s="71">
        <f>IF(AND($G27&lt;&gt;"",$M27="Blocked"),1,0)</f>
        <v>0</v>
      </c>
      <c r="AN27" s="71">
        <f>IF(AND($AK27=1,ISNUMBER($L27)),IF($L27=ReportDate,1,0),0)</f>
        <v>0</v>
      </c>
      <c r="AO27" s="71">
        <f>IF(AND($AK27=1,ISNUMBER($L27)),IF($L27=ReportDate+1,1,0),0)</f>
        <v>0</v>
      </c>
      <c r="AP27" s="71">
        <f>IF(AND($AK27=1,ISNUMBER($L27)),IF(AND($L27&gt;=ReportDate,$L27&lt;=ReportDate+DueSoonDays),1,0),0)</f>
        <v>0</v>
      </c>
      <c r="AQ27" s="71">
        <f>IF(AND($AK27=1,OR($I27="Critical",$I27="High")),1,0)</f>
        <v>0</v>
      </c>
      <c r="AR27" s="71">
        <f>IF($AK27=1,IF(ISNUMBER($Y27),IF(ReportDate-$Y27&gt;StaleDays,1,0),1),0)</f>
        <v>1</v>
      </c>
      <c r="AS27" s="71">
        <f>IF(AND($G27&lt;&gt;"",ISNUMBER($Q27),ISNUMBER($R27)),IF(AND($Q27&lt;$R27,OR($M27="Completed",AND(ISNUMBER($L27),$L27&lt;ReportDate))),1,0),0)</f>
        <v>0</v>
      </c>
      <c r="AT27" s="71">
        <f>IF($AK27=1,IF(OR($L27=ReportDate,$W27=ReportDate,$K27=ReportDate,$A27=ReportDate),1,0),0)</f>
        <v>0</v>
      </c>
      <c r="AU27" s="71">
        <f>IF($AK27=1,IF(OR($L27=ReportDate+1,$W27=ReportDate+1,$K27=ReportDate+1,$A27=ReportDate+1),1,0),0)</f>
        <v>0</v>
      </c>
      <c r="AV27" s="71">
        <f>IF(AND($G27&lt;&gt;"",$M27="Completed"),IF(OR($Y27=ReportDate-1,$A27=ReportDate-1),1,0),0)</f>
        <v>0</v>
      </c>
      <c r="AW27" s="71">
        <f>IF(AND($AK27=1,$Z27="Yes"),1,0)</f>
        <v>0</v>
      </c>
      <c r="AX27" s="71">
        <f>IF(AND($AK27=1,$AA27="Yes"),1,0)</f>
        <v>0</v>
      </c>
      <c r="AY27" s="71">
        <f>IF(AND($AM27=1,OR($I27="Critical",$I27="High")),1,0)</f>
        <v>0</v>
      </c>
      <c r="AZ27" s="71">
        <f>IF(AND($AK27=1,OR($C27=TCL_Client,$C27=MECCA_Client)),1,0)</f>
        <v>0</v>
      </c>
      <c r="BA27" s="71">
        <f>IF($G27="","",IFERROR(MATCH($I27,lst_Priority,0),5))</f>
        <v>5</v>
      </c>
      <c r="BB27" s="71" t="str">
        <f>IF(AND($AL27=1,$AJ27=1),$BA27*100000+ROW(),"")</f>
        <v/>
      </c>
      <c r="BC27" s="71" t="str">
        <f>IF(AND($AM27=1,$AJ27=1),$BA27*100000+ROW(),"")</f>
        <v/>
      </c>
      <c r="BD27" s="71" t="str">
        <f>IF(AND($AP27=1,$AJ27=1),$BA27*100000+ROW(),"")</f>
        <v/>
      </c>
      <c r="BE27" s="71" t="str">
        <f>IF(AND($AT27=1,$AJ27=1),$BA27*100000+ROW(),"")</f>
        <v/>
      </c>
      <c r="BF27" s="71" t="str">
        <f>IF(AND($AU27=1,$AJ27=1),$BA27*100000+ROW(),"")</f>
        <v/>
      </c>
      <c r="BG27" s="71" t="str">
        <f>IF(AND($AV27=1,$AJ27=1),$BA27*100000+ROW(),"")</f>
        <v/>
      </c>
      <c r="BH27" s="71" t="str">
        <f>IF(AND($AW27=1,$AJ27=1),$BA27*100000+ROW(),"")</f>
        <v/>
      </c>
      <c r="BI27" s="71" t="str">
        <f>IF(AND($AX27=1,$AJ27=1),$BA27*100000+ROW(),"")</f>
        <v/>
      </c>
      <c r="BJ27" s="71" t="str">
        <f>IF(AND($AS27=1,$AJ27=1),$BA27*100000+ROW(),"")</f>
        <v/>
      </c>
      <c r="BK27" s="71" t="str">
        <f>IF(AND($AY27=1,$AJ27=1),$BA27*100000+ROW(),"")</f>
        <v/>
      </c>
      <c r="BL27" s="71" t="str">
        <f>IF(AND($AZ27=1),$BA27*100000+ROW(),"")</f>
        <v/>
      </c>
    </row>
    <row r="28">
      <c r="A28" s="63" t="n"/>
      <c r="B28" s="64" t="inlineStr">
        <is>
          <t>Richi Bagla</t>
        </is>
      </c>
      <c r="C28" s="64" t="inlineStr">
        <is>
          <t>Ruckus Networks</t>
        </is>
      </c>
      <c r="D28" s="64" t="inlineStr">
        <is>
          <t>Ruckus - Content Syndication (Email)</t>
        </is>
      </c>
      <c r="E28" s="64" t="inlineStr">
        <is>
          <t>Campaign Execution</t>
        </is>
      </c>
      <c r="F28" s="64" t="inlineStr">
        <is>
          <t>Content Syndication</t>
        </is>
      </c>
      <c r="G28" s="65" t="inlineStr">
        <is>
          <t>Content Syndication - Email</t>
        </is>
      </c>
      <c r="H28" s="65" t="n"/>
      <c r="I28" s="64" t="n"/>
      <c r="J28" s="64" t="n"/>
      <c r="K28" s="63" t="n"/>
      <c r="L28" s="63" t="n"/>
      <c r="M28" s="64" t="n"/>
      <c r="N28" s="66" t="n"/>
      <c r="O28" s="65" t="n"/>
      <c r="P28" s="64" t="inlineStr">
        <is>
          <t>Form fills</t>
        </is>
      </c>
      <c r="Q28" s="67" t="n"/>
      <c r="R28" s="67" t="n">
        <v>50</v>
      </c>
      <c r="S28" s="68" t="str">
        <f>IF(AND(ISNUMBER($Q28),ISNUMBER($R28)),$Q28-$R28,"")</f>
        <v/>
      </c>
      <c r="T28" s="65" t="n"/>
      <c r="U28" s="64" t="n"/>
      <c r="V28" s="65" t="n"/>
      <c r="W28" s="63" t="n"/>
      <c r="X28" s="65" t="inlineStr">
        <is>
          <t>Baseline: status not provided.</t>
        </is>
      </c>
      <c r="Y28" s="63" t="n"/>
      <c r="Z28" s="64" t="n"/>
      <c r="AA28" s="64" t="n"/>
      <c r="AB28" s="65" t="inlineStr">
        <is>
          <t>50 form fills</t>
        </is>
      </c>
      <c r="AC28" s="69" t="str">
        <f>IF(OR($G28="",NOT(ISNUMBER($K28)),$AK28=0),"",MAX(0,ReportDate-$K28))</f>
        <v/>
      </c>
      <c r="AD28" s="69">
        <f>IF($G28="","",IF($AL28=1,ReportDate-$L28,0))</f>
        <v>0</v>
      </c>
      <c r="AE28" s="70">
        <f>IF($G28="","",IF($M28="Completed",1,IF(ISNUMBER($N28),$N28,0)))</f>
        <v>0</v>
      </c>
      <c r="AF28" s="70" t="str">
        <f>IF(AND(ISNUMBER($Q28),ISNUMBER($R28)),IF($R28&lt;&gt;0,$Q28/$R28,""),"")</f>
        <v/>
      </c>
      <c r="AG28" s="71" t="str">
        <f>IF($G28="","",IF($AL28=1,"OVERDUE",IF($AM28=1,"BLOCKED",IF($AN28=1,"DUE TODAY",IF($AO28=1,"DUE TOMORROW",IF($AQ28=1,"HIGH PRIORITY",IF($AR28=1,"NO RECENT UPDATE",""))))))) </f>
        <v>NO RECENT UPDATE</v>
      </c>
      <c r="AH28" s="71" t="str">
        <f>IF($G28="","",IF(ISNUMBER($A28),IF(ISNUMBER($A28),YEAR($A28)&amp;"-"&amp;TEXT(MONTH($A28),"00"),""),IF(ISNUMBER($L28),IF(ISNUMBER($L28),YEAR($L28)&amp;"-"&amp;TEXT(MONTH($L28),"00"),""),"")))</f>
        <v/>
      </c>
      <c r="AI28" s="71">
        <f>IF($G28="",0,IF(AND(OR(fClient="All",$C28=fClient),OR(fCampaign="All",$D28=fCampaign),OR(fTeam="All",$B28=fTeam),OR(fChannel="All",$F28=fChannel),OR(fMonth="All",$AH28=fMonth),OR(fTStatus="All",$M28=fTStatus)),1,0))</f>
        <v>1</v>
      </c>
      <c r="AJ28" s="71">
        <f>IF($G28="",0,IF(AND(OR(fClient="All",$C28=fClient),OR(fCampaign="All",$D28=fCampaign),OR(fTeam="All",$B28=fTeam),OR(fChannel="All",$F28=fChannel)),1,0))</f>
        <v>1</v>
      </c>
      <c r="AK28" s="71">
        <f>IF($G28="",0,IF(OR($M28="Completed",$M28="Cancelled"),0,1))</f>
        <v>1</v>
      </c>
      <c r="AL28" s="71">
        <f>IF(AND($AK28=1,ISNUMBER($L28)),IF($L28&lt;ReportDate,1,0),0)</f>
        <v>0</v>
      </c>
      <c r="AM28" s="71">
        <f>IF(AND($G28&lt;&gt;"",$M28="Blocked"),1,0)</f>
        <v>0</v>
      </c>
      <c r="AN28" s="71">
        <f>IF(AND($AK28=1,ISNUMBER($L28)),IF($L28=ReportDate,1,0),0)</f>
        <v>0</v>
      </c>
      <c r="AO28" s="71">
        <f>IF(AND($AK28=1,ISNUMBER($L28)),IF($L28=ReportDate+1,1,0),0)</f>
        <v>0</v>
      </c>
      <c r="AP28" s="71">
        <f>IF(AND($AK28=1,ISNUMBER($L28)),IF(AND($L28&gt;=ReportDate,$L28&lt;=ReportDate+DueSoonDays),1,0),0)</f>
        <v>0</v>
      </c>
      <c r="AQ28" s="71">
        <f>IF(AND($AK28=1,OR($I28="Critical",$I28="High")),1,0)</f>
        <v>0</v>
      </c>
      <c r="AR28" s="71">
        <f>IF($AK28=1,IF(ISNUMBER($Y28),IF(ReportDate-$Y28&gt;StaleDays,1,0),1),0)</f>
        <v>1</v>
      </c>
      <c r="AS28" s="71">
        <f>IF(AND($G28&lt;&gt;"",ISNUMBER($Q28),ISNUMBER($R28)),IF(AND($Q28&lt;$R28,OR($M28="Completed",AND(ISNUMBER($L28),$L28&lt;ReportDate))),1,0),0)</f>
        <v>0</v>
      </c>
      <c r="AT28" s="71">
        <f>IF($AK28=1,IF(OR($L28=ReportDate,$W28=ReportDate,$K28=ReportDate,$A28=ReportDate),1,0),0)</f>
        <v>0</v>
      </c>
      <c r="AU28" s="71">
        <f>IF($AK28=1,IF(OR($L28=ReportDate+1,$W28=ReportDate+1,$K28=ReportDate+1,$A28=ReportDate+1),1,0),0)</f>
        <v>0</v>
      </c>
      <c r="AV28" s="71">
        <f>IF(AND($G28&lt;&gt;"",$M28="Completed"),IF(OR($Y28=ReportDate-1,$A28=ReportDate-1),1,0),0)</f>
        <v>0</v>
      </c>
      <c r="AW28" s="71">
        <f>IF(AND($AK28=1,$Z28="Yes"),1,0)</f>
        <v>0</v>
      </c>
      <c r="AX28" s="71">
        <f>IF(AND($AK28=1,$AA28="Yes"),1,0)</f>
        <v>0</v>
      </c>
      <c r="AY28" s="71">
        <f>IF(AND($AM28=1,OR($I28="Critical",$I28="High")),1,0)</f>
        <v>0</v>
      </c>
      <c r="AZ28" s="71">
        <f>IF(AND($AK28=1,OR($C28=TCL_Client,$C28=MECCA_Client)),1,0)</f>
        <v>0</v>
      </c>
      <c r="BA28" s="71">
        <f>IF($G28="","",IFERROR(MATCH($I28,lst_Priority,0),5))</f>
        <v>5</v>
      </c>
      <c r="BB28" s="71" t="str">
        <f>IF(AND($AL28=1,$AJ28=1),$BA28*100000+ROW(),"")</f>
        <v/>
      </c>
      <c r="BC28" s="71" t="str">
        <f>IF(AND($AM28=1,$AJ28=1),$BA28*100000+ROW(),"")</f>
        <v/>
      </c>
      <c r="BD28" s="71" t="str">
        <f>IF(AND($AP28=1,$AJ28=1),$BA28*100000+ROW(),"")</f>
        <v/>
      </c>
      <c r="BE28" s="71" t="str">
        <f>IF(AND($AT28=1,$AJ28=1),$BA28*100000+ROW(),"")</f>
        <v/>
      </c>
      <c r="BF28" s="71" t="str">
        <f>IF(AND($AU28=1,$AJ28=1),$BA28*100000+ROW(),"")</f>
        <v/>
      </c>
      <c r="BG28" s="71" t="str">
        <f>IF(AND($AV28=1,$AJ28=1),$BA28*100000+ROW(),"")</f>
        <v/>
      </c>
      <c r="BH28" s="71" t="str">
        <f>IF(AND($AW28=1,$AJ28=1),$BA28*100000+ROW(),"")</f>
        <v/>
      </c>
      <c r="BI28" s="71" t="str">
        <f>IF(AND($AX28=1,$AJ28=1),$BA28*100000+ROW(),"")</f>
        <v/>
      </c>
      <c r="BJ28" s="71" t="str">
        <f>IF(AND($AS28=1,$AJ28=1),$BA28*100000+ROW(),"")</f>
        <v/>
      </c>
      <c r="BK28" s="71" t="str">
        <f>IF(AND($AY28=1,$AJ28=1),$BA28*100000+ROW(),"")</f>
        <v/>
      </c>
      <c r="BL28" s="71" t="str">
        <f>IF(AND($AZ28=1),$BA28*100000+ROW(),"")</f>
        <v/>
      </c>
    </row>
    <row r="29">
      <c r="A29" s="63" t="n"/>
      <c r="B29" s="64" t="inlineStr">
        <is>
          <t>Richi Bagla</t>
        </is>
      </c>
      <c r="C29" s="64" t="inlineStr">
        <is>
          <t>Equinix</t>
        </is>
      </c>
      <c r="D29" s="64" t="inlineStr">
        <is>
          <t>Equinix - Content Syndication (Email)</t>
        </is>
      </c>
      <c r="E29" s="64" t="inlineStr">
        <is>
          <t>Campaign Execution</t>
        </is>
      </c>
      <c r="F29" s="64" t="inlineStr">
        <is>
          <t>Content Syndication</t>
        </is>
      </c>
      <c r="G29" s="65" t="inlineStr">
        <is>
          <t>Content Syndication - Email</t>
        </is>
      </c>
      <c r="H29" s="65" t="n"/>
      <c r="I29" s="64" t="n"/>
      <c r="J29" s="64" t="n"/>
      <c r="K29" s="63" t="n"/>
      <c r="L29" s="63" t="n"/>
      <c r="M29" s="64" t="n"/>
      <c r="N29" s="66" t="n"/>
      <c r="O29" s="65" t="n"/>
      <c r="P29" s="64" t="inlineStr">
        <is>
          <t>Form fills</t>
        </is>
      </c>
      <c r="Q29" s="67" t="n"/>
      <c r="R29" s="67" t="n">
        <v>150</v>
      </c>
      <c r="S29" s="68" t="str">
        <f>IF(AND(ISNUMBER($Q29),ISNUMBER($R29)),$Q29-$R29,"")</f>
        <v/>
      </c>
      <c r="T29" s="65" t="n"/>
      <c r="U29" s="64" t="n"/>
      <c r="V29" s="65" t="n"/>
      <c r="W29" s="63" t="n"/>
      <c r="X29" s="65" t="inlineStr">
        <is>
          <t>Baseline: status not provided.</t>
        </is>
      </c>
      <c r="Y29" s="63" t="n"/>
      <c r="Z29" s="64" t="n"/>
      <c r="AA29" s="64" t="n"/>
      <c r="AB29" s="65" t="inlineStr">
        <is>
          <t>150 form fills</t>
        </is>
      </c>
      <c r="AC29" s="69" t="str">
        <f>IF(OR($G29="",NOT(ISNUMBER($K29)),$AK29=0),"",MAX(0,ReportDate-$K29))</f>
        <v/>
      </c>
      <c r="AD29" s="69">
        <f>IF($G29="","",IF($AL29=1,ReportDate-$L29,0))</f>
        <v>0</v>
      </c>
      <c r="AE29" s="70">
        <f>IF($G29="","",IF($M29="Completed",1,IF(ISNUMBER($N29),$N29,0)))</f>
        <v>0</v>
      </c>
      <c r="AF29" s="70" t="str">
        <f>IF(AND(ISNUMBER($Q29),ISNUMBER($R29)),IF($R29&lt;&gt;0,$Q29/$R29,""),"")</f>
        <v/>
      </c>
      <c r="AG29" s="71" t="str">
        <f>IF($G29="","",IF($AL29=1,"OVERDUE",IF($AM29=1,"BLOCKED",IF($AN29=1,"DUE TODAY",IF($AO29=1,"DUE TOMORROW",IF($AQ29=1,"HIGH PRIORITY",IF($AR29=1,"NO RECENT UPDATE",""))))))) </f>
        <v>NO RECENT UPDATE</v>
      </c>
      <c r="AH29" s="71" t="str">
        <f>IF($G29="","",IF(ISNUMBER($A29),IF(ISNUMBER($A29),YEAR($A29)&amp;"-"&amp;TEXT(MONTH($A29),"00"),""),IF(ISNUMBER($L29),IF(ISNUMBER($L29),YEAR($L29)&amp;"-"&amp;TEXT(MONTH($L29),"00"),""),"")))</f>
        <v/>
      </c>
      <c r="AI29" s="71">
        <f>IF($G29="",0,IF(AND(OR(fClient="All",$C29=fClient),OR(fCampaign="All",$D29=fCampaign),OR(fTeam="All",$B29=fTeam),OR(fChannel="All",$F29=fChannel),OR(fMonth="All",$AH29=fMonth),OR(fTStatus="All",$M29=fTStatus)),1,0))</f>
        <v>1</v>
      </c>
      <c r="AJ29" s="71">
        <f>IF($G29="",0,IF(AND(OR(fClient="All",$C29=fClient),OR(fCampaign="All",$D29=fCampaign),OR(fTeam="All",$B29=fTeam),OR(fChannel="All",$F29=fChannel)),1,0))</f>
        <v>1</v>
      </c>
      <c r="AK29" s="71">
        <f>IF($G29="",0,IF(OR($M29="Completed",$M29="Cancelled"),0,1))</f>
        <v>1</v>
      </c>
      <c r="AL29" s="71">
        <f>IF(AND($AK29=1,ISNUMBER($L29)),IF($L29&lt;ReportDate,1,0),0)</f>
        <v>0</v>
      </c>
      <c r="AM29" s="71">
        <f>IF(AND($G29&lt;&gt;"",$M29="Blocked"),1,0)</f>
        <v>0</v>
      </c>
      <c r="AN29" s="71">
        <f>IF(AND($AK29=1,ISNUMBER($L29)),IF($L29=ReportDate,1,0),0)</f>
        <v>0</v>
      </c>
      <c r="AO29" s="71">
        <f>IF(AND($AK29=1,ISNUMBER($L29)),IF($L29=ReportDate+1,1,0),0)</f>
        <v>0</v>
      </c>
      <c r="AP29" s="71">
        <f>IF(AND($AK29=1,ISNUMBER($L29)),IF(AND($L29&gt;=ReportDate,$L29&lt;=ReportDate+DueSoonDays),1,0),0)</f>
        <v>0</v>
      </c>
      <c r="AQ29" s="71">
        <f>IF(AND($AK29=1,OR($I29="Critical",$I29="High")),1,0)</f>
        <v>0</v>
      </c>
      <c r="AR29" s="71">
        <f>IF($AK29=1,IF(ISNUMBER($Y29),IF(ReportDate-$Y29&gt;StaleDays,1,0),1),0)</f>
        <v>1</v>
      </c>
      <c r="AS29" s="71">
        <f>IF(AND($G29&lt;&gt;"",ISNUMBER($Q29),ISNUMBER($R29)),IF(AND($Q29&lt;$R29,OR($M29="Completed",AND(ISNUMBER($L29),$L29&lt;ReportDate))),1,0),0)</f>
        <v>0</v>
      </c>
      <c r="AT29" s="71">
        <f>IF($AK29=1,IF(OR($L29=ReportDate,$W29=ReportDate,$K29=ReportDate,$A29=ReportDate),1,0),0)</f>
        <v>0</v>
      </c>
      <c r="AU29" s="71">
        <f>IF($AK29=1,IF(OR($L29=ReportDate+1,$W29=ReportDate+1,$K29=ReportDate+1,$A29=ReportDate+1),1,0),0)</f>
        <v>0</v>
      </c>
      <c r="AV29" s="71">
        <f>IF(AND($G29&lt;&gt;"",$M29="Completed"),IF(OR($Y29=ReportDate-1,$A29=ReportDate-1),1,0),0)</f>
        <v>0</v>
      </c>
      <c r="AW29" s="71">
        <f>IF(AND($AK29=1,$Z29="Yes"),1,0)</f>
        <v>0</v>
      </c>
      <c r="AX29" s="71">
        <f>IF(AND($AK29=1,$AA29="Yes"),1,0)</f>
        <v>0</v>
      </c>
      <c r="AY29" s="71">
        <f>IF(AND($AM29=1,OR($I29="Critical",$I29="High")),1,0)</f>
        <v>0</v>
      </c>
      <c r="AZ29" s="71">
        <f>IF(AND($AK29=1,OR($C29=TCL_Client,$C29=MECCA_Client)),1,0)</f>
        <v>0</v>
      </c>
      <c r="BA29" s="71">
        <f>IF($G29="","",IFERROR(MATCH($I29,lst_Priority,0),5))</f>
        <v>5</v>
      </c>
      <c r="BB29" s="71" t="str">
        <f>IF(AND($AL29=1,$AJ29=1),$BA29*100000+ROW(),"")</f>
        <v/>
      </c>
      <c r="BC29" s="71" t="str">
        <f>IF(AND($AM29=1,$AJ29=1),$BA29*100000+ROW(),"")</f>
        <v/>
      </c>
      <c r="BD29" s="71" t="str">
        <f>IF(AND($AP29=1,$AJ29=1),$BA29*100000+ROW(),"")</f>
        <v/>
      </c>
      <c r="BE29" s="71" t="str">
        <f>IF(AND($AT29=1,$AJ29=1),$BA29*100000+ROW(),"")</f>
        <v/>
      </c>
      <c r="BF29" s="71" t="str">
        <f>IF(AND($AU29=1,$AJ29=1),$BA29*100000+ROW(),"")</f>
        <v/>
      </c>
      <c r="BG29" s="71" t="str">
        <f>IF(AND($AV29=1,$AJ29=1),$BA29*100000+ROW(),"")</f>
        <v/>
      </c>
      <c r="BH29" s="71" t="str">
        <f>IF(AND($AW29=1,$AJ29=1),$BA29*100000+ROW(),"")</f>
        <v/>
      </c>
      <c r="BI29" s="71" t="str">
        <f>IF(AND($AX29=1,$AJ29=1),$BA29*100000+ROW(),"")</f>
        <v/>
      </c>
      <c r="BJ29" s="71" t="str">
        <f>IF(AND($AS29=1,$AJ29=1),$BA29*100000+ROW(),"")</f>
        <v/>
      </c>
      <c r="BK29" s="71" t="str">
        <f>IF(AND($AY29=1,$AJ29=1),$BA29*100000+ROW(),"")</f>
        <v/>
      </c>
      <c r="BL29" s="71" t="str">
        <f>IF(AND($AZ29=1),$BA29*100000+ROW(),"")</f>
        <v/>
      </c>
    </row>
    <row r="30">
      <c r="A30" s="63" t="n"/>
      <c r="B30" s="64" t="inlineStr">
        <is>
          <t>Richi Bagla</t>
        </is>
      </c>
      <c r="C30" s="64" t="inlineStr">
        <is>
          <t>SAP</t>
        </is>
      </c>
      <c r="D30" s="64" t="n"/>
      <c r="E30" s="64" t="inlineStr">
        <is>
          <t>Landing Pages</t>
        </is>
      </c>
      <c r="F30" s="64" t="inlineStr">
        <is>
          <t>Landing Page</t>
        </is>
      </c>
      <c r="G30" s="65" t="inlineStr">
        <is>
          <t>Helping Surbhi with landing pages</t>
        </is>
      </c>
      <c r="H30" s="65" t="n"/>
      <c r="I30" s="64" t="n"/>
      <c r="J30" s="64" t="n"/>
      <c r="K30" s="63" t="n"/>
      <c r="L30" s="63" t="n"/>
      <c r="M30" s="64" t="n"/>
      <c r="N30" s="66" t="n"/>
      <c r="O30" s="65" t="n"/>
      <c r="P30" s="64" t="n"/>
      <c r="Q30" s="67" t="n"/>
      <c r="R30" s="67" t="n"/>
      <c r="S30" s="68" t="str">
        <f>IF(AND(ISNUMBER($Q30),ISNUMBER($R30)),$Q30-$R30,"")</f>
        <v/>
      </c>
      <c r="T30" s="65" t="n"/>
      <c r="U30" s="64" t="n"/>
      <c r="V30" s="65" t="n"/>
      <c r="W30" s="63" t="n"/>
      <c r="X30" s="65" t="inlineStr">
        <is>
          <t>Baseline: status not provided.</t>
        </is>
      </c>
      <c r="Y30" s="63" t="n"/>
      <c r="Z30" s="64" t="n"/>
      <c r="AA30" s="64" t="n"/>
      <c r="AB30" s="65" t="n"/>
      <c r="AC30" s="69" t="str">
        <f>IF(OR($G30="",NOT(ISNUMBER($K30)),$AK30=0),"",MAX(0,ReportDate-$K30))</f>
        <v/>
      </c>
      <c r="AD30" s="69">
        <f>IF($G30="","",IF($AL30=1,ReportDate-$L30,0))</f>
        <v>0</v>
      </c>
      <c r="AE30" s="70">
        <f>IF($G30="","",IF($M30="Completed",1,IF(ISNUMBER($N30),$N30,0)))</f>
        <v>0</v>
      </c>
      <c r="AF30" s="70" t="str">
        <f>IF(AND(ISNUMBER($Q30),ISNUMBER($R30)),IF($R30&lt;&gt;0,$Q30/$R30,""),"")</f>
        <v/>
      </c>
      <c r="AG30" s="71" t="str">
        <f>IF($G30="","",IF($AL30=1,"OVERDUE",IF($AM30=1,"BLOCKED",IF($AN30=1,"DUE TODAY",IF($AO30=1,"DUE TOMORROW",IF($AQ30=1,"HIGH PRIORITY",IF($AR30=1,"NO RECENT UPDATE",""))))))) </f>
        <v>NO RECENT UPDATE</v>
      </c>
      <c r="AH30" s="71" t="str">
        <f>IF($G30="","",IF(ISNUMBER($A30),IF(ISNUMBER($A30),YEAR($A30)&amp;"-"&amp;TEXT(MONTH($A30),"00"),""),IF(ISNUMBER($L30),IF(ISNUMBER($L30),YEAR($L30)&amp;"-"&amp;TEXT(MONTH($L30),"00"),""),"")))</f>
        <v/>
      </c>
      <c r="AI30" s="71">
        <f>IF($G30="",0,IF(AND(OR(fClient="All",$C30=fClient),OR(fCampaign="All",$D30=fCampaign),OR(fTeam="All",$B30=fTeam),OR(fChannel="All",$F30=fChannel),OR(fMonth="All",$AH30=fMonth),OR(fTStatus="All",$M30=fTStatus)),1,0))</f>
        <v>1</v>
      </c>
      <c r="AJ30" s="71">
        <f>IF($G30="",0,IF(AND(OR(fClient="All",$C30=fClient),OR(fCampaign="All",$D30=fCampaign),OR(fTeam="All",$B30=fTeam),OR(fChannel="All",$F30=fChannel)),1,0))</f>
        <v>1</v>
      </c>
      <c r="AK30" s="71">
        <f>IF($G30="",0,IF(OR($M30="Completed",$M30="Cancelled"),0,1))</f>
        <v>1</v>
      </c>
      <c r="AL30" s="71">
        <f>IF(AND($AK30=1,ISNUMBER($L30)),IF($L30&lt;ReportDate,1,0),0)</f>
        <v>0</v>
      </c>
      <c r="AM30" s="71">
        <f>IF(AND($G30&lt;&gt;"",$M30="Blocked"),1,0)</f>
        <v>0</v>
      </c>
      <c r="AN30" s="71">
        <f>IF(AND($AK30=1,ISNUMBER($L30)),IF($L30=ReportDate,1,0),0)</f>
        <v>0</v>
      </c>
      <c r="AO30" s="71">
        <f>IF(AND($AK30=1,ISNUMBER($L30)),IF($L30=ReportDate+1,1,0),0)</f>
        <v>0</v>
      </c>
      <c r="AP30" s="71">
        <f>IF(AND($AK30=1,ISNUMBER($L30)),IF(AND($L30&gt;=ReportDate,$L30&lt;=ReportDate+DueSoonDays),1,0),0)</f>
        <v>0</v>
      </c>
      <c r="AQ30" s="71">
        <f>IF(AND($AK30=1,OR($I30="Critical",$I30="High")),1,0)</f>
        <v>0</v>
      </c>
      <c r="AR30" s="71">
        <f>IF($AK30=1,IF(ISNUMBER($Y30),IF(ReportDate-$Y30&gt;StaleDays,1,0),1),0)</f>
        <v>1</v>
      </c>
      <c r="AS30" s="71">
        <f>IF(AND($G30&lt;&gt;"",ISNUMBER($Q30),ISNUMBER($R30)),IF(AND($Q30&lt;$R30,OR($M30="Completed",AND(ISNUMBER($L30),$L30&lt;ReportDate))),1,0),0)</f>
        <v>0</v>
      </c>
      <c r="AT30" s="71">
        <f>IF($AK30=1,IF(OR($L30=ReportDate,$W30=ReportDate,$K30=ReportDate,$A30=ReportDate),1,0),0)</f>
        <v>0</v>
      </c>
      <c r="AU30" s="71">
        <f>IF($AK30=1,IF(OR($L30=ReportDate+1,$W30=ReportDate+1,$K30=ReportDate+1,$A30=ReportDate+1),1,0),0)</f>
        <v>0</v>
      </c>
      <c r="AV30" s="71">
        <f>IF(AND($G30&lt;&gt;"",$M30="Completed"),IF(OR($Y30=ReportDate-1,$A30=ReportDate-1),1,0),0)</f>
        <v>0</v>
      </c>
      <c r="AW30" s="71">
        <f>IF(AND($AK30=1,$Z30="Yes"),1,0)</f>
        <v>0</v>
      </c>
      <c r="AX30" s="71">
        <f>IF(AND($AK30=1,$AA30="Yes"),1,0)</f>
        <v>0</v>
      </c>
      <c r="AY30" s="71">
        <f>IF(AND($AM30=1,OR($I30="Critical",$I30="High")),1,0)</f>
        <v>0</v>
      </c>
      <c r="AZ30" s="71">
        <f>IF(AND($AK30=1,OR($C30=TCL_Client,$C30=MECCA_Client)),1,0)</f>
        <v>0</v>
      </c>
      <c r="BA30" s="71">
        <f>IF($G30="","",IFERROR(MATCH($I30,lst_Priority,0),5))</f>
        <v>5</v>
      </c>
      <c r="BB30" s="71" t="str">
        <f>IF(AND($AL30=1,$AJ30=1),$BA30*100000+ROW(),"")</f>
        <v/>
      </c>
      <c r="BC30" s="71" t="str">
        <f>IF(AND($AM30=1,$AJ30=1),$BA30*100000+ROW(),"")</f>
        <v/>
      </c>
      <c r="BD30" s="71" t="str">
        <f>IF(AND($AP30=1,$AJ30=1),$BA30*100000+ROW(),"")</f>
        <v/>
      </c>
      <c r="BE30" s="71" t="str">
        <f>IF(AND($AT30=1,$AJ30=1),$BA30*100000+ROW(),"")</f>
        <v/>
      </c>
      <c r="BF30" s="71" t="str">
        <f>IF(AND($AU30=1,$AJ30=1),$BA30*100000+ROW(),"")</f>
        <v/>
      </c>
      <c r="BG30" s="71" t="str">
        <f>IF(AND($AV30=1,$AJ30=1),$BA30*100000+ROW(),"")</f>
        <v/>
      </c>
      <c r="BH30" s="71" t="str">
        <f>IF(AND($AW30=1,$AJ30=1),$BA30*100000+ROW(),"")</f>
        <v/>
      </c>
      <c r="BI30" s="71" t="str">
        <f>IF(AND($AX30=1,$AJ30=1),$BA30*100000+ROW(),"")</f>
        <v/>
      </c>
      <c r="BJ30" s="71" t="str">
        <f>IF(AND($AS30=1,$AJ30=1),$BA30*100000+ROW(),"")</f>
        <v/>
      </c>
      <c r="BK30" s="71" t="str">
        <f>IF(AND($AY30=1,$AJ30=1),$BA30*100000+ROW(),"")</f>
        <v/>
      </c>
      <c r="BL30" s="71" t="str">
        <f>IF(AND($AZ30=1),$BA30*100000+ROW(),"")</f>
        <v/>
      </c>
    </row>
    <row r="31">
      <c r="A31" s="63" t="n"/>
      <c r="B31" s="64" t="inlineStr">
        <is>
          <t>Riya Diwan</t>
        </is>
      </c>
      <c r="C31" s="64" t="inlineStr">
        <is>
          <t>Chola MS</t>
        </is>
      </c>
      <c r="D31" s="64" t="inlineStr">
        <is>
          <t>Chola MS - SEO &amp; Social Media</t>
        </is>
      </c>
      <c r="E31" s="64" t="inlineStr">
        <is>
          <t>Client Coordination</t>
        </is>
      </c>
      <c r="F31" s="64" t="inlineStr">
        <is>
          <t>Internal / Coordination</t>
        </is>
      </c>
      <c r="G31" s="65" t="inlineStr">
        <is>
          <t>Client coordination</t>
        </is>
      </c>
      <c r="H31" s="65" t="n"/>
      <c r="I31" s="64" t="n"/>
      <c r="J31" s="64" t="n"/>
      <c r="K31" s="63" t="n"/>
      <c r="L31" s="63" t="n"/>
      <c r="M31" s="64" t="n"/>
      <c r="N31" s="66" t="n"/>
      <c r="O31" s="65" t="n"/>
      <c r="P31" s="64" t="n"/>
      <c r="Q31" s="67" t="n"/>
      <c r="R31" s="67" t="n"/>
      <c r="S31" s="68" t="str">
        <f>IF(AND(ISNUMBER($Q31),ISNUMBER($R31)),$Q31-$R31,"")</f>
        <v/>
      </c>
      <c r="T31" s="65" t="n"/>
      <c r="U31" s="64" t="n"/>
      <c r="V31" s="65" t="n"/>
      <c r="W31" s="63" t="n"/>
      <c r="X31" s="65" t="inlineStr">
        <is>
          <t>Baseline: status not provided.</t>
        </is>
      </c>
      <c r="Y31" s="63" t="n"/>
      <c r="Z31" s="64" t="n"/>
      <c r="AA31" s="64" t="n"/>
      <c r="AB31" s="65" t="n"/>
      <c r="AC31" s="69" t="str">
        <f>IF(OR($G31="",NOT(ISNUMBER($K31)),$AK31=0),"",MAX(0,ReportDate-$K31))</f>
        <v/>
      </c>
      <c r="AD31" s="69">
        <f>IF($G31="","",IF($AL31=1,ReportDate-$L31,0))</f>
        <v>0</v>
      </c>
      <c r="AE31" s="70">
        <f>IF($G31="","",IF($M31="Completed",1,IF(ISNUMBER($N31),$N31,0)))</f>
        <v>0</v>
      </c>
      <c r="AF31" s="70" t="str">
        <f>IF(AND(ISNUMBER($Q31),ISNUMBER($R31)),IF($R31&lt;&gt;0,$Q31/$R31,""),"")</f>
        <v/>
      </c>
      <c r="AG31" s="71" t="str">
        <f>IF($G31="","",IF($AL31=1,"OVERDUE",IF($AM31=1,"BLOCKED",IF($AN31=1,"DUE TODAY",IF($AO31=1,"DUE TOMORROW",IF($AQ31=1,"HIGH PRIORITY",IF($AR31=1,"NO RECENT UPDATE",""))))))) </f>
        <v>NO RECENT UPDATE</v>
      </c>
      <c r="AH31" s="71" t="str">
        <f>IF($G31="","",IF(ISNUMBER($A31),IF(ISNUMBER($A31),YEAR($A31)&amp;"-"&amp;TEXT(MONTH($A31),"00"),""),IF(ISNUMBER($L31),IF(ISNUMBER($L31),YEAR($L31)&amp;"-"&amp;TEXT(MONTH($L31),"00"),""),"")))</f>
        <v/>
      </c>
      <c r="AI31" s="71">
        <f>IF($G31="",0,IF(AND(OR(fClient="All",$C31=fClient),OR(fCampaign="All",$D31=fCampaign),OR(fTeam="All",$B31=fTeam),OR(fChannel="All",$F31=fChannel),OR(fMonth="All",$AH31=fMonth),OR(fTStatus="All",$M31=fTStatus)),1,0))</f>
        <v>1</v>
      </c>
      <c r="AJ31" s="71">
        <f>IF($G31="",0,IF(AND(OR(fClient="All",$C31=fClient),OR(fCampaign="All",$D31=fCampaign),OR(fTeam="All",$B31=fTeam),OR(fChannel="All",$F31=fChannel)),1,0))</f>
        <v>1</v>
      </c>
      <c r="AK31" s="71">
        <f>IF($G31="",0,IF(OR($M31="Completed",$M31="Cancelled"),0,1))</f>
        <v>1</v>
      </c>
      <c r="AL31" s="71">
        <f>IF(AND($AK31=1,ISNUMBER($L31)),IF($L31&lt;ReportDate,1,0),0)</f>
        <v>0</v>
      </c>
      <c r="AM31" s="71">
        <f>IF(AND($G31&lt;&gt;"",$M31="Blocked"),1,0)</f>
        <v>0</v>
      </c>
      <c r="AN31" s="71">
        <f>IF(AND($AK31=1,ISNUMBER($L31)),IF($L31=ReportDate,1,0),0)</f>
        <v>0</v>
      </c>
      <c r="AO31" s="71">
        <f>IF(AND($AK31=1,ISNUMBER($L31)),IF($L31=ReportDate+1,1,0),0)</f>
        <v>0</v>
      </c>
      <c r="AP31" s="71">
        <f>IF(AND($AK31=1,ISNUMBER($L31)),IF(AND($L31&gt;=ReportDate,$L31&lt;=ReportDate+DueSoonDays),1,0),0)</f>
        <v>0</v>
      </c>
      <c r="AQ31" s="71">
        <f>IF(AND($AK31=1,OR($I31="Critical",$I31="High")),1,0)</f>
        <v>0</v>
      </c>
      <c r="AR31" s="71">
        <f>IF($AK31=1,IF(ISNUMBER($Y31),IF(ReportDate-$Y31&gt;StaleDays,1,0),1),0)</f>
        <v>1</v>
      </c>
      <c r="AS31" s="71">
        <f>IF(AND($G31&lt;&gt;"",ISNUMBER($Q31),ISNUMBER($R31)),IF(AND($Q31&lt;$R31,OR($M31="Completed",AND(ISNUMBER($L31),$L31&lt;ReportDate))),1,0),0)</f>
        <v>0</v>
      </c>
      <c r="AT31" s="71">
        <f>IF($AK31=1,IF(OR($L31=ReportDate,$W31=ReportDate,$K31=ReportDate,$A31=ReportDate),1,0),0)</f>
        <v>0</v>
      </c>
      <c r="AU31" s="71">
        <f>IF($AK31=1,IF(OR($L31=ReportDate+1,$W31=ReportDate+1,$K31=ReportDate+1,$A31=ReportDate+1),1,0),0)</f>
        <v>0</v>
      </c>
      <c r="AV31" s="71">
        <f>IF(AND($G31&lt;&gt;"",$M31="Completed"),IF(OR($Y31=ReportDate-1,$A31=ReportDate-1),1,0),0)</f>
        <v>0</v>
      </c>
      <c r="AW31" s="71">
        <f>IF(AND($AK31=1,$Z31="Yes"),1,0)</f>
        <v>0</v>
      </c>
      <c r="AX31" s="71">
        <f>IF(AND($AK31=1,$AA31="Yes"),1,0)</f>
        <v>0</v>
      </c>
      <c r="AY31" s="71">
        <f>IF(AND($AM31=1,OR($I31="Critical",$I31="High")),1,0)</f>
        <v>0</v>
      </c>
      <c r="AZ31" s="71">
        <f>IF(AND($AK31=1,OR($C31=TCL_Client,$C31=MECCA_Client)),1,0)</f>
        <v>0</v>
      </c>
      <c r="BA31" s="71">
        <f>IF($G31="","",IFERROR(MATCH($I31,lst_Priority,0),5))</f>
        <v>5</v>
      </c>
      <c r="BB31" s="71" t="str">
        <f>IF(AND($AL31=1,$AJ31=1),$BA31*100000+ROW(),"")</f>
        <v/>
      </c>
      <c r="BC31" s="71" t="str">
        <f>IF(AND($AM31=1,$AJ31=1),$BA31*100000+ROW(),"")</f>
        <v/>
      </c>
      <c r="BD31" s="71" t="str">
        <f>IF(AND($AP31=1,$AJ31=1),$BA31*100000+ROW(),"")</f>
        <v/>
      </c>
      <c r="BE31" s="71" t="str">
        <f>IF(AND($AT31=1,$AJ31=1),$BA31*100000+ROW(),"")</f>
        <v/>
      </c>
      <c r="BF31" s="71" t="str">
        <f>IF(AND($AU31=1,$AJ31=1),$BA31*100000+ROW(),"")</f>
        <v/>
      </c>
      <c r="BG31" s="71" t="str">
        <f>IF(AND($AV31=1,$AJ31=1),$BA31*100000+ROW(),"")</f>
        <v/>
      </c>
      <c r="BH31" s="71" t="str">
        <f>IF(AND($AW31=1,$AJ31=1),$BA31*100000+ROW(),"")</f>
        <v/>
      </c>
      <c r="BI31" s="71" t="str">
        <f>IF(AND($AX31=1,$AJ31=1),$BA31*100000+ROW(),"")</f>
        <v/>
      </c>
      <c r="BJ31" s="71" t="str">
        <f>IF(AND($AS31=1,$AJ31=1),$BA31*100000+ROW(),"")</f>
        <v/>
      </c>
      <c r="BK31" s="71" t="str">
        <f>IF(AND($AY31=1,$AJ31=1),$BA31*100000+ROW(),"")</f>
        <v/>
      </c>
      <c r="BL31" s="71" t="str">
        <f>IF(AND($AZ31=1),$BA31*100000+ROW(),"")</f>
        <v/>
      </c>
    </row>
    <row r="32">
      <c r="A32" s="63" t="n"/>
      <c r="B32" s="64" t="inlineStr">
        <is>
          <t>Riya Diwan</t>
        </is>
      </c>
      <c r="C32" s="64" t="inlineStr">
        <is>
          <t>Chola MS</t>
        </is>
      </c>
      <c r="D32" s="64" t="inlineStr">
        <is>
          <t>Chola MS - SEO &amp; Social Media</t>
        </is>
      </c>
      <c r="E32" s="64" t="inlineStr">
        <is>
          <t>Social Media</t>
        </is>
      </c>
      <c r="F32" s="64" t="inlineStr">
        <is>
          <t>Social Media</t>
        </is>
      </c>
      <c r="G32" s="65" t="inlineStr">
        <is>
          <t>Social postings (approval and internal coordination)</t>
        </is>
      </c>
      <c r="H32" s="65" t="n"/>
      <c r="I32" s="64" t="n"/>
      <c r="J32" s="64" t="n"/>
      <c r="K32" s="63" t="n"/>
      <c r="L32" s="63" t="n"/>
      <c r="M32" s="64" t="n"/>
      <c r="N32" s="66" t="n"/>
      <c r="O32" s="65" t="n"/>
      <c r="P32" s="64" t="inlineStr">
        <is>
          <t>Leads / posts</t>
        </is>
      </c>
      <c r="Q32" s="67" t="n"/>
      <c r="R32" s="67" t="n"/>
      <c r="S32" s="68" t="str">
        <f>IF(AND(ISNUMBER($Q32),ISNUMBER($R32)),$Q32-$R32,"")</f>
        <v/>
      </c>
      <c r="T32" s="65" t="n"/>
      <c r="U32" s="64" t="n"/>
      <c r="V32" s="65" t="n"/>
      <c r="W32" s="63" t="n"/>
      <c r="X32" s="65" t="inlineStr">
        <is>
          <t>Baseline: status not provided.</t>
        </is>
      </c>
      <c r="Y32" s="63" t="n"/>
      <c r="Z32" s="64" t="n"/>
      <c r="AA32" s="64" t="n"/>
      <c r="AB32" s="65" t="inlineStr">
        <is>
          <t>38-40 leads; 22 posts</t>
        </is>
      </c>
      <c r="AC32" s="69" t="str">
        <f>IF(OR($G32="",NOT(ISNUMBER($K32)),$AK32=0),"",MAX(0,ReportDate-$K32))</f>
        <v/>
      </c>
      <c r="AD32" s="69">
        <f>IF($G32="","",IF($AL32=1,ReportDate-$L32,0))</f>
        <v>0</v>
      </c>
      <c r="AE32" s="70">
        <f>IF($G32="","",IF($M32="Completed",1,IF(ISNUMBER($N32),$N32,0)))</f>
        <v>0</v>
      </c>
      <c r="AF32" s="70" t="str">
        <f>IF(AND(ISNUMBER($Q32),ISNUMBER($R32)),IF($R32&lt;&gt;0,$Q32/$R32,""),"")</f>
        <v/>
      </c>
      <c r="AG32" s="71" t="str">
        <f>IF($G32="","",IF($AL32=1,"OVERDUE",IF($AM32=1,"BLOCKED",IF($AN32=1,"DUE TODAY",IF($AO32=1,"DUE TOMORROW",IF($AQ32=1,"HIGH PRIORITY",IF($AR32=1,"NO RECENT UPDATE",""))))))) </f>
        <v>NO RECENT UPDATE</v>
      </c>
      <c r="AH32" s="71" t="str">
        <f>IF($G32="","",IF(ISNUMBER($A32),IF(ISNUMBER($A32),YEAR($A32)&amp;"-"&amp;TEXT(MONTH($A32),"00"),""),IF(ISNUMBER($L32),IF(ISNUMBER($L32),YEAR($L32)&amp;"-"&amp;TEXT(MONTH($L32),"00"),""),"")))</f>
        <v/>
      </c>
      <c r="AI32" s="71">
        <f>IF($G32="",0,IF(AND(OR(fClient="All",$C32=fClient),OR(fCampaign="All",$D32=fCampaign),OR(fTeam="All",$B32=fTeam),OR(fChannel="All",$F32=fChannel),OR(fMonth="All",$AH32=fMonth),OR(fTStatus="All",$M32=fTStatus)),1,0))</f>
        <v>1</v>
      </c>
      <c r="AJ32" s="71">
        <f>IF($G32="",0,IF(AND(OR(fClient="All",$C32=fClient),OR(fCampaign="All",$D32=fCampaign),OR(fTeam="All",$B32=fTeam),OR(fChannel="All",$F32=fChannel)),1,0))</f>
        <v>1</v>
      </c>
      <c r="AK32" s="71">
        <f>IF($G32="",0,IF(OR($M32="Completed",$M32="Cancelled"),0,1))</f>
        <v>1</v>
      </c>
      <c r="AL32" s="71">
        <f>IF(AND($AK32=1,ISNUMBER($L32)),IF($L32&lt;ReportDate,1,0),0)</f>
        <v>0</v>
      </c>
      <c r="AM32" s="71">
        <f>IF(AND($G32&lt;&gt;"",$M32="Blocked"),1,0)</f>
        <v>0</v>
      </c>
      <c r="AN32" s="71">
        <f>IF(AND($AK32=1,ISNUMBER($L32)),IF($L32=ReportDate,1,0),0)</f>
        <v>0</v>
      </c>
      <c r="AO32" s="71">
        <f>IF(AND($AK32=1,ISNUMBER($L32)),IF($L32=ReportDate+1,1,0),0)</f>
        <v>0</v>
      </c>
      <c r="AP32" s="71">
        <f>IF(AND($AK32=1,ISNUMBER($L32)),IF(AND($L32&gt;=ReportDate,$L32&lt;=ReportDate+DueSoonDays),1,0),0)</f>
        <v>0</v>
      </c>
      <c r="AQ32" s="71">
        <f>IF(AND($AK32=1,OR($I32="Critical",$I32="High")),1,0)</f>
        <v>0</v>
      </c>
      <c r="AR32" s="71">
        <f>IF($AK32=1,IF(ISNUMBER($Y32),IF(ReportDate-$Y32&gt;StaleDays,1,0),1),0)</f>
        <v>1</v>
      </c>
      <c r="AS32" s="71">
        <f>IF(AND($G32&lt;&gt;"",ISNUMBER($Q32),ISNUMBER($R32)),IF(AND($Q32&lt;$R32,OR($M32="Completed",AND(ISNUMBER($L32),$L32&lt;ReportDate))),1,0),0)</f>
        <v>0</v>
      </c>
      <c r="AT32" s="71">
        <f>IF($AK32=1,IF(OR($L32=ReportDate,$W32=ReportDate,$K32=ReportDate,$A32=ReportDate),1,0),0)</f>
        <v>0</v>
      </c>
      <c r="AU32" s="71">
        <f>IF($AK32=1,IF(OR($L32=ReportDate+1,$W32=ReportDate+1,$K32=ReportDate+1,$A32=ReportDate+1),1,0),0)</f>
        <v>0</v>
      </c>
      <c r="AV32" s="71">
        <f>IF(AND($G32&lt;&gt;"",$M32="Completed"),IF(OR($Y32=ReportDate-1,$A32=ReportDate-1),1,0),0)</f>
        <v>0</v>
      </c>
      <c r="AW32" s="71">
        <f>IF(AND($AK32=1,$Z32="Yes"),1,0)</f>
        <v>0</v>
      </c>
      <c r="AX32" s="71">
        <f>IF(AND($AK32=1,$AA32="Yes"),1,0)</f>
        <v>0</v>
      </c>
      <c r="AY32" s="71">
        <f>IF(AND($AM32=1,OR($I32="Critical",$I32="High")),1,0)</f>
        <v>0</v>
      </c>
      <c r="AZ32" s="71">
        <f>IF(AND($AK32=1,OR($C32=TCL_Client,$C32=MECCA_Client)),1,0)</f>
        <v>0</v>
      </c>
      <c r="BA32" s="71">
        <f>IF($G32="","",IFERROR(MATCH($I32,lst_Priority,0),5))</f>
        <v>5</v>
      </c>
      <c r="BB32" s="71" t="str">
        <f>IF(AND($AL32=1,$AJ32=1),$BA32*100000+ROW(),"")</f>
        <v/>
      </c>
      <c r="BC32" s="71" t="str">
        <f>IF(AND($AM32=1,$AJ32=1),$BA32*100000+ROW(),"")</f>
        <v/>
      </c>
      <c r="BD32" s="71" t="str">
        <f>IF(AND($AP32=1,$AJ32=1),$BA32*100000+ROW(),"")</f>
        <v/>
      </c>
      <c r="BE32" s="71" t="str">
        <f>IF(AND($AT32=1,$AJ32=1),$BA32*100000+ROW(),"")</f>
        <v/>
      </c>
      <c r="BF32" s="71" t="str">
        <f>IF(AND($AU32=1,$AJ32=1),$BA32*100000+ROW(),"")</f>
        <v/>
      </c>
      <c r="BG32" s="71" t="str">
        <f>IF(AND($AV32=1,$AJ32=1),$BA32*100000+ROW(),"")</f>
        <v/>
      </c>
      <c r="BH32" s="71" t="str">
        <f>IF(AND($AW32=1,$AJ32=1),$BA32*100000+ROW(),"")</f>
        <v/>
      </c>
      <c r="BI32" s="71" t="str">
        <f>IF(AND($AX32=1,$AJ32=1),$BA32*100000+ROW(),"")</f>
        <v/>
      </c>
      <c r="BJ32" s="71" t="str">
        <f>IF(AND($AS32=1,$AJ32=1),$BA32*100000+ROW(),"")</f>
        <v/>
      </c>
      <c r="BK32" s="71" t="str">
        <f>IF(AND($AY32=1,$AJ32=1),$BA32*100000+ROW(),"")</f>
        <v/>
      </c>
      <c r="BL32" s="71" t="str">
        <f>IF(AND($AZ32=1),$BA32*100000+ROW(),"")</f>
        <v/>
      </c>
    </row>
    <row r="33">
      <c r="A33" s="63" t="n"/>
      <c r="B33" s="64" t="inlineStr">
        <is>
          <t>Riya Diwan</t>
        </is>
      </c>
      <c r="C33" s="64" t="inlineStr">
        <is>
          <t>Chola MS</t>
        </is>
      </c>
      <c r="D33" s="64" t="inlineStr">
        <is>
          <t>Chola MS - SEO &amp; Social Media</t>
        </is>
      </c>
      <c r="E33" s="64" t="inlineStr">
        <is>
          <t>SEO</t>
        </is>
      </c>
      <c r="F33" s="64" t="inlineStr">
        <is>
          <t>SEO</t>
        </is>
      </c>
      <c r="G33" s="65" t="inlineStr">
        <is>
          <t>SEO (on page, content &amp; link building)</t>
        </is>
      </c>
      <c r="H33" s="65" t="n"/>
      <c r="I33" s="64" t="n"/>
      <c r="J33" s="64" t="n"/>
      <c r="K33" s="63" t="n"/>
      <c r="L33" s="63" t="n"/>
      <c r="M33" s="64" t="n"/>
      <c r="N33" s="66" t="n"/>
      <c r="O33" s="65" t="n"/>
      <c r="P33" s="64" t="n"/>
      <c r="Q33" s="67" t="n"/>
      <c r="R33" s="67" t="n"/>
      <c r="S33" s="68" t="str">
        <f>IF(AND(ISNUMBER($Q33),ISNUMBER($R33)),$Q33-$R33,"")</f>
        <v/>
      </c>
      <c r="T33" s="65" t="n"/>
      <c r="U33" s="64" t="n"/>
      <c r="V33" s="65" t="n"/>
      <c r="W33" s="63" t="n"/>
      <c r="X33" s="65" t="inlineStr">
        <is>
          <t>Baseline: status not provided.</t>
        </is>
      </c>
      <c r="Y33" s="63" t="n"/>
      <c r="Z33" s="64" t="n"/>
      <c r="AA33" s="64" t="n"/>
      <c r="AB33" s="65" t="n"/>
      <c r="AC33" s="69" t="str">
        <f>IF(OR($G33="",NOT(ISNUMBER($K33)),$AK33=0),"",MAX(0,ReportDate-$K33))</f>
        <v/>
      </c>
      <c r="AD33" s="69">
        <f>IF($G33="","",IF($AL33=1,ReportDate-$L33,0))</f>
        <v>0</v>
      </c>
      <c r="AE33" s="70">
        <f>IF($G33="","",IF($M33="Completed",1,IF(ISNUMBER($N33),$N33,0)))</f>
        <v>0</v>
      </c>
      <c r="AF33" s="70" t="str">
        <f>IF(AND(ISNUMBER($Q33),ISNUMBER($R33)),IF($R33&lt;&gt;0,$Q33/$R33,""),"")</f>
        <v/>
      </c>
      <c r="AG33" s="71" t="str">
        <f>IF($G33="","",IF($AL33=1,"OVERDUE",IF($AM33=1,"BLOCKED",IF($AN33=1,"DUE TODAY",IF($AO33=1,"DUE TOMORROW",IF($AQ33=1,"HIGH PRIORITY",IF($AR33=1,"NO RECENT UPDATE",""))))))) </f>
        <v>NO RECENT UPDATE</v>
      </c>
      <c r="AH33" s="71" t="str">
        <f>IF($G33="","",IF(ISNUMBER($A33),IF(ISNUMBER($A33),YEAR($A33)&amp;"-"&amp;TEXT(MONTH($A33),"00"),""),IF(ISNUMBER($L33),IF(ISNUMBER($L33),YEAR($L33)&amp;"-"&amp;TEXT(MONTH($L33),"00"),""),"")))</f>
        <v/>
      </c>
      <c r="AI33" s="71">
        <f>IF($G33="",0,IF(AND(OR(fClient="All",$C33=fClient),OR(fCampaign="All",$D33=fCampaign),OR(fTeam="All",$B33=fTeam),OR(fChannel="All",$F33=fChannel),OR(fMonth="All",$AH33=fMonth),OR(fTStatus="All",$M33=fTStatus)),1,0))</f>
        <v>1</v>
      </c>
      <c r="AJ33" s="71">
        <f>IF($G33="",0,IF(AND(OR(fClient="All",$C33=fClient),OR(fCampaign="All",$D33=fCampaign),OR(fTeam="All",$B33=fTeam),OR(fChannel="All",$F33=fChannel)),1,0))</f>
        <v>1</v>
      </c>
      <c r="AK33" s="71">
        <f>IF($G33="",0,IF(OR($M33="Completed",$M33="Cancelled"),0,1))</f>
        <v>1</v>
      </c>
      <c r="AL33" s="71">
        <f>IF(AND($AK33=1,ISNUMBER($L33)),IF($L33&lt;ReportDate,1,0),0)</f>
        <v>0</v>
      </c>
      <c r="AM33" s="71">
        <f>IF(AND($G33&lt;&gt;"",$M33="Blocked"),1,0)</f>
        <v>0</v>
      </c>
      <c r="AN33" s="71">
        <f>IF(AND($AK33=1,ISNUMBER($L33)),IF($L33=ReportDate,1,0),0)</f>
        <v>0</v>
      </c>
      <c r="AO33" s="71">
        <f>IF(AND($AK33=1,ISNUMBER($L33)),IF($L33=ReportDate+1,1,0),0)</f>
        <v>0</v>
      </c>
      <c r="AP33" s="71">
        <f>IF(AND($AK33=1,ISNUMBER($L33)),IF(AND($L33&gt;=ReportDate,$L33&lt;=ReportDate+DueSoonDays),1,0),0)</f>
        <v>0</v>
      </c>
      <c r="AQ33" s="71">
        <f>IF(AND($AK33=1,OR($I33="Critical",$I33="High")),1,0)</f>
        <v>0</v>
      </c>
      <c r="AR33" s="71">
        <f>IF($AK33=1,IF(ISNUMBER($Y33),IF(ReportDate-$Y33&gt;StaleDays,1,0),1),0)</f>
        <v>1</v>
      </c>
      <c r="AS33" s="71">
        <f>IF(AND($G33&lt;&gt;"",ISNUMBER($Q33),ISNUMBER($R33)),IF(AND($Q33&lt;$R33,OR($M33="Completed",AND(ISNUMBER($L33),$L33&lt;ReportDate))),1,0),0)</f>
        <v>0</v>
      </c>
      <c r="AT33" s="71">
        <f>IF($AK33=1,IF(OR($L33=ReportDate,$W33=ReportDate,$K33=ReportDate,$A33=ReportDate),1,0),0)</f>
        <v>0</v>
      </c>
      <c r="AU33" s="71">
        <f>IF($AK33=1,IF(OR($L33=ReportDate+1,$W33=ReportDate+1,$K33=ReportDate+1,$A33=ReportDate+1),1,0),0)</f>
        <v>0</v>
      </c>
      <c r="AV33" s="71">
        <f>IF(AND($G33&lt;&gt;"",$M33="Completed"),IF(OR($Y33=ReportDate-1,$A33=ReportDate-1),1,0),0)</f>
        <v>0</v>
      </c>
      <c r="AW33" s="71">
        <f>IF(AND($AK33=1,$Z33="Yes"),1,0)</f>
        <v>0</v>
      </c>
      <c r="AX33" s="71">
        <f>IF(AND($AK33=1,$AA33="Yes"),1,0)</f>
        <v>0</v>
      </c>
      <c r="AY33" s="71">
        <f>IF(AND($AM33=1,OR($I33="Critical",$I33="High")),1,0)</f>
        <v>0</v>
      </c>
      <c r="AZ33" s="71">
        <f>IF(AND($AK33=1,OR($C33=TCL_Client,$C33=MECCA_Client)),1,0)</f>
        <v>0</v>
      </c>
      <c r="BA33" s="71">
        <f>IF($G33="","",IFERROR(MATCH($I33,lst_Priority,0),5))</f>
        <v>5</v>
      </c>
      <c r="BB33" s="71" t="str">
        <f>IF(AND($AL33=1,$AJ33=1),$BA33*100000+ROW(),"")</f>
        <v/>
      </c>
      <c r="BC33" s="71" t="str">
        <f>IF(AND($AM33=1,$AJ33=1),$BA33*100000+ROW(),"")</f>
        <v/>
      </c>
      <c r="BD33" s="71" t="str">
        <f>IF(AND($AP33=1,$AJ33=1),$BA33*100000+ROW(),"")</f>
        <v/>
      </c>
      <c r="BE33" s="71" t="str">
        <f>IF(AND($AT33=1,$AJ33=1),$BA33*100000+ROW(),"")</f>
        <v/>
      </c>
      <c r="BF33" s="71" t="str">
        <f>IF(AND($AU33=1,$AJ33=1),$BA33*100000+ROW(),"")</f>
        <v/>
      </c>
      <c r="BG33" s="71" t="str">
        <f>IF(AND($AV33=1,$AJ33=1),$BA33*100000+ROW(),"")</f>
        <v/>
      </c>
      <c r="BH33" s="71" t="str">
        <f>IF(AND($AW33=1,$AJ33=1),$BA33*100000+ROW(),"")</f>
        <v/>
      </c>
      <c r="BI33" s="71" t="str">
        <f>IF(AND($AX33=1,$AJ33=1),$BA33*100000+ROW(),"")</f>
        <v/>
      </c>
      <c r="BJ33" s="71" t="str">
        <f>IF(AND($AS33=1,$AJ33=1),$BA33*100000+ROW(),"")</f>
        <v/>
      </c>
      <c r="BK33" s="71" t="str">
        <f>IF(AND($AY33=1,$AJ33=1),$BA33*100000+ROW(),"")</f>
        <v/>
      </c>
      <c r="BL33" s="71" t="str">
        <f>IF(AND($AZ33=1),$BA33*100000+ROW(),"")</f>
        <v/>
      </c>
    </row>
    <row r="34">
      <c r="A34" s="63" t="n"/>
      <c r="B34" s="64" t="inlineStr">
        <is>
          <t>Riya Diwan</t>
        </is>
      </c>
      <c r="C34" s="64" t="inlineStr">
        <is>
          <t>Chola MS</t>
        </is>
      </c>
      <c r="D34" s="64" t="inlineStr">
        <is>
          <t>Chola MS - SEO &amp; Social Media</t>
        </is>
      </c>
      <c r="E34" s="64" t="inlineStr">
        <is>
          <t>Website</t>
        </is>
      </c>
      <c r="F34" s="64" t="inlineStr">
        <is>
          <t>Website</t>
        </is>
      </c>
      <c r="G34" s="65" t="inlineStr">
        <is>
          <t>Website management &amp; updates</t>
        </is>
      </c>
      <c r="H34" s="65" t="n"/>
      <c r="I34" s="64" t="n"/>
      <c r="J34" s="64" t="n"/>
      <c r="K34" s="63" t="n"/>
      <c r="L34" s="63" t="n"/>
      <c r="M34" s="64" t="n"/>
      <c r="N34" s="66" t="n"/>
      <c r="O34" s="65" t="n"/>
      <c r="P34" s="64" t="n"/>
      <c r="Q34" s="67" t="n"/>
      <c r="R34" s="67" t="n"/>
      <c r="S34" s="68" t="str">
        <f>IF(AND(ISNUMBER($Q34),ISNUMBER($R34)),$Q34-$R34,"")</f>
        <v/>
      </c>
      <c r="T34" s="65" t="n"/>
      <c r="U34" s="64" t="n"/>
      <c r="V34" s="65" t="n"/>
      <c r="W34" s="63" t="n"/>
      <c r="X34" s="65" t="inlineStr">
        <is>
          <t>Baseline: status not provided.</t>
        </is>
      </c>
      <c r="Y34" s="63" t="n"/>
      <c r="Z34" s="64" t="n"/>
      <c r="AA34" s="64" t="n"/>
      <c r="AB34" s="65" t="n"/>
      <c r="AC34" s="69" t="str">
        <f>IF(OR($G34="",NOT(ISNUMBER($K34)),$AK34=0),"",MAX(0,ReportDate-$K34))</f>
        <v/>
      </c>
      <c r="AD34" s="69">
        <f>IF($G34="","",IF($AL34=1,ReportDate-$L34,0))</f>
        <v>0</v>
      </c>
      <c r="AE34" s="70">
        <f>IF($G34="","",IF($M34="Completed",1,IF(ISNUMBER($N34),$N34,0)))</f>
        <v>0</v>
      </c>
      <c r="AF34" s="70" t="str">
        <f>IF(AND(ISNUMBER($Q34),ISNUMBER($R34)),IF($R34&lt;&gt;0,$Q34/$R34,""),"")</f>
        <v/>
      </c>
      <c r="AG34" s="71" t="str">
        <f>IF($G34="","",IF($AL34=1,"OVERDUE",IF($AM34=1,"BLOCKED",IF($AN34=1,"DUE TODAY",IF($AO34=1,"DUE TOMORROW",IF($AQ34=1,"HIGH PRIORITY",IF($AR34=1,"NO RECENT UPDATE",""))))))) </f>
        <v>NO RECENT UPDATE</v>
      </c>
      <c r="AH34" s="71" t="str">
        <f>IF($G34="","",IF(ISNUMBER($A34),IF(ISNUMBER($A34),YEAR($A34)&amp;"-"&amp;TEXT(MONTH($A34),"00"),""),IF(ISNUMBER($L34),IF(ISNUMBER($L34),YEAR($L34)&amp;"-"&amp;TEXT(MONTH($L34),"00"),""),"")))</f>
        <v/>
      </c>
      <c r="AI34" s="71">
        <f>IF($G34="",0,IF(AND(OR(fClient="All",$C34=fClient),OR(fCampaign="All",$D34=fCampaign),OR(fTeam="All",$B34=fTeam),OR(fChannel="All",$F34=fChannel),OR(fMonth="All",$AH34=fMonth),OR(fTStatus="All",$M34=fTStatus)),1,0))</f>
        <v>1</v>
      </c>
      <c r="AJ34" s="71">
        <f>IF($G34="",0,IF(AND(OR(fClient="All",$C34=fClient),OR(fCampaign="All",$D34=fCampaign),OR(fTeam="All",$B34=fTeam),OR(fChannel="All",$F34=fChannel)),1,0))</f>
        <v>1</v>
      </c>
      <c r="AK34" s="71">
        <f>IF($G34="",0,IF(OR($M34="Completed",$M34="Cancelled"),0,1))</f>
        <v>1</v>
      </c>
      <c r="AL34" s="71">
        <f>IF(AND($AK34=1,ISNUMBER($L34)),IF($L34&lt;ReportDate,1,0),0)</f>
        <v>0</v>
      </c>
      <c r="AM34" s="71">
        <f>IF(AND($G34&lt;&gt;"",$M34="Blocked"),1,0)</f>
        <v>0</v>
      </c>
      <c r="AN34" s="71">
        <f>IF(AND($AK34=1,ISNUMBER($L34)),IF($L34=ReportDate,1,0),0)</f>
        <v>0</v>
      </c>
      <c r="AO34" s="71">
        <f>IF(AND($AK34=1,ISNUMBER($L34)),IF($L34=ReportDate+1,1,0),0)</f>
        <v>0</v>
      </c>
      <c r="AP34" s="71">
        <f>IF(AND($AK34=1,ISNUMBER($L34)),IF(AND($L34&gt;=ReportDate,$L34&lt;=ReportDate+DueSoonDays),1,0),0)</f>
        <v>0</v>
      </c>
      <c r="AQ34" s="71">
        <f>IF(AND($AK34=1,OR($I34="Critical",$I34="High")),1,0)</f>
        <v>0</v>
      </c>
      <c r="AR34" s="71">
        <f>IF($AK34=1,IF(ISNUMBER($Y34),IF(ReportDate-$Y34&gt;StaleDays,1,0),1),0)</f>
        <v>1</v>
      </c>
      <c r="AS34" s="71">
        <f>IF(AND($G34&lt;&gt;"",ISNUMBER($Q34),ISNUMBER($R34)),IF(AND($Q34&lt;$R34,OR($M34="Completed",AND(ISNUMBER($L34),$L34&lt;ReportDate))),1,0),0)</f>
        <v>0</v>
      </c>
      <c r="AT34" s="71">
        <f>IF($AK34=1,IF(OR($L34=ReportDate,$W34=ReportDate,$K34=ReportDate,$A34=ReportDate),1,0),0)</f>
        <v>0</v>
      </c>
      <c r="AU34" s="71">
        <f>IF($AK34=1,IF(OR($L34=ReportDate+1,$W34=ReportDate+1,$K34=ReportDate+1,$A34=ReportDate+1),1,0),0)</f>
        <v>0</v>
      </c>
      <c r="AV34" s="71">
        <f>IF(AND($G34&lt;&gt;"",$M34="Completed"),IF(OR($Y34=ReportDate-1,$A34=ReportDate-1),1,0),0)</f>
        <v>0</v>
      </c>
      <c r="AW34" s="71">
        <f>IF(AND($AK34=1,$Z34="Yes"),1,0)</f>
        <v>0</v>
      </c>
      <c r="AX34" s="71">
        <f>IF(AND($AK34=1,$AA34="Yes"),1,0)</f>
        <v>0</v>
      </c>
      <c r="AY34" s="71">
        <f>IF(AND($AM34=1,OR($I34="Critical",$I34="High")),1,0)</f>
        <v>0</v>
      </c>
      <c r="AZ34" s="71">
        <f>IF(AND($AK34=1,OR($C34=TCL_Client,$C34=MECCA_Client)),1,0)</f>
        <v>0</v>
      </c>
      <c r="BA34" s="71">
        <f>IF($G34="","",IFERROR(MATCH($I34,lst_Priority,0),5))</f>
        <v>5</v>
      </c>
      <c r="BB34" s="71" t="str">
        <f>IF(AND($AL34=1,$AJ34=1),$BA34*100000+ROW(),"")</f>
        <v/>
      </c>
      <c r="BC34" s="71" t="str">
        <f>IF(AND($AM34=1,$AJ34=1),$BA34*100000+ROW(),"")</f>
        <v/>
      </c>
      <c r="BD34" s="71" t="str">
        <f>IF(AND($AP34=1,$AJ34=1),$BA34*100000+ROW(),"")</f>
        <v/>
      </c>
      <c r="BE34" s="71" t="str">
        <f>IF(AND($AT34=1,$AJ34=1),$BA34*100000+ROW(),"")</f>
        <v/>
      </c>
      <c r="BF34" s="71" t="str">
        <f>IF(AND($AU34=1,$AJ34=1),$BA34*100000+ROW(),"")</f>
        <v/>
      </c>
      <c r="BG34" s="71" t="str">
        <f>IF(AND($AV34=1,$AJ34=1),$BA34*100000+ROW(),"")</f>
        <v/>
      </c>
      <c r="BH34" s="71" t="str">
        <f>IF(AND($AW34=1,$AJ34=1),$BA34*100000+ROW(),"")</f>
        <v/>
      </c>
      <c r="BI34" s="71" t="str">
        <f>IF(AND($AX34=1,$AJ34=1),$BA34*100000+ROW(),"")</f>
        <v/>
      </c>
      <c r="BJ34" s="71" t="str">
        <f>IF(AND($AS34=1,$AJ34=1),$BA34*100000+ROW(),"")</f>
        <v/>
      </c>
      <c r="BK34" s="71" t="str">
        <f>IF(AND($AY34=1,$AJ34=1),$BA34*100000+ROW(),"")</f>
        <v/>
      </c>
      <c r="BL34" s="71" t="str">
        <f>IF(AND($AZ34=1),$BA34*100000+ROW(),"")</f>
        <v/>
      </c>
    </row>
    <row r="35">
      <c r="A35" s="63" t="n"/>
      <c r="B35" s="64" t="inlineStr">
        <is>
          <t>Riya Diwan</t>
        </is>
      </c>
      <c r="C35" s="64" t="inlineStr">
        <is>
          <t>Chola MS</t>
        </is>
      </c>
      <c r="D35" s="64" t="inlineStr">
        <is>
          <t>Chola MS - SEO &amp; Social Media</t>
        </is>
      </c>
      <c r="E35" s="64" t="inlineStr">
        <is>
          <t>Reporting &amp; Analytics</t>
        </is>
      </c>
      <c r="F35" s="64" t="inlineStr">
        <is>
          <t>Internal / Coordination</t>
        </is>
      </c>
      <c r="G35" s="65" t="inlineStr">
        <is>
          <t>Monthly report</t>
        </is>
      </c>
      <c r="H35" s="65" t="n"/>
      <c r="I35" s="64" t="n"/>
      <c r="J35" s="64" t="n"/>
      <c r="K35" s="63" t="n"/>
      <c r="L35" s="63" t="n"/>
      <c r="M35" s="64" t="n"/>
      <c r="N35" s="66" t="n"/>
      <c r="O35" s="65" t="n"/>
      <c r="P35" s="64" t="n"/>
      <c r="Q35" s="67" t="n"/>
      <c r="R35" s="67" t="n"/>
      <c r="S35" s="68" t="str">
        <f>IF(AND(ISNUMBER($Q35),ISNUMBER($R35)),$Q35-$R35,"")</f>
        <v/>
      </c>
      <c r="T35" s="65" t="n"/>
      <c r="U35" s="64" t="n"/>
      <c r="V35" s="65" t="n"/>
      <c r="W35" s="63" t="n"/>
      <c r="X35" s="65" t="inlineStr">
        <is>
          <t>Baseline: status not provided.</t>
        </is>
      </c>
      <c r="Y35" s="63" t="n"/>
      <c r="Z35" s="64" t="n"/>
      <c r="AA35" s="64" t="n"/>
      <c r="AB35" s="65" t="n"/>
      <c r="AC35" s="69" t="str">
        <f>IF(OR($G35="",NOT(ISNUMBER($K35)),$AK35=0),"",MAX(0,ReportDate-$K35))</f>
        <v/>
      </c>
      <c r="AD35" s="69">
        <f>IF($G35="","",IF($AL35=1,ReportDate-$L35,0))</f>
        <v>0</v>
      </c>
      <c r="AE35" s="70">
        <f>IF($G35="","",IF($M35="Completed",1,IF(ISNUMBER($N35),$N35,0)))</f>
        <v>0</v>
      </c>
      <c r="AF35" s="70" t="str">
        <f>IF(AND(ISNUMBER($Q35),ISNUMBER($R35)),IF($R35&lt;&gt;0,$Q35/$R35,""),"")</f>
        <v/>
      </c>
      <c r="AG35" s="71" t="str">
        <f>IF($G35="","",IF($AL35=1,"OVERDUE",IF($AM35=1,"BLOCKED",IF($AN35=1,"DUE TODAY",IF($AO35=1,"DUE TOMORROW",IF($AQ35=1,"HIGH PRIORITY",IF($AR35=1,"NO RECENT UPDATE",""))))))) </f>
        <v>NO RECENT UPDATE</v>
      </c>
      <c r="AH35" s="71" t="str">
        <f>IF($G35="","",IF(ISNUMBER($A35),IF(ISNUMBER($A35),YEAR($A35)&amp;"-"&amp;TEXT(MONTH($A35),"00"),""),IF(ISNUMBER($L35),IF(ISNUMBER($L35),YEAR($L35)&amp;"-"&amp;TEXT(MONTH($L35),"00"),""),"")))</f>
        <v/>
      </c>
      <c r="AI35" s="71">
        <f>IF($G35="",0,IF(AND(OR(fClient="All",$C35=fClient),OR(fCampaign="All",$D35=fCampaign),OR(fTeam="All",$B35=fTeam),OR(fChannel="All",$F35=fChannel),OR(fMonth="All",$AH35=fMonth),OR(fTStatus="All",$M35=fTStatus)),1,0))</f>
        <v>1</v>
      </c>
      <c r="AJ35" s="71">
        <f>IF($G35="",0,IF(AND(OR(fClient="All",$C35=fClient),OR(fCampaign="All",$D35=fCampaign),OR(fTeam="All",$B35=fTeam),OR(fChannel="All",$F35=fChannel)),1,0))</f>
        <v>1</v>
      </c>
      <c r="AK35" s="71">
        <f>IF($G35="",0,IF(OR($M35="Completed",$M35="Cancelled"),0,1))</f>
        <v>1</v>
      </c>
      <c r="AL35" s="71">
        <f>IF(AND($AK35=1,ISNUMBER($L35)),IF($L35&lt;ReportDate,1,0),0)</f>
        <v>0</v>
      </c>
      <c r="AM35" s="71">
        <f>IF(AND($G35&lt;&gt;"",$M35="Blocked"),1,0)</f>
        <v>0</v>
      </c>
      <c r="AN35" s="71">
        <f>IF(AND($AK35=1,ISNUMBER($L35)),IF($L35=ReportDate,1,0),0)</f>
        <v>0</v>
      </c>
      <c r="AO35" s="71">
        <f>IF(AND($AK35=1,ISNUMBER($L35)),IF($L35=ReportDate+1,1,0),0)</f>
        <v>0</v>
      </c>
      <c r="AP35" s="71">
        <f>IF(AND($AK35=1,ISNUMBER($L35)),IF(AND($L35&gt;=ReportDate,$L35&lt;=ReportDate+DueSoonDays),1,0),0)</f>
        <v>0</v>
      </c>
      <c r="AQ35" s="71">
        <f>IF(AND($AK35=1,OR($I35="Critical",$I35="High")),1,0)</f>
        <v>0</v>
      </c>
      <c r="AR35" s="71">
        <f>IF($AK35=1,IF(ISNUMBER($Y35),IF(ReportDate-$Y35&gt;StaleDays,1,0),1),0)</f>
        <v>1</v>
      </c>
      <c r="AS35" s="71">
        <f>IF(AND($G35&lt;&gt;"",ISNUMBER($Q35),ISNUMBER($R35)),IF(AND($Q35&lt;$R35,OR($M35="Completed",AND(ISNUMBER($L35),$L35&lt;ReportDate))),1,0),0)</f>
        <v>0</v>
      </c>
      <c r="AT35" s="71">
        <f>IF($AK35=1,IF(OR($L35=ReportDate,$W35=ReportDate,$K35=ReportDate,$A35=ReportDate),1,0),0)</f>
        <v>0</v>
      </c>
      <c r="AU35" s="71">
        <f>IF($AK35=1,IF(OR($L35=ReportDate+1,$W35=ReportDate+1,$K35=ReportDate+1,$A35=ReportDate+1),1,0),0)</f>
        <v>0</v>
      </c>
      <c r="AV35" s="71">
        <f>IF(AND($G35&lt;&gt;"",$M35="Completed"),IF(OR($Y35=ReportDate-1,$A35=ReportDate-1),1,0),0)</f>
        <v>0</v>
      </c>
      <c r="AW35" s="71">
        <f>IF(AND($AK35=1,$Z35="Yes"),1,0)</f>
        <v>0</v>
      </c>
      <c r="AX35" s="71">
        <f>IF(AND($AK35=1,$AA35="Yes"),1,0)</f>
        <v>0</v>
      </c>
      <c r="AY35" s="71">
        <f>IF(AND($AM35=1,OR($I35="Critical",$I35="High")),1,0)</f>
        <v>0</v>
      </c>
      <c r="AZ35" s="71">
        <f>IF(AND($AK35=1,OR($C35=TCL_Client,$C35=MECCA_Client)),1,0)</f>
        <v>0</v>
      </c>
      <c r="BA35" s="71">
        <f>IF($G35="","",IFERROR(MATCH($I35,lst_Priority,0),5))</f>
        <v>5</v>
      </c>
      <c r="BB35" s="71" t="str">
        <f>IF(AND($AL35=1,$AJ35=1),$BA35*100000+ROW(),"")</f>
        <v/>
      </c>
      <c r="BC35" s="71" t="str">
        <f>IF(AND($AM35=1,$AJ35=1),$BA35*100000+ROW(),"")</f>
        <v/>
      </c>
      <c r="BD35" s="71" t="str">
        <f>IF(AND($AP35=1,$AJ35=1),$BA35*100000+ROW(),"")</f>
        <v/>
      </c>
      <c r="BE35" s="71" t="str">
        <f>IF(AND($AT35=1,$AJ35=1),$BA35*100000+ROW(),"")</f>
        <v/>
      </c>
      <c r="BF35" s="71" t="str">
        <f>IF(AND($AU35=1,$AJ35=1),$BA35*100000+ROW(),"")</f>
        <v/>
      </c>
      <c r="BG35" s="71" t="str">
        <f>IF(AND($AV35=1,$AJ35=1),$BA35*100000+ROW(),"")</f>
        <v/>
      </c>
      <c r="BH35" s="71" t="str">
        <f>IF(AND($AW35=1,$AJ35=1),$BA35*100000+ROW(),"")</f>
        <v/>
      </c>
      <c r="BI35" s="71" t="str">
        <f>IF(AND($AX35=1,$AJ35=1),$BA35*100000+ROW(),"")</f>
        <v/>
      </c>
      <c r="BJ35" s="71" t="str">
        <f>IF(AND($AS35=1,$AJ35=1),$BA35*100000+ROW(),"")</f>
        <v/>
      </c>
      <c r="BK35" s="71" t="str">
        <f>IF(AND($AY35=1,$AJ35=1),$BA35*100000+ROW(),"")</f>
        <v/>
      </c>
      <c r="BL35" s="71" t="str">
        <f>IF(AND($AZ35=1),$BA35*100000+ROW(),"")</f>
        <v/>
      </c>
    </row>
    <row r="36">
      <c r="A36" s="63" t="n"/>
      <c r="B36" s="64" t="inlineStr">
        <is>
          <t>Riya Diwan</t>
        </is>
      </c>
      <c r="C36" s="64" t="inlineStr">
        <is>
          <t>Google Chrome Enterprise</t>
        </is>
      </c>
      <c r="D36" s="64" t="inlineStr">
        <is>
          <t>Google Chrome - Content Syndication (Email)</t>
        </is>
      </c>
      <c r="E36" s="64" t="inlineStr">
        <is>
          <t>Campaign Execution</t>
        </is>
      </c>
      <c r="F36" s="64" t="inlineStr">
        <is>
          <t>Content Syndication</t>
        </is>
      </c>
      <c r="G36" s="65" t="inlineStr">
        <is>
          <t>Content Syndication - Email</t>
        </is>
      </c>
      <c r="H36" s="65" t="n"/>
      <c r="I36" s="64" t="n"/>
      <c r="J36" s="64" t="n"/>
      <c r="K36" s="63" t="n"/>
      <c r="L36" s="63" t="n"/>
      <c r="M36" s="64" t="n"/>
      <c r="N36" s="66" t="n"/>
      <c r="O36" s="65" t="n"/>
      <c r="P36" s="64" t="n"/>
      <c r="Q36" s="67" t="n"/>
      <c r="R36" s="67" t="n"/>
      <c r="S36" s="68" t="str">
        <f>IF(AND(ISNUMBER($Q36),ISNUMBER($R36)),$Q36-$R36,"")</f>
        <v/>
      </c>
      <c r="T36" s="65" t="n"/>
      <c r="U36" s="64" t="n"/>
      <c r="V36" s="65" t="n"/>
      <c r="W36" s="63" t="n"/>
      <c r="X36" s="65" t="inlineStr">
        <is>
          <t>Baseline: status not provided.</t>
        </is>
      </c>
      <c r="Y36" s="63" t="n"/>
      <c r="Z36" s="64" t="n"/>
      <c r="AA36" s="64" t="n"/>
      <c r="AB36" s="65" t="inlineStr">
        <is>
          <t>Form fills; opens/clicks data</t>
        </is>
      </c>
      <c r="AC36" s="69" t="str">
        <f>IF(OR($G36="",NOT(ISNUMBER($K36)),$AK36=0),"",MAX(0,ReportDate-$K36))</f>
        <v/>
      </c>
      <c r="AD36" s="69">
        <f>IF($G36="","",IF($AL36=1,ReportDate-$L36,0))</f>
        <v>0</v>
      </c>
      <c r="AE36" s="70">
        <f>IF($G36="","",IF($M36="Completed",1,IF(ISNUMBER($N36),$N36,0)))</f>
        <v>0</v>
      </c>
      <c r="AF36" s="70" t="str">
        <f>IF(AND(ISNUMBER($Q36),ISNUMBER($R36)),IF($R36&lt;&gt;0,$Q36/$R36,""),"")</f>
        <v/>
      </c>
      <c r="AG36" s="71" t="str">
        <f>IF($G36="","",IF($AL36=1,"OVERDUE",IF($AM36=1,"BLOCKED",IF($AN36=1,"DUE TODAY",IF($AO36=1,"DUE TOMORROW",IF($AQ36=1,"HIGH PRIORITY",IF($AR36=1,"NO RECENT UPDATE",""))))))) </f>
        <v>NO RECENT UPDATE</v>
      </c>
      <c r="AH36" s="71" t="str">
        <f>IF($G36="","",IF(ISNUMBER($A36),IF(ISNUMBER($A36),YEAR($A36)&amp;"-"&amp;TEXT(MONTH($A36),"00"),""),IF(ISNUMBER($L36),IF(ISNUMBER($L36),YEAR($L36)&amp;"-"&amp;TEXT(MONTH($L36),"00"),""),"")))</f>
        <v/>
      </c>
      <c r="AI36" s="71">
        <f>IF($G36="",0,IF(AND(OR(fClient="All",$C36=fClient),OR(fCampaign="All",$D36=fCampaign),OR(fTeam="All",$B36=fTeam),OR(fChannel="All",$F36=fChannel),OR(fMonth="All",$AH36=fMonth),OR(fTStatus="All",$M36=fTStatus)),1,0))</f>
        <v>1</v>
      </c>
      <c r="AJ36" s="71">
        <f>IF($G36="",0,IF(AND(OR(fClient="All",$C36=fClient),OR(fCampaign="All",$D36=fCampaign),OR(fTeam="All",$B36=fTeam),OR(fChannel="All",$F36=fChannel)),1,0))</f>
        <v>1</v>
      </c>
      <c r="AK36" s="71">
        <f>IF($G36="",0,IF(OR($M36="Completed",$M36="Cancelled"),0,1))</f>
        <v>1</v>
      </c>
      <c r="AL36" s="71">
        <f>IF(AND($AK36=1,ISNUMBER($L36)),IF($L36&lt;ReportDate,1,0),0)</f>
        <v>0</v>
      </c>
      <c r="AM36" s="71">
        <f>IF(AND($G36&lt;&gt;"",$M36="Blocked"),1,0)</f>
        <v>0</v>
      </c>
      <c r="AN36" s="71">
        <f>IF(AND($AK36=1,ISNUMBER($L36)),IF($L36=ReportDate,1,0),0)</f>
        <v>0</v>
      </c>
      <c r="AO36" s="71">
        <f>IF(AND($AK36=1,ISNUMBER($L36)),IF($L36=ReportDate+1,1,0),0)</f>
        <v>0</v>
      </c>
      <c r="AP36" s="71">
        <f>IF(AND($AK36=1,ISNUMBER($L36)),IF(AND($L36&gt;=ReportDate,$L36&lt;=ReportDate+DueSoonDays),1,0),0)</f>
        <v>0</v>
      </c>
      <c r="AQ36" s="71">
        <f>IF(AND($AK36=1,OR($I36="Critical",$I36="High")),1,0)</f>
        <v>0</v>
      </c>
      <c r="AR36" s="71">
        <f>IF($AK36=1,IF(ISNUMBER($Y36),IF(ReportDate-$Y36&gt;StaleDays,1,0),1),0)</f>
        <v>1</v>
      </c>
      <c r="AS36" s="71">
        <f>IF(AND($G36&lt;&gt;"",ISNUMBER($Q36),ISNUMBER($R36)),IF(AND($Q36&lt;$R36,OR($M36="Completed",AND(ISNUMBER($L36),$L36&lt;ReportDate))),1,0),0)</f>
        <v>0</v>
      </c>
      <c r="AT36" s="71">
        <f>IF($AK36=1,IF(OR($L36=ReportDate,$W36=ReportDate,$K36=ReportDate,$A36=ReportDate),1,0),0)</f>
        <v>0</v>
      </c>
      <c r="AU36" s="71">
        <f>IF($AK36=1,IF(OR($L36=ReportDate+1,$W36=ReportDate+1,$K36=ReportDate+1,$A36=ReportDate+1),1,0),0)</f>
        <v>0</v>
      </c>
      <c r="AV36" s="71">
        <f>IF(AND($G36&lt;&gt;"",$M36="Completed"),IF(OR($Y36=ReportDate-1,$A36=ReportDate-1),1,0),0)</f>
        <v>0</v>
      </c>
      <c r="AW36" s="71">
        <f>IF(AND($AK36=1,$Z36="Yes"),1,0)</f>
        <v>0</v>
      </c>
      <c r="AX36" s="71">
        <f>IF(AND($AK36=1,$AA36="Yes"),1,0)</f>
        <v>0</v>
      </c>
      <c r="AY36" s="71">
        <f>IF(AND($AM36=1,OR($I36="Critical",$I36="High")),1,0)</f>
        <v>0</v>
      </c>
      <c r="AZ36" s="71">
        <f>IF(AND($AK36=1,OR($C36=TCL_Client,$C36=MECCA_Client)),1,0)</f>
        <v>0</v>
      </c>
      <c r="BA36" s="71">
        <f>IF($G36="","",IFERROR(MATCH($I36,lst_Priority,0),5))</f>
        <v>5</v>
      </c>
      <c r="BB36" s="71" t="str">
        <f>IF(AND($AL36=1,$AJ36=1),$BA36*100000+ROW(),"")</f>
        <v/>
      </c>
      <c r="BC36" s="71" t="str">
        <f>IF(AND($AM36=1,$AJ36=1),$BA36*100000+ROW(),"")</f>
        <v/>
      </c>
      <c r="BD36" s="71" t="str">
        <f>IF(AND($AP36=1,$AJ36=1),$BA36*100000+ROW(),"")</f>
        <v/>
      </c>
      <c r="BE36" s="71" t="str">
        <f>IF(AND($AT36=1,$AJ36=1),$BA36*100000+ROW(),"")</f>
        <v/>
      </c>
      <c r="BF36" s="71" t="str">
        <f>IF(AND($AU36=1,$AJ36=1),$BA36*100000+ROW(),"")</f>
        <v/>
      </c>
      <c r="BG36" s="71" t="str">
        <f>IF(AND($AV36=1,$AJ36=1),$BA36*100000+ROW(),"")</f>
        <v/>
      </c>
      <c r="BH36" s="71" t="str">
        <f>IF(AND($AW36=1,$AJ36=1),$BA36*100000+ROW(),"")</f>
        <v/>
      </c>
      <c r="BI36" s="71" t="str">
        <f>IF(AND($AX36=1,$AJ36=1),$BA36*100000+ROW(),"")</f>
        <v/>
      </c>
      <c r="BJ36" s="71" t="str">
        <f>IF(AND($AS36=1,$AJ36=1),$BA36*100000+ROW(),"")</f>
        <v/>
      </c>
      <c r="BK36" s="71" t="str">
        <f>IF(AND($AY36=1,$AJ36=1),$BA36*100000+ROW(),"")</f>
        <v/>
      </c>
      <c r="BL36" s="71" t="str">
        <f>IF(AND($AZ36=1),$BA36*100000+ROW(),"")</f>
        <v/>
      </c>
    </row>
    <row r="37">
      <c r="A37" s="63" t="n"/>
      <c r="B37" s="64" t="inlineStr">
        <is>
          <t>Riya Diwan</t>
        </is>
      </c>
      <c r="C37" s="64" t="inlineStr">
        <is>
          <t>Google Chrome Enterprise</t>
        </is>
      </c>
      <c r="D37" s="64" t="inlineStr">
        <is>
          <t>Google Chrome - Content Syndication (Email)</t>
        </is>
      </c>
      <c r="E37" s="64" t="inlineStr">
        <is>
          <t>Lead Management</t>
        </is>
      </c>
      <c r="F37" s="64" t="inlineStr">
        <is>
          <t>Content Syndication</t>
        </is>
      </c>
      <c r="G37" s="65" t="inlineStr">
        <is>
          <t>Leads update and map data</t>
        </is>
      </c>
      <c r="H37" s="65" t="n"/>
      <c r="I37" s="64" t="n"/>
      <c r="J37" s="64" t="n"/>
      <c r="K37" s="63" t="n"/>
      <c r="L37" s="63" t="n"/>
      <c r="M37" s="64" t="n"/>
      <c r="N37" s="66" t="n"/>
      <c r="O37" s="65" t="n"/>
      <c r="P37" s="64" t="n"/>
      <c r="Q37" s="67" t="n"/>
      <c r="R37" s="67" t="n"/>
      <c r="S37" s="68" t="str">
        <f>IF(AND(ISNUMBER($Q37),ISNUMBER($R37)),$Q37-$R37,"")</f>
        <v/>
      </c>
      <c r="T37" s="65" t="n"/>
      <c r="U37" s="64" t="n"/>
      <c r="V37" s="65" t="n"/>
      <c r="W37" s="63" t="n"/>
      <c r="X37" s="65" t="inlineStr">
        <is>
          <t>Baseline: status not provided.</t>
        </is>
      </c>
      <c r="Y37" s="63" t="n"/>
      <c r="Z37" s="64" t="n"/>
      <c r="AA37" s="64" t="n"/>
      <c r="AB37" s="65" t="n"/>
      <c r="AC37" s="69" t="str">
        <f>IF(OR($G37="",NOT(ISNUMBER($K37)),$AK37=0),"",MAX(0,ReportDate-$K37))</f>
        <v/>
      </c>
      <c r="AD37" s="69">
        <f>IF($G37="","",IF($AL37=1,ReportDate-$L37,0))</f>
        <v>0</v>
      </c>
      <c r="AE37" s="70">
        <f>IF($G37="","",IF($M37="Completed",1,IF(ISNUMBER($N37),$N37,0)))</f>
        <v>0</v>
      </c>
      <c r="AF37" s="70" t="str">
        <f>IF(AND(ISNUMBER($Q37),ISNUMBER($R37)),IF($R37&lt;&gt;0,$Q37/$R37,""),"")</f>
        <v/>
      </c>
      <c r="AG37" s="71" t="str">
        <f>IF($G37="","",IF($AL37=1,"OVERDUE",IF($AM37=1,"BLOCKED",IF($AN37=1,"DUE TODAY",IF($AO37=1,"DUE TOMORROW",IF($AQ37=1,"HIGH PRIORITY",IF($AR37=1,"NO RECENT UPDATE",""))))))) </f>
        <v>NO RECENT UPDATE</v>
      </c>
      <c r="AH37" s="71" t="str">
        <f>IF($G37="","",IF(ISNUMBER($A37),IF(ISNUMBER($A37),YEAR($A37)&amp;"-"&amp;TEXT(MONTH($A37),"00"),""),IF(ISNUMBER($L37),IF(ISNUMBER($L37),YEAR($L37)&amp;"-"&amp;TEXT(MONTH($L37),"00"),""),"")))</f>
        <v/>
      </c>
      <c r="AI37" s="71">
        <f>IF($G37="",0,IF(AND(OR(fClient="All",$C37=fClient),OR(fCampaign="All",$D37=fCampaign),OR(fTeam="All",$B37=fTeam),OR(fChannel="All",$F37=fChannel),OR(fMonth="All",$AH37=fMonth),OR(fTStatus="All",$M37=fTStatus)),1,0))</f>
        <v>1</v>
      </c>
      <c r="AJ37" s="71">
        <f>IF($G37="",0,IF(AND(OR(fClient="All",$C37=fClient),OR(fCampaign="All",$D37=fCampaign),OR(fTeam="All",$B37=fTeam),OR(fChannel="All",$F37=fChannel)),1,0))</f>
        <v>1</v>
      </c>
      <c r="AK37" s="71">
        <f>IF($G37="",0,IF(OR($M37="Completed",$M37="Cancelled"),0,1))</f>
        <v>1</v>
      </c>
      <c r="AL37" s="71">
        <f>IF(AND($AK37=1,ISNUMBER($L37)),IF($L37&lt;ReportDate,1,0),0)</f>
        <v>0</v>
      </c>
      <c r="AM37" s="71">
        <f>IF(AND($G37&lt;&gt;"",$M37="Blocked"),1,0)</f>
        <v>0</v>
      </c>
      <c r="AN37" s="71">
        <f>IF(AND($AK37=1,ISNUMBER($L37)),IF($L37=ReportDate,1,0),0)</f>
        <v>0</v>
      </c>
      <c r="AO37" s="71">
        <f>IF(AND($AK37=1,ISNUMBER($L37)),IF($L37=ReportDate+1,1,0),0)</f>
        <v>0</v>
      </c>
      <c r="AP37" s="71">
        <f>IF(AND($AK37=1,ISNUMBER($L37)),IF(AND($L37&gt;=ReportDate,$L37&lt;=ReportDate+DueSoonDays),1,0),0)</f>
        <v>0</v>
      </c>
      <c r="AQ37" s="71">
        <f>IF(AND($AK37=1,OR($I37="Critical",$I37="High")),1,0)</f>
        <v>0</v>
      </c>
      <c r="AR37" s="71">
        <f>IF($AK37=1,IF(ISNUMBER($Y37),IF(ReportDate-$Y37&gt;StaleDays,1,0),1),0)</f>
        <v>1</v>
      </c>
      <c r="AS37" s="71">
        <f>IF(AND($G37&lt;&gt;"",ISNUMBER($Q37),ISNUMBER($R37)),IF(AND($Q37&lt;$R37,OR($M37="Completed",AND(ISNUMBER($L37),$L37&lt;ReportDate))),1,0),0)</f>
        <v>0</v>
      </c>
      <c r="AT37" s="71">
        <f>IF($AK37=1,IF(OR($L37=ReportDate,$W37=ReportDate,$K37=ReportDate,$A37=ReportDate),1,0),0)</f>
        <v>0</v>
      </c>
      <c r="AU37" s="71">
        <f>IF($AK37=1,IF(OR($L37=ReportDate+1,$W37=ReportDate+1,$K37=ReportDate+1,$A37=ReportDate+1),1,0),0)</f>
        <v>0</v>
      </c>
      <c r="AV37" s="71">
        <f>IF(AND($G37&lt;&gt;"",$M37="Completed"),IF(OR($Y37=ReportDate-1,$A37=ReportDate-1),1,0),0)</f>
        <v>0</v>
      </c>
      <c r="AW37" s="71">
        <f>IF(AND($AK37=1,$Z37="Yes"),1,0)</f>
        <v>0</v>
      </c>
      <c r="AX37" s="71">
        <f>IF(AND($AK37=1,$AA37="Yes"),1,0)</f>
        <v>0</v>
      </c>
      <c r="AY37" s="71">
        <f>IF(AND($AM37=1,OR($I37="Critical",$I37="High")),1,0)</f>
        <v>0</v>
      </c>
      <c r="AZ37" s="71">
        <f>IF(AND($AK37=1,OR($C37=TCL_Client,$C37=MECCA_Client)),1,0)</f>
        <v>0</v>
      </c>
      <c r="BA37" s="71">
        <f>IF($G37="","",IFERROR(MATCH($I37,lst_Priority,0),5))</f>
        <v>5</v>
      </c>
      <c r="BB37" s="71" t="str">
        <f>IF(AND($AL37=1,$AJ37=1),$BA37*100000+ROW(),"")</f>
        <v/>
      </c>
      <c r="BC37" s="71" t="str">
        <f>IF(AND($AM37=1,$AJ37=1),$BA37*100000+ROW(),"")</f>
        <v/>
      </c>
      <c r="BD37" s="71" t="str">
        <f>IF(AND($AP37=1,$AJ37=1),$BA37*100000+ROW(),"")</f>
        <v/>
      </c>
      <c r="BE37" s="71" t="str">
        <f>IF(AND($AT37=1,$AJ37=1),$BA37*100000+ROW(),"")</f>
        <v/>
      </c>
      <c r="BF37" s="71" t="str">
        <f>IF(AND($AU37=1,$AJ37=1),$BA37*100000+ROW(),"")</f>
        <v/>
      </c>
      <c r="BG37" s="71" t="str">
        <f>IF(AND($AV37=1,$AJ37=1),$BA37*100000+ROW(),"")</f>
        <v/>
      </c>
      <c r="BH37" s="71" t="str">
        <f>IF(AND($AW37=1,$AJ37=1),$BA37*100000+ROW(),"")</f>
        <v/>
      </c>
      <c r="BI37" s="71" t="str">
        <f>IF(AND($AX37=1,$AJ37=1),$BA37*100000+ROW(),"")</f>
        <v/>
      </c>
      <c r="BJ37" s="71" t="str">
        <f>IF(AND($AS37=1,$AJ37=1),$BA37*100000+ROW(),"")</f>
        <v/>
      </c>
      <c r="BK37" s="71" t="str">
        <f>IF(AND($AY37=1,$AJ37=1),$BA37*100000+ROW(),"")</f>
        <v/>
      </c>
      <c r="BL37" s="71" t="str">
        <f>IF(AND($AZ37=1),$BA37*100000+ROW(),"")</f>
        <v/>
      </c>
    </row>
    <row r="38">
      <c r="A38" s="63" t="n"/>
      <c r="B38" s="64" t="inlineStr">
        <is>
          <t>Riya Diwan</t>
        </is>
      </c>
      <c r="C38" s="64" t="inlineStr">
        <is>
          <t>Vestrics</t>
        </is>
      </c>
      <c r="D38" s="64" t="inlineStr">
        <is>
          <t>Vestrics - SEO &amp; Social Media</t>
        </is>
      </c>
      <c r="E38" s="64" t="inlineStr">
        <is>
          <t>Content</t>
        </is>
      </c>
      <c r="F38" s="64" t="inlineStr">
        <is>
          <t>Content</t>
        </is>
      </c>
      <c r="G38" s="65" t="inlineStr">
        <is>
          <t>Blog posting</t>
        </is>
      </c>
      <c r="H38" s="65" t="n"/>
      <c r="I38" s="64" t="n"/>
      <c r="J38" s="64" t="n"/>
      <c r="K38" s="63" t="n"/>
      <c r="L38" s="63" t="n"/>
      <c r="M38" s="64" t="n"/>
      <c r="N38" s="66" t="n"/>
      <c r="O38" s="65" t="n"/>
      <c r="P38" s="64" t="n"/>
      <c r="Q38" s="67" t="n"/>
      <c r="R38" s="67" t="n"/>
      <c r="S38" s="68" t="str">
        <f>IF(AND(ISNUMBER($Q38),ISNUMBER($R38)),$Q38-$R38,"")</f>
        <v/>
      </c>
      <c r="T38" s="65" t="n"/>
      <c r="U38" s="64" t="n"/>
      <c r="V38" s="65" t="n"/>
      <c r="W38" s="63" t="n"/>
      <c r="X38" s="65" t="inlineStr">
        <is>
          <t>Baseline: status not provided.</t>
        </is>
      </c>
      <c r="Y38" s="63" t="n"/>
      <c r="Z38" s="64" t="n"/>
      <c r="AA38" s="64" t="n"/>
      <c r="AB38" s="65" t="n"/>
      <c r="AC38" s="69" t="str">
        <f>IF(OR($G38="",NOT(ISNUMBER($K38)),$AK38=0),"",MAX(0,ReportDate-$K38))</f>
        <v/>
      </c>
      <c r="AD38" s="69">
        <f>IF($G38="","",IF($AL38=1,ReportDate-$L38,0))</f>
        <v>0</v>
      </c>
      <c r="AE38" s="70">
        <f>IF($G38="","",IF($M38="Completed",1,IF(ISNUMBER($N38),$N38,0)))</f>
        <v>0</v>
      </c>
      <c r="AF38" s="70" t="str">
        <f>IF(AND(ISNUMBER($Q38),ISNUMBER($R38)),IF($R38&lt;&gt;0,$Q38/$R38,""),"")</f>
        <v/>
      </c>
      <c r="AG38" s="71" t="str">
        <f>IF($G38="","",IF($AL38=1,"OVERDUE",IF($AM38=1,"BLOCKED",IF($AN38=1,"DUE TODAY",IF($AO38=1,"DUE TOMORROW",IF($AQ38=1,"HIGH PRIORITY",IF($AR38=1,"NO RECENT UPDATE",""))))))) </f>
        <v>NO RECENT UPDATE</v>
      </c>
      <c r="AH38" s="71" t="str">
        <f>IF($G38="","",IF(ISNUMBER($A38),IF(ISNUMBER($A38),YEAR($A38)&amp;"-"&amp;TEXT(MONTH($A38),"00"),""),IF(ISNUMBER($L38),IF(ISNUMBER($L38),YEAR($L38)&amp;"-"&amp;TEXT(MONTH($L38),"00"),""),"")))</f>
        <v/>
      </c>
      <c r="AI38" s="71">
        <f>IF($G38="",0,IF(AND(OR(fClient="All",$C38=fClient),OR(fCampaign="All",$D38=fCampaign),OR(fTeam="All",$B38=fTeam),OR(fChannel="All",$F38=fChannel),OR(fMonth="All",$AH38=fMonth),OR(fTStatus="All",$M38=fTStatus)),1,0))</f>
        <v>1</v>
      </c>
      <c r="AJ38" s="71">
        <f>IF($G38="",0,IF(AND(OR(fClient="All",$C38=fClient),OR(fCampaign="All",$D38=fCampaign),OR(fTeam="All",$B38=fTeam),OR(fChannel="All",$F38=fChannel)),1,0))</f>
        <v>1</v>
      </c>
      <c r="AK38" s="71">
        <f>IF($G38="",0,IF(OR($M38="Completed",$M38="Cancelled"),0,1))</f>
        <v>1</v>
      </c>
      <c r="AL38" s="71">
        <f>IF(AND($AK38=1,ISNUMBER($L38)),IF($L38&lt;ReportDate,1,0),0)</f>
        <v>0</v>
      </c>
      <c r="AM38" s="71">
        <f>IF(AND($G38&lt;&gt;"",$M38="Blocked"),1,0)</f>
        <v>0</v>
      </c>
      <c r="AN38" s="71">
        <f>IF(AND($AK38=1,ISNUMBER($L38)),IF($L38=ReportDate,1,0),0)</f>
        <v>0</v>
      </c>
      <c r="AO38" s="71">
        <f>IF(AND($AK38=1,ISNUMBER($L38)),IF($L38=ReportDate+1,1,0),0)</f>
        <v>0</v>
      </c>
      <c r="AP38" s="71">
        <f>IF(AND($AK38=1,ISNUMBER($L38)),IF(AND($L38&gt;=ReportDate,$L38&lt;=ReportDate+DueSoonDays),1,0),0)</f>
        <v>0</v>
      </c>
      <c r="AQ38" s="71">
        <f>IF(AND($AK38=1,OR($I38="Critical",$I38="High")),1,0)</f>
        <v>0</v>
      </c>
      <c r="AR38" s="71">
        <f>IF($AK38=1,IF(ISNUMBER($Y38),IF(ReportDate-$Y38&gt;StaleDays,1,0),1),0)</f>
        <v>1</v>
      </c>
      <c r="AS38" s="71">
        <f>IF(AND($G38&lt;&gt;"",ISNUMBER($Q38),ISNUMBER($R38)),IF(AND($Q38&lt;$R38,OR($M38="Completed",AND(ISNUMBER($L38),$L38&lt;ReportDate))),1,0),0)</f>
        <v>0</v>
      </c>
      <c r="AT38" s="71">
        <f>IF($AK38=1,IF(OR($L38=ReportDate,$W38=ReportDate,$K38=ReportDate,$A38=ReportDate),1,0),0)</f>
        <v>0</v>
      </c>
      <c r="AU38" s="71">
        <f>IF($AK38=1,IF(OR($L38=ReportDate+1,$W38=ReportDate+1,$K38=ReportDate+1,$A38=ReportDate+1),1,0),0)</f>
        <v>0</v>
      </c>
      <c r="AV38" s="71">
        <f>IF(AND($G38&lt;&gt;"",$M38="Completed"),IF(OR($Y38=ReportDate-1,$A38=ReportDate-1),1,0),0)</f>
        <v>0</v>
      </c>
      <c r="AW38" s="71">
        <f>IF(AND($AK38=1,$Z38="Yes"),1,0)</f>
        <v>0</v>
      </c>
      <c r="AX38" s="71">
        <f>IF(AND($AK38=1,$AA38="Yes"),1,0)</f>
        <v>0</v>
      </c>
      <c r="AY38" s="71">
        <f>IF(AND($AM38=1,OR($I38="Critical",$I38="High")),1,0)</f>
        <v>0</v>
      </c>
      <c r="AZ38" s="71">
        <f>IF(AND($AK38=1,OR($C38=TCL_Client,$C38=MECCA_Client)),1,0)</f>
        <v>0</v>
      </c>
      <c r="BA38" s="71">
        <f>IF($G38="","",IFERROR(MATCH($I38,lst_Priority,0),5))</f>
        <v>5</v>
      </c>
      <c r="BB38" s="71" t="str">
        <f>IF(AND($AL38=1,$AJ38=1),$BA38*100000+ROW(),"")</f>
        <v/>
      </c>
      <c r="BC38" s="71" t="str">
        <f>IF(AND($AM38=1,$AJ38=1),$BA38*100000+ROW(),"")</f>
        <v/>
      </c>
      <c r="BD38" s="71" t="str">
        <f>IF(AND($AP38=1,$AJ38=1),$BA38*100000+ROW(),"")</f>
        <v/>
      </c>
      <c r="BE38" s="71" t="str">
        <f>IF(AND($AT38=1,$AJ38=1),$BA38*100000+ROW(),"")</f>
        <v/>
      </c>
      <c r="BF38" s="71" t="str">
        <f>IF(AND($AU38=1,$AJ38=1),$BA38*100000+ROW(),"")</f>
        <v/>
      </c>
      <c r="BG38" s="71" t="str">
        <f>IF(AND($AV38=1,$AJ38=1),$BA38*100000+ROW(),"")</f>
        <v/>
      </c>
      <c r="BH38" s="71" t="str">
        <f>IF(AND($AW38=1,$AJ38=1),$BA38*100000+ROW(),"")</f>
        <v/>
      </c>
      <c r="BI38" s="71" t="str">
        <f>IF(AND($AX38=1,$AJ38=1),$BA38*100000+ROW(),"")</f>
        <v/>
      </c>
      <c r="BJ38" s="71" t="str">
        <f>IF(AND($AS38=1,$AJ38=1),$BA38*100000+ROW(),"")</f>
        <v/>
      </c>
      <c r="BK38" s="71" t="str">
        <f>IF(AND($AY38=1,$AJ38=1),$BA38*100000+ROW(),"")</f>
        <v/>
      </c>
      <c r="BL38" s="71" t="str">
        <f>IF(AND($AZ38=1),$BA38*100000+ROW(),"")</f>
        <v/>
      </c>
    </row>
    <row r="39">
      <c r="A39" s="63" t="n"/>
      <c r="B39" s="64" t="inlineStr">
        <is>
          <t>Riya Diwan</t>
        </is>
      </c>
      <c r="C39" s="64" t="inlineStr">
        <is>
          <t>Vestrics</t>
        </is>
      </c>
      <c r="D39" s="64" t="inlineStr">
        <is>
          <t>Vestrics - SEO &amp; Social Media</t>
        </is>
      </c>
      <c r="E39" s="64" t="inlineStr">
        <is>
          <t>SEO</t>
        </is>
      </c>
      <c r="F39" s="64" t="inlineStr">
        <is>
          <t>SEO</t>
        </is>
      </c>
      <c r="G39" s="65" t="inlineStr">
        <is>
          <t>Off page SEO (content &amp; link building)</t>
        </is>
      </c>
      <c r="H39" s="65" t="n"/>
      <c r="I39" s="64" t="n"/>
      <c r="J39" s="64" t="n"/>
      <c r="K39" s="63" t="n"/>
      <c r="L39" s="63" t="n"/>
      <c r="M39" s="64" t="n"/>
      <c r="N39" s="66" t="n"/>
      <c r="O39" s="65" t="n"/>
      <c r="P39" s="64" t="n"/>
      <c r="Q39" s="67" t="n"/>
      <c r="R39" s="67" t="n"/>
      <c r="S39" s="68" t="str">
        <f>IF(AND(ISNUMBER($Q39),ISNUMBER($R39)),$Q39-$R39,"")</f>
        <v/>
      </c>
      <c r="T39" s="65" t="n"/>
      <c r="U39" s="64" t="n"/>
      <c r="V39" s="65" t="n"/>
      <c r="W39" s="63" t="n"/>
      <c r="X39" s="65" t="inlineStr">
        <is>
          <t>Baseline: status not provided.</t>
        </is>
      </c>
      <c r="Y39" s="63" t="n"/>
      <c r="Z39" s="64" t="n"/>
      <c r="AA39" s="64" t="n"/>
      <c r="AB39" s="65" t="n"/>
      <c r="AC39" s="69" t="str">
        <f>IF(OR($G39="",NOT(ISNUMBER($K39)),$AK39=0),"",MAX(0,ReportDate-$K39))</f>
        <v/>
      </c>
      <c r="AD39" s="69">
        <f>IF($G39="","",IF($AL39=1,ReportDate-$L39,0))</f>
        <v>0</v>
      </c>
      <c r="AE39" s="70">
        <f>IF($G39="","",IF($M39="Completed",1,IF(ISNUMBER($N39),$N39,0)))</f>
        <v>0</v>
      </c>
      <c r="AF39" s="70" t="str">
        <f>IF(AND(ISNUMBER($Q39),ISNUMBER($R39)),IF($R39&lt;&gt;0,$Q39/$R39,""),"")</f>
        <v/>
      </c>
      <c r="AG39" s="71" t="str">
        <f>IF($G39="","",IF($AL39=1,"OVERDUE",IF($AM39=1,"BLOCKED",IF($AN39=1,"DUE TODAY",IF($AO39=1,"DUE TOMORROW",IF($AQ39=1,"HIGH PRIORITY",IF($AR39=1,"NO RECENT UPDATE",""))))))) </f>
        <v>NO RECENT UPDATE</v>
      </c>
      <c r="AH39" s="71" t="str">
        <f>IF($G39="","",IF(ISNUMBER($A39),IF(ISNUMBER($A39),YEAR($A39)&amp;"-"&amp;TEXT(MONTH($A39),"00"),""),IF(ISNUMBER($L39),IF(ISNUMBER($L39),YEAR($L39)&amp;"-"&amp;TEXT(MONTH($L39),"00"),""),"")))</f>
        <v/>
      </c>
      <c r="AI39" s="71">
        <f>IF($G39="",0,IF(AND(OR(fClient="All",$C39=fClient),OR(fCampaign="All",$D39=fCampaign),OR(fTeam="All",$B39=fTeam),OR(fChannel="All",$F39=fChannel),OR(fMonth="All",$AH39=fMonth),OR(fTStatus="All",$M39=fTStatus)),1,0))</f>
        <v>1</v>
      </c>
      <c r="AJ39" s="71">
        <f>IF($G39="",0,IF(AND(OR(fClient="All",$C39=fClient),OR(fCampaign="All",$D39=fCampaign),OR(fTeam="All",$B39=fTeam),OR(fChannel="All",$F39=fChannel)),1,0))</f>
        <v>1</v>
      </c>
      <c r="AK39" s="71">
        <f>IF($G39="",0,IF(OR($M39="Completed",$M39="Cancelled"),0,1))</f>
        <v>1</v>
      </c>
      <c r="AL39" s="71">
        <f>IF(AND($AK39=1,ISNUMBER($L39)),IF($L39&lt;ReportDate,1,0),0)</f>
        <v>0</v>
      </c>
      <c r="AM39" s="71">
        <f>IF(AND($G39&lt;&gt;"",$M39="Blocked"),1,0)</f>
        <v>0</v>
      </c>
      <c r="AN39" s="71">
        <f>IF(AND($AK39=1,ISNUMBER($L39)),IF($L39=ReportDate,1,0),0)</f>
        <v>0</v>
      </c>
      <c r="AO39" s="71">
        <f>IF(AND($AK39=1,ISNUMBER($L39)),IF($L39=ReportDate+1,1,0),0)</f>
        <v>0</v>
      </c>
      <c r="AP39" s="71">
        <f>IF(AND($AK39=1,ISNUMBER($L39)),IF(AND($L39&gt;=ReportDate,$L39&lt;=ReportDate+DueSoonDays),1,0),0)</f>
        <v>0</v>
      </c>
      <c r="AQ39" s="71">
        <f>IF(AND($AK39=1,OR($I39="Critical",$I39="High")),1,0)</f>
        <v>0</v>
      </c>
      <c r="AR39" s="71">
        <f>IF($AK39=1,IF(ISNUMBER($Y39),IF(ReportDate-$Y39&gt;StaleDays,1,0),1),0)</f>
        <v>1</v>
      </c>
      <c r="AS39" s="71">
        <f>IF(AND($G39&lt;&gt;"",ISNUMBER($Q39),ISNUMBER($R39)),IF(AND($Q39&lt;$R39,OR($M39="Completed",AND(ISNUMBER($L39),$L39&lt;ReportDate))),1,0),0)</f>
        <v>0</v>
      </c>
      <c r="AT39" s="71">
        <f>IF($AK39=1,IF(OR($L39=ReportDate,$W39=ReportDate,$K39=ReportDate,$A39=ReportDate),1,0),0)</f>
        <v>0</v>
      </c>
      <c r="AU39" s="71">
        <f>IF($AK39=1,IF(OR($L39=ReportDate+1,$W39=ReportDate+1,$K39=ReportDate+1,$A39=ReportDate+1),1,0),0)</f>
        <v>0</v>
      </c>
      <c r="AV39" s="71">
        <f>IF(AND($G39&lt;&gt;"",$M39="Completed"),IF(OR($Y39=ReportDate-1,$A39=ReportDate-1),1,0),0)</f>
        <v>0</v>
      </c>
      <c r="AW39" s="71">
        <f>IF(AND($AK39=1,$Z39="Yes"),1,0)</f>
        <v>0</v>
      </c>
      <c r="AX39" s="71">
        <f>IF(AND($AK39=1,$AA39="Yes"),1,0)</f>
        <v>0</v>
      </c>
      <c r="AY39" s="71">
        <f>IF(AND($AM39=1,OR($I39="Critical",$I39="High")),1,0)</f>
        <v>0</v>
      </c>
      <c r="AZ39" s="71">
        <f>IF(AND($AK39=1,OR($C39=TCL_Client,$C39=MECCA_Client)),1,0)</f>
        <v>0</v>
      </c>
      <c r="BA39" s="71">
        <f>IF($G39="","",IFERROR(MATCH($I39,lst_Priority,0),5))</f>
        <v>5</v>
      </c>
      <c r="BB39" s="71" t="str">
        <f>IF(AND($AL39=1,$AJ39=1),$BA39*100000+ROW(),"")</f>
        <v/>
      </c>
      <c r="BC39" s="71" t="str">
        <f>IF(AND($AM39=1,$AJ39=1),$BA39*100000+ROW(),"")</f>
        <v/>
      </c>
      <c r="BD39" s="71" t="str">
        <f>IF(AND($AP39=1,$AJ39=1),$BA39*100000+ROW(),"")</f>
        <v/>
      </c>
      <c r="BE39" s="71" t="str">
        <f>IF(AND($AT39=1,$AJ39=1),$BA39*100000+ROW(),"")</f>
        <v/>
      </c>
      <c r="BF39" s="71" t="str">
        <f>IF(AND($AU39=1,$AJ39=1),$BA39*100000+ROW(),"")</f>
        <v/>
      </c>
      <c r="BG39" s="71" t="str">
        <f>IF(AND($AV39=1,$AJ39=1),$BA39*100000+ROW(),"")</f>
        <v/>
      </c>
      <c r="BH39" s="71" t="str">
        <f>IF(AND($AW39=1,$AJ39=1),$BA39*100000+ROW(),"")</f>
        <v/>
      </c>
      <c r="BI39" s="71" t="str">
        <f>IF(AND($AX39=1,$AJ39=1),$BA39*100000+ROW(),"")</f>
        <v/>
      </c>
      <c r="BJ39" s="71" t="str">
        <f>IF(AND($AS39=1,$AJ39=1),$BA39*100000+ROW(),"")</f>
        <v/>
      </c>
      <c r="BK39" s="71" t="str">
        <f>IF(AND($AY39=1,$AJ39=1),$BA39*100000+ROW(),"")</f>
        <v/>
      </c>
      <c r="BL39" s="71" t="str">
        <f>IF(AND($AZ39=1),$BA39*100000+ROW(),"")</f>
        <v/>
      </c>
    </row>
    <row r="40">
      <c r="A40" s="63" t="n"/>
      <c r="B40" s="64" t="inlineStr">
        <is>
          <t>Riya Diwan</t>
        </is>
      </c>
      <c r="C40" s="64" t="inlineStr">
        <is>
          <t>Vestrics</t>
        </is>
      </c>
      <c r="D40" s="64" t="inlineStr">
        <is>
          <t>Vestrics - SEO &amp; Social Media</t>
        </is>
      </c>
      <c r="E40" s="64" t="inlineStr">
        <is>
          <t>Social Media</t>
        </is>
      </c>
      <c r="F40" s="64" t="inlineStr">
        <is>
          <t>Social Media</t>
        </is>
      </c>
      <c r="G40" s="65" t="inlineStr">
        <is>
          <t>Social postings</t>
        </is>
      </c>
      <c r="H40" s="65" t="n"/>
      <c r="I40" s="64" t="n"/>
      <c r="J40" s="64" t="n"/>
      <c r="K40" s="63" t="n"/>
      <c r="L40" s="63" t="n"/>
      <c r="M40" s="64" t="n"/>
      <c r="N40" s="66" t="n"/>
      <c r="O40" s="65" t="n"/>
      <c r="P40" s="64" t="n"/>
      <c r="Q40" s="67" t="n"/>
      <c r="R40" s="67" t="n"/>
      <c r="S40" s="68" t="str">
        <f>IF(AND(ISNUMBER($Q40),ISNUMBER($R40)),$Q40-$R40,"")</f>
        <v/>
      </c>
      <c r="T40" s="65" t="n"/>
      <c r="U40" s="64" t="n"/>
      <c r="V40" s="65" t="n"/>
      <c r="W40" s="63" t="n"/>
      <c r="X40" s="65" t="inlineStr">
        <is>
          <t>Baseline: status not provided.</t>
        </is>
      </c>
      <c r="Y40" s="63" t="n"/>
      <c r="Z40" s="64" t="n"/>
      <c r="AA40" s="64" t="n"/>
      <c r="AB40" s="65" t="n"/>
      <c r="AC40" s="69" t="str">
        <f>IF(OR($G40="",NOT(ISNUMBER($K40)),$AK40=0),"",MAX(0,ReportDate-$K40))</f>
        <v/>
      </c>
      <c r="AD40" s="69">
        <f>IF($G40="","",IF($AL40=1,ReportDate-$L40,0))</f>
        <v>0</v>
      </c>
      <c r="AE40" s="70">
        <f>IF($G40="","",IF($M40="Completed",1,IF(ISNUMBER($N40),$N40,0)))</f>
        <v>0</v>
      </c>
      <c r="AF40" s="70" t="str">
        <f>IF(AND(ISNUMBER($Q40),ISNUMBER($R40)),IF($R40&lt;&gt;0,$Q40/$R40,""),"")</f>
        <v/>
      </c>
      <c r="AG40" s="71" t="str">
        <f>IF($G40="","",IF($AL40=1,"OVERDUE",IF($AM40=1,"BLOCKED",IF($AN40=1,"DUE TODAY",IF($AO40=1,"DUE TOMORROW",IF($AQ40=1,"HIGH PRIORITY",IF($AR40=1,"NO RECENT UPDATE",""))))))) </f>
        <v>NO RECENT UPDATE</v>
      </c>
      <c r="AH40" s="71" t="str">
        <f>IF($G40="","",IF(ISNUMBER($A40),IF(ISNUMBER($A40),YEAR($A40)&amp;"-"&amp;TEXT(MONTH($A40),"00"),""),IF(ISNUMBER($L40),IF(ISNUMBER($L40),YEAR($L40)&amp;"-"&amp;TEXT(MONTH($L40),"00"),""),"")))</f>
        <v/>
      </c>
      <c r="AI40" s="71">
        <f>IF($G40="",0,IF(AND(OR(fClient="All",$C40=fClient),OR(fCampaign="All",$D40=fCampaign),OR(fTeam="All",$B40=fTeam),OR(fChannel="All",$F40=fChannel),OR(fMonth="All",$AH40=fMonth),OR(fTStatus="All",$M40=fTStatus)),1,0))</f>
        <v>1</v>
      </c>
      <c r="AJ40" s="71">
        <f>IF($G40="",0,IF(AND(OR(fClient="All",$C40=fClient),OR(fCampaign="All",$D40=fCampaign),OR(fTeam="All",$B40=fTeam),OR(fChannel="All",$F40=fChannel)),1,0))</f>
        <v>1</v>
      </c>
      <c r="AK40" s="71">
        <f>IF($G40="",0,IF(OR($M40="Completed",$M40="Cancelled"),0,1))</f>
        <v>1</v>
      </c>
      <c r="AL40" s="71">
        <f>IF(AND($AK40=1,ISNUMBER($L40)),IF($L40&lt;ReportDate,1,0),0)</f>
        <v>0</v>
      </c>
      <c r="AM40" s="71">
        <f>IF(AND($G40&lt;&gt;"",$M40="Blocked"),1,0)</f>
        <v>0</v>
      </c>
      <c r="AN40" s="71">
        <f>IF(AND($AK40=1,ISNUMBER($L40)),IF($L40=ReportDate,1,0),0)</f>
        <v>0</v>
      </c>
      <c r="AO40" s="71">
        <f>IF(AND($AK40=1,ISNUMBER($L40)),IF($L40=ReportDate+1,1,0),0)</f>
        <v>0</v>
      </c>
      <c r="AP40" s="71">
        <f>IF(AND($AK40=1,ISNUMBER($L40)),IF(AND($L40&gt;=ReportDate,$L40&lt;=ReportDate+DueSoonDays),1,0),0)</f>
        <v>0</v>
      </c>
      <c r="AQ40" s="71">
        <f>IF(AND($AK40=1,OR($I40="Critical",$I40="High")),1,0)</f>
        <v>0</v>
      </c>
      <c r="AR40" s="71">
        <f>IF($AK40=1,IF(ISNUMBER($Y40),IF(ReportDate-$Y40&gt;StaleDays,1,0),1),0)</f>
        <v>1</v>
      </c>
      <c r="AS40" s="71">
        <f>IF(AND($G40&lt;&gt;"",ISNUMBER($Q40),ISNUMBER($R40)),IF(AND($Q40&lt;$R40,OR($M40="Completed",AND(ISNUMBER($L40),$L40&lt;ReportDate))),1,0),0)</f>
        <v>0</v>
      </c>
      <c r="AT40" s="71">
        <f>IF($AK40=1,IF(OR($L40=ReportDate,$W40=ReportDate,$K40=ReportDate,$A40=ReportDate),1,0),0)</f>
        <v>0</v>
      </c>
      <c r="AU40" s="71">
        <f>IF($AK40=1,IF(OR($L40=ReportDate+1,$W40=ReportDate+1,$K40=ReportDate+1,$A40=ReportDate+1),1,0),0)</f>
        <v>0</v>
      </c>
      <c r="AV40" s="71">
        <f>IF(AND($G40&lt;&gt;"",$M40="Completed"),IF(OR($Y40=ReportDate-1,$A40=ReportDate-1),1,0),0)</f>
        <v>0</v>
      </c>
      <c r="AW40" s="71">
        <f>IF(AND($AK40=1,$Z40="Yes"),1,0)</f>
        <v>0</v>
      </c>
      <c r="AX40" s="71">
        <f>IF(AND($AK40=1,$AA40="Yes"),1,0)</f>
        <v>0</v>
      </c>
      <c r="AY40" s="71">
        <f>IF(AND($AM40=1,OR($I40="Critical",$I40="High")),1,0)</f>
        <v>0</v>
      </c>
      <c r="AZ40" s="71">
        <f>IF(AND($AK40=1,OR($C40=TCL_Client,$C40=MECCA_Client)),1,0)</f>
        <v>0</v>
      </c>
      <c r="BA40" s="71">
        <f>IF($G40="","",IFERROR(MATCH($I40,lst_Priority,0),5))</f>
        <v>5</v>
      </c>
      <c r="BB40" s="71" t="str">
        <f>IF(AND($AL40=1,$AJ40=1),$BA40*100000+ROW(),"")</f>
        <v/>
      </c>
      <c r="BC40" s="71" t="str">
        <f>IF(AND($AM40=1,$AJ40=1),$BA40*100000+ROW(),"")</f>
        <v/>
      </c>
      <c r="BD40" s="71" t="str">
        <f>IF(AND($AP40=1,$AJ40=1),$BA40*100000+ROW(),"")</f>
        <v/>
      </c>
      <c r="BE40" s="71" t="str">
        <f>IF(AND($AT40=1,$AJ40=1),$BA40*100000+ROW(),"")</f>
        <v/>
      </c>
      <c r="BF40" s="71" t="str">
        <f>IF(AND($AU40=1,$AJ40=1),$BA40*100000+ROW(),"")</f>
        <v/>
      </c>
      <c r="BG40" s="71" t="str">
        <f>IF(AND($AV40=1,$AJ40=1),$BA40*100000+ROW(),"")</f>
        <v/>
      </c>
      <c r="BH40" s="71" t="str">
        <f>IF(AND($AW40=1,$AJ40=1),$BA40*100000+ROW(),"")</f>
        <v/>
      </c>
      <c r="BI40" s="71" t="str">
        <f>IF(AND($AX40=1,$AJ40=1),$BA40*100000+ROW(),"")</f>
        <v/>
      </c>
      <c r="BJ40" s="71" t="str">
        <f>IF(AND($AS40=1,$AJ40=1),$BA40*100000+ROW(),"")</f>
        <v/>
      </c>
      <c r="BK40" s="71" t="str">
        <f>IF(AND($AY40=1,$AJ40=1),$BA40*100000+ROW(),"")</f>
        <v/>
      </c>
      <c r="BL40" s="71" t="str">
        <f>IF(AND($AZ40=1),$BA40*100000+ROW(),"")</f>
        <v/>
      </c>
    </row>
    <row r="41">
      <c r="A41" s="63" t="n"/>
      <c r="B41" s="64" t="inlineStr">
        <is>
          <t>Riya Diwan</t>
        </is>
      </c>
      <c r="C41" s="64" t="inlineStr">
        <is>
          <t>Vestrics</t>
        </is>
      </c>
      <c r="D41" s="64" t="inlineStr">
        <is>
          <t>Vestrics - SEO &amp; Social Media</t>
        </is>
      </c>
      <c r="E41" s="64" t="inlineStr">
        <is>
          <t>Reporting &amp; Analytics</t>
        </is>
      </c>
      <c r="F41" s="64" t="inlineStr">
        <is>
          <t>Internal / Coordination</t>
        </is>
      </c>
      <c r="G41" s="65" t="inlineStr">
        <is>
          <t>Monthly report</t>
        </is>
      </c>
      <c r="H41" s="65" t="n"/>
      <c r="I41" s="64" t="n"/>
      <c r="J41" s="64" t="n"/>
      <c r="K41" s="63" t="n"/>
      <c r="L41" s="63" t="n"/>
      <c r="M41" s="64" t="n"/>
      <c r="N41" s="66" t="n"/>
      <c r="O41" s="65" t="n"/>
      <c r="P41" s="64" t="n"/>
      <c r="Q41" s="67" t="n"/>
      <c r="R41" s="67" t="n"/>
      <c r="S41" s="68" t="str">
        <f>IF(AND(ISNUMBER($Q41),ISNUMBER($R41)),$Q41-$R41,"")</f>
        <v/>
      </c>
      <c r="T41" s="65" t="n"/>
      <c r="U41" s="64" t="n"/>
      <c r="V41" s="65" t="n"/>
      <c r="W41" s="63" t="n"/>
      <c r="X41" s="65" t="inlineStr">
        <is>
          <t>Baseline: status not provided.</t>
        </is>
      </c>
      <c r="Y41" s="63" t="n"/>
      <c r="Z41" s="64" t="n"/>
      <c r="AA41" s="64" t="n"/>
      <c r="AB41" s="65" t="n"/>
      <c r="AC41" s="69" t="str">
        <f>IF(OR($G41="",NOT(ISNUMBER($K41)),$AK41=0),"",MAX(0,ReportDate-$K41))</f>
        <v/>
      </c>
      <c r="AD41" s="69">
        <f>IF($G41="","",IF($AL41=1,ReportDate-$L41,0))</f>
        <v>0</v>
      </c>
      <c r="AE41" s="70">
        <f>IF($G41="","",IF($M41="Completed",1,IF(ISNUMBER($N41),$N41,0)))</f>
        <v>0</v>
      </c>
      <c r="AF41" s="70" t="str">
        <f>IF(AND(ISNUMBER($Q41),ISNUMBER($R41)),IF($R41&lt;&gt;0,$Q41/$R41,""),"")</f>
        <v/>
      </c>
      <c r="AG41" s="71" t="str">
        <f>IF($G41="","",IF($AL41=1,"OVERDUE",IF($AM41=1,"BLOCKED",IF($AN41=1,"DUE TODAY",IF($AO41=1,"DUE TOMORROW",IF($AQ41=1,"HIGH PRIORITY",IF($AR41=1,"NO RECENT UPDATE",""))))))) </f>
        <v>NO RECENT UPDATE</v>
      </c>
      <c r="AH41" s="71" t="str">
        <f>IF($G41="","",IF(ISNUMBER($A41),IF(ISNUMBER($A41),YEAR($A41)&amp;"-"&amp;TEXT(MONTH($A41),"00"),""),IF(ISNUMBER($L41),IF(ISNUMBER($L41),YEAR($L41)&amp;"-"&amp;TEXT(MONTH($L41),"00"),""),"")))</f>
        <v/>
      </c>
      <c r="AI41" s="71">
        <f>IF($G41="",0,IF(AND(OR(fClient="All",$C41=fClient),OR(fCampaign="All",$D41=fCampaign),OR(fTeam="All",$B41=fTeam),OR(fChannel="All",$F41=fChannel),OR(fMonth="All",$AH41=fMonth),OR(fTStatus="All",$M41=fTStatus)),1,0))</f>
        <v>1</v>
      </c>
      <c r="AJ41" s="71">
        <f>IF($G41="",0,IF(AND(OR(fClient="All",$C41=fClient),OR(fCampaign="All",$D41=fCampaign),OR(fTeam="All",$B41=fTeam),OR(fChannel="All",$F41=fChannel)),1,0))</f>
        <v>1</v>
      </c>
      <c r="AK41" s="71">
        <f>IF($G41="",0,IF(OR($M41="Completed",$M41="Cancelled"),0,1))</f>
        <v>1</v>
      </c>
      <c r="AL41" s="71">
        <f>IF(AND($AK41=1,ISNUMBER($L41)),IF($L41&lt;ReportDate,1,0),0)</f>
        <v>0</v>
      </c>
      <c r="AM41" s="71">
        <f>IF(AND($G41&lt;&gt;"",$M41="Blocked"),1,0)</f>
        <v>0</v>
      </c>
      <c r="AN41" s="71">
        <f>IF(AND($AK41=1,ISNUMBER($L41)),IF($L41=ReportDate,1,0),0)</f>
        <v>0</v>
      </c>
      <c r="AO41" s="71">
        <f>IF(AND($AK41=1,ISNUMBER($L41)),IF($L41=ReportDate+1,1,0),0)</f>
        <v>0</v>
      </c>
      <c r="AP41" s="71">
        <f>IF(AND($AK41=1,ISNUMBER($L41)),IF(AND($L41&gt;=ReportDate,$L41&lt;=ReportDate+DueSoonDays),1,0),0)</f>
        <v>0</v>
      </c>
      <c r="AQ41" s="71">
        <f>IF(AND($AK41=1,OR($I41="Critical",$I41="High")),1,0)</f>
        <v>0</v>
      </c>
      <c r="AR41" s="71">
        <f>IF($AK41=1,IF(ISNUMBER($Y41),IF(ReportDate-$Y41&gt;StaleDays,1,0),1),0)</f>
        <v>1</v>
      </c>
      <c r="AS41" s="71">
        <f>IF(AND($G41&lt;&gt;"",ISNUMBER($Q41),ISNUMBER($R41)),IF(AND($Q41&lt;$R41,OR($M41="Completed",AND(ISNUMBER($L41),$L41&lt;ReportDate))),1,0),0)</f>
        <v>0</v>
      </c>
      <c r="AT41" s="71">
        <f>IF($AK41=1,IF(OR($L41=ReportDate,$W41=ReportDate,$K41=ReportDate,$A41=ReportDate),1,0),0)</f>
        <v>0</v>
      </c>
      <c r="AU41" s="71">
        <f>IF($AK41=1,IF(OR($L41=ReportDate+1,$W41=ReportDate+1,$K41=ReportDate+1,$A41=ReportDate+1),1,0),0)</f>
        <v>0</v>
      </c>
      <c r="AV41" s="71">
        <f>IF(AND($G41&lt;&gt;"",$M41="Completed"),IF(OR($Y41=ReportDate-1,$A41=ReportDate-1),1,0),0)</f>
        <v>0</v>
      </c>
      <c r="AW41" s="71">
        <f>IF(AND($AK41=1,$Z41="Yes"),1,0)</f>
        <v>0</v>
      </c>
      <c r="AX41" s="71">
        <f>IF(AND($AK41=1,$AA41="Yes"),1,0)</f>
        <v>0</v>
      </c>
      <c r="AY41" s="71">
        <f>IF(AND($AM41=1,OR($I41="Critical",$I41="High")),1,0)</f>
        <v>0</v>
      </c>
      <c r="AZ41" s="71">
        <f>IF(AND($AK41=1,OR($C41=TCL_Client,$C41=MECCA_Client)),1,0)</f>
        <v>0</v>
      </c>
      <c r="BA41" s="71">
        <f>IF($G41="","",IFERROR(MATCH($I41,lst_Priority,0),5))</f>
        <v>5</v>
      </c>
      <c r="BB41" s="71" t="str">
        <f>IF(AND($AL41=1,$AJ41=1),$BA41*100000+ROW(),"")</f>
        <v/>
      </c>
      <c r="BC41" s="71" t="str">
        <f>IF(AND($AM41=1,$AJ41=1),$BA41*100000+ROW(),"")</f>
        <v/>
      </c>
      <c r="BD41" s="71" t="str">
        <f>IF(AND($AP41=1,$AJ41=1),$BA41*100000+ROW(),"")</f>
        <v/>
      </c>
      <c r="BE41" s="71" t="str">
        <f>IF(AND($AT41=1,$AJ41=1),$BA41*100000+ROW(),"")</f>
        <v/>
      </c>
      <c r="BF41" s="71" t="str">
        <f>IF(AND($AU41=1,$AJ41=1),$BA41*100000+ROW(),"")</f>
        <v/>
      </c>
      <c r="BG41" s="71" t="str">
        <f>IF(AND($AV41=1,$AJ41=1),$BA41*100000+ROW(),"")</f>
        <v/>
      </c>
      <c r="BH41" s="71" t="str">
        <f>IF(AND($AW41=1,$AJ41=1),$BA41*100000+ROW(),"")</f>
        <v/>
      </c>
      <c r="BI41" s="71" t="str">
        <f>IF(AND($AX41=1,$AJ41=1),$BA41*100000+ROW(),"")</f>
        <v/>
      </c>
      <c r="BJ41" s="71" t="str">
        <f>IF(AND($AS41=1,$AJ41=1),$BA41*100000+ROW(),"")</f>
        <v/>
      </c>
      <c r="BK41" s="71" t="str">
        <f>IF(AND($AY41=1,$AJ41=1),$BA41*100000+ROW(),"")</f>
        <v/>
      </c>
      <c r="BL41" s="71" t="str">
        <f>IF(AND($AZ41=1),$BA41*100000+ROW(),"")</f>
        <v/>
      </c>
    </row>
    <row r="42">
      <c r="A42" s="63" t="n"/>
      <c r="B42" s="64" t="inlineStr">
        <is>
          <t>Riya Diwan</t>
        </is>
      </c>
      <c r="C42" s="64" t="inlineStr">
        <is>
          <t>Magnasoft</t>
        </is>
      </c>
      <c r="D42" s="64" t="inlineStr">
        <is>
          <t>Magnasoft - SEO &amp; Social Media</t>
        </is>
      </c>
      <c r="E42" s="64" t="inlineStr">
        <is>
          <t>Content</t>
        </is>
      </c>
      <c r="F42" s="64" t="inlineStr">
        <is>
          <t>Content</t>
        </is>
      </c>
      <c r="G42" s="65" t="inlineStr">
        <is>
          <t>Blog posting</t>
        </is>
      </c>
      <c r="H42" s="65" t="n"/>
      <c r="I42" s="64" t="n"/>
      <c r="J42" s="64" t="n"/>
      <c r="K42" s="63" t="n"/>
      <c r="L42" s="63" t="n"/>
      <c r="M42" s="64" t="n"/>
      <c r="N42" s="66" t="n"/>
      <c r="O42" s="65" t="n"/>
      <c r="P42" s="64" t="n"/>
      <c r="Q42" s="67" t="n"/>
      <c r="R42" s="67" t="n"/>
      <c r="S42" s="68" t="str">
        <f>IF(AND(ISNUMBER($Q42),ISNUMBER($R42)),$Q42-$R42,"")</f>
        <v/>
      </c>
      <c r="T42" s="65" t="n"/>
      <c r="U42" s="64" t="n"/>
      <c r="V42" s="65" t="n"/>
      <c r="W42" s="63" t="n"/>
      <c r="X42" s="65" t="inlineStr">
        <is>
          <t>Baseline: status not provided.</t>
        </is>
      </c>
      <c r="Y42" s="63" t="n"/>
      <c r="Z42" s="64" t="n"/>
      <c r="AA42" s="64" t="n"/>
      <c r="AB42" s="65" t="n"/>
      <c r="AC42" s="69" t="str">
        <f>IF(OR($G42="",NOT(ISNUMBER($K42)),$AK42=0),"",MAX(0,ReportDate-$K42))</f>
        <v/>
      </c>
      <c r="AD42" s="69">
        <f>IF($G42="","",IF($AL42=1,ReportDate-$L42,0))</f>
        <v>0</v>
      </c>
      <c r="AE42" s="70">
        <f>IF($G42="","",IF($M42="Completed",1,IF(ISNUMBER($N42),$N42,0)))</f>
        <v>0</v>
      </c>
      <c r="AF42" s="70" t="str">
        <f>IF(AND(ISNUMBER($Q42),ISNUMBER($R42)),IF($R42&lt;&gt;0,$Q42/$R42,""),"")</f>
        <v/>
      </c>
      <c r="AG42" s="71" t="str">
        <f>IF($G42="","",IF($AL42=1,"OVERDUE",IF($AM42=1,"BLOCKED",IF($AN42=1,"DUE TODAY",IF($AO42=1,"DUE TOMORROW",IF($AQ42=1,"HIGH PRIORITY",IF($AR42=1,"NO RECENT UPDATE",""))))))) </f>
        <v>NO RECENT UPDATE</v>
      </c>
      <c r="AH42" s="71" t="str">
        <f>IF($G42="","",IF(ISNUMBER($A42),IF(ISNUMBER($A42),YEAR($A42)&amp;"-"&amp;TEXT(MONTH($A42),"00"),""),IF(ISNUMBER($L42),IF(ISNUMBER($L42),YEAR($L42)&amp;"-"&amp;TEXT(MONTH($L42),"00"),""),"")))</f>
        <v/>
      </c>
      <c r="AI42" s="71">
        <f>IF($G42="",0,IF(AND(OR(fClient="All",$C42=fClient),OR(fCampaign="All",$D42=fCampaign),OR(fTeam="All",$B42=fTeam),OR(fChannel="All",$F42=fChannel),OR(fMonth="All",$AH42=fMonth),OR(fTStatus="All",$M42=fTStatus)),1,0))</f>
        <v>1</v>
      </c>
      <c r="AJ42" s="71">
        <f>IF($G42="",0,IF(AND(OR(fClient="All",$C42=fClient),OR(fCampaign="All",$D42=fCampaign),OR(fTeam="All",$B42=fTeam),OR(fChannel="All",$F42=fChannel)),1,0))</f>
        <v>1</v>
      </c>
      <c r="AK42" s="71">
        <f>IF($G42="",0,IF(OR($M42="Completed",$M42="Cancelled"),0,1))</f>
        <v>1</v>
      </c>
      <c r="AL42" s="71">
        <f>IF(AND($AK42=1,ISNUMBER($L42)),IF($L42&lt;ReportDate,1,0),0)</f>
        <v>0</v>
      </c>
      <c r="AM42" s="71">
        <f>IF(AND($G42&lt;&gt;"",$M42="Blocked"),1,0)</f>
        <v>0</v>
      </c>
      <c r="AN42" s="71">
        <f>IF(AND($AK42=1,ISNUMBER($L42)),IF($L42=ReportDate,1,0),0)</f>
        <v>0</v>
      </c>
      <c r="AO42" s="71">
        <f>IF(AND($AK42=1,ISNUMBER($L42)),IF($L42=ReportDate+1,1,0),0)</f>
        <v>0</v>
      </c>
      <c r="AP42" s="71">
        <f>IF(AND($AK42=1,ISNUMBER($L42)),IF(AND($L42&gt;=ReportDate,$L42&lt;=ReportDate+DueSoonDays),1,0),0)</f>
        <v>0</v>
      </c>
      <c r="AQ42" s="71">
        <f>IF(AND($AK42=1,OR($I42="Critical",$I42="High")),1,0)</f>
        <v>0</v>
      </c>
      <c r="AR42" s="71">
        <f>IF($AK42=1,IF(ISNUMBER($Y42),IF(ReportDate-$Y42&gt;StaleDays,1,0),1),0)</f>
        <v>1</v>
      </c>
      <c r="AS42" s="71">
        <f>IF(AND($G42&lt;&gt;"",ISNUMBER($Q42),ISNUMBER($R42)),IF(AND($Q42&lt;$R42,OR($M42="Completed",AND(ISNUMBER($L42),$L42&lt;ReportDate))),1,0),0)</f>
        <v>0</v>
      </c>
      <c r="AT42" s="71">
        <f>IF($AK42=1,IF(OR($L42=ReportDate,$W42=ReportDate,$K42=ReportDate,$A42=ReportDate),1,0),0)</f>
        <v>0</v>
      </c>
      <c r="AU42" s="71">
        <f>IF($AK42=1,IF(OR($L42=ReportDate+1,$W42=ReportDate+1,$K42=ReportDate+1,$A42=ReportDate+1),1,0),0)</f>
        <v>0</v>
      </c>
      <c r="AV42" s="71">
        <f>IF(AND($G42&lt;&gt;"",$M42="Completed"),IF(OR($Y42=ReportDate-1,$A42=ReportDate-1),1,0),0)</f>
        <v>0</v>
      </c>
      <c r="AW42" s="71">
        <f>IF(AND($AK42=1,$Z42="Yes"),1,0)</f>
        <v>0</v>
      </c>
      <c r="AX42" s="71">
        <f>IF(AND($AK42=1,$AA42="Yes"),1,0)</f>
        <v>0</v>
      </c>
      <c r="AY42" s="71">
        <f>IF(AND($AM42=1,OR($I42="Critical",$I42="High")),1,0)</f>
        <v>0</v>
      </c>
      <c r="AZ42" s="71">
        <f>IF(AND($AK42=1,OR($C42=TCL_Client,$C42=MECCA_Client)),1,0)</f>
        <v>0</v>
      </c>
      <c r="BA42" s="71">
        <f>IF($G42="","",IFERROR(MATCH($I42,lst_Priority,0),5))</f>
        <v>5</v>
      </c>
      <c r="BB42" s="71" t="str">
        <f>IF(AND($AL42=1,$AJ42=1),$BA42*100000+ROW(),"")</f>
        <v/>
      </c>
      <c r="BC42" s="71" t="str">
        <f>IF(AND($AM42=1,$AJ42=1),$BA42*100000+ROW(),"")</f>
        <v/>
      </c>
      <c r="BD42" s="71" t="str">
        <f>IF(AND($AP42=1,$AJ42=1),$BA42*100000+ROW(),"")</f>
        <v/>
      </c>
      <c r="BE42" s="71" t="str">
        <f>IF(AND($AT42=1,$AJ42=1),$BA42*100000+ROW(),"")</f>
        <v/>
      </c>
      <c r="BF42" s="71" t="str">
        <f>IF(AND($AU42=1,$AJ42=1),$BA42*100000+ROW(),"")</f>
        <v/>
      </c>
      <c r="BG42" s="71" t="str">
        <f>IF(AND($AV42=1,$AJ42=1),$BA42*100000+ROW(),"")</f>
        <v/>
      </c>
      <c r="BH42" s="71" t="str">
        <f>IF(AND($AW42=1,$AJ42=1),$BA42*100000+ROW(),"")</f>
        <v/>
      </c>
      <c r="BI42" s="71" t="str">
        <f>IF(AND($AX42=1,$AJ42=1),$BA42*100000+ROW(),"")</f>
        <v/>
      </c>
      <c r="BJ42" s="71" t="str">
        <f>IF(AND($AS42=1,$AJ42=1),$BA42*100000+ROW(),"")</f>
        <v/>
      </c>
      <c r="BK42" s="71" t="str">
        <f>IF(AND($AY42=1,$AJ42=1),$BA42*100000+ROW(),"")</f>
        <v/>
      </c>
      <c r="BL42" s="71" t="str">
        <f>IF(AND($AZ42=1),$BA42*100000+ROW(),"")</f>
        <v/>
      </c>
    </row>
    <row r="43">
      <c r="A43" s="63" t="n"/>
      <c r="B43" s="64" t="inlineStr">
        <is>
          <t>Riya Diwan</t>
        </is>
      </c>
      <c r="C43" s="64" t="inlineStr">
        <is>
          <t>Magnasoft</t>
        </is>
      </c>
      <c r="D43" s="64" t="inlineStr">
        <is>
          <t>Magnasoft - SEO &amp; Social Media</t>
        </is>
      </c>
      <c r="E43" s="64" t="inlineStr">
        <is>
          <t>Social Media</t>
        </is>
      </c>
      <c r="F43" s="64" t="inlineStr">
        <is>
          <t>Social Media</t>
        </is>
      </c>
      <c r="G43" s="65" t="inlineStr">
        <is>
          <t>Social postings</t>
        </is>
      </c>
      <c r="H43" s="65" t="n"/>
      <c r="I43" s="64" t="n"/>
      <c r="J43" s="64" t="n"/>
      <c r="K43" s="63" t="n"/>
      <c r="L43" s="63" t="n"/>
      <c r="M43" s="64" t="n"/>
      <c r="N43" s="66" t="n"/>
      <c r="O43" s="65" t="n"/>
      <c r="P43" s="64" t="n"/>
      <c r="Q43" s="67" t="n"/>
      <c r="R43" s="67" t="n"/>
      <c r="S43" s="68" t="str">
        <f>IF(AND(ISNUMBER($Q43),ISNUMBER($R43)),$Q43-$R43,"")</f>
        <v/>
      </c>
      <c r="T43" s="65" t="n"/>
      <c r="U43" s="64" t="n"/>
      <c r="V43" s="65" t="n"/>
      <c r="W43" s="63" t="n"/>
      <c r="X43" s="65" t="inlineStr">
        <is>
          <t>Baseline: status not provided.</t>
        </is>
      </c>
      <c r="Y43" s="63" t="n"/>
      <c r="Z43" s="64" t="n"/>
      <c r="AA43" s="64" t="n"/>
      <c r="AB43" s="65" t="n"/>
      <c r="AC43" s="69" t="str">
        <f>IF(OR($G43="",NOT(ISNUMBER($K43)),$AK43=0),"",MAX(0,ReportDate-$K43))</f>
        <v/>
      </c>
      <c r="AD43" s="69">
        <f>IF($G43="","",IF($AL43=1,ReportDate-$L43,0))</f>
        <v>0</v>
      </c>
      <c r="AE43" s="70">
        <f>IF($G43="","",IF($M43="Completed",1,IF(ISNUMBER($N43),$N43,0)))</f>
        <v>0</v>
      </c>
      <c r="AF43" s="70" t="str">
        <f>IF(AND(ISNUMBER($Q43),ISNUMBER($R43)),IF($R43&lt;&gt;0,$Q43/$R43,""),"")</f>
        <v/>
      </c>
      <c r="AG43" s="71" t="str">
        <f>IF($G43="","",IF($AL43=1,"OVERDUE",IF($AM43=1,"BLOCKED",IF($AN43=1,"DUE TODAY",IF($AO43=1,"DUE TOMORROW",IF($AQ43=1,"HIGH PRIORITY",IF($AR43=1,"NO RECENT UPDATE",""))))))) </f>
        <v>NO RECENT UPDATE</v>
      </c>
      <c r="AH43" s="71" t="str">
        <f>IF($G43="","",IF(ISNUMBER($A43),IF(ISNUMBER($A43),YEAR($A43)&amp;"-"&amp;TEXT(MONTH($A43),"00"),""),IF(ISNUMBER($L43),IF(ISNUMBER($L43),YEAR($L43)&amp;"-"&amp;TEXT(MONTH($L43),"00"),""),"")))</f>
        <v/>
      </c>
      <c r="AI43" s="71">
        <f>IF($G43="",0,IF(AND(OR(fClient="All",$C43=fClient),OR(fCampaign="All",$D43=fCampaign),OR(fTeam="All",$B43=fTeam),OR(fChannel="All",$F43=fChannel),OR(fMonth="All",$AH43=fMonth),OR(fTStatus="All",$M43=fTStatus)),1,0))</f>
        <v>1</v>
      </c>
      <c r="AJ43" s="71">
        <f>IF($G43="",0,IF(AND(OR(fClient="All",$C43=fClient),OR(fCampaign="All",$D43=fCampaign),OR(fTeam="All",$B43=fTeam),OR(fChannel="All",$F43=fChannel)),1,0))</f>
        <v>1</v>
      </c>
      <c r="AK43" s="71">
        <f>IF($G43="",0,IF(OR($M43="Completed",$M43="Cancelled"),0,1))</f>
        <v>1</v>
      </c>
      <c r="AL43" s="71">
        <f>IF(AND($AK43=1,ISNUMBER($L43)),IF($L43&lt;ReportDate,1,0),0)</f>
        <v>0</v>
      </c>
      <c r="AM43" s="71">
        <f>IF(AND($G43&lt;&gt;"",$M43="Blocked"),1,0)</f>
        <v>0</v>
      </c>
      <c r="AN43" s="71">
        <f>IF(AND($AK43=1,ISNUMBER($L43)),IF($L43=ReportDate,1,0),0)</f>
        <v>0</v>
      </c>
      <c r="AO43" s="71">
        <f>IF(AND($AK43=1,ISNUMBER($L43)),IF($L43=ReportDate+1,1,0),0)</f>
        <v>0</v>
      </c>
      <c r="AP43" s="71">
        <f>IF(AND($AK43=1,ISNUMBER($L43)),IF(AND($L43&gt;=ReportDate,$L43&lt;=ReportDate+DueSoonDays),1,0),0)</f>
        <v>0</v>
      </c>
      <c r="AQ43" s="71">
        <f>IF(AND($AK43=1,OR($I43="Critical",$I43="High")),1,0)</f>
        <v>0</v>
      </c>
      <c r="AR43" s="71">
        <f>IF($AK43=1,IF(ISNUMBER($Y43),IF(ReportDate-$Y43&gt;StaleDays,1,0),1),0)</f>
        <v>1</v>
      </c>
      <c r="AS43" s="71">
        <f>IF(AND($G43&lt;&gt;"",ISNUMBER($Q43),ISNUMBER($R43)),IF(AND($Q43&lt;$R43,OR($M43="Completed",AND(ISNUMBER($L43),$L43&lt;ReportDate))),1,0),0)</f>
        <v>0</v>
      </c>
      <c r="AT43" s="71">
        <f>IF($AK43=1,IF(OR($L43=ReportDate,$W43=ReportDate,$K43=ReportDate,$A43=ReportDate),1,0),0)</f>
        <v>0</v>
      </c>
      <c r="AU43" s="71">
        <f>IF($AK43=1,IF(OR($L43=ReportDate+1,$W43=ReportDate+1,$K43=ReportDate+1,$A43=ReportDate+1),1,0),0)</f>
        <v>0</v>
      </c>
      <c r="AV43" s="71">
        <f>IF(AND($G43&lt;&gt;"",$M43="Completed"),IF(OR($Y43=ReportDate-1,$A43=ReportDate-1),1,0),0)</f>
        <v>0</v>
      </c>
      <c r="AW43" s="71">
        <f>IF(AND($AK43=1,$Z43="Yes"),1,0)</f>
        <v>0</v>
      </c>
      <c r="AX43" s="71">
        <f>IF(AND($AK43=1,$AA43="Yes"),1,0)</f>
        <v>0</v>
      </c>
      <c r="AY43" s="71">
        <f>IF(AND($AM43=1,OR($I43="Critical",$I43="High")),1,0)</f>
        <v>0</v>
      </c>
      <c r="AZ43" s="71">
        <f>IF(AND($AK43=1,OR($C43=TCL_Client,$C43=MECCA_Client)),1,0)</f>
        <v>0</v>
      </c>
      <c r="BA43" s="71">
        <f>IF($G43="","",IFERROR(MATCH($I43,lst_Priority,0),5))</f>
        <v>5</v>
      </c>
      <c r="BB43" s="71" t="str">
        <f>IF(AND($AL43=1,$AJ43=1),$BA43*100000+ROW(),"")</f>
        <v/>
      </c>
      <c r="BC43" s="71" t="str">
        <f>IF(AND($AM43=1,$AJ43=1),$BA43*100000+ROW(),"")</f>
        <v/>
      </c>
      <c r="BD43" s="71" t="str">
        <f>IF(AND($AP43=1,$AJ43=1),$BA43*100000+ROW(),"")</f>
        <v/>
      </c>
      <c r="BE43" s="71" t="str">
        <f>IF(AND($AT43=1,$AJ43=1),$BA43*100000+ROW(),"")</f>
        <v/>
      </c>
      <c r="BF43" s="71" t="str">
        <f>IF(AND($AU43=1,$AJ43=1),$BA43*100000+ROW(),"")</f>
        <v/>
      </c>
      <c r="BG43" s="71" t="str">
        <f>IF(AND($AV43=1,$AJ43=1),$BA43*100000+ROW(),"")</f>
        <v/>
      </c>
      <c r="BH43" s="71" t="str">
        <f>IF(AND($AW43=1,$AJ43=1),$BA43*100000+ROW(),"")</f>
        <v/>
      </c>
      <c r="BI43" s="71" t="str">
        <f>IF(AND($AX43=1,$AJ43=1),$BA43*100000+ROW(),"")</f>
        <v/>
      </c>
      <c r="BJ43" s="71" t="str">
        <f>IF(AND($AS43=1,$AJ43=1),$BA43*100000+ROW(),"")</f>
        <v/>
      </c>
      <c r="BK43" s="71" t="str">
        <f>IF(AND($AY43=1,$AJ43=1),$BA43*100000+ROW(),"")</f>
        <v/>
      </c>
      <c r="BL43" s="71" t="str">
        <f>IF(AND($AZ43=1),$BA43*100000+ROW(),"")</f>
        <v/>
      </c>
    </row>
    <row r="44">
      <c r="A44" s="63" t="n"/>
      <c r="B44" s="64" t="inlineStr">
        <is>
          <t>Riya Diwan</t>
        </is>
      </c>
      <c r="C44" s="64" t="inlineStr">
        <is>
          <t>Magnasoft</t>
        </is>
      </c>
      <c r="D44" s="64" t="inlineStr">
        <is>
          <t>Magnasoft - SEO &amp; Social Media</t>
        </is>
      </c>
      <c r="E44" s="64" t="inlineStr">
        <is>
          <t>SEO</t>
        </is>
      </c>
      <c r="F44" s="64" t="inlineStr">
        <is>
          <t>SEO</t>
        </is>
      </c>
      <c r="G44" s="65" t="inlineStr">
        <is>
          <t>Off page SEO (content &amp; link building)</t>
        </is>
      </c>
      <c r="H44" s="65" t="n"/>
      <c r="I44" s="64" t="n"/>
      <c r="J44" s="64" t="n"/>
      <c r="K44" s="63" t="n"/>
      <c r="L44" s="63" t="n"/>
      <c r="M44" s="64" t="n"/>
      <c r="N44" s="66" t="n"/>
      <c r="O44" s="65" t="n"/>
      <c r="P44" s="64" t="n"/>
      <c r="Q44" s="67" t="n"/>
      <c r="R44" s="67" t="n"/>
      <c r="S44" s="68" t="str">
        <f>IF(AND(ISNUMBER($Q44),ISNUMBER($R44)),$Q44-$R44,"")</f>
        <v/>
      </c>
      <c r="T44" s="65" t="n"/>
      <c r="U44" s="64" t="n"/>
      <c r="V44" s="65" t="n"/>
      <c r="W44" s="63" t="n"/>
      <c r="X44" s="65" t="inlineStr">
        <is>
          <t>Baseline: status not provided.</t>
        </is>
      </c>
      <c r="Y44" s="63" t="n"/>
      <c r="Z44" s="64" t="n"/>
      <c r="AA44" s="64" t="n"/>
      <c r="AB44" s="65" t="n"/>
      <c r="AC44" s="69" t="str">
        <f>IF(OR($G44="",NOT(ISNUMBER($K44)),$AK44=0),"",MAX(0,ReportDate-$K44))</f>
        <v/>
      </c>
      <c r="AD44" s="69">
        <f>IF($G44="","",IF($AL44=1,ReportDate-$L44,0))</f>
        <v>0</v>
      </c>
      <c r="AE44" s="70">
        <f>IF($G44="","",IF($M44="Completed",1,IF(ISNUMBER($N44),$N44,0)))</f>
        <v>0</v>
      </c>
      <c r="AF44" s="70" t="str">
        <f>IF(AND(ISNUMBER($Q44),ISNUMBER($R44)),IF($R44&lt;&gt;0,$Q44/$R44,""),"")</f>
        <v/>
      </c>
      <c r="AG44" s="71" t="str">
        <f>IF($G44="","",IF($AL44=1,"OVERDUE",IF($AM44=1,"BLOCKED",IF($AN44=1,"DUE TODAY",IF($AO44=1,"DUE TOMORROW",IF($AQ44=1,"HIGH PRIORITY",IF($AR44=1,"NO RECENT UPDATE",""))))))) </f>
        <v>NO RECENT UPDATE</v>
      </c>
      <c r="AH44" s="71" t="str">
        <f>IF($G44="","",IF(ISNUMBER($A44),IF(ISNUMBER($A44),YEAR($A44)&amp;"-"&amp;TEXT(MONTH($A44),"00"),""),IF(ISNUMBER($L44),IF(ISNUMBER($L44),YEAR($L44)&amp;"-"&amp;TEXT(MONTH($L44),"00"),""),"")))</f>
        <v/>
      </c>
      <c r="AI44" s="71">
        <f>IF($G44="",0,IF(AND(OR(fClient="All",$C44=fClient),OR(fCampaign="All",$D44=fCampaign),OR(fTeam="All",$B44=fTeam),OR(fChannel="All",$F44=fChannel),OR(fMonth="All",$AH44=fMonth),OR(fTStatus="All",$M44=fTStatus)),1,0))</f>
        <v>1</v>
      </c>
      <c r="AJ44" s="71">
        <f>IF($G44="",0,IF(AND(OR(fClient="All",$C44=fClient),OR(fCampaign="All",$D44=fCampaign),OR(fTeam="All",$B44=fTeam),OR(fChannel="All",$F44=fChannel)),1,0))</f>
        <v>1</v>
      </c>
      <c r="AK44" s="71">
        <f>IF($G44="",0,IF(OR($M44="Completed",$M44="Cancelled"),0,1))</f>
        <v>1</v>
      </c>
      <c r="AL44" s="71">
        <f>IF(AND($AK44=1,ISNUMBER($L44)),IF($L44&lt;ReportDate,1,0),0)</f>
        <v>0</v>
      </c>
      <c r="AM44" s="71">
        <f>IF(AND($G44&lt;&gt;"",$M44="Blocked"),1,0)</f>
        <v>0</v>
      </c>
      <c r="AN44" s="71">
        <f>IF(AND($AK44=1,ISNUMBER($L44)),IF($L44=ReportDate,1,0),0)</f>
        <v>0</v>
      </c>
      <c r="AO44" s="71">
        <f>IF(AND($AK44=1,ISNUMBER($L44)),IF($L44=ReportDate+1,1,0),0)</f>
        <v>0</v>
      </c>
      <c r="AP44" s="71">
        <f>IF(AND($AK44=1,ISNUMBER($L44)),IF(AND($L44&gt;=ReportDate,$L44&lt;=ReportDate+DueSoonDays),1,0),0)</f>
        <v>0</v>
      </c>
      <c r="AQ44" s="71">
        <f>IF(AND($AK44=1,OR($I44="Critical",$I44="High")),1,0)</f>
        <v>0</v>
      </c>
      <c r="AR44" s="71">
        <f>IF($AK44=1,IF(ISNUMBER($Y44),IF(ReportDate-$Y44&gt;StaleDays,1,0),1),0)</f>
        <v>1</v>
      </c>
      <c r="AS44" s="71">
        <f>IF(AND($G44&lt;&gt;"",ISNUMBER($Q44),ISNUMBER($R44)),IF(AND($Q44&lt;$R44,OR($M44="Completed",AND(ISNUMBER($L44),$L44&lt;ReportDate))),1,0),0)</f>
        <v>0</v>
      </c>
      <c r="AT44" s="71">
        <f>IF($AK44=1,IF(OR($L44=ReportDate,$W44=ReportDate,$K44=ReportDate,$A44=ReportDate),1,0),0)</f>
        <v>0</v>
      </c>
      <c r="AU44" s="71">
        <f>IF($AK44=1,IF(OR($L44=ReportDate+1,$W44=ReportDate+1,$K44=ReportDate+1,$A44=ReportDate+1),1,0),0)</f>
        <v>0</v>
      </c>
      <c r="AV44" s="71">
        <f>IF(AND($G44&lt;&gt;"",$M44="Completed"),IF(OR($Y44=ReportDate-1,$A44=ReportDate-1),1,0),0)</f>
        <v>0</v>
      </c>
      <c r="AW44" s="71">
        <f>IF(AND($AK44=1,$Z44="Yes"),1,0)</f>
        <v>0</v>
      </c>
      <c r="AX44" s="71">
        <f>IF(AND($AK44=1,$AA44="Yes"),1,0)</f>
        <v>0</v>
      </c>
      <c r="AY44" s="71">
        <f>IF(AND($AM44=1,OR($I44="Critical",$I44="High")),1,0)</f>
        <v>0</v>
      </c>
      <c r="AZ44" s="71">
        <f>IF(AND($AK44=1,OR($C44=TCL_Client,$C44=MECCA_Client)),1,0)</f>
        <v>0</v>
      </c>
      <c r="BA44" s="71">
        <f>IF($G44="","",IFERROR(MATCH($I44,lst_Priority,0),5))</f>
        <v>5</v>
      </c>
      <c r="BB44" s="71" t="str">
        <f>IF(AND($AL44=1,$AJ44=1),$BA44*100000+ROW(),"")</f>
        <v/>
      </c>
      <c r="BC44" s="71" t="str">
        <f>IF(AND($AM44=1,$AJ44=1),$BA44*100000+ROW(),"")</f>
        <v/>
      </c>
      <c r="BD44" s="71" t="str">
        <f>IF(AND($AP44=1,$AJ44=1),$BA44*100000+ROW(),"")</f>
        <v/>
      </c>
      <c r="BE44" s="71" t="str">
        <f>IF(AND($AT44=1,$AJ44=1),$BA44*100000+ROW(),"")</f>
        <v/>
      </c>
      <c r="BF44" s="71" t="str">
        <f>IF(AND($AU44=1,$AJ44=1),$BA44*100000+ROW(),"")</f>
        <v/>
      </c>
      <c r="BG44" s="71" t="str">
        <f>IF(AND($AV44=1,$AJ44=1),$BA44*100000+ROW(),"")</f>
        <v/>
      </c>
      <c r="BH44" s="71" t="str">
        <f>IF(AND($AW44=1,$AJ44=1),$BA44*100000+ROW(),"")</f>
        <v/>
      </c>
      <c r="BI44" s="71" t="str">
        <f>IF(AND($AX44=1,$AJ44=1),$BA44*100000+ROW(),"")</f>
        <v/>
      </c>
      <c r="BJ44" s="71" t="str">
        <f>IF(AND($AS44=1,$AJ44=1),$BA44*100000+ROW(),"")</f>
        <v/>
      </c>
      <c r="BK44" s="71" t="str">
        <f>IF(AND($AY44=1,$AJ44=1),$BA44*100000+ROW(),"")</f>
        <v/>
      </c>
      <c r="BL44" s="71" t="str">
        <f>IF(AND($AZ44=1),$BA44*100000+ROW(),"")</f>
        <v/>
      </c>
    </row>
    <row r="45">
      <c r="A45" s="63" t="n"/>
      <c r="B45" s="64" t="inlineStr">
        <is>
          <t>Riya Diwan</t>
        </is>
      </c>
      <c r="C45" s="64" t="inlineStr">
        <is>
          <t>Eternelle</t>
        </is>
      </c>
      <c r="D45" s="64" t="inlineStr">
        <is>
          <t>Eternelle - SEO &amp; Blogs</t>
        </is>
      </c>
      <c r="E45" s="64" t="inlineStr">
        <is>
          <t>Content</t>
        </is>
      </c>
      <c r="F45" s="64" t="inlineStr">
        <is>
          <t>Content</t>
        </is>
      </c>
      <c r="G45" s="65" t="inlineStr">
        <is>
          <t>Blog posting</t>
        </is>
      </c>
      <c r="H45" s="65" t="n"/>
      <c r="I45" s="64" t="n"/>
      <c r="J45" s="64" t="n"/>
      <c r="K45" s="63" t="n"/>
      <c r="L45" s="63" t="n"/>
      <c r="M45" s="64" t="n"/>
      <c r="N45" s="66" t="n"/>
      <c r="O45" s="65" t="n"/>
      <c r="P45" s="64" t="inlineStr">
        <is>
          <t>Blogs per month</t>
        </is>
      </c>
      <c r="Q45" s="67" t="n"/>
      <c r="R45" s="67" t="n">
        <v>6</v>
      </c>
      <c r="S45" s="68" t="str">
        <f>IF(AND(ISNUMBER($Q45),ISNUMBER($R45)),$Q45-$R45,"")</f>
        <v/>
      </c>
      <c r="T45" s="65" t="n"/>
      <c r="U45" s="64" t="n"/>
      <c r="V45" s="65" t="n"/>
      <c r="W45" s="63" t="n"/>
      <c r="X45" s="65" t="inlineStr">
        <is>
          <t>Baseline: status not provided.</t>
        </is>
      </c>
      <c r="Y45" s="63" t="n"/>
      <c r="Z45" s="64" t="n"/>
      <c r="AA45" s="64" t="n"/>
      <c r="AB45" s="65" t="inlineStr">
        <is>
          <t>6 blogs a month</t>
        </is>
      </c>
      <c r="AC45" s="69" t="str">
        <f>IF(OR($G45="",NOT(ISNUMBER($K45)),$AK45=0),"",MAX(0,ReportDate-$K45))</f>
        <v/>
      </c>
      <c r="AD45" s="69">
        <f>IF($G45="","",IF($AL45=1,ReportDate-$L45,0))</f>
        <v>0</v>
      </c>
      <c r="AE45" s="70">
        <f>IF($G45="","",IF($M45="Completed",1,IF(ISNUMBER($N45),$N45,0)))</f>
        <v>0</v>
      </c>
      <c r="AF45" s="70" t="str">
        <f>IF(AND(ISNUMBER($Q45),ISNUMBER($R45)),IF($R45&lt;&gt;0,$Q45/$R45,""),"")</f>
        <v/>
      </c>
      <c r="AG45" s="71" t="str">
        <f>IF($G45="","",IF($AL45=1,"OVERDUE",IF($AM45=1,"BLOCKED",IF($AN45=1,"DUE TODAY",IF($AO45=1,"DUE TOMORROW",IF($AQ45=1,"HIGH PRIORITY",IF($AR45=1,"NO RECENT UPDATE",""))))))) </f>
        <v>NO RECENT UPDATE</v>
      </c>
      <c r="AH45" s="71" t="str">
        <f>IF($G45="","",IF(ISNUMBER($A45),IF(ISNUMBER($A45),YEAR($A45)&amp;"-"&amp;TEXT(MONTH($A45),"00"),""),IF(ISNUMBER($L45),IF(ISNUMBER($L45),YEAR($L45)&amp;"-"&amp;TEXT(MONTH($L45),"00"),""),"")))</f>
        <v/>
      </c>
      <c r="AI45" s="71">
        <f>IF($G45="",0,IF(AND(OR(fClient="All",$C45=fClient),OR(fCampaign="All",$D45=fCampaign),OR(fTeam="All",$B45=fTeam),OR(fChannel="All",$F45=fChannel),OR(fMonth="All",$AH45=fMonth),OR(fTStatus="All",$M45=fTStatus)),1,0))</f>
        <v>1</v>
      </c>
      <c r="AJ45" s="71">
        <f>IF($G45="",0,IF(AND(OR(fClient="All",$C45=fClient),OR(fCampaign="All",$D45=fCampaign),OR(fTeam="All",$B45=fTeam),OR(fChannel="All",$F45=fChannel)),1,0))</f>
        <v>1</v>
      </c>
      <c r="AK45" s="71">
        <f>IF($G45="",0,IF(OR($M45="Completed",$M45="Cancelled"),0,1))</f>
        <v>1</v>
      </c>
      <c r="AL45" s="71">
        <f>IF(AND($AK45=1,ISNUMBER($L45)),IF($L45&lt;ReportDate,1,0),0)</f>
        <v>0</v>
      </c>
      <c r="AM45" s="71">
        <f>IF(AND($G45&lt;&gt;"",$M45="Blocked"),1,0)</f>
        <v>0</v>
      </c>
      <c r="AN45" s="71">
        <f>IF(AND($AK45=1,ISNUMBER($L45)),IF($L45=ReportDate,1,0),0)</f>
        <v>0</v>
      </c>
      <c r="AO45" s="71">
        <f>IF(AND($AK45=1,ISNUMBER($L45)),IF($L45=ReportDate+1,1,0),0)</f>
        <v>0</v>
      </c>
      <c r="AP45" s="71">
        <f>IF(AND($AK45=1,ISNUMBER($L45)),IF(AND($L45&gt;=ReportDate,$L45&lt;=ReportDate+DueSoonDays),1,0),0)</f>
        <v>0</v>
      </c>
      <c r="AQ45" s="71">
        <f>IF(AND($AK45=1,OR($I45="Critical",$I45="High")),1,0)</f>
        <v>0</v>
      </c>
      <c r="AR45" s="71">
        <f>IF($AK45=1,IF(ISNUMBER($Y45),IF(ReportDate-$Y45&gt;StaleDays,1,0),1),0)</f>
        <v>1</v>
      </c>
      <c r="AS45" s="71">
        <f>IF(AND($G45&lt;&gt;"",ISNUMBER($Q45),ISNUMBER($R45)),IF(AND($Q45&lt;$R45,OR($M45="Completed",AND(ISNUMBER($L45),$L45&lt;ReportDate))),1,0),0)</f>
        <v>0</v>
      </c>
      <c r="AT45" s="71">
        <f>IF($AK45=1,IF(OR($L45=ReportDate,$W45=ReportDate,$K45=ReportDate,$A45=ReportDate),1,0),0)</f>
        <v>0</v>
      </c>
      <c r="AU45" s="71">
        <f>IF($AK45=1,IF(OR($L45=ReportDate+1,$W45=ReportDate+1,$K45=ReportDate+1,$A45=ReportDate+1),1,0),0)</f>
        <v>0</v>
      </c>
      <c r="AV45" s="71">
        <f>IF(AND($G45&lt;&gt;"",$M45="Completed"),IF(OR($Y45=ReportDate-1,$A45=ReportDate-1),1,0),0)</f>
        <v>0</v>
      </c>
      <c r="AW45" s="71">
        <f>IF(AND($AK45=1,$Z45="Yes"),1,0)</f>
        <v>0</v>
      </c>
      <c r="AX45" s="71">
        <f>IF(AND($AK45=1,$AA45="Yes"),1,0)</f>
        <v>0</v>
      </c>
      <c r="AY45" s="71">
        <f>IF(AND($AM45=1,OR($I45="Critical",$I45="High")),1,0)</f>
        <v>0</v>
      </c>
      <c r="AZ45" s="71">
        <f>IF(AND($AK45=1,OR($C45=TCL_Client,$C45=MECCA_Client)),1,0)</f>
        <v>0</v>
      </c>
      <c r="BA45" s="71">
        <f>IF($G45="","",IFERROR(MATCH($I45,lst_Priority,0),5))</f>
        <v>5</v>
      </c>
      <c r="BB45" s="71" t="str">
        <f>IF(AND($AL45=1,$AJ45=1),$BA45*100000+ROW(),"")</f>
        <v/>
      </c>
      <c r="BC45" s="71" t="str">
        <f>IF(AND($AM45=1,$AJ45=1),$BA45*100000+ROW(),"")</f>
        <v/>
      </c>
      <c r="BD45" s="71" t="str">
        <f>IF(AND($AP45=1,$AJ45=1),$BA45*100000+ROW(),"")</f>
        <v/>
      </c>
      <c r="BE45" s="71" t="str">
        <f>IF(AND($AT45=1,$AJ45=1),$BA45*100000+ROW(),"")</f>
        <v/>
      </c>
      <c r="BF45" s="71" t="str">
        <f>IF(AND($AU45=1,$AJ45=1),$BA45*100000+ROW(),"")</f>
        <v/>
      </c>
      <c r="BG45" s="71" t="str">
        <f>IF(AND($AV45=1,$AJ45=1),$BA45*100000+ROW(),"")</f>
        <v/>
      </c>
      <c r="BH45" s="71" t="str">
        <f>IF(AND($AW45=1,$AJ45=1),$BA45*100000+ROW(),"")</f>
        <v/>
      </c>
      <c r="BI45" s="71" t="str">
        <f>IF(AND($AX45=1,$AJ45=1),$BA45*100000+ROW(),"")</f>
        <v/>
      </c>
      <c r="BJ45" s="71" t="str">
        <f>IF(AND($AS45=1,$AJ45=1),$BA45*100000+ROW(),"")</f>
        <v/>
      </c>
      <c r="BK45" s="71" t="str">
        <f>IF(AND($AY45=1,$AJ45=1),$BA45*100000+ROW(),"")</f>
        <v/>
      </c>
      <c r="BL45" s="71" t="str">
        <f>IF(AND($AZ45=1),$BA45*100000+ROW(),"")</f>
        <v/>
      </c>
    </row>
    <row r="46">
      <c r="A46" s="63" t="n"/>
      <c r="B46" s="64" t="inlineStr">
        <is>
          <t>Riya Diwan</t>
        </is>
      </c>
      <c r="C46" s="64" t="inlineStr">
        <is>
          <t>SAP</t>
        </is>
      </c>
      <c r="D46" s="64" t="n"/>
      <c r="E46" s="64" t="inlineStr">
        <is>
          <t>Creative &amp; Design</t>
        </is>
      </c>
      <c r="F46" s="64" t="inlineStr">
        <is>
          <t>Email</t>
        </is>
      </c>
      <c r="G46" s="65" t="inlineStr">
        <is>
          <t>Help Ayush in EDM (HTML)</t>
        </is>
      </c>
      <c r="H46" s="65" t="n"/>
      <c r="I46" s="64" t="n"/>
      <c r="J46" s="64" t="n"/>
      <c r="K46" s="63" t="n"/>
      <c r="L46" s="63" t="n"/>
      <c r="M46" s="64" t="n"/>
      <c r="N46" s="66" t="n"/>
      <c r="O46" s="65" t="n"/>
      <c r="P46" s="64" t="n"/>
      <c r="Q46" s="67" t="n"/>
      <c r="R46" s="67" t="n"/>
      <c r="S46" s="68" t="str">
        <f>IF(AND(ISNUMBER($Q46),ISNUMBER($R46)),$Q46-$R46,"")</f>
        <v/>
      </c>
      <c r="T46" s="65" t="n"/>
      <c r="U46" s="64" t="n"/>
      <c r="V46" s="65" t="n"/>
      <c r="W46" s="63" t="n"/>
      <c r="X46" s="65" t="inlineStr">
        <is>
          <t>Baseline: status not provided.</t>
        </is>
      </c>
      <c r="Y46" s="63" t="n"/>
      <c r="Z46" s="64" t="n"/>
      <c r="AA46" s="64" t="n"/>
      <c r="AB46" s="65" t="inlineStr">
        <is>
          <t>Whenever needed</t>
        </is>
      </c>
      <c r="AC46" s="69" t="str">
        <f>IF(OR($G46="",NOT(ISNUMBER($K46)),$AK46=0),"",MAX(0,ReportDate-$K46))</f>
        <v/>
      </c>
      <c r="AD46" s="69">
        <f>IF($G46="","",IF($AL46=1,ReportDate-$L46,0))</f>
        <v>0</v>
      </c>
      <c r="AE46" s="70">
        <f>IF($G46="","",IF($M46="Completed",1,IF(ISNUMBER($N46),$N46,0)))</f>
        <v>0</v>
      </c>
      <c r="AF46" s="70" t="str">
        <f>IF(AND(ISNUMBER($Q46),ISNUMBER($R46)),IF($R46&lt;&gt;0,$Q46/$R46,""),"")</f>
        <v/>
      </c>
      <c r="AG46" s="71" t="str">
        <f>IF($G46="","",IF($AL46=1,"OVERDUE",IF($AM46=1,"BLOCKED",IF($AN46=1,"DUE TODAY",IF($AO46=1,"DUE TOMORROW",IF($AQ46=1,"HIGH PRIORITY",IF($AR46=1,"NO RECENT UPDATE",""))))))) </f>
        <v>NO RECENT UPDATE</v>
      </c>
      <c r="AH46" s="71" t="str">
        <f>IF($G46="","",IF(ISNUMBER($A46),IF(ISNUMBER($A46),YEAR($A46)&amp;"-"&amp;TEXT(MONTH($A46),"00"),""),IF(ISNUMBER($L46),IF(ISNUMBER($L46),YEAR($L46)&amp;"-"&amp;TEXT(MONTH($L46),"00"),""),"")))</f>
        <v/>
      </c>
      <c r="AI46" s="71">
        <f>IF($G46="",0,IF(AND(OR(fClient="All",$C46=fClient),OR(fCampaign="All",$D46=fCampaign),OR(fTeam="All",$B46=fTeam),OR(fChannel="All",$F46=fChannel),OR(fMonth="All",$AH46=fMonth),OR(fTStatus="All",$M46=fTStatus)),1,0))</f>
        <v>1</v>
      </c>
      <c r="AJ46" s="71">
        <f>IF($G46="",0,IF(AND(OR(fClient="All",$C46=fClient),OR(fCampaign="All",$D46=fCampaign),OR(fTeam="All",$B46=fTeam),OR(fChannel="All",$F46=fChannel)),1,0))</f>
        <v>1</v>
      </c>
      <c r="AK46" s="71">
        <f>IF($G46="",0,IF(OR($M46="Completed",$M46="Cancelled"),0,1))</f>
        <v>1</v>
      </c>
      <c r="AL46" s="71">
        <f>IF(AND($AK46=1,ISNUMBER($L46)),IF($L46&lt;ReportDate,1,0),0)</f>
        <v>0</v>
      </c>
      <c r="AM46" s="71">
        <f>IF(AND($G46&lt;&gt;"",$M46="Blocked"),1,0)</f>
        <v>0</v>
      </c>
      <c r="AN46" s="71">
        <f>IF(AND($AK46=1,ISNUMBER($L46)),IF($L46=ReportDate,1,0),0)</f>
        <v>0</v>
      </c>
      <c r="AO46" s="71">
        <f>IF(AND($AK46=1,ISNUMBER($L46)),IF($L46=ReportDate+1,1,0),0)</f>
        <v>0</v>
      </c>
      <c r="AP46" s="71">
        <f>IF(AND($AK46=1,ISNUMBER($L46)),IF(AND($L46&gt;=ReportDate,$L46&lt;=ReportDate+DueSoonDays),1,0),0)</f>
        <v>0</v>
      </c>
      <c r="AQ46" s="71">
        <f>IF(AND($AK46=1,OR($I46="Critical",$I46="High")),1,0)</f>
        <v>0</v>
      </c>
      <c r="AR46" s="71">
        <f>IF($AK46=1,IF(ISNUMBER($Y46),IF(ReportDate-$Y46&gt;StaleDays,1,0),1),0)</f>
        <v>1</v>
      </c>
      <c r="AS46" s="71">
        <f>IF(AND($G46&lt;&gt;"",ISNUMBER($Q46),ISNUMBER($R46)),IF(AND($Q46&lt;$R46,OR($M46="Completed",AND(ISNUMBER($L46),$L46&lt;ReportDate))),1,0),0)</f>
        <v>0</v>
      </c>
      <c r="AT46" s="71">
        <f>IF($AK46=1,IF(OR($L46=ReportDate,$W46=ReportDate,$K46=ReportDate,$A46=ReportDate),1,0),0)</f>
        <v>0</v>
      </c>
      <c r="AU46" s="71">
        <f>IF($AK46=1,IF(OR($L46=ReportDate+1,$W46=ReportDate+1,$K46=ReportDate+1,$A46=ReportDate+1),1,0),0)</f>
        <v>0</v>
      </c>
      <c r="AV46" s="71">
        <f>IF(AND($G46&lt;&gt;"",$M46="Completed"),IF(OR($Y46=ReportDate-1,$A46=ReportDate-1),1,0),0)</f>
        <v>0</v>
      </c>
      <c r="AW46" s="71">
        <f>IF(AND($AK46=1,$Z46="Yes"),1,0)</f>
        <v>0</v>
      </c>
      <c r="AX46" s="71">
        <f>IF(AND($AK46=1,$AA46="Yes"),1,0)</f>
        <v>0</v>
      </c>
      <c r="AY46" s="71">
        <f>IF(AND($AM46=1,OR($I46="Critical",$I46="High")),1,0)</f>
        <v>0</v>
      </c>
      <c r="AZ46" s="71">
        <f>IF(AND($AK46=1,OR($C46=TCL_Client,$C46=MECCA_Client)),1,0)</f>
        <v>0</v>
      </c>
      <c r="BA46" s="71">
        <f>IF($G46="","",IFERROR(MATCH($I46,lst_Priority,0),5))</f>
        <v>5</v>
      </c>
      <c r="BB46" s="71" t="str">
        <f>IF(AND($AL46=1,$AJ46=1),$BA46*100000+ROW(),"")</f>
        <v/>
      </c>
      <c r="BC46" s="71" t="str">
        <f>IF(AND($AM46=1,$AJ46=1),$BA46*100000+ROW(),"")</f>
        <v/>
      </c>
      <c r="BD46" s="71" t="str">
        <f>IF(AND($AP46=1,$AJ46=1),$BA46*100000+ROW(),"")</f>
        <v/>
      </c>
      <c r="BE46" s="71" t="str">
        <f>IF(AND($AT46=1,$AJ46=1),$BA46*100000+ROW(),"")</f>
        <v/>
      </c>
      <c r="BF46" s="71" t="str">
        <f>IF(AND($AU46=1,$AJ46=1),$BA46*100000+ROW(),"")</f>
        <v/>
      </c>
      <c r="BG46" s="71" t="str">
        <f>IF(AND($AV46=1,$AJ46=1),$BA46*100000+ROW(),"")</f>
        <v/>
      </c>
      <c r="BH46" s="71" t="str">
        <f>IF(AND($AW46=1,$AJ46=1),$BA46*100000+ROW(),"")</f>
        <v/>
      </c>
      <c r="BI46" s="71" t="str">
        <f>IF(AND($AX46=1,$AJ46=1),$BA46*100000+ROW(),"")</f>
        <v/>
      </c>
      <c r="BJ46" s="71" t="str">
        <f>IF(AND($AS46=1,$AJ46=1),$BA46*100000+ROW(),"")</f>
        <v/>
      </c>
      <c r="BK46" s="71" t="str">
        <f>IF(AND($AY46=1,$AJ46=1),$BA46*100000+ROW(),"")</f>
        <v/>
      </c>
      <c r="BL46" s="71" t="str">
        <f>IF(AND($AZ46=1),$BA46*100000+ROW(),"")</f>
        <v/>
      </c>
    </row>
    <row r="47">
      <c r="A47" s="63" t="n"/>
      <c r="B47" s="64" t="inlineStr">
        <is>
          <t>Ayush Jain</t>
        </is>
      </c>
      <c r="C47" s="64" t="inlineStr">
        <is>
          <t>Chola MS</t>
        </is>
      </c>
      <c r="D47" s="64" t="inlineStr">
        <is>
          <t>Chola MS - SEO &amp; Social Media</t>
        </is>
      </c>
      <c r="E47" s="64" t="inlineStr">
        <is>
          <t>Planning &amp; Strategy</t>
        </is>
      </c>
      <c r="F47" s="64" t="inlineStr">
        <is>
          <t>Social Media</t>
        </is>
      </c>
      <c r="G47" s="65" t="inlineStr">
        <is>
          <t>Content calendar preparation</t>
        </is>
      </c>
      <c r="H47" s="65" t="n"/>
      <c r="I47" s="64" t="n"/>
      <c r="J47" s="64" t="n"/>
      <c r="K47" s="63" t="n"/>
      <c r="L47" s="63" t="n"/>
      <c r="M47" s="64" t="n"/>
      <c r="N47" s="66" t="n"/>
      <c r="O47" s="65" t="n"/>
      <c r="P47" s="64" t="inlineStr">
        <is>
          <t>Mandate (unit not specified)</t>
        </is>
      </c>
      <c r="Q47" s="67" t="n"/>
      <c r="R47" s="67" t="n">
        <v>22</v>
      </c>
      <c r="S47" s="68" t="str">
        <f>IF(AND(ISNUMBER($Q47),ISNUMBER($R47)),$Q47-$R47,"")</f>
        <v/>
      </c>
      <c r="T47" s="65" t="n"/>
      <c r="U47" s="64" t="n"/>
      <c r="V47" s="65" t="n"/>
      <c r="W47" s="63" t="n"/>
      <c r="X47" s="65" t="inlineStr">
        <is>
          <t>Baseline: status not provided.</t>
        </is>
      </c>
      <c r="Y47" s="63" t="n"/>
      <c r="Z47" s="64" t="n"/>
      <c r="AA47" s="64" t="n"/>
      <c r="AB47" s="65" t="inlineStr">
        <is>
          <t>Mandate: 22</t>
        </is>
      </c>
      <c r="AC47" s="69" t="str">
        <f>IF(OR($G47="",NOT(ISNUMBER($K47)),$AK47=0),"",MAX(0,ReportDate-$K47))</f>
        <v/>
      </c>
      <c r="AD47" s="69">
        <f>IF($G47="","",IF($AL47=1,ReportDate-$L47,0))</f>
        <v>0</v>
      </c>
      <c r="AE47" s="70">
        <f>IF($G47="","",IF($M47="Completed",1,IF(ISNUMBER($N47),$N47,0)))</f>
        <v>0</v>
      </c>
      <c r="AF47" s="70" t="str">
        <f>IF(AND(ISNUMBER($Q47),ISNUMBER($R47)),IF($R47&lt;&gt;0,$Q47/$R47,""),"")</f>
        <v/>
      </c>
      <c r="AG47" s="71" t="str">
        <f>IF($G47="","",IF($AL47=1,"OVERDUE",IF($AM47=1,"BLOCKED",IF($AN47=1,"DUE TODAY",IF($AO47=1,"DUE TOMORROW",IF($AQ47=1,"HIGH PRIORITY",IF($AR47=1,"NO RECENT UPDATE",""))))))) </f>
        <v>NO RECENT UPDATE</v>
      </c>
      <c r="AH47" s="71" t="str">
        <f>IF($G47="","",IF(ISNUMBER($A47),IF(ISNUMBER($A47),YEAR($A47)&amp;"-"&amp;TEXT(MONTH($A47),"00"),""),IF(ISNUMBER($L47),IF(ISNUMBER($L47),YEAR($L47)&amp;"-"&amp;TEXT(MONTH($L47),"00"),""),"")))</f>
        <v/>
      </c>
      <c r="AI47" s="71">
        <f>IF($G47="",0,IF(AND(OR(fClient="All",$C47=fClient),OR(fCampaign="All",$D47=fCampaign),OR(fTeam="All",$B47=fTeam),OR(fChannel="All",$F47=fChannel),OR(fMonth="All",$AH47=fMonth),OR(fTStatus="All",$M47=fTStatus)),1,0))</f>
        <v>1</v>
      </c>
      <c r="AJ47" s="71">
        <f>IF($G47="",0,IF(AND(OR(fClient="All",$C47=fClient),OR(fCampaign="All",$D47=fCampaign),OR(fTeam="All",$B47=fTeam),OR(fChannel="All",$F47=fChannel)),1,0))</f>
        <v>1</v>
      </c>
      <c r="AK47" s="71">
        <f>IF($G47="",0,IF(OR($M47="Completed",$M47="Cancelled"),0,1))</f>
        <v>1</v>
      </c>
      <c r="AL47" s="71">
        <f>IF(AND($AK47=1,ISNUMBER($L47)),IF($L47&lt;ReportDate,1,0),0)</f>
        <v>0</v>
      </c>
      <c r="AM47" s="71">
        <f>IF(AND($G47&lt;&gt;"",$M47="Blocked"),1,0)</f>
        <v>0</v>
      </c>
      <c r="AN47" s="71">
        <f>IF(AND($AK47=1,ISNUMBER($L47)),IF($L47=ReportDate,1,0),0)</f>
        <v>0</v>
      </c>
      <c r="AO47" s="71">
        <f>IF(AND($AK47=1,ISNUMBER($L47)),IF($L47=ReportDate+1,1,0),0)</f>
        <v>0</v>
      </c>
      <c r="AP47" s="71">
        <f>IF(AND($AK47=1,ISNUMBER($L47)),IF(AND($L47&gt;=ReportDate,$L47&lt;=ReportDate+DueSoonDays),1,0),0)</f>
        <v>0</v>
      </c>
      <c r="AQ47" s="71">
        <f>IF(AND($AK47=1,OR($I47="Critical",$I47="High")),1,0)</f>
        <v>0</v>
      </c>
      <c r="AR47" s="71">
        <f>IF($AK47=1,IF(ISNUMBER($Y47),IF(ReportDate-$Y47&gt;StaleDays,1,0),1),0)</f>
        <v>1</v>
      </c>
      <c r="AS47" s="71">
        <f>IF(AND($G47&lt;&gt;"",ISNUMBER($Q47),ISNUMBER($R47)),IF(AND($Q47&lt;$R47,OR($M47="Completed",AND(ISNUMBER($L47),$L47&lt;ReportDate))),1,0),0)</f>
        <v>0</v>
      </c>
      <c r="AT47" s="71">
        <f>IF($AK47=1,IF(OR($L47=ReportDate,$W47=ReportDate,$K47=ReportDate,$A47=ReportDate),1,0),0)</f>
        <v>0</v>
      </c>
      <c r="AU47" s="71">
        <f>IF($AK47=1,IF(OR($L47=ReportDate+1,$W47=ReportDate+1,$K47=ReportDate+1,$A47=ReportDate+1),1,0),0)</f>
        <v>0</v>
      </c>
      <c r="AV47" s="71">
        <f>IF(AND($G47&lt;&gt;"",$M47="Completed"),IF(OR($Y47=ReportDate-1,$A47=ReportDate-1),1,0),0)</f>
        <v>0</v>
      </c>
      <c r="AW47" s="71">
        <f>IF(AND($AK47=1,$Z47="Yes"),1,0)</f>
        <v>0</v>
      </c>
      <c r="AX47" s="71">
        <f>IF(AND($AK47=1,$AA47="Yes"),1,0)</f>
        <v>0</v>
      </c>
      <c r="AY47" s="71">
        <f>IF(AND($AM47=1,OR($I47="Critical",$I47="High")),1,0)</f>
        <v>0</v>
      </c>
      <c r="AZ47" s="71">
        <f>IF(AND($AK47=1,OR($C47=TCL_Client,$C47=MECCA_Client)),1,0)</f>
        <v>0</v>
      </c>
      <c r="BA47" s="71">
        <f>IF($G47="","",IFERROR(MATCH($I47,lst_Priority,0),5))</f>
        <v>5</v>
      </c>
      <c r="BB47" s="71" t="str">
        <f>IF(AND($AL47=1,$AJ47=1),$BA47*100000+ROW(),"")</f>
        <v/>
      </c>
      <c r="BC47" s="71" t="str">
        <f>IF(AND($AM47=1,$AJ47=1),$BA47*100000+ROW(),"")</f>
        <v/>
      </c>
      <c r="BD47" s="71" t="str">
        <f>IF(AND($AP47=1,$AJ47=1),$BA47*100000+ROW(),"")</f>
        <v/>
      </c>
      <c r="BE47" s="71" t="str">
        <f>IF(AND($AT47=1,$AJ47=1),$BA47*100000+ROW(),"")</f>
        <v/>
      </c>
      <c r="BF47" s="71" t="str">
        <f>IF(AND($AU47=1,$AJ47=1),$BA47*100000+ROW(),"")</f>
        <v/>
      </c>
      <c r="BG47" s="71" t="str">
        <f>IF(AND($AV47=1,$AJ47=1),$BA47*100000+ROW(),"")</f>
        <v/>
      </c>
      <c r="BH47" s="71" t="str">
        <f>IF(AND($AW47=1,$AJ47=1),$BA47*100000+ROW(),"")</f>
        <v/>
      </c>
      <c r="BI47" s="71" t="str">
        <f>IF(AND($AX47=1,$AJ47=1),$BA47*100000+ROW(),"")</f>
        <v/>
      </c>
      <c r="BJ47" s="71" t="str">
        <f>IF(AND($AS47=1,$AJ47=1),$BA47*100000+ROW(),"")</f>
        <v/>
      </c>
      <c r="BK47" s="71" t="str">
        <f>IF(AND($AY47=1,$AJ47=1),$BA47*100000+ROW(),"")</f>
        <v/>
      </c>
      <c r="BL47" s="71" t="str">
        <f>IF(AND($AZ47=1),$BA47*100000+ROW(),"")</f>
        <v/>
      </c>
    </row>
    <row r="48">
      <c r="A48" s="63" t="n"/>
      <c r="B48" s="64" t="inlineStr">
        <is>
          <t>Ayush Jain</t>
        </is>
      </c>
      <c r="C48" s="64" t="inlineStr">
        <is>
          <t>Chola MS</t>
        </is>
      </c>
      <c r="D48" s="64" t="inlineStr">
        <is>
          <t>Chola MS - SEO &amp; Social Media</t>
        </is>
      </c>
      <c r="E48" s="64" t="inlineStr">
        <is>
          <t>Content</t>
        </is>
      </c>
      <c r="F48" s="64" t="inlineStr">
        <is>
          <t>SEO</t>
        </is>
      </c>
      <c r="G48" s="65" t="inlineStr">
        <is>
          <t>Off page &amp; on page content research</t>
        </is>
      </c>
      <c r="H48" s="65" t="n"/>
      <c r="I48" s="64" t="n"/>
      <c r="J48" s="64" t="n"/>
      <c r="K48" s="63" t="n"/>
      <c r="L48" s="63" t="n"/>
      <c r="M48" s="64" t="n"/>
      <c r="N48" s="66" t="n"/>
      <c r="O48" s="65" t="n"/>
      <c r="P48" s="64" t="inlineStr">
        <is>
          <t>Mandate (unit not specified)</t>
        </is>
      </c>
      <c r="Q48" s="67" t="n"/>
      <c r="R48" s="67" t="n">
        <v>8</v>
      </c>
      <c r="S48" s="68" t="str">
        <f>IF(AND(ISNUMBER($Q48),ISNUMBER($R48)),$Q48-$R48,"")</f>
        <v/>
      </c>
      <c r="T48" s="65" t="n"/>
      <c r="U48" s="64" t="n"/>
      <c r="V48" s="65" t="n"/>
      <c r="W48" s="63" t="n"/>
      <c r="X48" s="65" t="inlineStr">
        <is>
          <t>Baseline: status not provided.</t>
        </is>
      </c>
      <c r="Y48" s="63" t="n"/>
      <c r="Z48" s="64" t="n"/>
      <c r="AA48" s="64" t="n"/>
      <c r="AB48" s="65" t="inlineStr">
        <is>
          <t>Mandate: 8</t>
        </is>
      </c>
      <c r="AC48" s="69" t="str">
        <f>IF(OR($G48="",NOT(ISNUMBER($K48)),$AK48=0),"",MAX(0,ReportDate-$K48))</f>
        <v/>
      </c>
      <c r="AD48" s="69">
        <f>IF($G48="","",IF($AL48=1,ReportDate-$L48,0))</f>
        <v>0</v>
      </c>
      <c r="AE48" s="70">
        <f>IF($G48="","",IF($M48="Completed",1,IF(ISNUMBER($N48),$N48,0)))</f>
        <v>0</v>
      </c>
      <c r="AF48" s="70" t="str">
        <f>IF(AND(ISNUMBER($Q48),ISNUMBER($R48)),IF($R48&lt;&gt;0,$Q48/$R48,""),"")</f>
        <v/>
      </c>
      <c r="AG48" s="71" t="str">
        <f>IF($G48="","",IF($AL48=1,"OVERDUE",IF($AM48=1,"BLOCKED",IF($AN48=1,"DUE TODAY",IF($AO48=1,"DUE TOMORROW",IF($AQ48=1,"HIGH PRIORITY",IF($AR48=1,"NO RECENT UPDATE",""))))))) </f>
        <v>NO RECENT UPDATE</v>
      </c>
      <c r="AH48" s="71" t="str">
        <f>IF($G48="","",IF(ISNUMBER($A48),IF(ISNUMBER($A48),YEAR($A48)&amp;"-"&amp;TEXT(MONTH($A48),"00"),""),IF(ISNUMBER($L48),IF(ISNUMBER($L48),YEAR($L48)&amp;"-"&amp;TEXT(MONTH($L48),"00"),""),"")))</f>
        <v/>
      </c>
      <c r="AI48" s="71">
        <f>IF($G48="",0,IF(AND(OR(fClient="All",$C48=fClient),OR(fCampaign="All",$D48=fCampaign),OR(fTeam="All",$B48=fTeam),OR(fChannel="All",$F48=fChannel),OR(fMonth="All",$AH48=fMonth),OR(fTStatus="All",$M48=fTStatus)),1,0))</f>
        <v>1</v>
      </c>
      <c r="AJ48" s="71">
        <f>IF($G48="",0,IF(AND(OR(fClient="All",$C48=fClient),OR(fCampaign="All",$D48=fCampaign),OR(fTeam="All",$B48=fTeam),OR(fChannel="All",$F48=fChannel)),1,0))</f>
        <v>1</v>
      </c>
      <c r="AK48" s="71">
        <f>IF($G48="",0,IF(OR($M48="Completed",$M48="Cancelled"),0,1))</f>
        <v>1</v>
      </c>
      <c r="AL48" s="71">
        <f>IF(AND($AK48=1,ISNUMBER($L48)),IF($L48&lt;ReportDate,1,0),0)</f>
        <v>0</v>
      </c>
      <c r="AM48" s="71">
        <f>IF(AND($G48&lt;&gt;"",$M48="Blocked"),1,0)</f>
        <v>0</v>
      </c>
      <c r="AN48" s="71">
        <f>IF(AND($AK48=1,ISNUMBER($L48)),IF($L48=ReportDate,1,0),0)</f>
        <v>0</v>
      </c>
      <c r="AO48" s="71">
        <f>IF(AND($AK48=1,ISNUMBER($L48)),IF($L48=ReportDate+1,1,0),0)</f>
        <v>0</v>
      </c>
      <c r="AP48" s="71">
        <f>IF(AND($AK48=1,ISNUMBER($L48)),IF(AND($L48&gt;=ReportDate,$L48&lt;=ReportDate+DueSoonDays),1,0),0)</f>
        <v>0</v>
      </c>
      <c r="AQ48" s="71">
        <f>IF(AND($AK48=1,OR($I48="Critical",$I48="High")),1,0)</f>
        <v>0</v>
      </c>
      <c r="AR48" s="71">
        <f>IF($AK48=1,IF(ISNUMBER($Y48),IF(ReportDate-$Y48&gt;StaleDays,1,0),1),0)</f>
        <v>1</v>
      </c>
      <c r="AS48" s="71">
        <f>IF(AND($G48&lt;&gt;"",ISNUMBER($Q48),ISNUMBER($R48)),IF(AND($Q48&lt;$R48,OR($M48="Completed",AND(ISNUMBER($L48),$L48&lt;ReportDate))),1,0),0)</f>
        <v>0</v>
      </c>
      <c r="AT48" s="71">
        <f>IF($AK48=1,IF(OR($L48=ReportDate,$W48=ReportDate,$K48=ReportDate,$A48=ReportDate),1,0),0)</f>
        <v>0</v>
      </c>
      <c r="AU48" s="71">
        <f>IF($AK48=1,IF(OR($L48=ReportDate+1,$W48=ReportDate+1,$K48=ReportDate+1,$A48=ReportDate+1),1,0),0)</f>
        <v>0</v>
      </c>
      <c r="AV48" s="71">
        <f>IF(AND($G48&lt;&gt;"",$M48="Completed"),IF(OR($Y48=ReportDate-1,$A48=ReportDate-1),1,0),0)</f>
        <v>0</v>
      </c>
      <c r="AW48" s="71">
        <f>IF(AND($AK48=1,$Z48="Yes"),1,0)</f>
        <v>0</v>
      </c>
      <c r="AX48" s="71">
        <f>IF(AND($AK48=1,$AA48="Yes"),1,0)</f>
        <v>0</v>
      </c>
      <c r="AY48" s="71">
        <f>IF(AND($AM48=1,OR($I48="Critical",$I48="High")),1,0)</f>
        <v>0</v>
      </c>
      <c r="AZ48" s="71">
        <f>IF(AND($AK48=1,OR($C48=TCL_Client,$C48=MECCA_Client)),1,0)</f>
        <v>0</v>
      </c>
      <c r="BA48" s="71">
        <f>IF($G48="","",IFERROR(MATCH($I48,lst_Priority,0),5))</f>
        <v>5</v>
      </c>
      <c r="BB48" s="71" t="str">
        <f>IF(AND($AL48=1,$AJ48=1),$BA48*100000+ROW(),"")</f>
        <v/>
      </c>
      <c r="BC48" s="71" t="str">
        <f>IF(AND($AM48=1,$AJ48=1),$BA48*100000+ROW(),"")</f>
        <v/>
      </c>
      <c r="BD48" s="71" t="str">
        <f>IF(AND($AP48=1,$AJ48=1),$BA48*100000+ROW(),"")</f>
        <v/>
      </c>
      <c r="BE48" s="71" t="str">
        <f>IF(AND($AT48=1,$AJ48=1),$BA48*100000+ROW(),"")</f>
        <v/>
      </c>
      <c r="BF48" s="71" t="str">
        <f>IF(AND($AU48=1,$AJ48=1),$BA48*100000+ROW(),"")</f>
        <v/>
      </c>
      <c r="BG48" s="71" t="str">
        <f>IF(AND($AV48=1,$AJ48=1),$BA48*100000+ROW(),"")</f>
        <v/>
      </c>
      <c r="BH48" s="71" t="str">
        <f>IF(AND($AW48=1,$AJ48=1),$BA48*100000+ROW(),"")</f>
        <v/>
      </c>
      <c r="BI48" s="71" t="str">
        <f>IF(AND($AX48=1,$AJ48=1),$BA48*100000+ROW(),"")</f>
        <v/>
      </c>
      <c r="BJ48" s="71" t="str">
        <f>IF(AND($AS48=1,$AJ48=1),$BA48*100000+ROW(),"")</f>
        <v/>
      </c>
      <c r="BK48" s="71" t="str">
        <f>IF(AND($AY48=1,$AJ48=1),$BA48*100000+ROW(),"")</f>
        <v/>
      </c>
      <c r="BL48" s="71" t="str">
        <f>IF(AND($AZ48=1),$BA48*100000+ROW(),"")</f>
        <v/>
      </c>
    </row>
    <row r="49">
      <c r="A49" s="63" t="n"/>
      <c r="B49" s="64" t="inlineStr">
        <is>
          <t>Ayush Jain</t>
        </is>
      </c>
      <c r="C49" s="64" t="inlineStr">
        <is>
          <t>Vestrics</t>
        </is>
      </c>
      <c r="D49" s="64" t="n"/>
      <c r="E49" s="64" t="inlineStr">
        <is>
          <t>Client Coordination</t>
        </is>
      </c>
      <c r="F49" s="64" t="inlineStr">
        <is>
          <t>Internal / Coordination</t>
        </is>
      </c>
      <c r="G49" s="65" t="inlineStr">
        <is>
          <t>Client co-ordination</t>
        </is>
      </c>
      <c r="H49" s="65" t="n"/>
      <c r="I49" s="64" t="n"/>
      <c r="J49" s="64" t="n"/>
      <c r="K49" s="63" t="n"/>
      <c r="L49" s="63" t="n"/>
      <c r="M49" s="64" t="n"/>
      <c r="N49" s="66" t="n"/>
      <c r="O49" s="65" t="n"/>
      <c r="P49" s="64" t="n"/>
      <c r="Q49" s="67" t="n"/>
      <c r="R49" s="67" t="n"/>
      <c r="S49" s="68" t="str">
        <f>IF(AND(ISNUMBER($Q49),ISNUMBER($R49)),$Q49-$R49,"")</f>
        <v/>
      </c>
      <c r="T49" s="65" t="n"/>
      <c r="U49" s="64" t="n"/>
      <c r="V49" s="65" t="n"/>
      <c r="W49" s="63" t="n"/>
      <c r="X49" s="65" t="inlineStr">
        <is>
          <t>Baseline: status not provided.</t>
        </is>
      </c>
      <c r="Y49" s="63" t="n"/>
      <c r="Z49" s="64" t="n"/>
      <c r="AA49" s="64" t="n"/>
      <c r="AB49" s="65" t="n"/>
      <c r="AC49" s="69" t="str">
        <f>IF(OR($G49="",NOT(ISNUMBER($K49)),$AK49=0),"",MAX(0,ReportDate-$K49))</f>
        <v/>
      </c>
      <c r="AD49" s="69">
        <f>IF($G49="","",IF($AL49=1,ReportDate-$L49,0))</f>
        <v>0</v>
      </c>
      <c r="AE49" s="70">
        <f>IF($G49="","",IF($M49="Completed",1,IF(ISNUMBER($N49),$N49,0)))</f>
        <v>0</v>
      </c>
      <c r="AF49" s="70" t="str">
        <f>IF(AND(ISNUMBER($Q49),ISNUMBER($R49)),IF($R49&lt;&gt;0,$Q49/$R49,""),"")</f>
        <v/>
      </c>
      <c r="AG49" s="71" t="str">
        <f>IF($G49="","",IF($AL49=1,"OVERDUE",IF($AM49=1,"BLOCKED",IF($AN49=1,"DUE TODAY",IF($AO49=1,"DUE TOMORROW",IF($AQ49=1,"HIGH PRIORITY",IF($AR49=1,"NO RECENT UPDATE",""))))))) </f>
        <v>NO RECENT UPDATE</v>
      </c>
      <c r="AH49" s="71" t="str">
        <f>IF($G49="","",IF(ISNUMBER($A49),IF(ISNUMBER($A49),YEAR($A49)&amp;"-"&amp;TEXT(MONTH($A49),"00"),""),IF(ISNUMBER($L49),IF(ISNUMBER($L49),YEAR($L49)&amp;"-"&amp;TEXT(MONTH($L49),"00"),""),"")))</f>
        <v/>
      </c>
      <c r="AI49" s="71">
        <f>IF($G49="",0,IF(AND(OR(fClient="All",$C49=fClient),OR(fCampaign="All",$D49=fCampaign),OR(fTeam="All",$B49=fTeam),OR(fChannel="All",$F49=fChannel),OR(fMonth="All",$AH49=fMonth),OR(fTStatus="All",$M49=fTStatus)),1,0))</f>
        <v>1</v>
      </c>
      <c r="AJ49" s="71">
        <f>IF($G49="",0,IF(AND(OR(fClient="All",$C49=fClient),OR(fCampaign="All",$D49=fCampaign),OR(fTeam="All",$B49=fTeam),OR(fChannel="All",$F49=fChannel)),1,0))</f>
        <v>1</v>
      </c>
      <c r="AK49" s="71">
        <f>IF($G49="",0,IF(OR($M49="Completed",$M49="Cancelled"),0,1))</f>
        <v>1</v>
      </c>
      <c r="AL49" s="71">
        <f>IF(AND($AK49=1,ISNUMBER($L49)),IF($L49&lt;ReportDate,1,0),0)</f>
        <v>0</v>
      </c>
      <c r="AM49" s="71">
        <f>IF(AND($G49&lt;&gt;"",$M49="Blocked"),1,0)</f>
        <v>0</v>
      </c>
      <c r="AN49" s="71">
        <f>IF(AND($AK49=1,ISNUMBER($L49)),IF($L49=ReportDate,1,0),0)</f>
        <v>0</v>
      </c>
      <c r="AO49" s="71">
        <f>IF(AND($AK49=1,ISNUMBER($L49)),IF($L49=ReportDate+1,1,0),0)</f>
        <v>0</v>
      </c>
      <c r="AP49" s="71">
        <f>IF(AND($AK49=1,ISNUMBER($L49)),IF(AND($L49&gt;=ReportDate,$L49&lt;=ReportDate+DueSoonDays),1,0),0)</f>
        <v>0</v>
      </c>
      <c r="AQ49" s="71">
        <f>IF(AND($AK49=1,OR($I49="Critical",$I49="High")),1,0)</f>
        <v>0</v>
      </c>
      <c r="AR49" s="71">
        <f>IF($AK49=1,IF(ISNUMBER($Y49),IF(ReportDate-$Y49&gt;StaleDays,1,0),1),0)</f>
        <v>1</v>
      </c>
      <c r="AS49" s="71">
        <f>IF(AND($G49&lt;&gt;"",ISNUMBER($Q49),ISNUMBER($R49)),IF(AND($Q49&lt;$R49,OR($M49="Completed",AND(ISNUMBER($L49),$L49&lt;ReportDate))),1,0),0)</f>
        <v>0</v>
      </c>
      <c r="AT49" s="71">
        <f>IF($AK49=1,IF(OR($L49=ReportDate,$W49=ReportDate,$K49=ReportDate,$A49=ReportDate),1,0),0)</f>
        <v>0</v>
      </c>
      <c r="AU49" s="71">
        <f>IF($AK49=1,IF(OR($L49=ReportDate+1,$W49=ReportDate+1,$K49=ReportDate+1,$A49=ReportDate+1),1,0),0)</f>
        <v>0</v>
      </c>
      <c r="AV49" s="71">
        <f>IF(AND($G49&lt;&gt;"",$M49="Completed"),IF(OR($Y49=ReportDate-1,$A49=ReportDate-1),1,0),0)</f>
        <v>0</v>
      </c>
      <c r="AW49" s="71">
        <f>IF(AND($AK49=1,$Z49="Yes"),1,0)</f>
        <v>0</v>
      </c>
      <c r="AX49" s="71">
        <f>IF(AND($AK49=1,$AA49="Yes"),1,0)</f>
        <v>0</v>
      </c>
      <c r="AY49" s="71">
        <f>IF(AND($AM49=1,OR($I49="Critical",$I49="High")),1,0)</f>
        <v>0</v>
      </c>
      <c r="AZ49" s="71">
        <f>IF(AND($AK49=1,OR($C49=TCL_Client,$C49=MECCA_Client)),1,0)</f>
        <v>0</v>
      </c>
      <c r="BA49" s="71">
        <f>IF($G49="","",IFERROR(MATCH($I49,lst_Priority,0),5))</f>
        <v>5</v>
      </c>
      <c r="BB49" s="71" t="str">
        <f>IF(AND($AL49=1,$AJ49=1),$BA49*100000+ROW(),"")</f>
        <v/>
      </c>
      <c r="BC49" s="71" t="str">
        <f>IF(AND($AM49=1,$AJ49=1),$BA49*100000+ROW(),"")</f>
        <v/>
      </c>
      <c r="BD49" s="71" t="str">
        <f>IF(AND($AP49=1,$AJ49=1),$BA49*100000+ROW(),"")</f>
        <v/>
      </c>
      <c r="BE49" s="71" t="str">
        <f>IF(AND($AT49=1,$AJ49=1),$BA49*100000+ROW(),"")</f>
        <v/>
      </c>
      <c r="BF49" s="71" t="str">
        <f>IF(AND($AU49=1,$AJ49=1),$BA49*100000+ROW(),"")</f>
        <v/>
      </c>
      <c r="BG49" s="71" t="str">
        <f>IF(AND($AV49=1,$AJ49=1),$BA49*100000+ROW(),"")</f>
        <v/>
      </c>
      <c r="BH49" s="71" t="str">
        <f>IF(AND($AW49=1,$AJ49=1),$BA49*100000+ROW(),"")</f>
        <v/>
      </c>
      <c r="BI49" s="71" t="str">
        <f>IF(AND($AX49=1,$AJ49=1),$BA49*100000+ROW(),"")</f>
        <v/>
      </c>
      <c r="BJ49" s="71" t="str">
        <f>IF(AND($AS49=1,$AJ49=1),$BA49*100000+ROW(),"")</f>
        <v/>
      </c>
      <c r="BK49" s="71" t="str">
        <f>IF(AND($AY49=1,$AJ49=1),$BA49*100000+ROW(),"")</f>
        <v/>
      </c>
      <c r="BL49" s="71" t="str">
        <f>IF(AND($AZ49=1),$BA49*100000+ROW(),"")</f>
        <v/>
      </c>
    </row>
    <row r="50">
      <c r="A50" s="63" t="n"/>
      <c r="B50" s="64" t="inlineStr">
        <is>
          <t>Ayush Jain</t>
        </is>
      </c>
      <c r="C50" s="64" t="inlineStr">
        <is>
          <t>Vestrics</t>
        </is>
      </c>
      <c r="D50" s="64" t="inlineStr">
        <is>
          <t>Vestrics - Google Ads</t>
        </is>
      </c>
      <c r="E50" s="64" t="inlineStr">
        <is>
          <t>Paid Media</t>
        </is>
      </c>
      <c r="F50" s="64" t="inlineStr">
        <is>
          <t>Google Ads</t>
        </is>
      </c>
      <c r="G50" s="65" t="inlineStr">
        <is>
          <t>Helping Richi in running ads</t>
        </is>
      </c>
      <c r="H50" s="65" t="n"/>
      <c r="I50" s="64" t="n"/>
      <c r="J50" s="64" t="n"/>
      <c r="K50" s="63" t="n"/>
      <c r="L50" s="63" t="n"/>
      <c r="M50" s="64" t="n"/>
      <c r="N50" s="66" t="n"/>
      <c r="O50" s="65" t="n"/>
      <c r="P50" s="64" t="n"/>
      <c r="Q50" s="67" t="n"/>
      <c r="R50" s="67" t="n"/>
      <c r="S50" s="68" t="str">
        <f>IF(AND(ISNUMBER($Q50),ISNUMBER($R50)),$Q50-$R50,"")</f>
        <v/>
      </c>
      <c r="T50" s="65" t="n"/>
      <c r="U50" s="64" t="n"/>
      <c r="V50" s="65" t="n"/>
      <c r="W50" s="63" t="n"/>
      <c r="X50" s="65" t="inlineStr">
        <is>
          <t>Baseline: status not provided.</t>
        </is>
      </c>
      <c r="Y50" s="63" t="n"/>
      <c r="Z50" s="64" t="n"/>
      <c r="AA50" s="64" t="n"/>
      <c r="AB50" s="65" t="n"/>
      <c r="AC50" s="69" t="str">
        <f>IF(OR($G50="",NOT(ISNUMBER($K50)),$AK50=0),"",MAX(0,ReportDate-$K50))</f>
        <v/>
      </c>
      <c r="AD50" s="69">
        <f>IF($G50="","",IF($AL50=1,ReportDate-$L50,0))</f>
        <v>0</v>
      </c>
      <c r="AE50" s="70">
        <f>IF($G50="","",IF($M50="Completed",1,IF(ISNUMBER($N50),$N50,0)))</f>
        <v>0</v>
      </c>
      <c r="AF50" s="70" t="str">
        <f>IF(AND(ISNUMBER($Q50),ISNUMBER($R50)),IF($R50&lt;&gt;0,$Q50/$R50,""),"")</f>
        <v/>
      </c>
      <c r="AG50" s="71" t="str">
        <f>IF($G50="","",IF($AL50=1,"OVERDUE",IF($AM50=1,"BLOCKED",IF($AN50=1,"DUE TODAY",IF($AO50=1,"DUE TOMORROW",IF($AQ50=1,"HIGH PRIORITY",IF($AR50=1,"NO RECENT UPDATE",""))))))) </f>
        <v>NO RECENT UPDATE</v>
      </c>
      <c r="AH50" s="71" t="str">
        <f>IF($G50="","",IF(ISNUMBER($A50),IF(ISNUMBER($A50),YEAR($A50)&amp;"-"&amp;TEXT(MONTH($A50),"00"),""),IF(ISNUMBER($L50),IF(ISNUMBER($L50),YEAR($L50)&amp;"-"&amp;TEXT(MONTH($L50),"00"),""),"")))</f>
        <v/>
      </c>
      <c r="AI50" s="71">
        <f>IF($G50="",0,IF(AND(OR(fClient="All",$C50=fClient),OR(fCampaign="All",$D50=fCampaign),OR(fTeam="All",$B50=fTeam),OR(fChannel="All",$F50=fChannel),OR(fMonth="All",$AH50=fMonth),OR(fTStatus="All",$M50=fTStatus)),1,0))</f>
        <v>1</v>
      </c>
      <c r="AJ50" s="71">
        <f>IF($G50="",0,IF(AND(OR(fClient="All",$C50=fClient),OR(fCampaign="All",$D50=fCampaign),OR(fTeam="All",$B50=fTeam),OR(fChannel="All",$F50=fChannel)),1,0))</f>
        <v>1</v>
      </c>
      <c r="AK50" s="71">
        <f>IF($G50="",0,IF(OR($M50="Completed",$M50="Cancelled"),0,1))</f>
        <v>1</v>
      </c>
      <c r="AL50" s="71">
        <f>IF(AND($AK50=1,ISNUMBER($L50)),IF($L50&lt;ReportDate,1,0),0)</f>
        <v>0</v>
      </c>
      <c r="AM50" s="71">
        <f>IF(AND($G50&lt;&gt;"",$M50="Blocked"),1,0)</f>
        <v>0</v>
      </c>
      <c r="AN50" s="71">
        <f>IF(AND($AK50=1,ISNUMBER($L50)),IF($L50=ReportDate,1,0),0)</f>
        <v>0</v>
      </c>
      <c r="AO50" s="71">
        <f>IF(AND($AK50=1,ISNUMBER($L50)),IF($L50=ReportDate+1,1,0),0)</f>
        <v>0</v>
      </c>
      <c r="AP50" s="71">
        <f>IF(AND($AK50=1,ISNUMBER($L50)),IF(AND($L50&gt;=ReportDate,$L50&lt;=ReportDate+DueSoonDays),1,0),0)</f>
        <v>0</v>
      </c>
      <c r="AQ50" s="71">
        <f>IF(AND($AK50=1,OR($I50="Critical",$I50="High")),1,0)</f>
        <v>0</v>
      </c>
      <c r="AR50" s="71">
        <f>IF($AK50=1,IF(ISNUMBER($Y50),IF(ReportDate-$Y50&gt;StaleDays,1,0),1),0)</f>
        <v>1</v>
      </c>
      <c r="AS50" s="71">
        <f>IF(AND($G50&lt;&gt;"",ISNUMBER($Q50),ISNUMBER($R50)),IF(AND($Q50&lt;$R50,OR($M50="Completed",AND(ISNUMBER($L50),$L50&lt;ReportDate))),1,0),0)</f>
        <v>0</v>
      </c>
      <c r="AT50" s="71">
        <f>IF($AK50=1,IF(OR($L50=ReportDate,$W50=ReportDate,$K50=ReportDate,$A50=ReportDate),1,0),0)</f>
        <v>0</v>
      </c>
      <c r="AU50" s="71">
        <f>IF($AK50=1,IF(OR($L50=ReportDate+1,$W50=ReportDate+1,$K50=ReportDate+1,$A50=ReportDate+1),1,0),0)</f>
        <v>0</v>
      </c>
      <c r="AV50" s="71">
        <f>IF(AND($G50&lt;&gt;"",$M50="Completed"),IF(OR($Y50=ReportDate-1,$A50=ReportDate-1),1,0),0)</f>
        <v>0</v>
      </c>
      <c r="AW50" s="71">
        <f>IF(AND($AK50=1,$Z50="Yes"),1,0)</f>
        <v>0</v>
      </c>
      <c r="AX50" s="71">
        <f>IF(AND($AK50=1,$AA50="Yes"),1,0)</f>
        <v>0</v>
      </c>
      <c r="AY50" s="71">
        <f>IF(AND($AM50=1,OR($I50="Critical",$I50="High")),1,0)</f>
        <v>0</v>
      </c>
      <c r="AZ50" s="71">
        <f>IF(AND($AK50=1,OR($C50=TCL_Client,$C50=MECCA_Client)),1,0)</f>
        <v>0</v>
      </c>
      <c r="BA50" s="71">
        <f>IF($G50="","",IFERROR(MATCH($I50,lst_Priority,0),5))</f>
        <v>5</v>
      </c>
      <c r="BB50" s="71" t="str">
        <f>IF(AND($AL50=1,$AJ50=1),$BA50*100000+ROW(),"")</f>
        <v/>
      </c>
      <c r="BC50" s="71" t="str">
        <f>IF(AND($AM50=1,$AJ50=1),$BA50*100000+ROW(),"")</f>
        <v/>
      </c>
      <c r="BD50" s="71" t="str">
        <f>IF(AND($AP50=1,$AJ50=1),$BA50*100000+ROW(),"")</f>
        <v/>
      </c>
      <c r="BE50" s="71" t="str">
        <f>IF(AND($AT50=1,$AJ50=1),$BA50*100000+ROW(),"")</f>
        <v/>
      </c>
      <c r="BF50" s="71" t="str">
        <f>IF(AND($AU50=1,$AJ50=1),$BA50*100000+ROW(),"")</f>
        <v/>
      </c>
      <c r="BG50" s="71" t="str">
        <f>IF(AND($AV50=1,$AJ50=1),$BA50*100000+ROW(),"")</f>
        <v/>
      </c>
      <c r="BH50" s="71" t="str">
        <f>IF(AND($AW50=1,$AJ50=1),$BA50*100000+ROW(),"")</f>
        <v/>
      </c>
      <c r="BI50" s="71" t="str">
        <f>IF(AND($AX50=1,$AJ50=1),$BA50*100000+ROW(),"")</f>
        <v/>
      </c>
      <c r="BJ50" s="71" t="str">
        <f>IF(AND($AS50=1,$AJ50=1),$BA50*100000+ROW(),"")</f>
        <v/>
      </c>
      <c r="BK50" s="71" t="str">
        <f>IF(AND($AY50=1,$AJ50=1),$BA50*100000+ROW(),"")</f>
        <v/>
      </c>
      <c r="BL50" s="71" t="str">
        <f>IF(AND($AZ50=1),$BA50*100000+ROW(),"")</f>
        <v/>
      </c>
    </row>
    <row r="51">
      <c r="A51" s="63" t="n"/>
      <c r="B51" s="64" t="inlineStr">
        <is>
          <t>Ayush Jain</t>
        </is>
      </c>
      <c r="C51" s="64" t="inlineStr">
        <is>
          <t>Vestrics</t>
        </is>
      </c>
      <c r="D51" s="64" t="inlineStr">
        <is>
          <t>Vestrics - SEO &amp; Social Media</t>
        </is>
      </c>
      <c r="E51" s="64" t="inlineStr">
        <is>
          <t>Planning &amp; Strategy</t>
        </is>
      </c>
      <c r="F51" s="64" t="inlineStr">
        <is>
          <t>Social Media</t>
        </is>
      </c>
      <c r="G51" s="65" t="inlineStr">
        <is>
          <t>Social media calendar preparation</t>
        </is>
      </c>
      <c r="H51" s="65" t="n"/>
      <c r="I51" s="64" t="n"/>
      <c r="J51" s="64" t="n"/>
      <c r="K51" s="63" t="n"/>
      <c r="L51" s="63" t="n"/>
      <c r="M51" s="64" t="n"/>
      <c r="N51" s="66" t="n"/>
      <c r="O51" s="65" t="n"/>
      <c r="P51" s="64" t="n"/>
      <c r="Q51" s="67" t="n"/>
      <c r="R51" s="67" t="n"/>
      <c r="S51" s="68" t="str">
        <f>IF(AND(ISNUMBER($Q51),ISNUMBER($R51)),$Q51-$R51,"")</f>
        <v/>
      </c>
      <c r="T51" s="65" t="n"/>
      <c r="U51" s="64" t="n"/>
      <c r="V51" s="65" t="n"/>
      <c r="W51" s="63" t="n"/>
      <c r="X51" s="65" t="inlineStr">
        <is>
          <t>Baseline: status not provided.</t>
        </is>
      </c>
      <c r="Y51" s="63" t="n"/>
      <c r="Z51" s="64" t="n"/>
      <c r="AA51" s="64" t="n"/>
      <c r="AB51" s="65" t="inlineStr">
        <is>
          <t>Mandate: 10-12</t>
        </is>
      </c>
      <c r="AC51" s="69" t="str">
        <f>IF(OR($G51="",NOT(ISNUMBER($K51)),$AK51=0),"",MAX(0,ReportDate-$K51))</f>
        <v/>
      </c>
      <c r="AD51" s="69">
        <f>IF($G51="","",IF($AL51=1,ReportDate-$L51,0))</f>
        <v>0</v>
      </c>
      <c r="AE51" s="70">
        <f>IF($G51="","",IF($M51="Completed",1,IF(ISNUMBER($N51),$N51,0)))</f>
        <v>0</v>
      </c>
      <c r="AF51" s="70" t="str">
        <f>IF(AND(ISNUMBER($Q51),ISNUMBER($R51)),IF($R51&lt;&gt;0,$Q51/$R51,""),"")</f>
        <v/>
      </c>
      <c r="AG51" s="71" t="str">
        <f>IF($G51="","",IF($AL51=1,"OVERDUE",IF($AM51=1,"BLOCKED",IF($AN51=1,"DUE TODAY",IF($AO51=1,"DUE TOMORROW",IF($AQ51=1,"HIGH PRIORITY",IF($AR51=1,"NO RECENT UPDATE",""))))))) </f>
        <v>NO RECENT UPDATE</v>
      </c>
      <c r="AH51" s="71" t="str">
        <f>IF($G51="","",IF(ISNUMBER($A51),IF(ISNUMBER($A51),YEAR($A51)&amp;"-"&amp;TEXT(MONTH($A51),"00"),""),IF(ISNUMBER($L51),IF(ISNUMBER($L51),YEAR($L51)&amp;"-"&amp;TEXT(MONTH($L51),"00"),""),"")))</f>
        <v/>
      </c>
      <c r="AI51" s="71">
        <f>IF($G51="",0,IF(AND(OR(fClient="All",$C51=fClient),OR(fCampaign="All",$D51=fCampaign),OR(fTeam="All",$B51=fTeam),OR(fChannel="All",$F51=fChannel),OR(fMonth="All",$AH51=fMonth),OR(fTStatus="All",$M51=fTStatus)),1,0))</f>
        <v>1</v>
      </c>
      <c r="AJ51" s="71">
        <f>IF($G51="",0,IF(AND(OR(fClient="All",$C51=fClient),OR(fCampaign="All",$D51=fCampaign),OR(fTeam="All",$B51=fTeam),OR(fChannel="All",$F51=fChannel)),1,0))</f>
        <v>1</v>
      </c>
      <c r="AK51" s="71">
        <f>IF($G51="",0,IF(OR($M51="Completed",$M51="Cancelled"),0,1))</f>
        <v>1</v>
      </c>
      <c r="AL51" s="71">
        <f>IF(AND($AK51=1,ISNUMBER($L51)),IF($L51&lt;ReportDate,1,0),0)</f>
        <v>0</v>
      </c>
      <c r="AM51" s="71">
        <f>IF(AND($G51&lt;&gt;"",$M51="Blocked"),1,0)</f>
        <v>0</v>
      </c>
      <c r="AN51" s="71">
        <f>IF(AND($AK51=1,ISNUMBER($L51)),IF($L51=ReportDate,1,0),0)</f>
        <v>0</v>
      </c>
      <c r="AO51" s="71">
        <f>IF(AND($AK51=1,ISNUMBER($L51)),IF($L51=ReportDate+1,1,0),0)</f>
        <v>0</v>
      </c>
      <c r="AP51" s="71">
        <f>IF(AND($AK51=1,ISNUMBER($L51)),IF(AND($L51&gt;=ReportDate,$L51&lt;=ReportDate+DueSoonDays),1,0),0)</f>
        <v>0</v>
      </c>
      <c r="AQ51" s="71">
        <f>IF(AND($AK51=1,OR($I51="Critical",$I51="High")),1,0)</f>
        <v>0</v>
      </c>
      <c r="AR51" s="71">
        <f>IF($AK51=1,IF(ISNUMBER($Y51),IF(ReportDate-$Y51&gt;StaleDays,1,0),1),0)</f>
        <v>1</v>
      </c>
      <c r="AS51" s="71">
        <f>IF(AND($G51&lt;&gt;"",ISNUMBER($Q51),ISNUMBER($R51)),IF(AND($Q51&lt;$R51,OR($M51="Completed",AND(ISNUMBER($L51),$L51&lt;ReportDate))),1,0),0)</f>
        <v>0</v>
      </c>
      <c r="AT51" s="71">
        <f>IF($AK51=1,IF(OR($L51=ReportDate,$W51=ReportDate,$K51=ReportDate,$A51=ReportDate),1,0),0)</f>
        <v>0</v>
      </c>
      <c r="AU51" s="71">
        <f>IF($AK51=1,IF(OR($L51=ReportDate+1,$W51=ReportDate+1,$K51=ReportDate+1,$A51=ReportDate+1),1,0),0)</f>
        <v>0</v>
      </c>
      <c r="AV51" s="71">
        <f>IF(AND($G51&lt;&gt;"",$M51="Completed"),IF(OR($Y51=ReportDate-1,$A51=ReportDate-1),1,0),0)</f>
        <v>0</v>
      </c>
      <c r="AW51" s="71">
        <f>IF(AND($AK51=1,$Z51="Yes"),1,0)</f>
        <v>0</v>
      </c>
      <c r="AX51" s="71">
        <f>IF(AND($AK51=1,$AA51="Yes"),1,0)</f>
        <v>0</v>
      </c>
      <c r="AY51" s="71">
        <f>IF(AND($AM51=1,OR($I51="Critical",$I51="High")),1,0)</f>
        <v>0</v>
      </c>
      <c r="AZ51" s="71">
        <f>IF(AND($AK51=1,OR($C51=TCL_Client,$C51=MECCA_Client)),1,0)</f>
        <v>0</v>
      </c>
      <c r="BA51" s="71">
        <f>IF($G51="","",IFERROR(MATCH($I51,lst_Priority,0),5))</f>
        <v>5</v>
      </c>
      <c r="BB51" s="71" t="str">
        <f>IF(AND($AL51=1,$AJ51=1),$BA51*100000+ROW(),"")</f>
        <v/>
      </c>
      <c r="BC51" s="71" t="str">
        <f>IF(AND($AM51=1,$AJ51=1),$BA51*100000+ROW(),"")</f>
        <v/>
      </c>
      <c r="BD51" s="71" t="str">
        <f>IF(AND($AP51=1,$AJ51=1),$BA51*100000+ROW(),"")</f>
        <v/>
      </c>
      <c r="BE51" s="71" t="str">
        <f>IF(AND($AT51=1,$AJ51=1),$BA51*100000+ROW(),"")</f>
        <v/>
      </c>
      <c r="BF51" s="71" t="str">
        <f>IF(AND($AU51=1,$AJ51=1),$BA51*100000+ROW(),"")</f>
        <v/>
      </c>
      <c r="BG51" s="71" t="str">
        <f>IF(AND($AV51=1,$AJ51=1),$BA51*100000+ROW(),"")</f>
        <v/>
      </c>
      <c r="BH51" s="71" t="str">
        <f>IF(AND($AW51=1,$AJ51=1),$BA51*100000+ROW(),"")</f>
        <v/>
      </c>
      <c r="BI51" s="71" t="str">
        <f>IF(AND($AX51=1,$AJ51=1),$BA51*100000+ROW(),"")</f>
        <v/>
      </c>
      <c r="BJ51" s="71" t="str">
        <f>IF(AND($AS51=1,$AJ51=1),$BA51*100000+ROW(),"")</f>
        <v/>
      </c>
      <c r="BK51" s="71" t="str">
        <f>IF(AND($AY51=1,$AJ51=1),$BA51*100000+ROW(),"")</f>
        <v/>
      </c>
      <c r="BL51" s="71" t="str">
        <f>IF(AND($AZ51=1),$BA51*100000+ROW(),"")</f>
        <v/>
      </c>
    </row>
    <row r="52">
      <c r="A52" s="63" t="n"/>
      <c r="B52" s="64" t="inlineStr">
        <is>
          <t>Ayush Jain</t>
        </is>
      </c>
      <c r="C52" s="64" t="inlineStr">
        <is>
          <t>Vestrics</t>
        </is>
      </c>
      <c r="D52" s="64" t="n"/>
      <c r="E52" s="64" t="inlineStr">
        <is>
          <t>Internal Coordination</t>
        </is>
      </c>
      <c r="F52" s="64" t="inlineStr">
        <is>
          <t>Internal / Coordination</t>
        </is>
      </c>
      <c r="G52" s="65" t="inlineStr">
        <is>
          <t>Internal team co-ordination</t>
        </is>
      </c>
      <c r="H52" s="65" t="n"/>
      <c r="I52" s="64" t="n"/>
      <c r="J52" s="64" t="n"/>
      <c r="K52" s="63" t="n"/>
      <c r="L52" s="63" t="n"/>
      <c r="M52" s="64" t="n"/>
      <c r="N52" s="66" t="n"/>
      <c r="O52" s="65" t="n"/>
      <c r="P52" s="64" t="n"/>
      <c r="Q52" s="67" t="n"/>
      <c r="R52" s="67" t="n"/>
      <c r="S52" s="68" t="str">
        <f>IF(AND(ISNUMBER($Q52),ISNUMBER($R52)),$Q52-$R52,"")</f>
        <v/>
      </c>
      <c r="T52" s="65" t="n"/>
      <c r="U52" s="64" t="n"/>
      <c r="V52" s="65" t="n"/>
      <c r="W52" s="63" t="n"/>
      <c r="X52" s="65" t="inlineStr">
        <is>
          <t>Baseline: status not provided.</t>
        </is>
      </c>
      <c r="Y52" s="63" t="n"/>
      <c r="Z52" s="64" t="n"/>
      <c r="AA52" s="64" t="n"/>
      <c r="AB52" s="65" t="n"/>
      <c r="AC52" s="69" t="str">
        <f>IF(OR($G52="",NOT(ISNUMBER($K52)),$AK52=0),"",MAX(0,ReportDate-$K52))</f>
        <v/>
      </c>
      <c r="AD52" s="69">
        <f>IF($G52="","",IF($AL52=1,ReportDate-$L52,0))</f>
        <v>0</v>
      </c>
      <c r="AE52" s="70">
        <f>IF($G52="","",IF($M52="Completed",1,IF(ISNUMBER($N52),$N52,0)))</f>
        <v>0</v>
      </c>
      <c r="AF52" s="70" t="str">
        <f>IF(AND(ISNUMBER($Q52),ISNUMBER($R52)),IF($R52&lt;&gt;0,$Q52/$R52,""),"")</f>
        <v/>
      </c>
      <c r="AG52" s="71" t="str">
        <f>IF($G52="","",IF($AL52=1,"OVERDUE",IF($AM52=1,"BLOCKED",IF($AN52=1,"DUE TODAY",IF($AO52=1,"DUE TOMORROW",IF($AQ52=1,"HIGH PRIORITY",IF($AR52=1,"NO RECENT UPDATE",""))))))) </f>
        <v>NO RECENT UPDATE</v>
      </c>
      <c r="AH52" s="71" t="str">
        <f>IF($G52="","",IF(ISNUMBER($A52),IF(ISNUMBER($A52),YEAR($A52)&amp;"-"&amp;TEXT(MONTH($A52),"00"),""),IF(ISNUMBER($L52),IF(ISNUMBER($L52),YEAR($L52)&amp;"-"&amp;TEXT(MONTH($L52),"00"),""),"")))</f>
        <v/>
      </c>
      <c r="AI52" s="71">
        <f>IF($G52="",0,IF(AND(OR(fClient="All",$C52=fClient),OR(fCampaign="All",$D52=fCampaign),OR(fTeam="All",$B52=fTeam),OR(fChannel="All",$F52=fChannel),OR(fMonth="All",$AH52=fMonth),OR(fTStatus="All",$M52=fTStatus)),1,0))</f>
        <v>1</v>
      </c>
      <c r="AJ52" s="71">
        <f>IF($G52="",0,IF(AND(OR(fClient="All",$C52=fClient),OR(fCampaign="All",$D52=fCampaign),OR(fTeam="All",$B52=fTeam),OR(fChannel="All",$F52=fChannel)),1,0))</f>
        <v>1</v>
      </c>
      <c r="AK52" s="71">
        <f>IF($G52="",0,IF(OR($M52="Completed",$M52="Cancelled"),0,1))</f>
        <v>1</v>
      </c>
      <c r="AL52" s="71">
        <f>IF(AND($AK52=1,ISNUMBER($L52)),IF($L52&lt;ReportDate,1,0),0)</f>
        <v>0</v>
      </c>
      <c r="AM52" s="71">
        <f>IF(AND($G52&lt;&gt;"",$M52="Blocked"),1,0)</f>
        <v>0</v>
      </c>
      <c r="AN52" s="71">
        <f>IF(AND($AK52=1,ISNUMBER($L52)),IF($L52=ReportDate,1,0),0)</f>
        <v>0</v>
      </c>
      <c r="AO52" s="71">
        <f>IF(AND($AK52=1,ISNUMBER($L52)),IF($L52=ReportDate+1,1,0),0)</f>
        <v>0</v>
      </c>
      <c r="AP52" s="71">
        <f>IF(AND($AK52=1,ISNUMBER($L52)),IF(AND($L52&gt;=ReportDate,$L52&lt;=ReportDate+DueSoonDays),1,0),0)</f>
        <v>0</v>
      </c>
      <c r="AQ52" s="71">
        <f>IF(AND($AK52=1,OR($I52="Critical",$I52="High")),1,0)</f>
        <v>0</v>
      </c>
      <c r="AR52" s="71">
        <f>IF($AK52=1,IF(ISNUMBER($Y52),IF(ReportDate-$Y52&gt;StaleDays,1,0),1),0)</f>
        <v>1</v>
      </c>
      <c r="AS52" s="71">
        <f>IF(AND($G52&lt;&gt;"",ISNUMBER($Q52),ISNUMBER($R52)),IF(AND($Q52&lt;$R52,OR($M52="Completed",AND(ISNUMBER($L52),$L52&lt;ReportDate))),1,0),0)</f>
        <v>0</v>
      </c>
      <c r="AT52" s="71">
        <f>IF($AK52=1,IF(OR($L52=ReportDate,$W52=ReportDate,$K52=ReportDate,$A52=ReportDate),1,0),0)</f>
        <v>0</v>
      </c>
      <c r="AU52" s="71">
        <f>IF($AK52=1,IF(OR($L52=ReportDate+1,$W52=ReportDate+1,$K52=ReportDate+1,$A52=ReportDate+1),1,0),0)</f>
        <v>0</v>
      </c>
      <c r="AV52" s="71">
        <f>IF(AND($G52&lt;&gt;"",$M52="Completed"),IF(OR($Y52=ReportDate-1,$A52=ReportDate-1),1,0),0)</f>
        <v>0</v>
      </c>
      <c r="AW52" s="71">
        <f>IF(AND($AK52=1,$Z52="Yes"),1,0)</f>
        <v>0</v>
      </c>
      <c r="AX52" s="71">
        <f>IF(AND($AK52=1,$AA52="Yes"),1,0)</f>
        <v>0</v>
      </c>
      <c r="AY52" s="71">
        <f>IF(AND($AM52=1,OR($I52="Critical",$I52="High")),1,0)</f>
        <v>0</v>
      </c>
      <c r="AZ52" s="71">
        <f>IF(AND($AK52=1,OR($C52=TCL_Client,$C52=MECCA_Client)),1,0)</f>
        <v>0</v>
      </c>
      <c r="BA52" s="71">
        <f>IF($G52="","",IFERROR(MATCH($I52,lst_Priority,0),5))</f>
        <v>5</v>
      </c>
      <c r="BB52" s="71" t="str">
        <f>IF(AND($AL52=1,$AJ52=1),$BA52*100000+ROW(),"")</f>
        <v/>
      </c>
      <c r="BC52" s="71" t="str">
        <f>IF(AND($AM52=1,$AJ52=1),$BA52*100000+ROW(),"")</f>
        <v/>
      </c>
      <c r="BD52" s="71" t="str">
        <f>IF(AND($AP52=1,$AJ52=1),$BA52*100000+ROW(),"")</f>
        <v/>
      </c>
      <c r="BE52" s="71" t="str">
        <f>IF(AND($AT52=1,$AJ52=1),$BA52*100000+ROW(),"")</f>
        <v/>
      </c>
      <c r="BF52" s="71" t="str">
        <f>IF(AND($AU52=1,$AJ52=1),$BA52*100000+ROW(),"")</f>
        <v/>
      </c>
      <c r="BG52" s="71" t="str">
        <f>IF(AND($AV52=1,$AJ52=1),$BA52*100000+ROW(),"")</f>
        <v/>
      </c>
      <c r="BH52" s="71" t="str">
        <f>IF(AND($AW52=1,$AJ52=1),$BA52*100000+ROW(),"")</f>
        <v/>
      </c>
      <c r="BI52" s="71" t="str">
        <f>IF(AND($AX52=1,$AJ52=1),$BA52*100000+ROW(),"")</f>
        <v/>
      </c>
      <c r="BJ52" s="71" t="str">
        <f>IF(AND($AS52=1,$AJ52=1),$BA52*100000+ROW(),"")</f>
        <v/>
      </c>
      <c r="BK52" s="71" t="str">
        <f>IF(AND($AY52=1,$AJ52=1),$BA52*100000+ROW(),"")</f>
        <v/>
      </c>
      <c r="BL52" s="71" t="str">
        <f>IF(AND($AZ52=1),$BA52*100000+ROW(),"")</f>
        <v/>
      </c>
    </row>
    <row r="53">
      <c r="A53" s="63" t="n"/>
      <c r="B53" s="64" t="inlineStr">
        <is>
          <t>Ayush Jain</t>
        </is>
      </c>
      <c r="C53" s="64" t="inlineStr">
        <is>
          <t>Vestrics</t>
        </is>
      </c>
      <c r="D53" s="64" t="inlineStr">
        <is>
          <t>Vestrics - SEO &amp; Social Media</t>
        </is>
      </c>
      <c r="E53" s="64" t="inlineStr">
        <is>
          <t>Content</t>
        </is>
      </c>
      <c r="F53" s="64" t="inlineStr">
        <is>
          <t>SEO</t>
        </is>
      </c>
      <c r="G53" s="65" t="inlineStr">
        <is>
          <t>Off page &amp; on page content research</t>
        </is>
      </c>
      <c r="H53" s="65" t="n"/>
      <c r="I53" s="64" t="n"/>
      <c r="J53" s="64" t="n"/>
      <c r="K53" s="63" t="n"/>
      <c r="L53" s="63" t="n"/>
      <c r="M53" s="64" t="n"/>
      <c r="N53" s="66" t="n"/>
      <c r="O53" s="65" t="n"/>
      <c r="P53" s="64" t="inlineStr">
        <is>
          <t>Mandate (unit not specified)</t>
        </is>
      </c>
      <c r="Q53" s="67" t="n"/>
      <c r="R53" s="67" t="n">
        <v>4</v>
      </c>
      <c r="S53" s="68" t="str">
        <f>IF(AND(ISNUMBER($Q53),ISNUMBER($R53)),$Q53-$R53,"")</f>
        <v/>
      </c>
      <c r="T53" s="65" t="n"/>
      <c r="U53" s="64" t="n"/>
      <c r="V53" s="65" t="n"/>
      <c r="W53" s="63" t="n"/>
      <c r="X53" s="65" t="inlineStr">
        <is>
          <t>Baseline: status not provided.</t>
        </is>
      </c>
      <c r="Y53" s="63" t="n"/>
      <c r="Z53" s="64" t="n"/>
      <c r="AA53" s="64" t="n"/>
      <c r="AB53" s="65" t="inlineStr">
        <is>
          <t>Mandate: 4</t>
        </is>
      </c>
      <c r="AC53" s="69" t="str">
        <f>IF(OR($G53="",NOT(ISNUMBER($K53)),$AK53=0),"",MAX(0,ReportDate-$K53))</f>
        <v/>
      </c>
      <c r="AD53" s="69">
        <f>IF($G53="","",IF($AL53=1,ReportDate-$L53,0))</f>
        <v>0</v>
      </c>
      <c r="AE53" s="70">
        <f>IF($G53="","",IF($M53="Completed",1,IF(ISNUMBER($N53),$N53,0)))</f>
        <v>0</v>
      </c>
      <c r="AF53" s="70" t="str">
        <f>IF(AND(ISNUMBER($Q53),ISNUMBER($R53)),IF($R53&lt;&gt;0,$Q53/$R53,""),"")</f>
        <v/>
      </c>
      <c r="AG53" s="71" t="str">
        <f>IF($G53="","",IF($AL53=1,"OVERDUE",IF($AM53=1,"BLOCKED",IF($AN53=1,"DUE TODAY",IF($AO53=1,"DUE TOMORROW",IF($AQ53=1,"HIGH PRIORITY",IF($AR53=1,"NO RECENT UPDATE",""))))))) </f>
        <v>NO RECENT UPDATE</v>
      </c>
      <c r="AH53" s="71" t="str">
        <f>IF($G53="","",IF(ISNUMBER($A53),IF(ISNUMBER($A53),YEAR($A53)&amp;"-"&amp;TEXT(MONTH($A53),"00"),""),IF(ISNUMBER($L53),IF(ISNUMBER($L53),YEAR($L53)&amp;"-"&amp;TEXT(MONTH($L53),"00"),""),"")))</f>
        <v/>
      </c>
      <c r="AI53" s="71">
        <f>IF($G53="",0,IF(AND(OR(fClient="All",$C53=fClient),OR(fCampaign="All",$D53=fCampaign),OR(fTeam="All",$B53=fTeam),OR(fChannel="All",$F53=fChannel),OR(fMonth="All",$AH53=fMonth),OR(fTStatus="All",$M53=fTStatus)),1,0))</f>
        <v>1</v>
      </c>
      <c r="AJ53" s="71">
        <f>IF($G53="",0,IF(AND(OR(fClient="All",$C53=fClient),OR(fCampaign="All",$D53=fCampaign),OR(fTeam="All",$B53=fTeam),OR(fChannel="All",$F53=fChannel)),1,0))</f>
        <v>1</v>
      </c>
      <c r="AK53" s="71">
        <f>IF($G53="",0,IF(OR($M53="Completed",$M53="Cancelled"),0,1))</f>
        <v>1</v>
      </c>
      <c r="AL53" s="71">
        <f>IF(AND($AK53=1,ISNUMBER($L53)),IF($L53&lt;ReportDate,1,0),0)</f>
        <v>0</v>
      </c>
      <c r="AM53" s="71">
        <f>IF(AND($G53&lt;&gt;"",$M53="Blocked"),1,0)</f>
        <v>0</v>
      </c>
      <c r="AN53" s="71">
        <f>IF(AND($AK53=1,ISNUMBER($L53)),IF($L53=ReportDate,1,0),0)</f>
        <v>0</v>
      </c>
      <c r="AO53" s="71">
        <f>IF(AND($AK53=1,ISNUMBER($L53)),IF($L53=ReportDate+1,1,0),0)</f>
        <v>0</v>
      </c>
      <c r="AP53" s="71">
        <f>IF(AND($AK53=1,ISNUMBER($L53)),IF(AND($L53&gt;=ReportDate,$L53&lt;=ReportDate+DueSoonDays),1,0),0)</f>
        <v>0</v>
      </c>
      <c r="AQ53" s="71">
        <f>IF(AND($AK53=1,OR($I53="Critical",$I53="High")),1,0)</f>
        <v>0</v>
      </c>
      <c r="AR53" s="71">
        <f>IF($AK53=1,IF(ISNUMBER($Y53),IF(ReportDate-$Y53&gt;StaleDays,1,0),1),0)</f>
        <v>1</v>
      </c>
      <c r="AS53" s="71">
        <f>IF(AND($G53&lt;&gt;"",ISNUMBER($Q53),ISNUMBER($R53)),IF(AND($Q53&lt;$R53,OR($M53="Completed",AND(ISNUMBER($L53),$L53&lt;ReportDate))),1,0),0)</f>
        <v>0</v>
      </c>
      <c r="AT53" s="71">
        <f>IF($AK53=1,IF(OR($L53=ReportDate,$W53=ReportDate,$K53=ReportDate,$A53=ReportDate),1,0),0)</f>
        <v>0</v>
      </c>
      <c r="AU53" s="71">
        <f>IF($AK53=1,IF(OR($L53=ReportDate+1,$W53=ReportDate+1,$K53=ReportDate+1,$A53=ReportDate+1),1,0),0)</f>
        <v>0</v>
      </c>
      <c r="AV53" s="71">
        <f>IF(AND($G53&lt;&gt;"",$M53="Completed"),IF(OR($Y53=ReportDate-1,$A53=ReportDate-1),1,0),0)</f>
        <v>0</v>
      </c>
      <c r="AW53" s="71">
        <f>IF(AND($AK53=1,$Z53="Yes"),1,0)</f>
        <v>0</v>
      </c>
      <c r="AX53" s="71">
        <f>IF(AND($AK53=1,$AA53="Yes"),1,0)</f>
        <v>0</v>
      </c>
      <c r="AY53" s="71">
        <f>IF(AND($AM53=1,OR($I53="Critical",$I53="High")),1,0)</f>
        <v>0</v>
      </c>
      <c r="AZ53" s="71">
        <f>IF(AND($AK53=1,OR($C53=TCL_Client,$C53=MECCA_Client)),1,0)</f>
        <v>0</v>
      </c>
      <c r="BA53" s="71">
        <f>IF($G53="","",IFERROR(MATCH($I53,lst_Priority,0),5))</f>
        <v>5</v>
      </c>
      <c r="BB53" s="71" t="str">
        <f>IF(AND($AL53=1,$AJ53=1),$BA53*100000+ROW(),"")</f>
        <v/>
      </c>
      <c r="BC53" s="71" t="str">
        <f>IF(AND($AM53=1,$AJ53=1),$BA53*100000+ROW(),"")</f>
        <v/>
      </c>
      <c r="BD53" s="71" t="str">
        <f>IF(AND($AP53=1,$AJ53=1),$BA53*100000+ROW(),"")</f>
        <v/>
      </c>
      <c r="BE53" s="71" t="str">
        <f>IF(AND($AT53=1,$AJ53=1),$BA53*100000+ROW(),"")</f>
        <v/>
      </c>
      <c r="BF53" s="71" t="str">
        <f>IF(AND($AU53=1,$AJ53=1),$BA53*100000+ROW(),"")</f>
        <v/>
      </c>
      <c r="BG53" s="71" t="str">
        <f>IF(AND($AV53=1,$AJ53=1),$BA53*100000+ROW(),"")</f>
        <v/>
      </c>
      <c r="BH53" s="71" t="str">
        <f>IF(AND($AW53=1,$AJ53=1),$BA53*100000+ROW(),"")</f>
        <v/>
      </c>
      <c r="BI53" s="71" t="str">
        <f>IF(AND($AX53=1,$AJ53=1),$BA53*100000+ROW(),"")</f>
        <v/>
      </c>
      <c r="BJ53" s="71" t="str">
        <f>IF(AND($AS53=1,$AJ53=1),$BA53*100000+ROW(),"")</f>
        <v/>
      </c>
      <c r="BK53" s="71" t="str">
        <f>IF(AND($AY53=1,$AJ53=1),$BA53*100000+ROW(),"")</f>
        <v/>
      </c>
      <c r="BL53" s="71" t="str">
        <f>IF(AND($AZ53=1),$BA53*100000+ROW(),"")</f>
        <v/>
      </c>
    </row>
    <row r="54">
      <c r="A54" s="63" t="n"/>
      <c r="B54" s="64" t="inlineStr">
        <is>
          <t>Ayush Jain</t>
        </is>
      </c>
      <c r="C54" s="64" t="inlineStr">
        <is>
          <t>Vestrics</t>
        </is>
      </c>
      <c r="D54" s="64" t="inlineStr">
        <is>
          <t>Vestrics - SEO &amp; Social Media</t>
        </is>
      </c>
      <c r="E54" s="64" t="inlineStr">
        <is>
          <t>SEO</t>
        </is>
      </c>
      <c r="F54" s="64" t="inlineStr">
        <is>
          <t>Website</t>
        </is>
      </c>
      <c r="G54" s="65" t="inlineStr">
        <is>
          <t>Website management &amp; SEO</t>
        </is>
      </c>
      <c r="H54" s="65" t="n"/>
      <c r="I54" s="64" t="n"/>
      <c r="J54" s="64" t="n"/>
      <c r="K54" s="63" t="n"/>
      <c r="L54" s="63" t="n"/>
      <c r="M54" s="64" t="n"/>
      <c r="N54" s="66" t="n"/>
      <c r="O54" s="65" t="n"/>
      <c r="P54" s="64" t="n"/>
      <c r="Q54" s="67" t="n"/>
      <c r="R54" s="67" t="n"/>
      <c r="S54" s="68" t="str">
        <f>IF(AND(ISNUMBER($Q54),ISNUMBER($R54)),$Q54-$R54,"")</f>
        <v/>
      </c>
      <c r="T54" s="65" t="n"/>
      <c r="U54" s="64" t="n"/>
      <c r="V54" s="65" t="n"/>
      <c r="W54" s="63" t="n"/>
      <c r="X54" s="65" t="inlineStr">
        <is>
          <t>Baseline: status not provided.</t>
        </is>
      </c>
      <c r="Y54" s="63" t="n"/>
      <c r="Z54" s="64" t="n"/>
      <c r="AA54" s="64" t="n"/>
      <c r="AB54" s="65" t="n"/>
      <c r="AC54" s="69" t="str">
        <f>IF(OR($G54="",NOT(ISNUMBER($K54)),$AK54=0),"",MAX(0,ReportDate-$K54))</f>
        <v/>
      </c>
      <c r="AD54" s="69">
        <f>IF($G54="","",IF($AL54=1,ReportDate-$L54,0))</f>
        <v>0</v>
      </c>
      <c r="AE54" s="70">
        <f>IF($G54="","",IF($M54="Completed",1,IF(ISNUMBER($N54),$N54,0)))</f>
        <v>0</v>
      </c>
      <c r="AF54" s="70" t="str">
        <f>IF(AND(ISNUMBER($Q54),ISNUMBER($R54)),IF($R54&lt;&gt;0,$Q54/$R54,""),"")</f>
        <v/>
      </c>
      <c r="AG54" s="71" t="str">
        <f>IF($G54="","",IF($AL54=1,"OVERDUE",IF($AM54=1,"BLOCKED",IF($AN54=1,"DUE TODAY",IF($AO54=1,"DUE TOMORROW",IF($AQ54=1,"HIGH PRIORITY",IF($AR54=1,"NO RECENT UPDATE",""))))))) </f>
        <v>NO RECENT UPDATE</v>
      </c>
      <c r="AH54" s="71" t="str">
        <f>IF($G54="","",IF(ISNUMBER($A54),IF(ISNUMBER($A54),YEAR($A54)&amp;"-"&amp;TEXT(MONTH($A54),"00"),""),IF(ISNUMBER($L54),IF(ISNUMBER($L54),YEAR($L54)&amp;"-"&amp;TEXT(MONTH($L54),"00"),""),"")))</f>
        <v/>
      </c>
      <c r="AI54" s="71">
        <f>IF($G54="",0,IF(AND(OR(fClient="All",$C54=fClient),OR(fCampaign="All",$D54=fCampaign),OR(fTeam="All",$B54=fTeam),OR(fChannel="All",$F54=fChannel),OR(fMonth="All",$AH54=fMonth),OR(fTStatus="All",$M54=fTStatus)),1,0))</f>
        <v>1</v>
      </c>
      <c r="AJ54" s="71">
        <f>IF($G54="",0,IF(AND(OR(fClient="All",$C54=fClient),OR(fCampaign="All",$D54=fCampaign),OR(fTeam="All",$B54=fTeam),OR(fChannel="All",$F54=fChannel)),1,0))</f>
        <v>1</v>
      </c>
      <c r="AK54" s="71">
        <f>IF($G54="",0,IF(OR($M54="Completed",$M54="Cancelled"),0,1))</f>
        <v>1</v>
      </c>
      <c r="AL54" s="71">
        <f>IF(AND($AK54=1,ISNUMBER($L54)),IF($L54&lt;ReportDate,1,0),0)</f>
        <v>0</v>
      </c>
      <c r="AM54" s="71">
        <f>IF(AND($G54&lt;&gt;"",$M54="Blocked"),1,0)</f>
        <v>0</v>
      </c>
      <c r="AN54" s="71">
        <f>IF(AND($AK54=1,ISNUMBER($L54)),IF($L54=ReportDate,1,0),0)</f>
        <v>0</v>
      </c>
      <c r="AO54" s="71">
        <f>IF(AND($AK54=1,ISNUMBER($L54)),IF($L54=ReportDate+1,1,0),0)</f>
        <v>0</v>
      </c>
      <c r="AP54" s="71">
        <f>IF(AND($AK54=1,ISNUMBER($L54)),IF(AND($L54&gt;=ReportDate,$L54&lt;=ReportDate+DueSoonDays),1,0),0)</f>
        <v>0</v>
      </c>
      <c r="AQ54" s="71">
        <f>IF(AND($AK54=1,OR($I54="Critical",$I54="High")),1,0)</f>
        <v>0</v>
      </c>
      <c r="AR54" s="71">
        <f>IF($AK54=1,IF(ISNUMBER($Y54),IF(ReportDate-$Y54&gt;StaleDays,1,0),1),0)</f>
        <v>1</v>
      </c>
      <c r="AS54" s="71">
        <f>IF(AND($G54&lt;&gt;"",ISNUMBER($Q54),ISNUMBER($R54)),IF(AND($Q54&lt;$R54,OR($M54="Completed",AND(ISNUMBER($L54),$L54&lt;ReportDate))),1,0),0)</f>
        <v>0</v>
      </c>
      <c r="AT54" s="71">
        <f>IF($AK54=1,IF(OR($L54=ReportDate,$W54=ReportDate,$K54=ReportDate,$A54=ReportDate),1,0),0)</f>
        <v>0</v>
      </c>
      <c r="AU54" s="71">
        <f>IF($AK54=1,IF(OR($L54=ReportDate+1,$W54=ReportDate+1,$K54=ReportDate+1,$A54=ReportDate+1),1,0),0)</f>
        <v>0</v>
      </c>
      <c r="AV54" s="71">
        <f>IF(AND($G54&lt;&gt;"",$M54="Completed"),IF(OR($Y54=ReportDate-1,$A54=ReportDate-1),1,0),0)</f>
        <v>0</v>
      </c>
      <c r="AW54" s="71">
        <f>IF(AND($AK54=1,$Z54="Yes"),1,0)</f>
        <v>0</v>
      </c>
      <c r="AX54" s="71">
        <f>IF(AND($AK54=1,$AA54="Yes"),1,0)</f>
        <v>0</v>
      </c>
      <c r="AY54" s="71">
        <f>IF(AND($AM54=1,OR($I54="Critical",$I54="High")),1,0)</f>
        <v>0</v>
      </c>
      <c r="AZ54" s="71">
        <f>IF(AND($AK54=1,OR($C54=TCL_Client,$C54=MECCA_Client)),1,0)</f>
        <v>0</v>
      </c>
      <c r="BA54" s="71">
        <f>IF($G54="","",IFERROR(MATCH($I54,lst_Priority,0),5))</f>
        <v>5</v>
      </c>
      <c r="BB54" s="71" t="str">
        <f>IF(AND($AL54=1,$AJ54=1),$BA54*100000+ROW(),"")</f>
        <v/>
      </c>
      <c r="BC54" s="71" t="str">
        <f>IF(AND($AM54=1,$AJ54=1),$BA54*100000+ROW(),"")</f>
        <v/>
      </c>
      <c r="BD54" s="71" t="str">
        <f>IF(AND($AP54=1,$AJ54=1),$BA54*100000+ROW(),"")</f>
        <v/>
      </c>
      <c r="BE54" s="71" t="str">
        <f>IF(AND($AT54=1,$AJ54=1),$BA54*100000+ROW(),"")</f>
        <v/>
      </c>
      <c r="BF54" s="71" t="str">
        <f>IF(AND($AU54=1,$AJ54=1),$BA54*100000+ROW(),"")</f>
        <v/>
      </c>
      <c r="BG54" s="71" t="str">
        <f>IF(AND($AV54=1,$AJ54=1),$BA54*100000+ROW(),"")</f>
        <v/>
      </c>
      <c r="BH54" s="71" t="str">
        <f>IF(AND($AW54=1,$AJ54=1),$BA54*100000+ROW(),"")</f>
        <v/>
      </c>
      <c r="BI54" s="71" t="str">
        <f>IF(AND($AX54=1,$AJ54=1),$BA54*100000+ROW(),"")</f>
        <v/>
      </c>
      <c r="BJ54" s="71" t="str">
        <f>IF(AND($AS54=1,$AJ54=1),$BA54*100000+ROW(),"")</f>
        <v/>
      </c>
      <c r="BK54" s="71" t="str">
        <f>IF(AND($AY54=1,$AJ54=1),$BA54*100000+ROW(),"")</f>
        <v/>
      </c>
      <c r="BL54" s="71" t="str">
        <f>IF(AND($AZ54=1),$BA54*100000+ROW(),"")</f>
        <v/>
      </c>
    </row>
    <row r="55">
      <c r="A55" s="63" t="n"/>
      <c r="B55" s="64" t="inlineStr">
        <is>
          <t>Ayush Jain</t>
        </is>
      </c>
      <c r="C55" s="64" t="inlineStr">
        <is>
          <t>Magnasoft</t>
        </is>
      </c>
      <c r="D55" s="64" t="n"/>
      <c r="E55" s="64" t="inlineStr">
        <is>
          <t>Client Coordination</t>
        </is>
      </c>
      <c r="F55" s="64" t="inlineStr">
        <is>
          <t>Internal / Coordination</t>
        </is>
      </c>
      <c r="G55" s="65" t="inlineStr">
        <is>
          <t>Client co-ordination</t>
        </is>
      </c>
      <c r="H55" s="65" t="n"/>
      <c r="I55" s="64" t="n"/>
      <c r="J55" s="64" t="n"/>
      <c r="K55" s="63" t="n"/>
      <c r="L55" s="63" t="n"/>
      <c r="M55" s="64" t="n"/>
      <c r="N55" s="66" t="n"/>
      <c r="O55" s="65" t="n"/>
      <c r="P55" s="64" t="n"/>
      <c r="Q55" s="67" t="n"/>
      <c r="R55" s="67" t="n"/>
      <c r="S55" s="68" t="str">
        <f>IF(AND(ISNUMBER($Q55),ISNUMBER($R55)),$Q55-$R55,"")</f>
        <v/>
      </c>
      <c r="T55" s="65" t="n"/>
      <c r="U55" s="64" t="n"/>
      <c r="V55" s="65" t="n"/>
      <c r="W55" s="63" t="n"/>
      <c r="X55" s="65" t="inlineStr">
        <is>
          <t>Baseline: status not provided.</t>
        </is>
      </c>
      <c r="Y55" s="63" t="n"/>
      <c r="Z55" s="64" t="n"/>
      <c r="AA55" s="64" t="n"/>
      <c r="AB55" s="65" t="n"/>
      <c r="AC55" s="69" t="str">
        <f>IF(OR($G55="",NOT(ISNUMBER($K55)),$AK55=0),"",MAX(0,ReportDate-$K55))</f>
        <v/>
      </c>
      <c r="AD55" s="69">
        <f>IF($G55="","",IF($AL55=1,ReportDate-$L55,0))</f>
        <v>0</v>
      </c>
      <c r="AE55" s="70">
        <f>IF($G55="","",IF($M55="Completed",1,IF(ISNUMBER($N55),$N55,0)))</f>
        <v>0</v>
      </c>
      <c r="AF55" s="70" t="str">
        <f>IF(AND(ISNUMBER($Q55),ISNUMBER($R55)),IF($R55&lt;&gt;0,$Q55/$R55,""),"")</f>
        <v/>
      </c>
      <c r="AG55" s="71" t="str">
        <f>IF($G55="","",IF($AL55=1,"OVERDUE",IF($AM55=1,"BLOCKED",IF($AN55=1,"DUE TODAY",IF($AO55=1,"DUE TOMORROW",IF($AQ55=1,"HIGH PRIORITY",IF($AR55=1,"NO RECENT UPDATE",""))))))) </f>
        <v>NO RECENT UPDATE</v>
      </c>
      <c r="AH55" s="71" t="str">
        <f>IF($G55="","",IF(ISNUMBER($A55),IF(ISNUMBER($A55),YEAR($A55)&amp;"-"&amp;TEXT(MONTH($A55),"00"),""),IF(ISNUMBER($L55),IF(ISNUMBER($L55),YEAR($L55)&amp;"-"&amp;TEXT(MONTH($L55),"00"),""),"")))</f>
        <v/>
      </c>
      <c r="AI55" s="71">
        <f>IF($G55="",0,IF(AND(OR(fClient="All",$C55=fClient),OR(fCampaign="All",$D55=fCampaign),OR(fTeam="All",$B55=fTeam),OR(fChannel="All",$F55=fChannel),OR(fMonth="All",$AH55=fMonth),OR(fTStatus="All",$M55=fTStatus)),1,0))</f>
        <v>1</v>
      </c>
      <c r="AJ55" s="71">
        <f>IF($G55="",0,IF(AND(OR(fClient="All",$C55=fClient),OR(fCampaign="All",$D55=fCampaign),OR(fTeam="All",$B55=fTeam),OR(fChannel="All",$F55=fChannel)),1,0))</f>
        <v>1</v>
      </c>
      <c r="AK55" s="71">
        <f>IF($G55="",0,IF(OR($M55="Completed",$M55="Cancelled"),0,1))</f>
        <v>1</v>
      </c>
      <c r="AL55" s="71">
        <f>IF(AND($AK55=1,ISNUMBER($L55)),IF($L55&lt;ReportDate,1,0),0)</f>
        <v>0</v>
      </c>
      <c r="AM55" s="71">
        <f>IF(AND($G55&lt;&gt;"",$M55="Blocked"),1,0)</f>
        <v>0</v>
      </c>
      <c r="AN55" s="71">
        <f>IF(AND($AK55=1,ISNUMBER($L55)),IF($L55=ReportDate,1,0),0)</f>
        <v>0</v>
      </c>
      <c r="AO55" s="71">
        <f>IF(AND($AK55=1,ISNUMBER($L55)),IF($L55=ReportDate+1,1,0),0)</f>
        <v>0</v>
      </c>
      <c r="AP55" s="71">
        <f>IF(AND($AK55=1,ISNUMBER($L55)),IF(AND($L55&gt;=ReportDate,$L55&lt;=ReportDate+DueSoonDays),1,0),0)</f>
        <v>0</v>
      </c>
      <c r="AQ55" s="71">
        <f>IF(AND($AK55=1,OR($I55="Critical",$I55="High")),1,0)</f>
        <v>0</v>
      </c>
      <c r="AR55" s="71">
        <f>IF($AK55=1,IF(ISNUMBER($Y55),IF(ReportDate-$Y55&gt;StaleDays,1,0),1),0)</f>
        <v>1</v>
      </c>
      <c r="AS55" s="71">
        <f>IF(AND($G55&lt;&gt;"",ISNUMBER($Q55),ISNUMBER($R55)),IF(AND($Q55&lt;$R55,OR($M55="Completed",AND(ISNUMBER($L55),$L55&lt;ReportDate))),1,0),0)</f>
        <v>0</v>
      </c>
      <c r="AT55" s="71">
        <f>IF($AK55=1,IF(OR($L55=ReportDate,$W55=ReportDate,$K55=ReportDate,$A55=ReportDate),1,0),0)</f>
        <v>0</v>
      </c>
      <c r="AU55" s="71">
        <f>IF($AK55=1,IF(OR($L55=ReportDate+1,$W55=ReportDate+1,$K55=ReportDate+1,$A55=ReportDate+1),1,0),0)</f>
        <v>0</v>
      </c>
      <c r="AV55" s="71">
        <f>IF(AND($G55&lt;&gt;"",$M55="Completed"),IF(OR($Y55=ReportDate-1,$A55=ReportDate-1),1,0),0)</f>
        <v>0</v>
      </c>
      <c r="AW55" s="71">
        <f>IF(AND($AK55=1,$Z55="Yes"),1,0)</f>
        <v>0</v>
      </c>
      <c r="AX55" s="71">
        <f>IF(AND($AK55=1,$AA55="Yes"),1,0)</f>
        <v>0</v>
      </c>
      <c r="AY55" s="71">
        <f>IF(AND($AM55=1,OR($I55="Critical",$I55="High")),1,0)</f>
        <v>0</v>
      </c>
      <c r="AZ55" s="71">
        <f>IF(AND($AK55=1,OR($C55=TCL_Client,$C55=MECCA_Client)),1,0)</f>
        <v>0</v>
      </c>
      <c r="BA55" s="71">
        <f>IF($G55="","",IFERROR(MATCH($I55,lst_Priority,0),5))</f>
        <v>5</v>
      </c>
      <c r="BB55" s="71" t="str">
        <f>IF(AND($AL55=1,$AJ55=1),$BA55*100000+ROW(),"")</f>
        <v/>
      </c>
      <c r="BC55" s="71" t="str">
        <f>IF(AND($AM55=1,$AJ55=1),$BA55*100000+ROW(),"")</f>
        <v/>
      </c>
      <c r="BD55" s="71" t="str">
        <f>IF(AND($AP55=1,$AJ55=1),$BA55*100000+ROW(),"")</f>
        <v/>
      </c>
      <c r="BE55" s="71" t="str">
        <f>IF(AND($AT55=1,$AJ55=1),$BA55*100000+ROW(),"")</f>
        <v/>
      </c>
      <c r="BF55" s="71" t="str">
        <f>IF(AND($AU55=1,$AJ55=1),$BA55*100000+ROW(),"")</f>
        <v/>
      </c>
      <c r="BG55" s="71" t="str">
        <f>IF(AND($AV55=1,$AJ55=1),$BA55*100000+ROW(),"")</f>
        <v/>
      </c>
      <c r="BH55" s="71" t="str">
        <f>IF(AND($AW55=1,$AJ55=1),$BA55*100000+ROW(),"")</f>
        <v/>
      </c>
      <c r="BI55" s="71" t="str">
        <f>IF(AND($AX55=1,$AJ55=1),$BA55*100000+ROW(),"")</f>
        <v/>
      </c>
      <c r="BJ55" s="71" t="str">
        <f>IF(AND($AS55=1,$AJ55=1),$BA55*100000+ROW(),"")</f>
        <v/>
      </c>
      <c r="BK55" s="71" t="str">
        <f>IF(AND($AY55=1,$AJ55=1),$BA55*100000+ROW(),"")</f>
        <v/>
      </c>
      <c r="BL55" s="71" t="str">
        <f>IF(AND($AZ55=1),$BA55*100000+ROW(),"")</f>
        <v/>
      </c>
    </row>
    <row r="56">
      <c r="A56" s="63" t="n"/>
      <c r="B56" s="64" t="inlineStr">
        <is>
          <t>Ayush Jain</t>
        </is>
      </c>
      <c r="C56" s="64" t="inlineStr">
        <is>
          <t>Magnasoft</t>
        </is>
      </c>
      <c r="D56" s="64" t="n"/>
      <c r="E56" s="64" t="inlineStr">
        <is>
          <t>Internal Coordination</t>
        </is>
      </c>
      <c r="F56" s="64" t="inlineStr">
        <is>
          <t>Internal / Coordination</t>
        </is>
      </c>
      <c r="G56" s="65" t="inlineStr">
        <is>
          <t>Internal team co-ordination</t>
        </is>
      </c>
      <c r="H56" s="65" t="n"/>
      <c r="I56" s="64" t="n"/>
      <c r="J56" s="64" t="n"/>
      <c r="K56" s="63" t="n"/>
      <c r="L56" s="63" t="n"/>
      <c r="M56" s="64" t="n"/>
      <c r="N56" s="66" t="n"/>
      <c r="O56" s="65" t="n"/>
      <c r="P56" s="64" t="n"/>
      <c r="Q56" s="67" t="n"/>
      <c r="R56" s="67" t="n"/>
      <c r="S56" s="68" t="str">
        <f>IF(AND(ISNUMBER($Q56),ISNUMBER($R56)),$Q56-$R56,"")</f>
        <v/>
      </c>
      <c r="T56" s="65" t="n"/>
      <c r="U56" s="64" t="n"/>
      <c r="V56" s="65" t="n"/>
      <c r="W56" s="63" t="n"/>
      <c r="X56" s="65" t="inlineStr">
        <is>
          <t>Baseline: status not provided.</t>
        </is>
      </c>
      <c r="Y56" s="63" t="n"/>
      <c r="Z56" s="64" t="n"/>
      <c r="AA56" s="64" t="n"/>
      <c r="AB56" s="65" t="n"/>
      <c r="AC56" s="69" t="str">
        <f>IF(OR($G56="",NOT(ISNUMBER($K56)),$AK56=0),"",MAX(0,ReportDate-$K56))</f>
        <v/>
      </c>
      <c r="AD56" s="69">
        <f>IF($G56="","",IF($AL56=1,ReportDate-$L56,0))</f>
        <v>0</v>
      </c>
      <c r="AE56" s="70">
        <f>IF($G56="","",IF($M56="Completed",1,IF(ISNUMBER($N56),$N56,0)))</f>
        <v>0</v>
      </c>
      <c r="AF56" s="70" t="str">
        <f>IF(AND(ISNUMBER($Q56),ISNUMBER($R56)),IF($R56&lt;&gt;0,$Q56/$R56,""),"")</f>
        <v/>
      </c>
      <c r="AG56" s="71" t="str">
        <f>IF($G56="","",IF($AL56=1,"OVERDUE",IF($AM56=1,"BLOCKED",IF($AN56=1,"DUE TODAY",IF($AO56=1,"DUE TOMORROW",IF($AQ56=1,"HIGH PRIORITY",IF($AR56=1,"NO RECENT UPDATE",""))))))) </f>
        <v>NO RECENT UPDATE</v>
      </c>
      <c r="AH56" s="71" t="str">
        <f>IF($G56="","",IF(ISNUMBER($A56),IF(ISNUMBER($A56),YEAR($A56)&amp;"-"&amp;TEXT(MONTH($A56),"00"),""),IF(ISNUMBER($L56),IF(ISNUMBER($L56),YEAR($L56)&amp;"-"&amp;TEXT(MONTH($L56),"00"),""),"")))</f>
        <v/>
      </c>
      <c r="AI56" s="71">
        <f>IF($G56="",0,IF(AND(OR(fClient="All",$C56=fClient),OR(fCampaign="All",$D56=fCampaign),OR(fTeam="All",$B56=fTeam),OR(fChannel="All",$F56=fChannel),OR(fMonth="All",$AH56=fMonth),OR(fTStatus="All",$M56=fTStatus)),1,0))</f>
        <v>1</v>
      </c>
      <c r="AJ56" s="71">
        <f>IF($G56="",0,IF(AND(OR(fClient="All",$C56=fClient),OR(fCampaign="All",$D56=fCampaign),OR(fTeam="All",$B56=fTeam),OR(fChannel="All",$F56=fChannel)),1,0))</f>
        <v>1</v>
      </c>
      <c r="AK56" s="71">
        <f>IF($G56="",0,IF(OR($M56="Completed",$M56="Cancelled"),0,1))</f>
        <v>1</v>
      </c>
      <c r="AL56" s="71">
        <f>IF(AND($AK56=1,ISNUMBER($L56)),IF($L56&lt;ReportDate,1,0),0)</f>
        <v>0</v>
      </c>
      <c r="AM56" s="71">
        <f>IF(AND($G56&lt;&gt;"",$M56="Blocked"),1,0)</f>
        <v>0</v>
      </c>
      <c r="AN56" s="71">
        <f>IF(AND($AK56=1,ISNUMBER($L56)),IF($L56=ReportDate,1,0),0)</f>
        <v>0</v>
      </c>
      <c r="AO56" s="71">
        <f>IF(AND($AK56=1,ISNUMBER($L56)),IF($L56=ReportDate+1,1,0),0)</f>
        <v>0</v>
      </c>
      <c r="AP56" s="71">
        <f>IF(AND($AK56=1,ISNUMBER($L56)),IF(AND($L56&gt;=ReportDate,$L56&lt;=ReportDate+DueSoonDays),1,0),0)</f>
        <v>0</v>
      </c>
      <c r="AQ56" s="71">
        <f>IF(AND($AK56=1,OR($I56="Critical",$I56="High")),1,0)</f>
        <v>0</v>
      </c>
      <c r="AR56" s="71">
        <f>IF($AK56=1,IF(ISNUMBER($Y56),IF(ReportDate-$Y56&gt;StaleDays,1,0),1),0)</f>
        <v>1</v>
      </c>
      <c r="AS56" s="71">
        <f>IF(AND($G56&lt;&gt;"",ISNUMBER($Q56),ISNUMBER($R56)),IF(AND($Q56&lt;$R56,OR($M56="Completed",AND(ISNUMBER($L56),$L56&lt;ReportDate))),1,0),0)</f>
        <v>0</v>
      </c>
      <c r="AT56" s="71">
        <f>IF($AK56=1,IF(OR($L56=ReportDate,$W56=ReportDate,$K56=ReportDate,$A56=ReportDate),1,0),0)</f>
        <v>0</v>
      </c>
      <c r="AU56" s="71">
        <f>IF($AK56=1,IF(OR($L56=ReportDate+1,$W56=ReportDate+1,$K56=ReportDate+1,$A56=ReportDate+1),1,0),0)</f>
        <v>0</v>
      </c>
      <c r="AV56" s="71">
        <f>IF(AND($G56&lt;&gt;"",$M56="Completed"),IF(OR($Y56=ReportDate-1,$A56=ReportDate-1),1,0),0)</f>
        <v>0</v>
      </c>
      <c r="AW56" s="71">
        <f>IF(AND($AK56=1,$Z56="Yes"),1,0)</f>
        <v>0</v>
      </c>
      <c r="AX56" s="71">
        <f>IF(AND($AK56=1,$AA56="Yes"),1,0)</f>
        <v>0</v>
      </c>
      <c r="AY56" s="71">
        <f>IF(AND($AM56=1,OR($I56="Critical",$I56="High")),1,0)</f>
        <v>0</v>
      </c>
      <c r="AZ56" s="71">
        <f>IF(AND($AK56=1,OR($C56=TCL_Client,$C56=MECCA_Client)),1,0)</f>
        <v>0</v>
      </c>
      <c r="BA56" s="71">
        <f>IF($G56="","",IFERROR(MATCH($I56,lst_Priority,0),5))</f>
        <v>5</v>
      </c>
      <c r="BB56" s="71" t="str">
        <f>IF(AND($AL56=1,$AJ56=1),$BA56*100000+ROW(),"")</f>
        <v/>
      </c>
      <c r="BC56" s="71" t="str">
        <f>IF(AND($AM56=1,$AJ56=1),$BA56*100000+ROW(),"")</f>
        <v/>
      </c>
      <c r="BD56" s="71" t="str">
        <f>IF(AND($AP56=1,$AJ56=1),$BA56*100000+ROW(),"")</f>
        <v/>
      </c>
      <c r="BE56" s="71" t="str">
        <f>IF(AND($AT56=1,$AJ56=1),$BA56*100000+ROW(),"")</f>
        <v/>
      </c>
      <c r="BF56" s="71" t="str">
        <f>IF(AND($AU56=1,$AJ56=1),$BA56*100000+ROW(),"")</f>
        <v/>
      </c>
      <c r="BG56" s="71" t="str">
        <f>IF(AND($AV56=1,$AJ56=1),$BA56*100000+ROW(),"")</f>
        <v/>
      </c>
      <c r="BH56" s="71" t="str">
        <f>IF(AND($AW56=1,$AJ56=1),$BA56*100000+ROW(),"")</f>
        <v/>
      </c>
      <c r="BI56" s="71" t="str">
        <f>IF(AND($AX56=1,$AJ56=1),$BA56*100000+ROW(),"")</f>
        <v/>
      </c>
      <c r="BJ56" s="71" t="str">
        <f>IF(AND($AS56=1,$AJ56=1),$BA56*100000+ROW(),"")</f>
        <v/>
      </c>
      <c r="BK56" s="71" t="str">
        <f>IF(AND($AY56=1,$AJ56=1),$BA56*100000+ROW(),"")</f>
        <v/>
      </c>
      <c r="BL56" s="71" t="str">
        <f>IF(AND($AZ56=1),$BA56*100000+ROW(),"")</f>
        <v/>
      </c>
    </row>
    <row r="57">
      <c r="A57" s="63" t="n"/>
      <c r="B57" s="64" t="inlineStr">
        <is>
          <t>Ayush Jain</t>
        </is>
      </c>
      <c r="C57" s="64" t="inlineStr">
        <is>
          <t>Magnasoft</t>
        </is>
      </c>
      <c r="D57" s="64" t="inlineStr">
        <is>
          <t>Magnasoft - SEO &amp; Social Media</t>
        </is>
      </c>
      <c r="E57" s="64" t="inlineStr">
        <is>
          <t>Content</t>
        </is>
      </c>
      <c r="F57" s="64" t="inlineStr">
        <is>
          <t>Content</t>
        </is>
      </c>
      <c r="G57" s="65" t="inlineStr">
        <is>
          <t>Content topic research</t>
        </is>
      </c>
      <c r="H57" s="65" t="n"/>
      <c r="I57" s="64" t="n"/>
      <c r="J57" s="64" t="n"/>
      <c r="K57" s="63" t="n"/>
      <c r="L57" s="63" t="n"/>
      <c r="M57" s="64" t="n"/>
      <c r="N57" s="66" t="n"/>
      <c r="O57" s="65" t="n"/>
      <c r="P57" s="64" t="inlineStr">
        <is>
          <t>Mandate (unit not specified)</t>
        </is>
      </c>
      <c r="Q57" s="67" t="n"/>
      <c r="R57" s="67" t="n">
        <v>8</v>
      </c>
      <c r="S57" s="68" t="str">
        <f>IF(AND(ISNUMBER($Q57),ISNUMBER($R57)),$Q57-$R57,"")</f>
        <v/>
      </c>
      <c r="T57" s="65" t="n"/>
      <c r="U57" s="64" t="n"/>
      <c r="V57" s="65" t="n"/>
      <c r="W57" s="63" t="n"/>
      <c r="X57" s="65" t="inlineStr">
        <is>
          <t>Baseline: status not provided.</t>
        </is>
      </c>
      <c r="Y57" s="63" t="n"/>
      <c r="Z57" s="64" t="n"/>
      <c r="AA57" s="64" t="n"/>
      <c r="AB57" s="65" t="inlineStr">
        <is>
          <t>Mandate: 8</t>
        </is>
      </c>
      <c r="AC57" s="69" t="str">
        <f>IF(OR($G57="",NOT(ISNUMBER($K57)),$AK57=0),"",MAX(0,ReportDate-$K57))</f>
        <v/>
      </c>
      <c r="AD57" s="69">
        <f>IF($G57="","",IF($AL57=1,ReportDate-$L57,0))</f>
        <v>0</v>
      </c>
      <c r="AE57" s="70">
        <f>IF($G57="","",IF($M57="Completed",1,IF(ISNUMBER($N57),$N57,0)))</f>
        <v>0</v>
      </c>
      <c r="AF57" s="70" t="str">
        <f>IF(AND(ISNUMBER($Q57),ISNUMBER($R57)),IF($R57&lt;&gt;0,$Q57/$R57,""),"")</f>
        <v/>
      </c>
      <c r="AG57" s="71" t="str">
        <f>IF($G57="","",IF($AL57=1,"OVERDUE",IF($AM57=1,"BLOCKED",IF($AN57=1,"DUE TODAY",IF($AO57=1,"DUE TOMORROW",IF($AQ57=1,"HIGH PRIORITY",IF($AR57=1,"NO RECENT UPDATE",""))))))) </f>
        <v>NO RECENT UPDATE</v>
      </c>
      <c r="AH57" s="71" t="str">
        <f>IF($G57="","",IF(ISNUMBER($A57),IF(ISNUMBER($A57),YEAR($A57)&amp;"-"&amp;TEXT(MONTH($A57),"00"),""),IF(ISNUMBER($L57),IF(ISNUMBER($L57),YEAR($L57)&amp;"-"&amp;TEXT(MONTH($L57),"00"),""),"")))</f>
        <v/>
      </c>
      <c r="AI57" s="71">
        <f>IF($G57="",0,IF(AND(OR(fClient="All",$C57=fClient),OR(fCampaign="All",$D57=fCampaign),OR(fTeam="All",$B57=fTeam),OR(fChannel="All",$F57=fChannel),OR(fMonth="All",$AH57=fMonth),OR(fTStatus="All",$M57=fTStatus)),1,0))</f>
        <v>1</v>
      </c>
      <c r="AJ57" s="71">
        <f>IF($G57="",0,IF(AND(OR(fClient="All",$C57=fClient),OR(fCampaign="All",$D57=fCampaign),OR(fTeam="All",$B57=fTeam),OR(fChannel="All",$F57=fChannel)),1,0))</f>
        <v>1</v>
      </c>
      <c r="AK57" s="71">
        <f>IF($G57="",0,IF(OR($M57="Completed",$M57="Cancelled"),0,1))</f>
        <v>1</v>
      </c>
      <c r="AL57" s="71">
        <f>IF(AND($AK57=1,ISNUMBER($L57)),IF($L57&lt;ReportDate,1,0),0)</f>
        <v>0</v>
      </c>
      <c r="AM57" s="71">
        <f>IF(AND($G57&lt;&gt;"",$M57="Blocked"),1,0)</f>
        <v>0</v>
      </c>
      <c r="AN57" s="71">
        <f>IF(AND($AK57=1,ISNUMBER($L57)),IF($L57=ReportDate,1,0),0)</f>
        <v>0</v>
      </c>
      <c r="AO57" s="71">
        <f>IF(AND($AK57=1,ISNUMBER($L57)),IF($L57=ReportDate+1,1,0),0)</f>
        <v>0</v>
      </c>
      <c r="AP57" s="71">
        <f>IF(AND($AK57=1,ISNUMBER($L57)),IF(AND($L57&gt;=ReportDate,$L57&lt;=ReportDate+DueSoonDays),1,0),0)</f>
        <v>0</v>
      </c>
      <c r="AQ57" s="71">
        <f>IF(AND($AK57=1,OR($I57="Critical",$I57="High")),1,0)</f>
        <v>0</v>
      </c>
      <c r="AR57" s="71">
        <f>IF($AK57=1,IF(ISNUMBER($Y57),IF(ReportDate-$Y57&gt;StaleDays,1,0),1),0)</f>
        <v>1</v>
      </c>
      <c r="AS57" s="71">
        <f>IF(AND($G57&lt;&gt;"",ISNUMBER($Q57),ISNUMBER($R57)),IF(AND($Q57&lt;$R57,OR($M57="Completed",AND(ISNUMBER($L57),$L57&lt;ReportDate))),1,0),0)</f>
        <v>0</v>
      </c>
      <c r="AT57" s="71">
        <f>IF($AK57=1,IF(OR($L57=ReportDate,$W57=ReportDate,$K57=ReportDate,$A57=ReportDate),1,0),0)</f>
        <v>0</v>
      </c>
      <c r="AU57" s="71">
        <f>IF($AK57=1,IF(OR($L57=ReportDate+1,$W57=ReportDate+1,$K57=ReportDate+1,$A57=ReportDate+1),1,0),0)</f>
        <v>0</v>
      </c>
      <c r="AV57" s="71">
        <f>IF(AND($G57&lt;&gt;"",$M57="Completed"),IF(OR($Y57=ReportDate-1,$A57=ReportDate-1),1,0),0)</f>
        <v>0</v>
      </c>
      <c r="AW57" s="71">
        <f>IF(AND($AK57=1,$Z57="Yes"),1,0)</f>
        <v>0</v>
      </c>
      <c r="AX57" s="71">
        <f>IF(AND($AK57=1,$AA57="Yes"),1,0)</f>
        <v>0</v>
      </c>
      <c r="AY57" s="71">
        <f>IF(AND($AM57=1,OR($I57="Critical",$I57="High")),1,0)</f>
        <v>0</v>
      </c>
      <c r="AZ57" s="71">
        <f>IF(AND($AK57=1,OR($C57=TCL_Client,$C57=MECCA_Client)),1,0)</f>
        <v>0</v>
      </c>
      <c r="BA57" s="71">
        <f>IF($G57="","",IFERROR(MATCH($I57,lst_Priority,0),5))</f>
        <v>5</v>
      </c>
      <c r="BB57" s="71" t="str">
        <f>IF(AND($AL57=1,$AJ57=1),$BA57*100000+ROW(),"")</f>
        <v/>
      </c>
      <c r="BC57" s="71" t="str">
        <f>IF(AND($AM57=1,$AJ57=1),$BA57*100000+ROW(),"")</f>
        <v/>
      </c>
      <c r="BD57" s="71" t="str">
        <f>IF(AND($AP57=1,$AJ57=1),$BA57*100000+ROW(),"")</f>
        <v/>
      </c>
      <c r="BE57" s="71" t="str">
        <f>IF(AND($AT57=1,$AJ57=1),$BA57*100000+ROW(),"")</f>
        <v/>
      </c>
      <c r="BF57" s="71" t="str">
        <f>IF(AND($AU57=1,$AJ57=1),$BA57*100000+ROW(),"")</f>
        <v/>
      </c>
      <c r="BG57" s="71" t="str">
        <f>IF(AND($AV57=1,$AJ57=1),$BA57*100000+ROW(),"")</f>
        <v/>
      </c>
      <c r="BH57" s="71" t="str">
        <f>IF(AND($AW57=1,$AJ57=1),$BA57*100000+ROW(),"")</f>
        <v/>
      </c>
      <c r="BI57" s="71" t="str">
        <f>IF(AND($AX57=1,$AJ57=1),$BA57*100000+ROW(),"")</f>
        <v/>
      </c>
      <c r="BJ57" s="71" t="str">
        <f>IF(AND($AS57=1,$AJ57=1),$BA57*100000+ROW(),"")</f>
        <v/>
      </c>
      <c r="BK57" s="71" t="str">
        <f>IF(AND($AY57=1,$AJ57=1),$BA57*100000+ROW(),"")</f>
        <v/>
      </c>
      <c r="BL57" s="71" t="str">
        <f>IF(AND($AZ57=1),$BA57*100000+ROW(),"")</f>
        <v/>
      </c>
    </row>
    <row r="58">
      <c r="A58" s="63" t="n"/>
      <c r="B58" s="64" t="inlineStr">
        <is>
          <t>Ayush Jain</t>
        </is>
      </c>
      <c r="C58" s="64" t="inlineStr">
        <is>
          <t>Magnasoft</t>
        </is>
      </c>
      <c r="D58" s="64" t="inlineStr">
        <is>
          <t>Magnasoft - SEO &amp; Social Media</t>
        </is>
      </c>
      <c r="E58" s="64" t="inlineStr">
        <is>
          <t>Website</t>
        </is>
      </c>
      <c r="F58" s="64" t="inlineStr">
        <is>
          <t>Website</t>
        </is>
      </c>
      <c r="G58" s="65" t="inlineStr">
        <is>
          <t>Website management</t>
        </is>
      </c>
      <c r="H58" s="65" t="n"/>
      <c r="I58" s="64" t="n"/>
      <c r="J58" s="64" t="n"/>
      <c r="K58" s="63" t="n"/>
      <c r="L58" s="63" t="n"/>
      <c r="M58" s="64" t="n"/>
      <c r="N58" s="66" t="n"/>
      <c r="O58" s="65" t="n"/>
      <c r="P58" s="64" t="n"/>
      <c r="Q58" s="67" t="n"/>
      <c r="R58" s="67" t="n"/>
      <c r="S58" s="68" t="str">
        <f>IF(AND(ISNUMBER($Q58),ISNUMBER($R58)),$Q58-$R58,"")</f>
        <v/>
      </c>
      <c r="T58" s="65" t="n"/>
      <c r="U58" s="64" t="n"/>
      <c r="V58" s="65" t="n"/>
      <c r="W58" s="63" t="n"/>
      <c r="X58" s="65" t="inlineStr">
        <is>
          <t>Baseline: status not provided.</t>
        </is>
      </c>
      <c r="Y58" s="63" t="n"/>
      <c r="Z58" s="64" t="n"/>
      <c r="AA58" s="64" t="n"/>
      <c r="AB58" s="65" t="n"/>
      <c r="AC58" s="69" t="str">
        <f>IF(OR($G58="",NOT(ISNUMBER($K58)),$AK58=0),"",MAX(0,ReportDate-$K58))</f>
        <v/>
      </c>
      <c r="AD58" s="69">
        <f>IF($G58="","",IF($AL58=1,ReportDate-$L58,0))</f>
        <v>0</v>
      </c>
      <c r="AE58" s="70">
        <f>IF($G58="","",IF($M58="Completed",1,IF(ISNUMBER($N58),$N58,0)))</f>
        <v>0</v>
      </c>
      <c r="AF58" s="70" t="str">
        <f>IF(AND(ISNUMBER($Q58),ISNUMBER($R58)),IF($R58&lt;&gt;0,$Q58/$R58,""),"")</f>
        <v/>
      </c>
      <c r="AG58" s="71" t="str">
        <f>IF($G58="","",IF($AL58=1,"OVERDUE",IF($AM58=1,"BLOCKED",IF($AN58=1,"DUE TODAY",IF($AO58=1,"DUE TOMORROW",IF($AQ58=1,"HIGH PRIORITY",IF($AR58=1,"NO RECENT UPDATE",""))))))) </f>
        <v>NO RECENT UPDATE</v>
      </c>
      <c r="AH58" s="71" t="str">
        <f>IF($G58="","",IF(ISNUMBER($A58),IF(ISNUMBER($A58),YEAR($A58)&amp;"-"&amp;TEXT(MONTH($A58),"00"),""),IF(ISNUMBER($L58),IF(ISNUMBER($L58),YEAR($L58)&amp;"-"&amp;TEXT(MONTH($L58),"00"),""),"")))</f>
        <v/>
      </c>
      <c r="AI58" s="71">
        <f>IF($G58="",0,IF(AND(OR(fClient="All",$C58=fClient),OR(fCampaign="All",$D58=fCampaign),OR(fTeam="All",$B58=fTeam),OR(fChannel="All",$F58=fChannel),OR(fMonth="All",$AH58=fMonth),OR(fTStatus="All",$M58=fTStatus)),1,0))</f>
        <v>1</v>
      </c>
      <c r="AJ58" s="71">
        <f>IF($G58="",0,IF(AND(OR(fClient="All",$C58=fClient),OR(fCampaign="All",$D58=fCampaign),OR(fTeam="All",$B58=fTeam),OR(fChannel="All",$F58=fChannel)),1,0))</f>
        <v>1</v>
      </c>
      <c r="AK58" s="71">
        <f>IF($G58="",0,IF(OR($M58="Completed",$M58="Cancelled"),0,1))</f>
        <v>1</v>
      </c>
      <c r="AL58" s="71">
        <f>IF(AND($AK58=1,ISNUMBER($L58)),IF($L58&lt;ReportDate,1,0),0)</f>
        <v>0</v>
      </c>
      <c r="AM58" s="71">
        <f>IF(AND($G58&lt;&gt;"",$M58="Blocked"),1,0)</f>
        <v>0</v>
      </c>
      <c r="AN58" s="71">
        <f>IF(AND($AK58=1,ISNUMBER($L58)),IF($L58=ReportDate,1,0),0)</f>
        <v>0</v>
      </c>
      <c r="AO58" s="71">
        <f>IF(AND($AK58=1,ISNUMBER($L58)),IF($L58=ReportDate+1,1,0),0)</f>
        <v>0</v>
      </c>
      <c r="AP58" s="71">
        <f>IF(AND($AK58=1,ISNUMBER($L58)),IF(AND($L58&gt;=ReportDate,$L58&lt;=ReportDate+DueSoonDays),1,0),0)</f>
        <v>0</v>
      </c>
      <c r="AQ58" s="71">
        <f>IF(AND($AK58=1,OR($I58="Critical",$I58="High")),1,0)</f>
        <v>0</v>
      </c>
      <c r="AR58" s="71">
        <f>IF($AK58=1,IF(ISNUMBER($Y58),IF(ReportDate-$Y58&gt;StaleDays,1,0),1),0)</f>
        <v>1</v>
      </c>
      <c r="AS58" s="71">
        <f>IF(AND($G58&lt;&gt;"",ISNUMBER($Q58),ISNUMBER($R58)),IF(AND($Q58&lt;$R58,OR($M58="Completed",AND(ISNUMBER($L58),$L58&lt;ReportDate))),1,0),0)</f>
        <v>0</v>
      </c>
      <c r="AT58" s="71">
        <f>IF($AK58=1,IF(OR($L58=ReportDate,$W58=ReportDate,$K58=ReportDate,$A58=ReportDate),1,0),0)</f>
        <v>0</v>
      </c>
      <c r="AU58" s="71">
        <f>IF($AK58=1,IF(OR($L58=ReportDate+1,$W58=ReportDate+1,$K58=ReportDate+1,$A58=ReportDate+1),1,0),0)</f>
        <v>0</v>
      </c>
      <c r="AV58" s="71">
        <f>IF(AND($G58&lt;&gt;"",$M58="Completed"),IF(OR($Y58=ReportDate-1,$A58=ReportDate-1),1,0),0)</f>
        <v>0</v>
      </c>
      <c r="AW58" s="71">
        <f>IF(AND($AK58=1,$Z58="Yes"),1,0)</f>
        <v>0</v>
      </c>
      <c r="AX58" s="71">
        <f>IF(AND($AK58=1,$AA58="Yes"),1,0)</f>
        <v>0</v>
      </c>
      <c r="AY58" s="71">
        <f>IF(AND($AM58=1,OR($I58="Critical",$I58="High")),1,0)</f>
        <v>0</v>
      </c>
      <c r="AZ58" s="71">
        <f>IF(AND($AK58=1,OR($C58=TCL_Client,$C58=MECCA_Client)),1,0)</f>
        <v>0</v>
      </c>
      <c r="BA58" s="71">
        <f>IF($G58="","",IFERROR(MATCH($I58,lst_Priority,0),5))</f>
        <v>5</v>
      </c>
      <c r="BB58" s="71" t="str">
        <f>IF(AND($AL58=1,$AJ58=1),$BA58*100000+ROW(),"")</f>
        <v/>
      </c>
      <c r="BC58" s="71" t="str">
        <f>IF(AND($AM58=1,$AJ58=1),$BA58*100000+ROW(),"")</f>
        <v/>
      </c>
      <c r="BD58" s="71" t="str">
        <f>IF(AND($AP58=1,$AJ58=1),$BA58*100000+ROW(),"")</f>
        <v/>
      </c>
      <c r="BE58" s="71" t="str">
        <f>IF(AND($AT58=1,$AJ58=1),$BA58*100000+ROW(),"")</f>
        <v/>
      </c>
      <c r="BF58" s="71" t="str">
        <f>IF(AND($AU58=1,$AJ58=1),$BA58*100000+ROW(),"")</f>
        <v/>
      </c>
      <c r="BG58" s="71" t="str">
        <f>IF(AND($AV58=1,$AJ58=1),$BA58*100000+ROW(),"")</f>
        <v/>
      </c>
      <c r="BH58" s="71" t="str">
        <f>IF(AND($AW58=1,$AJ58=1),$BA58*100000+ROW(),"")</f>
        <v/>
      </c>
      <c r="BI58" s="71" t="str">
        <f>IF(AND($AX58=1,$AJ58=1),$BA58*100000+ROW(),"")</f>
        <v/>
      </c>
      <c r="BJ58" s="71" t="str">
        <f>IF(AND($AS58=1,$AJ58=1),$BA58*100000+ROW(),"")</f>
        <v/>
      </c>
      <c r="BK58" s="71" t="str">
        <f>IF(AND($AY58=1,$AJ58=1),$BA58*100000+ROW(),"")</f>
        <v/>
      </c>
      <c r="BL58" s="71" t="str">
        <f>IF(AND($AZ58=1),$BA58*100000+ROW(),"")</f>
        <v/>
      </c>
    </row>
    <row r="59">
      <c r="A59" s="63" t="n"/>
      <c r="B59" s="64" t="inlineStr">
        <is>
          <t>Ayush Jain</t>
        </is>
      </c>
      <c r="C59" s="64" t="inlineStr">
        <is>
          <t>Magnasoft</t>
        </is>
      </c>
      <c r="D59" s="64" t="inlineStr">
        <is>
          <t>Magnasoft - SEO &amp; Social Media</t>
        </is>
      </c>
      <c r="E59" s="64" t="inlineStr">
        <is>
          <t>Planning &amp; Strategy</t>
        </is>
      </c>
      <c r="F59" s="64" t="inlineStr">
        <is>
          <t>Social Media</t>
        </is>
      </c>
      <c r="G59" s="65" t="inlineStr">
        <is>
          <t>Social media calendar preparation</t>
        </is>
      </c>
      <c r="H59" s="65" t="n"/>
      <c r="I59" s="64" t="n"/>
      <c r="J59" s="64" t="n"/>
      <c r="K59" s="63" t="n"/>
      <c r="L59" s="63" t="n"/>
      <c r="M59" s="64" t="n"/>
      <c r="N59" s="66" t="n"/>
      <c r="O59" s="65" t="n"/>
      <c r="P59" s="64" t="n"/>
      <c r="Q59" s="67" t="n"/>
      <c r="R59" s="67" t="n"/>
      <c r="S59" s="68" t="str">
        <f>IF(AND(ISNUMBER($Q59),ISNUMBER($R59)),$Q59-$R59,"")</f>
        <v/>
      </c>
      <c r="T59" s="65" t="n"/>
      <c r="U59" s="64" t="n"/>
      <c r="V59" s="65" t="n"/>
      <c r="W59" s="63" t="n"/>
      <c r="X59" s="65" t="inlineStr">
        <is>
          <t>Baseline: status not provided.</t>
        </is>
      </c>
      <c r="Y59" s="63" t="n"/>
      <c r="Z59" s="64" t="n"/>
      <c r="AA59" s="64" t="n"/>
      <c r="AB59" s="65" t="inlineStr">
        <is>
          <t>Mandate: 10-12</t>
        </is>
      </c>
      <c r="AC59" s="69" t="str">
        <f>IF(OR($G59="",NOT(ISNUMBER($K59)),$AK59=0),"",MAX(0,ReportDate-$K59))</f>
        <v/>
      </c>
      <c r="AD59" s="69">
        <f>IF($G59="","",IF($AL59=1,ReportDate-$L59,0))</f>
        <v>0</v>
      </c>
      <c r="AE59" s="70">
        <f>IF($G59="","",IF($M59="Completed",1,IF(ISNUMBER($N59),$N59,0)))</f>
        <v>0</v>
      </c>
      <c r="AF59" s="70" t="str">
        <f>IF(AND(ISNUMBER($Q59),ISNUMBER($R59)),IF($R59&lt;&gt;0,$Q59/$R59,""),"")</f>
        <v/>
      </c>
      <c r="AG59" s="71" t="str">
        <f>IF($G59="","",IF($AL59=1,"OVERDUE",IF($AM59=1,"BLOCKED",IF($AN59=1,"DUE TODAY",IF($AO59=1,"DUE TOMORROW",IF($AQ59=1,"HIGH PRIORITY",IF($AR59=1,"NO RECENT UPDATE",""))))))) </f>
        <v>NO RECENT UPDATE</v>
      </c>
      <c r="AH59" s="71" t="str">
        <f>IF($G59="","",IF(ISNUMBER($A59),IF(ISNUMBER($A59),YEAR($A59)&amp;"-"&amp;TEXT(MONTH($A59),"00"),""),IF(ISNUMBER($L59),IF(ISNUMBER($L59),YEAR($L59)&amp;"-"&amp;TEXT(MONTH($L59),"00"),""),"")))</f>
        <v/>
      </c>
      <c r="AI59" s="71">
        <f>IF($G59="",0,IF(AND(OR(fClient="All",$C59=fClient),OR(fCampaign="All",$D59=fCampaign),OR(fTeam="All",$B59=fTeam),OR(fChannel="All",$F59=fChannel),OR(fMonth="All",$AH59=fMonth),OR(fTStatus="All",$M59=fTStatus)),1,0))</f>
        <v>1</v>
      </c>
      <c r="AJ59" s="71">
        <f>IF($G59="",0,IF(AND(OR(fClient="All",$C59=fClient),OR(fCampaign="All",$D59=fCampaign),OR(fTeam="All",$B59=fTeam),OR(fChannel="All",$F59=fChannel)),1,0))</f>
        <v>1</v>
      </c>
      <c r="AK59" s="71">
        <f>IF($G59="",0,IF(OR($M59="Completed",$M59="Cancelled"),0,1))</f>
        <v>1</v>
      </c>
      <c r="AL59" s="71">
        <f>IF(AND($AK59=1,ISNUMBER($L59)),IF($L59&lt;ReportDate,1,0),0)</f>
        <v>0</v>
      </c>
      <c r="AM59" s="71">
        <f>IF(AND($G59&lt;&gt;"",$M59="Blocked"),1,0)</f>
        <v>0</v>
      </c>
      <c r="AN59" s="71">
        <f>IF(AND($AK59=1,ISNUMBER($L59)),IF($L59=ReportDate,1,0),0)</f>
        <v>0</v>
      </c>
      <c r="AO59" s="71">
        <f>IF(AND($AK59=1,ISNUMBER($L59)),IF($L59=ReportDate+1,1,0),0)</f>
        <v>0</v>
      </c>
      <c r="AP59" s="71">
        <f>IF(AND($AK59=1,ISNUMBER($L59)),IF(AND($L59&gt;=ReportDate,$L59&lt;=ReportDate+DueSoonDays),1,0),0)</f>
        <v>0</v>
      </c>
      <c r="AQ59" s="71">
        <f>IF(AND($AK59=1,OR($I59="Critical",$I59="High")),1,0)</f>
        <v>0</v>
      </c>
      <c r="AR59" s="71">
        <f>IF($AK59=1,IF(ISNUMBER($Y59),IF(ReportDate-$Y59&gt;StaleDays,1,0),1),0)</f>
        <v>1</v>
      </c>
      <c r="AS59" s="71">
        <f>IF(AND($G59&lt;&gt;"",ISNUMBER($Q59),ISNUMBER($R59)),IF(AND($Q59&lt;$R59,OR($M59="Completed",AND(ISNUMBER($L59),$L59&lt;ReportDate))),1,0),0)</f>
        <v>0</v>
      </c>
      <c r="AT59" s="71">
        <f>IF($AK59=1,IF(OR($L59=ReportDate,$W59=ReportDate,$K59=ReportDate,$A59=ReportDate),1,0),0)</f>
        <v>0</v>
      </c>
      <c r="AU59" s="71">
        <f>IF($AK59=1,IF(OR($L59=ReportDate+1,$W59=ReportDate+1,$K59=ReportDate+1,$A59=ReportDate+1),1,0),0)</f>
        <v>0</v>
      </c>
      <c r="AV59" s="71">
        <f>IF(AND($G59&lt;&gt;"",$M59="Completed"),IF(OR($Y59=ReportDate-1,$A59=ReportDate-1),1,0),0)</f>
        <v>0</v>
      </c>
      <c r="AW59" s="71">
        <f>IF(AND($AK59=1,$Z59="Yes"),1,0)</f>
        <v>0</v>
      </c>
      <c r="AX59" s="71">
        <f>IF(AND($AK59=1,$AA59="Yes"),1,0)</f>
        <v>0</v>
      </c>
      <c r="AY59" s="71">
        <f>IF(AND($AM59=1,OR($I59="Critical",$I59="High")),1,0)</f>
        <v>0</v>
      </c>
      <c r="AZ59" s="71">
        <f>IF(AND($AK59=1,OR($C59=TCL_Client,$C59=MECCA_Client)),1,0)</f>
        <v>0</v>
      </c>
      <c r="BA59" s="71">
        <f>IF($G59="","",IFERROR(MATCH($I59,lst_Priority,0),5))</f>
        <v>5</v>
      </c>
      <c r="BB59" s="71" t="str">
        <f>IF(AND($AL59=1,$AJ59=1),$BA59*100000+ROW(),"")</f>
        <v/>
      </c>
      <c r="BC59" s="71" t="str">
        <f>IF(AND($AM59=1,$AJ59=1),$BA59*100000+ROW(),"")</f>
        <v/>
      </c>
      <c r="BD59" s="71" t="str">
        <f>IF(AND($AP59=1,$AJ59=1),$BA59*100000+ROW(),"")</f>
        <v/>
      </c>
      <c r="BE59" s="71" t="str">
        <f>IF(AND($AT59=1,$AJ59=1),$BA59*100000+ROW(),"")</f>
        <v/>
      </c>
      <c r="BF59" s="71" t="str">
        <f>IF(AND($AU59=1,$AJ59=1),$BA59*100000+ROW(),"")</f>
        <v/>
      </c>
      <c r="BG59" s="71" t="str">
        <f>IF(AND($AV59=1,$AJ59=1),$BA59*100000+ROW(),"")</f>
        <v/>
      </c>
      <c r="BH59" s="71" t="str">
        <f>IF(AND($AW59=1,$AJ59=1),$BA59*100000+ROW(),"")</f>
        <v/>
      </c>
      <c r="BI59" s="71" t="str">
        <f>IF(AND($AX59=1,$AJ59=1),$BA59*100000+ROW(),"")</f>
        <v/>
      </c>
      <c r="BJ59" s="71" t="str">
        <f>IF(AND($AS59=1,$AJ59=1),$BA59*100000+ROW(),"")</f>
        <v/>
      </c>
      <c r="BK59" s="71" t="str">
        <f>IF(AND($AY59=1,$AJ59=1),$BA59*100000+ROW(),"")</f>
        <v/>
      </c>
      <c r="BL59" s="71" t="str">
        <f>IF(AND($AZ59=1),$BA59*100000+ROW(),"")</f>
        <v/>
      </c>
    </row>
    <row r="60">
      <c r="A60" s="63" t="n"/>
      <c r="B60" s="64" t="inlineStr">
        <is>
          <t>Ayush Jain</t>
        </is>
      </c>
      <c r="C60" s="64" t="inlineStr">
        <is>
          <t>Eternelle</t>
        </is>
      </c>
      <c r="D60" s="64" t="inlineStr">
        <is>
          <t>Eternelle - SEO &amp; Blogs</t>
        </is>
      </c>
      <c r="E60" s="64" t="inlineStr">
        <is>
          <t>Content</t>
        </is>
      </c>
      <c r="F60" s="64" t="inlineStr">
        <is>
          <t>Content</t>
        </is>
      </c>
      <c r="G60" s="65" t="inlineStr">
        <is>
          <t>Content research</t>
        </is>
      </c>
      <c r="H60" s="65" t="n"/>
      <c r="I60" s="64" t="n"/>
      <c r="J60" s="64" t="n"/>
      <c r="K60" s="63" t="n"/>
      <c r="L60" s="63" t="n"/>
      <c r="M60" s="64" t="n"/>
      <c r="N60" s="66" t="n"/>
      <c r="O60" s="65" t="n"/>
      <c r="P60" s="64" t="inlineStr">
        <is>
          <t>Mandate (unit not specified)</t>
        </is>
      </c>
      <c r="Q60" s="67" t="n"/>
      <c r="R60" s="67" t="n">
        <v>8</v>
      </c>
      <c r="S60" s="68" t="str">
        <f>IF(AND(ISNUMBER($Q60),ISNUMBER($R60)),$Q60-$R60,"")</f>
        <v/>
      </c>
      <c r="T60" s="65" t="n"/>
      <c r="U60" s="64" t="n"/>
      <c r="V60" s="65" t="n"/>
      <c r="W60" s="63" t="n"/>
      <c r="X60" s="65" t="inlineStr">
        <is>
          <t>Baseline: status not provided.</t>
        </is>
      </c>
      <c r="Y60" s="63" t="n"/>
      <c r="Z60" s="64" t="n"/>
      <c r="AA60" s="64" t="n"/>
      <c r="AB60" s="65" t="inlineStr">
        <is>
          <t>Mandate: 8</t>
        </is>
      </c>
      <c r="AC60" s="69" t="str">
        <f>IF(OR($G60="",NOT(ISNUMBER($K60)),$AK60=0),"",MAX(0,ReportDate-$K60))</f>
        <v/>
      </c>
      <c r="AD60" s="69">
        <f>IF($G60="","",IF($AL60=1,ReportDate-$L60,0))</f>
        <v>0</v>
      </c>
      <c r="AE60" s="70">
        <f>IF($G60="","",IF($M60="Completed",1,IF(ISNUMBER($N60),$N60,0)))</f>
        <v>0</v>
      </c>
      <c r="AF60" s="70" t="str">
        <f>IF(AND(ISNUMBER($Q60),ISNUMBER($R60)),IF($R60&lt;&gt;0,$Q60/$R60,""),"")</f>
        <v/>
      </c>
      <c r="AG60" s="71" t="str">
        <f>IF($G60="","",IF($AL60=1,"OVERDUE",IF($AM60=1,"BLOCKED",IF($AN60=1,"DUE TODAY",IF($AO60=1,"DUE TOMORROW",IF($AQ60=1,"HIGH PRIORITY",IF($AR60=1,"NO RECENT UPDATE",""))))))) </f>
        <v>NO RECENT UPDATE</v>
      </c>
      <c r="AH60" s="71" t="str">
        <f>IF($G60="","",IF(ISNUMBER($A60),IF(ISNUMBER($A60),YEAR($A60)&amp;"-"&amp;TEXT(MONTH($A60),"00"),""),IF(ISNUMBER($L60),IF(ISNUMBER($L60),YEAR($L60)&amp;"-"&amp;TEXT(MONTH($L60),"00"),""),"")))</f>
        <v/>
      </c>
      <c r="AI60" s="71">
        <f>IF($G60="",0,IF(AND(OR(fClient="All",$C60=fClient),OR(fCampaign="All",$D60=fCampaign),OR(fTeam="All",$B60=fTeam),OR(fChannel="All",$F60=fChannel),OR(fMonth="All",$AH60=fMonth),OR(fTStatus="All",$M60=fTStatus)),1,0))</f>
        <v>1</v>
      </c>
      <c r="AJ60" s="71">
        <f>IF($G60="",0,IF(AND(OR(fClient="All",$C60=fClient),OR(fCampaign="All",$D60=fCampaign),OR(fTeam="All",$B60=fTeam),OR(fChannel="All",$F60=fChannel)),1,0))</f>
        <v>1</v>
      </c>
      <c r="AK60" s="71">
        <f>IF($G60="",0,IF(OR($M60="Completed",$M60="Cancelled"),0,1))</f>
        <v>1</v>
      </c>
      <c r="AL60" s="71">
        <f>IF(AND($AK60=1,ISNUMBER($L60)),IF($L60&lt;ReportDate,1,0),0)</f>
        <v>0</v>
      </c>
      <c r="AM60" s="71">
        <f>IF(AND($G60&lt;&gt;"",$M60="Blocked"),1,0)</f>
        <v>0</v>
      </c>
      <c r="AN60" s="71">
        <f>IF(AND($AK60=1,ISNUMBER($L60)),IF($L60=ReportDate,1,0),0)</f>
        <v>0</v>
      </c>
      <c r="AO60" s="71">
        <f>IF(AND($AK60=1,ISNUMBER($L60)),IF($L60=ReportDate+1,1,0),0)</f>
        <v>0</v>
      </c>
      <c r="AP60" s="71">
        <f>IF(AND($AK60=1,ISNUMBER($L60)),IF(AND($L60&gt;=ReportDate,$L60&lt;=ReportDate+DueSoonDays),1,0),0)</f>
        <v>0</v>
      </c>
      <c r="AQ60" s="71">
        <f>IF(AND($AK60=1,OR($I60="Critical",$I60="High")),1,0)</f>
        <v>0</v>
      </c>
      <c r="AR60" s="71">
        <f>IF($AK60=1,IF(ISNUMBER($Y60),IF(ReportDate-$Y60&gt;StaleDays,1,0),1),0)</f>
        <v>1</v>
      </c>
      <c r="AS60" s="71">
        <f>IF(AND($G60&lt;&gt;"",ISNUMBER($Q60),ISNUMBER($R60)),IF(AND($Q60&lt;$R60,OR($M60="Completed",AND(ISNUMBER($L60),$L60&lt;ReportDate))),1,0),0)</f>
        <v>0</v>
      </c>
      <c r="AT60" s="71">
        <f>IF($AK60=1,IF(OR($L60=ReportDate,$W60=ReportDate,$K60=ReportDate,$A60=ReportDate),1,0),0)</f>
        <v>0</v>
      </c>
      <c r="AU60" s="71">
        <f>IF($AK60=1,IF(OR($L60=ReportDate+1,$W60=ReportDate+1,$K60=ReportDate+1,$A60=ReportDate+1),1,0),0)</f>
        <v>0</v>
      </c>
      <c r="AV60" s="71">
        <f>IF(AND($G60&lt;&gt;"",$M60="Completed"),IF(OR($Y60=ReportDate-1,$A60=ReportDate-1),1,0),0)</f>
        <v>0</v>
      </c>
      <c r="AW60" s="71">
        <f>IF(AND($AK60=1,$Z60="Yes"),1,0)</f>
        <v>0</v>
      </c>
      <c r="AX60" s="71">
        <f>IF(AND($AK60=1,$AA60="Yes"),1,0)</f>
        <v>0</v>
      </c>
      <c r="AY60" s="71">
        <f>IF(AND($AM60=1,OR($I60="Critical",$I60="High")),1,0)</f>
        <v>0</v>
      </c>
      <c r="AZ60" s="71">
        <f>IF(AND($AK60=1,OR($C60=TCL_Client,$C60=MECCA_Client)),1,0)</f>
        <v>0</v>
      </c>
      <c r="BA60" s="71">
        <f>IF($G60="","",IFERROR(MATCH($I60,lst_Priority,0),5))</f>
        <v>5</v>
      </c>
      <c r="BB60" s="71" t="str">
        <f>IF(AND($AL60=1,$AJ60=1),$BA60*100000+ROW(),"")</f>
        <v/>
      </c>
      <c r="BC60" s="71" t="str">
        <f>IF(AND($AM60=1,$AJ60=1),$BA60*100000+ROW(),"")</f>
        <v/>
      </c>
      <c r="BD60" s="71" t="str">
        <f>IF(AND($AP60=1,$AJ60=1),$BA60*100000+ROW(),"")</f>
        <v/>
      </c>
      <c r="BE60" s="71" t="str">
        <f>IF(AND($AT60=1,$AJ60=1),$BA60*100000+ROW(),"")</f>
        <v/>
      </c>
      <c r="BF60" s="71" t="str">
        <f>IF(AND($AU60=1,$AJ60=1),$BA60*100000+ROW(),"")</f>
        <v/>
      </c>
      <c r="BG60" s="71" t="str">
        <f>IF(AND($AV60=1,$AJ60=1),$BA60*100000+ROW(),"")</f>
        <v/>
      </c>
      <c r="BH60" s="71" t="str">
        <f>IF(AND($AW60=1,$AJ60=1),$BA60*100000+ROW(),"")</f>
        <v/>
      </c>
      <c r="BI60" s="71" t="str">
        <f>IF(AND($AX60=1,$AJ60=1),$BA60*100000+ROW(),"")</f>
        <v/>
      </c>
      <c r="BJ60" s="71" t="str">
        <f>IF(AND($AS60=1,$AJ60=1),$BA60*100000+ROW(),"")</f>
        <v/>
      </c>
      <c r="BK60" s="71" t="str">
        <f>IF(AND($AY60=1,$AJ60=1),$BA60*100000+ROW(),"")</f>
        <v/>
      </c>
      <c r="BL60" s="71" t="str">
        <f>IF(AND($AZ60=1),$BA60*100000+ROW(),"")</f>
        <v/>
      </c>
    </row>
    <row r="61">
      <c r="A61" s="63" t="n"/>
      <c r="B61" s="64" t="inlineStr">
        <is>
          <t>Ayush Jain</t>
        </is>
      </c>
      <c r="C61" s="64" t="inlineStr">
        <is>
          <t>Eternelle</t>
        </is>
      </c>
      <c r="D61" s="64" t="inlineStr">
        <is>
          <t>Eternelle - Google Ads</t>
        </is>
      </c>
      <c r="E61" s="64" t="inlineStr">
        <is>
          <t>Planning &amp; Strategy</t>
        </is>
      </c>
      <c r="F61" s="64" t="inlineStr">
        <is>
          <t>Google Ads</t>
        </is>
      </c>
      <c r="G61" s="65" t="inlineStr">
        <is>
          <t>Ads planning</t>
        </is>
      </c>
      <c r="H61" s="65" t="n"/>
      <c r="I61" s="64" t="n"/>
      <c r="J61" s="64" t="n"/>
      <c r="K61" s="63" t="n"/>
      <c r="L61" s="63" t="n"/>
      <c r="M61" s="64" t="n"/>
      <c r="N61" s="66" t="n"/>
      <c r="O61" s="65" t="n"/>
      <c r="P61" s="64" t="n"/>
      <c r="Q61" s="67" t="n"/>
      <c r="R61" s="67" t="n"/>
      <c r="S61" s="68" t="str">
        <f>IF(AND(ISNUMBER($Q61),ISNUMBER($R61)),$Q61-$R61,"")</f>
        <v/>
      </c>
      <c r="T61" s="65" t="n"/>
      <c r="U61" s="64" t="n"/>
      <c r="V61" s="65" t="n"/>
      <c r="W61" s="63" t="n"/>
      <c r="X61" s="65" t="inlineStr">
        <is>
          <t>Baseline: status not provided.</t>
        </is>
      </c>
      <c r="Y61" s="63" t="n"/>
      <c r="Z61" s="64" t="n"/>
      <c r="AA61" s="64" t="n"/>
      <c r="AB61" s="65" t="n"/>
      <c r="AC61" s="69" t="str">
        <f>IF(OR($G61="",NOT(ISNUMBER($K61)),$AK61=0),"",MAX(0,ReportDate-$K61))</f>
        <v/>
      </c>
      <c r="AD61" s="69">
        <f>IF($G61="","",IF($AL61=1,ReportDate-$L61,0))</f>
        <v>0</v>
      </c>
      <c r="AE61" s="70">
        <f>IF($G61="","",IF($M61="Completed",1,IF(ISNUMBER($N61),$N61,0)))</f>
        <v>0</v>
      </c>
      <c r="AF61" s="70" t="str">
        <f>IF(AND(ISNUMBER($Q61),ISNUMBER($R61)),IF($R61&lt;&gt;0,$Q61/$R61,""),"")</f>
        <v/>
      </c>
      <c r="AG61" s="71" t="str">
        <f>IF($G61="","",IF($AL61=1,"OVERDUE",IF($AM61=1,"BLOCKED",IF($AN61=1,"DUE TODAY",IF($AO61=1,"DUE TOMORROW",IF($AQ61=1,"HIGH PRIORITY",IF($AR61=1,"NO RECENT UPDATE",""))))))) </f>
        <v>NO RECENT UPDATE</v>
      </c>
      <c r="AH61" s="71" t="str">
        <f>IF($G61="","",IF(ISNUMBER($A61),IF(ISNUMBER($A61),YEAR($A61)&amp;"-"&amp;TEXT(MONTH($A61),"00"),""),IF(ISNUMBER($L61),IF(ISNUMBER($L61),YEAR($L61)&amp;"-"&amp;TEXT(MONTH($L61),"00"),""),"")))</f>
        <v/>
      </c>
      <c r="AI61" s="71">
        <f>IF($G61="",0,IF(AND(OR(fClient="All",$C61=fClient),OR(fCampaign="All",$D61=fCampaign),OR(fTeam="All",$B61=fTeam),OR(fChannel="All",$F61=fChannel),OR(fMonth="All",$AH61=fMonth),OR(fTStatus="All",$M61=fTStatus)),1,0))</f>
        <v>1</v>
      </c>
      <c r="AJ61" s="71">
        <f>IF($G61="",0,IF(AND(OR(fClient="All",$C61=fClient),OR(fCampaign="All",$D61=fCampaign),OR(fTeam="All",$B61=fTeam),OR(fChannel="All",$F61=fChannel)),1,0))</f>
        <v>1</v>
      </c>
      <c r="AK61" s="71">
        <f>IF($G61="",0,IF(OR($M61="Completed",$M61="Cancelled"),0,1))</f>
        <v>1</v>
      </c>
      <c r="AL61" s="71">
        <f>IF(AND($AK61=1,ISNUMBER($L61)),IF($L61&lt;ReportDate,1,0),0)</f>
        <v>0</v>
      </c>
      <c r="AM61" s="71">
        <f>IF(AND($G61&lt;&gt;"",$M61="Blocked"),1,0)</f>
        <v>0</v>
      </c>
      <c r="AN61" s="71">
        <f>IF(AND($AK61=1,ISNUMBER($L61)),IF($L61=ReportDate,1,0),0)</f>
        <v>0</v>
      </c>
      <c r="AO61" s="71">
        <f>IF(AND($AK61=1,ISNUMBER($L61)),IF($L61=ReportDate+1,1,0),0)</f>
        <v>0</v>
      </c>
      <c r="AP61" s="71">
        <f>IF(AND($AK61=1,ISNUMBER($L61)),IF(AND($L61&gt;=ReportDate,$L61&lt;=ReportDate+DueSoonDays),1,0),0)</f>
        <v>0</v>
      </c>
      <c r="AQ61" s="71">
        <f>IF(AND($AK61=1,OR($I61="Critical",$I61="High")),1,0)</f>
        <v>0</v>
      </c>
      <c r="AR61" s="71">
        <f>IF($AK61=1,IF(ISNUMBER($Y61),IF(ReportDate-$Y61&gt;StaleDays,1,0),1),0)</f>
        <v>1</v>
      </c>
      <c r="AS61" s="71">
        <f>IF(AND($G61&lt;&gt;"",ISNUMBER($Q61),ISNUMBER($R61)),IF(AND($Q61&lt;$R61,OR($M61="Completed",AND(ISNUMBER($L61),$L61&lt;ReportDate))),1,0),0)</f>
        <v>0</v>
      </c>
      <c r="AT61" s="71">
        <f>IF($AK61=1,IF(OR($L61=ReportDate,$W61=ReportDate,$K61=ReportDate,$A61=ReportDate),1,0),0)</f>
        <v>0</v>
      </c>
      <c r="AU61" s="71">
        <f>IF($AK61=1,IF(OR($L61=ReportDate+1,$W61=ReportDate+1,$K61=ReportDate+1,$A61=ReportDate+1),1,0),0)</f>
        <v>0</v>
      </c>
      <c r="AV61" s="71">
        <f>IF(AND($G61&lt;&gt;"",$M61="Completed"),IF(OR($Y61=ReportDate-1,$A61=ReportDate-1),1,0),0)</f>
        <v>0</v>
      </c>
      <c r="AW61" s="71">
        <f>IF(AND($AK61=1,$Z61="Yes"),1,0)</f>
        <v>0</v>
      </c>
      <c r="AX61" s="71">
        <f>IF(AND($AK61=1,$AA61="Yes"),1,0)</f>
        <v>0</v>
      </c>
      <c r="AY61" s="71">
        <f>IF(AND($AM61=1,OR($I61="Critical",$I61="High")),1,0)</f>
        <v>0</v>
      </c>
      <c r="AZ61" s="71">
        <f>IF(AND($AK61=1,OR($C61=TCL_Client,$C61=MECCA_Client)),1,0)</f>
        <v>0</v>
      </c>
      <c r="BA61" s="71">
        <f>IF($G61="","",IFERROR(MATCH($I61,lst_Priority,0),5))</f>
        <v>5</v>
      </c>
      <c r="BB61" s="71" t="str">
        <f>IF(AND($AL61=1,$AJ61=1),$BA61*100000+ROW(),"")</f>
        <v/>
      </c>
      <c r="BC61" s="71" t="str">
        <f>IF(AND($AM61=1,$AJ61=1),$BA61*100000+ROW(),"")</f>
        <v/>
      </c>
      <c r="BD61" s="71" t="str">
        <f>IF(AND($AP61=1,$AJ61=1),$BA61*100000+ROW(),"")</f>
        <v/>
      </c>
      <c r="BE61" s="71" t="str">
        <f>IF(AND($AT61=1,$AJ61=1),$BA61*100000+ROW(),"")</f>
        <v/>
      </c>
      <c r="BF61" s="71" t="str">
        <f>IF(AND($AU61=1,$AJ61=1),$BA61*100000+ROW(),"")</f>
        <v/>
      </c>
      <c r="BG61" s="71" t="str">
        <f>IF(AND($AV61=1,$AJ61=1),$BA61*100000+ROW(),"")</f>
        <v/>
      </c>
      <c r="BH61" s="71" t="str">
        <f>IF(AND($AW61=1,$AJ61=1),$BA61*100000+ROW(),"")</f>
        <v/>
      </c>
      <c r="BI61" s="71" t="str">
        <f>IF(AND($AX61=1,$AJ61=1),$BA61*100000+ROW(),"")</f>
        <v/>
      </c>
      <c r="BJ61" s="71" t="str">
        <f>IF(AND($AS61=1,$AJ61=1),$BA61*100000+ROW(),"")</f>
        <v/>
      </c>
      <c r="BK61" s="71" t="str">
        <f>IF(AND($AY61=1,$AJ61=1),$BA61*100000+ROW(),"")</f>
        <v/>
      </c>
      <c r="BL61" s="71" t="str">
        <f>IF(AND($AZ61=1),$BA61*100000+ROW(),"")</f>
        <v/>
      </c>
    </row>
    <row r="62">
      <c r="A62" s="63" t="n"/>
      <c r="B62" s="64" t="inlineStr">
        <is>
          <t>Ayush Jain</t>
        </is>
      </c>
      <c r="C62" s="64" t="inlineStr">
        <is>
          <t>Google Chrome Enterprise</t>
        </is>
      </c>
      <c r="D62" s="64" t="n"/>
      <c r="E62" s="64" t="inlineStr">
        <is>
          <t>Internal Coordination</t>
        </is>
      </c>
      <c r="F62" s="64" t="inlineStr">
        <is>
          <t>Internal / Coordination</t>
        </is>
      </c>
      <c r="G62" s="65" t="inlineStr">
        <is>
          <t>Team co-ordination</t>
        </is>
      </c>
      <c r="H62" s="65" t="n"/>
      <c r="I62" s="64" t="n"/>
      <c r="J62" s="64" t="n"/>
      <c r="K62" s="63" t="n"/>
      <c r="L62" s="63" t="n"/>
      <c r="M62" s="64" t="n"/>
      <c r="N62" s="66" t="n"/>
      <c r="O62" s="65" t="n"/>
      <c r="P62" s="64" t="n"/>
      <c r="Q62" s="67" t="n"/>
      <c r="R62" s="67" t="n"/>
      <c r="S62" s="68" t="str">
        <f>IF(AND(ISNUMBER($Q62),ISNUMBER($R62)),$Q62-$R62,"")</f>
        <v/>
      </c>
      <c r="T62" s="65" t="n"/>
      <c r="U62" s="64" t="n"/>
      <c r="V62" s="65" t="n"/>
      <c r="W62" s="63" t="n"/>
      <c r="X62" s="65" t="inlineStr">
        <is>
          <t>Baseline: status not provided.</t>
        </is>
      </c>
      <c r="Y62" s="63" t="n"/>
      <c r="Z62" s="64" t="n"/>
      <c r="AA62" s="64" t="n"/>
      <c r="AB62" s="65" t="n"/>
      <c r="AC62" s="69" t="str">
        <f>IF(OR($G62="",NOT(ISNUMBER($K62)),$AK62=0),"",MAX(0,ReportDate-$K62))</f>
        <v/>
      </c>
      <c r="AD62" s="69">
        <f>IF($G62="","",IF($AL62=1,ReportDate-$L62,0))</f>
        <v>0</v>
      </c>
      <c r="AE62" s="70">
        <f>IF($G62="","",IF($M62="Completed",1,IF(ISNUMBER($N62),$N62,0)))</f>
        <v>0</v>
      </c>
      <c r="AF62" s="70" t="str">
        <f>IF(AND(ISNUMBER($Q62),ISNUMBER($R62)),IF($R62&lt;&gt;0,$Q62/$R62,""),"")</f>
        <v/>
      </c>
      <c r="AG62" s="71" t="str">
        <f>IF($G62="","",IF($AL62=1,"OVERDUE",IF($AM62=1,"BLOCKED",IF($AN62=1,"DUE TODAY",IF($AO62=1,"DUE TOMORROW",IF($AQ62=1,"HIGH PRIORITY",IF($AR62=1,"NO RECENT UPDATE",""))))))) </f>
        <v>NO RECENT UPDATE</v>
      </c>
      <c r="AH62" s="71" t="str">
        <f>IF($G62="","",IF(ISNUMBER($A62),IF(ISNUMBER($A62),YEAR($A62)&amp;"-"&amp;TEXT(MONTH($A62),"00"),""),IF(ISNUMBER($L62),IF(ISNUMBER($L62),YEAR($L62)&amp;"-"&amp;TEXT(MONTH($L62),"00"),""),"")))</f>
        <v/>
      </c>
      <c r="AI62" s="71">
        <f>IF($G62="",0,IF(AND(OR(fClient="All",$C62=fClient),OR(fCampaign="All",$D62=fCampaign),OR(fTeam="All",$B62=fTeam),OR(fChannel="All",$F62=fChannel),OR(fMonth="All",$AH62=fMonth),OR(fTStatus="All",$M62=fTStatus)),1,0))</f>
        <v>1</v>
      </c>
      <c r="AJ62" s="71">
        <f>IF($G62="",0,IF(AND(OR(fClient="All",$C62=fClient),OR(fCampaign="All",$D62=fCampaign),OR(fTeam="All",$B62=fTeam),OR(fChannel="All",$F62=fChannel)),1,0))</f>
        <v>1</v>
      </c>
      <c r="AK62" s="71">
        <f>IF($G62="",0,IF(OR($M62="Completed",$M62="Cancelled"),0,1))</f>
        <v>1</v>
      </c>
      <c r="AL62" s="71">
        <f>IF(AND($AK62=1,ISNUMBER($L62)),IF($L62&lt;ReportDate,1,0),0)</f>
        <v>0</v>
      </c>
      <c r="AM62" s="71">
        <f>IF(AND($G62&lt;&gt;"",$M62="Blocked"),1,0)</f>
        <v>0</v>
      </c>
      <c r="AN62" s="71">
        <f>IF(AND($AK62=1,ISNUMBER($L62)),IF($L62=ReportDate,1,0),0)</f>
        <v>0</v>
      </c>
      <c r="AO62" s="71">
        <f>IF(AND($AK62=1,ISNUMBER($L62)),IF($L62=ReportDate+1,1,0),0)</f>
        <v>0</v>
      </c>
      <c r="AP62" s="71">
        <f>IF(AND($AK62=1,ISNUMBER($L62)),IF(AND($L62&gt;=ReportDate,$L62&lt;=ReportDate+DueSoonDays),1,0),0)</f>
        <v>0</v>
      </c>
      <c r="AQ62" s="71">
        <f>IF(AND($AK62=1,OR($I62="Critical",$I62="High")),1,0)</f>
        <v>0</v>
      </c>
      <c r="AR62" s="71">
        <f>IF($AK62=1,IF(ISNUMBER($Y62),IF(ReportDate-$Y62&gt;StaleDays,1,0),1),0)</f>
        <v>1</v>
      </c>
      <c r="AS62" s="71">
        <f>IF(AND($G62&lt;&gt;"",ISNUMBER($Q62),ISNUMBER($R62)),IF(AND($Q62&lt;$R62,OR($M62="Completed",AND(ISNUMBER($L62),$L62&lt;ReportDate))),1,0),0)</f>
        <v>0</v>
      </c>
      <c r="AT62" s="71">
        <f>IF($AK62=1,IF(OR($L62=ReportDate,$W62=ReportDate,$K62=ReportDate,$A62=ReportDate),1,0),0)</f>
        <v>0</v>
      </c>
      <c r="AU62" s="71">
        <f>IF($AK62=1,IF(OR($L62=ReportDate+1,$W62=ReportDate+1,$K62=ReportDate+1,$A62=ReportDate+1),1,0),0)</f>
        <v>0</v>
      </c>
      <c r="AV62" s="71">
        <f>IF(AND($G62&lt;&gt;"",$M62="Completed"),IF(OR($Y62=ReportDate-1,$A62=ReportDate-1),1,0),0)</f>
        <v>0</v>
      </c>
      <c r="AW62" s="71">
        <f>IF(AND($AK62=1,$Z62="Yes"),1,0)</f>
        <v>0</v>
      </c>
      <c r="AX62" s="71">
        <f>IF(AND($AK62=1,$AA62="Yes"),1,0)</f>
        <v>0</v>
      </c>
      <c r="AY62" s="71">
        <f>IF(AND($AM62=1,OR($I62="Critical",$I62="High")),1,0)</f>
        <v>0</v>
      </c>
      <c r="AZ62" s="71">
        <f>IF(AND($AK62=1,OR($C62=TCL_Client,$C62=MECCA_Client)),1,0)</f>
        <v>0</v>
      </c>
      <c r="BA62" s="71">
        <f>IF($G62="","",IFERROR(MATCH($I62,lst_Priority,0),5))</f>
        <v>5</v>
      </c>
      <c r="BB62" s="71" t="str">
        <f>IF(AND($AL62=1,$AJ62=1),$BA62*100000+ROW(),"")</f>
        <v/>
      </c>
      <c r="BC62" s="71" t="str">
        <f>IF(AND($AM62=1,$AJ62=1),$BA62*100000+ROW(),"")</f>
        <v/>
      </c>
      <c r="BD62" s="71" t="str">
        <f>IF(AND($AP62=1,$AJ62=1),$BA62*100000+ROW(),"")</f>
        <v/>
      </c>
      <c r="BE62" s="71" t="str">
        <f>IF(AND($AT62=1,$AJ62=1),$BA62*100000+ROW(),"")</f>
        <v/>
      </c>
      <c r="BF62" s="71" t="str">
        <f>IF(AND($AU62=1,$AJ62=1),$BA62*100000+ROW(),"")</f>
        <v/>
      </c>
      <c r="BG62" s="71" t="str">
        <f>IF(AND($AV62=1,$AJ62=1),$BA62*100000+ROW(),"")</f>
        <v/>
      </c>
      <c r="BH62" s="71" t="str">
        <f>IF(AND($AW62=1,$AJ62=1),$BA62*100000+ROW(),"")</f>
        <v/>
      </c>
      <c r="BI62" s="71" t="str">
        <f>IF(AND($AX62=1,$AJ62=1),$BA62*100000+ROW(),"")</f>
        <v/>
      </c>
      <c r="BJ62" s="71" t="str">
        <f>IF(AND($AS62=1,$AJ62=1),$BA62*100000+ROW(),"")</f>
        <v/>
      </c>
      <c r="BK62" s="71" t="str">
        <f>IF(AND($AY62=1,$AJ62=1),$BA62*100000+ROW(),"")</f>
        <v/>
      </c>
      <c r="BL62" s="71" t="str">
        <f>IF(AND($AZ62=1),$BA62*100000+ROW(),"")</f>
        <v/>
      </c>
    </row>
    <row r="63">
      <c r="A63" s="63" t="n"/>
      <c r="B63" s="64" t="n"/>
      <c r="C63" s="64" t="n"/>
      <c r="D63" s="64" t="n"/>
      <c r="E63" s="64" t="n"/>
      <c r="F63" s="64" t="n"/>
      <c r="G63" s="65" t="n"/>
      <c r="H63" s="65" t="n"/>
      <c r="I63" s="64" t="n"/>
      <c r="J63" s="64" t="n"/>
      <c r="K63" s="63" t="n"/>
      <c r="L63" s="63" t="n"/>
      <c r="M63" s="64" t="n"/>
      <c r="N63" s="66" t="n"/>
      <c r="O63" s="65" t="n"/>
      <c r="P63" s="64" t="n"/>
      <c r="Q63" s="67" t="n"/>
      <c r="R63" s="67" t="n"/>
      <c r="S63" s="68" t="str">
        <f>IF(AND(ISNUMBER($Q63),ISNUMBER($R63)),$Q63-$R63,"")</f>
        <v/>
      </c>
      <c r="T63" s="65" t="n"/>
      <c r="U63" s="64" t="n"/>
      <c r="V63" s="65" t="n"/>
      <c r="W63" s="63" t="n"/>
      <c r="X63" s="65" t="n"/>
      <c r="Y63" s="63" t="n"/>
      <c r="Z63" s="64" t="n"/>
      <c r="AA63" s="64" t="n"/>
      <c r="AB63" s="65" t="n"/>
      <c r="AC63" s="69" t="str">
        <f>IF(OR($G63="",NOT(ISNUMBER($K63)),$AK63=0),"",MAX(0,ReportDate-$K63))</f>
        <v/>
      </c>
      <c r="AD63" s="69" t="str">
        <f>IF($G63="","",IF($AL63=1,ReportDate-$L63,0))</f>
        <v/>
      </c>
      <c r="AE63" s="70" t="str">
        <f>IF($G63="","",IF($M63="Completed",1,IF(ISNUMBER($N63),$N63,0)))</f>
        <v/>
      </c>
      <c r="AF63" s="70" t="str">
        <f>IF(AND(ISNUMBER($Q63),ISNUMBER($R63)),IF($R63&lt;&gt;0,$Q63/$R63,""),"")</f>
        <v/>
      </c>
      <c r="AG63" s="71" t="str">
        <f>IF($G63="","",IF($AL63=1,"OVERDUE",IF($AM63=1,"BLOCKED",IF($AN63=1,"DUE TODAY",IF($AO63=1,"DUE TOMORROW",IF($AQ63=1,"HIGH PRIORITY",IF($AR63=1,"NO RECENT UPDATE",""))))))) </f>
        <v/>
      </c>
      <c r="AH63" s="71" t="str">
        <f>IF($G63="","",IF(ISNUMBER($A63),IF(ISNUMBER($A63),YEAR($A63)&amp;"-"&amp;TEXT(MONTH($A63),"00"),""),IF(ISNUMBER($L63),IF(ISNUMBER($L63),YEAR($L63)&amp;"-"&amp;TEXT(MONTH($L63),"00"),""),"")))</f>
        <v/>
      </c>
      <c r="AI63" s="71">
        <f>IF($G63="",0,IF(AND(OR(fClient="All",$C63=fClient),OR(fCampaign="All",$D63=fCampaign),OR(fTeam="All",$B63=fTeam),OR(fChannel="All",$F63=fChannel),OR(fMonth="All",$AH63=fMonth),OR(fTStatus="All",$M63=fTStatus)),1,0))</f>
        <v>0</v>
      </c>
      <c r="AJ63" s="71">
        <f>IF($G63="",0,IF(AND(OR(fClient="All",$C63=fClient),OR(fCampaign="All",$D63=fCampaign),OR(fTeam="All",$B63=fTeam),OR(fChannel="All",$F63=fChannel)),1,0))</f>
        <v>0</v>
      </c>
      <c r="AK63" s="71">
        <f>IF($G63="",0,IF(OR($M63="Completed",$M63="Cancelled"),0,1))</f>
        <v>0</v>
      </c>
      <c r="AL63" s="71">
        <f>IF(AND($AK63=1,ISNUMBER($L63)),IF($L63&lt;ReportDate,1,0),0)</f>
        <v>0</v>
      </c>
      <c r="AM63" s="71">
        <f>IF(AND($G63&lt;&gt;"",$M63="Blocked"),1,0)</f>
        <v>0</v>
      </c>
      <c r="AN63" s="71">
        <f>IF(AND($AK63=1,ISNUMBER($L63)),IF($L63=ReportDate,1,0),0)</f>
        <v>0</v>
      </c>
      <c r="AO63" s="71">
        <f>IF(AND($AK63=1,ISNUMBER($L63)),IF($L63=ReportDate+1,1,0),0)</f>
        <v>0</v>
      </c>
      <c r="AP63" s="71">
        <f>IF(AND($AK63=1,ISNUMBER($L63)),IF(AND($L63&gt;=ReportDate,$L63&lt;=ReportDate+DueSoonDays),1,0),0)</f>
        <v>0</v>
      </c>
      <c r="AQ63" s="71">
        <f>IF(AND($AK63=1,OR($I63="Critical",$I63="High")),1,0)</f>
        <v>0</v>
      </c>
      <c r="AR63" s="71">
        <f>IF($AK63=1,IF(ISNUMBER($Y63),IF(ReportDate-$Y63&gt;StaleDays,1,0),1),0)</f>
        <v>0</v>
      </c>
      <c r="AS63" s="71">
        <f>IF(AND($G63&lt;&gt;"",ISNUMBER($Q63),ISNUMBER($R63)),IF(AND($Q63&lt;$R63,OR($M63="Completed",AND(ISNUMBER($L63),$L63&lt;ReportDate))),1,0),0)</f>
        <v>0</v>
      </c>
      <c r="AT63" s="71">
        <f>IF($AK63=1,IF(OR($L63=ReportDate,$W63=ReportDate,$K63=ReportDate,$A63=ReportDate),1,0),0)</f>
        <v>0</v>
      </c>
      <c r="AU63" s="71">
        <f>IF($AK63=1,IF(OR($L63=ReportDate+1,$W63=ReportDate+1,$K63=ReportDate+1,$A63=ReportDate+1),1,0),0)</f>
        <v>0</v>
      </c>
      <c r="AV63" s="71">
        <f>IF(AND($G63&lt;&gt;"",$M63="Completed"),IF(OR($Y63=ReportDate-1,$A63=ReportDate-1),1,0),0)</f>
        <v>0</v>
      </c>
      <c r="AW63" s="71">
        <f>IF(AND($AK63=1,$Z63="Yes"),1,0)</f>
        <v>0</v>
      </c>
      <c r="AX63" s="71">
        <f>IF(AND($AK63=1,$AA63="Yes"),1,0)</f>
        <v>0</v>
      </c>
      <c r="AY63" s="71">
        <f>IF(AND($AM63=1,OR($I63="Critical",$I63="High")),1,0)</f>
        <v>0</v>
      </c>
      <c r="AZ63" s="71">
        <f>IF(AND($AK63=1,OR($C63=TCL_Client,$C63=MECCA_Client)),1,0)</f>
        <v>0</v>
      </c>
      <c r="BA63" s="71" t="str">
        <f>IF($G63="","",IFERROR(MATCH($I63,lst_Priority,0),5))</f>
        <v/>
      </c>
      <c r="BB63" s="71" t="str">
        <f>IF(AND($AL63=1,$AJ63=1),$BA63*100000+ROW(),"")</f>
        <v/>
      </c>
      <c r="BC63" s="71" t="str">
        <f>IF(AND($AM63=1,$AJ63=1),$BA63*100000+ROW(),"")</f>
        <v/>
      </c>
      <c r="BD63" s="71" t="str">
        <f>IF(AND($AP63=1,$AJ63=1),$BA63*100000+ROW(),"")</f>
        <v/>
      </c>
      <c r="BE63" s="71" t="str">
        <f>IF(AND($AT63=1,$AJ63=1),$BA63*100000+ROW(),"")</f>
        <v/>
      </c>
      <c r="BF63" s="71" t="str">
        <f>IF(AND($AU63=1,$AJ63=1),$BA63*100000+ROW(),"")</f>
        <v/>
      </c>
      <c r="BG63" s="71" t="str">
        <f>IF(AND($AV63=1,$AJ63=1),$BA63*100000+ROW(),"")</f>
        <v/>
      </c>
      <c r="BH63" s="71" t="str">
        <f>IF(AND($AW63=1,$AJ63=1),$BA63*100000+ROW(),"")</f>
        <v/>
      </c>
      <c r="BI63" s="71" t="str">
        <f>IF(AND($AX63=1,$AJ63=1),$BA63*100000+ROW(),"")</f>
        <v/>
      </c>
      <c r="BJ63" s="71" t="str">
        <f>IF(AND($AS63=1,$AJ63=1),$BA63*100000+ROW(),"")</f>
        <v/>
      </c>
      <c r="BK63" s="71" t="str">
        <f>IF(AND($AY63=1,$AJ63=1),$BA63*100000+ROW(),"")</f>
        <v/>
      </c>
      <c r="BL63" s="71" t="str">
        <f>IF(AND($AZ63=1),$BA63*100000+ROW(),"")</f>
        <v/>
      </c>
    </row>
    <row r="64">
      <c r="A64" s="63" t="n"/>
      <c r="B64" s="64" t="n"/>
      <c r="C64" s="64" t="n"/>
      <c r="D64" s="64" t="n"/>
      <c r="E64" s="64" t="n"/>
      <c r="F64" s="64" t="n"/>
      <c r="G64" s="65" t="n"/>
      <c r="H64" s="65" t="n"/>
      <c r="I64" s="64" t="n"/>
      <c r="J64" s="64" t="n"/>
      <c r="K64" s="63" t="n"/>
      <c r="L64" s="63" t="n"/>
      <c r="M64" s="64" t="n"/>
      <c r="N64" s="66" t="n"/>
      <c r="O64" s="65" t="n"/>
      <c r="P64" s="64" t="n"/>
      <c r="Q64" s="67" t="n"/>
      <c r="R64" s="67" t="n"/>
      <c r="S64" s="68" t="str">
        <f>IF(AND(ISNUMBER($Q64),ISNUMBER($R64)),$Q64-$R64,"")</f>
        <v/>
      </c>
      <c r="T64" s="65" t="n"/>
      <c r="U64" s="64" t="n"/>
      <c r="V64" s="65" t="n"/>
      <c r="W64" s="63" t="n"/>
      <c r="X64" s="65" t="n"/>
      <c r="Y64" s="63" t="n"/>
      <c r="Z64" s="64" t="n"/>
      <c r="AA64" s="64" t="n"/>
      <c r="AB64" s="65" t="n"/>
      <c r="AC64" s="69" t="str">
        <f>IF(OR($G64="",NOT(ISNUMBER($K64)),$AK64=0),"",MAX(0,ReportDate-$K64))</f>
        <v/>
      </c>
      <c r="AD64" s="69" t="str">
        <f>IF($G64="","",IF($AL64=1,ReportDate-$L64,0))</f>
        <v/>
      </c>
      <c r="AE64" s="70" t="str">
        <f>IF($G64="","",IF($M64="Completed",1,IF(ISNUMBER($N64),$N64,0)))</f>
        <v/>
      </c>
      <c r="AF64" s="70" t="str">
        <f>IF(AND(ISNUMBER($Q64),ISNUMBER($R64)),IF($R64&lt;&gt;0,$Q64/$R64,""),"")</f>
        <v/>
      </c>
      <c r="AG64" s="71" t="str">
        <f>IF($G64="","",IF($AL64=1,"OVERDUE",IF($AM64=1,"BLOCKED",IF($AN64=1,"DUE TODAY",IF($AO64=1,"DUE TOMORROW",IF($AQ64=1,"HIGH PRIORITY",IF($AR64=1,"NO RECENT UPDATE",""))))))) </f>
        <v/>
      </c>
      <c r="AH64" s="71" t="str">
        <f>IF($G64="","",IF(ISNUMBER($A64),IF(ISNUMBER($A64),YEAR($A64)&amp;"-"&amp;TEXT(MONTH($A64),"00"),""),IF(ISNUMBER($L64),IF(ISNUMBER($L64),YEAR($L64)&amp;"-"&amp;TEXT(MONTH($L64),"00"),""),"")))</f>
        <v/>
      </c>
      <c r="AI64" s="71">
        <f>IF($G64="",0,IF(AND(OR(fClient="All",$C64=fClient),OR(fCampaign="All",$D64=fCampaign),OR(fTeam="All",$B64=fTeam),OR(fChannel="All",$F64=fChannel),OR(fMonth="All",$AH64=fMonth),OR(fTStatus="All",$M64=fTStatus)),1,0))</f>
        <v>0</v>
      </c>
      <c r="AJ64" s="71">
        <f>IF($G64="",0,IF(AND(OR(fClient="All",$C64=fClient),OR(fCampaign="All",$D64=fCampaign),OR(fTeam="All",$B64=fTeam),OR(fChannel="All",$F64=fChannel)),1,0))</f>
        <v>0</v>
      </c>
      <c r="AK64" s="71">
        <f>IF($G64="",0,IF(OR($M64="Completed",$M64="Cancelled"),0,1))</f>
        <v>0</v>
      </c>
      <c r="AL64" s="71">
        <f>IF(AND($AK64=1,ISNUMBER($L64)),IF($L64&lt;ReportDate,1,0),0)</f>
        <v>0</v>
      </c>
      <c r="AM64" s="71">
        <f>IF(AND($G64&lt;&gt;"",$M64="Blocked"),1,0)</f>
        <v>0</v>
      </c>
      <c r="AN64" s="71">
        <f>IF(AND($AK64=1,ISNUMBER($L64)),IF($L64=ReportDate,1,0),0)</f>
        <v>0</v>
      </c>
      <c r="AO64" s="71">
        <f>IF(AND($AK64=1,ISNUMBER($L64)),IF($L64=ReportDate+1,1,0),0)</f>
        <v>0</v>
      </c>
      <c r="AP64" s="71">
        <f>IF(AND($AK64=1,ISNUMBER($L64)),IF(AND($L64&gt;=ReportDate,$L64&lt;=ReportDate+DueSoonDays),1,0),0)</f>
        <v>0</v>
      </c>
      <c r="AQ64" s="71">
        <f>IF(AND($AK64=1,OR($I64="Critical",$I64="High")),1,0)</f>
        <v>0</v>
      </c>
      <c r="AR64" s="71">
        <f>IF($AK64=1,IF(ISNUMBER($Y64),IF(ReportDate-$Y64&gt;StaleDays,1,0),1),0)</f>
        <v>0</v>
      </c>
      <c r="AS64" s="71">
        <f>IF(AND($G64&lt;&gt;"",ISNUMBER($Q64),ISNUMBER($R64)),IF(AND($Q64&lt;$R64,OR($M64="Completed",AND(ISNUMBER($L64),$L64&lt;ReportDate))),1,0),0)</f>
        <v>0</v>
      </c>
      <c r="AT64" s="71">
        <f>IF($AK64=1,IF(OR($L64=ReportDate,$W64=ReportDate,$K64=ReportDate,$A64=ReportDate),1,0),0)</f>
        <v>0</v>
      </c>
      <c r="AU64" s="71">
        <f>IF($AK64=1,IF(OR($L64=ReportDate+1,$W64=ReportDate+1,$K64=ReportDate+1,$A64=ReportDate+1),1,0),0)</f>
        <v>0</v>
      </c>
      <c r="AV64" s="71">
        <f>IF(AND($G64&lt;&gt;"",$M64="Completed"),IF(OR($Y64=ReportDate-1,$A64=ReportDate-1),1,0),0)</f>
        <v>0</v>
      </c>
      <c r="AW64" s="71">
        <f>IF(AND($AK64=1,$Z64="Yes"),1,0)</f>
        <v>0</v>
      </c>
      <c r="AX64" s="71">
        <f>IF(AND($AK64=1,$AA64="Yes"),1,0)</f>
        <v>0</v>
      </c>
      <c r="AY64" s="71">
        <f>IF(AND($AM64=1,OR($I64="Critical",$I64="High")),1,0)</f>
        <v>0</v>
      </c>
      <c r="AZ64" s="71">
        <f>IF(AND($AK64=1,OR($C64=TCL_Client,$C64=MECCA_Client)),1,0)</f>
        <v>0</v>
      </c>
      <c r="BA64" s="71" t="str">
        <f>IF($G64="","",IFERROR(MATCH($I64,lst_Priority,0),5))</f>
        <v/>
      </c>
      <c r="BB64" s="71" t="str">
        <f>IF(AND($AL64=1,$AJ64=1),$BA64*100000+ROW(),"")</f>
        <v/>
      </c>
      <c r="BC64" s="71" t="str">
        <f>IF(AND($AM64=1,$AJ64=1),$BA64*100000+ROW(),"")</f>
        <v/>
      </c>
      <c r="BD64" s="71" t="str">
        <f>IF(AND($AP64=1,$AJ64=1),$BA64*100000+ROW(),"")</f>
        <v/>
      </c>
      <c r="BE64" s="71" t="str">
        <f>IF(AND($AT64=1,$AJ64=1),$BA64*100000+ROW(),"")</f>
        <v/>
      </c>
      <c r="BF64" s="71" t="str">
        <f>IF(AND($AU64=1,$AJ64=1),$BA64*100000+ROW(),"")</f>
        <v/>
      </c>
      <c r="BG64" s="71" t="str">
        <f>IF(AND($AV64=1,$AJ64=1),$BA64*100000+ROW(),"")</f>
        <v/>
      </c>
      <c r="BH64" s="71" t="str">
        <f>IF(AND($AW64=1,$AJ64=1),$BA64*100000+ROW(),"")</f>
        <v/>
      </c>
      <c r="BI64" s="71" t="str">
        <f>IF(AND($AX64=1,$AJ64=1),$BA64*100000+ROW(),"")</f>
        <v/>
      </c>
      <c r="BJ64" s="71" t="str">
        <f>IF(AND($AS64=1,$AJ64=1),$BA64*100000+ROW(),"")</f>
        <v/>
      </c>
      <c r="BK64" s="71" t="str">
        <f>IF(AND($AY64=1,$AJ64=1),$BA64*100000+ROW(),"")</f>
        <v/>
      </c>
      <c r="BL64" s="71" t="str">
        <f>IF(AND($AZ64=1),$BA64*100000+ROW(),"")</f>
        <v/>
      </c>
    </row>
    <row r="65">
      <c r="A65" s="63" t="n"/>
      <c r="B65" s="64" t="n"/>
      <c r="C65" s="64" t="n"/>
      <c r="D65" s="64" t="n"/>
      <c r="E65" s="64" t="n"/>
      <c r="F65" s="64" t="n"/>
      <c r="G65" s="65" t="n"/>
      <c r="H65" s="65" t="n"/>
      <c r="I65" s="64" t="n"/>
      <c r="J65" s="64" t="n"/>
      <c r="K65" s="63" t="n"/>
      <c r="L65" s="63" t="n"/>
      <c r="M65" s="64" t="n"/>
      <c r="N65" s="66" t="n"/>
      <c r="O65" s="65" t="n"/>
      <c r="P65" s="64" t="n"/>
      <c r="Q65" s="67" t="n"/>
      <c r="R65" s="67" t="n"/>
      <c r="S65" s="68" t="str">
        <f>IF(AND(ISNUMBER($Q65),ISNUMBER($R65)),$Q65-$R65,"")</f>
        <v/>
      </c>
      <c r="T65" s="65" t="n"/>
      <c r="U65" s="64" t="n"/>
      <c r="V65" s="65" t="n"/>
      <c r="W65" s="63" t="n"/>
      <c r="X65" s="65" t="n"/>
      <c r="Y65" s="63" t="n"/>
      <c r="Z65" s="64" t="n"/>
      <c r="AA65" s="64" t="n"/>
      <c r="AB65" s="65" t="n"/>
      <c r="AC65" s="69" t="str">
        <f>IF(OR($G65="",NOT(ISNUMBER($K65)),$AK65=0),"",MAX(0,ReportDate-$K65))</f>
        <v/>
      </c>
      <c r="AD65" s="69" t="str">
        <f>IF($G65="","",IF($AL65=1,ReportDate-$L65,0))</f>
        <v/>
      </c>
      <c r="AE65" s="70" t="str">
        <f>IF($G65="","",IF($M65="Completed",1,IF(ISNUMBER($N65),$N65,0)))</f>
        <v/>
      </c>
      <c r="AF65" s="70" t="str">
        <f>IF(AND(ISNUMBER($Q65),ISNUMBER($R65)),IF($R65&lt;&gt;0,$Q65/$R65,""),"")</f>
        <v/>
      </c>
      <c r="AG65" s="71" t="str">
        <f>IF($G65="","",IF($AL65=1,"OVERDUE",IF($AM65=1,"BLOCKED",IF($AN65=1,"DUE TODAY",IF($AO65=1,"DUE TOMORROW",IF($AQ65=1,"HIGH PRIORITY",IF($AR65=1,"NO RECENT UPDATE",""))))))) </f>
        <v/>
      </c>
      <c r="AH65" s="71" t="str">
        <f>IF($G65="","",IF(ISNUMBER($A65),IF(ISNUMBER($A65),YEAR($A65)&amp;"-"&amp;TEXT(MONTH($A65),"00"),""),IF(ISNUMBER($L65),IF(ISNUMBER($L65),YEAR($L65)&amp;"-"&amp;TEXT(MONTH($L65),"00"),""),"")))</f>
        <v/>
      </c>
      <c r="AI65" s="71">
        <f>IF($G65="",0,IF(AND(OR(fClient="All",$C65=fClient),OR(fCampaign="All",$D65=fCampaign),OR(fTeam="All",$B65=fTeam),OR(fChannel="All",$F65=fChannel),OR(fMonth="All",$AH65=fMonth),OR(fTStatus="All",$M65=fTStatus)),1,0))</f>
        <v>0</v>
      </c>
      <c r="AJ65" s="71">
        <f>IF($G65="",0,IF(AND(OR(fClient="All",$C65=fClient),OR(fCampaign="All",$D65=fCampaign),OR(fTeam="All",$B65=fTeam),OR(fChannel="All",$F65=fChannel)),1,0))</f>
        <v>0</v>
      </c>
      <c r="AK65" s="71">
        <f>IF($G65="",0,IF(OR($M65="Completed",$M65="Cancelled"),0,1))</f>
        <v>0</v>
      </c>
      <c r="AL65" s="71">
        <f>IF(AND($AK65=1,ISNUMBER($L65)),IF($L65&lt;ReportDate,1,0),0)</f>
        <v>0</v>
      </c>
      <c r="AM65" s="71">
        <f>IF(AND($G65&lt;&gt;"",$M65="Blocked"),1,0)</f>
        <v>0</v>
      </c>
      <c r="AN65" s="71">
        <f>IF(AND($AK65=1,ISNUMBER($L65)),IF($L65=ReportDate,1,0),0)</f>
        <v>0</v>
      </c>
      <c r="AO65" s="71">
        <f>IF(AND($AK65=1,ISNUMBER($L65)),IF($L65=ReportDate+1,1,0),0)</f>
        <v>0</v>
      </c>
      <c r="AP65" s="71">
        <f>IF(AND($AK65=1,ISNUMBER($L65)),IF(AND($L65&gt;=ReportDate,$L65&lt;=ReportDate+DueSoonDays),1,0),0)</f>
        <v>0</v>
      </c>
      <c r="AQ65" s="71">
        <f>IF(AND($AK65=1,OR($I65="Critical",$I65="High")),1,0)</f>
        <v>0</v>
      </c>
      <c r="AR65" s="71">
        <f>IF($AK65=1,IF(ISNUMBER($Y65),IF(ReportDate-$Y65&gt;StaleDays,1,0),1),0)</f>
        <v>0</v>
      </c>
      <c r="AS65" s="71">
        <f>IF(AND($G65&lt;&gt;"",ISNUMBER($Q65),ISNUMBER($R65)),IF(AND($Q65&lt;$R65,OR($M65="Completed",AND(ISNUMBER($L65),$L65&lt;ReportDate))),1,0),0)</f>
        <v>0</v>
      </c>
      <c r="AT65" s="71">
        <f>IF($AK65=1,IF(OR($L65=ReportDate,$W65=ReportDate,$K65=ReportDate,$A65=ReportDate),1,0),0)</f>
        <v>0</v>
      </c>
      <c r="AU65" s="71">
        <f>IF($AK65=1,IF(OR($L65=ReportDate+1,$W65=ReportDate+1,$K65=ReportDate+1,$A65=ReportDate+1),1,0),0)</f>
        <v>0</v>
      </c>
      <c r="AV65" s="71">
        <f>IF(AND($G65&lt;&gt;"",$M65="Completed"),IF(OR($Y65=ReportDate-1,$A65=ReportDate-1),1,0),0)</f>
        <v>0</v>
      </c>
      <c r="AW65" s="71">
        <f>IF(AND($AK65=1,$Z65="Yes"),1,0)</f>
        <v>0</v>
      </c>
      <c r="AX65" s="71">
        <f>IF(AND($AK65=1,$AA65="Yes"),1,0)</f>
        <v>0</v>
      </c>
      <c r="AY65" s="71">
        <f>IF(AND($AM65=1,OR($I65="Critical",$I65="High")),1,0)</f>
        <v>0</v>
      </c>
      <c r="AZ65" s="71">
        <f>IF(AND($AK65=1,OR($C65=TCL_Client,$C65=MECCA_Client)),1,0)</f>
        <v>0</v>
      </c>
      <c r="BA65" s="71" t="str">
        <f>IF($G65="","",IFERROR(MATCH($I65,lst_Priority,0),5))</f>
        <v/>
      </c>
      <c r="BB65" s="71" t="str">
        <f>IF(AND($AL65=1,$AJ65=1),$BA65*100000+ROW(),"")</f>
        <v/>
      </c>
      <c r="BC65" s="71" t="str">
        <f>IF(AND($AM65=1,$AJ65=1),$BA65*100000+ROW(),"")</f>
        <v/>
      </c>
      <c r="BD65" s="71" t="str">
        <f>IF(AND($AP65=1,$AJ65=1),$BA65*100000+ROW(),"")</f>
        <v/>
      </c>
      <c r="BE65" s="71" t="str">
        <f>IF(AND($AT65=1,$AJ65=1),$BA65*100000+ROW(),"")</f>
        <v/>
      </c>
      <c r="BF65" s="71" t="str">
        <f>IF(AND($AU65=1,$AJ65=1),$BA65*100000+ROW(),"")</f>
        <v/>
      </c>
      <c r="BG65" s="71" t="str">
        <f>IF(AND($AV65=1,$AJ65=1),$BA65*100000+ROW(),"")</f>
        <v/>
      </c>
      <c r="BH65" s="71" t="str">
        <f>IF(AND($AW65=1,$AJ65=1),$BA65*100000+ROW(),"")</f>
        <v/>
      </c>
      <c r="BI65" s="71" t="str">
        <f>IF(AND($AX65=1,$AJ65=1),$BA65*100000+ROW(),"")</f>
        <v/>
      </c>
      <c r="BJ65" s="71" t="str">
        <f>IF(AND($AS65=1,$AJ65=1),$BA65*100000+ROW(),"")</f>
        <v/>
      </c>
      <c r="BK65" s="71" t="str">
        <f>IF(AND($AY65=1,$AJ65=1),$BA65*100000+ROW(),"")</f>
        <v/>
      </c>
      <c r="BL65" s="71" t="str">
        <f>IF(AND($AZ65=1),$BA65*100000+ROW(),"")</f>
        <v/>
      </c>
    </row>
    <row r="66">
      <c r="A66" s="63" t="n"/>
      <c r="B66" s="64" t="n"/>
      <c r="C66" s="64" t="n"/>
      <c r="D66" s="64" t="n"/>
      <c r="E66" s="64" t="n"/>
      <c r="F66" s="64" t="n"/>
      <c r="G66" s="65" t="n"/>
      <c r="H66" s="65" t="n"/>
      <c r="I66" s="64" t="n"/>
      <c r="J66" s="64" t="n"/>
      <c r="K66" s="63" t="n"/>
      <c r="L66" s="63" t="n"/>
      <c r="M66" s="64" t="n"/>
      <c r="N66" s="66" t="n"/>
      <c r="O66" s="65" t="n"/>
      <c r="P66" s="64" t="n"/>
      <c r="Q66" s="67" t="n"/>
      <c r="R66" s="67" t="n"/>
      <c r="S66" s="68" t="str">
        <f>IF(AND(ISNUMBER($Q66),ISNUMBER($R66)),$Q66-$R66,"")</f>
        <v/>
      </c>
      <c r="T66" s="65" t="n"/>
      <c r="U66" s="64" t="n"/>
      <c r="V66" s="65" t="n"/>
      <c r="W66" s="63" t="n"/>
      <c r="X66" s="65" t="n"/>
      <c r="Y66" s="63" t="n"/>
      <c r="Z66" s="64" t="n"/>
      <c r="AA66" s="64" t="n"/>
      <c r="AB66" s="65" t="n"/>
      <c r="AC66" s="69" t="str">
        <f>IF(OR($G66="",NOT(ISNUMBER($K66)),$AK66=0),"",MAX(0,ReportDate-$K66))</f>
        <v/>
      </c>
      <c r="AD66" s="69" t="str">
        <f>IF($G66="","",IF($AL66=1,ReportDate-$L66,0))</f>
        <v/>
      </c>
      <c r="AE66" s="70" t="str">
        <f>IF($G66="","",IF($M66="Completed",1,IF(ISNUMBER($N66),$N66,0)))</f>
        <v/>
      </c>
      <c r="AF66" s="70" t="str">
        <f>IF(AND(ISNUMBER($Q66),ISNUMBER($R66)),IF($R66&lt;&gt;0,$Q66/$R66,""),"")</f>
        <v/>
      </c>
      <c r="AG66" s="71" t="str">
        <f>IF($G66="","",IF($AL66=1,"OVERDUE",IF($AM66=1,"BLOCKED",IF($AN66=1,"DUE TODAY",IF($AO66=1,"DUE TOMORROW",IF($AQ66=1,"HIGH PRIORITY",IF($AR66=1,"NO RECENT UPDATE",""))))))) </f>
        <v/>
      </c>
      <c r="AH66" s="71" t="str">
        <f>IF($G66="","",IF(ISNUMBER($A66),IF(ISNUMBER($A66),YEAR($A66)&amp;"-"&amp;TEXT(MONTH($A66),"00"),""),IF(ISNUMBER($L66),IF(ISNUMBER($L66),YEAR($L66)&amp;"-"&amp;TEXT(MONTH($L66),"00"),""),"")))</f>
        <v/>
      </c>
      <c r="AI66" s="71">
        <f>IF($G66="",0,IF(AND(OR(fClient="All",$C66=fClient),OR(fCampaign="All",$D66=fCampaign),OR(fTeam="All",$B66=fTeam),OR(fChannel="All",$F66=fChannel),OR(fMonth="All",$AH66=fMonth),OR(fTStatus="All",$M66=fTStatus)),1,0))</f>
        <v>0</v>
      </c>
      <c r="AJ66" s="71">
        <f>IF($G66="",0,IF(AND(OR(fClient="All",$C66=fClient),OR(fCampaign="All",$D66=fCampaign),OR(fTeam="All",$B66=fTeam),OR(fChannel="All",$F66=fChannel)),1,0))</f>
        <v>0</v>
      </c>
      <c r="AK66" s="71">
        <f>IF($G66="",0,IF(OR($M66="Completed",$M66="Cancelled"),0,1))</f>
        <v>0</v>
      </c>
      <c r="AL66" s="71">
        <f>IF(AND($AK66=1,ISNUMBER($L66)),IF($L66&lt;ReportDate,1,0),0)</f>
        <v>0</v>
      </c>
      <c r="AM66" s="71">
        <f>IF(AND($G66&lt;&gt;"",$M66="Blocked"),1,0)</f>
        <v>0</v>
      </c>
      <c r="AN66" s="71">
        <f>IF(AND($AK66=1,ISNUMBER($L66)),IF($L66=ReportDate,1,0),0)</f>
        <v>0</v>
      </c>
      <c r="AO66" s="71">
        <f>IF(AND($AK66=1,ISNUMBER($L66)),IF($L66=ReportDate+1,1,0),0)</f>
        <v>0</v>
      </c>
      <c r="AP66" s="71">
        <f>IF(AND($AK66=1,ISNUMBER($L66)),IF(AND($L66&gt;=ReportDate,$L66&lt;=ReportDate+DueSoonDays),1,0),0)</f>
        <v>0</v>
      </c>
      <c r="AQ66" s="71">
        <f>IF(AND($AK66=1,OR($I66="Critical",$I66="High")),1,0)</f>
        <v>0</v>
      </c>
      <c r="AR66" s="71">
        <f>IF($AK66=1,IF(ISNUMBER($Y66),IF(ReportDate-$Y66&gt;StaleDays,1,0),1),0)</f>
        <v>0</v>
      </c>
      <c r="AS66" s="71">
        <f>IF(AND($G66&lt;&gt;"",ISNUMBER($Q66),ISNUMBER($R66)),IF(AND($Q66&lt;$R66,OR($M66="Completed",AND(ISNUMBER($L66),$L66&lt;ReportDate))),1,0),0)</f>
        <v>0</v>
      </c>
      <c r="AT66" s="71">
        <f>IF($AK66=1,IF(OR($L66=ReportDate,$W66=ReportDate,$K66=ReportDate,$A66=ReportDate),1,0),0)</f>
        <v>0</v>
      </c>
      <c r="AU66" s="71">
        <f>IF($AK66=1,IF(OR($L66=ReportDate+1,$W66=ReportDate+1,$K66=ReportDate+1,$A66=ReportDate+1),1,0),0)</f>
        <v>0</v>
      </c>
      <c r="AV66" s="71">
        <f>IF(AND($G66&lt;&gt;"",$M66="Completed"),IF(OR($Y66=ReportDate-1,$A66=ReportDate-1),1,0),0)</f>
        <v>0</v>
      </c>
      <c r="AW66" s="71">
        <f>IF(AND($AK66=1,$Z66="Yes"),1,0)</f>
        <v>0</v>
      </c>
      <c r="AX66" s="71">
        <f>IF(AND($AK66=1,$AA66="Yes"),1,0)</f>
        <v>0</v>
      </c>
      <c r="AY66" s="71">
        <f>IF(AND($AM66=1,OR($I66="Critical",$I66="High")),1,0)</f>
        <v>0</v>
      </c>
      <c r="AZ66" s="71">
        <f>IF(AND($AK66=1,OR($C66=TCL_Client,$C66=MECCA_Client)),1,0)</f>
        <v>0</v>
      </c>
      <c r="BA66" s="71" t="str">
        <f>IF($G66="","",IFERROR(MATCH($I66,lst_Priority,0),5))</f>
        <v/>
      </c>
      <c r="BB66" s="71" t="str">
        <f>IF(AND($AL66=1,$AJ66=1),$BA66*100000+ROW(),"")</f>
        <v/>
      </c>
      <c r="BC66" s="71" t="str">
        <f>IF(AND($AM66=1,$AJ66=1),$BA66*100000+ROW(),"")</f>
        <v/>
      </c>
      <c r="BD66" s="71" t="str">
        <f>IF(AND($AP66=1,$AJ66=1),$BA66*100000+ROW(),"")</f>
        <v/>
      </c>
      <c r="BE66" s="71" t="str">
        <f>IF(AND($AT66=1,$AJ66=1),$BA66*100000+ROW(),"")</f>
        <v/>
      </c>
      <c r="BF66" s="71" t="str">
        <f>IF(AND($AU66=1,$AJ66=1),$BA66*100000+ROW(),"")</f>
        <v/>
      </c>
      <c r="BG66" s="71" t="str">
        <f>IF(AND($AV66=1,$AJ66=1),$BA66*100000+ROW(),"")</f>
        <v/>
      </c>
      <c r="BH66" s="71" t="str">
        <f>IF(AND($AW66=1,$AJ66=1),$BA66*100000+ROW(),"")</f>
        <v/>
      </c>
      <c r="BI66" s="71" t="str">
        <f>IF(AND($AX66=1,$AJ66=1),$BA66*100000+ROW(),"")</f>
        <v/>
      </c>
      <c r="BJ66" s="71" t="str">
        <f>IF(AND($AS66=1,$AJ66=1),$BA66*100000+ROW(),"")</f>
        <v/>
      </c>
      <c r="BK66" s="71" t="str">
        <f>IF(AND($AY66=1,$AJ66=1),$BA66*100000+ROW(),"")</f>
        <v/>
      </c>
      <c r="BL66" s="71" t="str">
        <f>IF(AND($AZ66=1),$BA66*100000+ROW(),"")</f>
        <v/>
      </c>
    </row>
    <row r="67">
      <c r="A67" s="63" t="n"/>
      <c r="B67" s="64" t="n"/>
      <c r="C67" s="64" t="n"/>
      <c r="D67" s="64" t="n"/>
      <c r="E67" s="64" t="n"/>
      <c r="F67" s="64" t="n"/>
      <c r="G67" s="65" t="n"/>
      <c r="H67" s="65" t="n"/>
      <c r="I67" s="64" t="n"/>
      <c r="J67" s="64" t="n"/>
      <c r="K67" s="63" t="n"/>
      <c r="L67" s="63" t="n"/>
      <c r="M67" s="64" t="n"/>
      <c r="N67" s="66" t="n"/>
      <c r="O67" s="65" t="n"/>
      <c r="P67" s="64" t="n"/>
      <c r="Q67" s="67" t="n"/>
      <c r="R67" s="67" t="n"/>
      <c r="S67" s="68" t="str">
        <f>IF(AND(ISNUMBER($Q67),ISNUMBER($R67)),$Q67-$R67,"")</f>
        <v/>
      </c>
      <c r="T67" s="65" t="n"/>
      <c r="U67" s="64" t="n"/>
      <c r="V67" s="65" t="n"/>
      <c r="W67" s="63" t="n"/>
      <c r="X67" s="65" t="n"/>
      <c r="Y67" s="63" t="n"/>
      <c r="Z67" s="64" t="n"/>
      <c r="AA67" s="64" t="n"/>
      <c r="AB67" s="65" t="n"/>
      <c r="AC67" s="69" t="str">
        <f>IF(OR($G67="",NOT(ISNUMBER($K67)),$AK67=0),"",MAX(0,ReportDate-$K67))</f>
        <v/>
      </c>
      <c r="AD67" s="69" t="str">
        <f>IF($G67="","",IF($AL67=1,ReportDate-$L67,0))</f>
        <v/>
      </c>
      <c r="AE67" s="70" t="str">
        <f>IF($G67="","",IF($M67="Completed",1,IF(ISNUMBER($N67),$N67,0)))</f>
        <v/>
      </c>
      <c r="AF67" s="70" t="str">
        <f>IF(AND(ISNUMBER($Q67),ISNUMBER($R67)),IF($R67&lt;&gt;0,$Q67/$R67,""),"")</f>
        <v/>
      </c>
      <c r="AG67" s="71" t="str">
        <f>IF($G67="","",IF($AL67=1,"OVERDUE",IF($AM67=1,"BLOCKED",IF($AN67=1,"DUE TODAY",IF($AO67=1,"DUE TOMORROW",IF($AQ67=1,"HIGH PRIORITY",IF($AR67=1,"NO RECENT UPDATE",""))))))) </f>
        <v/>
      </c>
      <c r="AH67" s="71" t="str">
        <f>IF($G67="","",IF(ISNUMBER($A67),IF(ISNUMBER($A67),YEAR($A67)&amp;"-"&amp;TEXT(MONTH($A67),"00"),""),IF(ISNUMBER($L67),IF(ISNUMBER($L67),YEAR($L67)&amp;"-"&amp;TEXT(MONTH($L67),"00"),""),"")))</f>
        <v/>
      </c>
      <c r="AI67" s="71">
        <f>IF($G67="",0,IF(AND(OR(fClient="All",$C67=fClient),OR(fCampaign="All",$D67=fCampaign),OR(fTeam="All",$B67=fTeam),OR(fChannel="All",$F67=fChannel),OR(fMonth="All",$AH67=fMonth),OR(fTStatus="All",$M67=fTStatus)),1,0))</f>
        <v>0</v>
      </c>
      <c r="AJ67" s="71">
        <f>IF($G67="",0,IF(AND(OR(fClient="All",$C67=fClient),OR(fCampaign="All",$D67=fCampaign),OR(fTeam="All",$B67=fTeam),OR(fChannel="All",$F67=fChannel)),1,0))</f>
        <v>0</v>
      </c>
      <c r="AK67" s="71">
        <f>IF($G67="",0,IF(OR($M67="Completed",$M67="Cancelled"),0,1))</f>
        <v>0</v>
      </c>
      <c r="AL67" s="71">
        <f>IF(AND($AK67=1,ISNUMBER($L67)),IF($L67&lt;ReportDate,1,0),0)</f>
        <v>0</v>
      </c>
      <c r="AM67" s="71">
        <f>IF(AND($G67&lt;&gt;"",$M67="Blocked"),1,0)</f>
        <v>0</v>
      </c>
      <c r="AN67" s="71">
        <f>IF(AND($AK67=1,ISNUMBER($L67)),IF($L67=ReportDate,1,0),0)</f>
        <v>0</v>
      </c>
      <c r="AO67" s="71">
        <f>IF(AND($AK67=1,ISNUMBER($L67)),IF($L67=ReportDate+1,1,0),0)</f>
        <v>0</v>
      </c>
      <c r="AP67" s="71">
        <f>IF(AND($AK67=1,ISNUMBER($L67)),IF(AND($L67&gt;=ReportDate,$L67&lt;=ReportDate+DueSoonDays),1,0),0)</f>
        <v>0</v>
      </c>
      <c r="AQ67" s="71">
        <f>IF(AND($AK67=1,OR($I67="Critical",$I67="High")),1,0)</f>
        <v>0</v>
      </c>
      <c r="AR67" s="71">
        <f>IF($AK67=1,IF(ISNUMBER($Y67),IF(ReportDate-$Y67&gt;StaleDays,1,0),1),0)</f>
        <v>0</v>
      </c>
      <c r="AS67" s="71">
        <f>IF(AND($G67&lt;&gt;"",ISNUMBER($Q67),ISNUMBER($R67)),IF(AND($Q67&lt;$R67,OR($M67="Completed",AND(ISNUMBER($L67),$L67&lt;ReportDate))),1,0),0)</f>
        <v>0</v>
      </c>
      <c r="AT67" s="71">
        <f>IF($AK67=1,IF(OR($L67=ReportDate,$W67=ReportDate,$K67=ReportDate,$A67=ReportDate),1,0),0)</f>
        <v>0</v>
      </c>
      <c r="AU67" s="71">
        <f>IF($AK67=1,IF(OR($L67=ReportDate+1,$W67=ReportDate+1,$K67=ReportDate+1,$A67=ReportDate+1),1,0),0)</f>
        <v>0</v>
      </c>
      <c r="AV67" s="71">
        <f>IF(AND($G67&lt;&gt;"",$M67="Completed"),IF(OR($Y67=ReportDate-1,$A67=ReportDate-1),1,0),0)</f>
        <v>0</v>
      </c>
      <c r="AW67" s="71">
        <f>IF(AND($AK67=1,$Z67="Yes"),1,0)</f>
        <v>0</v>
      </c>
      <c r="AX67" s="71">
        <f>IF(AND($AK67=1,$AA67="Yes"),1,0)</f>
        <v>0</v>
      </c>
      <c r="AY67" s="71">
        <f>IF(AND($AM67=1,OR($I67="Critical",$I67="High")),1,0)</f>
        <v>0</v>
      </c>
      <c r="AZ67" s="71">
        <f>IF(AND($AK67=1,OR($C67=TCL_Client,$C67=MECCA_Client)),1,0)</f>
        <v>0</v>
      </c>
      <c r="BA67" s="71" t="str">
        <f>IF($G67="","",IFERROR(MATCH($I67,lst_Priority,0),5))</f>
        <v/>
      </c>
      <c r="BB67" s="71" t="str">
        <f>IF(AND($AL67=1,$AJ67=1),$BA67*100000+ROW(),"")</f>
        <v/>
      </c>
      <c r="BC67" s="71" t="str">
        <f>IF(AND($AM67=1,$AJ67=1),$BA67*100000+ROW(),"")</f>
        <v/>
      </c>
      <c r="BD67" s="71" t="str">
        <f>IF(AND($AP67=1,$AJ67=1),$BA67*100000+ROW(),"")</f>
        <v/>
      </c>
      <c r="BE67" s="71" t="str">
        <f>IF(AND($AT67=1,$AJ67=1),$BA67*100000+ROW(),"")</f>
        <v/>
      </c>
      <c r="BF67" s="71" t="str">
        <f>IF(AND($AU67=1,$AJ67=1),$BA67*100000+ROW(),"")</f>
        <v/>
      </c>
      <c r="BG67" s="71" t="str">
        <f>IF(AND($AV67=1,$AJ67=1),$BA67*100000+ROW(),"")</f>
        <v/>
      </c>
      <c r="BH67" s="71" t="str">
        <f>IF(AND($AW67=1,$AJ67=1),$BA67*100000+ROW(),"")</f>
        <v/>
      </c>
      <c r="BI67" s="71" t="str">
        <f>IF(AND($AX67=1,$AJ67=1),$BA67*100000+ROW(),"")</f>
        <v/>
      </c>
      <c r="BJ67" s="71" t="str">
        <f>IF(AND($AS67=1,$AJ67=1),$BA67*100000+ROW(),"")</f>
        <v/>
      </c>
      <c r="BK67" s="71" t="str">
        <f>IF(AND($AY67=1,$AJ67=1),$BA67*100000+ROW(),"")</f>
        <v/>
      </c>
      <c r="BL67" s="71" t="str">
        <f>IF(AND($AZ67=1),$BA67*100000+ROW(),"")</f>
        <v/>
      </c>
    </row>
    <row r="68">
      <c r="A68" s="63" t="n"/>
      <c r="B68" s="64" t="n"/>
      <c r="C68" s="64" t="n"/>
      <c r="D68" s="64" t="n"/>
      <c r="E68" s="64" t="n"/>
      <c r="F68" s="64" t="n"/>
      <c r="G68" s="65" t="n"/>
      <c r="H68" s="65" t="n"/>
      <c r="I68" s="64" t="n"/>
      <c r="J68" s="64" t="n"/>
      <c r="K68" s="63" t="n"/>
      <c r="L68" s="63" t="n"/>
      <c r="M68" s="64" t="n"/>
      <c r="N68" s="66" t="n"/>
      <c r="O68" s="65" t="n"/>
      <c r="P68" s="64" t="n"/>
      <c r="Q68" s="67" t="n"/>
      <c r="R68" s="67" t="n"/>
      <c r="S68" s="68" t="str">
        <f>IF(AND(ISNUMBER($Q68),ISNUMBER($R68)),$Q68-$R68,"")</f>
        <v/>
      </c>
      <c r="T68" s="65" t="n"/>
      <c r="U68" s="64" t="n"/>
      <c r="V68" s="65" t="n"/>
      <c r="W68" s="63" t="n"/>
      <c r="X68" s="65" t="n"/>
      <c r="Y68" s="63" t="n"/>
      <c r="Z68" s="64" t="n"/>
      <c r="AA68" s="64" t="n"/>
      <c r="AB68" s="65" t="n"/>
      <c r="AC68" s="69" t="str">
        <f>IF(OR($G68="",NOT(ISNUMBER($K68)),$AK68=0),"",MAX(0,ReportDate-$K68))</f>
        <v/>
      </c>
      <c r="AD68" s="69" t="str">
        <f>IF($G68="","",IF($AL68=1,ReportDate-$L68,0))</f>
        <v/>
      </c>
      <c r="AE68" s="70" t="str">
        <f>IF($G68="","",IF($M68="Completed",1,IF(ISNUMBER($N68),$N68,0)))</f>
        <v/>
      </c>
      <c r="AF68" s="70" t="str">
        <f>IF(AND(ISNUMBER($Q68),ISNUMBER($R68)),IF($R68&lt;&gt;0,$Q68/$R68,""),"")</f>
        <v/>
      </c>
      <c r="AG68" s="71" t="str">
        <f>IF($G68="","",IF($AL68=1,"OVERDUE",IF($AM68=1,"BLOCKED",IF($AN68=1,"DUE TODAY",IF($AO68=1,"DUE TOMORROW",IF($AQ68=1,"HIGH PRIORITY",IF($AR68=1,"NO RECENT UPDATE",""))))))) </f>
        <v/>
      </c>
      <c r="AH68" s="71" t="str">
        <f>IF($G68="","",IF(ISNUMBER($A68),IF(ISNUMBER($A68),YEAR($A68)&amp;"-"&amp;TEXT(MONTH($A68),"00"),""),IF(ISNUMBER($L68),IF(ISNUMBER($L68),YEAR($L68)&amp;"-"&amp;TEXT(MONTH($L68),"00"),""),"")))</f>
        <v/>
      </c>
      <c r="AI68" s="71">
        <f>IF($G68="",0,IF(AND(OR(fClient="All",$C68=fClient),OR(fCampaign="All",$D68=fCampaign),OR(fTeam="All",$B68=fTeam),OR(fChannel="All",$F68=fChannel),OR(fMonth="All",$AH68=fMonth),OR(fTStatus="All",$M68=fTStatus)),1,0))</f>
        <v>0</v>
      </c>
      <c r="AJ68" s="71">
        <f>IF($G68="",0,IF(AND(OR(fClient="All",$C68=fClient),OR(fCampaign="All",$D68=fCampaign),OR(fTeam="All",$B68=fTeam),OR(fChannel="All",$F68=fChannel)),1,0))</f>
        <v>0</v>
      </c>
      <c r="AK68" s="71">
        <f>IF($G68="",0,IF(OR($M68="Completed",$M68="Cancelled"),0,1))</f>
        <v>0</v>
      </c>
      <c r="AL68" s="71">
        <f>IF(AND($AK68=1,ISNUMBER($L68)),IF($L68&lt;ReportDate,1,0),0)</f>
        <v>0</v>
      </c>
      <c r="AM68" s="71">
        <f>IF(AND($G68&lt;&gt;"",$M68="Blocked"),1,0)</f>
        <v>0</v>
      </c>
      <c r="AN68" s="71">
        <f>IF(AND($AK68=1,ISNUMBER($L68)),IF($L68=ReportDate,1,0),0)</f>
        <v>0</v>
      </c>
      <c r="AO68" s="71">
        <f>IF(AND($AK68=1,ISNUMBER($L68)),IF($L68=ReportDate+1,1,0),0)</f>
        <v>0</v>
      </c>
      <c r="AP68" s="71">
        <f>IF(AND($AK68=1,ISNUMBER($L68)),IF(AND($L68&gt;=ReportDate,$L68&lt;=ReportDate+DueSoonDays),1,0),0)</f>
        <v>0</v>
      </c>
      <c r="AQ68" s="71">
        <f>IF(AND($AK68=1,OR($I68="Critical",$I68="High")),1,0)</f>
        <v>0</v>
      </c>
      <c r="AR68" s="71">
        <f>IF($AK68=1,IF(ISNUMBER($Y68),IF(ReportDate-$Y68&gt;StaleDays,1,0),1),0)</f>
        <v>0</v>
      </c>
      <c r="AS68" s="71">
        <f>IF(AND($G68&lt;&gt;"",ISNUMBER($Q68),ISNUMBER($R68)),IF(AND($Q68&lt;$R68,OR($M68="Completed",AND(ISNUMBER($L68),$L68&lt;ReportDate))),1,0),0)</f>
        <v>0</v>
      </c>
      <c r="AT68" s="71">
        <f>IF($AK68=1,IF(OR($L68=ReportDate,$W68=ReportDate,$K68=ReportDate,$A68=ReportDate),1,0),0)</f>
        <v>0</v>
      </c>
      <c r="AU68" s="71">
        <f>IF($AK68=1,IF(OR($L68=ReportDate+1,$W68=ReportDate+1,$K68=ReportDate+1,$A68=ReportDate+1),1,0),0)</f>
        <v>0</v>
      </c>
      <c r="AV68" s="71">
        <f>IF(AND($G68&lt;&gt;"",$M68="Completed"),IF(OR($Y68=ReportDate-1,$A68=ReportDate-1),1,0),0)</f>
        <v>0</v>
      </c>
      <c r="AW68" s="71">
        <f>IF(AND($AK68=1,$Z68="Yes"),1,0)</f>
        <v>0</v>
      </c>
      <c r="AX68" s="71">
        <f>IF(AND($AK68=1,$AA68="Yes"),1,0)</f>
        <v>0</v>
      </c>
      <c r="AY68" s="71">
        <f>IF(AND($AM68=1,OR($I68="Critical",$I68="High")),1,0)</f>
        <v>0</v>
      </c>
      <c r="AZ68" s="71">
        <f>IF(AND($AK68=1,OR($C68=TCL_Client,$C68=MECCA_Client)),1,0)</f>
        <v>0</v>
      </c>
      <c r="BA68" s="71" t="str">
        <f>IF($G68="","",IFERROR(MATCH($I68,lst_Priority,0),5))</f>
        <v/>
      </c>
      <c r="BB68" s="71" t="str">
        <f>IF(AND($AL68=1,$AJ68=1),$BA68*100000+ROW(),"")</f>
        <v/>
      </c>
      <c r="BC68" s="71" t="str">
        <f>IF(AND($AM68=1,$AJ68=1),$BA68*100000+ROW(),"")</f>
        <v/>
      </c>
      <c r="BD68" s="71" t="str">
        <f>IF(AND($AP68=1,$AJ68=1),$BA68*100000+ROW(),"")</f>
        <v/>
      </c>
      <c r="BE68" s="71" t="str">
        <f>IF(AND($AT68=1,$AJ68=1),$BA68*100000+ROW(),"")</f>
        <v/>
      </c>
      <c r="BF68" s="71" t="str">
        <f>IF(AND($AU68=1,$AJ68=1),$BA68*100000+ROW(),"")</f>
        <v/>
      </c>
      <c r="BG68" s="71" t="str">
        <f>IF(AND($AV68=1,$AJ68=1),$BA68*100000+ROW(),"")</f>
        <v/>
      </c>
      <c r="BH68" s="71" t="str">
        <f>IF(AND($AW68=1,$AJ68=1),$BA68*100000+ROW(),"")</f>
        <v/>
      </c>
      <c r="BI68" s="71" t="str">
        <f>IF(AND($AX68=1,$AJ68=1),$BA68*100000+ROW(),"")</f>
        <v/>
      </c>
      <c r="BJ68" s="71" t="str">
        <f>IF(AND($AS68=1,$AJ68=1),$BA68*100000+ROW(),"")</f>
        <v/>
      </c>
      <c r="BK68" s="71" t="str">
        <f>IF(AND($AY68=1,$AJ68=1),$BA68*100000+ROW(),"")</f>
        <v/>
      </c>
      <c r="BL68" s="71" t="str">
        <f>IF(AND($AZ68=1),$BA68*100000+ROW(),"")</f>
        <v/>
      </c>
    </row>
    <row r="69">
      <c r="A69" s="63" t="n"/>
      <c r="B69" s="64" t="n"/>
      <c r="C69" s="64" t="n"/>
      <c r="D69" s="64" t="n"/>
      <c r="E69" s="64" t="n"/>
      <c r="F69" s="64" t="n"/>
      <c r="G69" s="65" t="n"/>
      <c r="H69" s="65" t="n"/>
      <c r="I69" s="64" t="n"/>
      <c r="J69" s="64" t="n"/>
      <c r="K69" s="63" t="n"/>
      <c r="L69" s="63" t="n"/>
      <c r="M69" s="64" t="n"/>
      <c r="N69" s="66" t="n"/>
      <c r="O69" s="65" t="n"/>
      <c r="P69" s="64" t="n"/>
      <c r="Q69" s="67" t="n"/>
      <c r="R69" s="67" t="n"/>
      <c r="S69" s="68" t="str">
        <f>IF(AND(ISNUMBER($Q69),ISNUMBER($R69)),$Q69-$R69,"")</f>
        <v/>
      </c>
      <c r="T69" s="65" t="n"/>
      <c r="U69" s="64" t="n"/>
      <c r="V69" s="65" t="n"/>
      <c r="W69" s="63" t="n"/>
      <c r="X69" s="65" t="n"/>
      <c r="Y69" s="63" t="n"/>
      <c r="Z69" s="64" t="n"/>
      <c r="AA69" s="64" t="n"/>
      <c r="AB69" s="65" t="n"/>
      <c r="AC69" s="69" t="str">
        <f>IF(OR($G69="",NOT(ISNUMBER($K69)),$AK69=0),"",MAX(0,ReportDate-$K69))</f>
        <v/>
      </c>
      <c r="AD69" s="69" t="str">
        <f>IF($G69="","",IF($AL69=1,ReportDate-$L69,0))</f>
        <v/>
      </c>
      <c r="AE69" s="70" t="str">
        <f>IF($G69="","",IF($M69="Completed",1,IF(ISNUMBER($N69),$N69,0)))</f>
        <v/>
      </c>
      <c r="AF69" s="70" t="str">
        <f>IF(AND(ISNUMBER($Q69),ISNUMBER($R69)),IF($R69&lt;&gt;0,$Q69/$R69,""),"")</f>
        <v/>
      </c>
      <c r="AG69" s="71" t="str">
        <f>IF($G69="","",IF($AL69=1,"OVERDUE",IF($AM69=1,"BLOCKED",IF($AN69=1,"DUE TODAY",IF($AO69=1,"DUE TOMORROW",IF($AQ69=1,"HIGH PRIORITY",IF($AR69=1,"NO RECENT UPDATE",""))))))) </f>
        <v/>
      </c>
      <c r="AH69" s="71" t="str">
        <f>IF($G69="","",IF(ISNUMBER($A69),IF(ISNUMBER($A69),YEAR($A69)&amp;"-"&amp;TEXT(MONTH($A69),"00"),""),IF(ISNUMBER($L69),IF(ISNUMBER($L69),YEAR($L69)&amp;"-"&amp;TEXT(MONTH($L69),"00"),""),"")))</f>
        <v/>
      </c>
      <c r="AI69" s="71">
        <f>IF($G69="",0,IF(AND(OR(fClient="All",$C69=fClient),OR(fCampaign="All",$D69=fCampaign),OR(fTeam="All",$B69=fTeam),OR(fChannel="All",$F69=fChannel),OR(fMonth="All",$AH69=fMonth),OR(fTStatus="All",$M69=fTStatus)),1,0))</f>
        <v>0</v>
      </c>
      <c r="AJ69" s="71">
        <f>IF($G69="",0,IF(AND(OR(fClient="All",$C69=fClient),OR(fCampaign="All",$D69=fCampaign),OR(fTeam="All",$B69=fTeam),OR(fChannel="All",$F69=fChannel)),1,0))</f>
        <v>0</v>
      </c>
      <c r="AK69" s="71">
        <f>IF($G69="",0,IF(OR($M69="Completed",$M69="Cancelled"),0,1))</f>
        <v>0</v>
      </c>
      <c r="AL69" s="71">
        <f>IF(AND($AK69=1,ISNUMBER($L69)),IF($L69&lt;ReportDate,1,0),0)</f>
        <v>0</v>
      </c>
      <c r="AM69" s="71">
        <f>IF(AND($G69&lt;&gt;"",$M69="Blocked"),1,0)</f>
        <v>0</v>
      </c>
      <c r="AN69" s="71">
        <f>IF(AND($AK69=1,ISNUMBER($L69)),IF($L69=ReportDate,1,0),0)</f>
        <v>0</v>
      </c>
      <c r="AO69" s="71">
        <f>IF(AND($AK69=1,ISNUMBER($L69)),IF($L69=ReportDate+1,1,0),0)</f>
        <v>0</v>
      </c>
      <c r="AP69" s="71">
        <f>IF(AND($AK69=1,ISNUMBER($L69)),IF(AND($L69&gt;=ReportDate,$L69&lt;=ReportDate+DueSoonDays),1,0),0)</f>
        <v>0</v>
      </c>
      <c r="AQ69" s="71">
        <f>IF(AND($AK69=1,OR($I69="Critical",$I69="High")),1,0)</f>
        <v>0</v>
      </c>
      <c r="AR69" s="71">
        <f>IF($AK69=1,IF(ISNUMBER($Y69),IF(ReportDate-$Y69&gt;StaleDays,1,0),1),0)</f>
        <v>0</v>
      </c>
      <c r="AS69" s="71">
        <f>IF(AND($G69&lt;&gt;"",ISNUMBER($Q69),ISNUMBER($R69)),IF(AND($Q69&lt;$R69,OR($M69="Completed",AND(ISNUMBER($L69),$L69&lt;ReportDate))),1,0),0)</f>
        <v>0</v>
      </c>
      <c r="AT69" s="71">
        <f>IF($AK69=1,IF(OR($L69=ReportDate,$W69=ReportDate,$K69=ReportDate,$A69=ReportDate),1,0),0)</f>
        <v>0</v>
      </c>
      <c r="AU69" s="71">
        <f>IF($AK69=1,IF(OR($L69=ReportDate+1,$W69=ReportDate+1,$K69=ReportDate+1,$A69=ReportDate+1),1,0),0)</f>
        <v>0</v>
      </c>
      <c r="AV69" s="71">
        <f>IF(AND($G69&lt;&gt;"",$M69="Completed"),IF(OR($Y69=ReportDate-1,$A69=ReportDate-1),1,0),0)</f>
        <v>0</v>
      </c>
      <c r="AW69" s="71">
        <f>IF(AND($AK69=1,$Z69="Yes"),1,0)</f>
        <v>0</v>
      </c>
      <c r="AX69" s="71">
        <f>IF(AND($AK69=1,$AA69="Yes"),1,0)</f>
        <v>0</v>
      </c>
      <c r="AY69" s="71">
        <f>IF(AND($AM69=1,OR($I69="Critical",$I69="High")),1,0)</f>
        <v>0</v>
      </c>
      <c r="AZ69" s="71">
        <f>IF(AND($AK69=1,OR($C69=TCL_Client,$C69=MECCA_Client)),1,0)</f>
        <v>0</v>
      </c>
      <c r="BA69" s="71" t="str">
        <f>IF($G69="","",IFERROR(MATCH($I69,lst_Priority,0),5))</f>
        <v/>
      </c>
      <c r="BB69" s="71" t="str">
        <f>IF(AND($AL69=1,$AJ69=1),$BA69*100000+ROW(),"")</f>
        <v/>
      </c>
      <c r="BC69" s="71" t="str">
        <f>IF(AND($AM69=1,$AJ69=1),$BA69*100000+ROW(),"")</f>
        <v/>
      </c>
      <c r="BD69" s="71" t="str">
        <f>IF(AND($AP69=1,$AJ69=1),$BA69*100000+ROW(),"")</f>
        <v/>
      </c>
      <c r="BE69" s="71" t="str">
        <f>IF(AND($AT69=1,$AJ69=1),$BA69*100000+ROW(),"")</f>
        <v/>
      </c>
      <c r="BF69" s="71" t="str">
        <f>IF(AND($AU69=1,$AJ69=1),$BA69*100000+ROW(),"")</f>
        <v/>
      </c>
      <c r="BG69" s="71" t="str">
        <f>IF(AND($AV69=1,$AJ69=1),$BA69*100000+ROW(),"")</f>
        <v/>
      </c>
      <c r="BH69" s="71" t="str">
        <f>IF(AND($AW69=1,$AJ69=1),$BA69*100000+ROW(),"")</f>
        <v/>
      </c>
      <c r="BI69" s="71" t="str">
        <f>IF(AND($AX69=1,$AJ69=1),$BA69*100000+ROW(),"")</f>
        <v/>
      </c>
      <c r="BJ69" s="71" t="str">
        <f>IF(AND($AS69=1,$AJ69=1),$BA69*100000+ROW(),"")</f>
        <v/>
      </c>
      <c r="BK69" s="71" t="str">
        <f>IF(AND($AY69=1,$AJ69=1),$BA69*100000+ROW(),"")</f>
        <v/>
      </c>
      <c r="BL69" s="71" t="str">
        <f>IF(AND($AZ69=1),$BA69*100000+ROW(),"")</f>
        <v/>
      </c>
    </row>
    <row r="70">
      <c r="A70" s="63" t="n"/>
      <c r="B70" s="64" t="n"/>
      <c r="C70" s="64" t="n"/>
      <c r="D70" s="64" t="n"/>
      <c r="E70" s="64" t="n"/>
      <c r="F70" s="64" t="n"/>
      <c r="G70" s="65" t="n"/>
      <c r="H70" s="65" t="n"/>
      <c r="I70" s="64" t="n"/>
      <c r="J70" s="64" t="n"/>
      <c r="K70" s="63" t="n"/>
      <c r="L70" s="63" t="n"/>
      <c r="M70" s="64" t="n"/>
      <c r="N70" s="66" t="n"/>
      <c r="O70" s="65" t="n"/>
      <c r="P70" s="64" t="n"/>
      <c r="Q70" s="67" t="n"/>
      <c r="R70" s="67" t="n"/>
      <c r="S70" s="68" t="str">
        <f>IF(AND(ISNUMBER($Q70),ISNUMBER($R70)),$Q70-$R70,"")</f>
        <v/>
      </c>
      <c r="T70" s="65" t="n"/>
      <c r="U70" s="64" t="n"/>
      <c r="V70" s="65" t="n"/>
      <c r="W70" s="63" t="n"/>
      <c r="X70" s="65" t="n"/>
      <c r="Y70" s="63" t="n"/>
      <c r="Z70" s="64" t="n"/>
      <c r="AA70" s="64" t="n"/>
      <c r="AB70" s="65" t="n"/>
      <c r="AC70" s="69" t="str">
        <f>IF(OR($G70="",NOT(ISNUMBER($K70)),$AK70=0),"",MAX(0,ReportDate-$K70))</f>
        <v/>
      </c>
      <c r="AD70" s="69" t="str">
        <f>IF($G70="","",IF($AL70=1,ReportDate-$L70,0))</f>
        <v/>
      </c>
      <c r="AE70" s="70" t="str">
        <f>IF($G70="","",IF($M70="Completed",1,IF(ISNUMBER($N70),$N70,0)))</f>
        <v/>
      </c>
      <c r="AF70" s="70" t="str">
        <f>IF(AND(ISNUMBER($Q70),ISNUMBER($R70)),IF($R70&lt;&gt;0,$Q70/$R70,""),"")</f>
        <v/>
      </c>
      <c r="AG70" s="71" t="str">
        <f>IF($G70="","",IF($AL70=1,"OVERDUE",IF($AM70=1,"BLOCKED",IF($AN70=1,"DUE TODAY",IF($AO70=1,"DUE TOMORROW",IF($AQ70=1,"HIGH PRIORITY",IF($AR70=1,"NO RECENT UPDATE",""))))))) </f>
        <v/>
      </c>
      <c r="AH70" s="71" t="str">
        <f>IF($G70="","",IF(ISNUMBER($A70),IF(ISNUMBER($A70),YEAR($A70)&amp;"-"&amp;TEXT(MONTH($A70),"00"),""),IF(ISNUMBER($L70),IF(ISNUMBER($L70),YEAR($L70)&amp;"-"&amp;TEXT(MONTH($L70),"00"),""),"")))</f>
        <v/>
      </c>
      <c r="AI70" s="71">
        <f>IF($G70="",0,IF(AND(OR(fClient="All",$C70=fClient),OR(fCampaign="All",$D70=fCampaign),OR(fTeam="All",$B70=fTeam),OR(fChannel="All",$F70=fChannel),OR(fMonth="All",$AH70=fMonth),OR(fTStatus="All",$M70=fTStatus)),1,0))</f>
        <v>0</v>
      </c>
      <c r="AJ70" s="71">
        <f>IF($G70="",0,IF(AND(OR(fClient="All",$C70=fClient),OR(fCampaign="All",$D70=fCampaign),OR(fTeam="All",$B70=fTeam),OR(fChannel="All",$F70=fChannel)),1,0))</f>
        <v>0</v>
      </c>
      <c r="AK70" s="71">
        <f>IF($G70="",0,IF(OR($M70="Completed",$M70="Cancelled"),0,1))</f>
        <v>0</v>
      </c>
      <c r="AL70" s="71">
        <f>IF(AND($AK70=1,ISNUMBER($L70)),IF($L70&lt;ReportDate,1,0),0)</f>
        <v>0</v>
      </c>
      <c r="AM70" s="71">
        <f>IF(AND($G70&lt;&gt;"",$M70="Blocked"),1,0)</f>
        <v>0</v>
      </c>
      <c r="AN70" s="71">
        <f>IF(AND($AK70=1,ISNUMBER($L70)),IF($L70=ReportDate,1,0),0)</f>
        <v>0</v>
      </c>
      <c r="AO70" s="71">
        <f>IF(AND($AK70=1,ISNUMBER($L70)),IF($L70=ReportDate+1,1,0),0)</f>
        <v>0</v>
      </c>
      <c r="AP70" s="71">
        <f>IF(AND($AK70=1,ISNUMBER($L70)),IF(AND($L70&gt;=ReportDate,$L70&lt;=ReportDate+DueSoonDays),1,0),0)</f>
        <v>0</v>
      </c>
      <c r="AQ70" s="71">
        <f>IF(AND($AK70=1,OR($I70="Critical",$I70="High")),1,0)</f>
        <v>0</v>
      </c>
      <c r="AR70" s="71">
        <f>IF($AK70=1,IF(ISNUMBER($Y70),IF(ReportDate-$Y70&gt;StaleDays,1,0),1),0)</f>
        <v>0</v>
      </c>
      <c r="AS70" s="71">
        <f>IF(AND($G70&lt;&gt;"",ISNUMBER($Q70),ISNUMBER($R70)),IF(AND($Q70&lt;$R70,OR($M70="Completed",AND(ISNUMBER($L70),$L70&lt;ReportDate))),1,0),0)</f>
        <v>0</v>
      </c>
      <c r="AT70" s="71">
        <f>IF($AK70=1,IF(OR($L70=ReportDate,$W70=ReportDate,$K70=ReportDate,$A70=ReportDate),1,0),0)</f>
        <v>0</v>
      </c>
      <c r="AU70" s="71">
        <f>IF($AK70=1,IF(OR($L70=ReportDate+1,$W70=ReportDate+1,$K70=ReportDate+1,$A70=ReportDate+1),1,0),0)</f>
        <v>0</v>
      </c>
      <c r="AV70" s="71">
        <f>IF(AND($G70&lt;&gt;"",$M70="Completed"),IF(OR($Y70=ReportDate-1,$A70=ReportDate-1),1,0),0)</f>
        <v>0</v>
      </c>
      <c r="AW70" s="71">
        <f>IF(AND($AK70=1,$Z70="Yes"),1,0)</f>
        <v>0</v>
      </c>
      <c r="AX70" s="71">
        <f>IF(AND($AK70=1,$AA70="Yes"),1,0)</f>
        <v>0</v>
      </c>
      <c r="AY70" s="71">
        <f>IF(AND($AM70=1,OR($I70="Critical",$I70="High")),1,0)</f>
        <v>0</v>
      </c>
      <c r="AZ70" s="71">
        <f>IF(AND($AK70=1,OR($C70=TCL_Client,$C70=MECCA_Client)),1,0)</f>
        <v>0</v>
      </c>
      <c r="BA70" s="71" t="str">
        <f>IF($G70="","",IFERROR(MATCH($I70,lst_Priority,0),5))</f>
        <v/>
      </c>
      <c r="BB70" s="71" t="str">
        <f>IF(AND($AL70=1,$AJ70=1),$BA70*100000+ROW(),"")</f>
        <v/>
      </c>
      <c r="BC70" s="71" t="str">
        <f>IF(AND($AM70=1,$AJ70=1),$BA70*100000+ROW(),"")</f>
        <v/>
      </c>
      <c r="BD70" s="71" t="str">
        <f>IF(AND($AP70=1,$AJ70=1),$BA70*100000+ROW(),"")</f>
        <v/>
      </c>
      <c r="BE70" s="71" t="str">
        <f>IF(AND($AT70=1,$AJ70=1),$BA70*100000+ROW(),"")</f>
        <v/>
      </c>
      <c r="BF70" s="71" t="str">
        <f>IF(AND($AU70=1,$AJ70=1),$BA70*100000+ROW(),"")</f>
        <v/>
      </c>
      <c r="BG70" s="71" t="str">
        <f>IF(AND($AV70=1,$AJ70=1),$BA70*100000+ROW(),"")</f>
        <v/>
      </c>
      <c r="BH70" s="71" t="str">
        <f>IF(AND($AW70=1,$AJ70=1),$BA70*100000+ROW(),"")</f>
        <v/>
      </c>
      <c r="BI70" s="71" t="str">
        <f>IF(AND($AX70=1,$AJ70=1),$BA70*100000+ROW(),"")</f>
        <v/>
      </c>
      <c r="BJ70" s="71" t="str">
        <f>IF(AND($AS70=1,$AJ70=1),$BA70*100000+ROW(),"")</f>
        <v/>
      </c>
      <c r="BK70" s="71" t="str">
        <f>IF(AND($AY70=1,$AJ70=1),$BA70*100000+ROW(),"")</f>
        <v/>
      </c>
      <c r="BL70" s="71" t="str">
        <f>IF(AND($AZ70=1),$BA70*100000+ROW(),"")</f>
        <v/>
      </c>
    </row>
    <row r="71">
      <c r="A71" s="63" t="n"/>
      <c r="B71" s="64" t="n"/>
      <c r="C71" s="64" t="n"/>
      <c r="D71" s="64" t="n"/>
      <c r="E71" s="64" t="n"/>
      <c r="F71" s="64" t="n"/>
      <c r="G71" s="65" t="n"/>
      <c r="H71" s="65" t="n"/>
      <c r="I71" s="64" t="n"/>
      <c r="J71" s="64" t="n"/>
      <c r="K71" s="63" t="n"/>
      <c r="L71" s="63" t="n"/>
      <c r="M71" s="64" t="n"/>
      <c r="N71" s="66" t="n"/>
      <c r="O71" s="65" t="n"/>
      <c r="P71" s="64" t="n"/>
      <c r="Q71" s="67" t="n"/>
      <c r="R71" s="67" t="n"/>
      <c r="S71" s="68" t="str">
        <f>IF(AND(ISNUMBER($Q71),ISNUMBER($R71)),$Q71-$R71,"")</f>
        <v/>
      </c>
      <c r="T71" s="65" t="n"/>
      <c r="U71" s="64" t="n"/>
      <c r="V71" s="65" t="n"/>
      <c r="W71" s="63" t="n"/>
      <c r="X71" s="65" t="n"/>
      <c r="Y71" s="63" t="n"/>
      <c r="Z71" s="64" t="n"/>
      <c r="AA71" s="64" t="n"/>
      <c r="AB71" s="65" t="n"/>
      <c r="AC71" s="69" t="str">
        <f>IF(OR($G71="",NOT(ISNUMBER($K71)),$AK71=0),"",MAX(0,ReportDate-$K71))</f>
        <v/>
      </c>
      <c r="AD71" s="69" t="str">
        <f>IF($G71="","",IF($AL71=1,ReportDate-$L71,0))</f>
        <v/>
      </c>
      <c r="AE71" s="70" t="str">
        <f>IF($G71="","",IF($M71="Completed",1,IF(ISNUMBER($N71),$N71,0)))</f>
        <v/>
      </c>
      <c r="AF71" s="70" t="str">
        <f>IF(AND(ISNUMBER($Q71),ISNUMBER($R71)),IF($R71&lt;&gt;0,$Q71/$R71,""),"")</f>
        <v/>
      </c>
      <c r="AG71" s="71" t="str">
        <f>IF($G71="","",IF($AL71=1,"OVERDUE",IF($AM71=1,"BLOCKED",IF($AN71=1,"DUE TODAY",IF($AO71=1,"DUE TOMORROW",IF($AQ71=1,"HIGH PRIORITY",IF($AR71=1,"NO RECENT UPDATE",""))))))) </f>
        <v/>
      </c>
      <c r="AH71" s="71" t="str">
        <f>IF($G71="","",IF(ISNUMBER($A71),IF(ISNUMBER($A71),YEAR($A71)&amp;"-"&amp;TEXT(MONTH($A71),"00"),""),IF(ISNUMBER($L71),IF(ISNUMBER($L71),YEAR($L71)&amp;"-"&amp;TEXT(MONTH($L71),"00"),""),"")))</f>
        <v/>
      </c>
      <c r="AI71" s="71">
        <f>IF($G71="",0,IF(AND(OR(fClient="All",$C71=fClient),OR(fCampaign="All",$D71=fCampaign),OR(fTeam="All",$B71=fTeam),OR(fChannel="All",$F71=fChannel),OR(fMonth="All",$AH71=fMonth),OR(fTStatus="All",$M71=fTStatus)),1,0))</f>
        <v>0</v>
      </c>
      <c r="AJ71" s="71">
        <f>IF($G71="",0,IF(AND(OR(fClient="All",$C71=fClient),OR(fCampaign="All",$D71=fCampaign),OR(fTeam="All",$B71=fTeam),OR(fChannel="All",$F71=fChannel)),1,0))</f>
        <v>0</v>
      </c>
      <c r="AK71" s="71">
        <f>IF($G71="",0,IF(OR($M71="Completed",$M71="Cancelled"),0,1))</f>
        <v>0</v>
      </c>
      <c r="AL71" s="71">
        <f>IF(AND($AK71=1,ISNUMBER($L71)),IF($L71&lt;ReportDate,1,0),0)</f>
        <v>0</v>
      </c>
      <c r="AM71" s="71">
        <f>IF(AND($G71&lt;&gt;"",$M71="Blocked"),1,0)</f>
        <v>0</v>
      </c>
      <c r="AN71" s="71">
        <f>IF(AND($AK71=1,ISNUMBER($L71)),IF($L71=ReportDate,1,0),0)</f>
        <v>0</v>
      </c>
      <c r="AO71" s="71">
        <f>IF(AND($AK71=1,ISNUMBER($L71)),IF($L71=ReportDate+1,1,0),0)</f>
        <v>0</v>
      </c>
      <c r="AP71" s="71">
        <f>IF(AND($AK71=1,ISNUMBER($L71)),IF(AND($L71&gt;=ReportDate,$L71&lt;=ReportDate+DueSoonDays),1,0),0)</f>
        <v>0</v>
      </c>
      <c r="AQ71" s="71">
        <f>IF(AND($AK71=1,OR($I71="Critical",$I71="High")),1,0)</f>
        <v>0</v>
      </c>
      <c r="AR71" s="71">
        <f>IF($AK71=1,IF(ISNUMBER($Y71),IF(ReportDate-$Y71&gt;StaleDays,1,0),1),0)</f>
        <v>0</v>
      </c>
      <c r="AS71" s="71">
        <f>IF(AND($G71&lt;&gt;"",ISNUMBER($Q71),ISNUMBER($R71)),IF(AND($Q71&lt;$R71,OR($M71="Completed",AND(ISNUMBER($L71),$L71&lt;ReportDate))),1,0),0)</f>
        <v>0</v>
      </c>
      <c r="AT71" s="71">
        <f>IF($AK71=1,IF(OR($L71=ReportDate,$W71=ReportDate,$K71=ReportDate,$A71=ReportDate),1,0),0)</f>
        <v>0</v>
      </c>
      <c r="AU71" s="71">
        <f>IF($AK71=1,IF(OR($L71=ReportDate+1,$W71=ReportDate+1,$K71=ReportDate+1,$A71=ReportDate+1),1,0),0)</f>
        <v>0</v>
      </c>
      <c r="AV71" s="71">
        <f>IF(AND($G71&lt;&gt;"",$M71="Completed"),IF(OR($Y71=ReportDate-1,$A71=ReportDate-1),1,0),0)</f>
        <v>0</v>
      </c>
      <c r="AW71" s="71">
        <f>IF(AND($AK71=1,$Z71="Yes"),1,0)</f>
        <v>0</v>
      </c>
      <c r="AX71" s="71">
        <f>IF(AND($AK71=1,$AA71="Yes"),1,0)</f>
        <v>0</v>
      </c>
      <c r="AY71" s="71">
        <f>IF(AND($AM71=1,OR($I71="Critical",$I71="High")),1,0)</f>
        <v>0</v>
      </c>
      <c r="AZ71" s="71">
        <f>IF(AND($AK71=1,OR($C71=TCL_Client,$C71=MECCA_Client)),1,0)</f>
        <v>0</v>
      </c>
      <c r="BA71" s="71" t="str">
        <f>IF($G71="","",IFERROR(MATCH($I71,lst_Priority,0),5))</f>
        <v/>
      </c>
      <c r="BB71" s="71" t="str">
        <f>IF(AND($AL71=1,$AJ71=1),$BA71*100000+ROW(),"")</f>
        <v/>
      </c>
      <c r="BC71" s="71" t="str">
        <f>IF(AND($AM71=1,$AJ71=1),$BA71*100000+ROW(),"")</f>
        <v/>
      </c>
      <c r="BD71" s="71" t="str">
        <f>IF(AND($AP71=1,$AJ71=1),$BA71*100000+ROW(),"")</f>
        <v/>
      </c>
      <c r="BE71" s="71" t="str">
        <f>IF(AND($AT71=1,$AJ71=1),$BA71*100000+ROW(),"")</f>
        <v/>
      </c>
      <c r="BF71" s="71" t="str">
        <f>IF(AND($AU71=1,$AJ71=1),$BA71*100000+ROW(),"")</f>
        <v/>
      </c>
      <c r="BG71" s="71" t="str">
        <f>IF(AND($AV71=1,$AJ71=1),$BA71*100000+ROW(),"")</f>
        <v/>
      </c>
      <c r="BH71" s="71" t="str">
        <f>IF(AND($AW71=1,$AJ71=1),$BA71*100000+ROW(),"")</f>
        <v/>
      </c>
      <c r="BI71" s="71" t="str">
        <f>IF(AND($AX71=1,$AJ71=1),$BA71*100000+ROW(),"")</f>
        <v/>
      </c>
      <c r="BJ71" s="71" t="str">
        <f>IF(AND($AS71=1,$AJ71=1),$BA71*100000+ROW(),"")</f>
        <v/>
      </c>
      <c r="BK71" s="71" t="str">
        <f>IF(AND($AY71=1,$AJ71=1),$BA71*100000+ROW(),"")</f>
        <v/>
      </c>
      <c r="BL71" s="71" t="str">
        <f>IF(AND($AZ71=1),$BA71*100000+ROW(),"")</f>
        <v/>
      </c>
    </row>
    <row r="72">
      <c r="A72" s="63" t="n"/>
      <c r="B72" s="64" t="n"/>
      <c r="C72" s="64" t="n"/>
      <c r="D72" s="64" t="n"/>
      <c r="E72" s="64" t="n"/>
      <c r="F72" s="64" t="n"/>
      <c r="G72" s="65" t="n"/>
      <c r="H72" s="65" t="n"/>
      <c r="I72" s="64" t="n"/>
      <c r="J72" s="64" t="n"/>
      <c r="K72" s="63" t="n"/>
      <c r="L72" s="63" t="n"/>
      <c r="M72" s="64" t="n"/>
      <c r="N72" s="66" t="n"/>
      <c r="O72" s="65" t="n"/>
      <c r="P72" s="64" t="n"/>
      <c r="Q72" s="67" t="n"/>
      <c r="R72" s="67" t="n"/>
      <c r="S72" s="68" t="str">
        <f>IF(AND(ISNUMBER($Q72),ISNUMBER($R72)),$Q72-$R72,"")</f>
        <v/>
      </c>
      <c r="T72" s="65" t="n"/>
      <c r="U72" s="64" t="n"/>
      <c r="V72" s="65" t="n"/>
      <c r="W72" s="63" t="n"/>
      <c r="X72" s="65" t="n"/>
      <c r="Y72" s="63" t="n"/>
      <c r="Z72" s="64" t="n"/>
      <c r="AA72" s="64" t="n"/>
      <c r="AB72" s="65" t="n"/>
      <c r="AC72" s="69" t="str">
        <f>IF(OR($G72="",NOT(ISNUMBER($K72)),$AK72=0),"",MAX(0,ReportDate-$K72))</f>
        <v/>
      </c>
      <c r="AD72" s="69" t="str">
        <f>IF($G72="","",IF($AL72=1,ReportDate-$L72,0))</f>
        <v/>
      </c>
      <c r="AE72" s="70" t="str">
        <f>IF($G72="","",IF($M72="Completed",1,IF(ISNUMBER($N72),$N72,0)))</f>
        <v/>
      </c>
      <c r="AF72" s="70" t="str">
        <f>IF(AND(ISNUMBER($Q72),ISNUMBER($R72)),IF($R72&lt;&gt;0,$Q72/$R72,""),"")</f>
        <v/>
      </c>
      <c r="AG72" s="71" t="str">
        <f>IF($G72="","",IF($AL72=1,"OVERDUE",IF($AM72=1,"BLOCKED",IF($AN72=1,"DUE TODAY",IF($AO72=1,"DUE TOMORROW",IF($AQ72=1,"HIGH PRIORITY",IF($AR72=1,"NO RECENT UPDATE",""))))))) </f>
        <v/>
      </c>
      <c r="AH72" s="71" t="str">
        <f>IF($G72="","",IF(ISNUMBER($A72),IF(ISNUMBER($A72),YEAR($A72)&amp;"-"&amp;TEXT(MONTH($A72),"00"),""),IF(ISNUMBER($L72),IF(ISNUMBER($L72),YEAR($L72)&amp;"-"&amp;TEXT(MONTH($L72),"00"),""),"")))</f>
        <v/>
      </c>
      <c r="AI72" s="71">
        <f>IF($G72="",0,IF(AND(OR(fClient="All",$C72=fClient),OR(fCampaign="All",$D72=fCampaign),OR(fTeam="All",$B72=fTeam),OR(fChannel="All",$F72=fChannel),OR(fMonth="All",$AH72=fMonth),OR(fTStatus="All",$M72=fTStatus)),1,0))</f>
        <v>0</v>
      </c>
      <c r="AJ72" s="71">
        <f>IF($G72="",0,IF(AND(OR(fClient="All",$C72=fClient),OR(fCampaign="All",$D72=fCampaign),OR(fTeam="All",$B72=fTeam),OR(fChannel="All",$F72=fChannel)),1,0))</f>
        <v>0</v>
      </c>
      <c r="AK72" s="71">
        <f>IF($G72="",0,IF(OR($M72="Completed",$M72="Cancelled"),0,1))</f>
        <v>0</v>
      </c>
      <c r="AL72" s="71">
        <f>IF(AND($AK72=1,ISNUMBER($L72)),IF($L72&lt;ReportDate,1,0),0)</f>
        <v>0</v>
      </c>
      <c r="AM72" s="71">
        <f>IF(AND($G72&lt;&gt;"",$M72="Blocked"),1,0)</f>
        <v>0</v>
      </c>
      <c r="AN72" s="71">
        <f>IF(AND($AK72=1,ISNUMBER($L72)),IF($L72=ReportDate,1,0),0)</f>
        <v>0</v>
      </c>
      <c r="AO72" s="71">
        <f>IF(AND($AK72=1,ISNUMBER($L72)),IF($L72=ReportDate+1,1,0),0)</f>
        <v>0</v>
      </c>
      <c r="AP72" s="71">
        <f>IF(AND($AK72=1,ISNUMBER($L72)),IF(AND($L72&gt;=ReportDate,$L72&lt;=ReportDate+DueSoonDays),1,0),0)</f>
        <v>0</v>
      </c>
      <c r="AQ72" s="71">
        <f>IF(AND($AK72=1,OR($I72="Critical",$I72="High")),1,0)</f>
        <v>0</v>
      </c>
      <c r="AR72" s="71">
        <f>IF($AK72=1,IF(ISNUMBER($Y72),IF(ReportDate-$Y72&gt;StaleDays,1,0),1),0)</f>
        <v>0</v>
      </c>
      <c r="AS72" s="71">
        <f>IF(AND($G72&lt;&gt;"",ISNUMBER($Q72),ISNUMBER($R72)),IF(AND($Q72&lt;$R72,OR($M72="Completed",AND(ISNUMBER($L72),$L72&lt;ReportDate))),1,0),0)</f>
        <v>0</v>
      </c>
      <c r="AT72" s="71">
        <f>IF($AK72=1,IF(OR($L72=ReportDate,$W72=ReportDate,$K72=ReportDate,$A72=ReportDate),1,0),0)</f>
        <v>0</v>
      </c>
      <c r="AU72" s="71">
        <f>IF($AK72=1,IF(OR($L72=ReportDate+1,$W72=ReportDate+1,$K72=ReportDate+1,$A72=ReportDate+1),1,0),0)</f>
        <v>0</v>
      </c>
      <c r="AV72" s="71">
        <f>IF(AND($G72&lt;&gt;"",$M72="Completed"),IF(OR($Y72=ReportDate-1,$A72=ReportDate-1),1,0),0)</f>
        <v>0</v>
      </c>
      <c r="AW72" s="71">
        <f>IF(AND($AK72=1,$Z72="Yes"),1,0)</f>
        <v>0</v>
      </c>
      <c r="AX72" s="71">
        <f>IF(AND($AK72=1,$AA72="Yes"),1,0)</f>
        <v>0</v>
      </c>
      <c r="AY72" s="71">
        <f>IF(AND($AM72=1,OR($I72="Critical",$I72="High")),1,0)</f>
        <v>0</v>
      </c>
      <c r="AZ72" s="71">
        <f>IF(AND($AK72=1,OR($C72=TCL_Client,$C72=MECCA_Client)),1,0)</f>
        <v>0</v>
      </c>
      <c r="BA72" s="71" t="str">
        <f>IF($G72="","",IFERROR(MATCH($I72,lst_Priority,0),5))</f>
        <v/>
      </c>
      <c r="BB72" s="71" t="str">
        <f>IF(AND($AL72=1,$AJ72=1),$BA72*100000+ROW(),"")</f>
        <v/>
      </c>
      <c r="BC72" s="71" t="str">
        <f>IF(AND($AM72=1,$AJ72=1),$BA72*100000+ROW(),"")</f>
        <v/>
      </c>
      <c r="BD72" s="71" t="str">
        <f>IF(AND($AP72=1,$AJ72=1),$BA72*100000+ROW(),"")</f>
        <v/>
      </c>
      <c r="BE72" s="71" t="str">
        <f>IF(AND($AT72=1,$AJ72=1),$BA72*100000+ROW(),"")</f>
        <v/>
      </c>
      <c r="BF72" s="71" t="str">
        <f>IF(AND($AU72=1,$AJ72=1),$BA72*100000+ROW(),"")</f>
        <v/>
      </c>
      <c r="BG72" s="71" t="str">
        <f>IF(AND($AV72=1,$AJ72=1),$BA72*100000+ROW(),"")</f>
        <v/>
      </c>
      <c r="BH72" s="71" t="str">
        <f>IF(AND($AW72=1,$AJ72=1),$BA72*100000+ROW(),"")</f>
        <v/>
      </c>
      <c r="BI72" s="71" t="str">
        <f>IF(AND($AX72=1,$AJ72=1),$BA72*100000+ROW(),"")</f>
        <v/>
      </c>
      <c r="BJ72" s="71" t="str">
        <f>IF(AND($AS72=1,$AJ72=1),$BA72*100000+ROW(),"")</f>
        <v/>
      </c>
      <c r="BK72" s="71" t="str">
        <f>IF(AND($AY72=1,$AJ72=1),$BA72*100000+ROW(),"")</f>
        <v/>
      </c>
      <c r="BL72" s="71" t="str">
        <f>IF(AND($AZ72=1),$BA72*100000+ROW(),"")</f>
        <v/>
      </c>
    </row>
    <row r="73">
      <c r="A73" s="63" t="n"/>
      <c r="B73" s="64" t="n"/>
      <c r="C73" s="64" t="n"/>
      <c r="D73" s="64" t="n"/>
      <c r="E73" s="64" t="n"/>
      <c r="F73" s="64" t="n"/>
      <c r="G73" s="65" t="n"/>
      <c r="H73" s="65" t="n"/>
      <c r="I73" s="64" t="n"/>
      <c r="J73" s="64" t="n"/>
      <c r="K73" s="63" t="n"/>
      <c r="L73" s="63" t="n"/>
      <c r="M73" s="64" t="n"/>
      <c r="N73" s="66" t="n"/>
      <c r="O73" s="65" t="n"/>
      <c r="P73" s="64" t="n"/>
      <c r="Q73" s="67" t="n"/>
      <c r="R73" s="67" t="n"/>
      <c r="S73" s="68" t="str">
        <f>IF(AND(ISNUMBER($Q73),ISNUMBER($R73)),$Q73-$R73,"")</f>
        <v/>
      </c>
      <c r="T73" s="65" t="n"/>
      <c r="U73" s="64" t="n"/>
      <c r="V73" s="65" t="n"/>
      <c r="W73" s="63" t="n"/>
      <c r="X73" s="65" t="n"/>
      <c r="Y73" s="63" t="n"/>
      <c r="Z73" s="64" t="n"/>
      <c r="AA73" s="64" t="n"/>
      <c r="AB73" s="65" t="n"/>
      <c r="AC73" s="69" t="str">
        <f>IF(OR($G73="",NOT(ISNUMBER($K73)),$AK73=0),"",MAX(0,ReportDate-$K73))</f>
        <v/>
      </c>
      <c r="AD73" s="69" t="str">
        <f>IF($G73="","",IF($AL73=1,ReportDate-$L73,0))</f>
        <v/>
      </c>
      <c r="AE73" s="70" t="str">
        <f>IF($G73="","",IF($M73="Completed",1,IF(ISNUMBER($N73),$N73,0)))</f>
        <v/>
      </c>
      <c r="AF73" s="70" t="str">
        <f>IF(AND(ISNUMBER($Q73),ISNUMBER($R73)),IF($R73&lt;&gt;0,$Q73/$R73,""),"")</f>
        <v/>
      </c>
      <c r="AG73" s="71" t="str">
        <f>IF($G73="","",IF($AL73=1,"OVERDUE",IF($AM73=1,"BLOCKED",IF($AN73=1,"DUE TODAY",IF($AO73=1,"DUE TOMORROW",IF($AQ73=1,"HIGH PRIORITY",IF($AR73=1,"NO RECENT UPDATE",""))))))) </f>
        <v/>
      </c>
      <c r="AH73" s="71" t="str">
        <f>IF($G73="","",IF(ISNUMBER($A73),IF(ISNUMBER($A73),YEAR($A73)&amp;"-"&amp;TEXT(MONTH($A73),"00"),""),IF(ISNUMBER($L73),IF(ISNUMBER($L73),YEAR($L73)&amp;"-"&amp;TEXT(MONTH($L73),"00"),""),"")))</f>
        <v/>
      </c>
      <c r="AI73" s="71">
        <f>IF($G73="",0,IF(AND(OR(fClient="All",$C73=fClient),OR(fCampaign="All",$D73=fCampaign),OR(fTeam="All",$B73=fTeam),OR(fChannel="All",$F73=fChannel),OR(fMonth="All",$AH73=fMonth),OR(fTStatus="All",$M73=fTStatus)),1,0))</f>
        <v>0</v>
      </c>
      <c r="AJ73" s="71">
        <f>IF($G73="",0,IF(AND(OR(fClient="All",$C73=fClient),OR(fCampaign="All",$D73=fCampaign),OR(fTeam="All",$B73=fTeam),OR(fChannel="All",$F73=fChannel)),1,0))</f>
        <v>0</v>
      </c>
      <c r="AK73" s="71">
        <f>IF($G73="",0,IF(OR($M73="Completed",$M73="Cancelled"),0,1))</f>
        <v>0</v>
      </c>
      <c r="AL73" s="71">
        <f>IF(AND($AK73=1,ISNUMBER($L73)),IF($L73&lt;ReportDate,1,0),0)</f>
        <v>0</v>
      </c>
      <c r="AM73" s="71">
        <f>IF(AND($G73&lt;&gt;"",$M73="Blocked"),1,0)</f>
        <v>0</v>
      </c>
      <c r="AN73" s="71">
        <f>IF(AND($AK73=1,ISNUMBER($L73)),IF($L73=ReportDate,1,0),0)</f>
        <v>0</v>
      </c>
      <c r="AO73" s="71">
        <f>IF(AND($AK73=1,ISNUMBER($L73)),IF($L73=ReportDate+1,1,0),0)</f>
        <v>0</v>
      </c>
      <c r="AP73" s="71">
        <f>IF(AND($AK73=1,ISNUMBER($L73)),IF(AND($L73&gt;=ReportDate,$L73&lt;=ReportDate+DueSoonDays),1,0),0)</f>
        <v>0</v>
      </c>
      <c r="AQ73" s="71">
        <f>IF(AND($AK73=1,OR($I73="Critical",$I73="High")),1,0)</f>
        <v>0</v>
      </c>
      <c r="AR73" s="71">
        <f>IF($AK73=1,IF(ISNUMBER($Y73),IF(ReportDate-$Y73&gt;StaleDays,1,0),1),0)</f>
        <v>0</v>
      </c>
      <c r="AS73" s="71">
        <f>IF(AND($G73&lt;&gt;"",ISNUMBER($Q73),ISNUMBER($R73)),IF(AND($Q73&lt;$R73,OR($M73="Completed",AND(ISNUMBER($L73),$L73&lt;ReportDate))),1,0),0)</f>
        <v>0</v>
      </c>
      <c r="AT73" s="71">
        <f>IF($AK73=1,IF(OR($L73=ReportDate,$W73=ReportDate,$K73=ReportDate,$A73=ReportDate),1,0),0)</f>
        <v>0</v>
      </c>
      <c r="AU73" s="71">
        <f>IF($AK73=1,IF(OR($L73=ReportDate+1,$W73=ReportDate+1,$K73=ReportDate+1,$A73=ReportDate+1),1,0),0)</f>
        <v>0</v>
      </c>
      <c r="AV73" s="71">
        <f>IF(AND($G73&lt;&gt;"",$M73="Completed"),IF(OR($Y73=ReportDate-1,$A73=ReportDate-1),1,0),0)</f>
        <v>0</v>
      </c>
      <c r="AW73" s="71">
        <f>IF(AND($AK73=1,$Z73="Yes"),1,0)</f>
        <v>0</v>
      </c>
      <c r="AX73" s="71">
        <f>IF(AND($AK73=1,$AA73="Yes"),1,0)</f>
        <v>0</v>
      </c>
      <c r="AY73" s="71">
        <f>IF(AND($AM73=1,OR($I73="Critical",$I73="High")),1,0)</f>
        <v>0</v>
      </c>
      <c r="AZ73" s="71">
        <f>IF(AND($AK73=1,OR($C73=TCL_Client,$C73=MECCA_Client)),1,0)</f>
        <v>0</v>
      </c>
      <c r="BA73" s="71" t="str">
        <f>IF($G73="","",IFERROR(MATCH($I73,lst_Priority,0),5))</f>
        <v/>
      </c>
      <c r="BB73" s="71" t="str">
        <f>IF(AND($AL73=1,$AJ73=1),$BA73*100000+ROW(),"")</f>
        <v/>
      </c>
      <c r="BC73" s="71" t="str">
        <f>IF(AND($AM73=1,$AJ73=1),$BA73*100000+ROW(),"")</f>
        <v/>
      </c>
      <c r="BD73" s="71" t="str">
        <f>IF(AND($AP73=1,$AJ73=1),$BA73*100000+ROW(),"")</f>
        <v/>
      </c>
      <c r="BE73" s="71" t="str">
        <f>IF(AND($AT73=1,$AJ73=1),$BA73*100000+ROW(),"")</f>
        <v/>
      </c>
      <c r="BF73" s="71" t="str">
        <f>IF(AND($AU73=1,$AJ73=1),$BA73*100000+ROW(),"")</f>
        <v/>
      </c>
      <c r="BG73" s="71" t="str">
        <f>IF(AND($AV73=1,$AJ73=1),$BA73*100000+ROW(),"")</f>
        <v/>
      </c>
      <c r="BH73" s="71" t="str">
        <f>IF(AND($AW73=1,$AJ73=1),$BA73*100000+ROW(),"")</f>
        <v/>
      </c>
      <c r="BI73" s="71" t="str">
        <f>IF(AND($AX73=1,$AJ73=1),$BA73*100000+ROW(),"")</f>
        <v/>
      </c>
      <c r="BJ73" s="71" t="str">
        <f>IF(AND($AS73=1,$AJ73=1),$BA73*100000+ROW(),"")</f>
        <v/>
      </c>
      <c r="BK73" s="71" t="str">
        <f>IF(AND($AY73=1,$AJ73=1),$BA73*100000+ROW(),"")</f>
        <v/>
      </c>
      <c r="BL73" s="71" t="str">
        <f>IF(AND($AZ73=1),$BA73*100000+ROW(),"")</f>
        <v/>
      </c>
    </row>
    <row r="74">
      <c r="A74" s="63" t="n"/>
      <c r="B74" s="64" t="n"/>
      <c r="C74" s="64" t="n"/>
      <c r="D74" s="64" t="n"/>
      <c r="E74" s="64" t="n"/>
      <c r="F74" s="64" t="n"/>
      <c r="G74" s="65" t="n"/>
      <c r="H74" s="65" t="n"/>
      <c r="I74" s="64" t="n"/>
      <c r="J74" s="64" t="n"/>
      <c r="K74" s="63" t="n"/>
      <c r="L74" s="63" t="n"/>
      <c r="M74" s="64" t="n"/>
      <c r="N74" s="66" t="n"/>
      <c r="O74" s="65" t="n"/>
      <c r="P74" s="64" t="n"/>
      <c r="Q74" s="67" t="n"/>
      <c r="R74" s="67" t="n"/>
      <c r="S74" s="68" t="str">
        <f>IF(AND(ISNUMBER($Q74),ISNUMBER($R74)),$Q74-$R74,"")</f>
        <v/>
      </c>
      <c r="T74" s="65" t="n"/>
      <c r="U74" s="64" t="n"/>
      <c r="V74" s="65" t="n"/>
      <c r="W74" s="63" t="n"/>
      <c r="X74" s="65" t="n"/>
      <c r="Y74" s="63" t="n"/>
      <c r="Z74" s="64" t="n"/>
      <c r="AA74" s="64" t="n"/>
      <c r="AB74" s="65" t="n"/>
      <c r="AC74" s="69" t="str">
        <f>IF(OR($G74="",NOT(ISNUMBER($K74)),$AK74=0),"",MAX(0,ReportDate-$K74))</f>
        <v/>
      </c>
      <c r="AD74" s="69" t="str">
        <f>IF($G74="","",IF($AL74=1,ReportDate-$L74,0))</f>
        <v/>
      </c>
      <c r="AE74" s="70" t="str">
        <f>IF($G74="","",IF($M74="Completed",1,IF(ISNUMBER($N74),$N74,0)))</f>
        <v/>
      </c>
      <c r="AF74" s="70" t="str">
        <f>IF(AND(ISNUMBER($Q74),ISNUMBER($R74)),IF($R74&lt;&gt;0,$Q74/$R74,""),"")</f>
        <v/>
      </c>
      <c r="AG74" s="71" t="str">
        <f>IF($G74="","",IF($AL74=1,"OVERDUE",IF($AM74=1,"BLOCKED",IF($AN74=1,"DUE TODAY",IF($AO74=1,"DUE TOMORROW",IF($AQ74=1,"HIGH PRIORITY",IF($AR74=1,"NO RECENT UPDATE",""))))))) </f>
        <v/>
      </c>
      <c r="AH74" s="71" t="str">
        <f>IF($G74="","",IF(ISNUMBER($A74),IF(ISNUMBER($A74),YEAR($A74)&amp;"-"&amp;TEXT(MONTH($A74),"00"),""),IF(ISNUMBER($L74),IF(ISNUMBER($L74),YEAR($L74)&amp;"-"&amp;TEXT(MONTH($L74),"00"),""),"")))</f>
        <v/>
      </c>
      <c r="AI74" s="71">
        <f>IF($G74="",0,IF(AND(OR(fClient="All",$C74=fClient),OR(fCampaign="All",$D74=fCampaign),OR(fTeam="All",$B74=fTeam),OR(fChannel="All",$F74=fChannel),OR(fMonth="All",$AH74=fMonth),OR(fTStatus="All",$M74=fTStatus)),1,0))</f>
        <v>0</v>
      </c>
      <c r="AJ74" s="71">
        <f>IF($G74="",0,IF(AND(OR(fClient="All",$C74=fClient),OR(fCampaign="All",$D74=fCampaign),OR(fTeam="All",$B74=fTeam),OR(fChannel="All",$F74=fChannel)),1,0))</f>
        <v>0</v>
      </c>
      <c r="AK74" s="71">
        <f>IF($G74="",0,IF(OR($M74="Completed",$M74="Cancelled"),0,1))</f>
        <v>0</v>
      </c>
      <c r="AL74" s="71">
        <f>IF(AND($AK74=1,ISNUMBER($L74)),IF($L74&lt;ReportDate,1,0),0)</f>
        <v>0</v>
      </c>
      <c r="AM74" s="71">
        <f>IF(AND($G74&lt;&gt;"",$M74="Blocked"),1,0)</f>
        <v>0</v>
      </c>
      <c r="AN74" s="71">
        <f>IF(AND($AK74=1,ISNUMBER($L74)),IF($L74=ReportDate,1,0),0)</f>
        <v>0</v>
      </c>
      <c r="AO74" s="71">
        <f>IF(AND($AK74=1,ISNUMBER($L74)),IF($L74=ReportDate+1,1,0),0)</f>
        <v>0</v>
      </c>
      <c r="AP74" s="71">
        <f>IF(AND($AK74=1,ISNUMBER($L74)),IF(AND($L74&gt;=ReportDate,$L74&lt;=ReportDate+DueSoonDays),1,0),0)</f>
        <v>0</v>
      </c>
      <c r="AQ74" s="71">
        <f>IF(AND($AK74=1,OR($I74="Critical",$I74="High")),1,0)</f>
        <v>0</v>
      </c>
      <c r="AR74" s="71">
        <f>IF($AK74=1,IF(ISNUMBER($Y74),IF(ReportDate-$Y74&gt;StaleDays,1,0),1),0)</f>
        <v>0</v>
      </c>
      <c r="AS74" s="71">
        <f>IF(AND($G74&lt;&gt;"",ISNUMBER($Q74),ISNUMBER($R74)),IF(AND($Q74&lt;$R74,OR($M74="Completed",AND(ISNUMBER($L74),$L74&lt;ReportDate))),1,0),0)</f>
        <v>0</v>
      </c>
      <c r="AT74" s="71">
        <f>IF($AK74=1,IF(OR($L74=ReportDate,$W74=ReportDate,$K74=ReportDate,$A74=ReportDate),1,0),0)</f>
        <v>0</v>
      </c>
      <c r="AU74" s="71">
        <f>IF($AK74=1,IF(OR($L74=ReportDate+1,$W74=ReportDate+1,$K74=ReportDate+1,$A74=ReportDate+1),1,0),0)</f>
        <v>0</v>
      </c>
      <c r="AV74" s="71">
        <f>IF(AND($G74&lt;&gt;"",$M74="Completed"),IF(OR($Y74=ReportDate-1,$A74=ReportDate-1),1,0),0)</f>
        <v>0</v>
      </c>
      <c r="AW74" s="71">
        <f>IF(AND($AK74=1,$Z74="Yes"),1,0)</f>
        <v>0</v>
      </c>
      <c r="AX74" s="71">
        <f>IF(AND($AK74=1,$AA74="Yes"),1,0)</f>
        <v>0</v>
      </c>
      <c r="AY74" s="71">
        <f>IF(AND($AM74=1,OR($I74="Critical",$I74="High")),1,0)</f>
        <v>0</v>
      </c>
      <c r="AZ74" s="71">
        <f>IF(AND($AK74=1,OR($C74=TCL_Client,$C74=MECCA_Client)),1,0)</f>
        <v>0</v>
      </c>
      <c r="BA74" s="71" t="str">
        <f>IF($G74="","",IFERROR(MATCH($I74,lst_Priority,0),5))</f>
        <v/>
      </c>
      <c r="BB74" s="71" t="str">
        <f>IF(AND($AL74=1,$AJ74=1),$BA74*100000+ROW(),"")</f>
        <v/>
      </c>
      <c r="BC74" s="71" t="str">
        <f>IF(AND($AM74=1,$AJ74=1),$BA74*100000+ROW(),"")</f>
        <v/>
      </c>
      <c r="BD74" s="71" t="str">
        <f>IF(AND($AP74=1,$AJ74=1),$BA74*100000+ROW(),"")</f>
        <v/>
      </c>
      <c r="BE74" s="71" t="str">
        <f>IF(AND($AT74=1,$AJ74=1),$BA74*100000+ROW(),"")</f>
        <v/>
      </c>
      <c r="BF74" s="71" t="str">
        <f>IF(AND($AU74=1,$AJ74=1),$BA74*100000+ROW(),"")</f>
        <v/>
      </c>
      <c r="BG74" s="71" t="str">
        <f>IF(AND($AV74=1,$AJ74=1),$BA74*100000+ROW(),"")</f>
        <v/>
      </c>
      <c r="BH74" s="71" t="str">
        <f>IF(AND($AW74=1,$AJ74=1),$BA74*100000+ROW(),"")</f>
        <v/>
      </c>
      <c r="BI74" s="71" t="str">
        <f>IF(AND($AX74=1,$AJ74=1),$BA74*100000+ROW(),"")</f>
        <v/>
      </c>
      <c r="BJ74" s="71" t="str">
        <f>IF(AND($AS74=1,$AJ74=1),$BA74*100000+ROW(),"")</f>
        <v/>
      </c>
      <c r="BK74" s="71" t="str">
        <f>IF(AND($AY74=1,$AJ74=1),$BA74*100000+ROW(),"")</f>
        <v/>
      </c>
      <c r="BL74" s="71" t="str">
        <f>IF(AND($AZ74=1),$BA74*100000+ROW(),"")</f>
        <v/>
      </c>
    </row>
    <row r="75">
      <c r="A75" s="63" t="n"/>
      <c r="B75" s="64" t="n"/>
      <c r="C75" s="64" t="n"/>
      <c r="D75" s="64" t="n"/>
      <c r="E75" s="64" t="n"/>
      <c r="F75" s="64" t="n"/>
      <c r="G75" s="65" t="n"/>
      <c r="H75" s="65" t="n"/>
      <c r="I75" s="64" t="n"/>
      <c r="J75" s="64" t="n"/>
      <c r="K75" s="63" t="n"/>
      <c r="L75" s="63" t="n"/>
      <c r="M75" s="64" t="n"/>
      <c r="N75" s="66" t="n"/>
      <c r="O75" s="65" t="n"/>
      <c r="P75" s="64" t="n"/>
      <c r="Q75" s="67" t="n"/>
      <c r="R75" s="67" t="n"/>
      <c r="S75" s="68" t="str">
        <f>IF(AND(ISNUMBER($Q75),ISNUMBER($R75)),$Q75-$R75,"")</f>
        <v/>
      </c>
      <c r="T75" s="65" t="n"/>
      <c r="U75" s="64" t="n"/>
      <c r="V75" s="65" t="n"/>
      <c r="W75" s="63" t="n"/>
      <c r="X75" s="65" t="n"/>
      <c r="Y75" s="63" t="n"/>
      <c r="Z75" s="64" t="n"/>
      <c r="AA75" s="64" t="n"/>
      <c r="AB75" s="65" t="n"/>
      <c r="AC75" s="69" t="str">
        <f>IF(OR($G75="",NOT(ISNUMBER($K75)),$AK75=0),"",MAX(0,ReportDate-$K75))</f>
        <v/>
      </c>
      <c r="AD75" s="69" t="str">
        <f>IF($G75="","",IF($AL75=1,ReportDate-$L75,0))</f>
        <v/>
      </c>
      <c r="AE75" s="70" t="str">
        <f>IF($G75="","",IF($M75="Completed",1,IF(ISNUMBER($N75),$N75,0)))</f>
        <v/>
      </c>
      <c r="AF75" s="70" t="str">
        <f>IF(AND(ISNUMBER($Q75),ISNUMBER($R75)),IF($R75&lt;&gt;0,$Q75/$R75,""),"")</f>
        <v/>
      </c>
      <c r="AG75" s="71" t="str">
        <f>IF($G75="","",IF($AL75=1,"OVERDUE",IF($AM75=1,"BLOCKED",IF($AN75=1,"DUE TODAY",IF($AO75=1,"DUE TOMORROW",IF($AQ75=1,"HIGH PRIORITY",IF($AR75=1,"NO RECENT UPDATE",""))))))) </f>
        <v/>
      </c>
      <c r="AH75" s="71" t="str">
        <f>IF($G75="","",IF(ISNUMBER($A75),IF(ISNUMBER($A75),YEAR($A75)&amp;"-"&amp;TEXT(MONTH($A75),"00"),""),IF(ISNUMBER($L75),IF(ISNUMBER($L75),YEAR($L75)&amp;"-"&amp;TEXT(MONTH($L75),"00"),""),"")))</f>
        <v/>
      </c>
      <c r="AI75" s="71">
        <f>IF($G75="",0,IF(AND(OR(fClient="All",$C75=fClient),OR(fCampaign="All",$D75=fCampaign),OR(fTeam="All",$B75=fTeam),OR(fChannel="All",$F75=fChannel),OR(fMonth="All",$AH75=fMonth),OR(fTStatus="All",$M75=fTStatus)),1,0))</f>
        <v>0</v>
      </c>
      <c r="AJ75" s="71">
        <f>IF($G75="",0,IF(AND(OR(fClient="All",$C75=fClient),OR(fCampaign="All",$D75=fCampaign),OR(fTeam="All",$B75=fTeam),OR(fChannel="All",$F75=fChannel)),1,0))</f>
        <v>0</v>
      </c>
      <c r="AK75" s="71">
        <f>IF($G75="",0,IF(OR($M75="Completed",$M75="Cancelled"),0,1))</f>
        <v>0</v>
      </c>
      <c r="AL75" s="71">
        <f>IF(AND($AK75=1,ISNUMBER($L75)),IF($L75&lt;ReportDate,1,0),0)</f>
        <v>0</v>
      </c>
      <c r="AM75" s="71">
        <f>IF(AND($G75&lt;&gt;"",$M75="Blocked"),1,0)</f>
        <v>0</v>
      </c>
      <c r="AN75" s="71">
        <f>IF(AND($AK75=1,ISNUMBER($L75)),IF($L75=ReportDate,1,0),0)</f>
        <v>0</v>
      </c>
      <c r="AO75" s="71">
        <f>IF(AND($AK75=1,ISNUMBER($L75)),IF($L75=ReportDate+1,1,0),0)</f>
        <v>0</v>
      </c>
      <c r="AP75" s="71">
        <f>IF(AND($AK75=1,ISNUMBER($L75)),IF(AND($L75&gt;=ReportDate,$L75&lt;=ReportDate+DueSoonDays),1,0),0)</f>
        <v>0</v>
      </c>
      <c r="AQ75" s="71">
        <f>IF(AND($AK75=1,OR($I75="Critical",$I75="High")),1,0)</f>
        <v>0</v>
      </c>
      <c r="AR75" s="71">
        <f>IF($AK75=1,IF(ISNUMBER($Y75),IF(ReportDate-$Y75&gt;StaleDays,1,0),1),0)</f>
        <v>0</v>
      </c>
      <c r="AS75" s="71">
        <f>IF(AND($G75&lt;&gt;"",ISNUMBER($Q75),ISNUMBER($R75)),IF(AND($Q75&lt;$R75,OR($M75="Completed",AND(ISNUMBER($L75),$L75&lt;ReportDate))),1,0),0)</f>
        <v>0</v>
      </c>
      <c r="AT75" s="71">
        <f>IF($AK75=1,IF(OR($L75=ReportDate,$W75=ReportDate,$K75=ReportDate,$A75=ReportDate),1,0),0)</f>
        <v>0</v>
      </c>
      <c r="AU75" s="71">
        <f>IF($AK75=1,IF(OR($L75=ReportDate+1,$W75=ReportDate+1,$K75=ReportDate+1,$A75=ReportDate+1),1,0),0)</f>
        <v>0</v>
      </c>
      <c r="AV75" s="71">
        <f>IF(AND($G75&lt;&gt;"",$M75="Completed"),IF(OR($Y75=ReportDate-1,$A75=ReportDate-1),1,0),0)</f>
        <v>0</v>
      </c>
      <c r="AW75" s="71">
        <f>IF(AND($AK75=1,$Z75="Yes"),1,0)</f>
        <v>0</v>
      </c>
      <c r="AX75" s="71">
        <f>IF(AND($AK75=1,$AA75="Yes"),1,0)</f>
        <v>0</v>
      </c>
      <c r="AY75" s="71">
        <f>IF(AND($AM75=1,OR($I75="Critical",$I75="High")),1,0)</f>
        <v>0</v>
      </c>
      <c r="AZ75" s="71">
        <f>IF(AND($AK75=1,OR($C75=TCL_Client,$C75=MECCA_Client)),1,0)</f>
        <v>0</v>
      </c>
      <c r="BA75" s="71" t="str">
        <f>IF($G75="","",IFERROR(MATCH($I75,lst_Priority,0),5))</f>
        <v/>
      </c>
      <c r="BB75" s="71" t="str">
        <f>IF(AND($AL75=1,$AJ75=1),$BA75*100000+ROW(),"")</f>
        <v/>
      </c>
      <c r="BC75" s="71" t="str">
        <f>IF(AND($AM75=1,$AJ75=1),$BA75*100000+ROW(),"")</f>
        <v/>
      </c>
      <c r="BD75" s="71" t="str">
        <f>IF(AND($AP75=1,$AJ75=1),$BA75*100000+ROW(),"")</f>
        <v/>
      </c>
      <c r="BE75" s="71" t="str">
        <f>IF(AND($AT75=1,$AJ75=1),$BA75*100000+ROW(),"")</f>
        <v/>
      </c>
      <c r="BF75" s="71" t="str">
        <f>IF(AND($AU75=1,$AJ75=1),$BA75*100000+ROW(),"")</f>
        <v/>
      </c>
      <c r="BG75" s="71" t="str">
        <f>IF(AND($AV75=1,$AJ75=1),$BA75*100000+ROW(),"")</f>
        <v/>
      </c>
      <c r="BH75" s="71" t="str">
        <f>IF(AND($AW75=1,$AJ75=1),$BA75*100000+ROW(),"")</f>
        <v/>
      </c>
      <c r="BI75" s="71" t="str">
        <f>IF(AND($AX75=1,$AJ75=1),$BA75*100000+ROW(),"")</f>
        <v/>
      </c>
      <c r="BJ75" s="71" t="str">
        <f>IF(AND($AS75=1,$AJ75=1),$BA75*100000+ROW(),"")</f>
        <v/>
      </c>
      <c r="BK75" s="71" t="str">
        <f>IF(AND($AY75=1,$AJ75=1),$BA75*100000+ROW(),"")</f>
        <v/>
      </c>
      <c r="BL75" s="71" t="str">
        <f>IF(AND($AZ75=1),$BA75*100000+ROW(),"")</f>
        <v/>
      </c>
    </row>
    <row r="76">
      <c r="A76" s="63" t="n"/>
      <c r="B76" s="64" t="n"/>
      <c r="C76" s="64" t="n"/>
      <c r="D76" s="64" t="n"/>
      <c r="E76" s="64" t="n"/>
      <c r="F76" s="64" t="n"/>
      <c r="G76" s="65" t="n"/>
      <c r="H76" s="65" t="n"/>
      <c r="I76" s="64" t="n"/>
      <c r="J76" s="64" t="n"/>
      <c r="K76" s="63" t="n"/>
      <c r="L76" s="63" t="n"/>
      <c r="M76" s="64" t="n"/>
      <c r="N76" s="66" t="n"/>
      <c r="O76" s="65" t="n"/>
      <c r="P76" s="64" t="n"/>
      <c r="Q76" s="67" t="n"/>
      <c r="R76" s="67" t="n"/>
      <c r="S76" s="68" t="str">
        <f>IF(AND(ISNUMBER($Q76),ISNUMBER($R76)),$Q76-$R76,"")</f>
        <v/>
      </c>
      <c r="T76" s="65" t="n"/>
      <c r="U76" s="64" t="n"/>
      <c r="V76" s="65" t="n"/>
      <c r="W76" s="63" t="n"/>
      <c r="X76" s="65" t="n"/>
      <c r="Y76" s="63" t="n"/>
      <c r="Z76" s="64" t="n"/>
      <c r="AA76" s="64" t="n"/>
      <c r="AB76" s="65" t="n"/>
      <c r="AC76" s="69" t="str">
        <f>IF(OR($G76="",NOT(ISNUMBER($K76)),$AK76=0),"",MAX(0,ReportDate-$K76))</f>
        <v/>
      </c>
      <c r="AD76" s="69" t="str">
        <f>IF($G76="","",IF($AL76=1,ReportDate-$L76,0))</f>
        <v/>
      </c>
      <c r="AE76" s="70" t="str">
        <f>IF($G76="","",IF($M76="Completed",1,IF(ISNUMBER($N76),$N76,0)))</f>
        <v/>
      </c>
      <c r="AF76" s="70" t="str">
        <f>IF(AND(ISNUMBER($Q76),ISNUMBER($R76)),IF($R76&lt;&gt;0,$Q76/$R76,""),"")</f>
        <v/>
      </c>
      <c r="AG76" s="71" t="str">
        <f>IF($G76="","",IF($AL76=1,"OVERDUE",IF($AM76=1,"BLOCKED",IF($AN76=1,"DUE TODAY",IF($AO76=1,"DUE TOMORROW",IF($AQ76=1,"HIGH PRIORITY",IF($AR76=1,"NO RECENT UPDATE",""))))))) </f>
        <v/>
      </c>
      <c r="AH76" s="71" t="str">
        <f>IF($G76="","",IF(ISNUMBER($A76),IF(ISNUMBER($A76),YEAR($A76)&amp;"-"&amp;TEXT(MONTH($A76),"00"),""),IF(ISNUMBER($L76),IF(ISNUMBER($L76),YEAR($L76)&amp;"-"&amp;TEXT(MONTH($L76),"00"),""),"")))</f>
        <v/>
      </c>
      <c r="AI76" s="71">
        <f>IF($G76="",0,IF(AND(OR(fClient="All",$C76=fClient),OR(fCampaign="All",$D76=fCampaign),OR(fTeam="All",$B76=fTeam),OR(fChannel="All",$F76=fChannel),OR(fMonth="All",$AH76=fMonth),OR(fTStatus="All",$M76=fTStatus)),1,0))</f>
        <v>0</v>
      </c>
      <c r="AJ76" s="71">
        <f>IF($G76="",0,IF(AND(OR(fClient="All",$C76=fClient),OR(fCampaign="All",$D76=fCampaign),OR(fTeam="All",$B76=fTeam),OR(fChannel="All",$F76=fChannel)),1,0))</f>
        <v>0</v>
      </c>
      <c r="AK76" s="71">
        <f>IF($G76="",0,IF(OR($M76="Completed",$M76="Cancelled"),0,1))</f>
        <v>0</v>
      </c>
      <c r="AL76" s="71">
        <f>IF(AND($AK76=1,ISNUMBER($L76)),IF($L76&lt;ReportDate,1,0),0)</f>
        <v>0</v>
      </c>
      <c r="AM76" s="71">
        <f>IF(AND($G76&lt;&gt;"",$M76="Blocked"),1,0)</f>
        <v>0</v>
      </c>
      <c r="AN76" s="71">
        <f>IF(AND($AK76=1,ISNUMBER($L76)),IF($L76=ReportDate,1,0),0)</f>
        <v>0</v>
      </c>
      <c r="AO76" s="71">
        <f>IF(AND($AK76=1,ISNUMBER($L76)),IF($L76=ReportDate+1,1,0),0)</f>
        <v>0</v>
      </c>
      <c r="AP76" s="71">
        <f>IF(AND($AK76=1,ISNUMBER($L76)),IF(AND($L76&gt;=ReportDate,$L76&lt;=ReportDate+DueSoonDays),1,0),0)</f>
        <v>0</v>
      </c>
      <c r="AQ76" s="71">
        <f>IF(AND($AK76=1,OR($I76="Critical",$I76="High")),1,0)</f>
        <v>0</v>
      </c>
      <c r="AR76" s="71">
        <f>IF($AK76=1,IF(ISNUMBER($Y76),IF(ReportDate-$Y76&gt;StaleDays,1,0),1),0)</f>
        <v>0</v>
      </c>
      <c r="AS76" s="71">
        <f>IF(AND($G76&lt;&gt;"",ISNUMBER($Q76),ISNUMBER($R76)),IF(AND($Q76&lt;$R76,OR($M76="Completed",AND(ISNUMBER($L76),$L76&lt;ReportDate))),1,0),0)</f>
        <v>0</v>
      </c>
      <c r="AT76" s="71">
        <f>IF($AK76=1,IF(OR($L76=ReportDate,$W76=ReportDate,$K76=ReportDate,$A76=ReportDate),1,0),0)</f>
        <v>0</v>
      </c>
      <c r="AU76" s="71">
        <f>IF($AK76=1,IF(OR($L76=ReportDate+1,$W76=ReportDate+1,$K76=ReportDate+1,$A76=ReportDate+1),1,0),0)</f>
        <v>0</v>
      </c>
      <c r="AV76" s="71">
        <f>IF(AND($G76&lt;&gt;"",$M76="Completed"),IF(OR($Y76=ReportDate-1,$A76=ReportDate-1),1,0),0)</f>
        <v>0</v>
      </c>
      <c r="AW76" s="71">
        <f>IF(AND($AK76=1,$Z76="Yes"),1,0)</f>
        <v>0</v>
      </c>
      <c r="AX76" s="71">
        <f>IF(AND($AK76=1,$AA76="Yes"),1,0)</f>
        <v>0</v>
      </c>
      <c r="AY76" s="71">
        <f>IF(AND($AM76=1,OR($I76="Critical",$I76="High")),1,0)</f>
        <v>0</v>
      </c>
      <c r="AZ76" s="71">
        <f>IF(AND($AK76=1,OR($C76=TCL_Client,$C76=MECCA_Client)),1,0)</f>
        <v>0</v>
      </c>
      <c r="BA76" s="71" t="str">
        <f>IF($G76="","",IFERROR(MATCH($I76,lst_Priority,0),5))</f>
        <v/>
      </c>
      <c r="BB76" s="71" t="str">
        <f>IF(AND($AL76=1,$AJ76=1),$BA76*100000+ROW(),"")</f>
        <v/>
      </c>
      <c r="BC76" s="71" t="str">
        <f>IF(AND($AM76=1,$AJ76=1),$BA76*100000+ROW(),"")</f>
        <v/>
      </c>
      <c r="BD76" s="71" t="str">
        <f>IF(AND($AP76=1,$AJ76=1),$BA76*100000+ROW(),"")</f>
        <v/>
      </c>
      <c r="BE76" s="71" t="str">
        <f>IF(AND($AT76=1,$AJ76=1),$BA76*100000+ROW(),"")</f>
        <v/>
      </c>
      <c r="BF76" s="71" t="str">
        <f>IF(AND($AU76=1,$AJ76=1),$BA76*100000+ROW(),"")</f>
        <v/>
      </c>
      <c r="BG76" s="71" t="str">
        <f>IF(AND($AV76=1,$AJ76=1),$BA76*100000+ROW(),"")</f>
        <v/>
      </c>
      <c r="BH76" s="71" t="str">
        <f>IF(AND($AW76=1,$AJ76=1),$BA76*100000+ROW(),"")</f>
        <v/>
      </c>
      <c r="BI76" s="71" t="str">
        <f>IF(AND($AX76=1,$AJ76=1),$BA76*100000+ROW(),"")</f>
        <v/>
      </c>
      <c r="BJ76" s="71" t="str">
        <f>IF(AND($AS76=1,$AJ76=1),$BA76*100000+ROW(),"")</f>
        <v/>
      </c>
      <c r="BK76" s="71" t="str">
        <f>IF(AND($AY76=1,$AJ76=1),$BA76*100000+ROW(),"")</f>
        <v/>
      </c>
      <c r="BL76" s="71" t="str">
        <f>IF(AND($AZ76=1),$BA76*100000+ROW(),"")</f>
        <v/>
      </c>
    </row>
    <row r="77">
      <c r="A77" s="63" t="n"/>
      <c r="B77" s="64" t="n"/>
      <c r="C77" s="64" t="n"/>
      <c r="D77" s="64" t="n"/>
      <c r="E77" s="64" t="n"/>
      <c r="F77" s="64" t="n"/>
      <c r="G77" s="65" t="n"/>
      <c r="H77" s="65" t="n"/>
      <c r="I77" s="64" t="n"/>
      <c r="J77" s="64" t="n"/>
      <c r="K77" s="63" t="n"/>
      <c r="L77" s="63" t="n"/>
      <c r="M77" s="64" t="n"/>
      <c r="N77" s="66" t="n"/>
      <c r="O77" s="65" t="n"/>
      <c r="P77" s="64" t="n"/>
      <c r="Q77" s="67" t="n"/>
      <c r="R77" s="67" t="n"/>
      <c r="S77" s="68" t="str">
        <f>IF(AND(ISNUMBER($Q77),ISNUMBER($R77)),$Q77-$R77,"")</f>
        <v/>
      </c>
      <c r="T77" s="65" t="n"/>
      <c r="U77" s="64" t="n"/>
      <c r="V77" s="65" t="n"/>
      <c r="W77" s="63" t="n"/>
      <c r="X77" s="65" t="n"/>
      <c r="Y77" s="63" t="n"/>
      <c r="Z77" s="64" t="n"/>
      <c r="AA77" s="64" t="n"/>
      <c r="AB77" s="65" t="n"/>
      <c r="AC77" s="69" t="str">
        <f>IF(OR($G77="",NOT(ISNUMBER($K77)),$AK77=0),"",MAX(0,ReportDate-$K77))</f>
        <v/>
      </c>
      <c r="AD77" s="69" t="str">
        <f>IF($G77="","",IF($AL77=1,ReportDate-$L77,0))</f>
        <v/>
      </c>
      <c r="AE77" s="70" t="str">
        <f>IF($G77="","",IF($M77="Completed",1,IF(ISNUMBER($N77),$N77,0)))</f>
        <v/>
      </c>
      <c r="AF77" s="70" t="str">
        <f>IF(AND(ISNUMBER($Q77),ISNUMBER($R77)),IF($R77&lt;&gt;0,$Q77/$R77,""),"")</f>
        <v/>
      </c>
      <c r="AG77" s="71" t="str">
        <f>IF($G77="","",IF($AL77=1,"OVERDUE",IF($AM77=1,"BLOCKED",IF($AN77=1,"DUE TODAY",IF($AO77=1,"DUE TOMORROW",IF($AQ77=1,"HIGH PRIORITY",IF($AR77=1,"NO RECENT UPDATE",""))))))) </f>
        <v/>
      </c>
      <c r="AH77" s="71" t="str">
        <f>IF($G77="","",IF(ISNUMBER($A77),IF(ISNUMBER($A77),YEAR($A77)&amp;"-"&amp;TEXT(MONTH($A77),"00"),""),IF(ISNUMBER($L77),IF(ISNUMBER($L77),YEAR($L77)&amp;"-"&amp;TEXT(MONTH($L77),"00"),""),"")))</f>
        <v/>
      </c>
      <c r="AI77" s="71">
        <f>IF($G77="",0,IF(AND(OR(fClient="All",$C77=fClient),OR(fCampaign="All",$D77=fCampaign),OR(fTeam="All",$B77=fTeam),OR(fChannel="All",$F77=fChannel),OR(fMonth="All",$AH77=fMonth),OR(fTStatus="All",$M77=fTStatus)),1,0))</f>
        <v>0</v>
      </c>
      <c r="AJ77" s="71">
        <f>IF($G77="",0,IF(AND(OR(fClient="All",$C77=fClient),OR(fCampaign="All",$D77=fCampaign),OR(fTeam="All",$B77=fTeam),OR(fChannel="All",$F77=fChannel)),1,0))</f>
        <v>0</v>
      </c>
      <c r="AK77" s="71">
        <f>IF($G77="",0,IF(OR($M77="Completed",$M77="Cancelled"),0,1))</f>
        <v>0</v>
      </c>
      <c r="AL77" s="71">
        <f>IF(AND($AK77=1,ISNUMBER($L77)),IF($L77&lt;ReportDate,1,0),0)</f>
        <v>0</v>
      </c>
      <c r="AM77" s="71">
        <f>IF(AND($G77&lt;&gt;"",$M77="Blocked"),1,0)</f>
        <v>0</v>
      </c>
      <c r="AN77" s="71">
        <f>IF(AND($AK77=1,ISNUMBER($L77)),IF($L77=ReportDate,1,0),0)</f>
        <v>0</v>
      </c>
      <c r="AO77" s="71">
        <f>IF(AND($AK77=1,ISNUMBER($L77)),IF($L77=ReportDate+1,1,0),0)</f>
        <v>0</v>
      </c>
      <c r="AP77" s="71">
        <f>IF(AND($AK77=1,ISNUMBER($L77)),IF(AND($L77&gt;=ReportDate,$L77&lt;=ReportDate+DueSoonDays),1,0),0)</f>
        <v>0</v>
      </c>
      <c r="AQ77" s="71">
        <f>IF(AND($AK77=1,OR($I77="Critical",$I77="High")),1,0)</f>
        <v>0</v>
      </c>
      <c r="AR77" s="71">
        <f>IF($AK77=1,IF(ISNUMBER($Y77),IF(ReportDate-$Y77&gt;StaleDays,1,0),1),0)</f>
        <v>0</v>
      </c>
      <c r="AS77" s="71">
        <f>IF(AND($G77&lt;&gt;"",ISNUMBER($Q77),ISNUMBER($R77)),IF(AND($Q77&lt;$R77,OR($M77="Completed",AND(ISNUMBER($L77),$L77&lt;ReportDate))),1,0),0)</f>
        <v>0</v>
      </c>
      <c r="AT77" s="71">
        <f>IF($AK77=1,IF(OR($L77=ReportDate,$W77=ReportDate,$K77=ReportDate,$A77=ReportDate),1,0),0)</f>
        <v>0</v>
      </c>
      <c r="AU77" s="71">
        <f>IF($AK77=1,IF(OR($L77=ReportDate+1,$W77=ReportDate+1,$K77=ReportDate+1,$A77=ReportDate+1),1,0),0)</f>
        <v>0</v>
      </c>
      <c r="AV77" s="71">
        <f>IF(AND($G77&lt;&gt;"",$M77="Completed"),IF(OR($Y77=ReportDate-1,$A77=ReportDate-1),1,0),0)</f>
        <v>0</v>
      </c>
      <c r="AW77" s="71">
        <f>IF(AND($AK77=1,$Z77="Yes"),1,0)</f>
        <v>0</v>
      </c>
      <c r="AX77" s="71">
        <f>IF(AND($AK77=1,$AA77="Yes"),1,0)</f>
        <v>0</v>
      </c>
      <c r="AY77" s="71">
        <f>IF(AND($AM77=1,OR($I77="Critical",$I77="High")),1,0)</f>
        <v>0</v>
      </c>
      <c r="AZ77" s="71">
        <f>IF(AND($AK77=1,OR($C77=TCL_Client,$C77=MECCA_Client)),1,0)</f>
        <v>0</v>
      </c>
      <c r="BA77" s="71" t="str">
        <f>IF($G77="","",IFERROR(MATCH($I77,lst_Priority,0),5))</f>
        <v/>
      </c>
      <c r="BB77" s="71" t="str">
        <f>IF(AND($AL77=1,$AJ77=1),$BA77*100000+ROW(),"")</f>
        <v/>
      </c>
      <c r="BC77" s="71" t="str">
        <f>IF(AND($AM77=1,$AJ77=1),$BA77*100000+ROW(),"")</f>
        <v/>
      </c>
      <c r="BD77" s="71" t="str">
        <f>IF(AND($AP77=1,$AJ77=1),$BA77*100000+ROW(),"")</f>
        <v/>
      </c>
      <c r="BE77" s="71" t="str">
        <f>IF(AND($AT77=1,$AJ77=1),$BA77*100000+ROW(),"")</f>
        <v/>
      </c>
      <c r="BF77" s="71" t="str">
        <f>IF(AND($AU77=1,$AJ77=1),$BA77*100000+ROW(),"")</f>
        <v/>
      </c>
      <c r="BG77" s="71" t="str">
        <f>IF(AND($AV77=1,$AJ77=1),$BA77*100000+ROW(),"")</f>
        <v/>
      </c>
      <c r="BH77" s="71" t="str">
        <f>IF(AND($AW77=1,$AJ77=1),$BA77*100000+ROW(),"")</f>
        <v/>
      </c>
      <c r="BI77" s="71" t="str">
        <f>IF(AND($AX77=1,$AJ77=1),$BA77*100000+ROW(),"")</f>
        <v/>
      </c>
      <c r="BJ77" s="71" t="str">
        <f>IF(AND($AS77=1,$AJ77=1),$BA77*100000+ROW(),"")</f>
        <v/>
      </c>
      <c r="BK77" s="71" t="str">
        <f>IF(AND($AY77=1,$AJ77=1),$BA77*100000+ROW(),"")</f>
        <v/>
      </c>
      <c r="BL77" s="71" t="str">
        <f>IF(AND($AZ77=1),$BA77*100000+ROW(),"")</f>
        <v/>
      </c>
    </row>
    <row r="78">
      <c r="A78" s="63" t="n"/>
      <c r="B78" s="64" t="n"/>
      <c r="C78" s="64" t="n"/>
      <c r="D78" s="64" t="n"/>
      <c r="E78" s="64" t="n"/>
      <c r="F78" s="64" t="n"/>
      <c r="G78" s="65" t="n"/>
      <c r="H78" s="65" t="n"/>
      <c r="I78" s="64" t="n"/>
      <c r="J78" s="64" t="n"/>
      <c r="K78" s="63" t="n"/>
      <c r="L78" s="63" t="n"/>
      <c r="M78" s="64" t="n"/>
      <c r="N78" s="66" t="n"/>
      <c r="O78" s="65" t="n"/>
      <c r="P78" s="64" t="n"/>
      <c r="Q78" s="67" t="n"/>
      <c r="R78" s="67" t="n"/>
      <c r="S78" s="68" t="str">
        <f>IF(AND(ISNUMBER($Q78),ISNUMBER($R78)),$Q78-$R78,"")</f>
        <v/>
      </c>
      <c r="T78" s="65" t="n"/>
      <c r="U78" s="64" t="n"/>
      <c r="V78" s="65" t="n"/>
      <c r="W78" s="63" t="n"/>
      <c r="X78" s="65" t="n"/>
      <c r="Y78" s="63" t="n"/>
      <c r="Z78" s="64" t="n"/>
      <c r="AA78" s="64" t="n"/>
      <c r="AB78" s="65" t="n"/>
      <c r="AC78" s="69" t="str">
        <f>IF(OR($G78="",NOT(ISNUMBER($K78)),$AK78=0),"",MAX(0,ReportDate-$K78))</f>
        <v/>
      </c>
      <c r="AD78" s="69" t="str">
        <f>IF($G78="","",IF($AL78=1,ReportDate-$L78,0))</f>
        <v/>
      </c>
      <c r="AE78" s="70" t="str">
        <f>IF($G78="","",IF($M78="Completed",1,IF(ISNUMBER($N78),$N78,0)))</f>
        <v/>
      </c>
      <c r="AF78" s="70" t="str">
        <f>IF(AND(ISNUMBER($Q78),ISNUMBER($R78)),IF($R78&lt;&gt;0,$Q78/$R78,""),"")</f>
        <v/>
      </c>
      <c r="AG78" s="71" t="str">
        <f>IF($G78="","",IF($AL78=1,"OVERDUE",IF($AM78=1,"BLOCKED",IF($AN78=1,"DUE TODAY",IF($AO78=1,"DUE TOMORROW",IF($AQ78=1,"HIGH PRIORITY",IF($AR78=1,"NO RECENT UPDATE",""))))))) </f>
        <v/>
      </c>
      <c r="AH78" s="71" t="str">
        <f>IF($G78="","",IF(ISNUMBER($A78),IF(ISNUMBER($A78),YEAR($A78)&amp;"-"&amp;TEXT(MONTH($A78),"00"),""),IF(ISNUMBER($L78),IF(ISNUMBER($L78),YEAR($L78)&amp;"-"&amp;TEXT(MONTH($L78),"00"),""),"")))</f>
        <v/>
      </c>
      <c r="AI78" s="71">
        <f>IF($G78="",0,IF(AND(OR(fClient="All",$C78=fClient),OR(fCampaign="All",$D78=fCampaign),OR(fTeam="All",$B78=fTeam),OR(fChannel="All",$F78=fChannel),OR(fMonth="All",$AH78=fMonth),OR(fTStatus="All",$M78=fTStatus)),1,0))</f>
        <v>0</v>
      </c>
      <c r="AJ78" s="71">
        <f>IF($G78="",0,IF(AND(OR(fClient="All",$C78=fClient),OR(fCampaign="All",$D78=fCampaign),OR(fTeam="All",$B78=fTeam),OR(fChannel="All",$F78=fChannel)),1,0))</f>
        <v>0</v>
      </c>
      <c r="AK78" s="71">
        <f>IF($G78="",0,IF(OR($M78="Completed",$M78="Cancelled"),0,1))</f>
        <v>0</v>
      </c>
      <c r="AL78" s="71">
        <f>IF(AND($AK78=1,ISNUMBER($L78)),IF($L78&lt;ReportDate,1,0),0)</f>
        <v>0</v>
      </c>
      <c r="AM78" s="71">
        <f>IF(AND($G78&lt;&gt;"",$M78="Blocked"),1,0)</f>
        <v>0</v>
      </c>
      <c r="AN78" s="71">
        <f>IF(AND($AK78=1,ISNUMBER($L78)),IF($L78=ReportDate,1,0),0)</f>
        <v>0</v>
      </c>
      <c r="AO78" s="71">
        <f>IF(AND($AK78=1,ISNUMBER($L78)),IF($L78=ReportDate+1,1,0),0)</f>
        <v>0</v>
      </c>
      <c r="AP78" s="71">
        <f>IF(AND($AK78=1,ISNUMBER($L78)),IF(AND($L78&gt;=ReportDate,$L78&lt;=ReportDate+DueSoonDays),1,0),0)</f>
        <v>0</v>
      </c>
      <c r="AQ78" s="71">
        <f>IF(AND($AK78=1,OR($I78="Critical",$I78="High")),1,0)</f>
        <v>0</v>
      </c>
      <c r="AR78" s="71">
        <f>IF($AK78=1,IF(ISNUMBER($Y78),IF(ReportDate-$Y78&gt;StaleDays,1,0),1),0)</f>
        <v>0</v>
      </c>
      <c r="AS78" s="71">
        <f>IF(AND($G78&lt;&gt;"",ISNUMBER($Q78),ISNUMBER($R78)),IF(AND($Q78&lt;$R78,OR($M78="Completed",AND(ISNUMBER($L78),$L78&lt;ReportDate))),1,0),0)</f>
        <v>0</v>
      </c>
      <c r="AT78" s="71">
        <f>IF($AK78=1,IF(OR($L78=ReportDate,$W78=ReportDate,$K78=ReportDate,$A78=ReportDate),1,0),0)</f>
        <v>0</v>
      </c>
      <c r="AU78" s="71">
        <f>IF($AK78=1,IF(OR($L78=ReportDate+1,$W78=ReportDate+1,$K78=ReportDate+1,$A78=ReportDate+1),1,0),0)</f>
        <v>0</v>
      </c>
      <c r="AV78" s="71">
        <f>IF(AND($G78&lt;&gt;"",$M78="Completed"),IF(OR($Y78=ReportDate-1,$A78=ReportDate-1),1,0),0)</f>
        <v>0</v>
      </c>
      <c r="AW78" s="71">
        <f>IF(AND($AK78=1,$Z78="Yes"),1,0)</f>
        <v>0</v>
      </c>
      <c r="AX78" s="71">
        <f>IF(AND($AK78=1,$AA78="Yes"),1,0)</f>
        <v>0</v>
      </c>
      <c r="AY78" s="71">
        <f>IF(AND($AM78=1,OR($I78="Critical",$I78="High")),1,0)</f>
        <v>0</v>
      </c>
      <c r="AZ78" s="71">
        <f>IF(AND($AK78=1,OR($C78=TCL_Client,$C78=MECCA_Client)),1,0)</f>
        <v>0</v>
      </c>
      <c r="BA78" s="71" t="str">
        <f>IF($G78="","",IFERROR(MATCH($I78,lst_Priority,0),5))</f>
        <v/>
      </c>
      <c r="BB78" s="71" t="str">
        <f>IF(AND($AL78=1,$AJ78=1),$BA78*100000+ROW(),"")</f>
        <v/>
      </c>
      <c r="BC78" s="71" t="str">
        <f>IF(AND($AM78=1,$AJ78=1),$BA78*100000+ROW(),"")</f>
        <v/>
      </c>
      <c r="BD78" s="71" t="str">
        <f>IF(AND($AP78=1,$AJ78=1),$BA78*100000+ROW(),"")</f>
        <v/>
      </c>
      <c r="BE78" s="71" t="str">
        <f>IF(AND($AT78=1,$AJ78=1),$BA78*100000+ROW(),"")</f>
        <v/>
      </c>
      <c r="BF78" s="71" t="str">
        <f>IF(AND($AU78=1,$AJ78=1),$BA78*100000+ROW(),"")</f>
        <v/>
      </c>
      <c r="BG78" s="71" t="str">
        <f>IF(AND($AV78=1,$AJ78=1),$BA78*100000+ROW(),"")</f>
        <v/>
      </c>
      <c r="BH78" s="71" t="str">
        <f>IF(AND($AW78=1,$AJ78=1),$BA78*100000+ROW(),"")</f>
        <v/>
      </c>
      <c r="BI78" s="71" t="str">
        <f>IF(AND($AX78=1,$AJ78=1),$BA78*100000+ROW(),"")</f>
        <v/>
      </c>
      <c r="BJ78" s="71" t="str">
        <f>IF(AND($AS78=1,$AJ78=1),$BA78*100000+ROW(),"")</f>
        <v/>
      </c>
      <c r="BK78" s="71" t="str">
        <f>IF(AND($AY78=1,$AJ78=1),$BA78*100000+ROW(),"")</f>
        <v/>
      </c>
      <c r="BL78" s="71" t="str">
        <f>IF(AND($AZ78=1),$BA78*100000+ROW(),"")</f>
        <v/>
      </c>
    </row>
    <row r="79">
      <c r="A79" s="63" t="n"/>
      <c r="B79" s="64" t="n"/>
      <c r="C79" s="64" t="n"/>
      <c r="D79" s="64" t="n"/>
      <c r="E79" s="64" t="n"/>
      <c r="F79" s="64" t="n"/>
      <c r="G79" s="65" t="n"/>
      <c r="H79" s="65" t="n"/>
      <c r="I79" s="64" t="n"/>
      <c r="J79" s="64" t="n"/>
      <c r="K79" s="63" t="n"/>
      <c r="L79" s="63" t="n"/>
      <c r="M79" s="64" t="n"/>
      <c r="N79" s="66" t="n"/>
      <c r="O79" s="65" t="n"/>
      <c r="P79" s="64" t="n"/>
      <c r="Q79" s="67" t="n"/>
      <c r="R79" s="67" t="n"/>
      <c r="S79" s="68" t="str">
        <f>IF(AND(ISNUMBER($Q79),ISNUMBER($R79)),$Q79-$R79,"")</f>
        <v/>
      </c>
      <c r="T79" s="65" t="n"/>
      <c r="U79" s="64" t="n"/>
      <c r="V79" s="65" t="n"/>
      <c r="W79" s="63" t="n"/>
      <c r="X79" s="65" t="n"/>
      <c r="Y79" s="63" t="n"/>
      <c r="Z79" s="64" t="n"/>
      <c r="AA79" s="64" t="n"/>
      <c r="AB79" s="65" t="n"/>
      <c r="AC79" s="69" t="str">
        <f>IF(OR($G79="",NOT(ISNUMBER($K79)),$AK79=0),"",MAX(0,ReportDate-$K79))</f>
        <v/>
      </c>
      <c r="AD79" s="69" t="str">
        <f>IF($G79="","",IF($AL79=1,ReportDate-$L79,0))</f>
        <v/>
      </c>
      <c r="AE79" s="70" t="str">
        <f>IF($G79="","",IF($M79="Completed",1,IF(ISNUMBER($N79),$N79,0)))</f>
        <v/>
      </c>
      <c r="AF79" s="70" t="str">
        <f>IF(AND(ISNUMBER($Q79),ISNUMBER($R79)),IF($R79&lt;&gt;0,$Q79/$R79,""),"")</f>
        <v/>
      </c>
      <c r="AG79" s="71" t="str">
        <f>IF($G79="","",IF($AL79=1,"OVERDUE",IF($AM79=1,"BLOCKED",IF($AN79=1,"DUE TODAY",IF($AO79=1,"DUE TOMORROW",IF($AQ79=1,"HIGH PRIORITY",IF($AR79=1,"NO RECENT UPDATE",""))))))) </f>
        <v/>
      </c>
      <c r="AH79" s="71" t="str">
        <f>IF($G79="","",IF(ISNUMBER($A79),IF(ISNUMBER($A79),YEAR($A79)&amp;"-"&amp;TEXT(MONTH($A79),"00"),""),IF(ISNUMBER($L79),IF(ISNUMBER($L79),YEAR($L79)&amp;"-"&amp;TEXT(MONTH($L79),"00"),""),"")))</f>
        <v/>
      </c>
      <c r="AI79" s="71">
        <f>IF($G79="",0,IF(AND(OR(fClient="All",$C79=fClient),OR(fCampaign="All",$D79=fCampaign),OR(fTeam="All",$B79=fTeam),OR(fChannel="All",$F79=fChannel),OR(fMonth="All",$AH79=fMonth),OR(fTStatus="All",$M79=fTStatus)),1,0))</f>
        <v>0</v>
      </c>
      <c r="AJ79" s="71">
        <f>IF($G79="",0,IF(AND(OR(fClient="All",$C79=fClient),OR(fCampaign="All",$D79=fCampaign),OR(fTeam="All",$B79=fTeam),OR(fChannel="All",$F79=fChannel)),1,0))</f>
        <v>0</v>
      </c>
      <c r="AK79" s="71">
        <f>IF($G79="",0,IF(OR($M79="Completed",$M79="Cancelled"),0,1))</f>
        <v>0</v>
      </c>
      <c r="AL79" s="71">
        <f>IF(AND($AK79=1,ISNUMBER($L79)),IF($L79&lt;ReportDate,1,0),0)</f>
        <v>0</v>
      </c>
      <c r="AM79" s="71">
        <f>IF(AND($G79&lt;&gt;"",$M79="Blocked"),1,0)</f>
        <v>0</v>
      </c>
      <c r="AN79" s="71">
        <f>IF(AND($AK79=1,ISNUMBER($L79)),IF($L79=ReportDate,1,0),0)</f>
        <v>0</v>
      </c>
      <c r="AO79" s="71">
        <f>IF(AND($AK79=1,ISNUMBER($L79)),IF($L79=ReportDate+1,1,0),0)</f>
        <v>0</v>
      </c>
      <c r="AP79" s="71">
        <f>IF(AND($AK79=1,ISNUMBER($L79)),IF(AND($L79&gt;=ReportDate,$L79&lt;=ReportDate+DueSoonDays),1,0),0)</f>
        <v>0</v>
      </c>
      <c r="AQ79" s="71">
        <f>IF(AND($AK79=1,OR($I79="Critical",$I79="High")),1,0)</f>
        <v>0</v>
      </c>
      <c r="AR79" s="71">
        <f>IF($AK79=1,IF(ISNUMBER($Y79),IF(ReportDate-$Y79&gt;StaleDays,1,0),1),0)</f>
        <v>0</v>
      </c>
      <c r="AS79" s="71">
        <f>IF(AND($G79&lt;&gt;"",ISNUMBER($Q79),ISNUMBER($R79)),IF(AND($Q79&lt;$R79,OR($M79="Completed",AND(ISNUMBER($L79),$L79&lt;ReportDate))),1,0),0)</f>
        <v>0</v>
      </c>
      <c r="AT79" s="71">
        <f>IF($AK79=1,IF(OR($L79=ReportDate,$W79=ReportDate,$K79=ReportDate,$A79=ReportDate),1,0),0)</f>
        <v>0</v>
      </c>
      <c r="AU79" s="71">
        <f>IF($AK79=1,IF(OR($L79=ReportDate+1,$W79=ReportDate+1,$K79=ReportDate+1,$A79=ReportDate+1),1,0),0)</f>
        <v>0</v>
      </c>
      <c r="AV79" s="71">
        <f>IF(AND($G79&lt;&gt;"",$M79="Completed"),IF(OR($Y79=ReportDate-1,$A79=ReportDate-1),1,0),0)</f>
        <v>0</v>
      </c>
      <c r="AW79" s="71">
        <f>IF(AND($AK79=1,$Z79="Yes"),1,0)</f>
        <v>0</v>
      </c>
      <c r="AX79" s="71">
        <f>IF(AND($AK79=1,$AA79="Yes"),1,0)</f>
        <v>0</v>
      </c>
      <c r="AY79" s="71">
        <f>IF(AND($AM79=1,OR($I79="Critical",$I79="High")),1,0)</f>
        <v>0</v>
      </c>
      <c r="AZ79" s="71">
        <f>IF(AND($AK79=1,OR($C79=TCL_Client,$C79=MECCA_Client)),1,0)</f>
        <v>0</v>
      </c>
      <c r="BA79" s="71" t="str">
        <f>IF($G79="","",IFERROR(MATCH($I79,lst_Priority,0),5))</f>
        <v/>
      </c>
      <c r="BB79" s="71" t="str">
        <f>IF(AND($AL79=1,$AJ79=1),$BA79*100000+ROW(),"")</f>
        <v/>
      </c>
      <c r="BC79" s="71" t="str">
        <f>IF(AND($AM79=1,$AJ79=1),$BA79*100000+ROW(),"")</f>
        <v/>
      </c>
      <c r="BD79" s="71" t="str">
        <f>IF(AND($AP79=1,$AJ79=1),$BA79*100000+ROW(),"")</f>
        <v/>
      </c>
      <c r="BE79" s="71" t="str">
        <f>IF(AND($AT79=1,$AJ79=1),$BA79*100000+ROW(),"")</f>
        <v/>
      </c>
      <c r="BF79" s="71" t="str">
        <f>IF(AND($AU79=1,$AJ79=1),$BA79*100000+ROW(),"")</f>
        <v/>
      </c>
      <c r="BG79" s="71" t="str">
        <f>IF(AND($AV79=1,$AJ79=1),$BA79*100000+ROW(),"")</f>
        <v/>
      </c>
      <c r="BH79" s="71" t="str">
        <f>IF(AND($AW79=1,$AJ79=1),$BA79*100000+ROW(),"")</f>
        <v/>
      </c>
      <c r="BI79" s="71" t="str">
        <f>IF(AND($AX79=1,$AJ79=1),$BA79*100000+ROW(),"")</f>
        <v/>
      </c>
      <c r="BJ79" s="71" t="str">
        <f>IF(AND($AS79=1,$AJ79=1),$BA79*100000+ROW(),"")</f>
        <v/>
      </c>
      <c r="BK79" s="71" t="str">
        <f>IF(AND($AY79=1,$AJ79=1),$BA79*100000+ROW(),"")</f>
        <v/>
      </c>
      <c r="BL79" s="71" t="str">
        <f>IF(AND($AZ79=1),$BA79*100000+ROW(),"")</f>
        <v/>
      </c>
    </row>
    <row r="80">
      <c r="A80" s="63" t="n"/>
      <c r="B80" s="64" t="n"/>
      <c r="C80" s="64" t="n"/>
      <c r="D80" s="64" t="n"/>
      <c r="E80" s="64" t="n"/>
      <c r="F80" s="64" t="n"/>
      <c r="G80" s="65" t="n"/>
      <c r="H80" s="65" t="n"/>
      <c r="I80" s="64" t="n"/>
      <c r="J80" s="64" t="n"/>
      <c r="K80" s="63" t="n"/>
      <c r="L80" s="63" t="n"/>
      <c r="M80" s="64" t="n"/>
      <c r="N80" s="66" t="n"/>
      <c r="O80" s="65" t="n"/>
      <c r="P80" s="64" t="n"/>
      <c r="Q80" s="67" t="n"/>
      <c r="R80" s="67" t="n"/>
      <c r="S80" s="68" t="str">
        <f>IF(AND(ISNUMBER($Q80),ISNUMBER($R80)),$Q80-$R80,"")</f>
        <v/>
      </c>
      <c r="T80" s="65" t="n"/>
      <c r="U80" s="64" t="n"/>
      <c r="V80" s="65" t="n"/>
      <c r="W80" s="63" t="n"/>
      <c r="X80" s="65" t="n"/>
      <c r="Y80" s="63" t="n"/>
      <c r="Z80" s="64" t="n"/>
      <c r="AA80" s="64" t="n"/>
      <c r="AB80" s="65" t="n"/>
      <c r="AC80" s="69" t="str">
        <f>IF(OR($G80="",NOT(ISNUMBER($K80)),$AK80=0),"",MAX(0,ReportDate-$K80))</f>
        <v/>
      </c>
      <c r="AD80" s="69" t="str">
        <f>IF($G80="","",IF($AL80=1,ReportDate-$L80,0))</f>
        <v/>
      </c>
      <c r="AE80" s="70" t="str">
        <f>IF($G80="","",IF($M80="Completed",1,IF(ISNUMBER($N80),$N80,0)))</f>
        <v/>
      </c>
      <c r="AF80" s="70" t="str">
        <f>IF(AND(ISNUMBER($Q80),ISNUMBER($R80)),IF($R80&lt;&gt;0,$Q80/$R80,""),"")</f>
        <v/>
      </c>
      <c r="AG80" s="71" t="str">
        <f>IF($G80="","",IF($AL80=1,"OVERDUE",IF($AM80=1,"BLOCKED",IF($AN80=1,"DUE TODAY",IF($AO80=1,"DUE TOMORROW",IF($AQ80=1,"HIGH PRIORITY",IF($AR80=1,"NO RECENT UPDATE",""))))))) </f>
        <v/>
      </c>
      <c r="AH80" s="71" t="str">
        <f>IF($G80="","",IF(ISNUMBER($A80),IF(ISNUMBER($A80),YEAR($A80)&amp;"-"&amp;TEXT(MONTH($A80),"00"),""),IF(ISNUMBER($L80),IF(ISNUMBER($L80),YEAR($L80)&amp;"-"&amp;TEXT(MONTH($L80),"00"),""),"")))</f>
        <v/>
      </c>
      <c r="AI80" s="71">
        <f>IF($G80="",0,IF(AND(OR(fClient="All",$C80=fClient),OR(fCampaign="All",$D80=fCampaign),OR(fTeam="All",$B80=fTeam),OR(fChannel="All",$F80=fChannel),OR(fMonth="All",$AH80=fMonth),OR(fTStatus="All",$M80=fTStatus)),1,0))</f>
        <v>0</v>
      </c>
      <c r="AJ80" s="71">
        <f>IF($G80="",0,IF(AND(OR(fClient="All",$C80=fClient),OR(fCampaign="All",$D80=fCampaign),OR(fTeam="All",$B80=fTeam),OR(fChannel="All",$F80=fChannel)),1,0))</f>
        <v>0</v>
      </c>
      <c r="AK80" s="71">
        <f>IF($G80="",0,IF(OR($M80="Completed",$M80="Cancelled"),0,1))</f>
        <v>0</v>
      </c>
      <c r="AL80" s="71">
        <f>IF(AND($AK80=1,ISNUMBER($L80)),IF($L80&lt;ReportDate,1,0),0)</f>
        <v>0</v>
      </c>
      <c r="AM80" s="71">
        <f>IF(AND($G80&lt;&gt;"",$M80="Blocked"),1,0)</f>
        <v>0</v>
      </c>
      <c r="AN80" s="71">
        <f>IF(AND($AK80=1,ISNUMBER($L80)),IF($L80=ReportDate,1,0),0)</f>
        <v>0</v>
      </c>
      <c r="AO80" s="71">
        <f>IF(AND($AK80=1,ISNUMBER($L80)),IF($L80=ReportDate+1,1,0),0)</f>
        <v>0</v>
      </c>
      <c r="AP80" s="71">
        <f>IF(AND($AK80=1,ISNUMBER($L80)),IF(AND($L80&gt;=ReportDate,$L80&lt;=ReportDate+DueSoonDays),1,0),0)</f>
        <v>0</v>
      </c>
      <c r="AQ80" s="71">
        <f>IF(AND($AK80=1,OR($I80="Critical",$I80="High")),1,0)</f>
        <v>0</v>
      </c>
      <c r="AR80" s="71">
        <f>IF($AK80=1,IF(ISNUMBER($Y80),IF(ReportDate-$Y80&gt;StaleDays,1,0),1),0)</f>
        <v>0</v>
      </c>
      <c r="AS80" s="71">
        <f>IF(AND($G80&lt;&gt;"",ISNUMBER($Q80),ISNUMBER($R80)),IF(AND($Q80&lt;$R80,OR($M80="Completed",AND(ISNUMBER($L80),$L80&lt;ReportDate))),1,0),0)</f>
        <v>0</v>
      </c>
      <c r="AT80" s="71">
        <f>IF($AK80=1,IF(OR($L80=ReportDate,$W80=ReportDate,$K80=ReportDate,$A80=ReportDate),1,0),0)</f>
        <v>0</v>
      </c>
      <c r="AU80" s="71">
        <f>IF($AK80=1,IF(OR($L80=ReportDate+1,$W80=ReportDate+1,$K80=ReportDate+1,$A80=ReportDate+1),1,0),0)</f>
        <v>0</v>
      </c>
      <c r="AV80" s="71">
        <f>IF(AND($G80&lt;&gt;"",$M80="Completed"),IF(OR($Y80=ReportDate-1,$A80=ReportDate-1),1,0),0)</f>
        <v>0</v>
      </c>
      <c r="AW80" s="71">
        <f>IF(AND($AK80=1,$Z80="Yes"),1,0)</f>
        <v>0</v>
      </c>
      <c r="AX80" s="71">
        <f>IF(AND($AK80=1,$AA80="Yes"),1,0)</f>
        <v>0</v>
      </c>
      <c r="AY80" s="71">
        <f>IF(AND($AM80=1,OR($I80="Critical",$I80="High")),1,0)</f>
        <v>0</v>
      </c>
      <c r="AZ80" s="71">
        <f>IF(AND($AK80=1,OR($C80=TCL_Client,$C80=MECCA_Client)),1,0)</f>
        <v>0</v>
      </c>
      <c r="BA80" s="71" t="str">
        <f>IF($G80="","",IFERROR(MATCH($I80,lst_Priority,0),5))</f>
        <v/>
      </c>
      <c r="BB80" s="71" t="str">
        <f>IF(AND($AL80=1,$AJ80=1),$BA80*100000+ROW(),"")</f>
        <v/>
      </c>
      <c r="BC80" s="71" t="str">
        <f>IF(AND($AM80=1,$AJ80=1),$BA80*100000+ROW(),"")</f>
        <v/>
      </c>
      <c r="BD80" s="71" t="str">
        <f>IF(AND($AP80=1,$AJ80=1),$BA80*100000+ROW(),"")</f>
        <v/>
      </c>
      <c r="BE80" s="71" t="str">
        <f>IF(AND($AT80=1,$AJ80=1),$BA80*100000+ROW(),"")</f>
        <v/>
      </c>
      <c r="BF80" s="71" t="str">
        <f>IF(AND($AU80=1,$AJ80=1),$BA80*100000+ROW(),"")</f>
        <v/>
      </c>
      <c r="BG80" s="71" t="str">
        <f>IF(AND($AV80=1,$AJ80=1),$BA80*100000+ROW(),"")</f>
        <v/>
      </c>
      <c r="BH80" s="71" t="str">
        <f>IF(AND($AW80=1,$AJ80=1),$BA80*100000+ROW(),"")</f>
        <v/>
      </c>
      <c r="BI80" s="71" t="str">
        <f>IF(AND($AX80=1,$AJ80=1),$BA80*100000+ROW(),"")</f>
        <v/>
      </c>
      <c r="BJ80" s="71" t="str">
        <f>IF(AND($AS80=1,$AJ80=1),$BA80*100000+ROW(),"")</f>
        <v/>
      </c>
      <c r="BK80" s="71" t="str">
        <f>IF(AND($AY80=1,$AJ80=1),$BA80*100000+ROW(),"")</f>
        <v/>
      </c>
      <c r="BL80" s="71" t="str">
        <f>IF(AND($AZ80=1),$BA80*100000+ROW(),"")</f>
        <v/>
      </c>
    </row>
    <row r="81">
      <c r="A81" s="63" t="n"/>
      <c r="B81" s="64" t="n"/>
      <c r="C81" s="64" t="n"/>
      <c r="D81" s="64" t="n"/>
      <c r="E81" s="64" t="n"/>
      <c r="F81" s="64" t="n"/>
      <c r="G81" s="65" t="n"/>
      <c r="H81" s="65" t="n"/>
      <c r="I81" s="64" t="n"/>
      <c r="J81" s="64" t="n"/>
      <c r="K81" s="63" t="n"/>
      <c r="L81" s="63" t="n"/>
      <c r="M81" s="64" t="n"/>
      <c r="N81" s="66" t="n"/>
      <c r="O81" s="65" t="n"/>
      <c r="P81" s="64" t="n"/>
      <c r="Q81" s="67" t="n"/>
      <c r="R81" s="67" t="n"/>
      <c r="S81" s="68" t="str">
        <f>IF(AND(ISNUMBER($Q81),ISNUMBER($R81)),$Q81-$R81,"")</f>
        <v/>
      </c>
      <c r="T81" s="65" t="n"/>
      <c r="U81" s="64" t="n"/>
      <c r="V81" s="65" t="n"/>
      <c r="W81" s="63" t="n"/>
      <c r="X81" s="65" t="n"/>
      <c r="Y81" s="63" t="n"/>
      <c r="Z81" s="64" t="n"/>
      <c r="AA81" s="64" t="n"/>
      <c r="AB81" s="65" t="n"/>
      <c r="AC81" s="69" t="str">
        <f>IF(OR($G81="",NOT(ISNUMBER($K81)),$AK81=0),"",MAX(0,ReportDate-$K81))</f>
        <v/>
      </c>
      <c r="AD81" s="69" t="str">
        <f>IF($G81="","",IF($AL81=1,ReportDate-$L81,0))</f>
        <v/>
      </c>
      <c r="AE81" s="70" t="str">
        <f>IF($G81="","",IF($M81="Completed",1,IF(ISNUMBER($N81),$N81,0)))</f>
        <v/>
      </c>
      <c r="AF81" s="70" t="str">
        <f>IF(AND(ISNUMBER($Q81),ISNUMBER($R81)),IF($R81&lt;&gt;0,$Q81/$R81,""),"")</f>
        <v/>
      </c>
      <c r="AG81" s="71" t="str">
        <f>IF($G81="","",IF($AL81=1,"OVERDUE",IF($AM81=1,"BLOCKED",IF($AN81=1,"DUE TODAY",IF($AO81=1,"DUE TOMORROW",IF($AQ81=1,"HIGH PRIORITY",IF($AR81=1,"NO RECENT UPDATE",""))))))) </f>
        <v/>
      </c>
      <c r="AH81" s="71" t="str">
        <f>IF($G81="","",IF(ISNUMBER($A81),IF(ISNUMBER($A81),YEAR($A81)&amp;"-"&amp;TEXT(MONTH($A81),"00"),""),IF(ISNUMBER($L81),IF(ISNUMBER($L81),YEAR($L81)&amp;"-"&amp;TEXT(MONTH($L81),"00"),""),"")))</f>
        <v/>
      </c>
      <c r="AI81" s="71">
        <f>IF($G81="",0,IF(AND(OR(fClient="All",$C81=fClient),OR(fCampaign="All",$D81=fCampaign),OR(fTeam="All",$B81=fTeam),OR(fChannel="All",$F81=fChannel),OR(fMonth="All",$AH81=fMonth),OR(fTStatus="All",$M81=fTStatus)),1,0))</f>
        <v>0</v>
      </c>
      <c r="AJ81" s="71">
        <f>IF($G81="",0,IF(AND(OR(fClient="All",$C81=fClient),OR(fCampaign="All",$D81=fCampaign),OR(fTeam="All",$B81=fTeam),OR(fChannel="All",$F81=fChannel)),1,0))</f>
        <v>0</v>
      </c>
      <c r="AK81" s="71">
        <f>IF($G81="",0,IF(OR($M81="Completed",$M81="Cancelled"),0,1))</f>
        <v>0</v>
      </c>
      <c r="AL81" s="71">
        <f>IF(AND($AK81=1,ISNUMBER($L81)),IF($L81&lt;ReportDate,1,0),0)</f>
        <v>0</v>
      </c>
      <c r="AM81" s="71">
        <f>IF(AND($G81&lt;&gt;"",$M81="Blocked"),1,0)</f>
        <v>0</v>
      </c>
      <c r="AN81" s="71">
        <f>IF(AND($AK81=1,ISNUMBER($L81)),IF($L81=ReportDate,1,0),0)</f>
        <v>0</v>
      </c>
      <c r="AO81" s="71">
        <f>IF(AND($AK81=1,ISNUMBER($L81)),IF($L81=ReportDate+1,1,0),0)</f>
        <v>0</v>
      </c>
      <c r="AP81" s="71">
        <f>IF(AND($AK81=1,ISNUMBER($L81)),IF(AND($L81&gt;=ReportDate,$L81&lt;=ReportDate+DueSoonDays),1,0),0)</f>
        <v>0</v>
      </c>
      <c r="AQ81" s="71">
        <f>IF(AND($AK81=1,OR($I81="Critical",$I81="High")),1,0)</f>
        <v>0</v>
      </c>
      <c r="AR81" s="71">
        <f>IF($AK81=1,IF(ISNUMBER($Y81),IF(ReportDate-$Y81&gt;StaleDays,1,0),1),0)</f>
        <v>0</v>
      </c>
      <c r="AS81" s="71">
        <f>IF(AND($G81&lt;&gt;"",ISNUMBER($Q81),ISNUMBER($R81)),IF(AND($Q81&lt;$R81,OR($M81="Completed",AND(ISNUMBER($L81),$L81&lt;ReportDate))),1,0),0)</f>
        <v>0</v>
      </c>
      <c r="AT81" s="71">
        <f>IF($AK81=1,IF(OR($L81=ReportDate,$W81=ReportDate,$K81=ReportDate,$A81=ReportDate),1,0),0)</f>
        <v>0</v>
      </c>
      <c r="AU81" s="71">
        <f>IF($AK81=1,IF(OR($L81=ReportDate+1,$W81=ReportDate+1,$K81=ReportDate+1,$A81=ReportDate+1),1,0),0)</f>
        <v>0</v>
      </c>
      <c r="AV81" s="71">
        <f>IF(AND($G81&lt;&gt;"",$M81="Completed"),IF(OR($Y81=ReportDate-1,$A81=ReportDate-1),1,0),0)</f>
        <v>0</v>
      </c>
      <c r="AW81" s="71">
        <f>IF(AND($AK81=1,$Z81="Yes"),1,0)</f>
        <v>0</v>
      </c>
      <c r="AX81" s="71">
        <f>IF(AND($AK81=1,$AA81="Yes"),1,0)</f>
        <v>0</v>
      </c>
      <c r="AY81" s="71">
        <f>IF(AND($AM81=1,OR($I81="Critical",$I81="High")),1,0)</f>
        <v>0</v>
      </c>
      <c r="AZ81" s="71">
        <f>IF(AND($AK81=1,OR($C81=TCL_Client,$C81=MECCA_Client)),1,0)</f>
        <v>0</v>
      </c>
      <c r="BA81" s="71" t="str">
        <f>IF($G81="","",IFERROR(MATCH($I81,lst_Priority,0),5))</f>
        <v/>
      </c>
      <c r="BB81" s="71" t="str">
        <f>IF(AND($AL81=1,$AJ81=1),$BA81*100000+ROW(),"")</f>
        <v/>
      </c>
      <c r="BC81" s="71" t="str">
        <f>IF(AND($AM81=1,$AJ81=1),$BA81*100000+ROW(),"")</f>
        <v/>
      </c>
      <c r="BD81" s="71" t="str">
        <f>IF(AND($AP81=1,$AJ81=1),$BA81*100000+ROW(),"")</f>
        <v/>
      </c>
      <c r="BE81" s="71" t="str">
        <f>IF(AND($AT81=1,$AJ81=1),$BA81*100000+ROW(),"")</f>
        <v/>
      </c>
      <c r="BF81" s="71" t="str">
        <f>IF(AND($AU81=1,$AJ81=1),$BA81*100000+ROW(),"")</f>
        <v/>
      </c>
      <c r="BG81" s="71" t="str">
        <f>IF(AND($AV81=1,$AJ81=1),$BA81*100000+ROW(),"")</f>
        <v/>
      </c>
      <c r="BH81" s="71" t="str">
        <f>IF(AND($AW81=1,$AJ81=1),$BA81*100000+ROW(),"")</f>
        <v/>
      </c>
      <c r="BI81" s="71" t="str">
        <f>IF(AND($AX81=1,$AJ81=1),$BA81*100000+ROW(),"")</f>
        <v/>
      </c>
      <c r="BJ81" s="71" t="str">
        <f>IF(AND($AS81=1,$AJ81=1),$BA81*100000+ROW(),"")</f>
        <v/>
      </c>
      <c r="BK81" s="71" t="str">
        <f>IF(AND($AY81=1,$AJ81=1),$BA81*100000+ROW(),"")</f>
        <v/>
      </c>
      <c r="BL81" s="71" t="str">
        <f>IF(AND($AZ81=1),$BA81*100000+ROW(),"")</f>
        <v/>
      </c>
    </row>
    <row r="82">
      <c r="A82" s="63" t="n"/>
      <c r="B82" s="64" t="n"/>
      <c r="C82" s="64" t="n"/>
      <c r="D82" s="64" t="n"/>
      <c r="E82" s="64" t="n"/>
      <c r="F82" s="64" t="n"/>
      <c r="G82" s="65" t="n"/>
      <c r="H82" s="65" t="n"/>
      <c r="I82" s="64" t="n"/>
      <c r="J82" s="64" t="n"/>
      <c r="K82" s="63" t="n"/>
      <c r="L82" s="63" t="n"/>
      <c r="M82" s="64" t="n"/>
      <c r="N82" s="66" t="n"/>
      <c r="O82" s="65" t="n"/>
      <c r="P82" s="64" t="n"/>
      <c r="Q82" s="67" t="n"/>
      <c r="R82" s="67" t="n"/>
      <c r="S82" s="68" t="str">
        <f>IF(AND(ISNUMBER($Q82),ISNUMBER($R82)),$Q82-$R82,"")</f>
        <v/>
      </c>
      <c r="T82" s="65" t="n"/>
      <c r="U82" s="64" t="n"/>
      <c r="V82" s="65" t="n"/>
      <c r="W82" s="63" t="n"/>
      <c r="X82" s="65" t="n"/>
      <c r="Y82" s="63" t="n"/>
      <c r="Z82" s="64" t="n"/>
      <c r="AA82" s="64" t="n"/>
      <c r="AB82" s="65" t="n"/>
      <c r="AC82" s="69" t="str">
        <f>IF(OR($G82="",NOT(ISNUMBER($K82)),$AK82=0),"",MAX(0,ReportDate-$K82))</f>
        <v/>
      </c>
      <c r="AD82" s="69" t="str">
        <f>IF($G82="","",IF($AL82=1,ReportDate-$L82,0))</f>
        <v/>
      </c>
      <c r="AE82" s="70" t="str">
        <f>IF($G82="","",IF($M82="Completed",1,IF(ISNUMBER($N82),$N82,0)))</f>
        <v/>
      </c>
      <c r="AF82" s="70" t="str">
        <f>IF(AND(ISNUMBER($Q82),ISNUMBER($R82)),IF($R82&lt;&gt;0,$Q82/$R82,""),"")</f>
        <v/>
      </c>
      <c r="AG82" s="71" t="str">
        <f>IF($G82="","",IF($AL82=1,"OVERDUE",IF($AM82=1,"BLOCKED",IF($AN82=1,"DUE TODAY",IF($AO82=1,"DUE TOMORROW",IF($AQ82=1,"HIGH PRIORITY",IF($AR82=1,"NO RECENT UPDATE",""))))))) </f>
        <v/>
      </c>
      <c r="AH82" s="71" t="str">
        <f>IF($G82="","",IF(ISNUMBER($A82),IF(ISNUMBER($A82),YEAR($A82)&amp;"-"&amp;TEXT(MONTH($A82),"00"),""),IF(ISNUMBER($L82),IF(ISNUMBER($L82),YEAR($L82)&amp;"-"&amp;TEXT(MONTH($L82),"00"),""),"")))</f>
        <v/>
      </c>
      <c r="AI82" s="71">
        <f>IF($G82="",0,IF(AND(OR(fClient="All",$C82=fClient),OR(fCampaign="All",$D82=fCampaign),OR(fTeam="All",$B82=fTeam),OR(fChannel="All",$F82=fChannel),OR(fMonth="All",$AH82=fMonth),OR(fTStatus="All",$M82=fTStatus)),1,0))</f>
        <v>0</v>
      </c>
      <c r="AJ82" s="71">
        <f>IF($G82="",0,IF(AND(OR(fClient="All",$C82=fClient),OR(fCampaign="All",$D82=fCampaign),OR(fTeam="All",$B82=fTeam),OR(fChannel="All",$F82=fChannel)),1,0))</f>
        <v>0</v>
      </c>
      <c r="AK82" s="71">
        <f>IF($G82="",0,IF(OR($M82="Completed",$M82="Cancelled"),0,1))</f>
        <v>0</v>
      </c>
      <c r="AL82" s="71">
        <f>IF(AND($AK82=1,ISNUMBER($L82)),IF($L82&lt;ReportDate,1,0),0)</f>
        <v>0</v>
      </c>
      <c r="AM82" s="71">
        <f>IF(AND($G82&lt;&gt;"",$M82="Blocked"),1,0)</f>
        <v>0</v>
      </c>
      <c r="AN82" s="71">
        <f>IF(AND($AK82=1,ISNUMBER($L82)),IF($L82=ReportDate,1,0),0)</f>
        <v>0</v>
      </c>
      <c r="AO82" s="71">
        <f>IF(AND($AK82=1,ISNUMBER($L82)),IF($L82=ReportDate+1,1,0),0)</f>
        <v>0</v>
      </c>
      <c r="AP82" s="71">
        <f>IF(AND($AK82=1,ISNUMBER($L82)),IF(AND($L82&gt;=ReportDate,$L82&lt;=ReportDate+DueSoonDays),1,0),0)</f>
        <v>0</v>
      </c>
      <c r="AQ82" s="71">
        <f>IF(AND($AK82=1,OR($I82="Critical",$I82="High")),1,0)</f>
        <v>0</v>
      </c>
      <c r="AR82" s="71">
        <f>IF($AK82=1,IF(ISNUMBER($Y82),IF(ReportDate-$Y82&gt;StaleDays,1,0),1),0)</f>
        <v>0</v>
      </c>
      <c r="AS82" s="71">
        <f>IF(AND($G82&lt;&gt;"",ISNUMBER($Q82),ISNUMBER($R82)),IF(AND($Q82&lt;$R82,OR($M82="Completed",AND(ISNUMBER($L82),$L82&lt;ReportDate))),1,0),0)</f>
        <v>0</v>
      </c>
      <c r="AT82" s="71">
        <f>IF($AK82=1,IF(OR($L82=ReportDate,$W82=ReportDate,$K82=ReportDate,$A82=ReportDate),1,0),0)</f>
        <v>0</v>
      </c>
      <c r="AU82" s="71">
        <f>IF($AK82=1,IF(OR($L82=ReportDate+1,$W82=ReportDate+1,$K82=ReportDate+1,$A82=ReportDate+1),1,0),0)</f>
        <v>0</v>
      </c>
      <c r="AV82" s="71">
        <f>IF(AND($G82&lt;&gt;"",$M82="Completed"),IF(OR($Y82=ReportDate-1,$A82=ReportDate-1),1,0),0)</f>
        <v>0</v>
      </c>
      <c r="AW82" s="71">
        <f>IF(AND($AK82=1,$Z82="Yes"),1,0)</f>
        <v>0</v>
      </c>
      <c r="AX82" s="71">
        <f>IF(AND($AK82=1,$AA82="Yes"),1,0)</f>
        <v>0</v>
      </c>
      <c r="AY82" s="71">
        <f>IF(AND($AM82=1,OR($I82="Critical",$I82="High")),1,0)</f>
        <v>0</v>
      </c>
      <c r="AZ82" s="71">
        <f>IF(AND($AK82=1,OR($C82=TCL_Client,$C82=MECCA_Client)),1,0)</f>
        <v>0</v>
      </c>
      <c r="BA82" s="71" t="str">
        <f>IF($G82="","",IFERROR(MATCH($I82,lst_Priority,0),5))</f>
        <v/>
      </c>
      <c r="BB82" s="71" t="str">
        <f>IF(AND($AL82=1,$AJ82=1),$BA82*100000+ROW(),"")</f>
        <v/>
      </c>
      <c r="BC82" s="71" t="str">
        <f>IF(AND($AM82=1,$AJ82=1),$BA82*100000+ROW(),"")</f>
        <v/>
      </c>
      <c r="BD82" s="71" t="str">
        <f>IF(AND($AP82=1,$AJ82=1),$BA82*100000+ROW(),"")</f>
        <v/>
      </c>
      <c r="BE82" s="71" t="str">
        <f>IF(AND($AT82=1,$AJ82=1),$BA82*100000+ROW(),"")</f>
        <v/>
      </c>
      <c r="BF82" s="71" t="str">
        <f>IF(AND($AU82=1,$AJ82=1),$BA82*100000+ROW(),"")</f>
        <v/>
      </c>
      <c r="BG82" s="71" t="str">
        <f>IF(AND($AV82=1,$AJ82=1),$BA82*100000+ROW(),"")</f>
        <v/>
      </c>
      <c r="BH82" s="71" t="str">
        <f>IF(AND($AW82=1,$AJ82=1),$BA82*100000+ROW(),"")</f>
        <v/>
      </c>
      <c r="BI82" s="71" t="str">
        <f>IF(AND($AX82=1,$AJ82=1),$BA82*100000+ROW(),"")</f>
        <v/>
      </c>
      <c r="BJ82" s="71" t="str">
        <f>IF(AND($AS82=1,$AJ82=1),$BA82*100000+ROW(),"")</f>
        <v/>
      </c>
      <c r="BK82" s="71" t="str">
        <f>IF(AND($AY82=1,$AJ82=1),$BA82*100000+ROW(),"")</f>
        <v/>
      </c>
      <c r="BL82" s="71" t="str">
        <f>IF(AND($AZ82=1),$BA82*100000+ROW(),"")</f>
        <v/>
      </c>
    </row>
    <row r="83">
      <c r="A83" s="63" t="n"/>
      <c r="B83" s="64" t="n"/>
      <c r="C83" s="64" t="n"/>
      <c r="D83" s="64" t="n"/>
      <c r="E83" s="64" t="n"/>
      <c r="F83" s="64" t="n"/>
      <c r="G83" s="65" t="n"/>
      <c r="H83" s="65" t="n"/>
      <c r="I83" s="64" t="n"/>
      <c r="J83" s="64" t="n"/>
      <c r="K83" s="63" t="n"/>
      <c r="L83" s="63" t="n"/>
      <c r="M83" s="64" t="n"/>
      <c r="N83" s="66" t="n"/>
      <c r="O83" s="65" t="n"/>
      <c r="P83" s="64" t="n"/>
      <c r="Q83" s="67" t="n"/>
      <c r="R83" s="67" t="n"/>
      <c r="S83" s="68" t="str">
        <f>IF(AND(ISNUMBER($Q83),ISNUMBER($R83)),$Q83-$R83,"")</f>
        <v/>
      </c>
      <c r="T83" s="65" t="n"/>
      <c r="U83" s="64" t="n"/>
      <c r="V83" s="65" t="n"/>
      <c r="W83" s="63" t="n"/>
      <c r="X83" s="65" t="n"/>
      <c r="Y83" s="63" t="n"/>
      <c r="Z83" s="64" t="n"/>
      <c r="AA83" s="64" t="n"/>
      <c r="AB83" s="65" t="n"/>
      <c r="AC83" s="69" t="str">
        <f>IF(OR($G83="",NOT(ISNUMBER($K83)),$AK83=0),"",MAX(0,ReportDate-$K83))</f>
        <v/>
      </c>
      <c r="AD83" s="69" t="str">
        <f>IF($G83="","",IF($AL83=1,ReportDate-$L83,0))</f>
        <v/>
      </c>
      <c r="AE83" s="70" t="str">
        <f>IF($G83="","",IF($M83="Completed",1,IF(ISNUMBER($N83),$N83,0)))</f>
        <v/>
      </c>
      <c r="AF83" s="70" t="str">
        <f>IF(AND(ISNUMBER($Q83),ISNUMBER($R83)),IF($R83&lt;&gt;0,$Q83/$R83,""),"")</f>
        <v/>
      </c>
      <c r="AG83" s="71" t="str">
        <f>IF($G83="","",IF($AL83=1,"OVERDUE",IF($AM83=1,"BLOCKED",IF($AN83=1,"DUE TODAY",IF($AO83=1,"DUE TOMORROW",IF($AQ83=1,"HIGH PRIORITY",IF($AR83=1,"NO RECENT UPDATE",""))))))) </f>
        <v/>
      </c>
      <c r="AH83" s="71" t="str">
        <f>IF($G83="","",IF(ISNUMBER($A83),IF(ISNUMBER($A83),YEAR($A83)&amp;"-"&amp;TEXT(MONTH($A83),"00"),""),IF(ISNUMBER($L83),IF(ISNUMBER($L83),YEAR($L83)&amp;"-"&amp;TEXT(MONTH($L83),"00"),""),"")))</f>
        <v/>
      </c>
      <c r="AI83" s="71">
        <f>IF($G83="",0,IF(AND(OR(fClient="All",$C83=fClient),OR(fCampaign="All",$D83=fCampaign),OR(fTeam="All",$B83=fTeam),OR(fChannel="All",$F83=fChannel),OR(fMonth="All",$AH83=fMonth),OR(fTStatus="All",$M83=fTStatus)),1,0))</f>
        <v>0</v>
      </c>
      <c r="AJ83" s="71">
        <f>IF($G83="",0,IF(AND(OR(fClient="All",$C83=fClient),OR(fCampaign="All",$D83=fCampaign),OR(fTeam="All",$B83=fTeam),OR(fChannel="All",$F83=fChannel)),1,0))</f>
        <v>0</v>
      </c>
      <c r="AK83" s="71">
        <f>IF($G83="",0,IF(OR($M83="Completed",$M83="Cancelled"),0,1))</f>
        <v>0</v>
      </c>
      <c r="AL83" s="71">
        <f>IF(AND($AK83=1,ISNUMBER($L83)),IF($L83&lt;ReportDate,1,0),0)</f>
        <v>0</v>
      </c>
      <c r="AM83" s="71">
        <f>IF(AND($G83&lt;&gt;"",$M83="Blocked"),1,0)</f>
        <v>0</v>
      </c>
      <c r="AN83" s="71">
        <f>IF(AND($AK83=1,ISNUMBER($L83)),IF($L83=ReportDate,1,0),0)</f>
        <v>0</v>
      </c>
      <c r="AO83" s="71">
        <f>IF(AND($AK83=1,ISNUMBER($L83)),IF($L83=ReportDate+1,1,0),0)</f>
        <v>0</v>
      </c>
      <c r="AP83" s="71">
        <f>IF(AND($AK83=1,ISNUMBER($L83)),IF(AND($L83&gt;=ReportDate,$L83&lt;=ReportDate+DueSoonDays),1,0),0)</f>
        <v>0</v>
      </c>
      <c r="AQ83" s="71">
        <f>IF(AND($AK83=1,OR($I83="Critical",$I83="High")),1,0)</f>
        <v>0</v>
      </c>
      <c r="AR83" s="71">
        <f>IF($AK83=1,IF(ISNUMBER($Y83),IF(ReportDate-$Y83&gt;StaleDays,1,0),1),0)</f>
        <v>0</v>
      </c>
      <c r="AS83" s="71">
        <f>IF(AND($G83&lt;&gt;"",ISNUMBER($Q83),ISNUMBER($R83)),IF(AND($Q83&lt;$R83,OR($M83="Completed",AND(ISNUMBER($L83),$L83&lt;ReportDate))),1,0),0)</f>
        <v>0</v>
      </c>
      <c r="AT83" s="71">
        <f>IF($AK83=1,IF(OR($L83=ReportDate,$W83=ReportDate,$K83=ReportDate,$A83=ReportDate),1,0),0)</f>
        <v>0</v>
      </c>
      <c r="AU83" s="71">
        <f>IF($AK83=1,IF(OR($L83=ReportDate+1,$W83=ReportDate+1,$K83=ReportDate+1,$A83=ReportDate+1),1,0),0)</f>
        <v>0</v>
      </c>
      <c r="AV83" s="71">
        <f>IF(AND($G83&lt;&gt;"",$M83="Completed"),IF(OR($Y83=ReportDate-1,$A83=ReportDate-1),1,0),0)</f>
        <v>0</v>
      </c>
      <c r="AW83" s="71">
        <f>IF(AND($AK83=1,$Z83="Yes"),1,0)</f>
        <v>0</v>
      </c>
      <c r="AX83" s="71">
        <f>IF(AND($AK83=1,$AA83="Yes"),1,0)</f>
        <v>0</v>
      </c>
      <c r="AY83" s="71">
        <f>IF(AND($AM83=1,OR($I83="Critical",$I83="High")),1,0)</f>
        <v>0</v>
      </c>
      <c r="AZ83" s="71">
        <f>IF(AND($AK83=1,OR($C83=TCL_Client,$C83=MECCA_Client)),1,0)</f>
        <v>0</v>
      </c>
      <c r="BA83" s="71" t="str">
        <f>IF($G83="","",IFERROR(MATCH($I83,lst_Priority,0),5))</f>
        <v/>
      </c>
      <c r="BB83" s="71" t="str">
        <f>IF(AND($AL83=1,$AJ83=1),$BA83*100000+ROW(),"")</f>
        <v/>
      </c>
      <c r="BC83" s="71" t="str">
        <f>IF(AND($AM83=1,$AJ83=1),$BA83*100000+ROW(),"")</f>
        <v/>
      </c>
      <c r="BD83" s="71" t="str">
        <f>IF(AND($AP83=1,$AJ83=1),$BA83*100000+ROW(),"")</f>
        <v/>
      </c>
      <c r="BE83" s="71" t="str">
        <f>IF(AND($AT83=1,$AJ83=1),$BA83*100000+ROW(),"")</f>
        <v/>
      </c>
      <c r="BF83" s="71" t="str">
        <f>IF(AND($AU83=1,$AJ83=1),$BA83*100000+ROW(),"")</f>
        <v/>
      </c>
      <c r="BG83" s="71" t="str">
        <f>IF(AND($AV83=1,$AJ83=1),$BA83*100000+ROW(),"")</f>
        <v/>
      </c>
      <c r="BH83" s="71" t="str">
        <f>IF(AND($AW83=1,$AJ83=1),$BA83*100000+ROW(),"")</f>
        <v/>
      </c>
      <c r="BI83" s="71" t="str">
        <f>IF(AND($AX83=1,$AJ83=1),$BA83*100000+ROW(),"")</f>
        <v/>
      </c>
      <c r="BJ83" s="71" t="str">
        <f>IF(AND($AS83=1,$AJ83=1),$BA83*100000+ROW(),"")</f>
        <v/>
      </c>
      <c r="BK83" s="71" t="str">
        <f>IF(AND($AY83=1,$AJ83=1),$BA83*100000+ROW(),"")</f>
        <v/>
      </c>
      <c r="BL83" s="71" t="str">
        <f>IF(AND($AZ83=1),$BA83*100000+ROW(),"")</f>
        <v/>
      </c>
    </row>
    <row r="84">
      <c r="A84" s="63" t="n"/>
      <c r="B84" s="64" t="n"/>
      <c r="C84" s="64" t="n"/>
      <c r="D84" s="64" t="n"/>
      <c r="E84" s="64" t="n"/>
      <c r="F84" s="64" t="n"/>
      <c r="G84" s="65" t="n"/>
      <c r="H84" s="65" t="n"/>
      <c r="I84" s="64" t="n"/>
      <c r="J84" s="64" t="n"/>
      <c r="K84" s="63" t="n"/>
      <c r="L84" s="63" t="n"/>
      <c r="M84" s="64" t="n"/>
      <c r="N84" s="66" t="n"/>
      <c r="O84" s="65" t="n"/>
      <c r="P84" s="64" t="n"/>
      <c r="Q84" s="67" t="n"/>
      <c r="R84" s="67" t="n"/>
      <c r="S84" s="68" t="str">
        <f>IF(AND(ISNUMBER($Q84),ISNUMBER($R84)),$Q84-$R84,"")</f>
        <v/>
      </c>
      <c r="T84" s="65" t="n"/>
      <c r="U84" s="64" t="n"/>
      <c r="V84" s="65" t="n"/>
      <c r="W84" s="63" t="n"/>
      <c r="X84" s="65" t="n"/>
      <c r="Y84" s="63" t="n"/>
      <c r="Z84" s="64" t="n"/>
      <c r="AA84" s="64" t="n"/>
      <c r="AB84" s="65" t="n"/>
      <c r="AC84" s="69" t="str">
        <f>IF(OR($G84="",NOT(ISNUMBER($K84)),$AK84=0),"",MAX(0,ReportDate-$K84))</f>
        <v/>
      </c>
      <c r="AD84" s="69" t="str">
        <f>IF($G84="","",IF($AL84=1,ReportDate-$L84,0))</f>
        <v/>
      </c>
      <c r="AE84" s="70" t="str">
        <f>IF($G84="","",IF($M84="Completed",1,IF(ISNUMBER($N84),$N84,0)))</f>
        <v/>
      </c>
      <c r="AF84" s="70" t="str">
        <f>IF(AND(ISNUMBER($Q84),ISNUMBER($R84)),IF($R84&lt;&gt;0,$Q84/$R84,""),"")</f>
        <v/>
      </c>
      <c r="AG84" s="71" t="str">
        <f>IF($G84="","",IF($AL84=1,"OVERDUE",IF($AM84=1,"BLOCKED",IF($AN84=1,"DUE TODAY",IF($AO84=1,"DUE TOMORROW",IF($AQ84=1,"HIGH PRIORITY",IF($AR84=1,"NO RECENT UPDATE",""))))))) </f>
        <v/>
      </c>
      <c r="AH84" s="71" t="str">
        <f>IF($G84="","",IF(ISNUMBER($A84),IF(ISNUMBER($A84),YEAR($A84)&amp;"-"&amp;TEXT(MONTH($A84),"00"),""),IF(ISNUMBER($L84),IF(ISNUMBER($L84),YEAR($L84)&amp;"-"&amp;TEXT(MONTH($L84),"00"),""),"")))</f>
        <v/>
      </c>
      <c r="AI84" s="71">
        <f>IF($G84="",0,IF(AND(OR(fClient="All",$C84=fClient),OR(fCampaign="All",$D84=fCampaign),OR(fTeam="All",$B84=fTeam),OR(fChannel="All",$F84=fChannel),OR(fMonth="All",$AH84=fMonth),OR(fTStatus="All",$M84=fTStatus)),1,0))</f>
        <v>0</v>
      </c>
      <c r="AJ84" s="71">
        <f>IF($G84="",0,IF(AND(OR(fClient="All",$C84=fClient),OR(fCampaign="All",$D84=fCampaign),OR(fTeam="All",$B84=fTeam),OR(fChannel="All",$F84=fChannel)),1,0))</f>
        <v>0</v>
      </c>
      <c r="AK84" s="71">
        <f>IF($G84="",0,IF(OR($M84="Completed",$M84="Cancelled"),0,1))</f>
        <v>0</v>
      </c>
      <c r="AL84" s="71">
        <f>IF(AND($AK84=1,ISNUMBER($L84)),IF($L84&lt;ReportDate,1,0),0)</f>
        <v>0</v>
      </c>
      <c r="AM84" s="71">
        <f>IF(AND($G84&lt;&gt;"",$M84="Blocked"),1,0)</f>
        <v>0</v>
      </c>
      <c r="AN84" s="71">
        <f>IF(AND($AK84=1,ISNUMBER($L84)),IF($L84=ReportDate,1,0),0)</f>
        <v>0</v>
      </c>
      <c r="AO84" s="71">
        <f>IF(AND($AK84=1,ISNUMBER($L84)),IF($L84=ReportDate+1,1,0),0)</f>
        <v>0</v>
      </c>
      <c r="AP84" s="71">
        <f>IF(AND($AK84=1,ISNUMBER($L84)),IF(AND($L84&gt;=ReportDate,$L84&lt;=ReportDate+DueSoonDays),1,0),0)</f>
        <v>0</v>
      </c>
      <c r="AQ84" s="71">
        <f>IF(AND($AK84=1,OR($I84="Critical",$I84="High")),1,0)</f>
        <v>0</v>
      </c>
      <c r="AR84" s="71">
        <f>IF($AK84=1,IF(ISNUMBER($Y84),IF(ReportDate-$Y84&gt;StaleDays,1,0),1),0)</f>
        <v>0</v>
      </c>
      <c r="AS84" s="71">
        <f>IF(AND($G84&lt;&gt;"",ISNUMBER($Q84),ISNUMBER($R84)),IF(AND($Q84&lt;$R84,OR($M84="Completed",AND(ISNUMBER($L84),$L84&lt;ReportDate))),1,0),0)</f>
        <v>0</v>
      </c>
      <c r="AT84" s="71">
        <f>IF($AK84=1,IF(OR($L84=ReportDate,$W84=ReportDate,$K84=ReportDate,$A84=ReportDate),1,0),0)</f>
        <v>0</v>
      </c>
      <c r="AU84" s="71">
        <f>IF($AK84=1,IF(OR($L84=ReportDate+1,$W84=ReportDate+1,$K84=ReportDate+1,$A84=ReportDate+1),1,0),0)</f>
        <v>0</v>
      </c>
      <c r="AV84" s="71">
        <f>IF(AND($G84&lt;&gt;"",$M84="Completed"),IF(OR($Y84=ReportDate-1,$A84=ReportDate-1),1,0),0)</f>
        <v>0</v>
      </c>
      <c r="AW84" s="71">
        <f>IF(AND($AK84=1,$Z84="Yes"),1,0)</f>
        <v>0</v>
      </c>
      <c r="AX84" s="71">
        <f>IF(AND($AK84=1,$AA84="Yes"),1,0)</f>
        <v>0</v>
      </c>
      <c r="AY84" s="71">
        <f>IF(AND($AM84=1,OR($I84="Critical",$I84="High")),1,0)</f>
        <v>0</v>
      </c>
      <c r="AZ84" s="71">
        <f>IF(AND($AK84=1,OR($C84=TCL_Client,$C84=MECCA_Client)),1,0)</f>
        <v>0</v>
      </c>
      <c r="BA84" s="71" t="str">
        <f>IF($G84="","",IFERROR(MATCH($I84,lst_Priority,0),5))</f>
        <v/>
      </c>
      <c r="BB84" s="71" t="str">
        <f>IF(AND($AL84=1,$AJ84=1),$BA84*100000+ROW(),"")</f>
        <v/>
      </c>
      <c r="BC84" s="71" t="str">
        <f>IF(AND($AM84=1,$AJ84=1),$BA84*100000+ROW(),"")</f>
        <v/>
      </c>
      <c r="BD84" s="71" t="str">
        <f>IF(AND($AP84=1,$AJ84=1),$BA84*100000+ROW(),"")</f>
        <v/>
      </c>
      <c r="BE84" s="71" t="str">
        <f>IF(AND($AT84=1,$AJ84=1),$BA84*100000+ROW(),"")</f>
        <v/>
      </c>
      <c r="BF84" s="71" t="str">
        <f>IF(AND($AU84=1,$AJ84=1),$BA84*100000+ROW(),"")</f>
        <v/>
      </c>
      <c r="BG84" s="71" t="str">
        <f>IF(AND($AV84=1,$AJ84=1),$BA84*100000+ROW(),"")</f>
        <v/>
      </c>
      <c r="BH84" s="71" t="str">
        <f>IF(AND($AW84=1,$AJ84=1),$BA84*100000+ROW(),"")</f>
        <v/>
      </c>
      <c r="BI84" s="71" t="str">
        <f>IF(AND($AX84=1,$AJ84=1),$BA84*100000+ROW(),"")</f>
        <v/>
      </c>
      <c r="BJ84" s="71" t="str">
        <f>IF(AND($AS84=1,$AJ84=1),$BA84*100000+ROW(),"")</f>
        <v/>
      </c>
      <c r="BK84" s="71" t="str">
        <f>IF(AND($AY84=1,$AJ84=1),$BA84*100000+ROW(),"")</f>
        <v/>
      </c>
      <c r="BL84" s="71" t="str">
        <f>IF(AND($AZ84=1),$BA84*100000+ROW(),"")</f>
        <v/>
      </c>
    </row>
    <row r="85">
      <c r="A85" s="63" t="n"/>
      <c r="B85" s="64" t="n"/>
      <c r="C85" s="64" t="n"/>
      <c r="D85" s="64" t="n"/>
      <c r="E85" s="64" t="n"/>
      <c r="F85" s="64" t="n"/>
      <c r="G85" s="65" t="n"/>
      <c r="H85" s="65" t="n"/>
      <c r="I85" s="64" t="n"/>
      <c r="J85" s="64" t="n"/>
      <c r="K85" s="63" t="n"/>
      <c r="L85" s="63" t="n"/>
      <c r="M85" s="64" t="n"/>
      <c r="N85" s="66" t="n"/>
      <c r="O85" s="65" t="n"/>
      <c r="P85" s="64" t="n"/>
      <c r="Q85" s="67" t="n"/>
      <c r="R85" s="67" t="n"/>
      <c r="S85" s="68" t="str">
        <f>IF(AND(ISNUMBER($Q85),ISNUMBER($R85)),$Q85-$R85,"")</f>
        <v/>
      </c>
      <c r="T85" s="65" t="n"/>
      <c r="U85" s="64" t="n"/>
      <c r="V85" s="65" t="n"/>
      <c r="W85" s="63" t="n"/>
      <c r="X85" s="65" t="n"/>
      <c r="Y85" s="63" t="n"/>
      <c r="Z85" s="64" t="n"/>
      <c r="AA85" s="64" t="n"/>
      <c r="AB85" s="65" t="n"/>
      <c r="AC85" s="69" t="str">
        <f>IF(OR($G85="",NOT(ISNUMBER($K85)),$AK85=0),"",MAX(0,ReportDate-$K85))</f>
        <v/>
      </c>
      <c r="AD85" s="69" t="str">
        <f>IF($G85="","",IF($AL85=1,ReportDate-$L85,0))</f>
        <v/>
      </c>
      <c r="AE85" s="70" t="str">
        <f>IF($G85="","",IF($M85="Completed",1,IF(ISNUMBER($N85),$N85,0)))</f>
        <v/>
      </c>
      <c r="AF85" s="70" t="str">
        <f>IF(AND(ISNUMBER($Q85),ISNUMBER($R85)),IF($R85&lt;&gt;0,$Q85/$R85,""),"")</f>
        <v/>
      </c>
      <c r="AG85" s="71" t="str">
        <f>IF($G85="","",IF($AL85=1,"OVERDUE",IF($AM85=1,"BLOCKED",IF($AN85=1,"DUE TODAY",IF($AO85=1,"DUE TOMORROW",IF($AQ85=1,"HIGH PRIORITY",IF($AR85=1,"NO RECENT UPDATE",""))))))) </f>
        <v/>
      </c>
      <c r="AH85" s="71" t="str">
        <f>IF($G85="","",IF(ISNUMBER($A85),IF(ISNUMBER($A85),YEAR($A85)&amp;"-"&amp;TEXT(MONTH($A85),"00"),""),IF(ISNUMBER($L85),IF(ISNUMBER($L85),YEAR($L85)&amp;"-"&amp;TEXT(MONTH($L85),"00"),""),"")))</f>
        <v/>
      </c>
      <c r="AI85" s="71">
        <f>IF($G85="",0,IF(AND(OR(fClient="All",$C85=fClient),OR(fCampaign="All",$D85=fCampaign),OR(fTeam="All",$B85=fTeam),OR(fChannel="All",$F85=fChannel),OR(fMonth="All",$AH85=fMonth),OR(fTStatus="All",$M85=fTStatus)),1,0))</f>
        <v>0</v>
      </c>
      <c r="AJ85" s="71">
        <f>IF($G85="",0,IF(AND(OR(fClient="All",$C85=fClient),OR(fCampaign="All",$D85=fCampaign),OR(fTeam="All",$B85=fTeam),OR(fChannel="All",$F85=fChannel)),1,0))</f>
        <v>0</v>
      </c>
      <c r="AK85" s="71">
        <f>IF($G85="",0,IF(OR($M85="Completed",$M85="Cancelled"),0,1))</f>
        <v>0</v>
      </c>
      <c r="AL85" s="71">
        <f>IF(AND($AK85=1,ISNUMBER($L85)),IF($L85&lt;ReportDate,1,0),0)</f>
        <v>0</v>
      </c>
      <c r="AM85" s="71">
        <f>IF(AND($G85&lt;&gt;"",$M85="Blocked"),1,0)</f>
        <v>0</v>
      </c>
      <c r="AN85" s="71">
        <f>IF(AND($AK85=1,ISNUMBER($L85)),IF($L85=ReportDate,1,0),0)</f>
        <v>0</v>
      </c>
      <c r="AO85" s="71">
        <f>IF(AND($AK85=1,ISNUMBER($L85)),IF($L85=ReportDate+1,1,0),0)</f>
        <v>0</v>
      </c>
      <c r="AP85" s="71">
        <f>IF(AND($AK85=1,ISNUMBER($L85)),IF(AND($L85&gt;=ReportDate,$L85&lt;=ReportDate+DueSoonDays),1,0),0)</f>
        <v>0</v>
      </c>
      <c r="AQ85" s="71">
        <f>IF(AND($AK85=1,OR($I85="Critical",$I85="High")),1,0)</f>
        <v>0</v>
      </c>
      <c r="AR85" s="71">
        <f>IF($AK85=1,IF(ISNUMBER($Y85),IF(ReportDate-$Y85&gt;StaleDays,1,0),1),0)</f>
        <v>0</v>
      </c>
      <c r="AS85" s="71">
        <f>IF(AND($G85&lt;&gt;"",ISNUMBER($Q85),ISNUMBER($R85)),IF(AND($Q85&lt;$R85,OR($M85="Completed",AND(ISNUMBER($L85),$L85&lt;ReportDate))),1,0),0)</f>
        <v>0</v>
      </c>
      <c r="AT85" s="71">
        <f>IF($AK85=1,IF(OR($L85=ReportDate,$W85=ReportDate,$K85=ReportDate,$A85=ReportDate),1,0),0)</f>
        <v>0</v>
      </c>
      <c r="AU85" s="71">
        <f>IF($AK85=1,IF(OR($L85=ReportDate+1,$W85=ReportDate+1,$K85=ReportDate+1,$A85=ReportDate+1),1,0),0)</f>
        <v>0</v>
      </c>
      <c r="AV85" s="71">
        <f>IF(AND($G85&lt;&gt;"",$M85="Completed"),IF(OR($Y85=ReportDate-1,$A85=ReportDate-1),1,0),0)</f>
        <v>0</v>
      </c>
      <c r="AW85" s="71">
        <f>IF(AND($AK85=1,$Z85="Yes"),1,0)</f>
        <v>0</v>
      </c>
      <c r="AX85" s="71">
        <f>IF(AND($AK85=1,$AA85="Yes"),1,0)</f>
        <v>0</v>
      </c>
      <c r="AY85" s="71">
        <f>IF(AND($AM85=1,OR($I85="Critical",$I85="High")),1,0)</f>
        <v>0</v>
      </c>
      <c r="AZ85" s="71">
        <f>IF(AND($AK85=1,OR($C85=TCL_Client,$C85=MECCA_Client)),1,0)</f>
        <v>0</v>
      </c>
      <c r="BA85" s="71" t="str">
        <f>IF($G85="","",IFERROR(MATCH($I85,lst_Priority,0),5))</f>
        <v/>
      </c>
      <c r="BB85" s="71" t="str">
        <f>IF(AND($AL85=1,$AJ85=1),$BA85*100000+ROW(),"")</f>
        <v/>
      </c>
      <c r="BC85" s="71" t="str">
        <f>IF(AND($AM85=1,$AJ85=1),$BA85*100000+ROW(),"")</f>
        <v/>
      </c>
      <c r="BD85" s="71" t="str">
        <f>IF(AND($AP85=1,$AJ85=1),$BA85*100000+ROW(),"")</f>
        <v/>
      </c>
      <c r="BE85" s="71" t="str">
        <f>IF(AND($AT85=1,$AJ85=1),$BA85*100000+ROW(),"")</f>
        <v/>
      </c>
      <c r="BF85" s="71" t="str">
        <f>IF(AND($AU85=1,$AJ85=1),$BA85*100000+ROW(),"")</f>
        <v/>
      </c>
      <c r="BG85" s="71" t="str">
        <f>IF(AND($AV85=1,$AJ85=1),$BA85*100000+ROW(),"")</f>
        <v/>
      </c>
      <c r="BH85" s="71" t="str">
        <f>IF(AND($AW85=1,$AJ85=1),$BA85*100000+ROW(),"")</f>
        <v/>
      </c>
      <c r="BI85" s="71" t="str">
        <f>IF(AND($AX85=1,$AJ85=1),$BA85*100000+ROW(),"")</f>
        <v/>
      </c>
      <c r="BJ85" s="71" t="str">
        <f>IF(AND($AS85=1,$AJ85=1),$BA85*100000+ROW(),"")</f>
        <v/>
      </c>
      <c r="BK85" s="71" t="str">
        <f>IF(AND($AY85=1,$AJ85=1),$BA85*100000+ROW(),"")</f>
        <v/>
      </c>
      <c r="BL85" s="71" t="str">
        <f>IF(AND($AZ85=1),$BA85*100000+ROW(),"")</f>
        <v/>
      </c>
    </row>
    <row r="86">
      <c r="A86" s="63" t="n"/>
      <c r="B86" s="64" t="n"/>
      <c r="C86" s="64" t="n"/>
      <c r="D86" s="64" t="n"/>
      <c r="E86" s="64" t="n"/>
      <c r="F86" s="64" t="n"/>
      <c r="G86" s="65" t="n"/>
      <c r="H86" s="65" t="n"/>
      <c r="I86" s="64" t="n"/>
      <c r="J86" s="64" t="n"/>
      <c r="K86" s="63" t="n"/>
      <c r="L86" s="63" t="n"/>
      <c r="M86" s="64" t="n"/>
      <c r="N86" s="66" t="n"/>
      <c r="O86" s="65" t="n"/>
      <c r="P86" s="64" t="n"/>
      <c r="Q86" s="67" t="n"/>
      <c r="R86" s="67" t="n"/>
      <c r="S86" s="68" t="str">
        <f>IF(AND(ISNUMBER($Q86),ISNUMBER($R86)),$Q86-$R86,"")</f>
        <v/>
      </c>
      <c r="T86" s="65" t="n"/>
      <c r="U86" s="64" t="n"/>
      <c r="V86" s="65" t="n"/>
      <c r="W86" s="63" t="n"/>
      <c r="X86" s="65" t="n"/>
      <c r="Y86" s="63" t="n"/>
      <c r="Z86" s="64" t="n"/>
      <c r="AA86" s="64" t="n"/>
      <c r="AB86" s="65" t="n"/>
      <c r="AC86" s="69" t="str">
        <f>IF(OR($G86="",NOT(ISNUMBER($K86)),$AK86=0),"",MAX(0,ReportDate-$K86))</f>
        <v/>
      </c>
      <c r="AD86" s="69" t="str">
        <f>IF($G86="","",IF($AL86=1,ReportDate-$L86,0))</f>
        <v/>
      </c>
      <c r="AE86" s="70" t="str">
        <f>IF($G86="","",IF($M86="Completed",1,IF(ISNUMBER($N86),$N86,0)))</f>
        <v/>
      </c>
      <c r="AF86" s="70" t="str">
        <f>IF(AND(ISNUMBER($Q86),ISNUMBER($R86)),IF($R86&lt;&gt;0,$Q86/$R86,""),"")</f>
        <v/>
      </c>
      <c r="AG86" s="71" t="str">
        <f>IF($G86="","",IF($AL86=1,"OVERDUE",IF($AM86=1,"BLOCKED",IF($AN86=1,"DUE TODAY",IF($AO86=1,"DUE TOMORROW",IF($AQ86=1,"HIGH PRIORITY",IF($AR86=1,"NO RECENT UPDATE",""))))))) </f>
        <v/>
      </c>
      <c r="AH86" s="71" t="str">
        <f>IF($G86="","",IF(ISNUMBER($A86),IF(ISNUMBER($A86),YEAR($A86)&amp;"-"&amp;TEXT(MONTH($A86),"00"),""),IF(ISNUMBER($L86),IF(ISNUMBER($L86),YEAR($L86)&amp;"-"&amp;TEXT(MONTH($L86),"00"),""),"")))</f>
        <v/>
      </c>
      <c r="AI86" s="71">
        <f>IF($G86="",0,IF(AND(OR(fClient="All",$C86=fClient),OR(fCampaign="All",$D86=fCampaign),OR(fTeam="All",$B86=fTeam),OR(fChannel="All",$F86=fChannel),OR(fMonth="All",$AH86=fMonth),OR(fTStatus="All",$M86=fTStatus)),1,0))</f>
        <v>0</v>
      </c>
      <c r="AJ86" s="71">
        <f>IF($G86="",0,IF(AND(OR(fClient="All",$C86=fClient),OR(fCampaign="All",$D86=fCampaign),OR(fTeam="All",$B86=fTeam),OR(fChannel="All",$F86=fChannel)),1,0))</f>
        <v>0</v>
      </c>
      <c r="AK86" s="71">
        <f>IF($G86="",0,IF(OR($M86="Completed",$M86="Cancelled"),0,1))</f>
        <v>0</v>
      </c>
      <c r="AL86" s="71">
        <f>IF(AND($AK86=1,ISNUMBER($L86)),IF($L86&lt;ReportDate,1,0),0)</f>
        <v>0</v>
      </c>
      <c r="AM86" s="71">
        <f>IF(AND($G86&lt;&gt;"",$M86="Blocked"),1,0)</f>
        <v>0</v>
      </c>
      <c r="AN86" s="71">
        <f>IF(AND($AK86=1,ISNUMBER($L86)),IF($L86=ReportDate,1,0),0)</f>
        <v>0</v>
      </c>
      <c r="AO86" s="71">
        <f>IF(AND($AK86=1,ISNUMBER($L86)),IF($L86=ReportDate+1,1,0),0)</f>
        <v>0</v>
      </c>
      <c r="AP86" s="71">
        <f>IF(AND($AK86=1,ISNUMBER($L86)),IF(AND($L86&gt;=ReportDate,$L86&lt;=ReportDate+DueSoonDays),1,0),0)</f>
        <v>0</v>
      </c>
      <c r="AQ86" s="71">
        <f>IF(AND($AK86=1,OR($I86="Critical",$I86="High")),1,0)</f>
        <v>0</v>
      </c>
      <c r="AR86" s="71">
        <f>IF($AK86=1,IF(ISNUMBER($Y86),IF(ReportDate-$Y86&gt;StaleDays,1,0),1),0)</f>
        <v>0</v>
      </c>
      <c r="AS86" s="71">
        <f>IF(AND($G86&lt;&gt;"",ISNUMBER($Q86),ISNUMBER($R86)),IF(AND($Q86&lt;$R86,OR($M86="Completed",AND(ISNUMBER($L86),$L86&lt;ReportDate))),1,0),0)</f>
        <v>0</v>
      </c>
      <c r="AT86" s="71">
        <f>IF($AK86=1,IF(OR($L86=ReportDate,$W86=ReportDate,$K86=ReportDate,$A86=ReportDate),1,0),0)</f>
        <v>0</v>
      </c>
      <c r="AU86" s="71">
        <f>IF($AK86=1,IF(OR($L86=ReportDate+1,$W86=ReportDate+1,$K86=ReportDate+1,$A86=ReportDate+1),1,0),0)</f>
        <v>0</v>
      </c>
      <c r="AV86" s="71">
        <f>IF(AND($G86&lt;&gt;"",$M86="Completed"),IF(OR($Y86=ReportDate-1,$A86=ReportDate-1),1,0),0)</f>
        <v>0</v>
      </c>
      <c r="AW86" s="71">
        <f>IF(AND($AK86=1,$Z86="Yes"),1,0)</f>
        <v>0</v>
      </c>
      <c r="AX86" s="71">
        <f>IF(AND($AK86=1,$AA86="Yes"),1,0)</f>
        <v>0</v>
      </c>
      <c r="AY86" s="71">
        <f>IF(AND($AM86=1,OR($I86="Critical",$I86="High")),1,0)</f>
        <v>0</v>
      </c>
      <c r="AZ86" s="71">
        <f>IF(AND($AK86=1,OR($C86=TCL_Client,$C86=MECCA_Client)),1,0)</f>
        <v>0</v>
      </c>
      <c r="BA86" s="71" t="str">
        <f>IF($G86="","",IFERROR(MATCH($I86,lst_Priority,0),5))</f>
        <v/>
      </c>
      <c r="BB86" s="71" t="str">
        <f>IF(AND($AL86=1,$AJ86=1),$BA86*100000+ROW(),"")</f>
        <v/>
      </c>
      <c r="BC86" s="71" t="str">
        <f>IF(AND($AM86=1,$AJ86=1),$BA86*100000+ROW(),"")</f>
        <v/>
      </c>
      <c r="BD86" s="71" t="str">
        <f>IF(AND($AP86=1,$AJ86=1),$BA86*100000+ROW(),"")</f>
        <v/>
      </c>
      <c r="BE86" s="71" t="str">
        <f>IF(AND($AT86=1,$AJ86=1),$BA86*100000+ROW(),"")</f>
        <v/>
      </c>
      <c r="BF86" s="71" t="str">
        <f>IF(AND($AU86=1,$AJ86=1),$BA86*100000+ROW(),"")</f>
        <v/>
      </c>
      <c r="BG86" s="71" t="str">
        <f>IF(AND($AV86=1,$AJ86=1),$BA86*100000+ROW(),"")</f>
        <v/>
      </c>
      <c r="BH86" s="71" t="str">
        <f>IF(AND($AW86=1,$AJ86=1),$BA86*100000+ROW(),"")</f>
        <v/>
      </c>
      <c r="BI86" s="71" t="str">
        <f>IF(AND($AX86=1,$AJ86=1),$BA86*100000+ROW(),"")</f>
        <v/>
      </c>
      <c r="BJ86" s="71" t="str">
        <f>IF(AND($AS86=1,$AJ86=1),$BA86*100000+ROW(),"")</f>
        <v/>
      </c>
      <c r="BK86" s="71" t="str">
        <f>IF(AND($AY86=1,$AJ86=1),$BA86*100000+ROW(),"")</f>
        <v/>
      </c>
      <c r="BL86" s="71" t="str">
        <f>IF(AND($AZ86=1),$BA86*100000+ROW(),"")</f>
        <v/>
      </c>
    </row>
    <row r="87">
      <c r="A87" s="63" t="n"/>
      <c r="B87" s="64" t="n"/>
      <c r="C87" s="64" t="n"/>
      <c r="D87" s="64" t="n"/>
      <c r="E87" s="64" t="n"/>
      <c r="F87" s="64" t="n"/>
      <c r="G87" s="65" t="n"/>
      <c r="H87" s="65" t="n"/>
      <c r="I87" s="64" t="n"/>
      <c r="J87" s="64" t="n"/>
      <c r="K87" s="63" t="n"/>
      <c r="L87" s="63" t="n"/>
      <c r="M87" s="64" t="n"/>
      <c r="N87" s="66" t="n"/>
      <c r="O87" s="65" t="n"/>
      <c r="P87" s="64" t="n"/>
      <c r="Q87" s="67" t="n"/>
      <c r="R87" s="67" t="n"/>
      <c r="S87" s="68" t="str">
        <f>IF(AND(ISNUMBER($Q87),ISNUMBER($R87)),$Q87-$R87,"")</f>
        <v/>
      </c>
      <c r="T87" s="65" t="n"/>
      <c r="U87" s="64" t="n"/>
      <c r="V87" s="65" t="n"/>
      <c r="W87" s="63" t="n"/>
      <c r="X87" s="65" t="n"/>
      <c r="Y87" s="63" t="n"/>
      <c r="Z87" s="64" t="n"/>
      <c r="AA87" s="64" t="n"/>
      <c r="AB87" s="65" t="n"/>
      <c r="AC87" s="69" t="str">
        <f>IF(OR($G87="",NOT(ISNUMBER($K87)),$AK87=0),"",MAX(0,ReportDate-$K87))</f>
        <v/>
      </c>
      <c r="AD87" s="69" t="str">
        <f>IF($G87="","",IF($AL87=1,ReportDate-$L87,0))</f>
        <v/>
      </c>
      <c r="AE87" s="70" t="str">
        <f>IF($G87="","",IF($M87="Completed",1,IF(ISNUMBER($N87),$N87,0)))</f>
        <v/>
      </c>
      <c r="AF87" s="70" t="str">
        <f>IF(AND(ISNUMBER($Q87),ISNUMBER($R87)),IF($R87&lt;&gt;0,$Q87/$R87,""),"")</f>
        <v/>
      </c>
      <c r="AG87" s="71" t="str">
        <f>IF($G87="","",IF($AL87=1,"OVERDUE",IF($AM87=1,"BLOCKED",IF($AN87=1,"DUE TODAY",IF($AO87=1,"DUE TOMORROW",IF($AQ87=1,"HIGH PRIORITY",IF($AR87=1,"NO RECENT UPDATE",""))))))) </f>
        <v/>
      </c>
      <c r="AH87" s="71" t="str">
        <f>IF($G87="","",IF(ISNUMBER($A87),IF(ISNUMBER($A87),YEAR($A87)&amp;"-"&amp;TEXT(MONTH($A87),"00"),""),IF(ISNUMBER($L87),IF(ISNUMBER($L87),YEAR($L87)&amp;"-"&amp;TEXT(MONTH($L87),"00"),""),"")))</f>
        <v/>
      </c>
      <c r="AI87" s="71">
        <f>IF($G87="",0,IF(AND(OR(fClient="All",$C87=fClient),OR(fCampaign="All",$D87=fCampaign),OR(fTeam="All",$B87=fTeam),OR(fChannel="All",$F87=fChannel),OR(fMonth="All",$AH87=fMonth),OR(fTStatus="All",$M87=fTStatus)),1,0))</f>
        <v>0</v>
      </c>
      <c r="AJ87" s="71">
        <f>IF($G87="",0,IF(AND(OR(fClient="All",$C87=fClient),OR(fCampaign="All",$D87=fCampaign),OR(fTeam="All",$B87=fTeam),OR(fChannel="All",$F87=fChannel)),1,0))</f>
        <v>0</v>
      </c>
      <c r="AK87" s="71">
        <f>IF($G87="",0,IF(OR($M87="Completed",$M87="Cancelled"),0,1))</f>
        <v>0</v>
      </c>
      <c r="AL87" s="71">
        <f>IF(AND($AK87=1,ISNUMBER($L87)),IF($L87&lt;ReportDate,1,0),0)</f>
        <v>0</v>
      </c>
      <c r="AM87" s="71">
        <f>IF(AND($G87&lt;&gt;"",$M87="Blocked"),1,0)</f>
        <v>0</v>
      </c>
      <c r="AN87" s="71">
        <f>IF(AND($AK87=1,ISNUMBER($L87)),IF($L87=ReportDate,1,0),0)</f>
        <v>0</v>
      </c>
      <c r="AO87" s="71">
        <f>IF(AND($AK87=1,ISNUMBER($L87)),IF($L87=ReportDate+1,1,0),0)</f>
        <v>0</v>
      </c>
      <c r="AP87" s="71">
        <f>IF(AND($AK87=1,ISNUMBER($L87)),IF(AND($L87&gt;=ReportDate,$L87&lt;=ReportDate+DueSoonDays),1,0),0)</f>
        <v>0</v>
      </c>
      <c r="AQ87" s="71">
        <f>IF(AND($AK87=1,OR($I87="Critical",$I87="High")),1,0)</f>
        <v>0</v>
      </c>
      <c r="AR87" s="71">
        <f>IF($AK87=1,IF(ISNUMBER($Y87),IF(ReportDate-$Y87&gt;StaleDays,1,0),1),0)</f>
        <v>0</v>
      </c>
      <c r="AS87" s="71">
        <f>IF(AND($G87&lt;&gt;"",ISNUMBER($Q87),ISNUMBER($R87)),IF(AND($Q87&lt;$R87,OR($M87="Completed",AND(ISNUMBER($L87),$L87&lt;ReportDate))),1,0),0)</f>
        <v>0</v>
      </c>
      <c r="AT87" s="71">
        <f>IF($AK87=1,IF(OR($L87=ReportDate,$W87=ReportDate,$K87=ReportDate,$A87=ReportDate),1,0),0)</f>
        <v>0</v>
      </c>
      <c r="AU87" s="71">
        <f>IF($AK87=1,IF(OR($L87=ReportDate+1,$W87=ReportDate+1,$K87=ReportDate+1,$A87=ReportDate+1),1,0),0)</f>
        <v>0</v>
      </c>
      <c r="AV87" s="71">
        <f>IF(AND($G87&lt;&gt;"",$M87="Completed"),IF(OR($Y87=ReportDate-1,$A87=ReportDate-1),1,0),0)</f>
        <v>0</v>
      </c>
      <c r="AW87" s="71">
        <f>IF(AND($AK87=1,$Z87="Yes"),1,0)</f>
        <v>0</v>
      </c>
      <c r="AX87" s="71">
        <f>IF(AND($AK87=1,$AA87="Yes"),1,0)</f>
        <v>0</v>
      </c>
      <c r="AY87" s="71">
        <f>IF(AND($AM87=1,OR($I87="Critical",$I87="High")),1,0)</f>
        <v>0</v>
      </c>
      <c r="AZ87" s="71">
        <f>IF(AND($AK87=1,OR($C87=TCL_Client,$C87=MECCA_Client)),1,0)</f>
        <v>0</v>
      </c>
      <c r="BA87" s="71" t="str">
        <f>IF($G87="","",IFERROR(MATCH($I87,lst_Priority,0),5))</f>
        <v/>
      </c>
      <c r="BB87" s="71" t="str">
        <f>IF(AND($AL87=1,$AJ87=1),$BA87*100000+ROW(),"")</f>
        <v/>
      </c>
      <c r="BC87" s="71" t="str">
        <f>IF(AND($AM87=1,$AJ87=1),$BA87*100000+ROW(),"")</f>
        <v/>
      </c>
      <c r="BD87" s="71" t="str">
        <f>IF(AND($AP87=1,$AJ87=1),$BA87*100000+ROW(),"")</f>
        <v/>
      </c>
      <c r="BE87" s="71" t="str">
        <f>IF(AND($AT87=1,$AJ87=1),$BA87*100000+ROW(),"")</f>
        <v/>
      </c>
      <c r="BF87" s="71" t="str">
        <f>IF(AND($AU87=1,$AJ87=1),$BA87*100000+ROW(),"")</f>
        <v/>
      </c>
      <c r="BG87" s="71" t="str">
        <f>IF(AND($AV87=1,$AJ87=1),$BA87*100000+ROW(),"")</f>
        <v/>
      </c>
      <c r="BH87" s="71" t="str">
        <f>IF(AND($AW87=1,$AJ87=1),$BA87*100000+ROW(),"")</f>
        <v/>
      </c>
      <c r="BI87" s="71" t="str">
        <f>IF(AND($AX87=1,$AJ87=1),$BA87*100000+ROW(),"")</f>
        <v/>
      </c>
      <c r="BJ87" s="71" t="str">
        <f>IF(AND($AS87=1,$AJ87=1),$BA87*100000+ROW(),"")</f>
        <v/>
      </c>
      <c r="BK87" s="71" t="str">
        <f>IF(AND($AY87=1,$AJ87=1),$BA87*100000+ROW(),"")</f>
        <v/>
      </c>
      <c r="BL87" s="71" t="str">
        <f>IF(AND($AZ87=1),$BA87*100000+ROW(),"")</f>
        <v/>
      </c>
    </row>
    <row r="88">
      <c r="A88" s="63" t="n"/>
      <c r="B88" s="64" t="n"/>
      <c r="C88" s="64" t="n"/>
      <c r="D88" s="64" t="n"/>
      <c r="E88" s="64" t="n"/>
      <c r="F88" s="64" t="n"/>
      <c r="G88" s="65" t="n"/>
      <c r="H88" s="65" t="n"/>
      <c r="I88" s="64" t="n"/>
      <c r="J88" s="64" t="n"/>
      <c r="K88" s="63" t="n"/>
      <c r="L88" s="63" t="n"/>
      <c r="M88" s="64" t="n"/>
      <c r="N88" s="66" t="n"/>
      <c r="O88" s="65" t="n"/>
      <c r="P88" s="64" t="n"/>
      <c r="Q88" s="67" t="n"/>
      <c r="R88" s="67" t="n"/>
      <c r="S88" s="68" t="str">
        <f>IF(AND(ISNUMBER($Q88),ISNUMBER($R88)),$Q88-$R88,"")</f>
        <v/>
      </c>
      <c r="T88" s="65" t="n"/>
      <c r="U88" s="64" t="n"/>
      <c r="V88" s="65" t="n"/>
      <c r="W88" s="63" t="n"/>
      <c r="X88" s="65" t="n"/>
      <c r="Y88" s="63" t="n"/>
      <c r="Z88" s="64" t="n"/>
      <c r="AA88" s="64" t="n"/>
      <c r="AB88" s="65" t="n"/>
      <c r="AC88" s="69" t="str">
        <f>IF(OR($G88="",NOT(ISNUMBER($K88)),$AK88=0),"",MAX(0,ReportDate-$K88))</f>
        <v/>
      </c>
      <c r="AD88" s="69" t="str">
        <f>IF($G88="","",IF($AL88=1,ReportDate-$L88,0))</f>
        <v/>
      </c>
      <c r="AE88" s="70" t="str">
        <f>IF($G88="","",IF($M88="Completed",1,IF(ISNUMBER($N88),$N88,0)))</f>
        <v/>
      </c>
      <c r="AF88" s="70" t="str">
        <f>IF(AND(ISNUMBER($Q88),ISNUMBER($R88)),IF($R88&lt;&gt;0,$Q88/$R88,""),"")</f>
        <v/>
      </c>
      <c r="AG88" s="71" t="str">
        <f>IF($G88="","",IF($AL88=1,"OVERDUE",IF($AM88=1,"BLOCKED",IF($AN88=1,"DUE TODAY",IF($AO88=1,"DUE TOMORROW",IF($AQ88=1,"HIGH PRIORITY",IF($AR88=1,"NO RECENT UPDATE",""))))))) </f>
        <v/>
      </c>
      <c r="AH88" s="71" t="str">
        <f>IF($G88="","",IF(ISNUMBER($A88),IF(ISNUMBER($A88),YEAR($A88)&amp;"-"&amp;TEXT(MONTH($A88),"00"),""),IF(ISNUMBER($L88),IF(ISNUMBER($L88),YEAR($L88)&amp;"-"&amp;TEXT(MONTH($L88),"00"),""),"")))</f>
        <v/>
      </c>
      <c r="AI88" s="71">
        <f>IF($G88="",0,IF(AND(OR(fClient="All",$C88=fClient),OR(fCampaign="All",$D88=fCampaign),OR(fTeam="All",$B88=fTeam),OR(fChannel="All",$F88=fChannel),OR(fMonth="All",$AH88=fMonth),OR(fTStatus="All",$M88=fTStatus)),1,0))</f>
        <v>0</v>
      </c>
      <c r="AJ88" s="71">
        <f>IF($G88="",0,IF(AND(OR(fClient="All",$C88=fClient),OR(fCampaign="All",$D88=fCampaign),OR(fTeam="All",$B88=fTeam),OR(fChannel="All",$F88=fChannel)),1,0))</f>
        <v>0</v>
      </c>
      <c r="AK88" s="71">
        <f>IF($G88="",0,IF(OR($M88="Completed",$M88="Cancelled"),0,1))</f>
        <v>0</v>
      </c>
      <c r="AL88" s="71">
        <f>IF(AND($AK88=1,ISNUMBER($L88)),IF($L88&lt;ReportDate,1,0),0)</f>
        <v>0</v>
      </c>
      <c r="AM88" s="71">
        <f>IF(AND($G88&lt;&gt;"",$M88="Blocked"),1,0)</f>
        <v>0</v>
      </c>
      <c r="AN88" s="71">
        <f>IF(AND($AK88=1,ISNUMBER($L88)),IF($L88=ReportDate,1,0),0)</f>
        <v>0</v>
      </c>
      <c r="AO88" s="71">
        <f>IF(AND($AK88=1,ISNUMBER($L88)),IF($L88=ReportDate+1,1,0),0)</f>
        <v>0</v>
      </c>
      <c r="AP88" s="71">
        <f>IF(AND($AK88=1,ISNUMBER($L88)),IF(AND($L88&gt;=ReportDate,$L88&lt;=ReportDate+DueSoonDays),1,0),0)</f>
        <v>0</v>
      </c>
      <c r="AQ88" s="71">
        <f>IF(AND($AK88=1,OR($I88="Critical",$I88="High")),1,0)</f>
        <v>0</v>
      </c>
      <c r="AR88" s="71">
        <f>IF($AK88=1,IF(ISNUMBER($Y88),IF(ReportDate-$Y88&gt;StaleDays,1,0),1),0)</f>
        <v>0</v>
      </c>
      <c r="AS88" s="71">
        <f>IF(AND($G88&lt;&gt;"",ISNUMBER($Q88),ISNUMBER($R88)),IF(AND($Q88&lt;$R88,OR($M88="Completed",AND(ISNUMBER($L88),$L88&lt;ReportDate))),1,0),0)</f>
        <v>0</v>
      </c>
      <c r="AT88" s="71">
        <f>IF($AK88=1,IF(OR($L88=ReportDate,$W88=ReportDate,$K88=ReportDate,$A88=ReportDate),1,0),0)</f>
        <v>0</v>
      </c>
      <c r="AU88" s="71">
        <f>IF($AK88=1,IF(OR($L88=ReportDate+1,$W88=ReportDate+1,$K88=ReportDate+1,$A88=ReportDate+1),1,0),0)</f>
        <v>0</v>
      </c>
      <c r="AV88" s="71">
        <f>IF(AND($G88&lt;&gt;"",$M88="Completed"),IF(OR($Y88=ReportDate-1,$A88=ReportDate-1),1,0),0)</f>
        <v>0</v>
      </c>
      <c r="AW88" s="71">
        <f>IF(AND($AK88=1,$Z88="Yes"),1,0)</f>
        <v>0</v>
      </c>
      <c r="AX88" s="71">
        <f>IF(AND($AK88=1,$AA88="Yes"),1,0)</f>
        <v>0</v>
      </c>
      <c r="AY88" s="71">
        <f>IF(AND($AM88=1,OR($I88="Critical",$I88="High")),1,0)</f>
        <v>0</v>
      </c>
      <c r="AZ88" s="71">
        <f>IF(AND($AK88=1,OR($C88=TCL_Client,$C88=MECCA_Client)),1,0)</f>
        <v>0</v>
      </c>
      <c r="BA88" s="71" t="str">
        <f>IF($G88="","",IFERROR(MATCH($I88,lst_Priority,0),5))</f>
        <v/>
      </c>
      <c r="BB88" s="71" t="str">
        <f>IF(AND($AL88=1,$AJ88=1),$BA88*100000+ROW(),"")</f>
        <v/>
      </c>
      <c r="BC88" s="71" t="str">
        <f>IF(AND($AM88=1,$AJ88=1),$BA88*100000+ROW(),"")</f>
        <v/>
      </c>
      <c r="BD88" s="71" t="str">
        <f>IF(AND($AP88=1,$AJ88=1),$BA88*100000+ROW(),"")</f>
        <v/>
      </c>
      <c r="BE88" s="71" t="str">
        <f>IF(AND($AT88=1,$AJ88=1),$BA88*100000+ROW(),"")</f>
        <v/>
      </c>
      <c r="BF88" s="71" t="str">
        <f>IF(AND($AU88=1,$AJ88=1),$BA88*100000+ROW(),"")</f>
        <v/>
      </c>
      <c r="BG88" s="71" t="str">
        <f>IF(AND($AV88=1,$AJ88=1),$BA88*100000+ROW(),"")</f>
        <v/>
      </c>
      <c r="BH88" s="71" t="str">
        <f>IF(AND($AW88=1,$AJ88=1),$BA88*100000+ROW(),"")</f>
        <v/>
      </c>
      <c r="BI88" s="71" t="str">
        <f>IF(AND($AX88=1,$AJ88=1),$BA88*100000+ROW(),"")</f>
        <v/>
      </c>
      <c r="BJ88" s="71" t="str">
        <f>IF(AND($AS88=1,$AJ88=1),$BA88*100000+ROW(),"")</f>
        <v/>
      </c>
      <c r="BK88" s="71" t="str">
        <f>IF(AND($AY88=1,$AJ88=1),$BA88*100000+ROW(),"")</f>
        <v/>
      </c>
      <c r="BL88" s="71" t="str">
        <f>IF(AND($AZ88=1),$BA88*100000+ROW(),"")</f>
        <v/>
      </c>
    </row>
    <row r="89">
      <c r="A89" s="63" t="n"/>
      <c r="B89" s="64" t="n"/>
      <c r="C89" s="64" t="n"/>
      <c r="D89" s="64" t="n"/>
      <c r="E89" s="64" t="n"/>
      <c r="F89" s="64" t="n"/>
      <c r="G89" s="65" t="n"/>
      <c r="H89" s="65" t="n"/>
      <c r="I89" s="64" t="n"/>
      <c r="J89" s="64" t="n"/>
      <c r="K89" s="63" t="n"/>
      <c r="L89" s="63" t="n"/>
      <c r="M89" s="64" t="n"/>
      <c r="N89" s="66" t="n"/>
      <c r="O89" s="65" t="n"/>
      <c r="P89" s="64" t="n"/>
      <c r="Q89" s="67" t="n"/>
      <c r="R89" s="67" t="n"/>
      <c r="S89" s="68" t="str">
        <f>IF(AND(ISNUMBER($Q89),ISNUMBER($R89)),$Q89-$R89,"")</f>
        <v/>
      </c>
      <c r="T89" s="65" t="n"/>
      <c r="U89" s="64" t="n"/>
      <c r="V89" s="65" t="n"/>
      <c r="W89" s="63" t="n"/>
      <c r="X89" s="65" t="n"/>
      <c r="Y89" s="63" t="n"/>
      <c r="Z89" s="64" t="n"/>
      <c r="AA89" s="64" t="n"/>
      <c r="AB89" s="65" t="n"/>
      <c r="AC89" s="69" t="str">
        <f>IF(OR($G89="",NOT(ISNUMBER($K89)),$AK89=0),"",MAX(0,ReportDate-$K89))</f>
        <v/>
      </c>
      <c r="AD89" s="69" t="str">
        <f>IF($G89="","",IF($AL89=1,ReportDate-$L89,0))</f>
        <v/>
      </c>
      <c r="AE89" s="70" t="str">
        <f>IF($G89="","",IF($M89="Completed",1,IF(ISNUMBER($N89),$N89,0)))</f>
        <v/>
      </c>
      <c r="AF89" s="70" t="str">
        <f>IF(AND(ISNUMBER($Q89),ISNUMBER($R89)),IF($R89&lt;&gt;0,$Q89/$R89,""),"")</f>
        <v/>
      </c>
      <c r="AG89" s="71" t="str">
        <f>IF($G89="","",IF($AL89=1,"OVERDUE",IF($AM89=1,"BLOCKED",IF($AN89=1,"DUE TODAY",IF($AO89=1,"DUE TOMORROW",IF($AQ89=1,"HIGH PRIORITY",IF($AR89=1,"NO RECENT UPDATE",""))))))) </f>
        <v/>
      </c>
      <c r="AH89" s="71" t="str">
        <f>IF($G89="","",IF(ISNUMBER($A89),IF(ISNUMBER($A89),YEAR($A89)&amp;"-"&amp;TEXT(MONTH($A89),"00"),""),IF(ISNUMBER($L89),IF(ISNUMBER($L89),YEAR($L89)&amp;"-"&amp;TEXT(MONTH($L89),"00"),""),"")))</f>
        <v/>
      </c>
      <c r="AI89" s="71">
        <f>IF($G89="",0,IF(AND(OR(fClient="All",$C89=fClient),OR(fCampaign="All",$D89=fCampaign),OR(fTeam="All",$B89=fTeam),OR(fChannel="All",$F89=fChannel),OR(fMonth="All",$AH89=fMonth),OR(fTStatus="All",$M89=fTStatus)),1,0))</f>
        <v>0</v>
      </c>
      <c r="AJ89" s="71">
        <f>IF($G89="",0,IF(AND(OR(fClient="All",$C89=fClient),OR(fCampaign="All",$D89=fCampaign),OR(fTeam="All",$B89=fTeam),OR(fChannel="All",$F89=fChannel)),1,0))</f>
        <v>0</v>
      </c>
      <c r="AK89" s="71">
        <f>IF($G89="",0,IF(OR($M89="Completed",$M89="Cancelled"),0,1))</f>
        <v>0</v>
      </c>
      <c r="AL89" s="71">
        <f>IF(AND($AK89=1,ISNUMBER($L89)),IF($L89&lt;ReportDate,1,0),0)</f>
        <v>0</v>
      </c>
      <c r="AM89" s="71">
        <f>IF(AND($G89&lt;&gt;"",$M89="Blocked"),1,0)</f>
        <v>0</v>
      </c>
      <c r="AN89" s="71">
        <f>IF(AND($AK89=1,ISNUMBER($L89)),IF($L89=ReportDate,1,0),0)</f>
        <v>0</v>
      </c>
      <c r="AO89" s="71">
        <f>IF(AND($AK89=1,ISNUMBER($L89)),IF($L89=ReportDate+1,1,0),0)</f>
        <v>0</v>
      </c>
      <c r="AP89" s="71">
        <f>IF(AND($AK89=1,ISNUMBER($L89)),IF(AND($L89&gt;=ReportDate,$L89&lt;=ReportDate+DueSoonDays),1,0),0)</f>
        <v>0</v>
      </c>
      <c r="AQ89" s="71">
        <f>IF(AND($AK89=1,OR($I89="Critical",$I89="High")),1,0)</f>
        <v>0</v>
      </c>
      <c r="AR89" s="71">
        <f>IF($AK89=1,IF(ISNUMBER($Y89),IF(ReportDate-$Y89&gt;StaleDays,1,0),1),0)</f>
        <v>0</v>
      </c>
      <c r="AS89" s="71">
        <f>IF(AND($G89&lt;&gt;"",ISNUMBER($Q89),ISNUMBER($R89)),IF(AND($Q89&lt;$R89,OR($M89="Completed",AND(ISNUMBER($L89),$L89&lt;ReportDate))),1,0),0)</f>
        <v>0</v>
      </c>
      <c r="AT89" s="71">
        <f>IF($AK89=1,IF(OR($L89=ReportDate,$W89=ReportDate,$K89=ReportDate,$A89=ReportDate),1,0),0)</f>
        <v>0</v>
      </c>
      <c r="AU89" s="71">
        <f>IF($AK89=1,IF(OR($L89=ReportDate+1,$W89=ReportDate+1,$K89=ReportDate+1,$A89=ReportDate+1),1,0),0)</f>
        <v>0</v>
      </c>
      <c r="AV89" s="71">
        <f>IF(AND($G89&lt;&gt;"",$M89="Completed"),IF(OR($Y89=ReportDate-1,$A89=ReportDate-1),1,0),0)</f>
        <v>0</v>
      </c>
      <c r="AW89" s="71">
        <f>IF(AND($AK89=1,$Z89="Yes"),1,0)</f>
        <v>0</v>
      </c>
      <c r="AX89" s="71">
        <f>IF(AND($AK89=1,$AA89="Yes"),1,0)</f>
        <v>0</v>
      </c>
      <c r="AY89" s="71">
        <f>IF(AND($AM89=1,OR($I89="Critical",$I89="High")),1,0)</f>
        <v>0</v>
      </c>
      <c r="AZ89" s="71">
        <f>IF(AND($AK89=1,OR($C89=TCL_Client,$C89=MECCA_Client)),1,0)</f>
        <v>0</v>
      </c>
      <c r="BA89" s="71" t="str">
        <f>IF($G89="","",IFERROR(MATCH($I89,lst_Priority,0),5))</f>
        <v/>
      </c>
      <c r="BB89" s="71" t="str">
        <f>IF(AND($AL89=1,$AJ89=1),$BA89*100000+ROW(),"")</f>
        <v/>
      </c>
      <c r="BC89" s="71" t="str">
        <f>IF(AND($AM89=1,$AJ89=1),$BA89*100000+ROW(),"")</f>
        <v/>
      </c>
      <c r="BD89" s="71" t="str">
        <f>IF(AND($AP89=1,$AJ89=1),$BA89*100000+ROW(),"")</f>
        <v/>
      </c>
      <c r="BE89" s="71" t="str">
        <f>IF(AND($AT89=1,$AJ89=1),$BA89*100000+ROW(),"")</f>
        <v/>
      </c>
      <c r="BF89" s="71" t="str">
        <f>IF(AND($AU89=1,$AJ89=1),$BA89*100000+ROW(),"")</f>
        <v/>
      </c>
      <c r="BG89" s="71" t="str">
        <f>IF(AND($AV89=1,$AJ89=1),$BA89*100000+ROW(),"")</f>
        <v/>
      </c>
      <c r="BH89" s="71" t="str">
        <f>IF(AND($AW89=1,$AJ89=1),$BA89*100000+ROW(),"")</f>
        <v/>
      </c>
      <c r="BI89" s="71" t="str">
        <f>IF(AND($AX89=1,$AJ89=1),$BA89*100000+ROW(),"")</f>
        <v/>
      </c>
      <c r="BJ89" s="71" t="str">
        <f>IF(AND($AS89=1,$AJ89=1),$BA89*100000+ROW(),"")</f>
        <v/>
      </c>
      <c r="BK89" s="71" t="str">
        <f>IF(AND($AY89=1,$AJ89=1),$BA89*100000+ROW(),"")</f>
        <v/>
      </c>
      <c r="BL89" s="71" t="str">
        <f>IF(AND($AZ89=1),$BA89*100000+ROW(),"")</f>
        <v/>
      </c>
    </row>
    <row r="90">
      <c r="A90" s="63" t="n"/>
      <c r="B90" s="64" t="n"/>
      <c r="C90" s="64" t="n"/>
      <c r="D90" s="64" t="n"/>
      <c r="E90" s="64" t="n"/>
      <c r="F90" s="64" t="n"/>
      <c r="G90" s="65" t="n"/>
      <c r="H90" s="65" t="n"/>
      <c r="I90" s="64" t="n"/>
      <c r="J90" s="64" t="n"/>
      <c r="K90" s="63" t="n"/>
      <c r="L90" s="63" t="n"/>
      <c r="M90" s="64" t="n"/>
      <c r="N90" s="66" t="n"/>
      <c r="O90" s="65" t="n"/>
      <c r="P90" s="64" t="n"/>
      <c r="Q90" s="67" t="n"/>
      <c r="R90" s="67" t="n"/>
      <c r="S90" s="68" t="str">
        <f>IF(AND(ISNUMBER($Q90),ISNUMBER($R90)),$Q90-$R90,"")</f>
        <v/>
      </c>
      <c r="T90" s="65" t="n"/>
      <c r="U90" s="64" t="n"/>
      <c r="V90" s="65" t="n"/>
      <c r="W90" s="63" t="n"/>
      <c r="X90" s="65" t="n"/>
      <c r="Y90" s="63" t="n"/>
      <c r="Z90" s="64" t="n"/>
      <c r="AA90" s="64" t="n"/>
      <c r="AB90" s="65" t="n"/>
      <c r="AC90" s="69" t="str">
        <f>IF(OR($G90="",NOT(ISNUMBER($K90)),$AK90=0),"",MAX(0,ReportDate-$K90))</f>
        <v/>
      </c>
      <c r="AD90" s="69" t="str">
        <f>IF($G90="","",IF($AL90=1,ReportDate-$L90,0))</f>
        <v/>
      </c>
      <c r="AE90" s="70" t="str">
        <f>IF($G90="","",IF($M90="Completed",1,IF(ISNUMBER($N90),$N90,0)))</f>
        <v/>
      </c>
      <c r="AF90" s="70" t="str">
        <f>IF(AND(ISNUMBER($Q90),ISNUMBER($R90)),IF($R90&lt;&gt;0,$Q90/$R90,""),"")</f>
        <v/>
      </c>
      <c r="AG90" s="71" t="str">
        <f>IF($G90="","",IF($AL90=1,"OVERDUE",IF($AM90=1,"BLOCKED",IF($AN90=1,"DUE TODAY",IF($AO90=1,"DUE TOMORROW",IF($AQ90=1,"HIGH PRIORITY",IF($AR90=1,"NO RECENT UPDATE",""))))))) </f>
        <v/>
      </c>
      <c r="AH90" s="71" t="str">
        <f>IF($G90="","",IF(ISNUMBER($A90),IF(ISNUMBER($A90),YEAR($A90)&amp;"-"&amp;TEXT(MONTH($A90),"00"),""),IF(ISNUMBER($L90),IF(ISNUMBER($L90),YEAR($L90)&amp;"-"&amp;TEXT(MONTH($L90),"00"),""),"")))</f>
        <v/>
      </c>
      <c r="AI90" s="71">
        <f>IF($G90="",0,IF(AND(OR(fClient="All",$C90=fClient),OR(fCampaign="All",$D90=fCampaign),OR(fTeam="All",$B90=fTeam),OR(fChannel="All",$F90=fChannel),OR(fMonth="All",$AH90=fMonth),OR(fTStatus="All",$M90=fTStatus)),1,0))</f>
        <v>0</v>
      </c>
      <c r="AJ90" s="71">
        <f>IF($G90="",0,IF(AND(OR(fClient="All",$C90=fClient),OR(fCampaign="All",$D90=fCampaign),OR(fTeam="All",$B90=fTeam),OR(fChannel="All",$F90=fChannel)),1,0))</f>
        <v>0</v>
      </c>
      <c r="AK90" s="71">
        <f>IF($G90="",0,IF(OR($M90="Completed",$M90="Cancelled"),0,1))</f>
        <v>0</v>
      </c>
      <c r="AL90" s="71">
        <f>IF(AND($AK90=1,ISNUMBER($L90)),IF($L90&lt;ReportDate,1,0),0)</f>
        <v>0</v>
      </c>
      <c r="AM90" s="71">
        <f>IF(AND($G90&lt;&gt;"",$M90="Blocked"),1,0)</f>
        <v>0</v>
      </c>
      <c r="AN90" s="71">
        <f>IF(AND($AK90=1,ISNUMBER($L90)),IF($L90=ReportDate,1,0),0)</f>
        <v>0</v>
      </c>
      <c r="AO90" s="71">
        <f>IF(AND($AK90=1,ISNUMBER($L90)),IF($L90=ReportDate+1,1,0),0)</f>
        <v>0</v>
      </c>
      <c r="AP90" s="71">
        <f>IF(AND($AK90=1,ISNUMBER($L90)),IF(AND($L90&gt;=ReportDate,$L90&lt;=ReportDate+DueSoonDays),1,0),0)</f>
        <v>0</v>
      </c>
      <c r="AQ90" s="71">
        <f>IF(AND($AK90=1,OR($I90="Critical",$I90="High")),1,0)</f>
        <v>0</v>
      </c>
      <c r="AR90" s="71">
        <f>IF($AK90=1,IF(ISNUMBER($Y90),IF(ReportDate-$Y90&gt;StaleDays,1,0),1),0)</f>
        <v>0</v>
      </c>
      <c r="AS90" s="71">
        <f>IF(AND($G90&lt;&gt;"",ISNUMBER($Q90),ISNUMBER($R90)),IF(AND($Q90&lt;$R90,OR($M90="Completed",AND(ISNUMBER($L90),$L90&lt;ReportDate))),1,0),0)</f>
        <v>0</v>
      </c>
      <c r="AT90" s="71">
        <f>IF($AK90=1,IF(OR($L90=ReportDate,$W90=ReportDate,$K90=ReportDate,$A90=ReportDate),1,0),0)</f>
        <v>0</v>
      </c>
      <c r="AU90" s="71">
        <f>IF($AK90=1,IF(OR($L90=ReportDate+1,$W90=ReportDate+1,$K90=ReportDate+1,$A90=ReportDate+1),1,0),0)</f>
        <v>0</v>
      </c>
      <c r="AV90" s="71">
        <f>IF(AND($G90&lt;&gt;"",$M90="Completed"),IF(OR($Y90=ReportDate-1,$A90=ReportDate-1),1,0),0)</f>
        <v>0</v>
      </c>
      <c r="AW90" s="71">
        <f>IF(AND($AK90=1,$Z90="Yes"),1,0)</f>
        <v>0</v>
      </c>
      <c r="AX90" s="71">
        <f>IF(AND($AK90=1,$AA90="Yes"),1,0)</f>
        <v>0</v>
      </c>
      <c r="AY90" s="71">
        <f>IF(AND($AM90=1,OR($I90="Critical",$I90="High")),1,0)</f>
        <v>0</v>
      </c>
      <c r="AZ90" s="71">
        <f>IF(AND($AK90=1,OR($C90=TCL_Client,$C90=MECCA_Client)),1,0)</f>
        <v>0</v>
      </c>
      <c r="BA90" s="71" t="str">
        <f>IF($G90="","",IFERROR(MATCH($I90,lst_Priority,0),5))</f>
        <v/>
      </c>
      <c r="BB90" s="71" t="str">
        <f>IF(AND($AL90=1,$AJ90=1),$BA90*100000+ROW(),"")</f>
        <v/>
      </c>
      <c r="BC90" s="71" t="str">
        <f>IF(AND($AM90=1,$AJ90=1),$BA90*100000+ROW(),"")</f>
        <v/>
      </c>
      <c r="BD90" s="71" t="str">
        <f>IF(AND($AP90=1,$AJ90=1),$BA90*100000+ROW(),"")</f>
        <v/>
      </c>
      <c r="BE90" s="71" t="str">
        <f>IF(AND($AT90=1,$AJ90=1),$BA90*100000+ROW(),"")</f>
        <v/>
      </c>
      <c r="BF90" s="71" t="str">
        <f>IF(AND($AU90=1,$AJ90=1),$BA90*100000+ROW(),"")</f>
        <v/>
      </c>
      <c r="BG90" s="71" t="str">
        <f>IF(AND($AV90=1,$AJ90=1),$BA90*100000+ROW(),"")</f>
        <v/>
      </c>
      <c r="BH90" s="71" t="str">
        <f>IF(AND($AW90=1,$AJ90=1),$BA90*100000+ROW(),"")</f>
        <v/>
      </c>
      <c r="BI90" s="71" t="str">
        <f>IF(AND($AX90=1,$AJ90=1),$BA90*100000+ROW(),"")</f>
        <v/>
      </c>
      <c r="BJ90" s="71" t="str">
        <f>IF(AND($AS90=1,$AJ90=1),$BA90*100000+ROW(),"")</f>
        <v/>
      </c>
      <c r="BK90" s="71" t="str">
        <f>IF(AND($AY90=1,$AJ90=1),$BA90*100000+ROW(),"")</f>
        <v/>
      </c>
      <c r="BL90" s="71" t="str">
        <f>IF(AND($AZ90=1),$BA90*100000+ROW(),"")</f>
        <v/>
      </c>
    </row>
    <row r="91">
      <c r="A91" s="63" t="n"/>
      <c r="B91" s="64" t="n"/>
      <c r="C91" s="64" t="n"/>
      <c r="D91" s="64" t="n"/>
      <c r="E91" s="64" t="n"/>
      <c r="F91" s="64" t="n"/>
      <c r="G91" s="65" t="n"/>
      <c r="H91" s="65" t="n"/>
      <c r="I91" s="64" t="n"/>
      <c r="J91" s="64" t="n"/>
      <c r="K91" s="63" t="n"/>
      <c r="L91" s="63" t="n"/>
      <c r="M91" s="64" t="n"/>
      <c r="N91" s="66" t="n"/>
      <c r="O91" s="65" t="n"/>
      <c r="P91" s="64" t="n"/>
      <c r="Q91" s="67" t="n"/>
      <c r="R91" s="67" t="n"/>
      <c r="S91" s="68" t="str">
        <f>IF(AND(ISNUMBER($Q91),ISNUMBER($R91)),$Q91-$R91,"")</f>
        <v/>
      </c>
      <c r="T91" s="65" t="n"/>
      <c r="U91" s="64" t="n"/>
      <c r="V91" s="65" t="n"/>
      <c r="W91" s="63" t="n"/>
      <c r="X91" s="65" t="n"/>
      <c r="Y91" s="63" t="n"/>
      <c r="Z91" s="64" t="n"/>
      <c r="AA91" s="64" t="n"/>
      <c r="AB91" s="65" t="n"/>
      <c r="AC91" s="69" t="str">
        <f>IF(OR($G91="",NOT(ISNUMBER($K91)),$AK91=0),"",MAX(0,ReportDate-$K91))</f>
        <v/>
      </c>
      <c r="AD91" s="69" t="str">
        <f>IF($G91="","",IF($AL91=1,ReportDate-$L91,0))</f>
        <v/>
      </c>
      <c r="AE91" s="70" t="str">
        <f>IF($G91="","",IF($M91="Completed",1,IF(ISNUMBER($N91),$N91,0)))</f>
        <v/>
      </c>
      <c r="AF91" s="70" t="str">
        <f>IF(AND(ISNUMBER($Q91),ISNUMBER($R91)),IF($R91&lt;&gt;0,$Q91/$R91,""),"")</f>
        <v/>
      </c>
      <c r="AG91" s="71" t="str">
        <f>IF($G91="","",IF($AL91=1,"OVERDUE",IF($AM91=1,"BLOCKED",IF($AN91=1,"DUE TODAY",IF($AO91=1,"DUE TOMORROW",IF($AQ91=1,"HIGH PRIORITY",IF($AR91=1,"NO RECENT UPDATE",""))))))) </f>
        <v/>
      </c>
      <c r="AH91" s="71" t="str">
        <f>IF($G91="","",IF(ISNUMBER($A91),IF(ISNUMBER($A91),YEAR($A91)&amp;"-"&amp;TEXT(MONTH($A91),"00"),""),IF(ISNUMBER($L91),IF(ISNUMBER($L91),YEAR($L91)&amp;"-"&amp;TEXT(MONTH($L91),"00"),""),"")))</f>
        <v/>
      </c>
      <c r="AI91" s="71">
        <f>IF($G91="",0,IF(AND(OR(fClient="All",$C91=fClient),OR(fCampaign="All",$D91=fCampaign),OR(fTeam="All",$B91=fTeam),OR(fChannel="All",$F91=fChannel),OR(fMonth="All",$AH91=fMonth),OR(fTStatus="All",$M91=fTStatus)),1,0))</f>
        <v>0</v>
      </c>
      <c r="AJ91" s="71">
        <f>IF($G91="",0,IF(AND(OR(fClient="All",$C91=fClient),OR(fCampaign="All",$D91=fCampaign),OR(fTeam="All",$B91=fTeam),OR(fChannel="All",$F91=fChannel)),1,0))</f>
        <v>0</v>
      </c>
      <c r="AK91" s="71">
        <f>IF($G91="",0,IF(OR($M91="Completed",$M91="Cancelled"),0,1))</f>
        <v>0</v>
      </c>
      <c r="AL91" s="71">
        <f>IF(AND($AK91=1,ISNUMBER($L91)),IF($L91&lt;ReportDate,1,0),0)</f>
        <v>0</v>
      </c>
      <c r="AM91" s="71">
        <f>IF(AND($G91&lt;&gt;"",$M91="Blocked"),1,0)</f>
        <v>0</v>
      </c>
      <c r="AN91" s="71">
        <f>IF(AND($AK91=1,ISNUMBER($L91)),IF($L91=ReportDate,1,0),0)</f>
        <v>0</v>
      </c>
      <c r="AO91" s="71">
        <f>IF(AND($AK91=1,ISNUMBER($L91)),IF($L91=ReportDate+1,1,0),0)</f>
        <v>0</v>
      </c>
      <c r="AP91" s="71">
        <f>IF(AND($AK91=1,ISNUMBER($L91)),IF(AND($L91&gt;=ReportDate,$L91&lt;=ReportDate+DueSoonDays),1,0),0)</f>
        <v>0</v>
      </c>
      <c r="AQ91" s="71">
        <f>IF(AND($AK91=1,OR($I91="Critical",$I91="High")),1,0)</f>
        <v>0</v>
      </c>
      <c r="AR91" s="71">
        <f>IF($AK91=1,IF(ISNUMBER($Y91),IF(ReportDate-$Y91&gt;StaleDays,1,0),1),0)</f>
        <v>0</v>
      </c>
      <c r="AS91" s="71">
        <f>IF(AND($G91&lt;&gt;"",ISNUMBER($Q91),ISNUMBER($R91)),IF(AND($Q91&lt;$R91,OR($M91="Completed",AND(ISNUMBER($L91),$L91&lt;ReportDate))),1,0),0)</f>
        <v>0</v>
      </c>
      <c r="AT91" s="71">
        <f>IF($AK91=1,IF(OR($L91=ReportDate,$W91=ReportDate,$K91=ReportDate,$A91=ReportDate),1,0),0)</f>
        <v>0</v>
      </c>
      <c r="AU91" s="71">
        <f>IF($AK91=1,IF(OR($L91=ReportDate+1,$W91=ReportDate+1,$K91=ReportDate+1,$A91=ReportDate+1),1,0),0)</f>
        <v>0</v>
      </c>
      <c r="AV91" s="71">
        <f>IF(AND($G91&lt;&gt;"",$M91="Completed"),IF(OR($Y91=ReportDate-1,$A91=ReportDate-1),1,0),0)</f>
        <v>0</v>
      </c>
      <c r="AW91" s="71">
        <f>IF(AND($AK91=1,$Z91="Yes"),1,0)</f>
        <v>0</v>
      </c>
      <c r="AX91" s="71">
        <f>IF(AND($AK91=1,$AA91="Yes"),1,0)</f>
        <v>0</v>
      </c>
      <c r="AY91" s="71">
        <f>IF(AND($AM91=1,OR($I91="Critical",$I91="High")),1,0)</f>
        <v>0</v>
      </c>
      <c r="AZ91" s="71">
        <f>IF(AND($AK91=1,OR($C91=TCL_Client,$C91=MECCA_Client)),1,0)</f>
        <v>0</v>
      </c>
      <c r="BA91" s="71" t="str">
        <f>IF($G91="","",IFERROR(MATCH($I91,lst_Priority,0),5))</f>
        <v/>
      </c>
      <c r="BB91" s="71" t="str">
        <f>IF(AND($AL91=1,$AJ91=1),$BA91*100000+ROW(),"")</f>
        <v/>
      </c>
      <c r="BC91" s="71" t="str">
        <f>IF(AND($AM91=1,$AJ91=1),$BA91*100000+ROW(),"")</f>
        <v/>
      </c>
      <c r="BD91" s="71" t="str">
        <f>IF(AND($AP91=1,$AJ91=1),$BA91*100000+ROW(),"")</f>
        <v/>
      </c>
      <c r="BE91" s="71" t="str">
        <f>IF(AND($AT91=1,$AJ91=1),$BA91*100000+ROW(),"")</f>
        <v/>
      </c>
      <c r="BF91" s="71" t="str">
        <f>IF(AND($AU91=1,$AJ91=1),$BA91*100000+ROW(),"")</f>
        <v/>
      </c>
      <c r="BG91" s="71" t="str">
        <f>IF(AND($AV91=1,$AJ91=1),$BA91*100000+ROW(),"")</f>
        <v/>
      </c>
      <c r="BH91" s="71" t="str">
        <f>IF(AND($AW91=1,$AJ91=1),$BA91*100000+ROW(),"")</f>
        <v/>
      </c>
      <c r="BI91" s="71" t="str">
        <f>IF(AND($AX91=1,$AJ91=1),$BA91*100000+ROW(),"")</f>
        <v/>
      </c>
      <c r="BJ91" s="71" t="str">
        <f>IF(AND($AS91=1,$AJ91=1),$BA91*100000+ROW(),"")</f>
        <v/>
      </c>
      <c r="BK91" s="71" t="str">
        <f>IF(AND($AY91=1,$AJ91=1),$BA91*100000+ROW(),"")</f>
        <v/>
      </c>
      <c r="BL91" s="71" t="str">
        <f>IF(AND($AZ91=1),$BA91*100000+ROW(),"")</f>
        <v/>
      </c>
    </row>
    <row r="92">
      <c r="A92" s="63" t="n"/>
      <c r="B92" s="64" t="n"/>
      <c r="C92" s="64" t="n"/>
      <c r="D92" s="64" t="n"/>
      <c r="E92" s="64" t="n"/>
      <c r="F92" s="64" t="n"/>
      <c r="G92" s="65" t="n"/>
      <c r="H92" s="65" t="n"/>
      <c r="I92" s="64" t="n"/>
      <c r="J92" s="64" t="n"/>
      <c r="K92" s="63" t="n"/>
      <c r="L92" s="63" t="n"/>
      <c r="M92" s="64" t="n"/>
      <c r="N92" s="66" t="n"/>
      <c r="O92" s="65" t="n"/>
      <c r="P92" s="64" t="n"/>
      <c r="Q92" s="67" t="n"/>
      <c r="R92" s="67" t="n"/>
      <c r="S92" s="68" t="str">
        <f>IF(AND(ISNUMBER($Q92),ISNUMBER($R92)),$Q92-$R92,"")</f>
        <v/>
      </c>
      <c r="T92" s="65" t="n"/>
      <c r="U92" s="64" t="n"/>
      <c r="V92" s="65" t="n"/>
      <c r="W92" s="63" t="n"/>
      <c r="X92" s="65" t="n"/>
      <c r="Y92" s="63" t="n"/>
      <c r="Z92" s="64" t="n"/>
      <c r="AA92" s="64" t="n"/>
      <c r="AB92" s="65" t="n"/>
      <c r="AC92" s="69" t="str">
        <f>IF(OR($G92="",NOT(ISNUMBER($K92)),$AK92=0),"",MAX(0,ReportDate-$K92))</f>
        <v/>
      </c>
      <c r="AD92" s="69" t="str">
        <f>IF($G92="","",IF($AL92=1,ReportDate-$L92,0))</f>
        <v/>
      </c>
      <c r="AE92" s="70" t="str">
        <f>IF($G92="","",IF($M92="Completed",1,IF(ISNUMBER($N92),$N92,0)))</f>
        <v/>
      </c>
      <c r="AF92" s="70" t="str">
        <f>IF(AND(ISNUMBER($Q92),ISNUMBER($R92)),IF($R92&lt;&gt;0,$Q92/$R92,""),"")</f>
        <v/>
      </c>
      <c r="AG92" s="71" t="str">
        <f>IF($G92="","",IF($AL92=1,"OVERDUE",IF($AM92=1,"BLOCKED",IF($AN92=1,"DUE TODAY",IF($AO92=1,"DUE TOMORROW",IF($AQ92=1,"HIGH PRIORITY",IF($AR92=1,"NO RECENT UPDATE",""))))))) </f>
        <v/>
      </c>
      <c r="AH92" s="71" t="str">
        <f>IF($G92="","",IF(ISNUMBER($A92),IF(ISNUMBER($A92),YEAR($A92)&amp;"-"&amp;TEXT(MONTH($A92),"00"),""),IF(ISNUMBER($L92),IF(ISNUMBER($L92),YEAR($L92)&amp;"-"&amp;TEXT(MONTH($L92),"00"),""),"")))</f>
        <v/>
      </c>
      <c r="AI92" s="71">
        <f>IF($G92="",0,IF(AND(OR(fClient="All",$C92=fClient),OR(fCampaign="All",$D92=fCampaign),OR(fTeam="All",$B92=fTeam),OR(fChannel="All",$F92=fChannel),OR(fMonth="All",$AH92=fMonth),OR(fTStatus="All",$M92=fTStatus)),1,0))</f>
        <v>0</v>
      </c>
      <c r="AJ92" s="71">
        <f>IF($G92="",0,IF(AND(OR(fClient="All",$C92=fClient),OR(fCampaign="All",$D92=fCampaign),OR(fTeam="All",$B92=fTeam),OR(fChannel="All",$F92=fChannel)),1,0))</f>
        <v>0</v>
      </c>
      <c r="AK92" s="71">
        <f>IF($G92="",0,IF(OR($M92="Completed",$M92="Cancelled"),0,1))</f>
        <v>0</v>
      </c>
      <c r="AL92" s="71">
        <f>IF(AND($AK92=1,ISNUMBER($L92)),IF($L92&lt;ReportDate,1,0),0)</f>
        <v>0</v>
      </c>
      <c r="AM92" s="71">
        <f>IF(AND($G92&lt;&gt;"",$M92="Blocked"),1,0)</f>
        <v>0</v>
      </c>
      <c r="AN92" s="71">
        <f>IF(AND($AK92=1,ISNUMBER($L92)),IF($L92=ReportDate,1,0),0)</f>
        <v>0</v>
      </c>
      <c r="AO92" s="71">
        <f>IF(AND($AK92=1,ISNUMBER($L92)),IF($L92=ReportDate+1,1,0),0)</f>
        <v>0</v>
      </c>
      <c r="AP92" s="71">
        <f>IF(AND($AK92=1,ISNUMBER($L92)),IF(AND($L92&gt;=ReportDate,$L92&lt;=ReportDate+DueSoonDays),1,0),0)</f>
        <v>0</v>
      </c>
      <c r="AQ92" s="71">
        <f>IF(AND($AK92=1,OR($I92="Critical",$I92="High")),1,0)</f>
        <v>0</v>
      </c>
      <c r="AR92" s="71">
        <f>IF($AK92=1,IF(ISNUMBER($Y92),IF(ReportDate-$Y92&gt;StaleDays,1,0),1),0)</f>
        <v>0</v>
      </c>
      <c r="AS92" s="71">
        <f>IF(AND($G92&lt;&gt;"",ISNUMBER($Q92),ISNUMBER($R92)),IF(AND($Q92&lt;$R92,OR($M92="Completed",AND(ISNUMBER($L92),$L92&lt;ReportDate))),1,0),0)</f>
        <v>0</v>
      </c>
      <c r="AT92" s="71">
        <f>IF($AK92=1,IF(OR($L92=ReportDate,$W92=ReportDate,$K92=ReportDate,$A92=ReportDate),1,0),0)</f>
        <v>0</v>
      </c>
      <c r="AU92" s="71">
        <f>IF($AK92=1,IF(OR($L92=ReportDate+1,$W92=ReportDate+1,$K92=ReportDate+1,$A92=ReportDate+1),1,0),0)</f>
        <v>0</v>
      </c>
      <c r="AV92" s="71">
        <f>IF(AND($G92&lt;&gt;"",$M92="Completed"),IF(OR($Y92=ReportDate-1,$A92=ReportDate-1),1,0),0)</f>
        <v>0</v>
      </c>
      <c r="AW92" s="71">
        <f>IF(AND($AK92=1,$Z92="Yes"),1,0)</f>
        <v>0</v>
      </c>
      <c r="AX92" s="71">
        <f>IF(AND($AK92=1,$AA92="Yes"),1,0)</f>
        <v>0</v>
      </c>
      <c r="AY92" s="71">
        <f>IF(AND($AM92=1,OR($I92="Critical",$I92="High")),1,0)</f>
        <v>0</v>
      </c>
      <c r="AZ92" s="71">
        <f>IF(AND($AK92=1,OR($C92=TCL_Client,$C92=MECCA_Client)),1,0)</f>
        <v>0</v>
      </c>
      <c r="BA92" s="71" t="str">
        <f>IF($G92="","",IFERROR(MATCH($I92,lst_Priority,0),5))</f>
        <v/>
      </c>
      <c r="BB92" s="71" t="str">
        <f>IF(AND($AL92=1,$AJ92=1),$BA92*100000+ROW(),"")</f>
        <v/>
      </c>
      <c r="BC92" s="71" t="str">
        <f>IF(AND($AM92=1,$AJ92=1),$BA92*100000+ROW(),"")</f>
        <v/>
      </c>
      <c r="BD92" s="71" t="str">
        <f>IF(AND($AP92=1,$AJ92=1),$BA92*100000+ROW(),"")</f>
        <v/>
      </c>
      <c r="BE92" s="71" t="str">
        <f>IF(AND($AT92=1,$AJ92=1),$BA92*100000+ROW(),"")</f>
        <v/>
      </c>
      <c r="BF92" s="71" t="str">
        <f>IF(AND($AU92=1,$AJ92=1),$BA92*100000+ROW(),"")</f>
        <v/>
      </c>
      <c r="BG92" s="71" t="str">
        <f>IF(AND($AV92=1,$AJ92=1),$BA92*100000+ROW(),"")</f>
        <v/>
      </c>
      <c r="BH92" s="71" t="str">
        <f>IF(AND($AW92=1,$AJ92=1),$BA92*100000+ROW(),"")</f>
        <v/>
      </c>
      <c r="BI92" s="71" t="str">
        <f>IF(AND($AX92=1,$AJ92=1),$BA92*100000+ROW(),"")</f>
        <v/>
      </c>
      <c r="BJ92" s="71" t="str">
        <f>IF(AND($AS92=1,$AJ92=1),$BA92*100000+ROW(),"")</f>
        <v/>
      </c>
      <c r="BK92" s="71" t="str">
        <f>IF(AND($AY92=1,$AJ92=1),$BA92*100000+ROW(),"")</f>
        <v/>
      </c>
      <c r="BL92" s="71" t="str">
        <f>IF(AND($AZ92=1),$BA92*100000+ROW(),"")</f>
        <v/>
      </c>
    </row>
    <row r="93">
      <c r="A93" s="63" t="n"/>
      <c r="B93" s="64" t="n"/>
      <c r="C93" s="64" t="n"/>
      <c r="D93" s="64" t="n"/>
      <c r="E93" s="64" t="n"/>
      <c r="F93" s="64" t="n"/>
      <c r="G93" s="65" t="n"/>
      <c r="H93" s="65" t="n"/>
      <c r="I93" s="64" t="n"/>
      <c r="J93" s="64" t="n"/>
      <c r="K93" s="63" t="n"/>
      <c r="L93" s="63" t="n"/>
      <c r="M93" s="64" t="n"/>
      <c r="N93" s="66" t="n"/>
      <c r="O93" s="65" t="n"/>
      <c r="P93" s="64" t="n"/>
      <c r="Q93" s="67" t="n"/>
      <c r="R93" s="67" t="n"/>
      <c r="S93" s="68" t="str">
        <f>IF(AND(ISNUMBER($Q93),ISNUMBER($R93)),$Q93-$R93,"")</f>
        <v/>
      </c>
      <c r="T93" s="65" t="n"/>
      <c r="U93" s="64" t="n"/>
      <c r="V93" s="65" t="n"/>
      <c r="W93" s="63" t="n"/>
      <c r="X93" s="65" t="n"/>
      <c r="Y93" s="63" t="n"/>
      <c r="Z93" s="64" t="n"/>
      <c r="AA93" s="64" t="n"/>
      <c r="AB93" s="65" t="n"/>
      <c r="AC93" s="69" t="str">
        <f>IF(OR($G93="",NOT(ISNUMBER($K93)),$AK93=0),"",MAX(0,ReportDate-$K93))</f>
        <v/>
      </c>
      <c r="AD93" s="69" t="str">
        <f>IF($G93="","",IF($AL93=1,ReportDate-$L93,0))</f>
        <v/>
      </c>
      <c r="AE93" s="70" t="str">
        <f>IF($G93="","",IF($M93="Completed",1,IF(ISNUMBER($N93),$N93,0)))</f>
        <v/>
      </c>
      <c r="AF93" s="70" t="str">
        <f>IF(AND(ISNUMBER($Q93),ISNUMBER($R93)),IF($R93&lt;&gt;0,$Q93/$R93,""),"")</f>
        <v/>
      </c>
      <c r="AG93" s="71" t="str">
        <f>IF($G93="","",IF($AL93=1,"OVERDUE",IF($AM93=1,"BLOCKED",IF($AN93=1,"DUE TODAY",IF($AO93=1,"DUE TOMORROW",IF($AQ93=1,"HIGH PRIORITY",IF($AR93=1,"NO RECENT UPDATE",""))))))) </f>
        <v/>
      </c>
      <c r="AH93" s="71" t="str">
        <f>IF($G93="","",IF(ISNUMBER($A93),IF(ISNUMBER($A93),YEAR($A93)&amp;"-"&amp;TEXT(MONTH($A93),"00"),""),IF(ISNUMBER($L93),IF(ISNUMBER($L93),YEAR($L93)&amp;"-"&amp;TEXT(MONTH($L93),"00"),""),"")))</f>
        <v/>
      </c>
      <c r="AI93" s="71">
        <f>IF($G93="",0,IF(AND(OR(fClient="All",$C93=fClient),OR(fCampaign="All",$D93=fCampaign),OR(fTeam="All",$B93=fTeam),OR(fChannel="All",$F93=fChannel),OR(fMonth="All",$AH93=fMonth),OR(fTStatus="All",$M93=fTStatus)),1,0))</f>
        <v>0</v>
      </c>
      <c r="AJ93" s="71">
        <f>IF($G93="",0,IF(AND(OR(fClient="All",$C93=fClient),OR(fCampaign="All",$D93=fCampaign),OR(fTeam="All",$B93=fTeam),OR(fChannel="All",$F93=fChannel)),1,0))</f>
        <v>0</v>
      </c>
      <c r="AK93" s="71">
        <f>IF($G93="",0,IF(OR($M93="Completed",$M93="Cancelled"),0,1))</f>
        <v>0</v>
      </c>
      <c r="AL93" s="71">
        <f>IF(AND($AK93=1,ISNUMBER($L93)),IF($L93&lt;ReportDate,1,0),0)</f>
        <v>0</v>
      </c>
      <c r="AM93" s="71">
        <f>IF(AND($G93&lt;&gt;"",$M93="Blocked"),1,0)</f>
        <v>0</v>
      </c>
      <c r="AN93" s="71">
        <f>IF(AND($AK93=1,ISNUMBER($L93)),IF($L93=ReportDate,1,0),0)</f>
        <v>0</v>
      </c>
      <c r="AO93" s="71">
        <f>IF(AND($AK93=1,ISNUMBER($L93)),IF($L93=ReportDate+1,1,0),0)</f>
        <v>0</v>
      </c>
      <c r="AP93" s="71">
        <f>IF(AND($AK93=1,ISNUMBER($L93)),IF(AND($L93&gt;=ReportDate,$L93&lt;=ReportDate+DueSoonDays),1,0),0)</f>
        <v>0</v>
      </c>
      <c r="AQ93" s="71">
        <f>IF(AND($AK93=1,OR($I93="Critical",$I93="High")),1,0)</f>
        <v>0</v>
      </c>
      <c r="AR93" s="71">
        <f>IF($AK93=1,IF(ISNUMBER($Y93),IF(ReportDate-$Y93&gt;StaleDays,1,0),1),0)</f>
        <v>0</v>
      </c>
      <c r="AS93" s="71">
        <f>IF(AND($G93&lt;&gt;"",ISNUMBER($Q93),ISNUMBER($R93)),IF(AND($Q93&lt;$R93,OR($M93="Completed",AND(ISNUMBER($L93),$L93&lt;ReportDate))),1,0),0)</f>
        <v>0</v>
      </c>
      <c r="AT93" s="71">
        <f>IF($AK93=1,IF(OR($L93=ReportDate,$W93=ReportDate,$K93=ReportDate,$A93=ReportDate),1,0),0)</f>
        <v>0</v>
      </c>
      <c r="AU93" s="71">
        <f>IF($AK93=1,IF(OR($L93=ReportDate+1,$W93=ReportDate+1,$K93=ReportDate+1,$A93=ReportDate+1),1,0),0)</f>
        <v>0</v>
      </c>
      <c r="AV93" s="71">
        <f>IF(AND($G93&lt;&gt;"",$M93="Completed"),IF(OR($Y93=ReportDate-1,$A93=ReportDate-1),1,0),0)</f>
        <v>0</v>
      </c>
      <c r="AW93" s="71">
        <f>IF(AND($AK93=1,$Z93="Yes"),1,0)</f>
        <v>0</v>
      </c>
      <c r="AX93" s="71">
        <f>IF(AND($AK93=1,$AA93="Yes"),1,0)</f>
        <v>0</v>
      </c>
      <c r="AY93" s="71">
        <f>IF(AND($AM93=1,OR($I93="Critical",$I93="High")),1,0)</f>
        <v>0</v>
      </c>
      <c r="AZ93" s="71">
        <f>IF(AND($AK93=1,OR($C93=TCL_Client,$C93=MECCA_Client)),1,0)</f>
        <v>0</v>
      </c>
      <c r="BA93" s="71" t="str">
        <f>IF($G93="","",IFERROR(MATCH($I93,lst_Priority,0),5))</f>
        <v/>
      </c>
      <c r="BB93" s="71" t="str">
        <f>IF(AND($AL93=1,$AJ93=1),$BA93*100000+ROW(),"")</f>
        <v/>
      </c>
      <c r="BC93" s="71" t="str">
        <f>IF(AND($AM93=1,$AJ93=1),$BA93*100000+ROW(),"")</f>
        <v/>
      </c>
      <c r="BD93" s="71" t="str">
        <f>IF(AND($AP93=1,$AJ93=1),$BA93*100000+ROW(),"")</f>
        <v/>
      </c>
      <c r="BE93" s="71" t="str">
        <f>IF(AND($AT93=1,$AJ93=1),$BA93*100000+ROW(),"")</f>
        <v/>
      </c>
      <c r="BF93" s="71" t="str">
        <f>IF(AND($AU93=1,$AJ93=1),$BA93*100000+ROW(),"")</f>
        <v/>
      </c>
      <c r="BG93" s="71" t="str">
        <f>IF(AND($AV93=1,$AJ93=1),$BA93*100000+ROW(),"")</f>
        <v/>
      </c>
      <c r="BH93" s="71" t="str">
        <f>IF(AND($AW93=1,$AJ93=1),$BA93*100000+ROW(),"")</f>
        <v/>
      </c>
      <c r="BI93" s="71" t="str">
        <f>IF(AND($AX93=1,$AJ93=1),$BA93*100000+ROW(),"")</f>
        <v/>
      </c>
      <c r="BJ93" s="71" t="str">
        <f>IF(AND($AS93=1,$AJ93=1),$BA93*100000+ROW(),"")</f>
        <v/>
      </c>
      <c r="BK93" s="71" t="str">
        <f>IF(AND($AY93=1,$AJ93=1),$BA93*100000+ROW(),"")</f>
        <v/>
      </c>
      <c r="BL93" s="71" t="str">
        <f>IF(AND($AZ93=1),$BA93*100000+ROW(),"")</f>
        <v/>
      </c>
    </row>
    <row r="94">
      <c r="A94" s="63" t="n"/>
      <c r="B94" s="64" t="n"/>
      <c r="C94" s="64" t="n"/>
      <c r="D94" s="64" t="n"/>
      <c r="E94" s="64" t="n"/>
      <c r="F94" s="64" t="n"/>
      <c r="G94" s="65" t="n"/>
      <c r="H94" s="65" t="n"/>
      <c r="I94" s="64" t="n"/>
      <c r="J94" s="64" t="n"/>
      <c r="K94" s="63" t="n"/>
      <c r="L94" s="63" t="n"/>
      <c r="M94" s="64" t="n"/>
      <c r="N94" s="66" t="n"/>
      <c r="O94" s="65" t="n"/>
      <c r="P94" s="64" t="n"/>
      <c r="Q94" s="67" t="n"/>
      <c r="R94" s="67" t="n"/>
      <c r="S94" s="68" t="str">
        <f>IF(AND(ISNUMBER($Q94),ISNUMBER($R94)),$Q94-$R94,"")</f>
        <v/>
      </c>
      <c r="T94" s="65" t="n"/>
      <c r="U94" s="64" t="n"/>
      <c r="V94" s="65" t="n"/>
      <c r="W94" s="63" t="n"/>
      <c r="X94" s="65" t="n"/>
      <c r="Y94" s="63" t="n"/>
      <c r="Z94" s="64" t="n"/>
      <c r="AA94" s="64" t="n"/>
      <c r="AB94" s="65" t="n"/>
      <c r="AC94" s="69" t="str">
        <f>IF(OR($G94="",NOT(ISNUMBER($K94)),$AK94=0),"",MAX(0,ReportDate-$K94))</f>
        <v/>
      </c>
      <c r="AD94" s="69" t="str">
        <f>IF($G94="","",IF($AL94=1,ReportDate-$L94,0))</f>
        <v/>
      </c>
      <c r="AE94" s="70" t="str">
        <f>IF($G94="","",IF($M94="Completed",1,IF(ISNUMBER($N94),$N94,0)))</f>
        <v/>
      </c>
      <c r="AF94" s="70" t="str">
        <f>IF(AND(ISNUMBER($Q94),ISNUMBER($R94)),IF($R94&lt;&gt;0,$Q94/$R94,""),"")</f>
        <v/>
      </c>
      <c r="AG94" s="71" t="str">
        <f>IF($G94="","",IF($AL94=1,"OVERDUE",IF($AM94=1,"BLOCKED",IF($AN94=1,"DUE TODAY",IF($AO94=1,"DUE TOMORROW",IF($AQ94=1,"HIGH PRIORITY",IF($AR94=1,"NO RECENT UPDATE",""))))))) </f>
        <v/>
      </c>
      <c r="AH94" s="71" t="str">
        <f>IF($G94="","",IF(ISNUMBER($A94),IF(ISNUMBER($A94),YEAR($A94)&amp;"-"&amp;TEXT(MONTH($A94),"00"),""),IF(ISNUMBER($L94),IF(ISNUMBER($L94),YEAR($L94)&amp;"-"&amp;TEXT(MONTH($L94),"00"),""),"")))</f>
        <v/>
      </c>
      <c r="AI94" s="71">
        <f>IF($G94="",0,IF(AND(OR(fClient="All",$C94=fClient),OR(fCampaign="All",$D94=fCampaign),OR(fTeam="All",$B94=fTeam),OR(fChannel="All",$F94=fChannel),OR(fMonth="All",$AH94=fMonth),OR(fTStatus="All",$M94=fTStatus)),1,0))</f>
        <v>0</v>
      </c>
      <c r="AJ94" s="71">
        <f>IF($G94="",0,IF(AND(OR(fClient="All",$C94=fClient),OR(fCampaign="All",$D94=fCampaign),OR(fTeam="All",$B94=fTeam),OR(fChannel="All",$F94=fChannel)),1,0))</f>
        <v>0</v>
      </c>
      <c r="AK94" s="71">
        <f>IF($G94="",0,IF(OR($M94="Completed",$M94="Cancelled"),0,1))</f>
        <v>0</v>
      </c>
      <c r="AL94" s="71">
        <f>IF(AND($AK94=1,ISNUMBER($L94)),IF($L94&lt;ReportDate,1,0),0)</f>
        <v>0</v>
      </c>
      <c r="AM94" s="71">
        <f>IF(AND($G94&lt;&gt;"",$M94="Blocked"),1,0)</f>
        <v>0</v>
      </c>
      <c r="AN94" s="71">
        <f>IF(AND($AK94=1,ISNUMBER($L94)),IF($L94=ReportDate,1,0),0)</f>
        <v>0</v>
      </c>
      <c r="AO94" s="71">
        <f>IF(AND($AK94=1,ISNUMBER($L94)),IF($L94=ReportDate+1,1,0),0)</f>
        <v>0</v>
      </c>
      <c r="AP94" s="71">
        <f>IF(AND($AK94=1,ISNUMBER($L94)),IF(AND($L94&gt;=ReportDate,$L94&lt;=ReportDate+DueSoonDays),1,0),0)</f>
        <v>0</v>
      </c>
      <c r="AQ94" s="71">
        <f>IF(AND($AK94=1,OR($I94="Critical",$I94="High")),1,0)</f>
        <v>0</v>
      </c>
      <c r="AR94" s="71">
        <f>IF($AK94=1,IF(ISNUMBER($Y94),IF(ReportDate-$Y94&gt;StaleDays,1,0),1),0)</f>
        <v>0</v>
      </c>
      <c r="AS94" s="71">
        <f>IF(AND($G94&lt;&gt;"",ISNUMBER($Q94),ISNUMBER($R94)),IF(AND($Q94&lt;$R94,OR($M94="Completed",AND(ISNUMBER($L94),$L94&lt;ReportDate))),1,0),0)</f>
        <v>0</v>
      </c>
      <c r="AT94" s="71">
        <f>IF($AK94=1,IF(OR($L94=ReportDate,$W94=ReportDate,$K94=ReportDate,$A94=ReportDate),1,0),0)</f>
        <v>0</v>
      </c>
      <c r="AU94" s="71">
        <f>IF($AK94=1,IF(OR($L94=ReportDate+1,$W94=ReportDate+1,$K94=ReportDate+1,$A94=ReportDate+1),1,0),0)</f>
        <v>0</v>
      </c>
      <c r="AV94" s="71">
        <f>IF(AND($G94&lt;&gt;"",$M94="Completed"),IF(OR($Y94=ReportDate-1,$A94=ReportDate-1),1,0),0)</f>
        <v>0</v>
      </c>
      <c r="AW94" s="71">
        <f>IF(AND($AK94=1,$Z94="Yes"),1,0)</f>
        <v>0</v>
      </c>
      <c r="AX94" s="71">
        <f>IF(AND($AK94=1,$AA94="Yes"),1,0)</f>
        <v>0</v>
      </c>
      <c r="AY94" s="71">
        <f>IF(AND($AM94=1,OR($I94="Critical",$I94="High")),1,0)</f>
        <v>0</v>
      </c>
      <c r="AZ94" s="71">
        <f>IF(AND($AK94=1,OR($C94=TCL_Client,$C94=MECCA_Client)),1,0)</f>
        <v>0</v>
      </c>
      <c r="BA94" s="71" t="str">
        <f>IF($G94="","",IFERROR(MATCH($I94,lst_Priority,0),5))</f>
        <v/>
      </c>
      <c r="BB94" s="71" t="str">
        <f>IF(AND($AL94=1,$AJ94=1),$BA94*100000+ROW(),"")</f>
        <v/>
      </c>
      <c r="BC94" s="71" t="str">
        <f>IF(AND($AM94=1,$AJ94=1),$BA94*100000+ROW(),"")</f>
        <v/>
      </c>
      <c r="BD94" s="71" t="str">
        <f>IF(AND($AP94=1,$AJ94=1),$BA94*100000+ROW(),"")</f>
        <v/>
      </c>
      <c r="BE94" s="71" t="str">
        <f>IF(AND($AT94=1,$AJ94=1),$BA94*100000+ROW(),"")</f>
        <v/>
      </c>
      <c r="BF94" s="71" t="str">
        <f>IF(AND($AU94=1,$AJ94=1),$BA94*100000+ROW(),"")</f>
        <v/>
      </c>
      <c r="BG94" s="71" t="str">
        <f>IF(AND($AV94=1,$AJ94=1),$BA94*100000+ROW(),"")</f>
        <v/>
      </c>
      <c r="BH94" s="71" t="str">
        <f>IF(AND($AW94=1,$AJ94=1),$BA94*100000+ROW(),"")</f>
        <v/>
      </c>
      <c r="BI94" s="71" t="str">
        <f>IF(AND($AX94=1,$AJ94=1),$BA94*100000+ROW(),"")</f>
        <v/>
      </c>
      <c r="BJ94" s="71" t="str">
        <f>IF(AND($AS94=1,$AJ94=1),$BA94*100000+ROW(),"")</f>
        <v/>
      </c>
      <c r="BK94" s="71" t="str">
        <f>IF(AND($AY94=1,$AJ94=1),$BA94*100000+ROW(),"")</f>
        <v/>
      </c>
      <c r="BL94" s="71" t="str">
        <f>IF(AND($AZ94=1),$BA94*100000+ROW(),"")</f>
        <v/>
      </c>
    </row>
    <row r="95">
      <c r="A95" s="63" t="n"/>
      <c r="B95" s="64" t="n"/>
      <c r="C95" s="64" t="n"/>
      <c r="D95" s="64" t="n"/>
      <c r="E95" s="64" t="n"/>
      <c r="F95" s="64" t="n"/>
      <c r="G95" s="65" t="n"/>
      <c r="H95" s="65" t="n"/>
      <c r="I95" s="64" t="n"/>
      <c r="J95" s="64" t="n"/>
      <c r="K95" s="63" t="n"/>
      <c r="L95" s="63" t="n"/>
      <c r="M95" s="64" t="n"/>
      <c r="N95" s="66" t="n"/>
      <c r="O95" s="65" t="n"/>
      <c r="P95" s="64" t="n"/>
      <c r="Q95" s="67" t="n"/>
      <c r="R95" s="67" t="n"/>
      <c r="S95" s="68" t="str">
        <f>IF(AND(ISNUMBER($Q95),ISNUMBER($R95)),$Q95-$R95,"")</f>
        <v/>
      </c>
      <c r="T95" s="65" t="n"/>
      <c r="U95" s="64" t="n"/>
      <c r="V95" s="65" t="n"/>
      <c r="W95" s="63" t="n"/>
      <c r="X95" s="65" t="n"/>
      <c r="Y95" s="63" t="n"/>
      <c r="Z95" s="64" t="n"/>
      <c r="AA95" s="64" t="n"/>
      <c r="AB95" s="65" t="n"/>
      <c r="AC95" s="69" t="str">
        <f>IF(OR($G95="",NOT(ISNUMBER($K95)),$AK95=0),"",MAX(0,ReportDate-$K95))</f>
        <v/>
      </c>
      <c r="AD95" s="69" t="str">
        <f>IF($G95="","",IF($AL95=1,ReportDate-$L95,0))</f>
        <v/>
      </c>
      <c r="AE95" s="70" t="str">
        <f>IF($G95="","",IF($M95="Completed",1,IF(ISNUMBER($N95),$N95,0)))</f>
        <v/>
      </c>
      <c r="AF95" s="70" t="str">
        <f>IF(AND(ISNUMBER($Q95),ISNUMBER($R95)),IF($R95&lt;&gt;0,$Q95/$R95,""),"")</f>
        <v/>
      </c>
      <c r="AG95" s="71" t="str">
        <f>IF($G95="","",IF($AL95=1,"OVERDUE",IF($AM95=1,"BLOCKED",IF($AN95=1,"DUE TODAY",IF($AO95=1,"DUE TOMORROW",IF($AQ95=1,"HIGH PRIORITY",IF($AR95=1,"NO RECENT UPDATE",""))))))) </f>
        <v/>
      </c>
      <c r="AH95" s="71" t="str">
        <f>IF($G95="","",IF(ISNUMBER($A95),IF(ISNUMBER($A95),YEAR($A95)&amp;"-"&amp;TEXT(MONTH($A95),"00"),""),IF(ISNUMBER($L95),IF(ISNUMBER($L95),YEAR($L95)&amp;"-"&amp;TEXT(MONTH($L95),"00"),""),"")))</f>
        <v/>
      </c>
      <c r="AI95" s="71">
        <f>IF($G95="",0,IF(AND(OR(fClient="All",$C95=fClient),OR(fCampaign="All",$D95=fCampaign),OR(fTeam="All",$B95=fTeam),OR(fChannel="All",$F95=fChannel),OR(fMonth="All",$AH95=fMonth),OR(fTStatus="All",$M95=fTStatus)),1,0))</f>
        <v>0</v>
      </c>
      <c r="AJ95" s="71">
        <f>IF($G95="",0,IF(AND(OR(fClient="All",$C95=fClient),OR(fCampaign="All",$D95=fCampaign),OR(fTeam="All",$B95=fTeam),OR(fChannel="All",$F95=fChannel)),1,0))</f>
        <v>0</v>
      </c>
      <c r="AK95" s="71">
        <f>IF($G95="",0,IF(OR($M95="Completed",$M95="Cancelled"),0,1))</f>
        <v>0</v>
      </c>
      <c r="AL95" s="71">
        <f>IF(AND($AK95=1,ISNUMBER($L95)),IF($L95&lt;ReportDate,1,0),0)</f>
        <v>0</v>
      </c>
      <c r="AM95" s="71">
        <f>IF(AND($G95&lt;&gt;"",$M95="Blocked"),1,0)</f>
        <v>0</v>
      </c>
      <c r="AN95" s="71">
        <f>IF(AND($AK95=1,ISNUMBER($L95)),IF($L95=ReportDate,1,0),0)</f>
        <v>0</v>
      </c>
      <c r="AO95" s="71">
        <f>IF(AND($AK95=1,ISNUMBER($L95)),IF($L95=ReportDate+1,1,0),0)</f>
        <v>0</v>
      </c>
      <c r="AP95" s="71">
        <f>IF(AND($AK95=1,ISNUMBER($L95)),IF(AND($L95&gt;=ReportDate,$L95&lt;=ReportDate+DueSoonDays),1,0),0)</f>
        <v>0</v>
      </c>
      <c r="AQ95" s="71">
        <f>IF(AND($AK95=1,OR($I95="Critical",$I95="High")),1,0)</f>
        <v>0</v>
      </c>
      <c r="AR95" s="71">
        <f>IF($AK95=1,IF(ISNUMBER($Y95),IF(ReportDate-$Y95&gt;StaleDays,1,0),1),0)</f>
        <v>0</v>
      </c>
      <c r="AS95" s="71">
        <f>IF(AND($G95&lt;&gt;"",ISNUMBER($Q95),ISNUMBER($R95)),IF(AND($Q95&lt;$R95,OR($M95="Completed",AND(ISNUMBER($L95),$L95&lt;ReportDate))),1,0),0)</f>
        <v>0</v>
      </c>
      <c r="AT95" s="71">
        <f>IF($AK95=1,IF(OR($L95=ReportDate,$W95=ReportDate,$K95=ReportDate,$A95=ReportDate),1,0),0)</f>
        <v>0</v>
      </c>
      <c r="AU95" s="71">
        <f>IF($AK95=1,IF(OR($L95=ReportDate+1,$W95=ReportDate+1,$K95=ReportDate+1,$A95=ReportDate+1),1,0),0)</f>
        <v>0</v>
      </c>
      <c r="AV95" s="71">
        <f>IF(AND($G95&lt;&gt;"",$M95="Completed"),IF(OR($Y95=ReportDate-1,$A95=ReportDate-1),1,0),0)</f>
        <v>0</v>
      </c>
      <c r="AW95" s="71">
        <f>IF(AND($AK95=1,$Z95="Yes"),1,0)</f>
        <v>0</v>
      </c>
      <c r="AX95" s="71">
        <f>IF(AND($AK95=1,$AA95="Yes"),1,0)</f>
        <v>0</v>
      </c>
      <c r="AY95" s="71">
        <f>IF(AND($AM95=1,OR($I95="Critical",$I95="High")),1,0)</f>
        <v>0</v>
      </c>
      <c r="AZ95" s="71">
        <f>IF(AND($AK95=1,OR($C95=TCL_Client,$C95=MECCA_Client)),1,0)</f>
        <v>0</v>
      </c>
      <c r="BA95" s="71" t="str">
        <f>IF($G95="","",IFERROR(MATCH($I95,lst_Priority,0),5))</f>
        <v/>
      </c>
      <c r="BB95" s="71" t="str">
        <f>IF(AND($AL95=1,$AJ95=1),$BA95*100000+ROW(),"")</f>
        <v/>
      </c>
      <c r="BC95" s="71" t="str">
        <f>IF(AND($AM95=1,$AJ95=1),$BA95*100000+ROW(),"")</f>
        <v/>
      </c>
      <c r="BD95" s="71" t="str">
        <f>IF(AND($AP95=1,$AJ95=1),$BA95*100000+ROW(),"")</f>
        <v/>
      </c>
      <c r="BE95" s="71" t="str">
        <f>IF(AND($AT95=1,$AJ95=1),$BA95*100000+ROW(),"")</f>
        <v/>
      </c>
      <c r="BF95" s="71" t="str">
        <f>IF(AND($AU95=1,$AJ95=1),$BA95*100000+ROW(),"")</f>
        <v/>
      </c>
      <c r="BG95" s="71" t="str">
        <f>IF(AND($AV95=1,$AJ95=1),$BA95*100000+ROW(),"")</f>
        <v/>
      </c>
      <c r="BH95" s="71" t="str">
        <f>IF(AND($AW95=1,$AJ95=1),$BA95*100000+ROW(),"")</f>
        <v/>
      </c>
      <c r="BI95" s="71" t="str">
        <f>IF(AND($AX95=1,$AJ95=1),$BA95*100000+ROW(),"")</f>
        <v/>
      </c>
      <c r="BJ95" s="71" t="str">
        <f>IF(AND($AS95=1,$AJ95=1),$BA95*100000+ROW(),"")</f>
        <v/>
      </c>
      <c r="BK95" s="71" t="str">
        <f>IF(AND($AY95=1,$AJ95=1),$BA95*100000+ROW(),"")</f>
        <v/>
      </c>
      <c r="BL95" s="71" t="str">
        <f>IF(AND($AZ95=1),$BA95*100000+ROW(),"")</f>
        <v/>
      </c>
    </row>
    <row r="96">
      <c r="A96" s="63" t="n"/>
      <c r="B96" s="64" t="n"/>
      <c r="C96" s="64" t="n"/>
      <c r="D96" s="64" t="n"/>
      <c r="E96" s="64" t="n"/>
      <c r="F96" s="64" t="n"/>
      <c r="G96" s="65" t="n"/>
      <c r="H96" s="65" t="n"/>
      <c r="I96" s="64" t="n"/>
      <c r="J96" s="64" t="n"/>
      <c r="K96" s="63" t="n"/>
      <c r="L96" s="63" t="n"/>
      <c r="M96" s="64" t="n"/>
      <c r="N96" s="66" t="n"/>
      <c r="O96" s="65" t="n"/>
      <c r="P96" s="64" t="n"/>
      <c r="Q96" s="67" t="n"/>
      <c r="R96" s="67" t="n"/>
      <c r="S96" s="68" t="str">
        <f>IF(AND(ISNUMBER($Q96),ISNUMBER($R96)),$Q96-$R96,"")</f>
        <v/>
      </c>
      <c r="T96" s="65" t="n"/>
      <c r="U96" s="64" t="n"/>
      <c r="V96" s="65" t="n"/>
      <c r="W96" s="63" t="n"/>
      <c r="X96" s="65" t="n"/>
      <c r="Y96" s="63" t="n"/>
      <c r="Z96" s="64" t="n"/>
      <c r="AA96" s="64" t="n"/>
      <c r="AB96" s="65" t="n"/>
      <c r="AC96" s="69" t="str">
        <f>IF(OR($G96="",NOT(ISNUMBER($K96)),$AK96=0),"",MAX(0,ReportDate-$K96))</f>
        <v/>
      </c>
      <c r="AD96" s="69" t="str">
        <f>IF($G96="","",IF($AL96=1,ReportDate-$L96,0))</f>
        <v/>
      </c>
      <c r="AE96" s="70" t="str">
        <f>IF($G96="","",IF($M96="Completed",1,IF(ISNUMBER($N96),$N96,0)))</f>
        <v/>
      </c>
      <c r="AF96" s="70" t="str">
        <f>IF(AND(ISNUMBER($Q96),ISNUMBER($R96)),IF($R96&lt;&gt;0,$Q96/$R96,""),"")</f>
        <v/>
      </c>
      <c r="AG96" s="71" t="str">
        <f>IF($G96="","",IF($AL96=1,"OVERDUE",IF($AM96=1,"BLOCKED",IF($AN96=1,"DUE TODAY",IF($AO96=1,"DUE TOMORROW",IF($AQ96=1,"HIGH PRIORITY",IF($AR96=1,"NO RECENT UPDATE",""))))))) </f>
        <v/>
      </c>
      <c r="AH96" s="71" t="str">
        <f>IF($G96="","",IF(ISNUMBER($A96),IF(ISNUMBER($A96),YEAR($A96)&amp;"-"&amp;TEXT(MONTH($A96),"00"),""),IF(ISNUMBER($L96),IF(ISNUMBER($L96),YEAR($L96)&amp;"-"&amp;TEXT(MONTH($L96),"00"),""),"")))</f>
        <v/>
      </c>
      <c r="AI96" s="71">
        <f>IF($G96="",0,IF(AND(OR(fClient="All",$C96=fClient),OR(fCampaign="All",$D96=fCampaign),OR(fTeam="All",$B96=fTeam),OR(fChannel="All",$F96=fChannel),OR(fMonth="All",$AH96=fMonth),OR(fTStatus="All",$M96=fTStatus)),1,0))</f>
        <v>0</v>
      </c>
      <c r="AJ96" s="71">
        <f>IF($G96="",0,IF(AND(OR(fClient="All",$C96=fClient),OR(fCampaign="All",$D96=fCampaign),OR(fTeam="All",$B96=fTeam),OR(fChannel="All",$F96=fChannel)),1,0))</f>
        <v>0</v>
      </c>
      <c r="AK96" s="71">
        <f>IF($G96="",0,IF(OR($M96="Completed",$M96="Cancelled"),0,1))</f>
        <v>0</v>
      </c>
      <c r="AL96" s="71">
        <f>IF(AND($AK96=1,ISNUMBER($L96)),IF($L96&lt;ReportDate,1,0),0)</f>
        <v>0</v>
      </c>
      <c r="AM96" s="71">
        <f>IF(AND($G96&lt;&gt;"",$M96="Blocked"),1,0)</f>
        <v>0</v>
      </c>
      <c r="AN96" s="71">
        <f>IF(AND($AK96=1,ISNUMBER($L96)),IF($L96=ReportDate,1,0),0)</f>
        <v>0</v>
      </c>
      <c r="AO96" s="71">
        <f>IF(AND($AK96=1,ISNUMBER($L96)),IF($L96=ReportDate+1,1,0),0)</f>
        <v>0</v>
      </c>
      <c r="AP96" s="71">
        <f>IF(AND($AK96=1,ISNUMBER($L96)),IF(AND($L96&gt;=ReportDate,$L96&lt;=ReportDate+DueSoonDays),1,0),0)</f>
        <v>0</v>
      </c>
      <c r="AQ96" s="71">
        <f>IF(AND($AK96=1,OR($I96="Critical",$I96="High")),1,0)</f>
        <v>0</v>
      </c>
      <c r="AR96" s="71">
        <f>IF($AK96=1,IF(ISNUMBER($Y96),IF(ReportDate-$Y96&gt;StaleDays,1,0),1),0)</f>
        <v>0</v>
      </c>
      <c r="AS96" s="71">
        <f>IF(AND($G96&lt;&gt;"",ISNUMBER($Q96),ISNUMBER($R96)),IF(AND($Q96&lt;$R96,OR($M96="Completed",AND(ISNUMBER($L96),$L96&lt;ReportDate))),1,0),0)</f>
        <v>0</v>
      </c>
      <c r="AT96" s="71">
        <f>IF($AK96=1,IF(OR($L96=ReportDate,$W96=ReportDate,$K96=ReportDate,$A96=ReportDate),1,0),0)</f>
        <v>0</v>
      </c>
      <c r="AU96" s="71">
        <f>IF($AK96=1,IF(OR($L96=ReportDate+1,$W96=ReportDate+1,$K96=ReportDate+1,$A96=ReportDate+1),1,0),0)</f>
        <v>0</v>
      </c>
      <c r="AV96" s="71">
        <f>IF(AND($G96&lt;&gt;"",$M96="Completed"),IF(OR($Y96=ReportDate-1,$A96=ReportDate-1),1,0),0)</f>
        <v>0</v>
      </c>
      <c r="AW96" s="71">
        <f>IF(AND($AK96=1,$Z96="Yes"),1,0)</f>
        <v>0</v>
      </c>
      <c r="AX96" s="71">
        <f>IF(AND($AK96=1,$AA96="Yes"),1,0)</f>
        <v>0</v>
      </c>
      <c r="AY96" s="71">
        <f>IF(AND($AM96=1,OR($I96="Critical",$I96="High")),1,0)</f>
        <v>0</v>
      </c>
      <c r="AZ96" s="71">
        <f>IF(AND($AK96=1,OR($C96=TCL_Client,$C96=MECCA_Client)),1,0)</f>
        <v>0</v>
      </c>
      <c r="BA96" s="71" t="str">
        <f>IF($G96="","",IFERROR(MATCH($I96,lst_Priority,0),5))</f>
        <v/>
      </c>
      <c r="BB96" s="71" t="str">
        <f>IF(AND($AL96=1,$AJ96=1),$BA96*100000+ROW(),"")</f>
        <v/>
      </c>
      <c r="BC96" s="71" t="str">
        <f>IF(AND($AM96=1,$AJ96=1),$BA96*100000+ROW(),"")</f>
        <v/>
      </c>
      <c r="BD96" s="71" t="str">
        <f>IF(AND($AP96=1,$AJ96=1),$BA96*100000+ROW(),"")</f>
        <v/>
      </c>
      <c r="BE96" s="71" t="str">
        <f>IF(AND($AT96=1,$AJ96=1),$BA96*100000+ROW(),"")</f>
        <v/>
      </c>
      <c r="BF96" s="71" t="str">
        <f>IF(AND($AU96=1,$AJ96=1),$BA96*100000+ROW(),"")</f>
        <v/>
      </c>
      <c r="BG96" s="71" t="str">
        <f>IF(AND($AV96=1,$AJ96=1),$BA96*100000+ROW(),"")</f>
        <v/>
      </c>
      <c r="BH96" s="71" t="str">
        <f>IF(AND($AW96=1,$AJ96=1),$BA96*100000+ROW(),"")</f>
        <v/>
      </c>
      <c r="BI96" s="71" t="str">
        <f>IF(AND($AX96=1,$AJ96=1),$BA96*100000+ROW(),"")</f>
        <v/>
      </c>
      <c r="BJ96" s="71" t="str">
        <f>IF(AND($AS96=1,$AJ96=1),$BA96*100000+ROW(),"")</f>
        <v/>
      </c>
      <c r="BK96" s="71" t="str">
        <f>IF(AND($AY96=1,$AJ96=1),$BA96*100000+ROW(),"")</f>
        <v/>
      </c>
      <c r="BL96" s="71" t="str">
        <f>IF(AND($AZ96=1),$BA96*100000+ROW(),"")</f>
        <v/>
      </c>
    </row>
    <row r="97">
      <c r="A97" s="63" t="n"/>
      <c r="B97" s="64" t="n"/>
      <c r="C97" s="64" t="n"/>
      <c r="D97" s="64" t="n"/>
      <c r="E97" s="64" t="n"/>
      <c r="F97" s="64" t="n"/>
      <c r="G97" s="65" t="n"/>
      <c r="H97" s="65" t="n"/>
      <c r="I97" s="64" t="n"/>
      <c r="J97" s="64" t="n"/>
      <c r="K97" s="63" t="n"/>
      <c r="L97" s="63" t="n"/>
      <c r="M97" s="64" t="n"/>
      <c r="N97" s="66" t="n"/>
      <c r="O97" s="65" t="n"/>
      <c r="P97" s="64" t="n"/>
      <c r="Q97" s="67" t="n"/>
      <c r="R97" s="67" t="n"/>
      <c r="S97" s="68" t="str">
        <f>IF(AND(ISNUMBER($Q97),ISNUMBER($R97)),$Q97-$R97,"")</f>
        <v/>
      </c>
      <c r="T97" s="65" t="n"/>
      <c r="U97" s="64" t="n"/>
      <c r="V97" s="65" t="n"/>
      <c r="W97" s="63" t="n"/>
      <c r="X97" s="65" t="n"/>
      <c r="Y97" s="63" t="n"/>
      <c r="Z97" s="64" t="n"/>
      <c r="AA97" s="64" t="n"/>
      <c r="AB97" s="65" t="n"/>
      <c r="AC97" s="69" t="str">
        <f>IF(OR($G97="",NOT(ISNUMBER($K97)),$AK97=0),"",MAX(0,ReportDate-$K97))</f>
        <v/>
      </c>
      <c r="AD97" s="69" t="str">
        <f>IF($G97="","",IF($AL97=1,ReportDate-$L97,0))</f>
        <v/>
      </c>
      <c r="AE97" s="70" t="str">
        <f>IF($G97="","",IF($M97="Completed",1,IF(ISNUMBER($N97),$N97,0)))</f>
        <v/>
      </c>
      <c r="AF97" s="70" t="str">
        <f>IF(AND(ISNUMBER($Q97),ISNUMBER($R97)),IF($R97&lt;&gt;0,$Q97/$R97,""),"")</f>
        <v/>
      </c>
      <c r="AG97" s="71" t="str">
        <f>IF($G97="","",IF($AL97=1,"OVERDUE",IF($AM97=1,"BLOCKED",IF($AN97=1,"DUE TODAY",IF($AO97=1,"DUE TOMORROW",IF($AQ97=1,"HIGH PRIORITY",IF($AR97=1,"NO RECENT UPDATE",""))))))) </f>
        <v/>
      </c>
      <c r="AH97" s="71" t="str">
        <f>IF($G97="","",IF(ISNUMBER($A97),IF(ISNUMBER($A97),YEAR($A97)&amp;"-"&amp;TEXT(MONTH($A97),"00"),""),IF(ISNUMBER($L97),IF(ISNUMBER($L97),YEAR($L97)&amp;"-"&amp;TEXT(MONTH($L97),"00"),""),"")))</f>
        <v/>
      </c>
      <c r="AI97" s="71">
        <f>IF($G97="",0,IF(AND(OR(fClient="All",$C97=fClient),OR(fCampaign="All",$D97=fCampaign),OR(fTeam="All",$B97=fTeam),OR(fChannel="All",$F97=fChannel),OR(fMonth="All",$AH97=fMonth),OR(fTStatus="All",$M97=fTStatus)),1,0))</f>
        <v>0</v>
      </c>
      <c r="AJ97" s="71">
        <f>IF($G97="",0,IF(AND(OR(fClient="All",$C97=fClient),OR(fCampaign="All",$D97=fCampaign),OR(fTeam="All",$B97=fTeam),OR(fChannel="All",$F97=fChannel)),1,0))</f>
        <v>0</v>
      </c>
      <c r="AK97" s="71">
        <f>IF($G97="",0,IF(OR($M97="Completed",$M97="Cancelled"),0,1))</f>
        <v>0</v>
      </c>
      <c r="AL97" s="71">
        <f>IF(AND($AK97=1,ISNUMBER($L97)),IF($L97&lt;ReportDate,1,0),0)</f>
        <v>0</v>
      </c>
      <c r="AM97" s="71">
        <f>IF(AND($G97&lt;&gt;"",$M97="Blocked"),1,0)</f>
        <v>0</v>
      </c>
      <c r="AN97" s="71">
        <f>IF(AND($AK97=1,ISNUMBER($L97)),IF($L97=ReportDate,1,0),0)</f>
        <v>0</v>
      </c>
      <c r="AO97" s="71">
        <f>IF(AND($AK97=1,ISNUMBER($L97)),IF($L97=ReportDate+1,1,0),0)</f>
        <v>0</v>
      </c>
      <c r="AP97" s="71">
        <f>IF(AND($AK97=1,ISNUMBER($L97)),IF(AND($L97&gt;=ReportDate,$L97&lt;=ReportDate+DueSoonDays),1,0),0)</f>
        <v>0</v>
      </c>
      <c r="AQ97" s="71">
        <f>IF(AND($AK97=1,OR($I97="Critical",$I97="High")),1,0)</f>
        <v>0</v>
      </c>
      <c r="AR97" s="71">
        <f>IF($AK97=1,IF(ISNUMBER($Y97),IF(ReportDate-$Y97&gt;StaleDays,1,0),1),0)</f>
        <v>0</v>
      </c>
      <c r="AS97" s="71">
        <f>IF(AND($G97&lt;&gt;"",ISNUMBER($Q97),ISNUMBER($R97)),IF(AND($Q97&lt;$R97,OR($M97="Completed",AND(ISNUMBER($L97),$L97&lt;ReportDate))),1,0),0)</f>
        <v>0</v>
      </c>
      <c r="AT97" s="71">
        <f>IF($AK97=1,IF(OR($L97=ReportDate,$W97=ReportDate,$K97=ReportDate,$A97=ReportDate),1,0),0)</f>
        <v>0</v>
      </c>
      <c r="AU97" s="71">
        <f>IF($AK97=1,IF(OR($L97=ReportDate+1,$W97=ReportDate+1,$K97=ReportDate+1,$A97=ReportDate+1),1,0),0)</f>
        <v>0</v>
      </c>
      <c r="AV97" s="71">
        <f>IF(AND($G97&lt;&gt;"",$M97="Completed"),IF(OR($Y97=ReportDate-1,$A97=ReportDate-1),1,0),0)</f>
        <v>0</v>
      </c>
      <c r="AW97" s="71">
        <f>IF(AND($AK97=1,$Z97="Yes"),1,0)</f>
        <v>0</v>
      </c>
      <c r="AX97" s="71">
        <f>IF(AND($AK97=1,$AA97="Yes"),1,0)</f>
        <v>0</v>
      </c>
      <c r="AY97" s="71">
        <f>IF(AND($AM97=1,OR($I97="Critical",$I97="High")),1,0)</f>
        <v>0</v>
      </c>
      <c r="AZ97" s="71">
        <f>IF(AND($AK97=1,OR($C97=TCL_Client,$C97=MECCA_Client)),1,0)</f>
        <v>0</v>
      </c>
      <c r="BA97" s="71" t="str">
        <f>IF($G97="","",IFERROR(MATCH($I97,lst_Priority,0),5))</f>
        <v/>
      </c>
      <c r="BB97" s="71" t="str">
        <f>IF(AND($AL97=1,$AJ97=1),$BA97*100000+ROW(),"")</f>
        <v/>
      </c>
      <c r="BC97" s="71" t="str">
        <f>IF(AND($AM97=1,$AJ97=1),$BA97*100000+ROW(),"")</f>
        <v/>
      </c>
      <c r="BD97" s="71" t="str">
        <f>IF(AND($AP97=1,$AJ97=1),$BA97*100000+ROW(),"")</f>
        <v/>
      </c>
      <c r="BE97" s="71" t="str">
        <f>IF(AND($AT97=1,$AJ97=1),$BA97*100000+ROW(),"")</f>
        <v/>
      </c>
      <c r="BF97" s="71" t="str">
        <f>IF(AND($AU97=1,$AJ97=1),$BA97*100000+ROW(),"")</f>
        <v/>
      </c>
      <c r="BG97" s="71" t="str">
        <f>IF(AND($AV97=1,$AJ97=1),$BA97*100000+ROW(),"")</f>
        <v/>
      </c>
      <c r="BH97" s="71" t="str">
        <f>IF(AND($AW97=1,$AJ97=1),$BA97*100000+ROW(),"")</f>
        <v/>
      </c>
      <c r="BI97" s="71" t="str">
        <f>IF(AND($AX97=1,$AJ97=1),$BA97*100000+ROW(),"")</f>
        <v/>
      </c>
      <c r="BJ97" s="71" t="str">
        <f>IF(AND($AS97=1,$AJ97=1),$BA97*100000+ROW(),"")</f>
        <v/>
      </c>
      <c r="BK97" s="71" t="str">
        <f>IF(AND($AY97=1,$AJ97=1),$BA97*100000+ROW(),"")</f>
        <v/>
      </c>
      <c r="BL97" s="71" t="str">
        <f>IF(AND($AZ97=1),$BA97*100000+ROW(),"")</f>
        <v/>
      </c>
    </row>
    <row r="98">
      <c r="A98" s="63" t="n"/>
      <c r="B98" s="64" t="n"/>
      <c r="C98" s="64" t="n"/>
      <c r="D98" s="64" t="n"/>
      <c r="E98" s="64" t="n"/>
      <c r="F98" s="64" t="n"/>
      <c r="G98" s="65" t="n"/>
      <c r="H98" s="65" t="n"/>
      <c r="I98" s="64" t="n"/>
      <c r="J98" s="64" t="n"/>
      <c r="K98" s="63" t="n"/>
      <c r="L98" s="63" t="n"/>
      <c r="M98" s="64" t="n"/>
      <c r="N98" s="66" t="n"/>
      <c r="O98" s="65" t="n"/>
      <c r="P98" s="64" t="n"/>
      <c r="Q98" s="67" t="n"/>
      <c r="R98" s="67" t="n"/>
      <c r="S98" s="68" t="str">
        <f>IF(AND(ISNUMBER($Q98),ISNUMBER($R98)),$Q98-$R98,"")</f>
        <v/>
      </c>
      <c r="T98" s="65" t="n"/>
      <c r="U98" s="64" t="n"/>
      <c r="V98" s="65" t="n"/>
      <c r="W98" s="63" t="n"/>
      <c r="X98" s="65" t="n"/>
      <c r="Y98" s="63" t="n"/>
      <c r="Z98" s="64" t="n"/>
      <c r="AA98" s="64" t="n"/>
      <c r="AB98" s="65" t="n"/>
      <c r="AC98" s="69" t="str">
        <f>IF(OR($G98="",NOT(ISNUMBER($K98)),$AK98=0),"",MAX(0,ReportDate-$K98))</f>
        <v/>
      </c>
      <c r="AD98" s="69" t="str">
        <f>IF($G98="","",IF($AL98=1,ReportDate-$L98,0))</f>
        <v/>
      </c>
      <c r="AE98" s="70" t="str">
        <f>IF($G98="","",IF($M98="Completed",1,IF(ISNUMBER($N98),$N98,0)))</f>
        <v/>
      </c>
      <c r="AF98" s="70" t="str">
        <f>IF(AND(ISNUMBER($Q98),ISNUMBER($R98)),IF($R98&lt;&gt;0,$Q98/$R98,""),"")</f>
        <v/>
      </c>
      <c r="AG98" s="71" t="str">
        <f>IF($G98="","",IF($AL98=1,"OVERDUE",IF($AM98=1,"BLOCKED",IF($AN98=1,"DUE TODAY",IF($AO98=1,"DUE TOMORROW",IF($AQ98=1,"HIGH PRIORITY",IF($AR98=1,"NO RECENT UPDATE",""))))))) </f>
        <v/>
      </c>
      <c r="AH98" s="71" t="str">
        <f>IF($G98="","",IF(ISNUMBER($A98),IF(ISNUMBER($A98),YEAR($A98)&amp;"-"&amp;TEXT(MONTH($A98),"00"),""),IF(ISNUMBER($L98),IF(ISNUMBER($L98),YEAR($L98)&amp;"-"&amp;TEXT(MONTH($L98),"00"),""),"")))</f>
        <v/>
      </c>
      <c r="AI98" s="71">
        <f>IF($G98="",0,IF(AND(OR(fClient="All",$C98=fClient),OR(fCampaign="All",$D98=fCampaign),OR(fTeam="All",$B98=fTeam),OR(fChannel="All",$F98=fChannel),OR(fMonth="All",$AH98=fMonth),OR(fTStatus="All",$M98=fTStatus)),1,0))</f>
        <v>0</v>
      </c>
      <c r="AJ98" s="71">
        <f>IF($G98="",0,IF(AND(OR(fClient="All",$C98=fClient),OR(fCampaign="All",$D98=fCampaign),OR(fTeam="All",$B98=fTeam),OR(fChannel="All",$F98=fChannel)),1,0))</f>
        <v>0</v>
      </c>
      <c r="AK98" s="71">
        <f>IF($G98="",0,IF(OR($M98="Completed",$M98="Cancelled"),0,1))</f>
        <v>0</v>
      </c>
      <c r="AL98" s="71">
        <f>IF(AND($AK98=1,ISNUMBER($L98)),IF($L98&lt;ReportDate,1,0),0)</f>
        <v>0</v>
      </c>
      <c r="AM98" s="71">
        <f>IF(AND($G98&lt;&gt;"",$M98="Blocked"),1,0)</f>
        <v>0</v>
      </c>
      <c r="AN98" s="71">
        <f>IF(AND($AK98=1,ISNUMBER($L98)),IF($L98=ReportDate,1,0),0)</f>
        <v>0</v>
      </c>
      <c r="AO98" s="71">
        <f>IF(AND($AK98=1,ISNUMBER($L98)),IF($L98=ReportDate+1,1,0),0)</f>
        <v>0</v>
      </c>
      <c r="AP98" s="71">
        <f>IF(AND($AK98=1,ISNUMBER($L98)),IF(AND($L98&gt;=ReportDate,$L98&lt;=ReportDate+DueSoonDays),1,0),0)</f>
        <v>0</v>
      </c>
      <c r="AQ98" s="71">
        <f>IF(AND($AK98=1,OR($I98="Critical",$I98="High")),1,0)</f>
        <v>0</v>
      </c>
      <c r="AR98" s="71">
        <f>IF($AK98=1,IF(ISNUMBER($Y98),IF(ReportDate-$Y98&gt;StaleDays,1,0),1),0)</f>
        <v>0</v>
      </c>
      <c r="AS98" s="71">
        <f>IF(AND($G98&lt;&gt;"",ISNUMBER($Q98),ISNUMBER($R98)),IF(AND($Q98&lt;$R98,OR($M98="Completed",AND(ISNUMBER($L98),$L98&lt;ReportDate))),1,0),0)</f>
        <v>0</v>
      </c>
      <c r="AT98" s="71">
        <f>IF($AK98=1,IF(OR($L98=ReportDate,$W98=ReportDate,$K98=ReportDate,$A98=ReportDate),1,0),0)</f>
        <v>0</v>
      </c>
      <c r="AU98" s="71">
        <f>IF($AK98=1,IF(OR($L98=ReportDate+1,$W98=ReportDate+1,$K98=ReportDate+1,$A98=ReportDate+1),1,0),0)</f>
        <v>0</v>
      </c>
      <c r="AV98" s="71">
        <f>IF(AND($G98&lt;&gt;"",$M98="Completed"),IF(OR($Y98=ReportDate-1,$A98=ReportDate-1),1,0),0)</f>
        <v>0</v>
      </c>
      <c r="AW98" s="71">
        <f>IF(AND($AK98=1,$Z98="Yes"),1,0)</f>
        <v>0</v>
      </c>
      <c r="AX98" s="71">
        <f>IF(AND($AK98=1,$AA98="Yes"),1,0)</f>
        <v>0</v>
      </c>
      <c r="AY98" s="71">
        <f>IF(AND($AM98=1,OR($I98="Critical",$I98="High")),1,0)</f>
        <v>0</v>
      </c>
      <c r="AZ98" s="71">
        <f>IF(AND($AK98=1,OR($C98=TCL_Client,$C98=MECCA_Client)),1,0)</f>
        <v>0</v>
      </c>
      <c r="BA98" s="71" t="str">
        <f>IF($G98="","",IFERROR(MATCH($I98,lst_Priority,0),5))</f>
        <v/>
      </c>
      <c r="BB98" s="71" t="str">
        <f>IF(AND($AL98=1,$AJ98=1),$BA98*100000+ROW(),"")</f>
        <v/>
      </c>
      <c r="BC98" s="71" t="str">
        <f>IF(AND($AM98=1,$AJ98=1),$BA98*100000+ROW(),"")</f>
        <v/>
      </c>
      <c r="BD98" s="71" t="str">
        <f>IF(AND($AP98=1,$AJ98=1),$BA98*100000+ROW(),"")</f>
        <v/>
      </c>
      <c r="BE98" s="71" t="str">
        <f>IF(AND($AT98=1,$AJ98=1),$BA98*100000+ROW(),"")</f>
        <v/>
      </c>
      <c r="BF98" s="71" t="str">
        <f>IF(AND($AU98=1,$AJ98=1),$BA98*100000+ROW(),"")</f>
        <v/>
      </c>
      <c r="BG98" s="71" t="str">
        <f>IF(AND($AV98=1,$AJ98=1),$BA98*100000+ROW(),"")</f>
        <v/>
      </c>
      <c r="BH98" s="71" t="str">
        <f>IF(AND($AW98=1,$AJ98=1),$BA98*100000+ROW(),"")</f>
        <v/>
      </c>
      <c r="BI98" s="71" t="str">
        <f>IF(AND($AX98=1,$AJ98=1),$BA98*100000+ROW(),"")</f>
        <v/>
      </c>
      <c r="BJ98" s="71" t="str">
        <f>IF(AND($AS98=1,$AJ98=1),$BA98*100000+ROW(),"")</f>
        <v/>
      </c>
      <c r="BK98" s="71" t="str">
        <f>IF(AND($AY98=1,$AJ98=1),$BA98*100000+ROW(),"")</f>
        <v/>
      </c>
      <c r="BL98" s="71" t="str">
        <f>IF(AND($AZ98=1),$BA98*100000+ROW(),"")</f>
        <v/>
      </c>
    </row>
    <row r="99">
      <c r="A99" s="63" t="n"/>
      <c r="B99" s="64" t="n"/>
      <c r="C99" s="64" t="n"/>
      <c r="D99" s="64" t="n"/>
      <c r="E99" s="64" t="n"/>
      <c r="F99" s="64" t="n"/>
      <c r="G99" s="65" t="n"/>
      <c r="H99" s="65" t="n"/>
      <c r="I99" s="64" t="n"/>
      <c r="J99" s="64" t="n"/>
      <c r="K99" s="63" t="n"/>
      <c r="L99" s="63" t="n"/>
      <c r="M99" s="64" t="n"/>
      <c r="N99" s="66" t="n"/>
      <c r="O99" s="65" t="n"/>
      <c r="P99" s="64" t="n"/>
      <c r="Q99" s="67" t="n"/>
      <c r="R99" s="67" t="n"/>
      <c r="S99" s="68" t="str">
        <f>IF(AND(ISNUMBER($Q99),ISNUMBER($R99)),$Q99-$R99,"")</f>
        <v/>
      </c>
      <c r="T99" s="65" t="n"/>
      <c r="U99" s="64" t="n"/>
      <c r="V99" s="65" t="n"/>
      <c r="W99" s="63" t="n"/>
      <c r="X99" s="65" t="n"/>
      <c r="Y99" s="63" t="n"/>
      <c r="Z99" s="64" t="n"/>
      <c r="AA99" s="64" t="n"/>
      <c r="AB99" s="65" t="n"/>
      <c r="AC99" s="69" t="str">
        <f>IF(OR($G99="",NOT(ISNUMBER($K99)),$AK99=0),"",MAX(0,ReportDate-$K99))</f>
        <v/>
      </c>
      <c r="AD99" s="69" t="str">
        <f>IF($G99="","",IF($AL99=1,ReportDate-$L99,0))</f>
        <v/>
      </c>
      <c r="AE99" s="70" t="str">
        <f>IF($G99="","",IF($M99="Completed",1,IF(ISNUMBER($N99),$N99,0)))</f>
        <v/>
      </c>
      <c r="AF99" s="70" t="str">
        <f>IF(AND(ISNUMBER($Q99),ISNUMBER($R99)),IF($R99&lt;&gt;0,$Q99/$R99,""),"")</f>
        <v/>
      </c>
      <c r="AG99" s="71" t="str">
        <f>IF($G99="","",IF($AL99=1,"OVERDUE",IF($AM99=1,"BLOCKED",IF($AN99=1,"DUE TODAY",IF($AO99=1,"DUE TOMORROW",IF($AQ99=1,"HIGH PRIORITY",IF($AR99=1,"NO RECENT UPDATE",""))))))) </f>
        <v/>
      </c>
      <c r="AH99" s="71" t="str">
        <f>IF($G99="","",IF(ISNUMBER($A99),IF(ISNUMBER($A99),YEAR($A99)&amp;"-"&amp;TEXT(MONTH($A99),"00"),""),IF(ISNUMBER($L99),IF(ISNUMBER($L99),YEAR($L99)&amp;"-"&amp;TEXT(MONTH($L99),"00"),""),"")))</f>
        <v/>
      </c>
      <c r="AI99" s="71">
        <f>IF($G99="",0,IF(AND(OR(fClient="All",$C99=fClient),OR(fCampaign="All",$D99=fCampaign),OR(fTeam="All",$B99=fTeam),OR(fChannel="All",$F99=fChannel),OR(fMonth="All",$AH99=fMonth),OR(fTStatus="All",$M99=fTStatus)),1,0))</f>
        <v>0</v>
      </c>
      <c r="AJ99" s="71">
        <f>IF($G99="",0,IF(AND(OR(fClient="All",$C99=fClient),OR(fCampaign="All",$D99=fCampaign),OR(fTeam="All",$B99=fTeam),OR(fChannel="All",$F99=fChannel)),1,0))</f>
        <v>0</v>
      </c>
      <c r="AK99" s="71">
        <f>IF($G99="",0,IF(OR($M99="Completed",$M99="Cancelled"),0,1))</f>
        <v>0</v>
      </c>
      <c r="AL99" s="71">
        <f>IF(AND($AK99=1,ISNUMBER($L99)),IF($L99&lt;ReportDate,1,0),0)</f>
        <v>0</v>
      </c>
      <c r="AM99" s="71">
        <f>IF(AND($G99&lt;&gt;"",$M99="Blocked"),1,0)</f>
        <v>0</v>
      </c>
      <c r="AN99" s="71">
        <f>IF(AND($AK99=1,ISNUMBER($L99)),IF($L99=ReportDate,1,0),0)</f>
        <v>0</v>
      </c>
      <c r="AO99" s="71">
        <f>IF(AND($AK99=1,ISNUMBER($L99)),IF($L99=ReportDate+1,1,0),0)</f>
        <v>0</v>
      </c>
      <c r="AP99" s="71">
        <f>IF(AND($AK99=1,ISNUMBER($L99)),IF(AND($L99&gt;=ReportDate,$L99&lt;=ReportDate+DueSoonDays),1,0),0)</f>
        <v>0</v>
      </c>
      <c r="AQ99" s="71">
        <f>IF(AND($AK99=1,OR($I99="Critical",$I99="High")),1,0)</f>
        <v>0</v>
      </c>
      <c r="AR99" s="71">
        <f>IF($AK99=1,IF(ISNUMBER($Y99),IF(ReportDate-$Y99&gt;StaleDays,1,0),1),0)</f>
        <v>0</v>
      </c>
      <c r="AS99" s="71">
        <f>IF(AND($G99&lt;&gt;"",ISNUMBER($Q99),ISNUMBER($R99)),IF(AND($Q99&lt;$R99,OR($M99="Completed",AND(ISNUMBER($L99),$L99&lt;ReportDate))),1,0),0)</f>
        <v>0</v>
      </c>
      <c r="AT99" s="71">
        <f>IF($AK99=1,IF(OR($L99=ReportDate,$W99=ReportDate,$K99=ReportDate,$A99=ReportDate),1,0),0)</f>
        <v>0</v>
      </c>
      <c r="AU99" s="71">
        <f>IF($AK99=1,IF(OR($L99=ReportDate+1,$W99=ReportDate+1,$K99=ReportDate+1,$A99=ReportDate+1),1,0),0)</f>
        <v>0</v>
      </c>
      <c r="AV99" s="71">
        <f>IF(AND($G99&lt;&gt;"",$M99="Completed"),IF(OR($Y99=ReportDate-1,$A99=ReportDate-1),1,0),0)</f>
        <v>0</v>
      </c>
      <c r="AW99" s="71">
        <f>IF(AND($AK99=1,$Z99="Yes"),1,0)</f>
        <v>0</v>
      </c>
      <c r="AX99" s="71">
        <f>IF(AND($AK99=1,$AA99="Yes"),1,0)</f>
        <v>0</v>
      </c>
      <c r="AY99" s="71">
        <f>IF(AND($AM99=1,OR($I99="Critical",$I99="High")),1,0)</f>
        <v>0</v>
      </c>
      <c r="AZ99" s="71">
        <f>IF(AND($AK99=1,OR($C99=TCL_Client,$C99=MECCA_Client)),1,0)</f>
        <v>0</v>
      </c>
      <c r="BA99" s="71" t="str">
        <f>IF($G99="","",IFERROR(MATCH($I99,lst_Priority,0),5))</f>
        <v/>
      </c>
      <c r="BB99" s="71" t="str">
        <f>IF(AND($AL99=1,$AJ99=1),$BA99*100000+ROW(),"")</f>
        <v/>
      </c>
      <c r="BC99" s="71" t="str">
        <f>IF(AND($AM99=1,$AJ99=1),$BA99*100000+ROW(),"")</f>
        <v/>
      </c>
      <c r="BD99" s="71" t="str">
        <f>IF(AND($AP99=1,$AJ99=1),$BA99*100000+ROW(),"")</f>
        <v/>
      </c>
      <c r="BE99" s="71" t="str">
        <f>IF(AND($AT99=1,$AJ99=1),$BA99*100000+ROW(),"")</f>
        <v/>
      </c>
      <c r="BF99" s="71" t="str">
        <f>IF(AND($AU99=1,$AJ99=1),$BA99*100000+ROW(),"")</f>
        <v/>
      </c>
      <c r="BG99" s="71" t="str">
        <f>IF(AND($AV99=1,$AJ99=1),$BA99*100000+ROW(),"")</f>
        <v/>
      </c>
      <c r="BH99" s="71" t="str">
        <f>IF(AND($AW99=1,$AJ99=1),$BA99*100000+ROW(),"")</f>
        <v/>
      </c>
      <c r="BI99" s="71" t="str">
        <f>IF(AND($AX99=1,$AJ99=1),$BA99*100000+ROW(),"")</f>
        <v/>
      </c>
      <c r="BJ99" s="71" t="str">
        <f>IF(AND($AS99=1,$AJ99=1),$BA99*100000+ROW(),"")</f>
        <v/>
      </c>
      <c r="BK99" s="71" t="str">
        <f>IF(AND($AY99=1,$AJ99=1),$BA99*100000+ROW(),"")</f>
        <v/>
      </c>
      <c r="BL99" s="71" t="str">
        <f>IF(AND($AZ99=1),$BA99*100000+ROW(),"")</f>
        <v/>
      </c>
    </row>
    <row r="100">
      <c r="A100" s="63" t="n"/>
      <c r="B100" s="64" t="n"/>
      <c r="C100" s="64" t="n"/>
      <c r="D100" s="64" t="n"/>
      <c r="E100" s="64" t="n"/>
      <c r="F100" s="64" t="n"/>
      <c r="G100" s="65" t="n"/>
      <c r="H100" s="65" t="n"/>
      <c r="I100" s="64" t="n"/>
      <c r="J100" s="64" t="n"/>
      <c r="K100" s="63" t="n"/>
      <c r="L100" s="63" t="n"/>
      <c r="M100" s="64" t="n"/>
      <c r="N100" s="66" t="n"/>
      <c r="O100" s="65" t="n"/>
      <c r="P100" s="64" t="n"/>
      <c r="Q100" s="67" t="n"/>
      <c r="R100" s="67" t="n"/>
      <c r="S100" s="68" t="str">
        <f>IF(AND(ISNUMBER($Q100),ISNUMBER($R100)),$Q100-$R100,"")</f>
        <v/>
      </c>
      <c r="T100" s="65" t="n"/>
      <c r="U100" s="64" t="n"/>
      <c r="V100" s="65" t="n"/>
      <c r="W100" s="63" t="n"/>
      <c r="X100" s="65" t="n"/>
      <c r="Y100" s="63" t="n"/>
      <c r="Z100" s="64" t="n"/>
      <c r="AA100" s="64" t="n"/>
      <c r="AB100" s="65" t="n"/>
      <c r="AC100" s="69" t="str">
        <f>IF(OR($G100="",NOT(ISNUMBER($K100)),$AK100=0),"",MAX(0,ReportDate-$K100))</f>
        <v/>
      </c>
      <c r="AD100" s="69" t="str">
        <f>IF($G100="","",IF($AL100=1,ReportDate-$L100,0))</f>
        <v/>
      </c>
      <c r="AE100" s="70" t="str">
        <f>IF($G100="","",IF($M100="Completed",1,IF(ISNUMBER($N100),$N100,0)))</f>
        <v/>
      </c>
      <c r="AF100" s="70" t="str">
        <f>IF(AND(ISNUMBER($Q100),ISNUMBER($R100)),IF($R100&lt;&gt;0,$Q100/$R100,""),"")</f>
        <v/>
      </c>
      <c r="AG100" s="71" t="str">
        <f>IF($G100="","",IF($AL100=1,"OVERDUE",IF($AM100=1,"BLOCKED",IF($AN100=1,"DUE TODAY",IF($AO100=1,"DUE TOMORROW",IF($AQ100=1,"HIGH PRIORITY",IF($AR100=1,"NO RECENT UPDATE",""))))))) </f>
        <v/>
      </c>
      <c r="AH100" s="71" t="str">
        <f>IF($G100="","",IF(ISNUMBER($A100),IF(ISNUMBER($A100),YEAR($A100)&amp;"-"&amp;TEXT(MONTH($A100),"00"),""),IF(ISNUMBER($L100),IF(ISNUMBER($L100),YEAR($L100)&amp;"-"&amp;TEXT(MONTH($L100),"00"),""),"")))</f>
        <v/>
      </c>
      <c r="AI100" s="71">
        <f>IF($G100="",0,IF(AND(OR(fClient="All",$C100=fClient),OR(fCampaign="All",$D100=fCampaign),OR(fTeam="All",$B100=fTeam),OR(fChannel="All",$F100=fChannel),OR(fMonth="All",$AH100=fMonth),OR(fTStatus="All",$M100=fTStatus)),1,0))</f>
        <v>0</v>
      </c>
      <c r="AJ100" s="71">
        <f>IF($G100="",0,IF(AND(OR(fClient="All",$C100=fClient),OR(fCampaign="All",$D100=fCampaign),OR(fTeam="All",$B100=fTeam),OR(fChannel="All",$F100=fChannel)),1,0))</f>
        <v>0</v>
      </c>
      <c r="AK100" s="71">
        <f>IF($G100="",0,IF(OR($M100="Completed",$M100="Cancelled"),0,1))</f>
        <v>0</v>
      </c>
      <c r="AL100" s="71">
        <f>IF(AND($AK100=1,ISNUMBER($L100)),IF($L100&lt;ReportDate,1,0),0)</f>
        <v>0</v>
      </c>
      <c r="AM100" s="71">
        <f>IF(AND($G100&lt;&gt;"",$M100="Blocked"),1,0)</f>
        <v>0</v>
      </c>
      <c r="AN100" s="71">
        <f>IF(AND($AK100=1,ISNUMBER($L100)),IF($L100=ReportDate,1,0),0)</f>
        <v>0</v>
      </c>
      <c r="AO100" s="71">
        <f>IF(AND($AK100=1,ISNUMBER($L100)),IF($L100=ReportDate+1,1,0),0)</f>
        <v>0</v>
      </c>
      <c r="AP100" s="71">
        <f>IF(AND($AK100=1,ISNUMBER($L100)),IF(AND($L100&gt;=ReportDate,$L100&lt;=ReportDate+DueSoonDays),1,0),0)</f>
        <v>0</v>
      </c>
      <c r="AQ100" s="71">
        <f>IF(AND($AK100=1,OR($I100="Critical",$I100="High")),1,0)</f>
        <v>0</v>
      </c>
      <c r="AR100" s="71">
        <f>IF($AK100=1,IF(ISNUMBER($Y100),IF(ReportDate-$Y100&gt;StaleDays,1,0),1),0)</f>
        <v>0</v>
      </c>
      <c r="AS100" s="71">
        <f>IF(AND($G100&lt;&gt;"",ISNUMBER($Q100),ISNUMBER($R100)),IF(AND($Q100&lt;$R100,OR($M100="Completed",AND(ISNUMBER($L100),$L100&lt;ReportDate))),1,0),0)</f>
        <v>0</v>
      </c>
      <c r="AT100" s="71">
        <f>IF($AK100=1,IF(OR($L100=ReportDate,$W100=ReportDate,$K100=ReportDate,$A100=ReportDate),1,0),0)</f>
        <v>0</v>
      </c>
      <c r="AU100" s="71">
        <f>IF($AK100=1,IF(OR($L100=ReportDate+1,$W100=ReportDate+1,$K100=ReportDate+1,$A100=ReportDate+1),1,0),0)</f>
        <v>0</v>
      </c>
      <c r="AV100" s="71">
        <f>IF(AND($G100&lt;&gt;"",$M100="Completed"),IF(OR($Y100=ReportDate-1,$A100=ReportDate-1),1,0),0)</f>
        <v>0</v>
      </c>
      <c r="AW100" s="71">
        <f>IF(AND($AK100=1,$Z100="Yes"),1,0)</f>
        <v>0</v>
      </c>
      <c r="AX100" s="71">
        <f>IF(AND($AK100=1,$AA100="Yes"),1,0)</f>
        <v>0</v>
      </c>
      <c r="AY100" s="71">
        <f>IF(AND($AM100=1,OR($I100="Critical",$I100="High")),1,0)</f>
        <v>0</v>
      </c>
      <c r="AZ100" s="71">
        <f>IF(AND($AK100=1,OR($C100=TCL_Client,$C100=MECCA_Client)),1,0)</f>
        <v>0</v>
      </c>
      <c r="BA100" s="71" t="str">
        <f>IF($G100="","",IFERROR(MATCH($I100,lst_Priority,0),5))</f>
        <v/>
      </c>
      <c r="BB100" s="71" t="str">
        <f>IF(AND($AL100=1,$AJ100=1),$BA100*100000+ROW(),"")</f>
        <v/>
      </c>
      <c r="BC100" s="71" t="str">
        <f>IF(AND($AM100=1,$AJ100=1),$BA100*100000+ROW(),"")</f>
        <v/>
      </c>
      <c r="BD100" s="71" t="str">
        <f>IF(AND($AP100=1,$AJ100=1),$BA100*100000+ROW(),"")</f>
        <v/>
      </c>
      <c r="BE100" s="71" t="str">
        <f>IF(AND($AT100=1,$AJ100=1),$BA100*100000+ROW(),"")</f>
        <v/>
      </c>
      <c r="BF100" s="71" t="str">
        <f>IF(AND($AU100=1,$AJ100=1),$BA100*100000+ROW(),"")</f>
        <v/>
      </c>
      <c r="BG100" s="71" t="str">
        <f>IF(AND($AV100=1,$AJ100=1),$BA100*100000+ROW(),"")</f>
        <v/>
      </c>
      <c r="BH100" s="71" t="str">
        <f>IF(AND($AW100=1,$AJ100=1),$BA100*100000+ROW(),"")</f>
        <v/>
      </c>
      <c r="BI100" s="71" t="str">
        <f>IF(AND($AX100=1,$AJ100=1),$BA100*100000+ROW(),"")</f>
        <v/>
      </c>
      <c r="BJ100" s="71" t="str">
        <f>IF(AND($AS100=1,$AJ100=1),$BA100*100000+ROW(),"")</f>
        <v/>
      </c>
      <c r="BK100" s="71" t="str">
        <f>IF(AND($AY100=1,$AJ100=1),$BA100*100000+ROW(),"")</f>
        <v/>
      </c>
      <c r="BL100" s="71" t="str">
        <f>IF(AND($AZ100=1),$BA100*100000+ROW(),"")</f>
        <v/>
      </c>
    </row>
    <row r="101">
      <c r="A101" s="63" t="n"/>
      <c r="B101" s="64" t="n"/>
      <c r="C101" s="64" t="n"/>
      <c r="D101" s="64" t="n"/>
      <c r="E101" s="64" t="n"/>
      <c r="F101" s="64" t="n"/>
      <c r="G101" s="65" t="n"/>
      <c r="H101" s="65" t="n"/>
      <c r="I101" s="64" t="n"/>
      <c r="J101" s="64" t="n"/>
      <c r="K101" s="63" t="n"/>
      <c r="L101" s="63" t="n"/>
      <c r="M101" s="64" t="n"/>
      <c r="N101" s="66" t="n"/>
      <c r="O101" s="65" t="n"/>
      <c r="P101" s="64" t="n"/>
      <c r="Q101" s="67" t="n"/>
      <c r="R101" s="67" t="n"/>
      <c r="S101" s="68" t="str">
        <f>IF(AND(ISNUMBER($Q101),ISNUMBER($R101)),$Q101-$R101,"")</f>
        <v/>
      </c>
      <c r="T101" s="65" t="n"/>
      <c r="U101" s="64" t="n"/>
      <c r="V101" s="65" t="n"/>
      <c r="W101" s="63" t="n"/>
      <c r="X101" s="65" t="n"/>
      <c r="Y101" s="63" t="n"/>
      <c r="Z101" s="64" t="n"/>
      <c r="AA101" s="64" t="n"/>
      <c r="AB101" s="65" t="n"/>
      <c r="AC101" s="69" t="str">
        <f>IF(OR($G101="",NOT(ISNUMBER($K101)),$AK101=0),"",MAX(0,ReportDate-$K101))</f>
        <v/>
      </c>
      <c r="AD101" s="69" t="str">
        <f>IF($G101="","",IF($AL101=1,ReportDate-$L101,0))</f>
        <v/>
      </c>
      <c r="AE101" s="70" t="str">
        <f>IF($G101="","",IF($M101="Completed",1,IF(ISNUMBER($N101),$N101,0)))</f>
        <v/>
      </c>
      <c r="AF101" s="70" t="str">
        <f>IF(AND(ISNUMBER($Q101),ISNUMBER($R101)),IF($R101&lt;&gt;0,$Q101/$R101,""),"")</f>
        <v/>
      </c>
      <c r="AG101" s="71" t="str">
        <f>IF($G101="","",IF($AL101=1,"OVERDUE",IF($AM101=1,"BLOCKED",IF($AN101=1,"DUE TODAY",IF($AO101=1,"DUE TOMORROW",IF($AQ101=1,"HIGH PRIORITY",IF($AR101=1,"NO RECENT UPDATE",""))))))) </f>
        <v/>
      </c>
      <c r="AH101" s="71" t="str">
        <f>IF($G101="","",IF(ISNUMBER($A101),IF(ISNUMBER($A101),YEAR($A101)&amp;"-"&amp;TEXT(MONTH($A101),"00"),""),IF(ISNUMBER($L101),IF(ISNUMBER($L101),YEAR($L101)&amp;"-"&amp;TEXT(MONTH($L101),"00"),""),"")))</f>
        <v/>
      </c>
      <c r="AI101" s="71">
        <f>IF($G101="",0,IF(AND(OR(fClient="All",$C101=fClient),OR(fCampaign="All",$D101=fCampaign),OR(fTeam="All",$B101=fTeam),OR(fChannel="All",$F101=fChannel),OR(fMonth="All",$AH101=fMonth),OR(fTStatus="All",$M101=fTStatus)),1,0))</f>
        <v>0</v>
      </c>
      <c r="AJ101" s="71">
        <f>IF($G101="",0,IF(AND(OR(fClient="All",$C101=fClient),OR(fCampaign="All",$D101=fCampaign),OR(fTeam="All",$B101=fTeam),OR(fChannel="All",$F101=fChannel)),1,0))</f>
        <v>0</v>
      </c>
      <c r="AK101" s="71">
        <f>IF($G101="",0,IF(OR($M101="Completed",$M101="Cancelled"),0,1))</f>
        <v>0</v>
      </c>
      <c r="AL101" s="71">
        <f>IF(AND($AK101=1,ISNUMBER($L101)),IF($L101&lt;ReportDate,1,0),0)</f>
        <v>0</v>
      </c>
      <c r="AM101" s="71">
        <f>IF(AND($G101&lt;&gt;"",$M101="Blocked"),1,0)</f>
        <v>0</v>
      </c>
      <c r="AN101" s="71">
        <f>IF(AND($AK101=1,ISNUMBER($L101)),IF($L101=ReportDate,1,0),0)</f>
        <v>0</v>
      </c>
      <c r="AO101" s="71">
        <f>IF(AND($AK101=1,ISNUMBER($L101)),IF($L101=ReportDate+1,1,0),0)</f>
        <v>0</v>
      </c>
      <c r="AP101" s="71">
        <f>IF(AND($AK101=1,ISNUMBER($L101)),IF(AND($L101&gt;=ReportDate,$L101&lt;=ReportDate+DueSoonDays),1,0),0)</f>
        <v>0</v>
      </c>
      <c r="AQ101" s="71">
        <f>IF(AND($AK101=1,OR($I101="Critical",$I101="High")),1,0)</f>
        <v>0</v>
      </c>
      <c r="AR101" s="71">
        <f>IF($AK101=1,IF(ISNUMBER($Y101),IF(ReportDate-$Y101&gt;StaleDays,1,0),1),0)</f>
        <v>0</v>
      </c>
      <c r="AS101" s="71">
        <f>IF(AND($G101&lt;&gt;"",ISNUMBER($Q101),ISNUMBER($R101)),IF(AND($Q101&lt;$R101,OR($M101="Completed",AND(ISNUMBER($L101),$L101&lt;ReportDate))),1,0),0)</f>
        <v>0</v>
      </c>
      <c r="AT101" s="71">
        <f>IF($AK101=1,IF(OR($L101=ReportDate,$W101=ReportDate,$K101=ReportDate,$A101=ReportDate),1,0),0)</f>
        <v>0</v>
      </c>
      <c r="AU101" s="71">
        <f>IF($AK101=1,IF(OR($L101=ReportDate+1,$W101=ReportDate+1,$K101=ReportDate+1,$A101=ReportDate+1),1,0),0)</f>
        <v>0</v>
      </c>
      <c r="AV101" s="71">
        <f>IF(AND($G101&lt;&gt;"",$M101="Completed"),IF(OR($Y101=ReportDate-1,$A101=ReportDate-1),1,0),0)</f>
        <v>0</v>
      </c>
      <c r="AW101" s="71">
        <f>IF(AND($AK101=1,$Z101="Yes"),1,0)</f>
        <v>0</v>
      </c>
      <c r="AX101" s="71">
        <f>IF(AND($AK101=1,$AA101="Yes"),1,0)</f>
        <v>0</v>
      </c>
      <c r="AY101" s="71">
        <f>IF(AND($AM101=1,OR($I101="Critical",$I101="High")),1,0)</f>
        <v>0</v>
      </c>
      <c r="AZ101" s="71">
        <f>IF(AND($AK101=1,OR($C101=TCL_Client,$C101=MECCA_Client)),1,0)</f>
        <v>0</v>
      </c>
      <c r="BA101" s="71" t="str">
        <f>IF($G101="","",IFERROR(MATCH($I101,lst_Priority,0),5))</f>
        <v/>
      </c>
      <c r="BB101" s="71" t="str">
        <f>IF(AND($AL101=1,$AJ101=1),$BA101*100000+ROW(),"")</f>
        <v/>
      </c>
      <c r="BC101" s="71" t="str">
        <f>IF(AND($AM101=1,$AJ101=1),$BA101*100000+ROW(),"")</f>
        <v/>
      </c>
      <c r="BD101" s="71" t="str">
        <f>IF(AND($AP101=1,$AJ101=1),$BA101*100000+ROW(),"")</f>
        <v/>
      </c>
      <c r="BE101" s="71" t="str">
        <f>IF(AND($AT101=1,$AJ101=1),$BA101*100000+ROW(),"")</f>
        <v/>
      </c>
      <c r="BF101" s="71" t="str">
        <f>IF(AND($AU101=1,$AJ101=1),$BA101*100000+ROW(),"")</f>
        <v/>
      </c>
      <c r="BG101" s="71" t="str">
        <f>IF(AND($AV101=1,$AJ101=1),$BA101*100000+ROW(),"")</f>
        <v/>
      </c>
      <c r="BH101" s="71" t="str">
        <f>IF(AND($AW101=1,$AJ101=1),$BA101*100000+ROW(),"")</f>
        <v/>
      </c>
      <c r="BI101" s="71" t="str">
        <f>IF(AND($AX101=1,$AJ101=1),$BA101*100000+ROW(),"")</f>
        <v/>
      </c>
      <c r="BJ101" s="71" t="str">
        <f>IF(AND($AS101=1,$AJ101=1),$BA101*100000+ROW(),"")</f>
        <v/>
      </c>
      <c r="BK101" s="71" t="str">
        <f>IF(AND($AY101=1,$AJ101=1),$BA101*100000+ROW(),"")</f>
        <v/>
      </c>
      <c r="BL101" s="71" t="str">
        <f>IF(AND($AZ101=1),$BA101*100000+ROW(),"")</f>
        <v/>
      </c>
    </row>
    <row r="102">
      <c r="A102" s="63" t="n"/>
      <c r="B102" s="64" t="n"/>
      <c r="C102" s="64" t="n"/>
      <c r="D102" s="64" t="n"/>
      <c r="E102" s="64" t="n"/>
      <c r="F102" s="64" t="n"/>
      <c r="G102" s="65" t="n"/>
      <c r="H102" s="65" t="n"/>
      <c r="I102" s="64" t="n"/>
      <c r="J102" s="64" t="n"/>
      <c r="K102" s="63" t="n"/>
      <c r="L102" s="63" t="n"/>
      <c r="M102" s="64" t="n"/>
      <c r="N102" s="66" t="n"/>
      <c r="O102" s="65" t="n"/>
      <c r="P102" s="64" t="n"/>
      <c r="Q102" s="67" t="n"/>
      <c r="R102" s="67" t="n"/>
      <c r="S102" s="68" t="str">
        <f>IF(AND(ISNUMBER($Q102),ISNUMBER($R102)),$Q102-$R102,"")</f>
        <v/>
      </c>
      <c r="T102" s="65" t="n"/>
      <c r="U102" s="64" t="n"/>
      <c r="V102" s="65" t="n"/>
      <c r="W102" s="63" t="n"/>
      <c r="X102" s="65" t="n"/>
      <c r="Y102" s="63" t="n"/>
      <c r="Z102" s="64" t="n"/>
      <c r="AA102" s="64" t="n"/>
      <c r="AB102" s="65" t="n"/>
      <c r="AC102" s="69" t="str">
        <f>IF(OR($G102="",NOT(ISNUMBER($K102)),$AK102=0),"",MAX(0,ReportDate-$K102))</f>
        <v/>
      </c>
      <c r="AD102" s="69" t="str">
        <f>IF($G102="","",IF($AL102=1,ReportDate-$L102,0))</f>
        <v/>
      </c>
      <c r="AE102" s="70" t="str">
        <f>IF($G102="","",IF($M102="Completed",1,IF(ISNUMBER($N102),$N102,0)))</f>
        <v/>
      </c>
      <c r="AF102" s="70" t="str">
        <f>IF(AND(ISNUMBER($Q102),ISNUMBER($R102)),IF($R102&lt;&gt;0,$Q102/$R102,""),"")</f>
        <v/>
      </c>
      <c r="AG102" s="71" t="str">
        <f>IF($G102="","",IF($AL102=1,"OVERDUE",IF($AM102=1,"BLOCKED",IF($AN102=1,"DUE TODAY",IF($AO102=1,"DUE TOMORROW",IF($AQ102=1,"HIGH PRIORITY",IF($AR102=1,"NO RECENT UPDATE",""))))))) </f>
        <v/>
      </c>
      <c r="AH102" s="71" t="str">
        <f>IF($G102="","",IF(ISNUMBER($A102),IF(ISNUMBER($A102),YEAR($A102)&amp;"-"&amp;TEXT(MONTH($A102),"00"),""),IF(ISNUMBER($L102),IF(ISNUMBER($L102),YEAR($L102)&amp;"-"&amp;TEXT(MONTH($L102),"00"),""),"")))</f>
        <v/>
      </c>
      <c r="AI102" s="71">
        <f>IF($G102="",0,IF(AND(OR(fClient="All",$C102=fClient),OR(fCampaign="All",$D102=fCampaign),OR(fTeam="All",$B102=fTeam),OR(fChannel="All",$F102=fChannel),OR(fMonth="All",$AH102=fMonth),OR(fTStatus="All",$M102=fTStatus)),1,0))</f>
        <v>0</v>
      </c>
      <c r="AJ102" s="71">
        <f>IF($G102="",0,IF(AND(OR(fClient="All",$C102=fClient),OR(fCampaign="All",$D102=fCampaign),OR(fTeam="All",$B102=fTeam),OR(fChannel="All",$F102=fChannel)),1,0))</f>
        <v>0</v>
      </c>
      <c r="AK102" s="71">
        <f>IF($G102="",0,IF(OR($M102="Completed",$M102="Cancelled"),0,1))</f>
        <v>0</v>
      </c>
      <c r="AL102" s="71">
        <f>IF(AND($AK102=1,ISNUMBER($L102)),IF($L102&lt;ReportDate,1,0),0)</f>
        <v>0</v>
      </c>
      <c r="AM102" s="71">
        <f>IF(AND($G102&lt;&gt;"",$M102="Blocked"),1,0)</f>
        <v>0</v>
      </c>
      <c r="AN102" s="71">
        <f>IF(AND($AK102=1,ISNUMBER($L102)),IF($L102=ReportDate,1,0),0)</f>
        <v>0</v>
      </c>
      <c r="AO102" s="71">
        <f>IF(AND($AK102=1,ISNUMBER($L102)),IF($L102=ReportDate+1,1,0),0)</f>
        <v>0</v>
      </c>
      <c r="AP102" s="71">
        <f>IF(AND($AK102=1,ISNUMBER($L102)),IF(AND($L102&gt;=ReportDate,$L102&lt;=ReportDate+DueSoonDays),1,0),0)</f>
        <v>0</v>
      </c>
      <c r="AQ102" s="71">
        <f>IF(AND($AK102=1,OR($I102="Critical",$I102="High")),1,0)</f>
        <v>0</v>
      </c>
      <c r="AR102" s="71">
        <f>IF($AK102=1,IF(ISNUMBER($Y102),IF(ReportDate-$Y102&gt;StaleDays,1,0),1),0)</f>
        <v>0</v>
      </c>
      <c r="AS102" s="71">
        <f>IF(AND($G102&lt;&gt;"",ISNUMBER($Q102),ISNUMBER($R102)),IF(AND($Q102&lt;$R102,OR($M102="Completed",AND(ISNUMBER($L102),$L102&lt;ReportDate))),1,0),0)</f>
        <v>0</v>
      </c>
      <c r="AT102" s="71">
        <f>IF($AK102=1,IF(OR($L102=ReportDate,$W102=ReportDate,$K102=ReportDate,$A102=ReportDate),1,0),0)</f>
        <v>0</v>
      </c>
      <c r="AU102" s="71">
        <f>IF($AK102=1,IF(OR($L102=ReportDate+1,$W102=ReportDate+1,$K102=ReportDate+1,$A102=ReportDate+1),1,0),0)</f>
        <v>0</v>
      </c>
      <c r="AV102" s="71">
        <f>IF(AND($G102&lt;&gt;"",$M102="Completed"),IF(OR($Y102=ReportDate-1,$A102=ReportDate-1),1,0),0)</f>
        <v>0</v>
      </c>
      <c r="AW102" s="71">
        <f>IF(AND($AK102=1,$Z102="Yes"),1,0)</f>
        <v>0</v>
      </c>
      <c r="AX102" s="71">
        <f>IF(AND($AK102=1,$AA102="Yes"),1,0)</f>
        <v>0</v>
      </c>
      <c r="AY102" s="71">
        <f>IF(AND($AM102=1,OR($I102="Critical",$I102="High")),1,0)</f>
        <v>0</v>
      </c>
      <c r="AZ102" s="71">
        <f>IF(AND($AK102=1,OR($C102=TCL_Client,$C102=MECCA_Client)),1,0)</f>
        <v>0</v>
      </c>
      <c r="BA102" s="71" t="str">
        <f>IF($G102="","",IFERROR(MATCH($I102,lst_Priority,0),5))</f>
        <v/>
      </c>
      <c r="BB102" s="71" t="str">
        <f>IF(AND($AL102=1,$AJ102=1),$BA102*100000+ROW(),"")</f>
        <v/>
      </c>
      <c r="BC102" s="71" t="str">
        <f>IF(AND($AM102=1,$AJ102=1),$BA102*100000+ROW(),"")</f>
        <v/>
      </c>
      <c r="BD102" s="71" t="str">
        <f>IF(AND($AP102=1,$AJ102=1),$BA102*100000+ROW(),"")</f>
        <v/>
      </c>
      <c r="BE102" s="71" t="str">
        <f>IF(AND($AT102=1,$AJ102=1),$BA102*100000+ROW(),"")</f>
        <v/>
      </c>
      <c r="BF102" s="71" t="str">
        <f>IF(AND($AU102=1,$AJ102=1),$BA102*100000+ROW(),"")</f>
        <v/>
      </c>
      <c r="BG102" s="71" t="str">
        <f>IF(AND($AV102=1,$AJ102=1),$BA102*100000+ROW(),"")</f>
        <v/>
      </c>
      <c r="BH102" s="71" t="str">
        <f>IF(AND($AW102=1,$AJ102=1),$BA102*100000+ROW(),"")</f>
        <v/>
      </c>
      <c r="BI102" s="71" t="str">
        <f>IF(AND($AX102=1,$AJ102=1),$BA102*100000+ROW(),"")</f>
        <v/>
      </c>
      <c r="BJ102" s="71" t="str">
        <f>IF(AND($AS102=1,$AJ102=1),$BA102*100000+ROW(),"")</f>
        <v/>
      </c>
      <c r="BK102" s="71" t="str">
        <f>IF(AND($AY102=1,$AJ102=1),$BA102*100000+ROW(),"")</f>
        <v/>
      </c>
      <c r="BL102" s="71" t="str">
        <f>IF(AND($AZ102=1),$BA102*100000+ROW(),"")</f>
        <v/>
      </c>
    </row>
    <row r="103">
      <c r="A103" s="63" t="n"/>
      <c r="B103" s="64" t="n"/>
      <c r="C103" s="64" t="n"/>
      <c r="D103" s="64" t="n"/>
      <c r="E103" s="64" t="n"/>
      <c r="F103" s="64" t="n"/>
      <c r="G103" s="65" t="n"/>
      <c r="H103" s="65" t="n"/>
      <c r="I103" s="64" t="n"/>
      <c r="J103" s="64" t="n"/>
      <c r="K103" s="63" t="n"/>
      <c r="L103" s="63" t="n"/>
      <c r="M103" s="64" t="n"/>
      <c r="N103" s="66" t="n"/>
      <c r="O103" s="65" t="n"/>
      <c r="P103" s="64" t="n"/>
      <c r="Q103" s="67" t="n"/>
      <c r="R103" s="67" t="n"/>
      <c r="S103" s="68" t="str">
        <f>IF(AND(ISNUMBER($Q103),ISNUMBER($R103)),$Q103-$R103,"")</f>
        <v/>
      </c>
      <c r="T103" s="65" t="n"/>
      <c r="U103" s="64" t="n"/>
      <c r="V103" s="65" t="n"/>
      <c r="W103" s="63" t="n"/>
      <c r="X103" s="65" t="n"/>
      <c r="Y103" s="63" t="n"/>
      <c r="Z103" s="64" t="n"/>
      <c r="AA103" s="64" t="n"/>
      <c r="AB103" s="65" t="n"/>
      <c r="AC103" s="69" t="str">
        <f>IF(OR($G103="",NOT(ISNUMBER($K103)),$AK103=0),"",MAX(0,ReportDate-$K103))</f>
        <v/>
      </c>
      <c r="AD103" s="69" t="str">
        <f>IF($G103="","",IF($AL103=1,ReportDate-$L103,0))</f>
        <v/>
      </c>
      <c r="AE103" s="70" t="str">
        <f>IF($G103="","",IF($M103="Completed",1,IF(ISNUMBER($N103),$N103,0)))</f>
        <v/>
      </c>
      <c r="AF103" s="70" t="str">
        <f>IF(AND(ISNUMBER($Q103),ISNUMBER($R103)),IF($R103&lt;&gt;0,$Q103/$R103,""),"")</f>
        <v/>
      </c>
      <c r="AG103" s="71" t="str">
        <f>IF($G103="","",IF($AL103=1,"OVERDUE",IF($AM103=1,"BLOCKED",IF($AN103=1,"DUE TODAY",IF($AO103=1,"DUE TOMORROW",IF($AQ103=1,"HIGH PRIORITY",IF($AR103=1,"NO RECENT UPDATE",""))))))) </f>
        <v/>
      </c>
      <c r="AH103" s="71" t="str">
        <f>IF($G103="","",IF(ISNUMBER($A103),IF(ISNUMBER($A103),YEAR($A103)&amp;"-"&amp;TEXT(MONTH($A103),"00"),""),IF(ISNUMBER($L103),IF(ISNUMBER($L103),YEAR($L103)&amp;"-"&amp;TEXT(MONTH($L103),"00"),""),"")))</f>
        <v/>
      </c>
      <c r="AI103" s="71">
        <f>IF($G103="",0,IF(AND(OR(fClient="All",$C103=fClient),OR(fCampaign="All",$D103=fCampaign),OR(fTeam="All",$B103=fTeam),OR(fChannel="All",$F103=fChannel),OR(fMonth="All",$AH103=fMonth),OR(fTStatus="All",$M103=fTStatus)),1,0))</f>
        <v>0</v>
      </c>
      <c r="AJ103" s="71">
        <f>IF($G103="",0,IF(AND(OR(fClient="All",$C103=fClient),OR(fCampaign="All",$D103=fCampaign),OR(fTeam="All",$B103=fTeam),OR(fChannel="All",$F103=fChannel)),1,0))</f>
        <v>0</v>
      </c>
      <c r="AK103" s="71">
        <f>IF($G103="",0,IF(OR($M103="Completed",$M103="Cancelled"),0,1))</f>
        <v>0</v>
      </c>
      <c r="AL103" s="71">
        <f>IF(AND($AK103=1,ISNUMBER($L103)),IF($L103&lt;ReportDate,1,0),0)</f>
        <v>0</v>
      </c>
      <c r="AM103" s="71">
        <f>IF(AND($G103&lt;&gt;"",$M103="Blocked"),1,0)</f>
        <v>0</v>
      </c>
      <c r="AN103" s="71">
        <f>IF(AND($AK103=1,ISNUMBER($L103)),IF($L103=ReportDate,1,0),0)</f>
        <v>0</v>
      </c>
      <c r="AO103" s="71">
        <f>IF(AND($AK103=1,ISNUMBER($L103)),IF($L103=ReportDate+1,1,0),0)</f>
        <v>0</v>
      </c>
      <c r="AP103" s="71">
        <f>IF(AND($AK103=1,ISNUMBER($L103)),IF(AND($L103&gt;=ReportDate,$L103&lt;=ReportDate+DueSoonDays),1,0),0)</f>
        <v>0</v>
      </c>
      <c r="AQ103" s="71">
        <f>IF(AND($AK103=1,OR($I103="Critical",$I103="High")),1,0)</f>
        <v>0</v>
      </c>
      <c r="AR103" s="71">
        <f>IF($AK103=1,IF(ISNUMBER($Y103),IF(ReportDate-$Y103&gt;StaleDays,1,0),1),0)</f>
        <v>0</v>
      </c>
      <c r="AS103" s="71">
        <f>IF(AND($G103&lt;&gt;"",ISNUMBER($Q103),ISNUMBER($R103)),IF(AND($Q103&lt;$R103,OR($M103="Completed",AND(ISNUMBER($L103),$L103&lt;ReportDate))),1,0),0)</f>
        <v>0</v>
      </c>
      <c r="AT103" s="71">
        <f>IF($AK103=1,IF(OR($L103=ReportDate,$W103=ReportDate,$K103=ReportDate,$A103=ReportDate),1,0),0)</f>
        <v>0</v>
      </c>
      <c r="AU103" s="71">
        <f>IF($AK103=1,IF(OR($L103=ReportDate+1,$W103=ReportDate+1,$K103=ReportDate+1,$A103=ReportDate+1),1,0),0)</f>
        <v>0</v>
      </c>
      <c r="AV103" s="71">
        <f>IF(AND($G103&lt;&gt;"",$M103="Completed"),IF(OR($Y103=ReportDate-1,$A103=ReportDate-1),1,0),0)</f>
        <v>0</v>
      </c>
      <c r="AW103" s="71">
        <f>IF(AND($AK103=1,$Z103="Yes"),1,0)</f>
        <v>0</v>
      </c>
      <c r="AX103" s="71">
        <f>IF(AND($AK103=1,$AA103="Yes"),1,0)</f>
        <v>0</v>
      </c>
      <c r="AY103" s="71">
        <f>IF(AND($AM103=1,OR($I103="Critical",$I103="High")),1,0)</f>
        <v>0</v>
      </c>
      <c r="AZ103" s="71">
        <f>IF(AND($AK103=1,OR($C103=TCL_Client,$C103=MECCA_Client)),1,0)</f>
        <v>0</v>
      </c>
      <c r="BA103" s="71" t="str">
        <f>IF($G103="","",IFERROR(MATCH($I103,lst_Priority,0),5))</f>
        <v/>
      </c>
      <c r="BB103" s="71" t="str">
        <f>IF(AND($AL103=1,$AJ103=1),$BA103*100000+ROW(),"")</f>
        <v/>
      </c>
      <c r="BC103" s="71" t="str">
        <f>IF(AND($AM103=1,$AJ103=1),$BA103*100000+ROW(),"")</f>
        <v/>
      </c>
      <c r="BD103" s="71" t="str">
        <f>IF(AND($AP103=1,$AJ103=1),$BA103*100000+ROW(),"")</f>
        <v/>
      </c>
      <c r="BE103" s="71" t="str">
        <f>IF(AND($AT103=1,$AJ103=1),$BA103*100000+ROW(),"")</f>
        <v/>
      </c>
      <c r="BF103" s="71" t="str">
        <f>IF(AND($AU103=1,$AJ103=1),$BA103*100000+ROW(),"")</f>
        <v/>
      </c>
      <c r="BG103" s="71" t="str">
        <f>IF(AND($AV103=1,$AJ103=1),$BA103*100000+ROW(),"")</f>
        <v/>
      </c>
      <c r="BH103" s="71" t="str">
        <f>IF(AND($AW103=1,$AJ103=1),$BA103*100000+ROW(),"")</f>
        <v/>
      </c>
      <c r="BI103" s="71" t="str">
        <f>IF(AND($AX103=1,$AJ103=1),$BA103*100000+ROW(),"")</f>
        <v/>
      </c>
      <c r="BJ103" s="71" t="str">
        <f>IF(AND($AS103=1,$AJ103=1),$BA103*100000+ROW(),"")</f>
        <v/>
      </c>
      <c r="BK103" s="71" t="str">
        <f>IF(AND($AY103=1,$AJ103=1),$BA103*100000+ROW(),"")</f>
        <v/>
      </c>
      <c r="BL103" s="71" t="str">
        <f>IF(AND($AZ103=1),$BA103*100000+ROW(),"")</f>
        <v/>
      </c>
    </row>
    <row r="104">
      <c r="A104" s="63" t="n"/>
      <c r="B104" s="64" t="n"/>
      <c r="C104" s="64" t="n"/>
      <c r="D104" s="64" t="n"/>
      <c r="E104" s="64" t="n"/>
      <c r="F104" s="64" t="n"/>
      <c r="G104" s="65" t="n"/>
      <c r="H104" s="65" t="n"/>
      <c r="I104" s="64" t="n"/>
      <c r="J104" s="64" t="n"/>
      <c r="K104" s="63" t="n"/>
      <c r="L104" s="63" t="n"/>
      <c r="M104" s="64" t="n"/>
      <c r="N104" s="66" t="n"/>
      <c r="O104" s="65" t="n"/>
      <c r="P104" s="64" t="n"/>
      <c r="Q104" s="67" t="n"/>
      <c r="R104" s="67" t="n"/>
      <c r="S104" s="68" t="str">
        <f>IF(AND(ISNUMBER($Q104),ISNUMBER($R104)),$Q104-$R104,"")</f>
        <v/>
      </c>
      <c r="T104" s="65" t="n"/>
      <c r="U104" s="64" t="n"/>
      <c r="V104" s="65" t="n"/>
      <c r="W104" s="63" t="n"/>
      <c r="X104" s="65" t="n"/>
      <c r="Y104" s="63" t="n"/>
      <c r="Z104" s="64" t="n"/>
      <c r="AA104" s="64" t="n"/>
      <c r="AB104" s="65" t="n"/>
      <c r="AC104" s="69" t="str">
        <f>IF(OR($G104="",NOT(ISNUMBER($K104)),$AK104=0),"",MAX(0,ReportDate-$K104))</f>
        <v/>
      </c>
      <c r="AD104" s="69" t="str">
        <f>IF($G104="","",IF($AL104=1,ReportDate-$L104,0))</f>
        <v/>
      </c>
      <c r="AE104" s="70" t="str">
        <f>IF($G104="","",IF($M104="Completed",1,IF(ISNUMBER($N104),$N104,0)))</f>
        <v/>
      </c>
      <c r="AF104" s="70" t="str">
        <f>IF(AND(ISNUMBER($Q104),ISNUMBER($R104)),IF($R104&lt;&gt;0,$Q104/$R104,""),"")</f>
        <v/>
      </c>
      <c r="AG104" s="71" t="str">
        <f>IF($G104="","",IF($AL104=1,"OVERDUE",IF($AM104=1,"BLOCKED",IF($AN104=1,"DUE TODAY",IF($AO104=1,"DUE TOMORROW",IF($AQ104=1,"HIGH PRIORITY",IF($AR104=1,"NO RECENT UPDATE",""))))))) </f>
        <v/>
      </c>
      <c r="AH104" s="71" t="str">
        <f>IF($G104="","",IF(ISNUMBER($A104),IF(ISNUMBER($A104),YEAR($A104)&amp;"-"&amp;TEXT(MONTH($A104),"00"),""),IF(ISNUMBER($L104),IF(ISNUMBER($L104),YEAR($L104)&amp;"-"&amp;TEXT(MONTH($L104),"00"),""),"")))</f>
        <v/>
      </c>
      <c r="AI104" s="71">
        <f>IF($G104="",0,IF(AND(OR(fClient="All",$C104=fClient),OR(fCampaign="All",$D104=fCampaign),OR(fTeam="All",$B104=fTeam),OR(fChannel="All",$F104=fChannel),OR(fMonth="All",$AH104=fMonth),OR(fTStatus="All",$M104=fTStatus)),1,0))</f>
        <v>0</v>
      </c>
      <c r="AJ104" s="71">
        <f>IF($G104="",0,IF(AND(OR(fClient="All",$C104=fClient),OR(fCampaign="All",$D104=fCampaign),OR(fTeam="All",$B104=fTeam),OR(fChannel="All",$F104=fChannel)),1,0))</f>
        <v>0</v>
      </c>
      <c r="AK104" s="71">
        <f>IF($G104="",0,IF(OR($M104="Completed",$M104="Cancelled"),0,1))</f>
        <v>0</v>
      </c>
      <c r="AL104" s="71">
        <f>IF(AND($AK104=1,ISNUMBER($L104)),IF($L104&lt;ReportDate,1,0),0)</f>
        <v>0</v>
      </c>
      <c r="AM104" s="71">
        <f>IF(AND($G104&lt;&gt;"",$M104="Blocked"),1,0)</f>
        <v>0</v>
      </c>
      <c r="AN104" s="71">
        <f>IF(AND($AK104=1,ISNUMBER($L104)),IF($L104=ReportDate,1,0),0)</f>
        <v>0</v>
      </c>
      <c r="AO104" s="71">
        <f>IF(AND($AK104=1,ISNUMBER($L104)),IF($L104=ReportDate+1,1,0),0)</f>
        <v>0</v>
      </c>
      <c r="AP104" s="71">
        <f>IF(AND($AK104=1,ISNUMBER($L104)),IF(AND($L104&gt;=ReportDate,$L104&lt;=ReportDate+DueSoonDays),1,0),0)</f>
        <v>0</v>
      </c>
      <c r="AQ104" s="71">
        <f>IF(AND($AK104=1,OR($I104="Critical",$I104="High")),1,0)</f>
        <v>0</v>
      </c>
      <c r="AR104" s="71">
        <f>IF($AK104=1,IF(ISNUMBER($Y104),IF(ReportDate-$Y104&gt;StaleDays,1,0),1),0)</f>
        <v>0</v>
      </c>
      <c r="AS104" s="71">
        <f>IF(AND($G104&lt;&gt;"",ISNUMBER($Q104),ISNUMBER($R104)),IF(AND($Q104&lt;$R104,OR($M104="Completed",AND(ISNUMBER($L104),$L104&lt;ReportDate))),1,0),0)</f>
        <v>0</v>
      </c>
      <c r="AT104" s="71">
        <f>IF($AK104=1,IF(OR($L104=ReportDate,$W104=ReportDate,$K104=ReportDate,$A104=ReportDate),1,0),0)</f>
        <v>0</v>
      </c>
      <c r="AU104" s="71">
        <f>IF($AK104=1,IF(OR($L104=ReportDate+1,$W104=ReportDate+1,$K104=ReportDate+1,$A104=ReportDate+1),1,0),0)</f>
        <v>0</v>
      </c>
      <c r="AV104" s="71">
        <f>IF(AND($G104&lt;&gt;"",$M104="Completed"),IF(OR($Y104=ReportDate-1,$A104=ReportDate-1),1,0),0)</f>
        <v>0</v>
      </c>
      <c r="AW104" s="71">
        <f>IF(AND($AK104=1,$Z104="Yes"),1,0)</f>
        <v>0</v>
      </c>
      <c r="AX104" s="71">
        <f>IF(AND($AK104=1,$AA104="Yes"),1,0)</f>
        <v>0</v>
      </c>
      <c r="AY104" s="71">
        <f>IF(AND($AM104=1,OR($I104="Critical",$I104="High")),1,0)</f>
        <v>0</v>
      </c>
      <c r="AZ104" s="71">
        <f>IF(AND($AK104=1,OR($C104=TCL_Client,$C104=MECCA_Client)),1,0)</f>
        <v>0</v>
      </c>
      <c r="BA104" s="71" t="str">
        <f>IF($G104="","",IFERROR(MATCH($I104,lst_Priority,0),5))</f>
        <v/>
      </c>
      <c r="BB104" s="71" t="str">
        <f>IF(AND($AL104=1,$AJ104=1),$BA104*100000+ROW(),"")</f>
        <v/>
      </c>
      <c r="BC104" s="71" t="str">
        <f>IF(AND($AM104=1,$AJ104=1),$BA104*100000+ROW(),"")</f>
        <v/>
      </c>
      <c r="BD104" s="71" t="str">
        <f>IF(AND($AP104=1,$AJ104=1),$BA104*100000+ROW(),"")</f>
        <v/>
      </c>
      <c r="BE104" s="71" t="str">
        <f>IF(AND($AT104=1,$AJ104=1),$BA104*100000+ROW(),"")</f>
        <v/>
      </c>
      <c r="BF104" s="71" t="str">
        <f>IF(AND($AU104=1,$AJ104=1),$BA104*100000+ROW(),"")</f>
        <v/>
      </c>
      <c r="BG104" s="71" t="str">
        <f>IF(AND($AV104=1,$AJ104=1),$BA104*100000+ROW(),"")</f>
        <v/>
      </c>
      <c r="BH104" s="71" t="str">
        <f>IF(AND($AW104=1,$AJ104=1),$BA104*100000+ROW(),"")</f>
        <v/>
      </c>
      <c r="BI104" s="71" t="str">
        <f>IF(AND($AX104=1,$AJ104=1),$BA104*100000+ROW(),"")</f>
        <v/>
      </c>
      <c r="BJ104" s="71" t="str">
        <f>IF(AND($AS104=1,$AJ104=1),$BA104*100000+ROW(),"")</f>
        <v/>
      </c>
      <c r="BK104" s="71" t="str">
        <f>IF(AND($AY104=1,$AJ104=1),$BA104*100000+ROW(),"")</f>
        <v/>
      </c>
      <c r="BL104" s="71" t="str">
        <f>IF(AND($AZ104=1),$BA104*100000+ROW(),"")</f>
        <v/>
      </c>
    </row>
    <row r="105">
      <c r="A105" s="63" t="n"/>
      <c r="B105" s="64" t="n"/>
      <c r="C105" s="64" t="n"/>
      <c r="D105" s="64" t="n"/>
      <c r="E105" s="64" t="n"/>
      <c r="F105" s="64" t="n"/>
      <c r="G105" s="65" t="n"/>
      <c r="H105" s="65" t="n"/>
      <c r="I105" s="64" t="n"/>
      <c r="J105" s="64" t="n"/>
      <c r="K105" s="63" t="n"/>
      <c r="L105" s="63" t="n"/>
      <c r="M105" s="64" t="n"/>
      <c r="N105" s="66" t="n"/>
      <c r="O105" s="65" t="n"/>
      <c r="P105" s="64" t="n"/>
      <c r="Q105" s="67" t="n"/>
      <c r="R105" s="67" t="n"/>
      <c r="S105" s="68" t="str">
        <f>IF(AND(ISNUMBER($Q105),ISNUMBER($R105)),$Q105-$R105,"")</f>
        <v/>
      </c>
      <c r="T105" s="65" t="n"/>
      <c r="U105" s="64" t="n"/>
      <c r="V105" s="65" t="n"/>
      <c r="W105" s="63" t="n"/>
      <c r="X105" s="65" t="n"/>
      <c r="Y105" s="63" t="n"/>
      <c r="Z105" s="64" t="n"/>
      <c r="AA105" s="64" t="n"/>
      <c r="AB105" s="65" t="n"/>
      <c r="AC105" s="69" t="str">
        <f>IF(OR($G105="",NOT(ISNUMBER($K105)),$AK105=0),"",MAX(0,ReportDate-$K105))</f>
        <v/>
      </c>
      <c r="AD105" s="69" t="str">
        <f>IF($G105="","",IF($AL105=1,ReportDate-$L105,0))</f>
        <v/>
      </c>
      <c r="AE105" s="70" t="str">
        <f>IF($G105="","",IF($M105="Completed",1,IF(ISNUMBER($N105),$N105,0)))</f>
        <v/>
      </c>
      <c r="AF105" s="70" t="str">
        <f>IF(AND(ISNUMBER($Q105),ISNUMBER($R105)),IF($R105&lt;&gt;0,$Q105/$R105,""),"")</f>
        <v/>
      </c>
      <c r="AG105" s="71" t="str">
        <f>IF($G105="","",IF($AL105=1,"OVERDUE",IF($AM105=1,"BLOCKED",IF($AN105=1,"DUE TODAY",IF($AO105=1,"DUE TOMORROW",IF($AQ105=1,"HIGH PRIORITY",IF($AR105=1,"NO RECENT UPDATE",""))))))) </f>
        <v/>
      </c>
      <c r="AH105" s="71" t="str">
        <f>IF($G105="","",IF(ISNUMBER($A105),IF(ISNUMBER($A105),YEAR($A105)&amp;"-"&amp;TEXT(MONTH($A105),"00"),""),IF(ISNUMBER($L105),IF(ISNUMBER($L105),YEAR($L105)&amp;"-"&amp;TEXT(MONTH($L105),"00"),""),"")))</f>
        <v/>
      </c>
      <c r="AI105" s="71">
        <f>IF($G105="",0,IF(AND(OR(fClient="All",$C105=fClient),OR(fCampaign="All",$D105=fCampaign),OR(fTeam="All",$B105=fTeam),OR(fChannel="All",$F105=fChannel),OR(fMonth="All",$AH105=fMonth),OR(fTStatus="All",$M105=fTStatus)),1,0))</f>
        <v>0</v>
      </c>
      <c r="AJ105" s="71">
        <f>IF($G105="",0,IF(AND(OR(fClient="All",$C105=fClient),OR(fCampaign="All",$D105=fCampaign),OR(fTeam="All",$B105=fTeam),OR(fChannel="All",$F105=fChannel)),1,0))</f>
        <v>0</v>
      </c>
      <c r="AK105" s="71">
        <f>IF($G105="",0,IF(OR($M105="Completed",$M105="Cancelled"),0,1))</f>
        <v>0</v>
      </c>
      <c r="AL105" s="71">
        <f>IF(AND($AK105=1,ISNUMBER($L105)),IF($L105&lt;ReportDate,1,0),0)</f>
        <v>0</v>
      </c>
      <c r="AM105" s="71">
        <f>IF(AND($G105&lt;&gt;"",$M105="Blocked"),1,0)</f>
        <v>0</v>
      </c>
      <c r="AN105" s="71">
        <f>IF(AND($AK105=1,ISNUMBER($L105)),IF($L105=ReportDate,1,0),0)</f>
        <v>0</v>
      </c>
      <c r="AO105" s="71">
        <f>IF(AND($AK105=1,ISNUMBER($L105)),IF($L105=ReportDate+1,1,0),0)</f>
        <v>0</v>
      </c>
      <c r="AP105" s="71">
        <f>IF(AND($AK105=1,ISNUMBER($L105)),IF(AND($L105&gt;=ReportDate,$L105&lt;=ReportDate+DueSoonDays),1,0),0)</f>
        <v>0</v>
      </c>
      <c r="AQ105" s="71">
        <f>IF(AND($AK105=1,OR($I105="Critical",$I105="High")),1,0)</f>
        <v>0</v>
      </c>
      <c r="AR105" s="71">
        <f>IF($AK105=1,IF(ISNUMBER($Y105),IF(ReportDate-$Y105&gt;StaleDays,1,0),1),0)</f>
        <v>0</v>
      </c>
      <c r="AS105" s="71">
        <f>IF(AND($G105&lt;&gt;"",ISNUMBER($Q105),ISNUMBER($R105)),IF(AND($Q105&lt;$R105,OR($M105="Completed",AND(ISNUMBER($L105),$L105&lt;ReportDate))),1,0),0)</f>
        <v>0</v>
      </c>
      <c r="AT105" s="71">
        <f>IF($AK105=1,IF(OR($L105=ReportDate,$W105=ReportDate,$K105=ReportDate,$A105=ReportDate),1,0),0)</f>
        <v>0</v>
      </c>
      <c r="AU105" s="71">
        <f>IF($AK105=1,IF(OR($L105=ReportDate+1,$W105=ReportDate+1,$K105=ReportDate+1,$A105=ReportDate+1),1,0),0)</f>
        <v>0</v>
      </c>
      <c r="AV105" s="71">
        <f>IF(AND($G105&lt;&gt;"",$M105="Completed"),IF(OR($Y105=ReportDate-1,$A105=ReportDate-1),1,0),0)</f>
        <v>0</v>
      </c>
      <c r="AW105" s="71">
        <f>IF(AND($AK105=1,$Z105="Yes"),1,0)</f>
        <v>0</v>
      </c>
      <c r="AX105" s="71">
        <f>IF(AND($AK105=1,$AA105="Yes"),1,0)</f>
        <v>0</v>
      </c>
      <c r="AY105" s="71">
        <f>IF(AND($AM105=1,OR($I105="Critical",$I105="High")),1,0)</f>
        <v>0</v>
      </c>
      <c r="AZ105" s="71">
        <f>IF(AND($AK105=1,OR($C105=TCL_Client,$C105=MECCA_Client)),1,0)</f>
        <v>0</v>
      </c>
      <c r="BA105" s="71" t="str">
        <f>IF($G105="","",IFERROR(MATCH($I105,lst_Priority,0),5))</f>
        <v/>
      </c>
      <c r="BB105" s="71" t="str">
        <f>IF(AND($AL105=1,$AJ105=1),$BA105*100000+ROW(),"")</f>
        <v/>
      </c>
      <c r="BC105" s="71" t="str">
        <f>IF(AND($AM105=1,$AJ105=1),$BA105*100000+ROW(),"")</f>
        <v/>
      </c>
      <c r="BD105" s="71" t="str">
        <f>IF(AND($AP105=1,$AJ105=1),$BA105*100000+ROW(),"")</f>
        <v/>
      </c>
      <c r="BE105" s="71" t="str">
        <f>IF(AND($AT105=1,$AJ105=1),$BA105*100000+ROW(),"")</f>
        <v/>
      </c>
      <c r="BF105" s="71" t="str">
        <f>IF(AND($AU105=1,$AJ105=1),$BA105*100000+ROW(),"")</f>
        <v/>
      </c>
      <c r="BG105" s="71" t="str">
        <f>IF(AND($AV105=1,$AJ105=1),$BA105*100000+ROW(),"")</f>
        <v/>
      </c>
      <c r="BH105" s="71" t="str">
        <f>IF(AND($AW105=1,$AJ105=1),$BA105*100000+ROW(),"")</f>
        <v/>
      </c>
      <c r="BI105" s="71" t="str">
        <f>IF(AND($AX105=1,$AJ105=1),$BA105*100000+ROW(),"")</f>
        <v/>
      </c>
      <c r="BJ105" s="71" t="str">
        <f>IF(AND($AS105=1,$AJ105=1),$BA105*100000+ROW(),"")</f>
        <v/>
      </c>
      <c r="BK105" s="71" t="str">
        <f>IF(AND($AY105=1,$AJ105=1),$BA105*100000+ROW(),"")</f>
        <v/>
      </c>
      <c r="BL105" s="71" t="str">
        <f>IF(AND($AZ105=1),$BA105*100000+ROW(),"")</f>
        <v/>
      </c>
    </row>
    <row r="106">
      <c r="A106" s="63" t="n"/>
      <c r="B106" s="64" t="n"/>
      <c r="C106" s="64" t="n"/>
      <c r="D106" s="64" t="n"/>
      <c r="E106" s="64" t="n"/>
      <c r="F106" s="64" t="n"/>
      <c r="G106" s="65" t="n"/>
      <c r="H106" s="65" t="n"/>
      <c r="I106" s="64" t="n"/>
      <c r="J106" s="64" t="n"/>
      <c r="K106" s="63" t="n"/>
      <c r="L106" s="63" t="n"/>
      <c r="M106" s="64" t="n"/>
      <c r="N106" s="66" t="n"/>
      <c r="O106" s="65" t="n"/>
      <c r="P106" s="64" t="n"/>
      <c r="Q106" s="67" t="n"/>
      <c r="R106" s="67" t="n"/>
      <c r="S106" s="68" t="str">
        <f>IF(AND(ISNUMBER($Q106),ISNUMBER($R106)),$Q106-$R106,"")</f>
        <v/>
      </c>
      <c r="T106" s="65" t="n"/>
      <c r="U106" s="64" t="n"/>
      <c r="V106" s="65" t="n"/>
      <c r="W106" s="63" t="n"/>
      <c r="X106" s="65" t="n"/>
      <c r="Y106" s="63" t="n"/>
      <c r="Z106" s="64" t="n"/>
      <c r="AA106" s="64" t="n"/>
      <c r="AB106" s="65" t="n"/>
      <c r="AC106" s="69" t="str">
        <f>IF(OR($G106="",NOT(ISNUMBER($K106)),$AK106=0),"",MAX(0,ReportDate-$K106))</f>
        <v/>
      </c>
      <c r="AD106" s="69" t="str">
        <f>IF($G106="","",IF($AL106=1,ReportDate-$L106,0))</f>
        <v/>
      </c>
      <c r="AE106" s="70" t="str">
        <f>IF($G106="","",IF($M106="Completed",1,IF(ISNUMBER($N106),$N106,0)))</f>
        <v/>
      </c>
      <c r="AF106" s="70" t="str">
        <f>IF(AND(ISNUMBER($Q106),ISNUMBER($R106)),IF($R106&lt;&gt;0,$Q106/$R106,""),"")</f>
        <v/>
      </c>
      <c r="AG106" s="71" t="str">
        <f>IF($G106="","",IF($AL106=1,"OVERDUE",IF($AM106=1,"BLOCKED",IF($AN106=1,"DUE TODAY",IF($AO106=1,"DUE TOMORROW",IF($AQ106=1,"HIGH PRIORITY",IF($AR106=1,"NO RECENT UPDATE",""))))))) </f>
        <v/>
      </c>
      <c r="AH106" s="71" t="str">
        <f>IF($G106="","",IF(ISNUMBER($A106),IF(ISNUMBER($A106),YEAR($A106)&amp;"-"&amp;TEXT(MONTH($A106),"00"),""),IF(ISNUMBER($L106),IF(ISNUMBER($L106),YEAR($L106)&amp;"-"&amp;TEXT(MONTH($L106),"00"),""),"")))</f>
        <v/>
      </c>
      <c r="AI106" s="71">
        <f>IF($G106="",0,IF(AND(OR(fClient="All",$C106=fClient),OR(fCampaign="All",$D106=fCampaign),OR(fTeam="All",$B106=fTeam),OR(fChannel="All",$F106=fChannel),OR(fMonth="All",$AH106=fMonth),OR(fTStatus="All",$M106=fTStatus)),1,0))</f>
        <v>0</v>
      </c>
      <c r="AJ106" s="71">
        <f>IF($G106="",0,IF(AND(OR(fClient="All",$C106=fClient),OR(fCampaign="All",$D106=fCampaign),OR(fTeam="All",$B106=fTeam),OR(fChannel="All",$F106=fChannel)),1,0))</f>
        <v>0</v>
      </c>
      <c r="AK106" s="71">
        <f>IF($G106="",0,IF(OR($M106="Completed",$M106="Cancelled"),0,1))</f>
        <v>0</v>
      </c>
      <c r="AL106" s="71">
        <f>IF(AND($AK106=1,ISNUMBER($L106)),IF($L106&lt;ReportDate,1,0),0)</f>
        <v>0</v>
      </c>
      <c r="AM106" s="71">
        <f>IF(AND($G106&lt;&gt;"",$M106="Blocked"),1,0)</f>
        <v>0</v>
      </c>
      <c r="AN106" s="71">
        <f>IF(AND($AK106=1,ISNUMBER($L106)),IF($L106=ReportDate,1,0),0)</f>
        <v>0</v>
      </c>
      <c r="AO106" s="71">
        <f>IF(AND($AK106=1,ISNUMBER($L106)),IF($L106=ReportDate+1,1,0),0)</f>
        <v>0</v>
      </c>
      <c r="AP106" s="71">
        <f>IF(AND($AK106=1,ISNUMBER($L106)),IF(AND($L106&gt;=ReportDate,$L106&lt;=ReportDate+DueSoonDays),1,0),0)</f>
        <v>0</v>
      </c>
      <c r="AQ106" s="71">
        <f>IF(AND($AK106=1,OR($I106="Critical",$I106="High")),1,0)</f>
        <v>0</v>
      </c>
      <c r="AR106" s="71">
        <f>IF($AK106=1,IF(ISNUMBER($Y106),IF(ReportDate-$Y106&gt;StaleDays,1,0),1),0)</f>
        <v>0</v>
      </c>
      <c r="AS106" s="71">
        <f>IF(AND($G106&lt;&gt;"",ISNUMBER($Q106),ISNUMBER($R106)),IF(AND($Q106&lt;$R106,OR($M106="Completed",AND(ISNUMBER($L106),$L106&lt;ReportDate))),1,0),0)</f>
        <v>0</v>
      </c>
      <c r="AT106" s="71">
        <f>IF($AK106=1,IF(OR($L106=ReportDate,$W106=ReportDate,$K106=ReportDate,$A106=ReportDate),1,0),0)</f>
        <v>0</v>
      </c>
      <c r="AU106" s="71">
        <f>IF($AK106=1,IF(OR($L106=ReportDate+1,$W106=ReportDate+1,$K106=ReportDate+1,$A106=ReportDate+1),1,0),0)</f>
        <v>0</v>
      </c>
      <c r="AV106" s="71">
        <f>IF(AND($G106&lt;&gt;"",$M106="Completed"),IF(OR($Y106=ReportDate-1,$A106=ReportDate-1),1,0),0)</f>
        <v>0</v>
      </c>
      <c r="AW106" s="71">
        <f>IF(AND($AK106=1,$Z106="Yes"),1,0)</f>
        <v>0</v>
      </c>
      <c r="AX106" s="71">
        <f>IF(AND($AK106=1,$AA106="Yes"),1,0)</f>
        <v>0</v>
      </c>
      <c r="AY106" s="71">
        <f>IF(AND($AM106=1,OR($I106="Critical",$I106="High")),1,0)</f>
        <v>0</v>
      </c>
      <c r="AZ106" s="71">
        <f>IF(AND($AK106=1,OR($C106=TCL_Client,$C106=MECCA_Client)),1,0)</f>
        <v>0</v>
      </c>
      <c r="BA106" s="71" t="str">
        <f>IF($G106="","",IFERROR(MATCH($I106,lst_Priority,0),5))</f>
        <v/>
      </c>
      <c r="BB106" s="71" t="str">
        <f>IF(AND($AL106=1,$AJ106=1),$BA106*100000+ROW(),"")</f>
        <v/>
      </c>
      <c r="BC106" s="71" t="str">
        <f>IF(AND($AM106=1,$AJ106=1),$BA106*100000+ROW(),"")</f>
        <v/>
      </c>
      <c r="BD106" s="71" t="str">
        <f>IF(AND($AP106=1,$AJ106=1),$BA106*100000+ROW(),"")</f>
        <v/>
      </c>
      <c r="BE106" s="71" t="str">
        <f>IF(AND($AT106=1,$AJ106=1),$BA106*100000+ROW(),"")</f>
        <v/>
      </c>
      <c r="BF106" s="71" t="str">
        <f>IF(AND($AU106=1,$AJ106=1),$BA106*100000+ROW(),"")</f>
        <v/>
      </c>
      <c r="BG106" s="71" t="str">
        <f>IF(AND($AV106=1,$AJ106=1),$BA106*100000+ROW(),"")</f>
        <v/>
      </c>
      <c r="BH106" s="71" t="str">
        <f>IF(AND($AW106=1,$AJ106=1),$BA106*100000+ROW(),"")</f>
        <v/>
      </c>
      <c r="BI106" s="71" t="str">
        <f>IF(AND($AX106=1,$AJ106=1),$BA106*100000+ROW(),"")</f>
        <v/>
      </c>
      <c r="BJ106" s="71" t="str">
        <f>IF(AND($AS106=1,$AJ106=1),$BA106*100000+ROW(),"")</f>
        <v/>
      </c>
      <c r="BK106" s="71" t="str">
        <f>IF(AND($AY106=1,$AJ106=1),$BA106*100000+ROW(),"")</f>
        <v/>
      </c>
      <c r="BL106" s="71" t="str">
        <f>IF(AND($AZ106=1),$BA106*100000+ROW(),"")</f>
        <v/>
      </c>
    </row>
    <row r="107">
      <c r="A107" s="63" t="n"/>
      <c r="B107" s="64" t="n"/>
      <c r="C107" s="64" t="n"/>
      <c r="D107" s="64" t="n"/>
      <c r="E107" s="64" t="n"/>
      <c r="F107" s="64" t="n"/>
      <c r="G107" s="65" t="n"/>
      <c r="H107" s="65" t="n"/>
      <c r="I107" s="64" t="n"/>
      <c r="J107" s="64" t="n"/>
      <c r="K107" s="63" t="n"/>
      <c r="L107" s="63" t="n"/>
      <c r="M107" s="64" t="n"/>
      <c r="N107" s="66" t="n"/>
      <c r="O107" s="65" t="n"/>
      <c r="P107" s="64" t="n"/>
      <c r="Q107" s="67" t="n"/>
      <c r="R107" s="67" t="n"/>
      <c r="S107" s="68" t="str">
        <f>IF(AND(ISNUMBER($Q107),ISNUMBER($R107)),$Q107-$R107,"")</f>
        <v/>
      </c>
      <c r="T107" s="65" t="n"/>
      <c r="U107" s="64" t="n"/>
      <c r="V107" s="65" t="n"/>
      <c r="W107" s="63" t="n"/>
      <c r="X107" s="65" t="n"/>
      <c r="Y107" s="63" t="n"/>
      <c r="Z107" s="64" t="n"/>
      <c r="AA107" s="64" t="n"/>
      <c r="AB107" s="65" t="n"/>
      <c r="AC107" s="69" t="str">
        <f>IF(OR($G107="",NOT(ISNUMBER($K107)),$AK107=0),"",MAX(0,ReportDate-$K107))</f>
        <v/>
      </c>
      <c r="AD107" s="69" t="str">
        <f>IF($G107="","",IF($AL107=1,ReportDate-$L107,0))</f>
        <v/>
      </c>
      <c r="AE107" s="70" t="str">
        <f>IF($G107="","",IF($M107="Completed",1,IF(ISNUMBER($N107),$N107,0)))</f>
        <v/>
      </c>
      <c r="AF107" s="70" t="str">
        <f>IF(AND(ISNUMBER($Q107),ISNUMBER($R107)),IF($R107&lt;&gt;0,$Q107/$R107,""),"")</f>
        <v/>
      </c>
      <c r="AG107" s="71" t="str">
        <f>IF($G107="","",IF($AL107=1,"OVERDUE",IF($AM107=1,"BLOCKED",IF($AN107=1,"DUE TODAY",IF($AO107=1,"DUE TOMORROW",IF($AQ107=1,"HIGH PRIORITY",IF($AR107=1,"NO RECENT UPDATE",""))))))) </f>
        <v/>
      </c>
      <c r="AH107" s="71" t="str">
        <f>IF($G107="","",IF(ISNUMBER($A107),IF(ISNUMBER($A107),YEAR($A107)&amp;"-"&amp;TEXT(MONTH($A107),"00"),""),IF(ISNUMBER($L107),IF(ISNUMBER($L107),YEAR($L107)&amp;"-"&amp;TEXT(MONTH($L107),"00"),""),"")))</f>
        <v/>
      </c>
      <c r="AI107" s="71">
        <f>IF($G107="",0,IF(AND(OR(fClient="All",$C107=fClient),OR(fCampaign="All",$D107=fCampaign),OR(fTeam="All",$B107=fTeam),OR(fChannel="All",$F107=fChannel),OR(fMonth="All",$AH107=fMonth),OR(fTStatus="All",$M107=fTStatus)),1,0))</f>
        <v>0</v>
      </c>
      <c r="AJ107" s="71">
        <f>IF($G107="",0,IF(AND(OR(fClient="All",$C107=fClient),OR(fCampaign="All",$D107=fCampaign),OR(fTeam="All",$B107=fTeam),OR(fChannel="All",$F107=fChannel)),1,0))</f>
        <v>0</v>
      </c>
      <c r="AK107" s="71">
        <f>IF($G107="",0,IF(OR($M107="Completed",$M107="Cancelled"),0,1))</f>
        <v>0</v>
      </c>
      <c r="AL107" s="71">
        <f>IF(AND($AK107=1,ISNUMBER($L107)),IF($L107&lt;ReportDate,1,0),0)</f>
        <v>0</v>
      </c>
      <c r="AM107" s="71">
        <f>IF(AND($G107&lt;&gt;"",$M107="Blocked"),1,0)</f>
        <v>0</v>
      </c>
      <c r="AN107" s="71">
        <f>IF(AND($AK107=1,ISNUMBER($L107)),IF($L107=ReportDate,1,0),0)</f>
        <v>0</v>
      </c>
      <c r="AO107" s="71">
        <f>IF(AND($AK107=1,ISNUMBER($L107)),IF($L107=ReportDate+1,1,0),0)</f>
        <v>0</v>
      </c>
      <c r="AP107" s="71">
        <f>IF(AND($AK107=1,ISNUMBER($L107)),IF(AND($L107&gt;=ReportDate,$L107&lt;=ReportDate+DueSoonDays),1,0),0)</f>
        <v>0</v>
      </c>
      <c r="AQ107" s="71">
        <f>IF(AND($AK107=1,OR($I107="Critical",$I107="High")),1,0)</f>
        <v>0</v>
      </c>
      <c r="AR107" s="71">
        <f>IF($AK107=1,IF(ISNUMBER($Y107),IF(ReportDate-$Y107&gt;StaleDays,1,0),1),0)</f>
        <v>0</v>
      </c>
      <c r="AS107" s="71">
        <f>IF(AND($G107&lt;&gt;"",ISNUMBER($Q107),ISNUMBER($R107)),IF(AND($Q107&lt;$R107,OR($M107="Completed",AND(ISNUMBER($L107),$L107&lt;ReportDate))),1,0),0)</f>
        <v>0</v>
      </c>
      <c r="AT107" s="71">
        <f>IF($AK107=1,IF(OR($L107=ReportDate,$W107=ReportDate,$K107=ReportDate,$A107=ReportDate),1,0),0)</f>
        <v>0</v>
      </c>
      <c r="AU107" s="71">
        <f>IF($AK107=1,IF(OR($L107=ReportDate+1,$W107=ReportDate+1,$K107=ReportDate+1,$A107=ReportDate+1),1,0),0)</f>
        <v>0</v>
      </c>
      <c r="AV107" s="71">
        <f>IF(AND($G107&lt;&gt;"",$M107="Completed"),IF(OR($Y107=ReportDate-1,$A107=ReportDate-1),1,0),0)</f>
        <v>0</v>
      </c>
      <c r="AW107" s="71">
        <f>IF(AND($AK107=1,$Z107="Yes"),1,0)</f>
        <v>0</v>
      </c>
      <c r="AX107" s="71">
        <f>IF(AND($AK107=1,$AA107="Yes"),1,0)</f>
        <v>0</v>
      </c>
      <c r="AY107" s="71">
        <f>IF(AND($AM107=1,OR($I107="Critical",$I107="High")),1,0)</f>
        <v>0</v>
      </c>
      <c r="AZ107" s="71">
        <f>IF(AND($AK107=1,OR($C107=TCL_Client,$C107=MECCA_Client)),1,0)</f>
        <v>0</v>
      </c>
      <c r="BA107" s="71" t="str">
        <f>IF($G107="","",IFERROR(MATCH($I107,lst_Priority,0),5))</f>
        <v/>
      </c>
      <c r="BB107" s="71" t="str">
        <f>IF(AND($AL107=1,$AJ107=1),$BA107*100000+ROW(),"")</f>
        <v/>
      </c>
      <c r="BC107" s="71" t="str">
        <f>IF(AND($AM107=1,$AJ107=1),$BA107*100000+ROW(),"")</f>
        <v/>
      </c>
      <c r="BD107" s="71" t="str">
        <f>IF(AND($AP107=1,$AJ107=1),$BA107*100000+ROW(),"")</f>
        <v/>
      </c>
      <c r="BE107" s="71" t="str">
        <f>IF(AND($AT107=1,$AJ107=1),$BA107*100000+ROW(),"")</f>
        <v/>
      </c>
      <c r="BF107" s="71" t="str">
        <f>IF(AND($AU107=1,$AJ107=1),$BA107*100000+ROW(),"")</f>
        <v/>
      </c>
      <c r="BG107" s="71" t="str">
        <f>IF(AND($AV107=1,$AJ107=1),$BA107*100000+ROW(),"")</f>
        <v/>
      </c>
      <c r="BH107" s="71" t="str">
        <f>IF(AND($AW107=1,$AJ107=1),$BA107*100000+ROW(),"")</f>
        <v/>
      </c>
      <c r="BI107" s="71" t="str">
        <f>IF(AND($AX107=1,$AJ107=1),$BA107*100000+ROW(),"")</f>
        <v/>
      </c>
      <c r="BJ107" s="71" t="str">
        <f>IF(AND($AS107=1,$AJ107=1),$BA107*100000+ROW(),"")</f>
        <v/>
      </c>
      <c r="BK107" s="71" t="str">
        <f>IF(AND($AY107=1,$AJ107=1),$BA107*100000+ROW(),"")</f>
        <v/>
      </c>
      <c r="BL107" s="71" t="str">
        <f>IF(AND($AZ107=1),$BA107*100000+ROW(),"")</f>
        <v/>
      </c>
    </row>
    <row r="108">
      <c r="A108" s="63" t="n"/>
      <c r="B108" s="64" t="n"/>
      <c r="C108" s="64" t="n"/>
      <c r="D108" s="64" t="n"/>
      <c r="E108" s="64" t="n"/>
      <c r="F108" s="64" t="n"/>
      <c r="G108" s="65" t="n"/>
      <c r="H108" s="65" t="n"/>
      <c r="I108" s="64" t="n"/>
      <c r="J108" s="64" t="n"/>
      <c r="K108" s="63" t="n"/>
      <c r="L108" s="63" t="n"/>
      <c r="M108" s="64" t="n"/>
      <c r="N108" s="66" t="n"/>
      <c r="O108" s="65" t="n"/>
      <c r="P108" s="64" t="n"/>
      <c r="Q108" s="67" t="n"/>
      <c r="R108" s="67" t="n"/>
      <c r="S108" s="68" t="str">
        <f>IF(AND(ISNUMBER($Q108),ISNUMBER($R108)),$Q108-$R108,"")</f>
        <v/>
      </c>
      <c r="T108" s="65" t="n"/>
      <c r="U108" s="64" t="n"/>
      <c r="V108" s="65" t="n"/>
      <c r="W108" s="63" t="n"/>
      <c r="X108" s="65" t="n"/>
      <c r="Y108" s="63" t="n"/>
      <c r="Z108" s="64" t="n"/>
      <c r="AA108" s="64" t="n"/>
      <c r="AB108" s="65" t="n"/>
      <c r="AC108" s="69" t="str">
        <f>IF(OR($G108="",NOT(ISNUMBER($K108)),$AK108=0),"",MAX(0,ReportDate-$K108))</f>
        <v/>
      </c>
      <c r="AD108" s="69" t="str">
        <f>IF($G108="","",IF($AL108=1,ReportDate-$L108,0))</f>
        <v/>
      </c>
      <c r="AE108" s="70" t="str">
        <f>IF($G108="","",IF($M108="Completed",1,IF(ISNUMBER($N108),$N108,0)))</f>
        <v/>
      </c>
      <c r="AF108" s="70" t="str">
        <f>IF(AND(ISNUMBER($Q108),ISNUMBER($R108)),IF($R108&lt;&gt;0,$Q108/$R108,""),"")</f>
        <v/>
      </c>
      <c r="AG108" s="71" t="str">
        <f>IF($G108="","",IF($AL108=1,"OVERDUE",IF($AM108=1,"BLOCKED",IF($AN108=1,"DUE TODAY",IF($AO108=1,"DUE TOMORROW",IF($AQ108=1,"HIGH PRIORITY",IF($AR108=1,"NO RECENT UPDATE",""))))))) </f>
        <v/>
      </c>
      <c r="AH108" s="71" t="str">
        <f>IF($G108="","",IF(ISNUMBER($A108),IF(ISNUMBER($A108),YEAR($A108)&amp;"-"&amp;TEXT(MONTH($A108),"00"),""),IF(ISNUMBER($L108),IF(ISNUMBER($L108),YEAR($L108)&amp;"-"&amp;TEXT(MONTH($L108),"00"),""),"")))</f>
        <v/>
      </c>
      <c r="AI108" s="71">
        <f>IF($G108="",0,IF(AND(OR(fClient="All",$C108=fClient),OR(fCampaign="All",$D108=fCampaign),OR(fTeam="All",$B108=fTeam),OR(fChannel="All",$F108=fChannel),OR(fMonth="All",$AH108=fMonth),OR(fTStatus="All",$M108=fTStatus)),1,0))</f>
        <v>0</v>
      </c>
      <c r="AJ108" s="71">
        <f>IF($G108="",0,IF(AND(OR(fClient="All",$C108=fClient),OR(fCampaign="All",$D108=fCampaign),OR(fTeam="All",$B108=fTeam),OR(fChannel="All",$F108=fChannel)),1,0))</f>
        <v>0</v>
      </c>
      <c r="AK108" s="71">
        <f>IF($G108="",0,IF(OR($M108="Completed",$M108="Cancelled"),0,1))</f>
        <v>0</v>
      </c>
      <c r="AL108" s="71">
        <f>IF(AND($AK108=1,ISNUMBER($L108)),IF($L108&lt;ReportDate,1,0),0)</f>
        <v>0</v>
      </c>
      <c r="AM108" s="71">
        <f>IF(AND($G108&lt;&gt;"",$M108="Blocked"),1,0)</f>
        <v>0</v>
      </c>
      <c r="AN108" s="71">
        <f>IF(AND($AK108=1,ISNUMBER($L108)),IF($L108=ReportDate,1,0),0)</f>
        <v>0</v>
      </c>
      <c r="AO108" s="71">
        <f>IF(AND($AK108=1,ISNUMBER($L108)),IF($L108=ReportDate+1,1,0),0)</f>
        <v>0</v>
      </c>
      <c r="AP108" s="71">
        <f>IF(AND($AK108=1,ISNUMBER($L108)),IF(AND($L108&gt;=ReportDate,$L108&lt;=ReportDate+DueSoonDays),1,0),0)</f>
        <v>0</v>
      </c>
      <c r="AQ108" s="71">
        <f>IF(AND($AK108=1,OR($I108="Critical",$I108="High")),1,0)</f>
        <v>0</v>
      </c>
      <c r="AR108" s="71">
        <f>IF($AK108=1,IF(ISNUMBER($Y108),IF(ReportDate-$Y108&gt;StaleDays,1,0),1),0)</f>
        <v>0</v>
      </c>
      <c r="AS108" s="71">
        <f>IF(AND($G108&lt;&gt;"",ISNUMBER($Q108),ISNUMBER($R108)),IF(AND($Q108&lt;$R108,OR($M108="Completed",AND(ISNUMBER($L108),$L108&lt;ReportDate))),1,0),0)</f>
        <v>0</v>
      </c>
      <c r="AT108" s="71">
        <f>IF($AK108=1,IF(OR($L108=ReportDate,$W108=ReportDate,$K108=ReportDate,$A108=ReportDate),1,0),0)</f>
        <v>0</v>
      </c>
      <c r="AU108" s="71">
        <f>IF($AK108=1,IF(OR($L108=ReportDate+1,$W108=ReportDate+1,$K108=ReportDate+1,$A108=ReportDate+1),1,0),0)</f>
        <v>0</v>
      </c>
      <c r="AV108" s="71">
        <f>IF(AND($G108&lt;&gt;"",$M108="Completed"),IF(OR($Y108=ReportDate-1,$A108=ReportDate-1),1,0),0)</f>
        <v>0</v>
      </c>
      <c r="AW108" s="71">
        <f>IF(AND($AK108=1,$Z108="Yes"),1,0)</f>
        <v>0</v>
      </c>
      <c r="AX108" s="71">
        <f>IF(AND($AK108=1,$AA108="Yes"),1,0)</f>
        <v>0</v>
      </c>
      <c r="AY108" s="71">
        <f>IF(AND($AM108=1,OR($I108="Critical",$I108="High")),1,0)</f>
        <v>0</v>
      </c>
      <c r="AZ108" s="71">
        <f>IF(AND($AK108=1,OR($C108=TCL_Client,$C108=MECCA_Client)),1,0)</f>
        <v>0</v>
      </c>
      <c r="BA108" s="71" t="str">
        <f>IF($G108="","",IFERROR(MATCH($I108,lst_Priority,0),5))</f>
        <v/>
      </c>
      <c r="BB108" s="71" t="str">
        <f>IF(AND($AL108=1,$AJ108=1),$BA108*100000+ROW(),"")</f>
        <v/>
      </c>
      <c r="BC108" s="71" t="str">
        <f>IF(AND($AM108=1,$AJ108=1),$BA108*100000+ROW(),"")</f>
        <v/>
      </c>
      <c r="BD108" s="71" t="str">
        <f>IF(AND($AP108=1,$AJ108=1),$BA108*100000+ROW(),"")</f>
        <v/>
      </c>
      <c r="BE108" s="71" t="str">
        <f>IF(AND($AT108=1,$AJ108=1),$BA108*100000+ROW(),"")</f>
        <v/>
      </c>
      <c r="BF108" s="71" t="str">
        <f>IF(AND($AU108=1,$AJ108=1),$BA108*100000+ROW(),"")</f>
        <v/>
      </c>
      <c r="BG108" s="71" t="str">
        <f>IF(AND($AV108=1,$AJ108=1),$BA108*100000+ROW(),"")</f>
        <v/>
      </c>
      <c r="BH108" s="71" t="str">
        <f>IF(AND($AW108=1,$AJ108=1),$BA108*100000+ROW(),"")</f>
        <v/>
      </c>
      <c r="BI108" s="71" t="str">
        <f>IF(AND($AX108=1,$AJ108=1),$BA108*100000+ROW(),"")</f>
        <v/>
      </c>
      <c r="BJ108" s="71" t="str">
        <f>IF(AND($AS108=1,$AJ108=1),$BA108*100000+ROW(),"")</f>
        <v/>
      </c>
      <c r="BK108" s="71" t="str">
        <f>IF(AND($AY108=1,$AJ108=1),$BA108*100000+ROW(),"")</f>
        <v/>
      </c>
      <c r="BL108" s="71" t="str">
        <f>IF(AND($AZ108=1),$BA108*100000+ROW(),"")</f>
        <v/>
      </c>
    </row>
    <row r="109">
      <c r="A109" s="63" t="n"/>
      <c r="B109" s="64" t="n"/>
      <c r="C109" s="64" t="n"/>
      <c r="D109" s="64" t="n"/>
      <c r="E109" s="64" t="n"/>
      <c r="F109" s="64" t="n"/>
      <c r="G109" s="65" t="n"/>
      <c r="H109" s="65" t="n"/>
      <c r="I109" s="64" t="n"/>
      <c r="J109" s="64" t="n"/>
      <c r="K109" s="63" t="n"/>
      <c r="L109" s="63" t="n"/>
      <c r="M109" s="64" t="n"/>
      <c r="N109" s="66" t="n"/>
      <c r="O109" s="65" t="n"/>
      <c r="P109" s="64" t="n"/>
      <c r="Q109" s="67" t="n"/>
      <c r="R109" s="67" t="n"/>
      <c r="S109" s="68" t="str">
        <f>IF(AND(ISNUMBER($Q109),ISNUMBER($R109)),$Q109-$R109,"")</f>
        <v/>
      </c>
      <c r="T109" s="65" t="n"/>
      <c r="U109" s="64" t="n"/>
      <c r="V109" s="65" t="n"/>
      <c r="W109" s="63" t="n"/>
      <c r="X109" s="65" t="n"/>
      <c r="Y109" s="63" t="n"/>
      <c r="Z109" s="64" t="n"/>
      <c r="AA109" s="64" t="n"/>
      <c r="AB109" s="65" t="n"/>
      <c r="AC109" s="69" t="str">
        <f>IF(OR($G109="",NOT(ISNUMBER($K109)),$AK109=0),"",MAX(0,ReportDate-$K109))</f>
        <v/>
      </c>
      <c r="AD109" s="69" t="str">
        <f>IF($G109="","",IF($AL109=1,ReportDate-$L109,0))</f>
        <v/>
      </c>
      <c r="AE109" s="70" t="str">
        <f>IF($G109="","",IF($M109="Completed",1,IF(ISNUMBER($N109),$N109,0)))</f>
        <v/>
      </c>
      <c r="AF109" s="70" t="str">
        <f>IF(AND(ISNUMBER($Q109),ISNUMBER($R109)),IF($R109&lt;&gt;0,$Q109/$R109,""),"")</f>
        <v/>
      </c>
      <c r="AG109" s="71" t="str">
        <f>IF($G109="","",IF($AL109=1,"OVERDUE",IF($AM109=1,"BLOCKED",IF($AN109=1,"DUE TODAY",IF($AO109=1,"DUE TOMORROW",IF($AQ109=1,"HIGH PRIORITY",IF($AR109=1,"NO RECENT UPDATE",""))))))) </f>
        <v/>
      </c>
      <c r="AH109" s="71" t="str">
        <f>IF($G109="","",IF(ISNUMBER($A109),IF(ISNUMBER($A109),YEAR($A109)&amp;"-"&amp;TEXT(MONTH($A109),"00"),""),IF(ISNUMBER($L109),IF(ISNUMBER($L109),YEAR($L109)&amp;"-"&amp;TEXT(MONTH($L109),"00"),""),"")))</f>
        <v/>
      </c>
      <c r="AI109" s="71">
        <f>IF($G109="",0,IF(AND(OR(fClient="All",$C109=fClient),OR(fCampaign="All",$D109=fCampaign),OR(fTeam="All",$B109=fTeam),OR(fChannel="All",$F109=fChannel),OR(fMonth="All",$AH109=fMonth),OR(fTStatus="All",$M109=fTStatus)),1,0))</f>
        <v>0</v>
      </c>
      <c r="AJ109" s="71">
        <f>IF($G109="",0,IF(AND(OR(fClient="All",$C109=fClient),OR(fCampaign="All",$D109=fCampaign),OR(fTeam="All",$B109=fTeam),OR(fChannel="All",$F109=fChannel)),1,0))</f>
        <v>0</v>
      </c>
      <c r="AK109" s="71">
        <f>IF($G109="",0,IF(OR($M109="Completed",$M109="Cancelled"),0,1))</f>
        <v>0</v>
      </c>
      <c r="AL109" s="71">
        <f>IF(AND($AK109=1,ISNUMBER($L109)),IF($L109&lt;ReportDate,1,0),0)</f>
        <v>0</v>
      </c>
      <c r="AM109" s="71">
        <f>IF(AND($G109&lt;&gt;"",$M109="Blocked"),1,0)</f>
        <v>0</v>
      </c>
      <c r="AN109" s="71">
        <f>IF(AND($AK109=1,ISNUMBER($L109)),IF($L109=ReportDate,1,0),0)</f>
        <v>0</v>
      </c>
      <c r="AO109" s="71">
        <f>IF(AND($AK109=1,ISNUMBER($L109)),IF($L109=ReportDate+1,1,0),0)</f>
        <v>0</v>
      </c>
      <c r="AP109" s="71">
        <f>IF(AND($AK109=1,ISNUMBER($L109)),IF(AND($L109&gt;=ReportDate,$L109&lt;=ReportDate+DueSoonDays),1,0),0)</f>
        <v>0</v>
      </c>
      <c r="AQ109" s="71">
        <f>IF(AND($AK109=1,OR($I109="Critical",$I109="High")),1,0)</f>
        <v>0</v>
      </c>
      <c r="AR109" s="71">
        <f>IF($AK109=1,IF(ISNUMBER($Y109),IF(ReportDate-$Y109&gt;StaleDays,1,0),1),0)</f>
        <v>0</v>
      </c>
      <c r="AS109" s="71">
        <f>IF(AND($G109&lt;&gt;"",ISNUMBER($Q109),ISNUMBER($R109)),IF(AND($Q109&lt;$R109,OR($M109="Completed",AND(ISNUMBER($L109),$L109&lt;ReportDate))),1,0),0)</f>
        <v>0</v>
      </c>
      <c r="AT109" s="71">
        <f>IF($AK109=1,IF(OR($L109=ReportDate,$W109=ReportDate,$K109=ReportDate,$A109=ReportDate),1,0),0)</f>
        <v>0</v>
      </c>
      <c r="AU109" s="71">
        <f>IF($AK109=1,IF(OR($L109=ReportDate+1,$W109=ReportDate+1,$K109=ReportDate+1,$A109=ReportDate+1),1,0),0)</f>
        <v>0</v>
      </c>
      <c r="AV109" s="71">
        <f>IF(AND($G109&lt;&gt;"",$M109="Completed"),IF(OR($Y109=ReportDate-1,$A109=ReportDate-1),1,0),0)</f>
        <v>0</v>
      </c>
      <c r="AW109" s="71">
        <f>IF(AND($AK109=1,$Z109="Yes"),1,0)</f>
        <v>0</v>
      </c>
      <c r="AX109" s="71">
        <f>IF(AND($AK109=1,$AA109="Yes"),1,0)</f>
        <v>0</v>
      </c>
      <c r="AY109" s="71">
        <f>IF(AND($AM109=1,OR($I109="Critical",$I109="High")),1,0)</f>
        <v>0</v>
      </c>
      <c r="AZ109" s="71">
        <f>IF(AND($AK109=1,OR($C109=TCL_Client,$C109=MECCA_Client)),1,0)</f>
        <v>0</v>
      </c>
      <c r="BA109" s="71" t="str">
        <f>IF($G109="","",IFERROR(MATCH($I109,lst_Priority,0),5))</f>
        <v/>
      </c>
      <c r="BB109" s="71" t="str">
        <f>IF(AND($AL109=1,$AJ109=1),$BA109*100000+ROW(),"")</f>
        <v/>
      </c>
      <c r="BC109" s="71" t="str">
        <f>IF(AND($AM109=1,$AJ109=1),$BA109*100000+ROW(),"")</f>
        <v/>
      </c>
      <c r="BD109" s="71" t="str">
        <f>IF(AND($AP109=1,$AJ109=1),$BA109*100000+ROW(),"")</f>
        <v/>
      </c>
      <c r="BE109" s="71" t="str">
        <f>IF(AND($AT109=1,$AJ109=1),$BA109*100000+ROW(),"")</f>
        <v/>
      </c>
      <c r="BF109" s="71" t="str">
        <f>IF(AND($AU109=1,$AJ109=1),$BA109*100000+ROW(),"")</f>
        <v/>
      </c>
      <c r="BG109" s="71" t="str">
        <f>IF(AND($AV109=1,$AJ109=1),$BA109*100000+ROW(),"")</f>
        <v/>
      </c>
      <c r="BH109" s="71" t="str">
        <f>IF(AND($AW109=1,$AJ109=1),$BA109*100000+ROW(),"")</f>
        <v/>
      </c>
      <c r="BI109" s="71" t="str">
        <f>IF(AND($AX109=1,$AJ109=1),$BA109*100000+ROW(),"")</f>
        <v/>
      </c>
      <c r="BJ109" s="71" t="str">
        <f>IF(AND($AS109=1,$AJ109=1),$BA109*100000+ROW(),"")</f>
        <v/>
      </c>
      <c r="BK109" s="71" t="str">
        <f>IF(AND($AY109=1,$AJ109=1),$BA109*100000+ROW(),"")</f>
        <v/>
      </c>
      <c r="BL109" s="71" t="str">
        <f>IF(AND($AZ109=1),$BA109*100000+ROW(),"")</f>
        <v/>
      </c>
    </row>
    <row r="110">
      <c r="A110" s="63" t="n"/>
      <c r="B110" s="64" t="n"/>
      <c r="C110" s="64" t="n"/>
      <c r="D110" s="64" t="n"/>
      <c r="E110" s="64" t="n"/>
      <c r="F110" s="64" t="n"/>
      <c r="G110" s="65" t="n"/>
      <c r="H110" s="65" t="n"/>
      <c r="I110" s="64" t="n"/>
      <c r="J110" s="64" t="n"/>
      <c r="K110" s="63" t="n"/>
      <c r="L110" s="63" t="n"/>
      <c r="M110" s="64" t="n"/>
      <c r="N110" s="66" t="n"/>
      <c r="O110" s="65" t="n"/>
      <c r="P110" s="64" t="n"/>
      <c r="Q110" s="67" t="n"/>
      <c r="R110" s="67" t="n"/>
      <c r="S110" s="68" t="str">
        <f>IF(AND(ISNUMBER($Q110),ISNUMBER($R110)),$Q110-$R110,"")</f>
        <v/>
      </c>
      <c r="T110" s="65" t="n"/>
      <c r="U110" s="64" t="n"/>
      <c r="V110" s="65" t="n"/>
      <c r="W110" s="63" t="n"/>
      <c r="X110" s="65" t="n"/>
      <c r="Y110" s="63" t="n"/>
      <c r="Z110" s="64" t="n"/>
      <c r="AA110" s="64" t="n"/>
      <c r="AB110" s="65" t="n"/>
      <c r="AC110" s="69" t="str">
        <f>IF(OR($G110="",NOT(ISNUMBER($K110)),$AK110=0),"",MAX(0,ReportDate-$K110))</f>
        <v/>
      </c>
      <c r="AD110" s="69" t="str">
        <f>IF($G110="","",IF($AL110=1,ReportDate-$L110,0))</f>
        <v/>
      </c>
      <c r="AE110" s="70" t="str">
        <f>IF($G110="","",IF($M110="Completed",1,IF(ISNUMBER($N110),$N110,0)))</f>
        <v/>
      </c>
      <c r="AF110" s="70" t="str">
        <f>IF(AND(ISNUMBER($Q110),ISNUMBER($R110)),IF($R110&lt;&gt;0,$Q110/$R110,""),"")</f>
        <v/>
      </c>
      <c r="AG110" s="71" t="str">
        <f>IF($G110="","",IF($AL110=1,"OVERDUE",IF($AM110=1,"BLOCKED",IF($AN110=1,"DUE TODAY",IF($AO110=1,"DUE TOMORROW",IF($AQ110=1,"HIGH PRIORITY",IF($AR110=1,"NO RECENT UPDATE",""))))))) </f>
        <v/>
      </c>
      <c r="AH110" s="71" t="str">
        <f>IF($G110="","",IF(ISNUMBER($A110),IF(ISNUMBER($A110),YEAR($A110)&amp;"-"&amp;TEXT(MONTH($A110),"00"),""),IF(ISNUMBER($L110),IF(ISNUMBER($L110),YEAR($L110)&amp;"-"&amp;TEXT(MONTH($L110),"00"),""),"")))</f>
        <v/>
      </c>
      <c r="AI110" s="71">
        <f>IF($G110="",0,IF(AND(OR(fClient="All",$C110=fClient),OR(fCampaign="All",$D110=fCampaign),OR(fTeam="All",$B110=fTeam),OR(fChannel="All",$F110=fChannel),OR(fMonth="All",$AH110=fMonth),OR(fTStatus="All",$M110=fTStatus)),1,0))</f>
        <v>0</v>
      </c>
      <c r="AJ110" s="71">
        <f>IF($G110="",0,IF(AND(OR(fClient="All",$C110=fClient),OR(fCampaign="All",$D110=fCampaign),OR(fTeam="All",$B110=fTeam),OR(fChannel="All",$F110=fChannel)),1,0))</f>
        <v>0</v>
      </c>
      <c r="AK110" s="71">
        <f>IF($G110="",0,IF(OR($M110="Completed",$M110="Cancelled"),0,1))</f>
        <v>0</v>
      </c>
      <c r="AL110" s="71">
        <f>IF(AND($AK110=1,ISNUMBER($L110)),IF($L110&lt;ReportDate,1,0),0)</f>
        <v>0</v>
      </c>
      <c r="AM110" s="71">
        <f>IF(AND($G110&lt;&gt;"",$M110="Blocked"),1,0)</f>
        <v>0</v>
      </c>
      <c r="AN110" s="71">
        <f>IF(AND($AK110=1,ISNUMBER($L110)),IF($L110=ReportDate,1,0),0)</f>
        <v>0</v>
      </c>
      <c r="AO110" s="71">
        <f>IF(AND($AK110=1,ISNUMBER($L110)),IF($L110=ReportDate+1,1,0),0)</f>
        <v>0</v>
      </c>
      <c r="AP110" s="71">
        <f>IF(AND($AK110=1,ISNUMBER($L110)),IF(AND($L110&gt;=ReportDate,$L110&lt;=ReportDate+DueSoonDays),1,0),0)</f>
        <v>0</v>
      </c>
      <c r="AQ110" s="71">
        <f>IF(AND($AK110=1,OR($I110="Critical",$I110="High")),1,0)</f>
        <v>0</v>
      </c>
      <c r="AR110" s="71">
        <f>IF($AK110=1,IF(ISNUMBER($Y110),IF(ReportDate-$Y110&gt;StaleDays,1,0),1),0)</f>
        <v>0</v>
      </c>
      <c r="AS110" s="71">
        <f>IF(AND($G110&lt;&gt;"",ISNUMBER($Q110),ISNUMBER($R110)),IF(AND($Q110&lt;$R110,OR($M110="Completed",AND(ISNUMBER($L110),$L110&lt;ReportDate))),1,0),0)</f>
        <v>0</v>
      </c>
      <c r="AT110" s="71">
        <f>IF($AK110=1,IF(OR($L110=ReportDate,$W110=ReportDate,$K110=ReportDate,$A110=ReportDate),1,0),0)</f>
        <v>0</v>
      </c>
      <c r="AU110" s="71">
        <f>IF($AK110=1,IF(OR($L110=ReportDate+1,$W110=ReportDate+1,$K110=ReportDate+1,$A110=ReportDate+1),1,0),0)</f>
        <v>0</v>
      </c>
      <c r="AV110" s="71">
        <f>IF(AND($G110&lt;&gt;"",$M110="Completed"),IF(OR($Y110=ReportDate-1,$A110=ReportDate-1),1,0),0)</f>
        <v>0</v>
      </c>
      <c r="AW110" s="71">
        <f>IF(AND($AK110=1,$Z110="Yes"),1,0)</f>
        <v>0</v>
      </c>
      <c r="AX110" s="71">
        <f>IF(AND($AK110=1,$AA110="Yes"),1,0)</f>
        <v>0</v>
      </c>
      <c r="AY110" s="71">
        <f>IF(AND($AM110=1,OR($I110="Critical",$I110="High")),1,0)</f>
        <v>0</v>
      </c>
      <c r="AZ110" s="71">
        <f>IF(AND($AK110=1,OR($C110=TCL_Client,$C110=MECCA_Client)),1,0)</f>
        <v>0</v>
      </c>
      <c r="BA110" s="71" t="str">
        <f>IF($G110="","",IFERROR(MATCH($I110,lst_Priority,0),5))</f>
        <v/>
      </c>
      <c r="BB110" s="71" t="str">
        <f>IF(AND($AL110=1,$AJ110=1),$BA110*100000+ROW(),"")</f>
        <v/>
      </c>
      <c r="BC110" s="71" t="str">
        <f>IF(AND($AM110=1,$AJ110=1),$BA110*100000+ROW(),"")</f>
        <v/>
      </c>
      <c r="BD110" s="71" t="str">
        <f>IF(AND($AP110=1,$AJ110=1),$BA110*100000+ROW(),"")</f>
        <v/>
      </c>
      <c r="BE110" s="71" t="str">
        <f>IF(AND($AT110=1,$AJ110=1),$BA110*100000+ROW(),"")</f>
        <v/>
      </c>
      <c r="BF110" s="71" t="str">
        <f>IF(AND($AU110=1,$AJ110=1),$BA110*100000+ROW(),"")</f>
        <v/>
      </c>
      <c r="BG110" s="71" t="str">
        <f>IF(AND($AV110=1,$AJ110=1),$BA110*100000+ROW(),"")</f>
        <v/>
      </c>
      <c r="BH110" s="71" t="str">
        <f>IF(AND($AW110=1,$AJ110=1),$BA110*100000+ROW(),"")</f>
        <v/>
      </c>
      <c r="BI110" s="71" t="str">
        <f>IF(AND($AX110=1,$AJ110=1),$BA110*100000+ROW(),"")</f>
        <v/>
      </c>
      <c r="BJ110" s="71" t="str">
        <f>IF(AND($AS110=1,$AJ110=1),$BA110*100000+ROW(),"")</f>
        <v/>
      </c>
      <c r="BK110" s="71" t="str">
        <f>IF(AND($AY110=1,$AJ110=1),$BA110*100000+ROW(),"")</f>
        <v/>
      </c>
      <c r="BL110" s="71" t="str">
        <f>IF(AND($AZ110=1),$BA110*100000+ROW(),"")</f>
        <v/>
      </c>
    </row>
    <row r="111">
      <c r="A111" s="63" t="n"/>
      <c r="B111" s="64" t="n"/>
      <c r="C111" s="64" t="n"/>
      <c r="D111" s="64" t="n"/>
      <c r="E111" s="64" t="n"/>
      <c r="F111" s="64" t="n"/>
      <c r="G111" s="65" t="n"/>
      <c r="H111" s="65" t="n"/>
      <c r="I111" s="64" t="n"/>
      <c r="J111" s="64" t="n"/>
      <c r="K111" s="63" t="n"/>
      <c r="L111" s="63" t="n"/>
      <c r="M111" s="64" t="n"/>
      <c r="N111" s="66" t="n"/>
      <c r="O111" s="65" t="n"/>
      <c r="P111" s="64" t="n"/>
      <c r="Q111" s="67" t="n"/>
      <c r="R111" s="67" t="n"/>
      <c r="S111" s="68" t="str">
        <f>IF(AND(ISNUMBER($Q111),ISNUMBER($R111)),$Q111-$R111,"")</f>
        <v/>
      </c>
      <c r="T111" s="65" t="n"/>
      <c r="U111" s="64" t="n"/>
      <c r="V111" s="65" t="n"/>
      <c r="W111" s="63" t="n"/>
      <c r="X111" s="65" t="n"/>
      <c r="Y111" s="63" t="n"/>
      <c r="Z111" s="64" t="n"/>
      <c r="AA111" s="64" t="n"/>
      <c r="AB111" s="65" t="n"/>
      <c r="AC111" s="69" t="str">
        <f>IF(OR($G111="",NOT(ISNUMBER($K111)),$AK111=0),"",MAX(0,ReportDate-$K111))</f>
        <v/>
      </c>
      <c r="AD111" s="69" t="str">
        <f>IF($G111="","",IF($AL111=1,ReportDate-$L111,0))</f>
        <v/>
      </c>
      <c r="AE111" s="70" t="str">
        <f>IF($G111="","",IF($M111="Completed",1,IF(ISNUMBER($N111),$N111,0)))</f>
        <v/>
      </c>
      <c r="AF111" s="70" t="str">
        <f>IF(AND(ISNUMBER($Q111),ISNUMBER($R111)),IF($R111&lt;&gt;0,$Q111/$R111,""),"")</f>
        <v/>
      </c>
      <c r="AG111" s="71" t="str">
        <f>IF($G111="","",IF($AL111=1,"OVERDUE",IF($AM111=1,"BLOCKED",IF($AN111=1,"DUE TODAY",IF($AO111=1,"DUE TOMORROW",IF($AQ111=1,"HIGH PRIORITY",IF($AR111=1,"NO RECENT UPDATE",""))))))) </f>
        <v/>
      </c>
      <c r="AH111" s="71" t="str">
        <f>IF($G111="","",IF(ISNUMBER($A111),IF(ISNUMBER($A111),YEAR($A111)&amp;"-"&amp;TEXT(MONTH($A111),"00"),""),IF(ISNUMBER($L111),IF(ISNUMBER($L111),YEAR($L111)&amp;"-"&amp;TEXT(MONTH($L111),"00"),""),"")))</f>
        <v/>
      </c>
      <c r="AI111" s="71">
        <f>IF($G111="",0,IF(AND(OR(fClient="All",$C111=fClient),OR(fCampaign="All",$D111=fCampaign),OR(fTeam="All",$B111=fTeam),OR(fChannel="All",$F111=fChannel),OR(fMonth="All",$AH111=fMonth),OR(fTStatus="All",$M111=fTStatus)),1,0))</f>
        <v>0</v>
      </c>
      <c r="AJ111" s="71">
        <f>IF($G111="",0,IF(AND(OR(fClient="All",$C111=fClient),OR(fCampaign="All",$D111=fCampaign),OR(fTeam="All",$B111=fTeam),OR(fChannel="All",$F111=fChannel)),1,0))</f>
        <v>0</v>
      </c>
      <c r="AK111" s="71">
        <f>IF($G111="",0,IF(OR($M111="Completed",$M111="Cancelled"),0,1))</f>
        <v>0</v>
      </c>
      <c r="AL111" s="71">
        <f>IF(AND($AK111=1,ISNUMBER($L111)),IF($L111&lt;ReportDate,1,0),0)</f>
        <v>0</v>
      </c>
      <c r="AM111" s="71">
        <f>IF(AND($G111&lt;&gt;"",$M111="Blocked"),1,0)</f>
        <v>0</v>
      </c>
      <c r="AN111" s="71">
        <f>IF(AND($AK111=1,ISNUMBER($L111)),IF($L111=ReportDate,1,0),0)</f>
        <v>0</v>
      </c>
      <c r="AO111" s="71">
        <f>IF(AND($AK111=1,ISNUMBER($L111)),IF($L111=ReportDate+1,1,0),0)</f>
        <v>0</v>
      </c>
      <c r="AP111" s="71">
        <f>IF(AND($AK111=1,ISNUMBER($L111)),IF(AND($L111&gt;=ReportDate,$L111&lt;=ReportDate+DueSoonDays),1,0),0)</f>
        <v>0</v>
      </c>
      <c r="AQ111" s="71">
        <f>IF(AND($AK111=1,OR($I111="Critical",$I111="High")),1,0)</f>
        <v>0</v>
      </c>
      <c r="AR111" s="71">
        <f>IF($AK111=1,IF(ISNUMBER($Y111),IF(ReportDate-$Y111&gt;StaleDays,1,0),1),0)</f>
        <v>0</v>
      </c>
      <c r="AS111" s="71">
        <f>IF(AND($G111&lt;&gt;"",ISNUMBER($Q111),ISNUMBER($R111)),IF(AND($Q111&lt;$R111,OR($M111="Completed",AND(ISNUMBER($L111),$L111&lt;ReportDate))),1,0),0)</f>
        <v>0</v>
      </c>
      <c r="AT111" s="71">
        <f>IF($AK111=1,IF(OR($L111=ReportDate,$W111=ReportDate,$K111=ReportDate,$A111=ReportDate),1,0),0)</f>
        <v>0</v>
      </c>
      <c r="AU111" s="71">
        <f>IF($AK111=1,IF(OR($L111=ReportDate+1,$W111=ReportDate+1,$K111=ReportDate+1,$A111=ReportDate+1),1,0),0)</f>
        <v>0</v>
      </c>
      <c r="AV111" s="71">
        <f>IF(AND($G111&lt;&gt;"",$M111="Completed"),IF(OR($Y111=ReportDate-1,$A111=ReportDate-1),1,0),0)</f>
        <v>0</v>
      </c>
      <c r="AW111" s="71">
        <f>IF(AND($AK111=1,$Z111="Yes"),1,0)</f>
        <v>0</v>
      </c>
      <c r="AX111" s="71">
        <f>IF(AND($AK111=1,$AA111="Yes"),1,0)</f>
        <v>0</v>
      </c>
      <c r="AY111" s="71">
        <f>IF(AND($AM111=1,OR($I111="Critical",$I111="High")),1,0)</f>
        <v>0</v>
      </c>
      <c r="AZ111" s="71">
        <f>IF(AND($AK111=1,OR($C111=TCL_Client,$C111=MECCA_Client)),1,0)</f>
        <v>0</v>
      </c>
      <c r="BA111" s="71" t="str">
        <f>IF($G111="","",IFERROR(MATCH($I111,lst_Priority,0),5))</f>
        <v/>
      </c>
      <c r="BB111" s="71" t="str">
        <f>IF(AND($AL111=1,$AJ111=1),$BA111*100000+ROW(),"")</f>
        <v/>
      </c>
      <c r="BC111" s="71" t="str">
        <f>IF(AND($AM111=1,$AJ111=1),$BA111*100000+ROW(),"")</f>
        <v/>
      </c>
      <c r="BD111" s="71" t="str">
        <f>IF(AND($AP111=1,$AJ111=1),$BA111*100000+ROW(),"")</f>
        <v/>
      </c>
      <c r="BE111" s="71" t="str">
        <f>IF(AND($AT111=1,$AJ111=1),$BA111*100000+ROW(),"")</f>
        <v/>
      </c>
      <c r="BF111" s="71" t="str">
        <f>IF(AND($AU111=1,$AJ111=1),$BA111*100000+ROW(),"")</f>
        <v/>
      </c>
      <c r="BG111" s="71" t="str">
        <f>IF(AND($AV111=1,$AJ111=1),$BA111*100000+ROW(),"")</f>
        <v/>
      </c>
      <c r="BH111" s="71" t="str">
        <f>IF(AND($AW111=1,$AJ111=1),$BA111*100000+ROW(),"")</f>
        <v/>
      </c>
      <c r="BI111" s="71" t="str">
        <f>IF(AND($AX111=1,$AJ111=1),$BA111*100000+ROW(),"")</f>
        <v/>
      </c>
      <c r="BJ111" s="71" t="str">
        <f>IF(AND($AS111=1,$AJ111=1),$BA111*100000+ROW(),"")</f>
        <v/>
      </c>
      <c r="BK111" s="71" t="str">
        <f>IF(AND($AY111=1,$AJ111=1),$BA111*100000+ROW(),"")</f>
        <v/>
      </c>
      <c r="BL111" s="71" t="str">
        <f>IF(AND($AZ111=1),$BA111*100000+ROW(),"")</f>
        <v/>
      </c>
    </row>
    <row r="112">
      <c r="A112" s="63" t="n"/>
      <c r="B112" s="64" t="n"/>
      <c r="C112" s="64" t="n"/>
      <c r="D112" s="64" t="n"/>
      <c r="E112" s="64" t="n"/>
      <c r="F112" s="64" t="n"/>
      <c r="G112" s="65" t="n"/>
      <c r="H112" s="65" t="n"/>
      <c r="I112" s="64" t="n"/>
      <c r="J112" s="64" t="n"/>
      <c r="K112" s="63" t="n"/>
      <c r="L112" s="63" t="n"/>
      <c r="M112" s="64" t="n"/>
      <c r="N112" s="66" t="n"/>
      <c r="O112" s="65" t="n"/>
      <c r="P112" s="64" t="n"/>
      <c r="Q112" s="67" t="n"/>
      <c r="R112" s="67" t="n"/>
      <c r="S112" s="68" t="str">
        <f>IF(AND(ISNUMBER($Q112),ISNUMBER($R112)),$Q112-$R112,"")</f>
        <v/>
      </c>
      <c r="T112" s="65" t="n"/>
      <c r="U112" s="64" t="n"/>
      <c r="V112" s="65" t="n"/>
      <c r="W112" s="63" t="n"/>
      <c r="X112" s="65" t="n"/>
      <c r="Y112" s="63" t="n"/>
      <c r="Z112" s="64" t="n"/>
      <c r="AA112" s="64" t="n"/>
      <c r="AB112" s="65" t="n"/>
      <c r="AC112" s="69" t="str">
        <f>IF(OR($G112="",NOT(ISNUMBER($K112)),$AK112=0),"",MAX(0,ReportDate-$K112))</f>
        <v/>
      </c>
      <c r="AD112" s="69" t="str">
        <f>IF($G112="","",IF($AL112=1,ReportDate-$L112,0))</f>
        <v/>
      </c>
      <c r="AE112" s="70" t="str">
        <f>IF($G112="","",IF($M112="Completed",1,IF(ISNUMBER($N112),$N112,0)))</f>
        <v/>
      </c>
      <c r="AF112" s="70" t="str">
        <f>IF(AND(ISNUMBER($Q112),ISNUMBER($R112)),IF($R112&lt;&gt;0,$Q112/$R112,""),"")</f>
        <v/>
      </c>
      <c r="AG112" s="71" t="str">
        <f>IF($G112="","",IF($AL112=1,"OVERDUE",IF($AM112=1,"BLOCKED",IF($AN112=1,"DUE TODAY",IF($AO112=1,"DUE TOMORROW",IF($AQ112=1,"HIGH PRIORITY",IF($AR112=1,"NO RECENT UPDATE",""))))))) </f>
        <v/>
      </c>
      <c r="AH112" s="71" t="str">
        <f>IF($G112="","",IF(ISNUMBER($A112),IF(ISNUMBER($A112),YEAR($A112)&amp;"-"&amp;TEXT(MONTH($A112),"00"),""),IF(ISNUMBER($L112),IF(ISNUMBER($L112),YEAR($L112)&amp;"-"&amp;TEXT(MONTH($L112),"00"),""),"")))</f>
        <v/>
      </c>
      <c r="AI112" s="71">
        <f>IF($G112="",0,IF(AND(OR(fClient="All",$C112=fClient),OR(fCampaign="All",$D112=fCampaign),OR(fTeam="All",$B112=fTeam),OR(fChannel="All",$F112=fChannel),OR(fMonth="All",$AH112=fMonth),OR(fTStatus="All",$M112=fTStatus)),1,0))</f>
        <v>0</v>
      </c>
      <c r="AJ112" s="71">
        <f>IF($G112="",0,IF(AND(OR(fClient="All",$C112=fClient),OR(fCampaign="All",$D112=fCampaign),OR(fTeam="All",$B112=fTeam),OR(fChannel="All",$F112=fChannel)),1,0))</f>
        <v>0</v>
      </c>
      <c r="AK112" s="71">
        <f>IF($G112="",0,IF(OR($M112="Completed",$M112="Cancelled"),0,1))</f>
        <v>0</v>
      </c>
      <c r="AL112" s="71">
        <f>IF(AND($AK112=1,ISNUMBER($L112)),IF($L112&lt;ReportDate,1,0),0)</f>
        <v>0</v>
      </c>
      <c r="AM112" s="71">
        <f>IF(AND($G112&lt;&gt;"",$M112="Blocked"),1,0)</f>
        <v>0</v>
      </c>
      <c r="AN112" s="71">
        <f>IF(AND($AK112=1,ISNUMBER($L112)),IF($L112=ReportDate,1,0),0)</f>
        <v>0</v>
      </c>
      <c r="AO112" s="71">
        <f>IF(AND($AK112=1,ISNUMBER($L112)),IF($L112=ReportDate+1,1,0),0)</f>
        <v>0</v>
      </c>
      <c r="AP112" s="71">
        <f>IF(AND($AK112=1,ISNUMBER($L112)),IF(AND($L112&gt;=ReportDate,$L112&lt;=ReportDate+DueSoonDays),1,0),0)</f>
        <v>0</v>
      </c>
      <c r="AQ112" s="71">
        <f>IF(AND($AK112=1,OR($I112="Critical",$I112="High")),1,0)</f>
        <v>0</v>
      </c>
      <c r="AR112" s="71">
        <f>IF($AK112=1,IF(ISNUMBER($Y112),IF(ReportDate-$Y112&gt;StaleDays,1,0),1),0)</f>
        <v>0</v>
      </c>
      <c r="AS112" s="71">
        <f>IF(AND($G112&lt;&gt;"",ISNUMBER($Q112),ISNUMBER($R112)),IF(AND($Q112&lt;$R112,OR($M112="Completed",AND(ISNUMBER($L112),$L112&lt;ReportDate))),1,0),0)</f>
        <v>0</v>
      </c>
      <c r="AT112" s="71">
        <f>IF($AK112=1,IF(OR($L112=ReportDate,$W112=ReportDate,$K112=ReportDate,$A112=ReportDate),1,0),0)</f>
        <v>0</v>
      </c>
      <c r="AU112" s="71">
        <f>IF($AK112=1,IF(OR($L112=ReportDate+1,$W112=ReportDate+1,$K112=ReportDate+1,$A112=ReportDate+1),1,0),0)</f>
        <v>0</v>
      </c>
      <c r="AV112" s="71">
        <f>IF(AND($G112&lt;&gt;"",$M112="Completed"),IF(OR($Y112=ReportDate-1,$A112=ReportDate-1),1,0),0)</f>
        <v>0</v>
      </c>
      <c r="AW112" s="71">
        <f>IF(AND($AK112=1,$Z112="Yes"),1,0)</f>
        <v>0</v>
      </c>
      <c r="AX112" s="71">
        <f>IF(AND($AK112=1,$AA112="Yes"),1,0)</f>
        <v>0</v>
      </c>
      <c r="AY112" s="71">
        <f>IF(AND($AM112=1,OR($I112="Critical",$I112="High")),1,0)</f>
        <v>0</v>
      </c>
      <c r="AZ112" s="71">
        <f>IF(AND($AK112=1,OR($C112=TCL_Client,$C112=MECCA_Client)),1,0)</f>
        <v>0</v>
      </c>
      <c r="BA112" s="71" t="str">
        <f>IF($G112="","",IFERROR(MATCH($I112,lst_Priority,0),5))</f>
        <v/>
      </c>
      <c r="BB112" s="71" t="str">
        <f>IF(AND($AL112=1,$AJ112=1),$BA112*100000+ROW(),"")</f>
        <v/>
      </c>
      <c r="BC112" s="71" t="str">
        <f>IF(AND($AM112=1,$AJ112=1),$BA112*100000+ROW(),"")</f>
        <v/>
      </c>
      <c r="BD112" s="71" t="str">
        <f>IF(AND($AP112=1,$AJ112=1),$BA112*100000+ROW(),"")</f>
        <v/>
      </c>
      <c r="BE112" s="71" t="str">
        <f>IF(AND($AT112=1,$AJ112=1),$BA112*100000+ROW(),"")</f>
        <v/>
      </c>
      <c r="BF112" s="71" t="str">
        <f>IF(AND($AU112=1,$AJ112=1),$BA112*100000+ROW(),"")</f>
        <v/>
      </c>
      <c r="BG112" s="71" t="str">
        <f>IF(AND($AV112=1,$AJ112=1),$BA112*100000+ROW(),"")</f>
        <v/>
      </c>
      <c r="BH112" s="71" t="str">
        <f>IF(AND($AW112=1,$AJ112=1),$BA112*100000+ROW(),"")</f>
        <v/>
      </c>
      <c r="BI112" s="71" t="str">
        <f>IF(AND($AX112=1,$AJ112=1),$BA112*100000+ROW(),"")</f>
        <v/>
      </c>
      <c r="BJ112" s="71" t="str">
        <f>IF(AND($AS112=1,$AJ112=1),$BA112*100000+ROW(),"")</f>
        <v/>
      </c>
      <c r="BK112" s="71" t="str">
        <f>IF(AND($AY112=1,$AJ112=1),$BA112*100000+ROW(),"")</f>
        <v/>
      </c>
      <c r="BL112" s="71" t="str">
        <f>IF(AND($AZ112=1),$BA112*100000+ROW(),"")</f>
        <v/>
      </c>
    </row>
    <row r="113">
      <c r="A113" s="63" t="n"/>
      <c r="B113" s="64" t="n"/>
      <c r="C113" s="64" t="n"/>
      <c r="D113" s="64" t="n"/>
      <c r="E113" s="64" t="n"/>
      <c r="F113" s="64" t="n"/>
      <c r="G113" s="65" t="n"/>
      <c r="H113" s="65" t="n"/>
      <c r="I113" s="64" t="n"/>
      <c r="J113" s="64" t="n"/>
      <c r="K113" s="63" t="n"/>
      <c r="L113" s="63" t="n"/>
      <c r="M113" s="64" t="n"/>
      <c r="N113" s="66" t="n"/>
      <c r="O113" s="65" t="n"/>
      <c r="P113" s="64" t="n"/>
      <c r="Q113" s="67" t="n"/>
      <c r="R113" s="67" t="n"/>
      <c r="S113" s="68" t="str">
        <f>IF(AND(ISNUMBER($Q113),ISNUMBER($R113)),$Q113-$R113,"")</f>
        <v/>
      </c>
      <c r="T113" s="65" t="n"/>
      <c r="U113" s="64" t="n"/>
      <c r="V113" s="65" t="n"/>
      <c r="W113" s="63" t="n"/>
      <c r="X113" s="65" t="n"/>
      <c r="Y113" s="63" t="n"/>
      <c r="Z113" s="64" t="n"/>
      <c r="AA113" s="64" t="n"/>
      <c r="AB113" s="65" t="n"/>
      <c r="AC113" s="69" t="str">
        <f>IF(OR($G113="",NOT(ISNUMBER($K113)),$AK113=0),"",MAX(0,ReportDate-$K113))</f>
        <v/>
      </c>
      <c r="AD113" s="69" t="str">
        <f>IF($G113="","",IF($AL113=1,ReportDate-$L113,0))</f>
        <v/>
      </c>
      <c r="AE113" s="70" t="str">
        <f>IF($G113="","",IF($M113="Completed",1,IF(ISNUMBER($N113),$N113,0)))</f>
        <v/>
      </c>
      <c r="AF113" s="70" t="str">
        <f>IF(AND(ISNUMBER($Q113),ISNUMBER($R113)),IF($R113&lt;&gt;0,$Q113/$R113,""),"")</f>
        <v/>
      </c>
      <c r="AG113" s="71" t="str">
        <f>IF($G113="","",IF($AL113=1,"OVERDUE",IF($AM113=1,"BLOCKED",IF($AN113=1,"DUE TODAY",IF($AO113=1,"DUE TOMORROW",IF($AQ113=1,"HIGH PRIORITY",IF($AR113=1,"NO RECENT UPDATE",""))))))) </f>
        <v/>
      </c>
      <c r="AH113" s="71" t="str">
        <f>IF($G113="","",IF(ISNUMBER($A113),IF(ISNUMBER($A113),YEAR($A113)&amp;"-"&amp;TEXT(MONTH($A113),"00"),""),IF(ISNUMBER($L113),IF(ISNUMBER($L113),YEAR($L113)&amp;"-"&amp;TEXT(MONTH($L113),"00"),""),"")))</f>
        <v/>
      </c>
      <c r="AI113" s="71">
        <f>IF($G113="",0,IF(AND(OR(fClient="All",$C113=fClient),OR(fCampaign="All",$D113=fCampaign),OR(fTeam="All",$B113=fTeam),OR(fChannel="All",$F113=fChannel),OR(fMonth="All",$AH113=fMonth),OR(fTStatus="All",$M113=fTStatus)),1,0))</f>
        <v>0</v>
      </c>
      <c r="AJ113" s="71">
        <f>IF($G113="",0,IF(AND(OR(fClient="All",$C113=fClient),OR(fCampaign="All",$D113=fCampaign),OR(fTeam="All",$B113=fTeam),OR(fChannel="All",$F113=fChannel)),1,0))</f>
        <v>0</v>
      </c>
      <c r="AK113" s="71">
        <f>IF($G113="",0,IF(OR($M113="Completed",$M113="Cancelled"),0,1))</f>
        <v>0</v>
      </c>
      <c r="AL113" s="71">
        <f>IF(AND($AK113=1,ISNUMBER($L113)),IF($L113&lt;ReportDate,1,0),0)</f>
        <v>0</v>
      </c>
      <c r="AM113" s="71">
        <f>IF(AND($G113&lt;&gt;"",$M113="Blocked"),1,0)</f>
        <v>0</v>
      </c>
      <c r="AN113" s="71">
        <f>IF(AND($AK113=1,ISNUMBER($L113)),IF($L113=ReportDate,1,0),0)</f>
        <v>0</v>
      </c>
      <c r="AO113" s="71">
        <f>IF(AND($AK113=1,ISNUMBER($L113)),IF($L113=ReportDate+1,1,0),0)</f>
        <v>0</v>
      </c>
      <c r="AP113" s="71">
        <f>IF(AND($AK113=1,ISNUMBER($L113)),IF(AND($L113&gt;=ReportDate,$L113&lt;=ReportDate+DueSoonDays),1,0),0)</f>
        <v>0</v>
      </c>
      <c r="AQ113" s="71">
        <f>IF(AND($AK113=1,OR($I113="Critical",$I113="High")),1,0)</f>
        <v>0</v>
      </c>
      <c r="AR113" s="71">
        <f>IF($AK113=1,IF(ISNUMBER($Y113),IF(ReportDate-$Y113&gt;StaleDays,1,0),1),0)</f>
        <v>0</v>
      </c>
      <c r="AS113" s="71">
        <f>IF(AND($G113&lt;&gt;"",ISNUMBER($Q113),ISNUMBER($R113)),IF(AND($Q113&lt;$R113,OR($M113="Completed",AND(ISNUMBER($L113),$L113&lt;ReportDate))),1,0),0)</f>
        <v>0</v>
      </c>
      <c r="AT113" s="71">
        <f>IF($AK113=1,IF(OR($L113=ReportDate,$W113=ReportDate,$K113=ReportDate,$A113=ReportDate),1,0),0)</f>
        <v>0</v>
      </c>
      <c r="AU113" s="71">
        <f>IF($AK113=1,IF(OR($L113=ReportDate+1,$W113=ReportDate+1,$K113=ReportDate+1,$A113=ReportDate+1),1,0),0)</f>
        <v>0</v>
      </c>
      <c r="AV113" s="71">
        <f>IF(AND($G113&lt;&gt;"",$M113="Completed"),IF(OR($Y113=ReportDate-1,$A113=ReportDate-1),1,0),0)</f>
        <v>0</v>
      </c>
      <c r="AW113" s="71">
        <f>IF(AND($AK113=1,$Z113="Yes"),1,0)</f>
        <v>0</v>
      </c>
      <c r="AX113" s="71">
        <f>IF(AND($AK113=1,$AA113="Yes"),1,0)</f>
        <v>0</v>
      </c>
      <c r="AY113" s="71">
        <f>IF(AND($AM113=1,OR($I113="Critical",$I113="High")),1,0)</f>
        <v>0</v>
      </c>
      <c r="AZ113" s="71">
        <f>IF(AND($AK113=1,OR($C113=TCL_Client,$C113=MECCA_Client)),1,0)</f>
        <v>0</v>
      </c>
      <c r="BA113" s="71" t="str">
        <f>IF($G113="","",IFERROR(MATCH($I113,lst_Priority,0),5))</f>
        <v/>
      </c>
      <c r="BB113" s="71" t="str">
        <f>IF(AND($AL113=1,$AJ113=1),$BA113*100000+ROW(),"")</f>
        <v/>
      </c>
      <c r="BC113" s="71" t="str">
        <f>IF(AND($AM113=1,$AJ113=1),$BA113*100000+ROW(),"")</f>
        <v/>
      </c>
      <c r="BD113" s="71" t="str">
        <f>IF(AND($AP113=1,$AJ113=1),$BA113*100000+ROW(),"")</f>
        <v/>
      </c>
      <c r="BE113" s="71" t="str">
        <f>IF(AND($AT113=1,$AJ113=1),$BA113*100000+ROW(),"")</f>
        <v/>
      </c>
      <c r="BF113" s="71" t="str">
        <f>IF(AND($AU113=1,$AJ113=1),$BA113*100000+ROW(),"")</f>
        <v/>
      </c>
      <c r="BG113" s="71" t="str">
        <f>IF(AND($AV113=1,$AJ113=1),$BA113*100000+ROW(),"")</f>
        <v/>
      </c>
      <c r="BH113" s="71" t="str">
        <f>IF(AND($AW113=1,$AJ113=1),$BA113*100000+ROW(),"")</f>
        <v/>
      </c>
      <c r="BI113" s="71" t="str">
        <f>IF(AND($AX113=1,$AJ113=1),$BA113*100000+ROW(),"")</f>
        <v/>
      </c>
      <c r="BJ113" s="71" t="str">
        <f>IF(AND($AS113=1,$AJ113=1),$BA113*100000+ROW(),"")</f>
        <v/>
      </c>
      <c r="BK113" s="71" t="str">
        <f>IF(AND($AY113=1,$AJ113=1),$BA113*100000+ROW(),"")</f>
        <v/>
      </c>
      <c r="BL113" s="71" t="str">
        <f>IF(AND($AZ113=1),$BA113*100000+ROW(),"")</f>
        <v/>
      </c>
    </row>
    <row r="114">
      <c r="A114" s="63" t="n"/>
      <c r="B114" s="64" t="n"/>
      <c r="C114" s="64" t="n"/>
      <c r="D114" s="64" t="n"/>
      <c r="E114" s="64" t="n"/>
      <c r="F114" s="64" t="n"/>
      <c r="G114" s="65" t="n"/>
      <c r="H114" s="65" t="n"/>
      <c r="I114" s="64" t="n"/>
      <c r="J114" s="64" t="n"/>
      <c r="K114" s="63" t="n"/>
      <c r="L114" s="63" t="n"/>
      <c r="M114" s="64" t="n"/>
      <c r="N114" s="66" t="n"/>
      <c r="O114" s="65" t="n"/>
      <c r="P114" s="64" t="n"/>
      <c r="Q114" s="67" t="n"/>
      <c r="R114" s="67" t="n"/>
      <c r="S114" s="68" t="str">
        <f>IF(AND(ISNUMBER($Q114),ISNUMBER($R114)),$Q114-$R114,"")</f>
        <v/>
      </c>
      <c r="T114" s="65" t="n"/>
      <c r="U114" s="64" t="n"/>
      <c r="V114" s="65" t="n"/>
      <c r="W114" s="63" t="n"/>
      <c r="X114" s="65" t="n"/>
      <c r="Y114" s="63" t="n"/>
      <c r="Z114" s="64" t="n"/>
      <c r="AA114" s="64" t="n"/>
      <c r="AB114" s="65" t="n"/>
      <c r="AC114" s="69" t="str">
        <f>IF(OR($G114="",NOT(ISNUMBER($K114)),$AK114=0),"",MAX(0,ReportDate-$K114))</f>
        <v/>
      </c>
      <c r="AD114" s="69" t="str">
        <f>IF($G114="","",IF($AL114=1,ReportDate-$L114,0))</f>
        <v/>
      </c>
      <c r="AE114" s="70" t="str">
        <f>IF($G114="","",IF($M114="Completed",1,IF(ISNUMBER($N114),$N114,0)))</f>
        <v/>
      </c>
      <c r="AF114" s="70" t="str">
        <f>IF(AND(ISNUMBER($Q114),ISNUMBER($R114)),IF($R114&lt;&gt;0,$Q114/$R114,""),"")</f>
        <v/>
      </c>
      <c r="AG114" s="71" t="str">
        <f>IF($G114="","",IF($AL114=1,"OVERDUE",IF($AM114=1,"BLOCKED",IF($AN114=1,"DUE TODAY",IF($AO114=1,"DUE TOMORROW",IF($AQ114=1,"HIGH PRIORITY",IF($AR114=1,"NO RECENT UPDATE",""))))))) </f>
        <v/>
      </c>
      <c r="AH114" s="71" t="str">
        <f>IF($G114="","",IF(ISNUMBER($A114),IF(ISNUMBER($A114),YEAR($A114)&amp;"-"&amp;TEXT(MONTH($A114),"00"),""),IF(ISNUMBER($L114),IF(ISNUMBER($L114),YEAR($L114)&amp;"-"&amp;TEXT(MONTH($L114),"00"),""),"")))</f>
        <v/>
      </c>
      <c r="AI114" s="71">
        <f>IF($G114="",0,IF(AND(OR(fClient="All",$C114=fClient),OR(fCampaign="All",$D114=fCampaign),OR(fTeam="All",$B114=fTeam),OR(fChannel="All",$F114=fChannel),OR(fMonth="All",$AH114=fMonth),OR(fTStatus="All",$M114=fTStatus)),1,0))</f>
        <v>0</v>
      </c>
      <c r="AJ114" s="71">
        <f>IF($G114="",0,IF(AND(OR(fClient="All",$C114=fClient),OR(fCampaign="All",$D114=fCampaign),OR(fTeam="All",$B114=fTeam),OR(fChannel="All",$F114=fChannel)),1,0))</f>
        <v>0</v>
      </c>
      <c r="AK114" s="71">
        <f>IF($G114="",0,IF(OR($M114="Completed",$M114="Cancelled"),0,1))</f>
        <v>0</v>
      </c>
      <c r="AL114" s="71">
        <f>IF(AND($AK114=1,ISNUMBER($L114)),IF($L114&lt;ReportDate,1,0),0)</f>
        <v>0</v>
      </c>
      <c r="AM114" s="71">
        <f>IF(AND($G114&lt;&gt;"",$M114="Blocked"),1,0)</f>
        <v>0</v>
      </c>
      <c r="AN114" s="71">
        <f>IF(AND($AK114=1,ISNUMBER($L114)),IF($L114=ReportDate,1,0),0)</f>
        <v>0</v>
      </c>
      <c r="AO114" s="71">
        <f>IF(AND($AK114=1,ISNUMBER($L114)),IF($L114=ReportDate+1,1,0),0)</f>
        <v>0</v>
      </c>
      <c r="AP114" s="71">
        <f>IF(AND($AK114=1,ISNUMBER($L114)),IF(AND($L114&gt;=ReportDate,$L114&lt;=ReportDate+DueSoonDays),1,0),0)</f>
        <v>0</v>
      </c>
      <c r="AQ114" s="71">
        <f>IF(AND($AK114=1,OR($I114="Critical",$I114="High")),1,0)</f>
        <v>0</v>
      </c>
      <c r="AR114" s="71">
        <f>IF($AK114=1,IF(ISNUMBER($Y114),IF(ReportDate-$Y114&gt;StaleDays,1,0),1),0)</f>
        <v>0</v>
      </c>
      <c r="AS114" s="71">
        <f>IF(AND($G114&lt;&gt;"",ISNUMBER($Q114),ISNUMBER($R114)),IF(AND($Q114&lt;$R114,OR($M114="Completed",AND(ISNUMBER($L114),$L114&lt;ReportDate))),1,0),0)</f>
        <v>0</v>
      </c>
      <c r="AT114" s="71">
        <f>IF($AK114=1,IF(OR($L114=ReportDate,$W114=ReportDate,$K114=ReportDate,$A114=ReportDate),1,0),0)</f>
        <v>0</v>
      </c>
      <c r="AU114" s="71">
        <f>IF($AK114=1,IF(OR($L114=ReportDate+1,$W114=ReportDate+1,$K114=ReportDate+1,$A114=ReportDate+1),1,0),0)</f>
        <v>0</v>
      </c>
      <c r="AV114" s="71">
        <f>IF(AND($G114&lt;&gt;"",$M114="Completed"),IF(OR($Y114=ReportDate-1,$A114=ReportDate-1),1,0),0)</f>
        <v>0</v>
      </c>
      <c r="AW114" s="71">
        <f>IF(AND($AK114=1,$Z114="Yes"),1,0)</f>
        <v>0</v>
      </c>
      <c r="AX114" s="71">
        <f>IF(AND($AK114=1,$AA114="Yes"),1,0)</f>
        <v>0</v>
      </c>
      <c r="AY114" s="71">
        <f>IF(AND($AM114=1,OR($I114="Critical",$I114="High")),1,0)</f>
        <v>0</v>
      </c>
      <c r="AZ114" s="71">
        <f>IF(AND($AK114=1,OR($C114=TCL_Client,$C114=MECCA_Client)),1,0)</f>
        <v>0</v>
      </c>
      <c r="BA114" s="71" t="str">
        <f>IF($G114="","",IFERROR(MATCH($I114,lst_Priority,0),5))</f>
        <v/>
      </c>
      <c r="BB114" s="71" t="str">
        <f>IF(AND($AL114=1,$AJ114=1),$BA114*100000+ROW(),"")</f>
        <v/>
      </c>
      <c r="BC114" s="71" t="str">
        <f>IF(AND($AM114=1,$AJ114=1),$BA114*100000+ROW(),"")</f>
        <v/>
      </c>
      <c r="BD114" s="71" t="str">
        <f>IF(AND($AP114=1,$AJ114=1),$BA114*100000+ROW(),"")</f>
        <v/>
      </c>
      <c r="BE114" s="71" t="str">
        <f>IF(AND($AT114=1,$AJ114=1),$BA114*100000+ROW(),"")</f>
        <v/>
      </c>
      <c r="BF114" s="71" t="str">
        <f>IF(AND($AU114=1,$AJ114=1),$BA114*100000+ROW(),"")</f>
        <v/>
      </c>
      <c r="BG114" s="71" t="str">
        <f>IF(AND($AV114=1,$AJ114=1),$BA114*100000+ROW(),"")</f>
        <v/>
      </c>
      <c r="BH114" s="71" t="str">
        <f>IF(AND($AW114=1,$AJ114=1),$BA114*100000+ROW(),"")</f>
        <v/>
      </c>
      <c r="BI114" s="71" t="str">
        <f>IF(AND($AX114=1,$AJ114=1),$BA114*100000+ROW(),"")</f>
        <v/>
      </c>
      <c r="BJ114" s="71" t="str">
        <f>IF(AND($AS114=1,$AJ114=1),$BA114*100000+ROW(),"")</f>
        <v/>
      </c>
      <c r="BK114" s="71" t="str">
        <f>IF(AND($AY114=1,$AJ114=1),$BA114*100000+ROW(),"")</f>
        <v/>
      </c>
      <c r="BL114" s="71" t="str">
        <f>IF(AND($AZ114=1),$BA114*100000+ROW(),"")</f>
        <v/>
      </c>
    </row>
    <row r="115">
      <c r="A115" s="63" t="n"/>
      <c r="B115" s="64" t="n"/>
      <c r="C115" s="64" t="n"/>
      <c r="D115" s="64" t="n"/>
      <c r="E115" s="64" t="n"/>
      <c r="F115" s="64" t="n"/>
      <c r="G115" s="65" t="n"/>
      <c r="H115" s="65" t="n"/>
      <c r="I115" s="64" t="n"/>
      <c r="J115" s="64" t="n"/>
      <c r="K115" s="63" t="n"/>
      <c r="L115" s="63" t="n"/>
      <c r="M115" s="64" t="n"/>
      <c r="N115" s="66" t="n"/>
      <c r="O115" s="65" t="n"/>
      <c r="P115" s="64" t="n"/>
      <c r="Q115" s="67" t="n"/>
      <c r="R115" s="67" t="n"/>
      <c r="S115" s="68" t="str">
        <f>IF(AND(ISNUMBER($Q115),ISNUMBER($R115)),$Q115-$R115,"")</f>
        <v/>
      </c>
      <c r="T115" s="65" t="n"/>
      <c r="U115" s="64" t="n"/>
      <c r="V115" s="65" t="n"/>
      <c r="W115" s="63" t="n"/>
      <c r="X115" s="65" t="n"/>
      <c r="Y115" s="63" t="n"/>
      <c r="Z115" s="64" t="n"/>
      <c r="AA115" s="64" t="n"/>
      <c r="AB115" s="65" t="n"/>
      <c r="AC115" s="69" t="str">
        <f>IF(OR($G115="",NOT(ISNUMBER($K115)),$AK115=0),"",MAX(0,ReportDate-$K115))</f>
        <v/>
      </c>
      <c r="AD115" s="69" t="str">
        <f>IF($G115="","",IF($AL115=1,ReportDate-$L115,0))</f>
        <v/>
      </c>
      <c r="AE115" s="70" t="str">
        <f>IF($G115="","",IF($M115="Completed",1,IF(ISNUMBER($N115),$N115,0)))</f>
        <v/>
      </c>
      <c r="AF115" s="70" t="str">
        <f>IF(AND(ISNUMBER($Q115),ISNUMBER($R115)),IF($R115&lt;&gt;0,$Q115/$R115,""),"")</f>
        <v/>
      </c>
      <c r="AG115" s="71" t="str">
        <f>IF($G115="","",IF($AL115=1,"OVERDUE",IF($AM115=1,"BLOCKED",IF($AN115=1,"DUE TODAY",IF($AO115=1,"DUE TOMORROW",IF($AQ115=1,"HIGH PRIORITY",IF($AR115=1,"NO RECENT UPDATE",""))))))) </f>
        <v/>
      </c>
      <c r="AH115" s="71" t="str">
        <f>IF($G115="","",IF(ISNUMBER($A115),IF(ISNUMBER($A115),YEAR($A115)&amp;"-"&amp;TEXT(MONTH($A115),"00"),""),IF(ISNUMBER($L115),IF(ISNUMBER($L115),YEAR($L115)&amp;"-"&amp;TEXT(MONTH($L115),"00"),""),"")))</f>
        <v/>
      </c>
      <c r="AI115" s="71">
        <f>IF($G115="",0,IF(AND(OR(fClient="All",$C115=fClient),OR(fCampaign="All",$D115=fCampaign),OR(fTeam="All",$B115=fTeam),OR(fChannel="All",$F115=fChannel),OR(fMonth="All",$AH115=fMonth),OR(fTStatus="All",$M115=fTStatus)),1,0))</f>
        <v>0</v>
      </c>
      <c r="AJ115" s="71">
        <f>IF($G115="",0,IF(AND(OR(fClient="All",$C115=fClient),OR(fCampaign="All",$D115=fCampaign),OR(fTeam="All",$B115=fTeam),OR(fChannel="All",$F115=fChannel)),1,0))</f>
        <v>0</v>
      </c>
      <c r="AK115" s="71">
        <f>IF($G115="",0,IF(OR($M115="Completed",$M115="Cancelled"),0,1))</f>
        <v>0</v>
      </c>
      <c r="AL115" s="71">
        <f>IF(AND($AK115=1,ISNUMBER($L115)),IF($L115&lt;ReportDate,1,0),0)</f>
        <v>0</v>
      </c>
      <c r="AM115" s="71">
        <f>IF(AND($G115&lt;&gt;"",$M115="Blocked"),1,0)</f>
        <v>0</v>
      </c>
      <c r="AN115" s="71">
        <f>IF(AND($AK115=1,ISNUMBER($L115)),IF($L115=ReportDate,1,0),0)</f>
        <v>0</v>
      </c>
      <c r="AO115" s="71">
        <f>IF(AND($AK115=1,ISNUMBER($L115)),IF($L115=ReportDate+1,1,0),0)</f>
        <v>0</v>
      </c>
      <c r="AP115" s="71">
        <f>IF(AND($AK115=1,ISNUMBER($L115)),IF(AND($L115&gt;=ReportDate,$L115&lt;=ReportDate+DueSoonDays),1,0),0)</f>
        <v>0</v>
      </c>
      <c r="AQ115" s="71">
        <f>IF(AND($AK115=1,OR($I115="Critical",$I115="High")),1,0)</f>
        <v>0</v>
      </c>
      <c r="AR115" s="71">
        <f>IF($AK115=1,IF(ISNUMBER($Y115),IF(ReportDate-$Y115&gt;StaleDays,1,0),1),0)</f>
        <v>0</v>
      </c>
      <c r="AS115" s="71">
        <f>IF(AND($G115&lt;&gt;"",ISNUMBER($Q115),ISNUMBER($R115)),IF(AND($Q115&lt;$R115,OR($M115="Completed",AND(ISNUMBER($L115),$L115&lt;ReportDate))),1,0),0)</f>
        <v>0</v>
      </c>
      <c r="AT115" s="71">
        <f>IF($AK115=1,IF(OR($L115=ReportDate,$W115=ReportDate,$K115=ReportDate,$A115=ReportDate),1,0),0)</f>
        <v>0</v>
      </c>
      <c r="AU115" s="71">
        <f>IF($AK115=1,IF(OR($L115=ReportDate+1,$W115=ReportDate+1,$K115=ReportDate+1,$A115=ReportDate+1),1,0),0)</f>
        <v>0</v>
      </c>
      <c r="AV115" s="71">
        <f>IF(AND($G115&lt;&gt;"",$M115="Completed"),IF(OR($Y115=ReportDate-1,$A115=ReportDate-1),1,0),0)</f>
        <v>0</v>
      </c>
      <c r="AW115" s="71">
        <f>IF(AND($AK115=1,$Z115="Yes"),1,0)</f>
        <v>0</v>
      </c>
      <c r="AX115" s="71">
        <f>IF(AND($AK115=1,$AA115="Yes"),1,0)</f>
        <v>0</v>
      </c>
      <c r="AY115" s="71">
        <f>IF(AND($AM115=1,OR($I115="Critical",$I115="High")),1,0)</f>
        <v>0</v>
      </c>
      <c r="AZ115" s="71">
        <f>IF(AND($AK115=1,OR($C115=TCL_Client,$C115=MECCA_Client)),1,0)</f>
        <v>0</v>
      </c>
      <c r="BA115" s="71" t="str">
        <f>IF($G115="","",IFERROR(MATCH($I115,lst_Priority,0),5))</f>
        <v/>
      </c>
      <c r="BB115" s="71" t="str">
        <f>IF(AND($AL115=1,$AJ115=1),$BA115*100000+ROW(),"")</f>
        <v/>
      </c>
      <c r="BC115" s="71" t="str">
        <f>IF(AND($AM115=1,$AJ115=1),$BA115*100000+ROW(),"")</f>
        <v/>
      </c>
      <c r="BD115" s="71" t="str">
        <f>IF(AND($AP115=1,$AJ115=1),$BA115*100000+ROW(),"")</f>
        <v/>
      </c>
      <c r="BE115" s="71" t="str">
        <f>IF(AND($AT115=1,$AJ115=1),$BA115*100000+ROW(),"")</f>
        <v/>
      </c>
      <c r="BF115" s="71" t="str">
        <f>IF(AND($AU115=1,$AJ115=1),$BA115*100000+ROW(),"")</f>
        <v/>
      </c>
      <c r="BG115" s="71" t="str">
        <f>IF(AND($AV115=1,$AJ115=1),$BA115*100000+ROW(),"")</f>
        <v/>
      </c>
      <c r="BH115" s="71" t="str">
        <f>IF(AND($AW115=1,$AJ115=1),$BA115*100000+ROW(),"")</f>
        <v/>
      </c>
      <c r="BI115" s="71" t="str">
        <f>IF(AND($AX115=1,$AJ115=1),$BA115*100000+ROW(),"")</f>
        <v/>
      </c>
      <c r="BJ115" s="71" t="str">
        <f>IF(AND($AS115=1,$AJ115=1),$BA115*100000+ROW(),"")</f>
        <v/>
      </c>
      <c r="BK115" s="71" t="str">
        <f>IF(AND($AY115=1,$AJ115=1),$BA115*100000+ROW(),"")</f>
        <v/>
      </c>
      <c r="BL115" s="71" t="str">
        <f>IF(AND($AZ115=1),$BA115*100000+ROW(),"")</f>
        <v/>
      </c>
    </row>
    <row r="116">
      <c r="A116" s="63" t="n"/>
      <c r="B116" s="64" t="n"/>
      <c r="C116" s="64" t="n"/>
      <c r="D116" s="64" t="n"/>
      <c r="E116" s="64" t="n"/>
      <c r="F116" s="64" t="n"/>
      <c r="G116" s="65" t="n"/>
      <c r="H116" s="65" t="n"/>
      <c r="I116" s="64" t="n"/>
      <c r="J116" s="64" t="n"/>
      <c r="K116" s="63" t="n"/>
      <c r="L116" s="63" t="n"/>
      <c r="M116" s="64" t="n"/>
      <c r="N116" s="66" t="n"/>
      <c r="O116" s="65" t="n"/>
      <c r="P116" s="64" t="n"/>
      <c r="Q116" s="67" t="n"/>
      <c r="R116" s="67" t="n"/>
      <c r="S116" s="68" t="str">
        <f>IF(AND(ISNUMBER($Q116),ISNUMBER($R116)),$Q116-$R116,"")</f>
        <v/>
      </c>
      <c r="T116" s="65" t="n"/>
      <c r="U116" s="64" t="n"/>
      <c r="V116" s="65" t="n"/>
      <c r="W116" s="63" t="n"/>
      <c r="X116" s="65" t="n"/>
      <c r="Y116" s="63" t="n"/>
      <c r="Z116" s="64" t="n"/>
      <c r="AA116" s="64" t="n"/>
      <c r="AB116" s="65" t="n"/>
      <c r="AC116" s="69" t="str">
        <f>IF(OR($G116="",NOT(ISNUMBER($K116)),$AK116=0),"",MAX(0,ReportDate-$K116))</f>
        <v/>
      </c>
      <c r="AD116" s="69" t="str">
        <f>IF($G116="","",IF($AL116=1,ReportDate-$L116,0))</f>
        <v/>
      </c>
      <c r="AE116" s="70" t="str">
        <f>IF($G116="","",IF($M116="Completed",1,IF(ISNUMBER($N116),$N116,0)))</f>
        <v/>
      </c>
      <c r="AF116" s="70" t="str">
        <f>IF(AND(ISNUMBER($Q116),ISNUMBER($R116)),IF($R116&lt;&gt;0,$Q116/$R116,""),"")</f>
        <v/>
      </c>
      <c r="AG116" s="71" t="str">
        <f>IF($G116="","",IF($AL116=1,"OVERDUE",IF($AM116=1,"BLOCKED",IF($AN116=1,"DUE TODAY",IF($AO116=1,"DUE TOMORROW",IF($AQ116=1,"HIGH PRIORITY",IF($AR116=1,"NO RECENT UPDATE",""))))))) </f>
        <v/>
      </c>
      <c r="AH116" s="71" t="str">
        <f>IF($G116="","",IF(ISNUMBER($A116),IF(ISNUMBER($A116),YEAR($A116)&amp;"-"&amp;TEXT(MONTH($A116),"00"),""),IF(ISNUMBER($L116),IF(ISNUMBER($L116),YEAR($L116)&amp;"-"&amp;TEXT(MONTH($L116),"00"),""),"")))</f>
        <v/>
      </c>
      <c r="AI116" s="71">
        <f>IF($G116="",0,IF(AND(OR(fClient="All",$C116=fClient),OR(fCampaign="All",$D116=fCampaign),OR(fTeam="All",$B116=fTeam),OR(fChannel="All",$F116=fChannel),OR(fMonth="All",$AH116=fMonth),OR(fTStatus="All",$M116=fTStatus)),1,0))</f>
        <v>0</v>
      </c>
      <c r="AJ116" s="71">
        <f>IF($G116="",0,IF(AND(OR(fClient="All",$C116=fClient),OR(fCampaign="All",$D116=fCampaign),OR(fTeam="All",$B116=fTeam),OR(fChannel="All",$F116=fChannel)),1,0))</f>
        <v>0</v>
      </c>
      <c r="AK116" s="71">
        <f>IF($G116="",0,IF(OR($M116="Completed",$M116="Cancelled"),0,1))</f>
        <v>0</v>
      </c>
      <c r="AL116" s="71">
        <f>IF(AND($AK116=1,ISNUMBER($L116)),IF($L116&lt;ReportDate,1,0),0)</f>
        <v>0</v>
      </c>
      <c r="AM116" s="71">
        <f>IF(AND($G116&lt;&gt;"",$M116="Blocked"),1,0)</f>
        <v>0</v>
      </c>
      <c r="AN116" s="71">
        <f>IF(AND($AK116=1,ISNUMBER($L116)),IF($L116=ReportDate,1,0),0)</f>
        <v>0</v>
      </c>
      <c r="AO116" s="71">
        <f>IF(AND($AK116=1,ISNUMBER($L116)),IF($L116=ReportDate+1,1,0),0)</f>
        <v>0</v>
      </c>
      <c r="AP116" s="71">
        <f>IF(AND($AK116=1,ISNUMBER($L116)),IF(AND($L116&gt;=ReportDate,$L116&lt;=ReportDate+DueSoonDays),1,0),0)</f>
        <v>0</v>
      </c>
      <c r="AQ116" s="71">
        <f>IF(AND($AK116=1,OR($I116="Critical",$I116="High")),1,0)</f>
        <v>0</v>
      </c>
      <c r="AR116" s="71">
        <f>IF($AK116=1,IF(ISNUMBER($Y116),IF(ReportDate-$Y116&gt;StaleDays,1,0),1),0)</f>
        <v>0</v>
      </c>
      <c r="AS116" s="71">
        <f>IF(AND($G116&lt;&gt;"",ISNUMBER($Q116),ISNUMBER($R116)),IF(AND($Q116&lt;$R116,OR($M116="Completed",AND(ISNUMBER($L116),$L116&lt;ReportDate))),1,0),0)</f>
        <v>0</v>
      </c>
      <c r="AT116" s="71">
        <f>IF($AK116=1,IF(OR($L116=ReportDate,$W116=ReportDate,$K116=ReportDate,$A116=ReportDate),1,0),0)</f>
        <v>0</v>
      </c>
      <c r="AU116" s="71">
        <f>IF($AK116=1,IF(OR($L116=ReportDate+1,$W116=ReportDate+1,$K116=ReportDate+1,$A116=ReportDate+1),1,0),0)</f>
        <v>0</v>
      </c>
      <c r="AV116" s="71">
        <f>IF(AND($G116&lt;&gt;"",$M116="Completed"),IF(OR($Y116=ReportDate-1,$A116=ReportDate-1),1,0),0)</f>
        <v>0</v>
      </c>
      <c r="AW116" s="71">
        <f>IF(AND($AK116=1,$Z116="Yes"),1,0)</f>
        <v>0</v>
      </c>
      <c r="AX116" s="71">
        <f>IF(AND($AK116=1,$AA116="Yes"),1,0)</f>
        <v>0</v>
      </c>
      <c r="AY116" s="71">
        <f>IF(AND($AM116=1,OR($I116="Critical",$I116="High")),1,0)</f>
        <v>0</v>
      </c>
      <c r="AZ116" s="71">
        <f>IF(AND($AK116=1,OR($C116=TCL_Client,$C116=MECCA_Client)),1,0)</f>
        <v>0</v>
      </c>
      <c r="BA116" s="71" t="str">
        <f>IF($G116="","",IFERROR(MATCH($I116,lst_Priority,0),5))</f>
        <v/>
      </c>
      <c r="BB116" s="71" t="str">
        <f>IF(AND($AL116=1,$AJ116=1),$BA116*100000+ROW(),"")</f>
        <v/>
      </c>
      <c r="BC116" s="71" t="str">
        <f>IF(AND($AM116=1,$AJ116=1),$BA116*100000+ROW(),"")</f>
        <v/>
      </c>
      <c r="BD116" s="71" t="str">
        <f>IF(AND($AP116=1,$AJ116=1),$BA116*100000+ROW(),"")</f>
        <v/>
      </c>
      <c r="BE116" s="71" t="str">
        <f>IF(AND($AT116=1,$AJ116=1),$BA116*100000+ROW(),"")</f>
        <v/>
      </c>
      <c r="BF116" s="71" t="str">
        <f>IF(AND($AU116=1,$AJ116=1),$BA116*100000+ROW(),"")</f>
        <v/>
      </c>
      <c r="BG116" s="71" t="str">
        <f>IF(AND($AV116=1,$AJ116=1),$BA116*100000+ROW(),"")</f>
        <v/>
      </c>
      <c r="BH116" s="71" t="str">
        <f>IF(AND($AW116=1,$AJ116=1),$BA116*100000+ROW(),"")</f>
        <v/>
      </c>
      <c r="BI116" s="71" t="str">
        <f>IF(AND($AX116=1,$AJ116=1),$BA116*100000+ROW(),"")</f>
        <v/>
      </c>
      <c r="BJ116" s="71" t="str">
        <f>IF(AND($AS116=1,$AJ116=1),$BA116*100000+ROW(),"")</f>
        <v/>
      </c>
      <c r="BK116" s="71" t="str">
        <f>IF(AND($AY116=1,$AJ116=1),$BA116*100000+ROW(),"")</f>
        <v/>
      </c>
      <c r="BL116" s="71" t="str">
        <f>IF(AND($AZ116=1),$BA116*100000+ROW(),"")</f>
        <v/>
      </c>
    </row>
    <row r="117">
      <c r="A117" s="63" t="n"/>
      <c r="B117" s="64" t="n"/>
      <c r="C117" s="64" t="n"/>
      <c r="D117" s="64" t="n"/>
      <c r="E117" s="64" t="n"/>
      <c r="F117" s="64" t="n"/>
      <c r="G117" s="65" t="n"/>
      <c r="H117" s="65" t="n"/>
      <c r="I117" s="64" t="n"/>
      <c r="J117" s="64" t="n"/>
      <c r="K117" s="63" t="n"/>
      <c r="L117" s="63" t="n"/>
      <c r="M117" s="64" t="n"/>
      <c r="N117" s="66" t="n"/>
      <c r="O117" s="65" t="n"/>
      <c r="P117" s="64" t="n"/>
      <c r="Q117" s="67" t="n"/>
      <c r="R117" s="67" t="n"/>
      <c r="S117" s="68" t="str">
        <f>IF(AND(ISNUMBER($Q117),ISNUMBER($R117)),$Q117-$R117,"")</f>
        <v/>
      </c>
      <c r="T117" s="65" t="n"/>
      <c r="U117" s="64" t="n"/>
      <c r="V117" s="65" t="n"/>
      <c r="W117" s="63" t="n"/>
      <c r="X117" s="65" t="n"/>
      <c r="Y117" s="63" t="n"/>
      <c r="Z117" s="64" t="n"/>
      <c r="AA117" s="64" t="n"/>
      <c r="AB117" s="65" t="n"/>
      <c r="AC117" s="69" t="str">
        <f>IF(OR($G117="",NOT(ISNUMBER($K117)),$AK117=0),"",MAX(0,ReportDate-$K117))</f>
        <v/>
      </c>
      <c r="AD117" s="69" t="str">
        <f>IF($G117="","",IF($AL117=1,ReportDate-$L117,0))</f>
        <v/>
      </c>
      <c r="AE117" s="70" t="str">
        <f>IF($G117="","",IF($M117="Completed",1,IF(ISNUMBER($N117),$N117,0)))</f>
        <v/>
      </c>
      <c r="AF117" s="70" t="str">
        <f>IF(AND(ISNUMBER($Q117),ISNUMBER($R117)),IF($R117&lt;&gt;0,$Q117/$R117,""),"")</f>
        <v/>
      </c>
      <c r="AG117" s="71" t="str">
        <f>IF($G117="","",IF($AL117=1,"OVERDUE",IF($AM117=1,"BLOCKED",IF($AN117=1,"DUE TODAY",IF($AO117=1,"DUE TOMORROW",IF($AQ117=1,"HIGH PRIORITY",IF($AR117=1,"NO RECENT UPDATE",""))))))) </f>
        <v/>
      </c>
      <c r="AH117" s="71" t="str">
        <f>IF($G117="","",IF(ISNUMBER($A117),IF(ISNUMBER($A117),YEAR($A117)&amp;"-"&amp;TEXT(MONTH($A117),"00"),""),IF(ISNUMBER($L117),IF(ISNUMBER($L117),YEAR($L117)&amp;"-"&amp;TEXT(MONTH($L117),"00"),""),"")))</f>
        <v/>
      </c>
      <c r="AI117" s="71">
        <f>IF($G117="",0,IF(AND(OR(fClient="All",$C117=fClient),OR(fCampaign="All",$D117=fCampaign),OR(fTeam="All",$B117=fTeam),OR(fChannel="All",$F117=fChannel),OR(fMonth="All",$AH117=fMonth),OR(fTStatus="All",$M117=fTStatus)),1,0))</f>
        <v>0</v>
      </c>
      <c r="AJ117" s="71">
        <f>IF($G117="",0,IF(AND(OR(fClient="All",$C117=fClient),OR(fCampaign="All",$D117=fCampaign),OR(fTeam="All",$B117=fTeam),OR(fChannel="All",$F117=fChannel)),1,0))</f>
        <v>0</v>
      </c>
      <c r="AK117" s="71">
        <f>IF($G117="",0,IF(OR($M117="Completed",$M117="Cancelled"),0,1))</f>
        <v>0</v>
      </c>
      <c r="AL117" s="71">
        <f>IF(AND($AK117=1,ISNUMBER($L117)),IF($L117&lt;ReportDate,1,0),0)</f>
        <v>0</v>
      </c>
      <c r="AM117" s="71">
        <f>IF(AND($G117&lt;&gt;"",$M117="Blocked"),1,0)</f>
        <v>0</v>
      </c>
      <c r="AN117" s="71">
        <f>IF(AND($AK117=1,ISNUMBER($L117)),IF($L117=ReportDate,1,0),0)</f>
        <v>0</v>
      </c>
      <c r="AO117" s="71">
        <f>IF(AND($AK117=1,ISNUMBER($L117)),IF($L117=ReportDate+1,1,0),0)</f>
        <v>0</v>
      </c>
      <c r="AP117" s="71">
        <f>IF(AND($AK117=1,ISNUMBER($L117)),IF(AND($L117&gt;=ReportDate,$L117&lt;=ReportDate+DueSoonDays),1,0),0)</f>
        <v>0</v>
      </c>
      <c r="AQ117" s="71">
        <f>IF(AND($AK117=1,OR($I117="Critical",$I117="High")),1,0)</f>
        <v>0</v>
      </c>
      <c r="AR117" s="71">
        <f>IF($AK117=1,IF(ISNUMBER($Y117),IF(ReportDate-$Y117&gt;StaleDays,1,0),1),0)</f>
        <v>0</v>
      </c>
      <c r="AS117" s="71">
        <f>IF(AND($G117&lt;&gt;"",ISNUMBER($Q117),ISNUMBER($R117)),IF(AND($Q117&lt;$R117,OR($M117="Completed",AND(ISNUMBER($L117),$L117&lt;ReportDate))),1,0),0)</f>
        <v>0</v>
      </c>
      <c r="AT117" s="71">
        <f>IF($AK117=1,IF(OR($L117=ReportDate,$W117=ReportDate,$K117=ReportDate,$A117=ReportDate),1,0),0)</f>
        <v>0</v>
      </c>
      <c r="AU117" s="71">
        <f>IF($AK117=1,IF(OR($L117=ReportDate+1,$W117=ReportDate+1,$K117=ReportDate+1,$A117=ReportDate+1),1,0),0)</f>
        <v>0</v>
      </c>
      <c r="AV117" s="71">
        <f>IF(AND($G117&lt;&gt;"",$M117="Completed"),IF(OR($Y117=ReportDate-1,$A117=ReportDate-1),1,0),0)</f>
        <v>0</v>
      </c>
      <c r="AW117" s="71">
        <f>IF(AND($AK117=1,$Z117="Yes"),1,0)</f>
        <v>0</v>
      </c>
      <c r="AX117" s="71">
        <f>IF(AND($AK117=1,$AA117="Yes"),1,0)</f>
        <v>0</v>
      </c>
      <c r="AY117" s="71">
        <f>IF(AND($AM117=1,OR($I117="Critical",$I117="High")),1,0)</f>
        <v>0</v>
      </c>
      <c r="AZ117" s="71">
        <f>IF(AND($AK117=1,OR($C117=TCL_Client,$C117=MECCA_Client)),1,0)</f>
        <v>0</v>
      </c>
      <c r="BA117" s="71" t="str">
        <f>IF($G117="","",IFERROR(MATCH($I117,lst_Priority,0),5))</f>
        <v/>
      </c>
      <c r="BB117" s="71" t="str">
        <f>IF(AND($AL117=1,$AJ117=1),$BA117*100000+ROW(),"")</f>
        <v/>
      </c>
      <c r="BC117" s="71" t="str">
        <f>IF(AND($AM117=1,$AJ117=1),$BA117*100000+ROW(),"")</f>
        <v/>
      </c>
      <c r="BD117" s="71" t="str">
        <f>IF(AND($AP117=1,$AJ117=1),$BA117*100000+ROW(),"")</f>
        <v/>
      </c>
      <c r="BE117" s="71" t="str">
        <f>IF(AND($AT117=1,$AJ117=1),$BA117*100000+ROW(),"")</f>
        <v/>
      </c>
      <c r="BF117" s="71" t="str">
        <f>IF(AND($AU117=1,$AJ117=1),$BA117*100000+ROW(),"")</f>
        <v/>
      </c>
      <c r="BG117" s="71" t="str">
        <f>IF(AND($AV117=1,$AJ117=1),$BA117*100000+ROW(),"")</f>
        <v/>
      </c>
      <c r="BH117" s="71" t="str">
        <f>IF(AND($AW117=1,$AJ117=1),$BA117*100000+ROW(),"")</f>
        <v/>
      </c>
      <c r="BI117" s="71" t="str">
        <f>IF(AND($AX117=1,$AJ117=1),$BA117*100000+ROW(),"")</f>
        <v/>
      </c>
      <c r="BJ117" s="71" t="str">
        <f>IF(AND($AS117=1,$AJ117=1),$BA117*100000+ROW(),"")</f>
        <v/>
      </c>
      <c r="BK117" s="71" t="str">
        <f>IF(AND($AY117=1,$AJ117=1),$BA117*100000+ROW(),"")</f>
        <v/>
      </c>
      <c r="BL117" s="71" t="str">
        <f>IF(AND($AZ117=1),$BA117*100000+ROW(),"")</f>
        <v/>
      </c>
    </row>
    <row r="118">
      <c r="A118" s="63" t="n"/>
      <c r="B118" s="64" t="n"/>
      <c r="C118" s="64" t="n"/>
      <c r="D118" s="64" t="n"/>
      <c r="E118" s="64" t="n"/>
      <c r="F118" s="64" t="n"/>
      <c r="G118" s="65" t="n"/>
      <c r="H118" s="65" t="n"/>
      <c r="I118" s="64" t="n"/>
      <c r="J118" s="64" t="n"/>
      <c r="K118" s="63" t="n"/>
      <c r="L118" s="63" t="n"/>
      <c r="M118" s="64" t="n"/>
      <c r="N118" s="66" t="n"/>
      <c r="O118" s="65" t="n"/>
      <c r="P118" s="64" t="n"/>
      <c r="Q118" s="67" t="n"/>
      <c r="R118" s="67" t="n"/>
      <c r="S118" s="68" t="str">
        <f>IF(AND(ISNUMBER($Q118),ISNUMBER($R118)),$Q118-$R118,"")</f>
        <v/>
      </c>
      <c r="T118" s="65" t="n"/>
      <c r="U118" s="64" t="n"/>
      <c r="V118" s="65" t="n"/>
      <c r="W118" s="63" t="n"/>
      <c r="X118" s="65" t="n"/>
      <c r="Y118" s="63" t="n"/>
      <c r="Z118" s="64" t="n"/>
      <c r="AA118" s="64" t="n"/>
      <c r="AB118" s="65" t="n"/>
      <c r="AC118" s="69" t="str">
        <f>IF(OR($G118="",NOT(ISNUMBER($K118)),$AK118=0),"",MAX(0,ReportDate-$K118))</f>
        <v/>
      </c>
      <c r="AD118" s="69" t="str">
        <f>IF($G118="","",IF($AL118=1,ReportDate-$L118,0))</f>
        <v/>
      </c>
      <c r="AE118" s="70" t="str">
        <f>IF($G118="","",IF($M118="Completed",1,IF(ISNUMBER($N118),$N118,0)))</f>
        <v/>
      </c>
      <c r="AF118" s="70" t="str">
        <f>IF(AND(ISNUMBER($Q118),ISNUMBER($R118)),IF($R118&lt;&gt;0,$Q118/$R118,""),"")</f>
        <v/>
      </c>
      <c r="AG118" s="71" t="str">
        <f>IF($G118="","",IF($AL118=1,"OVERDUE",IF($AM118=1,"BLOCKED",IF($AN118=1,"DUE TODAY",IF($AO118=1,"DUE TOMORROW",IF($AQ118=1,"HIGH PRIORITY",IF($AR118=1,"NO RECENT UPDATE",""))))))) </f>
        <v/>
      </c>
      <c r="AH118" s="71" t="str">
        <f>IF($G118="","",IF(ISNUMBER($A118),IF(ISNUMBER($A118),YEAR($A118)&amp;"-"&amp;TEXT(MONTH($A118),"00"),""),IF(ISNUMBER($L118),IF(ISNUMBER($L118),YEAR($L118)&amp;"-"&amp;TEXT(MONTH($L118),"00"),""),"")))</f>
        <v/>
      </c>
      <c r="AI118" s="71">
        <f>IF($G118="",0,IF(AND(OR(fClient="All",$C118=fClient),OR(fCampaign="All",$D118=fCampaign),OR(fTeam="All",$B118=fTeam),OR(fChannel="All",$F118=fChannel),OR(fMonth="All",$AH118=fMonth),OR(fTStatus="All",$M118=fTStatus)),1,0))</f>
        <v>0</v>
      </c>
      <c r="AJ118" s="71">
        <f>IF($G118="",0,IF(AND(OR(fClient="All",$C118=fClient),OR(fCampaign="All",$D118=fCampaign),OR(fTeam="All",$B118=fTeam),OR(fChannel="All",$F118=fChannel)),1,0))</f>
        <v>0</v>
      </c>
      <c r="AK118" s="71">
        <f>IF($G118="",0,IF(OR($M118="Completed",$M118="Cancelled"),0,1))</f>
        <v>0</v>
      </c>
      <c r="AL118" s="71">
        <f>IF(AND($AK118=1,ISNUMBER($L118)),IF($L118&lt;ReportDate,1,0),0)</f>
        <v>0</v>
      </c>
      <c r="AM118" s="71">
        <f>IF(AND($G118&lt;&gt;"",$M118="Blocked"),1,0)</f>
        <v>0</v>
      </c>
      <c r="AN118" s="71">
        <f>IF(AND($AK118=1,ISNUMBER($L118)),IF($L118=ReportDate,1,0),0)</f>
        <v>0</v>
      </c>
      <c r="AO118" s="71">
        <f>IF(AND($AK118=1,ISNUMBER($L118)),IF($L118=ReportDate+1,1,0),0)</f>
        <v>0</v>
      </c>
      <c r="AP118" s="71">
        <f>IF(AND($AK118=1,ISNUMBER($L118)),IF(AND($L118&gt;=ReportDate,$L118&lt;=ReportDate+DueSoonDays),1,0),0)</f>
        <v>0</v>
      </c>
      <c r="AQ118" s="71">
        <f>IF(AND($AK118=1,OR($I118="Critical",$I118="High")),1,0)</f>
        <v>0</v>
      </c>
      <c r="AR118" s="71">
        <f>IF($AK118=1,IF(ISNUMBER($Y118),IF(ReportDate-$Y118&gt;StaleDays,1,0),1),0)</f>
        <v>0</v>
      </c>
      <c r="AS118" s="71">
        <f>IF(AND($G118&lt;&gt;"",ISNUMBER($Q118),ISNUMBER($R118)),IF(AND($Q118&lt;$R118,OR($M118="Completed",AND(ISNUMBER($L118),$L118&lt;ReportDate))),1,0),0)</f>
        <v>0</v>
      </c>
      <c r="AT118" s="71">
        <f>IF($AK118=1,IF(OR($L118=ReportDate,$W118=ReportDate,$K118=ReportDate,$A118=ReportDate),1,0),0)</f>
        <v>0</v>
      </c>
      <c r="AU118" s="71">
        <f>IF($AK118=1,IF(OR($L118=ReportDate+1,$W118=ReportDate+1,$K118=ReportDate+1,$A118=ReportDate+1),1,0),0)</f>
        <v>0</v>
      </c>
      <c r="AV118" s="71">
        <f>IF(AND($G118&lt;&gt;"",$M118="Completed"),IF(OR($Y118=ReportDate-1,$A118=ReportDate-1),1,0),0)</f>
        <v>0</v>
      </c>
      <c r="AW118" s="71">
        <f>IF(AND($AK118=1,$Z118="Yes"),1,0)</f>
        <v>0</v>
      </c>
      <c r="AX118" s="71">
        <f>IF(AND($AK118=1,$AA118="Yes"),1,0)</f>
        <v>0</v>
      </c>
      <c r="AY118" s="71">
        <f>IF(AND($AM118=1,OR($I118="Critical",$I118="High")),1,0)</f>
        <v>0</v>
      </c>
      <c r="AZ118" s="71">
        <f>IF(AND($AK118=1,OR($C118=TCL_Client,$C118=MECCA_Client)),1,0)</f>
        <v>0</v>
      </c>
      <c r="BA118" s="71" t="str">
        <f>IF($G118="","",IFERROR(MATCH($I118,lst_Priority,0),5))</f>
        <v/>
      </c>
      <c r="BB118" s="71" t="str">
        <f>IF(AND($AL118=1,$AJ118=1),$BA118*100000+ROW(),"")</f>
        <v/>
      </c>
      <c r="BC118" s="71" t="str">
        <f>IF(AND($AM118=1,$AJ118=1),$BA118*100000+ROW(),"")</f>
        <v/>
      </c>
      <c r="BD118" s="71" t="str">
        <f>IF(AND($AP118=1,$AJ118=1),$BA118*100000+ROW(),"")</f>
        <v/>
      </c>
      <c r="BE118" s="71" t="str">
        <f>IF(AND($AT118=1,$AJ118=1),$BA118*100000+ROW(),"")</f>
        <v/>
      </c>
      <c r="BF118" s="71" t="str">
        <f>IF(AND($AU118=1,$AJ118=1),$BA118*100000+ROW(),"")</f>
        <v/>
      </c>
      <c r="BG118" s="71" t="str">
        <f>IF(AND($AV118=1,$AJ118=1),$BA118*100000+ROW(),"")</f>
        <v/>
      </c>
      <c r="BH118" s="71" t="str">
        <f>IF(AND($AW118=1,$AJ118=1),$BA118*100000+ROW(),"")</f>
        <v/>
      </c>
      <c r="BI118" s="71" t="str">
        <f>IF(AND($AX118=1,$AJ118=1),$BA118*100000+ROW(),"")</f>
        <v/>
      </c>
      <c r="BJ118" s="71" t="str">
        <f>IF(AND($AS118=1,$AJ118=1),$BA118*100000+ROW(),"")</f>
        <v/>
      </c>
      <c r="BK118" s="71" t="str">
        <f>IF(AND($AY118=1,$AJ118=1),$BA118*100000+ROW(),"")</f>
        <v/>
      </c>
      <c r="BL118" s="71" t="str">
        <f>IF(AND($AZ118=1),$BA118*100000+ROW(),"")</f>
        <v/>
      </c>
    </row>
    <row r="119">
      <c r="A119" s="63" t="n"/>
      <c r="B119" s="64" t="n"/>
      <c r="C119" s="64" t="n"/>
      <c r="D119" s="64" t="n"/>
      <c r="E119" s="64" t="n"/>
      <c r="F119" s="64" t="n"/>
      <c r="G119" s="65" t="n"/>
      <c r="H119" s="65" t="n"/>
      <c r="I119" s="64" t="n"/>
      <c r="J119" s="64" t="n"/>
      <c r="K119" s="63" t="n"/>
      <c r="L119" s="63" t="n"/>
      <c r="M119" s="64" t="n"/>
      <c r="N119" s="66" t="n"/>
      <c r="O119" s="65" t="n"/>
      <c r="P119" s="64" t="n"/>
      <c r="Q119" s="67" t="n"/>
      <c r="R119" s="67" t="n"/>
      <c r="S119" s="68" t="str">
        <f>IF(AND(ISNUMBER($Q119),ISNUMBER($R119)),$Q119-$R119,"")</f>
        <v/>
      </c>
      <c r="T119" s="65" t="n"/>
      <c r="U119" s="64" t="n"/>
      <c r="V119" s="65" t="n"/>
      <c r="W119" s="63" t="n"/>
      <c r="X119" s="65" t="n"/>
      <c r="Y119" s="63" t="n"/>
      <c r="Z119" s="64" t="n"/>
      <c r="AA119" s="64" t="n"/>
      <c r="AB119" s="65" t="n"/>
      <c r="AC119" s="69" t="str">
        <f>IF(OR($G119="",NOT(ISNUMBER($K119)),$AK119=0),"",MAX(0,ReportDate-$K119))</f>
        <v/>
      </c>
      <c r="AD119" s="69" t="str">
        <f>IF($G119="","",IF($AL119=1,ReportDate-$L119,0))</f>
        <v/>
      </c>
      <c r="AE119" s="70" t="str">
        <f>IF($G119="","",IF($M119="Completed",1,IF(ISNUMBER($N119),$N119,0)))</f>
        <v/>
      </c>
      <c r="AF119" s="70" t="str">
        <f>IF(AND(ISNUMBER($Q119),ISNUMBER($R119)),IF($R119&lt;&gt;0,$Q119/$R119,""),"")</f>
        <v/>
      </c>
      <c r="AG119" s="71" t="str">
        <f>IF($G119="","",IF($AL119=1,"OVERDUE",IF($AM119=1,"BLOCKED",IF($AN119=1,"DUE TODAY",IF($AO119=1,"DUE TOMORROW",IF($AQ119=1,"HIGH PRIORITY",IF($AR119=1,"NO RECENT UPDATE",""))))))) </f>
        <v/>
      </c>
      <c r="AH119" s="71" t="str">
        <f>IF($G119="","",IF(ISNUMBER($A119),IF(ISNUMBER($A119),YEAR($A119)&amp;"-"&amp;TEXT(MONTH($A119),"00"),""),IF(ISNUMBER($L119),IF(ISNUMBER($L119),YEAR($L119)&amp;"-"&amp;TEXT(MONTH($L119),"00"),""),"")))</f>
        <v/>
      </c>
      <c r="AI119" s="71">
        <f>IF($G119="",0,IF(AND(OR(fClient="All",$C119=fClient),OR(fCampaign="All",$D119=fCampaign),OR(fTeam="All",$B119=fTeam),OR(fChannel="All",$F119=fChannel),OR(fMonth="All",$AH119=fMonth),OR(fTStatus="All",$M119=fTStatus)),1,0))</f>
        <v>0</v>
      </c>
      <c r="AJ119" s="71">
        <f>IF($G119="",0,IF(AND(OR(fClient="All",$C119=fClient),OR(fCampaign="All",$D119=fCampaign),OR(fTeam="All",$B119=fTeam),OR(fChannel="All",$F119=fChannel)),1,0))</f>
        <v>0</v>
      </c>
      <c r="AK119" s="71">
        <f>IF($G119="",0,IF(OR($M119="Completed",$M119="Cancelled"),0,1))</f>
        <v>0</v>
      </c>
      <c r="AL119" s="71">
        <f>IF(AND($AK119=1,ISNUMBER($L119)),IF($L119&lt;ReportDate,1,0),0)</f>
        <v>0</v>
      </c>
      <c r="AM119" s="71">
        <f>IF(AND($G119&lt;&gt;"",$M119="Blocked"),1,0)</f>
        <v>0</v>
      </c>
      <c r="AN119" s="71">
        <f>IF(AND($AK119=1,ISNUMBER($L119)),IF($L119=ReportDate,1,0),0)</f>
        <v>0</v>
      </c>
      <c r="AO119" s="71">
        <f>IF(AND($AK119=1,ISNUMBER($L119)),IF($L119=ReportDate+1,1,0),0)</f>
        <v>0</v>
      </c>
      <c r="AP119" s="71">
        <f>IF(AND($AK119=1,ISNUMBER($L119)),IF(AND($L119&gt;=ReportDate,$L119&lt;=ReportDate+DueSoonDays),1,0),0)</f>
        <v>0</v>
      </c>
      <c r="AQ119" s="71">
        <f>IF(AND($AK119=1,OR($I119="Critical",$I119="High")),1,0)</f>
        <v>0</v>
      </c>
      <c r="AR119" s="71">
        <f>IF($AK119=1,IF(ISNUMBER($Y119),IF(ReportDate-$Y119&gt;StaleDays,1,0),1),0)</f>
        <v>0</v>
      </c>
      <c r="AS119" s="71">
        <f>IF(AND($G119&lt;&gt;"",ISNUMBER($Q119),ISNUMBER($R119)),IF(AND($Q119&lt;$R119,OR($M119="Completed",AND(ISNUMBER($L119),$L119&lt;ReportDate))),1,0),0)</f>
        <v>0</v>
      </c>
      <c r="AT119" s="71">
        <f>IF($AK119=1,IF(OR($L119=ReportDate,$W119=ReportDate,$K119=ReportDate,$A119=ReportDate),1,0),0)</f>
        <v>0</v>
      </c>
      <c r="AU119" s="71">
        <f>IF($AK119=1,IF(OR($L119=ReportDate+1,$W119=ReportDate+1,$K119=ReportDate+1,$A119=ReportDate+1),1,0),0)</f>
        <v>0</v>
      </c>
      <c r="AV119" s="71">
        <f>IF(AND($G119&lt;&gt;"",$M119="Completed"),IF(OR($Y119=ReportDate-1,$A119=ReportDate-1),1,0),0)</f>
        <v>0</v>
      </c>
      <c r="AW119" s="71">
        <f>IF(AND($AK119=1,$Z119="Yes"),1,0)</f>
        <v>0</v>
      </c>
      <c r="AX119" s="71">
        <f>IF(AND($AK119=1,$AA119="Yes"),1,0)</f>
        <v>0</v>
      </c>
      <c r="AY119" s="71">
        <f>IF(AND($AM119=1,OR($I119="Critical",$I119="High")),1,0)</f>
        <v>0</v>
      </c>
      <c r="AZ119" s="71">
        <f>IF(AND($AK119=1,OR($C119=TCL_Client,$C119=MECCA_Client)),1,0)</f>
        <v>0</v>
      </c>
      <c r="BA119" s="71" t="str">
        <f>IF($G119="","",IFERROR(MATCH($I119,lst_Priority,0),5))</f>
        <v/>
      </c>
      <c r="BB119" s="71" t="str">
        <f>IF(AND($AL119=1,$AJ119=1),$BA119*100000+ROW(),"")</f>
        <v/>
      </c>
      <c r="BC119" s="71" t="str">
        <f>IF(AND($AM119=1,$AJ119=1),$BA119*100000+ROW(),"")</f>
        <v/>
      </c>
      <c r="BD119" s="71" t="str">
        <f>IF(AND($AP119=1,$AJ119=1),$BA119*100000+ROW(),"")</f>
        <v/>
      </c>
      <c r="BE119" s="71" t="str">
        <f>IF(AND($AT119=1,$AJ119=1),$BA119*100000+ROW(),"")</f>
        <v/>
      </c>
      <c r="BF119" s="71" t="str">
        <f>IF(AND($AU119=1,$AJ119=1),$BA119*100000+ROW(),"")</f>
        <v/>
      </c>
      <c r="BG119" s="71" t="str">
        <f>IF(AND($AV119=1,$AJ119=1),$BA119*100000+ROW(),"")</f>
        <v/>
      </c>
      <c r="BH119" s="71" t="str">
        <f>IF(AND($AW119=1,$AJ119=1),$BA119*100000+ROW(),"")</f>
        <v/>
      </c>
      <c r="BI119" s="71" t="str">
        <f>IF(AND($AX119=1,$AJ119=1),$BA119*100000+ROW(),"")</f>
        <v/>
      </c>
      <c r="BJ119" s="71" t="str">
        <f>IF(AND($AS119=1,$AJ119=1),$BA119*100000+ROW(),"")</f>
        <v/>
      </c>
      <c r="BK119" s="71" t="str">
        <f>IF(AND($AY119=1,$AJ119=1),$BA119*100000+ROW(),"")</f>
        <v/>
      </c>
      <c r="BL119" s="71" t="str">
        <f>IF(AND($AZ119=1),$BA119*100000+ROW(),"")</f>
        <v/>
      </c>
    </row>
    <row r="120">
      <c r="A120" s="63" t="n"/>
      <c r="B120" s="64" t="n"/>
      <c r="C120" s="64" t="n"/>
      <c r="D120" s="64" t="n"/>
      <c r="E120" s="64" t="n"/>
      <c r="F120" s="64" t="n"/>
      <c r="G120" s="65" t="n"/>
      <c r="H120" s="65" t="n"/>
      <c r="I120" s="64" t="n"/>
      <c r="J120" s="64" t="n"/>
      <c r="K120" s="63" t="n"/>
      <c r="L120" s="63" t="n"/>
      <c r="M120" s="64" t="n"/>
      <c r="N120" s="66" t="n"/>
      <c r="O120" s="65" t="n"/>
      <c r="P120" s="64" t="n"/>
      <c r="Q120" s="67" t="n"/>
      <c r="R120" s="67" t="n"/>
      <c r="S120" s="68" t="str">
        <f>IF(AND(ISNUMBER($Q120),ISNUMBER($R120)),$Q120-$R120,"")</f>
        <v/>
      </c>
      <c r="T120" s="65" t="n"/>
      <c r="U120" s="64" t="n"/>
      <c r="V120" s="65" t="n"/>
      <c r="W120" s="63" t="n"/>
      <c r="X120" s="65" t="n"/>
      <c r="Y120" s="63" t="n"/>
      <c r="Z120" s="64" t="n"/>
      <c r="AA120" s="64" t="n"/>
      <c r="AB120" s="65" t="n"/>
      <c r="AC120" s="69" t="str">
        <f>IF(OR($G120="",NOT(ISNUMBER($K120)),$AK120=0),"",MAX(0,ReportDate-$K120))</f>
        <v/>
      </c>
      <c r="AD120" s="69" t="str">
        <f>IF($G120="","",IF($AL120=1,ReportDate-$L120,0))</f>
        <v/>
      </c>
      <c r="AE120" s="70" t="str">
        <f>IF($G120="","",IF($M120="Completed",1,IF(ISNUMBER($N120),$N120,0)))</f>
        <v/>
      </c>
      <c r="AF120" s="70" t="str">
        <f>IF(AND(ISNUMBER($Q120),ISNUMBER($R120)),IF($R120&lt;&gt;0,$Q120/$R120,""),"")</f>
        <v/>
      </c>
      <c r="AG120" s="71" t="str">
        <f>IF($G120="","",IF($AL120=1,"OVERDUE",IF($AM120=1,"BLOCKED",IF($AN120=1,"DUE TODAY",IF($AO120=1,"DUE TOMORROW",IF($AQ120=1,"HIGH PRIORITY",IF($AR120=1,"NO RECENT UPDATE",""))))))) </f>
        <v/>
      </c>
      <c r="AH120" s="71" t="str">
        <f>IF($G120="","",IF(ISNUMBER($A120),IF(ISNUMBER($A120),YEAR($A120)&amp;"-"&amp;TEXT(MONTH($A120),"00"),""),IF(ISNUMBER($L120),IF(ISNUMBER($L120),YEAR($L120)&amp;"-"&amp;TEXT(MONTH($L120),"00"),""),"")))</f>
        <v/>
      </c>
      <c r="AI120" s="71">
        <f>IF($G120="",0,IF(AND(OR(fClient="All",$C120=fClient),OR(fCampaign="All",$D120=fCampaign),OR(fTeam="All",$B120=fTeam),OR(fChannel="All",$F120=fChannel),OR(fMonth="All",$AH120=fMonth),OR(fTStatus="All",$M120=fTStatus)),1,0))</f>
        <v>0</v>
      </c>
      <c r="AJ120" s="71">
        <f>IF($G120="",0,IF(AND(OR(fClient="All",$C120=fClient),OR(fCampaign="All",$D120=fCampaign),OR(fTeam="All",$B120=fTeam),OR(fChannel="All",$F120=fChannel)),1,0))</f>
        <v>0</v>
      </c>
      <c r="AK120" s="71">
        <f>IF($G120="",0,IF(OR($M120="Completed",$M120="Cancelled"),0,1))</f>
        <v>0</v>
      </c>
      <c r="AL120" s="71">
        <f>IF(AND($AK120=1,ISNUMBER($L120)),IF($L120&lt;ReportDate,1,0),0)</f>
        <v>0</v>
      </c>
      <c r="AM120" s="71">
        <f>IF(AND($G120&lt;&gt;"",$M120="Blocked"),1,0)</f>
        <v>0</v>
      </c>
      <c r="AN120" s="71">
        <f>IF(AND($AK120=1,ISNUMBER($L120)),IF($L120=ReportDate,1,0),0)</f>
        <v>0</v>
      </c>
      <c r="AO120" s="71">
        <f>IF(AND($AK120=1,ISNUMBER($L120)),IF($L120=ReportDate+1,1,0),0)</f>
        <v>0</v>
      </c>
      <c r="AP120" s="71">
        <f>IF(AND($AK120=1,ISNUMBER($L120)),IF(AND($L120&gt;=ReportDate,$L120&lt;=ReportDate+DueSoonDays),1,0),0)</f>
        <v>0</v>
      </c>
      <c r="AQ120" s="71">
        <f>IF(AND($AK120=1,OR($I120="Critical",$I120="High")),1,0)</f>
        <v>0</v>
      </c>
      <c r="AR120" s="71">
        <f>IF($AK120=1,IF(ISNUMBER($Y120),IF(ReportDate-$Y120&gt;StaleDays,1,0),1),0)</f>
        <v>0</v>
      </c>
      <c r="AS120" s="71">
        <f>IF(AND($G120&lt;&gt;"",ISNUMBER($Q120),ISNUMBER($R120)),IF(AND($Q120&lt;$R120,OR($M120="Completed",AND(ISNUMBER($L120),$L120&lt;ReportDate))),1,0),0)</f>
        <v>0</v>
      </c>
      <c r="AT120" s="71">
        <f>IF($AK120=1,IF(OR($L120=ReportDate,$W120=ReportDate,$K120=ReportDate,$A120=ReportDate),1,0),0)</f>
        <v>0</v>
      </c>
      <c r="AU120" s="71">
        <f>IF($AK120=1,IF(OR($L120=ReportDate+1,$W120=ReportDate+1,$K120=ReportDate+1,$A120=ReportDate+1),1,0),0)</f>
        <v>0</v>
      </c>
      <c r="AV120" s="71">
        <f>IF(AND($G120&lt;&gt;"",$M120="Completed"),IF(OR($Y120=ReportDate-1,$A120=ReportDate-1),1,0),0)</f>
        <v>0</v>
      </c>
      <c r="AW120" s="71">
        <f>IF(AND($AK120=1,$Z120="Yes"),1,0)</f>
        <v>0</v>
      </c>
      <c r="AX120" s="71">
        <f>IF(AND($AK120=1,$AA120="Yes"),1,0)</f>
        <v>0</v>
      </c>
      <c r="AY120" s="71">
        <f>IF(AND($AM120=1,OR($I120="Critical",$I120="High")),1,0)</f>
        <v>0</v>
      </c>
      <c r="AZ120" s="71">
        <f>IF(AND($AK120=1,OR($C120=TCL_Client,$C120=MECCA_Client)),1,0)</f>
        <v>0</v>
      </c>
      <c r="BA120" s="71" t="str">
        <f>IF($G120="","",IFERROR(MATCH($I120,lst_Priority,0),5))</f>
        <v/>
      </c>
      <c r="BB120" s="71" t="str">
        <f>IF(AND($AL120=1,$AJ120=1),$BA120*100000+ROW(),"")</f>
        <v/>
      </c>
      <c r="BC120" s="71" t="str">
        <f>IF(AND($AM120=1,$AJ120=1),$BA120*100000+ROW(),"")</f>
        <v/>
      </c>
      <c r="BD120" s="71" t="str">
        <f>IF(AND($AP120=1,$AJ120=1),$BA120*100000+ROW(),"")</f>
        <v/>
      </c>
      <c r="BE120" s="71" t="str">
        <f>IF(AND($AT120=1,$AJ120=1),$BA120*100000+ROW(),"")</f>
        <v/>
      </c>
      <c r="BF120" s="71" t="str">
        <f>IF(AND($AU120=1,$AJ120=1),$BA120*100000+ROW(),"")</f>
        <v/>
      </c>
      <c r="BG120" s="71" t="str">
        <f>IF(AND($AV120=1,$AJ120=1),$BA120*100000+ROW(),"")</f>
        <v/>
      </c>
      <c r="BH120" s="71" t="str">
        <f>IF(AND($AW120=1,$AJ120=1),$BA120*100000+ROW(),"")</f>
        <v/>
      </c>
      <c r="BI120" s="71" t="str">
        <f>IF(AND($AX120=1,$AJ120=1),$BA120*100000+ROW(),"")</f>
        <v/>
      </c>
      <c r="BJ120" s="71" t="str">
        <f>IF(AND($AS120=1,$AJ120=1),$BA120*100000+ROW(),"")</f>
        <v/>
      </c>
      <c r="BK120" s="71" t="str">
        <f>IF(AND($AY120=1,$AJ120=1),$BA120*100000+ROW(),"")</f>
        <v/>
      </c>
      <c r="BL120" s="71" t="str">
        <f>IF(AND($AZ120=1),$BA120*100000+ROW(),"")</f>
        <v/>
      </c>
    </row>
    <row r="121">
      <c r="A121" s="63" t="n"/>
      <c r="B121" s="64" t="n"/>
      <c r="C121" s="64" t="n"/>
      <c r="D121" s="64" t="n"/>
      <c r="E121" s="64" t="n"/>
      <c r="F121" s="64" t="n"/>
      <c r="G121" s="65" t="n"/>
      <c r="H121" s="65" t="n"/>
      <c r="I121" s="64" t="n"/>
      <c r="J121" s="64" t="n"/>
      <c r="K121" s="63" t="n"/>
      <c r="L121" s="63" t="n"/>
      <c r="M121" s="64" t="n"/>
      <c r="N121" s="66" t="n"/>
      <c r="O121" s="65" t="n"/>
      <c r="P121" s="64" t="n"/>
      <c r="Q121" s="67" t="n"/>
      <c r="R121" s="67" t="n"/>
      <c r="S121" s="68" t="str">
        <f>IF(AND(ISNUMBER($Q121),ISNUMBER($R121)),$Q121-$R121,"")</f>
        <v/>
      </c>
      <c r="T121" s="65" t="n"/>
      <c r="U121" s="64" t="n"/>
      <c r="V121" s="65" t="n"/>
      <c r="W121" s="63" t="n"/>
      <c r="X121" s="65" t="n"/>
      <c r="Y121" s="63" t="n"/>
      <c r="Z121" s="64" t="n"/>
      <c r="AA121" s="64" t="n"/>
      <c r="AB121" s="65" t="n"/>
      <c r="AC121" s="69" t="str">
        <f>IF(OR($G121="",NOT(ISNUMBER($K121)),$AK121=0),"",MAX(0,ReportDate-$K121))</f>
        <v/>
      </c>
      <c r="AD121" s="69" t="str">
        <f>IF($G121="","",IF($AL121=1,ReportDate-$L121,0))</f>
        <v/>
      </c>
      <c r="AE121" s="70" t="str">
        <f>IF($G121="","",IF($M121="Completed",1,IF(ISNUMBER($N121),$N121,0)))</f>
        <v/>
      </c>
      <c r="AF121" s="70" t="str">
        <f>IF(AND(ISNUMBER($Q121),ISNUMBER($R121)),IF($R121&lt;&gt;0,$Q121/$R121,""),"")</f>
        <v/>
      </c>
      <c r="AG121" s="71" t="str">
        <f>IF($G121="","",IF($AL121=1,"OVERDUE",IF($AM121=1,"BLOCKED",IF($AN121=1,"DUE TODAY",IF($AO121=1,"DUE TOMORROW",IF($AQ121=1,"HIGH PRIORITY",IF($AR121=1,"NO RECENT UPDATE",""))))))) </f>
        <v/>
      </c>
      <c r="AH121" s="71" t="str">
        <f>IF($G121="","",IF(ISNUMBER($A121),IF(ISNUMBER($A121),YEAR($A121)&amp;"-"&amp;TEXT(MONTH($A121),"00"),""),IF(ISNUMBER($L121),IF(ISNUMBER($L121),YEAR($L121)&amp;"-"&amp;TEXT(MONTH($L121),"00"),""),"")))</f>
        <v/>
      </c>
      <c r="AI121" s="71">
        <f>IF($G121="",0,IF(AND(OR(fClient="All",$C121=fClient),OR(fCampaign="All",$D121=fCampaign),OR(fTeam="All",$B121=fTeam),OR(fChannel="All",$F121=fChannel),OR(fMonth="All",$AH121=fMonth),OR(fTStatus="All",$M121=fTStatus)),1,0))</f>
        <v>0</v>
      </c>
      <c r="AJ121" s="71">
        <f>IF($G121="",0,IF(AND(OR(fClient="All",$C121=fClient),OR(fCampaign="All",$D121=fCampaign),OR(fTeam="All",$B121=fTeam),OR(fChannel="All",$F121=fChannel)),1,0))</f>
        <v>0</v>
      </c>
      <c r="AK121" s="71">
        <f>IF($G121="",0,IF(OR($M121="Completed",$M121="Cancelled"),0,1))</f>
        <v>0</v>
      </c>
      <c r="AL121" s="71">
        <f>IF(AND($AK121=1,ISNUMBER($L121)),IF($L121&lt;ReportDate,1,0),0)</f>
        <v>0</v>
      </c>
      <c r="AM121" s="71">
        <f>IF(AND($G121&lt;&gt;"",$M121="Blocked"),1,0)</f>
        <v>0</v>
      </c>
      <c r="AN121" s="71">
        <f>IF(AND($AK121=1,ISNUMBER($L121)),IF($L121=ReportDate,1,0),0)</f>
        <v>0</v>
      </c>
      <c r="AO121" s="71">
        <f>IF(AND($AK121=1,ISNUMBER($L121)),IF($L121=ReportDate+1,1,0),0)</f>
        <v>0</v>
      </c>
      <c r="AP121" s="71">
        <f>IF(AND($AK121=1,ISNUMBER($L121)),IF(AND($L121&gt;=ReportDate,$L121&lt;=ReportDate+DueSoonDays),1,0),0)</f>
        <v>0</v>
      </c>
      <c r="AQ121" s="71">
        <f>IF(AND($AK121=1,OR($I121="Critical",$I121="High")),1,0)</f>
        <v>0</v>
      </c>
      <c r="AR121" s="71">
        <f>IF($AK121=1,IF(ISNUMBER($Y121),IF(ReportDate-$Y121&gt;StaleDays,1,0),1),0)</f>
        <v>0</v>
      </c>
      <c r="AS121" s="71">
        <f>IF(AND($G121&lt;&gt;"",ISNUMBER($Q121),ISNUMBER($R121)),IF(AND($Q121&lt;$R121,OR($M121="Completed",AND(ISNUMBER($L121),$L121&lt;ReportDate))),1,0),0)</f>
        <v>0</v>
      </c>
      <c r="AT121" s="71">
        <f>IF($AK121=1,IF(OR($L121=ReportDate,$W121=ReportDate,$K121=ReportDate,$A121=ReportDate),1,0),0)</f>
        <v>0</v>
      </c>
      <c r="AU121" s="71">
        <f>IF($AK121=1,IF(OR($L121=ReportDate+1,$W121=ReportDate+1,$K121=ReportDate+1,$A121=ReportDate+1),1,0),0)</f>
        <v>0</v>
      </c>
      <c r="AV121" s="71">
        <f>IF(AND($G121&lt;&gt;"",$M121="Completed"),IF(OR($Y121=ReportDate-1,$A121=ReportDate-1),1,0),0)</f>
        <v>0</v>
      </c>
      <c r="AW121" s="71">
        <f>IF(AND($AK121=1,$Z121="Yes"),1,0)</f>
        <v>0</v>
      </c>
      <c r="AX121" s="71">
        <f>IF(AND($AK121=1,$AA121="Yes"),1,0)</f>
        <v>0</v>
      </c>
      <c r="AY121" s="71">
        <f>IF(AND($AM121=1,OR($I121="Critical",$I121="High")),1,0)</f>
        <v>0</v>
      </c>
      <c r="AZ121" s="71">
        <f>IF(AND($AK121=1,OR($C121=TCL_Client,$C121=MECCA_Client)),1,0)</f>
        <v>0</v>
      </c>
      <c r="BA121" s="71" t="str">
        <f>IF($G121="","",IFERROR(MATCH($I121,lst_Priority,0),5))</f>
        <v/>
      </c>
      <c r="BB121" s="71" t="str">
        <f>IF(AND($AL121=1,$AJ121=1),$BA121*100000+ROW(),"")</f>
        <v/>
      </c>
      <c r="BC121" s="71" t="str">
        <f>IF(AND($AM121=1,$AJ121=1),$BA121*100000+ROW(),"")</f>
        <v/>
      </c>
      <c r="BD121" s="71" t="str">
        <f>IF(AND($AP121=1,$AJ121=1),$BA121*100000+ROW(),"")</f>
        <v/>
      </c>
      <c r="BE121" s="71" t="str">
        <f>IF(AND($AT121=1,$AJ121=1),$BA121*100000+ROW(),"")</f>
        <v/>
      </c>
      <c r="BF121" s="71" t="str">
        <f>IF(AND($AU121=1,$AJ121=1),$BA121*100000+ROW(),"")</f>
        <v/>
      </c>
      <c r="BG121" s="71" t="str">
        <f>IF(AND($AV121=1,$AJ121=1),$BA121*100000+ROW(),"")</f>
        <v/>
      </c>
      <c r="BH121" s="71" t="str">
        <f>IF(AND($AW121=1,$AJ121=1),$BA121*100000+ROW(),"")</f>
        <v/>
      </c>
      <c r="BI121" s="71" t="str">
        <f>IF(AND($AX121=1,$AJ121=1),$BA121*100000+ROW(),"")</f>
        <v/>
      </c>
      <c r="BJ121" s="71" t="str">
        <f>IF(AND($AS121=1,$AJ121=1),$BA121*100000+ROW(),"")</f>
        <v/>
      </c>
      <c r="BK121" s="71" t="str">
        <f>IF(AND($AY121=1,$AJ121=1),$BA121*100000+ROW(),"")</f>
        <v/>
      </c>
      <c r="BL121" s="71" t="str">
        <f>IF(AND($AZ121=1),$BA121*100000+ROW(),"")</f>
        <v/>
      </c>
    </row>
    <row r="122">
      <c r="A122" s="63" t="n"/>
      <c r="B122" s="64" t="n"/>
      <c r="C122" s="64" t="n"/>
      <c r="D122" s="64" t="n"/>
      <c r="E122" s="64" t="n"/>
      <c r="F122" s="64" t="n"/>
      <c r="G122" s="65" t="n"/>
      <c r="H122" s="65" t="n"/>
      <c r="I122" s="64" t="n"/>
      <c r="J122" s="64" t="n"/>
      <c r="K122" s="63" t="n"/>
      <c r="L122" s="63" t="n"/>
      <c r="M122" s="64" t="n"/>
      <c r="N122" s="66" t="n"/>
      <c r="O122" s="65" t="n"/>
      <c r="P122" s="64" t="n"/>
      <c r="Q122" s="67" t="n"/>
      <c r="R122" s="67" t="n"/>
      <c r="S122" s="68" t="str">
        <f>IF(AND(ISNUMBER($Q122),ISNUMBER($R122)),$Q122-$R122,"")</f>
        <v/>
      </c>
      <c r="T122" s="65" t="n"/>
      <c r="U122" s="64" t="n"/>
      <c r="V122" s="65" t="n"/>
      <c r="W122" s="63" t="n"/>
      <c r="X122" s="65" t="n"/>
      <c r="Y122" s="63" t="n"/>
      <c r="Z122" s="64" t="n"/>
      <c r="AA122" s="64" t="n"/>
      <c r="AB122" s="65" t="n"/>
      <c r="AC122" s="69" t="str">
        <f>IF(OR($G122="",NOT(ISNUMBER($K122)),$AK122=0),"",MAX(0,ReportDate-$K122))</f>
        <v/>
      </c>
      <c r="AD122" s="69" t="str">
        <f>IF($G122="","",IF($AL122=1,ReportDate-$L122,0))</f>
        <v/>
      </c>
      <c r="AE122" s="70" t="str">
        <f>IF($G122="","",IF($M122="Completed",1,IF(ISNUMBER($N122),$N122,0)))</f>
        <v/>
      </c>
      <c r="AF122" s="70" t="str">
        <f>IF(AND(ISNUMBER($Q122),ISNUMBER($R122)),IF($R122&lt;&gt;0,$Q122/$R122,""),"")</f>
        <v/>
      </c>
      <c r="AG122" s="71" t="str">
        <f>IF($G122="","",IF($AL122=1,"OVERDUE",IF($AM122=1,"BLOCKED",IF($AN122=1,"DUE TODAY",IF($AO122=1,"DUE TOMORROW",IF($AQ122=1,"HIGH PRIORITY",IF($AR122=1,"NO RECENT UPDATE",""))))))) </f>
        <v/>
      </c>
      <c r="AH122" s="71" t="str">
        <f>IF($G122="","",IF(ISNUMBER($A122),IF(ISNUMBER($A122),YEAR($A122)&amp;"-"&amp;TEXT(MONTH($A122),"00"),""),IF(ISNUMBER($L122),IF(ISNUMBER($L122),YEAR($L122)&amp;"-"&amp;TEXT(MONTH($L122),"00"),""),"")))</f>
        <v/>
      </c>
      <c r="AI122" s="71">
        <f>IF($G122="",0,IF(AND(OR(fClient="All",$C122=fClient),OR(fCampaign="All",$D122=fCampaign),OR(fTeam="All",$B122=fTeam),OR(fChannel="All",$F122=fChannel),OR(fMonth="All",$AH122=fMonth),OR(fTStatus="All",$M122=fTStatus)),1,0))</f>
        <v>0</v>
      </c>
      <c r="AJ122" s="71">
        <f>IF($G122="",0,IF(AND(OR(fClient="All",$C122=fClient),OR(fCampaign="All",$D122=fCampaign),OR(fTeam="All",$B122=fTeam),OR(fChannel="All",$F122=fChannel)),1,0))</f>
        <v>0</v>
      </c>
      <c r="AK122" s="71">
        <f>IF($G122="",0,IF(OR($M122="Completed",$M122="Cancelled"),0,1))</f>
        <v>0</v>
      </c>
      <c r="AL122" s="71">
        <f>IF(AND($AK122=1,ISNUMBER($L122)),IF($L122&lt;ReportDate,1,0),0)</f>
        <v>0</v>
      </c>
      <c r="AM122" s="71">
        <f>IF(AND($G122&lt;&gt;"",$M122="Blocked"),1,0)</f>
        <v>0</v>
      </c>
      <c r="AN122" s="71">
        <f>IF(AND($AK122=1,ISNUMBER($L122)),IF($L122=ReportDate,1,0),0)</f>
        <v>0</v>
      </c>
      <c r="AO122" s="71">
        <f>IF(AND($AK122=1,ISNUMBER($L122)),IF($L122=ReportDate+1,1,0),0)</f>
        <v>0</v>
      </c>
      <c r="AP122" s="71">
        <f>IF(AND($AK122=1,ISNUMBER($L122)),IF(AND($L122&gt;=ReportDate,$L122&lt;=ReportDate+DueSoonDays),1,0),0)</f>
        <v>0</v>
      </c>
      <c r="AQ122" s="71">
        <f>IF(AND($AK122=1,OR($I122="Critical",$I122="High")),1,0)</f>
        <v>0</v>
      </c>
      <c r="AR122" s="71">
        <f>IF($AK122=1,IF(ISNUMBER($Y122),IF(ReportDate-$Y122&gt;StaleDays,1,0),1),0)</f>
        <v>0</v>
      </c>
      <c r="AS122" s="71">
        <f>IF(AND($G122&lt;&gt;"",ISNUMBER($Q122),ISNUMBER($R122)),IF(AND($Q122&lt;$R122,OR($M122="Completed",AND(ISNUMBER($L122),$L122&lt;ReportDate))),1,0),0)</f>
        <v>0</v>
      </c>
      <c r="AT122" s="71">
        <f>IF($AK122=1,IF(OR($L122=ReportDate,$W122=ReportDate,$K122=ReportDate,$A122=ReportDate),1,0),0)</f>
        <v>0</v>
      </c>
      <c r="AU122" s="71">
        <f>IF($AK122=1,IF(OR($L122=ReportDate+1,$W122=ReportDate+1,$K122=ReportDate+1,$A122=ReportDate+1),1,0),0)</f>
        <v>0</v>
      </c>
      <c r="AV122" s="71">
        <f>IF(AND($G122&lt;&gt;"",$M122="Completed"),IF(OR($Y122=ReportDate-1,$A122=ReportDate-1),1,0),0)</f>
        <v>0</v>
      </c>
      <c r="AW122" s="71">
        <f>IF(AND($AK122=1,$Z122="Yes"),1,0)</f>
        <v>0</v>
      </c>
      <c r="AX122" s="71">
        <f>IF(AND($AK122=1,$AA122="Yes"),1,0)</f>
        <v>0</v>
      </c>
      <c r="AY122" s="71">
        <f>IF(AND($AM122=1,OR($I122="Critical",$I122="High")),1,0)</f>
        <v>0</v>
      </c>
      <c r="AZ122" s="71">
        <f>IF(AND($AK122=1,OR($C122=TCL_Client,$C122=MECCA_Client)),1,0)</f>
        <v>0</v>
      </c>
      <c r="BA122" s="71" t="str">
        <f>IF($G122="","",IFERROR(MATCH($I122,lst_Priority,0),5))</f>
        <v/>
      </c>
      <c r="BB122" s="71" t="str">
        <f>IF(AND($AL122=1,$AJ122=1),$BA122*100000+ROW(),"")</f>
        <v/>
      </c>
      <c r="BC122" s="71" t="str">
        <f>IF(AND($AM122=1,$AJ122=1),$BA122*100000+ROW(),"")</f>
        <v/>
      </c>
      <c r="BD122" s="71" t="str">
        <f>IF(AND($AP122=1,$AJ122=1),$BA122*100000+ROW(),"")</f>
        <v/>
      </c>
      <c r="BE122" s="71" t="str">
        <f>IF(AND($AT122=1,$AJ122=1),$BA122*100000+ROW(),"")</f>
        <v/>
      </c>
      <c r="BF122" s="71" t="str">
        <f>IF(AND($AU122=1,$AJ122=1),$BA122*100000+ROW(),"")</f>
        <v/>
      </c>
      <c r="BG122" s="71" t="str">
        <f>IF(AND($AV122=1,$AJ122=1),$BA122*100000+ROW(),"")</f>
        <v/>
      </c>
      <c r="BH122" s="71" t="str">
        <f>IF(AND($AW122=1,$AJ122=1),$BA122*100000+ROW(),"")</f>
        <v/>
      </c>
      <c r="BI122" s="71" t="str">
        <f>IF(AND($AX122=1,$AJ122=1),$BA122*100000+ROW(),"")</f>
        <v/>
      </c>
      <c r="BJ122" s="71" t="str">
        <f>IF(AND($AS122=1,$AJ122=1),$BA122*100000+ROW(),"")</f>
        <v/>
      </c>
      <c r="BK122" s="71" t="str">
        <f>IF(AND($AY122=1,$AJ122=1),$BA122*100000+ROW(),"")</f>
        <v/>
      </c>
      <c r="BL122" s="71" t="str">
        <f>IF(AND($AZ122=1),$BA122*100000+ROW(),"")</f>
        <v/>
      </c>
    </row>
    <row r="123">
      <c r="A123" s="63" t="n"/>
      <c r="B123" s="64" t="n"/>
      <c r="C123" s="64" t="n"/>
      <c r="D123" s="64" t="n"/>
      <c r="E123" s="64" t="n"/>
      <c r="F123" s="64" t="n"/>
      <c r="G123" s="65" t="n"/>
      <c r="H123" s="65" t="n"/>
      <c r="I123" s="64" t="n"/>
      <c r="J123" s="64" t="n"/>
      <c r="K123" s="63" t="n"/>
      <c r="L123" s="63" t="n"/>
      <c r="M123" s="64" t="n"/>
      <c r="N123" s="66" t="n"/>
      <c r="O123" s="65" t="n"/>
      <c r="P123" s="64" t="n"/>
      <c r="Q123" s="67" t="n"/>
      <c r="R123" s="67" t="n"/>
      <c r="S123" s="68" t="str">
        <f>IF(AND(ISNUMBER($Q123),ISNUMBER($R123)),$Q123-$R123,"")</f>
        <v/>
      </c>
      <c r="T123" s="65" t="n"/>
      <c r="U123" s="64" t="n"/>
      <c r="V123" s="65" t="n"/>
      <c r="W123" s="63" t="n"/>
      <c r="X123" s="65" t="n"/>
      <c r="Y123" s="63" t="n"/>
      <c r="Z123" s="64" t="n"/>
      <c r="AA123" s="64" t="n"/>
      <c r="AB123" s="65" t="n"/>
      <c r="AC123" s="69" t="str">
        <f>IF(OR($G123="",NOT(ISNUMBER($K123)),$AK123=0),"",MAX(0,ReportDate-$K123))</f>
        <v/>
      </c>
      <c r="AD123" s="69" t="str">
        <f>IF($G123="","",IF($AL123=1,ReportDate-$L123,0))</f>
        <v/>
      </c>
      <c r="AE123" s="70" t="str">
        <f>IF($G123="","",IF($M123="Completed",1,IF(ISNUMBER($N123),$N123,0)))</f>
        <v/>
      </c>
      <c r="AF123" s="70" t="str">
        <f>IF(AND(ISNUMBER($Q123),ISNUMBER($R123)),IF($R123&lt;&gt;0,$Q123/$R123,""),"")</f>
        <v/>
      </c>
      <c r="AG123" s="71" t="str">
        <f>IF($G123="","",IF($AL123=1,"OVERDUE",IF($AM123=1,"BLOCKED",IF($AN123=1,"DUE TODAY",IF($AO123=1,"DUE TOMORROW",IF($AQ123=1,"HIGH PRIORITY",IF($AR123=1,"NO RECENT UPDATE",""))))))) </f>
        <v/>
      </c>
      <c r="AH123" s="71" t="str">
        <f>IF($G123="","",IF(ISNUMBER($A123),IF(ISNUMBER($A123),YEAR($A123)&amp;"-"&amp;TEXT(MONTH($A123),"00"),""),IF(ISNUMBER($L123),IF(ISNUMBER($L123),YEAR($L123)&amp;"-"&amp;TEXT(MONTH($L123),"00"),""),"")))</f>
        <v/>
      </c>
      <c r="AI123" s="71">
        <f>IF($G123="",0,IF(AND(OR(fClient="All",$C123=fClient),OR(fCampaign="All",$D123=fCampaign),OR(fTeam="All",$B123=fTeam),OR(fChannel="All",$F123=fChannel),OR(fMonth="All",$AH123=fMonth),OR(fTStatus="All",$M123=fTStatus)),1,0))</f>
        <v>0</v>
      </c>
      <c r="AJ123" s="71">
        <f>IF($G123="",0,IF(AND(OR(fClient="All",$C123=fClient),OR(fCampaign="All",$D123=fCampaign),OR(fTeam="All",$B123=fTeam),OR(fChannel="All",$F123=fChannel)),1,0))</f>
        <v>0</v>
      </c>
      <c r="AK123" s="71">
        <f>IF($G123="",0,IF(OR($M123="Completed",$M123="Cancelled"),0,1))</f>
        <v>0</v>
      </c>
      <c r="AL123" s="71">
        <f>IF(AND($AK123=1,ISNUMBER($L123)),IF($L123&lt;ReportDate,1,0),0)</f>
        <v>0</v>
      </c>
      <c r="AM123" s="71">
        <f>IF(AND($G123&lt;&gt;"",$M123="Blocked"),1,0)</f>
        <v>0</v>
      </c>
      <c r="AN123" s="71">
        <f>IF(AND($AK123=1,ISNUMBER($L123)),IF($L123=ReportDate,1,0),0)</f>
        <v>0</v>
      </c>
      <c r="AO123" s="71">
        <f>IF(AND($AK123=1,ISNUMBER($L123)),IF($L123=ReportDate+1,1,0),0)</f>
        <v>0</v>
      </c>
      <c r="AP123" s="71">
        <f>IF(AND($AK123=1,ISNUMBER($L123)),IF(AND($L123&gt;=ReportDate,$L123&lt;=ReportDate+DueSoonDays),1,0),0)</f>
        <v>0</v>
      </c>
      <c r="AQ123" s="71">
        <f>IF(AND($AK123=1,OR($I123="Critical",$I123="High")),1,0)</f>
        <v>0</v>
      </c>
      <c r="AR123" s="71">
        <f>IF($AK123=1,IF(ISNUMBER($Y123),IF(ReportDate-$Y123&gt;StaleDays,1,0),1),0)</f>
        <v>0</v>
      </c>
      <c r="AS123" s="71">
        <f>IF(AND($G123&lt;&gt;"",ISNUMBER($Q123),ISNUMBER($R123)),IF(AND($Q123&lt;$R123,OR($M123="Completed",AND(ISNUMBER($L123),$L123&lt;ReportDate))),1,0),0)</f>
        <v>0</v>
      </c>
      <c r="AT123" s="71">
        <f>IF($AK123=1,IF(OR($L123=ReportDate,$W123=ReportDate,$K123=ReportDate,$A123=ReportDate),1,0),0)</f>
        <v>0</v>
      </c>
      <c r="AU123" s="71">
        <f>IF($AK123=1,IF(OR($L123=ReportDate+1,$W123=ReportDate+1,$K123=ReportDate+1,$A123=ReportDate+1),1,0),0)</f>
        <v>0</v>
      </c>
      <c r="AV123" s="71">
        <f>IF(AND($G123&lt;&gt;"",$M123="Completed"),IF(OR($Y123=ReportDate-1,$A123=ReportDate-1),1,0),0)</f>
        <v>0</v>
      </c>
      <c r="AW123" s="71">
        <f>IF(AND($AK123=1,$Z123="Yes"),1,0)</f>
        <v>0</v>
      </c>
      <c r="AX123" s="71">
        <f>IF(AND($AK123=1,$AA123="Yes"),1,0)</f>
        <v>0</v>
      </c>
      <c r="AY123" s="71">
        <f>IF(AND($AM123=1,OR($I123="Critical",$I123="High")),1,0)</f>
        <v>0</v>
      </c>
      <c r="AZ123" s="71">
        <f>IF(AND($AK123=1,OR($C123=TCL_Client,$C123=MECCA_Client)),1,0)</f>
        <v>0</v>
      </c>
      <c r="BA123" s="71" t="str">
        <f>IF($G123="","",IFERROR(MATCH($I123,lst_Priority,0),5))</f>
        <v/>
      </c>
      <c r="BB123" s="71" t="str">
        <f>IF(AND($AL123=1,$AJ123=1),$BA123*100000+ROW(),"")</f>
        <v/>
      </c>
      <c r="BC123" s="71" t="str">
        <f>IF(AND($AM123=1,$AJ123=1),$BA123*100000+ROW(),"")</f>
        <v/>
      </c>
      <c r="BD123" s="71" t="str">
        <f>IF(AND($AP123=1,$AJ123=1),$BA123*100000+ROW(),"")</f>
        <v/>
      </c>
      <c r="BE123" s="71" t="str">
        <f>IF(AND($AT123=1,$AJ123=1),$BA123*100000+ROW(),"")</f>
        <v/>
      </c>
      <c r="BF123" s="71" t="str">
        <f>IF(AND($AU123=1,$AJ123=1),$BA123*100000+ROW(),"")</f>
        <v/>
      </c>
      <c r="BG123" s="71" t="str">
        <f>IF(AND($AV123=1,$AJ123=1),$BA123*100000+ROW(),"")</f>
        <v/>
      </c>
      <c r="BH123" s="71" t="str">
        <f>IF(AND($AW123=1,$AJ123=1),$BA123*100000+ROW(),"")</f>
        <v/>
      </c>
      <c r="BI123" s="71" t="str">
        <f>IF(AND($AX123=1,$AJ123=1),$BA123*100000+ROW(),"")</f>
        <v/>
      </c>
      <c r="BJ123" s="71" t="str">
        <f>IF(AND($AS123=1,$AJ123=1),$BA123*100000+ROW(),"")</f>
        <v/>
      </c>
      <c r="BK123" s="71" t="str">
        <f>IF(AND($AY123=1,$AJ123=1),$BA123*100000+ROW(),"")</f>
        <v/>
      </c>
      <c r="BL123" s="71" t="str">
        <f>IF(AND($AZ123=1),$BA123*100000+ROW(),"")</f>
        <v/>
      </c>
    </row>
    <row r="124">
      <c r="A124" s="63" t="n"/>
      <c r="B124" s="64" t="n"/>
      <c r="C124" s="64" t="n"/>
      <c r="D124" s="64" t="n"/>
      <c r="E124" s="64" t="n"/>
      <c r="F124" s="64" t="n"/>
      <c r="G124" s="65" t="n"/>
      <c r="H124" s="65" t="n"/>
      <c r="I124" s="64" t="n"/>
      <c r="J124" s="64" t="n"/>
      <c r="K124" s="63" t="n"/>
      <c r="L124" s="63" t="n"/>
      <c r="M124" s="64" t="n"/>
      <c r="N124" s="66" t="n"/>
      <c r="O124" s="65" t="n"/>
      <c r="P124" s="64" t="n"/>
      <c r="Q124" s="67" t="n"/>
      <c r="R124" s="67" t="n"/>
      <c r="S124" s="68" t="str">
        <f>IF(AND(ISNUMBER($Q124),ISNUMBER($R124)),$Q124-$R124,"")</f>
        <v/>
      </c>
      <c r="T124" s="65" t="n"/>
      <c r="U124" s="64" t="n"/>
      <c r="V124" s="65" t="n"/>
      <c r="W124" s="63" t="n"/>
      <c r="X124" s="65" t="n"/>
      <c r="Y124" s="63" t="n"/>
      <c r="Z124" s="64" t="n"/>
      <c r="AA124" s="64" t="n"/>
      <c r="AB124" s="65" t="n"/>
      <c r="AC124" s="69" t="str">
        <f>IF(OR($G124="",NOT(ISNUMBER($K124)),$AK124=0),"",MAX(0,ReportDate-$K124))</f>
        <v/>
      </c>
      <c r="AD124" s="69" t="str">
        <f>IF($G124="","",IF($AL124=1,ReportDate-$L124,0))</f>
        <v/>
      </c>
      <c r="AE124" s="70" t="str">
        <f>IF($G124="","",IF($M124="Completed",1,IF(ISNUMBER($N124),$N124,0)))</f>
        <v/>
      </c>
      <c r="AF124" s="70" t="str">
        <f>IF(AND(ISNUMBER($Q124),ISNUMBER($R124)),IF($R124&lt;&gt;0,$Q124/$R124,""),"")</f>
        <v/>
      </c>
      <c r="AG124" s="71" t="str">
        <f>IF($G124="","",IF($AL124=1,"OVERDUE",IF($AM124=1,"BLOCKED",IF($AN124=1,"DUE TODAY",IF($AO124=1,"DUE TOMORROW",IF($AQ124=1,"HIGH PRIORITY",IF($AR124=1,"NO RECENT UPDATE",""))))))) </f>
        <v/>
      </c>
      <c r="AH124" s="71" t="str">
        <f>IF($G124="","",IF(ISNUMBER($A124),IF(ISNUMBER($A124),YEAR($A124)&amp;"-"&amp;TEXT(MONTH($A124),"00"),""),IF(ISNUMBER($L124),IF(ISNUMBER($L124),YEAR($L124)&amp;"-"&amp;TEXT(MONTH($L124),"00"),""),"")))</f>
        <v/>
      </c>
      <c r="AI124" s="71">
        <f>IF($G124="",0,IF(AND(OR(fClient="All",$C124=fClient),OR(fCampaign="All",$D124=fCampaign),OR(fTeam="All",$B124=fTeam),OR(fChannel="All",$F124=fChannel),OR(fMonth="All",$AH124=fMonth),OR(fTStatus="All",$M124=fTStatus)),1,0))</f>
        <v>0</v>
      </c>
      <c r="AJ124" s="71">
        <f>IF($G124="",0,IF(AND(OR(fClient="All",$C124=fClient),OR(fCampaign="All",$D124=fCampaign),OR(fTeam="All",$B124=fTeam),OR(fChannel="All",$F124=fChannel)),1,0))</f>
        <v>0</v>
      </c>
      <c r="AK124" s="71">
        <f>IF($G124="",0,IF(OR($M124="Completed",$M124="Cancelled"),0,1))</f>
        <v>0</v>
      </c>
      <c r="AL124" s="71">
        <f>IF(AND($AK124=1,ISNUMBER($L124)),IF($L124&lt;ReportDate,1,0),0)</f>
        <v>0</v>
      </c>
      <c r="AM124" s="71">
        <f>IF(AND($G124&lt;&gt;"",$M124="Blocked"),1,0)</f>
        <v>0</v>
      </c>
      <c r="AN124" s="71">
        <f>IF(AND($AK124=1,ISNUMBER($L124)),IF($L124=ReportDate,1,0),0)</f>
        <v>0</v>
      </c>
      <c r="AO124" s="71">
        <f>IF(AND($AK124=1,ISNUMBER($L124)),IF($L124=ReportDate+1,1,0),0)</f>
        <v>0</v>
      </c>
      <c r="AP124" s="71">
        <f>IF(AND($AK124=1,ISNUMBER($L124)),IF(AND($L124&gt;=ReportDate,$L124&lt;=ReportDate+DueSoonDays),1,0),0)</f>
        <v>0</v>
      </c>
      <c r="AQ124" s="71">
        <f>IF(AND($AK124=1,OR($I124="Critical",$I124="High")),1,0)</f>
        <v>0</v>
      </c>
      <c r="AR124" s="71">
        <f>IF($AK124=1,IF(ISNUMBER($Y124),IF(ReportDate-$Y124&gt;StaleDays,1,0),1),0)</f>
        <v>0</v>
      </c>
      <c r="AS124" s="71">
        <f>IF(AND($G124&lt;&gt;"",ISNUMBER($Q124),ISNUMBER($R124)),IF(AND($Q124&lt;$R124,OR($M124="Completed",AND(ISNUMBER($L124),$L124&lt;ReportDate))),1,0),0)</f>
        <v>0</v>
      </c>
      <c r="AT124" s="71">
        <f>IF($AK124=1,IF(OR($L124=ReportDate,$W124=ReportDate,$K124=ReportDate,$A124=ReportDate),1,0),0)</f>
        <v>0</v>
      </c>
      <c r="AU124" s="71">
        <f>IF($AK124=1,IF(OR($L124=ReportDate+1,$W124=ReportDate+1,$K124=ReportDate+1,$A124=ReportDate+1),1,0),0)</f>
        <v>0</v>
      </c>
      <c r="AV124" s="71">
        <f>IF(AND($G124&lt;&gt;"",$M124="Completed"),IF(OR($Y124=ReportDate-1,$A124=ReportDate-1),1,0),0)</f>
        <v>0</v>
      </c>
      <c r="AW124" s="71">
        <f>IF(AND($AK124=1,$Z124="Yes"),1,0)</f>
        <v>0</v>
      </c>
      <c r="AX124" s="71">
        <f>IF(AND($AK124=1,$AA124="Yes"),1,0)</f>
        <v>0</v>
      </c>
      <c r="AY124" s="71">
        <f>IF(AND($AM124=1,OR($I124="Critical",$I124="High")),1,0)</f>
        <v>0</v>
      </c>
      <c r="AZ124" s="71">
        <f>IF(AND($AK124=1,OR($C124=TCL_Client,$C124=MECCA_Client)),1,0)</f>
        <v>0</v>
      </c>
      <c r="BA124" s="71" t="str">
        <f>IF($G124="","",IFERROR(MATCH($I124,lst_Priority,0),5))</f>
        <v/>
      </c>
      <c r="BB124" s="71" t="str">
        <f>IF(AND($AL124=1,$AJ124=1),$BA124*100000+ROW(),"")</f>
        <v/>
      </c>
      <c r="BC124" s="71" t="str">
        <f>IF(AND($AM124=1,$AJ124=1),$BA124*100000+ROW(),"")</f>
        <v/>
      </c>
      <c r="BD124" s="71" t="str">
        <f>IF(AND($AP124=1,$AJ124=1),$BA124*100000+ROW(),"")</f>
        <v/>
      </c>
      <c r="BE124" s="71" t="str">
        <f>IF(AND($AT124=1,$AJ124=1),$BA124*100000+ROW(),"")</f>
        <v/>
      </c>
      <c r="BF124" s="71" t="str">
        <f>IF(AND($AU124=1,$AJ124=1),$BA124*100000+ROW(),"")</f>
        <v/>
      </c>
      <c r="BG124" s="71" t="str">
        <f>IF(AND($AV124=1,$AJ124=1),$BA124*100000+ROW(),"")</f>
        <v/>
      </c>
      <c r="BH124" s="71" t="str">
        <f>IF(AND($AW124=1,$AJ124=1),$BA124*100000+ROW(),"")</f>
        <v/>
      </c>
      <c r="BI124" s="71" t="str">
        <f>IF(AND($AX124=1,$AJ124=1),$BA124*100000+ROW(),"")</f>
        <v/>
      </c>
      <c r="BJ124" s="71" t="str">
        <f>IF(AND($AS124=1,$AJ124=1),$BA124*100000+ROW(),"")</f>
        <v/>
      </c>
      <c r="BK124" s="71" t="str">
        <f>IF(AND($AY124=1,$AJ124=1),$BA124*100000+ROW(),"")</f>
        <v/>
      </c>
      <c r="BL124" s="71" t="str">
        <f>IF(AND($AZ124=1),$BA124*100000+ROW(),"")</f>
        <v/>
      </c>
    </row>
    <row r="125">
      <c r="A125" s="63" t="n"/>
      <c r="B125" s="64" t="n"/>
      <c r="C125" s="64" t="n"/>
      <c r="D125" s="64" t="n"/>
      <c r="E125" s="64" t="n"/>
      <c r="F125" s="64" t="n"/>
      <c r="G125" s="65" t="n"/>
      <c r="H125" s="65" t="n"/>
      <c r="I125" s="64" t="n"/>
      <c r="J125" s="64" t="n"/>
      <c r="K125" s="63" t="n"/>
      <c r="L125" s="63" t="n"/>
      <c r="M125" s="64" t="n"/>
      <c r="N125" s="66" t="n"/>
      <c r="O125" s="65" t="n"/>
      <c r="P125" s="64" t="n"/>
      <c r="Q125" s="67" t="n"/>
      <c r="R125" s="67" t="n"/>
      <c r="S125" s="68" t="str">
        <f>IF(AND(ISNUMBER($Q125),ISNUMBER($R125)),$Q125-$R125,"")</f>
        <v/>
      </c>
      <c r="T125" s="65" t="n"/>
      <c r="U125" s="64" t="n"/>
      <c r="V125" s="65" t="n"/>
      <c r="W125" s="63" t="n"/>
      <c r="X125" s="65" t="n"/>
      <c r="Y125" s="63" t="n"/>
      <c r="Z125" s="64" t="n"/>
      <c r="AA125" s="64" t="n"/>
      <c r="AB125" s="65" t="n"/>
      <c r="AC125" s="69" t="str">
        <f>IF(OR($G125="",NOT(ISNUMBER($K125)),$AK125=0),"",MAX(0,ReportDate-$K125))</f>
        <v/>
      </c>
      <c r="AD125" s="69" t="str">
        <f>IF($G125="","",IF($AL125=1,ReportDate-$L125,0))</f>
        <v/>
      </c>
      <c r="AE125" s="70" t="str">
        <f>IF($G125="","",IF($M125="Completed",1,IF(ISNUMBER($N125),$N125,0)))</f>
        <v/>
      </c>
      <c r="AF125" s="70" t="str">
        <f>IF(AND(ISNUMBER($Q125),ISNUMBER($R125)),IF($R125&lt;&gt;0,$Q125/$R125,""),"")</f>
        <v/>
      </c>
      <c r="AG125" s="71" t="str">
        <f>IF($G125="","",IF($AL125=1,"OVERDUE",IF($AM125=1,"BLOCKED",IF($AN125=1,"DUE TODAY",IF($AO125=1,"DUE TOMORROW",IF($AQ125=1,"HIGH PRIORITY",IF($AR125=1,"NO RECENT UPDATE",""))))))) </f>
        <v/>
      </c>
      <c r="AH125" s="71" t="str">
        <f>IF($G125="","",IF(ISNUMBER($A125),IF(ISNUMBER($A125),YEAR($A125)&amp;"-"&amp;TEXT(MONTH($A125),"00"),""),IF(ISNUMBER($L125),IF(ISNUMBER($L125),YEAR($L125)&amp;"-"&amp;TEXT(MONTH($L125),"00"),""),"")))</f>
        <v/>
      </c>
      <c r="AI125" s="71">
        <f>IF($G125="",0,IF(AND(OR(fClient="All",$C125=fClient),OR(fCampaign="All",$D125=fCampaign),OR(fTeam="All",$B125=fTeam),OR(fChannel="All",$F125=fChannel),OR(fMonth="All",$AH125=fMonth),OR(fTStatus="All",$M125=fTStatus)),1,0))</f>
        <v>0</v>
      </c>
      <c r="AJ125" s="71">
        <f>IF($G125="",0,IF(AND(OR(fClient="All",$C125=fClient),OR(fCampaign="All",$D125=fCampaign),OR(fTeam="All",$B125=fTeam),OR(fChannel="All",$F125=fChannel)),1,0))</f>
        <v>0</v>
      </c>
      <c r="AK125" s="71">
        <f>IF($G125="",0,IF(OR($M125="Completed",$M125="Cancelled"),0,1))</f>
        <v>0</v>
      </c>
      <c r="AL125" s="71">
        <f>IF(AND($AK125=1,ISNUMBER($L125)),IF($L125&lt;ReportDate,1,0),0)</f>
        <v>0</v>
      </c>
      <c r="AM125" s="71">
        <f>IF(AND($G125&lt;&gt;"",$M125="Blocked"),1,0)</f>
        <v>0</v>
      </c>
      <c r="AN125" s="71">
        <f>IF(AND($AK125=1,ISNUMBER($L125)),IF($L125=ReportDate,1,0),0)</f>
        <v>0</v>
      </c>
      <c r="AO125" s="71">
        <f>IF(AND($AK125=1,ISNUMBER($L125)),IF($L125=ReportDate+1,1,0),0)</f>
        <v>0</v>
      </c>
      <c r="AP125" s="71">
        <f>IF(AND($AK125=1,ISNUMBER($L125)),IF(AND($L125&gt;=ReportDate,$L125&lt;=ReportDate+DueSoonDays),1,0),0)</f>
        <v>0</v>
      </c>
      <c r="AQ125" s="71">
        <f>IF(AND($AK125=1,OR($I125="Critical",$I125="High")),1,0)</f>
        <v>0</v>
      </c>
      <c r="AR125" s="71">
        <f>IF($AK125=1,IF(ISNUMBER($Y125),IF(ReportDate-$Y125&gt;StaleDays,1,0),1),0)</f>
        <v>0</v>
      </c>
      <c r="AS125" s="71">
        <f>IF(AND($G125&lt;&gt;"",ISNUMBER($Q125),ISNUMBER($R125)),IF(AND($Q125&lt;$R125,OR($M125="Completed",AND(ISNUMBER($L125),$L125&lt;ReportDate))),1,0),0)</f>
        <v>0</v>
      </c>
      <c r="AT125" s="71">
        <f>IF($AK125=1,IF(OR($L125=ReportDate,$W125=ReportDate,$K125=ReportDate,$A125=ReportDate),1,0),0)</f>
        <v>0</v>
      </c>
      <c r="AU125" s="71">
        <f>IF($AK125=1,IF(OR($L125=ReportDate+1,$W125=ReportDate+1,$K125=ReportDate+1,$A125=ReportDate+1),1,0),0)</f>
        <v>0</v>
      </c>
      <c r="AV125" s="71">
        <f>IF(AND($G125&lt;&gt;"",$M125="Completed"),IF(OR($Y125=ReportDate-1,$A125=ReportDate-1),1,0),0)</f>
        <v>0</v>
      </c>
      <c r="AW125" s="71">
        <f>IF(AND($AK125=1,$Z125="Yes"),1,0)</f>
        <v>0</v>
      </c>
      <c r="AX125" s="71">
        <f>IF(AND($AK125=1,$AA125="Yes"),1,0)</f>
        <v>0</v>
      </c>
      <c r="AY125" s="71">
        <f>IF(AND($AM125=1,OR($I125="Critical",$I125="High")),1,0)</f>
        <v>0</v>
      </c>
      <c r="AZ125" s="71">
        <f>IF(AND($AK125=1,OR($C125=TCL_Client,$C125=MECCA_Client)),1,0)</f>
        <v>0</v>
      </c>
      <c r="BA125" s="71" t="str">
        <f>IF($G125="","",IFERROR(MATCH($I125,lst_Priority,0),5))</f>
        <v/>
      </c>
      <c r="BB125" s="71" t="str">
        <f>IF(AND($AL125=1,$AJ125=1),$BA125*100000+ROW(),"")</f>
        <v/>
      </c>
      <c r="BC125" s="71" t="str">
        <f>IF(AND($AM125=1,$AJ125=1),$BA125*100000+ROW(),"")</f>
        <v/>
      </c>
      <c r="BD125" s="71" t="str">
        <f>IF(AND($AP125=1,$AJ125=1),$BA125*100000+ROW(),"")</f>
        <v/>
      </c>
      <c r="BE125" s="71" t="str">
        <f>IF(AND($AT125=1,$AJ125=1),$BA125*100000+ROW(),"")</f>
        <v/>
      </c>
      <c r="BF125" s="71" t="str">
        <f>IF(AND($AU125=1,$AJ125=1),$BA125*100000+ROW(),"")</f>
        <v/>
      </c>
      <c r="BG125" s="71" t="str">
        <f>IF(AND($AV125=1,$AJ125=1),$BA125*100000+ROW(),"")</f>
        <v/>
      </c>
      <c r="BH125" s="71" t="str">
        <f>IF(AND($AW125=1,$AJ125=1),$BA125*100000+ROW(),"")</f>
        <v/>
      </c>
      <c r="BI125" s="71" t="str">
        <f>IF(AND($AX125=1,$AJ125=1),$BA125*100000+ROW(),"")</f>
        <v/>
      </c>
      <c r="BJ125" s="71" t="str">
        <f>IF(AND($AS125=1,$AJ125=1),$BA125*100000+ROW(),"")</f>
        <v/>
      </c>
      <c r="BK125" s="71" t="str">
        <f>IF(AND($AY125=1,$AJ125=1),$BA125*100000+ROW(),"")</f>
        <v/>
      </c>
      <c r="BL125" s="71" t="str">
        <f>IF(AND($AZ125=1),$BA125*100000+ROW(),"")</f>
        <v/>
      </c>
    </row>
    <row r="126">
      <c r="A126" s="63" t="n"/>
      <c r="B126" s="64" t="n"/>
      <c r="C126" s="64" t="n"/>
      <c r="D126" s="64" t="n"/>
      <c r="E126" s="64" t="n"/>
      <c r="F126" s="64" t="n"/>
      <c r="G126" s="65" t="n"/>
      <c r="H126" s="65" t="n"/>
      <c r="I126" s="64" t="n"/>
      <c r="J126" s="64" t="n"/>
      <c r="K126" s="63" t="n"/>
      <c r="L126" s="63" t="n"/>
      <c r="M126" s="64" t="n"/>
      <c r="N126" s="66" t="n"/>
      <c r="O126" s="65" t="n"/>
      <c r="P126" s="64" t="n"/>
      <c r="Q126" s="67" t="n"/>
      <c r="R126" s="67" t="n"/>
      <c r="S126" s="68" t="str">
        <f>IF(AND(ISNUMBER($Q126),ISNUMBER($R126)),$Q126-$R126,"")</f>
        <v/>
      </c>
      <c r="T126" s="65" t="n"/>
      <c r="U126" s="64" t="n"/>
      <c r="V126" s="65" t="n"/>
      <c r="W126" s="63" t="n"/>
      <c r="X126" s="65" t="n"/>
      <c r="Y126" s="63" t="n"/>
      <c r="Z126" s="64" t="n"/>
      <c r="AA126" s="64" t="n"/>
      <c r="AB126" s="65" t="n"/>
      <c r="AC126" s="69" t="str">
        <f>IF(OR($G126="",NOT(ISNUMBER($K126)),$AK126=0),"",MAX(0,ReportDate-$K126))</f>
        <v/>
      </c>
      <c r="AD126" s="69" t="str">
        <f>IF($G126="","",IF($AL126=1,ReportDate-$L126,0))</f>
        <v/>
      </c>
      <c r="AE126" s="70" t="str">
        <f>IF($G126="","",IF($M126="Completed",1,IF(ISNUMBER($N126),$N126,0)))</f>
        <v/>
      </c>
      <c r="AF126" s="70" t="str">
        <f>IF(AND(ISNUMBER($Q126),ISNUMBER($R126)),IF($R126&lt;&gt;0,$Q126/$R126,""),"")</f>
        <v/>
      </c>
      <c r="AG126" s="71" t="str">
        <f>IF($G126="","",IF($AL126=1,"OVERDUE",IF($AM126=1,"BLOCKED",IF($AN126=1,"DUE TODAY",IF($AO126=1,"DUE TOMORROW",IF($AQ126=1,"HIGH PRIORITY",IF($AR126=1,"NO RECENT UPDATE",""))))))) </f>
        <v/>
      </c>
      <c r="AH126" s="71" t="str">
        <f>IF($G126="","",IF(ISNUMBER($A126),IF(ISNUMBER($A126),YEAR($A126)&amp;"-"&amp;TEXT(MONTH($A126),"00"),""),IF(ISNUMBER($L126),IF(ISNUMBER($L126),YEAR($L126)&amp;"-"&amp;TEXT(MONTH($L126),"00"),""),"")))</f>
        <v/>
      </c>
      <c r="AI126" s="71">
        <f>IF($G126="",0,IF(AND(OR(fClient="All",$C126=fClient),OR(fCampaign="All",$D126=fCampaign),OR(fTeam="All",$B126=fTeam),OR(fChannel="All",$F126=fChannel),OR(fMonth="All",$AH126=fMonth),OR(fTStatus="All",$M126=fTStatus)),1,0))</f>
        <v>0</v>
      </c>
      <c r="AJ126" s="71">
        <f>IF($G126="",0,IF(AND(OR(fClient="All",$C126=fClient),OR(fCampaign="All",$D126=fCampaign),OR(fTeam="All",$B126=fTeam),OR(fChannel="All",$F126=fChannel)),1,0))</f>
        <v>0</v>
      </c>
      <c r="AK126" s="71">
        <f>IF($G126="",0,IF(OR($M126="Completed",$M126="Cancelled"),0,1))</f>
        <v>0</v>
      </c>
      <c r="AL126" s="71">
        <f>IF(AND($AK126=1,ISNUMBER($L126)),IF($L126&lt;ReportDate,1,0),0)</f>
        <v>0</v>
      </c>
      <c r="AM126" s="71">
        <f>IF(AND($G126&lt;&gt;"",$M126="Blocked"),1,0)</f>
        <v>0</v>
      </c>
      <c r="AN126" s="71">
        <f>IF(AND($AK126=1,ISNUMBER($L126)),IF($L126=ReportDate,1,0),0)</f>
        <v>0</v>
      </c>
      <c r="AO126" s="71">
        <f>IF(AND($AK126=1,ISNUMBER($L126)),IF($L126=ReportDate+1,1,0),0)</f>
        <v>0</v>
      </c>
      <c r="AP126" s="71">
        <f>IF(AND($AK126=1,ISNUMBER($L126)),IF(AND($L126&gt;=ReportDate,$L126&lt;=ReportDate+DueSoonDays),1,0),0)</f>
        <v>0</v>
      </c>
      <c r="AQ126" s="71">
        <f>IF(AND($AK126=1,OR($I126="Critical",$I126="High")),1,0)</f>
        <v>0</v>
      </c>
      <c r="AR126" s="71">
        <f>IF($AK126=1,IF(ISNUMBER($Y126),IF(ReportDate-$Y126&gt;StaleDays,1,0),1),0)</f>
        <v>0</v>
      </c>
      <c r="AS126" s="71">
        <f>IF(AND($G126&lt;&gt;"",ISNUMBER($Q126),ISNUMBER($R126)),IF(AND($Q126&lt;$R126,OR($M126="Completed",AND(ISNUMBER($L126),$L126&lt;ReportDate))),1,0),0)</f>
        <v>0</v>
      </c>
      <c r="AT126" s="71">
        <f>IF($AK126=1,IF(OR($L126=ReportDate,$W126=ReportDate,$K126=ReportDate,$A126=ReportDate),1,0),0)</f>
        <v>0</v>
      </c>
      <c r="AU126" s="71">
        <f>IF($AK126=1,IF(OR($L126=ReportDate+1,$W126=ReportDate+1,$K126=ReportDate+1,$A126=ReportDate+1),1,0),0)</f>
        <v>0</v>
      </c>
      <c r="AV126" s="71">
        <f>IF(AND($G126&lt;&gt;"",$M126="Completed"),IF(OR($Y126=ReportDate-1,$A126=ReportDate-1),1,0),0)</f>
        <v>0</v>
      </c>
      <c r="AW126" s="71">
        <f>IF(AND($AK126=1,$Z126="Yes"),1,0)</f>
        <v>0</v>
      </c>
      <c r="AX126" s="71">
        <f>IF(AND($AK126=1,$AA126="Yes"),1,0)</f>
        <v>0</v>
      </c>
      <c r="AY126" s="71">
        <f>IF(AND($AM126=1,OR($I126="Critical",$I126="High")),1,0)</f>
        <v>0</v>
      </c>
      <c r="AZ126" s="71">
        <f>IF(AND($AK126=1,OR($C126=TCL_Client,$C126=MECCA_Client)),1,0)</f>
        <v>0</v>
      </c>
      <c r="BA126" s="71" t="str">
        <f>IF($G126="","",IFERROR(MATCH($I126,lst_Priority,0),5))</f>
        <v/>
      </c>
      <c r="BB126" s="71" t="str">
        <f>IF(AND($AL126=1,$AJ126=1),$BA126*100000+ROW(),"")</f>
        <v/>
      </c>
      <c r="BC126" s="71" t="str">
        <f>IF(AND($AM126=1,$AJ126=1),$BA126*100000+ROW(),"")</f>
        <v/>
      </c>
      <c r="BD126" s="71" t="str">
        <f>IF(AND($AP126=1,$AJ126=1),$BA126*100000+ROW(),"")</f>
        <v/>
      </c>
      <c r="BE126" s="71" t="str">
        <f>IF(AND($AT126=1,$AJ126=1),$BA126*100000+ROW(),"")</f>
        <v/>
      </c>
      <c r="BF126" s="71" t="str">
        <f>IF(AND($AU126=1,$AJ126=1),$BA126*100000+ROW(),"")</f>
        <v/>
      </c>
      <c r="BG126" s="71" t="str">
        <f>IF(AND($AV126=1,$AJ126=1),$BA126*100000+ROW(),"")</f>
        <v/>
      </c>
      <c r="BH126" s="71" t="str">
        <f>IF(AND($AW126=1,$AJ126=1),$BA126*100000+ROW(),"")</f>
        <v/>
      </c>
      <c r="BI126" s="71" t="str">
        <f>IF(AND($AX126=1,$AJ126=1),$BA126*100000+ROW(),"")</f>
        <v/>
      </c>
      <c r="BJ126" s="71" t="str">
        <f>IF(AND($AS126=1,$AJ126=1),$BA126*100000+ROW(),"")</f>
        <v/>
      </c>
      <c r="BK126" s="71" t="str">
        <f>IF(AND($AY126=1,$AJ126=1),$BA126*100000+ROW(),"")</f>
        <v/>
      </c>
      <c r="BL126" s="71" t="str">
        <f>IF(AND($AZ126=1),$BA126*100000+ROW(),"")</f>
        <v/>
      </c>
    </row>
    <row r="127">
      <c r="A127" s="63" t="n"/>
      <c r="B127" s="64" t="n"/>
      <c r="C127" s="64" t="n"/>
      <c r="D127" s="64" t="n"/>
      <c r="E127" s="64" t="n"/>
      <c r="F127" s="64" t="n"/>
      <c r="G127" s="65" t="n"/>
      <c r="H127" s="65" t="n"/>
      <c r="I127" s="64" t="n"/>
      <c r="J127" s="64" t="n"/>
      <c r="K127" s="63" t="n"/>
      <c r="L127" s="63" t="n"/>
      <c r="M127" s="64" t="n"/>
      <c r="N127" s="66" t="n"/>
      <c r="O127" s="65" t="n"/>
      <c r="P127" s="64" t="n"/>
      <c r="Q127" s="67" t="n"/>
      <c r="R127" s="67" t="n"/>
      <c r="S127" s="68" t="str">
        <f>IF(AND(ISNUMBER($Q127),ISNUMBER($R127)),$Q127-$R127,"")</f>
        <v/>
      </c>
      <c r="T127" s="65" t="n"/>
      <c r="U127" s="64" t="n"/>
      <c r="V127" s="65" t="n"/>
      <c r="W127" s="63" t="n"/>
      <c r="X127" s="65" t="n"/>
      <c r="Y127" s="63" t="n"/>
      <c r="Z127" s="64" t="n"/>
      <c r="AA127" s="64" t="n"/>
      <c r="AB127" s="65" t="n"/>
      <c r="AC127" s="69" t="str">
        <f>IF(OR($G127="",NOT(ISNUMBER($K127)),$AK127=0),"",MAX(0,ReportDate-$K127))</f>
        <v/>
      </c>
      <c r="AD127" s="69" t="str">
        <f>IF($G127="","",IF($AL127=1,ReportDate-$L127,0))</f>
        <v/>
      </c>
      <c r="AE127" s="70" t="str">
        <f>IF($G127="","",IF($M127="Completed",1,IF(ISNUMBER($N127),$N127,0)))</f>
        <v/>
      </c>
      <c r="AF127" s="70" t="str">
        <f>IF(AND(ISNUMBER($Q127),ISNUMBER($R127)),IF($R127&lt;&gt;0,$Q127/$R127,""),"")</f>
        <v/>
      </c>
      <c r="AG127" s="71" t="str">
        <f>IF($G127="","",IF($AL127=1,"OVERDUE",IF($AM127=1,"BLOCKED",IF($AN127=1,"DUE TODAY",IF($AO127=1,"DUE TOMORROW",IF($AQ127=1,"HIGH PRIORITY",IF($AR127=1,"NO RECENT UPDATE",""))))))) </f>
        <v/>
      </c>
      <c r="AH127" s="71" t="str">
        <f>IF($G127="","",IF(ISNUMBER($A127),IF(ISNUMBER($A127),YEAR($A127)&amp;"-"&amp;TEXT(MONTH($A127),"00"),""),IF(ISNUMBER($L127),IF(ISNUMBER($L127),YEAR($L127)&amp;"-"&amp;TEXT(MONTH($L127),"00"),""),"")))</f>
        <v/>
      </c>
      <c r="AI127" s="71">
        <f>IF($G127="",0,IF(AND(OR(fClient="All",$C127=fClient),OR(fCampaign="All",$D127=fCampaign),OR(fTeam="All",$B127=fTeam),OR(fChannel="All",$F127=fChannel),OR(fMonth="All",$AH127=fMonth),OR(fTStatus="All",$M127=fTStatus)),1,0))</f>
        <v>0</v>
      </c>
      <c r="AJ127" s="71">
        <f>IF($G127="",0,IF(AND(OR(fClient="All",$C127=fClient),OR(fCampaign="All",$D127=fCampaign),OR(fTeam="All",$B127=fTeam),OR(fChannel="All",$F127=fChannel)),1,0))</f>
        <v>0</v>
      </c>
      <c r="AK127" s="71">
        <f>IF($G127="",0,IF(OR($M127="Completed",$M127="Cancelled"),0,1))</f>
        <v>0</v>
      </c>
      <c r="AL127" s="71">
        <f>IF(AND($AK127=1,ISNUMBER($L127)),IF($L127&lt;ReportDate,1,0),0)</f>
        <v>0</v>
      </c>
      <c r="AM127" s="71">
        <f>IF(AND($G127&lt;&gt;"",$M127="Blocked"),1,0)</f>
        <v>0</v>
      </c>
      <c r="AN127" s="71">
        <f>IF(AND($AK127=1,ISNUMBER($L127)),IF($L127=ReportDate,1,0),0)</f>
        <v>0</v>
      </c>
      <c r="AO127" s="71">
        <f>IF(AND($AK127=1,ISNUMBER($L127)),IF($L127=ReportDate+1,1,0),0)</f>
        <v>0</v>
      </c>
      <c r="AP127" s="71">
        <f>IF(AND($AK127=1,ISNUMBER($L127)),IF(AND($L127&gt;=ReportDate,$L127&lt;=ReportDate+DueSoonDays),1,0),0)</f>
        <v>0</v>
      </c>
      <c r="AQ127" s="71">
        <f>IF(AND($AK127=1,OR($I127="Critical",$I127="High")),1,0)</f>
        <v>0</v>
      </c>
      <c r="AR127" s="71">
        <f>IF($AK127=1,IF(ISNUMBER($Y127),IF(ReportDate-$Y127&gt;StaleDays,1,0),1),0)</f>
        <v>0</v>
      </c>
      <c r="AS127" s="71">
        <f>IF(AND($G127&lt;&gt;"",ISNUMBER($Q127),ISNUMBER($R127)),IF(AND($Q127&lt;$R127,OR($M127="Completed",AND(ISNUMBER($L127),$L127&lt;ReportDate))),1,0),0)</f>
        <v>0</v>
      </c>
      <c r="AT127" s="71">
        <f>IF($AK127=1,IF(OR($L127=ReportDate,$W127=ReportDate,$K127=ReportDate,$A127=ReportDate),1,0),0)</f>
        <v>0</v>
      </c>
      <c r="AU127" s="71">
        <f>IF($AK127=1,IF(OR($L127=ReportDate+1,$W127=ReportDate+1,$K127=ReportDate+1,$A127=ReportDate+1),1,0),0)</f>
        <v>0</v>
      </c>
      <c r="AV127" s="71">
        <f>IF(AND($G127&lt;&gt;"",$M127="Completed"),IF(OR($Y127=ReportDate-1,$A127=ReportDate-1),1,0),0)</f>
        <v>0</v>
      </c>
      <c r="AW127" s="71">
        <f>IF(AND($AK127=1,$Z127="Yes"),1,0)</f>
        <v>0</v>
      </c>
      <c r="AX127" s="71">
        <f>IF(AND($AK127=1,$AA127="Yes"),1,0)</f>
        <v>0</v>
      </c>
      <c r="AY127" s="71">
        <f>IF(AND($AM127=1,OR($I127="Critical",$I127="High")),1,0)</f>
        <v>0</v>
      </c>
      <c r="AZ127" s="71">
        <f>IF(AND($AK127=1,OR($C127=TCL_Client,$C127=MECCA_Client)),1,0)</f>
        <v>0</v>
      </c>
      <c r="BA127" s="71" t="str">
        <f>IF($G127="","",IFERROR(MATCH($I127,lst_Priority,0),5))</f>
        <v/>
      </c>
      <c r="BB127" s="71" t="str">
        <f>IF(AND($AL127=1,$AJ127=1),$BA127*100000+ROW(),"")</f>
        <v/>
      </c>
      <c r="BC127" s="71" t="str">
        <f>IF(AND($AM127=1,$AJ127=1),$BA127*100000+ROW(),"")</f>
        <v/>
      </c>
      <c r="BD127" s="71" t="str">
        <f>IF(AND($AP127=1,$AJ127=1),$BA127*100000+ROW(),"")</f>
        <v/>
      </c>
      <c r="BE127" s="71" t="str">
        <f>IF(AND($AT127=1,$AJ127=1),$BA127*100000+ROW(),"")</f>
        <v/>
      </c>
      <c r="BF127" s="71" t="str">
        <f>IF(AND($AU127=1,$AJ127=1),$BA127*100000+ROW(),"")</f>
        <v/>
      </c>
      <c r="BG127" s="71" t="str">
        <f>IF(AND($AV127=1,$AJ127=1),$BA127*100000+ROW(),"")</f>
        <v/>
      </c>
      <c r="BH127" s="71" t="str">
        <f>IF(AND($AW127=1,$AJ127=1),$BA127*100000+ROW(),"")</f>
        <v/>
      </c>
      <c r="BI127" s="71" t="str">
        <f>IF(AND($AX127=1,$AJ127=1),$BA127*100000+ROW(),"")</f>
        <v/>
      </c>
      <c r="BJ127" s="71" t="str">
        <f>IF(AND($AS127=1,$AJ127=1),$BA127*100000+ROW(),"")</f>
        <v/>
      </c>
      <c r="BK127" s="71" t="str">
        <f>IF(AND($AY127=1,$AJ127=1),$BA127*100000+ROW(),"")</f>
        <v/>
      </c>
      <c r="BL127" s="71" t="str">
        <f>IF(AND($AZ127=1),$BA127*100000+ROW(),"")</f>
        <v/>
      </c>
    </row>
    <row r="128">
      <c r="A128" s="63" t="n"/>
      <c r="B128" s="64" t="n"/>
      <c r="C128" s="64" t="n"/>
      <c r="D128" s="64" t="n"/>
      <c r="E128" s="64" t="n"/>
      <c r="F128" s="64" t="n"/>
      <c r="G128" s="65" t="n"/>
      <c r="H128" s="65" t="n"/>
      <c r="I128" s="64" t="n"/>
      <c r="J128" s="64" t="n"/>
      <c r="K128" s="63" t="n"/>
      <c r="L128" s="63" t="n"/>
      <c r="M128" s="64" t="n"/>
      <c r="N128" s="66" t="n"/>
      <c r="O128" s="65" t="n"/>
      <c r="P128" s="64" t="n"/>
      <c r="Q128" s="67" t="n"/>
      <c r="R128" s="67" t="n"/>
      <c r="S128" s="68" t="str">
        <f>IF(AND(ISNUMBER($Q128),ISNUMBER($R128)),$Q128-$R128,"")</f>
        <v/>
      </c>
      <c r="T128" s="65" t="n"/>
      <c r="U128" s="64" t="n"/>
      <c r="V128" s="65" t="n"/>
      <c r="W128" s="63" t="n"/>
      <c r="X128" s="65" t="n"/>
      <c r="Y128" s="63" t="n"/>
      <c r="Z128" s="64" t="n"/>
      <c r="AA128" s="64" t="n"/>
      <c r="AB128" s="65" t="n"/>
      <c r="AC128" s="69" t="str">
        <f>IF(OR($G128="",NOT(ISNUMBER($K128)),$AK128=0),"",MAX(0,ReportDate-$K128))</f>
        <v/>
      </c>
      <c r="AD128" s="69" t="str">
        <f>IF($G128="","",IF($AL128=1,ReportDate-$L128,0))</f>
        <v/>
      </c>
      <c r="AE128" s="70" t="str">
        <f>IF($G128="","",IF($M128="Completed",1,IF(ISNUMBER($N128),$N128,0)))</f>
        <v/>
      </c>
      <c r="AF128" s="70" t="str">
        <f>IF(AND(ISNUMBER($Q128),ISNUMBER($R128)),IF($R128&lt;&gt;0,$Q128/$R128,""),"")</f>
        <v/>
      </c>
      <c r="AG128" s="71" t="str">
        <f>IF($G128="","",IF($AL128=1,"OVERDUE",IF($AM128=1,"BLOCKED",IF($AN128=1,"DUE TODAY",IF($AO128=1,"DUE TOMORROW",IF($AQ128=1,"HIGH PRIORITY",IF($AR128=1,"NO RECENT UPDATE",""))))))) </f>
        <v/>
      </c>
      <c r="AH128" s="71" t="str">
        <f>IF($G128="","",IF(ISNUMBER($A128),IF(ISNUMBER($A128),YEAR($A128)&amp;"-"&amp;TEXT(MONTH($A128),"00"),""),IF(ISNUMBER($L128),IF(ISNUMBER($L128),YEAR($L128)&amp;"-"&amp;TEXT(MONTH($L128),"00"),""),"")))</f>
        <v/>
      </c>
      <c r="AI128" s="71">
        <f>IF($G128="",0,IF(AND(OR(fClient="All",$C128=fClient),OR(fCampaign="All",$D128=fCampaign),OR(fTeam="All",$B128=fTeam),OR(fChannel="All",$F128=fChannel),OR(fMonth="All",$AH128=fMonth),OR(fTStatus="All",$M128=fTStatus)),1,0))</f>
        <v>0</v>
      </c>
      <c r="AJ128" s="71">
        <f>IF($G128="",0,IF(AND(OR(fClient="All",$C128=fClient),OR(fCampaign="All",$D128=fCampaign),OR(fTeam="All",$B128=fTeam),OR(fChannel="All",$F128=fChannel)),1,0))</f>
        <v>0</v>
      </c>
      <c r="AK128" s="71">
        <f>IF($G128="",0,IF(OR($M128="Completed",$M128="Cancelled"),0,1))</f>
        <v>0</v>
      </c>
      <c r="AL128" s="71">
        <f>IF(AND($AK128=1,ISNUMBER($L128)),IF($L128&lt;ReportDate,1,0),0)</f>
        <v>0</v>
      </c>
      <c r="AM128" s="71">
        <f>IF(AND($G128&lt;&gt;"",$M128="Blocked"),1,0)</f>
        <v>0</v>
      </c>
      <c r="AN128" s="71">
        <f>IF(AND($AK128=1,ISNUMBER($L128)),IF($L128=ReportDate,1,0),0)</f>
        <v>0</v>
      </c>
      <c r="AO128" s="71">
        <f>IF(AND($AK128=1,ISNUMBER($L128)),IF($L128=ReportDate+1,1,0),0)</f>
        <v>0</v>
      </c>
      <c r="AP128" s="71">
        <f>IF(AND($AK128=1,ISNUMBER($L128)),IF(AND($L128&gt;=ReportDate,$L128&lt;=ReportDate+DueSoonDays),1,0),0)</f>
        <v>0</v>
      </c>
      <c r="AQ128" s="71">
        <f>IF(AND($AK128=1,OR($I128="Critical",$I128="High")),1,0)</f>
        <v>0</v>
      </c>
      <c r="AR128" s="71">
        <f>IF($AK128=1,IF(ISNUMBER($Y128),IF(ReportDate-$Y128&gt;StaleDays,1,0),1),0)</f>
        <v>0</v>
      </c>
      <c r="AS128" s="71">
        <f>IF(AND($G128&lt;&gt;"",ISNUMBER($Q128),ISNUMBER($R128)),IF(AND($Q128&lt;$R128,OR($M128="Completed",AND(ISNUMBER($L128),$L128&lt;ReportDate))),1,0),0)</f>
        <v>0</v>
      </c>
      <c r="AT128" s="71">
        <f>IF($AK128=1,IF(OR($L128=ReportDate,$W128=ReportDate,$K128=ReportDate,$A128=ReportDate),1,0),0)</f>
        <v>0</v>
      </c>
      <c r="AU128" s="71">
        <f>IF($AK128=1,IF(OR($L128=ReportDate+1,$W128=ReportDate+1,$K128=ReportDate+1,$A128=ReportDate+1),1,0),0)</f>
        <v>0</v>
      </c>
      <c r="AV128" s="71">
        <f>IF(AND($G128&lt;&gt;"",$M128="Completed"),IF(OR($Y128=ReportDate-1,$A128=ReportDate-1),1,0),0)</f>
        <v>0</v>
      </c>
      <c r="AW128" s="71">
        <f>IF(AND($AK128=1,$Z128="Yes"),1,0)</f>
        <v>0</v>
      </c>
      <c r="AX128" s="71">
        <f>IF(AND($AK128=1,$AA128="Yes"),1,0)</f>
        <v>0</v>
      </c>
      <c r="AY128" s="71">
        <f>IF(AND($AM128=1,OR($I128="Critical",$I128="High")),1,0)</f>
        <v>0</v>
      </c>
      <c r="AZ128" s="71">
        <f>IF(AND($AK128=1,OR($C128=TCL_Client,$C128=MECCA_Client)),1,0)</f>
        <v>0</v>
      </c>
      <c r="BA128" s="71" t="str">
        <f>IF($G128="","",IFERROR(MATCH($I128,lst_Priority,0),5))</f>
        <v/>
      </c>
      <c r="BB128" s="71" t="str">
        <f>IF(AND($AL128=1,$AJ128=1),$BA128*100000+ROW(),"")</f>
        <v/>
      </c>
      <c r="BC128" s="71" t="str">
        <f>IF(AND($AM128=1,$AJ128=1),$BA128*100000+ROW(),"")</f>
        <v/>
      </c>
      <c r="BD128" s="71" t="str">
        <f>IF(AND($AP128=1,$AJ128=1),$BA128*100000+ROW(),"")</f>
        <v/>
      </c>
      <c r="BE128" s="71" t="str">
        <f>IF(AND($AT128=1,$AJ128=1),$BA128*100000+ROW(),"")</f>
        <v/>
      </c>
      <c r="BF128" s="71" t="str">
        <f>IF(AND($AU128=1,$AJ128=1),$BA128*100000+ROW(),"")</f>
        <v/>
      </c>
      <c r="BG128" s="71" t="str">
        <f>IF(AND($AV128=1,$AJ128=1),$BA128*100000+ROW(),"")</f>
        <v/>
      </c>
      <c r="BH128" s="71" t="str">
        <f>IF(AND($AW128=1,$AJ128=1),$BA128*100000+ROW(),"")</f>
        <v/>
      </c>
      <c r="BI128" s="71" t="str">
        <f>IF(AND($AX128=1,$AJ128=1),$BA128*100000+ROW(),"")</f>
        <v/>
      </c>
      <c r="BJ128" s="71" t="str">
        <f>IF(AND($AS128=1,$AJ128=1),$BA128*100000+ROW(),"")</f>
        <v/>
      </c>
      <c r="BK128" s="71" t="str">
        <f>IF(AND($AY128=1,$AJ128=1),$BA128*100000+ROW(),"")</f>
        <v/>
      </c>
      <c r="BL128" s="71" t="str">
        <f>IF(AND($AZ128=1),$BA128*100000+ROW(),"")</f>
        <v/>
      </c>
    </row>
    <row r="129">
      <c r="A129" s="63" t="n"/>
      <c r="B129" s="64" t="n"/>
      <c r="C129" s="64" t="n"/>
      <c r="D129" s="64" t="n"/>
      <c r="E129" s="64" t="n"/>
      <c r="F129" s="64" t="n"/>
      <c r="G129" s="65" t="n"/>
      <c r="H129" s="65" t="n"/>
      <c r="I129" s="64" t="n"/>
      <c r="J129" s="64" t="n"/>
      <c r="K129" s="63" t="n"/>
      <c r="L129" s="63" t="n"/>
      <c r="M129" s="64" t="n"/>
      <c r="N129" s="66" t="n"/>
      <c r="O129" s="65" t="n"/>
      <c r="P129" s="64" t="n"/>
      <c r="Q129" s="67" t="n"/>
      <c r="R129" s="67" t="n"/>
      <c r="S129" s="68" t="str">
        <f>IF(AND(ISNUMBER($Q129),ISNUMBER($R129)),$Q129-$R129,"")</f>
        <v/>
      </c>
      <c r="T129" s="65" t="n"/>
      <c r="U129" s="64" t="n"/>
      <c r="V129" s="65" t="n"/>
      <c r="W129" s="63" t="n"/>
      <c r="X129" s="65" t="n"/>
      <c r="Y129" s="63" t="n"/>
      <c r="Z129" s="64" t="n"/>
      <c r="AA129" s="64" t="n"/>
      <c r="AB129" s="65" t="n"/>
      <c r="AC129" s="69" t="str">
        <f>IF(OR($G129="",NOT(ISNUMBER($K129)),$AK129=0),"",MAX(0,ReportDate-$K129))</f>
        <v/>
      </c>
      <c r="AD129" s="69" t="str">
        <f>IF($G129="","",IF($AL129=1,ReportDate-$L129,0))</f>
        <v/>
      </c>
      <c r="AE129" s="70" t="str">
        <f>IF($G129="","",IF($M129="Completed",1,IF(ISNUMBER($N129),$N129,0)))</f>
        <v/>
      </c>
      <c r="AF129" s="70" t="str">
        <f>IF(AND(ISNUMBER($Q129),ISNUMBER($R129)),IF($R129&lt;&gt;0,$Q129/$R129,""),"")</f>
        <v/>
      </c>
      <c r="AG129" s="71" t="str">
        <f>IF($G129="","",IF($AL129=1,"OVERDUE",IF($AM129=1,"BLOCKED",IF($AN129=1,"DUE TODAY",IF($AO129=1,"DUE TOMORROW",IF($AQ129=1,"HIGH PRIORITY",IF($AR129=1,"NO RECENT UPDATE",""))))))) </f>
        <v/>
      </c>
      <c r="AH129" s="71" t="str">
        <f>IF($G129="","",IF(ISNUMBER($A129),IF(ISNUMBER($A129),YEAR($A129)&amp;"-"&amp;TEXT(MONTH($A129),"00"),""),IF(ISNUMBER($L129),IF(ISNUMBER($L129),YEAR($L129)&amp;"-"&amp;TEXT(MONTH($L129),"00"),""),"")))</f>
        <v/>
      </c>
      <c r="AI129" s="71">
        <f>IF($G129="",0,IF(AND(OR(fClient="All",$C129=fClient),OR(fCampaign="All",$D129=fCampaign),OR(fTeam="All",$B129=fTeam),OR(fChannel="All",$F129=fChannel),OR(fMonth="All",$AH129=fMonth),OR(fTStatus="All",$M129=fTStatus)),1,0))</f>
        <v>0</v>
      </c>
      <c r="AJ129" s="71">
        <f>IF($G129="",0,IF(AND(OR(fClient="All",$C129=fClient),OR(fCampaign="All",$D129=fCampaign),OR(fTeam="All",$B129=fTeam),OR(fChannel="All",$F129=fChannel)),1,0))</f>
        <v>0</v>
      </c>
      <c r="AK129" s="71">
        <f>IF($G129="",0,IF(OR($M129="Completed",$M129="Cancelled"),0,1))</f>
        <v>0</v>
      </c>
      <c r="AL129" s="71">
        <f>IF(AND($AK129=1,ISNUMBER($L129)),IF($L129&lt;ReportDate,1,0),0)</f>
        <v>0</v>
      </c>
      <c r="AM129" s="71">
        <f>IF(AND($G129&lt;&gt;"",$M129="Blocked"),1,0)</f>
        <v>0</v>
      </c>
      <c r="AN129" s="71">
        <f>IF(AND($AK129=1,ISNUMBER($L129)),IF($L129=ReportDate,1,0),0)</f>
        <v>0</v>
      </c>
      <c r="AO129" s="71">
        <f>IF(AND($AK129=1,ISNUMBER($L129)),IF($L129=ReportDate+1,1,0),0)</f>
        <v>0</v>
      </c>
      <c r="AP129" s="71">
        <f>IF(AND($AK129=1,ISNUMBER($L129)),IF(AND($L129&gt;=ReportDate,$L129&lt;=ReportDate+DueSoonDays),1,0),0)</f>
        <v>0</v>
      </c>
      <c r="AQ129" s="71">
        <f>IF(AND($AK129=1,OR($I129="Critical",$I129="High")),1,0)</f>
        <v>0</v>
      </c>
      <c r="AR129" s="71">
        <f>IF($AK129=1,IF(ISNUMBER($Y129),IF(ReportDate-$Y129&gt;StaleDays,1,0),1),0)</f>
        <v>0</v>
      </c>
      <c r="AS129" s="71">
        <f>IF(AND($G129&lt;&gt;"",ISNUMBER($Q129),ISNUMBER($R129)),IF(AND($Q129&lt;$R129,OR($M129="Completed",AND(ISNUMBER($L129),$L129&lt;ReportDate))),1,0),0)</f>
        <v>0</v>
      </c>
      <c r="AT129" s="71">
        <f>IF($AK129=1,IF(OR($L129=ReportDate,$W129=ReportDate,$K129=ReportDate,$A129=ReportDate),1,0),0)</f>
        <v>0</v>
      </c>
      <c r="AU129" s="71">
        <f>IF($AK129=1,IF(OR($L129=ReportDate+1,$W129=ReportDate+1,$K129=ReportDate+1,$A129=ReportDate+1),1,0),0)</f>
        <v>0</v>
      </c>
      <c r="AV129" s="71">
        <f>IF(AND($G129&lt;&gt;"",$M129="Completed"),IF(OR($Y129=ReportDate-1,$A129=ReportDate-1),1,0),0)</f>
        <v>0</v>
      </c>
      <c r="AW129" s="71">
        <f>IF(AND($AK129=1,$Z129="Yes"),1,0)</f>
        <v>0</v>
      </c>
      <c r="AX129" s="71">
        <f>IF(AND($AK129=1,$AA129="Yes"),1,0)</f>
        <v>0</v>
      </c>
      <c r="AY129" s="71">
        <f>IF(AND($AM129=1,OR($I129="Critical",$I129="High")),1,0)</f>
        <v>0</v>
      </c>
      <c r="AZ129" s="71">
        <f>IF(AND($AK129=1,OR($C129=TCL_Client,$C129=MECCA_Client)),1,0)</f>
        <v>0</v>
      </c>
      <c r="BA129" s="71" t="str">
        <f>IF($G129="","",IFERROR(MATCH($I129,lst_Priority,0),5))</f>
        <v/>
      </c>
      <c r="BB129" s="71" t="str">
        <f>IF(AND($AL129=1,$AJ129=1),$BA129*100000+ROW(),"")</f>
        <v/>
      </c>
      <c r="BC129" s="71" t="str">
        <f>IF(AND($AM129=1,$AJ129=1),$BA129*100000+ROW(),"")</f>
        <v/>
      </c>
      <c r="BD129" s="71" t="str">
        <f>IF(AND($AP129=1,$AJ129=1),$BA129*100000+ROW(),"")</f>
        <v/>
      </c>
      <c r="BE129" s="71" t="str">
        <f>IF(AND($AT129=1,$AJ129=1),$BA129*100000+ROW(),"")</f>
        <v/>
      </c>
      <c r="BF129" s="71" t="str">
        <f>IF(AND($AU129=1,$AJ129=1),$BA129*100000+ROW(),"")</f>
        <v/>
      </c>
      <c r="BG129" s="71" t="str">
        <f>IF(AND($AV129=1,$AJ129=1),$BA129*100000+ROW(),"")</f>
        <v/>
      </c>
      <c r="BH129" s="71" t="str">
        <f>IF(AND($AW129=1,$AJ129=1),$BA129*100000+ROW(),"")</f>
        <v/>
      </c>
      <c r="BI129" s="71" t="str">
        <f>IF(AND($AX129=1,$AJ129=1),$BA129*100000+ROW(),"")</f>
        <v/>
      </c>
      <c r="BJ129" s="71" t="str">
        <f>IF(AND($AS129=1,$AJ129=1),$BA129*100000+ROW(),"")</f>
        <v/>
      </c>
      <c r="BK129" s="71" t="str">
        <f>IF(AND($AY129=1,$AJ129=1),$BA129*100000+ROW(),"")</f>
        <v/>
      </c>
      <c r="BL129" s="71" t="str">
        <f>IF(AND($AZ129=1),$BA129*100000+ROW(),"")</f>
        <v/>
      </c>
    </row>
    <row r="130">
      <c r="A130" s="63" t="n"/>
      <c r="B130" s="64" t="n"/>
      <c r="C130" s="64" t="n"/>
      <c r="D130" s="64" t="n"/>
      <c r="E130" s="64" t="n"/>
      <c r="F130" s="64" t="n"/>
      <c r="G130" s="65" t="n"/>
      <c r="H130" s="65" t="n"/>
      <c r="I130" s="64" t="n"/>
      <c r="J130" s="64" t="n"/>
      <c r="K130" s="63" t="n"/>
      <c r="L130" s="63" t="n"/>
      <c r="M130" s="64" t="n"/>
      <c r="N130" s="66" t="n"/>
      <c r="O130" s="65" t="n"/>
      <c r="P130" s="64" t="n"/>
      <c r="Q130" s="67" t="n"/>
      <c r="R130" s="67" t="n"/>
      <c r="S130" s="68" t="str">
        <f>IF(AND(ISNUMBER($Q130),ISNUMBER($R130)),$Q130-$R130,"")</f>
        <v/>
      </c>
      <c r="T130" s="65" t="n"/>
      <c r="U130" s="64" t="n"/>
      <c r="V130" s="65" t="n"/>
      <c r="W130" s="63" t="n"/>
      <c r="X130" s="65" t="n"/>
      <c r="Y130" s="63" t="n"/>
      <c r="Z130" s="64" t="n"/>
      <c r="AA130" s="64" t="n"/>
      <c r="AB130" s="65" t="n"/>
      <c r="AC130" s="69" t="str">
        <f>IF(OR($G130="",NOT(ISNUMBER($K130)),$AK130=0),"",MAX(0,ReportDate-$K130))</f>
        <v/>
      </c>
      <c r="AD130" s="69" t="str">
        <f>IF($G130="","",IF($AL130=1,ReportDate-$L130,0))</f>
        <v/>
      </c>
      <c r="AE130" s="70" t="str">
        <f>IF($G130="","",IF($M130="Completed",1,IF(ISNUMBER($N130),$N130,0)))</f>
        <v/>
      </c>
      <c r="AF130" s="70" t="str">
        <f>IF(AND(ISNUMBER($Q130),ISNUMBER($R130)),IF($R130&lt;&gt;0,$Q130/$R130,""),"")</f>
        <v/>
      </c>
      <c r="AG130" s="71" t="str">
        <f>IF($G130="","",IF($AL130=1,"OVERDUE",IF($AM130=1,"BLOCKED",IF($AN130=1,"DUE TODAY",IF($AO130=1,"DUE TOMORROW",IF($AQ130=1,"HIGH PRIORITY",IF($AR130=1,"NO RECENT UPDATE",""))))))) </f>
        <v/>
      </c>
      <c r="AH130" s="71" t="str">
        <f>IF($G130="","",IF(ISNUMBER($A130),IF(ISNUMBER($A130),YEAR($A130)&amp;"-"&amp;TEXT(MONTH($A130),"00"),""),IF(ISNUMBER($L130),IF(ISNUMBER($L130),YEAR($L130)&amp;"-"&amp;TEXT(MONTH($L130),"00"),""),"")))</f>
        <v/>
      </c>
      <c r="AI130" s="71">
        <f>IF($G130="",0,IF(AND(OR(fClient="All",$C130=fClient),OR(fCampaign="All",$D130=fCampaign),OR(fTeam="All",$B130=fTeam),OR(fChannel="All",$F130=fChannel),OR(fMonth="All",$AH130=fMonth),OR(fTStatus="All",$M130=fTStatus)),1,0))</f>
        <v>0</v>
      </c>
      <c r="AJ130" s="71">
        <f>IF($G130="",0,IF(AND(OR(fClient="All",$C130=fClient),OR(fCampaign="All",$D130=fCampaign),OR(fTeam="All",$B130=fTeam),OR(fChannel="All",$F130=fChannel)),1,0))</f>
        <v>0</v>
      </c>
      <c r="AK130" s="71">
        <f>IF($G130="",0,IF(OR($M130="Completed",$M130="Cancelled"),0,1))</f>
        <v>0</v>
      </c>
      <c r="AL130" s="71">
        <f>IF(AND($AK130=1,ISNUMBER($L130)),IF($L130&lt;ReportDate,1,0),0)</f>
        <v>0</v>
      </c>
      <c r="AM130" s="71">
        <f>IF(AND($G130&lt;&gt;"",$M130="Blocked"),1,0)</f>
        <v>0</v>
      </c>
      <c r="AN130" s="71">
        <f>IF(AND($AK130=1,ISNUMBER($L130)),IF($L130=ReportDate,1,0),0)</f>
        <v>0</v>
      </c>
      <c r="AO130" s="71">
        <f>IF(AND($AK130=1,ISNUMBER($L130)),IF($L130=ReportDate+1,1,0),0)</f>
        <v>0</v>
      </c>
      <c r="AP130" s="71">
        <f>IF(AND($AK130=1,ISNUMBER($L130)),IF(AND($L130&gt;=ReportDate,$L130&lt;=ReportDate+DueSoonDays),1,0),0)</f>
        <v>0</v>
      </c>
      <c r="AQ130" s="71">
        <f>IF(AND($AK130=1,OR($I130="Critical",$I130="High")),1,0)</f>
        <v>0</v>
      </c>
      <c r="AR130" s="71">
        <f>IF($AK130=1,IF(ISNUMBER($Y130),IF(ReportDate-$Y130&gt;StaleDays,1,0),1),0)</f>
        <v>0</v>
      </c>
      <c r="AS130" s="71">
        <f>IF(AND($G130&lt;&gt;"",ISNUMBER($Q130),ISNUMBER($R130)),IF(AND($Q130&lt;$R130,OR($M130="Completed",AND(ISNUMBER($L130),$L130&lt;ReportDate))),1,0),0)</f>
        <v>0</v>
      </c>
      <c r="AT130" s="71">
        <f>IF($AK130=1,IF(OR($L130=ReportDate,$W130=ReportDate,$K130=ReportDate,$A130=ReportDate),1,0),0)</f>
        <v>0</v>
      </c>
      <c r="AU130" s="71">
        <f>IF($AK130=1,IF(OR($L130=ReportDate+1,$W130=ReportDate+1,$K130=ReportDate+1,$A130=ReportDate+1),1,0),0)</f>
        <v>0</v>
      </c>
      <c r="AV130" s="71">
        <f>IF(AND($G130&lt;&gt;"",$M130="Completed"),IF(OR($Y130=ReportDate-1,$A130=ReportDate-1),1,0),0)</f>
        <v>0</v>
      </c>
      <c r="AW130" s="71">
        <f>IF(AND($AK130=1,$Z130="Yes"),1,0)</f>
        <v>0</v>
      </c>
      <c r="AX130" s="71">
        <f>IF(AND($AK130=1,$AA130="Yes"),1,0)</f>
        <v>0</v>
      </c>
      <c r="AY130" s="71">
        <f>IF(AND($AM130=1,OR($I130="Critical",$I130="High")),1,0)</f>
        <v>0</v>
      </c>
      <c r="AZ130" s="71">
        <f>IF(AND($AK130=1,OR($C130=TCL_Client,$C130=MECCA_Client)),1,0)</f>
        <v>0</v>
      </c>
      <c r="BA130" s="71" t="str">
        <f>IF($G130="","",IFERROR(MATCH($I130,lst_Priority,0),5))</f>
        <v/>
      </c>
      <c r="BB130" s="71" t="str">
        <f>IF(AND($AL130=1,$AJ130=1),$BA130*100000+ROW(),"")</f>
        <v/>
      </c>
      <c r="BC130" s="71" t="str">
        <f>IF(AND($AM130=1,$AJ130=1),$BA130*100000+ROW(),"")</f>
        <v/>
      </c>
      <c r="BD130" s="71" t="str">
        <f>IF(AND($AP130=1,$AJ130=1),$BA130*100000+ROW(),"")</f>
        <v/>
      </c>
      <c r="BE130" s="71" t="str">
        <f>IF(AND($AT130=1,$AJ130=1),$BA130*100000+ROW(),"")</f>
        <v/>
      </c>
      <c r="BF130" s="71" t="str">
        <f>IF(AND($AU130=1,$AJ130=1),$BA130*100000+ROW(),"")</f>
        <v/>
      </c>
      <c r="BG130" s="71" t="str">
        <f>IF(AND($AV130=1,$AJ130=1),$BA130*100000+ROW(),"")</f>
        <v/>
      </c>
      <c r="BH130" s="71" t="str">
        <f>IF(AND($AW130=1,$AJ130=1),$BA130*100000+ROW(),"")</f>
        <v/>
      </c>
      <c r="BI130" s="71" t="str">
        <f>IF(AND($AX130=1,$AJ130=1),$BA130*100000+ROW(),"")</f>
        <v/>
      </c>
      <c r="BJ130" s="71" t="str">
        <f>IF(AND($AS130=1,$AJ130=1),$BA130*100000+ROW(),"")</f>
        <v/>
      </c>
      <c r="BK130" s="71" t="str">
        <f>IF(AND($AY130=1,$AJ130=1),$BA130*100000+ROW(),"")</f>
        <v/>
      </c>
      <c r="BL130" s="71" t="str">
        <f>IF(AND($AZ130=1),$BA130*100000+ROW(),"")</f>
        <v/>
      </c>
    </row>
    <row r="131">
      <c r="A131" s="63" t="n"/>
      <c r="B131" s="64" t="n"/>
      <c r="C131" s="64" t="n"/>
      <c r="D131" s="64" t="n"/>
      <c r="E131" s="64" t="n"/>
      <c r="F131" s="64" t="n"/>
      <c r="G131" s="65" t="n"/>
      <c r="H131" s="65" t="n"/>
      <c r="I131" s="64" t="n"/>
      <c r="J131" s="64" t="n"/>
      <c r="K131" s="63" t="n"/>
      <c r="L131" s="63" t="n"/>
      <c r="M131" s="64" t="n"/>
      <c r="N131" s="66" t="n"/>
      <c r="O131" s="65" t="n"/>
      <c r="P131" s="64" t="n"/>
      <c r="Q131" s="67" t="n"/>
      <c r="R131" s="67" t="n"/>
      <c r="S131" s="68" t="str">
        <f>IF(AND(ISNUMBER($Q131),ISNUMBER($R131)),$Q131-$R131,"")</f>
        <v/>
      </c>
      <c r="T131" s="65" t="n"/>
      <c r="U131" s="64" t="n"/>
      <c r="V131" s="65" t="n"/>
      <c r="W131" s="63" t="n"/>
      <c r="X131" s="65" t="n"/>
      <c r="Y131" s="63" t="n"/>
      <c r="Z131" s="64" t="n"/>
      <c r="AA131" s="64" t="n"/>
      <c r="AB131" s="65" t="n"/>
      <c r="AC131" s="69" t="str">
        <f>IF(OR($G131="",NOT(ISNUMBER($K131)),$AK131=0),"",MAX(0,ReportDate-$K131))</f>
        <v/>
      </c>
      <c r="AD131" s="69" t="str">
        <f>IF($G131="","",IF($AL131=1,ReportDate-$L131,0))</f>
        <v/>
      </c>
      <c r="AE131" s="70" t="str">
        <f>IF($G131="","",IF($M131="Completed",1,IF(ISNUMBER($N131),$N131,0)))</f>
        <v/>
      </c>
      <c r="AF131" s="70" t="str">
        <f>IF(AND(ISNUMBER($Q131),ISNUMBER($R131)),IF($R131&lt;&gt;0,$Q131/$R131,""),"")</f>
        <v/>
      </c>
      <c r="AG131" s="71" t="str">
        <f>IF($G131="","",IF($AL131=1,"OVERDUE",IF($AM131=1,"BLOCKED",IF($AN131=1,"DUE TODAY",IF($AO131=1,"DUE TOMORROW",IF($AQ131=1,"HIGH PRIORITY",IF($AR131=1,"NO RECENT UPDATE",""))))))) </f>
        <v/>
      </c>
      <c r="AH131" s="71" t="str">
        <f>IF($G131="","",IF(ISNUMBER($A131),IF(ISNUMBER($A131),YEAR($A131)&amp;"-"&amp;TEXT(MONTH($A131),"00"),""),IF(ISNUMBER($L131),IF(ISNUMBER($L131),YEAR($L131)&amp;"-"&amp;TEXT(MONTH($L131),"00"),""),"")))</f>
        <v/>
      </c>
      <c r="AI131" s="71">
        <f>IF($G131="",0,IF(AND(OR(fClient="All",$C131=fClient),OR(fCampaign="All",$D131=fCampaign),OR(fTeam="All",$B131=fTeam),OR(fChannel="All",$F131=fChannel),OR(fMonth="All",$AH131=fMonth),OR(fTStatus="All",$M131=fTStatus)),1,0))</f>
        <v>0</v>
      </c>
      <c r="AJ131" s="71">
        <f>IF($G131="",0,IF(AND(OR(fClient="All",$C131=fClient),OR(fCampaign="All",$D131=fCampaign),OR(fTeam="All",$B131=fTeam),OR(fChannel="All",$F131=fChannel)),1,0))</f>
        <v>0</v>
      </c>
      <c r="AK131" s="71">
        <f>IF($G131="",0,IF(OR($M131="Completed",$M131="Cancelled"),0,1))</f>
        <v>0</v>
      </c>
      <c r="AL131" s="71">
        <f>IF(AND($AK131=1,ISNUMBER($L131)),IF($L131&lt;ReportDate,1,0),0)</f>
        <v>0</v>
      </c>
      <c r="AM131" s="71">
        <f>IF(AND($G131&lt;&gt;"",$M131="Blocked"),1,0)</f>
        <v>0</v>
      </c>
      <c r="AN131" s="71">
        <f>IF(AND($AK131=1,ISNUMBER($L131)),IF($L131=ReportDate,1,0),0)</f>
        <v>0</v>
      </c>
      <c r="AO131" s="71">
        <f>IF(AND($AK131=1,ISNUMBER($L131)),IF($L131=ReportDate+1,1,0),0)</f>
        <v>0</v>
      </c>
      <c r="AP131" s="71">
        <f>IF(AND($AK131=1,ISNUMBER($L131)),IF(AND($L131&gt;=ReportDate,$L131&lt;=ReportDate+DueSoonDays),1,0),0)</f>
        <v>0</v>
      </c>
      <c r="AQ131" s="71">
        <f>IF(AND($AK131=1,OR($I131="Critical",$I131="High")),1,0)</f>
        <v>0</v>
      </c>
      <c r="AR131" s="71">
        <f>IF($AK131=1,IF(ISNUMBER($Y131),IF(ReportDate-$Y131&gt;StaleDays,1,0),1),0)</f>
        <v>0</v>
      </c>
      <c r="AS131" s="71">
        <f>IF(AND($G131&lt;&gt;"",ISNUMBER($Q131),ISNUMBER($R131)),IF(AND($Q131&lt;$R131,OR($M131="Completed",AND(ISNUMBER($L131),$L131&lt;ReportDate))),1,0),0)</f>
        <v>0</v>
      </c>
      <c r="AT131" s="71">
        <f>IF($AK131=1,IF(OR($L131=ReportDate,$W131=ReportDate,$K131=ReportDate,$A131=ReportDate),1,0),0)</f>
        <v>0</v>
      </c>
      <c r="AU131" s="71">
        <f>IF($AK131=1,IF(OR($L131=ReportDate+1,$W131=ReportDate+1,$K131=ReportDate+1,$A131=ReportDate+1),1,0),0)</f>
        <v>0</v>
      </c>
      <c r="AV131" s="71">
        <f>IF(AND($G131&lt;&gt;"",$M131="Completed"),IF(OR($Y131=ReportDate-1,$A131=ReportDate-1),1,0),0)</f>
        <v>0</v>
      </c>
      <c r="AW131" s="71">
        <f>IF(AND($AK131=1,$Z131="Yes"),1,0)</f>
        <v>0</v>
      </c>
      <c r="AX131" s="71">
        <f>IF(AND($AK131=1,$AA131="Yes"),1,0)</f>
        <v>0</v>
      </c>
      <c r="AY131" s="71">
        <f>IF(AND($AM131=1,OR($I131="Critical",$I131="High")),1,0)</f>
        <v>0</v>
      </c>
      <c r="AZ131" s="71">
        <f>IF(AND($AK131=1,OR($C131=TCL_Client,$C131=MECCA_Client)),1,0)</f>
        <v>0</v>
      </c>
      <c r="BA131" s="71" t="str">
        <f>IF($G131="","",IFERROR(MATCH($I131,lst_Priority,0),5))</f>
        <v/>
      </c>
      <c r="BB131" s="71" t="str">
        <f>IF(AND($AL131=1,$AJ131=1),$BA131*100000+ROW(),"")</f>
        <v/>
      </c>
      <c r="BC131" s="71" t="str">
        <f>IF(AND($AM131=1,$AJ131=1),$BA131*100000+ROW(),"")</f>
        <v/>
      </c>
      <c r="BD131" s="71" t="str">
        <f>IF(AND($AP131=1,$AJ131=1),$BA131*100000+ROW(),"")</f>
        <v/>
      </c>
      <c r="BE131" s="71" t="str">
        <f>IF(AND($AT131=1,$AJ131=1),$BA131*100000+ROW(),"")</f>
        <v/>
      </c>
      <c r="BF131" s="71" t="str">
        <f>IF(AND($AU131=1,$AJ131=1),$BA131*100000+ROW(),"")</f>
        <v/>
      </c>
      <c r="BG131" s="71" t="str">
        <f>IF(AND($AV131=1,$AJ131=1),$BA131*100000+ROW(),"")</f>
        <v/>
      </c>
      <c r="BH131" s="71" t="str">
        <f>IF(AND($AW131=1,$AJ131=1),$BA131*100000+ROW(),"")</f>
        <v/>
      </c>
      <c r="BI131" s="71" t="str">
        <f>IF(AND($AX131=1,$AJ131=1),$BA131*100000+ROW(),"")</f>
        <v/>
      </c>
      <c r="BJ131" s="71" t="str">
        <f>IF(AND($AS131=1,$AJ131=1),$BA131*100000+ROW(),"")</f>
        <v/>
      </c>
      <c r="BK131" s="71" t="str">
        <f>IF(AND($AY131=1,$AJ131=1),$BA131*100000+ROW(),"")</f>
        <v/>
      </c>
      <c r="BL131" s="71" t="str">
        <f>IF(AND($AZ131=1),$BA131*100000+ROW(),"")</f>
        <v/>
      </c>
    </row>
    <row r="132">
      <c r="A132" s="63" t="n"/>
      <c r="B132" s="64" t="n"/>
      <c r="C132" s="64" t="n"/>
      <c r="D132" s="64" t="n"/>
      <c r="E132" s="64" t="n"/>
      <c r="F132" s="64" t="n"/>
      <c r="G132" s="65" t="n"/>
      <c r="H132" s="65" t="n"/>
      <c r="I132" s="64" t="n"/>
      <c r="J132" s="64" t="n"/>
      <c r="K132" s="63" t="n"/>
      <c r="L132" s="63" t="n"/>
      <c r="M132" s="64" t="n"/>
      <c r="N132" s="66" t="n"/>
      <c r="O132" s="65" t="n"/>
      <c r="P132" s="64" t="n"/>
      <c r="Q132" s="67" t="n"/>
      <c r="R132" s="67" t="n"/>
      <c r="S132" s="68" t="str">
        <f>IF(AND(ISNUMBER($Q132),ISNUMBER($R132)),$Q132-$R132,"")</f>
        <v/>
      </c>
      <c r="T132" s="65" t="n"/>
      <c r="U132" s="64" t="n"/>
      <c r="V132" s="65" t="n"/>
      <c r="W132" s="63" t="n"/>
      <c r="X132" s="65" t="n"/>
      <c r="Y132" s="63" t="n"/>
      <c r="Z132" s="64" t="n"/>
      <c r="AA132" s="64" t="n"/>
      <c r="AB132" s="65" t="n"/>
      <c r="AC132" s="69" t="str">
        <f>IF(OR($G132="",NOT(ISNUMBER($K132)),$AK132=0),"",MAX(0,ReportDate-$K132))</f>
        <v/>
      </c>
      <c r="AD132" s="69" t="str">
        <f>IF($G132="","",IF($AL132=1,ReportDate-$L132,0))</f>
        <v/>
      </c>
      <c r="AE132" s="70" t="str">
        <f>IF($G132="","",IF($M132="Completed",1,IF(ISNUMBER($N132),$N132,0)))</f>
        <v/>
      </c>
      <c r="AF132" s="70" t="str">
        <f>IF(AND(ISNUMBER($Q132),ISNUMBER($R132)),IF($R132&lt;&gt;0,$Q132/$R132,""),"")</f>
        <v/>
      </c>
      <c r="AG132" s="71" t="str">
        <f>IF($G132="","",IF($AL132=1,"OVERDUE",IF($AM132=1,"BLOCKED",IF($AN132=1,"DUE TODAY",IF($AO132=1,"DUE TOMORROW",IF($AQ132=1,"HIGH PRIORITY",IF($AR132=1,"NO RECENT UPDATE",""))))))) </f>
        <v/>
      </c>
      <c r="AH132" s="71" t="str">
        <f>IF($G132="","",IF(ISNUMBER($A132),IF(ISNUMBER($A132),YEAR($A132)&amp;"-"&amp;TEXT(MONTH($A132),"00"),""),IF(ISNUMBER($L132),IF(ISNUMBER($L132),YEAR($L132)&amp;"-"&amp;TEXT(MONTH($L132),"00"),""),"")))</f>
        <v/>
      </c>
      <c r="AI132" s="71">
        <f>IF($G132="",0,IF(AND(OR(fClient="All",$C132=fClient),OR(fCampaign="All",$D132=fCampaign),OR(fTeam="All",$B132=fTeam),OR(fChannel="All",$F132=fChannel),OR(fMonth="All",$AH132=fMonth),OR(fTStatus="All",$M132=fTStatus)),1,0))</f>
        <v>0</v>
      </c>
      <c r="AJ132" s="71">
        <f>IF($G132="",0,IF(AND(OR(fClient="All",$C132=fClient),OR(fCampaign="All",$D132=fCampaign),OR(fTeam="All",$B132=fTeam),OR(fChannel="All",$F132=fChannel)),1,0))</f>
        <v>0</v>
      </c>
      <c r="AK132" s="71">
        <f>IF($G132="",0,IF(OR($M132="Completed",$M132="Cancelled"),0,1))</f>
        <v>0</v>
      </c>
      <c r="AL132" s="71">
        <f>IF(AND($AK132=1,ISNUMBER($L132)),IF($L132&lt;ReportDate,1,0),0)</f>
        <v>0</v>
      </c>
      <c r="AM132" s="71">
        <f>IF(AND($G132&lt;&gt;"",$M132="Blocked"),1,0)</f>
        <v>0</v>
      </c>
      <c r="AN132" s="71">
        <f>IF(AND($AK132=1,ISNUMBER($L132)),IF($L132=ReportDate,1,0),0)</f>
        <v>0</v>
      </c>
      <c r="AO132" s="71">
        <f>IF(AND($AK132=1,ISNUMBER($L132)),IF($L132=ReportDate+1,1,0),0)</f>
        <v>0</v>
      </c>
      <c r="AP132" s="71">
        <f>IF(AND($AK132=1,ISNUMBER($L132)),IF(AND($L132&gt;=ReportDate,$L132&lt;=ReportDate+DueSoonDays),1,0),0)</f>
        <v>0</v>
      </c>
      <c r="AQ132" s="71">
        <f>IF(AND($AK132=1,OR($I132="Critical",$I132="High")),1,0)</f>
        <v>0</v>
      </c>
      <c r="AR132" s="71">
        <f>IF($AK132=1,IF(ISNUMBER($Y132),IF(ReportDate-$Y132&gt;StaleDays,1,0),1),0)</f>
        <v>0</v>
      </c>
      <c r="AS132" s="71">
        <f>IF(AND($G132&lt;&gt;"",ISNUMBER($Q132),ISNUMBER($R132)),IF(AND($Q132&lt;$R132,OR($M132="Completed",AND(ISNUMBER($L132),$L132&lt;ReportDate))),1,0),0)</f>
        <v>0</v>
      </c>
      <c r="AT132" s="71">
        <f>IF($AK132=1,IF(OR($L132=ReportDate,$W132=ReportDate,$K132=ReportDate,$A132=ReportDate),1,0),0)</f>
        <v>0</v>
      </c>
      <c r="AU132" s="71">
        <f>IF($AK132=1,IF(OR($L132=ReportDate+1,$W132=ReportDate+1,$K132=ReportDate+1,$A132=ReportDate+1),1,0),0)</f>
        <v>0</v>
      </c>
      <c r="AV132" s="71">
        <f>IF(AND($G132&lt;&gt;"",$M132="Completed"),IF(OR($Y132=ReportDate-1,$A132=ReportDate-1),1,0),0)</f>
        <v>0</v>
      </c>
      <c r="AW132" s="71">
        <f>IF(AND($AK132=1,$Z132="Yes"),1,0)</f>
        <v>0</v>
      </c>
      <c r="AX132" s="71">
        <f>IF(AND($AK132=1,$AA132="Yes"),1,0)</f>
        <v>0</v>
      </c>
      <c r="AY132" s="71">
        <f>IF(AND($AM132=1,OR($I132="Critical",$I132="High")),1,0)</f>
        <v>0</v>
      </c>
      <c r="AZ132" s="71">
        <f>IF(AND($AK132=1,OR($C132=TCL_Client,$C132=MECCA_Client)),1,0)</f>
        <v>0</v>
      </c>
      <c r="BA132" s="71" t="str">
        <f>IF($G132="","",IFERROR(MATCH($I132,lst_Priority,0),5))</f>
        <v/>
      </c>
      <c r="BB132" s="71" t="str">
        <f>IF(AND($AL132=1,$AJ132=1),$BA132*100000+ROW(),"")</f>
        <v/>
      </c>
      <c r="BC132" s="71" t="str">
        <f>IF(AND($AM132=1,$AJ132=1),$BA132*100000+ROW(),"")</f>
        <v/>
      </c>
      <c r="BD132" s="71" t="str">
        <f>IF(AND($AP132=1,$AJ132=1),$BA132*100000+ROW(),"")</f>
        <v/>
      </c>
      <c r="BE132" s="71" t="str">
        <f>IF(AND($AT132=1,$AJ132=1),$BA132*100000+ROW(),"")</f>
        <v/>
      </c>
      <c r="BF132" s="71" t="str">
        <f>IF(AND($AU132=1,$AJ132=1),$BA132*100000+ROW(),"")</f>
        <v/>
      </c>
      <c r="BG132" s="71" t="str">
        <f>IF(AND($AV132=1,$AJ132=1),$BA132*100000+ROW(),"")</f>
        <v/>
      </c>
      <c r="BH132" s="71" t="str">
        <f>IF(AND($AW132=1,$AJ132=1),$BA132*100000+ROW(),"")</f>
        <v/>
      </c>
      <c r="BI132" s="71" t="str">
        <f>IF(AND($AX132=1,$AJ132=1),$BA132*100000+ROW(),"")</f>
        <v/>
      </c>
      <c r="BJ132" s="71" t="str">
        <f>IF(AND($AS132=1,$AJ132=1),$BA132*100000+ROW(),"")</f>
        <v/>
      </c>
      <c r="BK132" s="71" t="str">
        <f>IF(AND($AY132=1,$AJ132=1),$BA132*100000+ROW(),"")</f>
        <v/>
      </c>
      <c r="BL132" s="71" t="str">
        <f>IF(AND($AZ132=1),$BA132*100000+ROW(),"")</f>
        <v/>
      </c>
    </row>
    <row r="133">
      <c r="A133" s="63" t="n"/>
      <c r="B133" s="64" t="n"/>
      <c r="C133" s="64" t="n"/>
      <c r="D133" s="64" t="n"/>
      <c r="E133" s="64" t="n"/>
      <c r="F133" s="64" t="n"/>
      <c r="G133" s="65" t="n"/>
      <c r="H133" s="65" t="n"/>
      <c r="I133" s="64" t="n"/>
      <c r="J133" s="64" t="n"/>
      <c r="K133" s="63" t="n"/>
      <c r="L133" s="63" t="n"/>
      <c r="M133" s="64" t="n"/>
      <c r="N133" s="66" t="n"/>
      <c r="O133" s="65" t="n"/>
      <c r="P133" s="64" t="n"/>
      <c r="Q133" s="67" t="n"/>
      <c r="R133" s="67" t="n"/>
      <c r="S133" s="68" t="str">
        <f>IF(AND(ISNUMBER($Q133),ISNUMBER($R133)),$Q133-$R133,"")</f>
        <v/>
      </c>
      <c r="T133" s="65" t="n"/>
      <c r="U133" s="64" t="n"/>
      <c r="V133" s="65" t="n"/>
      <c r="W133" s="63" t="n"/>
      <c r="X133" s="65" t="n"/>
      <c r="Y133" s="63" t="n"/>
      <c r="Z133" s="64" t="n"/>
      <c r="AA133" s="64" t="n"/>
      <c r="AB133" s="65" t="n"/>
      <c r="AC133" s="69" t="str">
        <f>IF(OR($G133="",NOT(ISNUMBER($K133)),$AK133=0),"",MAX(0,ReportDate-$K133))</f>
        <v/>
      </c>
      <c r="AD133" s="69" t="str">
        <f>IF($G133="","",IF($AL133=1,ReportDate-$L133,0))</f>
        <v/>
      </c>
      <c r="AE133" s="70" t="str">
        <f>IF($G133="","",IF($M133="Completed",1,IF(ISNUMBER($N133),$N133,0)))</f>
        <v/>
      </c>
      <c r="AF133" s="70" t="str">
        <f>IF(AND(ISNUMBER($Q133),ISNUMBER($R133)),IF($R133&lt;&gt;0,$Q133/$R133,""),"")</f>
        <v/>
      </c>
      <c r="AG133" s="71" t="str">
        <f>IF($G133="","",IF($AL133=1,"OVERDUE",IF($AM133=1,"BLOCKED",IF($AN133=1,"DUE TODAY",IF($AO133=1,"DUE TOMORROW",IF($AQ133=1,"HIGH PRIORITY",IF($AR133=1,"NO RECENT UPDATE",""))))))) </f>
        <v/>
      </c>
      <c r="AH133" s="71" t="str">
        <f>IF($G133="","",IF(ISNUMBER($A133),IF(ISNUMBER($A133),YEAR($A133)&amp;"-"&amp;TEXT(MONTH($A133),"00"),""),IF(ISNUMBER($L133),IF(ISNUMBER($L133),YEAR($L133)&amp;"-"&amp;TEXT(MONTH($L133),"00"),""),"")))</f>
        <v/>
      </c>
      <c r="AI133" s="71">
        <f>IF($G133="",0,IF(AND(OR(fClient="All",$C133=fClient),OR(fCampaign="All",$D133=fCampaign),OR(fTeam="All",$B133=fTeam),OR(fChannel="All",$F133=fChannel),OR(fMonth="All",$AH133=fMonth),OR(fTStatus="All",$M133=fTStatus)),1,0))</f>
        <v>0</v>
      </c>
      <c r="AJ133" s="71">
        <f>IF($G133="",0,IF(AND(OR(fClient="All",$C133=fClient),OR(fCampaign="All",$D133=fCampaign),OR(fTeam="All",$B133=fTeam),OR(fChannel="All",$F133=fChannel)),1,0))</f>
        <v>0</v>
      </c>
      <c r="AK133" s="71">
        <f>IF($G133="",0,IF(OR($M133="Completed",$M133="Cancelled"),0,1))</f>
        <v>0</v>
      </c>
      <c r="AL133" s="71">
        <f>IF(AND($AK133=1,ISNUMBER($L133)),IF($L133&lt;ReportDate,1,0),0)</f>
        <v>0</v>
      </c>
      <c r="AM133" s="71">
        <f>IF(AND($G133&lt;&gt;"",$M133="Blocked"),1,0)</f>
        <v>0</v>
      </c>
      <c r="AN133" s="71">
        <f>IF(AND($AK133=1,ISNUMBER($L133)),IF($L133=ReportDate,1,0),0)</f>
        <v>0</v>
      </c>
      <c r="AO133" s="71">
        <f>IF(AND($AK133=1,ISNUMBER($L133)),IF($L133=ReportDate+1,1,0),0)</f>
        <v>0</v>
      </c>
      <c r="AP133" s="71">
        <f>IF(AND($AK133=1,ISNUMBER($L133)),IF(AND($L133&gt;=ReportDate,$L133&lt;=ReportDate+DueSoonDays),1,0),0)</f>
        <v>0</v>
      </c>
      <c r="AQ133" s="71">
        <f>IF(AND($AK133=1,OR($I133="Critical",$I133="High")),1,0)</f>
        <v>0</v>
      </c>
      <c r="AR133" s="71">
        <f>IF($AK133=1,IF(ISNUMBER($Y133),IF(ReportDate-$Y133&gt;StaleDays,1,0),1),0)</f>
        <v>0</v>
      </c>
      <c r="AS133" s="71">
        <f>IF(AND($G133&lt;&gt;"",ISNUMBER($Q133),ISNUMBER($R133)),IF(AND($Q133&lt;$R133,OR($M133="Completed",AND(ISNUMBER($L133),$L133&lt;ReportDate))),1,0),0)</f>
        <v>0</v>
      </c>
      <c r="AT133" s="71">
        <f>IF($AK133=1,IF(OR($L133=ReportDate,$W133=ReportDate,$K133=ReportDate,$A133=ReportDate),1,0),0)</f>
        <v>0</v>
      </c>
      <c r="AU133" s="71">
        <f>IF($AK133=1,IF(OR($L133=ReportDate+1,$W133=ReportDate+1,$K133=ReportDate+1,$A133=ReportDate+1),1,0),0)</f>
        <v>0</v>
      </c>
      <c r="AV133" s="71">
        <f>IF(AND($G133&lt;&gt;"",$M133="Completed"),IF(OR($Y133=ReportDate-1,$A133=ReportDate-1),1,0),0)</f>
        <v>0</v>
      </c>
      <c r="AW133" s="71">
        <f>IF(AND($AK133=1,$Z133="Yes"),1,0)</f>
        <v>0</v>
      </c>
      <c r="AX133" s="71">
        <f>IF(AND($AK133=1,$AA133="Yes"),1,0)</f>
        <v>0</v>
      </c>
      <c r="AY133" s="71">
        <f>IF(AND($AM133=1,OR($I133="Critical",$I133="High")),1,0)</f>
        <v>0</v>
      </c>
      <c r="AZ133" s="71">
        <f>IF(AND($AK133=1,OR($C133=TCL_Client,$C133=MECCA_Client)),1,0)</f>
        <v>0</v>
      </c>
      <c r="BA133" s="71" t="str">
        <f>IF($G133="","",IFERROR(MATCH($I133,lst_Priority,0),5))</f>
        <v/>
      </c>
      <c r="BB133" s="71" t="str">
        <f>IF(AND($AL133=1,$AJ133=1),$BA133*100000+ROW(),"")</f>
        <v/>
      </c>
      <c r="BC133" s="71" t="str">
        <f>IF(AND($AM133=1,$AJ133=1),$BA133*100000+ROW(),"")</f>
        <v/>
      </c>
      <c r="BD133" s="71" t="str">
        <f>IF(AND($AP133=1,$AJ133=1),$BA133*100000+ROW(),"")</f>
        <v/>
      </c>
      <c r="BE133" s="71" t="str">
        <f>IF(AND($AT133=1,$AJ133=1),$BA133*100000+ROW(),"")</f>
        <v/>
      </c>
      <c r="BF133" s="71" t="str">
        <f>IF(AND($AU133=1,$AJ133=1),$BA133*100000+ROW(),"")</f>
        <v/>
      </c>
      <c r="BG133" s="71" t="str">
        <f>IF(AND($AV133=1,$AJ133=1),$BA133*100000+ROW(),"")</f>
        <v/>
      </c>
      <c r="BH133" s="71" t="str">
        <f>IF(AND($AW133=1,$AJ133=1),$BA133*100000+ROW(),"")</f>
        <v/>
      </c>
      <c r="BI133" s="71" t="str">
        <f>IF(AND($AX133=1,$AJ133=1),$BA133*100000+ROW(),"")</f>
        <v/>
      </c>
      <c r="BJ133" s="71" t="str">
        <f>IF(AND($AS133=1,$AJ133=1),$BA133*100000+ROW(),"")</f>
        <v/>
      </c>
      <c r="BK133" s="71" t="str">
        <f>IF(AND($AY133=1,$AJ133=1),$BA133*100000+ROW(),"")</f>
        <v/>
      </c>
      <c r="BL133" s="71" t="str">
        <f>IF(AND($AZ133=1),$BA133*100000+ROW(),"")</f>
        <v/>
      </c>
    </row>
    <row r="134">
      <c r="A134" s="63" t="n"/>
      <c r="B134" s="64" t="n"/>
      <c r="C134" s="64" t="n"/>
      <c r="D134" s="64" t="n"/>
      <c r="E134" s="64" t="n"/>
      <c r="F134" s="64" t="n"/>
      <c r="G134" s="65" t="n"/>
      <c r="H134" s="65" t="n"/>
      <c r="I134" s="64" t="n"/>
      <c r="J134" s="64" t="n"/>
      <c r="K134" s="63" t="n"/>
      <c r="L134" s="63" t="n"/>
      <c r="M134" s="64" t="n"/>
      <c r="N134" s="66" t="n"/>
      <c r="O134" s="65" t="n"/>
      <c r="P134" s="64" t="n"/>
      <c r="Q134" s="67" t="n"/>
      <c r="R134" s="67" t="n"/>
      <c r="S134" s="68" t="str">
        <f>IF(AND(ISNUMBER($Q134),ISNUMBER($R134)),$Q134-$R134,"")</f>
        <v/>
      </c>
      <c r="T134" s="65" t="n"/>
      <c r="U134" s="64" t="n"/>
      <c r="V134" s="65" t="n"/>
      <c r="W134" s="63" t="n"/>
      <c r="X134" s="65" t="n"/>
      <c r="Y134" s="63" t="n"/>
      <c r="Z134" s="64" t="n"/>
      <c r="AA134" s="64" t="n"/>
      <c r="AB134" s="65" t="n"/>
      <c r="AC134" s="69" t="str">
        <f>IF(OR($G134="",NOT(ISNUMBER($K134)),$AK134=0),"",MAX(0,ReportDate-$K134))</f>
        <v/>
      </c>
      <c r="AD134" s="69" t="str">
        <f>IF($G134="","",IF($AL134=1,ReportDate-$L134,0))</f>
        <v/>
      </c>
      <c r="AE134" s="70" t="str">
        <f>IF($G134="","",IF($M134="Completed",1,IF(ISNUMBER($N134),$N134,0)))</f>
        <v/>
      </c>
      <c r="AF134" s="70" t="str">
        <f>IF(AND(ISNUMBER($Q134),ISNUMBER($R134)),IF($R134&lt;&gt;0,$Q134/$R134,""),"")</f>
        <v/>
      </c>
      <c r="AG134" s="71" t="str">
        <f>IF($G134="","",IF($AL134=1,"OVERDUE",IF($AM134=1,"BLOCKED",IF($AN134=1,"DUE TODAY",IF($AO134=1,"DUE TOMORROW",IF($AQ134=1,"HIGH PRIORITY",IF($AR134=1,"NO RECENT UPDATE",""))))))) </f>
        <v/>
      </c>
      <c r="AH134" s="71" t="str">
        <f>IF($G134="","",IF(ISNUMBER($A134),IF(ISNUMBER($A134),YEAR($A134)&amp;"-"&amp;TEXT(MONTH($A134),"00"),""),IF(ISNUMBER($L134),IF(ISNUMBER($L134),YEAR($L134)&amp;"-"&amp;TEXT(MONTH($L134),"00"),""),"")))</f>
        <v/>
      </c>
      <c r="AI134" s="71">
        <f>IF($G134="",0,IF(AND(OR(fClient="All",$C134=fClient),OR(fCampaign="All",$D134=fCampaign),OR(fTeam="All",$B134=fTeam),OR(fChannel="All",$F134=fChannel),OR(fMonth="All",$AH134=fMonth),OR(fTStatus="All",$M134=fTStatus)),1,0))</f>
        <v>0</v>
      </c>
      <c r="AJ134" s="71">
        <f>IF($G134="",0,IF(AND(OR(fClient="All",$C134=fClient),OR(fCampaign="All",$D134=fCampaign),OR(fTeam="All",$B134=fTeam),OR(fChannel="All",$F134=fChannel)),1,0))</f>
        <v>0</v>
      </c>
      <c r="AK134" s="71">
        <f>IF($G134="",0,IF(OR($M134="Completed",$M134="Cancelled"),0,1))</f>
        <v>0</v>
      </c>
      <c r="AL134" s="71">
        <f>IF(AND($AK134=1,ISNUMBER($L134)),IF($L134&lt;ReportDate,1,0),0)</f>
        <v>0</v>
      </c>
      <c r="AM134" s="71">
        <f>IF(AND($G134&lt;&gt;"",$M134="Blocked"),1,0)</f>
        <v>0</v>
      </c>
      <c r="AN134" s="71">
        <f>IF(AND($AK134=1,ISNUMBER($L134)),IF($L134=ReportDate,1,0),0)</f>
        <v>0</v>
      </c>
      <c r="AO134" s="71">
        <f>IF(AND($AK134=1,ISNUMBER($L134)),IF($L134=ReportDate+1,1,0),0)</f>
        <v>0</v>
      </c>
      <c r="AP134" s="71">
        <f>IF(AND($AK134=1,ISNUMBER($L134)),IF(AND($L134&gt;=ReportDate,$L134&lt;=ReportDate+DueSoonDays),1,0),0)</f>
        <v>0</v>
      </c>
      <c r="AQ134" s="71">
        <f>IF(AND($AK134=1,OR($I134="Critical",$I134="High")),1,0)</f>
        <v>0</v>
      </c>
      <c r="AR134" s="71">
        <f>IF($AK134=1,IF(ISNUMBER($Y134),IF(ReportDate-$Y134&gt;StaleDays,1,0),1),0)</f>
        <v>0</v>
      </c>
      <c r="AS134" s="71">
        <f>IF(AND($G134&lt;&gt;"",ISNUMBER($Q134),ISNUMBER($R134)),IF(AND($Q134&lt;$R134,OR($M134="Completed",AND(ISNUMBER($L134),$L134&lt;ReportDate))),1,0),0)</f>
        <v>0</v>
      </c>
      <c r="AT134" s="71">
        <f>IF($AK134=1,IF(OR($L134=ReportDate,$W134=ReportDate,$K134=ReportDate,$A134=ReportDate),1,0),0)</f>
        <v>0</v>
      </c>
      <c r="AU134" s="71">
        <f>IF($AK134=1,IF(OR($L134=ReportDate+1,$W134=ReportDate+1,$K134=ReportDate+1,$A134=ReportDate+1),1,0),0)</f>
        <v>0</v>
      </c>
      <c r="AV134" s="71">
        <f>IF(AND($G134&lt;&gt;"",$M134="Completed"),IF(OR($Y134=ReportDate-1,$A134=ReportDate-1),1,0),0)</f>
        <v>0</v>
      </c>
      <c r="AW134" s="71">
        <f>IF(AND($AK134=1,$Z134="Yes"),1,0)</f>
        <v>0</v>
      </c>
      <c r="AX134" s="71">
        <f>IF(AND($AK134=1,$AA134="Yes"),1,0)</f>
        <v>0</v>
      </c>
      <c r="AY134" s="71">
        <f>IF(AND($AM134=1,OR($I134="Critical",$I134="High")),1,0)</f>
        <v>0</v>
      </c>
      <c r="AZ134" s="71">
        <f>IF(AND($AK134=1,OR($C134=TCL_Client,$C134=MECCA_Client)),1,0)</f>
        <v>0</v>
      </c>
      <c r="BA134" s="71" t="str">
        <f>IF($G134="","",IFERROR(MATCH($I134,lst_Priority,0),5))</f>
        <v/>
      </c>
      <c r="BB134" s="71" t="str">
        <f>IF(AND($AL134=1,$AJ134=1),$BA134*100000+ROW(),"")</f>
        <v/>
      </c>
      <c r="BC134" s="71" t="str">
        <f>IF(AND($AM134=1,$AJ134=1),$BA134*100000+ROW(),"")</f>
        <v/>
      </c>
      <c r="BD134" s="71" t="str">
        <f>IF(AND($AP134=1,$AJ134=1),$BA134*100000+ROW(),"")</f>
        <v/>
      </c>
      <c r="BE134" s="71" t="str">
        <f>IF(AND($AT134=1,$AJ134=1),$BA134*100000+ROW(),"")</f>
        <v/>
      </c>
      <c r="BF134" s="71" t="str">
        <f>IF(AND($AU134=1,$AJ134=1),$BA134*100000+ROW(),"")</f>
        <v/>
      </c>
      <c r="BG134" s="71" t="str">
        <f>IF(AND($AV134=1,$AJ134=1),$BA134*100000+ROW(),"")</f>
        <v/>
      </c>
      <c r="BH134" s="71" t="str">
        <f>IF(AND($AW134=1,$AJ134=1),$BA134*100000+ROW(),"")</f>
        <v/>
      </c>
      <c r="BI134" s="71" t="str">
        <f>IF(AND($AX134=1,$AJ134=1),$BA134*100000+ROW(),"")</f>
        <v/>
      </c>
      <c r="BJ134" s="71" t="str">
        <f>IF(AND($AS134=1,$AJ134=1),$BA134*100000+ROW(),"")</f>
        <v/>
      </c>
      <c r="BK134" s="71" t="str">
        <f>IF(AND($AY134=1,$AJ134=1),$BA134*100000+ROW(),"")</f>
        <v/>
      </c>
      <c r="BL134" s="71" t="str">
        <f>IF(AND($AZ134=1),$BA134*100000+ROW(),"")</f>
        <v/>
      </c>
    </row>
    <row r="135">
      <c r="A135" s="63" t="n"/>
      <c r="B135" s="64" t="n"/>
      <c r="C135" s="64" t="n"/>
      <c r="D135" s="64" t="n"/>
      <c r="E135" s="64" t="n"/>
      <c r="F135" s="64" t="n"/>
      <c r="G135" s="65" t="n"/>
      <c r="H135" s="65" t="n"/>
      <c r="I135" s="64" t="n"/>
      <c r="J135" s="64" t="n"/>
      <c r="K135" s="63" t="n"/>
      <c r="L135" s="63" t="n"/>
      <c r="M135" s="64" t="n"/>
      <c r="N135" s="66" t="n"/>
      <c r="O135" s="65" t="n"/>
      <c r="P135" s="64" t="n"/>
      <c r="Q135" s="67" t="n"/>
      <c r="R135" s="67" t="n"/>
      <c r="S135" s="68" t="str">
        <f>IF(AND(ISNUMBER($Q135),ISNUMBER($R135)),$Q135-$R135,"")</f>
        <v/>
      </c>
      <c r="T135" s="65" t="n"/>
      <c r="U135" s="64" t="n"/>
      <c r="V135" s="65" t="n"/>
      <c r="W135" s="63" t="n"/>
      <c r="X135" s="65" t="n"/>
      <c r="Y135" s="63" t="n"/>
      <c r="Z135" s="64" t="n"/>
      <c r="AA135" s="64" t="n"/>
      <c r="AB135" s="65" t="n"/>
      <c r="AC135" s="69" t="str">
        <f>IF(OR($G135="",NOT(ISNUMBER($K135)),$AK135=0),"",MAX(0,ReportDate-$K135))</f>
        <v/>
      </c>
      <c r="AD135" s="69" t="str">
        <f>IF($G135="","",IF($AL135=1,ReportDate-$L135,0))</f>
        <v/>
      </c>
      <c r="AE135" s="70" t="str">
        <f>IF($G135="","",IF($M135="Completed",1,IF(ISNUMBER($N135),$N135,0)))</f>
        <v/>
      </c>
      <c r="AF135" s="70" t="str">
        <f>IF(AND(ISNUMBER($Q135),ISNUMBER($R135)),IF($R135&lt;&gt;0,$Q135/$R135,""),"")</f>
        <v/>
      </c>
      <c r="AG135" s="71" t="str">
        <f>IF($G135="","",IF($AL135=1,"OVERDUE",IF($AM135=1,"BLOCKED",IF($AN135=1,"DUE TODAY",IF($AO135=1,"DUE TOMORROW",IF($AQ135=1,"HIGH PRIORITY",IF($AR135=1,"NO RECENT UPDATE",""))))))) </f>
        <v/>
      </c>
      <c r="AH135" s="71" t="str">
        <f>IF($G135="","",IF(ISNUMBER($A135),IF(ISNUMBER($A135),YEAR($A135)&amp;"-"&amp;TEXT(MONTH($A135),"00"),""),IF(ISNUMBER($L135),IF(ISNUMBER($L135),YEAR($L135)&amp;"-"&amp;TEXT(MONTH($L135),"00"),""),"")))</f>
        <v/>
      </c>
      <c r="AI135" s="71">
        <f>IF($G135="",0,IF(AND(OR(fClient="All",$C135=fClient),OR(fCampaign="All",$D135=fCampaign),OR(fTeam="All",$B135=fTeam),OR(fChannel="All",$F135=fChannel),OR(fMonth="All",$AH135=fMonth),OR(fTStatus="All",$M135=fTStatus)),1,0))</f>
        <v>0</v>
      </c>
      <c r="AJ135" s="71">
        <f>IF($G135="",0,IF(AND(OR(fClient="All",$C135=fClient),OR(fCampaign="All",$D135=fCampaign),OR(fTeam="All",$B135=fTeam),OR(fChannel="All",$F135=fChannel)),1,0))</f>
        <v>0</v>
      </c>
      <c r="AK135" s="71">
        <f>IF($G135="",0,IF(OR($M135="Completed",$M135="Cancelled"),0,1))</f>
        <v>0</v>
      </c>
      <c r="AL135" s="71">
        <f>IF(AND($AK135=1,ISNUMBER($L135)),IF($L135&lt;ReportDate,1,0),0)</f>
        <v>0</v>
      </c>
      <c r="AM135" s="71">
        <f>IF(AND($G135&lt;&gt;"",$M135="Blocked"),1,0)</f>
        <v>0</v>
      </c>
      <c r="AN135" s="71">
        <f>IF(AND($AK135=1,ISNUMBER($L135)),IF($L135=ReportDate,1,0),0)</f>
        <v>0</v>
      </c>
      <c r="AO135" s="71">
        <f>IF(AND($AK135=1,ISNUMBER($L135)),IF($L135=ReportDate+1,1,0),0)</f>
        <v>0</v>
      </c>
      <c r="AP135" s="71">
        <f>IF(AND($AK135=1,ISNUMBER($L135)),IF(AND($L135&gt;=ReportDate,$L135&lt;=ReportDate+DueSoonDays),1,0),0)</f>
        <v>0</v>
      </c>
      <c r="AQ135" s="71">
        <f>IF(AND($AK135=1,OR($I135="Critical",$I135="High")),1,0)</f>
        <v>0</v>
      </c>
      <c r="AR135" s="71">
        <f>IF($AK135=1,IF(ISNUMBER($Y135),IF(ReportDate-$Y135&gt;StaleDays,1,0),1),0)</f>
        <v>0</v>
      </c>
      <c r="AS135" s="71">
        <f>IF(AND($G135&lt;&gt;"",ISNUMBER($Q135),ISNUMBER($R135)),IF(AND($Q135&lt;$R135,OR($M135="Completed",AND(ISNUMBER($L135),$L135&lt;ReportDate))),1,0),0)</f>
        <v>0</v>
      </c>
      <c r="AT135" s="71">
        <f>IF($AK135=1,IF(OR($L135=ReportDate,$W135=ReportDate,$K135=ReportDate,$A135=ReportDate),1,0),0)</f>
        <v>0</v>
      </c>
      <c r="AU135" s="71">
        <f>IF($AK135=1,IF(OR($L135=ReportDate+1,$W135=ReportDate+1,$K135=ReportDate+1,$A135=ReportDate+1),1,0),0)</f>
        <v>0</v>
      </c>
      <c r="AV135" s="71">
        <f>IF(AND($G135&lt;&gt;"",$M135="Completed"),IF(OR($Y135=ReportDate-1,$A135=ReportDate-1),1,0),0)</f>
        <v>0</v>
      </c>
      <c r="AW135" s="71">
        <f>IF(AND($AK135=1,$Z135="Yes"),1,0)</f>
        <v>0</v>
      </c>
      <c r="AX135" s="71">
        <f>IF(AND($AK135=1,$AA135="Yes"),1,0)</f>
        <v>0</v>
      </c>
      <c r="AY135" s="71">
        <f>IF(AND($AM135=1,OR($I135="Critical",$I135="High")),1,0)</f>
        <v>0</v>
      </c>
      <c r="AZ135" s="71">
        <f>IF(AND($AK135=1,OR($C135=TCL_Client,$C135=MECCA_Client)),1,0)</f>
        <v>0</v>
      </c>
      <c r="BA135" s="71" t="str">
        <f>IF($G135="","",IFERROR(MATCH($I135,lst_Priority,0),5))</f>
        <v/>
      </c>
      <c r="BB135" s="71" t="str">
        <f>IF(AND($AL135=1,$AJ135=1),$BA135*100000+ROW(),"")</f>
        <v/>
      </c>
      <c r="BC135" s="71" t="str">
        <f>IF(AND($AM135=1,$AJ135=1),$BA135*100000+ROW(),"")</f>
        <v/>
      </c>
      <c r="BD135" s="71" t="str">
        <f>IF(AND($AP135=1,$AJ135=1),$BA135*100000+ROW(),"")</f>
        <v/>
      </c>
      <c r="BE135" s="71" t="str">
        <f>IF(AND($AT135=1,$AJ135=1),$BA135*100000+ROW(),"")</f>
        <v/>
      </c>
      <c r="BF135" s="71" t="str">
        <f>IF(AND($AU135=1,$AJ135=1),$BA135*100000+ROW(),"")</f>
        <v/>
      </c>
      <c r="BG135" s="71" t="str">
        <f>IF(AND($AV135=1,$AJ135=1),$BA135*100000+ROW(),"")</f>
        <v/>
      </c>
      <c r="BH135" s="71" t="str">
        <f>IF(AND($AW135=1,$AJ135=1),$BA135*100000+ROW(),"")</f>
        <v/>
      </c>
      <c r="BI135" s="71" t="str">
        <f>IF(AND($AX135=1,$AJ135=1),$BA135*100000+ROW(),"")</f>
        <v/>
      </c>
      <c r="BJ135" s="71" t="str">
        <f>IF(AND($AS135=1,$AJ135=1),$BA135*100000+ROW(),"")</f>
        <v/>
      </c>
      <c r="BK135" s="71" t="str">
        <f>IF(AND($AY135=1,$AJ135=1),$BA135*100000+ROW(),"")</f>
        <v/>
      </c>
      <c r="BL135" s="71" t="str">
        <f>IF(AND($AZ135=1),$BA135*100000+ROW(),"")</f>
        <v/>
      </c>
    </row>
    <row r="136">
      <c r="A136" s="63" t="n"/>
      <c r="B136" s="64" t="n"/>
      <c r="C136" s="64" t="n"/>
      <c r="D136" s="64" t="n"/>
      <c r="E136" s="64" t="n"/>
      <c r="F136" s="64" t="n"/>
      <c r="G136" s="65" t="n"/>
      <c r="H136" s="65" t="n"/>
      <c r="I136" s="64" t="n"/>
      <c r="J136" s="64" t="n"/>
      <c r="K136" s="63" t="n"/>
      <c r="L136" s="63" t="n"/>
      <c r="M136" s="64" t="n"/>
      <c r="N136" s="66" t="n"/>
      <c r="O136" s="65" t="n"/>
      <c r="P136" s="64" t="n"/>
      <c r="Q136" s="67" t="n"/>
      <c r="R136" s="67" t="n"/>
      <c r="S136" s="68" t="str">
        <f>IF(AND(ISNUMBER($Q136),ISNUMBER($R136)),$Q136-$R136,"")</f>
        <v/>
      </c>
      <c r="T136" s="65" t="n"/>
      <c r="U136" s="64" t="n"/>
      <c r="V136" s="65" t="n"/>
      <c r="W136" s="63" t="n"/>
      <c r="X136" s="65" t="n"/>
      <c r="Y136" s="63" t="n"/>
      <c r="Z136" s="64" t="n"/>
      <c r="AA136" s="64" t="n"/>
      <c r="AB136" s="65" t="n"/>
      <c r="AC136" s="69" t="str">
        <f>IF(OR($G136="",NOT(ISNUMBER($K136)),$AK136=0),"",MAX(0,ReportDate-$K136))</f>
        <v/>
      </c>
      <c r="AD136" s="69" t="str">
        <f>IF($G136="","",IF($AL136=1,ReportDate-$L136,0))</f>
        <v/>
      </c>
      <c r="AE136" s="70" t="str">
        <f>IF($G136="","",IF($M136="Completed",1,IF(ISNUMBER($N136),$N136,0)))</f>
        <v/>
      </c>
      <c r="AF136" s="70" t="str">
        <f>IF(AND(ISNUMBER($Q136),ISNUMBER($R136)),IF($R136&lt;&gt;0,$Q136/$R136,""),"")</f>
        <v/>
      </c>
      <c r="AG136" s="71" t="str">
        <f>IF($G136="","",IF($AL136=1,"OVERDUE",IF($AM136=1,"BLOCKED",IF($AN136=1,"DUE TODAY",IF($AO136=1,"DUE TOMORROW",IF($AQ136=1,"HIGH PRIORITY",IF($AR136=1,"NO RECENT UPDATE",""))))))) </f>
        <v/>
      </c>
      <c r="AH136" s="71" t="str">
        <f>IF($G136="","",IF(ISNUMBER($A136),IF(ISNUMBER($A136),YEAR($A136)&amp;"-"&amp;TEXT(MONTH($A136),"00"),""),IF(ISNUMBER($L136),IF(ISNUMBER($L136),YEAR($L136)&amp;"-"&amp;TEXT(MONTH($L136),"00"),""),"")))</f>
        <v/>
      </c>
      <c r="AI136" s="71">
        <f>IF($G136="",0,IF(AND(OR(fClient="All",$C136=fClient),OR(fCampaign="All",$D136=fCampaign),OR(fTeam="All",$B136=fTeam),OR(fChannel="All",$F136=fChannel),OR(fMonth="All",$AH136=fMonth),OR(fTStatus="All",$M136=fTStatus)),1,0))</f>
        <v>0</v>
      </c>
      <c r="AJ136" s="71">
        <f>IF($G136="",0,IF(AND(OR(fClient="All",$C136=fClient),OR(fCampaign="All",$D136=fCampaign),OR(fTeam="All",$B136=fTeam),OR(fChannel="All",$F136=fChannel)),1,0))</f>
        <v>0</v>
      </c>
      <c r="AK136" s="71">
        <f>IF($G136="",0,IF(OR($M136="Completed",$M136="Cancelled"),0,1))</f>
        <v>0</v>
      </c>
      <c r="AL136" s="71">
        <f>IF(AND($AK136=1,ISNUMBER($L136)),IF($L136&lt;ReportDate,1,0),0)</f>
        <v>0</v>
      </c>
      <c r="AM136" s="71">
        <f>IF(AND($G136&lt;&gt;"",$M136="Blocked"),1,0)</f>
        <v>0</v>
      </c>
      <c r="AN136" s="71">
        <f>IF(AND($AK136=1,ISNUMBER($L136)),IF($L136=ReportDate,1,0),0)</f>
        <v>0</v>
      </c>
      <c r="AO136" s="71">
        <f>IF(AND($AK136=1,ISNUMBER($L136)),IF($L136=ReportDate+1,1,0),0)</f>
        <v>0</v>
      </c>
      <c r="AP136" s="71">
        <f>IF(AND($AK136=1,ISNUMBER($L136)),IF(AND($L136&gt;=ReportDate,$L136&lt;=ReportDate+DueSoonDays),1,0),0)</f>
        <v>0</v>
      </c>
      <c r="AQ136" s="71">
        <f>IF(AND($AK136=1,OR($I136="Critical",$I136="High")),1,0)</f>
        <v>0</v>
      </c>
      <c r="AR136" s="71">
        <f>IF($AK136=1,IF(ISNUMBER($Y136),IF(ReportDate-$Y136&gt;StaleDays,1,0),1),0)</f>
        <v>0</v>
      </c>
      <c r="AS136" s="71">
        <f>IF(AND($G136&lt;&gt;"",ISNUMBER($Q136),ISNUMBER($R136)),IF(AND($Q136&lt;$R136,OR($M136="Completed",AND(ISNUMBER($L136),$L136&lt;ReportDate))),1,0),0)</f>
        <v>0</v>
      </c>
      <c r="AT136" s="71">
        <f>IF($AK136=1,IF(OR($L136=ReportDate,$W136=ReportDate,$K136=ReportDate,$A136=ReportDate),1,0),0)</f>
        <v>0</v>
      </c>
      <c r="AU136" s="71">
        <f>IF($AK136=1,IF(OR($L136=ReportDate+1,$W136=ReportDate+1,$K136=ReportDate+1,$A136=ReportDate+1),1,0),0)</f>
        <v>0</v>
      </c>
      <c r="AV136" s="71">
        <f>IF(AND($G136&lt;&gt;"",$M136="Completed"),IF(OR($Y136=ReportDate-1,$A136=ReportDate-1),1,0),0)</f>
        <v>0</v>
      </c>
      <c r="AW136" s="71">
        <f>IF(AND($AK136=1,$Z136="Yes"),1,0)</f>
        <v>0</v>
      </c>
      <c r="AX136" s="71">
        <f>IF(AND($AK136=1,$AA136="Yes"),1,0)</f>
        <v>0</v>
      </c>
      <c r="AY136" s="71">
        <f>IF(AND($AM136=1,OR($I136="Critical",$I136="High")),1,0)</f>
        <v>0</v>
      </c>
      <c r="AZ136" s="71">
        <f>IF(AND($AK136=1,OR($C136=TCL_Client,$C136=MECCA_Client)),1,0)</f>
        <v>0</v>
      </c>
      <c r="BA136" s="71" t="str">
        <f>IF($G136="","",IFERROR(MATCH($I136,lst_Priority,0),5))</f>
        <v/>
      </c>
      <c r="BB136" s="71" t="str">
        <f>IF(AND($AL136=1,$AJ136=1),$BA136*100000+ROW(),"")</f>
        <v/>
      </c>
      <c r="BC136" s="71" t="str">
        <f>IF(AND($AM136=1,$AJ136=1),$BA136*100000+ROW(),"")</f>
        <v/>
      </c>
      <c r="BD136" s="71" t="str">
        <f>IF(AND($AP136=1,$AJ136=1),$BA136*100000+ROW(),"")</f>
        <v/>
      </c>
      <c r="BE136" s="71" t="str">
        <f>IF(AND($AT136=1,$AJ136=1),$BA136*100000+ROW(),"")</f>
        <v/>
      </c>
      <c r="BF136" s="71" t="str">
        <f>IF(AND($AU136=1,$AJ136=1),$BA136*100000+ROW(),"")</f>
        <v/>
      </c>
      <c r="BG136" s="71" t="str">
        <f>IF(AND($AV136=1,$AJ136=1),$BA136*100000+ROW(),"")</f>
        <v/>
      </c>
      <c r="BH136" s="71" t="str">
        <f>IF(AND($AW136=1,$AJ136=1),$BA136*100000+ROW(),"")</f>
        <v/>
      </c>
      <c r="BI136" s="71" t="str">
        <f>IF(AND($AX136=1,$AJ136=1),$BA136*100000+ROW(),"")</f>
        <v/>
      </c>
      <c r="BJ136" s="71" t="str">
        <f>IF(AND($AS136=1,$AJ136=1),$BA136*100000+ROW(),"")</f>
        <v/>
      </c>
      <c r="BK136" s="71" t="str">
        <f>IF(AND($AY136=1,$AJ136=1),$BA136*100000+ROW(),"")</f>
        <v/>
      </c>
      <c r="BL136" s="71" t="str">
        <f>IF(AND($AZ136=1),$BA136*100000+ROW(),"")</f>
        <v/>
      </c>
    </row>
    <row r="137">
      <c r="A137" s="63" t="n"/>
      <c r="B137" s="64" t="n"/>
      <c r="C137" s="64" t="n"/>
      <c r="D137" s="64" t="n"/>
      <c r="E137" s="64" t="n"/>
      <c r="F137" s="64" t="n"/>
      <c r="G137" s="65" t="n"/>
      <c r="H137" s="65" t="n"/>
      <c r="I137" s="64" t="n"/>
      <c r="J137" s="64" t="n"/>
      <c r="K137" s="63" t="n"/>
      <c r="L137" s="63" t="n"/>
      <c r="M137" s="64" t="n"/>
      <c r="N137" s="66" t="n"/>
      <c r="O137" s="65" t="n"/>
      <c r="P137" s="64" t="n"/>
      <c r="Q137" s="67" t="n"/>
      <c r="R137" s="67" t="n"/>
      <c r="S137" s="68" t="str">
        <f>IF(AND(ISNUMBER($Q137),ISNUMBER($R137)),$Q137-$R137,"")</f>
        <v/>
      </c>
      <c r="T137" s="65" t="n"/>
      <c r="U137" s="64" t="n"/>
      <c r="V137" s="65" t="n"/>
      <c r="W137" s="63" t="n"/>
      <c r="X137" s="65" t="n"/>
      <c r="Y137" s="63" t="n"/>
      <c r="Z137" s="64" t="n"/>
      <c r="AA137" s="64" t="n"/>
      <c r="AB137" s="65" t="n"/>
      <c r="AC137" s="69" t="str">
        <f>IF(OR($G137="",NOT(ISNUMBER($K137)),$AK137=0),"",MAX(0,ReportDate-$K137))</f>
        <v/>
      </c>
      <c r="AD137" s="69" t="str">
        <f>IF($G137="","",IF($AL137=1,ReportDate-$L137,0))</f>
        <v/>
      </c>
      <c r="AE137" s="70" t="str">
        <f>IF($G137="","",IF($M137="Completed",1,IF(ISNUMBER($N137),$N137,0)))</f>
        <v/>
      </c>
      <c r="AF137" s="70" t="str">
        <f>IF(AND(ISNUMBER($Q137),ISNUMBER($R137)),IF($R137&lt;&gt;0,$Q137/$R137,""),"")</f>
        <v/>
      </c>
      <c r="AG137" s="71" t="str">
        <f>IF($G137="","",IF($AL137=1,"OVERDUE",IF($AM137=1,"BLOCKED",IF($AN137=1,"DUE TODAY",IF($AO137=1,"DUE TOMORROW",IF($AQ137=1,"HIGH PRIORITY",IF($AR137=1,"NO RECENT UPDATE",""))))))) </f>
        <v/>
      </c>
      <c r="AH137" s="71" t="str">
        <f>IF($G137="","",IF(ISNUMBER($A137),IF(ISNUMBER($A137),YEAR($A137)&amp;"-"&amp;TEXT(MONTH($A137),"00"),""),IF(ISNUMBER($L137),IF(ISNUMBER($L137),YEAR($L137)&amp;"-"&amp;TEXT(MONTH($L137),"00"),""),"")))</f>
        <v/>
      </c>
      <c r="AI137" s="71">
        <f>IF($G137="",0,IF(AND(OR(fClient="All",$C137=fClient),OR(fCampaign="All",$D137=fCampaign),OR(fTeam="All",$B137=fTeam),OR(fChannel="All",$F137=fChannel),OR(fMonth="All",$AH137=fMonth),OR(fTStatus="All",$M137=fTStatus)),1,0))</f>
        <v>0</v>
      </c>
      <c r="AJ137" s="71">
        <f>IF($G137="",0,IF(AND(OR(fClient="All",$C137=fClient),OR(fCampaign="All",$D137=fCampaign),OR(fTeam="All",$B137=fTeam),OR(fChannel="All",$F137=fChannel)),1,0))</f>
        <v>0</v>
      </c>
      <c r="AK137" s="71">
        <f>IF($G137="",0,IF(OR($M137="Completed",$M137="Cancelled"),0,1))</f>
        <v>0</v>
      </c>
      <c r="AL137" s="71">
        <f>IF(AND($AK137=1,ISNUMBER($L137)),IF($L137&lt;ReportDate,1,0),0)</f>
        <v>0</v>
      </c>
      <c r="AM137" s="71">
        <f>IF(AND($G137&lt;&gt;"",$M137="Blocked"),1,0)</f>
        <v>0</v>
      </c>
      <c r="AN137" s="71">
        <f>IF(AND($AK137=1,ISNUMBER($L137)),IF($L137=ReportDate,1,0),0)</f>
        <v>0</v>
      </c>
      <c r="AO137" s="71">
        <f>IF(AND($AK137=1,ISNUMBER($L137)),IF($L137=ReportDate+1,1,0),0)</f>
        <v>0</v>
      </c>
      <c r="AP137" s="71">
        <f>IF(AND($AK137=1,ISNUMBER($L137)),IF(AND($L137&gt;=ReportDate,$L137&lt;=ReportDate+DueSoonDays),1,0),0)</f>
        <v>0</v>
      </c>
      <c r="AQ137" s="71">
        <f>IF(AND($AK137=1,OR($I137="Critical",$I137="High")),1,0)</f>
        <v>0</v>
      </c>
      <c r="AR137" s="71">
        <f>IF($AK137=1,IF(ISNUMBER($Y137),IF(ReportDate-$Y137&gt;StaleDays,1,0),1),0)</f>
        <v>0</v>
      </c>
      <c r="AS137" s="71">
        <f>IF(AND($G137&lt;&gt;"",ISNUMBER($Q137),ISNUMBER($R137)),IF(AND($Q137&lt;$R137,OR($M137="Completed",AND(ISNUMBER($L137),$L137&lt;ReportDate))),1,0),0)</f>
        <v>0</v>
      </c>
      <c r="AT137" s="71">
        <f>IF($AK137=1,IF(OR($L137=ReportDate,$W137=ReportDate,$K137=ReportDate,$A137=ReportDate),1,0),0)</f>
        <v>0</v>
      </c>
      <c r="AU137" s="71">
        <f>IF($AK137=1,IF(OR($L137=ReportDate+1,$W137=ReportDate+1,$K137=ReportDate+1,$A137=ReportDate+1),1,0),0)</f>
        <v>0</v>
      </c>
      <c r="AV137" s="71">
        <f>IF(AND($G137&lt;&gt;"",$M137="Completed"),IF(OR($Y137=ReportDate-1,$A137=ReportDate-1),1,0),0)</f>
        <v>0</v>
      </c>
      <c r="AW137" s="71">
        <f>IF(AND($AK137=1,$Z137="Yes"),1,0)</f>
        <v>0</v>
      </c>
      <c r="AX137" s="71">
        <f>IF(AND($AK137=1,$AA137="Yes"),1,0)</f>
        <v>0</v>
      </c>
      <c r="AY137" s="71">
        <f>IF(AND($AM137=1,OR($I137="Critical",$I137="High")),1,0)</f>
        <v>0</v>
      </c>
      <c r="AZ137" s="71">
        <f>IF(AND($AK137=1,OR($C137=TCL_Client,$C137=MECCA_Client)),1,0)</f>
        <v>0</v>
      </c>
      <c r="BA137" s="71" t="str">
        <f>IF($G137="","",IFERROR(MATCH($I137,lst_Priority,0),5))</f>
        <v/>
      </c>
      <c r="BB137" s="71" t="str">
        <f>IF(AND($AL137=1,$AJ137=1),$BA137*100000+ROW(),"")</f>
        <v/>
      </c>
      <c r="BC137" s="71" t="str">
        <f>IF(AND($AM137=1,$AJ137=1),$BA137*100000+ROW(),"")</f>
        <v/>
      </c>
      <c r="BD137" s="71" t="str">
        <f>IF(AND($AP137=1,$AJ137=1),$BA137*100000+ROW(),"")</f>
        <v/>
      </c>
      <c r="BE137" s="71" t="str">
        <f>IF(AND($AT137=1,$AJ137=1),$BA137*100000+ROW(),"")</f>
        <v/>
      </c>
      <c r="BF137" s="71" t="str">
        <f>IF(AND($AU137=1,$AJ137=1),$BA137*100000+ROW(),"")</f>
        <v/>
      </c>
      <c r="BG137" s="71" t="str">
        <f>IF(AND($AV137=1,$AJ137=1),$BA137*100000+ROW(),"")</f>
        <v/>
      </c>
      <c r="BH137" s="71" t="str">
        <f>IF(AND($AW137=1,$AJ137=1),$BA137*100000+ROW(),"")</f>
        <v/>
      </c>
      <c r="BI137" s="71" t="str">
        <f>IF(AND($AX137=1,$AJ137=1),$BA137*100000+ROW(),"")</f>
        <v/>
      </c>
      <c r="BJ137" s="71" t="str">
        <f>IF(AND($AS137=1,$AJ137=1),$BA137*100000+ROW(),"")</f>
        <v/>
      </c>
      <c r="BK137" s="71" t="str">
        <f>IF(AND($AY137=1,$AJ137=1),$BA137*100000+ROW(),"")</f>
        <v/>
      </c>
      <c r="BL137" s="71" t="str">
        <f>IF(AND($AZ137=1),$BA137*100000+ROW(),"")</f>
        <v/>
      </c>
    </row>
    <row r="138">
      <c r="A138" s="63" t="n"/>
      <c r="B138" s="64" t="n"/>
      <c r="C138" s="64" t="n"/>
      <c r="D138" s="64" t="n"/>
      <c r="E138" s="64" t="n"/>
      <c r="F138" s="64" t="n"/>
      <c r="G138" s="65" t="n"/>
      <c r="H138" s="65" t="n"/>
      <c r="I138" s="64" t="n"/>
      <c r="J138" s="64" t="n"/>
      <c r="K138" s="63" t="n"/>
      <c r="L138" s="63" t="n"/>
      <c r="M138" s="64" t="n"/>
      <c r="N138" s="66" t="n"/>
      <c r="O138" s="65" t="n"/>
      <c r="P138" s="64" t="n"/>
      <c r="Q138" s="67" t="n"/>
      <c r="R138" s="67" t="n"/>
      <c r="S138" s="68" t="str">
        <f>IF(AND(ISNUMBER($Q138),ISNUMBER($R138)),$Q138-$R138,"")</f>
        <v/>
      </c>
      <c r="T138" s="65" t="n"/>
      <c r="U138" s="64" t="n"/>
      <c r="V138" s="65" t="n"/>
      <c r="W138" s="63" t="n"/>
      <c r="X138" s="65" t="n"/>
      <c r="Y138" s="63" t="n"/>
      <c r="Z138" s="64" t="n"/>
      <c r="AA138" s="64" t="n"/>
      <c r="AB138" s="65" t="n"/>
      <c r="AC138" s="69" t="str">
        <f>IF(OR($G138="",NOT(ISNUMBER($K138)),$AK138=0),"",MAX(0,ReportDate-$K138))</f>
        <v/>
      </c>
      <c r="AD138" s="69" t="str">
        <f>IF($G138="","",IF($AL138=1,ReportDate-$L138,0))</f>
        <v/>
      </c>
      <c r="AE138" s="70" t="str">
        <f>IF($G138="","",IF($M138="Completed",1,IF(ISNUMBER($N138),$N138,0)))</f>
        <v/>
      </c>
      <c r="AF138" s="70" t="str">
        <f>IF(AND(ISNUMBER($Q138),ISNUMBER($R138)),IF($R138&lt;&gt;0,$Q138/$R138,""),"")</f>
        <v/>
      </c>
      <c r="AG138" s="71" t="str">
        <f>IF($G138="","",IF($AL138=1,"OVERDUE",IF($AM138=1,"BLOCKED",IF($AN138=1,"DUE TODAY",IF($AO138=1,"DUE TOMORROW",IF($AQ138=1,"HIGH PRIORITY",IF($AR138=1,"NO RECENT UPDATE",""))))))) </f>
        <v/>
      </c>
      <c r="AH138" s="71" t="str">
        <f>IF($G138="","",IF(ISNUMBER($A138),IF(ISNUMBER($A138),YEAR($A138)&amp;"-"&amp;TEXT(MONTH($A138),"00"),""),IF(ISNUMBER($L138),IF(ISNUMBER($L138),YEAR($L138)&amp;"-"&amp;TEXT(MONTH($L138),"00"),""),"")))</f>
        <v/>
      </c>
      <c r="AI138" s="71">
        <f>IF($G138="",0,IF(AND(OR(fClient="All",$C138=fClient),OR(fCampaign="All",$D138=fCampaign),OR(fTeam="All",$B138=fTeam),OR(fChannel="All",$F138=fChannel),OR(fMonth="All",$AH138=fMonth),OR(fTStatus="All",$M138=fTStatus)),1,0))</f>
        <v>0</v>
      </c>
      <c r="AJ138" s="71">
        <f>IF($G138="",0,IF(AND(OR(fClient="All",$C138=fClient),OR(fCampaign="All",$D138=fCampaign),OR(fTeam="All",$B138=fTeam),OR(fChannel="All",$F138=fChannel)),1,0))</f>
        <v>0</v>
      </c>
      <c r="AK138" s="71">
        <f>IF($G138="",0,IF(OR($M138="Completed",$M138="Cancelled"),0,1))</f>
        <v>0</v>
      </c>
      <c r="AL138" s="71">
        <f>IF(AND($AK138=1,ISNUMBER($L138)),IF($L138&lt;ReportDate,1,0),0)</f>
        <v>0</v>
      </c>
      <c r="AM138" s="71">
        <f>IF(AND($G138&lt;&gt;"",$M138="Blocked"),1,0)</f>
        <v>0</v>
      </c>
      <c r="AN138" s="71">
        <f>IF(AND($AK138=1,ISNUMBER($L138)),IF($L138=ReportDate,1,0),0)</f>
        <v>0</v>
      </c>
      <c r="AO138" s="71">
        <f>IF(AND($AK138=1,ISNUMBER($L138)),IF($L138=ReportDate+1,1,0),0)</f>
        <v>0</v>
      </c>
      <c r="AP138" s="71">
        <f>IF(AND($AK138=1,ISNUMBER($L138)),IF(AND($L138&gt;=ReportDate,$L138&lt;=ReportDate+DueSoonDays),1,0),0)</f>
        <v>0</v>
      </c>
      <c r="AQ138" s="71">
        <f>IF(AND($AK138=1,OR($I138="Critical",$I138="High")),1,0)</f>
        <v>0</v>
      </c>
      <c r="AR138" s="71">
        <f>IF($AK138=1,IF(ISNUMBER($Y138),IF(ReportDate-$Y138&gt;StaleDays,1,0),1),0)</f>
        <v>0</v>
      </c>
      <c r="AS138" s="71">
        <f>IF(AND($G138&lt;&gt;"",ISNUMBER($Q138),ISNUMBER($R138)),IF(AND($Q138&lt;$R138,OR($M138="Completed",AND(ISNUMBER($L138),$L138&lt;ReportDate))),1,0),0)</f>
        <v>0</v>
      </c>
      <c r="AT138" s="71">
        <f>IF($AK138=1,IF(OR($L138=ReportDate,$W138=ReportDate,$K138=ReportDate,$A138=ReportDate),1,0),0)</f>
        <v>0</v>
      </c>
      <c r="AU138" s="71">
        <f>IF($AK138=1,IF(OR($L138=ReportDate+1,$W138=ReportDate+1,$K138=ReportDate+1,$A138=ReportDate+1),1,0),0)</f>
        <v>0</v>
      </c>
      <c r="AV138" s="71">
        <f>IF(AND($G138&lt;&gt;"",$M138="Completed"),IF(OR($Y138=ReportDate-1,$A138=ReportDate-1),1,0),0)</f>
        <v>0</v>
      </c>
      <c r="AW138" s="71">
        <f>IF(AND($AK138=1,$Z138="Yes"),1,0)</f>
        <v>0</v>
      </c>
      <c r="AX138" s="71">
        <f>IF(AND($AK138=1,$AA138="Yes"),1,0)</f>
        <v>0</v>
      </c>
      <c r="AY138" s="71">
        <f>IF(AND($AM138=1,OR($I138="Critical",$I138="High")),1,0)</f>
        <v>0</v>
      </c>
      <c r="AZ138" s="71">
        <f>IF(AND($AK138=1,OR($C138=TCL_Client,$C138=MECCA_Client)),1,0)</f>
        <v>0</v>
      </c>
      <c r="BA138" s="71" t="str">
        <f>IF($G138="","",IFERROR(MATCH($I138,lst_Priority,0),5))</f>
        <v/>
      </c>
      <c r="BB138" s="71" t="str">
        <f>IF(AND($AL138=1,$AJ138=1),$BA138*100000+ROW(),"")</f>
        <v/>
      </c>
      <c r="BC138" s="71" t="str">
        <f>IF(AND($AM138=1,$AJ138=1),$BA138*100000+ROW(),"")</f>
        <v/>
      </c>
      <c r="BD138" s="71" t="str">
        <f>IF(AND($AP138=1,$AJ138=1),$BA138*100000+ROW(),"")</f>
        <v/>
      </c>
      <c r="BE138" s="71" t="str">
        <f>IF(AND($AT138=1,$AJ138=1),$BA138*100000+ROW(),"")</f>
        <v/>
      </c>
      <c r="BF138" s="71" t="str">
        <f>IF(AND($AU138=1,$AJ138=1),$BA138*100000+ROW(),"")</f>
        <v/>
      </c>
      <c r="BG138" s="71" t="str">
        <f>IF(AND($AV138=1,$AJ138=1),$BA138*100000+ROW(),"")</f>
        <v/>
      </c>
      <c r="BH138" s="71" t="str">
        <f>IF(AND($AW138=1,$AJ138=1),$BA138*100000+ROW(),"")</f>
        <v/>
      </c>
      <c r="BI138" s="71" t="str">
        <f>IF(AND($AX138=1,$AJ138=1),$BA138*100000+ROW(),"")</f>
        <v/>
      </c>
      <c r="BJ138" s="71" t="str">
        <f>IF(AND($AS138=1,$AJ138=1),$BA138*100000+ROW(),"")</f>
        <v/>
      </c>
      <c r="BK138" s="71" t="str">
        <f>IF(AND($AY138=1,$AJ138=1),$BA138*100000+ROW(),"")</f>
        <v/>
      </c>
      <c r="BL138" s="71" t="str">
        <f>IF(AND($AZ138=1),$BA138*100000+ROW(),"")</f>
        <v/>
      </c>
    </row>
    <row r="139">
      <c r="A139" s="63" t="n"/>
      <c r="B139" s="64" t="n"/>
      <c r="C139" s="64" t="n"/>
      <c r="D139" s="64" t="n"/>
      <c r="E139" s="64" t="n"/>
      <c r="F139" s="64" t="n"/>
      <c r="G139" s="65" t="n"/>
      <c r="H139" s="65" t="n"/>
      <c r="I139" s="64" t="n"/>
      <c r="J139" s="64" t="n"/>
      <c r="K139" s="63" t="n"/>
      <c r="L139" s="63" t="n"/>
      <c r="M139" s="64" t="n"/>
      <c r="N139" s="66" t="n"/>
      <c r="O139" s="65" t="n"/>
      <c r="P139" s="64" t="n"/>
      <c r="Q139" s="67" t="n"/>
      <c r="R139" s="67" t="n"/>
      <c r="S139" s="68" t="str">
        <f>IF(AND(ISNUMBER($Q139),ISNUMBER($R139)),$Q139-$R139,"")</f>
        <v/>
      </c>
      <c r="T139" s="65" t="n"/>
      <c r="U139" s="64" t="n"/>
      <c r="V139" s="65" t="n"/>
      <c r="W139" s="63" t="n"/>
      <c r="X139" s="65" t="n"/>
      <c r="Y139" s="63" t="n"/>
      <c r="Z139" s="64" t="n"/>
      <c r="AA139" s="64" t="n"/>
      <c r="AB139" s="65" t="n"/>
      <c r="AC139" s="69" t="str">
        <f>IF(OR($G139="",NOT(ISNUMBER($K139)),$AK139=0),"",MAX(0,ReportDate-$K139))</f>
        <v/>
      </c>
      <c r="AD139" s="69" t="str">
        <f>IF($G139="","",IF($AL139=1,ReportDate-$L139,0))</f>
        <v/>
      </c>
      <c r="AE139" s="70" t="str">
        <f>IF($G139="","",IF($M139="Completed",1,IF(ISNUMBER($N139),$N139,0)))</f>
        <v/>
      </c>
      <c r="AF139" s="70" t="str">
        <f>IF(AND(ISNUMBER($Q139),ISNUMBER($R139)),IF($R139&lt;&gt;0,$Q139/$R139,""),"")</f>
        <v/>
      </c>
      <c r="AG139" s="71" t="str">
        <f>IF($G139="","",IF($AL139=1,"OVERDUE",IF($AM139=1,"BLOCKED",IF($AN139=1,"DUE TODAY",IF($AO139=1,"DUE TOMORROW",IF($AQ139=1,"HIGH PRIORITY",IF($AR139=1,"NO RECENT UPDATE",""))))))) </f>
        <v/>
      </c>
      <c r="AH139" s="71" t="str">
        <f>IF($G139="","",IF(ISNUMBER($A139),IF(ISNUMBER($A139),YEAR($A139)&amp;"-"&amp;TEXT(MONTH($A139),"00"),""),IF(ISNUMBER($L139),IF(ISNUMBER($L139),YEAR($L139)&amp;"-"&amp;TEXT(MONTH($L139),"00"),""),"")))</f>
        <v/>
      </c>
      <c r="AI139" s="71">
        <f>IF($G139="",0,IF(AND(OR(fClient="All",$C139=fClient),OR(fCampaign="All",$D139=fCampaign),OR(fTeam="All",$B139=fTeam),OR(fChannel="All",$F139=fChannel),OR(fMonth="All",$AH139=fMonth),OR(fTStatus="All",$M139=fTStatus)),1,0))</f>
        <v>0</v>
      </c>
      <c r="AJ139" s="71">
        <f>IF($G139="",0,IF(AND(OR(fClient="All",$C139=fClient),OR(fCampaign="All",$D139=fCampaign),OR(fTeam="All",$B139=fTeam),OR(fChannel="All",$F139=fChannel)),1,0))</f>
        <v>0</v>
      </c>
      <c r="AK139" s="71">
        <f>IF($G139="",0,IF(OR($M139="Completed",$M139="Cancelled"),0,1))</f>
        <v>0</v>
      </c>
      <c r="AL139" s="71">
        <f>IF(AND($AK139=1,ISNUMBER($L139)),IF($L139&lt;ReportDate,1,0),0)</f>
        <v>0</v>
      </c>
      <c r="AM139" s="71">
        <f>IF(AND($G139&lt;&gt;"",$M139="Blocked"),1,0)</f>
        <v>0</v>
      </c>
      <c r="AN139" s="71">
        <f>IF(AND($AK139=1,ISNUMBER($L139)),IF($L139=ReportDate,1,0),0)</f>
        <v>0</v>
      </c>
      <c r="AO139" s="71">
        <f>IF(AND($AK139=1,ISNUMBER($L139)),IF($L139=ReportDate+1,1,0),0)</f>
        <v>0</v>
      </c>
      <c r="AP139" s="71">
        <f>IF(AND($AK139=1,ISNUMBER($L139)),IF(AND($L139&gt;=ReportDate,$L139&lt;=ReportDate+DueSoonDays),1,0),0)</f>
        <v>0</v>
      </c>
      <c r="AQ139" s="71">
        <f>IF(AND($AK139=1,OR($I139="Critical",$I139="High")),1,0)</f>
        <v>0</v>
      </c>
      <c r="AR139" s="71">
        <f>IF($AK139=1,IF(ISNUMBER($Y139),IF(ReportDate-$Y139&gt;StaleDays,1,0),1),0)</f>
        <v>0</v>
      </c>
      <c r="AS139" s="71">
        <f>IF(AND($G139&lt;&gt;"",ISNUMBER($Q139),ISNUMBER($R139)),IF(AND($Q139&lt;$R139,OR($M139="Completed",AND(ISNUMBER($L139),$L139&lt;ReportDate))),1,0),0)</f>
        <v>0</v>
      </c>
      <c r="AT139" s="71">
        <f>IF($AK139=1,IF(OR($L139=ReportDate,$W139=ReportDate,$K139=ReportDate,$A139=ReportDate),1,0),0)</f>
        <v>0</v>
      </c>
      <c r="AU139" s="71">
        <f>IF($AK139=1,IF(OR($L139=ReportDate+1,$W139=ReportDate+1,$K139=ReportDate+1,$A139=ReportDate+1),1,0),0)</f>
        <v>0</v>
      </c>
      <c r="AV139" s="71">
        <f>IF(AND($G139&lt;&gt;"",$M139="Completed"),IF(OR($Y139=ReportDate-1,$A139=ReportDate-1),1,0),0)</f>
        <v>0</v>
      </c>
      <c r="AW139" s="71">
        <f>IF(AND($AK139=1,$Z139="Yes"),1,0)</f>
        <v>0</v>
      </c>
      <c r="AX139" s="71">
        <f>IF(AND($AK139=1,$AA139="Yes"),1,0)</f>
        <v>0</v>
      </c>
      <c r="AY139" s="71">
        <f>IF(AND($AM139=1,OR($I139="Critical",$I139="High")),1,0)</f>
        <v>0</v>
      </c>
      <c r="AZ139" s="71">
        <f>IF(AND($AK139=1,OR($C139=TCL_Client,$C139=MECCA_Client)),1,0)</f>
        <v>0</v>
      </c>
      <c r="BA139" s="71" t="str">
        <f>IF($G139="","",IFERROR(MATCH($I139,lst_Priority,0),5))</f>
        <v/>
      </c>
      <c r="BB139" s="71" t="str">
        <f>IF(AND($AL139=1,$AJ139=1),$BA139*100000+ROW(),"")</f>
        <v/>
      </c>
      <c r="BC139" s="71" t="str">
        <f>IF(AND($AM139=1,$AJ139=1),$BA139*100000+ROW(),"")</f>
        <v/>
      </c>
      <c r="BD139" s="71" t="str">
        <f>IF(AND($AP139=1,$AJ139=1),$BA139*100000+ROW(),"")</f>
        <v/>
      </c>
      <c r="BE139" s="71" t="str">
        <f>IF(AND($AT139=1,$AJ139=1),$BA139*100000+ROW(),"")</f>
        <v/>
      </c>
      <c r="BF139" s="71" t="str">
        <f>IF(AND($AU139=1,$AJ139=1),$BA139*100000+ROW(),"")</f>
        <v/>
      </c>
      <c r="BG139" s="71" t="str">
        <f>IF(AND($AV139=1,$AJ139=1),$BA139*100000+ROW(),"")</f>
        <v/>
      </c>
      <c r="BH139" s="71" t="str">
        <f>IF(AND($AW139=1,$AJ139=1),$BA139*100000+ROW(),"")</f>
        <v/>
      </c>
      <c r="BI139" s="71" t="str">
        <f>IF(AND($AX139=1,$AJ139=1),$BA139*100000+ROW(),"")</f>
        <v/>
      </c>
      <c r="BJ139" s="71" t="str">
        <f>IF(AND($AS139=1,$AJ139=1),$BA139*100000+ROW(),"")</f>
        <v/>
      </c>
      <c r="BK139" s="71" t="str">
        <f>IF(AND($AY139=1,$AJ139=1),$BA139*100000+ROW(),"")</f>
        <v/>
      </c>
      <c r="BL139" s="71" t="str">
        <f>IF(AND($AZ139=1),$BA139*100000+ROW(),"")</f>
        <v/>
      </c>
    </row>
    <row r="140">
      <c r="A140" s="63" t="n"/>
      <c r="B140" s="64" t="n"/>
      <c r="C140" s="64" t="n"/>
      <c r="D140" s="64" t="n"/>
      <c r="E140" s="64" t="n"/>
      <c r="F140" s="64" t="n"/>
      <c r="G140" s="65" t="n"/>
      <c r="H140" s="65" t="n"/>
      <c r="I140" s="64" t="n"/>
      <c r="J140" s="64" t="n"/>
      <c r="K140" s="63" t="n"/>
      <c r="L140" s="63" t="n"/>
      <c r="M140" s="64" t="n"/>
      <c r="N140" s="66" t="n"/>
      <c r="O140" s="65" t="n"/>
      <c r="P140" s="64" t="n"/>
      <c r="Q140" s="67" t="n"/>
      <c r="R140" s="67" t="n"/>
      <c r="S140" s="68" t="str">
        <f>IF(AND(ISNUMBER($Q140),ISNUMBER($R140)),$Q140-$R140,"")</f>
        <v/>
      </c>
      <c r="T140" s="65" t="n"/>
      <c r="U140" s="64" t="n"/>
      <c r="V140" s="65" t="n"/>
      <c r="W140" s="63" t="n"/>
      <c r="X140" s="65" t="n"/>
      <c r="Y140" s="63" t="n"/>
      <c r="Z140" s="64" t="n"/>
      <c r="AA140" s="64" t="n"/>
      <c r="AB140" s="65" t="n"/>
      <c r="AC140" s="69" t="str">
        <f>IF(OR($G140="",NOT(ISNUMBER($K140)),$AK140=0),"",MAX(0,ReportDate-$K140))</f>
        <v/>
      </c>
      <c r="AD140" s="69" t="str">
        <f>IF($G140="","",IF($AL140=1,ReportDate-$L140,0))</f>
        <v/>
      </c>
      <c r="AE140" s="70" t="str">
        <f>IF($G140="","",IF($M140="Completed",1,IF(ISNUMBER($N140),$N140,0)))</f>
        <v/>
      </c>
      <c r="AF140" s="70" t="str">
        <f>IF(AND(ISNUMBER($Q140),ISNUMBER($R140)),IF($R140&lt;&gt;0,$Q140/$R140,""),"")</f>
        <v/>
      </c>
      <c r="AG140" s="71" t="str">
        <f>IF($G140="","",IF($AL140=1,"OVERDUE",IF($AM140=1,"BLOCKED",IF($AN140=1,"DUE TODAY",IF($AO140=1,"DUE TOMORROW",IF($AQ140=1,"HIGH PRIORITY",IF($AR140=1,"NO RECENT UPDATE",""))))))) </f>
        <v/>
      </c>
      <c r="AH140" s="71" t="str">
        <f>IF($G140="","",IF(ISNUMBER($A140),IF(ISNUMBER($A140),YEAR($A140)&amp;"-"&amp;TEXT(MONTH($A140),"00"),""),IF(ISNUMBER($L140),IF(ISNUMBER($L140),YEAR($L140)&amp;"-"&amp;TEXT(MONTH($L140),"00"),""),"")))</f>
        <v/>
      </c>
      <c r="AI140" s="71">
        <f>IF($G140="",0,IF(AND(OR(fClient="All",$C140=fClient),OR(fCampaign="All",$D140=fCampaign),OR(fTeam="All",$B140=fTeam),OR(fChannel="All",$F140=fChannel),OR(fMonth="All",$AH140=fMonth),OR(fTStatus="All",$M140=fTStatus)),1,0))</f>
        <v>0</v>
      </c>
      <c r="AJ140" s="71">
        <f>IF($G140="",0,IF(AND(OR(fClient="All",$C140=fClient),OR(fCampaign="All",$D140=fCampaign),OR(fTeam="All",$B140=fTeam),OR(fChannel="All",$F140=fChannel)),1,0))</f>
        <v>0</v>
      </c>
      <c r="AK140" s="71">
        <f>IF($G140="",0,IF(OR($M140="Completed",$M140="Cancelled"),0,1))</f>
        <v>0</v>
      </c>
      <c r="AL140" s="71">
        <f>IF(AND($AK140=1,ISNUMBER($L140)),IF($L140&lt;ReportDate,1,0),0)</f>
        <v>0</v>
      </c>
      <c r="AM140" s="71">
        <f>IF(AND($G140&lt;&gt;"",$M140="Blocked"),1,0)</f>
        <v>0</v>
      </c>
      <c r="AN140" s="71">
        <f>IF(AND($AK140=1,ISNUMBER($L140)),IF($L140=ReportDate,1,0),0)</f>
        <v>0</v>
      </c>
      <c r="AO140" s="71">
        <f>IF(AND($AK140=1,ISNUMBER($L140)),IF($L140=ReportDate+1,1,0),0)</f>
        <v>0</v>
      </c>
      <c r="AP140" s="71">
        <f>IF(AND($AK140=1,ISNUMBER($L140)),IF(AND($L140&gt;=ReportDate,$L140&lt;=ReportDate+DueSoonDays),1,0),0)</f>
        <v>0</v>
      </c>
      <c r="AQ140" s="71">
        <f>IF(AND($AK140=1,OR($I140="Critical",$I140="High")),1,0)</f>
        <v>0</v>
      </c>
      <c r="AR140" s="71">
        <f>IF($AK140=1,IF(ISNUMBER($Y140),IF(ReportDate-$Y140&gt;StaleDays,1,0),1),0)</f>
        <v>0</v>
      </c>
      <c r="AS140" s="71">
        <f>IF(AND($G140&lt;&gt;"",ISNUMBER($Q140),ISNUMBER($R140)),IF(AND($Q140&lt;$R140,OR($M140="Completed",AND(ISNUMBER($L140),$L140&lt;ReportDate))),1,0),0)</f>
        <v>0</v>
      </c>
      <c r="AT140" s="71">
        <f>IF($AK140=1,IF(OR($L140=ReportDate,$W140=ReportDate,$K140=ReportDate,$A140=ReportDate),1,0),0)</f>
        <v>0</v>
      </c>
      <c r="AU140" s="71">
        <f>IF($AK140=1,IF(OR($L140=ReportDate+1,$W140=ReportDate+1,$K140=ReportDate+1,$A140=ReportDate+1),1,0),0)</f>
        <v>0</v>
      </c>
      <c r="AV140" s="71">
        <f>IF(AND($G140&lt;&gt;"",$M140="Completed"),IF(OR($Y140=ReportDate-1,$A140=ReportDate-1),1,0),0)</f>
        <v>0</v>
      </c>
      <c r="AW140" s="71">
        <f>IF(AND($AK140=1,$Z140="Yes"),1,0)</f>
        <v>0</v>
      </c>
      <c r="AX140" s="71">
        <f>IF(AND($AK140=1,$AA140="Yes"),1,0)</f>
        <v>0</v>
      </c>
      <c r="AY140" s="71">
        <f>IF(AND($AM140=1,OR($I140="Critical",$I140="High")),1,0)</f>
        <v>0</v>
      </c>
      <c r="AZ140" s="71">
        <f>IF(AND($AK140=1,OR($C140=TCL_Client,$C140=MECCA_Client)),1,0)</f>
        <v>0</v>
      </c>
      <c r="BA140" s="71" t="str">
        <f>IF($G140="","",IFERROR(MATCH($I140,lst_Priority,0),5))</f>
        <v/>
      </c>
      <c r="BB140" s="71" t="str">
        <f>IF(AND($AL140=1,$AJ140=1),$BA140*100000+ROW(),"")</f>
        <v/>
      </c>
      <c r="BC140" s="71" t="str">
        <f>IF(AND($AM140=1,$AJ140=1),$BA140*100000+ROW(),"")</f>
        <v/>
      </c>
      <c r="BD140" s="71" t="str">
        <f>IF(AND($AP140=1,$AJ140=1),$BA140*100000+ROW(),"")</f>
        <v/>
      </c>
      <c r="BE140" s="71" t="str">
        <f>IF(AND($AT140=1,$AJ140=1),$BA140*100000+ROW(),"")</f>
        <v/>
      </c>
      <c r="BF140" s="71" t="str">
        <f>IF(AND($AU140=1,$AJ140=1),$BA140*100000+ROW(),"")</f>
        <v/>
      </c>
      <c r="BG140" s="71" t="str">
        <f>IF(AND($AV140=1,$AJ140=1),$BA140*100000+ROW(),"")</f>
        <v/>
      </c>
      <c r="BH140" s="71" t="str">
        <f>IF(AND($AW140=1,$AJ140=1),$BA140*100000+ROW(),"")</f>
        <v/>
      </c>
      <c r="BI140" s="71" t="str">
        <f>IF(AND($AX140=1,$AJ140=1),$BA140*100000+ROW(),"")</f>
        <v/>
      </c>
      <c r="BJ140" s="71" t="str">
        <f>IF(AND($AS140=1,$AJ140=1),$BA140*100000+ROW(),"")</f>
        <v/>
      </c>
      <c r="BK140" s="71" t="str">
        <f>IF(AND($AY140=1,$AJ140=1),$BA140*100000+ROW(),"")</f>
        <v/>
      </c>
      <c r="BL140" s="71" t="str">
        <f>IF(AND($AZ140=1),$BA140*100000+ROW(),"")</f>
        <v/>
      </c>
    </row>
    <row r="141">
      <c r="A141" s="63" t="n"/>
      <c r="B141" s="64" t="n"/>
      <c r="C141" s="64" t="n"/>
      <c r="D141" s="64" t="n"/>
      <c r="E141" s="64" t="n"/>
      <c r="F141" s="64" t="n"/>
      <c r="G141" s="65" t="n"/>
      <c r="H141" s="65" t="n"/>
      <c r="I141" s="64" t="n"/>
      <c r="J141" s="64" t="n"/>
      <c r="K141" s="63" t="n"/>
      <c r="L141" s="63" t="n"/>
      <c r="M141" s="64" t="n"/>
      <c r="N141" s="66" t="n"/>
      <c r="O141" s="65" t="n"/>
      <c r="P141" s="64" t="n"/>
      <c r="Q141" s="67" t="n"/>
      <c r="R141" s="67" t="n"/>
      <c r="S141" s="68" t="str">
        <f>IF(AND(ISNUMBER($Q141),ISNUMBER($R141)),$Q141-$R141,"")</f>
        <v/>
      </c>
      <c r="T141" s="65" t="n"/>
      <c r="U141" s="64" t="n"/>
      <c r="V141" s="65" t="n"/>
      <c r="W141" s="63" t="n"/>
      <c r="X141" s="65" t="n"/>
      <c r="Y141" s="63" t="n"/>
      <c r="Z141" s="64" t="n"/>
      <c r="AA141" s="64" t="n"/>
      <c r="AB141" s="65" t="n"/>
      <c r="AC141" s="69" t="str">
        <f>IF(OR($G141="",NOT(ISNUMBER($K141)),$AK141=0),"",MAX(0,ReportDate-$K141))</f>
        <v/>
      </c>
      <c r="AD141" s="69" t="str">
        <f>IF($G141="","",IF($AL141=1,ReportDate-$L141,0))</f>
        <v/>
      </c>
      <c r="AE141" s="70" t="str">
        <f>IF($G141="","",IF($M141="Completed",1,IF(ISNUMBER($N141),$N141,0)))</f>
        <v/>
      </c>
      <c r="AF141" s="70" t="str">
        <f>IF(AND(ISNUMBER($Q141),ISNUMBER($R141)),IF($R141&lt;&gt;0,$Q141/$R141,""),"")</f>
        <v/>
      </c>
      <c r="AG141" s="71" t="str">
        <f>IF($G141="","",IF($AL141=1,"OVERDUE",IF($AM141=1,"BLOCKED",IF($AN141=1,"DUE TODAY",IF($AO141=1,"DUE TOMORROW",IF($AQ141=1,"HIGH PRIORITY",IF($AR141=1,"NO RECENT UPDATE",""))))))) </f>
        <v/>
      </c>
      <c r="AH141" s="71" t="str">
        <f>IF($G141="","",IF(ISNUMBER($A141),IF(ISNUMBER($A141),YEAR($A141)&amp;"-"&amp;TEXT(MONTH($A141),"00"),""),IF(ISNUMBER($L141),IF(ISNUMBER($L141),YEAR($L141)&amp;"-"&amp;TEXT(MONTH($L141),"00"),""),"")))</f>
        <v/>
      </c>
      <c r="AI141" s="71">
        <f>IF($G141="",0,IF(AND(OR(fClient="All",$C141=fClient),OR(fCampaign="All",$D141=fCampaign),OR(fTeam="All",$B141=fTeam),OR(fChannel="All",$F141=fChannel),OR(fMonth="All",$AH141=fMonth),OR(fTStatus="All",$M141=fTStatus)),1,0))</f>
        <v>0</v>
      </c>
      <c r="AJ141" s="71">
        <f>IF($G141="",0,IF(AND(OR(fClient="All",$C141=fClient),OR(fCampaign="All",$D141=fCampaign),OR(fTeam="All",$B141=fTeam),OR(fChannel="All",$F141=fChannel)),1,0))</f>
        <v>0</v>
      </c>
      <c r="AK141" s="71">
        <f>IF($G141="",0,IF(OR($M141="Completed",$M141="Cancelled"),0,1))</f>
        <v>0</v>
      </c>
      <c r="AL141" s="71">
        <f>IF(AND($AK141=1,ISNUMBER($L141)),IF($L141&lt;ReportDate,1,0),0)</f>
        <v>0</v>
      </c>
      <c r="AM141" s="71">
        <f>IF(AND($G141&lt;&gt;"",$M141="Blocked"),1,0)</f>
        <v>0</v>
      </c>
      <c r="AN141" s="71">
        <f>IF(AND($AK141=1,ISNUMBER($L141)),IF($L141=ReportDate,1,0),0)</f>
        <v>0</v>
      </c>
      <c r="AO141" s="71">
        <f>IF(AND($AK141=1,ISNUMBER($L141)),IF($L141=ReportDate+1,1,0),0)</f>
        <v>0</v>
      </c>
      <c r="AP141" s="71">
        <f>IF(AND($AK141=1,ISNUMBER($L141)),IF(AND($L141&gt;=ReportDate,$L141&lt;=ReportDate+DueSoonDays),1,0),0)</f>
        <v>0</v>
      </c>
      <c r="AQ141" s="71">
        <f>IF(AND($AK141=1,OR($I141="Critical",$I141="High")),1,0)</f>
        <v>0</v>
      </c>
      <c r="AR141" s="71">
        <f>IF($AK141=1,IF(ISNUMBER($Y141),IF(ReportDate-$Y141&gt;StaleDays,1,0),1),0)</f>
        <v>0</v>
      </c>
      <c r="AS141" s="71">
        <f>IF(AND($G141&lt;&gt;"",ISNUMBER($Q141),ISNUMBER($R141)),IF(AND($Q141&lt;$R141,OR($M141="Completed",AND(ISNUMBER($L141),$L141&lt;ReportDate))),1,0),0)</f>
        <v>0</v>
      </c>
      <c r="AT141" s="71">
        <f>IF($AK141=1,IF(OR($L141=ReportDate,$W141=ReportDate,$K141=ReportDate,$A141=ReportDate),1,0),0)</f>
        <v>0</v>
      </c>
      <c r="AU141" s="71">
        <f>IF($AK141=1,IF(OR($L141=ReportDate+1,$W141=ReportDate+1,$K141=ReportDate+1,$A141=ReportDate+1),1,0),0)</f>
        <v>0</v>
      </c>
      <c r="AV141" s="71">
        <f>IF(AND($G141&lt;&gt;"",$M141="Completed"),IF(OR($Y141=ReportDate-1,$A141=ReportDate-1),1,0),0)</f>
        <v>0</v>
      </c>
      <c r="AW141" s="71">
        <f>IF(AND($AK141=1,$Z141="Yes"),1,0)</f>
        <v>0</v>
      </c>
      <c r="AX141" s="71">
        <f>IF(AND($AK141=1,$AA141="Yes"),1,0)</f>
        <v>0</v>
      </c>
      <c r="AY141" s="71">
        <f>IF(AND($AM141=1,OR($I141="Critical",$I141="High")),1,0)</f>
        <v>0</v>
      </c>
      <c r="AZ141" s="71">
        <f>IF(AND($AK141=1,OR($C141=TCL_Client,$C141=MECCA_Client)),1,0)</f>
        <v>0</v>
      </c>
      <c r="BA141" s="71" t="str">
        <f>IF($G141="","",IFERROR(MATCH($I141,lst_Priority,0),5))</f>
        <v/>
      </c>
      <c r="BB141" s="71" t="str">
        <f>IF(AND($AL141=1,$AJ141=1),$BA141*100000+ROW(),"")</f>
        <v/>
      </c>
      <c r="BC141" s="71" t="str">
        <f>IF(AND($AM141=1,$AJ141=1),$BA141*100000+ROW(),"")</f>
        <v/>
      </c>
      <c r="BD141" s="71" t="str">
        <f>IF(AND($AP141=1,$AJ141=1),$BA141*100000+ROW(),"")</f>
        <v/>
      </c>
      <c r="BE141" s="71" t="str">
        <f>IF(AND($AT141=1,$AJ141=1),$BA141*100000+ROW(),"")</f>
        <v/>
      </c>
      <c r="BF141" s="71" t="str">
        <f>IF(AND($AU141=1,$AJ141=1),$BA141*100000+ROW(),"")</f>
        <v/>
      </c>
      <c r="BG141" s="71" t="str">
        <f>IF(AND($AV141=1,$AJ141=1),$BA141*100000+ROW(),"")</f>
        <v/>
      </c>
      <c r="BH141" s="71" t="str">
        <f>IF(AND($AW141=1,$AJ141=1),$BA141*100000+ROW(),"")</f>
        <v/>
      </c>
      <c r="BI141" s="71" t="str">
        <f>IF(AND($AX141=1,$AJ141=1),$BA141*100000+ROW(),"")</f>
        <v/>
      </c>
      <c r="BJ141" s="71" t="str">
        <f>IF(AND($AS141=1,$AJ141=1),$BA141*100000+ROW(),"")</f>
        <v/>
      </c>
      <c r="BK141" s="71" t="str">
        <f>IF(AND($AY141=1,$AJ141=1),$BA141*100000+ROW(),"")</f>
        <v/>
      </c>
      <c r="BL141" s="71" t="str">
        <f>IF(AND($AZ141=1),$BA141*100000+ROW(),"")</f>
        <v/>
      </c>
    </row>
    <row r="142">
      <c r="A142" s="63" t="n"/>
      <c r="B142" s="64" t="n"/>
      <c r="C142" s="64" t="n"/>
      <c r="D142" s="64" t="n"/>
      <c r="E142" s="64" t="n"/>
      <c r="F142" s="64" t="n"/>
      <c r="G142" s="65" t="n"/>
      <c r="H142" s="65" t="n"/>
      <c r="I142" s="64" t="n"/>
      <c r="J142" s="64" t="n"/>
      <c r="K142" s="63" t="n"/>
      <c r="L142" s="63" t="n"/>
      <c r="M142" s="64" t="n"/>
      <c r="N142" s="66" t="n"/>
      <c r="O142" s="65" t="n"/>
      <c r="P142" s="64" t="n"/>
      <c r="Q142" s="67" t="n"/>
      <c r="R142" s="67" t="n"/>
      <c r="S142" s="68" t="str">
        <f>IF(AND(ISNUMBER($Q142),ISNUMBER($R142)),$Q142-$R142,"")</f>
        <v/>
      </c>
      <c r="T142" s="65" t="n"/>
      <c r="U142" s="64" t="n"/>
      <c r="V142" s="65" t="n"/>
      <c r="W142" s="63" t="n"/>
      <c r="X142" s="65" t="n"/>
      <c r="Y142" s="63" t="n"/>
      <c r="Z142" s="64" t="n"/>
      <c r="AA142" s="64" t="n"/>
      <c r="AB142" s="65" t="n"/>
      <c r="AC142" s="69" t="str">
        <f>IF(OR($G142="",NOT(ISNUMBER($K142)),$AK142=0),"",MAX(0,ReportDate-$K142))</f>
        <v/>
      </c>
      <c r="AD142" s="69" t="str">
        <f>IF($G142="","",IF($AL142=1,ReportDate-$L142,0))</f>
        <v/>
      </c>
      <c r="AE142" s="70" t="str">
        <f>IF($G142="","",IF($M142="Completed",1,IF(ISNUMBER($N142),$N142,0)))</f>
        <v/>
      </c>
      <c r="AF142" s="70" t="str">
        <f>IF(AND(ISNUMBER($Q142),ISNUMBER($R142)),IF($R142&lt;&gt;0,$Q142/$R142,""),"")</f>
        <v/>
      </c>
      <c r="AG142" s="71" t="str">
        <f>IF($G142="","",IF($AL142=1,"OVERDUE",IF($AM142=1,"BLOCKED",IF($AN142=1,"DUE TODAY",IF($AO142=1,"DUE TOMORROW",IF($AQ142=1,"HIGH PRIORITY",IF($AR142=1,"NO RECENT UPDATE",""))))))) </f>
        <v/>
      </c>
      <c r="AH142" s="71" t="str">
        <f>IF($G142="","",IF(ISNUMBER($A142),IF(ISNUMBER($A142),YEAR($A142)&amp;"-"&amp;TEXT(MONTH($A142),"00"),""),IF(ISNUMBER($L142),IF(ISNUMBER($L142),YEAR($L142)&amp;"-"&amp;TEXT(MONTH($L142),"00"),""),"")))</f>
        <v/>
      </c>
      <c r="AI142" s="71">
        <f>IF($G142="",0,IF(AND(OR(fClient="All",$C142=fClient),OR(fCampaign="All",$D142=fCampaign),OR(fTeam="All",$B142=fTeam),OR(fChannel="All",$F142=fChannel),OR(fMonth="All",$AH142=fMonth),OR(fTStatus="All",$M142=fTStatus)),1,0))</f>
        <v>0</v>
      </c>
      <c r="AJ142" s="71">
        <f>IF($G142="",0,IF(AND(OR(fClient="All",$C142=fClient),OR(fCampaign="All",$D142=fCampaign),OR(fTeam="All",$B142=fTeam),OR(fChannel="All",$F142=fChannel)),1,0))</f>
        <v>0</v>
      </c>
      <c r="AK142" s="71">
        <f>IF($G142="",0,IF(OR($M142="Completed",$M142="Cancelled"),0,1))</f>
        <v>0</v>
      </c>
      <c r="AL142" s="71">
        <f>IF(AND($AK142=1,ISNUMBER($L142)),IF($L142&lt;ReportDate,1,0),0)</f>
        <v>0</v>
      </c>
      <c r="AM142" s="71">
        <f>IF(AND($G142&lt;&gt;"",$M142="Blocked"),1,0)</f>
        <v>0</v>
      </c>
      <c r="AN142" s="71">
        <f>IF(AND($AK142=1,ISNUMBER($L142)),IF($L142=ReportDate,1,0),0)</f>
        <v>0</v>
      </c>
      <c r="AO142" s="71">
        <f>IF(AND($AK142=1,ISNUMBER($L142)),IF($L142=ReportDate+1,1,0),0)</f>
        <v>0</v>
      </c>
      <c r="AP142" s="71">
        <f>IF(AND($AK142=1,ISNUMBER($L142)),IF(AND($L142&gt;=ReportDate,$L142&lt;=ReportDate+DueSoonDays),1,0),0)</f>
        <v>0</v>
      </c>
      <c r="AQ142" s="71">
        <f>IF(AND($AK142=1,OR($I142="Critical",$I142="High")),1,0)</f>
        <v>0</v>
      </c>
      <c r="AR142" s="71">
        <f>IF($AK142=1,IF(ISNUMBER($Y142),IF(ReportDate-$Y142&gt;StaleDays,1,0),1),0)</f>
        <v>0</v>
      </c>
      <c r="AS142" s="71">
        <f>IF(AND($G142&lt;&gt;"",ISNUMBER($Q142),ISNUMBER($R142)),IF(AND($Q142&lt;$R142,OR($M142="Completed",AND(ISNUMBER($L142),$L142&lt;ReportDate))),1,0),0)</f>
        <v>0</v>
      </c>
      <c r="AT142" s="71">
        <f>IF($AK142=1,IF(OR($L142=ReportDate,$W142=ReportDate,$K142=ReportDate,$A142=ReportDate),1,0),0)</f>
        <v>0</v>
      </c>
      <c r="AU142" s="71">
        <f>IF($AK142=1,IF(OR($L142=ReportDate+1,$W142=ReportDate+1,$K142=ReportDate+1,$A142=ReportDate+1),1,0),0)</f>
        <v>0</v>
      </c>
      <c r="AV142" s="71">
        <f>IF(AND($G142&lt;&gt;"",$M142="Completed"),IF(OR($Y142=ReportDate-1,$A142=ReportDate-1),1,0),0)</f>
        <v>0</v>
      </c>
      <c r="AW142" s="71">
        <f>IF(AND($AK142=1,$Z142="Yes"),1,0)</f>
        <v>0</v>
      </c>
      <c r="AX142" s="71">
        <f>IF(AND($AK142=1,$AA142="Yes"),1,0)</f>
        <v>0</v>
      </c>
      <c r="AY142" s="71">
        <f>IF(AND($AM142=1,OR($I142="Critical",$I142="High")),1,0)</f>
        <v>0</v>
      </c>
      <c r="AZ142" s="71">
        <f>IF(AND($AK142=1,OR($C142=TCL_Client,$C142=MECCA_Client)),1,0)</f>
        <v>0</v>
      </c>
      <c r="BA142" s="71" t="str">
        <f>IF($G142="","",IFERROR(MATCH($I142,lst_Priority,0),5))</f>
        <v/>
      </c>
      <c r="BB142" s="71" t="str">
        <f>IF(AND($AL142=1,$AJ142=1),$BA142*100000+ROW(),"")</f>
        <v/>
      </c>
      <c r="BC142" s="71" t="str">
        <f>IF(AND($AM142=1,$AJ142=1),$BA142*100000+ROW(),"")</f>
        <v/>
      </c>
      <c r="BD142" s="71" t="str">
        <f>IF(AND($AP142=1,$AJ142=1),$BA142*100000+ROW(),"")</f>
        <v/>
      </c>
      <c r="BE142" s="71" t="str">
        <f>IF(AND($AT142=1,$AJ142=1),$BA142*100000+ROW(),"")</f>
        <v/>
      </c>
      <c r="BF142" s="71" t="str">
        <f>IF(AND($AU142=1,$AJ142=1),$BA142*100000+ROW(),"")</f>
        <v/>
      </c>
      <c r="BG142" s="71" t="str">
        <f>IF(AND($AV142=1,$AJ142=1),$BA142*100000+ROW(),"")</f>
        <v/>
      </c>
      <c r="BH142" s="71" t="str">
        <f>IF(AND($AW142=1,$AJ142=1),$BA142*100000+ROW(),"")</f>
        <v/>
      </c>
      <c r="BI142" s="71" t="str">
        <f>IF(AND($AX142=1,$AJ142=1),$BA142*100000+ROW(),"")</f>
        <v/>
      </c>
      <c r="BJ142" s="71" t="str">
        <f>IF(AND($AS142=1,$AJ142=1),$BA142*100000+ROW(),"")</f>
        <v/>
      </c>
      <c r="BK142" s="71" t="str">
        <f>IF(AND($AY142=1,$AJ142=1),$BA142*100000+ROW(),"")</f>
        <v/>
      </c>
      <c r="BL142" s="71" t="str">
        <f>IF(AND($AZ142=1),$BA142*100000+ROW(),"")</f>
        <v/>
      </c>
    </row>
    <row r="143">
      <c r="A143" s="63" t="n"/>
      <c r="B143" s="64" t="n"/>
      <c r="C143" s="64" t="n"/>
      <c r="D143" s="64" t="n"/>
      <c r="E143" s="64" t="n"/>
      <c r="F143" s="64" t="n"/>
      <c r="G143" s="65" t="n"/>
      <c r="H143" s="65" t="n"/>
      <c r="I143" s="64" t="n"/>
      <c r="J143" s="64" t="n"/>
      <c r="K143" s="63" t="n"/>
      <c r="L143" s="63" t="n"/>
      <c r="M143" s="64" t="n"/>
      <c r="N143" s="66" t="n"/>
      <c r="O143" s="65" t="n"/>
      <c r="P143" s="64" t="n"/>
      <c r="Q143" s="67" t="n"/>
      <c r="R143" s="67" t="n"/>
      <c r="S143" s="68" t="str">
        <f>IF(AND(ISNUMBER($Q143),ISNUMBER($R143)),$Q143-$R143,"")</f>
        <v/>
      </c>
      <c r="T143" s="65" t="n"/>
      <c r="U143" s="64" t="n"/>
      <c r="V143" s="65" t="n"/>
      <c r="W143" s="63" t="n"/>
      <c r="X143" s="65" t="n"/>
      <c r="Y143" s="63" t="n"/>
      <c r="Z143" s="64" t="n"/>
      <c r="AA143" s="64" t="n"/>
      <c r="AB143" s="65" t="n"/>
      <c r="AC143" s="69" t="str">
        <f>IF(OR($G143="",NOT(ISNUMBER($K143)),$AK143=0),"",MAX(0,ReportDate-$K143))</f>
        <v/>
      </c>
      <c r="AD143" s="69" t="str">
        <f>IF($G143="","",IF($AL143=1,ReportDate-$L143,0))</f>
        <v/>
      </c>
      <c r="AE143" s="70" t="str">
        <f>IF($G143="","",IF($M143="Completed",1,IF(ISNUMBER($N143),$N143,0)))</f>
        <v/>
      </c>
      <c r="AF143" s="70" t="str">
        <f>IF(AND(ISNUMBER($Q143),ISNUMBER($R143)),IF($R143&lt;&gt;0,$Q143/$R143,""),"")</f>
        <v/>
      </c>
      <c r="AG143" s="71" t="str">
        <f>IF($G143="","",IF($AL143=1,"OVERDUE",IF($AM143=1,"BLOCKED",IF($AN143=1,"DUE TODAY",IF($AO143=1,"DUE TOMORROW",IF($AQ143=1,"HIGH PRIORITY",IF($AR143=1,"NO RECENT UPDATE",""))))))) </f>
        <v/>
      </c>
      <c r="AH143" s="71" t="str">
        <f>IF($G143="","",IF(ISNUMBER($A143),IF(ISNUMBER($A143),YEAR($A143)&amp;"-"&amp;TEXT(MONTH($A143),"00"),""),IF(ISNUMBER($L143),IF(ISNUMBER($L143),YEAR($L143)&amp;"-"&amp;TEXT(MONTH($L143),"00"),""),"")))</f>
        <v/>
      </c>
      <c r="AI143" s="71">
        <f>IF($G143="",0,IF(AND(OR(fClient="All",$C143=fClient),OR(fCampaign="All",$D143=fCampaign),OR(fTeam="All",$B143=fTeam),OR(fChannel="All",$F143=fChannel),OR(fMonth="All",$AH143=fMonth),OR(fTStatus="All",$M143=fTStatus)),1,0))</f>
        <v>0</v>
      </c>
      <c r="AJ143" s="71">
        <f>IF($G143="",0,IF(AND(OR(fClient="All",$C143=fClient),OR(fCampaign="All",$D143=fCampaign),OR(fTeam="All",$B143=fTeam),OR(fChannel="All",$F143=fChannel)),1,0))</f>
        <v>0</v>
      </c>
      <c r="AK143" s="71">
        <f>IF($G143="",0,IF(OR($M143="Completed",$M143="Cancelled"),0,1))</f>
        <v>0</v>
      </c>
      <c r="AL143" s="71">
        <f>IF(AND($AK143=1,ISNUMBER($L143)),IF($L143&lt;ReportDate,1,0),0)</f>
        <v>0</v>
      </c>
      <c r="AM143" s="71">
        <f>IF(AND($G143&lt;&gt;"",$M143="Blocked"),1,0)</f>
        <v>0</v>
      </c>
      <c r="AN143" s="71">
        <f>IF(AND($AK143=1,ISNUMBER($L143)),IF($L143=ReportDate,1,0),0)</f>
        <v>0</v>
      </c>
      <c r="AO143" s="71">
        <f>IF(AND($AK143=1,ISNUMBER($L143)),IF($L143=ReportDate+1,1,0),0)</f>
        <v>0</v>
      </c>
      <c r="AP143" s="71">
        <f>IF(AND($AK143=1,ISNUMBER($L143)),IF(AND($L143&gt;=ReportDate,$L143&lt;=ReportDate+DueSoonDays),1,0),0)</f>
        <v>0</v>
      </c>
      <c r="AQ143" s="71">
        <f>IF(AND($AK143=1,OR($I143="Critical",$I143="High")),1,0)</f>
        <v>0</v>
      </c>
      <c r="AR143" s="71">
        <f>IF($AK143=1,IF(ISNUMBER($Y143),IF(ReportDate-$Y143&gt;StaleDays,1,0),1),0)</f>
        <v>0</v>
      </c>
      <c r="AS143" s="71">
        <f>IF(AND($G143&lt;&gt;"",ISNUMBER($Q143),ISNUMBER($R143)),IF(AND($Q143&lt;$R143,OR($M143="Completed",AND(ISNUMBER($L143),$L143&lt;ReportDate))),1,0),0)</f>
        <v>0</v>
      </c>
      <c r="AT143" s="71">
        <f>IF($AK143=1,IF(OR($L143=ReportDate,$W143=ReportDate,$K143=ReportDate,$A143=ReportDate),1,0),0)</f>
        <v>0</v>
      </c>
      <c r="AU143" s="71">
        <f>IF($AK143=1,IF(OR($L143=ReportDate+1,$W143=ReportDate+1,$K143=ReportDate+1,$A143=ReportDate+1),1,0),0)</f>
        <v>0</v>
      </c>
      <c r="AV143" s="71">
        <f>IF(AND($G143&lt;&gt;"",$M143="Completed"),IF(OR($Y143=ReportDate-1,$A143=ReportDate-1),1,0),0)</f>
        <v>0</v>
      </c>
      <c r="AW143" s="71">
        <f>IF(AND($AK143=1,$Z143="Yes"),1,0)</f>
        <v>0</v>
      </c>
      <c r="AX143" s="71">
        <f>IF(AND($AK143=1,$AA143="Yes"),1,0)</f>
        <v>0</v>
      </c>
      <c r="AY143" s="71">
        <f>IF(AND($AM143=1,OR($I143="Critical",$I143="High")),1,0)</f>
        <v>0</v>
      </c>
      <c r="AZ143" s="71">
        <f>IF(AND($AK143=1,OR($C143=TCL_Client,$C143=MECCA_Client)),1,0)</f>
        <v>0</v>
      </c>
      <c r="BA143" s="71" t="str">
        <f>IF($G143="","",IFERROR(MATCH($I143,lst_Priority,0),5))</f>
        <v/>
      </c>
      <c r="BB143" s="71" t="str">
        <f>IF(AND($AL143=1,$AJ143=1),$BA143*100000+ROW(),"")</f>
        <v/>
      </c>
      <c r="BC143" s="71" t="str">
        <f>IF(AND($AM143=1,$AJ143=1),$BA143*100000+ROW(),"")</f>
        <v/>
      </c>
      <c r="BD143" s="71" t="str">
        <f>IF(AND($AP143=1,$AJ143=1),$BA143*100000+ROW(),"")</f>
        <v/>
      </c>
      <c r="BE143" s="71" t="str">
        <f>IF(AND($AT143=1,$AJ143=1),$BA143*100000+ROW(),"")</f>
        <v/>
      </c>
      <c r="BF143" s="71" t="str">
        <f>IF(AND($AU143=1,$AJ143=1),$BA143*100000+ROW(),"")</f>
        <v/>
      </c>
      <c r="BG143" s="71" t="str">
        <f>IF(AND($AV143=1,$AJ143=1),$BA143*100000+ROW(),"")</f>
        <v/>
      </c>
      <c r="BH143" s="71" t="str">
        <f>IF(AND($AW143=1,$AJ143=1),$BA143*100000+ROW(),"")</f>
        <v/>
      </c>
      <c r="BI143" s="71" t="str">
        <f>IF(AND($AX143=1,$AJ143=1),$BA143*100000+ROW(),"")</f>
        <v/>
      </c>
      <c r="BJ143" s="71" t="str">
        <f>IF(AND($AS143=1,$AJ143=1),$BA143*100000+ROW(),"")</f>
        <v/>
      </c>
      <c r="BK143" s="71" t="str">
        <f>IF(AND($AY143=1,$AJ143=1),$BA143*100000+ROW(),"")</f>
        <v/>
      </c>
      <c r="BL143" s="71" t="str">
        <f>IF(AND($AZ143=1),$BA143*100000+ROW(),"")</f>
        <v/>
      </c>
    </row>
    <row r="144">
      <c r="A144" s="63" t="n"/>
      <c r="B144" s="64" t="n"/>
      <c r="C144" s="64" t="n"/>
      <c r="D144" s="64" t="n"/>
      <c r="E144" s="64" t="n"/>
      <c r="F144" s="64" t="n"/>
      <c r="G144" s="65" t="n"/>
      <c r="H144" s="65" t="n"/>
      <c r="I144" s="64" t="n"/>
      <c r="J144" s="64" t="n"/>
      <c r="K144" s="63" t="n"/>
      <c r="L144" s="63" t="n"/>
      <c r="M144" s="64" t="n"/>
      <c r="N144" s="66" t="n"/>
      <c r="O144" s="65" t="n"/>
      <c r="P144" s="64" t="n"/>
      <c r="Q144" s="67" t="n"/>
      <c r="R144" s="67" t="n"/>
      <c r="S144" s="68" t="str">
        <f>IF(AND(ISNUMBER($Q144),ISNUMBER($R144)),$Q144-$R144,"")</f>
        <v/>
      </c>
      <c r="T144" s="65" t="n"/>
      <c r="U144" s="64" t="n"/>
      <c r="V144" s="65" t="n"/>
      <c r="W144" s="63" t="n"/>
      <c r="X144" s="65" t="n"/>
      <c r="Y144" s="63" t="n"/>
      <c r="Z144" s="64" t="n"/>
      <c r="AA144" s="64" t="n"/>
      <c r="AB144" s="65" t="n"/>
      <c r="AC144" s="69" t="str">
        <f>IF(OR($G144="",NOT(ISNUMBER($K144)),$AK144=0),"",MAX(0,ReportDate-$K144))</f>
        <v/>
      </c>
      <c r="AD144" s="69" t="str">
        <f>IF($G144="","",IF($AL144=1,ReportDate-$L144,0))</f>
        <v/>
      </c>
      <c r="AE144" s="70" t="str">
        <f>IF($G144="","",IF($M144="Completed",1,IF(ISNUMBER($N144),$N144,0)))</f>
        <v/>
      </c>
      <c r="AF144" s="70" t="str">
        <f>IF(AND(ISNUMBER($Q144),ISNUMBER($R144)),IF($R144&lt;&gt;0,$Q144/$R144,""),"")</f>
        <v/>
      </c>
      <c r="AG144" s="71" t="str">
        <f>IF($G144="","",IF($AL144=1,"OVERDUE",IF($AM144=1,"BLOCKED",IF($AN144=1,"DUE TODAY",IF($AO144=1,"DUE TOMORROW",IF($AQ144=1,"HIGH PRIORITY",IF($AR144=1,"NO RECENT UPDATE",""))))))) </f>
        <v/>
      </c>
      <c r="AH144" s="71" t="str">
        <f>IF($G144="","",IF(ISNUMBER($A144),IF(ISNUMBER($A144),YEAR($A144)&amp;"-"&amp;TEXT(MONTH($A144),"00"),""),IF(ISNUMBER($L144),IF(ISNUMBER($L144),YEAR($L144)&amp;"-"&amp;TEXT(MONTH($L144),"00"),""),"")))</f>
        <v/>
      </c>
      <c r="AI144" s="71">
        <f>IF($G144="",0,IF(AND(OR(fClient="All",$C144=fClient),OR(fCampaign="All",$D144=fCampaign),OR(fTeam="All",$B144=fTeam),OR(fChannel="All",$F144=fChannel),OR(fMonth="All",$AH144=fMonth),OR(fTStatus="All",$M144=fTStatus)),1,0))</f>
        <v>0</v>
      </c>
      <c r="AJ144" s="71">
        <f>IF($G144="",0,IF(AND(OR(fClient="All",$C144=fClient),OR(fCampaign="All",$D144=fCampaign),OR(fTeam="All",$B144=fTeam),OR(fChannel="All",$F144=fChannel)),1,0))</f>
        <v>0</v>
      </c>
      <c r="AK144" s="71">
        <f>IF($G144="",0,IF(OR($M144="Completed",$M144="Cancelled"),0,1))</f>
        <v>0</v>
      </c>
      <c r="AL144" s="71">
        <f>IF(AND($AK144=1,ISNUMBER($L144)),IF($L144&lt;ReportDate,1,0),0)</f>
        <v>0</v>
      </c>
      <c r="AM144" s="71">
        <f>IF(AND($G144&lt;&gt;"",$M144="Blocked"),1,0)</f>
        <v>0</v>
      </c>
      <c r="AN144" s="71">
        <f>IF(AND($AK144=1,ISNUMBER($L144)),IF($L144=ReportDate,1,0),0)</f>
        <v>0</v>
      </c>
      <c r="AO144" s="71">
        <f>IF(AND($AK144=1,ISNUMBER($L144)),IF($L144=ReportDate+1,1,0),0)</f>
        <v>0</v>
      </c>
      <c r="AP144" s="71">
        <f>IF(AND($AK144=1,ISNUMBER($L144)),IF(AND($L144&gt;=ReportDate,$L144&lt;=ReportDate+DueSoonDays),1,0),0)</f>
        <v>0</v>
      </c>
      <c r="AQ144" s="71">
        <f>IF(AND($AK144=1,OR($I144="Critical",$I144="High")),1,0)</f>
        <v>0</v>
      </c>
      <c r="AR144" s="71">
        <f>IF($AK144=1,IF(ISNUMBER($Y144),IF(ReportDate-$Y144&gt;StaleDays,1,0),1),0)</f>
        <v>0</v>
      </c>
      <c r="AS144" s="71">
        <f>IF(AND($G144&lt;&gt;"",ISNUMBER($Q144),ISNUMBER($R144)),IF(AND($Q144&lt;$R144,OR($M144="Completed",AND(ISNUMBER($L144),$L144&lt;ReportDate))),1,0),0)</f>
        <v>0</v>
      </c>
      <c r="AT144" s="71">
        <f>IF($AK144=1,IF(OR($L144=ReportDate,$W144=ReportDate,$K144=ReportDate,$A144=ReportDate),1,0),0)</f>
        <v>0</v>
      </c>
      <c r="AU144" s="71">
        <f>IF($AK144=1,IF(OR($L144=ReportDate+1,$W144=ReportDate+1,$K144=ReportDate+1,$A144=ReportDate+1),1,0),0)</f>
        <v>0</v>
      </c>
      <c r="AV144" s="71">
        <f>IF(AND($G144&lt;&gt;"",$M144="Completed"),IF(OR($Y144=ReportDate-1,$A144=ReportDate-1),1,0),0)</f>
        <v>0</v>
      </c>
      <c r="AW144" s="71">
        <f>IF(AND($AK144=1,$Z144="Yes"),1,0)</f>
        <v>0</v>
      </c>
      <c r="AX144" s="71">
        <f>IF(AND($AK144=1,$AA144="Yes"),1,0)</f>
        <v>0</v>
      </c>
      <c r="AY144" s="71">
        <f>IF(AND($AM144=1,OR($I144="Critical",$I144="High")),1,0)</f>
        <v>0</v>
      </c>
      <c r="AZ144" s="71">
        <f>IF(AND($AK144=1,OR($C144=TCL_Client,$C144=MECCA_Client)),1,0)</f>
        <v>0</v>
      </c>
      <c r="BA144" s="71" t="str">
        <f>IF($G144="","",IFERROR(MATCH($I144,lst_Priority,0),5))</f>
        <v/>
      </c>
      <c r="BB144" s="71" t="str">
        <f>IF(AND($AL144=1,$AJ144=1),$BA144*100000+ROW(),"")</f>
        <v/>
      </c>
      <c r="BC144" s="71" t="str">
        <f>IF(AND($AM144=1,$AJ144=1),$BA144*100000+ROW(),"")</f>
        <v/>
      </c>
      <c r="BD144" s="71" t="str">
        <f>IF(AND($AP144=1,$AJ144=1),$BA144*100000+ROW(),"")</f>
        <v/>
      </c>
      <c r="BE144" s="71" t="str">
        <f>IF(AND($AT144=1,$AJ144=1),$BA144*100000+ROW(),"")</f>
        <v/>
      </c>
      <c r="BF144" s="71" t="str">
        <f>IF(AND($AU144=1,$AJ144=1),$BA144*100000+ROW(),"")</f>
        <v/>
      </c>
      <c r="BG144" s="71" t="str">
        <f>IF(AND($AV144=1,$AJ144=1),$BA144*100000+ROW(),"")</f>
        <v/>
      </c>
      <c r="BH144" s="71" t="str">
        <f>IF(AND($AW144=1,$AJ144=1),$BA144*100000+ROW(),"")</f>
        <v/>
      </c>
      <c r="BI144" s="71" t="str">
        <f>IF(AND($AX144=1,$AJ144=1),$BA144*100000+ROW(),"")</f>
        <v/>
      </c>
      <c r="BJ144" s="71" t="str">
        <f>IF(AND($AS144=1,$AJ144=1),$BA144*100000+ROW(),"")</f>
        <v/>
      </c>
      <c r="BK144" s="71" t="str">
        <f>IF(AND($AY144=1,$AJ144=1),$BA144*100000+ROW(),"")</f>
        <v/>
      </c>
      <c r="BL144" s="71" t="str">
        <f>IF(AND($AZ144=1),$BA144*100000+ROW(),"")</f>
        <v/>
      </c>
    </row>
    <row r="145">
      <c r="A145" s="63" t="n"/>
      <c r="B145" s="64" t="n"/>
      <c r="C145" s="64" t="n"/>
      <c r="D145" s="64" t="n"/>
      <c r="E145" s="64" t="n"/>
      <c r="F145" s="64" t="n"/>
      <c r="G145" s="65" t="n"/>
      <c r="H145" s="65" t="n"/>
      <c r="I145" s="64" t="n"/>
      <c r="J145" s="64" t="n"/>
      <c r="K145" s="63" t="n"/>
      <c r="L145" s="63" t="n"/>
      <c r="M145" s="64" t="n"/>
      <c r="N145" s="66" t="n"/>
      <c r="O145" s="65" t="n"/>
      <c r="P145" s="64" t="n"/>
      <c r="Q145" s="67" t="n"/>
      <c r="R145" s="67" t="n"/>
      <c r="S145" s="68" t="str">
        <f>IF(AND(ISNUMBER($Q145),ISNUMBER($R145)),$Q145-$R145,"")</f>
        <v/>
      </c>
      <c r="T145" s="65" t="n"/>
      <c r="U145" s="64" t="n"/>
      <c r="V145" s="65" t="n"/>
      <c r="W145" s="63" t="n"/>
      <c r="X145" s="65" t="n"/>
      <c r="Y145" s="63" t="n"/>
      <c r="Z145" s="64" t="n"/>
      <c r="AA145" s="64" t="n"/>
      <c r="AB145" s="65" t="n"/>
      <c r="AC145" s="69" t="str">
        <f>IF(OR($G145="",NOT(ISNUMBER($K145)),$AK145=0),"",MAX(0,ReportDate-$K145))</f>
        <v/>
      </c>
      <c r="AD145" s="69" t="str">
        <f>IF($G145="","",IF($AL145=1,ReportDate-$L145,0))</f>
        <v/>
      </c>
      <c r="AE145" s="70" t="str">
        <f>IF($G145="","",IF($M145="Completed",1,IF(ISNUMBER($N145),$N145,0)))</f>
        <v/>
      </c>
      <c r="AF145" s="70" t="str">
        <f>IF(AND(ISNUMBER($Q145),ISNUMBER($R145)),IF($R145&lt;&gt;0,$Q145/$R145,""),"")</f>
        <v/>
      </c>
      <c r="AG145" s="71" t="str">
        <f>IF($G145="","",IF($AL145=1,"OVERDUE",IF($AM145=1,"BLOCKED",IF($AN145=1,"DUE TODAY",IF($AO145=1,"DUE TOMORROW",IF($AQ145=1,"HIGH PRIORITY",IF($AR145=1,"NO RECENT UPDATE",""))))))) </f>
        <v/>
      </c>
      <c r="AH145" s="71" t="str">
        <f>IF($G145="","",IF(ISNUMBER($A145),IF(ISNUMBER($A145),YEAR($A145)&amp;"-"&amp;TEXT(MONTH($A145),"00"),""),IF(ISNUMBER($L145),IF(ISNUMBER($L145),YEAR($L145)&amp;"-"&amp;TEXT(MONTH($L145),"00"),""),"")))</f>
        <v/>
      </c>
      <c r="AI145" s="71">
        <f>IF($G145="",0,IF(AND(OR(fClient="All",$C145=fClient),OR(fCampaign="All",$D145=fCampaign),OR(fTeam="All",$B145=fTeam),OR(fChannel="All",$F145=fChannel),OR(fMonth="All",$AH145=fMonth),OR(fTStatus="All",$M145=fTStatus)),1,0))</f>
        <v>0</v>
      </c>
      <c r="AJ145" s="71">
        <f>IF($G145="",0,IF(AND(OR(fClient="All",$C145=fClient),OR(fCampaign="All",$D145=fCampaign),OR(fTeam="All",$B145=fTeam),OR(fChannel="All",$F145=fChannel)),1,0))</f>
        <v>0</v>
      </c>
      <c r="AK145" s="71">
        <f>IF($G145="",0,IF(OR($M145="Completed",$M145="Cancelled"),0,1))</f>
        <v>0</v>
      </c>
      <c r="AL145" s="71">
        <f>IF(AND($AK145=1,ISNUMBER($L145)),IF($L145&lt;ReportDate,1,0),0)</f>
        <v>0</v>
      </c>
      <c r="AM145" s="71">
        <f>IF(AND($G145&lt;&gt;"",$M145="Blocked"),1,0)</f>
        <v>0</v>
      </c>
      <c r="AN145" s="71">
        <f>IF(AND($AK145=1,ISNUMBER($L145)),IF($L145=ReportDate,1,0),0)</f>
        <v>0</v>
      </c>
      <c r="AO145" s="71">
        <f>IF(AND($AK145=1,ISNUMBER($L145)),IF($L145=ReportDate+1,1,0),0)</f>
        <v>0</v>
      </c>
      <c r="AP145" s="71">
        <f>IF(AND($AK145=1,ISNUMBER($L145)),IF(AND($L145&gt;=ReportDate,$L145&lt;=ReportDate+DueSoonDays),1,0),0)</f>
        <v>0</v>
      </c>
      <c r="AQ145" s="71">
        <f>IF(AND($AK145=1,OR($I145="Critical",$I145="High")),1,0)</f>
        <v>0</v>
      </c>
      <c r="AR145" s="71">
        <f>IF($AK145=1,IF(ISNUMBER($Y145),IF(ReportDate-$Y145&gt;StaleDays,1,0),1),0)</f>
        <v>0</v>
      </c>
      <c r="AS145" s="71">
        <f>IF(AND($G145&lt;&gt;"",ISNUMBER($Q145),ISNUMBER($R145)),IF(AND($Q145&lt;$R145,OR($M145="Completed",AND(ISNUMBER($L145),$L145&lt;ReportDate))),1,0),0)</f>
        <v>0</v>
      </c>
      <c r="AT145" s="71">
        <f>IF($AK145=1,IF(OR($L145=ReportDate,$W145=ReportDate,$K145=ReportDate,$A145=ReportDate),1,0),0)</f>
        <v>0</v>
      </c>
      <c r="AU145" s="71">
        <f>IF($AK145=1,IF(OR($L145=ReportDate+1,$W145=ReportDate+1,$K145=ReportDate+1,$A145=ReportDate+1),1,0),0)</f>
        <v>0</v>
      </c>
      <c r="AV145" s="71">
        <f>IF(AND($G145&lt;&gt;"",$M145="Completed"),IF(OR($Y145=ReportDate-1,$A145=ReportDate-1),1,0),0)</f>
        <v>0</v>
      </c>
      <c r="AW145" s="71">
        <f>IF(AND($AK145=1,$Z145="Yes"),1,0)</f>
        <v>0</v>
      </c>
      <c r="AX145" s="71">
        <f>IF(AND($AK145=1,$AA145="Yes"),1,0)</f>
        <v>0</v>
      </c>
      <c r="AY145" s="71">
        <f>IF(AND($AM145=1,OR($I145="Critical",$I145="High")),1,0)</f>
        <v>0</v>
      </c>
      <c r="AZ145" s="71">
        <f>IF(AND($AK145=1,OR($C145=TCL_Client,$C145=MECCA_Client)),1,0)</f>
        <v>0</v>
      </c>
      <c r="BA145" s="71" t="str">
        <f>IF($G145="","",IFERROR(MATCH($I145,lst_Priority,0),5))</f>
        <v/>
      </c>
      <c r="BB145" s="71" t="str">
        <f>IF(AND($AL145=1,$AJ145=1),$BA145*100000+ROW(),"")</f>
        <v/>
      </c>
      <c r="BC145" s="71" t="str">
        <f>IF(AND($AM145=1,$AJ145=1),$BA145*100000+ROW(),"")</f>
        <v/>
      </c>
      <c r="BD145" s="71" t="str">
        <f>IF(AND($AP145=1,$AJ145=1),$BA145*100000+ROW(),"")</f>
        <v/>
      </c>
      <c r="BE145" s="71" t="str">
        <f>IF(AND($AT145=1,$AJ145=1),$BA145*100000+ROW(),"")</f>
        <v/>
      </c>
      <c r="BF145" s="71" t="str">
        <f>IF(AND($AU145=1,$AJ145=1),$BA145*100000+ROW(),"")</f>
        <v/>
      </c>
      <c r="BG145" s="71" t="str">
        <f>IF(AND($AV145=1,$AJ145=1),$BA145*100000+ROW(),"")</f>
        <v/>
      </c>
      <c r="BH145" s="71" t="str">
        <f>IF(AND($AW145=1,$AJ145=1),$BA145*100000+ROW(),"")</f>
        <v/>
      </c>
      <c r="BI145" s="71" t="str">
        <f>IF(AND($AX145=1,$AJ145=1),$BA145*100000+ROW(),"")</f>
        <v/>
      </c>
      <c r="BJ145" s="71" t="str">
        <f>IF(AND($AS145=1,$AJ145=1),$BA145*100000+ROW(),"")</f>
        <v/>
      </c>
      <c r="BK145" s="71" t="str">
        <f>IF(AND($AY145=1,$AJ145=1),$BA145*100000+ROW(),"")</f>
        <v/>
      </c>
      <c r="BL145" s="71" t="str">
        <f>IF(AND($AZ145=1),$BA145*100000+ROW(),"")</f>
        <v/>
      </c>
    </row>
    <row r="146">
      <c r="A146" s="63" t="n"/>
      <c r="B146" s="64" t="n"/>
      <c r="C146" s="64" t="n"/>
      <c r="D146" s="64" t="n"/>
      <c r="E146" s="64" t="n"/>
      <c r="F146" s="64" t="n"/>
      <c r="G146" s="65" t="n"/>
      <c r="H146" s="65" t="n"/>
      <c r="I146" s="64" t="n"/>
      <c r="J146" s="64" t="n"/>
      <c r="K146" s="63" t="n"/>
      <c r="L146" s="63" t="n"/>
      <c r="M146" s="64" t="n"/>
      <c r="N146" s="66" t="n"/>
      <c r="O146" s="65" t="n"/>
      <c r="P146" s="64" t="n"/>
      <c r="Q146" s="67" t="n"/>
      <c r="R146" s="67" t="n"/>
      <c r="S146" s="68" t="str">
        <f>IF(AND(ISNUMBER($Q146),ISNUMBER($R146)),$Q146-$R146,"")</f>
        <v/>
      </c>
      <c r="T146" s="65" t="n"/>
      <c r="U146" s="64" t="n"/>
      <c r="V146" s="65" t="n"/>
      <c r="W146" s="63" t="n"/>
      <c r="X146" s="65" t="n"/>
      <c r="Y146" s="63" t="n"/>
      <c r="Z146" s="64" t="n"/>
      <c r="AA146" s="64" t="n"/>
      <c r="AB146" s="65" t="n"/>
      <c r="AC146" s="69" t="str">
        <f>IF(OR($G146="",NOT(ISNUMBER($K146)),$AK146=0),"",MAX(0,ReportDate-$K146))</f>
        <v/>
      </c>
      <c r="AD146" s="69" t="str">
        <f>IF($G146="","",IF($AL146=1,ReportDate-$L146,0))</f>
        <v/>
      </c>
      <c r="AE146" s="70" t="str">
        <f>IF($G146="","",IF($M146="Completed",1,IF(ISNUMBER($N146),$N146,0)))</f>
        <v/>
      </c>
      <c r="AF146" s="70" t="str">
        <f>IF(AND(ISNUMBER($Q146),ISNUMBER($R146)),IF($R146&lt;&gt;0,$Q146/$R146,""),"")</f>
        <v/>
      </c>
      <c r="AG146" s="71" t="str">
        <f>IF($G146="","",IF($AL146=1,"OVERDUE",IF($AM146=1,"BLOCKED",IF($AN146=1,"DUE TODAY",IF($AO146=1,"DUE TOMORROW",IF($AQ146=1,"HIGH PRIORITY",IF($AR146=1,"NO RECENT UPDATE",""))))))) </f>
        <v/>
      </c>
      <c r="AH146" s="71" t="str">
        <f>IF($G146="","",IF(ISNUMBER($A146),IF(ISNUMBER($A146),YEAR($A146)&amp;"-"&amp;TEXT(MONTH($A146),"00"),""),IF(ISNUMBER($L146),IF(ISNUMBER($L146),YEAR($L146)&amp;"-"&amp;TEXT(MONTH($L146),"00"),""),"")))</f>
        <v/>
      </c>
      <c r="AI146" s="71">
        <f>IF($G146="",0,IF(AND(OR(fClient="All",$C146=fClient),OR(fCampaign="All",$D146=fCampaign),OR(fTeam="All",$B146=fTeam),OR(fChannel="All",$F146=fChannel),OR(fMonth="All",$AH146=fMonth),OR(fTStatus="All",$M146=fTStatus)),1,0))</f>
        <v>0</v>
      </c>
      <c r="AJ146" s="71">
        <f>IF($G146="",0,IF(AND(OR(fClient="All",$C146=fClient),OR(fCampaign="All",$D146=fCampaign),OR(fTeam="All",$B146=fTeam),OR(fChannel="All",$F146=fChannel)),1,0))</f>
        <v>0</v>
      </c>
      <c r="AK146" s="71">
        <f>IF($G146="",0,IF(OR($M146="Completed",$M146="Cancelled"),0,1))</f>
        <v>0</v>
      </c>
      <c r="AL146" s="71">
        <f>IF(AND($AK146=1,ISNUMBER($L146)),IF($L146&lt;ReportDate,1,0),0)</f>
        <v>0</v>
      </c>
      <c r="AM146" s="71">
        <f>IF(AND($G146&lt;&gt;"",$M146="Blocked"),1,0)</f>
        <v>0</v>
      </c>
      <c r="AN146" s="71">
        <f>IF(AND($AK146=1,ISNUMBER($L146)),IF($L146=ReportDate,1,0),0)</f>
        <v>0</v>
      </c>
      <c r="AO146" s="71">
        <f>IF(AND($AK146=1,ISNUMBER($L146)),IF($L146=ReportDate+1,1,0),0)</f>
        <v>0</v>
      </c>
      <c r="AP146" s="71">
        <f>IF(AND($AK146=1,ISNUMBER($L146)),IF(AND($L146&gt;=ReportDate,$L146&lt;=ReportDate+DueSoonDays),1,0),0)</f>
        <v>0</v>
      </c>
      <c r="AQ146" s="71">
        <f>IF(AND($AK146=1,OR($I146="Critical",$I146="High")),1,0)</f>
        <v>0</v>
      </c>
      <c r="AR146" s="71">
        <f>IF($AK146=1,IF(ISNUMBER($Y146),IF(ReportDate-$Y146&gt;StaleDays,1,0),1),0)</f>
        <v>0</v>
      </c>
      <c r="AS146" s="71">
        <f>IF(AND($G146&lt;&gt;"",ISNUMBER($Q146),ISNUMBER($R146)),IF(AND($Q146&lt;$R146,OR($M146="Completed",AND(ISNUMBER($L146),$L146&lt;ReportDate))),1,0),0)</f>
        <v>0</v>
      </c>
      <c r="AT146" s="71">
        <f>IF($AK146=1,IF(OR($L146=ReportDate,$W146=ReportDate,$K146=ReportDate,$A146=ReportDate),1,0),0)</f>
        <v>0</v>
      </c>
      <c r="AU146" s="71">
        <f>IF($AK146=1,IF(OR($L146=ReportDate+1,$W146=ReportDate+1,$K146=ReportDate+1,$A146=ReportDate+1),1,0),0)</f>
        <v>0</v>
      </c>
      <c r="AV146" s="71">
        <f>IF(AND($G146&lt;&gt;"",$M146="Completed"),IF(OR($Y146=ReportDate-1,$A146=ReportDate-1),1,0),0)</f>
        <v>0</v>
      </c>
      <c r="AW146" s="71">
        <f>IF(AND($AK146=1,$Z146="Yes"),1,0)</f>
        <v>0</v>
      </c>
      <c r="AX146" s="71">
        <f>IF(AND($AK146=1,$AA146="Yes"),1,0)</f>
        <v>0</v>
      </c>
      <c r="AY146" s="71">
        <f>IF(AND($AM146=1,OR($I146="Critical",$I146="High")),1,0)</f>
        <v>0</v>
      </c>
      <c r="AZ146" s="71">
        <f>IF(AND($AK146=1,OR($C146=TCL_Client,$C146=MECCA_Client)),1,0)</f>
        <v>0</v>
      </c>
      <c r="BA146" s="71" t="str">
        <f>IF($G146="","",IFERROR(MATCH($I146,lst_Priority,0),5))</f>
        <v/>
      </c>
      <c r="BB146" s="71" t="str">
        <f>IF(AND($AL146=1,$AJ146=1),$BA146*100000+ROW(),"")</f>
        <v/>
      </c>
      <c r="BC146" s="71" t="str">
        <f>IF(AND($AM146=1,$AJ146=1),$BA146*100000+ROW(),"")</f>
        <v/>
      </c>
      <c r="BD146" s="71" t="str">
        <f>IF(AND($AP146=1,$AJ146=1),$BA146*100000+ROW(),"")</f>
        <v/>
      </c>
      <c r="BE146" s="71" t="str">
        <f>IF(AND($AT146=1,$AJ146=1),$BA146*100000+ROW(),"")</f>
        <v/>
      </c>
      <c r="BF146" s="71" t="str">
        <f>IF(AND($AU146=1,$AJ146=1),$BA146*100000+ROW(),"")</f>
        <v/>
      </c>
      <c r="BG146" s="71" t="str">
        <f>IF(AND($AV146=1,$AJ146=1),$BA146*100000+ROW(),"")</f>
        <v/>
      </c>
      <c r="BH146" s="71" t="str">
        <f>IF(AND($AW146=1,$AJ146=1),$BA146*100000+ROW(),"")</f>
        <v/>
      </c>
      <c r="BI146" s="71" t="str">
        <f>IF(AND($AX146=1,$AJ146=1),$BA146*100000+ROW(),"")</f>
        <v/>
      </c>
      <c r="BJ146" s="71" t="str">
        <f>IF(AND($AS146=1,$AJ146=1),$BA146*100000+ROW(),"")</f>
        <v/>
      </c>
      <c r="BK146" s="71" t="str">
        <f>IF(AND($AY146=1,$AJ146=1),$BA146*100000+ROW(),"")</f>
        <v/>
      </c>
      <c r="BL146" s="71" t="str">
        <f>IF(AND($AZ146=1),$BA146*100000+ROW(),"")</f>
        <v/>
      </c>
    </row>
    <row r="147">
      <c r="A147" s="63" t="n"/>
      <c r="B147" s="64" t="n"/>
      <c r="C147" s="64" t="n"/>
      <c r="D147" s="64" t="n"/>
      <c r="E147" s="64" t="n"/>
      <c r="F147" s="64" t="n"/>
      <c r="G147" s="65" t="n"/>
      <c r="H147" s="65" t="n"/>
      <c r="I147" s="64" t="n"/>
      <c r="J147" s="64" t="n"/>
      <c r="K147" s="63" t="n"/>
      <c r="L147" s="63" t="n"/>
      <c r="M147" s="64" t="n"/>
      <c r="N147" s="66" t="n"/>
      <c r="O147" s="65" t="n"/>
      <c r="P147" s="64" t="n"/>
      <c r="Q147" s="67" t="n"/>
      <c r="R147" s="67" t="n"/>
      <c r="S147" s="68" t="str">
        <f>IF(AND(ISNUMBER($Q147),ISNUMBER($R147)),$Q147-$R147,"")</f>
        <v/>
      </c>
      <c r="T147" s="65" t="n"/>
      <c r="U147" s="64" t="n"/>
      <c r="V147" s="65" t="n"/>
      <c r="W147" s="63" t="n"/>
      <c r="X147" s="65" t="n"/>
      <c r="Y147" s="63" t="n"/>
      <c r="Z147" s="64" t="n"/>
      <c r="AA147" s="64" t="n"/>
      <c r="AB147" s="65" t="n"/>
      <c r="AC147" s="69" t="str">
        <f>IF(OR($G147="",NOT(ISNUMBER($K147)),$AK147=0),"",MAX(0,ReportDate-$K147))</f>
        <v/>
      </c>
      <c r="AD147" s="69" t="str">
        <f>IF($G147="","",IF($AL147=1,ReportDate-$L147,0))</f>
        <v/>
      </c>
      <c r="AE147" s="70" t="str">
        <f>IF($G147="","",IF($M147="Completed",1,IF(ISNUMBER($N147),$N147,0)))</f>
        <v/>
      </c>
      <c r="AF147" s="70" t="str">
        <f>IF(AND(ISNUMBER($Q147),ISNUMBER($R147)),IF($R147&lt;&gt;0,$Q147/$R147,""),"")</f>
        <v/>
      </c>
      <c r="AG147" s="71" t="str">
        <f>IF($G147="","",IF($AL147=1,"OVERDUE",IF($AM147=1,"BLOCKED",IF($AN147=1,"DUE TODAY",IF($AO147=1,"DUE TOMORROW",IF($AQ147=1,"HIGH PRIORITY",IF($AR147=1,"NO RECENT UPDATE",""))))))) </f>
        <v/>
      </c>
      <c r="AH147" s="71" t="str">
        <f>IF($G147="","",IF(ISNUMBER($A147),IF(ISNUMBER($A147),YEAR($A147)&amp;"-"&amp;TEXT(MONTH($A147),"00"),""),IF(ISNUMBER($L147),IF(ISNUMBER($L147),YEAR($L147)&amp;"-"&amp;TEXT(MONTH($L147),"00"),""),"")))</f>
        <v/>
      </c>
      <c r="AI147" s="71">
        <f>IF($G147="",0,IF(AND(OR(fClient="All",$C147=fClient),OR(fCampaign="All",$D147=fCampaign),OR(fTeam="All",$B147=fTeam),OR(fChannel="All",$F147=fChannel),OR(fMonth="All",$AH147=fMonth),OR(fTStatus="All",$M147=fTStatus)),1,0))</f>
        <v>0</v>
      </c>
      <c r="AJ147" s="71">
        <f>IF($G147="",0,IF(AND(OR(fClient="All",$C147=fClient),OR(fCampaign="All",$D147=fCampaign),OR(fTeam="All",$B147=fTeam),OR(fChannel="All",$F147=fChannel)),1,0))</f>
        <v>0</v>
      </c>
      <c r="AK147" s="71">
        <f>IF($G147="",0,IF(OR($M147="Completed",$M147="Cancelled"),0,1))</f>
        <v>0</v>
      </c>
      <c r="AL147" s="71">
        <f>IF(AND($AK147=1,ISNUMBER($L147)),IF($L147&lt;ReportDate,1,0),0)</f>
        <v>0</v>
      </c>
      <c r="AM147" s="71">
        <f>IF(AND($G147&lt;&gt;"",$M147="Blocked"),1,0)</f>
        <v>0</v>
      </c>
      <c r="AN147" s="71">
        <f>IF(AND($AK147=1,ISNUMBER($L147)),IF($L147=ReportDate,1,0),0)</f>
        <v>0</v>
      </c>
      <c r="AO147" s="71">
        <f>IF(AND($AK147=1,ISNUMBER($L147)),IF($L147=ReportDate+1,1,0),0)</f>
        <v>0</v>
      </c>
      <c r="AP147" s="71">
        <f>IF(AND($AK147=1,ISNUMBER($L147)),IF(AND($L147&gt;=ReportDate,$L147&lt;=ReportDate+DueSoonDays),1,0),0)</f>
        <v>0</v>
      </c>
      <c r="AQ147" s="71">
        <f>IF(AND($AK147=1,OR($I147="Critical",$I147="High")),1,0)</f>
        <v>0</v>
      </c>
      <c r="AR147" s="71">
        <f>IF($AK147=1,IF(ISNUMBER($Y147),IF(ReportDate-$Y147&gt;StaleDays,1,0),1),0)</f>
        <v>0</v>
      </c>
      <c r="AS147" s="71">
        <f>IF(AND($G147&lt;&gt;"",ISNUMBER($Q147),ISNUMBER($R147)),IF(AND($Q147&lt;$R147,OR($M147="Completed",AND(ISNUMBER($L147),$L147&lt;ReportDate))),1,0),0)</f>
        <v>0</v>
      </c>
      <c r="AT147" s="71">
        <f>IF($AK147=1,IF(OR($L147=ReportDate,$W147=ReportDate,$K147=ReportDate,$A147=ReportDate),1,0),0)</f>
        <v>0</v>
      </c>
      <c r="AU147" s="71">
        <f>IF($AK147=1,IF(OR($L147=ReportDate+1,$W147=ReportDate+1,$K147=ReportDate+1,$A147=ReportDate+1),1,0),0)</f>
        <v>0</v>
      </c>
      <c r="AV147" s="71">
        <f>IF(AND($G147&lt;&gt;"",$M147="Completed"),IF(OR($Y147=ReportDate-1,$A147=ReportDate-1),1,0),0)</f>
        <v>0</v>
      </c>
      <c r="AW147" s="71">
        <f>IF(AND($AK147=1,$Z147="Yes"),1,0)</f>
        <v>0</v>
      </c>
      <c r="AX147" s="71">
        <f>IF(AND($AK147=1,$AA147="Yes"),1,0)</f>
        <v>0</v>
      </c>
      <c r="AY147" s="71">
        <f>IF(AND($AM147=1,OR($I147="Critical",$I147="High")),1,0)</f>
        <v>0</v>
      </c>
      <c r="AZ147" s="71">
        <f>IF(AND($AK147=1,OR($C147=TCL_Client,$C147=MECCA_Client)),1,0)</f>
        <v>0</v>
      </c>
      <c r="BA147" s="71" t="str">
        <f>IF($G147="","",IFERROR(MATCH($I147,lst_Priority,0),5))</f>
        <v/>
      </c>
      <c r="BB147" s="71" t="str">
        <f>IF(AND($AL147=1,$AJ147=1),$BA147*100000+ROW(),"")</f>
        <v/>
      </c>
      <c r="BC147" s="71" t="str">
        <f>IF(AND($AM147=1,$AJ147=1),$BA147*100000+ROW(),"")</f>
        <v/>
      </c>
      <c r="BD147" s="71" t="str">
        <f>IF(AND($AP147=1,$AJ147=1),$BA147*100000+ROW(),"")</f>
        <v/>
      </c>
      <c r="BE147" s="71" t="str">
        <f>IF(AND($AT147=1,$AJ147=1),$BA147*100000+ROW(),"")</f>
        <v/>
      </c>
      <c r="BF147" s="71" t="str">
        <f>IF(AND($AU147=1,$AJ147=1),$BA147*100000+ROW(),"")</f>
        <v/>
      </c>
      <c r="BG147" s="71" t="str">
        <f>IF(AND($AV147=1,$AJ147=1),$BA147*100000+ROW(),"")</f>
        <v/>
      </c>
      <c r="BH147" s="71" t="str">
        <f>IF(AND($AW147=1,$AJ147=1),$BA147*100000+ROW(),"")</f>
        <v/>
      </c>
      <c r="BI147" s="71" t="str">
        <f>IF(AND($AX147=1,$AJ147=1),$BA147*100000+ROW(),"")</f>
        <v/>
      </c>
      <c r="BJ147" s="71" t="str">
        <f>IF(AND($AS147=1,$AJ147=1),$BA147*100000+ROW(),"")</f>
        <v/>
      </c>
      <c r="BK147" s="71" t="str">
        <f>IF(AND($AY147=1,$AJ147=1),$BA147*100000+ROW(),"")</f>
        <v/>
      </c>
      <c r="BL147" s="71" t="str">
        <f>IF(AND($AZ147=1),$BA147*100000+ROW(),"")</f>
        <v/>
      </c>
    </row>
    <row r="148">
      <c r="A148" s="63" t="n"/>
      <c r="B148" s="64" t="n"/>
      <c r="C148" s="64" t="n"/>
      <c r="D148" s="64" t="n"/>
      <c r="E148" s="64" t="n"/>
      <c r="F148" s="64" t="n"/>
      <c r="G148" s="65" t="n"/>
      <c r="H148" s="65" t="n"/>
      <c r="I148" s="64" t="n"/>
      <c r="J148" s="64" t="n"/>
      <c r="K148" s="63" t="n"/>
      <c r="L148" s="63" t="n"/>
      <c r="M148" s="64" t="n"/>
      <c r="N148" s="66" t="n"/>
      <c r="O148" s="65" t="n"/>
      <c r="P148" s="64" t="n"/>
      <c r="Q148" s="67" t="n"/>
      <c r="R148" s="67" t="n"/>
      <c r="S148" s="68" t="str">
        <f>IF(AND(ISNUMBER($Q148),ISNUMBER($R148)),$Q148-$R148,"")</f>
        <v/>
      </c>
      <c r="T148" s="65" t="n"/>
      <c r="U148" s="64" t="n"/>
      <c r="V148" s="65" t="n"/>
      <c r="W148" s="63" t="n"/>
      <c r="X148" s="65" t="n"/>
      <c r="Y148" s="63" t="n"/>
      <c r="Z148" s="64" t="n"/>
      <c r="AA148" s="64" t="n"/>
      <c r="AB148" s="65" t="n"/>
      <c r="AC148" s="69" t="str">
        <f>IF(OR($G148="",NOT(ISNUMBER($K148)),$AK148=0),"",MAX(0,ReportDate-$K148))</f>
        <v/>
      </c>
      <c r="AD148" s="69" t="str">
        <f>IF($G148="","",IF($AL148=1,ReportDate-$L148,0))</f>
        <v/>
      </c>
      <c r="AE148" s="70" t="str">
        <f>IF($G148="","",IF($M148="Completed",1,IF(ISNUMBER($N148),$N148,0)))</f>
        <v/>
      </c>
      <c r="AF148" s="70" t="str">
        <f>IF(AND(ISNUMBER($Q148),ISNUMBER($R148)),IF($R148&lt;&gt;0,$Q148/$R148,""),"")</f>
        <v/>
      </c>
      <c r="AG148" s="71" t="str">
        <f>IF($G148="","",IF($AL148=1,"OVERDUE",IF($AM148=1,"BLOCKED",IF($AN148=1,"DUE TODAY",IF($AO148=1,"DUE TOMORROW",IF($AQ148=1,"HIGH PRIORITY",IF($AR148=1,"NO RECENT UPDATE",""))))))) </f>
        <v/>
      </c>
      <c r="AH148" s="71" t="str">
        <f>IF($G148="","",IF(ISNUMBER($A148),IF(ISNUMBER($A148),YEAR($A148)&amp;"-"&amp;TEXT(MONTH($A148),"00"),""),IF(ISNUMBER($L148),IF(ISNUMBER($L148),YEAR($L148)&amp;"-"&amp;TEXT(MONTH($L148),"00"),""),"")))</f>
        <v/>
      </c>
      <c r="AI148" s="71">
        <f>IF($G148="",0,IF(AND(OR(fClient="All",$C148=fClient),OR(fCampaign="All",$D148=fCampaign),OR(fTeam="All",$B148=fTeam),OR(fChannel="All",$F148=fChannel),OR(fMonth="All",$AH148=fMonth),OR(fTStatus="All",$M148=fTStatus)),1,0))</f>
        <v>0</v>
      </c>
      <c r="AJ148" s="71">
        <f>IF($G148="",0,IF(AND(OR(fClient="All",$C148=fClient),OR(fCampaign="All",$D148=fCampaign),OR(fTeam="All",$B148=fTeam),OR(fChannel="All",$F148=fChannel)),1,0))</f>
        <v>0</v>
      </c>
      <c r="AK148" s="71">
        <f>IF($G148="",0,IF(OR($M148="Completed",$M148="Cancelled"),0,1))</f>
        <v>0</v>
      </c>
      <c r="AL148" s="71">
        <f>IF(AND($AK148=1,ISNUMBER($L148)),IF($L148&lt;ReportDate,1,0),0)</f>
        <v>0</v>
      </c>
      <c r="AM148" s="71">
        <f>IF(AND($G148&lt;&gt;"",$M148="Blocked"),1,0)</f>
        <v>0</v>
      </c>
      <c r="AN148" s="71">
        <f>IF(AND($AK148=1,ISNUMBER($L148)),IF($L148=ReportDate,1,0),0)</f>
        <v>0</v>
      </c>
      <c r="AO148" s="71">
        <f>IF(AND($AK148=1,ISNUMBER($L148)),IF($L148=ReportDate+1,1,0),0)</f>
        <v>0</v>
      </c>
      <c r="AP148" s="71">
        <f>IF(AND($AK148=1,ISNUMBER($L148)),IF(AND($L148&gt;=ReportDate,$L148&lt;=ReportDate+DueSoonDays),1,0),0)</f>
        <v>0</v>
      </c>
      <c r="AQ148" s="71">
        <f>IF(AND($AK148=1,OR($I148="Critical",$I148="High")),1,0)</f>
        <v>0</v>
      </c>
      <c r="AR148" s="71">
        <f>IF($AK148=1,IF(ISNUMBER($Y148),IF(ReportDate-$Y148&gt;StaleDays,1,0),1),0)</f>
        <v>0</v>
      </c>
      <c r="AS148" s="71">
        <f>IF(AND($G148&lt;&gt;"",ISNUMBER($Q148),ISNUMBER($R148)),IF(AND($Q148&lt;$R148,OR($M148="Completed",AND(ISNUMBER($L148),$L148&lt;ReportDate))),1,0),0)</f>
        <v>0</v>
      </c>
      <c r="AT148" s="71">
        <f>IF($AK148=1,IF(OR($L148=ReportDate,$W148=ReportDate,$K148=ReportDate,$A148=ReportDate),1,0),0)</f>
        <v>0</v>
      </c>
      <c r="AU148" s="71">
        <f>IF($AK148=1,IF(OR($L148=ReportDate+1,$W148=ReportDate+1,$K148=ReportDate+1,$A148=ReportDate+1),1,0),0)</f>
        <v>0</v>
      </c>
      <c r="AV148" s="71">
        <f>IF(AND($G148&lt;&gt;"",$M148="Completed"),IF(OR($Y148=ReportDate-1,$A148=ReportDate-1),1,0),0)</f>
        <v>0</v>
      </c>
      <c r="AW148" s="71">
        <f>IF(AND($AK148=1,$Z148="Yes"),1,0)</f>
        <v>0</v>
      </c>
      <c r="AX148" s="71">
        <f>IF(AND($AK148=1,$AA148="Yes"),1,0)</f>
        <v>0</v>
      </c>
      <c r="AY148" s="71">
        <f>IF(AND($AM148=1,OR($I148="Critical",$I148="High")),1,0)</f>
        <v>0</v>
      </c>
      <c r="AZ148" s="71">
        <f>IF(AND($AK148=1,OR($C148=TCL_Client,$C148=MECCA_Client)),1,0)</f>
        <v>0</v>
      </c>
      <c r="BA148" s="71" t="str">
        <f>IF($G148="","",IFERROR(MATCH($I148,lst_Priority,0),5))</f>
        <v/>
      </c>
      <c r="BB148" s="71" t="str">
        <f>IF(AND($AL148=1,$AJ148=1),$BA148*100000+ROW(),"")</f>
        <v/>
      </c>
      <c r="BC148" s="71" t="str">
        <f>IF(AND($AM148=1,$AJ148=1),$BA148*100000+ROW(),"")</f>
        <v/>
      </c>
      <c r="BD148" s="71" t="str">
        <f>IF(AND($AP148=1,$AJ148=1),$BA148*100000+ROW(),"")</f>
        <v/>
      </c>
      <c r="BE148" s="71" t="str">
        <f>IF(AND($AT148=1,$AJ148=1),$BA148*100000+ROW(),"")</f>
        <v/>
      </c>
      <c r="BF148" s="71" t="str">
        <f>IF(AND($AU148=1,$AJ148=1),$BA148*100000+ROW(),"")</f>
        <v/>
      </c>
      <c r="BG148" s="71" t="str">
        <f>IF(AND($AV148=1,$AJ148=1),$BA148*100000+ROW(),"")</f>
        <v/>
      </c>
      <c r="BH148" s="71" t="str">
        <f>IF(AND($AW148=1,$AJ148=1),$BA148*100000+ROW(),"")</f>
        <v/>
      </c>
      <c r="BI148" s="71" t="str">
        <f>IF(AND($AX148=1,$AJ148=1),$BA148*100000+ROW(),"")</f>
        <v/>
      </c>
      <c r="BJ148" s="71" t="str">
        <f>IF(AND($AS148=1,$AJ148=1),$BA148*100000+ROW(),"")</f>
        <v/>
      </c>
      <c r="BK148" s="71" t="str">
        <f>IF(AND($AY148=1,$AJ148=1),$BA148*100000+ROW(),"")</f>
        <v/>
      </c>
      <c r="BL148" s="71" t="str">
        <f>IF(AND($AZ148=1),$BA148*100000+ROW(),"")</f>
        <v/>
      </c>
    </row>
    <row r="149">
      <c r="A149" s="63" t="n"/>
      <c r="B149" s="64" t="n"/>
      <c r="C149" s="64" t="n"/>
      <c r="D149" s="64" t="n"/>
      <c r="E149" s="64" t="n"/>
      <c r="F149" s="64" t="n"/>
      <c r="G149" s="65" t="n"/>
      <c r="H149" s="65" t="n"/>
      <c r="I149" s="64" t="n"/>
      <c r="J149" s="64" t="n"/>
      <c r="K149" s="63" t="n"/>
      <c r="L149" s="63" t="n"/>
      <c r="M149" s="64" t="n"/>
      <c r="N149" s="66" t="n"/>
      <c r="O149" s="65" t="n"/>
      <c r="P149" s="64" t="n"/>
      <c r="Q149" s="67" t="n"/>
      <c r="R149" s="67" t="n"/>
      <c r="S149" s="68" t="str">
        <f>IF(AND(ISNUMBER($Q149),ISNUMBER($R149)),$Q149-$R149,"")</f>
        <v/>
      </c>
      <c r="T149" s="65" t="n"/>
      <c r="U149" s="64" t="n"/>
      <c r="V149" s="65" t="n"/>
      <c r="W149" s="63" t="n"/>
      <c r="X149" s="65" t="n"/>
      <c r="Y149" s="63" t="n"/>
      <c r="Z149" s="64" t="n"/>
      <c r="AA149" s="64" t="n"/>
      <c r="AB149" s="65" t="n"/>
      <c r="AC149" s="69" t="str">
        <f>IF(OR($G149="",NOT(ISNUMBER($K149)),$AK149=0),"",MAX(0,ReportDate-$K149))</f>
        <v/>
      </c>
      <c r="AD149" s="69" t="str">
        <f>IF($G149="","",IF($AL149=1,ReportDate-$L149,0))</f>
        <v/>
      </c>
      <c r="AE149" s="70" t="str">
        <f>IF($G149="","",IF($M149="Completed",1,IF(ISNUMBER($N149),$N149,0)))</f>
        <v/>
      </c>
      <c r="AF149" s="70" t="str">
        <f>IF(AND(ISNUMBER($Q149),ISNUMBER($R149)),IF($R149&lt;&gt;0,$Q149/$R149,""),"")</f>
        <v/>
      </c>
      <c r="AG149" s="71" t="str">
        <f>IF($G149="","",IF($AL149=1,"OVERDUE",IF($AM149=1,"BLOCKED",IF($AN149=1,"DUE TODAY",IF($AO149=1,"DUE TOMORROW",IF($AQ149=1,"HIGH PRIORITY",IF($AR149=1,"NO RECENT UPDATE",""))))))) </f>
        <v/>
      </c>
      <c r="AH149" s="71" t="str">
        <f>IF($G149="","",IF(ISNUMBER($A149),IF(ISNUMBER($A149),YEAR($A149)&amp;"-"&amp;TEXT(MONTH($A149),"00"),""),IF(ISNUMBER($L149),IF(ISNUMBER($L149),YEAR($L149)&amp;"-"&amp;TEXT(MONTH($L149),"00"),""),"")))</f>
        <v/>
      </c>
      <c r="AI149" s="71">
        <f>IF($G149="",0,IF(AND(OR(fClient="All",$C149=fClient),OR(fCampaign="All",$D149=fCampaign),OR(fTeam="All",$B149=fTeam),OR(fChannel="All",$F149=fChannel),OR(fMonth="All",$AH149=fMonth),OR(fTStatus="All",$M149=fTStatus)),1,0))</f>
        <v>0</v>
      </c>
      <c r="AJ149" s="71">
        <f>IF($G149="",0,IF(AND(OR(fClient="All",$C149=fClient),OR(fCampaign="All",$D149=fCampaign),OR(fTeam="All",$B149=fTeam),OR(fChannel="All",$F149=fChannel)),1,0))</f>
        <v>0</v>
      </c>
      <c r="AK149" s="71">
        <f>IF($G149="",0,IF(OR($M149="Completed",$M149="Cancelled"),0,1))</f>
        <v>0</v>
      </c>
      <c r="AL149" s="71">
        <f>IF(AND($AK149=1,ISNUMBER($L149)),IF($L149&lt;ReportDate,1,0),0)</f>
        <v>0</v>
      </c>
      <c r="AM149" s="71">
        <f>IF(AND($G149&lt;&gt;"",$M149="Blocked"),1,0)</f>
        <v>0</v>
      </c>
      <c r="AN149" s="71">
        <f>IF(AND($AK149=1,ISNUMBER($L149)),IF($L149=ReportDate,1,0),0)</f>
        <v>0</v>
      </c>
      <c r="AO149" s="71">
        <f>IF(AND($AK149=1,ISNUMBER($L149)),IF($L149=ReportDate+1,1,0),0)</f>
        <v>0</v>
      </c>
      <c r="AP149" s="71">
        <f>IF(AND($AK149=1,ISNUMBER($L149)),IF(AND($L149&gt;=ReportDate,$L149&lt;=ReportDate+DueSoonDays),1,0),0)</f>
        <v>0</v>
      </c>
      <c r="AQ149" s="71">
        <f>IF(AND($AK149=1,OR($I149="Critical",$I149="High")),1,0)</f>
        <v>0</v>
      </c>
      <c r="AR149" s="71">
        <f>IF($AK149=1,IF(ISNUMBER($Y149),IF(ReportDate-$Y149&gt;StaleDays,1,0),1),0)</f>
        <v>0</v>
      </c>
      <c r="AS149" s="71">
        <f>IF(AND($G149&lt;&gt;"",ISNUMBER($Q149),ISNUMBER($R149)),IF(AND($Q149&lt;$R149,OR($M149="Completed",AND(ISNUMBER($L149),$L149&lt;ReportDate))),1,0),0)</f>
        <v>0</v>
      </c>
      <c r="AT149" s="71">
        <f>IF($AK149=1,IF(OR($L149=ReportDate,$W149=ReportDate,$K149=ReportDate,$A149=ReportDate),1,0),0)</f>
        <v>0</v>
      </c>
      <c r="AU149" s="71">
        <f>IF($AK149=1,IF(OR($L149=ReportDate+1,$W149=ReportDate+1,$K149=ReportDate+1,$A149=ReportDate+1),1,0),0)</f>
        <v>0</v>
      </c>
      <c r="AV149" s="71">
        <f>IF(AND($G149&lt;&gt;"",$M149="Completed"),IF(OR($Y149=ReportDate-1,$A149=ReportDate-1),1,0),0)</f>
        <v>0</v>
      </c>
      <c r="AW149" s="71">
        <f>IF(AND($AK149=1,$Z149="Yes"),1,0)</f>
        <v>0</v>
      </c>
      <c r="AX149" s="71">
        <f>IF(AND($AK149=1,$AA149="Yes"),1,0)</f>
        <v>0</v>
      </c>
      <c r="AY149" s="71">
        <f>IF(AND($AM149=1,OR($I149="Critical",$I149="High")),1,0)</f>
        <v>0</v>
      </c>
      <c r="AZ149" s="71">
        <f>IF(AND($AK149=1,OR($C149=TCL_Client,$C149=MECCA_Client)),1,0)</f>
        <v>0</v>
      </c>
      <c r="BA149" s="71" t="str">
        <f>IF($G149="","",IFERROR(MATCH($I149,lst_Priority,0),5))</f>
        <v/>
      </c>
      <c r="BB149" s="71" t="str">
        <f>IF(AND($AL149=1,$AJ149=1),$BA149*100000+ROW(),"")</f>
        <v/>
      </c>
      <c r="BC149" s="71" t="str">
        <f>IF(AND($AM149=1,$AJ149=1),$BA149*100000+ROW(),"")</f>
        <v/>
      </c>
      <c r="BD149" s="71" t="str">
        <f>IF(AND($AP149=1,$AJ149=1),$BA149*100000+ROW(),"")</f>
        <v/>
      </c>
      <c r="BE149" s="71" t="str">
        <f>IF(AND($AT149=1,$AJ149=1),$BA149*100000+ROW(),"")</f>
        <v/>
      </c>
      <c r="BF149" s="71" t="str">
        <f>IF(AND($AU149=1,$AJ149=1),$BA149*100000+ROW(),"")</f>
        <v/>
      </c>
      <c r="BG149" s="71" t="str">
        <f>IF(AND($AV149=1,$AJ149=1),$BA149*100000+ROW(),"")</f>
        <v/>
      </c>
      <c r="BH149" s="71" t="str">
        <f>IF(AND($AW149=1,$AJ149=1),$BA149*100000+ROW(),"")</f>
        <v/>
      </c>
      <c r="BI149" s="71" t="str">
        <f>IF(AND($AX149=1,$AJ149=1),$BA149*100000+ROW(),"")</f>
        <v/>
      </c>
      <c r="BJ149" s="71" t="str">
        <f>IF(AND($AS149=1,$AJ149=1),$BA149*100000+ROW(),"")</f>
        <v/>
      </c>
      <c r="BK149" s="71" t="str">
        <f>IF(AND($AY149=1,$AJ149=1),$BA149*100000+ROW(),"")</f>
        <v/>
      </c>
      <c r="BL149" s="71" t="str">
        <f>IF(AND($AZ149=1),$BA149*100000+ROW(),"")</f>
        <v/>
      </c>
    </row>
    <row r="150">
      <c r="A150" s="63" t="n"/>
      <c r="B150" s="64" t="n"/>
      <c r="C150" s="64" t="n"/>
      <c r="D150" s="64" t="n"/>
      <c r="E150" s="64" t="n"/>
      <c r="F150" s="64" t="n"/>
      <c r="G150" s="65" t="n"/>
      <c r="H150" s="65" t="n"/>
      <c r="I150" s="64" t="n"/>
      <c r="J150" s="64" t="n"/>
      <c r="K150" s="63" t="n"/>
      <c r="L150" s="63" t="n"/>
      <c r="M150" s="64" t="n"/>
      <c r="N150" s="66" t="n"/>
      <c r="O150" s="65" t="n"/>
      <c r="P150" s="64" t="n"/>
      <c r="Q150" s="67" t="n"/>
      <c r="R150" s="67" t="n"/>
      <c r="S150" s="68" t="str">
        <f>IF(AND(ISNUMBER($Q150),ISNUMBER($R150)),$Q150-$R150,"")</f>
        <v/>
      </c>
      <c r="T150" s="65" t="n"/>
      <c r="U150" s="64" t="n"/>
      <c r="V150" s="65" t="n"/>
      <c r="W150" s="63" t="n"/>
      <c r="X150" s="65" t="n"/>
      <c r="Y150" s="63" t="n"/>
      <c r="Z150" s="64" t="n"/>
      <c r="AA150" s="64" t="n"/>
      <c r="AB150" s="65" t="n"/>
      <c r="AC150" s="69" t="str">
        <f>IF(OR($G150="",NOT(ISNUMBER($K150)),$AK150=0),"",MAX(0,ReportDate-$K150))</f>
        <v/>
      </c>
      <c r="AD150" s="69" t="str">
        <f>IF($G150="","",IF($AL150=1,ReportDate-$L150,0))</f>
        <v/>
      </c>
      <c r="AE150" s="70" t="str">
        <f>IF($G150="","",IF($M150="Completed",1,IF(ISNUMBER($N150),$N150,0)))</f>
        <v/>
      </c>
      <c r="AF150" s="70" t="str">
        <f>IF(AND(ISNUMBER($Q150),ISNUMBER($R150)),IF($R150&lt;&gt;0,$Q150/$R150,""),"")</f>
        <v/>
      </c>
      <c r="AG150" s="71" t="str">
        <f>IF($G150="","",IF($AL150=1,"OVERDUE",IF($AM150=1,"BLOCKED",IF($AN150=1,"DUE TODAY",IF($AO150=1,"DUE TOMORROW",IF($AQ150=1,"HIGH PRIORITY",IF($AR150=1,"NO RECENT UPDATE",""))))))) </f>
        <v/>
      </c>
      <c r="AH150" s="71" t="str">
        <f>IF($G150="","",IF(ISNUMBER($A150),IF(ISNUMBER($A150),YEAR($A150)&amp;"-"&amp;TEXT(MONTH($A150),"00"),""),IF(ISNUMBER($L150),IF(ISNUMBER($L150),YEAR($L150)&amp;"-"&amp;TEXT(MONTH($L150),"00"),""),"")))</f>
        <v/>
      </c>
      <c r="AI150" s="71">
        <f>IF($G150="",0,IF(AND(OR(fClient="All",$C150=fClient),OR(fCampaign="All",$D150=fCampaign),OR(fTeam="All",$B150=fTeam),OR(fChannel="All",$F150=fChannel),OR(fMonth="All",$AH150=fMonth),OR(fTStatus="All",$M150=fTStatus)),1,0))</f>
        <v>0</v>
      </c>
      <c r="AJ150" s="71">
        <f>IF($G150="",0,IF(AND(OR(fClient="All",$C150=fClient),OR(fCampaign="All",$D150=fCampaign),OR(fTeam="All",$B150=fTeam),OR(fChannel="All",$F150=fChannel)),1,0))</f>
        <v>0</v>
      </c>
      <c r="AK150" s="71">
        <f>IF($G150="",0,IF(OR($M150="Completed",$M150="Cancelled"),0,1))</f>
        <v>0</v>
      </c>
      <c r="AL150" s="71">
        <f>IF(AND($AK150=1,ISNUMBER($L150)),IF($L150&lt;ReportDate,1,0),0)</f>
        <v>0</v>
      </c>
      <c r="AM150" s="71">
        <f>IF(AND($G150&lt;&gt;"",$M150="Blocked"),1,0)</f>
        <v>0</v>
      </c>
      <c r="AN150" s="71">
        <f>IF(AND($AK150=1,ISNUMBER($L150)),IF($L150=ReportDate,1,0),0)</f>
        <v>0</v>
      </c>
      <c r="AO150" s="71">
        <f>IF(AND($AK150=1,ISNUMBER($L150)),IF($L150=ReportDate+1,1,0),0)</f>
        <v>0</v>
      </c>
      <c r="AP150" s="71">
        <f>IF(AND($AK150=1,ISNUMBER($L150)),IF(AND($L150&gt;=ReportDate,$L150&lt;=ReportDate+DueSoonDays),1,0),0)</f>
        <v>0</v>
      </c>
      <c r="AQ150" s="71">
        <f>IF(AND($AK150=1,OR($I150="Critical",$I150="High")),1,0)</f>
        <v>0</v>
      </c>
      <c r="AR150" s="71">
        <f>IF($AK150=1,IF(ISNUMBER($Y150),IF(ReportDate-$Y150&gt;StaleDays,1,0),1),0)</f>
        <v>0</v>
      </c>
      <c r="AS150" s="71">
        <f>IF(AND($G150&lt;&gt;"",ISNUMBER($Q150),ISNUMBER($R150)),IF(AND($Q150&lt;$R150,OR($M150="Completed",AND(ISNUMBER($L150),$L150&lt;ReportDate))),1,0),0)</f>
        <v>0</v>
      </c>
      <c r="AT150" s="71">
        <f>IF($AK150=1,IF(OR($L150=ReportDate,$W150=ReportDate,$K150=ReportDate,$A150=ReportDate),1,0),0)</f>
        <v>0</v>
      </c>
      <c r="AU150" s="71">
        <f>IF($AK150=1,IF(OR($L150=ReportDate+1,$W150=ReportDate+1,$K150=ReportDate+1,$A150=ReportDate+1),1,0),0)</f>
        <v>0</v>
      </c>
      <c r="AV150" s="71">
        <f>IF(AND($G150&lt;&gt;"",$M150="Completed"),IF(OR($Y150=ReportDate-1,$A150=ReportDate-1),1,0),0)</f>
        <v>0</v>
      </c>
      <c r="AW150" s="71">
        <f>IF(AND($AK150=1,$Z150="Yes"),1,0)</f>
        <v>0</v>
      </c>
      <c r="AX150" s="71">
        <f>IF(AND($AK150=1,$AA150="Yes"),1,0)</f>
        <v>0</v>
      </c>
      <c r="AY150" s="71">
        <f>IF(AND($AM150=1,OR($I150="Critical",$I150="High")),1,0)</f>
        <v>0</v>
      </c>
      <c r="AZ150" s="71">
        <f>IF(AND($AK150=1,OR($C150=TCL_Client,$C150=MECCA_Client)),1,0)</f>
        <v>0</v>
      </c>
      <c r="BA150" s="71" t="str">
        <f>IF($G150="","",IFERROR(MATCH($I150,lst_Priority,0),5))</f>
        <v/>
      </c>
      <c r="BB150" s="71" t="str">
        <f>IF(AND($AL150=1,$AJ150=1),$BA150*100000+ROW(),"")</f>
        <v/>
      </c>
      <c r="BC150" s="71" t="str">
        <f>IF(AND($AM150=1,$AJ150=1),$BA150*100000+ROW(),"")</f>
        <v/>
      </c>
      <c r="BD150" s="71" t="str">
        <f>IF(AND($AP150=1,$AJ150=1),$BA150*100000+ROW(),"")</f>
        <v/>
      </c>
      <c r="BE150" s="71" t="str">
        <f>IF(AND($AT150=1,$AJ150=1),$BA150*100000+ROW(),"")</f>
        <v/>
      </c>
      <c r="BF150" s="71" t="str">
        <f>IF(AND($AU150=1,$AJ150=1),$BA150*100000+ROW(),"")</f>
        <v/>
      </c>
      <c r="BG150" s="71" t="str">
        <f>IF(AND($AV150=1,$AJ150=1),$BA150*100000+ROW(),"")</f>
        <v/>
      </c>
      <c r="BH150" s="71" t="str">
        <f>IF(AND($AW150=1,$AJ150=1),$BA150*100000+ROW(),"")</f>
        <v/>
      </c>
      <c r="BI150" s="71" t="str">
        <f>IF(AND($AX150=1,$AJ150=1),$BA150*100000+ROW(),"")</f>
        <v/>
      </c>
      <c r="BJ150" s="71" t="str">
        <f>IF(AND($AS150=1,$AJ150=1),$BA150*100000+ROW(),"")</f>
        <v/>
      </c>
      <c r="BK150" s="71" t="str">
        <f>IF(AND($AY150=1,$AJ150=1),$BA150*100000+ROW(),"")</f>
        <v/>
      </c>
      <c r="BL150" s="71" t="str">
        <f>IF(AND($AZ150=1),$BA150*100000+ROW(),"")</f>
        <v/>
      </c>
    </row>
    <row r="151">
      <c r="A151" s="63" t="n"/>
      <c r="B151" s="64" t="n"/>
      <c r="C151" s="64" t="n"/>
      <c r="D151" s="64" t="n"/>
      <c r="E151" s="64" t="n"/>
      <c r="F151" s="64" t="n"/>
      <c r="G151" s="65" t="n"/>
      <c r="H151" s="65" t="n"/>
      <c r="I151" s="64" t="n"/>
      <c r="J151" s="64" t="n"/>
      <c r="K151" s="63" t="n"/>
      <c r="L151" s="63" t="n"/>
      <c r="M151" s="64" t="n"/>
      <c r="N151" s="66" t="n"/>
      <c r="O151" s="65" t="n"/>
      <c r="P151" s="64" t="n"/>
      <c r="Q151" s="67" t="n"/>
      <c r="R151" s="67" t="n"/>
      <c r="S151" s="68" t="str">
        <f>IF(AND(ISNUMBER($Q151),ISNUMBER($R151)),$Q151-$R151,"")</f>
        <v/>
      </c>
      <c r="T151" s="65" t="n"/>
      <c r="U151" s="64" t="n"/>
      <c r="V151" s="65" t="n"/>
      <c r="W151" s="63" t="n"/>
      <c r="X151" s="65" t="n"/>
      <c r="Y151" s="63" t="n"/>
      <c r="Z151" s="64" t="n"/>
      <c r="AA151" s="64" t="n"/>
      <c r="AB151" s="65" t="n"/>
      <c r="AC151" s="69" t="str">
        <f>IF(OR($G151="",NOT(ISNUMBER($K151)),$AK151=0),"",MAX(0,ReportDate-$K151))</f>
        <v/>
      </c>
      <c r="AD151" s="69" t="str">
        <f>IF($G151="","",IF($AL151=1,ReportDate-$L151,0))</f>
        <v/>
      </c>
      <c r="AE151" s="70" t="str">
        <f>IF($G151="","",IF($M151="Completed",1,IF(ISNUMBER($N151),$N151,0)))</f>
        <v/>
      </c>
      <c r="AF151" s="70" t="str">
        <f>IF(AND(ISNUMBER($Q151),ISNUMBER($R151)),IF($R151&lt;&gt;0,$Q151/$R151,""),"")</f>
        <v/>
      </c>
      <c r="AG151" s="71" t="str">
        <f>IF($G151="","",IF($AL151=1,"OVERDUE",IF($AM151=1,"BLOCKED",IF($AN151=1,"DUE TODAY",IF($AO151=1,"DUE TOMORROW",IF($AQ151=1,"HIGH PRIORITY",IF($AR151=1,"NO RECENT UPDATE",""))))))) </f>
        <v/>
      </c>
      <c r="AH151" s="71" t="str">
        <f>IF($G151="","",IF(ISNUMBER($A151),IF(ISNUMBER($A151),YEAR($A151)&amp;"-"&amp;TEXT(MONTH($A151),"00"),""),IF(ISNUMBER($L151),IF(ISNUMBER($L151),YEAR($L151)&amp;"-"&amp;TEXT(MONTH($L151),"00"),""),"")))</f>
        <v/>
      </c>
      <c r="AI151" s="71">
        <f>IF($G151="",0,IF(AND(OR(fClient="All",$C151=fClient),OR(fCampaign="All",$D151=fCampaign),OR(fTeam="All",$B151=fTeam),OR(fChannel="All",$F151=fChannel),OR(fMonth="All",$AH151=fMonth),OR(fTStatus="All",$M151=fTStatus)),1,0))</f>
        <v>0</v>
      </c>
      <c r="AJ151" s="71">
        <f>IF($G151="",0,IF(AND(OR(fClient="All",$C151=fClient),OR(fCampaign="All",$D151=fCampaign),OR(fTeam="All",$B151=fTeam),OR(fChannel="All",$F151=fChannel)),1,0))</f>
        <v>0</v>
      </c>
      <c r="AK151" s="71">
        <f>IF($G151="",0,IF(OR($M151="Completed",$M151="Cancelled"),0,1))</f>
        <v>0</v>
      </c>
      <c r="AL151" s="71">
        <f>IF(AND($AK151=1,ISNUMBER($L151)),IF($L151&lt;ReportDate,1,0),0)</f>
        <v>0</v>
      </c>
      <c r="AM151" s="71">
        <f>IF(AND($G151&lt;&gt;"",$M151="Blocked"),1,0)</f>
        <v>0</v>
      </c>
      <c r="AN151" s="71">
        <f>IF(AND($AK151=1,ISNUMBER($L151)),IF($L151=ReportDate,1,0),0)</f>
        <v>0</v>
      </c>
      <c r="AO151" s="71">
        <f>IF(AND($AK151=1,ISNUMBER($L151)),IF($L151=ReportDate+1,1,0),0)</f>
        <v>0</v>
      </c>
      <c r="AP151" s="71">
        <f>IF(AND($AK151=1,ISNUMBER($L151)),IF(AND($L151&gt;=ReportDate,$L151&lt;=ReportDate+DueSoonDays),1,0),0)</f>
        <v>0</v>
      </c>
      <c r="AQ151" s="71">
        <f>IF(AND($AK151=1,OR($I151="Critical",$I151="High")),1,0)</f>
        <v>0</v>
      </c>
      <c r="AR151" s="71">
        <f>IF($AK151=1,IF(ISNUMBER($Y151),IF(ReportDate-$Y151&gt;StaleDays,1,0),1),0)</f>
        <v>0</v>
      </c>
      <c r="AS151" s="71">
        <f>IF(AND($G151&lt;&gt;"",ISNUMBER($Q151),ISNUMBER($R151)),IF(AND($Q151&lt;$R151,OR($M151="Completed",AND(ISNUMBER($L151),$L151&lt;ReportDate))),1,0),0)</f>
        <v>0</v>
      </c>
      <c r="AT151" s="71">
        <f>IF($AK151=1,IF(OR($L151=ReportDate,$W151=ReportDate,$K151=ReportDate,$A151=ReportDate),1,0),0)</f>
        <v>0</v>
      </c>
      <c r="AU151" s="71">
        <f>IF($AK151=1,IF(OR($L151=ReportDate+1,$W151=ReportDate+1,$K151=ReportDate+1,$A151=ReportDate+1),1,0),0)</f>
        <v>0</v>
      </c>
      <c r="AV151" s="71">
        <f>IF(AND($G151&lt;&gt;"",$M151="Completed"),IF(OR($Y151=ReportDate-1,$A151=ReportDate-1),1,0),0)</f>
        <v>0</v>
      </c>
      <c r="AW151" s="71">
        <f>IF(AND($AK151=1,$Z151="Yes"),1,0)</f>
        <v>0</v>
      </c>
      <c r="AX151" s="71">
        <f>IF(AND($AK151=1,$AA151="Yes"),1,0)</f>
        <v>0</v>
      </c>
      <c r="AY151" s="71">
        <f>IF(AND($AM151=1,OR($I151="Critical",$I151="High")),1,0)</f>
        <v>0</v>
      </c>
      <c r="AZ151" s="71">
        <f>IF(AND($AK151=1,OR($C151=TCL_Client,$C151=MECCA_Client)),1,0)</f>
        <v>0</v>
      </c>
      <c r="BA151" s="71" t="str">
        <f>IF($G151="","",IFERROR(MATCH($I151,lst_Priority,0),5))</f>
        <v/>
      </c>
      <c r="BB151" s="71" t="str">
        <f>IF(AND($AL151=1,$AJ151=1),$BA151*100000+ROW(),"")</f>
        <v/>
      </c>
      <c r="BC151" s="71" t="str">
        <f>IF(AND($AM151=1,$AJ151=1),$BA151*100000+ROW(),"")</f>
        <v/>
      </c>
      <c r="BD151" s="71" t="str">
        <f>IF(AND($AP151=1,$AJ151=1),$BA151*100000+ROW(),"")</f>
        <v/>
      </c>
      <c r="BE151" s="71" t="str">
        <f>IF(AND($AT151=1,$AJ151=1),$BA151*100000+ROW(),"")</f>
        <v/>
      </c>
      <c r="BF151" s="71" t="str">
        <f>IF(AND($AU151=1,$AJ151=1),$BA151*100000+ROW(),"")</f>
        <v/>
      </c>
      <c r="BG151" s="71" t="str">
        <f>IF(AND($AV151=1,$AJ151=1),$BA151*100000+ROW(),"")</f>
        <v/>
      </c>
      <c r="BH151" s="71" t="str">
        <f>IF(AND($AW151=1,$AJ151=1),$BA151*100000+ROW(),"")</f>
        <v/>
      </c>
      <c r="BI151" s="71" t="str">
        <f>IF(AND($AX151=1,$AJ151=1),$BA151*100000+ROW(),"")</f>
        <v/>
      </c>
      <c r="BJ151" s="71" t="str">
        <f>IF(AND($AS151=1,$AJ151=1),$BA151*100000+ROW(),"")</f>
        <v/>
      </c>
      <c r="BK151" s="71" t="str">
        <f>IF(AND($AY151=1,$AJ151=1),$BA151*100000+ROW(),"")</f>
        <v/>
      </c>
      <c r="BL151" s="71" t="str">
        <f>IF(AND($AZ151=1),$BA151*100000+ROW(),"")</f>
        <v/>
      </c>
    </row>
    <row r="152">
      <c r="A152" s="63" t="n"/>
      <c r="B152" s="64" t="n"/>
      <c r="C152" s="64" t="n"/>
      <c r="D152" s="64" t="n"/>
      <c r="E152" s="64" t="n"/>
      <c r="F152" s="64" t="n"/>
      <c r="G152" s="65" t="n"/>
      <c r="H152" s="65" t="n"/>
      <c r="I152" s="64" t="n"/>
      <c r="J152" s="64" t="n"/>
      <c r="K152" s="63" t="n"/>
      <c r="L152" s="63" t="n"/>
      <c r="M152" s="64" t="n"/>
      <c r="N152" s="66" t="n"/>
      <c r="O152" s="65" t="n"/>
      <c r="P152" s="64" t="n"/>
      <c r="Q152" s="67" t="n"/>
      <c r="R152" s="67" t="n"/>
      <c r="S152" s="68" t="str">
        <f>IF(AND(ISNUMBER($Q152),ISNUMBER($R152)),$Q152-$R152,"")</f>
        <v/>
      </c>
      <c r="T152" s="65" t="n"/>
      <c r="U152" s="64" t="n"/>
      <c r="V152" s="65" t="n"/>
      <c r="W152" s="63" t="n"/>
      <c r="X152" s="65" t="n"/>
      <c r="Y152" s="63" t="n"/>
      <c r="Z152" s="64" t="n"/>
      <c r="AA152" s="64" t="n"/>
      <c r="AB152" s="65" t="n"/>
      <c r="AC152" s="69" t="str">
        <f>IF(OR($G152="",NOT(ISNUMBER($K152)),$AK152=0),"",MAX(0,ReportDate-$K152))</f>
        <v/>
      </c>
      <c r="AD152" s="69" t="str">
        <f>IF($G152="","",IF($AL152=1,ReportDate-$L152,0))</f>
        <v/>
      </c>
      <c r="AE152" s="70" t="str">
        <f>IF($G152="","",IF($M152="Completed",1,IF(ISNUMBER($N152),$N152,0)))</f>
        <v/>
      </c>
      <c r="AF152" s="70" t="str">
        <f>IF(AND(ISNUMBER($Q152),ISNUMBER($R152)),IF($R152&lt;&gt;0,$Q152/$R152,""),"")</f>
        <v/>
      </c>
      <c r="AG152" s="71" t="str">
        <f>IF($G152="","",IF($AL152=1,"OVERDUE",IF($AM152=1,"BLOCKED",IF($AN152=1,"DUE TODAY",IF($AO152=1,"DUE TOMORROW",IF($AQ152=1,"HIGH PRIORITY",IF($AR152=1,"NO RECENT UPDATE",""))))))) </f>
        <v/>
      </c>
      <c r="AH152" s="71" t="str">
        <f>IF($G152="","",IF(ISNUMBER($A152),IF(ISNUMBER($A152),YEAR($A152)&amp;"-"&amp;TEXT(MONTH($A152),"00"),""),IF(ISNUMBER($L152),IF(ISNUMBER($L152),YEAR($L152)&amp;"-"&amp;TEXT(MONTH($L152),"00"),""),"")))</f>
        <v/>
      </c>
      <c r="AI152" s="71">
        <f>IF($G152="",0,IF(AND(OR(fClient="All",$C152=fClient),OR(fCampaign="All",$D152=fCampaign),OR(fTeam="All",$B152=fTeam),OR(fChannel="All",$F152=fChannel),OR(fMonth="All",$AH152=fMonth),OR(fTStatus="All",$M152=fTStatus)),1,0))</f>
        <v>0</v>
      </c>
      <c r="AJ152" s="71">
        <f>IF($G152="",0,IF(AND(OR(fClient="All",$C152=fClient),OR(fCampaign="All",$D152=fCampaign),OR(fTeam="All",$B152=fTeam),OR(fChannel="All",$F152=fChannel)),1,0))</f>
        <v>0</v>
      </c>
      <c r="AK152" s="71">
        <f>IF($G152="",0,IF(OR($M152="Completed",$M152="Cancelled"),0,1))</f>
        <v>0</v>
      </c>
      <c r="AL152" s="71">
        <f>IF(AND($AK152=1,ISNUMBER($L152)),IF($L152&lt;ReportDate,1,0),0)</f>
        <v>0</v>
      </c>
      <c r="AM152" s="71">
        <f>IF(AND($G152&lt;&gt;"",$M152="Blocked"),1,0)</f>
        <v>0</v>
      </c>
      <c r="AN152" s="71">
        <f>IF(AND($AK152=1,ISNUMBER($L152)),IF($L152=ReportDate,1,0),0)</f>
        <v>0</v>
      </c>
      <c r="AO152" s="71">
        <f>IF(AND($AK152=1,ISNUMBER($L152)),IF($L152=ReportDate+1,1,0),0)</f>
        <v>0</v>
      </c>
      <c r="AP152" s="71">
        <f>IF(AND($AK152=1,ISNUMBER($L152)),IF(AND($L152&gt;=ReportDate,$L152&lt;=ReportDate+DueSoonDays),1,0),0)</f>
        <v>0</v>
      </c>
      <c r="AQ152" s="71">
        <f>IF(AND($AK152=1,OR($I152="Critical",$I152="High")),1,0)</f>
        <v>0</v>
      </c>
      <c r="AR152" s="71">
        <f>IF($AK152=1,IF(ISNUMBER($Y152),IF(ReportDate-$Y152&gt;StaleDays,1,0),1),0)</f>
        <v>0</v>
      </c>
      <c r="AS152" s="71">
        <f>IF(AND($G152&lt;&gt;"",ISNUMBER($Q152),ISNUMBER($R152)),IF(AND($Q152&lt;$R152,OR($M152="Completed",AND(ISNUMBER($L152),$L152&lt;ReportDate))),1,0),0)</f>
        <v>0</v>
      </c>
      <c r="AT152" s="71">
        <f>IF($AK152=1,IF(OR($L152=ReportDate,$W152=ReportDate,$K152=ReportDate,$A152=ReportDate),1,0),0)</f>
        <v>0</v>
      </c>
      <c r="AU152" s="71">
        <f>IF($AK152=1,IF(OR($L152=ReportDate+1,$W152=ReportDate+1,$K152=ReportDate+1,$A152=ReportDate+1),1,0),0)</f>
        <v>0</v>
      </c>
      <c r="AV152" s="71">
        <f>IF(AND($G152&lt;&gt;"",$M152="Completed"),IF(OR($Y152=ReportDate-1,$A152=ReportDate-1),1,0),0)</f>
        <v>0</v>
      </c>
      <c r="AW152" s="71">
        <f>IF(AND($AK152=1,$Z152="Yes"),1,0)</f>
        <v>0</v>
      </c>
      <c r="AX152" s="71">
        <f>IF(AND($AK152=1,$AA152="Yes"),1,0)</f>
        <v>0</v>
      </c>
      <c r="AY152" s="71">
        <f>IF(AND($AM152=1,OR($I152="Critical",$I152="High")),1,0)</f>
        <v>0</v>
      </c>
      <c r="AZ152" s="71">
        <f>IF(AND($AK152=1,OR($C152=TCL_Client,$C152=MECCA_Client)),1,0)</f>
        <v>0</v>
      </c>
      <c r="BA152" s="71" t="str">
        <f>IF($G152="","",IFERROR(MATCH($I152,lst_Priority,0),5))</f>
        <v/>
      </c>
      <c r="BB152" s="71" t="str">
        <f>IF(AND($AL152=1,$AJ152=1),$BA152*100000+ROW(),"")</f>
        <v/>
      </c>
      <c r="BC152" s="71" t="str">
        <f>IF(AND($AM152=1,$AJ152=1),$BA152*100000+ROW(),"")</f>
        <v/>
      </c>
      <c r="BD152" s="71" t="str">
        <f>IF(AND($AP152=1,$AJ152=1),$BA152*100000+ROW(),"")</f>
        <v/>
      </c>
      <c r="BE152" s="71" t="str">
        <f>IF(AND($AT152=1,$AJ152=1),$BA152*100000+ROW(),"")</f>
        <v/>
      </c>
      <c r="BF152" s="71" t="str">
        <f>IF(AND($AU152=1,$AJ152=1),$BA152*100000+ROW(),"")</f>
        <v/>
      </c>
      <c r="BG152" s="71" t="str">
        <f>IF(AND($AV152=1,$AJ152=1),$BA152*100000+ROW(),"")</f>
        <v/>
      </c>
      <c r="BH152" s="71" t="str">
        <f>IF(AND($AW152=1,$AJ152=1),$BA152*100000+ROW(),"")</f>
        <v/>
      </c>
      <c r="BI152" s="71" t="str">
        <f>IF(AND($AX152=1,$AJ152=1),$BA152*100000+ROW(),"")</f>
        <v/>
      </c>
      <c r="BJ152" s="71" t="str">
        <f>IF(AND($AS152=1,$AJ152=1),$BA152*100000+ROW(),"")</f>
        <v/>
      </c>
      <c r="BK152" s="71" t="str">
        <f>IF(AND($AY152=1,$AJ152=1),$BA152*100000+ROW(),"")</f>
        <v/>
      </c>
      <c r="BL152" s="71" t="str">
        <f>IF(AND($AZ152=1),$BA152*100000+ROW(),"")</f>
        <v/>
      </c>
    </row>
    <row r="153">
      <c r="A153" s="63" t="n"/>
      <c r="B153" s="64" t="n"/>
      <c r="C153" s="64" t="n"/>
      <c r="D153" s="64" t="n"/>
      <c r="E153" s="64" t="n"/>
      <c r="F153" s="64" t="n"/>
      <c r="G153" s="65" t="n"/>
      <c r="H153" s="65" t="n"/>
      <c r="I153" s="64" t="n"/>
      <c r="J153" s="64" t="n"/>
      <c r="K153" s="63" t="n"/>
      <c r="L153" s="63" t="n"/>
      <c r="M153" s="64" t="n"/>
      <c r="N153" s="66" t="n"/>
      <c r="O153" s="65" t="n"/>
      <c r="P153" s="64" t="n"/>
      <c r="Q153" s="67" t="n"/>
      <c r="R153" s="67" t="n"/>
      <c r="S153" s="68" t="str">
        <f>IF(AND(ISNUMBER($Q153),ISNUMBER($R153)),$Q153-$R153,"")</f>
        <v/>
      </c>
      <c r="T153" s="65" t="n"/>
      <c r="U153" s="64" t="n"/>
      <c r="V153" s="65" t="n"/>
      <c r="W153" s="63" t="n"/>
      <c r="X153" s="65" t="n"/>
      <c r="Y153" s="63" t="n"/>
      <c r="Z153" s="64" t="n"/>
      <c r="AA153" s="64" t="n"/>
      <c r="AB153" s="65" t="n"/>
      <c r="AC153" s="69" t="str">
        <f>IF(OR($G153="",NOT(ISNUMBER($K153)),$AK153=0),"",MAX(0,ReportDate-$K153))</f>
        <v/>
      </c>
      <c r="AD153" s="69" t="str">
        <f>IF($G153="","",IF($AL153=1,ReportDate-$L153,0))</f>
        <v/>
      </c>
      <c r="AE153" s="70" t="str">
        <f>IF($G153="","",IF($M153="Completed",1,IF(ISNUMBER($N153),$N153,0)))</f>
        <v/>
      </c>
      <c r="AF153" s="70" t="str">
        <f>IF(AND(ISNUMBER($Q153),ISNUMBER($R153)),IF($R153&lt;&gt;0,$Q153/$R153,""),"")</f>
        <v/>
      </c>
      <c r="AG153" s="71" t="str">
        <f>IF($G153="","",IF($AL153=1,"OVERDUE",IF($AM153=1,"BLOCKED",IF($AN153=1,"DUE TODAY",IF($AO153=1,"DUE TOMORROW",IF($AQ153=1,"HIGH PRIORITY",IF($AR153=1,"NO RECENT UPDATE",""))))))) </f>
        <v/>
      </c>
      <c r="AH153" s="71" t="str">
        <f>IF($G153="","",IF(ISNUMBER($A153),IF(ISNUMBER($A153),YEAR($A153)&amp;"-"&amp;TEXT(MONTH($A153),"00"),""),IF(ISNUMBER($L153),IF(ISNUMBER($L153),YEAR($L153)&amp;"-"&amp;TEXT(MONTH($L153),"00"),""),"")))</f>
        <v/>
      </c>
      <c r="AI153" s="71">
        <f>IF($G153="",0,IF(AND(OR(fClient="All",$C153=fClient),OR(fCampaign="All",$D153=fCampaign),OR(fTeam="All",$B153=fTeam),OR(fChannel="All",$F153=fChannel),OR(fMonth="All",$AH153=fMonth),OR(fTStatus="All",$M153=fTStatus)),1,0))</f>
        <v>0</v>
      </c>
      <c r="AJ153" s="71">
        <f>IF($G153="",0,IF(AND(OR(fClient="All",$C153=fClient),OR(fCampaign="All",$D153=fCampaign),OR(fTeam="All",$B153=fTeam),OR(fChannel="All",$F153=fChannel)),1,0))</f>
        <v>0</v>
      </c>
      <c r="AK153" s="71">
        <f>IF($G153="",0,IF(OR($M153="Completed",$M153="Cancelled"),0,1))</f>
        <v>0</v>
      </c>
      <c r="AL153" s="71">
        <f>IF(AND($AK153=1,ISNUMBER($L153)),IF($L153&lt;ReportDate,1,0),0)</f>
        <v>0</v>
      </c>
      <c r="AM153" s="71">
        <f>IF(AND($G153&lt;&gt;"",$M153="Blocked"),1,0)</f>
        <v>0</v>
      </c>
      <c r="AN153" s="71">
        <f>IF(AND($AK153=1,ISNUMBER($L153)),IF($L153=ReportDate,1,0),0)</f>
        <v>0</v>
      </c>
      <c r="AO153" s="71">
        <f>IF(AND($AK153=1,ISNUMBER($L153)),IF($L153=ReportDate+1,1,0),0)</f>
        <v>0</v>
      </c>
      <c r="AP153" s="71">
        <f>IF(AND($AK153=1,ISNUMBER($L153)),IF(AND($L153&gt;=ReportDate,$L153&lt;=ReportDate+DueSoonDays),1,0),0)</f>
        <v>0</v>
      </c>
      <c r="AQ153" s="71">
        <f>IF(AND($AK153=1,OR($I153="Critical",$I153="High")),1,0)</f>
        <v>0</v>
      </c>
      <c r="AR153" s="71">
        <f>IF($AK153=1,IF(ISNUMBER($Y153),IF(ReportDate-$Y153&gt;StaleDays,1,0),1),0)</f>
        <v>0</v>
      </c>
      <c r="AS153" s="71">
        <f>IF(AND($G153&lt;&gt;"",ISNUMBER($Q153),ISNUMBER($R153)),IF(AND($Q153&lt;$R153,OR($M153="Completed",AND(ISNUMBER($L153),$L153&lt;ReportDate))),1,0),0)</f>
        <v>0</v>
      </c>
      <c r="AT153" s="71">
        <f>IF($AK153=1,IF(OR($L153=ReportDate,$W153=ReportDate,$K153=ReportDate,$A153=ReportDate),1,0),0)</f>
        <v>0</v>
      </c>
      <c r="AU153" s="71">
        <f>IF($AK153=1,IF(OR($L153=ReportDate+1,$W153=ReportDate+1,$K153=ReportDate+1,$A153=ReportDate+1),1,0),0)</f>
        <v>0</v>
      </c>
      <c r="AV153" s="71">
        <f>IF(AND($G153&lt;&gt;"",$M153="Completed"),IF(OR($Y153=ReportDate-1,$A153=ReportDate-1),1,0),0)</f>
        <v>0</v>
      </c>
      <c r="AW153" s="71">
        <f>IF(AND($AK153=1,$Z153="Yes"),1,0)</f>
        <v>0</v>
      </c>
      <c r="AX153" s="71">
        <f>IF(AND($AK153=1,$AA153="Yes"),1,0)</f>
        <v>0</v>
      </c>
      <c r="AY153" s="71">
        <f>IF(AND($AM153=1,OR($I153="Critical",$I153="High")),1,0)</f>
        <v>0</v>
      </c>
      <c r="AZ153" s="71">
        <f>IF(AND($AK153=1,OR($C153=TCL_Client,$C153=MECCA_Client)),1,0)</f>
        <v>0</v>
      </c>
      <c r="BA153" s="71" t="str">
        <f>IF($G153="","",IFERROR(MATCH($I153,lst_Priority,0),5))</f>
        <v/>
      </c>
      <c r="BB153" s="71" t="str">
        <f>IF(AND($AL153=1,$AJ153=1),$BA153*100000+ROW(),"")</f>
        <v/>
      </c>
      <c r="BC153" s="71" t="str">
        <f>IF(AND($AM153=1,$AJ153=1),$BA153*100000+ROW(),"")</f>
        <v/>
      </c>
      <c r="BD153" s="71" t="str">
        <f>IF(AND($AP153=1,$AJ153=1),$BA153*100000+ROW(),"")</f>
        <v/>
      </c>
      <c r="BE153" s="71" t="str">
        <f>IF(AND($AT153=1,$AJ153=1),$BA153*100000+ROW(),"")</f>
        <v/>
      </c>
      <c r="BF153" s="71" t="str">
        <f>IF(AND($AU153=1,$AJ153=1),$BA153*100000+ROW(),"")</f>
        <v/>
      </c>
      <c r="BG153" s="71" t="str">
        <f>IF(AND($AV153=1,$AJ153=1),$BA153*100000+ROW(),"")</f>
        <v/>
      </c>
      <c r="BH153" s="71" t="str">
        <f>IF(AND($AW153=1,$AJ153=1),$BA153*100000+ROW(),"")</f>
        <v/>
      </c>
      <c r="BI153" s="71" t="str">
        <f>IF(AND($AX153=1,$AJ153=1),$BA153*100000+ROW(),"")</f>
        <v/>
      </c>
      <c r="BJ153" s="71" t="str">
        <f>IF(AND($AS153=1,$AJ153=1),$BA153*100000+ROW(),"")</f>
        <v/>
      </c>
      <c r="BK153" s="71" t="str">
        <f>IF(AND($AY153=1,$AJ153=1),$BA153*100000+ROW(),"")</f>
        <v/>
      </c>
      <c r="BL153" s="71" t="str">
        <f>IF(AND($AZ153=1),$BA153*100000+ROW(),"")</f>
        <v/>
      </c>
    </row>
    <row r="154">
      <c r="A154" s="63" t="n"/>
      <c r="B154" s="64" t="n"/>
      <c r="C154" s="64" t="n"/>
      <c r="D154" s="64" t="n"/>
      <c r="E154" s="64" t="n"/>
      <c r="F154" s="64" t="n"/>
      <c r="G154" s="65" t="n"/>
      <c r="H154" s="65" t="n"/>
      <c r="I154" s="64" t="n"/>
      <c r="J154" s="64" t="n"/>
      <c r="K154" s="63" t="n"/>
      <c r="L154" s="63" t="n"/>
      <c r="M154" s="64" t="n"/>
      <c r="N154" s="66" t="n"/>
      <c r="O154" s="65" t="n"/>
      <c r="P154" s="64" t="n"/>
      <c r="Q154" s="67" t="n"/>
      <c r="R154" s="67" t="n"/>
      <c r="S154" s="68" t="str">
        <f>IF(AND(ISNUMBER($Q154),ISNUMBER($R154)),$Q154-$R154,"")</f>
        <v/>
      </c>
      <c r="T154" s="65" t="n"/>
      <c r="U154" s="64" t="n"/>
      <c r="V154" s="65" t="n"/>
      <c r="W154" s="63" t="n"/>
      <c r="X154" s="65" t="n"/>
      <c r="Y154" s="63" t="n"/>
      <c r="Z154" s="64" t="n"/>
      <c r="AA154" s="64" t="n"/>
      <c r="AB154" s="65" t="n"/>
      <c r="AC154" s="69" t="str">
        <f>IF(OR($G154="",NOT(ISNUMBER($K154)),$AK154=0),"",MAX(0,ReportDate-$K154))</f>
        <v/>
      </c>
      <c r="AD154" s="69" t="str">
        <f>IF($G154="","",IF($AL154=1,ReportDate-$L154,0))</f>
        <v/>
      </c>
      <c r="AE154" s="70" t="str">
        <f>IF($G154="","",IF($M154="Completed",1,IF(ISNUMBER($N154),$N154,0)))</f>
        <v/>
      </c>
      <c r="AF154" s="70" t="str">
        <f>IF(AND(ISNUMBER($Q154),ISNUMBER($R154)),IF($R154&lt;&gt;0,$Q154/$R154,""),"")</f>
        <v/>
      </c>
      <c r="AG154" s="71" t="str">
        <f>IF($G154="","",IF($AL154=1,"OVERDUE",IF($AM154=1,"BLOCKED",IF($AN154=1,"DUE TODAY",IF($AO154=1,"DUE TOMORROW",IF($AQ154=1,"HIGH PRIORITY",IF($AR154=1,"NO RECENT UPDATE",""))))))) </f>
        <v/>
      </c>
      <c r="AH154" s="71" t="str">
        <f>IF($G154="","",IF(ISNUMBER($A154),IF(ISNUMBER($A154),YEAR($A154)&amp;"-"&amp;TEXT(MONTH($A154),"00"),""),IF(ISNUMBER($L154),IF(ISNUMBER($L154),YEAR($L154)&amp;"-"&amp;TEXT(MONTH($L154),"00"),""),"")))</f>
        <v/>
      </c>
      <c r="AI154" s="71">
        <f>IF($G154="",0,IF(AND(OR(fClient="All",$C154=fClient),OR(fCampaign="All",$D154=fCampaign),OR(fTeam="All",$B154=fTeam),OR(fChannel="All",$F154=fChannel),OR(fMonth="All",$AH154=fMonth),OR(fTStatus="All",$M154=fTStatus)),1,0))</f>
        <v>0</v>
      </c>
      <c r="AJ154" s="71">
        <f>IF($G154="",0,IF(AND(OR(fClient="All",$C154=fClient),OR(fCampaign="All",$D154=fCampaign),OR(fTeam="All",$B154=fTeam),OR(fChannel="All",$F154=fChannel)),1,0))</f>
        <v>0</v>
      </c>
      <c r="AK154" s="71">
        <f>IF($G154="",0,IF(OR($M154="Completed",$M154="Cancelled"),0,1))</f>
        <v>0</v>
      </c>
      <c r="AL154" s="71">
        <f>IF(AND($AK154=1,ISNUMBER($L154)),IF($L154&lt;ReportDate,1,0),0)</f>
        <v>0</v>
      </c>
      <c r="AM154" s="71">
        <f>IF(AND($G154&lt;&gt;"",$M154="Blocked"),1,0)</f>
        <v>0</v>
      </c>
      <c r="AN154" s="71">
        <f>IF(AND($AK154=1,ISNUMBER($L154)),IF($L154=ReportDate,1,0),0)</f>
        <v>0</v>
      </c>
      <c r="AO154" s="71">
        <f>IF(AND($AK154=1,ISNUMBER($L154)),IF($L154=ReportDate+1,1,0),0)</f>
        <v>0</v>
      </c>
      <c r="AP154" s="71">
        <f>IF(AND($AK154=1,ISNUMBER($L154)),IF(AND($L154&gt;=ReportDate,$L154&lt;=ReportDate+DueSoonDays),1,0),0)</f>
        <v>0</v>
      </c>
      <c r="AQ154" s="71">
        <f>IF(AND($AK154=1,OR($I154="Critical",$I154="High")),1,0)</f>
        <v>0</v>
      </c>
      <c r="AR154" s="71">
        <f>IF($AK154=1,IF(ISNUMBER($Y154),IF(ReportDate-$Y154&gt;StaleDays,1,0),1),0)</f>
        <v>0</v>
      </c>
      <c r="AS154" s="71">
        <f>IF(AND($G154&lt;&gt;"",ISNUMBER($Q154),ISNUMBER($R154)),IF(AND($Q154&lt;$R154,OR($M154="Completed",AND(ISNUMBER($L154),$L154&lt;ReportDate))),1,0),0)</f>
        <v>0</v>
      </c>
      <c r="AT154" s="71">
        <f>IF($AK154=1,IF(OR($L154=ReportDate,$W154=ReportDate,$K154=ReportDate,$A154=ReportDate),1,0),0)</f>
        <v>0</v>
      </c>
      <c r="AU154" s="71">
        <f>IF($AK154=1,IF(OR($L154=ReportDate+1,$W154=ReportDate+1,$K154=ReportDate+1,$A154=ReportDate+1),1,0),0)</f>
        <v>0</v>
      </c>
      <c r="AV154" s="71">
        <f>IF(AND($G154&lt;&gt;"",$M154="Completed"),IF(OR($Y154=ReportDate-1,$A154=ReportDate-1),1,0),0)</f>
        <v>0</v>
      </c>
      <c r="AW154" s="71">
        <f>IF(AND($AK154=1,$Z154="Yes"),1,0)</f>
        <v>0</v>
      </c>
      <c r="AX154" s="71">
        <f>IF(AND($AK154=1,$AA154="Yes"),1,0)</f>
        <v>0</v>
      </c>
      <c r="AY154" s="71">
        <f>IF(AND($AM154=1,OR($I154="Critical",$I154="High")),1,0)</f>
        <v>0</v>
      </c>
      <c r="AZ154" s="71">
        <f>IF(AND($AK154=1,OR($C154=TCL_Client,$C154=MECCA_Client)),1,0)</f>
        <v>0</v>
      </c>
      <c r="BA154" s="71" t="str">
        <f>IF($G154="","",IFERROR(MATCH($I154,lst_Priority,0),5))</f>
        <v/>
      </c>
      <c r="BB154" s="71" t="str">
        <f>IF(AND($AL154=1,$AJ154=1),$BA154*100000+ROW(),"")</f>
        <v/>
      </c>
      <c r="BC154" s="71" t="str">
        <f>IF(AND($AM154=1,$AJ154=1),$BA154*100000+ROW(),"")</f>
        <v/>
      </c>
      <c r="BD154" s="71" t="str">
        <f>IF(AND($AP154=1,$AJ154=1),$BA154*100000+ROW(),"")</f>
        <v/>
      </c>
      <c r="BE154" s="71" t="str">
        <f>IF(AND($AT154=1,$AJ154=1),$BA154*100000+ROW(),"")</f>
        <v/>
      </c>
      <c r="BF154" s="71" t="str">
        <f>IF(AND($AU154=1,$AJ154=1),$BA154*100000+ROW(),"")</f>
        <v/>
      </c>
      <c r="BG154" s="71" t="str">
        <f>IF(AND($AV154=1,$AJ154=1),$BA154*100000+ROW(),"")</f>
        <v/>
      </c>
      <c r="BH154" s="71" t="str">
        <f>IF(AND($AW154=1,$AJ154=1),$BA154*100000+ROW(),"")</f>
        <v/>
      </c>
      <c r="BI154" s="71" t="str">
        <f>IF(AND($AX154=1,$AJ154=1),$BA154*100000+ROW(),"")</f>
        <v/>
      </c>
      <c r="BJ154" s="71" t="str">
        <f>IF(AND($AS154=1,$AJ154=1),$BA154*100000+ROW(),"")</f>
        <v/>
      </c>
      <c r="BK154" s="71" t="str">
        <f>IF(AND($AY154=1,$AJ154=1),$BA154*100000+ROW(),"")</f>
        <v/>
      </c>
      <c r="BL154" s="71" t="str">
        <f>IF(AND($AZ154=1),$BA154*100000+ROW(),"")</f>
        <v/>
      </c>
    </row>
    <row r="155">
      <c r="A155" s="63" t="n"/>
      <c r="B155" s="64" t="n"/>
      <c r="C155" s="64" t="n"/>
      <c r="D155" s="64" t="n"/>
      <c r="E155" s="64" t="n"/>
      <c r="F155" s="64" t="n"/>
      <c r="G155" s="65" t="n"/>
      <c r="H155" s="65" t="n"/>
      <c r="I155" s="64" t="n"/>
      <c r="J155" s="64" t="n"/>
      <c r="K155" s="63" t="n"/>
      <c r="L155" s="63" t="n"/>
      <c r="M155" s="64" t="n"/>
      <c r="N155" s="66" t="n"/>
      <c r="O155" s="65" t="n"/>
      <c r="P155" s="64" t="n"/>
      <c r="Q155" s="67" t="n"/>
      <c r="R155" s="67" t="n"/>
      <c r="S155" s="68" t="str">
        <f>IF(AND(ISNUMBER($Q155),ISNUMBER($R155)),$Q155-$R155,"")</f>
        <v/>
      </c>
      <c r="T155" s="65" t="n"/>
      <c r="U155" s="64" t="n"/>
      <c r="V155" s="65" t="n"/>
      <c r="W155" s="63" t="n"/>
      <c r="X155" s="65" t="n"/>
      <c r="Y155" s="63" t="n"/>
      <c r="Z155" s="64" t="n"/>
      <c r="AA155" s="64" t="n"/>
      <c r="AB155" s="65" t="n"/>
      <c r="AC155" s="69" t="str">
        <f>IF(OR($G155="",NOT(ISNUMBER($K155)),$AK155=0),"",MAX(0,ReportDate-$K155))</f>
        <v/>
      </c>
      <c r="AD155" s="69" t="str">
        <f>IF($G155="","",IF($AL155=1,ReportDate-$L155,0))</f>
        <v/>
      </c>
      <c r="AE155" s="70" t="str">
        <f>IF($G155="","",IF($M155="Completed",1,IF(ISNUMBER($N155),$N155,0)))</f>
        <v/>
      </c>
      <c r="AF155" s="70" t="str">
        <f>IF(AND(ISNUMBER($Q155),ISNUMBER($R155)),IF($R155&lt;&gt;0,$Q155/$R155,""),"")</f>
        <v/>
      </c>
      <c r="AG155" s="71" t="str">
        <f>IF($G155="","",IF($AL155=1,"OVERDUE",IF($AM155=1,"BLOCKED",IF($AN155=1,"DUE TODAY",IF($AO155=1,"DUE TOMORROW",IF($AQ155=1,"HIGH PRIORITY",IF($AR155=1,"NO RECENT UPDATE",""))))))) </f>
        <v/>
      </c>
      <c r="AH155" s="71" t="str">
        <f>IF($G155="","",IF(ISNUMBER($A155),IF(ISNUMBER($A155),YEAR($A155)&amp;"-"&amp;TEXT(MONTH($A155),"00"),""),IF(ISNUMBER($L155),IF(ISNUMBER($L155),YEAR($L155)&amp;"-"&amp;TEXT(MONTH($L155),"00"),""),"")))</f>
        <v/>
      </c>
      <c r="AI155" s="71">
        <f>IF($G155="",0,IF(AND(OR(fClient="All",$C155=fClient),OR(fCampaign="All",$D155=fCampaign),OR(fTeam="All",$B155=fTeam),OR(fChannel="All",$F155=fChannel),OR(fMonth="All",$AH155=fMonth),OR(fTStatus="All",$M155=fTStatus)),1,0))</f>
        <v>0</v>
      </c>
      <c r="AJ155" s="71">
        <f>IF($G155="",0,IF(AND(OR(fClient="All",$C155=fClient),OR(fCampaign="All",$D155=fCampaign),OR(fTeam="All",$B155=fTeam),OR(fChannel="All",$F155=fChannel)),1,0))</f>
        <v>0</v>
      </c>
      <c r="AK155" s="71">
        <f>IF($G155="",0,IF(OR($M155="Completed",$M155="Cancelled"),0,1))</f>
        <v>0</v>
      </c>
      <c r="AL155" s="71">
        <f>IF(AND($AK155=1,ISNUMBER($L155)),IF($L155&lt;ReportDate,1,0),0)</f>
        <v>0</v>
      </c>
      <c r="AM155" s="71">
        <f>IF(AND($G155&lt;&gt;"",$M155="Blocked"),1,0)</f>
        <v>0</v>
      </c>
      <c r="AN155" s="71">
        <f>IF(AND($AK155=1,ISNUMBER($L155)),IF($L155=ReportDate,1,0),0)</f>
        <v>0</v>
      </c>
      <c r="AO155" s="71">
        <f>IF(AND($AK155=1,ISNUMBER($L155)),IF($L155=ReportDate+1,1,0),0)</f>
        <v>0</v>
      </c>
      <c r="AP155" s="71">
        <f>IF(AND($AK155=1,ISNUMBER($L155)),IF(AND($L155&gt;=ReportDate,$L155&lt;=ReportDate+DueSoonDays),1,0),0)</f>
        <v>0</v>
      </c>
      <c r="AQ155" s="71">
        <f>IF(AND($AK155=1,OR($I155="Critical",$I155="High")),1,0)</f>
        <v>0</v>
      </c>
      <c r="AR155" s="71">
        <f>IF($AK155=1,IF(ISNUMBER($Y155),IF(ReportDate-$Y155&gt;StaleDays,1,0),1),0)</f>
        <v>0</v>
      </c>
      <c r="AS155" s="71">
        <f>IF(AND($G155&lt;&gt;"",ISNUMBER($Q155),ISNUMBER($R155)),IF(AND($Q155&lt;$R155,OR($M155="Completed",AND(ISNUMBER($L155),$L155&lt;ReportDate))),1,0),0)</f>
        <v>0</v>
      </c>
      <c r="AT155" s="71">
        <f>IF($AK155=1,IF(OR($L155=ReportDate,$W155=ReportDate,$K155=ReportDate,$A155=ReportDate),1,0),0)</f>
        <v>0</v>
      </c>
      <c r="AU155" s="71">
        <f>IF($AK155=1,IF(OR($L155=ReportDate+1,$W155=ReportDate+1,$K155=ReportDate+1,$A155=ReportDate+1),1,0),0)</f>
        <v>0</v>
      </c>
      <c r="AV155" s="71">
        <f>IF(AND($G155&lt;&gt;"",$M155="Completed"),IF(OR($Y155=ReportDate-1,$A155=ReportDate-1),1,0),0)</f>
        <v>0</v>
      </c>
      <c r="AW155" s="71">
        <f>IF(AND($AK155=1,$Z155="Yes"),1,0)</f>
        <v>0</v>
      </c>
      <c r="AX155" s="71">
        <f>IF(AND($AK155=1,$AA155="Yes"),1,0)</f>
        <v>0</v>
      </c>
      <c r="AY155" s="71">
        <f>IF(AND($AM155=1,OR($I155="Critical",$I155="High")),1,0)</f>
        <v>0</v>
      </c>
      <c r="AZ155" s="71">
        <f>IF(AND($AK155=1,OR($C155=TCL_Client,$C155=MECCA_Client)),1,0)</f>
        <v>0</v>
      </c>
      <c r="BA155" s="71" t="str">
        <f>IF($G155="","",IFERROR(MATCH($I155,lst_Priority,0),5))</f>
        <v/>
      </c>
      <c r="BB155" s="71" t="str">
        <f>IF(AND($AL155=1,$AJ155=1),$BA155*100000+ROW(),"")</f>
        <v/>
      </c>
      <c r="BC155" s="71" t="str">
        <f>IF(AND($AM155=1,$AJ155=1),$BA155*100000+ROW(),"")</f>
        <v/>
      </c>
      <c r="BD155" s="71" t="str">
        <f>IF(AND($AP155=1,$AJ155=1),$BA155*100000+ROW(),"")</f>
        <v/>
      </c>
      <c r="BE155" s="71" t="str">
        <f>IF(AND($AT155=1,$AJ155=1),$BA155*100000+ROW(),"")</f>
        <v/>
      </c>
      <c r="BF155" s="71" t="str">
        <f>IF(AND($AU155=1,$AJ155=1),$BA155*100000+ROW(),"")</f>
        <v/>
      </c>
      <c r="BG155" s="71" t="str">
        <f>IF(AND($AV155=1,$AJ155=1),$BA155*100000+ROW(),"")</f>
        <v/>
      </c>
      <c r="BH155" s="71" t="str">
        <f>IF(AND($AW155=1,$AJ155=1),$BA155*100000+ROW(),"")</f>
        <v/>
      </c>
      <c r="BI155" s="71" t="str">
        <f>IF(AND($AX155=1,$AJ155=1),$BA155*100000+ROW(),"")</f>
        <v/>
      </c>
      <c r="BJ155" s="71" t="str">
        <f>IF(AND($AS155=1,$AJ155=1),$BA155*100000+ROW(),"")</f>
        <v/>
      </c>
      <c r="BK155" s="71" t="str">
        <f>IF(AND($AY155=1,$AJ155=1),$BA155*100000+ROW(),"")</f>
        <v/>
      </c>
      <c r="BL155" s="71" t="str">
        <f>IF(AND($AZ155=1),$BA155*100000+ROW(),"")</f>
        <v/>
      </c>
    </row>
    <row r="156">
      <c r="A156" s="63" t="n"/>
      <c r="B156" s="64" t="n"/>
      <c r="C156" s="64" t="n"/>
      <c r="D156" s="64" t="n"/>
      <c r="E156" s="64" t="n"/>
      <c r="F156" s="64" t="n"/>
      <c r="G156" s="65" t="n"/>
      <c r="H156" s="65" t="n"/>
      <c r="I156" s="64" t="n"/>
      <c r="J156" s="64" t="n"/>
      <c r="K156" s="63" t="n"/>
      <c r="L156" s="63" t="n"/>
      <c r="M156" s="64" t="n"/>
      <c r="N156" s="66" t="n"/>
      <c r="O156" s="65" t="n"/>
      <c r="P156" s="64" t="n"/>
      <c r="Q156" s="67" t="n"/>
      <c r="R156" s="67" t="n"/>
      <c r="S156" s="68" t="str">
        <f>IF(AND(ISNUMBER($Q156),ISNUMBER($R156)),$Q156-$R156,"")</f>
        <v/>
      </c>
      <c r="T156" s="65" t="n"/>
      <c r="U156" s="64" t="n"/>
      <c r="V156" s="65" t="n"/>
      <c r="W156" s="63" t="n"/>
      <c r="X156" s="65" t="n"/>
      <c r="Y156" s="63" t="n"/>
      <c r="Z156" s="64" t="n"/>
      <c r="AA156" s="64" t="n"/>
      <c r="AB156" s="65" t="n"/>
      <c r="AC156" s="69" t="str">
        <f>IF(OR($G156="",NOT(ISNUMBER($K156)),$AK156=0),"",MAX(0,ReportDate-$K156))</f>
        <v/>
      </c>
      <c r="AD156" s="69" t="str">
        <f>IF($G156="","",IF($AL156=1,ReportDate-$L156,0))</f>
        <v/>
      </c>
      <c r="AE156" s="70" t="str">
        <f>IF($G156="","",IF($M156="Completed",1,IF(ISNUMBER($N156),$N156,0)))</f>
        <v/>
      </c>
      <c r="AF156" s="70" t="str">
        <f>IF(AND(ISNUMBER($Q156),ISNUMBER($R156)),IF($R156&lt;&gt;0,$Q156/$R156,""),"")</f>
        <v/>
      </c>
      <c r="AG156" s="71" t="str">
        <f>IF($G156="","",IF($AL156=1,"OVERDUE",IF($AM156=1,"BLOCKED",IF($AN156=1,"DUE TODAY",IF($AO156=1,"DUE TOMORROW",IF($AQ156=1,"HIGH PRIORITY",IF($AR156=1,"NO RECENT UPDATE",""))))))) </f>
        <v/>
      </c>
      <c r="AH156" s="71" t="str">
        <f>IF($G156="","",IF(ISNUMBER($A156),IF(ISNUMBER($A156),YEAR($A156)&amp;"-"&amp;TEXT(MONTH($A156),"00"),""),IF(ISNUMBER($L156),IF(ISNUMBER($L156),YEAR($L156)&amp;"-"&amp;TEXT(MONTH($L156),"00"),""),"")))</f>
        <v/>
      </c>
      <c r="AI156" s="71">
        <f>IF($G156="",0,IF(AND(OR(fClient="All",$C156=fClient),OR(fCampaign="All",$D156=fCampaign),OR(fTeam="All",$B156=fTeam),OR(fChannel="All",$F156=fChannel),OR(fMonth="All",$AH156=fMonth),OR(fTStatus="All",$M156=fTStatus)),1,0))</f>
        <v>0</v>
      </c>
      <c r="AJ156" s="71">
        <f>IF($G156="",0,IF(AND(OR(fClient="All",$C156=fClient),OR(fCampaign="All",$D156=fCampaign),OR(fTeam="All",$B156=fTeam),OR(fChannel="All",$F156=fChannel)),1,0))</f>
        <v>0</v>
      </c>
      <c r="AK156" s="71">
        <f>IF($G156="",0,IF(OR($M156="Completed",$M156="Cancelled"),0,1))</f>
        <v>0</v>
      </c>
      <c r="AL156" s="71">
        <f>IF(AND($AK156=1,ISNUMBER($L156)),IF($L156&lt;ReportDate,1,0),0)</f>
        <v>0</v>
      </c>
      <c r="AM156" s="71">
        <f>IF(AND($G156&lt;&gt;"",$M156="Blocked"),1,0)</f>
        <v>0</v>
      </c>
      <c r="AN156" s="71">
        <f>IF(AND($AK156=1,ISNUMBER($L156)),IF($L156=ReportDate,1,0),0)</f>
        <v>0</v>
      </c>
      <c r="AO156" s="71">
        <f>IF(AND($AK156=1,ISNUMBER($L156)),IF($L156=ReportDate+1,1,0),0)</f>
        <v>0</v>
      </c>
      <c r="AP156" s="71">
        <f>IF(AND($AK156=1,ISNUMBER($L156)),IF(AND($L156&gt;=ReportDate,$L156&lt;=ReportDate+DueSoonDays),1,0),0)</f>
        <v>0</v>
      </c>
      <c r="AQ156" s="71">
        <f>IF(AND($AK156=1,OR($I156="Critical",$I156="High")),1,0)</f>
        <v>0</v>
      </c>
      <c r="AR156" s="71">
        <f>IF($AK156=1,IF(ISNUMBER($Y156),IF(ReportDate-$Y156&gt;StaleDays,1,0),1),0)</f>
        <v>0</v>
      </c>
      <c r="AS156" s="71">
        <f>IF(AND($G156&lt;&gt;"",ISNUMBER($Q156),ISNUMBER($R156)),IF(AND($Q156&lt;$R156,OR($M156="Completed",AND(ISNUMBER($L156),$L156&lt;ReportDate))),1,0),0)</f>
        <v>0</v>
      </c>
      <c r="AT156" s="71">
        <f>IF($AK156=1,IF(OR($L156=ReportDate,$W156=ReportDate,$K156=ReportDate,$A156=ReportDate),1,0),0)</f>
        <v>0</v>
      </c>
      <c r="AU156" s="71">
        <f>IF($AK156=1,IF(OR($L156=ReportDate+1,$W156=ReportDate+1,$K156=ReportDate+1,$A156=ReportDate+1),1,0),0)</f>
        <v>0</v>
      </c>
      <c r="AV156" s="71">
        <f>IF(AND($G156&lt;&gt;"",$M156="Completed"),IF(OR($Y156=ReportDate-1,$A156=ReportDate-1),1,0),0)</f>
        <v>0</v>
      </c>
      <c r="AW156" s="71">
        <f>IF(AND($AK156=1,$Z156="Yes"),1,0)</f>
        <v>0</v>
      </c>
      <c r="AX156" s="71">
        <f>IF(AND($AK156=1,$AA156="Yes"),1,0)</f>
        <v>0</v>
      </c>
      <c r="AY156" s="71">
        <f>IF(AND($AM156=1,OR($I156="Critical",$I156="High")),1,0)</f>
        <v>0</v>
      </c>
      <c r="AZ156" s="71">
        <f>IF(AND($AK156=1,OR($C156=TCL_Client,$C156=MECCA_Client)),1,0)</f>
        <v>0</v>
      </c>
      <c r="BA156" s="71" t="str">
        <f>IF($G156="","",IFERROR(MATCH($I156,lst_Priority,0),5))</f>
        <v/>
      </c>
      <c r="BB156" s="71" t="str">
        <f>IF(AND($AL156=1,$AJ156=1),$BA156*100000+ROW(),"")</f>
        <v/>
      </c>
      <c r="BC156" s="71" t="str">
        <f>IF(AND($AM156=1,$AJ156=1),$BA156*100000+ROW(),"")</f>
        <v/>
      </c>
      <c r="BD156" s="71" t="str">
        <f>IF(AND($AP156=1,$AJ156=1),$BA156*100000+ROW(),"")</f>
        <v/>
      </c>
      <c r="BE156" s="71" t="str">
        <f>IF(AND($AT156=1,$AJ156=1),$BA156*100000+ROW(),"")</f>
        <v/>
      </c>
      <c r="BF156" s="71" t="str">
        <f>IF(AND($AU156=1,$AJ156=1),$BA156*100000+ROW(),"")</f>
        <v/>
      </c>
      <c r="BG156" s="71" t="str">
        <f>IF(AND($AV156=1,$AJ156=1),$BA156*100000+ROW(),"")</f>
        <v/>
      </c>
      <c r="BH156" s="71" t="str">
        <f>IF(AND($AW156=1,$AJ156=1),$BA156*100000+ROW(),"")</f>
        <v/>
      </c>
      <c r="BI156" s="71" t="str">
        <f>IF(AND($AX156=1,$AJ156=1),$BA156*100000+ROW(),"")</f>
        <v/>
      </c>
      <c r="BJ156" s="71" t="str">
        <f>IF(AND($AS156=1,$AJ156=1),$BA156*100000+ROW(),"")</f>
        <v/>
      </c>
      <c r="BK156" s="71" t="str">
        <f>IF(AND($AY156=1,$AJ156=1),$BA156*100000+ROW(),"")</f>
        <v/>
      </c>
      <c r="BL156" s="71" t="str">
        <f>IF(AND($AZ156=1),$BA156*100000+ROW(),"")</f>
        <v/>
      </c>
    </row>
    <row r="157">
      <c r="A157" s="63" t="n"/>
      <c r="B157" s="64" t="n"/>
      <c r="C157" s="64" t="n"/>
      <c r="D157" s="64" t="n"/>
      <c r="E157" s="64" t="n"/>
      <c r="F157" s="64" t="n"/>
      <c r="G157" s="65" t="n"/>
      <c r="H157" s="65" t="n"/>
      <c r="I157" s="64" t="n"/>
      <c r="J157" s="64" t="n"/>
      <c r="K157" s="63" t="n"/>
      <c r="L157" s="63" t="n"/>
      <c r="M157" s="64" t="n"/>
      <c r="N157" s="66" t="n"/>
      <c r="O157" s="65" t="n"/>
      <c r="P157" s="64" t="n"/>
      <c r="Q157" s="67" t="n"/>
      <c r="R157" s="67" t="n"/>
      <c r="S157" s="68" t="str">
        <f>IF(AND(ISNUMBER($Q157),ISNUMBER($R157)),$Q157-$R157,"")</f>
        <v/>
      </c>
      <c r="T157" s="65" t="n"/>
      <c r="U157" s="64" t="n"/>
      <c r="V157" s="65" t="n"/>
      <c r="W157" s="63" t="n"/>
      <c r="X157" s="65" t="n"/>
      <c r="Y157" s="63" t="n"/>
      <c r="Z157" s="64" t="n"/>
      <c r="AA157" s="64" t="n"/>
      <c r="AB157" s="65" t="n"/>
      <c r="AC157" s="69" t="str">
        <f>IF(OR($G157="",NOT(ISNUMBER($K157)),$AK157=0),"",MAX(0,ReportDate-$K157))</f>
        <v/>
      </c>
      <c r="AD157" s="69" t="str">
        <f>IF($G157="","",IF($AL157=1,ReportDate-$L157,0))</f>
        <v/>
      </c>
      <c r="AE157" s="70" t="str">
        <f>IF($G157="","",IF($M157="Completed",1,IF(ISNUMBER($N157),$N157,0)))</f>
        <v/>
      </c>
      <c r="AF157" s="70" t="str">
        <f>IF(AND(ISNUMBER($Q157),ISNUMBER($R157)),IF($R157&lt;&gt;0,$Q157/$R157,""),"")</f>
        <v/>
      </c>
      <c r="AG157" s="71" t="str">
        <f>IF($G157="","",IF($AL157=1,"OVERDUE",IF($AM157=1,"BLOCKED",IF($AN157=1,"DUE TODAY",IF($AO157=1,"DUE TOMORROW",IF($AQ157=1,"HIGH PRIORITY",IF($AR157=1,"NO RECENT UPDATE",""))))))) </f>
        <v/>
      </c>
      <c r="AH157" s="71" t="str">
        <f>IF($G157="","",IF(ISNUMBER($A157),IF(ISNUMBER($A157),YEAR($A157)&amp;"-"&amp;TEXT(MONTH($A157),"00"),""),IF(ISNUMBER($L157),IF(ISNUMBER($L157),YEAR($L157)&amp;"-"&amp;TEXT(MONTH($L157),"00"),""),"")))</f>
        <v/>
      </c>
      <c r="AI157" s="71">
        <f>IF($G157="",0,IF(AND(OR(fClient="All",$C157=fClient),OR(fCampaign="All",$D157=fCampaign),OR(fTeam="All",$B157=fTeam),OR(fChannel="All",$F157=fChannel),OR(fMonth="All",$AH157=fMonth),OR(fTStatus="All",$M157=fTStatus)),1,0))</f>
        <v>0</v>
      </c>
      <c r="AJ157" s="71">
        <f>IF($G157="",0,IF(AND(OR(fClient="All",$C157=fClient),OR(fCampaign="All",$D157=fCampaign),OR(fTeam="All",$B157=fTeam),OR(fChannel="All",$F157=fChannel)),1,0))</f>
        <v>0</v>
      </c>
      <c r="AK157" s="71">
        <f>IF($G157="",0,IF(OR($M157="Completed",$M157="Cancelled"),0,1))</f>
        <v>0</v>
      </c>
      <c r="AL157" s="71">
        <f>IF(AND($AK157=1,ISNUMBER($L157)),IF($L157&lt;ReportDate,1,0),0)</f>
        <v>0</v>
      </c>
      <c r="AM157" s="71">
        <f>IF(AND($G157&lt;&gt;"",$M157="Blocked"),1,0)</f>
        <v>0</v>
      </c>
      <c r="AN157" s="71">
        <f>IF(AND($AK157=1,ISNUMBER($L157)),IF($L157=ReportDate,1,0),0)</f>
        <v>0</v>
      </c>
      <c r="AO157" s="71">
        <f>IF(AND($AK157=1,ISNUMBER($L157)),IF($L157=ReportDate+1,1,0),0)</f>
        <v>0</v>
      </c>
      <c r="AP157" s="71">
        <f>IF(AND($AK157=1,ISNUMBER($L157)),IF(AND($L157&gt;=ReportDate,$L157&lt;=ReportDate+DueSoonDays),1,0),0)</f>
        <v>0</v>
      </c>
      <c r="AQ157" s="71">
        <f>IF(AND($AK157=1,OR($I157="Critical",$I157="High")),1,0)</f>
        <v>0</v>
      </c>
      <c r="AR157" s="71">
        <f>IF($AK157=1,IF(ISNUMBER($Y157),IF(ReportDate-$Y157&gt;StaleDays,1,0),1),0)</f>
        <v>0</v>
      </c>
      <c r="AS157" s="71">
        <f>IF(AND($G157&lt;&gt;"",ISNUMBER($Q157),ISNUMBER($R157)),IF(AND($Q157&lt;$R157,OR($M157="Completed",AND(ISNUMBER($L157),$L157&lt;ReportDate))),1,0),0)</f>
        <v>0</v>
      </c>
      <c r="AT157" s="71">
        <f>IF($AK157=1,IF(OR($L157=ReportDate,$W157=ReportDate,$K157=ReportDate,$A157=ReportDate),1,0),0)</f>
        <v>0</v>
      </c>
      <c r="AU157" s="71">
        <f>IF($AK157=1,IF(OR($L157=ReportDate+1,$W157=ReportDate+1,$K157=ReportDate+1,$A157=ReportDate+1),1,0),0)</f>
        <v>0</v>
      </c>
      <c r="AV157" s="71">
        <f>IF(AND($G157&lt;&gt;"",$M157="Completed"),IF(OR($Y157=ReportDate-1,$A157=ReportDate-1),1,0),0)</f>
        <v>0</v>
      </c>
      <c r="AW157" s="71">
        <f>IF(AND($AK157=1,$Z157="Yes"),1,0)</f>
        <v>0</v>
      </c>
      <c r="AX157" s="71">
        <f>IF(AND($AK157=1,$AA157="Yes"),1,0)</f>
        <v>0</v>
      </c>
      <c r="AY157" s="71">
        <f>IF(AND($AM157=1,OR($I157="Critical",$I157="High")),1,0)</f>
        <v>0</v>
      </c>
      <c r="AZ157" s="71">
        <f>IF(AND($AK157=1,OR($C157=TCL_Client,$C157=MECCA_Client)),1,0)</f>
        <v>0</v>
      </c>
      <c r="BA157" s="71" t="str">
        <f>IF($G157="","",IFERROR(MATCH($I157,lst_Priority,0),5))</f>
        <v/>
      </c>
      <c r="BB157" s="71" t="str">
        <f>IF(AND($AL157=1,$AJ157=1),$BA157*100000+ROW(),"")</f>
        <v/>
      </c>
      <c r="BC157" s="71" t="str">
        <f>IF(AND($AM157=1,$AJ157=1),$BA157*100000+ROW(),"")</f>
        <v/>
      </c>
      <c r="BD157" s="71" t="str">
        <f>IF(AND($AP157=1,$AJ157=1),$BA157*100000+ROW(),"")</f>
        <v/>
      </c>
      <c r="BE157" s="71" t="str">
        <f>IF(AND($AT157=1,$AJ157=1),$BA157*100000+ROW(),"")</f>
        <v/>
      </c>
      <c r="BF157" s="71" t="str">
        <f>IF(AND($AU157=1,$AJ157=1),$BA157*100000+ROW(),"")</f>
        <v/>
      </c>
      <c r="BG157" s="71" t="str">
        <f>IF(AND($AV157=1,$AJ157=1),$BA157*100000+ROW(),"")</f>
        <v/>
      </c>
      <c r="BH157" s="71" t="str">
        <f>IF(AND($AW157=1,$AJ157=1),$BA157*100000+ROW(),"")</f>
        <v/>
      </c>
      <c r="BI157" s="71" t="str">
        <f>IF(AND($AX157=1,$AJ157=1),$BA157*100000+ROW(),"")</f>
        <v/>
      </c>
      <c r="BJ157" s="71" t="str">
        <f>IF(AND($AS157=1,$AJ157=1),$BA157*100000+ROW(),"")</f>
        <v/>
      </c>
      <c r="BK157" s="71" t="str">
        <f>IF(AND($AY157=1,$AJ157=1),$BA157*100000+ROW(),"")</f>
        <v/>
      </c>
      <c r="BL157" s="71" t="str">
        <f>IF(AND($AZ157=1),$BA157*100000+ROW(),"")</f>
        <v/>
      </c>
    </row>
    <row r="158">
      <c r="A158" s="63" t="n"/>
      <c r="B158" s="64" t="n"/>
      <c r="C158" s="64" t="n"/>
      <c r="D158" s="64" t="n"/>
      <c r="E158" s="64" t="n"/>
      <c r="F158" s="64" t="n"/>
      <c r="G158" s="65" t="n"/>
      <c r="H158" s="65" t="n"/>
      <c r="I158" s="64" t="n"/>
      <c r="J158" s="64" t="n"/>
      <c r="K158" s="63" t="n"/>
      <c r="L158" s="63" t="n"/>
      <c r="M158" s="64" t="n"/>
      <c r="N158" s="66" t="n"/>
      <c r="O158" s="65" t="n"/>
      <c r="P158" s="64" t="n"/>
      <c r="Q158" s="67" t="n"/>
      <c r="R158" s="67" t="n"/>
      <c r="S158" s="68" t="str">
        <f>IF(AND(ISNUMBER($Q158),ISNUMBER($R158)),$Q158-$R158,"")</f>
        <v/>
      </c>
      <c r="T158" s="65" t="n"/>
      <c r="U158" s="64" t="n"/>
      <c r="V158" s="65" t="n"/>
      <c r="W158" s="63" t="n"/>
      <c r="X158" s="65" t="n"/>
      <c r="Y158" s="63" t="n"/>
      <c r="Z158" s="64" t="n"/>
      <c r="AA158" s="64" t="n"/>
      <c r="AB158" s="65" t="n"/>
      <c r="AC158" s="69" t="str">
        <f>IF(OR($G158="",NOT(ISNUMBER($K158)),$AK158=0),"",MAX(0,ReportDate-$K158))</f>
        <v/>
      </c>
      <c r="AD158" s="69" t="str">
        <f>IF($G158="","",IF($AL158=1,ReportDate-$L158,0))</f>
        <v/>
      </c>
      <c r="AE158" s="70" t="str">
        <f>IF($G158="","",IF($M158="Completed",1,IF(ISNUMBER($N158),$N158,0)))</f>
        <v/>
      </c>
      <c r="AF158" s="70" t="str">
        <f>IF(AND(ISNUMBER($Q158),ISNUMBER($R158)),IF($R158&lt;&gt;0,$Q158/$R158,""),"")</f>
        <v/>
      </c>
      <c r="AG158" s="71" t="str">
        <f>IF($G158="","",IF($AL158=1,"OVERDUE",IF($AM158=1,"BLOCKED",IF($AN158=1,"DUE TODAY",IF($AO158=1,"DUE TOMORROW",IF($AQ158=1,"HIGH PRIORITY",IF($AR158=1,"NO RECENT UPDATE",""))))))) </f>
        <v/>
      </c>
      <c r="AH158" s="71" t="str">
        <f>IF($G158="","",IF(ISNUMBER($A158),IF(ISNUMBER($A158),YEAR($A158)&amp;"-"&amp;TEXT(MONTH($A158),"00"),""),IF(ISNUMBER($L158),IF(ISNUMBER($L158),YEAR($L158)&amp;"-"&amp;TEXT(MONTH($L158),"00"),""),"")))</f>
        <v/>
      </c>
      <c r="AI158" s="71">
        <f>IF($G158="",0,IF(AND(OR(fClient="All",$C158=fClient),OR(fCampaign="All",$D158=fCampaign),OR(fTeam="All",$B158=fTeam),OR(fChannel="All",$F158=fChannel),OR(fMonth="All",$AH158=fMonth),OR(fTStatus="All",$M158=fTStatus)),1,0))</f>
        <v>0</v>
      </c>
      <c r="AJ158" s="71">
        <f>IF($G158="",0,IF(AND(OR(fClient="All",$C158=fClient),OR(fCampaign="All",$D158=fCampaign),OR(fTeam="All",$B158=fTeam),OR(fChannel="All",$F158=fChannel)),1,0))</f>
        <v>0</v>
      </c>
      <c r="AK158" s="71">
        <f>IF($G158="",0,IF(OR($M158="Completed",$M158="Cancelled"),0,1))</f>
        <v>0</v>
      </c>
      <c r="AL158" s="71">
        <f>IF(AND($AK158=1,ISNUMBER($L158)),IF($L158&lt;ReportDate,1,0),0)</f>
        <v>0</v>
      </c>
      <c r="AM158" s="71">
        <f>IF(AND($G158&lt;&gt;"",$M158="Blocked"),1,0)</f>
        <v>0</v>
      </c>
      <c r="AN158" s="71">
        <f>IF(AND($AK158=1,ISNUMBER($L158)),IF($L158=ReportDate,1,0),0)</f>
        <v>0</v>
      </c>
      <c r="AO158" s="71">
        <f>IF(AND($AK158=1,ISNUMBER($L158)),IF($L158=ReportDate+1,1,0),0)</f>
        <v>0</v>
      </c>
      <c r="AP158" s="71">
        <f>IF(AND($AK158=1,ISNUMBER($L158)),IF(AND($L158&gt;=ReportDate,$L158&lt;=ReportDate+DueSoonDays),1,0),0)</f>
        <v>0</v>
      </c>
      <c r="AQ158" s="71">
        <f>IF(AND($AK158=1,OR($I158="Critical",$I158="High")),1,0)</f>
        <v>0</v>
      </c>
      <c r="AR158" s="71">
        <f>IF($AK158=1,IF(ISNUMBER($Y158),IF(ReportDate-$Y158&gt;StaleDays,1,0),1),0)</f>
        <v>0</v>
      </c>
      <c r="AS158" s="71">
        <f>IF(AND($G158&lt;&gt;"",ISNUMBER($Q158),ISNUMBER($R158)),IF(AND($Q158&lt;$R158,OR($M158="Completed",AND(ISNUMBER($L158),$L158&lt;ReportDate))),1,0),0)</f>
        <v>0</v>
      </c>
      <c r="AT158" s="71">
        <f>IF($AK158=1,IF(OR($L158=ReportDate,$W158=ReportDate,$K158=ReportDate,$A158=ReportDate),1,0),0)</f>
        <v>0</v>
      </c>
      <c r="AU158" s="71">
        <f>IF($AK158=1,IF(OR($L158=ReportDate+1,$W158=ReportDate+1,$K158=ReportDate+1,$A158=ReportDate+1),1,0),0)</f>
        <v>0</v>
      </c>
      <c r="AV158" s="71">
        <f>IF(AND($G158&lt;&gt;"",$M158="Completed"),IF(OR($Y158=ReportDate-1,$A158=ReportDate-1),1,0),0)</f>
        <v>0</v>
      </c>
      <c r="AW158" s="71">
        <f>IF(AND($AK158=1,$Z158="Yes"),1,0)</f>
        <v>0</v>
      </c>
      <c r="AX158" s="71">
        <f>IF(AND($AK158=1,$AA158="Yes"),1,0)</f>
        <v>0</v>
      </c>
      <c r="AY158" s="71">
        <f>IF(AND($AM158=1,OR($I158="Critical",$I158="High")),1,0)</f>
        <v>0</v>
      </c>
      <c r="AZ158" s="71">
        <f>IF(AND($AK158=1,OR($C158=TCL_Client,$C158=MECCA_Client)),1,0)</f>
        <v>0</v>
      </c>
      <c r="BA158" s="71" t="str">
        <f>IF($G158="","",IFERROR(MATCH($I158,lst_Priority,0),5))</f>
        <v/>
      </c>
      <c r="BB158" s="71" t="str">
        <f>IF(AND($AL158=1,$AJ158=1),$BA158*100000+ROW(),"")</f>
        <v/>
      </c>
      <c r="BC158" s="71" t="str">
        <f>IF(AND($AM158=1,$AJ158=1),$BA158*100000+ROW(),"")</f>
        <v/>
      </c>
      <c r="BD158" s="71" t="str">
        <f>IF(AND($AP158=1,$AJ158=1),$BA158*100000+ROW(),"")</f>
        <v/>
      </c>
      <c r="BE158" s="71" t="str">
        <f>IF(AND($AT158=1,$AJ158=1),$BA158*100000+ROW(),"")</f>
        <v/>
      </c>
      <c r="BF158" s="71" t="str">
        <f>IF(AND($AU158=1,$AJ158=1),$BA158*100000+ROW(),"")</f>
        <v/>
      </c>
      <c r="BG158" s="71" t="str">
        <f>IF(AND($AV158=1,$AJ158=1),$BA158*100000+ROW(),"")</f>
        <v/>
      </c>
      <c r="BH158" s="71" t="str">
        <f>IF(AND($AW158=1,$AJ158=1),$BA158*100000+ROW(),"")</f>
        <v/>
      </c>
      <c r="BI158" s="71" t="str">
        <f>IF(AND($AX158=1,$AJ158=1),$BA158*100000+ROW(),"")</f>
        <v/>
      </c>
      <c r="BJ158" s="71" t="str">
        <f>IF(AND($AS158=1,$AJ158=1),$BA158*100000+ROW(),"")</f>
        <v/>
      </c>
      <c r="BK158" s="71" t="str">
        <f>IF(AND($AY158=1,$AJ158=1),$BA158*100000+ROW(),"")</f>
        <v/>
      </c>
      <c r="BL158" s="71" t="str">
        <f>IF(AND($AZ158=1),$BA158*100000+ROW(),"")</f>
        <v/>
      </c>
    </row>
    <row r="159">
      <c r="A159" s="63" t="n"/>
      <c r="B159" s="64" t="n"/>
      <c r="C159" s="64" t="n"/>
      <c r="D159" s="64" t="n"/>
      <c r="E159" s="64" t="n"/>
      <c r="F159" s="64" t="n"/>
      <c r="G159" s="65" t="n"/>
      <c r="H159" s="65" t="n"/>
      <c r="I159" s="64" t="n"/>
      <c r="J159" s="64" t="n"/>
      <c r="K159" s="63" t="n"/>
      <c r="L159" s="63" t="n"/>
      <c r="M159" s="64" t="n"/>
      <c r="N159" s="66" t="n"/>
      <c r="O159" s="65" t="n"/>
      <c r="P159" s="64" t="n"/>
      <c r="Q159" s="67" t="n"/>
      <c r="R159" s="67" t="n"/>
      <c r="S159" s="68" t="str">
        <f>IF(AND(ISNUMBER($Q159),ISNUMBER($R159)),$Q159-$R159,"")</f>
        <v/>
      </c>
      <c r="T159" s="65" t="n"/>
      <c r="U159" s="64" t="n"/>
      <c r="V159" s="65" t="n"/>
      <c r="W159" s="63" t="n"/>
      <c r="X159" s="65" t="n"/>
      <c r="Y159" s="63" t="n"/>
      <c r="Z159" s="64" t="n"/>
      <c r="AA159" s="64" t="n"/>
      <c r="AB159" s="65" t="n"/>
      <c r="AC159" s="69" t="str">
        <f>IF(OR($G159="",NOT(ISNUMBER($K159)),$AK159=0),"",MAX(0,ReportDate-$K159))</f>
        <v/>
      </c>
      <c r="AD159" s="69" t="str">
        <f>IF($G159="","",IF($AL159=1,ReportDate-$L159,0))</f>
        <v/>
      </c>
      <c r="AE159" s="70" t="str">
        <f>IF($G159="","",IF($M159="Completed",1,IF(ISNUMBER($N159),$N159,0)))</f>
        <v/>
      </c>
      <c r="AF159" s="70" t="str">
        <f>IF(AND(ISNUMBER($Q159),ISNUMBER($R159)),IF($R159&lt;&gt;0,$Q159/$R159,""),"")</f>
        <v/>
      </c>
      <c r="AG159" s="71" t="str">
        <f>IF($G159="","",IF($AL159=1,"OVERDUE",IF($AM159=1,"BLOCKED",IF($AN159=1,"DUE TODAY",IF($AO159=1,"DUE TOMORROW",IF($AQ159=1,"HIGH PRIORITY",IF($AR159=1,"NO RECENT UPDATE",""))))))) </f>
        <v/>
      </c>
      <c r="AH159" s="71" t="str">
        <f>IF($G159="","",IF(ISNUMBER($A159),IF(ISNUMBER($A159),YEAR($A159)&amp;"-"&amp;TEXT(MONTH($A159),"00"),""),IF(ISNUMBER($L159),IF(ISNUMBER($L159),YEAR($L159)&amp;"-"&amp;TEXT(MONTH($L159),"00"),""),"")))</f>
        <v/>
      </c>
      <c r="AI159" s="71">
        <f>IF($G159="",0,IF(AND(OR(fClient="All",$C159=fClient),OR(fCampaign="All",$D159=fCampaign),OR(fTeam="All",$B159=fTeam),OR(fChannel="All",$F159=fChannel),OR(fMonth="All",$AH159=fMonth),OR(fTStatus="All",$M159=fTStatus)),1,0))</f>
        <v>0</v>
      </c>
      <c r="AJ159" s="71">
        <f>IF($G159="",0,IF(AND(OR(fClient="All",$C159=fClient),OR(fCampaign="All",$D159=fCampaign),OR(fTeam="All",$B159=fTeam),OR(fChannel="All",$F159=fChannel)),1,0))</f>
        <v>0</v>
      </c>
      <c r="AK159" s="71">
        <f>IF($G159="",0,IF(OR($M159="Completed",$M159="Cancelled"),0,1))</f>
        <v>0</v>
      </c>
      <c r="AL159" s="71">
        <f>IF(AND($AK159=1,ISNUMBER($L159)),IF($L159&lt;ReportDate,1,0),0)</f>
        <v>0</v>
      </c>
      <c r="AM159" s="71">
        <f>IF(AND($G159&lt;&gt;"",$M159="Blocked"),1,0)</f>
        <v>0</v>
      </c>
      <c r="AN159" s="71">
        <f>IF(AND($AK159=1,ISNUMBER($L159)),IF($L159=ReportDate,1,0),0)</f>
        <v>0</v>
      </c>
      <c r="AO159" s="71">
        <f>IF(AND($AK159=1,ISNUMBER($L159)),IF($L159=ReportDate+1,1,0),0)</f>
        <v>0</v>
      </c>
      <c r="AP159" s="71">
        <f>IF(AND($AK159=1,ISNUMBER($L159)),IF(AND($L159&gt;=ReportDate,$L159&lt;=ReportDate+DueSoonDays),1,0),0)</f>
        <v>0</v>
      </c>
      <c r="AQ159" s="71">
        <f>IF(AND($AK159=1,OR($I159="Critical",$I159="High")),1,0)</f>
        <v>0</v>
      </c>
      <c r="AR159" s="71">
        <f>IF($AK159=1,IF(ISNUMBER($Y159),IF(ReportDate-$Y159&gt;StaleDays,1,0),1),0)</f>
        <v>0</v>
      </c>
      <c r="AS159" s="71">
        <f>IF(AND($G159&lt;&gt;"",ISNUMBER($Q159),ISNUMBER($R159)),IF(AND($Q159&lt;$R159,OR($M159="Completed",AND(ISNUMBER($L159),$L159&lt;ReportDate))),1,0),0)</f>
        <v>0</v>
      </c>
      <c r="AT159" s="71">
        <f>IF($AK159=1,IF(OR($L159=ReportDate,$W159=ReportDate,$K159=ReportDate,$A159=ReportDate),1,0),0)</f>
        <v>0</v>
      </c>
      <c r="AU159" s="71">
        <f>IF($AK159=1,IF(OR($L159=ReportDate+1,$W159=ReportDate+1,$K159=ReportDate+1,$A159=ReportDate+1),1,0),0)</f>
        <v>0</v>
      </c>
      <c r="AV159" s="71">
        <f>IF(AND($G159&lt;&gt;"",$M159="Completed"),IF(OR($Y159=ReportDate-1,$A159=ReportDate-1),1,0),0)</f>
        <v>0</v>
      </c>
      <c r="AW159" s="71">
        <f>IF(AND($AK159=1,$Z159="Yes"),1,0)</f>
        <v>0</v>
      </c>
      <c r="AX159" s="71">
        <f>IF(AND($AK159=1,$AA159="Yes"),1,0)</f>
        <v>0</v>
      </c>
      <c r="AY159" s="71">
        <f>IF(AND($AM159=1,OR($I159="Critical",$I159="High")),1,0)</f>
        <v>0</v>
      </c>
      <c r="AZ159" s="71">
        <f>IF(AND($AK159=1,OR($C159=TCL_Client,$C159=MECCA_Client)),1,0)</f>
        <v>0</v>
      </c>
      <c r="BA159" s="71" t="str">
        <f>IF($G159="","",IFERROR(MATCH($I159,lst_Priority,0),5))</f>
        <v/>
      </c>
      <c r="BB159" s="71" t="str">
        <f>IF(AND($AL159=1,$AJ159=1),$BA159*100000+ROW(),"")</f>
        <v/>
      </c>
      <c r="BC159" s="71" t="str">
        <f>IF(AND($AM159=1,$AJ159=1),$BA159*100000+ROW(),"")</f>
        <v/>
      </c>
      <c r="BD159" s="71" t="str">
        <f>IF(AND($AP159=1,$AJ159=1),$BA159*100000+ROW(),"")</f>
        <v/>
      </c>
      <c r="BE159" s="71" t="str">
        <f>IF(AND($AT159=1,$AJ159=1),$BA159*100000+ROW(),"")</f>
        <v/>
      </c>
      <c r="BF159" s="71" t="str">
        <f>IF(AND($AU159=1,$AJ159=1),$BA159*100000+ROW(),"")</f>
        <v/>
      </c>
      <c r="BG159" s="71" t="str">
        <f>IF(AND($AV159=1,$AJ159=1),$BA159*100000+ROW(),"")</f>
        <v/>
      </c>
      <c r="BH159" s="71" t="str">
        <f>IF(AND($AW159=1,$AJ159=1),$BA159*100000+ROW(),"")</f>
        <v/>
      </c>
      <c r="BI159" s="71" t="str">
        <f>IF(AND($AX159=1,$AJ159=1),$BA159*100000+ROW(),"")</f>
        <v/>
      </c>
      <c r="BJ159" s="71" t="str">
        <f>IF(AND($AS159=1,$AJ159=1),$BA159*100000+ROW(),"")</f>
        <v/>
      </c>
      <c r="BK159" s="71" t="str">
        <f>IF(AND($AY159=1,$AJ159=1),$BA159*100000+ROW(),"")</f>
        <v/>
      </c>
      <c r="BL159" s="71" t="str">
        <f>IF(AND($AZ159=1),$BA159*100000+ROW(),"")</f>
        <v/>
      </c>
    </row>
    <row r="160">
      <c r="A160" s="63" t="n"/>
      <c r="B160" s="64" t="n"/>
      <c r="C160" s="64" t="n"/>
      <c r="D160" s="64" t="n"/>
      <c r="E160" s="64" t="n"/>
      <c r="F160" s="64" t="n"/>
      <c r="G160" s="65" t="n"/>
      <c r="H160" s="65" t="n"/>
      <c r="I160" s="64" t="n"/>
      <c r="J160" s="64" t="n"/>
      <c r="K160" s="63" t="n"/>
      <c r="L160" s="63" t="n"/>
      <c r="M160" s="64" t="n"/>
      <c r="N160" s="66" t="n"/>
      <c r="O160" s="65" t="n"/>
      <c r="P160" s="64" t="n"/>
      <c r="Q160" s="67" t="n"/>
      <c r="R160" s="67" t="n"/>
      <c r="S160" s="68" t="str">
        <f>IF(AND(ISNUMBER($Q160),ISNUMBER($R160)),$Q160-$R160,"")</f>
        <v/>
      </c>
      <c r="T160" s="65" t="n"/>
      <c r="U160" s="64" t="n"/>
      <c r="V160" s="65" t="n"/>
      <c r="W160" s="63" t="n"/>
      <c r="X160" s="65" t="n"/>
      <c r="Y160" s="63" t="n"/>
      <c r="Z160" s="64" t="n"/>
      <c r="AA160" s="64" t="n"/>
      <c r="AB160" s="65" t="n"/>
      <c r="AC160" s="69" t="str">
        <f>IF(OR($G160="",NOT(ISNUMBER($K160)),$AK160=0),"",MAX(0,ReportDate-$K160))</f>
        <v/>
      </c>
      <c r="AD160" s="69" t="str">
        <f>IF($G160="","",IF($AL160=1,ReportDate-$L160,0))</f>
        <v/>
      </c>
      <c r="AE160" s="70" t="str">
        <f>IF($G160="","",IF($M160="Completed",1,IF(ISNUMBER($N160),$N160,0)))</f>
        <v/>
      </c>
      <c r="AF160" s="70" t="str">
        <f>IF(AND(ISNUMBER($Q160),ISNUMBER($R160)),IF($R160&lt;&gt;0,$Q160/$R160,""),"")</f>
        <v/>
      </c>
      <c r="AG160" s="71" t="str">
        <f>IF($G160="","",IF($AL160=1,"OVERDUE",IF($AM160=1,"BLOCKED",IF($AN160=1,"DUE TODAY",IF($AO160=1,"DUE TOMORROW",IF($AQ160=1,"HIGH PRIORITY",IF($AR160=1,"NO RECENT UPDATE",""))))))) </f>
        <v/>
      </c>
      <c r="AH160" s="71" t="str">
        <f>IF($G160="","",IF(ISNUMBER($A160),IF(ISNUMBER($A160),YEAR($A160)&amp;"-"&amp;TEXT(MONTH($A160),"00"),""),IF(ISNUMBER($L160),IF(ISNUMBER($L160),YEAR($L160)&amp;"-"&amp;TEXT(MONTH($L160),"00"),""),"")))</f>
        <v/>
      </c>
      <c r="AI160" s="71">
        <f>IF($G160="",0,IF(AND(OR(fClient="All",$C160=fClient),OR(fCampaign="All",$D160=fCampaign),OR(fTeam="All",$B160=fTeam),OR(fChannel="All",$F160=fChannel),OR(fMonth="All",$AH160=fMonth),OR(fTStatus="All",$M160=fTStatus)),1,0))</f>
        <v>0</v>
      </c>
      <c r="AJ160" s="71">
        <f>IF($G160="",0,IF(AND(OR(fClient="All",$C160=fClient),OR(fCampaign="All",$D160=fCampaign),OR(fTeam="All",$B160=fTeam),OR(fChannel="All",$F160=fChannel)),1,0))</f>
        <v>0</v>
      </c>
      <c r="AK160" s="71">
        <f>IF($G160="",0,IF(OR($M160="Completed",$M160="Cancelled"),0,1))</f>
        <v>0</v>
      </c>
      <c r="AL160" s="71">
        <f>IF(AND($AK160=1,ISNUMBER($L160)),IF($L160&lt;ReportDate,1,0),0)</f>
        <v>0</v>
      </c>
      <c r="AM160" s="71">
        <f>IF(AND($G160&lt;&gt;"",$M160="Blocked"),1,0)</f>
        <v>0</v>
      </c>
      <c r="AN160" s="71">
        <f>IF(AND($AK160=1,ISNUMBER($L160)),IF($L160=ReportDate,1,0),0)</f>
        <v>0</v>
      </c>
      <c r="AO160" s="71">
        <f>IF(AND($AK160=1,ISNUMBER($L160)),IF($L160=ReportDate+1,1,0),0)</f>
        <v>0</v>
      </c>
      <c r="AP160" s="71">
        <f>IF(AND($AK160=1,ISNUMBER($L160)),IF(AND($L160&gt;=ReportDate,$L160&lt;=ReportDate+DueSoonDays),1,0),0)</f>
        <v>0</v>
      </c>
      <c r="AQ160" s="71">
        <f>IF(AND($AK160=1,OR($I160="Critical",$I160="High")),1,0)</f>
        <v>0</v>
      </c>
      <c r="AR160" s="71">
        <f>IF($AK160=1,IF(ISNUMBER($Y160),IF(ReportDate-$Y160&gt;StaleDays,1,0),1),0)</f>
        <v>0</v>
      </c>
      <c r="AS160" s="71">
        <f>IF(AND($G160&lt;&gt;"",ISNUMBER($Q160),ISNUMBER($R160)),IF(AND($Q160&lt;$R160,OR($M160="Completed",AND(ISNUMBER($L160),$L160&lt;ReportDate))),1,0),0)</f>
        <v>0</v>
      </c>
      <c r="AT160" s="71">
        <f>IF($AK160=1,IF(OR($L160=ReportDate,$W160=ReportDate,$K160=ReportDate,$A160=ReportDate),1,0),0)</f>
        <v>0</v>
      </c>
      <c r="AU160" s="71">
        <f>IF($AK160=1,IF(OR($L160=ReportDate+1,$W160=ReportDate+1,$K160=ReportDate+1,$A160=ReportDate+1),1,0),0)</f>
        <v>0</v>
      </c>
      <c r="AV160" s="71">
        <f>IF(AND($G160&lt;&gt;"",$M160="Completed"),IF(OR($Y160=ReportDate-1,$A160=ReportDate-1),1,0),0)</f>
        <v>0</v>
      </c>
      <c r="AW160" s="71">
        <f>IF(AND($AK160=1,$Z160="Yes"),1,0)</f>
        <v>0</v>
      </c>
      <c r="AX160" s="71">
        <f>IF(AND($AK160=1,$AA160="Yes"),1,0)</f>
        <v>0</v>
      </c>
      <c r="AY160" s="71">
        <f>IF(AND($AM160=1,OR($I160="Critical",$I160="High")),1,0)</f>
        <v>0</v>
      </c>
      <c r="AZ160" s="71">
        <f>IF(AND($AK160=1,OR($C160=TCL_Client,$C160=MECCA_Client)),1,0)</f>
        <v>0</v>
      </c>
      <c r="BA160" s="71" t="str">
        <f>IF($G160="","",IFERROR(MATCH($I160,lst_Priority,0),5))</f>
        <v/>
      </c>
      <c r="BB160" s="71" t="str">
        <f>IF(AND($AL160=1,$AJ160=1),$BA160*100000+ROW(),"")</f>
        <v/>
      </c>
      <c r="BC160" s="71" t="str">
        <f>IF(AND($AM160=1,$AJ160=1),$BA160*100000+ROW(),"")</f>
        <v/>
      </c>
      <c r="BD160" s="71" t="str">
        <f>IF(AND($AP160=1,$AJ160=1),$BA160*100000+ROW(),"")</f>
        <v/>
      </c>
      <c r="BE160" s="71" t="str">
        <f>IF(AND($AT160=1,$AJ160=1),$BA160*100000+ROW(),"")</f>
        <v/>
      </c>
      <c r="BF160" s="71" t="str">
        <f>IF(AND($AU160=1,$AJ160=1),$BA160*100000+ROW(),"")</f>
        <v/>
      </c>
      <c r="BG160" s="71" t="str">
        <f>IF(AND($AV160=1,$AJ160=1),$BA160*100000+ROW(),"")</f>
        <v/>
      </c>
      <c r="BH160" s="71" t="str">
        <f>IF(AND($AW160=1,$AJ160=1),$BA160*100000+ROW(),"")</f>
        <v/>
      </c>
      <c r="BI160" s="71" t="str">
        <f>IF(AND($AX160=1,$AJ160=1),$BA160*100000+ROW(),"")</f>
        <v/>
      </c>
      <c r="BJ160" s="71" t="str">
        <f>IF(AND($AS160=1,$AJ160=1),$BA160*100000+ROW(),"")</f>
        <v/>
      </c>
      <c r="BK160" s="71" t="str">
        <f>IF(AND($AY160=1,$AJ160=1),$BA160*100000+ROW(),"")</f>
        <v/>
      </c>
      <c r="BL160" s="71" t="str">
        <f>IF(AND($AZ160=1),$BA160*100000+ROW(),"")</f>
        <v/>
      </c>
    </row>
    <row r="161">
      <c r="A161" s="63" t="n"/>
      <c r="B161" s="64" t="n"/>
      <c r="C161" s="64" t="n"/>
      <c r="D161" s="64" t="n"/>
      <c r="E161" s="64" t="n"/>
      <c r="F161" s="64" t="n"/>
      <c r="G161" s="65" t="n"/>
      <c r="H161" s="65" t="n"/>
      <c r="I161" s="64" t="n"/>
      <c r="J161" s="64" t="n"/>
      <c r="K161" s="63" t="n"/>
      <c r="L161" s="63" t="n"/>
      <c r="M161" s="64" t="n"/>
      <c r="N161" s="66" t="n"/>
      <c r="O161" s="65" t="n"/>
      <c r="P161" s="64" t="n"/>
      <c r="Q161" s="67" t="n"/>
      <c r="R161" s="67" t="n"/>
      <c r="S161" s="68" t="str">
        <f>IF(AND(ISNUMBER($Q161),ISNUMBER($R161)),$Q161-$R161,"")</f>
        <v/>
      </c>
      <c r="T161" s="65" t="n"/>
      <c r="U161" s="64" t="n"/>
      <c r="V161" s="65" t="n"/>
      <c r="W161" s="63" t="n"/>
      <c r="X161" s="65" t="n"/>
      <c r="Y161" s="63" t="n"/>
      <c r="Z161" s="64" t="n"/>
      <c r="AA161" s="64" t="n"/>
      <c r="AB161" s="65" t="n"/>
      <c r="AC161" s="69" t="str">
        <f>IF(OR($G161="",NOT(ISNUMBER($K161)),$AK161=0),"",MAX(0,ReportDate-$K161))</f>
        <v/>
      </c>
      <c r="AD161" s="69" t="str">
        <f>IF($G161="","",IF($AL161=1,ReportDate-$L161,0))</f>
        <v/>
      </c>
      <c r="AE161" s="70" t="str">
        <f>IF($G161="","",IF($M161="Completed",1,IF(ISNUMBER($N161),$N161,0)))</f>
        <v/>
      </c>
      <c r="AF161" s="70" t="str">
        <f>IF(AND(ISNUMBER($Q161),ISNUMBER($R161)),IF($R161&lt;&gt;0,$Q161/$R161,""),"")</f>
        <v/>
      </c>
      <c r="AG161" s="71" t="str">
        <f>IF($G161="","",IF($AL161=1,"OVERDUE",IF($AM161=1,"BLOCKED",IF($AN161=1,"DUE TODAY",IF($AO161=1,"DUE TOMORROW",IF($AQ161=1,"HIGH PRIORITY",IF($AR161=1,"NO RECENT UPDATE",""))))))) </f>
        <v/>
      </c>
      <c r="AH161" s="71" t="str">
        <f>IF($G161="","",IF(ISNUMBER($A161),IF(ISNUMBER($A161),YEAR($A161)&amp;"-"&amp;TEXT(MONTH($A161),"00"),""),IF(ISNUMBER($L161),IF(ISNUMBER($L161),YEAR($L161)&amp;"-"&amp;TEXT(MONTH($L161),"00"),""),"")))</f>
        <v/>
      </c>
      <c r="AI161" s="71">
        <f>IF($G161="",0,IF(AND(OR(fClient="All",$C161=fClient),OR(fCampaign="All",$D161=fCampaign),OR(fTeam="All",$B161=fTeam),OR(fChannel="All",$F161=fChannel),OR(fMonth="All",$AH161=fMonth),OR(fTStatus="All",$M161=fTStatus)),1,0))</f>
        <v>0</v>
      </c>
      <c r="AJ161" s="71">
        <f>IF($G161="",0,IF(AND(OR(fClient="All",$C161=fClient),OR(fCampaign="All",$D161=fCampaign),OR(fTeam="All",$B161=fTeam),OR(fChannel="All",$F161=fChannel)),1,0))</f>
        <v>0</v>
      </c>
      <c r="AK161" s="71">
        <f>IF($G161="",0,IF(OR($M161="Completed",$M161="Cancelled"),0,1))</f>
        <v>0</v>
      </c>
      <c r="AL161" s="71">
        <f>IF(AND($AK161=1,ISNUMBER($L161)),IF($L161&lt;ReportDate,1,0),0)</f>
        <v>0</v>
      </c>
      <c r="AM161" s="71">
        <f>IF(AND($G161&lt;&gt;"",$M161="Blocked"),1,0)</f>
        <v>0</v>
      </c>
      <c r="AN161" s="71">
        <f>IF(AND($AK161=1,ISNUMBER($L161)),IF($L161=ReportDate,1,0),0)</f>
        <v>0</v>
      </c>
      <c r="AO161" s="71">
        <f>IF(AND($AK161=1,ISNUMBER($L161)),IF($L161=ReportDate+1,1,0),0)</f>
        <v>0</v>
      </c>
      <c r="AP161" s="71">
        <f>IF(AND($AK161=1,ISNUMBER($L161)),IF(AND($L161&gt;=ReportDate,$L161&lt;=ReportDate+DueSoonDays),1,0),0)</f>
        <v>0</v>
      </c>
      <c r="AQ161" s="71">
        <f>IF(AND($AK161=1,OR($I161="Critical",$I161="High")),1,0)</f>
        <v>0</v>
      </c>
      <c r="AR161" s="71">
        <f>IF($AK161=1,IF(ISNUMBER($Y161),IF(ReportDate-$Y161&gt;StaleDays,1,0),1),0)</f>
        <v>0</v>
      </c>
      <c r="AS161" s="71">
        <f>IF(AND($G161&lt;&gt;"",ISNUMBER($Q161),ISNUMBER($R161)),IF(AND($Q161&lt;$R161,OR($M161="Completed",AND(ISNUMBER($L161),$L161&lt;ReportDate))),1,0),0)</f>
        <v>0</v>
      </c>
      <c r="AT161" s="71">
        <f>IF($AK161=1,IF(OR($L161=ReportDate,$W161=ReportDate,$K161=ReportDate,$A161=ReportDate),1,0),0)</f>
        <v>0</v>
      </c>
      <c r="AU161" s="71">
        <f>IF($AK161=1,IF(OR($L161=ReportDate+1,$W161=ReportDate+1,$K161=ReportDate+1,$A161=ReportDate+1),1,0),0)</f>
        <v>0</v>
      </c>
      <c r="AV161" s="71">
        <f>IF(AND($G161&lt;&gt;"",$M161="Completed"),IF(OR($Y161=ReportDate-1,$A161=ReportDate-1),1,0),0)</f>
        <v>0</v>
      </c>
      <c r="AW161" s="71">
        <f>IF(AND($AK161=1,$Z161="Yes"),1,0)</f>
        <v>0</v>
      </c>
      <c r="AX161" s="71">
        <f>IF(AND($AK161=1,$AA161="Yes"),1,0)</f>
        <v>0</v>
      </c>
      <c r="AY161" s="71">
        <f>IF(AND($AM161=1,OR($I161="Critical",$I161="High")),1,0)</f>
        <v>0</v>
      </c>
      <c r="AZ161" s="71">
        <f>IF(AND($AK161=1,OR($C161=TCL_Client,$C161=MECCA_Client)),1,0)</f>
        <v>0</v>
      </c>
      <c r="BA161" s="71" t="str">
        <f>IF($G161="","",IFERROR(MATCH($I161,lst_Priority,0),5))</f>
        <v/>
      </c>
      <c r="BB161" s="71" t="str">
        <f>IF(AND($AL161=1,$AJ161=1),$BA161*100000+ROW(),"")</f>
        <v/>
      </c>
      <c r="BC161" s="71" t="str">
        <f>IF(AND($AM161=1,$AJ161=1),$BA161*100000+ROW(),"")</f>
        <v/>
      </c>
      <c r="BD161" s="71" t="str">
        <f>IF(AND($AP161=1,$AJ161=1),$BA161*100000+ROW(),"")</f>
        <v/>
      </c>
      <c r="BE161" s="71" t="str">
        <f>IF(AND($AT161=1,$AJ161=1),$BA161*100000+ROW(),"")</f>
        <v/>
      </c>
      <c r="BF161" s="71" t="str">
        <f>IF(AND($AU161=1,$AJ161=1),$BA161*100000+ROW(),"")</f>
        <v/>
      </c>
      <c r="BG161" s="71" t="str">
        <f>IF(AND($AV161=1,$AJ161=1),$BA161*100000+ROW(),"")</f>
        <v/>
      </c>
      <c r="BH161" s="71" t="str">
        <f>IF(AND($AW161=1,$AJ161=1),$BA161*100000+ROW(),"")</f>
        <v/>
      </c>
      <c r="BI161" s="71" t="str">
        <f>IF(AND($AX161=1,$AJ161=1),$BA161*100000+ROW(),"")</f>
        <v/>
      </c>
      <c r="BJ161" s="71" t="str">
        <f>IF(AND($AS161=1,$AJ161=1),$BA161*100000+ROW(),"")</f>
        <v/>
      </c>
      <c r="BK161" s="71" t="str">
        <f>IF(AND($AY161=1,$AJ161=1),$BA161*100000+ROW(),"")</f>
        <v/>
      </c>
      <c r="BL161" s="71" t="str">
        <f>IF(AND($AZ161=1),$BA161*100000+ROW(),"")</f>
        <v/>
      </c>
    </row>
    <row r="162">
      <c r="A162" s="63" t="n"/>
      <c r="B162" s="64" t="n"/>
      <c r="C162" s="64" t="n"/>
      <c r="D162" s="64" t="n"/>
      <c r="E162" s="64" t="n"/>
      <c r="F162" s="64" t="n"/>
      <c r="G162" s="65" t="n"/>
      <c r="H162" s="65" t="n"/>
      <c r="I162" s="64" t="n"/>
      <c r="J162" s="64" t="n"/>
      <c r="K162" s="63" t="n"/>
      <c r="L162" s="63" t="n"/>
      <c r="M162" s="64" t="n"/>
      <c r="N162" s="66" t="n"/>
      <c r="O162" s="65" t="n"/>
      <c r="P162" s="64" t="n"/>
      <c r="Q162" s="67" t="n"/>
      <c r="R162" s="67" t="n"/>
      <c r="S162" s="68" t="str">
        <f>IF(AND(ISNUMBER($Q162),ISNUMBER($R162)),$Q162-$R162,"")</f>
        <v/>
      </c>
      <c r="T162" s="65" t="n"/>
      <c r="U162" s="64" t="n"/>
      <c r="V162" s="65" t="n"/>
      <c r="W162" s="63" t="n"/>
      <c r="X162" s="65" t="n"/>
      <c r="Y162" s="63" t="n"/>
      <c r="Z162" s="64" t="n"/>
      <c r="AA162" s="64" t="n"/>
      <c r="AB162" s="65" t="n"/>
      <c r="AC162" s="69" t="str">
        <f>IF(OR($G162="",NOT(ISNUMBER($K162)),$AK162=0),"",MAX(0,ReportDate-$K162))</f>
        <v/>
      </c>
      <c r="AD162" s="69" t="str">
        <f>IF($G162="","",IF($AL162=1,ReportDate-$L162,0))</f>
        <v/>
      </c>
      <c r="AE162" s="70" t="str">
        <f>IF($G162="","",IF($M162="Completed",1,IF(ISNUMBER($N162),$N162,0)))</f>
        <v/>
      </c>
      <c r="AF162" s="70" t="str">
        <f>IF(AND(ISNUMBER($Q162),ISNUMBER($R162)),IF($R162&lt;&gt;0,$Q162/$R162,""),"")</f>
        <v/>
      </c>
      <c r="AG162" s="71" t="str">
        <f>IF($G162="","",IF($AL162=1,"OVERDUE",IF($AM162=1,"BLOCKED",IF($AN162=1,"DUE TODAY",IF($AO162=1,"DUE TOMORROW",IF($AQ162=1,"HIGH PRIORITY",IF($AR162=1,"NO RECENT UPDATE",""))))))) </f>
        <v/>
      </c>
      <c r="AH162" s="71" t="str">
        <f>IF($G162="","",IF(ISNUMBER($A162),IF(ISNUMBER($A162),YEAR($A162)&amp;"-"&amp;TEXT(MONTH($A162),"00"),""),IF(ISNUMBER($L162),IF(ISNUMBER($L162),YEAR($L162)&amp;"-"&amp;TEXT(MONTH($L162),"00"),""),"")))</f>
        <v/>
      </c>
      <c r="AI162" s="71">
        <f>IF($G162="",0,IF(AND(OR(fClient="All",$C162=fClient),OR(fCampaign="All",$D162=fCampaign),OR(fTeam="All",$B162=fTeam),OR(fChannel="All",$F162=fChannel),OR(fMonth="All",$AH162=fMonth),OR(fTStatus="All",$M162=fTStatus)),1,0))</f>
        <v>0</v>
      </c>
      <c r="AJ162" s="71">
        <f>IF($G162="",0,IF(AND(OR(fClient="All",$C162=fClient),OR(fCampaign="All",$D162=fCampaign),OR(fTeam="All",$B162=fTeam),OR(fChannel="All",$F162=fChannel)),1,0))</f>
        <v>0</v>
      </c>
      <c r="AK162" s="71">
        <f>IF($G162="",0,IF(OR($M162="Completed",$M162="Cancelled"),0,1))</f>
        <v>0</v>
      </c>
      <c r="AL162" s="71">
        <f>IF(AND($AK162=1,ISNUMBER($L162)),IF($L162&lt;ReportDate,1,0),0)</f>
        <v>0</v>
      </c>
      <c r="AM162" s="71">
        <f>IF(AND($G162&lt;&gt;"",$M162="Blocked"),1,0)</f>
        <v>0</v>
      </c>
      <c r="AN162" s="71">
        <f>IF(AND($AK162=1,ISNUMBER($L162)),IF($L162=ReportDate,1,0),0)</f>
        <v>0</v>
      </c>
      <c r="AO162" s="71">
        <f>IF(AND($AK162=1,ISNUMBER($L162)),IF($L162=ReportDate+1,1,0),0)</f>
        <v>0</v>
      </c>
      <c r="AP162" s="71">
        <f>IF(AND($AK162=1,ISNUMBER($L162)),IF(AND($L162&gt;=ReportDate,$L162&lt;=ReportDate+DueSoonDays),1,0),0)</f>
        <v>0</v>
      </c>
      <c r="AQ162" s="71">
        <f>IF(AND($AK162=1,OR($I162="Critical",$I162="High")),1,0)</f>
        <v>0</v>
      </c>
      <c r="AR162" s="71">
        <f>IF($AK162=1,IF(ISNUMBER($Y162),IF(ReportDate-$Y162&gt;StaleDays,1,0),1),0)</f>
        <v>0</v>
      </c>
      <c r="AS162" s="71">
        <f>IF(AND($G162&lt;&gt;"",ISNUMBER($Q162),ISNUMBER($R162)),IF(AND($Q162&lt;$R162,OR($M162="Completed",AND(ISNUMBER($L162),$L162&lt;ReportDate))),1,0),0)</f>
        <v>0</v>
      </c>
      <c r="AT162" s="71">
        <f>IF($AK162=1,IF(OR($L162=ReportDate,$W162=ReportDate,$K162=ReportDate,$A162=ReportDate),1,0),0)</f>
        <v>0</v>
      </c>
      <c r="AU162" s="71">
        <f>IF($AK162=1,IF(OR($L162=ReportDate+1,$W162=ReportDate+1,$K162=ReportDate+1,$A162=ReportDate+1),1,0),0)</f>
        <v>0</v>
      </c>
      <c r="AV162" s="71">
        <f>IF(AND($G162&lt;&gt;"",$M162="Completed"),IF(OR($Y162=ReportDate-1,$A162=ReportDate-1),1,0),0)</f>
        <v>0</v>
      </c>
      <c r="AW162" s="71">
        <f>IF(AND($AK162=1,$Z162="Yes"),1,0)</f>
        <v>0</v>
      </c>
      <c r="AX162" s="71">
        <f>IF(AND($AK162=1,$AA162="Yes"),1,0)</f>
        <v>0</v>
      </c>
      <c r="AY162" s="71">
        <f>IF(AND($AM162=1,OR($I162="Critical",$I162="High")),1,0)</f>
        <v>0</v>
      </c>
      <c r="AZ162" s="71">
        <f>IF(AND($AK162=1,OR($C162=TCL_Client,$C162=MECCA_Client)),1,0)</f>
        <v>0</v>
      </c>
      <c r="BA162" s="71" t="str">
        <f>IF($G162="","",IFERROR(MATCH($I162,lst_Priority,0),5))</f>
        <v/>
      </c>
      <c r="BB162" s="71" t="str">
        <f>IF(AND($AL162=1,$AJ162=1),$BA162*100000+ROW(),"")</f>
        <v/>
      </c>
      <c r="BC162" s="71" t="str">
        <f>IF(AND($AM162=1,$AJ162=1),$BA162*100000+ROW(),"")</f>
        <v/>
      </c>
      <c r="BD162" s="71" t="str">
        <f>IF(AND($AP162=1,$AJ162=1),$BA162*100000+ROW(),"")</f>
        <v/>
      </c>
      <c r="BE162" s="71" t="str">
        <f>IF(AND($AT162=1,$AJ162=1),$BA162*100000+ROW(),"")</f>
        <v/>
      </c>
      <c r="BF162" s="71" t="str">
        <f>IF(AND($AU162=1,$AJ162=1),$BA162*100000+ROW(),"")</f>
        <v/>
      </c>
      <c r="BG162" s="71" t="str">
        <f>IF(AND($AV162=1,$AJ162=1),$BA162*100000+ROW(),"")</f>
        <v/>
      </c>
      <c r="BH162" s="71" t="str">
        <f>IF(AND($AW162=1,$AJ162=1),$BA162*100000+ROW(),"")</f>
        <v/>
      </c>
      <c r="BI162" s="71" t="str">
        <f>IF(AND($AX162=1,$AJ162=1),$BA162*100000+ROW(),"")</f>
        <v/>
      </c>
      <c r="BJ162" s="71" t="str">
        <f>IF(AND($AS162=1,$AJ162=1),$BA162*100000+ROW(),"")</f>
        <v/>
      </c>
      <c r="BK162" s="71" t="str">
        <f>IF(AND($AY162=1,$AJ162=1),$BA162*100000+ROW(),"")</f>
        <v/>
      </c>
      <c r="BL162" s="71" t="str">
        <f>IF(AND($AZ162=1),$BA162*100000+ROW(),"")</f>
        <v/>
      </c>
    </row>
    <row r="163">
      <c r="A163" s="63" t="n"/>
      <c r="B163" s="64" t="n"/>
      <c r="C163" s="64" t="n"/>
      <c r="D163" s="64" t="n"/>
      <c r="E163" s="64" t="n"/>
      <c r="F163" s="64" t="n"/>
      <c r="G163" s="65" t="n"/>
      <c r="H163" s="65" t="n"/>
      <c r="I163" s="64" t="n"/>
      <c r="J163" s="64" t="n"/>
      <c r="K163" s="63" t="n"/>
      <c r="L163" s="63" t="n"/>
      <c r="M163" s="64" t="n"/>
      <c r="N163" s="66" t="n"/>
      <c r="O163" s="65" t="n"/>
      <c r="P163" s="64" t="n"/>
      <c r="Q163" s="67" t="n"/>
      <c r="R163" s="67" t="n"/>
      <c r="S163" s="68" t="str">
        <f>IF(AND(ISNUMBER($Q163),ISNUMBER($R163)),$Q163-$R163,"")</f>
        <v/>
      </c>
      <c r="T163" s="65" t="n"/>
      <c r="U163" s="64" t="n"/>
      <c r="V163" s="65" t="n"/>
      <c r="W163" s="63" t="n"/>
      <c r="X163" s="65" t="n"/>
      <c r="Y163" s="63" t="n"/>
      <c r="Z163" s="64" t="n"/>
      <c r="AA163" s="64" t="n"/>
      <c r="AB163" s="65" t="n"/>
      <c r="AC163" s="69" t="str">
        <f>IF(OR($G163="",NOT(ISNUMBER($K163)),$AK163=0),"",MAX(0,ReportDate-$K163))</f>
        <v/>
      </c>
      <c r="AD163" s="69" t="str">
        <f>IF($G163="","",IF($AL163=1,ReportDate-$L163,0))</f>
        <v/>
      </c>
      <c r="AE163" s="70" t="str">
        <f>IF($G163="","",IF($M163="Completed",1,IF(ISNUMBER($N163),$N163,0)))</f>
        <v/>
      </c>
      <c r="AF163" s="70" t="str">
        <f>IF(AND(ISNUMBER($Q163),ISNUMBER($R163)),IF($R163&lt;&gt;0,$Q163/$R163,""),"")</f>
        <v/>
      </c>
      <c r="AG163" s="71" t="str">
        <f>IF($G163="","",IF($AL163=1,"OVERDUE",IF($AM163=1,"BLOCKED",IF($AN163=1,"DUE TODAY",IF($AO163=1,"DUE TOMORROW",IF($AQ163=1,"HIGH PRIORITY",IF($AR163=1,"NO RECENT UPDATE",""))))))) </f>
        <v/>
      </c>
      <c r="AH163" s="71" t="str">
        <f>IF($G163="","",IF(ISNUMBER($A163),IF(ISNUMBER($A163),YEAR($A163)&amp;"-"&amp;TEXT(MONTH($A163),"00"),""),IF(ISNUMBER($L163),IF(ISNUMBER($L163),YEAR($L163)&amp;"-"&amp;TEXT(MONTH($L163),"00"),""),"")))</f>
        <v/>
      </c>
      <c r="AI163" s="71">
        <f>IF($G163="",0,IF(AND(OR(fClient="All",$C163=fClient),OR(fCampaign="All",$D163=fCampaign),OR(fTeam="All",$B163=fTeam),OR(fChannel="All",$F163=fChannel),OR(fMonth="All",$AH163=fMonth),OR(fTStatus="All",$M163=fTStatus)),1,0))</f>
        <v>0</v>
      </c>
      <c r="AJ163" s="71">
        <f>IF($G163="",0,IF(AND(OR(fClient="All",$C163=fClient),OR(fCampaign="All",$D163=fCampaign),OR(fTeam="All",$B163=fTeam),OR(fChannel="All",$F163=fChannel)),1,0))</f>
        <v>0</v>
      </c>
      <c r="AK163" s="71">
        <f>IF($G163="",0,IF(OR($M163="Completed",$M163="Cancelled"),0,1))</f>
        <v>0</v>
      </c>
      <c r="AL163" s="71">
        <f>IF(AND($AK163=1,ISNUMBER($L163)),IF($L163&lt;ReportDate,1,0),0)</f>
        <v>0</v>
      </c>
      <c r="AM163" s="71">
        <f>IF(AND($G163&lt;&gt;"",$M163="Blocked"),1,0)</f>
        <v>0</v>
      </c>
      <c r="AN163" s="71">
        <f>IF(AND($AK163=1,ISNUMBER($L163)),IF($L163=ReportDate,1,0),0)</f>
        <v>0</v>
      </c>
      <c r="AO163" s="71">
        <f>IF(AND($AK163=1,ISNUMBER($L163)),IF($L163=ReportDate+1,1,0),0)</f>
        <v>0</v>
      </c>
      <c r="AP163" s="71">
        <f>IF(AND($AK163=1,ISNUMBER($L163)),IF(AND($L163&gt;=ReportDate,$L163&lt;=ReportDate+DueSoonDays),1,0),0)</f>
        <v>0</v>
      </c>
      <c r="AQ163" s="71">
        <f>IF(AND($AK163=1,OR($I163="Critical",$I163="High")),1,0)</f>
        <v>0</v>
      </c>
      <c r="AR163" s="71">
        <f>IF($AK163=1,IF(ISNUMBER($Y163),IF(ReportDate-$Y163&gt;StaleDays,1,0),1),0)</f>
        <v>0</v>
      </c>
      <c r="AS163" s="71">
        <f>IF(AND($G163&lt;&gt;"",ISNUMBER($Q163),ISNUMBER($R163)),IF(AND($Q163&lt;$R163,OR($M163="Completed",AND(ISNUMBER($L163),$L163&lt;ReportDate))),1,0),0)</f>
        <v>0</v>
      </c>
      <c r="AT163" s="71">
        <f>IF($AK163=1,IF(OR($L163=ReportDate,$W163=ReportDate,$K163=ReportDate,$A163=ReportDate),1,0),0)</f>
        <v>0</v>
      </c>
      <c r="AU163" s="71">
        <f>IF($AK163=1,IF(OR($L163=ReportDate+1,$W163=ReportDate+1,$K163=ReportDate+1,$A163=ReportDate+1),1,0),0)</f>
        <v>0</v>
      </c>
      <c r="AV163" s="71">
        <f>IF(AND($G163&lt;&gt;"",$M163="Completed"),IF(OR($Y163=ReportDate-1,$A163=ReportDate-1),1,0),0)</f>
        <v>0</v>
      </c>
      <c r="AW163" s="71">
        <f>IF(AND($AK163=1,$Z163="Yes"),1,0)</f>
        <v>0</v>
      </c>
      <c r="AX163" s="71">
        <f>IF(AND($AK163=1,$AA163="Yes"),1,0)</f>
        <v>0</v>
      </c>
      <c r="AY163" s="71">
        <f>IF(AND($AM163=1,OR($I163="Critical",$I163="High")),1,0)</f>
        <v>0</v>
      </c>
      <c r="AZ163" s="71">
        <f>IF(AND($AK163=1,OR($C163=TCL_Client,$C163=MECCA_Client)),1,0)</f>
        <v>0</v>
      </c>
      <c r="BA163" s="71" t="str">
        <f>IF($G163="","",IFERROR(MATCH($I163,lst_Priority,0),5))</f>
        <v/>
      </c>
      <c r="BB163" s="71" t="str">
        <f>IF(AND($AL163=1,$AJ163=1),$BA163*100000+ROW(),"")</f>
        <v/>
      </c>
      <c r="BC163" s="71" t="str">
        <f>IF(AND($AM163=1,$AJ163=1),$BA163*100000+ROW(),"")</f>
        <v/>
      </c>
      <c r="BD163" s="71" t="str">
        <f>IF(AND($AP163=1,$AJ163=1),$BA163*100000+ROW(),"")</f>
        <v/>
      </c>
      <c r="BE163" s="71" t="str">
        <f>IF(AND($AT163=1,$AJ163=1),$BA163*100000+ROW(),"")</f>
        <v/>
      </c>
      <c r="BF163" s="71" t="str">
        <f>IF(AND($AU163=1,$AJ163=1),$BA163*100000+ROW(),"")</f>
        <v/>
      </c>
      <c r="BG163" s="71" t="str">
        <f>IF(AND($AV163=1,$AJ163=1),$BA163*100000+ROW(),"")</f>
        <v/>
      </c>
      <c r="BH163" s="71" t="str">
        <f>IF(AND($AW163=1,$AJ163=1),$BA163*100000+ROW(),"")</f>
        <v/>
      </c>
      <c r="BI163" s="71" t="str">
        <f>IF(AND($AX163=1,$AJ163=1),$BA163*100000+ROW(),"")</f>
        <v/>
      </c>
      <c r="BJ163" s="71" t="str">
        <f>IF(AND($AS163=1,$AJ163=1),$BA163*100000+ROW(),"")</f>
        <v/>
      </c>
      <c r="BK163" s="71" t="str">
        <f>IF(AND($AY163=1,$AJ163=1),$BA163*100000+ROW(),"")</f>
        <v/>
      </c>
      <c r="BL163" s="71" t="str">
        <f>IF(AND($AZ163=1),$BA163*100000+ROW(),"")</f>
        <v/>
      </c>
    </row>
    <row r="164">
      <c r="A164" s="63" t="n"/>
      <c r="B164" s="64" t="n"/>
      <c r="C164" s="64" t="n"/>
      <c r="D164" s="64" t="n"/>
      <c r="E164" s="64" t="n"/>
      <c r="F164" s="64" t="n"/>
      <c r="G164" s="65" t="n"/>
      <c r="H164" s="65" t="n"/>
      <c r="I164" s="64" t="n"/>
      <c r="J164" s="64" t="n"/>
      <c r="K164" s="63" t="n"/>
      <c r="L164" s="63" t="n"/>
      <c r="M164" s="64" t="n"/>
      <c r="N164" s="66" t="n"/>
      <c r="O164" s="65" t="n"/>
      <c r="P164" s="64" t="n"/>
      <c r="Q164" s="67" t="n"/>
      <c r="R164" s="67" t="n"/>
      <c r="S164" s="68" t="str">
        <f>IF(AND(ISNUMBER($Q164),ISNUMBER($R164)),$Q164-$R164,"")</f>
        <v/>
      </c>
      <c r="T164" s="65" t="n"/>
      <c r="U164" s="64" t="n"/>
      <c r="V164" s="65" t="n"/>
      <c r="W164" s="63" t="n"/>
      <c r="X164" s="65" t="n"/>
      <c r="Y164" s="63" t="n"/>
      <c r="Z164" s="64" t="n"/>
      <c r="AA164" s="64" t="n"/>
      <c r="AB164" s="65" t="n"/>
      <c r="AC164" s="69" t="str">
        <f>IF(OR($G164="",NOT(ISNUMBER($K164)),$AK164=0),"",MAX(0,ReportDate-$K164))</f>
        <v/>
      </c>
      <c r="AD164" s="69" t="str">
        <f>IF($G164="","",IF($AL164=1,ReportDate-$L164,0))</f>
        <v/>
      </c>
      <c r="AE164" s="70" t="str">
        <f>IF($G164="","",IF($M164="Completed",1,IF(ISNUMBER($N164),$N164,0)))</f>
        <v/>
      </c>
      <c r="AF164" s="70" t="str">
        <f>IF(AND(ISNUMBER($Q164),ISNUMBER($R164)),IF($R164&lt;&gt;0,$Q164/$R164,""),"")</f>
        <v/>
      </c>
      <c r="AG164" s="71" t="str">
        <f>IF($G164="","",IF($AL164=1,"OVERDUE",IF($AM164=1,"BLOCKED",IF($AN164=1,"DUE TODAY",IF($AO164=1,"DUE TOMORROW",IF($AQ164=1,"HIGH PRIORITY",IF($AR164=1,"NO RECENT UPDATE",""))))))) </f>
        <v/>
      </c>
      <c r="AH164" s="71" t="str">
        <f>IF($G164="","",IF(ISNUMBER($A164),IF(ISNUMBER($A164),YEAR($A164)&amp;"-"&amp;TEXT(MONTH($A164),"00"),""),IF(ISNUMBER($L164),IF(ISNUMBER($L164),YEAR($L164)&amp;"-"&amp;TEXT(MONTH($L164),"00"),""),"")))</f>
        <v/>
      </c>
      <c r="AI164" s="71">
        <f>IF($G164="",0,IF(AND(OR(fClient="All",$C164=fClient),OR(fCampaign="All",$D164=fCampaign),OR(fTeam="All",$B164=fTeam),OR(fChannel="All",$F164=fChannel),OR(fMonth="All",$AH164=fMonth),OR(fTStatus="All",$M164=fTStatus)),1,0))</f>
        <v>0</v>
      </c>
      <c r="AJ164" s="71">
        <f>IF($G164="",0,IF(AND(OR(fClient="All",$C164=fClient),OR(fCampaign="All",$D164=fCampaign),OR(fTeam="All",$B164=fTeam),OR(fChannel="All",$F164=fChannel)),1,0))</f>
        <v>0</v>
      </c>
      <c r="AK164" s="71">
        <f>IF($G164="",0,IF(OR($M164="Completed",$M164="Cancelled"),0,1))</f>
        <v>0</v>
      </c>
      <c r="AL164" s="71">
        <f>IF(AND($AK164=1,ISNUMBER($L164)),IF($L164&lt;ReportDate,1,0),0)</f>
        <v>0</v>
      </c>
      <c r="AM164" s="71">
        <f>IF(AND($G164&lt;&gt;"",$M164="Blocked"),1,0)</f>
        <v>0</v>
      </c>
      <c r="AN164" s="71">
        <f>IF(AND($AK164=1,ISNUMBER($L164)),IF($L164=ReportDate,1,0),0)</f>
        <v>0</v>
      </c>
      <c r="AO164" s="71">
        <f>IF(AND($AK164=1,ISNUMBER($L164)),IF($L164=ReportDate+1,1,0),0)</f>
        <v>0</v>
      </c>
      <c r="AP164" s="71">
        <f>IF(AND($AK164=1,ISNUMBER($L164)),IF(AND($L164&gt;=ReportDate,$L164&lt;=ReportDate+DueSoonDays),1,0),0)</f>
        <v>0</v>
      </c>
      <c r="AQ164" s="71">
        <f>IF(AND($AK164=1,OR($I164="Critical",$I164="High")),1,0)</f>
        <v>0</v>
      </c>
      <c r="AR164" s="71">
        <f>IF($AK164=1,IF(ISNUMBER($Y164),IF(ReportDate-$Y164&gt;StaleDays,1,0),1),0)</f>
        <v>0</v>
      </c>
      <c r="AS164" s="71">
        <f>IF(AND($G164&lt;&gt;"",ISNUMBER($Q164),ISNUMBER($R164)),IF(AND($Q164&lt;$R164,OR($M164="Completed",AND(ISNUMBER($L164),$L164&lt;ReportDate))),1,0),0)</f>
        <v>0</v>
      </c>
      <c r="AT164" s="71">
        <f>IF($AK164=1,IF(OR($L164=ReportDate,$W164=ReportDate,$K164=ReportDate,$A164=ReportDate),1,0),0)</f>
        <v>0</v>
      </c>
      <c r="AU164" s="71">
        <f>IF($AK164=1,IF(OR($L164=ReportDate+1,$W164=ReportDate+1,$K164=ReportDate+1,$A164=ReportDate+1),1,0),0)</f>
        <v>0</v>
      </c>
      <c r="AV164" s="71">
        <f>IF(AND($G164&lt;&gt;"",$M164="Completed"),IF(OR($Y164=ReportDate-1,$A164=ReportDate-1),1,0),0)</f>
        <v>0</v>
      </c>
      <c r="AW164" s="71">
        <f>IF(AND($AK164=1,$Z164="Yes"),1,0)</f>
        <v>0</v>
      </c>
      <c r="AX164" s="71">
        <f>IF(AND($AK164=1,$AA164="Yes"),1,0)</f>
        <v>0</v>
      </c>
      <c r="AY164" s="71">
        <f>IF(AND($AM164=1,OR($I164="Critical",$I164="High")),1,0)</f>
        <v>0</v>
      </c>
      <c r="AZ164" s="71">
        <f>IF(AND($AK164=1,OR($C164=TCL_Client,$C164=MECCA_Client)),1,0)</f>
        <v>0</v>
      </c>
      <c r="BA164" s="71" t="str">
        <f>IF($G164="","",IFERROR(MATCH($I164,lst_Priority,0),5))</f>
        <v/>
      </c>
      <c r="BB164" s="71" t="str">
        <f>IF(AND($AL164=1,$AJ164=1),$BA164*100000+ROW(),"")</f>
        <v/>
      </c>
      <c r="BC164" s="71" t="str">
        <f>IF(AND($AM164=1,$AJ164=1),$BA164*100000+ROW(),"")</f>
        <v/>
      </c>
      <c r="BD164" s="71" t="str">
        <f>IF(AND($AP164=1,$AJ164=1),$BA164*100000+ROW(),"")</f>
        <v/>
      </c>
      <c r="BE164" s="71" t="str">
        <f>IF(AND($AT164=1,$AJ164=1),$BA164*100000+ROW(),"")</f>
        <v/>
      </c>
      <c r="BF164" s="71" t="str">
        <f>IF(AND($AU164=1,$AJ164=1),$BA164*100000+ROW(),"")</f>
        <v/>
      </c>
      <c r="BG164" s="71" t="str">
        <f>IF(AND($AV164=1,$AJ164=1),$BA164*100000+ROW(),"")</f>
        <v/>
      </c>
      <c r="BH164" s="71" t="str">
        <f>IF(AND($AW164=1,$AJ164=1),$BA164*100000+ROW(),"")</f>
        <v/>
      </c>
      <c r="BI164" s="71" t="str">
        <f>IF(AND($AX164=1,$AJ164=1),$BA164*100000+ROW(),"")</f>
        <v/>
      </c>
      <c r="BJ164" s="71" t="str">
        <f>IF(AND($AS164=1,$AJ164=1),$BA164*100000+ROW(),"")</f>
        <v/>
      </c>
      <c r="BK164" s="71" t="str">
        <f>IF(AND($AY164=1,$AJ164=1),$BA164*100000+ROW(),"")</f>
        <v/>
      </c>
      <c r="BL164" s="71" t="str">
        <f>IF(AND($AZ164=1),$BA164*100000+ROW(),"")</f>
        <v/>
      </c>
    </row>
    <row r="165">
      <c r="A165" s="63" t="n"/>
      <c r="B165" s="64" t="n"/>
      <c r="C165" s="64" t="n"/>
      <c r="D165" s="64" t="n"/>
      <c r="E165" s="64" t="n"/>
      <c r="F165" s="64" t="n"/>
      <c r="G165" s="65" t="n"/>
      <c r="H165" s="65" t="n"/>
      <c r="I165" s="64" t="n"/>
      <c r="J165" s="64" t="n"/>
      <c r="K165" s="63" t="n"/>
      <c r="L165" s="63" t="n"/>
      <c r="M165" s="64" t="n"/>
      <c r="N165" s="66" t="n"/>
      <c r="O165" s="65" t="n"/>
      <c r="P165" s="64" t="n"/>
      <c r="Q165" s="67" t="n"/>
      <c r="R165" s="67" t="n"/>
      <c r="S165" s="68" t="str">
        <f>IF(AND(ISNUMBER($Q165),ISNUMBER($R165)),$Q165-$R165,"")</f>
        <v/>
      </c>
      <c r="T165" s="65" t="n"/>
      <c r="U165" s="64" t="n"/>
      <c r="V165" s="65" t="n"/>
      <c r="W165" s="63" t="n"/>
      <c r="X165" s="65" t="n"/>
      <c r="Y165" s="63" t="n"/>
      <c r="Z165" s="64" t="n"/>
      <c r="AA165" s="64" t="n"/>
      <c r="AB165" s="65" t="n"/>
      <c r="AC165" s="69" t="str">
        <f>IF(OR($G165="",NOT(ISNUMBER($K165)),$AK165=0),"",MAX(0,ReportDate-$K165))</f>
        <v/>
      </c>
      <c r="AD165" s="69" t="str">
        <f>IF($G165="","",IF($AL165=1,ReportDate-$L165,0))</f>
        <v/>
      </c>
      <c r="AE165" s="70" t="str">
        <f>IF($G165="","",IF($M165="Completed",1,IF(ISNUMBER($N165),$N165,0)))</f>
        <v/>
      </c>
      <c r="AF165" s="70" t="str">
        <f>IF(AND(ISNUMBER($Q165),ISNUMBER($R165)),IF($R165&lt;&gt;0,$Q165/$R165,""),"")</f>
        <v/>
      </c>
      <c r="AG165" s="71" t="str">
        <f>IF($G165="","",IF($AL165=1,"OVERDUE",IF($AM165=1,"BLOCKED",IF($AN165=1,"DUE TODAY",IF($AO165=1,"DUE TOMORROW",IF($AQ165=1,"HIGH PRIORITY",IF($AR165=1,"NO RECENT UPDATE",""))))))) </f>
        <v/>
      </c>
      <c r="AH165" s="71" t="str">
        <f>IF($G165="","",IF(ISNUMBER($A165),IF(ISNUMBER($A165),YEAR($A165)&amp;"-"&amp;TEXT(MONTH($A165),"00"),""),IF(ISNUMBER($L165),IF(ISNUMBER($L165),YEAR($L165)&amp;"-"&amp;TEXT(MONTH($L165),"00"),""),"")))</f>
        <v/>
      </c>
      <c r="AI165" s="71">
        <f>IF($G165="",0,IF(AND(OR(fClient="All",$C165=fClient),OR(fCampaign="All",$D165=fCampaign),OR(fTeam="All",$B165=fTeam),OR(fChannel="All",$F165=fChannel),OR(fMonth="All",$AH165=fMonth),OR(fTStatus="All",$M165=fTStatus)),1,0))</f>
        <v>0</v>
      </c>
      <c r="AJ165" s="71">
        <f>IF($G165="",0,IF(AND(OR(fClient="All",$C165=fClient),OR(fCampaign="All",$D165=fCampaign),OR(fTeam="All",$B165=fTeam),OR(fChannel="All",$F165=fChannel)),1,0))</f>
        <v>0</v>
      </c>
      <c r="AK165" s="71">
        <f>IF($G165="",0,IF(OR($M165="Completed",$M165="Cancelled"),0,1))</f>
        <v>0</v>
      </c>
      <c r="AL165" s="71">
        <f>IF(AND($AK165=1,ISNUMBER($L165)),IF($L165&lt;ReportDate,1,0),0)</f>
        <v>0</v>
      </c>
      <c r="AM165" s="71">
        <f>IF(AND($G165&lt;&gt;"",$M165="Blocked"),1,0)</f>
        <v>0</v>
      </c>
      <c r="AN165" s="71">
        <f>IF(AND($AK165=1,ISNUMBER($L165)),IF($L165=ReportDate,1,0),0)</f>
        <v>0</v>
      </c>
      <c r="AO165" s="71">
        <f>IF(AND($AK165=1,ISNUMBER($L165)),IF($L165=ReportDate+1,1,0),0)</f>
        <v>0</v>
      </c>
      <c r="AP165" s="71">
        <f>IF(AND($AK165=1,ISNUMBER($L165)),IF(AND($L165&gt;=ReportDate,$L165&lt;=ReportDate+DueSoonDays),1,0),0)</f>
        <v>0</v>
      </c>
      <c r="AQ165" s="71">
        <f>IF(AND($AK165=1,OR($I165="Critical",$I165="High")),1,0)</f>
        <v>0</v>
      </c>
      <c r="AR165" s="71">
        <f>IF($AK165=1,IF(ISNUMBER($Y165),IF(ReportDate-$Y165&gt;StaleDays,1,0),1),0)</f>
        <v>0</v>
      </c>
      <c r="AS165" s="71">
        <f>IF(AND($G165&lt;&gt;"",ISNUMBER($Q165),ISNUMBER($R165)),IF(AND($Q165&lt;$R165,OR($M165="Completed",AND(ISNUMBER($L165),$L165&lt;ReportDate))),1,0),0)</f>
        <v>0</v>
      </c>
      <c r="AT165" s="71">
        <f>IF($AK165=1,IF(OR($L165=ReportDate,$W165=ReportDate,$K165=ReportDate,$A165=ReportDate),1,0),0)</f>
        <v>0</v>
      </c>
      <c r="AU165" s="71">
        <f>IF($AK165=1,IF(OR($L165=ReportDate+1,$W165=ReportDate+1,$K165=ReportDate+1,$A165=ReportDate+1),1,0),0)</f>
        <v>0</v>
      </c>
      <c r="AV165" s="71">
        <f>IF(AND($G165&lt;&gt;"",$M165="Completed"),IF(OR($Y165=ReportDate-1,$A165=ReportDate-1),1,0),0)</f>
        <v>0</v>
      </c>
      <c r="AW165" s="71">
        <f>IF(AND($AK165=1,$Z165="Yes"),1,0)</f>
        <v>0</v>
      </c>
      <c r="AX165" s="71">
        <f>IF(AND($AK165=1,$AA165="Yes"),1,0)</f>
        <v>0</v>
      </c>
      <c r="AY165" s="71">
        <f>IF(AND($AM165=1,OR($I165="Critical",$I165="High")),1,0)</f>
        <v>0</v>
      </c>
      <c r="AZ165" s="71">
        <f>IF(AND($AK165=1,OR($C165=TCL_Client,$C165=MECCA_Client)),1,0)</f>
        <v>0</v>
      </c>
      <c r="BA165" s="71" t="str">
        <f>IF($G165="","",IFERROR(MATCH($I165,lst_Priority,0),5))</f>
        <v/>
      </c>
      <c r="BB165" s="71" t="str">
        <f>IF(AND($AL165=1,$AJ165=1),$BA165*100000+ROW(),"")</f>
        <v/>
      </c>
      <c r="BC165" s="71" t="str">
        <f>IF(AND($AM165=1,$AJ165=1),$BA165*100000+ROW(),"")</f>
        <v/>
      </c>
      <c r="BD165" s="71" t="str">
        <f>IF(AND($AP165=1,$AJ165=1),$BA165*100000+ROW(),"")</f>
        <v/>
      </c>
      <c r="BE165" s="71" t="str">
        <f>IF(AND($AT165=1,$AJ165=1),$BA165*100000+ROW(),"")</f>
        <v/>
      </c>
      <c r="BF165" s="71" t="str">
        <f>IF(AND($AU165=1,$AJ165=1),$BA165*100000+ROW(),"")</f>
        <v/>
      </c>
      <c r="BG165" s="71" t="str">
        <f>IF(AND($AV165=1,$AJ165=1),$BA165*100000+ROW(),"")</f>
        <v/>
      </c>
      <c r="BH165" s="71" t="str">
        <f>IF(AND($AW165=1,$AJ165=1),$BA165*100000+ROW(),"")</f>
        <v/>
      </c>
      <c r="BI165" s="71" t="str">
        <f>IF(AND($AX165=1,$AJ165=1),$BA165*100000+ROW(),"")</f>
        <v/>
      </c>
      <c r="BJ165" s="71" t="str">
        <f>IF(AND($AS165=1,$AJ165=1),$BA165*100000+ROW(),"")</f>
        <v/>
      </c>
      <c r="BK165" s="71" t="str">
        <f>IF(AND($AY165=1,$AJ165=1),$BA165*100000+ROW(),"")</f>
        <v/>
      </c>
      <c r="BL165" s="71" t="str">
        <f>IF(AND($AZ165=1),$BA165*100000+ROW(),"")</f>
        <v/>
      </c>
    </row>
    <row r="166">
      <c r="A166" s="63" t="n"/>
      <c r="B166" s="64" t="n"/>
      <c r="C166" s="64" t="n"/>
      <c r="D166" s="64" t="n"/>
      <c r="E166" s="64" t="n"/>
      <c r="F166" s="64" t="n"/>
      <c r="G166" s="65" t="n"/>
      <c r="H166" s="65" t="n"/>
      <c r="I166" s="64" t="n"/>
      <c r="J166" s="64" t="n"/>
      <c r="K166" s="63" t="n"/>
      <c r="L166" s="63" t="n"/>
      <c r="M166" s="64" t="n"/>
      <c r="N166" s="66" t="n"/>
      <c r="O166" s="65" t="n"/>
      <c r="P166" s="64" t="n"/>
      <c r="Q166" s="67" t="n"/>
      <c r="R166" s="67" t="n"/>
      <c r="S166" s="68" t="str">
        <f>IF(AND(ISNUMBER($Q166),ISNUMBER($R166)),$Q166-$R166,"")</f>
        <v/>
      </c>
      <c r="T166" s="65" t="n"/>
      <c r="U166" s="64" t="n"/>
      <c r="V166" s="65" t="n"/>
      <c r="W166" s="63" t="n"/>
      <c r="X166" s="65" t="n"/>
      <c r="Y166" s="63" t="n"/>
      <c r="Z166" s="64" t="n"/>
      <c r="AA166" s="64" t="n"/>
      <c r="AB166" s="65" t="n"/>
      <c r="AC166" s="69" t="str">
        <f>IF(OR($G166="",NOT(ISNUMBER($K166)),$AK166=0),"",MAX(0,ReportDate-$K166))</f>
        <v/>
      </c>
      <c r="AD166" s="69" t="str">
        <f>IF($G166="","",IF($AL166=1,ReportDate-$L166,0))</f>
        <v/>
      </c>
      <c r="AE166" s="70" t="str">
        <f>IF($G166="","",IF($M166="Completed",1,IF(ISNUMBER($N166),$N166,0)))</f>
        <v/>
      </c>
      <c r="AF166" s="70" t="str">
        <f>IF(AND(ISNUMBER($Q166),ISNUMBER($R166)),IF($R166&lt;&gt;0,$Q166/$R166,""),"")</f>
        <v/>
      </c>
      <c r="AG166" s="71" t="str">
        <f>IF($G166="","",IF($AL166=1,"OVERDUE",IF($AM166=1,"BLOCKED",IF($AN166=1,"DUE TODAY",IF($AO166=1,"DUE TOMORROW",IF($AQ166=1,"HIGH PRIORITY",IF($AR166=1,"NO RECENT UPDATE",""))))))) </f>
        <v/>
      </c>
      <c r="AH166" s="71" t="str">
        <f>IF($G166="","",IF(ISNUMBER($A166),IF(ISNUMBER($A166),YEAR($A166)&amp;"-"&amp;TEXT(MONTH($A166),"00"),""),IF(ISNUMBER($L166),IF(ISNUMBER($L166),YEAR($L166)&amp;"-"&amp;TEXT(MONTH($L166),"00"),""),"")))</f>
        <v/>
      </c>
      <c r="AI166" s="71">
        <f>IF($G166="",0,IF(AND(OR(fClient="All",$C166=fClient),OR(fCampaign="All",$D166=fCampaign),OR(fTeam="All",$B166=fTeam),OR(fChannel="All",$F166=fChannel),OR(fMonth="All",$AH166=fMonth),OR(fTStatus="All",$M166=fTStatus)),1,0))</f>
        <v>0</v>
      </c>
      <c r="AJ166" s="71">
        <f>IF($G166="",0,IF(AND(OR(fClient="All",$C166=fClient),OR(fCampaign="All",$D166=fCampaign),OR(fTeam="All",$B166=fTeam),OR(fChannel="All",$F166=fChannel)),1,0))</f>
        <v>0</v>
      </c>
      <c r="AK166" s="71">
        <f>IF($G166="",0,IF(OR($M166="Completed",$M166="Cancelled"),0,1))</f>
        <v>0</v>
      </c>
      <c r="AL166" s="71">
        <f>IF(AND($AK166=1,ISNUMBER($L166)),IF($L166&lt;ReportDate,1,0),0)</f>
        <v>0</v>
      </c>
      <c r="AM166" s="71">
        <f>IF(AND($G166&lt;&gt;"",$M166="Blocked"),1,0)</f>
        <v>0</v>
      </c>
      <c r="AN166" s="71">
        <f>IF(AND($AK166=1,ISNUMBER($L166)),IF($L166=ReportDate,1,0),0)</f>
        <v>0</v>
      </c>
      <c r="AO166" s="71">
        <f>IF(AND($AK166=1,ISNUMBER($L166)),IF($L166=ReportDate+1,1,0),0)</f>
        <v>0</v>
      </c>
      <c r="AP166" s="71">
        <f>IF(AND($AK166=1,ISNUMBER($L166)),IF(AND($L166&gt;=ReportDate,$L166&lt;=ReportDate+DueSoonDays),1,0),0)</f>
        <v>0</v>
      </c>
      <c r="AQ166" s="71">
        <f>IF(AND($AK166=1,OR($I166="Critical",$I166="High")),1,0)</f>
        <v>0</v>
      </c>
      <c r="AR166" s="71">
        <f>IF($AK166=1,IF(ISNUMBER($Y166),IF(ReportDate-$Y166&gt;StaleDays,1,0),1),0)</f>
        <v>0</v>
      </c>
      <c r="AS166" s="71">
        <f>IF(AND($G166&lt;&gt;"",ISNUMBER($Q166),ISNUMBER($R166)),IF(AND($Q166&lt;$R166,OR($M166="Completed",AND(ISNUMBER($L166),$L166&lt;ReportDate))),1,0),0)</f>
        <v>0</v>
      </c>
      <c r="AT166" s="71">
        <f>IF($AK166=1,IF(OR($L166=ReportDate,$W166=ReportDate,$K166=ReportDate,$A166=ReportDate),1,0),0)</f>
        <v>0</v>
      </c>
      <c r="AU166" s="71">
        <f>IF($AK166=1,IF(OR($L166=ReportDate+1,$W166=ReportDate+1,$K166=ReportDate+1,$A166=ReportDate+1),1,0),0)</f>
        <v>0</v>
      </c>
      <c r="AV166" s="71">
        <f>IF(AND($G166&lt;&gt;"",$M166="Completed"),IF(OR($Y166=ReportDate-1,$A166=ReportDate-1),1,0),0)</f>
        <v>0</v>
      </c>
      <c r="AW166" s="71">
        <f>IF(AND($AK166=1,$Z166="Yes"),1,0)</f>
        <v>0</v>
      </c>
      <c r="AX166" s="71">
        <f>IF(AND($AK166=1,$AA166="Yes"),1,0)</f>
        <v>0</v>
      </c>
      <c r="AY166" s="71">
        <f>IF(AND($AM166=1,OR($I166="Critical",$I166="High")),1,0)</f>
        <v>0</v>
      </c>
      <c r="AZ166" s="71">
        <f>IF(AND($AK166=1,OR($C166=TCL_Client,$C166=MECCA_Client)),1,0)</f>
        <v>0</v>
      </c>
      <c r="BA166" s="71" t="str">
        <f>IF($G166="","",IFERROR(MATCH($I166,lst_Priority,0),5))</f>
        <v/>
      </c>
      <c r="BB166" s="71" t="str">
        <f>IF(AND($AL166=1,$AJ166=1),$BA166*100000+ROW(),"")</f>
        <v/>
      </c>
      <c r="BC166" s="71" t="str">
        <f>IF(AND($AM166=1,$AJ166=1),$BA166*100000+ROW(),"")</f>
        <v/>
      </c>
      <c r="BD166" s="71" t="str">
        <f>IF(AND($AP166=1,$AJ166=1),$BA166*100000+ROW(),"")</f>
        <v/>
      </c>
      <c r="BE166" s="71" t="str">
        <f>IF(AND($AT166=1,$AJ166=1),$BA166*100000+ROW(),"")</f>
        <v/>
      </c>
      <c r="BF166" s="71" t="str">
        <f>IF(AND($AU166=1,$AJ166=1),$BA166*100000+ROW(),"")</f>
        <v/>
      </c>
      <c r="BG166" s="71" t="str">
        <f>IF(AND($AV166=1,$AJ166=1),$BA166*100000+ROW(),"")</f>
        <v/>
      </c>
      <c r="BH166" s="71" t="str">
        <f>IF(AND($AW166=1,$AJ166=1),$BA166*100000+ROW(),"")</f>
        <v/>
      </c>
      <c r="BI166" s="71" t="str">
        <f>IF(AND($AX166=1,$AJ166=1),$BA166*100000+ROW(),"")</f>
        <v/>
      </c>
      <c r="BJ166" s="71" t="str">
        <f>IF(AND($AS166=1,$AJ166=1),$BA166*100000+ROW(),"")</f>
        <v/>
      </c>
      <c r="BK166" s="71" t="str">
        <f>IF(AND($AY166=1,$AJ166=1),$BA166*100000+ROW(),"")</f>
        <v/>
      </c>
      <c r="BL166" s="71" t="str">
        <f>IF(AND($AZ166=1),$BA166*100000+ROW(),"")</f>
        <v/>
      </c>
    </row>
    <row r="167">
      <c r="A167" s="63" t="n"/>
      <c r="B167" s="64" t="n"/>
      <c r="C167" s="64" t="n"/>
      <c r="D167" s="64" t="n"/>
      <c r="E167" s="64" t="n"/>
      <c r="F167" s="64" t="n"/>
      <c r="G167" s="65" t="n"/>
      <c r="H167" s="65" t="n"/>
      <c r="I167" s="64" t="n"/>
      <c r="J167" s="64" t="n"/>
      <c r="K167" s="63" t="n"/>
      <c r="L167" s="63" t="n"/>
      <c r="M167" s="64" t="n"/>
      <c r="N167" s="66" t="n"/>
      <c r="O167" s="65" t="n"/>
      <c r="P167" s="64" t="n"/>
      <c r="Q167" s="67" t="n"/>
      <c r="R167" s="67" t="n"/>
      <c r="S167" s="68" t="str">
        <f>IF(AND(ISNUMBER($Q167),ISNUMBER($R167)),$Q167-$R167,"")</f>
        <v/>
      </c>
      <c r="T167" s="65" t="n"/>
      <c r="U167" s="64" t="n"/>
      <c r="V167" s="65" t="n"/>
      <c r="W167" s="63" t="n"/>
      <c r="X167" s="65" t="n"/>
      <c r="Y167" s="63" t="n"/>
      <c r="Z167" s="64" t="n"/>
      <c r="AA167" s="64" t="n"/>
      <c r="AB167" s="65" t="n"/>
      <c r="AC167" s="69" t="str">
        <f>IF(OR($G167="",NOT(ISNUMBER($K167)),$AK167=0),"",MAX(0,ReportDate-$K167))</f>
        <v/>
      </c>
      <c r="AD167" s="69" t="str">
        <f>IF($G167="","",IF($AL167=1,ReportDate-$L167,0))</f>
        <v/>
      </c>
      <c r="AE167" s="70" t="str">
        <f>IF($G167="","",IF($M167="Completed",1,IF(ISNUMBER($N167),$N167,0)))</f>
        <v/>
      </c>
      <c r="AF167" s="70" t="str">
        <f>IF(AND(ISNUMBER($Q167),ISNUMBER($R167)),IF($R167&lt;&gt;0,$Q167/$R167,""),"")</f>
        <v/>
      </c>
      <c r="AG167" s="71" t="str">
        <f>IF($G167="","",IF($AL167=1,"OVERDUE",IF($AM167=1,"BLOCKED",IF($AN167=1,"DUE TODAY",IF($AO167=1,"DUE TOMORROW",IF($AQ167=1,"HIGH PRIORITY",IF($AR167=1,"NO RECENT UPDATE",""))))))) </f>
        <v/>
      </c>
      <c r="AH167" s="71" t="str">
        <f>IF($G167="","",IF(ISNUMBER($A167),IF(ISNUMBER($A167),YEAR($A167)&amp;"-"&amp;TEXT(MONTH($A167),"00"),""),IF(ISNUMBER($L167),IF(ISNUMBER($L167),YEAR($L167)&amp;"-"&amp;TEXT(MONTH($L167),"00"),""),"")))</f>
        <v/>
      </c>
      <c r="AI167" s="71">
        <f>IF($G167="",0,IF(AND(OR(fClient="All",$C167=fClient),OR(fCampaign="All",$D167=fCampaign),OR(fTeam="All",$B167=fTeam),OR(fChannel="All",$F167=fChannel),OR(fMonth="All",$AH167=fMonth),OR(fTStatus="All",$M167=fTStatus)),1,0))</f>
        <v>0</v>
      </c>
      <c r="AJ167" s="71">
        <f>IF($G167="",0,IF(AND(OR(fClient="All",$C167=fClient),OR(fCampaign="All",$D167=fCampaign),OR(fTeam="All",$B167=fTeam),OR(fChannel="All",$F167=fChannel)),1,0))</f>
        <v>0</v>
      </c>
      <c r="AK167" s="71">
        <f>IF($G167="",0,IF(OR($M167="Completed",$M167="Cancelled"),0,1))</f>
        <v>0</v>
      </c>
      <c r="AL167" s="71">
        <f>IF(AND($AK167=1,ISNUMBER($L167)),IF($L167&lt;ReportDate,1,0),0)</f>
        <v>0</v>
      </c>
      <c r="AM167" s="71">
        <f>IF(AND($G167&lt;&gt;"",$M167="Blocked"),1,0)</f>
        <v>0</v>
      </c>
      <c r="AN167" s="71">
        <f>IF(AND($AK167=1,ISNUMBER($L167)),IF($L167=ReportDate,1,0),0)</f>
        <v>0</v>
      </c>
      <c r="AO167" s="71">
        <f>IF(AND($AK167=1,ISNUMBER($L167)),IF($L167=ReportDate+1,1,0),0)</f>
        <v>0</v>
      </c>
      <c r="AP167" s="71">
        <f>IF(AND($AK167=1,ISNUMBER($L167)),IF(AND($L167&gt;=ReportDate,$L167&lt;=ReportDate+DueSoonDays),1,0),0)</f>
        <v>0</v>
      </c>
      <c r="AQ167" s="71">
        <f>IF(AND($AK167=1,OR($I167="Critical",$I167="High")),1,0)</f>
        <v>0</v>
      </c>
      <c r="AR167" s="71">
        <f>IF($AK167=1,IF(ISNUMBER($Y167),IF(ReportDate-$Y167&gt;StaleDays,1,0),1),0)</f>
        <v>0</v>
      </c>
      <c r="AS167" s="71">
        <f>IF(AND($G167&lt;&gt;"",ISNUMBER($Q167),ISNUMBER($R167)),IF(AND($Q167&lt;$R167,OR($M167="Completed",AND(ISNUMBER($L167),$L167&lt;ReportDate))),1,0),0)</f>
        <v>0</v>
      </c>
      <c r="AT167" s="71">
        <f>IF($AK167=1,IF(OR($L167=ReportDate,$W167=ReportDate,$K167=ReportDate,$A167=ReportDate),1,0),0)</f>
        <v>0</v>
      </c>
      <c r="AU167" s="71">
        <f>IF($AK167=1,IF(OR($L167=ReportDate+1,$W167=ReportDate+1,$K167=ReportDate+1,$A167=ReportDate+1),1,0),0)</f>
        <v>0</v>
      </c>
      <c r="AV167" s="71">
        <f>IF(AND($G167&lt;&gt;"",$M167="Completed"),IF(OR($Y167=ReportDate-1,$A167=ReportDate-1),1,0),0)</f>
        <v>0</v>
      </c>
      <c r="AW167" s="71">
        <f>IF(AND($AK167=1,$Z167="Yes"),1,0)</f>
        <v>0</v>
      </c>
      <c r="AX167" s="71">
        <f>IF(AND($AK167=1,$AA167="Yes"),1,0)</f>
        <v>0</v>
      </c>
      <c r="AY167" s="71">
        <f>IF(AND($AM167=1,OR($I167="Critical",$I167="High")),1,0)</f>
        <v>0</v>
      </c>
      <c r="AZ167" s="71">
        <f>IF(AND($AK167=1,OR($C167=TCL_Client,$C167=MECCA_Client)),1,0)</f>
        <v>0</v>
      </c>
      <c r="BA167" s="71" t="str">
        <f>IF($G167="","",IFERROR(MATCH($I167,lst_Priority,0),5))</f>
        <v/>
      </c>
      <c r="BB167" s="71" t="str">
        <f>IF(AND($AL167=1,$AJ167=1),$BA167*100000+ROW(),"")</f>
        <v/>
      </c>
      <c r="BC167" s="71" t="str">
        <f>IF(AND($AM167=1,$AJ167=1),$BA167*100000+ROW(),"")</f>
        <v/>
      </c>
      <c r="BD167" s="71" t="str">
        <f>IF(AND($AP167=1,$AJ167=1),$BA167*100000+ROW(),"")</f>
        <v/>
      </c>
      <c r="BE167" s="71" t="str">
        <f>IF(AND($AT167=1,$AJ167=1),$BA167*100000+ROW(),"")</f>
        <v/>
      </c>
      <c r="BF167" s="71" t="str">
        <f>IF(AND($AU167=1,$AJ167=1),$BA167*100000+ROW(),"")</f>
        <v/>
      </c>
      <c r="BG167" s="71" t="str">
        <f>IF(AND($AV167=1,$AJ167=1),$BA167*100000+ROW(),"")</f>
        <v/>
      </c>
      <c r="BH167" s="71" t="str">
        <f>IF(AND($AW167=1,$AJ167=1),$BA167*100000+ROW(),"")</f>
        <v/>
      </c>
      <c r="BI167" s="71" t="str">
        <f>IF(AND($AX167=1,$AJ167=1),$BA167*100000+ROW(),"")</f>
        <v/>
      </c>
      <c r="BJ167" s="71" t="str">
        <f>IF(AND($AS167=1,$AJ167=1),$BA167*100000+ROW(),"")</f>
        <v/>
      </c>
      <c r="BK167" s="71" t="str">
        <f>IF(AND($AY167=1,$AJ167=1),$BA167*100000+ROW(),"")</f>
        <v/>
      </c>
      <c r="BL167" s="71" t="str">
        <f>IF(AND($AZ167=1),$BA167*100000+ROW(),"")</f>
        <v/>
      </c>
    </row>
    <row r="168">
      <c r="A168" s="63" t="n"/>
      <c r="B168" s="64" t="n"/>
      <c r="C168" s="64" t="n"/>
      <c r="D168" s="64" t="n"/>
      <c r="E168" s="64" t="n"/>
      <c r="F168" s="64" t="n"/>
      <c r="G168" s="65" t="n"/>
      <c r="H168" s="65" t="n"/>
      <c r="I168" s="64" t="n"/>
      <c r="J168" s="64" t="n"/>
      <c r="K168" s="63" t="n"/>
      <c r="L168" s="63" t="n"/>
      <c r="M168" s="64" t="n"/>
      <c r="N168" s="66" t="n"/>
      <c r="O168" s="65" t="n"/>
      <c r="P168" s="64" t="n"/>
      <c r="Q168" s="67" t="n"/>
      <c r="R168" s="67" t="n"/>
      <c r="S168" s="68" t="str">
        <f>IF(AND(ISNUMBER($Q168),ISNUMBER($R168)),$Q168-$R168,"")</f>
        <v/>
      </c>
      <c r="T168" s="65" t="n"/>
      <c r="U168" s="64" t="n"/>
      <c r="V168" s="65" t="n"/>
      <c r="W168" s="63" t="n"/>
      <c r="X168" s="65" t="n"/>
      <c r="Y168" s="63" t="n"/>
      <c r="Z168" s="64" t="n"/>
      <c r="AA168" s="64" t="n"/>
      <c r="AB168" s="65" t="n"/>
      <c r="AC168" s="69" t="str">
        <f>IF(OR($G168="",NOT(ISNUMBER($K168)),$AK168=0),"",MAX(0,ReportDate-$K168))</f>
        <v/>
      </c>
      <c r="AD168" s="69" t="str">
        <f>IF($G168="","",IF($AL168=1,ReportDate-$L168,0))</f>
        <v/>
      </c>
      <c r="AE168" s="70" t="str">
        <f>IF($G168="","",IF($M168="Completed",1,IF(ISNUMBER($N168),$N168,0)))</f>
        <v/>
      </c>
      <c r="AF168" s="70" t="str">
        <f>IF(AND(ISNUMBER($Q168),ISNUMBER($R168)),IF($R168&lt;&gt;0,$Q168/$R168,""),"")</f>
        <v/>
      </c>
      <c r="AG168" s="71" t="str">
        <f>IF($G168="","",IF($AL168=1,"OVERDUE",IF($AM168=1,"BLOCKED",IF($AN168=1,"DUE TODAY",IF($AO168=1,"DUE TOMORROW",IF($AQ168=1,"HIGH PRIORITY",IF($AR168=1,"NO RECENT UPDATE",""))))))) </f>
        <v/>
      </c>
      <c r="AH168" s="71" t="str">
        <f>IF($G168="","",IF(ISNUMBER($A168),IF(ISNUMBER($A168),YEAR($A168)&amp;"-"&amp;TEXT(MONTH($A168),"00"),""),IF(ISNUMBER($L168),IF(ISNUMBER($L168),YEAR($L168)&amp;"-"&amp;TEXT(MONTH($L168),"00"),""),"")))</f>
        <v/>
      </c>
      <c r="AI168" s="71">
        <f>IF($G168="",0,IF(AND(OR(fClient="All",$C168=fClient),OR(fCampaign="All",$D168=fCampaign),OR(fTeam="All",$B168=fTeam),OR(fChannel="All",$F168=fChannel),OR(fMonth="All",$AH168=fMonth),OR(fTStatus="All",$M168=fTStatus)),1,0))</f>
        <v>0</v>
      </c>
      <c r="AJ168" s="71">
        <f>IF($G168="",0,IF(AND(OR(fClient="All",$C168=fClient),OR(fCampaign="All",$D168=fCampaign),OR(fTeam="All",$B168=fTeam),OR(fChannel="All",$F168=fChannel)),1,0))</f>
        <v>0</v>
      </c>
      <c r="AK168" s="71">
        <f>IF($G168="",0,IF(OR($M168="Completed",$M168="Cancelled"),0,1))</f>
        <v>0</v>
      </c>
      <c r="AL168" s="71">
        <f>IF(AND($AK168=1,ISNUMBER($L168)),IF($L168&lt;ReportDate,1,0),0)</f>
        <v>0</v>
      </c>
      <c r="AM168" s="71">
        <f>IF(AND($G168&lt;&gt;"",$M168="Blocked"),1,0)</f>
        <v>0</v>
      </c>
      <c r="AN168" s="71">
        <f>IF(AND($AK168=1,ISNUMBER($L168)),IF($L168=ReportDate,1,0),0)</f>
        <v>0</v>
      </c>
      <c r="AO168" s="71">
        <f>IF(AND($AK168=1,ISNUMBER($L168)),IF($L168=ReportDate+1,1,0),0)</f>
        <v>0</v>
      </c>
      <c r="AP168" s="71">
        <f>IF(AND($AK168=1,ISNUMBER($L168)),IF(AND($L168&gt;=ReportDate,$L168&lt;=ReportDate+DueSoonDays),1,0),0)</f>
        <v>0</v>
      </c>
      <c r="AQ168" s="71">
        <f>IF(AND($AK168=1,OR($I168="Critical",$I168="High")),1,0)</f>
        <v>0</v>
      </c>
      <c r="AR168" s="71">
        <f>IF($AK168=1,IF(ISNUMBER($Y168),IF(ReportDate-$Y168&gt;StaleDays,1,0),1),0)</f>
        <v>0</v>
      </c>
      <c r="AS168" s="71">
        <f>IF(AND($G168&lt;&gt;"",ISNUMBER($Q168),ISNUMBER($R168)),IF(AND($Q168&lt;$R168,OR($M168="Completed",AND(ISNUMBER($L168),$L168&lt;ReportDate))),1,0),0)</f>
        <v>0</v>
      </c>
      <c r="AT168" s="71">
        <f>IF($AK168=1,IF(OR($L168=ReportDate,$W168=ReportDate,$K168=ReportDate,$A168=ReportDate),1,0),0)</f>
        <v>0</v>
      </c>
      <c r="AU168" s="71">
        <f>IF($AK168=1,IF(OR($L168=ReportDate+1,$W168=ReportDate+1,$K168=ReportDate+1,$A168=ReportDate+1),1,0),0)</f>
        <v>0</v>
      </c>
      <c r="AV168" s="71">
        <f>IF(AND($G168&lt;&gt;"",$M168="Completed"),IF(OR($Y168=ReportDate-1,$A168=ReportDate-1),1,0),0)</f>
        <v>0</v>
      </c>
      <c r="AW168" s="71">
        <f>IF(AND($AK168=1,$Z168="Yes"),1,0)</f>
        <v>0</v>
      </c>
      <c r="AX168" s="71">
        <f>IF(AND($AK168=1,$AA168="Yes"),1,0)</f>
        <v>0</v>
      </c>
      <c r="AY168" s="71">
        <f>IF(AND($AM168=1,OR($I168="Critical",$I168="High")),1,0)</f>
        <v>0</v>
      </c>
      <c r="AZ168" s="71">
        <f>IF(AND($AK168=1,OR($C168=TCL_Client,$C168=MECCA_Client)),1,0)</f>
        <v>0</v>
      </c>
      <c r="BA168" s="71" t="str">
        <f>IF($G168="","",IFERROR(MATCH($I168,lst_Priority,0),5))</f>
        <v/>
      </c>
      <c r="BB168" s="71" t="str">
        <f>IF(AND($AL168=1,$AJ168=1),$BA168*100000+ROW(),"")</f>
        <v/>
      </c>
      <c r="BC168" s="71" t="str">
        <f>IF(AND($AM168=1,$AJ168=1),$BA168*100000+ROW(),"")</f>
        <v/>
      </c>
      <c r="BD168" s="71" t="str">
        <f>IF(AND($AP168=1,$AJ168=1),$BA168*100000+ROW(),"")</f>
        <v/>
      </c>
      <c r="BE168" s="71" t="str">
        <f>IF(AND($AT168=1,$AJ168=1),$BA168*100000+ROW(),"")</f>
        <v/>
      </c>
      <c r="BF168" s="71" t="str">
        <f>IF(AND($AU168=1,$AJ168=1),$BA168*100000+ROW(),"")</f>
        <v/>
      </c>
      <c r="BG168" s="71" t="str">
        <f>IF(AND($AV168=1,$AJ168=1),$BA168*100000+ROW(),"")</f>
        <v/>
      </c>
      <c r="BH168" s="71" t="str">
        <f>IF(AND($AW168=1,$AJ168=1),$BA168*100000+ROW(),"")</f>
        <v/>
      </c>
      <c r="BI168" s="71" t="str">
        <f>IF(AND($AX168=1,$AJ168=1),$BA168*100000+ROW(),"")</f>
        <v/>
      </c>
      <c r="BJ168" s="71" t="str">
        <f>IF(AND($AS168=1,$AJ168=1),$BA168*100000+ROW(),"")</f>
        <v/>
      </c>
      <c r="BK168" s="71" t="str">
        <f>IF(AND($AY168=1,$AJ168=1),$BA168*100000+ROW(),"")</f>
        <v/>
      </c>
      <c r="BL168" s="71" t="str">
        <f>IF(AND($AZ168=1),$BA168*100000+ROW(),"")</f>
        <v/>
      </c>
    </row>
    <row r="169">
      <c r="A169" s="63" t="n"/>
      <c r="B169" s="64" t="n"/>
      <c r="C169" s="64" t="n"/>
      <c r="D169" s="64" t="n"/>
      <c r="E169" s="64" t="n"/>
      <c r="F169" s="64" t="n"/>
      <c r="G169" s="65" t="n"/>
      <c r="H169" s="65" t="n"/>
      <c r="I169" s="64" t="n"/>
      <c r="J169" s="64" t="n"/>
      <c r="K169" s="63" t="n"/>
      <c r="L169" s="63" t="n"/>
      <c r="M169" s="64" t="n"/>
      <c r="N169" s="66" t="n"/>
      <c r="O169" s="65" t="n"/>
      <c r="P169" s="64" t="n"/>
      <c r="Q169" s="67" t="n"/>
      <c r="R169" s="67" t="n"/>
      <c r="S169" s="68" t="str">
        <f>IF(AND(ISNUMBER($Q169),ISNUMBER($R169)),$Q169-$R169,"")</f>
        <v/>
      </c>
      <c r="T169" s="65" t="n"/>
      <c r="U169" s="64" t="n"/>
      <c r="V169" s="65" t="n"/>
      <c r="W169" s="63" t="n"/>
      <c r="X169" s="65" t="n"/>
      <c r="Y169" s="63" t="n"/>
      <c r="Z169" s="64" t="n"/>
      <c r="AA169" s="64" t="n"/>
      <c r="AB169" s="65" t="n"/>
      <c r="AC169" s="69" t="str">
        <f>IF(OR($G169="",NOT(ISNUMBER($K169)),$AK169=0),"",MAX(0,ReportDate-$K169))</f>
        <v/>
      </c>
      <c r="AD169" s="69" t="str">
        <f>IF($G169="","",IF($AL169=1,ReportDate-$L169,0))</f>
        <v/>
      </c>
      <c r="AE169" s="70" t="str">
        <f>IF($G169="","",IF($M169="Completed",1,IF(ISNUMBER($N169),$N169,0)))</f>
        <v/>
      </c>
      <c r="AF169" s="70" t="str">
        <f>IF(AND(ISNUMBER($Q169),ISNUMBER($R169)),IF($R169&lt;&gt;0,$Q169/$R169,""),"")</f>
        <v/>
      </c>
      <c r="AG169" s="71" t="str">
        <f>IF($G169="","",IF($AL169=1,"OVERDUE",IF($AM169=1,"BLOCKED",IF($AN169=1,"DUE TODAY",IF($AO169=1,"DUE TOMORROW",IF($AQ169=1,"HIGH PRIORITY",IF($AR169=1,"NO RECENT UPDATE",""))))))) </f>
        <v/>
      </c>
      <c r="AH169" s="71" t="str">
        <f>IF($G169="","",IF(ISNUMBER($A169),IF(ISNUMBER($A169),YEAR($A169)&amp;"-"&amp;TEXT(MONTH($A169),"00"),""),IF(ISNUMBER($L169),IF(ISNUMBER($L169),YEAR($L169)&amp;"-"&amp;TEXT(MONTH($L169),"00"),""),"")))</f>
        <v/>
      </c>
      <c r="AI169" s="71">
        <f>IF($G169="",0,IF(AND(OR(fClient="All",$C169=fClient),OR(fCampaign="All",$D169=fCampaign),OR(fTeam="All",$B169=fTeam),OR(fChannel="All",$F169=fChannel),OR(fMonth="All",$AH169=fMonth),OR(fTStatus="All",$M169=fTStatus)),1,0))</f>
        <v>0</v>
      </c>
      <c r="AJ169" s="71">
        <f>IF($G169="",0,IF(AND(OR(fClient="All",$C169=fClient),OR(fCampaign="All",$D169=fCampaign),OR(fTeam="All",$B169=fTeam),OR(fChannel="All",$F169=fChannel)),1,0))</f>
        <v>0</v>
      </c>
      <c r="AK169" s="71">
        <f>IF($G169="",0,IF(OR($M169="Completed",$M169="Cancelled"),0,1))</f>
        <v>0</v>
      </c>
      <c r="AL169" s="71">
        <f>IF(AND($AK169=1,ISNUMBER($L169)),IF($L169&lt;ReportDate,1,0),0)</f>
        <v>0</v>
      </c>
      <c r="AM169" s="71">
        <f>IF(AND($G169&lt;&gt;"",$M169="Blocked"),1,0)</f>
        <v>0</v>
      </c>
      <c r="AN169" s="71">
        <f>IF(AND($AK169=1,ISNUMBER($L169)),IF($L169=ReportDate,1,0),0)</f>
        <v>0</v>
      </c>
      <c r="AO169" s="71">
        <f>IF(AND($AK169=1,ISNUMBER($L169)),IF($L169=ReportDate+1,1,0),0)</f>
        <v>0</v>
      </c>
      <c r="AP169" s="71">
        <f>IF(AND($AK169=1,ISNUMBER($L169)),IF(AND($L169&gt;=ReportDate,$L169&lt;=ReportDate+DueSoonDays),1,0),0)</f>
        <v>0</v>
      </c>
      <c r="AQ169" s="71">
        <f>IF(AND($AK169=1,OR($I169="Critical",$I169="High")),1,0)</f>
        <v>0</v>
      </c>
      <c r="AR169" s="71">
        <f>IF($AK169=1,IF(ISNUMBER($Y169),IF(ReportDate-$Y169&gt;StaleDays,1,0),1),0)</f>
        <v>0</v>
      </c>
      <c r="AS169" s="71">
        <f>IF(AND($G169&lt;&gt;"",ISNUMBER($Q169),ISNUMBER($R169)),IF(AND($Q169&lt;$R169,OR($M169="Completed",AND(ISNUMBER($L169),$L169&lt;ReportDate))),1,0),0)</f>
        <v>0</v>
      </c>
      <c r="AT169" s="71">
        <f>IF($AK169=1,IF(OR($L169=ReportDate,$W169=ReportDate,$K169=ReportDate,$A169=ReportDate),1,0),0)</f>
        <v>0</v>
      </c>
      <c r="AU169" s="71">
        <f>IF($AK169=1,IF(OR($L169=ReportDate+1,$W169=ReportDate+1,$K169=ReportDate+1,$A169=ReportDate+1),1,0),0)</f>
        <v>0</v>
      </c>
      <c r="AV169" s="71">
        <f>IF(AND($G169&lt;&gt;"",$M169="Completed"),IF(OR($Y169=ReportDate-1,$A169=ReportDate-1),1,0),0)</f>
        <v>0</v>
      </c>
      <c r="AW169" s="71">
        <f>IF(AND($AK169=1,$Z169="Yes"),1,0)</f>
        <v>0</v>
      </c>
      <c r="AX169" s="71">
        <f>IF(AND($AK169=1,$AA169="Yes"),1,0)</f>
        <v>0</v>
      </c>
      <c r="AY169" s="71">
        <f>IF(AND($AM169=1,OR($I169="Critical",$I169="High")),1,0)</f>
        <v>0</v>
      </c>
      <c r="AZ169" s="71">
        <f>IF(AND($AK169=1,OR($C169=TCL_Client,$C169=MECCA_Client)),1,0)</f>
        <v>0</v>
      </c>
      <c r="BA169" s="71" t="str">
        <f>IF($G169="","",IFERROR(MATCH($I169,lst_Priority,0),5))</f>
        <v/>
      </c>
      <c r="BB169" s="71" t="str">
        <f>IF(AND($AL169=1,$AJ169=1),$BA169*100000+ROW(),"")</f>
        <v/>
      </c>
      <c r="BC169" s="71" t="str">
        <f>IF(AND($AM169=1,$AJ169=1),$BA169*100000+ROW(),"")</f>
        <v/>
      </c>
      <c r="BD169" s="71" t="str">
        <f>IF(AND($AP169=1,$AJ169=1),$BA169*100000+ROW(),"")</f>
        <v/>
      </c>
      <c r="BE169" s="71" t="str">
        <f>IF(AND($AT169=1,$AJ169=1),$BA169*100000+ROW(),"")</f>
        <v/>
      </c>
      <c r="BF169" s="71" t="str">
        <f>IF(AND($AU169=1,$AJ169=1),$BA169*100000+ROW(),"")</f>
        <v/>
      </c>
      <c r="BG169" s="71" t="str">
        <f>IF(AND($AV169=1,$AJ169=1),$BA169*100000+ROW(),"")</f>
        <v/>
      </c>
      <c r="BH169" s="71" t="str">
        <f>IF(AND($AW169=1,$AJ169=1),$BA169*100000+ROW(),"")</f>
        <v/>
      </c>
      <c r="BI169" s="71" t="str">
        <f>IF(AND($AX169=1,$AJ169=1),$BA169*100000+ROW(),"")</f>
        <v/>
      </c>
      <c r="BJ169" s="71" t="str">
        <f>IF(AND($AS169=1,$AJ169=1),$BA169*100000+ROW(),"")</f>
        <v/>
      </c>
      <c r="BK169" s="71" t="str">
        <f>IF(AND($AY169=1,$AJ169=1),$BA169*100000+ROW(),"")</f>
        <v/>
      </c>
      <c r="BL169" s="71" t="str">
        <f>IF(AND($AZ169=1),$BA169*100000+ROW(),"")</f>
        <v/>
      </c>
    </row>
    <row r="170">
      <c r="A170" s="63" t="n"/>
      <c r="B170" s="64" t="n"/>
      <c r="C170" s="64" t="n"/>
      <c r="D170" s="64" t="n"/>
      <c r="E170" s="64" t="n"/>
      <c r="F170" s="64" t="n"/>
      <c r="G170" s="65" t="n"/>
      <c r="H170" s="65" t="n"/>
      <c r="I170" s="64" t="n"/>
      <c r="J170" s="64" t="n"/>
      <c r="K170" s="63" t="n"/>
      <c r="L170" s="63" t="n"/>
      <c r="M170" s="64" t="n"/>
      <c r="N170" s="66" t="n"/>
      <c r="O170" s="65" t="n"/>
      <c r="P170" s="64" t="n"/>
      <c r="Q170" s="67" t="n"/>
      <c r="R170" s="67" t="n"/>
      <c r="S170" s="68" t="str">
        <f>IF(AND(ISNUMBER($Q170),ISNUMBER($R170)),$Q170-$R170,"")</f>
        <v/>
      </c>
      <c r="T170" s="65" t="n"/>
      <c r="U170" s="64" t="n"/>
      <c r="V170" s="65" t="n"/>
      <c r="W170" s="63" t="n"/>
      <c r="X170" s="65" t="n"/>
      <c r="Y170" s="63" t="n"/>
      <c r="Z170" s="64" t="n"/>
      <c r="AA170" s="64" t="n"/>
      <c r="AB170" s="65" t="n"/>
      <c r="AC170" s="69" t="str">
        <f>IF(OR($G170="",NOT(ISNUMBER($K170)),$AK170=0),"",MAX(0,ReportDate-$K170))</f>
        <v/>
      </c>
      <c r="AD170" s="69" t="str">
        <f>IF($G170="","",IF($AL170=1,ReportDate-$L170,0))</f>
        <v/>
      </c>
      <c r="AE170" s="70" t="str">
        <f>IF($G170="","",IF($M170="Completed",1,IF(ISNUMBER($N170),$N170,0)))</f>
        <v/>
      </c>
      <c r="AF170" s="70" t="str">
        <f>IF(AND(ISNUMBER($Q170),ISNUMBER($R170)),IF($R170&lt;&gt;0,$Q170/$R170,""),"")</f>
        <v/>
      </c>
      <c r="AG170" s="71" t="str">
        <f>IF($G170="","",IF($AL170=1,"OVERDUE",IF($AM170=1,"BLOCKED",IF($AN170=1,"DUE TODAY",IF($AO170=1,"DUE TOMORROW",IF($AQ170=1,"HIGH PRIORITY",IF($AR170=1,"NO RECENT UPDATE",""))))))) </f>
        <v/>
      </c>
      <c r="AH170" s="71" t="str">
        <f>IF($G170="","",IF(ISNUMBER($A170),IF(ISNUMBER($A170),YEAR($A170)&amp;"-"&amp;TEXT(MONTH($A170),"00"),""),IF(ISNUMBER($L170),IF(ISNUMBER($L170),YEAR($L170)&amp;"-"&amp;TEXT(MONTH($L170),"00"),""),"")))</f>
        <v/>
      </c>
      <c r="AI170" s="71">
        <f>IF($G170="",0,IF(AND(OR(fClient="All",$C170=fClient),OR(fCampaign="All",$D170=fCampaign),OR(fTeam="All",$B170=fTeam),OR(fChannel="All",$F170=fChannel),OR(fMonth="All",$AH170=fMonth),OR(fTStatus="All",$M170=fTStatus)),1,0))</f>
        <v>0</v>
      </c>
      <c r="AJ170" s="71">
        <f>IF($G170="",0,IF(AND(OR(fClient="All",$C170=fClient),OR(fCampaign="All",$D170=fCampaign),OR(fTeam="All",$B170=fTeam),OR(fChannel="All",$F170=fChannel)),1,0))</f>
        <v>0</v>
      </c>
      <c r="AK170" s="71">
        <f>IF($G170="",0,IF(OR($M170="Completed",$M170="Cancelled"),0,1))</f>
        <v>0</v>
      </c>
      <c r="AL170" s="71">
        <f>IF(AND($AK170=1,ISNUMBER($L170)),IF($L170&lt;ReportDate,1,0),0)</f>
        <v>0</v>
      </c>
      <c r="AM170" s="71">
        <f>IF(AND($G170&lt;&gt;"",$M170="Blocked"),1,0)</f>
        <v>0</v>
      </c>
      <c r="AN170" s="71">
        <f>IF(AND($AK170=1,ISNUMBER($L170)),IF($L170=ReportDate,1,0),0)</f>
        <v>0</v>
      </c>
      <c r="AO170" s="71">
        <f>IF(AND($AK170=1,ISNUMBER($L170)),IF($L170=ReportDate+1,1,0),0)</f>
        <v>0</v>
      </c>
      <c r="AP170" s="71">
        <f>IF(AND($AK170=1,ISNUMBER($L170)),IF(AND($L170&gt;=ReportDate,$L170&lt;=ReportDate+DueSoonDays),1,0),0)</f>
        <v>0</v>
      </c>
      <c r="AQ170" s="71">
        <f>IF(AND($AK170=1,OR($I170="Critical",$I170="High")),1,0)</f>
        <v>0</v>
      </c>
      <c r="AR170" s="71">
        <f>IF($AK170=1,IF(ISNUMBER($Y170),IF(ReportDate-$Y170&gt;StaleDays,1,0),1),0)</f>
        <v>0</v>
      </c>
      <c r="AS170" s="71">
        <f>IF(AND($G170&lt;&gt;"",ISNUMBER($Q170),ISNUMBER($R170)),IF(AND($Q170&lt;$R170,OR($M170="Completed",AND(ISNUMBER($L170),$L170&lt;ReportDate))),1,0),0)</f>
        <v>0</v>
      </c>
      <c r="AT170" s="71">
        <f>IF($AK170=1,IF(OR($L170=ReportDate,$W170=ReportDate,$K170=ReportDate,$A170=ReportDate),1,0),0)</f>
        <v>0</v>
      </c>
      <c r="AU170" s="71">
        <f>IF($AK170=1,IF(OR($L170=ReportDate+1,$W170=ReportDate+1,$K170=ReportDate+1,$A170=ReportDate+1),1,0),0)</f>
        <v>0</v>
      </c>
      <c r="AV170" s="71">
        <f>IF(AND($G170&lt;&gt;"",$M170="Completed"),IF(OR($Y170=ReportDate-1,$A170=ReportDate-1),1,0),0)</f>
        <v>0</v>
      </c>
      <c r="AW170" s="71">
        <f>IF(AND($AK170=1,$Z170="Yes"),1,0)</f>
        <v>0</v>
      </c>
      <c r="AX170" s="71">
        <f>IF(AND($AK170=1,$AA170="Yes"),1,0)</f>
        <v>0</v>
      </c>
      <c r="AY170" s="71">
        <f>IF(AND($AM170=1,OR($I170="Critical",$I170="High")),1,0)</f>
        <v>0</v>
      </c>
      <c r="AZ170" s="71">
        <f>IF(AND($AK170=1,OR($C170=TCL_Client,$C170=MECCA_Client)),1,0)</f>
        <v>0</v>
      </c>
      <c r="BA170" s="71" t="str">
        <f>IF($G170="","",IFERROR(MATCH($I170,lst_Priority,0),5))</f>
        <v/>
      </c>
      <c r="BB170" s="71" t="str">
        <f>IF(AND($AL170=1,$AJ170=1),$BA170*100000+ROW(),"")</f>
        <v/>
      </c>
      <c r="BC170" s="71" t="str">
        <f>IF(AND($AM170=1,$AJ170=1),$BA170*100000+ROW(),"")</f>
        <v/>
      </c>
      <c r="BD170" s="71" t="str">
        <f>IF(AND($AP170=1,$AJ170=1),$BA170*100000+ROW(),"")</f>
        <v/>
      </c>
      <c r="BE170" s="71" t="str">
        <f>IF(AND($AT170=1,$AJ170=1),$BA170*100000+ROW(),"")</f>
        <v/>
      </c>
      <c r="BF170" s="71" t="str">
        <f>IF(AND($AU170=1,$AJ170=1),$BA170*100000+ROW(),"")</f>
        <v/>
      </c>
      <c r="BG170" s="71" t="str">
        <f>IF(AND($AV170=1,$AJ170=1),$BA170*100000+ROW(),"")</f>
        <v/>
      </c>
      <c r="BH170" s="71" t="str">
        <f>IF(AND($AW170=1,$AJ170=1),$BA170*100000+ROW(),"")</f>
        <v/>
      </c>
      <c r="BI170" s="71" t="str">
        <f>IF(AND($AX170=1,$AJ170=1),$BA170*100000+ROW(),"")</f>
        <v/>
      </c>
      <c r="BJ170" s="71" t="str">
        <f>IF(AND($AS170=1,$AJ170=1),$BA170*100000+ROW(),"")</f>
        <v/>
      </c>
      <c r="BK170" s="71" t="str">
        <f>IF(AND($AY170=1,$AJ170=1),$BA170*100000+ROW(),"")</f>
        <v/>
      </c>
      <c r="BL170" s="71" t="str">
        <f>IF(AND($AZ170=1),$BA170*100000+ROW(),"")</f>
        <v/>
      </c>
    </row>
    <row r="171">
      <c r="A171" s="63" t="n"/>
      <c r="B171" s="64" t="n"/>
      <c r="C171" s="64" t="n"/>
      <c r="D171" s="64" t="n"/>
      <c r="E171" s="64" t="n"/>
      <c r="F171" s="64" t="n"/>
      <c r="G171" s="65" t="n"/>
      <c r="H171" s="65" t="n"/>
      <c r="I171" s="64" t="n"/>
      <c r="J171" s="64" t="n"/>
      <c r="K171" s="63" t="n"/>
      <c r="L171" s="63" t="n"/>
      <c r="M171" s="64" t="n"/>
      <c r="N171" s="66" t="n"/>
      <c r="O171" s="65" t="n"/>
      <c r="P171" s="64" t="n"/>
      <c r="Q171" s="67" t="n"/>
      <c r="R171" s="67" t="n"/>
      <c r="S171" s="68" t="str">
        <f>IF(AND(ISNUMBER($Q171),ISNUMBER($R171)),$Q171-$R171,"")</f>
        <v/>
      </c>
      <c r="T171" s="65" t="n"/>
      <c r="U171" s="64" t="n"/>
      <c r="V171" s="65" t="n"/>
      <c r="W171" s="63" t="n"/>
      <c r="X171" s="65" t="n"/>
      <c r="Y171" s="63" t="n"/>
      <c r="Z171" s="64" t="n"/>
      <c r="AA171" s="64" t="n"/>
      <c r="AB171" s="65" t="n"/>
      <c r="AC171" s="69" t="str">
        <f>IF(OR($G171="",NOT(ISNUMBER($K171)),$AK171=0),"",MAX(0,ReportDate-$K171))</f>
        <v/>
      </c>
      <c r="AD171" s="69" t="str">
        <f>IF($G171="","",IF($AL171=1,ReportDate-$L171,0))</f>
        <v/>
      </c>
      <c r="AE171" s="70" t="str">
        <f>IF($G171="","",IF($M171="Completed",1,IF(ISNUMBER($N171),$N171,0)))</f>
        <v/>
      </c>
      <c r="AF171" s="70" t="str">
        <f>IF(AND(ISNUMBER($Q171),ISNUMBER($R171)),IF($R171&lt;&gt;0,$Q171/$R171,""),"")</f>
        <v/>
      </c>
      <c r="AG171" s="71" t="str">
        <f>IF($G171="","",IF($AL171=1,"OVERDUE",IF($AM171=1,"BLOCKED",IF($AN171=1,"DUE TODAY",IF($AO171=1,"DUE TOMORROW",IF($AQ171=1,"HIGH PRIORITY",IF($AR171=1,"NO RECENT UPDATE",""))))))) </f>
        <v/>
      </c>
      <c r="AH171" s="71" t="str">
        <f>IF($G171="","",IF(ISNUMBER($A171),IF(ISNUMBER($A171),YEAR($A171)&amp;"-"&amp;TEXT(MONTH($A171),"00"),""),IF(ISNUMBER($L171),IF(ISNUMBER($L171),YEAR($L171)&amp;"-"&amp;TEXT(MONTH($L171),"00"),""),"")))</f>
        <v/>
      </c>
      <c r="AI171" s="71">
        <f>IF($G171="",0,IF(AND(OR(fClient="All",$C171=fClient),OR(fCampaign="All",$D171=fCampaign),OR(fTeam="All",$B171=fTeam),OR(fChannel="All",$F171=fChannel),OR(fMonth="All",$AH171=fMonth),OR(fTStatus="All",$M171=fTStatus)),1,0))</f>
        <v>0</v>
      </c>
      <c r="AJ171" s="71">
        <f>IF($G171="",0,IF(AND(OR(fClient="All",$C171=fClient),OR(fCampaign="All",$D171=fCampaign),OR(fTeam="All",$B171=fTeam),OR(fChannel="All",$F171=fChannel)),1,0))</f>
        <v>0</v>
      </c>
      <c r="AK171" s="71">
        <f>IF($G171="",0,IF(OR($M171="Completed",$M171="Cancelled"),0,1))</f>
        <v>0</v>
      </c>
      <c r="AL171" s="71">
        <f>IF(AND($AK171=1,ISNUMBER($L171)),IF($L171&lt;ReportDate,1,0),0)</f>
        <v>0</v>
      </c>
      <c r="AM171" s="71">
        <f>IF(AND($G171&lt;&gt;"",$M171="Blocked"),1,0)</f>
        <v>0</v>
      </c>
      <c r="AN171" s="71">
        <f>IF(AND($AK171=1,ISNUMBER($L171)),IF($L171=ReportDate,1,0),0)</f>
        <v>0</v>
      </c>
      <c r="AO171" s="71">
        <f>IF(AND($AK171=1,ISNUMBER($L171)),IF($L171=ReportDate+1,1,0),0)</f>
        <v>0</v>
      </c>
      <c r="AP171" s="71">
        <f>IF(AND($AK171=1,ISNUMBER($L171)),IF(AND($L171&gt;=ReportDate,$L171&lt;=ReportDate+DueSoonDays),1,0),0)</f>
        <v>0</v>
      </c>
      <c r="AQ171" s="71">
        <f>IF(AND($AK171=1,OR($I171="Critical",$I171="High")),1,0)</f>
        <v>0</v>
      </c>
      <c r="AR171" s="71">
        <f>IF($AK171=1,IF(ISNUMBER($Y171),IF(ReportDate-$Y171&gt;StaleDays,1,0),1),0)</f>
        <v>0</v>
      </c>
      <c r="AS171" s="71">
        <f>IF(AND($G171&lt;&gt;"",ISNUMBER($Q171),ISNUMBER($R171)),IF(AND($Q171&lt;$R171,OR($M171="Completed",AND(ISNUMBER($L171),$L171&lt;ReportDate))),1,0),0)</f>
        <v>0</v>
      </c>
      <c r="AT171" s="71">
        <f>IF($AK171=1,IF(OR($L171=ReportDate,$W171=ReportDate,$K171=ReportDate,$A171=ReportDate),1,0),0)</f>
        <v>0</v>
      </c>
      <c r="AU171" s="71">
        <f>IF($AK171=1,IF(OR($L171=ReportDate+1,$W171=ReportDate+1,$K171=ReportDate+1,$A171=ReportDate+1),1,0),0)</f>
        <v>0</v>
      </c>
      <c r="AV171" s="71">
        <f>IF(AND($G171&lt;&gt;"",$M171="Completed"),IF(OR($Y171=ReportDate-1,$A171=ReportDate-1),1,0),0)</f>
        <v>0</v>
      </c>
      <c r="AW171" s="71">
        <f>IF(AND($AK171=1,$Z171="Yes"),1,0)</f>
        <v>0</v>
      </c>
      <c r="AX171" s="71">
        <f>IF(AND($AK171=1,$AA171="Yes"),1,0)</f>
        <v>0</v>
      </c>
      <c r="AY171" s="71">
        <f>IF(AND($AM171=1,OR($I171="Critical",$I171="High")),1,0)</f>
        <v>0</v>
      </c>
      <c r="AZ171" s="71">
        <f>IF(AND($AK171=1,OR($C171=TCL_Client,$C171=MECCA_Client)),1,0)</f>
        <v>0</v>
      </c>
      <c r="BA171" s="71" t="str">
        <f>IF($G171="","",IFERROR(MATCH($I171,lst_Priority,0),5))</f>
        <v/>
      </c>
      <c r="BB171" s="71" t="str">
        <f>IF(AND($AL171=1,$AJ171=1),$BA171*100000+ROW(),"")</f>
        <v/>
      </c>
      <c r="BC171" s="71" t="str">
        <f>IF(AND($AM171=1,$AJ171=1),$BA171*100000+ROW(),"")</f>
        <v/>
      </c>
      <c r="BD171" s="71" t="str">
        <f>IF(AND($AP171=1,$AJ171=1),$BA171*100000+ROW(),"")</f>
        <v/>
      </c>
      <c r="BE171" s="71" t="str">
        <f>IF(AND($AT171=1,$AJ171=1),$BA171*100000+ROW(),"")</f>
        <v/>
      </c>
      <c r="BF171" s="71" t="str">
        <f>IF(AND($AU171=1,$AJ171=1),$BA171*100000+ROW(),"")</f>
        <v/>
      </c>
      <c r="BG171" s="71" t="str">
        <f>IF(AND($AV171=1,$AJ171=1),$BA171*100000+ROW(),"")</f>
        <v/>
      </c>
      <c r="BH171" s="71" t="str">
        <f>IF(AND($AW171=1,$AJ171=1),$BA171*100000+ROW(),"")</f>
        <v/>
      </c>
      <c r="BI171" s="71" t="str">
        <f>IF(AND($AX171=1,$AJ171=1),$BA171*100000+ROW(),"")</f>
        <v/>
      </c>
      <c r="BJ171" s="71" t="str">
        <f>IF(AND($AS171=1,$AJ171=1),$BA171*100000+ROW(),"")</f>
        <v/>
      </c>
      <c r="BK171" s="71" t="str">
        <f>IF(AND($AY171=1,$AJ171=1),$BA171*100000+ROW(),"")</f>
        <v/>
      </c>
      <c r="BL171" s="71" t="str">
        <f>IF(AND($AZ171=1),$BA171*100000+ROW(),"")</f>
        <v/>
      </c>
    </row>
    <row r="172">
      <c r="A172" s="63" t="n"/>
      <c r="B172" s="64" t="n"/>
      <c r="C172" s="64" t="n"/>
      <c r="D172" s="64" t="n"/>
      <c r="E172" s="64" t="n"/>
      <c r="F172" s="64" t="n"/>
      <c r="G172" s="65" t="n"/>
      <c r="H172" s="65" t="n"/>
      <c r="I172" s="64" t="n"/>
      <c r="J172" s="64" t="n"/>
      <c r="K172" s="63" t="n"/>
      <c r="L172" s="63" t="n"/>
      <c r="M172" s="64" t="n"/>
      <c r="N172" s="66" t="n"/>
      <c r="O172" s="65" t="n"/>
      <c r="P172" s="64" t="n"/>
      <c r="Q172" s="67" t="n"/>
      <c r="R172" s="67" t="n"/>
      <c r="S172" s="68" t="str">
        <f>IF(AND(ISNUMBER($Q172),ISNUMBER($R172)),$Q172-$R172,"")</f>
        <v/>
      </c>
      <c r="T172" s="65" t="n"/>
      <c r="U172" s="64" t="n"/>
      <c r="V172" s="65" t="n"/>
      <c r="W172" s="63" t="n"/>
      <c r="X172" s="65" t="n"/>
      <c r="Y172" s="63" t="n"/>
      <c r="Z172" s="64" t="n"/>
      <c r="AA172" s="64" t="n"/>
      <c r="AB172" s="65" t="n"/>
      <c r="AC172" s="69" t="str">
        <f>IF(OR($G172="",NOT(ISNUMBER($K172)),$AK172=0),"",MAX(0,ReportDate-$K172))</f>
        <v/>
      </c>
      <c r="AD172" s="69" t="str">
        <f>IF($G172="","",IF($AL172=1,ReportDate-$L172,0))</f>
        <v/>
      </c>
      <c r="AE172" s="70" t="str">
        <f>IF($G172="","",IF($M172="Completed",1,IF(ISNUMBER($N172),$N172,0)))</f>
        <v/>
      </c>
      <c r="AF172" s="70" t="str">
        <f>IF(AND(ISNUMBER($Q172),ISNUMBER($R172)),IF($R172&lt;&gt;0,$Q172/$R172,""),"")</f>
        <v/>
      </c>
      <c r="AG172" s="71" t="str">
        <f>IF($G172="","",IF($AL172=1,"OVERDUE",IF($AM172=1,"BLOCKED",IF($AN172=1,"DUE TODAY",IF($AO172=1,"DUE TOMORROW",IF($AQ172=1,"HIGH PRIORITY",IF($AR172=1,"NO RECENT UPDATE",""))))))) </f>
        <v/>
      </c>
      <c r="AH172" s="71" t="str">
        <f>IF($G172="","",IF(ISNUMBER($A172),IF(ISNUMBER($A172),YEAR($A172)&amp;"-"&amp;TEXT(MONTH($A172),"00"),""),IF(ISNUMBER($L172),IF(ISNUMBER($L172),YEAR($L172)&amp;"-"&amp;TEXT(MONTH($L172),"00"),""),"")))</f>
        <v/>
      </c>
      <c r="AI172" s="71">
        <f>IF($G172="",0,IF(AND(OR(fClient="All",$C172=fClient),OR(fCampaign="All",$D172=fCampaign),OR(fTeam="All",$B172=fTeam),OR(fChannel="All",$F172=fChannel),OR(fMonth="All",$AH172=fMonth),OR(fTStatus="All",$M172=fTStatus)),1,0))</f>
        <v>0</v>
      </c>
      <c r="AJ172" s="71">
        <f>IF($G172="",0,IF(AND(OR(fClient="All",$C172=fClient),OR(fCampaign="All",$D172=fCampaign),OR(fTeam="All",$B172=fTeam),OR(fChannel="All",$F172=fChannel)),1,0))</f>
        <v>0</v>
      </c>
      <c r="AK172" s="71">
        <f>IF($G172="",0,IF(OR($M172="Completed",$M172="Cancelled"),0,1))</f>
        <v>0</v>
      </c>
      <c r="AL172" s="71">
        <f>IF(AND($AK172=1,ISNUMBER($L172)),IF($L172&lt;ReportDate,1,0),0)</f>
        <v>0</v>
      </c>
      <c r="AM172" s="71">
        <f>IF(AND($G172&lt;&gt;"",$M172="Blocked"),1,0)</f>
        <v>0</v>
      </c>
      <c r="AN172" s="71">
        <f>IF(AND($AK172=1,ISNUMBER($L172)),IF($L172=ReportDate,1,0),0)</f>
        <v>0</v>
      </c>
      <c r="AO172" s="71">
        <f>IF(AND($AK172=1,ISNUMBER($L172)),IF($L172=ReportDate+1,1,0),0)</f>
        <v>0</v>
      </c>
      <c r="AP172" s="71">
        <f>IF(AND($AK172=1,ISNUMBER($L172)),IF(AND($L172&gt;=ReportDate,$L172&lt;=ReportDate+DueSoonDays),1,0),0)</f>
        <v>0</v>
      </c>
      <c r="AQ172" s="71">
        <f>IF(AND($AK172=1,OR($I172="Critical",$I172="High")),1,0)</f>
        <v>0</v>
      </c>
      <c r="AR172" s="71">
        <f>IF($AK172=1,IF(ISNUMBER($Y172),IF(ReportDate-$Y172&gt;StaleDays,1,0),1),0)</f>
        <v>0</v>
      </c>
      <c r="AS172" s="71">
        <f>IF(AND($G172&lt;&gt;"",ISNUMBER($Q172),ISNUMBER($R172)),IF(AND($Q172&lt;$R172,OR($M172="Completed",AND(ISNUMBER($L172),$L172&lt;ReportDate))),1,0),0)</f>
        <v>0</v>
      </c>
      <c r="AT172" s="71">
        <f>IF($AK172=1,IF(OR($L172=ReportDate,$W172=ReportDate,$K172=ReportDate,$A172=ReportDate),1,0),0)</f>
        <v>0</v>
      </c>
      <c r="AU172" s="71">
        <f>IF($AK172=1,IF(OR($L172=ReportDate+1,$W172=ReportDate+1,$K172=ReportDate+1,$A172=ReportDate+1),1,0),0)</f>
        <v>0</v>
      </c>
      <c r="AV172" s="71">
        <f>IF(AND($G172&lt;&gt;"",$M172="Completed"),IF(OR($Y172=ReportDate-1,$A172=ReportDate-1),1,0),0)</f>
        <v>0</v>
      </c>
      <c r="AW172" s="71">
        <f>IF(AND($AK172=1,$Z172="Yes"),1,0)</f>
        <v>0</v>
      </c>
      <c r="AX172" s="71">
        <f>IF(AND($AK172=1,$AA172="Yes"),1,0)</f>
        <v>0</v>
      </c>
      <c r="AY172" s="71">
        <f>IF(AND($AM172=1,OR($I172="Critical",$I172="High")),1,0)</f>
        <v>0</v>
      </c>
      <c r="AZ172" s="71">
        <f>IF(AND($AK172=1,OR($C172=TCL_Client,$C172=MECCA_Client)),1,0)</f>
        <v>0</v>
      </c>
      <c r="BA172" s="71" t="str">
        <f>IF($G172="","",IFERROR(MATCH($I172,lst_Priority,0),5))</f>
        <v/>
      </c>
      <c r="BB172" s="71" t="str">
        <f>IF(AND($AL172=1,$AJ172=1),$BA172*100000+ROW(),"")</f>
        <v/>
      </c>
      <c r="BC172" s="71" t="str">
        <f>IF(AND($AM172=1,$AJ172=1),$BA172*100000+ROW(),"")</f>
        <v/>
      </c>
      <c r="BD172" s="71" t="str">
        <f>IF(AND($AP172=1,$AJ172=1),$BA172*100000+ROW(),"")</f>
        <v/>
      </c>
      <c r="BE172" s="71" t="str">
        <f>IF(AND($AT172=1,$AJ172=1),$BA172*100000+ROW(),"")</f>
        <v/>
      </c>
      <c r="BF172" s="71" t="str">
        <f>IF(AND($AU172=1,$AJ172=1),$BA172*100000+ROW(),"")</f>
        <v/>
      </c>
      <c r="BG172" s="71" t="str">
        <f>IF(AND($AV172=1,$AJ172=1),$BA172*100000+ROW(),"")</f>
        <v/>
      </c>
      <c r="BH172" s="71" t="str">
        <f>IF(AND($AW172=1,$AJ172=1),$BA172*100000+ROW(),"")</f>
        <v/>
      </c>
      <c r="BI172" s="71" t="str">
        <f>IF(AND($AX172=1,$AJ172=1),$BA172*100000+ROW(),"")</f>
        <v/>
      </c>
      <c r="BJ172" s="71" t="str">
        <f>IF(AND($AS172=1,$AJ172=1),$BA172*100000+ROW(),"")</f>
        <v/>
      </c>
      <c r="BK172" s="71" t="str">
        <f>IF(AND($AY172=1,$AJ172=1),$BA172*100000+ROW(),"")</f>
        <v/>
      </c>
      <c r="BL172" s="71" t="str">
        <f>IF(AND($AZ172=1),$BA172*100000+ROW(),"")</f>
        <v/>
      </c>
    </row>
    <row r="173">
      <c r="A173" s="63" t="n"/>
      <c r="B173" s="64" t="n"/>
      <c r="C173" s="64" t="n"/>
      <c r="D173" s="64" t="n"/>
      <c r="E173" s="64" t="n"/>
      <c r="F173" s="64" t="n"/>
      <c r="G173" s="65" t="n"/>
      <c r="H173" s="65" t="n"/>
      <c r="I173" s="64" t="n"/>
      <c r="J173" s="64" t="n"/>
      <c r="K173" s="63" t="n"/>
      <c r="L173" s="63" t="n"/>
      <c r="M173" s="64" t="n"/>
      <c r="N173" s="66" t="n"/>
      <c r="O173" s="65" t="n"/>
      <c r="P173" s="64" t="n"/>
      <c r="Q173" s="67" t="n"/>
      <c r="R173" s="67" t="n"/>
      <c r="S173" s="68" t="str">
        <f>IF(AND(ISNUMBER($Q173),ISNUMBER($R173)),$Q173-$R173,"")</f>
        <v/>
      </c>
      <c r="T173" s="65" t="n"/>
      <c r="U173" s="64" t="n"/>
      <c r="V173" s="65" t="n"/>
      <c r="W173" s="63" t="n"/>
      <c r="X173" s="65" t="n"/>
      <c r="Y173" s="63" t="n"/>
      <c r="Z173" s="64" t="n"/>
      <c r="AA173" s="64" t="n"/>
      <c r="AB173" s="65" t="n"/>
      <c r="AC173" s="69" t="str">
        <f>IF(OR($G173="",NOT(ISNUMBER($K173)),$AK173=0),"",MAX(0,ReportDate-$K173))</f>
        <v/>
      </c>
      <c r="AD173" s="69" t="str">
        <f>IF($G173="","",IF($AL173=1,ReportDate-$L173,0))</f>
        <v/>
      </c>
      <c r="AE173" s="70" t="str">
        <f>IF($G173="","",IF($M173="Completed",1,IF(ISNUMBER($N173),$N173,0)))</f>
        <v/>
      </c>
      <c r="AF173" s="70" t="str">
        <f>IF(AND(ISNUMBER($Q173),ISNUMBER($R173)),IF($R173&lt;&gt;0,$Q173/$R173,""),"")</f>
        <v/>
      </c>
      <c r="AG173" s="71" t="str">
        <f>IF($G173="","",IF($AL173=1,"OVERDUE",IF($AM173=1,"BLOCKED",IF($AN173=1,"DUE TODAY",IF($AO173=1,"DUE TOMORROW",IF($AQ173=1,"HIGH PRIORITY",IF($AR173=1,"NO RECENT UPDATE",""))))))) </f>
        <v/>
      </c>
      <c r="AH173" s="71" t="str">
        <f>IF($G173="","",IF(ISNUMBER($A173),IF(ISNUMBER($A173),YEAR($A173)&amp;"-"&amp;TEXT(MONTH($A173),"00"),""),IF(ISNUMBER($L173),IF(ISNUMBER($L173),YEAR($L173)&amp;"-"&amp;TEXT(MONTH($L173),"00"),""),"")))</f>
        <v/>
      </c>
      <c r="AI173" s="71">
        <f>IF($G173="",0,IF(AND(OR(fClient="All",$C173=fClient),OR(fCampaign="All",$D173=fCampaign),OR(fTeam="All",$B173=fTeam),OR(fChannel="All",$F173=fChannel),OR(fMonth="All",$AH173=fMonth),OR(fTStatus="All",$M173=fTStatus)),1,0))</f>
        <v>0</v>
      </c>
      <c r="AJ173" s="71">
        <f>IF($G173="",0,IF(AND(OR(fClient="All",$C173=fClient),OR(fCampaign="All",$D173=fCampaign),OR(fTeam="All",$B173=fTeam),OR(fChannel="All",$F173=fChannel)),1,0))</f>
        <v>0</v>
      </c>
      <c r="AK173" s="71">
        <f>IF($G173="",0,IF(OR($M173="Completed",$M173="Cancelled"),0,1))</f>
        <v>0</v>
      </c>
      <c r="AL173" s="71">
        <f>IF(AND($AK173=1,ISNUMBER($L173)),IF($L173&lt;ReportDate,1,0),0)</f>
        <v>0</v>
      </c>
      <c r="AM173" s="71">
        <f>IF(AND($G173&lt;&gt;"",$M173="Blocked"),1,0)</f>
        <v>0</v>
      </c>
      <c r="AN173" s="71">
        <f>IF(AND($AK173=1,ISNUMBER($L173)),IF($L173=ReportDate,1,0),0)</f>
        <v>0</v>
      </c>
      <c r="AO173" s="71">
        <f>IF(AND($AK173=1,ISNUMBER($L173)),IF($L173=ReportDate+1,1,0),0)</f>
        <v>0</v>
      </c>
      <c r="AP173" s="71">
        <f>IF(AND($AK173=1,ISNUMBER($L173)),IF(AND($L173&gt;=ReportDate,$L173&lt;=ReportDate+DueSoonDays),1,0),0)</f>
        <v>0</v>
      </c>
      <c r="AQ173" s="71">
        <f>IF(AND($AK173=1,OR($I173="Critical",$I173="High")),1,0)</f>
        <v>0</v>
      </c>
      <c r="AR173" s="71">
        <f>IF($AK173=1,IF(ISNUMBER($Y173),IF(ReportDate-$Y173&gt;StaleDays,1,0),1),0)</f>
        <v>0</v>
      </c>
      <c r="AS173" s="71">
        <f>IF(AND($G173&lt;&gt;"",ISNUMBER($Q173),ISNUMBER($R173)),IF(AND($Q173&lt;$R173,OR($M173="Completed",AND(ISNUMBER($L173),$L173&lt;ReportDate))),1,0),0)</f>
        <v>0</v>
      </c>
      <c r="AT173" s="71">
        <f>IF($AK173=1,IF(OR($L173=ReportDate,$W173=ReportDate,$K173=ReportDate,$A173=ReportDate),1,0),0)</f>
        <v>0</v>
      </c>
      <c r="AU173" s="71">
        <f>IF($AK173=1,IF(OR($L173=ReportDate+1,$W173=ReportDate+1,$K173=ReportDate+1,$A173=ReportDate+1),1,0),0)</f>
        <v>0</v>
      </c>
      <c r="AV173" s="71">
        <f>IF(AND($G173&lt;&gt;"",$M173="Completed"),IF(OR($Y173=ReportDate-1,$A173=ReportDate-1),1,0),0)</f>
        <v>0</v>
      </c>
      <c r="AW173" s="71">
        <f>IF(AND($AK173=1,$Z173="Yes"),1,0)</f>
        <v>0</v>
      </c>
      <c r="AX173" s="71">
        <f>IF(AND($AK173=1,$AA173="Yes"),1,0)</f>
        <v>0</v>
      </c>
      <c r="AY173" s="71">
        <f>IF(AND($AM173=1,OR($I173="Critical",$I173="High")),1,0)</f>
        <v>0</v>
      </c>
      <c r="AZ173" s="71">
        <f>IF(AND($AK173=1,OR($C173=TCL_Client,$C173=MECCA_Client)),1,0)</f>
        <v>0</v>
      </c>
      <c r="BA173" s="71" t="str">
        <f>IF($G173="","",IFERROR(MATCH($I173,lst_Priority,0),5))</f>
        <v/>
      </c>
      <c r="BB173" s="71" t="str">
        <f>IF(AND($AL173=1,$AJ173=1),$BA173*100000+ROW(),"")</f>
        <v/>
      </c>
      <c r="BC173" s="71" t="str">
        <f>IF(AND($AM173=1,$AJ173=1),$BA173*100000+ROW(),"")</f>
        <v/>
      </c>
      <c r="BD173" s="71" t="str">
        <f>IF(AND($AP173=1,$AJ173=1),$BA173*100000+ROW(),"")</f>
        <v/>
      </c>
      <c r="BE173" s="71" t="str">
        <f>IF(AND($AT173=1,$AJ173=1),$BA173*100000+ROW(),"")</f>
        <v/>
      </c>
      <c r="BF173" s="71" t="str">
        <f>IF(AND($AU173=1,$AJ173=1),$BA173*100000+ROW(),"")</f>
        <v/>
      </c>
      <c r="BG173" s="71" t="str">
        <f>IF(AND($AV173=1,$AJ173=1),$BA173*100000+ROW(),"")</f>
        <v/>
      </c>
      <c r="BH173" s="71" t="str">
        <f>IF(AND($AW173=1,$AJ173=1),$BA173*100000+ROW(),"")</f>
        <v/>
      </c>
      <c r="BI173" s="71" t="str">
        <f>IF(AND($AX173=1,$AJ173=1),$BA173*100000+ROW(),"")</f>
        <v/>
      </c>
      <c r="BJ173" s="71" t="str">
        <f>IF(AND($AS173=1,$AJ173=1),$BA173*100000+ROW(),"")</f>
        <v/>
      </c>
      <c r="BK173" s="71" t="str">
        <f>IF(AND($AY173=1,$AJ173=1),$BA173*100000+ROW(),"")</f>
        <v/>
      </c>
      <c r="BL173" s="71" t="str">
        <f>IF(AND($AZ173=1),$BA173*100000+ROW(),"")</f>
        <v/>
      </c>
    </row>
    <row r="174">
      <c r="A174" s="63" t="n"/>
      <c r="B174" s="64" t="n"/>
      <c r="C174" s="64" t="n"/>
      <c r="D174" s="64" t="n"/>
      <c r="E174" s="64" t="n"/>
      <c r="F174" s="64" t="n"/>
      <c r="G174" s="65" t="n"/>
      <c r="H174" s="65" t="n"/>
      <c r="I174" s="64" t="n"/>
      <c r="J174" s="64" t="n"/>
      <c r="K174" s="63" t="n"/>
      <c r="L174" s="63" t="n"/>
      <c r="M174" s="64" t="n"/>
      <c r="N174" s="66" t="n"/>
      <c r="O174" s="65" t="n"/>
      <c r="P174" s="64" t="n"/>
      <c r="Q174" s="67" t="n"/>
      <c r="R174" s="67" t="n"/>
      <c r="S174" s="68" t="str">
        <f>IF(AND(ISNUMBER($Q174),ISNUMBER($R174)),$Q174-$R174,"")</f>
        <v/>
      </c>
      <c r="T174" s="65" t="n"/>
      <c r="U174" s="64" t="n"/>
      <c r="V174" s="65" t="n"/>
      <c r="W174" s="63" t="n"/>
      <c r="X174" s="65" t="n"/>
      <c r="Y174" s="63" t="n"/>
      <c r="Z174" s="64" t="n"/>
      <c r="AA174" s="64" t="n"/>
      <c r="AB174" s="65" t="n"/>
      <c r="AC174" s="69" t="str">
        <f>IF(OR($G174="",NOT(ISNUMBER($K174)),$AK174=0),"",MAX(0,ReportDate-$K174))</f>
        <v/>
      </c>
      <c r="AD174" s="69" t="str">
        <f>IF($G174="","",IF($AL174=1,ReportDate-$L174,0))</f>
        <v/>
      </c>
      <c r="AE174" s="70" t="str">
        <f>IF($G174="","",IF($M174="Completed",1,IF(ISNUMBER($N174),$N174,0)))</f>
        <v/>
      </c>
      <c r="AF174" s="70" t="str">
        <f>IF(AND(ISNUMBER($Q174),ISNUMBER($R174)),IF($R174&lt;&gt;0,$Q174/$R174,""),"")</f>
        <v/>
      </c>
      <c r="AG174" s="71" t="str">
        <f>IF($G174="","",IF($AL174=1,"OVERDUE",IF($AM174=1,"BLOCKED",IF($AN174=1,"DUE TODAY",IF($AO174=1,"DUE TOMORROW",IF($AQ174=1,"HIGH PRIORITY",IF($AR174=1,"NO RECENT UPDATE",""))))))) </f>
        <v/>
      </c>
      <c r="AH174" s="71" t="str">
        <f>IF($G174="","",IF(ISNUMBER($A174),IF(ISNUMBER($A174),YEAR($A174)&amp;"-"&amp;TEXT(MONTH($A174),"00"),""),IF(ISNUMBER($L174),IF(ISNUMBER($L174),YEAR($L174)&amp;"-"&amp;TEXT(MONTH($L174),"00"),""),"")))</f>
        <v/>
      </c>
      <c r="AI174" s="71">
        <f>IF($G174="",0,IF(AND(OR(fClient="All",$C174=fClient),OR(fCampaign="All",$D174=fCampaign),OR(fTeam="All",$B174=fTeam),OR(fChannel="All",$F174=fChannel),OR(fMonth="All",$AH174=fMonth),OR(fTStatus="All",$M174=fTStatus)),1,0))</f>
        <v>0</v>
      </c>
      <c r="AJ174" s="71">
        <f>IF($G174="",0,IF(AND(OR(fClient="All",$C174=fClient),OR(fCampaign="All",$D174=fCampaign),OR(fTeam="All",$B174=fTeam),OR(fChannel="All",$F174=fChannel)),1,0))</f>
        <v>0</v>
      </c>
      <c r="AK174" s="71">
        <f>IF($G174="",0,IF(OR($M174="Completed",$M174="Cancelled"),0,1))</f>
        <v>0</v>
      </c>
      <c r="AL174" s="71">
        <f>IF(AND($AK174=1,ISNUMBER($L174)),IF($L174&lt;ReportDate,1,0),0)</f>
        <v>0</v>
      </c>
      <c r="AM174" s="71">
        <f>IF(AND($G174&lt;&gt;"",$M174="Blocked"),1,0)</f>
        <v>0</v>
      </c>
      <c r="AN174" s="71">
        <f>IF(AND($AK174=1,ISNUMBER($L174)),IF($L174=ReportDate,1,0),0)</f>
        <v>0</v>
      </c>
      <c r="AO174" s="71">
        <f>IF(AND($AK174=1,ISNUMBER($L174)),IF($L174=ReportDate+1,1,0),0)</f>
        <v>0</v>
      </c>
      <c r="AP174" s="71">
        <f>IF(AND($AK174=1,ISNUMBER($L174)),IF(AND($L174&gt;=ReportDate,$L174&lt;=ReportDate+DueSoonDays),1,0),0)</f>
        <v>0</v>
      </c>
      <c r="AQ174" s="71">
        <f>IF(AND($AK174=1,OR($I174="Critical",$I174="High")),1,0)</f>
        <v>0</v>
      </c>
      <c r="AR174" s="71">
        <f>IF($AK174=1,IF(ISNUMBER($Y174),IF(ReportDate-$Y174&gt;StaleDays,1,0),1),0)</f>
        <v>0</v>
      </c>
      <c r="AS174" s="71">
        <f>IF(AND($G174&lt;&gt;"",ISNUMBER($Q174),ISNUMBER($R174)),IF(AND($Q174&lt;$R174,OR($M174="Completed",AND(ISNUMBER($L174),$L174&lt;ReportDate))),1,0),0)</f>
        <v>0</v>
      </c>
      <c r="AT174" s="71">
        <f>IF($AK174=1,IF(OR($L174=ReportDate,$W174=ReportDate,$K174=ReportDate,$A174=ReportDate),1,0),0)</f>
        <v>0</v>
      </c>
      <c r="AU174" s="71">
        <f>IF($AK174=1,IF(OR($L174=ReportDate+1,$W174=ReportDate+1,$K174=ReportDate+1,$A174=ReportDate+1),1,0),0)</f>
        <v>0</v>
      </c>
      <c r="AV174" s="71">
        <f>IF(AND($G174&lt;&gt;"",$M174="Completed"),IF(OR($Y174=ReportDate-1,$A174=ReportDate-1),1,0),0)</f>
        <v>0</v>
      </c>
      <c r="AW174" s="71">
        <f>IF(AND($AK174=1,$Z174="Yes"),1,0)</f>
        <v>0</v>
      </c>
      <c r="AX174" s="71">
        <f>IF(AND($AK174=1,$AA174="Yes"),1,0)</f>
        <v>0</v>
      </c>
      <c r="AY174" s="71">
        <f>IF(AND($AM174=1,OR($I174="Critical",$I174="High")),1,0)</f>
        <v>0</v>
      </c>
      <c r="AZ174" s="71">
        <f>IF(AND($AK174=1,OR($C174=TCL_Client,$C174=MECCA_Client)),1,0)</f>
        <v>0</v>
      </c>
      <c r="BA174" s="71" t="str">
        <f>IF($G174="","",IFERROR(MATCH($I174,lst_Priority,0),5))</f>
        <v/>
      </c>
      <c r="BB174" s="71" t="str">
        <f>IF(AND($AL174=1,$AJ174=1),$BA174*100000+ROW(),"")</f>
        <v/>
      </c>
      <c r="BC174" s="71" t="str">
        <f>IF(AND($AM174=1,$AJ174=1),$BA174*100000+ROW(),"")</f>
        <v/>
      </c>
      <c r="BD174" s="71" t="str">
        <f>IF(AND($AP174=1,$AJ174=1),$BA174*100000+ROW(),"")</f>
        <v/>
      </c>
      <c r="BE174" s="71" t="str">
        <f>IF(AND($AT174=1,$AJ174=1),$BA174*100000+ROW(),"")</f>
        <v/>
      </c>
      <c r="BF174" s="71" t="str">
        <f>IF(AND($AU174=1,$AJ174=1),$BA174*100000+ROW(),"")</f>
        <v/>
      </c>
      <c r="BG174" s="71" t="str">
        <f>IF(AND($AV174=1,$AJ174=1),$BA174*100000+ROW(),"")</f>
        <v/>
      </c>
      <c r="BH174" s="71" t="str">
        <f>IF(AND($AW174=1,$AJ174=1),$BA174*100000+ROW(),"")</f>
        <v/>
      </c>
      <c r="BI174" s="71" t="str">
        <f>IF(AND($AX174=1,$AJ174=1),$BA174*100000+ROW(),"")</f>
        <v/>
      </c>
      <c r="BJ174" s="71" t="str">
        <f>IF(AND($AS174=1,$AJ174=1),$BA174*100000+ROW(),"")</f>
        <v/>
      </c>
      <c r="BK174" s="71" t="str">
        <f>IF(AND($AY174=1,$AJ174=1),$BA174*100000+ROW(),"")</f>
        <v/>
      </c>
      <c r="BL174" s="71" t="str">
        <f>IF(AND($AZ174=1),$BA174*100000+ROW(),"")</f>
        <v/>
      </c>
    </row>
    <row r="175">
      <c r="A175" s="63" t="n"/>
      <c r="B175" s="64" t="n"/>
      <c r="C175" s="64" t="n"/>
      <c r="D175" s="64" t="n"/>
      <c r="E175" s="64" t="n"/>
      <c r="F175" s="64" t="n"/>
      <c r="G175" s="65" t="n"/>
      <c r="H175" s="65" t="n"/>
      <c r="I175" s="64" t="n"/>
      <c r="J175" s="64" t="n"/>
      <c r="K175" s="63" t="n"/>
      <c r="L175" s="63" t="n"/>
      <c r="M175" s="64" t="n"/>
      <c r="N175" s="66" t="n"/>
      <c r="O175" s="65" t="n"/>
      <c r="P175" s="64" t="n"/>
      <c r="Q175" s="67" t="n"/>
      <c r="R175" s="67" t="n"/>
      <c r="S175" s="68" t="str">
        <f>IF(AND(ISNUMBER($Q175),ISNUMBER($R175)),$Q175-$R175,"")</f>
        <v/>
      </c>
      <c r="T175" s="65" t="n"/>
      <c r="U175" s="64" t="n"/>
      <c r="V175" s="65" t="n"/>
      <c r="W175" s="63" t="n"/>
      <c r="X175" s="65" t="n"/>
      <c r="Y175" s="63" t="n"/>
      <c r="Z175" s="64" t="n"/>
      <c r="AA175" s="64" t="n"/>
      <c r="AB175" s="65" t="n"/>
      <c r="AC175" s="69" t="str">
        <f>IF(OR($G175="",NOT(ISNUMBER($K175)),$AK175=0),"",MAX(0,ReportDate-$K175))</f>
        <v/>
      </c>
      <c r="AD175" s="69" t="str">
        <f>IF($G175="","",IF($AL175=1,ReportDate-$L175,0))</f>
        <v/>
      </c>
      <c r="AE175" s="70" t="str">
        <f>IF($G175="","",IF($M175="Completed",1,IF(ISNUMBER($N175),$N175,0)))</f>
        <v/>
      </c>
      <c r="AF175" s="70" t="str">
        <f>IF(AND(ISNUMBER($Q175),ISNUMBER($R175)),IF($R175&lt;&gt;0,$Q175/$R175,""),"")</f>
        <v/>
      </c>
      <c r="AG175" s="71" t="str">
        <f>IF($G175="","",IF($AL175=1,"OVERDUE",IF($AM175=1,"BLOCKED",IF($AN175=1,"DUE TODAY",IF($AO175=1,"DUE TOMORROW",IF($AQ175=1,"HIGH PRIORITY",IF($AR175=1,"NO RECENT UPDATE",""))))))) </f>
        <v/>
      </c>
      <c r="AH175" s="71" t="str">
        <f>IF($G175="","",IF(ISNUMBER($A175),IF(ISNUMBER($A175),YEAR($A175)&amp;"-"&amp;TEXT(MONTH($A175),"00"),""),IF(ISNUMBER($L175),IF(ISNUMBER($L175),YEAR($L175)&amp;"-"&amp;TEXT(MONTH($L175),"00"),""),"")))</f>
        <v/>
      </c>
      <c r="AI175" s="71">
        <f>IF($G175="",0,IF(AND(OR(fClient="All",$C175=fClient),OR(fCampaign="All",$D175=fCampaign),OR(fTeam="All",$B175=fTeam),OR(fChannel="All",$F175=fChannel),OR(fMonth="All",$AH175=fMonth),OR(fTStatus="All",$M175=fTStatus)),1,0))</f>
        <v>0</v>
      </c>
      <c r="AJ175" s="71">
        <f>IF($G175="",0,IF(AND(OR(fClient="All",$C175=fClient),OR(fCampaign="All",$D175=fCampaign),OR(fTeam="All",$B175=fTeam),OR(fChannel="All",$F175=fChannel)),1,0))</f>
        <v>0</v>
      </c>
      <c r="AK175" s="71">
        <f>IF($G175="",0,IF(OR($M175="Completed",$M175="Cancelled"),0,1))</f>
        <v>0</v>
      </c>
      <c r="AL175" s="71">
        <f>IF(AND($AK175=1,ISNUMBER($L175)),IF($L175&lt;ReportDate,1,0),0)</f>
        <v>0</v>
      </c>
      <c r="AM175" s="71">
        <f>IF(AND($G175&lt;&gt;"",$M175="Blocked"),1,0)</f>
        <v>0</v>
      </c>
      <c r="AN175" s="71">
        <f>IF(AND($AK175=1,ISNUMBER($L175)),IF($L175=ReportDate,1,0),0)</f>
        <v>0</v>
      </c>
      <c r="AO175" s="71">
        <f>IF(AND($AK175=1,ISNUMBER($L175)),IF($L175=ReportDate+1,1,0),0)</f>
        <v>0</v>
      </c>
      <c r="AP175" s="71">
        <f>IF(AND($AK175=1,ISNUMBER($L175)),IF(AND($L175&gt;=ReportDate,$L175&lt;=ReportDate+DueSoonDays),1,0),0)</f>
        <v>0</v>
      </c>
      <c r="AQ175" s="71">
        <f>IF(AND($AK175=1,OR($I175="Critical",$I175="High")),1,0)</f>
        <v>0</v>
      </c>
      <c r="AR175" s="71">
        <f>IF($AK175=1,IF(ISNUMBER($Y175),IF(ReportDate-$Y175&gt;StaleDays,1,0),1),0)</f>
        <v>0</v>
      </c>
      <c r="AS175" s="71">
        <f>IF(AND($G175&lt;&gt;"",ISNUMBER($Q175),ISNUMBER($R175)),IF(AND($Q175&lt;$R175,OR($M175="Completed",AND(ISNUMBER($L175),$L175&lt;ReportDate))),1,0),0)</f>
        <v>0</v>
      </c>
      <c r="AT175" s="71">
        <f>IF($AK175=1,IF(OR($L175=ReportDate,$W175=ReportDate,$K175=ReportDate,$A175=ReportDate),1,0),0)</f>
        <v>0</v>
      </c>
      <c r="AU175" s="71">
        <f>IF($AK175=1,IF(OR($L175=ReportDate+1,$W175=ReportDate+1,$K175=ReportDate+1,$A175=ReportDate+1),1,0),0)</f>
        <v>0</v>
      </c>
      <c r="AV175" s="71">
        <f>IF(AND($G175&lt;&gt;"",$M175="Completed"),IF(OR($Y175=ReportDate-1,$A175=ReportDate-1),1,0),0)</f>
        <v>0</v>
      </c>
      <c r="AW175" s="71">
        <f>IF(AND($AK175=1,$Z175="Yes"),1,0)</f>
        <v>0</v>
      </c>
      <c r="AX175" s="71">
        <f>IF(AND($AK175=1,$AA175="Yes"),1,0)</f>
        <v>0</v>
      </c>
      <c r="AY175" s="71">
        <f>IF(AND($AM175=1,OR($I175="Critical",$I175="High")),1,0)</f>
        <v>0</v>
      </c>
      <c r="AZ175" s="71">
        <f>IF(AND($AK175=1,OR($C175=TCL_Client,$C175=MECCA_Client)),1,0)</f>
        <v>0</v>
      </c>
      <c r="BA175" s="71" t="str">
        <f>IF($G175="","",IFERROR(MATCH($I175,lst_Priority,0),5))</f>
        <v/>
      </c>
      <c r="BB175" s="71" t="str">
        <f>IF(AND($AL175=1,$AJ175=1),$BA175*100000+ROW(),"")</f>
        <v/>
      </c>
      <c r="BC175" s="71" t="str">
        <f>IF(AND($AM175=1,$AJ175=1),$BA175*100000+ROW(),"")</f>
        <v/>
      </c>
      <c r="BD175" s="71" t="str">
        <f>IF(AND($AP175=1,$AJ175=1),$BA175*100000+ROW(),"")</f>
        <v/>
      </c>
      <c r="BE175" s="71" t="str">
        <f>IF(AND($AT175=1,$AJ175=1),$BA175*100000+ROW(),"")</f>
        <v/>
      </c>
      <c r="BF175" s="71" t="str">
        <f>IF(AND($AU175=1,$AJ175=1),$BA175*100000+ROW(),"")</f>
        <v/>
      </c>
      <c r="BG175" s="71" t="str">
        <f>IF(AND($AV175=1,$AJ175=1),$BA175*100000+ROW(),"")</f>
        <v/>
      </c>
      <c r="BH175" s="71" t="str">
        <f>IF(AND($AW175=1,$AJ175=1),$BA175*100000+ROW(),"")</f>
        <v/>
      </c>
      <c r="BI175" s="71" t="str">
        <f>IF(AND($AX175=1,$AJ175=1),$BA175*100000+ROW(),"")</f>
        <v/>
      </c>
      <c r="BJ175" s="71" t="str">
        <f>IF(AND($AS175=1,$AJ175=1),$BA175*100000+ROW(),"")</f>
        <v/>
      </c>
      <c r="BK175" s="71" t="str">
        <f>IF(AND($AY175=1,$AJ175=1),$BA175*100000+ROW(),"")</f>
        <v/>
      </c>
      <c r="BL175" s="71" t="str">
        <f>IF(AND($AZ175=1),$BA175*100000+ROW(),"")</f>
        <v/>
      </c>
    </row>
    <row r="176">
      <c r="A176" s="63" t="n"/>
      <c r="B176" s="64" t="n"/>
      <c r="C176" s="64" t="n"/>
      <c r="D176" s="64" t="n"/>
      <c r="E176" s="64" t="n"/>
      <c r="F176" s="64" t="n"/>
      <c r="G176" s="65" t="n"/>
      <c r="H176" s="65" t="n"/>
      <c r="I176" s="64" t="n"/>
      <c r="J176" s="64" t="n"/>
      <c r="K176" s="63" t="n"/>
      <c r="L176" s="63" t="n"/>
      <c r="M176" s="64" t="n"/>
      <c r="N176" s="66" t="n"/>
      <c r="O176" s="65" t="n"/>
      <c r="P176" s="64" t="n"/>
      <c r="Q176" s="67" t="n"/>
      <c r="R176" s="67" t="n"/>
      <c r="S176" s="68" t="str">
        <f>IF(AND(ISNUMBER($Q176),ISNUMBER($R176)),$Q176-$R176,"")</f>
        <v/>
      </c>
      <c r="T176" s="65" t="n"/>
      <c r="U176" s="64" t="n"/>
      <c r="V176" s="65" t="n"/>
      <c r="W176" s="63" t="n"/>
      <c r="X176" s="65" t="n"/>
      <c r="Y176" s="63" t="n"/>
      <c r="Z176" s="64" t="n"/>
      <c r="AA176" s="64" t="n"/>
      <c r="AB176" s="65" t="n"/>
      <c r="AC176" s="69" t="str">
        <f>IF(OR($G176="",NOT(ISNUMBER($K176)),$AK176=0),"",MAX(0,ReportDate-$K176))</f>
        <v/>
      </c>
      <c r="AD176" s="69" t="str">
        <f>IF($G176="","",IF($AL176=1,ReportDate-$L176,0))</f>
        <v/>
      </c>
      <c r="AE176" s="70" t="str">
        <f>IF($G176="","",IF($M176="Completed",1,IF(ISNUMBER($N176),$N176,0)))</f>
        <v/>
      </c>
      <c r="AF176" s="70" t="str">
        <f>IF(AND(ISNUMBER($Q176),ISNUMBER($R176)),IF($R176&lt;&gt;0,$Q176/$R176,""),"")</f>
        <v/>
      </c>
      <c r="AG176" s="71" t="str">
        <f>IF($G176="","",IF($AL176=1,"OVERDUE",IF($AM176=1,"BLOCKED",IF($AN176=1,"DUE TODAY",IF($AO176=1,"DUE TOMORROW",IF($AQ176=1,"HIGH PRIORITY",IF($AR176=1,"NO RECENT UPDATE",""))))))) </f>
        <v/>
      </c>
      <c r="AH176" s="71" t="str">
        <f>IF($G176="","",IF(ISNUMBER($A176),IF(ISNUMBER($A176),YEAR($A176)&amp;"-"&amp;TEXT(MONTH($A176),"00"),""),IF(ISNUMBER($L176),IF(ISNUMBER($L176),YEAR($L176)&amp;"-"&amp;TEXT(MONTH($L176),"00"),""),"")))</f>
        <v/>
      </c>
      <c r="AI176" s="71">
        <f>IF($G176="",0,IF(AND(OR(fClient="All",$C176=fClient),OR(fCampaign="All",$D176=fCampaign),OR(fTeam="All",$B176=fTeam),OR(fChannel="All",$F176=fChannel),OR(fMonth="All",$AH176=fMonth),OR(fTStatus="All",$M176=fTStatus)),1,0))</f>
        <v>0</v>
      </c>
      <c r="AJ176" s="71">
        <f>IF($G176="",0,IF(AND(OR(fClient="All",$C176=fClient),OR(fCampaign="All",$D176=fCampaign),OR(fTeam="All",$B176=fTeam),OR(fChannel="All",$F176=fChannel)),1,0))</f>
        <v>0</v>
      </c>
      <c r="AK176" s="71">
        <f>IF($G176="",0,IF(OR($M176="Completed",$M176="Cancelled"),0,1))</f>
        <v>0</v>
      </c>
      <c r="AL176" s="71">
        <f>IF(AND($AK176=1,ISNUMBER($L176)),IF($L176&lt;ReportDate,1,0),0)</f>
        <v>0</v>
      </c>
      <c r="AM176" s="71">
        <f>IF(AND($G176&lt;&gt;"",$M176="Blocked"),1,0)</f>
        <v>0</v>
      </c>
      <c r="AN176" s="71">
        <f>IF(AND($AK176=1,ISNUMBER($L176)),IF($L176=ReportDate,1,0),0)</f>
        <v>0</v>
      </c>
      <c r="AO176" s="71">
        <f>IF(AND($AK176=1,ISNUMBER($L176)),IF($L176=ReportDate+1,1,0),0)</f>
        <v>0</v>
      </c>
      <c r="AP176" s="71">
        <f>IF(AND($AK176=1,ISNUMBER($L176)),IF(AND($L176&gt;=ReportDate,$L176&lt;=ReportDate+DueSoonDays),1,0),0)</f>
        <v>0</v>
      </c>
      <c r="AQ176" s="71">
        <f>IF(AND($AK176=1,OR($I176="Critical",$I176="High")),1,0)</f>
        <v>0</v>
      </c>
      <c r="AR176" s="71">
        <f>IF($AK176=1,IF(ISNUMBER($Y176),IF(ReportDate-$Y176&gt;StaleDays,1,0),1),0)</f>
        <v>0</v>
      </c>
      <c r="AS176" s="71">
        <f>IF(AND($G176&lt;&gt;"",ISNUMBER($Q176),ISNUMBER($R176)),IF(AND($Q176&lt;$R176,OR($M176="Completed",AND(ISNUMBER($L176),$L176&lt;ReportDate))),1,0),0)</f>
        <v>0</v>
      </c>
      <c r="AT176" s="71">
        <f>IF($AK176=1,IF(OR($L176=ReportDate,$W176=ReportDate,$K176=ReportDate,$A176=ReportDate),1,0),0)</f>
        <v>0</v>
      </c>
      <c r="AU176" s="71">
        <f>IF($AK176=1,IF(OR($L176=ReportDate+1,$W176=ReportDate+1,$K176=ReportDate+1,$A176=ReportDate+1),1,0),0)</f>
        <v>0</v>
      </c>
      <c r="AV176" s="71">
        <f>IF(AND($G176&lt;&gt;"",$M176="Completed"),IF(OR($Y176=ReportDate-1,$A176=ReportDate-1),1,0),0)</f>
        <v>0</v>
      </c>
      <c r="AW176" s="71">
        <f>IF(AND($AK176=1,$Z176="Yes"),1,0)</f>
        <v>0</v>
      </c>
      <c r="AX176" s="71">
        <f>IF(AND($AK176=1,$AA176="Yes"),1,0)</f>
        <v>0</v>
      </c>
      <c r="AY176" s="71">
        <f>IF(AND($AM176=1,OR($I176="Critical",$I176="High")),1,0)</f>
        <v>0</v>
      </c>
      <c r="AZ176" s="71">
        <f>IF(AND($AK176=1,OR($C176=TCL_Client,$C176=MECCA_Client)),1,0)</f>
        <v>0</v>
      </c>
      <c r="BA176" s="71" t="str">
        <f>IF($G176="","",IFERROR(MATCH($I176,lst_Priority,0),5))</f>
        <v/>
      </c>
      <c r="BB176" s="71" t="str">
        <f>IF(AND($AL176=1,$AJ176=1),$BA176*100000+ROW(),"")</f>
        <v/>
      </c>
      <c r="BC176" s="71" t="str">
        <f>IF(AND($AM176=1,$AJ176=1),$BA176*100000+ROW(),"")</f>
        <v/>
      </c>
      <c r="BD176" s="71" t="str">
        <f>IF(AND($AP176=1,$AJ176=1),$BA176*100000+ROW(),"")</f>
        <v/>
      </c>
      <c r="BE176" s="71" t="str">
        <f>IF(AND($AT176=1,$AJ176=1),$BA176*100000+ROW(),"")</f>
        <v/>
      </c>
      <c r="BF176" s="71" t="str">
        <f>IF(AND($AU176=1,$AJ176=1),$BA176*100000+ROW(),"")</f>
        <v/>
      </c>
      <c r="BG176" s="71" t="str">
        <f>IF(AND($AV176=1,$AJ176=1),$BA176*100000+ROW(),"")</f>
        <v/>
      </c>
      <c r="BH176" s="71" t="str">
        <f>IF(AND($AW176=1,$AJ176=1),$BA176*100000+ROW(),"")</f>
        <v/>
      </c>
      <c r="BI176" s="71" t="str">
        <f>IF(AND($AX176=1,$AJ176=1),$BA176*100000+ROW(),"")</f>
        <v/>
      </c>
      <c r="BJ176" s="71" t="str">
        <f>IF(AND($AS176=1,$AJ176=1),$BA176*100000+ROW(),"")</f>
        <v/>
      </c>
      <c r="BK176" s="71" t="str">
        <f>IF(AND($AY176=1,$AJ176=1),$BA176*100000+ROW(),"")</f>
        <v/>
      </c>
      <c r="BL176" s="71" t="str">
        <f>IF(AND($AZ176=1),$BA176*100000+ROW(),"")</f>
        <v/>
      </c>
    </row>
    <row r="177">
      <c r="A177" s="63" t="n"/>
      <c r="B177" s="64" t="n"/>
      <c r="C177" s="64" t="n"/>
      <c r="D177" s="64" t="n"/>
      <c r="E177" s="64" t="n"/>
      <c r="F177" s="64" t="n"/>
      <c r="G177" s="65" t="n"/>
      <c r="H177" s="65" t="n"/>
      <c r="I177" s="64" t="n"/>
      <c r="J177" s="64" t="n"/>
      <c r="K177" s="63" t="n"/>
      <c r="L177" s="63" t="n"/>
      <c r="M177" s="64" t="n"/>
      <c r="N177" s="66" t="n"/>
      <c r="O177" s="65" t="n"/>
      <c r="P177" s="64" t="n"/>
      <c r="Q177" s="67" t="n"/>
      <c r="R177" s="67" t="n"/>
      <c r="S177" s="68" t="str">
        <f>IF(AND(ISNUMBER($Q177),ISNUMBER($R177)),$Q177-$R177,"")</f>
        <v/>
      </c>
      <c r="T177" s="65" t="n"/>
      <c r="U177" s="64" t="n"/>
      <c r="V177" s="65" t="n"/>
      <c r="W177" s="63" t="n"/>
      <c r="X177" s="65" t="n"/>
      <c r="Y177" s="63" t="n"/>
      <c r="Z177" s="64" t="n"/>
      <c r="AA177" s="64" t="n"/>
      <c r="AB177" s="65" t="n"/>
      <c r="AC177" s="69" t="str">
        <f>IF(OR($G177="",NOT(ISNUMBER($K177)),$AK177=0),"",MAX(0,ReportDate-$K177))</f>
        <v/>
      </c>
      <c r="AD177" s="69" t="str">
        <f>IF($G177="","",IF($AL177=1,ReportDate-$L177,0))</f>
        <v/>
      </c>
      <c r="AE177" s="70" t="str">
        <f>IF($G177="","",IF($M177="Completed",1,IF(ISNUMBER($N177),$N177,0)))</f>
        <v/>
      </c>
      <c r="AF177" s="70" t="str">
        <f>IF(AND(ISNUMBER($Q177),ISNUMBER($R177)),IF($R177&lt;&gt;0,$Q177/$R177,""),"")</f>
        <v/>
      </c>
      <c r="AG177" s="71" t="str">
        <f>IF($G177="","",IF($AL177=1,"OVERDUE",IF($AM177=1,"BLOCKED",IF($AN177=1,"DUE TODAY",IF($AO177=1,"DUE TOMORROW",IF($AQ177=1,"HIGH PRIORITY",IF($AR177=1,"NO RECENT UPDATE",""))))))) </f>
        <v/>
      </c>
      <c r="AH177" s="71" t="str">
        <f>IF($G177="","",IF(ISNUMBER($A177),IF(ISNUMBER($A177),YEAR($A177)&amp;"-"&amp;TEXT(MONTH($A177),"00"),""),IF(ISNUMBER($L177),IF(ISNUMBER($L177),YEAR($L177)&amp;"-"&amp;TEXT(MONTH($L177),"00"),""),"")))</f>
        <v/>
      </c>
      <c r="AI177" s="71">
        <f>IF($G177="",0,IF(AND(OR(fClient="All",$C177=fClient),OR(fCampaign="All",$D177=fCampaign),OR(fTeam="All",$B177=fTeam),OR(fChannel="All",$F177=fChannel),OR(fMonth="All",$AH177=fMonth),OR(fTStatus="All",$M177=fTStatus)),1,0))</f>
        <v>0</v>
      </c>
      <c r="AJ177" s="71">
        <f>IF($G177="",0,IF(AND(OR(fClient="All",$C177=fClient),OR(fCampaign="All",$D177=fCampaign),OR(fTeam="All",$B177=fTeam),OR(fChannel="All",$F177=fChannel)),1,0))</f>
        <v>0</v>
      </c>
      <c r="AK177" s="71">
        <f>IF($G177="",0,IF(OR($M177="Completed",$M177="Cancelled"),0,1))</f>
        <v>0</v>
      </c>
      <c r="AL177" s="71">
        <f>IF(AND($AK177=1,ISNUMBER($L177)),IF($L177&lt;ReportDate,1,0),0)</f>
        <v>0</v>
      </c>
      <c r="AM177" s="71">
        <f>IF(AND($G177&lt;&gt;"",$M177="Blocked"),1,0)</f>
        <v>0</v>
      </c>
      <c r="AN177" s="71">
        <f>IF(AND($AK177=1,ISNUMBER($L177)),IF($L177=ReportDate,1,0),0)</f>
        <v>0</v>
      </c>
      <c r="AO177" s="71">
        <f>IF(AND($AK177=1,ISNUMBER($L177)),IF($L177=ReportDate+1,1,0),0)</f>
        <v>0</v>
      </c>
      <c r="AP177" s="71">
        <f>IF(AND($AK177=1,ISNUMBER($L177)),IF(AND($L177&gt;=ReportDate,$L177&lt;=ReportDate+DueSoonDays),1,0),0)</f>
        <v>0</v>
      </c>
      <c r="AQ177" s="71">
        <f>IF(AND($AK177=1,OR($I177="Critical",$I177="High")),1,0)</f>
        <v>0</v>
      </c>
      <c r="AR177" s="71">
        <f>IF($AK177=1,IF(ISNUMBER($Y177),IF(ReportDate-$Y177&gt;StaleDays,1,0),1),0)</f>
        <v>0</v>
      </c>
      <c r="AS177" s="71">
        <f>IF(AND($G177&lt;&gt;"",ISNUMBER($Q177),ISNUMBER($R177)),IF(AND($Q177&lt;$R177,OR($M177="Completed",AND(ISNUMBER($L177),$L177&lt;ReportDate))),1,0),0)</f>
        <v>0</v>
      </c>
      <c r="AT177" s="71">
        <f>IF($AK177=1,IF(OR($L177=ReportDate,$W177=ReportDate,$K177=ReportDate,$A177=ReportDate),1,0),0)</f>
        <v>0</v>
      </c>
      <c r="AU177" s="71">
        <f>IF($AK177=1,IF(OR($L177=ReportDate+1,$W177=ReportDate+1,$K177=ReportDate+1,$A177=ReportDate+1),1,0),0)</f>
        <v>0</v>
      </c>
      <c r="AV177" s="71">
        <f>IF(AND($G177&lt;&gt;"",$M177="Completed"),IF(OR($Y177=ReportDate-1,$A177=ReportDate-1),1,0),0)</f>
        <v>0</v>
      </c>
      <c r="AW177" s="71">
        <f>IF(AND($AK177=1,$Z177="Yes"),1,0)</f>
        <v>0</v>
      </c>
      <c r="AX177" s="71">
        <f>IF(AND($AK177=1,$AA177="Yes"),1,0)</f>
        <v>0</v>
      </c>
      <c r="AY177" s="71">
        <f>IF(AND($AM177=1,OR($I177="Critical",$I177="High")),1,0)</f>
        <v>0</v>
      </c>
      <c r="AZ177" s="71">
        <f>IF(AND($AK177=1,OR($C177=TCL_Client,$C177=MECCA_Client)),1,0)</f>
        <v>0</v>
      </c>
      <c r="BA177" s="71" t="str">
        <f>IF($G177="","",IFERROR(MATCH($I177,lst_Priority,0),5))</f>
        <v/>
      </c>
      <c r="BB177" s="71" t="str">
        <f>IF(AND($AL177=1,$AJ177=1),$BA177*100000+ROW(),"")</f>
        <v/>
      </c>
      <c r="BC177" s="71" t="str">
        <f>IF(AND($AM177=1,$AJ177=1),$BA177*100000+ROW(),"")</f>
        <v/>
      </c>
      <c r="BD177" s="71" t="str">
        <f>IF(AND($AP177=1,$AJ177=1),$BA177*100000+ROW(),"")</f>
        <v/>
      </c>
      <c r="BE177" s="71" t="str">
        <f>IF(AND($AT177=1,$AJ177=1),$BA177*100000+ROW(),"")</f>
        <v/>
      </c>
      <c r="BF177" s="71" t="str">
        <f>IF(AND($AU177=1,$AJ177=1),$BA177*100000+ROW(),"")</f>
        <v/>
      </c>
      <c r="BG177" s="71" t="str">
        <f>IF(AND($AV177=1,$AJ177=1),$BA177*100000+ROW(),"")</f>
        <v/>
      </c>
      <c r="BH177" s="71" t="str">
        <f>IF(AND($AW177=1,$AJ177=1),$BA177*100000+ROW(),"")</f>
        <v/>
      </c>
      <c r="BI177" s="71" t="str">
        <f>IF(AND($AX177=1,$AJ177=1),$BA177*100000+ROW(),"")</f>
        <v/>
      </c>
      <c r="BJ177" s="71" t="str">
        <f>IF(AND($AS177=1,$AJ177=1),$BA177*100000+ROW(),"")</f>
        <v/>
      </c>
      <c r="BK177" s="71" t="str">
        <f>IF(AND($AY177=1,$AJ177=1),$BA177*100000+ROW(),"")</f>
        <v/>
      </c>
      <c r="BL177" s="71" t="str">
        <f>IF(AND($AZ177=1),$BA177*100000+ROW(),"")</f>
        <v/>
      </c>
    </row>
    <row r="178">
      <c r="A178" s="63" t="n"/>
      <c r="B178" s="64" t="n"/>
      <c r="C178" s="64" t="n"/>
      <c r="D178" s="64" t="n"/>
      <c r="E178" s="64" t="n"/>
      <c r="F178" s="64" t="n"/>
      <c r="G178" s="65" t="n"/>
      <c r="H178" s="65" t="n"/>
      <c r="I178" s="64" t="n"/>
      <c r="J178" s="64" t="n"/>
      <c r="K178" s="63" t="n"/>
      <c r="L178" s="63" t="n"/>
      <c r="M178" s="64" t="n"/>
      <c r="N178" s="66" t="n"/>
      <c r="O178" s="65" t="n"/>
      <c r="P178" s="64" t="n"/>
      <c r="Q178" s="67" t="n"/>
      <c r="R178" s="67" t="n"/>
      <c r="S178" s="68" t="str">
        <f>IF(AND(ISNUMBER($Q178),ISNUMBER($R178)),$Q178-$R178,"")</f>
        <v/>
      </c>
      <c r="T178" s="65" t="n"/>
      <c r="U178" s="64" t="n"/>
      <c r="V178" s="65" t="n"/>
      <c r="W178" s="63" t="n"/>
      <c r="X178" s="65" t="n"/>
      <c r="Y178" s="63" t="n"/>
      <c r="Z178" s="64" t="n"/>
      <c r="AA178" s="64" t="n"/>
      <c r="AB178" s="65" t="n"/>
      <c r="AC178" s="69" t="str">
        <f>IF(OR($G178="",NOT(ISNUMBER($K178)),$AK178=0),"",MAX(0,ReportDate-$K178))</f>
        <v/>
      </c>
      <c r="AD178" s="69" t="str">
        <f>IF($G178="","",IF($AL178=1,ReportDate-$L178,0))</f>
        <v/>
      </c>
      <c r="AE178" s="70" t="str">
        <f>IF($G178="","",IF($M178="Completed",1,IF(ISNUMBER($N178),$N178,0)))</f>
        <v/>
      </c>
      <c r="AF178" s="70" t="str">
        <f>IF(AND(ISNUMBER($Q178),ISNUMBER($R178)),IF($R178&lt;&gt;0,$Q178/$R178,""),"")</f>
        <v/>
      </c>
      <c r="AG178" s="71" t="str">
        <f>IF($G178="","",IF($AL178=1,"OVERDUE",IF($AM178=1,"BLOCKED",IF($AN178=1,"DUE TODAY",IF($AO178=1,"DUE TOMORROW",IF($AQ178=1,"HIGH PRIORITY",IF($AR178=1,"NO RECENT UPDATE",""))))))) </f>
        <v/>
      </c>
      <c r="AH178" s="71" t="str">
        <f>IF($G178="","",IF(ISNUMBER($A178),IF(ISNUMBER($A178),YEAR($A178)&amp;"-"&amp;TEXT(MONTH($A178),"00"),""),IF(ISNUMBER($L178),IF(ISNUMBER($L178),YEAR($L178)&amp;"-"&amp;TEXT(MONTH($L178),"00"),""),"")))</f>
        <v/>
      </c>
      <c r="AI178" s="71">
        <f>IF($G178="",0,IF(AND(OR(fClient="All",$C178=fClient),OR(fCampaign="All",$D178=fCampaign),OR(fTeam="All",$B178=fTeam),OR(fChannel="All",$F178=fChannel),OR(fMonth="All",$AH178=fMonth),OR(fTStatus="All",$M178=fTStatus)),1,0))</f>
        <v>0</v>
      </c>
      <c r="AJ178" s="71">
        <f>IF($G178="",0,IF(AND(OR(fClient="All",$C178=fClient),OR(fCampaign="All",$D178=fCampaign),OR(fTeam="All",$B178=fTeam),OR(fChannel="All",$F178=fChannel)),1,0))</f>
        <v>0</v>
      </c>
      <c r="AK178" s="71">
        <f>IF($G178="",0,IF(OR($M178="Completed",$M178="Cancelled"),0,1))</f>
        <v>0</v>
      </c>
      <c r="AL178" s="71">
        <f>IF(AND($AK178=1,ISNUMBER($L178)),IF($L178&lt;ReportDate,1,0),0)</f>
        <v>0</v>
      </c>
      <c r="AM178" s="71">
        <f>IF(AND($G178&lt;&gt;"",$M178="Blocked"),1,0)</f>
        <v>0</v>
      </c>
      <c r="AN178" s="71">
        <f>IF(AND($AK178=1,ISNUMBER($L178)),IF($L178=ReportDate,1,0),0)</f>
        <v>0</v>
      </c>
      <c r="AO178" s="71">
        <f>IF(AND($AK178=1,ISNUMBER($L178)),IF($L178=ReportDate+1,1,0),0)</f>
        <v>0</v>
      </c>
      <c r="AP178" s="71">
        <f>IF(AND($AK178=1,ISNUMBER($L178)),IF(AND($L178&gt;=ReportDate,$L178&lt;=ReportDate+DueSoonDays),1,0),0)</f>
        <v>0</v>
      </c>
      <c r="AQ178" s="71">
        <f>IF(AND($AK178=1,OR($I178="Critical",$I178="High")),1,0)</f>
        <v>0</v>
      </c>
      <c r="AR178" s="71">
        <f>IF($AK178=1,IF(ISNUMBER($Y178),IF(ReportDate-$Y178&gt;StaleDays,1,0),1),0)</f>
        <v>0</v>
      </c>
      <c r="AS178" s="71">
        <f>IF(AND($G178&lt;&gt;"",ISNUMBER($Q178),ISNUMBER($R178)),IF(AND($Q178&lt;$R178,OR($M178="Completed",AND(ISNUMBER($L178),$L178&lt;ReportDate))),1,0),0)</f>
        <v>0</v>
      </c>
      <c r="AT178" s="71">
        <f>IF($AK178=1,IF(OR($L178=ReportDate,$W178=ReportDate,$K178=ReportDate,$A178=ReportDate),1,0),0)</f>
        <v>0</v>
      </c>
      <c r="AU178" s="71">
        <f>IF($AK178=1,IF(OR($L178=ReportDate+1,$W178=ReportDate+1,$K178=ReportDate+1,$A178=ReportDate+1),1,0),0)</f>
        <v>0</v>
      </c>
      <c r="AV178" s="71">
        <f>IF(AND($G178&lt;&gt;"",$M178="Completed"),IF(OR($Y178=ReportDate-1,$A178=ReportDate-1),1,0),0)</f>
        <v>0</v>
      </c>
      <c r="AW178" s="71">
        <f>IF(AND($AK178=1,$Z178="Yes"),1,0)</f>
        <v>0</v>
      </c>
      <c r="AX178" s="71">
        <f>IF(AND($AK178=1,$AA178="Yes"),1,0)</f>
        <v>0</v>
      </c>
      <c r="AY178" s="71">
        <f>IF(AND($AM178=1,OR($I178="Critical",$I178="High")),1,0)</f>
        <v>0</v>
      </c>
      <c r="AZ178" s="71">
        <f>IF(AND($AK178=1,OR($C178=TCL_Client,$C178=MECCA_Client)),1,0)</f>
        <v>0</v>
      </c>
      <c r="BA178" s="71" t="str">
        <f>IF($G178="","",IFERROR(MATCH($I178,lst_Priority,0),5))</f>
        <v/>
      </c>
      <c r="BB178" s="71" t="str">
        <f>IF(AND($AL178=1,$AJ178=1),$BA178*100000+ROW(),"")</f>
        <v/>
      </c>
      <c r="BC178" s="71" t="str">
        <f>IF(AND($AM178=1,$AJ178=1),$BA178*100000+ROW(),"")</f>
        <v/>
      </c>
      <c r="BD178" s="71" t="str">
        <f>IF(AND($AP178=1,$AJ178=1),$BA178*100000+ROW(),"")</f>
        <v/>
      </c>
      <c r="BE178" s="71" t="str">
        <f>IF(AND($AT178=1,$AJ178=1),$BA178*100000+ROW(),"")</f>
        <v/>
      </c>
      <c r="BF178" s="71" t="str">
        <f>IF(AND($AU178=1,$AJ178=1),$BA178*100000+ROW(),"")</f>
        <v/>
      </c>
      <c r="BG178" s="71" t="str">
        <f>IF(AND($AV178=1,$AJ178=1),$BA178*100000+ROW(),"")</f>
        <v/>
      </c>
      <c r="BH178" s="71" t="str">
        <f>IF(AND($AW178=1,$AJ178=1),$BA178*100000+ROW(),"")</f>
        <v/>
      </c>
      <c r="BI178" s="71" t="str">
        <f>IF(AND($AX178=1,$AJ178=1),$BA178*100000+ROW(),"")</f>
        <v/>
      </c>
      <c r="BJ178" s="71" t="str">
        <f>IF(AND($AS178=1,$AJ178=1),$BA178*100000+ROW(),"")</f>
        <v/>
      </c>
      <c r="BK178" s="71" t="str">
        <f>IF(AND($AY178=1,$AJ178=1),$BA178*100000+ROW(),"")</f>
        <v/>
      </c>
      <c r="BL178" s="71" t="str">
        <f>IF(AND($AZ178=1),$BA178*100000+ROW(),"")</f>
        <v/>
      </c>
    </row>
    <row r="179">
      <c r="A179" s="63" t="n"/>
      <c r="B179" s="64" t="n"/>
      <c r="C179" s="64" t="n"/>
      <c r="D179" s="64" t="n"/>
      <c r="E179" s="64" t="n"/>
      <c r="F179" s="64" t="n"/>
      <c r="G179" s="65" t="n"/>
      <c r="H179" s="65" t="n"/>
      <c r="I179" s="64" t="n"/>
      <c r="J179" s="64" t="n"/>
      <c r="K179" s="63" t="n"/>
      <c r="L179" s="63" t="n"/>
      <c r="M179" s="64" t="n"/>
      <c r="N179" s="66" t="n"/>
      <c r="O179" s="65" t="n"/>
      <c r="P179" s="64" t="n"/>
      <c r="Q179" s="67" t="n"/>
      <c r="R179" s="67" t="n"/>
      <c r="S179" s="68" t="str">
        <f>IF(AND(ISNUMBER($Q179),ISNUMBER($R179)),$Q179-$R179,"")</f>
        <v/>
      </c>
      <c r="T179" s="65" t="n"/>
      <c r="U179" s="64" t="n"/>
      <c r="V179" s="65" t="n"/>
      <c r="W179" s="63" t="n"/>
      <c r="X179" s="65" t="n"/>
      <c r="Y179" s="63" t="n"/>
      <c r="Z179" s="64" t="n"/>
      <c r="AA179" s="64" t="n"/>
      <c r="AB179" s="65" t="n"/>
      <c r="AC179" s="69" t="str">
        <f>IF(OR($G179="",NOT(ISNUMBER($K179)),$AK179=0),"",MAX(0,ReportDate-$K179))</f>
        <v/>
      </c>
      <c r="AD179" s="69" t="str">
        <f>IF($G179="","",IF($AL179=1,ReportDate-$L179,0))</f>
        <v/>
      </c>
      <c r="AE179" s="70" t="str">
        <f>IF($G179="","",IF($M179="Completed",1,IF(ISNUMBER($N179),$N179,0)))</f>
        <v/>
      </c>
      <c r="AF179" s="70" t="str">
        <f>IF(AND(ISNUMBER($Q179),ISNUMBER($R179)),IF($R179&lt;&gt;0,$Q179/$R179,""),"")</f>
        <v/>
      </c>
      <c r="AG179" s="71" t="str">
        <f>IF($G179="","",IF($AL179=1,"OVERDUE",IF($AM179=1,"BLOCKED",IF($AN179=1,"DUE TODAY",IF($AO179=1,"DUE TOMORROW",IF($AQ179=1,"HIGH PRIORITY",IF($AR179=1,"NO RECENT UPDATE",""))))))) </f>
        <v/>
      </c>
      <c r="AH179" s="71" t="str">
        <f>IF($G179="","",IF(ISNUMBER($A179),IF(ISNUMBER($A179),YEAR($A179)&amp;"-"&amp;TEXT(MONTH($A179),"00"),""),IF(ISNUMBER($L179),IF(ISNUMBER($L179),YEAR($L179)&amp;"-"&amp;TEXT(MONTH($L179),"00"),""),"")))</f>
        <v/>
      </c>
      <c r="AI179" s="71">
        <f>IF($G179="",0,IF(AND(OR(fClient="All",$C179=fClient),OR(fCampaign="All",$D179=fCampaign),OR(fTeam="All",$B179=fTeam),OR(fChannel="All",$F179=fChannel),OR(fMonth="All",$AH179=fMonth),OR(fTStatus="All",$M179=fTStatus)),1,0))</f>
        <v>0</v>
      </c>
      <c r="AJ179" s="71">
        <f>IF($G179="",0,IF(AND(OR(fClient="All",$C179=fClient),OR(fCampaign="All",$D179=fCampaign),OR(fTeam="All",$B179=fTeam),OR(fChannel="All",$F179=fChannel)),1,0))</f>
        <v>0</v>
      </c>
      <c r="AK179" s="71">
        <f>IF($G179="",0,IF(OR($M179="Completed",$M179="Cancelled"),0,1))</f>
        <v>0</v>
      </c>
      <c r="AL179" s="71">
        <f>IF(AND($AK179=1,ISNUMBER($L179)),IF($L179&lt;ReportDate,1,0),0)</f>
        <v>0</v>
      </c>
      <c r="AM179" s="71">
        <f>IF(AND($G179&lt;&gt;"",$M179="Blocked"),1,0)</f>
        <v>0</v>
      </c>
      <c r="AN179" s="71">
        <f>IF(AND($AK179=1,ISNUMBER($L179)),IF($L179=ReportDate,1,0),0)</f>
        <v>0</v>
      </c>
      <c r="AO179" s="71">
        <f>IF(AND($AK179=1,ISNUMBER($L179)),IF($L179=ReportDate+1,1,0),0)</f>
        <v>0</v>
      </c>
      <c r="AP179" s="71">
        <f>IF(AND($AK179=1,ISNUMBER($L179)),IF(AND($L179&gt;=ReportDate,$L179&lt;=ReportDate+DueSoonDays),1,0),0)</f>
        <v>0</v>
      </c>
      <c r="AQ179" s="71">
        <f>IF(AND($AK179=1,OR($I179="Critical",$I179="High")),1,0)</f>
        <v>0</v>
      </c>
      <c r="AR179" s="71">
        <f>IF($AK179=1,IF(ISNUMBER($Y179),IF(ReportDate-$Y179&gt;StaleDays,1,0),1),0)</f>
        <v>0</v>
      </c>
      <c r="AS179" s="71">
        <f>IF(AND($G179&lt;&gt;"",ISNUMBER($Q179),ISNUMBER($R179)),IF(AND($Q179&lt;$R179,OR($M179="Completed",AND(ISNUMBER($L179),$L179&lt;ReportDate))),1,0),0)</f>
        <v>0</v>
      </c>
      <c r="AT179" s="71">
        <f>IF($AK179=1,IF(OR($L179=ReportDate,$W179=ReportDate,$K179=ReportDate,$A179=ReportDate),1,0),0)</f>
        <v>0</v>
      </c>
      <c r="AU179" s="71">
        <f>IF($AK179=1,IF(OR($L179=ReportDate+1,$W179=ReportDate+1,$K179=ReportDate+1,$A179=ReportDate+1),1,0),0)</f>
        <v>0</v>
      </c>
      <c r="AV179" s="71">
        <f>IF(AND($G179&lt;&gt;"",$M179="Completed"),IF(OR($Y179=ReportDate-1,$A179=ReportDate-1),1,0),0)</f>
        <v>0</v>
      </c>
      <c r="AW179" s="71">
        <f>IF(AND($AK179=1,$Z179="Yes"),1,0)</f>
        <v>0</v>
      </c>
      <c r="AX179" s="71">
        <f>IF(AND($AK179=1,$AA179="Yes"),1,0)</f>
        <v>0</v>
      </c>
      <c r="AY179" s="71">
        <f>IF(AND($AM179=1,OR($I179="Critical",$I179="High")),1,0)</f>
        <v>0</v>
      </c>
      <c r="AZ179" s="71">
        <f>IF(AND($AK179=1,OR($C179=TCL_Client,$C179=MECCA_Client)),1,0)</f>
        <v>0</v>
      </c>
      <c r="BA179" s="71" t="str">
        <f>IF($G179="","",IFERROR(MATCH($I179,lst_Priority,0),5))</f>
        <v/>
      </c>
      <c r="BB179" s="71" t="str">
        <f>IF(AND($AL179=1,$AJ179=1),$BA179*100000+ROW(),"")</f>
        <v/>
      </c>
      <c r="BC179" s="71" t="str">
        <f>IF(AND($AM179=1,$AJ179=1),$BA179*100000+ROW(),"")</f>
        <v/>
      </c>
      <c r="BD179" s="71" t="str">
        <f>IF(AND($AP179=1,$AJ179=1),$BA179*100000+ROW(),"")</f>
        <v/>
      </c>
      <c r="BE179" s="71" t="str">
        <f>IF(AND($AT179=1,$AJ179=1),$BA179*100000+ROW(),"")</f>
        <v/>
      </c>
      <c r="BF179" s="71" t="str">
        <f>IF(AND($AU179=1,$AJ179=1),$BA179*100000+ROW(),"")</f>
        <v/>
      </c>
      <c r="BG179" s="71" t="str">
        <f>IF(AND($AV179=1,$AJ179=1),$BA179*100000+ROW(),"")</f>
        <v/>
      </c>
      <c r="BH179" s="71" t="str">
        <f>IF(AND($AW179=1,$AJ179=1),$BA179*100000+ROW(),"")</f>
        <v/>
      </c>
      <c r="BI179" s="71" t="str">
        <f>IF(AND($AX179=1,$AJ179=1),$BA179*100000+ROW(),"")</f>
        <v/>
      </c>
      <c r="BJ179" s="71" t="str">
        <f>IF(AND($AS179=1,$AJ179=1),$BA179*100000+ROW(),"")</f>
        <v/>
      </c>
      <c r="BK179" s="71" t="str">
        <f>IF(AND($AY179=1,$AJ179=1),$BA179*100000+ROW(),"")</f>
        <v/>
      </c>
      <c r="BL179" s="71" t="str">
        <f>IF(AND($AZ179=1),$BA179*100000+ROW(),"")</f>
        <v/>
      </c>
    </row>
    <row r="180">
      <c r="A180" s="63" t="n"/>
      <c r="B180" s="64" t="n"/>
      <c r="C180" s="64" t="n"/>
      <c r="D180" s="64" t="n"/>
      <c r="E180" s="64" t="n"/>
      <c r="F180" s="64" t="n"/>
      <c r="G180" s="65" t="n"/>
      <c r="H180" s="65" t="n"/>
      <c r="I180" s="64" t="n"/>
      <c r="J180" s="64" t="n"/>
      <c r="K180" s="63" t="n"/>
      <c r="L180" s="63" t="n"/>
      <c r="M180" s="64" t="n"/>
      <c r="N180" s="66" t="n"/>
      <c r="O180" s="65" t="n"/>
      <c r="P180" s="64" t="n"/>
      <c r="Q180" s="67" t="n"/>
      <c r="R180" s="67" t="n"/>
      <c r="S180" s="68" t="str">
        <f>IF(AND(ISNUMBER($Q180),ISNUMBER($R180)),$Q180-$R180,"")</f>
        <v/>
      </c>
      <c r="T180" s="65" t="n"/>
      <c r="U180" s="64" t="n"/>
      <c r="V180" s="65" t="n"/>
      <c r="W180" s="63" t="n"/>
      <c r="X180" s="65" t="n"/>
      <c r="Y180" s="63" t="n"/>
      <c r="Z180" s="64" t="n"/>
      <c r="AA180" s="64" t="n"/>
      <c r="AB180" s="65" t="n"/>
      <c r="AC180" s="69" t="str">
        <f>IF(OR($G180="",NOT(ISNUMBER($K180)),$AK180=0),"",MAX(0,ReportDate-$K180))</f>
        <v/>
      </c>
      <c r="AD180" s="69" t="str">
        <f>IF($G180="","",IF($AL180=1,ReportDate-$L180,0))</f>
        <v/>
      </c>
      <c r="AE180" s="70" t="str">
        <f>IF($G180="","",IF($M180="Completed",1,IF(ISNUMBER($N180),$N180,0)))</f>
        <v/>
      </c>
      <c r="AF180" s="70" t="str">
        <f>IF(AND(ISNUMBER($Q180),ISNUMBER($R180)),IF($R180&lt;&gt;0,$Q180/$R180,""),"")</f>
        <v/>
      </c>
      <c r="AG180" s="71" t="str">
        <f>IF($G180="","",IF($AL180=1,"OVERDUE",IF($AM180=1,"BLOCKED",IF($AN180=1,"DUE TODAY",IF($AO180=1,"DUE TOMORROW",IF($AQ180=1,"HIGH PRIORITY",IF($AR180=1,"NO RECENT UPDATE",""))))))) </f>
        <v/>
      </c>
      <c r="AH180" s="71" t="str">
        <f>IF($G180="","",IF(ISNUMBER($A180),IF(ISNUMBER($A180),YEAR($A180)&amp;"-"&amp;TEXT(MONTH($A180),"00"),""),IF(ISNUMBER($L180),IF(ISNUMBER($L180),YEAR($L180)&amp;"-"&amp;TEXT(MONTH($L180),"00"),""),"")))</f>
        <v/>
      </c>
      <c r="AI180" s="71">
        <f>IF($G180="",0,IF(AND(OR(fClient="All",$C180=fClient),OR(fCampaign="All",$D180=fCampaign),OR(fTeam="All",$B180=fTeam),OR(fChannel="All",$F180=fChannel),OR(fMonth="All",$AH180=fMonth),OR(fTStatus="All",$M180=fTStatus)),1,0))</f>
        <v>0</v>
      </c>
      <c r="AJ180" s="71">
        <f>IF($G180="",0,IF(AND(OR(fClient="All",$C180=fClient),OR(fCampaign="All",$D180=fCampaign),OR(fTeam="All",$B180=fTeam),OR(fChannel="All",$F180=fChannel)),1,0))</f>
        <v>0</v>
      </c>
      <c r="AK180" s="71">
        <f>IF($G180="",0,IF(OR($M180="Completed",$M180="Cancelled"),0,1))</f>
        <v>0</v>
      </c>
      <c r="AL180" s="71">
        <f>IF(AND($AK180=1,ISNUMBER($L180)),IF($L180&lt;ReportDate,1,0),0)</f>
        <v>0</v>
      </c>
      <c r="AM180" s="71">
        <f>IF(AND($G180&lt;&gt;"",$M180="Blocked"),1,0)</f>
        <v>0</v>
      </c>
      <c r="AN180" s="71">
        <f>IF(AND($AK180=1,ISNUMBER($L180)),IF($L180=ReportDate,1,0),0)</f>
        <v>0</v>
      </c>
      <c r="AO180" s="71">
        <f>IF(AND($AK180=1,ISNUMBER($L180)),IF($L180=ReportDate+1,1,0),0)</f>
        <v>0</v>
      </c>
      <c r="AP180" s="71">
        <f>IF(AND($AK180=1,ISNUMBER($L180)),IF(AND($L180&gt;=ReportDate,$L180&lt;=ReportDate+DueSoonDays),1,0),0)</f>
        <v>0</v>
      </c>
      <c r="AQ180" s="71">
        <f>IF(AND($AK180=1,OR($I180="Critical",$I180="High")),1,0)</f>
        <v>0</v>
      </c>
      <c r="AR180" s="71">
        <f>IF($AK180=1,IF(ISNUMBER($Y180),IF(ReportDate-$Y180&gt;StaleDays,1,0),1),0)</f>
        <v>0</v>
      </c>
      <c r="AS180" s="71">
        <f>IF(AND($G180&lt;&gt;"",ISNUMBER($Q180),ISNUMBER($R180)),IF(AND($Q180&lt;$R180,OR($M180="Completed",AND(ISNUMBER($L180),$L180&lt;ReportDate))),1,0),0)</f>
        <v>0</v>
      </c>
      <c r="AT180" s="71">
        <f>IF($AK180=1,IF(OR($L180=ReportDate,$W180=ReportDate,$K180=ReportDate,$A180=ReportDate),1,0),0)</f>
        <v>0</v>
      </c>
      <c r="AU180" s="71">
        <f>IF($AK180=1,IF(OR($L180=ReportDate+1,$W180=ReportDate+1,$K180=ReportDate+1,$A180=ReportDate+1),1,0),0)</f>
        <v>0</v>
      </c>
      <c r="AV180" s="71">
        <f>IF(AND($G180&lt;&gt;"",$M180="Completed"),IF(OR($Y180=ReportDate-1,$A180=ReportDate-1),1,0),0)</f>
        <v>0</v>
      </c>
      <c r="AW180" s="71">
        <f>IF(AND($AK180=1,$Z180="Yes"),1,0)</f>
        <v>0</v>
      </c>
      <c r="AX180" s="71">
        <f>IF(AND($AK180=1,$AA180="Yes"),1,0)</f>
        <v>0</v>
      </c>
      <c r="AY180" s="71">
        <f>IF(AND($AM180=1,OR($I180="Critical",$I180="High")),1,0)</f>
        <v>0</v>
      </c>
      <c r="AZ180" s="71">
        <f>IF(AND($AK180=1,OR($C180=TCL_Client,$C180=MECCA_Client)),1,0)</f>
        <v>0</v>
      </c>
      <c r="BA180" s="71" t="str">
        <f>IF($G180="","",IFERROR(MATCH($I180,lst_Priority,0),5))</f>
        <v/>
      </c>
      <c r="BB180" s="71" t="str">
        <f>IF(AND($AL180=1,$AJ180=1),$BA180*100000+ROW(),"")</f>
        <v/>
      </c>
      <c r="BC180" s="71" t="str">
        <f>IF(AND($AM180=1,$AJ180=1),$BA180*100000+ROW(),"")</f>
        <v/>
      </c>
      <c r="BD180" s="71" t="str">
        <f>IF(AND($AP180=1,$AJ180=1),$BA180*100000+ROW(),"")</f>
        <v/>
      </c>
      <c r="BE180" s="71" t="str">
        <f>IF(AND($AT180=1,$AJ180=1),$BA180*100000+ROW(),"")</f>
        <v/>
      </c>
      <c r="BF180" s="71" t="str">
        <f>IF(AND($AU180=1,$AJ180=1),$BA180*100000+ROW(),"")</f>
        <v/>
      </c>
      <c r="BG180" s="71" t="str">
        <f>IF(AND($AV180=1,$AJ180=1),$BA180*100000+ROW(),"")</f>
        <v/>
      </c>
      <c r="BH180" s="71" t="str">
        <f>IF(AND($AW180=1,$AJ180=1),$BA180*100000+ROW(),"")</f>
        <v/>
      </c>
      <c r="BI180" s="71" t="str">
        <f>IF(AND($AX180=1,$AJ180=1),$BA180*100000+ROW(),"")</f>
        <v/>
      </c>
      <c r="BJ180" s="71" t="str">
        <f>IF(AND($AS180=1,$AJ180=1),$BA180*100000+ROW(),"")</f>
        <v/>
      </c>
      <c r="BK180" s="71" t="str">
        <f>IF(AND($AY180=1,$AJ180=1),$BA180*100000+ROW(),"")</f>
        <v/>
      </c>
      <c r="BL180" s="71" t="str">
        <f>IF(AND($AZ180=1),$BA180*100000+ROW(),"")</f>
        <v/>
      </c>
    </row>
    <row r="181">
      <c r="A181" s="63" t="n"/>
      <c r="B181" s="64" t="n"/>
      <c r="C181" s="64" t="n"/>
      <c r="D181" s="64" t="n"/>
      <c r="E181" s="64" t="n"/>
      <c r="F181" s="64" t="n"/>
      <c r="G181" s="65" t="n"/>
      <c r="H181" s="65" t="n"/>
      <c r="I181" s="64" t="n"/>
      <c r="J181" s="64" t="n"/>
      <c r="K181" s="63" t="n"/>
      <c r="L181" s="63" t="n"/>
      <c r="M181" s="64" t="n"/>
      <c r="N181" s="66" t="n"/>
      <c r="O181" s="65" t="n"/>
      <c r="P181" s="64" t="n"/>
      <c r="Q181" s="67" t="n"/>
      <c r="R181" s="67" t="n"/>
      <c r="S181" s="68" t="str">
        <f>IF(AND(ISNUMBER($Q181),ISNUMBER($R181)),$Q181-$R181,"")</f>
        <v/>
      </c>
      <c r="T181" s="65" t="n"/>
      <c r="U181" s="64" t="n"/>
      <c r="V181" s="65" t="n"/>
      <c r="W181" s="63" t="n"/>
      <c r="X181" s="65" t="n"/>
      <c r="Y181" s="63" t="n"/>
      <c r="Z181" s="64" t="n"/>
      <c r="AA181" s="64" t="n"/>
      <c r="AB181" s="65" t="n"/>
      <c r="AC181" s="69" t="str">
        <f>IF(OR($G181="",NOT(ISNUMBER($K181)),$AK181=0),"",MAX(0,ReportDate-$K181))</f>
        <v/>
      </c>
      <c r="AD181" s="69" t="str">
        <f>IF($G181="","",IF($AL181=1,ReportDate-$L181,0))</f>
        <v/>
      </c>
      <c r="AE181" s="70" t="str">
        <f>IF($G181="","",IF($M181="Completed",1,IF(ISNUMBER($N181),$N181,0)))</f>
        <v/>
      </c>
      <c r="AF181" s="70" t="str">
        <f>IF(AND(ISNUMBER($Q181),ISNUMBER($R181)),IF($R181&lt;&gt;0,$Q181/$R181,""),"")</f>
        <v/>
      </c>
      <c r="AG181" s="71" t="str">
        <f>IF($G181="","",IF($AL181=1,"OVERDUE",IF($AM181=1,"BLOCKED",IF($AN181=1,"DUE TODAY",IF($AO181=1,"DUE TOMORROW",IF($AQ181=1,"HIGH PRIORITY",IF($AR181=1,"NO RECENT UPDATE",""))))))) </f>
        <v/>
      </c>
      <c r="AH181" s="71" t="str">
        <f>IF($G181="","",IF(ISNUMBER($A181),IF(ISNUMBER($A181),YEAR($A181)&amp;"-"&amp;TEXT(MONTH($A181),"00"),""),IF(ISNUMBER($L181),IF(ISNUMBER($L181),YEAR($L181)&amp;"-"&amp;TEXT(MONTH($L181),"00"),""),"")))</f>
        <v/>
      </c>
      <c r="AI181" s="71">
        <f>IF($G181="",0,IF(AND(OR(fClient="All",$C181=fClient),OR(fCampaign="All",$D181=fCampaign),OR(fTeam="All",$B181=fTeam),OR(fChannel="All",$F181=fChannel),OR(fMonth="All",$AH181=fMonth),OR(fTStatus="All",$M181=fTStatus)),1,0))</f>
        <v>0</v>
      </c>
      <c r="AJ181" s="71">
        <f>IF($G181="",0,IF(AND(OR(fClient="All",$C181=fClient),OR(fCampaign="All",$D181=fCampaign),OR(fTeam="All",$B181=fTeam),OR(fChannel="All",$F181=fChannel)),1,0))</f>
        <v>0</v>
      </c>
      <c r="AK181" s="71">
        <f>IF($G181="",0,IF(OR($M181="Completed",$M181="Cancelled"),0,1))</f>
        <v>0</v>
      </c>
      <c r="AL181" s="71">
        <f>IF(AND($AK181=1,ISNUMBER($L181)),IF($L181&lt;ReportDate,1,0),0)</f>
        <v>0</v>
      </c>
      <c r="AM181" s="71">
        <f>IF(AND($G181&lt;&gt;"",$M181="Blocked"),1,0)</f>
        <v>0</v>
      </c>
      <c r="AN181" s="71">
        <f>IF(AND($AK181=1,ISNUMBER($L181)),IF($L181=ReportDate,1,0),0)</f>
        <v>0</v>
      </c>
      <c r="AO181" s="71">
        <f>IF(AND($AK181=1,ISNUMBER($L181)),IF($L181=ReportDate+1,1,0),0)</f>
        <v>0</v>
      </c>
      <c r="AP181" s="71">
        <f>IF(AND($AK181=1,ISNUMBER($L181)),IF(AND($L181&gt;=ReportDate,$L181&lt;=ReportDate+DueSoonDays),1,0),0)</f>
        <v>0</v>
      </c>
      <c r="AQ181" s="71">
        <f>IF(AND($AK181=1,OR($I181="Critical",$I181="High")),1,0)</f>
        <v>0</v>
      </c>
      <c r="AR181" s="71">
        <f>IF($AK181=1,IF(ISNUMBER($Y181),IF(ReportDate-$Y181&gt;StaleDays,1,0),1),0)</f>
        <v>0</v>
      </c>
      <c r="AS181" s="71">
        <f>IF(AND($G181&lt;&gt;"",ISNUMBER($Q181),ISNUMBER($R181)),IF(AND($Q181&lt;$R181,OR($M181="Completed",AND(ISNUMBER($L181),$L181&lt;ReportDate))),1,0),0)</f>
        <v>0</v>
      </c>
      <c r="AT181" s="71">
        <f>IF($AK181=1,IF(OR($L181=ReportDate,$W181=ReportDate,$K181=ReportDate,$A181=ReportDate),1,0),0)</f>
        <v>0</v>
      </c>
      <c r="AU181" s="71">
        <f>IF($AK181=1,IF(OR($L181=ReportDate+1,$W181=ReportDate+1,$K181=ReportDate+1,$A181=ReportDate+1),1,0),0)</f>
        <v>0</v>
      </c>
      <c r="AV181" s="71">
        <f>IF(AND($G181&lt;&gt;"",$M181="Completed"),IF(OR($Y181=ReportDate-1,$A181=ReportDate-1),1,0),0)</f>
        <v>0</v>
      </c>
      <c r="AW181" s="71">
        <f>IF(AND($AK181=1,$Z181="Yes"),1,0)</f>
        <v>0</v>
      </c>
      <c r="AX181" s="71">
        <f>IF(AND($AK181=1,$AA181="Yes"),1,0)</f>
        <v>0</v>
      </c>
      <c r="AY181" s="71">
        <f>IF(AND($AM181=1,OR($I181="Critical",$I181="High")),1,0)</f>
        <v>0</v>
      </c>
      <c r="AZ181" s="71">
        <f>IF(AND($AK181=1,OR($C181=TCL_Client,$C181=MECCA_Client)),1,0)</f>
        <v>0</v>
      </c>
      <c r="BA181" s="71" t="str">
        <f>IF($G181="","",IFERROR(MATCH($I181,lst_Priority,0),5))</f>
        <v/>
      </c>
      <c r="BB181" s="71" t="str">
        <f>IF(AND($AL181=1,$AJ181=1),$BA181*100000+ROW(),"")</f>
        <v/>
      </c>
      <c r="BC181" s="71" t="str">
        <f>IF(AND($AM181=1,$AJ181=1),$BA181*100000+ROW(),"")</f>
        <v/>
      </c>
      <c r="BD181" s="71" t="str">
        <f>IF(AND($AP181=1,$AJ181=1),$BA181*100000+ROW(),"")</f>
        <v/>
      </c>
      <c r="BE181" s="71" t="str">
        <f>IF(AND($AT181=1,$AJ181=1),$BA181*100000+ROW(),"")</f>
        <v/>
      </c>
      <c r="BF181" s="71" t="str">
        <f>IF(AND($AU181=1,$AJ181=1),$BA181*100000+ROW(),"")</f>
        <v/>
      </c>
      <c r="BG181" s="71" t="str">
        <f>IF(AND($AV181=1,$AJ181=1),$BA181*100000+ROW(),"")</f>
        <v/>
      </c>
      <c r="BH181" s="71" t="str">
        <f>IF(AND($AW181=1,$AJ181=1),$BA181*100000+ROW(),"")</f>
        <v/>
      </c>
      <c r="BI181" s="71" t="str">
        <f>IF(AND($AX181=1,$AJ181=1),$BA181*100000+ROW(),"")</f>
        <v/>
      </c>
      <c r="BJ181" s="71" t="str">
        <f>IF(AND($AS181=1,$AJ181=1),$BA181*100000+ROW(),"")</f>
        <v/>
      </c>
      <c r="BK181" s="71" t="str">
        <f>IF(AND($AY181=1,$AJ181=1),$BA181*100000+ROW(),"")</f>
        <v/>
      </c>
      <c r="BL181" s="71" t="str">
        <f>IF(AND($AZ181=1),$BA181*100000+ROW(),"")</f>
        <v/>
      </c>
    </row>
    <row r="182">
      <c r="A182" s="63" t="n"/>
      <c r="B182" s="64" t="n"/>
      <c r="C182" s="64" t="n"/>
      <c r="D182" s="64" t="n"/>
      <c r="E182" s="64" t="n"/>
      <c r="F182" s="64" t="n"/>
      <c r="G182" s="65" t="n"/>
      <c r="H182" s="65" t="n"/>
      <c r="I182" s="64" t="n"/>
      <c r="J182" s="64" t="n"/>
      <c r="K182" s="63" t="n"/>
      <c r="L182" s="63" t="n"/>
      <c r="M182" s="64" t="n"/>
      <c r="N182" s="66" t="n"/>
      <c r="O182" s="65" t="n"/>
      <c r="P182" s="64" t="n"/>
      <c r="Q182" s="67" t="n"/>
      <c r="R182" s="67" t="n"/>
      <c r="S182" s="68" t="str">
        <f>IF(AND(ISNUMBER($Q182),ISNUMBER($R182)),$Q182-$R182,"")</f>
        <v/>
      </c>
      <c r="T182" s="65" t="n"/>
      <c r="U182" s="64" t="n"/>
      <c r="V182" s="65" t="n"/>
      <c r="W182" s="63" t="n"/>
      <c r="X182" s="65" t="n"/>
      <c r="Y182" s="63" t="n"/>
      <c r="Z182" s="64" t="n"/>
      <c r="AA182" s="64" t="n"/>
      <c r="AB182" s="65" t="n"/>
      <c r="AC182" s="69" t="str">
        <f>IF(OR($G182="",NOT(ISNUMBER($K182)),$AK182=0),"",MAX(0,ReportDate-$K182))</f>
        <v/>
      </c>
      <c r="AD182" s="69" t="str">
        <f>IF($G182="","",IF($AL182=1,ReportDate-$L182,0))</f>
        <v/>
      </c>
      <c r="AE182" s="70" t="str">
        <f>IF($G182="","",IF($M182="Completed",1,IF(ISNUMBER($N182),$N182,0)))</f>
        <v/>
      </c>
      <c r="AF182" s="70" t="str">
        <f>IF(AND(ISNUMBER($Q182),ISNUMBER($R182)),IF($R182&lt;&gt;0,$Q182/$R182,""),"")</f>
        <v/>
      </c>
      <c r="AG182" s="71" t="str">
        <f>IF($G182="","",IF($AL182=1,"OVERDUE",IF($AM182=1,"BLOCKED",IF($AN182=1,"DUE TODAY",IF($AO182=1,"DUE TOMORROW",IF($AQ182=1,"HIGH PRIORITY",IF($AR182=1,"NO RECENT UPDATE",""))))))) </f>
        <v/>
      </c>
      <c r="AH182" s="71" t="str">
        <f>IF($G182="","",IF(ISNUMBER($A182),IF(ISNUMBER($A182),YEAR($A182)&amp;"-"&amp;TEXT(MONTH($A182),"00"),""),IF(ISNUMBER($L182),IF(ISNUMBER($L182),YEAR($L182)&amp;"-"&amp;TEXT(MONTH($L182),"00"),""),"")))</f>
        <v/>
      </c>
      <c r="AI182" s="71">
        <f>IF($G182="",0,IF(AND(OR(fClient="All",$C182=fClient),OR(fCampaign="All",$D182=fCampaign),OR(fTeam="All",$B182=fTeam),OR(fChannel="All",$F182=fChannel),OR(fMonth="All",$AH182=fMonth),OR(fTStatus="All",$M182=fTStatus)),1,0))</f>
        <v>0</v>
      </c>
      <c r="AJ182" s="71">
        <f>IF($G182="",0,IF(AND(OR(fClient="All",$C182=fClient),OR(fCampaign="All",$D182=fCampaign),OR(fTeam="All",$B182=fTeam),OR(fChannel="All",$F182=fChannel)),1,0))</f>
        <v>0</v>
      </c>
      <c r="AK182" s="71">
        <f>IF($G182="",0,IF(OR($M182="Completed",$M182="Cancelled"),0,1))</f>
        <v>0</v>
      </c>
      <c r="AL182" s="71">
        <f>IF(AND($AK182=1,ISNUMBER($L182)),IF($L182&lt;ReportDate,1,0),0)</f>
        <v>0</v>
      </c>
      <c r="AM182" s="71">
        <f>IF(AND($G182&lt;&gt;"",$M182="Blocked"),1,0)</f>
        <v>0</v>
      </c>
      <c r="AN182" s="71">
        <f>IF(AND($AK182=1,ISNUMBER($L182)),IF($L182=ReportDate,1,0),0)</f>
        <v>0</v>
      </c>
      <c r="AO182" s="71">
        <f>IF(AND($AK182=1,ISNUMBER($L182)),IF($L182=ReportDate+1,1,0),0)</f>
        <v>0</v>
      </c>
      <c r="AP182" s="71">
        <f>IF(AND($AK182=1,ISNUMBER($L182)),IF(AND($L182&gt;=ReportDate,$L182&lt;=ReportDate+DueSoonDays),1,0),0)</f>
        <v>0</v>
      </c>
      <c r="AQ182" s="71">
        <f>IF(AND($AK182=1,OR($I182="Critical",$I182="High")),1,0)</f>
        <v>0</v>
      </c>
      <c r="AR182" s="71">
        <f>IF($AK182=1,IF(ISNUMBER($Y182),IF(ReportDate-$Y182&gt;StaleDays,1,0),1),0)</f>
        <v>0</v>
      </c>
      <c r="AS182" s="71">
        <f>IF(AND($G182&lt;&gt;"",ISNUMBER($Q182),ISNUMBER($R182)),IF(AND($Q182&lt;$R182,OR($M182="Completed",AND(ISNUMBER($L182),$L182&lt;ReportDate))),1,0),0)</f>
        <v>0</v>
      </c>
      <c r="AT182" s="71">
        <f>IF($AK182=1,IF(OR($L182=ReportDate,$W182=ReportDate,$K182=ReportDate,$A182=ReportDate),1,0),0)</f>
        <v>0</v>
      </c>
      <c r="AU182" s="71">
        <f>IF($AK182=1,IF(OR($L182=ReportDate+1,$W182=ReportDate+1,$K182=ReportDate+1,$A182=ReportDate+1),1,0),0)</f>
        <v>0</v>
      </c>
      <c r="AV182" s="71">
        <f>IF(AND($G182&lt;&gt;"",$M182="Completed"),IF(OR($Y182=ReportDate-1,$A182=ReportDate-1),1,0),0)</f>
        <v>0</v>
      </c>
      <c r="AW182" s="71">
        <f>IF(AND($AK182=1,$Z182="Yes"),1,0)</f>
        <v>0</v>
      </c>
      <c r="AX182" s="71">
        <f>IF(AND($AK182=1,$AA182="Yes"),1,0)</f>
        <v>0</v>
      </c>
      <c r="AY182" s="71">
        <f>IF(AND($AM182=1,OR($I182="Critical",$I182="High")),1,0)</f>
        <v>0</v>
      </c>
      <c r="AZ182" s="71">
        <f>IF(AND($AK182=1,OR($C182=TCL_Client,$C182=MECCA_Client)),1,0)</f>
        <v>0</v>
      </c>
      <c r="BA182" s="71" t="str">
        <f>IF($G182="","",IFERROR(MATCH($I182,lst_Priority,0),5))</f>
        <v/>
      </c>
      <c r="BB182" s="71" t="str">
        <f>IF(AND($AL182=1,$AJ182=1),$BA182*100000+ROW(),"")</f>
        <v/>
      </c>
      <c r="BC182" s="71" t="str">
        <f>IF(AND($AM182=1,$AJ182=1),$BA182*100000+ROW(),"")</f>
        <v/>
      </c>
      <c r="BD182" s="71" t="str">
        <f>IF(AND($AP182=1,$AJ182=1),$BA182*100000+ROW(),"")</f>
        <v/>
      </c>
      <c r="BE182" s="71" t="str">
        <f>IF(AND($AT182=1,$AJ182=1),$BA182*100000+ROW(),"")</f>
        <v/>
      </c>
      <c r="BF182" s="71" t="str">
        <f>IF(AND($AU182=1,$AJ182=1),$BA182*100000+ROW(),"")</f>
        <v/>
      </c>
      <c r="BG182" s="71" t="str">
        <f>IF(AND($AV182=1,$AJ182=1),$BA182*100000+ROW(),"")</f>
        <v/>
      </c>
      <c r="BH182" s="71" t="str">
        <f>IF(AND($AW182=1,$AJ182=1),$BA182*100000+ROW(),"")</f>
        <v/>
      </c>
      <c r="BI182" s="71" t="str">
        <f>IF(AND($AX182=1,$AJ182=1),$BA182*100000+ROW(),"")</f>
        <v/>
      </c>
      <c r="BJ182" s="71" t="str">
        <f>IF(AND($AS182=1,$AJ182=1),$BA182*100000+ROW(),"")</f>
        <v/>
      </c>
      <c r="BK182" s="71" t="str">
        <f>IF(AND($AY182=1,$AJ182=1),$BA182*100000+ROW(),"")</f>
        <v/>
      </c>
      <c r="BL182" s="71" t="str">
        <f>IF(AND($AZ182=1),$BA182*100000+ROW(),"")</f>
        <v/>
      </c>
    </row>
    <row r="183">
      <c r="A183" s="63" t="n"/>
      <c r="B183" s="64" t="n"/>
      <c r="C183" s="64" t="n"/>
      <c r="D183" s="64" t="n"/>
      <c r="E183" s="64" t="n"/>
      <c r="F183" s="64" t="n"/>
      <c r="G183" s="65" t="n"/>
      <c r="H183" s="65" t="n"/>
      <c r="I183" s="64" t="n"/>
      <c r="J183" s="64" t="n"/>
      <c r="K183" s="63" t="n"/>
      <c r="L183" s="63" t="n"/>
      <c r="M183" s="64" t="n"/>
      <c r="N183" s="66" t="n"/>
      <c r="O183" s="65" t="n"/>
      <c r="P183" s="64" t="n"/>
      <c r="Q183" s="67" t="n"/>
      <c r="R183" s="67" t="n"/>
      <c r="S183" s="68" t="str">
        <f>IF(AND(ISNUMBER($Q183),ISNUMBER($R183)),$Q183-$R183,"")</f>
        <v/>
      </c>
      <c r="T183" s="65" t="n"/>
      <c r="U183" s="64" t="n"/>
      <c r="V183" s="65" t="n"/>
      <c r="W183" s="63" t="n"/>
      <c r="X183" s="65" t="n"/>
      <c r="Y183" s="63" t="n"/>
      <c r="Z183" s="64" t="n"/>
      <c r="AA183" s="64" t="n"/>
      <c r="AB183" s="65" t="n"/>
      <c r="AC183" s="69" t="str">
        <f>IF(OR($G183="",NOT(ISNUMBER($K183)),$AK183=0),"",MAX(0,ReportDate-$K183))</f>
        <v/>
      </c>
      <c r="AD183" s="69" t="str">
        <f>IF($G183="","",IF($AL183=1,ReportDate-$L183,0))</f>
        <v/>
      </c>
      <c r="AE183" s="70" t="str">
        <f>IF($G183="","",IF($M183="Completed",1,IF(ISNUMBER($N183),$N183,0)))</f>
        <v/>
      </c>
      <c r="AF183" s="70" t="str">
        <f>IF(AND(ISNUMBER($Q183),ISNUMBER($R183)),IF($R183&lt;&gt;0,$Q183/$R183,""),"")</f>
        <v/>
      </c>
      <c r="AG183" s="71" t="str">
        <f>IF($G183="","",IF($AL183=1,"OVERDUE",IF($AM183=1,"BLOCKED",IF($AN183=1,"DUE TODAY",IF($AO183=1,"DUE TOMORROW",IF($AQ183=1,"HIGH PRIORITY",IF($AR183=1,"NO RECENT UPDATE",""))))))) </f>
        <v/>
      </c>
      <c r="AH183" s="71" t="str">
        <f>IF($G183="","",IF(ISNUMBER($A183),IF(ISNUMBER($A183),YEAR($A183)&amp;"-"&amp;TEXT(MONTH($A183),"00"),""),IF(ISNUMBER($L183),IF(ISNUMBER($L183),YEAR($L183)&amp;"-"&amp;TEXT(MONTH($L183),"00"),""),"")))</f>
        <v/>
      </c>
      <c r="AI183" s="71">
        <f>IF($G183="",0,IF(AND(OR(fClient="All",$C183=fClient),OR(fCampaign="All",$D183=fCampaign),OR(fTeam="All",$B183=fTeam),OR(fChannel="All",$F183=fChannel),OR(fMonth="All",$AH183=fMonth),OR(fTStatus="All",$M183=fTStatus)),1,0))</f>
        <v>0</v>
      </c>
      <c r="AJ183" s="71">
        <f>IF($G183="",0,IF(AND(OR(fClient="All",$C183=fClient),OR(fCampaign="All",$D183=fCampaign),OR(fTeam="All",$B183=fTeam),OR(fChannel="All",$F183=fChannel)),1,0))</f>
        <v>0</v>
      </c>
      <c r="AK183" s="71">
        <f>IF($G183="",0,IF(OR($M183="Completed",$M183="Cancelled"),0,1))</f>
        <v>0</v>
      </c>
      <c r="AL183" s="71">
        <f>IF(AND($AK183=1,ISNUMBER($L183)),IF($L183&lt;ReportDate,1,0),0)</f>
        <v>0</v>
      </c>
      <c r="AM183" s="71">
        <f>IF(AND($G183&lt;&gt;"",$M183="Blocked"),1,0)</f>
        <v>0</v>
      </c>
      <c r="AN183" s="71">
        <f>IF(AND($AK183=1,ISNUMBER($L183)),IF($L183=ReportDate,1,0),0)</f>
        <v>0</v>
      </c>
      <c r="AO183" s="71">
        <f>IF(AND($AK183=1,ISNUMBER($L183)),IF($L183=ReportDate+1,1,0),0)</f>
        <v>0</v>
      </c>
      <c r="AP183" s="71">
        <f>IF(AND($AK183=1,ISNUMBER($L183)),IF(AND($L183&gt;=ReportDate,$L183&lt;=ReportDate+DueSoonDays),1,0),0)</f>
        <v>0</v>
      </c>
      <c r="AQ183" s="71">
        <f>IF(AND($AK183=1,OR($I183="Critical",$I183="High")),1,0)</f>
        <v>0</v>
      </c>
      <c r="AR183" s="71">
        <f>IF($AK183=1,IF(ISNUMBER($Y183),IF(ReportDate-$Y183&gt;StaleDays,1,0),1),0)</f>
        <v>0</v>
      </c>
      <c r="AS183" s="71">
        <f>IF(AND($G183&lt;&gt;"",ISNUMBER($Q183),ISNUMBER($R183)),IF(AND($Q183&lt;$R183,OR($M183="Completed",AND(ISNUMBER($L183),$L183&lt;ReportDate))),1,0),0)</f>
        <v>0</v>
      </c>
      <c r="AT183" s="71">
        <f>IF($AK183=1,IF(OR($L183=ReportDate,$W183=ReportDate,$K183=ReportDate,$A183=ReportDate),1,0),0)</f>
        <v>0</v>
      </c>
      <c r="AU183" s="71">
        <f>IF($AK183=1,IF(OR($L183=ReportDate+1,$W183=ReportDate+1,$K183=ReportDate+1,$A183=ReportDate+1),1,0),0)</f>
        <v>0</v>
      </c>
      <c r="AV183" s="71">
        <f>IF(AND($G183&lt;&gt;"",$M183="Completed"),IF(OR($Y183=ReportDate-1,$A183=ReportDate-1),1,0),0)</f>
        <v>0</v>
      </c>
      <c r="AW183" s="71">
        <f>IF(AND($AK183=1,$Z183="Yes"),1,0)</f>
        <v>0</v>
      </c>
      <c r="AX183" s="71">
        <f>IF(AND($AK183=1,$AA183="Yes"),1,0)</f>
        <v>0</v>
      </c>
      <c r="AY183" s="71">
        <f>IF(AND($AM183=1,OR($I183="Critical",$I183="High")),1,0)</f>
        <v>0</v>
      </c>
      <c r="AZ183" s="71">
        <f>IF(AND($AK183=1,OR($C183=TCL_Client,$C183=MECCA_Client)),1,0)</f>
        <v>0</v>
      </c>
      <c r="BA183" s="71" t="str">
        <f>IF($G183="","",IFERROR(MATCH($I183,lst_Priority,0),5))</f>
        <v/>
      </c>
      <c r="BB183" s="71" t="str">
        <f>IF(AND($AL183=1,$AJ183=1),$BA183*100000+ROW(),"")</f>
        <v/>
      </c>
      <c r="BC183" s="71" t="str">
        <f>IF(AND($AM183=1,$AJ183=1),$BA183*100000+ROW(),"")</f>
        <v/>
      </c>
      <c r="BD183" s="71" t="str">
        <f>IF(AND($AP183=1,$AJ183=1),$BA183*100000+ROW(),"")</f>
        <v/>
      </c>
      <c r="BE183" s="71" t="str">
        <f>IF(AND($AT183=1,$AJ183=1),$BA183*100000+ROW(),"")</f>
        <v/>
      </c>
      <c r="BF183" s="71" t="str">
        <f>IF(AND($AU183=1,$AJ183=1),$BA183*100000+ROW(),"")</f>
        <v/>
      </c>
      <c r="BG183" s="71" t="str">
        <f>IF(AND($AV183=1,$AJ183=1),$BA183*100000+ROW(),"")</f>
        <v/>
      </c>
      <c r="BH183" s="71" t="str">
        <f>IF(AND($AW183=1,$AJ183=1),$BA183*100000+ROW(),"")</f>
        <v/>
      </c>
      <c r="BI183" s="71" t="str">
        <f>IF(AND($AX183=1,$AJ183=1),$BA183*100000+ROW(),"")</f>
        <v/>
      </c>
      <c r="BJ183" s="71" t="str">
        <f>IF(AND($AS183=1,$AJ183=1),$BA183*100000+ROW(),"")</f>
        <v/>
      </c>
      <c r="BK183" s="71" t="str">
        <f>IF(AND($AY183=1,$AJ183=1),$BA183*100000+ROW(),"")</f>
        <v/>
      </c>
      <c r="BL183" s="71" t="str">
        <f>IF(AND($AZ183=1),$BA183*100000+ROW(),"")</f>
        <v/>
      </c>
    </row>
    <row r="184">
      <c r="A184" s="63" t="n"/>
      <c r="B184" s="64" t="n"/>
      <c r="C184" s="64" t="n"/>
      <c r="D184" s="64" t="n"/>
      <c r="E184" s="64" t="n"/>
      <c r="F184" s="64" t="n"/>
      <c r="G184" s="65" t="n"/>
      <c r="H184" s="65" t="n"/>
      <c r="I184" s="64" t="n"/>
      <c r="J184" s="64" t="n"/>
      <c r="K184" s="63" t="n"/>
      <c r="L184" s="63" t="n"/>
      <c r="M184" s="64" t="n"/>
      <c r="N184" s="66" t="n"/>
      <c r="O184" s="65" t="n"/>
      <c r="P184" s="64" t="n"/>
      <c r="Q184" s="67" t="n"/>
      <c r="R184" s="67" t="n"/>
      <c r="S184" s="68" t="str">
        <f>IF(AND(ISNUMBER($Q184),ISNUMBER($R184)),$Q184-$R184,"")</f>
        <v/>
      </c>
      <c r="T184" s="65" t="n"/>
      <c r="U184" s="64" t="n"/>
      <c r="V184" s="65" t="n"/>
      <c r="W184" s="63" t="n"/>
      <c r="X184" s="65" t="n"/>
      <c r="Y184" s="63" t="n"/>
      <c r="Z184" s="64" t="n"/>
      <c r="AA184" s="64" t="n"/>
      <c r="AB184" s="65" t="n"/>
      <c r="AC184" s="69" t="str">
        <f>IF(OR($G184="",NOT(ISNUMBER($K184)),$AK184=0),"",MAX(0,ReportDate-$K184))</f>
        <v/>
      </c>
      <c r="AD184" s="69" t="str">
        <f>IF($G184="","",IF($AL184=1,ReportDate-$L184,0))</f>
        <v/>
      </c>
      <c r="AE184" s="70" t="str">
        <f>IF($G184="","",IF($M184="Completed",1,IF(ISNUMBER($N184),$N184,0)))</f>
        <v/>
      </c>
      <c r="AF184" s="70" t="str">
        <f>IF(AND(ISNUMBER($Q184),ISNUMBER($R184)),IF($R184&lt;&gt;0,$Q184/$R184,""),"")</f>
        <v/>
      </c>
      <c r="AG184" s="71" t="str">
        <f>IF($G184="","",IF($AL184=1,"OVERDUE",IF($AM184=1,"BLOCKED",IF($AN184=1,"DUE TODAY",IF($AO184=1,"DUE TOMORROW",IF($AQ184=1,"HIGH PRIORITY",IF($AR184=1,"NO RECENT UPDATE",""))))))) </f>
        <v/>
      </c>
      <c r="AH184" s="71" t="str">
        <f>IF($G184="","",IF(ISNUMBER($A184),IF(ISNUMBER($A184),YEAR($A184)&amp;"-"&amp;TEXT(MONTH($A184),"00"),""),IF(ISNUMBER($L184),IF(ISNUMBER($L184),YEAR($L184)&amp;"-"&amp;TEXT(MONTH($L184),"00"),""),"")))</f>
        <v/>
      </c>
      <c r="AI184" s="71">
        <f>IF($G184="",0,IF(AND(OR(fClient="All",$C184=fClient),OR(fCampaign="All",$D184=fCampaign),OR(fTeam="All",$B184=fTeam),OR(fChannel="All",$F184=fChannel),OR(fMonth="All",$AH184=fMonth),OR(fTStatus="All",$M184=fTStatus)),1,0))</f>
        <v>0</v>
      </c>
      <c r="AJ184" s="71">
        <f>IF($G184="",0,IF(AND(OR(fClient="All",$C184=fClient),OR(fCampaign="All",$D184=fCampaign),OR(fTeam="All",$B184=fTeam),OR(fChannel="All",$F184=fChannel)),1,0))</f>
        <v>0</v>
      </c>
      <c r="AK184" s="71">
        <f>IF($G184="",0,IF(OR($M184="Completed",$M184="Cancelled"),0,1))</f>
        <v>0</v>
      </c>
      <c r="AL184" s="71">
        <f>IF(AND($AK184=1,ISNUMBER($L184)),IF($L184&lt;ReportDate,1,0),0)</f>
        <v>0</v>
      </c>
      <c r="AM184" s="71">
        <f>IF(AND($G184&lt;&gt;"",$M184="Blocked"),1,0)</f>
        <v>0</v>
      </c>
      <c r="AN184" s="71">
        <f>IF(AND($AK184=1,ISNUMBER($L184)),IF($L184=ReportDate,1,0),0)</f>
        <v>0</v>
      </c>
      <c r="AO184" s="71">
        <f>IF(AND($AK184=1,ISNUMBER($L184)),IF($L184=ReportDate+1,1,0),0)</f>
        <v>0</v>
      </c>
      <c r="AP184" s="71">
        <f>IF(AND($AK184=1,ISNUMBER($L184)),IF(AND($L184&gt;=ReportDate,$L184&lt;=ReportDate+DueSoonDays),1,0),0)</f>
        <v>0</v>
      </c>
      <c r="AQ184" s="71">
        <f>IF(AND($AK184=1,OR($I184="Critical",$I184="High")),1,0)</f>
        <v>0</v>
      </c>
      <c r="AR184" s="71">
        <f>IF($AK184=1,IF(ISNUMBER($Y184),IF(ReportDate-$Y184&gt;StaleDays,1,0),1),0)</f>
        <v>0</v>
      </c>
      <c r="AS184" s="71">
        <f>IF(AND($G184&lt;&gt;"",ISNUMBER($Q184),ISNUMBER($R184)),IF(AND($Q184&lt;$R184,OR($M184="Completed",AND(ISNUMBER($L184),$L184&lt;ReportDate))),1,0),0)</f>
        <v>0</v>
      </c>
      <c r="AT184" s="71">
        <f>IF($AK184=1,IF(OR($L184=ReportDate,$W184=ReportDate,$K184=ReportDate,$A184=ReportDate),1,0),0)</f>
        <v>0</v>
      </c>
      <c r="AU184" s="71">
        <f>IF($AK184=1,IF(OR($L184=ReportDate+1,$W184=ReportDate+1,$K184=ReportDate+1,$A184=ReportDate+1),1,0),0)</f>
        <v>0</v>
      </c>
      <c r="AV184" s="71">
        <f>IF(AND($G184&lt;&gt;"",$M184="Completed"),IF(OR($Y184=ReportDate-1,$A184=ReportDate-1),1,0),0)</f>
        <v>0</v>
      </c>
      <c r="AW184" s="71">
        <f>IF(AND($AK184=1,$Z184="Yes"),1,0)</f>
        <v>0</v>
      </c>
      <c r="AX184" s="71">
        <f>IF(AND($AK184=1,$AA184="Yes"),1,0)</f>
        <v>0</v>
      </c>
      <c r="AY184" s="71">
        <f>IF(AND($AM184=1,OR($I184="Critical",$I184="High")),1,0)</f>
        <v>0</v>
      </c>
      <c r="AZ184" s="71">
        <f>IF(AND($AK184=1,OR($C184=TCL_Client,$C184=MECCA_Client)),1,0)</f>
        <v>0</v>
      </c>
      <c r="BA184" s="71" t="str">
        <f>IF($G184="","",IFERROR(MATCH($I184,lst_Priority,0),5))</f>
        <v/>
      </c>
      <c r="BB184" s="71" t="str">
        <f>IF(AND($AL184=1,$AJ184=1),$BA184*100000+ROW(),"")</f>
        <v/>
      </c>
      <c r="BC184" s="71" t="str">
        <f>IF(AND($AM184=1,$AJ184=1),$BA184*100000+ROW(),"")</f>
        <v/>
      </c>
      <c r="BD184" s="71" t="str">
        <f>IF(AND($AP184=1,$AJ184=1),$BA184*100000+ROW(),"")</f>
        <v/>
      </c>
      <c r="BE184" s="71" t="str">
        <f>IF(AND($AT184=1,$AJ184=1),$BA184*100000+ROW(),"")</f>
        <v/>
      </c>
      <c r="BF184" s="71" t="str">
        <f>IF(AND($AU184=1,$AJ184=1),$BA184*100000+ROW(),"")</f>
        <v/>
      </c>
      <c r="BG184" s="71" t="str">
        <f>IF(AND($AV184=1,$AJ184=1),$BA184*100000+ROW(),"")</f>
        <v/>
      </c>
      <c r="BH184" s="71" t="str">
        <f>IF(AND($AW184=1,$AJ184=1),$BA184*100000+ROW(),"")</f>
        <v/>
      </c>
      <c r="BI184" s="71" t="str">
        <f>IF(AND($AX184=1,$AJ184=1),$BA184*100000+ROW(),"")</f>
        <v/>
      </c>
      <c r="BJ184" s="71" t="str">
        <f>IF(AND($AS184=1,$AJ184=1),$BA184*100000+ROW(),"")</f>
        <v/>
      </c>
      <c r="BK184" s="71" t="str">
        <f>IF(AND($AY184=1,$AJ184=1),$BA184*100000+ROW(),"")</f>
        <v/>
      </c>
      <c r="BL184" s="71" t="str">
        <f>IF(AND($AZ184=1),$BA184*100000+ROW(),"")</f>
        <v/>
      </c>
    </row>
    <row r="185">
      <c r="A185" s="63" t="n"/>
      <c r="B185" s="64" t="n"/>
      <c r="C185" s="64" t="n"/>
      <c r="D185" s="64" t="n"/>
      <c r="E185" s="64" t="n"/>
      <c r="F185" s="64" t="n"/>
      <c r="G185" s="65" t="n"/>
      <c r="H185" s="65" t="n"/>
      <c r="I185" s="64" t="n"/>
      <c r="J185" s="64" t="n"/>
      <c r="K185" s="63" t="n"/>
      <c r="L185" s="63" t="n"/>
      <c r="M185" s="64" t="n"/>
      <c r="N185" s="66" t="n"/>
      <c r="O185" s="65" t="n"/>
      <c r="P185" s="64" t="n"/>
      <c r="Q185" s="67" t="n"/>
      <c r="R185" s="67" t="n"/>
      <c r="S185" s="68" t="str">
        <f>IF(AND(ISNUMBER($Q185),ISNUMBER($R185)),$Q185-$R185,"")</f>
        <v/>
      </c>
      <c r="T185" s="65" t="n"/>
      <c r="U185" s="64" t="n"/>
      <c r="V185" s="65" t="n"/>
      <c r="W185" s="63" t="n"/>
      <c r="X185" s="65" t="n"/>
      <c r="Y185" s="63" t="n"/>
      <c r="Z185" s="64" t="n"/>
      <c r="AA185" s="64" t="n"/>
      <c r="AB185" s="65" t="n"/>
      <c r="AC185" s="69" t="str">
        <f>IF(OR($G185="",NOT(ISNUMBER($K185)),$AK185=0),"",MAX(0,ReportDate-$K185))</f>
        <v/>
      </c>
      <c r="AD185" s="69" t="str">
        <f>IF($G185="","",IF($AL185=1,ReportDate-$L185,0))</f>
        <v/>
      </c>
      <c r="AE185" s="70" t="str">
        <f>IF($G185="","",IF($M185="Completed",1,IF(ISNUMBER($N185),$N185,0)))</f>
        <v/>
      </c>
      <c r="AF185" s="70" t="str">
        <f>IF(AND(ISNUMBER($Q185),ISNUMBER($R185)),IF($R185&lt;&gt;0,$Q185/$R185,""),"")</f>
        <v/>
      </c>
      <c r="AG185" s="71" t="str">
        <f>IF($G185="","",IF($AL185=1,"OVERDUE",IF($AM185=1,"BLOCKED",IF($AN185=1,"DUE TODAY",IF($AO185=1,"DUE TOMORROW",IF($AQ185=1,"HIGH PRIORITY",IF($AR185=1,"NO RECENT UPDATE",""))))))) </f>
        <v/>
      </c>
      <c r="AH185" s="71" t="str">
        <f>IF($G185="","",IF(ISNUMBER($A185),IF(ISNUMBER($A185),YEAR($A185)&amp;"-"&amp;TEXT(MONTH($A185),"00"),""),IF(ISNUMBER($L185),IF(ISNUMBER($L185),YEAR($L185)&amp;"-"&amp;TEXT(MONTH($L185),"00"),""),"")))</f>
        <v/>
      </c>
      <c r="AI185" s="71">
        <f>IF($G185="",0,IF(AND(OR(fClient="All",$C185=fClient),OR(fCampaign="All",$D185=fCampaign),OR(fTeam="All",$B185=fTeam),OR(fChannel="All",$F185=fChannel),OR(fMonth="All",$AH185=fMonth),OR(fTStatus="All",$M185=fTStatus)),1,0))</f>
        <v>0</v>
      </c>
      <c r="AJ185" s="71">
        <f>IF($G185="",0,IF(AND(OR(fClient="All",$C185=fClient),OR(fCampaign="All",$D185=fCampaign),OR(fTeam="All",$B185=fTeam),OR(fChannel="All",$F185=fChannel)),1,0))</f>
        <v>0</v>
      </c>
      <c r="AK185" s="71">
        <f>IF($G185="",0,IF(OR($M185="Completed",$M185="Cancelled"),0,1))</f>
        <v>0</v>
      </c>
      <c r="AL185" s="71">
        <f>IF(AND($AK185=1,ISNUMBER($L185)),IF($L185&lt;ReportDate,1,0),0)</f>
        <v>0</v>
      </c>
      <c r="AM185" s="71">
        <f>IF(AND($G185&lt;&gt;"",$M185="Blocked"),1,0)</f>
        <v>0</v>
      </c>
      <c r="AN185" s="71">
        <f>IF(AND($AK185=1,ISNUMBER($L185)),IF($L185=ReportDate,1,0),0)</f>
        <v>0</v>
      </c>
      <c r="AO185" s="71">
        <f>IF(AND($AK185=1,ISNUMBER($L185)),IF($L185=ReportDate+1,1,0),0)</f>
        <v>0</v>
      </c>
      <c r="AP185" s="71">
        <f>IF(AND($AK185=1,ISNUMBER($L185)),IF(AND($L185&gt;=ReportDate,$L185&lt;=ReportDate+DueSoonDays),1,0),0)</f>
        <v>0</v>
      </c>
      <c r="AQ185" s="71">
        <f>IF(AND($AK185=1,OR($I185="Critical",$I185="High")),1,0)</f>
        <v>0</v>
      </c>
      <c r="AR185" s="71">
        <f>IF($AK185=1,IF(ISNUMBER($Y185),IF(ReportDate-$Y185&gt;StaleDays,1,0),1),0)</f>
        <v>0</v>
      </c>
      <c r="AS185" s="71">
        <f>IF(AND($G185&lt;&gt;"",ISNUMBER($Q185),ISNUMBER($R185)),IF(AND($Q185&lt;$R185,OR($M185="Completed",AND(ISNUMBER($L185),$L185&lt;ReportDate))),1,0),0)</f>
        <v>0</v>
      </c>
      <c r="AT185" s="71">
        <f>IF($AK185=1,IF(OR($L185=ReportDate,$W185=ReportDate,$K185=ReportDate,$A185=ReportDate),1,0),0)</f>
        <v>0</v>
      </c>
      <c r="AU185" s="71">
        <f>IF($AK185=1,IF(OR($L185=ReportDate+1,$W185=ReportDate+1,$K185=ReportDate+1,$A185=ReportDate+1),1,0),0)</f>
        <v>0</v>
      </c>
      <c r="AV185" s="71">
        <f>IF(AND($G185&lt;&gt;"",$M185="Completed"),IF(OR($Y185=ReportDate-1,$A185=ReportDate-1),1,0),0)</f>
        <v>0</v>
      </c>
      <c r="AW185" s="71">
        <f>IF(AND($AK185=1,$Z185="Yes"),1,0)</f>
        <v>0</v>
      </c>
      <c r="AX185" s="71">
        <f>IF(AND($AK185=1,$AA185="Yes"),1,0)</f>
        <v>0</v>
      </c>
      <c r="AY185" s="71">
        <f>IF(AND($AM185=1,OR($I185="Critical",$I185="High")),1,0)</f>
        <v>0</v>
      </c>
      <c r="AZ185" s="71">
        <f>IF(AND($AK185=1,OR($C185=TCL_Client,$C185=MECCA_Client)),1,0)</f>
        <v>0</v>
      </c>
      <c r="BA185" s="71" t="str">
        <f>IF($G185="","",IFERROR(MATCH($I185,lst_Priority,0),5))</f>
        <v/>
      </c>
      <c r="BB185" s="71" t="str">
        <f>IF(AND($AL185=1,$AJ185=1),$BA185*100000+ROW(),"")</f>
        <v/>
      </c>
      <c r="BC185" s="71" t="str">
        <f>IF(AND($AM185=1,$AJ185=1),$BA185*100000+ROW(),"")</f>
        <v/>
      </c>
      <c r="BD185" s="71" t="str">
        <f>IF(AND($AP185=1,$AJ185=1),$BA185*100000+ROW(),"")</f>
        <v/>
      </c>
      <c r="BE185" s="71" t="str">
        <f>IF(AND($AT185=1,$AJ185=1),$BA185*100000+ROW(),"")</f>
        <v/>
      </c>
      <c r="BF185" s="71" t="str">
        <f>IF(AND($AU185=1,$AJ185=1),$BA185*100000+ROW(),"")</f>
        <v/>
      </c>
      <c r="BG185" s="71" t="str">
        <f>IF(AND($AV185=1,$AJ185=1),$BA185*100000+ROW(),"")</f>
        <v/>
      </c>
      <c r="BH185" s="71" t="str">
        <f>IF(AND($AW185=1,$AJ185=1),$BA185*100000+ROW(),"")</f>
        <v/>
      </c>
      <c r="BI185" s="71" t="str">
        <f>IF(AND($AX185=1,$AJ185=1),$BA185*100000+ROW(),"")</f>
        <v/>
      </c>
      <c r="BJ185" s="71" t="str">
        <f>IF(AND($AS185=1,$AJ185=1),$BA185*100000+ROW(),"")</f>
        <v/>
      </c>
      <c r="BK185" s="71" t="str">
        <f>IF(AND($AY185=1,$AJ185=1),$BA185*100000+ROW(),"")</f>
        <v/>
      </c>
      <c r="BL185" s="71" t="str">
        <f>IF(AND($AZ185=1),$BA185*100000+ROW(),"")</f>
        <v/>
      </c>
    </row>
    <row r="186">
      <c r="A186" s="63" t="n"/>
      <c r="B186" s="64" t="n"/>
      <c r="C186" s="64" t="n"/>
      <c r="D186" s="64" t="n"/>
      <c r="E186" s="64" t="n"/>
      <c r="F186" s="64" t="n"/>
      <c r="G186" s="65" t="n"/>
      <c r="H186" s="65" t="n"/>
      <c r="I186" s="64" t="n"/>
      <c r="J186" s="64" t="n"/>
      <c r="K186" s="63" t="n"/>
      <c r="L186" s="63" t="n"/>
      <c r="M186" s="64" t="n"/>
      <c r="N186" s="66" t="n"/>
      <c r="O186" s="65" t="n"/>
      <c r="P186" s="64" t="n"/>
      <c r="Q186" s="67" t="n"/>
      <c r="R186" s="67" t="n"/>
      <c r="S186" s="68" t="str">
        <f>IF(AND(ISNUMBER($Q186),ISNUMBER($R186)),$Q186-$R186,"")</f>
        <v/>
      </c>
      <c r="T186" s="65" t="n"/>
      <c r="U186" s="64" t="n"/>
      <c r="V186" s="65" t="n"/>
      <c r="W186" s="63" t="n"/>
      <c r="X186" s="65" t="n"/>
      <c r="Y186" s="63" t="n"/>
      <c r="Z186" s="64" t="n"/>
      <c r="AA186" s="64" t="n"/>
      <c r="AB186" s="65" t="n"/>
      <c r="AC186" s="69" t="str">
        <f>IF(OR($G186="",NOT(ISNUMBER($K186)),$AK186=0),"",MAX(0,ReportDate-$K186))</f>
        <v/>
      </c>
      <c r="AD186" s="69" t="str">
        <f>IF($G186="","",IF($AL186=1,ReportDate-$L186,0))</f>
        <v/>
      </c>
      <c r="AE186" s="70" t="str">
        <f>IF($G186="","",IF($M186="Completed",1,IF(ISNUMBER($N186),$N186,0)))</f>
        <v/>
      </c>
      <c r="AF186" s="70" t="str">
        <f>IF(AND(ISNUMBER($Q186),ISNUMBER($R186)),IF($R186&lt;&gt;0,$Q186/$R186,""),"")</f>
        <v/>
      </c>
      <c r="AG186" s="71" t="str">
        <f>IF($G186="","",IF($AL186=1,"OVERDUE",IF($AM186=1,"BLOCKED",IF($AN186=1,"DUE TODAY",IF($AO186=1,"DUE TOMORROW",IF($AQ186=1,"HIGH PRIORITY",IF($AR186=1,"NO RECENT UPDATE",""))))))) </f>
        <v/>
      </c>
      <c r="AH186" s="71" t="str">
        <f>IF($G186="","",IF(ISNUMBER($A186),IF(ISNUMBER($A186),YEAR($A186)&amp;"-"&amp;TEXT(MONTH($A186),"00"),""),IF(ISNUMBER($L186),IF(ISNUMBER($L186),YEAR($L186)&amp;"-"&amp;TEXT(MONTH($L186),"00"),""),"")))</f>
        <v/>
      </c>
      <c r="AI186" s="71">
        <f>IF($G186="",0,IF(AND(OR(fClient="All",$C186=fClient),OR(fCampaign="All",$D186=fCampaign),OR(fTeam="All",$B186=fTeam),OR(fChannel="All",$F186=fChannel),OR(fMonth="All",$AH186=fMonth),OR(fTStatus="All",$M186=fTStatus)),1,0))</f>
        <v>0</v>
      </c>
      <c r="AJ186" s="71">
        <f>IF($G186="",0,IF(AND(OR(fClient="All",$C186=fClient),OR(fCampaign="All",$D186=fCampaign),OR(fTeam="All",$B186=fTeam),OR(fChannel="All",$F186=fChannel)),1,0))</f>
        <v>0</v>
      </c>
      <c r="AK186" s="71">
        <f>IF($G186="",0,IF(OR($M186="Completed",$M186="Cancelled"),0,1))</f>
        <v>0</v>
      </c>
      <c r="AL186" s="71">
        <f>IF(AND($AK186=1,ISNUMBER($L186)),IF($L186&lt;ReportDate,1,0),0)</f>
        <v>0</v>
      </c>
      <c r="AM186" s="71">
        <f>IF(AND($G186&lt;&gt;"",$M186="Blocked"),1,0)</f>
        <v>0</v>
      </c>
      <c r="AN186" s="71">
        <f>IF(AND($AK186=1,ISNUMBER($L186)),IF($L186=ReportDate,1,0),0)</f>
        <v>0</v>
      </c>
      <c r="AO186" s="71">
        <f>IF(AND($AK186=1,ISNUMBER($L186)),IF($L186=ReportDate+1,1,0),0)</f>
        <v>0</v>
      </c>
      <c r="AP186" s="71">
        <f>IF(AND($AK186=1,ISNUMBER($L186)),IF(AND($L186&gt;=ReportDate,$L186&lt;=ReportDate+DueSoonDays),1,0),0)</f>
        <v>0</v>
      </c>
      <c r="AQ186" s="71">
        <f>IF(AND($AK186=1,OR($I186="Critical",$I186="High")),1,0)</f>
        <v>0</v>
      </c>
      <c r="AR186" s="71">
        <f>IF($AK186=1,IF(ISNUMBER($Y186),IF(ReportDate-$Y186&gt;StaleDays,1,0),1),0)</f>
        <v>0</v>
      </c>
      <c r="AS186" s="71">
        <f>IF(AND($G186&lt;&gt;"",ISNUMBER($Q186),ISNUMBER($R186)),IF(AND($Q186&lt;$R186,OR($M186="Completed",AND(ISNUMBER($L186),$L186&lt;ReportDate))),1,0),0)</f>
        <v>0</v>
      </c>
      <c r="AT186" s="71">
        <f>IF($AK186=1,IF(OR($L186=ReportDate,$W186=ReportDate,$K186=ReportDate,$A186=ReportDate),1,0),0)</f>
        <v>0</v>
      </c>
      <c r="AU186" s="71">
        <f>IF($AK186=1,IF(OR($L186=ReportDate+1,$W186=ReportDate+1,$K186=ReportDate+1,$A186=ReportDate+1),1,0),0)</f>
        <v>0</v>
      </c>
      <c r="AV186" s="71">
        <f>IF(AND($G186&lt;&gt;"",$M186="Completed"),IF(OR($Y186=ReportDate-1,$A186=ReportDate-1),1,0),0)</f>
        <v>0</v>
      </c>
      <c r="AW186" s="71">
        <f>IF(AND($AK186=1,$Z186="Yes"),1,0)</f>
        <v>0</v>
      </c>
      <c r="AX186" s="71">
        <f>IF(AND($AK186=1,$AA186="Yes"),1,0)</f>
        <v>0</v>
      </c>
      <c r="AY186" s="71">
        <f>IF(AND($AM186=1,OR($I186="Critical",$I186="High")),1,0)</f>
        <v>0</v>
      </c>
      <c r="AZ186" s="71">
        <f>IF(AND($AK186=1,OR($C186=TCL_Client,$C186=MECCA_Client)),1,0)</f>
        <v>0</v>
      </c>
      <c r="BA186" s="71" t="str">
        <f>IF($G186="","",IFERROR(MATCH($I186,lst_Priority,0),5))</f>
        <v/>
      </c>
      <c r="BB186" s="71" t="str">
        <f>IF(AND($AL186=1,$AJ186=1),$BA186*100000+ROW(),"")</f>
        <v/>
      </c>
      <c r="BC186" s="71" t="str">
        <f>IF(AND($AM186=1,$AJ186=1),$BA186*100000+ROW(),"")</f>
        <v/>
      </c>
      <c r="BD186" s="71" t="str">
        <f>IF(AND($AP186=1,$AJ186=1),$BA186*100000+ROW(),"")</f>
        <v/>
      </c>
      <c r="BE186" s="71" t="str">
        <f>IF(AND($AT186=1,$AJ186=1),$BA186*100000+ROW(),"")</f>
        <v/>
      </c>
      <c r="BF186" s="71" t="str">
        <f>IF(AND($AU186=1,$AJ186=1),$BA186*100000+ROW(),"")</f>
        <v/>
      </c>
      <c r="BG186" s="71" t="str">
        <f>IF(AND($AV186=1,$AJ186=1),$BA186*100000+ROW(),"")</f>
        <v/>
      </c>
      <c r="BH186" s="71" t="str">
        <f>IF(AND($AW186=1,$AJ186=1),$BA186*100000+ROW(),"")</f>
        <v/>
      </c>
      <c r="BI186" s="71" t="str">
        <f>IF(AND($AX186=1,$AJ186=1),$BA186*100000+ROW(),"")</f>
        <v/>
      </c>
      <c r="BJ186" s="71" t="str">
        <f>IF(AND($AS186=1,$AJ186=1),$BA186*100000+ROW(),"")</f>
        <v/>
      </c>
      <c r="BK186" s="71" t="str">
        <f>IF(AND($AY186=1,$AJ186=1),$BA186*100000+ROW(),"")</f>
        <v/>
      </c>
      <c r="BL186" s="71" t="str">
        <f>IF(AND($AZ186=1),$BA186*100000+ROW(),"")</f>
        <v/>
      </c>
    </row>
    <row r="187">
      <c r="A187" s="63" t="n"/>
      <c r="B187" s="64" t="n"/>
      <c r="C187" s="64" t="n"/>
      <c r="D187" s="64" t="n"/>
      <c r="E187" s="64" t="n"/>
      <c r="F187" s="64" t="n"/>
      <c r="G187" s="65" t="n"/>
      <c r="H187" s="65" t="n"/>
      <c r="I187" s="64" t="n"/>
      <c r="J187" s="64" t="n"/>
      <c r="K187" s="63" t="n"/>
      <c r="L187" s="63" t="n"/>
      <c r="M187" s="64" t="n"/>
      <c r="N187" s="66" t="n"/>
      <c r="O187" s="65" t="n"/>
      <c r="P187" s="64" t="n"/>
      <c r="Q187" s="67" t="n"/>
      <c r="R187" s="67" t="n"/>
      <c r="S187" s="68" t="str">
        <f>IF(AND(ISNUMBER($Q187),ISNUMBER($R187)),$Q187-$R187,"")</f>
        <v/>
      </c>
      <c r="T187" s="65" t="n"/>
      <c r="U187" s="64" t="n"/>
      <c r="V187" s="65" t="n"/>
      <c r="W187" s="63" t="n"/>
      <c r="X187" s="65" t="n"/>
      <c r="Y187" s="63" t="n"/>
      <c r="Z187" s="64" t="n"/>
      <c r="AA187" s="64" t="n"/>
      <c r="AB187" s="65" t="n"/>
      <c r="AC187" s="69" t="str">
        <f>IF(OR($G187="",NOT(ISNUMBER($K187)),$AK187=0),"",MAX(0,ReportDate-$K187))</f>
        <v/>
      </c>
      <c r="AD187" s="69" t="str">
        <f>IF($G187="","",IF($AL187=1,ReportDate-$L187,0))</f>
        <v/>
      </c>
      <c r="AE187" s="70" t="str">
        <f>IF($G187="","",IF($M187="Completed",1,IF(ISNUMBER($N187),$N187,0)))</f>
        <v/>
      </c>
      <c r="AF187" s="70" t="str">
        <f>IF(AND(ISNUMBER($Q187),ISNUMBER($R187)),IF($R187&lt;&gt;0,$Q187/$R187,""),"")</f>
        <v/>
      </c>
      <c r="AG187" s="71" t="str">
        <f>IF($G187="","",IF($AL187=1,"OVERDUE",IF($AM187=1,"BLOCKED",IF($AN187=1,"DUE TODAY",IF($AO187=1,"DUE TOMORROW",IF($AQ187=1,"HIGH PRIORITY",IF($AR187=1,"NO RECENT UPDATE",""))))))) </f>
        <v/>
      </c>
      <c r="AH187" s="71" t="str">
        <f>IF($G187="","",IF(ISNUMBER($A187),IF(ISNUMBER($A187),YEAR($A187)&amp;"-"&amp;TEXT(MONTH($A187),"00"),""),IF(ISNUMBER($L187),IF(ISNUMBER($L187),YEAR($L187)&amp;"-"&amp;TEXT(MONTH($L187),"00"),""),"")))</f>
        <v/>
      </c>
      <c r="AI187" s="71">
        <f>IF($G187="",0,IF(AND(OR(fClient="All",$C187=fClient),OR(fCampaign="All",$D187=fCampaign),OR(fTeam="All",$B187=fTeam),OR(fChannel="All",$F187=fChannel),OR(fMonth="All",$AH187=fMonth),OR(fTStatus="All",$M187=fTStatus)),1,0))</f>
        <v>0</v>
      </c>
      <c r="AJ187" s="71">
        <f>IF($G187="",0,IF(AND(OR(fClient="All",$C187=fClient),OR(fCampaign="All",$D187=fCampaign),OR(fTeam="All",$B187=fTeam),OR(fChannel="All",$F187=fChannel)),1,0))</f>
        <v>0</v>
      </c>
      <c r="AK187" s="71">
        <f>IF($G187="",0,IF(OR($M187="Completed",$M187="Cancelled"),0,1))</f>
        <v>0</v>
      </c>
      <c r="AL187" s="71">
        <f>IF(AND($AK187=1,ISNUMBER($L187)),IF($L187&lt;ReportDate,1,0),0)</f>
        <v>0</v>
      </c>
      <c r="AM187" s="71">
        <f>IF(AND($G187&lt;&gt;"",$M187="Blocked"),1,0)</f>
        <v>0</v>
      </c>
      <c r="AN187" s="71">
        <f>IF(AND($AK187=1,ISNUMBER($L187)),IF($L187=ReportDate,1,0),0)</f>
        <v>0</v>
      </c>
      <c r="AO187" s="71">
        <f>IF(AND($AK187=1,ISNUMBER($L187)),IF($L187=ReportDate+1,1,0),0)</f>
        <v>0</v>
      </c>
      <c r="AP187" s="71">
        <f>IF(AND($AK187=1,ISNUMBER($L187)),IF(AND($L187&gt;=ReportDate,$L187&lt;=ReportDate+DueSoonDays),1,0),0)</f>
        <v>0</v>
      </c>
      <c r="AQ187" s="71">
        <f>IF(AND($AK187=1,OR($I187="Critical",$I187="High")),1,0)</f>
        <v>0</v>
      </c>
      <c r="AR187" s="71">
        <f>IF($AK187=1,IF(ISNUMBER($Y187),IF(ReportDate-$Y187&gt;StaleDays,1,0),1),0)</f>
        <v>0</v>
      </c>
      <c r="AS187" s="71">
        <f>IF(AND($G187&lt;&gt;"",ISNUMBER($Q187),ISNUMBER($R187)),IF(AND($Q187&lt;$R187,OR($M187="Completed",AND(ISNUMBER($L187),$L187&lt;ReportDate))),1,0),0)</f>
        <v>0</v>
      </c>
      <c r="AT187" s="71">
        <f>IF($AK187=1,IF(OR($L187=ReportDate,$W187=ReportDate,$K187=ReportDate,$A187=ReportDate),1,0),0)</f>
        <v>0</v>
      </c>
      <c r="AU187" s="71">
        <f>IF($AK187=1,IF(OR($L187=ReportDate+1,$W187=ReportDate+1,$K187=ReportDate+1,$A187=ReportDate+1),1,0),0)</f>
        <v>0</v>
      </c>
      <c r="AV187" s="71">
        <f>IF(AND($G187&lt;&gt;"",$M187="Completed"),IF(OR($Y187=ReportDate-1,$A187=ReportDate-1),1,0),0)</f>
        <v>0</v>
      </c>
      <c r="AW187" s="71">
        <f>IF(AND($AK187=1,$Z187="Yes"),1,0)</f>
        <v>0</v>
      </c>
      <c r="AX187" s="71">
        <f>IF(AND($AK187=1,$AA187="Yes"),1,0)</f>
        <v>0</v>
      </c>
      <c r="AY187" s="71">
        <f>IF(AND($AM187=1,OR($I187="Critical",$I187="High")),1,0)</f>
        <v>0</v>
      </c>
      <c r="AZ187" s="71">
        <f>IF(AND($AK187=1,OR($C187=TCL_Client,$C187=MECCA_Client)),1,0)</f>
        <v>0</v>
      </c>
      <c r="BA187" s="71" t="str">
        <f>IF($G187="","",IFERROR(MATCH($I187,lst_Priority,0),5))</f>
        <v/>
      </c>
      <c r="BB187" s="71" t="str">
        <f>IF(AND($AL187=1,$AJ187=1),$BA187*100000+ROW(),"")</f>
        <v/>
      </c>
      <c r="BC187" s="71" t="str">
        <f>IF(AND($AM187=1,$AJ187=1),$BA187*100000+ROW(),"")</f>
        <v/>
      </c>
      <c r="BD187" s="71" t="str">
        <f>IF(AND($AP187=1,$AJ187=1),$BA187*100000+ROW(),"")</f>
        <v/>
      </c>
      <c r="BE187" s="71" t="str">
        <f>IF(AND($AT187=1,$AJ187=1),$BA187*100000+ROW(),"")</f>
        <v/>
      </c>
      <c r="BF187" s="71" t="str">
        <f>IF(AND($AU187=1,$AJ187=1),$BA187*100000+ROW(),"")</f>
        <v/>
      </c>
      <c r="BG187" s="71" t="str">
        <f>IF(AND($AV187=1,$AJ187=1),$BA187*100000+ROW(),"")</f>
        <v/>
      </c>
      <c r="BH187" s="71" t="str">
        <f>IF(AND($AW187=1,$AJ187=1),$BA187*100000+ROW(),"")</f>
        <v/>
      </c>
      <c r="BI187" s="71" t="str">
        <f>IF(AND($AX187=1,$AJ187=1),$BA187*100000+ROW(),"")</f>
        <v/>
      </c>
      <c r="BJ187" s="71" t="str">
        <f>IF(AND($AS187=1,$AJ187=1),$BA187*100000+ROW(),"")</f>
        <v/>
      </c>
      <c r="BK187" s="71" t="str">
        <f>IF(AND($AY187=1,$AJ187=1),$BA187*100000+ROW(),"")</f>
        <v/>
      </c>
      <c r="BL187" s="71" t="str">
        <f>IF(AND($AZ187=1),$BA187*100000+ROW(),"")</f>
        <v/>
      </c>
    </row>
    <row r="188">
      <c r="A188" s="63" t="n"/>
      <c r="B188" s="64" t="n"/>
      <c r="C188" s="64" t="n"/>
      <c r="D188" s="64" t="n"/>
      <c r="E188" s="64" t="n"/>
      <c r="F188" s="64" t="n"/>
      <c r="G188" s="65" t="n"/>
      <c r="H188" s="65" t="n"/>
      <c r="I188" s="64" t="n"/>
      <c r="J188" s="64" t="n"/>
      <c r="K188" s="63" t="n"/>
      <c r="L188" s="63" t="n"/>
      <c r="M188" s="64" t="n"/>
      <c r="N188" s="66" t="n"/>
      <c r="O188" s="65" t="n"/>
      <c r="P188" s="64" t="n"/>
      <c r="Q188" s="67" t="n"/>
      <c r="R188" s="67" t="n"/>
      <c r="S188" s="68" t="str">
        <f>IF(AND(ISNUMBER($Q188),ISNUMBER($R188)),$Q188-$R188,"")</f>
        <v/>
      </c>
      <c r="T188" s="65" t="n"/>
      <c r="U188" s="64" t="n"/>
      <c r="V188" s="65" t="n"/>
      <c r="W188" s="63" t="n"/>
      <c r="X188" s="65" t="n"/>
      <c r="Y188" s="63" t="n"/>
      <c r="Z188" s="64" t="n"/>
      <c r="AA188" s="64" t="n"/>
      <c r="AB188" s="65" t="n"/>
      <c r="AC188" s="69" t="str">
        <f>IF(OR($G188="",NOT(ISNUMBER($K188)),$AK188=0),"",MAX(0,ReportDate-$K188))</f>
        <v/>
      </c>
      <c r="AD188" s="69" t="str">
        <f>IF($G188="","",IF($AL188=1,ReportDate-$L188,0))</f>
        <v/>
      </c>
      <c r="AE188" s="70" t="str">
        <f>IF($G188="","",IF($M188="Completed",1,IF(ISNUMBER($N188),$N188,0)))</f>
        <v/>
      </c>
      <c r="AF188" s="70" t="str">
        <f>IF(AND(ISNUMBER($Q188),ISNUMBER($R188)),IF($R188&lt;&gt;0,$Q188/$R188,""),"")</f>
        <v/>
      </c>
      <c r="AG188" s="71" t="str">
        <f>IF($G188="","",IF($AL188=1,"OVERDUE",IF($AM188=1,"BLOCKED",IF($AN188=1,"DUE TODAY",IF($AO188=1,"DUE TOMORROW",IF($AQ188=1,"HIGH PRIORITY",IF($AR188=1,"NO RECENT UPDATE",""))))))) </f>
        <v/>
      </c>
      <c r="AH188" s="71" t="str">
        <f>IF($G188="","",IF(ISNUMBER($A188),IF(ISNUMBER($A188),YEAR($A188)&amp;"-"&amp;TEXT(MONTH($A188),"00"),""),IF(ISNUMBER($L188),IF(ISNUMBER($L188),YEAR($L188)&amp;"-"&amp;TEXT(MONTH($L188),"00"),""),"")))</f>
        <v/>
      </c>
      <c r="AI188" s="71">
        <f>IF($G188="",0,IF(AND(OR(fClient="All",$C188=fClient),OR(fCampaign="All",$D188=fCampaign),OR(fTeam="All",$B188=fTeam),OR(fChannel="All",$F188=fChannel),OR(fMonth="All",$AH188=fMonth),OR(fTStatus="All",$M188=fTStatus)),1,0))</f>
        <v>0</v>
      </c>
      <c r="AJ188" s="71">
        <f>IF($G188="",0,IF(AND(OR(fClient="All",$C188=fClient),OR(fCampaign="All",$D188=fCampaign),OR(fTeam="All",$B188=fTeam),OR(fChannel="All",$F188=fChannel)),1,0))</f>
        <v>0</v>
      </c>
      <c r="AK188" s="71">
        <f>IF($G188="",0,IF(OR($M188="Completed",$M188="Cancelled"),0,1))</f>
        <v>0</v>
      </c>
      <c r="AL188" s="71">
        <f>IF(AND($AK188=1,ISNUMBER($L188)),IF($L188&lt;ReportDate,1,0),0)</f>
        <v>0</v>
      </c>
      <c r="AM188" s="71">
        <f>IF(AND($G188&lt;&gt;"",$M188="Blocked"),1,0)</f>
        <v>0</v>
      </c>
      <c r="AN188" s="71">
        <f>IF(AND($AK188=1,ISNUMBER($L188)),IF($L188=ReportDate,1,0),0)</f>
        <v>0</v>
      </c>
      <c r="AO188" s="71">
        <f>IF(AND($AK188=1,ISNUMBER($L188)),IF($L188=ReportDate+1,1,0),0)</f>
        <v>0</v>
      </c>
      <c r="AP188" s="71">
        <f>IF(AND($AK188=1,ISNUMBER($L188)),IF(AND($L188&gt;=ReportDate,$L188&lt;=ReportDate+DueSoonDays),1,0),0)</f>
        <v>0</v>
      </c>
      <c r="AQ188" s="71">
        <f>IF(AND($AK188=1,OR($I188="Critical",$I188="High")),1,0)</f>
        <v>0</v>
      </c>
      <c r="AR188" s="71">
        <f>IF($AK188=1,IF(ISNUMBER($Y188),IF(ReportDate-$Y188&gt;StaleDays,1,0),1),0)</f>
        <v>0</v>
      </c>
      <c r="AS188" s="71">
        <f>IF(AND($G188&lt;&gt;"",ISNUMBER($Q188),ISNUMBER($R188)),IF(AND($Q188&lt;$R188,OR($M188="Completed",AND(ISNUMBER($L188),$L188&lt;ReportDate))),1,0),0)</f>
        <v>0</v>
      </c>
      <c r="AT188" s="71">
        <f>IF($AK188=1,IF(OR($L188=ReportDate,$W188=ReportDate,$K188=ReportDate,$A188=ReportDate),1,0),0)</f>
        <v>0</v>
      </c>
      <c r="AU188" s="71">
        <f>IF($AK188=1,IF(OR($L188=ReportDate+1,$W188=ReportDate+1,$K188=ReportDate+1,$A188=ReportDate+1),1,0),0)</f>
        <v>0</v>
      </c>
      <c r="AV188" s="71">
        <f>IF(AND($G188&lt;&gt;"",$M188="Completed"),IF(OR($Y188=ReportDate-1,$A188=ReportDate-1),1,0),0)</f>
        <v>0</v>
      </c>
      <c r="AW188" s="71">
        <f>IF(AND($AK188=1,$Z188="Yes"),1,0)</f>
        <v>0</v>
      </c>
      <c r="AX188" s="71">
        <f>IF(AND($AK188=1,$AA188="Yes"),1,0)</f>
        <v>0</v>
      </c>
      <c r="AY188" s="71">
        <f>IF(AND($AM188=1,OR($I188="Critical",$I188="High")),1,0)</f>
        <v>0</v>
      </c>
      <c r="AZ188" s="71">
        <f>IF(AND($AK188=1,OR($C188=TCL_Client,$C188=MECCA_Client)),1,0)</f>
        <v>0</v>
      </c>
      <c r="BA188" s="71" t="str">
        <f>IF($G188="","",IFERROR(MATCH($I188,lst_Priority,0),5))</f>
        <v/>
      </c>
      <c r="BB188" s="71" t="str">
        <f>IF(AND($AL188=1,$AJ188=1),$BA188*100000+ROW(),"")</f>
        <v/>
      </c>
      <c r="BC188" s="71" t="str">
        <f>IF(AND($AM188=1,$AJ188=1),$BA188*100000+ROW(),"")</f>
        <v/>
      </c>
      <c r="BD188" s="71" t="str">
        <f>IF(AND($AP188=1,$AJ188=1),$BA188*100000+ROW(),"")</f>
        <v/>
      </c>
      <c r="BE188" s="71" t="str">
        <f>IF(AND($AT188=1,$AJ188=1),$BA188*100000+ROW(),"")</f>
        <v/>
      </c>
      <c r="BF188" s="71" t="str">
        <f>IF(AND($AU188=1,$AJ188=1),$BA188*100000+ROW(),"")</f>
        <v/>
      </c>
      <c r="BG188" s="71" t="str">
        <f>IF(AND($AV188=1,$AJ188=1),$BA188*100000+ROW(),"")</f>
        <v/>
      </c>
      <c r="BH188" s="71" t="str">
        <f>IF(AND($AW188=1,$AJ188=1),$BA188*100000+ROW(),"")</f>
        <v/>
      </c>
      <c r="BI188" s="71" t="str">
        <f>IF(AND($AX188=1,$AJ188=1),$BA188*100000+ROW(),"")</f>
        <v/>
      </c>
      <c r="BJ188" s="71" t="str">
        <f>IF(AND($AS188=1,$AJ188=1),$BA188*100000+ROW(),"")</f>
        <v/>
      </c>
      <c r="BK188" s="71" t="str">
        <f>IF(AND($AY188=1,$AJ188=1),$BA188*100000+ROW(),"")</f>
        <v/>
      </c>
      <c r="BL188" s="71" t="str">
        <f>IF(AND($AZ188=1),$BA188*100000+ROW(),"")</f>
        <v/>
      </c>
    </row>
    <row r="189">
      <c r="A189" s="63" t="n"/>
      <c r="B189" s="64" t="n"/>
      <c r="C189" s="64" t="n"/>
      <c r="D189" s="64" t="n"/>
      <c r="E189" s="64" t="n"/>
      <c r="F189" s="64" t="n"/>
      <c r="G189" s="65" t="n"/>
      <c r="H189" s="65" t="n"/>
      <c r="I189" s="64" t="n"/>
      <c r="J189" s="64" t="n"/>
      <c r="K189" s="63" t="n"/>
      <c r="L189" s="63" t="n"/>
      <c r="M189" s="64" t="n"/>
      <c r="N189" s="66" t="n"/>
      <c r="O189" s="65" t="n"/>
      <c r="P189" s="64" t="n"/>
      <c r="Q189" s="67" t="n"/>
      <c r="R189" s="67" t="n"/>
      <c r="S189" s="68" t="str">
        <f>IF(AND(ISNUMBER($Q189),ISNUMBER($R189)),$Q189-$R189,"")</f>
        <v/>
      </c>
      <c r="T189" s="65" t="n"/>
      <c r="U189" s="64" t="n"/>
      <c r="V189" s="65" t="n"/>
      <c r="W189" s="63" t="n"/>
      <c r="X189" s="65" t="n"/>
      <c r="Y189" s="63" t="n"/>
      <c r="Z189" s="64" t="n"/>
      <c r="AA189" s="64" t="n"/>
      <c r="AB189" s="65" t="n"/>
      <c r="AC189" s="69" t="str">
        <f>IF(OR($G189="",NOT(ISNUMBER($K189)),$AK189=0),"",MAX(0,ReportDate-$K189))</f>
        <v/>
      </c>
      <c r="AD189" s="69" t="str">
        <f>IF($G189="","",IF($AL189=1,ReportDate-$L189,0))</f>
        <v/>
      </c>
      <c r="AE189" s="70" t="str">
        <f>IF($G189="","",IF($M189="Completed",1,IF(ISNUMBER($N189),$N189,0)))</f>
        <v/>
      </c>
      <c r="AF189" s="70" t="str">
        <f>IF(AND(ISNUMBER($Q189),ISNUMBER($R189)),IF($R189&lt;&gt;0,$Q189/$R189,""),"")</f>
        <v/>
      </c>
      <c r="AG189" s="71" t="str">
        <f>IF($G189="","",IF($AL189=1,"OVERDUE",IF($AM189=1,"BLOCKED",IF($AN189=1,"DUE TODAY",IF($AO189=1,"DUE TOMORROW",IF($AQ189=1,"HIGH PRIORITY",IF($AR189=1,"NO RECENT UPDATE",""))))))) </f>
        <v/>
      </c>
      <c r="AH189" s="71" t="str">
        <f>IF($G189="","",IF(ISNUMBER($A189),IF(ISNUMBER($A189),YEAR($A189)&amp;"-"&amp;TEXT(MONTH($A189),"00"),""),IF(ISNUMBER($L189),IF(ISNUMBER($L189),YEAR($L189)&amp;"-"&amp;TEXT(MONTH($L189),"00"),""),"")))</f>
        <v/>
      </c>
      <c r="AI189" s="71">
        <f>IF($G189="",0,IF(AND(OR(fClient="All",$C189=fClient),OR(fCampaign="All",$D189=fCampaign),OR(fTeam="All",$B189=fTeam),OR(fChannel="All",$F189=fChannel),OR(fMonth="All",$AH189=fMonth),OR(fTStatus="All",$M189=fTStatus)),1,0))</f>
        <v>0</v>
      </c>
      <c r="AJ189" s="71">
        <f>IF($G189="",0,IF(AND(OR(fClient="All",$C189=fClient),OR(fCampaign="All",$D189=fCampaign),OR(fTeam="All",$B189=fTeam),OR(fChannel="All",$F189=fChannel)),1,0))</f>
        <v>0</v>
      </c>
      <c r="AK189" s="71">
        <f>IF($G189="",0,IF(OR($M189="Completed",$M189="Cancelled"),0,1))</f>
        <v>0</v>
      </c>
      <c r="AL189" s="71">
        <f>IF(AND($AK189=1,ISNUMBER($L189)),IF($L189&lt;ReportDate,1,0),0)</f>
        <v>0</v>
      </c>
      <c r="AM189" s="71">
        <f>IF(AND($G189&lt;&gt;"",$M189="Blocked"),1,0)</f>
        <v>0</v>
      </c>
      <c r="AN189" s="71">
        <f>IF(AND($AK189=1,ISNUMBER($L189)),IF($L189=ReportDate,1,0),0)</f>
        <v>0</v>
      </c>
      <c r="AO189" s="71">
        <f>IF(AND($AK189=1,ISNUMBER($L189)),IF($L189=ReportDate+1,1,0),0)</f>
        <v>0</v>
      </c>
      <c r="AP189" s="71">
        <f>IF(AND($AK189=1,ISNUMBER($L189)),IF(AND($L189&gt;=ReportDate,$L189&lt;=ReportDate+DueSoonDays),1,0),0)</f>
        <v>0</v>
      </c>
      <c r="AQ189" s="71">
        <f>IF(AND($AK189=1,OR($I189="Critical",$I189="High")),1,0)</f>
        <v>0</v>
      </c>
      <c r="AR189" s="71">
        <f>IF($AK189=1,IF(ISNUMBER($Y189),IF(ReportDate-$Y189&gt;StaleDays,1,0),1),0)</f>
        <v>0</v>
      </c>
      <c r="AS189" s="71">
        <f>IF(AND($G189&lt;&gt;"",ISNUMBER($Q189),ISNUMBER($R189)),IF(AND($Q189&lt;$R189,OR($M189="Completed",AND(ISNUMBER($L189),$L189&lt;ReportDate))),1,0),0)</f>
        <v>0</v>
      </c>
      <c r="AT189" s="71">
        <f>IF($AK189=1,IF(OR($L189=ReportDate,$W189=ReportDate,$K189=ReportDate,$A189=ReportDate),1,0),0)</f>
        <v>0</v>
      </c>
      <c r="AU189" s="71">
        <f>IF($AK189=1,IF(OR($L189=ReportDate+1,$W189=ReportDate+1,$K189=ReportDate+1,$A189=ReportDate+1),1,0),0)</f>
        <v>0</v>
      </c>
      <c r="AV189" s="71">
        <f>IF(AND($G189&lt;&gt;"",$M189="Completed"),IF(OR($Y189=ReportDate-1,$A189=ReportDate-1),1,0),0)</f>
        <v>0</v>
      </c>
      <c r="AW189" s="71">
        <f>IF(AND($AK189=1,$Z189="Yes"),1,0)</f>
        <v>0</v>
      </c>
      <c r="AX189" s="71">
        <f>IF(AND($AK189=1,$AA189="Yes"),1,0)</f>
        <v>0</v>
      </c>
      <c r="AY189" s="71">
        <f>IF(AND($AM189=1,OR($I189="Critical",$I189="High")),1,0)</f>
        <v>0</v>
      </c>
      <c r="AZ189" s="71">
        <f>IF(AND($AK189=1,OR($C189=TCL_Client,$C189=MECCA_Client)),1,0)</f>
        <v>0</v>
      </c>
      <c r="BA189" s="71" t="str">
        <f>IF($G189="","",IFERROR(MATCH($I189,lst_Priority,0),5))</f>
        <v/>
      </c>
      <c r="BB189" s="71" t="str">
        <f>IF(AND($AL189=1,$AJ189=1),$BA189*100000+ROW(),"")</f>
        <v/>
      </c>
      <c r="BC189" s="71" t="str">
        <f>IF(AND($AM189=1,$AJ189=1),$BA189*100000+ROW(),"")</f>
        <v/>
      </c>
      <c r="BD189" s="71" t="str">
        <f>IF(AND($AP189=1,$AJ189=1),$BA189*100000+ROW(),"")</f>
        <v/>
      </c>
      <c r="BE189" s="71" t="str">
        <f>IF(AND($AT189=1,$AJ189=1),$BA189*100000+ROW(),"")</f>
        <v/>
      </c>
      <c r="BF189" s="71" t="str">
        <f>IF(AND($AU189=1,$AJ189=1),$BA189*100000+ROW(),"")</f>
        <v/>
      </c>
      <c r="BG189" s="71" t="str">
        <f>IF(AND($AV189=1,$AJ189=1),$BA189*100000+ROW(),"")</f>
        <v/>
      </c>
      <c r="BH189" s="71" t="str">
        <f>IF(AND($AW189=1,$AJ189=1),$BA189*100000+ROW(),"")</f>
        <v/>
      </c>
      <c r="BI189" s="71" t="str">
        <f>IF(AND($AX189=1,$AJ189=1),$BA189*100000+ROW(),"")</f>
        <v/>
      </c>
      <c r="BJ189" s="71" t="str">
        <f>IF(AND($AS189=1,$AJ189=1),$BA189*100000+ROW(),"")</f>
        <v/>
      </c>
      <c r="BK189" s="71" t="str">
        <f>IF(AND($AY189=1,$AJ189=1),$BA189*100000+ROW(),"")</f>
        <v/>
      </c>
      <c r="BL189" s="71" t="str">
        <f>IF(AND($AZ189=1),$BA189*100000+ROW(),"")</f>
        <v/>
      </c>
    </row>
    <row r="190">
      <c r="A190" s="63" t="n"/>
      <c r="B190" s="64" t="n"/>
      <c r="C190" s="64" t="n"/>
      <c r="D190" s="64" t="n"/>
      <c r="E190" s="64" t="n"/>
      <c r="F190" s="64" t="n"/>
      <c r="G190" s="65" t="n"/>
      <c r="H190" s="65" t="n"/>
      <c r="I190" s="64" t="n"/>
      <c r="J190" s="64" t="n"/>
      <c r="K190" s="63" t="n"/>
      <c r="L190" s="63" t="n"/>
      <c r="M190" s="64" t="n"/>
      <c r="N190" s="66" t="n"/>
      <c r="O190" s="65" t="n"/>
      <c r="P190" s="64" t="n"/>
      <c r="Q190" s="67" t="n"/>
      <c r="R190" s="67" t="n"/>
      <c r="S190" s="68" t="str">
        <f>IF(AND(ISNUMBER($Q190),ISNUMBER($R190)),$Q190-$R190,"")</f>
        <v/>
      </c>
      <c r="T190" s="65" t="n"/>
      <c r="U190" s="64" t="n"/>
      <c r="V190" s="65" t="n"/>
      <c r="W190" s="63" t="n"/>
      <c r="X190" s="65" t="n"/>
      <c r="Y190" s="63" t="n"/>
      <c r="Z190" s="64" t="n"/>
      <c r="AA190" s="64" t="n"/>
      <c r="AB190" s="65" t="n"/>
      <c r="AC190" s="69" t="str">
        <f>IF(OR($G190="",NOT(ISNUMBER($K190)),$AK190=0),"",MAX(0,ReportDate-$K190))</f>
        <v/>
      </c>
      <c r="AD190" s="69" t="str">
        <f>IF($G190="","",IF($AL190=1,ReportDate-$L190,0))</f>
        <v/>
      </c>
      <c r="AE190" s="70" t="str">
        <f>IF($G190="","",IF($M190="Completed",1,IF(ISNUMBER($N190),$N190,0)))</f>
        <v/>
      </c>
      <c r="AF190" s="70" t="str">
        <f>IF(AND(ISNUMBER($Q190),ISNUMBER($R190)),IF($R190&lt;&gt;0,$Q190/$R190,""),"")</f>
        <v/>
      </c>
      <c r="AG190" s="71" t="str">
        <f>IF($G190="","",IF($AL190=1,"OVERDUE",IF($AM190=1,"BLOCKED",IF($AN190=1,"DUE TODAY",IF($AO190=1,"DUE TOMORROW",IF($AQ190=1,"HIGH PRIORITY",IF($AR190=1,"NO RECENT UPDATE",""))))))) </f>
        <v/>
      </c>
      <c r="AH190" s="71" t="str">
        <f>IF($G190="","",IF(ISNUMBER($A190),IF(ISNUMBER($A190),YEAR($A190)&amp;"-"&amp;TEXT(MONTH($A190),"00"),""),IF(ISNUMBER($L190),IF(ISNUMBER($L190),YEAR($L190)&amp;"-"&amp;TEXT(MONTH($L190),"00"),""),"")))</f>
        <v/>
      </c>
      <c r="AI190" s="71">
        <f>IF($G190="",0,IF(AND(OR(fClient="All",$C190=fClient),OR(fCampaign="All",$D190=fCampaign),OR(fTeam="All",$B190=fTeam),OR(fChannel="All",$F190=fChannel),OR(fMonth="All",$AH190=fMonth),OR(fTStatus="All",$M190=fTStatus)),1,0))</f>
        <v>0</v>
      </c>
      <c r="AJ190" s="71">
        <f>IF($G190="",0,IF(AND(OR(fClient="All",$C190=fClient),OR(fCampaign="All",$D190=fCampaign),OR(fTeam="All",$B190=fTeam),OR(fChannel="All",$F190=fChannel)),1,0))</f>
        <v>0</v>
      </c>
      <c r="AK190" s="71">
        <f>IF($G190="",0,IF(OR($M190="Completed",$M190="Cancelled"),0,1))</f>
        <v>0</v>
      </c>
      <c r="AL190" s="71">
        <f>IF(AND($AK190=1,ISNUMBER($L190)),IF($L190&lt;ReportDate,1,0),0)</f>
        <v>0</v>
      </c>
      <c r="AM190" s="71">
        <f>IF(AND($G190&lt;&gt;"",$M190="Blocked"),1,0)</f>
        <v>0</v>
      </c>
      <c r="AN190" s="71">
        <f>IF(AND($AK190=1,ISNUMBER($L190)),IF($L190=ReportDate,1,0),0)</f>
        <v>0</v>
      </c>
      <c r="AO190" s="71">
        <f>IF(AND($AK190=1,ISNUMBER($L190)),IF($L190=ReportDate+1,1,0),0)</f>
        <v>0</v>
      </c>
      <c r="AP190" s="71">
        <f>IF(AND($AK190=1,ISNUMBER($L190)),IF(AND($L190&gt;=ReportDate,$L190&lt;=ReportDate+DueSoonDays),1,0),0)</f>
        <v>0</v>
      </c>
      <c r="AQ190" s="71">
        <f>IF(AND($AK190=1,OR($I190="Critical",$I190="High")),1,0)</f>
        <v>0</v>
      </c>
      <c r="AR190" s="71">
        <f>IF($AK190=1,IF(ISNUMBER($Y190),IF(ReportDate-$Y190&gt;StaleDays,1,0),1),0)</f>
        <v>0</v>
      </c>
      <c r="AS190" s="71">
        <f>IF(AND($G190&lt;&gt;"",ISNUMBER($Q190),ISNUMBER($R190)),IF(AND($Q190&lt;$R190,OR($M190="Completed",AND(ISNUMBER($L190),$L190&lt;ReportDate))),1,0),0)</f>
        <v>0</v>
      </c>
      <c r="AT190" s="71">
        <f>IF($AK190=1,IF(OR($L190=ReportDate,$W190=ReportDate,$K190=ReportDate,$A190=ReportDate),1,0),0)</f>
        <v>0</v>
      </c>
      <c r="AU190" s="71">
        <f>IF($AK190=1,IF(OR($L190=ReportDate+1,$W190=ReportDate+1,$K190=ReportDate+1,$A190=ReportDate+1),1,0),0)</f>
        <v>0</v>
      </c>
      <c r="AV190" s="71">
        <f>IF(AND($G190&lt;&gt;"",$M190="Completed"),IF(OR($Y190=ReportDate-1,$A190=ReportDate-1),1,0),0)</f>
        <v>0</v>
      </c>
      <c r="AW190" s="71">
        <f>IF(AND($AK190=1,$Z190="Yes"),1,0)</f>
        <v>0</v>
      </c>
      <c r="AX190" s="71">
        <f>IF(AND($AK190=1,$AA190="Yes"),1,0)</f>
        <v>0</v>
      </c>
      <c r="AY190" s="71">
        <f>IF(AND($AM190=1,OR($I190="Critical",$I190="High")),1,0)</f>
        <v>0</v>
      </c>
      <c r="AZ190" s="71">
        <f>IF(AND($AK190=1,OR($C190=TCL_Client,$C190=MECCA_Client)),1,0)</f>
        <v>0</v>
      </c>
      <c r="BA190" s="71" t="str">
        <f>IF($G190="","",IFERROR(MATCH($I190,lst_Priority,0),5))</f>
        <v/>
      </c>
      <c r="BB190" s="71" t="str">
        <f>IF(AND($AL190=1,$AJ190=1),$BA190*100000+ROW(),"")</f>
        <v/>
      </c>
      <c r="BC190" s="71" t="str">
        <f>IF(AND($AM190=1,$AJ190=1),$BA190*100000+ROW(),"")</f>
        <v/>
      </c>
      <c r="BD190" s="71" t="str">
        <f>IF(AND($AP190=1,$AJ190=1),$BA190*100000+ROW(),"")</f>
        <v/>
      </c>
      <c r="BE190" s="71" t="str">
        <f>IF(AND($AT190=1,$AJ190=1),$BA190*100000+ROW(),"")</f>
        <v/>
      </c>
      <c r="BF190" s="71" t="str">
        <f>IF(AND($AU190=1,$AJ190=1),$BA190*100000+ROW(),"")</f>
        <v/>
      </c>
      <c r="BG190" s="71" t="str">
        <f>IF(AND($AV190=1,$AJ190=1),$BA190*100000+ROW(),"")</f>
        <v/>
      </c>
      <c r="BH190" s="71" t="str">
        <f>IF(AND($AW190=1,$AJ190=1),$BA190*100000+ROW(),"")</f>
        <v/>
      </c>
      <c r="BI190" s="71" t="str">
        <f>IF(AND($AX190=1,$AJ190=1),$BA190*100000+ROW(),"")</f>
        <v/>
      </c>
      <c r="BJ190" s="71" t="str">
        <f>IF(AND($AS190=1,$AJ190=1),$BA190*100000+ROW(),"")</f>
        <v/>
      </c>
      <c r="BK190" s="71" t="str">
        <f>IF(AND($AY190=1,$AJ190=1),$BA190*100000+ROW(),"")</f>
        <v/>
      </c>
      <c r="BL190" s="71" t="str">
        <f>IF(AND($AZ190=1),$BA190*100000+ROW(),"")</f>
        <v/>
      </c>
    </row>
    <row r="191">
      <c r="A191" s="63" t="n"/>
      <c r="B191" s="64" t="n"/>
      <c r="C191" s="64" t="n"/>
      <c r="D191" s="64" t="n"/>
      <c r="E191" s="64" t="n"/>
      <c r="F191" s="64" t="n"/>
      <c r="G191" s="65" t="n"/>
      <c r="H191" s="65" t="n"/>
      <c r="I191" s="64" t="n"/>
      <c r="J191" s="64" t="n"/>
      <c r="K191" s="63" t="n"/>
      <c r="L191" s="63" t="n"/>
      <c r="M191" s="64" t="n"/>
      <c r="N191" s="66" t="n"/>
      <c r="O191" s="65" t="n"/>
      <c r="P191" s="64" t="n"/>
      <c r="Q191" s="67" t="n"/>
      <c r="R191" s="67" t="n"/>
      <c r="S191" s="68" t="str">
        <f>IF(AND(ISNUMBER($Q191),ISNUMBER($R191)),$Q191-$R191,"")</f>
        <v/>
      </c>
      <c r="T191" s="65" t="n"/>
      <c r="U191" s="64" t="n"/>
      <c r="V191" s="65" t="n"/>
      <c r="W191" s="63" t="n"/>
      <c r="X191" s="65" t="n"/>
      <c r="Y191" s="63" t="n"/>
      <c r="Z191" s="64" t="n"/>
      <c r="AA191" s="64" t="n"/>
      <c r="AB191" s="65" t="n"/>
      <c r="AC191" s="69" t="str">
        <f>IF(OR($G191="",NOT(ISNUMBER($K191)),$AK191=0),"",MAX(0,ReportDate-$K191))</f>
        <v/>
      </c>
      <c r="AD191" s="69" t="str">
        <f>IF($G191="","",IF($AL191=1,ReportDate-$L191,0))</f>
        <v/>
      </c>
      <c r="AE191" s="70" t="str">
        <f>IF($G191="","",IF($M191="Completed",1,IF(ISNUMBER($N191),$N191,0)))</f>
        <v/>
      </c>
      <c r="AF191" s="70" t="str">
        <f>IF(AND(ISNUMBER($Q191),ISNUMBER($R191)),IF($R191&lt;&gt;0,$Q191/$R191,""),"")</f>
        <v/>
      </c>
      <c r="AG191" s="71" t="str">
        <f>IF($G191="","",IF($AL191=1,"OVERDUE",IF($AM191=1,"BLOCKED",IF($AN191=1,"DUE TODAY",IF($AO191=1,"DUE TOMORROW",IF($AQ191=1,"HIGH PRIORITY",IF($AR191=1,"NO RECENT UPDATE",""))))))) </f>
        <v/>
      </c>
      <c r="AH191" s="71" t="str">
        <f>IF($G191="","",IF(ISNUMBER($A191),IF(ISNUMBER($A191),YEAR($A191)&amp;"-"&amp;TEXT(MONTH($A191),"00"),""),IF(ISNUMBER($L191),IF(ISNUMBER($L191),YEAR($L191)&amp;"-"&amp;TEXT(MONTH($L191),"00"),""),"")))</f>
        <v/>
      </c>
      <c r="AI191" s="71">
        <f>IF($G191="",0,IF(AND(OR(fClient="All",$C191=fClient),OR(fCampaign="All",$D191=fCampaign),OR(fTeam="All",$B191=fTeam),OR(fChannel="All",$F191=fChannel),OR(fMonth="All",$AH191=fMonth),OR(fTStatus="All",$M191=fTStatus)),1,0))</f>
        <v>0</v>
      </c>
      <c r="AJ191" s="71">
        <f>IF($G191="",0,IF(AND(OR(fClient="All",$C191=fClient),OR(fCampaign="All",$D191=fCampaign),OR(fTeam="All",$B191=fTeam),OR(fChannel="All",$F191=fChannel)),1,0))</f>
        <v>0</v>
      </c>
      <c r="AK191" s="71">
        <f>IF($G191="",0,IF(OR($M191="Completed",$M191="Cancelled"),0,1))</f>
        <v>0</v>
      </c>
      <c r="AL191" s="71">
        <f>IF(AND($AK191=1,ISNUMBER($L191)),IF($L191&lt;ReportDate,1,0),0)</f>
        <v>0</v>
      </c>
      <c r="AM191" s="71">
        <f>IF(AND($G191&lt;&gt;"",$M191="Blocked"),1,0)</f>
        <v>0</v>
      </c>
      <c r="AN191" s="71">
        <f>IF(AND($AK191=1,ISNUMBER($L191)),IF($L191=ReportDate,1,0),0)</f>
        <v>0</v>
      </c>
      <c r="AO191" s="71">
        <f>IF(AND($AK191=1,ISNUMBER($L191)),IF($L191=ReportDate+1,1,0),0)</f>
        <v>0</v>
      </c>
      <c r="AP191" s="71">
        <f>IF(AND($AK191=1,ISNUMBER($L191)),IF(AND($L191&gt;=ReportDate,$L191&lt;=ReportDate+DueSoonDays),1,0),0)</f>
        <v>0</v>
      </c>
      <c r="AQ191" s="71">
        <f>IF(AND($AK191=1,OR($I191="Critical",$I191="High")),1,0)</f>
        <v>0</v>
      </c>
      <c r="AR191" s="71">
        <f>IF($AK191=1,IF(ISNUMBER($Y191),IF(ReportDate-$Y191&gt;StaleDays,1,0),1),0)</f>
        <v>0</v>
      </c>
      <c r="AS191" s="71">
        <f>IF(AND($G191&lt;&gt;"",ISNUMBER($Q191),ISNUMBER($R191)),IF(AND($Q191&lt;$R191,OR($M191="Completed",AND(ISNUMBER($L191),$L191&lt;ReportDate))),1,0),0)</f>
        <v>0</v>
      </c>
      <c r="AT191" s="71">
        <f>IF($AK191=1,IF(OR($L191=ReportDate,$W191=ReportDate,$K191=ReportDate,$A191=ReportDate),1,0),0)</f>
        <v>0</v>
      </c>
      <c r="AU191" s="71">
        <f>IF($AK191=1,IF(OR($L191=ReportDate+1,$W191=ReportDate+1,$K191=ReportDate+1,$A191=ReportDate+1),1,0),0)</f>
        <v>0</v>
      </c>
      <c r="AV191" s="71">
        <f>IF(AND($G191&lt;&gt;"",$M191="Completed"),IF(OR($Y191=ReportDate-1,$A191=ReportDate-1),1,0),0)</f>
        <v>0</v>
      </c>
      <c r="AW191" s="71">
        <f>IF(AND($AK191=1,$Z191="Yes"),1,0)</f>
        <v>0</v>
      </c>
      <c r="AX191" s="71">
        <f>IF(AND($AK191=1,$AA191="Yes"),1,0)</f>
        <v>0</v>
      </c>
      <c r="AY191" s="71">
        <f>IF(AND($AM191=1,OR($I191="Critical",$I191="High")),1,0)</f>
        <v>0</v>
      </c>
      <c r="AZ191" s="71">
        <f>IF(AND($AK191=1,OR($C191=TCL_Client,$C191=MECCA_Client)),1,0)</f>
        <v>0</v>
      </c>
      <c r="BA191" s="71" t="str">
        <f>IF($G191="","",IFERROR(MATCH($I191,lst_Priority,0),5))</f>
        <v/>
      </c>
      <c r="BB191" s="71" t="str">
        <f>IF(AND($AL191=1,$AJ191=1),$BA191*100000+ROW(),"")</f>
        <v/>
      </c>
      <c r="BC191" s="71" t="str">
        <f>IF(AND($AM191=1,$AJ191=1),$BA191*100000+ROW(),"")</f>
        <v/>
      </c>
      <c r="BD191" s="71" t="str">
        <f>IF(AND($AP191=1,$AJ191=1),$BA191*100000+ROW(),"")</f>
        <v/>
      </c>
      <c r="BE191" s="71" t="str">
        <f>IF(AND($AT191=1,$AJ191=1),$BA191*100000+ROW(),"")</f>
        <v/>
      </c>
      <c r="BF191" s="71" t="str">
        <f>IF(AND($AU191=1,$AJ191=1),$BA191*100000+ROW(),"")</f>
        <v/>
      </c>
      <c r="BG191" s="71" t="str">
        <f>IF(AND($AV191=1,$AJ191=1),$BA191*100000+ROW(),"")</f>
        <v/>
      </c>
      <c r="BH191" s="71" t="str">
        <f>IF(AND($AW191=1,$AJ191=1),$BA191*100000+ROW(),"")</f>
        <v/>
      </c>
      <c r="BI191" s="71" t="str">
        <f>IF(AND($AX191=1,$AJ191=1),$BA191*100000+ROW(),"")</f>
        <v/>
      </c>
      <c r="BJ191" s="71" t="str">
        <f>IF(AND($AS191=1,$AJ191=1),$BA191*100000+ROW(),"")</f>
        <v/>
      </c>
      <c r="BK191" s="71" t="str">
        <f>IF(AND($AY191=1,$AJ191=1),$BA191*100000+ROW(),"")</f>
        <v/>
      </c>
      <c r="BL191" s="71" t="str">
        <f>IF(AND($AZ191=1),$BA191*100000+ROW(),"")</f>
        <v/>
      </c>
    </row>
    <row r="192">
      <c r="A192" s="63" t="n"/>
      <c r="B192" s="64" t="n"/>
      <c r="C192" s="64" t="n"/>
      <c r="D192" s="64" t="n"/>
      <c r="E192" s="64" t="n"/>
      <c r="F192" s="64" t="n"/>
      <c r="G192" s="65" t="n"/>
      <c r="H192" s="65" t="n"/>
      <c r="I192" s="64" t="n"/>
      <c r="J192" s="64" t="n"/>
      <c r="K192" s="63" t="n"/>
      <c r="L192" s="63" t="n"/>
      <c r="M192" s="64" t="n"/>
      <c r="N192" s="66" t="n"/>
      <c r="O192" s="65" t="n"/>
      <c r="P192" s="64" t="n"/>
      <c r="Q192" s="67" t="n"/>
      <c r="R192" s="67" t="n"/>
      <c r="S192" s="68" t="str">
        <f>IF(AND(ISNUMBER($Q192),ISNUMBER($R192)),$Q192-$R192,"")</f>
        <v/>
      </c>
      <c r="T192" s="65" t="n"/>
      <c r="U192" s="64" t="n"/>
      <c r="V192" s="65" t="n"/>
      <c r="W192" s="63" t="n"/>
      <c r="X192" s="65" t="n"/>
      <c r="Y192" s="63" t="n"/>
      <c r="Z192" s="64" t="n"/>
      <c r="AA192" s="64" t="n"/>
      <c r="AB192" s="65" t="n"/>
      <c r="AC192" s="69" t="str">
        <f>IF(OR($G192="",NOT(ISNUMBER($K192)),$AK192=0),"",MAX(0,ReportDate-$K192))</f>
        <v/>
      </c>
      <c r="AD192" s="69" t="str">
        <f>IF($G192="","",IF($AL192=1,ReportDate-$L192,0))</f>
        <v/>
      </c>
      <c r="AE192" s="70" t="str">
        <f>IF($G192="","",IF($M192="Completed",1,IF(ISNUMBER($N192),$N192,0)))</f>
        <v/>
      </c>
      <c r="AF192" s="70" t="str">
        <f>IF(AND(ISNUMBER($Q192),ISNUMBER($R192)),IF($R192&lt;&gt;0,$Q192/$R192,""),"")</f>
        <v/>
      </c>
      <c r="AG192" s="71" t="str">
        <f>IF($G192="","",IF($AL192=1,"OVERDUE",IF($AM192=1,"BLOCKED",IF($AN192=1,"DUE TODAY",IF($AO192=1,"DUE TOMORROW",IF($AQ192=1,"HIGH PRIORITY",IF($AR192=1,"NO RECENT UPDATE",""))))))) </f>
        <v/>
      </c>
      <c r="AH192" s="71" t="str">
        <f>IF($G192="","",IF(ISNUMBER($A192),IF(ISNUMBER($A192),YEAR($A192)&amp;"-"&amp;TEXT(MONTH($A192),"00"),""),IF(ISNUMBER($L192),IF(ISNUMBER($L192),YEAR($L192)&amp;"-"&amp;TEXT(MONTH($L192),"00"),""),"")))</f>
        <v/>
      </c>
      <c r="AI192" s="71">
        <f>IF($G192="",0,IF(AND(OR(fClient="All",$C192=fClient),OR(fCampaign="All",$D192=fCampaign),OR(fTeam="All",$B192=fTeam),OR(fChannel="All",$F192=fChannel),OR(fMonth="All",$AH192=fMonth),OR(fTStatus="All",$M192=fTStatus)),1,0))</f>
        <v>0</v>
      </c>
      <c r="AJ192" s="71">
        <f>IF($G192="",0,IF(AND(OR(fClient="All",$C192=fClient),OR(fCampaign="All",$D192=fCampaign),OR(fTeam="All",$B192=fTeam),OR(fChannel="All",$F192=fChannel)),1,0))</f>
        <v>0</v>
      </c>
      <c r="AK192" s="71">
        <f>IF($G192="",0,IF(OR($M192="Completed",$M192="Cancelled"),0,1))</f>
        <v>0</v>
      </c>
      <c r="AL192" s="71">
        <f>IF(AND($AK192=1,ISNUMBER($L192)),IF($L192&lt;ReportDate,1,0),0)</f>
        <v>0</v>
      </c>
      <c r="AM192" s="71">
        <f>IF(AND($G192&lt;&gt;"",$M192="Blocked"),1,0)</f>
        <v>0</v>
      </c>
      <c r="AN192" s="71">
        <f>IF(AND($AK192=1,ISNUMBER($L192)),IF($L192=ReportDate,1,0),0)</f>
        <v>0</v>
      </c>
      <c r="AO192" s="71">
        <f>IF(AND($AK192=1,ISNUMBER($L192)),IF($L192=ReportDate+1,1,0),0)</f>
        <v>0</v>
      </c>
      <c r="AP192" s="71">
        <f>IF(AND($AK192=1,ISNUMBER($L192)),IF(AND($L192&gt;=ReportDate,$L192&lt;=ReportDate+DueSoonDays),1,0),0)</f>
        <v>0</v>
      </c>
      <c r="AQ192" s="71">
        <f>IF(AND($AK192=1,OR($I192="Critical",$I192="High")),1,0)</f>
        <v>0</v>
      </c>
      <c r="AR192" s="71">
        <f>IF($AK192=1,IF(ISNUMBER($Y192),IF(ReportDate-$Y192&gt;StaleDays,1,0),1),0)</f>
        <v>0</v>
      </c>
      <c r="AS192" s="71">
        <f>IF(AND($G192&lt;&gt;"",ISNUMBER($Q192),ISNUMBER($R192)),IF(AND($Q192&lt;$R192,OR($M192="Completed",AND(ISNUMBER($L192),$L192&lt;ReportDate))),1,0),0)</f>
        <v>0</v>
      </c>
      <c r="AT192" s="71">
        <f>IF($AK192=1,IF(OR($L192=ReportDate,$W192=ReportDate,$K192=ReportDate,$A192=ReportDate),1,0),0)</f>
        <v>0</v>
      </c>
      <c r="AU192" s="71">
        <f>IF($AK192=1,IF(OR($L192=ReportDate+1,$W192=ReportDate+1,$K192=ReportDate+1,$A192=ReportDate+1),1,0),0)</f>
        <v>0</v>
      </c>
      <c r="AV192" s="71">
        <f>IF(AND($G192&lt;&gt;"",$M192="Completed"),IF(OR($Y192=ReportDate-1,$A192=ReportDate-1),1,0),0)</f>
        <v>0</v>
      </c>
      <c r="AW192" s="71">
        <f>IF(AND($AK192=1,$Z192="Yes"),1,0)</f>
        <v>0</v>
      </c>
      <c r="AX192" s="71">
        <f>IF(AND($AK192=1,$AA192="Yes"),1,0)</f>
        <v>0</v>
      </c>
      <c r="AY192" s="71">
        <f>IF(AND($AM192=1,OR($I192="Critical",$I192="High")),1,0)</f>
        <v>0</v>
      </c>
      <c r="AZ192" s="71">
        <f>IF(AND($AK192=1,OR($C192=TCL_Client,$C192=MECCA_Client)),1,0)</f>
        <v>0</v>
      </c>
      <c r="BA192" s="71" t="str">
        <f>IF($G192="","",IFERROR(MATCH($I192,lst_Priority,0),5))</f>
        <v/>
      </c>
      <c r="BB192" s="71" t="str">
        <f>IF(AND($AL192=1,$AJ192=1),$BA192*100000+ROW(),"")</f>
        <v/>
      </c>
      <c r="BC192" s="71" t="str">
        <f>IF(AND($AM192=1,$AJ192=1),$BA192*100000+ROW(),"")</f>
        <v/>
      </c>
      <c r="BD192" s="71" t="str">
        <f>IF(AND($AP192=1,$AJ192=1),$BA192*100000+ROW(),"")</f>
        <v/>
      </c>
      <c r="BE192" s="71" t="str">
        <f>IF(AND($AT192=1,$AJ192=1),$BA192*100000+ROW(),"")</f>
        <v/>
      </c>
      <c r="BF192" s="71" t="str">
        <f>IF(AND($AU192=1,$AJ192=1),$BA192*100000+ROW(),"")</f>
        <v/>
      </c>
      <c r="BG192" s="71" t="str">
        <f>IF(AND($AV192=1,$AJ192=1),$BA192*100000+ROW(),"")</f>
        <v/>
      </c>
      <c r="BH192" s="71" t="str">
        <f>IF(AND($AW192=1,$AJ192=1),$BA192*100000+ROW(),"")</f>
        <v/>
      </c>
      <c r="BI192" s="71" t="str">
        <f>IF(AND($AX192=1,$AJ192=1),$BA192*100000+ROW(),"")</f>
        <v/>
      </c>
      <c r="BJ192" s="71" t="str">
        <f>IF(AND($AS192=1,$AJ192=1),$BA192*100000+ROW(),"")</f>
        <v/>
      </c>
      <c r="BK192" s="71" t="str">
        <f>IF(AND($AY192=1,$AJ192=1),$BA192*100000+ROW(),"")</f>
        <v/>
      </c>
      <c r="BL192" s="71" t="str">
        <f>IF(AND($AZ192=1),$BA192*100000+ROW(),"")</f>
        <v/>
      </c>
    </row>
    <row r="193">
      <c r="A193" s="63" t="n"/>
      <c r="B193" s="64" t="n"/>
      <c r="C193" s="64" t="n"/>
      <c r="D193" s="64" t="n"/>
      <c r="E193" s="64" t="n"/>
      <c r="F193" s="64" t="n"/>
      <c r="G193" s="65" t="n"/>
      <c r="H193" s="65" t="n"/>
      <c r="I193" s="64" t="n"/>
      <c r="J193" s="64" t="n"/>
      <c r="K193" s="63" t="n"/>
      <c r="L193" s="63" t="n"/>
      <c r="M193" s="64" t="n"/>
      <c r="N193" s="66" t="n"/>
      <c r="O193" s="65" t="n"/>
      <c r="P193" s="64" t="n"/>
      <c r="Q193" s="67" t="n"/>
      <c r="R193" s="67" t="n"/>
      <c r="S193" s="68" t="str">
        <f>IF(AND(ISNUMBER($Q193),ISNUMBER($R193)),$Q193-$R193,"")</f>
        <v/>
      </c>
      <c r="T193" s="65" t="n"/>
      <c r="U193" s="64" t="n"/>
      <c r="V193" s="65" t="n"/>
      <c r="W193" s="63" t="n"/>
      <c r="X193" s="65" t="n"/>
      <c r="Y193" s="63" t="n"/>
      <c r="Z193" s="64" t="n"/>
      <c r="AA193" s="64" t="n"/>
      <c r="AB193" s="65" t="n"/>
      <c r="AC193" s="69" t="str">
        <f>IF(OR($G193="",NOT(ISNUMBER($K193)),$AK193=0),"",MAX(0,ReportDate-$K193))</f>
        <v/>
      </c>
      <c r="AD193" s="69" t="str">
        <f>IF($G193="","",IF($AL193=1,ReportDate-$L193,0))</f>
        <v/>
      </c>
      <c r="AE193" s="70" t="str">
        <f>IF($G193="","",IF($M193="Completed",1,IF(ISNUMBER($N193),$N193,0)))</f>
        <v/>
      </c>
      <c r="AF193" s="70" t="str">
        <f>IF(AND(ISNUMBER($Q193),ISNUMBER($R193)),IF($R193&lt;&gt;0,$Q193/$R193,""),"")</f>
        <v/>
      </c>
      <c r="AG193" s="71" t="str">
        <f>IF($G193="","",IF($AL193=1,"OVERDUE",IF($AM193=1,"BLOCKED",IF($AN193=1,"DUE TODAY",IF($AO193=1,"DUE TOMORROW",IF($AQ193=1,"HIGH PRIORITY",IF($AR193=1,"NO RECENT UPDATE",""))))))) </f>
        <v/>
      </c>
      <c r="AH193" s="71" t="str">
        <f>IF($G193="","",IF(ISNUMBER($A193),IF(ISNUMBER($A193),YEAR($A193)&amp;"-"&amp;TEXT(MONTH($A193),"00"),""),IF(ISNUMBER($L193),IF(ISNUMBER($L193),YEAR($L193)&amp;"-"&amp;TEXT(MONTH($L193),"00"),""),"")))</f>
        <v/>
      </c>
      <c r="AI193" s="71">
        <f>IF($G193="",0,IF(AND(OR(fClient="All",$C193=fClient),OR(fCampaign="All",$D193=fCampaign),OR(fTeam="All",$B193=fTeam),OR(fChannel="All",$F193=fChannel),OR(fMonth="All",$AH193=fMonth),OR(fTStatus="All",$M193=fTStatus)),1,0))</f>
        <v>0</v>
      </c>
      <c r="AJ193" s="71">
        <f>IF($G193="",0,IF(AND(OR(fClient="All",$C193=fClient),OR(fCampaign="All",$D193=fCampaign),OR(fTeam="All",$B193=fTeam),OR(fChannel="All",$F193=fChannel)),1,0))</f>
        <v>0</v>
      </c>
      <c r="AK193" s="71">
        <f>IF($G193="",0,IF(OR($M193="Completed",$M193="Cancelled"),0,1))</f>
        <v>0</v>
      </c>
      <c r="AL193" s="71">
        <f>IF(AND($AK193=1,ISNUMBER($L193)),IF($L193&lt;ReportDate,1,0),0)</f>
        <v>0</v>
      </c>
      <c r="AM193" s="71">
        <f>IF(AND($G193&lt;&gt;"",$M193="Blocked"),1,0)</f>
        <v>0</v>
      </c>
      <c r="AN193" s="71">
        <f>IF(AND($AK193=1,ISNUMBER($L193)),IF($L193=ReportDate,1,0),0)</f>
        <v>0</v>
      </c>
      <c r="AO193" s="71">
        <f>IF(AND($AK193=1,ISNUMBER($L193)),IF($L193=ReportDate+1,1,0),0)</f>
        <v>0</v>
      </c>
      <c r="AP193" s="71">
        <f>IF(AND($AK193=1,ISNUMBER($L193)),IF(AND($L193&gt;=ReportDate,$L193&lt;=ReportDate+DueSoonDays),1,0),0)</f>
        <v>0</v>
      </c>
      <c r="AQ193" s="71">
        <f>IF(AND($AK193=1,OR($I193="Critical",$I193="High")),1,0)</f>
        <v>0</v>
      </c>
      <c r="AR193" s="71">
        <f>IF($AK193=1,IF(ISNUMBER($Y193),IF(ReportDate-$Y193&gt;StaleDays,1,0),1),0)</f>
        <v>0</v>
      </c>
      <c r="AS193" s="71">
        <f>IF(AND($G193&lt;&gt;"",ISNUMBER($Q193),ISNUMBER($R193)),IF(AND($Q193&lt;$R193,OR($M193="Completed",AND(ISNUMBER($L193),$L193&lt;ReportDate))),1,0),0)</f>
        <v>0</v>
      </c>
      <c r="AT193" s="71">
        <f>IF($AK193=1,IF(OR($L193=ReportDate,$W193=ReportDate,$K193=ReportDate,$A193=ReportDate),1,0),0)</f>
        <v>0</v>
      </c>
      <c r="AU193" s="71">
        <f>IF($AK193=1,IF(OR($L193=ReportDate+1,$W193=ReportDate+1,$K193=ReportDate+1,$A193=ReportDate+1),1,0),0)</f>
        <v>0</v>
      </c>
      <c r="AV193" s="71">
        <f>IF(AND($G193&lt;&gt;"",$M193="Completed"),IF(OR($Y193=ReportDate-1,$A193=ReportDate-1),1,0),0)</f>
        <v>0</v>
      </c>
      <c r="AW193" s="71">
        <f>IF(AND($AK193=1,$Z193="Yes"),1,0)</f>
        <v>0</v>
      </c>
      <c r="AX193" s="71">
        <f>IF(AND($AK193=1,$AA193="Yes"),1,0)</f>
        <v>0</v>
      </c>
      <c r="AY193" s="71">
        <f>IF(AND($AM193=1,OR($I193="Critical",$I193="High")),1,0)</f>
        <v>0</v>
      </c>
      <c r="AZ193" s="71">
        <f>IF(AND($AK193=1,OR($C193=TCL_Client,$C193=MECCA_Client)),1,0)</f>
        <v>0</v>
      </c>
      <c r="BA193" s="71" t="str">
        <f>IF($G193="","",IFERROR(MATCH($I193,lst_Priority,0),5))</f>
        <v/>
      </c>
      <c r="BB193" s="71" t="str">
        <f>IF(AND($AL193=1,$AJ193=1),$BA193*100000+ROW(),"")</f>
        <v/>
      </c>
      <c r="BC193" s="71" t="str">
        <f>IF(AND($AM193=1,$AJ193=1),$BA193*100000+ROW(),"")</f>
        <v/>
      </c>
      <c r="BD193" s="71" t="str">
        <f>IF(AND($AP193=1,$AJ193=1),$BA193*100000+ROW(),"")</f>
        <v/>
      </c>
      <c r="BE193" s="71" t="str">
        <f>IF(AND($AT193=1,$AJ193=1),$BA193*100000+ROW(),"")</f>
        <v/>
      </c>
      <c r="BF193" s="71" t="str">
        <f>IF(AND($AU193=1,$AJ193=1),$BA193*100000+ROW(),"")</f>
        <v/>
      </c>
      <c r="BG193" s="71" t="str">
        <f>IF(AND($AV193=1,$AJ193=1),$BA193*100000+ROW(),"")</f>
        <v/>
      </c>
      <c r="BH193" s="71" t="str">
        <f>IF(AND($AW193=1,$AJ193=1),$BA193*100000+ROW(),"")</f>
        <v/>
      </c>
      <c r="BI193" s="71" t="str">
        <f>IF(AND($AX193=1,$AJ193=1),$BA193*100000+ROW(),"")</f>
        <v/>
      </c>
      <c r="BJ193" s="71" t="str">
        <f>IF(AND($AS193=1,$AJ193=1),$BA193*100000+ROW(),"")</f>
        <v/>
      </c>
      <c r="BK193" s="71" t="str">
        <f>IF(AND($AY193=1,$AJ193=1),$BA193*100000+ROW(),"")</f>
        <v/>
      </c>
      <c r="BL193" s="71" t="str">
        <f>IF(AND($AZ193=1),$BA193*100000+ROW(),"")</f>
        <v/>
      </c>
    </row>
    <row r="194">
      <c r="A194" s="63" t="n"/>
      <c r="B194" s="64" t="n"/>
      <c r="C194" s="64" t="n"/>
      <c r="D194" s="64" t="n"/>
      <c r="E194" s="64" t="n"/>
      <c r="F194" s="64" t="n"/>
      <c r="G194" s="65" t="n"/>
      <c r="H194" s="65" t="n"/>
      <c r="I194" s="64" t="n"/>
      <c r="J194" s="64" t="n"/>
      <c r="K194" s="63" t="n"/>
      <c r="L194" s="63" t="n"/>
      <c r="M194" s="64" t="n"/>
      <c r="N194" s="66" t="n"/>
      <c r="O194" s="65" t="n"/>
      <c r="P194" s="64" t="n"/>
      <c r="Q194" s="67" t="n"/>
      <c r="R194" s="67" t="n"/>
      <c r="S194" s="68" t="str">
        <f>IF(AND(ISNUMBER($Q194),ISNUMBER($R194)),$Q194-$R194,"")</f>
        <v/>
      </c>
      <c r="T194" s="65" t="n"/>
      <c r="U194" s="64" t="n"/>
      <c r="V194" s="65" t="n"/>
      <c r="W194" s="63" t="n"/>
      <c r="X194" s="65" t="n"/>
      <c r="Y194" s="63" t="n"/>
      <c r="Z194" s="64" t="n"/>
      <c r="AA194" s="64" t="n"/>
      <c r="AB194" s="65" t="n"/>
      <c r="AC194" s="69" t="str">
        <f>IF(OR($G194="",NOT(ISNUMBER($K194)),$AK194=0),"",MAX(0,ReportDate-$K194))</f>
        <v/>
      </c>
      <c r="AD194" s="69" t="str">
        <f>IF($G194="","",IF($AL194=1,ReportDate-$L194,0))</f>
        <v/>
      </c>
      <c r="AE194" s="70" t="str">
        <f>IF($G194="","",IF($M194="Completed",1,IF(ISNUMBER($N194),$N194,0)))</f>
        <v/>
      </c>
      <c r="AF194" s="70" t="str">
        <f>IF(AND(ISNUMBER($Q194),ISNUMBER($R194)),IF($R194&lt;&gt;0,$Q194/$R194,""),"")</f>
        <v/>
      </c>
      <c r="AG194" s="71" t="str">
        <f>IF($G194="","",IF($AL194=1,"OVERDUE",IF($AM194=1,"BLOCKED",IF($AN194=1,"DUE TODAY",IF($AO194=1,"DUE TOMORROW",IF($AQ194=1,"HIGH PRIORITY",IF($AR194=1,"NO RECENT UPDATE",""))))))) </f>
        <v/>
      </c>
      <c r="AH194" s="71" t="str">
        <f>IF($G194="","",IF(ISNUMBER($A194),IF(ISNUMBER($A194),YEAR($A194)&amp;"-"&amp;TEXT(MONTH($A194),"00"),""),IF(ISNUMBER($L194),IF(ISNUMBER($L194),YEAR($L194)&amp;"-"&amp;TEXT(MONTH($L194),"00"),""),"")))</f>
        <v/>
      </c>
      <c r="AI194" s="71">
        <f>IF($G194="",0,IF(AND(OR(fClient="All",$C194=fClient),OR(fCampaign="All",$D194=fCampaign),OR(fTeam="All",$B194=fTeam),OR(fChannel="All",$F194=fChannel),OR(fMonth="All",$AH194=fMonth),OR(fTStatus="All",$M194=fTStatus)),1,0))</f>
        <v>0</v>
      </c>
      <c r="AJ194" s="71">
        <f>IF($G194="",0,IF(AND(OR(fClient="All",$C194=fClient),OR(fCampaign="All",$D194=fCampaign),OR(fTeam="All",$B194=fTeam),OR(fChannel="All",$F194=fChannel)),1,0))</f>
        <v>0</v>
      </c>
      <c r="AK194" s="71">
        <f>IF($G194="",0,IF(OR($M194="Completed",$M194="Cancelled"),0,1))</f>
        <v>0</v>
      </c>
      <c r="AL194" s="71">
        <f>IF(AND($AK194=1,ISNUMBER($L194)),IF($L194&lt;ReportDate,1,0),0)</f>
        <v>0</v>
      </c>
      <c r="AM194" s="71">
        <f>IF(AND($G194&lt;&gt;"",$M194="Blocked"),1,0)</f>
        <v>0</v>
      </c>
      <c r="AN194" s="71">
        <f>IF(AND($AK194=1,ISNUMBER($L194)),IF($L194=ReportDate,1,0),0)</f>
        <v>0</v>
      </c>
      <c r="AO194" s="71">
        <f>IF(AND($AK194=1,ISNUMBER($L194)),IF($L194=ReportDate+1,1,0),0)</f>
        <v>0</v>
      </c>
      <c r="AP194" s="71">
        <f>IF(AND($AK194=1,ISNUMBER($L194)),IF(AND($L194&gt;=ReportDate,$L194&lt;=ReportDate+DueSoonDays),1,0),0)</f>
        <v>0</v>
      </c>
      <c r="AQ194" s="71">
        <f>IF(AND($AK194=1,OR($I194="Critical",$I194="High")),1,0)</f>
        <v>0</v>
      </c>
      <c r="AR194" s="71">
        <f>IF($AK194=1,IF(ISNUMBER($Y194),IF(ReportDate-$Y194&gt;StaleDays,1,0),1),0)</f>
        <v>0</v>
      </c>
      <c r="AS194" s="71">
        <f>IF(AND($G194&lt;&gt;"",ISNUMBER($Q194),ISNUMBER($R194)),IF(AND($Q194&lt;$R194,OR($M194="Completed",AND(ISNUMBER($L194),$L194&lt;ReportDate))),1,0),0)</f>
        <v>0</v>
      </c>
      <c r="AT194" s="71">
        <f>IF($AK194=1,IF(OR($L194=ReportDate,$W194=ReportDate,$K194=ReportDate,$A194=ReportDate),1,0),0)</f>
        <v>0</v>
      </c>
      <c r="AU194" s="71">
        <f>IF($AK194=1,IF(OR($L194=ReportDate+1,$W194=ReportDate+1,$K194=ReportDate+1,$A194=ReportDate+1),1,0),0)</f>
        <v>0</v>
      </c>
      <c r="AV194" s="71">
        <f>IF(AND($G194&lt;&gt;"",$M194="Completed"),IF(OR($Y194=ReportDate-1,$A194=ReportDate-1),1,0),0)</f>
        <v>0</v>
      </c>
      <c r="AW194" s="71">
        <f>IF(AND($AK194=1,$Z194="Yes"),1,0)</f>
        <v>0</v>
      </c>
      <c r="AX194" s="71">
        <f>IF(AND($AK194=1,$AA194="Yes"),1,0)</f>
        <v>0</v>
      </c>
      <c r="AY194" s="71">
        <f>IF(AND($AM194=1,OR($I194="Critical",$I194="High")),1,0)</f>
        <v>0</v>
      </c>
      <c r="AZ194" s="71">
        <f>IF(AND($AK194=1,OR($C194=TCL_Client,$C194=MECCA_Client)),1,0)</f>
        <v>0</v>
      </c>
      <c r="BA194" s="71" t="str">
        <f>IF($G194="","",IFERROR(MATCH($I194,lst_Priority,0),5))</f>
        <v/>
      </c>
      <c r="BB194" s="71" t="str">
        <f>IF(AND($AL194=1,$AJ194=1),$BA194*100000+ROW(),"")</f>
        <v/>
      </c>
      <c r="BC194" s="71" t="str">
        <f>IF(AND($AM194=1,$AJ194=1),$BA194*100000+ROW(),"")</f>
        <v/>
      </c>
      <c r="BD194" s="71" t="str">
        <f>IF(AND($AP194=1,$AJ194=1),$BA194*100000+ROW(),"")</f>
        <v/>
      </c>
      <c r="BE194" s="71" t="str">
        <f>IF(AND($AT194=1,$AJ194=1),$BA194*100000+ROW(),"")</f>
        <v/>
      </c>
      <c r="BF194" s="71" t="str">
        <f>IF(AND($AU194=1,$AJ194=1),$BA194*100000+ROW(),"")</f>
        <v/>
      </c>
      <c r="BG194" s="71" t="str">
        <f>IF(AND($AV194=1,$AJ194=1),$BA194*100000+ROW(),"")</f>
        <v/>
      </c>
      <c r="BH194" s="71" t="str">
        <f>IF(AND($AW194=1,$AJ194=1),$BA194*100000+ROW(),"")</f>
        <v/>
      </c>
      <c r="BI194" s="71" t="str">
        <f>IF(AND($AX194=1,$AJ194=1),$BA194*100000+ROW(),"")</f>
        <v/>
      </c>
      <c r="BJ194" s="71" t="str">
        <f>IF(AND($AS194=1,$AJ194=1),$BA194*100000+ROW(),"")</f>
        <v/>
      </c>
      <c r="BK194" s="71" t="str">
        <f>IF(AND($AY194=1,$AJ194=1),$BA194*100000+ROW(),"")</f>
        <v/>
      </c>
      <c r="BL194" s="71" t="str">
        <f>IF(AND($AZ194=1),$BA194*100000+ROW(),"")</f>
        <v/>
      </c>
    </row>
    <row r="195">
      <c r="A195" s="63" t="n"/>
      <c r="B195" s="64" t="n"/>
      <c r="C195" s="64" t="n"/>
      <c r="D195" s="64" t="n"/>
      <c r="E195" s="64" t="n"/>
      <c r="F195" s="64" t="n"/>
      <c r="G195" s="65" t="n"/>
      <c r="H195" s="65" t="n"/>
      <c r="I195" s="64" t="n"/>
      <c r="J195" s="64" t="n"/>
      <c r="K195" s="63" t="n"/>
      <c r="L195" s="63" t="n"/>
      <c r="M195" s="64" t="n"/>
      <c r="N195" s="66" t="n"/>
      <c r="O195" s="65" t="n"/>
      <c r="P195" s="64" t="n"/>
      <c r="Q195" s="67" t="n"/>
      <c r="R195" s="67" t="n"/>
      <c r="S195" s="68" t="str">
        <f>IF(AND(ISNUMBER($Q195),ISNUMBER($R195)),$Q195-$R195,"")</f>
        <v/>
      </c>
      <c r="T195" s="65" t="n"/>
      <c r="U195" s="64" t="n"/>
      <c r="V195" s="65" t="n"/>
      <c r="W195" s="63" t="n"/>
      <c r="X195" s="65" t="n"/>
      <c r="Y195" s="63" t="n"/>
      <c r="Z195" s="64" t="n"/>
      <c r="AA195" s="64" t="n"/>
      <c r="AB195" s="65" t="n"/>
      <c r="AC195" s="69" t="str">
        <f>IF(OR($G195="",NOT(ISNUMBER($K195)),$AK195=0),"",MAX(0,ReportDate-$K195))</f>
        <v/>
      </c>
      <c r="AD195" s="69" t="str">
        <f>IF($G195="","",IF($AL195=1,ReportDate-$L195,0))</f>
        <v/>
      </c>
      <c r="AE195" s="70" t="str">
        <f>IF($G195="","",IF($M195="Completed",1,IF(ISNUMBER($N195),$N195,0)))</f>
        <v/>
      </c>
      <c r="AF195" s="70" t="str">
        <f>IF(AND(ISNUMBER($Q195),ISNUMBER($R195)),IF($R195&lt;&gt;0,$Q195/$R195,""),"")</f>
        <v/>
      </c>
      <c r="AG195" s="71" t="str">
        <f>IF($G195="","",IF($AL195=1,"OVERDUE",IF($AM195=1,"BLOCKED",IF($AN195=1,"DUE TODAY",IF($AO195=1,"DUE TOMORROW",IF($AQ195=1,"HIGH PRIORITY",IF($AR195=1,"NO RECENT UPDATE",""))))))) </f>
        <v/>
      </c>
      <c r="AH195" s="71" t="str">
        <f>IF($G195="","",IF(ISNUMBER($A195),IF(ISNUMBER($A195),YEAR($A195)&amp;"-"&amp;TEXT(MONTH($A195),"00"),""),IF(ISNUMBER($L195),IF(ISNUMBER($L195),YEAR($L195)&amp;"-"&amp;TEXT(MONTH($L195),"00"),""),"")))</f>
        <v/>
      </c>
      <c r="AI195" s="71">
        <f>IF($G195="",0,IF(AND(OR(fClient="All",$C195=fClient),OR(fCampaign="All",$D195=fCampaign),OR(fTeam="All",$B195=fTeam),OR(fChannel="All",$F195=fChannel),OR(fMonth="All",$AH195=fMonth),OR(fTStatus="All",$M195=fTStatus)),1,0))</f>
        <v>0</v>
      </c>
      <c r="AJ195" s="71">
        <f>IF($G195="",0,IF(AND(OR(fClient="All",$C195=fClient),OR(fCampaign="All",$D195=fCampaign),OR(fTeam="All",$B195=fTeam),OR(fChannel="All",$F195=fChannel)),1,0))</f>
        <v>0</v>
      </c>
      <c r="AK195" s="71">
        <f>IF($G195="",0,IF(OR($M195="Completed",$M195="Cancelled"),0,1))</f>
        <v>0</v>
      </c>
      <c r="AL195" s="71">
        <f>IF(AND($AK195=1,ISNUMBER($L195)),IF($L195&lt;ReportDate,1,0),0)</f>
        <v>0</v>
      </c>
      <c r="AM195" s="71">
        <f>IF(AND($G195&lt;&gt;"",$M195="Blocked"),1,0)</f>
        <v>0</v>
      </c>
      <c r="AN195" s="71">
        <f>IF(AND($AK195=1,ISNUMBER($L195)),IF($L195=ReportDate,1,0),0)</f>
        <v>0</v>
      </c>
      <c r="AO195" s="71">
        <f>IF(AND($AK195=1,ISNUMBER($L195)),IF($L195=ReportDate+1,1,0),0)</f>
        <v>0</v>
      </c>
      <c r="AP195" s="71">
        <f>IF(AND($AK195=1,ISNUMBER($L195)),IF(AND($L195&gt;=ReportDate,$L195&lt;=ReportDate+DueSoonDays),1,0),0)</f>
        <v>0</v>
      </c>
      <c r="AQ195" s="71">
        <f>IF(AND($AK195=1,OR($I195="Critical",$I195="High")),1,0)</f>
        <v>0</v>
      </c>
      <c r="AR195" s="71">
        <f>IF($AK195=1,IF(ISNUMBER($Y195),IF(ReportDate-$Y195&gt;StaleDays,1,0),1),0)</f>
        <v>0</v>
      </c>
      <c r="AS195" s="71">
        <f>IF(AND($G195&lt;&gt;"",ISNUMBER($Q195),ISNUMBER($R195)),IF(AND($Q195&lt;$R195,OR($M195="Completed",AND(ISNUMBER($L195),$L195&lt;ReportDate))),1,0),0)</f>
        <v>0</v>
      </c>
      <c r="AT195" s="71">
        <f>IF($AK195=1,IF(OR($L195=ReportDate,$W195=ReportDate,$K195=ReportDate,$A195=ReportDate),1,0),0)</f>
        <v>0</v>
      </c>
      <c r="AU195" s="71">
        <f>IF($AK195=1,IF(OR($L195=ReportDate+1,$W195=ReportDate+1,$K195=ReportDate+1,$A195=ReportDate+1),1,0),0)</f>
        <v>0</v>
      </c>
      <c r="AV195" s="71">
        <f>IF(AND($G195&lt;&gt;"",$M195="Completed"),IF(OR($Y195=ReportDate-1,$A195=ReportDate-1),1,0),0)</f>
        <v>0</v>
      </c>
      <c r="AW195" s="71">
        <f>IF(AND($AK195=1,$Z195="Yes"),1,0)</f>
        <v>0</v>
      </c>
      <c r="AX195" s="71">
        <f>IF(AND($AK195=1,$AA195="Yes"),1,0)</f>
        <v>0</v>
      </c>
      <c r="AY195" s="71">
        <f>IF(AND($AM195=1,OR($I195="Critical",$I195="High")),1,0)</f>
        <v>0</v>
      </c>
      <c r="AZ195" s="71">
        <f>IF(AND($AK195=1,OR($C195=TCL_Client,$C195=MECCA_Client)),1,0)</f>
        <v>0</v>
      </c>
      <c r="BA195" s="71" t="str">
        <f>IF($G195="","",IFERROR(MATCH($I195,lst_Priority,0),5))</f>
        <v/>
      </c>
      <c r="BB195" s="71" t="str">
        <f>IF(AND($AL195=1,$AJ195=1),$BA195*100000+ROW(),"")</f>
        <v/>
      </c>
      <c r="BC195" s="71" t="str">
        <f>IF(AND($AM195=1,$AJ195=1),$BA195*100000+ROW(),"")</f>
        <v/>
      </c>
      <c r="BD195" s="71" t="str">
        <f>IF(AND($AP195=1,$AJ195=1),$BA195*100000+ROW(),"")</f>
        <v/>
      </c>
      <c r="BE195" s="71" t="str">
        <f>IF(AND($AT195=1,$AJ195=1),$BA195*100000+ROW(),"")</f>
        <v/>
      </c>
      <c r="BF195" s="71" t="str">
        <f>IF(AND($AU195=1,$AJ195=1),$BA195*100000+ROW(),"")</f>
        <v/>
      </c>
      <c r="BG195" s="71" t="str">
        <f>IF(AND($AV195=1,$AJ195=1),$BA195*100000+ROW(),"")</f>
        <v/>
      </c>
      <c r="BH195" s="71" t="str">
        <f>IF(AND($AW195=1,$AJ195=1),$BA195*100000+ROW(),"")</f>
        <v/>
      </c>
      <c r="BI195" s="71" t="str">
        <f>IF(AND($AX195=1,$AJ195=1),$BA195*100000+ROW(),"")</f>
        <v/>
      </c>
      <c r="BJ195" s="71" t="str">
        <f>IF(AND($AS195=1,$AJ195=1),$BA195*100000+ROW(),"")</f>
        <v/>
      </c>
      <c r="BK195" s="71" t="str">
        <f>IF(AND($AY195=1,$AJ195=1),$BA195*100000+ROW(),"")</f>
        <v/>
      </c>
      <c r="BL195" s="71" t="str">
        <f>IF(AND($AZ195=1),$BA195*100000+ROW(),"")</f>
        <v/>
      </c>
    </row>
    <row r="196">
      <c r="A196" s="63" t="n"/>
      <c r="B196" s="64" t="n"/>
      <c r="C196" s="64" t="n"/>
      <c r="D196" s="64" t="n"/>
      <c r="E196" s="64" t="n"/>
      <c r="F196" s="64" t="n"/>
      <c r="G196" s="65" t="n"/>
      <c r="H196" s="65" t="n"/>
      <c r="I196" s="64" t="n"/>
      <c r="J196" s="64" t="n"/>
      <c r="K196" s="63" t="n"/>
      <c r="L196" s="63" t="n"/>
      <c r="M196" s="64" t="n"/>
      <c r="N196" s="66" t="n"/>
      <c r="O196" s="65" t="n"/>
      <c r="P196" s="64" t="n"/>
      <c r="Q196" s="67" t="n"/>
      <c r="R196" s="67" t="n"/>
      <c r="S196" s="68" t="str">
        <f>IF(AND(ISNUMBER($Q196),ISNUMBER($R196)),$Q196-$R196,"")</f>
        <v/>
      </c>
      <c r="T196" s="65" t="n"/>
      <c r="U196" s="64" t="n"/>
      <c r="V196" s="65" t="n"/>
      <c r="W196" s="63" t="n"/>
      <c r="X196" s="65" t="n"/>
      <c r="Y196" s="63" t="n"/>
      <c r="Z196" s="64" t="n"/>
      <c r="AA196" s="64" t="n"/>
      <c r="AB196" s="65" t="n"/>
      <c r="AC196" s="69" t="str">
        <f>IF(OR($G196="",NOT(ISNUMBER($K196)),$AK196=0),"",MAX(0,ReportDate-$K196))</f>
        <v/>
      </c>
      <c r="AD196" s="69" t="str">
        <f>IF($G196="","",IF($AL196=1,ReportDate-$L196,0))</f>
        <v/>
      </c>
      <c r="AE196" s="70" t="str">
        <f>IF($G196="","",IF($M196="Completed",1,IF(ISNUMBER($N196),$N196,0)))</f>
        <v/>
      </c>
      <c r="AF196" s="70" t="str">
        <f>IF(AND(ISNUMBER($Q196),ISNUMBER($R196)),IF($R196&lt;&gt;0,$Q196/$R196,""),"")</f>
        <v/>
      </c>
      <c r="AG196" s="71" t="str">
        <f>IF($G196="","",IF($AL196=1,"OVERDUE",IF($AM196=1,"BLOCKED",IF($AN196=1,"DUE TODAY",IF($AO196=1,"DUE TOMORROW",IF($AQ196=1,"HIGH PRIORITY",IF($AR196=1,"NO RECENT UPDATE",""))))))) </f>
        <v/>
      </c>
      <c r="AH196" s="71" t="str">
        <f>IF($G196="","",IF(ISNUMBER($A196),IF(ISNUMBER($A196),YEAR($A196)&amp;"-"&amp;TEXT(MONTH($A196),"00"),""),IF(ISNUMBER($L196),IF(ISNUMBER($L196),YEAR($L196)&amp;"-"&amp;TEXT(MONTH($L196),"00"),""),"")))</f>
        <v/>
      </c>
      <c r="AI196" s="71">
        <f>IF($G196="",0,IF(AND(OR(fClient="All",$C196=fClient),OR(fCampaign="All",$D196=fCampaign),OR(fTeam="All",$B196=fTeam),OR(fChannel="All",$F196=fChannel),OR(fMonth="All",$AH196=fMonth),OR(fTStatus="All",$M196=fTStatus)),1,0))</f>
        <v>0</v>
      </c>
      <c r="AJ196" s="71">
        <f>IF($G196="",0,IF(AND(OR(fClient="All",$C196=fClient),OR(fCampaign="All",$D196=fCampaign),OR(fTeam="All",$B196=fTeam),OR(fChannel="All",$F196=fChannel)),1,0))</f>
        <v>0</v>
      </c>
      <c r="AK196" s="71">
        <f>IF($G196="",0,IF(OR($M196="Completed",$M196="Cancelled"),0,1))</f>
        <v>0</v>
      </c>
      <c r="AL196" s="71">
        <f>IF(AND($AK196=1,ISNUMBER($L196)),IF($L196&lt;ReportDate,1,0),0)</f>
        <v>0</v>
      </c>
      <c r="AM196" s="71">
        <f>IF(AND($G196&lt;&gt;"",$M196="Blocked"),1,0)</f>
        <v>0</v>
      </c>
      <c r="AN196" s="71">
        <f>IF(AND($AK196=1,ISNUMBER($L196)),IF($L196=ReportDate,1,0),0)</f>
        <v>0</v>
      </c>
      <c r="AO196" s="71">
        <f>IF(AND($AK196=1,ISNUMBER($L196)),IF($L196=ReportDate+1,1,0),0)</f>
        <v>0</v>
      </c>
      <c r="AP196" s="71">
        <f>IF(AND($AK196=1,ISNUMBER($L196)),IF(AND($L196&gt;=ReportDate,$L196&lt;=ReportDate+DueSoonDays),1,0),0)</f>
        <v>0</v>
      </c>
      <c r="AQ196" s="71">
        <f>IF(AND($AK196=1,OR($I196="Critical",$I196="High")),1,0)</f>
        <v>0</v>
      </c>
      <c r="AR196" s="71">
        <f>IF($AK196=1,IF(ISNUMBER($Y196),IF(ReportDate-$Y196&gt;StaleDays,1,0),1),0)</f>
        <v>0</v>
      </c>
      <c r="AS196" s="71">
        <f>IF(AND($G196&lt;&gt;"",ISNUMBER($Q196),ISNUMBER($R196)),IF(AND($Q196&lt;$R196,OR($M196="Completed",AND(ISNUMBER($L196),$L196&lt;ReportDate))),1,0),0)</f>
        <v>0</v>
      </c>
      <c r="AT196" s="71">
        <f>IF($AK196=1,IF(OR($L196=ReportDate,$W196=ReportDate,$K196=ReportDate,$A196=ReportDate),1,0),0)</f>
        <v>0</v>
      </c>
      <c r="AU196" s="71">
        <f>IF($AK196=1,IF(OR($L196=ReportDate+1,$W196=ReportDate+1,$K196=ReportDate+1,$A196=ReportDate+1),1,0),0)</f>
        <v>0</v>
      </c>
      <c r="AV196" s="71">
        <f>IF(AND($G196&lt;&gt;"",$M196="Completed"),IF(OR($Y196=ReportDate-1,$A196=ReportDate-1),1,0),0)</f>
        <v>0</v>
      </c>
      <c r="AW196" s="71">
        <f>IF(AND($AK196=1,$Z196="Yes"),1,0)</f>
        <v>0</v>
      </c>
      <c r="AX196" s="71">
        <f>IF(AND($AK196=1,$AA196="Yes"),1,0)</f>
        <v>0</v>
      </c>
      <c r="AY196" s="71">
        <f>IF(AND($AM196=1,OR($I196="Critical",$I196="High")),1,0)</f>
        <v>0</v>
      </c>
      <c r="AZ196" s="71">
        <f>IF(AND($AK196=1,OR($C196=TCL_Client,$C196=MECCA_Client)),1,0)</f>
        <v>0</v>
      </c>
      <c r="BA196" s="71" t="str">
        <f>IF($G196="","",IFERROR(MATCH($I196,lst_Priority,0),5))</f>
        <v/>
      </c>
      <c r="BB196" s="71" t="str">
        <f>IF(AND($AL196=1,$AJ196=1),$BA196*100000+ROW(),"")</f>
        <v/>
      </c>
      <c r="BC196" s="71" t="str">
        <f>IF(AND($AM196=1,$AJ196=1),$BA196*100000+ROW(),"")</f>
        <v/>
      </c>
      <c r="BD196" s="71" t="str">
        <f>IF(AND($AP196=1,$AJ196=1),$BA196*100000+ROW(),"")</f>
        <v/>
      </c>
      <c r="BE196" s="71" t="str">
        <f>IF(AND($AT196=1,$AJ196=1),$BA196*100000+ROW(),"")</f>
        <v/>
      </c>
      <c r="BF196" s="71" t="str">
        <f>IF(AND($AU196=1,$AJ196=1),$BA196*100000+ROW(),"")</f>
        <v/>
      </c>
      <c r="BG196" s="71" t="str">
        <f>IF(AND($AV196=1,$AJ196=1),$BA196*100000+ROW(),"")</f>
        <v/>
      </c>
      <c r="BH196" s="71" t="str">
        <f>IF(AND($AW196=1,$AJ196=1),$BA196*100000+ROW(),"")</f>
        <v/>
      </c>
      <c r="BI196" s="71" t="str">
        <f>IF(AND($AX196=1,$AJ196=1),$BA196*100000+ROW(),"")</f>
        <v/>
      </c>
      <c r="BJ196" s="71" t="str">
        <f>IF(AND($AS196=1,$AJ196=1),$BA196*100000+ROW(),"")</f>
        <v/>
      </c>
      <c r="BK196" s="71" t="str">
        <f>IF(AND($AY196=1,$AJ196=1),$BA196*100000+ROW(),"")</f>
        <v/>
      </c>
      <c r="BL196" s="71" t="str">
        <f>IF(AND($AZ196=1),$BA196*100000+ROW(),"")</f>
        <v/>
      </c>
    </row>
    <row r="197">
      <c r="A197" s="63" t="n"/>
      <c r="B197" s="64" t="n"/>
      <c r="C197" s="64" t="n"/>
      <c r="D197" s="64" t="n"/>
      <c r="E197" s="64" t="n"/>
      <c r="F197" s="64" t="n"/>
      <c r="G197" s="65" t="n"/>
      <c r="H197" s="65" t="n"/>
      <c r="I197" s="64" t="n"/>
      <c r="J197" s="64" t="n"/>
      <c r="K197" s="63" t="n"/>
      <c r="L197" s="63" t="n"/>
      <c r="M197" s="64" t="n"/>
      <c r="N197" s="66" t="n"/>
      <c r="O197" s="65" t="n"/>
      <c r="P197" s="64" t="n"/>
      <c r="Q197" s="67" t="n"/>
      <c r="R197" s="67" t="n"/>
      <c r="S197" s="68" t="str">
        <f>IF(AND(ISNUMBER($Q197),ISNUMBER($R197)),$Q197-$R197,"")</f>
        <v/>
      </c>
      <c r="T197" s="65" t="n"/>
      <c r="U197" s="64" t="n"/>
      <c r="V197" s="65" t="n"/>
      <c r="W197" s="63" t="n"/>
      <c r="X197" s="65" t="n"/>
      <c r="Y197" s="63" t="n"/>
      <c r="Z197" s="64" t="n"/>
      <c r="AA197" s="64" t="n"/>
      <c r="AB197" s="65" t="n"/>
      <c r="AC197" s="69" t="str">
        <f>IF(OR($G197="",NOT(ISNUMBER($K197)),$AK197=0),"",MAX(0,ReportDate-$K197))</f>
        <v/>
      </c>
      <c r="AD197" s="69" t="str">
        <f>IF($G197="","",IF($AL197=1,ReportDate-$L197,0))</f>
        <v/>
      </c>
      <c r="AE197" s="70" t="str">
        <f>IF($G197="","",IF($M197="Completed",1,IF(ISNUMBER($N197),$N197,0)))</f>
        <v/>
      </c>
      <c r="AF197" s="70" t="str">
        <f>IF(AND(ISNUMBER($Q197),ISNUMBER($R197)),IF($R197&lt;&gt;0,$Q197/$R197,""),"")</f>
        <v/>
      </c>
      <c r="AG197" s="71" t="str">
        <f>IF($G197="","",IF($AL197=1,"OVERDUE",IF($AM197=1,"BLOCKED",IF($AN197=1,"DUE TODAY",IF($AO197=1,"DUE TOMORROW",IF($AQ197=1,"HIGH PRIORITY",IF($AR197=1,"NO RECENT UPDATE",""))))))) </f>
        <v/>
      </c>
      <c r="AH197" s="71" t="str">
        <f>IF($G197="","",IF(ISNUMBER($A197),IF(ISNUMBER($A197),YEAR($A197)&amp;"-"&amp;TEXT(MONTH($A197),"00"),""),IF(ISNUMBER($L197),IF(ISNUMBER($L197),YEAR($L197)&amp;"-"&amp;TEXT(MONTH($L197),"00"),""),"")))</f>
        <v/>
      </c>
      <c r="AI197" s="71">
        <f>IF($G197="",0,IF(AND(OR(fClient="All",$C197=fClient),OR(fCampaign="All",$D197=fCampaign),OR(fTeam="All",$B197=fTeam),OR(fChannel="All",$F197=fChannel),OR(fMonth="All",$AH197=fMonth),OR(fTStatus="All",$M197=fTStatus)),1,0))</f>
        <v>0</v>
      </c>
      <c r="AJ197" s="71">
        <f>IF($G197="",0,IF(AND(OR(fClient="All",$C197=fClient),OR(fCampaign="All",$D197=fCampaign),OR(fTeam="All",$B197=fTeam),OR(fChannel="All",$F197=fChannel)),1,0))</f>
        <v>0</v>
      </c>
      <c r="AK197" s="71">
        <f>IF($G197="",0,IF(OR($M197="Completed",$M197="Cancelled"),0,1))</f>
        <v>0</v>
      </c>
      <c r="AL197" s="71">
        <f>IF(AND($AK197=1,ISNUMBER($L197)),IF($L197&lt;ReportDate,1,0),0)</f>
        <v>0</v>
      </c>
      <c r="AM197" s="71">
        <f>IF(AND($G197&lt;&gt;"",$M197="Blocked"),1,0)</f>
        <v>0</v>
      </c>
      <c r="AN197" s="71">
        <f>IF(AND($AK197=1,ISNUMBER($L197)),IF($L197=ReportDate,1,0),0)</f>
        <v>0</v>
      </c>
      <c r="AO197" s="71">
        <f>IF(AND($AK197=1,ISNUMBER($L197)),IF($L197=ReportDate+1,1,0),0)</f>
        <v>0</v>
      </c>
      <c r="AP197" s="71">
        <f>IF(AND($AK197=1,ISNUMBER($L197)),IF(AND($L197&gt;=ReportDate,$L197&lt;=ReportDate+DueSoonDays),1,0),0)</f>
        <v>0</v>
      </c>
      <c r="AQ197" s="71">
        <f>IF(AND($AK197=1,OR($I197="Critical",$I197="High")),1,0)</f>
        <v>0</v>
      </c>
      <c r="AR197" s="71">
        <f>IF($AK197=1,IF(ISNUMBER($Y197),IF(ReportDate-$Y197&gt;StaleDays,1,0),1),0)</f>
        <v>0</v>
      </c>
      <c r="AS197" s="71">
        <f>IF(AND($G197&lt;&gt;"",ISNUMBER($Q197),ISNUMBER($R197)),IF(AND($Q197&lt;$R197,OR($M197="Completed",AND(ISNUMBER($L197),$L197&lt;ReportDate))),1,0),0)</f>
        <v>0</v>
      </c>
      <c r="AT197" s="71">
        <f>IF($AK197=1,IF(OR($L197=ReportDate,$W197=ReportDate,$K197=ReportDate,$A197=ReportDate),1,0),0)</f>
        <v>0</v>
      </c>
      <c r="AU197" s="71">
        <f>IF($AK197=1,IF(OR($L197=ReportDate+1,$W197=ReportDate+1,$K197=ReportDate+1,$A197=ReportDate+1),1,0),0)</f>
        <v>0</v>
      </c>
      <c r="AV197" s="71">
        <f>IF(AND($G197&lt;&gt;"",$M197="Completed"),IF(OR($Y197=ReportDate-1,$A197=ReportDate-1),1,0),0)</f>
        <v>0</v>
      </c>
      <c r="AW197" s="71">
        <f>IF(AND($AK197=1,$Z197="Yes"),1,0)</f>
        <v>0</v>
      </c>
      <c r="AX197" s="71">
        <f>IF(AND($AK197=1,$AA197="Yes"),1,0)</f>
        <v>0</v>
      </c>
      <c r="AY197" s="71">
        <f>IF(AND($AM197=1,OR($I197="Critical",$I197="High")),1,0)</f>
        <v>0</v>
      </c>
      <c r="AZ197" s="71">
        <f>IF(AND($AK197=1,OR($C197=TCL_Client,$C197=MECCA_Client)),1,0)</f>
        <v>0</v>
      </c>
      <c r="BA197" s="71" t="str">
        <f>IF($G197="","",IFERROR(MATCH($I197,lst_Priority,0),5))</f>
        <v/>
      </c>
      <c r="BB197" s="71" t="str">
        <f>IF(AND($AL197=1,$AJ197=1),$BA197*100000+ROW(),"")</f>
        <v/>
      </c>
      <c r="BC197" s="71" t="str">
        <f>IF(AND($AM197=1,$AJ197=1),$BA197*100000+ROW(),"")</f>
        <v/>
      </c>
      <c r="BD197" s="71" t="str">
        <f>IF(AND($AP197=1,$AJ197=1),$BA197*100000+ROW(),"")</f>
        <v/>
      </c>
      <c r="BE197" s="71" t="str">
        <f>IF(AND($AT197=1,$AJ197=1),$BA197*100000+ROW(),"")</f>
        <v/>
      </c>
      <c r="BF197" s="71" t="str">
        <f>IF(AND($AU197=1,$AJ197=1),$BA197*100000+ROW(),"")</f>
        <v/>
      </c>
      <c r="BG197" s="71" t="str">
        <f>IF(AND($AV197=1,$AJ197=1),$BA197*100000+ROW(),"")</f>
        <v/>
      </c>
      <c r="BH197" s="71" t="str">
        <f>IF(AND($AW197=1,$AJ197=1),$BA197*100000+ROW(),"")</f>
        <v/>
      </c>
      <c r="BI197" s="71" t="str">
        <f>IF(AND($AX197=1,$AJ197=1),$BA197*100000+ROW(),"")</f>
        <v/>
      </c>
      <c r="BJ197" s="71" t="str">
        <f>IF(AND($AS197=1,$AJ197=1),$BA197*100000+ROW(),"")</f>
        <v/>
      </c>
      <c r="BK197" s="71" t="str">
        <f>IF(AND($AY197=1,$AJ197=1),$BA197*100000+ROW(),"")</f>
        <v/>
      </c>
      <c r="BL197" s="71" t="str">
        <f>IF(AND($AZ197=1),$BA197*100000+ROW(),"")</f>
        <v/>
      </c>
    </row>
    <row r="198">
      <c r="A198" s="63" t="n"/>
      <c r="B198" s="64" t="n"/>
      <c r="C198" s="64" t="n"/>
      <c r="D198" s="64" t="n"/>
      <c r="E198" s="64" t="n"/>
      <c r="F198" s="64" t="n"/>
      <c r="G198" s="65" t="n"/>
      <c r="H198" s="65" t="n"/>
      <c r="I198" s="64" t="n"/>
      <c r="J198" s="64" t="n"/>
      <c r="K198" s="63" t="n"/>
      <c r="L198" s="63" t="n"/>
      <c r="M198" s="64" t="n"/>
      <c r="N198" s="66" t="n"/>
      <c r="O198" s="65" t="n"/>
      <c r="P198" s="64" t="n"/>
      <c r="Q198" s="67" t="n"/>
      <c r="R198" s="67" t="n"/>
      <c r="S198" s="68" t="str">
        <f>IF(AND(ISNUMBER($Q198),ISNUMBER($R198)),$Q198-$R198,"")</f>
        <v/>
      </c>
      <c r="T198" s="65" t="n"/>
      <c r="U198" s="64" t="n"/>
      <c r="V198" s="65" t="n"/>
      <c r="W198" s="63" t="n"/>
      <c r="X198" s="65" t="n"/>
      <c r="Y198" s="63" t="n"/>
      <c r="Z198" s="64" t="n"/>
      <c r="AA198" s="64" t="n"/>
      <c r="AB198" s="65" t="n"/>
      <c r="AC198" s="69" t="str">
        <f>IF(OR($G198="",NOT(ISNUMBER($K198)),$AK198=0),"",MAX(0,ReportDate-$K198))</f>
        <v/>
      </c>
      <c r="AD198" s="69" t="str">
        <f>IF($G198="","",IF($AL198=1,ReportDate-$L198,0))</f>
        <v/>
      </c>
      <c r="AE198" s="70" t="str">
        <f>IF($G198="","",IF($M198="Completed",1,IF(ISNUMBER($N198),$N198,0)))</f>
        <v/>
      </c>
      <c r="AF198" s="70" t="str">
        <f>IF(AND(ISNUMBER($Q198),ISNUMBER($R198)),IF($R198&lt;&gt;0,$Q198/$R198,""),"")</f>
        <v/>
      </c>
      <c r="AG198" s="71" t="str">
        <f>IF($G198="","",IF($AL198=1,"OVERDUE",IF($AM198=1,"BLOCKED",IF($AN198=1,"DUE TODAY",IF($AO198=1,"DUE TOMORROW",IF($AQ198=1,"HIGH PRIORITY",IF($AR198=1,"NO RECENT UPDATE",""))))))) </f>
        <v/>
      </c>
      <c r="AH198" s="71" t="str">
        <f>IF($G198="","",IF(ISNUMBER($A198),IF(ISNUMBER($A198),YEAR($A198)&amp;"-"&amp;TEXT(MONTH($A198),"00"),""),IF(ISNUMBER($L198),IF(ISNUMBER($L198),YEAR($L198)&amp;"-"&amp;TEXT(MONTH($L198),"00"),""),"")))</f>
        <v/>
      </c>
      <c r="AI198" s="71">
        <f>IF($G198="",0,IF(AND(OR(fClient="All",$C198=fClient),OR(fCampaign="All",$D198=fCampaign),OR(fTeam="All",$B198=fTeam),OR(fChannel="All",$F198=fChannel),OR(fMonth="All",$AH198=fMonth),OR(fTStatus="All",$M198=fTStatus)),1,0))</f>
        <v>0</v>
      </c>
      <c r="AJ198" s="71">
        <f>IF($G198="",0,IF(AND(OR(fClient="All",$C198=fClient),OR(fCampaign="All",$D198=fCampaign),OR(fTeam="All",$B198=fTeam),OR(fChannel="All",$F198=fChannel)),1,0))</f>
        <v>0</v>
      </c>
      <c r="AK198" s="71">
        <f>IF($G198="",0,IF(OR($M198="Completed",$M198="Cancelled"),0,1))</f>
        <v>0</v>
      </c>
      <c r="AL198" s="71">
        <f>IF(AND($AK198=1,ISNUMBER($L198)),IF($L198&lt;ReportDate,1,0),0)</f>
        <v>0</v>
      </c>
      <c r="AM198" s="71">
        <f>IF(AND($G198&lt;&gt;"",$M198="Blocked"),1,0)</f>
        <v>0</v>
      </c>
      <c r="AN198" s="71">
        <f>IF(AND($AK198=1,ISNUMBER($L198)),IF($L198=ReportDate,1,0),0)</f>
        <v>0</v>
      </c>
      <c r="AO198" s="71">
        <f>IF(AND($AK198=1,ISNUMBER($L198)),IF($L198=ReportDate+1,1,0),0)</f>
        <v>0</v>
      </c>
      <c r="AP198" s="71">
        <f>IF(AND($AK198=1,ISNUMBER($L198)),IF(AND($L198&gt;=ReportDate,$L198&lt;=ReportDate+DueSoonDays),1,0),0)</f>
        <v>0</v>
      </c>
      <c r="AQ198" s="71">
        <f>IF(AND($AK198=1,OR($I198="Critical",$I198="High")),1,0)</f>
        <v>0</v>
      </c>
      <c r="AR198" s="71">
        <f>IF($AK198=1,IF(ISNUMBER($Y198),IF(ReportDate-$Y198&gt;StaleDays,1,0),1),0)</f>
        <v>0</v>
      </c>
      <c r="AS198" s="71">
        <f>IF(AND($G198&lt;&gt;"",ISNUMBER($Q198),ISNUMBER($R198)),IF(AND($Q198&lt;$R198,OR($M198="Completed",AND(ISNUMBER($L198),$L198&lt;ReportDate))),1,0),0)</f>
        <v>0</v>
      </c>
      <c r="AT198" s="71">
        <f>IF($AK198=1,IF(OR($L198=ReportDate,$W198=ReportDate,$K198=ReportDate,$A198=ReportDate),1,0),0)</f>
        <v>0</v>
      </c>
      <c r="AU198" s="71">
        <f>IF($AK198=1,IF(OR($L198=ReportDate+1,$W198=ReportDate+1,$K198=ReportDate+1,$A198=ReportDate+1),1,0),0)</f>
        <v>0</v>
      </c>
      <c r="AV198" s="71">
        <f>IF(AND($G198&lt;&gt;"",$M198="Completed"),IF(OR($Y198=ReportDate-1,$A198=ReportDate-1),1,0),0)</f>
        <v>0</v>
      </c>
      <c r="AW198" s="71">
        <f>IF(AND($AK198=1,$Z198="Yes"),1,0)</f>
        <v>0</v>
      </c>
      <c r="AX198" s="71">
        <f>IF(AND($AK198=1,$AA198="Yes"),1,0)</f>
        <v>0</v>
      </c>
      <c r="AY198" s="71">
        <f>IF(AND($AM198=1,OR($I198="Critical",$I198="High")),1,0)</f>
        <v>0</v>
      </c>
      <c r="AZ198" s="71">
        <f>IF(AND($AK198=1,OR($C198=TCL_Client,$C198=MECCA_Client)),1,0)</f>
        <v>0</v>
      </c>
      <c r="BA198" s="71" t="str">
        <f>IF($G198="","",IFERROR(MATCH($I198,lst_Priority,0),5))</f>
        <v/>
      </c>
      <c r="BB198" s="71" t="str">
        <f>IF(AND($AL198=1,$AJ198=1),$BA198*100000+ROW(),"")</f>
        <v/>
      </c>
      <c r="BC198" s="71" t="str">
        <f>IF(AND($AM198=1,$AJ198=1),$BA198*100000+ROW(),"")</f>
        <v/>
      </c>
      <c r="BD198" s="71" t="str">
        <f>IF(AND($AP198=1,$AJ198=1),$BA198*100000+ROW(),"")</f>
        <v/>
      </c>
      <c r="BE198" s="71" t="str">
        <f>IF(AND($AT198=1,$AJ198=1),$BA198*100000+ROW(),"")</f>
        <v/>
      </c>
      <c r="BF198" s="71" t="str">
        <f>IF(AND($AU198=1,$AJ198=1),$BA198*100000+ROW(),"")</f>
        <v/>
      </c>
      <c r="BG198" s="71" t="str">
        <f>IF(AND($AV198=1,$AJ198=1),$BA198*100000+ROW(),"")</f>
        <v/>
      </c>
      <c r="BH198" s="71" t="str">
        <f>IF(AND($AW198=1,$AJ198=1),$BA198*100000+ROW(),"")</f>
        <v/>
      </c>
      <c r="BI198" s="71" t="str">
        <f>IF(AND($AX198=1,$AJ198=1),$BA198*100000+ROW(),"")</f>
        <v/>
      </c>
      <c r="BJ198" s="71" t="str">
        <f>IF(AND($AS198=1,$AJ198=1),$BA198*100000+ROW(),"")</f>
        <v/>
      </c>
      <c r="BK198" s="71" t="str">
        <f>IF(AND($AY198=1,$AJ198=1),$BA198*100000+ROW(),"")</f>
        <v/>
      </c>
      <c r="BL198" s="71" t="str">
        <f>IF(AND($AZ198=1),$BA198*100000+ROW(),"")</f>
        <v/>
      </c>
    </row>
    <row r="199">
      <c r="A199" s="63" t="n"/>
      <c r="B199" s="64" t="n"/>
      <c r="C199" s="64" t="n"/>
      <c r="D199" s="64" t="n"/>
      <c r="E199" s="64" t="n"/>
      <c r="F199" s="64" t="n"/>
      <c r="G199" s="65" t="n"/>
      <c r="H199" s="65" t="n"/>
      <c r="I199" s="64" t="n"/>
      <c r="J199" s="64" t="n"/>
      <c r="K199" s="63" t="n"/>
      <c r="L199" s="63" t="n"/>
      <c r="M199" s="64" t="n"/>
      <c r="N199" s="66" t="n"/>
      <c r="O199" s="65" t="n"/>
      <c r="P199" s="64" t="n"/>
      <c r="Q199" s="67" t="n"/>
      <c r="R199" s="67" t="n"/>
      <c r="S199" s="68" t="str">
        <f>IF(AND(ISNUMBER($Q199),ISNUMBER($R199)),$Q199-$R199,"")</f>
        <v/>
      </c>
      <c r="T199" s="65" t="n"/>
      <c r="U199" s="64" t="n"/>
      <c r="V199" s="65" t="n"/>
      <c r="W199" s="63" t="n"/>
      <c r="X199" s="65" t="n"/>
      <c r="Y199" s="63" t="n"/>
      <c r="Z199" s="64" t="n"/>
      <c r="AA199" s="64" t="n"/>
      <c r="AB199" s="65" t="n"/>
      <c r="AC199" s="69" t="str">
        <f>IF(OR($G199="",NOT(ISNUMBER($K199)),$AK199=0),"",MAX(0,ReportDate-$K199))</f>
        <v/>
      </c>
      <c r="AD199" s="69" t="str">
        <f>IF($G199="","",IF($AL199=1,ReportDate-$L199,0))</f>
        <v/>
      </c>
      <c r="AE199" s="70" t="str">
        <f>IF($G199="","",IF($M199="Completed",1,IF(ISNUMBER($N199),$N199,0)))</f>
        <v/>
      </c>
      <c r="AF199" s="70" t="str">
        <f>IF(AND(ISNUMBER($Q199),ISNUMBER($R199)),IF($R199&lt;&gt;0,$Q199/$R199,""),"")</f>
        <v/>
      </c>
      <c r="AG199" s="71" t="str">
        <f>IF($G199="","",IF($AL199=1,"OVERDUE",IF($AM199=1,"BLOCKED",IF($AN199=1,"DUE TODAY",IF($AO199=1,"DUE TOMORROW",IF($AQ199=1,"HIGH PRIORITY",IF($AR199=1,"NO RECENT UPDATE",""))))))) </f>
        <v/>
      </c>
      <c r="AH199" s="71" t="str">
        <f>IF($G199="","",IF(ISNUMBER($A199),IF(ISNUMBER($A199),YEAR($A199)&amp;"-"&amp;TEXT(MONTH($A199),"00"),""),IF(ISNUMBER($L199),IF(ISNUMBER($L199),YEAR($L199)&amp;"-"&amp;TEXT(MONTH($L199),"00"),""),"")))</f>
        <v/>
      </c>
      <c r="AI199" s="71">
        <f>IF($G199="",0,IF(AND(OR(fClient="All",$C199=fClient),OR(fCampaign="All",$D199=fCampaign),OR(fTeam="All",$B199=fTeam),OR(fChannel="All",$F199=fChannel),OR(fMonth="All",$AH199=fMonth),OR(fTStatus="All",$M199=fTStatus)),1,0))</f>
        <v>0</v>
      </c>
      <c r="AJ199" s="71">
        <f>IF($G199="",0,IF(AND(OR(fClient="All",$C199=fClient),OR(fCampaign="All",$D199=fCampaign),OR(fTeam="All",$B199=fTeam),OR(fChannel="All",$F199=fChannel)),1,0))</f>
        <v>0</v>
      </c>
      <c r="AK199" s="71">
        <f>IF($G199="",0,IF(OR($M199="Completed",$M199="Cancelled"),0,1))</f>
        <v>0</v>
      </c>
      <c r="AL199" s="71">
        <f>IF(AND($AK199=1,ISNUMBER($L199)),IF($L199&lt;ReportDate,1,0),0)</f>
        <v>0</v>
      </c>
      <c r="AM199" s="71">
        <f>IF(AND($G199&lt;&gt;"",$M199="Blocked"),1,0)</f>
        <v>0</v>
      </c>
      <c r="AN199" s="71">
        <f>IF(AND($AK199=1,ISNUMBER($L199)),IF($L199=ReportDate,1,0),0)</f>
        <v>0</v>
      </c>
      <c r="AO199" s="71">
        <f>IF(AND($AK199=1,ISNUMBER($L199)),IF($L199=ReportDate+1,1,0),0)</f>
        <v>0</v>
      </c>
      <c r="AP199" s="71">
        <f>IF(AND($AK199=1,ISNUMBER($L199)),IF(AND($L199&gt;=ReportDate,$L199&lt;=ReportDate+DueSoonDays),1,0),0)</f>
        <v>0</v>
      </c>
      <c r="AQ199" s="71">
        <f>IF(AND($AK199=1,OR($I199="Critical",$I199="High")),1,0)</f>
        <v>0</v>
      </c>
      <c r="AR199" s="71">
        <f>IF($AK199=1,IF(ISNUMBER($Y199),IF(ReportDate-$Y199&gt;StaleDays,1,0),1),0)</f>
        <v>0</v>
      </c>
      <c r="AS199" s="71">
        <f>IF(AND($G199&lt;&gt;"",ISNUMBER($Q199),ISNUMBER($R199)),IF(AND($Q199&lt;$R199,OR($M199="Completed",AND(ISNUMBER($L199),$L199&lt;ReportDate))),1,0),0)</f>
        <v>0</v>
      </c>
      <c r="AT199" s="71">
        <f>IF($AK199=1,IF(OR($L199=ReportDate,$W199=ReportDate,$K199=ReportDate,$A199=ReportDate),1,0),0)</f>
        <v>0</v>
      </c>
      <c r="AU199" s="71">
        <f>IF($AK199=1,IF(OR($L199=ReportDate+1,$W199=ReportDate+1,$K199=ReportDate+1,$A199=ReportDate+1),1,0),0)</f>
        <v>0</v>
      </c>
      <c r="AV199" s="71">
        <f>IF(AND($G199&lt;&gt;"",$M199="Completed"),IF(OR($Y199=ReportDate-1,$A199=ReportDate-1),1,0),0)</f>
        <v>0</v>
      </c>
      <c r="AW199" s="71">
        <f>IF(AND($AK199=1,$Z199="Yes"),1,0)</f>
        <v>0</v>
      </c>
      <c r="AX199" s="71">
        <f>IF(AND($AK199=1,$AA199="Yes"),1,0)</f>
        <v>0</v>
      </c>
      <c r="AY199" s="71">
        <f>IF(AND($AM199=1,OR($I199="Critical",$I199="High")),1,0)</f>
        <v>0</v>
      </c>
      <c r="AZ199" s="71">
        <f>IF(AND($AK199=1,OR($C199=TCL_Client,$C199=MECCA_Client)),1,0)</f>
        <v>0</v>
      </c>
      <c r="BA199" s="71" t="str">
        <f>IF($G199="","",IFERROR(MATCH($I199,lst_Priority,0),5))</f>
        <v/>
      </c>
      <c r="BB199" s="71" t="str">
        <f>IF(AND($AL199=1,$AJ199=1),$BA199*100000+ROW(),"")</f>
        <v/>
      </c>
      <c r="BC199" s="71" t="str">
        <f>IF(AND($AM199=1,$AJ199=1),$BA199*100000+ROW(),"")</f>
        <v/>
      </c>
      <c r="BD199" s="71" t="str">
        <f>IF(AND($AP199=1,$AJ199=1),$BA199*100000+ROW(),"")</f>
        <v/>
      </c>
      <c r="BE199" s="71" t="str">
        <f>IF(AND($AT199=1,$AJ199=1),$BA199*100000+ROW(),"")</f>
        <v/>
      </c>
      <c r="BF199" s="71" t="str">
        <f>IF(AND($AU199=1,$AJ199=1),$BA199*100000+ROW(),"")</f>
        <v/>
      </c>
      <c r="BG199" s="71" t="str">
        <f>IF(AND($AV199=1,$AJ199=1),$BA199*100000+ROW(),"")</f>
        <v/>
      </c>
      <c r="BH199" s="71" t="str">
        <f>IF(AND($AW199=1,$AJ199=1),$BA199*100000+ROW(),"")</f>
        <v/>
      </c>
      <c r="BI199" s="71" t="str">
        <f>IF(AND($AX199=1,$AJ199=1),$BA199*100000+ROW(),"")</f>
        <v/>
      </c>
      <c r="BJ199" s="71" t="str">
        <f>IF(AND($AS199=1,$AJ199=1),$BA199*100000+ROW(),"")</f>
        <v/>
      </c>
      <c r="BK199" s="71" t="str">
        <f>IF(AND($AY199=1,$AJ199=1),$BA199*100000+ROW(),"")</f>
        <v/>
      </c>
      <c r="BL199" s="71" t="str">
        <f>IF(AND($AZ199=1),$BA199*100000+ROW(),"")</f>
        <v/>
      </c>
    </row>
    <row r="200">
      <c r="A200" s="63" t="n"/>
      <c r="B200" s="64" t="n"/>
      <c r="C200" s="64" t="n"/>
      <c r="D200" s="64" t="n"/>
      <c r="E200" s="64" t="n"/>
      <c r="F200" s="64" t="n"/>
      <c r="G200" s="65" t="n"/>
      <c r="H200" s="65" t="n"/>
      <c r="I200" s="64" t="n"/>
      <c r="J200" s="64" t="n"/>
      <c r="K200" s="63" t="n"/>
      <c r="L200" s="63" t="n"/>
      <c r="M200" s="64" t="n"/>
      <c r="N200" s="66" t="n"/>
      <c r="O200" s="65" t="n"/>
      <c r="P200" s="64" t="n"/>
      <c r="Q200" s="67" t="n"/>
      <c r="R200" s="67" t="n"/>
      <c r="S200" s="68" t="str">
        <f>IF(AND(ISNUMBER($Q200),ISNUMBER($R200)),$Q200-$R200,"")</f>
        <v/>
      </c>
      <c r="T200" s="65" t="n"/>
      <c r="U200" s="64" t="n"/>
      <c r="V200" s="65" t="n"/>
      <c r="W200" s="63" t="n"/>
      <c r="X200" s="65" t="n"/>
      <c r="Y200" s="63" t="n"/>
      <c r="Z200" s="64" t="n"/>
      <c r="AA200" s="64" t="n"/>
      <c r="AB200" s="65" t="n"/>
      <c r="AC200" s="69" t="str">
        <f>IF(OR($G200="",NOT(ISNUMBER($K200)),$AK200=0),"",MAX(0,ReportDate-$K200))</f>
        <v/>
      </c>
      <c r="AD200" s="69" t="str">
        <f>IF($G200="","",IF($AL200=1,ReportDate-$L200,0))</f>
        <v/>
      </c>
      <c r="AE200" s="70" t="str">
        <f>IF($G200="","",IF($M200="Completed",1,IF(ISNUMBER($N200),$N200,0)))</f>
        <v/>
      </c>
      <c r="AF200" s="70" t="str">
        <f>IF(AND(ISNUMBER($Q200),ISNUMBER($R200)),IF($R200&lt;&gt;0,$Q200/$R200,""),"")</f>
        <v/>
      </c>
      <c r="AG200" s="71" t="str">
        <f>IF($G200="","",IF($AL200=1,"OVERDUE",IF($AM200=1,"BLOCKED",IF($AN200=1,"DUE TODAY",IF($AO200=1,"DUE TOMORROW",IF($AQ200=1,"HIGH PRIORITY",IF($AR200=1,"NO RECENT UPDATE",""))))))) </f>
        <v/>
      </c>
      <c r="AH200" s="71" t="str">
        <f>IF($G200="","",IF(ISNUMBER($A200),IF(ISNUMBER($A200),YEAR($A200)&amp;"-"&amp;TEXT(MONTH($A200),"00"),""),IF(ISNUMBER($L200),IF(ISNUMBER($L200),YEAR($L200)&amp;"-"&amp;TEXT(MONTH($L200),"00"),""),"")))</f>
        <v/>
      </c>
      <c r="AI200" s="71">
        <f>IF($G200="",0,IF(AND(OR(fClient="All",$C200=fClient),OR(fCampaign="All",$D200=fCampaign),OR(fTeam="All",$B200=fTeam),OR(fChannel="All",$F200=fChannel),OR(fMonth="All",$AH200=fMonth),OR(fTStatus="All",$M200=fTStatus)),1,0))</f>
        <v>0</v>
      </c>
      <c r="AJ200" s="71">
        <f>IF($G200="",0,IF(AND(OR(fClient="All",$C200=fClient),OR(fCampaign="All",$D200=fCampaign),OR(fTeam="All",$B200=fTeam),OR(fChannel="All",$F200=fChannel)),1,0))</f>
        <v>0</v>
      </c>
      <c r="AK200" s="71">
        <f>IF($G200="",0,IF(OR($M200="Completed",$M200="Cancelled"),0,1))</f>
        <v>0</v>
      </c>
      <c r="AL200" s="71">
        <f>IF(AND($AK200=1,ISNUMBER($L200)),IF($L200&lt;ReportDate,1,0),0)</f>
        <v>0</v>
      </c>
      <c r="AM200" s="71">
        <f>IF(AND($G200&lt;&gt;"",$M200="Blocked"),1,0)</f>
        <v>0</v>
      </c>
      <c r="AN200" s="71">
        <f>IF(AND($AK200=1,ISNUMBER($L200)),IF($L200=ReportDate,1,0),0)</f>
        <v>0</v>
      </c>
      <c r="AO200" s="71">
        <f>IF(AND($AK200=1,ISNUMBER($L200)),IF($L200=ReportDate+1,1,0),0)</f>
        <v>0</v>
      </c>
      <c r="AP200" s="71">
        <f>IF(AND($AK200=1,ISNUMBER($L200)),IF(AND($L200&gt;=ReportDate,$L200&lt;=ReportDate+DueSoonDays),1,0),0)</f>
        <v>0</v>
      </c>
      <c r="AQ200" s="71">
        <f>IF(AND($AK200=1,OR($I200="Critical",$I200="High")),1,0)</f>
        <v>0</v>
      </c>
      <c r="AR200" s="71">
        <f>IF($AK200=1,IF(ISNUMBER($Y200),IF(ReportDate-$Y200&gt;StaleDays,1,0),1),0)</f>
        <v>0</v>
      </c>
      <c r="AS200" s="71">
        <f>IF(AND($G200&lt;&gt;"",ISNUMBER($Q200),ISNUMBER($R200)),IF(AND($Q200&lt;$R200,OR($M200="Completed",AND(ISNUMBER($L200),$L200&lt;ReportDate))),1,0),0)</f>
        <v>0</v>
      </c>
      <c r="AT200" s="71">
        <f>IF($AK200=1,IF(OR($L200=ReportDate,$W200=ReportDate,$K200=ReportDate,$A200=ReportDate),1,0),0)</f>
        <v>0</v>
      </c>
      <c r="AU200" s="71">
        <f>IF($AK200=1,IF(OR($L200=ReportDate+1,$W200=ReportDate+1,$K200=ReportDate+1,$A200=ReportDate+1),1,0),0)</f>
        <v>0</v>
      </c>
      <c r="AV200" s="71">
        <f>IF(AND($G200&lt;&gt;"",$M200="Completed"),IF(OR($Y200=ReportDate-1,$A200=ReportDate-1),1,0),0)</f>
        <v>0</v>
      </c>
      <c r="AW200" s="71">
        <f>IF(AND($AK200=1,$Z200="Yes"),1,0)</f>
        <v>0</v>
      </c>
      <c r="AX200" s="71">
        <f>IF(AND($AK200=1,$AA200="Yes"),1,0)</f>
        <v>0</v>
      </c>
      <c r="AY200" s="71">
        <f>IF(AND($AM200=1,OR($I200="Critical",$I200="High")),1,0)</f>
        <v>0</v>
      </c>
      <c r="AZ200" s="71">
        <f>IF(AND($AK200=1,OR($C200=TCL_Client,$C200=MECCA_Client)),1,0)</f>
        <v>0</v>
      </c>
      <c r="BA200" s="71" t="str">
        <f>IF($G200="","",IFERROR(MATCH($I200,lst_Priority,0),5))</f>
        <v/>
      </c>
      <c r="BB200" s="71" t="str">
        <f>IF(AND($AL200=1,$AJ200=1),$BA200*100000+ROW(),"")</f>
        <v/>
      </c>
      <c r="BC200" s="71" t="str">
        <f>IF(AND($AM200=1,$AJ200=1),$BA200*100000+ROW(),"")</f>
        <v/>
      </c>
      <c r="BD200" s="71" t="str">
        <f>IF(AND($AP200=1,$AJ200=1),$BA200*100000+ROW(),"")</f>
        <v/>
      </c>
      <c r="BE200" s="71" t="str">
        <f>IF(AND($AT200=1,$AJ200=1),$BA200*100000+ROW(),"")</f>
        <v/>
      </c>
      <c r="BF200" s="71" t="str">
        <f>IF(AND($AU200=1,$AJ200=1),$BA200*100000+ROW(),"")</f>
        <v/>
      </c>
      <c r="BG200" s="71" t="str">
        <f>IF(AND($AV200=1,$AJ200=1),$BA200*100000+ROW(),"")</f>
        <v/>
      </c>
      <c r="BH200" s="71" t="str">
        <f>IF(AND($AW200=1,$AJ200=1),$BA200*100000+ROW(),"")</f>
        <v/>
      </c>
      <c r="BI200" s="71" t="str">
        <f>IF(AND($AX200=1,$AJ200=1),$BA200*100000+ROW(),"")</f>
        <v/>
      </c>
      <c r="BJ200" s="71" t="str">
        <f>IF(AND($AS200=1,$AJ200=1),$BA200*100000+ROW(),"")</f>
        <v/>
      </c>
      <c r="BK200" s="71" t="str">
        <f>IF(AND($AY200=1,$AJ200=1),$BA200*100000+ROW(),"")</f>
        <v/>
      </c>
      <c r="BL200" s="71" t="str">
        <f>IF(AND($AZ200=1),$BA200*100000+ROW(),"")</f>
        <v/>
      </c>
    </row>
    <row r="201">
      <c r="A201" s="63" t="n"/>
      <c r="B201" s="64" t="n"/>
      <c r="C201" s="64" t="n"/>
      <c r="D201" s="64" t="n"/>
      <c r="E201" s="64" t="n"/>
      <c r="F201" s="64" t="n"/>
      <c r="G201" s="65" t="n"/>
      <c r="H201" s="65" t="n"/>
      <c r="I201" s="64" t="n"/>
      <c r="J201" s="64" t="n"/>
      <c r="K201" s="63" t="n"/>
      <c r="L201" s="63" t="n"/>
      <c r="M201" s="64" t="n"/>
      <c r="N201" s="66" t="n"/>
      <c r="O201" s="65" t="n"/>
      <c r="P201" s="64" t="n"/>
      <c r="Q201" s="67" t="n"/>
      <c r="R201" s="67" t="n"/>
      <c r="S201" s="68" t="str">
        <f>IF(AND(ISNUMBER($Q201),ISNUMBER($R201)),$Q201-$R201,"")</f>
        <v/>
      </c>
      <c r="T201" s="65" t="n"/>
      <c r="U201" s="64" t="n"/>
      <c r="V201" s="65" t="n"/>
      <c r="W201" s="63" t="n"/>
      <c r="X201" s="65" t="n"/>
      <c r="Y201" s="63" t="n"/>
      <c r="Z201" s="64" t="n"/>
      <c r="AA201" s="64" t="n"/>
      <c r="AB201" s="65" t="n"/>
      <c r="AC201" s="69" t="str">
        <f>IF(OR($G201="",NOT(ISNUMBER($K201)),$AK201=0),"",MAX(0,ReportDate-$K201))</f>
        <v/>
      </c>
      <c r="AD201" s="69" t="str">
        <f>IF($G201="","",IF($AL201=1,ReportDate-$L201,0))</f>
        <v/>
      </c>
      <c r="AE201" s="70" t="str">
        <f>IF($G201="","",IF($M201="Completed",1,IF(ISNUMBER($N201),$N201,0)))</f>
        <v/>
      </c>
      <c r="AF201" s="70" t="str">
        <f>IF(AND(ISNUMBER($Q201),ISNUMBER($R201)),IF($R201&lt;&gt;0,$Q201/$R201,""),"")</f>
        <v/>
      </c>
      <c r="AG201" s="71" t="str">
        <f>IF($G201="","",IF($AL201=1,"OVERDUE",IF($AM201=1,"BLOCKED",IF($AN201=1,"DUE TODAY",IF($AO201=1,"DUE TOMORROW",IF($AQ201=1,"HIGH PRIORITY",IF($AR201=1,"NO RECENT UPDATE",""))))))) </f>
        <v/>
      </c>
      <c r="AH201" s="71" t="str">
        <f>IF($G201="","",IF(ISNUMBER($A201),IF(ISNUMBER($A201),YEAR($A201)&amp;"-"&amp;TEXT(MONTH($A201),"00"),""),IF(ISNUMBER($L201),IF(ISNUMBER($L201),YEAR($L201)&amp;"-"&amp;TEXT(MONTH($L201),"00"),""),"")))</f>
        <v/>
      </c>
      <c r="AI201" s="71">
        <f>IF($G201="",0,IF(AND(OR(fClient="All",$C201=fClient),OR(fCampaign="All",$D201=fCampaign),OR(fTeam="All",$B201=fTeam),OR(fChannel="All",$F201=fChannel),OR(fMonth="All",$AH201=fMonth),OR(fTStatus="All",$M201=fTStatus)),1,0))</f>
        <v>0</v>
      </c>
      <c r="AJ201" s="71">
        <f>IF($G201="",0,IF(AND(OR(fClient="All",$C201=fClient),OR(fCampaign="All",$D201=fCampaign),OR(fTeam="All",$B201=fTeam),OR(fChannel="All",$F201=fChannel)),1,0))</f>
        <v>0</v>
      </c>
      <c r="AK201" s="71">
        <f>IF($G201="",0,IF(OR($M201="Completed",$M201="Cancelled"),0,1))</f>
        <v>0</v>
      </c>
      <c r="AL201" s="71">
        <f>IF(AND($AK201=1,ISNUMBER($L201)),IF($L201&lt;ReportDate,1,0),0)</f>
        <v>0</v>
      </c>
      <c r="AM201" s="71">
        <f>IF(AND($G201&lt;&gt;"",$M201="Blocked"),1,0)</f>
        <v>0</v>
      </c>
      <c r="AN201" s="71">
        <f>IF(AND($AK201=1,ISNUMBER($L201)),IF($L201=ReportDate,1,0),0)</f>
        <v>0</v>
      </c>
      <c r="AO201" s="71">
        <f>IF(AND($AK201=1,ISNUMBER($L201)),IF($L201=ReportDate+1,1,0),0)</f>
        <v>0</v>
      </c>
      <c r="AP201" s="71">
        <f>IF(AND($AK201=1,ISNUMBER($L201)),IF(AND($L201&gt;=ReportDate,$L201&lt;=ReportDate+DueSoonDays),1,0),0)</f>
        <v>0</v>
      </c>
      <c r="AQ201" s="71">
        <f>IF(AND($AK201=1,OR($I201="Critical",$I201="High")),1,0)</f>
        <v>0</v>
      </c>
      <c r="AR201" s="71">
        <f>IF($AK201=1,IF(ISNUMBER($Y201),IF(ReportDate-$Y201&gt;StaleDays,1,0),1),0)</f>
        <v>0</v>
      </c>
      <c r="AS201" s="71">
        <f>IF(AND($G201&lt;&gt;"",ISNUMBER($Q201),ISNUMBER($R201)),IF(AND($Q201&lt;$R201,OR($M201="Completed",AND(ISNUMBER($L201),$L201&lt;ReportDate))),1,0),0)</f>
        <v>0</v>
      </c>
      <c r="AT201" s="71">
        <f>IF($AK201=1,IF(OR($L201=ReportDate,$W201=ReportDate,$K201=ReportDate,$A201=ReportDate),1,0),0)</f>
        <v>0</v>
      </c>
      <c r="AU201" s="71">
        <f>IF($AK201=1,IF(OR($L201=ReportDate+1,$W201=ReportDate+1,$K201=ReportDate+1,$A201=ReportDate+1),1,0),0)</f>
        <v>0</v>
      </c>
      <c r="AV201" s="71">
        <f>IF(AND($G201&lt;&gt;"",$M201="Completed"),IF(OR($Y201=ReportDate-1,$A201=ReportDate-1),1,0),0)</f>
        <v>0</v>
      </c>
      <c r="AW201" s="71">
        <f>IF(AND($AK201=1,$Z201="Yes"),1,0)</f>
        <v>0</v>
      </c>
      <c r="AX201" s="71">
        <f>IF(AND($AK201=1,$AA201="Yes"),1,0)</f>
        <v>0</v>
      </c>
      <c r="AY201" s="71">
        <f>IF(AND($AM201=1,OR($I201="Critical",$I201="High")),1,0)</f>
        <v>0</v>
      </c>
      <c r="AZ201" s="71">
        <f>IF(AND($AK201=1,OR($C201=TCL_Client,$C201=MECCA_Client)),1,0)</f>
        <v>0</v>
      </c>
      <c r="BA201" s="71" t="str">
        <f>IF($G201="","",IFERROR(MATCH($I201,lst_Priority,0),5))</f>
        <v/>
      </c>
      <c r="BB201" s="71" t="str">
        <f>IF(AND($AL201=1,$AJ201=1),$BA201*100000+ROW(),"")</f>
        <v/>
      </c>
      <c r="BC201" s="71" t="str">
        <f>IF(AND($AM201=1,$AJ201=1),$BA201*100000+ROW(),"")</f>
        <v/>
      </c>
      <c r="BD201" s="71" t="str">
        <f>IF(AND($AP201=1,$AJ201=1),$BA201*100000+ROW(),"")</f>
        <v/>
      </c>
      <c r="BE201" s="71" t="str">
        <f>IF(AND($AT201=1,$AJ201=1),$BA201*100000+ROW(),"")</f>
        <v/>
      </c>
      <c r="BF201" s="71" t="str">
        <f>IF(AND($AU201=1,$AJ201=1),$BA201*100000+ROW(),"")</f>
        <v/>
      </c>
      <c r="BG201" s="71" t="str">
        <f>IF(AND($AV201=1,$AJ201=1),$BA201*100000+ROW(),"")</f>
        <v/>
      </c>
      <c r="BH201" s="71" t="str">
        <f>IF(AND($AW201=1,$AJ201=1),$BA201*100000+ROW(),"")</f>
        <v/>
      </c>
      <c r="BI201" s="71" t="str">
        <f>IF(AND($AX201=1,$AJ201=1),$BA201*100000+ROW(),"")</f>
        <v/>
      </c>
      <c r="BJ201" s="71" t="str">
        <f>IF(AND($AS201=1,$AJ201=1),$BA201*100000+ROW(),"")</f>
        <v/>
      </c>
      <c r="BK201" s="71" t="str">
        <f>IF(AND($AY201=1,$AJ201=1),$BA201*100000+ROW(),"")</f>
        <v/>
      </c>
      <c r="BL201" s="71" t="str">
        <f>IF(AND($AZ201=1),$BA201*100000+ROW(),"")</f>
        <v/>
      </c>
    </row>
    <row r="202">
      <c r="A202" s="63" t="n"/>
      <c r="B202" s="64" t="n"/>
      <c r="C202" s="64" t="n"/>
      <c r="D202" s="64" t="n"/>
      <c r="E202" s="64" t="n"/>
      <c r="F202" s="64" t="n"/>
      <c r="G202" s="65" t="n"/>
      <c r="H202" s="65" t="n"/>
      <c r="I202" s="64" t="n"/>
      <c r="J202" s="64" t="n"/>
      <c r="K202" s="63" t="n"/>
      <c r="L202" s="63" t="n"/>
      <c r="M202" s="64" t="n"/>
      <c r="N202" s="66" t="n"/>
      <c r="O202" s="65" t="n"/>
      <c r="P202" s="64" t="n"/>
      <c r="Q202" s="67" t="n"/>
      <c r="R202" s="67" t="n"/>
      <c r="S202" s="68" t="str">
        <f>IF(AND(ISNUMBER($Q202),ISNUMBER($R202)),$Q202-$R202,"")</f>
        <v/>
      </c>
      <c r="T202" s="65" t="n"/>
      <c r="U202" s="64" t="n"/>
      <c r="V202" s="65" t="n"/>
      <c r="W202" s="63" t="n"/>
      <c r="X202" s="65" t="n"/>
      <c r="Y202" s="63" t="n"/>
      <c r="Z202" s="64" t="n"/>
      <c r="AA202" s="64" t="n"/>
      <c r="AB202" s="65" t="n"/>
      <c r="AC202" s="69" t="str">
        <f>IF(OR($G202="",NOT(ISNUMBER($K202)),$AK202=0),"",MAX(0,ReportDate-$K202))</f>
        <v/>
      </c>
      <c r="AD202" s="69" t="str">
        <f>IF($G202="","",IF($AL202=1,ReportDate-$L202,0))</f>
        <v/>
      </c>
      <c r="AE202" s="70" t="str">
        <f>IF($G202="","",IF($M202="Completed",1,IF(ISNUMBER($N202),$N202,0)))</f>
        <v/>
      </c>
      <c r="AF202" s="70" t="str">
        <f>IF(AND(ISNUMBER($Q202),ISNUMBER($R202)),IF($R202&lt;&gt;0,$Q202/$R202,""),"")</f>
        <v/>
      </c>
      <c r="AG202" s="71" t="str">
        <f>IF($G202="","",IF($AL202=1,"OVERDUE",IF($AM202=1,"BLOCKED",IF($AN202=1,"DUE TODAY",IF($AO202=1,"DUE TOMORROW",IF($AQ202=1,"HIGH PRIORITY",IF($AR202=1,"NO RECENT UPDATE",""))))))) </f>
        <v/>
      </c>
      <c r="AH202" s="71" t="str">
        <f>IF($G202="","",IF(ISNUMBER($A202),IF(ISNUMBER($A202),YEAR($A202)&amp;"-"&amp;TEXT(MONTH($A202),"00"),""),IF(ISNUMBER($L202),IF(ISNUMBER($L202),YEAR($L202)&amp;"-"&amp;TEXT(MONTH($L202),"00"),""),"")))</f>
        <v/>
      </c>
      <c r="AI202" s="71">
        <f>IF($G202="",0,IF(AND(OR(fClient="All",$C202=fClient),OR(fCampaign="All",$D202=fCampaign),OR(fTeam="All",$B202=fTeam),OR(fChannel="All",$F202=fChannel),OR(fMonth="All",$AH202=fMonth),OR(fTStatus="All",$M202=fTStatus)),1,0))</f>
        <v>0</v>
      </c>
      <c r="AJ202" s="71">
        <f>IF($G202="",0,IF(AND(OR(fClient="All",$C202=fClient),OR(fCampaign="All",$D202=fCampaign),OR(fTeam="All",$B202=fTeam),OR(fChannel="All",$F202=fChannel)),1,0))</f>
        <v>0</v>
      </c>
      <c r="AK202" s="71">
        <f>IF($G202="",0,IF(OR($M202="Completed",$M202="Cancelled"),0,1))</f>
        <v>0</v>
      </c>
      <c r="AL202" s="71">
        <f>IF(AND($AK202=1,ISNUMBER($L202)),IF($L202&lt;ReportDate,1,0),0)</f>
        <v>0</v>
      </c>
      <c r="AM202" s="71">
        <f>IF(AND($G202&lt;&gt;"",$M202="Blocked"),1,0)</f>
        <v>0</v>
      </c>
      <c r="AN202" s="71">
        <f>IF(AND($AK202=1,ISNUMBER($L202)),IF($L202=ReportDate,1,0),0)</f>
        <v>0</v>
      </c>
      <c r="AO202" s="71">
        <f>IF(AND($AK202=1,ISNUMBER($L202)),IF($L202=ReportDate+1,1,0),0)</f>
        <v>0</v>
      </c>
      <c r="AP202" s="71">
        <f>IF(AND($AK202=1,ISNUMBER($L202)),IF(AND($L202&gt;=ReportDate,$L202&lt;=ReportDate+DueSoonDays),1,0),0)</f>
        <v>0</v>
      </c>
      <c r="AQ202" s="71">
        <f>IF(AND($AK202=1,OR($I202="Critical",$I202="High")),1,0)</f>
        <v>0</v>
      </c>
      <c r="AR202" s="71">
        <f>IF($AK202=1,IF(ISNUMBER($Y202),IF(ReportDate-$Y202&gt;StaleDays,1,0),1),0)</f>
        <v>0</v>
      </c>
      <c r="AS202" s="71">
        <f>IF(AND($G202&lt;&gt;"",ISNUMBER($Q202),ISNUMBER($R202)),IF(AND($Q202&lt;$R202,OR($M202="Completed",AND(ISNUMBER($L202),$L202&lt;ReportDate))),1,0),0)</f>
        <v>0</v>
      </c>
      <c r="AT202" s="71">
        <f>IF($AK202=1,IF(OR($L202=ReportDate,$W202=ReportDate,$K202=ReportDate,$A202=ReportDate),1,0),0)</f>
        <v>0</v>
      </c>
      <c r="AU202" s="71">
        <f>IF($AK202=1,IF(OR($L202=ReportDate+1,$W202=ReportDate+1,$K202=ReportDate+1,$A202=ReportDate+1),1,0),0)</f>
        <v>0</v>
      </c>
      <c r="AV202" s="71">
        <f>IF(AND($G202&lt;&gt;"",$M202="Completed"),IF(OR($Y202=ReportDate-1,$A202=ReportDate-1),1,0),0)</f>
        <v>0</v>
      </c>
      <c r="AW202" s="71">
        <f>IF(AND($AK202=1,$Z202="Yes"),1,0)</f>
        <v>0</v>
      </c>
      <c r="AX202" s="71">
        <f>IF(AND($AK202=1,$AA202="Yes"),1,0)</f>
        <v>0</v>
      </c>
      <c r="AY202" s="71">
        <f>IF(AND($AM202=1,OR($I202="Critical",$I202="High")),1,0)</f>
        <v>0</v>
      </c>
      <c r="AZ202" s="71">
        <f>IF(AND($AK202=1,OR($C202=TCL_Client,$C202=MECCA_Client)),1,0)</f>
        <v>0</v>
      </c>
      <c r="BA202" s="71" t="str">
        <f>IF($G202="","",IFERROR(MATCH($I202,lst_Priority,0),5))</f>
        <v/>
      </c>
      <c r="BB202" s="71" t="str">
        <f>IF(AND($AL202=1,$AJ202=1),$BA202*100000+ROW(),"")</f>
        <v/>
      </c>
      <c r="BC202" s="71" t="str">
        <f>IF(AND($AM202=1,$AJ202=1),$BA202*100000+ROW(),"")</f>
        <v/>
      </c>
      <c r="BD202" s="71" t="str">
        <f>IF(AND($AP202=1,$AJ202=1),$BA202*100000+ROW(),"")</f>
        <v/>
      </c>
      <c r="BE202" s="71" t="str">
        <f>IF(AND($AT202=1,$AJ202=1),$BA202*100000+ROW(),"")</f>
        <v/>
      </c>
      <c r="BF202" s="71" t="str">
        <f>IF(AND($AU202=1,$AJ202=1),$BA202*100000+ROW(),"")</f>
        <v/>
      </c>
      <c r="BG202" s="71" t="str">
        <f>IF(AND($AV202=1,$AJ202=1),$BA202*100000+ROW(),"")</f>
        <v/>
      </c>
      <c r="BH202" s="71" t="str">
        <f>IF(AND($AW202=1,$AJ202=1),$BA202*100000+ROW(),"")</f>
        <v/>
      </c>
      <c r="BI202" s="71" t="str">
        <f>IF(AND($AX202=1,$AJ202=1),$BA202*100000+ROW(),"")</f>
        <v/>
      </c>
      <c r="BJ202" s="71" t="str">
        <f>IF(AND($AS202=1,$AJ202=1),$BA202*100000+ROW(),"")</f>
        <v/>
      </c>
      <c r="BK202" s="71" t="str">
        <f>IF(AND($AY202=1,$AJ202=1),$BA202*100000+ROW(),"")</f>
        <v/>
      </c>
      <c r="BL202" s="71" t="str">
        <f>IF(AND($AZ202=1),$BA202*100000+ROW(),"")</f>
        <v/>
      </c>
    </row>
    <row r="203">
      <c r="A203" s="63" t="n"/>
      <c r="B203" s="64" t="n"/>
      <c r="C203" s="64" t="n"/>
      <c r="D203" s="64" t="n"/>
      <c r="E203" s="64" t="n"/>
      <c r="F203" s="64" t="n"/>
      <c r="G203" s="65" t="n"/>
      <c r="H203" s="65" t="n"/>
      <c r="I203" s="64" t="n"/>
      <c r="J203" s="64" t="n"/>
      <c r="K203" s="63" t="n"/>
      <c r="L203" s="63" t="n"/>
      <c r="M203" s="64" t="n"/>
      <c r="N203" s="66" t="n"/>
      <c r="O203" s="65" t="n"/>
      <c r="P203" s="64" t="n"/>
      <c r="Q203" s="67" t="n"/>
      <c r="R203" s="67" t="n"/>
      <c r="S203" s="68" t="str">
        <f>IF(AND(ISNUMBER($Q203),ISNUMBER($R203)),$Q203-$R203,"")</f>
        <v/>
      </c>
      <c r="T203" s="65" t="n"/>
      <c r="U203" s="64" t="n"/>
      <c r="V203" s="65" t="n"/>
      <c r="W203" s="63" t="n"/>
      <c r="X203" s="65" t="n"/>
      <c r="Y203" s="63" t="n"/>
      <c r="Z203" s="64" t="n"/>
      <c r="AA203" s="64" t="n"/>
      <c r="AB203" s="65" t="n"/>
      <c r="AC203" s="69" t="str">
        <f>IF(OR($G203="",NOT(ISNUMBER($K203)),$AK203=0),"",MAX(0,ReportDate-$K203))</f>
        <v/>
      </c>
      <c r="AD203" s="69" t="str">
        <f>IF($G203="","",IF($AL203=1,ReportDate-$L203,0))</f>
        <v/>
      </c>
      <c r="AE203" s="70" t="str">
        <f>IF($G203="","",IF($M203="Completed",1,IF(ISNUMBER($N203),$N203,0)))</f>
        <v/>
      </c>
      <c r="AF203" s="70" t="str">
        <f>IF(AND(ISNUMBER($Q203),ISNUMBER($R203)),IF($R203&lt;&gt;0,$Q203/$R203,""),"")</f>
        <v/>
      </c>
      <c r="AG203" s="71" t="str">
        <f>IF($G203="","",IF($AL203=1,"OVERDUE",IF($AM203=1,"BLOCKED",IF($AN203=1,"DUE TODAY",IF($AO203=1,"DUE TOMORROW",IF($AQ203=1,"HIGH PRIORITY",IF($AR203=1,"NO RECENT UPDATE",""))))))) </f>
        <v/>
      </c>
      <c r="AH203" s="71" t="str">
        <f>IF($G203="","",IF(ISNUMBER($A203),IF(ISNUMBER($A203),YEAR($A203)&amp;"-"&amp;TEXT(MONTH($A203),"00"),""),IF(ISNUMBER($L203),IF(ISNUMBER($L203),YEAR($L203)&amp;"-"&amp;TEXT(MONTH($L203),"00"),""),"")))</f>
        <v/>
      </c>
      <c r="AI203" s="71">
        <f>IF($G203="",0,IF(AND(OR(fClient="All",$C203=fClient),OR(fCampaign="All",$D203=fCampaign),OR(fTeam="All",$B203=fTeam),OR(fChannel="All",$F203=fChannel),OR(fMonth="All",$AH203=fMonth),OR(fTStatus="All",$M203=fTStatus)),1,0))</f>
        <v>0</v>
      </c>
      <c r="AJ203" s="71">
        <f>IF($G203="",0,IF(AND(OR(fClient="All",$C203=fClient),OR(fCampaign="All",$D203=fCampaign),OR(fTeam="All",$B203=fTeam),OR(fChannel="All",$F203=fChannel)),1,0))</f>
        <v>0</v>
      </c>
      <c r="AK203" s="71">
        <f>IF($G203="",0,IF(OR($M203="Completed",$M203="Cancelled"),0,1))</f>
        <v>0</v>
      </c>
      <c r="AL203" s="71">
        <f>IF(AND($AK203=1,ISNUMBER($L203)),IF($L203&lt;ReportDate,1,0),0)</f>
        <v>0</v>
      </c>
      <c r="AM203" s="71">
        <f>IF(AND($G203&lt;&gt;"",$M203="Blocked"),1,0)</f>
        <v>0</v>
      </c>
      <c r="AN203" s="71">
        <f>IF(AND($AK203=1,ISNUMBER($L203)),IF($L203=ReportDate,1,0),0)</f>
        <v>0</v>
      </c>
      <c r="AO203" s="71">
        <f>IF(AND($AK203=1,ISNUMBER($L203)),IF($L203=ReportDate+1,1,0),0)</f>
        <v>0</v>
      </c>
      <c r="AP203" s="71">
        <f>IF(AND($AK203=1,ISNUMBER($L203)),IF(AND($L203&gt;=ReportDate,$L203&lt;=ReportDate+DueSoonDays),1,0),0)</f>
        <v>0</v>
      </c>
      <c r="AQ203" s="71">
        <f>IF(AND($AK203=1,OR($I203="Critical",$I203="High")),1,0)</f>
        <v>0</v>
      </c>
      <c r="AR203" s="71">
        <f>IF($AK203=1,IF(ISNUMBER($Y203),IF(ReportDate-$Y203&gt;StaleDays,1,0),1),0)</f>
        <v>0</v>
      </c>
      <c r="AS203" s="71">
        <f>IF(AND($G203&lt;&gt;"",ISNUMBER($Q203),ISNUMBER($R203)),IF(AND($Q203&lt;$R203,OR($M203="Completed",AND(ISNUMBER($L203),$L203&lt;ReportDate))),1,0),0)</f>
        <v>0</v>
      </c>
      <c r="AT203" s="71">
        <f>IF($AK203=1,IF(OR($L203=ReportDate,$W203=ReportDate,$K203=ReportDate,$A203=ReportDate),1,0),0)</f>
        <v>0</v>
      </c>
      <c r="AU203" s="71">
        <f>IF($AK203=1,IF(OR($L203=ReportDate+1,$W203=ReportDate+1,$K203=ReportDate+1,$A203=ReportDate+1),1,0),0)</f>
        <v>0</v>
      </c>
      <c r="AV203" s="71">
        <f>IF(AND($G203&lt;&gt;"",$M203="Completed"),IF(OR($Y203=ReportDate-1,$A203=ReportDate-1),1,0),0)</f>
        <v>0</v>
      </c>
      <c r="AW203" s="71">
        <f>IF(AND($AK203=1,$Z203="Yes"),1,0)</f>
        <v>0</v>
      </c>
      <c r="AX203" s="71">
        <f>IF(AND($AK203=1,$AA203="Yes"),1,0)</f>
        <v>0</v>
      </c>
      <c r="AY203" s="71">
        <f>IF(AND($AM203=1,OR($I203="Critical",$I203="High")),1,0)</f>
        <v>0</v>
      </c>
      <c r="AZ203" s="71">
        <f>IF(AND($AK203=1,OR($C203=TCL_Client,$C203=MECCA_Client)),1,0)</f>
        <v>0</v>
      </c>
      <c r="BA203" s="71" t="str">
        <f>IF($G203="","",IFERROR(MATCH($I203,lst_Priority,0),5))</f>
        <v/>
      </c>
      <c r="BB203" s="71" t="str">
        <f>IF(AND($AL203=1,$AJ203=1),$BA203*100000+ROW(),"")</f>
        <v/>
      </c>
      <c r="BC203" s="71" t="str">
        <f>IF(AND($AM203=1,$AJ203=1),$BA203*100000+ROW(),"")</f>
        <v/>
      </c>
      <c r="BD203" s="71" t="str">
        <f>IF(AND($AP203=1,$AJ203=1),$BA203*100000+ROW(),"")</f>
        <v/>
      </c>
      <c r="BE203" s="71" t="str">
        <f>IF(AND($AT203=1,$AJ203=1),$BA203*100000+ROW(),"")</f>
        <v/>
      </c>
      <c r="BF203" s="71" t="str">
        <f>IF(AND($AU203=1,$AJ203=1),$BA203*100000+ROW(),"")</f>
        <v/>
      </c>
      <c r="BG203" s="71" t="str">
        <f>IF(AND($AV203=1,$AJ203=1),$BA203*100000+ROW(),"")</f>
        <v/>
      </c>
      <c r="BH203" s="71" t="str">
        <f>IF(AND($AW203=1,$AJ203=1),$BA203*100000+ROW(),"")</f>
        <v/>
      </c>
      <c r="BI203" s="71" t="str">
        <f>IF(AND($AX203=1,$AJ203=1),$BA203*100000+ROW(),"")</f>
        <v/>
      </c>
      <c r="BJ203" s="71" t="str">
        <f>IF(AND($AS203=1,$AJ203=1),$BA203*100000+ROW(),"")</f>
        <v/>
      </c>
      <c r="BK203" s="71" t="str">
        <f>IF(AND($AY203=1,$AJ203=1),$BA203*100000+ROW(),"")</f>
        <v/>
      </c>
      <c r="BL203" s="71" t="str">
        <f>IF(AND($AZ203=1),$BA203*100000+ROW(),"")</f>
        <v/>
      </c>
    </row>
    <row r="204">
      <c r="A204" s="63" t="n"/>
      <c r="B204" s="64" t="n"/>
      <c r="C204" s="64" t="n"/>
      <c r="D204" s="64" t="n"/>
      <c r="E204" s="64" t="n"/>
      <c r="F204" s="64" t="n"/>
      <c r="G204" s="65" t="n"/>
      <c r="H204" s="65" t="n"/>
      <c r="I204" s="64" t="n"/>
      <c r="J204" s="64" t="n"/>
      <c r="K204" s="63" t="n"/>
      <c r="L204" s="63" t="n"/>
      <c r="M204" s="64" t="n"/>
      <c r="N204" s="66" t="n"/>
      <c r="O204" s="65" t="n"/>
      <c r="P204" s="64" t="n"/>
      <c r="Q204" s="67" t="n"/>
      <c r="R204" s="67" t="n"/>
      <c r="S204" s="68" t="str">
        <f>IF(AND(ISNUMBER($Q204),ISNUMBER($R204)),$Q204-$R204,"")</f>
        <v/>
      </c>
      <c r="T204" s="65" t="n"/>
      <c r="U204" s="64" t="n"/>
      <c r="V204" s="65" t="n"/>
      <c r="W204" s="63" t="n"/>
      <c r="X204" s="65" t="n"/>
      <c r="Y204" s="63" t="n"/>
      <c r="Z204" s="64" t="n"/>
      <c r="AA204" s="64" t="n"/>
      <c r="AB204" s="65" t="n"/>
      <c r="AC204" s="69" t="str">
        <f>IF(OR($G204="",NOT(ISNUMBER($K204)),$AK204=0),"",MAX(0,ReportDate-$K204))</f>
        <v/>
      </c>
      <c r="AD204" s="69" t="str">
        <f>IF($G204="","",IF($AL204=1,ReportDate-$L204,0))</f>
        <v/>
      </c>
      <c r="AE204" s="70" t="str">
        <f>IF($G204="","",IF($M204="Completed",1,IF(ISNUMBER($N204),$N204,0)))</f>
        <v/>
      </c>
      <c r="AF204" s="70" t="str">
        <f>IF(AND(ISNUMBER($Q204),ISNUMBER($R204)),IF($R204&lt;&gt;0,$Q204/$R204,""),"")</f>
        <v/>
      </c>
      <c r="AG204" s="71" t="str">
        <f>IF($G204="","",IF($AL204=1,"OVERDUE",IF($AM204=1,"BLOCKED",IF($AN204=1,"DUE TODAY",IF($AO204=1,"DUE TOMORROW",IF($AQ204=1,"HIGH PRIORITY",IF($AR204=1,"NO RECENT UPDATE",""))))))) </f>
        <v/>
      </c>
      <c r="AH204" s="71" t="str">
        <f>IF($G204="","",IF(ISNUMBER($A204),IF(ISNUMBER($A204),YEAR($A204)&amp;"-"&amp;TEXT(MONTH($A204),"00"),""),IF(ISNUMBER($L204),IF(ISNUMBER($L204),YEAR($L204)&amp;"-"&amp;TEXT(MONTH($L204),"00"),""),"")))</f>
        <v/>
      </c>
      <c r="AI204" s="71">
        <f>IF($G204="",0,IF(AND(OR(fClient="All",$C204=fClient),OR(fCampaign="All",$D204=fCampaign),OR(fTeam="All",$B204=fTeam),OR(fChannel="All",$F204=fChannel),OR(fMonth="All",$AH204=fMonth),OR(fTStatus="All",$M204=fTStatus)),1,0))</f>
        <v>0</v>
      </c>
      <c r="AJ204" s="71">
        <f>IF($G204="",0,IF(AND(OR(fClient="All",$C204=fClient),OR(fCampaign="All",$D204=fCampaign),OR(fTeam="All",$B204=fTeam),OR(fChannel="All",$F204=fChannel)),1,0))</f>
        <v>0</v>
      </c>
      <c r="AK204" s="71">
        <f>IF($G204="",0,IF(OR($M204="Completed",$M204="Cancelled"),0,1))</f>
        <v>0</v>
      </c>
      <c r="AL204" s="71">
        <f>IF(AND($AK204=1,ISNUMBER($L204)),IF($L204&lt;ReportDate,1,0),0)</f>
        <v>0</v>
      </c>
      <c r="AM204" s="71">
        <f>IF(AND($G204&lt;&gt;"",$M204="Blocked"),1,0)</f>
        <v>0</v>
      </c>
      <c r="AN204" s="71">
        <f>IF(AND($AK204=1,ISNUMBER($L204)),IF($L204=ReportDate,1,0),0)</f>
        <v>0</v>
      </c>
      <c r="AO204" s="71">
        <f>IF(AND($AK204=1,ISNUMBER($L204)),IF($L204=ReportDate+1,1,0),0)</f>
        <v>0</v>
      </c>
      <c r="AP204" s="71">
        <f>IF(AND($AK204=1,ISNUMBER($L204)),IF(AND($L204&gt;=ReportDate,$L204&lt;=ReportDate+DueSoonDays),1,0),0)</f>
        <v>0</v>
      </c>
      <c r="AQ204" s="71">
        <f>IF(AND($AK204=1,OR($I204="Critical",$I204="High")),1,0)</f>
        <v>0</v>
      </c>
      <c r="AR204" s="71">
        <f>IF($AK204=1,IF(ISNUMBER($Y204),IF(ReportDate-$Y204&gt;StaleDays,1,0),1),0)</f>
        <v>0</v>
      </c>
      <c r="AS204" s="71">
        <f>IF(AND($G204&lt;&gt;"",ISNUMBER($Q204),ISNUMBER($R204)),IF(AND($Q204&lt;$R204,OR($M204="Completed",AND(ISNUMBER($L204),$L204&lt;ReportDate))),1,0),0)</f>
        <v>0</v>
      </c>
      <c r="AT204" s="71">
        <f>IF($AK204=1,IF(OR($L204=ReportDate,$W204=ReportDate,$K204=ReportDate,$A204=ReportDate),1,0),0)</f>
        <v>0</v>
      </c>
      <c r="AU204" s="71">
        <f>IF($AK204=1,IF(OR($L204=ReportDate+1,$W204=ReportDate+1,$K204=ReportDate+1,$A204=ReportDate+1),1,0),0)</f>
        <v>0</v>
      </c>
      <c r="AV204" s="71">
        <f>IF(AND($G204&lt;&gt;"",$M204="Completed"),IF(OR($Y204=ReportDate-1,$A204=ReportDate-1),1,0),0)</f>
        <v>0</v>
      </c>
      <c r="AW204" s="71">
        <f>IF(AND($AK204=1,$Z204="Yes"),1,0)</f>
        <v>0</v>
      </c>
      <c r="AX204" s="71">
        <f>IF(AND($AK204=1,$AA204="Yes"),1,0)</f>
        <v>0</v>
      </c>
      <c r="AY204" s="71">
        <f>IF(AND($AM204=1,OR($I204="Critical",$I204="High")),1,0)</f>
        <v>0</v>
      </c>
      <c r="AZ204" s="71">
        <f>IF(AND($AK204=1,OR($C204=TCL_Client,$C204=MECCA_Client)),1,0)</f>
        <v>0</v>
      </c>
      <c r="BA204" s="71" t="str">
        <f>IF($G204="","",IFERROR(MATCH($I204,lst_Priority,0),5))</f>
        <v/>
      </c>
      <c r="BB204" s="71" t="str">
        <f>IF(AND($AL204=1,$AJ204=1),$BA204*100000+ROW(),"")</f>
        <v/>
      </c>
      <c r="BC204" s="71" t="str">
        <f>IF(AND($AM204=1,$AJ204=1),$BA204*100000+ROW(),"")</f>
        <v/>
      </c>
      <c r="BD204" s="71" t="str">
        <f>IF(AND($AP204=1,$AJ204=1),$BA204*100000+ROW(),"")</f>
        <v/>
      </c>
      <c r="BE204" s="71" t="str">
        <f>IF(AND($AT204=1,$AJ204=1),$BA204*100000+ROW(),"")</f>
        <v/>
      </c>
      <c r="BF204" s="71" t="str">
        <f>IF(AND($AU204=1,$AJ204=1),$BA204*100000+ROW(),"")</f>
        <v/>
      </c>
      <c r="BG204" s="71" t="str">
        <f>IF(AND($AV204=1,$AJ204=1),$BA204*100000+ROW(),"")</f>
        <v/>
      </c>
      <c r="BH204" s="71" t="str">
        <f>IF(AND($AW204=1,$AJ204=1),$BA204*100000+ROW(),"")</f>
        <v/>
      </c>
      <c r="BI204" s="71" t="str">
        <f>IF(AND($AX204=1,$AJ204=1),$BA204*100000+ROW(),"")</f>
        <v/>
      </c>
      <c r="BJ204" s="71" t="str">
        <f>IF(AND($AS204=1,$AJ204=1),$BA204*100000+ROW(),"")</f>
        <v/>
      </c>
      <c r="BK204" s="71" t="str">
        <f>IF(AND($AY204=1,$AJ204=1),$BA204*100000+ROW(),"")</f>
        <v/>
      </c>
      <c r="BL204" s="71" t="str">
        <f>IF(AND($AZ204=1),$BA204*100000+ROW(),"")</f>
        <v/>
      </c>
    </row>
    <row r="205">
      <c r="A205" s="63" t="n"/>
      <c r="B205" s="64" t="n"/>
      <c r="C205" s="64" t="n"/>
      <c r="D205" s="64" t="n"/>
      <c r="E205" s="64" t="n"/>
      <c r="F205" s="64" t="n"/>
      <c r="G205" s="65" t="n"/>
      <c r="H205" s="65" t="n"/>
      <c r="I205" s="64" t="n"/>
      <c r="J205" s="64" t="n"/>
      <c r="K205" s="63" t="n"/>
      <c r="L205" s="63" t="n"/>
      <c r="M205" s="64" t="n"/>
      <c r="N205" s="66" t="n"/>
      <c r="O205" s="65" t="n"/>
      <c r="P205" s="64" t="n"/>
      <c r="Q205" s="67" t="n"/>
      <c r="R205" s="67" t="n"/>
      <c r="S205" s="68" t="str">
        <f>IF(AND(ISNUMBER($Q205),ISNUMBER($R205)),$Q205-$R205,"")</f>
        <v/>
      </c>
      <c r="T205" s="65" t="n"/>
      <c r="U205" s="64" t="n"/>
      <c r="V205" s="65" t="n"/>
      <c r="W205" s="63" t="n"/>
      <c r="X205" s="65" t="n"/>
      <c r="Y205" s="63" t="n"/>
      <c r="Z205" s="64" t="n"/>
      <c r="AA205" s="64" t="n"/>
      <c r="AB205" s="65" t="n"/>
      <c r="AC205" s="69" t="str">
        <f>IF(OR($G205="",NOT(ISNUMBER($K205)),$AK205=0),"",MAX(0,ReportDate-$K205))</f>
        <v/>
      </c>
      <c r="AD205" s="69" t="str">
        <f>IF($G205="","",IF($AL205=1,ReportDate-$L205,0))</f>
        <v/>
      </c>
      <c r="AE205" s="70" t="str">
        <f>IF($G205="","",IF($M205="Completed",1,IF(ISNUMBER($N205),$N205,0)))</f>
        <v/>
      </c>
      <c r="AF205" s="70" t="str">
        <f>IF(AND(ISNUMBER($Q205),ISNUMBER($R205)),IF($R205&lt;&gt;0,$Q205/$R205,""),"")</f>
        <v/>
      </c>
      <c r="AG205" s="71" t="str">
        <f>IF($G205="","",IF($AL205=1,"OVERDUE",IF($AM205=1,"BLOCKED",IF($AN205=1,"DUE TODAY",IF($AO205=1,"DUE TOMORROW",IF($AQ205=1,"HIGH PRIORITY",IF($AR205=1,"NO RECENT UPDATE",""))))))) </f>
        <v/>
      </c>
      <c r="AH205" s="71" t="str">
        <f>IF($G205="","",IF(ISNUMBER($A205),IF(ISNUMBER($A205),YEAR($A205)&amp;"-"&amp;TEXT(MONTH($A205),"00"),""),IF(ISNUMBER($L205),IF(ISNUMBER($L205),YEAR($L205)&amp;"-"&amp;TEXT(MONTH($L205),"00"),""),"")))</f>
        <v/>
      </c>
      <c r="AI205" s="71">
        <f>IF($G205="",0,IF(AND(OR(fClient="All",$C205=fClient),OR(fCampaign="All",$D205=fCampaign),OR(fTeam="All",$B205=fTeam),OR(fChannel="All",$F205=fChannel),OR(fMonth="All",$AH205=fMonth),OR(fTStatus="All",$M205=fTStatus)),1,0))</f>
        <v>0</v>
      </c>
      <c r="AJ205" s="71">
        <f>IF($G205="",0,IF(AND(OR(fClient="All",$C205=fClient),OR(fCampaign="All",$D205=fCampaign),OR(fTeam="All",$B205=fTeam),OR(fChannel="All",$F205=fChannel)),1,0))</f>
        <v>0</v>
      </c>
      <c r="AK205" s="71">
        <f>IF($G205="",0,IF(OR($M205="Completed",$M205="Cancelled"),0,1))</f>
        <v>0</v>
      </c>
      <c r="AL205" s="71">
        <f>IF(AND($AK205=1,ISNUMBER($L205)),IF($L205&lt;ReportDate,1,0),0)</f>
        <v>0</v>
      </c>
      <c r="AM205" s="71">
        <f>IF(AND($G205&lt;&gt;"",$M205="Blocked"),1,0)</f>
        <v>0</v>
      </c>
      <c r="AN205" s="71">
        <f>IF(AND($AK205=1,ISNUMBER($L205)),IF($L205=ReportDate,1,0),0)</f>
        <v>0</v>
      </c>
      <c r="AO205" s="71">
        <f>IF(AND($AK205=1,ISNUMBER($L205)),IF($L205=ReportDate+1,1,0),0)</f>
        <v>0</v>
      </c>
      <c r="AP205" s="71">
        <f>IF(AND($AK205=1,ISNUMBER($L205)),IF(AND($L205&gt;=ReportDate,$L205&lt;=ReportDate+DueSoonDays),1,0),0)</f>
        <v>0</v>
      </c>
      <c r="AQ205" s="71">
        <f>IF(AND($AK205=1,OR($I205="Critical",$I205="High")),1,0)</f>
        <v>0</v>
      </c>
      <c r="AR205" s="71">
        <f>IF($AK205=1,IF(ISNUMBER($Y205),IF(ReportDate-$Y205&gt;StaleDays,1,0),1),0)</f>
        <v>0</v>
      </c>
      <c r="AS205" s="71">
        <f>IF(AND($G205&lt;&gt;"",ISNUMBER($Q205),ISNUMBER($R205)),IF(AND($Q205&lt;$R205,OR($M205="Completed",AND(ISNUMBER($L205),$L205&lt;ReportDate))),1,0),0)</f>
        <v>0</v>
      </c>
      <c r="AT205" s="71">
        <f>IF($AK205=1,IF(OR($L205=ReportDate,$W205=ReportDate,$K205=ReportDate,$A205=ReportDate),1,0),0)</f>
        <v>0</v>
      </c>
      <c r="AU205" s="71">
        <f>IF($AK205=1,IF(OR($L205=ReportDate+1,$W205=ReportDate+1,$K205=ReportDate+1,$A205=ReportDate+1),1,0),0)</f>
        <v>0</v>
      </c>
      <c r="AV205" s="71">
        <f>IF(AND($G205&lt;&gt;"",$M205="Completed"),IF(OR($Y205=ReportDate-1,$A205=ReportDate-1),1,0),0)</f>
        <v>0</v>
      </c>
      <c r="AW205" s="71">
        <f>IF(AND($AK205=1,$Z205="Yes"),1,0)</f>
        <v>0</v>
      </c>
      <c r="AX205" s="71">
        <f>IF(AND($AK205=1,$AA205="Yes"),1,0)</f>
        <v>0</v>
      </c>
      <c r="AY205" s="71">
        <f>IF(AND($AM205=1,OR($I205="Critical",$I205="High")),1,0)</f>
        <v>0</v>
      </c>
      <c r="AZ205" s="71">
        <f>IF(AND($AK205=1,OR($C205=TCL_Client,$C205=MECCA_Client)),1,0)</f>
        <v>0</v>
      </c>
      <c r="BA205" s="71" t="str">
        <f>IF($G205="","",IFERROR(MATCH($I205,lst_Priority,0),5))</f>
        <v/>
      </c>
      <c r="BB205" s="71" t="str">
        <f>IF(AND($AL205=1,$AJ205=1),$BA205*100000+ROW(),"")</f>
        <v/>
      </c>
      <c r="BC205" s="71" t="str">
        <f>IF(AND($AM205=1,$AJ205=1),$BA205*100000+ROW(),"")</f>
        <v/>
      </c>
      <c r="BD205" s="71" t="str">
        <f>IF(AND($AP205=1,$AJ205=1),$BA205*100000+ROW(),"")</f>
        <v/>
      </c>
      <c r="BE205" s="71" t="str">
        <f>IF(AND($AT205=1,$AJ205=1),$BA205*100000+ROW(),"")</f>
        <v/>
      </c>
      <c r="BF205" s="71" t="str">
        <f>IF(AND($AU205=1,$AJ205=1),$BA205*100000+ROW(),"")</f>
        <v/>
      </c>
      <c r="BG205" s="71" t="str">
        <f>IF(AND($AV205=1,$AJ205=1),$BA205*100000+ROW(),"")</f>
        <v/>
      </c>
      <c r="BH205" s="71" t="str">
        <f>IF(AND($AW205=1,$AJ205=1),$BA205*100000+ROW(),"")</f>
        <v/>
      </c>
      <c r="BI205" s="71" t="str">
        <f>IF(AND($AX205=1,$AJ205=1),$BA205*100000+ROW(),"")</f>
        <v/>
      </c>
      <c r="BJ205" s="71" t="str">
        <f>IF(AND($AS205=1,$AJ205=1),$BA205*100000+ROW(),"")</f>
        <v/>
      </c>
      <c r="BK205" s="71" t="str">
        <f>IF(AND($AY205=1,$AJ205=1),$BA205*100000+ROW(),"")</f>
        <v/>
      </c>
      <c r="BL205" s="71" t="str">
        <f>IF(AND($AZ205=1),$BA205*100000+ROW(),"")</f>
        <v/>
      </c>
    </row>
    <row r="206">
      <c r="A206" s="63" t="n"/>
      <c r="B206" s="64" t="n"/>
      <c r="C206" s="64" t="n"/>
      <c r="D206" s="64" t="n"/>
      <c r="E206" s="64" t="n"/>
      <c r="F206" s="64" t="n"/>
      <c r="G206" s="65" t="n"/>
      <c r="H206" s="65" t="n"/>
      <c r="I206" s="64" t="n"/>
      <c r="J206" s="64" t="n"/>
      <c r="K206" s="63" t="n"/>
      <c r="L206" s="63" t="n"/>
      <c r="M206" s="64" t="n"/>
      <c r="N206" s="66" t="n"/>
      <c r="O206" s="65" t="n"/>
      <c r="P206" s="64" t="n"/>
      <c r="Q206" s="67" t="n"/>
      <c r="R206" s="67" t="n"/>
      <c r="S206" s="68" t="str">
        <f>IF(AND(ISNUMBER($Q206),ISNUMBER($R206)),$Q206-$R206,"")</f>
        <v/>
      </c>
      <c r="T206" s="65" t="n"/>
      <c r="U206" s="64" t="n"/>
      <c r="V206" s="65" t="n"/>
      <c r="W206" s="63" t="n"/>
      <c r="X206" s="65" t="n"/>
      <c r="Y206" s="63" t="n"/>
      <c r="Z206" s="64" t="n"/>
      <c r="AA206" s="64" t="n"/>
      <c r="AB206" s="65" t="n"/>
      <c r="AC206" s="69" t="str">
        <f>IF(OR($G206="",NOT(ISNUMBER($K206)),$AK206=0),"",MAX(0,ReportDate-$K206))</f>
        <v/>
      </c>
      <c r="AD206" s="69" t="str">
        <f>IF($G206="","",IF($AL206=1,ReportDate-$L206,0))</f>
        <v/>
      </c>
      <c r="AE206" s="70" t="str">
        <f>IF($G206="","",IF($M206="Completed",1,IF(ISNUMBER($N206),$N206,0)))</f>
        <v/>
      </c>
      <c r="AF206" s="70" t="str">
        <f>IF(AND(ISNUMBER($Q206),ISNUMBER($R206)),IF($R206&lt;&gt;0,$Q206/$R206,""),"")</f>
        <v/>
      </c>
      <c r="AG206" s="71" t="str">
        <f>IF($G206="","",IF($AL206=1,"OVERDUE",IF($AM206=1,"BLOCKED",IF($AN206=1,"DUE TODAY",IF($AO206=1,"DUE TOMORROW",IF($AQ206=1,"HIGH PRIORITY",IF($AR206=1,"NO RECENT UPDATE",""))))))) </f>
        <v/>
      </c>
      <c r="AH206" s="71" t="str">
        <f>IF($G206="","",IF(ISNUMBER($A206),IF(ISNUMBER($A206),YEAR($A206)&amp;"-"&amp;TEXT(MONTH($A206),"00"),""),IF(ISNUMBER($L206),IF(ISNUMBER($L206),YEAR($L206)&amp;"-"&amp;TEXT(MONTH($L206),"00"),""),"")))</f>
        <v/>
      </c>
      <c r="AI206" s="71">
        <f>IF($G206="",0,IF(AND(OR(fClient="All",$C206=fClient),OR(fCampaign="All",$D206=fCampaign),OR(fTeam="All",$B206=fTeam),OR(fChannel="All",$F206=fChannel),OR(fMonth="All",$AH206=fMonth),OR(fTStatus="All",$M206=fTStatus)),1,0))</f>
        <v>0</v>
      </c>
      <c r="AJ206" s="71">
        <f>IF($G206="",0,IF(AND(OR(fClient="All",$C206=fClient),OR(fCampaign="All",$D206=fCampaign),OR(fTeam="All",$B206=fTeam),OR(fChannel="All",$F206=fChannel)),1,0))</f>
        <v>0</v>
      </c>
      <c r="AK206" s="71">
        <f>IF($G206="",0,IF(OR($M206="Completed",$M206="Cancelled"),0,1))</f>
        <v>0</v>
      </c>
      <c r="AL206" s="71">
        <f>IF(AND($AK206=1,ISNUMBER($L206)),IF($L206&lt;ReportDate,1,0),0)</f>
        <v>0</v>
      </c>
      <c r="AM206" s="71">
        <f>IF(AND($G206&lt;&gt;"",$M206="Blocked"),1,0)</f>
        <v>0</v>
      </c>
      <c r="AN206" s="71">
        <f>IF(AND($AK206=1,ISNUMBER($L206)),IF($L206=ReportDate,1,0),0)</f>
        <v>0</v>
      </c>
      <c r="AO206" s="71">
        <f>IF(AND($AK206=1,ISNUMBER($L206)),IF($L206=ReportDate+1,1,0),0)</f>
        <v>0</v>
      </c>
      <c r="AP206" s="71">
        <f>IF(AND($AK206=1,ISNUMBER($L206)),IF(AND($L206&gt;=ReportDate,$L206&lt;=ReportDate+DueSoonDays),1,0),0)</f>
        <v>0</v>
      </c>
      <c r="AQ206" s="71">
        <f>IF(AND($AK206=1,OR($I206="Critical",$I206="High")),1,0)</f>
        <v>0</v>
      </c>
      <c r="AR206" s="71">
        <f>IF($AK206=1,IF(ISNUMBER($Y206),IF(ReportDate-$Y206&gt;StaleDays,1,0),1),0)</f>
        <v>0</v>
      </c>
      <c r="AS206" s="71">
        <f>IF(AND($G206&lt;&gt;"",ISNUMBER($Q206),ISNUMBER($R206)),IF(AND($Q206&lt;$R206,OR($M206="Completed",AND(ISNUMBER($L206),$L206&lt;ReportDate))),1,0),0)</f>
        <v>0</v>
      </c>
      <c r="AT206" s="71">
        <f>IF($AK206=1,IF(OR($L206=ReportDate,$W206=ReportDate,$K206=ReportDate,$A206=ReportDate),1,0),0)</f>
        <v>0</v>
      </c>
      <c r="AU206" s="71">
        <f>IF($AK206=1,IF(OR($L206=ReportDate+1,$W206=ReportDate+1,$K206=ReportDate+1,$A206=ReportDate+1),1,0),0)</f>
        <v>0</v>
      </c>
      <c r="AV206" s="71">
        <f>IF(AND($G206&lt;&gt;"",$M206="Completed"),IF(OR($Y206=ReportDate-1,$A206=ReportDate-1),1,0),0)</f>
        <v>0</v>
      </c>
      <c r="AW206" s="71">
        <f>IF(AND($AK206=1,$Z206="Yes"),1,0)</f>
        <v>0</v>
      </c>
      <c r="AX206" s="71">
        <f>IF(AND($AK206=1,$AA206="Yes"),1,0)</f>
        <v>0</v>
      </c>
      <c r="AY206" s="71">
        <f>IF(AND($AM206=1,OR($I206="Critical",$I206="High")),1,0)</f>
        <v>0</v>
      </c>
      <c r="AZ206" s="71">
        <f>IF(AND($AK206=1,OR($C206=TCL_Client,$C206=MECCA_Client)),1,0)</f>
        <v>0</v>
      </c>
      <c r="BA206" s="71" t="str">
        <f>IF($G206="","",IFERROR(MATCH($I206,lst_Priority,0),5))</f>
        <v/>
      </c>
      <c r="BB206" s="71" t="str">
        <f>IF(AND($AL206=1,$AJ206=1),$BA206*100000+ROW(),"")</f>
        <v/>
      </c>
      <c r="BC206" s="71" t="str">
        <f>IF(AND($AM206=1,$AJ206=1),$BA206*100000+ROW(),"")</f>
        <v/>
      </c>
      <c r="BD206" s="71" t="str">
        <f>IF(AND($AP206=1,$AJ206=1),$BA206*100000+ROW(),"")</f>
        <v/>
      </c>
      <c r="BE206" s="71" t="str">
        <f>IF(AND($AT206=1,$AJ206=1),$BA206*100000+ROW(),"")</f>
        <v/>
      </c>
      <c r="BF206" s="71" t="str">
        <f>IF(AND($AU206=1,$AJ206=1),$BA206*100000+ROW(),"")</f>
        <v/>
      </c>
      <c r="BG206" s="71" t="str">
        <f>IF(AND($AV206=1,$AJ206=1),$BA206*100000+ROW(),"")</f>
        <v/>
      </c>
      <c r="BH206" s="71" t="str">
        <f>IF(AND($AW206=1,$AJ206=1),$BA206*100000+ROW(),"")</f>
        <v/>
      </c>
      <c r="BI206" s="71" t="str">
        <f>IF(AND($AX206=1,$AJ206=1),$BA206*100000+ROW(),"")</f>
        <v/>
      </c>
      <c r="BJ206" s="71" t="str">
        <f>IF(AND($AS206=1,$AJ206=1),$BA206*100000+ROW(),"")</f>
        <v/>
      </c>
      <c r="BK206" s="71" t="str">
        <f>IF(AND($AY206=1,$AJ206=1),$BA206*100000+ROW(),"")</f>
        <v/>
      </c>
      <c r="BL206" s="71" t="str">
        <f>IF(AND($AZ206=1),$BA206*100000+ROW(),"")</f>
        <v/>
      </c>
    </row>
    <row r="207">
      <c r="A207" s="63" t="n"/>
      <c r="B207" s="64" t="n"/>
      <c r="C207" s="64" t="n"/>
      <c r="D207" s="64" t="n"/>
      <c r="E207" s="64" t="n"/>
      <c r="F207" s="64" t="n"/>
      <c r="G207" s="65" t="n"/>
      <c r="H207" s="65" t="n"/>
      <c r="I207" s="64" t="n"/>
      <c r="J207" s="64" t="n"/>
      <c r="K207" s="63" t="n"/>
      <c r="L207" s="63" t="n"/>
      <c r="M207" s="64" t="n"/>
      <c r="N207" s="66" t="n"/>
      <c r="O207" s="65" t="n"/>
      <c r="P207" s="64" t="n"/>
      <c r="Q207" s="67" t="n"/>
      <c r="R207" s="67" t="n"/>
      <c r="S207" s="68" t="str">
        <f>IF(AND(ISNUMBER($Q207),ISNUMBER($R207)),$Q207-$R207,"")</f>
        <v/>
      </c>
      <c r="T207" s="65" t="n"/>
      <c r="U207" s="64" t="n"/>
      <c r="V207" s="65" t="n"/>
      <c r="W207" s="63" t="n"/>
      <c r="X207" s="65" t="n"/>
      <c r="Y207" s="63" t="n"/>
      <c r="Z207" s="64" t="n"/>
      <c r="AA207" s="64" t="n"/>
      <c r="AB207" s="65" t="n"/>
      <c r="AC207" s="69" t="str">
        <f>IF(OR($G207="",NOT(ISNUMBER($K207)),$AK207=0),"",MAX(0,ReportDate-$K207))</f>
        <v/>
      </c>
      <c r="AD207" s="69" t="str">
        <f>IF($G207="","",IF($AL207=1,ReportDate-$L207,0))</f>
        <v/>
      </c>
      <c r="AE207" s="70" t="str">
        <f>IF($G207="","",IF($M207="Completed",1,IF(ISNUMBER($N207),$N207,0)))</f>
        <v/>
      </c>
      <c r="AF207" s="70" t="str">
        <f>IF(AND(ISNUMBER($Q207),ISNUMBER($R207)),IF($R207&lt;&gt;0,$Q207/$R207,""),"")</f>
        <v/>
      </c>
      <c r="AG207" s="71" t="str">
        <f>IF($G207="","",IF($AL207=1,"OVERDUE",IF($AM207=1,"BLOCKED",IF($AN207=1,"DUE TODAY",IF($AO207=1,"DUE TOMORROW",IF($AQ207=1,"HIGH PRIORITY",IF($AR207=1,"NO RECENT UPDATE",""))))))) </f>
        <v/>
      </c>
      <c r="AH207" s="71" t="str">
        <f>IF($G207="","",IF(ISNUMBER($A207),IF(ISNUMBER($A207),YEAR($A207)&amp;"-"&amp;TEXT(MONTH($A207),"00"),""),IF(ISNUMBER($L207),IF(ISNUMBER($L207),YEAR($L207)&amp;"-"&amp;TEXT(MONTH($L207),"00"),""),"")))</f>
        <v/>
      </c>
      <c r="AI207" s="71">
        <f>IF($G207="",0,IF(AND(OR(fClient="All",$C207=fClient),OR(fCampaign="All",$D207=fCampaign),OR(fTeam="All",$B207=fTeam),OR(fChannel="All",$F207=fChannel),OR(fMonth="All",$AH207=fMonth),OR(fTStatus="All",$M207=fTStatus)),1,0))</f>
        <v>0</v>
      </c>
      <c r="AJ207" s="71">
        <f>IF($G207="",0,IF(AND(OR(fClient="All",$C207=fClient),OR(fCampaign="All",$D207=fCampaign),OR(fTeam="All",$B207=fTeam),OR(fChannel="All",$F207=fChannel)),1,0))</f>
        <v>0</v>
      </c>
      <c r="AK207" s="71">
        <f>IF($G207="",0,IF(OR($M207="Completed",$M207="Cancelled"),0,1))</f>
        <v>0</v>
      </c>
      <c r="AL207" s="71">
        <f>IF(AND($AK207=1,ISNUMBER($L207)),IF($L207&lt;ReportDate,1,0),0)</f>
        <v>0</v>
      </c>
      <c r="AM207" s="71">
        <f>IF(AND($G207&lt;&gt;"",$M207="Blocked"),1,0)</f>
        <v>0</v>
      </c>
      <c r="AN207" s="71">
        <f>IF(AND($AK207=1,ISNUMBER($L207)),IF($L207=ReportDate,1,0),0)</f>
        <v>0</v>
      </c>
      <c r="AO207" s="71">
        <f>IF(AND($AK207=1,ISNUMBER($L207)),IF($L207=ReportDate+1,1,0),0)</f>
        <v>0</v>
      </c>
      <c r="AP207" s="71">
        <f>IF(AND($AK207=1,ISNUMBER($L207)),IF(AND($L207&gt;=ReportDate,$L207&lt;=ReportDate+DueSoonDays),1,0),0)</f>
        <v>0</v>
      </c>
      <c r="AQ207" s="71">
        <f>IF(AND($AK207=1,OR($I207="Critical",$I207="High")),1,0)</f>
        <v>0</v>
      </c>
      <c r="AR207" s="71">
        <f>IF($AK207=1,IF(ISNUMBER($Y207),IF(ReportDate-$Y207&gt;StaleDays,1,0),1),0)</f>
        <v>0</v>
      </c>
      <c r="AS207" s="71">
        <f>IF(AND($G207&lt;&gt;"",ISNUMBER($Q207),ISNUMBER($R207)),IF(AND($Q207&lt;$R207,OR($M207="Completed",AND(ISNUMBER($L207),$L207&lt;ReportDate))),1,0),0)</f>
        <v>0</v>
      </c>
      <c r="AT207" s="71">
        <f>IF($AK207=1,IF(OR($L207=ReportDate,$W207=ReportDate,$K207=ReportDate,$A207=ReportDate),1,0),0)</f>
        <v>0</v>
      </c>
      <c r="AU207" s="71">
        <f>IF($AK207=1,IF(OR($L207=ReportDate+1,$W207=ReportDate+1,$K207=ReportDate+1,$A207=ReportDate+1),1,0),0)</f>
        <v>0</v>
      </c>
      <c r="AV207" s="71">
        <f>IF(AND($G207&lt;&gt;"",$M207="Completed"),IF(OR($Y207=ReportDate-1,$A207=ReportDate-1),1,0),0)</f>
        <v>0</v>
      </c>
      <c r="AW207" s="71">
        <f>IF(AND($AK207=1,$Z207="Yes"),1,0)</f>
        <v>0</v>
      </c>
      <c r="AX207" s="71">
        <f>IF(AND($AK207=1,$AA207="Yes"),1,0)</f>
        <v>0</v>
      </c>
      <c r="AY207" s="71">
        <f>IF(AND($AM207=1,OR($I207="Critical",$I207="High")),1,0)</f>
        <v>0</v>
      </c>
      <c r="AZ207" s="71">
        <f>IF(AND($AK207=1,OR($C207=TCL_Client,$C207=MECCA_Client)),1,0)</f>
        <v>0</v>
      </c>
      <c r="BA207" s="71" t="str">
        <f>IF($G207="","",IFERROR(MATCH($I207,lst_Priority,0),5))</f>
        <v/>
      </c>
      <c r="BB207" s="71" t="str">
        <f>IF(AND($AL207=1,$AJ207=1),$BA207*100000+ROW(),"")</f>
        <v/>
      </c>
      <c r="BC207" s="71" t="str">
        <f>IF(AND($AM207=1,$AJ207=1),$BA207*100000+ROW(),"")</f>
        <v/>
      </c>
      <c r="BD207" s="71" t="str">
        <f>IF(AND($AP207=1,$AJ207=1),$BA207*100000+ROW(),"")</f>
        <v/>
      </c>
      <c r="BE207" s="71" t="str">
        <f>IF(AND($AT207=1,$AJ207=1),$BA207*100000+ROW(),"")</f>
        <v/>
      </c>
      <c r="BF207" s="71" t="str">
        <f>IF(AND($AU207=1,$AJ207=1),$BA207*100000+ROW(),"")</f>
        <v/>
      </c>
      <c r="BG207" s="71" t="str">
        <f>IF(AND($AV207=1,$AJ207=1),$BA207*100000+ROW(),"")</f>
        <v/>
      </c>
      <c r="BH207" s="71" t="str">
        <f>IF(AND($AW207=1,$AJ207=1),$BA207*100000+ROW(),"")</f>
        <v/>
      </c>
      <c r="BI207" s="71" t="str">
        <f>IF(AND($AX207=1,$AJ207=1),$BA207*100000+ROW(),"")</f>
        <v/>
      </c>
      <c r="BJ207" s="71" t="str">
        <f>IF(AND($AS207=1,$AJ207=1),$BA207*100000+ROW(),"")</f>
        <v/>
      </c>
      <c r="BK207" s="71" t="str">
        <f>IF(AND($AY207=1,$AJ207=1),$BA207*100000+ROW(),"")</f>
        <v/>
      </c>
      <c r="BL207" s="71" t="str">
        <f>IF(AND($AZ207=1),$BA207*100000+ROW(),"")</f>
        <v/>
      </c>
    </row>
    <row r="208">
      <c r="A208" s="63" t="n"/>
      <c r="B208" s="64" t="n"/>
      <c r="C208" s="64" t="n"/>
      <c r="D208" s="64" t="n"/>
      <c r="E208" s="64" t="n"/>
      <c r="F208" s="64" t="n"/>
      <c r="G208" s="65" t="n"/>
      <c r="H208" s="65" t="n"/>
      <c r="I208" s="64" t="n"/>
      <c r="J208" s="64" t="n"/>
      <c r="K208" s="63" t="n"/>
      <c r="L208" s="63" t="n"/>
      <c r="M208" s="64" t="n"/>
      <c r="N208" s="66" t="n"/>
      <c r="O208" s="65" t="n"/>
      <c r="P208" s="64" t="n"/>
      <c r="Q208" s="67" t="n"/>
      <c r="R208" s="67" t="n"/>
      <c r="S208" s="68" t="str">
        <f>IF(AND(ISNUMBER($Q208),ISNUMBER($R208)),$Q208-$R208,"")</f>
        <v/>
      </c>
      <c r="T208" s="65" t="n"/>
      <c r="U208" s="64" t="n"/>
      <c r="V208" s="65" t="n"/>
      <c r="W208" s="63" t="n"/>
      <c r="X208" s="65" t="n"/>
      <c r="Y208" s="63" t="n"/>
      <c r="Z208" s="64" t="n"/>
      <c r="AA208" s="64" t="n"/>
      <c r="AB208" s="65" t="n"/>
      <c r="AC208" s="69" t="str">
        <f>IF(OR($G208="",NOT(ISNUMBER($K208)),$AK208=0),"",MAX(0,ReportDate-$K208))</f>
        <v/>
      </c>
      <c r="AD208" s="69" t="str">
        <f>IF($G208="","",IF($AL208=1,ReportDate-$L208,0))</f>
        <v/>
      </c>
      <c r="AE208" s="70" t="str">
        <f>IF($G208="","",IF($M208="Completed",1,IF(ISNUMBER($N208),$N208,0)))</f>
        <v/>
      </c>
      <c r="AF208" s="70" t="str">
        <f>IF(AND(ISNUMBER($Q208),ISNUMBER($R208)),IF($R208&lt;&gt;0,$Q208/$R208,""),"")</f>
        <v/>
      </c>
      <c r="AG208" s="71" t="str">
        <f>IF($G208="","",IF($AL208=1,"OVERDUE",IF($AM208=1,"BLOCKED",IF($AN208=1,"DUE TODAY",IF($AO208=1,"DUE TOMORROW",IF($AQ208=1,"HIGH PRIORITY",IF($AR208=1,"NO RECENT UPDATE",""))))))) </f>
        <v/>
      </c>
      <c r="AH208" s="71" t="str">
        <f>IF($G208="","",IF(ISNUMBER($A208),IF(ISNUMBER($A208),YEAR($A208)&amp;"-"&amp;TEXT(MONTH($A208),"00"),""),IF(ISNUMBER($L208),IF(ISNUMBER($L208),YEAR($L208)&amp;"-"&amp;TEXT(MONTH($L208),"00"),""),"")))</f>
        <v/>
      </c>
      <c r="AI208" s="71">
        <f>IF($G208="",0,IF(AND(OR(fClient="All",$C208=fClient),OR(fCampaign="All",$D208=fCampaign),OR(fTeam="All",$B208=fTeam),OR(fChannel="All",$F208=fChannel),OR(fMonth="All",$AH208=fMonth),OR(fTStatus="All",$M208=fTStatus)),1,0))</f>
        <v>0</v>
      </c>
      <c r="AJ208" s="71">
        <f>IF($G208="",0,IF(AND(OR(fClient="All",$C208=fClient),OR(fCampaign="All",$D208=fCampaign),OR(fTeam="All",$B208=fTeam),OR(fChannel="All",$F208=fChannel)),1,0))</f>
        <v>0</v>
      </c>
      <c r="AK208" s="71">
        <f>IF($G208="",0,IF(OR($M208="Completed",$M208="Cancelled"),0,1))</f>
        <v>0</v>
      </c>
      <c r="AL208" s="71">
        <f>IF(AND($AK208=1,ISNUMBER($L208)),IF($L208&lt;ReportDate,1,0),0)</f>
        <v>0</v>
      </c>
      <c r="AM208" s="71">
        <f>IF(AND($G208&lt;&gt;"",$M208="Blocked"),1,0)</f>
        <v>0</v>
      </c>
      <c r="AN208" s="71">
        <f>IF(AND($AK208=1,ISNUMBER($L208)),IF($L208=ReportDate,1,0),0)</f>
        <v>0</v>
      </c>
      <c r="AO208" s="71">
        <f>IF(AND($AK208=1,ISNUMBER($L208)),IF($L208=ReportDate+1,1,0),0)</f>
        <v>0</v>
      </c>
      <c r="AP208" s="71">
        <f>IF(AND($AK208=1,ISNUMBER($L208)),IF(AND($L208&gt;=ReportDate,$L208&lt;=ReportDate+DueSoonDays),1,0),0)</f>
        <v>0</v>
      </c>
      <c r="AQ208" s="71">
        <f>IF(AND($AK208=1,OR($I208="Critical",$I208="High")),1,0)</f>
        <v>0</v>
      </c>
      <c r="AR208" s="71">
        <f>IF($AK208=1,IF(ISNUMBER($Y208),IF(ReportDate-$Y208&gt;StaleDays,1,0),1),0)</f>
        <v>0</v>
      </c>
      <c r="AS208" s="71">
        <f>IF(AND($G208&lt;&gt;"",ISNUMBER($Q208),ISNUMBER($R208)),IF(AND($Q208&lt;$R208,OR($M208="Completed",AND(ISNUMBER($L208),$L208&lt;ReportDate))),1,0),0)</f>
        <v>0</v>
      </c>
      <c r="AT208" s="71">
        <f>IF($AK208=1,IF(OR($L208=ReportDate,$W208=ReportDate,$K208=ReportDate,$A208=ReportDate),1,0),0)</f>
        <v>0</v>
      </c>
      <c r="AU208" s="71">
        <f>IF($AK208=1,IF(OR($L208=ReportDate+1,$W208=ReportDate+1,$K208=ReportDate+1,$A208=ReportDate+1),1,0),0)</f>
        <v>0</v>
      </c>
      <c r="AV208" s="71">
        <f>IF(AND($G208&lt;&gt;"",$M208="Completed"),IF(OR($Y208=ReportDate-1,$A208=ReportDate-1),1,0),0)</f>
        <v>0</v>
      </c>
      <c r="AW208" s="71">
        <f>IF(AND($AK208=1,$Z208="Yes"),1,0)</f>
        <v>0</v>
      </c>
      <c r="AX208" s="71">
        <f>IF(AND($AK208=1,$AA208="Yes"),1,0)</f>
        <v>0</v>
      </c>
      <c r="AY208" s="71">
        <f>IF(AND($AM208=1,OR($I208="Critical",$I208="High")),1,0)</f>
        <v>0</v>
      </c>
      <c r="AZ208" s="71">
        <f>IF(AND($AK208=1,OR($C208=TCL_Client,$C208=MECCA_Client)),1,0)</f>
        <v>0</v>
      </c>
      <c r="BA208" s="71" t="str">
        <f>IF($G208="","",IFERROR(MATCH($I208,lst_Priority,0),5))</f>
        <v/>
      </c>
      <c r="BB208" s="71" t="str">
        <f>IF(AND($AL208=1,$AJ208=1),$BA208*100000+ROW(),"")</f>
        <v/>
      </c>
      <c r="BC208" s="71" t="str">
        <f>IF(AND($AM208=1,$AJ208=1),$BA208*100000+ROW(),"")</f>
        <v/>
      </c>
      <c r="BD208" s="71" t="str">
        <f>IF(AND($AP208=1,$AJ208=1),$BA208*100000+ROW(),"")</f>
        <v/>
      </c>
      <c r="BE208" s="71" t="str">
        <f>IF(AND($AT208=1,$AJ208=1),$BA208*100000+ROW(),"")</f>
        <v/>
      </c>
      <c r="BF208" s="71" t="str">
        <f>IF(AND($AU208=1,$AJ208=1),$BA208*100000+ROW(),"")</f>
        <v/>
      </c>
      <c r="BG208" s="71" t="str">
        <f>IF(AND($AV208=1,$AJ208=1),$BA208*100000+ROW(),"")</f>
        <v/>
      </c>
      <c r="BH208" s="71" t="str">
        <f>IF(AND($AW208=1,$AJ208=1),$BA208*100000+ROW(),"")</f>
        <v/>
      </c>
      <c r="BI208" s="71" t="str">
        <f>IF(AND($AX208=1,$AJ208=1),$BA208*100000+ROW(),"")</f>
        <v/>
      </c>
      <c r="BJ208" s="71" t="str">
        <f>IF(AND($AS208=1,$AJ208=1),$BA208*100000+ROW(),"")</f>
        <v/>
      </c>
      <c r="BK208" s="71" t="str">
        <f>IF(AND($AY208=1,$AJ208=1),$BA208*100000+ROW(),"")</f>
        <v/>
      </c>
      <c r="BL208" s="71" t="str">
        <f>IF(AND($AZ208=1),$BA208*100000+ROW(),"")</f>
        <v/>
      </c>
    </row>
    <row r="209">
      <c r="A209" s="63" t="n"/>
      <c r="B209" s="64" t="n"/>
      <c r="C209" s="64" t="n"/>
      <c r="D209" s="64" t="n"/>
      <c r="E209" s="64" t="n"/>
      <c r="F209" s="64" t="n"/>
      <c r="G209" s="65" t="n"/>
      <c r="H209" s="65" t="n"/>
      <c r="I209" s="64" t="n"/>
      <c r="J209" s="64" t="n"/>
      <c r="K209" s="63" t="n"/>
      <c r="L209" s="63" t="n"/>
      <c r="M209" s="64" t="n"/>
      <c r="N209" s="66" t="n"/>
      <c r="O209" s="65" t="n"/>
      <c r="P209" s="64" t="n"/>
      <c r="Q209" s="67" t="n"/>
      <c r="R209" s="67" t="n"/>
      <c r="S209" s="68" t="str">
        <f>IF(AND(ISNUMBER($Q209),ISNUMBER($R209)),$Q209-$R209,"")</f>
        <v/>
      </c>
      <c r="T209" s="65" t="n"/>
      <c r="U209" s="64" t="n"/>
      <c r="V209" s="65" t="n"/>
      <c r="W209" s="63" t="n"/>
      <c r="X209" s="65" t="n"/>
      <c r="Y209" s="63" t="n"/>
      <c r="Z209" s="64" t="n"/>
      <c r="AA209" s="64" t="n"/>
      <c r="AB209" s="65" t="n"/>
      <c r="AC209" s="69" t="str">
        <f>IF(OR($G209="",NOT(ISNUMBER($K209)),$AK209=0),"",MAX(0,ReportDate-$K209))</f>
        <v/>
      </c>
      <c r="AD209" s="69" t="str">
        <f>IF($G209="","",IF($AL209=1,ReportDate-$L209,0))</f>
        <v/>
      </c>
      <c r="AE209" s="70" t="str">
        <f>IF($G209="","",IF($M209="Completed",1,IF(ISNUMBER($N209),$N209,0)))</f>
        <v/>
      </c>
      <c r="AF209" s="70" t="str">
        <f>IF(AND(ISNUMBER($Q209),ISNUMBER($R209)),IF($R209&lt;&gt;0,$Q209/$R209,""),"")</f>
        <v/>
      </c>
      <c r="AG209" s="71" t="str">
        <f>IF($G209="","",IF($AL209=1,"OVERDUE",IF($AM209=1,"BLOCKED",IF($AN209=1,"DUE TODAY",IF($AO209=1,"DUE TOMORROW",IF($AQ209=1,"HIGH PRIORITY",IF($AR209=1,"NO RECENT UPDATE",""))))))) </f>
        <v/>
      </c>
      <c r="AH209" s="71" t="str">
        <f>IF($G209="","",IF(ISNUMBER($A209),IF(ISNUMBER($A209),YEAR($A209)&amp;"-"&amp;TEXT(MONTH($A209),"00"),""),IF(ISNUMBER($L209),IF(ISNUMBER($L209),YEAR($L209)&amp;"-"&amp;TEXT(MONTH($L209),"00"),""),"")))</f>
        <v/>
      </c>
      <c r="AI209" s="71">
        <f>IF($G209="",0,IF(AND(OR(fClient="All",$C209=fClient),OR(fCampaign="All",$D209=fCampaign),OR(fTeam="All",$B209=fTeam),OR(fChannel="All",$F209=fChannel),OR(fMonth="All",$AH209=fMonth),OR(fTStatus="All",$M209=fTStatus)),1,0))</f>
        <v>0</v>
      </c>
      <c r="AJ209" s="71">
        <f>IF($G209="",0,IF(AND(OR(fClient="All",$C209=fClient),OR(fCampaign="All",$D209=fCampaign),OR(fTeam="All",$B209=fTeam),OR(fChannel="All",$F209=fChannel)),1,0))</f>
        <v>0</v>
      </c>
      <c r="AK209" s="71">
        <f>IF($G209="",0,IF(OR($M209="Completed",$M209="Cancelled"),0,1))</f>
        <v>0</v>
      </c>
      <c r="AL209" s="71">
        <f>IF(AND($AK209=1,ISNUMBER($L209)),IF($L209&lt;ReportDate,1,0),0)</f>
        <v>0</v>
      </c>
      <c r="AM209" s="71">
        <f>IF(AND($G209&lt;&gt;"",$M209="Blocked"),1,0)</f>
        <v>0</v>
      </c>
      <c r="AN209" s="71">
        <f>IF(AND($AK209=1,ISNUMBER($L209)),IF($L209=ReportDate,1,0),0)</f>
        <v>0</v>
      </c>
      <c r="AO209" s="71">
        <f>IF(AND($AK209=1,ISNUMBER($L209)),IF($L209=ReportDate+1,1,0),0)</f>
        <v>0</v>
      </c>
      <c r="AP209" s="71">
        <f>IF(AND($AK209=1,ISNUMBER($L209)),IF(AND($L209&gt;=ReportDate,$L209&lt;=ReportDate+DueSoonDays),1,0),0)</f>
        <v>0</v>
      </c>
      <c r="AQ209" s="71">
        <f>IF(AND($AK209=1,OR($I209="Critical",$I209="High")),1,0)</f>
        <v>0</v>
      </c>
      <c r="AR209" s="71">
        <f>IF($AK209=1,IF(ISNUMBER($Y209),IF(ReportDate-$Y209&gt;StaleDays,1,0),1),0)</f>
        <v>0</v>
      </c>
      <c r="AS209" s="71">
        <f>IF(AND($G209&lt;&gt;"",ISNUMBER($Q209),ISNUMBER($R209)),IF(AND($Q209&lt;$R209,OR($M209="Completed",AND(ISNUMBER($L209),$L209&lt;ReportDate))),1,0),0)</f>
        <v>0</v>
      </c>
      <c r="AT209" s="71">
        <f>IF($AK209=1,IF(OR($L209=ReportDate,$W209=ReportDate,$K209=ReportDate,$A209=ReportDate),1,0),0)</f>
        <v>0</v>
      </c>
      <c r="AU209" s="71">
        <f>IF($AK209=1,IF(OR($L209=ReportDate+1,$W209=ReportDate+1,$K209=ReportDate+1,$A209=ReportDate+1),1,0),0)</f>
        <v>0</v>
      </c>
      <c r="AV209" s="71">
        <f>IF(AND($G209&lt;&gt;"",$M209="Completed"),IF(OR($Y209=ReportDate-1,$A209=ReportDate-1),1,0),0)</f>
        <v>0</v>
      </c>
      <c r="AW209" s="71">
        <f>IF(AND($AK209=1,$Z209="Yes"),1,0)</f>
        <v>0</v>
      </c>
      <c r="AX209" s="71">
        <f>IF(AND($AK209=1,$AA209="Yes"),1,0)</f>
        <v>0</v>
      </c>
      <c r="AY209" s="71">
        <f>IF(AND($AM209=1,OR($I209="Critical",$I209="High")),1,0)</f>
        <v>0</v>
      </c>
      <c r="AZ209" s="71">
        <f>IF(AND($AK209=1,OR($C209=TCL_Client,$C209=MECCA_Client)),1,0)</f>
        <v>0</v>
      </c>
      <c r="BA209" s="71" t="str">
        <f>IF($G209="","",IFERROR(MATCH($I209,lst_Priority,0),5))</f>
        <v/>
      </c>
      <c r="BB209" s="71" t="str">
        <f>IF(AND($AL209=1,$AJ209=1),$BA209*100000+ROW(),"")</f>
        <v/>
      </c>
      <c r="BC209" s="71" t="str">
        <f>IF(AND($AM209=1,$AJ209=1),$BA209*100000+ROW(),"")</f>
        <v/>
      </c>
      <c r="BD209" s="71" t="str">
        <f>IF(AND($AP209=1,$AJ209=1),$BA209*100000+ROW(),"")</f>
        <v/>
      </c>
      <c r="BE209" s="71" t="str">
        <f>IF(AND($AT209=1,$AJ209=1),$BA209*100000+ROW(),"")</f>
        <v/>
      </c>
      <c r="BF209" s="71" t="str">
        <f>IF(AND($AU209=1,$AJ209=1),$BA209*100000+ROW(),"")</f>
        <v/>
      </c>
      <c r="BG209" s="71" t="str">
        <f>IF(AND($AV209=1,$AJ209=1),$BA209*100000+ROW(),"")</f>
        <v/>
      </c>
      <c r="BH209" s="71" t="str">
        <f>IF(AND($AW209=1,$AJ209=1),$BA209*100000+ROW(),"")</f>
        <v/>
      </c>
      <c r="BI209" s="71" t="str">
        <f>IF(AND($AX209=1,$AJ209=1),$BA209*100000+ROW(),"")</f>
        <v/>
      </c>
      <c r="BJ209" s="71" t="str">
        <f>IF(AND($AS209=1,$AJ209=1),$BA209*100000+ROW(),"")</f>
        <v/>
      </c>
      <c r="BK209" s="71" t="str">
        <f>IF(AND($AY209=1,$AJ209=1),$BA209*100000+ROW(),"")</f>
        <v/>
      </c>
      <c r="BL209" s="71" t="str">
        <f>IF(AND($AZ209=1),$BA209*100000+ROW(),"")</f>
        <v/>
      </c>
    </row>
    <row r="210">
      <c r="A210" s="63" t="n"/>
      <c r="B210" s="64" t="n"/>
      <c r="C210" s="64" t="n"/>
      <c r="D210" s="64" t="n"/>
      <c r="E210" s="64" t="n"/>
      <c r="F210" s="64" t="n"/>
      <c r="G210" s="65" t="n"/>
      <c r="H210" s="65" t="n"/>
      <c r="I210" s="64" t="n"/>
      <c r="J210" s="64" t="n"/>
      <c r="K210" s="63" t="n"/>
      <c r="L210" s="63" t="n"/>
      <c r="M210" s="64" t="n"/>
      <c r="N210" s="66" t="n"/>
      <c r="O210" s="65" t="n"/>
      <c r="P210" s="64" t="n"/>
      <c r="Q210" s="67" t="n"/>
      <c r="R210" s="67" t="n"/>
      <c r="S210" s="68" t="str">
        <f>IF(AND(ISNUMBER($Q210),ISNUMBER($R210)),$Q210-$R210,"")</f>
        <v/>
      </c>
      <c r="T210" s="65" t="n"/>
      <c r="U210" s="64" t="n"/>
      <c r="V210" s="65" t="n"/>
      <c r="W210" s="63" t="n"/>
      <c r="X210" s="65" t="n"/>
      <c r="Y210" s="63" t="n"/>
      <c r="Z210" s="64" t="n"/>
      <c r="AA210" s="64" t="n"/>
      <c r="AB210" s="65" t="n"/>
      <c r="AC210" s="69" t="str">
        <f>IF(OR($G210="",NOT(ISNUMBER($K210)),$AK210=0),"",MAX(0,ReportDate-$K210))</f>
        <v/>
      </c>
      <c r="AD210" s="69" t="str">
        <f>IF($G210="","",IF($AL210=1,ReportDate-$L210,0))</f>
        <v/>
      </c>
      <c r="AE210" s="70" t="str">
        <f>IF($G210="","",IF($M210="Completed",1,IF(ISNUMBER($N210),$N210,0)))</f>
        <v/>
      </c>
      <c r="AF210" s="70" t="str">
        <f>IF(AND(ISNUMBER($Q210),ISNUMBER($R210)),IF($R210&lt;&gt;0,$Q210/$R210,""),"")</f>
        <v/>
      </c>
      <c r="AG210" s="71" t="str">
        <f>IF($G210="","",IF($AL210=1,"OVERDUE",IF($AM210=1,"BLOCKED",IF($AN210=1,"DUE TODAY",IF($AO210=1,"DUE TOMORROW",IF($AQ210=1,"HIGH PRIORITY",IF($AR210=1,"NO RECENT UPDATE",""))))))) </f>
        <v/>
      </c>
      <c r="AH210" s="71" t="str">
        <f>IF($G210="","",IF(ISNUMBER($A210),IF(ISNUMBER($A210),YEAR($A210)&amp;"-"&amp;TEXT(MONTH($A210),"00"),""),IF(ISNUMBER($L210),IF(ISNUMBER($L210),YEAR($L210)&amp;"-"&amp;TEXT(MONTH($L210),"00"),""),"")))</f>
        <v/>
      </c>
      <c r="AI210" s="71">
        <f>IF($G210="",0,IF(AND(OR(fClient="All",$C210=fClient),OR(fCampaign="All",$D210=fCampaign),OR(fTeam="All",$B210=fTeam),OR(fChannel="All",$F210=fChannel),OR(fMonth="All",$AH210=fMonth),OR(fTStatus="All",$M210=fTStatus)),1,0))</f>
        <v>0</v>
      </c>
      <c r="AJ210" s="71">
        <f>IF($G210="",0,IF(AND(OR(fClient="All",$C210=fClient),OR(fCampaign="All",$D210=fCampaign),OR(fTeam="All",$B210=fTeam),OR(fChannel="All",$F210=fChannel)),1,0))</f>
        <v>0</v>
      </c>
      <c r="AK210" s="71">
        <f>IF($G210="",0,IF(OR($M210="Completed",$M210="Cancelled"),0,1))</f>
        <v>0</v>
      </c>
      <c r="AL210" s="71">
        <f>IF(AND($AK210=1,ISNUMBER($L210)),IF($L210&lt;ReportDate,1,0),0)</f>
        <v>0</v>
      </c>
      <c r="AM210" s="71">
        <f>IF(AND($G210&lt;&gt;"",$M210="Blocked"),1,0)</f>
        <v>0</v>
      </c>
      <c r="AN210" s="71">
        <f>IF(AND($AK210=1,ISNUMBER($L210)),IF($L210=ReportDate,1,0),0)</f>
        <v>0</v>
      </c>
      <c r="AO210" s="71">
        <f>IF(AND($AK210=1,ISNUMBER($L210)),IF($L210=ReportDate+1,1,0),0)</f>
        <v>0</v>
      </c>
      <c r="AP210" s="71">
        <f>IF(AND($AK210=1,ISNUMBER($L210)),IF(AND($L210&gt;=ReportDate,$L210&lt;=ReportDate+DueSoonDays),1,0),0)</f>
        <v>0</v>
      </c>
      <c r="AQ210" s="71">
        <f>IF(AND($AK210=1,OR($I210="Critical",$I210="High")),1,0)</f>
        <v>0</v>
      </c>
      <c r="AR210" s="71">
        <f>IF($AK210=1,IF(ISNUMBER($Y210),IF(ReportDate-$Y210&gt;StaleDays,1,0),1),0)</f>
        <v>0</v>
      </c>
      <c r="AS210" s="71">
        <f>IF(AND($G210&lt;&gt;"",ISNUMBER($Q210),ISNUMBER($R210)),IF(AND($Q210&lt;$R210,OR($M210="Completed",AND(ISNUMBER($L210),$L210&lt;ReportDate))),1,0),0)</f>
        <v>0</v>
      </c>
      <c r="AT210" s="71">
        <f>IF($AK210=1,IF(OR($L210=ReportDate,$W210=ReportDate,$K210=ReportDate,$A210=ReportDate),1,0),0)</f>
        <v>0</v>
      </c>
      <c r="AU210" s="71">
        <f>IF($AK210=1,IF(OR($L210=ReportDate+1,$W210=ReportDate+1,$K210=ReportDate+1,$A210=ReportDate+1),1,0),0)</f>
        <v>0</v>
      </c>
      <c r="AV210" s="71">
        <f>IF(AND($G210&lt;&gt;"",$M210="Completed"),IF(OR($Y210=ReportDate-1,$A210=ReportDate-1),1,0),0)</f>
        <v>0</v>
      </c>
      <c r="AW210" s="71">
        <f>IF(AND($AK210=1,$Z210="Yes"),1,0)</f>
        <v>0</v>
      </c>
      <c r="AX210" s="71">
        <f>IF(AND($AK210=1,$AA210="Yes"),1,0)</f>
        <v>0</v>
      </c>
      <c r="AY210" s="71">
        <f>IF(AND($AM210=1,OR($I210="Critical",$I210="High")),1,0)</f>
        <v>0</v>
      </c>
      <c r="AZ210" s="71">
        <f>IF(AND($AK210=1,OR($C210=TCL_Client,$C210=MECCA_Client)),1,0)</f>
        <v>0</v>
      </c>
      <c r="BA210" s="71" t="str">
        <f>IF($G210="","",IFERROR(MATCH($I210,lst_Priority,0),5))</f>
        <v/>
      </c>
      <c r="BB210" s="71" t="str">
        <f>IF(AND($AL210=1,$AJ210=1),$BA210*100000+ROW(),"")</f>
        <v/>
      </c>
      <c r="BC210" s="71" t="str">
        <f>IF(AND($AM210=1,$AJ210=1),$BA210*100000+ROW(),"")</f>
        <v/>
      </c>
      <c r="BD210" s="71" t="str">
        <f>IF(AND($AP210=1,$AJ210=1),$BA210*100000+ROW(),"")</f>
        <v/>
      </c>
      <c r="BE210" s="71" t="str">
        <f>IF(AND($AT210=1,$AJ210=1),$BA210*100000+ROW(),"")</f>
        <v/>
      </c>
      <c r="BF210" s="71" t="str">
        <f>IF(AND($AU210=1,$AJ210=1),$BA210*100000+ROW(),"")</f>
        <v/>
      </c>
      <c r="BG210" s="71" t="str">
        <f>IF(AND($AV210=1,$AJ210=1),$BA210*100000+ROW(),"")</f>
        <v/>
      </c>
      <c r="BH210" s="71" t="str">
        <f>IF(AND($AW210=1,$AJ210=1),$BA210*100000+ROW(),"")</f>
        <v/>
      </c>
      <c r="BI210" s="71" t="str">
        <f>IF(AND($AX210=1,$AJ210=1),$BA210*100000+ROW(),"")</f>
        <v/>
      </c>
      <c r="BJ210" s="71" t="str">
        <f>IF(AND($AS210=1,$AJ210=1),$BA210*100000+ROW(),"")</f>
        <v/>
      </c>
      <c r="BK210" s="71" t="str">
        <f>IF(AND($AY210=1,$AJ210=1),$BA210*100000+ROW(),"")</f>
        <v/>
      </c>
      <c r="BL210" s="71" t="str">
        <f>IF(AND($AZ210=1),$BA210*100000+ROW(),"")</f>
        <v/>
      </c>
    </row>
    <row r="211">
      <c r="A211" s="63" t="n"/>
      <c r="B211" s="64" t="n"/>
      <c r="C211" s="64" t="n"/>
      <c r="D211" s="64" t="n"/>
      <c r="E211" s="64" t="n"/>
      <c r="F211" s="64" t="n"/>
      <c r="G211" s="65" t="n"/>
      <c r="H211" s="65" t="n"/>
      <c r="I211" s="64" t="n"/>
      <c r="J211" s="64" t="n"/>
      <c r="K211" s="63" t="n"/>
      <c r="L211" s="63" t="n"/>
      <c r="M211" s="64" t="n"/>
      <c r="N211" s="66" t="n"/>
      <c r="O211" s="65" t="n"/>
      <c r="P211" s="64" t="n"/>
      <c r="Q211" s="67" t="n"/>
      <c r="R211" s="67" t="n"/>
      <c r="S211" s="68" t="str">
        <f>IF(AND(ISNUMBER($Q211),ISNUMBER($R211)),$Q211-$R211,"")</f>
        <v/>
      </c>
      <c r="T211" s="65" t="n"/>
      <c r="U211" s="64" t="n"/>
      <c r="V211" s="65" t="n"/>
      <c r="W211" s="63" t="n"/>
      <c r="X211" s="65" t="n"/>
      <c r="Y211" s="63" t="n"/>
      <c r="Z211" s="64" t="n"/>
      <c r="AA211" s="64" t="n"/>
      <c r="AB211" s="65" t="n"/>
      <c r="AC211" s="69" t="str">
        <f>IF(OR($G211="",NOT(ISNUMBER($K211)),$AK211=0),"",MAX(0,ReportDate-$K211))</f>
        <v/>
      </c>
      <c r="AD211" s="69" t="str">
        <f>IF($G211="","",IF($AL211=1,ReportDate-$L211,0))</f>
        <v/>
      </c>
      <c r="AE211" s="70" t="str">
        <f>IF($G211="","",IF($M211="Completed",1,IF(ISNUMBER($N211),$N211,0)))</f>
        <v/>
      </c>
      <c r="AF211" s="70" t="str">
        <f>IF(AND(ISNUMBER($Q211),ISNUMBER($R211)),IF($R211&lt;&gt;0,$Q211/$R211,""),"")</f>
        <v/>
      </c>
      <c r="AG211" s="71" t="str">
        <f>IF($G211="","",IF($AL211=1,"OVERDUE",IF($AM211=1,"BLOCKED",IF($AN211=1,"DUE TODAY",IF($AO211=1,"DUE TOMORROW",IF($AQ211=1,"HIGH PRIORITY",IF($AR211=1,"NO RECENT UPDATE",""))))))) </f>
        <v/>
      </c>
      <c r="AH211" s="71" t="str">
        <f>IF($G211="","",IF(ISNUMBER($A211),IF(ISNUMBER($A211),YEAR($A211)&amp;"-"&amp;TEXT(MONTH($A211),"00"),""),IF(ISNUMBER($L211),IF(ISNUMBER($L211),YEAR($L211)&amp;"-"&amp;TEXT(MONTH($L211),"00"),""),"")))</f>
        <v/>
      </c>
      <c r="AI211" s="71">
        <f>IF($G211="",0,IF(AND(OR(fClient="All",$C211=fClient),OR(fCampaign="All",$D211=fCampaign),OR(fTeam="All",$B211=fTeam),OR(fChannel="All",$F211=fChannel),OR(fMonth="All",$AH211=fMonth),OR(fTStatus="All",$M211=fTStatus)),1,0))</f>
        <v>0</v>
      </c>
      <c r="AJ211" s="71">
        <f>IF($G211="",0,IF(AND(OR(fClient="All",$C211=fClient),OR(fCampaign="All",$D211=fCampaign),OR(fTeam="All",$B211=fTeam),OR(fChannel="All",$F211=fChannel)),1,0))</f>
        <v>0</v>
      </c>
      <c r="AK211" s="71">
        <f>IF($G211="",0,IF(OR($M211="Completed",$M211="Cancelled"),0,1))</f>
        <v>0</v>
      </c>
      <c r="AL211" s="71">
        <f>IF(AND($AK211=1,ISNUMBER($L211)),IF($L211&lt;ReportDate,1,0),0)</f>
        <v>0</v>
      </c>
      <c r="AM211" s="71">
        <f>IF(AND($G211&lt;&gt;"",$M211="Blocked"),1,0)</f>
        <v>0</v>
      </c>
      <c r="AN211" s="71">
        <f>IF(AND($AK211=1,ISNUMBER($L211)),IF($L211=ReportDate,1,0),0)</f>
        <v>0</v>
      </c>
      <c r="AO211" s="71">
        <f>IF(AND($AK211=1,ISNUMBER($L211)),IF($L211=ReportDate+1,1,0),0)</f>
        <v>0</v>
      </c>
      <c r="AP211" s="71">
        <f>IF(AND($AK211=1,ISNUMBER($L211)),IF(AND($L211&gt;=ReportDate,$L211&lt;=ReportDate+DueSoonDays),1,0),0)</f>
        <v>0</v>
      </c>
      <c r="AQ211" s="71">
        <f>IF(AND($AK211=1,OR($I211="Critical",$I211="High")),1,0)</f>
        <v>0</v>
      </c>
      <c r="AR211" s="71">
        <f>IF($AK211=1,IF(ISNUMBER($Y211),IF(ReportDate-$Y211&gt;StaleDays,1,0),1),0)</f>
        <v>0</v>
      </c>
      <c r="AS211" s="71">
        <f>IF(AND($G211&lt;&gt;"",ISNUMBER($Q211),ISNUMBER($R211)),IF(AND($Q211&lt;$R211,OR($M211="Completed",AND(ISNUMBER($L211),$L211&lt;ReportDate))),1,0),0)</f>
        <v>0</v>
      </c>
      <c r="AT211" s="71">
        <f>IF($AK211=1,IF(OR($L211=ReportDate,$W211=ReportDate,$K211=ReportDate,$A211=ReportDate),1,0),0)</f>
        <v>0</v>
      </c>
      <c r="AU211" s="71">
        <f>IF($AK211=1,IF(OR($L211=ReportDate+1,$W211=ReportDate+1,$K211=ReportDate+1,$A211=ReportDate+1),1,0),0)</f>
        <v>0</v>
      </c>
      <c r="AV211" s="71">
        <f>IF(AND($G211&lt;&gt;"",$M211="Completed"),IF(OR($Y211=ReportDate-1,$A211=ReportDate-1),1,0),0)</f>
        <v>0</v>
      </c>
      <c r="AW211" s="71">
        <f>IF(AND($AK211=1,$Z211="Yes"),1,0)</f>
        <v>0</v>
      </c>
      <c r="AX211" s="71">
        <f>IF(AND($AK211=1,$AA211="Yes"),1,0)</f>
        <v>0</v>
      </c>
      <c r="AY211" s="71">
        <f>IF(AND($AM211=1,OR($I211="Critical",$I211="High")),1,0)</f>
        <v>0</v>
      </c>
      <c r="AZ211" s="71">
        <f>IF(AND($AK211=1,OR($C211=TCL_Client,$C211=MECCA_Client)),1,0)</f>
        <v>0</v>
      </c>
      <c r="BA211" s="71" t="str">
        <f>IF($G211="","",IFERROR(MATCH($I211,lst_Priority,0),5))</f>
        <v/>
      </c>
      <c r="BB211" s="71" t="str">
        <f>IF(AND($AL211=1,$AJ211=1),$BA211*100000+ROW(),"")</f>
        <v/>
      </c>
      <c r="BC211" s="71" t="str">
        <f>IF(AND($AM211=1,$AJ211=1),$BA211*100000+ROW(),"")</f>
        <v/>
      </c>
      <c r="BD211" s="71" t="str">
        <f>IF(AND($AP211=1,$AJ211=1),$BA211*100000+ROW(),"")</f>
        <v/>
      </c>
      <c r="BE211" s="71" t="str">
        <f>IF(AND($AT211=1,$AJ211=1),$BA211*100000+ROW(),"")</f>
        <v/>
      </c>
      <c r="BF211" s="71" t="str">
        <f>IF(AND($AU211=1,$AJ211=1),$BA211*100000+ROW(),"")</f>
        <v/>
      </c>
      <c r="BG211" s="71" t="str">
        <f>IF(AND($AV211=1,$AJ211=1),$BA211*100000+ROW(),"")</f>
        <v/>
      </c>
      <c r="BH211" s="71" t="str">
        <f>IF(AND($AW211=1,$AJ211=1),$BA211*100000+ROW(),"")</f>
        <v/>
      </c>
      <c r="BI211" s="71" t="str">
        <f>IF(AND($AX211=1,$AJ211=1),$BA211*100000+ROW(),"")</f>
        <v/>
      </c>
      <c r="BJ211" s="71" t="str">
        <f>IF(AND($AS211=1,$AJ211=1),$BA211*100000+ROW(),"")</f>
        <v/>
      </c>
      <c r="BK211" s="71" t="str">
        <f>IF(AND($AY211=1,$AJ211=1),$BA211*100000+ROW(),"")</f>
        <v/>
      </c>
      <c r="BL211" s="71" t="str">
        <f>IF(AND($AZ211=1),$BA211*100000+ROW(),"")</f>
        <v/>
      </c>
    </row>
    <row r="212">
      <c r="A212" s="63" t="n"/>
      <c r="B212" s="64" t="n"/>
      <c r="C212" s="64" t="n"/>
      <c r="D212" s="64" t="n"/>
      <c r="E212" s="64" t="n"/>
      <c r="F212" s="64" t="n"/>
      <c r="G212" s="65" t="n"/>
      <c r="H212" s="65" t="n"/>
      <c r="I212" s="64" t="n"/>
      <c r="J212" s="64" t="n"/>
      <c r="K212" s="63" t="n"/>
      <c r="L212" s="63" t="n"/>
      <c r="M212" s="64" t="n"/>
      <c r="N212" s="66" t="n"/>
      <c r="O212" s="65" t="n"/>
      <c r="P212" s="64" t="n"/>
      <c r="Q212" s="67" t="n"/>
      <c r="R212" s="67" t="n"/>
      <c r="S212" s="68" t="str">
        <f>IF(AND(ISNUMBER($Q212),ISNUMBER($R212)),$Q212-$R212,"")</f>
        <v/>
      </c>
      <c r="T212" s="65" t="n"/>
      <c r="U212" s="64" t="n"/>
      <c r="V212" s="65" t="n"/>
      <c r="W212" s="63" t="n"/>
      <c r="X212" s="65" t="n"/>
      <c r="Y212" s="63" t="n"/>
      <c r="Z212" s="64" t="n"/>
      <c r="AA212" s="64" t="n"/>
      <c r="AB212" s="65" t="n"/>
      <c r="AC212" s="69" t="str">
        <f>IF(OR($G212="",NOT(ISNUMBER($K212)),$AK212=0),"",MAX(0,ReportDate-$K212))</f>
        <v/>
      </c>
      <c r="AD212" s="69" t="str">
        <f>IF($G212="","",IF($AL212=1,ReportDate-$L212,0))</f>
        <v/>
      </c>
      <c r="AE212" s="70" t="str">
        <f>IF($G212="","",IF($M212="Completed",1,IF(ISNUMBER($N212),$N212,0)))</f>
        <v/>
      </c>
      <c r="AF212" s="70" t="str">
        <f>IF(AND(ISNUMBER($Q212),ISNUMBER($R212)),IF($R212&lt;&gt;0,$Q212/$R212,""),"")</f>
        <v/>
      </c>
      <c r="AG212" s="71" t="str">
        <f>IF($G212="","",IF($AL212=1,"OVERDUE",IF($AM212=1,"BLOCKED",IF($AN212=1,"DUE TODAY",IF($AO212=1,"DUE TOMORROW",IF($AQ212=1,"HIGH PRIORITY",IF($AR212=1,"NO RECENT UPDATE",""))))))) </f>
        <v/>
      </c>
      <c r="AH212" s="71" t="str">
        <f>IF($G212="","",IF(ISNUMBER($A212),IF(ISNUMBER($A212),YEAR($A212)&amp;"-"&amp;TEXT(MONTH($A212),"00"),""),IF(ISNUMBER($L212),IF(ISNUMBER($L212),YEAR($L212)&amp;"-"&amp;TEXT(MONTH($L212),"00"),""),"")))</f>
        <v/>
      </c>
      <c r="AI212" s="71">
        <f>IF($G212="",0,IF(AND(OR(fClient="All",$C212=fClient),OR(fCampaign="All",$D212=fCampaign),OR(fTeam="All",$B212=fTeam),OR(fChannel="All",$F212=fChannel),OR(fMonth="All",$AH212=fMonth),OR(fTStatus="All",$M212=fTStatus)),1,0))</f>
        <v>0</v>
      </c>
      <c r="AJ212" s="71">
        <f>IF($G212="",0,IF(AND(OR(fClient="All",$C212=fClient),OR(fCampaign="All",$D212=fCampaign),OR(fTeam="All",$B212=fTeam),OR(fChannel="All",$F212=fChannel)),1,0))</f>
        <v>0</v>
      </c>
      <c r="AK212" s="71">
        <f>IF($G212="",0,IF(OR($M212="Completed",$M212="Cancelled"),0,1))</f>
        <v>0</v>
      </c>
      <c r="AL212" s="71">
        <f>IF(AND($AK212=1,ISNUMBER($L212)),IF($L212&lt;ReportDate,1,0),0)</f>
        <v>0</v>
      </c>
      <c r="AM212" s="71">
        <f>IF(AND($G212&lt;&gt;"",$M212="Blocked"),1,0)</f>
        <v>0</v>
      </c>
      <c r="AN212" s="71">
        <f>IF(AND($AK212=1,ISNUMBER($L212)),IF($L212=ReportDate,1,0),0)</f>
        <v>0</v>
      </c>
      <c r="AO212" s="71">
        <f>IF(AND($AK212=1,ISNUMBER($L212)),IF($L212=ReportDate+1,1,0),0)</f>
        <v>0</v>
      </c>
      <c r="AP212" s="71">
        <f>IF(AND($AK212=1,ISNUMBER($L212)),IF(AND($L212&gt;=ReportDate,$L212&lt;=ReportDate+DueSoonDays),1,0),0)</f>
        <v>0</v>
      </c>
      <c r="AQ212" s="71">
        <f>IF(AND($AK212=1,OR($I212="Critical",$I212="High")),1,0)</f>
        <v>0</v>
      </c>
      <c r="AR212" s="71">
        <f>IF($AK212=1,IF(ISNUMBER($Y212),IF(ReportDate-$Y212&gt;StaleDays,1,0),1),0)</f>
        <v>0</v>
      </c>
      <c r="AS212" s="71">
        <f>IF(AND($G212&lt;&gt;"",ISNUMBER($Q212),ISNUMBER($R212)),IF(AND($Q212&lt;$R212,OR($M212="Completed",AND(ISNUMBER($L212),$L212&lt;ReportDate))),1,0),0)</f>
        <v>0</v>
      </c>
      <c r="AT212" s="71">
        <f>IF($AK212=1,IF(OR($L212=ReportDate,$W212=ReportDate,$K212=ReportDate,$A212=ReportDate),1,0),0)</f>
        <v>0</v>
      </c>
      <c r="AU212" s="71">
        <f>IF($AK212=1,IF(OR($L212=ReportDate+1,$W212=ReportDate+1,$K212=ReportDate+1,$A212=ReportDate+1),1,0),0)</f>
        <v>0</v>
      </c>
      <c r="AV212" s="71">
        <f>IF(AND($G212&lt;&gt;"",$M212="Completed"),IF(OR($Y212=ReportDate-1,$A212=ReportDate-1),1,0),0)</f>
        <v>0</v>
      </c>
      <c r="AW212" s="71">
        <f>IF(AND($AK212=1,$Z212="Yes"),1,0)</f>
        <v>0</v>
      </c>
      <c r="AX212" s="71">
        <f>IF(AND($AK212=1,$AA212="Yes"),1,0)</f>
        <v>0</v>
      </c>
      <c r="AY212" s="71">
        <f>IF(AND($AM212=1,OR($I212="Critical",$I212="High")),1,0)</f>
        <v>0</v>
      </c>
      <c r="AZ212" s="71">
        <f>IF(AND($AK212=1,OR($C212=TCL_Client,$C212=MECCA_Client)),1,0)</f>
        <v>0</v>
      </c>
      <c r="BA212" s="71" t="str">
        <f>IF($G212="","",IFERROR(MATCH($I212,lst_Priority,0),5))</f>
        <v/>
      </c>
      <c r="BB212" s="71" t="str">
        <f>IF(AND($AL212=1,$AJ212=1),$BA212*100000+ROW(),"")</f>
        <v/>
      </c>
      <c r="BC212" s="71" t="str">
        <f>IF(AND($AM212=1,$AJ212=1),$BA212*100000+ROW(),"")</f>
        <v/>
      </c>
      <c r="BD212" s="71" t="str">
        <f>IF(AND($AP212=1,$AJ212=1),$BA212*100000+ROW(),"")</f>
        <v/>
      </c>
      <c r="BE212" s="71" t="str">
        <f>IF(AND($AT212=1,$AJ212=1),$BA212*100000+ROW(),"")</f>
        <v/>
      </c>
      <c r="BF212" s="71" t="str">
        <f>IF(AND($AU212=1,$AJ212=1),$BA212*100000+ROW(),"")</f>
        <v/>
      </c>
      <c r="BG212" s="71" t="str">
        <f>IF(AND($AV212=1,$AJ212=1),$BA212*100000+ROW(),"")</f>
        <v/>
      </c>
      <c r="BH212" s="71" t="str">
        <f>IF(AND($AW212=1,$AJ212=1),$BA212*100000+ROW(),"")</f>
        <v/>
      </c>
      <c r="BI212" s="71" t="str">
        <f>IF(AND($AX212=1,$AJ212=1),$BA212*100000+ROW(),"")</f>
        <v/>
      </c>
      <c r="BJ212" s="71" t="str">
        <f>IF(AND($AS212=1,$AJ212=1),$BA212*100000+ROW(),"")</f>
        <v/>
      </c>
      <c r="BK212" s="71" t="str">
        <f>IF(AND($AY212=1,$AJ212=1),$BA212*100000+ROW(),"")</f>
        <v/>
      </c>
      <c r="BL212" s="71" t="str">
        <f>IF(AND($AZ212=1),$BA212*100000+ROW(),"")</f>
        <v/>
      </c>
    </row>
    <row r="213">
      <c r="A213" s="63" t="n"/>
      <c r="B213" s="64" t="n"/>
      <c r="C213" s="64" t="n"/>
      <c r="D213" s="64" t="n"/>
      <c r="E213" s="64" t="n"/>
      <c r="F213" s="64" t="n"/>
      <c r="G213" s="65" t="n"/>
      <c r="H213" s="65" t="n"/>
      <c r="I213" s="64" t="n"/>
      <c r="J213" s="64" t="n"/>
      <c r="K213" s="63" t="n"/>
      <c r="L213" s="63" t="n"/>
      <c r="M213" s="64" t="n"/>
      <c r="N213" s="66" t="n"/>
      <c r="O213" s="65" t="n"/>
      <c r="P213" s="64" t="n"/>
      <c r="Q213" s="67" t="n"/>
      <c r="R213" s="67" t="n"/>
      <c r="S213" s="68" t="str">
        <f>IF(AND(ISNUMBER($Q213),ISNUMBER($R213)),$Q213-$R213,"")</f>
        <v/>
      </c>
      <c r="T213" s="65" t="n"/>
      <c r="U213" s="64" t="n"/>
      <c r="V213" s="65" t="n"/>
      <c r="W213" s="63" t="n"/>
      <c r="X213" s="65" t="n"/>
      <c r="Y213" s="63" t="n"/>
      <c r="Z213" s="64" t="n"/>
      <c r="AA213" s="64" t="n"/>
      <c r="AB213" s="65" t="n"/>
      <c r="AC213" s="69" t="str">
        <f>IF(OR($G213="",NOT(ISNUMBER($K213)),$AK213=0),"",MAX(0,ReportDate-$K213))</f>
        <v/>
      </c>
      <c r="AD213" s="69" t="str">
        <f>IF($G213="","",IF($AL213=1,ReportDate-$L213,0))</f>
        <v/>
      </c>
      <c r="AE213" s="70" t="str">
        <f>IF($G213="","",IF($M213="Completed",1,IF(ISNUMBER($N213),$N213,0)))</f>
        <v/>
      </c>
      <c r="AF213" s="70" t="str">
        <f>IF(AND(ISNUMBER($Q213),ISNUMBER($R213)),IF($R213&lt;&gt;0,$Q213/$R213,""),"")</f>
        <v/>
      </c>
      <c r="AG213" s="71" t="str">
        <f>IF($G213="","",IF($AL213=1,"OVERDUE",IF($AM213=1,"BLOCKED",IF($AN213=1,"DUE TODAY",IF($AO213=1,"DUE TOMORROW",IF($AQ213=1,"HIGH PRIORITY",IF($AR213=1,"NO RECENT UPDATE",""))))))) </f>
        <v/>
      </c>
      <c r="AH213" s="71" t="str">
        <f>IF($G213="","",IF(ISNUMBER($A213),IF(ISNUMBER($A213),YEAR($A213)&amp;"-"&amp;TEXT(MONTH($A213),"00"),""),IF(ISNUMBER($L213),IF(ISNUMBER($L213),YEAR($L213)&amp;"-"&amp;TEXT(MONTH($L213),"00"),""),"")))</f>
        <v/>
      </c>
      <c r="AI213" s="71">
        <f>IF($G213="",0,IF(AND(OR(fClient="All",$C213=fClient),OR(fCampaign="All",$D213=fCampaign),OR(fTeam="All",$B213=fTeam),OR(fChannel="All",$F213=fChannel),OR(fMonth="All",$AH213=fMonth),OR(fTStatus="All",$M213=fTStatus)),1,0))</f>
        <v>0</v>
      </c>
      <c r="AJ213" s="71">
        <f>IF($G213="",0,IF(AND(OR(fClient="All",$C213=fClient),OR(fCampaign="All",$D213=fCampaign),OR(fTeam="All",$B213=fTeam),OR(fChannel="All",$F213=fChannel)),1,0))</f>
        <v>0</v>
      </c>
      <c r="AK213" s="71">
        <f>IF($G213="",0,IF(OR($M213="Completed",$M213="Cancelled"),0,1))</f>
        <v>0</v>
      </c>
      <c r="AL213" s="71">
        <f>IF(AND($AK213=1,ISNUMBER($L213)),IF($L213&lt;ReportDate,1,0),0)</f>
        <v>0</v>
      </c>
      <c r="AM213" s="71">
        <f>IF(AND($G213&lt;&gt;"",$M213="Blocked"),1,0)</f>
        <v>0</v>
      </c>
      <c r="AN213" s="71">
        <f>IF(AND($AK213=1,ISNUMBER($L213)),IF($L213=ReportDate,1,0),0)</f>
        <v>0</v>
      </c>
      <c r="AO213" s="71">
        <f>IF(AND($AK213=1,ISNUMBER($L213)),IF($L213=ReportDate+1,1,0),0)</f>
        <v>0</v>
      </c>
      <c r="AP213" s="71">
        <f>IF(AND($AK213=1,ISNUMBER($L213)),IF(AND($L213&gt;=ReportDate,$L213&lt;=ReportDate+DueSoonDays),1,0),0)</f>
        <v>0</v>
      </c>
      <c r="AQ213" s="71">
        <f>IF(AND($AK213=1,OR($I213="Critical",$I213="High")),1,0)</f>
        <v>0</v>
      </c>
      <c r="AR213" s="71">
        <f>IF($AK213=1,IF(ISNUMBER($Y213),IF(ReportDate-$Y213&gt;StaleDays,1,0),1),0)</f>
        <v>0</v>
      </c>
      <c r="AS213" s="71">
        <f>IF(AND($G213&lt;&gt;"",ISNUMBER($Q213),ISNUMBER($R213)),IF(AND($Q213&lt;$R213,OR($M213="Completed",AND(ISNUMBER($L213),$L213&lt;ReportDate))),1,0),0)</f>
        <v>0</v>
      </c>
      <c r="AT213" s="71">
        <f>IF($AK213=1,IF(OR($L213=ReportDate,$W213=ReportDate,$K213=ReportDate,$A213=ReportDate),1,0),0)</f>
        <v>0</v>
      </c>
      <c r="AU213" s="71">
        <f>IF($AK213=1,IF(OR($L213=ReportDate+1,$W213=ReportDate+1,$K213=ReportDate+1,$A213=ReportDate+1),1,0),0)</f>
        <v>0</v>
      </c>
      <c r="AV213" s="71">
        <f>IF(AND($G213&lt;&gt;"",$M213="Completed"),IF(OR($Y213=ReportDate-1,$A213=ReportDate-1),1,0),0)</f>
        <v>0</v>
      </c>
      <c r="AW213" s="71">
        <f>IF(AND($AK213=1,$Z213="Yes"),1,0)</f>
        <v>0</v>
      </c>
      <c r="AX213" s="71">
        <f>IF(AND($AK213=1,$AA213="Yes"),1,0)</f>
        <v>0</v>
      </c>
      <c r="AY213" s="71">
        <f>IF(AND($AM213=1,OR($I213="Critical",$I213="High")),1,0)</f>
        <v>0</v>
      </c>
      <c r="AZ213" s="71">
        <f>IF(AND($AK213=1,OR($C213=TCL_Client,$C213=MECCA_Client)),1,0)</f>
        <v>0</v>
      </c>
      <c r="BA213" s="71" t="str">
        <f>IF($G213="","",IFERROR(MATCH($I213,lst_Priority,0),5))</f>
        <v/>
      </c>
      <c r="BB213" s="71" t="str">
        <f>IF(AND($AL213=1,$AJ213=1),$BA213*100000+ROW(),"")</f>
        <v/>
      </c>
      <c r="BC213" s="71" t="str">
        <f>IF(AND($AM213=1,$AJ213=1),$BA213*100000+ROW(),"")</f>
        <v/>
      </c>
      <c r="BD213" s="71" t="str">
        <f>IF(AND($AP213=1,$AJ213=1),$BA213*100000+ROW(),"")</f>
        <v/>
      </c>
      <c r="BE213" s="71" t="str">
        <f>IF(AND($AT213=1,$AJ213=1),$BA213*100000+ROW(),"")</f>
        <v/>
      </c>
      <c r="BF213" s="71" t="str">
        <f>IF(AND($AU213=1,$AJ213=1),$BA213*100000+ROW(),"")</f>
        <v/>
      </c>
      <c r="BG213" s="71" t="str">
        <f>IF(AND($AV213=1,$AJ213=1),$BA213*100000+ROW(),"")</f>
        <v/>
      </c>
      <c r="BH213" s="71" t="str">
        <f>IF(AND($AW213=1,$AJ213=1),$BA213*100000+ROW(),"")</f>
        <v/>
      </c>
      <c r="BI213" s="71" t="str">
        <f>IF(AND($AX213=1,$AJ213=1),$BA213*100000+ROW(),"")</f>
        <v/>
      </c>
      <c r="BJ213" s="71" t="str">
        <f>IF(AND($AS213=1,$AJ213=1),$BA213*100000+ROW(),"")</f>
        <v/>
      </c>
      <c r="BK213" s="71" t="str">
        <f>IF(AND($AY213=1,$AJ213=1),$BA213*100000+ROW(),"")</f>
        <v/>
      </c>
      <c r="BL213" s="71" t="str">
        <f>IF(AND($AZ213=1),$BA213*100000+ROW(),"")</f>
        <v/>
      </c>
    </row>
    <row r="214">
      <c r="A214" s="63" t="n"/>
      <c r="B214" s="64" t="n"/>
      <c r="C214" s="64" t="n"/>
      <c r="D214" s="64" t="n"/>
      <c r="E214" s="64" t="n"/>
      <c r="F214" s="64" t="n"/>
      <c r="G214" s="65" t="n"/>
      <c r="H214" s="65" t="n"/>
      <c r="I214" s="64" t="n"/>
      <c r="J214" s="64" t="n"/>
      <c r="K214" s="63" t="n"/>
      <c r="L214" s="63" t="n"/>
      <c r="M214" s="64" t="n"/>
      <c r="N214" s="66" t="n"/>
      <c r="O214" s="65" t="n"/>
      <c r="P214" s="64" t="n"/>
      <c r="Q214" s="67" t="n"/>
      <c r="R214" s="67" t="n"/>
      <c r="S214" s="68" t="str">
        <f>IF(AND(ISNUMBER($Q214),ISNUMBER($R214)),$Q214-$R214,"")</f>
        <v/>
      </c>
      <c r="T214" s="65" t="n"/>
      <c r="U214" s="64" t="n"/>
      <c r="V214" s="65" t="n"/>
      <c r="W214" s="63" t="n"/>
      <c r="X214" s="65" t="n"/>
      <c r="Y214" s="63" t="n"/>
      <c r="Z214" s="64" t="n"/>
      <c r="AA214" s="64" t="n"/>
      <c r="AB214" s="65" t="n"/>
      <c r="AC214" s="69" t="str">
        <f>IF(OR($G214="",NOT(ISNUMBER($K214)),$AK214=0),"",MAX(0,ReportDate-$K214))</f>
        <v/>
      </c>
      <c r="AD214" s="69" t="str">
        <f>IF($G214="","",IF($AL214=1,ReportDate-$L214,0))</f>
        <v/>
      </c>
      <c r="AE214" s="70" t="str">
        <f>IF($G214="","",IF($M214="Completed",1,IF(ISNUMBER($N214),$N214,0)))</f>
        <v/>
      </c>
      <c r="AF214" s="70" t="str">
        <f>IF(AND(ISNUMBER($Q214),ISNUMBER($R214)),IF($R214&lt;&gt;0,$Q214/$R214,""),"")</f>
        <v/>
      </c>
      <c r="AG214" s="71" t="str">
        <f>IF($G214="","",IF($AL214=1,"OVERDUE",IF($AM214=1,"BLOCKED",IF($AN214=1,"DUE TODAY",IF($AO214=1,"DUE TOMORROW",IF($AQ214=1,"HIGH PRIORITY",IF($AR214=1,"NO RECENT UPDATE",""))))))) </f>
        <v/>
      </c>
      <c r="AH214" s="71" t="str">
        <f>IF($G214="","",IF(ISNUMBER($A214),IF(ISNUMBER($A214),YEAR($A214)&amp;"-"&amp;TEXT(MONTH($A214),"00"),""),IF(ISNUMBER($L214),IF(ISNUMBER($L214),YEAR($L214)&amp;"-"&amp;TEXT(MONTH($L214),"00"),""),"")))</f>
        <v/>
      </c>
      <c r="AI214" s="71">
        <f>IF($G214="",0,IF(AND(OR(fClient="All",$C214=fClient),OR(fCampaign="All",$D214=fCampaign),OR(fTeam="All",$B214=fTeam),OR(fChannel="All",$F214=fChannel),OR(fMonth="All",$AH214=fMonth),OR(fTStatus="All",$M214=fTStatus)),1,0))</f>
        <v>0</v>
      </c>
      <c r="AJ214" s="71">
        <f>IF($G214="",0,IF(AND(OR(fClient="All",$C214=fClient),OR(fCampaign="All",$D214=fCampaign),OR(fTeam="All",$B214=fTeam),OR(fChannel="All",$F214=fChannel)),1,0))</f>
        <v>0</v>
      </c>
      <c r="AK214" s="71">
        <f>IF($G214="",0,IF(OR($M214="Completed",$M214="Cancelled"),0,1))</f>
        <v>0</v>
      </c>
      <c r="AL214" s="71">
        <f>IF(AND($AK214=1,ISNUMBER($L214)),IF($L214&lt;ReportDate,1,0),0)</f>
        <v>0</v>
      </c>
      <c r="AM214" s="71">
        <f>IF(AND($G214&lt;&gt;"",$M214="Blocked"),1,0)</f>
        <v>0</v>
      </c>
      <c r="AN214" s="71">
        <f>IF(AND($AK214=1,ISNUMBER($L214)),IF($L214=ReportDate,1,0),0)</f>
        <v>0</v>
      </c>
      <c r="AO214" s="71">
        <f>IF(AND($AK214=1,ISNUMBER($L214)),IF($L214=ReportDate+1,1,0),0)</f>
        <v>0</v>
      </c>
      <c r="AP214" s="71">
        <f>IF(AND($AK214=1,ISNUMBER($L214)),IF(AND($L214&gt;=ReportDate,$L214&lt;=ReportDate+DueSoonDays),1,0),0)</f>
        <v>0</v>
      </c>
      <c r="AQ214" s="71">
        <f>IF(AND($AK214=1,OR($I214="Critical",$I214="High")),1,0)</f>
        <v>0</v>
      </c>
      <c r="AR214" s="71">
        <f>IF($AK214=1,IF(ISNUMBER($Y214),IF(ReportDate-$Y214&gt;StaleDays,1,0),1),0)</f>
        <v>0</v>
      </c>
      <c r="AS214" s="71">
        <f>IF(AND($G214&lt;&gt;"",ISNUMBER($Q214),ISNUMBER($R214)),IF(AND($Q214&lt;$R214,OR($M214="Completed",AND(ISNUMBER($L214),$L214&lt;ReportDate))),1,0),0)</f>
        <v>0</v>
      </c>
      <c r="AT214" s="71">
        <f>IF($AK214=1,IF(OR($L214=ReportDate,$W214=ReportDate,$K214=ReportDate,$A214=ReportDate),1,0),0)</f>
        <v>0</v>
      </c>
      <c r="AU214" s="71">
        <f>IF($AK214=1,IF(OR($L214=ReportDate+1,$W214=ReportDate+1,$K214=ReportDate+1,$A214=ReportDate+1),1,0),0)</f>
        <v>0</v>
      </c>
      <c r="AV214" s="71">
        <f>IF(AND($G214&lt;&gt;"",$M214="Completed"),IF(OR($Y214=ReportDate-1,$A214=ReportDate-1),1,0),0)</f>
        <v>0</v>
      </c>
      <c r="AW214" s="71">
        <f>IF(AND($AK214=1,$Z214="Yes"),1,0)</f>
        <v>0</v>
      </c>
      <c r="AX214" s="71">
        <f>IF(AND($AK214=1,$AA214="Yes"),1,0)</f>
        <v>0</v>
      </c>
      <c r="AY214" s="71">
        <f>IF(AND($AM214=1,OR($I214="Critical",$I214="High")),1,0)</f>
        <v>0</v>
      </c>
      <c r="AZ214" s="71">
        <f>IF(AND($AK214=1,OR($C214=TCL_Client,$C214=MECCA_Client)),1,0)</f>
        <v>0</v>
      </c>
      <c r="BA214" s="71" t="str">
        <f>IF($G214="","",IFERROR(MATCH($I214,lst_Priority,0),5))</f>
        <v/>
      </c>
      <c r="BB214" s="71" t="str">
        <f>IF(AND($AL214=1,$AJ214=1),$BA214*100000+ROW(),"")</f>
        <v/>
      </c>
      <c r="BC214" s="71" t="str">
        <f>IF(AND($AM214=1,$AJ214=1),$BA214*100000+ROW(),"")</f>
        <v/>
      </c>
      <c r="BD214" s="71" t="str">
        <f>IF(AND($AP214=1,$AJ214=1),$BA214*100000+ROW(),"")</f>
        <v/>
      </c>
      <c r="BE214" s="71" t="str">
        <f>IF(AND($AT214=1,$AJ214=1),$BA214*100000+ROW(),"")</f>
        <v/>
      </c>
      <c r="BF214" s="71" t="str">
        <f>IF(AND($AU214=1,$AJ214=1),$BA214*100000+ROW(),"")</f>
        <v/>
      </c>
      <c r="BG214" s="71" t="str">
        <f>IF(AND($AV214=1,$AJ214=1),$BA214*100000+ROW(),"")</f>
        <v/>
      </c>
      <c r="BH214" s="71" t="str">
        <f>IF(AND($AW214=1,$AJ214=1),$BA214*100000+ROW(),"")</f>
        <v/>
      </c>
      <c r="BI214" s="71" t="str">
        <f>IF(AND($AX214=1,$AJ214=1),$BA214*100000+ROW(),"")</f>
        <v/>
      </c>
      <c r="BJ214" s="71" t="str">
        <f>IF(AND($AS214=1,$AJ214=1),$BA214*100000+ROW(),"")</f>
        <v/>
      </c>
      <c r="BK214" s="71" t="str">
        <f>IF(AND($AY214=1,$AJ214=1),$BA214*100000+ROW(),"")</f>
        <v/>
      </c>
      <c r="BL214" s="71" t="str">
        <f>IF(AND($AZ214=1),$BA214*100000+ROW(),"")</f>
        <v/>
      </c>
    </row>
    <row r="215">
      <c r="A215" s="63" t="n"/>
      <c r="B215" s="64" t="n"/>
      <c r="C215" s="64" t="n"/>
      <c r="D215" s="64" t="n"/>
      <c r="E215" s="64" t="n"/>
      <c r="F215" s="64" t="n"/>
      <c r="G215" s="65" t="n"/>
      <c r="H215" s="65" t="n"/>
      <c r="I215" s="64" t="n"/>
      <c r="J215" s="64" t="n"/>
      <c r="K215" s="63" t="n"/>
      <c r="L215" s="63" t="n"/>
      <c r="M215" s="64" t="n"/>
      <c r="N215" s="66" t="n"/>
      <c r="O215" s="65" t="n"/>
      <c r="P215" s="64" t="n"/>
      <c r="Q215" s="67" t="n"/>
      <c r="R215" s="67" t="n"/>
      <c r="S215" s="68" t="str">
        <f>IF(AND(ISNUMBER($Q215),ISNUMBER($R215)),$Q215-$R215,"")</f>
        <v/>
      </c>
      <c r="T215" s="65" t="n"/>
      <c r="U215" s="64" t="n"/>
      <c r="V215" s="65" t="n"/>
      <c r="W215" s="63" t="n"/>
      <c r="X215" s="65" t="n"/>
      <c r="Y215" s="63" t="n"/>
      <c r="Z215" s="64" t="n"/>
      <c r="AA215" s="64" t="n"/>
      <c r="AB215" s="65" t="n"/>
      <c r="AC215" s="69" t="str">
        <f>IF(OR($G215="",NOT(ISNUMBER($K215)),$AK215=0),"",MAX(0,ReportDate-$K215))</f>
        <v/>
      </c>
      <c r="AD215" s="69" t="str">
        <f>IF($G215="","",IF($AL215=1,ReportDate-$L215,0))</f>
        <v/>
      </c>
      <c r="AE215" s="70" t="str">
        <f>IF($G215="","",IF($M215="Completed",1,IF(ISNUMBER($N215),$N215,0)))</f>
        <v/>
      </c>
      <c r="AF215" s="70" t="str">
        <f>IF(AND(ISNUMBER($Q215),ISNUMBER($R215)),IF($R215&lt;&gt;0,$Q215/$R215,""),"")</f>
        <v/>
      </c>
      <c r="AG215" s="71" t="str">
        <f>IF($G215="","",IF($AL215=1,"OVERDUE",IF($AM215=1,"BLOCKED",IF($AN215=1,"DUE TODAY",IF($AO215=1,"DUE TOMORROW",IF($AQ215=1,"HIGH PRIORITY",IF($AR215=1,"NO RECENT UPDATE",""))))))) </f>
        <v/>
      </c>
      <c r="AH215" s="71" t="str">
        <f>IF($G215="","",IF(ISNUMBER($A215),IF(ISNUMBER($A215),YEAR($A215)&amp;"-"&amp;TEXT(MONTH($A215),"00"),""),IF(ISNUMBER($L215),IF(ISNUMBER($L215),YEAR($L215)&amp;"-"&amp;TEXT(MONTH($L215),"00"),""),"")))</f>
        <v/>
      </c>
      <c r="AI215" s="71">
        <f>IF($G215="",0,IF(AND(OR(fClient="All",$C215=fClient),OR(fCampaign="All",$D215=fCampaign),OR(fTeam="All",$B215=fTeam),OR(fChannel="All",$F215=fChannel),OR(fMonth="All",$AH215=fMonth),OR(fTStatus="All",$M215=fTStatus)),1,0))</f>
        <v>0</v>
      </c>
      <c r="AJ215" s="71">
        <f>IF($G215="",0,IF(AND(OR(fClient="All",$C215=fClient),OR(fCampaign="All",$D215=fCampaign),OR(fTeam="All",$B215=fTeam),OR(fChannel="All",$F215=fChannel)),1,0))</f>
        <v>0</v>
      </c>
      <c r="AK215" s="71">
        <f>IF($G215="",0,IF(OR($M215="Completed",$M215="Cancelled"),0,1))</f>
        <v>0</v>
      </c>
      <c r="AL215" s="71">
        <f>IF(AND($AK215=1,ISNUMBER($L215)),IF($L215&lt;ReportDate,1,0),0)</f>
        <v>0</v>
      </c>
      <c r="AM215" s="71">
        <f>IF(AND($G215&lt;&gt;"",$M215="Blocked"),1,0)</f>
        <v>0</v>
      </c>
      <c r="AN215" s="71">
        <f>IF(AND($AK215=1,ISNUMBER($L215)),IF($L215=ReportDate,1,0),0)</f>
        <v>0</v>
      </c>
      <c r="AO215" s="71">
        <f>IF(AND($AK215=1,ISNUMBER($L215)),IF($L215=ReportDate+1,1,0),0)</f>
        <v>0</v>
      </c>
      <c r="AP215" s="71">
        <f>IF(AND($AK215=1,ISNUMBER($L215)),IF(AND($L215&gt;=ReportDate,$L215&lt;=ReportDate+DueSoonDays),1,0),0)</f>
        <v>0</v>
      </c>
      <c r="AQ215" s="71">
        <f>IF(AND($AK215=1,OR($I215="Critical",$I215="High")),1,0)</f>
        <v>0</v>
      </c>
      <c r="AR215" s="71">
        <f>IF($AK215=1,IF(ISNUMBER($Y215),IF(ReportDate-$Y215&gt;StaleDays,1,0),1),0)</f>
        <v>0</v>
      </c>
      <c r="AS215" s="71">
        <f>IF(AND($G215&lt;&gt;"",ISNUMBER($Q215),ISNUMBER($R215)),IF(AND($Q215&lt;$R215,OR($M215="Completed",AND(ISNUMBER($L215),$L215&lt;ReportDate))),1,0),0)</f>
        <v>0</v>
      </c>
      <c r="AT215" s="71">
        <f>IF($AK215=1,IF(OR($L215=ReportDate,$W215=ReportDate,$K215=ReportDate,$A215=ReportDate),1,0),0)</f>
        <v>0</v>
      </c>
      <c r="AU215" s="71">
        <f>IF($AK215=1,IF(OR($L215=ReportDate+1,$W215=ReportDate+1,$K215=ReportDate+1,$A215=ReportDate+1),1,0),0)</f>
        <v>0</v>
      </c>
      <c r="AV215" s="71">
        <f>IF(AND($G215&lt;&gt;"",$M215="Completed"),IF(OR($Y215=ReportDate-1,$A215=ReportDate-1),1,0),0)</f>
        <v>0</v>
      </c>
      <c r="AW215" s="71">
        <f>IF(AND($AK215=1,$Z215="Yes"),1,0)</f>
        <v>0</v>
      </c>
      <c r="AX215" s="71">
        <f>IF(AND($AK215=1,$AA215="Yes"),1,0)</f>
        <v>0</v>
      </c>
      <c r="AY215" s="71">
        <f>IF(AND($AM215=1,OR($I215="Critical",$I215="High")),1,0)</f>
        <v>0</v>
      </c>
      <c r="AZ215" s="71">
        <f>IF(AND($AK215=1,OR($C215=TCL_Client,$C215=MECCA_Client)),1,0)</f>
        <v>0</v>
      </c>
      <c r="BA215" s="71" t="str">
        <f>IF($G215="","",IFERROR(MATCH($I215,lst_Priority,0),5))</f>
        <v/>
      </c>
      <c r="BB215" s="71" t="str">
        <f>IF(AND($AL215=1,$AJ215=1),$BA215*100000+ROW(),"")</f>
        <v/>
      </c>
      <c r="BC215" s="71" t="str">
        <f>IF(AND($AM215=1,$AJ215=1),$BA215*100000+ROW(),"")</f>
        <v/>
      </c>
      <c r="BD215" s="71" t="str">
        <f>IF(AND($AP215=1,$AJ215=1),$BA215*100000+ROW(),"")</f>
        <v/>
      </c>
      <c r="BE215" s="71" t="str">
        <f>IF(AND($AT215=1,$AJ215=1),$BA215*100000+ROW(),"")</f>
        <v/>
      </c>
      <c r="BF215" s="71" t="str">
        <f>IF(AND($AU215=1,$AJ215=1),$BA215*100000+ROW(),"")</f>
        <v/>
      </c>
      <c r="BG215" s="71" t="str">
        <f>IF(AND($AV215=1,$AJ215=1),$BA215*100000+ROW(),"")</f>
        <v/>
      </c>
      <c r="BH215" s="71" t="str">
        <f>IF(AND($AW215=1,$AJ215=1),$BA215*100000+ROW(),"")</f>
        <v/>
      </c>
      <c r="BI215" s="71" t="str">
        <f>IF(AND($AX215=1,$AJ215=1),$BA215*100000+ROW(),"")</f>
        <v/>
      </c>
      <c r="BJ215" s="71" t="str">
        <f>IF(AND($AS215=1,$AJ215=1),$BA215*100000+ROW(),"")</f>
        <v/>
      </c>
      <c r="BK215" s="71" t="str">
        <f>IF(AND($AY215=1,$AJ215=1),$BA215*100000+ROW(),"")</f>
        <v/>
      </c>
      <c r="BL215" s="71" t="str">
        <f>IF(AND($AZ215=1),$BA215*100000+ROW(),"")</f>
        <v/>
      </c>
    </row>
    <row r="216">
      <c r="A216" s="63" t="n"/>
      <c r="B216" s="64" t="n"/>
      <c r="C216" s="64" t="n"/>
      <c r="D216" s="64" t="n"/>
      <c r="E216" s="64" t="n"/>
      <c r="F216" s="64" t="n"/>
      <c r="G216" s="65" t="n"/>
      <c r="H216" s="65" t="n"/>
      <c r="I216" s="64" t="n"/>
      <c r="J216" s="64" t="n"/>
      <c r="K216" s="63" t="n"/>
      <c r="L216" s="63" t="n"/>
      <c r="M216" s="64" t="n"/>
      <c r="N216" s="66" t="n"/>
      <c r="O216" s="65" t="n"/>
      <c r="P216" s="64" t="n"/>
      <c r="Q216" s="67" t="n"/>
      <c r="R216" s="67" t="n"/>
      <c r="S216" s="68" t="str">
        <f>IF(AND(ISNUMBER($Q216),ISNUMBER($R216)),$Q216-$R216,"")</f>
        <v/>
      </c>
      <c r="T216" s="65" t="n"/>
      <c r="U216" s="64" t="n"/>
      <c r="V216" s="65" t="n"/>
      <c r="W216" s="63" t="n"/>
      <c r="X216" s="65" t="n"/>
      <c r="Y216" s="63" t="n"/>
      <c r="Z216" s="64" t="n"/>
      <c r="AA216" s="64" t="n"/>
      <c r="AB216" s="65" t="n"/>
      <c r="AC216" s="69" t="str">
        <f>IF(OR($G216="",NOT(ISNUMBER($K216)),$AK216=0),"",MAX(0,ReportDate-$K216))</f>
        <v/>
      </c>
      <c r="AD216" s="69" t="str">
        <f>IF($G216="","",IF($AL216=1,ReportDate-$L216,0))</f>
        <v/>
      </c>
      <c r="AE216" s="70" t="str">
        <f>IF($G216="","",IF($M216="Completed",1,IF(ISNUMBER($N216),$N216,0)))</f>
        <v/>
      </c>
      <c r="AF216" s="70" t="str">
        <f>IF(AND(ISNUMBER($Q216),ISNUMBER($R216)),IF($R216&lt;&gt;0,$Q216/$R216,""),"")</f>
        <v/>
      </c>
      <c r="AG216" s="71" t="str">
        <f>IF($G216="","",IF($AL216=1,"OVERDUE",IF($AM216=1,"BLOCKED",IF($AN216=1,"DUE TODAY",IF($AO216=1,"DUE TOMORROW",IF($AQ216=1,"HIGH PRIORITY",IF($AR216=1,"NO RECENT UPDATE",""))))))) </f>
        <v/>
      </c>
      <c r="AH216" s="71" t="str">
        <f>IF($G216="","",IF(ISNUMBER($A216),IF(ISNUMBER($A216),YEAR($A216)&amp;"-"&amp;TEXT(MONTH($A216),"00"),""),IF(ISNUMBER($L216),IF(ISNUMBER($L216),YEAR($L216)&amp;"-"&amp;TEXT(MONTH($L216),"00"),""),"")))</f>
        <v/>
      </c>
      <c r="AI216" s="71">
        <f>IF($G216="",0,IF(AND(OR(fClient="All",$C216=fClient),OR(fCampaign="All",$D216=fCampaign),OR(fTeam="All",$B216=fTeam),OR(fChannel="All",$F216=fChannel),OR(fMonth="All",$AH216=fMonth),OR(fTStatus="All",$M216=fTStatus)),1,0))</f>
        <v>0</v>
      </c>
      <c r="AJ216" s="71">
        <f>IF($G216="",0,IF(AND(OR(fClient="All",$C216=fClient),OR(fCampaign="All",$D216=fCampaign),OR(fTeam="All",$B216=fTeam),OR(fChannel="All",$F216=fChannel)),1,0))</f>
        <v>0</v>
      </c>
      <c r="AK216" s="71">
        <f>IF($G216="",0,IF(OR($M216="Completed",$M216="Cancelled"),0,1))</f>
        <v>0</v>
      </c>
      <c r="AL216" s="71">
        <f>IF(AND($AK216=1,ISNUMBER($L216)),IF($L216&lt;ReportDate,1,0),0)</f>
        <v>0</v>
      </c>
      <c r="AM216" s="71">
        <f>IF(AND($G216&lt;&gt;"",$M216="Blocked"),1,0)</f>
        <v>0</v>
      </c>
      <c r="AN216" s="71">
        <f>IF(AND($AK216=1,ISNUMBER($L216)),IF($L216=ReportDate,1,0),0)</f>
        <v>0</v>
      </c>
      <c r="AO216" s="71">
        <f>IF(AND($AK216=1,ISNUMBER($L216)),IF($L216=ReportDate+1,1,0),0)</f>
        <v>0</v>
      </c>
      <c r="AP216" s="71">
        <f>IF(AND($AK216=1,ISNUMBER($L216)),IF(AND($L216&gt;=ReportDate,$L216&lt;=ReportDate+DueSoonDays),1,0),0)</f>
        <v>0</v>
      </c>
      <c r="AQ216" s="71">
        <f>IF(AND($AK216=1,OR($I216="Critical",$I216="High")),1,0)</f>
        <v>0</v>
      </c>
      <c r="AR216" s="71">
        <f>IF($AK216=1,IF(ISNUMBER($Y216),IF(ReportDate-$Y216&gt;StaleDays,1,0),1),0)</f>
        <v>0</v>
      </c>
      <c r="AS216" s="71">
        <f>IF(AND($G216&lt;&gt;"",ISNUMBER($Q216),ISNUMBER($R216)),IF(AND($Q216&lt;$R216,OR($M216="Completed",AND(ISNUMBER($L216),$L216&lt;ReportDate))),1,0),0)</f>
        <v>0</v>
      </c>
      <c r="AT216" s="71">
        <f>IF($AK216=1,IF(OR($L216=ReportDate,$W216=ReportDate,$K216=ReportDate,$A216=ReportDate),1,0),0)</f>
        <v>0</v>
      </c>
      <c r="AU216" s="71">
        <f>IF($AK216=1,IF(OR($L216=ReportDate+1,$W216=ReportDate+1,$K216=ReportDate+1,$A216=ReportDate+1),1,0),0)</f>
        <v>0</v>
      </c>
      <c r="AV216" s="71">
        <f>IF(AND($G216&lt;&gt;"",$M216="Completed"),IF(OR($Y216=ReportDate-1,$A216=ReportDate-1),1,0),0)</f>
        <v>0</v>
      </c>
      <c r="AW216" s="71">
        <f>IF(AND($AK216=1,$Z216="Yes"),1,0)</f>
        <v>0</v>
      </c>
      <c r="AX216" s="71">
        <f>IF(AND($AK216=1,$AA216="Yes"),1,0)</f>
        <v>0</v>
      </c>
      <c r="AY216" s="71">
        <f>IF(AND($AM216=1,OR($I216="Critical",$I216="High")),1,0)</f>
        <v>0</v>
      </c>
      <c r="AZ216" s="71">
        <f>IF(AND($AK216=1,OR($C216=TCL_Client,$C216=MECCA_Client)),1,0)</f>
        <v>0</v>
      </c>
      <c r="BA216" s="71" t="str">
        <f>IF($G216="","",IFERROR(MATCH($I216,lst_Priority,0),5))</f>
        <v/>
      </c>
      <c r="BB216" s="71" t="str">
        <f>IF(AND($AL216=1,$AJ216=1),$BA216*100000+ROW(),"")</f>
        <v/>
      </c>
      <c r="BC216" s="71" t="str">
        <f>IF(AND($AM216=1,$AJ216=1),$BA216*100000+ROW(),"")</f>
        <v/>
      </c>
      <c r="BD216" s="71" t="str">
        <f>IF(AND($AP216=1,$AJ216=1),$BA216*100000+ROW(),"")</f>
        <v/>
      </c>
      <c r="BE216" s="71" t="str">
        <f>IF(AND($AT216=1,$AJ216=1),$BA216*100000+ROW(),"")</f>
        <v/>
      </c>
      <c r="BF216" s="71" t="str">
        <f>IF(AND($AU216=1,$AJ216=1),$BA216*100000+ROW(),"")</f>
        <v/>
      </c>
      <c r="BG216" s="71" t="str">
        <f>IF(AND($AV216=1,$AJ216=1),$BA216*100000+ROW(),"")</f>
        <v/>
      </c>
      <c r="BH216" s="71" t="str">
        <f>IF(AND($AW216=1,$AJ216=1),$BA216*100000+ROW(),"")</f>
        <v/>
      </c>
      <c r="BI216" s="71" t="str">
        <f>IF(AND($AX216=1,$AJ216=1),$BA216*100000+ROW(),"")</f>
        <v/>
      </c>
      <c r="BJ216" s="71" t="str">
        <f>IF(AND($AS216=1,$AJ216=1),$BA216*100000+ROW(),"")</f>
        <v/>
      </c>
      <c r="BK216" s="71" t="str">
        <f>IF(AND($AY216=1,$AJ216=1),$BA216*100000+ROW(),"")</f>
        <v/>
      </c>
      <c r="BL216" s="71" t="str">
        <f>IF(AND($AZ216=1),$BA216*100000+ROW(),"")</f>
        <v/>
      </c>
    </row>
    <row r="217">
      <c r="A217" s="63" t="n"/>
      <c r="B217" s="64" t="n"/>
      <c r="C217" s="64" t="n"/>
      <c r="D217" s="64" t="n"/>
      <c r="E217" s="64" t="n"/>
      <c r="F217" s="64" t="n"/>
      <c r="G217" s="65" t="n"/>
      <c r="H217" s="65" t="n"/>
      <c r="I217" s="64" t="n"/>
      <c r="J217" s="64" t="n"/>
      <c r="K217" s="63" t="n"/>
      <c r="L217" s="63" t="n"/>
      <c r="M217" s="64" t="n"/>
      <c r="N217" s="66" t="n"/>
      <c r="O217" s="65" t="n"/>
      <c r="P217" s="64" t="n"/>
      <c r="Q217" s="67" t="n"/>
      <c r="R217" s="67" t="n"/>
      <c r="S217" s="68" t="str">
        <f>IF(AND(ISNUMBER($Q217),ISNUMBER($R217)),$Q217-$R217,"")</f>
        <v/>
      </c>
      <c r="T217" s="65" t="n"/>
      <c r="U217" s="64" t="n"/>
      <c r="V217" s="65" t="n"/>
      <c r="W217" s="63" t="n"/>
      <c r="X217" s="65" t="n"/>
      <c r="Y217" s="63" t="n"/>
      <c r="Z217" s="64" t="n"/>
      <c r="AA217" s="64" t="n"/>
      <c r="AB217" s="65" t="n"/>
      <c r="AC217" s="69" t="str">
        <f>IF(OR($G217="",NOT(ISNUMBER($K217)),$AK217=0),"",MAX(0,ReportDate-$K217))</f>
        <v/>
      </c>
      <c r="AD217" s="69" t="str">
        <f>IF($G217="","",IF($AL217=1,ReportDate-$L217,0))</f>
        <v/>
      </c>
      <c r="AE217" s="70" t="str">
        <f>IF($G217="","",IF($M217="Completed",1,IF(ISNUMBER($N217),$N217,0)))</f>
        <v/>
      </c>
      <c r="AF217" s="70" t="str">
        <f>IF(AND(ISNUMBER($Q217),ISNUMBER($R217)),IF($R217&lt;&gt;0,$Q217/$R217,""),"")</f>
        <v/>
      </c>
      <c r="AG217" s="71" t="str">
        <f>IF($G217="","",IF($AL217=1,"OVERDUE",IF($AM217=1,"BLOCKED",IF($AN217=1,"DUE TODAY",IF($AO217=1,"DUE TOMORROW",IF($AQ217=1,"HIGH PRIORITY",IF($AR217=1,"NO RECENT UPDATE",""))))))) </f>
        <v/>
      </c>
      <c r="AH217" s="71" t="str">
        <f>IF($G217="","",IF(ISNUMBER($A217),IF(ISNUMBER($A217),YEAR($A217)&amp;"-"&amp;TEXT(MONTH($A217),"00"),""),IF(ISNUMBER($L217),IF(ISNUMBER($L217),YEAR($L217)&amp;"-"&amp;TEXT(MONTH($L217),"00"),""),"")))</f>
        <v/>
      </c>
      <c r="AI217" s="71">
        <f>IF($G217="",0,IF(AND(OR(fClient="All",$C217=fClient),OR(fCampaign="All",$D217=fCampaign),OR(fTeam="All",$B217=fTeam),OR(fChannel="All",$F217=fChannel),OR(fMonth="All",$AH217=fMonth),OR(fTStatus="All",$M217=fTStatus)),1,0))</f>
        <v>0</v>
      </c>
      <c r="AJ217" s="71">
        <f>IF($G217="",0,IF(AND(OR(fClient="All",$C217=fClient),OR(fCampaign="All",$D217=fCampaign),OR(fTeam="All",$B217=fTeam),OR(fChannel="All",$F217=fChannel)),1,0))</f>
        <v>0</v>
      </c>
      <c r="AK217" s="71">
        <f>IF($G217="",0,IF(OR($M217="Completed",$M217="Cancelled"),0,1))</f>
        <v>0</v>
      </c>
      <c r="AL217" s="71">
        <f>IF(AND($AK217=1,ISNUMBER($L217)),IF($L217&lt;ReportDate,1,0),0)</f>
        <v>0</v>
      </c>
      <c r="AM217" s="71">
        <f>IF(AND($G217&lt;&gt;"",$M217="Blocked"),1,0)</f>
        <v>0</v>
      </c>
      <c r="AN217" s="71">
        <f>IF(AND($AK217=1,ISNUMBER($L217)),IF($L217=ReportDate,1,0),0)</f>
        <v>0</v>
      </c>
      <c r="AO217" s="71">
        <f>IF(AND($AK217=1,ISNUMBER($L217)),IF($L217=ReportDate+1,1,0),0)</f>
        <v>0</v>
      </c>
      <c r="AP217" s="71">
        <f>IF(AND($AK217=1,ISNUMBER($L217)),IF(AND($L217&gt;=ReportDate,$L217&lt;=ReportDate+DueSoonDays),1,0),0)</f>
        <v>0</v>
      </c>
      <c r="AQ217" s="71">
        <f>IF(AND($AK217=1,OR($I217="Critical",$I217="High")),1,0)</f>
        <v>0</v>
      </c>
      <c r="AR217" s="71">
        <f>IF($AK217=1,IF(ISNUMBER($Y217),IF(ReportDate-$Y217&gt;StaleDays,1,0),1),0)</f>
        <v>0</v>
      </c>
      <c r="AS217" s="71">
        <f>IF(AND($G217&lt;&gt;"",ISNUMBER($Q217),ISNUMBER($R217)),IF(AND($Q217&lt;$R217,OR($M217="Completed",AND(ISNUMBER($L217),$L217&lt;ReportDate))),1,0),0)</f>
        <v>0</v>
      </c>
      <c r="AT217" s="71">
        <f>IF($AK217=1,IF(OR($L217=ReportDate,$W217=ReportDate,$K217=ReportDate,$A217=ReportDate),1,0),0)</f>
        <v>0</v>
      </c>
      <c r="AU217" s="71">
        <f>IF($AK217=1,IF(OR($L217=ReportDate+1,$W217=ReportDate+1,$K217=ReportDate+1,$A217=ReportDate+1),1,0),0)</f>
        <v>0</v>
      </c>
      <c r="AV217" s="71">
        <f>IF(AND($G217&lt;&gt;"",$M217="Completed"),IF(OR($Y217=ReportDate-1,$A217=ReportDate-1),1,0),0)</f>
        <v>0</v>
      </c>
      <c r="AW217" s="71">
        <f>IF(AND($AK217=1,$Z217="Yes"),1,0)</f>
        <v>0</v>
      </c>
      <c r="AX217" s="71">
        <f>IF(AND($AK217=1,$AA217="Yes"),1,0)</f>
        <v>0</v>
      </c>
      <c r="AY217" s="71">
        <f>IF(AND($AM217=1,OR($I217="Critical",$I217="High")),1,0)</f>
        <v>0</v>
      </c>
      <c r="AZ217" s="71">
        <f>IF(AND($AK217=1,OR($C217=TCL_Client,$C217=MECCA_Client)),1,0)</f>
        <v>0</v>
      </c>
      <c r="BA217" s="71" t="str">
        <f>IF($G217="","",IFERROR(MATCH($I217,lst_Priority,0),5))</f>
        <v/>
      </c>
      <c r="BB217" s="71" t="str">
        <f>IF(AND($AL217=1,$AJ217=1),$BA217*100000+ROW(),"")</f>
        <v/>
      </c>
      <c r="BC217" s="71" t="str">
        <f>IF(AND($AM217=1,$AJ217=1),$BA217*100000+ROW(),"")</f>
        <v/>
      </c>
      <c r="BD217" s="71" t="str">
        <f>IF(AND($AP217=1,$AJ217=1),$BA217*100000+ROW(),"")</f>
        <v/>
      </c>
      <c r="BE217" s="71" t="str">
        <f>IF(AND($AT217=1,$AJ217=1),$BA217*100000+ROW(),"")</f>
        <v/>
      </c>
      <c r="BF217" s="71" t="str">
        <f>IF(AND($AU217=1,$AJ217=1),$BA217*100000+ROW(),"")</f>
        <v/>
      </c>
      <c r="BG217" s="71" t="str">
        <f>IF(AND($AV217=1,$AJ217=1),$BA217*100000+ROW(),"")</f>
        <v/>
      </c>
      <c r="BH217" s="71" t="str">
        <f>IF(AND($AW217=1,$AJ217=1),$BA217*100000+ROW(),"")</f>
        <v/>
      </c>
      <c r="BI217" s="71" t="str">
        <f>IF(AND($AX217=1,$AJ217=1),$BA217*100000+ROW(),"")</f>
        <v/>
      </c>
      <c r="BJ217" s="71" t="str">
        <f>IF(AND($AS217=1,$AJ217=1),$BA217*100000+ROW(),"")</f>
        <v/>
      </c>
      <c r="BK217" s="71" t="str">
        <f>IF(AND($AY217=1,$AJ217=1),$BA217*100000+ROW(),"")</f>
        <v/>
      </c>
      <c r="BL217" s="71" t="str">
        <f>IF(AND($AZ217=1),$BA217*100000+ROW(),"")</f>
        <v/>
      </c>
    </row>
    <row r="218">
      <c r="A218" s="63" t="n"/>
      <c r="B218" s="64" t="n"/>
      <c r="C218" s="64" t="n"/>
      <c r="D218" s="64" t="n"/>
      <c r="E218" s="64" t="n"/>
      <c r="F218" s="64" t="n"/>
      <c r="G218" s="65" t="n"/>
      <c r="H218" s="65" t="n"/>
      <c r="I218" s="64" t="n"/>
      <c r="J218" s="64" t="n"/>
      <c r="K218" s="63" t="n"/>
      <c r="L218" s="63" t="n"/>
      <c r="M218" s="64" t="n"/>
      <c r="N218" s="66" t="n"/>
      <c r="O218" s="65" t="n"/>
      <c r="P218" s="64" t="n"/>
      <c r="Q218" s="67" t="n"/>
      <c r="R218" s="67" t="n"/>
      <c r="S218" s="68" t="str">
        <f>IF(AND(ISNUMBER($Q218),ISNUMBER($R218)),$Q218-$R218,"")</f>
        <v/>
      </c>
      <c r="T218" s="65" t="n"/>
      <c r="U218" s="64" t="n"/>
      <c r="V218" s="65" t="n"/>
      <c r="W218" s="63" t="n"/>
      <c r="X218" s="65" t="n"/>
      <c r="Y218" s="63" t="n"/>
      <c r="Z218" s="64" t="n"/>
      <c r="AA218" s="64" t="n"/>
      <c r="AB218" s="65" t="n"/>
      <c r="AC218" s="69" t="str">
        <f>IF(OR($G218="",NOT(ISNUMBER($K218)),$AK218=0),"",MAX(0,ReportDate-$K218))</f>
        <v/>
      </c>
      <c r="AD218" s="69" t="str">
        <f>IF($G218="","",IF($AL218=1,ReportDate-$L218,0))</f>
        <v/>
      </c>
      <c r="AE218" s="70" t="str">
        <f>IF($G218="","",IF($M218="Completed",1,IF(ISNUMBER($N218),$N218,0)))</f>
        <v/>
      </c>
      <c r="AF218" s="70" t="str">
        <f>IF(AND(ISNUMBER($Q218),ISNUMBER($R218)),IF($R218&lt;&gt;0,$Q218/$R218,""),"")</f>
        <v/>
      </c>
      <c r="AG218" s="71" t="str">
        <f>IF($G218="","",IF($AL218=1,"OVERDUE",IF($AM218=1,"BLOCKED",IF($AN218=1,"DUE TODAY",IF($AO218=1,"DUE TOMORROW",IF($AQ218=1,"HIGH PRIORITY",IF($AR218=1,"NO RECENT UPDATE",""))))))) </f>
        <v/>
      </c>
      <c r="AH218" s="71" t="str">
        <f>IF($G218="","",IF(ISNUMBER($A218),IF(ISNUMBER($A218),YEAR($A218)&amp;"-"&amp;TEXT(MONTH($A218),"00"),""),IF(ISNUMBER($L218),IF(ISNUMBER($L218),YEAR($L218)&amp;"-"&amp;TEXT(MONTH($L218),"00"),""),"")))</f>
        <v/>
      </c>
      <c r="AI218" s="71">
        <f>IF($G218="",0,IF(AND(OR(fClient="All",$C218=fClient),OR(fCampaign="All",$D218=fCampaign),OR(fTeam="All",$B218=fTeam),OR(fChannel="All",$F218=fChannel),OR(fMonth="All",$AH218=fMonth),OR(fTStatus="All",$M218=fTStatus)),1,0))</f>
        <v>0</v>
      </c>
      <c r="AJ218" s="71">
        <f>IF($G218="",0,IF(AND(OR(fClient="All",$C218=fClient),OR(fCampaign="All",$D218=fCampaign),OR(fTeam="All",$B218=fTeam),OR(fChannel="All",$F218=fChannel)),1,0))</f>
        <v>0</v>
      </c>
      <c r="AK218" s="71">
        <f>IF($G218="",0,IF(OR($M218="Completed",$M218="Cancelled"),0,1))</f>
        <v>0</v>
      </c>
      <c r="AL218" s="71">
        <f>IF(AND($AK218=1,ISNUMBER($L218)),IF($L218&lt;ReportDate,1,0),0)</f>
        <v>0</v>
      </c>
      <c r="AM218" s="71">
        <f>IF(AND($G218&lt;&gt;"",$M218="Blocked"),1,0)</f>
        <v>0</v>
      </c>
      <c r="AN218" s="71">
        <f>IF(AND($AK218=1,ISNUMBER($L218)),IF($L218=ReportDate,1,0),0)</f>
        <v>0</v>
      </c>
      <c r="AO218" s="71">
        <f>IF(AND($AK218=1,ISNUMBER($L218)),IF($L218=ReportDate+1,1,0),0)</f>
        <v>0</v>
      </c>
      <c r="AP218" s="71">
        <f>IF(AND($AK218=1,ISNUMBER($L218)),IF(AND($L218&gt;=ReportDate,$L218&lt;=ReportDate+DueSoonDays),1,0),0)</f>
        <v>0</v>
      </c>
      <c r="AQ218" s="71">
        <f>IF(AND($AK218=1,OR($I218="Critical",$I218="High")),1,0)</f>
        <v>0</v>
      </c>
      <c r="AR218" s="71">
        <f>IF($AK218=1,IF(ISNUMBER($Y218),IF(ReportDate-$Y218&gt;StaleDays,1,0),1),0)</f>
        <v>0</v>
      </c>
      <c r="AS218" s="71">
        <f>IF(AND($G218&lt;&gt;"",ISNUMBER($Q218),ISNUMBER($R218)),IF(AND($Q218&lt;$R218,OR($M218="Completed",AND(ISNUMBER($L218),$L218&lt;ReportDate))),1,0),0)</f>
        <v>0</v>
      </c>
      <c r="AT218" s="71">
        <f>IF($AK218=1,IF(OR($L218=ReportDate,$W218=ReportDate,$K218=ReportDate,$A218=ReportDate),1,0),0)</f>
        <v>0</v>
      </c>
      <c r="AU218" s="71">
        <f>IF($AK218=1,IF(OR($L218=ReportDate+1,$W218=ReportDate+1,$K218=ReportDate+1,$A218=ReportDate+1),1,0),0)</f>
        <v>0</v>
      </c>
      <c r="AV218" s="71">
        <f>IF(AND($G218&lt;&gt;"",$M218="Completed"),IF(OR($Y218=ReportDate-1,$A218=ReportDate-1),1,0),0)</f>
        <v>0</v>
      </c>
      <c r="AW218" s="71">
        <f>IF(AND($AK218=1,$Z218="Yes"),1,0)</f>
        <v>0</v>
      </c>
      <c r="AX218" s="71">
        <f>IF(AND($AK218=1,$AA218="Yes"),1,0)</f>
        <v>0</v>
      </c>
      <c r="AY218" s="71">
        <f>IF(AND($AM218=1,OR($I218="Critical",$I218="High")),1,0)</f>
        <v>0</v>
      </c>
      <c r="AZ218" s="71">
        <f>IF(AND($AK218=1,OR($C218=TCL_Client,$C218=MECCA_Client)),1,0)</f>
        <v>0</v>
      </c>
      <c r="BA218" s="71" t="str">
        <f>IF($G218="","",IFERROR(MATCH($I218,lst_Priority,0),5))</f>
        <v/>
      </c>
      <c r="BB218" s="71" t="str">
        <f>IF(AND($AL218=1,$AJ218=1),$BA218*100000+ROW(),"")</f>
        <v/>
      </c>
      <c r="BC218" s="71" t="str">
        <f>IF(AND($AM218=1,$AJ218=1),$BA218*100000+ROW(),"")</f>
        <v/>
      </c>
      <c r="BD218" s="71" t="str">
        <f>IF(AND($AP218=1,$AJ218=1),$BA218*100000+ROW(),"")</f>
        <v/>
      </c>
      <c r="BE218" s="71" t="str">
        <f>IF(AND($AT218=1,$AJ218=1),$BA218*100000+ROW(),"")</f>
        <v/>
      </c>
      <c r="BF218" s="71" t="str">
        <f>IF(AND($AU218=1,$AJ218=1),$BA218*100000+ROW(),"")</f>
        <v/>
      </c>
      <c r="BG218" s="71" t="str">
        <f>IF(AND($AV218=1,$AJ218=1),$BA218*100000+ROW(),"")</f>
        <v/>
      </c>
      <c r="BH218" s="71" t="str">
        <f>IF(AND($AW218=1,$AJ218=1),$BA218*100000+ROW(),"")</f>
        <v/>
      </c>
      <c r="BI218" s="71" t="str">
        <f>IF(AND($AX218=1,$AJ218=1),$BA218*100000+ROW(),"")</f>
        <v/>
      </c>
      <c r="BJ218" s="71" t="str">
        <f>IF(AND($AS218=1,$AJ218=1),$BA218*100000+ROW(),"")</f>
        <v/>
      </c>
      <c r="BK218" s="71" t="str">
        <f>IF(AND($AY218=1,$AJ218=1),$BA218*100000+ROW(),"")</f>
        <v/>
      </c>
      <c r="BL218" s="71" t="str">
        <f>IF(AND($AZ218=1),$BA218*100000+ROW(),"")</f>
        <v/>
      </c>
    </row>
    <row r="219">
      <c r="A219" s="63" t="n"/>
      <c r="B219" s="64" t="n"/>
      <c r="C219" s="64" t="n"/>
      <c r="D219" s="64" t="n"/>
      <c r="E219" s="64" t="n"/>
      <c r="F219" s="64" t="n"/>
      <c r="G219" s="65" t="n"/>
      <c r="H219" s="65" t="n"/>
      <c r="I219" s="64" t="n"/>
      <c r="J219" s="64" t="n"/>
      <c r="K219" s="63" t="n"/>
      <c r="L219" s="63" t="n"/>
      <c r="M219" s="64" t="n"/>
      <c r="N219" s="66" t="n"/>
      <c r="O219" s="65" t="n"/>
      <c r="P219" s="64" t="n"/>
      <c r="Q219" s="67" t="n"/>
      <c r="R219" s="67" t="n"/>
      <c r="S219" s="68" t="str">
        <f>IF(AND(ISNUMBER($Q219),ISNUMBER($R219)),$Q219-$R219,"")</f>
        <v/>
      </c>
      <c r="T219" s="65" t="n"/>
      <c r="U219" s="64" t="n"/>
      <c r="V219" s="65" t="n"/>
      <c r="W219" s="63" t="n"/>
      <c r="X219" s="65" t="n"/>
      <c r="Y219" s="63" t="n"/>
      <c r="Z219" s="64" t="n"/>
      <c r="AA219" s="64" t="n"/>
      <c r="AB219" s="65" t="n"/>
      <c r="AC219" s="69" t="str">
        <f>IF(OR($G219="",NOT(ISNUMBER($K219)),$AK219=0),"",MAX(0,ReportDate-$K219))</f>
        <v/>
      </c>
      <c r="AD219" s="69" t="str">
        <f>IF($G219="","",IF($AL219=1,ReportDate-$L219,0))</f>
        <v/>
      </c>
      <c r="AE219" s="70" t="str">
        <f>IF($G219="","",IF($M219="Completed",1,IF(ISNUMBER($N219),$N219,0)))</f>
        <v/>
      </c>
      <c r="AF219" s="70" t="str">
        <f>IF(AND(ISNUMBER($Q219),ISNUMBER($R219)),IF($R219&lt;&gt;0,$Q219/$R219,""),"")</f>
        <v/>
      </c>
      <c r="AG219" s="71" t="str">
        <f>IF($G219="","",IF($AL219=1,"OVERDUE",IF($AM219=1,"BLOCKED",IF($AN219=1,"DUE TODAY",IF($AO219=1,"DUE TOMORROW",IF($AQ219=1,"HIGH PRIORITY",IF($AR219=1,"NO RECENT UPDATE",""))))))) </f>
        <v/>
      </c>
      <c r="AH219" s="71" t="str">
        <f>IF($G219="","",IF(ISNUMBER($A219),IF(ISNUMBER($A219),YEAR($A219)&amp;"-"&amp;TEXT(MONTH($A219),"00"),""),IF(ISNUMBER($L219),IF(ISNUMBER($L219),YEAR($L219)&amp;"-"&amp;TEXT(MONTH($L219),"00"),""),"")))</f>
        <v/>
      </c>
      <c r="AI219" s="71">
        <f>IF($G219="",0,IF(AND(OR(fClient="All",$C219=fClient),OR(fCampaign="All",$D219=fCampaign),OR(fTeam="All",$B219=fTeam),OR(fChannel="All",$F219=fChannel),OR(fMonth="All",$AH219=fMonth),OR(fTStatus="All",$M219=fTStatus)),1,0))</f>
        <v>0</v>
      </c>
      <c r="AJ219" s="71">
        <f>IF($G219="",0,IF(AND(OR(fClient="All",$C219=fClient),OR(fCampaign="All",$D219=fCampaign),OR(fTeam="All",$B219=fTeam),OR(fChannel="All",$F219=fChannel)),1,0))</f>
        <v>0</v>
      </c>
      <c r="AK219" s="71">
        <f>IF($G219="",0,IF(OR($M219="Completed",$M219="Cancelled"),0,1))</f>
        <v>0</v>
      </c>
      <c r="AL219" s="71">
        <f>IF(AND($AK219=1,ISNUMBER($L219)),IF($L219&lt;ReportDate,1,0),0)</f>
        <v>0</v>
      </c>
      <c r="AM219" s="71">
        <f>IF(AND($G219&lt;&gt;"",$M219="Blocked"),1,0)</f>
        <v>0</v>
      </c>
      <c r="AN219" s="71">
        <f>IF(AND($AK219=1,ISNUMBER($L219)),IF($L219=ReportDate,1,0),0)</f>
        <v>0</v>
      </c>
      <c r="AO219" s="71">
        <f>IF(AND($AK219=1,ISNUMBER($L219)),IF($L219=ReportDate+1,1,0),0)</f>
        <v>0</v>
      </c>
      <c r="AP219" s="71">
        <f>IF(AND($AK219=1,ISNUMBER($L219)),IF(AND($L219&gt;=ReportDate,$L219&lt;=ReportDate+DueSoonDays),1,0),0)</f>
        <v>0</v>
      </c>
      <c r="AQ219" s="71">
        <f>IF(AND($AK219=1,OR($I219="Critical",$I219="High")),1,0)</f>
        <v>0</v>
      </c>
      <c r="AR219" s="71">
        <f>IF($AK219=1,IF(ISNUMBER($Y219),IF(ReportDate-$Y219&gt;StaleDays,1,0),1),0)</f>
        <v>0</v>
      </c>
      <c r="AS219" s="71">
        <f>IF(AND($G219&lt;&gt;"",ISNUMBER($Q219),ISNUMBER($R219)),IF(AND($Q219&lt;$R219,OR($M219="Completed",AND(ISNUMBER($L219),$L219&lt;ReportDate))),1,0),0)</f>
        <v>0</v>
      </c>
      <c r="AT219" s="71">
        <f>IF($AK219=1,IF(OR($L219=ReportDate,$W219=ReportDate,$K219=ReportDate,$A219=ReportDate),1,0),0)</f>
        <v>0</v>
      </c>
      <c r="AU219" s="71">
        <f>IF($AK219=1,IF(OR($L219=ReportDate+1,$W219=ReportDate+1,$K219=ReportDate+1,$A219=ReportDate+1),1,0),0)</f>
        <v>0</v>
      </c>
      <c r="AV219" s="71">
        <f>IF(AND($G219&lt;&gt;"",$M219="Completed"),IF(OR($Y219=ReportDate-1,$A219=ReportDate-1),1,0),0)</f>
        <v>0</v>
      </c>
      <c r="AW219" s="71">
        <f>IF(AND($AK219=1,$Z219="Yes"),1,0)</f>
        <v>0</v>
      </c>
      <c r="AX219" s="71">
        <f>IF(AND($AK219=1,$AA219="Yes"),1,0)</f>
        <v>0</v>
      </c>
      <c r="AY219" s="71">
        <f>IF(AND($AM219=1,OR($I219="Critical",$I219="High")),1,0)</f>
        <v>0</v>
      </c>
      <c r="AZ219" s="71">
        <f>IF(AND($AK219=1,OR($C219=TCL_Client,$C219=MECCA_Client)),1,0)</f>
        <v>0</v>
      </c>
      <c r="BA219" s="71" t="str">
        <f>IF($G219="","",IFERROR(MATCH($I219,lst_Priority,0),5))</f>
        <v/>
      </c>
      <c r="BB219" s="71" t="str">
        <f>IF(AND($AL219=1,$AJ219=1),$BA219*100000+ROW(),"")</f>
        <v/>
      </c>
      <c r="BC219" s="71" t="str">
        <f>IF(AND($AM219=1,$AJ219=1),$BA219*100000+ROW(),"")</f>
        <v/>
      </c>
      <c r="BD219" s="71" t="str">
        <f>IF(AND($AP219=1,$AJ219=1),$BA219*100000+ROW(),"")</f>
        <v/>
      </c>
      <c r="BE219" s="71" t="str">
        <f>IF(AND($AT219=1,$AJ219=1),$BA219*100000+ROW(),"")</f>
        <v/>
      </c>
      <c r="BF219" s="71" t="str">
        <f>IF(AND($AU219=1,$AJ219=1),$BA219*100000+ROW(),"")</f>
        <v/>
      </c>
      <c r="BG219" s="71" t="str">
        <f>IF(AND($AV219=1,$AJ219=1),$BA219*100000+ROW(),"")</f>
        <v/>
      </c>
      <c r="BH219" s="71" t="str">
        <f>IF(AND($AW219=1,$AJ219=1),$BA219*100000+ROW(),"")</f>
        <v/>
      </c>
      <c r="BI219" s="71" t="str">
        <f>IF(AND($AX219=1,$AJ219=1),$BA219*100000+ROW(),"")</f>
        <v/>
      </c>
      <c r="BJ219" s="71" t="str">
        <f>IF(AND($AS219=1,$AJ219=1),$BA219*100000+ROW(),"")</f>
        <v/>
      </c>
      <c r="BK219" s="71" t="str">
        <f>IF(AND($AY219=1,$AJ219=1),$BA219*100000+ROW(),"")</f>
        <v/>
      </c>
      <c r="BL219" s="71" t="str">
        <f>IF(AND($AZ219=1),$BA219*100000+ROW(),"")</f>
        <v/>
      </c>
    </row>
    <row r="220">
      <c r="A220" s="63" t="n"/>
      <c r="B220" s="64" t="n"/>
      <c r="C220" s="64" t="n"/>
      <c r="D220" s="64" t="n"/>
      <c r="E220" s="64" t="n"/>
      <c r="F220" s="64" t="n"/>
      <c r="G220" s="65" t="n"/>
      <c r="H220" s="65" t="n"/>
      <c r="I220" s="64" t="n"/>
      <c r="J220" s="64" t="n"/>
      <c r="K220" s="63" t="n"/>
      <c r="L220" s="63" t="n"/>
      <c r="M220" s="64" t="n"/>
      <c r="N220" s="66" t="n"/>
      <c r="O220" s="65" t="n"/>
      <c r="P220" s="64" t="n"/>
      <c r="Q220" s="67" t="n"/>
      <c r="R220" s="67" t="n"/>
      <c r="S220" s="68" t="str">
        <f>IF(AND(ISNUMBER($Q220),ISNUMBER($R220)),$Q220-$R220,"")</f>
        <v/>
      </c>
      <c r="T220" s="65" t="n"/>
      <c r="U220" s="64" t="n"/>
      <c r="V220" s="65" t="n"/>
      <c r="W220" s="63" t="n"/>
      <c r="X220" s="65" t="n"/>
      <c r="Y220" s="63" t="n"/>
      <c r="Z220" s="64" t="n"/>
      <c r="AA220" s="64" t="n"/>
      <c r="AB220" s="65" t="n"/>
      <c r="AC220" s="69" t="str">
        <f>IF(OR($G220="",NOT(ISNUMBER($K220)),$AK220=0),"",MAX(0,ReportDate-$K220))</f>
        <v/>
      </c>
      <c r="AD220" s="69" t="str">
        <f>IF($G220="","",IF($AL220=1,ReportDate-$L220,0))</f>
        <v/>
      </c>
      <c r="AE220" s="70" t="str">
        <f>IF($G220="","",IF($M220="Completed",1,IF(ISNUMBER($N220),$N220,0)))</f>
        <v/>
      </c>
      <c r="AF220" s="70" t="str">
        <f>IF(AND(ISNUMBER($Q220),ISNUMBER($R220)),IF($R220&lt;&gt;0,$Q220/$R220,""),"")</f>
        <v/>
      </c>
      <c r="AG220" s="71" t="str">
        <f>IF($G220="","",IF($AL220=1,"OVERDUE",IF($AM220=1,"BLOCKED",IF($AN220=1,"DUE TODAY",IF($AO220=1,"DUE TOMORROW",IF($AQ220=1,"HIGH PRIORITY",IF($AR220=1,"NO RECENT UPDATE",""))))))) </f>
        <v/>
      </c>
      <c r="AH220" s="71" t="str">
        <f>IF($G220="","",IF(ISNUMBER($A220),IF(ISNUMBER($A220),YEAR($A220)&amp;"-"&amp;TEXT(MONTH($A220),"00"),""),IF(ISNUMBER($L220),IF(ISNUMBER($L220),YEAR($L220)&amp;"-"&amp;TEXT(MONTH($L220),"00"),""),"")))</f>
        <v/>
      </c>
      <c r="AI220" s="71">
        <f>IF($G220="",0,IF(AND(OR(fClient="All",$C220=fClient),OR(fCampaign="All",$D220=fCampaign),OR(fTeam="All",$B220=fTeam),OR(fChannel="All",$F220=fChannel),OR(fMonth="All",$AH220=fMonth),OR(fTStatus="All",$M220=fTStatus)),1,0))</f>
        <v>0</v>
      </c>
      <c r="AJ220" s="71">
        <f>IF($G220="",0,IF(AND(OR(fClient="All",$C220=fClient),OR(fCampaign="All",$D220=fCampaign),OR(fTeam="All",$B220=fTeam),OR(fChannel="All",$F220=fChannel)),1,0))</f>
        <v>0</v>
      </c>
      <c r="AK220" s="71">
        <f>IF($G220="",0,IF(OR($M220="Completed",$M220="Cancelled"),0,1))</f>
        <v>0</v>
      </c>
      <c r="AL220" s="71">
        <f>IF(AND($AK220=1,ISNUMBER($L220)),IF($L220&lt;ReportDate,1,0),0)</f>
        <v>0</v>
      </c>
      <c r="AM220" s="71">
        <f>IF(AND($G220&lt;&gt;"",$M220="Blocked"),1,0)</f>
        <v>0</v>
      </c>
      <c r="AN220" s="71">
        <f>IF(AND($AK220=1,ISNUMBER($L220)),IF($L220=ReportDate,1,0),0)</f>
        <v>0</v>
      </c>
      <c r="AO220" s="71">
        <f>IF(AND($AK220=1,ISNUMBER($L220)),IF($L220=ReportDate+1,1,0),0)</f>
        <v>0</v>
      </c>
      <c r="AP220" s="71">
        <f>IF(AND($AK220=1,ISNUMBER($L220)),IF(AND($L220&gt;=ReportDate,$L220&lt;=ReportDate+DueSoonDays),1,0),0)</f>
        <v>0</v>
      </c>
      <c r="AQ220" s="71">
        <f>IF(AND($AK220=1,OR($I220="Critical",$I220="High")),1,0)</f>
        <v>0</v>
      </c>
      <c r="AR220" s="71">
        <f>IF($AK220=1,IF(ISNUMBER($Y220),IF(ReportDate-$Y220&gt;StaleDays,1,0),1),0)</f>
        <v>0</v>
      </c>
      <c r="AS220" s="71">
        <f>IF(AND($G220&lt;&gt;"",ISNUMBER($Q220),ISNUMBER($R220)),IF(AND($Q220&lt;$R220,OR($M220="Completed",AND(ISNUMBER($L220),$L220&lt;ReportDate))),1,0),0)</f>
        <v>0</v>
      </c>
      <c r="AT220" s="71">
        <f>IF($AK220=1,IF(OR($L220=ReportDate,$W220=ReportDate,$K220=ReportDate,$A220=ReportDate),1,0),0)</f>
        <v>0</v>
      </c>
      <c r="AU220" s="71">
        <f>IF($AK220=1,IF(OR($L220=ReportDate+1,$W220=ReportDate+1,$K220=ReportDate+1,$A220=ReportDate+1),1,0),0)</f>
        <v>0</v>
      </c>
      <c r="AV220" s="71">
        <f>IF(AND($G220&lt;&gt;"",$M220="Completed"),IF(OR($Y220=ReportDate-1,$A220=ReportDate-1),1,0),0)</f>
        <v>0</v>
      </c>
      <c r="AW220" s="71">
        <f>IF(AND($AK220=1,$Z220="Yes"),1,0)</f>
        <v>0</v>
      </c>
      <c r="AX220" s="71">
        <f>IF(AND($AK220=1,$AA220="Yes"),1,0)</f>
        <v>0</v>
      </c>
      <c r="AY220" s="71">
        <f>IF(AND($AM220=1,OR($I220="Critical",$I220="High")),1,0)</f>
        <v>0</v>
      </c>
      <c r="AZ220" s="71">
        <f>IF(AND($AK220=1,OR($C220=TCL_Client,$C220=MECCA_Client)),1,0)</f>
        <v>0</v>
      </c>
      <c r="BA220" s="71" t="str">
        <f>IF($G220="","",IFERROR(MATCH($I220,lst_Priority,0),5))</f>
        <v/>
      </c>
      <c r="BB220" s="71" t="str">
        <f>IF(AND($AL220=1,$AJ220=1),$BA220*100000+ROW(),"")</f>
        <v/>
      </c>
      <c r="BC220" s="71" t="str">
        <f>IF(AND($AM220=1,$AJ220=1),$BA220*100000+ROW(),"")</f>
        <v/>
      </c>
      <c r="BD220" s="71" t="str">
        <f>IF(AND($AP220=1,$AJ220=1),$BA220*100000+ROW(),"")</f>
        <v/>
      </c>
      <c r="BE220" s="71" t="str">
        <f>IF(AND($AT220=1,$AJ220=1),$BA220*100000+ROW(),"")</f>
        <v/>
      </c>
      <c r="BF220" s="71" t="str">
        <f>IF(AND($AU220=1,$AJ220=1),$BA220*100000+ROW(),"")</f>
        <v/>
      </c>
      <c r="BG220" s="71" t="str">
        <f>IF(AND($AV220=1,$AJ220=1),$BA220*100000+ROW(),"")</f>
        <v/>
      </c>
      <c r="BH220" s="71" t="str">
        <f>IF(AND($AW220=1,$AJ220=1),$BA220*100000+ROW(),"")</f>
        <v/>
      </c>
      <c r="BI220" s="71" t="str">
        <f>IF(AND($AX220=1,$AJ220=1),$BA220*100000+ROW(),"")</f>
        <v/>
      </c>
      <c r="BJ220" s="71" t="str">
        <f>IF(AND($AS220=1,$AJ220=1),$BA220*100000+ROW(),"")</f>
        <v/>
      </c>
      <c r="BK220" s="71" t="str">
        <f>IF(AND($AY220=1,$AJ220=1),$BA220*100000+ROW(),"")</f>
        <v/>
      </c>
      <c r="BL220" s="71" t="str">
        <f>IF(AND($AZ220=1),$BA220*100000+ROW(),"")</f>
        <v/>
      </c>
    </row>
    <row r="221">
      <c r="A221" s="63" t="n"/>
      <c r="B221" s="64" t="n"/>
      <c r="C221" s="64" t="n"/>
      <c r="D221" s="64" t="n"/>
      <c r="E221" s="64" t="n"/>
      <c r="F221" s="64" t="n"/>
      <c r="G221" s="65" t="n"/>
      <c r="H221" s="65" t="n"/>
      <c r="I221" s="64" t="n"/>
      <c r="J221" s="64" t="n"/>
      <c r="K221" s="63" t="n"/>
      <c r="L221" s="63" t="n"/>
      <c r="M221" s="64" t="n"/>
      <c r="N221" s="66" t="n"/>
      <c r="O221" s="65" t="n"/>
      <c r="P221" s="64" t="n"/>
      <c r="Q221" s="67" t="n"/>
      <c r="R221" s="67" t="n"/>
      <c r="S221" s="68" t="str">
        <f>IF(AND(ISNUMBER($Q221),ISNUMBER($R221)),$Q221-$R221,"")</f>
        <v/>
      </c>
      <c r="T221" s="65" t="n"/>
      <c r="U221" s="64" t="n"/>
      <c r="V221" s="65" t="n"/>
      <c r="W221" s="63" t="n"/>
      <c r="X221" s="65" t="n"/>
      <c r="Y221" s="63" t="n"/>
      <c r="Z221" s="64" t="n"/>
      <c r="AA221" s="64" t="n"/>
      <c r="AB221" s="65" t="n"/>
      <c r="AC221" s="69" t="str">
        <f>IF(OR($G221="",NOT(ISNUMBER($K221)),$AK221=0),"",MAX(0,ReportDate-$K221))</f>
        <v/>
      </c>
      <c r="AD221" s="69" t="str">
        <f>IF($G221="","",IF($AL221=1,ReportDate-$L221,0))</f>
        <v/>
      </c>
      <c r="AE221" s="70" t="str">
        <f>IF($G221="","",IF($M221="Completed",1,IF(ISNUMBER($N221),$N221,0)))</f>
        <v/>
      </c>
      <c r="AF221" s="70" t="str">
        <f>IF(AND(ISNUMBER($Q221),ISNUMBER($R221)),IF($R221&lt;&gt;0,$Q221/$R221,""),"")</f>
        <v/>
      </c>
      <c r="AG221" s="71" t="str">
        <f>IF($G221="","",IF($AL221=1,"OVERDUE",IF($AM221=1,"BLOCKED",IF($AN221=1,"DUE TODAY",IF($AO221=1,"DUE TOMORROW",IF($AQ221=1,"HIGH PRIORITY",IF($AR221=1,"NO RECENT UPDATE",""))))))) </f>
        <v/>
      </c>
      <c r="AH221" s="71" t="str">
        <f>IF($G221="","",IF(ISNUMBER($A221),IF(ISNUMBER($A221),YEAR($A221)&amp;"-"&amp;TEXT(MONTH($A221),"00"),""),IF(ISNUMBER($L221),IF(ISNUMBER($L221),YEAR($L221)&amp;"-"&amp;TEXT(MONTH($L221),"00"),""),"")))</f>
        <v/>
      </c>
      <c r="AI221" s="71">
        <f>IF($G221="",0,IF(AND(OR(fClient="All",$C221=fClient),OR(fCampaign="All",$D221=fCampaign),OR(fTeam="All",$B221=fTeam),OR(fChannel="All",$F221=fChannel),OR(fMonth="All",$AH221=fMonth),OR(fTStatus="All",$M221=fTStatus)),1,0))</f>
        <v>0</v>
      </c>
      <c r="AJ221" s="71">
        <f>IF($G221="",0,IF(AND(OR(fClient="All",$C221=fClient),OR(fCampaign="All",$D221=fCampaign),OR(fTeam="All",$B221=fTeam),OR(fChannel="All",$F221=fChannel)),1,0))</f>
        <v>0</v>
      </c>
      <c r="AK221" s="71">
        <f>IF($G221="",0,IF(OR($M221="Completed",$M221="Cancelled"),0,1))</f>
        <v>0</v>
      </c>
      <c r="AL221" s="71">
        <f>IF(AND($AK221=1,ISNUMBER($L221)),IF($L221&lt;ReportDate,1,0),0)</f>
        <v>0</v>
      </c>
      <c r="AM221" s="71">
        <f>IF(AND($G221&lt;&gt;"",$M221="Blocked"),1,0)</f>
        <v>0</v>
      </c>
      <c r="AN221" s="71">
        <f>IF(AND($AK221=1,ISNUMBER($L221)),IF($L221=ReportDate,1,0),0)</f>
        <v>0</v>
      </c>
      <c r="AO221" s="71">
        <f>IF(AND($AK221=1,ISNUMBER($L221)),IF($L221=ReportDate+1,1,0),0)</f>
        <v>0</v>
      </c>
      <c r="AP221" s="71">
        <f>IF(AND($AK221=1,ISNUMBER($L221)),IF(AND($L221&gt;=ReportDate,$L221&lt;=ReportDate+DueSoonDays),1,0),0)</f>
        <v>0</v>
      </c>
      <c r="AQ221" s="71">
        <f>IF(AND($AK221=1,OR($I221="Critical",$I221="High")),1,0)</f>
        <v>0</v>
      </c>
      <c r="AR221" s="71">
        <f>IF($AK221=1,IF(ISNUMBER($Y221),IF(ReportDate-$Y221&gt;StaleDays,1,0),1),0)</f>
        <v>0</v>
      </c>
      <c r="AS221" s="71">
        <f>IF(AND($G221&lt;&gt;"",ISNUMBER($Q221),ISNUMBER($R221)),IF(AND($Q221&lt;$R221,OR($M221="Completed",AND(ISNUMBER($L221),$L221&lt;ReportDate))),1,0),0)</f>
        <v>0</v>
      </c>
      <c r="AT221" s="71">
        <f>IF($AK221=1,IF(OR($L221=ReportDate,$W221=ReportDate,$K221=ReportDate,$A221=ReportDate),1,0),0)</f>
        <v>0</v>
      </c>
      <c r="AU221" s="71">
        <f>IF($AK221=1,IF(OR($L221=ReportDate+1,$W221=ReportDate+1,$K221=ReportDate+1,$A221=ReportDate+1),1,0),0)</f>
        <v>0</v>
      </c>
      <c r="AV221" s="71">
        <f>IF(AND($G221&lt;&gt;"",$M221="Completed"),IF(OR($Y221=ReportDate-1,$A221=ReportDate-1),1,0),0)</f>
        <v>0</v>
      </c>
      <c r="AW221" s="71">
        <f>IF(AND($AK221=1,$Z221="Yes"),1,0)</f>
        <v>0</v>
      </c>
      <c r="AX221" s="71">
        <f>IF(AND($AK221=1,$AA221="Yes"),1,0)</f>
        <v>0</v>
      </c>
      <c r="AY221" s="71">
        <f>IF(AND($AM221=1,OR($I221="Critical",$I221="High")),1,0)</f>
        <v>0</v>
      </c>
      <c r="AZ221" s="71">
        <f>IF(AND($AK221=1,OR($C221=TCL_Client,$C221=MECCA_Client)),1,0)</f>
        <v>0</v>
      </c>
      <c r="BA221" s="71" t="str">
        <f>IF($G221="","",IFERROR(MATCH($I221,lst_Priority,0),5))</f>
        <v/>
      </c>
      <c r="BB221" s="71" t="str">
        <f>IF(AND($AL221=1,$AJ221=1),$BA221*100000+ROW(),"")</f>
        <v/>
      </c>
      <c r="BC221" s="71" t="str">
        <f>IF(AND($AM221=1,$AJ221=1),$BA221*100000+ROW(),"")</f>
        <v/>
      </c>
      <c r="BD221" s="71" t="str">
        <f>IF(AND($AP221=1,$AJ221=1),$BA221*100000+ROW(),"")</f>
        <v/>
      </c>
      <c r="BE221" s="71" t="str">
        <f>IF(AND($AT221=1,$AJ221=1),$BA221*100000+ROW(),"")</f>
        <v/>
      </c>
      <c r="BF221" s="71" t="str">
        <f>IF(AND($AU221=1,$AJ221=1),$BA221*100000+ROW(),"")</f>
        <v/>
      </c>
      <c r="BG221" s="71" t="str">
        <f>IF(AND($AV221=1,$AJ221=1),$BA221*100000+ROW(),"")</f>
        <v/>
      </c>
      <c r="BH221" s="71" t="str">
        <f>IF(AND($AW221=1,$AJ221=1),$BA221*100000+ROW(),"")</f>
        <v/>
      </c>
      <c r="BI221" s="71" t="str">
        <f>IF(AND($AX221=1,$AJ221=1),$BA221*100000+ROW(),"")</f>
        <v/>
      </c>
      <c r="BJ221" s="71" t="str">
        <f>IF(AND($AS221=1,$AJ221=1),$BA221*100000+ROW(),"")</f>
        <v/>
      </c>
      <c r="BK221" s="71" t="str">
        <f>IF(AND($AY221=1,$AJ221=1),$BA221*100000+ROW(),"")</f>
        <v/>
      </c>
      <c r="BL221" s="71" t="str">
        <f>IF(AND($AZ221=1),$BA221*100000+ROW(),"")</f>
        <v/>
      </c>
    </row>
    <row r="222">
      <c r="A222" s="63" t="n"/>
      <c r="B222" s="64" t="n"/>
      <c r="C222" s="64" t="n"/>
      <c r="D222" s="64" t="n"/>
      <c r="E222" s="64" t="n"/>
      <c r="F222" s="64" t="n"/>
      <c r="G222" s="65" t="n"/>
      <c r="H222" s="65" t="n"/>
      <c r="I222" s="64" t="n"/>
      <c r="J222" s="64" t="n"/>
      <c r="K222" s="63" t="n"/>
      <c r="L222" s="63" t="n"/>
      <c r="M222" s="64" t="n"/>
      <c r="N222" s="66" t="n"/>
      <c r="O222" s="65" t="n"/>
      <c r="P222" s="64" t="n"/>
      <c r="Q222" s="67" t="n"/>
      <c r="R222" s="67" t="n"/>
      <c r="S222" s="68" t="str">
        <f>IF(AND(ISNUMBER($Q222),ISNUMBER($R222)),$Q222-$R222,"")</f>
        <v/>
      </c>
      <c r="T222" s="65" t="n"/>
      <c r="U222" s="64" t="n"/>
      <c r="V222" s="65" t="n"/>
      <c r="W222" s="63" t="n"/>
      <c r="X222" s="65" t="n"/>
      <c r="Y222" s="63" t="n"/>
      <c r="Z222" s="64" t="n"/>
      <c r="AA222" s="64" t="n"/>
      <c r="AB222" s="65" t="n"/>
      <c r="AC222" s="69" t="str">
        <f>IF(OR($G222="",NOT(ISNUMBER($K222)),$AK222=0),"",MAX(0,ReportDate-$K222))</f>
        <v/>
      </c>
      <c r="AD222" s="69" t="str">
        <f>IF($G222="","",IF($AL222=1,ReportDate-$L222,0))</f>
        <v/>
      </c>
      <c r="AE222" s="70" t="str">
        <f>IF($G222="","",IF($M222="Completed",1,IF(ISNUMBER($N222),$N222,0)))</f>
        <v/>
      </c>
      <c r="AF222" s="70" t="str">
        <f>IF(AND(ISNUMBER($Q222),ISNUMBER($R222)),IF($R222&lt;&gt;0,$Q222/$R222,""),"")</f>
        <v/>
      </c>
      <c r="AG222" s="71" t="str">
        <f>IF($G222="","",IF($AL222=1,"OVERDUE",IF($AM222=1,"BLOCKED",IF($AN222=1,"DUE TODAY",IF($AO222=1,"DUE TOMORROW",IF($AQ222=1,"HIGH PRIORITY",IF($AR222=1,"NO RECENT UPDATE",""))))))) </f>
        <v/>
      </c>
      <c r="AH222" s="71" t="str">
        <f>IF($G222="","",IF(ISNUMBER($A222),IF(ISNUMBER($A222),YEAR($A222)&amp;"-"&amp;TEXT(MONTH($A222),"00"),""),IF(ISNUMBER($L222),IF(ISNUMBER($L222),YEAR($L222)&amp;"-"&amp;TEXT(MONTH($L222),"00"),""),"")))</f>
        <v/>
      </c>
      <c r="AI222" s="71">
        <f>IF($G222="",0,IF(AND(OR(fClient="All",$C222=fClient),OR(fCampaign="All",$D222=fCampaign),OR(fTeam="All",$B222=fTeam),OR(fChannel="All",$F222=fChannel),OR(fMonth="All",$AH222=fMonth),OR(fTStatus="All",$M222=fTStatus)),1,0))</f>
        <v>0</v>
      </c>
      <c r="AJ222" s="71">
        <f>IF($G222="",0,IF(AND(OR(fClient="All",$C222=fClient),OR(fCampaign="All",$D222=fCampaign),OR(fTeam="All",$B222=fTeam),OR(fChannel="All",$F222=fChannel)),1,0))</f>
        <v>0</v>
      </c>
      <c r="AK222" s="71">
        <f>IF($G222="",0,IF(OR($M222="Completed",$M222="Cancelled"),0,1))</f>
        <v>0</v>
      </c>
      <c r="AL222" s="71">
        <f>IF(AND($AK222=1,ISNUMBER($L222)),IF($L222&lt;ReportDate,1,0),0)</f>
        <v>0</v>
      </c>
      <c r="AM222" s="71">
        <f>IF(AND($G222&lt;&gt;"",$M222="Blocked"),1,0)</f>
        <v>0</v>
      </c>
      <c r="AN222" s="71">
        <f>IF(AND($AK222=1,ISNUMBER($L222)),IF($L222=ReportDate,1,0),0)</f>
        <v>0</v>
      </c>
      <c r="AO222" s="71">
        <f>IF(AND($AK222=1,ISNUMBER($L222)),IF($L222=ReportDate+1,1,0),0)</f>
        <v>0</v>
      </c>
      <c r="AP222" s="71">
        <f>IF(AND($AK222=1,ISNUMBER($L222)),IF(AND($L222&gt;=ReportDate,$L222&lt;=ReportDate+DueSoonDays),1,0),0)</f>
        <v>0</v>
      </c>
      <c r="AQ222" s="71">
        <f>IF(AND($AK222=1,OR($I222="Critical",$I222="High")),1,0)</f>
        <v>0</v>
      </c>
      <c r="AR222" s="71">
        <f>IF($AK222=1,IF(ISNUMBER($Y222),IF(ReportDate-$Y222&gt;StaleDays,1,0),1),0)</f>
        <v>0</v>
      </c>
      <c r="AS222" s="71">
        <f>IF(AND($G222&lt;&gt;"",ISNUMBER($Q222),ISNUMBER($R222)),IF(AND($Q222&lt;$R222,OR($M222="Completed",AND(ISNUMBER($L222),$L222&lt;ReportDate))),1,0),0)</f>
        <v>0</v>
      </c>
      <c r="AT222" s="71">
        <f>IF($AK222=1,IF(OR($L222=ReportDate,$W222=ReportDate,$K222=ReportDate,$A222=ReportDate),1,0),0)</f>
        <v>0</v>
      </c>
      <c r="AU222" s="71">
        <f>IF($AK222=1,IF(OR($L222=ReportDate+1,$W222=ReportDate+1,$K222=ReportDate+1,$A222=ReportDate+1),1,0),0)</f>
        <v>0</v>
      </c>
      <c r="AV222" s="71">
        <f>IF(AND($G222&lt;&gt;"",$M222="Completed"),IF(OR($Y222=ReportDate-1,$A222=ReportDate-1),1,0),0)</f>
        <v>0</v>
      </c>
      <c r="AW222" s="71">
        <f>IF(AND($AK222=1,$Z222="Yes"),1,0)</f>
        <v>0</v>
      </c>
      <c r="AX222" s="71">
        <f>IF(AND($AK222=1,$AA222="Yes"),1,0)</f>
        <v>0</v>
      </c>
      <c r="AY222" s="71">
        <f>IF(AND($AM222=1,OR($I222="Critical",$I222="High")),1,0)</f>
        <v>0</v>
      </c>
      <c r="AZ222" s="71">
        <f>IF(AND($AK222=1,OR($C222=TCL_Client,$C222=MECCA_Client)),1,0)</f>
        <v>0</v>
      </c>
      <c r="BA222" s="71" t="str">
        <f>IF($G222="","",IFERROR(MATCH($I222,lst_Priority,0),5))</f>
        <v/>
      </c>
      <c r="BB222" s="71" t="str">
        <f>IF(AND($AL222=1,$AJ222=1),$BA222*100000+ROW(),"")</f>
        <v/>
      </c>
      <c r="BC222" s="71" t="str">
        <f>IF(AND($AM222=1,$AJ222=1),$BA222*100000+ROW(),"")</f>
        <v/>
      </c>
      <c r="BD222" s="71" t="str">
        <f>IF(AND($AP222=1,$AJ222=1),$BA222*100000+ROW(),"")</f>
        <v/>
      </c>
      <c r="BE222" s="71" t="str">
        <f>IF(AND($AT222=1,$AJ222=1),$BA222*100000+ROW(),"")</f>
        <v/>
      </c>
      <c r="BF222" s="71" t="str">
        <f>IF(AND($AU222=1,$AJ222=1),$BA222*100000+ROW(),"")</f>
        <v/>
      </c>
      <c r="BG222" s="71" t="str">
        <f>IF(AND($AV222=1,$AJ222=1),$BA222*100000+ROW(),"")</f>
        <v/>
      </c>
      <c r="BH222" s="71" t="str">
        <f>IF(AND($AW222=1,$AJ222=1),$BA222*100000+ROW(),"")</f>
        <v/>
      </c>
      <c r="BI222" s="71" t="str">
        <f>IF(AND($AX222=1,$AJ222=1),$BA222*100000+ROW(),"")</f>
        <v/>
      </c>
      <c r="BJ222" s="71" t="str">
        <f>IF(AND($AS222=1,$AJ222=1),$BA222*100000+ROW(),"")</f>
        <v/>
      </c>
      <c r="BK222" s="71" t="str">
        <f>IF(AND($AY222=1,$AJ222=1),$BA222*100000+ROW(),"")</f>
        <v/>
      </c>
      <c r="BL222" s="71" t="str">
        <f>IF(AND($AZ222=1),$BA222*100000+ROW(),"")</f>
        <v/>
      </c>
    </row>
    <row r="223">
      <c r="A223" s="63" t="n"/>
      <c r="B223" s="64" t="n"/>
      <c r="C223" s="64" t="n"/>
      <c r="D223" s="64" t="n"/>
      <c r="E223" s="64" t="n"/>
      <c r="F223" s="64" t="n"/>
      <c r="G223" s="65" t="n"/>
      <c r="H223" s="65" t="n"/>
      <c r="I223" s="64" t="n"/>
      <c r="J223" s="64" t="n"/>
      <c r="K223" s="63" t="n"/>
      <c r="L223" s="63" t="n"/>
      <c r="M223" s="64" t="n"/>
      <c r="N223" s="66" t="n"/>
      <c r="O223" s="65" t="n"/>
      <c r="P223" s="64" t="n"/>
      <c r="Q223" s="67" t="n"/>
      <c r="R223" s="67" t="n"/>
      <c r="S223" s="68" t="str">
        <f>IF(AND(ISNUMBER($Q223),ISNUMBER($R223)),$Q223-$R223,"")</f>
        <v/>
      </c>
      <c r="T223" s="65" t="n"/>
      <c r="U223" s="64" t="n"/>
      <c r="V223" s="65" t="n"/>
      <c r="W223" s="63" t="n"/>
      <c r="X223" s="65" t="n"/>
      <c r="Y223" s="63" t="n"/>
      <c r="Z223" s="64" t="n"/>
      <c r="AA223" s="64" t="n"/>
      <c r="AB223" s="65" t="n"/>
      <c r="AC223" s="69" t="str">
        <f>IF(OR($G223="",NOT(ISNUMBER($K223)),$AK223=0),"",MAX(0,ReportDate-$K223))</f>
        <v/>
      </c>
      <c r="AD223" s="69" t="str">
        <f>IF($G223="","",IF($AL223=1,ReportDate-$L223,0))</f>
        <v/>
      </c>
      <c r="AE223" s="70" t="str">
        <f>IF($G223="","",IF($M223="Completed",1,IF(ISNUMBER($N223),$N223,0)))</f>
        <v/>
      </c>
      <c r="AF223" s="70" t="str">
        <f>IF(AND(ISNUMBER($Q223),ISNUMBER($R223)),IF($R223&lt;&gt;0,$Q223/$R223,""),"")</f>
        <v/>
      </c>
      <c r="AG223" s="71" t="str">
        <f>IF($G223="","",IF($AL223=1,"OVERDUE",IF($AM223=1,"BLOCKED",IF($AN223=1,"DUE TODAY",IF($AO223=1,"DUE TOMORROW",IF($AQ223=1,"HIGH PRIORITY",IF($AR223=1,"NO RECENT UPDATE",""))))))) </f>
        <v/>
      </c>
      <c r="AH223" s="71" t="str">
        <f>IF($G223="","",IF(ISNUMBER($A223),IF(ISNUMBER($A223),YEAR($A223)&amp;"-"&amp;TEXT(MONTH($A223),"00"),""),IF(ISNUMBER($L223),IF(ISNUMBER($L223),YEAR($L223)&amp;"-"&amp;TEXT(MONTH($L223),"00"),""),"")))</f>
        <v/>
      </c>
      <c r="AI223" s="71">
        <f>IF($G223="",0,IF(AND(OR(fClient="All",$C223=fClient),OR(fCampaign="All",$D223=fCampaign),OR(fTeam="All",$B223=fTeam),OR(fChannel="All",$F223=fChannel),OR(fMonth="All",$AH223=fMonth),OR(fTStatus="All",$M223=fTStatus)),1,0))</f>
        <v>0</v>
      </c>
      <c r="AJ223" s="71">
        <f>IF($G223="",0,IF(AND(OR(fClient="All",$C223=fClient),OR(fCampaign="All",$D223=fCampaign),OR(fTeam="All",$B223=fTeam),OR(fChannel="All",$F223=fChannel)),1,0))</f>
        <v>0</v>
      </c>
      <c r="AK223" s="71">
        <f>IF($G223="",0,IF(OR($M223="Completed",$M223="Cancelled"),0,1))</f>
        <v>0</v>
      </c>
      <c r="AL223" s="71">
        <f>IF(AND($AK223=1,ISNUMBER($L223)),IF($L223&lt;ReportDate,1,0),0)</f>
        <v>0</v>
      </c>
      <c r="AM223" s="71">
        <f>IF(AND($G223&lt;&gt;"",$M223="Blocked"),1,0)</f>
        <v>0</v>
      </c>
      <c r="AN223" s="71">
        <f>IF(AND($AK223=1,ISNUMBER($L223)),IF($L223=ReportDate,1,0),0)</f>
        <v>0</v>
      </c>
      <c r="AO223" s="71">
        <f>IF(AND($AK223=1,ISNUMBER($L223)),IF($L223=ReportDate+1,1,0),0)</f>
        <v>0</v>
      </c>
      <c r="AP223" s="71">
        <f>IF(AND($AK223=1,ISNUMBER($L223)),IF(AND($L223&gt;=ReportDate,$L223&lt;=ReportDate+DueSoonDays),1,0),0)</f>
        <v>0</v>
      </c>
      <c r="AQ223" s="71">
        <f>IF(AND($AK223=1,OR($I223="Critical",$I223="High")),1,0)</f>
        <v>0</v>
      </c>
      <c r="AR223" s="71">
        <f>IF($AK223=1,IF(ISNUMBER($Y223),IF(ReportDate-$Y223&gt;StaleDays,1,0),1),0)</f>
        <v>0</v>
      </c>
      <c r="AS223" s="71">
        <f>IF(AND($G223&lt;&gt;"",ISNUMBER($Q223),ISNUMBER($R223)),IF(AND($Q223&lt;$R223,OR($M223="Completed",AND(ISNUMBER($L223),$L223&lt;ReportDate))),1,0),0)</f>
        <v>0</v>
      </c>
      <c r="AT223" s="71">
        <f>IF($AK223=1,IF(OR($L223=ReportDate,$W223=ReportDate,$K223=ReportDate,$A223=ReportDate),1,0),0)</f>
        <v>0</v>
      </c>
      <c r="AU223" s="71">
        <f>IF($AK223=1,IF(OR($L223=ReportDate+1,$W223=ReportDate+1,$K223=ReportDate+1,$A223=ReportDate+1),1,0),0)</f>
        <v>0</v>
      </c>
      <c r="AV223" s="71">
        <f>IF(AND($G223&lt;&gt;"",$M223="Completed"),IF(OR($Y223=ReportDate-1,$A223=ReportDate-1),1,0),0)</f>
        <v>0</v>
      </c>
      <c r="AW223" s="71">
        <f>IF(AND($AK223=1,$Z223="Yes"),1,0)</f>
        <v>0</v>
      </c>
      <c r="AX223" s="71">
        <f>IF(AND($AK223=1,$AA223="Yes"),1,0)</f>
        <v>0</v>
      </c>
      <c r="AY223" s="71">
        <f>IF(AND($AM223=1,OR($I223="Critical",$I223="High")),1,0)</f>
        <v>0</v>
      </c>
      <c r="AZ223" s="71">
        <f>IF(AND($AK223=1,OR($C223=TCL_Client,$C223=MECCA_Client)),1,0)</f>
        <v>0</v>
      </c>
      <c r="BA223" s="71" t="str">
        <f>IF($G223="","",IFERROR(MATCH($I223,lst_Priority,0),5))</f>
        <v/>
      </c>
      <c r="BB223" s="71" t="str">
        <f>IF(AND($AL223=1,$AJ223=1),$BA223*100000+ROW(),"")</f>
        <v/>
      </c>
      <c r="BC223" s="71" t="str">
        <f>IF(AND($AM223=1,$AJ223=1),$BA223*100000+ROW(),"")</f>
        <v/>
      </c>
      <c r="BD223" s="71" t="str">
        <f>IF(AND($AP223=1,$AJ223=1),$BA223*100000+ROW(),"")</f>
        <v/>
      </c>
      <c r="BE223" s="71" t="str">
        <f>IF(AND($AT223=1,$AJ223=1),$BA223*100000+ROW(),"")</f>
        <v/>
      </c>
      <c r="BF223" s="71" t="str">
        <f>IF(AND($AU223=1,$AJ223=1),$BA223*100000+ROW(),"")</f>
        <v/>
      </c>
      <c r="BG223" s="71" t="str">
        <f>IF(AND($AV223=1,$AJ223=1),$BA223*100000+ROW(),"")</f>
        <v/>
      </c>
      <c r="BH223" s="71" t="str">
        <f>IF(AND($AW223=1,$AJ223=1),$BA223*100000+ROW(),"")</f>
        <v/>
      </c>
      <c r="BI223" s="71" t="str">
        <f>IF(AND($AX223=1,$AJ223=1),$BA223*100000+ROW(),"")</f>
        <v/>
      </c>
      <c r="BJ223" s="71" t="str">
        <f>IF(AND($AS223=1,$AJ223=1),$BA223*100000+ROW(),"")</f>
        <v/>
      </c>
      <c r="BK223" s="71" t="str">
        <f>IF(AND($AY223=1,$AJ223=1),$BA223*100000+ROW(),"")</f>
        <v/>
      </c>
      <c r="BL223" s="71" t="str">
        <f>IF(AND($AZ223=1),$BA223*100000+ROW(),"")</f>
        <v/>
      </c>
    </row>
    <row r="224">
      <c r="A224" s="63" t="n"/>
      <c r="B224" s="64" t="n"/>
      <c r="C224" s="64" t="n"/>
      <c r="D224" s="64" t="n"/>
      <c r="E224" s="64" t="n"/>
      <c r="F224" s="64" t="n"/>
      <c r="G224" s="65" t="n"/>
      <c r="H224" s="65" t="n"/>
      <c r="I224" s="64" t="n"/>
      <c r="J224" s="64" t="n"/>
      <c r="K224" s="63" t="n"/>
      <c r="L224" s="63" t="n"/>
      <c r="M224" s="64" t="n"/>
      <c r="N224" s="66" t="n"/>
      <c r="O224" s="65" t="n"/>
      <c r="P224" s="64" t="n"/>
      <c r="Q224" s="67" t="n"/>
      <c r="R224" s="67" t="n"/>
      <c r="S224" s="68" t="str">
        <f>IF(AND(ISNUMBER($Q224),ISNUMBER($R224)),$Q224-$R224,"")</f>
        <v/>
      </c>
      <c r="T224" s="65" t="n"/>
      <c r="U224" s="64" t="n"/>
      <c r="V224" s="65" t="n"/>
      <c r="W224" s="63" t="n"/>
      <c r="X224" s="65" t="n"/>
      <c r="Y224" s="63" t="n"/>
      <c r="Z224" s="64" t="n"/>
      <c r="AA224" s="64" t="n"/>
      <c r="AB224" s="65" t="n"/>
      <c r="AC224" s="69" t="str">
        <f>IF(OR($G224="",NOT(ISNUMBER($K224)),$AK224=0),"",MAX(0,ReportDate-$K224))</f>
        <v/>
      </c>
      <c r="AD224" s="69" t="str">
        <f>IF($G224="","",IF($AL224=1,ReportDate-$L224,0))</f>
        <v/>
      </c>
      <c r="AE224" s="70" t="str">
        <f>IF($G224="","",IF($M224="Completed",1,IF(ISNUMBER($N224),$N224,0)))</f>
        <v/>
      </c>
      <c r="AF224" s="70" t="str">
        <f>IF(AND(ISNUMBER($Q224),ISNUMBER($R224)),IF($R224&lt;&gt;0,$Q224/$R224,""),"")</f>
        <v/>
      </c>
      <c r="AG224" s="71" t="str">
        <f>IF($G224="","",IF($AL224=1,"OVERDUE",IF($AM224=1,"BLOCKED",IF($AN224=1,"DUE TODAY",IF($AO224=1,"DUE TOMORROW",IF($AQ224=1,"HIGH PRIORITY",IF($AR224=1,"NO RECENT UPDATE",""))))))) </f>
        <v/>
      </c>
      <c r="AH224" s="71" t="str">
        <f>IF($G224="","",IF(ISNUMBER($A224),IF(ISNUMBER($A224),YEAR($A224)&amp;"-"&amp;TEXT(MONTH($A224),"00"),""),IF(ISNUMBER($L224),IF(ISNUMBER($L224),YEAR($L224)&amp;"-"&amp;TEXT(MONTH($L224),"00"),""),"")))</f>
        <v/>
      </c>
      <c r="AI224" s="71">
        <f>IF($G224="",0,IF(AND(OR(fClient="All",$C224=fClient),OR(fCampaign="All",$D224=fCampaign),OR(fTeam="All",$B224=fTeam),OR(fChannel="All",$F224=fChannel),OR(fMonth="All",$AH224=fMonth),OR(fTStatus="All",$M224=fTStatus)),1,0))</f>
        <v>0</v>
      </c>
      <c r="AJ224" s="71">
        <f>IF($G224="",0,IF(AND(OR(fClient="All",$C224=fClient),OR(fCampaign="All",$D224=fCampaign),OR(fTeam="All",$B224=fTeam),OR(fChannel="All",$F224=fChannel)),1,0))</f>
        <v>0</v>
      </c>
      <c r="AK224" s="71">
        <f>IF($G224="",0,IF(OR($M224="Completed",$M224="Cancelled"),0,1))</f>
        <v>0</v>
      </c>
      <c r="AL224" s="71">
        <f>IF(AND($AK224=1,ISNUMBER($L224)),IF($L224&lt;ReportDate,1,0),0)</f>
        <v>0</v>
      </c>
      <c r="AM224" s="71">
        <f>IF(AND($G224&lt;&gt;"",$M224="Blocked"),1,0)</f>
        <v>0</v>
      </c>
      <c r="AN224" s="71">
        <f>IF(AND($AK224=1,ISNUMBER($L224)),IF($L224=ReportDate,1,0),0)</f>
        <v>0</v>
      </c>
      <c r="AO224" s="71">
        <f>IF(AND($AK224=1,ISNUMBER($L224)),IF($L224=ReportDate+1,1,0),0)</f>
        <v>0</v>
      </c>
      <c r="AP224" s="71">
        <f>IF(AND($AK224=1,ISNUMBER($L224)),IF(AND($L224&gt;=ReportDate,$L224&lt;=ReportDate+DueSoonDays),1,0),0)</f>
        <v>0</v>
      </c>
      <c r="AQ224" s="71">
        <f>IF(AND($AK224=1,OR($I224="Critical",$I224="High")),1,0)</f>
        <v>0</v>
      </c>
      <c r="AR224" s="71">
        <f>IF($AK224=1,IF(ISNUMBER($Y224),IF(ReportDate-$Y224&gt;StaleDays,1,0),1),0)</f>
        <v>0</v>
      </c>
      <c r="AS224" s="71">
        <f>IF(AND($G224&lt;&gt;"",ISNUMBER($Q224),ISNUMBER($R224)),IF(AND($Q224&lt;$R224,OR($M224="Completed",AND(ISNUMBER($L224),$L224&lt;ReportDate))),1,0),0)</f>
        <v>0</v>
      </c>
      <c r="AT224" s="71">
        <f>IF($AK224=1,IF(OR($L224=ReportDate,$W224=ReportDate,$K224=ReportDate,$A224=ReportDate),1,0),0)</f>
        <v>0</v>
      </c>
      <c r="AU224" s="71">
        <f>IF($AK224=1,IF(OR($L224=ReportDate+1,$W224=ReportDate+1,$K224=ReportDate+1,$A224=ReportDate+1),1,0),0)</f>
        <v>0</v>
      </c>
      <c r="AV224" s="71">
        <f>IF(AND($G224&lt;&gt;"",$M224="Completed"),IF(OR($Y224=ReportDate-1,$A224=ReportDate-1),1,0),0)</f>
        <v>0</v>
      </c>
      <c r="AW224" s="71">
        <f>IF(AND($AK224=1,$Z224="Yes"),1,0)</f>
        <v>0</v>
      </c>
      <c r="AX224" s="71">
        <f>IF(AND($AK224=1,$AA224="Yes"),1,0)</f>
        <v>0</v>
      </c>
      <c r="AY224" s="71">
        <f>IF(AND($AM224=1,OR($I224="Critical",$I224="High")),1,0)</f>
        <v>0</v>
      </c>
      <c r="AZ224" s="71">
        <f>IF(AND($AK224=1,OR($C224=TCL_Client,$C224=MECCA_Client)),1,0)</f>
        <v>0</v>
      </c>
      <c r="BA224" s="71" t="str">
        <f>IF($G224="","",IFERROR(MATCH($I224,lst_Priority,0),5))</f>
        <v/>
      </c>
      <c r="BB224" s="71" t="str">
        <f>IF(AND($AL224=1,$AJ224=1),$BA224*100000+ROW(),"")</f>
        <v/>
      </c>
      <c r="BC224" s="71" t="str">
        <f>IF(AND($AM224=1,$AJ224=1),$BA224*100000+ROW(),"")</f>
        <v/>
      </c>
      <c r="BD224" s="71" t="str">
        <f>IF(AND($AP224=1,$AJ224=1),$BA224*100000+ROW(),"")</f>
        <v/>
      </c>
      <c r="BE224" s="71" t="str">
        <f>IF(AND($AT224=1,$AJ224=1),$BA224*100000+ROW(),"")</f>
        <v/>
      </c>
      <c r="BF224" s="71" t="str">
        <f>IF(AND($AU224=1,$AJ224=1),$BA224*100000+ROW(),"")</f>
        <v/>
      </c>
      <c r="BG224" s="71" t="str">
        <f>IF(AND($AV224=1,$AJ224=1),$BA224*100000+ROW(),"")</f>
        <v/>
      </c>
      <c r="BH224" s="71" t="str">
        <f>IF(AND($AW224=1,$AJ224=1),$BA224*100000+ROW(),"")</f>
        <v/>
      </c>
      <c r="BI224" s="71" t="str">
        <f>IF(AND($AX224=1,$AJ224=1),$BA224*100000+ROW(),"")</f>
        <v/>
      </c>
      <c r="BJ224" s="71" t="str">
        <f>IF(AND($AS224=1,$AJ224=1),$BA224*100000+ROW(),"")</f>
        <v/>
      </c>
      <c r="BK224" s="71" t="str">
        <f>IF(AND($AY224=1,$AJ224=1),$BA224*100000+ROW(),"")</f>
        <v/>
      </c>
      <c r="BL224" s="71" t="str">
        <f>IF(AND($AZ224=1),$BA224*100000+ROW(),"")</f>
        <v/>
      </c>
    </row>
    <row r="225">
      <c r="A225" s="63" t="n"/>
      <c r="B225" s="64" t="n"/>
      <c r="C225" s="64" t="n"/>
      <c r="D225" s="64" t="n"/>
      <c r="E225" s="64" t="n"/>
      <c r="F225" s="64" t="n"/>
      <c r="G225" s="65" t="n"/>
      <c r="H225" s="65" t="n"/>
      <c r="I225" s="64" t="n"/>
      <c r="J225" s="64" t="n"/>
      <c r="K225" s="63" t="n"/>
      <c r="L225" s="63" t="n"/>
      <c r="M225" s="64" t="n"/>
      <c r="N225" s="66" t="n"/>
      <c r="O225" s="65" t="n"/>
      <c r="P225" s="64" t="n"/>
      <c r="Q225" s="67" t="n"/>
      <c r="R225" s="67" t="n"/>
      <c r="S225" s="68" t="str">
        <f>IF(AND(ISNUMBER($Q225),ISNUMBER($R225)),$Q225-$R225,"")</f>
        <v/>
      </c>
      <c r="T225" s="65" t="n"/>
      <c r="U225" s="64" t="n"/>
      <c r="V225" s="65" t="n"/>
      <c r="W225" s="63" t="n"/>
      <c r="X225" s="65" t="n"/>
      <c r="Y225" s="63" t="n"/>
      <c r="Z225" s="64" t="n"/>
      <c r="AA225" s="64" t="n"/>
      <c r="AB225" s="65" t="n"/>
      <c r="AC225" s="69" t="str">
        <f>IF(OR($G225="",NOT(ISNUMBER($K225)),$AK225=0),"",MAX(0,ReportDate-$K225))</f>
        <v/>
      </c>
      <c r="AD225" s="69" t="str">
        <f>IF($G225="","",IF($AL225=1,ReportDate-$L225,0))</f>
        <v/>
      </c>
      <c r="AE225" s="70" t="str">
        <f>IF($G225="","",IF($M225="Completed",1,IF(ISNUMBER($N225),$N225,0)))</f>
        <v/>
      </c>
      <c r="AF225" s="70" t="str">
        <f>IF(AND(ISNUMBER($Q225),ISNUMBER($R225)),IF($R225&lt;&gt;0,$Q225/$R225,""),"")</f>
        <v/>
      </c>
      <c r="AG225" s="71" t="str">
        <f>IF($G225="","",IF($AL225=1,"OVERDUE",IF($AM225=1,"BLOCKED",IF($AN225=1,"DUE TODAY",IF($AO225=1,"DUE TOMORROW",IF($AQ225=1,"HIGH PRIORITY",IF($AR225=1,"NO RECENT UPDATE",""))))))) </f>
        <v/>
      </c>
      <c r="AH225" s="71" t="str">
        <f>IF($G225="","",IF(ISNUMBER($A225),IF(ISNUMBER($A225),YEAR($A225)&amp;"-"&amp;TEXT(MONTH($A225),"00"),""),IF(ISNUMBER($L225),IF(ISNUMBER($L225),YEAR($L225)&amp;"-"&amp;TEXT(MONTH($L225),"00"),""),"")))</f>
        <v/>
      </c>
      <c r="AI225" s="71">
        <f>IF($G225="",0,IF(AND(OR(fClient="All",$C225=fClient),OR(fCampaign="All",$D225=fCampaign),OR(fTeam="All",$B225=fTeam),OR(fChannel="All",$F225=fChannel),OR(fMonth="All",$AH225=fMonth),OR(fTStatus="All",$M225=fTStatus)),1,0))</f>
        <v>0</v>
      </c>
      <c r="AJ225" s="71">
        <f>IF($G225="",0,IF(AND(OR(fClient="All",$C225=fClient),OR(fCampaign="All",$D225=fCampaign),OR(fTeam="All",$B225=fTeam),OR(fChannel="All",$F225=fChannel)),1,0))</f>
        <v>0</v>
      </c>
      <c r="AK225" s="71">
        <f>IF($G225="",0,IF(OR($M225="Completed",$M225="Cancelled"),0,1))</f>
        <v>0</v>
      </c>
      <c r="AL225" s="71">
        <f>IF(AND($AK225=1,ISNUMBER($L225)),IF($L225&lt;ReportDate,1,0),0)</f>
        <v>0</v>
      </c>
      <c r="AM225" s="71">
        <f>IF(AND($G225&lt;&gt;"",$M225="Blocked"),1,0)</f>
        <v>0</v>
      </c>
      <c r="AN225" s="71">
        <f>IF(AND($AK225=1,ISNUMBER($L225)),IF($L225=ReportDate,1,0),0)</f>
        <v>0</v>
      </c>
      <c r="AO225" s="71">
        <f>IF(AND($AK225=1,ISNUMBER($L225)),IF($L225=ReportDate+1,1,0),0)</f>
        <v>0</v>
      </c>
      <c r="AP225" s="71">
        <f>IF(AND($AK225=1,ISNUMBER($L225)),IF(AND($L225&gt;=ReportDate,$L225&lt;=ReportDate+DueSoonDays),1,0),0)</f>
        <v>0</v>
      </c>
      <c r="AQ225" s="71">
        <f>IF(AND($AK225=1,OR($I225="Critical",$I225="High")),1,0)</f>
        <v>0</v>
      </c>
      <c r="AR225" s="71">
        <f>IF($AK225=1,IF(ISNUMBER($Y225),IF(ReportDate-$Y225&gt;StaleDays,1,0),1),0)</f>
        <v>0</v>
      </c>
      <c r="AS225" s="71">
        <f>IF(AND($G225&lt;&gt;"",ISNUMBER($Q225),ISNUMBER($R225)),IF(AND($Q225&lt;$R225,OR($M225="Completed",AND(ISNUMBER($L225),$L225&lt;ReportDate))),1,0),0)</f>
        <v>0</v>
      </c>
      <c r="AT225" s="71">
        <f>IF($AK225=1,IF(OR($L225=ReportDate,$W225=ReportDate,$K225=ReportDate,$A225=ReportDate),1,0),0)</f>
        <v>0</v>
      </c>
      <c r="AU225" s="71">
        <f>IF($AK225=1,IF(OR($L225=ReportDate+1,$W225=ReportDate+1,$K225=ReportDate+1,$A225=ReportDate+1),1,0),0)</f>
        <v>0</v>
      </c>
      <c r="AV225" s="71">
        <f>IF(AND($G225&lt;&gt;"",$M225="Completed"),IF(OR($Y225=ReportDate-1,$A225=ReportDate-1),1,0),0)</f>
        <v>0</v>
      </c>
      <c r="AW225" s="71">
        <f>IF(AND($AK225=1,$Z225="Yes"),1,0)</f>
        <v>0</v>
      </c>
      <c r="AX225" s="71">
        <f>IF(AND($AK225=1,$AA225="Yes"),1,0)</f>
        <v>0</v>
      </c>
      <c r="AY225" s="71">
        <f>IF(AND($AM225=1,OR($I225="Critical",$I225="High")),1,0)</f>
        <v>0</v>
      </c>
      <c r="AZ225" s="71">
        <f>IF(AND($AK225=1,OR($C225=TCL_Client,$C225=MECCA_Client)),1,0)</f>
        <v>0</v>
      </c>
      <c r="BA225" s="71" t="str">
        <f>IF($G225="","",IFERROR(MATCH($I225,lst_Priority,0),5))</f>
        <v/>
      </c>
      <c r="BB225" s="71" t="str">
        <f>IF(AND($AL225=1,$AJ225=1),$BA225*100000+ROW(),"")</f>
        <v/>
      </c>
      <c r="BC225" s="71" t="str">
        <f>IF(AND($AM225=1,$AJ225=1),$BA225*100000+ROW(),"")</f>
        <v/>
      </c>
      <c r="BD225" s="71" t="str">
        <f>IF(AND($AP225=1,$AJ225=1),$BA225*100000+ROW(),"")</f>
        <v/>
      </c>
      <c r="BE225" s="71" t="str">
        <f>IF(AND($AT225=1,$AJ225=1),$BA225*100000+ROW(),"")</f>
        <v/>
      </c>
      <c r="BF225" s="71" t="str">
        <f>IF(AND($AU225=1,$AJ225=1),$BA225*100000+ROW(),"")</f>
        <v/>
      </c>
      <c r="BG225" s="71" t="str">
        <f>IF(AND($AV225=1,$AJ225=1),$BA225*100000+ROW(),"")</f>
        <v/>
      </c>
      <c r="BH225" s="71" t="str">
        <f>IF(AND($AW225=1,$AJ225=1),$BA225*100000+ROW(),"")</f>
        <v/>
      </c>
      <c r="BI225" s="71" t="str">
        <f>IF(AND($AX225=1,$AJ225=1),$BA225*100000+ROW(),"")</f>
        <v/>
      </c>
      <c r="BJ225" s="71" t="str">
        <f>IF(AND($AS225=1,$AJ225=1),$BA225*100000+ROW(),"")</f>
        <v/>
      </c>
      <c r="BK225" s="71" t="str">
        <f>IF(AND($AY225=1,$AJ225=1),$BA225*100000+ROW(),"")</f>
        <v/>
      </c>
      <c r="BL225" s="71" t="str">
        <f>IF(AND($AZ225=1),$BA225*100000+ROW(),"")</f>
        <v/>
      </c>
    </row>
    <row r="226">
      <c r="A226" s="63" t="n"/>
      <c r="B226" s="64" t="n"/>
      <c r="C226" s="64" t="n"/>
      <c r="D226" s="64" t="n"/>
      <c r="E226" s="64" t="n"/>
      <c r="F226" s="64" t="n"/>
      <c r="G226" s="65" t="n"/>
      <c r="H226" s="65" t="n"/>
      <c r="I226" s="64" t="n"/>
      <c r="J226" s="64" t="n"/>
      <c r="K226" s="63" t="n"/>
      <c r="L226" s="63" t="n"/>
      <c r="M226" s="64" t="n"/>
      <c r="N226" s="66" t="n"/>
      <c r="O226" s="65" t="n"/>
      <c r="P226" s="64" t="n"/>
      <c r="Q226" s="67" t="n"/>
      <c r="R226" s="67" t="n"/>
      <c r="S226" s="68" t="str">
        <f>IF(AND(ISNUMBER($Q226),ISNUMBER($R226)),$Q226-$R226,"")</f>
        <v/>
      </c>
      <c r="T226" s="65" t="n"/>
      <c r="U226" s="64" t="n"/>
      <c r="V226" s="65" t="n"/>
      <c r="W226" s="63" t="n"/>
      <c r="X226" s="65" t="n"/>
      <c r="Y226" s="63" t="n"/>
      <c r="Z226" s="64" t="n"/>
      <c r="AA226" s="64" t="n"/>
      <c r="AB226" s="65" t="n"/>
      <c r="AC226" s="69" t="str">
        <f>IF(OR($G226="",NOT(ISNUMBER($K226)),$AK226=0),"",MAX(0,ReportDate-$K226))</f>
        <v/>
      </c>
      <c r="AD226" s="69" t="str">
        <f>IF($G226="","",IF($AL226=1,ReportDate-$L226,0))</f>
        <v/>
      </c>
      <c r="AE226" s="70" t="str">
        <f>IF($G226="","",IF($M226="Completed",1,IF(ISNUMBER($N226),$N226,0)))</f>
        <v/>
      </c>
      <c r="AF226" s="70" t="str">
        <f>IF(AND(ISNUMBER($Q226),ISNUMBER($R226)),IF($R226&lt;&gt;0,$Q226/$R226,""),"")</f>
        <v/>
      </c>
      <c r="AG226" s="71" t="str">
        <f>IF($G226="","",IF($AL226=1,"OVERDUE",IF($AM226=1,"BLOCKED",IF($AN226=1,"DUE TODAY",IF($AO226=1,"DUE TOMORROW",IF($AQ226=1,"HIGH PRIORITY",IF($AR226=1,"NO RECENT UPDATE",""))))))) </f>
        <v/>
      </c>
      <c r="AH226" s="71" t="str">
        <f>IF($G226="","",IF(ISNUMBER($A226),IF(ISNUMBER($A226),YEAR($A226)&amp;"-"&amp;TEXT(MONTH($A226),"00"),""),IF(ISNUMBER($L226),IF(ISNUMBER($L226),YEAR($L226)&amp;"-"&amp;TEXT(MONTH($L226),"00"),""),"")))</f>
        <v/>
      </c>
      <c r="AI226" s="71">
        <f>IF($G226="",0,IF(AND(OR(fClient="All",$C226=fClient),OR(fCampaign="All",$D226=fCampaign),OR(fTeam="All",$B226=fTeam),OR(fChannel="All",$F226=fChannel),OR(fMonth="All",$AH226=fMonth),OR(fTStatus="All",$M226=fTStatus)),1,0))</f>
        <v>0</v>
      </c>
      <c r="AJ226" s="71">
        <f>IF($G226="",0,IF(AND(OR(fClient="All",$C226=fClient),OR(fCampaign="All",$D226=fCampaign),OR(fTeam="All",$B226=fTeam),OR(fChannel="All",$F226=fChannel)),1,0))</f>
        <v>0</v>
      </c>
      <c r="AK226" s="71">
        <f>IF($G226="",0,IF(OR($M226="Completed",$M226="Cancelled"),0,1))</f>
        <v>0</v>
      </c>
      <c r="AL226" s="71">
        <f>IF(AND($AK226=1,ISNUMBER($L226)),IF($L226&lt;ReportDate,1,0),0)</f>
        <v>0</v>
      </c>
      <c r="AM226" s="71">
        <f>IF(AND($G226&lt;&gt;"",$M226="Blocked"),1,0)</f>
        <v>0</v>
      </c>
      <c r="AN226" s="71">
        <f>IF(AND($AK226=1,ISNUMBER($L226)),IF($L226=ReportDate,1,0),0)</f>
        <v>0</v>
      </c>
      <c r="AO226" s="71">
        <f>IF(AND($AK226=1,ISNUMBER($L226)),IF($L226=ReportDate+1,1,0),0)</f>
        <v>0</v>
      </c>
      <c r="AP226" s="71">
        <f>IF(AND($AK226=1,ISNUMBER($L226)),IF(AND($L226&gt;=ReportDate,$L226&lt;=ReportDate+DueSoonDays),1,0),0)</f>
        <v>0</v>
      </c>
      <c r="AQ226" s="71">
        <f>IF(AND($AK226=1,OR($I226="Critical",$I226="High")),1,0)</f>
        <v>0</v>
      </c>
      <c r="AR226" s="71">
        <f>IF($AK226=1,IF(ISNUMBER($Y226),IF(ReportDate-$Y226&gt;StaleDays,1,0),1),0)</f>
        <v>0</v>
      </c>
      <c r="AS226" s="71">
        <f>IF(AND($G226&lt;&gt;"",ISNUMBER($Q226),ISNUMBER($R226)),IF(AND($Q226&lt;$R226,OR($M226="Completed",AND(ISNUMBER($L226),$L226&lt;ReportDate))),1,0),0)</f>
        <v>0</v>
      </c>
      <c r="AT226" s="71">
        <f>IF($AK226=1,IF(OR($L226=ReportDate,$W226=ReportDate,$K226=ReportDate,$A226=ReportDate),1,0),0)</f>
        <v>0</v>
      </c>
      <c r="AU226" s="71">
        <f>IF($AK226=1,IF(OR($L226=ReportDate+1,$W226=ReportDate+1,$K226=ReportDate+1,$A226=ReportDate+1),1,0),0)</f>
        <v>0</v>
      </c>
      <c r="AV226" s="71">
        <f>IF(AND($G226&lt;&gt;"",$M226="Completed"),IF(OR($Y226=ReportDate-1,$A226=ReportDate-1),1,0),0)</f>
        <v>0</v>
      </c>
      <c r="AW226" s="71">
        <f>IF(AND($AK226=1,$Z226="Yes"),1,0)</f>
        <v>0</v>
      </c>
      <c r="AX226" s="71">
        <f>IF(AND($AK226=1,$AA226="Yes"),1,0)</f>
        <v>0</v>
      </c>
      <c r="AY226" s="71">
        <f>IF(AND($AM226=1,OR($I226="Critical",$I226="High")),1,0)</f>
        <v>0</v>
      </c>
      <c r="AZ226" s="71">
        <f>IF(AND($AK226=1,OR($C226=TCL_Client,$C226=MECCA_Client)),1,0)</f>
        <v>0</v>
      </c>
      <c r="BA226" s="71" t="str">
        <f>IF($G226="","",IFERROR(MATCH($I226,lst_Priority,0),5))</f>
        <v/>
      </c>
      <c r="BB226" s="71" t="str">
        <f>IF(AND($AL226=1,$AJ226=1),$BA226*100000+ROW(),"")</f>
        <v/>
      </c>
      <c r="BC226" s="71" t="str">
        <f>IF(AND($AM226=1,$AJ226=1),$BA226*100000+ROW(),"")</f>
        <v/>
      </c>
      <c r="BD226" s="71" t="str">
        <f>IF(AND($AP226=1,$AJ226=1),$BA226*100000+ROW(),"")</f>
        <v/>
      </c>
      <c r="BE226" s="71" t="str">
        <f>IF(AND($AT226=1,$AJ226=1),$BA226*100000+ROW(),"")</f>
        <v/>
      </c>
      <c r="BF226" s="71" t="str">
        <f>IF(AND($AU226=1,$AJ226=1),$BA226*100000+ROW(),"")</f>
        <v/>
      </c>
      <c r="BG226" s="71" t="str">
        <f>IF(AND($AV226=1,$AJ226=1),$BA226*100000+ROW(),"")</f>
        <v/>
      </c>
      <c r="BH226" s="71" t="str">
        <f>IF(AND($AW226=1,$AJ226=1),$BA226*100000+ROW(),"")</f>
        <v/>
      </c>
      <c r="BI226" s="71" t="str">
        <f>IF(AND($AX226=1,$AJ226=1),$BA226*100000+ROW(),"")</f>
        <v/>
      </c>
      <c r="BJ226" s="71" t="str">
        <f>IF(AND($AS226=1,$AJ226=1),$BA226*100000+ROW(),"")</f>
        <v/>
      </c>
      <c r="BK226" s="71" t="str">
        <f>IF(AND($AY226=1,$AJ226=1),$BA226*100000+ROW(),"")</f>
        <v/>
      </c>
      <c r="BL226" s="71" t="str">
        <f>IF(AND($AZ226=1),$BA226*100000+ROW(),"")</f>
        <v/>
      </c>
    </row>
    <row r="227">
      <c r="A227" s="63" t="n"/>
      <c r="B227" s="64" t="n"/>
      <c r="C227" s="64" t="n"/>
      <c r="D227" s="64" t="n"/>
      <c r="E227" s="64" t="n"/>
      <c r="F227" s="64" t="n"/>
      <c r="G227" s="65" t="n"/>
      <c r="H227" s="65" t="n"/>
      <c r="I227" s="64" t="n"/>
      <c r="J227" s="64" t="n"/>
      <c r="K227" s="63" t="n"/>
      <c r="L227" s="63" t="n"/>
      <c r="M227" s="64" t="n"/>
      <c r="N227" s="66" t="n"/>
      <c r="O227" s="65" t="n"/>
      <c r="P227" s="64" t="n"/>
      <c r="Q227" s="67" t="n"/>
      <c r="R227" s="67" t="n"/>
      <c r="S227" s="68" t="str">
        <f>IF(AND(ISNUMBER($Q227),ISNUMBER($R227)),$Q227-$R227,"")</f>
        <v/>
      </c>
      <c r="T227" s="65" t="n"/>
      <c r="U227" s="64" t="n"/>
      <c r="V227" s="65" t="n"/>
      <c r="W227" s="63" t="n"/>
      <c r="X227" s="65" t="n"/>
      <c r="Y227" s="63" t="n"/>
      <c r="Z227" s="64" t="n"/>
      <c r="AA227" s="64" t="n"/>
      <c r="AB227" s="65" t="n"/>
      <c r="AC227" s="69" t="str">
        <f>IF(OR($G227="",NOT(ISNUMBER($K227)),$AK227=0),"",MAX(0,ReportDate-$K227))</f>
        <v/>
      </c>
      <c r="AD227" s="69" t="str">
        <f>IF($G227="","",IF($AL227=1,ReportDate-$L227,0))</f>
        <v/>
      </c>
      <c r="AE227" s="70" t="str">
        <f>IF($G227="","",IF($M227="Completed",1,IF(ISNUMBER($N227),$N227,0)))</f>
        <v/>
      </c>
      <c r="AF227" s="70" t="str">
        <f>IF(AND(ISNUMBER($Q227),ISNUMBER($R227)),IF($R227&lt;&gt;0,$Q227/$R227,""),"")</f>
        <v/>
      </c>
      <c r="AG227" s="71" t="str">
        <f>IF($G227="","",IF($AL227=1,"OVERDUE",IF($AM227=1,"BLOCKED",IF($AN227=1,"DUE TODAY",IF($AO227=1,"DUE TOMORROW",IF($AQ227=1,"HIGH PRIORITY",IF($AR227=1,"NO RECENT UPDATE",""))))))) </f>
        <v/>
      </c>
      <c r="AH227" s="71" t="str">
        <f>IF($G227="","",IF(ISNUMBER($A227),IF(ISNUMBER($A227),YEAR($A227)&amp;"-"&amp;TEXT(MONTH($A227),"00"),""),IF(ISNUMBER($L227),IF(ISNUMBER($L227),YEAR($L227)&amp;"-"&amp;TEXT(MONTH($L227),"00"),""),"")))</f>
        <v/>
      </c>
      <c r="AI227" s="71">
        <f>IF($G227="",0,IF(AND(OR(fClient="All",$C227=fClient),OR(fCampaign="All",$D227=fCampaign),OR(fTeam="All",$B227=fTeam),OR(fChannel="All",$F227=fChannel),OR(fMonth="All",$AH227=fMonth),OR(fTStatus="All",$M227=fTStatus)),1,0))</f>
        <v>0</v>
      </c>
      <c r="AJ227" s="71">
        <f>IF($G227="",0,IF(AND(OR(fClient="All",$C227=fClient),OR(fCampaign="All",$D227=fCampaign),OR(fTeam="All",$B227=fTeam),OR(fChannel="All",$F227=fChannel)),1,0))</f>
        <v>0</v>
      </c>
      <c r="AK227" s="71">
        <f>IF($G227="",0,IF(OR($M227="Completed",$M227="Cancelled"),0,1))</f>
        <v>0</v>
      </c>
      <c r="AL227" s="71">
        <f>IF(AND($AK227=1,ISNUMBER($L227)),IF($L227&lt;ReportDate,1,0),0)</f>
        <v>0</v>
      </c>
      <c r="AM227" s="71">
        <f>IF(AND($G227&lt;&gt;"",$M227="Blocked"),1,0)</f>
        <v>0</v>
      </c>
      <c r="AN227" s="71">
        <f>IF(AND($AK227=1,ISNUMBER($L227)),IF($L227=ReportDate,1,0),0)</f>
        <v>0</v>
      </c>
      <c r="AO227" s="71">
        <f>IF(AND($AK227=1,ISNUMBER($L227)),IF($L227=ReportDate+1,1,0),0)</f>
        <v>0</v>
      </c>
      <c r="AP227" s="71">
        <f>IF(AND($AK227=1,ISNUMBER($L227)),IF(AND($L227&gt;=ReportDate,$L227&lt;=ReportDate+DueSoonDays),1,0),0)</f>
        <v>0</v>
      </c>
      <c r="AQ227" s="71">
        <f>IF(AND($AK227=1,OR($I227="Critical",$I227="High")),1,0)</f>
        <v>0</v>
      </c>
      <c r="AR227" s="71">
        <f>IF($AK227=1,IF(ISNUMBER($Y227),IF(ReportDate-$Y227&gt;StaleDays,1,0),1),0)</f>
        <v>0</v>
      </c>
      <c r="AS227" s="71">
        <f>IF(AND($G227&lt;&gt;"",ISNUMBER($Q227),ISNUMBER($R227)),IF(AND($Q227&lt;$R227,OR($M227="Completed",AND(ISNUMBER($L227),$L227&lt;ReportDate))),1,0),0)</f>
        <v>0</v>
      </c>
      <c r="AT227" s="71">
        <f>IF($AK227=1,IF(OR($L227=ReportDate,$W227=ReportDate,$K227=ReportDate,$A227=ReportDate),1,0),0)</f>
        <v>0</v>
      </c>
      <c r="AU227" s="71">
        <f>IF($AK227=1,IF(OR($L227=ReportDate+1,$W227=ReportDate+1,$K227=ReportDate+1,$A227=ReportDate+1),1,0),0)</f>
        <v>0</v>
      </c>
      <c r="AV227" s="71">
        <f>IF(AND($G227&lt;&gt;"",$M227="Completed"),IF(OR($Y227=ReportDate-1,$A227=ReportDate-1),1,0),0)</f>
        <v>0</v>
      </c>
      <c r="AW227" s="71">
        <f>IF(AND($AK227=1,$Z227="Yes"),1,0)</f>
        <v>0</v>
      </c>
      <c r="AX227" s="71">
        <f>IF(AND($AK227=1,$AA227="Yes"),1,0)</f>
        <v>0</v>
      </c>
      <c r="AY227" s="71">
        <f>IF(AND($AM227=1,OR($I227="Critical",$I227="High")),1,0)</f>
        <v>0</v>
      </c>
      <c r="AZ227" s="71">
        <f>IF(AND($AK227=1,OR($C227=TCL_Client,$C227=MECCA_Client)),1,0)</f>
        <v>0</v>
      </c>
      <c r="BA227" s="71" t="str">
        <f>IF($G227="","",IFERROR(MATCH($I227,lst_Priority,0),5))</f>
        <v/>
      </c>
      <c r="BB227" s="71" t="str">
        <f>IF(AND($AL227=1,$AJ227=1),$BA227*100000+ROW(),"")</f>
        <v/>
      </c>
      <c r="BC227" s="71" t="str">
        <f>IF(AND($AM227=1,$AJ227=1),$BA227*100000+ROW(),"")</f>
        <v/>
      </c>
      <c r="BD227" s="71" t="str">
        <f>IF(AND($AP227=1,$AJ227=1),$BA227*100000+ROW(),"")</f>
        <v/>
      </c>
      <c r="BE227" s="71" t="str">
        <f>IF(AND($AT227=1,$AJ227=1),$BA227*100000+ROW(),"")</f>
        <v/>
      </c>
      <c r="BF227" s="71" t="str">
        <f>IF(AND($AU227=1,$AJ227=1),$BA227*100000+ROW(),"")</f>
        <v/>
      </c>
      <c r="BG227" s="71" t="str">
        <f>IF(AND($AV227=1,$AJ227=1),$BA227*100000+ROW(),"")</f>
        <v/>
      </c>
      <c r="BH227" s="71" t="str">
        <f>IF(AND($AW227=1,$AJ227=1),$BA227*100000+ROW(),"")</f>
        <v/>
      </c>
      <c r="BI227" s="71" t="str">
        <f>IF(AND($AX227=1,$AJ227=1),$BA227*100000+ROW(),"")</f>
        <v/>
      </c>
      <c r="BJ227" s="71" t="str">
        <f>IF(AND($AS227=1,$AJ227=1),$BA227*100000+ROW(),"")</f>
        <v/>
      </c>
      <c r="BK227" s="71" t="str">
        <f>IF(AND($AY227=1,$AJ227=1),$BA227*100000+ROW(),"")</f>
        <v/>
      </c>
      <c r="BL227" s="71" t="str">
        <f>IF(AND($AZ227=1),$BA227*100000+ROW(),"")</f>
        <v/>
      </c>
    </row>
    <row r="228">
      <c r="A228" s="63" t="n"/>
      <c r="B228" s="64" t="n"/>
      <c r="C228" s="64" t="n"/>
      <c r="D228" s="64" t="n"/>
      <c r="E228" s="64" t="n"/>
      <c r="F228" s="64" t="n"/>
      <c r="G228" s="65" t="n"/>
      <c r="H228" s="65" t="n"/>
      <c r="I228" s="64" t="n"/>
      <c r="J228" s="64" t="n"/>
      <c r="K228" s="63" t="n"/>
      <c r="L228" s="63" t="n"/>
      <c r="M228" s="64" t="n"/>
      <c r="N228" s="66" t="n"/>
      <c r="O228" s="65" t="n"/>
      <c r="P228" s="64" t="n"/>
      <c r="Q228" s="67" t="n"/>
      <c r="R228" s="67" t="n"/>
      <c r="S228" s="68" t="str">
        <f>IF(AND(ISNUMBER($Q228),ISNUMBER($R228)),$Q228-$R228,"")</f>
        <v/>
      </c>
      <c r="T228" s="65" t="n"/>
      <c r="U228" s="64" t="n"/>
      <c r="V228" s="65" t="n"/>
      <c r="W228" s="63" t="n"/>
      <c r="X228" s="65" t="n"/>
      <c r="Y228" s="63" t="n"/>
      <c r="Z228" s="64" t="n"/>
      <c r="AA228" s="64" t="n"/>
      <c r="AB228" s="65" t="n"/>
      <c r="AC228" s="69" t="str">
        <f>IF(OR($G228="",NOT(ISNUMBER($K228)),$AK228=0),"",MAX(0,ReportDate-$K228))</f>
        <v/>
      </c>
      <c r="AD228" s="69" t="str">
        <f>IF($G228="","",IF($AL228=1,ReportDate-$L228,0))</f>
        <v/>
      </c>
      <c r="AE228" s="70" t="str">
        <f>IF($G228="","",IF($M228="Completed",1,IF(ISNUMBER($N228),$N228,0)))</f>
        <v/>
      </c>
      <c r="AF228" s="70" t="str">
        <f>IF(AND(ISNUMBER($Q228),ISNUMBER($R228)),IF($R228&lt;&gt;0,$Q228/$R228,""),"")</f>
        <v/>
      </c>
      <c r="AG228" s="71" t="str">
        <f>IF($G228="","",IF($AL228=1,"OVERDUE",IF($AM228=1,"BLOCKED",IF($AN228=1,"DUE TODAY",IF($AO228=1,"DUE TOMORROW",IF($AQ228=1,"HIGH PRIORITY",IF($AR228=1,"NO RECENT UPDATE",""))))))) </f>
        <v/>
      </c>
      <c r="AH228" s="71" t="str">
        <f>IF($G228="","",IF(ISNUMBER($A228),IF(ISNUMBER($A228),YEAR($A228)&amp;"-"&amp;TEXT(MONTH($A228),"00"),""),IF(ISNUMBER($L228),IF(ISNUMBER($L228),YEAR($L228)&amp;"-"&amp;TEXT(MONTH($L228),"00"),""),"")))</f>
        <v/>
      </c>
      <c r="AI228" s="71">
        <f>IF($G228="",0,IF(AND(OR(fClient="All",$C228=fClient),OR(fCampaign="All",$D228=fCampaign),OR(fTeam="All",$B228=fTeam),OR(fChannel="All",$F228=fChannel),OR(fMonth="All",$AH228=fMonth),OR(fTStatus="All",$M228=fTStatus)),1,0))</f>
        <v>0</v>
      </c>
      <c r="AJ228" s="71">
        <f>IF($G228="",0,IF(AND(OR(fClient="All",$C228=fClient),OR(fCampaign="All",$D228=fCampaign),OR(fTeam="All",$B228=fTeam),OR(fChannel="All",$F228=fChannel)),1,0))</f>
        <v>0</v>
      </c>
      <c r="AK228" s="71">
        <f>IF($G228="",0,IF(OR($M228="Completed",$M228="Cancelled"),0,1))</f>
        <v>0</v>
      </c>
      <c r="AL228" s="71">
        <f>IF(AND($AK228=1,ISNUMBER($L228)),IF($L228&lt;ReportDate,1,0),0)</f>
        <v>0</v>
      </c>
      <c r="AM228" s="71">
        <f>IF(AND($G228&lt;&gt;"",$M228="Blocked"),1,0)</f>
        <v>0</v>
      </c>
      <c r="AN228" s="71">
        <f>IF(AND($AK228=1,ISNUMBER($L228)),IF($L228=ReportDate,1,0),0)</f>
        <v>0</v>
      </c>
      <c r="AO228" s="71">
        <f>IF(AND($AK228=1,ISNUMBER($L228)),IF($L228=ReportDate+1,1,0),0)</f>
        <v>0</v>
      </c>
      <c r="AP228" s="71">
        <f>IF(AND($AK228=1,ISNUMBER($L228)),IF(AND($L228&gt;=ReportDate,$L228&lt;=ReportDate+DueSoonDays),1,0),0)</f>
        <v>0</v>
      </c>
      <c r="AQ228" s="71">
        <f>IF(AND($AK228=1,OR($I228="Critical",$I228="High")),1,0)</f>
        <v>0</v>
      </c>
      <c r="AR228" s="71">
        <f>IF($AK228=1,IF(ISNUMBER($Y228),IF(ReportDate-$Y228&gt;StaleDays,1,0),1),0)</f>
        <v>0</v>
      </c>
      <c r="AS228" s="71">
        <f>IF(AND($G228&lt;&gt;"",ISNUMBER($Q228),ISNUMBER($R228)),IF(AND($Q228&lt;$R228,OR($M228="Completed",AND(ISNUMBER($L228),$L228&lt;ReportDate))),1,0),0)</f>
        <v>0</v>
      </c>
      <c r="AT228" s="71">
        <f>IF($AK228=1,IF(OR($L228=ReportDate,$W228=ReportDate,$K228=ReportDate,$A228=ReportDate),1,0),0)</f>
        <v>0</v>
      </c>
      <c r="AU228" s="71">
        <f>IF($AK228=1,IF(OR($L228=ReportDate+1,$W228=ReportDate+1,$K228=ReportDate+1,$A228=ReportDate+1),1,0),0)</f>
        <v>0</v>
      </c>
      <c r="AV228" s="71">
        <f>IF(AND($G228&lt;&gt;"",$M228="Completed"),IF(OR($Y228=ReportDate-1,$A228=ReportDate-1),1,0),0)</f>
        <v>0</v>
      </c>
      <c r="AW228" s="71">
        <f>IF(AND($AK228=1,$Z228="Yes"),1,0)</f>
        <v>0</v>
      </c>
      <c r="AX228" s="71">
        <f>IF(AND($AK228=1,$AA228="Yes"),1,0)</f>
        <v>0</v>
      </c>
      <c r="AY228" s="71">
        <f>IF(AND($AM228=1,OR($I228="Critical",$I228="High")),1,0)</f>
        <v>0</v>
      </c>
      <c r="AZ228" s="71">
        <f>IF(AND($AK228=1,OR($C228=TCL_Client,$C228=MECCA_Client)),1,0)</f>
        <v>0</v>
      </c>
      <c r="BA228" s="71" t="str">
        <f>IF($G228="","",IFERROR(MATCH($I228,lst_Priority,0),5))</f>
        <v/>
      </c>
      <c r="BB228" s="71" t="str">
        <f>IF(AND($AL228=1,$AJ228=1),$BA228*100000+ROW(),"")</f>
        <v/>
      </c>
      <c r="BC228" s="71" t="str">
        <f>IF(AND($AM228=1,$AJ228=1),$BA228*100000+ROW(),"")</f>
        <v/>
      </c>
      <c r="BD228" s="71" t="str">
        <f>IF(AND($AP228=1,$AJ228=1),$BA228*100000+ROW(),"")</f>
        <v/>
      </c>
      <c r="BE228" s="71" t="str">
        <f>IF(AND($AT228=1,$AJ228=1),$BA228*100000+ROW(),"")</f>
        <v/>
      </c>
      <c r="BF228" s="71" t="str">
        <f>IF(AND($AU228=1,$AJ228=1),$BA228*100000+ROW(),"")</f>
        <v/>
      </c>
      <c r="BG228" s="71" t="str">
        <f>IF(AND($AV228=1,$AJ228=1),$BA228*100000+ROW(),"")</f>
        <v/>
      </c>
      <c r="BH228" s="71" t="str">
        <f>IF(AND($AW228=1,$AJ228=1),$BA228*100000+ROW(),"")</f>
        <v/>
      </c>
      <c r="BI228" s="71" t="str">
        <f>IF(AND($AX228=1,$AJ228=1),$BA228*100000+ROW(),"")</f>
        <v/>
      </c>
      <c r="BJ228" s="71" t="str">
        <f>IF(AND($AS228=1,$AJ228=1),$BA228*100000+ROW(),"")</f>
        <v/>
      </c>
      <c r="BK228" s="71" t="str">
        <f>IF(AND($AY228=1,$AJ228=1),$BA228*100000+ROW(),"")</f>
        <v/>
      </c>
      <c r="BL228" s="71" t="str">
        <f>IF(AND($AZ228=1),$BA228*100000+ROW(),"")</f>
        <v/>
      </c>
    </row>
    <row r="229">
      <c r="A229" s="63" t="n"/>
      <c r="B229" s="64" t="n"/>
      <c r="C229" s="64" t="n"/>
      <c r="D229" s="64" t="n"/>
      <c r="E229" s="64" t="n"/>
      <c r="F229" s="64" t="n"/>
      <c r="G229" s="65" t="n"/>
      <c r="H229" s="65" t="n"/>
      <c r="I229" s="64" t="n"/>
      <c r="J229" s="64" t="n"/>
      <c r="K229" s="63" t="n"/>
      <c r="L229" s="63" t="n"/>
      <c r="M229" s="64" t="n"/>
      <c r="N229" s="66" t="n"/>
      <c r="O229" s="65" t="n"/>
      <c r="P229" s="64" t="n"/>
      <c r="Q229" s="67" t="n"/>
      <c r="R229" s="67" t="n"/>
      <c r="S229" s="68" t="str">
        <f>IF(AND(ISNUMBER($Q229),ISNUMBER($R229)),$Q229-$R229,"")</f>
        <v/>
      </c>
      <c r="T229" s="65" t="n"/>
      <c r="U229" s="64" t="n"/>
      <c r="V229" s="65" t="n"/>
      <c r="W229" s="63" t="n"/>
      <c r="X229" s="65" t="n"/>
      <c r="Y229" s="63" t="n"/>
      <c r="Z229" s="64" t="n"/>
      <c r="AA229" s="64" t="n"/>
      <c r="AB229" s="65" t="n"/>
      <c r="AC229" s="69" t="str">
        <f>IF(OR($G229="",NOT(ISNUMBER($K229)),$AK229=0),"",MAX(0,ReportDate-$K229))</f>
        <v/>
      </c>
      <c r="AD229" s="69" t="str">
        <f>IF($G229="","",IF($AL229=1,ReportDate-$L229,0))</f>
        <v/>
      </c>
      <c r="AE229" s="70" t="str">
        <f>IF($G229="","",IF($M229="Completed",1,IF(ISNUMBER($N229),$N229,0)))</f>
        <v/>
      </c>
      <c r="AF229" s="70" t="str">
        <f>IF(AND(ISNUMBER($Q229),ISNUMBER($R229)),IF($R229&lt;&gt;0,$Q229/$R229,""),"")</f>
        <v/>
      </c>
      <c r="AG229" s="71" t="str">
        <f>IF($G229="","",IF($AL229=1,"OVERDUE",IF($AM229=1,"BLOCKED",IF($AN229=1,"DUE TODAY",IF($AO229=1,"DUE TOMORROW",IF($AQ229=1,"HIGH PRIORITY",IF($AR229=1,"NO RECENT UPDATE",""))))))) </f>
        <v/>
      </c>
      <c r="AH229" s="71" t="str">
        <f>IF($G229="","",IF(ISNUMBER($A229),IF(ISNUMBER($A229),YEAR($A229)&amp;"-"&amp;TEXT(MONTH($A229),"00"),""),IF(ISNUMBER($L229),IF(ISNUMBER($L229),YEAR($L229)&amp;"-"&amp;TEXT(MONTH($L229),"00"),""),"")))</f>
        <v/>
      </c>
      <c r="AI229" s="71">
        <f>IF($G229="",0,IF(AND(OR(fClient="All",$C229=fClient),OR(fCampaign="All",$D229=fCampaign),OR(fTeam="All",$B229=fTeam),OR(fChannel="All",$F229=fChannel),OR(fMonth="All",$AH229=fMonth),OR(fTStatus="All",$M229=fTStatus)),1,0))</f>
        <v>0</v>
      </c>
      <c r="AJ229" s="71">
        <f>IF($G229="",0,IF(AND(OR(fClient="All",$C229=fClient),OR(fCampaign="All",$D229=fCampaign),OR(fTeam="All",$B229=fTeam),OR(fChannel="All",$F229=fChannel)),1,0))</f>
        <v>0</v>
      </c>
      <c r="AK229" s="71">
        <f>IF($G229="",0,IF(OR($M229="Completed",$M229="Cancelled"),0,1))</f>
        <v>0</v>
      </c>
      <c r="AL229" s="71">
        <f>IF(AND($AK229=1,ISNUMBER($L229)),IF($L229&lt;ReportDate,1,0),0)</f>
        <v>0</v>
      </c>
      <c r="AM229" s="71">
        <f>IF(AND($G229&lt;&gt;"",$M229="Blocked"),1,0)</f>
        <v>0</v>
      </c>
      <c r="AN229" s="71">
        <f>IF(AND($AK229=1,ISNUMBER($L229)),IF($L229=ReportDate,1,0),0)</f>
        <v>0</v>
      </c>
      <c r="AO229" s="71">
        <f>IF(AND($AK229=1,ISNUMBER($L229)),IF($L229=ReportDate+1,1,0),0)</f>
        <v>0</v>
      </c>
      <c r="AP229" s="71">
        <f>IF(AND($AK229=1,ISNUMBER($L229)),IF(AND($L229&gt;=ReportDate,$L229&lt;=ReportDate+DueSoonDays),1,0),0)</f>
        <v>0</v>
      </c>
      <c r="AQ229" s="71">
        <f>IF(AND($AK229=1,OR($I229="Critical",$I229="High")),1,0)</f>
        <v>0</v>
      </c>
      <c r="AR229" s="71">
        <f>IF($AK229=1,IF(ISNUMBER($Y229),IF(ReportDate-$Y229&gt;StaleDays,1,0),1),0)</f>
        <v>0</v>
      </c>
      <c r="AS229" s="71">
        <f>IF(AND($G229&lt;&gt;"",ISNUMBER($Q229),ISNUMBER($R229)),IF(AND($Q229&lt;$R229,OR($M229="Completed",AND(ISNUMBER($L229),$L229&lt;ReportDate))),1,0),0)</f>
        <v>0</v>
      </c>
      <c r="AT229" s="71">
        <f>IF($AK229=1,IF(OR($L229=ReportDate,$W229=ReportDate,$K229=ReportDate,$A229=ReportDate),1,0),0)</f>
        <v>0</v>
      </c>
      <c r="AU229" s="71">
        <f>IF($AK229=1,IF(OR($L229=ReportDate+1,$W229=ReportDate+1,$K229=ReportDate+1,$A229=ReportDate+1),1,0),0)</f>
        <v>0</v>
      </c>
      <c r="AV229" s="71">
        <f>IF(AND($G229&lt;&gt;"",$M229="Completed"),IF(OR($Y229=ReportDate-1,$A229=ReportDate-1),1,0),0)</f>
        <v>0</v>
      </c>
      <c r="AW229" s="71">
        <f>IF(AND($AK229=1,$Z229="Yes"),1,0)</f>
        <v>0</v>
      </c>
      <c r="AX229" s="71">
        <f>IF(AND($AK229=1,$AA229="Yes"),1,0)</f>
        <v>0</v>
      </c>
      <c r="AY229" s="71">
        <f>IF(AND($AM229=1,OR($I229="Critical",$I229="High")),1,0)</f>
        <v>0</v>
      </c>
      <c r="AZ229" s="71">
        <f>IF(AND($AK229=1,OR($C229=TCL_Client,$C229=MECCA_Client)),1,0)</f>
        <v>0</v>
      </c>
      <c r="BA229" s="71" t="str">
        <f>IF($G229="","",IFERROR(MATCH($I229,lst_Priority,0),5))</f>
        <v/>
      </c>
      <c r="BB229" s="71" t="str">
        <f>IF(AND($AL229=1,$AJ229=1),$BA229*100000+ROW(),"")</f>
        <v/>
      </c>
      <c r="BC229" s="71" t="str">
        <f>IF(AND($AM229=1,$AJ229=1),$BA229*100000+ROW(),"")</f>
        <v/>
      </c>
      <c r="BD229" s="71" t="str">
        <f>IF(AND($AP229=1,$AJ229=1),$BA229*100000+ROW(),"")</f>
        <v/>
      </c>
      <c r="BE229" s="71" t="str">
        <f>IF(AND($AT229=1,$AJ229=1),$BA229*100000+ROW(),"")</f>
        <v/>
      </c>
      <c r="BF229" s="71" t="str">
        <f>IF(AND($AU229=1,$AJ229=1),$BA229*100000+ROW(),"")</f>
        <v/>
      </c>
      <c r="BG229" s="71" t="str">
        <f>IF(AND($AV229=1,$AJ229=1),$BA229*100000+ROW(),"")</f>
        <v/>
      </c>
      <c r="BH229" s="71" t="str">
        <f>IF(AND($AW229=1,$AJ229=1),$BA229*100000+ROW(),"")</f>
        <v/>
      </c>
      <c r="BI229" s="71" t="str">
        <f>IF(AND($AX229=1,$AJ229=1),$BA229*100000+ROW(),"")</f>
        <v/>
      </c>
      <c r="BJ229" s="71" t="str">
        <f>IF(AND($AS229=1,$AJ229=1),$BA229*100000+ROW(),"")</f>
        <v/>
      </c>
      <c r="BK229" s="71" t="str">
        <f>IF(AND($AY229=1,$AJ229=1),$BA229*100000+ROW(),"")</f>
        <v/>
      </c>
      <c r="BL229" s="71" t="str">
        <f>IF(AND($AZ229=1),$BA229*100000+ROW(),"")</f>
        <v/>
      </c>
    </row>
    <row r="230">
      <c r="A230" s="63" t="n"/>
      <c r="B230" s="64" t="n"/>
      <c r="C230" s="64" t="n"/>
      <c r="D230" s="64" t="n"/>
      <c r="E230" s="64" t="n"/>
      <c r="F230" s="64" t="n"/>
      <c r="G230" s="65" t="n"/>
      <c r="H230" s="65" t="n"/>
      <c r="I230" s="64" t="n"/>
      <c r="J230" s="64" t="n"/>
      <c r="K230" s="63" t="n"/>
      <c r="L230" s="63" t="n"/>
      <c r="M230" s="64" t="n"/>
      <c r="N230" s="66" t="n"/>
      <c r="O230" s="65" t="n"/>
      <c r="P230" s="64" t="n"/>
      <c r="Q230" s="67" t="n"/>
      <c r="R230" s="67" t="n"/>
      <c r="S230" s="68" t="str">
        <f>IF(AND(ISNUMBER($Q230),ISNUMBER($R230)),$Q230-$R230,"")</f>
        <v/>
      </c>
      <c r="T230" s="65" t="n"/>
      <c r="U230" s="64" t="n"/>
      <c r="V230" s="65" t="n"/>
      <c r="W230" s="63" t="n"/>
      <c r="X230" s="65" t="n"/>
      <c r="Y230" s="63" t="n"/>
      <c r="Z230" s="64" t="n"/>
      <c r="AA230" s="64" t="n"/>
      <c r="AB230" s="65" t="n"/>
      <c r="AC230" s="69" t="str">
        <f>IF(OR($G230="",NOT(ISNUMBER($K230)),$AK230=0),"",MAX(0,ReportDate-$K230))</f>
        <v/>
      </c>
      <c r="AD230" s="69" t="str">
        <f>IF($G230="","",IF($AL230=1,ReportDate-$L230,0))</f>
        <v/>
      </c>
      <c r="AE230" s="70" t="str">
        <f>IF($G230="","",IF($M230="Completed",1,IF(ISNUMBER($N230),$N230,0)))</f>
        <v/>
      </c>
      <c r="AF230" s="70" t="str">
        <f>IF(AND(ISNUMBER($Q230),ISNUMBER($R230)),IF($R230&lt;&gt;0,$Q230/$R230,""),"")</f>
        <v/>
      </c>
      <c r="AG230" s="71" t="str">
        <f>IF($G230="","",IF($AL230=1,"OVERDUE",IF($AM230=1,"BLOCKED",IF($AN230=1,"DUE TODAY",IF($AO230=1,"DUE TOMORROW",IF($AQ230=1,"HIGH PRIORITY",IF($AR230=1,"NO RECENT UPDATE",""))))))) </f>
        <v/>
      </c>
      <c r="AH230" s="71" t="str">
        <f>IF($G230="","",IF(ISNUMBER($A230),IF(ISNUMBER($A230),YEAR($A230)&amp;"-"&amp;TEXT(MONTH($A230),"00"),""),IF(ISNUMBER($L230),IF(ISNUMBER($L230),YEAR($L230)&amp;"-"&amp;TEXT(MONTH($L230),"00"),""),"")))</f>
        <v/>
      </c>
      <c r="AI230" s="71">
        <f>IF($G230="",0,IF(AND(OR(fClient="All",$C230=fClient),OR(fCampaign="All",$D230=fCampaign),OR(fTeam="All",$B230=fTeam),OR(fChannel="All",$F230=fChannel),OR(fMonth="All",$AH230=fMonth),OR(fTStatus="All",$M230=fTStatus)),1,0))</f>
        <v>0</v>
      </c>
      <c r="AJ230" s="71">
        <f>IF($G230="",0,IF(AND(OR(fClient="All",$C230=fClient),OR(fCampaign="All",$D230=fCampaign),OR(fTeam="All",$B230=fTeam),OR(fChannel="All",$F230=fChannel)),1,0))</f>
        <v>0</v>
      </c>
      <c r="AK230" s="71">
        <f>IF($G230="",0,IF(OR($M230="Completed",$M230="Cancelled"),0,1))</f>
        <v>0</v>
      </c>
      <c r="AL230" s="71">
        <f>IF(AND($AK230=1,ISNUMBER($L230)),IF($L230&lt;ReportDate,1,0),0)</f>
        <v>0</v>
      </c>
      <c r="AM230" s="71">
        <f>IF(AND($G230&lt;&gt;"",$M230="Blocked"),1,0)</f>
        <v>0</v>
      </c>
      <c r="AN230" s="71">
        <f>IF(AND($AK230=1,ISNUMBER($L230)),IF($L230=ReportDate,1,0),0)</f>
        <v>0</v>
      </c>
      <c r="AO230" s="71">
        <f>IF(AND($AK230=1,ISNUMBER($L230)),IF($L230=ReportDate+1,1,0),0)</f>
        <v>0</v>
      </c>
      <c r="AP230" s="71">
        <f>IF(AND($AK230=1,ISNUMBER($L230)),IF(AND($L230&gt;=ReportDate,$L230&lt;=ReportDate+DueSoonDays),1,0),0)</f>
        <v>0</v>
      </c>
      <c r="AQ230" s="71">
        <f>IF(AND($AK230=1,OR($I230="Critical",$I230="High")),1,0)</f>
        <v>0</v>
      </c>
      <c r="AR230" s="71">
        <f>IF($AK230=1,IF(ISNUMBER($Y230),IF(ReportDate-$Y230&gt;StaleDays,1,0),1),0)</f>
        <v>0</v>
      </c>
      <c r="AS230" s="71">
        <f>IF(AND($G230&lt;&gt;"",ISNUMBER($Q230),ISNUMBER($R230)),IF(AND($Q230&lt;$R230,OR($M230="Completed",AND(ISNUMBER($L230),$L230&lt;ReportDate))),1,0),0)</f>
        <v>0</v>
      </c>
      <c r="AT230" s="71">
        <f>IF($AK230=1,IF(OR($L230=ReportDate,$W230=ReportDate,$K230=ReportDate,$A230=ReportDate),1,0),0)</f>
        <v>0</v>
      </c>
      <c r="AU230" s="71">
        <f>IF($AK230=1,IF(OR($L230=ReportDate+1,$W230=ReportDate+1,$K230=ReportDate+1,$A230=ReportDate+1),1,0),0)</f>
        <v>0</v>
      </c>
      <c r="AV230" s="71">
        <f>IF(AND($G230&lt;&gt;"",$M230="Completed"),IF(OR($Y230=ReportDate-1,$A230=ReportDate-1),1,0),0)</f>
        <v>0</v>
      </c>
      <c r="AW230" s="71">
        <f>IF(AND($AK230=1,$Z230="Yes"),1,0)</f>
        <v>0</v>
      </c>
      <c r="AX230" s="71">
        <f>IF(AND($AK230=1,$AA230="Yes"),1,0)</f>
        <v>0</v>
      </c>
      <c r="AY230" s="71">
        <f>IF(AND($AM230=1,OR($I230="Critical",$I230="High")),1,0)</f>
        <v>0</v>
      </c>
      <c r="AZ230" s="71">
        <f>IF(AND($AK230=1,OR($C230=TCL_Client,$C230=MECCA_Client)),1,0)</f>
        <v>0</v>
      </c>
      <c r="BA230" s="71" t="str">
        <f>IF($G230="","",IFERROR(MATCH($I230,lst_Priority,0),5))</f>
        <v/>
      </c>
      <c r="BB230" s="71" t="str">
        <f>IF(AND($AL230=1,$AJ230=1),$BA230*100000+ROW(),"")</f>
        <v/>
      </c>
      <c r="BC230" s="71" t="str">
        <f>IF(AND($AM230=1,$AJ230=1),$BA230*100000+ROW(),"")</f>
        <v/>
      </c>
      <c r="BD230" s="71" t="str">
        <f>IF(AND($AP230=1,$AJ230=1),$BA230*100000+ROW(),"")</f>
        <v/>
      </c>
      <c r="BE230" s="71" t="str">
        <f>IF(AND($AT230=1,$AJ230=1),$BA230*100000+ROW(),"")</f>
        <v/>
      </c>
      <c r="BF230" s="71" t="str">
        <f>IF(AND($AU230=1,$AJ230=1),$BA230*100000+ROW(),"")</f>
        <v/>
      </c>
      <c r="BG230" s="71" t="str">
        <f>IF(AND($AV230=1,$AJ230=1),$BA230*100000+ROW(),"")</f>
        <v/>
      </c>
      <c r="BH230" s="71" t="str">
        <f>IF(AND($AW230=1,$AJ230=1),$BA230*100000+ROW(),"")</f>
        <v/>
      </c>
      <c r="BI230" s="71" t="str">
        <f>IF(AND($AX230=1,$AJ230=1),$BA230*100000+ROW(),"")</f>
        <v/>
      </c>
      <c r="BJ230" s="71" t="str">
        <f>IF(AND($AS230=1,$AJ230=1),$BA230*100000+ROW(),"")</f>
        <v/>
      </c>
      <c r="BK230" s="71" t="str">
        <f>IF(AND($AY230=1,$AJ230=1),$BA230*100000+ROW(),"")</f>
        <v/>
      </c>
      <c r="BL230" s="71" t="str">
        <f>IF(AND($AZ230=1),$BA230*100000+ROW(),"")</f>
        <v/>
      </c>
    </row>
    <row r="231">
      <c r="A231" s="63" t="n"/>
      <c r="B231" s="64" t="n"/>
      <c r="C231" s="64" t="n"/>
      <c r="D231" s="64" t="n"/>
      <c r="E231" s="64" t="n"/>
      <c r="F231" s="64" t="n"/>
      <c r="G231" s="65" t="n"/>
      <c r="H231" s="65" t="n"/>
      <c r="I231" s="64" t="n"/>
      <c r="J231" s="64" t="n"/>
      <c r="K231" s="63" t="n"/>
      <c r="L231" s="63" t="n"/>
      <c r="M231" s="64" t="n"/>
      <c r="N231" s="66" t="n"/>
      <c r="O231" s="65" t="n"/>
      <c r="P231" s="64" t="n"/>
      <c r="Q231" s="67" t="n"/>
      <c r="R231" s="67" t="n"/>
      <c r="S231" s="68" t="str">
        <f>IF(AND(ISNUMBER($Q231),ISNUMBER($R231)),$Q231-$R231,"")</f>
        <v/>
      </c>
      <c r="T231" s="65" t="n"/>
      <c r="U231" s="64" t="n"/>
      <c r="V231" s="65" t="n"/>
      <c r="W231" s="63" t="n"/>
      <c r="X231" s="65" t="n"/>
      <c r="Y231" s="63" t="n"/>
      <c r="Z231" s="64" t="n"/>
      <c r="AA231" s="64" t="n"/>
      <c r="AB231" s="65" t="n"/>
      <c r="AC231" s="69" t="str">
        <f>IF(OR($G231="",NOT(ISNUMBER($K231)),$AK231=0),"",MAX(0,ReportDate-$K231))</f>
        <v/>
      </c>
      <c r="AD231" s="69" t="str">
        <f>IF($G231="","",IF($AL231=1,ReportDate-$L231,0))</f>
        <v/>
      </c>
      <c r="AE231" s="70" t="str">
        <f>IF($G231="","",IF($M231="Completed",1,IF(ISNUMBER($N231),$N231,0)))</f>
        <v/>
      </c>
      <c r="AF231" s="70" t="str">
        <f>IF(AND(ISNUMBER($Q231),ISNUMBER($R231)),IF($R231&lt;&gt;0,$Q231/$R231,""),"")</f>
        <v/>
      </c>
      <c r="AG231" s="71" t="str">
        <f>IF($G231="","",IF($AL231=1,"OVERDUE",IF($AM231=1,"BLOCKED",IF($AN231=1,"DUE TODAY",IF($AO231=1,"DUE TOMORROW",IF($AQ231=1,"HIGH PRIORITY",IF($AR231=1,"NO RECENT UPDATE",""))))))) </f>
        <v/>
      </c>
      <c r="AH231" s="71" t="str">
        <f>IF($G231="","",IF(ISNUMBER($A231),IF(ISNUMBER($A231),YEAR($A231)&amp;"-"&amp;TEXT(MONTH($A231),"00"),""),IF(ISNUMBER($L231),IF(ISNUMBER($L231),YEAR($L231)&amp;"-"&amp;TEXT(MONTH($L231),"00"),""),"")))</f>
        <v/>
      </c>
      <c r="AI231" s="71">
        <f>IF($G231="",0,IF(AND(OR(fClient="All",$C231=fClient),OR(fCampaign="All",$D231=fCampaign),OR(fTeam="All",$B231=fTeam),OR(fChannel="All",$F231=fChannel),OR(fMonth="All",$AH231=fMonth),OR(fTStatus="All",$M231=fTStatus)),1,0))</f>
        <v>0</v>
      </c>
      <c r="AJ231" s="71">
        <f>IF($G231="",0,IF(AND(OR(fClient="All",$C231=fClient),OR(fCampaign="All",$D231=fCampaign),OR(fTeam="All",$B231=fTeam),OR(fChannel="All",$F231=fChannel)),1,0))</f>
        <v>0</v>
      </c>
      <c r="AK231" s="71">
        <f>IF($G231="",0,IF(OR($M231="Completed",$M231="Cancelled"),0,1))</f>
        <v>0</v>
      </c>
      <c r="AL231" s="71">
        <f>IF(AND($AK231=1,ISNUMBER($L231)),IF($L231&lt;ReportDate,1,0),0)</f>
        <v>0</v>
      </c>
      <c r="AM231" s="71">
        <f>IF(AND($G231&lt;&gt;"",$M231="Blocked"),1,0)</f>
        <v>0</v>
      </c>
      <c r="AN231" s="71">
        <f>IF(AND($AK231=1,ISNUMBER($L231)),IF($L231=ReportDate,1,0),0)</f>
        <v>0</v>
      </c>
      <c r="AO231" s="71">
        <f>IF(AND($AK231=1,ISNUMBER($L231)),IF($L231=ReportDate+1,1,0),0)</f>
        <v>0</v>
      </c>
      <c r="AP231" s="71">
        <f>IF(AND($AK231=1,ISNUMBER($L231)),IF(AND($L231&gt;=ReportDate,$L231&lt;=ReportDate+DueSoonDays),1,0),0)</f>
        <v>0</v>
      </c>
      <c r="AQ231" s="71">
        <f>IF(AND($AK231=1,OR($I231="Critical",$I231="High")),1,0)</f>
        <v>0</v>
      </c>
      <c r="AR231" s="71">
        <f>IF($AK231=1,IF(ISNUMBER($Y231),IF(ReportDate-$Y231&gt;StaleDays,1,0),1),0)</f>
        <v>0</v>
      </c>
      <c r="AS231" s="71">
        <f>IF(AND($G231&lt;&gt;"",ISNUMBER($Q231),ISNUMBER($R231)),IF(AND($Q231&lt;$R231,OR($M231="Completed",AND(ISNUMBER($L231),$L231&lt;ReportDate))),1,0),0)</f>
        <v>0</v>
      </c>
      <c r="AT231" s="71">
        <f>IF($AK231=1,IF(OR($L231=ReportDate,$W231=ReportDate,$K231=ReportDate,$A231=ReportDate),1,0),0)</f>
        <v>0</v>
      </c>
      <c r="AU231" s="71">
        <f>IF($AK231=1,IF(OR($L231=ReportDate+1,$W231=ReportDate+1,$K231=ReportDate+1,$A231=ReportDate+1),1,0),0)</f>
        <v>0</v>
      </c>
      <c r="AV231" s="71">
        <f>IF(AND($G231&lt;&gt;"",$M231="Completed"),IF(OR($Y231=ReportDate-1,$A231=ReportDate-1),1,0),0)</f>
        <v>0</v>
      </c>
      <c r="AW231" s="71">
        <f>IF(AND($AK231=1,$Z231="Yes"),1,0)</f>
        <v>0</v>
      </c>
      <c r="AX231" s="71">
        <f>IF(AND($AK231=1,$AA231="Yes"),1,0)</f>
        <v>0</v>
      </c>
      <c r="AY231" s="71">
        <f>IF(AND($AM231=1,OR($I231="Critical",$I231="High")),1,0)</f>
        <v>0</v>
      </c>
      <c r="AZ231" s="71">
        <f>IF(AND($AK231=1,OR($C231=TCL_Client,$C231=MECCA_Client)),1,0)</f>
        <v>0</v>
      </c>
      <c r="BA231" s="71" t="str">
        <f>IF($G231="","",IFERROR(MATCH($I231,lst_Priority,0),5))</f>
        <v/>
      </c>
      <c r="BB231" s="71" t="str">
        <f>IF(AND($AL231=1,$AJ231=1),$BA231*100000+ROW(),"")</f>
        <v/>
      </c>
      <c r="BC231" s="71" t="str">
        <f>IF(AND($AM231=1,$AJ231=1),$BA231*100000+ROW(),"")</f>
        <v/>
      </c>
      <c r="BD231" s="71" t="str">
        <f>IF(AND($AP231=1,$AJ231=1),$BA231*100000+ROW(),"")</f>
        <v/>
      </c>
      <c r="BE231" s="71" t="str">
        <f>IF(AND($AT231=1,$AJ231=1),$BA231*100000+ROW(),"")</f>
        <v/>
      </c>
      <c r="BF231" s="71" t="str">
        <f>IF(AND($AU231=1,$AJ231=1),$BA231*100000+ROW(),"")</f>
        <v/>
      </c>
      <c r="BG231" s="71" t="str">
        <f>IF(AND($AV231=1,$AJ231=1),$BA231*100000+ROW(),"")</f>
        <v/>
      </c>
      <c r="BH231" s="71" t="str">
        <f>IF(AND($AW231=1,$AJ231=1),$BA231*100000+ROW(),"")</f>
        <v/>
      </c>
      <c r="BI231" s="71" t="str">
        <f>IF(AND($AX231=1,$AJ231=1),$BA231*100000+ROW(),"")</f>
        <v/>
      </c>
      <c r="BJ231" s="71" t="str">
        <f>IF(AND($AS231=1,$AJ231=1),$BA231*100000+ROW(),"")</f>
        <v/>
      </c>
      <c r="BK231" s="71" t="str">
        <f>IF(AND($AY231=1,$AJ231=1),$BA231*100000+ROW(),"")</f>
        <v/>
      </c>
      <c r="BL231" s="71" t="str">
        <f>IF(AND($AZ231=1),$BA231*100000+ROW(),"")</f>
        <v/>
      </c>
    </row>
    <row r="232">
      <c r="A232" s="63" t="n"/>
      <c r="B232" s="64" t="n"/>
      <c r="C232" s="64" t="n"/>
      <c r="D232" s="64" t="n"/>
      <c r="E232" s="64" t="n"/>
      <c r="F232" s="64" t="n"/>
      <c r="G232" s="65" t="n"/>
      <c r="H232" s="65" t="n"/>
      <c r="I232" s="64" t="n"/>
      <c r="J232" s="64" t="n"/>
      <c r="K232" s="63" t="n"/>
      <c r="L232" s="63" t="n"/>
      <c r="M232" s="64" t="n"/>
      <c r="N232" s="66" t="n"/>
      <c r="O232" s="65" t="n"/>
      <c r="P232" s="64" t="n"/>
      <c r="Q232" s="67" t="n"/>
      <c r="R232" s="67" t="n"/>
      <c r="S232" s="68" t="str">
        <f>IF(AND(ISNUMBER($Q232),ISNUMBER($R232)),$Q232-$R232,"")</f>
        <v/>
      </c>
      <c r="T232" s="65" t="n"/>
      <c r="U232" s="64" t="n"/>
      <c r="V232" s="65" t="n"/>
      <c r="W232" s="63" t="n"/>
      <c r="X232" s="65" t="n"/>
      <c r="Y232" s="63" t="n"/>
      <c r="Z232" s="64" t="n"/>
      <c r="AA232" s="64" t="n"/>
      <c r="AB232" s="65" t="n"/>
      <c r="AC232" s="69" t="str">
        <f>IF(OR($G232="",NOT(ISNUMBER($K232)),$AK232=0),"",MAX(0,ReportDate-$K232))</f>
        <v/>
      </c>
      <c r="AD232" s="69" t="str">
        <f>IF($G232="","",IF($AL232=1,ReportDate-$L232,0))</f>
        <v/>
      </c>
      <c r="AE232" s="70" t="str">
        <f>IF($G232="","",IF($M232="Completed",1,IF(ISNUMBER($N232),$N232,0)))</f>
        <v/>
      </c>
      <c r="AF232" s="70" t="str">
        <f>IF(AND(ISNUMBER($Q232),ISNUMBER($R232)),IF($R232&lt;&gt;0,$Q232/$R232,""),"")</f>
        <v/>
      </c>
      <c r="AG232" s="71" t="str">
        <f>IF($G232="","",IF($AL232=1,"OVERDUE",IF($AM232=1,"BLOCKED",IF($AN232=1,"DUE TODAY",IF($AO232=1,"DUE TOMORROW",IF($AQ232=1,"HIGH PRIORITY",IF($AR232=1,"NO RECENT UPDATE",""))))))) </f>
        <v/>
      </c>
      <c r="AH232" s="71" t="str">
        <f>IF($G232="","",IF(ISNUMBER($A232),IF(ISNUMBER($A232),YEAR($A232)&amp;"-"&amp;TEXT(MONTH($A232),"00"),""),IF(ISNUMBER($L232),IF(ISNUMBER($L232),YEAR($L232)&amp;"-"&amp;TEXT(MONTH($L232),"00"),""),"")))</f>
        <v/>
      </c>
      <c r="AI232" s="71">
        <f>IF($G232="",0,IF(AND(OR(fClient="All",$C232=fClient),OR(fCampaign="All",$D232=fCampaign),OR(fTeam="All",$B232=fTeam),OR(fChannel="All",$F232=fChannel),OR(fMonth="All",$AH232=fMonth),OR(fTStatus="All",$M232=fTStatus)),1,0))</f>
        <v>0</v>
      </c>
      <c r="AJ232" s="71">
        <f>IF($G232="",0,IF(AND(OR(fClient="All",$C232=fClient),OR(fCampaign="All",$D232=fCampaign),OR(fTeam="All",$B232=fTeam),OR(fChannel="All",$F232=fChannel)),1,0))</f>
        <v>0</v>
      </c>
      <c r="AK232" s="71">
        <f>IF($G232="",0,IF(OR($M232="Completed",$M232="Cancelled"),0,1))</f>
        <v>0</v>
      </c>
      <c r="AL232" s="71">
        <f>IF(AND($AK232=1,ISNUMBER($L232)),IF($L232&lt;ReportDate,1,0),0)</f>
        <v>0</v>
      </c>
      <c r="AM232" s="71">
        <f>IF(AND($G232&lt;&gt;"",$M232="Blocked"),1,0)</f>
        <v>0</v>
      </c>
      <c r="AN232" s="71">
        <f>IF(AND($AK232=1,ISNUMBER($L232)),IF($L232=ReportDate,1,0),0)</f>
        <v>0</v>
      </c>
      <c r="AO232" s="71">
        <f>IF(AND($AK232=1,ISNUMBER($L232)),IF($L232=ReportDate+1,1,0),0)</f>
        <v>0</v>
      </c>
      <c r="AP232" s="71">
        <f>IF(AND($AK232=1,ISNUMBER($L232)),IF(AND($L232&gt;=ReportDate,$L232&lt;=ReportDate+DueSoonDays),1,0),0)</f>
        <v>0</v>
      </c>
      <c r="AQ232" s="71">
        <f>IF(AND($AK232=1,OR($I232="Critical",$I232="High")),1,0)</f>
        <v>0</v>
      </c>
      <c r="AR232" s="71">
        <f>IF($AK232=1,IF(ISNUMBER($Y232),IF(ReportDate-$Y232&gt;StaleDays,1,0),1),0)</f>
        <v>0</v>
      </c>
      <c r="AS232" s="71">
        <f>IF(AND($G232&lt;&gt;"",ISNUMBER($Q232),ISNUMBER($R232)),IF(AND($Q232&lt;$R232,OR($M232="Completed",AND(ISNUMBER($L232),$L232&lt;ReportDate))),1,0),0)</f>
        <v>0</v>
      </c>
      <c r="AT232" s="71">
        <f>IF($AK232=1,IF(OR($L232=ReportDate,$W232=ReportDate,$K232=ReportDate,$A232=ReportDate),1,0),0)</f>
        <v>0</v>
      </c>
      <c r="AU232" s="71">
        <f>IF($AK232=1,IF(OR($L232=ReportDate+1,$W232=ReportDate+1,$K232=ReportDate+1,$A232=ReportDate+1),1,0),0)</f>
        <v>0</v>
      </c>
      <c r="AV232" s="71">
        <f>IF(AND($G232&lt;&gt;"",$M232="Completed"),IF(OR($Y232=ReportDate-1,$A232=ReportDate-1),1,0),0)</f>
        <v>0</v>
      </c>
      <c r="AW232" s="71">
        <f>IF(AND($AK232=1,$Z232="Yes"),1,0)</f>
        <v>0</v>
      </c>
      <c r="AX232" s="71">
        <f>IF(AND($AK232=1,$AA232="Yes"),1,0)</f>
        <v>0</v>
      </c>
      <c r="AY232" s="71">
        <f>IF(AND($AM232=1,OR($I232="Critical",$I232="High")),1,0)</f>
        <v>0</v>
      </c>
      <c r="AZ232" s="71">
        <f>IF(AND($AK232=1,OR($C232=TCL_Client,$C232=MECCA_Client)),1,0)</f>
        <v>0</v>
      </c>
      <c r="BA232" s="71" t="str">
        <f>IF($G232="","",IFERROR(MATCH($I232,lst_Priority,0),5))</f>
        <v/>
      </c>
      <c r="BB232" s="71" t="str">
        <f>IF(AND($AL232=1,$AJ232=1),$BA232*100000+ROW(),"")</f>
        <v/>
      </c>
      <c r="BC232" s="71" t="str">
        <f>IF(AND($AM232=1,$AJ232=1),$BA232*100000+ROW(),"")</f>
        <v/>
      </c>
      <c r="BD232" s="71" t="str">
        <f>IF(AND($AP232=1,$AJ232=1),$BA232*100000+ROW(),"")</f>
        <v/>
      </c>
      <c r="BE232" s="71" t="str">
        <f>IF(AND($AT232=1,$AJ232=1),$BA232*100000+ROW(),"")</f>
        <v/>
      </c>
      <c r="BF232" s="71" t="str">
        <f>IF(AND($AU232=1,$AJ232=1),$BA232*100000+ROW(),"")</f>
        <v/>
      </c>
      <c r="BG232" s="71" t="str">
        <f>IF(AND($AV232=1,$AJ232=1),$BA232*100000+ROW(),"")</f>
        <v/>
      </c>
      <c r="BH232" s="71" t="str">
        <f>IF(AND($AW232=1,$AJ232=1),$BA232*100000+ROW(),"")</f>
        <v/>
      </c>
      <c r="BI232" s="71" t="str">
        <f>IF(AND($AX232=1,$AJ232=1),$BA232*100000+ROW(),"")</f>
        <v/>
      </c>
      <c r="BJ232" s="71" t="str">
        <f>IF(AND($AS232=1,$AJ232=1),$BA232*100000+ROW(),"")</f>
        <v/>
      </c>
      <c r="BK232" s="71" t="str">
        <f>IF(AND($AY232=1,$AJ232=1),$BA232*100000+ROW(),"")</f>
        <v/>
      </c>
      <c r="BL232" s="71" t="str">
        <f>IF(AND($AZ232=1),$BA232*100000+ROW(),"")</f>
        <v/>
      </c>
    </row>
    <row r="233">
      <c r="A233" s="63" t="n"/>
      <c r="B233" s="64" t="n"/>
      <c r="C233" s="64" t="n"/>
      <c r="D233" s="64" t="n"/>
      <c r="E233" s="64" t="n"/>
      <c r="F233" s="64" t="n"/>
      <c r="G233" s="65" t="n"/>
      <c r="H233" s="65" t="n"/>
      <c r="I233" s="64" t="n"/>
      <c r="J233" s="64" t="n"/>
      <c r="K233" s="63" t="n"/>
      <c r="L233" s="63" t="n"/>
      <c r="M233" s="64" t="n"/>
      <c r="N233" s="66" t="n"/>
      <c r="O233" s="65" t="n"/>
      <c r="P233" s="64" t="n"/>
      <c r="Q233" s="67" t="n"/>
      <c r="R233" s="67" t="n"/>
      <c r="S233" s="68" t="str">
        <f>IF(AND(ISNUMBER($Q233),ISNUMBER($R233)),$Q233-$R233,"")</f>
        <v/>
      </c>
      <c r="T233" s="65" t="n"/>
      <c r="U233" s="64" t="n"/>
      <c r="V233" s="65" t="n"/>
      <c r="W233" s="63" t="n"/>
      <c r="X233" s="65" t="n"/>
      <c r="Y233" s="63" t="n"/>
      <c r="Z233" s="64" t="n"/>
      <c r="AA233" s="64" t="n"/>
      <c r="AB233" s="65" t="n"/>
      <c r="AC233" s="69" t="str">
        <f>IF(OR($G233="",NOT(ISNUMBER($K233)),$AK233=0),"",MAX(0,ReportDate-$K233))</f>
        <v/>
      </c>
      <c r="AD233" s="69" t="str">
        <f>IF($G233="","",IF($AL233=1,ReportDate-$L233,0))</f>
        <v/>
      </c>
      <c r="AE233" s="70" t="str">
        <f>IF($G233="","",IF($M233="Completed",1,IF(ISNUMBER($N233),$N233,0)))</f>
        <v/>
      </c>
      <c r="AF233" s="70" t="str">
        <f>IF(AND(ISNUMBER($Q233),ISNUMBER($R233)),IF($R233&lt;&gt;0,$Q233/$R233,""),"")</f>
        <v/>
      </c>
      <c r="AG233" s="71" t="str">
        <f>IF($G233="","",IF($AL233=1,"OVERDUE",IF($AM233=1,"BLOCKED",IF($AN233=1,"DUE TODAY",IF($AO233=1,"DUE TOMORROW",IF($AQ233=1,"HIGH PRIORITY",IF($AR233=1,"NO RECENT UPDATE",""))))))) </f>
        <v/>
      </c>
      <c r="AH233" s="71" t="str">
        <f>IF($G233="","",IF(ISNUMBER($A233),IF(ISNUMBER($A233),YEAR($A233)&amp;"-"&amp;TEXT(MONTH($A233),"00"),""),IF(ISNUMBER($L233),IF(ISNUMBER($L233),YEAR($L233)&amp;"-"&amp;TEXT(MONTH($L233),"00"),""),"")))</f>
        <v/>
      </c>
      <c r="AI233" s="71">
        <f>IF($G233="",0,IF(AND(OR(fClient="All",$C233=fClient),OR(fCampaign="All",$D233=fCampaign),OR(fTeam="All",$B233=fTeam),OR(fChannel="All",$F233=fChannel),OR(fMonth="All",$AH233=fMonth),OR(fTStatus="All",$M233=fTStatus)),1,0))</f>
        <v>0</v>
      </c>
      <c r="AJ233" s="71">
        <f>IF($G233="",0,IF(AND(OR(fClient="All",$C233=fClient),OR(fCampaign="All",$D233=fCampaign),OR(fTeam="All",$B233=fTeam),OR(fChannel="All",$F233=fChannel)),1,0))</f>
        <v>0</v>
      </c>
      <c r="AK233" s="71">
        <f>IF($G233="",0,IF(OR($M233="Completed",$M233="Cancelled"),0,1))</f>
        <v>0</v>
      </c>
      <c r="AL233" s="71">
        <f>IF(AND($AK233=1,ISNUMBER($L233)),IF($L233&lt;ReportDate,1,0),0)</f>
        <v>0</v>
      </c>
      <c r="AM233" s="71">
        <f>IF(AND($G233&lt;&gt;"",$M233="Blocked"),1,0)</f>
        <v>0</v>
      </c>
      <c r="AN233" s="71">
        <f>IF(AND($AK233=1,ISNUMBER($L233)),IF($L233=ReportDate,1,0),0)</f>
        <v>0</v>
      </c>
      <c r="AO233" s="71">
        <f>IF(AND($AK233=1,ISNUMBER($L233)),IF($L233=ReportDate+1,1,0),0)</f>
        <v>0</v>
      </c>
      <c r="AP233" s="71">
        <f>IF(AND($AK233=1,ISNUMBER($L233)),IF(AND($L233&gt;=ReportDate,$L233&lt;=ReportDate+DueSoonDays),1,0),0)</f>
        <v>0</v>
      </c>
      <c r="AQ233" s="71">
        <f>IF(AND($AK233=1,OR($I233="Critical",$I233="High")),1,0)</f>
        <v>0</v>
      </c>
      <c r="AR233" s="71">
        <f>IF($AK233=1,IF(ISNUMBER($Y233),IF(ReportDate-$Y233&gt;StaleDays,1,0),1),0)</f>
        <v>0</v>
      </c>
      <c r="AS233" s="71">
        <f>IF(AND($G233&lt;&gt;"",ISNUMBER($Q233),ISNUMBER($R233)),IF(AND($Q233&lt;$R233,OR($M233="Completed",AND(ISNUMBER($L233),$L233&lt;ReportDate))),1,0),0)</f>
        <v>0</v>
      </c>
      <c r="AT233" s="71">
        <f>IF($AK233=1,IF(OR($L233=ReportDate,$W233=ReportDate,$K233=ReportDate,$A233=ReportDate),1,0),0)</f>
        <v>0</v>
      </c>
      <c r="AU233" s="71">
        <f>IF($AK233=1,IF(OR($L233=ReportDate+1,$W233=ReportDate+1,$K233=ReportDate+1,$A233=ReportDate+1),1,0),0)</f>
        <v>0</v>
      </c>
      <c r="AV233" s="71">
        <f>IF(AND($G233&lt;&gt;"",$M233="Completed"),IF(OR($Y233=ReportDate-1,$A233=ReportDate-1),1,0),0)</f>
        <v>0</v>
      </c>
      <c r="AW233" s="71">
        <f>IF(AND($AK233=1,$Z233="Yes"),1,0)</f>
        <v>0</v>
      </c>
      <c r="AX233" s="71">
        <f>IF(AND($AK233=1,$AA233="Yes"),1,0)</f>
        <v>0</v>
      </c>
      <c r="AY233" s="71">
        <f>IF(AND($AM233=1,OR($I233="Critical",$I233="High")),1,0)</f>
        <v>0</v>
      </c>
      <c r="AZ233" s="71">
        <f>IF(AND($AK233=1,OR($C233=TCL_Client,$C233=MECCA_Client)),1,0)</f>
        <v>0</v>
      </c>
      <c r="BA233" s="71" t="str">
        <f>IF($G233="","",IFERROR(MATCH($I233,lst_Priority,0),5))</f>
        <v/>
      </c>
      <c r="BB233" s="71" t="str">
        <f>IF(AND($AL233=1,$AJ233=1),$BA233*100000+ROW(),"")</f>
        <v/>
      </c>
      <c r="BC233" s="71" t="str">
        <f>IF(AND($AM233=1,$AJ233=1),$BA233*100000+ROW(),"")</f>
        <v/>
      </c>
      <c r="BD233" s="71" t="str">
        <f>IF(AND($AP233=1,$AJ233=1),$BA233*100000+ROW(),"")</f>
        <v/>
      </c>
      <c r="BE233" s="71" t="str">
        <f>IF(AND($AT233=1,$AJ233=1),$BA233*100000+ROW(),"")</f>
        <v/>
      </c>
      <c r="BF233" s="71" t="str">
        <f>IF(AND($AU233=1,$AJ233=1),$BA233*100000+ROW(),"")</f>
        <v/>
      </c>
      <c r="BG233" s="71" t="str">
        <f>IF(AND($AV233=1,$AJ233=1),$BA233*100000+ROW(),"")</f>
        <v/>
      </c>
      <c r="BH233" s="71" t="str">
        <f>IF(AND($AW233=1,$AJ233=1),$BA233*100000+ROW(),"")</f>
        <v/>
      </c>
      <c r="BI233" s="71" t="str">
        <f>IF(AND($AX233=1,$AJ233=1),$BA233*100000+ROW(),"")</f>
        <v/>
      </c>
      <c r="BJ233" s="71" t="str">
        <f>IF(AND($AS233=1,$AJ233=1),$BA233*100000+ROW(),"")</f>
        <v/>
      </c>
      <c r="BK233" s="71" t="str">
        <f>IF(AND($AY233=1,$AJ233=1),$BA233*100000+ROW(),"")</f>
        <v/>
      </c>
      <c r="BL233" s="71" t="str">
        <f>IF(AND($AZ233=1),$BA233*100000+ROW(),"")</f>
        <v/>
      </c>
    </row>
    <row r="234">
      <c r="A234" s="63" t="n"/>
      <c r="B234" s="64" t="n"/>
      <c r="C234" s="64" t="n"/>
      <c r="D234" s="64" t="n"/>
      <c r="E234" s="64" t="n"/>
      <c r="F234" s="64" t="n"/>
      <c r="G234" s="65" t="n"/>
      <c r="H234" s="65" t="n"/>
      <c r="I234" s="64" t="n"/>
      <c r="J234" s="64" t="n"/>
      <c r="K234" s="63" t="n"/>
      <c r="L234" s="63" t="n"/>
      <c r="M234" s="64" t="n"/>
      <c r="N234" s="66" t="n"/>
      <c r="O234" s="65" t="n"/>
      <c r="P234" s="64" t="n"/>
      <c r="Q234" s="67" t="n"/>
      <c r="R234" s="67" t="n"/>
      <c r="S234" s="68" t="str">
        <f>IF(AND(ISNUMBER($Q234),ISNUMBER($R234)),$Q234-$R234,"")</f>
        <v/>
      </c>
      <c r="T234" s="65" t="n"/>
      <c r="U234" s="64" t="n"/>
      <c r="V234" s="65" t="n"/>
      <c r="W234" s="63" t="n"/>
      <c r="X234" s="65" t="n"/>
      <c r="Y234" s="63" t="n"/>
      <c r="Z234" s="64" t="n"/>
      <c r="AA234" s="64" t="n"/>
      <c r="AB234" s="65" t="n"/>
      <c r="AC234" s="69" t="str">
        <f>IF(OR($G234="",NOT(ISNUMBER($K234)),$AK234=0),"",MAX(0,ReportDate-$K234))</f>
        <v/>
      </c>
      <c r="AD234" s="69" t="str">
        <f>IF($G234="","",IF($AL234=1,ReportDate-$L234,0))</f>
        <v/>
      </c>
      <c r="AE234" s="70" t="str">
        <f>IF($G234="","",IF($M234="Completed",1,IF(ISNUMBER($N234),$N234,0)))</f>
        <v/>
      </c>
      <c r="AF234" s="70" t="str">
        <f>IF(AND(ISNUMBER($Q234),ISNUMBER($R234)),IF($R234&lt;&gt;0,$Q234/$R234,""),"")</f>
        <v/>
      </c>
      <c r="AG234" s="71" t="str">
        <f>IF($G234="","",IF($AL234=1,"OVERDUE",IF($AM234=1,"BLOCKED",IF($AN234=1,"DUE TODAY",IF($AO234=1,"DUE TOMORROW",IF($AQ234=1,"HIGH PRIORITY",IF($AR234=1,"NO RECENT UPDATE",""))))))) </f>
        <v/>
      </c>
      <c r="AH234" s="71" t="str">
        <f>IF($G234="","",IF(ISNUMBER($A234),IF(ISNUMBER($A234),YEAR($A234)&amp;"-"&amp;TEXT(MONTH($A234),"00"),""),IF(ISNUMBER($L234),IF(ISNUMBER($L234),YEAR($L234)&amp;"-"&amp;TEXT(MONTH($L234),"00"),""),"")))</f>
        <v/>
      </c>
      <c r="AI234" s="71">
        <f>IF($G234="",0,IF(AND(OR(fClient="All",$C234=fClient),OR(fCampaign="All",$D234=fCampaign),OR(fTeam="All",$B234=fTeam),OR(fChannel="All",$F234=fChannel),OR(fMonth="All",$AH234=fMonth),OR(fTStatus="All",$M234=fTStatus)),1,0))</f>
        <v>0</v>
      </c>
      <c r="AJ234" s="71">
        <f>IF($G234="",0,IF(AND(OR(fClient="All",$C234=fClient),OR(fCampaign="All",$D234=fCampaign),OR(fTeam="All",$B234=fTeam),OR(fChannel="All",$F234=fChannel)),1,0))</f>
        <v>0</v>
      </c>
      <c r="AK234" s="71">
        <f>IF($G234="",0,IF(OR($M234="Completed",$M234="Cancelled"),0,1))</f>
        <v>0</v>
      </c>
      <c r="AL234" s="71">
        <f>IF(AND($AK234=1,ISNUMBER($L234)),IF($L234&lt;ReportDate,1,0),0)</f>
        <v>0</v>
      </c>
      <c r="AM234" s="71">
        <f>IF(AND($G234&lt;&gt;"",$M234="Blocked"),1,0)</f>
        <v>0</v>
      </c>
      <c r="AN234" s="71">
        <f>IF(AND($AK234=1,ISNUMBER($L234)),IF($L234=ReportDate,1,0),0)</f>
        <v>0</v>
      </c>
      <c r="AO234" s="71">
        <f>IF(AND($AK234=1,ISNUMBER($L234)),IF($L234=ReportDate+1,1,0),0)</f>
        <v>0</v>
      </c>
      <c r="AP234" s="71">
        <f>IF(AND($AK234=1,ISNUMBER($L234)),IF(AND($L234&gt;=ReportDate,$L234&lt;=ReportDate+DueSoonDays),1,0),0)</f>
        <v>0</v>
      </c>
      <c r="AQ234" s="71">
        <f>IF(AND($AK234=1,OR($I234="Critical",$I234="High")),1,0)</f>
        <v>0</v>
      </c>
      <c r="AR234" s="71">
        <f>IF($AK234=1,IF(ISNUMBER($Y234),IF(ReportDate-$Y234&gt;StaleDays,1,0),1),0)</f>
        <v>0</v>
      </c>
      <c r="AS234" s="71">
        <f>IF(AND($G234&lt;&gt;"",ISNUMBER($Q234),ISNUMBER($R234)),IF(AND($Q234&lt;$R234,OR($M234="Completed",AND(ISNUMBER($L234),$L234&lt;ReportDate))),1,0),0)</f>
        <v>0</v>
      </c>
      <c r="AT234" s="71">
        <f>IF($AK234=1,IF(OR($L234=ReportDate,$W234=ReportDate,$K234=ReportDate,$A234=ReportDate),1,0),0)</f>
        <v>0</v>
      </c>
      <c r="AU234" s="71">
        <f>IF($AK234=1,IF(OR($L234=ReportDate+1,$W234=ReportDate+1,$K234=ReportDate+1,$A234=ReportDate+1),1,0),0)</f>
        <v>0</v>
      </c>
      <c r="AV234" s="71">
        <f>IF(AND($G234&lt;&gt;"",$M234="Completed"),IF(OR($Y234=ReportDate-1,$A234=ReportDate-1),1,0),0)</f>
        <v>0</v>
      </c>
      <c r="AW234" s="71">
        <f>IF(AND($AK234=1,$Z234="Yes"),1,0)</f>
        <v>0</v>
      </c>
      <c r="AX234" s="71">
        <f>IF(AND($AK234=1,$AA234="Yes"),1,0)</f>
        <v>0</v>
      </c>
      <c r="AY234" s="71">
        <f>IF(AND($AM234=1,OR($I234="Critical",$I234="High")),1,0)</f>
        <v>0</v>
      </c>
      <c r="AZ234" s="71">
        <f>IF(AND($AK234=1,OR($C234=TCL_Client,$C234=MECCA_Client)),1,0)</f>
        <v>0</v>
      </c>
      <c r="BA234" s="71" t="str">
        <f>IF($G234="","",IFERROR(MATCH($I234,lst_Priority,0),5))</f>
        <v/>
      </c>
      <c r="BB234" s="71" t="str">
        <f>IF(AND($AL234=1,$AJ234=1),$BA234*100000+ROW(),"")</f>
        <v/>
      </c>
      <c r="BC234" s="71" t="str">
        <f>IF(AND($AM234=1,$AJ234=1),$BA234*100000+ROW(),"")</f>
        <v/>
      </c>
      <c r="BD234" s="71" t="str">
        <f>IF(AND($AP234=1,$AJ234=1),$BA234*100000+ROW(),"")</f>
        <v/>
      </c>
      <c r="BE234" s="71" t="str">
        <f>IF(AND($AT234=1,$AJ234=1),$BA234*100000+ROW(),"")</f>
        <v/>
      </c>
      <c r="BF234" s="71" t="str">
        <f>IF(AND($AU234=1,$AJ234=1),$BA234*100000+ROW(),"")</f>
        <v/>
      </c>
      <c r="BG234" s="71" t="str">
        <f>IF(AND($AV234=1,$AJ234=1),$BA234*100000+ROW(),"")</f>
        <v/>
      </c>
      <c r="BH234" s="71" t="str">
        <f>IF(AND($AW234=1,$AJ234=1),$BA234*100000+ROW(),"")</f>
        <v/>
      </c>
      <c r="BI234" s="71" t="str">
        <f>IF(AND($AX234=1,$AJ234=1),$BA234*100000+ROW(),"")</f>
        <v/>
      </c>
      <c r="BJ234" s="71" t="str">
        <f>IF(AND($AS234=1,$AJ234=1),$BA234*100000+ROW(),"")</f>
        <v/>
      </c>
      <c r="BK234" s="71" t="str">
        <f>IF(AND($AY234=1,$AJ234=1),$BA234*100000+ROW(),"")</f>
        <v/>
      </c>
      <c r="BL234" s="71" t="str">
        <f>IF(AND($AZ234=1),$BA234*100000+ROW(),"")</f>
        <v/>
      </c>
    </row>
    <row r="235">
      <c r="A235" s="63" t="n"/>
      <c r="B235" s="64" t="n"/>
      <c r="C235" s="64" t="n"/>
      <c r="D235" s="64" t="n"/>
      <c r="E235" s="64" t="n"/>
      <c r="F235" s="64" t="n"/>
      <c r="G235" s="65" t="n"/>
      <c r="H235" s="65" t="n"/>
      <c r="I235" s="64" t="n"/>
      <c r="J235" s="64" t="n"/>
      <c r="K235" s="63" t="n"/>
      <c r="L235" s="63" t="n"/>
      <c r="M235" s="64" t="n"/>
      <c r="N235" s="66" t="n"/>
      <c r="O235" s="65" t="n"/>
      <c r="P235" s="64" t="n"/>
      <c r="Q235" s="67" t="n"/>
      <c r="R235" s="67" t="n"/>
      <c r="S235" s="68" t="str">
        <f>IF(AND(ISNUMBER($Q235),ISNUMBER($R235)),$Q235-$R235,"")</f>
        <v/>
      </c>
      <c r="T235" s="65" t="n"/>
      <c r="U235" s="64" t="n"/>
      <c r="V235" s="65" t="n"/>
      <c r="W235" s="63" t="n"/>
      <c r="X235" s="65" t="n"/>
      <c r="Y235" s="63" t="n"/>
      <c r="Z235" s="64" t="n"/>
      <c r="AA235" s="64" t="n"/>
      <c r="AB235" s="65" t="n"/>
      <c r="AC235" s="69" t="str">
        <f>IF(OR($G235="",NOT(ISNUMBER($K235)),$AK235=0),"",MAX(0,ReportDate-$K235))</f>
        <v/>
      </c>
      <c r="AD235" s="69" t="str">
        <f>IF($G235="","",IF($AL235=1,ReportDate-$L235,0))</f>
        <v/>
      </c>
      <c r="AE235" s="70" t="str">
        <f>IF($G235="","",IF($M235="Completed",1,IF(ISNUMBER($N235),$N235,0)))</f>
        <v/>
      </c>
      <c r="AF235" s="70" t="str">
        <f>IF(AND(ISNUMBER($Q235),ISNUMBER($R235)),IF($R235&lt;&gt;0,$Q235/$R235,""),"")</f>
        <v/>
      </c>
      <c r="AG235" s="71" t="str">
        <f>IF($G235="","",IF($AL235=1,"OVERDUE",IF($AM235=1,"BLOCKED",IF($AN235=1,"DUE TODAY",IF($AO235=1,"DUE TOMORROW",IF($AQ235=1,"HIGH PRIORITY",IF($AR235=1,"NO RECENT UPDATE",""))))))) </f>
        <v/>
      </c>
      <c r="AH235" s="71" t="str">
        <f>IF($G235="","",IF(ISNUMBER($A235),IF(ISNUMBER($A235),YEAR($A235)&amp;"-"&amp;TEXT(MONTH($A235),"00"),""),IF(ISNUMBER($L235),IF(ISNUMBER($L235),YEAR($L235)&amp;"-"&amp;TEXT(MONTH($L235),"00"),""),"")))</f>
        <v/>
      </c>
      <c r="AI235" s="71">
        <f>IF($G235="",0,IF(AND(OR(fClient="All",$C235=fClient),OR(fCampaign="All",$D235=fCampaign),OR(fTeam="All",$B235=fTeam),OR(fChannel="All",$F235=fChannel),OR(fMonth="All",$AH235=fMonth),OR(fTStatus="All",$M235=fTStatus)),1,0))</f>
        <v>0</v>
      </c>
      <c r="AJ235" s="71">
        <f>IF($G235="",0,IF(AND(OR(fClient="All",$C235=fClient),OR(fCampaign="All",$D235=fCampaign),OR(fTeam="All",$B235=fTeam),OR(fChannel="All",$F235=fChannel)),1,0))</f>
        <v>0</v>
      </c>
      <c r="AK235" s="71">
        <f>IF($G235="",0,IF(OR($M235="Completed",$M235="Cancelled"),0,1))</f>
        <v>0</v>
      </c>
      <c r="AL235" s="71">
        <f>IF(AND($AK235=1,ISNUMBER($L235)),IF($L235&lt;ReportDate,1,0),0)</f>
        <v>0</v>
      </c>
      <c r="AM235" s="71">
        <f>IF(AND($G235&lt;&gt;"",$M235="Blocked"),1,0)</f>
        <v>0</v>
      </c>
      <c r="AN235" s="71">
        <f>IF(AND($AK235=1,ISNUMBER($L235)),IF($L235=ReportDate,1,0),0)</f>
        <v>0</v>
      </c>
      <c r="AO235" s="71">
        <f>IF(AND($AK235=1,ISNUMBER($L235)),IF($L235=ReportDate+1,1,0),0)</f>
        <v>0</v>
      </c>
      <c r="AP235" s="71">
        <f>IF(AND($AK235=1,ISNUMBER($L235)),IF(AND($L235&gt;=ReportDate,$L235&lt;=ReportDate+DueSoonDays),1,0),0)</f>
        <v>0</v>
      </c>
      <c r="AQ235" s="71">
        <f>IF(AND($AK235=1,OR($I235="Critical",$I235="High")),1,0)</f>
        <v>0</v>
      </c>
      <c r="AR235" s="71">
        <f>IF($AK235=1,IF(ISNUMBER($Y235),IF(ReportDate-$Y235&gt;StaleDays,1,0),1),0)</f>
        <v>0</v>
      </c>
      <c r="AS235" s="71">
        <f>IF(AND($G235&lt;&gt;"",ISNUMBER($Q235),ISNUMBER($R235)),IF(AND($Q235&lt;$R235,OR($M235="Completed",AND(ISNUMBER($L235),$L235&lt;ReportDate))),1,0),0)</f>
        <v>0</v>
      </c>
      <c r="AT235" s="71">
        <f>IF($AK235=1,IF(OR($L235=ReportDate,$W235=ReportDate,$K235=ReportDate,$A235=ReportDate),1,0),0)</f>
        <v>0</v>
      </c>
      <c r="AU235" s="71">
        <f>IF($AK235=1,IF(OR($L235=ReportDate+1,$W235=ReportDate+1,$K235=ReportDate+1,$A235=ReportDate+1),1,0),0)</f>
        <v>0</v>
      </c>
      <c r="AV235" s="71">
        <f>IF(AND($G235&lt;&gt;"",$M235="Completed"),IF(OR($Y235=ReportDate-1,$A235=ReportDate-1),1,0),0)</f>
        <v>0</v>
      </c>
      <c r="AW235" s="71">
        <f>IF(AND($AK235=1,$Z235="Yes"),1,0)</f>
        <v>0</v>
      </c>
      <c r="AX235" s="71">
        <f>IF(AND($AK235=1,$AA235="Yes"),1,0)</f>
        <v>0</v>
      </c>
      <c r="AY235" s="71">
        <f>IF(AND($AM235=1,OR($I235="Critical",$I235="High")),1,0)</f>
        <v>0</v>
      </c>
      <c r="AZ235" s="71">
        <f>IF(AND($AK235=1,OR($C235=TCL_Client,$C235=MECCA_Client)),1,0)</f>
        <v>0</v>
      </c>
      <c r="BA235" s="71" t="str">
        <f>IF($G235="","",IFERROR(MATCH($I235,lst_Priority,0),5))</f>
        <v/>
      </c>
      <c r="BB235" s="71" t="str">
        <f>IF(AND($AL235=1,$AJ235=1),$BA235*100000+ROW(),"")</f>
        <v/>
      </c>
      <c r="BC235" s="71" t="str">
        <f>IF(AND($AM235=1,$AJ235=1),$BA235*100000+ROW(),"")</f>
        <v/>
      </c>
      <c r="BD235" s="71" t="str">
        <f>IF(AND($AP235=1,$AJ235=1),$BA235*100000+ROW(),"")</f>
        <v/>
      </c>
      <c r="BE235" s="71" t="str">
        <f>IF(AND($AT235=1,$AJ235=1),$BA235*100000+ROW(),"")</f>
        <v/>
      </c>
      <c r="BF235" s="71" t="str">
        <f>IF(AND($AU235=1,$AJ235=1),$BA235*100000+ROW(),"")</f>
        <v/>
      </c>
      <c r="BG235" s="71" t="str">
        <f>IF(AND($AV235=1,$AJ235=1),$BA235*100000+ROW(),"")</f>
        <v/>
      </c>
      <c r="BH235" s="71" t="str">
        <f>IF(AND($AW235=1,$AJ235=1),$BA235*100000+ROW(),"")</f>
        <v/>
      </c>
      <c r="BI235" s="71" t="str">
        <f>IF(AND($AX235=1,$AJ235=1),$BA235*100000+ROW(),"")</f>
        <v/>
      </c>
      <c r="BJ235" s="71" t="str">
        <f>IF(AND($AS235=1,$AJ235=1),$BA235*100000+ROW(),"")</f>
        <v/>
      </c>
      <c r="BK235" s="71" t="str">
        <f>IF(AND($AY235=1,$AJ235=1),$BA235*100000+ROW(),"")</f>
        <v/>
      </c>
      <c r="BL235" s="71" t="str">
        <f>IF(AND($AZ235=1),$BA235*100000+ROW(),"")</f>
        <v/>
      </c>
    </row>
    <row r="236">
      <c r="A236" s="63" t="n"/>
      <c r="B236" s="64" t="n"/>
      <c r="C236" s="64" t="n"/>
      <c r="D236" s="64" t="n"/>
      <c r="E236" s="64" t="n"/>
      <c r="F236" s="64" t="n"/>
      <c r="G236" s="65" t="n"/>
      <c r="H236" s="65" t="n"/>
      <c r="I236" s="64" t="n"/>
      <c r="J236" s="64" t="n"/>
      <c r="K236" s="63" t="n"/>
      <c r="L236" s="63" t="n"/>
      <c r="M236" s="64" t="n"/>
      <c r="N236" s="66" t="n"/>
      <c r="O236" s="65" t="n"/>
      <c r="P236" s="64" t="n"/>
      <c r="Q236" s="67" t="n"/>
      <c r="R236" s="67" t="n"/>
      <c r="S236" s="68" t="str">
        <f>IF(AND(ISNUMBER($Q236),ISNUMBER($R236)),$Q236-$R236,"")</f>
        <v/>
      </c>
      <c r="T236" s="65" t="n"/>
      <c r="U236" s="64" t="n"/>
      <c r="V236" s="65" t="n"/>
      <c r="W236" s="63" t="n"/>
      <c r="X236" s="65" t="n"/>
      <c r="Y236" s="63" t="n"/>
      <c r="Z236" s="64" t="n"/>
      <c r="AA236" s="64" t="n"/>
      <c r="AB236" s="65" t="n"/>
      <c r="AC236" s="69" t="str">
        <f>IF(OR($G236="",NOT(ISNUMBER($K236)),$AK236=0),"",MAX(0,ReportDate-$K236))</f>
        <v/>
      </c>
      <c r="AD236" s="69" t="str">
        <f>IF($G236="","",IF($AL236=1,ReportDate-$L236,0))</f>
        <v/>
      </c>
      <c r="AE236" s="70" t="str">
        <f>IF($G236="","",IF($M236="Completed",1,IF(ISNUMBER($N236),$N236,0)))</f>
        <v/>
      </c>
      <c r="AF236" s="70" t="str">
        <f>IF(AND(ISNUMBER($Q236),ISNUMBER($R236)),IF($R236&lt;&gt;0,$Q236/$R236,""),"")</f>
        <v/>
      </c>
      <c r="AG236" s="71" t="str">
        <f>IF($G236="","",IF($AL236=1,"OVERDUE",IF($AM236=1,"BLOCKED",IF($AN236=1,"DUE TODAY",IF($AO236=1,"DUE TOMORROW",IF($AQ236=1,"HIGH PRIORITY",IF($AR236=1,"NO RECENT UPDATE",""))))))) </f>
        <v/>
      </c>
      <c r="AH236" s="71" t="str">
        <f>IF($G236="","",IF(ISNUMBER($A236),IF(ISNUMBER($A236),YEAR($A236)&amp;"-"&amp;TEXT(MONTH($A236),"00"),""),IF(ISNUMBER($L236),IF(ISNUMBER($L236),YEAR($L236)&amp;"-"&amp;TEXT(MONTH($L236),"00"),""),"")))</f>
        <v/>
      </c>
      <c r="AI236" s="71">
        <f>IF($G236="",0,IF(AND(OR(fClient="All",$C236=fClient),OR(fCampaign="All",$D236=fCampaign),OR(fTeam="All",$B236=fTeam),OR(fChannel="All",$F236=fChannel),OR(fMonth="All",$AH236=fMonth),OR(fTStatus="All",$M236=fTStatus)),1,0))</f>
        <v>0</v>
      </c>
      <c r="AJ236" s="71">
        <f>IF($G236="",0,IF(AND(OR(fClient="All",$C236=fClient),OR(fCampaign="All",$D236=fCampaign),OR(fTeam="All",$B236=fTeam),OR(fChannel="All",$F236=fChannel)),1,0))</f>
        <v>0</v>
      </c>
      <c r="AK236" s="71">
        <f>IF($G236="",0,IF(OR($M236="Completed",$M236="Cancelled"),0,1))</f>
        <v>0</v>
      </c>
      <c r="AL236" s="71">
        <f>IF(AND($AK236=1,ISNUMBER($L236)),IF($L236&lt;ReportDate,1,0),0)</f>
        <v>0</v>
      </c>
      <c r="AM236" s="71">
        <f>IF(AND($G236&lt;&gt;"",$M236="Blocked"),1,0)</f>
        <v>0</v>
      </c>
      <c r="AN236" s="71">
        <f>IF(AND($AK236=1,ISNUMBER($L236)),IF($L236=ReportDate,1,0),0)</f>
        <v>0</v>
      </c>
      <c r="AO236" s="71">
        <f>IF(AND($AK236=1,ISNUMBER($L236)),IF($L236=ReportDate+1,1,0),0)</f>
        <v>0</v>
      </c>
      <c r="AP236" s="71">
        <f>IF(AND($AK236=1,ISNUMBER($L236)),IF(AND($L236&gt;=ReportDate,$L236&lt;=ReportDate+DueSoonDays),1,0),0)</f>
        <v>0</v>
      </c>
      <c r="AQ236" s="71">
        <f>IF(AND($AK236=1,OR($I236="Critical",$I236="High")),1,0)</f>
        <v>0</v>
      </c>
      <c r="AR236" s="71">
        <f>IF($AK236=1,IF(ISNUMBER($Y236),IF(ReportDate-$Y236&gt;StaleDays,1,0),1),0)</f>
        <v>0</v>
      </c>
      <c r="AS236" s="71">
        <f>IF(AND($G236&lt;&gt;"",ISNUMBER($Q236),ISNUMBER($R236)),IF(AND($Q236&lt;$R236,OR($M236="Completed",AND(ISNUMBER($L236),$L236&lt;ReportDate))),1,0),0)</f>
        <v>0</v>
      </c>
      <c r="AT236" s="71">
        <f>IF($AK236=1,IF(OR($L236=ReportDate,$W236=ReportDate,$K236=ReportDate,$A236=ReportDate),1,0),0)</f>
        <v>0</v>
      </c>
      <c r="AU236" s="71">
        <f>IF($AK236=1,IF(OR($L236=ReportDate+1,$W236=ReportDate+1,$K236=ReportDate+1,$A236=ReportDate+1),1,0),0)</f>
        <v>0</v>
      </c>
      <c r="AV236" s="71">
        <f>IF(AND($G236&lt;&gt;"",$M236="Completed"),IF(OR($Y236=ReportDate-1,$A236=ReportDate-1),1,0),0)</f>
        <v>0</v>
      </c>
      <c r="AW236" s="71">
        <f>IF(AND($AK236=1,$Z236="Yes"),1,0)</f>
        <v>0</v>
      </c>
      <c r="AX236" s="71">
        <f>IF(AND($AK236=1,$AA236="Yes"),1,0)</f>
        <v>0</v>
      </c>
      <c r="AY236" s="71">
        <f>IF(AND($AM236=1,OR($I236="Critical",$I236="High")),1,0)</f>
        <v>0</v>
      </c>
      <c r="AZ236" s="71">
        <f>IF(AND($AK236=1,OR($C236=TCL_Client,$C236=MECCA_Client)),1,0)</f>
        <v>0</v>
      </c>
      <c r="BA236" s="71" t="str">
        <f>IF($G236="","",IFERROR(MATCH($I236,lst_Priority,0),5))</f>
        <v/>
      </c>
      <c r="BB236" s="71" t="str">
        <f>IF(AND($AL236=1,$AJ236=1),$BA236*100000+ROW(),"")</f>
        <v/>
      </c>
      <c r="BC236" s="71" t="str">
        <f>IF(AND($AM236=1,$AJ236=1),$BA236*100000+ROW(),"")</f>
        <v/>
      </c>
      <c r="BD236" s="71" t="str">
        <f>IF(AND($AP236=1,$AJ236=1),$BA236*100000+ROW(),"")</f>
        <v/>
      </c>
      <c r="BE236" s="71" t="str">
        <f>IF(AND($AT236=1,$AJ236=1),$BA236*100000+ROW(),"")</f>
        <v/>
      </c>
      <c r="BF236" s="71" t="str">
        <f>IF(AND($AU236=1,$AJ236=1),$BA236*100000+ROW(),"")</f>
        <v/>
      </c>
      <c r="BG236" s="71" t="str">
        <f>IF(AND($AV236=1,$AJ236=1),$BA236*100000+ROW(),"")</f>
        <v/>
      </c>
      <c r="BH236" s="71" t="str">
        <f>IF(AND($AW236=1,$AJ236=1),$BA236*100000+ROW(),"")</f>
        <v/>
      </c>
      <c r="BI236" s="71" t="str">
        <f>IF(AND($AX236=1,$AJ236=1),$BA236*100000+ROW(),"")</f>
        <v/>
      </c>
      <c r="BJ236" s="71" t="str">
        <f>IF(AND($AS236=1,$AJ236=1),$BA236*100000+ROW(),"")</f>
        <v/>
      </c>
      <c r="BK236" s="71" t="str">
        <f>IF(AND($AY236=1,$AJ236=1),$BA236*100000+ROW(),"")</f>
        <v/>
      </c>
      <c r="BL236" s="71" t="str">
        <f>IF(AND($AZ236=1),$BA236*100000+ROW(),"")</f>
        <v/>
      </c>
    </row>
    <row r="237">
      <c r="A237" s="63" t="n"/>
      <c r="B237" s="64" t="n"/>
      <c r="C237" s="64" t="n"/>
      <c r="D237" s="64" t="n"/>
      <c r="E237" s="64" t="n"/>
      <c r="F237" s="64" t="n"/>
      <c r="G237" s="65" t="n"/>
      <c r="H237" s="65" t="n"/>
      <c r="I237" s="64" t="n"/>
      <c r="J237" s="64" t="n"/>
      <c r="K237" s="63" t="n"/>
      <c r="L237" s="63" t="n"/>
      <c r="M237" s="64" t="n"/>
      <c r="N237" s="66" t="n"/>
      <c r="O237" s="65" t="n"/>
      <c r="P237" s="64" t="n"/>
      <c r="Q237" s="67" t="n"/>
      <c r="R237" s="67" t="n"/>
      <c r="S237" s="68" t="str">
        <f>IF(AND(ISNUMBER($Q237),ISNUMBER($R237)),$Q237-$R237,"")</f>
        <v/>
      </c>
      <c r="T237" s="65" t="n"/>
      <c r="U237" s="64" t="n"/>
      <c r="V237" s="65" t="n"/>
      <c r="W237" s="63" t="n"/>
      <c r="X237" s="65" t="n"/>
      <c r="Y237" s="63" t="n"/>
      <c r="Z237" s="64" t="n"/>
      <c r="AA237" s="64" t="n"/>
      <c r="AB237" s="65" t="n"/>
      <c r="AC237" s="69" t="str">
        <f>IF(OR($G237="",NOT(ISNUMBER($K237)),$AK237=0),"",MAX(0,ReportDate-$K237))</f>
        <v/>
      </c>
      <c r="AD237" s="69" t="str">
        <f>IF($G237="","",IF($AL237=1,ReportDate-$L237,0))</f>
        <v/>
      </c>
      <c r="AE237" s="70" t="str">
        <f>IF($G237="","",IF($M237="Completed",1,IF(ISNUMBER($N237),$N237,0)))</f>
        <v/>
      </c>
      <c r="AF237" s="70" t="str">
        <f>IF(AND(ISNUMBER($Q237),ISNUMBER($R237)),IF($R237&lt;&gt;0,$Q237/$R237,""),"")</f>
        <v/>
      </c>
      <c r="AG237" s="71" t="str">
        <f>IF($G237="","",IF($AL237=1,"OVERDUE",IF($AM237=1,"BLOCKED",IF($AN237=1,"DUE TODAY",IF($AO237=1,"DUE TOMORROW",IF($AQ237=1,"HIGH PRIORITY",IF($AR237=1,"NO RECENT UPDATE",""))))))) </f>
        <v/>
      </c>
      <c r="AH237" s="71" t="str">
        <f>IF($G237="","",IF(ISNUMBER($A237),IF(ISNUMBER($A237),YEAR($A237)&amp;"-"&amp;TEXT(MONTH($A237),"00"),""),IF(ISNUMBER($L237),IF(ISNUMBER($L237),YEAR($L237)&amp;"-"&amp;TEXT(MONTH($L237),"00"),""),"")))</f>
        <v/>
      </c>
      <c r="AI237" s="71">
        <f>IF($G237="",0,IF(AND(OR(fClient="All",$C237=fClient),OR(fCampaign="All",$D237=fCampaign),OR(fTeam="All",$B237=fTeam),OR(fChannel="All",$F237=fChannel),OR(fMonth="All",$AH237=fMonth),OR(fTStatus="All",$M237=fTStatus)),1,0))</f>
        <v>0</v>
      </c>
      <c r="AJ237" s="71">
        <f>IF($G237="",0,IF(AND(OR(fClient="All",$C237=fClient),OR(fCampaign="All",$D237=fCampaign),OR(fTeam="All",$B237=fTeam),OR(fChannel="All",$F237=fChannel)),1,0))</f>
        <v>0</v>
      </c>
      <c r="AK237" s="71">
        <f>IF($G237="",0,IF(OR($M237="Completed",$M237="Cancelled"),0,1))</f>
        <v>0</v>
      </c>
      <c r="AL237" s="71">
        <f>IF(AND($AK237=1,ISNUMBER($L237)),IF($L237&lt;ReportDate,1,0),0)</f>
        <v>0</v>
      </c>
      <c r="AM237" s="71">
        <f>IF(AND($G237&lt;&gt;"",$M237="Blocked"),1,0)</f>
        <v>0</v>
      </c>
      <c r="AN237" s="71">
        <f>IF(AND($AK237=1,ISNUMBER($L237)),IF($L237=ReportDate,1,0),0)</f>
        <v>0</v>
      </c>
      <c r="AO237" s="71">
        <f>IF(AND($AK237=1,ISNUMBER($L237)),IF($L237=ReportDate+1,1,0),0)</f>
        <v>0</v>
      </c>
      <c r="AP237" s="71">
        <f>IF(AND($AK237=1,ISNUMBER($L237)),IF(AND($L237&gt;=ReportDate,$L237&lt;=ReportDate+DueSoonDays),1,0),0)</f>
        <v>0</v>
      </c>
      <c r="AQ237" s="71">
        <f>IF(AND($AK237=1,OR($I237="Critical",$I237="High")),1,0)</f>
        <v>0</v>
      </c>
      <c r="AR237" s="71">
        <f>IF($AK237=1,IF(ISNUMBER($Y237),IF(ReportDate-$Y237&gt;StaleDays,1,0),1),0)</f>
        <v>0</v>
      </c>
      <c r="AS237" s="71">
        <f>IF(AND($G237&lt;&gt;"",ISNUMBER($Q237),ISNUMBER($R237)),IF(AND($Q237&lt;$R237,OR($M237="Completed",AND(ISNUMBER($L237),$L237&lt;ReportDate))),1,0),0)</f>
        <v>0</v>
      </c>
      <c r="AT237" s="71">
        <f>IF($AK237=1,IF(OR($L237=ReportDate,$W237=ReportDate,$K237=ReportDate,$A237=ReportDate),1,0),0)</f>
        <v>0</v>
      </c>
      <c r="AU237" s="71">
        <f>IF($AK237=1,IF(OR($L237=ReportDate+1,$W237=ReportDate+1,$K237=ReportDate+1,$A237=ReportDate+1),1,0),0)</f>
        <v>0</v>
      </c>
      <c r="AV237" s="71">
        <f>IF(AND($G237&lt;&gt;"",$M237="Completed"),IF(OR($Y237=ReportDate-1,$A237=ReportDate-1),1,0),0)</f>
        <v>0</v>
      </c>
      <c r="AW237" s="71">
        <f>IF(AND($AK237=1,$Z237="Yes"),1,0)</f>
        <v>0</v>
      </c>
      <c r="AX237" s="71">
        <f>IF(AND($AK237=1,$AA237="Yes"),1,0)</f>
        <v>0</v>
      </c>
      <c r="AY237" s="71">
        <f>IF(AND($AM237=1,OR($I237="Critical",$I237="High")),1,0)</f>
        <v>0</v>
      </c>
      <c r="AZ237" s="71">
        <f>IF(AND($AK237=1,OR($C237=TCL_Client,$C237=MECCA_Client)),1,0)</f>
        <v>0</v>
      </c>
      <c r="BA237" s="71" t="str">
        <f>IF($G237="","",IFERROR(MATCH($I237,lst_Priority,0),5))</f>
        <v/>
      </c>
      <c r="BB237" s="71" t="str">
        <f>IF(AND($AL237=1,$AJ237=1),$BA237*100000+ROW(),"")</f>
        <v/>
      </c>
      <c r="BC237" s="71" t="str">
        <f>IF(AND($AM237=1,$AJ237=1),$BA237*100000+ROW(),"")</f>
        <v/>
      </c>
      <c r="BD237" s="71" t="str">
        <f>IF(AND($AP237=1,$AJ237=1),$BA237*100000+ROW(),"")</f>
        <v/>
      </c>
      <c r="BE237" s="71" t="str">
        <f>IF(AND($AT237=1,$AJ237=1),$BA237*100000+ROW(),"")</f>
        <v/>
      </c>
      <c r="BF237" s="71" t="str">
        <f>IF(AND($AU237=1,$AJ237=1),$BA237*100000+ROW(),"")</f>
        <v/>
      </c>
      <c r="BG237" s="71" t="str">
        <f>IF(AND($AV237=1,$AJ237=1),$BA237*100000+ROW(),"")</f>
        <v/>
      </c>
      <c r="BH237" s="71" t="str">
        <f>IF(AND($AW237=1,$AJ237=1),$BA237*100000+ROW(),"")</f>
        <v/>
      </c>
      <c r="BI237" s="71" t="str">
        <f>IF(AND($AX237=1,$AJ237=1),$BA237*100000+ROW(),"")</f>
        <v/>
      </c>
      <c r="BJ237" s="71" t="str">
        <f>IF(AND($AS237=1,$AJ237=1),$BA237*100000+ROW(),"")</f>
        <v/>
      </c>
      <c r="BK237" s="71" t="str">
        <f>IF(AND($AY237=1,$AJ237=1),$BA237*100000+ROW(),"")</f>
        <v/>
      </c>
      <c r="BL237" s="71" t="str">
        <f>IF(AND($AZ237=1),$BA237*100000+ROW(),"")</f>
        <v/>
      </c>
    </row>
    <row r="238">
      <c r="A238" s="63" t="n"/>
      <c r="B238" s="64" t="n"/>
      <c r="C238" s="64" t="n"/>
      <c r="D238" s="64" t="n"/>
      <c r="E238" s="64" t="n"/>
      <c r="F238" s="64" t="n"/>
      <c r="G238" s="65" t="n"/>
      <c r="H238" s="65" t="n"/>
      <c r="I238" s="64" t="n"/>
      <c r="J238" s="64" t="n"/>
      <c r="K238" s="63" t="n"/>
      <c r="L238" s="63" t="n"/>
      <c r="M238" s="64" t="n"/>
      <c r="N238" s="66" t="n"/>
      <c r="O238" s="65" t="n"/>
      <c r="P238" s="64" t="n"/>
      <c r="Q238" s="67" t="n"/>
      <c r="R238" s="67" t="n"/>
      <c r="S238" s="68" t="str">
        <f>IF(AND(ISNUMBER($Q238),ISNUMBER($R238)),$Q238-$R238,"")</f>
        <v/>
      </c>
      <c r="T238" s="65" t="n"/>
      <c r="U238" s="64" t="n"/>
      <c r="V238" s="65" t="n"/>
      <c r="W238" s="63" t="n"/>
      <c r="X238" s="65" t="n"/>
      <c r="Y238" s="63" t="n"/>
      <c r="Z238" s="64" t="n"/>
      <c r="AA238" s="64" t="n"/>
      <c r="AB238" s="65" t="n"/>
      <c r="AC238" s="69" t="str">
        <f>IF(OR($G238="",NOT(ISNUMBER($K238)),$AK238=0),"",MAX(0,ReportDate-$K238))</f>
        <v/>
      </c>
      <c r="AD238" s="69" t="str">
        <f>IF($G238="","",IF($AL238=1,ReportDate-$L238,0))</f>
        <v/>
      </c>
      <c r="AE238" s="70" t="str">
        <f>IF($G238="","",IF($M238="Completed",1,IF(ISNUMBER($N238),$N238,0)))</f>
        <v/>
      </c>
      <c r="AF238" s="70" t="str">
        <f>IF(AND(ISNUMBER($Q238),ISNUMBER($R238)),IF($R238&lt;&gt;0,$Q238/$R238,""),"")</f>
        <v/>
      </c>
      <c r="AG238" s="71" t="str">
        <f>IF($G238="","",IF($AL238=1,"OVERDUE",IF($AM238=1,"BLOCKED",IF($AN238=1,"DUE TODAY",IF($AO238=1,"DUE TOMORROW",IF($AQ238=1,"HIGH PRIORITY",IF($AR238=1,"NO RECENT UPDATE",""))))))) </f>
        <v/>
      </c>
      <c r="AH238" s="71" t="str">
        <f>IF($G238="","",IF(ISNUMBER($A238),IF(ISNUMBER($A238),YEAR($A238)&amp;"-"&amp;TEXT(MONTH($A238),"00"),""),IF(ISNUMBER($L238),IF(ISNUMBER($L238),YEAR($L238)&amp;"-"&amp;TEXT(MONTH($L238),"00"),""),"")))</f>
        <v/>
      </c>
      <c r="AI238" s="71">
        <f>IF($G238="",0,IF(AND(OR(fClient="All",$C238=fClient),OR(fCampaign="All",$D238=fCampaign),OR(fTeam="All",$B238=fTeam),OR(fChannel="All",$F238=fChannel),OR(fMonth="All",$AH238=fMonth),OR(fTStatus="All",$M238=fTStatus)),1,0))</f>
        <v>0</v>
      </c>
      <c r="AJ238" s="71">
        <f>IF($G238="",0,IF(AND(OR(fClient="All",$C238=fClient),OR(fCampaign="All",$D238=fCampaign),OR(fTeam="All",$B238=fTeam),OR(fChannel="All",$F238=fChannel)),1,0))</f>
        <v>0</v>
      </c>
      <c r="AK238" s="71">
        <f>IF($G238="",0,IF(OR($M238="Completed",$M238="Cancelled"),0,1))</f>
        <v>0</v>
      </c>
      <c r="AL238" s="71">
        <f>IF(AND($AK238=1,ISNUMBER($L238)),IF($L238&lt;ReportDate,1,0),0)</f>
        <v>0</v>
      </c>
      <c r="AM238" s="71">
        <f>IF(AND($G238&lt;&gt;"",$M238="Blocked"),1,0)</f>
        <v>0</v>
      </c>
      <c r="AN238" s="71">
        <f>IF(AND($AK238=1,ISNUMBER($L238)),IF($L238=ReportDate,1,0),0)</f>
        <v>0</v>
      </c>
      <c r="AO238" s="71">
        <f>IF(AND($AK238=1,ISNUMBER($L238)),IF($L238=ReportDate+1,1,0),0)</f>
        <v>0</v>
      </c>
      <c r="AP238" s="71">
        <f>IF(AND($AK238=1,ISNUMBER($L238)),IF(AND($L238&gt;=ReportDate,$L238&lt;=ReportDate+DueSoonDays),1,0),0)</f>
        <v>0</v>
      </c>
      <c r="AQ238" s="71">
        <f>IF(AND($AK238=1,OR($I238="Critical",$I238="High")),1,0)</f>
        <v>0</v>
      </c>
      <c r="AR238" s="71">
        <f>IF($AK238=1,IF(ISNUMBER($Y238),IF(ReportDate-$Y238&gt;StaleDays,1,0),1),0)</f>
        <v>0</v>
      </c>
      <c r="AS238" s="71">
        <f>IF(AND($G238&lt;&gt;"",ISNUMBER($Q238),ISNUMBER($R238)),IF(AND($Q238&lt;$R238,OR($M238="Completed",AND(ISNUMBER($L238),$L238&lt;ReportDate))),1,0),0)</f>
        <v>0</v>
      </c>
      <c r="AT238" s="71">
        <f>IF($AK238=1,IF(OR($L238=ReportDate,$W238=ReportDate,$K238=ReportDate,$A238=ReportDate),1,0),0)</f>
        <v>0</v>
      </c>
      <c r="AU238" s="71">
        <f>IF($AK238=1,IF(OR($L238=ReportDate+1,$W238=ReportDate+1,$K238=ReportDate+1,$A238=ReportDate+1),1,0),0)</f>
        <v>0</v>
      </c>
      <c r="AV238" s="71">
        <f>IF(AND($G238&lt;&gt;"",$M238="Completed"),IF(OR($Y238=ReportDate-1,$A238=ReportDate-1),1,0),0)</f>
        <v>0</v>
      </c>
      <c r="AW238" s="71">
        <f>IF(AND($AK238=1,$Z238="Yes"),1,0)</f>
        <v>0</v>
      </c>
      <c r="AX238" s="71">
        <f>IF(AND($AK238=1,$AA238="Yes"),1,0)</f>
        <v>0</v>
      </c>
      <c r="AY238" s="71">
        <f>IF(AND($AM238=1,OR($I238="Critical",$I238="High")),1,0)</f>
        <v>0</v>
      </c>
      <c r="AZ238" s="71">
        <f>IF(AND($AK238=1,OR($C238=TCL_Client,$C238=MECCA_Client)),1,0)</f>
        <v>0</v>
      </c>
      <c r="BA238" s="71" t="str">
        <f>IF($G238="","",IFERROR(MATCH($I238,lst_Priority,0),5))</f>
        <v/>
      </c>
      <c r="BB238" s="71" t="str">
        <f>IF(AND($AL238=1,$AJ238=1),$BA238*100000+ROW(),"")</f>
        <v/>
      </c>
      <c r="BC238" s="71" t="str">
        <f>IF(AND($AM238=1,$AJ238=1),$BA238*100000+ROW(),"")</f>
        <v/>
      </c>
      <c r="BD238" s="71" t="str">
        <f>IF(AND($AP238=1,$AJ238=1),$BA238*100000+ROW(),"")</f>
        <v/>
      </c>
      <c r="BE238" s="71" t="str">
        <f>IF(AND($AT238=1,$AJ238=1),$BA238*100000+ROW(),"")</f>
        <v/>
      </c>
      <c r="BF238" s="71" t="str">
        <f>IF(AND($AU238=1,$AJ238=1),$BA238*100000+ROW(),"")</f>
        <v/>
      </c>
      <c r="BG238" s="71" t="str">
        <f>IF(AND($AV238=1,$AJ238=1),$BA238*100000+ROW(),"")</f>
        <v/>
      </c>
      <c r="BH238" s="71" t="str">
        <f>IF(AND($AW238=1,$AJ238=1),$BA238*100000+ROW(),"")</f>
        <v/>
      </c>
      <c r="BI238" s="71" t="str">
        <f>IF(AND($AX238=1,$AJ238=1),$BA238*100000+ROW(),"")</f>
        <v/>
      </c>
      <c r="BJ238" s="71" t="str">
        <f>IF(AND($AS238=1,$AJ238=1),$BA238*100000+ROW(),"")</f>
        <v/>
      </c>
      <c r="BK238" s="71" t="str">
        <f>IF(AND($AY238=1,$AJ238=1),$BA238*100000+ROW(),"")</f>
        <v/>
      </c>
      <c r="BL238" s="71" t="str">
        <f>IF(AND($AZ238=1),$BA238*100000+ROW(),"")</f>
        <v/>
      </c>
    </row>
    <row r="239">
      <c r="A239" s="63" t="n"/>
      <c r="B239" s="64" t="n"/>
      <c r="C239" s="64" t="n"/>
      <c r="D239" s="64" t="n"/>
      <c r="E239" s="64" t="n"/>
      <c r="F239" s="64" t="n"/>
      <c r="G239" s="65" t="n"/>
      <c r="H239" s="65" t="n"/>
      <c r="I239" s="64" t="n"/>
      <c r="J239" s="64" t="n"/>
      <c r="K239" s="63" t="n"/>
      <c r="L239" s="63" t="n"/>
      <c r="M239" s="64" t="n"/>
      <c r="N239" s="66" t="n"/>
      <c r="O239" s="65" t="n"/>
      <c r="P239" s="64" t="n"/>
      <c r="Q239" s="67" t="n"/>
      <c r="R239" s="67" t="n"/>
      <c r="S239" s="68" t="str">
        <f>IF(AND(ISNUMBER($Q239),ISNUMBER($R239)),$Q239-$R239,"")</f>
        <v/>
      </c>
      <c r="T239" s="65" t="n"/>
      <c r="U239" s="64" t="n"/>
      <c r="V239" s="65" t="n"/>
      <c r="W239" s="63" t="n"/>
      <c r="X239" s="65" t="n"/>
      <c r="Y239" s="63" t="n"/>
      <c r="Z239" s="64" t="n"/>
      <c r="AA239" s="64" t="n"/>
      <c r="AB239" s="65" t="n"/>
      <c r="AC239" s="69" t="str">
        <f>IF(OR($G239="",NOT(ISNUMBER($K239)),$AK239=0),"",MAX(0,ReportDate-$K239))</f>
        <v/>
      </c>
      <c r="AD239" s="69" t="str">
        <f>IF($G239="","",IF($AL239=1,ReportDate-$L239,0))</f>
        <v/>
      </c>
      <c r="AE239" s="70" t="str">
        <f>IF($G239="","",IF($M239="Completed",1,IF(ISNUMBER($N239),$N239,0)))</f>
        <v/>
      </c>
      <c r="AF239" s="70" t="str">
        <f>IF(AND(ISNUMBER($Q239),ISNUMBER($R239)),IF($R239&lt;&gt;0,$Q239/$R239,""),"")</f>
        <v/>
      </c>
      <c r="AG239" s="71" t="str">
        <f>IF($G239="","",IF($AL239=1,"OVERDUE",IF($AM239=1,"BLOCKED",IF($AN239=1,"DUE TODAY",IF($AO239=1,"DUE TOMORROW",IF($AQ239=1,"HIGH PRIORITY",IF($AR239=1,"NO RECENT UPDATE",""))))))) </f>
        <v/>
      </c>
      <c r="AH239" s="71" t="str">
        <f>IF($G239="","",IF(ISNUMBER($A239),IF(ISNUMBER($A239),YEAR($A239)&amp;"-"&amp;TEXT(MONTH($A239),"00"),""),IF(ISNUMBER($L239),IF(ISNUMBER($L239),YEAR($L239)&amp;"-"&amp;TEXT(MONTH($L239),"00"),""),"")))</f>
        <v/>
      </c>
      <c r="AI239" s="71">
        <f>IF($G239="",0,IF(AND(OR(fClient="All",$C239=fClient),OR(fCampaign="All",$D239=fCampaign),OR(fTeam="All",$B239=fTeam),OR(fChannel="All",$F239=fChannel),OR(fMonth="All",$AH239=fMonth),OR(fTStatus="All",$M239=fTStatus)),1,0))</f>
        <v>0</v>
      </c>
      <c r="AJ239" s="71">
        <f>IF($G239="",0,IF(AND(OR(fClient="All",$C239=fClient),OR(fCampaign="All",$D239=fCampaign),OR(fTeam="All",$B239=fTeam),OR(fChannel="All",$F239=fChannel)),1,0))</f>
        <v>0</v>
      </c>
      <c r="AK239" s="71">
        <f>IF($G239="",0,IF(OR($M239="Completed",$M239="Cancelled"),0,1))</f>
        <v>0</v>
      </c>
      <c r="AL239" s="71">
        <f>IF(AND($AK239=1,ISNUMBER($L239)),IF($L239&lt;ReportDate,1,0),0)</f>
        <v>0</v>
      </c>
      <c r="AM239" s="71">
        <f>IF(AND($G239&lt;&gt;"",$M239="Blocked"),1,0)</f>
        <v>0</v>
      </c>
      <c r="AN239" s="71">
        <f>IF(AND($AK239=1,ISNUMBER($L239)),IF($L239=ReportDate,1,0),0)</f>
        <v>0</v>
      </c>
      <c r="AO239" s="71">
        <f>IF(AND($AK239=1,ISNUMBER($L239)),IF($L239=ReportDate+1,1,0),0)</f>
        <v>0</v>
      </c>
      <c r="AP239" s="71">
        <f>IF(AND($AK239=1,ISNUMBER($L239)),IF(AND($L239&gt;=ReportDate,$L239&lt;=ReportDate+DueSoonDays),1,0),0)</f>
        <v>0</v>
      </c>
      <c r="AQ239" s="71">
        <f>IF(AND($AK239=1,OR($I239="Critical",$I239="High")),1,0)</f>
        <v>0</v>
      </c>
      <c r="AR239" s="71">
        <f>IF($AK239=1,IF(ISNUMBER($Y239),IF(ReportDate-$Y239&gt;StaleDays,1,0),1),0)</f>
        <v>0</v>
      </c>
      <c r="AS239" s="71">
        <f>IF(AND($G239&lt;&gt;"",ISNUMBER($Q239),ISNUMBER($R239)),IF(AND($Q239&lt;$R239,OR($M239="Completed",AND(ISNUMBER($L239),$L239&lt;ReportDate))),1,0),0)</f>
        <v>0</v>
      </c>
      <c r="AT239" s="71">
        <f>IF($AK239=1,IF(OR($L239=ReportDate,$W239=ReportDate,$K239=ReportDate,$A239=ReportDate),1,0),0)</f>
        <v>0</v>
      </c>
      <c r="AU239" s="71">
        <f>IF($AK239=1,IF(OR($L239=ReportDate+1,$W239=ReportDate+1,$K239=ReportDate+1,$A239=ReportDate+1),1,0),0)</f>
        <v>0</v>
      </c>
      <c r="AV239" s="71">
        <f>IF(AND($G239&lt;&gt;"",$M239="Completed"),IF(OR($Y239=ReportDate-1,$A239=ReportDate-1),1,0),0)</f>
        <v>0</v>
      </c>
      <c r="AW239" s="71">
        <f>IF(AND($AK239=1,$Z239="Yes"),1,0)</f>
        <v>0</v>
      </c>
      <c r="AX239" s="71">
        <f>IF(AND($AK239=1,$AA239="Yes"),1,0)</f>
        <v>0</v>
      </c>
      <c r="AY239" s="71">
        <f>IF(AND($AM239=1,OR($I239="Critical",$I239="High")),1,0)</f>
        <v>0</v>
      </c>
      <c r="AZ239" s="71">
        <f>IF(AND($AK239=1,OR($C239=TCL_Client,$C239=MECCA_Client)),1,0)</f>
        <v>0</v>
      </c>
      <c r="BA239" s="71" t="str">
        <f>IF($G239="","",IFERROR(MATCH($I239,lst_Priority,0),5))</f>
        <v/>
      </c>
      <c r="BB239" s="71" t="str">
        <f>IF(AND($AL239=1,$AJ239=1),$BA239*100000+ROW(),"")</f>
        <v/>
      </c>
      <c r="BC239" s="71" t="str">
        <f>IF(AND($AM239=1,$AJ239=1),$BA239*100000+ROW(),"")</f>
        <v/>
      </c>
      <c r="BD239" s="71" t="str">
        <f>IF(AND($AP239=1,$AJ239=1),$BA239*100000+ROW(),"")</f>
        <v/>
      </c>
      <c r="BE239" s="71" t="str">
        <f>IF(AND($AT239=1,$AJ239=1),$BA239*100000+ROW(),"")</f>
        <v/>
      </c>
      <c r="BF239" s="71" t="str">
        <f>IF(AND($AU239=1,$AJ239=1),$BA239*100000+ROW(),"")</f>
        <v/>
      </c>
      <c r="BG239" s="71" t="str">
        <f>IF(AND($AV239=1,$AJ239=1),$BA239*100000+ROW(),"")</f>
        <v/>
      </c>
      <c r="BH239" s="71" t="str">
        <f>IF(AND($AW239=1,$AJ239=1),$BA239*100000+ROW(),"")</f>
        <v/>
      </c>
      <c r="BI239" s="71" t="str">
        <f>IF(AND($AX239=1,$AJ239=1),$BA239*100000+ROW(),"")</f>
        <v/>
      </c>
      <c r="BJ239" s="71" t="str">
        <f>IF(AND($AS239=1,$AJ239=1),$BA239*100000+ROW(),"")</f>
        <v/>
      </c>
      <c r="BK239" s="71" t="str">
        <f>IF(AND($AY239=1,$AJ239=1),$BA239*100000+ROW(),"")</f>
        <v/>
      </c>
      <c r="BL239" s="71" t="str">
        <f>IF(AND($AZ239=1),$BA239*100000+ROW(),"")</f>
        <v/>
      </c>
    </row>
    <row r="240">
      <c r="A240" s="63" t="n"/>
      <c r="B240" s="64" t="n"/>
      <c r="C240" s="64" t="n"/>
      <c r="D240" s="64" t="n"/>
      <c r="E240" s="64" t="n"/>
      <c r="F240" s="64" t="n"/>
      <c r="G240" s="65" t="n"/>
      <c r="H240" s="65" t="n"/>
      <c r="I240" s="64" t="n"/>
      <c r="J240" s="64" t="n"/>
      <c r="K240" s="63" t="n"/>
      <c r="L240" s="63" t="n"/>
      <c r="M240" s="64" t="n"/>
      <c r="N240" s="66" t="n"/>
      <c r="O240" s="65" t="n"/>
      <c r="P240" s="64" t="n"/>
      <c r="Q240" s="67" t="n"/>
      <c r="R240" s="67" t="n"/>
      <c r="S240" s="68" t="str">
        <f>IF(AND(ISNUMBER($Q240),ISNUMBER($R240)),$Q240-$R240,"")</f>
        <v/>
      </c>
      <c r="T240" s="65" t="n"/>
      <c r="U240" s="64" t="n"/>
      <c r="V240" s="65" t="n"/>
      <c r="W240" s="63" t="n"/>
      <c r="X240" s="65" t="n"/>
      <c r="Y240" s="63" t="n"/>
      <c r="Z240" s="64" t="n"/>
      <c r="AA240" s="64" t="n"/>
      <c r="AB240" s="65" t="n"/>
      <c r="AC240" s="69" t="str">
        <f>IF(OR($G240="",NOT(ISNUMBER($K240)),$AK240=0),"",MAX(0,ReportDate-$K240))</f>
        <v/>
      </c>
      <c r="AD240" s="69" t="str">
        <f>IF($G240="","",IF($AL240=1,ReportDate-$L240,0))</f>
        <v/>
      </c>
      <c r="AE240" s="70" t="str">
        <f>IF($G240="","",IF($M240="Completed",1,IF(ISNUMBER($N240),$N240,0)))</f>
        <v/>
      </c>
      <c r="AF240" s="70" t="str">
        <f>IF(AND(ISNUMBER($Q240),ISNUMBER($R240)),IF($R240&lt;&gt;0,$Q240/$R240,""),"")</f>
        <v/>
      </c>
      <c r="AG240" s="71" t="str">
        <f>IF($G240="","",IF($AL240=1,"OVERDUE",IF($AM240=1,"BLOCKED",IF($AN240=1,"DUE TODAY",IF($AO240=1,"DUE TOMORROW",IF($AQ240=1,"HIGH PRIORITY",IF($AR240=1,"NO RECENT UPDATE",""))))))) </f>
        <v/>
      </c>
      <c r="AH240" s="71" t="str">
        <f>IF($G240="","",IF(ISNUMBER($A240),IF(ISNUMBER($A240),YEAR($A240)&amp;"-"&amp;TEXT(MONTH($A240),"00"),""),IF(ISNUMBER($L240),IF(ISNUMBER($L240),YEAR($L240)&amp;"-"&amp;TEXT(MONTH($L240),"00"),""),"")))</f>
        <v/>
      </c>
      <c r="AI240" s="71">
        <f>IF($G240="",0,IF(AND(OR(fClient="All",$C240=fClient),OR(fCampaign="All",$D240=fCampaign),OR(fTeam="All",$B240=fTeam),OR(fChannel="All",$F240=fChannel),OR(fMonth="All",$AH240=fMonth),OR(fTStatus="All",$M240=fTStatus)),1,0))</f>
        <v>0</v>
      </c>
      <c r="AJ240" s="71">
        <f>IF($G240="",0,IF(AND(OR(fClient="All",$C240=fClient),OR(fCampaign="All",$D240=fCampaign),OR(fTeam="All",$B240=fTeam),OR(fChannel="All",$F240=fChannel)),1,0))</f>
        <v>0</v>
      </c>
      <c r="AK240" s="71">
        <f>IF($G240="",0,IF(OR($M240="Completed",$M240="Cancelled"),0,1))</f>
        <v>0</v>
      </c>
      <c r="AL240" s="71">
        <f>IF(AND($AK240=1,ISNUMBER($L240)),IF($L240&lt;ReportDate,1,0),0)</f>
        <v>0</v>
      </c>
      <c r="AM240" s="71">
        <f>IF(AND($G240&lt;&gt;"",$M240="Blocked"),1,0)</f>
        <v>0</v>
      </c>
      <c r="AN240" s="71">
        <f>IF(AND($AK240=1,ISNUMBER($L240)),IF($L240=ReportDate,1,0),0)</f>
        <v>0</v>
      </c>
      <c r="AO240" s="71">
        <f>IF(AND($AK240=1,ISNUMBER($L240)),IF($L240=ReportDate+1,1,0),0)</f>
        <v>0</v>
      </c>
      <c r="AP240" s="71">
        <f>IF(AND($AK240=1,ISNUMBER($L240)),IF(AND($L240&gt;=ReportDate,$L240&lt;=ReportDate+DueSoonDays),1,0),0)</f>
        <v>0</v>
      </c>
      <c r="AQ240" s="71">
        <f>IF(AND($AK240=1,OR($I240="Critical",$I240="High")),1,0)</f>
        <v>0</v>
      </c>
      <c r="AR240" s="71">
        <f>IF($AK240=1,IF(ISNUMBER($Y240),IF(ReportDate-$Y240&gt;StaleDays,1,0),1),0)</f>
        <v>0</v>
      </c>
      <c r="AS240" s="71">
        <f>IF(AND($G240&lt;&gt;"",ISNUMBER($Q240),ISNUMBER($R240)),IF(AND($Q240&lt;$R240,OR($M240="Completed",AND(ISNUMBER($L240),$L240&lt;ReportDate))),1,0),0)</f>
        <v>0</v>
      </c>
      <c r="AT240" s="71">
        <f>IF($AK240=1,IF(OR($L240=ReportDate,$W240=ReportDate,$K240=ReportDate,$A240=ReportDate),1,0),0)</f>
        <v>0</v>
      </c>
      <c r="AU240" s="71">
        <f>IF($AK240=1,IF(OR($L240=ReportDate+1,$W240=ReportDate+1,$K240=ReportDate+1,$A240=ReportDate+1),1,0),0)</f>
        <v>0</v>
      </c>
      <c r="AV240" s="71">
        <f>IF(AND($G240&lt;&gt;"",$M240="Completed"),IF(OR($Y240=ReportDate-1,$A240=ReportDate-1),1,0),0)</f>
        <v>0</v>
      </c>
      <c r="AW240" s="71">
        <f>IF(AND($AK240=1,$Z240="Yes"),1,0)</f>
        <v>0</v>
      </c>
      <c r="AX240" s="71">
        <f>IF(AND($AK240=1,$AA240="Yes"),1,0)</f>
        <v>0</v>
      </c>
      <c r="AY240" s="71">
        <f>IF(AND($AM240=1,OR($I240="Critical",$I240="High")),1,0)</f>
        <v>0</v>
      </c>
      <c r="AZ240" s="71">
        <f>IF(AND($AK240=1,OR($C240=TCL_Client,$C240=MECCA_Client)),1,0)</f>
        <v>0</v>
      </c>
      <c r="BA240" s="71" t="str">
        <f>IF($G240="","",IFERROR(MATCH($I240,lst_Priority,0),5))</f>
        <v/>
      </c>
      <c r="BB240" s="71" t="str">
        <f>IF(AND($AL240=1,$AJ240=1),$BA240*100000+ROW(),"")</f>
        <v/>
      </c>
      <c r="BC240" s="71" t="str">
        <f>IF(AND($AM240=1,$AJ240=1),$BA240*100000+ROW(),"")</f>
        <v/>
      </c>
      <c r="BD240" s="71" t="str">
        <f>IF(AND($AP240=1,$AJ240=1),$BA240*100000+ROW(),"")</f>
        <v/>
      </c>
      <c r="BE240" s="71" t="str">
        <f>IF(AND($AT240=1,$AJ240=1),$BA240*100000+ROW(),"")</f>
        <v/>
      </c>
      <c r="BF240" s="71" t="str">
        <f>IF(AND($AU240=1,$AJ240=1),$BA240*100000+ROW(),"")</f>
        <v/>
      </c>
      <c r="BG240" s="71" t="str">
        <f>IF(AND($AV240=1,$AJ240=1),$BA240*100000+ROW(),"")</f>
        <v/>
      </c>
      <c r="BH240" s="71" t="str">
        <f>IF(AND($AW240=1,$AJ240=1),$BA240*100000+ROW(),"")</f>
        <v/>
      </c>
      <c r="BI240" s="71" t="str">
        <f>IF(AND($AX240=1,$AJ240=1),$BA240*100000+ROW(),"")</f>
        <v/>
      </c>
      <c r="BJ240" s="71" t="str">
        <f>IF(AND($AS240=1,$AJ240=1),$BA240*100000+ROW(),"")</f>
        <v/>
      </c>
      <c r="BK240" s="71" t="str">
        <f>IF(AND($AY240=1,$AJ240=1),$BA240*100000+ROW(),"")</f>
        <v/>
      </c>
      <c r="BL240" s="71" t="str">
        <f>IF(AND($AZ240=1),$BA240*100000+ROW(),"")</f>
        <v/>
      </c>
    </row>
    <row r="241">
      <c r="A241" s="63" t="n"/>
      <c r="B241" s="64" t="n"/>
      <c r="C241" s="64" t="n"/>
      <c r="D241" s="64" t="n"/>
      <c r="E241" s="64" t="n"/>
      <c r="F241" s="64" t="n"/>
      <c r="G241" s="65" t="n"/>
      <c r="H241" s="65" t="n"/>
      <c r="I241" s="64" t="n"/>
      <c r="J241" s="64" t="n"/>
      <c r="K241" s="63" t="n"/>
      <c r="L241" s="63" t="n"/>
      <c r="M241" s="64" t="n"/>
      <c r="N241" s="66" t="n"/>
      <c r="O241" s="65" t="n"/>
      <c r="P241" s="64" t="n"/>
      <c r="Q241" s="67" t="n"/>
      <c r="R241" s="67" t="n"/>
      <c r="S241" s="68" t="str">
        <f>IF(AND(ISNUMBER($Q241),ISNUMBER($R241)),$Q241-$R241,"")</f>
        <v/>
      </c>
      <c r="T241" s="65" t="n"/>
      <c r="U241" s="64" t="n"/>
      <c r="V241" s="65" t="n"/>
      <c r="W241" s="63" t="n"/>
      <c r="X241" s="65" t="n"/>
      <c r="Y241" s="63" t="n"/>
      <c r="Z241" s="64" t="n"/>
      <c r="AA241" s="64" t="n"/>
      <c r="AB241" s="65" t="n"/>
      <c r="AC241" s="69" t="str">
        <f>IF(OR($G241="",NOT(ISNUMBER($K241)),$AK241=0),"",MAX(0,ReportDate-$K241))</f>
        <v/>
      </c>
      <c r="AD241" s="69" t="str">
        <f>IF($G241="","",IF($AL241=1,ReportDate-$L241,0))</f>
        <v/>
      </c>
      <c r="AE241" s="70" t="str">
        <f>IF($G241="","",IF($M241="Completed",1,IF(ISNUMBER($N241),$N241,0)))</f>
        <v/>
      </c>
      <c r="AF241" s="70" t="str">
        <f>IF(AND(ISNUMBER($Q241),ISNUMBER($R241)),IF($R241&lt;&gt;0,$Q241/$R241,""),"")</f>
        <v/>
      </c>
      <c r="AG241" s="71" t="str">
        <f>IF($G241="","",IF($AL241=1,"OVERDUE",IF($AM241=1,"BLOCKED",IF($AN241=1,"DUE TODAY",IF($AO241=1,"DUE TOMORROW",IF($AQ241=1,"HIGH PRIORITY",IF($AR241=1,"NO RECENT UPDATE",""))))))) </f>
        <v/>
      </c>
      <c r="AH241" s="71" t="str">
        <f>IF($G241="","",IF(ISNUMBER($A241),IF(ISNUMBER($A241),YEAR($A241)&amp;"-"&amp;TEXT(MONTH($A241),"00"),""),IF(ISNUMBER($L241),IF(ISNUMBER($L241),YEAR($L241)&amp;"-"&amp;TEXT(MONTH($L241),"00"),""),"")))</f>
        <v/>
      </c>
      <c r="AI241" s="71">
        <f>IF($G241="",0,IF(AND(OR(fClient="All",$C241=fClient),OR(fCampaign="All",$D241=fCampaign),OR(fTeam="All",$B241=fTeam),OR(fChannel="All",$F241=fChannel),OR(fMonth="All",$AH241=fMonth),OR(fTStatus="All",$M241=fTStatus)),1,0))</f>
        <v>0</v>
      </c>
      <c r="AJ241" s="71">
        <f>IF($G241="",0,IF(AND(OR(fClient="All",$C241=fClient),OR(fCampaign="All",$D241=fCampaign),OR(fTeam="All",$B241=fTeam),OR(fChannel="All",$F241=fChannel)),1,0))</f>
        <v>0</v>
      </c>
      <c r="AK241" s="71">
        <f>IF($G241="",0,IF(OR($M241="Completed",$M241="Cancelled"),0,1))</f>
        <v>0</v>
      </c>
      <c r="AL241" s="71">
        <f>IF(AND($AK241=1,ISNUMBER($L241)),IF($L241&lt;ReportDate,1,0),0)</f>
        <v>0</v>
      </c>
      <c r="AM241" s="71">
        <f>IF(AND($G241&lt;&gt;"",$M241="Blocked"),1,0)</f>
        <v>0</v>
      </c>
      <c r="AN241" s="71">
        <f>IF(AND($AK241=1,ISNUMBER($L241)),IF($L241=ReportDate,1,0),0)</f>
        <v>0</v>
      </c>
      <c r="AO241" s="71">
        <f>IF(AND($AK241=1,ISNUMBER($L241)),IF($L241=ReportDate+1,1,0),0)</f>
        <v>0</v>
      </c>
      <c r="AP241" s="71">
        <f>IF(AND($AK241=1,ISNUMBER($L241)),IF(AND($L241&gt;=ReportDate,$L241&lt;=ReportDate+DueSoonDays),1,0),0)</f>
        <v>0</v>
      </c>
      <c r="AQ241" s="71">
        <f>IF(AND($AK241=1,OR($I241="Critical",$I241="High")),1,0)</f>
        <v>0</v>
      </c>
      <c r="AR241" s="71">
        <f>IF($AK241=1,IF(ISNUMBER($Y241),IF(ReportDate-$Y241&gt;StaleDays,1,0),1),0)</f>
        <v>0</v>
      </c>
      <c r="AS241" s="71">
        <f>IF(AND($G241&lt;&gt;"",ISNUMBER($Q241),ISNUMBER($R241)),IF(AND($Q241&lt;$R241,OR($M241="Completed",AND(ISNUMBER($L241),$L241&lt;ReportDate))),1,0),0)</f>
        <v>0</v>
      </c>
      <c r="AT241" s="71">
        <f>IF($AK241=1,IF(OR($L241=ReportDate,$W241=ReportDate,$K241=ReportDate,$A241=ReportDate),1,0),0)</f>
        <v>0</v>
      </c>
      <c r="AU241" s="71">
        <f>IF($AK241=1,IF(OR($L241=ReportDate+1,$W241=ReportDate+1,$K241=ReportDate+1,$A241=ReportDate+1),1,0),0)</f>
        <v>0</v>
      </c>
      <c r="AV241" s="71">
        <f>IF(AND($G241&lt;&gt;"",$M241="Completed"),IF(OR($Y241=ReportDate-1,$A241=ReportDate-1),1,0),0)</f>
        <v>0</v>
      </c>
      <c r="AW241" s="71">
        <f>IF(AND($AK241=1,$Z241="Yes"),1,0)</f>
        <v>0</v>
      </c>
      <c r="AX241" s="71">
        <f>IF(AND($AK241=1,$AA241="Yes"),1,0)</f>
        <v>0</v>
      </c>
      <c r="AY241" s="71">
        <f>IF(AND($AM241=1,OR($I241="Critical",$I241="High")),1,0)</f>
        <v>0</v>
      </c>
      <c r="AZ241" s="71">
        <f>IF(AND($AK241=1,OR($C241=TCL_Client,$C241=MECCA_Client)),1,0)</f>
        <v>0</v>
      </c>
      <c r="BA241" s="71" t="str">
        <f>IF($G241="","",IFERROR(MATCH($I241,lst_Priority,0),5))</f>
        <v/>
      </c>
      <c r="BB241" s="71" t="str">
        <f>IF(AND($AL241=1,$AJ241=1),$BA241*100000+ROW(),"")</f>
        <v/>
      </c>
      <c r="BC241" s="71" t="str">
        <f>IF(AND($AM241=1,$AJ241=1),$BA241*100000+ROW(),"")</f>
        <v/>
      </c>
      <c r="BD241" s="71" t="str">
        <f>IF(AND($AP241=1,$AJ241=1),$BA241*100000+ROW(),"")</f>
        <v/>
      </c>
      <c r="BE241" s="71" t="str">
        <f>IF(AND($AT241=1,$AJ241=1),$BA241*100000+ROW(),"")</f>
        <v/>
      </c>
      <c r="BF241" s="71" t="str">
        <f>IF(AND($AU241=1,$AJ241=1),$BA241*100000+ROW(),"")</f>
        <v/>
      </c>
      <c r="BG241" s="71" t="str">
        <f>IF(AND($AV241=1,$AJ241=1),$BA241*100000+ROW(),"")</f>
        <v/>
      </c>
      <c r="BH241" s="71" t="str">
        <f>IF(AND($AW241=1,$AJ241=1),$BA241*100000+ROW(),"")</f>
        <v/>
      </c>
      <c r="BI241" s="71" t="str">
        <f>IF(AND($AX241=1,$AJ241=1),$BA241*100000+ROW(),"")</f>
        <v/>
      </c>
      <c r="BJ241" s="71" t="str">
        <f>IF(AND($AS241=1,$AJ241=1),$BA241*100000+ROW(),"")</f>
        <v/>
      </c>
      <c r="BK241" s="71" t="str">
        <f>IF(AND($AY241=1,$AJ241=1),$BA241*100000+ROW(),"")</f>
        <v/>
      </c>
      <c r="BL241" s="71" t="str">
        <f>IF(AND($AZ241=1),$BA241*100000+ROW(),"")</f>
        <v/>
      </c>
    </row>
    <row r="242">
      <c r="A242" s="63" t="n"/>
      <c r="B242" s="64" t="n"/>
      <c r="C242" s="64" t="n"/>
      <c r="D242" s="64" t="n"/>
      <c r="E242" s="64" t="n"/>
      <c r="F242" s="64" t="n"/>
      <c r="G242" s="65" t="n"/>
      <c r="H242" s="65" t="n"/>
      <c r="I242" s="64" t="n"/>
      <c r="J242" s="64" t="n"/>
      <c r="K242" s="63" t="n"/>
      <c r="L242" s="63" t="n"/>
      <c r="M242" s="64" t="n"/>
      <c r="N242" s="66" t="n"/>
      <c r="O242" s="65" t="n"/>
      <c r="P242" s="64" t="n"/>
      <c r="Q242" s="67" t="n"/>
      <c r="R242" s="67" t="n"/>
      <c r="S242" s="68" t="str">
        <f>IF(AND(ISNUMBER($Q242),ISNUMBER($R242)),$Q242-$R242,"")</f>
        <v/>
      </c>
      <c r="T242" s="65" t="n"/>
      <c r="U242" s="64" t="n"/>
      <c r="V242" s="65" t="n"/>
      <c r="W242" s="63" t="n"/>
      <c r="X242" s="65" t="n"/>
      <c r="Y242" s="63" t="n"/>
      <c r="Z242" s="64" t="n"/>
      <c r="AA242" s="64" t="n"/>
      <c r="AB242" s="65" t="n"/>
      <c r="AC242" s="69" t="str">
        <f>IF(OR($G242="",NOT(ISNUMBER($K242)),$AK242=0),"",MAX(0,ReportDate-$K242))</f>
        <v/>
      </c>
      <c r="AD242" s="69" t="str">
        <f>IF($G242="","",IF($AL242=1,ReportDate-$L242,0))</f>
        <v/>
      </c>
      <c r="AE242" s="70" t="str">
        <f>IF($G242="","",IF($M242="Completed",1,IF(ISNUMBER($N242),$N242,0)))</f>
        <v/>
      </c>
      <c r="AF242" s="70" t="str">
        <f>IF(AND(ISNUMBER($Q242),ISNUMBER($R242)),IF($R242&lt;&gt;0,$Q242/$R242,""),"")</f>
        <v/>
      </c>
      <c r="AG242" s="71" t="str">
        <f>IF($G242="","",IF($AL242=1,"OVERDUE",IF($AM242=1,"BLOCKED",IF($AN242=1,"DUE TODAY",IF($AO242=1,"DUE TOMORROW",IF($AQ242=1,"HIGH PRIORITY",IF($AR242=1,"NO RECENT UPDATE",""))))))) </f>
        <v/>
      </c>
      <c r="AH242" s="71" t="str">
        <f>IF($G242="","",IF(ISNUMBER($A242),IF(ISNUMBER($A242),YEAR($A242)&amp;"-"&amp;TEXT(MONTH($A242),"00"),""),IF(ISNUMBER($L242),IF(ISNUMBER($L242),YEAR($L242)&amp;"-"&amp;TEXT(MONTH($L242),"00"),""),"")))</f>
        <v/>
      </c>
      <c r="AI242" s="71">
        <f>IF($G242="",0,IF(AND(OR(fClient="All",$C242=fClient),OR(fCampaign="All",$D242=fCampaign),OR(fTeam="All",$B242=fTeam),OR(fChannel="All",$F242=fChannel),OR(fMonth="All",$AH242=fMonth),OR(fTStatus="All",$M242=fTStatus)),1,0))</f>
        <v>0</v>
      </c>
      <c r="AJ242" s="71">
        <f>IF($G242="",0,IF(AND(OR(fClient="All",$C242=fClient),OR(fCampaign="All",$D242=fCampaign),OR(fTeam="All",$B242=fTeam),OR(fChannel="All",$F242=fChannel)),1,0))</f>
        <v>0</v>
      </c>
      <c r="AK242" s="71">
        <f>IF($G242="",0,IF(OR($M242="Completed",$M242="Cancelled"),0,1))</f>
        <v>0</v>
      </c>
      <c r="AL242" s="71">
        <f>IF(AND($AK242=1,ISNUMBER($L242)),IF($L242&lt;ReportDate,1,0),0)</f>
        <v>0</v>
      </c>
      <c r="AM242" s="71">
        <f>IF(AND($G242&lt;&gt;"",$M242="Blocked"),1,0)</f>
        <v>0</v>
      </c>
      <c r="AN242" s="71">
        <f>IF(AND($AK242=1,ISNUMBER($L242)),IF($L242=ReportDate,1,0),0)</f>
        <v>0</v>
      </c>
      <c r="AO242" s="71">
        <f>IF(AND($AK242=1,ISNUMBER($L242)),IF($L242=ReportDate+1,1,0),0)</f>
        <v>0</v>
      </c>
      <c r="AP242" s="71">
        <f>IF(AND($AK242=1,ISNUMBER($L242)),IF(AND($L242&gt;=ReportDate,$L242&lt;=ReportDate+DueSoonDays),1,0),0)</f>
        <v>0</v>
      </c>
      <c r="AQ242" s="71">
        <f>IF(AND($AK242=1,OR($I242="Critical",$I242="High")),1,0)</f>
        <v>0</v>
      </c>
      <c r="AR242" s="71">
        <f>IF($AK242=1,IF(ISNUMBER($Y242),IF(ReportDate-$Y242&gt;StaleDays,1,0),1),0)</f>
        <v>0</v>
      </c>
      <c r="AS242" s="71">
        <f>IF(AND($G242&lt;&gt;"",ISNUMBER($Q242),ISNUMBER($R242)),IF(AND($Q242&lt;$R242,OR($M242="Completed",AND(ISNUMBER($L242),$L242&lt;ReportDate))),1,0),0)</f>
        <v>0</v>
      </c>
      <c r="AT242" s="71">
        <f>IF($AK242=1,IF(OR($L242=ReportDate,$W242=ReportDate,$K242=ReportDate,$A242=ReportDate),1,0),0)</f>
        <v>0</v>
      </c>
      <c r="AU242" s="71">
        <f>IF($AK242=1,IF(OR($L242=ReportDate+1,$W242=ReportDate+1,$K242=ReportDate+1,$A242=ReportDate+1),1,0),0)</f>
        <v>0</v>
      </c>
      <c r="AV242" s="71">
        <f>IF(AND($G242&lt;&gt;"",$M242="Completed"),IF(OR($Y242=ReportDate-1,$A242=ReportDate-1),1,0),0)</f>
        <v>0</v>
      </c>
      <c r="AW242" s="71">
        <f>IF(AND($AK242=1,$Z242="Yes"),1,0)</f>
        <v>0</v>
      </c>
      <c r="AX242" s="71">
        <f>IF(AND($AK242=1,$AA242="Yes"),1,0)</f>
        <v>0</v>
      </c>
      <c r="AY242" s="71">
        <f>IF(AND($AM242=1,OR($I242="Critical",$I242="High")),1,0)</f>
        <v>0</v>
      </c>
      <c r="AZ242" s="71">
        <f>IF(AND($AK242=1,OR($C242=TCL_Client,$C242=MECCA_Client)),1,0)</f>
        <v>0</v>
      </c>
      <c r="BA242" s="71" t="str">
        <f>IF($G242="","",IFERROR(MATCH($I242,lst_Priority,0),5))</f>
        <v/>
      </c>
      <c r="BB242" s="71" t="str">
        <f>IF(AND($AL242=1,$AJ242=1),$BA242*100000+ROW(),"")</f>
        <v/>
      </c>
      <c r="BC242" s="71" t="str">
        <f>IF(AND($AM242=1,$AJ242=1),$BA242*100000+ROW(),"")</f>
        <v/>
      </c>
      <c r="BD242" s="71" t="str">
        <f>IF(AND($AP242=1,$AJ242=1),$BA242*100000+ROW(),"")</f>
        <v/>
      </c>
      <c r="BE242" s="71" t="str">
        <f>IF(AND($AT242=1,$AJ242=1),$BA242*100000+ROW(),"")</f>
        <v/>
      </c>
      <c r="BF242" s="71" t="str">
        <f>IF(AND($AU242=1,$AJ242=1),$BA242*100000+ROW(),"")</f>
        <v/>
      </c>
      <c r="BG242" s="71" t="str">
        <f>IF(AND($AV242=1,$AJ242=1),$BA242*100000+ROW(),"")</f>
        <v/>
      </c>
      <c r="BH242" s="71" t="str">
        <f>IF(AND($AW242=1,$AJ242=1),$BA242*100000+ROW(),"")</f>
        <v/>
      </c>
      <c r="BI242" s="71" t="str">
        <f>IF(AND($AX242=1,$AJ242=1),$BA242*100000+ROW(),"")</f>
        <v/>
      </c>
      <c r="BJ242" s="71" t="str">
        <f>IF(AND($AS242=1,$AJ242=1),$BA242*100000+ROW(),"")</f>
        <v/>
      </c>
      <c r="BK242" s="71" t="str">
        <f>IF(AND($AY242=1,$AJ242=1),$BA242*100000+ROW(),"")</f>
        <v/>
      </c>
      <c r="BL242" s="71" t="str">
        <f>IF(AND($AZ242=1),$BA242*100000+ROW(),"")</f>
        <v/>
      </c>
    </row>
    <row r="243">
      <c r="A243" s="63" t="n"/>
      <c r="B243" s="64" t="n"/>
      <c r="C243" s="64" t="n"/>
      <c r="D243" s="64" t="n"/>
      <c r="E243" s="64" t="n"/>
      <c r="F243" s="64" t="n"/>
      <c r="G243" s="65" t="n"/>
      <c r="H243" s="65" t="n"/>
      <c r="I243" s="64" t="n"/>
      <c r="J243" s="64" t="n"/>
      <c r="K243" s="63" t="n"/>
      <c r="L243" s="63" t="n"/>
      <c r="M243" s="64" t="n"/>
      <c r="N243" s="66" t="n"/>
      <c r="O243" s="65" t="n"/>
      <c r="P243" s="64" t="n"/>
      <c r="Q243" s="67" t="n"/>
      <c r="R243" s="67" t="n"/>
      <c r="S243" s="68" t="str">
        <f>IF(AND(ISNUMBER($Q243),ISNUMBER($R243)),$Q243-$R243,"")</f>
        <v/>
      </c>
      <c r="T243" s="65" t="n"/>
      <c r="U243" s="64" t="n"/>
      <c r="V243" s="65" t="n"/>
      <c r="W243" s="63" t="n"/>
      <c r="X243" s="65" t="n"/>
      <c r="Y243" s="63" t="n"/>
      <c r="Z243" s="64" t="n"/>
      <c r="AA243" s="64" t="n"/>
      <c r="AB243" s="65" t="n"/>
      <c r="AC243" s="69" t="str">
        <f>IF(OR($G243="",NOT(ISNUMBER($K243)),$AK243=0),"",MAX(0,ReportDate-$K243))</f>
        <v/>
      </c>
      <c r="AD243" s="69" t="str">
        <f>IF($G243="","",IF($AL243=1,ReportDate-$L243,0))</f>
        <v/>
      </c>
      <c r="AE243" s="70" t="str">
        <f>IF($G243="","",IF($M243="Completed",1,IF(ISNUMBER($N243),$N243,0)))</f>
        <v/>
      </c>
      <c r="AF243" s="70" t="str">
        <f>IF(AND(ISNUMBER($Q243),ISNUMBER($R243)),IF($R243&lt;&gt;0,$Q243/$R243,""),"")</f>
        <v/>
      </c>
      <c r="AG243" s="71" t="str">
        <f>IF($G243="","",IF($AL243=1,"OVERDUE",IF($AM243=1,"BLOCKED",IF($AN243=1,"DUE TODAY",IF($AO243=1,"DUE TOMORROW",IF($AQ243=1,"HIGH PRIORITY",IF($AR243=1,"NO RECENT UPDATE",""))))))) </f>
        <v/>
      </c>
      <c r="AH243" s="71" t="str">
        <f>IF($G243="","",IF(ISNUMBER($A243),IF(ISNUMBER($A243),YEAR($A243)&amp;"-"&amp;TEXT(MONTH($A243),"00"),""),IF(ISNUMBER($L243),IF(ISNUMBER($L243),YEAR($L243)&amp;"-"&amp;TEXT(MONTH($L243),"00"),""),"")))</f>
        <v/>
      </c>
      <c r="AI243" s="71">
        <f>IF($G243="",0,IF(AND(OR(fClient="All",$C243=fClient),OR(fCampaign="All",$D243=fCampaign),OR(fTeam="All",$B243=fTeam),OR(fChannel="All",$F243=fChannel),OR(fMonth="All",$AH243=fMonth),OR(fTStatus="All",$M243=fTStatus)),1,0))</f>
        <v>0</v>
      </c>
      <c r="AJ243" s="71">
        <f>IF($G243="",0,IF(AND(OR(fClient="All",$C243=fClient),OR(fCampaign="All",$D243=fCampaign),OR(fTeam="All",$B243=fTeam),OR(fChannel="All",$F243=fChannel)),1,0))</f>
        <v>0</v>
      </c>
      <c r="AK243" s="71">
        <f>IF($G243="",0,IF(OR($M243="Completed",$M243="Cancelled"),0,1))</f>
        <v>0</v>
      </c>
      <c r="AL243" s="71">
        <f>IF(AND($AK243=1,ISNUMBER($L243)),IF($L243&lt;ReportDate,1,0),0)</f>
        <v>0</v>
      </c>
      <c r="AM243" s="71">
        <f>IF(AND($G243&lt;&gt;"",$M243="Blocked"),1,0)</f>
        <v>0</v>
      </c>
      <c r="AN243" s="71">
        <f>IF(AND($AK243=1,ISNUMBER($L243)),IF($L243=ReportDate,1,0),0)</f>
        <v>0</v>
      </c>
      <c r="AO243" s="71">
        <f>IF(AND($AK243=1,ISNUMBER($L243)),IF($L243=ReportDate+1,1,0),0)</f>
        <v>0</v>
      </c>
      <c r="AP243" s="71">
        <f>IF(AND($AK243=1,ISNUMBER($L243)),IF(AND($L243&gt;=ReportDate,$L243&lt;=ReportDate+DueSoonDays),1,0),0)</f>
        <v>0</v>
      </c>
      <c r="AQ243" s="71">
        <f>IF(AND($AK243=1,OR($I243="Critical",$I243="High")),1,0)</f>
        <v>0</v>
      </c>
      <c r="AR243" s="71">
        <f>IF($AK243=1,IF(ISNUMBER($Y243),IF(ReportDate-$Y243&gt;StaleDays,1,0),1),0)</f>
        <v>0</v>
      </c>
      <c r="AS243" s="71">
        <f>IF(AND($G243&lt;&gt;"",ISNUMBER($Q243),ISNUMBER($R243)),IF(AND($Q243&lt;$R243,OR($M243="Completed",AND(ISNUMBER($L243),$L243&lt;ReportDate))),1,0),0)</f>
        <v>0</v>
      </c>
      <c r="AT243" s="71">
        <f>IF($AK243=1,IF(OR($L243=ReportDate,$W243=ReportDate,$K243=ReportDate,$A243=ReportDate),1,0),0)</f>
        <v>0</v>
      </c>
      <c r="AU243" s="71">
        <f>IF($AK243=1,IF(OR($L243=ReportDate+1,$W243=ReportDate+1,$K243=ReportDate+1,$A243=ReportDate+1),1,0),0)</f>
        <v>0</v>
      </c>
      <c r="AV243" s="71">
        <f>IF(AND($G243&lt;&gt;"",$M243="Completed"),IF(OR($Y243=ReportDate-1,$A243=ReportDate-1),1,0),0)</f>
        <v>0</v>
      </c>
      <c r="AW243" s="71">
        <f>IF(AND($AK243=1,$Z243="Yes"),1,0)</f>
        <v>0</v>
      </c>
      <c r="AX243" s="71">
        <f>IF(AND($AK243=1,$AA243="Yes"),1,0)</f>
        <v>0</v>
      </c>
      <c r="AY243" s="71">
        <f>IF(AND($AM243=1,OR($I243="Critical",$I243="High")),1,0)</f>
        <v>0</v>
      </c>
      <c r="AZ243" s="71">
        <f>IF(AND($AK243=1,OR($C243=TCL_Client,$C243=MECCA_Client)),1,0)</f>
        <v>0</v>
      </c>
      <c r="BA243" s="71" t="str">
        <f>IF($G243="","",IFERROR(MATCH($I243,lst_Priority,0),5))</f>
        <v/>
      </c>
      <c r="BB243" s="71" t="str">
        <f>IF(AND($AL243=1,$AJ243=1),$BA243*100000+ROW(),"")</f>
        <v/>
      </c>
      <c r="BC243" s="71" t="str">
        <f>IF(AND($AM243=1,$AJ243=1),$BA243*100000+ROW(),"")</f>
        <v/>
      </c>
      <c r="BD243" s="71" t="str">
        <f>IF(AND($AP243=1,$AJ243=1),$BA243*100000+ROW(),"")</f>
        <v/>
      </c>
      <c r="BE243" s="71" t="str">
        <f>IF(AND($AT243=1,$AJ243=1),$BA243*100000+ROW(),"")</f>
        <v/>
      </c>
      <c r="BF243" s="71" t="str">
        <f>IF(AND($AU243=1,$AJ243=1),$BA243*100000+ROW(),"")</f>
        <v/>
      </c>
      <c r="BG243" s="71" t="str">
        <f>IF(AND($AV243=1,$AJ243=1),$BA243*100000+ROW(),"")</f>
        <v/>
      </c>
      <c r="BH243" s="71" t="str">
        <f>IF(AND($AW243=1,$AJ243=1),$BA243*100000+ROW(),"")</f>
        <v/>
      </c>
      <c r="BI243" s="71" t="str">
        <f>IF(AND($AX243=1,$AJ243=1),$BA243*100000+ROW(),"")</f>
        <v/>
      </c>
      <c r="BJ243" s="71" t="str">
        <f>IF(AND($AS243=1,$AJ243=1),$BA243*100000+ROW(),"")</f>
        <v/>
      </c>
      <c r="BK243" s="71" t="str">
        <f>IF(AND($AY243=1,$AJ243=1),$BA243*100000+ROW(),"")</f>
        <v/>
      </c>
      <c r="BL243" s="71" t="str">
        <f>IF(AND($AZ243=1),$BA243*100000+ROW(),"")</f>
        <v/>
      </c>
    </row>
    <row r="244">
      <c r="A244" s="63" t="n"/>
      <c r="B244" s="64" t="n"/>
      <c r="C244" s="64" t="n"/>
      <c r="D244" s="64" t="n"/>
      <c r="E244" s="64" t="n"/>
      <c r="F244" s="64" t="n"/>
      <c r="G244" s="65" t="n"/>
      <c r="H244" s="65" t="n"/>
      <c r="I244" s="64" t="n"/>
      <c r="J244" s="64" t="n"/>
      <c r="K244" s="63" t="n"/>
      <c r="L244" s="63" t="n"/>
      <c r="M244" s="64" t="n"/>
      <c r="N244" s="66" t="n"/>
      <c r="O244" s="65" t="n"/>
      <c r="P244" s="64" t="n"/>
      <c r="Q244" s="67" t="n"/>
      <c r="R244" s="67" t="n"/>
      <c r="S244" s="68" t="str">
        <f>IF(AND(ISNUMBER($Q244),ISNUMBER($R244)),$Q244-$R244,"")</f>
        <v/>
      </c>
      <c r="T244" s="65" t="n"/>
      <c r="U244" s="64" t="n"/>
      <c r="V244" s="65" t="n"/>
      <c r="W244" s="63" t="n"/>
      <c r="X244" s="65" t="n"/>
      <c r="Y244" s="63" t="n"/>
      <c r="Z244" s="64" t="n"/>
      <c r="AA244" s="64" t="n"/>
      <c r="AB244" s="65" t="n"/>
      <c r="AC244" s="69" t="str">
        <f>IF(OR($G244="",NOT(ISNUMBER($K244)),$AK244=0),"",MAX(0,ReportDate-$K244))</f>
        <v/>
      </c>
      <c r="AD244" s="69" t="str">
        <f>IF($G244="","",IF($AL244=1,ReportDate-$L244,0))</f>
        <v/>
      </c>
      <c r="AE244" s="70" t="str">
        <f>IF($G244="","",IF($M244="Completed",1,IF(ISNUMBER($N244),$N244,0)))</f>
        <v/>
      </c>
      <c r="AF244" s="70" t="str">
        <f>IF(AND(ISNUMBER($Q244),ISNUMBER($R244)),IF($R244&lt;&gt;0,$Q244/$R244,""),"")</f>
        <v/>
      </c>
      <c r="AG244" s="71" t="str">
        <f>IF($G244="","",IF($AL244=1,"OVERDUE",IF($AM244=1,"BLOCKED",IF($AN244=1,"DUE TODAY",IF($AO244=1,"DUE TOMORROW",IF($AQ244=1,"HIGH PRIORITY",IF($AR244=1,"NO RECENT UPDATE",""))))))) </f>
        <v/>
      </c>
      <c r="AH244" s="71" t="str">
        <f>IF($G244="","",IF(ISNUMBER($A244),IF(ISNUMBER($A244),YEAR($A244)&amp;"-"&amp;TEXT(MONTH($A244),"00"),""),IF(ISNUMBER($L244),IF(ISNUMBER($L244),YEAR($L244)&amp;"-"&amp;TEXT(MONTH($L244),"00"),""),"")))</f>
        <v/>
      </c>
      <c r="AI244" s="71">
        <f>IF($G244="",0,IF(AND(OR(fClient="All",$C244=fClient),OR(fCampaign="All",$D244=fCampaign),OR(fTeam="All",$B244=fTeam),OR(fChannel="All",$F244=fChannel),OR(fMonth="All",$AH244=fMonth),OR(fTStatus="All",$M244=fTStatus)),1,0))</f>
        <v>0</v>
      </c>
      <c r="AJ244" s="71">
        <f>IF($G244="",0,IF(AND(OR(fClient="All",$C244=fClient),OR(fCampaign="All",$D244=fCampaign),OR(fTeam="All",$B244=fTeam),OR(fChannel="All",$F244=fChannel)),1,0))</f>
        <v>0</v>
      </c>
      <c r="AK244" s="71">
        <f>IF($G244="",0,IF(OR($M244="Completed",$M244="Cancelled"),0,1))</f>
        <v>0</v>
      </c>
      <c r="AL244" s="71">
        <f>IF(AND($AK244=1,ISNUMBER($L244)),IF($L244&lt;ReportDate,1,0),0)</f>
        <v>0</v>
      </c>
      <c r="AM244" s="71">
        <f>IF(AND($G244&lt;&gt;"",$M244="Blocked"),1,0)</f>
        <v>0</v>
      </c>
      <c r="AN244" s="71">
        <f>IF(AND($AK244=1,ISNUMBER($L244)),IF($L244=ReportDate,1,0),0)</f>
        <v>0</v>
      </c>
      <c r="AO244" s="71">
        <f>IF(AND($AK244=1,ISNUMBER($L244)),IF($L244=ReportDate+1,1,0),0)</f>
        <v>0</v>
      </c>
      <c r="AP244" s="71">
        <f>IF(AND($AK244=1,ISNUMBER($L244)),IF(AND($L244&gt;=ReportDate,$L244&lt;=ReportDate+DueSoonDays),1,0),0)</f>
        <v>0</v>
      </c>
      <c r="AQ244" s="71">
        <f>IF(AND($AK244=1,OR($I244="Critical",$I244="High")),1,0)</f>
        <v>0</v>
      </c>
      <c r="AR244" s="71">
        <f>IF($AK244=1,IF(ISNUMBER($Y244),IF(ReportDate-$Y244&gt;StaleDays,1,0),1),0)</f>
        <v>0</v>
      </c>
      <c r="AS244" s="71">
        <f>IF(AND($G244&lt;&gt;"",ISNUMBER($Q244),ISNUMBER($R244)),IF(AND($Q244&lt;$R244,OR($M244="Completed",AND(ISNUMBER($L244),$L244&lt;ReportDate))),1,0),0)</f>
        <v>0</v>
      </c>
      <c r="AT244" s="71">
        <f>IF($AK244=1,IF(OR($L244=ReportDate,$W244=ReportDate,$K244=ReportDate,$A244=ReportDate),1,0),0)</f>
        <v>0</v>
      </c>
      <c r="AU244" s="71">
        <f>IF($AK244=1,IF(OR($L244=ReportDate+1,$W244=ReportDate+1,$K244=ReportDate+1,$A244=ReportDate+1),1,0),0)</f>
        <v>0</v>
      </c>
      <c r="AV244" s="71">
        <f>IF(AND($G244&lt;&gt;"",$M244="Completed"),IF(OR($Y244=ReportDate-1,$A244=ReportDate-1),1,0),0)</f>
        <v>0</v>
      </c>
      <c r="AW244" s="71">
        <f>IF(AND($AK244=1,$Z244="Yes"),1,0)</f>
        <v>0</v>
      </c>
      <c r="AX244" s="71">
        <f>IF(AND($AK244=1,$AA244="Yes"),1,0)</f>
        <v>0</v>
      </c>
      <c r="AY244" s="71">
        <f>IF(AND($AM244=1,OR($I244="Critical",$I244="High")),1,0)</f>
        <v>0</v>
      </c>
      <c r="AZ244" s="71">
        <f>IF(AND($AK244=1,OR($C244=TCL_Client,$C244=MECCA_Client)),1,0)</f>
        <v>0</v>
      </c>
      <c r="BA244" s="71" t="str">
        <f>IF($G244="","",IFERROR(MATCH($I244,lst_Priority,0),5))</f>
        <v/>
      </c>
      <c r="BB244" s="71" t="str">
        <f>IF(AND($AL244=1,$AJ244=1),$BA244*100000+ROW(),"")</f>
        <v/>
      </c>
      <c r="BC244" s="71" t="str">
        <f>IF(AND($AM244=1,$AJ244=1),$BA244*100000+ROW(),"")</f>
        <v/>
      </c>
      <c r="BD244" s="71" t="str">
        <f>IF(AND($AP244=1,$AJ244=1),$BA244*100000+ROW(),"")</f>
        <v/>
      </c>
      <c r="BE244" s="71" t="str">
        <f>IF(AND($AT244=1,$AJ244=1),$BA244*100000+ROW(),"")</f>
        <v/>
      </c>
      <c r="BF244" s="71" t="str">
        <f>IF(AND($AU244=1,$AJ244=1),$BA244*100000+ROW(),"")</f>
        <v/>
      </c>
      <c r="BG244" s="71" t="str">
        <f>IF(AND($AV244=1,$AJ244=1),$BA244*100000+ROW(),"")</f>
        <v/>
      </c>
      <c r="BH244" s="71" t="str">
        <f>IF(AND($AW244=1,$AJ244=1),$BA244*100000+ROW(),"")</f>
        <v/>
      </c>
      <c r="BI244" s="71" t="str">
        <f>IF(AND($AX244=1,$AJ244=1),$BA244*100000+ROW(),"")</f>
        <v/>
      </c>
      <c r="BJ244" s="71" t="str">
        <f>IF(AND($AS244=1,$AJ244=1),$BA244*100000+ROW(),"")</f>
        <v/>
      </c>
      <c r="BK244" s="71" t="str">
        <f>IF(AND($AY244=1,$AJ244=1),$BA244*100000+ROW(),"")</f>
        <v/>
      </c>
      <c r="BL244" s="71" t="str">
        <f>IF(AND($AZ244=1),$BA244*100000+ROW(),"")</f>
        <v/>
      </c>
    </row>
    <row r="245">
      <c r="A245" s="63" t="n"/>
      <c r="B245" s="64" t="n"/>
      <c r="C245" s="64" t="n"/>
      <c r="D245" s="64" t="n"/>
      <c r="E245" s="64" t="n"/>
      <c r="F245" s="64" t="n"/>
      <c r="G245" s="65" t="n"/>
      <c r="H245" s="65" t="n"/>
      <c r="I245" s="64" t="n"/>
      <c r="J245" s="64" t="n"/>
      <c r="K245" s="63" t="n"/>
      <c r="L245" s="63" t="n"/>
      <c r="M245" s="64" t="n"/>
      <c r="N245" s="66" t="n"/>
      <c r="O245" s="65" t="n"/>
      <c r="P245" s="64" t="n"/>
      <c r="Q245" s="67" t="n"/>
      <c r="R245" s="67" t="n"/>
      <c r="S245" s="68" t="str">
        <f>IF(AND(ISNUMBER($Q245),ISNUMBER($R245)),$Q245-$R245,"")</f>
        <v/>
      </c>
      <c r="T245" s="65" t="n"/>
      <c r="U245" s="64" t="n"/>
      <c r="V245" s="65" t="n"/>
      <c r="W245" s="63" t="n"/>
      <c r="X245" s="65" t="n"/>
      <c r="Y245" s="63" t="n"/>
      <c r="Z245" s="64" t="n"/>
      <c r="AA245" s="64" t="n"/>
      <c r="AB245" s="65" t="n"/>
      <c r="AC245" s="69" t="str">
        <f>IF(OR($G245="",NOT(ISNUMBER($K245)),$AK245=0),"",MAX(0,ReportDate-$K245))</f>
        <v/>
      </c>
      <c r="AD245" s="69" t="str">
        <f>IF($G245="","",IF($AL245=1,ReportDate-$L245,0))</f>
        <v/>
      </c>
      <c r="AE245" s="70" t="str">
        <f>IF($G245="","",IF($M245="Completed",1,IF(ISNUMBER($N245),$N245,0)))</f>
        <v/>
      </c>
      <c r="AF245" s="70" t="str">
        <f>IF(AND(ISNUMBER($Q245),ISNUMBER($R245)),IF($R245&lt;&gt;0,$Q245/$R245,""),"")</f>
        <v/>
      </c>
      <c r="AG245" s="71" t="str">
        <f>IF($G245="","",IF($AL245=1,"OVERDUE",IF($AM245=1,"BLOCKED",IF($AN245=1,"DUE TODAY",IF($AO245=1,"DUE TOMORROW",IF($AQ245=1,"HIGH PRIORITY",IF($AR245=1,"NO RECENT UPDATE",""))))))) </f>
        <v/>
      </c>
      <c r="AH245" s="71" t="str">
        <f>IF($G245="","",IF(ISNUMBER($A245),IF(ISNUMBER($A245),YEAR($A245)&amp;"-"&amp;TEXT(MONTH($A245),"00"),""),IF(ISNUMBER($L245),IF(ISNUMBER($L245),YEAR($L245)&amp;"-"&amp;TEXT(MONTH($L245),"00"),""),"")))</f>
        <v/>
      </c>
      <c r="AI245" s="71">
        <f>IF($G245="",0,IF(AND(OR(fClient="All",$C245=fClient),OR(fCampaign="All",$D245=fCampaign),OR(fTeam="All",$B245=fTeam),OR(fChannel="All",$F245=fChannel),OR(fMonth="All",$AH245=fMonth),OR(fTStatus="All",$M245=fTStatus)),1,0))</f>
        <v>0</v>
      </c>
      <c r="AJ245" s="71">
        <f>IF($G245="",0,IF(AND(OR(fClient="All",$C245=fClient),OR(fCampaign="All",$D245=fCampaign),OR(fTeam="All",$B245=fTeam),OR(fChannel="All",$F245=fChannel)),1,0))</f>
        <v>0</v>
      </c>
      <c r="AK245" s="71">
        <f>IF($G245="",0,IF(OR($M245="Completed",$M245="Cancelled"),0,1))</f>
        <v>0</v>
      </c>
      <c r="AL245" s="71">
        <f>IF(AND($AK245=1,ISNUMBER($L245)),IF($L245&lt;ReportDate,1,0),0)</f>
        <v>0</v>
      </c>
      <c r="AM245" s="71">
        <f>IF(AND($G245&lt;&gt;"",$M245="Blocked"),1,0)</f>
        <v>0</v>
      </c>
      <c r="AN245" s="71">
        <f>IF(AND($AK245=1,ISNUMBER($L245)),IF($L245=ReportDate,1,0),0)</f>
        <v>0</v>
      </c>
      <c r="AO245" s="71">
        <f>IF(AND($AK245=1,ISNUMBER($L245)),IF($L245=ReportDate+1,1,0),0)</f>
        <v>0</v>
      </c>
      <c r="AP245" s="71">
        <f>IF(AND($AK245=1,ISNUMBER($L245)),IF(AND($L245&gt;=ReportDate,$L245&lt;=ReportDate+DueSoonDays),1,0),0)</f>
        <v>0</v>
      </c>
      <c r="AQ245" s="71">
        <f>IF(AND($AK245=1,OR($I245="Critical",$I245="High")),1,0)</f>
        <v>0</v>
      </c>
      <c r="AR245" s="71">
        <f>IF($AK245=1,IF(ISNUMBER($Y245),IF(ReportDate-$Y245&gt;StaleDays,1,0),1),0)</f>
        <v>0</v>
      </c>
      <c r="AS245" s="71">
        <f>IF(AND($G245&lt;&gt;"",ISNUMBER($Q245),ISNUMBER($R245)),IF(AND($Q245&lt;$R245,OR($M245="Completed",AND(ISNUMBER($L245),$L245&lt;ReportDate))),1,0),0)</f>
        <v>0</v>
      </c>
      <c r="AT245" s="71">
        <f>IF($AK245=1,IF(OR($L245=ReportDate,$W245=ReportDate,$K245=ReportDate,$A245=ReportDate),1,0),0)</f>
        <v>0</v>
      </c>
      <c r="AU245" s="71">
        <f>IF($AK245=1,IF(OR($L245=ReportDate+1,$W245=ReportDate+1,$K245=ReportDate+1,$A245=ReportDate+1),1,0),0)</f>
        <v>0</v>
      </c>
      <c r="AV245" s="71">
        <f>IF(AND($G245&lt;&gt;"",$M245="Completed"),IF(OR($Y245=ReportDate-1,$A245=ReportDate-1),1,0),0)</f>
        <v>0</v>
      </c>
      <c r="AW245" s="71">
        <f>IF(AND($AK245=1,$Z245="Yes"),1,0)</f>
        <v>0</v>
      </c>
      <c r="AX245" s="71">
        <f>IF(AND($AK245=1,$AA245="Yes"),1,0)</f>
        <v>0</v>
      </c>
      <c r="AY245" s="71">
        <f>IF(AND($AM245=1,OR($I245="Critical",$I245="High")),1,0)</f>
        <v>0</v>
      </c>
      <c r="AZ245" s="71">
        <f>IF(AND($AK245=1,OR($C245=TCL_Client,$C245=MECCA_Client)),1,0)</f>
        <v>0</v>
      </c>
      <c r="BA245" s="71" t="str">
        <f>IF($G245="","",IFERROR(MATCH($I245,lst_Priority,0),5))</f>
        <v/>
      </c>
      <c r="BB245" s="71" t="str">
        <f>IF(AND($AL245=1,$AJ245=1),$BA245*100000+ROW(),"")</f>
        <v/>
      </c>
      <c r="BC245" s="71" t="str">
        <f>IF(AND($AM245=1,$AJ245=1),$BA245*100000+ROW(),"")</f>
        <v/>
      </c>
      <c r="BD245" s="71" t="str">
        <f>IF(AND($AP245=1,$AJ245=1),$BA245*100000+ROW(),"")</f>
        <v/>
      </c>
      <c r="BE245" s="71" t="str">
        <f>IF(AND($AT245=1,$AJ245=1),$BA245*100000+ROW(),"")</f>
        <v/>
      </c>
      <c r="BF245" s="71" t="str">
        <f>IF(AND($AU245=1,$AJ245=1),$BA245*100000+ROW(),"")</f>
        <v/>
      </c>
      <c r="BG245" s="71" t="str">
        <f>IF(AND($AV245=1,$AJ245=1),$BA245*100000+ROW(),"")</f>
        <v/>
      </c>
      <c r="BH245" s="71" t="str">
        <f>IF(AND($AW245=1,$AJ245=1),$BA245*100000+ROW(),"")</f>
        <v/>
      </c>
      <c r="BI245" s="71" t="str">
        <f>IF(AND($AX245=1,$AJ245=1),$BA245*100000+ROW(),"")</f>
        <v/>
      </c>
      <c r="BJ245" s="71" t="str">
        <f>IF(AND($AS245=1,$AJ245=1),$BA245*100000+ROW(),"")</f>
        <v/>
      </c>
      <c r="BK245" s="71" t="str">
        <f>IF(AND($AY245=1,$AJ245=1),$BA245*100000+ROW(),"")</f>
        <v/>
      </c>
      <c r="BL245" s="71" t="str">
        <f>IF(AND($AZ245=1),$BA245*100000+ROW(),"")</f>
        <v/>
      </c>
    </row>
    <row r="246">
      <c r="A246" s="63" t="n"/>
      <c r="B246" s="64" t="n"/>
      <c r="C246" s="64" t="n"/>
      <c r="D246" s="64" t="n"/>
      <c r="E246" s="64" t="n"/>
      <c r="F246" s="64" t="n"/>
      <c r="G246" s="65" t="n"/>
      <c r="H246" s="65" t="n"/>
      <c r="I246" s="64" t="n"/>
      <c r="J246" s="64" t="n"/>
      <c r="K246" s="63" t="n"/>
      <c r="L246" s="63" t="n"/>
      <c r="M246" s="64" t="n"/>
      <c r="N246" s="66" t="n"/>
      <c r="O246" s="65" t="n"/>
      <c r="P246" s="64" t="n"/>
      <c r="Q246" s="67" t="n"/>
      <c r="R246" s="67" t="n"/>
      <c r="S246" s="68" t="str">
        <f>IF(AND(ISNUMBER($Q246),ISNUMBER($R246)),$Q246-$R246,"")</f>
        <v/>
      </c>
      <c r="T246" s="65" t="n"/>
      <c r="U246" s="64" t="n"/>
      <c r="V246" s="65" t="n"/>
      <c r="W246" s="63" t="n"/>
      <c r="X246" s="65" t="n"/>
      <c r="Y246" s="63" t="n"/>
      <c r="Z246" s="64" t="n"/>
      <c r="AA246" s="64" t="n"/>
      <c r="AB246" s="65" t="n"/>
      <c r="AC246" s="69" t="str">
        <f>IF(OR($G246="",NOT(ISNUMBER($K246)),$AK246=0),"",MAX(0,ReportDate-$K246))</f>
        <v/>
      </c>
      <c r="AD246" s="69" t="str">
        <f>IF($G246="","",IF($AL246=1,ReportDate-$L246,0))</f>
        <v/>
      </c>
      <c r="AE246" s="70" t="str">
        <f>IF($G246="","",IF($M246="Completed",1,IF(ISNUMBER($N246),$N246,0)))</f>
        <v/>
      </c>
      <c r="AF246" s="70" t="str">
        <f>IF(AND(ISNUMBER($Q246),ISNUMBER($R246)),IF($R246&lt;&gt;0,$Q246/$R246,""),"")</f>
        <v/>
      </c>
      <c r="AG246" s="71" t="str">
        <f>IF($G246="","",IF($AL246=1,"OVERDUE",IF($AM246=1,"BLOCKED",IF($AN246=1,"DUE TODAY",IF($AO246=1,"DUE TOMORROW",IF($AQ246=1,"HIGH PRIORITY",IF($AR246=1,"NO RECENT UPDATE",""))))))) </f>
        <v/>
      </c>
      <c r="AH246" s="71" t="str">
        <f>IF($G246="","",IF(ISNUMBER($A246),IF(ISNUMBER($A246),YEAR($A246)&amp;"-"&amp;TEXT(MONTH($A246),"00"),""),IF(ISNUMBER($L246),IF(ISNUMBER($L246),YEAR($L246)&amp;"-"&amp;TEXT(MONTH($L246),"00"),""),"")))</f>
        <v/>
      </c>
      <c r="AI246" s="71">
        <f>IF($G246="",0,IF(AND(OR(fClient="All",$C246=fClient),OR(fCampaign="All",$D246=fCampaign),OR(fTeam="All",$B246=fTeam),OR(fChannel="All",$F246=fChannel),OR(fMonth="All",$AH246=fMonth),OR(fTStatus="All",$M246=fTStatus)),1,0))</f>
        <v>0</v>
      </c>
      <c r="AJ246" s="71">
        <f>IF($G246="",0,IF(AND(OR(fClient="All",$C246=fClient),OR(fCampaign="All",$D246=fCampaign),OR(fTeam="All",$B246=fTeam),OR(fChannel="All",$F246=fChannel)),1,0))</f>
        <v>0</v>
      </c>
      <c r="AK246" s="71">
        <f>IF($G246="",0,IF(OR($M246="Completed",$M246="Cancelled"),0,1))</f>
        <v>0</v>
      </c>
      <c r="AL246" s="71">
        <f>IF(AND($AK246=1,ISNUMBER($L246)),IF($L246&lt;ReportDate,1,0),0)</f>
        <v>0</v>
      </c>
      <c r="AM246" s="71">
        <f>IF(AND($G246&lt;&gt;"",$M246="Blocked"),1,0)</f>
        <v>0</v>
      </c>
      <c r="AN246" s="71">
        <f>IF(AND($AK246=1,ISNUMBER($L246)),IF($L246=ReportDate,1,0),0)</f>
        <v>0</v>
      </c>
      <c r="AO246" s="71">
        <f>IF(AND($AK246=1,ISNUMBER($L246)),IF($L246=ReportDate+1,1,0),0)</f>
        <v>0</v>
      </c>
      <c r="AP246" s="71">
        <f>IF(AND($AK246=1,ISNUMBER($L246)),IF(AND($L246&gt;=ReportDate,$L246&lt;=ReportDate+DueSoonDays),1,0),0)</f>
        <v>0</v>
      </c>
      <c r="AQ246" s="71">
        <f>IF(AND($AK246=1,OR($I246="Critical",$I246="High")),1,0)</f>
        <v>0</v>
      </c>
      <c r="AR246" s="71">
        <f>IF($AK246=1,IF(ISNUMBER($Y246),IF(ReportDate-$Y246&gt;StaleDays,1,0),1),0)</f>
        <v>0</v>
      </c>
      <c r="AS246" s="71">
        <f>IF(AND($G246&lt;&gt;"",ISNUMBER($Q246),ISNUMBER($R246)),IF(AND($Q246&lt;$R246,OR($M246="Completed",AND(ISNUMBER($L246),$L246&lt;ReportDate))),1,0),0)</f>
        <v>0</v>
      </c>
      <c r="AT246" s="71">
        <f>IF($AK246=1,IF(OR($L246=ReportDate,$W246=ReportDate,$K246=ReportDate,$A246=ReportDate),1,0),0)</f>
        <v>0</v>
      </c>
      <c r="AU246" s="71">
        <f>IF($AK246=1,IF(OR($L246=ReportDate+1,$W246=ReportDate+1,$K246=ReportDate+1,$A246=ReportDate+1),1,0),0)</f>
        <v>0</v>
      </c>
      <c r="AV246" s="71">
        <f>IF(AND($G246&lt;&gt;"",$M246="Completed"),IF(OR($Y246=ReportDate-1,$A246=ReportDate-1),1,0),0)</f>
        <v>0</v>
      </c>
      <c r="AW246" s="71">
        <f>IF(AND($AK246=1,$Z246="Yes"),1,0)</f>
        <v>0</v>
      </c>
      <c r="AX246" s="71">
        <f>IF(AND($AK246=1,$AA246="Yes"),1,0)</f>
        <v>0</v>
      </c>
      <c r="AY246" s="71">
        <f>IF(AND($AM246=1,OR($I246="Critical",$I246="High")),1,0)</f>
        <v>0</v>
      </c>
      <c r="AZ246" s="71">
        <f>IF(AND($AK246=1,OR($C246=TCL_Client,$C246=MECCA_Client)),1,0)</f>
        <v>0</v>
      </c>
      <c r="BA246" s="71" t="str">
        <f>IF($G246="","",IFERROR(MATCH($I246,lst_Priority,0),5))</f>
        <v/>
      </c>
      <c r="BB246" s="71" t="str">
        <f>IF(AND($AL246=1,$AJ246=1),$BA246*100000+ROW(),"")</f>
        <v/>
      </c>
      <c r="BC246" s="71" t="str">
        <f>IF(AND($AM246=1,$AJ246=1),$BA246*100000+ROW(),"")</f>
        <v/>
      </c>
      <c r="BD246" s="71" t="str">
        <f>IF(AND($AP246=1,$AJ246=1),$BA246*100000+ROW(),"")</f>
        <v/>
      </c>
      <c r="BE246" s="71" t="str">
        <f>IF(AND($AT246=1,$AJ246=1),$BA246*100000+ROW(),"")</f>
        <v/>
      </c>
      <c r="BF246" s="71" t="str">
        <f>IF(AND($AU246=1,$AJ246=1),$BA246*100000+ROW(),"")</f>
        <v/>
      </c>
      <c r="BG246" s="71" t="str">
        <f>IF(AND($AV246=1,$AJ246=1),$BA246*100000+ROW(),"")</f>
        <v/>
      </c>
      <c r="BH246" s="71" t="str">
        <f>IF(AND($AW246=1,$AJ246=1),$BA246*100000+ROW(),"")</f>
        <v/>
      </c>
      <c r="BI246" s="71" t="str">
        <f>IF(AND($AX246=1,$AJ246=1),$BA246*100000+ROW(),"")</f>
        <v/>
      </c>
      <c r="BJ246" s="71" t="str">
        <f>IF(AND($AS246=1,$AJ246=1),$BA246*100000+ROW(),"")</f>
        <v/>
      </c>
      <c r="BK246" s="71" t="str">
        <f>IF(AND($AY246=1,$AJ246=1),$BA246*100000+ROW(),"")</f>
        <v/>
      </c>
      <c r="BL246" s="71" t="str">
        <f>IF(AND($AZ246=1),$BA246*100000+ROW(),"")</f>
        <v/>
      </c>
    </row>
    <row r="247">
      <c r="A247" s="63" t="n"/>
      <c r="B247" s="64" t="n"/>
      <c r="C247" s="64" t="n"/>
      <c r="D247" s="64" t="n"/>
      <c r="E247" s="64" t="n"/>
      <c r="F247" s="64" t="n"/>
      <c r="G247" s="65" t="n"/>
      <c r="H247" s="65" t="n"/>
      <c r="I247" s="64" t="n"/>
      <c r="J247" s="64" t="n"/>
      <c r="K247" s="63" t="n"/>
      <c r="L247" s="63" t="n"/>
      <c r="M247" s="64" t="n"/>
      <c r="N247" s="66" t="n"/>
      <c r="O247" s="65" t="n"/>
      <c r="P247" s="64" t="n"/>
      <c r="Q247" s="67" t="n"/>
      <c r="R247" s="67" t="n"/>
      <c r="S247" s="68" t="str">
        <f>IF(AND(ISNUMBER($Q247),ISNUMBER($R247)),$Q247-$R247,"")</f>
        <v/>
      </c>
      <c r="T247" s="65" t="n"/>
      <c r="U247" s="64" t="n"/>
      <c r="V247" s="65" t="n"/>
      <c r="W247" s="63" t="n"/>
      <c r="X247" s="65" t="n"/>
      <c r="Y247" s="63" t="n"/>
      <c r="Z247" s="64" t="n"/>
      <c r="AA247" s="64" t="n"/>
      <c r="AB247" s="65" t="n"/>
      <c r="AC247" s="69" t="str">
        <f>IF(OR($G247="",NOT(ISNUMBER($K247)),$AK247=0),"",MAX(0,ReportDate-$K247))</f>
        <v/>
      </c>
      <c r="AD247" s="69" t="str">
        <f>IF($G247="","",IF($AL247=1,ReportDate-$L247,0))</f>
        <v/>
      </c>
      <c r="AE247" s="70" t="str">
        <f>IF($G247="","",IF($M247="Completed",1,IF(ISNUMBER($N247),$N247,0)))</f>
        <v/>
      </c>
      <c r="AF247" s="70" t="str">
        <f>IF(AND(ISNUMBER($Q247),ISNUMBER($R247)),IF($R247&lt;&gt;0,$Q247/$R247,""),"")</f>
        <v/>
      </c>
      <c r="AG247" s="71" t="str">
        <f>IF($G247="","",IF($AL247=1,"OVERDUE",IF($AM247=1,"BLOCKED",IF($AN247=1,"DUE TODAY",IF($AO247=1,"DUE TOMORROW",IF($AQ247=1,"HIGH PRIORITY",IF($AR247=1,"NO RECENT UPDATE",""))))))) </f>
        <v/>
      </c>
      <c r="AH247" s="71" t="str">
        <f>IF($G247="","",IF(ISNUMBER($A247),IF(ISNUMBER($A247),YEAR($A247)&amp;"-"&amp;TEXT(MONTH($A247),"00"),""),IF(ISNUMBER($L247),IF(ISNUMBER($L247),YEAR($L247)&amp;"-"&amp;TEXT(MONTH($L247),"00"),""),"")))</f>
        <v/>
      </c>
      <c r="AI247" s="71">
        <f>IF($G247="",0,IF(AND(OR(fClient="All",$C247=fClient),OR(fCampaign="All",$D247=fCampaign),OR(fTeam="All",$B247=fTeam),OR(fChannel="All",$F247=fChannel),OR(fMonth="All",$AH247=fMonth),OR(fTStatus="All",$M247=fTStatus)),1,0))</f>
        <v>0</v>
      </c>
      <c r="AJ247" s="71">
        <f>IF($G247="",0,IF(AND(OR(fClient="All",$C247=fClient),OR(fCampaign="All",$D247=fCampaign),OR(fTeam="All",$B247=fTeam),OR(fChannel="All",$F247=fChannel)),1,0))</f>
        <v>0</v>
      </c>
      <c r="AK247" s="71">
        <f>IF($G247="",0,IF(OR($M247="Completed",$M247="Cancelled"),0,1))</f>
        <v>0</v>
      </c>
      <c r="AL247" s="71">
        <f>IF(AND($AK247=1,ISNUMBER($L247)),IF($L247&lt;ReportDate,1,0),0)</f>
        <v>0</v>
      </c>
      <c r="AM247" s="71">
        <f>IF(AND($G247&lt;&gt;"",$M247="Blocked"),1,0)</f>
        <v>0</v>
      </c>
      <c r="AN247" s="71">
        <f>IF(AND($AK247=1,ISNUMBER($L247)),IF($L247=ReportDate,1,0),0)</f>
        <v>0</v>
      </c>
      <c r="AO247" s="71">
        <f>IF(AND($AK247=1,ISNUMBER($L247)),IF($L247=ReportDate+1,1,0),0)</f>
        <v>0</v>
      </c>
      <c r="AP247" s="71">
        <f>IF(AND($AK247=1,ISNUMBER($L247)),IF(AND($L247&gt;=ReportDate,$L247&lt;=ReportDate+DueSoonDays),1,0),0)</f>
        <v>0</v>
      </c>
      <c r="AQ247" s="71">
        <f>IF(AND($AK247=1,OR($I247="Critical",$I247="High")),1,0)</f>
        <v>0</v>
      </c>
      <c r="AR247" s="71">
        <f>IF($AK247=1,IF(ISNUMBER($Y247),IF(ReportDate-$Y247&gt;StaleDays,1,0),1),0)</f>
        <v>0</v>
      </c>
      <c r="AS247" s="71">
        <f>IF(AND($G247&lt;&gt;"",ISNUMBER($Q247),ISNUMBER($R247)),IF(AND($Q247&lt;$R247,OR($M247="Completed",AND(ISNUMBER($L247),$L247&lt;ReportDate))),1,0),0)</f>
        <v>0</v>
      </c>
      <c r="AT247" s="71">
        <f>IF($AK247=1,IF(OR($L247=ReportDate,$W247=ReportDate,$K247=ReportDate,$A247=ReportDate),1,0),0)</f>
        <v>0</v>
      </c>
      <c r="AU247" s="71">
        <f>IF($AK247=1,IF(OR($L247=ReportDate+1,$W247=ReportDate+1,$K247=ReportDate+1,$A247=ReportDate+1),1,0),0)</f>
        <v>0</v>
      </c>
      <c r="AV247" s="71">
        <f>IF(AND($G247&lt;&gt;"",$M247="Completed"),IF(OR($Y247=ReportDate-1,$A247=ReportDate-1),1,0),0)</f>
        <v>0</v>
      </c>
      <c r="AW247" s="71">
        <f>IF(AND($AK247=1,$Z247="Yes"),1,0)</f>
        <v>0</v>
      </c>
      <c r="AX247" s="71">
        <f>IF(AND($AK247=1,$AA247="Yes"),1,0)</f>
        <v>0</v>
      </c>
      <c r="AY247" s="71">
        <f>IF(AND($AM247=1,OR($I247="Critical",$I247="High")),1,0)</f>
        <v>0</v>
      </c>
      <c r="AZ247" s="71">
        <f>IF(AND($AK247=1,OR($C247=TCL_Client,$C247=MECCA_Client)),1,0)</f>
        <v>0</v>
      </c>
      <c r="BA247" s="71" t="str">
        <f>IF($G247="","",IFERROR(MATCH($I247,lst_Priority,0),5))</f>
        <v/>
      </c>
      <c r="BB247" s="71" t="str">
        <f>IF(AND($AL247=1,$AJ247=1),$BA247*100000+ROW(),"")</f>
        <v/>
      </c>
      <c r="BC247" s="71" t="str">
        <f>IF(AND($AM247=1,$AJ247=1),$BA247*100000+ROW(),"")</f>
        <v/>
      </c>
      <c r="BD247" s="71" t="str">
        <f>IF(AND($AP247=1,$AJ247=1),$BA247*100000+ROW(),"")</f>
        <v/>
      </c>
      <c r="BE247" s="71" t="str">
        <f>IF(AND($AT247=1,$AJ247=1),$BA247*100000+ROW(),"")</f>
        <v/>
      </c>
      <c r="BF247" s="71" t="str">
        <f>IF(AND($AU247=1,$AJ247=1),$BA247*100000+ROW(),"")</f>
        <v/>
      </c>
      <c r="BG247" s="71" t="str">
        <f>IF(AND($AV247=1,$AJ247=1),$BA247*100000+ROW(),"")</f>
        <v/>
      </c>
      <c r="BH247" s="71" t="str">
        <f>IF(AND($AW247=1,$AJ247=1),$BA247*100000+ROW(),"")</f>
        <v/>
      </c>
      <c r="BI247" s="71" t="str">
        <f>IF(AND($AX247=1,$AJ247=1),$BA247*100000+ROW(),"")</f>
        <v/>
      </c>
      <c r="BJ247" s="71" t="str">
        <f>IF(AND($AS247=1,$AJ247=1),$BA247*100000+ROW(),"")</f>
        <v/>
      </c>
      <c r="BK247" s="71" t="str">
        <f>IF(AND($AY247=1,$AJ247=1),$BA247*100000+ROW(),"")</f>
        <v/>
      </c>
      <c r="BL247" s="71" t="str">
        <f>IF(AND($AZ247=1),$BA247*100000+ROW(),"")</f>
        <v/>
      </c>
    </row>
    <row r="248">
      <c r="A248" s="63" t="n"/>
      <c r="B248" s="64" t="n"/>
      <c r="C248" s="64" t="n"/>
      <c r="D248" s="64" t="n"/>
      <c r="E248" s="64" t="n"/>
      <c r="F248" s="64" t="n"/>
      <c r="G248" s="65" t="n"/>
      <c r="H248" s="65" t="n"/>
      <c r="I248" s="64" t="n"/>
      <c r="J248" s="64" t="n"/>
      <c r="K248" s="63" t="n"/>
      <c r="L248" s="63" t="n"/>
      <c r="M248" s="64" t="n"/>
      <c r="N248" s="66" t="n"/>
      <c r="O248" s="65" t="n"/>
      <c r="P248" s="64" t="n"/>
      <c r="Q248" s="67" t="n"/>
      <c r="R248" s="67" t="n"/>
      <c r="S248" s="68" t="str">
        <f>IF(AND(ISNUMBER($Q248),ISNUMBER($R248)),$Q248-$R248,"")</f>
        <v/>
      </c>
      <c r="T248" s="65" t="n"/>
      <c r="U248" s="64" t="n"/>
      <c r="V248" s="65" t="n"/>
      <c r="W248" s="63" t="n"/>
      <c r="X248" s="65" t="n"/>
      <c r="Y248" s="63" t="n"/>
      <c r="Z248" s="64" t="n"/>
      <c r="AA248" s="64" t="n"/>
      <c r="AB248" s="65" t="n"/>
      <c r="AC248" s="69" t="str">
        <f>IF(OR($G248="",NOT(ISNUMBER($K248)),$AK248=0),"",MAX(0,ReportDate-$K248))</f>
        <v/>
      </c>
      <c r="AD248" s="69" t="str">
        <f>IF($G248="","",IF($AL248=1,ReportDate-$L248,0))</f>
        <v/>
      </c>
      <c r="AE248" s="70" t="str">
        <f>IF($G248="","",IF($M248="Completed",1,IF(ISNUMBER($N248),$N248,0)))</f>
        <v/>
      </c>
      <c r="AF248" s="70" t="str">
        <f>IF(AND(ISNUMBER($Q248),ISNUMBER($R248)),IF($R248&lt;&gt;0,$Q248/$R248,""),"")</f>
        <v/>
      </c>
      <c r="AG248" s="71" t="str">
        <f>IF($G248="","",IF($AL248=1,"OVERDUE",IF($AM248=1,"BLOCKED",IF($AN248=1,"DUE TODAY",IF($AO248=1,"DUE TOMORROW",IF($AQ248=1,"HIGH PRIORITY",IF($AR248=1,"NO RECENT UPDATE",""))))))) </f>
        <v/>
      </c>
      <c r="AH248" s="71" t="str">
        <f>IF($G248="","",IF(ISNUMBER($A248),IF(ISNUMBER($A248),YEAR($A248)&amp;"-"&amp;TEXT(MONTH($A248),"00"),""),IF(ISNUMBER($L248),IF(ISNUMBER($L248),YEAR($L248)&amp;"-"&amp;TEXT(MONTH($L248),"00"),""),"")))</f>
        <v/>
      </c>
      <c r="AI248" s="71">
        <f>IF($G248="",0,IF(AND(OR(fClient="All",$C248=fClient),OR(fCampaign="All",$D248=fCampaign),OR(fTeam="All",$B248=fTeam),OR(fChannel="All",$F248=fChannel),OR(fMonth="All",$AH248=fMonth),OR(fTStatus="All",$M248=fTStatus)),1,0))</f>
        <v>0</v>
      </c>
      <c r="AJ248" s="71">
        <f>IF($G248="",0,IF(AND(OR(fClient="All",$C248=fClient),OR(fCampaign="All",$D248=fCampaign),OR(fTeam="All",$B248=fTeam),OR(fChannel="All",$F248=fChannel)),1,0))</f>
        <v>0</v>
      </c>
      <c r="AK248" s="71">
        <f>IF($G248="",0,IF(OR($M248="Completed",$M248="Cancelled"),0,1))</f>
        <v>0</v>
      </c>
      <c r="AL248" s="71">
        <f>IF(AND($AK248=1,ISNUMBER($L248)),IF($L248&lt;ReportDate,1,0),0)</f>
        <v>0</v>
      </c>
      <c r="AM248" s="71">
        <f>IF(AND($G248&lt;&gt;"",$M248="Blocked"),1,0)</f>
        <v>0</v>
      </c>
      <c r="AN248" s="71">
        <f>IF(AND($AK248=1,ISNUMBER($L248)),IF($L248=ReportDate,1,0),0)</f>
        <v>0</v>
      </c>
      <c r="AO248" s="71">
        <f>IF(AND($AK248=1,ISNUMBER($L248)),IF($L248=ReportDate+1,1,0),0)</f>
        <v>0</v>
      </c>
      <c r="AP248" s="71">
        <f>IF(AND($AK248=1,ISNUMBER($L248)),IF(AND($L248&gt;=ReportDate,$L248&lt;=ReportDate+DueSoonDays),1,0),0)</f>
        <v>0</v>
      </c>
      <c r="AQ248" s="71">
        <f>IF(AND($AK248=1,OR($I248="Critical",$I248="High")),1,0)</f>
        <v>0</v>
      </c>
      <c r="AR248" s="71">
        <f>IF($AK248=1,IF(ISNUMBER($Y248),IF(ReportDate-$Y248&gt;StaleDays,1,0),1),0)</f>
        <v>0</v>
      </c>
      <c r="AS248" s="71">
        <f>IF(AND($G248&lt;&gt;"",ISNUMBER($Q248),ISNUMBER($R248)),IF(AND($Q248&lt;$R248,OR($M248="Completed",AND(ISNUMBER($L248),$L248&lt;ReportDate))),1,0),0)</f>
        <v>0</v>
      </c>
      <c r="AT248" s="71">
        <f>IF($AK248=1,IF(OR($L248=ReportDate,$W248=ReportDate,$K248=ReportDate,$A248=ReportDate),1,0),0)</f>
        <v>0</v>
      </c>
      <c r="AU248" s="71">
        <f>IF($AK248=1,IF(OR($L248=ReportDate+1,$W248=ReportDate+1,$K248=ReportDate+1,$A248=ReportDate+1),1,0),0)</f>
        <v>0</v>
      </c>
      <c r="AV248" s="71">
        <f>IF(AND($G248&lt;&gt;"",$M248="Completed"),IF(OR($Y248=ReportDate-1,$A248=ReportDate-1),1,0),0)</f>
        <v>0</v>
      </c>
      <c r="AW248" s="71">
        <f>IF(AND($AK248=1,$Z248="Yes"),1,0)</f>
        <v>0</v>
      </c>
      <c r="AX248" s="71">
        <f>IF(AND($AK248=1,$AA248="Yes"),1,0)</f>
        <v>0</v>
      </c>
      <c r="AY248" s="71">
        <f>IF(AND($AM248=1,OR($I248="Critical",$I248="High")),1,0)</f>
        <v>0</v>
      </c>
      <c r="AZ248" s="71">
        <f>IF(AND($AK248=1,OR($C248=TCL_Client,$C248=MECCA_Client)),1,0)</f>
        <v>0</v>
      </c>
      <c r="BA248" s="71" t="str">
        <f>IF($G248="","",IFERROR(MATCH($I248,lst_Priority,0),5))</f>
        <v/>
      </c>
      <c r="BB248" s="71" t="str">
        <f>IF(AND($AL248=1,$AJ248=1),$BA248*100000+ROW(),"")</f>
        <v/>
      </c>
      <c r="BC248" s="71" t="str">
        <f>IF(AND($AM248=1,$AJ248=1),$BA248*100000+ROW(),"")</f>
        <v/>
      </c>
      <c r="BD248" s="71" t="str">
        <f>IF(AND($AP248=1,$AJ248=1),$BA248*100000+ROW(),"")</f>
        <v/>
      </c>
      <c r="BE248" s="71" t="str">
        <f>IF(AND($AT248=1,$AJ248=1),$BA248*100000+ROW(),"")</f>
        <v/>
      </c>
      <c r="BF248" s="71" t="str">
        <f>IF(AND($AU248=1,$AJ248=1),$BA248*100000+ROW(),"")</f>
        <v/>
      </c>
      <c r="BG248" s="71" t="str">
        <f>IF(AND($AV248=1,$AJ248=1),$BA248*100000+ROW(),"")</f>
        <v/>
      </c>
      <c r="BH248" s="71" t="str">
        <f>IF(AND($AW248=1,$AJ248=1),$BA248*100000+ROW(),"")</f>
        <v/>
      </c>
      <c r="BI248" s="71" t="str">
        <f>IF(AND($AX248=1,$AJ248=1),$BA248*100000+ROW(),"")</f>
        <v/>
      </c>
      <c r="BJ248" s="71" t="str">
        <f>IF(AND($AS248=1,$AJ248=1),$BA248*100000+ROW(),"")</f>
        <v/>
      </c>
      <c r="BK248" s="71" t="str">
        <f>IF(AND($AY248=1,$AJ248=1),$BA248*100000+ROW(),"")</f>
        <v/>
      </c>
      <c r="BL248" s="71" t="str">
        <f>IF(AND($AZ248=1),$BA248*100000+ROW(),"")</f>
        <v/>
      </c>
    </row>
    <row r="249">
      <c r="A249" s="63" t="n"/>
      <c r="B249" s="64" t="n"/>
      <c r="C249" s="64" t="n"/>
      <c r="D249" s="64" t="n"/>
      <c r="E249" s="64" t="n"/>
      <c r="F249" s="64" t="n"/>
      <c r="G249" s="65" t="n"/>
      <c r="H249" s="65" t="n"/>
      <c r="I249" s="64" t="n"/>
      <c r="J249" s="64" t="n"/>
      <c r="K249" s="63" t="n"/>
      <c r="L249" s="63" t="n"/>
      <c r="M249" s="64" t="n"/>
      <c r="N249" s="66" t="n"/>
      <c r="O249" s="65" t="n"/>
      <c r="P249" s="64" t="n"/>
      <c r="Q249" s="67" t="n"/>
      <c r="R249" s="67" t="n"/>
      <c r="S249" s="68" t="str">
        <f>IF(AND(ISNUMBER($Q249),ISNUMBER($R249)),$Q249-$R249,"")</f>
        <v/>
      </c>
      <c r="T249" s="65" t="n"/>
      <c r="U249" s="64" t="n"/>
      <c r="V249" s="65" t="n"/>
      <c r="W249" s="63" t="n"/>
      <c r="X249" s="65" t="n"/>
      <c r="Y249" s="63" t="n"/>
      <c r="Z249" s="64" t="n"/>
      <c r="AA249" s="64" t="n"/>
      <c r="AB249" s="65" t="n"/>
      <c r="AC249" s="69" t="str">
        <f>IF(OR($G249="",NOT(ISNUMBER($K249)),$AK249=0),"",MAX(0,ReportDate-$K249))</f>
        <v/>
      </c>
      <c r="AD249" s="69" t="str">
        <f>IF($G249="","",IF($AL249=1,ReportDate-$L249,0))</f>
        <v/>
      </c>
      <c r="AE249" s="70" t="str">
        <f>IF($G249="","",IF($M249="Completed",1,IF(ISNUMBER($N249),$N249,0)))</f>
        <v/>
      </c>
      <c r="AF249" s="70" t="str">
        <f>IF(AND(ISNUMBER($Q249),ISNUMBER($R249)),IF($R249&lt;&gt;0,$Q249/$R249,""),"")</f>
        <v/>
      </c>
      <c r="AG249" s="71" t="str">
        <f>IF($G249="","",IF($AL249=1,"OVERDUE",IF($AM249=1,"BLOCKED",IF($AN249=1,"DUE TODAY",IF($AO249=1,"DUE TOMORROW",IF($AQ249=1,"HIGH PRIORITY",IF($AR249=1,"NO RECENT UPDATE",""))))))) </f>
        <v/>
      </c>
      <c r="AH249" s="71" t="str">
        <f>IF($G249="","",IF(ISNUMBER($A249),IF(ISNUMBER($A249),YEAR($A249)&amp;"-"&amp;TEXT(MONTH($A249),"00"),""),IF(ISNUMBER($L249),IF(ISNUMBER($L249),YEAR($L249)&amp;"-"&amp;TEXT(MONTH($L249),"00"),""),"")))</f>
        <v/>
      </c>
      <c r="AI249" s="71">
        <f>IF($G249="",0,IF(AND(OR(fClient="All",$C249=fClient),OR(fCampaign="All",$D249=fCampaign),OR(fTeam="All",$B249=fTeam),OR(fChannel="All",$F249=fChannel),OR(fMonth="All",$AH249=fMonth),OR(fTStatus="All",$M249=fTStatus)),1,0))</f>
        <v>0</v>
      </c>
      <c r="AJ249" s="71">
        <f>IF($G249="",0,IF(AND(OR(fClient="All",$C249=fClient),OR(fCampaign="All",$D249=fCampaign),OR(fTeam="All",$B249=fTeam),OR(fChannel="All",$F249=fChannel)),1,0))</f>
        <v>0</v>
      </c>
      <c r="AK249" s="71">
        <f>IF($G249="",0,IF(OR($M249="Completed",$M249="Cancelled"),0,1))</f>
        <v>0</v>
      </c>
      <c r="AL249" s="71">
        <f>IF(AND($AK249=1,ISNUMBER($L249)),IF($L249&lt;ReportDate,1,0),0)</f>
        <v>0</v>
      </c>
      <c r="AM249" s="71">
        <f>IF(AND($G249&lt;&gt;"",$M249="Blocked"),1,0)</f>
        <v>0</v>
      </c>
      <c r="AN249" s="71">
        <f>IF(AND($AK249=1,ISNUMBER($L249)),IF($L249=ReportDate,1,0),0)</f>
        <v>0</v>
      </c>
      <c r="AO249" s="71">
        <f>IF(AND($AK249=1,ISNUMBER($L249)),IF($L249=ReportDate+1,1,0),0)</f>
        <v>0</v>
      </c>
      <c r="AP249" s="71">
        <f>IF(AND($AK249=1,ISNUMBER($L249)),IF(AND($L249&gt;=ReportDate,$L249&lt;=ReportDate+DueSoonDays),1,0),0)</f>
        <v>0</v>
      </c>
      <c r="AQ249" s="71">
        <f>IF(AND($AK249=1,OR($I249="Critical",$I249="High")),1,0)</f>
        <v>0</v>
      </c>
      <c r="AR249" s="71">
        <f>IF($AK249=1,IF(ISNUMBER($Y249),IF(ReportDate-$Y249&gt;StaleDays,1,0),1),0)</f>
        <v>0</v>
      </c>
      <c r="AS249" s="71">
        <f>IF(AND($G249&lt;&gt;"",ISNUMBER($Q249),ISNUMBER($R249)),IF(AND($Q249&lt;$R249,OR($M249="Completed",AND(ISNUMBER($L249),$L249&lt;ReportDate))),1,0),0)</f>
        <v>0</v>
      </c>
      <c r="AT249" s="71">
        <f>IF($AK249=1,IF(OR($L249=ReportDate,$W249=ReportDate,$K249=ReportDate,$A249=ReportDate),1,0),0)</f>
        <v>0</v>
      </c>
      <c r="AU249" s="71">
        <f>IF($AK249=1,IF(OR($L249=ReportDate+1,$W249=ReportDate+1,$K249=ReportDate+1,$A249=ReportDate+1),1,0),0)</f>
        <v>0</v>
      </c>
      <c r="AV249" s="71">
        <f>IF(AND($G249&lt;&gt;"",$M249="Completed"),IF(OR($Y249=ReportDate-1,$A249=ReportDate-1),1,0),0)</f>
        <v>0</v>
      </c>
      <c r="AW249" s="71">
        <f>IF(AND($AK249=1,$Z249="Yes"),1,0)</f>
        <v>0</v>
      </c>
      <c r="AX249" s="71">
        <f>IF(AND($AK249=1,$AA249="Yes"),1,0)</f>
        <v>0</v>
      </c>
      <c r="AY249" s="71">
        <f>IF(AND($AM249=1,OR($I249="Critical",$I249="High")),1,0)</f>
        <v>0</v>
      </c>
      <c r="AZ249" s="71">
        <f>IF(AND($AK249=1,OR($C249=TCL_Client,$C249=MECCA_Client)),1,0)</f>
        <v>0</v>
      </c>
      <c r="BA249" s="71" t="str">
        <f>IF($G249="","",IFERROR(MATCH($I249,lst_Priority,0),5))</f>
        <v/>
      </c>
      <c r="BB249" s="71" t="str">
        <f>IF(AND($AL249=1,$AJ249=1),$BA249*100000+ROW(),"")</f>
        <v/>
      </c>
      <c r="BC249" s="71" t="str">
        <f>IF(AND($AM249=1,$AJ249=1),$BA249*100000+ROW(),"")</f>
        <v/>
      </c>
      <c r="BD249" s="71" t="str">
        <f>IF(AND($AP249=1,$AJ249=1),$BA249*100000+ROW(),"")</f>
        <v/>
      </c>
      <c r="BE249" s="71" t="str">
        <f>IF(AND($AT249=1,$AJ249=1),$BA249*100000+ROW(),"")</f>
        <v/>
      </c>
      <c r="BF249" s="71" t="str">
        <f>IF(AND($AU249=1,$AJ249=1),$BA249*100000+ROW(),"")</f>
        <v/>
      </c>
      <c r="BG249" s="71" t="str">
        <f>IF(AND($AV249=1,$AJ249=1),$BA249*100000+ROW(),"")</f>
        <v/>
      </c>
      <c r="BH249" s="71" t="str">
        <f>IF(AND($AW249=1,$AJ249=1),$BA249*100000+ROW(),"")</f>
        <v/>
      </c>
      <c r="BI249" s="71" t="str">
        <f>IF(AND($AX249=1,$AJ249=1),$BA249*100000+ROW(),"")</f>
        <v/>
      </c>
      <c r="BJ249" s="71" t="str">
        <f>IF(AND($AS249=1,$AJ249=1),$BA249*100000+ROW(),"")</f>
        <v/>
      </c>
      <c r="BK249" s="71" t="str">
        <f>IF(AND($AY249=1,$AJ249=1),$BA249*100000+ROW(),"")</f>
        <v/>
      </c>
      <c r="BL249" s="71" t="str">
        <f>IF(AND($AZ249=1),$BA249*100000+ROW(),"")</f>
        <v/>
      </c>
    </row>
    <row r="250">
      <c r="A250" s="63" t="n"/>
      <c r="B250" s="64" t="n"/>
      <c r="C250" s="64" t="n"/>
      <c r="D250" s="64" t="n"/>
      <c r="E250" s="64" t="n"/>
      <c r="F250" s="64" t="n"/>
      <c r="G250" s="65" t="n"/>
      <c r="H250" s="65" t="n"/>
      <c r="I250" s="64" t="n"/>
      <c r="J250" s="64" t="n"/>
      <c r="K250" s="63" t="n"/>
      <c r="L250" s="63" t="n"/>
      <c r="M250" s="64" t="n"/>
      <c r="N250" s="66" t="n"/>
      <c r="O250" s="65" t="n"/>
      <c r="P250" s="64" t="n"/>
      <c r="Q250" s="67" t="n"/>
      <c r="R250" s="67" t="n"/>
      <c r="S250" s="68" t="str">
        <f>IF(AND(ISNUMBER($Q250),ISNUMBER($R250)),$Q250-$R250,"")</f>
        <v/>
      </c>
      <c r="T250" s="65" t="n"/>
      <c r="U250" s="64" t="n"/>
      <c r="V250" s="65" t="n"/>
      <c r="W250" s="63" t="n"/>
      <c r="X250" s="65" t="n"/>
      <c r="Y250" s="63" t="n"/>
      <c r="Z250" s="64" t="n"/>
      <c r="AA250" s="64" t="n"/>
      <c r="AB250" s="65" t="n"/>
      <c r="AC250" s="69" t="str">
        <f>IF(OR($G250="",NOT(ISNUMBER($K250)),$AK250=0),"",MAX(0,ReportDate-$K250))</f>
        <v/>
      </c>
      <c r="AD250" s="69" t="str">
        <f>IF($G250="","",IF($AL250=1,ReportDate-$L250,0))</f>
        <v/>
      </c>
      <c r="AE250" s="70" t="str">
        <f>IF($G250="","",IF($M250="Completed",1,IF(ISNUMBER($N250),$N250,0)))</f>
        <v/>
      </c>
      <c r="AF250" s="70" t="str">
        <f>IF(AND(ISNUMBER($Q250),ISNUMBER($R250)),IF($R250&lt;&gt;0,$Q250/$R250,""),"")</f>
        <v/>
      </c>
      <c r="AG250" s="71" t="str">
        <f>IF($G250="","",IF($AL250=1,"OVERDUE",IF($AM250=1,"BLOCKED",IF($AN250=1,"DUE TODAY",IF($AO250=1,"DUE TOMORROW",IF($AQ250=1,"HIGH PRIORITY",IF($AR250=1,"NO RECENT UPDATE",""))))))) </f>
        <v/>
      </c>
      <c r="AH250" s="71" t="str">
        <f>IF($G250="","",IF(ISNUMBER($A250),IF(ISNUMBER($A250),YEAR($A250)&amp;"-"&amp;TEXT(MONTH($A250),"00"),""),IF(ISNUMBER($L250),IF(ISNUMBER($L250),YEAR($L250)&amp;"-"&amp;TEXT(MONTH($L250),"00"),""),"")))</f>
        <v/>
      </c>
      <c r="AI250" s="71">
        <f>IF($G250="",0,IF(AND(OR(fClient="All",$C250=fClient),OR(fCampaign="All",$D250=fCampaign),OR(fTeam="All",$B250=fTeam),OR(fChannel="All",$F250=fChannel),OR(fMonth="All",$AH250=fMonth),OR(fTStatus="All",$M250=fTStatus)),1,0))</f>
        <v>0</v>
      </c>
      <c r="AJ250" s="71">
        <f>IF($G250="",0,IF(AND(OR(fClient="All",$C250=fClient),OR(fCampaign="All",$D250=fCampaign),OR(fTeam="All",$B250=fTeam),OR(fChannel="All",$F250=fChannel)),1,0))</f>
        <v>0</v>
      </c>
      <c r="AK250" s="71">
        <f>IF($G250="",0,IF(OR($M250="Completed",$M250="Cancelled"),0,1))</f>
        <v>0</v>
      </c>
      <c r="AL250" s="71">
        <f>IF(AND($AK250=1,ISNUMBER($L250)),IF($L250&lt;ReportDate,1,0),0)</f>
        <v>0</v>
      </c>
      <c r="AM250" s="71">
        <f>IF(AND($G250&lt;&gt;"",$M250="Blocked"),1,0)</f>
        <v>0</v>
      </c>
      <c r="AN250" s="71">
        <f>IF(AND($AK250=1,ISNUMBER($L250)),IF($L250=ReportDate,1,0),0)</f>
        <v>0</v>
      </c>
      <c r="AO250" s="71">
        <f>IF(AND($AK250=1,ISNUMBER($L250)),IF($L250=ReportDate+1,1,0),0)</f>
        <v>0</v>
      </c>
      <c r="AP250" s="71">
        <f>IF(AND($AK250=1,ISNUMBER($L250)),IF(AND($L250&gt;=ReportDate,$L250&lt;=ReportDate+DueSoonDays),1,0),0)</f>
        <v>0</v>
      </c>
      <c r="AQ250" s="71">
        <f>IF(AND($AK250=1,OR($I250="Critical",$I250="High")),1,0)</f>
        <v>0</v>
      </c>
      <c r="AR250" s="71">
        <f>IF($AK250=1,IF(ISNUMBER($Y250),IF(ReportDate-$Y250&gt;StaleDays,1,0),1),0)</f>
        <v>0</v>
      </c>
      <c r="AS250" s="71">
        <f>IF(AND($G250&lt;&gt;"",ISNUMBER($Q250),ISNUMBER($R250)),IF(AND($Q250&lt;$R250,OR($M250="Completed",AND(ISNUMBER($L250),$L250&lt;ReportDate))),1,0),0)</f>
        <v>0</v>
      </c>
      <c r="AT250" s="71">
        <f>IF($AK250=1,IF(OR($L250=ReportDate,$W250=ReportDate,$K250=ReportDate,$A250=ReportDate),1,0),0)</f>
        <v>0</v>
      </c>
      <c r="AU250" s="71">
        <f>IF($AK250=1,IF(OR($L250=ReportDate+1,$W250=ReportDate+1,$K250=ReportDate+1,$A250=ReportDate+1),1,0),0)</f>
        <v>0</v>
      </c>
      <c r="AV250" s="71">
        <f>IF(AND($G250&lt;&gt;"",$M250="Completed"),IF(OR($Y250=ReportDate-1,$A250=ReportDate-1),1,0),0)</f>
        <v>0</v>
      </c>
      <c r="AW250" s="71">
        <f>IF(AND($AK250=1,$Z250="Yes"),1,0)</f>
        <v>0</v>
      </c>
      <c r="AX250" s="71">
        <f>IF(AND($AK250=1,$AA250="Yes"),1,0)</f>
        <v>0</v>
      </c>
      <c r="AY250" s="71">
        <f>IF(AND($AM250=1,OR($I250="Critical",$I250="High")),1,0)</f>
        <v>0</v>
      </c>
      <c r="AZ250" s="71">
        <f>IF(AND($AK250=1,OR($C250=TCL_Client,$C250=MECCA_Client)),1,0)</f>
        <v>0</v>
      </c>
      <c r="BA250" s="71" t="str">
        <f>IF($G250="","",IFERROR(MATCH($I250,lst_Priority,0),5))</f>
        <v/>
      </c>
      <c r="BB250" s="71" t="str">
        <f>IF(AND($AL250=1,$AJ250=1),$BA250*100000+ROW(),"")</f>
        <v/>
      </c>
      <c r="BC250" s="71" t="str">
        <f>IF(AND($AM250=1,$AJ250=1),$BA250*100000+ROW(),"")</f>
        <v/>
      </c>
      <c r="BD250" s="71" t="str">
        <f>IF(AND($AP250=1,$AJ250=1),$BA250*100000+ROW(),"")</f>
        <v/>
      </c>
      <c r="BE250" s="71" t="str">
        <f>IF(AND($AT250=1,$AJ250=1),$BA250*100000+ROW(),"")</f>
        <v/>
      </c>
      <c r="BF250" s="71" t="str">
        <f>IF(AND($AU250=1,$AJ250=1),$BA250*100000+ROW(),"")</f>
        <v/>
      </c>
      <c r="BG250" s="71" t="str">
        <f>IF(AND($AV250=1,$AJ250=1),$BA250*100000+ROW(),"")</f>
        <v/>
      </c>
      <c r="BH250" s="71" t="str">
        <f>IF(AND($AW250=1,$AJ250=1),$BA250*100000+ROW(),"")</f>
        <v/>
      </c>
      <c r="BI250" s="71" t="str">
        <f>IF(AND($AX250=1,$AJ250=1),$BA250*100000+ROW(),"")</f>
        <v/>
      </c>
      <c r="BJ250" s="71" t="str">
        <f>IF(AND($AS250=1,$AJ250=1),$BA250*100000+ROW(),"")</f>
        <v/>
      </c>
      <c r="BK250" s="71" t="str">
        <f>IF(AND($AY250=1,$AJ250=1),$BA250*100000+ROW(),"")</f>
        <v/>
      </c>
      <c r="BL250" s="71" t="str">
        <f>IF(AND($AZ250=1),$BA250*100000+ROW(),"")</f>
        <v/>
      </c>
    </row>
    <row r="251">
      <c r="A251" s="63" t="n"/>
      <c r="B251" s="64" t="n"/>
      <c r="C251" s="64" t="n"/>
      <c r="D251" s="64" t="n"/>
      <c r="E251" s="64" t="n"/>
      <c r="F251" s="64" t="n"/>
      <c r="G251" s="65" t="n"/>
      <c r="H251" s="65" t="n"/>
      <c r="I251" s="64" t="n"/>
      <c r="J251" s="64" t="n"/>
      <c r="K251" s="63" t="n"/>
      <c r="L251" s="63" t="n"/>
      <c r="M251" s="64" t="n"/>
      <c r="N251" s="66" t="n"/>
      <c r="O251" s="65" t="n"/>
      <c r="P251" s="64" t="n"/>
      <c r="Q251" s="67" t="n"/>
      <c r="R251" s="67" t="n"/>
      <c r="S251" s="68" t="str">
        <f>IF(AND(ISNUMBER($Q251),ISNUMBER($R251)),$Q251-$R251,"")</f>
        <v/>
      </c>
      <c r="T251" s="65" t="n"/>
      <c r="U251" s="64" t="n"/>
      <c r="V251" s="65" t="n"/>
      <c r="W251" s="63" t="n"/>
      <c r="X251" s="65" t="n"/>
      <c r="Y251" s="63" t="n"/>
      <c r="Z251" s="64" t="n"/>
      <c r="AA251" s="64" t="n"/>
      <c r="AB251" s="65" t="n"/>
      <c r="AC251" s="69" t="str">
        <f>IF(OR($G251="",NOT(ISNUMBER($K251)),$AK251=0),"",MAX(0,ReportDate-$K251))</f>
        <v/>
      </c>
      <c r="AD251" s="69" t="str">
        <f>IF($G251="","",IF($AL251=1,ReportDate-$L251,0))</f>
        <v/>
      </c>
      <c r="AE251" s="70" t="str">
        <f>IF($G251="","",IF($M251="Completed",1,IF(ISNUMBER($N251),$N251,0)))</f>
        <v/>
      </c>
      <c r="AF251" s="70" t="str">
        <f>IF(AND(ISNUMBER($Q251),ISNUMBER($R251)),IF($R251&lt;&gt;0,$Q251/$R251,""),"")</f>
        <v/>
      </c>
      <c r="AG251" s="71" t="str">
        <f>IF($G251="","",IF($AL251=1,"OVERDUE",IF($AM251=1,"BLOCKED",IF($AN251=1,"DUE TODAY",IF($AO251=1,"DUE TOMORROW",IF($AQ251=1,"HIGH PRIORITY",IF($AR251=1,"NO RECENT UPDATE",""))))))) </f>
        <v/>
      </c>
      <c r="AH251" s="71" t="str">
        <f>IF($G251="","",IF(ISNUMBER($A251),IF(ISNUMBER($A251),YEAR($A251)&amp;"-"&amp;TEXT(MONTH($A251),"00"),""),IF(ISNUMBER($L251),IF(ISNUMBER($L251),YEAR($L251)&amp;"-"&amp;TEXT(MONTH($L251),"00"),""),"")))</f>
        <v/>
      </c>
      <c r="AI251" s="71">
        <f>IF($G251="",0,IF(AND(OR(fClient="All",$C251=fClient),OR(fCampaign="All",$D251=fCampaign),OR(fTeam="All",$B251=fTeam),OR(fChannel="All",$F251=fChannel),OR(fMonth="All",$AH251=fMonth),OR(fTStatus="All",$M251=fTStatus)),1,0))</f>
        <v>0</v>
      </c>
      <c r="AJ251" s="71">
        <f>IF($G251="",0,IF(AND(OR(fClient="All",$C251=fClient),OR(fCampaign="All",$D251=fCampaign),OR(fTeam="All",$B251=fTeam),OR(fChannel="All",$F251=fChannel)),1,0))</f>
        <v>0</v>
      </c>
      <c r="AK251" s="71">
        <f>IF($G251="",0,IF(OR($M251="Completed",$M251="Cancelled"),0,1))</f>
        <v>0</v>
      </c>
      <c r="AL251" s="71">
        <f>IF(AND($AK251=1,ISNUMBER($L251)),IF($L251&lt;ReportDate,1,0),0)</f>
        <v>0</v>
      </c>
      <c r="AM251" s="71">
        <f>IF(AND($G251&lt;&gt;"",$M251="Blocked"),1,0)</f>
        <v>0</v>
      </c>
      <c r="AN251" s="71">
        <f>IF(AND($AK251=1,ISNUMBER($L251)),IF($L251=ReportDate,1,0),0)</f>
        <v>0</v>
      </c>
      <c r="AO251" s="71">
        <f>IF(AND($AK251=1,ISNUMBER($L251)),IF($L251=ReportDate+1,1,0),0)</f>
        <v>0</v>
      </c>
      <c r="AP251" s="71">
        <f>IF(AND($AK251=1,ISNUMBER($L251)),IF(AND($L251&gt;=ReportDate,$L251&lt;=ReportDate+DueSoonDays),1,0),0)</f>
        <v>0</v>
      </c>
      <c r="AQ251" s="71">
        <f>IF(AND($AK251=1,OR($I251="Critical",$I251="High")),1,0)</f>
        <v>0</v>
      </c>
      <c r="AR251" s="71">
        <f>IF($AK251=1,IF(ISNUMBER($Y251),IF(ReportDate-$Y251&gt;StaleDays,1,0),1),0)</f>
        <v>0</v>
      </c>
      <c r="AS251" s="71">
        <f>IF(AND($G251&lt;&gt;"",ISNUMBER($Q251),ISNUMBER($R251)),IF(AND($Q251&lt;$R251,OR($M251="Completed",AND(ISNUMBER($L251),$L251&lt;ReportDate))),1,0),0)</f>
        <v>0</v>
      </c>
      <c r="AT251" s="71">
        <f>IF($AK251=1,IF(OR($L251=ReportDate,$W251=ReportDate,$K251=ReportDate,$A251=ReportDate),1,0),0)</f>
        <v>0</v>
      </c>
      <c r="AU251" s="71">
        <f>IF($AK251=1,IF(OR($L251=ReportDate+1,$W251=ReportDate+1,$K251=ReportDate+1,$A251=ReportDate+1),1,0),0)</f>
        <v>0</v>
      </c>
      <c r="AV251" s="71">
        <f>IF(AND($G251&lt;&gt;"",$M251="Completed"),IF(OR($Y251=ReportDate-1,$A251=ReportDate-1),1,0),0)</f>
        <v>0</v>
      </c>
      <c r="AW251" s="71">
        <f>IF(AND($AK251=1,$Z251="Yes"),1,0)</f>
        <v>0</v>
      </c>
      <c r="AX251" s="71">
        <f>IF(AND($AK251=1,$AA251="Yes"),1,0)</f>
        <v>0</v>
      </c>
      <c r="AY251" s="71">
        <f>IF(AND($AM251=1,OR($I251="Critical",$I251="High")),1,0)</f>
        <v>0</v>
      </c>
      <c r="AZ251" s="71">
        <f>IF(AND($AK251=1,OR($C251=TCL_Client,$C251=MECCA_Client)),1,0)</f>
        <v>0</v>
      </c>
      <c r="BA251" s="71" t="str">
        <f>IF($G251="","",IFERROR(MATCH($I251,lst_Priority,0),5))</f>
        <v/>
      </c>
      <c r="BB251" s="71" t="str">
        <f>IF(AND($AL251=1,$AJ251=1),$BA251*100000+ROW(),"")</f>
        <v/>
      </c>
      <c r="BC251" s="71" t="str">
        <f>IF(AND($AM251=1,$AJ251=1),$BA251*100000+ROW(),"")</f>
        <v/>
      </c>
      <c r="BD251" s="71" t="str">
        <f>IF(AND($AP251=1,$AJ251=1),$BA251*100000+ROW(),"")</f>
        <v/>
      </c>
      <c r="BE251" s="71" t="str">
        <f>IF(AND($AT251=1,$AJ251=1),$BA251*100000+ROW(),"")</f>
        <v/>
      </c>
      <c r="BF251" s="71" t="str">
        <f>IF(AND($AU251=1,$AJ251=1),$BA251*100000+ROW(),"")</f>
        <v/>
      </c>
      <c r="BG251" s="71" t="str">
        <f>IF(AND($AV251=1,$AJ251=1),$BA251*100000+ROW(),"")</f>
        <v/>
      </c>
      <c r="BH251" s="71" t="str">
        <f>IF(AND($AW251=1,$AJ251=1),$BA251*100000+ROW(),"")</f>
        <v/>
      </c>
      <c r="BI251" s="71" t="str">
        <f>IF(AND($AX251=1,$AJ251=1),$BA251*100000+ROW(),"")</f>
        <v/>
      </c>
      <c r="BJ251" s="71" t="str">
        <f>IF(AND($AS251=1,$AJ251=1),$BA251*100000+ROW(),"")</f>
        <v/>
      </c>
      <c r="BK251" s="71" t="str">
        <f>IF(AND($AY251=1,$AJ251=1),$BA251*100000+ROW(),"")</f>
        <v/>
      </c>
      <c r="BL251" s="71" t="str">
        <f>IF(AND($AZ251=1),$BA251*100000+ROW(),"")</f>
        <v/>
      </c>
    </row>
    <row r="252">
      <c r="A252" s="63" t="n"/>
      <c r="B252" s="64" t="n"/>
      <c r="C252" s="64" t="n"/>
      <c r="D252" s="64" t="n"/>
      <c r="E252" s="64" t="n"/>
      <c r="F252" s="64" t="n"/>
      <c r="G252" s="65" t="n"/>
      <c r="H252" s="65" t="n"/>
      <c r="I252" s="64" t="n"/>
      <c r="J252" s="64" t="n"/>
      <c r="K252" s="63" t="n"/>
      <c r="L252" s="63" t="n"/>
      <c r="M252" s="64" t="n"/>
      <c r="N252" s="66" t="n"/>
      <c r="O252" s="65" t="n"/>
      <c r="P252" s="64" t="n"/>
      <c r="Q252" s="67" t="n"/>
      <c r="R252" s="67" t="n"/>
      <c r="S252" s="68" t="str">
        <f>IF(AND(ISNUMBER($Q252),ISNUMBER($R252)),$Q252-$R252,"")</f>
        <v/>
      </c>
      <c r="T252" s="65" t="n"/>
      <c r="U252" s="64" t="n"/>
      <c r="V252" s="65" t="n"/>
      <c r="W252" s="63" t="n"/>
      <c r="X252" s="65" t="n"/>
      <c r="Y252" s="63" t="n"/>
      <c r="Z252" s="64" t="n"/>
      <c r="AA252" s="64" t="n"/>
      <c r="AB252" s="65" t="n"/>
      <c r="AC252" s="69" t="str">
        <f>IF(OR($G252="",NOT(ISNUMBER($K252)),$AK252=0),"",MAX(0,ReportDate-$K252))</f>
        <v/>
      </c>
      <c r="AD252" s="69" t="str">
        <f>IF($G252="","",IF($AL252=1,ReportDate-$L252,0))</f>
        <v/>
      </c>
      <c r="AE252" s="70" t="str">
        <f>IF($G252="","",IF($M252="Completed",1,IF(ISNUMBER($N252),$N252,0)))</f>
        <v/>
      </c>
      <c r="AF252" s="70" t="str">
        <f>IF(AND(ISNUMBER($Q252),ISNUMBER($R252)),IF($R252&lt;&gt;0,$Q252/$R252,""),"")</f>
        <v/>
      </c>
      <c r="AG252" s="71" t="str">
        <f>IF($G252="","",IF($AL252=1,"OVERDUE",IF($AM252=1,"BLOCKED",IF($AN252=1,"DUE TODAY",IF($AO252=1,"DUE TOMORROW",IF($AQ252=1,"HIGH PRIORITY",IF($AR252=1,"NO RECENT UPDATE",""))))))) </f>
        <v/>
      </c>
      <c r="AH252" s="71" t="str">
        <f>IF($G252="","",IF(ISNUMBER($A252),IF(ISNUMBER($A252),YEAR($A252)&amp;"-"&amp;TEXT(MONTH($A252),"00"),""),IF(ISNUMBER($L252),IF(ISNUMBER($L252),YEAR($L252)&amp;"-"&amp;TEXT(MONTH($L252),"00"),""),"")))</f>
        <v/>
      </c>
      <c r="AI252" s="71">
        <f>IF($G252="",0,IF(AND(OR(fClient="All",$C252=fClient),OR(fCampaign="All",$D252=fCampaign),OR(fTeam="All",$B252=fTeam),OR(fChannel="All",$F252=fChannel),OR(fMonth="All",$AH252=fMonth),OR(fTStatus="All",$M252=fTStatus)),1,0))</f>
        <v>0</v>
      </c>
      <c r="AJ252" s="71">
        <f>IF($G252="",0,IF(AND(OR(fClient="All",$C252=fClient),OR(fCampaign="All",$D252=fCampaign),OR(fTeam="All",$B252=fTeam),OR(fChannel="All",$F252=fChannel)),1,0))</f>
        <v>0</v>
      </c>
      <c r="AK252" s="71">
        <f>IF($G252="",0,IF(OR($M252="Completed",$M252="Cancelled"),0,1))</f>
        <v>0</v>
      </c>
      <c r="AL252" s="71">
        <f>IF(AND($AK252=1,ISNUMBER($L252)),IF($L252&lt;ReportDate,1,0),0)</f>
        <v>0</v>
      </c>
      <c r="AM252" s="71">
        <f>IF(AND($G252&lt;&gt;"",$M252="Blocked"),1,0)</f>
        <v>0</v>
      </c>
      <c r="AN252" s="71">
        <f>IF(AND($AK252=1,ISNUMBER($L252)),IF($L252=ReportDate,1,0),0)</f>
        <v>0</v>
      </c>
      <c r="AO252" s="71">
        <f>IF(AND($AK252=1,ISNUMBER($L252)),IF($L252=ReportDate+1,1,0),0)</f>
        <v>0</v>
      </c>
      <c r="AP252" s="71">
        <f>IF(AND($AK252=1,ISNUMBER($L252)),IF(AND($L252&gt;=ReportDate,$L252&lt;=ReportDate+DueSoonDays),1,0),0)</f>
        <v>0</v>
      </c>
      <c r="AQ252" s="71">
        <f>IF(AND($AK252=1,OR($I252="Critical",$I252="High")),1,0)</f>
        <v>0</v>
      </c>
      <c r="AR252" s="71">
        <f>IF($AK252=1,IF(ISNUMBER($Y252),IF(ReportDate-$Y252&gt;StaleDays,1,0),1),0)</f>
        <v>0</v>
      </c>
      <c r="AS252" s="71">
        <f>IF(AND($G252&lt;&gt;"",ISNUMBER($Q252),ISNUMBER($R252)),IF(AND($Q252&lt;$R252,OR($M252="Completed",AND(ISNUMBER($L252),$L252&lt;ReportDate))),1,0),0)</f>
        <v>0</v>
      </c>
      <c r="AT252" s="71">
        <f>IF($AK252=1,IF(OR($L252=ReportDate,$W252=ReportDate,$K252=ReportDate,$A252=ReportDate),1,0),0)</f>
        <v>0</v>
      </c>
      <c r="AU252" s="71">
        <f>IF($AK252=1,IF(OR($L252=ReportDate+1,$W252=ReportDate+1,$K252=ReportDate+1,$A252=ReportDate+1),1,0),0)</f>
        <v>0</v>
      </c>
      <c r="AV252" s="71">
        <f>IF(AND($G252&lt;&gt;"",$M252="Completed"),IF(OR($Y252=ReportDate-1,$A252=ReportDate-1),1,0),0)</f>
        <v>0</v>
      </c>
      <c r="AW252" s="71">
        <f>IF(AND($AK252=1,$Z252="Yes"),1,0)</f>
        <v>0</v>
      </c>
      <c r="AX252" s="71">
        <f>IF(AND($AK252=1,$AA252="Yes"),1,0)</f>
        <v>0</v>
      </c>
      <c r="AY252" s="71">
        <f>IF(AND($AM252=1,OR($I252="Critical",$I252="High")),1,0)</f>
        <v>0</v>
      </c>
      <c r="AZ252" s="71">
        <f>IF(AND($AK252=1,OR($C252=TCL_Client,$C252=MECCA_Client)),1,0)</f>
        <v>0</v>
      </c>
      <c r="BA252" s="71" t="str">
        <f>IF($G252="","",IFERROR(MATCH($I252,lst_Priority,0),5))</f>
        <v/>
      </c>
      <c r="BB252" s="71" t="str">
        <f>IF(AND($AL252=1,$AJ252=1),$BA252*100000+ROW(),"")</f>
        <v/>
      </c>
      <c r="BC252" s="71" t="str">
        <f>IF(AND($AM252=1,$AJ252=1),$BA252*100000+ROW(),"")</f>
        <v/>
      </c>
      <c r="BD252" s="71" t="str">
        <f>IF(AND($AP252=1,$AJ252=1),$BA252*100000+ROW(),"")</f>
        <v/>
      </c>
      <c r="BE252" s="71" t="str">
        <f>IF(AND($AT252=1,$AJ252=1),$BA252*100000+ROW(),"")</f>
        <v/>
      </c>
      <c r="BF252" s="71" t="str">
        <f>IF(AND($AU252=1,$AJ252=1),$BA252*100000+ROW(),"")</f>
        <v/>
      </c>
      <c r="BG252" s="71" t="str">
        <f>IF(AND($AV252=1,$AJ252=1),$BA252*100000+ROW(),"")</f>
        <v/>
      </c>
      <c r="BH252" s="71" t="str">
        <f>IF(AND($AW252=1,$AJ252=1),$BA252*100000+ROW(),"")</f>
        <v/>
      </c>
      <c r="BI252" s="71" t="str">
        <f>IF(AND($AX252=1,$AJ252=1),$BA252*100000+ROW(),"")</f>
        <v/>
      </c>
      <c r="BJ252" s="71" t="str">
        <f>IF(AND($AS252=1,$AJ252=1),$BA252*100000+ROW(),"")</f>
        <v/>
      </c>
      <c r="BK252" s="71" t="str">
        <f>IF(AND($AY252=1,$AJ252=1),$BA252*100000+ROW(),"")</f>
        <v/>
      </c>
      <c r="BL252" s="71" t="str">
        <f>IF(AND($AZ252=1),$BA252*100000+ROW(),"")</f>
        <v/>
      </c>
    </row>
    <row r="253">
      <c r="A253" s="63" t="n"/>
      <c r="B253" s="64" t="n"/>
      <c r="C253" s="64" t="n"/>
      <c r="D253" s="64" t="n"/>
      <c r="E253" s="64" t="n"/>
      <c r="F253" s="64" t="n"/>
      <c r="G253" s="65" t="n"/>
      <c r="H253" s="65" t="n"/>
      <c r="I253" s="64" t="n"/>
      <c r="J253" s="64" t="n"/>
      <c r="K253" s="63" t="n"/>
      <c r="L253" s="63" t="n"/>
      <c r="M253" s="64" t="n"/>
      <c r="N253" s="66" t="n"/>
      <c r="O253" s="65" t="n"/>
      <c r="P253" s="64" t="n"/>
      <c r="Q253" s="67" t="n"/>
      <c r="R253" s="67" t="n"/>
      <c r="S253" s="68" t="str">
        <f>IF(AND(ISNUMBER($Q253),ISNUMBER($R253)),$Q253-$R253,"")</f>
        <v/>
      </c>
      <c r="T253" s="65" t="n"/>
      <c r="U253" s="64" t="n"/>
      <c r="V253" s="65" t="n"/>
      <c r="W253" s="63" t="n"/>
      <c r="X253" s="65" t="n"/>
      <c r="Y253" s="63" t="n"/>
      <c r="Z253" s="64" t="n"/>
      <c r="AA253" s="64" t="n"/>
      <c r="AB253" s="65" t="n"/>
      <c r="AC253" s="69" t="str">
        <f>IF(OR($G253="",NOT(ISNUMBER($K253)),$AK253=0),"",MAX(0,ReportDate-$K253))</f>
        <v/>
      </c>
      <c r="AD253" s="69" t="str">
        <f>IF($G253="","",IF($AL253=1,ReportDate-$L253,0))</f>
        <v/>
      </c>
      <c r="AE253" s="70" t="str">
        <f>IF($G253="","",IF($M253="Completed",1,IF(ISNUMBER($N253),$N253,0)))</f>
        <v/>
      </c>
      <c r="AF253" s="70" t="str">
        <f>IF(AND(ISNUMBER($Q253),ISNUMBER($R253)),IF($R253&lt;&gt;0,$Q253/$R253,""),"")</f>
        <v/>
      </c>
      <c r="AG253" s="71" t="str">
        <f>IF($G253="","",IF($AL253=1,"OVERDUE",IF($AM253=1,"BLOCKED",IF($AN253=1,"DUE TODAY",IF($AO253=1,"DUE TOMORROW",IF($AQ253=1,"HIGH PRIORITY",IF($AR253=1,"NO RECENT UPDATE",""))))))) </f>
        <v/>
      </c>
      <c r="AH253" s="71" t="str">
        <f>IF($G253="","",IF(ISNUMBER($A253),IF(ISNUMBER($A253),YEAR($A253)&amp;"-"&amp;TEXT(MONTH($A253),"00"),""),IF(ISNUMBER($L253),IF(ISNUMBER($L253),YEAR($L253)&amp;"-"&amp;TEXT(MONTH($L253),"00"),""),"")))</f>
        <v/>
      </c>
      <c r="AI253" s="71">
        <f>IF($G253="",0,IF(AND(OR(fClient="All",$C253=fClient),OR(fCampaign="All",$D253=fCampaign),OR(fTeam="All",$B253=fTeam),OR(fChannel="All",$F253=fChannel),OR(fMonth="All",$AH253=fMonth),OR(fTStatus="All",$M253=fTStatus)),1,0))</f>
        <v>0</v>
      </c>
      <c r="AJ253" s="71">
        <f>IF($G253="",0,IF(AND(OR(fClient="All",$C253=fClient),OR(fCampaign="All",$D253=fCampaign),OR(fTeam="All",$B253=fTeam),OR(fChannel="All",$F253=fChannel)),1,0))</f>
        <v>0</v>
      </c>
      <c r="AK253" s="71">
        <f>IF($G253="",0,IF(OR($M253="Completed",$M253="Cancelled"),0,1))</f>
        <v>0</v>
      </c>
      <c r="AL253" s="71">
        <f>IF(AND($AK253=1,ISNUMBER($L253)),IF($L253&lt;ReportDate,1,0),0)</f>
        <v>0</v>
      </c>
      <c r="AM253" s="71">
        <f>IF(AND($G253&lt;&gt;"",$M253="Blocked"),1,0)</f>
        <v>0</v>
      </c>
      <c r="AN253" s="71">
        <f>IF(AND($AK253=1,ISNUMBER($L253)),IF($L253=ReportDate,1,0),0)</f>
        <v>0</v>
      </c>
      <c r="AO253" s="71">
        <f>IF(AND($AK253=1,ISNUMBER($L253)),IF($L253=ReportDate+1,1,0),0)</f>
        <v>0</v>
      </c>
      <c r="AP253" s="71">
        <f>IF(AND($AK253=1,ISNUMBER($L253)),IF(AND($L253&gt;=ReportDate,$L253&lt;=ReportDate+DueSoonDays),1,0),0)</f>
        <v>0</v>
      </c>
      <c r="AQ253" s="71">
        <f>IF(AND($AK253=1,OR($I253="Critical",$I253="High")),1,0)</f>
        <v>0</v>
      </c>
      <c r="AR253" s="71">
        <f>IF($AK253=1,IF(ISNUMBER($Y253),IF(ReportDate-$Y253&gt;StaleDays,1,0),1),0)</f>
        <v>0</v>
      </c>
      <c r="AS253" s="71">
        <f>IF(AND($G253&lt;&gt;"",ISNUMBER($Q253),ISNUMBER($R253)),IF(AND($Q253&lt;$R253,OR($M253="Completed",AND(ISNUMBER($L253),$L253&lt;ReportDate))),1,0),0)</f>
        <v>0</v>
      </c>
      <c r="AT253" s="71">
        <f>IF($AK253=1,IF(OR($L253=ReportDate,$W253=ReportDate,$K253=ReportDate,$A253=ReportDate),1,0),0)</f>
        <v>0</v>
      </c>
      <c r="AU253" s="71">
        <f>IF($AK253=1,IF(OR($L253=ReportDate+1,$W253=ReportDate+1,$K253=ReportDate+1,$A253=ReportDate+1),1,0),0)</f>
        <v>0</v>
      </c>
      <c r="AV253" s="71">
        <f>IF(AND($G253&lt;&gt;"",$M253="Completed"),IF(OR($Y253=ReportDate-1,$A253=ReportDate-1),1,0),0)</f>
        <v>0</v>
      </c>
      <c r="AW253" s="71">
        <f>IF(AND($AK253=1,$Z253="Yes"),1,0)</f>
        <v>0</v>
      </c>
      <c r="AX253" s="71">
        <f>IF(AND($AK253=1,$AA253="Yes"),1,0)</f>
        <v>0</v>
      </c>
      <c r="AY253" s="71">
        <f>IF(AND($AM253=1,OR($I253="Critical",$I253="High")),1,0)</f>
        <v>0</v>
      </c>
      <c r="AZ253" s="71">
        <f>IF(AND($AK253=1,OR($C253=TCL_Client,$C253=MECCA_Client)),1,0)</f>
        <v>0</v>
      </c>
      <c r="BA253" s="71" t="str">
        <f>IF($G253="","",IFERROR(MATCH($I253,lst_Priority,0),5))</f>
        <v/>
      </c>
      <c r="BB253" s="71" t="str">
        <f>IF(AND($AL253=1,$AJ253=1),$BA253*100000+ROW(),"")</f>
        <v/>
      </c>
      <c r="BC253" s="71" t="str">
        <f>IF(AND($AM253=1,$AJ253=1),$BA253*100000+ROW(),"")</f>
        <v/>
      </c>
      <c r="BD253" s="71" t="str">
        <f>IF(AND($AP253=1,$AJ253=1),$BA253*100000+ROW(),"")</f>
        <v/>
      </c>
      <c r="BE253" s="71" t="str">
        <f>IF(AND($AT253=1,$AJ253=1),$BA253*100000+ROW(),"")</f>
        <v/>
      </c>
      <c r="BF253" s="71" t="str">
        <f>IF(AND($AU253=1,$AJ253=1),$BA253*100000+ROW(),"")</f>
        <v/>
      </c>
      <c r="BG253" s="71" t="str">
        <f>IF(AND($AV253=1,$AJ253=1),$BA253*100000+ROW(),"")</f>
        <v/>
      </c>
      <c r="BH253" s="71" t="str">
        <f>IF(AND($AW253=1,$AJ253=1),$BA253*100000+ROW(),"")</f>
        <v/>
      </c>
      <c r="BI253" s="71" t="str">
        <f>IF(AND($AX253=1,$AJ253=1),$BA253*100000+ROW(),"")</f>
        <v/>
      </c>
      <c r="BJ253" s="71" t="str">
        <f>IF(AND($AS253=1,$AJ253=1),$BA253*100000+ROW(),"")</f>
        <v/>
      </c>
      <c r="BK253" s="71" t="str">
        <f>IF(AND($AY253=1,$AJ253=1),$BA253*100000+ROW(),"")</f>
        <v/>
      </c>
      <c r="BL253" s="71" t="str">
        <f>IF(AND($AZ253=1),$BA253*100000+ROW(),"")</f>
        <v/>
      </c>
    </row>
    <row r="254">
      <c r="A254" s="63" t="n"/>
      <c r="B254" s="64" t="n"/>
      <c r="C254" s="64" t="n"/>
      <c r="D254" s="64" t="n"/>
      <c r="E254" s="64" t="n"/>
      <c r="F254" s="64" t="n"/>
      <c r="G254" s="65" t="n"/>
      <c r="H254" s="65" t="n"/>
      <c r="I254" s="64" t="n"/>
      <c r="J254" s="64" t="n"/>
      <c r="K254" s="63" t="n"/>
      <c r="L254" s="63" t="n"/>
      <c r="M254" s="64" t="n"/>
      <c r="N254" s="66" t="n"/>
      <c r="O254" s="65" t="n"/>
      <c r="P254" s="64" t="n"/>
      <c r="Q254" s="67" t="n"/>
      <c r="R254" s="67" t="n"/>
      <c r="S254" s="68" t="str">
        <f>IF(AND(ISNUMBER($Q254),ISNUMBER($R254)),$Q254-$R254,"")</f>
        <v/>
      </c>
      <c r="T254" s="65" t="n"/>
      <c r="U254" s="64" t="n"/>
      <c r="V254" s="65" t="n"/>
      <c r="W254" s="63" t="n"/>
      <c r="X254" s="65" t="n"/>
      <c r="Y254" s="63" t="n"/>
      <c r="Z254" s="64" t="n"/>
      <c r="AA254" s="64" t="n"/>
      <c r="AB254" s="65" t="n"/>
      <c r="AC254" s="69" t="str">
        <f>IF(OR($G254="",NOT(ISNUMBER($K254)),$AK254=0),"",MAX(0,ReportDate-$K254))</f>
        <v/>
      </c>
      <c r="AD254" s="69" t="str">
        <f>IF($G254="","",IF($AL254=1,ReportDate-$L254,0))</f>
        <v/>
      </c>
      <c r="AE254" s="70" t="str">
        <f>IF($G254="","",IF($M254="Completed",1,IF(ISNUMBER($N254),$N254,0)))</f>
        <v/>
      </c>
      <c r="AF254" s="70" t="str">
        <f>IF(AND(ISNUMBER($Q254),ISNUMBER($R254)),IF($R254&lt;&gt;0,$Q254/$R254,""),"")</f>
        <v/>
      </c>
      <c r="AG254" s="71" t="str">
        <f>IF($G254="","",IF($AL254=1,"OVERDUE",IF($AM254=1,"BLOCKED",IF($AN254=1,"DUE TODAY",IF($AO254=1,"DUE TOMORROW",IF($AQ254=1,"HIGH PRIORITY",IF($AR254=1,"NO RECENT UPDATE",""))))))) </f>
        <v/>
      </c>
      <c r="AH254" s="71" t="str">
        <f>IF($G254="","",IF(ISNUMBER($A254),IF(ISNUMBER($A254),YEAR($A254)&amp;"-"&amp;TEXT(MONTH($A254),"00"),""),IF(ISNUMBER($L254),IF(ISNUMBER($L254),YEAR($L254)&amp;"-"&amp;TEXT(MONTH($L254),"00"),""),"")))</f>
        <v/>
      </c>
      <c r="AI254" s="71">
        <f>IF($G254="",0,IF(AND(OR(fClient="All",$C254=fClient),OR(fCampaign="All",$D254=fCampaign),OR(fTeam="All",$B254=fTeam),OR(fChannel="All",$F254=fChannel),OR(fMonth="All",$AH254=fMonth),OR(fTStatus="All",$M254=fTStatus)),1,0))</f>
        <v>0</v>
      </c>
      <c r="AJ254" s="71">
        <f>IF($G254="",0,IF(AND(OR(fClient="All",$C254=fClient),OR(fCampaign="All",$D254=fCampaign),OR(fTeam="All",$B254=fTeam),OR(fChannel="All",$F254=fChannel)),1,0))</f>
        <v>0</v>
      </c>
      <c r="AK254" s="71">
        <f>IF($G254="",0,IF(OR($M254="Completed",$M254="Cancelled"),0,1))</f>
        <v>0</v>
      </c>
      <c r="AL254" s="71">
        <f>IF(AND($AK254=1,ISNUMBER($L254)),IF($L254&lt;ReportDate,1,0),0)</f>
        <v>0</v>
      </c>
      <c r="AM254" s="71">
        <f>IF(AND($G254&lt;&gt;"",$M254="Blocked"),1,0)</f>
        <v>0</v>
      </c>
      <c r="AN254" s="71">
        <f>IF(AND($AK254=1,ISNUMBER($L254)),IF($L254=ReportDate,1,0),0)</f>
        <v>0</v>
      </c>
      <c r="AO254" s="71">
        <f>IF(AND($AK254=1,ISNUMBER($L254)),IF($L254=ReportDate+1,1,0),0)</f>
        <v>0</v>
      </c>
      <c r="AP254" s="71">
        <f>IF(AND($AK254=1,ISNUMBER($L254)),IF(AND($L254&gt;=ReportDate,$L254&lt;=ReportDate+DueSoonDays),1,0),0)</f>
        <v>0</v>
      </c>
      <c r="AQ254" s="71">
        <f>IF(AND($AK254=1,OR($I254="Critical",$I254="High")),1,0)</f>
        <v>0</v>
      </c>
      <c r="AR254" s="71">
        <f>IF($AK254=1,IF(ISNUMBER($Y254),IF(ReportDate-$Y254&gt;StaleDays,1,0),1),0)</f>
        <v>0</v>
      </c>
      <c r="AS254" s="71">
        <f>IF(AND($G254&lt;&gt;"",ISNUMBER($Q254),ISNUMBER($R254)),IF(AND($Q254&lt;$R254,OR($M254="Completed",AND(ISNUMBER($L254),$L254&lt;ReportDate))),1,0),0)</f>
        <v>0</v>
      </c>
      <c r="AT254" s="71">
        <f>IF($AK254=1,IF(OR($L254=ReportDate,$W254=ReportDate,$K254=ReportDate,$A254=ReportDate),1,0),0)</f>
        <v>0</v>
      </c>
      <c r="AU254" s="71">
        <f>IF($AK254=1,IF(OR($L254=ReportDate+1,$W254=ReportDate+1,$K254=ReportDate+1,$A254=ReportDate+1),1,0),0)</f>
        <v>0</v>
      </c>
      <c r="AV254" s="71">
        <f>IF(AND($G254&lt;&gt;"",$M254="Completed"),IF(OR($Y254=ReportDate-1,$A254=ReportDate-1),1,0),0)</f>
        <v>0</v>
      </c>
      <c r="AW254" s="71">
        <f>IF(AND($AK254=1,$Z254="Yes"),1,0)</f>
        <v>0</v>
      </c>
      <c r="AX254" s="71">
        <f>IF(AND($AK254=1,$AA254="Yes"),1,0)</f>
        <v>0</v>
      </c>
      <c r="AY254" s="71">
        <f>IF(AND($AM254=1,OR($I254="Critical",$I254="High")),1,0)</f>
        <v>0</v>
      </c>
      <c r="AZ254" s="71">
        <f>IF(AND($AK254=1,OR($C254=TCL_Client,$C254=MECCA_Client)),1,0)</f>
        <v>0</v>
      </c>
      <c r="BA254" s="71" t="str">
        <f>IF($G254="","",IFERROR(MATCH($I254,lst_Priority,0),5))</f>
        <v/>
      </c>
      <c r="BB254" s="71" t="str">
        <f>IF(AND($AL254=1,$AJ254=1),$BA254*100000+ROW(),"")</f>
        <v/>
      </c>
      <c r="BC254" s="71" t="str">
        <f>IF(AND($AM254=1,$AJ254=1),$BA254*100000+ROW(),"")</f>
        <v/>
      </c>
      <c r="BD254" s="71" t="str">
        <f>IF(AND($AP254=1,$AJ254=1),$BA254*100000+ROW(),"")</f>
        <v/>
      </c>
      <c r="BE254" s="71" t="str">
        <f>IF(AND($AT254=1,$AJ254=1),$BA254*100000+ROW(),"")</f>
        <v/>
      </c>
      <c r="BF254" s="71" t="str">
        <f>IF(AND($AU254=1,$AJ254=1),$BA254*100000+ROW(),"")</f>
        <v/>
      </c>
      <c r="BG254" s="71" t="str">
        <f>IF(AND($AV254=1,$AJ254=1),$BA254*100000+ROW(),"")</f>
        <v/>
      </c>
      <c r="BH254" s="71" t="str">
        <f>IF(AND($AW254=1,$AJ254=1),$BA254*100000+ROW(),"")</f>
        <v/>
      </c>
      <c r="BI254" s="71" t="str">
        <f>IF(AND($AX254=1,$AJ254=1),$BA254*100000+ROW(),"")</f>
        <v/>
      </c>
      <c r="BJ254" s="71" t="str">
        <f>IF(AND($AS254=1,$AJ254=1),$BA254*100000+ROW(),"")</f>
        <v/>
      </c>
      <c r="BK254" s="71" t="str">
        <f>IF(AND($AY254=1,$AJ254=1),$BA254*100000+ROW(),"")</f>
        <v/>
      </c>
      <c r="BL254" s="71" t="str">
        <f>IF(AND($AZ254=1),$BA254*100000+ROW(),"")</f>
        <v/>
      </c>
    </row>
    <row r="255">
      <c r="A255" s="63" t="n"/>
      <c r="B255" s="64" t="n"/>
      <c r="C255" s="64" t="n"/>
      <c r="D255" s="64" t="n"/>
      <c r="E255" s="64" t="n"/>
      <c r="F255" s="64" t="n"/>
      <c r="G255" s="65" t="n"/>
      <c r="H255" s="65" t="n"/>
      <c r="I255" s="64" t="n"/>
      <c r="J255" s="64" t="n"/>
      <c r="K255" s="63" t="n"/>
      <c r="L255" s="63" t="n"/>
      <c r="M255" s="64" t="n"/>
      <c r="N255" s="66" t="n"/>
      <c r="O255" s="65" t="n"/>
      <c r="P255" s="64" t="n"/>
      <c r="Q255" s="67" t="n"/>
      <c r="R255" s="67" t="n"/>
      <c r="S255" s="68" t="str">
        <f>IF(AND(ISNUMBER($Q255),ISNUMBER($R255)),$Q255-$R255,"")</f>
        <v/>
      </c>
      <c r="T255" s="65" t="n"/>
      <c r="U255" s="64" t="n"/>
      <c r="V255" s="65" t="n"/>
      <c r="W255" s="63" t="n"/>
      <c r="X255" s="65" t="n"/>
      <c r="Y255" s="63" t="n"/>
      <c r="Z255" s="64" t="n"/>
      <c r="AA255" s="64" t="n"/>
      <c r="AB255" s="65" t="n"/>
      <c r="AC255" s="69" t="str">
        <f>IF(OR($G255="",NOT(ISNUMBER($K255)),$AK255=0),"",MAX(0,ReportDate-$K255))</f>
        <v/>
      </c>
      <c r="AD255" s="69" t="str">
        <f>IF($G255="","",IF($AL255=1,ReportDate-$L255,0))</f>
        <v/>
      </c>
      <c r="AE255" s="70" t="str">
        <f>IF($G255="","",IF($M255="Completed",1,IF(ISNUMBER($N255),$N255,0)))</f>
        <v/>
      </c>
      <c r="AF255" s="70" t="str">
        <f>IF(AND(ISNUMBER($Q255),ISNUMBER($R255)),IF($R255&lt;&gt;0,$Q255/$R255,""),"")</f>
        <v/>
      </c>
      <c r="AG255" s="71" t="str">
        <f>IF($G255="","",IF($AL255=1,"OVERDUE",IF($AM255=1,"BLOCKED",IF($AN255=1,"DUE TODAY",IF($AO255=1,"DUE TOMORROW",IF($AQ255=1,"HIGH PRIORITY",IF($AR255=1,"NO RECENT UPDATE",""))))))) </f>
        <v/>
      </c>
      <c r="AH255" s="71" t="str">
        <f>IF($G255="","",IF(ISNUMBER($A255),IF(ISNUMBER($A255),YEAR($A255)&amp;"-"&amp;TEXT(MONTH($A255),"00"),""),IF(ISNUMBER($L255),IF(ISNUMBER($L255),YEAR($L255)&amp;"-"&amp;TEXT(MONTH($L255),"00"),""),"")))</f>
        <v/>
      </c>
      <c r="AI255" s="71">
        <f>IF($G255="",0,IF(AND(OR(fClient="All",$C255=fClient),OR(fCampaign="All",$D255=fCampaign),OR(fTeam="All",$B255=fTeam),OR(fChannel="All",$F255=fChannel),OR(fMonth="All",$AH255=fMonth),OR(fTStatus="All",$M255=fTStatus)),1,0))</f>
        <v>0</v>
      </c>
      <c r="AJ255" s="71">
        <f>IF($G255="",0,IF(AND(OR(fClient="All",$C255=fClient),OR(fCampaign="All",$D255=fCampaign),OR(fTeam="All",$B255=fTeam),OR(fChannel="All",$F255=fChannel)),1,0))</f>
        <v>0</v>
      </c>
      <c r="AK255" s="71">
        <f>IF($G255="",0,IF(OR($M255="Completed",$M255="Cancelled"),0,1))</f>
        <v>0</v>
      </c>
      <c r="AL255" s="71">
        <f>IF(AND($AK255=1,ISNUMBER($L255)),IF($L255&lt;ReportDate,1,0),0)</f>
        <v>0</v>
      </c>
      <c r="AM255" s="71">
        <f>IF(AND($G255&lt;&gt;"",$M255="Blocked"),1,0)</f>
        <v>0</v>
      </c>
      <c r="AN255" s="71">
        <f>IF(AND($AK255=1,ISNUMBER($L255)),IF($L255=ReportDate,1,0),0)</f>
        <v>0</v>
      </c>
      <c r="AO255" s="71">
        <f>IF(AND($AK255=1,ISNUMBER($L255)),IF($L255=ReportDate+1,1,0),0)</f>
        <v>0</v>
      </c>
      <c r="AP255" s="71">
        <f>IF(AND($AK255=1,ISNUMBER($L255)),IF(AND($L255&gt;=ReportDate,$L255&lt;=ReportDate+DueSoonDays),1,0),0)</f>
        <v>0</v>
      </c>
      <c r="AQ255" s="71">
        <f>IF(AND($AK255=1,OR($I255="Critical",$I255="High")),1,0)</f>
        <v>0</v>
      </c>
      <c r="AR255" s="71">
        <f>IF($AK255=1,IF(ISNUMBER($Y255),IF(ReportDate-$Y255&gt;StaleDays,1,0),1),0)</f>
        <v>0</v>
      </c>
      <c r="AS255" s="71">
        <f>IF(AND($G255&lt;&gt;"",ISNUMBER($Q255),ISNUMBER($R255)),IF(AND($Q255&lt;$R255,OR($M255="Completed",AND(ISNUMBER($L255),$L255&lt;ReportDate))),1,0),0)</f>
        <v>0</v>
      </c>
      <c r="AT255" s="71">
        <f>IF($AK255=1,IF(OR($L255=ReportDate,$W255=ReportDate,$K255=ReportDate,$A255=ReportDate),1,0),0)</f>
        <v>0</v>
      </c>
      <c r="AU255" s="71">
        <f>IF($AK255=1,IF(OR($L255=ReportDate+1,$W255=ReportDate+1,$K255=ReportDate+1,$A255=ReportDate+1),1,0),0)</f>
        <v>0</v>
      </c>
      <c r="AV255" s="71">
        <f>IF(AND($G255&lt;&gt;"",$M255="Completed"),IF(OR($Y255=ReportDate-1,$A255=ReportDate-1),1,0),0)</f>
        <v>0</v>
      </c>
      <c r="AW255" s="71">
        <f>IF(AND($AK255=1,$Z255="Yes"),1,0)</f>
        <v>0</v>
      </c>
      <c r="AX255" s="71">
        <f>IF(AND($AK255=1,$AA255="Yes"),1,0)</f>
        <v>0</v>
      </c>
      <c r="AY255" s="71">
        <f>IF(AND($AM255=1,OR($I255="Critical",$I255="High")),1,0)</f>
        <v>0</v>
      </c>
      <c r="AZ255" s="71">
        <f>IF(AND($AK255=1,OR($C255=TCL_Client,$C255=MECCA_Client)),1,0)</f>
        <v>0</v>
      </c>
      <c r="BA255" s="71" t="str">
        <f>IF($G255="","",IFERROR(MATCH($I255,lst_Priority,0),5))</f>
        <v/>
      </c>
      <c r="BB255" s="71" t="str">
        <f>IF(AND($AL255=1,$AJ255=1),$BA255*100000+ROW(),"")</f>
        <v/>
      </c>
      <c r="BC255" s="71" t="str">
        <f>IF(AND($AM255=1,$AJ255=1),$BA255*100000+ROW(),"")</f>
        <v/>
      </c>
      <c r="BD255" s="71" t="str">
        <f>IF(AND($AP255=1,$AJ255=1),$BA255*100000+ROW(),"")</f>
        <v/>
      </c>
      <c r="BE255" s="71" t="str">
        <f>IF(AND($AT255=1,$AJ255=1),$BA255*100000+ROW(),"")</f>
        <v/>
      </c>
      <c r="BF255" s="71" t="str">
        <f>IF(AND($AU255=1,$AJ255=1),$BA255*100000+ROW(),"")</f>
        <v/>
      </c>
      <c r="BG255" s="71" t="str">
        <f>IF(AND($AV255=1,$AJ255=1),$BA255*100000+ROW(),"")</f>
        <v/>
      </c>
      <c r="BH255" s="71" t="str">
        <f>IF(AND($AW255=1,$AJ255=1),$BA255*100000+ROW(),"")</f>
        <v/>
      </c>
      <c r="BI255" s="71" t="str">
        <f>IF(AND($AX255=1,$AJ255=1),$BA255*100000+ROW(),"")</f>
        <v/>
      </c>
      <c r="BJ255" s="71" t="str">
        <f>IF(AND($AS255=1,$AJ255=1),$BA255*100000+ROW(),"")</f>
        <v/>
      </c>
      <c r="BK255" s="71" t="str">
        <f>IF(AND($AY255=1,$AJ255=1),$BA255*100000+ROW(),"")</f>
        <v/>
      </c>
      <c r="BL255" s="71" t="str">
        <f>IF(AND($AZ255=1),$BA255*100000+ROW(),"")</f>
        <v/>
      </c>
    </row>
    <row r="256">
      <c r="A256" s="63" t="n"/>
      <c r="B256" s="64" t="n"/>
      <c r="C256" s="64" t="n"/>
      <c r="D256" s="64" t="n"/>
      <c r="E256" s="64" t="n"/>
      <c r="F256" s="64" t="n"/>
      <c r="G256" s="65" t="n"/>
      <c r="H256" s="65" t="n"/>
      <c r="I256" s="64" t="n"/>
      <c r="J256" s="64" t="n"/>
      <c r="K256" s="63" t="n"/>
      <c r="L256" s="63" t="n"/>
      <c r="M256" s="64" t="n"/>
      <c r="N256" s="66" t="n"/>
      <c r="O256" s="65" t="n"/>
      <c r="P256" s="64" t="n"/>
      <c r="Q256" s="67" t="n"/>
      <c r="R256" s="67" t="n"/>
      <c r="S256" s="68" t="str">
        <f>IF(AND(ISNUMBER($Q256),ISNUMBER($R256)),$Q256-$R256,"")</f>
        <v/>
      </c>
      <c r="T256" s="65" t="n"/>
      <c r="U256" s="64" t="n"/>
      <c r="V256" s="65" t="n"/>
      <c r="W256" s="63" t="n"/>
      <c r="X256" s="65" t="n"/>
      <c r="Y256" s="63" t="n"/>
      <c r="Z256" s="64" t="n"/>
      <c r="AA256" s="64" t="n"/>
      <c r="AB256" s="65" t="n"/>
      <c r="AC256" s="69" t="str">
        <f>IF(OR($G256="",NOT(ISNUMBER($K256)),$AK256=0),"",MAX(0,ReportDate-$K256))</f>
        <v/>
      </c>
      <c r="AD256" s="69" t="str">
        <f>IF($G256="","",IF($AL256=1,ReportDate-$L256,0))</f>
        <v/>
      </c>
      <c r="AE256" s="70" t="str">
        <f>IF($G256="","",IF($M256="Completed",1,IF(ISNUMBER($N256),$N256,0)))</f>
        <v/>
      </c>
      <c r="AF256" s="70" t="str">
        <f>IF(AND(ISNUMBER($Q256),ISNUMBER($R256)),IF($R256&lt;&gt;0,$Q256/$R256,""),"")</f>
        <v/>
      </c>
      <c r="AG256" s="71" t="str">
        <f>IF($G256="","",IF($AL256=1,"OVERDUE",IF($AM256=1,"BLOCKED",IF($AN256=1,"DUE TODAY",IF($AO256=1,"DUE TOMORROW",IF($AQ256=1,"HIGH PRIORITY",IF($AR256=1,"NO RECENT UPDATE",""))))))) </f>
        <v/>
      </c>
      <c r="AH256" s="71" t="str">
        <f>IF($G256="","",IF(ISNUMBER($A256),IF(ISNUMBER($A256),YEAR($A256)&amp;"-"&amp;TEXT(MONTH($A256),"00"),""),IF(ISNUMBER($L256),IF(ISNUMBER($L256),YEAR($L256)&amp;"-"&amp;TEXT(MONTH($L256),"00"),""),"")))</f>
        <v/>
      </c>
      <c r="AI256" s="71">
        <f>IF($G256="",0,IF(AND(OR(fClient="All",$C256=fClient),OR(fCampaign="All",$D256=fCampaign),OR(fTeam="All",$B256=fTeam),OR(fChannel="All",$F256=fChannel),OR(fMonth="All",$AH256=fMonth),OR(fTStatus="All",$M256=fTStatus)),1,0))</f>
        <v>0</v>
      </c>
      <c r="AJ256" s="71">
        <f>IF($G256="",0,IF(AND(OR(fClient="All",$C256=fClient),OR(fCampaign="All",$D256=fCampaign),OR(fTeam="All",$B256=fTeam),OR(fChannel="All",$F256=fChannel)),1,0))</f>
        <v>0</v>
      </c>
      <c r="AK256" s="71">
        <f>IF($G256="",0,IF(OR($M256="Completed",$M256="Cancelled"),0,1))</f>
        <v>0</v>
      </c>
      <c r="AL256" s="71">
        <f>IF(AND($AK256=1,ISNUMBER($L256)),IF($L256&lt;ReportDate,1,0),0)</f>
        <v>0</v>
      </c>
      <c r="AM256" s="71">
        <f>IF(AND($G256&lt;&gt;"",$M256="Blocked"),1,0)</f>
        <v>0</v>
      </c>
      <c r="AN256" s="71">
        <f>IF(AND($AK256=1,ISNUMBER($L256)),IF($L256=ReportDate,1,0),0)</f>
        <v>0</v>
      </c>
      <c r="AO256" s="71">
        <f>IF(AND($AK256=1,ISNUMBER($L256)),IF($L256=ReportDate+1,1,0),0)</f>
        <v>0</v>
      </c>
      <c r="AP256" s="71">
        <f>IF(AND($AK256=1,ISNUMBER($L256)),IF(AND($L256&gt;=ReportDate,$L256&lt;=ReportDate+DueSoonDays),1,0),0)</f>
        <v>0</v>
      </c>
      <c r="AQ256" s="71">
        <f>IF(AND($AK256=1,OR($I256="Critical",$I256="High")),1,0)</f>
        <v>0</v>
      </c>
      <c r="AR256" s="71">
        <f>IF($AK256=1,IF(ISNUMBER($Y256),IF(ReportDate-$Y256&gt;StaleDays,1,0),1),0)</f>
        <v>0</v>
      </c>
      <c r="AS256" s="71">
        <f>IF(AND($G256&lt;&gt;"",ISNUMBER($Q256),ISNUMBER($R256)),IF(AND($Q256&lt;$R256,OR($M256="Completed",AND(ISNUMBER($L256),$L256&lt;ReportDate))),1,0),0)</f>
        <v>0</v>
      </c>
      <c r="AT256" s="71">
        <f>IF($AK256=1,IF(OR($L256=ReportDate,$W256=ReportDate,$K256=ReportDate,$A256=ReportDate),1,0),0)</f>
        <v>0</v>
      </c>
      <c r="AU256" s="71">
        <f>IF($AK256=1,IF(OR($L256=ReportDate+1,$W256=ReportDate+1,$K256=ReportDate+1,$A256=ReportDate+1),1,0),0)</f>
        <v>0</v>
      </c>
      <c r="AV256" s="71">
        <f>IF(AND($G256&lt;&gt;"",$M256="Completed"),IF(OR($Y256=ReportDate-1,$A256=ReportDate-1),1,0),0)</f>
        <v>0</v>
      </c>
      <c r="AW256" s="71">
        <f>IF(AND($AK256=1,$Z256="Yes"),1,0)</f>
        <v>0</v>
      </c>
      <c r="AX256" s="71">
        <f>IF(AND($AK256=1,$AA256="Yes"),1,0)</f>
        <v>0</v>
      </c>
      <c r="AY256" s="71">
        <f>IF(AND($AM256=1,OR($I256="Critical",$I256="High")),1,0)</f>
        <v>0</v>
      </c>
      <c r="AZ256" s="71">
        <f>IF(AND($AK256=1,OR($C256=TCL_Client,$C256=MECCA_Client)),1,0)</f>
        <v>0</v>
      </c>
      <c r="BA256" s="71" t="str">
        <f>IF($G256="","",IFERROR(MATCH($I256,lst_Priority,0),5))</f>
        <v/>
      </c>
      <c r="BB256" s="71" t="str">
        <f>IF(AND($AL256=1,$AJ256=1),$BA256*100000+ROW(),"")</f>
        <v/>
      </c>
      <c r="BC256" s="71" t="str">
        <f>IF(AND($AM256=1,$AJ256=1),$BA256*100000+ROW(),"")</f>
        <v/>
      </c>
      <c r="BD256" s="71" t="str">
        <f>IF(AND($AP256=1,$AJ256=1),$BA256*100000+ROW(),"")</f>
        <v/>
      </c>
      <c r="BE256" s="71" t="str">
        <f>IF(AND($AT256=1,$AJ256=1),$BA256*100000+ROW(),"")</f>
        <v/>
      </c>
      <c r="BF256" s="71" t="str">
        <f>IF(AND($AU256=1,$AJ256=1),$BA256*100000+ROW(),"")</f>
        <v/>
      </c>
      <c r="BG256" s="71" t="str">
        <f>IF(AND($AV256=1,$AJ256=1),$BA256*100000+ROW(),"")</f>
        <v/>
      </c>
      <c r="BH256" s="71" t="str">
        <f>IF(AND($AW256=1,$AJ256=1),$BA256*100000+ROW(),"")</f>
        <v/>
      </c>
      <c r="BI256" s="71" t="str">
        <f>IF(AND($AX256=1,$AJ256=1),$BA256*100000+ROW(),"")</f>
        <v/>
      </c>
      <c r="BJ256" s="71" t="str">
        <f>IF(AND($AS256=1,$AJ256=1),$BA256*100000+ROW(),"")</f>
        <v/>
      </c>
      <c r="BK256" s="71" t="str">
        <f>IF(AND($AY256=1,$AJ256=1),$BA256*100000+ROW(),"")</f>
        <v/>
      </c>
      <c r="BL256" s="71" t="str">
        <f>IF(AND($AZ256=1),$BA256*100000+ROW(),"")</f>
        <v/>
      </c>
    </row>
    <row r="257">
      <c r="A257" s="63" t="n"/>
      <c r="B257" s="64" t="n"/>
      <c r="C257" s="64" t="n"/>
      <c r="D257" s="64" t="n"/>
      <c r="E257" s="64" t="n"/>
      <c r="F257" s="64" t="n"/>
      <c r="G257" s="65" t="n"/>
      <c r="H257" s="65" t="n"/>
      <c r="I257" s="64" t="n"/>
      <c r="J257" s="64" t="n"/>
      <c r="K257" s="63" t="n"/>
      <c r="L257" s="63" t="n"/>
      <c r="M257" s="64" t="n"/>
      <c r="N257" s="66" t="n"/>
      <c r="O257" s="65" t="n"/>
      <c r="P257" s="64" t="n"/>
      <c r="Q257" s="67" t="n"/>
      <c r="R257" s="67" t="n"/>
      <c r="S257" s="68" t="str">
        <f>IF(AND(ISNUMBER($Q257),ISNUMBER($R257)),$Q257-$R257,"")</f>
        <v/>
      </c>
      <c r="T257" s="65" t="n"/>
      <c r="U257" s="64" t="n"/>
      <c r="V257" s="65" t="n"/>
      <c r="W257" s="63" t="n"/>
      <c r="X257" s="65" t="n"/>
      <c r="Y257" s="63" t="n"/>
      <c r="Z257" s="64" t="n"/>
      <c r="AA257" s="64" t="n"/>
      <c r="AB257" s="65" t="n"/>
      <c r="AC257" s="69" t="str">
        <f>IF(OR($G257="",NOT(ISNUMBER($K257)),$AK257=0),"",MAX(0,ReportDate-$K257))</f>
        <v/>
      </c>
      <c r="AD257" s="69" t="str">
        <f>IF($G257="","",IF($AL257=1,ReportDate-$L257,0))</f>
        <v/>
      </c>
      <c r="AE257" s="70" t="str">
        <f>IF($G257="","",IF($M257="Completed",1,IF(ISNUMBER($N257),$N257,0)))</f>
        <v/>
      </c>
      <c r="AF257" s="70" t="str">
        <f>IF(AND(ISNUMBER($Q257),ISNUMBER($R257)),IF($R257&lt;&gt;0,$Q257/$R257,""),"")</f>
        <v/>
      </c>
      <c r="AG257" s="71" t="str">
        <f>IF($G257="","",IF($AL257=1,"OVERDUE",IF($AM257=1,"BLOCKED",IF($AN257=1,"DUE TODAY",IF($AO257=1,"DUE TOMORROW",IF($AQ257=1,"HIGH PRIORITY",IF($AR257=1,"NO RECENT UPDATE",""))))))) </f>
        <v/>
      </c>
      <c r="AH257" s="71" t="str">
        <f>IF($G257="","",IF(ISNUMBER($A257),IF(ISNUMBER($A257),YEAR($A257)&amp;"-"&amp;TEXT(MONTH($A257),"00"),""),IF(ISNUMBER($L257),IF(ISNUMBER($L257),YEAR($L257)&amp;"-"&amp;TEXT(MONTH($L257),"00"),""),"")))</f>
        <v/>
      </c>
      <c r="AI257" s="71">
        <f>IF($G257="",0,IF(AND(OR(fClient="All",$C257=fClient),OR(fCampaign="All",$D257=fCampaign),OR(fTeam="All",$B257=fTeam),OR(fChannel="All",$F257=fChannel),OR(fMonth="All",$AH257=fMonth),OR(fTStatus="All",$M257=fTStatus)),1,0))</f>
        <v>0</v>
      </c>
      <c r="AJ257" s="71">
        <f>IF($G257="",0,IF(AND(OR(fClient="All",$C257=fClient),OR(fCampaign="All",$D257=fCampaign),OR(fTeam="All",$B257=fTeam),OR(fChannel="All",$F257=fChannel)),1,0))</f>
        <v>0</v>
      </c>
      <c r="AK257" s="71">
        <f>IF($G257="",0,IF(OR($M257="Completed",$M257="Cancelled"),0,1))</f>
        <v>0</v>
      </c>
      <c r="AL257" s="71">
        <f>IF(AND($AK257=1,ISNUMBER($L257)),IF($L257&lt;ReportDate,1,0),0)</f>
        <v>0</v>
      </c>
      <c r="AM257" s="71">
        <f>IF(AND($G257&lt;&gt;"",$M257="Blocked"),1,0)</f>
        <v>0</v>
      </c>
      <c r="AN257" s="71">
        <f>IF(AND($AK257=1,ISNUMBER($L257)),IF($L257=ReportDate,1,0),0)</f>
        <v>0</v>
      </c>
      <c r="AO257" s="71">
        <f>IF(AND($AK257=1,ISNUMBER($L257)),IF($L257=ReportDate+1,1,0),0)</f>
        <v>0</v>
      </c>
      <c r="AP257" s="71">
        <f>IF(AND($AK257=1,ISNUMBER($L257)),IF(AND($L257&gt;=ReportDate,$L257&lt;=ReportDate+DueSoonDays),1,0),0)</f>
        <v>0</v>
      </c>
      <c r="AQ257" s="71">
        <f>IF(AND($AK257=1,OR($I257="Critical",$I257="High")),1,0)</f>
        <v>0</v>
      </c>
      <c r="AR257" s="71">
        <f>IF($AK257=1,IF(ISNUMBER($Y257),IF(ReportDate-$Y257&gt;StaleDays,1,0),1),0)</f>
        <v>0</v>
      </c>
      <c r="AS257" s="71">
        <f>IF(AND($G257&lt;&gt;"",ISNUMBER($Q257),ISNUMBER($R257)),IF(AND($Q257&lt;$R257,OR($M257="Completed",AND(ISNUMBER($L257),$L257&lt;ReportDate))),1,0),0)</f>
        <v>0</v>
      </c>
      <c r="AT257" s="71">
        <f>IF($AK257=1,IF(OR($L257=ReportDate,$W257=ReportDate,$K257=ReportDate,$A257=ReportDate),1,0),0)</f>
        <v>0</v>
      </c>
      <c r="AU257" s="71">
        <f>IF($AK257=1,IF(OR($L257=ReportDate+1,$W257=ReportDate+1,$K257=ReportDate+1,$A257=ReportDate+1),1,0),0)</f>
        <v>0</v>
      </c>
      <c r="AV257" s="71">
        <f>IF(AND($G257&lt;&gt;"",$M257="Completed"),IF(OR($Y257=ReportDate-1,$A257=ReportDate-1),1,0),0)</f>
        <v>0</v>
      </c>
      <c r="AW257" s="71">
        <f>IF(AND($AK257=1,$Z257="Yes"),1,0)</f>
        <v>0</v>
      </c>
      <c r="AX257" s="71">
        <f>IF(AND($AK257=1,$AA257="Yes"),1,0)</f>
        <v>0</v>
      </c>
      <c r="AY257" s="71">
        <f>IF(AND($AM257=1,OR($I257="Critical",$I257="High")),1,0)</f>
        <v>0</v>
      </c>
      <c r="AZ257" s="71">
        <f>IF(AND($AK257=1,OR($C257=TCL_Client,$C257=MECCA_Client)),1,0)</f>
        <v>0</v>
      </c>
      <c r="BA257" s="71" t="str">
        <f>IF($G257="","",IFERROR(MATCH($I257,lst_Priority,0),5))</f>
        <v/>
      </c>
      <c r="BB257" s="71" t="str">
        <f>IF(AND($AL257=1,$AJ257=1),$BA257*100000+ROW(),"")</f>
        <v/>
      </c>
      <c r="BC257" s="71" t="str">
        <f>IF(AND($AM257=1,$AJ257=1),$BA257*100000+ROW(),"")</f>
        <v/>
      </c>
      <c r="BD257" s="71" t="str">
        <f>IF(AND($AP257=1,$AJ257=1),$BA257*100000+ROW(),"")</f>
        <v/>
      </c>
      <c r="BE257" s="71" t="str">
        <f>IF(AND($AT257=1,$AJ257=1),$BA257*100000+ROW(),"")</f>
        <v/>
      </c>
      <c r="BF257" s="71" t="str">
        <f>IF(AND($AU257=1,$AJ257=1),$BA257*100000+ROW(),"")</f>
        <v/>
      </c>
      <c r="BG257" s="71" t="str">
        <f>IF(AND($AV257=1,$AJ257=1),$BA257*100000+ROW(),"")</f>
        <v/>
      </c>
      <c r="BH257" s="71" t="str">
        <f>IF(AND($AW257=1,$AJ257=1),$BA257*100000+ROW(),"")</f>
        <v/>
      </c>
      <c r="BI257" s="71" t="str">
        <f>IF(AND($AX257=1,$AJ257=1),$BA257*100000+ROW(),"")</f>
        <v/>
      </c>
      <c r="BJ257" s="71" t="str">
        <f>IF(AND($AS257=1,$AJ257=1),$BA257*100000+ROW(),"")</f>
        <v/>
      </c>
      <c r="BK257" s="71" t="str">
        <f>IF(AND($AY257=1,$AJ257=1),$BA257*100000+ROW(),"")</f>
        <v/>
      </c>
      <c r="BL257" s="71" t="str">
        <f>IF(AND($AZ257=1),$BA257*100000+ROW(),"")</f>
        <v/>
      </c>
    </row>
    <row r="258">
      <c r="A258" s="63" t="n"/>
      <c r="B258" s="64" t="n"/>
      <c r="C258" s="64" t="n"/>
      <c r="D258" s="64" t="n"/>
      <c r="E258" s="64" t="n"/>
      <c r="F258" s="64" t="n"/>
      <c r="G258" s="65" t="n"/>
      <c r="H258" s="65" t="n"/>
      <c r="I258" s="64" t="n"/>
      <c r="J258" s="64" t="n"/>
      <c r="K258" s="63" t="n"/>
      <c r="L258" s="63" t="n"/>
      <c r="M258" s="64" t="n"/>
      <c r="N258" s="66" t="n"/>
      <c r="O258" s="65" t="n"/>
      <c r="P258" s="64" t="n"/>
      <c r="Q258" s="67" t="n"/>
      <c r="R258" s="67" t="n"/>
      <c r="S258" s="68" t="str">
        <f>IF(AND(ISNUMBER($Q258),ISNUMBER($R258)),$Q258-$R258,"")</f>
        <v/>
      </c>
      <c r="T258" s="65" t="n"/>
      <c r="U258" s="64" t="n"/>
      <c r="V258" s="65" t="n"/>
      <c r="W258" s="63" t="n"/>
      <c r="X258" s="65" t="n"/>
      <c r="Y258" s="63" t="n"/>
      <c r="Z258" s="64" t="n"/>
      <c r="AA258" s="64" t="n"/>
      <c r="AB258" s="65" t="n"/>
      <c r="AC258" s="69" t="str">
        <f>IF(OR($G258="",NOT(ISNUMBER($K258)),$AK258=0),"",MAX(0,ReportDate-$K258))</f>
        <v/>
      </c>
      <c r="AD258" s="69" t="str">
        <f>IF($G258="","",IF($AL258=1,ReportDate-$L258,0))</f>
        <v/>
      </c>
      <c r="AE258" s="70" t="str">
        <f>IF($G258="","",IF($M258="Completed",1,IF(ISNUMBER($N258),$N258,0)))</f>
        <v/>
      </c>
      <c r="AF258" s="70" t="str">
        <f>IF(AND(ISNUMBER($Q258),ISNUMBER($R258)),IF($R258&lt;&gt;0,$Q258/$R258,""),"")</f>
        <v/>
      </c>
      <c r="AG258" s="71" t="str">
        <f>IF($G258="","",IF($AL258=1,"OVERDUE",IF($AM258=1,"BLOCKED",IF($AN258=1,"DUE TODAY",IF($AO258=1,"DUE TOMORROW",IF($AQ258=1,"HIGH PRIORITY",IF($AR258=1,"NO RECENT UPDATE",""))))))) </f>
        <v/>
      </c>
      <c r="AH258" s="71" t="str">
        <f>IF($G258="","",IF(ISNUMBER($A258),IF(ISNUMBER($A258),YEAR($A258)&amp;"-"&amp;TEXT(MONTH($A258),"00"),""),IF(ISNUMBER($L258),IF(ISNUMBER($L258),YEAR($L258)&amp;"-"&amp;TEXT(MONTH($L258),"00"),""),"")))</f>
        <v/>
      </c>
      <c r="AI258" s="71">
        <f>IF($G258="",0,IF(AND(OR(fClient="All",$C258=fClient),OR(fCampaign="All",$D258=fCampaign),OR(fTeam="All",$B258=fTeam),OR(fChannel="All",$F258=fChannel),OR(fMonth="All",$AH258=fMonth),OR(fTStatus="All",$M258=fTStatus)),1,0))</f>
        <v>0</v>
      </c>
      <c r="AJ258" s="71">
        <f>IF($G258="",0,IF(AND(OR(fClient="All",$C258=fClient),OR(fCampaign="All",$D258=fCampaign),OR(fTeam="All",$B258=fTeam),OR(fChannel="All",$F258=fChannel)),1,0))</f>
        <v>0</v>
      </c>
      <c r="AK258" s="71">
        <f>IF($G258="",0,IF(OR($M258="Completed",$M258="Cancelled"),0,1))</f>
        <v>0</v>
      </c>
      <c r="AL258" s="71">
        <f>IF(AND($AK258=1,ISNUMBER($L258)),IF($L258&lt;ReportDate,1,0),0)</f>
        <v>0</v>
      </c>
      <c r="AM258" s="71">
        <f>IF(AND($G258&lt;&gt;"",$M258="Blocked"),1,0)</f>
        <v>0</v>
      </c>
      <c r="AN258" s="71">
        <f>IF(AND($AK258=1,ISNUMBER($L258)),IF($L258=ReportDate,1,0),0)</f>
        <v>0</v>
      </c>
      <c r="AO258" s="71">
        <f>IF(AND($AK258=1,ISNUMBER($L258)),IF($L258=ReportDate+1,1,0),0)</f>
        <v>0</v>
      </c>
      <c r="AP258" s="71">
        <f>IF(AND($AK258=1,ISNUMBER($L258)),IF(AND($L258&gt;=ReportDate,$L258&lt;=ReportDate+DueSoonDays),1,0),0)</f>
        <v>0</v>
      </c>
      <c r="AQ258" s="71">
        <f>IF(AND($AK258=1,OR($I258="Critical",$I258="High")),1,0)</f>
        <v>0</v>
      </c>
      <c r="AR258" s="71">
        <f>IF($AK258=1,IF(ISNUMBER($Y258),IF(ReportDate-$Y258&gt;StaleDays,1,0),1),0)</f>
        <v>0</v>
      </c>
      <c r="AS258" s="71">
        <f>IF(AND($G258&lt;&gt;"",ISNUMBER($Q258),ISNUMBER($R258)),IF(AND($Q258&lt;$R258,OR($M258="Completed",AND(ISNUMBER($L258),$L258&lt;ReportDate))),1,0),0)</f>
        <v>0</v>
      </c>
      <c r="AT258" s="71">
        <f>IF($AK258=1,IF(OR($L258=ReportDate,$W258=ReportDate,$K258=ReportDate,$A258=ReportDate),1,0),0)</f>
        <v>0</v>
      </c>
      <c r="AU258" s="71">
        <f>IF($AK258=1,IF(OR($L258=ReportDate+1,$W258=ReportDate+1,$K258=ReportDate+1,$A258=ReportDate+1),1,0),0)</f>
        <v>0</v>
      </c>
      <c r="AV258" s="71">
        <f>IF(AND($G258&lt;&gt;"",$M258="Completed"),IF(OR($Y258=ReportDate-1,$A258=ReportDate-1),1,0),0)</f>
        <v>0</v>
      </c>
      <c r="AW258" s="71">
        <f>IF(AND($AK258=1,$Z258="Yes"),1,0)</f>
        <v>0</v>
      </c>
      <c r="AX258" s="71">
        <f>IF(AND($AK258=1,$AA258="Yes"),1,0)</f>
        <v>0</v>
      </c>
      <c r="AY258" s="71">
        <f>IF(AND($AM258=1,OR($I258="Critical",$I258="High")),1,0)</f>
        <v>0</v>
      </c>
      <c r="AZ258" s="71">
        <f>IF(AND($AK258=1,OR($C258=TCL_Client,$C258=MECCA_Client)),1,0)</f>
        <v>0</v>
      </c>
      <c r="BA258" s="71" t="str">
        <f>IF($G258="","",IFERROR(MATCH($I258,lst_Priority,0),5))</f>
        <v/>
      </c>
      <c r="BB258" s="71" t="str">
        <f>IF(AND($AL258=1,$AJ258=1),$BA258*100000+ROW(),"")</f>
        <v/>
      </c>
      <c r="BC258" s="71" t="str">
        <f>IF(AND($AM258=1,$AJ258=1),$BA258*100000+ROW(),"")</f>
        <v/>
      </c>
      <c r="BD258" s="71" t="str">
        <f>IF(AND($AP258=1,$AJ258=1),$BA258*100000+ROW(),"")</f>
        <v/>
      </c>
      <c r="BE258" s="71" t="str">
        <f>IF(AND($AT258=1,$AJ258=1),$BA258*100000+ROW(),"")</f>
        <v/>
      </c>
      <c r="BF258" s="71" t="str">
        <f>IF(AND($AU258=1,$AJ258=1),$BA258*100000+ROW(),"")</f>
        <v/>
      </c>
      <c r="BG258" s="71" t="str">
        <f>IF(AND($AV258=1,$AJ258=1),$BA258*100000+ROW(),"")</f>
        <v/>
      </c>
      <c r="BH258" s="71" t="str">
        <f>IF(AND($AW258=1,$AJ258=1),$BA258*100000+ROW(),"")</f>
        <v/>
      </c>
      <c r="BI258" s="71" t="str">
        <f>IF(AND($AX258=1,$AJ258=1),$BA258*100000+ROW(),"")</f>
        <v/>
      </c>
      <c r="BJ258" s="71" t="str">
        <f>IF(AND($AS258=1,$AJ258=1),$BA258*100000+ROW(),"")</f>
        <v/>
      </c>
      <c r="BK258" s="71" t="str">
        <f>IF(AND($AY258=1,$AJ258=1),$BA258*100000+ROW(),"")</f>
        <v/>
      </c>
      <c r="BL258" s="71" t="str">
        <f>IF(AND($AZ258=1),$BA258*100000+ROW(),"")</f>
        <v/>
      </c>
    </row>
    <row r="259">
      <c r="A259" s="63" t="n"/>
      <c r="B259" s="64" t="n"/>
      <c r="C259" s="64" t="n"/>
      <c r="D259" s="64" t="n"/>
      <c r="E259" s="64" t="n"/>
      <c r="F259" s="64" t="n"/>
      <c r="G259" s="65" t="n"/>
      <c r="H259" s="65" t="n"/>
      <c r="I259" s="64" t="n"/>
      <c r="J259" s="64" t="n"/>
      <c r="K259" s="63" t="n"/>
      <c r="L259" s="63" t="n"/>
      <c r="M259" s="64" t="n"/>
      <c r="N259" s="66" t="n"/>
      <c r="O259" s="65" t="n"/>
      <c r="P259" s="64" t="n"/>
      <c r="Q259" s="67" t="n"/>
      <c r="R259" s="67" t="n"/>
      <c r="S259" s="68" t="str">
        <f>IF(AND(ISNUMBER($Q259),ISNUMBER($R259)),$Q259-$R259,"")</f>
        <v/>
      </c>
      <c r="T259" s="65" t="n"/>
      <c r="U259" s="64" t="n"/>
      <c r="V259" s="65" t="n"/>
      <c r="W259" s="63" t="n"/>
      <c r="X259" s="65" t="n"/>
      <c r="Y259" s="63" t="n"/>
      <c r="Z259" s="64" t="n"/>
      <c r="AA259" s="64" t="n"/>
      <c r="AB259" s="65" t="n"/>
      <c r="AC259" s="69" t="str">
        <f>IF(OR($G259="",NOT(ISNUMBER($K259)),$AK259=0),"",MAX(0,ReportDate-$K259))</f>
        <v/>
      </c>
      <c r="AD259" s="69" t="str">
        <f>IF($G259="","",IF($AL259=1,ReportDate-$L259,0))</f>
        <v/>
      </c>
      <c r="AE259" s="70" t="str">
        <f>IF($G259="","",IF($M259="Completed",1,IF(ISNUMBER($N259),$N259,0)))</f>
        <v/>
      </c>
      <c r="AF259" s="70" t="str">
        <f>IF(AND(ISNUMBER($Q259),ISNUMBER($R259)),IF($R259&lt;&gt;0,$Q259/$R259,""),"")</f>
        <v/>
      </c>
      <c r="AG259" s="71" t="str">
        <f>IF($G259="","",IF($AL259=1,"OVERDUE",IF($AM259=1,"BLOCKED",IF($AN259=1,"DUE TODAY",IF($AO259=1,"DUE TOMORROW",IF($AQ259=1,"HIGH PRIORITY",IF($AR259=1,"NO RECENT UPDATE",""))))))) </f>
        <v/>
      </c>
      <c r="AH259" s="71" t="str">
        <f>IF($G259="","",IF(ISNUMBER($A259),IF(ISNUMBER($A259),YEAR($A259)&amp;"-"&amp;TEXT(MONTH($A259),"00"),""),IF(ISNUMBER($L259),IF(ISNUMBER($L259),YEAR($L259)&amp;"-"&amp;TEXT(MONTH($L259),"00"),""),"")))</f>
        <v/>
      </c>
      <c r="AI259" s="71">
        <f>IF($G259="",0,IF(AND(OR(fClient="All",$C259=fClient),OR(fCampaign="All",$D259=fCampaign),OR(fTeam="All",$B259=fTeam),OR(fChannel="All",$F259=fChannel),OR(fMonth="All",$AH259=fMonth),OR(fTStatus="All",$M259=fTStatus)),1,0))</f>
        <v>0</v>
      </c>
      <c r="AJ259" s="71">
        <f>IF($G259="",0,IF(AND(OR(fClient="All",$C259=fClient),OR(fCampaign="All",$D259=fCampaign),OR(fTeam="All",$B259=fTeam),OR(fChannel="All",$F259=fChannel)),1,0))</f>
        <v>0</v>
      </c>
      <c r="AK259" s="71">
        <f>IF($G259="",0,IF(OR($M259="Completed",$M259="Cancelled"),0,1))</f>
        <v>0</v>
      </c>
      <c r="AL259" s="71">
        <f>IF(AND($AK259=1,ISNUMBER($L259)),IF($L259&lt;ReportDate,1,0),0)</f>
        <v>0</v>
      </c>
      <c r="AM259" s="71">
        <f>IF(AND($G259&lt;&gt;"",$M259="Blocked"),1,0)</f>
        <v>0</v>
      </c>
      <c r="AN259" s="71">
        <f>IF(AND($AK259=1,ISNUMBER($L259)),IF($L259=ReportDate,1,0),0)</f>
        <v>0</v>
      </c>
      <c r="AO259" s="71">
        <f>IF(AND($AK259=1,ISNUMBER($L259)),IF($L259=ReportDate+1,1,0),0)</f>
        <v>0</v>
      </c>
      <c r="AP259" s="71">
        <f>IF(AND($AK259=1,ISNUMBER($L259)),IF(AND($L259&gt;=ReportDate,$L259&lt;=ReportDate+DueSoonDays),1,0),0)</f>
        <v>0</v>
      </c>
      <c r="AQ259" s="71">
        <f>IF(AND($AK259=1,OR($I259="Critical",$I259="High")),1,0)</f>
        <v>0</v>
      </c>
      <c r="AR259" s="71">
        <f>IF($AK259=1,IF(ISNUMBER($Y259),IF(ReportDate-$Y259&gt;StaleDays,1,0),1),0)</f>
        <v>0</v>
      </c>
      <c r="AS259" s="71">
        <f>IF(AND($G259&lt;&gt;"",ISNUMBER($Q259),ISNUMBER($R259)),IF(AND($Q259&lt;$R259,OR($M259="Completed",AND(ISNUMBER($L259),$L259&lt;ReportDate))),1,0),0)</f>
        <v>0</v>
      </c>
      <c r="AT259" s="71">
        <f>IF($AK259=1,IF(OR($L259=ReportDate,$W259=ReportDate,$K259=ReportDate,$A259=ReportDate),1,0),0)</f>
        <v>0</v>
      </c>
      <c r="AU259" s="71">
        <f>IF($AK259=1,IF(OR($L259=ReportDate+1,$W259=ReportDate+1,$K259=ReportDate+1,$A259=ReportDate+1),1,0),0)</f>
        <v>0</v>
      </c>
      <c r="AV259" s="71">
        <f>IF(AND($G259&lt;&gt;"",$M259="Completed"),IF(OR($Y259=ReportDate-1,$A259=ReportDate-1),1,0),0)</f>
        <v>0</v>
      </c>
      <c r="AW259" s="71">
        <f>IF(AND($AK259=1,$Z259="Yes"),1,0)</f>
        <v>0</v>
      </c>
      <c r="AX259" s="71">
        <f>IF(AND($AK259=1,$AA259="Yes"),1,0)</f>
        <v>0</v>
      </c>
      <c r="AY259" s="71">
        <f>IF(AND($AM259=1,OR($I259="Critical",$I259="High")),1,0)</f>
        <v>0</v>
      </c>
      <c r="AZ259" s="71">
        <f>IF(AND($AK259=1,OR($C259=TCL_Client,$C259=MECCA_Client)),1,0)</f>
        <v>0</v>
      </c>
      <c r="BA259" s="71" t="str">
        <f>IF($G259="","",IFERROR(MATCH($I259,lst_Priority,0),5))</f>
        <v/>
      </c>
      <c r="BB259" s="71" t="str">
        <f>IF(AND($AL259=1,$AJ259=1),$BA259*100000+ROW(),"")</f>
        <v/>
      </c>
      <c r="BC259" s="71" t="str">
        <f>IF(AND($AM259=1,$AJ259=1),$BA259*100000+ROW(),"")</f>
        <v/>
      </c>
      <c r="BD259" s="71" t="str">
        <f>IF(AND($AP259=1,$AJ259=1),$BA259*100000+ROW(),"")</f>
        <v/>
      </c>
      <c r="BE259" s="71" t="str">
        <f>IF(AND($AT259=1,$AJ259=1),$BA259*100000+ROW(),"")</f>
        <v/>
      </c>
      <c r="BF259" s="71" t="str">
        <f>IF(AND($AU259=1,$AJ259=1),$BA259*100000+ROW(),"")</f>
        <v/>
      </c>
      <c r="BG259" s="71" t="str">
        <f>IF(AND($AV259=1,$AJ259=1),$BA259*100000+ROW(),"")</f>
        <v/>
      </c>
      <c r="BH259" s="71" t="str">
        <f>IF(AND($AW259=1,$AJ259=1),$BA259*100000+ROW(),"")</f>
        <v/>
      </c>
      <c r="BI259" s="71" t="str">
        <f>IF(AND($AX259=1,$AJ259=1),$BA259*100000+ROW(),"")</f>
        <v/>
      </c>
      <c r="BJ259" s="71" t="str">
        <f>IF(AND($AS259=1,$AJ259=1),$BA259*100000+ROW(),"")</f>
        <v/>
      </c>
      <c r="BK259" s="71" t="str">
        <f>IF(AND($AY259=1,$AJ259=1),$BA259*100000+ROW(),"")</f>
        <v/>
      </c>
      <c r="BL259" s="71" t="str">
        <f>IF(AND($AZ259=1),$BA259*100000+ROW(),"")</f>
        <v/>
      </c>
    </row>
    <row r="260">
      <c r="A260" s="63" t="n"/>
      <c r="B260" s="64" t="n"/>
      <c r="C260" s="64" t="n"/>
      <c r="D260" s="64" t="n"/>
      <c r="E260" s="64" t="n"/>
      <c r="F260" s="64" t="n"/>
      <c r="G260" s="65" t="n"/>
      <c r="H260" s="65" t="n"/>
      <c r="I260" s="64" t="n"/>
      <c r="J260" s="64" t="n"/>
      <c r="K260" s="63" t="n"/>
      <c r="L260" s="63" t="n"/>
      <c r="M260" s="64" t="n"/>
      <c r="N260" s="66" t="n"/>
      <c r="O260" s="65" t="n"/>
      <c r="P260" s="64" t="n"/>
      <c r="Q260" s="67" t="n"/>
      <c r="R260" s="67" t="n"/>
      <c r="S260" s="68" t="str">
        <f>IF(AND(ISNUMBER($Q260),ISNUMBER($R260)),$Q260-$R260,"")</f>
        <v/>
      </c>
      <c r="T260" s="65" t="n"/>
      <c r="U260" s="64" t="n"/>
      <c r="V260" s="65" t="n"/>
      <c r="W260" s="63" t="n"/>
      <c r="X260" s="65" t="n"/>
      <c r="Y260" s="63" t="n"/>
      <c r="Z260" s="64" t="n"/>
      <c r="AA260" s="64" t="n"/>
      <c r="AB260" s="65" t="n"/>
      <c r="AC260" s="69" t="str">
        <f>IF(OR($G260="",NOT(ISNUMBER($K260)),$AK260=0),"",MAX(0,ReportDate-$K260))</f>
        <v/>
      </c>
      <c r="AD260" s="69" t="str">
        <f>IF($G260="","",IF($AL260=1,ReportDate-$L260,0))</f>
        <v/>
      </c>
      <c r="AE260" s="70" t="str">
        <f>IF($G260="","",IF($M260="Completed",1,IF(ISNUMBER($N260),$N260,0)))</f>
        <v/>
      </c>
      <c r="AF260" s="70" t="str">
        <f>IF(AND(ISNUMBER($Q260),ISNUMBER($R260)),IF($R260&lt;&gt;0,$Q260/$R260,""),"")</f>
        <v/>
      </c>
      <c r="AG260" s="71" t="str">
        <f>IF($G260="","",IF($AL260=1,"OVERDUE",IF($AM260=1,"BLOCKED",IF($AN260=1,"DUE TODAY",IF($AO260=1,"DUE TOMORROW",IF($AQ260=1,"HIGH PRIORITY",IF($AR260=1,"NO RECENT UPDATE",""))))))) </f>
        <v/>
      </c>
      <c r="AH260" s="71" t="str">
        <f>IF($G260="","",IF(ISNUMBER($A260),IF(ISNUMBER($A260),YEAR($A260)&amp;"-"&amp;TEXT(MONTH($A260),"00"),""),IF(ISNUMBER($L260),IF(ISNUMBER($L260),YEAR($L260)&amp;"-"&amp;TEXT(MONTH($L260),"00"),""),"")))</f>
        <v/>
      </c>
      <c r="AI260" s="71">
        <f>IF($G260="",0,IF(AND(OR(fClient="All",$C260=fClient),OR(fCampaign="All",$D260=fCampaign),OR(fTeam="All",$B260=fTeam),OR(fChannel="All",$F260=fChannel),OR(fMonth="All",$AH260=fMonth),OR(fTStatus="All",$M260=fTStatus)),1,0))</f>
        <v>0</v>
      </c>
      <c r="AJ260" s="71">
        <f>IF($G260="",0,IF(AND(OR(fClient="All",$C260=fClient),OR(fCampaign="All",$D260=fCampaign),OR(fTeam="All",$B260=fTeam),OR(fChannel="All",$F260=fChannel)),1,0))</f>
        <v>0</v>
      </c>
      <c r="AK260" s="71">
        <f>IF($G260="",0,IF(OR($M260="Completed",$M260="Cancelled"),0,1))</f>
        <v>0</v>
      </c>
      <c r="AL260" s="71">
        <f>IF(AND($AK260=1,ISNUMBER($L260)),IF($L260&lt;ReportDate,1,0),0)</f>
        <v>0</v>
      </c>
      <c r="AM260" s="71">
        <f>IF(AND($G260&lt;&gt;"",$M260="Blocked"),1,0)</f>
        <v>0</v>
      </c>
      <c r="AN260" s="71">
        <f>IF(AND($AK260=1,ISNUMBER($L260)),IF($L260=ReportDate,1,0),0)</f>
        <v>0</v>
      </c>
      <c r="AO260" s="71">
        <f>IF(AND($AK260=1,ISNUMBER($L260)),IF($L260=ReportDate+1,1,0),0)</f>
        <v>0</v>
      </c>
      <c r="AP260" s="71">
        <f>IF(AND($AK260=1,ISNUMBER($L260)),IF(AND($L260&gt;=ReportDate,$L260&lt;=ReportDate+DueSoonDays),1,0),0)</f>
        <v>0</v>
      </c>
      <c r="AQ260" s="71">
        <f>IF(AND($AK260=1,OR($I260="Critical",$I260="High")),1,0)</f>
        <v>0</v>
      </c>
      <c r="AR260" s="71">
        <f>IF($AK260=1,IF(ISNUMBER($Y260),IF(ReportDate-$Y260&gt;StaleDays,1,0),1),0)</f>
        <v>0</v>
      </c>
      <c r="AS260" s="71">
        <f>IF(AND($G260&lt;&gt;"",ISNUMBER($Q260),ISNUMBER($R260)),IF(AND($Q260&lt;$R260,OR($M260="Completed",AND(ISNUMBER($L260),$L260&lt;ReportDate))),1,0),0)</f>
        <v>0</v>
      </c>
      <c r="AT260" s="71">
        <f>IF($AK260=1,IF(OR($L260=ReportDate,$W260=ReportDate,$K260=ReportDate,$A260=ReportDate),1,0),0)</f>
        <v>0</v>
      </c>
      <c r="AU260" s="71">
        <f>IF($AK260=1,IF(OR($L260=ReportDate+1,$W260=ReportDate+1,$K260=ReportDate+1,$A260=ReportDate+1),1,0),0)</f>
        <v>0</v>
      </c>
      <c r="AV260" s="71">
        <f>IF(AND($G260&lt;&gt;"",$M260="Completed"),IF(OR($Y260=ReportDate-1,$A260=ReportDate-1),1,0),0)</f>
        <v>0</v>
      </c>
      <c r="AW260" s="71">
        <f>IF(AND($AK260=1,$Z260="Yes"),1,0)</f>
        <v>0</v>
      </c>
      <c r="AX260" s="71">
        <f>IF(AND($AK260=1,$AA260="Yes"),1,0)</f>
        <v>0</v>
      </c>
      <c r="AY260" s="71">
        <f>IF(AND($AM260=1,OR($I260="Critical",$I260="High")),1,0)</f>
        <v>0</v>
      </c>
      <c r="AZ260" s="71">
        <f>IF(AND($AK260=1,OR($C260=TCL_Client,$C260=MECCA_Client)),1,0)</f>
        <v>0</v>
      </c>
      <c r="BA260" s="71" t="str">
        <f>IF($G260="","",IFERROR(MATCH($I260,lst_Priority,0),5))</f>
        <v/>
      </c>
      <c r="BB260" s="71" t="str">
        <f>IF(AND($AL260=1,$AJ260=1),$BA260*100000+ROW(),"")</f>
        <v/>
      </c>
      <c r="BC260" s="71" t="str">
        <f>IF(AND($AM260=1,$AJ260=1),$BA260*100000+ROW(),"")</f>
        <v/>
      </c>
      <c r="BD260" s="71" t="str">
        <f>IF(AND($AP260=1,$AJ260=1),$BA260*100000+ROW(),"")</f>
        <v/>
      </c>
      <c r="BE260" s="71" t="str">
        <f>IF(AND($AT260=1,$AJ260=1),$BA260*100000+ROW(),"")</f>
        <v/>
      </c>
      <c r="BF260" s="71" t="str">
        <f>IF(AND($AU260=1,$AJ260=1),$BA260*100000+ROW(),"")</f>
        <v/>
      </c>
      <c r="BG260" s="71" t="str">
        <f>IF(AND($AV260=1,$AJ260=1),$BA260*100000+ROW(),"")</f>
        <v/>
      </c>
      <c r="BH260" s="71" t="str">
        <f>IF(AND($AW260=1,$AJ260=1),$BA260*100000+ROW(),"")</f>
        <v/>
      </c>
      <c r="BI260" s="71" t="str">
        <f>IF(AND($AX260=1,$AJ260=1),$BA260*100000+ROW(),"")</f>
        <v/>
      </c>
      <c r="BJ260" s="71" t="str">
        <f>IF(AND($AS260=1,$AJ260=1),$BA260*100000+ROW(),"")</f>
        <v/>
      </c>
      <c r="BK260" s="71" t="str">
        <f>IF(AND($AY260=1,$AJ260=1),$BA260*100000+ROW(),"")</f>
        <v/>
      </c>
      <c r="BL260" s="71" t="str">
        <f>IF(AND($AZ260=1),$BA260*100000+ROW(),"")</f>
        <v/>
      </c>
    </row>
    <row r="261">
      <c r="A261" s="63" t="n"/>
      <c r="B261" s="64" t="n"/>
      <c r="C261" s="64" t="n"/>
      <c r="D261" s="64" t="n"/>
      <c r="E261" s="64" t="n"/>
      <c r="F261" s="64" t="n"/>
      <c r="G261" s="65" t="n"/>
      <c r="H261" s="65" t="n"/>
      <c r="I261" s="64" t="n"/>
      <c r="J261" s="64" t="n"/>
      <c r="K261" s="63" t="n"/>
      <c r="L261" s="63" t="n"/>
      <c r="M261" s="64" t="n"/>
      <c r="N261" s="66" t="n"/>
      <c r="O261" s="65" t="n"/>
      <c r="P261" s="64" t="n"/>
      <c r="Q261" s="67" t="n"/>
      <c r="R261" s="67" t="n"/>
      <c r="S261" s="68" t="str">
        <f>IF(AND(ISNUMBER($Q261),ISNUMBER($R261)),$Q261-$R261,"")</f>
        <v/>
      </c>
      <c r="T261" s="65" t="n"/>
      <c r="U261" s="64" t="n"/>
      <c r="V261" s="65" t="n"/>
      <c r="W261" s="63" t="n"/>
      <c r="X261" s="65" t="n"/>
      <c r="Y261" s="63" t="n"/>
      <c r="Z261" s="64" t="n"/>
      <c r="AA261" s="64" t="n"/>
      <c r="AB261" s="65" t="n"/>
      <c r="AC261" s="69" t="str">
        <f>IF(OR($G261="",NOT(ISNUMBER($K261)),$AK261=0),"",MAX(0,ReportDate-$K261))</f>
        <v/>
      </c>
      <c r="AD261" s="69" t="str">
        <f>IF($G261="","",IF($AL261=1,ReportDate-$L261,0))</f>
        <v/>
      </c>
      <c r="AE261" s="70" t="str">
        <f>IF($G261="","",IF($M261="Completed",1,IF(ISNUMBER($N261),$N261,0)))</f>
        <v/>
      </c>
      <c r="AF261" s="70" t="str">
        <f>IF(AND(ISNUMBER($Q261),ISNUMBER($R261)),IF($R261&lt;&gt;0,$Q261/$R261,""),"")</f>
        <v/>
      </c>
      <c r="AG261" s="71" t="str">
        <f>IF($G261="","",IF($AL261=1,"OVERDUE",IF($AM261=1,"BLOCKED",IF($AN261=1,"DUE TODAY",IF($AO261=1,"DUE TOMORROW",IF($AQ261=1,"HIGH PRIORITY",IF($AR261=1,"NO RECENT UPDATE",""))))))) </f>
        <v/>
      </c>
      <c r="AH261" s="71" t="str">
        <f>IF($G261="","",IF(ISNUMBER($A261),IF(ISNUMBER($A261),YEAR($A261)&amp;"-"&amp;TEXT(MONTH($A261),"00"),""),IF(ISNUMBER($L261),IF(ISNUMBER($L261),YEAR($L261)&amp;"-"&amp;TEXT(MONTH($L261),"00"),""),"")))</f>
        <v/>
      </c>
      <c r="AI261" s="71">
        <f>IF($G261="",0,IF(AND(OR(fClient="All",$C261=fClient),OR(fCampaign="All",$D261=fCampaign),OR(fTeam="All",$B261=fTeam),OR(fChannel="All",$F261=fChannel),OR(fMonth="All",$AH261=fMonth),OR(fTStatus="All",$M261=fTStatus)),1,0))</f>
        <v>0</v>
      </c>
      <c r="AJ261" s="71">
        <f>IF($G261="",0,IF(AND(OR(fClient="All",$C261=fClient),OR(fCampaign="All",$D261=fCampaign),OR(fTeam="All",$B261=fTeam),OR(fChannel="All",$F261=fChannel)),1,0))</f>
        <v>0</v>
      </c>
      <c r="AK261" s="71">
        <f>IF($G261="",0,IF(OR($M261="Completed",$M261="Cancelled"),0,1))</f>
        <v>0</v>
      </c>
      <c r="AL261" s="71">
        <f>IF(AND($AK261=1,ISNUMBER($L261)),IF($L261&lt;ReportDate,1,0),0)</f>
        <v>0</v>
      </c>
      <c r="AM261" s="71">
        <f>IF(AND($G261&lt;&gt;"",$M261="Blocked"),1,0)</f>
        <v>0</v>
      </c>
      <c r="AN261" s="71">
        <f>IF(AND($AK261=1,ISNUMBER($L261)),IF($L261=ReportDate,1,0),0)</f>
        <v>0</v>
      </c>
      <c r="AO261" s="71">
        <f>IF(AND($AK261=1,ISNUMBER($L261)),IF($L261=ReportDate+1,1,0),0)</f>
        <v>0</v>
      </c>
      <c r="AP261" s="71">
        <f>IF(AND($AK261=1,ISNUMBER($L261)),IF(AND($L261&gt;=ReportDate,$L261&lt;=ReportDate+DueSoonDays),1,0),0)</f>
        <v>0</v>
      </c>
      <c r="AQ261" s="71">
        <f>IF(AND($AK261=1,OR($I261="Critical",$I261="High")),1,0)</f>
        <v>0</v>
      </c>
      <c r="AR261" s="71">
        <f>IF($AK261=1,IF(ISNUMBER($Y261),IF(ReportDate-$Y261&gt;StaleDays,1,0),1),0)</f>
        <v>0</v>
      </c>
      <c r="AS261" s="71">
        <f>IF(AND($G261&lt;&gt;"",ISNUMBER($Q261),ISNUMBER($R261)),IF(AND($Q261&lt;$R261,OR($M261="Completed",AND(ISNUMBER($L261),$L261&lt;ReportDate))),1,0),0)</f>
        <v>0</v>
      </c>
      <c r="AT261" s="71">
        <f>IF($AK261=1,IF(OR($L261=ReportDate,$W261=ReportDate,$K261=ReportDate,$A261=ReportDate),1,0),0)</f>
        <v>0</v>
      </c>
      <c r="AU261" s="71">
        <f>IF($AK261=1,IF(OR($L261=ReportDate+1,$W261=ReportDate+1,$K261=ReportDate+1,$A261=ReportDate+1),1,0),0)</f>
        <v>0</v>
      </c>
      <c r="AV261" s="71">
        <f>IF(AND($G261&lt;&gt;"",$M261="Completed"),IF(OR($Y261=ReportDate-1,$A261=ReportDate-1),1,0),0)</f>
        <v>0</v>
      </c>
      <c r="AW261" s="71">
        <f>IF(AND($AK261=1,$Z261="Yes"),1,0)</f>
        <v>0</v>
      </c>
      <c r="AX261" s="71">
        <f>IF(AND($AK261=1,$AA261="Yes"),1,0)</f>
        <v>0</v>
      </c>
      <c r="AY261" s="71">
        <f>IF(AND($AM261=1,OR($I261="Critical",$I261="High")),1,0)</f>
        <v>0</v>
      </c>
      <c r="AZ261" s="71">
        <f>IF(AND($AK261=1,OR($C261=TCL_Client,$C261=MECCA_Client)),1,0)</f>
        <v>0</v>
      </c>
      <c r="BA261" s="71" t="str">
        <f>IF($G261="","",IFERROR(MATCH($I261,lst_Priority,0),5))</f>
        <v/>
      </c>
      <c r="BB261" s="71" t="str">
        <f>IF(AND($AL261=1,$AJ261=1),$BA261*100000+ROW(),"")</f>
        <v/>
      </c>
      <c r="BC261" s="71" t="str">
        <f>IF(AND($AM261=1,$AJ261=1),$BA261*100000+ROW(),"")</f>
        <v/>
      </c>
      <c r="BD261" s="71" t="str">
        <f>IF(AND($AP261=1,$AJ261=1),$BA261*100000+ROW(),"")</f>
        <v/>
      </c>
      <c r="BE261" s="71" t="str">
        <f>IF(AND($AT261=1,$AJ261=1),$BA261*100000+ROW(),"")</f>
        <v/>
      </c>
      <c r="BF261" s="71" t="str">
        <f>IF(AND($AU261=1,$AJ261=1),$BA261*100000+ROW(),"")</f>
        <v/>
      </c>
      <c r="BG261" s="71" t="str">
        <f>IF(AND($AV261=1,$AJ261=1),$BA261*100000+ROW(),"")</f>
        <v/>
      </c>
      <c r="BH261" s="71" t="str">
        <f>IF(AND($AW261=1,$AJ261=1),$BA261*100000+ROW(),"")</f>
        <v/>
      </c>
      <c r="BI261" s="71" t="str">
        <f>IF(AND($AX261=1,$AJ261=1),$BA261*100000+ROW(),"")</f>
        <v/>
      </c>
      <c r="BJ261" s="71" t="str">
        <f>IF(AND($AS261=1,$AJ261=1),$BA261*100000+ROW(),"")</f>
        <v/>
      </c>
      <c r="BK261" s="71" t="str">
        <f>IF(AND($AY261=1,$AJ261=1),$BA261*100000+ROW(),"")</f>
        <v/>
      </c>
      <c r="BL261" s="71" t="str">
        <f>IF(AND($AZ261=1),$BA261*100000+ROW(),"")</f>
        <v/>
      </c>
    </row>
    <row r="262">
      <c r="A262" s="63" t="n"/>
      <c r="B262" s="64" t="n"/>
      <c r="C262" s="64" t="n"/>
      <c r="D262" s="64" t="n"/>
      <c r="E262" s="64" t="n"/>
      <c r="F262" s="64" t="n"/>
      <c r="G262" s="65" t="n"/>
      <c r="H262" s="65" t="n"/>
      <c r="I262" s="64" t="n"/>
      <c r="J262" s="64" t="n"/>
      <c r="K262" s="63" t="n"/>
      <c r="L262" s="63" t="n"/>
      <c r="M262" s="64" t="n"/>
      <c r="N262" s="66" t="n"/>
      <c r="O262" s="65" t="n"/>
      <c r="P262" s="64" t="n"/>
      <c r="Q262" s="67" t="n"/>
      <c r="R262" s="67" t="n"/>
      <c r="S262" s="68" t="str">
        <f>IF(AND(ISNUMBER($Q262),ISNUMBER($R262)),$Q262-$R262,"")</f>
        <v/>
      </c>
      <c r="T262" s="65" t="n"/>
      <c r="U262" s="64" t="n"/>
      <c r="V262" s="65" t="n"/>
      <c r="W262" s="63" t="n"/>
      <c r="X262" s="65" t="n"/>
      <c r="Y262" s="63" t="n"/>
      <c r="Z262" s="64" t="n"/>
      <c r="AA262" s="64" t="n"/>
      <c r="AB262" s="65" t="n"/>
      <c r="AC262" s="69" t="str">
        <f>IF(OR($G262="",NOT(ISNUMBER($K262)),$AK262=0),"",MAX(0,ReportDate-$K262))</f>
        <v/>
      </c>
      <c r="AD262" s="69" t="str">
        <f>IF($G262="","",IF($AL262=1,ReportDate-$L262,0))</f>
        <v/>
      </c>
      <c r="AE262" s="70" t="str">
        <f>IF($G262="","",IF($M262="Completed",1,IF(ISNUMBER($N262),$N262,0)))</f>
        <v/>
      </c>
      <c r="AF262" s="70" t="str">
        <f>IF(AND(ISNUMBER($Q262),ISNUMBER($R262)),IF($R262&lt;&gt;0,$Q262/$R262,""),"")</f>
        <v/>
      </c>
      <c r="AG262" s="71" t="str">
        <f>IF($G262="","",IF($AL262=1,"OVERDUE",IF($AM262=1,"BLOCKED",IF($AN262=1,"DUE TODAY",IF($AO262=1,"DUE TOMORROW",IF($AQ262=1,"HIGH PRIORITY",IF($AR262=1,"NO RECENT UPDATE",""))))))) </f>
        <v/>
      </c>
      <c r="AH262" s="71" t="str">
        <f>IF($G262="","",IF(ISNUMBER($A262),IF(ISNUMBER($A262),YEAR($A262)&amp;"-"&amp;TEXT(MONTH($A262),"00"),""),IF(ISNUMBER($L262),IF(ISNUMBER($L262),YEAR($L262)&amp;"-"&amp;TEXT(MONTH($L262),"00"),""),"")))</f>
        <v/>
      </c>
      <c r="AI262" s="71">
        <f>IF($G262="",0,IF(AND(OR(fClient="All",$C262=fClient),OR(fCampaign="All",$D262=fCampaign),OR(fTeam="All",$B262=fTeam),OR(fChannel="All",$F262=fChannel),OR(fMonth="All",$AH262=fMonth),OR(fTStatus="All",$M262=fTStatus)),1,0))</f>
        <v>0</v>
      </c>
      <c r="AJ262" s="71">
        <f>IF($G262="",0,IF(AND(OR(fClient="All",$C262=fClient),OR(fCampaign="All",$D262=fCampaign),OR(fTeam="All",$B262=fTeam),OR(fChannel="All",$F262=fChannel)),1,0))</f>
        <v>0</v>
      </c>
      <c r="AK262" s="71">
        <f>IF($G262="",0,IF(OR($M262="Completed",$M262="Cancelled"),0,1))</f>
        <v>0</v>
      </c>
      <c r="AL262" s="71">
        <f>IF(AND($AK262=1,ISNUMBER($L262)),IF($L262&lt;ReportDate,1,0),0)</f>
        <v>0</v>
      </c>
      <c r="AM262" s="71">
        <f>IF(AND($G262&lt;&gt;"",$M262="Blocked"),1,0)</f>
        <v>0</v>
      </c>
      <c r="AN262" s="71">
        <f>IF(AND($AK262=1,ISNUMBER($L262)),IF($L262=ReportDate,1,0),0)</f>
        <v>0</v>
      </c>
      <c r="AO262" s="71">
        <f>IF(AND($AK262=1,ISNUMBER($L262)),IF($L262=ReportDate+1,1,0),0)</f>
        <v>0</v>
      </c>
      <c r="AP262" s="71">
        <f>IF(AND($AK262=1,ISNUMBER($L262)),IF(AND($L262&gt;=ReportDate,$L262&lt;=ReportDate+DueSoonDays),1,0),0)</f>
        <v>0</v>
      </c>
      <c r="AQ262" s="71">
        <f>IF(AND($AK262=1,OR($I262="Critical",$I262="High")),1,0)</f>
        <v>0</v>
      </c>
      <c r="AR262" s="71">
        <f>IF($AK262=1,IF(ISNUMBER($Y262),IF(ReportDate-$Y262&gt;StaleDays,1,0),1),0)</f>
        <v>0</v>
      </c>
      <c r="AS262" s="71">
        <f>IF(AND($G262&lt;&gt;"",ISNUMBER($Q262),ISNUMBER($R262)),IF(AND($Q262&lt;$R262,OR($M262="Completed",AND(ISNUMBER($L262),$L262&lt;ReportDate))),1,0),0)</f>
        <v>0</v>
      </c>
      <c r="AT262" s="71">
        <f>IF($AK262=1,IF(OR($L262=ReportDate,$W262=ReportDate,$K262=ReportDate,$A262=ReportDate),1,0),0)</f>
        <v>0</v>
      </c>
      <c r="AU262" s="71">
        <f>IF($AK262=1,IF(OR($L262=ReportDate+1,$W262=ReportDate+1,$K262=ReportDate+1,$A262=ReportDate+1),1,0),0)</f>
        <v>0</v>
      </c>
      <c r="AV262" s="71">
        <f>IF(AND($G262&lt;&gt;"",$M262="Completed"),IF(OR($Y262=ReportDate-1,$A262=ReportDate-1),1,0),0)</f>
        <v>0</v>
      </c>
      <c r="AW262" s="71">
        <f>IF(AND($AK262=1,$Z262="Yes"),1,0)</f>
        <v>0</v>
      </c>
      <c r="AX262" s="71">
        <f>IF(AND($AK262=1,$AA262="Yes"),1,0)</f>
        <v>0</v>
      </c>
      <c r="AY262" s="71">
        <f>IF(AND($AM262=1,OR($I262="Critical",$I262="High")),1,0)</f>
        <v>0</v>
      </c>
      <c r="AZ262" s="71">
        <f>IF(AND($AK262=1,OR($C262=TCL_Client,$C262=MECCA_Client)),1,0)</f>
        <v>0</v>
      </c>
      <c r="BA262" s="71" t="str">
        <f>IF($G262="","",IFERROR(MATCH($I262,lst_Priority,0),5))</f>
        <v/>
      </c>
      <c r="BB262" s="71" t="str">
        <f>IF(AND($AL262=1,$AJ262=1),$BA262*100000+ROW(),"")</f>
        <v/>
      </c>
      <c r="BC262" s="71" t="str">
        <f>IF(AND($AM262=1,$AJ262=1),$BA262*100000+ROW(),"")</f>
        <v/>
      </c>
      <c r="BD262" s="71" t="str">
        <f>IF(AND($AP262=1,$AJ262=1),$BA262*100000+ROW(),"")</f>
        <v/>
      </c>
      <c r="BE262" s="71" t="str">
        <f>IF(AND($AT262=1,$AJ262=1),$BA262*100000+ROW(),"")</f>
        <v/>
      </c>
      <c r="BF262" s="71" t="str">
        <f>IF(AND($AU262=1,$AJ262=1),$BA262*100000+ROW(),"")</f>
        <v/>
      </c>
      <c r="BG262" s="71" t="str">
        <f>IF(AND($AV262=1,$AJ262=1),$BA262*100000+ROW(),"")</f>
        <v/>
      </c>
      <c r="BH262" s="71" t="str">
        <f>IF(AND($AW262=1,$AJ262=1),$BA262*100000+ROW(),"")</f>
        <v/>
      </c>
      <c r="BI262" s="71" t="str">
        <f>IF(AND($AX262=1,$AJ262=1),$BA262*100000+ROW(),"")</f>
        <v/>
      </c>
      <c r="BJ262" s="71" t="str">
        <f>IF(AND($AS262=1,$AJ262=1),$BA262*100000+ROW(),"")</f>
        <v/>
      </c>
      <c r="BK262" s="71" t="str">
        <f>IF(AND($AY262=1,$AJ262=1),$BA262*100000+ROW(),"")</f>
        <v/>
      </c>
      <c r="BL262" s="71" t="str">
        <f>IF(AND($AZ262=1),$BA262*100000+ROW(),"")</f>
        <v/>
      </c>
    </row>
    <row r="263">
      <c r="A263" s="63" t="n"/>
      <c r="B263" s="64" t="n"/>
      <c r="C263" s="64" t="n"/>
      <c r="D263" s="64" t="n"/>
      <c r="E263" s="64" t="n"/>
      <c r="F263" s="64" t="n"/>
      <c r="G263" s="65" t="n"/>
      <c r="H263" s="65" t="n"/>
      <c r="I263" s="64" t="n"/>
      <c r="J263" s="64" t="n"/>
      <c r="K263" s="63" t="n"/>
      <c r="L263" s="63" t="n"/>
      <c r="M263" s="64" t="n"/>
      <c r="N263" s="66" t="n"/>
      <c r="O263" s="65" t="n"/>
      <c r="P263" s="64" t="n"/>
      <c r="Q263" s="67" t="n"/>
      <c r="R263" s="67" t="n"/>
      <c r="S263" s="68" t="str">
        <f>IF(AND(ISNUMBER($Q263),ISNUMBER($R263)),$Q263-$R263,"")</f>
        <v/>
      </c>
      <c r="T263" s="65" t="n"/>
      <c r="U263" s="64" t="n"/>
      <c r="V263" s="65" t="n"/>
      <c r="W263" s="63" t="n"/>
      <c r="X263" s="65" t="n"/>
      <c r="Y263" s="63" t="n"/>
      <c r="Z263" s="64" t="n"/>
      <c r="AA263" s="64" t="n"/>
      <c r="AB263" s="65" t="n"/>
      <c r="AC263" s="69" t="str">
        <f>IF(OR($G263="",NOT(ISNUMBER($K263)),$AK263=0),"",MAX(0,ReportDate-$K263))</f>
        <v/>
      </c>
      <c r="AD263" s="69" t="str">
        <f>IF($G263="","",IF($AL263=1,ReportDate-$L263,0))</f>
        <v/>
      </c>
      <c r="AE263" s="70" t="str">
        <f>IF($G263="","",IF($M263="Completed",1,IF(ISNUMBER($N263),$N263,0)))</f>
        <v/>
      </c>
      <c r="AF263" s="70" t="str">
        <f>IF(AND(ISNUMBER($Q263),ISNUMBER($R263)),IF($R263&lt;&gt;0,$Q263/$R263,""),"")</f>
        <v/>
      </c>
      <c r="AG263" s="71" t="str">
        <f>IF($G263="","",IF($AL263=1,"OVERDUE",IF($AM263=1,"BLOCKED",IF($AN263=1,"DUE TODAY",IF($AO263=1,"DUE TOMORROW",IF($AQ263=1,"HIGH PRIORITY",IF($AR263=1,"NO RECENT UPDATE",""))))))) </f>
        <v/>
      </c>
      <c r="AH263" s="71" t="str">
        <f>IF($G263="","",IF(ISNUMBER($A263),IF(ISNUMBER($A263),YEAR($A263)&amp;"-"&amp;TEXT(MONTH($A263),"00"),""),IF(ISNUMBER($L263),IF(ISNUMBER($L263),YEAR($L263)&amp;"-"&amp;TEXT(MONTH($L263),"00"),""),"")))</f>
        <v/>
      </c>
      <c r="AI263" s="71">
        <f>IF($G263="",0,IF(AND(OR(fClient="All",$C263=fClient),OR(fCampaign="All",$D263=fCampaign),OR(fTeam="All",$B263=fTeam),OR(fChannel="All",$F263=fChannel),OR(fMonth="All",$AH263=fMonth),OR(fTStatus="All",$M263=fTStatus)),1,0))</f>
        <v>0</v>
      </c>
      <c r="AJ263" s="71">
        <f>IF($G263="",0,IF(AND(OR(fClient="All",$C263=fClient),OR(fCampaign="All",$D263=fCampaign),OR(fTeam="All",$B263=fTeam),OR(fChannel="All",$F263=fChannel)),1,0))</f>
        <v>0</v>
      </c>
      <c r="AK263" s="71">
        <f>IF($G263="",0,IF(OR($M263="Completed",$M263="Cancelled"),0,1))</f>
        <v>0</v>
      </c>
      <c r="AL263" s="71">
        <f>IF(AND($AK263=1,ISNUMBER($L263)),IF($L263&lt;ReportDate,1,0),0)</f>
        <v>0</v>
      </c>
      <c r="AM263" s="71">
        <f>IF(AND($G263&lt;&gt;"",$M263="Blocked"),1,0)</f>
        <v>0</v>
      </c>
      <c r="AN263" s="71">
        <f>IF(AND($AK263=1,ISNUMBER($L263)),IF($L263=ReportDate,1,0),0)</f>
        <v>0</v>
      </c>
      <c r="AO263" s="71">
        <f>IF(AND($AK263=1,ISNUMBER($L263)),IF($L263=ReportDate+1,1,0),0)</f>
        <v>0</v>
      </c>
      <c r="AP263" s="71">
        <f>IF(AND($AK263=1,ISNUMBER($L263)),IF(AND($L263&gt;=ReportDate,$L263&lt;=ReportDate+DueSoonDays),1,0),0)</f>
        <v>0</v>
      </c>
      <c r="AQ263" s="71">
        <f>IF(AND($AK263=1,OR($I263="Critical",$I263="High")),1,0)</f>
        <v>0</v>
      </c>
      <c r="AR263" s="71">
        <f>IF($AK263=1,IF(ISNUMBER($Y263),IF(ReportDate-$Y263&gt;StaleDays,1,0),1),0)</f>
        <v>0</v>
      </c>
      <c r="AS263" s="71">
        <f>IF(AND($G263&lt;&gt;"",ISNUMBER($Q263),ISNUMBER($R263)),IF(AND($Q263&lt;$R263,OR($M263="Completed",AND(ISNUMBER($L263),$L263&lt;ReportDate))),1,0),0)</f>
        <v>0</v>
      </c>
      <c r="AT263" s="71">
        <f>IF($AK263=1,IF(OR($L263=ReportDate,$W263=ReportDate,$K263=ReportDate,$A263=ReportDate),1,0),0)</f>
        <v>0</v>
      </c>
      <c r="AU263" s="71">
        <f>IF($AK263=1,IF(OR($L263=ReportDate+1,$W263=ReportDate+1,$K263=ReportDate+1,$A263=ReportDate+1),1,0),0)</f>
        <v>0</v>
      </c>
      <c r="AV263" s="71">
        <f>IF(AND($G263&lt;&gt;"",$M263="Completed"),IF(OR($Y263=ReportDate-1,$A263=ReportDate-1),1,0),0)</f>
        <v>0</v>
      </c>
      <c r="AW263" s="71">
        <f>IF(AND($AK263=1,$Z263="Yes"),1,0)</f>
        <v>0</v>
      </c>
      <c r="AX263" s="71">
        <f>IF(AND($AK263=1,$AA263="Yes"),1,0)</f>
        <v>0</v>
      </c>
      <c r="AY263" s="71">
        <f>IF(AND($AM263=1,OR($I263="Critical",$I263="High")),1,0)</f>
        <v>0</v>
      </c>
      <c r="AZ263" s="71">
        <f>IF(AND($AK263=1,OR($C263=TCL_Client,$C263=MECCA_Client)),1,0)</f>
        <v>0</v>
      </c>
      <c r="BA263" s="71" t="str">
        <f>IF($G263="","",IFERROR(MATCH($I263,lst_Priority,0),5))</f>
        <v/>
      </c>
      <c r="BB263" s="71" t="str">
        <f>IF(AND($AL263=1,$AJ263=1),$BA263*100000+ROW(),"")</f>
        <v/>
      </c>
      <c r="BC263" s="71" t="str">
        <f>IF(AND($AM263=1,$AJ263=1),$BA263*100000+ROW(),"")</f>
        <v/>
      </c>
      <c r="BD263" s="71" t="str">
        <f>IF(AND($AP263=1,$AJ263=1),$BA263*100000+ROW(),"")</f>
        <v/>
      </c>
      <c r="BE263" s="71" t="str">
        <f>IF(AND($AT263=1,$AJ263=1),$BA263*100000+ROW(),"")</f>
        <v/>
      </c>
      <c r="BF263" s="71" t="str">
        <f>IF(AND($AU263=1,$AJ263=1),$BA263*100000+ROW(),"")</f>
        <v/>
      </c>
      <c r="BG263" s="71" t="str">
        <f>IF(AND($AV263=1,$AJ263=1),$BA263*100000+ROW(),"")</f>
        <v/>
      </c>
      <c r="BH263" s="71" t="str">
        <f>IF(AND($AW263=1,$AJ263=1),$BA263*100000+ROW(),"")</f>
        <v/>
      </c>
      <c r="BI263" s="71" t="str">
        <f>IF(AND($AX263=1,$AJ263=1),$BA263*100000+ROW(),"")</f>
        <v/>
      </c>
      <c r="BJ263" s="71" t="str">
        <f>IF(AND($AS263=1,$AJ263=1),$BA263*100000+ROW(),"")</f>
        <v/>
      </c>
      <c r="BK263" s="71" t="str">
        <f>IF(AND($AY263=1,$AJ263=1),$BA263*100000+ROW(),"")</f>
        <v/>
      </c>
      <c r="BL263" s="71" t="str">
        <f>IF(AND($AZ263=1),$BA263*100000+ROW(),"")</f>
        <v/>
      </c>
    </row>
    <row r="264">
      <c r="A264" s="63" t="n"/>
      <c r="B264" s="64" t="n"/>
      <c r="C264" s="64" t="n"/>
      <c r="D264" s="64" t="n"/>
      <c r="E264" s="64" t="n"/>
      <c r="F264" s="64" t="n"/>
      <c r="G264" s="65" t="n"/>
      <c r="H264" s="65" t="n"/>
      <c r="I264" s="64" t="n"/>
      <c r="J264" s="64" t="n"/>
      <c r="K264" s="63" t="n"/>
      <c r="L264" s="63" t="n"/>
      <c r="M264" s="64" t="n"/>
      <c r="N264" s="66" t="n"/>
      <c r="O264" s="65" t="n"/>
      <c r="P264" s="64" t="n"/>
      <c r="Q264" s="67" t="n"/>
      <c r="R264" s="67" t="n"/>
      <c r="S264" s="68" t="str">
        <f>IF(AND(ISNUMBER($Q264),ISNUMBER($R264)),$Q264-$R264,"")</f>
        <v/>
      </c>
      <c r="T264" s="65" t="n"/>
      <c r="U264" s="64" t="n"/>
      <c r="V264" s="65" t="n"/>
      <c r="W264" s="63" t="n"/>
      <c r="X264" s="65" t="n"/>
      <c r="Y264" s="63" t="n"/>
      <c r="Z264" s="64" t="n"/>
      <c r="AA264" s="64" t="n"/>
      <c r="AB264" s="65" t="n"/>
      <c r="AC264" s="69" t="str">
        <f>IF(OR($G264="",NOT(ISNUMBER($K264)),$AK264=0),"",MAX(0,ReportDate-$K264))</f>
        <v/>
      </c>
      <c r="AD264" s="69" t="str">
        <f>IF($G264="","",IF($AL264=1,ReportDate-$L264,0))</f>
        <v/>
      </c>
      <c r="AE264" s="70" t="str">
        <f>IF($G264="","",IF($M264="Completed",1,IF(ISNUMBER($N264),$N264,0)))</f>
        <v/>
      </c>
      <c r="AF264" s="70" t="str">
        <f>IF(AND(ISNUMBER($Q264),ISNUMBER($R264)),IF($R264&lt;&gt;0,$Q264/$R264,""),"")</f>
        <v/>
      </c>
      <c r="AG264" s="71" t="str">
        <f>IF($G264="","",IF($AL264=1,"OVERDUE",IF($AM264=1,"BLOCKED",IF($AN264=1,"DUE TODAY",IF($AO264=1,"DUE TOMORROW",IF($AQ264=1,"HIGH PRIORITY",IF($AR264=1,"NO RECENT UPDATE",""))))))) </f>
        <v/>
      </c>
      <c r="AH264" s="71" t="str">
        <f>IF($G264="","",IF(ISNUMBER($A264),IF(ISNUMBER($A264),YEAR($A264)&amp;"-"&amp;TEXT(MONTH($A264),"00"),""),IF(ISNUMBER($L264),IF(ISNUMBER($L264),YEAR($L264)&amp;"-"&amp;TEXT(MONTH($L264),"00"),""),"")))</f>
        <v/>
      </c>
      <c r="AI264" s="71">
        <f>IF($G264="",0,IF(AND(OR(fClient="All",$C264=fClient),OR(fCampaign="All",$D264=fCampaign),OR(fTeam="All",$B264=fTeam),OR(fChannel="All",$F264=fChannel),OR(fMonth="All",$AH264=fMonth),OR(fTStatus="All",$M264=fTStatus)),1,0))</f>
        <v>0</v>
      </c>
      <c r="AJ264" s="71">
        <f>IF($G264="",0,IF(AND(OR(fClient="All",$C264=fClient),OR(fCampaign="All",$D264=fCampaign),OR(fTeam="All",$B264=fTeam),OR(fChannel="All",$F264=fChannel)),1,0))</f>
        <v>0</v>
      </c>
      <c r="AK264" s="71">
        <f>IF($G264="",0,IF(OR($M264="Completed",$M264="Cancelled"),0,1))</f>
        <v>0</v>
      </c>
      <c r="AL264" s="71">
        <f>IF(AND($AK264=1,ISNUMBER($L264)),IF($L264&lt;ReportDate,1,0),0)</f>
        <v>0</v>
      </c>
      <c r="AM264" s="71">
        <f>IF(AND($G264&lt;&gt;"",$M264="Blocked"),1,0)</f>
        <v>0</v>
      </c>
      <c r="AN264" s="71">
        <f>IF(AND($AK264=1,ISNUMBER($L264)),IF($L264=ReportDate,1,0),0)</f>
        <v>0</v>
      </c>
      <c r="AO264" s="71">
        <f>IF(AND($AK264=1,ISNUMBER($L264)),IF($L264=ReportDate+1,1,0),0)</f>
        <v>0</v>
      </c>
      <c r="AP264" s="71">
        <f>IF(AND($AK264=1,ISNUMBER($L264)),IF(AND($L264&gt;=ReportDate,$L264&lt;=ReportDate+DueSoonDays),1,0),0)</f>
        <v>0</v>
      </c>
      <c r="AQ264" s="71">
        <f>IF(AND($AK264=1,OR($I264="Critical",$I264="High")),1,0)</f>
        <v>0</v>
      </c>
      <c r="AR264" s="71">
        <f>IF($AK264=1,IF(ISNUMBER($Y264),IF(ReportDate-$Y264&gt;StaleDays,1,0),1),0)</f>
        <v>0</v>
      </c>
      <c r="AS264" s="71">
        <f>IF(AND($G264&lt;&gt;"",ISNUMBER($Q264),ISNUMBER($R264)),IF(AND($Q264&lt;$R264,OR($M264="Completed",AND(ISNUMBER($L264),$L264&lt;ReportDate))),1,0),0)</f>
        <v>0</v>
      </c>
      <c r="AT264" s="71">
        <f>IF($AK264=1,IF(OR($L264=ReportDate,$W264=ReportDate,$K264=ReportDate,$A264=ReportDate),1,0),0)</f>
        <v>0</v>
      </c>
      <c r="AU264" s="71">
        <f>IF($AK264=1,IF(OR($L264=ReportDate+1,$W264=ReportDate+1,$K264=ReportDate+1,$A264=ReportDate+1),1,0),0)</f>
        <v>0</v>
      </c>
      <c r="AV264" s="71">
        <f>IF(AND($G264&lt;&gt;"",$M264="Completed"),IF(OR($Y264=ReportDate-1,$A264=ReportDate-1),1,0),0)</f>
        <v>0</v>
      </c>
      <c r="AW264" s="71">
        <f>IF(AND($AK264=1,$Z264="Yes"),1,0)</f>
        <v>0</v>
      </c>
      <c r="AX264" s="71">
        <f>IF(AND($AK264=1,$AA264="Yes"),1,0)</f>
        <v>0</v>
      </c>
      <c r="AY264" s="71">
        <f>IF(AND($AM264=1,OR($I264="Critical",$I264="High")),1,0)</f>
        <v>0</v>
      </c>
      <c r="AZ264" s="71">
        <f>IF(AND($AK264=1,OR($C264=TCL_Client,$C264=MECCA_Client)),1,0)</f>
        <v>0</v>
      </c>
      <c r="BA264" s="71" t="str">
        <f>IF($G264="","",IFERROR(MATCH($I264,lst_Priority,0),5))</f>
        <v/>
      </c>
      <c r="BB264" s="71" t="str">
        <f>IF(AND($AL264=1,$AJ264=1),$BA264*100000+ROW(),"")</f>
        <v/>
      </c>
      <c r="BC264" s="71" t="str">
        <f>IF(AND($AM264=1,$AJ264=1),$BA264*100000+ROW(),"")</f>
        <v/>
      </c>
      <c r="BD264" s="71" t="str">
        <f>IF(AND($AP264=1,$AJ264=1),$BA264*100000+ROW(),"")</f>
        <v/>
      </c>
      <c r="BE264" s="71" t="str">
        <f>IF(AND($AT264=1,$AJ264=1),$BA264*100000+ROW(),"")</f>
        <v/>
      </c>
      <c r="BF264" s="71" t="str">
        <f>IF(AND($AU264=1,$AJ264=1),$BA264*100000+ROW(),"")</f>
        <v/>
      </c>
      <c r="BG264" s="71" t="str">
        <f>IF(AND($AV264=1,$AJ264=1),$BA264*100000+ROW(),"")</f>
        <v/>
      </c>
      <c r="BH264" s="71" t="str">
        <f>IF(AND($AW264=1,$AJ264=1),$BA264*100000+ROW(),"")</f>
        <v/>
      </c>
      <c r="BI264" s="71" t="str">
        <f>IF(AND($AX264=1,$AJ264=1),$BA264*100000+ROW(),"")</f>
        <v/>
      </c>
      <c r="BJ264" s="71" t="str">
        <f>IF(AND($AS264=1,$AJ264=1),$BA264*100000+ROW(),"")</f>
        <v/>
      </c>
      <c r="BK264" s="71" t="str">
        <f>IF(AND($AY264=1,$AJ264=1),$BA264*100000+ROW(),"")</f>
        <v/>
      </c>
      <c r="BL264" s="71" t="str">
        <f>IF(AND($AZ264=1),$BA264*100000+ROW(),"")</f>
        <v/>
      </c>
    </row>
    <row r="265">
      <c r="A265" s="63" t="n"/>
      <c r="B265" s="64" t="n"/>
      <c r="C265" s="64" t="n"/>
      <c r="D265" s="64" t="n"/>
      <c r="E265" s="64" t="n"/>
      <c r="F265" s="64" t="n"/>
      <c r="G265" s="65" t="n"/>
      <c r="H265" s="65" t="n"/>
      <c r="I265" s="64" t="n"/>
      <c r="J265" s="64" t="n"/>
      <c r="K265" s="63" t="n"/>
      <c r="L265" s="63" t="n"/>
      <c r="M265" s="64" t="n"/>
      <c r="N265" s="66" t="n"/>
      <c r="O265" s="65" t="n"/>
      <c r="P265" s="64" t="n"/>
      <c r="Q265" s="67" t="n"/>
      <c r="R265" s="67" t="n"/>
      <c r="S265" s="68" t="str">
        <f>IF(AND(ISNUMBER($Q265),ISNUMBER($R265)),$Q265-$R265,"")</f>
        <v/>
      </c>
      <c r="T265" s="65" t="n"/>
      <c r="U265" s="64" t="n"/>
      <c r="V265" s="65" t="n"/>
      <c r="W265" s="63" t="n"/>
      <c r="X265" s="65" t="n"/>
      <c r="Y265" s="63" t="n"/>
      <c r="Z265" s="64" t="n"/>
      <c r="AA265" s="64" t="n"/>
      <c r="AB265" s="65" t="n"/>
      <c r="AC265" s="69" t="str">
        <f>IF(OR($G265="",NOT(ISNUMBER($K265)),$AK265=0),"",MAX(0,ReportDate-$K265))</f>
        <v/>
      </c>
      <c r="AD265" s="69" t="str">
        <f>IF($G265="","",IF($AL265=1,ReportDate-$L265,0))</f>
        <v/>
      </c>
      <c r="AE265" s="70" t="str">
        <f>IF($G265="","",IF($M265="Completed",1,IF(ISNUMBER($N265),$N265,0)))</f>
        <v/>
      </c>
      <c r="AF265" s="70" t="str">
        <f>IF(AND(ISNUMBER($Q265),ISNUMBER($R265)),IF($R265&lt;&gt;0,$Q265/$R265,""),"")</f>
        <v/>
      </c>
      <c r="AG265" s="71" t="str">
        <f>IF($G265="","",IF($AL265=1,"OVERDUE",IF($AM265=1,"BLOCKED",IF($AN265=1,"DUE TODAY",IF($AO265=1,"DUE TOMORROW",IF($AQ265=1,"HIGH PRIORITY",IF($AR265=1,"NO RECENT UPDATE",""))))))) </f>
        <v/>
      </c>
      <c r="AH265" s="71" t="str">
        <f>IF($G265="","",IF(ISNUMBER($A265),IF(ISNUMBER($A265),YEAR($A265)&amp;"-"&amp;TEXT(MONTH($A265),"00"),""),IF(ISNUMBER($L265),IF(ISNUMBER($L265),YEAR($L265)&amp;"-"&amp;TEXT(MONTH($L265),"00"),""),"")))</f>
        <v/>
      </c>
      <c r="AI265" s="71">
        <f>IF($G265="",0,IF(AND(OR(fClient="All",$C265=fClient),OR(fCampaign="All",$D265=fCampaign),OR(fTeam="All",$B265=fTeam),OR(fChannel="All",$F265=fChannel),OR(fMonth="All",$AH265=fMonth),OR(fTStatus="All",$M265=fTStatus)),1,0))</f>
        <v>0</v>
      </c>
      <c r="AJ265" s="71">
        <f>IF($G265="",0,IF(AND(OR(fClient="All",$C265=fClient),OR(fCampaign="All",$D265=fCampaign),OR(fTeam="All",$B265=fTeam),OR(fChannel="All",$F265=fChannel)),1,0))</f>
        <v>0</v>
      </c>
      <c r="AK265" s="71">
        <f>IF($G265="",0,IF(OR($M265="Completed",$M265="Cancelled"),0,1))</f>
        <v>0</v>
      </c>
      <c r="AL265" s="71">
        <f>IF(AND($AK265=1,ISNUMBER($L265)),IF($L265&lt;ReportDate,1,0),0)</f>
        <v>0</v>
      </c>
      <c r="AM265" s="71">
        <f>IF(AND($G265&lt;&gt;"",$M265="Blocked"),1,0)</f>
        <v>0</v>
      </c>
      <c r="AN265" s="71">
        <f>IF(AND($AK265=1,ISNUMBER($L265)),IF($L265=ReportDate,1,0),0)</f>
        <v>0</v>
      </c>
      <c r="AO265" s="71">
        <f>IF(AND($AK265=1,ISNUMBER($L265)),IF($L265=ReportDate+1,1,0),0)</f>
        <v>0</v>
      </c>
      <c r="AP265" s="71">
        <f>IF(AND($AK265=1,ISNUMBER($L265)),IF(AND($L265&gt;=ReportDate,$L265&lt;=ReportDate+DueSoonDays),1,0),0)</f>
        <v>0</v>
      </c>
      <c r="AQ265" s="71">
        <f>IF(AND($AK265=1,OR($I265="Critical",$I265="High")),1,0)</f>
        <v>0</v>
      </c>
      <c r="AR265" s="71">
        <f>IF($AK265=1,IF(ISNUMBER($Y265),IF(ReportDate-$Y265&gt;StaleDays,1,0),1),0)</f>
        <v>0</v>
      </c>
      <c r="AS265" s="71">
        <f>IF(AND($G265&lt;&gt;"",ISNUMBER($Q265),ISNUMBER($R265)),IF(AND($Q265&lt;$R265,OR($M265="Completed",AND(ISNUMBER($L265),$L265&lt;ReportDate))),1,0),0)</f>
        <v>0</v>
      </c>
      <c r="AT265" s="71">
        <f>IF($AK265=1,IF(OR($L265=ReportDate,$W265=ReportDate,$K265=ReportDate,$A265=ReportDate),1,0),0)</f>
        <v>0</v>
      </c>
      <c r="AU265" s="71">
        <f>IF($AK265=1,IF(OR($L265=ReportDate+1,$W265=ReportDate+1,$K265=ReportDate+1,$A265=ReportDate+1),1,0),0)</f>
        <v>0</v>
      </c>
      <c r="AV265" s="71">
        <f>IF(AND($G265&lt;&gt;"",$M265="Completed"),IF(OR($Y265=ReportDate-1,$A265=ReportDate-1),1,0),0)</f>
        <v>0</v>
      </c>
      <c r="AW265" s="71">
        <f>IF(AND($AK265=1,$Z265="Yes"),1,0)</f>
        <v>0</v>
      </c>
      <c r="AX265" s="71">
        <f>IF(AND($AK265=1,$AA265="Yes"),1,0)</f>
        <v>0</v>
      </c>
      <c r="AY265" s="71">
        <f>IF(AND($AM265=1,OR($I265="Critical",$I265="High")),1,0)</f>
        <v>0</v>
      </c>
      <c r="AZ265" s="71">
        <f>IF(AND($AK265=1,OR($C265=TCL_Client,$C265=MECCA_Client)),1,0)</f>
        <v>0</v>
      </c>
      <c r="BA265" s="71" t="str">
        <f>IF($G265="","",IFERROR(MATCH($I265,lst_Priority,0),5))</f>
        <v/>
      </c>
      <c r="BB265" s="71" t="str">
        <f>IF(AND($AL265=1,$AJ265=1),$BA265*100000+ROW(),"")</f>
        <v/>
      </c>
      <c r="BC265" s="71" t="str">
        <f>IF(AND($AM265=1,$AJ265=1),$BA265*100000+ROW(),"")</f>
        <v/>
      </c>
      <c r="BD265" s="71" t="str">
        <f>IF(AND($AP265=1,$AJ265=1),$BA265*100000+ROW(),"")</f>
        <v/>
      </c>
      <c r="BE265" s="71" t="str">
        <f>IF(AND($AT265=1,$AJ265=1),$BA265*100000+ROW(),"")</f>
        <v/>
      </c>
      <c r="BF265" s="71" t="str">
        <f>IF(AND($AU265=1,$AJ265=1),$BA265*100000+ROW(),"")</f>
        <v/>
      </c>
      <c r="BG265" s="71" t="str">
        <f>IF(AND($AV265=1,$AJ265=1),$BA265*100000+ROW(),"")</f>
        <v/>
      </c>
      <c r="BH265" s="71" t="str">
        <f>IF(AND($AW265=1,$AJ265=1),$BA265*100000+ROW(),"")</f>
        <v/>
      </c>
      <c r="BI265" s="71" t="str">
        <f>IF(AND($AX265=1,$AJ265=1),$BA265*100000+ROW(),"")</f>
        <v/>
      </c>
      <c r="BJ265" s="71" t="str">
        <f>IF(AND($AS265=1,$AJ265=1),$BA265*100000+ROW(),"")</f>
        <v/>
      </c>
      <c r="BK265" s="71" t="str">
        <f>IF(AND($AY265=1,$AJ265=1),$BA265*100000+ROW(),"")</f>
        <v/>
      </c>
      <c r="BL265" s="71" t="str">
        <f>IF(AND($AZ265=1),$BA265*100000+ROW(),"")</f>
        <v/>
      </c>
    </row>
    <row r="266">
      <c r="A266" s="63" t="n"/>
      <c r="B266" s="64" t="n"/>
      <c r="C266" s="64" t="n"/>
      <c r="D266" s="64" t="n"/>
      <c r="E266" s="64" t="n"/>
      <c r="F266" s="64" t="n"/>
      <c r="G266" s="65" t="n"/>
      <c r="H266" s="65" t="n"/>
      <c r="I266" s="64" t="n"/>
      <c r="J266" s="64" t="n"/>
      <c r="K266" s="63" t="n"/>
      <c r="L266" s="63" t="n"/>
      <c r="M266" s="64" t="n"/>
      <c r="N266" s="66" t="n"/>
      <c r="O266" s="65" t="n"/>
      <c r="P266" s="64" t="n"/>
      <c r="Q266" s="67" t="n"/>
      <c r="R266" s="67" t="n"/>
      <c r="S266" s="68" t="str">
        <f>IF(AND(ISNUMBER($Q266),ISNUMBER($R266)),$Q266-$R266,"")</f>
        <v/>
      </c>
      <c r="T266" s="65" t="n"/>
      <c r="U266" s="64" t="n"/>
      <c r="V266" s="65" t="n"/>
      <c r="W266" s="63" t="n"/>
      <c r="X266" s="65" t="n"/>
      <c r="Y266" s="63" t="n"/>
      <c r="Z266" s="64" t="n"/>
      <c r="AA266" s="64" t="n"/>
      <c r="AB266" s="65" t="n"/>
      <c r="AC266" s="69" t="str">
        <f>IF(OR($G266="",NOT(ISNUMBER($K266)),$AK266=0),"",MAX(0,ReportDate-$K266))</f>
        <v/>
      </c>
      <c r="AD266" s="69" t="str">
        <f>IF($G266="","",IF($AL266=1,ReportDate-$L266,0))</f>
        <v/>
      </c>
      <c r="AE266" s="70" t="str">
        <f>IF($G266="","",IF($M266="Completed",1,IF(ISNUMBER($N266),$N266,0)))</f>
        <v/>
      </c>
      <c r="AF266" s="70" t="str">
        <f>IF(AND(ISNUMBER($Q266),ISNUMBER($R266)),IF($R266&lt;&gt;0,$Q266/$R266,""),"")</f>
        <v/>
      </c>
      <c r="AG266" s="71" t="str">
        <f>IF($G266="","",IF($AL266=1,"OVERDUE",IF($AM266=1,"BLOCKED",IF($AN266=1,"DUE TODAY",IF($AO266=1,"DUE TOMORROW",IF($AQ266=1,"HIGH PRIORITY",IF($AR266=1,"NO RECENT UPDATE",""))))))) </f>
        <v/>
      </c>
      <c r="AH266" s="71" t="str">
        <f>IF($G266="","",IF(ISNUMBER($A266),IF(ISNUMBER($A266),YEAR($A266)&amp;"-"&amp;TEXT(MONTH($A266),"00"),""),IF(ISNUMBER($L266),IF(ISNUMBER($L266),YEAR($L266)&amp;"-"&amp;TEXT(MONTH($L266),"00"),""),"")))</f>
        <v/>
      </c>
      <c r="AI266" s="71">
        <f>IF($G266="",0,IF(AND(OR(fClient="All",$C266=fClient),OR(fCampaign="All",$D266=fCampaign),OR(fTeam="All",$B266=fTeam),OR(fChannel="All",$F266=fChannel),OR(fMonth="All",$AH266=fMonth),OR(fTStatus="All",$M266=fTStatus)),1,0))</f>
        <v>0</v>
      </c>
      <c r="AJ266" s="71">
        <f>IF($G266="",0,IF(AND(OR(fClient="All",$C266=fClient),OR(fCampaign="All",$D266=fCampaign),OR(fTeam="All",$B266=fTeam),OR(fChannel="All",$F266=fChannel)),1,0))</f>
        <v>0</v>
      </c>
      <c r="AK266" s="71">
        <f>IF($G266="",0,IF(OR($M266="Completed",$M266="Cancelled"),0,1))</f>
        <v>0</v>
      </c>
      <c r="AL266" s="71">
        <f>IF(AND($AK266=1,ISNUMBER($L266)),IF($L266&lt;ReportDate,1,0),0)</f>
        <v>0</v>
      </c>
      <c r="AM266" s="71">
        <f>IF(AND($G266&lt;&gt;"",$M266="Blocked"),1,0)</f>
        <v>0</v>
      </c>
      <c r="AN266" s="71">
        <f>IF(AND($AK266=1,ISNUMBER($L266)),IF($L266=ReportDate,1,0),0)</f>
        <v>0</v>
      </c>
      <c r="AO266" s="71">
        <f>IF(AND($AK266=1,ISNUMBER($L266)),IF($L266=ReportDate+1,1,0),0)</f>
        <v>0</v>
      </c>
      <c r="AP266" s="71">
        <f>IF(AND($AK266=1,ISNUMBER($L266)),IF(AND($L266&gt;=ReportDate,$L266&lt;=ReportDate+DueSoonDays),1,0),0)</f>
        <v>0</v>
      </c>
      <c r="AQ266" s="71">
        <f>IF(AND($AK266=1,OR($I266="Critical",$I266="High")),1,0)</f>
        <v>0</v>
      </c>
      <c r="AR266" s="71">
        <f>IF($AK266=1,IF(ISNUMBER($Y266),IF(ReportDate-$Y266&gt;StaleDays,1,0),1),0)</f>
        <v>0</v>
      </c>
      <c r="AS266" s="71">
        <f>IF(AND($G266&lt;&gt;"",ISNUMBER($Q266),ISNUMBER($R266)),IF(AND($Q266&lt;$R266,OR($M266="Completed",AND(ISNUMBER($L266),$L266&lt;ReportDate))),1,0),0)</f>
        <v>0</v>
      </c>
      <c r="AT266" s="71">
        <f>IF($AK266=1,IF(OR($L266=ReportDate,$W266=ReportDate,$K266=ReportDate,$A266=ReportDate),1,0),0)</f>
        <v>0</v>
      </c>
      <c r="AU266" s="71">
        <f>IF($AK266=1,IF(OR($L266=ReportDate+1,$W266=ReportDate+1,$K266=ReportDate+1,$A266=ReportDate+1),1,0),0)</f>
        <v>0</v>
      </c>
      <c r="AV266" s="71">
        <f>IF(AND($G266&lt;&gt;"",$M266="Completed"),IF(OR($Y266=ReportDate-1,$A266=ReportDate-1),1,0),0)</f>
        <v>0</v>
      </c>
      <c r="AW266" s="71">
        <f>IF(AND($AK266=1,$Z266="Yes"),1,0)</f>
        <v>0</v>
      </c>
      <c r="AX266" s="71">
        <f>IF(AND($AK266=1,$AA266="Yes"),1,0)</f>
        <v>0</v>
      </c>
      <c r="AY266" s="71">
        <f>IF(AND($AM266=1,OR($I266="Critical",$I266="High")),1,0)</f>
        <v>0</v>
      </c>
      <c r="AZ266" s="71">
        <f>IF(AND($AK266=1,OR($C266=TCL_Client,$C266=MECCA_Client)),1,0)</f>
        <v>0</v>
      </c>
      <c r="BA266" s="71" t="str">
        <f>IF($G266="","",IFERROR(MATCH($I266,lst_Priority,0),5))</f>
        <v/>
      </c>
      <c r="BB266" s="71" t="str">
        <f>IF(AND($AL266=1,$AJ266=1),$BA266*100000+ROW(),"")</f>
        <v/>
      </c>
      <c r="BC266" s="71" t="str">
        <f>IF(AND($AM266=1,$AJ266=1),$BA266*100000+ROW(),"")</f>
        <v/>
      </c>
      <c r="BD266" s="71" t="str">
        <f>IF(AND($AP266=1,$AJ266=1),$BA266*100000+ROW(),"")</f>
        <v/>
      </c>
      <c r="BE266" s="71" t="str">
        <f>IF(AND($AT266=1,$AJ266=1),$BA266*100000+ROW(),"")</f>
        <v/>
      </c>
      <c r="BF266" s="71" t="str">
        <f>IF(AND($AU266=1,$AJ266=1),$BA266*100000+ROW(),"")</f>
        <v/>
      </c>
      <c r="BG266" s="71" t="str">
        <f>IF(AND($AV266=1,$AJ266=1),$BA266*100000+ROW(),"")</f>
        <v/>
      </c>
      <c r="BH266" s="71" t="str">
        <f>IF(AND($AW266=1,$AJ266=1),$BA266*100000+ROW(),"")</f>
        <v/>
      </c>
      <c r="BI266" s="71" t="str">
        <f>IF(AND($AX266=1,$AJ266=1),$BA266*100000+ROW(),"")</f>
        <v/>
      </c>
      <c r="BJ266" s="71" t="str">
        <f>IF(AND($AS266=1,$AJ266=1),$BA266*100000+ROW(),"")</f>
        <v/>
      </c>
      <c r="BK266" s="71" t="str">
        <f>IF(AND($AY266=1,$AJ266=1),$BA266*100000+ROW(),"")</f>
        <v/>
      </c>
      <c r="BL266" s="71" t="str">
        <f>IF(AND($AZ266=1),$BA266*100000+ROW(),"")</f>
        <v/>
      </c>
    </row>
    <row r="267">
      <c r="A267" s="63" t="n"/>
      <c r="B267" s="64" t="n"/>
      <c r="C267" s="64" t="n"/>
      <c r="D267" s="64" t="n"/>
      <c r="E267" s="64" t="n"/>
      <c r="F267" s="64" t="n"/>
      <c r="G267" s="65" t="n"/>
      <c r="H267" s="65" t="n"/>
      <c r="I267" s="64" t="n"/>
      <c r="J267" s="64" t="n"/>
      <c r="K267" s="63" t="n"/>
      <c r="L267" s="63" t="n"/>
      <c r="M267" s="64" t="n"/>
      <c r="N267" s="66" t="n"/>
      <c r="O267" s="65" t="n"/>
      <c r="P267" s="64" t="n"/>
      <c r="Q267" s="67" t="n"/>
      <c r="R267" s="67" t="n"/>
      <c r="S267" s="68" t="str">
        <f>IF(AND(ISNUMBER($Q267),ISNUMBER($R267)),$Q267-$R267,"")</f>
        <v/>
      </c>
      <c r="T267" s="65" t="n"/>
      <c r="U267" s="64" t="n"/>
      <c r="V267" s="65" t="n"/>
      <c r="W267" s="63" t="n"/>
      <c r="X267" s="65" t="n"/>
      <c r="Y267" s="63" t="n"/>
      <c r="Z267" s="64" t="n"/>
      <c r="AA267" s="64" t="n"/>
      <c r="AB267" s="65" t="n"/>
      <c r="AC267" s="69" t="str">
        <f>IF(OR($G267="",NOT(ISNUMBER($K267)),$AK267=0),"",MAX(0,ReportDate-$K267))</f>
        <v/>
      </c>
      <c r="AD267" s="69" t="str">
        <f>IF($G267="","",IF($AL267=1,ReportDate-$L267,0))</f>
        <v/>
      </c>
      <c r="AE267" s="70" t="str">
        <f>IF($G267="","",IF($M267="Completed",1,IF(ISNUMBER($N267),$N267,0)))</f>
        <v/>
      </c>
      <c r="AF267" s="70" t="str">
        <f>IF(AND(ISNUMBER($Q267),ISNUMBER($R267)),IF($R267&lt;&gt;0,$Q267/$R267,""),"")</f>
        <v/>
      </c>
      <c r="AG267" s="71" t="str">
        <f>IF($G267="","",IF($AL267=1,"OVERDUE",IF($AM267=1,"BLOCKED",IF($AN267=1,"DUE TODAY",IF($AO267=1,"DUE TOMORROW",IF($AQ267=1,"HIGH PRIORITY",IF($AR267=1,"NO RECENT UPDATE",""))))))) </f>
        <v/>
      </c>
      <c r="AH267" s="71" t="str">
        <f>IF($G267="","",IF(ISNUMBER($A267),IF(ISNUMBER($A267),YEAR($A267)&amp;"-"&amp;TEXT(MONTH($A267),"00"),""),IF(ISNUMBER($L267),IF(ISNUMBER($L267),YEAR($L267)&amp;"-"&amp;TEXT(MONTH($L267),"00"),""),"")))</f>
        <v/>
      </c>
      <c r="AI267" s="71">
        <f>IF($G267="",0,IF(AND(OR(fClient="All",$C267=fClient),OR(fCampaign="All",$D267=fCampaign),OR(fTeam="All",$B267=fTeam),OR(fChannel="All",$F267=fChannel),OR(fMonth="All",$AH267=fMonth),OR(fTStatus="All",$M267=fTStatus)),1,0))</f>
        <v>0</v>
      </c>
      <c r="AJ267" s="71">
        <f>IF($G267="",0,IF(AND(OR(fClient="All",$C267=fClient),OR(fCampaign="All",$D267=fCampaign),OR(fTeam="All",$B267=fTeam),OR(fChannel="All",$F267=fChannel)),1,0))</f>
        <v>0</v>
      </c>
      <c r="AK267" s="71">
        <f>IF($G267="",0,IF(OR($M267="Completed",$M267="Cancelled"),0,1))</f>
        <v>0</v>
      </c>
      <c r="AL267" s="71">
        <f>IF(AND($AK267=1,ISNUMBER($L267)),IF($L267&lt;ReportDate,1,0),0)</f>
        <v>0</v>
      </c>
      <c r="AM267" s="71">
        <f>IF(AND($G267&lt;&gt;"",$M267="Blocked"),1,0)</f>
        <v>0</v>
      </c>
      <c r="AN267" s="71">
        <f>IF(AND($AK267=1,ISNUMBER($L267)),IF($L267=ReportDate,1,0),0)</f>
        <v>0</v>
      </c>
      <c r="AO267" s="71">
        <f>IF(AND($AK267=1,ISNUMBER($L267)),IF($L267=ReportDate+1,1,0),0)</f>
        <v>0</v>
      </c>
      <c r="AP267" s="71">
        <f>IF(AND($AK267=1,ISNUMBER($L267)),IF(AND($L267&gt;=ReportDate,$L267&lt;=ReportDate+DueSoonDays),1,0),0)</f>
        <v>0</v>
      </c>
      <c r="AQ267" s="71">
        <f>IF(AND($AK267=1,OR($I267="Critical",$I267="High")),1,0)</f>
        <v>0</v>
      </c>
      <c r="AR267" s="71">
        <f>IF($AK267=1,IF(ISNUMBER($Y267),IF(ReportDate-$Y267&gt;StaleDays,1,0),1),0)</f>
        <v>0</v>
      </c>
      <c r="AS267" s="71">
        <f>IF(AND($G267&lt;&gt;"",ISNUMBER($Q267),ISNUMBER($R267)),IF(AND($Q267&lt;$R267,OR($M267="Completed",AND(ISNUMBER($L267),$L267&lt;ReportDate))),1,0),0)</f>
        <v>0</v>
      </c>
      <c r="AT267" s="71">
        <f>IF($AK267=1,IF(OR($L267=ReportDate,$W267=ReportDate,$K267=ReportDate,$A267=ReportDate),1,0),0)</f>
        <v>0</v>
      </c>
      <c r="AU267" s="71">
        <f>IF($AK267=1,IF(OR($L267=ReportDate+1,$W267=ReportDate+1,$K267=ReportDate+1,$A267=ReportDate+1),1,0),0)</f>
        <v>0</v>
      </c>
      <c r="AV267" s="71">
        <f>IF(AND($G267&lt;&gt;"",$M267="Completed"),IF(OR($Y267=ReportDate-1,$A267=ReportDate-1),1,0),0)</f>
        <v>0</v>
      </c>
      <c r="AW267" s="71">
        <f>IF(AND($AK267=1,$Z267="Yes"),1,0)</f>
        <v>0</v>
      </c>
      <c r="AX267" s="71">
        <f>IF(AND($AK267=1,$AA267="Yes"),1,0)</f>
        <v>0</v>
      </c>
      <c r="AY267" s="71">
        <f>IF(AND($AM267=1,OR($I267="Critical",$I267="High")),1,0)</f>
        <v>0</v>
      </c>
      <c r="AZ267" s="71">
        <f>IF(AND($AK267=1,OR($C267=TCL_Client,$C267=MECCA_Client)),1,0)</f>
        <v>0</v>
      </c>
      <c r="BA267" s="71" t="str">
        <f>IF($G267="","",IFERROR(MATCH($I267,lst_Priority,0),5))</f>
        <v/>
      </c>
      <c r="BB267" s="71" t="str">
        <f>IF(AND($AL267=1,$AJ267=1),$BA267*100000+ROW(),"")</f>
        <v/>
      </c>
      <c r="BC267" s="71" t="str">
        <f>IF(AND($AM267=1,$AJ267=1),$BA267*100000+ROW(),"")</f>
        <v/>
      </c>
      <c r="BD267" s="71" t="str">
        <f>IF(AND($AP267=1,$AJ267=1),$BA267*100000+ROW(),"")</f>
        <v/>
      </c>
      <c r="BE267" s="71" t="str">
        <f>IF(AND($AT267=1,$AJ267=1),$BA267*100000+ROW(),"")</f>
        <v/>
      </c>
      <c r="BF267" s="71" t="str">
        <f>IF(AND($AU267=1,$AJ267=1),$BA267*100000+ROW(),"")</f>
        <v/>
      </c>
      <c r="BG267" s="71" t="str">
        <f>IF(AND($AV267=1,$AJ267=1),$BA267*100000+ROW(),"")</f>
        <v/>
      </c>
      <c r="BH267" s="71" t="str">
        <f>IF(AND($AW267=1,$AJ267=1),$BA267*100000+ROW(),"")</f>
        <v/>
      </c>
      <c r="BI267" s="71" t="str">
        <f>IF(AND($AX267=1,$AJ267=1),$BA267*100000+ROW(),"")</f>
        <v/>
      </c>
      <c r="BJ267" s="71" t="str">
        <f>IF(AND($AS267=1,$AJ267=1),$BA267*100000+ROW(),"")</f>
        <v/>
      </c>
      <c r="BK267" s="71" t="str">
        <f>IF(AND($AY267=1,$AJ267=1),$BA267*100000+ROW(),"")</f>
        <v/>
      </c>
      <c r="BL267" s="71" t="str">
        <f>IF(AND($AZ267=1),$BA267*100000+ROW(),"")</f>
        <v/>
      </c>
    </row>
    <row r="268">
      <c r="A268" s="63" t="n"/>
      <c r="B268" s="64" t="n"/>
      <c r="C268" s="64" t="n"/>
      <c r="D268" s="64" t="n"/>
      <c r="E268" s="64" t="n"/>
      <c r="F268" s="64" t="n"/>
      <c r="G268" s="65" t="n"/>
      <c r="H268" s="65" t="n"/>
      <c r="I268" s="64" t="n"/>
      <c r="J268" s="64" t="n"/>
      <c r="K268" s="63" t="n"/>
      <c r="L268" s="63" t="n"/>
      <c r="M268" s="64" t="n"/>
      <c r="N268" s="66" t="n"/>
      <c r="O268" s="65" t="n"/>
      <c r="P268" s="64" t="n"/>
      <c r="Q268" s="67" t="n"/>
      <c r="R268" s="67" t="n"/>
      <c r="S268" s="68" t="str">
        <f>IF(AND(ISNUMBER($Q268),ISNUMBER($R268)),$Q268-$R268,"")</f>
        <v/>
      </c>
      <c r="T268" s="65" t="n"/>
      <c r="U268" s="64" t="n"/>
      <c r="V268" s="65" t="n"/>
      <c r="W268" s="63" t="n"/>
      <c r="X268" s="65" t="n"/>
      <c r="Y268" s="63" t="n"/>
      <c r="Z268" s="64" t="n"/>
      <c r="AA268" s="64" t="n"/>
      <c r="AB268" s="65" t="n"/>
      <c r="AC268" s="69" t="str">
        <f>IF(OR($G268="",NOT(ISNUMBER($K268)),$AK268=0),"",MAX(0,ReportDate-$K268))</f>
        <v/>
      </c>
      <c r="AD268" s="69" t="str">
        <f>IF($G268="","",IF($AL268=1,ReportDate-$L268,0))</f>
        <v/>
      </c>
      <c r="AE268" s="70" t="str">
        <f>IF($G268="","",IF($M268="Completed",1,IF(ISNUMBER($N268),$N268,0)))</f>
        <v/>
      </c>
      <c r="AF268" s="70" t="str">
        <f>IF(AND(ISNUMBER($Q268),ISNUMBER($R268)),IF($R268&lt;&gt;0,$Q268/$R268,""),"")</f>
        <v/>
      </c>
      <c r="AG268" s="71" t="str">
        <f>IF($G268="","",IF($AL268=1,"OVERDUE",IF($AM268=1,"BLOCKED",IF($AN268=1,"DUE TODAY",IF($AO268=1,"DUE TOMORROW",IF($AQ268=1,"HIGH PRIORITY",IF($AR268=1,"NO RECENT UPDATE",""))))))) </f>
        <v/>
      </c>
      <c r="AH268" s="71" t="str">
        <f>IF($G268="","",IF(ISNUMBER($A268),IF(ISNUMBER($A268),YEAR($A268)&amp;"-"&amp;TEXT(MONTH($A268),"00"),""),IF(ISNUMBER($L268),IF(ISNUMBER($L268),YEAR($L268)&amp;"-"&amp;TEXT(MONTH($L268),"00"),""),"")))</f>
        <v/>
      </c>
      <c r="AI268" s="71">
        <f>IF($G268="",0,IF(AND(OR(fClient="All",$C268=fClient),OR(fCampaign="All",$D268=fCampaign),OR(fTeam="All",$B268=fTeam),OR(fChannel="All",$F268=fChannel),OR(fMonth="All",$AH268=fMonth),OR(fTStatus="All",$M268=fTStatus)),1,0))</f>
        <v>0</v>
      </c>
      <c r="AJ268" s="71">
        <f>IF($G268="",0,IF(AND(OR(fClient="All",$C268=fClient),OR(fCampaign="All",$D268=fCampaign),OR(fTeam="All",$B268=fTeam),OR(fChannel="All",$F268=fChannel)),1,0))</f>
        <v>0</v>
      </c>
      <c r="AK268" s="71">
        <f>IF($G268="",0,IF(OR($M268="Completed",$M268="Cancelled"),0,1))</f>
        <v>0</v>
      </c>
      <c r="AL268" s="71">
        <f>IF(AND($AK268=1,ISNUMBER($L268)),IF($L268&lt;ReportDate,1,0),0)</f>
        <v>0</v>
      </c>
      <c r="AM268" s="71">
        <f>IF(AND($G268&lt;&gt;"",$M268="Blocked"),1,0)</f>
        <v>0</v>
      </c>
      <c r="AN268" s="71">
        <f>IF(AND($AK268=1,ISNUMBER($L268)),IF($L268=ReportDate,1,0),0)</f>
        <v>0</v>
      </c>
      <c r="AO268" s="71">
        <f>IF(AND($AK268=1,ISNUMBER($L268)),IF($L268=ReportDate+1,1,0),0)</f>
        <v>0</v>
      </c>
      <c r="AP268" s="71">
        <f>IF(AND($AK268=1,ISNUMBER($L268)),IF(AND($L268&gt;=ReportDate,$L268&lt;=ReportDate+DueSoonDays),1,0),0)</f>
        <v>0</v>
      </c>
      <c r="AQ268" s="71">
        <f>IF(AND($AK268=1,OR($I268="Critical",$I268="High")),1,0)</f>
        <v>0</v>
      </c>
      <c r="AR268" s="71">
        <f>IF($AK268=1,IF(ISNUMBER($Y268),IF(ReportDate-$Y268&gt;StaleDays,1,0),1),0)</f>
        <v>0</v>
      </c>
      <c r="AS268" s="71">
        <f>IF(AND($G268&lt;&gt;"",ISNUMBER($Q268),ISNUMBER($R268)),IF(AND($Q268&lt;$R268,OR($M268="Completed",AND(ISNUMBER($L268),$L268&lt;ReportDate))),1,0),0)</f>
        <v>0</v>
      </c>
      <c r="AT268" s="71">
        <f>IF($AK268=1,IF(OR($L268=ReportDate,$W268=ReportDate,$K268=ReportDate,$A268=ReportDate),1,0),0)</f>
        <v>0</v>
      </c>
      <c r="AU268" s="71">
        <f>IF($AK268=1,IF(OR($L268=ReportDate+1,$W268=ReportDate+1,$K268=ReportDate+1,$A268=ReportDate+1),1,0),0)</f>
        <v>0</v>
      </c>
      <c r="AV268" s="71">
        <f>IF(AND($G268&lt;&gt;"",$M268="Completed"),IF(OR($Y268=ReportDate-1,$A268=ReportDate-1),1,0),0)</f>
        <v>0</v>
      </c>
      <c r="AW268" s="71">
        <f>IF(AND($AK268=1,$Z268="Yes"),1,0)</f>
        <v>0</v>
      </c>
      <c r="AX268" s="71">
        <f>IF(AND($AK268=1,$AA268="Yes"),1,0)</f>
        <v>0</v>
      </c>
      <c r="AY268" s="71">
        <f>IF(AND($AM268=1,OR($I268="Critical",$I268="High")),1,0)</f>
        <v>0</v>
      </c>
      <c r="AZ268" s="71">
        <f>IF(AND($AK268=1,OR($C268=TCL_Client,$C268=MECCA_Client)),1,0)</f>
        <v>0</v>
      </c>
      <c r="BA268" s="71" t="str">
        <f>IF($G268="","",IFERROR(MATCH($I268,lst_Priority,0),5))</f>
        <v/>
      </c>
      <c r="BB268" s="71" t="str">
        <f>IF(AND($AL268=1,$AJ268=1),$BA268*100000+ROW(),"")</f>
        <v/>
      </c>
      <c r="BC268" s="71" t="str">
        <f>IF(AND($AM268=1,$AJ268=1),$BA268*100000+ROW(),"")</f>
        <v/>
      </c>
      <c r="BD268" s="71" t="str">
        <f>IF(AND($AP268=1,$AJ268=1),$BA268*100000+ROW(),"")</f>
        <v/>
      </c>
      <c r="BE268" s="71" t="str">
        <f>IF(AND($AT268=1,$AJ268=1),$BA268*100000+ROW(),"")</f>
        <v/>
      </c>
      <c r="BF268" s="71" t="str">
        <f>IF(AND($AU268=1,$AJ268=1),$BA268*100000+ROW(),"")</f>
        <v/>
      </c>
      <c r="BG268" s="71" t="str">
        <f>IF(AND($AV268=1,$AJ268=1),$BA268*100000+ROW(),"")</f>
        <v/>
      </c>
      <c r="BH268" s="71" t="str">
        <f>IF(AND($AW268=1,$AJ268=1),$BA268*100000+ROW(),"")</f>
        <v/>
      </c>
      <c r="BI268" s="71" t="str">
        <f>IF(AND($AX268=1,$AJ268=1),$BA268*100000+ROW(),"")</f>
        <v/>
      </c>
      <c r="BJ268" s="71" t="str">
        <f>IF(AND($AS268=1,$AJ268=1),$BA268*100000+ROW(),"")</f>
        <v/>
      </c>
      <c r="BK268" s="71" t="str">
        <f>IF(AND($AY268=1,$AJ268=1),$BA268*100000+ROW(),"")</f>
        <v/>
      </c>
      <c r="BL268" s="71" t="str">
        <f>IF(AND($AZ268=1),$BA268*100000+ROW(),"")</f>
        <v/>
      </c>
    </row>
    <row r="269">
      <c r="A269" s="63" t="n"/>
      <c r="B269" s="64" t="n"/>
      <c r="C269" s="64" t="n"/>
      <c r="D269" s="64" t="n"/>
      <c r="E269" s="64" t="n"/>
      <c r="F269" s="64" t="n"/>
      <c r="G269" s="65" t="n"/>
      <c r="H269" s="65" t="n"/>
      <c r="I269" s="64" t="n"/>
      <c r="J269" s="64" t="n"/>
      <c r="K269" s="63" t="n"/>
      <c r="L269" s="63" t="n"/>
      <c r="M269" s="64" t="n"/>
      <c r="N269" s="66" t="n"/>
      <c r="O269" s="65" t="n"/>
      <c r="P269" s="64" t="n"/>
      <c r="Q269" s="67" t="n"/>
      <c r="R269" s="67" t="n"/>
      <c r="S269" s="68" t="str">
        <f>IF(AND(ISNUMBER($Q269),ISNUMBER($R269)),$Q269-$R269,"")</f>
        <v/>
      </c>
      <c r="T269" s="65" t="n"/>
      <c r="U269" s="64" t="n"/>
      <c r="V269" s="65" t="n"/>
      <c r="W269" s="63" t="n"/>
      <c r="X269" s="65" t="n"/>
      <c r="Y269" s="63" t="n"/>
      <c r="Z269" s="64" t="n"/>
      <c r="AA269" s="64" t="n"/>
      <c r="AB269" s="65" t="n"/>
      <c r="AC269" s="69" t="str">
        <f>IF(OR($G269="",NOT(ISNUMBER($K269)),$AK269=0),"",MAX(0,ReportDate-$K269))</f>
        <v/>
      </c>
      <c r="AD269" s="69" t="str">
        <f>IF($G269="","",IF($AL269=1,ReportDate-$L269,0))</f>
        <v/>
      </c>
      <c r="AE269" s="70" t="str">
        <f>IF($G269="","",IF($M269="Completed",1,IF(ISNUMBER($N269),$N269,0)))</f>
        <v/>
      </c>
      <c r="AF269" s="70" t="str">
        <f>IF(AND(ISNUMBER($Q269),ISNUMBER($R269)),IF($R269&lt;&gt;0,$Q269/$R269,""),"")</f>
        <v/>
      </c>
      <c r="AG269" s="71" t="str">
        <f>IF($G269="","",IF($AL269=1,"OVERDUE",IF($AM269=1,"BLOCKED",IF($AN269=1,"DUE TODAY",IF($AO269=1,"DUE TOMORROW",IF($AQ269=1,"HIGH PRIORITY",IF($AR269=1,"NO RECENT UPDATE",""))))))) </f>
        <v/>
      </c>
      <c r="AH269" s="71" t="str">
        <f>IF($G269="","",IF(ISNUMBER($A269),IF(ISNUMBER($A269),YEAR($A269)&amp;"-"&amp;TEXT(MONTH($A269),"00"),""),IF(ISNUMBER($L269),IF(ISNUMBER($L269),YEAR($L269)&amp;"-"&amp;TEXT(MONTH($L269),"00"),""),"")))</f>
        <v/>
      </c>
      <c r="AI269" s="71">
        <f>IF($G269="",0,IF(AND(OR(fClient="All",$C269=fClient),OR(fCampaign="All",$D269=fCampaign),OR(fTeam="All",$B269=fTeam),OR(fChannel="All",$F269=fChannel),OR(fMonth="All",$AH269=fMonth),OR(fTStatus="All",$M269=fTStatus)),1,0))</f>
        <v>0</v>
      </c>
      <c r="AJ269" s="71">
        <f>IF($G269="",0,IF(AND(OR(fClient="All",$C269=fClient),OR(fCampaign="All",$D269=fCampaign),OR(fTeam="All",$B269=fTeam),OR(fChannel="All",$F269=fChannel)),1,0))</f>
        <v>0</v>
      </c>
      <c r="AK269" s="71">
        <f>IF($G269="",0,IF(OR($M269="Completed",$M269="Cancelled"),0,1))</f>
        <v>0</v>
      </c>
      <c r="AL269" s="71">
        <f>IF(AND($AK269=1,ISNUMBER($L269)),IF($L269&lt;ReportDate,1,0),0)</f>
        <v>0</v>
      </c>
      <c r="AM269" s="71">
        <f>IF(AND($G269&lt;&gt;"",$M269="Blocked"),1,0)</f>
        <v>0</v>
      </c>
      <c r="AN269" s="71">
        <f>IF(AND($AK269=1,ISNUMBER($L269)),IF($L269=ReportDate,1,0),0)</f>
        <v>0</v>
      </c>
      <c r="AO269" s="71">
        <f>IF(AND($AK269=1,ISNUMBER($L269)),IF($L269=ReportDate+1,1,0),0)</f>
        <v>0</v>
      </c>
      <c r="AP269" s="71">
        <f>IF(AND($AK269=1,ISNUMBER($L269)),IF(AND($L269&gt;=ReportDate,$L269&lt;=ReportDate+DueSoonDays),1,0),0)</f>
        <v>0</v>
      </c>
      <c r="AQ269" s="71">
        <f>IF(AND($AK269=1,OR($I269="Critical",$I269="High")),1,0)</f>
        <v>0</v>
      </c>
      <c r="AR269" s="71">
        <f>IF($AK269=1,IF(ISNUMBER($Y269),IF(ReportDate-$Y269&gt;StaleDays,1,0),1),0)</f>
        <v>0</v>
      </c>
      <c r="AS269" s="71">
        <f>IF(AND($G269&lt;&gt;"",ISNUMBER($Q269),ISNUMBER($R269)),IF(AND($Q269&lt;$R269,OR($M269="Completed",AND(ISNUMBER($L269),$L269&lt;ReportDate))),1,0),0)</f>
        <v>0</v>
      </c>
      <c r="AT269" s="71">
        <f>IF($AK269=1,IF(OR($L269=ReportDate,$W269=ReportDate,$K269=ReportDate,$A269=ReportDate),1,0),0)</f>
        <v>0</v>
      </c>
      <c r="AU269" s="71">
        <f>IF($AK269=1,IF(OR($L269=ReportDate+1,$W269=ReportDate+1,$K269=ReportDate+1,$A269=ReportDate+1),1,0),0)</f>
        <v>0</v>
      </c>
      <c r="AV269" s="71">
        <f>IF(AND($G269&lt;&gt;"",$M269="Completed"),IF(OR($Y269=ReportDate-1,$A269=ReportDate-1),1,0),0)</f>
        <v>0</v>
      </c>
      <c r="AW269" s="71">
        <f>IF(AND($AK269=1,$Z269="Yes"),1,0)</f>
        <v>0</v>
      </c>
      <c r="AX269" s="71">
        <f>IF(AND($AK269=1,$AA269="Yes"),1,0)</f>
        <v>0</v>
      </c>
      <c r="AY269" s="71">
        <f>IF(AND($AM269=1,OR($I269="Critical",$I269="High")),1,0)</f>
        <v>0</v>
      </c>
      <c r="AZ269" s="71">
        <f>IF(AND($AK269=1,OR($C269=TCL_Client,$C269=MECCA_Client)),1,0)</f>
        <v>0</v>
      </c>
      <c r="BA269" s="71" t="str">
        <f>IF($G269="","",IFERROR(MATCH($I269,lst_Priority,0),5))</f>
        <v/>
      </c>
      <c r="BB269" s="71" t="str">
        <f>IF(AND($AL269=1,$AJ269=1),$BA269*100000+ROW(),"")</f>
        <v/>
      </c>
      <c r="BC269" s="71" t="str">
        <f>IF(AND($AM269=1,$AJ269=1),$BA269*100000+ROW(),"")</f>
        <v/>
      </c>
      <c r="BD269" s="71" t="str">
        <f>IF(AND($AP269=1,$AJ269=1),$BA269*100000+ROW(),"")</f>
        <v/>
      </c>
      <c r="BE269" s="71" t="str">
        <f>IF(AND($AT269=1,$AJ269=1),$BA269*100000+ROW(),"")</f>
        <v/>
      </c>
      <c r="BF269" s="71" t="str">
        <f>IF(AND($AU269=1,$AJ269=1),$BA269*100000+ROW(),"")</f>
        <v/>
      </c>
      <c r="BG269" s="71" t="str">
        <f>IF(AND($AV269=1,$AJ269=1),$BA269*100000+ROW(),"")</f>
        <v/>
      </c>
      <c r="BH269" s="71" t="str">
        <f>IF(AND($AW269=1,$AJ269=1),$BA269*100000+ROW(),"")</f>
        <v/>
      </c>
      <c r="BI269" s="71" t="str">
        <f>IF(AND($AX269=1,$AJ269=1),$BA269*100000+ROW(),"")</f>
        <v/>
      </c>
      <c r="BJ269" s="71" t="str">
        <f>IF(AND($AS269=1,$AJ269=1),$BA269*100000+ROW(),"")</f>
        <v/>
      </c>
      <c r="BK269" s="71" t="str">
        <f>IF(AND($AY269=1,$AJ269=1),$BA269*100000+ROW(),"")</f>
        <v/>
      </c>
      <c r="BL269" s="71" t="str">
        <f>IF(AND($AZ269=1),$BA269*100000+ROW(),"")</f>
        <v/>
      </c>
    </row>
    <row r="270">
      <c r="A270" s="63" t="n"/>
      <c r="B270" s="64" t="n"/>
      <c r="C270" s="64" t="n"/>
      <c r="D270" s="64" t="n"/>
      <c r="E270" s="64" t="n"/>
      <c r="F270" s="64" t="n"/>
      <c r="G270" s="65" t="n"/>
      <c r="H270" s="65" t="n"/>
      <c r="I270" s="64" t="n"/>
      <c r="J270" s="64" t="n"/>
      <c r="K270" s="63" t="n"/>
      <c r="L270" s="63" t="n"/>
      <c r="M270" s="64" t="n"/>
      <c r="N270" s="66" t="n"/>
      <c r="O270" s="65" t="n"/>
      <c r="P270" s="64" t="n"/>
      <c r="Q270" s="67" t="n"/>
      <c r="R270" s="67" t="n"/>
      <c r="S270" s="68" t="str">
        <f>IF(AND(ISNUMBER($Q270),ISNUMBER($R270)),$Q270-$R270,"")</f>
        <v/>
      </c>
      <c r="T270" s="65" t="n"/>
      <c r="U270" s="64" t="n"/>
      <c r="V270" s="65" t="n"/>
      <c r="W270" s="63" t="n"/>
      <c r="X270" s="65" t="n"/>
      <c r="Y270" s="63" t="n"/>
      <c r="Z270" s="64" t="n"/>
      <c r="AA270" s="64" t="n"/>
      <c r="AB270" s="65" t="n"/>
      <c r="AC270" s="69" t="str">
        <f>IF(OR($G270="",NOT(ISNUMBER($K270)),$AK270=0),"",MAX(0,ReportDate-$K270))</f>
        <v/>
      </c>
      <c r="AD270" s="69" t="str">
        <f>IF($G270="","",IF($AL270=1,ReportDate-$L270,0))</f>
        <v/>
      </c>
      <c r="AE270" s="70" t="str">
        <f>IF($G270="","",IF($M270="Completed",1,IF(ISNUMBER($N270),$N270,0)))</f>
        <v/>
      </c>
      <c r="AF270" s="70" t="str">
        <f>IF(AND(ISNUMBER($Q270),ISNUMBER($R270)),IF($R270&lt;&gt;0,$Q270/$R270,""),"")</f>
        <v/>
      </c>
      <c r="AG270" s="71" t="str">
        <f>IF($G270="","",IF($AL270=1,"OVERDUE",IF($AM270=1,"BLOCKED",IF($AN270=1,"DUE TODAY",IF($AO270=1,"DUE TOMORROW",IF($AQ270=1,"HIGH PRIORITY",IF($AR270=1,"NO RECENT UPDATE",""))))))) </f>
        <v/>
      </c>
      <c r="AH270" s="71" t="str">
        <f>IF($G270="","",IF(ISNUMBER($A270),IF(ISNUMBER($A270),YEAR($A270)&amp;"-"&amp;TEXT(MONTH($A270),"00"),""),IF(ISNUMBER($L270),IF(ISNUMBER($L270),YEAR($L270)&amp;"-"&amp;TEXT(MONTH($L270),"00"),""),"")))</f>
        <v/>
      </c>
      <c r="AI270" s="71">
        <f>IF($G270="",0,IF(AND(OR(fClient="All",$C270=fClient),OR(fCampaign="All",$D270=fCampaign),OR(fTeam="All",$B270=fTeam),OR(fChannel="All",$F270=fChannel),OR(fMonth="All",$AH270=fMonth),OR(fTStatus="All",$M270=fTStatus)),1,0))</f>
        <v>0</v>
      </c>
      <c r="AJ270" s="71">
        <f>IF($G270="",0,IF(AND(OR(fClient="All",$C270=fClient),OR(fCampaign="All",$D270=fCampaign),OR(fTeam="All",$B270=fTeam),OR(fChannel="All",$F270=fChannel)),1,0))</f>
        <v>0</v>
      </c>
      <c r="AK270" s="71">
        <f>IF($G270="",0,IF(OR($M270="Completed",$M270="Cancelled"),0,1))</f>
        <v>0</v>
      </c>
      <c r="AL270" s="71">
        <f>IF(AND($AK270=1,ISNUMBER($L270)),IF($L270&lt;ReportDate,1,0),0)</f>
        <v>0</v>
      </c>
      <c r="AM270" s="71">
        <f>IF(AND($G270&lt;&gt;"",$M270="Blocked"),1,0)</f>
        <v>0</v>
      </c>
      <c r="AN270" s="71">
        <f>IF(AND($AK270=1,ISNUMBER($L270)),IF($L270=ReportDate,1,0),0)</f>
        <v>0</v>
      </c>
      <c r="AO270" s="71">
        <f>IF(AND($AK270=1,ISNUMBER($L270)),IF($L270=ReportDate+1,1,0),0)</f>
        <v>0</v>
      </c>
      <c r="AP270" s="71">
        <f>IF(AND($AK270=1,ISNUMBER($L270)),IF(AND($L270&gt;=ReportDate,$L270&lt;=ReportDate+DueSoonDays),1,0),0)</f>
        <v>0</v>
      </c>
      <c r="AQ270" s="71">
        <f>IF(AND($AK270=1,OR($I270="Critical",$I270="High")),1,0)</f>
        <v>0</v>
      </c>
      <c r="AR270" s="71">
        <f>IF($AK270=1,IF(ISNUMBER($Y270),IF(ReportDate-$Y270&gt;StaleDays,1,0),1),0)</f>
        <v>0</v>
      </c>
      <c r="AS270" s="71">
        <f>IF(AND($G270&lt;&gt;"",ISNUMBER($Q270),ISNUMBER($R270)),IF(AND($Q270&lt;$R270,OR($M270="Completed",AND(ISNUMBER($L270),$L270&lt;ReportDate))),1,0),0)</f>
        <v>0</v>
      </c>
      <c r="AT270" s="71">
        <f>IF($AK270=1,IF(OR($L270=ReportDate,$W270=ReportDate,$K270=ReportDate,$A270=ReportDate),1,0),0)</f>
        <v>0</v>
      </c>
      <c r="AU270" s="71">
        <f>IF($AK270=1,IF(OR($L270=ReportDate+1,$W270=ReportDate+1,$K270=ReportDate+1,$A270=ReportDate+1),1,0),0)</f>
        <v>0</v>
      </c>
      <c r="AV270" s="71">
        <f>IF(AND($G270&lt;&gt;"",$M270="Completed"),IF(OR($Y270=ReportDate-1,$A270=ReportDate-1),1,0),0)</f>
        <v>0</v>
      </c>
      <c r="AW270" s="71">
        <f>IF(AND($AK270=1,$Z270="Yes"),1,0)</f>
        <v>0</v>
      </c>
      <c r="AX270" s="71">
        <f>IF(AND($AK270=1,$AA270="Yes"),1,0)</f>
        <v>0</v>
      </c>
      <c r="AY270" s="71">
        <f>IF(AND($AM270=1,OR($I270="Critical",$I270="High")),1,0)</f>
        <v>0</v>
      </c>
      <c r="AZ270" s="71">
        <f>IF(AND($AK270=1,OR($C270=TCL_Client,$C270=MECCA_Client)),1,0)</f>
        <v>0</v>
      </c>
      <c r="BA270" s="71" t="str">
        <f>IF($G270="","",IFERROR(MATCH($I270,lst_Priority,0),5))</f>
        <v/>
      </c>
      <c r="BB270" s="71" t="str">
        <f>IF(AND($AL270=1,$AJ270=1),$BA270*100000+ROW(),"")</f>
        <v/>
      </c>
      <c r="BC270" s="71" t="str">
        <f>IF(AND($AM270=1,$AJ270=1),$BA270*100000+ROW(),"")</f>
        <v/>
      </c>
      <c r="BD270" s="71" t="str">
        <f>IF(AND($AP270=1,$AJ270=1),$BA270*100000+ROW(),"")</f>
        <v/>
      </c>
      <c r="BE270" s="71" t="str">
        <f>IF(AND($AT270=1,$AJ270=1),$BA270*100000+ROW(),"")</f>
        <v/>
      </c>
      <c r="BF270" s="71" t="str">
        <f>IF(AND($AU270=1,$AJ270=1),$BA270*100000+ROW(),"")</f>
        <v/>
      </c>
      <c r="BG270" s="71" t="str">
        <f>IF(AND($AV270=1,$AJ270=1),$BA270*100000+ROW(),"")</f>
        <v/>
      </c>
      <c r="BH270" s="71" t="str">
        <f>IF(AND($AW270=1,$AJ270=1),$BA270*100000+ROW(),"")</f>
        <v/>
      </c>
      <c r="BI270" s="71" t="str">
        <f>IF(AND($AX270=1,$AJ270=1),$BA270*100000+ROW(),"")</f>
        <v/>
      </c>
      <c r="BJ270" s="71" t="str">
        <f>IF(AND($AS270=1,$AJ270=1),$BA270*100000+ROW(),"")</f>
        <v/>
      </c>
      <c r="BK270" s="71" t="str">
        <f>IF(AND($AY270=1,$AJ270=1),$BA270*100000+ROW(),"")</f>
        <v/>
      </c>
      <c r="BL270" s="71" t="str">
        <f>IF(AND($AZ270=1),$BA270*100000+ROW(),"")</f>
        <v/>
      </c>
    </row>
    <row r="271">
      <c r="A271" s="63" t="n"/>
      <c r="B271" s="64" t="n"/>
      <c r="C271" s="64" t="n"/>
      <c r="D271" s="64" t="n"/>
      <c r="E271" s="64" t="n"/>
      <c r="F271" s="64" t="n"/>
      <c r="G271" s="65" t="n"/>
      <c r="H271" s="65" t="n"/>
      <c r="I271" s="64" t="n"/>
      <c r="J271" s="64" t="n"/>
      <c r="K271" s="63" t="n"/>
      <c r="L271" s="63" t="n"/>
      <c r="M271" s="64" t="n"/>
      <c r="N271" s="66" t="n"/>
      <c r="O271" s="65" t="n"/>
      <c r="P271" s="64" t="n"/>
      <c r="Q271" s="67" t="n"/>
      <c r="R271" s="67" t="n"/>
      <c r="S271" s="68" t="str">
        <f>IF(AND(ISNUMBER($Q271),ISNUMBER($R271)),$Q271-$R271,"")</f>
        <v/>
      </c>
      <c r="T271" s="65" t="n"/>
      <c r="U271" s="64" t="n"/>
      <c r="V271" s="65" t="n"/>
      <c r="W271" s="63" t="n"/>
      <c r="X271" s="65" t="n"/>
      <c r="Y271" s="63" t="n"/>
      <c r="Z271" s="64" t="n"/>
      <c r="AA271" s="64" t="n"/>
      <c r="AB271" s="65" t="n"/>
      <c r="AC271" s="69" t="str">
        <f>IF(OR($G271="",NOT(ISNUMBER($K271)),$AK271=0),"",MAX(0,ReportDate-$K271))</f>
        <v/>
      </c>
      <c r="AD271" s="69" t="str">
        <f>IF($G271="","",IF($AL271=1,ReportDate-$L271,0))</f>
        <v/>
      </c>
      <c r="AE271" s="70" t="str">
        <f>IF($G271="","",IF($M271="Completed",1,IF(ISNUMBER($N271),$N271,0)))</f>
        <v/>
      </c>
      <c r="AF271" s="70" t="str">
        <f>IF(AND(ISNUMBER($Q271),ISNUMBER($R271)),IF($R271&lt;&gt;0,$Q271/$R271,""),"")</f>
        <v/>
      </c>
      <c r="AG271" s="71" t="str">
        <f>IF($G271="","",IF($AL271=1,"OVERDUE",IF($AM271=1,"BLOCKED",IF($AN271=1,"DUE TODAY",IF($AO271=1,"DUE TOMORROW",IF($AQ271=1,"HIGH PRIORITY",IF($AR271=1,"NO RECENT UPDATE",""))))))) </f>
        <v/>
      </c>
      <c r="AH271" s="71" t="str">
        <f>IF($G271="","",IF(ISNUMBER($A271),IF(ISNUMBER($A271),YEAR($A271)&amp;"-"&amp;TEXT(MONTH($A271),"00"),""),IF(ISNUMBER($L271),IF(ISNUMBER($L271),YEAR($L271)&amp;"-"&amp;TEXT(MONTH($L271),"00"),""),"")))</f>
        <v/>
      </c>
      <c r="AI271" s="71">
        <f>IF($G271="",0,IF(AND(OR(fClient="All",$C271=fClient),OR(fCampaign="All",$D271=fCampaign),OR(fTeam="All",$B271=fTeam),OR(fChannel="All",$F271=fChannel),OR(fMonth="All",$AH271=fMonth),OR(fTStatus="All",$M271=fTStatus)),1,0))</f>
        <v>0</v>
      </c>
      <c r="AJ271" s="71">
        <f>IF($G271="",0,IF(AND(OR(fClient="All",$C271=fClient),OR(fCampaign="All",$D271=fCampaign),OR(fTeam="All",$B271=fTeam),OR(fChannel="All",$F271=fChannel)),1,0))</f>
        <v>0</v>
      </c>
      <c r="AK271" s="71">
        <f>IF($G271="",0,IF(OR($M271="Completed",$M271="Cancelled"),0,1))</f>
        <v>0</v>
      </c>
      <c r="AL271" s="71">
        <f>IF(AND($AK271=1,ISNUMBER($L271)),IF($L271&lt;ReportDate,1,0),0)</f>
        <v>0</v>
      </c>
      <c r="AM271" s="71">
        <f>IF(AND($G271&lt;&gt;"",$M271="Blocked"),1,0)</f>
        <v>0</v>
      </c>
      <c r="AN271" s="71">
        <f>IF(AND($AK271=1,ISNUMBER($L271)),IF($L271=ReportDate,1,0),0)</f>
        <v>0</v>
      </c>
      <c r="AO271" s="71">
        <f>IF(AND($AK271=1,ISNUMBER($L271)),IF($L271=ReportDate+1,1,0),0)</f>
        <v>0</v>
      </c>
      <c r="AP271" s="71">
        <f>IF(AND($AK271=1,ISNUMBER($L271)),IF(AND($L271&gt;=ReportDate,$L271&lt;=ReportDate+DueSoonDays),1,0),0)</f>
        <v>0</v>
      </c>
      <c r="AQ271" s="71">
        <f>IF(AND($AK271=1,OR($I271="Critical",$I271="High")),1,0)</f>
        <v>0</v>
      </c>
      <c r="AR271" s="71">
        <f>IF($AK271=1,IF(ISNUMBER($Y271),IF(ReportDate-$Y271&gt;StaleDays,1,0),1),0)</f>
        <v>0</v>
      </c>
      <c r="AS271" s="71">
        <f>IF(AND($G271&lt;&gt;"",ISNUMBER($Q271),ISNUMBER($R271)),IF(AND($Q271&lt;$R271,OR($M271="Completed",AND(ISNUMBER($L271),$L271&lt;ReportDate))),1,0),0)</f>
        <v>0</v>
      </c>
      <c r="AT271" s="71">
        <f>IF($AK271=1,IF(OR($L271=ReportDate,$W271=ReportDate,$K271=ReportDate,$A271=ReportDate),1,0),0)</f>
        <v>0</v>
      </c>
      <c r="AU271" s="71">
        <f>IF($AK271=1,IF(OR($L271=ReportDate+1,$W271=ReportDate+1,$K271=ReportDate+1,$A271=ReportDate+1),1,0),0)</f>
        <v>0</v>
      </c>
      <c r="AV271" s="71">
        <f>IF(AND($G271&lt;&gt;"",$M271="Completed"),IF(OR($Y271=ReportDate-1,$A271=ReportDate-1),1,0),0)</f>
        <v>0</v>
      </c>
      <c r="AW271" s="71">
        <f>IF(AND($AK271=1,$Z271="Yes"),1,0)</f>
        <v>0</v>
      </c>
      <c r="AX271" s="71">
        <f>IF(AND($AK271=1,$AA271="Yes"),1,0)</f>
        <v>0</v>
      </c>
      <c r="AY271" s="71">
        <f>IF(AND($AM271=1,OR($I271="Critical",$I271="High")),1,0)</f>
        <v>0</v>
      </c>
      <c r="AZ271" s="71">
        <f>IF(AND($AK271=1,OR($C271=TCL_Client,$C271=MECCA_Client)),1,0)</f>
        <v>0</v>
      </c>
      <c r="BA271" s="71" t="str">
        <f>IF($G271="","",IFERROR(MATCH($I271,lst_Priority,0),5))</f>
        <v/>
      </c>
      <c r="BB271" s="71" t="str">
        <f>IF(AND($AL271=1,$AJ271=1),$BA271*100000+ROW(),"")</f>
        <v/>
      </c>
      <c r="BC271" s="71" t="str">
        <f>IF(AND($AM271=1,$AJ271=1),$BA271*100000+ROW(),"")</f>
        <v/>
      </c>
      <c r="BD271" s="71" t="str">
        <f>IF(AND($AP271=1,$AJ271=1),$BA271*100000+ROW(),"")</f>
        <v/>
      </c>
      <c r="BE271" s="71" t="str">
        <f>IF(AND($AT271=1,$AJ271=1),$BA271*100000+ROW(),"")</f>
        <v/>
      </c>
      <c r="BF271" s="71" t="str">
        <f>IF(AND($AU271=1,$AJ271=1),$BA271*100000+ROW(),"")</f>
        <v/>
      </c>
      <c r="BG271" s="71" t="str">
        <f>IF(AND($AV271=1,$AJ271=1),$BA271*100000+ROW(),"")</f>
        <v/>
      </c>
      <c r="BH271" s="71" t="str">
        <f>IF(AND($AW271=1,$AJ271=1),$BA271*100000+ROW(),"")</f>
        <v/>
      </c>
      <c r="BI271" s="71" t="str">
        <f>IF(AND($AX271=1,$AJ271=1),$BA271*100000+ROW(),"")</f>
        <v/>
      </c>
      <c r="BJ271" s="71" t="str">
        <f>IF(AND($AS271=1,$AJ271=1),$BA271*100000+ROW(),"")</f>
        <v/>
      </c>
      <c r="BK271" s="71" t="str">
        <f>IF(AND($AY271=1,$AJ271=1),$BA271*100000+ROW(),"")</f>
        <v/>
      </c>
      <c r="BL271" s="71" t="str">
        <f>IF(AND($AZ271=1),$BA271*100000+ROW(),"")</f>
        <v/>
      </c>
    </row>
    <row r="272">
      <c r="A272" s="63" t="n"/>
      <c r="B272" s="64" t="n"/>
      <c r="C272" s="64" t="n"/>
      <c r="D272" s="64" t="n"/>
      <c r="E272" s="64" t="n"/>
      <c r="F272" s="64" t="n"/>
      <c r="G272" s="65" t="n"/>
      <c r="H272" s="65" t="n"/>
      <c r="I272" s="64" t="n"/>
      <c r="J272" s="64" t="n"/>
      <c r="K272" s="63" t="n"/>
      <c r="L272" s="63" t="n"/>
      <c r="M272" s="64" t="n"/>
      <c r="N272" s="66" t="n"/>
      <c r="O272" s="65" t="n"/>
      <c r="P272" s="64" t="n"/>
      <c r="Q272" s="67" t="n"/>
      <c r="R272" s="67" t="n"/>
      <c r="S272" s="68" t="str">
        <f>IF(AND(ISNUMBER($Q272),ISNUMBER($R272)),$Q272-$R272,"")</f>
        <v/>
      </c>
      <c r="T272" s="65" t="n"/>
      <c r="U272" s="64" t="n"/>
      <c r="V272" s="65" t="n"/>
      <c r="W272" s="63" t="n"/>
      <c r="X272" s="65" t="n"/>
      <c r="Y272" s="63" t="n"/>
      <c r="Z272" s="64" t="n"/>
      <c r="AA272" s="64" t="n"/>
      <c r="AB272" s="65" t="n"/>
      <c r="AC272" s="69" t="str">
        <f>IF(OR($G272="",NOT(ISNUMBER($K272)),$AK272=0),"",MAX(0,ReportDate-$K272))</f>
        <v/>
      </c>
      <c r="AD272" s="69" t="str">
        <f>IF($G272="","",IF($AL272=1,ReportDate-$L272,0))</f>
        <v/>
      </c>
      <c r="AE272" s="70" t="str">
        <f>IF($G272="","",IF($M272="Completed",1,IF(ISNUMBER($N272),$N272,0)))</f>
        <v/>
      </c>
      <c r="AF272" s="70" t="str">
        <f>IF(AND(ISNUMBER($Q272),ISNUMBER($R272)),IF($R272&lt;&gt;0,$Q272/$R272,""),"")</f>
        <v/>
      </c>
      <c r="AG272" s="71" t="str">
        <f>IF($G272="","",IF($AL272=1,"OVERDUE",IF($AM272=1,"BLOCKED",IF($AN272=1,"DUE TODAY",IF($AO272=1,"DUE TOMORROW",IF($AQ272=1,"HIGH PRIORITY",IF($AR272=1,"NO RECENT UPDATE",""))))))) </f>
        <v/>
      </c>
      <c r="AH272" s="71" t="str">
        <f>IF($G272="","",IF(ISNUMBER($A272),IF(ISNUMBER($A272),YEAR($A272)&amp;"-"&amp;TEXT(MONTH($A272),"00"),""),IF(ISNUMBER($L272),IF(ISNUMBER($L272),YEAR($L272)&amp;"-"&amp;TEXT(MONTH($L272),"00"),""),"")))</f>
        <v/>
      </c>
      <c r="AI272" s="71">
        <f>IF($G272="",0,IF(AND(OR(fClient="All",$C272=fClient),OR(fCampaign="All",$D272=fCampaign),OR(fTeam="All",$B272=fTeam),OR(fChannel="All",$F272=fChannel),OR(fMonth="All",$AH272=fMonth),OR(fTStatus="All",$M272=fTStatus)),1,0))</f>
        <v>0</v>
      </c>
      <c r="AJ272" s="71">
        <f>IF($G272="",0,IF(AND(OR(fClient="All",$C272=fClient),OR(fCampaign="All",$D272=fCampaign),OR(fTeam="All",$B272=fTeam),OR(fChannel="All",$F272=fChannel)),1,0))</f>
        <v>0</v>
      </c>
      <c r="AK272" s="71">
        <f>IF($G272="",0,IF(OR($M272="Completed",$M272="Cancelled"),0,1))</f>
        <v>0</v>
      </c>
      <c r="AL272" s="71">
        <f>IF(AND($AK272=1,ISNUMBER($L272)),IF($L272&lt;ReportDate,1,0),0)</f>
        <v>0</v>
      </c>
      <c r="AM272" s="71">
        <f>IF(AND($G272&lt;&gt;"",$M272="Blocked"),1,0)</f>
        <v>0</v>
      </c>
      <c r="AN272" s="71">
        <f>IF(AND($AK272=1,ISNUMBER($L272)),IF($L272=ReportDate,1,0),0)</f>
        <v>0</v>
      </c>
      <c r="AO272" s="71">
        <f>IF(AND($AK272=1,ISNUMBER($L272)),IF($L272=ReportDate+1,1,0),0)</f>
        <v>0</v>
      </c>
      <c r="AP272" s="71">
        <f>IF(AND($AK272=1,ISNUMBER($L272)),IF(AND($L272&gt;=ReportDate,$L272&lt;=ReportDate+DueSoonDays),1,0),0)</f>
        <v>0</v>
      </c>
      <c r="AQ272" s="71">
        <f>IF(AND($AK272=1,OR($I272="Critical",$I272="High")),1,0)</f>
        <v>0</v>
      </c>
      <c r="AR272" s="71">
        <f>IF($AK272=1,IF(ISNUMBER($Y272),IF(ReportDate-$Y272&gt;StaleDays,1,0),1),0)</f>
        <v>0</v>
      </c>
      <c r="AS272" s="71">
        <f>IF(AND($G272&lt;&gt;"",ISNUMBER($Q272),ISNUMBER($R272)),IF(AND($Q272&lt;$R272,OR($M272="Completed",AND(ISNUMBER($L272),$L272&lt;ReportDate))),1,0),0)</f>
        <v>0</v>
      </c>
      <c r="AT272" s="71">
        <f>IF($AK272=1,IF(OR($L272=ReportDate,$W272=ReportDate,$K272=ReportDate,$A272=ReportDate),1,0),0)</f>
        <v>0</v>
      </c>
      <c r="AU272" s="71">
        <f>IF($AK272=1,IF(OR($L272=ReportDate+1,$W272=ReportDate+1,$K272=ReportDate+1,$A272=ReportDate+1),1,0),0)</f>
        <v>0</v>
      </c>
      <c r="AV272" s="71">
        <f>IF(AND($G272&lt;&gt;"",$M272="Completed"),IF(OR($Y272=ReportDate-1,$A272=ReportDate-1),1,0),0)</f>
        <v>0</v>
      </c>
      <c r="AW272" s="71">
        <f>IF(AND($AK272=1,$Z272="Yes"),1,0)</f>
        <v>0</v>
      </c>
      <c r="AX272" s="71">
        <f>IF(AND($AK272=1,$AA272="Yes"),1,0)</f>
        <v>0</v>
      </c>
      <c r="AY272" s="71">
        <f>IF(AND($AM272=1,OR($I272="Critical",$I272="High")),1,0)</f>
        <v>0</v>
      </c>
      <c r="AZ272" s="71">
        <f>IF(AND($AK272=1,OR($C272=TCL_Client,$C272=MECCA_Client)),1,0)</f>
        <v>0</v>
      </c>
      <c r="BA272" s="71" t="str">
        <f>IF($G272="","",IFERROR(MATCH($I272,lst_Priority,0),5))</f>
        <v/>
      </c>
      <c r="BB272" s="71" t="str">
        <f>IF(AND($AL272=1,$AJ272=1),$BA272*100000+ROW(),"")</f>
        <v/>
      </c>
      <c r="BC272" s="71" t="str">
        <f>IF(AND($AM272=1,$AJ272=1),$BA272*100000+ROW(),"")</f>
        <v/>
      </c>
      <c r="BD272" s="71" t="str">
        <f>IF(AND($AP272=1,$AJ272=1),$BA272*100000+ROW(),"")</f>
        <v/>
      </c>
      <c r="BE272" s="71" t="str">
        <f>IF(AND($AT272=1,$AJ272=1),$BA272*100000+ROW(),"")</f>
        <v/>
      </c>
      <c r="BF272" s="71" t="str">
        <f>IF(AND($AU272=1,$AJ272=1),$BA272*100000+ROW(),"")</f>
        <v/>
      </c>
      <c r="BG272" s="71" t="str">
        <f>IF(AND($AV272=1,$AJ272=1),$BA272*100000+ROW(),"")</f>
        <v/>
      </c>
      <c r="BH272" s="71" t="str">
        <f>IF(AND($AW272=1,$AJ272=1),$BA272*100000+ROW(),"")</f>
        <v/>
      </c>
      <c r="BI272" s="71" t="str">
        <f>IF(AND($AX272=1,$AJ272=1),$BA272*100000+ROW(),"")</f>
        <v/>
      </c>
      <c r="BJ272" s="71" t="str">
        <f>IF(AND($AS272=1,$AJ272=1),$BA272*100000+ROW(),"")</f>
        <v/>
      </c>
      <c r="BK272" s="71" t="str">
        <f>IF(AND($AY272=1,$AJ272=1),$BA272*100000+ROW(),"")</f>
        <v/>
      </c>
      <c r="BL272" s="71" t="str">
        <f>IF(AND($AZ272=1),$BA272*100000+ROW(),"")</f>
        <v/>
      </c>
    </row>
    <row r="273">
      <c r="A273" s="63" t="n"/>
      <c r="B273" s="64" t="n"/>
      <c r="C273" s="64" t="n"/>
      <c r="D273" s="64" t="n"/>
      <c r="E273" s="64" t="n"/>
      <c r="F273" s="64" t="n"/>
      <c r="G273" s="65" t="n"/>
      <c r="H273" s="65" t="n"/>
      <c r="I273" s="64" t="n"/>
      <c r="J273" s="64" t="n"/>
      <c r="K273" s="63" t="n"/>
      <c r="L273" s="63" t="n"/>
      <c r="M273" s="64" t="n"/>
      <c r="N273" s="66" t="n"/>
      <c r="O273" s="65" t="n"/>
      <c r="P273" s="64" t="n"/>
      <c r="Q273" s="67" t="n"/>
      <c r="R273" s="67" t="n"/>
      <c r="S273" s="68" t="str">
        <f>IF(AND(ISNUMBER($Q273),ISNUMBER($R273)),$Q273-$R273,"")</f>
        <v/>
      </c>
      <c r="T273" s="65" t="n"/>
      <c r="U273" s="64" t="n"/>
      <c r="V273" s="65" t="n"/>
      <c r="W273" s="63" t="n"/>
      <c r="X273" s="65" t="n"/>
      <c r="Y273" s="63" t="n"/>
      <c r="Z273" s="64" t="n"/>
      <c r="AA273" s="64" t="n"/>
      <c r="AB273" s="65" t="n"/>
      <c r="AC273" s="69" t="str">
        <f>IF(OR($G273="",NOT(ISNUMBER($K273)),$AK273=0),"",MAX(0,ReportDate-$K273))</f>
        <v/>
      </c>
      <c r="AD273" s="69" t="str">
        <f>IF($G273="","",IF($AL273=1,ReportDate-$L273,0))</f>
        <v/>
      </c>
      <c r="AE273" s="70" t="str">
        <f>IF($G273="","",IF($M273="Completed",1,IF(ISNUMBER($N273),$N273,0)))</f>
        <v/>
      </c>
      <c r="AF273" s="70" t="str">
        <f>IF(AND(ISNUMBER($Q273),ISNUMBER($R273)),IF($R273&lt;&gt;0,$Q273/$R273,""),"")</f>
        <v/>
      </c>
      <c r="AG273" s="71" t="str">
        <f>IF($G273="","",IF($AL273=1,"OVERDUE",IF($AM273=1,"BLOCKED",IF($AN273=1,"DUE TODAY",IF($AO273=1,"DUE TOMORROW",IF($AQ273=1,"HIGH PRIORITY",IF($AR273=1,"NO RECENT UPDATE",""))))))) </f>
        <v/>
      </c>
      <c r="AH273" s="71" t="str">
        <f>IF($G273="","",IF(ISNUMBER($A273),IF(ISNUMBER($A273),YEAR($A273)&amp;"-"&amp;TEXT(MONTH($A273),"00"),""),IF(ISNUMBER($L273),IF(ISNUMBER($L273),YEAR($L273)&amp;"-"&amp;TEXT(MONTH($L273),"00"),""),"")))</f>
        <v/>
      </c>
      <c r="AI273" s="71">
        <f>IF($G273="",0,IF(AND(OR(fClient="All",$C273=fClient),OR(fCampaign="All",$D273=fCampaign),OR(fTeam="All",$B273=fTeam),OR(fChannel="All",$F273=fChannel),OR(fMonth="All",$AH273=fMonth),OR(fTStatus="All",$M273=fTStatus)),1,0))</f>
        <v>0</v>
      </c>
      <c r="AJ273" s="71">
        <f>IF($G273="",0,IF(AND(OR(fClient="All",$C273=fClient),OR(fCampaign="All",$D273=fCampaign),OR(fTeam="All",$B273=fTeam),OR(fChannel="All",$F273=fChannel)),1,0))</f>
        <v>0</v>
      </c>
      <c r="AK273" s="71">
        <f>IF($G273="",0,IF(OR($M273="Completed",$M273="Cancelled"),0,1))</f>
        <v>0</v>
      </c>
      <c r="AL273" s="71">
        <f>IF(AND($AK273=1,ISNUMBER($L273)),IF($L273&lt;ReportDate,1,0),0)</f>
        <v>0</v>
      </c>
      <c r="AM273" s="71">
        <f>IF(AND($G273&lt;&gt;"",$M273="Blocked"),1,0)</f>
        <v>0</v>
      </c>
      <c r="AN273" s="71">
        <f>IF(AND($AK273=1,ISNUMBER($L273)),IF($L273=ReportDate,1,0),0)</f>
        <v>0</v>
      </c>
      <c r="AO273" s="71">
        <f>IF(AND($AK273=1,ISNUMBER($L273)),IF($L273=ReportDate+1,1,0),0)</f>
        <v>0</v>
      </c>
      <c r="AP273" s="71">
        <f>IF(AND($AK273=1,ISNUMBER($L273)),IF(AND($L273&gt;=ReportDate,$L273&lt;=ReportDate+DueSoonDays),1,0),0)</f>
        <v>0</v>
      </c>
      <c r="AQ273" s="71">
        <f>IF(AND($AK273=1,OR($I273="Critical",$I273="High")),1,0)</f>
        <v>0</v>
      </c>
      <c r="AR273" s="71">
        <f>IF($AK273=1,IF(ISNUMBER($Y273),IF(ReportDate-$Y273&gt;StaleDays,1,0),1),0)</f>
        <v>0</v>
      </c>
      <c r="AS273" s="71">
        <f>IF(AND($G273&lt;&gt;"",ISNUMBER($Q273),ISNUMBER($R273)),IF(AND($Q273&lt;$R273,OR($M273="Completed",AND(ISNUMBER($L273),$L273&lt;ReportDate))),1,0),0)</f>
        <v>0</v>
      </c>
      <c r="AT273" s="71">
        <f>IF($AK273=1,IF(OR($L273=ReportDate,$W273=ReportDate,$K273=ReportDate,$A273=ReportDate),1,0),0)</f>
        <v>0</v>
      </c>
      <c r="AU273" s="71">
        <f>IF($AK273=1,IF(OR($L273=ReportDate+1,$W273=ReportDate+1,$K273=ReportDate+1,$A273=ReportDate+1),1,0),0)</f>
        <v>0</v>
      </c>
      <c r="AV273" s="71">
        <f>IF(AND($G273&lt;&gt;"",$M273="Completed"),IF(OR($Y273=ReportDate-1,$A273=ReportDate-1),1,0),0)</f>
        <v>0</v>
      </c>
      <c r="AW273" s="71">
        <f>IF(AND($AK273=1,$Z273="Yes"),1,0)</f>
        <v>0</v>
      </c>
      <c r="AX273" s="71">
        <f>IF(AND($AK273=1,$AA273="Yes"),1,0)</f>
        <v>0</v>
      </c>
      <c r="AY273" s="71">
        <f>IF(AND($AM273=1,OR($I273="Critical",$I273="High")),1,0)</f>
        <v>0</v>
      </c>
      <c r="AZ273" s="71">
        <f>IF(AND($AK273=1,OR($C273=TCL_Client,$C273=MECCA_Client)),1,0)</f>
        <v>0</v>
      </c>
      <c r="BA273" s="71" t="str">
        <f>IF($G273="","",IFERROR(MATCH($I273,lst_Priority,0),5))</f>
        <v/>
      </c>
      <c r="BB273" s="71" t="str">
        <f>IF(AND($AL273=1,$AJ273=1),$BA273*100000+ROW(),"")</f>
        <v/>
      </c>
      <c r="BC273" s="71" t="str">
        <f>IF(AND($AM273=1,$AJ273=1),$BA273*100000+ROW(),"")</f>
        <v/>
      </c>
      <c r="BD273" s="71" t="str">
        <f>IF(AND($AP273=1,$AJ273=1),$BA273*100000+ROW(),"")</f>
        <v/>
      </c>
      <c r="BE273" s="71" t="str">
        <f>IF(AND($AT273=1,$AJ273=1),$BA273*100000+ROW(),"")</f>
        <v/>
      </c>
      <c r="BF273" s="71" t="str">
        <f>IF(AND($AU273=1,$AJ273=1),$BA273*100000+ROW(),"")</f>
        <v/>
      </c>
      <c r="BG273" s="71" t="str">
        <f>IF(AND($AV273=1,$AJ273=1),$BA273*100000+ROW(),"")</f>
        <v/>
      </c>
      <c r="BH273" s="71" t="str">
        <f>IF(AND($AW273=1,$AJ273=1),$BA273*100000+ROW(),"")</f>
        <v/>
      </c>
      <c r="BI273" s="71" t="str">
        <f>IF(AND($AX273=1,$AJ273=1),$BA273*100000+ROW(),"")</f>
        <v/>
      </c>
      <c r="BJ273" s="71" t="str">
        <f>IF(AND($AS273=1,$AJ273=1),$BA273*100000+ROW(),"")</f>
        <v/>
      </c>
      <c r="BK273" s="71" t="str">
        <f>IF(AND($AY273=1,$AJ273=1),$BA273*100000+ROW(),"")</f>
        <v/>
      </c>
      <c r="BL273" s="71" t="str">
        <f>IF(AND($AZ273=1),$BA273*100000+ROW(),"")</f>
        <v/>
      </c>
    </row>
    <row r="274">
      <c r="A274" s="63" t="n"/>
      <c r="B274" s="64" t="n"/>
      <c r="C274" s="64" t="n"/>
      <c r="D274" s="64" t="n"/>
      <c r="E274" s="64" t="n"/>
      <c r="F274" s="64" t="n"/>
      <c r="G274" s="65" t="n"/>
      <c r="H274" s="65" t="n"/>
      <c r="I274" s="64" t="n"/>
      <c r="J274" s="64" t="n"/>
      <c r="K274" s="63" t="n"/>
      <c r="L274" s="63" t="n"/>
      <c r="M274" s="64" t="n"/>
      <c r="N274" s="66" t="n"/>
      <c r="O274" s="65" t="n"/>
      <c r="P274" s="64" t="n"/>
      <c r="Q274" s="67" t="n"/>
      <c r="R274" s="67" t="n"/>
      <c r="S274" s="68" t="str">
        <f>IF(AND(ISNUMBER($Q274),ISNUMBER($R274)),$Q274-$R274,"")</f>
        <v/>
      </c>
      <c r="T274" s="65" t="n"/>
      <c r="U274" s="64" t="n"/>
      <c r="V274" s="65" t="n"/>
      <c r="W274" s="63" t="n"/>
      <c r="X274" s="65" t="n"/>
      <c r="Y274" s="63" t="n"/>
      <c r="Z274" s="64" t="n"/>
      <c r="AA274" s="64" t="n"/>
      <c r="AB274" s="65" t="n"/>
      <c r="AC274" s="69" t="str">
        <f>IF(OR($G274="",NOT(ISNUMBER($K274)),$AK274=0),"",MAX(0,ReportDate-$K274))</f>
        <v/>
      </c>
      <c r="AD274" s="69" t="str">
        <f>IF($G274="","",IF($AL274=1,ReportDate-$L274,0))</f>
        <v/>
      </c>
      <c r="AE274" s="70" t="str">
        <f>IF($G274="","",IF($M274="Completed",1,IF(ISNUMBER($N274),$N274,0)))</f>
        <v/>
      </c>
      <c r="AF274" s="70" t="str">
        <f>IF(AND(ISNUMBER($Q274),ISNUMBER($R274)),IF($R274&lt;&gt;0,$Q274/$R274,""),"")</f>
        <v/>
      </c>
      <c r="AG274" s="71" t="str">
        <f>IF($G274="","",IF($AL274=1,"OVERDUE",IF($AM274=1,"BLOCKED",IF($AN274=1,"DUE TODAY",IF($AO274=1,"DUE TOMORROW",IF($AQ274=1,"HIGH PRIORITY",IF($AR274=1,"NO RECENT UPDATE",""))))))) </f>
        <v/>
      </c>
      <c r="AH274" s="71" t="str">
        <f>IF($G274="","",IF(ISNUMBER($A274),IF(ISNUMBER($A274),YEAR($A274)&amp;"-"&amp;TEXT(MONTH($A274),"00"),""),IF(ISNUMBER($L274),IF(ISNUMBER($L274),YEAR($L274)&amp;"-"&amp;TEXT(MONTH($L274),"00"),""),"")))</f>
        <v/>
      </c>
      <c r="AI274" s="71">
        <f>IF($G274="",0,IF(AND(OR(fClient="All",$C274=fClient),OR(fCampaign="All",$D274=fCampaign),OR(fTeam="All",$B274=fTeam),OR(fChannel="All",$F274=fChannel),OR(fMonth="All",$AH274=fMonth),OR(fTStatus="All",$M274=fTStatus)),1,0))</f>
        <v>0</v>
      </c>
      <c r="AJ274" s="71">
        <f>IF($G274="",0,IF(AND(OR(fClient="All",$C274=fClient),OR(fCampaign="All",$D274=fCampaign),OR(fTeam="All",$B274=fTeam),OR(fChannel="All",$F274=fChannel)),1,0))</f>
        <v>0</v>
      </c>
      <c r="AK274" s="71">
        <f>IF($G274="",0,IF(OR($M274="Completed",$M274="Cancelled"),0,1))</f>
        <v>0</v>
      </c>
      <c r="AL274" s="71">
        <f>IF(AND($AK274=1,ISNUMBER($L274)),IF($L274&lt;ReportDate,1,0),0)</f>
        <v>0</v>
      </c>
      <c r="AM274" s="71">
        <f>IF(AND($G274&lt;&gt;"",$M274="Blocked"),1,0)</f>
        <v>0</v>
      </c>
      <c r="AN274" s="71">
        <f>IF(AND($AK274=1,ISNUMBER($L274)),IF($L274=ReportDate,1,0),0)</f>
        <v>0</v>
      </c>
      <c r="AO274" s="71">
        <f>IF(AND($AK274=1,ISNUMBER($L274)),IF($L274=ReportDate+1,1,0),0)</f>
        <v>0</v>
      </c>
      <c r="AP274" s="71">
        <f>IF(AND($AK274=1,ISNUMBER($L274)),IF(AND($L274&gt;=ReportDate,$L274&lt;=ReportDate+DueSoonDays),1,0),0)</f>
        <v>0</v>
      </c>
      <c r="AQ274" s="71">
        <f>IF(AND($AK274=1,OR($I274="Critical",$I274="High")),1,0)</f>
        <v>0</v>
      </c>
      <c r="AR274" s="71">
        <f>IF($AK274=1,IF(ISNUMBER($Y274),IF(ReportDate-$Y274&gt;StaleDays,1,0),1),0)</f>
        <v>0</v>
      </c>
      <c r="AS274" s="71">
        <f>IF(AND($G274&lt;&gt;"",ISNUMBER($Q274),ISNUMBER($R274)),IF(AND($Q274&lt;$R274,OR($M274="Completed",AND(ISNUMBER($L274),$L274&lt;ReportDate))),1,0),0)</f>
        <v>0</v>
      </c>
      <c r="AT274" s="71">
        <f>IF($AK274=1,IF(OR($L274=ReportDate,$W274=ReportDate,$K274=ReportDate,$A274=ReportDate),1,0),0)</f>
        <v>0</v>
      </c>
      <c r="AU274" s="71">
        <f>IF($AK274=1,IF(OR($L274=ReportDate+1,$W274=ReportDate+1,$K274=ReportDate+1,$A274=ReportDate+1),1,0),0)</f>
        <v>0</v>
      </c>
      <c r="AV274" s="71">
        <f>IF(AND($G274&lt;&gt;"",$M274="Completed"),IF(OR($Y274=ReportDate-1,$A274=ReportDate-1),1,0),0)</f>
        <v>0</v>
      </c>
      <c r="AW274" s="71">
        <f>IF(AND($AK274=1,$Z274="Yes"),1,0)</f>
        <v>0</v>
      </c>
      <c r="AX274" s="71">
        <f>IF(AND($AK274=1,$AA274="Yes"),1,0)</f>
        <v>0</v>
      </c>
      <c r="AY274" s="71">
        <f>IF(AND($AM274=1,OR($I274="Critical",$I274="High")),1,0)</f>
        <v>0</v>
      </c>
      <c r="AZ274" s="71">
        <f>IF(AND($AK274=1,OR($C274=TCL_Client,$C274=MECCA_Client)),1,0)</f>
        <v>0</v>
      </c>
      <c r="BA274" s="71" t="str">
        <f>IF($G274="","",IFERROR(MATCH($I274,lst_Priority,0),5))</f>
        <v/>
      </c>
      <c r="BB274" s="71" t="str">
        <f>IF(AND($AL274=1,$AJ274=1),$BA274*100000+ROW(),"")</f>
        <v/>
      </c>
      <c r="BC274" s="71" t="str">
        <f>IF(AND($AM274=1,$AJ274=1),$BA274*100000+ROW(),"")</f>
        <v/>
      </c>
      <c r="BD274" s="71" t="str">
        <f>IF(AND($AP274=1,$AJ274=1),$BA274*100000+ROW(),"")</f>
        <v/>
      </c>
      <c r="BE274" s="71" t="str">
        <f>IF(AND($AT274=1,$AJ274=1),$BA274*100000+ROW(),"")</f>
        <v/>
      </c>
      <c r="BF274" s="71" t="str">
        <f>IF(AND($AU274=1,$AJ274=1),$BA274*100000+ROW(),"")</f>
        <v/>
      </c>
      <c r="BG274" s="71" t="str">
        <f>IF(AND($AV274=1,$AJ274=1),$BA274*100000+ROW(),"")</f>
        <v/>
      </c>
      <c r="BH274" s="71" t="str">
        <f>IF(AND($AW274=1,$AJ274=1),$BA274*100000+ROW(),"")</f>
        <v/>
      </c>
      <c r="BI274" s="71" t="str">
        <f>IF(AND($AX274=1,$AJ274=1),$BA274*100000+ROW(),"")</f>
        <v/>
      </c>
      <c r="BJ274" s="71" t="str">
        <f>IF(AND($AS274=1,$AJ274=1),$BA274*100000+ROW(),"")</f>
        <v/>
      </c>
      <c r="BK274" s="71" t="str">
        <f>IF(AND($AY274=1,$AJ274=1),$BA274*100000+ROW(),"")</f>
        <v/>
      </c>
      <c r="BL274" s="71" t="str">
        <f>IF(AND($AZ274=1),$BA274*100000+ROW(),"")</f>
        <v/>
      </c>
    </row>
    <row r="275">
      <c r="A275" s="63" t="n"/>
      <c r="B275" s="64" t="n"/>
      <c r="C275" s="64" t="n"/>
      <c r="D275" s="64" t="n"/>
      <c r="E275" s="64" t="n"/>
      <c r="F275" s="64" t="n"/>
      <c r="G275" s="65" t="n"/>
      <c r="H275" s="65" t="n"/>
      <c r="I275" s="64" t="n"/>
      <c r="J275" s="64" t="n"/>
      <c r="K275" s="63" t="n"/>
      <c r="L275" s="63" t="n"/>
      <c r="M275" s="64" t="n"/>
      <c r="N275" s="66" t="n"/>
      <c r="O275" s="65" t="n"/>
      <c r="P275" s="64" t="n"/>
      <c r="Q275" s="67" t="n"/>
      <c r="R275" s="67" t="n"/>
      <c r="S275" s="68" t="str">
        <f>IF(AND(ISNUMBER($Q275),ISNUMBER($R275)),$Q275-$R275,"")</f>
        <v/>
      </c>
      <c r="T275" s="65" t="n"/>
      <c r="U275" s="64" t="n"/>
      <c r="V275" s="65" t="n"/>
      <c r="W275" s="63" t="n"/>
      <c r="X275" s="65" t="n"/>
      <c r="Y275" s="63" t="n"/>
      <c r="Z275" s="64" t="n"/>
      <c r="AA275" s="64" t="n"/>
      <c r="AB275" s="65" t="n"/>
      <c r="AC275" s="69" t="str">
        <f>IF(OR($G275="",NOT(ISNUMBER($K275)),$AK275=0),"",MAX(0,ReportDate-$K275))</f>
        <v/>
      </c>
      <c r="AD275" s="69" t="str">
        <f>IF($G275="","",IF($AL275=1,ReportDate-$L275,0))</f>
        <v/>
      </c>
      <c r="AE275" s="70" t="str">
        <f>IF($G275="","",IF($M275="Completed",1,IF(ISNUMBER($N275),$N275,0)))</f>
        <v/>
      </c>
      <c r="AF275" s="70" t="str">
        <f>IF(AND(ISNUMBER($Q275),ISNUMBER($R275)),IF($R275&lt;&gt;0,$Q275/$R275,""),"")</f>
        <v/>
      </c>
      <c r="AG275" s="71" t="str">
        <f>IF($G275="","",IF($AL275=1,"OVERDUE",IF($AM275=1,"BLOCKED",IF($AN275=1,"DUE TODAY",IF($AO275=1,"DUE TOMORROW",IF($AQ275=1,"HIGH PRIORITY",IF($AR275=1,"NO RECENT UPDATE",""))))))) </f>
        <v/>
      </c>
      <c r="AH275" s="71" t="str">
        <f>IF($G275="","",IF(ISNUMBER($A275),IF(ISNUMBER($A275),YEAR($A275)&amp;"-"&amp;TEXT(MONTH($A275),"00"),""),IF(ISNUMBER($L275),IF(ISNUMBER($L275),YEAR($L275)&amp;"-"&amp;TEXT(MONTH($L275),"00"),""),"")))</f>
        <v/>
      </c>
      <c r="AI275" s="71">
        <f>IF($G275="",0,IF(AND(OR(fClient="All",$C275=fClient),OR(fCampaign="All",$D275=fCampaign),OR(fTeam="All",$B275=fTeam),OR(fChannel="All",$F275=fChannel),OR(fMonth="All",$AH275=fMonth),OR(fTStatus="All",$M275=fTStatus)),1,0))</f>
        <v>0</v>
      </c>
      <c r="AJ275" s="71">
        <f>IF($G275="",0,IF(AND(OR(fClient="All",$C275=fClient),OR(fCampaign="All",$D275=fCampaign),OR(fTeam="All",$B275=fTeam),OR(fChannel="All",$F275=fChannel)),1,0))</f>
        <v>0</v>
      </c>
      <c r="AK275" s="71">
        <f>IF($G275="",0,IF(OR($M275="Completed",$M275="Cancelled"),0,1))</f>
        <v>0</v>
      </c>
      <c r="AL275" s="71">
        <f>IF(AND($AK275=1,ISNUMBER($L275)),IF($L275&lt;ReportDate,1,0),0)</f>
        <v>0</v>
      </c>
      <c r="AM275" s="71">
        <f>IF(AND($G275&lt;&gt;"",$M275="Blocked"),1,0)</f>
        <v>0</v>
      </c>
      <c r="AN275" s="71">
        <f>IF(AND($AK275=1,ISNUMBER($L275)),IF($L275=ReportDate,1,0),0)</f>
        <v>0</v>
      </c>
      <c r="AO275" s="71">
        <f>IF(AND($AK275=1,ISNUMBER($L275)),IF($L275=ReportDate+1,1,0),0)</f>
        <v>0</v>
      </c>
      <c r="AP275" s="71">
        <f>IF(AND($AK275=1,ISNUMBER($L275)),IF(AND($L275&gt;=ReportDate,$L275&lt;=ReportDate+DueSoonDays),1,0),0)</f>
        <v>0</v>
      </c>
      <c r="AQ275" s="71">
        <f>IF(AND($AK275=1,OR($I275="Critical",$I275="High")),1,0)</f>
        <v>0</v>
      </c>
      <c r="AR275" s="71">
        <f>IF($AK275=1,IF(ISNUMBER($Y275),IF(ReportDate-$Y275&gt;StaleDays,1,0),1),0)</f>
        <v>0</v>
      </c>
      <c r="AS275" s="71">
        <f>IF(AND($G275&lt;&gt;"",ISNUMBER($Q275),ISNUMBER($R275)),IF(AND($Q275&lt;$R275,OR($M275="Completed",AND(ISNUMBER($L275),$L275&lt;ReportDate))),1,0),0)</f>
        <v>0</v>
      </c>
      <c r="AT275" s="71">
        <f>IF($AK275=1,IF(OR($L275=ReportDate,$W275=ReportDate,$K275=ReportDate,$A275=ReportDate),1,0),0)</f>
        <v>0</v>
      </c>
      <c r="AU275" s="71">
        <f>IF($AK275=1,IF(OR($L275=ReportDate+1,$W275=ReportDate+1,$K275=ReportDate+1,$A275=ReportDate+1),1,0),0)</f>
        <v>0</v>
      </c>
      <c r="AV275" s="71">
        <f>IF(AND($G275&lt;&gt;"",$M275="Completed"),IF(OR($Y275=ReportDate-1,$A275=ReportDate-1),1,0),0)</f>
        <v>0</v>
      </c>
      <c r="AW275" s="71">
        <f>IF(AND($AK275=1,$Z275="Yes"),1,0)</f>
        <v>0</v>
      </c>
      <c r="AX275" s="71">
        <f>IF(AND($AK275=1,$AA275="Yes"),1,0)</f>
        <v>0</v>
      </c>
      <c r="AY275" s="71">
        <f>IF(AND($AM275=1,OR($I275="Critical",$I275="High")),1,0)</f>
        <v>0</v>
      </c>
      <c r="AZ275" s="71">
        <f>IF(AND($AK275=1,OR($C275=TCL_Client,$C275=MECCA_Client)),1,0)</f>
        <v>0</v>
      </c>
      <c r="BA275" s="71" t="str">
        <f>IF($G275="","",IFERROR(MATCH($I275,lst_Priority,0),5))</f>
        <v/>
      </c>
      <c r="BB275" s="71" t="str">
        <f>IF(AND($AL275=1,$AJ275=1),$BA275*100000+ROW(),"")</f>
        <v/>
      </c>
      <c r="BC275" s="71" t="str">
        <f>IF(AND($AM275=1,$AJ275=1),$BA275*100000+ROW(),"")</f>
        <v/>
      </c>
      <c r="BD275" s="71" t="str">
        <f>IF(AND($AP275=1,$AJ275=1),$BA275*100000+ROW(),"")</f>
        <v/>
      </c>
      <c r="BE275" s="71" t="str">
        <f>IF(AND($AT275=1,$AJ275=1),$BA275*100000+ROW(),"")</f>
        <v/>
      </c>
      <c r="BF275" s="71" t="str">
        <f>IF(AND($AU275=1,$AJ275=1),$BA275*100000+ROW(),"")</f>
        <v/>
      </c>
      <c r="BG275" s="71" t="str">
        <f>IF(AND($AV275=1,$AJ275=1),$BA275*100000+ROW(),"")</f>
        <v/>
      </c>
      <c r="BH275" s="71" t="str">
        <f>IF(AND($AW275=1,$AJ275=1),$BA275*100000+ROW(),"")</f>
        <v/>
      </c>
      <c r="BI275" s="71" t="str">
        <f>IF(AND($AX275=1,$AJ275=1),$BA275*100000+ROW(),"")</f>
        <v/>
      </c>
      <c r="BJ275" s="71" t="str">
        <f>IF(AND($AS275=1,$AJ275=1),$BA275*100000+ROW(),"")</f>
        <v/>
      </c>
      <c r="BK275" s="71" t="str">
        <f>IF(AND($AY275=1,$AJ275=1),$BA275*100000+ROW(),"")</f>
        <v/>
      </c>
      <c r="BL275" s="71" t="str">
        <f>IF(AND($AZ275=1),$BA275*100000+ROW(),"")</f>
        <v/>
      </c>
    </row>
    <row r="276">
      <c r="A276" s="63" t="n"/>
      <c r="B276" s="64" t="n"/>
      <c r="C276" s="64" t="n"/>
      <c r="D276" s="64" t="n"/>
      <c r="E276" s="64" t="n"/>
      <c r="F276" s="64" t="n"/>
      <c r="G276" s="65" t="n"/>
      <c r="H276" s="65" t="n"/>
      <c r="I276" s="64" t="n"/>
      <c r="J276" s="64" t="n"/>
      <c r="K276" s="63" t="n"/>
      <c r="L276" s="63" t="n"/>
      <c r="M276" s="64" t="n"/>
      <c r="N276" s="66" t="n"/>
      <c r="O276" s="65" t="n"/>
      <c r="P276" s="64" t="n"/>
      <c r="Q276" s="67" t="n"/>
      <c r="R276" s="67" t="n"/>
      <c r="S276" s="68" t="str">
        <f>IF(AND(ISNUMBER($Q276),ISNUMBER($R276)),$Q276-$R276,"")</f>
        <v/>
      </c>
      <c r="T276" s="65" t="n"/>
      <c r="U276" s="64" t="n"/>
      <c r="V276" s="65" t="n"/>
      <c r="W276" s="63" t="n"/>
      <c r="X276" s="65" t="n"/>
      <c r="Y276" s="63" t="n"/>
      <c r="Z276" s="64" t="n"/>
      <c r="AA276" s="64" t="n"/>
      <c r="AB276" s="65" t="n"/>
      <c r="AC276" s="69" t="str">
        <f>IF(OR($G276="",NOT(ISNUMBER($K276)),$AK276=0),"",MAX(0,ReportDate-$K276))</f>
        <v/>
      </c>
      <c r="AD276" s="69" t="str">
        <f>IF($G276="","",IF($AL276=1,ReportDate-$L276,0))</f>
        <v/>
      </c>
      <c r="AE276" s="70" t="str">
        <f>IF($G276="","",IF($M276="Completed",1,IF(ISNUMBER($N276),$N276,0)))</f>
        <v/>
      </c>
      <c r="AF276" s="70" t="str">
        <f>IF(AND(ISNUMBER($Q276),ISNUMBER($R276)),IF($R276&lt;&gt;0,$Q276/$R276,""),"")</f>
        <v/>
      </c>
      <c r="AG276" s="71" t="str">
        <f>IF($G276="","",IF($AL276=1,"OVERDUE",IF($AM276=1,"BLOCKED",IF($AN276=1,"DUE TODAY",IF($AO276=1,"DUE TOMORROW",IF($AQ276=1,"HIGH PRIORITY",IF($AR276=1,"NO RECENT UPDATE",""))))))) </f>
        <v/>
      </c>
      <c r="AH276" s="71" t="str">
        <f>IF($G276="","",IF(ISNUMBER($A276),IF(ISNUMBER($A276),YEAR($A276)&amp;"-"&amp;TEXT(MONTH($A276),"00"),""),IF(ISNUMBER($L276),IF(ISNUMBER($L276),YEAR($L276)&amp;"-"&amp;TEXT(MONTH($L276),"00"),""),"")))</f>
        <v/>
      </c>
      <c r="AI276" s="71">
        <f>IF($G276="",0,IF(AND(OR(fClient="All",$C276=fClient),OR(fCampaign="All",$D276=fCampaign),OR(fTeam="All",$B276=fTeam),OR(fChannel="All",$F276=fChannel),OR(fMonth="All",$AH276=fMonth),OR(fTStatus="All",$M276=fTStatus)),1,0))</f>
        <v>0</v>
      </c>
      <c r="AJ276" s="71">
        <f>IF($G276="",0,IF(AND(OR(fClient="All",$C276=fClient),OR(fCampaign="All",$D276=fCampaign),OR(fTeam="All",$B276=fTeam),OR(fChannel="All",$F276=fChannel)),1,0))</f>
        <v>0</v>
      </c>
      <c r="AK276" s="71">
        <f>IF($G276="",0,IF(OR($M276="Completed",$M276="Cancelled"),0,1))</f>
        <v>0</v>
      </c>
      <c r="AL276" s="71">
        <f>IF(AND($AK276=1,ISNUMBER($L276)),IF($L276&lt;ReportDate,1,0),0)</f>
        <v>0</v>
      </c>
      <c r="AM276" s="71">
        <f>IF(AND($G276&lt;&gt;"",$M276="Blocked"),1,0)</f>
        <v>0</v>
      </c>
      <c r="AN276" s="71">
        <f>IF(AND($AK276=1,ISNUMBER($L276)),IF($L276=ReportDate,1,0),0)</f>
        <v>0</v>
      </c>
      <c r="AO276" s="71">
        <f>IF(AND($AK276=1,ISNUMBER($L276)),IF($L276=ReportDate+1,1,0),0)</f>
        <v>0</v>
      </c>
      <c r="AP276" s="71">
        <f>IF(AND($AK276=1,ISNUMBER($L276)),IF(AND($L276&gt;=ReportDate,$L276&lt;=ReportDate+DueSoonDays),1,0),0)</f>
        <v>0</v>
      </c>
      <c r="AQ276" s="71">
        <f>IF(AND($AK276=1,OR($I276="Critical",$I276="High")),1,0)</f>
        <v>0</v>
      </c>
      <c r="AR276" s="71">
        <f>IF($AK276=1,IF(ISNUMBER($Y276),IF(ReportDate-$Y276&gt;StaleDays,1,0),1),0)</f>
        <v>0</v>
      </c>
      <c r="AS276" s="71">
        <f>IF(AND($G276&lt;&gt;"",ISNUMBER($Q276),ISNUMBER($R276)),IF(AND($Q276&lt;$R276,OR($M276="Completed",AND(ISNUMBER($L276),$L276&lt;ReportDate))),1,0),0)</f>
        <v>0</v>
      </c>
      <c r="AT276" s="71">
        <f>IF($AK276=1,IF(OR($L276=ReportDate,$W276=ReportDate,$K276=ReportDate,$A276=ReportDate),1,0),0)</f>
        <v>0</v>
      </c>
      <c r="AU276" s="71">
        <f>IF($AK276=1,IF(OR($L276=ReportDate+1,$W276=ReportDate+1,$K276=ReportDate+1,$A276=ReportDate+1),1,0),0)</f>
        <v>0</v>
      </c>
      <c r="AV276" s="71">
        <f>IF(AND($G276&lt;&gt;"",$M276="Completed"),IF(OR($Y276=ReportDate-1,$A276=ReportDate-1),1,0),0)</f>
        <v>0</v>
      </c>
      <c r="AW276" s="71">
        <f>IF(AND($AK276=1,$Z276="Yes"),1,0)</f>
        <v>0</v>
      </c>
      <c r="AX276" s="71">
        <f>IF(AND($AK276=1,$AA276="Yes"),1,0)</f>
        <v>0</v>
      </c>
      <c r="AY276" s="71">
        <f>IF(AND($AM276=1,OR($I276="Critical",$I276="High")),1,0)</f>
        <v>0</v>
      </c>
      <c r="AZ276" s="71">
        <f>IF(AND($AK276=1,OR($C276=TCL_Client,$C276=MECCA_Client)),1,0)</f>
        <v>0</v>
      </c>
      <c r="BA276" s="71" t="str">
        <f>IF($G276="","",IFERROR(MATCH($I276,lst_Priority,0),5))</f>
        <v/>
      </c>
      <c r="BB276" s="71" t="str">
        <f>IF(AND($AL276=1,$AJ276=1),$BA276*100000+ROW(),"")</f>
        <v/>
      </c>
      <c r="BC276" s="71" t="str">
        <f>IF(AND($AM276=1,$AJ276=1),$BA276*100000+ROW(),"")</f>
        <v/>
      </c>
      <c r="BD276" s="71" t="str">
        <f>IF(AND($AP276=1,$AJ276=1),$BA276*100000+ROW(),"")</f>
        <v/>
      </c>
      <c r="BE276" s="71" t="str">
        <f>IF(AND($AT276=1,$AJ276=1),$BA276*100000+ROW(),"")</f>
        <v/>
      </c>
      <c r="BF276" s="71" t="str">
        <f>IF(AND($AU276=1,$AJ276=1),$BA276*100000+ROW(),"")</f>
        <v/>
      </c>
      <c r="BG276" s="71" t="str">
        <f>IF(AND($AV276=1,$AJ276=1),$BA276*100000+ROW(),"")</f>
        <v/>
      </c>
      <c r="BH276" s="71" t="str">
        <f>IF(AND($AW276=1,$AJ276=1),$BA276*100000+ROW(),"")</f>
        <v/>
      </c>
      <c r="BI276" s="71" t="str">
        <f>IF(AND($AX276=1,$AJ276=1),$BA276*100000+ROW(),"")</f>
        <v/>
      </c>
      <c r="BJ276" s="71" t="str">
        <f>IF(AND($AS276=1,$AJ276=1),$BA276*100000+ROW(),"")</f>
        <v/>
      </c>
      <c r="BK276" s="71" t="str">
        <f>IF(AND($AY276=1,$AJ276=1),$BA276*100000+ROW(),"")</f>
        <v/>
      </c>
      <c r="BL276" s="71" t="str">
        <f>IF(AND($AZ276=1),$BA276*100000+ROW(),"")</f>
        <v/>
      </c>
    </row>
    <row r="277">
      <c r="A277" s="63" t="n"/>
      <c r="B277" s="64" t="n"/>
      <c r="C277" s="64" t="n"/>
      <c r="D277" s="64" t="n"/>
      <c r="E277" s="64" t="n"/>
      <c r="F277" s="64" t="n"/>
      <c r="G277" s="65" t="n"/>
      <c r="H277" s="65" t="n"/>
      <c r="I277" s="64" t="n"/>
      <c r="J277" s="64" t="n"/>
      <c r="K277" s="63" t="n"/>
      <c r="L277" s="63" t="n"/>
      <c r="M277" s="64" t="n"/>
      <c r="N277" s="66" t="n"/>
      <c r="O277" s="65" t="n"/>
      <c r="P277" s="64" t="n"/>
      <c r="Q277" s="67" t="n"/>
      <c r="R277" s="67" t="n"/>
      <c r="S277" s="68" t="str">
        <f>IF(AND(ISNUMBER($Q277),ISNUMBER($R277)),$Q277-$R277,"")</f>
        <v/>
      </c>
      <c r="T277" s="65" t="n"/>
      <c r="U277" s="64" t="n"/>
      <c r="V277" s="65" t="n"/>
      <c r="W277" s="63" t="n"/>
      <c r="X277" s="65" t="n"/>
      <c r="Y277" s="63" t="n"/>
      <c r="Z277" s="64" t="n"/>
      <c r="AA277" s="64" t="n"/>
      <c r="AB277" s="65" t="n"/>
      <c r="AC277" s="69" t="str">
        <f>IF(OR($G277="",NOT(ISNUMBER($K277)),$AK277=0),"",MAX(0,ReportDate-$K277))</f>
        <v/>
      </c>
      <c r="AD277" s="69" t="str">
        <f>IF($G277="","",IF($AL277=1,ReportDate-$L277,0))</f>
        <v/>
      </c>
      <c r="AE277" s="70" t="str">
        <f>IF($G277="","",IF($M277="Completed",1,IF(ISNUMBER($N277),$N277,0)))</f>
        <v/>
      </c>
      <c r="AF277" s="70" t="str">
        <f>IF(AND(ISNUMBER($Q277),ISNUMBER($R277)),IF($R277&lt;&gt;0,$Q277/$R277,""),"")</f>
        <v/>
      </c>
      <c r="AG277" s="71" t="str">
        <f>IF($G277="","",IF($AL277=1,"OVERDUE",IF($AM277=1,"BLOCKED",IF($AN277=1,"DUE TODAY",IF($AO277=1,"DUE TOMORROW",IF($AQ277=1,"HIGH PRIORITY",IF($AR277=1,"NO RECENT UPDATE",""))))))) </f>
        <v/>
      </c>
      <c r="AH277" s="71" t="str">
        <f>IF($G277="","",IF(ISNUMBER($A277),IF(ISNUMBER($A277),YEAR($A277)&amp;"-"&amp;TEXT(MONTH($A277),"00"),""),IF(ISNUMBER($L277),IF(ISNUMBER($L277),YEAR($L277)&amp;"-"&amp;TEXT(MONTH($L277),"00"),""),"")))</f>
        <v/>
      </c>
      <c r="AI277" s="71">
        <f>IF($G277="",0,IF(AND(OR(fClient="All",$C277=fClient),OR(fCampaign="All",$D277=fCampaign),OR(fTeam="All",$B277=fTeam),OR(fChannel="All",$F277=fChannel),OR(fMonth="All",$AH277=fMonth),OR(fTStatus="All",$M277=fTStatus)),1,0))</f>
        <v>0</v>
      </c>
      <c r="AJ277" s="71">
        <f>IF($G277="",0,IF(AND(OR(fClient="All",$C277=fClient),OR(fCampaign="All",$D277=fCampaign),OR(fTeam="All",$B277=fTeam),OR(fChannel="All",$F277=fChannel)),1,0))</f>
        <v>0</v>
      </c>
      <c r="AK277" s="71">
        <f>IF($G277="",0,IF(OR($M277="Completed",$M277="Cancelled"),0,1))</f>
        <v>0</v>
      </c>
      <c r="AL277" s="71">
        <f>IF(AND($AK277=1,ISNUMBER($L277)),IF($L277&lt;ReportDate,1,0),0)</f>
        <v>0</v>
      </c>
      <c r="AM277" s="71">
        <f>IF(AND($G277&lt;&gt;"",$M277="Blocked"),1,0)</f>
        <v>0</v>
      </c>
      <c r="AN277" s="71">
        <f>IF(AND($AK277=1,ISNUMBER($L277)),IF($L277=ReportDate,1,0),0)</f>
        <v>0</v>
      </c>
      <c r="AO277" s="71">
        <f>IF(AND($AK277=1,ISNUMBER($L277)),IF($L277=ReportDate+1,1,0),0)</f>
        <v>0</v>
      </c>
      <c r="AP277" s="71">
        <f>IF(AND($AK277=1,ISNUMBER($L277)),IF(AND($L277&gt;=ReportDate,$L277&lt;=ReportDate+DueSoonDays),1,0),0)</f>
        <v>0</v>
      </c>
      <c r="AQ277" s="71">
        <f>IF(AND($AK277=1,OR($I277="Critical",$I277="High")),1,0)</f>
        <v>0</v>
      </c>
      <c r="AR277" s="71">
        <f>IF($AK277=1,IF(ISNUMBER($Y277),IF(ReportDate-$Y277&gt;StaleDays,1,0),1),0)</f>
        <v>0</v>
      </c>
      <c r="AS277" s="71">
        <f>IF(AND($G277&lt;&gt;"",ISNUMBER($Q277),ISNUMBER($R277)),IF(AND($Q277&lt;$R277,OR($M277="Completed",AND(ISNUMBER($L277),$L277&lt;ReportDate))),1,0),0)</f>
        <v>0</v>
      </c>
      <c r="AT277" s="71">
        <f>IF($AK277=1,IF(OR($L277=ReportDate,$W277=ReportDate,$K277=ReportDate,$A277=ReportDate),1,0),0)</f>
        <v>0</v>
      </c>
      <c r="AU277" s="71">
        <f>IF($AK277=1,IF(OR($L277=ReportDate+1,$W277=ReportDate+1,$K277=ReportDate+1,$A277=ReportDate+1),1,0),0)</f>
        <v>0</v>
      </c>
      <c r="AV277" s="71">
        <f>IF(AND($G277&lt;&gt;"",$M277="Completed"),IF(OR($Y277=ReportDate-1,$A277=ReportDate-1),1,0),0)</f>
        <v>0</v>
      </c>
      <c r="AW277" s="71">
        <f>IF(AND($AK277=1,$Z277="Yes"),1,0)</f>
        <v>0</v>
      </c>
      <c r="AX277" s="71">
        <f>IF(AND($AK277=1,$AA277="Yes"),1,0)</f>
        <v>0</v>
      </c>
      <c r="AY277" s="71">
        <f>IF(AND($AM277=1,OR($I277="Critical",$I277="High")),1,0)</f>
        <v>0</v>
      </c>
      <c r="AZ277" s="71">
        <f>IF(AND($AK277=1,OR($C277=TCL_Client,$C277=MECCA_Client)),1,0)</f>
        <v>0</v>
      </c>
      <c r="BA277" s="71" t="str">
        <f>IF($G277="","",IFERROR(MATCH($I277,lst_Priority,0),5))</f>
        <v/>
      </c>
      <c r="BB277" s="71" t="str">
        <f>IF(AND($AL277=1,$AJ277=1),$BA277*100000+ROW(),"")</f>
        <v/>
      </c>
      <c r="BC277" s="71" t="str">
        <f>IF(AND($AM277=1,$AJ277=1),$BA277*100000+ROW(),"")</f>
        <v/>
      </c>
      <c r="BD277" s="71" t="str">
        <f>IF(AND($AP277=1,$AJ277=1),$BA277*100000+ROW(),"")</f>
        <v/>
      </c>
      <c r="BE277" s="71" t="str">
        <f>IF(AND($AT277=1,$AJ277=1),$BA277*100000+ROW(),"")</f>
        <v/>
      </c>
      <c r="BF277" s="71" t="str">
        <f>IF(AND($AU277=1,$AJ277=1),$BA277*100000+ROW(),"")</f>
        <v/>
      </c>
      <c r="BG277" s="71" t="str">
        <f>IF(AND($AV277=1,$AJ277=1),$BA277*100000+ROW(),"")</f>
        <v/>
      </c>
      <c r="BH277" s="71" t="str">
        <f>IF(AND($AW277=1,$AJ277=1),$BA277*100000+ROW(),"")</f>
        <v/>
      </c>
      <c r="BI277" s="71" t="str">
        <f>IF(AND($AX277=1,$AJ277=1),$BA277*100000+ROW(),"")</f>
        <v/>
      </c>
      <c r="BJ277" s="71" t="str">
        <f>IF(AND($AS277=1,$AJ277=1),$BA277*100000+ROW(),"")</f>
        <v/>
      </c>
      <c r="BK277" s="71" t="str">
        <f>IF(AND($AY277=1,$AJ277=1),$BA277*100000+ROW(),"")</f>
        <v/>
      </c>
      <c r="BL277" s="71" t="str">
        <f>IF(AND($AZ277=1),$BA277*100000+ROW(),"")</f>
        <v/>
      </c>
    </row>
    <row r="278">
      <c r="A278" s="63" t="n"/>
      <c r="B278" s="64" t="n"/>
      <c r="C278" s="64" t="n"/>
      <c r="D278" s="64" t="n"/>
      <c r="E278" s="64" t="n"/>
      <c r="F278" s="64" t="n"/>
      <c r="G278" s="65" t="n"/>
      <c r="H278" s="65" t="n"/>
      <c r="I278" s="64" t="n"/>
      <c r="J278" s="64" t="n"/>
      <c r="K278" s="63" t="n"/>
      <c r="L278" s="63" t="n"/>
      <c r="M278" s="64" t="n"/>
      <c r="N278" s="66" t="n"/>
      <c r="O278" s="65" t="n"/>
      <c r="P278" s="64" t="n"/>
      <c r="Q278" s="67" t="n"/>
      <c r="R278" s="67" t="n"/>
      <c r="S278" s="68" t="str">
        <f>IF(AND(ISNUMBER($Q278),ISNUMBER($R278)),$Q278-$R278,"")</f>
        <v/>
      </c>
      <c r="T278" s="65" t="n"/>
      <c r="U278" s="64" t="n"/>
      <c r="V278" s="65" t="n"/>
      <c r="W278" s="63" t="n"/>
      <c r="X278" s="65" t="n"/>
      <c r="Y278" s="63" t="n"/>
      <c r="Z278" s="64" t="n"/>
      <c r="AA278" s="64" t="n"/>
      <c r="AB278" s="65" t="n"/>
      <c r="AC278" s="69" t="str">
        <f>IF(OR($G278="",NOT(ISNUMBER($K278)),$AK278=0),"",MAX(0,ReportDate-$K278))</f>
        <v/>
      </c>
      <c r="AD278" s="69" t="str">
        <f>IF($G278="","",IF($AL278=1,ReportDate-$L278,0))</f>
        <v/>
      </c>
      <c r="AE278" s="70" t="str">
        <f>IF($G278="","",IF($M278="Completed",1,IF(ISNUMBER($N278),$N278,0)))</f>
        <v/>
      </c>
      <c r="AF278" s="70" t="str">
        <f>IF(AND(ISNUMBER($Q278),ISNUMBER($R278)),IF($R278&lt;&gt;0,$Q278/$R278,""),"")</f>
        <v/>
      </c>
      <c r="AG278" s="71" t="str">
        <f>IF($G278="","",IF($AL278=1,"OVERDUE",IF($AM278=1,"BLOCKED",IF($AN278=1,"DUE TODAY",IF($AO278=1,"DUE TOMORROW",IF($AQ278=1,"HIGH PRIORITY",IF($AR278=1,"NO RECENT UPDATE",""))))))) </f>
        <v/>
      </c>
      <c r="AH278" s="71" t="str">
        <f>IF($G278="","",IF(ISNUMBER($A278),IF(ISNUMBER($A278),YEAR($A278)&amp;"-"&amp;TEXT(MONTH($A278),"00"),""),IF(ISNUMBER($L278),IF(ISNUMBER($L278),YEAR($L278)&amp;"-"&amp;TEXT(MONTH($L278),"00"),""),"")))</f>
        <v/>
      </c>
      <c r="AI278" s="71">
        <f>IF($G278="",0,IF(AND(OR(fClient="All",$C278=fClient),OR(fCampaign="All",$D278=fCampaign),OR(fTeam="All",$B278=fTeam),OR(fChannel="All",$F278=fChannel),OR(fMonth="All",$AH278=fMonth),OR(fTStatus="All",$M278=fTStatus)),1,0))</f>
        <v>0</v>
      </c>
      <c r="AJ278" s="71">
        <f>IF($G278="",0,IF(AND(OR(fClient="All",$C278=fClient),OR(fCampaign="All",$D278=fCampaign),OR(fTeam="All",$B278=fTeam),OR(fChannel="All",$F278=fChannel)),1,0))</f>
        <v>0</v>
      </c>
      <c r="AK278" s="71">
        <f>IF($G278="",0,IF(OR($M278="Completed",$M278="Cancelled"),0,1))</f>
        <v>0</v>
      </c>
      <c r="AL278" s="71">
        <f>IF(AND($AK278=1,ISNUMBER($L278)),IF($L278&lt;ReportDate,1,0),0)</f>
        <v>0</v>
      </c>
      <c r="AM278" s="71">
        <f>IF(AND($G278&lt;&gt;"",$M278="Blocked"),1,0)</f>
        <v>0</v>
      </c>
      <c r="AN278" s="71">
        <f>IF(AND($AK278=1,ISNUMBER($L278)),IF($L278=ReportDate,1,0),0)</f>
        <v>0</v>
      </c>
      <c r="AO278" s="71">
        <f>IF(AND($AK278=1,ISNUMBER($L278)),IF($L278=ReportDate+1,1,0),0)</f>
        <v>0</v>
      </c>
      <c r="AP278" s="71">
        <f>IF(AND($AK278=1,ISNUMBER($L278)),IF(AND($L278&gt;=ReportDate,$L278&lt;=ReportDate+DueSoonDays),1,0),0)</f>
        <v>0</v>
      </c>
      <c r="AQ278" s="71">
        <f>IF(AND($AK278=1,OR($I278="Critical",$I278="High")),1,0)</f>
        <v>0</v>
      </c>
      <c r="AR278" s="71">
        <f>IF($AK278=1,IF(ISNUMBER($Y278),IF(ReportDate-$Y278&gt;StaleDays,1,0),1),0)</f>
        <v>0</v>
      </c>
      <c r="AS278" s="71">
        <f>IF(AND($G278&lt;&gt;"",ISNUMBER($Q278),ISNUMBER($R278)),IF(AND($Q278&lt;$R278,OR($M278="Completed",AND(ISNUMBER($L278),$L278&lt;ReportDate))),1,0),0)</f>
        <v>0</v>
      </c>
      <c r="AT278" s="71">
        <f>IF($AK278=1,IF(OR($L278=ReportDate,$W278=ReportDate,$K278=ReportDate,$A278=ReportDate),1,0),0)</f>
        <v>0</v>
      </c>
      <c r="AU278" s="71">
        <f>IF($AK278=1,IF(OR($L278=ReportDate+1,$W278=ReportDate+1,$K278=ReportDate+1,$A278=ReportDate+1),1,0),0)</f>
        <v>0</v>
      </c>
      <c r="AV278" s="71">
        <f>IF(AND($G278&lt;&gt;"",$M278="Completed"),IF(OR($Y278=ReportDate-1,$A278=ReportDate-1),1,0),0)</f>
        <v>0</v>
      </c>
      <c r="AW278" s="71">
        <f>IF(AND($AK278=1,$Z278="Yes"),1,0)</f>
        <v>0</v>
      </c>
      <c r="AX278" s="71">
        <f>IF(AND($AK278=1,$AA278="Yes"),1,0)</f>
        <v>0</v>
      </c>
      <c r="AY278" s="71">
        <f>IF(AND($AM278=1,OR($I278="Critical",$I278="High")),1,0)</f>
        <v>0</v>
      </c>
      <c r="AZ278" s="71">
        <f>IF(AND($AK278=1,OR($C278=TCL_Client,$C278=MECCA_Client)),1,0)</f>
        <v>0</v>
      </c>
      <c r="BA278" s="71" t="str">
        <f>IF($G278="","",IFERROR(MATCH($I278,lst_Priority,0),5))</f>
        <v/>
      </c>
      <c r="BB278" s="71" t="str">
        <f>IF(AND($AL278=1,$AJ278=1),$BA278*100000+ROW(),"")</f>
        <v/>
      </c>
      <c r="BC278" s="71" t="str">
        <f>IF(AND($AM278=1,$AJ278=1),$BA278*100000+ROW(),"")</f>
        <v/>
      </c>
      <c r="BD278" s="71" t="str">
        <f>IF(AND($AP278=1,$AJ278=1),$BA278*100000+ROW(),"")</f>
        <v/>
      </c>
      <c r="BE278" s="71" t="str">
        <f>IF(AND($AT278=1,$AJ278=1),$BA278*100000+ROW(),"")</f>
        <v/>
      </c>
      <c r="BF278" s="71" t="str">
        <f>IF(AND($AU278=1,$AJ278=1),$BA278*100000+ROW(),"")</f>
        <v/>
      </c>
      <c r="BG278" s="71" t="str">
        <f>IF(AND($AV278=1,$AJ278=1),$BA278*100000+ROW(),"")</f>
        <v/>
      </c>
      <c r="BH278" s="71" t="str">
        <f>IF(AND($AW278=1,$AJ278=1),$BA278*100000+ROW(),"")</f>
        <v/>
      </c>
      <c r="BI278" s="71" t="str">
        <f>IF(AND($AX278=1,$AJ278=1),$BA278*100000+ROW(),"")</f>
        <v/>
      </c>
      <c r="BJ278" s="71" t="str">
        <f>IF(AND($AS278=1,$AJ278=1),$BA278*100000+ROW(),"")</f>
        <v/>
      </c>
      <c r="BK278" s="71" t="str">
        <f>IF(AND($AY278=1,$AJ278=1),$BA278*100000+ROW(),"")</f>
        <v/>
      </c>
      <c r="BL278" s="71" t="str">
        <f>IF(AND($AZ278=1),$BA278*100000+ROW(),"")</f>
        <v/>
      </c>
    </row>
    <row r="279">
      <c r="A279" s="63" t="n"/>
      <c r="B279" s="64" t="n"/>
      <c r="C279" s="64" t="n"/>
      <c r="D279" s="64" t="n"/>
      <c r="E279" s="64" t="n"/>
      <c r="F279" s="64" t="n"/>
      <c r="G279" s="65" t="n"/>
      <c r="H279" s="65" t="n"/>
      <c r="I279" s="64" t="n"/>
      <c r="J279" s="64" t="n"/>
      <c r="K279" s="63" t="n"/>
      <c r="L279" s="63" t="n"/>
      <c r="M279" s="64" t="n"/>
      <c r="N279" s="66" t="n"/>
      <c r="O279" s="65" t="n"/>
      <c r="P279" s="64" t="n"/>
      <c r="Q279" s="67" t="n"/>
      <c r="R279" s="67" t="n"/>
      <c r="S279" s="68" t="str">
        <f>IF(AND(ISNUMBER($Q279),ISNUMBER($R279)),$Q279-$R279,"")</f>
        <v/>
      </c>
      <c r="T279" s="65" t="n"/>
      <c r="U279" s="64" t="n"/>
      <c r="V279" s="65" t="n"/>
      <c r="W279" s="63" t="n"/>
      <c r="X279" s="65" t="n"/>
      <c r="Y279" s="63" t="n"/>
      <c r="Z279" s="64" t="n"/>
      <c r="AA279" s="64" t="n"/>
      <c r="AB279" s="65" t="n"/>
      <c r="AC279" s="69" t="str">
        <f>IF(OR($G279="",NOT(ISNUMBER($K279)),$AK279=0),"",MAX(0,ReportDate-$K279))</f>
        <v/>
      </c>
      <c r="AD279" s="69" t="str">
        <f>IF($G279="","",IF($AL279=1,ReportDate-$L279,0))</f>
        <v/>
      </c>
      <c r="AE279" s="70" t="str">
        <f>IF($G279="","",IF($M279="Completed",1,IF(ISNUMBER($N279),$N279,0)))</f>
        <v/>
      </c>
      <c r="AF279" s="70" t="str">
        <f>IF(AND(ISNUMBER($Q279),ISNUMBER($R279)),IF($R279&lt;&gt;0,$Q279/$R279,""),"")</f>
        <v/>
      </c>
      <c r="AG279" s="71" t="str">
        <f>IF($G279="","",IF($AL279=1,"OVERDUE",IF($AM279=1,"BLOCKED",IF($AN279=1,"DUE TODAY",IF($AO279=1,"DUE TOMORROW",IF($AQ279=1,"HIGH PRIORITY",IF($AR279=1,"NO RECENT UPDATE",""))))))) </f>
        <v/>
      </c>
      <c r="AH279" s="71" t="str">
        <f>IF($G279="","",IF(ISNUMBER($A279),IF(ISNUMBER($A279),YEAR($A279)&amp;"-"&amp;TEXT(MONTH($A279),"00"),""),IF(ISNUMBER($L279),IF(ISNUMBER($L279),YEAR($L279)&amp;"-"&amp;TEXT(MONTH($L279),"00"),""),"")))</f>
        <v/>
      </c>
      <c r="AI279" s="71">
        <f>IF($G279="",0,IF(AND(OR(fClient="All",$C279=fClient),OR(fCampaign="All",$D279=fCampaign),OR(fTeam="All",$B279=fTeam),OR(fChannel="All",$F279=fChannel),OR(fMonth="All",$AH279=fMonth),OR(fTStatus="All",$M279=fTStatus)),1,0))</f>
        <v>0</v>
      </c>
      <c r="AJ279" s="71">
        <f>IF($G279="",0,IF(AND(OR(fClient="All",$C279=fClient),OR(fCampaign="All",$D279=fCampaign),OR(fTeam="All",$B279=fTeam),OR(fChannel="All",$F279=fChannel)),1,0))</f>
        <v>0</v>
      </c>
      <c r="AK279" s="71">
        <f>IF($G279="",0,IF(OR($M279="Completed",$M279="Cancelled"),0,1))</f>
        <v>0</v>
      </c>
      <c r="AL279" s="71">
        <f>IF(AND($AK279=1,ISNUMBER($L279)),IF($L279&lt;ReportDate,1,0),0)</f>
        <v>0</v>
      </c>
      <c r="AM279" s="71">
        <f>IF(AND($G279&lt;&gt;"",$M279="Blocked"),1,0)</f>
        <v>0</v>
      </c>
      <c r="AN279" s="71">
        <f>IF(AND($AK279=1,ISNUMBER($L279)),IF($L279=ReportDate,1,0),0)</f>
        <v>0</v>
      </c>
      <c r="AO279" s="71">
        <f>IF(AND($AK279=1,ISNUMBER($L279)),IF($L279=ReportDate+1,1,0),0)</f>
        <v>0</v>
      </c>
      <c r="AP279" s="71">
        <f>IF(AND($AK279=1,ISNUMBER($L279)),IF(AND($L279&gt;=ReportDate,$L279&lt;=ReportDate+DueSoonDays),1,0),0)</f>
        <v>0</v>
      </c>
      <c r="AQ279" s="71">
        <f>IF(AND($AK279=1,OR($I279="Critical",$I279="High")),1,0)</f>
        <v>0</v>
      </c>
      <c r="AR279" s="71">
        <f>IF($AK279=1,IF(ISNUMBER($Y279),IF(ReportDate-$Y279&gt;StaleDays,1,0),1),0)</f>
        <v>0</v>
      </c>
      <c r="AS279" s="71">
        <f>IF(AND($G279&lt;&gt;"",ISNUMBER($Q279),ISNUMBER($R279)),IF(AND($Q279&lt;$R279,OR($M279="Completed",AND(ISNUMBER($L279),$L279&lt;ReportDate))),1,0),0)</f>
        <v>0</v>
      </c>
      <c r="AT279" s="71">
        <f>IF($AK279=1,IF(OR($L279=ReportDate,$W279=ReportDate,$K279=ReportDate,$A279=ReportDate),1,0),0)</f>
        <v>0</v>
      </c>
      <c r="AU279" s="71">
        <f>IF($AK279=1,IF(OR($L279=ReportDate+1,$W279=ReportDate+1,$K279=ReportDate+1,$A279=ReportDate+1),1,0),0)</f>
        <v>0</v>
      </c>
      <c r="AV279" s="71">
        <f>IF(AND($G279&lt;&gt;"",$M279="Completed"),IF(OR($Y279=ReportDate-1,$A279=ReportDate-1),1,0),0)</f>
        <v>0</v>
      </c>
      <c r="AW279" s="71">
        <f>IF(AND($AK279=1,$Z279="Yes"),1,0)</f>
        <v>0</v>
      </c>
      <c r="AX279" s="71">
        <f>IF(AND($AK279=1,$AA279="Yes"),1,0)</f>
        <v>0</v>
      </c>
      <c r="AY279" s="71">
        <f>IF(AND($AM279=1,OR($I279="Critical",$I279="High")),1,0)</f>
        <v>0</v>
      </c>
      <c r="AZ279" s="71">
        <f>IF(AND($AK279=1,OR($C279=TCL_Client,$C279=MECCA_Client)),1,0)</f>
        <v>0</v>
      </c>
      <c r="BA279" s="71" t="str">
        <f>IF($G279="","",IFERROR(MATCH($I279,lst_Priority,0),5))</f>
        <v/>
      </c>
      <c r="BB279" s="71" t="str">
        <f>IF(AND($AL279=1,$AJ279=1),$BA279*100000+ROW(),"")</f>
        <v/>
      </c>
      <c r="BC279" s="71" t="str">
        <f>IF(AND($AM279=1,$AJ279=1),$BA279*100000+ROW(),"")</f>
        <v/>
      </c>
      <c r="BD279" s="71" t="str">
        <f>IF(AND($AP279=1,$AJ279=1),$BA279*100000+ROW(),"")</f>
        <v/>
      </c>
      <c r="BE279" s="71" t="str">
        <f>IF(AND($AT279=1,$AJ279=1),$BA279*100000+ROW(),"")</f>
        <v/>
      </c>
      <c r="BF279" s="71" t="str">
        <f>IF(AND($AU279=1,$AJ279=1),$BA279*100000+ROW(),"")</f>
        <v/>
      </c>
      <c r="BG279" s="71" t="str">
        <f>IF(AND($AV279=1,$AJ279=1),$BA279*100000+ROW(),"")</f>
        <v/>
      </c>
      <c r="BH279" s="71" t="str">
        <f>IF(AND($AW279=1,$AJ279=1),$BA279*100000+ROW(),"")</f>
        <v/>
      </c>
      <c r="BI279" s="71" t="str">
        <f>IF(AND($AX279=1,$AJ279=1),$BA279*100000+ROW(),"")</f>
        <v/>
      </c>
      <c r="BJ279" s="71" t="str">
        <f>IF(AND($AS279=1,$AJ279=1),$BA279*100000+ROW(),"")</f>
        <v/>
      </c>
      <c r="BK279" s="71" t="str">
        <f>IF(AND($AY279=1,$AJ279=1),$BA279*100000+ROW(),"")</f>
        <v/>
      </c>
      <c r="BL279" s="71" t="str">
        <f>IF(AND($AZ279=1),$BA279*100000+ROW(),"")</f>
        <v/>
      </c>
    </row>
    <row r="280">
      <c r="A280" s="63" t="n"/>
      <c r="B280" s="64" t="n"/>
      <c r="C280" s="64" t="n"/>
      <c r="D280" s="64" t="n"/>
      <c r="E280" s="64" t="n"/>
      <c r="F280" s="64" t="n"/>
      <c r="G280" s="65" t="n"/>
      <c r="H280" s="65" t="n"/>
      <c r="I280" s="64" t="n"/>
      <c r="J280" s="64" t="n"/>
      <c r="K280" s="63" t="n"/>
      <c r="L280" s="63" t="n"/>
      <c r="M280" s="64" t="n"/>
      <c r="N280" s="66" t="n"/>
      <c r="O280" s="65" t="n"/>
      <c r="P280" s="64" t="n"/>
      <c r="Q280" s="67" t="n"/>
      <c r="R280" s="67" t="n"/>
      <c r="S280" s="68" t="str">
        <f>IF(AND(ISNUMBER($Q280),ISNUMBER($R280)),$Q280-$R280,"")</f>
        <v/>
      </c>
      <c r="T280" s="65" t="n"/>
      <c r="U280" s="64" t="n"/>
      <c r="V280" s="65" t="n"/>
      <c r="W280" s="63" t="n"/>
      <c r="X280" s="65" t="n"/>
      <c r="Y280" s="63" t="n"/>
      <c r="Z280" s="64" t="n"/>
      <c r="AA280" s="64" t="n"/>
      <c r="AB280" s="65" t="n"/>
      <c r="AC280" s="69" t="str">
        <f>IF(OR($G280="",NOT(ISNUMBER($K280)),$AK280=0),"",MAX(0,ReportDate-$K280))</f>
        <v/>
      </c>
      <c r="AD280" s="69" t="str">
        <f>IF($G280="","",IF($AL280=1,ReportDate-$L280,0))</f>
        <v/>
      </c>
      <c r="AE280" s="70" t="str">
        <f>IF($G280="","",IF($M280="Completed",1,IF(ISNUMBER($N280),$N280,0)))</f>
        <v/>
      </c>
      <c r="AF280" s="70" t="str">
        <f>IF(AND(ISNUMBER($Q280),ISNUMBER($R280)),IF($R280&lt;&gt;0,$Q280/$R280,""),"")</f>
        <v/>
      </c>
      <c r="AG280" s="71" t="str">
        <f>IF($G280="","",IF($AL280=1,"OVERDUE",IF($AM280=1,"BLOCKED",IF($AN280=1,"DUE TODAY",IF($AO280=1,"DUE TOMORROW",IF($AQ280=1,"HIGH PRIORITY",IF($AR280=1,"NO RECENT UPDATE",""))))))) </f>
        <v/>
      </c>
      <c r="AH280" s="71" t="str">
        <f>IF($G280="","",IF(ISNUMBER($A280),IF(ISNUMBER($A280),YEAR($A280)&amp;"-"&amp;TEXT(MONTH($A280),"00"),""),IF(ISNUMBER($L280),IF(ISNUMBER($L280),YEAR($L280)&amp;"-"&amp;TEXT(MONTH($L280),"00"),""),"")))</f>
        <v/>
      </c>
      <c r="AI280" s="71">
        <f>IF($G280="",0,IF(AND(OR(fClient="All",$C280=fClient),OR(fCampaign="All",$D280=fCampaign),OR(fTeam="All",$B280=fTeam),OR(fChannel="All",$F280=fChannel),OR(fMonth="All",$AH280=fMonth),OR(fTStatus="All",$M280=fTStatus)),1,0))</f>
        <v>0</v>
      </c>
      <c r="AJ280" s="71">
        <f>IF($G280="",0,IF(AND(OR(fClient="All",$C280=fClient),OR(fCampaign="All",$D280=fCampaign),OR(fTeam="All",$B280=fTeam),OR(fChannel="All",$F280=fChannel)),1,0))</f>
        <v>0</v>
      </c>
      <c r="AK280" s="71">
        <f>IF($G280="",0,IF(OR($M280="Completed",$M280="Cancelled"),0,1))</f>
        <v>0</v>
      </c>
      <c r="AL280" s="71">
        <f>IF(AND($AK280=1,ISNUMBER($L280)),IF($L280&lt;ReportDate,1,0),0)</f>
        <v>0</v>
      </c>
      <c r="AM280" s="71">
        <f>IF(AND($G280&lt;&gt;"",$M280="Blocked"),1,0)</f>
        <v>0</v>
      </c>
      <c r="AN280" s="71">
        <f>IF(AND($AK280=1,ISNUMBER($L280)),IF($L280=ReportDate,1,0),0)</f>
        <v>0</v>
      </c>
      <c r="AO280" s="71">
        <f>IF(AND($AK280=1,ISNUMBER($L280)),IF($L280=ReportDate+1,1,0),0)</f>
        <v>0</v>
      </c>
      <c r="AP280" s="71">
        <f>IF(AND($AK280=1,ISNUMBER($L280)),IF(AND($L280&gt;=ReportDate,$L280&lt;=ReportDate+DueSoonDays),1,0),0)</f>
        <v>0</v>
      </c>
      <c r="AQ280" s="71">
        <f>IF(AND($AK280=1,OR($I280="Critical",$I280="High")),1,0)</f>
        <v>0</v>
      </c>
      <c r="AR280" s="71">
        <f>IF($AK280=1,IF(ISNUMBER($Y280),IF(ReportDate-$Y280&gt;StaleDays,1,0),1),0)</f>
        <v>0</v>
      </c>
      <c r="AS280" s="71">
        <f>IF(AND($G280&lt;&gt;"",ISNUMBER($Q280),ISNUMBER($R280)),IF(AND($Q280&lt;$R280,OR($M280="Completed",AND(ISNUMBER($L280),$L280&lt;ReportDate))),1,0),0)</f>
        <v>0</v>
      </c>
      <c r="AT280" s="71">
        <f>IF($AK280=1,IF(OR($L280=ReportDate,$W280=ReportDate,$K280=ReportDate,$A280=ReportDate),1,0),0)</f>
        <v>0</v>
      </c>
      <c r="AU280" s="71">
        <f>IF($AK280=1,IF(OR($L280=ReportDate+1,$W280=ReportDate+1,$K280=ReportDate+1,$A280=ReportDate+1),1,0),0)</f>
        <v>0</v>
      </c>
      <c r="AV280" s="71">
        <f>IF(AND($G280&lt;&gt;"",$M280="Completed"),IF(OR($Y280=ReportDate-1,$A280=ReportDate-1),1,0),0)</f>
        <v>0</v>
      </c>
      <c r="AW280" s="71">
        <f>IF(AND($AK280=1,$Z280="Yes"),1,0)</f>
        <v>0</v>
      </c>
      <c r="AX280" s="71">
        <f>IF(AND($AK280=1,$AA280="Yes"),1,0)</f>
        <v>0</v>
      </c>
      <c r="AY280" s="71">
        <f>IF(AND($AM280=1,OR($I280="Critical",$I280="High")),1,0)</f>
        <v>0</v>
      </c>
      <c r="AZ280" s="71">
        <f>IF(AND($AK280=1,OR($C280=TCL_Client,$C280=MECCA_Client)),1,0)</f>
        <v>0</v>
      </c>
      <c r="BA280" s="71" t="str">
        <f>IF($G280="","",IFERROR(MATCH($I280,lst_Priority,0),5))</f>
        <v/>
      </c>
      <c r="BB280" s="71" t="str">
        <f>IF(AND($AL280=1,$AJ280=1),$BA280*100000+ROW(),"")</f>
        <v/>
      </c>
      <c r="BC280" s="71" t="str">
        <f>IF(AND($AM280=1,$AJ280=1),$BA280*100000+ROW(),"")</f>
        <v/>
      </c>
      <c r="BD280" s="71" t="str">
        <f>IF(AND($AP280=1,$AJ280=1),$BA280*100000+ROW(),"")</f>
        <v/>
      </c>
      <c r="BE280" s="71" t="str">
        <f>IF(AND($AT280=1,$AJ280=1),$BA280*100000+ROW(),"")</f>
        <v/>
      </c>
      <c r="BF280" s="71" t="str">
        <f>IF(AND($AU280=1,$AJ280=1),$BA280*100000+ROW(),"")</f>
        <v/>
      </c>
      <c r="BG280" s="71" t="str">
        <f>IF(AND($AV280=1,$AJ280=1),$BA280*100000+ROW(),"")</f>
        <v/>
      </c>
      <c r="BH280" s="71" t="str">
        <f>IF(AND($AW280=1,$AJ280=1),$BA280*100000+ROW(),"")</f>
        <v/>
      </c>
      <c r="BI280" s="71" t="str">
        <f>IF(AND($AX280=1,$AJ280=1),$BA280*100000+ROW(),"")</f>
        <v/>
      </c>
      <c r="BJ280" s="71" t="str">
        <f>IF(AND($AS280=1,$AJ280=1),$BA280*100000+ROW(),"")</f>
        <v/>
      </c>
      <c r="BK280" s="71" t="str">
        <f>IF(AND($AY280=1,$AJ280=1),$BA280*100000+ROW(),"")</f>
        <v/>
      </c>
      <c r="BL280" s="71" t="str">
        <f>IF(AND($AZ280=1),$BA280*100000+ROW(),"")</f>
        <v/>
      </c>
    </row>
    <row r="281">
      <c r="A281" s="63" t="n"/>
      <c r="B281" s="64" t="n"/>
      <c r="C281" s="64" t="n"/>
      <c r="D281" s="64" t="n"/>
      <c r="E281" s="64" t="n"/>
      <c r="F281" s="64" t="n"/>
      <c r="G281" s="65" t="n"/>
      <c r="H281" s="65" t="n"/>
      <c r="I281" s="64" t="n"/>
      <c r="J281" s="64" t="n"/>
      <c r="K281" s="63" t="n"/>
      <c r="L281" s="63" t="n"/>
      <c r="M281" s="64" t="n"/>
      <c r="N281" s="66" t="n"/>
      <c r="O281" s="65" t="n"/>
      <c r="P281" s="64" t="n"/>
      <c r="Q281" s="67" t="n"/>
      <c r="R281" s="67" t="n"/>
      <c r="S281" s="68" t="str">
        <f>IF(AND(ISNUMBER($Q281),ISNUMBER($R281)),$Q281-$R281,"")</f>
        <v/>
      </c>
      <c r="T281" s="65" t="n"/>
      <c r="U281" s="64" t="n"/>
      <c r="V281" s="65" t="n"/>
      <c r="W281" s="63" t="n"/>
      <c r="X281" s="65" t="n"/>
      <c r="Y281" s="63" t="n"/>
      <c r="Z281" s="64" t="n"/>
      <c r="AA281" s="64" t="n"/>
      <c r="AB281" s="65" t="n"/>
      <c r="AC281" s="69" t="str">
        <f>IF(OR($G281="",NOT(ISNUMBER($K281)),$AK281=0),"",MAX(0,ReportDate-$K281))</f>
        <v/>
      </c>
      <c r="AD281" s="69" t="str">
        <f>IF($G281="","",IF($AL281=1,ReportDate-$L281,0))</f>
        <v/>
      </c>
      <c r="AE281" s="70" t="str">
        <f>IF($G281="","",IF($M281="Completed",1,IF(ISNUMBER($N281),$N281,0)))</f>
        <v/>
      </c>
      <c r="AF281" s="70" t="str">
        <f>IF(AND(ISNUMBER($Q281),ISNUMBER($R281)),IF($R281&lt;&gt;0,$Q281/$R281,""),"")</f>
        <v/>
      </c>
      <c r="AG281" s="71" t="str">
        <f>IF($G281="","",IF($AL281=1,"OVERDUE",IF($AM281=1,"BLOCKED",IF($AN281=1,"DUE TODAY",IF($AO281=1,"DUE TOMORROW",IF($AQ281=1,"HIGH PRIORITY",IF($AR281=1,"NO RECENT UPDATE",""))))))) </f>
        <v/>
      </c>
      <c r="AH281" s="71" t="str">
        <f>IF($G281="","",IF(ISNUMBER($A281),IF(ISNUMBER($A281),YEAR($A281)&amp;"-"&amp;TEXT(MONTH($A281),"00"),""),IF(ISNUMBER($L281),IF(ISNUMBER($L281),YEAR($L281)&amp;"-"&amp;TEXT(MONTH($L281),"00"),""),"")))</f>
        <v/>
      </c>
      <c r="AI281" s="71">
        <f>IF($G281="",0,IF(AND(OR(fClient="All",$C281=fClient),OR(fCampaign="All",$D281=fCampaign),OR(fTeam="All",$B281=fTeam),OR(fChannel="All",$F281=fChannel),OR(fMonth="All",$AH281=fMonth),OR(fTStatus="All",$M281=fTStatus)),1,0))</f>
        <v>0</v>
      </c>
      <c r="AJ281" s="71">
        <f>IF($G281="",0,IF(AND(OR(fClient="All",$C281=fClient),OR(fCampaign="All",$D281=fCampaign),OR(fTeam="All",$B281=fTeam),OR(fChannel="All",$F281=fChannel)),1,0))</f>
        <v>0</v>
      </c>
      <c r="AK281" s="71">
        <f>IF($G281="",0,IF(OR($M281="Completed",$M281="Cancelled"),0,1))</f>
        <v>0</v>
      </c>
      <c r="AL281" s="71">
        <f>IF(AND($AK281=1,ISNUMBER($L281)),IF($L281&lt;ReportDate,1,0),0)</f>
        <v>0</v>
      </c>
      <c r="AM281" s="71">
        <f>IF(AND($G281&lt;&gt;"",$M281="Blocked"),1,0)</f>
        <v>0</v>
      </c>
      <c r="AN281" s="71">
        <f>IF(AND($AK281=1,ISNUMBER($L281)),IF($L281=ReportDate,1,0),0)</f>
        <v>0</v>
      </c>
      <c r="AO281" s="71">
        <f>IF(AND($AK281=1,ISNUMBER($L281)),IF($L281=ReportDate+1,1,0),0)</f>
        <v>0</v>
      </c>
      <c r="AP281" s="71">
        <f>IF(AND($AK281=1,ISNUMBER($L281)),IF(AND($L281&gt;=ReportDate,$L281&lt;=ReportDate+DueSoonDays),1,0),0)</f>
        <v>0</v>
      </c>
      <c r="AQ281" s="71">
        <f>IF(AND($AK281=1,OR($I281="Critical",$I281="High")),1,0)</f>
        <v>0</v>
      </c>
      <c r="AR281" s="71">
        <f>IF($AK281=1,IF(ISNUMBER($Y281),IF(ReportDate-$Y281&gt;StaleDays,1,0),1),0)</f>
        <v>0</v>
      </c>
      <c r="AS281" s="71">
        <f>IF(AND($G281&lt;&gt;"",ISNUMBER($Q281),ISNUMBER($R281)),IF(AND($Q281&lt;$R281,OR($M281="Completed",AND(ISNUMBER($L281),$L281&lt;ReportDate))),1,0),0)</f>
        <v>0</v>
      </c>
      <c r="AT281" s="71">
        <f>IF($AK281=1,IF(OR($L281=ReportDate,$W281=ReportDate,$K281=ReportDate,$A281=ReportDate),1,0),0)</f>
        <v>0</v>
      </c>
      <c r="AU281" s="71">
        <f>IF($AK281=1,IF(OR($L281=ReportDate+1,$W281=ReportDate+1,$K281=ReportDate+1,$A281=ReportDate+1),1,0),0)</f>
        <v>0</v>
      </c>
      <c r="AV281" s="71">
        <f>IF(AND($G281&lt;&gt;"",$M281="Completed"),IF(OR($Y281=ReportDate-1,$A281=ReportDate-1),1,0),0)</f>
        <v>0</v>
      </c>
      <c r="AW281" s="71">
        <f>IF(AND($AK281=1,$Z281="Yes"),1,0)</f>
        <v>0</v>
      </c>
      <c r="AX281" s="71">
        <f>IF(AND($AK281=1,$AA281="Yes"),1,0)</f>
        <v>0</v>
      </c>
      <c r="AY281" s="71">
        <f>IF(AND($AM281=1,OR($I281="Critical",$I281="High")),1,0)</f>
        <v>0</v>
      </c>
      <c r="AZ281" s="71">
        <f>IF(AND($AK281=1,OR($C281=TCL_Client,$C281=MECCA_Client)),1,0)</f>
        <v>0</v>
      </c>
      <c r="BA281" s="71" t="str">
        <f>IF($G281="","",IFERROR(MATCH($I281,lst_Priority,0),5))</f>
        <v/>
      </c>
      <c r="BB281" s="71" t="str">
        <f>IF(AND($AL281=1,$AJ281=1),$BA281*100000+ROW(),"")</f>
        <v/>
      </c>
      <c r="BC281" s="71" t="str">
        <f>IF(AND($AM281=1,$AJ281=1),$BA281*100000+ROW(),"")</f>
        <v/>
      </c>
      <c r="BD281" s="71" t="str">
        <f>IF(AND($AP281=1,$AJ281=1),$BA281*100000+ROW(),"")</f>
        <v/>
      </c>
      <c r="BE281" s="71" t="str">
        <f>IF(AND($AT281=1,$AJ281=1),$BA281*100000+ROW(),"")</f>
        <v/>
      </c>
      <c r="BF281" s="71" t="str">
        <f>IF(AND($AU281=1,$AJ281=1),$BA281*100000+ROW(),"")</f>
        <v/>
      </c>
      <c r="BG281" s="71" t="str">
        <f>IF(AND($AV281=1,$AJ281=1),$BA281*100000+ROW(),"")</f>
        <v/>
      </c>
      <c r="BH281" s="71" t="str">
        <f>IF(AND($AW281=1,$AJ281=1),$BA281*100000+ROW(),"")</f>
        <v/>
      </c>
      <c r="BI281" s="71" t="str">
        <f>IF(AND($AX281=1,$AJ281=1),$BA281*100000+ROW(),"")</f>
        <v/>
      </c>
      <c r="BJ281" s="71" t="str">
        <f>IF(AND($AS281=1,$AJ281=1),$BA281*100000+ROW(),"")</f>
        <v/>
      </c>
      <c r="BK281" s="71" t="str">
        <f>IF(AND($AY281=1,$AJ281=1),$BA281*100000+ROW(),"")</f>
        <v/>
      </c>
      <c r="BL281" s="71" t="str">
        <f>IF(AND($AZ281=1),$BA281*100000+ROW(),"")</f>
        <v/>
      </c>
    </row>
    <row r="282">
      <c r="A282" s="63" t="n"/>
      <c r="B282" s="64" t="n"/>
      <c r="C282" s="64" t="n"/>
      <c r="D282" s="64" t="n"/>
      <c r="E282" s="64" t="n"/>
      <c r="F282" s="64" t="n"/>
      <c r="G282" s="65" t="n"/>
      <c r="H282" s="65" t="n"/>
      <c r="I282" s="64" t="n"/>
      <c r="J282" s="64" t="n"/>
      <c r="K282" s="63" t="n"/>
      <c r="L282" s="63" t="n"/>
      <c r="M282" s="64" t="n"/>
      <c r="N282" s="66" t="n"/>
      <c r="O282" s="65" t="n"/>
      <c r="P282" s="64" t="n"/>
      <c r="Q282" s="67" t="n"/>
      <c r="R282" s="67" t="n"/>
      <c r="S282" s="68" t="str">
        <f>IF(AND(ISNUMBER($Q282),ISNUMBER($R282)),$Q282-$R282,"")</f>
        <v/>
      </c>
      <c r="T282" s="65" t="n"/>
      <c r="U282" s="64" t="n"/>
      <c r="V282" s="65" t="n"/>
      <c r="W282" s="63" t="n"/>
      <c r="X282" s="65" t="n"/>
      <c r="Y282" s="63" t="n"/>
      <c r="Z282" s="64" t="n"/>
      <c r="AA282" s="64" t="n"/>
      <c r="AB282" s="65" t="n"/>
      <c r="AC282" s="69" t="str">
        <f>IF(OR($G282="",NOT(ISNUMBER($K282)),$AK282=0),"",MAX(0,ReportDate-$K282))</f>
        <v/>
      </c>
      <c r="AD282" s="69" t="str">
        <f>IF($G282="","",IF($AL282=1,ReportDate-$L282,0))</f>
        <v/>
      </c>
      <c r="AE282" s="70" t="str">
        <f>IF($G282="","",IF($M282="Completed",1,IF(ISNUMBER($N282),$N282,0)))</f>
        <v/>
      </c>
      <c r="AF282" s="70" t="str">
        <f>IF(AND(ISNUMBER($Q282),ISNUMBER($R282)),IF($R282&lt;&gt;0,$Q282/$R282,""),"")</f>
        <v/>
      </c>
      <c r="AG282" s="71" t="str">
        <f>IF($G282="","",IF($AL282=1,"OVERDUE",IF($AM282=1,"BLOCKED",IF($AN282=1,"DUE TODAY",IF($AO282=1,"DUE TOMORROW",IF($AQ282=1,"HIGH PRIORITY",IF($AR282=1,"NO RECENT UPDATE",""))))))) </f>
        <v/>
      </c>
      <c r="AH282" s="71" t="str">
        <f>IF($G282="","",IF(ISNUMBER($A282),IF(ISNUMBER($A282),YEAR($A282)&amp;"-"&amp;TEXT(MONTH($A282),"00"),""),IF(ISNUMBER($L282),IF(ISNUMBER($L282),YEAR($L282)&amp;"-"&amp;TEXT(MONTH($L282),"00"),""),"")))</f>
        <v/>
      </c>
      <c r="AI282" s="71">
        <f>IF($G282="",0,IF(AND(OR(fClient="All",$C282=fClient),OR(fCampaign="All",$D282=fCampaign),OR(fTeam="All",$B282=fTeam),OR(fChannel="All",$F282=fChannel),OR(fMonth="All",$AH282=fMonth),OR(fTStatus="All",$M282=fTStatus)),1,0))</f>
        <v>0</v>
      </c>
      <c r="AJ282" s="71">
        <f>IF($G282="",0,IF(AND(OR(fClient="All",$C282=fClient),OR(fCampaign="All",$D282=fCampaign),OR(fTeam="All",$B282=fTeam),OR(fChannel="All",$F282=fChannel)),1,0))</f>
        <v>0</v>
      </c>
      <c r="AK282" s="71">
        <f>IF($G282="",0,IF(OR($M282="Completed",$M282="Cancelled"),0,1))</f>
        <v>0</v>
      </c>
      <c r="AL282" s="71">
        <f>IF(AND($AK282=1,ISNUMBER($L282)),IF($L282&lt;ReportDate,1,0),0)</f>
        <v>0</v>
      </c>
      <c r="AM282" s="71">
        <f>IF(AND($G282&lt;&gt;"",$M282="Blocked"),1,0)</f>
        <v>0</v>
      </c>
      <c r="AN282" s="71">
        <f>IF(AND($AK282=1,ISNUMBER($L282)),IF($L282=ReportDate,1,0),0)</f>
        <v>0</v>
      </c>
      <c r="AO282" s="71">
        <f>IF(AND($AK282=1,ISNUMBER($L282)),IF($L282=ReportDate+1,1,0),0)</f>
        <v>0</v>
      </c>
      <c r="AP282" s="71">
        <f>IF(AND($AK282=1,ISNUMBER($L282)),IF(AND($L282&gt;=ReportDate,$L282&lt;=ReportDate+DueSoonDays),1,0),0)</f>
        <v>0</v>
      </c>
      <c r="AQ282" s="71">
        <f>IF(AND($AK282=1,OR($I282="Critical",$I282="High")),1,0)</f>
        <v>0</v>
      </c>
      <c r="AR282" s="71">
        <f>IF($AK282=1,IF(ISNUMBER($Y282),IF(ReportDate-$Y282&gt;StaleDays,1,0),1),0)</f>
        <v>0</v>
      </c>
      <c r="AS282" s="71">
        <f>IF(AND($G282&lt;&gt;"",ISNUMBER($Q282),ISNUMBER($R282)),IF(AND($Q282&lt;$R282,OR($M282="Completed",AND(ISNUMBER($L282),$L282&lt;ReportDate))),1,0),0)</f>
        <v>0</v>
      </c>
      <c r="AT282" s="71">
        <f>IF($AK282=1,IF(OR($L282=ReportDate,$W282=ReportDate,$K282=ReportDate,$A282=ReportDate),1,0),0)</f>
        <v>0</v>
      </c>
      <c r="AU282" s="71">
        <f>IF($AK282=1,IF(OR($L282=ReportDate+1,$W282=ReportDate+1,$K282=ReportDate+1,$A282=ReportDate+1),1,0),0)</f>
        <v>0</v>
      </c>
      <c r="AV282" s="71">
        <f>IF(AND($G282&lt;&gt;"",$M282="Completed"),IF(OR($Y282=ReportDate-1,$A282=ReportDate-1),1,0),0)</f>
        <v>0</v>
      </c>
      <c r="AW282" s="71">
        <f>IF(AND($AK282=1,$Z282="Yes"),1,0)</f>
        <v>0</v>
      </c>
      <c r="AX282" s="71">
        <f>IF(AND($AK282=1,$AA282="Yes"),1,0)</f>
        <v>0</v>
      </c>
      <c r="AY282" s="71">
        <f>IF(AND($AM282=1,OR($I282="Critical",$I282="High")),1,0)</f>
        <v>0</v>
      </c>
      <c r="AZ282" s="71">
        <f>IF(AND($AK282=1,OR($C282=TCL_Client,$C282=MECCA_Client)),1,0)</f>
        <v>0</v>
      </c>
      <c r="BA282" s="71" t="str">
        <f>IF($G282="","",IFERROR(MATCH($I282,lst_Priority,0),5))</f>
        <v/>
      </c>
      <c r="BB282" s="71" t="str">
        <f>IF(AND($AL282=1,$AJ282=1),$BA282*100000+ROW(),"")</f>
        <v/>
      </c>
      <c r="BC282" s="71" t="str">
        <f>IF(AND($AM282=1,$AJ282=1),$BA282*100000+ROW(),"")</f>
        <v/>
      </c>
      <c r="BD282" s="71" t="str">
        <f>IF(AND($AP282=1,$AJ282=1),$BA282*100000+ROW(),"")</f>
        <v/>
      </c>
      <c r="BE282" s="71" t="str">
        <f>IF(AND($AT282=1,$AJ282=1),$BA282*100000+ROW(),"")</f>
        <v/>
      </c>
      <c r="BF282" s="71" t="str">
        <f>IF(AND($AU282=1,$AJ282=1),$BA282*100000+ROW(),"")</f>
        <v/>
      </c>
      <c r="BG282" s="71" t="str">
        <f>IF(AND($AV282=1,$AJ282=1),$BA282*100000+ROW(),"")</f>
        <v/>
      </c>
      <c r="BH282" s="71" t="str">
        <f>IF(AND($AW282=1,$AJ282=1),$BA282*100000+ROW(),"")</f>
        <v/>
      </c>
      <c r="BI282" s="71" t="str">
        <f>IF(AND($AX282=1,$AJ282=1),$BA282*100000+ROW(),"")</f>
        <v/>
      </c>
      <c r="BJ282" s="71" t="str">
        <f>IF(AND($AS282=1,$AJ282=1),$BA282*100000+ROW(),"")</f>
        <v/>
      </c>
      <c r="BK282" s="71" t="str">
        <f>IF(AND($AY282=1,$AJ282=1),$BA282*100000+ROW(),"")</f>
        <v/>
      </c>
      <c r="BL282" s="71" t="str">
        <f>IF(AND($AZ282=1),$BA282*100000+ROW(),"")</f>
        <v/>
      </c>
    </row>
    <row r="283">
      <c r="A283" s="63" t="n"/>
      <c r="B283" s="64" t="n"/>
      <c r="C283" s="64" t="n"/>
      <c r="D283" s="64" t="n"/>
      <c r="E283" s="64" t="n"/>
      <c r="F283" s="64" t="n"/>
      <c r="G283" s="65" t="n"/>
      <c r="H283" s="65" t="n"/>
      <c r="I283" s="64" t="n"/>
      <c r="J283" s="64" t="n"/>
      <c r="K283" s="63" t="n"/>
      <c r="L283" s="63" t="n"/>
      <c r="M283" s="64" t="n"/>
      <c r="N283" s="66" t="n"/>
      <c r="O283" s="65" t="n"/>
      <c r="P283" s="64" t="n"/>
      <c r="Q283" s="67" t="n"/>
      <c r="R283" s="67" t="n"/>
      <c r="S283" s="68" t="str">
        <f>IF(AND(ISNUMBER($Q283),ISNUMBER($R283)),$Q283-$R283,"")</f>
        <v/>
      </c>
      <c r="T283" s="65" t="n"/>
      <c r="U283" s="64" t="n"/>
      <c r="V283" s="65" t="n"/>
      <c r="W283" s="63" t="n"/>
      <c r="X283" s="65" t="n"/>
      <c r="Y283" s="63" t="n"/>
      <c r="Z283" s="64" t="n"/>
      <c r="AA283" s="64" t="n"/>
      <c r="AB283" s="65" t="n"/>
      <c r="AC283" s="69" t="str">
        <f>IF(OR($G283="",NOT(ISNUMBER($K283)),$AK283=0),"",MAX(0,ReportDate-$K283))</f>
        <v/>
      </c>
      <c r="AD283" s="69" t="str">
        <f>IF($G283="","",IF($AL283=1,ReportDate-$L283,0))</f>
        <v/>
      </c>
      <c r="AE283" s="70" t="str">
        <f>IF($G283="","",IF($M283="Completed",1,IF(ISNUMBER($N283),$N283,0)))</f>
        <v/>
      </c>
      <c r="AF283" s="70" t="str">
        <f>IF(AND(ISNUMBER($Q283),ISNUMBER($R283)),IF($R283&lt;&gt;0,$Q283/$R283,""),"")</f>
        <v/>
      </c>
      <c r="AG283" s="71" t="str">
        <f>IF($G283="","",IF($AL283=1,"OVERDUE",IF($AM283=1,"BLOCKED",IF($AN283=1,"DUE TODAY",IF($AO283=1,"DUE TOMORROW",IF($AQ283=1,"HIGH PRIORITY",IF($AR283=1,"NO RECENT UPDATE",""))))))) </f>
        <v/>
      </c>
      <c r="AH283" s="71" t="str">
        <f>IF($G283="","",IF(ISNUMBER($A283),IF(ISNUMBER($A283),YEAR($A283)&amp;"-"&amp;TEXT(MONTH($A283),"00"),""),IF(ISNUMBER($L283),IF(ISNUMBER($L283),YEAR($L283)&amp;"-"&amp;TEXT(MONTH($L283),"00"),""),"")))</f>
        <v/>
      </c>
      <c r="AI283" s="71">
        <f>IF($G283="",0,IF(AND(OR(fClient="All",$C283=fClient),OR(fCampaign="All",$D283=fCampaign),OR(fTeam="All",$B283=fTeam),OR(fChannel="All",$F283=fChannel),OR(fMonth="All",$AH283=fMonth),OR(fTStatus="All",$M283=fTStatus)),1,0))</f>
        <v>0</v>
      </c>
      <c r="AJ283" s="71">
        <f>IF($G283="",0,IF(AND(OR(fClient="All",$C283=fClient),OR(fCampaign="All",$D283=fCampaign),OR(fTeam="All",$B283=fTeam),OR(fChannel="All",$F283=fChannel)),1,0))</f>
        <v>0</v>
      </c>
      <c r="AK283" s="71">
        <f>IF($G283="",0,IF(OR($M283="Completed",$M283="Cancelled"),0,1))</f>
        <v>0</v>
      </c>
      <c r="AL283" s="71">
        <f>IF(AND($AK283=1,ISNUMBER($L283)),IF($L283&lt;ReportDate,1,0),0)</f>
        <v>0</v>
      </c>
      <c r="AM283" s="71">
        <f>IF(AND($G283&lt;&gt;"",$M283="Blocked"),1,0)</f>
        <v>0</v>
      </c>
      <c r="AN283" s="71">
        <f>IF(AND($AK283=1,ISNUMBER($L283)),IF($L283=ReportDate,1,0),0)</f>
        <v>0</v>
      </c>
      <c r="AO283" s="71">
        <f>IF(AND($AK283=1,ISNUMBER($L283)),IF($L283=ReportDate+1,1,0),0)</f>
        <v>0</v>
      </c>
      <c r="AP283" s="71">
        <f>IF(AND($AK283=1,ISNUMBER($L283)),IF(AND($L283&gt;=ReportDate,$L283&lt;=ReportDate+DueSoonDays),1,0),0)</f>
        <v>0</v>
      </c>
      <c r="AQ283" s="71">
        <f>IF(AND($AK283=1,OR($I283="Critical",$I283="High")),1,0)</f>
        <v>0</v>
      </c>
      <c r="AR283" s="71">
        <f>IF($AK283=1,IF(ISNUMBER($Y283),IF(ReportDate-$Y283&gt;StaleDays,1,0),1),0)</f>
        <v>0</v>
      </c>
      <c r="AS283" s="71">
        <f>IF(AND($G283&lt;&gt;"",ISNUMBER($Q283),ISNUMBER($R283)),IF(AND($Q283&lt;$R283,OR($M283="Completed",AND(ISNUMBER($L283),$L283&lt;ReportDate))),1,0),0)</f>
        <v>0</v>
      </c>
      <c r="AT283" s="71">
        <f>IF($AK283=1,IF(OR($L283=ReportDate,$W283=ReportDate,$K283=ReportDate,$A283=ReportDate),1,0),0)</f>
        <v>0</v>
      </c>
      <c r="AU283" s="71">
        <f>IF($AK283=1,IF(OR($L283=ReportDate+1,$W283=ReportDate+1,$K283=ReportDate+1,$A283=ReportDate+1),1,0),0)</f>
        <v>0</v>
      </c>
      <c r="AV283" s="71">
        <f>IF(AND($G283&lt;&gt;"",$M283="Completed"),IF(OR($Y283=ReportDate-1,$A283=ReportDate-1),1,0),0)</f>
        <v>0</v>
      </c>
      <c r="AW283" s="71">
        <f>IF(AND($AK283=1,$Z283="Yes"),1,0)</f>
        <v>0</v>
      </c>
      <c r="AX283" s="71">
        <f>IF(AND($AK283=1,$AA283="Yes"),1,0)</f>
        <v>0</v>
      </c>
      <c r="AY283" s="71">
        <f>IF(AND($AM283=1,OR($I283="Critical",$I283="High")),1,0)</f>
        <v>0</v>
      </c>
      <c r="AZ283" s="71">
        <f>IF(AND($AK283=1,OR($C283=TCL_Client,$C283=MECCA_Client)),1,0)</f>
        <v>0</v>
      </c>
      <c r="BA283" s="71" t="str">
        <f>IF($G283="","",IFERROR(MATCH($I283,lst_Priority,0),5))</f>
        <v/>
      </c>
      <c r="BB283" s="71" t="str">
        <f>IF(AND($AL283=1,$AJ283=1),$BA283*100000+ROW(),"")</f>
        <v/>
      </c>
      <c r="BC283" s="71" t="str">
        <f>IF(AND($AM283=1,$AJ283=1),$BA283*100000+ROW(),"")</f>
        <v/>
      </c>
      <c r="BD283" s="71" t="str">
        <f>IF(AND($AP283=1,$AJ283=1),$BA283*100000+ROW(),"")</f>
        <v/>
      </c>
      <c r="BE283" s="71" t="str">
        <f>IF(AND($AT283=1,$AJ283=1),$BA283*100000+ROW(),"")</f>
        <v/>
      </c>
      <c r="BF283" s="71" t="str">
        <f>IF(AND($AU283=1,$AJ283=1),$BA283*100000+ROW(),"")</f>
        <v/>
      </c>
      <c r="BG283" s="71" t="str">
        <f>IF(AND($AV283=1,$AJ283=1),$BA283*100000+ROW(),"")</f>
        <v/>
      </c>
      <c r="BH283" s="71" t="str">
        <f>IF(AND($AW283=1,$AJ283=1),$BA283*100000+ROW(),"")</f>
        <v/>
      </c>
      <c r="BI283" s="71" t="str">
        <f>IF(AND($AX283=1,$AJ283=1),$BA283*100000+ROW(),"")</f>
        <v/>
      </c>
      <c r="BJ283" s="71" t="str">
        <f>IF(AND($AS283=1,$AJ283=1),$BA283*100000+ROW(),"")</f>
        <v/>
      </c>
      <c r="BK283" s="71" t="str">
        <f>IF(AND($AY283=1,$AJ283=1),$BA283*100000+ROW(),"")</f>
        <v/>
      </c>
      <c r="BL283" s="71" t="str">
        <f>IF(AND($AZ283=1),$BA283*100000+ROW(),"")</f>
        <v/>
      </c>
    </row>
    <row r="284">
      <c r="A284" s="63" t="n"/>
      <c r="B284" s="64" t="n"/>
      <c r="C284" s="64" t="n"/>
      <c r="D284" s="64" t="n"/>
      <c r="E284" s="64" t="n"/>
      <c r="F284" s="64" t="n"/>
      <c r="G284" s="65" t="n"/>
      <c r="H284" s="65" t="n"/>
      <c r="I284" s="64" t="n"/>
      <c r="J284" s="64" t="n"/>
      <c r="K284" s="63" t="n"/>
      <c r="L284" s="63" t="n"/>
      <c r="M284" s="64" t="n"/>
      <c r="N284" s="66" t="n"/>
      <c r="O284" s="65" t="n"/>
      <c r="P284" s="64" t="n"/>
      <c r="Q284" s="67" t="n"/>
      <c r="R284" s="67" t="n"/>
      <c r="S284" s="68" t="str">
        <f>IF(AND(ISNUMBER($Q284),ISNUMBER($R284)),$Q284-$R284,"")</f>
        <v/>
      </c>
      <c r="T284" s="65" t="n"/>
      <c r="U284" s="64" t="n"/>
      <c r="V284" s="65" t="n"/>
      <c r="W284" s="63" t="n"/>
      <c r="X284" s="65" t="n"/>
      <c r="Y284" s="63" t="n"/>
      <c r="Z284" s="64" t="n"/>
      <c r="AA284" s="64" t="n"/>
      <c r="AB284" s="65" t="n"/>
      <c r="AC284" s="69" t="str">
        <f>IF(OR($G284="",NOT(ISNUMBER($K284)),$AK284=0),"",MAX(0,ReportDate-$K284))</f>
        <v/>
      </c>
      <c r="AD284" s="69" t="str">
        <f>IF($G284="","",IF($AL284=1,ReportDate-$L284,0))</f>
        <v/>
      </c>
      <c r="AE284" s="70" t="str">
        <f>IF($G284="","",IF($M284="Completed",1,IF(ISNUMBER($N284),$N284,0)))</f>
        <v/>
      </c>
      <c r="AF284" s="70" t="str">
        <f>IF(AND(ISNUMBER($Q284),ISNUMBER($R284)),IF($R284&lt;&gt;0,$Q284/$R284,""),"")</f>
        <v/>
      </c>
      <c r="AG284" s="71" t="str">
        <f>IF($G284="","",IF($AL284=1,"OVERDUE",IF($AM284=1,"BLOCKED",IF($AN284=1,"DUE TODAY",IF($AO284=1,"DUE TOMORROW",IF($AQ284=1,"HIGH PRIORITY",IF($AR284=1,"NO RECENT UPDATE",""))))))) </f>
        <v/>
      </c>
      <c r="AH284" s="71" t="str">
        <f>IF($G284="","",IF(ISNUMBER($A284),IF(ISNUMBER($A284),YEAR($A284)&amp;"-"&amp;TEXT(MONTH($A284),"00"),""),IF(ISNUMBER($L284),IF(ISNUMBER($L284),YEAR($L284)&amp;"-"&amp;TEXT(MONTH($L284),"00"),""),"")))</f>
        <v/>
      </c>
      <c r="AI284" s="71">
        <f>IF($G284="",0,IF(AND(OR(fClient="All",$C284=fClient),OR(fCampaign="All",$D284=fCampaign),OR(fTeam="All",$B284=fTeam),OR(fChannel="All",$F284=fChannel),OR(fMonth="All",$AH284=fMonth),OR(fTStatus="All",$M284=fTStatus)),1,0))</f>
        <v>0</v>
      </c>
      <c r="AJ284" s="71">
        <f>IF($G284="",0,IF(AND(OR(fClient="All",$C284=fClient),OR(fCampaign="All",$D284=fCampaign),OR(fTeam="All",$B284=fTeam),OR(fChannel="All",$F284=fChannel)),1,0))</f>
        <v>0</v>
      </c>
      <c r="AK284" s="71">
        <f>IF($G284="",0,IF(OR($M284="Completed",$M284="Cancelled"),0,1))</f>
        <v>0</v>
      </c>
      <c r="AL284" s="71">
        <f>IF(AND($AK284=1,ISNUMBER($L284)),IF($L284&lt;ReportDate,1,0),0)</f>
        <v>0</v>
      </c>
      <c r="AM284" s="71">
        <f>IF(AND($G284&lt;&gt;"",$M284="Blocked"),1,0)</f>
        <v>0</v>
      </c>
      <c r="AN284" s="71">
        <f>IF(AND($AK284=1,ISNUMBER($L284)),IF($L284=ReportDate,1,0),0)</f>
        <v>0</v>
      </c>
      <c r="AO284" s="71">
        <f>IF(AND($AK284=1,ISNUMBER($L284)),IF($L284=ReportDate+1,1,0),0)</f>
        <v>0</v>
      </c>
      <c r="AP284" s="71">
        <f>IF(AND($AK284=1,ISNUMBER($L284)),IF(AND($L284&gt;=ReportDate,$L284&lt;=ReportDate+DueSoonDays),1,0),0)</f>
        <v>0</v>
      </c>
      <c r="AQ284" s="71">
        <f>IF(AND($AK284=1,OR($I284="Critical",$I284="High")),1,0)</f>
        <v>0</v>
      </c>
      <c r="AR284" s="71">
        <f>IF($AK284=1,IF(ISNUMBER($Y284),IF(ReportDate-$Y284&gt;StaleDays,1,0),1),0)</f>
        <v>0</v>
      </c>
      <c r="AS284" s="71">
        <f>IF(AND($G284&lt;&gt;"",ISNUMBER($Q284),ISNUMBER($R284)),IF(AND($Q284&lt;$R284,OR($M284="Completed",AND(ISNUMBER($L284),$L284&lt;ReportDate))),1,0),0)</f>
        <v>0</v>
      </c>
      <c r="AT284" s="71">
        <f>IF($AK284=1,IF(OR($L284=ReportDate,$W284=ReportDate,$K284=ReportDate,$A284=ReportDate),1,0),0)</f>
        <v>0</v>
      </c>
      <c r="AU284" s="71">
        <f>IF($AK284=1,IF(OR($L284=ReportDate+1,$W284=ReportDate+1,$K284=ReportDate+1,$A284=ReportDate+1),1,0),0)</f>
        <v>0</v>
      </c>
      <c r="AV284" s="71">
        <f>IF(AND($G284&lt;&gt;"",$M284="Completed"),IF(OR($Y284=ReportDate-1,$A284=ReportDate-1),1,0),0)</f>
        <v>0</v>
      </c>
      <c r="AW284" s="71">
        <f>IF(AND($AK284=1,$Z284="Yes"),1,0)</f>
        <v>0</v>
      </c>
      <c r="AX284" s="71">
        <f>IF(AND($AK284=1,$AA284="Yes"),1,0)</f>
        <v>0</v>
      </c>
      <c r="AY284" s="71">
        <f>IF(AND($AM284=1,OR($I284="Critical",$I284="High")),1,0)</f>
        <v>0</v>
      </c>
      <c r="AZ284" s="71">
        <f>IF(AND($AK284=1,OR($C284=TCL_Client,$C284=MECCA_Client)),1,0)</f>
        <v>0</v>
      </c>
      <c r="BA284" s="71" t="str">
        <f>IF($G284="","",IFERROR(MATCH($I284,lst_Priority,0),5))</f>
        <v/>
      </c>
      <c r="BB284" s="71" t="str">
        <f>IF(AND($AL284=1,$AJ284=1),$BA284*100000+ROW(),"")</f>
        <v/>
      </c>
      <c r="BC284" s="71" t="str">
        <f>IF(AND($AM284=1,$AJ284=1),$BA284*100000+ROW(),"")</f>
        <v/>
      </c>
      <c r="BD284" s="71" t="str">
        <f>IF(AND($AP284=1,$AJ284=1),$BA284*100000+ROW(),"")</f>
        <v/>
      </c>
      <c r="BE284" s="71" t="str">
        <f>IF(AND($AT284=1,$AJ284=1),$BA284*100000+ROW(),"")</f>
        <v/>
      </c>
      <c r="BF284" s="71" t="str">
        <f>IF(AND($AU284=1,$AJ284=1),$BA284*100000+ROW(),"")</f>
        <v/>
      </c>
      <c r="BG284" s="71" t="str">
        <f>IF(AND($AV284=1,$AJ284=1),$BA284*100000+ROW(),"")</f>
        <v/>
      </c>
      <c r="BH284" s="71" t="str">
        <f>IF(AND($AW284=1,$AJ284=1),$BA284*100000+ROW(),"")</f>
        <v/>
      </c>
      <c r="BI284" s="71" t="str">
        <f>IF(AND($AX284=1,$AJ284=1),$BA284*100000+ROW(),"")</f>
        <v/>
      </c>
      <c r="BJ284" s="71" t="str">
        <f>IF(AND($AS284=1,$AJ284=1),$BA284*100000+ROW(),"")</f>
        <v/>
      </c>
      <c r="BK284" s="71" t="str">
        <f>IF(AND($AY284=1,$AJ284=1),$BA284*100000+ROW(),"")</f>
        <v/>
      </c>
      <c r="BL284" s="71" t="str">
        <f>IF(AND($AZ284=1),$BA284*100000+ROW(),"")</f>
        <v/>
      </c>
    </row>
    <row r="285">
      <c r="A285" s="63" t="n"/>
      <c r="B285" s="64" t="n"/>
      <c r="C285" s="64" t="n"/>
      <c r="D285" s="64" t="n"/>
      <c r="E285" s="64" t="n"/>
      <c r="F285" s="64" t="n"/>
      <c r="G285" s="65" t="n"/>
      <c r="H285" s="65" t="n"/>
      <c r="I285" s="64" t="n"/>
      <c r="J285" s="64" t="n"/>
      <c r="K285" s="63" t="n"/>
      <c r="L285" s="63" t="n"/>
      <c r="M285" s="64" t="n"/>
      <c r="N285" s="66" t="n"/>
      <c r="O285" s="65" t="n"/>
      <c r="P285" s="64" t="n"/>
      <c r="Q285" s="67" t="n"/>
      <c r="R285" s="67" t="n"/>
      <c r="S285" s="68" t="str">
        <f>IF(AND(ISNUMBER($Q285),ISNUMBER($R285)),$Q285-$R285,"")</f>
        <v/>
      </c>
      <c r="T285" s="65" t="n"/>
      <c r="U285" s="64" t="n"/>
      <c r="V285" s="65" t="n"/>
      <c r="W285" s="63" t="n"/>
      <c r="X285" s="65" t="n"/>
      <c r="Y285" s="63" t="n"/>
      <c r="Z285" s="64" t="n"/>
      <c r="AA285" s="64" t="n"/>
      <c r="AB285" s="65" t="n"/>
      <c r="AC285" s="69" t="str">
        <f>IF(OR($G285="",NOT(ISNUMBER($K285)),$AK285=0),"",MAX(0,ReportDate-$K285))</f>
        <v/>
      </c>
      <c r="AD285" s="69" t="str">
        <f>IF($G285="","",IF($AL285=1,ReportDate-$L285,0))</f>
        <v/>
      </c>
      <c r="AE285" s="70" t="str">
        <f>IF($G285="","",IF($M285="Completed",1,IF(ISNUMBER($N285),$N285,0)))</f>
        <v/>
      </c>
      <c r="AF285" s="70" t="str">
        <f>IF(AND(ISNUMBER($Q285),ISNUMBER($R285)),IF($R285&lt;&gt;0,$Q285/$R285,""),"")</f>
        <v/>
      </c>
      <c r="AG285" s="71" t="str">
        <f>IF($G285="","",IF($AL285=1,"OVERDUE",IF($AM285=1,"BLOCKED",IF($AN285=1,"DUE TODAY",IF($AO285=1,"DUE TOMORROW",IF($AQ285=1,"HIGH PRIORITY",IF($AR285=1,"NO RECENT UPDATE",""))))))) </f>
        <v/>
      </c>
      <c r="AH285" s="71" t="str">
        <f>IF($G285="","",IF(ISNUMBER($A285),IF(ISNUMBER($A285),YEAR($A285)&amp;"-"&amp;TEXT(MONTH($A285),"00"),""),IF(ISNUMBER($L285),IF(ISNUMBER($L285),YEAR($L285)&amp;"-"&amp;TEXT(MONTH($L285),"00"),""),"")))</f>
        <v/>
      </c>
      <c r="AI285" s="71">
        <f>IF($G285="",0,IF(AND(OR(fClient="All",$C285=fClient),OR(fCampaign="All",$D285=fCampaign),OR(fTeam="All",$B285=fTeam),OR(fChannel="All",$F285=fChannel),OR(fMonth="All",$AH285=fMonth),OR(fTStatus="All",$M285=fTStatus)),1,0))</f>
        <v>0</v>
      </c>
      <c r="AJ285" s="71">
        <f>IF($G285="",0,IF(AND(OR(fClient="All",$C285=fClient),OR(fCampaign="All",$D285=fCampaign),OR(fTeam="All",$B285=fTeam),OR(fChannel="All",$F285=fChannel)),1,0))</f>
        <v>0</v>
      </c>
      <c r="AK285" s="71">
        <f>IF($G285="",0,IF(OR($M285="Completed",$M285="Cancelled"),0,1))</f>
        <v>0</v>
      </c>
      <c r="AL285" s="71">
        <f>IF(AND($AK285=1,ISNUMBER($L285)),IF($L285&lt;ReportDate,1,0),0)</f>
        <v>0</v>
      </c>
      <c r="AM285" s="71">
        <f>IF(AND($G285&lt;&gt;"",$M285="Blocked"),1,0)</f>
        <v>0</v>
      </c>
      <c r="AN285" s="71">
        <f>IF(AND($AK285=1,ISNUMBER($L285)),IF($L285=ReportDate,1,0),0)</f>
        <v>0</v>
      </c>
      <c r="AO285" s="71">
        <f>IF(AND($AK285=1,ISNUMBER($L285)),IF($L285=ReportDate+1,1,0),0)</f>
        <v>0</v>
      </c>
      <c r="AP285" s="71">
        <f>IF(AND($AK285=1,ISNUMBER($L285)),IF(AND($L285&gt;=ReportDate,$L285&lt;=ReportDate+DueSoonDays),1,0),0)</f>
        <v>0</v>
      </c>
      <c r="AQ285" s="71">
        <f>IF(AND($AK285=1,OR($I285="Critical",$I285="High")),1,0)</f>
        <v>0</v>
      </c>
      <c r="AR285" s="71">
        <f>IF($AK285=1,IF(ISNUMBER($Y285),IF(ReportDate-$Y285&gt;StaleDays,1,0),1),0)</f>
        <v>0</v>
      </c>
      <c r="AS285" s="71">
        <f>IF(AND($G285&lt;&gt;"",ISNUMBER($Q285),ISNUMBER($R285)),IF(AND($Q285&lt;$R285,OR($M285="Completed",AND(ISNUMBER($L285),$L285&lt;ReportDate))),1,0),0)</f>
        <v>0</v>
      </c>
      <c r="AT285" s="71">
        <f>IF($AK285=1,IF(OR($L285=ReportDate,$W285=ReportDate,$K285=ReportDate,$A285=ReportDate),1,0),0)</f>
        <v>0</v>
      </c>
      <c r="AU285" s="71">
        <f>IF($AK285=1,IF(OR($L285=ReportDate+1,$W285=ReportDate+1,$K285=ReportDate+1,$A285=ReportDate+1),1,0),0)</f>
        <v>0</v>
      </c>
      <c r="AV285" s="71">
        <f>IF(AND($G285&lt;&gt;"",$M285="Completed"),IF(OR($Y285=ReportDate-1,$A285=ReportDate-1),1,0),0)</f>
        <v>0</v>
      </c>
      <c r="AW285" s="71">
        <f>IF(AND($AK285=1,$Z285="Yes"),1,0)</f>
        <v>0</v>
      </c>
      <c r="AX285" s="71">
        <f>IF(AND($AK285=1,$AA285="Yes"),1,0)</f>
        <v>0</v>
      </c>
      <c r="AY285" s="71">
        <f>IF(AND($AM285=1,OR($I285="Critical",$I285="High")),1,0)</f>
        <v>0</v>
      </c>
      <c r="AZ285" s="71">
        <f>IF(AND($AK285=1,OR($C285=TCL_Client,$C285=MECCA_Client)),1,0)</f>
        <v>0</v>
      </c>
      <c r="BA285" s="71" t="str">
        <f>IF($G285="","",IFERROR(MATCH($I285,lst_Priority,0),5))</f>
        <v/>
      </c>
      <c r="BB285" s="71" t="str">
        <f>IF(AND($AL285=1,$AJ285=1),$BA285*100000+ROW(),"")</f>
        <v/>
      </c>
      <c r="BC285" s="71" t="str">
        <f>IF(AND($AM285=1,$AJ285=1),$BA285*100000+ROW(),"")</f>
        <v/>
      </c>
      <c r="BD285" s="71" t="str">
        <f>IF(AND($AP285=1,$AJ285=1),$BA285*100000+ROW(),"")</f>
        <v/>
      </c>
      <c r="BE285" s="71" t="str">
        <f>IF(AND($AT285=1,$AJ285=1),$BA285*100000+ROW(),"")</f>
        <v/>
      </c>
      <c r="BF285" s="71" t="str">
        <f>IF(AND($AU285=1,$AJ285=1),$BA285*100000+ROW(),"")</f>
        <v/>
      </c>
      <c r="BG285" s="71" t="str">
        <f>IF(AND($AV285=1,$AJ285=1),$BA285*100000+ROW(),"")</f>
        <v/>
      </c>
      <c r="BH285" s="71" t="str">
        <f>IF(AND($AW285=1,$AJ285=1),$BA285*100000+ROW(),"")</f>
        <v/>
      </c>
      <c r="BI285" s="71" t="str">
        <f>IF(AND($AX285=1,$AJ285=1),$BA285*100000+ROW(),"")</f>
        <v/>
      </c>
      <c r="BJ285" s="71" t="str">
        <f>IF(AND($AS285=1,$AJ285=1),$BA285*100000+ROW(),"")</f>
        <v/>
      </c>
      <c r="BK285" s="71" t="str">
        <f>IF(AND($AY285=1,$AJ285=1),$BA285*100000+ROW(),"")</f>
        <v/>
      </c>
      <c r="BL285" s="71" t="str">
        <f>IF(AND($AZ285=1),$BA285*100000+ROW(),"")</f>
        <v/>
      </c>
    </row>
    <row r="286">
      <c r="A286" s="63" t="n"/>
      <c r="B286" s="64" t="n"/>
      <c r="C286" s="64" t="n"/>
      <c r="D286" s="64" t="n"/>
      <c r="E286" s="64" t="n"/>
      <c r="F286" s="64" t="n"/>
      <c r="G286" s="65" t="n"/>
      <c r="H286" s="65" t="n"/>
      <c r="I286" s="64" t="n"/>
      <c r="J286" s="64" t="n"/>
      <c r="K286" s="63" t="n"/>
      <c r="L286" s="63" t="n"/>
      <c r="M286" s="64" t="n"/>
      <c r="N286" s="66" t="n"/>
      <c r="O286" s="65" t="n"/>
      <c r="P286" s="64" t="n"/>
      <c r="Q286" s="67" t="n"/>
      <c r="R286" s="67" t="n"/>
      <c r="S286" s="68" t="str">
        <f>IF(AND(ISNUMBER($Q286),ISNUMBER($R286)),$Q286-$R286,"")</f>
        <v/>
      </c>
      <c r="T286" s="65" t="n"/>
      <c r="U286" s="64" t="n"/>
      <c r="V286" s="65" t="n"/>
      <c r="W286" s="63" t="n"/>
      <c r="X286" s="65" t="n"/>
      <c r="Y286" s="63" t="n"/>
      <c r="Z286" s="64" t="n"/>
      <c r="AA286" s="64" t="n"/>
      <c r="AB286" s="65" t="n"/>
      <c r="AC286" s="69" t="str">
        <f>IF(OR($G286="",NOT(ISNUMBER($K286)),$AK286=0),"",MAX(0,ReportDate-$K286))</f>
        <v/>
      </c>
      <c r="AD286" s="69" t="str">
        <f>IF($G286="","",IF($AL286=1,ReportDate-$L286,0))</f>
        <v/>
      </c>
      <c r="AE286" s="70" t="str">
        <f>IF($G286="","",IF($M286="Completed",1,IF(ISNUMBER($N286),$N286,0)))</f>
        <v/>
      </c>
      <c r="AF286" s="70" t="str">
        <f>IF(AND(ISNUMBER($Q286),ISNUMBER($R286)),IF($R286&lt;&gt;0,$Q286/$R286,""),"")</f>
        <v/>
      </c>
      <c r="AG286" s="71" t="str">
        <f>IF($G286="","",IF($AL286=1,"OVERDUE",IF($AM286=1,"BLOCKED",IF($AN286=1,"DUE TODAY",IF($AO286=1,"DUE TOMORROW",IF($AQ286=1,"HIGH PRIORITY",IF($AR286=1,"NO RECENT UPDATE",""))))))) </f>
        <v/>
      </c>
      <c r="AH286" s="71" t="str">
        <f>IF($G286="","",IF(ISNUMBER($A286),IF(ISNUMBER($A286),YEAR($A286)&amp;"-"&amp;TEXT(MONTH($A286),"00"),""),IF(ISNUMBER($L286),IF(ISNUMBER($L286),YEAR($L286)&amp;"-"&amp;TEXT(MONTH($L286),"00"),""),"")))</f>
        <v/>
      </c>
      <c r="AI286" s="71">
        <f>IF($G286="",0,IF(AND(OR(fClient="All",$C286=fClient),OR(fCampaign="All",$D286=fCampaign),OR(fTeam="All",$B286=fTeam),OR(fChannel="All",$F286=fChannel),OR(fMonth="All",$AH286=fMonth),OR(fTStatus="All",$M286=fTStatus)),1,0))</f>
        <v>0</v>
      </c>
      <c r="AJ286" s="71">
        <f>IF($G286="",0,IF(AND(OR(fClient="All",$C286=fClient),OR(fCampaign="All",$D286=fCampaign),OR(fTeam="All",$B286=fTeam),OR(fChannel="All",$F286=fChannel)),1,0))</f>
        <v>0</v>
      </c>
      <c r="AK286" s="71">
        <f>IF($G286="",0,IF(OR($M286="Completed",$M286="Cancelled"),0,1))</f>
        <v>0</v>
      </c>
      <c r="AL286" s="71">
        <f>IF(AND($AK286=1,ISNUMBER($L286)),IF($L286&lt;ReportDate,1,0),0)</f>
        <v>0</v>
      </c>
      <c r="AM286" s="71">
        <f>IF(AND($G286&lt;&gt;"",$M286="Blocked"),1,0)</f>
        <v>0</v>
      </c>
      <c r="AN286" s="71">
        <f>IF(AND($AK286=1,ISNUMBER($L286)),IF($L286=ReportDate,1,0),0)</f>
        <v>0</v>
      </c>
      <c r="AO286" s="71">
        <f>IF(AND($AK286=1,ISNUMBER($L286)),IF($L286=ReportDate+1,1,0),0)</f>
        <v>0</v>
      </c>
      <c r="AP286" s="71">
        <f>IF(AND($AK286=1,ISNUMBER($L286)),IF(AND($L286&gt;=ReportDate,$L286&lt;=ReportDate+DueSoonDays),1,0),0)</f>
        <v>0</v>
      </c>
      <c r="AQ286" s="71">
        <f>IF(AND($AK286=1,OR($I286="Critical",$I286="High")),1,0)</f>
        <v>0</v>
      </c>
      <c r="AR286" s="71">
        <f>IF($AK286=1,IF(ISNUMBER($Y286),IF(ReportDate-$Y286&gt;StaleDays,1,0),1),0)</f>
        <v>0</v>
      </c>
      <c r="AS286" s="71">
        <f>IF(AND($G286&lt;&gt;"",ISNUMBER($Q286),ISNUMBER($R286)),IF(AND($Q286&lt;$R286,OR($M286="Completed",AND(ISNUMBER($L286),$L286&lt;ReportDate))),1,0),0)</f>
        <v>0</v>
      </c>
      <c r="AT286" s="71">
        <f>IF($AK286=1,IF(OR($L286=ReportDate,$W286=ReportDate,$K286=ReportDate,$A286=ReportDate),1,0),0)</f>
        <v>0</v>
      </c>
      <c r="AU286" s="71">
        <f>IF($AK286=1,IF(OR($L286=ReportDate+1,$W286=ReportDate+1,$K286=ReportDate+1,$A286=ReportDate+1),1,0),0)</f>
        <v>0</v>
      </c>
      <c r="AV286" s="71">
        <f>IF(AND($G286&lt;&gt;"",$M286="Completed"),IF(OR($Y286=ReportDate-1,$A286=ReportDate-1),1,0),0)</f>
        <v>0</v>
      </c>
      <c r="AW286" s="71">
        <f>IF(AND($AK286=1,$Z286="Yes"),1,0)</f>
        <v>0</v>
      </c>
      <c r="AX286" s="71">
        <f>IF(AND($AK286=1,$AA286="Yes"),1,0)</f>
        <v>0</v>
      </c>
      <c r="AY286" s="71">
        <f>IF(AND($AM286=1,OR($I286="Critical",$I286="High")),1,0)</f>
        <v>0</v>
      </c>
      <c r="AZ286" s="71">
        <f>IF(AND($AK286=1,OR($C286=TCL_Client,$C286=MECCA_Client)),1,0)</f>
        <v>0</v>
      </c>
      <c r="BA286" s="71" t="str">
        <f>IF($G286="","",IFERROR(MATCH($I286,lst_Priority,0),5))</f>
        <v/>
      </c>
      <c r="BB286" s="71" t="str">
        <f>IF(AND($AL286=1,$AJ286=1),$BA286*100000+ROW(),"")</f>
        <v/>
      </c>
      <c r="BC286" s="71" t="str">
        <f>IF(AND($AM286=1,$AJ286=1),$BA286*100000+ROW(),"")</f>
        <v/>
      </c>
      <c r="BD286" s="71" t="str">
        <f>IF(AND($AP286=1,$AJ286=1),$BA286*100000+ROW(),"")</f>
        <v/>
      </c>
      <c r="BE286" s="71" t="str">
        <f>IF(AND($AT286=1,$AJ286=1),$BA286*100000+ROW(),"")</f>
        <v/>
      </c>
      <c r="BF286" s="71" t="str">
        <f>IF(AND($AU286=1,$AJ286=1),$BA286*100000+ROW(),"")</f>
        <v/>
      </c>
      <c r="BG286" s="71" t="str">
        <f>IF(AND($AV286=1,$AJ286=1),$BA286*100000+ROW(),"")</f>
        <v/>
      </c>
      <c r="BH286" s="71" t="str">
        <f>IF(AND($AW286=1,$AJ286=1),$BA286*100000+ROW(),"")</f>
        <v/>
      </c>
      <c r="BI286" s="71" t="str">
        <f>IF(AND($AX286=1,$AJ286=1),$BA286*100000+ROW(),"")</f>
        <v/>
      </c>
      <c r="BJ286" s="71" t="str">
        <f>IF(AND($AS286=1,$AJ286=1),$BA286*100000+ROW(),"")</f>
        <v/>
      </c>
      <c r="BK286" s="71" t="str">
        <f>IF(AND($AY286=1,$AJ286=1),$BA286*100000+ROW(),"")</f>
        <v/>
      </c>
      <c r="BL286" s="71" t="str">
        <f>IF(AND($AZ286=1),$BA286*100000+ROW(),"")</f>
        <v/>
      </c>
    </row>
    <row r="287">
      <c r="A287" s="63" t="n"/>
      <c r="B287" s="64" t="n"/>
      <c r="C287" s="64" t="n"/>
      <c r="D287" s="64" t="n"/>
      <c r="E287" s="64" t="n"/>
      <c r="F287" s="64" t="n"/>
      <c r="G287" s="65" t="n"/>
      <c r="H287" s="65" t="n"/>
      <c r="I287" s="64" t="n"/>
      <c r="J287" s="64" t="n"/>
      <c r="K287" s="63" t="n"/>
      <c r="L287" s="63" t="n"/>
      <c r="M287" s="64" t="n"/>
      <c r="N287" s="66" t="n"/>
      <c r="O287" s="65" t="n"/>
      <c r="P287" s="64" t="n"/>
      <c r="Q287" s="67" t="n"/>
      <c r="R287" s="67" t="n"/>
      <c r="S287" s="68" t="str">
        <f>IF(AND(ISNUMBER($Q287),ISNUMBER($R287)),$Q287-$R287,"")</f>
        <v/>
      </c>
      <c r="T287" s="65" t="n"/>
      <c r="U287" s="64" t="n"/>
      <c r="V287" s="65" t="n"/>
      <c r="W287" s="63" t="n"/>
      <c r="X287" s="65" t="n"/>
      <c r="Y287" s="63" t="n"/>
      <c r="Z287" s="64" t="n"/>
      <c r="AA287" s="64" t="n"/>
      <c r="AB287" s="65" t="n"/>
      <c r="AC287" s="69" t="str">
        <f>IF(OR($G287="",NOT(ISNUMBER($K287)),$AK287=0),"",MAX(0,ReportDate-$K287))</f>
        <v/>
      </c>
      <c r="AD287" s="69" t="str">
        <f>IF($G287="","",IF($AL287=1,ReportDate-$L287,0))</f>
        <v/>
      </c>
      <c r="AE287" s="70" t="str">
        <f>IF($G287="","",IF($M287="Completed",1,IF(ISNUMBER($N287),$N287,0)))</f>
        <v/>
      </c>
      <c r="AF287" s="70" t="str">
        <f>IF(AND(ISNUMBER($Q287),ISNUMBER($R287)),IF($R287&lt;&gt;0,$Q287/$R287,""),"")</f>
        <v/>
      </c>
      <c r="AG287" s="71" t="str">
        <f>IF($G287="","",IF($AL287=1,"OVERDUE",IF($AM287=1,"BLOCKED",IF($AN287=1,"DUE TODAY",IF($AO287=1,"DUE TOMORROW",IF($AQ287=1,"HIGH PRIORITY",IF($AR287=1,"NO RECENT UPDATE",""))))))) </f>
        <v/>
      </c>
      <c r="AH287" s="71" t="str">
        <f>IF($G287="","",IF(ISNUMBER($A287),IF(ISNUMBER($A287),YEAR($A287)&amp;"-"&amp;TEXT(MONTH($A287),"00"),""),IF(ISNUMBER($L287),IF(ISNUMBER($L287),YEAR($L287)&amp;"-"&amp;TEXT(MONTH($L287),"00"),""),"")))</f>
        <v/>
      </c>
      <c r="AI287" s="71">
        <f>IF($G287="",0,IF(AND(OR(fClient="All",$C287=fClient),OR(fCampaign="All",$D287=fCampaign),OR(fTeam="All",$B287=fTeam),OR(fChannel="All",$F287=fChannel),OR(fMonth="All",$AH287=fMonth),OR(fTStatus="All",$M287=fTStatus)),1,0))</f>
        <v>0</v>
      </c>
      <c r="AJ287" s="71">
        <f>IF($G287="",0,IF(AND(OR(fClient="All",$C287=fClient),OR(fCampaign="All",$D287=fCampaign),OR(fTeam="All",$B287=fTeam),OR(fChannel="All",$F287=fChannel)),1,0))</f>
        <v>0</v>
      </c>
      <c r="AK287" s="71">
        <f>IF($G287="",0,IF(OR($M287="Completed",$M287="Cancelled"),0,1))</f>
        <v>0</v>
      </c>
      <c r="AL287" s="71">
        <f>IF(AND($AK287=1,ISNUMBER($L287)),IF($L287&lt;ReportDate,1,0),0)</f>
        <v>0</v>
      </c>
      <c r="AM287" s="71">
        <f>IF(AND($G287&lt;&gt;"",$M287="Blocked"),1,0)</f>
        <v>0</v>
      </c>
      <c r="AN287" s="71">
        <f>IF(AND($AK287=1,ISNUMBER($L287)),IF($L287=ReportDate,1,0),0)</f>
        <v>0</v>
      </c>
      <c r="AO287" s="71">
        <f>IF(AND($AK287=1,ISNUMBER($L287)),IF($L287=ReportDate+1,1,0),0)</f>
        <v>0</v>
      </c>
      <c r="AP287" s="71">
        <f>IF(AND($AK287=1,ISNUMBER($L287)),IF(AND($L287&gt;=ReportDate,$L287&lt;=ReportDate+DueSoonDays),1,0),0)</f>
        <v>0</v>
      </c>
      <c r="AQ287" s="71">
        <f>IF(AND($AK287=1,OR($I287="Critical",$I287="High")),1,0)</f>
        <v>0</v>
      </c>
      <c r="AR287" s="71">
        <f>IF($AK287=1,IF(ISNUMBER($Y287),IF(ReportDate-$Y287&gt;StaleDays,1,0),1),0)</f>
        <v>0</v>
      </c>
      <c r="AS287" s="71">
        <f>IF(AND($G287&lt;&gt;"",ISNUMBER($Q287),ISNUMBER($R287)),IF(AND($Q287&lt;$R287,OR($M287="Completed",AND(ISNUMBER($L287),$L287&lt;ReportDate))),1,0),0)</f>
        <v>0</v>
      </c>
      <c r="AT287" s="71">
        <f>IF($AK287=1,IF(OR($L287=ReportDate,$W287=ReportDate,$K287=ReportDate,$A287=ReportDate),1,0),0)</f>
        <v>0</v>
      </c>
      <c r="AU287" s="71">
        <f>IF($AK287=1,IF(OR($L287=ReportDate+1,$W287=ReportDate+1,$K287=ReportDate+1,$A287=ReportDate+1),1,0),0)</f>
        <v>0</v>
      </c>
      <c r="AV287" s="71">
        <f>IF(AND($G287&lt;&gt;"",$M287="Completed"),IF(OR($Y287=ReportDate-1,$A287=ReportDate-1),1,0),0)</f>
        <v>0</v>
      </c>
      <c r="AW287" s="71">
        <f>IF(AND($AK287=1,$Z287="Yes"),1,0)</f>
        <v>0</v>
      </c>
      <c r="AX287" s="71">
        <f>IF(AND($AK287=1,$AA287="Yes"),1,0)</f>
        <v>0</v>
      </c>
      <c r="AY287" s="71">
        <f>IF(AND($AM287=1,OR($I287="Critical",$I287="High")),1,0)</f>
        <v>0</v>
      </c>
      <c r="AZ287" s="71">
        <f>IF(AND($AK287=1,OR($C287=TCL_Client,$C287=MECCA_Client)),1,0)</f>
        <v>0</v>
      </c>
      <c r="BA287" s="71" t="str">
        <f>IF($G287="","",IFERROR(MATCH($I287,lst_Priority,0),5))</f>
        <v/>
      </c>
      <c r="BB287" s="71" t="str">
        <f>IF(AND($AL287=1,$AJ287=1),$BA287*100000+ROW(),"")</f>
        <v/>
      </c>
      <c r="BC287" s="71" t="str">
        <f>IF(AND($AM287=1,$AJ287=1),$BA287*100000+ROW(),"")</f>
        <v/>
      </c>
      <c r="BD287" s="71" t="str">
        <f>IF(AND($AP287=1,$AJ287=1),$BA287*100000+ROW(),"")</f>
        <v/>
      </c>
      <c r="BE287" s="71" t="str">
        <f>IF(AND($AT287=1,$AJ287=1),$BA287*100000+ROW(),"")</f>
        <v/>
      </c>
      <c r="BF287" s="71" t="str">
        <f>IF(AND($AU287=1,$AJ287=1),$BA287*100000+ROW(),"")</f>
        <v/>
      </c>
      <c r="BG287" s="71" t="str">
        <f>IF(AND($AV287=1,$AJ287=1),$BA287*100000+ROW(),"")</f>
        <v/>
      </c>
      <c r="BH287" s="71" t="str">
        <f>IF(AND($AW287=1,$AJ287=1),$BA287*100000+ROW(),"")</f>
        <v/>
      </c>
      <c r="BI287" s="71" t="str">
        <f>IF(AND($AX287=1,$AJ287=1),$BA287*100000+ROW(),"")</f>
        <v/>
      </c>
      <c r="BJ287" s="71" t="str">
        <f>IF(AND($AS287=1,$AJ287=1),$BA287*100000+ROW(),"")</f>
        <v/>
      </c>
      <c r="BK287" s="71" t="str">
        <f>IF(AND($AY287=1,$AJ287=1),$BA287*100000+ROW(),"")</f>
        <v/>
      </c>
      <c r="BL287" s="71" t="str">
        <f>IF(AND($AZ287=1),$BA287*100000+ROW(),"")</f>
        <v/>
      </c>
    </row>
    <row r="288">
      <c r="A288" s="63" t="n"/>
      <c r="B288" s="64" t="n"/>
      <c r="C288" s="64" t="n"/>
      <c r="D288" s="64" t="n"/>
      <c r="E288" s="64" t="n"/>
      <c r="F288" s="64" t="n"/>
      <c r="G288" s="65" t="n"/>
      <c r="H288" s="65" t="n"/>
      <c r="I288" s="64" t="n"/>
      <c r="J288" s="64" t="n"/>
      <c r="K288" s="63" t="n"/>
      <c r="L288" s="63" t="n"/>
      <c r="M288" s="64" t="n"/>
      <c r="N288" s="66" t="n"/>
      <c r="O288" s="65" t="n"/>
      <c r="P288" s="64" t="n"/>
      <c r="Q288" s="67" t="n"/>
      <c r="R288" s="67" t="n"/>
      <c r="S288" s="68" t="str">
        <f>IF(AND(ISNUMBER($Q288),ISNUMBER($R288)),$Q288-$R288,"")</f>
        <v/>
      </c>
      <c r="T288" s="65" t="n"/>
      <c r="U288" s="64" t="n"/>
      <c r="V288" s="65" t="n"/>
      <c r="W288" s="63" t="n"/>
      <c r="X288" s="65" t="n"/>
      <c r="Y288" s="63" t="n"/>
      <c r="Z288" s="64" t="n"/>
      <c r="AA288" s="64" t="n"/>
      <c r="AB288" s="65" t="n"/>
      <c r="AC288" s="69" t="str">
        <f>IF(OR($G288="",NOT(ISNUMBER($K288)),$AK288=0),"",MAX(0,ReportDate-$K288))</f>
        <v/>
      </c>
      <c r="AD288" s="69" t="str">
        <f>IF($G288="","",IF($AL288=1,ReportDate-$L288,0))</f>
        <v/>
      </c>
      <c r="AE288" s="70" t="str">
        <f>IF($G288="","",IF($M288="Completed",1,IF(ISNUMBER($N288),$N288,0)))</f>
        <v/>
      </c>
      <c r="AF288" s="70" t="str">
        <f>IF(AND(ISNUMBER($Q288),ISNUMBER($R288)),IF($R288&lt;&gt;0,$Q288/$R288,""),"")</f>
        <v/>
      </c>
      <c r="AG288" s="71" t="str">
        <f>IF($G288="","",IF($AL288=1,"OVERDUE",IF($AM288=1,"BLOCKED",IF($AN288=1,"DUE TODAY",IF($AO288=1,"DUE TOMORROW",IF($AQ288=1,"HIGH PRIORITY",IF($AR288=1,"NO RECENT UPDATE",""))))))) </f>
        <v/>
      </c>
      <c r="AH288" s="71" t="str">
        <f>IF($G288="","",IF(ISNUMBER($A288),IF(ISNUMBER($A288),YEAR($A288)&amp;"-"&amp;TEXT(MONTH($A288),"00"),""),IF(ISNUMBER($L288),IF(ISNUMBER($L288),YEAR($L288)&amp;"-"&amp;TEXT(MONTH($L288),"00"),""),"")))</f>
        <v/>
      </c>
      <c r="AI288" s="71">
        <f>IF($G288="",0,IF(AND(OR(fClient="All",$C288=fClient),OR(fCampaign="All",$D288=fCampaign),OR(fTeam="All",$B288=fTeam),OR(fChannel="All",$F288=fChannel),OR(fMonth="All",$AH288=fMonth),OR(fTStatus="All",$M288=fTStatus)),1,0))</f>
        <v>0</v>
      </c>
      <c r="AJ288" s="71">
        <f>IF($G288="",0,IF(AND(OR(fClient="All",$C288=fClient),OR(fCampaign="All",$D288=fCampaign),OR(fTeam="All",$B288=fTeam),OR(fChannel="All",$F288=fChannel)),1,0))</f>
        <v>0</v>
      </c>
      <c r="AK288" s="71">
        <f>IF($G288="",0,IF(OR($M288="Completed",$M288="Cancelled"),0,1))</f>
        <v>0</v>
      </c>
      <c r="AL288" s="71">
        <f>IF(AND($AK288=1,ISNUMBER($L288)),IF($L288&lt;ReportDate,1,0),0)</f>
        <v>0</v>
      </c>
      <c r="AM288" s="71">
        <f>IF(AND($G288&lt;&gt;"",$M288="Blocked"),1,0)</f>
        <v>0</v>
      </c>
      <c r="AN288" s="71">
        <f>IF(AND($AK288=1,ISNUMBER($L288)),IF($L288=ReportDate,1,0),0)</f>
        <v>0</v>
      </c>
      <c r="AO288" s="71">
        <f>IF(AND($AK288=1,ISNUMBER($L288)),IF($L288=ReportDate+1,1,0),0)</f>
        <v>0</v>
      </c>
      <c r="AP288" s="71">
        <f>IF(AND($AK288=1,ISNUMBER($L288)),IF(AND($L288&gt;=ReportDate,$L288&lt;=ReportDate+DueSoonDays),1,0),0)</f>
        <v>0</v>
      </c>
      <c r="AQ288" s="71">
        <f>IF(AND($AK288=1,OR($I288="Critical",$I288="High")),1,0)</f>
        <v>0</v>
      </c>
      <c r="AR288" s="71">
        <f>IF($AK288=1,IF(ISNUMBER($Y288),IF(ReportDate-$Y288&gt;StaleDays,1,0),1),0)</f>
        <v>0</v>
      </c>
      <c r="AS288" s="71">
        <f>IF(AND($G288&lt;&gt;"",ISNUMBER($Q288),ISNUMBER($R288)),IF(AND($Q288&lt;$R288,OR($M288="Completed",AND(ISNUMBER($L288),$L288&lt;ReportDate))),1,0),0)</f>
        <v>0</v>
      </c>
      <c r="AT288" s="71">
        <f>IF($AK288=1,IF(OR($L288=ReportDate,$W288=ReportDate,$K288=ReportDate,$A288=ReportDate),1,0),0)</f>
        <v>0</v>
      </c>
      <c r="AU288" s="71">
        <f>IF($AK288=1,IF(OR($L288=ReportDate+1,$W288=ReportDate+1,$K288=ReportDate+1,$A288=ReportDate+1),1,0),0)</f>
        <v>0</v>
      </c>
      <c r="AV288" s="71">
        <f>IF(AND($G288&lt;&gt;"",$M288="Completed"),IF(OR($Y288=ReportDate-1,$A288=ReportDate-1),1,0),0)</f>
        <v>0</v>
      </c>
      <c r="AW288" s="71">
        <f>IF(AND($AK288=1,$Z288="Yes"),1,0)</f>
        <v>0</v>
      </c>
      <c r="AX288" s="71">
        <f>IF(AND($AK288=1,$AA288="Yes"),1,0)</f>
        <v>0</v>
      </c>
      <c r="AY288" s="71">
        <f>IF(AND($AM288=1,OR($I288="Critical",$I288="High")),1,0)</f>
        <v>0</v>
      </c>
      <c r="AZ288" s="71">
        <f>IF(AND($AK288=1,OR($C288=TCL_Client,$C288=MECCA_Client)),1,0)</f>
        <v>0</v>
      </c>
      <c r="BA288" s="71" t="str">
        <f>IF($G288="","",IFERROR(MATCH($I288,lst_Priority,0),5))</f>
        <v/>
      </c>
      <c r="BB288" s="71" t="str">
        <f>IF(AND($AL288=1,$AJ288=1),$BA288*100000+ROW(),"")</f>
        <v/>
      </c>
      <c r="BC288" s="71" t="str">
        <f>IF(AND($AM288=1,$AJ288=1),$BA288*100000+ROW(),"")</f>
        <v/>
      </c>
      <c r="BD288" s="71" t="str">
        <f>IF(AND($AP288=1,$AJ288=1),$BA288*100000+ROW(),"")</f>
        <v/>
      </c>
      <c r="BE288" s="71" t="str">
        <f>IF(AND($AT288=1,$AJ288=1),$BA288*100000+ROW(),"")</f>
        <v/>
      </c>
      <c r="BF288" s="71" t="str">
        <f>IF(AND($AU288=1,$AJ288=1),$BA288*100000+ROW(),"")</f>
        <v/>
      </c>
      <c r="BG288" s="71" t="str">
        <f>IF(AND($AV288=1,$AJ288=1),$BA288*100000+ROW(),"")</f>
        <v/>
      </c>
      <c r="BH288" s="71" t="str">
        <f>IF(AND($AW288=1,$AJ288=1),$BA288*100000+ROW(),"")</f>
        <v/>
      </c>
      <c r="BI288" s="71" t="str">
        <f>IF(AND($AX288=1,$AJ288=1),$BA288*100000+ROW(),"")</f>
        <v/>
      </c>
      <c r="BJ288" s="71" t="str">
        <f>IF(AND($AS288=1,$AJ288=1),$BA288*100000+ROW(),"")</f>
        <v/>
      </c>
      <c r="BK288" s="71" t="str">
        <f>IF(AND($AY288=1,$AJ288=1),$BA288*100000+ROW(),"")</f>
        <v/>
      </c>
      <c r="BL288" s="71" t="str">
        <f>IF(AND($AZ288=1),$BA288*100000+ROW(),"")</f>
        <v/>
      </c>
    </row>
    <row r="289">
      <c r="A289" s="63" t="n"/>
      <c r="B289" s="64" t="n"/>
      <c r="C289" s="64" t="n"/>
      <c r="D289" s="64" t="n"/>
      <c r="E289" s="64" t="n"/>
      <c r="F289" s="64" t="n"/>
      <c r="G289" s="65" t="n"/>
      <c r="H289" s="65" t="n"/>
      <c r="I289" s="64" t="n"/>
      <c r="J289" s="64" t="n"/>
      <c r="K289" s="63" t="n"/>
      <c r="L289" s="63" t="n"/>
      <c r="M289" s="64" t="n"/>
      <c r="N289" s="66" t="n"/>
      <c r="O289" s="65" t="n"/>
      <c r="P289" s="64" t="n"/>
      <c r="Q289" s="67" t="n"/>
      <c r="R289" s="67" t="n"/>
      <c r="S289" s="68" t="str">
        <f>IF(AND(ISNUMBER($Q289),ISNUMBER($R289)),$Q289-$R289,"")</f>
        <v/>
      </c>
      <c r="T289" s="65" t="n"/>
      <c r="U289" s="64" t="n"/>
      <c r="V289" s="65" t="n"/>
      <c r="W289" s="63" t="n"/>
      <c r="X289" s="65" t="n"/>
      <c r="Y289" s="63" t="n"/>
      <c r="Z289" s="64" t="n"/>
      <c r="AA289" s="64" t="n"/>
      <c r="AB289" s="65" t="n"/>
      <c r="AC289" s="69" t="str">
        <f>IF(OR($G289="",NOT(ISNUMBER($K289)),$AK289=0),"",MAX(0,ReportDate-$K289))</f>
        <v/>
      </c>
      <c r="AD289" s="69" t="str">
        <f>IF($G289="","",IF($AL289=1,ReportDate-$L289,0))</f>
        <v/>
      </c>
      <c r="AE289" s="70" t="str">
        <f>IF($G289="","",IF($M289="Completed",1,IF(ISNUMBER($N289),$N289,0)))</f>
        <v/>
      </c>
      <c r="AF289" s="70" t="str">
        <f>IF(AND(ISNUMBER($Q289),ISNUMBER($R289)),IF($R289&lt;&gt;0,$Q289/$R289,""),"")</f>
        <v/>
      </c>
      <c r="AG289" s="71" t="str">
        <f>IF($G289="","",IF($AL289=1,"OVERDUE",IF($AM289=1,"BLOCKED",IF($AN289=1,"DUE TODAY",IF($AO289=1,"DUE TOMORROW",IF($AQ289=1,"HIGH PRIORITY",IF($AR289=1,"NO RECENT UPDATE",""))))))) </f>
        <v/>
      </c>
      <c r="AH289" s="71" t="str">
        <f>IF($G289="","",IF(ISNUMBER($A289),IF(ISNUMBER($A289),YEAR($A289)&amp;"-"&amp;TEXT(MONTH($A289),"00"),""),IF(ISNUMBER($L289),IF(ISNUMBER($L289),YEAR($L289)&amp;"-"&amp;TEXT(MONTH($L289),"00"),""),"")))</f>
        <v/>
      </c>
      <c r="AI289" s="71">
        <f>IF($G289="",0,IF(AND(OR(fClient="All",$C289=fClient),OR(fCampaign="All",$D289=fCampaign),OR(fTeam="All",$B289=fTeam),OR(fChannel="All",$F289=fChannel),OR(fMonth="All",$AH289=fMonth),OR(fTStatus="All",$M289=fTStatus)),1,0))</f>
        <v>0</v>
      </c>
      <c r="AJ289" s="71">
        <f>IF($G289="",0,IF(AND(OR(fClient="All",$C289=fClient),OR(fCampaign="All",$D289=fCampaign),OR(fTeam="All",$B289=fTeam),OR(fChannel="All",$F289=fChannel)),1,0))</f>
        <v>0</v>
      </c>
      <c r="AK289" s="71">
        <f>IF($G289="",0,IF(OR($M289="Completed",$M289="Cancelled"),0,1))</f>
        <v>0</v>
      </c>
      <c r="AL289" s="71">
        <f>IF(AND($AK289=1,ISNUMBER($L289)),IF($L289&lt;ReportDate,1,0),0)</f>
        <v>0</v>
      </c>
      <c r="AM289" s="71">
        <f>IF(AND($G289&lt;&gt;"",$M289="Blocked"),1,0)</f>
        <v>0</v>
      </c>
      <c r="AN289" s="71">
        <f>IF(AND($AK289=1,ISNUMBER($L289)),IF($L289=ReportDate,1,0),0)</f>
        <v>0</v>
      </c>
      <c r="AO289" s="71">
        <f>IF(AND($AK289=1,ISNUMBER($L289)),IF($L289=ReportDate+1,1,0),0)</f>
        <v>0</v>
      </c>
      <c r="AP289" s="71">
        <f>IF(AND($AK289=1,ISNUMBER($L289)),IF(AND($L289&gt;=ReportDate,$L289&lt;=ReportDate+DueSoonDays),1,0),0)</f>
        <v>0</v>
      </c>
      <c r="AQ289" s="71">
        <f>IF(AND($AK289=1,OR($I289="Critical",$I289="High")),1,0)</f>
        <v>0</v>
      </c>
      <c r="AR289" s="71">
        <f>IF($AK289=1,IF(ISNUMBER($Y289),IF(ReportDate-$Y289&gt;StaleDays,1,0),1),0)</f>
        <v>0</v>
      </c>
      <c r="AS289" s="71">
        <f>IF(AND($G289&lt;&gt;"",ISNUMBER($Q289),ISNUMBER($R289)),IF(AND($Q289&lt;$R289,OR($M289="Completed",AND(ISNUMBER($L289),$L289&lt;ReportDate))),1,0),0)</f>
        <v>0</v>
      </c>
      <c r="AT289" s="71">
        <f>IF($AK289=1,IF(OR($L289=ReportDate,$W289=ReportDate,$K289=ReportDate,$A289=ReportDate),1,0),0)</f>
        <v>0</v>
      </c>
      <c r="AU289" s="71">
        <f>IF($AK289=1,IF(OR($L289=ReportDate+1,$W289=ReportDate+1,$K289=ReportDate+1,$A289=ReportDate+1),1,0),0)</f>
        <v>0</v>
      </c>
      <c r="AV289" s="71">
        <f>IF(AND($G289&lt;&gt;"",$M289="Completed"),IF(OR($Y289=ReportDate-1,$A289=ReportDate-1),1,0),0)</f>
        <v>0</v>
      </c>
      <c r="AW289" s="71">
        <f>IF(AND($AK289=1,$Z289="Yes"),1,0)</f>
        <v>0</v>
      </c>
      <c r="AX289" s="71">
        <f>IF(AND($AK289=1,$AA289="Yes"),1,0)</f>
        <v>0</v>
      </c>
      <c r="AY289" s="71">
        <f>IF(AND($AM289=1,OR($I289="Critical",$I289="High")),1,0)</f>
        <v>0</v>
      </c>
      <c r="AZ289" s="71">
        <f>IF(AND($AK289=1,OR($C289=TCL_Client,$C289=MECCA_Client)),1,0)</f>
        <v>0</v>
      </c>
      <c r="BA289" s="71" t="str">
        <f>IF($G289="","",IFERROR(MATCH($I289,lst_Priority,0),5))</f>
        <v/>
      </c>
      <c r="BB289" s="71" t="str">
        <f>IF(AND($AL289=1,$AJ289=1),$BA289*100000+ROW(),"")</f>
        <v/>
      </c>
      <c r="BC289" s="71" t="str">
        <f>IF(AND($AM289=1,$AJ289=1),$BA289*100000+ROW(),"")</f>
        <v/>
      </c>
      <c r="BD289" s="71" t="str">
        <f>IF(AND($AP289=1,$AJ289=1),$BA289*100000+ROW(),"")</f>
        <v/>
      </c>
      <c r="BE289" s="71" t="str">
        <f>IF(AND($AT289=1,$AJ289=1),$BA289*100000+ROW(),"")</f>
        <v/>
      </c>
      <c r="BF289" s="71" t="str">
        <f>IF(AND($AU289=1,$AJ289=1),$BA289*100000+ROW(),"")</f>
        <v/>
      </c>
      <c r="BG289" s="71" t="str">
        <f>IF(AND($AV289=1,$AJ289=1),$BA289*100000+ROW(),"")</f>
        <v/>
      </c>
      <c r="BH289" s="71" t="str">
        <f>IF(AND($AW289=1,$AJ289=1),$BA289*100000+ROW(),"")</f>
        <v/>
      </c>
      <c r="BI289" s="71" t="str">
        <f>IF(AND($AX289=1,$AJ289=1),$BA289*100000+ROW(),"")</f>
        <v/>
      </c>
      <c r="BJ289" s="71" t="str">
        <f>IF(AND($AS289=1,$AJ289=1),$BA289*100000+ROW(),"")</f>
        <v/>
      </c>
      <c r="BK289" s="71" t="str">
        <f>IF(AND($AY289=1,$AJ289=1),$BA289*100000+ROW(),"")</f>
        <v/>
      </c>
      <c r="BL289" s="71" t="str">
        <f>IF(AND($AZ289=1),$BA289*100000+ROW(),"")</f>
        <v/>
      </c>
    </row>
    <row r="290">
      <c r="A290" s="63" t="n"/>
      <c r="B290" s="64" t="n"/>
      <c r="C290" s="64" t="n"/>
      <c r="D290" s="64" t="n"/>
      <c r="E290" s="64" t="n"/>
      <c r="F290" s="64" t="n"/>
      <c r="G290" s="65" t="n"/>
      <c r="H290" s="65" t="n"/>
      <c r="I290" s="64" t="n"/>
      <c r="J290" s="64" t="n"/>
      <c r="K290" s="63" t="n"/>
      <c r="L290" s="63" t="n"/>
      <c r="M290" s="64" t="n"/>
      <c r="N290" s="66" t="n"/>
      <c r="O290" s="65" t="n"/>
      <c r="P290" s="64" t="n"/>
      <c r="Q290" s="67" t="n"/>
      <c r="R290" s="67" t="n"/>
      <c r="S290" s="68" t="str">
        <f>IF(AND(ISNUMBER($Q290),ISNUMBER($R290)),$Q290-$R290,"")</f>
        <v/>
      </c>
      <c r="T290" s="65" t="n"/>
      <c r="U290" s="64" t="n"/>
      <c r="V290" s="65" t="n"/>
      <c r="W290" s="63" t="n"/>
      <c r="X290" s="65" t="n"/>
      <c r="Y290" s="63" t="n"/>
      <c r="Z290" s="64" t="n"/>
      <c r="AA290" s="64" t="n"/>
      <c r="AB290" s="65" t="n"/>
      <c r="AC290" s="69" t="str">
        <f>IF(OR($G290="",NOT(ISNUMBER($K290)),$AK290=0),"",MAX(0,ReportDate-$K290))</f>
        <v/>
      </c>
      <c r="AD290" s="69" t="str">
        <f>IF($G290="","",IF($AL290=1,ReportDate-$L290,0))</f>
        <v/>
      </c>
      <c r="AE290" s="70" t="str">
        <f>IF($G290="","",IF($M290="Completed",1,IF(ISNUMBER($N290),$N290,0)))</f>
        <v/>
      </c>
      <c r="AF290" s="70" t="str">
        <f>IF(AND(ISNUMBER($Q290),ISNUMBER($R290)),IF($R290&lt;&gt;0,$Q290/$R290,""),"")</f>
        <v/>
      </c>
      <c r="AG290" s="71" t="str">
        <f>IF($G290="","",IF($AL290=1,"OVERDUE",IF($AM290=1,"BLOCKED",IF($AN290=1,"DUE TODAY",IF($AO290=1,"DUE TOMORROW",IF($AQ290=1,"HIGH PRIORITY",IF($AR290=1,"NO RECENT UPDATE",""))))))) </f>
        <v/>
      </c>
      <c r="AH290" s="71" t="str">
        <f>IF($G290="","",IF(ISNUMBER($A290),IF(ISNUMBER($A290),YEAR($A290)&amp;"-"&amp;TEXT(MONTH($A290),"00"),""),IF(ISNUMBER($L290),IF(ISNUMBER($L290),YEAR($L290)&amp;"-"&amp;TEXT(MONTH($L290),"00"),""),"")))</f>
        <v/>
      </c>
      <c r="AI290" s="71">
        <f>IF($G290="",0,IF(AND(OR(fClient="All",$C290=fClient),OR(fCampaign="All",$D290=fCampaign),OR(fTeam="All",$B290=fTeam),OR(fChannel="All",$F290=fChannel),OR(fMonth="All",$AH290=fMonth),OR(fTStatus="All",$M290=fTStatus)),1,0))</f>
        <v>0</v>
      </c>
      <c r="AJ290" s="71">
        <f>IF($G290="",0,IF(AND(OR(fClient="All",$C290=fClient),OR(fCampaign="All",$D290=fCampaign),OR(fTeam="All",$B290=fTeam),OR(fChannel="All",$F290=fChannel)),1,0))</f>
        <v>0</v>
      </c>
      <c r="AK290" s="71">
        <f>IF($G290="",0,IF(OR($M290="Completed",$M290="Cancelled"),0,1))</f>
        <v>0</v>
      </c>
      <c r="AL290" s="71">
        <f>IF(AND($AK290=1,ISNUMBER($L290)),IF($L290&lt;ReportDate,1,0),0)</f>
        <v>0</v>
      </c>
      <c r="AM290" s="71">
        <f>IF(AND($G290&lt;&gt;"",$M290="Blocked"),1,0)</f>
        <v>0</v>
      </c>
      <c r="AN290" s="71">
        <f>IF(AND($AK290=1,ISNUMBER($L290)),IF($L290=ReportDate,1,0),0)</f>
        <v>0</v>
      </c>
      <c r="AO290" s="71">
        <f>IF(AND($AK290=1,ISNUMBER($L290)),IF($L290=ReportDate+1,1,0),0)</f>
        <v>0</v>
      </c>
      <c r="AP290" s="71">
        <f>IF(AND($AK290=1,ISNUMBER($L290)),IF(AND($L290&gt;=ReportDate,$L290&lt;=ReportDate+DueSoonDays),1,0),0)</f>
        <v>0</v>
      </c>
      <c r="AQ290" s="71">
        <f>IF(AND($AK290=1,OR($I290="Critical",$I290="High")),1,0)</f>
        <v>0</v>
      </c>
      <c r="AR290" s="71">
        <f>IF($AK290=1,IF(ISNUMBER($Y290),IF(ReportDate-$Y290&gt;StaleDays,1,0),1),0)</f>
        <v>0</v>
      </c>
      <c r="AS290" s="71">
        <f>IF(AND($G290&lt;&gt;"",ISNUMBER($Q290),ISNUMBER($R290)),IF(AND($Q290&lt;$R290,OR($M290="Completed",AND(ISNUMBER($L290),$L290&lt;ReportDate))),1,0),0)</f>
        <v>0</v>
      </c>
      <c r="AT290" s="71">
        <f>IF($AK290=1,IF(OR($L290=ReportDate,$W290=ReportDate,$K290=ReportDate,$A290=ReportDate),1,0),0)</f>
        <v>0</v>
      </c>
      <c r="AU290" s="71">
        <f>IF($AK290=1,IF(OR($L290=ReportDate+1,$W290=ReportDate+1,$K290=ReportDate+1,$A290=ReportDate+1),1,0),0)</f>
        <v>0</v>
      </c>
      <c r="AV290" s="71">
        <f>IF(AND($G290&lt;&gt;"",$M290="Completed"),IF(OR($Y290=ReportDate-1,$A290=ReportDate-1),1,0),0)</f>
        <v>0</v>
      </c>
      <c r="AW290" s="71">
        <f>IF(AND($AK290=1,$Z290="Yes"),1,0)</f>
        <v>0</v>
      </c>
      <c r="AX290" s="71">
        <f>IF(AND($AK290=1,$AA290="Yes"),1,0)</f>
        <v>0</v>
      </c>
      <c r="AY290" s="71">
        <f>IF(AND($AM290=1,OR($I290="Critical",$I290="High")),1,0)</f>
        <v>0</v>
      </c>
      <c r="AZ290" s="71">
        <f>IF(AND($AK290=1,OR($C290=TCL_Client,$C290=MECCA_Client)),1,0)</f>
        <v>0</v>
      </c>
      <c r="BA290" s="71" t="str">
        <f>IF($G290="","",IFERROR(MATCH($I290,lst_Priority,0),5))</f>
        <v/>
      </c>
      <c r="BB290" s="71" t="str">
        <f>IF(AND($AL290=1,$AJ290=1),$BA290*100000+ROW(),"")</f>
        <v/>
      </c>
      <c r="BC290" s="71" t="str">
        <f>IF(AND($AM290=1,$AJ290=1),$BA290*100000+ROW(),"")</f>
        <v/>
      </c>
      <c r="BD290" s="71" t="str">
        <f>IF(AND($AP290=1,$AJ290=1),$BA290*100000+ROW(),"")</f>
        <v/>
      </c>
      <c r="BE290" s="71" t="str">
        <f>IF(AND($AT290=1,$AJ290=1),$BA290*100000+ROW(),"")</f>
        <v/>
      </c>
      <c r="BF290" s="71" t="str">
        <f>IF(AND($AU290=1,$AJ290=1),$BA290*100000+ROW(),"")</f>
        <v/>
      </c>
      <c r="BG290" s="71" t="str">
        <f>IF(AND($AV290=1,$AJ290=1),$BA290*100000+ROW(),"")</f>
        <v/>
      </c>
      <c r="BH290" s="71" t="str">
        <f>IF(AND($AW290=1,$AJ290=1),$BA290*100000+ROW(),"")</f>
        <v/>
      </c>
      <c r="BI290" s="71" t="str">
        <f>IF(AND($AX290=1,$AJ290=1),$BA290*100000+ROW(),"")</f>
        <v/>
      </c>
      <c r="BJ290" s="71" t="str">
        <f>IF(AND($AS290=1,$AJ290=1),$BA290*100000+ROW(),"")</f>
        <v/>
      </c>
      <c r="BK290" s="71" t="str">
        <f>IF(AND($AY290=1,$AJ290=1),$BA290*100000+ROW(),"")</f>
        <v/>
      </c>
      <c r="BL290" s="71" t="str">
        <f>IF(AND($AZ290=1),$BA290*100000+ROW(),"")</f>
        <v/>
      </c>
    </row>
    <row r="291">
      <c r="A291" s="63" t="n"/>
      <c r="B291" s="64" t="n"/>
      <c r="C291" s="64" t="n"/>
      <c r="D291" s="64" t="n"/>
      <c r="E291" s="64" t="n"/>
      <c r="F291" s="64" t="n"/>
      <c r="G291" s="65" t="n"/>
      <c r="H291" s="65" t="n"/>
      <c r="I291" s="64" t="n"/>
      <c r="J291" s="64" t="n"/>
      <c r="K291" s="63" t="n"/>
      <c r="L291" s="63" t="n"/>
      <c r="M291" s="64" t="n"/>
      <c r="N291" s="66" t="n"/>
      <c r="O291" s="65" t="n"/>
      <c r="P291" s="64" t="n"/>
      <c r="Q291" s="67" t="n"/>
      <c r="R291" s="67" t="n"/>
      <c r="S291" s="68" t="str">
        <f>IF(AND(ISNUMBER($Q291),ISNUMBER($R291)),$Q291-$R291,"")</f>
        <v/>
      </c>
      <c r="T291" s="65" t="n"/>
      <c r="U291" s="64" t="n"/>
      <c r="V291" s="65" t="n"/>
      <c r="W291" s="63" t="n"/>
      <c r="X291" s="65" t="n"/>
      <c r="Y291" s="63" t="n"/>
      <c r="Z291" s="64" t="n"/>
      <c r="AA291" s="64" t="n"/>
      <c r="AB291" s="65" t="n"/>
      <c r="AC291" s="69" t="str">
        <f>IF(OR($G291="",NOT(ISNUMBER($K291)),$AK291=0),"",MAX(0,ReportDate-$K291))</f>
        <v/>
      </c>
      <c r="AD291" s="69" t="str">
        <f>IF($G291="","",IF($AL291=1,ReportDate-$L291,0))</f>
        <v/>
      </c>
      <c r="AE291" s="70" t="str">
        <f>IF($G291="","",IF($M291="Completed",1,IF(ISNUMBER($N291),$N291,0)))</f>
        <v/>
      </c>
      <c r="AF291" s="70" t="str">
        <f>IF(AND(ISNUMBER($Q291),ISNUMBER($R291)),IF($R291&lt;&gt;0,$Q291/$R291,""),"")</f>
        <v/>
      </c>
      <c r="AG291" s="71" t="str">
        <f>IF($G291="","",IF($AL291=1,"OVERDUE",IF($AM291=1,"BLOCKED",IF($AN291=1,"DUE TODAY",IF($AO291=1,"DUE TOMORROW",IF($AQ291=1,"HIGH PRIORITY",IF($AR291=1,"NO RECENT UPDATE",""))))))) </f>
        <v/>
      </c>
      <c r="AH291" s="71" t="str">
        <f>IF($G291="","",IF(ISNUMBER($A291),IF(ISNUMBER($A291),YEAR($A291)&amp;"-"&amp;TEXT(MONTH($A291),"00"),""),IF(ISNUMBER($L291),IF(ISNUMBER($L291),YEAR($L291)&amp;"-"&amp;TEXT(MONTH($L291),"00"),""),"")))</f>
        <v/>
      </c>
      <c r="AI291" s="71">
        <f>IF($G291="",0,IF(AND(OR(fClient="All",$C291=fClient),OR(fCampaign="All",$D291=fCampaign),OR(fTeam="All",$B291=fTeam),OR(fChannel="All",$F291=fChannel),OR(fMonth="All",$AH291=fMonth),OR(fTStatus="All",$M291=fTStatus)),1,0))</f>
        <v>0</v>
      </c>
      <c r="AJ291" s="71">
        <f>IF($G291="",0,IF(AND(OR(fClient="All",$C291=fClient),OR(fCampaign="All",$D291=fCampaign),OR(fTeam="All",$B291=fTeam),OR(fChannel="All",$F291=fChannel)),1,0))</f>
        <v>0</v>
      </c>
      <c r="AK291" s="71">
        <f>IF($G291="",0,IF(OR($M291="Completed",$M291="Cancelled"),0,1))</f>
        <v>0</v>
      </c>
      <c r="AL291" s="71">
        <f>IF(AND($AK291=1,ISNUMBER($L291)),IF($L291&lt;ReportDate,1,0),0)</f>
        <v>0</v>
      </c>
      <c r="AM291" s="71">
        <f>IF(AND($G291&lt;&gt;"",$M291="Blocked"),1,0)</f>
        <v>0</v>
      </c>
      <c r="AN291" s="71">
        <f>IF(AND($AK291=1,ISNUMBER($L291)),IF($L291=ReportDate,1,0),0)</f>
        <v>0</v>
      </c>
      <c r="AO291" s="71">
        <f>IF(AND($AK291=1,ISNUMBER($L291)),IF($L291=ReportDate+1,1,0),0)</f>
        <v>0</v>
      </c>
      <c r="AP291" s="71">
        <f>IF(AND($AK291=1,ISNUMBER($L291)),IF(AND($L291&gt;=ReportDate,$L291&lt;=ReportDate+DueSoonDays),1,0),0)</f>
        <v>0</v>
      </c>
      <c r="AQ291" s="71">
        <f>IF(AND($AK291=1,OR($I291="Critical",$I291="High")),1,0)</f>
        <v>0</v>
      </c>
      <c r="AR291" s="71">
        <f>IF($AK291=1,IF(ISNUMBER($Y291),IF(ReportDate-$Y291&gt;StaleDays,1,0),1),0)</f>
        <v>0</v>
      </c>
      <c r="AS291" s="71">
        <f>IF(AND($G291&lt;&gt;"",ISNUMBER($Q291),ISNUMBER($R291)),IF(AND($Q291&lt;$R291,OR($M291="Completed",AND(ISNUMBER($L291),$L291&lt;ReportDate))),1,0),0)</f>
        <v>0</v>
      </c>
      <c r="AT291" s="71">
        <f>IF($AK291=1,IF(OR($L291=ReportDate,$W291=ReportDate,$K291=ReportDate,$A291=ReportDate),1,0),0)</f>
        <v>0</v>
      </c>
      <c r="AU291" s="71">
        <f>IF($AK291=1,IF(OR($L291=ReportDate+1,$W291=ReportDate+1,$K291=ReportDate+1,$A291=ReportDate+1),1,0),0)</f>
        <v>0</v>
      </c>
      <c r="AV291" s="71">
        <f>IF(AND($G291&lt;&gt;"",$M291="Completed"),IF(OR($Y291=ReportDate-1,$A291=ReportDate-1),1,0),0)</f>
        <v>0</v>
      </c>
      <c r="AW291" s="71">
        <f>IF(AND($AK291=1,$Z291="Yes"),1,0)</f>
        <v>0</v>
      </c>
      <c r="AX291" s="71">
        <f>IF(AND($AK291=1,$AA291="Yes"),1,0)</f>
        <v>0</v>
      </c>
      <c r="AY291" s="71">
        <f>IF(AND($AM291=1,OR($I291="Critical",$I291="High")),1,0)</f>
        <v>0</v>
      </c>
      <c r="AZ291" s="71">
        <f>IF(AND($AK291=1,OR($C291=TCL_Client,$C291=MECCA_Client)),1,0)</f>
        <v>0</v>
      </c>
      <c r="BA291" s="71" t="str">
        <f>IF($G291="","",IFERROR(MATCH($I291,lst_Priority,0),5))</f>
        <v/>
      </c>
      <c r="BB291" s="71" t="str">
        <f>IF(AND($AL291=1,$AJ291=1),$BA291*100000+ROW(),"")</f>
        <v/>
      </c>
      <c r="BC291" s="71" t="str">
        <f>IF(AND($AM291=1,$AJ291=1),$BA291*100000+ROW(),"")</f>
        <v/>
      </c>
      <c r="BD291" s="71" t="str">
        <f>IF(AND($AP291=1,$AJ291=1),$BA291*100000+ROW(),"")</f>
        <v/>
      </c>
      <c r="BE291" s="71" t="str">
        <f>IF(AND($AT291=1,$AJ291=1),$BA291*100000+ROW(),"")</f>
        <v/>
      </c>
      <c r="BF291" s="71" t="str">
        <f>IF(AND($AU291=1,$AJ291=1),$BA291*100000+ROW(),"")</f>
        <v/>
      </c>
      <c r="BG291" s="71" t="str">
        <f>IF(AND($AV291=1,$AJ291=1),$BA291*100000+ROW(),"")</f>
        <v/>
      </c>
      <c r="BH291" s="71" t="str">
        <f>IF(AND($AW291=1,$AJ291=1),$BA291*100000+ROW(),"")</f>
        <v/>
      </c>
      <c r="BI291" s="71" t="str">
        <f>IF(AND($AX291=1,$AJ291=1),$BA291*100000+ROW(),"")</f>
        <v/>
      </c>
      <c r="BJ291" s="71" t="str">
        <f>IF(AND($AS291=1,$AJ291=1),$BA291*100000+ROW(),"")</f>
        <v/>
      </c>
      <c r="BK291" s="71" t="str">
        <f>IF(AND($AY291=1,$AJ291=1),$BA291*100000+ROW(),"")</f>
        <v/>
      </c>
      <c r="BL291" s="71" t="str">
        <f>IF(AND($AZ291=1),$BA291*100000+ROW(),"")</f>
        <v/>
      </c>
    </row>
    <row r="292">
      <c r="A292" s="63" t="n"/>
      <c r="B292" s="64" t="n"/>
      <c r="C292" s="64" t="n"/>
      <c r="D292" s="64" t="n"/>
      <c r="E292" s="64" t="n"/>
      <c r="F292" s="64" t="n"/>
      <c r="G292" s="65" t="n"/>
      <c r="H292" s="65" t="n"/>
      <c r="I292" s="64" t="n"/>
      <c r="J292" s="64" t="n"/>
      <c r="K292" s="63" t="n"/>
      <c r="L292" s="63" t="n"/>
      <c r="M292" s="64" t="n"/>
      <c r="N292" s="66" t="n"/>
      <c r="O292" s="65" t="n"/>
      <c r="P292" s="64" t="n"/>
      <c r="Q292" s="67" t="n"/>
      <c r="R292" s="67" t="n"/>
      <c r="S292" s="68" t="str">
        <f>IF(AND(ISNUMBER($Q292),ISNUMBER($R292)),$Q292-$R292,"")</f>
        <v/>
      </c>
      <c r="T292" s="65" t="n"/>
      <c r="U292" s="64" t="n"/>
      <c r="V292" s="65" t="n"/>
      <c r="W292" s="63" t="n"/>
      <c r="X292" s="65" t="n"/>
      <c r="Y292" s="63" t="n"/>
      <c r="Z292" s="64" t="n"/>
      <c r="AA292" s="64" t="n"/>
      <c r="AB292" s="65" t="n"/>
      <c r="AC292" s="69" t="str">
        <f>IF(OR($G292="",NOT(ISNUMBER($K292)),$AK292=0),"",MAX(0,ReportDate-$K292))</f>
        <v/>
      </c>
      <c r="AD292" s="69" t="str">
        <f>IF($G292="","",IF($AL292=1,ReportDate-$L292,0))</f>
        <v/>
      </c>
      <c r="AE292" s="70" t="str">
        <f>IF($G292="","",IF($M292="Completed",1,IF(ISNUMBER($N292),$N292,0)))</f>
        <v/>
      </c>
      <c r="AF292" s="70" t="str">
        <f>IF(AND(ISNUMBER($Q292),ISNUMBER($R292)),IF($R292&lt;&gt;0,$Q292/$R292,""),"")</f>
        <v/>
      </c>
      <c r="AG292" s="71" t="str">
        <f>IF($G292="","",IF($AL292=1,"OVERDUE",IF($AM292=1,"BLOCKED",IF($AN292=1,"DUE TODAY",IF($AO292=1,"DUE TOMORROW",IF($AQ292=1,"HIGH PRIORITY",IF($AR292=1,"NO RECENT UPDATE",""))))))) </f>
        <v/>
      </c>
      <c r="AH292" s="71" t="str">
        <f>IF($G292="","",IF(ISNUMBER($A292),IF(ISNUMBER($A292),YEAR($A292)&amp;"-"&amp;TEXT(MONTH($A292),"00"),""),IF(ISNUMBER($L292),IF(ISNUMBER($L292),YEAR($L292)&amp;"-"&amp;TEXT(MONTH($L292),"00"),""),"")))</f>
        <v/>
      </c>
      <c r="AI292" s="71">
        <f>IF($G292="",0,IF(AND(OR(fClient="All",$C292=fClient),OR(fCampaign="All",$D292=fCampaign),OR(fTeam="All",$B292=fTeam),OR(fChannel="All",$F292=fChannel),OR(fMonth="All",$AH292=fMonth),OR(fTStatus="All",$M292=fTStatus)),1,0))</f>
        <v>0</v>
      </c>
      <c r="AJ292" s="71">
        <f>IF($G292="",0,IF(AND(OR(fClient="All",$C292=fClient),OR(fCampaign="All",$D292=fCampaign),OR(fTeam="All",$B292=fTeam),OR(fChannel="All",$F292=fChannel)),1,0))</f>
        <v>0</v>
      </c>
      <c r="AK292" s="71">
        <f>IF($G292="",0,IF(OR($M292="Completed",$M292="Cancelled"),0,1))</f>
        <v>0</v>
      </c>
      <c r="AL292" s="71">
        <f>IF(AND($AK292=1,ISNUMBER($L292)),IF($L292&lt;ReportDate,1,0),0)</f>
        <v>0</v>
      </c>
      <c r="AM292" s="71">
        <f>IF(AND($G292&lt;&gt;"",$M292="Blocked"),1,0)</f>
        <v>0</v>
      </c>
      <c r="AN292" s="71">
        <f>IF(AND($AK292=1,ISNUMBER($L292)),IF($L292=ReportDate,1,0),0)</f>
        <v>0</v>
      </c>
      <c r="AO292" s="71">
        <f>IF(AND($AK292=1,ISNUMBER($L292)),IF($L292=ReportDate+1,1,0),0)</f>
        <v>0</v>
      </c>
      <c r="AP292" s="71">
        <f>IF(AND($AK292=1,ISNUMBER($L292)),IF(AND($L292&gt;=ReportDate,$L292&lt;=ReportDate+DueSoonDays),1,0),0)</f>
        <v>0</v>
      </c>
      <c r="AQ292" s="71">
        <f>IF(AND($AK292=1,OR($I292="Critical",$I292="High")),1,0)</f>
        <v>0</v>
      </c>
      <c r="AR292" s="71">
        <f>IF($AK292=1,IF(ISNUMBER($Y292),IF(ReportDate-$Y292&gt;StaleDays,1,0),1),0)</f>
        <v>0</v>
      </c>
      <c r="AS292" s="71">
        <f>IF(AND($G292&lt;&gt;"",ISNUMBER($Q292),ISNUMBER($R292)),IF(AND($Q292&lt;$R292,OR($M292="Completed",AND(ISNUMBER($L292),$L292&lt;ReportDate))),1,0),0)</f>
        <v>0</v>
      </c>
      <c r="AT292" s="71">
        <f>IF($AK292=1,IF(OR($L292=ReportDate,$W292=ReportDate,$K292=ReportDate,$A292=ReportDate),1,0),0)</f>
        <v>0</v>
      </c>
      <c r="AU292" s="71">
        <f>IF($AK292=1,IF(OR($L292=ReportDate+1,$W292=ReportDate+1,$K292=ReportDate+1,$A292=ReportDate+1),1,0),0)</f>
        <v>0</v>
      </c>
      <c r="AV292" s="71">
        <f>IF(AND($G292&lt;&gt;"",$M292="Completed"),IF(OR($Y292=ReportDate-1,$A292=ReportDate-1),1,0),0)</f>
        <v>0</v>
      </c>
      <c r="AW292" s="71">
        <f>IF(AND($AK292=1,$Z292="Yes"),1,0)</f>
        <v>0</v>
      </c>
      <c r="AX292" s="71">
        <f>IF(AND($AK292=1,$AA292="Yes"),1,0)</f>
        <v>0</v>
      </c>
      <c r="AY292" s="71">
        <f>IF(AND($AM292=1,OR($I292="Critical",$I292="High")),1,0)</f>
        <v>0</v>
      </c>
      <c r="AZ292" s="71">
        <f>IF(AND($AK292=1,OR($C292=TCL_Client,$C292=MECCA_Client)),1,0)</f>
        <v>0</v>
      </c>
      <c r="BA292" s="71" t="str">
        <f>IF($G292="","",IFERROR(MATCH($I292,lst_Priority,0),5))</f>
        <v/>
      </c>
      <c r="BB292" s="71" t="str">
        <f>IF(AND($AL292=1,$AJ292=1),$BA292*100000+ROW(),"")</f>
        <v/>
      </c>
      <c r="BC292" s="71" t="str">
        <f>IF(AND($AM292=1,$AJ292=1),$BA292*100000+ROW(),"")</f>
        <v/>
      </c>
      <c r="BD292" s="71" t="str">
        <f>IF(AND($AP292=1,$AJ292=1),$BA292*100000+ROW(),"")</f>
        <v/>
      </c>
      <c r="BE292" s="71" t="str">
        <f>IF(AND($AT292=1,$AJ292=1),$BA292*100000+ROW(),"")</f>
        <v/>
      </c>
      <c r="BF292" s="71" t="str">
        <f>IF(AND($AU292=1,$AJ292=1),$BA292*100000+ROW(),"")</f>
        <v/>
      </c>
      <c r="BG292" s="71" t="str">
        <f>IF(AND($AV292=1,$AJ292=1),$BA292*100000+ROW(),"")</f>
        <v/>
      </c>
      <c r="BH292" s="71" t="str">
        <f>IF(AND($AW292=1,$AJ292=1),$BA292*100000+ROW(),"")</f>
        <v/>
      </c>
      <c r="BI292" s="71" t="str">
        <f>IF(AND($AX292=1,$AJ292=1),$BA292*100000+ROW(),"")</f>
        <v/>
      </c>
      <c r="BJ292" s="71" t="str">
        <f>IF(AND($AS292=1,$AJ292=1),$BA292*100000+ROW(),"")</f>
        <v/>
      </c>
      <c r="BK292" s="71" t="str">
        <f>IF(AND($AY292=1,$AJ292=1),$BA292*100000+ROW(),"")</f>
        <v/>
      </c>
      <c r="BL292" s="71" t="str">
        <f>IF(AND($AZ292=1),$BA292*100000+ROW(),"")</f>
        <v/>
      </c>
    </row>
    <row r="293">
      <c r="A293" s="63" t="n"/>
      <c r="B293" s="64" t="n"/>
      <c r="C293" s="64" t="n"/>
      <c r="D293" s="64" t="n"/>
      <c r="E293" s="64" t="n"/>
      <c r="F293" s="64" t="n"/>
      <c r="G293" s="65" t="n"/>
      <c r="H293" s="65" t="n"/>
      <c r="I293" s="64" t="n"/>
      <c r="J293" s="64" t="n"/>
      <c r="K293" s="63" t="n"/>
      <c r="L293" s="63" t="n"/>
      <c r="M293" s="64" t="n"/>
      <c r="N293" s="66" t="n"/>
      <c r="O293" s="65" t="n"/>
      <c r="P293" s="64" t="n"/>
      <c r="Q293" s="67" t="n"/>
      <c r="R293" s="67" t="n"/>
      <c r="S293" s="68" t="str">
        <f>IF(AND(ISNUMBER($Q293),ISNUMBER($R293)),$Q293-$R293,"")</f>
        <v/>
      </c>
      <c r="T293" s="65" t="n"/>
      <c r="U293" s="64" t="n"/>
      <c r="V293" s="65" t="n"/>
      <c r="W293" s="63" t="n"/>
      <c r="X293" s="65" t="n"/>
      <c r="Y293" s="63" t="n"/>
      <c r="Z293" s="64" t="n"/>
      <c r="AA293" s="64" t="n"/>
      <c r="AB293" s="65" t="n"/>
      <c r="AC293" s="69" t="str">
        <f>IF(OR($G293="",NOT(ISNUMBER($K293)),$AK293=0),"",MAX(0,ReportDate-$K293))</f>
        <v/>
      </c>
      <c r="AD293" s="69" t="str">
        <f>IF($G293="","",IF($AL293=1,ReportDate-$L293,0))</f>
        <v/>
      </c>
      <c r="AE293" s="70" t="str">
        <f>IF($G293="","",IF($M293="Completed",1,IF(ISNUMBER($N293),$N293,0)))</f>
        <v/>
      </c>
      <c r="AF293" s="70" t="str">
        <f>IF(AND(ISNUMBER($Q293),ISNUMBER($R293)),IF($R293&lt;&gt;0,$Q293/$R293,""),"")</f>
        <v/>
      </c>
      <c r="AG293" s="71" t="str">
        <f>IF($G293="","",IF($AL293=1,"OVERDUE",IF($AM293=1,"BLOCKED",IF($AN293=1,"DUE TODAY",IF($AO293=1,"DUE TOMORROW",IF($AQ293=1,"HIGH PRIORITY",IF($AR293=1,"NO RECENT UPDATE",""))))))) </f>
        <v/>
      </c>
      <c r="AH293" s="71" t="str">
        <f>IF($G293="","",IF(ISNUMBER($A293),IF(ISNUMBER($A293),YEAR($A293)&amp;"-"&amp;TEXT(MONTH($A293),"00"),""),IF(ISNUMBER($L293),IF(ISNUMBER($L293),YEAR($L293)&amp;"-"&amp;TEXT(MONTH($L293),"00"),""),"")))</f>
        <v/>
      </c>
      <c r="AI293" s="71">
        <f>IF($G293="",0,IF(AND(OR(fClient="All",$C293=fClient),OR(fCampaign="All",$D293=fCampaign),OR(fTeam="All",$B293=fTeam),OR(fChannel="All",$F293=fChannel),OR(fMonth="All",$AH293=fMonth),OR(fTStatus="All",$M293=fTStatus)),1,0))</f>
        <v>0</v>
      </c>
      <c r="AJ293" s="71">
        <f>IF($G293="",0,IF(AND(OR(fClient="All",$C293=fClient),OR(fCampaign="All",$D293=fCampaign),OR(fTeam="All",$B293=fTeam),OR(fChannel="All",$F293=fChannel)),1,0))</f>
        <v>0</v>
      </c>
      <c r="AK293" s="71">
        <f>IF($G293="",0,IF(OR($M293="Completed",$M293="Cancelled"),0,1))</f>
        <v>0</v>
      </c>
      <c r="AL293" s="71">
        <f>IF(AND($AK293=1,ISNUMBER($L293)),IF($L293&lt;ReportDate,1,0),0)</f>
        <v>0</v>
      </c>
      <c r="AM293" s="71">
        <f>IF(AND($G293&lt;&gt;"",$M293="Blocked"),1,0)</f>
        <v>0</v>
      </c>
      <c r="AN293" s="71">
        <f>IF(AND($AK293=1,ISNUMBER($L293)),IF($L293=ReportDate,1,0),0)</f>
        <v>0</v>
      </c>
      <c r="AO293" s="71">
        <f>IF(AND($AK293=1,ISNUMBER($L293)),IF($L293=ReportDate+1,1,0),0)</f>
        <v>0</v>
      </c>
      <c r="AP293" s="71">
        <f>IF(AND($AK293=1,ISNUMBER($L293)),IF(AND($L293&gt;=ReportDate,$L293&lt;=ReportDate+DueSoonDays),1,0),0)</f>
        <v>0</v>
      </c>
      <c r="AQ293" s="71">
        <f>IF(AND($AK293=1,OR($I293="Critical",$I293="High")),1,0)</f>
        <v>0</v>
      </c>
      <c r="AR293" s="71">
        <f>IF($AK293=1,IF(ISNUMBER($Y293),IF(ReportDate-$Y293&gt;StaleDays,1,0),1),0)</f>
        <v>0</v>
      </c>
      <c r="AS293" s="71">
        <f>IF(AND($G293&lt;&gt;"",ISNUMBER($Q293),ISNUMBER($R293)),IF(AND($Q293&lt;$R293,OR($M293="Completed",AND(ISNUMBER($L293),$L293&lt;ReportDate))),1,0),0)</f>
        <v>0</v>
      </c>
      <c r="AT293" s="71">
        <f>IF($AK293=1,IF(OR($L293=ReportDate,$W293=ReportDate,$K293=ReportDate,$A293=ReportDate),1,0),0)</f>
        <v>0</v>
      </c>
      <c r="AU293" s="71">
        <f>IF($AK293=1,IF(OR($L293=ReportDate+1,$W293=ReportDate+1,$K293=ReportDate+1,$A293=ReportDate+1),1,0),0)</f>
        <v>0</v>
      </c>
      <c r="AV293" s="71">
        <f>IF(AND($G293&lt;&gt;"",$M293="Completed"),IF(OR($Y293=ReportDate-1,$A293=ReportDate-1),1,0),0)</f>
        <v>0</v>
      </c>
      <c r="AW293" s="71">
        <f>IF(AND($AK293=1,$Z293="Yes"),1,0)</f>
        <v>0</v>
      </c>
      <c r="AX293" s="71">
        <f>IF(AND($AK293=1,$AA293="Yes"),1,0)</f>
        <v>0</v>
      </c>
      <c r="AY293" s="71">
        <f>IF(AND($AM293=1,OR($I293="Critical",$I293="High")),1,0)</f>
        <v>0</v>
      </c>
      <c r="AZ293" s="71">
        <f>IF(AND($AK293=1,OR($C293=TCL_Client,$C293=MECCA_Client)),1,0)</f>
        <v>0</v>
      </c>
      <c r="BA293" s="71" t="str">
        <f>IF($G293="","",IFERROR(MATCH($I293,lst_Priority,0),5))</f>
        <v/>
      </c>
      <c r="BB293" s="71" t="str">
        <f>IF(AND($AL293=1,$AJ293=1),$BA293*100000+ROW(),"")</f>
        <v/>
      </c>
      <c r="BC293" s="71" t="str">
        <f>IF(AND($AM293=1,$AJ293=1),$BA293*100000+ROW(),"")</f>
        <v/>
      </c>
      <c r="BD293" s="71" t="str">
        <f>IF(AND($AP293=1,$AJ293=1),$BA293*100000+ROW(),"")</f>
        <v/>
      </c>
      <c r="BE293" s="71" t="str">
        <f>IF(AND($AT293=1,$AJ293=1),$BA293*100000+ROW(),"")</f>
        <v/>
      </c>
      <c r="BF293" s="71" t="str">
        <f>IF(AND($AU293=1,$AJ293=1),$BA293*100000+ROW(),"")</f>
        <v/>
      </c>
      <c r="BG293" s="71" t="str">
        <f>IF(AND($AV293=1,$AJ293=1),$BA293*100000+ROW(),"")</f>
        <v/>
      </c>
      <c r="BH293" s="71" t="str">
        <f>IF(AND($AW293=1,$AJ293=1),$BA293*100000+ROW(),"")</f>
        <v/>
      </c>
      <c r="BI293" s="71" t="str">
        <f>IF(AND($AX293=1,$AJ293=1),$BA293*100000+ROW(),"")</f>
        <v/>
      </c>
      <c r="BJ293" s="71" t="str">
        <f>IF(AND($AS293=1,$AJ293=1),$BA293*100000+ROW(),"")</f>
        <v/>
      </c>
      <c r="BK293" s="71" t="str">
        <f>IF(AND($AY293=1,$AJ293=1),$BA293*100000+ROW(),"")</f>
        <v/>
      </c>
      <c r="BL293" s="71" t="str">
        <f>IF(AND($AZ293=1),$BA293*100000+ROW(),"")</f>
        <v/>
      </c>
    </row>
    <row r="294">
      <c r="A294" s="63" t="n"/>
      <c r="B294" s="64" t="n"/>
      <c r="C294" s="64" t="n"/>
      <c r="D294" s="64" t="n"/>
      <c r="E294" s="64" t="n"/>
      <c r="F294" s="64" t="n"/>
      <c r="G294" s="65" t="n"/>
      <c r="H294" s="65" t="n"/>
      <c r="I294" s="64" t="n"/>
      <c r="J294" s="64" t="n"/>
      <c r="K294" s="63" t="n"/>
      <c r="L294" s="63" t="n"/>
      <c r="M294" s="64" t="n"/>
      <c r="N294" s="66" t="n"/>
      <c r="O294" s="65" t="n"/>
      <c r="P294" s="64" t="n"/>
      <c r="Q294" s="67" t="n"/>
      <c r="R294" s="67" t="n"/>
      <c r="S294" s="68" t="str">
        <f>IF(AND(ISNUMBER($Q294),ISNUMBER($R294)),$Q294-$R294,"")</f>
        <v/>
      </c>
      <c r="T294" s="65" t="n"/>
      <c r="U294" s="64" t="n"/>
      <c r="V294" s="65" t="n"/>
      <c r="W294" s="63" t="n"/>
      <c r="X294" s="65" t="n"/>
      <c r="Y294" s="63" t="n"/>
      <c r="Z294" s="64" t="n"/>
      <c r="AA294" s="64" t="n"/>
      <c r="AB294" s="65" t="n"/>
      <c r="AC294" s="69" t="str">
        <f>IF(OR($G294="",NOT(ISNUMBER($K294)),$AK294=0),"",MAX(0,ReportDate-$K294))</f>
        <v/>
      </c>
      <c r="AD294" s="69" t="str">
        <f>IF($G294="","",IF($AL294=1,ReportDate-$L294,0))</f>
        <v/>
      </c>
      <c r="AE294" s="70" t="str">
        <f>IF($G294="","",IF($M294="Completed",1,IF(ISNUMBER($N294),$N294,0)))</f>
        <v/>
      </c>
      <c r="AF294" s="70" t="str">
        <f>IF(AND(ISNUMBER($Q294),ISNUMBER($R294)),IF($R294&lt;&gt;0,$Q294/$R294,""),"")</f>
        <v/>
      </c>
      <c r="AG294" s="71" t="str">
        <f>IF($G294="","",IF($AL294=1,"OVERDUE",IF($AM294=1,"BLOCKED",IF($AN294=1,"DUE TODAY",IF($AO294=1,"DUE TOMORROW",IF($AQ294=1,"HIGH PRIORITY",IF($AR294=1,"NO RECENT UPDATE",""))))))) </f>
        <v/>
      </c>
      <c r="AH294" s="71" t="str">
        <f>IF($G294="","",IF(ISNUMBER($A294),IF(ISNUMBER($A294),YEAR($A294)&amp;"-"&amp;TEXT(MONTH($A294),"00"),""),IF(ISNUMBER($L294),IF(ISNUMBER($L294),YEAR($L294)&amp;"-"&amp;TEXT(MONTH($L294),"00"),""),"")))</f>
        <v/>
      </c>
      <c r="AI294" s="71">
        <f>IF($G294="",0,IF(AND(OR(fClient="All",$C294=fClient),OR(fCampaign="All",$D294=fCampaign),OR(fTeam="All",$B294=fTeam),OR(fChannel="All",$F294=fChannel),OR(fMonth="All",$AH294=fMonth),OR(fTStatus="All",$M294=fTStatus)),1,0))</f>
        <v>0</v>
      </c>
      <c r="AJ294" s="71">
        <f>IF($G294="",0,IF(AND(OR(fClient="All",$C294=fClient),OR(fCampaign="All",$D294=fCampaign),OR(fTeam="All",$B294=fTeam),OR(fChannel="All",$F294=fChannel)),1,0))</f>
        <v>0</v>
      </c>
      <c r="AK294" s="71">
        <f>IF($G294="",0,IF(OR($M294="Completed",$M294="Cancelled"),0,1))</f>
        <v>0</v>
      </c>
      <c r="AL294" s="71">
        <f>IF(AND($AK294=1,ISNUMBER($L294)),IF($L294&lt;ReportDate,1,0),0)</f>
        <v>0</v>
      </c>
      <c r="AM294" s="71">
        <f>IF(AND($G294&lt;&gt;"",$M294="Blocked"),1,0)</f>
        <v>0</v>
      </c>
      <c r="AN294" s="71">
        <f>IF(AND($AK294=1,ISNUMBER($L294)),IF($L294=ReportDate,1,0),0)</f>
        <v>0</v>
      </c>
      <c r="AO294" s="71">
        <f>IF(AND($AK294=1,ISNUMBER($L294)),IF($L294=ReportDate+1,1,0),0)</f>
        <v>0</v>
      </c>
      <c r="AP294" s="71">
        <f>IF(AND($AK294=1,ISNUMBER($L294)),IF(AND($L294&gt;=ReportDate,$L294&lt;=ReportDate+DueSoonDays),1,0),0)</f>
        <v>0</v>
      </c>
      <c r="AQ294" s="71">
        <f>IF(AND($AK294=1,OR($I294="Critical",$I294="High")),1,0)</f>
        <v>0</v>
      </c>
      <c r="AR294" s="71">
        <f>IF($AK294=1,IF(ISNUMBER($Y294),IF(ReportDate-$Y294&gt;StaleDays,1,0),1),0)</f>
        <v>0</v>
      </c>
      <c r="AS294" s="71">
        <f>IF(AND($G294&lt;&gt;"",ISNUMBER($Q294),ISNUMBER($R294)),IF(AND($Q294&lt;$R294,OR($M294="Completed",AND(ISNUMBER($L294),$L294&lt;ReportDate))),1,0),0)</f>
        <v>0</v>
      </c>
      <c r="AT294" s="71">
        <f>IF($AK294=1,IF(OR($L294=ReportDate,$W294=ReportDate,$K294=ReportDate,$A294=ReportDate),1,0),0)</f>
        <v>0</v>
      </c>
      <c r="AU294" s="71">
        <f>IF($AK294=1,IF(OR($L294=ReportDate+1,$W294=ReportDate+1,$K294=ReportDate+1,$A294=ReportDate+1),1,0),0)</f>
        <v>0</v>
      </c>
      <c r="AV294" s="71">
        <f>IF(AND($G294&lt;&gt;"",$M294="Completed"),IF(OR($Y294=ReportDate-1,$A294=ReportDate-1),1,0),0)</f>
        <v>0</v>
      </c>
      <c r="AW294" s="71">
        <f>IF(AND($AK294=1,$Z294="Yes"),1,0)</f>
        <v>0</v>
      </c>
      <c r="AX294" s="71">
        <f>IF(AND($AK294=1,$AA294="Yes"),1,0)</f>
        <v>0</v>
      </c>
      <c r="AY294" s="71">
        <f>IF(AND($AM294=1,OR($I294="Critical",$I294="High")),1,0)</f>
        <v>0</v>
      </c>
      <c r="AZ294" s="71">
        <f>IF(AND($AK294=1,OR($C294=TCL_Client,$C294=MECCA_Client)),1,0)</f>
        <v>0</v>
      </c>
      <c r="BA294" s="71" t="str">
        <f>IF($G294="","",IFERROR(MATCH($I294,lst_Priority,0),5))</f>
        <v/>
      </c>
      <c r="BB294" s="71" t="str">
        <f>IF(AND($AL294=1,$AJ294=1),$BA294*100000+ROW(),"")</f>
        <v/>
      </c>
      <c r="BC294" s="71" t="str">
        <f>IF(AND($AM294=1,$AJ294=1),$BA294*100000+ROW(),"")</f>
        <v/>
      </c>
      <c r="BD294" s="71" t="str">
        <f>IF(AND($AP294=1,$AJ294=1),$BA294*100000+ROW(),"")</f>
        <v/>
      </c>
      <c r="BE294" s="71" t="str">
        <f>IF(AND($AT294=1,$AJ294=1),$BA294*100000+ROW(),"")</f>
        <v/>
      </c>
      <c r="BF294" s="71" t="str">
        <f>IF(AND($AU294=1,$AJ294=1),$BA294*100000+ROW(),"")</f>
        <v/>
      </c>
      <c r="BG294" s="71" t="str">
        <f>IF(AND($AV294=1,$AJ294=1),$BA294*100000+ROW(),"")</f>
        <v/>
      </c>
      <c r="BH294" s="71" t="str">
        <f>IF(AND($AW294=1,$AJ294=1),$BA294*100000+ROW(),"")</f>
        <v/>
      </c>
      <c r="BI294" s="71" t="str">
        <f>IF(AND($AX294=1,$AJ294=1),$BA294*100000+ROW(),"")</f>
        <v/>
      </c>
      <c r="BJ294" s="71" t="str">
        <f>IF(AND($AS294=1,$AJ294=1),$BA294*100000+ROW(),"")</f>
        <v/>
      </c>
      <c r="BK294" s="71" t="str">
        <f>IF(AND($AY294=1,$AJ294=1),$BA294*100000+ROW(),"")</f>
        <v/>
      </c>
      <c r="BL294" s="71" t="str">
        <f>IF(AND($AZ294=1),$BA294*100000+ROW(),"")</f>
        <v/>
      </c>
    </row>
    <row r="295">
      <c r="A295" s="63" t="n"/>
      <c r="B295" s="64" t="n"/>
      <c r="C295" s="64" t="n"/>
      <c r="D295" s="64" t="n"/>
      <c r="E295" s="64" t="n"/>
      <c r="F295" s="64" t="n"/>
      <c r="G295" s="65" t="n"/>
      <c r="H295" s="65" t="n"/>
      <c r="I295" s="64" t="n"/>
      <c r="J295" s="64" t="n"/>
      <c r="K295" s="63" t="n"/>
      <c r="L295" s="63" t="n"/>
      <c r="M295" s="64" t="n"/>
      <c r="N295" s="66" t="n"/>
      <c r="O295" s="65" t="n"/>
      <c r="P295" s="64" t="n"/>
      <c r="Q295" s="67" t="n"/>
      <c r="R295" s="67" t="n"/>
      <c r="S295" s="68" t="str">
        <f>IF(AND(ISNUMBER($Q295),ISNUMBER($R295)),$Q295-$R295,"")</f>
        <v/>
      </c>
      <c r="T295" s="65" t="n"/>
      <c r="U295" s="64" t="n"/>
      <c r="V295" s="65" t="n"/>
      <c r="W295" s="63" t="n"/>
      <c r="X295" s="65" t="n"/>
      <c r="Y295" s="63" t="n"/>
      <c r="Z295" s="64" t="n"/>
      <c r="AA295" s="64" t="n"/>
      <c r="AB295" s="65" t="n"/>
      <c r="AC295" s="69" t="str">
        <f>IF(OR($G295="",NOT(ISNUMBER($K295)),$AK295=0),"",MAX(0,ReportDate-$K295))</f>
        <v/>
      </c>
      <c r="AD295" s="69" t="str">
        <f>IF($G295="","",IF($AL295=1,ReportDate-$L295,0))</f>
        <v/>
      </c>
      <c r="AE295" s="70" t="str">
        <f>IF($G295="","",IF($M295="Completed",1,IF(ISNUMBER($N295),$N295,0)))</f>
        <v/>
      </c>
      <c r="AF295" s="70" t="str">
        <f>IF(AND(ISNUMBER($Q295),ISNUMBER($R295)),IF($R295&lt;&gt;0,$Q295/$R295,""),"")</f>
        <v/>
      </c>
      <c r="AG295" s="71" t="str">
        <f>IF($G295="","",IF($AL295=1,"OVERDUE",IF($AM295=1,"BLOCKED",IF($AN295=1,"DUE TODAY",IF($AO295=1,"DUE TOMORROW",IF($AQ295=1,"HIGH PRIORITY",IF($AR295=1,"NO RECENT UPDATE",""))))))) </f>
        <v/>
      </c>
      <c r="AH295" s="71" t="str">
        <f>IF($G295="","",IF(ISNUMBER($A295),IF(ISNUMBER($A295),YEAR($A295)&amp;"-"&amp;TEXT(MONTH($A295),"00"),""),IF(ISNUMBER($L295),IF(ISNUMBER($L295),YEAR($L295)&amp;"-"&amp;TEXT(MONTH($L295),"00"),""),"")))</f>
        <v/>
      </c>
      <c r="AI295" s="71">
        <f>IF($G295="",0,IF(AND(OR(fClient="All",$C295=fClient),OR(fCampaign="All",$D295=fCampaign),OR(fTeam="All",$B295=fTeam),OR(fChannel="All",$F295=fChannel),OR(fMonth="All",$AH295=fMonth),OR(fTStatus="All",$M295=fTStatus)),1,0))</f>
        <v>0</v>
      </c>
      <c r="AJ295" s="71">
        <f>IF($G295="",0,IF(AND(OR(fClient="All",$C295=fClient),OR(fCampaign="All",$D295=fCampaign),OR(fTeam="All",$B295=fTeam),OR(fChannel="All",$F295=fChannel)),1,0))</f>
        <v>0</v>
      </c>
      <c r="AK295" s="71">
        <f>IF($G295="",0,IF(OR($M295="Completed",$M295="Cancelled"),0,1))</f>
        <v>0</v>
      </c>
      <c r="AL295" s="71">
        <f>IF(AND($AK295=1,ISNUMBER($L295)),IF($L295&lt;ReportDate,1,0),0)</f>
        <v>0</v>
      </c>
      <c r="AM295" s="71">
        <f>IF(AND($G295&lt;&gt;"",$M295="Blocked"),1,0)</f>
        <v>0</v>
      </c>
      <c r="AN295" s="71">
        <f>IF(AND($AK295=1,ISNUMBER($L295)),IF($L295=ReportDate,1,0),0)</f>
        <v>0</v>
      </c>
      <c r="AO295" s="71">
        <f>IF(AND($AK295=1,ISNUMBER($L295)),IF($L295=ReportDate+1,1,0),0)</f>
        <v>0</v>
      </c>
      <c r="AP295" s="71">
        <f>IF(AND($AK295=1,ISNUMBER($L295)),IF(AND($L295&gt;=ReportDate,$L295&lt;=ReportDate+DueSoonDays),1,0),0)</f>
        <v>0</v>
      </c>
      <c r="AQ295" s="71">
        <f>IF(AND($AK295=1,OR($I295="Critical",$I295="High")),1,0)</f>
        <v>0</v>
      </c>
      <c r="AR295" s="71">
        <f>IF($AK295=1,IF(ISNUMBER($Y295),IF(ReportDate-$Y295&gt;StaleDays,1,0),1),0)</f>
        <v>0</v>
      </c>
      <c r="AS295" s="71">
        <f>IF(AND($G295&lt;&gt;"",ISNUMBER($Q295),ISNUMBER($R295)),IF(AND($Q295&lt;$R295,OR($M295="Completed",AND(ISNUMBER($L295),$L295&lt;ReportDate))),1,0),0)</f>
        <v>0</v>
      </c>
      <c r="AT295" s="71">
        <f>IF($AK295=1,IF(OR($L295=ReportDate,$W295=ReportDate,$K295=ReportDate,$A295=ReportDate),1,0),0)</f>
        <v>0</v>
      </c>
      <c r="AU295" s="71">
        <f>IF($AK295=1,IF(OR($L295=ReportDate+1,$W295=ReportDate+1,$K295=ReportDate+1,$A295=ReportDate+1),1,0),0)</f>
        <v>0</v>
      </c>
      <c r="AV295" s="71">
        <f>IF(AND($G295&lt;&gt;"",$M295="Completed"),IF(OR($Y295=ReportDate-1,$A295=ReportDate-1),1,0),0)</f>
        <v>0</v>
      </c>
      <c r="AW295" s="71">
        <f>IF(AND($AK295=1,$Z295="Yes"),1,0)</f>
        <v>0</v>
      </c>
      <c r="AX295" s="71">
        <f>IF(AND($AK295=1,$AA295="Yes"),1,0)</f>
        <v>0</v>
      </c>
      <c r="AY295" s="71">
        <f>IF(AND($AM295=1,OR($I295="Critical",$I295="High")),1,0)</f>
        <v>0</v>
      </c>
      <c r="AZ295" s="71">
        <f>IF(AND($AK295=1,OR($C295=TCL_Client,$C295=MECCA_Client)),1,0)</f>
        <v>0</v>
      </c>
      <c r="BA295" s="71" t="str">
        <f>IF($G295="","",IFERROR(MATCH($I295,lst_Priority,0),5))</f>
        <v/>
      </c>
      <c r="BB295" s="71" t="str">
        <f>IF(AND($AL295=1,$AJ295=1),$BA295*100000+ROW(),"")</f>
        <v/>
      </c>
      <c r="BC295" s="71" t="str">
        <f>IF(AND($AM295=1,$AJ295=1),$BA295*100000+ROW(),"")</f>
        <v/>
      </c>
      <c r="BD295" s="71" t="str">
        <f>IF(AND($AP295=1,$AJ295=1),$BA295*100000+ROW(),"")</f>
        <v/>
      </c>
      <c r="BE295" s="71" t="str">
        <f>IF(AND($AT295=1,$AJ295=1),$BA295*100000+ROW(),"")</f>
        <v/>
      </c>
      <c r="BF295" s="71" t="str">
        <f>IF(AND($AU295=1,$AJ295=1),$BA295*100000+ROW(),"")</f>
        <v/>
      </c>
      <c r="BG295" s="71" t="str">
        <f>IF(AND($AV295=1,$AJ295=1),$BA295*100000+ROW(),"")</f>
        <v/>
      </c>
      <c r="BH295" s="71" t="str">
        <f>IF(AND($AW295=1,$AJ295=1),$BA295*100000+ROW(),"")</f>
        <v/>
      </c>
      <c r="BI295" s="71" t="str">
        <f>IF(AND($AX295=1,$AJ295=1),$BA295*100000+ROW(),"")</f>
        <v/>
      </c>
      <c r="BJ295" s="71" t="str">
        <f>IF(AND($AS295=1,$AJ295=1),$BA295*100000+ROW(),"")</f>
        <v/>
      </c>
      <c r="BK295" s="71" t="str">
        <f>IF(AND($AY295=1,$AJ295=1),$BA295*100000+ROW(),"")</f>
        <v/>
      </c>
      <c r="BL295" s="71" t="str">
        <f>IF(AND($AZ295=1),$BA295*100000+ROW(),"")</f>
        <v/>
      </c>
    </row>
    <row r="296">
      <c r="A296" s="63" t="n"/>
      <c r="B296" s="64" t="n"/>
      <c r="C296" s="64" t="n"/>
      <c r="D296" s="64" t="n"/>
      <c r="E296" s="64" t="n"/>
      <c r="F296" s="64" t="n"/>
      <c r="G296" s="65" t="n"/>
      <c r="H296" s="65" t="n"/>
      <c r="I296" s="64" t="n"/>
      <c r="J296" s="64" t="n"/>
      <c r="K296" s="63" t="n"/>
      <c r="L296" s="63" t="n"/>
      <c r="M296" s="64" t="n"/>
      <c r="N296" s="66" t="n"/>
      <c r="O296" s="65" t="n"/>
      <c r="P296" s="64" t="n"/>
      <c r="Q296" s="67" t="n"/>
      <c r="R296" s="67" t="n"/>
      <c r="S296" s="68" t="str">
        <f>IF(AND(ISNUMBER($Q296),ISNUMBER($R296)),$Q296-$R296,"")</f>
        <v/>
      </c>
      <c r="T296" s="65" t="n"/>
      <c r="U296" s="64" t="n"/>
      <c r="V296" s="65" t="n"/>
      <c r="W296" s="63" t="n"/>
      <c r="X296" s="65" t="n"/>
      <c r="Y296" s="63" t="n"/>
      <c r="Z296" s="64" t="n"/>
      <c r="AA296" s="64" t="n"/>
      <c r="AB296" s="65" t="n"/>
      <c r="AC296" s="69" t="str">
        <f>IF(OR($G296="",NOT(ISNUMBER($K296)),$AK296=0),"",MAX(0,ReportDate-$K296))</f>
        <v/>
      </c>
      <c r="AD296" s="69" t="str">
        <f>IF($G296="","",IF($AL296=1,ReportDate-$L296,0))</f>
        <v/>
      </c>
      <c r="AE296" s="70" t="str">
        <f>IF($G296="","",IF($M296="Completed",1,IF(ISNUMBER($N296),$N296,0)))</f>
        <v/>
      </c>
      <c r="AF296" s="70" t="str">
        <f>IF(AND(ISNUMBER($Q296),ISNUMBER($R296)),IF($R296&lt;&gt;0,$Q296/$R296,""),"")</f>
        <v/>
      </c>
      <c r="AG296" s="71" t="str">
        <f>IF($G296="","",IF($AL296=1,"OVERDUE",IF($AM296=1,"BLOCKED",IF($AN296=1,"DUE TODAY",IF($AO296=1,"DUE TOMORROW",IF($AQ296=1,"HIGH PRIORITY",IF($AR296=1,"NO RECENT UPDATE",""))))))) </f>
        <v/>
      </c>
      <c r="AH296" s="71" t="str">
        <f>IF($G296="","",IF(ISNUMBER($A296),IF(ISNUMBER($A296),YEAR($A296)&amp;"-"&amp;TEXT(MONTH($A296),"00"),""),IF(ISNUMBER($L296),IF(ISNUMBER($L296),YEAR($L296)&amp;"-"&amp;TEXT(MONTH($L296),"00"),""),"")))</f>
        <v/>
      </c>
      <c r="AI296" s="71">
        <f>IF($G296="",0,IF(AND(OR(fClient="All",$C296=fClient),OR(fCampaign="All",$D296=fCampaign),OR(fTeam="All",$B296=fTeam),OR(fChannel="All",$F296=fChannel),OR(fMonth="All",$AH296=fMonth),OR(fTStatus="All",$M296=fTStatus)),1,0))</f>
        <v>0</v>
      </c>
      <c r="AJ296" s="71">
        <f>IF($G296="",0,IF(AND(OR(fClient="All",$C296=fClient),OR(fCampaign="All",$D296=fCampaign),OR(fTeam="All",$B296=fTeam),OR(fChannel="All",$F296=fChannel)),1,0))</f>
        <v>0</v>
      </c>
      <c r="AK296" s="71">
        <f>IF($G296="",0,IF(OR($M296="Completed",$M296="Cancelled"),0,1))</f>
        <v>0</v>
      </c>
      <c r="AL296" s="71">
        <f>IF(AND($AK296=1,ISNUMBER($L296)),IF($L296&lt;ReportDate,1,0),0)</f>
        <v>0</v>
      </c>
      <c r="AM296" s="71">
        <f>IF(AND($G296&lt;&gt;"",$M296="Blocked"),1,0)</f>
        <v>0</v>
      </c>
      <c r="AN296" s="71">
        <f>IF(AND($AK296=1,ISNUMBER($L296)),IF($L296=ReportDate,1,0),0)</f>
        <v>0</v>
      </c>
      <c r="AO296" s="71">
        <f>IF(AND($AK296=1,ISNUMBER($L296)),IF($L296=ReportDate+1,1,0),0)</f>
        <v>0</v>
      </c>
      <c r="AP296" s="71">
        <f>IF(AND($AK296=1,ISNUMBER($L296)),IF(AND($L296&gt;=ReportDate,$L296&lt;=ReportDate+DueSoonDays),1,0),0)</f>
        <v>0</v>
      </c>
      <c r="AQ296" s="71">
        <f>IF(AND($AK296=1,OR($I296="Critical",$I296="High")),1,0)</f>
        <v>0</v>
      </c>
      <c r="AR296" s="71">
        <f>IF($AK296=1,IF(ISNUMBER($Y296),IF(ReportDate-$Y296&gt;StaleDays,1,0),1),0)</f>
        <v>0</v>
      </c>
      <c r="AS296" s="71">
        <f>IF(AND($G296&lt;&gt;"",ISNUMBER($Q296),ISNUMBER($R296)),IF(AND($Q296&lt;$R296,OR($M296="Completed",AND(ISNUMBER($L296),$L296&lt;ReportDate))),1,0),0)</f>
        <v>0</v>
      </c>
      <c r="AT296" s="71">
        <f>IF($AK296=1,IF(OR($L296=ReportDate,$W296=ReportDate,$K296=ReportDate,$A296=ReportDate),1,0),0)</f>
        <v>0</v>
      </c>
      <c r="AU296" s="71">
        <f>IF($AK296=1,IF(OR($L296=ReportDate+1,$W296=ReportDate+1,$K296=ReportDate+1,$A296=ReportDate+1),1,0),0)</f>
        <v>0</v>
      </c>
      <c r="AV296" s="71">
        <f>IF(AND($G296&lt;&gt;"",$M296="Completed"),IF(OR($Y296=ReportDate-1,$A296=ReportDate-1),1,0),0)</f>
        <v>0</v>
      </c>
      <c r="AW296" s="71">
        <f>IF(AND($AK296=1,$Z296="Yes"),1,0)</f>
        <v>0</v>
      </c>
      <c r="AX296" s="71">
        <f>IF(AND($AK296=1,$AA296="Yes"),1,0)</f>
        <v>0</v>
      </c>
      <c r="AY296" s="71">
        <f>IF(AND($AM296=1,OR($I296="Critical",$I296="High")),1,0)</f>
        <v>0</v>
      </c>
      <c r="AZ296" s="71">
        <f>IF(AND($AK296=1,OR($C296=TCL_Client,$C296=MECCA_Client)),1,0)</f>
        <v>0</v>
      </c>
      <c r="BA296" s="71" t="str">
        <f>IF($G296="","",IFERROR(MATCH($I296,lst_Priority,0),5))</f>
        <v/>
      </c>
      <c r="BB296" s="71" t="str">
        <f>IF(AND($AL296=1,$AJ296=1),$BA296*100000+ROW(),"")</f>
        <v/>
      </c>
      <c r="BC296" s="71" t="str">
        <f>IF(AND($AM296=1,$AJ296=1),$BA296*100000+ROW(),"")</f>
        <v/>
      </c>
      <c r="BD296" s="71" t="str">
        <f>IF(AND($AP296=1,$AJ296=1),$BA296*100000+ROW(),"")</f>
        <v/>
      </c>
      <c r="BE296" s="71" t="str">
        <f>IF(AND($AT296=1,$AJ296=1),$BA296*100000+ROW(),"")</f>
        <v/>
      </c>
      <c r="BF296" s="71" t="str">
        <f>IF(AND($AU296=1,$AJ296=1),$BA296*100000+ROW(),"")</f>
        <v/>
      </c>
      <c r="BG296" s="71" t="str">
        <f>IF(AND($AV296=1,$AJ296=1),$BA296*100000+ROW(),"")</f>
        <v/>
      </c>
      <c r="BH296" s="71" t="str">
        <f>IF(AND($AW296=1,$AJ296=1),$BA296*100000+ROW(),"")</f>
        <v/>
      </c>
      <c r="BI296" s="71" t="str">
        <f>IF(AND($AX296=1,$AJ296=1),$BA296*100000+ROW(),"")</f>
        <v/>
      </c>
      <c r="BJ296" s="71" t="str">
        <f>IF(AND($AS296=1,$AJ296=1),$BA296*100000+ROW(),"")</f>
        <v/>
      </c>
      <c r="BK296" s="71" t="str">
        <f>IF(AND($AY296=1,$AJ296=1),$BA296*100000+ROW(),"")</f>
        <v/>
      </c>
      <c r="BL296" s="71" t="str">
        <f>IF(AND($AZ296=1),$BA296*100000+ROW(),"")</f>
        <v/>
      </c>
    </row>
    <row r="297">
      <c r="A297" s="63" t="n"/>
      <c r="B297" s="64" t="n"/>
      <c r="C297" s="64" t="n"/>
      <c r="D297" s="64" t="n"/>
      <c r="E297" s="64" t="n"/>
      <c r="F297" s="64" t="n"/>
      <c r="G297" s="65" t="n"/>
      <c r="H297" s="65" t="n"/>
      <c r="I297" s="64" t="n"/>
      <c r="J297" s="64" t="n"/>
      <c r="K297" s="63" t="n"/>
      <c r="L297" s="63" t="n"/>
      <c r="M297" s="64" t="n"/>
      <c r="N297" s="66" t="n"/>
      <c r="O297" s="65" t="n"/>
      <c r="P297" s="64" t="n"/>
      <c r="Q297" s="67" t="n"/>
      <c r="R297" s="67" t="n"/>
      <c r="S297" s="68" t="str">
        <f>IF(AND(ISNUMBER($Q297),ISNUMBER($R297)),$Q297-$R297,"")</f>
        <v/>
      </c>
      <c r="T297" s="65" t="n"/>
      <c r="U297" s="64" t="n"/>
      <c r="V297" s="65" t="n"/>
      <c r="W297" s="63" t="n"/>
      <c r="X297" s="65" t="n"/>
      <c r="Y297" s="63" t="n"/>
      <c r="Z297" s="64" t="n"/>
      <c r="AA297" s="64" t="n"/>
      <c r="AB297" s="65" t="n"/>
      <c r="AC297" s="69" t="str">
        <f>IF(OR($G297="",NOT(ISNUMBER($K297)),$AK297=0),"",MAX(0,ReportDate-$K297))</f>
        <v/>
      </c>
      <c r="AD297" s="69" t="str">
        <f>IF($G297="","",IF($AL297=1,ReportDate-$L297,0))</f>
        <v/>
      </c>
      <c r="AE297" s="70" t="str">
        <f>IF($G297="","",IF($M297="Completed",1,IF(ISNUMBER($N297),$N297,0)))</f>
        <v/>
      </c>
      <c r="AF297" s="70" t="str">
        <f>IF(AND(ISNUMBER($Q297),ISNUMBER($R297)),IF($R297&lt;&gt;0,$Q297/$R297,""),"")</f>
        <v/>
      </c>
      <c r="AG297" s="71" t="str">
        <f>IF($G297="","",IF($AL297=1,"OVERDUE",IF($AM297=1,"BLOCKED",IF($AN297=1,"DUE TODAY",IF($AO297=1,"DUE TOMORROW",IF($AQ297=1,"HIGH PRIORITY",IF($AR297=1,"NO RECENT UPDATE",""))))))) </f>
        <v/>
      </c>
      <c r="AH297" s="71" t="str">
        <f>IF($G297="","",IF(ISNUMBER($A297),IF(ISNUMBER($A297),YEAR($A297)&amp;"-"&amp;TEXT(MONTH($A297),"00"),""),IF(ISNUMBER($L297),IF(ISNUMBER($L297),YEAR($L297)&amp;"-"&amp;TEXT(MONTH($L297),"00"),""),"")))</f>
        <v/>
      </c>
      <c r="AI297" s="71">
        <f>IF($G297="",0,IF(AND(OR(fClient="All",$C297=fClient),OR(fCampaign="All",$D297=fCampaign),OR(fTeam="All",$B297=fTeam),OR(fChannel="All",$F297=fChannel),OR(fMonth="All",$AH297=fMonth),OR(fTStatus="All",$M297=fTStatus)),1,0))</f>
        <v>0</v>
      </c>
      <c r="AJ297" s="71">
        <f>IF($G297="",0,IF(AND(OR(fClient="All",$C297=fClient),OR(fCampaign="All",$D297=fCampaign),OR(fTeam="All",$B297=fTeam),OR(fChannel="All",$F297=fChannel)),1,0))</f>
        <v>0</v>
      </c>
      <c r="AK297" s="71">
        <f>IF($G297="",0,IF(OR($M297="Completed",$M297="Cancelled"),0,1))</f>
        <v>0</v>
      </c>
      <c r="AL297" s="71">
        <f>IF(AND($AK297=1,ISNUMBER($L297)),IF($L297&lt;ReportDate,1,0),0)</f>
        <v>0</v>
      </c>
      <c r="AM297" s="71">
        <f>IF(AND($G297&lt;&gt;"",$M297="Blocked"),1,0)</f>
        <v>0</v>
      </c>
      <c r="AN297" s="71">
        <f>IF(AND($AK297=1,ISNUMBER($L297)),IF($L297=ReportDate,1,0),0)</f>
        <v>0</v>
      </c>
      <c r="AO297" s="71">
        <f>IF(AND($AK297=1,ISNUMBER($L297)),IF($L297=ReportDate+1,1,0),0)</f>
        <v>0</v>
      </c>
      <c r="AP297" s="71">
        <f>IF(AND($AK297=1,ISNUMBER($L297)),IF(AND($L297&gt;=ReportDate,$L297&lt;=ReportDate+DueSoonDays),1,0),0)</f>
        <v>0</v>
      </c>
      <c r="AQ297" s="71">
        <f>IF(AND($AK297=1,OR($I297="Critical",$I297="High")),1,0)</f>
        <v>0</v>
      </c>
      <c r="AR297" s="71">
        <f>IF($AK297=1,IF(ISNUMBER($Y297),IF(ReportDate-$Y297&gt;StaleDays,1,0),1),0)</f>
        <v>0</v>
      </c>
      <c r="AS297" s="71">
        <f>IF(AND($G297&lt;&gt;"",ISNUMBER($Q297),ISNUMBER($R297)),IF(AND($Q297&lt;$R297,OR($M297="Completed",AND(ISNUMBER($L297),$L297&lt;ReportDate))),1,0),0)</f>
        <v>0</v>
      </c>
      <c r="AT297" s="71">
        <f>IF($AK297=1,IF(OR($L297=ReportDate,$W297=ReportDate,$K297=ReportDate,$A297=ReportDate),1,0),0)</f>
        <v>0</v>
      </c>
      <c r="AU297" s="71">
        <f>IF($AK297=1,IF(OR($L297=ReportDate+1,$W297=ReportDate+1,$K297=ReportDate+1,$A297=ReportDate+1),1,0),0)</f>
        <v>0</v>
      </c>
      <c r="AV297" s="71">
        <f>IF(AND($G297&lt;&gt;"",$M297="Completed"),IF(OR($Y297=ReportDate-1,$A297=ReportDate-1),1,0),0)</f>
        <v>0</v>
      </c>
      <c r="AW297" s="71">
        <f>IF(AND($AK297=1,$Z297="Yes"),1,0)</f>
        <v>0</v>
      </c>
      <c r="AX297" s="71">
        <f>IF(AND($AK297=1,$AA297="Yes"),1,0)</f>
        <v>0</v>
      </c>
      <c r="AY297" s="71">
        <f>IF(AND($AM297=1,OR($I297="Critical",$I297="High")),1,0)</f>
        <v>0</v>
      </c>
      <c r="AZ297" s="71">
        <f>IF(AND($AK297=1,OR($C297=TCL_Client,$C297=MECCA_Client)),1,0)</f>
        <v>0</v>
      </c>
      <c r="BA297" s="71" t="str">
        <f>IF($G297="","",IFERROR(MATCH($I297,lst_Priority,0),5))</f>
        <v/>
      </c>
      <c r="BB297" s="71" t="str">
        <f>IF(AND($AL297=1,$AJ297=1),$BA297*100000+ROW(),"")</f>
        <v/>
      </c>
      <c r="BC297" s="71" t="str">
        <f>IF(AND($AM297=1,$AJ297=1),$BA297*100000+ROW(),"")</f>
        <v/>
      </c>
      <c r="BD297" s="71" t="str">
        <f>IF(AND($AP297=1,$AJ297=1),$BA297*100000+ROW(),"")</f>
        <v/>
      </c>
      <c r="BE297" s="71" t="str">
        <f>IF(AND($AT297=1,$AJ297=1),$BA297*100000+ROW(),"")</f>
        <v/>
      </c>
      <c r="BF297" s="71" t="str">
        <f>IF(AND($AU297=1,$AJ297=1),$BA297*100000+ROW(),"")</f>
        <v/>
      </c>
      <c r="BG297" s="71" t="str">
        <f>IF(AND($AV297=1,$AJ297=1),$BA297*100000+ROW(),"")</f>
        <v/>
      </c>
      <c r="BH297" s="71" t="str">
        <f>IF(AND($AW297=1,$AJ297=1),$BA297*100000+ROW(),"")</f>
        <v/>
      </c>
      <c r="BI297" s="71" t="str">
        <f>IF(AND($AX297=1,$AJ297=1),$BA297*100000+ROW(),"")</f>
        <v/>
      </c>
      <c r="BJ297" s="71" t="str">
        <f>IF(AND($AS297=1,$AJ297=1),$BA297*100000+ROW(),"")</f>
        <v/>
      </c>
      <c r="BK297" s="71" t="str">
        <f>IF(AND($AY297=1,$AJ297=1),$BA297*100000+ROW(),"")</f>
        <v/>
      </c>
      <c r="BL297" s="71" t="str">
        <f>IF(AND($AZ297=1),$BA297*100000+ROW(),"")</f>
        <v/>
      </c>
    </row>
    <row r="298">
      <c r="A298" s="63" t="n"/>
      <c r="B298" s="64" t="n"/>
      <c r="C298" s="64" t="n"/>
      <c r="D298" s="64" t="n"/>
      <c r="E298" s="64" t="n"/>
      <c r="F298" s="64" t="n"/>
      <c r="G298" s="65" t="n"/>
      <c r="H298" s="65" t="n"/>
      <c r="I298" s="64" t="n"/>
      <c r="J298" s="64" t="n"/>
      <c r="K298" s="63" t="n"/>
      <c r="L298" s="63" t="n"/>
      <c r="M298" s="64" t="n"/>
      <c r="N298" s="66" t="n"/>
      <c r="O298" s="65" t="n"/>
      <c r="P298" s="64" t="n"/>
      <c r="Q298" s="67" t="n"/>
      <c r="R298" s="67" t="n"/>
      <c r="S298" s="68" t="str">
        <f>IF(AND(ISNUMBER($Q298),ISNUMBER($R298)),$Q298-$R298,"")</f>
        <v/>
      </c>
      <c r="T298" s="65" t="n"/>
      <c r="U298" s="64" t="n"/>
      <c r="V298" s="65" t="n"/>
      <c r="W298" s="63" t="n"/>
      <c r="X298" s="65" t="n"/>
      <c r="Y298" s="63" t="n"/>
      <c r="Z298" s="64" t="n"/>
      <c r="AA298" s="64" t="n"/>
      <c r="AB298" s="65" t="n"/>
      <c r="AC298" s="69" t="str">
        <f>IF(OR($G298="",NOT(ISNUMBER($K298)),$AK298=0),"",MAX(0,ReportDate-$K298))</f>
        <v/>
      </c>
      <c r="AD298" s="69" t="str">
        <f>IF($G298="","",IF($AL298=1,ReportDate-$L298,0))</f>
        <v/>
      </c>
      <c r="AE298" s="70" t="str">
        <f>IF($G298="","",IF($M298="Completed",1,IF(ISNUMBER($N298),$N298,0)))</f>
        <v/>
      </c>
      <c r="AF298" s="70" t="str">
        <f>IF(AND(ISNUMBER($Q298),ISNUMBER($R298)),IF($R298&lt;&gt;0,$Q298/$R298,""),"")</f>
        <v/>
      </c>
      <c r="AG298" s="71" t="str">
        <f>IF($G298="","",IF($AL298=1,"OVERDUE",IF($AM298=1,"BLOCKED",IF($AN298=1,"DUE TODAY",IF($AO298=1,"DUE TOMORROW",IF($AQ298=1,"HIGH PRIORITY",IF($AR298=1,"NO RECENT UPDATE",""))))))) </f>
        <v/>
      </c>
      <c r="AH298" s="71" t="str">
        <f>IF($G298="","",IF(ISNUMBER($A298),IF(ISNUMBER($A298),YEAR($A298)&amp;"-"&amp;TEXT(MONTH($A298),"00"),""),IF(ISNUMBER($L298),IF(ISNUMBER($L298),YEAR($L298)&amp;"-"&amp;TEXT(MONTH($L298),"00"),""),"")))</f>
        <v/>
      </c>
      <c r="AI298" s="71">
        <f>IF($G298="",0,IF(AND(OR(fClient="All",$C298=fClient),OR(fCampaign="All",$D298=fCampaign),OR(fTeam="All",$B298=fTeam),OR(fChannel="All",$F298=fChannel),OR(fMonth="All",$AH298=fMonth),OR(fTStatus="All",$M298=fTStatus)),1,0))</f>
        <v>0</v>
      </c>
      <c r="AJ298" s="71">
        <f>IF($G298="",0,IF(AND(OR(fClient="All",$C298=fClient),OR(fCampaign="All",$D298=fCampaign),OR(fTeam="All",$B298=fTeam),OR(fChannel="All",$F298=fChannel)),1,0))</f>
        <v>0</v>
      </c>
      <c r="AK298" s="71">
        <f>IF($G298="",0,IF(OR($M298="Completed",$M298="Cancelled"),0,1))</f>
        <v>0</v>
      </c>
      <c r="AL298" s="71">
        <f>IF(AND($AK298=1,ISNUMBER($L298)),IF($L298&lt;ReportDate,1,0),0)</f>
        <v>0</v>
      </c>
      <c r="AM298" s="71">
        <f>IF(AND($G298&lt;&gt;"",$M298="Blocked"),1,0)</f>
        <v>0</v>
      </c>
      <c r="AN298" s="71">
        <f>IF(AND($AK298=1,ISNUMBER($L298)),IF($L298=ReportDate,1,0),0)</f>
        <v>0</v>
      </c>
      <c r="AO298" s="71">
        <f>IF(AND($AK298=1,ISNUMBER($L298)),IF($L298=ReportDate+1,1,0),0)</f>
        <v>0</v>
      </c>
      <c r="AP298" s="71">
        <f>IF(AND($AK298=1,ISNUMBER($L298)),IF(AND($L298&gt;=ReportDate,$L298&lt;=ReportDate+DueSoonDays),1,0),0)</f>
        <v>0</v>
      </c>
      <c r="AQ298" s="71">
        <f>IF(AND($AK298=1,OR($I298="Critical",$I298="High")),1,0)</f>
        <v>0</v>
      </c>
      <c r="AR298" s="71">
        <f>IF($AK298=1,IF(ISNUMBER($Y298),IF(ReportDate-$Y298&gt;StaleDays,1,0),1),0)</f>
        <v>0</v>
      </c>
      <c r="AS298" s="71">
        <f>IF(AND($G298&lt;&gt;"",ISNUMBER($Q298),ISNUMBER($R298)),IF(AND($Q298&lt;$R298,OR($M298="Completed",AND(ISNUMBER($L298),$L298&lt;ReportDate))),1,0),0)</f>
        <v>0</v>
      </c>
      <c r="AT298" s="71">
        <f>IF($AK298=1,IF(OR($L298=ReportDate,$W298=ReportDate,$K298=ReportDate,$A298=ReportDate),1,0),0)</f>
        <v>0</v>
      </c>
      <c r="AU298" s="71">
        <f>IF($AK298=1,IF(OR($L298=ReportDate+1,$W298=ReportDate+1,$K298=ReportDate+1,$A298=ReportDate+1),1,0),0)</f>
        <v>0</v>
      </c>
      <c r="AV298" s="71">
        <f>IF(AND($G298&lt;&gt;"",$M298="Completed"),IF(OR($Y298=ReportDate-1,$A298=ReportDate-1),1,0),0)</f>
        <v>0</v>
      </c>
      <c r="AW298" s="71">
        <f>IF(AND($AK298=1,$Z298="Yes"),1,0)</f>
        <v>0</v>
      </c>
      <c r="AX298" s="71">
        <f>IF(AND($AK298=1,$AA298="Yes"),1,0)</f>
        <v>0</v>
      </c>
      <c r="AY298" s="71">
        <f>IF(AND($AM298=1,OR($I298="Critical",$I298="High")),1,0)</f>
        <v>0</v>
      </c>
      <c r="AZ298" s="71">
        <f>IF(AND($AK298=1,OR($C298=TCL_Client,$C298=MECCA_Client)),1,0)</f>
        <v>0</v>
      </c>
      <c r="BA298" s="71" t="str">
        <f>IF($G298="","",IFERROR(MATCH($I298,lst_Priority,0),5))</f>
        <v/>
      </c>
      <c r="BB298" s="71" t="str">
        <f>IF(AND($AL298=1,$AJ298=1),$BA298*100000+ROW(),"")</f>
        <v/>
      </c>
      <c r="BC298" s="71" t="str">
        <f>IF(AND($AM298=1,$AJ298=1),$BA298*100000+ROW(),"")</f>
        <v/>
      </c>
      <c r="BD298" s="71" t="str">
        <f>IF(AND($AP298=1,$AJ298=1),$BA298*100000+ROW(),"")</f>
        <v/>
      </c>
      <c r="BE298" s="71" t="str">
        <f>IF(AND($AT298=1,$AJ298=1),$BA298*100000+ROW(),"")</f>
        <v/>
      </c>
      <c r="BF298" s="71" t="str">
        <f>IF(AND($AU298=1,$AJ298=1),$BA298*100000+ROW(),"")</f>
        <v/>
      </c>
      <c r="BG298" s="71" t="str">
        <f>IF(AND($AV298=1,$AJ298=1),$BA298*100000+ROW(),"")</f>
        <v/>
      </c>
      <c r="BH298" s="71" t="str">
        <f>IF(AND($AW298=1,$AJ298=1),$BA298*100000+ROW(),"")</f>
        <v/>
      </c>
      <c r="BI298" s="71" t="str">
        <f>IF(AND($AX298=1,$AJ298=1),$BA298*100000+ROW(),"")</f>
        <v/>
      </c>
      <c r="BJ298" s="71" t="str">
        <f>IF(AND($AS298=1,$AJ298=1),$BA298*100000+ROW(),"")</f>
        <v/>
      </c>
      <c r="BK298" s="71" t="str">
        <f>IF(AND($AY298=1,$AJ298=1),$BA298*100000+ROW(),"")</f>
        <v/>
      </c>
      <c r="BL298" s="71" t="str">
        <f>IF(AND($AZ298=1),$BA298*100000+ROW(),"")</f>
        <v/>
      </c>
    </row>
    <row r="299">
      <c r="A299" s="63" t="n"/>
      <c r="B299" s="64" t="n"/>
      <c r="C299" s="64" t="n"/>
      <c r="D299" s="64" t="n"/>
      <c r="E299" s="64" t="n"/>
      <c r="F299" s="64" t="n"/>
      <c r="G299" s="65" t="n"/>
      <c r="H299" s="65" t="n"/>
      <c r="I299" s="64" t="n"/>
      <c r="J299" s="64" t="n"/>
      <c r="K299" s="63" t="n"/>
      <c r="L299" s="63" t="n"/>
      <c r="M299" s="64" t="n"/>
      <c r="N299" s="66" t="n"/>
      <c r="O299" s="65" t="n"/>
      <c r="P299" s="64" t="n"/>
      <c r="Q299" s="67" t="n"/>
      <c r="R299" s="67" t="n"/>
      <c r="S299" s="68" t="str">
        <f>IF(AND(ISNUMBER($Q299),ISNUMBER($R299)),$Q299-$R299,"")</f>
        <v/>
      </c>
      <c r="T299" s="65" t="n"/>
      <c r="U299" s="64" t="n"/>
      <c r="V299" s="65" t="n"/>
      <c r="W299" s="63" t="n"/>
      <c r="X299" s="65" t="n"/>
      <c r="Y299" s="63" t="n"/>
      <c r="Z299" s="64" t="n"/>
      <c r="AA299" s="64" t="n"/>
      <c r="AB299" s="65" t="n"/>
      <c r="AC299" s="69" t="str">
        <f>IF(OR($G299="",NOT(ISNUMBER($K299)),$AK299=0),"",MAX(0,ReportDate-$K299))</f>
        <v/>
      </c>
      <c r="AD299" s="69" t="str">
        <f>IF($G299="","",IF($AL299=1,ReportDate-$L299,0))</f>
        <v/>
      </c>
      <c r="AE299" s="70" t="str">
        <f>IF($G299="","",IF($M299="Completed",1,IF(ISNUMBER($N299),$N299,0)))</f>
        <v/>
      </c>
      <c r="AF299" s="70" t="str">
        <f>IF(AND(ISNUMBER($Q299),ISNUMBER($R299)),IF($R299&lt;&gt;0,$Q299/$R299,""),"")</f>
        <v/>
      </c>
      <c r="AG299" s="71" t="str">
        <f>IF($G299="","",IF($AL299=1,"OVERDUE",IF($AM299=1,"BLOCKED",IF($AN299=1,"DUE TODAY",IF($AO299=1,"DUE TOMORROW",IF($AQ299=1,"HIGH PRIORITY",IF($AR299=1,"NO RECENT UPDATE",""))))))) </f>
        <v/>
      </c>
      <c r="AH299" s="71" t="str">
        <f>IF($G299="","",IF(ISNUMBER($A299),IF(ISNUMBER($A299),YEAR($A299)&amp;"-"&amp;TEXT(MONTH($A299),"00"),""),IF(ISNUMBER($L299),IF(ISNUMBER($L299),YEAR($L299)&amp;"-"&amp;TEXT(MONTH($L299),"00"),""),"")))</f>
        <v/>
      </c>
      <c r="AI299" s="71">
        <f>IF($G299="",0,IF(AND(OR(fClient="All",$C299=fClient),OR(fCampaign="All",$D299=fCampaign),OR(fTeam="All",$B299=fTeam),OR(fChannel="All",$F299=fChannel),OR(fMonth="All",$AH299=fMonth),OR(fTStatus="All",$M299=fTStatus)),1,0))</f>
        <v>0</v>
      </c>
      <c r="AJ299" s="71">
        <f>IF($G299="",0,IF(AND(OR(fClient="All",$C299=fClient),OR(fCampaign="All",$D299=fCampaign),OR(fTeam="All",$B299=fTeam),OR(fChannel="All",$F299=fChannel)),1,0))</f>
        <v>0</v>
      </c>
      <c r="AK299" s="71">
        <f>IF($G299="",0,IF(OR($M299="Completed",$M299="Cancelled"),0,1))</f>
        <v>0</v>
      </c>
      <c r="AL299" s="71">
        <f>IF(AND($AK299=1,ISNUMBER($L299)),IF($L299&lt;ReportDate,1,0),0)</f>
        <v>0</v>
      </c>
      <c r="AM299" s="71">
        <f>IF(AND($G299&lt;&gt;"",$M299="Blocked"),1,0)</f>
        <v>0</v>
      </c>
      <c r="AN299" s="71">
        <f>IF(AND($AK299=1,ISNUMBER($L299)),IF($L299=ReportDate,1,0),0)</f>
        <v>0</v>
      </c>
      <c r="AO299" s="71">
        <f>IF(AND($AK299=1,ISNUMBER($L299)),IF($L299=ReportDate+1,1,0),0)</f>
        <v>0</v>
      </c>
      <c r="AP299" s="71">
        <f>IF(AND($AK299=1,ISNUMBER($L299)),IF(AND($L299&gt;=ReportDate,$L299&lt;=ReportDate+DueSoonDays),1,0),0)</f>
        <v>0</v>
      </c>
      <c r="AQ299" s="71">
        <f>IF(AND($AK299=1,OR($I299="Critical",$I299="High")),1,0)</f>
        <v>0</v>
      </c>
      <c r="AR299" s="71">
        <f>IF($AK299=1,IF(ISNUMBER($Y299),IF(ReportDate-$Y299&gt;StaleDays,1,0),1),0)</f>
        <v>0</v>
      </c>
      <c r="AS299" s="71">
        <f>IF(AND($G299&lt;&gt;"",ISNUMBER($Q299),ISNUMBER($R299)),IF(AND($Q299&lt;$R299,OR($M299="Completed",AND(ISNUMBER($L299),$L299&lt;ReportDate))),1,0),0)</f>
        <v>0</v>
      </c>
      <c r="AT299" s="71">
        <f>IF($AK299=1,IF(OR($L299=ReportDate,$W299=ReportDate,$K299=ReportDate,$A299=ReportDate),1,0),0)</f>
        <v>0</v>
      </c>
      <c r="AU299" s="71">
        <f>IF($AK299=1,IF(OR($L299=ReportDate+1,$W299=ReportDate+1,$K299=ReportDate+1,$A299=ReportDate+1),1,0),0)</f>
        <v>0</v>
      </c>
      <c r="AV299" s="71">
        <f>IF(AND($G299&lt;&gt;"",$M299="Completed"),IF(OR($Y299=ReportDate-1,$A299=ReportDate-1),1,0),0)</f>
        <v>0</v>
      </c>
      <c r="AW299" s="71">
        <f>IF(AND($AK299=1,$Z299="Yes"),1,0)</f>
        <v>0</v>
      </c>
      <c r="AX299" s="71">
        <f>IF(AND($AK299=1,$AA299="Yes"),1,0)</f>
        <v>0</v>
      </c>
      <c r="AY299" s="71">
        <f>IF(AND($AM299=1,OR($I299="Critical",$I299="High")),1,0)</f>
        <v>0</v>
      </c>
      <c r="AZ299" s="71">
        <f>IF(AND($AK299=1,OR($C299=TCL_Client,$C299=MECCA_Client)),1,0)</f>
        <v>0</v>
      </c>
      <c r="BA299" s="71" t="str">
        <f>IF($G299="","",IFERROR(MATCH($I299,lst_Priority,0),5))</f>
        <v/>
      </c>
      <c r="BB299" s="71" t="str">
        <f>IF(AND($AL299=1,$AJ299=1),$BA299*100000+ROW(),"")</f>
        <v/>
      </c>
      <c r="BC299" s="71" t="str">
        <f>IF(AND($AM299=1,$AJ299=1),$BA299*100000+ROW(),"")</f>
        <v/>
      </c>
      <c r="BD299" s="71" t="str">
        <f>IF(AND($AP299=1,$AJ299=1),$BA299*100000+ROW(),"")</f>
        <v/>
      </c>
      <c r="BE299" s="71" t="str">
        <f>IF(AND($AT299=1,$AJ299=1),$BA299*100000+ROW(),"")</f>
        <v/>
      </c>
      <c r="BF299" s="71" t="str">
        <f>IF(AND($AU299=1,$AJ299=1),$BA299*100000+ROW(),"")</f>
        <v/>
      </c>
      <c r="BG299" s="71" t="str">
        <f>IF(AND($AV299=1,$AJ299=1),$BA299*100000+ROW(),"")</f>
        <v/>
      </c>
      <c r="BH299" s="71" t="str">
        <f>IF(AND($AW299=1,$AJ299=1),$BA299*100000+ROW(),"")</f>
        <v/>
      </c>
      <c r="BI299" s="71" t="str">
        <f>IF(AND($AX299=1,$AJ299=1),$BA299*100000+ROW(),"")</f>
        <v/>
      </c>
      <c r="BJ299" s="71" t="str">
        <f>IF(AND($AS299=1,$AJ299=1),$BA299*100000+ROW(),"")</f>
        <v/>
      </c>
      <c r="BK299" s="71" t="str">
        <f>IF(AND($AY299=1,$AJ299=1),$BA299*100000+ROW(),"")</f>
        <v/>
      </c>
      <c r="BL299" s="71" t="str">
        <f>IF(AND($AZ299=1),$BA299*100000+ROW(),"")</f>
        <v/>
      </c>
    </row>
    <row r="300">
      <c r="A300" s="63" t="n"/>
      <c r="B300" s="64" t="n"/>
      <c r="C300" s="64" t="n"/>
      <c r="D300" s="64" t="n"/>
      <c r="E300" s="64" t="n"/>
      <c r="F300" s="64" t="n"/>
      <c r="G300" s="65" t="n"/>
      <c r="H300" s="65" t="n"/>
      <c r="I300" s="64" t="n"/>
      <c r="J300" s="64" t="n"/>
      <c r="K300" s="63" t="n"/>
      <c r="L300" s="63" t="n"/>
      <c r="M300" s="64" t="n"/>
      <c r="N300" s="66" t="n"/>
      <c r="O300" s="65" t="n"/>
      <c r="P300" s="64" t="n"/>
      <c r="Q300" s="67" t="n"/>
      <c r="R300" s="67" t="n"/>
      <c r="S300" s="68" t="str">
        <f>IF(AND(ISNUMBER($Q300),ISNUMBER($R300)),$Q300-$R300,"")</f>
        <v/>
      </c>
      <c r="T300" s="65" t="n"/>
      <c r="U300" s="64" t="n"/>
      <c r="V300" s="65" t="n"/>
      <c r="W300" s="63" t="n"/>
      <c r="X300" s="65" t="n"/>
      <c r="Y300" s="63" t="n"/>
      <c r="Z300" s="64" t="n"/>
      <c r="AA300" s="64" t="n"/>
      <c r="AB300" s="65" t="n"/>
      <c r="AC300" s="69" t="str">
        <f>IF(OR($G300="",NOT(ISNUMBER($K300)),$AK300=0),"",MAX(0,ReportDate-$K300))</f>
        <v/>
      </c>
      <c r="AD300" s="69" t="str">
        <f>IF($G300="","",IF($AL300=1,ReportDate-$L300,0))</f>
        <v/>
      </c>
      <c r="AE300" s="70" t="str">
        <f>IF($G300="","",IF($M300="Completed",1,IF(ISNUMBER($N300),$N300,0)))</f>
        <v/>
      </c>
      <c r="AF300" s="70" t="str">
        <f>IF(AND(ISNUMBER($Q300),ISNUMBER($R300)),IF($R300&lt;&gt;0,$Q300/$R300,""),"")</f>
        <v/>
      </c>
      <c r="AG300" s="71" t="str">
        <f>IF($G300="","",IF($AL300=1,"OVERDUE",IF($AM300=1,"BLOCKED",IF($AN300=1,"DUE TODAY",IF($AO300=1,"DUE TOMORROW",IF($AQ300=1,"HIGH PRIORITY",IF($AR300=1,"NO RECENT UPDATE",""))))))) </f>
        <v/>
      </c>
      <c r="AH300" s="71" t="str">
        <f>IF($G300="","",IF(ISNUMBER($A300),IF(ISNUMBER($A300),YEAR($A300)&amp;"-"&amp;TEXT(MONTH($A300),"00"),""),IF(ISNUMBER($L300),IF(ISNUMBER($L300),YEAR($L300)&amp;"-"&amp;TEXT(MONTH($L300),"00"),""),"")))</f>
        <v/>
      </c>
      <c r="AI300" s="71">
        <f>IF($G300="",0,IF(AND(OR(fClient="All",$C300=fClient),OR(fCampaign="All",$D300=fCampaign),OR(fTeam="All",$B300=fTeam),OR(fChannel="All",$F300=fChannel),OR(fMonth="All",$AH300=fMonth),OR(fTStatus="All",$M300=fTStatus)),1,0))</f>
        <v>0</v>
      </c>
      <c r="AJ300" s="71">
        <f>IF($G300="",0,IF(AND(OR(fClient="All",$C300=fClient),OR(fCampaign="All",$D300=fCampaign),OR(fTeam="All",$B300=fTeam),OR(fChannel="All",$F300=fChannel)),1,0))</f>
        <v>0</v>
      </c>
      <c r="AK300" s="71">
        <f>IF($G300="",0,IF(OR($M300="Completed",$M300="Cancelled"),0,1))</f>
        <v>0</v>
      </c>
      <c r="AL300" s="71">
        <f>IF(AND($AK300=1,ISNUMBER($L300)),IF($L300&lt;ReportDate,1,0),0)</f>
        <v>0</v>
      </c>
      <c r="AM300" s="71">
        <f>IF(AND($G300&lt;&gt;"",$M300="Blocked"),1,0)</f>
        <v>0</v>
      </c>
      <c r="AN300" s="71">
        <f>IF(AND($AK300=1,ISNUMBER($L300)),IF($L300=ReportDate,1,0),0)</f>
        <v>0</v>
      </c>
      <c r="AO300" s="71">
        <f>IF(AND($AK300=1,ISNUMBER($L300)),IF($L300=ReportDate+1,1,0),0)</f>
        <v>0</v>
      </c>
      <c r="AP300" s="71">
        <f>IF(AND($AK300=1,ISNUMBER($L300)),IF(AND($L300&gt;=ReportDate,$L300&lt;=ReportDate+DueSoonDays),1,0),0)</f>
        <v>0</v>
      </c>
      <c r="AQ300" s="71">
        <f>IF(AND($AK300=1,OR($I300="Critical",$I300="High")),1,0)</f>
        <v>0</v>
      </c>
      <c r="AR300" s="71">
        <f>IF($AK300=1,IF(ISNUMBER($Y300),IF(ReportDate-$Y300&gt;StaleDays,1,0),1),0)</f>
        <v>0</v>
      </c>
      <c r="AS300" s="71">
        <f>IF(AND($G300&lt;&gt;"",ISNUMBER($Q300),ISNUMBER($R300)),IF(AND($Q300&lt;$R300,OR($M300="Completed",AND(ISNUMBER($L300),$L300&lt;ReportDate))),1,0),0)</f>
        <v>0</v>
      </c>
      <c r="AT300" s="71">
        <f>IF($AK300=1,IF(OR($L300=ReportDate,$W300=ReportDate,$K300=ReportDate,$A300=ReportDate),1,0),0)</f>
        <v>0</v>
      </c>
      <c r="AU300" s="71">
        <f>IF($AK300=1,IF(OR($L300=ReportDate+1,$W300=ReportDate+1,$K300=ReportDate+1,$A300=ReportDate+1),1,0),0)</f>
        <v>0</v>
      </c>
      <c r="AV300" s="71">
        <f>IF(AND($G300&lt;&gt;"",$M300="Completed"),IF(OR($Y300=ReportDate-1,$A300=ReportDate-1),1,0),0)</f>
        <v>0</v>
      </c>
      <c r="AW300" s="71">
        <f>IF(AND($AK300=1,$Z300="Yes"),1,0)</f>
        <v>0</v>
      </c>
      <c r="AX300" s="71">
        <f>IF(AND($AK300=1,$AA300="Yes"),1,0)</f>
        <v>0</v>
      </c>
      <c r="AY300" s="71">
        <f>IF(AND($AM300=1,OR($I300="Critical",$I300="High")),1,0)</f>
        <v>0</v>
      </c>
      <c r="AZ300" s="71">
        <f>IF(AND($AK300=1,OR($C300=TCL_Client,$C300=MECCA_Client)),1,0)</f>
        <v>0</v>
      </c>
      <c r="BA300" s="71" t="str">
        <f>IF($G300="","",IFERROR(MATCH($I300,lst_Priority,0),5))</f>
        <v/>
      </c>
      <c r="BB300" s="71" t="str">
        <f>IF(AND($AL300=1,$AJ300=1),$BA300*100000+ROW(),"")</f>
        <v/>
      </c>
      <c r="BC300" s="71" t="str">
        <f>IF(AND($AM300=1,$AJ300=1),$BA300*100000+ROW(),"")</f>
        <v/>
      </c>
      <c r="BD300" s="71" t="str">
        <f>IF(AND($AP300=1,$AJ300=1),$BA300*100000+ROW(),"")</f>
        <v/>
      </c>
      <c r="BE300" s="71" t="str">
        <f>IF(AND($AT300=1,$AJ300=1),$BA300*100000+ROW(),"")</f>
        <v/>
      </c>
      <c r="BF300" s="71" t="str">
        <f>IF(AND($AU300=1,$AJ300=1),$BA300*100000+ROW(),"")</f>
        <v/>
      </c>
      <c r="BG300" s="71" t="str">
        <f>IF(AND($AV300=1,$AJ300=1),$BA300*100000+ROW(),"")</f>
        <v/>
      </c>
      <c r="BH300" s="71" t="str">
        <f>IF(AND($AW300=1,$AJ300=1),$BA300*100000+ROW(),"")</f>
        <v/>
      </c>
      <c r="BI300" s="71" t="str">
        <f>IF(AND($AX300=1,$AJ300=1),$BA300*100000+ROW(),"")</f>
        <v/>
      </c>
      <c r="BJ300" s="71" t="str">
        <f>IF(AND($AS300=1,$AJ300=1),$BA300*100000+ROW(),"")</f>
        <v/>
      </c>
      <c r="BK300" s="71" t="str">
        <f>IF(AND($AY300=1,$AJ300=1),$BA300*100000+ROW(),"")</f>
        <v/>
      </c>
      <c r="BL300" s="71" t="str">
        <f>IF(AND($AZ300=1),$BA300*100000+ROW(),"")</f>
        <v/>
      </c>
    </row>
    <row r="301">
      <c r="A301" s="63" t="n"/>
      <c r="B301" s="64" t="n"/>
      <c r="C301" s="64" t="n"/>
      <c r="D301" s="64" t="n"/>
      <c r="E301" s="64" t="n"/>
      <c r="F301" s="64" t="n"/>
      <c r="G301" s="65" t="n"/>
      <c r="H301" s="65" t="n"/>
      <c r="I301" s="64" t="n"/>
      <c r="J301" s="64" t="n"/>
      <c r="K301" s="63" t="n"/>
      <c r="L301" s="63" t="n"/>
      <c r="M301" s="64" t="n"/>
      <c r="N301" s="66" t="n"/>
      <c r="O301" s="65" t="n"/>
      <c r="P301" s="64" t="n"/>
      <c r="Q301" s="67" t="n"/>
      <c r="R301" s="67" t="n"/>
      <c r="S301" s="68" t="str">
        <f>IF(AND(ISNUMBER($Q301),ISNUMBER($R301)),$Q301-$R301,"")</f>
        <v/>
      </c>
      <c r="T301" s="65" t="n"/>
      <c r="U301" s="64" t="n"/>
      <c r="V301" s="65" t="n"/>
      <c r="W301" s="63" t="n"/>
      <c r="X301" s="65" t="n"/>
      <c r="Y301" s="63" t="n"/>
      <c r="Z301" s="64" t="n"/>
      <c r="AA301" s="64" t="n"/>
      <c r="AB301" s="65" t="n"/>
      <c r="AC301" s="69" t="str">
        <f>IF(OR($G301="",NOT(ISNUMBER($K301)),$AK301=0),"",MAX(0,ReportDate-$K301))</f>
        <v/>
      </c>
      <c r="AD301" s="69" t="str">
        <f>IF($G301="","",IF($AL301=1,ReportDate-$L301,0))</f>
        <v/>
      </c>
      <c r="AE301" s="70" t="str">
        <f>IF($G301="","",IF($M301="Completed",1,IF(ISNUMBER($N301),$N301,0)))</f>
        <v/>
      </c>
      <c r="AF301" s="70" t="str">
        <f>IF(AND(ISNUMBER($Q301),ISNUMBER($R301)),IF($R301&lt;&gt;0,$Q301/$R301,""),"")</f>
        <v/>
      </c>
      <c r="AG301" s="71" t="str">
        <f>IF($G301="","",IF($AL301=1,"OVERDUE",IF($AM301=1,"BLOCKED",IF($AN301=1,"DUE TODAY",IF($AO301=1,"DUE TOMORROW",IF($AQ301=1,"HIGH PRIORITY",IF($AR301=1,"NO RECENT UPDATE",""))))))) </f>
        <v/>
      </c>
      <c r="AH301" s="71" t="str">
        <f>IF($G301="","",IF(ISNUMBER($A301),IF(ISNUMBER($A301),YEAR($A301)&amp;"-"&amp;TEXT(MONTH($A301),"00"),""),IF(ISNUMBER($L301),IF(ISNUMBER($L301),YEAR($L301)&amp;"-"&amp;TEXT(MONTH($L301),"00"),""),"")))</f>
        <v/>
      </c>
      <c r="AI301" s="71">
        <f>IF($G301="",0,IF(AND(OR(fClient="All",$C301=fClient),OR(fCampaign="All",$D301=fCampaign),OR(fTeam="All",$B301=fTeam),OR(fChannel="All",$F301=fChannel),OR(fMonth="All",$AH301=fMonth),OR(fTStatus="All",$M301=fTStatus)),1,0))</f>
        <v>0</v>
      </c>
      <c r="AJ301" s="71">
        <f>IF($G301="",0,IF(AND(OR(fClient="All",$C301=fClient),OR(fCampaign="All",$D301=fCampaign),OR(fTeam="All",$B301=fTeam),OR(fChannel="All",$F301=fChannel)),1,0))</f>
        <v>0</v>
      </c>
      <c r="AK301" s="71">
        <f>IF($G301="",0,IF(OR($M301="Completed",$M301="Cancelled"),0,1))</f>
        <v>0</v>
      </c>
      <c r="AL301" s="71">
        <f>IF(AND($AK301=1,ISNUMBER($L301)),IF($L301&lt;ReportDate,1,0),0)</f>
        <v>0</v>
      </c>
      <c r="AM301" s="71">
        <f>IF(AND($G301&lt;&gt;"",$M301="Blocked"),1,0)</f>
        <v>0</v>
      </c>
      <c r="AN301" s="71">
        <f>IF(AND($AK301=1,ISNUMBER($L301)),IF($L301=ReportDate,1,0),0)</f>
        <v>0</v>
      </c>
      <c r="AO301" s="71">
        <f>IF(AND($AK301=1,ISNUMBER($L301)),IF($L301=ReportDate+1,1,0),0)</f>
        <v>0</v>
      </c>
      <c r="AP301" s="71">
        <f>IF(AND($AK301=1,ISNUMBER($L301)),IF(AND($L301&gt;=ReportDate,$L301&lt;=ReportDate+DueSoonDays),1,0),0)</f>
        <v>0</v>
      </c>
      <c r="AQ301" s="71">
        <f>IF(AND($AK301=1,OR($I301="Critical",$I301="High")),1,0)</f>
        <v>0</v>
      </c>
      <c r="AR301" s="71">
        <f>IF($AK301=1,IF(ISNUMBER($Y301),IF(ReportDate-$Y301&gt;StaleDays,1,0),1),0)</f>
        <v>0</v>
      </c>
      <c r="AS301" s="71">
        <f>IF(AND($G301&lt;&gt;"",ISNUMBER($Q301),ISNUMBER($R301)),IF(AND($Q301&lt;$R301,OR($M301="Completed",AND(ISNUMBER($L301),$L301&lt;ReportDate))),1,0),0)</f>
        <v>0</v>
      </c>
      <c r="AT301" s="71">
        <f>IF($AK301=1,IF(OR($L301=ReportDate,$W301=ReportDate,$K301=ReportDate,$A301=ReportDate),1,0),0)</f>
        <v>0</v>
      </c>
      <c r="AU301" s="71">
        <f>IF($AK301=1,IF(OR($L301=ReportDate+1,$W301=ReportDate+1,$K301=ReportDate+1,$A301=ReportDate+1),1,0),0)</f>
        <v>0</v>
      </c>
      <c r="AV301" s="71">
        <f>IF(AND($G301&lt;&gt;"",$M301="Completed"),IF(OR($Y301=ReportDate-1,$A301=ReportDate-1),1,0),0)</f>
        <v>0</v>
      </c>
      <c r="AW301" s="71">
        <f>IF(AND($AK301=1,$Z301="Yes"),1,0)</f>
        <v>0</v>
      </c>
      <c r="AX301" s="71">
        <f>IF(AND($AK301=1,$AA301="Yes"),1,0)</f>
        <v>0</v>
      </c>
      <c r="AY301" s="71">
        <f>IF(AND($AM301=1,OR($I301="Critical",$I301="High")),1,0)</f>
        <v>0</v>
      </c>
      <c r="AZ301" s="71">
        <f>IF(AND($AK301=1,OR($C301=TCL_Client,$C301=MECCA_Client)),1,0)</f>
        <v>0</v>
      </c>
      <c r="BA301" s="71" t="str">
        <f>IF($G301="","",IFERROR(MATCH($I301,lst_Priority,0),5))</f>
        <v/>
      </c>
      <c r="BB301" s="71" t="str">
        <f>IF(AND($AL301=1,$AJ301=1),$BA301*100000+ROW(),"")</f>
        <v/>
      </c>
      <c r="BC301" s="71" t="str">
        <f>IF(AND($AM301=1,$AJ301=1),$BA301*100000+ROW(),"")</f>
        <v/>
      </c>
      <c r="BD301" s="71" t="str">
        <f>IF(AND($AP301=1,$AJ301=1),$BA301*100000+ROW(),"")</f>
        <v/>
      </c>
      <c r="BE301" s="71" t="str">
        <f>IF(AND($AT301=1,$AJ301=1),$BA301*100000+ROW(),"")</f>
        <v/>
      </c>
      <c r="BF301" s="71" t="str">
        <f>IF(AND($AU301=1,$AJ301=1),$BA301*100000+ROW(),"")</f>
        <v/>
      </c>
      <c r="BG301" s="71" t="str">
        <f>IF(AND($AV301=1,$AJ301=1),$BA301*100000+ROW(),"")</f>
        <v/>
      </c>
      <c r="BH301" s="71" t="str">
        <f>IF(AND($AW301=1,$AJ301=1),$BA301*100000+ROW(),"")</f>
        <v/>
      </c>
      <c r="BI301" s="71" t="str">
        <f>IF(AND($AX301=1,$AJ301=1),$BA301*100000+ROW(),"")</f>
        <v/>
      </c>
      <c r="BJ301" s="71" t="str">
        <f>IF(AND($AS301=1,$AJ301=1),$BA301*100000+ROW(),"")</f>
        <v/>
      </c>
      <c r="BK301" s="71" t="str">
        <f>IF(AND($AY301=1,$AJ301=1),$BA301*100000+ROW(),"")</f>
        <v/>
      </c>
      <c r="BL301" s="71" t="str">
        <f>IF(AND($AZ301=1),$BA301*100000+ROW(),"")</f>
        <v/>
      </c>
    </row>
    <row r="302">
      <c r="A302" s="63" t="n"/>
      <c r="B302" s="64" t="n"/>
      <c r="C302" s="64" t="n"/>
      <c r="D302" s="64" t="n"/>
      <c r="E302" s="64" t="n"/>
      <c r="F302" s="64" t="n"/>
      <c r="G302" s="65" t="n"/>
      <c r="H302" s="65" t="n"/>
      <c r="I302" s="64" t="n"/>
      <c r="J302" s="64" t="n"/>
      <c r="K302" s="63" t="n"/>
      <c r="L302" s="63" t="n"/>
      <c r="M302" s="64" t="n"/>
      <c r="N302" s="66" t="n"/>
      <c r="O302" s="65" t="n"/>
      <c r="P302" s="64" t="n"/>
      <c r="Q302" s="67" t="n"/>
      <c r="R302" s="67" t="n"/>
      <c r="S302" s="68" t="str">
        <f>IF(AND(ISNUMBER($Q302),ISNUMBER($R302)),$Q302-$R302,"")</f>
        <v/>
      </c>
      <c r="T302" s="65" t="n"/>
      <c r="U302" s="64" t="n"/>
      <c r="V302" s="65" t="n"/>
      <c r="W302" s="63" t="n"/>
      <c r="X302" s="65" t="n"/>
      <c r="Y302" s="63" t="n"/>
      <c r="Z302" s="64" t="n"/>
      <c r="AA302" s="64" t="n"/>
      <c r="AB302" s="65" t="n"/>
      <c r="AC302" s="69" t="str">
        <f>IF(OR($G302="",NOT(ISNUMBER($K302)),$AK302=0),"",MAX(0,ReportDate-$K302))</f>
        <v/>
      </c>
      <c r="AD302" s="69" t="str">
        <f>IF($G302="","",IF($AL302=1,ReportDate-$L302,0))</f>
        <v/>
      </c>
      <c r="AE302" s="70" t="str">
        <f>IF($G302="","",IF($M302="Completed",1,IF(ISNUMBER($N302),$N302,0)))</f>
        <v/>
      </c>
      <c r="AF302" s="70" t="str">
        <f>IF(AND(ISNUMBER($Q302),ISNUMBER($R302)),IF($R302&lt;&gt;0,$Q302/$R302,""),"")</f>
        <v/>
      </c>
      <c r="AG302" s="71" t="str">
        <f>IF($G302="","",IF($AL302=1,"OVERDUE",IF($AM302=1,"BLOCKED",IF($AN302=1,"DUE TODAY",IF($AO302=1,"DUE TOMORROW",IF($AQ302=1,"HIGH PRIORITY",IF($AR302=1,"NO RECENT UPDATE",""))))))) </f>
        <v/>
      </c>
      <c r="AH302" s="71" t="str">
        <f>IF($G302="","",IF(ISNUMBER($A302),IF(ISNUMBER($A302),YEAR($A302)&amp;"-"&amp;TEXT(MONTH($A302),"00"),""),IF(ISNUMBER($L302),IF(ISNUMBER($L302),YEAR($L302)&amp;"-"&amp;TEXT(MONTH($L302),"00"),""),"")))</f>
        <v/>
      </c>
      <c r="AI302" s="71">
        <f>IF($G302="",0,IF(AND(OR(fClient="All",$C302=fClient),OR(fCampaign="All",$D302=fCampaign),OR(fTeam="All",$B302=fTeam),OR(fChannel="All",$F302=fChannel),OR(fMonth="All",$AH302=fMonth),OR(fTStatus="All",$M302=fTStatus)),1,0))</f>
        <v>0</v>
      </c>
      <c r="AJ302" s="71">
        <f>IF($G302="",0,IF(AND(OR(fClient="All",$C302=fClient),OR(fCampaign="All",$D302=fCampaign),OR(fTeam="All",$B302=fTeam),OR(fChannel="All",$F302=fChannel)),1,0))</f>
        <v>0</v>
      </c>
      <c r="AK302" s="71">
        <f>IF($G302="",0,IF(OR($M302="Completed",$M302="Cancelled"),0,1))</f>
        <v>0</v>
      </c>
      <c r="AL302" s="71">
        <f>IF(AND($AK302=1,ISNUMBER($L302)),IF($L302&lt;ReportDate,1,0),0)</f>
        <v>0</v>
      </c>
      <c r="AM302" s="71">
        <f>IF(AND($G302&lt;&gt;"",$M302="Blocked"),1,0)</f>
        <v>0</v>
      </c>
      <c r="AN302" s="71">
        <f>IF(AND($AK302=1,ISNUMBER($L302)),IF($L302=ReportDate,1,0),0)</f>
        <v>0</v>
      </c>
      <c r="AO302" s="71">
        <f>IF(AND($AK302=1,ISNUMBER($L302)),IF($L302=ReportDate+1,1,0),0)</f>
        <v>0</v>
      </c>
      <c r="AP302" s="71">
        <f>IF(AND($AK302=1,ISNUMBER($L302)),IF(AND($L302&gt;=ReportDate,$L302&lt;=ReportDate+DueSoonDays),1,0),0)</f>
        <v>0</v>
      </c>
      <c r="AQ302" s="71">
        <f>IF(AND($AK302=1,OR($I302="Critical",$I302="High")),1,0)</f>
        <v>0</v>
      </c>
      <c r="AR302" s="71">
        <f>IF($AK302=1,IF(ISNUMBER($Y302),IF(ReportDate-$Y302&gt;StaleDays,1,0),1),0)</f>
        <v>0</v>
      </c>
      <c r="AS302" s="71">
        <f>IF(AND($G302&lt;&gt;"",ISNUMBER($Q302),ISNUMBER($R302)),IF(AND($Q302&lt;$R302,OR($M302="Completed",AND(ISNUMBER($L302),$L302&lt;ReportDate))),1,0),0)</f>
        <v>0</v>
      </c>
      <c r="AT302" s="71">
        <f>IF($AK302=1,IF(OR($L302=ReportDate,$W302=ReportDate,$K302=ReportDate,$A302=ReportDate),1,0),0)</f>
        <v>0</v>
      </c>
      <c r="AU302" s="71">
        <f>IF($AK302=1,IF(OR($L302=ReportDate+1,$W302=ReportDate+1,$K302=ReportDate+1,$A302=ReportDate+1),1,0),0)</f>
        <v>0</v>
      </c>
      <c r="AV302" s="71">
        <f>IF(AND($G302&lt;&gt;"",$M302="Completed"),IF(OR($Y302=ReportDate-1,$A302=ReportDate-1),1,0),0)</f>
        <v>0</v>
      </c>
      <c r="AW302" s="71">
        <f>IF(AND($AK302=1,$Z302="Yes"),1,0)</f>
        <v>0</v>
      </c>
      <c r="AX302" s="71">
        <f>IF(AND($AK302=1,$AA302="Yes"),1,0)</f>
        <v>0</v>
      </c>
      <c r="AY302" s="71">
        <f>IF(AND($AM302=1,OR($I302="Critical",$I302="High")),1,0)</f>
        <v>0</v>
      </c>
      <c r="AZ302" s="71">
        <f>IF(AND($AK302=1,OR($C302=TCL_Client,$C302=MECCA_Client)),1,0)</f>
        <v>0</v>
      </c>
      <c r="BA302" s="71" t="str">
        <f>IF($G302="","",IFERROR(MATCH($I302,lst_Priority,0),5))</f>
        <v/>
      </c>
      <c r="BB302" s="71" t="str">
        <f>IF(AND($AL302=1,$AJ302=1),$BA302*100000+ROW(),"")</f>
        <v/>
      </c>
      <c r="BC302" s="71" t="str">
        <f>IF(AND($AM302=1,$AJ302=1),$BA302*100000+ROW(),"")</f>
        <v/>
      </c>
      <c r="BD302" s="71" t="str">
        <f>IF(AND($AP302=1,$AJ302=1),$BA302*100000+ROW(),"")</f>
        <v/>
      </c>
      <c r="BE302" s="71" t="str">
        <f>IF(AND($AT302=1,$AJ302=1),$BA302*100000+ROW(),"")</f>
        <v/>
      </c>
      <c r="BF302" s="71" t="str">
        <f>IF(AND($AU302=1,$AJ302=1),$BA302*100000+ROW(),"")</f>
        <v/>
      </c>
      <c r="BG302" s="71" t="str">
        <f>IF(AND($AV302=1,$AJ302=1),$BA302*100000+ROW(),"")</f>
        <v/>
      </c>
      <c r="BH302" s="71" t="str">
        <f>IF(AND($AW302=1,$AJ302=1),$BA302*100000+ROW(),"")</f>
        <v/>
      </c>
      <c r="BI302" s="71" t="str">
        <f>IF(AND($AX302=1,$AJ302=1),$BA302*100000+ROW(),"")</f>
        <v/>
      </c>
      <c r="BJ302" s="71" t="str">
        <f>IF(AND($AS302=1,$AJ302=1),$BA302*100000+ROW(),"")</f>
        <v/>
      </c>
      <c r="BK302" s="71" t="str">
        <f>IF(AND($AY302=1,$AJ302=1),$BA302*100000+ROW(),"")</f>
        <v/>
      </c>
      <c r="BL302" s="71" t="str">
        <f>IF(AND($AZ302=1),$BA302*100000+ROW(),"")</f>
        <v/>
      </c>
    </row>
    <row r="303">
      <c r="A303" s="63" t="n"/>
      <c r="B303" s="64" t="n"/>
      <c r="C303" s="64" t="n"/>
      <c r="D303" s="64" t="n"/>
      <c r="E303" s="64" t="n"/>
      <c r="F303" s="64" t="n"/>
      <c r="G303" s="65" t="n"/>
      <c r="H303" s="65" t="n"/>
      <c r="I303" s="64" t="n"/>
      <c r="J303" s="64" t="n"/>
      <c r="K303" s="63" t="n"/>
      <c r="L303" s="63" t="n"/>
      <c r="M303" s="64" t="n"/>
      <c r="N303" s="66" t="n"/>
      <c r="O303" s="65" t="n"/>
      <c r="P303" s="64" t="n"/>
      <c r="Q303" s="67" t="n"/>
      <c r="R303" s="67" t="n"/>
      <c r="S303" s="68" t="str">
        <f>IF(AND(ISNUMBER($Q303),ISNUMBER($R303)),$Q303-$R303,"")</f>
        <v/>
      </c>
      <c r="T303" s="65" t="n"/>
      <c r="U303" s="64" t="n"/>
      <c r="V303" s="65" t="n"/>
      <c r="W303" s="63" t="n"/>
      <c r="X303" s="65" t="n"/>
      <c r="Y303" s="63" t="n"/>
      <c r="Z303" s="64" t="n"/>
      <c r="AA303" s="64" t="n"/>
      <c r="AB303" s="65" t="n"/>
      <c r="AC303" s="69" t="str">
        <f>IF(OR($G303="",NOT(ISNUMBER($K303)),$AK303=0),"",MAX(0,ReportDate-$K303))</f>
        <v/>
      </c>
      <c r="AD303" s="69" t="str">
        <f>IF($G303="","",IF($AL303=1,ReportDate-$L303,0))</f>
        <v/>
      </c>
      <c r="AE303" s="70" t="str">
        <f>IF($G303="","",IF($M303="Completed",1,IF(ISNUMBER($N303),$N303,0)))</f>
        <v/>
      </c>
      <c r="AF303" s="70" t="str">
        <f>IF(AND(ISNUMBER($Q303),ISNUMBER($R303)),IF($R303&lt;&gt;0,$Q303/$R303,""),"")</f>
        <v/>
      </c>
      <c r="AG303" s="71" t="str">
        <f>IF($G303="","",IF($AL303=1,"OVERDUE",IF($AM303=1,"BLOCKED",IF($AN303=1,"DUE TODAY",IF($AO303=1,"DUE TOMORROW",IF($AQ303=1,"HIGH PRIORITY",IF($AR303=1,"NO RECENT UPDATE",""))))))) </f>
        <v/>
      </c>
      <c r="AH303" s="71" t="str">
        <f>IF($G303="","",IF(ISNUMBER($A303),IF(ISNUMBER($A303),YEAR($A303)&amp;"-"&amp;TEXT(MONTH($A303),"00"),""),IF(ISNUMBER($L303),IF(ISNUMBER($L303),YEAR($L303)&amp;"-"&amp;TEXT(MONTH($L303),"00"),""),"")))</f>
        <v/>
      </c>
      <c r="AI303" s="71">
        <f>IF($G303="",0,IF(AND(OR(fClient="All",$C303=fClient),OR(fCampaign="All",$D303=fCampaign),OR(fTeam="All",$B303=fTeam),OR(fChannel="All",$F303=fChannel),OR(fMonth="All",$AH303=fMonth),OR(fTStatus="All",$M303=fTStatus)),1,0))</f>
        <v>0</v>
      </c>
      <c r="AJ303" s="71">
        <f>IF($G303="",0,IF(AND(OR(fClient="All",$C303=fClient),OR(fCampaign="All",$D303=fCampaign),OR(fTeam="All",$B303=fTeam),OR(fChannel="All",$F303=fChannel)),1,0))</f>
        <v>0</v>
      </c>
      <c r="AK303" s="71">
        <f>IF($G303="",0,IF(OR($M303="Completed",$M303="Cancelled"),0,1))</f>
        <v>0</v>
      </c>
      <c r="AL303" s="71">
        <f>IF(AND($AK303=1,ISNUMBER($L303)),IF($L303&lt;ReportDate,1,0),0)</f>
        <v>0</v>
      </c>
      <c r="AM303" s="71">
        <f>IF(AND($G303&lt;&gt;"",$M303="Blocked"),1,0)</f>
        <v>0</v>
      </c>
      <c r="AN303" s="71">
        <f>IF(AND($AK303=1,ISNUMBER($L303)),IF($L303=ReportDate,1,0),0)</f>
        <v>0</v>
      </c>
      <c r="AO303" s="71">
        <f>IF(AND($AK303=1,ISNUMBER($L303)),IF($L303=ReportDate+1,1,0),0)</f>
        <v>0</v>
      </c>
      <c r="AP303" s="71">
        <f>IF(AND($AK303=1,ISNUMBER($L303)),IF(AND($L303&gt;=ReportDate,$L303&lt;=ReportDate+DueSoonDays),1,0),0)</f>
        <v>0</v>
      </c>
      <c r="AQ303" s="71">
        <f>IF(AND($AK303=1,OR($I303="Critical",$I303="High")),1,0)</f>
        <v>0</v>
      </c>
      <c r="AR303" s="71">
        <f>IF($AK303=1,IF(ISNUMBER($Y303),IF(ReportDate-$Y303&gt;StaleDays,1,0),1),0)</f>
        <v>0</v>
      </c>
      <c r="AS303" s="71">
        <f>IF(AND($G303&lt;&gt;"",ISNUMBER($Q303),ISNUMBER($R303)),IF(AND($Q303&lt;$R303,OR($M303="Completed",AND(ISNUMBER($L303),$L303&lt;ReportDate))),1,0),0)</f>
        <v>0</v>
      </c>
      <c r="AT303" s="71">
        <f>IF($AK303=1,IF(OR($L303=ReportDate,$W303=ReportDate,$K303=ReportDate,$A303=ReportDate),1,0),0)</f>
        <v>0</v>
      </c>
      <c r="AU303" s="71">
        <f>IF($AK303=1,IF(OR($L303=ReportDate+1,$W303=ReportDate+1,$K303=ReportDate+1,$A303=ReportDate+1),1,0),0)</f>
        <v>0</v>
      </c>
      <c r="AV303" s="71">
        <f>IF(AND($G303&lt;&gt;"",$M303="Completed"),IF(OR($Y303=ReportDate-1,$A303=ReportDate-1),1,0),0)</f>
        <v>0</v>
      </c>
      <c r="AW303" s="71">
        <f>IF(AND($AK303=1,$Z303="Yes"),1,0)</f>
        <v>0</v>
      </c>
      <c r="AX303" s="71">
        <f>IF(AND($AK303=1,$AA303="Yes"),1,0)</f>
        <v>0</v>
      </c>
      <c r="AY303" s="71">
        <f>IF(AND($AM303=1,OR($I303="Critical",$I303="High")),1,0)</f>
        <v>0</v>
      </c>
      <c r="AZ303" s="71">
        <f>IF(AND($AK303=1,OR($C303=TCL_Client,$C303=MECCA_Client)),1,0)</f>
        <v>0</v>
      </c>
      <c r="BA303" s="71" t="str">
        <f>IF($G303="","",IFERROR(MATCH($I303,lst_Priority,0),5))</f>
        <v/>
      </c>
      <c r="BB303" s="71" t="str">
        <f>IF(AND($AL303=1,$AJ303=1),$BA303*100000+ROW(),"")</f>
        <v/>
      </c>
      <c r="BC303" s="71" t="str">
        <f>IF(AND($AM303=1,$AJ303=1),$BA303*100000+ROW(),"")</f>
        <v/>
      </c>
      <c r="BD303" s="71" t="str">
        <f>IF(AND($AP303=1,$AJ303=1),$BA303*100000+ROW(),"")</f>
        <v/>
      </c>
      <c r="BE303" s="71" t="str">
        <f>IF(AND($AT303=1,$AJ303=1),$BA303*100000+ROW(),"")</f>
        <v/>
      </c>
      <c r="BF303" s="71" t="str">
        <f>IF(AND($AU303=1,$AJ303=1),$BA303*100000+ROW(),"")</f>
        <v/>
      </c>
      <c r="BG303" s="71" t="str">
        <f>IF(AND($AV303=1,$AJ303=1),$BA303*100000+ROW(),"")</f>
        <v/>
      </c>
      <c r="BH303" s="71" t="str">
        <f>IF(AND($AW303=1,$AJ303=1),$BA303*100000+ROW(),"")</f>
        <v/>
      </c>
      <c r="BI303" s="71" t="str">
        <f>IF(AND($AX303=1,$AJ303=1),$BA303*100000+ROW(),"")</f>
        <v/>
      </c>
      <c r="BJ303" s="71" t="str">
        <f>IF(AND($AS303=1,$AJ303=1),$BA303*100000+ROW(),"")</f>
        <v/>
      </c>
      <c r="BK303" s="71" t="str">
        <f>IF(AND($AY303=1,$AJ303=1),$BA303*100000+ROW(),"")</f>
        <v/>
      </c>
      <c r="BL303" s="71" t="str">
        <f>IF(AND($AZ303=1),$BA303*100000+ROW(),"")</f>
        <v/>
      </c>
    </row>
    <row r="304">
      <c r="A304" s="63" t="n"/>
      <c r="B304" s="64" t="n"/>
      <c r="C304" s="64" t="n"/>
      <c r="D304" s="64" t="n"/>
      <c r="E304" s="64" t="n"/>
      <c r="F304" s="64" t="n"/>
      <c r="G304" s="65" t="n"/>
      <c r="H304" s="65" t="n"/>
      <c r="I304" s="64" t="n"/>
      <c r="J304" s="64" t="n"/>
      <c r="K304" s="63" t="n"/>
      <c r="L304" s="63" t="n"/>
      <c r="M304" s="64" t="n"/>
      <c r="N304" s="66" t="n"/>
      <c r="O304" s="65" t="n"/>
      <c r="P304" s="64" t="n"/>
      <c r="Q304" s="67" t="n"/>
      <c r="R304" s="67" t="n"/>
      <c r="S304" s="68" t="str">
        <f>IF(AND(ISNUMBER($Q304),ISNUMBER($R304)),$Q304-$R304,"")</f>
        <v/>
      </c>
      <c r="T304" s="65" t="n"/>
      <c r="U304" s="64" t="n"/>
      <c r="V304" s="65" t="n"/>
      <c r="W304" s="63" t="n"/>
      <c r="X304" s="65" t="n"/>
      <c r="Y304" s="63" t="n"/>
      <c r="Z304" s="64" t="n"/>
      <c r="AA304" s="64" t="n"/>
      <c r="AB304" s="65" t="n"/>
      <c r="AC304" s="69" t="str">
        <f>IF(OR($G304="",NOT(ISNUMBER($K304)),$AK304=0),"",MAX(0,ReportDate-$K304))</f>
        <v/>
      </c>
      <c r="AD304" s="69" t="str">
        <f>IF($G304="","",IF($AL304=1,ReportDate-$L304,0))</f>
        <v/>
      </c>
      <c r="AE304" s="70" t="str">
        <f>IF($G304="","",IF($M304="Completed",1,IF(ISNUMBER($N304),$N304,0)))</f>
        <v/>
      </c>
      <c r="AF304" s="70" t="str">
        <f>IF(AND(ISNUMBER($Q304),ISNUMBER($R304)),IF($R304&lt;&gt;0,$Q304/$R304,""),"")</f>
        <v/>
      </c>
      <c r="AG304" s="71" t="str">
        <f>IF($G304="","",IF($AL304=1,"OVERDUE",IF($AM304=1,"BLOCKED",IF($AN304=1,"DUE TODAY",IF($AO304=1,"DUE TOMORROW",IF($AQ304=1,"HIGH PRIORITY",IF($AR304=1,"NO RECENT UPDATE",""))))))) </f>
        <v/>
      </c>
      <c r="AH304" s="71" t="str">
        <f>IF($G304="","",IF(ISNUMBER($A304),IF(ISNUMBER($A304),YEAR($A304)&amp;"-"&amp;TEXT(MONTH($A304),"00"),""),IF(ISNUMBER($L304),IF(ISNUMBER($L304),YEAR($L304)&amp;"-"&amp;TEXT(MONTH($L304),"00"),""),"")))</f>
        <v/>
      </c>
      <c r="AI304" s="71">
        <f>IF($G304="",0,IF(AND(OR(fClient="All",$C304=fClient),OR(fCampaign="All",$D304=fCampaign),OR(fTeam="All",$B304=fTeam),OR(fChannel="All",$F304=fChannel),OR(fMonth="All",$AH304=fMonth),OR(fTStatus="All",$M304=fTStatus)),1,0))</f>
        <v>0</v>
      </c>
      <c r="AJ304" s="71">
        <f>IF($G304="",0,IF(AND(OR(fClient="All",$C304=fClient),OR(fCampaign="All",$D304=fCampaign),OR(fTeam="All",$B304=fTeam),OR(fChannel="All",$F304=fChannel)),1,0))</f>
        <v>0</v>
      </c>
      <c r="AK304" s="71">
        <f>IF($G304="",0,IF(OR($M304="Completed",$M304="Cancelled"),0,1))</f>
        <v>0</v>
      </c>
      <c r="AL304" s="71">
        <f>IF(AND($AK304=1,ISNUMBER($L304)),IF($L304&lt;ReportDate,1,0),0)</f>
        <v>0</v>
      </c>
      <c r="AM304" s="71">
        <f>IF(AND($G304&lt;&gt;"",$M304="Blocked"),1,0)</f>
        <v>0</v>
      </c>
      <c r="AN304" s="71">
        <f>IF(AND($AK304=1,ISNUMBER($L304)),IF($L304=ReportDate,1,0),0)</f>
        <v>0</v>
      </c>
      <c r="AO304" s="71">
        <f>IF(AND($AK304=1,ISNUMBER($L304)),IF($L304=ReportDate+1,1,0),0)</f>
        <v>0</v>
      </c>
      <c r="AP304" s="71">
        <f>IF(AND($AK304=1,ISNUMBER($L304)),IF(AND($L304&gt;=ReportDate,$L304&lt;=ReportDate+DueSoonDays),1,0),0)</f>
        <v>0</v>
      </c>
      <c r="AQ304" s="71">
        <f>IF(AND($AK304=1,OR($I304="Critical",$I304="High")),1,0)</f>
        <v>0</v>
      </c>
      <c r="AR304" s="71">
        <f>IF($AK304=1,IF(ISNUMBER($Y304),IF(ReportDate-$Y304&gt;StaleDays,1,0),1),0)</f>
        <v>0</v>
      </c>
      <c r="AS304" s="71">
        <f>IF(AND($G304&lt;&gt;"",ISNUMBER($Q304),ISNUMBER($R304)),IF(AND($Q304&lt;$R304,OR($M304="Completed",AND(ISNUMBER($L304),$L304&lt;ReportDate))),1,0),0)</f>
        <v>0</v>
      </c>
      <c r="AT304" s="71">
        <f>IF($AK304=1,IF(OR($L304=ReportDate,$W304=ReportDate,$K304=ReportDate,$A304=ReportDate),1,0),0)</f>
        <v>0</v>
      </c>
      <c r="AU304" s="71">
        <f>IF($AK304=1,IF(OR($L304=ReportDate+1,$W304=ReportDate+1,$K304=ReportDate+1,$A304=ReportDate+1),1,0),0)</f>
        <v>0</v>
      </c>
      <c r="AV304" s="71">
        <f>IF(AND($G304&lt;&gt;"",$M304="Completed"),IF(OR($Y304=ReportDate-1,$A304=ReportDate-1),1,0),0)</f>
        <v>0</v>
      </c>
      <c r="AW304" s="71">
        <f>IF(AND($AK304=1,$Z304="Yes"),1,0)</f>
        <v>0</v>
      </c>
      <c r="AX304" s="71">
        <f>IF(AND($AK304=1,$AA304="Yes"),1,0)</f>
        <v>0</v>
      </c>
      <c r="AY304" s="71">
        <f>IF(AND($AM304=1,OR($I304="Critical",$I304="High")),1,0)</f>
        <v>0</v>
      </c>
      <c r="AZ304" s="71">
        <f>IF(AND($AK304=1,OR($C304=TCL_Client,$C304=MECCA_Client)),1,0)</f>
        <v>0</v>
      </c>
      <c r="BA304" s="71" t="str">
        <f>IF($G304="","",IFERROR(MATCH($I304,lst_Priority,0),5))</f>
        <v/>
      </c>
      <c r="BB304" s="71" t="str">
        <f>IF(AND($AL304=1,$AJ304=1),$BA304*100000+ROW(),"")</f>
        <v/>
      </c>
      <c r="BC304" s="71" t="str">
        <f>IF(AND($AM304=1,$AJ304=1),$BA304*100000+ROW(),"")</f>
        <v/>
      </c>
      <c r="BD304" s="71" t="str">
        <f>IF(AND($AP304=1,$AJ304=1),$BA304*100000+ROW(),"")</f>
        <v/>
      </c>
      <c r="BE304" s="71" t="str">
        <f>IF(AND($AT304=1,$AJ304=1),$BA304*100000+ROW(),"")</f>
        <v/>
      </c>
      <c r="BF304" s="71" t="str">
        <f>IF(AND($AU304=1,$AJ304=1),$BA304*100000+ROW(),"")</f>
        <v/>
      </c>
      <c r="BG304" s="71" t="str">
        <f>IF(AND($AV304=1,$AJ304=1),$BA304*100000+ROW(),"")</f>
        <v/>
      </c>
      <c r="BH304" s="71" t="str">
        <f>IF(AND($AW304=1,$AJ304=1),$BA304*100000+ROW(),"")</f>
        <v/>
      </c>
      <c r="BI304" s="71" t="str">
        <f>IF(AND($AX304=1,$AJ304=1),$BA304*100000+ROW(),"")</f>
        <v/>
      </c>
      <c r="BJ304" s="71" t="str">
        <f>IF(AND($AS304=1,$AJ304=1),$BA304*100000+ROW(),"")</f>
        <v/>
      </c>
      <c r="BK304" s="71" t="str">
        <f>IF(AND($AY304=1,$AJ304=1),$BA304*100000+ROW(),"")</f>
        <v/>
      </c>
      <c r="BL304" s="71" t="str">
        <f>IF(AND($AZ304=1),$BA304*100000+ROW(),"")</f>
        <v/>
      </c>
    </row>
    <row r="305">
      <c r="A305" s="63" t="n"/>
      <c r="B305" s="64" t="n"/>
      <c r="C305" s="64" t="n"/>
      <c r="D305" s="64" t="n"/>
      <c r="E305" s="64" t="n"/>
      <c r="F305" s="64" t="n"/>
      <c r="G305" s="65" t="n"/>
      <c r="H305" s="65" t="n"/>
      <c r="I305" s="64" t="n"/>
      <c r="J305" s="64" t="n"/>
      <c r="K305" s="63" t="n"/>
      <c r="L305" s="63" t="n"/>
      <c r="M305" s="64" t="n"/>
      <c r="N305" s="66" t="n"/>
      <c r="O305" s="65" t="n"/>
      <c r="P305" s="64" t="n"/>
      <c r="Q305" s="67" t="n"/>
      <c r="R305" s="67" t="n"/>
      <c r="S305" s="68" t="str">
        <f>IF(AND(ISNUMBER($Q305),ISNUMBER($R305)),$Q305-$R305,"")</f>
        <v/>
      </c>
      <c r="T305" s="65" t="n"/>
      <c r="U305" s="64" t="n"/>
      <c r="V305" s="65" t="n"/>
      <c r="W305" s="63" t="n"/>
      <c r="X305" s="65" t="n"/>
      <c r="Y305" s="63" t="n"/>
      <c r="Z305" s="64" t="n"/>
      <c r="AA305" s="64" t="n"/>
      <c r="AB305" s="65" t="n"/>
      <c r="AC305" s="69" t="str">
        <f>IF(OR($G305="",NOT(ISNUMBER($K305)),$AK305=0),"",MAX(0,ReportDate-$K305))</f>
        <v/>
      </c>
      <c r="AD305" s="69" t="str">
        <f>IF($G305="","",IF($AL305=1,ReportDate-$L305,0))</f>
        <v/>
      </c>
      <c r="AE305" s="70" t="str">
        <f>IF($G305="","",IF($M305="Completed",1,IF(ISNUMBER($N305),$N305,0)))</f>
        <v/>
      </c>
      <c r="AF305" s="70" t="str">
        <f>IF(AND(ISNUMBER($Q305),ISNUMBER($R305)),IF($R305&lt;&gt;0,$Q305/$R305,""),"")</f>
        <v/>
      </c>
      <c r="AG305" s="71" t="str">
        <f>IF($G305="","",IF($AL305=1,"OVERDUE",IF($AM305=1,"BLOCKED",IF($AN305=1,"DUE TODAY",IF($AO305=1,"DUE TOMORROW",IF($AQ305=1,"HIGH PRIORITY",IF($AR305=1,"NO RECENT UPDATE",""))))))) </f>
        <v/>
      </c>
      <c r="AH305" s="71" t="str">
        <f>IF($G305="","",IF(ISNUMBER($A305),IF(ISNUMBER($A305),YEAR($A305)&amp;"-"&amp;TEXT(MONTH($A305),"00"),""),IF(ISNUMBER($L305),IF(ISNUMBER($L305),YEAR($L305)&amp;"-"&amp;TEXT(MONTH($L305),"00"),""),"")))</f>
        <v/>
      </c>
      <c r="AI305" s="71">
        <f>IF($G305="",0,IF(AND(OR(fClient="All",$C305=fClient),OR(fCampaign="All",$D305=fCampaign),OR(fTeam="All",$B305=fTeam),OR(fChannel="All",$F305=fChannel),OR(fMonth="All",$AH305=fMonth),OR(fTStatus="All",$M305=fTStatus)),1,0))</f>
        <v>0</v>
      </c>
      <c r="AJ305" s="71">
        <f>IF($G305="",0,IF(AND(OR(fClient="All",$C305=fClient),OR(fCampaign="All",$D305=fCampaign),OR(fTeam="All",$B305=fTeam),OR(fChannel="All",$F305=fChannel)),1,0))</f>
        <v>0</v>
      </c>
      <c r="AK305" s="71">
        <f>IF($G305="",0,IF(OR($M305="Completed",$M305="Cancelled"),0,1))</f>
        <v>0</v>
      </c>
      <c r="AL305" s="71">
        <f>IF(AND($AK305=1,ISNUMBER($L305)),IF($L305&lt;ReportDate,1,0),0)</f>
        <v>0</v>
      </c>
      <c r="AM305" s="71">
        <f>IF(AND($G305&lt;&gt;"",$M305="Blocked"),1,0)</f>
        <v>0</v>
      </c>
      <c r="AN305" s="71">
        <f>IF(AND($AK305=1,ISNUMBER($L305)),IF($L305=ReportDate,1,0),0)</f>
        <v>0</v>
      </c>
      <c r="AO305" s="71">
        <f>IF(AND($AK305=1,ISNUMBER($L305)),IF($L305=ReportDate+1,1,0),0)</f>
        <v>0</v>
      </c>
      <c r="AP305" s="71">
        <f>IF(AND($AK305=1,ISNUMBER($L305)),IF(AND($L305&gt;=ReportDate,$L305&lt;=ReportDate+DueSoonDays),1,0),0)</f>
        <v>0</v>
      </c>
      <c r="AQ305" s="71">
        <f>IF(AND($AK305=1,OR($I305="Critical",$I305="High")),1,0)</f>
        <v>0</v>
      </c>
      <c r="AR305" s="71">
        <f>IF($AK305=1,IF(ISNUMBER($Y305),IF(ReportDate-$Y305&gt;StaleDays,1,0),1),0)</f>
        <v>0</v>
      </c>
      <c r="AS305" s="71">
        <f>IF(AND($G305&lt;&gt;"",ISNUMBER($Q305),ISNUMBER($R305)),IF(AND($Q305&lt;$R305,OR($M305="Completed",AND(ISNUMBER($L305),$L305&lt;ReportDate))),1,0),0)</f>
        <v>0</v>
      </c>
      <c r="AT305" s="71">
        <f>IF($AK305=1,IF(OR($L305=ReportDate,$W305=ReportDate,$K305=ReportDate,$A305=ReportDate),1,0),0)</f>
        <v>0</v>
      </c>
      <c r="AU305" s="71">
        <f>IF($AK305=1,IF(OR($L305=ReportDate+1,$W305=ReportDate+1,$K305=ReportDate+1,$A305=ReportDate+1),1,0),0)</f>
        <v>0</v>
      </c>
      <c r="AV305" s="71">
        <f>IF(AND($G305&lt;&gt;"",$M305="Completed"),IF(OR($Y305=ReportDate-1,$A305=ReportDate-1),1,0),0)</f>
        <v>0</v>
      </c>
      <c r="AW305" s="71">
        <f>IF(AND($AK305=1,$Z305="Yes"),1,0)</f>
        <v>0</v>
      </c>
      <c r="AX305" s="71">
        <f>IF(AND($AK305=1,$AA305="Yes"),1,0)</f>
        <v>0</v>
      </c>
      <c r="AY305" s="71">
        <f>IF(AND($AM305=1,OR($I305="Critical",$I305="High")),1,0)</f>
        <v>0</v>
      </c>
      <c r="AZ305" s="71">
        <f>IF(AND($AK305=1,OR($C305=TCL_Client,$C305=MECCA_Client)),1,0)</f>
        <v>0</v>
      </c>
      <c r="BA305" s="71" t="str">
        <f>IF($G305="","",IFERROR(MATCH($I305,lst_Priority,0),5))</f>
        <v/>
      </c>
      <c r="BB305" s="71" t="str">
        <f>IF(AND($AL305=1,$AJ305=1),$BA305*100000+ROW(),"")</f>
        <v/>
      </c>
      <c r="BC305" s="71" t="str">
        <f>IF(AND($AM305=1,$AJ305=1),$BA305*100000+ROW(),"")</f>
        <v/>
      </c>
      <c r="BD305" s="71" t="str">
        <f>IF(AND($AP305=1,$AJ305=1),$BA305*100000+ROW(),"")</f>
        <v/>
      </c>
      <c r="BE305" s="71" t="str">
        <f>IF(AND($AT305=1,$AJ305=1),$BA305*100000+ROW(),"")</f>
        <v/>
      </c>
      <c r="BF305" s="71" t="str">
        <f>IF(AND($AU305=1,$AJ305=1),$BA305*100000+ROW(),"")</f>
        <v/>
      </c>
      <c r="BG305" s="71" t="str">
        <f>IF(AND($AV305=1,$AJ305=1),$BA305*100000+ROW(),"")</f>
        <v/>
      </c>
      <c r="BH305" s="71" t="str">
        <f>IF(AND($AW305=1,$AJ305=1),$BA305*100000+ROW(),"")</f>
        <v/>
      </c>
      <c r="BI305" s="71" t="str">
        <f>IF(AND($AX305=1,$AJ305=1),$BA305*100000+ROW(),"")</f>
        <v/>
      </c>
      <c r="BJ305" s="71" t="str">
        <f>IF(AND($AS305=1,$AJ305=1),$BA305*100000+ROW(),"")</f>
        <v/>
      </c>
      <c r="BK305" s="71" t="str">
        <f>IF(AND($AY305=1,$AJ305=1),$BA305*100000+ROW(),"")</f>
        <v/>
      </c>
      <c r="BL305" s="71" t="str">
        <f>IF(AND($AZ305=1),$BA305*100000+ROW(),"")</f>
        <v/>
      </c>
    </row>
    <row r="306">
      <c r="A306" s="63" t="n"/>
      <c r="B306" s="64" t="n"/>
      <c r="C306" s="64" t="n"/>
      <c r="D306" s="64" t="n"/>
      <c r="E306" s="64" t="n"/>
      <c r="F306" s="64" t="n"/>
      <c r="G306" s="65" t="n"/>
      <c r="H306" s="65" t="n"/>
      <c r="I306" s="64" t="n"/>
      <c r="J306" s="64" t="n"/>
      <c r="K306" s="63" t="n"/>
      <c r="L306" s="63" t="n"/>
      <c r="M306" s="64" t="n"/>
      <c r="N306" s="66" t="n"/>
      <c r="O306" s="65" t="n"/>
      <c r="P306" s="64" t="n"/>
      <c r="Q306" s="67" t="n"/>
      <c r="R306" s="67" t="n"/>
      <c r="S306" s="68" t="str">
        <f>IF(AND(ISNUMBER($Q306),ISNUMBER($R306)),$Q306-$R306,"")</f>
        <v/>
      </c>
      <c r="T306" s="65" t="n"/>
      <c r="U306" s="64" t="n"/>
      <c r="V306" s="65" t="n"/>
      <c r="W306" s="63" t="n"/>
      <c r="X306" s="65" t="n"/>
      <c r="Y306" s="63" t="n"/>
      <c r="Z306" s="64" t="n"/>
      <c r="AA306" s="64" t="n"/>
      <c r="AB306" s="65" t="n"/>
      <c r="AC306" s="69" t="str">
        <f>IF(OR($G306="",NOT(ISNUMBER($K306)),$AK306=0),"",MAX(0,ReportDate-$K306))</f>
        <v/>
      </c>
      <c r="AD306" s="69" t="str">
        <f>IF($G306="","",IF($AL306=1,ReportDate-$L306,0))</f>
        <v/>
      </c>
      <c r="AE306" s="70" t="str">
        <f>IF($G306="","",IF($M306="Completed",1,IF(ISNUMBER($N306),$N306,0)))</f>
        <v/>
      </c>
      <c r="AF306" s="70" t="str">
        <f>IF(AND(ISNUMBER($Q306),ISNUMBER($R306)),IF($R306&lt;&gt;0,$Q306/$R306,""),"")</f>
        <v/>
      </c>
      <c r="AG306" s="71" t="str">
        <f>IF($G306="","",IF($AL306=1,"OVERDUE",IF($AM306=1,"BLOCKED",IF($AN306=1,"DUE TODAY",IF($AO306=1,"DUE TOMORROW",IF($AQ306=1,"HIGH PRIORITY",IF($AR306=1,"NO RECENT UPDATE",""))))))) </f>
        <v/>
      </c>
      <c r="AH306" s="71" t="str">
        <f>IF($G306="","",IF(ISNUMBER($A306),IF(ISNUMBER($A306),YEAR($A306)&amp;"-"&amp;TEXT(MONTH($A306),"00"),""),IF(ISNUMBER($L306),IF(ISNUMBER($L306),YEAR($L306)&amp;"-"&amp;TEXT(MONTH($L306),"00"),""),"")))</f>
        <v/>
      </c>
      <c r="AI306" s="71">
        <f>IF($G306="",0,IF(AND(OR(fClient="All",$C306=fClient),OR(fCampaign="All",$D306=fCampaign),OR(fTeam="All",$B306=fTeam),OR(fChannel="All",$F306=fChannel),OR(fMonth="All",$AH306=fMonth),OR(fTStatus="All",$M306=fTStatus)),1,0))</f>
        <v>0</v>
      </c>
      <c r="AJ306" s="71">
        <f>IF($G306="",0,IF(AND(OR(fClient="All",$C306=fClient),OR(fCampaign="All",$D306=fCampaign),OR(fTeam="All",$B306=fTeam),OR(fChannel="All",$F306=fChannel)),1,0))</f>
        <v>0</v>
      </c>
      <c r="AK306" s="71">
        <f>IF($G306="",0,IF(OR($M306="Completed",$M306="Cancelled"),0,1))</f>
        <v>0</v>
      </c>
      <c r="AL306" s="71">
        <f>IF(AND($AK306=1,ISNUMBER($L306)),IF($L306&lt;ReportDate,1,0),0)</f>
        <v>0</v>
      </c>
      <c r="AM306" s="71">
        <f>IF(AND($G306&lt;&gt;"",$M306="Blocked"),1,0)</f>
        <v>0</v>
      </c>
      <c r="AN306" s="71">
        <f>IF(AND($AK306=1,ISNUMBER($L306)),IF($L306=ReportDate,1,0),0)</f>
        <v>0</v>
      </c>
      <c r="AO306" s="71">
        <f>IF(AND($AK306=1,ISNUMBER($L306)),IF($L306=ReportDate+1,1,0),0)</f>
        <v>0</v>
      </c>
      <c r="AP306" s="71">
        <f>IF(AND($AK306=1,ISNUMBER($L306)),IF(AND($L306&gt;=ReportDate,$L306&lt;=ReportDate+DueSoonDays),1,0),0)</f>
        <v>0</v>
      </c>
      <c r="AQ306" s="71">
        <f>IF(AND($AK306=1,OR($I306="Critical",$I306="High")),1,0)</f>
        <v>0</v>
      </c>
      <c r="AR306" s="71">
        <f>IF($AK306=1,IF(ISNUMBER($Y306),IF(ReportDate-$Y306&gt;StaleDays,1,0),1),0)</f>
        <v>0</v>
      </c>
      <c r="AS306" s="71">
        <f>IF(AND($G306&lt;&gt;"",ISNUMBER($Q306),ISNUMBER($R306)),IF(AND($Q306&lt;$R306,OR($M306="Completed",AND(ISNUMBER($L306),$L306&lt;ReportDate))),1,0),0)</f>
        <v>0</v>
      </c>
      <c r="AT306" s="71">
        <f>IF($AK306=1,IF(OR($L306=ReportDate,$W306=ReportDate,$K306=ReportDate,$A306=ReportDate),1,0),0)</f>
        <v>0</v>
      </c>
      <c r="AU306" s="71">
        <f>IF($AK306=1,IF(OR($L306=ReportDate+1,$W306=ReportDate+1,$K306=ReportDate+1,$A306=ReportDate+1),1,0),0)</f>
        <v>0</v>
      </c>
      <c r="AV306" s="71">
        <f>IF(AND($G306&lt;&gt;"",$M306="Completed"),IF(OR($Y306=ReportDate-1,$A306=ReportDate-1),1,0),0)</f>
        <v>0</v>
      </c>
      <c r="AW306" s="71">
        <f>IF(AND($AK306=1,$Z306="Yes"),1,0)</f>
        <v>0</v>
      </c>
      <c r="AX306" s="71">
        <f>IF(AND($AK306=1,$AA306="Yes"),1,0)</f>
        <v>0</v>
      </c>
      <c r="AY306" s="71">
        <f>IF(AND($AM306=1,OR($I306="Critical",$I306="High")),1,0)</f>
        <v>0</v>
      </c>
      <c r="AZ306" s="71">
        <f>IF(AND($AK306=1,OR($C306=TCL_Client,$C306=MECCA_Client)),1,0)</f>
        <v>0</v>
      </c>
      <c r="BA306" s="71" t="str">
        <f>IF($G306="","",IFERROR(MATCH($I306,lst_Priority,0),5))</f>
        <v/>
      </c>
      <c r="BB306" s="71" t="str">
        <f>IF(AND($AL306=1,$AJ306=1),$BA306*100000+ROW(),"")</f>
        <v/>
      </c>
      <c r="BC306" s="71" t="str">
        <f>IF(AND($AM306=1,$AJ306=1),$BA306*100000+ROW(),"")</f>
        <v/>
      </c>
      <c r="BD306" s="71" t="str">
        <f>IF(AND($AP306=1,$AJ306=1),$BA306*100000+ROW(),"")</f>
        <v/>
      </c>
      <c r="BE306" s="71" t="str">
        <f>IF(AND($AT306=1,$AJ306=1),$BA306*100000+ROW(),"")</f>
        <v/>
      </c>
      <c r="BF306" s="71" t="str">
        <f>IF(AND($AU306=1,$AJ306=1),$BA306*100000+ROW(),"")</f>
        <v/>
      </c>
      <c r="BG306" s="71" t="str">
        <f>IF(AND($AV306=1,$AJ306=1),$BA306*100000+ROW(),"")</f>
        <v/>
      </c>
      <c r="BH306" s="71" t="str">
        <f>IF(AND($AW306=1,$AJ306=1),$BA306*100000+ROW(),"")</f>
        <v/>
      </c>
      <c r="BI306" s="71" t="str">
        <f>IF(AND($AX306=1,$AJ306=1),$BA306*100000+ROW(),"")</f>
        <v/>
      </c>
      <c r="BJ306" s="71" t="str">
        <f>IF(AND($AS306=1,$AJ306=1),$BA306*100000+ROW(),"")</f>
        <v/>
      </c>
      <c r="BK306" s="71" t="str">
        <f>IF(AND($AY306=1,$AJ306=1),$BA306*100000+ROW(),"")</f>
        <v/>
      </c>
      <c r="BL306" s="71" t="str">
        <f>IF(AND($AZ306=1),$BA306*100000+ROW(),"")</f>
        <v/>
      </c>
    </row>
    <row r="307">
      <c r="A307" s="63" t="n"/>
      <c r="B307" s="64" t="n"/>
      <c r="C307" s="64" t="n"/>
      <c r="D307" s="64" t="n"/>
      <c r="E307" s="64" t="n"/>
      <c r="F307" s="64" t="n"/>
      <c r="G307" s="65" t="n"/>
      <c r="H307" s="65" t="n"/>
      <c r="I307" s="64" t="n"/>
      <c r="J307" s="64" t="n"/>
      <c r="K307" s="63" t="n"/>
      <c r="L307" s="63" t="n"/>
      <c r="M307" s="64" t="n"/>
      <c r="N307" s="66" t="n"/>
      <c r="O307" s="65" t="n"/>
      <c r="P307" s="64" t="n"/>
      <c r="Q307" s="67" t="n"/>
      <c r="R307" s="67" t="n"/>
      <c r="S307" s="68" t="str">
        <f>IF(AND(ISNUMBER($Q307),ISNUMBER($R307)),$Q307-$R307,"")</f>
        <v/>
      </c>
      <c r="T307" s="65" t="n"/>
      <c r="U307" s="64" t="n"/>
      <c r="V307" s="65" t="n"/>
      <c r="W307" s="63" t="n"/>
      <c r="X307" s="65" t="n"/>
      <c r="Y307" s="63" t="n"/>
      <c r="Z307" s="64" t="n"/>
      <c r="AA307" s="64" t="n"/>
      <c r="AB307" s="65" t="n"/>
      <c r="AC307" s="69" t="str">
        <f>IF(OR($G307="",NOT(ISNUMBER($K307)),$AK307=0),"",MAX(0,ReportDate-$K307))</f>
        <v/>
      </c>
      <c r="AD307" s="69" t="str">
        <f>IF($G307="","",IF($AL307=1,ReportDate-$L307,0))</f>
        <v/>
      </c>
      <c r="AE307" s="70" t="str">
        <f>IF($G307="","",IF($M307="Completed",1,IF(ISNUMBER($N307),$N307,0)))</f>
        <v/>
      </c>
      <c r="AF307" s="70" t="str">
        <f>IF(AND(ISNUMBER($Q307),ISNUMBER($R307)),IF($R307&lt;&gt;0,$Q307/$R307,""),"")</f>
        <v/>
      </c>
      <c r="AG307" s="71" t="str">
        <f>IF($G307="","",IF($AL307=1,"OVERDUE",IF($AM307=1,"BLOCKED",IF($AN307=1,"DUE TODAY",IF($AO307=1,"DUE TOMORROW",IF($AQ307=1,"HIGH PRIORITY",IF($AR307=1,"NO RECENT UPDATE",""))))))) </f>
        <v/>
      </c>
      <c r="AH307" s="71" t="str">
        <f>IF($G307="","",IF(ISNUMBER($A307),IF(ISNUMBER($A307),YEAR($A307)&amp;"-"&amp;TEXT(MONTH($A307),"00"),""),IF(ISNUMBER($L307),IF(ISNUMBER($L307),YEAR($L307)&amp;"-"&amp;TEXT(MONTH($L307),"00"),""),"")))</f>
        <v/>
      </c>
      <c r="AI307" s="71">
        <f>IF($G307="",0,IF(AND(OR(fClient="All",$C307=fClient),OR(fCampaign="All",$D307=fCampaign),OR(fTeam="All",$B307=fTeam),OR(fChannel="All",$F307=fChannel),OR(fMonth="All",$AH307=fMonth),OR(fTStatus="All",$M307=fTStatus)),1,0))</f>
        <v>0</v>
      </c>
      <c r="AJ307" s="71">
        <f>IF($G307="",0,IF(AND(OR(fClient="All",$C307=fClient),OR(fCampaign="All",$D307=fCampaign),OR(fTeam="All",$B307=fTeam),OR(fChannel="All",$F307=fChannel)),1,0))</f>
        <v>0</v>
      </c>
      <c r="AK307" s="71">
        <f>IF($G307="",0,IF(OR($M307="Completed",$M307="Cancelled"),0,1))</f>
        <v>0</v>
      </c>
      <c r="AL307" s="71">
        <f>IF(AND($AK307=1,ISNUMBER($L307)),IF($L307&lt;ReportDate,1,0),0)</f>
        <v>0</v>
      </c>
      <c r="AM307" s="71">
        <f>IF(AND($G307&lt;&gt;"",$M307="Blocked"),1,0)</f>
        <v>0</v>
      </c>
      <c r="AN307" s="71">
        <f>IF(AND($AK307=1,ISNUMBER($L307)),IF($L307=ReportDate,1,0),0)</f>
        <v>0</v>
      </c>
      <c r="AO307" s="71">
        <f>IF(AND($AK307=1,ISNUMBER($L307)),IF($L307=ReportDate+1,1,0),0)</f>
        <v>0</v>
      </c>
      <c r="AP307" s="71">
        <f>IF(AND($AK307=1,ISNUMBER($L307)),IF(AND($L307&gt;=ReportDate,$L307&lt;=ReportDate+DueSoonDays),1,0),0)</f>
        <v>0</v>
      </c>
      <c r="AQ307" s="71">
        <f>IF(AND($AK307=1,OR($I307="Critical",$I307="High")),1,0)</f>
        <v>0</v>
      </c>
      <c r="AR307" s="71">
        <f>IF($AK307=1,IF(ISNUMBER($Y307),IF(ReportDate-$Y307&gt;StaleDays,1,0),1),0)</f>
        <v>0</v>
      </c>
      <c r="AS307" s="71">
        <f>IF(AND($G307&lt;&gt;"",ISNUMBER($Q307),ISNUMBER($R307)),IF(AND($Q307&lt;$R307,OR($M307="Completed",AND(ISNUMBER($L307),$L307&lt;ReportDate))),1,0),0)</f>
        <v>0</v>
      </c>
      <c r="AT307" s="71">
        <f>IF($AK307=1,IF(OR($L307=ReportDate,$W307=ReportDate,$K307=ReportDate,$A307=ReportDate),1,0),0)</f>
        <v>0</v>
      </c>
      <c r="AU307" s="71">
        <f>IF($AK307=1,IF(OR($L307=ReportDate+1,$W307=ReportDate+1,$K307=ReportDate+1,$A307=ReportDate+1),1,0),0)</f>
        <v>0</v>
      </c>
      <c r="AV307" s="71">
        <f>IF(AND($G307&lt;&gt;"",$M307="Completed"),IF(OR($Y307=ReportDate-1,$A307=ReportDate-1),1,0),0)</f>
        <v>0</v>
      </c>
      <c r="AW307" s="71">
        <f>IF(AND($AK307=1,$Z307="Yes"),1,0)</f>
        <v>0</v>
      </c>
      <c r="AX307" s="71">
        <f>IF(AND($AK307=1,$AA307="Yes"),1,0)</f>
        <v>0</v>
      </c>
      <c r="AY307" s="71">
        <f>IF(AND($AM307=1,OR($I307="Critical",$I307="High")),1,0)</f>
        <v>0</v>
      </c>
      <c r="AZ307" s="71">
        <f>IF(AND($AK307=1,OR($C307=TCL_Client,$C307=MECCA_Client)),1,0)</f>
        <v>0</v>
      </c>
      <c r="BA307" s="71" t="str">
        <f>IF($G307="","",IFERROR(MATCH($I307,lst_Priority,0),5))</f>
        <v/>
      </c>
      <c r="BB307" s="71" t="str">
        <f>IF(AND($AL307=1,$AJ307=1),$BA307*100000+ROW(),"")</f>
        <v/>
      </c>
      <c r="BC307" s="71" t="str">
        <f>IF(AND($AM307=1,$AJ307=1),$BA307*100000+ROW(),"")</f>
        <v/>
      </c>
      <c r="BD307" s="71" t="str">
        <f>IF(AND($AP307=1,$AJ307=1),$BA307*100000+ROW(),"")</f>
        <v/>
      </c>
      <c r="BE307" s="71" t="str">
        <f>IF(AND($AT307=1,$AJ307=1),$BA307*100000+ROW(),"")</f>
        <v/>
      </c>
      <c r="BF307" s="71" t="str">
        <f>IF(AND($AU307=1,$AJ307=1),$BA307*100000+ROW(),"")</f>
        <v/>
      </c>
      <c r="BG307" s="71" t="str">
        <f>IF(AND($AV307=1,$AJ307=1),$BA307*100000+ROW(),"")</f>
        <v/>
      </c>
      <c r="BH307" s="71" t="str">
        <f>IF(AND($AW307=1,$AJ307=1),$BA307*100000+ROW(),"")</f>
        <v/>
      </c>
      <c r="BI307" s="71" t="str">
        <f>IF(AND($AX307=1,$AJ307=1),$BA307*100000+ROW(),"")</f>
        <v/>
      </c>
      <c r="BJ307" s="71" t="str">
        <f>IF(AND($AS307=1,$AJ307=1),$BA307*100000+ROW(),"")</f>
        <v/>
      </c>
      <c r="BK307" s="71" t="str">
        <f>IF(AND($AY307=1,$AJ307=1),$BA307*100000+ROW(),"")</f>
        <v/>
      </c>
      <c r="BL307" s="71" t="str">
        <f>IF(AND($AZ307=1),$BA307*100000+ROW(),"")</f>
        <v/>
      </c>
    </row>
    <row r="308">
      <c r="A308" s="63" t="n"/>
      <c r="B308" s="64" t="n"/>
      <c r="C308" s="64" t="n"/>
      <c r="D308" s="64" t="n"/>
      <c r="E308" s="64" t="n"/>
      <c r="F308" s="64" t="n"/>
      <c r="G308" s="65" t="n"/>
      <c r="H308" s="65" t="n"/>
      <c r="I308" s="64" t="n"/>
      <c r="J308" s="64" t="n"/>
      <c r="K308" s="63" t="n"/>
      <c r="L308" s="63" t="n"/>
      <c r="M308" s="64" t="n"/>
      <c r="N308" s="66" t="n"/>
      <c r="O308" s="65" t="n"/>
      <c r="P308" s="64" t="n"/>
      <c r="Q308" s="67" t="n"/>
      <c r="R308" s="67" t="n"/>
      <c r="S308" s="68" t="str">
        <f>IF(AND(ISNUMBER($Q308),ISNUMBER($R308)),$Q308-$R308,"")</f>
        <v/>
      </c>
      <c r="T308" s="65" t="n"/>
      <c r="U308" s="64" t="n"/>
      <c r="V308" s="65" t="n"/>
      <c r="W308" s="63" t="n"/>
      <c r="X308" s="65" t="n"/>
      <c r="Y308" s="63" t="n"/>
      <c r="Z308" s="64" t="n"/>
      <c r="AA308" s="64" t="n"/>
      <c r="AB308" s="65" t="n"/>
      <c r="AC308" s="69" t="str">
        <f>IF(OR($G308="",NOT(ISNUMBER($K308)),$AK308=0),"",MAX(0,ReportDate-$K308))</f>
        <v/>
      </c>
      <c r="AD308" s="69" t="str">
        <f>IF($G308="","",IF($AL308=1,ReportDate-$L308,0))</f>
        <v/>
      </c>
      <c r="AE308" s="70" t="str">
        <f>IF($G308="","",IF($M308="Completed",1,IF(ISNUMBER($N308),$N308,0)))</f>
        <v/>
      </c>
      <c r="AF308" s="70" t="str">
        <f>IF(AND(ISNUMBER($Q308),ISNUMBER($R308)),IF($R308&lt;&gt;0,$Q308/$R308,""),"")</f>
        <v/>
      </c>
      <c r="AG308" s="71" t="str">
        <f>IF($G308="","",IF($AL308=1,"OVERDUE",IF($AM308=1,"BLOCKED",IF($AN308=1,"DUE TODAY",IF($AO308=1,"DUE TOMORROW",IF($AQ308=1,"HIGH PRIORITY",IF($AR308=1,"NO RECENT UPDATE",""))))))) </f>
        <v/>
      </c>
      <c r="AH308" s="71" t="str">
        <f>IF($G308="","",IF(ISNUMBER($A308),IF(ISNUMBER($A308),YEAR($A308)&amp;"-"&amp;TEXT(MONTH($A308),"00"),""),IF(ISNUMBER($L308),IF(ISNUMBER($L308),YEAR($L308)&amp;"-"&amp;TEXT(MONTH($L308),"00"),""),"")))</f>
        <v/>
      </c>
      <c r="AI308" s="71">
        <f>IF($G308="",0,IF(AND(OR(fClient="All",$C308=fClient),OR(fCampaign="All",$D308=fCampaign),OR(fTeam="All",$B308=fTeam),OR(fChannel="All",$F308=fChannel),OR(fMonth="All",$AH308=fMonth),OR(fTStatus="All",$M308=fTStatus)),1,0))</f>
        <v>0</v>
      </c>
      <c r="AJ308" s="71">
        <f>IF($G308="",0,IF(AND(OR(fClient="All",$C308=fClient),OR(fCampaign="All",$D308=fCampaign),OR(fTeam="All",$B308=fTeam),OR(fChannel="All",$F308=fChannel)),1,0))</f>
        <v>0</v>
      </c>
      <c r="AK308" s="71">
        <f>IF($G308="",0,IF(OR($M308="Completed",$M308="Cancelled"),0,1))</f>
        <v>0</v>
      </c>
      <c r="AL308" s="71">
        <f>IF(AND($AK308=1,ISNUMBER($L308)),IF($L308&lt;ReportDate,1,0),0)</f>
        <v>0</v>
      </c>
      <c r="AM308" s="71">
        <f>IF(AND($G308&lt;&gt;"",$M308="Blocked"),1,0)</f>
        <v>0</v>
      </c>
      <c r="AN308" s="71">
        <f>IF(AND($AK308=1,ISNUMBER($L308)),IF($L308=ReportDate,1,0),0)</f>
        <v>0</v>
      </c>
      <c r="AO308" s="71">
        <f>IF(AND($AK308=1,ISNUMBER($L308)),IF($L308=ReportDate+1,1,0),0)</f>
        <v>0</v>
      </c>
      <c r="AP308" s="71">
        <f>IF(AND($AK308=1,ISNUMBER($L308)),IF(AND($L308&gt;=ReportDate,$L308&lt;=ReportDate+DueSoonDays),1,0),0)</f>
        <v>0</v>
      </c>
      <c r="AQ308" s="71">
        <f>IF(AND($AK308=1,OR($I308="Critical",$I308="High")),1,0)</f>
        <v>0</v>
      </c>
      <c r="AR308" s="71">
        <f>IF($AK308=1,IF(ISNUMBER($Y308),IF(ReportDate-$Y308&gt;StaleDays,1,0),1),0)</f>
        <v>0</v>
      </c>
      <c r="AS308" s="71">
        <f>IF(AND($G308&lt;&gt;"",ISNUMBER($Q308),ISNUMBER($R308)),IF(AND($Q308&lt;$R308,OR($M308="Completed",AND(ISNUMBER($L308),$L308&lt;ReportDate))),1,0),0)</f>
        <v>0</v>
      </c>
      <c r="AT308" s="71">
        <f>IF($AK308=1,IF(OR($L308=ReportDate,$W308=ReportDate,$K308=ReportDate,$A308=ReportDate),1,0),0)</f>
        <v>0</v>
      </c>
      <c r="AU308" s="71">
        <f>IF($AK308=1,IF(OR($L308=ReportDate+1,$W308=ReportDate+1,$K308=ReportDate+1,$A308=ReportDate+1),1,0),0)</f>
        <v>0</v>
      </c>
      <c r="AV308" s="71">
        <f>IF(AND($G308&lt;&gt;"",$M308="Completed"),IF(OR($Y308=ReportDate-1,$A308=ReportDate-1),1,0),0)</f>
        <v>0</v>
      </c>
      <c r="AW308" s="71">
        <f>IF(AND($AK308=1,$Z308="Yes"),1,0)</f>
        <v>0</v>
      </c>
      <c r="AX308" s="71">
        <f>IF(AND($AK308=1,$AA308="Yes"),1,0)</f>
        <v>0</v>
      </c>
      <c r="AY308" s="71">
        <f>IF(AND($AM308=1,OR($I308="Critical",$I308="High")),1,0)</f>
        <v>0</v>
      </c>
      <c r="AZ308" s="71">
        <f>IF(AND($AK308=1,OR($C308=TCL_Client,$C308=MECCA_Client)),1,0)</f>
        <v>0</v>
      </c>
      <c r="BA308" s="71" t="str">
        <f>IF($G308="","",IFERROR(MATCH($I308,lst_Priority,0),5))</f>
        <v/>
      </c>
      <c r="BB308" s="71" t="str">
        <f>IF(AND($AL308=1,$AJ308=1),$BA308*100000+ROW(),"")</f>
        <v/>
      </c>
      <c r="BC308" s="71" t="str">
        <f>IF(AND($AM308=1,$AJ308=1),$BA308*100000+ROW(),"")</f>
        <v/>
      </c>
      <c r="BD308" s="71" t="str">
        <f>IF(AND($AP308=1,$AJ308=1),$BA308*100000+ROW(),"")</f>
        <v/>
      </c>
      <c r="BE308" s="71" t="str">
        <f>IF(AND($AT308=1,$AJ308=1),$BA308*100000+ROW(),"")</f>
        <v/>
      </c>
      <c r="BF308" s="71" t="str">
        <f>IF(AND($AU308=1,$AJ308=1),$BA308*100000+ROW(),"")</f>
        <v/>
      </c>
      <c r="BG308" s="71" t="str">
        <f>IF(AND($AV308=1,$AJ308=1),$BA308*100000+ROW(),"")</f>
        <v/>
      </c>
      <c r="BH308" s="71" t="str">
        <f>IF(AND($AW308=1,$AJ308=1),$BA308*100000+ROW(),"")</f>
        <v/>
      </c>
      <c r="BI308" s="71" t="str">
        <f>IF(AND($AX308=1,$AJ308=1),$BA308*100000+ROW(),"")</f>
        <v/>
      </c>
      <c r="BJ308" s="71" t="str">
        <f>IF(AND($AS308=1,$AJ308=1),$BA308*100000+ROW(),"")</f>
        <v/>
      </c>
      <c r="BK308" s="71" t="str">
        <f>IF(AND($AY308=1,$AJ308=1),$BA308*100000+ROW(),"")</f>
        <v/>
      </c>
      <c r="BL308" s="71" t="str">
        <f>IF(AND($AZ308=1),$BA308*100000+ROW(),"")</f>
        <v/>
      </c>
    </row>
    <row r="309">
      <c r="A309" s="63" t="n"/>
      <c r="B309" s="64" t="n"/>
      <c r="C309" s="64" t="n"/>
      <c r="D309" s="64" t="n"/>
      <c r="E309" s="64" t="n"/>
      <c r="F309" s="64" t="n"/>
      <c r="G309" s="65" t="n"/>
      <c r="H309" s="65" t="n"/>
      <c r="I309" s="64" t="n"/>
      <c r="J309" s="64" t="n"/>
      <c r="K309" s="63" t="n"/>
      <c r="L309" s="63" t="n"/>
      <c r="M309" s="64" t="n"/>
      <c r="N309" s="66" t="n"/>
      <c r="O309" s="65" t="n"/>
      <c r="P309" s="64" t="n"/>
      <c r="Q309" s="67" t="n"/>
      <c r="R309" s="67" t="n"/>
      <c r="S309" s="68" t="str">
        <f>IF(AND(ISNUMBER($Q309),ISNUMBER($R309)),$Q309-$R309,"")</f>
        <v/>
      </c>
      <c r="T309" s="65" t="n"/>
      <c r="U309" s="64" t="n"/>
      <c r="V309" s="65" t="n"/>
      <c r="W309" s="63" t="n"/>
      <c r="X309" s="65" t="n"/>
      <c r="Y309" s="63" t="n"/>
      <c r="Z309" s="64" t="n"/>
      <c r="AA309" s="64" t="n"/>
      <c r="AB309" s="65" t="n"/>
      <c r="AC309" s="69" t="str">
        <f>IF(OR($G309="",NOT(ISNUMBER($K309)),$AK309=0),"",MAX(0,ReportDate-$K309))</f>
        <v/>
      </c>
      <c r="AD309" s="69" t="str">
        <f>IF($G309="","",IF($AL309=1,ReportDate-$L309,0))</f>
        <v/>
      </c>
      <c r="AE309" s="70" t="str">
        <f>IF($G309="","",IF($M309="Completed",1,IF(ISNUMBER($N309),$N309,0)))</f>
        <v/>
      </c>
      <c r="AF309" s="70" t="str">
        <f>IF(AND(ISNUMBER($Q309),ISNUMBER($R309)),IF($R309&lt;&gt;0,$Q309/$R309,""),"")</f>
        <v/>
      </c>
      <c r="AG309" s="71" t="str">
        <f>IF($G309="","",IF($AL309=1,"OVERDUE",IF($AM309=1,"BLOCKED",IF($AN309=1,"DUE TODAY",IF($AO309=1,"DUE TOMORROW",IF($AQ309=1,"HIGH PRIORITY",IF($AR309=1,"NO RECENT UPDATE",""))))))) </f>
        <v/>
      </c>
      <c r="AH309" s="71" t="str">
        <f>IF($G309="","",IF(ISNUMBER($A309),IF(ISNUMBER($A309),YEAR($A309)&amp;"-"&amp;TEXT(MONTH($A309),"00"),""),IF(ISNUMBER($L309),IF(ISNUMBER($L309),YEAR($L309)&amp;"-"&amp;TEXT(MONTH($L309),"00"),""),"")))</f>
        <v/>
      </c>
      <c r="AI309" s="71">
        <f>IF($G309="",0,IF(AND(OR(fClient="All",$C309=fClient),OR(fCampaign="All",$D309=fCampaign),OR(fTeam="All",$B309=fTeam),OR(fChannel="All",$F309=fChannel),OR(fMonth="All",$AH309=fMonth),OR(fTStatus="All",$M309=fTStatus)),1,0))</f>
        <v>0</v>
      </c>
      <c r="AJ309" s="71">
        <f>IF($G309="",0,IF(AND(OR(fClient="All",$C309=fClient),OR(fCampaign="All",$D309=fCampaign),OR(fTeam="All",$B309=fTeam),OR(fChannel="All",$F309=fChannel)),1,0))</f>
        <v>0</v>
      </c>
      <c r="AK309" s="71">
        <f>IF($G309="",0,IF(OR($M309="Completed",$M309="Cancelled"),0,1))</f>
        <v>0</v>
      </c>
      <c r="AL309" s="71">
        <f>IF(AND($AK309=1,ISNUMBER($L309)),IF($L309&lt;ReportDate,1,0),0)</f>
        <v>0</v>
      </c>
      <c r="AM309" s="71">
        <f>IF(AND($G309&lt;&gt;"",$M309="Blocked"),1,0)</f>
        <v>0</v>
      </c>
      <c r="AN309" s="71">
        <f>IF(AND($AK309=1,ISNUMBER($L309)),IF($L309=ReportDate,1,0),0)</f>
        <v>0</v>
      </c>
      <c r="AO309" s="71">
        <f>IF(AND($AK309=1,ISNUMBER($L309)),IF($L309=ReportDate+1,1,0),0)</f>
        <v>0</v>
      </c>
      <c r="AP309" s="71">
        <f>IF(AND($AK309=1,ISNUMBER($L309)),IF(AND($L309&gt;=ReportDate,$L309&lt;=ReportDate+DueSoonDays),1,0),0)</f>
        <v>0</v>
      </c>
      <c r="AQ309" s="71">
        <f>IF(AND($AK309=1,OR($I309="Critical",$I309="High")),1,0)</f>
        <v>0</v>
      </c>
      <c r="AR309" s="71">
        <f>IF($AK309=1,IF(ISNUMBER($Y309),IF(ReportDate-$Y309&gt;StaleDays,1,0),1),0)</f>
        <v>0</v>
      </c>
      <c r="AS309" s="71">
        <f>IF(AND($G309&lt;&gt;"",ISNUMBER($Q309),ISNUMBER($R309)),IF(AND($Q309&lt;$R309,OR($M309="Completed",AND(ISNUMBER($L309),$L309&lt;ReportDate))),1,0),0)</f>
        <v>0</v>
      </c>
      <c r="AT309" s="71">
        <f>IF($AK309=1,IF(OR($L309=ReportDate,$W309=ReportDate,$K309=ReportDate,$A309=ReportDate),1,0),0)</f>
        <v>0</v>
      </c>
      <c r="AU309" s="71">
        <f>IF($AK309=1,IF(OR($L309=ReportDate+1,$W309=ReportDate+1,$K309=ReportDate+1,$A309=ReportDate+1),1,0),0)</f>
        <v>0</v>
      </c>
      <c r="AV309" s="71">
        <f>IF(AND($G309&lt;&gt;"",$M309="Completed"),IF(OR($Y309=ReportDate-1,$A309=ReportDate-1),1,0),0)</f>
        <v>0</v>
      </c>
      <c r="AW309" s="71">
        <f>IF(AND($AK309=1,$Z309="Yes"),1,0)</f>
        <v>0</v>
      </c>
      <c r="AX309" s="71">
        <f>IF(AND($AK309=1,$AA309="Yes"),1,0)</f>
        <v>0</v>
      </c>
      <c r="AY309" s="71">
        <f>IF(AND($AM309=1,OR($I309="Critical",$I309="High")),1,0)</f>
        <v>0</v>
      </c>
      <c r="AZ309" s="71">
        <f>IF(AND($AK309=1,OR($C309=TCL_Client,$C309=MECCA_Client)),1,0)</f>
        <v>0</v>
      </c>
      <c r="BA309" s="71" t="str">
        <f>IF($G309="","",IFERROR(MATCH($I309,lst_Priority,0),5))</f>
        <v/>
      </c>
      <c r="BB309" s="71" t="str">
        <f>IF(AND($AL309=1,$AJ309=1),$BA309*100000+ROW(),"")</f>
        <v/>
      </c>
      <c r="BC309" s="71" t="str">
        <f>IF(AND($AM309=1,$AJ309=1),$BA309*100000+ROW(),"")</f>
        <v/>
      </c>
      <c r="BD309" s="71" t="str">
        <f>IF(AND($AP309=1,$AJ309=1),$BA309*100000+ROW(),"")</f>
        <v/>
      </c>
      <c r="BE309" s="71" t="str">
        <f>IF(AND($AT309=1,$AJ309=1),$BA309*100000+ROW(),"")</f>
        <v/>
      </c>
      <c r="BF309" s="71" t="str">
        <f>IF(AND($AU309=1,$AJ309=1),$BA309*100000+ROW(),"")</f>
        <v/>
      </c>
      <c r="BG309" s="71" t="str">
        <f>IF(AND($AV309=1,$AJ309=1),$BA309*100000+ROW(),"")</f>
        <v/>
      </c>
      <c r="BH309" s="71" t="str">
        <f>IF(AND($AW309=1,$AJ309=1),$BA309*100000+ROW(),"")</f>
        <v/>
      </c>
      <c r="BI309" s="71" t="str">
        <f>IF(AND($AX309=1,$AJ309=1),$BA309*100000+ROW(),"")</f>
        <v/>
      </c>
      <c r="BJ309" s="71" t="str">
        <f>IF(AND($AS309=1,$AJ309=1),$BA309*100000+ROW(),"")</f>
        <v/>
      </c>
      <c r="BK309" s="71" t="str">
        <f>IF(AND($AY309=1,$AJ309=1),$BA309*100000+ROW(),"")</f>
        <v/>
      </c>
      <c r="BL309" s="71" t="str">
        <f>IF(AND($AZ309=1),$BA309*100000+ROW(),"")</f>
        <v/>
      </c>
    </row>
    <row r="310">
      <c r="A310" s="63" t="n"/>
      <c r="B310" s="64" t="n"/>
      <c r="C310" s="64" t="n"/>
      <c r="D310" s="64" t="n"/>
      <c r="E310" s="64" t="n"/>
      <c r="F310" s="64" t="n"/>
      <c r="G310" s="65" t="n"/>
      <c r="H310" s="65" t="n"/>
      <c r="I310" s="64" t="n"/>
      <c r="J310" s="64" t="n"/>
      <c r="K310" s="63" t="n"/>
      <c r="L310" s="63" t="n"/>
      <c r="M310" s="64" t="n"/>
      <c r="N310" s="66" t="n"/>
      <c r="O310" s="65" t="n"/>
      <c r="P310" s="64" t="n"/>
      <c r="Q310" s="67" t="n"/>
      <c r="R310" s="67" t="n"/>
      <c r="S310" s="68" t="str">
        <f>IF(AND(ISNUMBER($Q310),ISNUMBER($R310)),$Q310-$R310,"")</f>
        <v/>
      </c>
      <c r="T310" s="65" t="n"/>
      <c r="U310" s="64" t="n"/>
      <c r="V310" s="65" t="n"/>
      <c r="W310" s="63" t="n"/>
      <c r="X310" s="65" t="n"/>
      <c r="Y310" s="63" t="n"/>
      <c r="Z310" s="64" t="n"/>
      <c r="AA310" s="64" t="n"/>
      <c r="AB310" s="65" t="n"/>
      <c r="AC310" s="69" t="str">
        <f>IF(OR($G310="",NOT(ISNUMBER($K310)),$AK310=0),"",MAX(0,ReportDate-$K310))</f>
        <v/>
      </c>
      <c r="AD310" s="69" t="str">
        <f>IF($G310="","",IF($AL310=1,ReportDate-$L310,0))</f>
        <v/>
      </c>
      <c r="AE310" s="70" t="str">
        <f>IF($G310="","",IF($M310="Completed",1,IF(ISNUMBER($N310),$N310,0)))</f>
        <v/>
      </c>
      <c r="AF310" s="70" t="str">
        <f>IF(AND(ISNUMBER($Q310),ISNUMBER($R310)),IF($R310&lt;&gt;0,$Q310/$R310,""),"")</f>
        <v/>
      </c>
      <c r="AG310" s="71" t="str">
        <f>IF($G310="","",IF($AL310=1,"OVERDUE",IF($AM310=1,"BLOCKED",IF($AN310=1,"DUE TODAY",IF($AO310=1,"DUE TOMORROW",IF($AQ310=1,"HIGH PRIORITY",IF($AR310=1,"NO RECENT UPDATE",""))))))) </f>
        <v/>
      </c>
      <c r="AH310" s="71" t="str">
        <f>IF($G310="","",IF(ISNUMBER($A310),IF(ISNUMBER($A310),YEAR($A310)&amp;"-"&amp;TEXT(MONTH($A310),"00"),""),IF(ISNUMBER($L310),IF(ISNUMBER($L310),YEAR($L310)&amp;"-"&amp;TEXT(MONTH($L310),"00"),""),"")))</f>
        <v/>
      </c>
      <c r="AI310" s="71">
        <f>IF($G310="",0,IF(AND(OR(fClient="All",$C310=fClient),OR(fCampaign="All",$D310=fCampaign),OR(fTeam="All",$B310=fTeam),OR(fChannel="All",$F310=fChannel),OR(fMonth="All",$AH310=fMonth),OR(fTStatus="All",$M310=fTStatus)),1,0))</f>
        <v>0</v>
      </c>
      <c r="AJ310" s="71">
        <f>IF($G310="",0,IF(AND(OR(fClient="All",$C310=fClient),OR(fCampaign="All",$D310=fCampaign),OR(fTeam="All",$B310=fTeam),OR(fChannel="All",$F310=fChannel)),1,0))</f>
        <v>0</v>
      </c>
      <c r="AK310" s="71">
        <f>IF($G310="",0,IF(OR($M310="Completed",$M310="Cancelled"),0,1))</f>
        <v>0</v>
      </c>
      <c r="AL310" s="71">
        <f>IF(AND($AK310=1,ISNUMBER($L310)),IF($L310&lt;ReportDate,1,0),0)</f>
        <v>0</v>
      </c>
      <c r="AM310" s="71">
        <f>IF(AND($G310&lt;&gt;"",$M310="Blocked"),1,0)</f>
        <v>0</v>
      </c>
      <c r="AN310" s="71">
        <f>IF(AND($AK310=1,ISNUMBER($L310)),IF($L310=ReportDate,1,0),0)</f>
        <v>0</v>
      </c>
      <c r="AO310" s="71">
        <f>IF(AND($AK310=1,ISNUMBER($L310)),IF($L310=ReportDate+1,1,0),0)</f>
        <v>0</v>
      </c>
      <c r="AP310" s="71">
        <f>IF(AND($AK310=1,ISNUMBER($L310)),IF(AND($L310&gt;=ReportDate,$L310&lt;=ReportDate+DueSoonDays),1,0),0)</f>
        <v>0</v>
      </c>
      <c r="AQ310" s="71">
        <f>IF(AND($AK310=1,OR($I310="Critical",$I310="High")),1,0)</f>
        <v>0</v>
      </c>
      <c r="AR310" s="71">
        <f>IF($AK310=1,IF(ISNUMBER($Y310),IF(ReportDate-$Y310&gt;StaleDays,1,0),1),0)</f>
        <v>0</v>
      </c>
      <c r="AS310" s="71">
        <f>IF(AND($G310&lt;&gt;"",ISNUMBER($Q310),ISNUMBER($R310)),IF(AND($Q310&lt;$R310,OR($M310="Completed",AND(ISNUMBER($L310),$L310&lt;ReportDate))),1,0),0)</f>
        <v>0</v>
      </c>
      <c r="AT310" s="71">
        <f>IF($AK310=1,IF(OR($L310=ReportDate,$W310=ReportDate,$K310=ReportDate,$A310=ReportDate),1,0),0)</f>
        <v>0</v>
      </c>
      <c r="AU310" s="71">
        <f>IF($AK310=1,IF(OR($L310=ReportDate+1,$W310=ReportDate+1,$K310=ReportDate+1,$A310=ReportDate+1),1,0),0)</f>
        <v>0</v>
      </c>
      <c r="AV310" s="71">
        <f>IF(AND($G310&lt;&gt;"",$M310="Completed"),IF(OR($Y310=ReportDate-1,$A310=ReportDate-1),1,0),0)</f>
        <v>0</v>
      </c>
      <c r="AW310" s="71">
        <f>IF(AND($AK310=1,$Z310="Yes"),1,0)</f>
        <v>0</v>
      </c>
      <c r="AX310" s="71">
        <f>IF(AND($AK310=1,$AA310="Yes"),1,0)</f>
        <v>0</v>
      </c>
      <c r="AY310" s="71">
        <f>IF(AND($AM310=1,OR($I310="Critical",$I310="High")),1,0)</f>
        <v>0</v>
      </c>
      <c r="AZ310" s="71">
        <f>IF(AND($AK310=1,OR($C310=TCL_Client,$C310=MECCA_Client)),1,0)</f>
        <v>0</v>
      </c>
      <c r="BA310" s="71" t="str">
        <f>IF($G310="","",IFERROR(MATCH($I310,lst_Priority,0),5))</f>
        <v/>
      </c>
      <c r="BB310" s="71" t="str">
        <f>IF(AND($AL310=1,$AJ310=1),$BA310*100000+ROW(),"")</f>
        <v/>
      </c>
      <c r="BC310" s="71" t="str">
        <f>IF(AND($AM310=1,$AJ310=1),$BA310*100000+ROW(),"")</f>
        <v/>
      </c>
      <c r="BD310" s="71" t="str">
        <f>IF(AND($AP310=1,$AJ310=1),$BA310*100000+ROW(),"")</f>
        <v/>
      </c>
      <c r="BE310" s="71" t="str">
        <f>IF(AND($AT310=1,$AJ310=1),$BA310*100000+ROW(),"")</f>
        <v/>
      </c>
      <c r="BF310" s="71" t="str">
        <f>IF(AND($AU310=1,$AJ310=1),$BA310*100000+ROW(),"")</f>
        <v/>
      </c>
      <c r="BG310" s="71" t="str">
        <f>IF(AND($AV310=1,$AJ310=1),$BA310*100000+ROW(),"")</f>
        <v/>
      </c>
      <c r="BH310" s="71" t="str">
        <f>IF(AND($AW310=1,$AJ310=1),$BA310*100000+ROW(),"")</f>
        <v/>
      </c>
      <c r="BI310" s="71" t="str">
        <f>IF(AND($AX310=1,$AJ310=1),$BA310*100000+ROW(),"")</f>
        <v/>
      </c>
      <c r="BJ310" s="71" t="str">
        <f>IF(AND($AS310=1,$AJ310=1),$BA310*100000+ROW(),"")</f>
        <v/>
      </c>
      <c r="BK310" s="71" t="str">
        <f>IF(AND($AY310=1,$AJ310=1),$BA310*100000+ROW(),"")</f>
        <v/>
      </c>
      <c r="BL310" s="71" t="str">
        <f>IF(AND($AZ310=1),$BA310*100000+ROW(),"")</f>
        <v/>
      </c>
    </row>
    <row r="311">
      <c r="A311" s="63" t="n"/>
      <c r="B311" s="64" t="n"/>
      <c r="C311" s="64" t="n"/>
      <c r="D311" s="64" t="n"/>
      <c r="E311" s="64" t="n"/>
      <c r="F311" s="64" t="n"/>
      <c r="G311" s="65" t="n"/>
      <c r="H311" s="65" t="n"/>
      <c r="I311" s="64" t="n"/>
      <c r="J311" s="64" t="n"/>
      <c r="K311" s="63" t="n"/>
      <c r="L311" s="63" t="n"/>
      <c r="M311" s="64" t="n"/>
      <c r="N311" s="66" t="n"/>
      <c r="O311" s="65" t="n"/>
      <c r="P311" s="64" t="n"/>
      <c r="Q311" s="67" t="n"/>
      <c r="R311" s="67" t="n"/>
      <c r="S311" s="68" t="str">
        <f>IF(AND(ISNUMBER($Q311),ISNUMBER($R311)),$Q311-$R311,"")</f>
        <v/>
      </c>
      <c r="T311" s="65" t="n"/>
      <c r="U311" s="64" t="n"/>
      <c r="V311" s="65" t="n"/>
      <c r="W311" s="63" t="n"/>
      <c r="X311" s="65" t="n"/>
      <c r="Y311" s="63" t="n"/>
      <c r="Z311" s="64" t="n"/>
      <c r="AA311" s="64" t="n"/>
      <c r="AB311" s="65" t="n"/>
      <c r="AC311" s="69" t="str">
        <f>IF(OR($G311="",NOT(ISNUMBER($K311)),$AK311=0),"",MAX(0,ReportDate-$K311))</f>
        <v/>
      </c>
      <c r="AD311" s="69" t="str">
        <f>IF($G311="","",IF($AL311=1,ReportDate-$L311,0))</f>
        <v/>
      </c>
      <c r="AE311" s="70" t="str">
        <f>IF($G311="","",IF($M311="Completed",1,IF(ISNUMBER($N311),$N311,0)))</f>
        <v/>
      </c>
      <c r="AF311" s="70" t="str">
        <f>IF(AND(ISNUMBER($Q311),ISNUMBER($R311)),IF($R311&lt;&gt;0,$Q311/$R311,""),"")</f>
        <v/>
      </c>
      <c r="AG311" s="71" t="str">
        <f>IF($G311="","",IF($AL311=1,"OVERDUE",IF($AM311=1,"BLOCKED",IF($AN311=1,"DUE TODAY",IF($AO311=1,"DUE TOMORROW",IF($AQ311=1,"HIGH PRIORITY",IF($AR311=1,"NO RECENT UPDATE",""))))))) </f>
        <v/>
      </c>
      <c r="AH311" s="71" t="str">
        <f>IF($G311="","",IF(ISNUMBER($A311),IF(ISNUMBER($A311),YEAR($A311)&amp;"-"&amp;TEXT(MONTH($A311),"00"),""),IF(ISNUMBER($L311),IF(ISNUMBER($L311),YEAR($L311)&amp;"-"&amp;TEXT(MONTH($L311),"00"),""),"")))</f>
        <v/>
      </c>
      <c r="AI311" s="71">
        <f>IF($G311="",0,IF(AND(OR(fClient="All",$C311=fClient),OR(fCampaign="All",$D311=fCampaign),OR(fTeam="All",$B311=fTeam),OR(fChannel="All",$F311=fChannel),OR(fMonth="All",$AH311=fMonth),OR(fTStatus="All",$M311=fTStatus)),1,0))</f>
        <v>0</v>
      </c>
      <c r="AJ311" s="71">
        <f>IF($G311="",0,IF(AND(OR(fClient="All",$C311=fClient),OR(fCampaign="All",$D311=fCampaign),OR(fTeam="All",$B311=fTeam),OR(fChannel="All",$F311=fChannel)),1,0))</f>
        <v>0</v>
      </c>
      <c r="AK311" s="71">
        <f>IF($G311="",0,IF(OR($M311="Completed",$M311="Cancelled"),0,1))</f>
        <v>0</v>
      </c>
      <c r="AL311" s="71">
        <f>IF(AND($AK311=1,ISNUMBER($L311)),IF($L311&lt;ReportDate,1,0),0)</f>
        <v>0</v>
      </c>
      <c r="AM311" s="71">
        <f>IF(AND($G311&lt;&gt;"",$M311="Blocked"),1,0)</f>
        <v>0</v>
      </c>
      <c r="AN311" s="71">
        <f>IF(AND($AK311=1,ISNUMBER($L311)),IF($L311=ReportDate,1,0),0)</f>
        <v>0</v>
      </c>
      <c r="AO311" s="71">
        <f>IF(AND($AK311=1,ISNUMBER($L311)),IF($L311=ReportDate+1,1,0),0)</f>
        <v>0</v>
      </c>
      <c r="AP311" s="71">
        <f>IF(AND($AK311=1,ISNUMBER($L311)),IF(AND($L311&gt;=ReportDate,$L311&lt;=ReportDate+DueSoonDays),1,0),0)</f>
        <v>0</v>
      </c>
      <c r="AQ311" s="71">
        <f>IF(AND($AK311=1,OR($I311="Critical",$I311="High")),1,0)</f>
        <v>0</v>
      </c>
      <c r="AR311" s="71">
        <f>IF($AK311=1,IF(ISNUMBER($Y311),IF(ReportDate-$Y311&gt;StaleDays,1,0),1),0)</f>
        <v>0</v>
      </c>
      <c r="AS311" s="71">
        <f>IF(AND($G311&lt;&gt;"",ISNUMBER($Q311),ISNUMBER($R311)),IF(AND($Q311&lt;$R311,OR($M311="Completed",AND(ISNUMBER($L311),$L311&lt;ReportDate))),1,0),0)</f>
        <v>0</v>
      </c>
      <c r="AT311" s="71">
        <f>IF($AK311=1,IF(OR($L311=ReportDate,$W311=ReportDate,$K311=ReportDate,$A311=ReportDate),1,0),0)</f>
        <v>0</v>
      </c>
      <c r="AU311" s="71">
        <f>IF($AK311=1,IF(OR($L311=ReportDate+1,$W311=ReportDate+1,$K311=ReportDate+1,$A311=ReportDate+1),1,0),0)</f>
        <v>0</v>
      </c>
      <c r="AV311" s="71">
        <f>IF(AND($G311&lt;&gt;"",$M311="Completed"),IF(OR($Y311=ReportDate-1,$A311=ReportDate-1),1,0),0)</f>
        <v>0</v>
      </c>
      <c r="AW311" s="71">
        <f>IF(AND($AK311=1,$Z311="Yes"),1,0)</f>
        <v>0</v>
      </c>
      <c r="AX311" s="71">
        <f>IF(AND($AK311=1,$AA311="Yes"),1,0)</f>
        <v>0</v>
      </c>
      <c r="AY311" s="71">
        <f>IF(AND($AM311=1,OR($I311="Critical",$I311="High")),1,0)</f>
        <v>0</v>
      </c>
      <c r="AZ311" s="71">
        <f>IF(AND($AK311=1,OR($C311=TCL_Client,$C311=MECCA_Client)),1,0)</f>
        <v>0</v>
      </c>
      <c r="BA311" s="71" t="str">
        <f>IF($G311="","",IFERROR(MATCH($I311,lst_Priority,0),5))</f>
        <v/>
      </c>
      <c r="BB311" s="71" t="str">
        <f>IF(AND($AL311=1,$AJ311=1),$BA311*100000+ROW(),"")</f>
        <v/>
      </c>
      <c r="BC311" s="71" t="str">
        <f>IF(AND($AM311=1,$AJ311=1),$BA311*100000+ROW(),"")</f>
        <v/>
      </c>
      <c r="BD311" s="71" t="str">
        <f>IF(AND($AP311=1,$AJ311=1),$BA311*100000+ROW(),"")</f>
        <v/>
      </c>
      <c r="BE311" s="71" t="str">
        <f>IF(AND($AT311=1,$AJ311=1),$BA311*100000+ROW(),"")</f>
        <v/>
      </c>
      <c r="BF311" s="71" t="str">
        <f>IF(AND($AU311=1,$AJ311=1),$BA311*100000+ROW(),"")</f>
        <v/>
      </c>
      <c r="BG311" s="71" t="str">
        <f>IF(AND($AV311=1,$AJ311=1),$BA311*100000+ROW(),"")</f>
        <v/>
      </c>
      <c r="BH311" s="71" t="str">
        <f>IF(AND($AW311=1,$AJ311=1),$BA311*100000+ROW(),"")</f>
        <v/>
      </c>
      <c r="BI311" s="71" t="str">
        <f>IF(AND($AX311=1,$AJ311=1),$BA311*100000+ROW(),"")</f>
        <v/>
      </c>
      <c r="BJ311" s="71" t="str">
        <f>IF(AND($AS311=1,$AJ311=1),$BA311*100000+ROW(),"")</f>
        <v/>
      </c>
      <c r="BK311" s="71" t="str">
        <f>IF(AND($AY311=1,$AJ311=1),$BA311*100000+ROW(),"")</f>
        <v/>
      </c>
      <c r="BL311" s="71" t="str">
        <f>IF(AND($AZ311=1),$BA311*100000+ROW(),"")</f>
        <v/>
      </c>
    </row>
    <row r="312">
      <c r="A312" s="63" t="n"/>
      <c r="B312" s="64" t="n"/>
      <c r="C312" s="64" t="n"/>
      <c r="D312" s="64" t="n"/>
      <c r="E312" s="64" t="n"/>
      <c r="F312" s="64" t="n"/>
      <c r="G312" s="65" t="n"/>
      <c r="H312" s="65" t="n"/>
      <c r="I312" s="64" t="n"/>
      <c r="J312" s="64" t="n"/>
      <c r="K312" s="63" t="n"/>
      <c r="L312" s="63" t="n"/>
      <c r="M312" s="64" t="n"/>
      <c r="N312" s="66" t="n"/>
      <c r="O312" s="65" t="n"/>
      <c r="P312" s="64" t="n"/>
      <c r="Q312" s="67" t="n"/>
      <c r="R312" s="67" t="n"/>
      <c r="S312" s="68" t="str">
        <f>IF(AND(ISNUMBER($Q312),ISNUMBER($R312)),$Q312-$R312,"")</f>
        <v/>
      </c>
      <c r="T312" s="65" t="n"/>
      <c r="U312" s="64" t="n"/>
      <c r="V312" s="65" t="n"/>
      <c r="W312" s="63" t="n"/>
      <c r="X312" s="65" t="n"/>
      <c r="Y312" s="63" t="n"/>
      <c r="Z312" s="64" t="n"/>
      <c r="AA312" s="64" t="n"/>
      <c r="AB312" s="65" t="n"/>
      <c r="AC312" s="69" t="str">
        <f>IF(OR($G312="",NOT(ISNUMBER($K312)),$AK312=0),"",MAX(0,ReportDate-$K312))</f>
        <v/>
      </c>
      <c r="AD312" s="69" t="str">
        <f>IF($G312="","",IF($AL312=1,ReportDate-$L312,0))</f>
        <v/>
      </c>
      <c r="AE312" s="70" t="str">
        <f>IF($G312="","",IF($M312="Completed",1,IF(ISNUMBER($N312),$N312,0)))</f>
        <v/>
      </c>
      <c r="AF312" s="70" t="str">
        <f>IF(AND(ISNUMBER($Q312),ISNUMBER($R312)),IF($R312&lt;&gt;0,$Q312/$R312,""),"")</f>
        <v/>
      </c>
      <c r="AG312" s="71" t="str">
        <f>IF($G312="","",IF($AL312=1,"OVERDUE",IF($AM312=1,"BLOCKED",IF($AN312=1,"DUE TODAY",IF($AO312=1,"DUE TOMORROW",IF($AQ312=1,"HIGH PRIORITY",IF($AR312=1,"NO RECENT UPDATE",""))))))) </f>
        <v/>
      </c>
      <c r="AH312" s="71" t="str">
        <f>IF($G312="","",IF(ISNUMBER($A312),IF(ISNUMBER($A312),YEAR($A312)&amp;"-"&amp;TEXT(MONTH($A312),"00"),""),IF(ISNUMBER($L312),IF(ISNUMBER($L312),YEAR($L312)&amp;"-"&amp;TEXT(MONTH($L312),"00"),""),"")))</f>
        <v/>
      </c>
      <c r="AI312" s="71">
        <f>IF($G312="",0,IF(AND(OR(fClient="All",$C312=fClient),OR(fCampaign="All",$D312=fCampaign),OR(fTeam="All",$B312=fTeam),OR(fChannel="All",$F312=fChannel),OR(fMonth="All",$AH312=fMonth),OR(fTStatus="All",$M312=fTStatus)),1,0))</f>
        <v>0</v>
      </c>
      <c r="AJ312" s="71">
        <f>IF($G312="",0,IF(AND(OR(fClient="All",$C312=fClient),OR(fCampaign="All",$D312=fCampaign),OR(fTeam="All",$B312=fTeam),OR(fChannel="All",$F312=fChannel)),1,0))</f>
        <v>0</v>
      </c>
      <c r="AK312" s="71">
        <f>IF($G312="",0,IF(OR($M312="Completed",$M312="Cancelled"),0,1))</f>
        <v>0</v>
      </c>
      <c r="AL312" s="71">
        <f>IF(AND($AK312=1,ISNUMBER($L312)),IF($L312&lt;ReportDate,1,0),0)</f>
        <v>0</v>
      </c>
      <c r="AM312" s="71">
        <f>IF(AND($G312&lt;&gt;"",$M312="Blocked"),1,0)</f>
        <v>0</v>
      </c>
      <c r="AN312" s="71">
        <f>IF(AND($AK312=1,ISNUMBER($L312)),IF($L312=ReportDate,1,0),0)</f>
        <v>0</v>
      </c>
      <c r="AO312" s="71">
        <f>IF(AND($AK312=1,ISNUMBER($L312)),IF($L312=ReportDate+1,1,0),0)</f>
        <v>0</v>
      </c>
      <c r="AP312" s="71">
        <f>IF(AND($AK312=1,ISNUMBER($L312)),IF(AND($L312&gt;=ReportDate,$L312&lt;=ReportDate+DueSoonDays),1,0),0)</f>
        <v>0</v>
      </c>
      <c r="AQ312" s="71">
        <f>IF(AND($AK312=1,OR($I312="Critical",$I312="High")),1,0)</f>
        <v>0</v>
      </c>
      <c r="AR312" s="71">
        <f>IF($AK312=1,IF(ISNUMBER($Y312),IF(ReportDate-$Y312&gt;StaleDays,1,0),1),0)</f>
        <v>0</v>
      </c>
      <c r="AS312" s="71">
        <f>IF(AND($G312&lt;&gt;"",ISNUMBER($Q312),ISNUMBER($R312)),IF(AND($Q312&lt;$R312,OR($M312="Completed",AND(ISNUMBER($L312),$L312&lt;ReportDate))),1,0),0)</f>
        <v>0</v>
      </c>
      <c r="AT312" s="71">
        <f>IF($AK312=1,IF(OR($L312=ReportDate,$W312=ReportDate,$K312=ReportDate,$A312=ReportDate),1,0),0)</f>
        <v>0</v>
      </c>
      <c r="AU312" s="71">
        <f>IF($AK312=1,IF(OR($L312=ReportDate+1,$W312=ReportDate+1,$K312=ReportDate+1,$A312=ReportDate+1),1,0),0)</f>
        <v>0</v>
      </c>
      <c r="AV312" s="71">
        <f>IF(AND($G312&lt;&gt;"",$M312="Completed"),IF(OR($Y312=ReportDate-1,$A312=ReportDate-1),1,0),0)</f>
        <v>0</v>
      </c>
      <c r="AW312" s="71">
        <f>IF(AND($AK312=1,$Z312="Yes"),1,0)</f>
        <v>0</v>
      </c>
      <c r="AX312" s="71">
        <f>IF(AND($AK312=1,$AA312="Yes"),1,0)</f>
        <v>0</v>
      </c>
      <c r="AY312" s="71">
        <f>IF(AND($AM312=1,OR($I312="Critical",$I312="High")),1,0)</f>
        <v>0</v>
      </c>
      <c r="AZ312" s="71">
        <f>IF(AND($AK312=1,OR($C312=TCL_Client,$C312=MECCA_Client)),1,0)</f>
        <v>0</v>
      </c>
      <c r="BA312" s="71" t="str">
        <f>IF($G312="","",IFERROR(MATCH($I312,lst_Priority,0),5))</f>
        <v/>
      </c>
      <c r="BB312" s="71" t="str">
        <f>IF(AND($AL312=1,$AJ312=1),$BA312*100000+ROW(),"")</f>
        <v/>
      </c>
      <c r="BC312" s="71" t="str">
        <f>IF(AND($AM312=1,$AJ312=1),$BA312*100000+ROW(),"")</f>
        <v/>
      </c>
      <c r="BD312" s="71" t="str">
        <f>IF(AND($AP312=1,$AJ312=1),$BA312*100000+ROW(),"")</f>
        <v/>
      </c>
      <c r="BE312" s="71" t="str">
        <f>IF(AND($AT312=1,$AJ312=1),$BA312*100000+ROW(),"")</f>
        <v/>
      </c>
      <c r="BF312" s="71" t="str">
        <f>IF(AND($AU312=1,$AJ312=1),$BA312*100000+ROW(),"")</f>
        <v/>
      </c>
      <c r="BG312" s="71" t="str">
        <f>IF(AND($AV312=1,$AJ312=1),$BA312*100000+ROW(),"")</f>
        <v/>
      </c>
      <c r="BH312" s="71" t="str">
        <f>IF(AND($AW312=1,$AJ312=1),$BA312*100000+ROW(),"")</f>
        <v/>
      </c>
      <c r="BI312" s="71" t="str">
        <f>IF(AND($AX312=1,$AJ312=1),$BA312*100000+ROW(),"")</f>
        <v/>
      </c>
      <c r="BJ312" s="71" t="str">
        <f>IF(AND($AS312=1,$AJ312=1),$BA312*100000+ROW(),"")</f>
        <v/>
      </c>
      <c r="BK312" s="71" t="str">
        <f>IF(AND($AY312=1,$AJ312=1),$BA312*100000+ROW(),"")</f>
        <v/>
      </c>
      <c r="BL312" s="71" t="str">
        <f>IF(AND($AZ312=1),$BA312*100000+ROW(),"")</f>
        <v/>
      </c>
    </row>
    <row r="313">
      <c r="A313" s="63" t="n"/>
      <c r="B313" s="64" t="n"/>
      <c r="C313" s="64" t="n"/>
      <c r="D313" s="64" t="n"/>
      <c r="E313" s="64" t="n"/>
      <c r="F313" s="64" t="n"/>
      <c r="G313" s="65" t="n"/>
      <c r="H313" s="65" t="n"/>
      <c r="I313" s="64" t="n"/>
      <c r="J313" s="64" t="n"/>
      <c r="K313" s="63" t="n"/>
      <c r="L313" s="63" t="n"/>
      <c r="M313" s="64" t="n"/>
      <c r="N313" s="66" t="n"/>
      <c r="O313" s="65" t="n"/>
      <c r="P313" s="64" t="n"/>
      <c r="Q313" s="67" t="n"/>
      <c r="R313" s="67" t="n"/>
      <c r="S313" s="68" t="str">
        <f>IF(AND(ISNUMBER($Q313),ISNUMBER($R313)),$Q313-$R313,"")</f>
        <v/>
      </c>
      <c r="T313" s="65" t="n"/>
      <c r="U313" s="64" t="n"/>
      <c r="V313" s="65" t="n"/>
      <c r="W313" s="63" t="n"/>
      <c r="X313" s="65" t="n"/>
      <c r="Y313" s="63" t="n"/>
      <c r="Z313" s="64" t="n"/>
      <c r="AA313" s="64" t="n"/>
      <c r="AB313" s="65" t="n"/>
      <c r="AC313" s="69" t="str">
        <f>IF(OR($G313="",NOT(ISNUMBER($K313)),$AK313=0),"",MAX(0,ReportDate-$K313))</f>
        <v/>
      </c>
      <c r="AD313" s="69" t="str">
        <f>IF($G313="","",IF($AL313=1,ReportDate-$L313,0))</f>
        <v/>
      </c>
      <c r="AE313" s="70" t="str">
        <f>IF($G313="","",IF($M313="Completed",1,IF(ISNUMBER($N313),$N313,0)))</f>
        <v/>
      </c>
      <c r="AF313" s="70" t="str">
        <f>IF(AND(ISNUMBER($Q313),ISNUMBER($R313)),IF($R313&lt;&gt;0,$Q313/$R313,""),"")</f>
        <v/>
      </c>
      <c r="AG313" s="71" t="str">
        <f>IF($G313="","",IF($AL313=1,"OVERDUE",IF($AM313=1,"BLOCKED",IF($AN313=1,"DUE TODAY",IF($AO313=1,"DUE TOMORROW",IF($AQ313=1,"HIGH PRIORITY",IF($AR313=1,"NO RECENT UPDATE",""))))))) </f>
        <v/>
      </c>
      <c r="AH313" s="71" t="str">
        <f>IF($G313="","",IF(ISNUMBER($A313),IF(ISNUMBER($A313),YEAR($A313)&amp;"-"&amp;TEXT(MONTH($A313),"00"),""),IF(ISNUMBER($L313),IF(ISNUMBER($L313),YEAR($L313)&amp;"-"&amp;TEXT(MONTH($L313),"00"),""),"")))</f>
        <v/>
      </c>
      <c r="AI313" s="71">
        <f>IF($G313="",0,IF(AND(OR(fClient="All",$C313=fClient),OR(fCampaign="All",$D313=fCampaign),OR(fTeam="All",$B313=fTeam),OR(fChannel="All",$F313=fChannel),OR(fMonth="All",$AH313=fMonth),OR(fTStatus="All",$M313=fTStatus)),1,0))</f>
        <v>0</v>
      </c>
      <c r="AJ313" s="71">
        <f>IF($G313="",0,IF(AND(OR(fClient="All",$C313=fClient),OR(fCampaign="All",$D313=fCampaign),OR(fTeam="All",$B313=fTeam),OR(fChannel="All",$F313=fChannel)),1,0))</f>
        <v>0</v>
      </c>
      <c r="AK313" s="71">
        <f>IF($G313="",0,IF(OR($M313="Completed",$M313="Cancelled"),0,1))</f>
        <v>0</v>
      </c>
      <c r="AL313" s="71">
        <f>IF(AND($AK313=1,ISNUMBER($L313)),IF($L313&lt;ReportDate,1,0),0)</f>
        <v>0</v>
      </c>
      <c r="AM313" s="71">
        <f>IF(AND($G313&lt;&gt;"",$M313="Blocked"),1,0)</f>
        <v>0</v>
      </c>
      <c r="AN313" s="71">
        <f>IF(AND($AK313=1,ISNUMBER($L313)),IF($L313=ReportDate,1,0),0)</f>
        <v>0</v>
      </c>
      <c r="AO313" s="71">
        <f>IF(AND($AK313=1,ISNUMBER($L313)),IF($L313=ReportDate+1,1,0),0)</f>
        <v>0</v>
      </c>
      <c r="AP313" s="71">
        <f>IF(AND($AK313=1,ISNUMBER($L313)),IF(AND($L313&gt;=ReportDate,$L313&lt;=ReportDate+DueSoonDays),1,0),0)</f>
        <v>0</v>
      </c>
      <c r="AQ313" s="71">
        <f>IF(AND($AK313=1,OR($I313="Critical",$I313="High")),1,0)</f>
        <v>0</v>
      </c>
      <c r="AR313" s="71">
        <f>IF($AK313=1,IF(ISNUMBER($Y313),IF(ReportDate-$Y313&gt;StaleDays,1,0),1),0)</f>
        <v>0</v>
      </c>
      <c r="AS313" s="71">
        <f>IF(AND($G313&lt;&gt;"",ISNUMBER($Q313),ISNUMBER($R313)),IF(AND($Q313&lt;$R313,OR($M313="Completed",AND(ISNUMBER($L313),$L313&lt;ReportDate))),1,0),0)</f>
        <v>0</v>
      </c>
      <c r="AT313" s="71">
        <f>IF($AK313=1,IF(OR($L313=ReportDate,$W313=ReportDate,$K313=ReportDate,$A313=ReportDate),1,0),0)</f>
        <v>0</v>
      </c>
      <c r="AU313" s="71">
        <f>IF($AK313=1,IF(OR($L313=ReportDate+1,$W313=ReportDate+1,$K313=ReportDate+1,$A313=ReportDate+1),1,0),0)</f>
        <v>0</v>
      </c>
      <c r="AV313" s="71">
        <f>IF(AND($G313&lt;&gt;"",$M313="Completed"),IF(OR($Y313=ReportDate-1,$A313=ReportDate-1),1,0),0)</f>
        <v>0</v>
      </c>
      <c r="AW313" s="71">
        <f>IF(AND($AK313=1,$Z313="Yes"),1,0)</f>
        <v>0</v>
      </c>
      <c r="AX313" s="71">
        <f>IF(AND($AK313=1,$AA313="Yes"),1,0)</f>
        <v>0</v>
      </c>
      <c r="AY313" s="71">
        <f>IF(AND($AM313=1,OR($I313="Critical",$I313="High")),1,0)</f>
        <v>0</v>
      </c>
      <c r="AZ313" s="71">
        <f>IF(AND($AK313=1,OR($C313=TCL_Client,$C313=MECCA_Client)),1,0)</f>
        <v>0</v>
      </c>
      <c r="BA313" s="71" t="str">
        <f>IF($G313="","",IFERROR(MATCH($I313,lst_Priority,0),5))</f>
        <v/>
      </c>
      <c r="BB313" s="71" t="str">
        <f>IF(AND($AL313=1,$AJ313=1),$BA313*100000+ROW(),"")</f>
        <v/>
      </c>
      <c r="BC313" s="71" t="str">
        <f>IF(AND($AM313=1,$AJ313=1),$BA313*100000+ROW(),"")</f>
        <v/>
      </c>
      <c r="BD313" s="71" t="str">
        <f>IF(AND($AP313=1,$AJ313=1),$BA313*100000+ROW(),"")</f>
        <v/>
      </c>
      <c r="BE313" s="71" t="str">
        <f>IF(AND($AT313=1,$AJ313=1),$BA313*100000+ROW(),"")</f>
        <v/>
      </c>
      <c r="BF313" s="71" t="str">
        <f>IF(AND($AU313=1,$AJ313=1),$BA313*100000+ROW(),"")</f>
        <v/>
      </c>
      <c r="BG313" s="71" t="str">
        <f>IF(AND($AV313=1,$AJ313=1),$BA313*100000+ROW(),"")</f>
        <v/>
      </c>
      <c r="BH313" s="71" t="str">
        <f>IF(AND($AW313=1,$AJ313=1),$BA313*100000+ROW(),"")</f>
        <v/>
      </c>
      <c r="BI313" s="71" t="str">
        <f>IF(AND($AX313=1,$AJ313=1),$BA313*100000+ROW(),"")</f>
        <v/>
      </c>
      <c r="BJ313" s="71" t="str">
        <f>IF(AND($AS313=1,$AJ313=1),$BA313*100000+ROW(),"")</f>
        <v/>
      </c>
      <c r="BK313" s="71" t="str">
        <f>IF(AND($AY313=1,$AJ313=1),$BA313*100000+ROW(),"")</f>
        <v/>
      </c>
      <c r="BL313" s="71" t="str">
        <f>IF(AND($AZ313=1),$BA313*100000+ROW(),"")</f>
        <v/>
      </c>
    </row>
    <row r="314">
      <c r="A314" s="63" t="n"/>
      <c r="B314" s="64" t="n"/>
      <c r="C314" s="64" t="n"/>
      <c r="D314" s="64" t="n"/>
      <c r="E314" s="64" t="n"/>
      <c r="F314" s="64" t="n"/>
      <c r="G314" s="65" t="n"/>
      <c r="H314" s="65" t="n"/>
      <c r="I314" s="64" t="n"/>
      <c r="J314" s="64" t="n"/>
      <c r="K314" s="63" t="n"/>
      <c r="L314" s="63" t="n"/>
      <c r="M314" s="64" t="n"/>
      <c r="N314" s="66" t="n"/>
      <c r="O314" s="65" t="n"/>
      <c r="P314" s="64" t="n"/>
      <c r="Q314" s="67" t="n"/>
      <c r="R314" s="67" t="n"/>
      <c r="S314" s="68" t="str">
        <f>IF(AND(ISNUMBER($Q314),ISNUMBER($R314)),$Q314-$R314,"")</f>
        <v/>
      </c>
      <c r="T314" s="65" t="n"/>
      <c r="U314" s="64" t="n"/>
      <c r="V314" s="65" t="n"/>
      <c r="W314" s="63" t="n"/>
      <c r="X314" s="65" t="n"/>
      <c r="Y314" s="63" t="n"/>
      <c r="Z314" s="64" t="n"/>
      <c r="AA314" s="64" t="n"/>
      <c r="AB314" s="65" t="n"/>
      <c r="AC314" s="69" t="str">
        <f>IF(OR($G314="",NOT(ISNUMBER($K314)),$AK314=0),"",MAX(0,ReportDate-$K314))</f>
        <v/>
      </c>
      <c r="AD314" s="69" t="str">
        <f>IF($G314="","",IF($AL314=1,ReportDate-$L314,0))</f>
        <v/>
      </c>
      <c r="AE314" s="70" t="str">
        <f>IF($G314="","",IF($M314="Completed",1,IF(ISNUMBER($N314),$N314,0)))</f>
        <v/>
      </c>
      <c r="AF314" s="70" t="str">
        <f>IF(AND(ISNUMBER($Q314),ISNUMBER($R314)),IF($R314&lt;&gt;0,$Q314/$R314,""),"")</f>
        <v/>
      </c>
      <c r="AG314" s="71" t="str">
        <f>IF($G314="","",IF($AL314=1,"OVERDUE",IF($AM314=1,"BLOCKED",IF($AN314=1,"DUE TODAY",IF($AO314=1,"DUE TOMORROW",IF($AQ314=1,"HIGH PRIORITY",IF($AR314=1,"NO RECENT UPDATE",""))))))) </f>
        <v/>
      </c>
      <c r="AH314" s="71" t="str">
        <f>IF($G314="","",IF(ISNUMBER($A314),IF(ISNUMBER($A314),YEAR($A314)&amp;"-"&amp;TEXT(MONTH($A314),"00"),""),IF(ISNUMBER($L314),IF(ISNUMBER($L314),YEAR($L314)&amp;"-"&amp;TEXT(MONTH($L314),"00"),""),"")))</f>
        <v/>
      </c>
      <c r="AI314" s="71">
        <f>IF($G314="",0,IF(AND(OR(fClient="All",$C314=fClient),OR(fCampaign="All",$D314=fCampaign),OR(fTeam="All",$B314=fTeam),OR(fChannel="All",$F314=fChannel),OR(fMonth="All",$AH314=fMonth),OR(fTStatus="All",$M314=fTStatus)),1,0))</f>
        <v>0</v>
      </c>
      <c r="AJ314" s="71">
        <f>IF($G314="",0,IF(AND(OR(fClient="All",$C314=fClient),OR(fCampaign="All",$D314=fCampaign),OR(fTeam="All",$B314=fTeam),OR(fChannel="All",$F314=fChannel)),1,0))</f>
        <v>0</v>
      </c>
      <c r="AK314" s="71">
        <f>IF($G314="",0,IF(OR($M314="Completed",$M314="Cancelled"),0,1))</f>
        <v>0</v>
      </c>
      <c r="AL314" s="71">
        <f>IF(AND($AK314=1,ISNUMBER($L314)),IF($L314&lt;ReportDate,1,0),0)</f>
        <v>0</v>
      </c>
      <c r="AM314" s="71">
        <f>IF(AND($G314&lt;&gt;"",$M314="Blocked"),1,0)</f>
        <v>0</v>
      </c>
      <c r="AN314" s="71">
        <f>IF(AND($AK314=1,ISNUMBER($L314)),IF($L314=ReportDate,1,0),0)</f>
        <v>0</v>
      </c>
      <c r="AO314" s="71">
        <f>IF(AND($AK314=1,ISNUMBER($L314)),IF($L314=ReportDate+1,1,0),0)</f>
        <v>0</v>
      </c>
      <c r="AP314" s="71">
        <f>IF(AND($AK314=1,ISNUMBER($L314)),IF(AND($L314&gt;=ReportDate,$L314&lt;=ReportDate+DueSoonDays),1,0),0)</f>
        <v>0</v>
      </c>
      <c r="AQ314" s="71">
        <f>IF(AND($AK314=1,OR($I314="Critical",$I314="High")),1,0)</f>
        <v>0</v>
      </c>
      <c r="AR314" s="71">
        <f>IF($AK314=1,IF(ISNUMBER($Y314),IF(ReportDate-$Y314&gt;StaleDays,1,0),1),0)</f>
        <v>0</v>
      </c>
      <c r="AS314" s="71">
        <f>IF(AND($G314&lt;&gt;"",ISNUMBER($Q314),ISNUMBER($R314)),IF(AND($Q314&lt;$R314,OR($M314="Completed",AND(ISNUMBER($L314),$L314&lt;ReportDate))),1,0),0)</f>
        <v>0</v>
      </c>
      <c r="AT314" s="71">
        <f>IF($AK314=1,IF(OR($L314=ReportDate,$W314=ReportDate,$K314=ReportDate,$A314=ReportDate),1,0),0)</f>
        <v>0</v>
      </c>
      <c r="AU314" s="71">
        <f>IF($AK314=1,IF(OR($L314=ReportDate+1,$W314=ReportDate+1,$K314=ReportDate+1,$A314=ReportDate+1),1,0),0)</f>
        <v>0</v>
      </c>
      <c r="AV314" s="71">
        <f>IF(AND($G314&lt;&gt;"",$M314="Completed"),IF(OR($Y314=ReportDate-1,$A314=ReportDate-1),1,0),0)</f>
        <v>0</v>
      </c>
      <c r="AW314" s="71">
        <f>IF(AND($AK314=1,$Z314="Yes"),1,0)</f>
        <v>0</v>
      </c>
      <c r="AX314" s="71">
        <f>IF(AND($AK314=1,$AA314="Yes"),1,0)</f>
        <v>0</v>
      </c>
      <c r="AY314" s="71">
        <f>IF(AND($AM314=1,OR($I314="Critical",$I314="High")),1,0)</f>
        <v>0</v>
      </c>
      <c r="AZ314" s="71">
        <f>IF(AND($AK314=1,OR($C314=TCL_Client,$C314=MECCA_Client)),1,0)</f>
        <v>0</v>
      </c>
      <c r="BA314" s="71" t="str">
        <f>IF($G314="","",IFERROR(MATCH($I314,lst_Priority,0),5))</f>
        <v/>
      </c>
      <c r="BB314" s="71" t="str">
        <f>IF(AND($AL314=1,$AJ314=1),$BA314*100000+ROW(),"")</f>
        <v/>
      </c>
      <c r="BC314" s="71" t="str">
        <f>IF(AND($AM314=1,$AJ314=1),$BA314*100000+ROW(),"")</f>
        <v/>
      </c>
      <c r="BD314" s="71" t="str">
        <f>IF(AND($AP314=1,$AJ314=1),$BA314*100000+ROW(),"")</f>
        <v/>
      </c>
      <c r="BE314" s="71" t="str">
        <f>IF(AND($AT314=1,$AJ314=1),$BA314*100000+ROW(),"")</f>
        <v/>
      </c>
      <c r="BF314" s="71" t="str">
        <f>IF(AND($AU314=1,$AJ314=1),$BA314*100000+ROW(),"")</f>
        <v/>
      </c>
      <c r="BG314" s="71" t="str">
        <f>IF(AND($AV314=1,$AJ314=1),$BA314*100000+ROW(),"")</f>
        <v/>
      </c>
      <c r="BH314" s="71" t="str">
        <f>IF(AND($AW314=1,$AJ314=1),$BA314*100000+ROW(),"")</f>
        <v/>
      </c>
      <c r="BI314" s="71" t="str">
        <f>IF(AND($AX314=1,$AJ314=1),$BA314*100000+ROW(),"")</f>
        <v/>
      </c>
      <c r="BJ314" s="71" t="str">
        <f>IF(AND($AS314=1,$AJ314=1),$BA314*100000+ROW(),"")</f>
        <v/>
      </c>
      <c r="BK314" s="71" t="str">
        <f>IF(AND($AY314=1,$AJ314=1),$BA314*100000+ROW(),"")</f>
        <v/>
      </c>
      <c r="BL314" s="71" t="str">
        <f>IF(AND($AZ314=1),$BA314*100000+ROW(),"")</f>
        <v/>
      </c>
    </row>
    <row r="315">
      <c r="A315" s="63" t="n"/>
      <c r="B315" s="64" t="n"/>
      <c r="C315" s="64" t="n"/>
      <c r="D315" s="64" t="n"/>
      <c r="E315" s="64" t="n"/>
      <c r="F315" s="64" t="n"/>
      <c r="G315" s="65" t="n"/>
      <c r="H315" s="65" t="n"/>
      <c r="I315" s="64" t="n"/>
      <c r="J315" s="64" t="n"/>
      <c r="K315" s="63" t="n"/>
      <c r="L315" s="63" t="n"/>
      <c r="M315" s="64" t="n"/>
      <c r="N315" s="66" t="n"/>
      <c r="O315" s="65" t="n"/>
      <c r="P315" s="64" t="n"/>
      <c r="Q315" s="67" t="n"/>
      <c r="R315" s="67" t="n"/>
      <c r="S315" s="68" t="str">
        <f>IF(AND(ISNUMBER($Q315),ISNUMBER($R315)),$Q315-$R315,"")</f>
        <v/>
      </c>
      <c r="T315" s="65" t="n"/>
      <c r="U315" s="64" t="n"/>
      <c r="V315" s="65" t="n"/>
      <c r="W315" s="63" t="n"/>
      <c r="X315" s="65" t="n"/>
      <c r="Y315" s="63" t="n"/>
      <c r="Z315" s="64" t="n"/>
      <c r="AA315" s="64" t="n"/>
      <c r="AB315" s="65" t="n"/>
      <c r="AC315" s="69" t="str">
        <f>IF(OR($G315="",NOT(ISNUMBER($K315)),$AK315=0),"",MAX(0,ReportDate-$K315))</f>
        <v/>
      </c>
      <c r="AD315" s="69" t="str">
        <f>IF($G315="","",IF($AL315=1,ReportDate-$L315,0))</f>
        <v/>
      </c>
      <c r="AE315" s="70" t="str">
        <f>IF($G315="","",IF($M315="Completed",1,IF(ISNUMBER($N315),$N315,0)))</f>
        <v/>
      </c>
      <c r="AF315" s="70" t="str">
        <f>IF(AND(ISNUMBER($Q315),ISNUMBER($R315)),IF($R315&lt;&gt;0,$Q315/$R315,""),"")</f>
        <v/>
      </c>
      <c r="AG315" s="71" t="str">
        <f>IF($G315="","",IF($AL315=1,"OVERDUE",IF($AM315=1,"BLOCKED",IF($AN315=1,"DUE TODAY",IF($AO315=1,"DUE TOMORROW",IF($AQ315=1,"HIGH PRIORITY",IF($AR315=1,"NO RECENT UPDATE",""))))))) </f>
        <v/>
      </c>
      <c r="AH315" s="71" t="str">
        <f>IF($G315="","",IF(ISNUMBER($A315),IF(ISNUMBER($A315),YEAR($A315)&amp;"-"&amp;TEXT(MONTH($A315),"00"),""),IF(ISNUMBER($L315),IF(ISNUMBER($L315),YEAR($L315)&amp;"-"&amp;TEXT(MONTH($L315),"00"),""),"")))</f>
        <v/>
      </c>
      <c r="AI315" s="71">
        <f>IF($G315="",0,IF(AND(OR(fClient="All",$C315=fClient),OR(fCampaign="All",$D315=fCampaign),OR(fTeam="All",$B315=fTeam),OR(fChannel="All",$F315=fChannel),OR(fMonth="All",$AH315=fMonth),OR(fTStatus="All",$M315=fTStatus)),1,0))</f>
        <v>0</v>
      </c>
      <c r="AJ315" s="71">
        <f>IF($G315="",0,IF(AND(OR(fClient="All",$C315=fClient),OR(fCampaign="All",$D315=fCampaign),OR(fTeam="All",$B315=fTeam),OR(fChannel="All",$F315=fChannel)),1,0))</f>
        <v>0</v>
      </c>
      <c r="AK315" s="71">
        <f>IF($G315="",0,IF(OR($M315="Completed",$M315="Cancelled"),0,1))</f>
        <v>0</v>
      </c>
      <c r="AL315" s="71">
        <f>IF(AND($AK315=1,ISNUMBER($L315)),IF($L315&lt;ReportDate,1,0),0)</f>
        <v>0</v>
      </c>
      <c r="AM315" s="71">
        <f>IF(AND($G315&lt;&gt;"",$M315="Blocked"),1,0)</f>
        <v>0</v>
      </c>
      <c r="AN315" s="71">
        <f>IF(AND($AK315=1,ISNUMBER($L315)),IF($L315=ReportDate,1,0),0)</f>
        <v>0</v>
      </c>
      <c r="AO315" s="71">
        <f>IF(AND($AK315=1,ISNUMBER($L315)),IF($L315=ReportDate+1,1,0),0)</f>
        <v>0</v>
      </c>
      <c r="AP315" s="71">
        <f>IF(AND($AK315=1,ISNUMBER($L315)),IF(AND($L315&gt;=ReportDate,$L315&lt;=ReportDate+DueSoonDays),1,0),0)</f>
        <v>0</v>
      </c>
      <c r="AQ315" s="71">
        <f>IF(AND($AK315=1,OR($I315="Critical",$I315="High")),1,0)</f>
        <v>0</v>
      </c>
      <c r="AR315" s="71">
        <f>IF($AK315=1,IF(ISNUMBER($Y315),IF(ReportDate-$Y315&gt;StaleDays,1,0),1),0)</f>
        <v>0</v>
      </c>
      <c r="AS315" s="71">
        <f>IF(AND($G315&lt;&gt;"",ISNUMBER($Q315),ISNUMBER($R315)),IF(AND($Q315&lt;$R315,OR($M315="Completed",AND(ISNUMBER($L315),$L315&lt;ReportDate))),1,0),0)</f>
        <v>0</v>
      </c>
      <c r="AT315" s="71">
        <f>IF($AK315=1,IF(OR($L315=ReportDate,$W315=ReportDate,$K315=ReportDate,$A315=ReportDate),1,0),0)</f>
        <v>0</v>
      </c>
      <c r="AU315" s="71">
        <f>IF($AK315=1,IF(OR($L315=ReportDate+1,$W315=ReportDate+1,$K315=ReportDate+1,$A315=ReportDate+1),1,0),0)</f>
        <v>0</v>
      </c>
      <c r="AV315" s="71">
        <f>IF(AND($G315&lt;&gt;"",$M315="Completed"),IF(OR($Y315=ReportDate-1,$A315=ReportDate-1),1,0),0)</f>
        <v>0</v>
      </c>
      <c r="AW315" s="71">
        <f>IF(AND($AK315=1,$Z315="Yes"),1,0)</f>
        <v>0</v>
      </c>
      <c r="AX315" s="71">
        <f>IF(AND($AK315=1,$AA315="Yes"),1,0)</f>
        <v>0</v>
      </c>
      <c r="AY315" s="71">
        <f>IF(AND($AM315=1,OR($I315="Critical",$I315="High")),1,0)</f>
        <v>0</v>
      </c>
      <c r="AZ315" s="71">
        <f>IF(AND($AK315=1,OR($C315=TCL_Client,$C315=MECCA_Client)),1,0)</f>
        <v>0</v>
      </c>
      <c r="BA315" s="71" t="str">
        <f>IF($G315="","",IFERROR(MATCH($I315,lst_Priority,0),5))</f>
        <v/>
      </c>
      <c r="BB315" s="71" t="str">
        <f>IF(AND($AL315=1,$AJ315=1),$BA315*100000+ROW(),"")</f>
        <v/>
      </c>
      <c r="BC315" s="71" t="str">
        <f>IF(AND($AM315=1,$AJ315=1),$BA315*100000+ROW(),"")</f>
        <v/>
      </c>
      <c r="BD315" s="71" t="str">
        <f>IF(AND($AP315=1,$AJ315=1),$BA315*100000+ROW(),"")</f>
        <v/>
      </c>
      <c r="BE315" s="71" t="str">
        <f>IF(AND($AT315=1,$AJ315=1),$BA315*100000+ROW(),"")</f>
        <v/>
      </c>
      <c r="BF315" s="71" t="str">
        <f>IF(AND($AU315=1,$AJ315=1),$BA315*100000+ROW(),"")</f>
        <v/>
      </c>
      <c r="BG315" s="71" t="str">
        <f>IF(AND($AV315=1,$AJ315=1),$BA315*100000+ROW(),"")</f>
        <v/>
      </c>
      <c r="BH315" s="71" t="str">
        <f>IF(AND($AW315=1,$AJ315=1),$BA315*100000+ROW(),"")</f>
        <v/>
      </c>
      <c r="BI315" s="71" t="str">
        <f>IF(AND($AX315=1,$AJ315=1),$BA315*100000+ROW(),"")</f>
        <v/>
      </c>
      <c r="BJ315" s="71" t="str">
        <f>IF(AND($AS315=1,$AJ315=1),$BA315*100000+ROW(),"")</f>
        <v/>
      </c>
      <c r="BK315" s="71" t="str">
        <f>IF(AND($AY315=1,$AJ315=1),$BA315*100000+ROW(),"")</f>
        <v/>
      </c>
      <c r="BL315" s="71" t="str">
        <f>IF(AND($AZ315=1),$BA315*100000+ROW(),"")</f>
        <v/>
      </c>
    </row>
    <row r="316">
      <c r="A316" s="63" t="n"/>
      <c r="B316" s="64" t="n"/>
      <c r="C316" s="64" t="n"/>
      <c r="D316" s="64" t="n"/>
      <c r="E316" s="64" t="n"/>
      <c r="F316" s="64" t="n"/>
      <c r="G316" s="65" t="n"/>
      <c r="H316" s="65" t="n"/>
      <c r="I316" s="64" t="n"/>
      <c r="J316" s="64" t="n"/>
      <c r="K316" s="63" t="n"/>
      <c r="L316" s="63" t="n"/>
      <c r="M316" s="64" t="n"/>
      <c r="N316" s="66" t="n"/>
      <c r="O316" s="65" t="n"/>
      <c r="P316" s="64" t="n"/>
      <c r="Q316" s="67" t="n"/>
      <c r="R316" s="67" t="n"/>
      <c r="S316" s="68" t="str">
        <f>IF(AND(ISNUMBER($Q316),ISNUMBER($R316)),$Q316-$R316,"")</f>
        <v/>
      </c>
      <c r="T316" s="65" t="n"/>
      <c r="U316" s="64" t="n"/>
      <c r="V316" s="65" t="n"/>
      <c r="W316" s="63" t="n"/>
      <c r="X316" s="65" t="n"/>
      <c r="Y316" s="63" t="n"/>
      <c r="Z316" s="64" t="n"/>
      <c r="AA316" s="64" t="n"/>
      <c r="AB316" s="65" t="n"/>
      <c r="AC316" s="69" t="str">
        <f>IF(OR($G316="",NOT(ISNUMBER($K316)),$AK316=0),"",MAX(0,ReportDate-$K316))</f>
        <v/>
      </c>
      <c r="AD316" s="69" t="str">
        <f>IF($G316="","",IF($AL316=1,ReportDate-$L316,0))</f>
        <v/>
      </c>
      <c r="AE316" s="70" t="str">
        <f>IF($G316="","",IF($M316="Completed",1,IF(ISNUMBER($N316),$N316,0)))</f>
        <v/>
      </c>
      <c r="AF316" s="70" t="str">
        <f>IF(AND(ISNUMBER($Q316),ISNUMBER($R316)),IF($R316&lt;&gt;0,$Q316/$R316,""),"")</f>
        <v/>
      </c>
      <c r="AG316" s="71" t="str">
        <f>IF($G316="","",IF($AL316=1,"OVERDUE",IF($AM316=1,"BLOCKED",IF($AN316=1,"DUE TODAY",IF($AO316=1,"DUE TOMORROW",IF($AQ316=1,"HIGH PRIORITY",IF($AR316=1,"NO RECENT UPDATE",""))))))) </f>
        <v/>
      </c>
      <c r="AH316" s="71" t="str">
        <f>IF($G316="","",IF(ISNUMBER($A316),IF(ISNUMBER($A316),YEAR($A316)&amp;"-"&amp;TEXT(MONTH($A316),"00"),""),IF(ISNUMBER($L316),IF(ISNUMBER($L316),YEAR($L316)&amp;"-"&amp;TEXT(MONTH($L316),"00"),""),"")))</f>
        <v/>
      </c>
      <c r="AI316" s="71">
        <f>IF($G316="",0,IF(AND(OR(fClient="All",$C316=fClient),OR(fCampaign="All",$D316=fCampaign),OR(fTeam="All",$B316=fTeam),OR(fChannel="All",$F316=fChannel),OR(fMonth="All",$AH316=fMonth),OR(fTStatus="All",$M316=fTStatus)),1,0))</f>
        <v>0</v>
      </c>
      <c r="AJ316" s="71">
        <f>IF($G316="",0,IF(AND(OR(fClient="All",$C316=fClient),OR(fCampaign="All",$D316=fCampaign),OR(fTeam="All",$B316=fTeam),OR(fChannel="All",$F316=fChannel)),1,0))</f>
        <v>0</v>
      </c>
      <c r="AK316" s="71">
        <f>IF($G316="",0,IF(OR($M316="Completed",$M316="Cancelled"),0,1))</f>
        <v>0</v>
      </c>
      <c r="AL316" s="71">
        <f>IF(AND($AK316=1,ISNUMBER($L316)),IF($L316&lt;ReportDate,1,0),0)</f>
        <v>0</v>
      </c>
      <c r="AM316" s="71">
        <f>IF(AND($G316&lt;&gt;"",$M316="Blocked"),1,0)</f>
        <v>0</v>
      </c>
      <c r="AN316" s="71">
        <f>IF(AND($AK316=1,ISNUMBER($L316)),IF($L316=ReportDate,1,0),0)</f>
        <v>0</v>
      </c>
      <c r="AO316" s="71">
        <f>IF(AND($AK316=1,ISNUMBER($L316)),IF($L316=ReportDate+1,1,0),0)</f>
        <v>0</v>
      </c>
      <c r="AP316" s="71">
        <f>IF(AND($AK316=1,ISNUMBER($L316)),IF(AND($L316&gt;=ReportDate,$L316&lt;=ReportDate+DueSoonDays),1,0),0)</f>
        <v>0</v>
      </c>
      <c r="AQ316" s="71">
        <f>IF(AND($AK316=1,OR($I316="Critical",$I316="High")),1,0)</f>
        <v>0</v>
      </c>
      <c r="AR316" s="71">
        <f>IF($AK316=1,IF(ISNUMBER($Y316),IF(ReportDate-$Y316&gt;StaleDays,1,0),1),0)</f>
        <v>0</v>
      </c>
      <c r="AS316" s="71">
        <f>IF(AND($G316&lt;&gt;"",ISNUMBER($Q316),ISNUMBER($R316)),IF(AND($Q316&lt;$R316,OR($M316="Completed",AND(ISNUMBER($L316),$L316&lt;ReportDate))),1,0),0)</f>
        <v>0</v>
      </c>
      <c r="AT316" s="71">
        <f>IF($AK316=1,IF(OR($L316=ReportDate,$W316=ReportDate,$K316=ReportDate,$A316=ReportDate),1,0),0)</f>
        <v>0</v>
      </c>
      <c r="AU316" s="71">
        <f>IF($AK316=1,IF(OR($L316=ReportDate+1,$W316=ReportDate+1,$K316=ReportDate+1,$A316=ReportDate+1),1,0),0)</f>
        <v>0</v>
      </c>
      <c r="AV316" s="71">
        <f>IF(AND($G316&lt;&gt;"",$M316="Completed"),IF(OR($Y316=ReportDate-1,$A316=ReportDate-1),1,0),0)</f>
        <v>0</v>
      </c>
      <c r="AW316" s="71">
        <f>IF(AND($AK316=1,$Z316="Yes"),1,0)</f>
        <v>0</v>
      </c>
      <c r="AX316" s="71">
        <f>IF(AND($AK316=1,$AA316="Yes"),1,0)</f>
        <v>0</v>
      </c>
      <c r="AY316" s="71">
        <f>IF(AND($AM316=1,OR($I316="Critical",$I316="High")),1,0)</f>
        <v>0</v>
      </c>
      <c r="AZ316" s="71">
        <f>IF(AND($AK316=1,OR($C316=TCL_Client,$C316=MECCA_Client)),1,0)</f>
        <v>0</v>
      </c>
      <c r="BA316" s="71" t="str">
        <f>IF($G316="","",IFERROR(MATCH($I316,lst_Priority,0),5))</f>
        <v/>
      </c>
      <c r="BB316" s="71" t="str">
        <f>IF(AND($AL316=1,$AJ316=1),$BA316*100000+ROW(),"")</f>
        <v/>
      </c>
      <c r="BC316" s="71" t="str">
        <f>IF(AND($AM316=1,$AJ316=1),$BA316*100000+ROW(),"")</f>
        <v/>
      </c>
      <c r="BD316" s="71" t="str">
        <f>IF(AND($AP316=1,$AJ316=1),$BA316*100000+ROW(),"")</f>
        <v/>
      </c>
      <c r="BE316" s="71" t="str">
        <f>IF(AND($AT316=1,$AJ316=1),$BA316*100000+ROW(),"")</f>
        <v/>
      </c>
      <c r="BF316" s="71" t="str">
        <f>IF(AND($AU316=1,$AJ316=1),$BA316*100000+ROW(),"")</f>
        <v/>
      </c>
      <c r="BG316" s="71" t="str">
        <f>IF(AND($AV316=1,$AJ316=1),$BA316*100000+ROW(),"")</f>
        <v/>
      </c>
      <c r="BH316" s="71" t="str">
        <f>IF(AND($AW316=1,$AJ316=1),$BA316*100000+ROW(),"")</f>
        <v/>
      </c>
      <c r="BI316" s="71" t="str">
        <f>IF(AND($AX316=1,$AJ316=1),$BA316*100000+ROW(),"")</f>
        <v/>
      </c>
      <c r="BJ316" s="71" t="str">
        <f>IF(AND($AS316=1,$AJ316=1),$BA316*100000+ROW(),"")</f>
        <v/>
      </c>
      <c r="BK316" s="71" t="str">
        <f>IF(AND($AY316=1,$AJ316=1),$BA316*100000+ROW(),"")</f>
        <v/>
      </c>
      <c r="BL316" s="71" t="str">
        <f>IF(AND($AZ316=1),$BA316*100000+ROW(),"")</f>
        <v/>
      </c>
    </row>
    <row r="317">
      <c r="A317" s="63" t="n"/>
      <c r="B317" s="64" t="n"/>
      <c r="C317" s="64" t="n"/>
      <c r="D317" s="64" t="n"/>
      <c r="E317" s="64" t="n"/>
      <c r="F317" s="64" t="n"/>
      <c r="G317" s="65" t="n"/>
      <c r="H317" s="65" t="n"/>
      <c r="I317" s="64" t="n"/>
      <c r="J317" s="64" t="n"/>
      <c r="K317" s="63" t="n"/>
      <c r="L317" s="63" t="n"/>
      <c r="M317" s="64" t="n"/>
      <c r="N317" s="66" t="n"/>
      <c r="O317" s="65" t="n"/>
      <c r="P317" s="64" t="n"/>
      <c r="Q317" s="67" t="n"/>
      <c r="R317" s="67" t="n"/>
      <c r="S317" s="68" t="str">
        <f>IF(AND(ISNUMBER($Q317),ISNUMBER($R317)),$Q317-$R317,"")</f>
        <v/>
      </c>
      <c r="T317" s="65" t="n"/>
      <c r="U317" s="64" t="n"/>
      <c r="V317" s="65" t="n"/>
      <c r="W317" s="63" t="n"/>
      <c r="X317" s="65" t="n"/>
      <c r="Y317" s="63" t="n"/>
      <c r="Z317" s="64" t="n"/>
      <c r="AA317" s="64" t="n"/>
      <c r="AB317" s="65" t="n"/>
      <c r="AC317" s="69" t="str">
        <f>IF(OR($G317="",NOT(ISNUMBER($K317)),$AK317=0),"",MAX(0,ReportDate-$K317))</f>
        <v/>
      </c>
      <c r="AD317" s="69" t="str">
        <f>IF($G317="","",IF($AL317=1,ReportDate-$L317,0))</f>
        <v/>
      </c>
      <c r="AE317" s="70" t="str">
        <f>IF($G317="","",IF($M317="Completed",1,IF(ISNUMBER($N317),$N317,0)))</f>
        <v/>
      </c>
      <c r="AF317" s="70" t="str">
        <f>IF(AND(ISNUMBER($Q317),ISNUMBER($R317)),IF($R317&lt;&gt;0,$Q317/$R317,""),"")</f>
        <v/>
      </c>
      <c r="AG317" s="71" t="str">
        <f>IF($G317="","",IF($AL317=1,"OVERDUE",IF($AM317=1,"BLOCKED",IF($AN317=1,"DUE TODAY",IF($AO317=1,"DUE TOMORROW",IF($AQ317=1,"HIGH PRIORITY",IF($AR317=1,"NO RECENT UPDATE",""))))))) </f>
        <v/>
      </c>
      <c r="AH317" s="71" t="str">
        <f>IF($G317="","",IF(ISNUMBER($A317),IF(ISNUMBER($A317),YEAR($A317)&amp;"-"&amp;TEXT(MONTH($A317),"00"),""),IF(ISNUMBER($L317),IF(ISNUMBER($L317),YEAR($L317)&amp;"-"&amp;TEXT(MONTH($L317),"00"),""),"")))</f>
        <v/>
      </c>
      <c r="AI317" s="71">
        <f>IF($G317="",0,IF(AND(OR(fClient="All",$C317=fClient),OR(fCampaign="All",$D317=fCampaign),OR(fTeam="All",$B317=fTeam),OR(fChannel="All",$F317=fChannel),OR(fMonth="All",$AH317=fMonth),OR(fTStatus="All",$M317=fTStatus)),1,0))</f>
        <v>0</v>
      </c>
      <c r="AJ317" s="71">
        <f>IF($G317="",0,IF(AND(OR(fClient="All",$C317=fClient),OR(fCampaign="All",$D317=fCampaign),OR(fTeam="All",$B317=fTeam),OR(fChannel="All",$F317=fChannel)),1,0))</f>
        <v>0</v>
      </c>
      <c r="AK317" s="71">
        <f>IF($G317="",0,IF(OR($M317="Completed",$M317="Cancelled"),0,1))</f>
        <v>0</v>
      </c>
      <c r="AL317" s="71">
        <f>IF(AND($AK317=1,ISNUMBER($L317)),IF($L317&lt;ReportDate,1,0),0)</f>
        <v>0</v>
      </c>
      <c r="AM317" s="71">
        <f>IF(AND($G317&lt;&gt;"",$M317="Blocked"),1,0)</f>
        <v>0</v>
      </c>
      <c r="AN317" s="71">
        <f>IF(AND($AK317=1,ISNUMBER($L317)),IF($L317=ReportDate,1,0),0)</f>
        <v>0</v>
      </c>
      <c r="AO317" s="71">
        <f>IF(AND($AK317=1,ISNUMBER($L317)),IF($L317=ReportDate+1,1,0),0)</f>
        <v>0</v>
      </c>
      <c r="AP317" s="71">
        <f>IF(AND($AK317=1,ISNUMBER($L317)),IF(AND($L317&gt;=ReportDate,$L317&lt;=ReportDate+DueSoonDays),1,0),0)</f>
        <v>0</v>
      </c>
      <c r="AQ317" s="71">
        <f>IF(AND($AK317=1,OR($I317="Critical",$I317="High")),1,0)</f>
        <v>0</v>
      </c>
      <c r="AR317" s="71">
        <f>IF($AK317=1,IF(ISNUMBER($Y317),IF(ReportDate-$Y317&gt;StaleDays,1,0),1),0)</f>
        <v>0</v>
      </c>
      <c r="AS317" s="71">
        <f>IF(AND($G317&lt;&gt;"",ISNUMBER($Q317),ISNUMBER($R317)),IF(AND($Q317&lt;$R317,OR($M317="Completed",AND(ISNUMBER($L317),$L317&lt;ReportDate))),1,0),0)</f>
        <v>0</v>
      </c>
      <c r="AT317" s="71">
        <f>IF($AK317=1,IF(OR($L317=ReportDate,$W317=ReportDate,$K317=ReportDate,$A317=ReportDate),1,0),0)</f>
        <v>0</v>
      </c>
      <c r="AU317" s="71">
        <f>IF($AK317=1,IF(OR($L317=ReportDate+1,$W317=ReportDate+1,$K317=ReportDate+1,$A317=ReportDate+1),1,0),0)</f>
        <v>0</v>
      </c>
      <c r="AV317" s="71">
        <f>IF(AND($G317&lt;&gt;"",$M317="Completed"),IF(OR($Y317=ReportDate-1,$A317=ReportDate-1),1,0),0)</f>
        <v>0</v>
      </c>
      <c r="AW317" s="71">
        <f>IF(AND($AK317=1,$Z317="Yes"),1,0)</f>
        <v>0</v>
      </c>
      <c r="AX317" s="71">
        <f>IF(AND($AK317=1,$AA317="Yes"),1,0)</f>
        <v>0</v>
      </c>
      <c r="AY317" s="71">
        <f>IF(AND($AM317=1,OR($I317="Critical",$I317="High")),1,0)</f>
        <v>0</v>
      </c>
      <c r="AZ317" s="71">
        <f>IF(AND($AK317=1,OR($C317=TCL_Client,$C317=MECCA_Client)),1,0)</f>
        <v>0</v>
      </c>
      <c r="BA317" s="71" t="str">
        <f>IF($G317="","",IFERROR(MATCH($I317,lst_Priority,0),5))</f>
        <v/>
      </c>
      <c r="BB317" s="71" t="str">
        <f>IF(AND($AL317=1,$AJ317=1),$BA317*100000+ROW(),"")</f>
        <v/>
      </c>
      <c r="BC317" s="71" t="str">
        <f>IF(AND($AM317=1,$AJ317=1),$BA317*100000+ROW(),"")</f>
        <v/>
      </c>
      <c r="BD317" s="71" t="str">
        <f>IF(AND($AP317=1,$AJ317=1),$BA317*100000+ROW(),"")</f>
        <v/>
      </c>
      <c r="BE317" s="71" t="str">
        <f>IF(AND($AT317=1,$AJ317=1),$BA317*100000+ROW(),"")</f>
        <v/>
      </c>
      <c r="BF317" s="71" t="str">
        <f>IF(AND($AU317=1,$AJ317=1),$BA317*100000+ROW(),"")</f>
        <v/>
      </c>
      <c r="BG317" s="71" t="str">
        <f>IF(AND($AV317=1,$AJ317=1),$BA317*100000+ROW(),"")</f>
        <v/>
      </c>
      <c r="BH317" s="71" t="str">
        <f>IF(AND($AW317=1,$AJ317=1),$BA317*100000+ROW(),"")</f>
        <v/>
      </c>
      <c r="BI317" s="71" t="str">
        <f>IF(AND($AX317=1,$AJ317=1),$BA317*100000+ROW(),"")</f>
        <v/>
      </c>
      <c r="BJ317" s="71" t="str">
        <f>IF(AND($AS317=1,$AJ317=1),$BA317*100000+ROW(),"")</f>
        <v/>
      </c>
      <c r="BK317" s="71" t="str">
        <f>IF(AND($AY317=1,$AJ317=1),$BA317*100000+ROW(),"")</f>
        <v/>
      </c>
      <c r="BL317" s="71" t="str">
        <f>IF(AND($AZ317=1),$BA317*100000+ROW(),"")</f>
        <v/>
      </c>
    </row>
    <row r="318">
      <c r="A318" s="63" t="n"/>
      <c r="B318" s="64" t="n"/>
      <c r="C318" s="64" t="n"/>
      <c r="D318" s="64" t="n"/>
      <c r="E318" s="64" t="n"/>
      <c r="F318" s="64" t="n"/>
      <c r="G318" s="65" t="n"/>
      <c r="H318" s="65" t="n"/>
      <c r="I318" s="64" t="n"/>
      <c r="J318" s="64" t="n"/>
      <c r="K318" s="63" t="n"/>
      <c r="L318" s="63" t="n"/>
      <c r="M318" s="64" t="n"/>
      <c r="N318" s="66" t="n"/>
      <c r="O318" s="65" t="n"/>
      <c r="P318" s="64" t="n"/>
      <c r="Q318" s="67" t="n"/>
      <c r="R318" s="67" t="n"/>
      <c r="S318" s="68" t="str">
        <f>IF(AND(ISNUMBER($Q318),ISNUMBER($R318)),$Q318-$R318,"")</f>
        <v/>
      </c>
      <c r="T318" s="65" t="n"/>
      <c r="U318" s="64" t="n"/>
      <c r="V318" s="65" t="n"/>
      <c r="W318" s="63" t="n"/>
      <c r="X318" s="65" t="n"/>
      <c r="Y318" s="63" t="n"/>
      <c r="Z318" s="64" t="n"/>
      <c r="AA318" s="64" t="n"/>
      <c r="AB318" s="65" t="n"/>
      <c r="AC318" s="69" t="str">
        <f>IF(OR($G318="",NOT(ISNUMBER($K318)),$AK318=0),"",MAX(0,ReportDate-$K318))</f>
        <v/>
      </c>
      <c r="AD318" s="69" t="str">
        <f>IF($G318="","",IF($AL318=1,ReportDate-$L318,0))</f>
        <v/>
      </c>
      <c r="AE318" s="70" t="str">
        <f>IF($G318="","",IF($M318="Completed",1,IF(ISNUMBER($N318),$N318,0)))</f>
        <v/>
      </c>
      <c r="AF318" s="70" t="str">
        <f>IF(AND(ISNUMBER($Q318),ISNUMBER($R318)),IF($R318&lt;&gt;0,$Q318/$R318,""),"")</f>
        <v/>
      </c>
      <c r="AG318" s="71" t="str">
        <f>IF($G318="","",IF($AL318=1,"OVERDUE",IF($AM318=1,"BLOCKED",IF($AN318=1,"DUE TODAY",IF($AO318=1,"DUE TOMORROW",IF($AQ318=1,"HIGH PRIORITY",IF($AR318=1,"NO RECENT UPDATE",""))))))) </f>
        <v/>
      </c>
      <c r="AH318" s="71" t="str">
        <f>IF($G318="","",IF(ISNUMBER($A318),IF(ISNUMBER($A318),YEAR($A318)&amp;"-"&amp;TEXT(MONTH($A318),"00"),""),IF(ISNUMBER($L318),IF(ISNUMBER($L318),YEAR($L318)&amp;"-"&amp;TEXT(MONTH($L318),"00"),""),"")))</f>
        <v/>
      </c>
      <c r="AI318" s="71">
        <f>IF($G318="",0,IF(AND(OR(fClient="All",$C318=fClient),OR(fCampaign="All",$D318=fCampaign),OR(fTeam="All",$B318=fTeam),OR(fChannel="All",$F318=fChannel),OR(fMonth="All",$AH318=fMonth),OR(fTStatus="All",$M318=fTStatus)),1,0))</f>
        <v>0</v>
      </c>
      <c r="AJ318" s="71">
        <f>IF($G318="",0,IF(AND(OR(fClient="All",$C318=fClient),OR(fCampaign="All",$D318=fCampaign),OR(fTeam="All",$B318=fTeam),OR(fChannel="All",$F318=fChannel)),1,0))</f>
        <v>0</v>
      </c>
      <c r="AK318" s="71">
        <f>IF($G318="",0,IF(OR($M318="Completed",$M318="Cancelled"),0,1))</f>
        <v>0</v>
      </c>
      <c r="AL318" s="71">
        <f>IF(AND($AK318=1,ISNUMBER($L318)),IF($L318&lt;ReportDate,1,0),0)</f>
        <v>0</v>
      </c>
      <c r="AM318" s="71">
        <f>IF(AND($G318&lt;&gt;"",$M318="Blocked"),1,0)</f>
        <v>0</v>
      </c>
      <c r="AN318" s="71">
        <f>IF(AND($AK318=1,ISNUMBER($L318)),IF($L318=ReportDate,1,0),0)</f>
        <v>0</v>
      </c>
      <c r="AO318" s="71">
        <f>IF(AND($AK318=1,ISNUMBER($L318)),IF($L318=ReportDate+1,1,0),0)</f>
        <v>0</v>
      </c>
      <c r="AP318" s="71">
        <f>IF(AND($AK318=1,ISNUMBER($L318)),IF(AND($L318&gt;=ReportDate,$L318&lt;=ReportDate+DueSoonDays),1,0),0)</f>
        <v>0</v>
      </c>
      <c r="AQ318" s="71">
        <f>IF(AND($AK318=1,OR($I318="Critical",$I318="High")),1,0)</f>
        <v>0</v>
      </c>
      <c r="AR318" s="71">
        <f>IF($AK318=1,IF(ISNUMBER($Y318),IF(ReportDate-$Y318&gt;StaleDays,1,0),1),0)</f>
        <v>0</v>
      </c>
      <c r="AS318" s="71">
        <f>IF(AND($G318&lt;&gt;"",ISNUMBER($Q318),ISNUMBER($R318)),IF(AND($Q318&lt;$R318,OR($M318="Completed",AND(ISNUMBER($L318),$L318&lt;ReportDate))),1,0),0)</f>
        <v>0</v>
      </c>
      <c r="AT318" s="71">
        <f>IF($AK318=1,IF(OR($L318=ReportDate,$W318=ReportDate,$K318=ReportDate,$A318=ReportDate),1,0),0)</f>
        <v>0</v>
      </c>
      <c r="AU318" s="71">
        <f>IF($AK318=1,IF(OR($L318=ReportDate+1,$W318=ReportDate+1,$K318=ReportDate+1,$A318=ReportDate+1),1,0),0)</f>
        <v>0</v>
      </c>
      <c r="AV318" s="71">
        <f>IF(AND($G318&lt;&gt;"",$M318="Completed"),IF(OR($Y318=ReportDate-1,$A318=ReportDate-1),1,0),0)</f>
        <v>0</v>
      </c>
      <c r="AW318" s="71">
        <f>IF(AND($AK318=1,$Z318="Yes"),1,0)</f>
        <v>0</v>
      </c>
      <c r="AX318" s="71">
        <f>IF(AND($AK318=1,$AA318="Yes"),1,0)</f>
        <v>0</v>
      </c>
      <c r="AY318" s="71">
        <f>IF(AND($AM318=1,OR($I318="Critical",$I318="High")),1,0)</f>
        <v>0</v>
      </c>
      <c r="AZ318" s="71">
        <f>IF(AND($AK318=1,OR($C318=TCL_Client,$C318=MECCA_Client)),1,0)</f>
        <v>0</v>
      </c>
      <c r="BA318" s="71" t="str">
        <f>IF($G318="","",IFERROR(MATCH($I318,lst_Priority,0),5))</f>
        <v/>
      </c>
      <c r="BB318" s="71" t="str">
        <f>IF(AND($AL318=1,$AJ318=1),$BA318*100000+ROW(),"")</f>
        <v/>
      </c>
      <c r="BC318" s="71" t="str">
        <f>IF(AND($AM318=1,$AJ318=1),$BA318*100000+ROW(),"")</f>
        <v/>
      </c>
      <c r="BD318" s="71" t="str">
        <f>IF(AND($AP318=1,$AJ318=1),$BA318*100000+ROW(),"")</f>
        <v/>
      </c>
      <c r="BE318" s="71" t="str">
        <f>IF(AND($AT318=1,$AJ318=1),$BA318*100000+ROW(),"")</f>
        <v/>
      </c>
      <c r="BF318" s="71" t="str">
        <f>IF(AND($AU318=1,$AJ318=1),$BA318*100000+ROW(),"")</f>
        <v/>
      </c>
      <c r="BG318" s="71" t="str">
        <f>IF(AND($AV318=1,$AJ318=1),$BA318*100000+ROW(),"")</f>
        <v/>
      </c>
      <c r="BH318" s="71" t="str">
        <f>IF(AND($AW318=1,$AJ318=1),$BA318*100000+ROW(),"")</f>
        <v/>
      </c>
      <c r="BI318" s="71" t="str">
        <f>IF(AND($AX318=1,$AJ318=1),$BA318*100000+ROW(),"")</f>
        <v/>
      </c>
      <c r="BJ318" s="71" t="str">
        <f>IF(AND($AS318=1,$AJ318=1),$BA318*100000+ROW(),"")</f>
        <v/>
      </c>
      <c r="BK318" s="71" t="str">
        <f>IF(AND($AY318=1,$AJ318=1),$BA318*100000+ROW(),"")</f>
        <v/>
      </c>
      <c r="BL318" s="71" t="str">
        <f>IF(AND($AZ318=1),$BA318*100000+ROW(),"")</f>
        <v/>
      </c>
    </row>
    <row r="319">
      <c r="A319" s="63" t="n"/>
      <c r="B319" s="64" t="n"/>
      <c r="C319" s="64" t="n"/>
      <c r="D319" s="64" t="n"/>
      <c r="E319" s="64" t="n"/>
      <c r="F319" s="64" t="n"/>
      <c r="G319" s="65" t="n"/>
      <c r="H319" s="65" t="n"/>
      <c r="I319" s="64" t="n"/>
      <c r="J319" s="64" t="n"/>
      <c r="K319" s="63" t="n"/>
      <c r="L319" s="63" t="n"/>
      <c r="M319" s="64" t="n"/>
      <c r="N319" s="66" t="n"/>
      <c r="O319" s="65" t="n"/>
      <c r="P319" s="64" t="n"/>
      <c r="Q319" s="67" t="n"/>
      <c r="R319" s="67" t="n"/>
      <c r="S319" s="68" t="str">
        <f>IF(AND(ISNUMBER($Q319),ISNUMBER($R319)),$Q319-$R319,"")</f>
        <v/>
      </c>
      <c r="T319" s="65" t="n"/>
      <c r="U319" s="64" t="n"/>
      <c r="V319" s="65" t="n"/>
      <c r="W319" s="63" t="n"/>
      <c r="X319" s="65" t="n"/>
      <c r="Y319" s="63" t="n"/>
      <c r="Z319" s="64" t="n"/>
      <c r="AA319" s="64" t="n"/>
      <c r="AB319" s="65" t="n"/>
      <c r="AC319" s="69" t="str">
        <f>IF(OR($G319="",NOT(ISNUMBER($K319)),$AK319=0),"",MAX(0,ReportDate-$K319))</f>
        <v/>
      </c>
      <c r="AD319" s="69" t="str">
        <f>IF($G319="","",IF($AL319=1,ReportDate-$L319,0))</f>
        <v/>
      </c>
      <c r="AE319" s="70" t="str">
        <f>IF($G319="","",IF($M319="Completed",1,IF(ISNUMBER($N319),$N319,0)))</f>
        <v/>
      </c>
      <c r="AF319" s="70" t="str">
        <f>IF(AND(ISNUMBER($Q319),ISNUMBER($R319)),IF($R319&lt;&gt;0,$Q319/$R319,""),"")</f>
        <v/>
      </c>
      <c r="AG319" s="71" t="str">
        <f>IF($G319="","",IF($AL319=1,"OVERDUE",IF($AM319=1,"BLOCKED",IF($AN319=1,"DUE TODAY",IF($AO319=1,"DUE TOMORROW",IF($AQ319=1,"HIGH PRIORITY",IF($AR319=1,"NO RECENT UPDATE",""))))))) </f>
        <v/>
      </c>
      <c r="AH319" s="71" t="str">
        <f>IF($G319="","",IF(ISNUMBER($A319),IF(ISNUMBER($A319),YEAR($A319)&amp;"-"&amp;TEXT(MONTH($A319),"00"),""),IF(ISNUMBER($L319),IF(ISNUMBER($L319),YEAR($L319)&amp;"-"&amp;TEXT(MONTH($L319),"00"),""),"")))</f>
        <v/>
      </c>
      <c r="AI319" s="71">
        <f>IF($G319="",0,IF(AND(OR(fClient="All",$C319=fClient),OR(fCampaign="All",$D319=fCampaign),OR(fTeam="All",$B319=fTeam),OR(fChannel="All",$F319=fChannel),OR(fMonth="All",$AH319=fMonth),OR(fTStatus="All",$M319=fTStatus)),1,0))</f>
        <v>0</v>
      </c>
      <c r="AJ319" s="71">
        <f>IF($G319="",0,IF(AND(OR(fClient="All",$C319=fClient),OR(fCampaign="All",$D319=fCampaign),OR(fTeam="All",$B319=fTeam),OR(fChannel="All",$F319=fChannel)),1,0))</f>
        <v>0</v>
      </c>
      <c r="AK319" s="71">
        <f>IF($G319="",0,IF(OR($M319="Completed",$M319="Cancelled"),0,1))</f>
        <v>0</v>
      </c>
      <c r="AL319" s="71">
        <f>IF(AND($AK319=1,ISNUMBER($L319)),IF($L319&lt;ReportDate,1,0),0)</f>
        <v>0</v>
      </c>
      <c r="AM319" s="71">
        <f>IF(AND($G319&lt;&gt;"",$M319="Blocked"),1,0)</f>
        <v>0</v>
      </c>
      <c r="AN319" s="71">
        <f>IF(AND($AK319=1,ISNUMBER($L319)),IF($L319=ReportDate,1,0),0)</f>
        <v>0</v>
      </c>
      <c r="AO319" s="71">
        <f>IF(AND($AK319=1,ISNUMBER($L319)),IF($L319=ReportDate+1,1,0),0)</f>
        <v>0</v>
      </c>
      <c r="AP319" s="71">
        <f>IF(AND($AK319=1,ISNUMBER($L319)),IF(AND($L319&gt;=ReportDate,$L319&lt;=ReportDate+DueSoonDays),1,0),0)</f>
        <v>0</v>
      </c>
      <c r="AQ319" s="71">
        <f>IF(AND($AK319=1,OR($I319="Critical",$I319="High")),1,0)</f>
        <v>0</v>
      </c>
      <c r="AR319" s="71">
        <f>IF($AK319=1,IF(ISNUMBER($Y319),IF(ReportDate-$Y319&gt;StaleDays,1,0),1),0)</f>
        <v>0</v>
      </c>
      <c r="AS319" s="71">
        <f>IF(AND($G319&lt;&gt;"",ISNUMBER($Q319),ISNUMBER($R319)),IF(AND($Q319&lt;$R319,OR($M319="Completed",AND(ISNUMBER($L319),$L319&lt;ReportDate))),1,0),0)</f>
        <v>0</v>
      </c>
      <c r="AT319" s="71">
        <f>IF($AK319=1,IF(OR($L319=ReportDate,$W319=ReportDate,$K319=ReportDate,$A319=ReportDate),1,0),0)</f>
        <v>0</v>
      </c>
      <c r="AU319" s="71">
        <f>IF($AK319=1,IF(OR($L319=ReportDate+1,$W319=ReportDate+1,$K319=ReportDate+1,$A319=ReportDate+1),1,0),0)</f>
        <v>0</v>
      </c>
      <c r="AV319" s="71">
        <f>IF(AND($G319&lt;&gt;"",$M319="Completed"),IF(OR($Y319=ReportDate-1,$A319=ReportDate-1),1,0),0)</f>
        <v>0</v>
      </c>
      <c r="AW319" s="71">
        <f>IF(AND($AK319=1,$Z319="Yes"),1,0)</f>
        <v>0</v>
      </c>
      <c r="AX319" s="71">
        <f>IF(AND($AK319=1,$AA319="Yes"),1,0)</f>
        <v>0</v>
      </c>
      <c r="AY319" s="71">
        <f>IF(AND($AM319=1,OR($I319="Critical",$I319="High")),1,0)</f>
        <v>0</v>
      </c>
      <c r="AZ319" s="71">
        <f>IF(AND($AK319=1,OR($C319=TCL_Client,$C319=MECCA_Client)),1,0)</f>
        <v>0</v>
      </c>
      <c r="BA319" s="71" t="str">
        <f>IF($G319="","",IFERROR(MATCH($I319,lst_Priority,0),5))</f>
        <v/>
      </c>
      <c r="BB319" s="71" t="str">
        <f>IF(AND($AL319=1,$AJ319=1),$BA319*100000+ROW(),"")</f>
        <v/>
      </c>
      <c r="BC319" s="71" t="str">
        <f>IF(AND($AM319=1,$AJ319=1),$BA319*100000+ROW(),"")</f>
        <v/>
      </c>
      <c r="BD319" s="71" t="str">
        <f>IF(AND($AP319=1,$AJ319=1),$BA319*100000+ROW(),"")</f>
        <v/>
      </c>
      <c r="BE319" s="71" t="str">
        <f>IF(AND($AT319=1,$AJ319=1),$BA319*100000+ROW(),"")</f>
        <v/>
      </c>
      <c r="BF319" s="71" t="str">
        <f>IF(AND($AU319=1,$AJ319=1),$BA319*100000+ROW(),"")</f>
        <v/>
      </c>
      <c r="BG319" s="71" t="str">
        <f>IF(AND($AV319=1,$AJ319=1),$BA319*100000+ROW(),"")</f>
        <v/>
      </c>
      <c r="BH319" s="71" t="str">
        <f>IF(AND($AW319=1,$AJ319=1),$BA319*100000+ROW(),"")</f>
        <v/>
      </c>
      <c r="BI319" s="71" t="str">
        <f>IF(AND($AX319=1,$AJ319=1),$BA319*100000+ROW(),"")</f>
        <v/>
      </c>
      <c r="BJ319" s="71" t="str">
        <f>IF(AND($AS319=1,$AJ319=1),$BA319*100000+ROW(),"")</f>
        <v/>
      </c>
      <c r="BK319" s="71" t="str">
        <f>IF(AND($AY319=1,$AJ319=1),$BA319*100000+ROW(),"")</f>
        <v/>
      </c>
      <c r="BL319" s="71" t="str">
        <f>IF(AND($AZ319=1),$BA319*100000+ROW(),"")</f>
        <v/>
      </c>
    </row>
    <row r="320">
      <c r="A320" s="63" t="n"/>
      <c r="B320" s="64" t="n"/>
      <c r="C320" s="64" t="n"/>
      <c r="D320" s="64" t="n"/>
      <c r="E320" s="64" t="n"/>
      <c r="F320" s="64" t="n"/>
      <c r="G320" s="65" t="n"/>
      <c r="H320" s="65" t="n"/>
      <c r="I320" s="64" t="n"/>
      <c r="J320" s="64" t="n"/>
      <c r="K320" s="63" t="n"/>
      <c r="L320" s="63" t="n"/>
      <c r="M320" s="64" t="n"/>
      <c r="N320" s="66" t="n"/>
      <c r="O320" s="65" t="n"/>
      <c r="P320" s="64" t="n"/>
      <c r="Q320" s="67" t="n"/>
      <c r="R320" s="67" t="n"/>
      <c r="S320" s="68" t="str">
        <f>IF(AND(ISNUMBER($Q320),ISNUMBER($R320)),$Q320-$R320,"")</f>
        <v/>
      </c>
      <c r="T320" s="65" t="n"/>
      <c r="U320" s="64" t="n"/>
      <c r="V320" s="65" t="n"/>
      <c r="W320" s="63" t="n"/>
      <c r="X320" s="65" t="n"/>
      <c r="Y320" s="63" t="n"/>
      <c r="Z320" s="64" t="n"/>
      <c r="AA320" s="64" t="n"/>
      <c r="AB320" s="65" t="n"/>
      <c r="AC320" s="69" t="str">
        <f>IF(OR($G320="",NOT(ISNUMBER($K320)),$AK320=0),"",MAX(0,ReportDate-$K320))</f>
        <v/>
      </c>
      <c r="AD320" s="69" t="str">
        <f>IF($G320="","",IF($AL320=1,ReportDate-$L320,0))</f>
        <v/>
      </c>
      <c r="AE320" s="70" t="str">
        <f>IF($G320="","",IF($M320="Completed",1,IF(ISNUMBER($N320),$N320,0)))</f>
        <v/>
      </c>
      <c r="AF320" s="70" t="str">
        <f>IF(AND(ISNUMBER($Q320),ISNUMBER($R320)),IF($R320&lt;&gt;0,$Q320/$R320,""),"")</f>
        <v/>
      </c>
      <c r="AG320" s="71" t="str">
        <f>IF($G320="","",IF($AL320=1,"OVERDUE",IF($AM320=1,"BLOCKED",IF($AN320=1,"DUE TODAY",IF($AO320=1,"DUE TOMORROW",IF($AQ320=1,"HIGH PRIORITY",IF($AR320=1,"NO RECENT UPDATE",""))))))) </f>
        <v/>
      </c>
      <c r="AH320" s="71" t="str">
        <f>IF($G320="","",IF(ISNUMBER($A320),IF(ISNUMBER($A320),YEAR($A320)&amp;"-"&amp;TEXT(MONTH($A320),"00"),""),IF(ISNUMBER($L320),IF(ISNUMBER($L320),YEAR($L320)&amp;"-"&amp;TEXT(MONTH($L320),"00"),""),"")))</f>
        <v/>
      </c>
      <c r="AI320" s="71">
        <f>IF($G320="",0,IF(AND(OR(fClient="All",$C320=fClient),OR(fCampaign="All",$D320=fCampaign),OR(fTeam="All",$B320=fTeam),OR(fChannel="All",$F320=fChannel),OR(fMonth="All",$AH320=fMonth),OR(fTStatus="All",$M320=fTStatus)),1,0))</f>
        <v>0</v>
      </c>
      <c r="AJ320" s="71">
        <f>IF($G320="",0,IF(AND(OR(fClient="All",$C320=fClient),OR(fCampaign="All",$D320=fCampaign),OR(fTeam="All",$B320=fTeam),OR(fChannel="All",$F320=fChannel)),1,0))</f>
        <v>0</v>
      </c>
      <c r="AK320" s="71">
        <f>IF($G320="",0,IF(OR($M320="Completed",$M320="Cancelled"),0,1))</f>
        <v>0</v>
      </c>
      <c r="AL320" s="71">
        <f>IF(AND($AK320=1,ISNUMBER($L320)),IF($L320&lt;ReportDate,1,0),0)</f>
        <v>0</v>
      </c>
      <c r="AM320" s="71">
        <f>IF(AND($G320&lt;&gt;"",$M320="Blocked"),1,0)</f>
        <v>0</v>
      </c>
      <c r="AN320" s="71">
        <f>IF(AND($AK320=1,ISNUMBER($L320)),IF($L320=ReportDate,1,0),0)</f>
        <v>0</v>
      </c>
      <c r="AO320" s="71">
        <f>IF(AND($AK320=1,ISNUMBER($L320)),IF($L320=ReportDate+1,1,0),0)</f>
        <v>0</v>
      </c>
      <c r="AP320" s="71">
        <f>IF(AND($AK320=1,ISNUMBER($L320)),IF(AND($L320&gt;=ReportDate,$L320&lt;=ReportDate+DueSoonDays),1,0),0)</f>
        <v>0</v>
      </c>
      <c r="AQ320" s="71">
        <f>IF(AND($AK320=1,OR($I320="Critical",$I320="High")),1,0)</f>
        <v>0</v>
      </c>
      <c r="AR320" s="71">
        <f>IF($AK320=1,IF(ISNUMBER($Y320),IF(ReportDate-$Y320&gt;StaleDays,1,0),1),0)</f>
        <v>0</v>
      </c>
      <c r="AS320" s="71">
        <f>IF(AND($G320&lt;&gt;"",ISNUMBER($Q320),ISNUMBER($R320)),IF(AND($Q320&lt;$R320,OR($M320="Completed",AND(ISNUMBER($L320),$L320&lt;ReportDate))),1,0),0)</f>
        <v>0</v>
      </c>
      <c r="AT320" s="71">
        <f>IF($AK320=1,IF(OR($L320=ReportDate,$W320=ReportDate,$K320=ReportDate,$A320=ReportDate),1,0),0)</f>
        <v>0</v>
      </c>
      <c r="AU320" s="71">
        <f>IF($AK320=1,IF(OR($L320=ReportDate+1,$W320=ReportDate+1,$K320=ReportDate+1,$A320=ReportDate+1),1,0),0)</f>
        <v>0</v>
      </c>
      <c r="AV320" s="71">
        <f>IF(AND($G320&lt;&gt;"",$M320="Completed"),IF(OR($Y320=ReportDate-1,$A320=ReportDate-1),1,0),0)</f>
        <v>0</v>
      </c>
      <c r="AW320" s="71">
        <f>IF(AND($AK320=1,$Z320="Yes"),1,0)</f>
        <v>0</v>
      </c>
      <c r="AX320" s="71">
        <f>IF(AND($AK320=1,$AA320="Yes"),1,0)</f>
        <v>0</v>
      </c>
      <c r="AY320" s="71">
        <f>IF(AND($AM320=1,OR($I320="Critical",$I320="High")),1,0)</f>
        <v>0</v>
      </c>
      <c r="AZ320" s="71">
        <f>IF(AND($AK320=1,OR($C320=TCL_Client,$C320=MECCA_Client)),1,0)</f>
        <v>0</v>
      </c>
      <c r="BA320" s="71" t="str">
        <f>IF($G320="","",IFERROR(MATCH($I320,lst_Priority,0),5))</f>
        <v/>
      </c>
      <c r="BB320" s="71" t="str">
        <f>IF(AND($AL320=1,$AJ320=1),$BA320*100000+ROW(),"")</f>
        <v/>
      </c>
      <c r="BC320" s="71" t="str">
        <f>IF(AND($AM320=1,$AJ320=1),$BA320*100000+ROW(),"")</f>
        <v/>
      </c>
      <c r="BD320" s="71" t="str">
        <f>IF(AND($AP320=1,$AJ320=1),$BA320*100000+ROW(),"")</f>
        <v/>
      </c>
      <c r="BE320" s="71" t="str">
        <f>IF(AND($AT320=1,$AJ320=1),$BA320*100000+ROW(),"")</f>
        <v/>
      </c>
      <c r="BF320" s="71" t="str">
        <f>IF(AND($AU320=1,$AJ320=1),$BA320*100000+ROW(),"")</f>
        <v/>
      </c>
      <c r="BG320" s="71" t="str">
        <f>IF(AND($AV320=1,$AJ320=1),$BA320*100000+ROW(),"")</f>
        <v/>
      </c>
      <c r="BH320" s="71" t="str">
        <f>IF(AND($AW320=1,$AJ320=1),$BA320*100000+ROW(),"")</f>
        <v/>
      </c>
      <c r="BI320" s="71" t="str">
        <f>IF(AND($AX320=1,$AJ320=1),$BA320*100000+ROW(),"")</f>
        <v/>
      </c>
      <c r="BJ320" s="71" t="str">
        <f>IF(AND($AS320=1,$AJ320=1),$BA320*100000+ROW(),"")</f>
        <v/>
      </c>
      <c r="BK320" s="71" t="str">
        <f>IF(AND($AY320=1,$AJ320=1),$BA320*100000+ROW(),"")</f>
        <v/>
      </c>
      <c r="BL320" s="71" t="str">
        <f>IF(AND($AZ320=1),$BA320*100000+ROW(),"")</f>
        <v/>
      </c>
    </row>
    <row r="321">
      <c r="A321" s="63" t="n"/>
      <c r="B321" s="64" t="n"/>
      <c r="C321" s="64" t="n"/>
      <c r="D321" s="64" t="n"/>
      <c r="E321" s="64" t="n"/>
      <c r="F321" s="64" t="n"/>
      <c r="G321" s="65" t="n"/>
      <c r="H321" s="65" t="n"/>
      <c r="I321" s="64" t="n"/>
      <c r="J321" s="64" t="n"/>
      <c r="K321" s="63" t="n"/>
      <c r="L321" s="63" t="n"/>
      <c r="M321" s="64" t="n"/>
      <c r="N321" s="66" t="n"/>
      <c r="O321" s="65" t="n"/>
      <c r="P321" s="64" t="n"/>
      <c r="Q321" s="67" t="n"/>
      <c r="R321" s="67" t="n"/>
      <c r="S321" s="68" t="str">
        <f>IF(AND(ISNUMBER($Q321),ISNUMBER($R321)),$Q321-$R321,"")</f>
        <v/>
      </c>
      <c r="T321" s="65" t="n"/>
      <c r="U321" s="64" t="n"/>
      <c r="V321" s="65" t="n"/>
      <c r="W321" s="63" t="n"/>
      <c r="X321" s="65" t="n"/>
      <c r="Y321" s="63" t="n"/>
      <c r="Z321" s="64" t="n"/>
      <c r="AA321" s="64" t="n"/>
      <c r="AB321" s="65" t="n"/>
      <c r="AC321" s="69" t="str">
        <f>IF(OR($G321="",NOT(ISNUMBER($K321)),$AK321=0),"",MAX(0,ReportDate-$K321))</f>
        <v/>
      </c>
      <c r="AD321" s="69" t="str">
        <f>IF($G321="","",IF($AL321=1,ReportDate-$L321,0))</f>
        <v/>
      </c>
      <c r="AE321" s="70" t="str">
        <f>IF($G321="","",IF($M321="Completed",1,IF(ISNUMBER($N321),$N321,0)))</f>
        <v/>
      </c>
      <c r="AF321" s="70" t="str">
        <f>IF(AND(ISNUMBER($Q321),ISNUMBER($R321)),IF($R321&lt;&gt;0,$Q321/$R321,""),"")</f>
        <v/>
      </c>
      <c r="AG321" s="71" t="str">
        <f>IF($G321="","",IF($AL321=1,"OVERDUE",IF($AM321=1,"BLOCKED",IF($AN321=1,"DUE TODAY",IF($AO321=1,"DUE TOMORROW",IF($AQ321=1,"HIGH PRIORITY",IF($AR321=1,"NO RECENT UPDATE",""))))))) </f>
        <v/>
      </c>
      <c r="AH321" s="71" t="str">
        <f>IF($G321="","",IF(ISNUMBER($A321),IF(ISNUMBER($A321),YEAR($A321)&amp;"-"&amp;TEXT(MONTH($A321),"00"),""),IF(ISNUMBER($L321),IF(ISNUMBER($L321),YEAR($L321)&amp;"-"&amp;TEXT(MONTH($L321),"00"),""),"")))</f>
        <v/>
      </c>
      <c r="AI321" s="71">
        <f>IF($G321="",0,IF(AND(OR(fClient="All",$C321=fClient),OR(fCampaign="All",$D321=fCampaign),OR(fTeam="All",$B321=fTeam),OR(fChannel="All",$F321=fChannel),OR(fMonth="All",$AH321=fMonth),OR(fTStatus="All",$M321=fTStatus)),1,0))</f>
        <v>0</v>
      </c>
      <c r="AJ321" s="71">
        <f>IF($G321="",0,IF(AND(OR(fClient="All",$C321=fClient),OR(fCampaign="All",$D321=fCampaign),OR(fTeam="All",$B321=fTeam),OR(fChannel="All",$F321=fChannel)),1,0))</f>
        <v>0</v>
      </c>
      <c r="AK321" s="71">
        <f>IF($G321="",0,IF(OR($M321="Completed",$M321="Cancelled"),0,1))</f>
        <v>0</v>
      </c>
      <c r="AL321" s="71">
        <f>IF(AND($AK321=1,ISNUMBER($L321)),IF($L321&lt;ReportDate,1,0),0)</f>
        <v>0</v>
      </c>
      <c r="AM321" s="71">
        <f>IF(AND($G321&lt;&gt;"",$M321="Blocked"),1,0)</f>
        <v>0</v>
      </c>
      <c r="AN321" s="71">
        <f>IF(AND($AK321=1,ISNUMBER($L321)),IF($L321=ReportDate,1,0),0)</f>
        <v>0</v>
      </c>
      <c r="AO321" s="71">
        <f>IF(AND($AK321=1,ISNUMBER($L321)),IF($L321=ReportDate+1,1,0),0)</f>
        <v>0</v>
      </c>
      <c r="AP321" s="71">
        <f>IF(AND($AK321=1,ISNUMBER($L321)),IF(AND($L321&gt;=ReportDate,$L321&lt;=ReportDate+DueSoonDays),1,0),0)</f>
        <v>0</v>
      </c>
      <c r="AQ321" s="71">
        <f>IF(AND($AK321=1,OR($I321="Critical",$I321="High")),1,0)</f>
        <v>0</v>
      </c>
      <c r="AR321" s="71">
        <f>IF($AK321=1,IF(ISNUMBER($Y321),IF(ReportDate-$Y321&gt;StaleDays,1,0),1),0)</f>
        <v>0</v>
      </c>
      <c r="AS321" s="71">
        <f>IF(AND($G321&lt;&gt;"",ISNUMBER($Q321),ISNUMBER($R321)),IF(AND($Q321&lt;$R321,OR($M321="Completed",AND(ISNUMBER($L321),$L321&lt;ReportDate))),1,0),0)</f>
        <v>0</v>
      </c>
      <c r="AT321" s="71">
        <f>IF($AK321=1,IF(OR($L321=ReportDate,$W321=ReportDate,$K321=ReportDate,$A321=ReportDate),1,0),0)</f>
        <v>0</v>
      </c>
      <c r="AU321" s="71">
        <f>IF($AK321=1,IF(OR($L321=ReportDate+1,$W321=ReportDate+1,$K321=ReportDate+1,$A321=ReportDate+1),1,0),0)</f>
        <v>0</v>
      </c>
      <c r="AV321" s="71">
        <f>IF(AND($G321&lt;&gt;"",$M321="Completed"),IF(OR($Y321=ReportDate-1,$A321=ReportDate-1),1,0),0)</f>
        <v>0</v>
      </c>
      <c r="AW321" s="71">
        <f>IF(AND($AK321=1,$Z321="Yes"),1,0)</f>
        <v>0</v>
      </c>
      <c r="AX321" s="71">
        <f>IF(AND($AK321=1,$AA321="Yes"),1,0)</f>
        <v>0</v>
      </c>
      <c r="AY321" s="71">
        <f>IF(AND($AM321=1,OR($I321="Critical",$I321="High")),1,0)</f>
        <v>0</v>
      </c>
      <c r="AZ321" s="71">
        <f>IF(AND($AK321=1,OR($C321=TCL_Client,$C321=MECCA_Client)),1,0)</f>
        <v>0</v>
      </c>
      <c r="BA321" s="71" t="str">
        <f>IF($G321="","",IFERROR(MATCH($I321,lst_Priority,0),5))</f>
        <v/>
      </c>
      <c r="BB321" s="71" t="str">
        <f>IF(AND($AL321=1,$AJ321=1),$BA321*100000+ROW(),"")</f>
        <v/>
      </c>
      <c r="BC321" s="71" t="str">
        <f>IF(AND($AM321=1,$AJ321=1),$BA321*100000+ROW(),"")</f>
        <v/>
      </c>
      <c r="BD321" s="71" t="str">
        <f>IF(AND($AP321=1,$AJ321=1),$BA321*100000+ROW(),"")</f>
        <v/>
      </c>
      <c r="BE321" s="71" t="str">
        <f>IF(AND($AT321=1,$AJ321=1),$BA321*100000+ROW(),"")</f>
        <v/>
      </c>
      <c r="BF321" s="71" t="str">
        <f>IF(AND($AU321=1,$AJ321=1),$BA321*100000+ROW(),"")</f>
        <v/>
      </c>
      <c r="BG321" s="71" t="str">
        <f>IF(AND($AV321=1,$AJ321=1),$BA321*100000+ROW(),"")</f>
        <v/>
      </c>
      <c r="BH321" s="71" t="str">
        <f>IF(AND($AW321=1,$AJ321=1),$BA321*100000+ROW(),"")</f>
        <v/>
      </c>
      <c r="BI321" s="71" t="str">
        <f>IF(AND($AX321=1,$AJ321=1),$BA321*100000+ROW(),"")</f>
        <v/>
      </c>
      <c r="BJ321" s="71" t="str">
        <f>IF(AND($AS321=1,$AJ321=1),$BA321*100000+ROW(),"")</f>
        <v/>
      </c>
      <c r="BK321" s="71" t="str">
        <f>IF(AND($AY321=1,$AJ321=1),$BA321*100000+ROW(),"")</f>
        <v/>
      </c>
      <c r="BL321" s="71" t="str">
        <f>IF(AND($AZ321=1),$BA321*100000+ROW(),"")</f>
        <v/>
      </c>
    </row>
    <row r="322">
      <c r="A322" s="63" t="n"/>
      <c r="B322" s="64" t="n"/>
      <c r="C322" s="64" t="n"/>
      <c r="D322" s="64" t="n"/>
      <c r="E322" s="64" t="n"/>
      <c r="F322" s="64" t="n"/>
      <c r="G322" s="65" t="n"/>
      <c r="H322" s="65" t="n"/>
      <c r="I322" s="64" t="n"/>
      <c r="J322" s="64" t="n"/>
      <c r="K322" s="63" t="n"/>
      <c r="L322" s="63" t="n"/>
      <c r="M322" s="64" t="n"/>
      <c r="N322" s="66" t="n"/>
      <c r="O322" s="65" t="n"/>
      <c r="P322" s="64" t="n"/>
      <c r="Q322" s="67" t="n"/>
      <c r="R322" s="67" t="n"/>
      <c r="S322" s="68" t="str">
        <f>IF(AND(ISNUMBER($Q322),ISNUMBER($R322)),$Q322-$R322,"")</f>
        <v/>
      </c>
      <c r="T322" s="65" t="n"/>
      <c r="U322" s="64" t="n"/>
      <c r="V322" s="65" t="n"/>
      <c r="W322" s="63" t="n"/>
      <c r="X322" s="65" t="n"/>
      <c r="Y322" s="63" t="n"/>
      <c r="Z322" s="64" t="n"/>
      <c r="AA322" s="64" t="n"/>
      <c r="AB322" s="65" t="n"/>
      <c r="AC322" s="69" t="str">
        <f>IF(OR($G322="",NOT(ISNUMBER($K322)),$AK322=0),"",MAX(0,ReportDate-$K322))</f>
        <v/>
      </c>
      <c r="AD322" s="69" t="str">
        <f>IF($G322="","",IF($AL322=1,ReportDate-$L322,0))</f>
        <v/>
      </c>
      <c r="AE322" s="70" t="str">
        <f>IF($G322="","",IF($M322="Completed",1,IF(ISNUMBER($N322),$N322,0)))</f>
        <v/>
      </c>
      <c r="AF322" s="70" t="str">
        <f>IF(AND(ISNUMBER($Q322),ISNUMBER($R322)),IF($R322&lt;&gt;0,$Q322/$R322,""),"")</f>
        <v/>
      </c>
      <c r="AG322" s="71" t="str">
        <f>IF($G322="","",IF($AL322=1,"OVERDUE",IF($AM322=1,"BLOCKED",IF($AN322=1,"DUE TODAY",IF($AO322=1,"DUE TOMORROW",IF($AQ322=1,"HIGH PRIORITY",IF($AR322=1,"NO RECENT UPDATE",""))))))) </f>
        <v/>
      </c>
      <c r="AH322" s="71" t="str">
        <f>IF($G322="","",IF(ISNUMBER($A322),IF(ISNUMBER($A322),YEAR($A322)&amp;"-"&amp;TEXT(MONTH($A322),"00"),""),IF(ISNUMBER($L322),IF(ISNUMBER($L322),YEAR($L322)&amp;"-"&amp;TEXT(MONTH($L322),"00"),""),"")))</f>
        <v/>
      </c>
      <c r="AI322" s="71">
        <f>IF($G322="",0,IF(AND(OR(fClient="All",$C322=fClient),OR(fCampaign="All",$D322=fCampaign),OR(fTeam="All",$B322=fTeam),OR(fChannel="All",$F322=fChannel),OR(fMonth="All",$AH322=fMonth),OR(fTStatus="All",$M322=fTStatus)),1,0))</f>
        <v>0</v>
      </c>
      <c r="AJ322" s="71">
        <f>IF($G322="",0,IF(AND(OR(fClient="All",$C322=fClient),OR(fCampaign="All",$D322=fCampaign),OR(fTeam="All",$B322=fTeam),OR(fChannel="All",$F322=fChannel)),1,0))</f>
        <v>0</v>
      </c>
      <c r="AK322" s="71">
        <f>IF($G322="",0,IF(OR($M322="Completed",$M322="Cancelled"),0,1))</f>
        <v>0</v>
      </c>
      <c r="AL322" s="71">
        <f>IF(AND($AK322=1,ISNUMBER($L322)),IF($L322&lt;ReportDate,1,0),0)</f>
        <v>0</v>
      </c>
      <c r="AM322" s="71">
        <f>IF(AND($G322&lt;&gt;"",$M322="Blocked"),1,0)</f>
        <v>0</v>
      </c>
      <c r="AN322" s="71">
        <f>IF(AND($AK322=1,ISNUMBER($L322)),IF($L322=ReportDate,1,0),0)</f>
        <v>0</v>
      </c>
      <c r="AO322" s="71">
        <f>IF(AND($AK322=1,ISNUMBER($L322)),IF($L322=ReportDate+1,1,0),0)</f>
        <v>0</v>
      </c>
      <c r="AP322" s="71">
        <f>IF(AND($AK322=1,ISNUMBER($L322)),IF(AND($L322&gt;=ReportDate,$L322&lt;=ReportDate+DueSoonDays),1,0),0)</f>
        <v>0</v>
      </c>
      <c r="AQ322" s="71">
        <f>IF(AND($AK322=1,OR($I322="Critical",$I322="High")),1,0)</f>
        <v>0</v>
      </c>
      <c r="AR322" s="71">
        <f>IF($AK322=1,IF(ISNUMBER($Y322),IF(ReportDate-$Y322&gt;StaleDays,1,0),1),0)</f>
        <v>0</v>
      </c>
      <c r="AS322" s="71">
        <f>IF(AND($G322&lt;&gt;"",ISNUMBER($Q322),ISNUMBER($R322)),IF(AND($Q322&lt;$R322,OR($M322="Completed",AND(ISNUMBER($L322),$L322&lt;ReportDate))),1,0),0)</f>
        <v>0</v>
      </c>
      <c r="AT322" s="71">
        <f>IF($AK322=1,IF(OR($L322=ReportDate,$W322=ReportDate,$K322=ReportDate,$A322=ReportDate),1,0),0)</f>
        <v>0</v>
      </c>
      <c r="AU322" s="71">
        <f>IF($AK322=1,IF(OR($L322=ReportDate+1,$W322=ReportDate+1,$K322=ReportDate+1,$A322=ReportDate+1),1,0),0)</f>
        <v>0</v>
      </c>
      <c r="AV322" s="71">
        <f>IF(AND($G322&lt;&gt;"",$M322="Completed"),IF(OR($Y322=ReportDate-1,$A322=ReportDate-1),1,0),0)</f>
        <v>0</v>
      </c>
      <c r="AW322" s="71">
        <f>IF(AND($AK322=1,$Z322="Yes"),1,0)</f>
        <v>0</v>
      </c>
      <c r="AX322" s="71">
        <f>IF(AND($AK322=1,$AA322="Yes"),1,0)</f>
        <v>0</v>
      </c>
      <c r="AY322" s="71">
        <f>IF(AND($AM322=1,OR($I322="Critical",$I322="High")),1,0)</f>
        <v>0</v>
      </c>
      <c r="AZ322" s="71">
        <f>IF(AND($AK322=1,OR($C322=TCL_Client,$C322=MECCA_Client)),1,0)</f>
        <v>0</v>
      </c>
      <c r="BA322" s="71" t="str">
        <f>IF($G322="","",IFERROR(MATCH($I322,lst_Priority,0),5))</f>
        <v/>
      </c>
      <c r="BB322" s="71" t="str">
        <f>IF(AND($AL322=1,$AJ322=1),$BA322*100000+ROW(),"")</f>
        <v/>
      </c>
      <c r="BC322" s="71" t="str">
        <f>IF(AND($AM322=1,$AJ322=1),$BA322*100000+ROW(),"")</f>
        <v/>
      </c>
      <c r="BD322" s="71" t="str">
        <f>IF(AND($AP322=1,$AJ322=1),$BA322*100000+ROW(),"")</f>
        <v/>
      </c>
      <c r="BE322" s="71" t="str">
        <f>IF(AND($AT322=1,$AJ322=1),$BA322*100000+ROW(),"")</f>
        <v/>
      </c>
      <c r="BF322" s="71" t="str">
        <f>IF(AND($AU322=1,$AJ322=1),$BA322*100000+ROW(),"")</f>
        <v/>
      </c>
      <c r="BG322" s="71" t="str">
        <f>IF(AND($AV322=1,$AJ322=1),$BA322*100000+ROW(),"")</f>
        <v/>
      </c>
      <c r="BH322" s="71" t="str">
        <f>IF(AND($AW322=1,$AJ322=1),$BA322*100000+ROW(),"")</f>
        <v/>
      </c>
      <c r="BI322" s="71" t="str">
        <f>IF(AND($AX322=1,$AJ322=1),$BA322*100000+ROW(),"")</f>
        <v/>
      </c>
      <c r="BJ322" s="71" t="str">
        <f>IF(AND($AS322=1,$AJ322=1),$BA322*100000+ROW(),"")</f>
        <v/>
      </c>
      <c r="BK322" s="71" t="str">
        <f>IF(AND($AY322=1,$AJ322=1),$BA322*100000+ROW(),"")</f>
        <v/>
      </c>
      <c r="BL322" s="71" t="str">
        <f>IF(AND($AZ322=1),$BA322*100000+ROW(),"")</f>
        <v/>
      </c>
    </row>
    <row r="323">
      <c r="A323" s="63" t="n"/>
      <c r="B323" s="64" t="n"/>
      <c r="C323" s="64" t="n"/>
      <c r="D323" s="64" t="n"/>
      <c r="E323" s="64" t="n"/>
      <c r="F323" s="64" t="n"/>
      <c r="G323" s="65" t="n"/>
      <c r="H323" s="65" t="n"/>
      <c r="I323" s="64" t="n"/>
      <c r="J323" s="64" t="n"/>
      <c r="K323" s="63" t="n"/>
      <c r="L323" s="63" t="n"/>
      <c r="M323" s="64" t="n"/>
      <c r="N323" s="66" t="n"/>
      <c r="O323" s="65" t="n"/>
      <c r="P323" s="64" t="n"/>
      <c r="Q323" s="67" t="n"/>
      <c r="R323" s="67" t="n"/>
      <c r="S323" s="68" t="str">
        <f>IF(AND(ISNUMBER($Q323),ISNUMBER($R323)),$Q323-$R323,"")</f>
        <v/>
      </c>
      <c r="T323" s="65" t="n"/>
      <c r="U323" s="64" t="n"/>
      <c r="V323" s="65" t="n"/>
      <c r="W323" s="63" t="n"/>
      <c r="X323" s="65" t="n"/>
      <c r="Y323" s="63" t="n"/>
      <c r="Z323" s="64" t="n"/>
      <c r="AA323" s="64" t="n"/>
      <c r="AB323" s="65" t="n"/>
      <c r="AC323" s="69" t="str">
        <f>IF(OR($G323="",NOT(ISNUMBER($K323)),$AK323=0),"",MAX(0,ReportDate-$K323))</f>
        <v/>
      </c>
      <c r="AD323" s="69" t="str">
        <f>IF($G323="","",IF($AL323=1,ReportDate-$L323,0))</f>
        <v/>
      </c>
      <c r="AE323" s="70" t="str">
        <f>IF($G323="","",IF($M323="Completed",1,IF(ISNUMBER($N323),$N323,0)))</f>
        <v/>
      </c>
      <c r="AF323" s="70" t="str">
        <f>IF(AND(ISNUMBER($Q323),ISNUMBER($R323)),IF($R323&lt;&gt;0,$Q323/$R323,""),"")</f>
        <v/>
      </c>
      <c r="AG323" s="71" t="str">
        <f>IF($G323="","",IF($AL323=1,"OVERDUE",IF($AM323=1,"BLOCKED",IF($AN323=1,"DUE TODAY",IF($AO323=1,"DUE TOMORROW",IF($AQ323=1,"HIGH PRIORITY",IF($AR323=1,"NO RECENT UPDATE",""))))))) </f>
        <v/>
      </c>
      <c r="AH323" s="71" t="str">
        <f>IF($G323="","",IF(ISNUMBER($A323),IF(ISNUMBER($A323),YEAR($A323)&amp;"-"&amp;TEXT(MONTH($A323),"00"),""),IF(ISNUMBER($L323),IF(ISNUMBER($L323),YEAR($L323)&amp;"-"&amp;TEXT(MONTH($L323),"00"),""),"")))</f>
        <v/>
      </c>
      <c r="AI323" s="71">
        <f>IF($G323="",0,IF(AND(OR(fClient="All",$C323=fClient),OR(fCampaign="All",$D323=fCampaign),OR(fTeam="All",$B323=fTeam),OR(fChannel="All",$F323=fChannel),OR(fMonth="All",$AH323=fMonth),OR(fTStatus="All",$M323=fTStatus)),1,0))</f>
        <v>0</v>
      </c>
      <c r="AJ323" s="71">
        <f>IF($G323="",0,IF(AND(OR(fClient="All",$C323=fClient),OR(fCampaign="All",$D323=fCampaign),OR(fTeam="All",$B323=fTeam),OR(fChannel="All",$F323=fChannel)),1,0))</f>
        <v>0</v>
      </c>
      <c r="AK323" s="71">
        <f>IF($G323="",0,IF(OR($M323="Completed",$M323="Cancelled"),0,1))</f>
        <v>0</v>
      </c>
      <c r="AL323" s="71">
        <f>IF(AND($AK323=1,ISNUMBER($L323)),IF($L323&lt;ReportDate,1,0),0)</f>
        <v>0</v>
      </c>
      <c r="AM323" s="71">
        <f>IF(AND($G323&lt;&gt;"",$M323="Blocked"),1,0)</f>
        <v>0</v>
      </c>
      <c r="AN323" s="71">
        <f>IF(AND($AK323=1,ISNUMBER($L323)),IF($L323=ReportDate,1,0),0)</f>
        <v>0</v>
      </c>
      <c r="AO323" s="71">
        <f>IF(AND($AK323=1,ISNUMBER($L323)),IF($L323=ReportDate+1,1,0),0)</f>
        <v>0</v>
      </c>
      <c r="AP323" s="71">
        <f>IF(AND($AK323=1,ISNUMBER($L323)),IF(AND($L323&gt;=ReportDate,$L323&lt;=ReportDate+DueSoonDays),1,0),0)</f>
        <v>0</v>
      </c>
      <c r="AQ323" s="71">
        <f>IF(AND($AK323=1,OR($I323="Critical",$I323="High")),1,0)</f>
        <v>0</v>
      </c>
      <c r="AR323" s="71">
        <f>IF($AK323=1,IF(ISNUMBER($Y323),IF(ReportDate-$Y323&gt;StaleDays,1,0),1),0)</f>
        <v>0</v>
      </c>
      <c r="AS323" s="71">
        <f>IF(AND($G323&lt;&gt;"",ISNUMBER($Q323),ISNUMBER($R323)),IF(AND($Q323&lt;$R323,OR($M323="Completed",AND(ISNUMBER($L323),$L323&lt;ReportDate))),1,0),0)</f>
        <v>0</v>
      </c>
      <c r="AT323" s="71">
        <f>IF($AK323=1,IF(OR($L323=ReportDate,$W323=ReportDate,$K323=ReportDate,$A323=ReportDate),1,0),0)</f>
        <v>0</v>
      </c>
      <c r="AU323" s="71">
        <f>IF($AK323=1,IF(OR($L323=ReportDate+1,$W323=ReportDate+1,$K323=ReportDate+1,$A323=ReportDate+1),1,0),0)</f>
        <v>0</v>
      </c>
      <c r="AV323" s="71">
        <f>IF(AND($G323&lt;&gt;"",$M323="Completed"),IF(OR($Y323=ReportDate-1,$A323=ReportDate-1),1,0),0)</f>
        <v>0</v>
      </c>
      <c r="AW323" s="71">
        <f>IF(AND($AK323=1,$Z323="Yes"),1,0)</f>
        <v>0</v>
      </c>
      <c r="AX323" s="71">
        <f>IF(AND($AK323=1,$AA323="Yes"),1,0)</f>
        <v>0</v>
      </c>
      <c r="AY323" s="71">
        <f>IF(AND($AM323=1,OR($I323="Critical",$I323="High")),1,0)</f>
        <v>0</v>
      </c>
      <c r="AZ323" s="71">
        <f>IF(AND($AK323=1,OR($C323=TCL_Client,$C323=MECCA_Client)),1,0)</f>
        <v>0</v>
      </c>
      <c r="BA323" s="71" t="str">
        <f>IF($G323="","",IFERROR(MATCH($I323,lst_Priority,0),5))</f>
        <v/>
      </c>
      <c r="BB323" s="71" t="str">
        <f>IF(AND($AL323=1,$AJ323=1),$BA323*100000+ROW(),"")</f>
        <v/>
      </c>
      <c r="BC323" s="71" t="str">
        <f>IF(AND($AM323=1,$AJ323=1),$BA323*100000+ROW(),"")</f>
        <v/>
      </c>
      <c r="BD323" s="71" t="str">
        <f>IF(AND($AP323=1,$AJ323=1),$BA323*100000+ROW(),"")</f>
        <v/>
      </c>
      <c r="BE323" s="71" t="str">
        <f>IF(AND($AT323=1,$AJ323=1),$BA323*100000+ROW(),"")</f>
        <v/>
      </c>
      <c r="BF323" s="71" t="str">
        <f>IF(AND($AU323=1,$AJ323=1),$BA323*100000+ROW(),"")</f>
        <v/>
      </c>
      <c r="BG323" s="71" t="str">
        <f>IF(AND($AV323=1,$AJ323=1),$BA323*100000+ROW(),"")</f>
        <v/>
      </c>
      <c r="BH323" s="71" t="str">
        <f>IF(AND($AW323=1,$AJ323=1),$BA323*100000+ROW(),"")</f>
        <v/>
      </c>
      <c r="BI323" s="71" t="str">
        <f>IF(AND($AX323=1,$AJ323=1),$BA323*100000+ROW(),"")</f>
        <v/>
      </c>
      <c r="BJ323" s="71" t="str">
        <f>IF(AND($AS323=1,$AJ323=1),$BA323*100000+ROW(),"")</f>
        <v/>
      </c>
      <c r="BK323" s="71" t="str">
        <f>IF(AND($AY323=1,$AJ323=1),$BA323*100000+ROW(),"")</f>
        <v/>
      </c>
      <c r="BL323" s="71" t="str">
        <f>IF(AND($AZ323=1),$BA323*100000+ROW(),"")</f>
        <v/>
      </c>
    </row>
    <row r="324">
      <c r="A324" s="63" t="n"/>
      <c r="B324" s="64" t="n"/>
      <c r="C324" s="64" t="n"/>
      <c r="D324" s="64" t="n"/>
      <c r="E324" s="64" t="n"/>
      <c r="F324" s="64" t="n"/>
      <c r="G324" s="65" t="n"/>
      <c r="H324" s="65" t="n"/>
      <c r="I324" s="64" t="n"/>
      <c r="J324" s="64" t="n"/>
      <c r="K324" s="63" t="n"/>
      <c r="L324" s="63" t="n"/>
      <c r="M324" s="64" t="n"/>
      <c r="N324" s="66" t="n"/>
      <c r="O324" s="65" t="n"/>
      <c r="P324" s="64" t="n"/>
      <c r="Q324" s="67" t="n"/>
      <c r="R324" s="67" t="n"/>
      <c r="S324" s="68" t="str">
        <f>IF(AND(ISNUMBER($Q324),ISNUMBER($R324)),$Q324-$R324,"")</f>
        <v/>
      </c>
      <c r="T324" s="65" t="n"/>
      <c r="U324" s="64" t="n"/>
      <c r="V324" s="65" t="n"/>
      <c r="W324" s="63" t="n"/>
      <c r="X324" s="65" t="n"/>
      <c r="Y324" s="63" t="n"/>
      <c r="Z324" s="64" t="n"/>
      <c r="AA324" s="64" t="n"/>
      <c r="AB324" s="65" t="n"/>
      <c r="AC324" s="69" t="str">
        <f>IF(OR($G324="",NOT(ISNUMBER($K324)),$AK324=0),"",MAX(0,ReportDate-$K324))</f>
        <v/>
      </c>
      <c r="AD324" s="69" t="str">
        <f>IF($G324="","",IF($AL324=1,ReportDate-$L324,0))</f>
        <v/>
      </c>
      <c r="AE324" s="70" t="str">
        <f>IF($G324="","",IF($M324="Completed",1,IF(ISNUMBER($N324),$N324,0)))</f>
        <v/>
      </c>
      <c r="AF324" s="70" t="str">
        <f>IF(AND(ISNUMBER($Q324),ISNUMBER($R324)),IF($R324&lt;&gt;0,$Q324/$R324,""),"")</f>
        <v/>
      </c>
      <c r="AG324" s="71" t="str">
        <f>IF($G324="","",IF($AL324=1,"OVERDUE",IF($AM324=1,"BLOCKED",IF($AN324=1,"DUE TODAY",IF($AO324=1,"DUE TOMORROW",IF($AQ324=1,"HIGH PRIORITY",IF($AR324=1,"NO RECENT UPDATE",""))))))) </f>
        <v/>
      </c>
      <c r="AH324" s="71" t="str">
        <f>IF($G324="","",IF(ISNUMBER($A324),IF(ISNUMBER($A324),YEAR($A324)&amp;"-"&amp;TEXT(MONTH($A324),"00"),""),IF(ISNUMBER($L324),IF(ISNUMBER($L324),YEAR($L324)&amp;"-"&amp;TEXT(MONTH($L324),"00"),""),"")))</f>
        <v/>
      </c>
      <c r="AI324" s="71">
        <f>IF($G324="",0,IF(AND(OR(fClient="All",$C324=fClient),OR(fCampaign="All",$D324=fCampaign),OR(fTeam="All",$B324=fTeam),OR(fChannel="All",$F324=fChannel),OR(fMonth="All",$AH324=fMonth),OR(fTStatus="All",$M324=fTStatus)),1,0))</f>
        <v>0</v>
      </c>
      <c r="AJ324" s="71">
        <f>IF($G324="",0,IF(AND(OR(fClient="All",$C324=fClient),OR(fCampaign="All",$D324=fCampaign),OR(fTeam="All",$B324=fTeam),OR(fChannel="All",$F324=fChannel)),1,0))</f>
        <v>0</v>
      </c>
      <c r="AK324" s="71">
        <f>IF($G324="",0,IF(OR($M324="Completed",$M324="Cancelled"),0,1))</f>
        <v>0</v>
      </c>
      <c r="AL324" s="71">
        <f>IF(AND($AK324=1,ISNUMBER($L324)),IF($L324&lt;ReportDate,1,0),0)</f>
        <v>0</v>
      </c>
      <c r="AM324" s="71">
        <f>IF(AND($G324&lt;&gt;"",$M324="Blocked"),1,0)</f>
        <v>0</v>
      </c>
      <c r="AN324" s="71">
        <f>IF(AND($AK324=1,ISNUMBER($L324)),IF($L324=ReportDate,1,0),0)</f>
        <v>0</v>
      </c>
      <c r="AO324" s="71">
        <f>IF(AND($AK324=1,ISNUMBER($L324)),IF($L324=ReportDate+1,1,0),0)</f>
        <v>0</v>
      </c>
      <c r="AP324" s="71">
        <f>IF(AND($AK324=1,ISNUMBER($L324)),IF(AND($L324&gt;=ReportDate,$L324&lt;=ReportDate+DueSoonDays),1,0),0)</f>
        <v>0</v>
      </c>
      <c r="AQ324" s="71">
        <f>IF(AND($AK324=1,OR($I324="Critical",$I324="High")),1,0)</f>
        <v>0</v>
      </c>
      <c r="AR324" s="71">
        <f>IF($AK324=1,IF(ISNUMBER($Y324),IF(ReportDate-$Y324&gt;StaleDays,1,0),1),0)</f>
        <v>0</v>
      </c>
      <c r="AS324" s="71">
        <f>IF(AND($G324&lt;&gt;"",ISNUMBER($Q324),ISNUMBER($R324)),IF(AND($Q324&lt;$R324,OR($M324="Completed",AND(ISNUMBER($L324),$L324&lt;ReportDate))),1,0),0)</f>
        <v>0</v>
      </c>
      <c r="AT324" s="71">
        <f>IF($AK324=1,IF(OR($L324=ReportDate,$W324=ReportDate,$K324=ReportDate,$A324=ReportDate),1,0),0)</f>
        <v>0</v>
      </c>
      <c r="AU324" s="71">
        <f>IF($AK324=1,IF(OR($L324=ReportDate+1,$W324=ReportDate+1,$K324=ReportDate+1,$A324=ReportDate+1),1,0),0)</f>
        <v>0</v>
      </c>
      <c r="AV324" s="71">
        <f>IF(AND($G324&lt;&gt;"",$M324="Completed"),IF(OR($Y324=ReportDate-1,$A324=ReportDate-1),1,0),0)</f>
        <v>0</v>
      </c>
      <c r="AW324" s="71">
        <f>IF(AND($AK324=1,$Z324="Yes"),1,0)</f>
        <v>0</v>
      </c>
      <c r="AX324" s="71">
        <f>IF(AND($AK324=1,$AA324="Yes"),1,0)</f>
        <v>0</v>
      </c>
      <c r="AY324" s="71">
        <f>IF(AND($AM324=1,OR($I324="Critical",$I324="High")),1,0)</f>
        <v>0</v>
      </c>
      <c r="AZ324" s="71">
        <f>IF(AND($AK324=1,OR($C324=TCL_Client,$C324=MECCA_Client)),1,0)</f>
        <v>0</v>
      </c>
      <c r="BA324" s="71" t="str">
        <f>IF($G324="","",IFERROR(MATCH($I324,lst_Priority,0),5))</f>
        <v/>
      </c>
      <c r="BB324" s="71" t="str">
        <f>IF(AND($AL324=1,$AJ324=1),$BA324*100000+ROW(),"")</f>
        <v/>
      </c>
      <c r="BC324" s="71" t="str">
        <f>IF(AND($AM324=1,$AJ324=1),$BA324*100000+ROW(),"")</f>
        <v/>
      </c>
      <c r="BD324" s="71" t="str">
        <f>IF(AND($AP324=1,$AJ324=1),$BA324*100000+ROW(),"")</f>
        <v/>
      </c>
      <c r="BE324" s="71" t="str">
        <f>IF(AND($AT324=1,$AJ324=1),$BA324*100000+ROW(),"")</f>
        <v/>
      </c>
      <c r="BF324" s="71" t="str">
        <f>IF(AND($AU324=1,$AJ324=1),$BA324*100000+ROW(),"")</f>
        <v/>
      </c>
      <c r="BG324" s="71" t="str">
        <f>IF(AND($AV324=1,$AJ324=1),$BA324*100000+ROW(),"")</f>
        <v/>
      </c>
      <c r="BH324" s="71" t="str">
        <f>IF(AND($AW324=1,$AJ324=1),$BA324*100000+ROW(),"")</f>
        <v/>
      </c>
      <c r="BI324" s="71" t="str">
        <f>IF(AND($AX324=1,$AJ324=1),$BA324*100000+ROW(),"")</f>
        <v/>
      </c>
      <c r="BJ324" s="71" t="str">
        <f>IF(AND($AS324=1,$AJ324=1),$BA324*100000+ROW(),"")</f>
        <v/>
      </c>
      <c r="BK324" s="71" t="str">
        <f>IF(AND($AY324=1,$AJ324=1),$BA324*100000+ROW(),"")</f>
        <v/>
      </c>
      <c r="BL324" s="71" t="str">
        <f>IF(AND($AZ324=1),$BA324*100000+ROW(),"")</f>
        <v/>
      </c>
    </row>
    <row r="325">
      <c r="A325" s="63" t="n"/>
      <c r="B325" s="64" t="n"/>
      <c r="C325" s="64" t="n"/>
      <c r="D325" s="64" t="n"/>
      <c r="E325" s="64" t="n"/>
      <c r="F325" s="64" t="n"/>
      <c r="G325" s="65" t="n"/>
      <c r="H325" s="65" t="n"/>
      <c r="I325" s="64" t="n"/>
      <c r="J325" s="64" t="n"/>
      <c r="K325" s="63" t="n"/>
      <c r="L325" s="63" t="n"/>
      <c r="M325" s="64" t="n"/>
      <c r="N325" s="66" t="n"/>
      <c r="O325" s="65" t="n"/>
      <c r="P325" s="64" t="n"/>
      <c r="Q325" s="67" t="n"/>
      <c r="R325" s="67" t="n"/>
      <c r="S325" s="68" t="str">
        <f>IF(AND(ISNUMBER($Q325),ISNUMBER($R325)),$Q325-$R325,"")</f>
        <v/>
      </c>
      <c r="T325" s="65" t="n"/>
      <c r="U325" s="64" t="n"/>
      <c r="V325" s="65" t="n"/>
      <c r="W325" s="63" t="n"/>
      <c r="X325" s="65" t="n"/>
      <c r="Y325" s="63" t="n"/>
      <c r="Z325" s="64" t="n"/>
      <c r="AA325" s="64" t="n"/>
      <c r="AB325" s="65" t="n"/>
      <c r="AC325" s="69" t="str">
        <f>IF(OR($G325="",NOT(ISNUMBER($K325)),$AK325=0),"",MAX(0,ReportDate-$K325))</f>
        <v/>
      </c>
      <c r="AD325" s="69" t="str">
        <f>IF($G325="","",IF($AL325=1,ReportDate-$L325,0))</f>
        <v/>
      </c>
      <c r="AE325" s="70" t="str">
        <f>IF($G325="","",IF($M325="Completed",1,IF(ISNUMBER($N325),$N325,0)))</f>
        <v/>
      </c>
      <c r="AF325" s="70" t="str">
        <f>IF(AND(ISNUMBER($Q325),ISNUMBER($R325)),IF($R325&lt;&gt;0,$Q325/$R325,""),"")</f>
        <v/>
      </c>
      <c r="AG325" s="71" t="str">
        <f>IF($G325="","",IF($AL325=1,"OVERDUE",IF($AM325=1,"BLOCKED",IF($AN325=1,"DUE TODAY",IF($AO325=1,"DUE TOMORROW",IF($AQ325=1,"HIGH PRIORITY",IF($AR325=1,"NO RECENT UPDATE",""))))))) </f>
        <v/>
      </c>
      <c r="AH325" s="71" t="str">
        <f>IF($G325="","",IF(ISNUMBER($A325),IF(ISNUMBER($A325),YEAR($A325)&amp;"-"&amp;TEXT(MONTH($A325),"00"),""),IF(ISNUMBER($L325),IF(ISNUMBER($L325),YEAR($L325)&amp;"-"&amp;TEXT(MONTH($L325),"00"),""),"")))</f>
        <v/>
      </c>
      <c r="AI325" s="71">
        <f>IF($G325="",0,IF(AND(OR(fClient="All",$C325=fClient),OR(fCampaign="All",$D325=fCampaign),OR(fTeam="All",$B325=fTeam),OR(fChannel="All",$F325=fChannel),OR(fMonth="All",$AH325=fMonth),OR(fTStatus="All",$M325=fTStatus)),1,0))</f>
        <v>0</v>
      </c>
      <c r="AJ325" s="71">
        <f>IF($G325="",0,IF(AND(OR(fClient="All",$C325=fClient),OR(fCampaign="All",$D325=fCampaign),OR(fTeam="All",$B325=fTeam),OR(fChannel="All",$F325=fChannel)),1,0))</f>
        <v>0</v>
      </c>
      <c r="AK325" s="71">
        <f>IF($G325="",0,IF(OR($M325="Completed",$M325="Cancelled"),0,1))</f>
        <v>0</v>
      </c>
      <c r="AL325" s="71">
        <f>IF(AND($AK325=1,ISNUMBER($L325)),IF($L325&lt;ReportDate,1,0),0)</f>
        <v>0</v>
      </c>
      <c r="AM325" s="71">
        <f>IF(AND($G325&lt;&gt;"",$M325="Blocked"),1,0)</f>
        <v>0</v>
      </c>
      <c r="AN325" s="71">
        <f>IF(AND($AK325=1,ISNUMBER($L325)),IF($L325=ReportDate,1,0),0)</f>
        <v>0</v>
      </c>
      <c r="AO325" s="71">
        <f>IF(AND($AK325=1,ISNUMBER($L325)),IF($L325=ReportDate+1,1,0),0)</f>
        <v>0</v>
      </c>
      <c r="AP325" s="71">
        <f>IF(AND($AK325=1,ISNUMBER($L325)),IF(AND($L325&gt;=ReportDate,$L325&lt;=ReportDate+DueSoonDays),1,0),0)</f>
        <v>0</v>
      </c>
      <c r="AQ325" s="71">
        <f>IF(AND($AK325=1,OR($I325="Critical",$I325="High")),1,0)</f>
        <v>0</v>
      </c>
      <c r="AR325" s="71">
        <f>IF($AK325=1,IF(ISNUMBER($Y325),IF(ReportDate-$Y325&gt;StaleDays,1,0),1),0)</f>
        <v>0</v>
      </c>
      <c r="AS325" s="71">
        <f>IF(AND($G325&lt;&gt;"",ISNUMBER($Q325),ISNUMBER($R325)),IF(AND($Q325&lt;$R325,OR($M325="Completed",AND(ISNUMBER($L325),$L325&lt;ReportDate))),1,0),0)</f>
        <v>0</v>
      </c>
      <c r="AT325" s="71">
        <f>IF($AK325=1,IF(OR($L325=ReportDate,$W325=ReportDate,$K325=ReportDate,$A325=ReportDate),1,0),0)</f>
        <v>0</v>
      </c>
      <c r="AU325" s="71">
        <f>IF($AK325=1,IF(OR($L325=ReportDate+1,$W325=ReportDate+1,$K325=ReportDate+1,$A325=ReportDate+1),1,0),0)</f>
        <v>0</v>
      </c>
      <c r="AV325" s="71">
        <f>IF(AND($G325&lt;&gt;"",$M325="Completed"),IF(OR($Y325=ReportDate-1,$A325=ReportDate-1),1,0),0)</f>
        <v>0</v>
      </c>
      <c r="AW325" s="71">
        <f>IF(AND($AK325=1,$Z325="Yes"),1,0)</f>
        <v>0</v>
      </c>
      <c r="AX325" s="71">
        <f>IF(AND($AK325=1,$AA325="Yes"),1,0)</f>
        <v>0</v>
      </c>
      <c r="AY325" s="71">
        <f>IF(AND($AM325=1,OR($I325="Critical",$I325="High")),1,0)</f>
        <v>0</v>
      </c>
      <c r="AZ325" s="71">
        <f>IF(AND($AK325=1,OR($C325=TCL_Client,$C325=MECCA_Client)),1,0)</f>
        <v>0</v>
      </c>
      <c r="BA325" s="71" t="str">
        <f>IF($G325="","",IFERROR(MATCH($I325,lst_Priority,0),5))</f>
        <v/>
      </c>
      <c r="BB325" s="71" t="str">
        <f>IF(AND($AL325=1,$AJ325=1),$BA325*100000+ROW(),"")</f>
        <v/>
      </c>
      <c r="BC325" s="71" t="str">
        <f>IF(AND($AM325=1,$AJ325=1),$BA325*100000+ROW(),"")</f>
        <v/>
      </c>
      <c r="BD325" s="71" t="str">
        <f>IF(AND($AP325=1,$AJ325=1),$BA325*100000+ROW(),"")</f>
        <v/>
      </c>
      <c r="BE325" s="71" t="str">
        <f>IF(AND($AT325=1,$AJ325=1),$BA325*100000+ROW(),"")</f>
        <v/>
      </c>
      <c r="BF325" s="71" t="str">
        <f>IF(AND($AU325=1,$AJ325=1),$BA325*100000+ROW(),"")</f>
        <v/>
      </c>
      <c r="BG325" s="71" t="str">
        <f>IF(AND($AV325=1,$AJ325=1),$BA325*100000+ROW(),"")</f>
        <v/>
      </c>
      <c r="BH325" s="71" t="str">
        <f>IF(AND($AW325=1,$AJ325=1),$BA325*100000+ROW(),"")</f>
        <v/>
      </c>
      <c r="BI325" s="71" t="str">
        <f>IF(AND($AX325=1,$AJ325=1),$BA325*100000+ROW(),"")</f>
        <v/>
      </c>
      <c r="BJ325" s="71" t="str">
        <f>IF(AND($AS325=1,$AJ325=1),$BA325*100000+ROW(),"")</f>
        <v/>
      </c>
      <c r="BK325" s="71" t="str">
        <f>IF(AND($AY325=1,$AJ325=1),$BA325*100000+ROW(),"")</f>
        <v/>
      </c>
      <c r="BL325" s="71" t="str">
        <f>IF(AND($AZ325=1),$BA325*100000+ROW(),"")</f>
        <v/>
      </c>
    </row>
    <row r="326">
      <c r="A326" s="63" t="n"/>
      <c r="B326" s="64" t="n"/>
      <c r="C326" s="64" t="n"/>
      <c r="D326" s="64" t="n"/>
      <c r="E326" s="64" t="n"/>
      <c r="F326" s="64" t="n"/>
      <c r="G326" s="65" t="n"/>
      <c r="H326" s="65" t="n"/>
      <c r="I326" s="64" t="n"/>
      <c r="J326" s="64" t="n"/>
      <c r="K326" s="63" t="n"/>
      <c r="L326" s="63" t="n"/>
      <c r="M326" s="64" t="n"/>
      <c r="N326" s="66" t="n"/>
      <c r="O326" s="65" t="n"/>
      <c r="P326" s="64" t="n"/>
      <c r="Q326" s="67" t="n"/>
      <c r="R326" s="67" t="n"/>
      <c r="S326" s="68" t="str">
        <f>IF(AND(ISNUMBER($Q326),ISNUMBER($R326)),$Q326-$R326,"")</f>
        <v/>
      </c>
      <c r="T326" s="65" t="n"/>
      <c r="U326" s="64" t="n"/>
      <c r="V326" s="65" t="n"/>
      <c r="W326" s="63" t="n"/>
      <c r="X326" s="65" t="n"/>
      <c r="Y326" s="63" t="n"/>
      <c r="Z326" s="64" t="n"/>
      <c r="AA326" s="64" t="n"/>
      <c r="AB326" s="65" t="n"/>
      <c r="AC326" s="69" t="str">
        <f>IF(OR($G326="",NOT(ISNUMBER($K326)),$AK326=0),"",MAX(0,ReportDate-$K326))</f>
        <v/>
      </c>
      <c r="AD326" s="69" t="str">
        <f>IF($G326="","",IF($AL326=1,ReportDate-$L326,0))</f>
        <v/>
      </c>
      <c r="AE326" s="70" t="str">
        <f>IF($G326="","",IF($M326="Completed",1,IF(ISNUMBER($N326),$N326,0)))</f>
        <v/>
      </c>
      <c r="AF326" s="70" t="str">
        <f>IF(AND(ISNUMBER($Q326),ISNUMBER($R326)),IF($R326&lt;&gt;0,$Q326/$R326,""),"")</f>
        <v/>
      </c>
      <c r="AG326" s="71" t="str">
        <f>IF($G326="","",IF($AL326=1,"OVERDUE",IF($AM326=1,"BLOCKED",IF($AN326=1,"DUE TODAY",IF($AO326=1,"DUE TOMORROW",IF($AQ326=1,"HIGH PRIORITY",IF($AR326=1,"NO RECENT UPDATE",""))))))) </f>
        <v/>
      </c>
      <c r="AH326" s="71" t="str">
        <f>IF($G326="","",IF(ISNUMBER($A326),IF(ISNUMBER($A326),YEAR($A326)&amp;"-"&amp;TEXT(MONTH($A326),"00"),""),IF(ISNUMBER($L326),IF(ISNUMBER($L326),YEAR($L326)&amp;"-"&amp;TEXT(MONTH($L326),"00"),""),"")))</f>
        <v/>
      </c>
      <c r="AI326" s="71">
        <f>IF($G326="",0,IF(AND(OR(fClient="All",$C326=fClient),OR(fCampaign="All",$D326=fCampaign),OR(fTeam="All",$B326=fTeam),OR(fChannel="All",$F326=fChannel),OR(fMonth="All",$AH326=fMonth),OR(fTStatus="All",$M326=fTStatus)),1,0))</f>
        <v>0</v>
      </c>
      <c r="AJ326" s="71">
        <f>IF($G326="",0,IF(AND(OR(fClient="All",$C326=fClient),OR(fCampaign="All",$D326=fCampaign),OR(fTeam="All",$B326=fTeam),OR(fChannel="All",$F326=fChannel)),1,0))</f>
        <v>0</v>
      </c>
      <c r="AK326" s="71">
        <f>IF($G326="",0,IF(OR($M326="Completed",$M326="Cancelled"),0,1))</f>
        <v>0</v>
      </c>
      <c r="AL326" s="71">
        <f>IF(AND($AK326=1,ISNUMBER($L326)),IF($L326&lt;ReportDate,1,0),0)</f>
        <v>0</v>
      </c>
      <c r="AM326" s="71">
        <f>IF(AND($G326&lt;&gt;"",$M326="Blocked"),1,0)</f>
        <v>0</v>
      </c>
      <c r="AN326" s="71">
        <f>IF(AND($AK326=1,ISNUMBER($L326)),IF($L326=ReportDate,1,0),0)</f>
        <v>0</v>
      </c>
      <c r="AO326" s="71">
        <f>IF(AND($AK326=1,ISNUMBER($L326)),IF($L326=ReportDate+1,1,0),0)</f>
        <v>0</v>
      </c>
      <c r="AP326" s="71">
        <f>IF(AND($AK326=1,ISNUMBER($L326)),IF(AND($L326&gt;=ReportDate,$L326&lt;=ReportDate+DueSoonDays),1,0),0)</f>
        <v>0</v>
      </c>
      <c r="AQ326" s="71">
        <f>IF(AND($AK326=1,OR($I326="Critical",$I326="High")),1,0)</f>
        <v>0</v>
      </c>
      <c r="AR326" s="71">
        <f>IF($AK326=1,IF(ISNUMBER($Y326),IF(ReportDate-$Y326&gt;StaleDays,1,0),1),0)</f>
        <v>0</v>
      </c>
      <c r="AS326" s="71">
        <f>IF(AND($G326&lt;&gt;"",ISNUMBER($Q326),ISNUMBER($R326)),IF(AND($Q326&lt;$R326,OR($M326="Completed",AND(ISNUMBER($L326),$L326&lt;ReportDate))),1,0),0)</f>
        <v>0</v>
      </c>
      <c r="AT326" s="71">
        <f>IF($AK326=1,IF(OR($L326=ReportDate,$W326=ReportDate,$K326=ReportDate,$A326=ReportDate),1,0),0)</f>
        <v>0</v>
      </c>
      <c r="AU326" s="71">
        <f>IF($AK326=1,IF(OR($L326=ReportDate+1,$W326=ReportDate+1,$K326=ReportDate+1,$A326=ReportDate+1),1,0),0)</f>
        <v>0</v>
      </c>
      <c r="AV326" s="71">
        <f>IF(AND($G326&lt;&gt;"",$M326="Completed"),IF(OR($Y326=ReportDate-1,$A326=ReportDate-1),1,0),0)</f>
        <v>0</v>
      </c>
      <c r="AW326" s="71">
        <f>IF(AND($AK326=1,$Z326="Yes"),1,0)</f>
        <v>0</v>
      </c>
      <c r="AX326" s="71">
        <f>IF(AND($AK326=1,$AA326="Yes"),1,0)</f>
        <v>0</v>
      </c>
      <c r="AY326" s="71">
        <f>IF(AND($AM326=1,OR($I326="Critical",$I326="High")),1,0)</f>
        <v>0</v>
      </c>
      <c r="AZ326" s="71">
        <f>IF(AND($AK326=1,OR($C326=TCL_Client,$C326=MECCA_Client)),1,0)</f>
        <v>0</v>
      </c>
      <c r="BA326" s="71" t="str">
        <f>IF($G326="","",IFERROR(MATCH($I326,lst_Priority,0),5))</f>
        <v/>
      </c>
      <c r="BB326" s="71" t="str">
        <f>IF(AND($AL326=1,$AJ326=1),$BA326*100000+ROW(),"")</f>
        <v/>
      </c>
      <c r="BC326" s="71" t="str">
        <f>IF(AND($AM326=1,$AJ326=1),$BA326*100000+ROW(),"")</f>
        <v/>
      </c>
      <c r="BD326" s="71" t="str">
        <f>IF(AND($AP326=1,$AJ326=1),$BA326*100000+ROW(),"")</f>
        <v/>
      </c>
      <c r="BE326" s="71" t="str">
        <f>IF(AND($AT326=1,$AJ326=1),$BA326*100000+ROW(),"")</f>
        <v/>
      </c>
      <c r="BF326" s="71" t="str">
        <f>IF(AND($AU326=1,$AJ326=1),$BA326*100000+ROW(),"")</f>
        <v/>
      </c>
      <c r="BG326" s="71" t="str">
        <f>IF(AND($AV326=1,$AJ326=1),$BA326*100000+ROW(),"")</f>
        <v/>
      </c>
      <c r="BH326" s="71" t="str">
        <f>IF(AND($AW326=1,$AJ326=1),$BA326*100000+ROW(),"")</f>
        <v/>
      </c>
      <c r="BI326" s="71" t="str">
        <f>IF(AND($AX326=1,$AJ326=1),$BA326*100000+ROW(),"")</f>
        <v/>
      </c>
      <c r="BJ326" s="71" t="str">
        <f>IF(AND($AS326=1,$AJ326=1),$BA326*100000+ROW(),"")</f>
        <v/>
      </c>
      <c r="BK326" s="71" t="str">
        <f>IF(AND($AY326=1,$AJ326=1),$BA326*100000+ROW(),"")</f>
        <v/>
      </c>
      <c r="BL326" s="71" t="str">
        <f>IF(AND($AZ326=1),$BA326*100000+ROW(),"")</f>
        <v/>
      </c>
    </row>
    <row r="327">
      <c r="A327" s="63" t="n"/>
      <c r="B327" s="64" t="n"/>
      <c r="C327" s="64" t="n"/>
      <c r="D327" s="64" t="n"/>
      <c r="E327" s="64" t="n"/>
      <c r="F327" s="64" t="n"/>
      <c r="G327" s="65" t="n"/>
      <c r="H327" s="65" t="n"/>
      <c r="I327" s="64" t="n"/>
      <c r="J327" s="64" t="n"/>
      <c r="K327" s="63" t="n"/>
      <c r="L327" s="63" t="n"/>
      <c r="M327" s="64" t="n"/>
      <c r="N327" s="66" t="n"/>
      <c r="O327" s="65" t="n"/>
      <c r="P327" s="64" t="n"/>
      <c r="Q327" s="67" t="n"/>
      <c r="R327" s="67" t="n"/>
      <c r="S327" s="68" t="str">
        <f>IF(AND(ISNUMBER($Q327),ISNUMBER($R327)),$Q327-$R327,"")</f>
        <v/>
      </c>
      <c r="T327" s="65" t="n"/>
      <c r="U327" s="64" t="n"/>
      <c r="V327" s="65" t="n"/>
      <c r="W327" s="63" t="n"/>
      <c r="X327" s="65" t="n"/>
      <c r="Y327" s="63" t="n"/>
      <c r="Z327" s="64" t="n"/>
      <c r="AA327" s="64" t="n"/>
      <c r="AB327" s="65" t="n"/>
      <c r="AC327" s="69" t="str">
        <f>IF(OR($G327="",NOT(ISNUMBER($K327)),$AK327=0),"",MAX(0,ReportDate-$K327))</f>
        <v/>
      </c>
      <c r="AD327" s="69" t="str">
        <f>IF($G327="","",IF($AL327=1,ReportDate-$L327,0))</f>
        <v/>
      </c>
      <c r="AE327" s="70" t="str">
        <f>IF($G327="","",IF($M327="Completed",1,IF(ISNUMBER($N327),$N327,0)))</f>
        <v/>
      </c>
      <c r="AF327" s="70" t="str">
        <f>IF(AND(ISNUMBER($Q327),ISNUMBER($R327)),IF($R327&lt;&gt;0,$Q327/$R327,""),"")</f>
        <v/>
      </c>
      <c r="AG327" s="71" t="str">
        <f>IF($G327="","",IF($AL327=1,"OVERDUE",IF($AM327=1,"BLOCKED",IF($AN327=1,"DUE TODAY",IF($AO327=1,"DUE TOMORROW",IF($AQ327=1,"HIGH PRIORITY",IF($AR327=1,"NO RECENT UPDATE",""))))))) </f>
        <v/>
      </c>
      <c r="AH327" s="71" t="str">
        <f>IF($G327="","",IF(ISNUMBER($A327),IF(ISNUMBER($A327),YEAR($A327)&amp;"-"&amp;TEXT(MONTH($A327),"00"),""),IF(ISNUMBER($L327),IF(ISNUMBER($L327),YEAR($L327)&amp;"-"&amp;TEXT(MONTH($L327),"00"),""),"")))</f>
        <v/>
      </c>
      <c r="AI327" s="71">
        <f>IF($G327="",0,IF(AND(OR(fClient="All",$C327=fClient),OR(fCampaign="All",$D327=fCampaign),OR(fTeam="All",$B327=fTeam),OR(fChannel="All",$F327=fChannel),OR(fMonth="All",$AH327=fMonth),OR(fTStatus="All",$M327=fTStatus)),1,0))</f>
        <v>0</v>
      </c>
      <c r="AJ327" s="71">
        <f>IF($G327="",0,IF(AND(OR(fClient="All",$C327=fClient),OR(fCampaign="All",$D327=fCampaign),OR(fTeam="All",$B327=fTeam),OR(fChannel="All",$F327=fChannel)),1,0))</f>
        <v>0</v>
      </c>
      <c r="AK327" s="71">
        <f>IF($G327="",0,IF(OR($M327="Completed",$M327="Cancelled"),0,1))</f>
        <v>0</v>
      </c>
      <c r="AL327" s="71">
        <f>IF(AND($AK327=1,ISNUMBER($L327)),IF($L327&lt;ReportDate,1,0),0)</f>
        <v>0</v>
      </c>
      <c r="AM327" s="71">
        <f>IF(AND($G327&lt;&gt;"",$M327="Blocked"),1,0)</f>
        <v>0</v>
      </c>
      <c r="AN327" s="71">
        <f>IF(AND($AK327=1,ISNUMBER($L327)),IF($L327=ReportDate,1,0),0)</f>
        <v>0</v>
      </c>
      <c r="AO327" s="71">
        <f>IF(AND($AK327=1,ISNUMBER($L327)),IF($L327=ReportDate+1,1,0),0)</f>
        <v>0</v>
      </c>
      <c r="AP327" s="71">
        <f>IF(AND($AK327=1,ISNUMBER($L327)),IF(AND($L327&gt;=ReportDate,$L327&lt;=ReportDate+DueSoonDays),1,0),0)</f>
        <v>0</v>
      </c>
      <c r="AQ327" s="71">
        <f>IF(AND($AK327=1,OR($I327="Critical",$I327="High")),1,0)</f>
        <v>0</v>
      </c>
      <c r="AR327" s="71">
        <f>IF($AK327=1,IF(ISNUMBER($Y327),IF(ReportDate-$Y327&gt;StaleDays,1,0),1),0)</f>
        <v>0</v>
      </c>
      <c r="AS327" s="71">
        <f>IF(AND($G327&lt;&gt;"",ISNUMBER($Q327),ISNUMBER($R327)),IF(AND($Q327&lt;$R327,OR($M327="Completed",AND(ISNUMBER($L327),$L327&lt;ReportDate))),1,0),0)</f>
        <v>0</v>
      </c>
      <c r="AT327" s="71">
        <f>IF($AK327=1,IF(OR($L327=ReportDate,$W327=ReportDate,$K327=ReportDate,$A327=ReportDate),1,0),0)</f>
        <v>0</v>
      </c>
      <c r="AU327" s="71">
        <f>IF($AK327=1,IF(OR($L327=ReportDate+1,$W327=ReportDate+1,$K327=ReportDate+1,$A327=ReportDate+1),1,0),0)</f>
        <v>0</v>
      </c>
      <c r="AV327" s="71">
        <f>IF(AND($G327&lt;&gt;"",$M327="Completed"),IF(OR($Y327=ReportDate-1,$A327=ReportDate-1),1,0),0)</f>
        <v>0</v>
      </c>
      <c r="AW327" s="71">
        <f>IF(AND($AK327=1,$Z327="Yes"),1,0)</f>
        <v>0</v>
      </c>
      <c r="AX327" s="71">
        <f>IF(AND($AK327=1,$AA327="Yes"),1,0)</f>
        <v>0</v>
      </c>
      <c r="AY327" s="71">
        <f>IF(AND($AM327=1,OR($I327="Critical",$I327="High")),1,0)</f>
        <v>0</v>
      </c>
      <c r="AZ327" s="71">
        <f>IF(AND($AK327=1,OR($C327=TCL_Client,$C327=MECCA_Client)),1,0)</f>
        <v>0</v>
      </c>
      <c r="BA327" s="71" t="str">
        <f>IF($G327="","",IFERROR(MATCH($I327,lst_Priority,0),5))</f>
        <v/>
      </c>
      <c r="BB327" s="71" t="str">
        <f>IF(AND($AL327=1,$AJ327=1),$BA327*100000+ROW(),"")</f>
        <v/>
      </c>
      <c r="BC327" s="71" t="str">
        <f>IF(AND($AM327=1,$AJ327=1),$BA327*100000+ROW(),"")</f>
        <v/>
      </c>
      <c r="BD327" s="71" t="str">
        <f>IF(AND($AP327=1,$AJ327=1),$BA327*100000+ROW(),"")</f>
        <v/>
      </c>
      <c r="BE327" s="71" t="str">
        <f>IF(AND($AT327=1,$AJ327=1),$BA327*100000+ROW(),"")</f>
        <v/>
      </c>
      <c r="BF327" s="71" t="str">
        <f>IF(AND($AU327=1,$AJ327=1),$BA327*100000+ROW(),"")</f>
        <v/>
      </c>
      <c r="BG327" s="71" t="str">
        <f>IF(AND($AV327=1,$AJ327=1),$BA327*100000+ROW(),"")</f>
        <v/>
      </c>
      <c r="BH327" s="71" t="str">
        <f>IF(AND($AW327=1,$AJ327=1),$BA327*100000+ROW(),"")</f>
        <v/>
      </c>
      <c r="BI327" s="71" t="str">
        <f>IF(AND($AX327=1,$AJ327=1),$BA327*100000+ROW(),"")</f>
        <v/>
      </c>
      <c r="BJ327" s="71" t="str">
        <f>IF(AND($AS327=1,$AJ327=1),$BA327*100000+ROW(),"")</f>
        <v/>
      </c>
      <c r="BK327" s="71" t="str">
        <f>IF(AND($AY327=1,$AJ327=1),$BA327*100000+ROW(),"")</f>
        <v/>
      </c>
      <c r="BL327" s="71" t="str">
        <f>IF(AND($AZ327=1),$BA327*100000+ROW(),"")</f>
        <v/>
      </c>
    </row>
    <row r="328">
      <c r="A328" s="63" t="n"/>
      <c r="B328" s="64" t="n"/>
      <c r="C328" s="64" t="n"/>
      <c r="D328" s="64" t="n"/>
      <c r="E328" s="64" t="n"/>
      <c r="F328" s="64" t="n"/>
      <c r="G328" s="65" t="n"/>
      <c r="H328" s="65" t="n"/>
      <c r="I328" s="64" t="n"/>
      <c r="J328" s="64" t="n"/>
      <c r="K328" s="63" t="n"/>
      <c r="L328" s="63" t="n"/>
      <c r="M328" s="64" t="n"/>
      <c r="N328" s="66" t="n"/>
      <c r="O328" s="65" t="n"/>
      <c r="P328" s="64" t="n"/>
      <c r="Q328" s="67" t="n"/>
      <c r="R328" s="67" t="n"/>
      <c r="S328" s="68" t="str">
        <f>IF(AND(ISNUMBER($Q328),ISNUMBER($R328)),$Q328-$R328,"")</f>
        <v/>
      </c>
      <c r="T328" s="65" t="n"/>
      <c r="U328" s="64" t="n"/>
      <c r="V328" s="65" t="n"/>
      <c r="W328" s="63" t="n"/>
      <c r="X328" s="65" t="n"/>
      <c r="Y328" s="63" t="n"/>
      <c r="Z328" s="64" t="n"/>
      <c r="AA328" s="64" t="n"/>
      <c r="AB328" s="65" t="n"/>
      <c r="AC328" s="69" t="str">
        <f>IF(OR($G328="",NOT(ISNUMBER($K328)),$AK328=0),"",MAX(0,ReportDate-$K328))</f>
        <v/>
      </c>
      <c r="AD328" s="69" t="str">
        <f>IF($G328="","",IF($AL328=1,ReportDate-$L328,0))</f>
        <v/>
      </c>
      <c r="AE328" s="70" t="str">
        <f>IF($G328="","",IF($M328="Completed",1,IF(ISNUMBER($N328),$N328,0)))</f>
        <v/>
      </c>
      <c r="AF328" s="70" t="str">
        <f>IF(AND(ISNUMBER($Q328),ISNUMBER($R328)),IF($R328&lt;&gt;0,$Q328/$R328,""),"")</f>
        <v/>
      </c>
      <c r="AG328" s="71" t="str">
        <f>IF($G328="","",IF($AL328=1,"OVERDUE",IF($AM328=1,"BLOCKED",IF($AN328=1,"DUE TODAY",IF($AO328=1,"DUE TOMORROW",IF($AQ328=1,"HIGH PRIORITY",IF($AR328=1,"NO RECENT UPDATE",""))))))) </f>
        <v/>
      </c>
      <c r="AH328" s="71" t="str">
        <f>IF($G328="","",IF(ISNUMBER($A328),IF(ISNUMBER($A328),YEAR($A328)&amp;"-"&amp;TEXT(MONTH($A328),"00"),""),IF(ISNUMBER($L328),IF(ISNUMBER($L328),YEAR($L328)&amp;"-"&amp;TEXT(MONTH($L328),"00"),""),"")))</f>
        <v/>
      </c>
      <c r="AI328" s="71">
        <f>IF($G328="",0,IF(AND(OR(fClient="All",$C328=fClient),OR(fCampaign="All",$D328=fCampaign),OR(fTeam="All",$B328=fTeam),OR(fChannel="All",$F328=fChannel),OR(fMonth="All",$AH328=fMonth),OR(fTStatus="All",$M328=fTStatus)),1,0))</f>
        <v>0</v>
      </c>
      <c r="AJ328" s="71">
        <f>IF($G328="",0,IF(AND(OR(fClient="All",$C328=fClient),OR(fCampaign="All",$D328=fCampaign),OR(fTeam="All",$B328=fTeam),OR(fChannel="All",$F328=fChannel)),1,0))</f>
        <v>0</v>
      </c>
      <c r="AK328" s="71">
        <f>IF($G328="",0,IF(OR($M328="Completed",$M328="Cancelled"),0,1))</f>
        <v>0</v>
      </c>
      <c r="AL328" s="71">
        <f>IF(AND($AK328=1,ISNUMBER($L328)),IF($L328&lt;ReportDate,1,0),0)</f>
        <v>0</v>
      </c>
      <c r="AM328" s="71">
        <f>IF(AND($G328&lt;&gt;"",$M328="Blocked"),1,0)</f>
        <v>0</v>
      </c>
      <c r="AN328" s="71">
        <f>IF(AND($AK328=1,ISNUMBER($L328)),IF($L328=ReportDate,1,0),0)</f>
        <v>0</v>
      </c>
      <c r="AO328" s="71">
        <f>IF(AND($AK328=1,ISNUMBER($L328)),IF($L328=ReportDate+1,1,0),0)</f>
        <v>0</v>
      </c>
      <c r="AP328" s="71">
        <f>IF(AND($AK328=1,ISNUMBER($L328)),IF(AND($L328&gt;=ReportDate,$L328&lt;=ReportDate+DueSoonDays),1,0),0)</f>
        <v>0</v>
      </c>
      <c r="AQ328" s="71">
        <f>IF(AND($AK328=1,OR($I328="Critical",$I328="High")),1,0)</f>
        <v>0</v>
      </c>
      <c r="AR328" s="71">
        <f>IF($AK328=1,IF(ISNUMBER($Y328),IF(ReportDate-$Y328&gt;StaleDays,1,0),1),0)</f>
        <v>0</v>
      </c>
      <c r="AS328" s="71">
        <f>IF(AND($G328&lt;&gt;"",ISNUMBER($Q328),ISNUMBER($R328)),IF(AND($Q328&lt;$R328,OR($M328="Completed",AND(ISNUMBER($L328),$L328&lt;ReportDate))),1,0),0)</f>
        <v>0</v>
      </c>
      <c r="AT328" s="71">
        <f>IF($AK328=1,IF(OR($L328=ReportDate,$W328=ReportDate,$K328=ReportDate,$A328=ReportDate),1,0),0)</f>
        <v>0</v>
      </c>
      <c r="AU328" s="71">
        <f>IF($AK328=1,IF(OR($L328=ReportDate+1,$W328=ReportDate+1,$K328=ReportDate+1,$A328=ReportDate+1),1,0),0)</f>
        <v>0</v>
      </c>
      <c r="AV328" s="71">
        <f>IF(AND($G328&lt;&gt;"",$M328="Completed"),IF(OR($Y328=ReportDate-1,$A328=ReportDate-1),1,0),0)</f>
        <v>0</v>
      </c>
      <c r="AW328" s="71">
        <f>IF(AND($AK328=1,$Z328="Yes"),1,0)</f>
        <v>0</v>
      </c>
      <c r="AX328" s="71">
        <f>IF(AND($AK328=1,$AA328="Yes"),1,0)</f>
        <v>0</v>
      </c>
      <c r="AY328" s="71">
        <f>IF(AND($AM328=1,OR($I328="Critical",$I328="High")),1,0)</f>
        <v>0</v>
      </c>
      <c r="AZ328" s="71">
        <f>IF(AND($AK328=1,OR($C328=TCL_Client,$C328=MECCA_Client)),1,0)</f>
        <v>0</v>
      </c>
      <c r="BA328" s="71" t="str">
        <f>IF($G328="","",IFERROR(MATCH($I328,lst_Priority,0),5))</f>
        <v/>
      </c>
      <c r="BB328" s="71" t="str">
        <f>IF(AND($AL328=1,$AJ328=1),$BA328*100000+ROW(),"")</f>
        <v/>
      </c>
      <c r="BC328" s="71" t="str">
        <f>IF(AND($AM328=1,$AJ328=1),$BA328*100000+ROW(),"")</f>
        <v/>
      </c>
      <c r="BD328" s="71" t="str">
        <f>IF(AND($AP328=1,$AJ328=1),$BA328*100000+ROW(),"")</f>
        <v/>
      </c>
      <c r="BE328" s="71" t="str">
        <f>IF(AND($AT328=1,$AJ328=1),$BA328*100000+ROW(),"")</f>
        <v/>
      </c>
      <c r="BF328" s="71" t="str">
        <f>IF(AND($AU328=1,$AJ328=1),$BA328*100000+ROW(),"")</f>
        <v/>
      </c>
      <c r="BG328" s="71" t="str">
        <f>IF(AND($AV328=1,$AJ328=1),$BA328*100000+ROW(),"")</f>
        <v/>
      </c>
      <c r="BH328" s="71" t="str">
        <f>IF(AND($AW328=1,$AJ328=1),$BA328*100000+ROW(),"")</f>
        <v/>
      </c>
      <c r="BI328" s="71" t="str">
        <f>IF(AND($AX328=1,$AJ328=1),$BA328*100000+ROW(),"")</f>
        <v/>
      </c>
      <c r="BJ328" s="71" t="str">
        <f>IF(AND($AS328=1,$AJ328=1),$BA328*100000+ROW(),"")</f>
        <v/>
      </c>
      <c r="BK328" s="71" t="str">
        <f>IF(AND($AY328=1,$AJ328=1),$BA328*100000+ROW(),"")</f>
        <v/>
      </c>
      <c r="BL328" s="71" t="str">
        <f>IF(AND($AZ328=1),$BA328*100000+ROW(),"")</f>
        <v/>
      </c>
    </row>
    <row r="329">
      <c r="A329" s="63" t="n"/>
      <c r="B329" s="64" t="n"/>
      <c r="C329" s="64" t="n"/>
      <c r="D329" s="64" t="n"/>
      <c r="E329" s="64" t="n"/>
      <c r="F329" s="64" t="n"/>
      <c r="G329" s="65" t="n"/>
      <c r="H329" s="65" t="n"/>
      <c r="I329" s="64" t="n"/>
      <c r="J329" s="64" t="n"/>
      <c r="K329" s="63" t="n"/>
      <c r="L329" s="63" t="n"/>
      <c r="M329" s="64" t="n"/>
      <c r="N329" s="66" t="n"/>
      <c r="O329" s="65" t="n"/>
      <c r="P329" s="64" t="n"/>
      <c r="Q329" s="67" t="n"/>
      <c r="R329" s="67" t="n"/>
      <c r="S329" s="68" t="str">
        <f>IF(AND(ISNUMBER($Q329),ISNUMBER($R329)),$Q329-$R329,"")</f>
        <v/>
      </c>
      <c r="T329" s="65" t="n"/>
      <c r="U329" s="64" t="n"/>
      <c r="V329" s="65" t="n"/>
      <c r="W329" s="63" t="n"/>
      <c r="X329" s="65" t="n"/>
      <c r="Y329" s="63" t="n"/>
      <c r="Z329" s="64" t="n"/>
      <c r="AA329" s="64" t="n"/>
      <c r="AB329" s="65" t="n"/>
      <c r="AC329" s="69" t="str">
        <f>IF(OR($G329="",NOT(ISNUMBER($K329)),$AK329=0),"",MAX(0,ReportDate-$K329))</f>
        <v/>
      </c>
      <c r="AD329" s="69" t="str">
        <f>IF($G329="","",IF($AL329=1,ReportDate-$L329,0))</f>
        <v/>
      </c>
      <c r="AE329" s="70" t="str">
        <f>IF($G329="","",IF($M329="Completed",1,IF(ISNUMBER($N329),$N329,0)))</f>
        <v/>
      </c>
      <c r="AF329" s="70" t="str">
        <f>IF(AND(ISNUMBER($Q329),ISNUMBER($R329)),IF($R329&lt;&gt;0,$Q329/$R329,""),"")</f>
        <v/>
      </c>
      <c r="AG329" s="71" t="str">
        <f>IF($G329="","",IF($AL329=1,"OVERDUE",IF($AM329=1,"BLOCKED",IF($AN329=1,"DUE TODAY",IF($AO329=1,"DUE TOMORROW",IF($AQ329=1,"HIGH PRIORITY",IF($AR329=1,"NO RECENT UPDATE",""))))))) </f>
        <v/>
      </c>
      <c r="AH329" s="71" t="str">
        <f>IF($G329="","",IF(ISNUMBER($A329),IF(ISNUMBER($A329),YEAR($A329)&amp;"-"&amp;TEXT(MONTH($A329),"00"),""),IF(ISNUMBER($L329),IF(ISNUMBER($L329),YEAR($L329)&amp;"-"&amp;TEXT(MONTH($L329),"00"),""),"")))</f>
        <v/>
      </c>
      <c r="AI329" s="71">
        <f>IF($G329="",0,IF(AND(OR(fClient="All",$C329=fClient),OR(fCampaign="All",$D329=fCampaign),OR(fTeam="All",$B329=fTeam),OR(fChannel="All",$F329=fChannel),OR(fMonth="All",$AH329=fMonth),OR(fTStatus="All",$M329=fTStatus)),1,0))</f>
        <v>0</v>
      </c>
      <c r="AJ329" s="71">
        <f>IF($G329="",0,IF(AND(OR(fClient="All",$C329=fClient),OR(fCampaign="All",$D329=fCampaign),OR(fTeam="All",$B329=fTeam),OR(fChannel="All",$F329=fChannel)),1,0))</f>
        <v>0</v>
      </c>
      <c r="AK329" s="71">
        <f>IF($G329="",0,IF(OR($M329="Completed",$M329="Cancelled"),0,1))</f>
        <v>0</v>
      </c>
      <c r="AL329" s="71">
        <f>IF(AND($AK329=1,ISNUMBER($L329)),IF($L329&lt;ReportDate,1,0),0)</f>
        <v>0</v>
      </c>
      <c r="AM329" s="71">
        <f>IF(AND($G329&lt;&gt;"",$M329="Blocked"),1,0)</f>
        <v>0</v>
      </c>
      <c r="AN329" s="71">
        <f>IF(AND($AK329=1,ISNUMBER($L329)),IF($L329=ReportDate,1,0),0)</f>
        <v>0</v>
      </c>
      <c r="AO329" s="71">
        <f>IF(AND($AK329=1,ISNUMBER($L329)),IF($L329=ReportDate+1,1,0),0)</f>
        <v>0</v>
      </c>
      <c r="AP329" s="71">
        <f>IF(AND($AK329=1,ISNUMBER($L329)),IF(AND($L329&gt;=ReportDate,$L329&lt;=ReportDate+DueSoonDays),1,0),0)</f>
        <v>0</v>
      </c>
      <c r="AQ329" s="71">
        <f>IF(AND($AK329=1,OR($I329="Critical",$I329="High")),1,0)</f>
        <v>0</v>
      </c>
      <c r="AR329" s="71">
        <f>IF($AK329=1,IF(ISNUMBER($Y329),IF(ReportDate-$Y329&gt;StaleDays,1,0),1),0)</f>
        <v>0</v>
      </c>
      <c r="AS329" s="71">
        <f>IF(AND($G329&lt;&gt;"",ISNUMBER($Q329),ISNUMBER($R329)),IF(AND($Q329&lt;$R329,OR($M329="Completed",AND(ISNUMBER($L329),$L329&lt;ReportDate))),1,0),0)</f>
        <v>0</v>
      </c>
      <c r="AT329" s="71">
        <f>IF($AK329=1,IF(OR($L329=ReportDate,$W329=ReportDate,$K329=ReportDate,$A329=ReportDate),1,0),0)</f>
        <v>0</v>
      </c>
      <c r="AU329" s="71">
        <f>IF($AK329=1,IF(OR($L329=ReportDate+1,$W329=ReportDate+1,$K329=ReportDate+1,$A329=ReportDate+1),1,0),0)</f>
        <v>0</v>
      </c>
      <c r="AV329" s="71">
        <f>IF(AND($G329&lt;&gt;"",$M329="Completed"),IF(OR($Y329=ReportDate-1,$A329=ReportDate-1),1,0),0)</f>
        <v>0</v>
      </c>
      <c r="AW329" s="71">
        <f>IF(AND($AK329=1,$Z329="Yes"),1,0)</f>
        <v>0</v>
      </c>
      <c r="AX329" s="71">
        <f>IF(AND($AK329=1,$AA329="Yes"),1,0)</f>
        <v>0</v>
      </c>
      <c r="AY329" s="71">
        <f>IF(AND($AM329=1,OR($I329="Critical",$I329="High")),1,0)</f>
        <v>0</v>
      </c>
      <c r="AZ329" s="71">
        <f>IF(AND($AK329=1,OR($C329=TCL_Client,$C329=MECCA_Client)),1,0)</f>
        <v>0</v>
      </c>
      <c r="BA329" s="71" t="str">
        <f>IF($G329="","",IFERROR(MATCH($I329,lst_Priority,0),5))</f>
        <v/>
      </c>
      <c r="BB329" s="71" t="str">
        <f>IF(AND($AL329=1,$AJ329=1),$BA329*100000+ROW(),"")</f>
        <v/>
      </c>
      <c r="BC329" s="71" t="str">
        <f>IF(AND($AM329=1,$AJ329=1),$BA329*100000+ROW(),"")</f>
        <v/>
      </c>
      <c r="BD329" s="71" t="str">
        <f>IF(AND($AP329=1,$AJ329=1),$BA329*100000+ROW(),"")</f>
        <v/>
      </c>
      <c r="BE329" s="71" t="str">
        <f>IF(AND($AT329=1,$AJ329=1),$BA329*100000+ROW(),"")</f>
        <v/>
      </c>
      <c r="BF329" s="71" t="str">
        <f>IF(AND($AU329=1,$AJ329=1),$BA329*100000+ROW(),"")</f>
        <v/>
      </c>
      <c r="BG329" s="71" t="str">
        <f>IF(AND($AV329=1,$AJ329=1),$BA329*100000+ROW(),"")</f>
        <v/>
      </c>
      <c r="BH329" s="71" t="str">
        <f>IF(AND($AW329=1,$AJ329=1),$BA329*100000+ROW(),"")</f>
        <v/>
      </c>
      <c r="BI329" s="71" t="str">
        <f>IF(AND($AX329=1,$AJ329=1),$BA329*100000+ROW(),"")</f>
        <v/>
      </c>
      <c r="BJ329" s="71" t="str">
        <f>IF(AND($AS329=1,$AJ329=1),$BA329*100000+ROW(),"")</f>
        <v/>
      </c>
      <c r="BK329" s="71" t="str">
        <f>IF(AND($AY329=1,$AJ329=1),$BA329*100000+ROW(),"")</f>
        <v/>
      </c>
      <c r="BL329" s="71" t="str">
        <f>IF(AND($AZ329=1),$BA329*100000+ROW(),"")</f>
        <v/>
      </c>
    </row>
    <row r="330">
      <c r="A330" s="63" t="n"/>
      <c r="B330" s="64" t="n"/>
      <c r="C330" s="64" t="n"/>
      <c r="D330" s="64" t="n"/>
      <c r="E330" s="64" t="n"/>
      <c r="F330" s="64" t="n"/>
      <c r="G330" s="65" t="n"/>
      <c r="H330" s="65" t="n"/>
      <c r="I330" s="64" t="n"/>
      <c r="J330" s="64" t="n"/>
      <c r="K330" s="63" t="n"/>
      <c r="L330" s="63" t="n"/>
      <c r="M330" s="64" t="n"/>
      <c r="N330" s="66" t="n"/>
      <c r="O330" s="65" t="n"/>
      <c r="P330" s="64" t="n"/>
      <c r="Q330" s="67" t="n"/>
      <c r="R330" s="67" t="n"/>
      <c r="S330" s="68" t="str">
        <f>IF(AND(ISNUMBER($Q330),ISNUMBER($R330)),$Q330-$R330,"")</f>
        <v/>
      </c>
      <c r="T330" s="65" t="n"/>
      <c r="U330" s="64" t="n"/>
      <c r="V330" s="65" t="n"/>
      <c r="W330" s="63" t="n"/>
      <c r="X330" s="65" t="n"/>
      <c r="Y330" s="63" t="n"/>
      <c r="Z330" s="64" t="n"/>
      <c r="AA330" s="64" t="n"/>
      <c r="AB330" s="65" t="n"/>
      <c r="AC330" s="69" t="str">
        <f>IF(OR($G330="",NOT(ISNUMBER($K330)),$AK330=0),"",MAX(0,ReportDate-$K330))</f>
        <v/>
      </c>
      <c r="AD330" s="69" t="str">
        <f>IF($G330="","",IF($AL330=1,ReportDate-$L330,0))</f>
        <v/>
      </c>
      <c r="AE330" s="70" t="str">
        <f>IF($G330="","",IF($M330="Completed",1,IF(ISNUMBER($N330),$N330,0)))</f>
        <v/>
      </c>
      <c r="AF330" s="70" t="str">
        <f>IF(AND(ISNUMBER($Q330),ISNUMBER($R330)),IF($R330&lt;&gt;0,$Q330/$R330,""),"")</f>
        <v/>
      </c>
      <c r="AG330" s="71" t="str">
        <f>IF($G330="","",IF($AL330=1,"OVERDUE",IF($AM330=1,"BLOCKED",IF($AN330=1,"DUE TODAY",IF($AO330=1,"DUE TOMORROW",IF($AQ330=1,"HIGH PRIORITY",IF($AR330=1,"NO RECENT UPDATE",""))))))) </f>
        <v/>
      </c>
      <c r="AH330" s="71" t="str">
        <f>IF($G330="","",IF(ISNUMBER($A330),IF(ISNUMBER($A330),YEAR($A330)&amp;"-"&amp;TEXT(MONTH($A330),"00"),""),IF(ISNUMBER($L330),IF(ISNUMBER($L330),YEAR($L330)&amp;"-"&amp;TEXT(MONTH($L330),"00"),""),"")))</f>
        <v/>
      </c>
      <c r="AI330" s="71">
        <f>IF($G330="",0,IF(AND(OR(fClient="All",$C330=fClient),OR(fCampaign="All",$D330=fCampaign),OR(fTeam="All",$B330=fTeam),OR(fChannel="All",$F330=fChannel),OR(fMonth="All",$AH330=fMonth),OR(fTStatus="All",$M330=fTStatus)),1,0))</f>
        <v>0</v>
      </c>
      <c r="AJ330" s="71">
        <f>IF($G330="",0,IF(AND(OR(fClient="All",$C330=fClient),OR(fCampaign="All",$D330=fCampaign),OR(fTeam="All",$B330=fTeam),OR(fChannel="All",$F330=fChannel)),1,0))</f>
        <v>0</v>
      </c>
      <c r="AK330" s="71">
        <f>IF($G330="",0,IF(OR($M330="Completed",$M330="Cancelled"),0,1))</f>
        <v>0</v>
      </c>
      <c r="AL330" s="71">
        <f>IF(AND($AK330=1,ISNUMBER($L330)),IF($L330&lt;ReportDate,1,0),0)</f>
        <v>0</v>
      </c>
      <c r="AM330" s="71">
        <f>IF(AND($G330&lt;&gt;"",$M330="Blocked"),1,0)</f>
        <v>0</v>
      </c>
      <c r="AN330" s="71">
        <f>IF(AND($AK330=1,ISNUMBER($L330)),IF($L330=ReportDate,1,0),0)</f>
        <v>0</v>
      </c>
      <c r="AO330" s="71">
        <f>IF(AND($AK330=1,ISNUMBER($L330)),IF($L330=ReportDate+1,1,0),0)</f>
        <v>0</v>
      </c>
      <c r="AP330" s="71">
        <f>IF(AND($AK330=1,ISNUMBER($L330)),IF(AND($L330&gt;=ReportDate,$L330&lt;=ReportDate+DueSoonDays),1,0),0)</f>
        <v>0</v>
      </c>
      <c r="AQ330" s="71">
        <f>IF(AND($AK330=1,OR($I330="Critical",$I330="High")),1,0)</f>
        <v>0</v>
      </c>
      <c r="AR330" s="71">
        <f>IF($AK330=1,IF(ISNUMBER($Y330),IF(ReportDate-$Y330&gt;StaleDays,1,0),1),0)</f>
        <v>0</v>
      </c>
      <c r="AS330" s="71">
        <f>IF(AND($G330&lt;&gt;"",ISNUMBER($Q330),ISNUMBER($R330)),IF(AND($Q330&lt;$R330,OR($M330="Completed",AND(ISNUMBER($L330),$L330&lt;ReportDate))),1,0),0)</f>
        <v>0</v>
      </c>
      <c r="AT330" s="71">
        <f>IF($AK330=1,IF(OR($L330=ReportDate,$W330=ReportDate,$K330=ReportDate,$A330=ReportDate),1,0),0)</f>
        <v>0</v>
      </c>
      <c r="AU330" s="71">
        <f>IF($AK330=1,IF(OR($L330=ReportDate+1,$W330=ReportDate+1,$K330=ReportDate+1,$A330=ReportDate+1),1,0),0)</f>
        <v>0</v>
      </c>
      <c r="AV330" s="71">
        <f>IF(AND($G330&lt;&gt;"",$M330="Completed"),IF(OR($Y330=ReportDate-1,$A330=ReportDate-1),1,0),0)</f>
        <v>0</v>
      </c>
      <c r="AW330" s="71">
        <f>IF(AND($AK330=1,$Z330="Yes"),1,0)</f>
        <v>0</v>
      </c>
      <c r="AX330" s="71">
        <f>IF(AND($AK330=1,$AA330="Yes"),1,0)</f>
        <v>0</v>
      </c>
      <c r="AY330" s="71">
        <f>IF(AND($AM330=1,OR($I330="Critical",$I330="High")),1,0)</f>
        <v>0</v>
      </c>
      <c r="AZ330" s="71">
        <f>IF(AND($AK330=1,OR($C330=TCL_Client,$C330=MECCA_Client)),1,0)</f>
        <v>0</v>
      </c>
      <c r="BA330" s="71" t="str">
        <f>IF($G330="","",IFERROR(MATCH($I330,lst_Priority,0),5))</f>
        <v/>
      </c>
      <c r="BB330" s="71" t="str">
        <f>IF(AND($AL330=1,$AJ330=1),$BA330*100000+ROW(),"")</f>
        <v/>
      </c>
      <c r="BC330" s="71" t="str">
        <f>IF(AND($AM330=1,$AJ330=1),$BA330*100000+ROW(),"")</f>
        <v/>
      </c>
      <c r="BD330" s="71" t="str">
        <f>IF(AND($AP330=1,$AJ330=1),$BA330*100000+ROW(),"")</f>
        <v/>
      </c>
      <c r="BE330" s="71" t="str">
        <f>IF(AND($AT330=1,$AJ330=1),$BA330*100000+ROW(),"")</f>
        <v/>
      </c>
      <c r="BF330" s="71" t="str">
        <f>IF(AND($AU330=1,$AJ330=1),$BA330*100000+ROW(),"")</f>
        <v/>
      </c>
      <c r="BG330" s="71" t="str">
        <f>IF(AND($AV330=1,$AJ330=1),$BA330*100000+ROW(),"")</f>
        <v/>
      </c>
      <c r="BH330" s="71" t="str">
        <f>IF(AND($AW330=1,$AJ330=1),$BA330*100000+ROW(),"")</f>
        <v/>
      </c>
      <c r="BI330" s="71" t="str">
        <f>IF(AND($AX330=1,$AJ330=1),$BA330*100000+ROW(),"")</f>
        <v/>
      </c>
      <c r="BJ330" s="71" t="str">
        <f>IF(AND($AS330=1,$AJ330=1),$BA330*100000+ROW(),"")</f>
        <v/>
      </c>
      <c r="BK330" s="71" t="str">
        <f>IF(AND($AY330=1,$AJ330=1),$BA330*100000+ROW(),"")</f>
        <v/>
      </c>
      <c r="BL330" s="71" t="str">
        <f>IF(AND($AZ330=1),$BA330*100000+ROW(),"")</f>
        <v/>
      </c>
    </row>
    <row r="331">
      <c r="A331" s="63" t="n"/>
      <c r="B331" s="64" t="n"/>
      <c r="C331" s="64" t="n"/>
      <c r="D331" s="64" t="n"/>
      <c r="E331" s="64" t="n"/>
      <c r="F331" s="64" t="n"/>
      <c r="G331" s="65" t="n"/>
      <c r="H331" s="65" t="n"/>
      <c r="I331" s="64" t="n"/>
      <c r="J331" s="64" t="n"/>
      <c r="K331" s="63" t="n"/>
      <c r="L331" s="63" t="n"/>
      <c r="M331" s="64" t="n"/>
      <c r="N331" s="66" t="n"/>
      <c r="O331" s="65" t="n"/>
      <c r="P331" s="64" t="n"/>
      <c r="Q331" s="67" t="n"/>
      <c r="R331" s="67" t="n"/>
      <c r="S331" s="68" t="str">
        <f>IF(AND(ISNUMBER($Q331),ISNUMBER($R331)),$Q331-$R331,"")</f>
        <v/>
      </c>
      <c r="T331" s="65" t="n"/>
      <c r="U331" s="64" t="n"/>
      <c r="V331" s="65" t="n"/>
      <c r="W331" s="63" t="n"/>
      <c r="X331" s="65" t="n"/>
      <c r="Y331" s="63" t="n"/>
      <c r="Z331" s="64" t="n"/>
      <c r="AA331" s="64" t="n"/>
      <c r="AB331" s="65" t="n"/>
      <c r="AC331" s="69" t="str">
        <f>IF(OR($G331="",NOT(ISNUMBER($K331)),$AK331=0),"",MAX(0,ReportDate-$K331))</f>
        <v/>
      </c>
      <c r="AD331" s="69" t="str">
        <f>IF($G331="","",IF($AL331=1,ReportDate-$L331,0))</f>
        <v/>
      </c>
      <c r="AE331" s="70" t="str">
        <f>IF($G331="","",IF($M331="Completed",1,IF(ISNUMBER($N331),$N331,0)))</f>
        <v/>
      </c>
      <c r="AF331" s="70" t="str">
        <f>IF(AND(ISNUMBER($Q331),ISNUMBER($R331)),IF($R331&lt;&gt;0,$Q331/$R331,""),"")</f>
        <v/>
      </c>
      <c r="AG331" s="71" t="str">
        <f>IF($G331="","",IF($AL331=1,"OVERDUE",IF($AM331=1,"BLOCKED",IF($AN331=1,"DUE TODAY",IF($AO331=1,"DUE TOMORROW",IF($AQ331=1,"HIGH PRIORITY",IF($AR331=1,"NO RECENT UPDATE",""))))))) </f>
        <v/>
      </c>
      <c r="AH331" s="71" t="str">
        <f>IF($G331="","",IF(ISNUMBER($A331),IF(ISNUMBER($A331),YEAR($A331)&amp;"-"&amp;TEXT(MONTH($A331),"00"),""),IF(ISNUMBER($L331),IF(ISNUMBER($L331),YEAR($L331)&amp;"-"&amp;TEXT(MONTH($L331),"00"),""),"")))</f>
        <v/>
      </c>
      <c r="AI331" s="71">
        <f>IF($G331="",0,IF(AND(OR(fClient="All",$C331=fClient),OR(fCampaign="All",$D331=fCampaign),OR(fTeam="All",$B331=fTeam),OR(fChannel="All",$F331=fChannel),OR(fMonth="All",$AH331=fMonth),OR(fTStatus="All",$M331=fTStatus)),1,0))</f>
        <v>0</v>
      </c>
      <c r="AJ331" s="71">
        <f>IF($G331="",0,IF(AND(OR(fClient="All",$C331=fClient),OR(fCampaign="All",$D331=fCampaign),OR(fTeam="All",$B331=fTeam),OR(fChannel="All",$F331=fChannel)),1,0))</f>
        <v>0</v>
      </c>
      <c r="AK331" s="71">
        <f>IF($G331="",0,IF(OR($M331="Completed",$M331="Cancelled"),0,1))</f>
        <v>0</v>
      </c>
      <c r="AL331" s="71">
        <f>IF(AND($AK331=1,ISNUMBER($L331)),IF($L331&lt;ReportDate,1,0),0)</f>
        <v>0</v>
      </c>
      <c r="AM331" s="71">
        <f>IF(AND($G331&lt;&gt;"",$M331="Blocked"),1,0)</f>
        <v>0</v>
      </c>
      <c r="AN331" s="71">
        <f>IF(AND($AK331=1,ISNUMBER($L331)),IF($L331=ReportDate,1,0),0)</f>
        <v>0</v>
      </c>
      <c r="AO331" s="71">
        <f>IF(AND($AK331=1,ISNUMBER($L331)),IF($L331=ReportDate+1,1,0),0)</f>
        <v>0</v>
      </c>
      <c r="AP331" s="71">
        <f>IF(AND($AK331=1,ISNUMBER($L331)),IF(AND($L331&gt;=ReportDate,$L331&lt;=ReportDate+DueSoonDays),1,0),0)</f>
        <v>0</v>
      </c>
      <c r="AQ331" s="71">
        <f>IF(AND($AK331=1,OR($I331="Critical",$I331="High")),1,0)</f>
        <v>0</v>
      </c>
      <c r="AR331" s="71">
        <f>IF($AK331=1,IF(ISNUMBER($Y331),IF(ReportDate-$Y331&gt;StaleDays,1,0),1),0)</f>
        <v>0</v>
      </c>
      <c r="AS331" s="71">
        <f>IF(AND($G331&lt;&gt;"",ISNUMBER($Q331),ISNUMBER($R331)),IF(AND($Q331&lt;$R331,OR($M331="Completed",AND(ISNUMBER($L331),$L331&lt;ReportDate))),1,0),0)</f>
        <v>0</v>
      </c>
      <c r="AT331" s="71">
        <f>IF($AK331=1,IF(OR($L331=ReportDate,$W331=ReportDate,$K331=ReportDate,$A331=ReportDate),1,0),0)</f>
        <v>0</v>
      </c>
      <c r="AU331" s="71">
        <f>IF($AK331=1,IF(OR($L331=ReportDate+1,$W331=ReportDate+1,$K331=ReportDate+1,$A331=ReportDate+1),1,0),0)</f>
        <v>0</v>
      </c>
      <c r="AV331" s="71">
        <f>IF(AND($G331&lt;&gt;"",$M331="Completed"),IF(OR($Y331=ReportDate-1,$A331=ReportDate-1),1,0),0)</f>
        <v>0</v>
      </c>
      <c r="AW331" s="71">
        <f>IF(AND($AK331=1,$Z331="Yes"),1,0)</f>
        <v>0</v>
      </c>
      <c r="AX331" s="71">
        <f>IF(AND($AK331=1,$AA331="Yes"),1,0)</f>
        <v>0</v>
      </c>
      <c r="AY331" s="71">
        <f>IF(AND($AM331=1,OR($I331="Critical",$I331="High")),1,0)</f>
        <v>0</v>
      </c>
      <c r="AZ331" s="71">
        <f>IF(AND($AK331=1,OR($C331=TCL_Client,$C331=MECCA_Client)),1,0)</f>
        <v>0</v>
      </c>
      <c r="BA331" s="71" t="str">
        <f>IF($G331="","",IFERROR(MATCH($I331,lst_Priority,0),5))</f>
        <v/>
      </c>
      <c r="BB331" s="71" t="str">
        <f>IF(AND($AL331=1,$AJ331=1),$BA331*100000+ROW(),"")</f>
        <v/>
      </c>
      <c r="BC331" s="71" t="str">
        <f>IF(AND($AM331=1,$AJ331=1),$BA331*100000+ROW(),"")</f>
        <v/>
      </c>
      <c r="BD331" s="71" t="str">
        <f>IF(AND($AP331=1,$AJ331=1),$BA331*100000+ROW(),"")</f>
        <v/>
      </c>
      <c r="BE331" s="71" t="str">
        <f>IF(AND($AT331=1,$AJ331=1),$BA331*100000+ROW(),"")</f>
        <v/>
      </c>
      <c r="BF331" s="71" t="str">
        <f>IF(AND($AU331=1,$AJ331=1),$BA331*100000+ROW(),"")</f>
        <v/>
      </c>
      <c r="BG331" s="71" t="str">
        <f>IF(AND($AV331=1,$AJ331=1),$BA331*100000+ROW(),"")</f>
        <v/>
      </c>
      <c r="BH331" s="71" t="str">
        <f>IF(AND($AW331=1,$AJ331=1),$BA331*100000+ROW(),"")</f>
        <v/>
      </c>
      <c r="BI331" s="71" t="str">
        <f>IF(AND($AX331=1,$AJ331=1),$BA331*100000+ROW(),"")</f>
        <v/>
      </c>
      <c r="BJ331" s="71" t="str">
        <f>IF(AND($AS331=1,$AJ331=1),$BA331*100000+ROW(),"")</f>
        <v/>
      </c>
      <c r="BK331" s="71" t="str">
        <f>IF(AND($AY331=1,$AJ331=1),$BA331*100000+ROW(),"")</f>
        <v/>
      </c>
      <c r="BL331" s="71" t="str">
        <f>IF(AND($AZ331=1),$BA331*100000+ROW(),"")</f>
        <v/>
      </c>
    </row>
    <row r="332">
      <c r="A332" s="63" t="n"/>
      <c r="B332" s="64" t="n"/>
      <c r="C332" s="64" t="n"/>
      <c r="D332" s="64" t="n"/>
      <c r="E332" s="64" t="n"/>
      <c r="F332" s="64" t="n"/>
      <c r="G332" s="65" t="n"/>
      <c r="H332" s="65" t="n"/>
      <c r="I332" s="64" t="n"/>
      <c r="J332" s="64" t="n"/>
      <c r="K332" s="63" t="n"/>
      <c r="L332" s="63" t="n"/>
      <c r="M332" s="64" t="n"/>
      <c r="N332" s="66" t="n"/>
      <c r="O332" s="65" t="n"/>
      <c r="P332" s="64" t="n"/>
      <c r="Q332" s="67" t="n"/>
      <c r="R332" s="67" t="n"/>
      <c r="S332" s="68" t="str">
        <f>IF(AND(ISNUMBER($Q332),ISNUMBER($R332)),$Q332-$R332,"")</f>
        <v/>
      </c>
      <c r="T332" s="65" t="n"/>
      <c r="U332" s="64" t="n"/>
      <c r="V332" s="65" t="n"/>
      <c r="W332" s="63" t="n"/>
      <c r="X332" s="65" t="n"/>
      <c r="Y332" s="63" t="n"/>
      <c r="Z332" s="64" t="n"/>
      <c r="AA332" s="64" t="n"/>
      <c r="AB332" s="65" t="n"/>
      <c r="AC332" s="69" t="str">
        <f>IF(OR($G332="",NOT(ISNUMBER($K332)),$AK332=0),"",MAX(0,ReportDate-$K332))</f>
        <v/>
      </c>
      <c r="AD332" s="69" t="str">
        <f>IF($G332="","",IF($AL332=1,ReportDate-$L332,0))</f>
        <v/>
      </c>
      <c r="AE332" s="70" t="str">
        <f>IF($G332="","",IF($M332="Completed",1,IF(ISNUMBER($N332),$N332,0)))</f>
        <v/>
      </c>
      <c r="AF332" s="70" t="str">
        <f>IF(AND(ISNUMBER($Q332),ISNUMBER($R332)),IF($R332&lt;&gt;0,$Q332/$R332,""),"")</f>
        <v/>
      </c>
      <c r="AG332" s="71" t="str">
        <f>IF($G332="","",IF($AL332=1,"OVERDUE",IF($AM332=1,"BLOCKED",IF($AN332=1,"DUE TODAY",IF($AO332=1,"DUE TOMORROW",IF($AQ332=1,"HIGH PRIORITY",IF($AR332=1,"NO RECENT UPDATE",""))))))) </f>
        <v/>
      </c>
      <c r="AH332" s="71" t="str">
        <f>IF($G332="","",IF(ISNUMBER($A332),IF(ISNUMBER($A332),YEAR($A332)&amp;"-"&amp;TEXT(MONTH($A332),"00"),""),IF(ISNUMBER($L332),IF(ISNUMBER($L332),YEAR($L332)&amp;"-"&amp;TEXT(MONTH($L332),"00"),""),"")))</f>
        <v/>
      </c>
      <c r="AI332" s="71">
        <f>IF($G332="",0,IF(AND(OR(fClient="All",$C332=fClient),OR(fCampaign="All",$D332=fCampaign),OR(fTeam="All",$B332=fTeam),OR(fChannel="All",$F332=fChannel),OR(fMonth="All",$AH332=fMonth),OR(fTStatus="All",$M332=fTStatus)),1,0))</f>
        <v>0</v>
      </c>
      <c r="AJ332" s="71">
        <f>IF($G332="",0,IF(AND(OR(fClient="All",$C332=fClient),OR(fCampaign="All",$D332=fCampaign),OR(fTeam="All",$B332=fTeam),OR(fChannel="All",$F332=fChannel)),1,0))</f>
        <v>0</v>
      </c>
      <c r="AK332" s="71">
        <f>IF($G332="",0,IF(OR($M332="Completed",$M332="Cancelled"),0,1))</f>
        <v>0</v>
      </c>
      <c r="AL332" s="71">
        <f>IF(AND($AK332=1,ISNUMBER($L332)),IF($L332&lt;ReportDate,1,0),0)</f>
        <v>0</v>
      </c>
      <c r="AM332" s="71">
        <f>IF(AND($G332&lt;&gt;"",$M332="Blocked"),1,0)</f>
        <v>0</v>
      </c>
      <c r="AN332" s="71">
        <f>IF(AND($AK332=1,ISNUMBER($L332)),IF($L332=ReportDate,1,0),0)</f>
        <v>0</v>
      </c>
      <c r="AO332" s="71">
        <f>IF(AND($AK332=1,ISNUMBER($L332)),IF($L332=ReportDate+1,1,0),0)</f>
        <v>0</v>
      </c>
      <c r="AP332" s="71">
        <f>IF(AND($AK332=1,ISNUMBER($L332)),IF(AND($L332&gt;=ReportDate,$L332&lt;=ReportDate+DueSoonDays),1,0),0)</f>
        <v>0</v>
      </c>
      <c r="AQ332" s="71">
        <f>IF(AND($AK332=1,OR($I332="Critical",$I332="High")),1,0)</f>
        <v>0</v>
      </c>
      <c r="AR332" s="71">
        <f>IF($AK332=1,IF(ISNUMBER($Y332),IF(ReportDate-$Y332&gt;StaleDays,1,0),1),0)</f>
        <v>0</v>
      </c>
      <c r="AS332" s="71">
        <f>IF(AND($G332&lt;&gt;"",ISNUMBER($Q332),ISNUMBER($R332)),IF(AND($Q332&lt;$R332,OR($M332="Completed",AND(ISNUMBER($L332),$L332&lt;ReportDate))),1,0),0)</f>
        <v>0</v>
      </c>
      <c r="AT332" s="71">
        <f>IF($AK332=1,IF(OR($L332=ReportDate,$W332=ReportDate,$K332=ReportDate,$A332=ReportDate),1,0),0)</f>
        <v>0</v>
      </c>
      <c r="AU332" s="71">
        <f>IF($AK332=1,IF(OR($L332=ReportDate+1,$W332=ReportDate+1,$K332=ReportDate+1,$A332=ReportDate+1),1,0),0)</f>
        <v>0</v>
      </c>
      <c r="AV332" s="71">
        <f>IF(AND($G332&lt;&gt;"",$M332="Completed"),IF(OR($Y332=ReportDate-1,$A332=ReportDate-1),1,0),0)</f>
        <v>0</v>
      </c>
      <c r="AW332" s="71">
        <f>IF(AND($AK332=1,$Z332="Yes"),1,0)</f>
        <v>0</v>
      </c>
      <c r="AX332" s="71">
        <f>IF(AND($AK332=1,$AA332="Yes"),1,0)</f>
        <v>0</v>
      </c>
      <c r="AY332" s="71">
        <f>IF(AND($AM332=1,OR($I332="Critical",$I332="High")),1,0)</f>
        <v>0</v>
      </c>
      <c r="AZ332" s="71">
        <f>IF(AND($AK332=1,OR($C332=TCL_Client,$C332=MECCA_Client)),1,0)</f>
        <v>0</v>
      </c>
      <c r="BA332" s="71" t="str">
        <f>IF($G332="","",IFERROR(MATCH($I332,lst_Priority,0),5))</f>
        <v/>
      </c>
      <c r="BB332" s="71" t="str">
        <f>IF(AND($AL332=1,$AJ332=1),$BA332*100000+ROW(),"")</f>
        <v/>
      </c>
      <c r="BC332" s="71" t="str">
        <f>IF(AND($AM332=1,$AJ332=1),$BA332*100000+ROW(),"")</f>
        <v/>
      </c>
      <c r="BD332" s="71" t="str">
        <f>IF(AND($AP332=1,$AJ332=1),$BA332*100000+ROW(),"")</f>
        <v/>
      </c>
      <c r="BE332" s="71" t="str">
        <f>IF(AND($AT332=1,$AJ332=1),$BA332*100000+ROW(),"")</f>
        <v/>
      </c>
      <c r="BF332" s="71" t="str">
        <f>IF(AND($AU332=1,$AJ332=1),$BA332*100000+ROW(),"")</f>
        <v/>
      </c>
      <c r="BG332" s="71" t="str">
        <f>IF(AND($AV332=1,$AJ332=1),$BA332*100000+ROW(),"")</f>
        <v/>
      </c>
      <c r="BH332" s="71" t="str">
        <f>IF(AND($AW332=1,$AJ332=1),$BA332*100000+ROW(),"")</f>
        <v/>
      </c>
      <c r="BI332" s="71" t="str">
        <f>IF(AND($AX332=1,$AJ332=1),$BA332*100000+ROW(),"")</f>
        <v/>
      </c>
      <c r="BJ332" s="71" t="str">
        <f>IF(AND($AS332=1,$AJ332=1),$BA332*100000+ROW(),"")</f>
        <v/>
      </c>
      <c r="BK332" s="71" t="str">
        <f>IF(AND($AY332=1,$AJ332=1),$BA332*100000+ROW(),"")</f>
        <v/>
      </c>
      <c r="BL332" s="71" t="str">
        <f>IF(AND($AZ332=1),$BA332*100000+ROW(),"")</f>
        <v/>
      </c>
    </row>
    <row r="333">
      <c r="A333" s="63" t="n"/>
      <c r="B333" s="64" t="n"/>
      <c r="C333" s="64" t="n"/>
      <c r="D333" s="64" t="n"/>
      <c r="E333" s="64" t="n"/>
      <c r="F333" s="64" t="n"/>
      <c r="G333" s="65" t="n"/>
      <c r="H333" s="65" t="n"/>
      <c r="I333" s="64" t="n"/>
      <c r="J333" s="64" t="n"/>
      <c r="K333" s="63" t="n"/>
      <c r="L333" s="63" t="n"/>
      <c r="M333" s="64" t="n"/>
      <c r="N333" s="66" t="n"/>
      <c r="O333" s="65" t="n"/>
      <c r="P333" s="64" t="n"/>
      <c r="Q333" s="67" t="n"/>
      <c r="R333" s="67" t="n"/>
      <c r="S333" s="68" t="str">
        <f>IF(AND(ISNUMBER($Q333),ISNUMBER($R333)),$Q333-$R333,"")</f>
        <v/>
      </c>
      <c r="T333" s="65" t="n"/>
      <c r="U333" s="64" t="n"/>
      <c r="V333" s="65" t="n"/>
      <c r="W333" s="63" t="n"/>
      <c r="X333" s="65" t="n"/>
      <c r="Y333" s="63" t="n"/>
      <c r="Z333" s="64" t="n"/>
      <c r="AA333" s="64" t="n"/>
      <c r="AB333" s="65" t="n"/>
      <c r="AC333" s="69" t="str">
        <f>IF(OR($G333="",NOT(ISNUMBER($K333)),$AK333=0),"",MAX(0,ReportDate-$K333))</f>
        <v/>
      </c>
      <c r="AD333" s="69" t="str">
        <f>IF($G333="","",IF($AL333=1,ReportDate-$L333,0))</f>
        <v/>
      </c>
      <c r="AE333" s="70" t="str">
        <f>IF($G333="","",IF($M333="Completed",1,IF(ISNUMBER($N333),$N333,0)))</f>
        <v/>
      </c>
      <c r="AF333" s="70" t="str">
        <f>IF(AND(ISNUMBER($Q333),ISNUMBER($R333)),IF($R333&lt;&gt;0,$Q333/$R333,""),"")</f>
        <v/>
      </c>
      <c r="AG333" s="71" t="str">
        <f>IF($G333="","",IF($AL333=1,"OVERDUE",IF($AM333=1,"BLOCKED",IF($AN333=1,"DUE TODAY",IF($AO333=1,"DUE TOMORROW",IF($AQ333=1,"HIGH PRIORITY",IF($AR333=1,"NO RECENT UPDATE",""))))))) </f>
        <v/>
      </c>
      <c r="AH333" s="71" t="str">
        <f>IF($G333="","",IF(ISNUMBER($A333),IF(ISNUMBER($A333),YEAR($A333)&amp;"-"&amp;TEXT(MONTH($A333),"00"),""),IF(ISNUMBER($L333),IF(ISNUMBER($L333),YEAR($L333)&amp;"-"&amp;TEXT(MONTH($L333),"00"),""),"")))</f>
        <v/>
      </c>
      <c r="AI333" s="71">
        <f>IF($G333="",0,IF(AND(OR(fClient="All",$C333=fClient),OR(fCampaign="All",$D333=fCampaign),OR(fTeam="All",$B333=fTeam),OR(fChannel="All",$F333=fChannel),OR(fMonth="All",$AH333=fMonth),OR(fTStatus="All",$M333=fTStatus)),1,0))</f>
        <v>0</v>
      </c>
      <c r="AJ333" s="71">
        <f>IF($G333="",0,IF(AND(OR(fClient="All",$C333=fClient),OR(fCampaign="All",$D333=fCampaign),OR(fTeam="All",$B333=fTeam),OR(fChannel="All",$F333=fChannel)),1,0))</f>
        <v>0</v>
      </c>
      <c r="AK333" s="71">
        <f>IF($G333="",0,IF(OR($M333="Completed",$M333="Cancelled"),0,1))</f>
        <v>0</v>
      </c>
      <c r="AL333" s="71">
        <f>IF(AND($AK333=1,ISNUMBER($L333)),IF($L333&lt;ReportDate,1,0),0)</f>
        <v>0</v>
      </c>
      <c r="AM333" s="71">
        <f>IF(AND($G333&lt;&gt;"",$M333="Blocked"),1,0)</f>
        <v>0</v>
      </c>
      <c r="AN333" s="71">
        <f>IF(AND($AK333=1,ISNUMBER($L333)),IF($L333=ReportDate,1,0),0)</f>
        <v>0</v>
      </c>
      <c r="AO333" s="71">
        <f>IF(AND($AK333=1,ISNUMBER($L333)),IF($L333=ReportDate+1,1,0),0)</f>
        <v>0</v>
      </c>
      <c r="AP333" s="71">
        <f>IF(AND($AK333=1,ISNUMBER($L333)),IF(AND($L333&gt;=ReportDate,$L333&lt;=ReportDate+DueSoonDays),1,0),0)</f>
        <v>0</v>
      </c>
      <c r="AQ333" s="71">
        <f>IF(AND($AK333=1,OR($I333="Critical",$I333="High")),1,0)</f>
        <v>0</v>
      </c>
      <c r="AR333" s="71">
        <f>IF($AK333=1,IF(ISNUMBER($Y333),IF(ReportDate-$Y333&gt;StaleDays,1,0),1),0)</f>
        <v>0</v>
      </c>
      <c r="AS333" s="71">
        <f>IF(AND($G333&lt;&gt;"",ISNUMBER($Q333),ISNUMBER($R333)),IF(AND($Q333&lt;$R333,OR($M333="Completed",AND(ISNUMBER($L333),$L333&lt;ReportDate))),1,0),0)</f>
        <v>0</v>
      </c>
      <c r="AT333" s="71">
        <f>IF($AK333=1,IF(OR($L333=ReportDate,$W333=ReportDate,$K333=ReportDate,$A333=ReportDate),1,0),0)</f>
        <v>0</v>
      </c>
      <c r="AU333" s="71">
        <f>IF($AK333=1,IF(OR($L333=ReportDate+1,$W333=ReportDate+1,$K333=ReportDate+1,$A333=ReportDate+1),1,0),0)</f>
        <v>0</v>
      </c>
      <c r="AV333" s="71">
        <f>IF(AND($G333&lt;&gt;"",$M333="Completed"),IF(OR($Y333=ReportDate-1,$A333=ReportDate-1),1,0),0)</f>
        <v>0</v>
      </c>
      <c r="AW333" s="71">
        <f>IF(AND($AK333=1,$Z333="Yes"),1,0)</f>
        <v>0</v>
      </c>
      <c r="AX333" s="71">
        <f>IF(AND($AK333=1,$AA333="Yes"),1,0)</f>
        <v>0</v>
      </c>
      <c r="AY333" s="71">
        <f>IF(AND($AM333=1,OR($I333="Critical",$I333="High")),1,0)</f>
        <v>0</v>
      </c>
      <c r="AZ333" s="71">
        <f>IF(AND($AK333=1,OR($C333=TCL_Client,$C333=MECCA_Client)),1,0)</f>
        <v>0</v>
      </c>
      <c r="BA333" s="71" t="str">
        <f>IF($G333="","",IFERROR(MATCH($I333,lst_Priority,0),5))</f>
        <v/>
      </c>
      <c r="BB333" s="71" t="str">
        <f>IF(AND($AL333=1,$AJ333=1),$BA333*100000+ROW(),"")</f>
        <v/>
      </c>
      <c r="BC333" s="71" t="str">
        <f>IF(AND($AM333=1,$AJ333=1),$BA333*100000+ROW(),"")</f>
        <v/>
      </c>
      <c r="BD333" s="71" t="str">
        <f>IF(AND($AP333=1,$AJ333=1),$BA333*100000+ROW(),"")</f>
        <v/>
      </c>
      <c r="BE333" s="71" t="str">
        <f>IF(AND($AT333=1,$AJ333=1),$BA333*100000+ROW(),"")</f>
        <v/>
      </c>
      <c r="BF333" s="71" t="str">
        <f>IF(AND($AU333=1,$AJ333=1),$BA333*100000+ROW(),"")</f>
        <v/>
      </c>
      <c r="BG333" s="71" t="str">
        <f>IF(AND($AV333=1,$AJ333=1),$BA333*100000+ROW(),"")</f>
        <v/>
      </c>
      <c r="BH333" s="71" t="str">
        <f>IF(AND($AW333=1,$AJ333=1),$BA333*100000+ROW(),"")</f>
        <v/>
      </c>
      <c r="BI333" s="71" t="str">
        <f>IF(AND($AX333=1,$AJ333=1),$BA333*100000+ROW(),"")</f>
        <v/>
      </c>
      <c r="BJ333" s="71" t="str">
        <f>IF(AND($AS333=1,$AJ333=1),$BA333*100000+ROW(),"")</f>
        <v/>
      </c>
      <c r="BK333" s="71" t="str">
        <f>IF(AND($AY333=1,$AJ333=1),$BA333*100000+ROW(),"")</f>
        <v/>
      </c>
      <c r="BL333" s="71" t="str">
        <f>IF(AND($AZ333=1),$BA333*100000+ROW(),"")</f>
        <v/>
      </c>
    </row>
    <row r="334">
      <c r="A334" s="63" t="n"/>
      <c r="B334" s="64" t="n"/>
      <c r="C334" s="64" t="n"/>
      <c r="D334" s="64" t="n"/>
      <c r="E334" s="64" t="n"/>
      <c r="F334" s="64" t="n"/>
      <c r="G334" s="65" t="n"/>
      <c r="H334" s="65" t="n"/>
      <c r="I334" s="64" t="n"/>
      <c r="J334" s="64" t="n"/>
      <c r="K334" s="63" t="n"/>
      <c r="L334" s="63" t="n"/>
      <c r="M334" s="64" t="n"/>
      <c r="N334" s="66" t="n"/>
      <c r="O334" s="65" t="n"/>
      <c r="P334" s="64" t="n"/>
      <c r="Q334" s="67" t="n"/>
      <c r="R334" s="67" t="n"/>
      <c r="S334" s="68" t="str">
        <f>IF(AND(ISNUMBER($Q334),ISNUMBER($R334)),$Q334-$R334,"")</f>
        <v/>
      </c>
      <c r="T334" s="65" t="n"/>
      <c r="U334" s="64" t="n"/>
      <c r="V334" s="65" t="n"/>
      <c r="W334" s="63" t="n"/>
      <c r="X334" s="65" t="n"/>
      <c r="Y334" s="63" t="n"/>
      <c r="Z334" s="64" t="n"/>
      <c r="AA334" s="64" t="n"/>
      <c r="AB334" s="65" t="n"/>
      <c r="AC334" s="69" t="str">
        <f>IF(OR($G334="",NOT(ISNUMBER($K334)),$AK334=0),"",MAX(0,ReportDate-$K334))</f>
        <v/>
      </c>
      <c r="AD334" s="69" t="str">
        <f>IF($G334="","",IF($AL334=1,ReportDate-$L334,0))</f>
        <v/>
      </c>
      <c r="AE334" s="70" t="str">
        <f>IF($G334="","",IF($M334="Completed",1,IF(ISNUMBER($N334),$N334,0)))</f>
        <v/>
      </c>
      <c r="AF334" s="70" t="str">
        <f>IF(AND(ISNUMBER($Q334),ISNUMBER($R334)),IF($R334&lt;&gt;0,$Q334/$R334,""),"")</f>
        <v/>
      </c>
      <c r="AG334" s="71" t="str">
        <f>IF($G334="","",IF($AL334=1,"OVERDUE",IF($AM334=1,"BLOCKED",IF($AN334=1,"DUE TODAY",IF($AO334=1,"DUE TOMORROW",IF($AQ334=1,"HIGH PRIORITY",IF($AR334=1,"NO RECENT UPDATE",""))))))) </f>
        <v/>
      </c>
      <c r="AH334" s="71" t="str">
        <f>IF($G334="","",IF(ISNUMBER($A334),IF(ISNUMBER($A334),YEAR($A334)&amp;"-"&amp;TEXT(MONTH($A334),"00"),""),IF(ISNUMBER($L334),IF(ISNUMBER($L334),YEAR($L334)&amp;"-"&amp;TEXT(MONTH($L334),"00"),""),"")))</f>
        <v/>
      </c>
      <c r="AI334" s="71">
        <f>IF($G334="",0,IF(AND(OR(fClient="All",$C334=fClient),OR(fCampaign="All",$D334=fCampaign),OR(fTeam="All",$B334=fTeam),OR(fChannel="All",$F334=fChannel),OR(fMonth="All",$AH334=fMonth),OR(fTStatus="All",$M334=fTStatus)),1,0))</f>
        <v>0</v>
      </c>
      <c r="AJ334" s="71">
        <f>IF($G334="",0,IF(AND(OR(fClient="All",$C334=fClient),OR(fCampaign="All",$D334=fCampaign),OR(fTeam="All",$B334=fTeam),OR(fChannel="All",$F334=fChannel)),1,0))</f>
        <v>0</v>
      </c>
      <c r="AK334" s="71">
        <f>IF($G334="",0,IF(OR($M334="Completed",$M334="Cancelled"),0,1))</f>
        <v>0</v>
      </c>
      <c r="AL334" s="71">
        <f>IF(AND($AK334=1,ISNUMBER($L334)),IF($L334&lt;ReportDate,1,0),0)</f>
        <v>0</v>
      </c>
      <c r="AM334" s="71">
        <f>IF(AND($G334&lt;&gt;"",$M334="Blocked"),1,0)</f>
        <v>0</v>
      </c>
      <c r="AN334" s="71">
        <f>IF(AND($AK334=1,ISNUMBER($L334)),IF($L334=ReportDate,1,0),0)</f>
        <v>0</v>
      </c>
      <c r="AO334" s="71">
        <f>IF(AND($AK334=1,ISNUMBER($L334)),IF($L334=ReportDate+1,1,0),0)</f>
        <v>0</v>
      </c>
      <c r="AP334" s="71">
        <f>IF(AND($AK334=1,ISNUMBER($L334)),IF(AND($L334&gt;=ReportDate,$L334&lt;=ReportDate+DueSoonDays),1,0),0)</f>
        <v>0</v>
      </c>
      <c r="AQ334" s="71">
        <f>IF(AND($AK334=1,OR($I334="Critical",$I334="High")),1,0)</f>
        <v>0</v>
      </c>
      <c r="AR334" s="71">
        <f>IF($AK334=1,IF(ISNUMBER($Y334),IF(ReportDate-$Y334&gt;StaleDays,1,0),1),0)</f>
        <v>0</v>
      </c>
      <c r="AS334" s="71">
        <f>IF(AND($G334&lt;&gt;"",ISNUMBER($Q334),ISNUMBER($R334)),IF(AND($Q334&lt;$R334,OR($M334="Completed",AND(ISNUMBER($L334),$L334&lt;ReportDate))),1,0),0)</f>
        <v>0</v>
      </c>
      <c r="AT334" s="71">
        <f>IF($AK334=1,IF(OR($L334=ReportDate,$W334=ReportDate,$K334=ReportDate,$A334=ReportDate),1,0),0)</f>
        <v>0</v>
      </c>
      <c r="AU334" s="71">
        <f>IF($AK334=1,IF(OR($L334=ReportDate+1,$W334=ReportDate+1,$K334=ReportDate+1,$A334=ReportDate+1),1,0),0)</f>
        <v>0</v>
      </c>
      <c r="AV334" s="71">
        <f>IF(AND($G334&lt;&gt;"",$M334="Completed"),IF(OR($Y334=ReportDate-1,$A334=ReportDate-1),1,0),0)</f>
        <v>0</v>
      </c>
      <c r="AW334" s="71">
        <f>IF(AND($AK334=1,$Z334="Yes"),1,0)</f>
        <v>0</v>
      </c>
      <c r="AX334" s="71">
        <f>IF(AND($AK334=1,$AA334="Yes"),1,0)</f>
        <v>0</v>
      </c>
      <c r="AY334" s="71">
        <f>IF(AND($AM334=1,OR($I334="Critical",$I334="High")),1,0)</f>
        <v>0</v>
      </c>
      <c r="AZ334" s="71">
        <f>IF(AND($AK334=1,OR($C334=TCL_Client,$C334=MECCA_Client)),1,0)</f>
        <v>0</v>
      </c>
      <c r="BA334" s="71" t="str">
        <f>IF($G334="","",IFERROR(MATCH($I334,lst_Priority,0),5))</f>
        <v/>
      </c>
      <c r="BB334" s="71" t="str">
        <f>IF(AND($AL334=1,$AJ334=1),$BA334*100000+ROW(),"")</f>
        <v/>
      </c>
      <c r="BC334" s="71" t="str">
        <f>IF(AND($AM334=1,$AJ334=1),$BA334*100000+ROW(),"")</f>
        <v/>
      </c>
      <c r="BD334" s="71" t="str">
        <f>IF(AND($AP334=1,$AJ334=1),$BA334*100000+ROW(),"")</f>
        <v/>
      </c>
      <c r="BE334" s="71" t="str">
        <f>IF(AND($AT334=1,$AJ334=1),$BA334*100000+ROW(),"")</f>
        <v/>
      </c>
      <c r="BF334" s="71" t="str">
        <f>IF(AND($AU334=1,$AJ334=1),$BA334*100000+ROW(),"")</f>
        <v/>
      </c>
      <c r="BG334" s="71" t="str">
        <f>IF(AND($AV334=1,$AJ334=1),$BA334*100000+ROW(),"")</f>
        <v/>
      </c>
      <c r="BH334" s="71" t="str">
        <f>IF(AND($AW334=1,$AJ334=1),$BA334*100000+ROW(),"")</f>
        <v/>
      </c>
      <c r="BI334" s="71" t="str">
        <f>IF(AND($AX334=1,$AJ334=1),$BA334*100000+ROW(),"")</f>
        <v/>
      </c>
      <c r="BJ334" s="71" t="str">
        <f>IF(AND($AS334=1,$AJ334=1),$BA334*100000+ROW(),"")</f>
        <v/>
      </c>
      <c r="BK334" s="71" t="str">
        <f>IF(AND($AY334=1,$AJ334=1),$BA334*100000+ROW(),"")</f>
        <v/>
      </c>
      <c r="BL334" s="71" t="str">
        <f>IF(AND($AZ334=1),$BA334*100000+ROW(),"")</f>
        <v/>
      </c>
    </row>
    <row r="335">
      <c r="A335" s="63" t="n"/>
      <c r="B335" s="64" t="n"/>
      <c r="C335" s="64" t="n"/>
      <c r="D335" s="64" t="n"/>
      <c r="E335" s="64" t="n"/>
      <c r="F335" s="64" t="n"/>
      <c r="G335" s="65" t="n"/>
      <c r="H335" s="65" t="n"/>
      <c r="I335" s="64" t="n"/>
      <c r="J335" s="64" t="n"/>
      <c r="K335" s="63" t="n"/>
      <c r="L335" s="63" t="n"/>
      <c r="M335" s="64" t="n"/>
      <c r="N335" s="66" t="n"/>
      <c r="O335" s="65" t="n"/>
      <c r="P335" s="64" t="n"/>
      <c r="Q335" s="67" t="n"/>
      <c r="R335" s="67" t="n"/>
      <c r="S335" s="68" t="str">
        <f>IF(AND(ISNUMBER($Q335),ISNUMBER($R335)),$Q335-$R335,"")</f>
        <v/>
      </c>
      <c r="T335" s="65" t="n"/>
      <c r="U335" s="64" t="n"/>
      <c r="V335" s="65" t="n"/>
      <c r="W335" s="63" t="n"/>
      <c r="X335" s="65" t="n"/>
      <c r="Y335" s="63" t="n"/>
      <c r="Z335" s="64" t="n"/>
      <c r="AA335" s="64" t="n"/>
      <c r="AB335" s="65" t="n"/>
      <c r="AC335" s="69" t="str">
        <f>IF(OR($G335="",NOT(ISNUMBER($K335)),$AK335=0),"",MAX(0,ReportDate-$K335))</f>
        <v/>
      </c>
      <c r="AD335" s="69" t="str">
        <f>IF($G335="","",IF($AL335=1,ReportDate-$L335,0))</f>
        <v/>
      </c>
      <c r="AE335" s="70" t="str">
        <f>IF($G335="","",IF($M335="Completed",1,IF(ISNUMBER($N335),$N335,0)))</f>
        <v/>
      </c>
      <c r="AF335" s="70" t="str">
        <f>IF(AND(ISNUMBER($Q335),ISNUMBER($R335)),IF($R335&lt;&gt;0,$Q335/$R335,""),"")</f>
        <v/>
      </c>
      <c r="AG335" s="71" t="str">
        <f>IF($G335="","",IF($AL335=1,"OVERDUE",IF($AM335=1,"BLOCKED",IF($AN335=1,"DUE TODAY",IF($AO335=1,"DUE TOMORROW",IF($AQ335=1,"HIGH PRIORITY",IF($AR335=1,"NO RECENT UPDATE",""))))))) </f>
        <v/>
      </c>
      <c r="AH335" s="71" t="str">
        <f>IF($G335="","",IF(ISNUMBER($A335),IF(ISNUMBER($A335),YEAR($A335)&amp;"-"&amp;TEXT(MONTH($A335),"00"),""),IF(ISNUMBER($L335),IF(ISNUMBER($L335),YEAR($L335)&amp;"-"&amp;TEXT(MONTH($L335),"00"),""),"")))</f>
        <v/>
      </c>
      <c r="AI335" s="71">
        <f>IF($G335="",0,IF(AND(OR(fClient="All",$C335=fClient),OR(fCampaign="All",$D335=fCampaign),OR(fTeam="All",$B335=fTeam),OR(fChannel="All",$F335=fChannel),OR(fMonth="All",$AH335=fMonth),OR(fTStatus="All",$M335=fTStatus)),1,0))</f>
        <v>0</v>
      </c>
      <c r="AJ335" s="71">
        <f>IF($G335="",0,IF(AND(OR(fClient="All",$C335=fClient),OR(fCampaign="All",$D335=fCampaign),OR(fTeam="All",$B335=fTeam),OR(fChannel="All",$F335=fChannel)),1,0))</f>
        <v>0</v>
      </c>
      <c r="AK335" s="71">
        <f>IF($G335="",0,IF(OR($M335="Completed",$M335="Cancelled"),0,1))</f>
        <v>0</v>
      </c>
      <c r="AL335" s="71">
        <f>IF(AND($AK335=1,ISNUMBER($L335)),IF($L335&lt;ReportDate,1,0),0)</f>
        <v>0</v>
      </c>
      <c r="AM335" s="71">
        <f>IF(AND($G335&lt;&gt;"",$M335="Blocked"),1,0)</f>
        <v>0</v>
      </c>
      <c r="AN335" s="71">
        <f>IF(AND($AK335=1,ISNUMBER($L335)),IF($L335=ReportDate,1,0),0)</f>
        <v>0</v>
      </c>
      <c r="AO335" s="71">
        <f>IF(AND($AK335=1,ISNUMBER($L335)),IF($L335=ReportDate+1,1,0),0)</f>
        <v>0</v>
      </c>
      <c r="AP335" s="71">
        <f>IF(AND($AK335=1,ISNUMBER($L335)),IF(AND($L335&gt;=ReportDate,$L335&lt;=ReportDate+DueSoonDays),1,0),0)</f>
        <v>0</v>
      </c>
      <c r="AQ335" s="71">
        <f>IF(AND($AK335=1,OR($I335="Critical",$I335="High")),1,0)</f>
        <v>0</v>
      </c>
      <c r="AR335" s="71">
        <f>IF($AK335=1,IF(ISNUMBER($Y335),IF(ReportDate-$Y335&gt;StaleDays,1,0),1),0)</f>
        <v>0</v>
      </c>
      <c r="AS335" s="71">
        <f>IF(AND($G335&lt;&gt;"",ISNUMBER($Q335),ISNUMBER($R335)),IF(AND($Q335&lt;$R335,OR($M335="Completed",AND(ISNUMBER($L335),$L335&lt;ReportDate))),1,0),0)</f>
        <v>0</v>
      </c>
      <c r="AT335" s="71">
        <f>IF($AK335=1,IF(OR($L335=ReportDate,$W335=ReportDate,$K335=ReportDate,$A335=ReportDate),1,0),0)</f>
        <v>0</v>
      </c>
      <c r="AU335" s="71">
        <f>IF($AK335=1,IF(OR($L335=ReportDate+1,$W335=ReportDate+1,$K335=ReportDate+1,$A335=ReportDate+1),1,0),0)</f>
        <v>0</v>
      </c>
      <c r="AV335" s="71">
        <f>IF(AND($G335&lt;&gt;"",$M335="Completed"),IF(OR($Y335=ReportDate-1,$A335=ReportDate-1),1,0),0)</f>
        <v>0</v>
      </c>
      <c r="AW335" s="71">
        <f>IF(AND($AK335=1,$Z335="Yes"),1,0)</f>
        <v>0</v>
      </c>
      <c r="AX335" s="71">
        <f>IF(AND($AK335=1,$AA335="Yes"),1,0)</f>
        <v>0</v>
      </c>
      <c r="AY335" s="71">
        <f>IF(AND($AM335=1,OR($I335="Critical",$I335="High")),1,0)</f>
        <v>0</v>
      </c>
      <c r="AZ335" s="71">
        <f>IF(AND($AK335=1,OR($C335=TCL_Client,$C335=MECCA_Client)),1,0)</f>
        <v>0</v>
      </c>
      <c r="BA335" s="71" t="str">
        <f>IF($G335="","",IFERROR(MATCH($I335,lst_Priority,0),5))</f>
        <v/>
      </c>
      <c r="BB335" s="71" t="str">
        <f>IF(AND($AL335=1,$AJ335=1),$BA335*100000+ROW(),"")</f>
        <v/>
      </c>
      <c r="BC335" s="71" t="str">
        <f>IF(AND($AM335=1,$AJ335=1),$BA335*100000+ROW(),"")</f>
        <v/>
      </c>
      <c r="BD335" s="71" t="str">
        <f>IF(AND($AP335=1,$AJ335=1),$BA335*100000+ROW(),"")</f>
        <v/>
      </c>
      <c r="BE335" s="71" t="str">
        <f>IF(AND($AT335=1,$AJ335=1),$BA335*100000+ROW(),"")</f>
        <v/>
      </c>
      <c r="BF335" s="71" t="str">
        <f>IF(AND($AU335=1,$AJ335=1),$BA335*100000+ROW(),"")</f>
        <v/>
      </c>
      <c r="BG335" s="71" t="str">
        <f>IF(AND($AV335=1,$AJ335=1),$BA335*100000+ROW(),"")</f>
        <v/>
      </c>
      <c r="BH335" s="71" t="str">
        <f>IF(AND($AW335=1,$AJ335=1),$BA335*100000+ROW(),"")</f>
        <v/>
      </c>
      <c r="BI335" s="71" t="str">
        <f>IF(AND($AX335=1,$AJ335=1),$BA335*100000+ROW(),"")</f>
        <v/>
      </c>
      <c r="BJ335" s="71" t="str">
        <f>IF(AND($AS335=1,$AJ335=1),$BA335*100000+ROW(),"")</f>
        <v/>
      </c>
      <c r="BK335" s="71" t="str">
        <f>IF(AND($AY335=1,$AJ335=1),$BA335*100000+ROW(),"")</f>
        <v/>
      </c>
      <c r="BL335" s="71" t="str">
        <f>IF(AND($AZ335=1),$BA335*100000+ROW(),"")</f>
        <v/>
      </c>
    </row>
    <row r="336">
      <c r="A336" s="63" t="n"/>
      <c r="B336" s="64" t="n"/>
      <c r="C336" s="64" t="n"/>
      <c r="D336" s="64" t="n"/>
      <c r="E336" s="64" t="n"/>
      <c r="F336" s="64" t="n"/>
      <c r="G336" s="65" t="n"/>
      <c r="H336" s="65" t="n"/>
      <c r="I336" s="64" t="n"/>
      <c r="J336" s="64" t="n"/>
      <c r="K336" s="63" t="n"/>
      <c r="L336" s="63" t="n"/>
      <c r="M336" s="64" t="n"/>
      <c r="N336" s="66" t="n"/>
      <c r="O336" s="65" t="n"/>
      <c r="P336" s="64" t="n"/>
      <c r="Q336" s="67" t="n"/>
      <c r="R336" s="67" t="n"/>
      <c r="S336" s="68" t="str">
        <f>IF(AND(ISNUMBER($Q336),ISNUMBER($R336)),$Q336-$R336,"")</f>
        <v/>
      </c>
      <c r="T336" s="65" t="n"/>
      <c r="U336" s="64" t="n"/>
      <c r="V336" s="65" t="n"/>
      <c r="W336" s="63" t="n"/>
      <c r="X336" s="65" t="n"/>
      <c r="Y336" s="63" t="n"/>
      <c r="Z336" s="64" t="n"/>
      <c r="AA336" s="64" t="n"/>
      <c r="AB336" s="65" t="n"/>
      <c r="AC336" s="69" t="str">
        <f>IF(OR($G336="",NOT(ISNUMBER($K336)),$AK336=0),"",MAX(0,ReportDate-$K336))</f>
        <v/>
      </c>
      <c r="AD336" s="69" t="str">
        <f>IF($G336="","",IF($AL336=1,ReportDate-$L336,0))</f>
        <v/>
      </c>
      <c r="AE336" s="70" t="str">
        <f>IF($G336="","",IF($M336="Completed",1,IF(ISNUMBER($N336),$N336,0)))</f>
        <v/>
      </c>
      <c r="AF336" s="70" t="str">
        <f>IF(AND(ISNUMBER($Q336),ISNUMBER($R336)),IF($R336&lt;&gt;0,$Q336/$R336,""),"")</f>
        <v/>
      </c>
      <c r="AG336" s="71" t="str">
        <f>IF($G336="","",IF($AL336=1,"OVERDUE",IF($AM336=1,"BLOCKED",IF($AN336=1,"DUE TODAY",IF($AO336=1,"DUE TOMORROW",IF($AQ336=1,"HIGH PRIORITY",IF($AR336=1,"NO RECENT UPDATE",""))))))) </f>
        <v/>
      </c>
      <c r="AH336" s="71" t="str">
        <f>IF($G336="","",IF(ISNUMBER($A336),IF(ISNUMBER($A336),YEAR($A336)&amp;"-"&amp;TEXT(MONTH($A336),"00"),""),IF(ISNUMBER($L336),IF(ISNUMBER($L336),YEAR($L336)&amp;"-"&amp;TEXT(MONTH($L336),"00"),""),"")))</f>
        <v/>
      </c>
      <c r="AI336" s="71">
        <f>IF($G336="",0,IF(AND(OR(fClient="All",$C336=fClient),OR(fCampaign="All",$D336=fCampaign),OR(fTeam="All",$B336=fTeam),OR(fChannel="All",$F336=fChannel),OR(fMonth="All",$AH336=fMonth),OR(fTStatus="All",$M336=fTStatus)),1,0))</f>
        <v>0</v>
      </c>
      <c r="AJ336" s="71">
        <f>IF($G336="",0,IF(AND(OR(fClient="All",$C336=fClient),OR(fCampaign="All",$D336=fCampaign),OR(fTeam="All",$B336=fTeam),OR(fChannel="All",$F336=fChannel)),1,0))</f>
        <v>0</v>
      </c>
      <c r="AK336" s="71">
        <f>IF($G336="",0,IF(OR($M336="Completed",$M336="Cancelled"),0,1))</f>
        <v>0</v>
      </c>
      <c r="AL336" s="71">
        <f>IF(AND($AK336=1,ISNUMBER($L336)),IF($L336&lt;ReportDate,1,0),0)</f>
        <v>0</v>
      </c>
      <c r="AM336" s="71">
        <f>IF(AND($G336&lt;&gt;"",$M336="Blocked"),1,0)</f>
        <v>0</v>
      </c>
      <c r="AN336" s="71">
        <f>IF(AND($AK336=1,ISNUMBER($L336)),IF($L336=ReportDate,1,0),0)</f>
        <v>0</v>
      </c>
      <c r="AO336" s="71">
        <f>IF(AND($AK336=1,ISNUMBER($L336)),IF($L336=ReportDate+1,1,0),0)</f>
        <v>0</v>
      </c>
      <c r="AP336" s="71">
        <f>IF(AND($AK336=1,ISNUMBER($L336)),IF(AND($L336&gt;=ReportDate,$L336&lt;=ReportDate+DueSoonDays),1,0),0)</f>
        <v>0</v>
      </c>
      <c r="AQ336" s="71">
        <f>IF(AND($AK336=1,OR($I336="Critical",$I336="High")),1,0)</f>
        <v>0</v>
      </c>
      <c r="AR336" s="71">
        <f>IF($AK336=1,IF(ISNUMBER($Y336),IF(ReportDate-$Y336&gt;StaleDays,1,0),1),0)</f>
        <v>0</v>
      </c>
      <c r="AS336" s="71">
        <f>IF(AND($G336&lt;&gt;"",ISNUMBER($Q336),ISNUMBER($R336)),IF(AND($Q336&lt;$R336,OR($M336="Completed",AND(ISNUMBER($L336),$L336&lt;ReportDate))),1,0),0)</f>
        <v>0</v>
      </c>
      <c r="AT336" s="71">
        <f>IF($AK336=1,IF(OR($L336=ReportDate,$W336=ReportDate,$K336=ReportDate,$A336=ReportDate),1,0),0)</f>
        <v>0</v>
      </c>
      <c r="AU336" s="71">
        <f>IF($AK336=1,IF(OR($L336=ReportDate+1,$W336=ReportDate+1,$K336=ReportDate+1,$A336=ReportDate+1),1,0),0)</f>
        <v>0</v>
      </c>
      <c r="AV336" s="71">
        <f>IF(AND($G336&lt;&gt;"",$M336="Completed"),IF(OR($Y336=ReportDate-1,$A336=ReportDate-1),1,0),0)</f>
        <v>0</v>
      </c>
      <c r="AW336" s="71">
        <f>IF(AND($AK336=1,$Z336="Yes"),1,0)</f>
        <v>0</v>
      </c>
      <c r="AX336" s="71">
        <f>IF(AND($AK336=1,$AA336="Yes"),1,0)</f>
        <v>0</v>
      </c>
      <c r="AY336" s="71">
        <f>IF(AND($AM336=1,OR($I336="Critical",$I336="High")),1,0)</f>
        <v>0</v>
      </c>
      <c r="AZ336" s="71">
        <f>IF(AND($AK336=1,OR($C336=TCL_Client,$C336=MECCA_Client)),1,0)</f>
        <v>0</v>
      </c>
      <c r="BA336" s="71" t="str">
        <f>IF($G336="","",IFERROR(MATCH($I336,lst_Priority,0),5))</f>
        <v/>
      </c>
      <c r="BB336" s="71" t="str">
        <f>IF(AND($AL336=1,$AJ336=1),$BA336*100000+ROW(),"")</f>
        <v/>
      </c>
      <c r="BC336" s="71" t="str">
        <f>IF(AND($AM336=1,$AJ336=1),$BA336*100000+ROW(),"")</f>
        <v/>
      </c>
      <c r="BD336" s="71" t="str">
        <f>IF(AND($AP336=1,$AJ336=1),$BA336*100000+ROW(),"")</f>
        <v/>
      </c>
      <c r="BE336" s="71" t="str">
        <f>IF(AND($AT336=1,$AJ336=1),$BA336*100000+ROW(),"")</f>
        <v/>
      </c>
      <c r="BF336" s="71" t="str">
        <f>IF(AND($AU336=1,$AJ336=1),$BA336*100000+ROW(),"")</f>
        <v/>
      </c>
      <c r="BG336" s="71" t="str">
        <f>IF(AND($AV336=1,$AJ336=1),$BA336*100000+ROW(),"")</f>
        <v/>
      </c>
      <c r="BH336" s="71" t="str">
        <f>IF(AND($AW336=1,$AJ336=1),$BA336*100000+ROW(),"")</f>
        <v/>
      </c>
      <c r="BI336" s="71" t="str">
        <f>IF(AND($AX336=1,$AJ336=1),$BA336*100000+ROW(),"")</f>
        <v/>
      </c>
      <c r="BJ336" s="71" t="str">
        <f>IF(AND($AS336=1,$AJ336=1),$BA336*100000+ROW(),"")</f>
        <v/>
      </c>
      <c r="BK336" s="71" t="str">
        <f>IF(AND($AY336=1,$AJ336=1),$BA336*100000+ROW(),"")</f>
        <v/>
      </c>
      <c r="BL336" s="71" t="str">
        <f>IF(AND($AZ336=1),$BA336*100000+ROW(),"")</f>
        <v/>
      </c>
    </row>
    <row r="337">
      <c r="A337" s="63" t="n"/>
      <c r="B337" s="64" t="n"/>
      <c r="C337" s="64" t="n"/>
      <c r="D337" s="64" t="n"/>
      <c r="E337" s="64" t="n"/>
      <c r="F337" s="64" t="n"/>
      <c r="G337" s="65" t="n"/>
      <c r="H337" s="65" t="n"/>
      <c r="I337" s="64" t="n"/>
      <c r="J337" s="64" t="n"/>
      <c r="K337" s="63" t="n"/>
      <c r="L337" s="63" t="n"/>
      <c r="M337" s="64" t="n"/>
      <c r="N337" s="66" t="n"/>
      <c r="O337" s="65" t="n"/>
      <c r="P337" s="64" t="n"/>
      <c r="Q337" s="67" t="n"/>
      <c r="R337" s="67" t="n"/>
      <c r="S337" s="68" t="str">
        <f>IF(AND(ISNUMBER($Q337),ISNUMBER($R337)),$Q337-$R337,"")</f>
        <v/>
      </c>
      <c r="T337" s="65" t="n"/>
      <c r="U337" s="64" t="n"/>
      <c r="V337" s="65" t="n"/>
      <c r="W337" s="63" t="n"/>
      <c r="X337" s="65" t="n"/>
      <c r="Y337" s="63" t="n"/>
      <c r="Z337" s="64" t="n"/>
      <c r="AA337" s="64" t="n"/>
      <c r="AB337" s="65" t="n"/>
      <c r="AC337" s="69" t="str">
        <f>IF(OR($G337="",NOT(ISNUMBER($K337)),$AK337=0),"",MAX(0,ReportDate-$K337))</f>
        <v/>
      </c>
      <c r="AD337" s="69" t="str">
        <f>IF($G337="","",IF($AL337=1,ReportDate-$L337,0))</f>
        <v/>
      </c>
      <c r="AE337" s="70" t="str">
        <f>IF($G337="","",IF($M337="Completed",1,IF(ISNUMBER($N337),$N337,0)))</f>
        <v/>
      </c>
      <c r="AF337" s="70" t="str">
        <f>IF(AND(ISNUMBER($Q337),ISNUMBER($R337)),IF($R337&lt;&gt;0,$Q337/$R337,""),"")</f>
        <v/>
      </c>
      <c r="AG337" s="71" t="str">
        <f>IF($G337="","",IF($AL337=1,"OVERDUE",IF($AM337=1,"BLOCKED",IF($AN337=1,"DUE TODAY",IF($AO337=1,"DUE TOMORROW",IF($AQ337=1,"HIGH PRIORITY",IF($AR337=1,"NO RECENT UPDATE",""))))))) </f>
        <v/>
      </c>
      <c r="AH337" s="71" t="str">
        <f>IF($G337="","",IF(ISNUMBER($A337),IF(ISNUMBER($A337),YEAR($A337)&amp;"-"&amp;TEXT(MONTH($A337),"00"),""),IF(ISNUMBER($L337),IF(ISNUMBER($L337),YEAR($L337)&amp;"-"&amp;TEXT(MONTH($L337),"00"),""),"")))</f>
        <v/>
      </c>
      <c r="AI337" s="71">
        <f>IF($G337="",0,IF(AND(OR(fClient="All",$C337=fClient),OR(fCampaign="All",$D337=fCampaign),OR(fTeam="All",$B337=fTeam),OR(fChannel="All",$F337=fChannel),OR(fMonth="All",$AH337=fMonth),OR(fTStatus="All",$M337=fTStatus)),1,0))</f>
        <v>0</v>
      </c>
      <c r="AJ337" s="71">
        <f>IF($G337="",0,IF(AND(OR(fClient="All",$C337=fClient),OR(fCampaign="All",$D337=fCampaign),OR(fTeam="All",$B337=fTeam),OR(fChannel="All",$F337=fChannel)),1,0))</f>
        <v>0</v>
      </c>
      <c r="AK337" s="71">
        <f>IF($G337="",0,IF(OR($M337="Completed",$M337="Cancelled"),0,1))</f>
        <v>0</v>
      </c>
      <c r="AL337" s="71">
        <f>IF(AND($AK337=1,ISNUMBER($L337)),IF($L337&lt;ReportDate,1,0),0)</f>
        <v>0</v>
      </c>
      <c r="AM337" s="71">
        <f>IF(AND($G337&lt;&gt;"",$M337="Blocked"),1,0)</f>
        <v>0</v>
      </c>
      <c r="AN337" s="71">
        <f>IF(AND($AK337=1,ISNUMBER($L337)),IF($L337=ReportDate,1,0),0)</f>
        <v>0</v>
      </c>
      <c r="AO337" s="71">
        <f>IF(AND($AK337=1,ISNUMBER($L337)),IF($L337=ReportDate+1,1,0),0)</f>
        <v>0</v>
      </c>
      <c r="AP337" s="71">
        <f>IF(AND($AK337=1,ISNUMBER($L337)),IF(AND($L337&gt;=ReportDate,$L337&lt;=ReportDate+DueSoonDays),1,0),0)</f>
        <v>0</v>
      </c>
      <c r="AQ337" s="71">
        <f>IF(AND($AK337=1,OR($I337="Critical",$I337="High")),1,0)</f>
        <v>0</v>
      </c>
      <c r="AR337" s="71">
        <f>IF($AK337=1,IF(ISNUMBER($Y337),IF(ReportDate-$Y337&gt;StaleDays,1,0),1),0)</f>
        <v>0</v>
      </c>
      <c r="AS337" s="71">
        <f>IF(AND($G337&lt;&gt;"",ISNUMBER($Q337),ISNUMBER($R337)),IF(AND($Q337&lt;$R337,OR($M337="Completed",AND(ISNUMBER($L337),$L337&lt;ReportDate))),1,0),0)</f>
        <v>0</v>
      </c>
      <c r="AT337" s="71">
        <f>IF($AK337=1,IF(OR($L337=ReportDate,$W337=ReportDate,$K337=ReportDate,$A337=ReportDate),1,0),0)</f>
        <v>0</v>
      </c>
      <c r="AU337" s="71">
        <f>IF($AK337=1,IF(OR($L337=ReportDate+1,$W337=ReportDate+1,$K337=ReportDate+1,$A337=ReportDate+1),1,0),0)</f>
        <v>0</v>
      </c>
      <c r="AV337" s="71">
        <f>IF(AND($G337&lt;&gt;"",$M337="Completed"),IF(OR($Y337=ReportDate-1,$A337=ReportDate-1),1,0),0)</f>
        <v>0</v>
      </c>
      <c r="AW337" s="71">
        <f>IF(AND($AK337=1,$Z337="Yes"),1,0)</f>
        <v>0</v>
      </c>
      <c r="AX337" s="71">
        <f>IF(AND($AK337=1,$AA337="Yes"),1,0)</f>
        <v>0</v>
      </c>
      <c r="AY337" s="71">
        <f>IF(AND($AM337=1,OR($I337="Critical",$I337="High")),1,0)</f>
        <v>0</v>
      </c>
      <c r="AZ337" s="71">
        <f>IF(AND($AK337=1,OR($C337=TCL_Client,$C337=MECCA_Client)),1,0)</f>
        <v>0</v>
      </c>
      <c r="BA337" s="71" t="str">
        <f>IF($G337="","",IFERROR(MATCH($I337,lst_Priority,0),5))</f>
        <v/>
      </c>
      <c r="BB337" s="71" t="str">
        <f>IF(AND($AL337=1,$AJ337=1),$BA337*100000+ROW(),"")</f>
        <v/>
      </c>
      <c r="BC337" s="71" t="str">
        <f>IF(AND($AM337=1,$AJ337=1),$BA337*100000+ROW(),"")</f>
        <v/>
      </c>
      <c r="BD337" s="71" t="str">
        <f>IF(AND($AP337=1,$AJ337=1),$BA337*100000+ROW(),"")</f>
        <v/>
      </c>
      <c r="BE337" s="71" t="str">
        <f>IF(AND($AT337=1,$AJ337=1),$BA337*100000+ROW(),"")</f>
        <v/>
      </c>
      <c r="BF337" s="71" t="str">
        <f>IF(AND($AU337=1,$AJ337=1),$BA337*100000+ROW(),"")</f>
        <v/>
      </c>
      <c r="BG337" s="71" t="str">
        <f>IF(AND($AV337=1,$AJ337=1),$BA337*100000+ROW(),"")</f>
        <v/>
      </c>
      <c r="BH337" s="71" t="str">
        <f>IF(AND($AW337=1,$AJ337=1),$BA337*100000+ROW(),"")</f>
        <v/>
      </c>
      <c r="BI337" s="71" t="str">
        <f>IF(AND($AX337=1,$AJ337=1),$BA337*100000+ROW(),"")</f>
        <v/>
      </c>
      <c r="BJ337" s="71" t="str">
        <f>IF(AND($AS337=1,$AJ337=1),$BA337*100000+ROW(),"")</f>
        <v/>
      </c>
      <c r="BK337" s="71" t="str">
        <f>IF(AND($AY337=1,$AJ337=1),$BA337*100000+ROW(),"")</f>
        <v/>
      </c>
      <c r="BL337" s="71" t="str">
        <f>IF(AND($AZ337=1),$BA337*100000+ROW(),"")</f>
        <v/>
      </c>
    </row>
    <row r="338">
      <c r="A338" s="63" t="n"/>
      <c r="B338" s="64" t="n"/>
      <c r="C338" s="64" t="n"/>
      <c r="D338" s="64" t="n"/>
      <c r="E338" s="64" t="n"/>
      <c r="F338" s="64" t="n"/>
      <c r="G338" s="65" t="n"/>
      <c r="H338" s="65" t="n"/>
      <c r="I338" s="64" t="n"/>
      <c r="J338" s="64" t="n"/>
      <c r="K338" s="63" t="n"/>
      <c r="L338" s="63" t="n"/>
      <c r="M338" s="64" t="n"/>
      <c r="N338" s="66" t="n"/>
      <c r="O338" s="65" t="n"/>
      <c r="P338" s="64" t="n"/>
      <c r="Q338" s="67" t="n"/>
      <c r="R338" s="67" t="n"/>
      <c r="S338" s="68" t="str">
        <f>IF(AND(ISNUMBER($Q338),ISNUMBER($R338)),$Q338-$R338,"")</f>
        <v/>
      </c>
      <c r="T338" s="65" t="n"/>
      <c r="U338" s="64" t="n"/>
      <c r="V338" s="65" t="n"/>
      <c r="W338" s="63" t="n"/>
      <c r="X338" s="65" t="n"/>
      <c r="Y338" s="63" t="n"/>
      <c r="Z338" s="64" t="n"/>
      <c r="AA338" s="64" t="n"/>
      <c r="AB338" s="65" t="n"/>
      <c r="AC338" s="69" t="str">
        <f>IF(OR($G338="",NOT(ISNUMBER($K338)),$AK338=0),"",MAX(0,ReportDate-$K338))</f>
        <v/>
      </c>
      <c r="AD338" s="69" t="str">
        <f>IF($G338="","",IF($AL338=1,ReportDate-$L338,0))</f>
        <v/>
      </c>
      <c r="AE338" s="70" t="str">
        <f>IF($G338="","",IF($M338="Completed",1,IF(ISNUMBER($N338),$N338,0)))</f>
        <v/>
      </c>
      <c r="AF338" s="70" t="str">
        <f>IF(AND(ISNUMBER($Q338),ISNUMBER($R338)),IF($R338&lt;&gt;0,$Q338/$R338,""),"")</f>
        <v/>
      </c>
      <c r="AG338" s="71" t="str">
        <f>IF($G338="","",IF($AL338=1,"OVERDUE",IF($AM338=1,"BLOCKED",IF($AN338=1,"DUE TODAY",IF($AO338=1,"DUE TOMORROW",IF($AQ338=1,"HIGH PRIORITY",IF($AR338=1,"NO RECENT UPDATE",""))))))) </f>
        <v/>
      </c>
      <c r="AH338" s="71" t="str">
        <f>IF($G338="","",IF(ISNUMBER($A338),IF(ISNUMBER($A338),YEAR($A338)&amp;"-"&amp;TEXT(MONTH($A338),"00"),""),IF(ISNUMBER($L338),IF(ISNUMBER($L338),YEAR($L338)&amp;"-"&amp;TEXT(MONTH($L338),"00"),""),"")))</f>
        <v/>
      </c>
      <c r="AI338" s="71">
        <f>IF($G338="",0,IF(AND(OR(fClient="All",$C338=fClient),OR(fCampaign="All",$D338=fCampaign),OR(fTeam="All",$B338=fTeam),OR(fChannel="All",$F338=fChannel),OR(fMonth="All",$AH338=fMonth),OR(fTStatus="All",$M338=fTStatus)),1,0))</f>
        <v>0</v>
      </c>
      <c r="AJ338" s="71">
        <f>IF($G338="",0,IF(AND(OR(fClient="All",$C338=fClient),OR(fCampaign="All",$D338=fCampaign),OR(fTeam="All",$B338=fTeam),OR(fChannel="All",$F338=fChannel)),1,0))</f>
        <v>0</v>
      </c>
      <c r="AK338" s="71">
        <f>IF($G338="",0,IF(OR($M338="Completed",$M338="Cancelled"),0,1))</f>
        <v>0</v>
      </c>
      <c r="AL338" s="71">
        <f>IF(AND($AK338=1,ISNUMBER($L338)),IF($L338&lt;ReportDate,1,0),0)</f>
        <v>0</v>
      </c>
      <c r="AM338" s="71">
        <f>IF(AND($G338&lt;&gt;"",$M338="Blocked"),1,0)</f>
        <v>0</v>
      </c>
      <c r="AN338" s="71">
        <f>IF(AND($AK338=1,ISNUMBER($L338)),IF($L338=ReportDate,1,0),0)</f>
        <v>0</v>
      </c>
      <c r="AO338" s="71">
        <f>IF(AND($AK338=1,ISNUMBER($L338)),IF($L338=ReportDate+1,1,0),0)</f>
        <v>0</v>
      </c>
      <c r="AP338" s="71">
        <f>IF(AND($AK338=1,ISNUMBER($L338)),IF(AND($L338&gt;=ReportDate,$L338&lt;=ReportDate+DueSoonDays),1,0),0)</f>
        <v>0</v>
      </c>
      <c r="AQ338" s="71">
        <f>IF(AND($AK338=1,OR($I338="Critical",$I338="High")),1,0)</f>
        <v>0</v>
      </c>
      <c r="AR338" s="71">
        <f>IF($AK338=1,IF(ISNUMBER($Y338),IF(ReportDate-$Y338&gt;StaleDays,1,0),1),0)</f>
        <v>0</v>
      </c>
      <c r="AS338" s="71">
        <f>IF(AND($G338&lt;&gt;"",ISNUMBER($Q338),ISNUMBER($R338)),IF(AND($Q338&lt;$R338,OR($M338="Completed",AND(ISNUMBER($L338),$L338&lt;ReportDate))),1,0),0)</f>
        <v>0</v>
      </c>
      <c r="AT338" s="71">
        <f>IF($AK338=1,IF(OR($L338=ReportDate,$W338=ReportDate,$K338=ReportDate,$A338=ReportDate),1,0),0)</f>
        <v>0</v>
      </c>
      <c r="AU338" s="71">
        <f>IF($AK338=1,IF(OR($L338=ReportDate+1,$W338=ReportDate+1,$K338=ReportDate+1,$A338=ReportDate+1),1,0),0)</f>
        <v>0</v>
      </c>
      <c r="AV338" s="71">
        <f>IF(AND($G338&lt;&gt;"",$M338="Completed"),IF(OR($Y338=ReportDate-1,$A338=ReportDate-1),1,0),0)</f>
        <v>0</v>
      </c>
      <c r="AW338" s="71">
        <f>IF(AND($AK338=1,$Z338="Yes"),1,0)</f>
        <v>0</v>
      </c>
      <c r="AX338" s="71">
        <f>IF(AND($AK338=1,$AA338="Yes"),1,0)</f>
        <v>0</v>
      </c>
      <c r="AY338" s="71">
        <f>IF(AND($AM338=1,OR($I338="Critical",$I338="High")),1,0)</f>
        <v>0</v>
      </c>
      <c r="AZ338" s="71">
        <f>IF(AND($AK338=1,OR($C338=TCL_Client,$C338=MECCA_Client)),1,0)</f>
        <v>0</v>
      </c>
      <c r="BA338" s="71" t="str">
        <f>IF($G338="","",IFERROR(MATCH($I338,lst_Priority,0),5))</f>
        <v/>
      </c>
      <c r="BB338" s="71" t="str">
        <f>IF(AND($AL338=1,$AJ338=1),$BA338*100000+ROW(),"")</f>
        <v/>
      </c>
      <c r="BC338" s="71" t="str">
        <f>IF(AND($AM338=1,$AJ338=1),$BA338*100000+ROW(),"")</f>
        <v/>
      </c>
      <c r="BD338" s="71" t="str">
        <f>IF(AND($AP338=1,$AJ338=1),$BA338*100000+ROW(),"")</f>
        <v/>
      </c>
      <c r="BE338" s="71" t="str">
        <f>IF(AND($AT338=1,$AJ338=1),$BA338*100000+ROW(),"")</f>
        <v/>
      </c>
      <c r="BF338" s="71" t="str">
        <f>IF(AND($AU338=1,$AJ338=1),$BA338*100000+ROW(),"")</f>
        <v/>
      </c>
      <c r="BG338" s="71" t="str">
        <f>IF(AND($AV338=1,$AJ338=1),$BA338*100000+ROW(),"")</f>
        <v/>
      </c>
      <c r="BH338" s="71" t="str">
        <f>IF(AND($AW338=1,$AJ338=1),$BA338*100000+ROW(),"")</f>
        <v/>
      </c>
      <c r="BI338" s="71" t="str">
        <f>IF(AND($AX338=1,$AJ338=1),$BA338*100000+ROW(),"")</f>
        <v/>
      </c>
      <c r="BJ338" s="71" t="str">
        <f>IF(AND($AS338=1,$AJ338=1),$BA338*100000+ROW(),"")</f>
        <v/>
      </c>
      <c r="BK338" s="71" t="str">
        <f>IF(AND($AY338=1,$AJ338=1),$BA338*100000+ROW(),"")</f>
        <v/>
      </c>
      <c r="BL338" s="71" t="str">
        <f>IF(AND($AZ338=1),$BA338*100000+ROW(),"")</f>
        <v/>
      </c>
    </row>
    <row r="339">
      <c r="A339" s="63" t="n"/>
      <c r="B339" s="64" t="n"/>
      <c r="C339" s="64" t="n"/>
      <c r="D339" s="64" t="n"/>
      <c r="E339" s="64" t="n"/>
      <c r="F339" s="64" t="n"/>
      <c r="G339" s="65" t="n"/>
      <c r="H339" s="65" t="n"/>
      <c r="I339" s="64" t="n"/>
      <c r="J339" s="64" t="n"/>
      <c r="K339" s="63" t="n"/>
      <c r="L339" s="63" t="n"/>
      <c r="M339" s="64" t="n"/>
      <c r="N339" s="66" t="n"/>
      <c r="O339" s="65" t="n"/>
      <c r="P339" s="64" t="n"/>
      <c r="Q339" s="67" t="n"/>
      <c r="R339" s="67" t="n"/>
      <c r="S339" s="68" t="str">
        <f>IF(AND(ISNUMBER($Q339),ISNUMBER($R339)),$Q339-$R339,"")</f>
        <v/>
      </c>
      <c r="T339" s="65" t="n"/>
      <c r="U339" s="64" t="n"/>
      <c r="V339" s="65" t="n"/>
      <c r="W339" s="63" t="n"/>
      <c r="X339" s="65" t="n"/>
      <c r="Y339" s="63" t="n"/>
      <c r="Z339" s="64" t="n"/>
      <c r="AA339" s="64" t="n"/>
      <c r="AB339" s="65" t="n"/>
      <c r="AC339" s="69" t="str">
        <f>IF(OR($G339="",NOT(ISNUMBER($K339)),$AK339=0),"",MAX(0,ReportDate-$K339))</f>
        <v/>
      </c>
      <c r="AD339" s="69" t="str">
        <f>IF($G339="","",IF($AL339=1,ReportDate-$L339,0))</f>
        <v/>
      </c>
      <c r="AE339" s="70" t="str">
        <f>IF($G339="","",IF($M339="Completed",1,IF(ISNUMBER($N339),$N339,0)))</f>
        <v/>
      </c>
      <c r="AF339" s="70" t="str">
        <f>IF(AND(ISNUMBER($Q339),ISNUMBER($R339)),IF($R339&lt;&gt;0,$Q339/$R339,""),"")</f>
        <v/>
      </c>
      <c r="AG339" s="71" t="str">
        <f>IF($G339="","",IF($AL339=1,"OVERDUE",IF($AM339=1,"BLOCKED",IF($AN339=1,"DUE TODAY",IF($AO339=1,"DUE TOMORROW",IF($AQ339=1,"HIGH PRIORITY",IF($AR339=1,"NO RECENT UPDATE",""))))))) </f>
        <v/>
      </c>
      <c r="AH339" s="71" t="str">
        <f>IF($G339="","",IF(ISNUMBER($A339),IF(ISNUMBER($A339),YEAR($A339)&amp;"-"&amp;TEXT(MONTH($A339),"00"),""),IF(ISNUMBER($L339),IF(ISNUMBER($L339),YEAR($L339)&amp;"-"&amp;TEXT(MONTH($L339),"00"),""),"")))</f>
        <v/>
      </c>
      <c r="AI339" s="71">
        <f>IF($G339="",0,IF(AND(OR(fClient="All",$C339=fClient),OR(fCampaign="All",$D339=fCampaign),OR(fTeam="All",$B339=fTeam),OR(fChannel="All",$F339=fChannel),OR(fMonth="All",$AH339=fMonth),OR(fTStatus="All",$M339=fTStatus)),1,0))</f>
        <v>0</v>
      </c>
      <c r="AJ339" s="71">
        <f>IF($G339="",0,IF(AND(OR(fClient="All",$C339=fClient),OR(fCampaign="All",$D339=fCampaign),OR(fTeam="All",$B339=fTeam),OR(fChannel="All",$F339=fChannel)),1,0))</f>
        <v>0</v>
      </c>
      <c r="AK339" s="71">
        <f>IF($G339="",0,IF(OR($M339="Completed",$M339="Cancelled"),0,1))</f>
        <v>0</v>
      </c>
      <c r="AL339" s="71">
        <f>IF(AND($AK339=1,ISNUMBER($L339)),IF($L339&lt;ReportDate,1,0),0)</f>
        <v>0</v>
      </c>
      <c r="AM339" s="71">
        <f>IF(AND($G339&lt;&gt;"",$M339="Blocked"),1,0)</f>
        <v>0</v>
      </c>
      <c r="AN339" s="71">
        <f>IF(AND($AK339=1,ISNUMBER($L339)),IF($L339=ReportDate,1,0),0)</f>
        <v>0</v>
      </c>
      <c r="AO339" s="71">
        <f>IF(AND($AK339=1,ISNUMBER($L339)),IF($L339=ReportDate+1,1,0),0)</f>
        <v>0</v>
      </c>
      <c r="AP339" s="71">
        <f>IF(AND($AK339=1,ISNUMBER($L339)),IF(AND($L339&gt;=ReportDate,$L339&lt;=ReportDate+DueSoonDays),1,0),0)</f>
        <v>0</v>
      </c>
      <c r="AQ339" s="71">
        <f>IF(AND($AK339=1,OR($I339="Critical",$I339="High")),1,0)</f>
        <v>0</v>
      </c>
      <c r="AR339" s="71">
        <f>IF($AK339=1,IF(ISNUMBER($Y339),IF(ReportDate-$Y339&gt;StaleDays,1,0),1),0)</f>
        <v>0</v>
      </c>
      <c r="AS339" s="71">
        <f>IF(AND($G339&lt;&gt;"",ISNUMBER($Q339),ISNUMBER($R339)),IF(AND($Q339&lt;$R339,OR($M339="Completed",AND(ISNUMBER($L339),$L339&lt;ReportDate))),1,0),0)</f>
        <v>0</v>
      </c>
      <c r="AT339" s="71">
        <f>IF($AK339=1,IF(OR($L339=ReportDate,$W339=ReportDate,$K339=ReportDate,$A339=ReportDate),1,0),0)</f>
        <v>0</v>
      </c>
      <c r="AU339" s="71">
        <f>IF($AK339=1,IF(OR($L339=ReportDate+1,$W339=ReportDate+1,$K339=ReportDate+1,$A339=ReportDate+1),1,0),0)</f>
        <v>0</v>
      </c>
      <c r="AV339" s="71">
        <f>IF(AND($G339&lt;&gt;"",$M339="Completed"),IF(OR($Y339=ReportDate-1,$A339=ReportDate-1),1,0),0)</f>
        <v>0</v>
      </c>
      <c r="AW339" s="71">
        <f>IF(AND($AK339=1,$Z339="Yes"),1,0)</f>
        <v>0</v>
      </c>
      <c r="AX339" s="71">
        <f>IF(AND($AK339=1,$AA339="Yes"),1,0)</f>
        <v>0</v>
      </c>
      <c r="AY339" s="71">
        <f>IF(AND($AM339=1,OR($I339="Critical",$I339="High")),1,0)</f>
        <v>0</v>
      </c>
      <c r="AZ339" s="71">
        <f>IF(AND($AK339=1,OR($C339=TCL_Client,$C339=MECCA_Client)),1,0)</f>
        <v>0</v>
      </c>
      <c r="BA339" s="71" t="str">
        <f>IF($G339="","",IFERROR(MATCH($I339,lst_Priority,0),5))</f>
        <v/>
      </c>
      <c r="BB339" s="71" t="str">
        <f>IF(AND($AL339=1,$AJ339=1),$BA339*100000+ROW(),"")</f>
        <v/>
      </c>
      <c r="BC339" s="71" t="str">
        <f>IF(AND($AM339=1,$AJ339=1),$BA339*100000+ROW(),"")</f>
        <v/>
      </c>
      <c r="BD339" s="71" t="str">
        <f>IF(AND($AP339=1,$AJ339=1),$BA339*100000+ROW(),"")</f>
        <v/>
      </c>
      <c r="BE339" s="71" t="str">
        <f>IF(AND($AT339=1,$AJ339=1),$BA339*100000+ROW(),"")</f>
        <v/>
      </c>
      <c r="BF339" s="71" t="str">
        <f>IF(AND($AU339=1,$AJ339=1),$BA339*100000+ROW(),"")</f>
        <v/>
      </c>
      <c r="BG339" s="71" t="str">
        <f>IF(AND($AV339=1,$AJ339=1),$BA339*100000+ROW(),"")</f>
        <v/>
      </c>
      <c r="BH339" s="71" t="str">
        <f>IF(AND($AW339=1,$AJ339=1),$BA339*100000+ROW(),"")</f>
        <v/>
      </c>
      <c r="BI339" s="71" t="str">
        <f>IF(AND($AX339=1,$AJ339=1),$BA339*100000+ROW(),"")</f>
        <v/>
      </c>
      <c r="BJ339" s="71" t="str">
        <f>IF(AND($AS339=1,$AJ339=1),$BA339*100000+ROW(),"")</f>
        <v/>
      </c>
      <c r="BK339" s="71" t="str">
        <f>IF(AND($AY339=1,$AJ339=1),$BA339*100000+ROW(),"")</f>
        <v/>
      </c>
      <c r="BL339" s="71" t="str">
        <f>IF(AND($AZ339=1),$BA339*100000+ROW(),"")</f>
        <v/>
      </c>
    </row>
    <row r="340">
      <c r="A340" s="63" t="n"/>
      <c r="B340" s="64" t="n"/>
      <c r="C340" s="64" t="n"/>
      <c r="D340" s="64" t="n"/>
      <c r="E340" s="64" t="n"/>
      <c r="F340" s="64" t="n"/>
      <c r="G340" s="65" t="n"/>
      <c r="H340" s="65" t="n"/>
      <c r="I340" s="64" t="n"/>
      <c r="J340" s="64" t="n"/>
      <c r="K340" s="63" t="n"/>
      <c r="L340" s="63" t="n"/>
      <c r="M340" s="64" t="n"/>
      <c r="N340" s="66" t="n"/>
      <c r="O340" s="65" t="n"/>
      <c r="P340" s="64" t="n"/>
      <c r="Q340" s="67" t="n"/>
      <c r="R340" s="67" t="n"/>
      <c r="S340" s="68" t="str">
        <f>IF(AND(ISNUMBER($Q340),ISNUMBER($R340)),$Q340-$R340,"")</f>
        <v/>
      </c>
      <c r="T340" s="65" t="n"/>
      <c r="U340" s="64" t="n"/>
      <c r="V340" s="65" t="n"/>
      <c r="W340" s="63" t="n"/>
      <c r="X340" s="65" t="n"/>
      <c r="Y340" s="63" t="n"/>
      <c r="Z340" s="64" t="n"/>
      <c r="AA340" s="64" t="n"/>
      <c r="AB340" s="65" t="n"/>
      <c r="AC340" s="69" t="str">
        <f>IF(OR($G340="",NOT(ISNUMBER($K340)),$AK340=0),"",MAX(0,ReportDate-$K340))</f>
        <v/>
      </c>
      <c r="AD340" s="69" t="str">
        <f>IF($G340="","",IF($AL340=1,ReportDate-$L340,0))</f>
        <v/>
      </c>
      <c r="AE340" s="70" t="str">
        <f>IF($G340="","",IF($M340="Completed",1,IF(ISNUMBER($N340),$N340,0)))</f>
        <v/>
      </c>
      <c r="AF340" s="70" t="str">
        <f>IF(AND(ISNUMBER($Q340),ISNUMBER($R340)),IF($R340&lt;&gt;0,$Q340/$R340,""),"")</f>
        <v/>
      </c>
      <c r="AG340" s="71" t="str">
        <f>IF($G340="","",IF($AL340=1,"OVERDUE",IF($AM340=1,"BLOCKED",IF($AN340=1,"DUE TODAY",IF($AO340=1,"DUE TOMORROW",IF($AQ340=1,"HIGH PRIORITY",IF($AR340=1,"NO RECENT UPDATE",""))))))) </f>
        <v/>
      </c>
      <c r="AH340" s="71" t="str">
        <f>IF($G340="","",IF(ISNUMBER($A340),IF(ISNUMBER($A340),YEAR($A340)&amp;"-"&amp;TEXT(MONTH($A340),"00"),""),IF(ISNUMBER($L340),IF(ISNUMBER($L340),YEAR($L340)&amp;"-"&amp;TEXT(MONTH($L340),"00"),""),"")))</f>
        <v/>
      </c>
      <c r="AI340" s="71">
        <f>IF($G340="",0,IF(AND(OR(fClient="All",$C340=fClient),OR(fCampaign="All",$D340=fCampaign),OR(fTeam="All",$B340=fTeam),OR(fChannel="All",$F340=fChannel),OR(fMonth="All",$AH340=fMonth),OR(fTStatus="All",$M340=fTStatus)),1,0))</f>
        <v>0</v>
      </c>
      <c r="AJ340" s="71">
        <f>IF($G340="",0,IF(AND(OR(fClient="All",$C340=fClient),OR(fCampaign="All",$D340=fCampaign),OR(fTeam="All",$B340=fTeam),OR(fChannel="All",$F340=fChannel)),1,0))</f>
        <v>0</v>
      </c>
      <c r="AK340" s="71">
        <f>IF($G340="",0,IF(OR($M340="Completed",$M340="Cancelled"),0,1))</f>
        <v>0</v>
      </c>
      <c r="AL340" s="71">
        <f>IF(AND($AK340=1,ISNUMBER($L340)),IF($L340&lt;ReportDate,1,0),0)</f>
        <v>0</v>
      </c>
      <c r="AM340" s="71">
        <f>IF(AND($G340&lt;&gt;"",$M340="Blocked"),1,0)</f>
        <v>0</v>
      </c>
      <c r="AN340" s="71">
        <f>IF(AND($AK340=1,ISNUMBER($L340)),IF($L340=ReportDate,1,0),0)</f>
        <v>0</v>
      </c>
      <c r="AO340" s="71">
        <f>IF(AND($AK340=1,ISNUMBER($L340)),IF($L340=ReportDate+1,1,0),0)</f>
        <v>0</v>
      </c>
      <c r="AP340" s="71">
        <f>IF(AND($AK340=1,ISNUMBER($L340)),IF(AND($L340&gt;=ReportDate,$L340&lt;=ReportDate+DueSoonDays),1,0),0)</f>
        <v>0</v>
      </c>
      <c r="AQ340" s="71">
        <f>IF(AND($AK340=1,OR($I340="Critical",$I340="High")),1,0)</f>
        <v>0</v>
      </c>
      <c r="AR340" s="71">
        <f>IF($AK340=1,IF(ISNUMBER($Y340),IF(ReportDate-$Y340&gt;StaleDays,1,0),1),0)</f>
        <v>0</v>
      </c>
      <c r="AS340" s="71">
        <f>IF(AND($G340&lt;&gt;"",ISNUMBER($Q340),ISNUMBER($R340)),IF(AND($Q340&lt;$R340,OR($M340="Completed",AND(ISNUMBER($L340),$L340&lt;ReportDate))),1,0),0)</f>
        <v>0</v>
      </c>
      <c r="AT340" s="71">
        <f>IF($AK340=1,IF(OR($L340=ReportDate,$W340=ReportDate,$K340=ReportDate,$A340=ReportDate),1,0),0)</f>
        <v>0</v>
      </c>
      <c r="AU340" s="71">
        <f>IF($AK340=1,IF(OR($L340=ReportDate+1,$W340=ReportDate+1,$K340=ReportDate+1,$A340=ReportDate+1),1,0),0)</f>
        <v>0</v>
      </c>
      <c r="AV340" s="71">
        <f>IF(AND($G340&lt;&gt;"",$M340="Completed"),IF(OR($Y340=ReportDate-1,$A340=ReportDate-1),1,0),0)</f>
        <v>0</v>
      </c>
      <c r="AW340" s="71">
        <f>IF(AND($AK340=1,$Z340="Yes"),1,0)</f>
        <v>0</v>
      </c>
      <c r="AX340" s="71">
        <f>IF(AND($AK340=1,$AA340="Yes"),1,0)</f>
        <v>0</v>
      </c>
      <c r="AY340" s="71">
        <f>IF(AND($AM340=1,OR($I340="Critical",$I340="High")),1,0)</f>
        <v>0</v>
      </c>
      <c r="AZ340" s="71">
        <f>IF(AND($AK340=1,OR($C340=TCL_Client,$C340=MECCA_Client)),1,0)</f>
        <v>0</v>
      </c>
      <c r="BA340" s="71" t="str">
        <f>IF($G340="","",IFERROR(MATCH($I340,lst_Priority,0),5))</f>
        <v/>
      </c>
      <c r="BB340" s="71" t="str">
        <f>IF(AND($AL340=1,$AJ340=1),$BA340*100000+ROW(),"")</f>
        <v/>
      </c>
      <c r="BC340" s="71" t="str">
        <f>IF(AND($AM340=1,$AJ340=1),$BA340*100000+ROW(),"")</f>
        <v/>
      </c>
      <c r="BD340" s="71" t="str">
        <f>IF(AND($AP340=1,$AJ340=1),$BA340*100000+ROW(),"")</f>
        <v/>
      </c>
      <c r="BE340" s="71" t="str">
        <f>IF(AND($AT340=1,$AJ340=1),$BA340*100000+ROW(),"")</f>
        <v/>
      </c>
      <c r="BF340" s="71" t="str">
        <f>IF(AND($AU340=1,$AJ340=1),$BA340*100000+ROW(),"")</f>
        <v/>
      </c>
      <c r="BG340" s="71" t="str">
        <f>IF(AND($AV340=1,$AJ340=1),$BA340*100000+ROW(),"")</f>
        <v/>
      </c>
      <c r="BH340" s="71" t="str">
        <f>IF(AND($AW340=1,$AJ340=1),$BA340*100000+ROW(),"")</f>
        <v/>
      </c>
      <c r="BI340" s="71" t="str">
        <f>IF(AND($AX340=1,$AJ340=1),$BA340*100000+ROW(),"")</f>
        <v/>
      </c>
      <c r="BJ340" s="71" t="str">
        <f>IF(AND($AS340=1,$AJ340=1),$BA340*100000+ROW(),"")</f>
        <v/>
      </c>
      <c r="BK340" s="71" t="str">
        <f>IF(AND($AY340=1,$AJ340=1),$BA340*100000+ROW(),"")</f>
        <v/>
      </c>
      <c r="BL340" s="71" t="str">
        <f>IF(AND($AZ340=1),$BA340*100000+ROW(),"")</f>
        <v/>
      </c>
    </row>
    <row r="341">
      <c r="A341" s="63" t="n"/>
      <c r="B341" s="64" t="n"/>
      <c r="C341" s="64" t="n"/>
      <c r="D341" s="64" t="n"/>
      <c r="E341" s="64" t="n"/>
      <c r="F341" s="64" t="n"/>
      <c r="G341" s="65" t="n"/>
      <c r="H341" s="65" t="n"/>
      <c r="I341" s="64" t="n"/>
      <c r="J341" s="64" t="n"/>
      <c r="K341" s="63" t="n"/>
      <c r="L341" s="63" t="n"/>
      <c r="M341" s="64" t="n"/>
      <c r="N341" s="66" t="n"/>
      <c r="O341" s="65" t="n"/>
      <c r="P341" s="64" t="n"/>
      <c r="Q341" s="67" t="n"/>
      <c r="R341" s="67" t="n"/>
      <c r="S341" s="68" t="str">
        <f>IF(AND(ISNUMBER($Q341),ISNUMBER($R341)),$Q341-$R341,"")</f>
        <v/>
      </c>
      <c r="T341" s="65" t="n"/>
      <c r="U341" s="64" t="n"/>
      <c r="V341" s="65" t="n"/>
      <c r="W341" s="63" t="n"/>
      <c r="X341" s="65" t="n"/>
      <c r="Y341" s="63" t="n"/>
      <c r="Z341" s="64" t="n"/>
      <c r="AA341" s="64" t="n"/>
      <c r="AB341" s="65" t="n"/>
      <c r="AC341" s="69" t="str">
        <f>IF(OR($G341="",NOT(ISNUMBER($K341)),$AK341=0),"",MAX(0,ReportDate-$K341))</f>
        <v/>
      </c>
      <c r="AD341" s="69" t="str">
        <f>IF($G341="","",IF($AL341=1,ReportDate-$L341,0))</f>
        <v/>
      </c>
      <c r="AE341" s="70" t="str">
        <f>IF($G341="","",IF($M341="Completed",1,IF(ISNUMBER($N341),$N341,0)))</f>
        <v/>
      </c>
      <c r="AF341" s="70" t="str">
        <f>IF(AND(ISNUMBER($Q341),ISNUMBER($R341)),IF($R341&lt;&gt;0,$Q341/$R341,""),"")</f>
        <v/>
      </c>
      <c r="AG341" s="71" t="str">
        <f>IF($G341="","",IF($AL341=1,"OVERDUE",IF($AM341=1,"BLOCKED",IF($AN341=1,"DUE TODAY",IF($AO341=1,"DUE TOMORROW",IF($AQ341=1,"HIGH PRIORITY",IF($AR341=1,"NO RECENT UPDATE",""))))))) </f>
        <v/>
      </c>
      <c r="AH341" s="71" t="str">
        <f>IF($G341="","",IF(ISNUMBER($A341),IF(ISNUMBER($A341),YEAR($A341)&amp;"-"&amp;TEXT(MONTH($A341),"00"),""),IF(ISNUMBER($L341),IF(ISNUMBER($L341),YEAR($L341)&amp;"-"&amp;TEXT(MONTH($L341),"00"),""),"")))</f>
        <v/>
      </c>
      <c r="AI341" s="71">
        <f>IF($G341="",0,IF(AND(OR(fClient="All",$C341=fClient),OR(fCampaign="All",$D341=fCampaign),OR(fTeam="All",$B341=fTeam),OR(fChannel="All",$F341=fChannel),OR(fMonth="All",$AH341=fMonth),OR(fTStatus="All",$M341=fTStatus)),1,0))</f>
        <v>0</v>
      </c>
      <c r="AJ341" s="71">
        <f>IF($G341="",0,IF(AND(OR(fClient="All",$C341=fClient),OR(fCampaign="All",$D341=fCampaign),OR(fTeam="All",$B341=fTeam),OR(fChannel="All",$F341=fChannel)),1,0))</f>
        <v>0</v>
      </c>
      <c r="AK341" s="71">
        <f>IF($G341="",0,IF(OR($M341="Completed",$M341="Cancelled"),0,1))</f>
        <v>0</v>
      </c>
      <c r="AL341" s="71">
        <f>IF(AND($AK341=1,ISNUMBER($L341)),IF($L341&lt;ReportDate,1,0),0)</f>
        <v>0</v>
      </c>
      <c r="AM341" s="71">
        <f>IF(AND($G341&lt;&gt;"",$M341="Blocked"),1,0)</f>
        <v>0</v>
      </c>
      <c r="AN341" s="71">
        <f>IF(AND($AK341=1,ISNUMBER($L341)),IF($L341=ReportDate,1,0),0)</f>
        <v>0</v>
      </c>
      <c r="AO341" s="71">
        <f>IF(AND($AK341=1,ISNUMBER($L341)),IF($L341=ReportDate+1,1,0),0)</f>
        <v>0</v>
      </c>
      <c r="AP341" s="71">
        <f>IF(AND($AK341=1,ISNUMBER($L341)),IF(AND($L341&gt;=ReportDate,$L341&lt;=ReportDate+DueSoonDays),1,0),0)</f>
        <v>0</v>
      </c>
      <c r="AQ341" s="71">
        <f>IF(AND($AK341=1,OR($I341="Critical",$I341="High")),1,0)</f>
        <v>0</v>
      </c>
      <c r="AR341" s="71">
        <f>IF($AK341=1,IF(ISNUMBER($Y341),IF(ReportDate-$Y341&gt;StaleDays,1,0),1),0)</f>
        <v>0</v>
      </c>
      <c r="AS341" s="71">
        <f>IF(AND($G341&lt;&gt;"",ISNUMBER($Q341),ISNUMBER($R341)),IF(AND($Q341&lt;$R341,OR($M341="Completed",AND(ISNUMBER($L341),$L341&lt;ReportDate))),1,0),0)</f>
        <v>0</v>
      </c>
      <c r="AT341" s="71">
        <f>IF($AK341=1,IF(OR($L341=ReportDate,$W341=ReportDate,$K341=ReportDate,$A341=ReportDate),1,0),0)</f>
        <v>0</v>
      </c>
      <c r="AU341" s="71">
        <f>IF($AK341=1,IF(OR($L341=ReportDate+1,$W341=ReportDate+1,$K341=ReportDate+1,$A341=ReportDate+1),1,0),0)</f>
        <v>0</v>
      </c>
      <c r="AV341" s="71">
        <f>IF(AND($G341&lt;&gt;"",$M341="Completed"),IF(OR($Y341=ReportDate-1,$A341=ReportDate-1),1,0),0)</f>
        <v>0</v>
      </c>
      <c r="AW341" s="71">
        <f>IF(AND($AK341=1,$Z341="Yes"),1,0)</f>
        <v>0</v>
      </c>
      <c r="AX341" s="71">
        <f>IF(AND($AK341=1,$AA341="Yes"),1,0)</f>
        <v>0</v>
      </c>
      <c r="AY341" s="71">
        <f>IF(AND($AM341=1,OR($I341="Critical",$I341="High")),1,0)</f>
        <v>0</v>
      </c>
      <c r="AZ341" s="71">
        <f>IF(AND($AK341=1,OR($C341=TCL_Client,$C341=MECCA_Client)),1,0)</f>
        <v>0</v>
      </c>
      <c r="BA341" s="71" t="str">
        <f>IF($G341="","",IFERROR(MATCH($I341,lst_Priority,0),5))</f>
        <v/>
      </c>
      <c r="BB341" s="71" t="str">
        <f>IF(AND($AL341=1,$AJ341=1),$BA341*100000+ROW(),"")</f>
        <v/>
      </c>
      <c r="BC341" s="71" t="str">
        <f>IF(AND($AM341=1,$AJ341=1),$BA341*100000+ROW(),"")</f>
        <v/>
      </c>
      <c r="BD341" s="71" t="str">
        <f>IF(AND($AP341=1,$AJ341=1),$BA341*100000+ROW(),"")</f>
        <v/>
      </c>
      <c r="BE341" s="71" t="str">
        <f>IF(AND($AT341=1,$AJ341=1),$BA341*100000+ROW(),"")</f>
        <v/>
      </c>
      <c r="BF341" s="71" t="str">
        <f>IF(AND($AU341=1,$AJ341=1),$BA341*100000+ROW(),"")</f>
        <v/>
      </c>
      <c r="BG341" s="71" t="str">
        <f>IF(AND($AV341=1,$AJ341=1),$BA341*100000+ROW(),"")</f>
        <v/>
      </c>
      <c r="BH341" s="71" t="str">
        <f>IF(AND($AW341=1,$AJ341=1),$BA341*100000+ROW(),"")</f>
        <v/>
      </c>
      <c r="BI341" s="71" t="str">
        <f>IF(AND($AX341=1,$AJ341=1),$BA341*100000+ROW(),"")</f>
        <v/>
      </c>
      <c r="BJ341" s="71" t="str">
        <f>IF(AND($AS341=1,$AJ341=1),$BA341*100000+ROW(),"")</f>
        <v/>
      </c>
      <c r="BK341" s="71" t="str">
        <f>IF(AND($AY341=1,$AJ341=1),$BA341*100000+ROW(),"")</f>
        <v/>
      </c>
      <c r="BL341" s="71" t="str">
        <f>IF(AND($AZ341=1),$BA341*100000+ROW(),"")</f>
        <v/>
      </c>
    </row>
    <row r="342">
      <c r="A342" s="63" t="n"/>
      <c r="B342" s="64" t="n"/>
      <c r="C342" s="64" t="n"/>
      <c r="D342" s="64" t="n"/>
      <c r="E342" s="64" t="n"/>
      <c r="F342" s="64" t="n"/>
      <c r="G342" s="65" t="n"/>
      <c r="H342" s="65" t="n"/>
      <c r="I342" s="64" t="n"/>
      <c r="J342" s="64" t="n"/>
      <c r="K342" s="63" t="n"/>
      <c r="L342" s="63" t="n"/>
      <c r="M342" s="64" t="n"/>
      <c r="N342" s="66" t="n"/>
      <c r="O342" s="65" t="n"/>
      <c r="P342" s="64" t="n"/>
      <c r="Q342" s="67" t="n"/>
      <c r="R342" s="67" t="n"/>
      <c r="S342" s="68" t="str">
        <f>IF(AND(ISNUMBER($Q342),ISNUMBER($R342)),$Q342-$R342,"")</f>
        <v/>
      </c>
      <c r="T342" s="65" t="n"/>
      <c r="U342" s="64" t="n"/>
      <c r="V342" s="65" t="n"/>
      <c r="W342" s="63" t="n"/>
      <c r="X342" s="65" t="n"/>
      <c r="Y342" s="63" t="n"/>
      <c r="Z342" s="64" t="n"/>
      <c r="AA342" s="64" t="n"/>
      <c r="AB342" s="65" t="n"/>
      <c r="AC342" s="69" t="str">
        <f>IF(OR($G342="",NOT(ISNUMBER($K342)),$AK342=0),"",MAX(0,ReportDate-$K342))</f>
        <v/>
      </c>
      <c r="AD342" s="69" t="str">
        <f>IF($G342="","",IF($AL342=1,ReportDate-$L342,0))</f>
        <v/>
      </c>
      <c r="AE342" s="70" t="str">
        <f>IF($G342="","",IF($M342="Completed",1,IF(ISNUMBER($N342),$N342,0)))</f>
        <v/>
      </c>
      <c r="AF342" s="70" t="str">
        <f>IF(AND(ISNUMBER($Q342),ISNUMBER($R342)),IF($R342&lt;&gt;0,$Q342/$R342,""),"")</f>
        <v/>
      </c>
      <c r="AG342" s="71" t="str">
        <f>IF($G342="","",IF($AL342=1,"OVERDUE",IF($AM342=1,"BLOCKED",IF($AN342=1,"DUE TODAY",IF($AO342=1,"DUE TOMORROW",IF($AQ342=1,"HIGH PRIORITY",IF($AR342=1,"NO RECENT UPDATE",""))))))) </f>
        <v/>
      </c>
      <c r="AH342" s="71" t="str">
        <f>IF($G342="","",IF(ISNUMBER($A342),IF(ISNUMBER($A342),YEAR($A342)&amp;"-"&amp;TEXT(MONTH($A342),"00"),""),IF(ISNUMBER($L342),IF(ISNUMBER($L342),YEAR($L342)&amp;"-"&amp;TEXT(MONTH($L342),"00"),""),"")))</f>
        <v/>
      </c>
      <c r="AI342" s="71">
        <f>IF($G342="",0,IF(AND(OR(fClient="All",$C342=fClient),OR(fCampaign="All",$D342=fCampaign),OR(fTeam="All",$B342=fTeam),OR(fChannel="All",$F342=fChannel),OR(fMonth="All",$AH342=fMonth),OR(fTStatus="All",$M342=fTStatus)),1,0))</f>
        <v>0</v>
      </c>
      <c r="AJ342" s="71">
        <f>IF($G342="",0,IF(AND(OR(fClient="All",$C342=fClient),OR(fCampaign="All",$D342=fCampaign),OR(fTeam="All",$B342=fTeam),OR(fChannel="All",$F342=fChannel)),1,0))</f>
        <v>0</v>
      </c>
      <c r="AK342" s="71">
        <f>IF($G342="",0,IF(OR($M342="Completed",$M342="Cancelled"),0,1))</f>
        <v>0</v>
      </c>
      <c r="AL342" s="71">
        <f>IF(AND($AK342=1,ISNUMBER($L342)),IF($L342&lt;ReportDate,1,0),0)</f>
        <v>0</v>
      </c>
      <c r="AM342" s="71">
        <f>IF(AND($G342&lt;&gt;"",$M342="Blocked"),1,0)</f>
        <v>0</v>
      </c>
      <c r="AN342" s="71">
        <f>IF(AND($AK342=1,ISNUMBER($L342)),IF($L342=ReportDate,1,0),0)</f>
        <v>0</v>
      </c>
      <c r="AO342" s="71">
        <f>IF(AND($AK342=1,ISNUMBER($L342)),IF($L342=ReportDate+1,1,0),0)</f>
        <v>0</v>
      </c>
      <c r="AP342" s="71">
        <f>IF(AND($AK342=1,ISNUMBER($L342)),IF(AND($L342&gt;=ReportDate,$L342&lt;=ReportDate+DueSoonDays),1,0),0)</f>
        <v>0</v>
      </c>
      <c r="AQ342" s="71">
        <f>IF(AND($AK342=1,OR($I342="Critical",$I342="High")),1,0)</f>
        <v>0</v>
      </c>
      <c r="AR342" s="71">
        <f>IF($AK342=1,IF(ISNUMBER($Y342),IF(ReportDate-$Y342&gt;StaleDays,1,0),1),0)</f>
        <v>0</v>
      </c>
      <c r="AS342" s="71">
        <f>IF(AND($G342&lt;&gt;"",ISNUMBER($Q342),ISNUMBER($R342)),IF(AND($Q342&lt;$R342,OR($M342="Completed",AND(ISNUMBER($L342),$L342&lt;ReportDate))),1,0),0)</f>
        <v>0</v>
      </c>
      <c r="AT342" s="71">
        <f>IF($AK342=1,IF(OR($L342=ReportDate,$W342=ReportDate,$K342=ReportDate,$A342=ReportDate),1,0),0)</f>
        <v>0</v>
      </c>
      <c r="AU342" s="71">
        <f>IF($AK342=1,IF(OR($L342=ReportDate+1,$W342=ReportDate+1,$K342=ReportDate+1,$A342=ReportDate+1),1,0),0)</f>
        <v>0</v>
      </c>
      <c r="AV342" s="71">
        <f>IF(AND($G342&lt;&gt;"",$M342="Completed"),IF(OR($Y342=ReportDate-1,$A342=ReportDate-1),1,0),0)</f>
        <v>0</v>
      </c>
      <c r="AW342" s="71">
        <f>IF(AND($AK342=1,$Z342="Yes"),1,0)</f>
        <v>0</v>
      </c>
      <c r="AX342" s="71">
        <f>IF(AND($AK342=1,$AA342="Yes"),1,0)</f>
        <v>0</v>
      </c>
      <c r="AY342" s="71">
        <f>IF(AND($AM342=1,OR($I342="Critical",$I342="High")),1,0)</f>
        <v>0</v>
      </c>
      <c r="AZ342" s="71">
        <f>IF(AND($AK342=1,OR($C342=TCL_Client,$C342=MECCA_Client)),1,0)</f>
        <v>0</v>
      </c>
      <c r="BA342" s="71" t="str">
        <f>IF($G342="","",IFERROR(MATCH($I342,lst_Priority,0),5))</f>
        <v/>
      </c>
      <c r="BB342" s="71" t="str">
        <f>IF(AND($AL342=1,$AJ342=1),$BA342*100000+ROW(),"")</f>
        <v/>
      </c>
      <c r="BC342" s="71" t="str">
        <f>IF(AND($AM342=1,$AJ342=1),$BA342*100000+ROW(),"")</f>
        <v/>
      </c>
      <c r="BD342" s="71" t="str">
        <f>IF(AND($AP342=1,$AJ342=1),$BA342*100000+ROW(),"")</f>
        <v/>
      </c>
      <c r="BE342" s="71" t="str">
        <f>IF(AND($AT342=1,$AJ342=1),$BA342*100000+ROW(),"")</f>
        <v/>
      </c>
      <c r="BF342" s="71" t="str">
        <f>IF(AND($AU342=1,$AJ342=1),$BA342*100000+ROW(),"")</f>
        <v/>
      </c>
      <c r="BG342" s="71" t="str">
        <f>IF(AND($AV342=1,$AJ342=1),$BA342*100000+ROW(),"")</f>
        <v/>
      </c>
      <c r="BH342" s="71" t="str">
        <f>IF(AND($AW342=1,$AJ342=1),$BA342*100000+ROW(),"")</f>
        <v/>
      </c>
      <c r="BI342" s="71" t="str">
        <f>IF(AND($AX342=1,$AJ342=1),$BA342*100000+ROW(),"")</f>
        <v/>
      </c>
      <c r="BJ342" s="71" t="str">
        <f>IF(AND($AS342=1,$AJ342=1),$BA342*100000+ROW(),"")</f>
        <v/>
      </c>
      <c r="BK342" s="71" t="str">
        <f>IF(AND($AY342=1,$AJ342=1),$BA342*100000+ROW(),"")</f>
        <v/>
      </c>
      <c r="BL342" s="71" t="str">
        <f>IF(AND($AZ342=1),$BA342*100000+ROW(),"")</f>
        <v/>
      </c>
    </row>
    <row r="343">
      <c r="A343" s="63" t="n"/>
      <c r="B343" s="64" t="n"/>
      <c r="C343" s="64" t="n"/>
      <c r="D343" s="64" t="n"/>
      <c r="E343" s="64" t="n"/>
      <c r="F343" s="64" t="n"/>
      <c r="G343" s="65" t="n"/>
      <c r="H343" s="65" t="n"/>
      <c r="I343" s="64" t="n"/>
      <c r="J343" s="64" t="n"/>
      <c r="K343" s="63" t="n"/>
      <c r="L343" s="63" t="n"/>
      <c r="M343" s="64" t="n"/>
      <c r="N343" s="66" t="n"/>
      <c r="O343" s="65" t="n"/>
      <c r="P343" s="64" t="n"/>
      <c r="Q343" s="67" t="n"/>
      <c r="R343" s="67" t="n"/>
      <c r="S343" s="68" t="str">
        <f>IF(AND(ISNUMBER($Q343),ISNUMBER($R343)),$Q343-$R343,"")</f>
        <v/>
      </c>
      <c r="T343" s="65" t="n"/>
      <c r="U343" s="64" t="n"/>
      <c r="V343" s="65" t="n"/>
      <c r="W343" s="63" t="n"/>
      <c r="X343" s="65" t="n"/>
      <c r="Y343" s="63" t="n"/>
      <c r="Z343" s="64" t="n"/>
      <c r="AA343" s="64" t="n"/>
      <c r="AB343" s="65" t="n"/>
      <c r="AC343" s="69" t="str">
        <f>IF(OR($G343="",NOT(ISNUMBER($K343)),$AK343=0),"",MAX(0,ReportDate-$K343))</f>
        <v/>
      </c>
      <c r="AD343" s="69" t="str">
        <f>IF($G343="","",IF($AL343=1,ReportDate-$L343,0))</f>
        <v/>
      </c>
      <c r="AE343" s="70" t="str">
        <f>IF($G343="","",IF($M343="Completed",1,IF(ISNUMBER($N343),$N343,0)))</f>
        <v/>
      </c>
      <c r="AF343" s="70" t="str">
        <f>IF(AND(ISNUMBER($Q343),ISNUMBER($R343)),IF($R343&lt;&gt;0,$Q343/$R343,""),"")</f>
        <v/>
      </c>
      <c r="AG343" s="71" t="str">
        <f>IF($G343="","",IF($AL343=1,"OVERDUE",IF($AM343=1,"BLOCKED",IF($AN343=1,"DUE TODAY",IF($AO343=1,"DUE TOMORROW",IF($AQ343=1,"HIGH PRIORITY",IF($AR343=1,"NO RECENT UPDATE",""))))))) </f>
        <v/>
      </c>
      <c r="AH343" s="71" t="str">
        <f>IF($G343="","",IF(ISNUMBER($A343),IF(ISNUMBER($A343),YEAR($A343)&amp;"-"&amp;TEXT(MONTH($A343),"00"),""),IF(ISNUMBER($L343),IF(ISNUMBER($L343),YEAR($L343)&amp;"-"&amp;TEXT(MONTH($L343),"00"),""),"")))</f>
        <v/>
      </c>
      <c r="AI343" s="71">
        <f>IF($G343="",0,IF(AND(OR(fClient="All",$C343=fClient),OR(fCampaign="All",$D343=fCampaign),OR(fTeam="All",$B343=fTeam),OR(fChannel="All",$F343=fChannel),OR(fMonth="All",$AH343=fMonth),OR(fTStatus="All",$M343=fTStatus)),1,0))</f>
        <v>0</v>
      </c>
      <c r="AJ343" s="71">
        <f>IF($G343="",0,IF(AND(OR(fClient="All",$C343=fClient),OR(fCampaign="All",$D343=fCampaign),OR(fTeam="All",$B343=fTeam),OR(fChannel="All",$F343=fChannel)),1,0))</f>
        <v>0</v>
      </c>
      <c r="AK343" s="71">
        <f>IF($G343="",0,IF(OR($M343="Completed",$M343="Cancelled"),0,1))</f>
        <v>0</v>
      </c>
      <c r="AL343" s="71">
        <f>IF(AND($AK343=1,ISNUMBER($L343)),IF($L343&lt;ReportDate,1,0),0)</f>
        <v>0</v>
      </c>
      <c r="AM343" s="71">
        <f>IF(AND($G343&lt;&gt;"",$M343="Blocked"),1,0)</f>
        <v>0</v>
      </c>
      <c r="AN343" s="71">
        <f>IF(AND($AK343=1,ISNUMBER($L343)),IF($L343=ReportDate,1,0),0)</f>
        <v>0</v>
      </c>
      <c r="AO343" s="71">
        <f>IF(AND($AK343=1,ISNUMBER($L343)),IF($L343=ReportDate+1,1,0),0)</f>
        <v>0</v>
      </c>
      <c r="AP343" s="71">
        <f>IF(AND($AK343=1,ISNUMBER($L343)),IF(AND($L343&gt;=ReportDate,$L343&lt;=ReportDate+DueSoonDays),1,0),0)</f>
        <v>0</v>
      </c>
      <c r="AQ343" s="71">
        <f>IF(AND($AK343=1,OR($I343="Critical",$I343="High")),1,0)</f>
        <v>0</v>
      </c>
      <c r="AR343" s="71">
        <f>IF($AK343=1,IF(ISNUMBER($Y343),IF(ReportDate-$Y343&gt;StaleDays,1,0),1),0)</f>
        <v>0</v>
      </c>
      <c r="AS343" s="71">
        <f>IF(AND($G343&lt;&gt;"",ISNUMBER($Q343),ISNUMBER($R343)),IF(AND($Q343&lt;$R343,OR($M343="Completed",AND(ISNUMBER($L343),$L343&lt;ReportDate))),1,0),0)</f>
        <v>0</v>
      </c>
      <c r="AT343" s="71">
        <f>IF($AK343=1,IF(OR($L343=ReportDate,$W343=ReportDate,$K343=ReportDate,$A343=ReportDate),1,0),0)</f>
        <v>0</v>
      </c>
      <c r="AU343" s="71">
        <f>IF($AK343=1,IF(OR($L343=ReportDate+1,$W343=ReportDate+1,$K343=ReportDate+1,$A343=ReportDate+1),1,0),0)</f>
        <v>0</v>
      </c>
      <c r="AV343" s="71">
        <f>IF(AND($G343&lt;&gt;"",$M343="Completed"),IF(OR($Y343=ReportDate-1,$A343=ReportDate-1),1,0),0)</f>
        <v>0</v>
      </c>
      <c r="AW343" s="71">
        <f>IF(AND($AK343=1,$Z343="Yes"),1,0)</f>
        <v>0</v>
      </c>
      <c r="AX343" s="71">
        <f>IF(AND($AK343=1,$AA343="Yes"),1,0)</f>
        <v>0</v>
      </c>
      <c r="AY343" s="71">
        <f>IF(AND($AM343=1,OR($I343="Critical",$I343="High")),1,0)</f>
        <v>0</v>
      </c>
      <c r="AZ343" s="71">
        <f>IF(AND($AK343=1,OR($C343=TCL_Client,$C343=MECCA_Client)),1,0)</f>
        <v>0</v>
      </c>
      <c r="BA343" s="71" t="str">
        <f>IF($G343="","",IFERROR(MATCH($I343,lst_Priority,0),5))</f>
        <v/>
      </c>
      <c r="BB343" s="71" t="str">
        <f>IF(AND($AL343=1,$AJ343=1),$BA343*100000+ROW(),"")</f>
        <v/>
      </c>
      <c r="BC343" s="71" t="str">
        <f>IF(AND($AM343=1,$AJ343=1),$BA343*100000+ROW(),"")</f>
        <v/>
      </c>
      <c r="BD343" s="71" t="str">
        <f>IF(AND($AP343=1,$AJ343=1),$BA343*100000+ROW(),"")</f>
        <v/>
      </c>
      <c r="BE343" s="71" t="str">
        <f>IF(AND($AT343=1,$AJ343=1),$BA343*100000+ROW(),"")</f>
        <v/>
      </c>
      <c r="BF343" s="71" t="str">
        <f>IF(AND($AU343=1,$AJ343=1),$BA343*100000+ROW(),"")</f>
        <v/>
      </c>
      <c r="BG343" s="71" t="str">
        <f>IF(AND($AV343=1,$AJ343=1),$BA343*100000+ROW(),"")</f>
        <v/>
      </c>
      <c r="BH343" s="71" t="str">
        <f>IF(AND($AW343=1,$AJ343=1),$BA343*100000+ROW(),"")</f>
        <v/>
      </c>
      <c r="BI343" s="71" t="str">
        <f>IF(AND($AX343=1,$AJ343=1),$BA343*100000+ROW(),"")</f>
        <v/>
      </c>
      <c r="BJ343" s="71" t="str">
        <f>IF(AND($AS343=1,$AJ343=1),$BA343*100000+ROW(),"")</f>
        <v/>
      </c>
      <c r="BK343" s="71" t="str">
        <f>IF(AND($AY343=1,$AJ343=1),$BA343*100000+ROW(),"")</f>
        <v/>
      </c>
      <c r="BL343" s="71" t="str">
        <f>IF(AND($AZ343=1),$BA343*100000+ROW(),"")</f>
        <v/>
      </c>
    </row>
    <row r="344">
      <c r="A344" s="63" t="n"/>
      <c r="B344" s="64" t="n"/>
      <c r="C344" s="64" t="n"/>
      <c r="D344" s="64" t="n"/>
      <c r="E344" s="64" t="n"/>
      <c r="F344" s="64" t="n"/>
      <c r="G344" s="65" t="n"/>
      <c r="H344" s="65" t="n"/>
      <c r="I344" s="64" t="n"/>
      <c r="J344" s="64" t="n"/>
      <c r="K344" s="63" t="n"/>
      <c r="L344" s="63" t="n"/>
      <c r="M344" s="64" t="n"/>
      <c r="N344" s="66" t="n"/>
      <c r="O344" s="65" t="n"/>
      <c r="P344" s="64" t="n"/>
      <c r="Q344" s="67" t="n"/>
      <c r="R344" s="67" t="n"/>
      <c r="S344" s="68" t="str">
        <f>IF(AND(ISNUMBER($Q344),ISNUMBER($R344)),$Q344-$R344,"")</f>
        <v/>
      </c>
      <c r="T344" s="65" t="n"/>
      <c r="U344" s="64" t="n"/>
      <c r="V344" s="65" t="n"/>
      <c r="W344" s="63" t="n"/>
      <c r="X344" s="65" t="n"/>
      <c r="Y344" s="63" t="n"/>
      <c r="Z344" s="64" t="n"/>
      <c r="AA344" s="64" t="n"/>
      <c r="AB344" s="65" t="n"/>
      <c r="AC344" s="69" t="str">
        <f>IF(OR($G344="",NOT(ISNUMBER($K344)),$AK344=0),"",MAX(0,ReportDate-$K344))</f>
        <v/>
      </c>
      <c r="AD344" s="69" t="str">
        <f>IF($G344="","",IF($AL344=1,ReportDate-$L344,0))</f>
        <v/>
      </c>
      <c r="AE344" s="70" t="str">
        <f>IF($G344="","",IF($M344="Completed",1,IF(ISNUMBER($N344),$N344,0)))</f>
        <v/>
      </c>
      <c r="AF344" s="70" t="str">
        <f>IF(AND(ISNUMBER($Q344),ISNUMBER($R344)),IF($R344&lt;&gt;0,$Q344/$R344,""),"")</f>
        <v/>
      </c>
      <c r="AG344" s="71" t="str">
        <f>IF($G344="","",IF($AL344=1,"OVERDUE",IF($AM344=1,"BLOCKED",IF($AN344=1,"DUE TODAY",IF($AO344=1,"DUE TOMORROW",IF($AQ344=1,"HIGH PRIORITY",IF($AR344=1,"NO RECENT UPDATE",""))))))) </f>
        <v/>
      </c>
      <c r="AH344" s="71" t="str">
        <f>IF($G344="","",IF(ISNUMBER($A344),IF(ISNUMBER($A344),YEAR($A344)&amp;"-"&amp;TEXT(MONTH($A344),"00"),""),IF(ISNUMBER($L344),IF(ISNUMBER($L344),YEAR($L344)&amp;"-"&amp;TEXT(MONTH($L344),"00"),""),"")))</f>
        <v/>
      </c>
      <c r="AI344" s="71">
        <f>IF($G344="",0,IF(AND(OR(fClient="All",$C344=fClient),OR(fCampaign="All",$D344=fCampaign),OR(fTeam="All",$B344=fTeam),OR(fChannel="All",$F344=fChannel),OR(fMonth="All",$AH344=fMonth),OR(fTStatus="All",$M344=fTStatus)),1,0))</f>
        <v>0</v>
      </c>
      <c r="AJ344" s="71">
        <f>IF($G344="",0,IF(AND(OR(fClient="All",$C344=fClient),OR(fCampaign="All",$D344=fCampaign),OR(fTeam="All",$B344=fTeam),OR(fChannel="All",$F344=fChannel)),1,0))</f>
        <v>0</v>
      </c>
      <c r="AK344" s="71">
        <f>IF($G344="",0,IF(OR($M344="Completed",$M344="Cancelled"),0,1))</f>
        <v>0</v>
      </c>
      <c r="AL344" s="71">
        <f>IF(AND($AK344=1,ISNUMBER($L344)),IF($L344&lt;ReportDate,1,0),0)</f>
        <v>0</v>
      </c>
      <c r="AM344" s="71">
        <f>IF(AND($G344&lt;&gt;"",$M344="Blocked"),1,0)</f>
        <v>0</v>
      </c>
      <c r="AN344" s="71">
        <f>IF(AND($AK344=1,ISNUMBER($L344)),IF($L344=ReportDate,1,0),0)</f>
        <v>0</v>
      </c>
      <c r="AO344" s="71">
        <f>IF(AND($AK344=1,ISNUMBER($L344)),IF($L344=ReportDate+1,1,0),0)</f>
        <v>0</v>
      </c>
      <c r="AP344" s="71">
        <f>IF(AND($AK344=1,ISNUMBER($L344)),IF(AND($L344&gt;=ReportDate,$L344&lt;=ReportDate+DueSoonDays),1,0),0)</f>
        <v>0</v>
      </c>
      <c r="AQ344" s="71">
        <f>IF(AND($AK344=1,OR($I344="Critical",$I344="High")),1,0)</f>
        <v>0</v>
      </c>
      <c r="AR344" s="71">
        <f>IF($AK344=1,IF(ISNUMBER($Y344),IF(ReportDate-$Y344&gt;StaleDays,1,0),1),0)</f>
        <v>0</v>
      </c>
      <c r="AS344" s="71">
        <f>IF(AND($G344&lt;&gt;"",ISNUMBER($Q344),ISNUMBER($R344)),IF(AND($Q344&lt;$R344,OR($M344="Completed",AND(ISNUMBER($L344),$L344&lt;ReportDate))),1,0),0)</f>
        <v>0</v>
      </c>
      <c r="AT344" s="71">
        <f>IF($AK344=1,IF(OR($L344=ReportDate,$W344=ReportDate,$K344=ReportDate,$A344=ReportDate),1,0),0)</f>
        <v>0</v>
      </c>
      <c r="AU344" s="71">
        <f>IF($AK344=1,IF(OR($L344=ReportDate+1,$W344=ReportDate+1,$K344=ReportDate+1,$A344=ReportDate+1),1,0),0)</f>
        <v>0</v>
      </c>
      <c r="AV344" s="71">
        <f>IF(AND($G344&lt;&gt;"",$M344="Completed"),IF(OR($Y344=ReportDate-1,$A344=ReportDate-1),1,0),0)</f>
        <v>0</v>
      </c>
      <c r="AW344" s="71">
        <f>IF(AND($AK344=1,$Z344="Yes"),1,0)</f>
        <v>0</v>
      </c>
      <c r="AX344" s="71">
        <f>IF(AND($AK344=1,$AA344="Yes"),1,0)</f>
        <v>0</v>
      </c>
      <c r="AY344" s="71">
        <f>IF(AND($AM344=1,OR($I344="Critical",$I344="High")),1,0)</f>
        <v>0</v>
      </c>
      <c r="AZ344" s="71">
        <f>IF(AND($AK344=1,OR($C344=TCL_Client,$C344=MECCA_Client)),1,0)</f>
        <v>0</v>
      </c>
      <c r="BA344" s="71" t="str">
        <f>IF($G344="","",IFERROR(MATCH($I344,lst_Priority,0),5))</f>
        <v/>
      </c>
      <c r="BB344" s="71" t="str">
        <f>IF(AND($AL344=1,$AJ344=1),$BA344*100000+ROW(),"")</f>
        <v/>
      </c>
      <c r="BC344" s="71" t="str">
        <f>IF(AND($AM344=1,$AJ344=1),$BA344*100000+ROW(),"")</f>
        <v/>
      </c>
      <c r="BD344" s="71" t="str">
        <f>IF(AND($AP344=1,$AJ344=1),$BA344*100000+ROW(),"")</f>
        <v/>
      </c>
      <c r="BE344" s="71" t="str">
        <f>IF(AND($AT344=1,$AJ344=1),$BA344*100000+ROW(),"")</f>
        <v/>
      </c>
      <c r="BF344" s="71" t="str">
        <f>IF(AND($AU344=1,$AJ344=1),$BA344*100000+ROW(),"")</f>
        <v/>
      </c>
      <c r="BG344" s="71" t="str">
        <f>IF(AND($AV344=1,$AJ344=1),$BA344*100000+ROW(),"")</f>
        <v/>
      </c>
      <c r="BH344" s="71" t="str">
        <f>IF(AND($AW344=1,$AJ344=1),$BA344*100000+ROW(),"")</f>
        <v/>
      </c>
      <c r="BI344" s="71" t="str">
        <f>IF(AND($AX344=1,$AJ344=1),$BA344*100000+ROW(),"")</f>
        <v/>
      </c>
      <c r="BJ344" s="71" t="str">
        <f>IF(AND($AS344=1,$AJ344=1),$BA344*100000+ROW(),"")</f>
        <v/>
      </c>
      <c r="BK344" s="71" t="str">
        <f>IF(AND($AY344=1,$AJ344=1),$BA344*100000+ROW(),"")</f>
        <v/>
      </c>
      <c r="BL344" s="71" t="str">
        <f>IF(AND($AZ344=1),$BA344*100000+ROW(),"")</f>
        <v/>
      </c>
    </row>
    <row r="345">
      <c r="A345" s="63" t="n"/>
      <c r="B345" s="64" t="n"/>
      <c r="C345" s="64" t="n"/>
      <c r="D345" s="64" t="n"/>
      <c r="E345" s="64" t="n"/>
      <c r="F345" s="64" t="n"/>
      <c r="G345" s="65" t="n"/>
      <c r="H345" s="65" t="n"/>
      <c r="I345" s="64" t="n"/>
      <c r="J345" s="64" t="n"/>
      <c r="K345" s="63" t="n"/>
      <c r="L345" s="63" t="n"/>
      <c r="M345" s="64" t="n"/>
      <c r="N345" s="66" t="n"/>
      <c r="O345" s="65" t="n"/>
      <c r="P345" s="64" t="n"/>
      <c r="Q345" s="67" t="n"/>
      <c r="R345" s="67" t="n"/>
      <c r="S345" s="68" t="str">
        <f>IF(AND(ISNUMBER($Q345),ISNUMBER($R345)),$Q345-$R345,"")</f>
        <v/>
      </c>
      <c r="T345" s="65" t="n"/>
      <c r="U345" s="64" t="n"/>
      <c r="V345" s="65" t="n"/>
      <c r="W345" s="63" t="n"/>
      <c r="X345" s="65" t="n"/>
      <c r="Y345" s="63" t="n"/>
      <c r="Z345" s="64" t="n"/>
      <c r="AA345" s="64" t="n"/>
      <c r="AB345" s="65" t="n"/>
      <c r="AC345" s="69" t="str">
        <f>IF(OR($G345="",NOT(ISNUMBER($K345)),$AK345=0),"",MAX(0,ReportDate-$K345))</f>
        <v/>
      </c>
      <c r="AD345" s="69" t="str">
        <f>IF($G345="","",IF($AL345=1,ReportDate-$L345,0))</f>
        <v/>
      </c>
      <c r="AE345" s="70" t="str">
        <f>IF($G345="","",IF($M345="Completed",1,IF(ISNUMBER($N345),$N345,0)))</f>
        <v/>
      </c>
      <c r="AF345" s="70" t="str">
        <f>IF(AND(ISNUMBER($Q345),ISNUMBER($R345)),IF($R345&lt;&gt;0,$Q345/$R345,""),"")</f>
        <v/>
      </c>
      <c r="AG345" s="71" t="str">
        <f>IF($G345="","",IF($AL345=1,"OVERDUE",IF($AM345=1,"BLOCKED",IF($AN345=1,"DUE TODAY",IF($AO345=1,"DUE TOMORROW",IF($AQ345=1,"HIGH PRIORITY",IF($AR345=1,"NO RECENT UPDATE",""))))))) </f>
        <v/>
      </c>
      <c r="AH345" s="71" t="str">
        <f>IF($G345="","",IF(ISNUMBER($A345),IF(ISNUMBER($A345),YEAR($A345)&amp;"-"&amp;TEXT(MONTH($A345),"00"),""),IF(ISNUMBER($L345),IF(ISNUMBER($L345),YEAR($L345)&amp;"-"&amp;TEXT(MONTH($L345),"00"),""),"")))</f>
        <v/>
      </c>
      <c r="AI345" s="71">
        <f>IF($G345="",0,IF(AND(OR(fClient="All",$C345=fClient),OR(fCampaign="All",$D345=fCampaign),OR(fTeam="All",$B345=fTeam),OR(fChannel="All",$F345=fChannel),OR(fMonth="All",$AH345=fMonth),OR(fTStatus="All",$M345=fTStatus)),1,0))</f>
        <v>0</v>
      </c>
      <c r="AJ345" s="71">
        <f>IF($G345="",0,IF(AND(OR(fClient="All",$C345=fClient),OR(fCampaign="All",$D345=fCampaign),OR(fTeam="All",$B345=fTeam),OR(fChannel="All",$F345=fChannel)),1,0))</f>
        <v>0</v>
      </c>
      <c r="AK345" s="71">
        <f>IF($G345="",0,IF(OR($M345="Completed",$M345="Cancelled"),0,1))</f>
        <v>0</v>
      </c>
      <c r="AL345" s="71">
        <f>IF(AND($AK345=1,ISNUMBER($L345)),IF($L345&lt;ReportDate,1,0),0)</f>
        <v>0</v>
      </c>
      <c r="AM345" s="71">
        <f>IF(AND($G345&lt;&gt;"",$M345="Blocked"),1,0)</f>
        <v>0</v>
      </c>
      <c r="AN345" s="71">
        <f>IF(AND($AK345=1,ISNUMBER($L345)),IF($L345=ReportDate,1,0),0)</f>
        <v>0</v>
      </c>
      <c r="AO345" s="71">
        <f>IF(AND($AK345=1,ISNUMBER($L345)),IF($L345=ReportDate+1,1,0),0)</f>
        <v>0</v>
      </c>
      <c r="AP345" s="71">
        <f>IF(AND($AK345=1,ISNUMBER($L345)),IF(AND($L345&gt;=ReportDate,$L345&lt;=ReportDate+DueSoonDays),1,0),0)</f>
        <v>0</v>
      </c>
      <c r="AQ345" s="71">
        <f>IF(AND($AK345=1,OR($I345="Critical",$I345="High")),1,0)</f>
        <v>0</v>
      </c>
      <c r="AR345" s="71">
        <f>IF($AK345=1,IF(ISNUMBER($Y345),IF(ReportDate-$Y345&gt;StaleDays,1,0),1),0)</f>
        <v>0</v>
      </c>
      <c r="AS345" s="71">
        <f>IF(AND($G345&lt;&gt;"",ISNUMBER($Q345),ISNUMBER($R345)),IF(AND($Q345&lt;$R345,OR($M345="Completed",AND(ISNUMBER($L345),$L345&lt;ReportDate))),1,0),0)</f>
        <v>0</v>
      </c>
      <c r="AT345" s="71">
        <f>IF($AK345=1,IF(OR($L345=ReportDate,$W345=ReportDate,$K345=ReportDate,$A345=ReportDate),1,0),0)</f>
        <v>0</v>
      </c>
      <c r="AU345" s="71">
        <f>IF($AK345=1,IF(OR($L345=ReportDate+1,$W345=ReportDate+1,$K345=ReportDate+1,$A345=ReportDate+1),1,0),0)</f>
        <v>0</v>
      </c>
      <c r="AV345" s="71">
        <f>IF(AND($G345&lt;&gt;"",$M345="Completed"),IF(OR($Y345=ReportDate-1,$A345=ReportDate-1),1,0),0)</f>
        <v>0</v>
      </c>
      <c r="AW345" s="71">
        <f>IF(AND($AK345=1,$Z345="Yes"),1,0)</f>
        <v>0</v>
      </c>
      <c r="AX345" s="71">
        <f>IF(AND($AK345=1,$AA345="Yes"),1,0)</f>
        <v>0</v>
      </c>
      <c r="AY345" s="71">
        <f>IF(AND($AM345=1,OR($I345="Critical",$I345="High")),1,0)</f>
        <v>0</v>
      </c>
      <c r="AZ345" s="71">
        <f>IF(AND($AK345=1,OR($C345=TCL_Client,$C345=MECCA_Client)),1,0)</f>
        <v>0</v>
      </c>
      <c r="BA345" s="71" t="str">
        <f>IF($G345="","",IFERROR(MATCH($I345,lst_Priority,0),5))</f>
        <v/>
      </c>
      <c r="BB345" s="71" t="str">
        <f>IF(AND($AL345=1,$AJ345=1),$BA345*100000+ROW(),"")</f>
        <v/>
      </c>
      <c r="BC345" s="71" t="str">
        <f>IF(AND($AM345=1,$AJ345=1),$BA345*100000+ROW(),"")</f>
        <v/>
      </c>
      <c r="BD345" s="71" t="str">
        <f>IF(AND($AP345=1,$AJ345=1),$BA345*100000+ROW(),"")</f>
        <v/>
      </c>
      <c r="BE345" s="71" t="str">
        <f>IF(AND($AT345=1,$AJ345=1),$BA345*100000+ROW(),"")</f>
        <v/>
      </c>
      <c r="BF345" s="71" t="str">
        <f>IF(AND($AU345=1,$AJ345=1),$BA345*100000+ROW(),"")</f>
        <v/>
      </c>
      <c r="BG345" s="71" t="str">
        <f>IF(AND($AV345=1,$AJ345=1),$BA345*100000+ROW(),"")</f>
        <v/>
      </c>
      <c r="BH345" s="71" t="str">
        <f>IF(AND($AW345=1,$AJ345=1),$BA345*100000+ROW(),"")</f>
        <v/>
      </c>
      <c r="BI345" s="71" t="str">
        <f>IF(AND($AX345=1,$AJ345=1),$BA345*100000+ROW(),"")</f>
        <v/>
      </c>
      <c r="BJ345" s="71" t="str">
        <f>IF(AND($AS345=1,$AJ345=1),$BA345*100000+ROW(),"")</f>
        <v/>
      </c>
      <c r="BK345" s="71" t="str">
        <f>IF(AND($AY345=1,$AJ345=1),$BA345*100000+ROW(),"")</f>
        <v/>
      </c>
      <c r="BL345" s="71" t="str">
        <f>IF(AND($AZ345=1),$BA345*100000+ROW(),"")</f>
        <v/>
      </c>
    </row>
    <row r="346">
      <c r="A346" s="63" t="n"/>
      <c r="B346" s="64" t="n"/>
      <c r="C346" s="64" t="n"/>
      <c r="D346" s="64" t="n"/>
      <c r="E346" s="64" t="n"/>
      <c r="F346" s="64" t="n"/>
      <c r="G346" s="65" t="n"/>
      <c r="H346" s="65" t="n"/>
      <c r="I346" s="64" t="n"/>
      <c r="J346" s="64" t="n"/>
      <c r="K346" s="63" t="n"/>
      <c r="L346" s="63" t="n"/>
      <c r="M346" s="64" t="n"/>
      <c r="N346" s="66" t="n"/>
      <c r="O346" s="65" t="n"/>
      <c r="P346" s="64" t="n"/>
      <c r="Q346" s="67" t="n"/>
      <c r="R346" s="67" t="n"/>
      <c r="S346" s="68" t="str">
        <f>IF(AND(ISNUMBER($Q346),ISNUMBER($R346)),$Q346-$R346,"")</f>
        <v/>
      </c>
      <c r="T346" s="65" t="n"/>
      <c r="U346" s="64" t="n"/>
      <c r="V346" s="65" t="n"/>
      <c r="W346" s="63" t="n"/>
      <c r="X346" s="65" t="n"/>
      <c r="Y346" s="63" t="n"/>
      <c r="Z346" s="64" t="n"/>
      <c r="AA346" s="64" t="n"/>
      <c r="AB346" s="65" t="n"/>
      <c r="AC346" s="69" t="str">
        <f>IF(OR($G346="",NOT(ISNUMBER($K346)),$AK346=0),"",MAX(0,ReportDate-$K346))</f>
        <v/>
      </c>
      <c r="AD346" s="69" t="str">
        <f>IF($G346="","",IF($AL346=1,ReportDate-$L346,0))</f>
        <v/>
      </c>
      <c r="AE346" s="70" t="str">
        <f>IF($G346="","",IF($M346="Completed",1,IF(ISNUMBER($N346),$N346,0)))</f>
        <v/>
      </c>
      <c r="AF346" s="70" t="str">
        <f>IF(AND(ISNUMBER($Q346),ISNUMBER($R346)),IF($R346&lt;&gt;0,$Q346/$R346,""),"")</f>
        <v/>
      </c>
      <c r="AG346" s="71" t="str">
        <f>IF($G346="","",IF($AL346=1,"OVERDUE",IF($AM346=1,"BLOCKED",IF($AN346=1,"DUE TODAY",IF($AO346=1,"DUE TOMORROW",IF($AQ346=1,"HIGH PRIORITY",IF($AR346=1,"NO RECENT UPDATE",""))))))) </f>
        <v/>
      </c>
      <c r="AH346" s="71" t="str">
        <f>IF($G346="","",IF(ISNUMBER($A346),IF(ISNUMBER($A346),YEAR($A346)&amp;"-"&amp;TEXT(MONTH($A346),"00"),""),IF(ISNUMBER($L346),IF(ISNUMBER($L346),YEAR($L346)&amp;"-"&amp;TEXT(MONTH($L346),"00"),""),"")))</f>
        <v/>
      </c>
      <c r="AI346" s="71">
        <f>IF($G346="",0,IF(AND(OR(fClient="All",$C346=fClient),OR(fCampaign="All",$D346=fCampaign),OR(fTeam="All",$B346=fTeam),OR(fChannel="All",$F346=fChannel),OR(fMonth="All",$AH346=fMonth),OR(fTStatus="All",$M346=fTStatus)),1,0))</f>
        <v>0</v>
      </c>
      <c r="AJ346" s="71">
        <f>IF($G346="",0,IF(AND(OR(fClient="All",$C346=fClient),OR(fCampaign="All",$D346=fCampaign),OR(fTeam="All",$B346=fTeam),OR(fChannel="All",$F346=fChannel)),1,0))</f>
        <v>0</v>
      </c>
      <c r="AK346" s="71">
        <f>IF($G346="",0,IF(OR($M346="Completed",$M346="Cancelled"),0,1))</f>
        <v>0</v>
      </c>
      <c r="AL346" s="71">
        <f>IF(AND($AK346=1,ISNUMBER($L346)),IF($L346&lt;ReportDate,1,0),0)</f>
        <v>0</v>
      </c>
      <c r="AM346" s="71">
        <f>IF(AND($G346&lt;&gt;"",$M346="Blocked"),1,0)</f>
        <v>0</v>
      </c>
      <c r="AN346" s="71">
        <f>IF(AND($AK346=1,ISNUMBER($L346)),IF($L346=ReportDate,1,0),0)</f>
        <v>0</v>
      </c>
      <c r="AO346" s="71">
        <f>IF(AND($AK346=1,ISNUMBER($L346)),IF($L346=ReportDate+1,1,0),0)</f>
        <v>0</v>
      </c>
      <c r="AP346" s="71">
        <f>IF(AND($AK346=1,ISNUMBER($L346)),IF(AND($L346&gt;=ReportDate,$L346&lt;=ReportDate+DueSoonDays),1,0),0)</f>
        <v>0</v>
      </c>
      <c r="AQ346" s="71">
        <f>IF(AND($AK346=1,OR($I346="Critical",$I346="High")),1,0)</f>
        <v>0</v>
      </c>
      <c r="AR346" s="71">
        <f>IF($AK346=1,IF(ISNUMBER($Y346),IF(ReportDate-$Y346&gt;StaleDays,1,0),1),0)</f>
        <v>0</v>
      </c>
      <c r="AS346" s="71">
        <f>IF(AND($G346&lt;&gt;"",ISNUMBER($Q346),ISNUMBER($R346)),IF(AND($Q346&lt;$R346,OR($M346="Completed",AND(ISNUMBER($L346),$L346&lt;ReportDate))),1,0),0)</f>
        <v>0</v>
      </c>
      <c r="AT346" s="71">
        <f>IF($AK346=1,IF(OR($L346=ReportDate,$W346=ReportDate,$K346=ReportDate,$A346=ReportDate),1,0),0)</f>
        <v>0</v>
      </c>
      <c r="AU346" s="71">
        <f>IF($AK346=1,IF(OR($L346=ReportDate+1,$W346=ReportDate+1,$K346=ReportDate+1,$A346=ReportDate+1),1,0),0)</f>
        <v>0</v>
      </c>
      <c r="AV346" s="71">
        <f>IF(AND($G346&lt;&gt;"",$M346="Completed"),IF(OR($Y346=ReportDate-1,$A346=ReportDate-1),1,0),0)</f>
        <v>0</v>
      </c>
      <c r="AW346" s="71">
        <f>IF(AND($AK346=1,$Z346="Yes"),1,0)</f>
        <v>0</v>
      </c>
      <c r="AX346" s="71">
        <f>IF(AND($AK346=1,$AA346="Yes"),1,0)</f>
        <v>0</v>
      </c>
      <c r="AY346" s="71">
        <f>IF(AND($AM346=1,OR($I346="Critical",$I346="High")),1,0)</f>
        <v>0</v>
      </c>
      <c r="AZ346" s="71">
        <f>IF(AND($AK346=1,OR($C346=TCL_Client,$C346=MECCA_Client)),1,0)</f>
        <v>0</v>
      </c>
      <c r="BA346" s="71" t="str">
        <f>IF($G346="","",IFERROR(MATCH($I346,lst_Priority,0),5))</f>
        <v/>
      </c>
      <c r="BB346" s="71" t="str">
        <f>IF(AND($AL346=1,$AJ346=1),$BA346*100000+ROW(),"")</f>
        <v/>
      </c>
      <c r="BC346" s="71" t="str">
        <f>IF(AND($AM346=1,$AJ346=1),$BA346*100000+ROW(),"")</f>
        <v/>
      </c>
      <c r="BD346" s="71" t="str">
        <f>IF(AND($AP346=1,$AJ346=1),$BA346*100000+ROW(),"")</f>
        <v/>
      </c>
      <c r="BE346" s="71" t="str">
        <f>IF(AND($AT346=1,$AJ346=1),$BA346*100000+ROW(),"")</f>
        <v/>
      </c>
      <c r="BF346" s="71" t="str">
        <f>IF(AND($AU346=1,$AJ346=1),$BA346*100000+ROW(),"")</f>
        <v/>
      </c>
      <c r="BG346" s="71" t="str">
        <f>IF(AND($AV346=1,$AJ346=1),$BA346*100000+ROW(),"")</f>
        <v/>
      </c>
      <c r="BH346" s="71" t="str">
        <f>IF(AND($AW346=1,$AJ346=1),$BA346*100000+ROW(),"")</f>
        <v/>
      </c>
      <c r="BI346" s="71" t="str">
        <f>IF(AND($AX346=1,$AJ346=1),$BA346*100000+ROW(),"")</f>
        <v/>
      </c>
      <c r="BJ346" s="71" t="str">
        <f>IF(AND($AS346=1,$AJ346=1),$BA346*100000+ROW(),"")</f>
        <v/>
      </c>
      <c r="BK346" s="71" t="str">
        <f>IF(AND($AY346=1,$AJ346=1),$BA346*100000+ROW(),"")</f>
        <v/>
      </c>
      <c r="BL346" s="71" t="str">
        <f>IF(AND($AZ346=1),$BA346*100000+ROW(),"")</f>
        <v/>
      </c>
    </row>
    <row r="347">
      <c r="A347" s="63" t="n"/>
      <c r="B347" s="64" t="n"/>
      <c r="C347" s="64" t="n"/>
      <c r="D347" s="64" t="n"/>
      <c r="E347" s="64" t="n"/>
      <c r="F347" s="64" t="n"/>
      <c r="G347" s="65" t="n"/>
      <c r="H347" s="65" t="n"/>
      <c r="I347" s="64" t="n"/>
      <c r="J347" s="64" t="n"/>
      <c r="K347" s="63" t="n"/>
      <c r="L347" s="63" t="n"/>
      <c r="M347" s="64" t="n"/>
      <c r="N347" s="66" t="n"/>
      <c r="O347" s="65" t="n"/>
      <c r="P347" s="64" t="n"/>
      <c r="Q347" s="67" t="n"/>
      <c r="R347" s="67" t="n"/>
      <c r="S347" s="68" t="str">
        <f>IF(AND(ISNUMBER($Q347),ISNUMBER($R347)),$Q347-$R347,"")</f>
        <v/>
      </c>
      <c r="T347" s="65" t="n"/>
      <c r="U347" s="64" t="n"/>
      <c r="V347" s="65" t="n"/>
      <c r="W347" s="63" t="n"/>
      <c r="X347" s="65" t="n"/>
      <c r="Y347" s="63" t="n"/>
      <c r="Z347" s="64" t="n"/>
      <c r="AA347" s="64" t="n"/>
      <c r="AB347" s="65" t="n"/>
      <c r="AC347" s="69" t="str">
        <f>IF(OR($G347="",NOT(ISNUMBER($K347)),$AK347=0),"",MAX(0,ReportDate-$K347))</f>
        <v/>
      </c>
      <c r="AD347" s="69" t="str">
        <f>IF($G347="","",IF($AL347=1,ReportDate-$L347,0))</f>
        <v/>
      </c>
      <c r="AE347" s="70" t="str">
        <f>IF($G347="","",IF($M347="Completed",1,IF(ISNUMBER($N347),$N347,0)))</f>
        <v/>
      </c>
      <c r="AF347" s="70" t="str">
        <f>IF(AND(ISNUMBER($Q347),ISNUMBER($R347)),IF($R347&lt;&gt;0,$Q347/$R347,""),"")</f>
        <v/>
      </c>
      <c r="AG347" s="71" t="str">
        <f>IF($G347="","",IF($AL347=1,"OVERDUE",IF($AM347=1,"BLOCKED",IF($AN347=1,"DUE TODAY",IF($AO347=1,"DUE TOMORROW",IF($AQ347=1,"HIGH PRIORITY",IF($AR347=1,"NO RECENT UPDATE",""))))))) </f>
        <v/>
      </c>
      <c r="AH347" s="71" t="str">
        <f>IF($G347="","",IF(ISNUMBER($A347),IF(ISNUMBER($A347),YEAR($A347)&amp;"-"&amp;TEXT(MONTH($A347),"00"),""),IF(ISNUMBER($L347),IF(ISNUMBER($L347),YEAR($L347)&amp;"-"&amp;TEXT(MONTH($L347),"00"),""),"")))</f>
        <v/>
      </c>
      <c r="AI347" s="71">
        <f>IF($G347="",0,IF(AND(OR(fClient="All",$C347=fClient),OR(fCampaign="All",$D347=fCampaign),OR(fTeam="All",$B347=fTeam),OR(fChannel="All",$F347=fChannel),OR(fMonth="All",$AH347=fMonth),OR(fTStatus="All",$M347=fTStatus)),1,0))</f>
        <v>0</v>
      </c>
      <c r="AJ347" s="71">
        <f>IF($G347="",0,IF(AND(OR(fClient="All",$C347=fClient),OR(fCampaign="All",$D347=fCampaign),OR(fTeam="All",$B347=fTeam),OR(fChannel="All",$F347=fChannel)),1,0))</f>
        <v>0</v>
      </c>
      <c r="AK347" s="71">
        <f>IF($G347="",0,IF(OR($M347="Completed",$M347="Cancelled"),0,1))</f>
        <v>0</v>
      </c>
      <c r="AL347" s="71">
        <f>IF(AND($AK347=1,ISNUMBER($L347)),IF($L347&lt;ReportDate,1,0),0)</f>
        <v>0</v>
      </c>
      <c r="AM347" s="71">
        <f>IF(AND($G347&lt;&gt;"",$M347="Blocked"),1,0)</f>
        <v>0</v>
      </c>
      <c r="AN347" s="71">
        <f>IF(AND($AK347=1,ISNUMBER($L347)),IF($L347=ReportDate,1,0),0)</f>
        <v>0</v>
      </c>
      <c r="AO347" s="71">
        <f>IF(AND($AK347=1,ISNUMBER($L347)),IF($L347=ReportDate+1,1,0),0)</f>
        <v>0</v>
      </c>
      <c r="AP347" s="71">
        <f>IF(AND($AK347=1,ISNUMBER($L347)),IF(AND($L347&gt;=ReportDate,$L347&lt;=ReportDate+DueSoonDays),1,0),0)</f>
        <v>0</v>
      </c>
      <c r="AQ347" s="71">
        <f>IF(AND($AK347=1,OR($I347="Critical",$I347="High")),1,0)</f>
        <v>0</v>
      </c>
      <c r="AR347" s="71">
        <f>IF($AK347=1,IF(ISNUMBER($Y347),IF(ReportDate-$Y347&gt;StaleDays,1,0),1),0)</f>
        <v>0</v>
      </c>
      <c r="AS347" s="71">
        <f>IF(AND($G347&lt;&gt;"",ISNUMBER($Q347),ISNUMBER($R347)),IF(AND($Q347&lt;$R347,OR($M347="Completed",AND(ISNUMBER($L347),$L347&lt;ReportDate))),1,0),0)</f>
        <v>0</v>
      </c>
      <c r="AT347" s="71">
        <f>IF($AK347=1,IF(OR($L347=ReportDate,$W347=ReportDate,$K347=ReportDate,$A347=ReportDate),1,0),0)</f>
        <v>0</v>
      </c>
      <c r="AU347" s="71">
        <f>IF($AK347=1,IF(OR($L347=ReportDate+1,$W347=ReportDate+1,$K347=ReportDate+1,$A347=ReportDate+1),1,0),0)</f>
        <v>0</v>
      </c>
      <c r="AV347" s="71">
        <f>IF(AND($G347&lt;&gt;"",$M347="Completed"),IF(OR($Y347=ReportDate-1,$A347=ReportDate-1),1,0),0)</f>
        <v>0</v>
      </c>
      <c r="AW347" s="71">
        <f>IF(AND($AK347=1,$Z347="Yes"),1,0)</f>
        <v>0</v>
      </c>
      <c r="AX347" s="71">
        <f>IF(AND($AK347=1,$AA347="Yes"),1,0)</f>
        <v>0</v>
      </c>
      <c r="AY347" s="71">
        <f>IF(AND($AM347=1,OR($I347="Critical",$I347="High")),1,0)</f>
        <v>0</v>
      </c>
      <c r="AZ347" s="71">
        <f>IF(AND($AK347=1,OR($C347=TCL_Client,$C347=MECCA_Client)),1,0)</f>
        <v>0</v>
      </c>
      <c r="BA347" s="71" t="str">
        <f>IF($G347="","",IFERROR(MATCH($I347,lst_Priority,0),5))</f>
        <v/>
      </c>
      <c r="BB347" s="71" t="str">
        <f>IF(AND($AL347=1,$AJ347=1),$BA347*100000+ROW(),"")</f>
        <v/>
      </c>
      <c r="BC347" s="71" t="str">
        <f>IF(AND($AM347=1,$AJ347=1),$BA347*100000+ROW(),"")</f>
        <v/>
      </c>
      <c r="BD347" s="71" t="str">
        <f>IF(AND($AP347=1,$AJ347=1),$BA347*100000+ROW(),"")</f>
        <v/>
      </c>
      <c r="BE347" s="71" t="str">
        <f>IF(AND($AT347=1,$AJ347=1),$BA347*100000+ROW(),"")</f>
        <v/>
      </c>
      <c r="BF347" s="71" t="str">
        <f>IF(AND($AU347=1,$AJ347=1),$BA347*100000+ROW(),"")</f>
        <v/>
      </c>
      <c r="BG347" s="71" t="str">
        <f>IF(AND($AV347=1,$AJ347=1),$BA347*100000+ROW(),"")</f>
        <v/>
      </c>
      <c r="BH347" s="71" t="str">
        <f>IF(AND($AW347=1,$AJ347=1),$BA347*100000+ROW(),"")</f>
        <v/>
      </c>
      <c r="BI347" s="71" t="str">
        <f>IF(AND($AX347=1,$AJ347=1),$BA347*100000+ROW(),"")</f>
        <v/>
      </c>
      <c r="BJ347" s="71" t="str">
        <f>IF(AND($AS347=1,$AJ347=1),$BA347*100000+ROW(),"")</f>
        <v/>
      </c>
      <c r="BK347" s="71" t="str">
        <f>IF(AND($AY347=1,$AJ347=1),$BA347*100000+ROW(),"")</f>
        <v/>
      </c>
      <c r="BL347" s="71" t="str">
        <f>IF(AND($AZ347=1),$BA347*100000+ROW(),"")</f>
        <v/>
      </c>
    </row>
    <row r="348">
      <c r="A348" s="63" t="n"/>
      <c r="B348" s="64" t="n"/>
      <c r="C348" s="64" t="n"/>
      <c r="D348" s="64" t="n"/>
      <c r="E348" s="64" t="n"/>
      <c r="F348" s="64" t="n"/>
      <c r="G348" s="65" t="n"/>
      <c r="H348" s="65" t="n"/>
      <c r="I348" s="64" t="n"/>
      <c r="J348" s="64" t="n"/>
      <c r="K348" s="63" t="n"/>
      <c r="L348" s="63" t="n"/>
      <c r="M348" s="64" t="n"/>
      <c r="N348" s="66" t="n"/>
      <c r="O348" s="65" t="n"/>
      <c r="P348" s="64" t="n"/>
      <c r="Q348" s="67" t="n"/>
      <c r="R348" s="67" t="n"/>
      <c r="S348" s="68" t="str">
        <f>IF(AND(ISNUMBER($Q348),ISNUMBER($R348)),$Q348-$R348,"")</f>
        <v/>
      </c>
      <c r="T348" s="65" t="n"/>
      <c r="U348" s="64" t="n"/>
      <c r="V348" s="65" t="n"/>
      <c r="W348" s="63" t="n"/>
      <c r="X348" s="65" t="n"/>
      <c r="Y348" s="63" t="n"/>
      <c r="Z348" s="64" t="n"/>
      <c r="AA348" s="64" t="n"/>
      <c r="AB348" s="65" t="n"/>
      <c r="AC348" s="69" t="str">
        <f>IF(OR($G348="",NOT(ISNUMBER($K348)),$AK348=0),"",MAX(0,ReportDate-$K348))</f>
        <v/>
      </c>
      <c r="AD348" s="69" t="str">
        <f>IF($G348="","",IF($AL348=1,ReportDate-$L348,0))</f>
        <v/>
      </c>
      <c r="AE348" s="70" t="str">
        <f>IF($G348="","",IF($M348="Completed",1,IF(ISNUMBER($N348),$N348,0)))</f>
        <v/>
      </c>
      <c r="AF348" s="70" t="str">
        <f>IF(AND(ISNUMBER($Q348),ISNUMBER($R348)),IF($R348&lt;&gt;0,$Q348/$R348,""),"")</f>
        <v/>
      </c>
      <c r="AG348" s="71" t="str">
        <f>IF($G348="","",IF($AL348=1,"OVERDUE",IF($AM348=1,"BLOCKED",IF($AN348=1,"DUE TODAY",IF($AO348=1,"DUE TOMORROW",IF($AQ348=1,"HIGH PRIORITY",IF($AR348=1,"NO RECENT UPDATE",""))))))) </f>
        <v/>
      </c>
      <c r="AH348" s="71" t="str">
        <f>IF($G348="","",IF(ISNUMBER($A348),IF(ISNUMBER($A348),YEAR($A348)&amp;"-"&amp;TEXT(MONTH($A348),"00"),""),IF(ISNUMBER($L348),IF(ISNUMBER($L348),YEAR($L348)&amp;"-"&amp;TEXT(MONTH($L348),"00"),""),"")))</f>
        <v/>
      </c>
      <c r="AI348" s="71">
        <f>IF($G348="",0,IF(AND(OR(fClient="All",$C348=fClient),OR(fCampaign="All",$D348=fCampaign),OR(fTeam="All",$B348=fTeam),OR(fChannel="All",$F348=fChannel),OR(fMonth="All",$AH348=fMonth),OR(fTStatus="All",$M348=fTStatus)),1,0))</f>
        <v>0</v>
      </c>
      <c r="AJ348" s="71">
        <f>IF($G348="",0,IF(AND(OR(fClient="All",$C348=fClient),OR(fCampaign="All",$D348=fCampaign),OR(fTeam="All",$B348=fTeam),OR(fChannel="All",$F348=fChannel)),1,0))</f>
        <v>0</v>
      </c>
      <c r="AK348" s="71">
        <f>IF($G348="",0,IF(OR($M348="Completed",$M348="Cancelled"),0,1))</f>
        <v>0</v>
      </c>
      <c r="AL348" s="71">
        <f>IF(AND($AK348=1,ISNUMBER($L348)),IF($L348&lt;ReportDate,1,0),0)</f>
        <v>0</v>
      </c>
      <c r="AM348" s="71">
        <f>IF(AND($G348&lt;&gt;"",$M348="Blocked"),1,0)</f>
        <v>0</v>
      </c>
      <c r="AN348" s="71">
        <f>IF(AND($AK348=1,ISNUMBER($L348)),IF($L348=ReportDate,1,0),0)</f>
        <v>0</v>
      </c>
      <c r="AO348" s="71">
        <f>IF(AND($AK348=1,ISNUMBER($L348)),IF($L348=ReportDate+1,1,0),0)</f>
        <v>0</v>
      </c>
      <c r="AP348" s="71">
        <f>IF(AND($AK348=1,ISNUMBER($L348)),IF(AND($L348&gt;=ReportDate,$L348&lt;=ReportDate+DueSoonDays),1,0),0)</f>
        <v>0</v>
      </c>
      <c r="AQ348" s="71">
        <f>IF(AND($AK348=1,OR($I348="Critical",$I348="High")),1,0)</f>
        <v>0</v>
      </c>
      <c r="AR348" s="71">
        <f>IF($AK348=1,IF(ISNUMBER($Y348),IF(ReportDate-$Y348&gt;StaleDays,1,0),1),0)</f>
        <v>0</v>
      </c>
      <c r="AS348" s="71">
        <f>IF(AND($G348&lt;&gt;"",ISNUMBER($Q348),ISNUMBER($R348)),IF(AND($Q348&lt;$R348,OR($M348="Completed",AND(ISNUMBER($L348),$L348&lt;ReportDate))),1,0),0)</f>
        <v>0</v>
      </c>
      <c r="AT348" s="71">
        <f>IF($AK348=1,IF(OR($L348=ReportDate,$W348=ReportDate,$K348=ReportDate,$A348=ReportDate),1,0),0)</f>
        <v>0</v>
      </c>
      <c r="AU348" s="71">
        <f>IF($AK348=1,IF(OR($L348=ReportDate+1,$W348=ReportDate+1,$K348=ReportDate+1,$A348=ReportDate+1),1,0),0)</f>
        <v>0</v>
      </c>
      <c r="AV348" s="71">
        <f>IF(AND($G348&lt;&gt;"",$M348="Completed"),IF(OR($Y348=ReportDate-1,$A348=ReportDate-1),1,0),0)</f>
        <v>0</v>
      </c>
      <c r="AW348" s="71">
        <f>IF(AND($AK348=1,$Z348="Yes"),1,0)</f>
        <v>0</v>
      </c>
      <c r="AX348" s="71">
        <f>IF(AND($AK348=1,$AA348="Yes"),1,0)</f>
        <v>0</v>
      </c>
      <c r="AY348" s="71">
        <f>IF(AND($AM348=1,OR($I348="Critical",$I348="High")),1,0)</f>
        <v>0</v>
      </c>
      <c r="AZ348" s="71">
        <f>IF(AND($AK348=1,OR($C348=TCL_Client,$C348=MECCA_Client)),1,0)</f>
        <v>0</v>
      </c>
      <c r="BA348" s="71" t="str">
        <f>IF($G348="","",IFERROR(MATCH($I348,lst_Priority,0),5))</f>
        <v/>
      </c>
      <c r="BB348" s="71" t="str">
        <f>IF(AND($AL348=1,$AJ348=1),$BA348*100000+ROW(),"")</f>
        <v/>
      </c>
      <c r="BC348" s="71" t="str">
        <f>IF(AND($AM348=1,$AJ348=1),$BA348*100000+ROW(),"")</f>
        <v/>
      </c>
      <c r="BD348" s="71" t="str">
        <f>IF(AND($AP348=1,$AJ348=1),$BA348*100000+ROW(),"")</f>
        <v/>
      </c>
      <c r="BE348" s="71" t="str">
        <f>IF(AND($AT348=1,$AJ348=1),$BA348*100000+ROW(),"")</f>
        <v/>
      </c>
      <c r="BF348" s="71" t="str">
        <f>IF(AND($AU348=1,$AJ348=1),$BA348*100000+ROW(),"")</f>
        <v/>
      </c>
      <c r="BG348" s="71" t="str">
        <f>IF(AND($AV348=1,$AJ348=1),$BA348*100000+ROW(),"")</f>
        <v/>
      </c>
      <c r="BH348" s="71" t="str">
        <f>IF(AND($AW348=1,$AJ348=1),$BA348*100000+ROW(),"")</f>
        <v/>
      </c>
      <c r="BI348" s="71" t="str">
        <f>IF(AND($AX348=1,$AJ348=1),$BA348*100000+ROW(),"")</f>
        <v/>
      </c>
      <c r="BJ348" s="71" t="str">
        <f>IF(AND($AS348=1,$AJ348=1),$BA348*100000+ROW(),"")</f>
        <v/>
      </c>
      <c r="BK348" s="71" t="str">
        <f>IF(AND($AY348=1,$AJ348=1),$BA348*100000+ROW(),"")</f>
        <v/>
      </c>
      <c r="BL348" s="71" t="str">
        <f>IF(AND($AZ348=1),$BA348*100000+ROW(),"")</f>
        <v/>
      </c>
    </row>
    <row r="349">
      <c r="A349" s="63" t="n"/>
      <c r="B349" s="64" t="n"/>
      <c r="C349" s="64" t="n"/>
      <c r="D349" s="64" t="n"/>
      <c r="E349" s="64" t="n"/>
      <c r="F349" s="64" t="n"/>
      <c r="G349" s="65" t="n"/>
      <c r="H349" s="65" t="n"/>
      <c r="I349" s="64" t="n"/>
      <c r="J349" s="64" t="n"/>
      <c r="K349" s="63" t="n"/>
      <c r="L349" s="63" t="n"/>
      <c r="M349" s="64" t="n"/>
      <c r="N349" s="66" t="n"/>
      <c r="O349" s="65" t="n"/>
      <c r="P349" s="64" t="n"/>
      <c r="Q349" s="67" t="n"/>
      <c r="R349" s="67" t="n"/>
      <c r="S349" s="68" t="str">
        <f>IF(AND(ISNUMBER($Q349),ISNUMBER($R349)),$Q349-$R349,"")</f>
        <v/>
      </c>
      <c r="T349" s="65" t="n"/>
      <c r="U349" s="64" t="n"/>
      <c r="V349" s="65" t="n"/>
      <c r="W349" s="63" t="n"/>
      <c r="X349" s="65" t="n"/>
      <c r="Y349" s="63" t="n"/>
      <c r="Z349" s="64" t="n"/>
      <c r="AA349" s="64" t="n"/>
      <c r="AB349" s="65" t="n"/>
      <c r="AC349" s="69" t="str">
        <f>IF(OR($G349="",NOT(ISNUMBER($K349)),$AK349=0),"",MAX(0,ReportDate-$K349))</f>
        <v/>
      </c>
      <c r="AD349" s="69" t="str">
        <f>IF($G349="","",IF($AL349=1,ReportDate-$L349,0))</f>
        <v/>
      </c>
      <c r="AE349" s="70" t="str">
        <f>IF($G349="","",IF($M349="Completed",1,IF(ISNUMBER($N349),$N349,0)))</f>
        <v/>
      </c>
      <c r="AF349" s="70" t="str">
        <f>IF(AND(ISNUMBER($Q349),ISNUMBER($R349)),IF($R349&lt;&gt;0,$Q349/$R349,""),"")</f>
        <v/>
      </c>
      <c r="AG349" s="71" t="str">
        <f>IF($G349="","",IF($AL349=1,"OVERDUE",IF($AM349=1,"BLOCKED",IF($AN349=1,"DUE TODAY",IF($AO349=1,"DUE TOMORROW",IF($AQ349=1,"HIGH PRIORITY",IF($AR349=1,"NO RECENT UPDATE",""))))))) </f>
        <v/>
      </c>
      <c r="AH349" s="71" t="str">
        <f>IF($G349="","",IF(ISNUMBER($A349),IF(ISNUMBER($A349),YEAR($A349)&amp;"-"&amp;TEXT(MONTH($A349),"00"),""),IF(ISNUMBER($L349),IF(ISNUMBER($L349),YEAR($L349)&amp;"-"&amp;TEXT(MONTH($L349),"00"),""),"")))</f>
        <v/>
      </c>
      <c r="AI349" s="71">
        <f>IF($G349="",0,IF(AND(OR(fClient="All",$C349=fClient),OR(fCampaign="All",$D349=fCampaign),OR(fTeam="All",$B349=fTeam),OR(fChannel="All",$F349=fChannel),OR(fMonth="All",$AH349=fMonth),OR(fTStatus="All",$M349=fTStatus)),1,0))</f>
        <v>0</v>
      </c>
      <c r="AJ349" s="71">
        <f>IF($G349="",0,IF(AND(OR(fClient="All",$C349=fClient),OR(fCampaign="All",$D349=fCampaign),OR(fTeam="All",$B349=fTeam),OR(fChannel="All",$F349=fChannel)),1,0))</f>
        <v>0</v>
      </c>
      <c r="AK349" s="71">
        <f>IF($G349="",0,IF(OR($M349="Completed",$M349="Cancelled"),0,1))</f>
        <v>0</v>
      </c>
      <c r="AL349" s="71">
        <f>IF(AND($AK349=1,ISNUMBER($L349)),IF($L349&lt;ReportDate,1,0),0)</f>
        <v>0</v>
      </c>
      <c r="AM349" s="71">
        <f>IF(AND($G349&lt;&gt;"",$M349="Blocked"),1,0)</f>
        <v>0</v>
      </c>
      <c r="AN349" s="71">
        <f>IF(AND($AK349=1,ISNUMBER($L349)),IF($L349=ReportDate,1,0),0)</f>
        <v>0</v>
      </c>
      <c r="AO349" s="71">
        <f>IF(AND($AK349=1,ISNUMBER($L349)),IF($L349=ReportDate+1,1,0),0)</f>
        <v>0</v>
      </c>
      <c r="AP349" s="71">
        <f>IF(AND($AK349=1,ISNUMBER($L349)),IF(AND($L349&gt;=ReportDate,$L349&lt;=ReportDate+DueSoonDays),1,0),0)</f>
        <v>0</v>
      </c>
      <c r="AQ349" s="71">
        <f>IF(AND($AK349=1,OR($I349="Critical",$I349="High")),1,0)</f>
        <v>0</v>
      </c>
      <c r="AR349" s="71">
        <f>IF($AK349=1,IF(ISNUMBER($Y349),IF(ReportDate-$Y349&gt;StaleDays,1,0),1),0)</f>
        <v>0</v>
      </c>
      <c r="AS349" s="71">
        <f>IF(AND($G349&lt;&gt;"",ISNUMBER($Q349),ISNUMBER($R349)),IF(AND($Q349&lt;$R349,OR($M349="Completed",AND(ISNUMBER($L349),$L349&lt;ReportDate))),1,0),0)</f>
        <v>0</v>
      </c>
      <c r="AT349" s="71">
        <f>IF($AK349=1,IF(OR($L349=ReportDate,$W349=ReportDate,$K349=ReportDate,$A349=ReportDate),1,0),0)</f>
        <v>0</v>
      </c>
      <c r="AU349" s="71">
        <f>IF($AK349=1,IF(OR($L349=ReportDate+1,$W349=ReportDate+1,$K349=ReportDate+1,$A349=ReportDate+1),1,0),0)</f>
        <v>0</v>
      </c>
      <c r="AV349" s="71">
        <f>IF(AND($G349&lt;&gt;"",$M349="Completed"),IF(OR($Y349=ReportDate-1,$A349=ReportDate-1),1,0),0)</f>
        <v>0</v>
      </c>
      <c r="AW349" s="71">
        <f>IF(AND($AK349=1,$Z349="Yes"),1,0)</f>
        <v>0</v>
      </c>
      <c r="AX349" s="71">
        <f>IF(AND($AK349=1,$AA349="Yes"),1,0)</f>
        <v>0</v>
      </c>
      <c r="AY349" s="71">
        <f>IF(AND($AM349=1,OR($I349="Critical",$I349="High")),1,0)</f>
        <v>0</v>
      </c>
      <c r="AZ349" s="71">
        <f>IF(AND($AK349=1,OR($C349=TCL_Client,$C349=MECCA_Client)),1,0)</f>
        <v>0</v>
      </c>
      <c r="BA349" s="71" t="str">
        <f>IF($G349="","",IFERROR(MATCH($I349,lst_Priority,0),5))</f>
        <v/>
      </c>
      <c r="BB349" s="71" t="str">
        <f>IF(AND($AL349=1,$AJ349=1),$BA349*100000+ROW(),"")</f>
        <v/>
      </c>
      <c r="BC349" s="71" t="str">
        <f>IF(AND($AM349=1,$AJ349=1),$BA349*100000+ROW(),"")</f>
        <v/>
      </c>
      <c r="BD349" s="71" t="str">
        <f>IF(AND($AP349=1,$AJ349=1),$BA349*100000+ROW(),"")</f>
        <v/>
      </c>
      <c r="BE349" s="71" t="str">
        <f>IF(AND($AT349=1,$AJ349=1),$BA349*100000+ROW(),"")</f>
        <v/>
      </c>
      <c r="BF349" s="71" t="str">
        <f>IF(AND($AU349=1,$AJ349=1),$BA349*100000+ROW(),"")</f>
        <v/>
      </c>
      <c r="BG349" s="71" t="str">
        <f>IF(AND($AV349=1,$AJ349=1),$BA349*100000+ROW(),"")</f>
        <v/>
      </c>
      <c r="BH349" s="71" t="str">
        <f>IF(AND($AW349=1,$AJ349=1),$BA349*100000+ROW(),"")</f>
        <v/>
      </c>
      <c r="BI349" s="71" t="str">
        <f>IF(AND($AX349=1,$AJ349=1),$BA349*100000+ROW(),"")</f>
        <v/>
      </c>
      <c r="BJ349" s="71" t="str">
        <f>IF(AND($AS349=1,$AJ349=1),$BA349*100000+ROW(),"")</f>
        <v/>
      </c>
      <c r="BK349" s="71" t="str">
        <f>IF(AND($AY349=1,$AJ349=1),$BA349*100000+ROW(),"")</f>
        <v/>
      </c>
      <c r="BL349" s="71" t="str">
        <f>IF(AND($AZ349=1),$BA349*100000+ROW(),"")</f>
        <v/>
      </c>
    </row>
    <row r="350">
      <c r="A350" s="63" t="n"/>
      <c r="B350" s="64" t="n"/>
      <c r="C350" s="64" t="n"/>
      <c r="D350" s="64" t="n"/>
      <c r="E350" s="64" t="n"/>
      <c r="F350" s="64" t="n"/>
      <c r="G350" s="65" t="n"/>
      <c r="H350" s="65" t="n"/>
      <c r="I350" s="64" t="n"/>
      <c r="J350" s="64" t="n"/>
      <c r="K350" s="63" t="n"/>
      <c r="L350" s="63" t="n"/>
      <c r="M350" s="64" t="n"/>
      <c r="N350" s="66" t="n"/>
      <c r="O350" s="65" t="n"/>
      <c r="P350" s="64" t="n"/>
      <c r="Q350" s="67" t="n"/>
      <c r="R350" s="67" t="n"/>
      <c r="S350" s="68" t="str">
        <f>IF(AND(ISNUMBER($Q350),ISNUMBER($R350)),$Q350-$R350,"")</f>
        <v/>
      </c>
      <c r="T350" s="65" t="n"/>
      <c r="U350" s="64" t="n"/>
      <c r="V350" s="65" t="n"/>
      <c r="W350" s="63" t="n"/>
      <c r="X350" s="65" t="n"/>
      <c r="Y350" s="63" t="n"/>
      <c r="Z350" s="64" t="n"/>
      <c r="AA350" s="64" t="n"/>
      <c r="AB350" s="65" t="n"/>
      <c r="AC350" s="69" t="str">
        <f>IF(OR($G350="",NOT(ISNUMBER($K350)),$AK350=0),"",MAX(0,ReportDate-$K350))</f>
        <v/>
      </c>
      <c r="AD350" s="69" t="str">
        <f>IF($G350="","",IF($AL350=1,ReportDate-$L350,0))</f>
        <v/>
      </c>
      <c r="AE350" s="70" t="str">
        <f>IF($G350="","",IF($M350="Completed",1,IF(ISNUMBER($N350),$N350,0)))</f>
        <v/>
      </c>
      <c r="AF350" s="70" t="str">
        <f>IF(AND(ISNUMBER($Q350),ISNUMBER($R350)),IF($R350&lt;&gt;0,$Q350/$R350,""),"")</f>
        <v/>
      </c>
      <c r="AG350" s="71" t="str">
        <f>IF($G350="","",IF($AL350=1,"OVERDUE",IF($AM350=1,"BLOCKED",IF($AN350=1,"DUE TODAY",IF($AO350=1,"DUE TOMORROW",IF($AQ350=1,"HIGH PRIORITY",IF($AR350=1,"NO RECENT UPDATE",""))))))) </f>
        <v/>
      </c>
      <c r="AH350" s="71" t="str">
        <f>IF($G350="","",IF(ISNUMBER($A350),IF(ISNUMBER($A350),YEAR($A350)&amp;"-"&amp;TEXT(MONTH($A350),"00"),""),IF(ISNUMBER($L350),IF(ISNUMBER($L350),YEAR($L350)&amp;"-"&amp;TEXT(MONTH($L350),"00"),""),"")))</f>
        <v/>
      </c>
      <c r="AI350" s="71">
        <f>IF($G350="",0,IF(AND(OR(fClient="All",$C350=fClient),OR(fCampaign="All",$D350=fCampaign),OR(fTeam="All",$B350=fTeam),OR(fChannel="All",$F350=fChannel),OR(fMonth="All",$AH350=fMonth),OR(fTStatus="All",$M350=fTStatus)),1,0))</f>
        <v>0</v>
      </c>
      <c r="AJ350" s="71">
        <f>IF($G350="",0,IF(AND(OR(fClient="All",$C350=fClient),OR(fCampaign="All",$D350=fCampaign),OR(fTeam="All",$B350=fTeam),OR(fChannel="All",$F350=fChannel)),1,0))</f>
        <v>0</v>
      </c>
      <c r="AK350" s="71">
        <f>IF($G350="",0,IF(OR($M350="Completed",$M350="Cancelled"),0,1))</f>
        <v>0</v>
      </c>
      <c r="AL350" s="71">
        <f>IF(AND($AK350=1,ISNUMBER($L350)),IF($L350&lt;ReportDate,1,0),0)</f>
        <v>0</v>
      </c>
      <c r="AM350" s="71">
        <f>IF(AND($G350&lt;&gt;"",$M350="Blocked"),1,0)</f>
        <v>0</v>
      </c>
      <c r="AN350" s="71">
        <f>IF(AND($AK350=1,ISNUMBER($L350)),IF($L350=ReportDate,1,0),0)</f>
        <v>0</v>
      </c>
      <c r="AO350" s="71">
        <f>IF(AND($AK350=1,ISNUMBER($L350)),IF($L350=ReportDate+1,1,0),0)</f>
        <v>0</v>
      </c>
      <c r="AP350" s="71">
        <f>IF(AND($AK350=1,ISNUMBER($L350)),IF(AND($L350&gt;=ReportDate,$L350&lt;=ReportDate+DueSoonDays),1,0),0)</f>
        <v>0</v>
      </c>
      <c r="AQ350" s="71">
        <f>IF(AND($AK350=1,OR($I350="Critical",$I350="High")),1,0)</f>
        <v>0</v>
      </c>
      <c r="AR350" s="71">
        <f>IF($AK350=1,IF(ISNUMBER($Y350),IF(ReportDate-$Y350&gt;StaleDays,1,0),1),0)</f>
        <v>0</v>
      </c>
      <c r="AS350" s="71">
        <f>IF(AND($G350&lt;&gt;"",ISNUMBER($Q350),ISNUMBER($R350)),IF(AND($Q350&lt;$R350,OR($M350="Completed",AND(ISNUMBER($L350),$L350&lt;ReportDate))),1,0),0)</f>
        <v>0</v>
      </c>
      <c r="AT350" s="71">
        <f>IF($AK350=1,IF(OR($L350=ReportDate,$W350=ReportDate,$K350=ReportDate,$A350=ReportDate),1,0),0)</f>
        <v>0</v>
      </c>
      <c r="AU350" s="71">
        <f>IF($AK350=1,IF(OR($L350=ReportDate+1,$W350=ReportDate+1,$K350=ReportDate+1,$A350=ReportDate+1),1,0),0)</f>
        <v>0</v>
      </c>
      <c r="AV350" s="71">
        <f>IF(AND($G350&lt;&gt;"",$M350="Completed"),IF(OR($Y350=ReportDate-1,$A350=ReportDate-1),1,0),0)</f>
        <v>0</v>
      </c>
      <c r="AW350" s="71">
        <f>IF(AND($AK350=1,$Z350="Yes"),1,0)</f>
        <v>0</v>
      </c>
      <c r="AX350" s="71">
        <f>IF(AND($AK350=1,$AA350="Yes"),1,0)</f>
        <v>0</v>
      </c>
      <c r="AY350" s="71">
        <f>IF(AND($AM350=1,OR($I350="Critical",$I350="High")),1,0)</f>
        <v>0</v>
      </c>
      <c r="AZ350" s="71">
        <f>IF(AND($AK350=1,OR($C350=TCL_Client,$C350=MECCA_Client)),1,0)</f>
        <v>0</v>
      </c>
      <c r="BA350" s="71" t="str">
        <f>IF($G350="","",IFERROR(MATCH($I350,lst_Priority,0),5))</f>
        <v/>
      </c>
      <c r="BB350" s="71" t="str">
        <f>IF(AND($AL350=1,$AJ350=1),$BA350*100000+ROW(),"")</f>
        <v/>
      </c>
      <c r="BC350" s="71" t="str">
        <f>IF(AND($AM350=1,$AJ350=1),$BA350*100000+ROW(),"")</f>
        <v/>
      </c>
      <c r="BD350" s="71" t="str">
        <f>IF(AND($AP350=1,$AJ350=1),$BA350*100000+ROW(),"")</f>
        <v/>
      </c>
      <c r="BE350" s="71" t="str">
        <f>IF(AND($AT350=1,$AJ350=1),$BA350*100000+ROW(),"")</f>
        <v/>
      </c>
      <c r="BF350" s="71" t="str">
        <f>IF(AND($AU350=1,$AJ350=1),$BA350*100000+ROW(),"")</f>
        <v/>
      </c>
      <c r="BG350" s="71" t="str">
        <f>IF(AND($AV350=1,$AJ350=1),$BA350*100000+ROW(),"")</f>
        <v/>
      </c>
      <c r="BH350" s="71" t="str">
        <f>IF(AND($AW350=1,$AJ350=1),$BA350*100000+ROW(),"")</f>
        <v/>
      </c>
      <c r="BI350" s="71" t="str">
        <f>IF(AND($AX350=1,$AJ350=1),$BA350*100000+ROW(),"")</f>
        <v/>
      </c>
      <c r="BJ350" s="71" t="str">
        <f>IF(AND($AS350=1,$AJ350=1),$BA350*100000+ROW(),"")</f>
        <v/>
      </c>
      <c r="BK350" s="71" t="str">
        <f>IF(AND($AY350=1,$AJ350=1),$BA350*100000+ROW(),"")</f>
        <v/>
      </c>
      <c r="BL350" s="71" t="str">
        <f>IF(AND($AZ350=1),$BA350*100000+ROW(),"")</f>
        <v/>
      </c>
    </row>
    <row r="351">
      <c r="A351" s="63" t="n"/>
      <c r="B351" s="64" t="n"/>
      <c r="C351" s="64" t="n"/>
      <c r="D351" s="64" t="n"/>
      <c r="E351" s="64" t="n"/>
      <c r="F351" s="64" t="n"/>
      <c r="G351" s="65" t="n"/>
      <c r="H351" s="65" t="n"/>
      <c r="I351" s="64" t="n"/>
      <c r="J351" s="64" t="n"/>
      <c r="K351" s="63" t="n"/>
      <c r="L351" s="63" t="n"/>
      <c r="M351" s="64" t="n"/>
      <c r="N351" s="66" t="n"/>
      <c r="O351" s="65" t="n"/>
      <c r="P351" s="64" t="n"/>
      <c r="Q351" s="67" t="n"/>
      <c r="R351" s="67" t="n"/>
      <c r="S351" s="68" t="str">
        <f>IF(AND(ISNUMBER($Q351),ISNUMBER($R351)),$Q351-$R351,"")</f>
        <v/>
      </c>
      <c r="T351" s="65" t="n"/>
      <c r="U351" s="64" t="n"/>
      <c r="V351" s="65" t="n"/>
      <c r="W351" s="63" t="n"/>
      <c r="X351" s="65" t="n"/>
      <c r="Y351" s="63" t="n"/>
      <c r="Z351" s="64" t="n"/>
      <c r="AA351" s="64" t="n"/>
      <c r="AB351" s="65" t="n"/>
      <c r="AC351" s="69" t="str">
        <f>IF(OR($G351="",NOT(ISNUMBER($K351)),$AK351=0),"",MAX(0,ReportDate-$K351))</f>
        <v/>
      </c>
      <c r="AD351" s="69" t="str">
        <f>IF($G351="","",IF($AL351=1,ReportDate-$L351,0))</f>
        <v/>
      </c>
      <c r="AE351" s="70" t="str">
        <f>IF($G351="","",IF($M351="Completed",1,IF(ISNUMBER($N351),$N351,0)))</f>
        <v/>
      </c>
      <c r="AF351" s="70" t="str">
        <f>IF(AND(ISNUMBER($Q351),ISNUMBER($R351)),IF($R351&lt;&gt;0,$Q351/$R351,""),"")</f>
        <v/>
      </c>
      <c r="AG351" s="71" t="str">
        <f>IF($G351="","",IF($AL351=1,"OVERDUE",IF($AM351=1,"BLOCKED",IF($AN351=1,"DUE TODAY",IF($AO351=1,"DUE TOMORROW",IF($AQ351=1,"HIGH PRIORITY",IF($AR351=1,"NO RECENT UPDATE",""))))))) </f>
        <v/>
      </c>
      <c r="AH351" s="71" t="str">
        <f>IF($G351="","",IF(ISNUMBER($A351),IF(ISNUMBER($A351),YEAR($A351)&amp;"-"&amp;TEXT(MONTH($A351),"00"),""),IF(ISNUMBER($L351),IF(ISNUMBER($L351),YEAR($L351)&amp;"-"&amp;TEXT(MONTH($L351),"00"),""),"")))</f>
        <v/>
      </c>
      <c r="AI351" s="71">
        <f>IF($G351="",0,IF(AND(OR(fClient="All",$C351=fClient),OR(fCampaign="All",$D351=fCampaign),OR(fTeam="All",$B351=fTeam),OR(fChannel="All",$F351=fChannel),OR(fMonth="All",$AH351=fMonth),OR(fTStatus="All",$M351=fTStatus)),1,0))</f>
        <v>0</v>
      </c>
      <c r="AJ351" s="71">
        <f>IF($G351="",0,IF(AND(OR(fClient="All",$C351=fClient),OR(fCampaign="All",$D351=fCampaign),OR(fTeam="All",$B351=fTeam),OR(fChannel="All",$F351=fChannel)),1,0))</f>
        <v>0</v>
      </c>
      <c r="AK351" s="71">
        <f>IF($G351="",0,IF(OR($M351="Completed",$M351="Cancelled"),0,1))</f>
        <v>0</v>
      </c>
      <c r="AL351" s="71">
        <f>IF(AND($AK351=1,ISNUMBER($L351)),IF($L351&lt;ReportDate,1,0),0)</f>
        <v>0</v>
      </c>
      <c r="AM351" s="71">
        <f>IF(AND($G351&lt;&gt;"",$M351="Blocked"),1,0)</f>
        <v>0</v>
      </c>
      <c r="AN351" s="71">
        <f>IF(AND($AK351=1,ISNUMBER($L351)),IF($L351=ReportDate,1,0),0)</f>
        <v>0</v>
      </c>
      <c r="AO351" s="71">
        <f>IF(AND($AK351=1,ISNUMBER($L351)),IF($L351=ReportDate+1,1,0),0)</f>
        <v>0</v>
      </c>
      <c r="AP351" s="71">
        <f>IF(AND($AK351=1,ISNUMBER($L351)),IF(AND($L351&gt;=ReportDate,$L351&lt;=ReportDate+DueSoonDays),1,0),0)</f>
        <v>0</v>
      </c>
      <c r="AQ351" s="71">
        <f>IF(AND($AK351=1,OR($I351="Critical",$I351="High")),1,0)</f>
        <v>0</v>
      </c>
      <c r="AR351" s="71">
        <f>IF($AK351=1,IF(ISNUMBER($Y351),IF(ReportDate-$Y351&gt;StaleDays,1,0),1),0)</f>
        <v>0</v>
      </c>
      <c r="AS351" s="71">
        <f>IF(AND($G351&lt;&gt;"",ISNUMBER($Q351),ISNUMBER($R351)),IF(AND($Q351&lt;$R351,OR($M351="Completed",AND(ISNUMBER($L351),$L351&lt;ReportDate))),1,0),0)</f>
        <v>0</v>
      </c>
      <c r="AT351" s="71">
        <f>IF($AK351=1,IF(OR($L351=ReportDate,$W351=ReportDate,$K351=ReportDate,$A351=ReportDate),1,0),0)</f>
        <v>0</v>
      </c>
      <c r="AU351" s="71">
        <f>IF($AK351=1,IF(OR($L351=ReportDate+1,$W351=ReportDate+1,$K351=ReportDate+1,$A351=ReportDate+1),1,0),0)</f>
        <v>0</v>
      </c>
      <c r="AV351" s="71">
        <f>IF(AND($G351&lt;&gt;"",$M351="Completed"),IF(OR($Y351=ReportDate-1,$A351=ReportDate-1),1,0),0)</f>
        <v>0</v>
      </c>
      <c r="AW351" s="71">
        <f>IF(AND($AK351=1,$Z351="Yes"),1,0)</f>
        <v>0</v>
      </c>
      <c r="AX351" s="71">
        <f>IF(AND($AK351=1,$AA351="Yes"),1,0)</f>
        <v>0</v>
      </c>
      <c r="AY351" s="71">
        <f>IF(AND($AM351=1,OR($I351="Critical",$I351="High")),1,0)</f>
        <v>0</v>
      </c>
      <c r="AZ351" s="71">
        <f>IF(AND($AK351=1,OR($C351=TCL_Client,$C351=MECCA_Client)),1,0)</f>
        <v>0</v>
      </c>
      <c r="BA351" s="71" t="str">
        <f>IF($G351="","",IFERROR(MATCH($I351,lst_Priority,0),5))</f>
        <v/>
      </c>
      <c r="BB351" s="71" t="str">
        <f>IF(AND($AL351=1,$AJ351=1),$BA351*100000+ROW(),"")</f>
        <v/>
      </c>
      <c r="BC351" s="71" t="str">
        <f>IF(AND($AM351=1,$AJ351=1),$BA351*100000+ROW(),"")</f>
        <v/>
      </c>
      <c r="BD351" s="71" t="str">
        <f>IF(AND($AP351=1,$AJ351=1),$BA351*100000+ROW(),"")</f>
        <v/>
      </c>
      <c r="BE351" s="71" t="str">
        <f>IF(AND($AT351=1,$AJ351=1),$BA351*100000+ROW(),"")</f>
        <v/>
      </c>
      <c r="BF351" s="71" t="str">
        <f>IF(AND($AU351=1,$AJ351=1),$BA351*100000+ROW(),"")</f>
        <v/>
      </c>
      <c r="BG351" s="71" t="str">
        <f>IF(AND($AV351=1,$AJ351=1),$BA351*100000+ROW(),"")</f>
        <v/>
      </c>
      <c r="BH351" s="71" t="str">
        <f>IF(AND($AW351=1,$AJ351=1),$BA351*100000+ROW(),"")</f>
        <v/>
      </c>
      <c r="BI351" s="71" t="str">
        <f>IF(AND($AX351=1,$AJ351=1),$BA351*100000+ROW(),"")</f>
        <v/>
      </c>
      <c r="BJ351" s="71" t="str">
        <f>IF(AND($AS351=1,$AJ351=1),$BA351*100000+ROW(),"")</f>
        <v/>
      </c>
      <c r="BK351" s="71" t="str">
        <f>IF(AND($AY351=1,$AJ351=1),$BA351*100000+ROW(),"")</f>
        <v/>
      </c>
      <c r="BL351" s="71" t="str">
        <f>IF(AND($AZ351=1),$BA351*100000+ROW(),"")</f>
        <v/>
      </c>
    </row>
    <row r="352">
      <c r="A352" s="63" t="n"/>
      <c r="B352" s="64" t="n"/>
      <c r="C352" s="64" t="n"/>
      <c r="D352" s="64" t="n"/>
      <c r="E352" s="64" t="n"/>
      <c r="F352" s="64" t="n"/>
      <c r="G352" s="65" t="n"/>
      <c r="H352" s="65" t="n"/>
      <c r="I352" s="64" t="n"/>
      <c r="J352" s="64" t="n"/>
      <c r="K352" s="63" t="n"/>
      <c r="L352" s="63" t="n"/>
      <c r="M352" s="64" t="n"/>
      <c r="N352" s="66" t="n"/>
      <c r="O352" s="65" t="n"/>
      <c r="P352" s="64" t="n"/>
      <c r="Q352" s="67" t="n"/>
      <c r="R352" s="67" t="n"/>
      <c r="S352" s="68" t="str">
        <f>IF(AND(ISNUMBER($Q352),ISNUMBER($R352)),$Q352-$R352,"")</f>
        <v/>
      </c>
      <c r="T352" s="65" t="n"/>
      <c r="U352" s="64" t="n"/>
      <c r="V352" s="65" t="n"/>
      <c r="W352" s="63" t="n"/>
      <c r="X352" s="65" t="n"/>
      <c r="Y352" s="63" t="n"/>
      <c r="Z352" s="64" t="n"/>
      <c r="AA352" s="64" t="n"/>
      <c r="AB352" s="65" t="n"/>
      <c r="AC352" s="69" t="str">
        <f>IF(OR($G352="",NOT(ISNUMBER($K352)),$AK352=0),"",MAX(0,ReportDate-$K352))</f>
        <v/>
      </c>
      <c r="AD352" s="69" t="str">
        <f>IF($G352="","",IF($AL352=1,ReportDate-$L352,0))</f>
        <v/>
      </c>
      <c r="AE352" s="70" t="str">
        <f>IF($G352="","",IF($M352="Completed",1,IF(ISNUMBER($N352),$N352,0)))</f>
        <v/>
      </c>
      <c r="AF352" s="70" t="str">
        <f>IF(AND(ISNUMBER($Q352),ISNUMBER($R352)),IF($R352&lt;&gt;0,$Q352/$R352,""),"")</f>
        <v/>
      </c>
      <c r="AG352" s="71" t="str">
        <f>IF($G352="","",IF($AL352=1,"OVERDUE",IF($AM352=1,"BLOCKED",IF($AN352=1,"DUE TODAY",IF($AO352=1,"DUE TOMORROW",IF($AQ352=1,"HIGH PRIORITY",IF($AR352=1,"NO RECENT UPDATE",""))))))) </f>
        <v/>
      </c>
      <c r="AH352" s="71" t="str">
        <f>IF($G352="","",IF(ISNUMBER($A352),IF(ISNUMBER($A352),YEAR($A352)&amp;"-"&amp;TEXT(MONTH($A352),"00"),""),IF(ISNUMBER($L352),IF(ISNUMBER($L352),YEAR($L352)&amp;"-"&amp;TEXT(MONTH($L352),"00"),""),"")))</f>
        <v/>
      </c>
      <c r="AI352" s="71">
        <f>IF($G352="",0,IF(AND(OR(fClient="All",$C352=fClient),OR(fCampaign="All",$D352=fCampaign),OR(fTeam="All",$B352=fTeam),OR(fChannel="All",$F352=fChannel),OR(fMonth="All",$AH352=fMonth),OR(fTStatus="All",$M352=fTStatus)),1,0))</f>
        <v>0</v>
      </c>
      <c r="AJ352" s="71">
        <f>IF($G352="",0,IF(AND(OR(fClient="All",$C352=fClient),OR(fCampaign="All",$D352=fCampaign),OR(fTeam="All",$B352=fTeam),OR(fChannel="All",$F352=fChannel)),1,0))</f>
        <v>0</v>
      </c>
      <c r="AK352" s="71">
        <f>IF($G352="",0,IF(OR($M352="Completed",$M352="Cancelled"),0,1))</f>
        <v>0</v>
      </c>
      <c r="AL352" s="71">
        <f>IF(AND($AK352=1,ISNUMBER($L352)),IF($L352&lt;ReportDate,1,0),0)</f>
        <v>0</v>
      </c>
      <c r="AM352" s="71">
        <f>IF(AND($G352&lt;&gt;"",$M352="Blocked"),1,0)</f>
        <v>0</v>
      </c>
      <c r="AN352" s="71">
        <f>IF(AND($AK352=1,ISNUMBER($L352)),IF($L352=ReportDate,1,0),0)</f>
        <v>0</v>
      </c>
      <c r="AO352" s="71">
        <f>IF(AND($AK352=1,ISNUMBER($L352)),IF($L352=ReportDate+1,1,0),0)</f>
        <v>0</v>
      </c>
      <c r="AP352" s="71">
        <f>IF(AND($AK352=1,ISNUMBER($L352)),IF(AND($L352&gt;=ReportDate,$L352&lt;=ReportDate+DueSoonDays),1,0),0)</f>
        <v>0</v>
      </c>
      <c r="AQ352" s="71">
        <f>IF(AND($AK352=1,OR($I352="Critical",$I352="High")),1,0)</f>
        <v>0</v>
      </c>
      <c r="AR352" s="71">
        <f>IF($AK352=1,IF(ISNUMBER($Y352),IF(ReportDate-$Y352&gt;StaleDays,1,0),1),0)</f>
        <v>0</v>
      </c>
      <c r="AS352" s="71">
        <f>IF(AND($G352&lt;&gt;"",ISNUMBER($Q352),ISNUMBER($R352)),IF(AND($Q352&lt;$R352,OR($M352="Completed",AND(ISNUMBER($L352),$L352&lt;ReportDate))),1,0),0)</f>
        <v>0</v>
      </c>
      <c r="AT352" s="71">
        <f>IF($AK352=1,IF(OR($L352=ReportDate,$W352=ReportDate,$K352=ReportDate,$A352=ReportDate),1,0),0)</f>
        <v>0</v>
      </c>
      <c r="AU352" s="71">
        <f>IF($AK352=1,IF(OR($L352=ReportDate+1,$W352=ReportDate+1,$K352=ReportDate+1,$A352=ReportDate+1),1,0),0)</f>
        <v>0</v>
      </c>
      <c r="AV352" s="71">
        <f>IF(AND($G352&lt;&gt;"",$M352="Completed"),IF(OR($Y352=ReportDate-1,$A352=ReportDate-1),1,0),0)</f>
        <v>0</v>
      </c>
      <c r="AW352" s="71">
        <f>IF(AND($AK352=1,$Z352="Yes"),1,0)</f>
        <v>0</v>
      </c>
      <c r="AX352" s="71">
        <f>IF(AND($AK352=1,$AA352="Yes"),1,0)</f>
        <v>0</v>
      </c>
      <c r="AY352" s="71">
        <f>IF(AND($AM352=1,OR($I352="Critical",$I352="High")),1,0)</f>
        <v>0</v>
      </c>
      <c r="AZ352" s="71">
        <f>IF(AND($AK352=1,OR($C352=TCL_Client,$C352=MECCA_Client)),1,0)</f>
        <v>0</v>
      </c>
      <c r="BA352" s="71" t="str">
        <f>IF($G352="","",IFERROR(MATCH($I352,lst_Priority,0),5))</f>
        <v/>
      </c>
      <c r="BB352" s="71" t="str">
        <f>IF(AND($AL352=1,$AJ352=1),$BA352*100000+ROW(),"")</f>
        <v/>
      </c>
      <c r="BC352" s="71" t="str">
        <f>IF(AND($AM352=1,$AJ352=1),$BA352*100000+ROW(),"")</f>
        <v/>
      </c>
      <c r="BD352" s="71" t="str">
        <f>IF(AND($AP352=1,$AJ352=1),$BA352*100000+ROW(),"")</f>
        <v/>
      </c>
      <c r="BE352" s="71" t="str">
        <f>IF(AND($AT352=1,$AJ352=1),$BA352*100000+ROW(),"")</f>
        <v/>
      </c>
      <c r="BF352" s="71" t="str">
        <f>IF(AND($AU352=1,$AJ352=1),$BA352*100000+ROW(),"")</f>
        <v/>
      </c>
      <c r="BG352" s="71" t="str">
        <f>IF(AND($AV352=1,$AJ352=1),$BA352*100000+ROW(),"")</f>
        <v/>
      </c>
      <c r="BH352" s="71" t="str">
        <f>IF(AND($AW352=1,$AJ352=1),$BA352*100000+ROW(),"")</f>
        <v/>
      </c>
      <c r="BI352" s="71" t="str">
        <f>IF(AND($AX352=1,$AJ352=1),$BA352*100000+ROW(),"")</f>
        <v/>
      </c>
      <c r="BJ352" s="71" t="str">
        <f>IF(AND($AS352=1,$AJ352=1),$BA352*100000+ROW(),"")</f>
        <v/>
      </c>
      <c r="BK352" s="71" t="str">
        <f>IF(AND($AY352=1,$AJ352=1),$BA352*100000+ROW(),"")</f>
        <v/>
      </c>
      <c r="BL352" s="71" t="str">
        <f>IF(AND($AZ352=1),$BA352*100000+ROW(),"")</f>
        <v/>
      </c>
    </row>
    <row r="353">
      <c r="A353" s="63" t="n"/>
      <c r="B353" s="64" t="n"/>
      <c r="C353" s="64" t="n"/>
      <c r="D353" s="64" t="n"/>
      <c r="E353" s="64" t="n"/>
      <c r="F353" s="64" t="n"/>
      <c r="G353" s="65" t="n"/>
      <c r="H353" s="65" t="n"/>
      <c r="I353" s="64" t="n"/>
      <c r="J353" s="64" t="n"/>
      <c r="K353" s="63" t="n"/>
      <c r="L353" s="63" t="n"/>
      <c r="M353" s="64" t="n"/>
      <c r="N353" s="66" t="n"/>
      <c r="O353" s="65" t="n"/>
      <c r="P353" s="64" t="n"/>
      <c r="Q353" s="67" t="n"/>
      <c r="R353" s="67" t="n"/>
      <c r="S353" s="68" t="str">
        <f>IF(AND(ISNUMBER($Q353),ISNUMBER($R353)),$Q353-$R353,"")</f>
        <v/>
      </c>
      <c r="T353" s="65" t="n"/>
      <c r="U353" s="64" t="n"/>
      <c r="V353" s="65" t="n"/>
      <c r="W353" s="63" t="n"/>
      <c r="X353" s="65" t="n"/>
      <c r="Y353" s="63" t="n"/>
      <c r="Z353" s="64" t="n"/>
      <c r="AA353" s="64" t="n"/>
      <c r="AB353" s="65" t="n"/>
      <c r="AC353" s="69" t="str">
        <f>IF(OR($G353="",NOT(ISNUMBER($K353)),$AK353=0),"",MAX(0,ReportDate-$K353))</f>
        <v/>
      </c>
      <c r="AD353" s="69" t="str">
        <f>IF($G353="","",IF($AL353=1,ReportDate-$L353,0))</f>
        <v/>
      </c>
      <c r="AE353" s="70" t="str">
        <f>IF($G353="","",IF($M353="Completed",1,IF(ISNUMBER($N353),$N353,0)))</f>
        <v/>
      </c>
      <c r="AF353" s="70" t="str">
        <f>IF(AND(ISNUMBER($Q353),ISNUMBER($R353)),IF($R353&lt;&gt;0,$Q353/$R353,""),"")</f>
        <v/>
      </c>
      <c r="AG353" s="71" t="str">
        <f>IF($G353="","",IF($AL353=1,"OVERDUE",IF($AM353=1,"BLOCKED",IF($AN353=1,"DUE TODAY",IF($AO353=1,"DUE TOMORROW",IF($AQ353=1,"HIGH PRIORITY",IF($AR353=1,"NO RECENT UPDATE",""))))))) </f>
        <v/>
      </c>
      <c r="AH353" s="71" t="str">
        <f>IF($G353="","",IF(ISNUMBER($A353),IF(ISNUMBER($A353),YEAR($A353)&amp;"-"&amp;TEXT(MONTH($A353),"00"),""),IF(ISNUMBER($L353),IF(ISNUMBER($L353),YEAR($L353)&amp;"-"&amp;TEXT(MONTH($L353),"00"),""),"")))</f>
        <v/>
      </c>
      <c r="AI353" s="71">
        <f>IF($G353="",0,IF(AND(OR(fClient="All",$C353=fClient),OR(fCampaign="All",$D353=fCampaign),OR(fTeam="All",$B353=fTeam),OR(fChannel="All",$F353=fChannel),OR(fMonth="All",$AH353=fMonth),OR(fTStatus="All",$M353=fTStatus)),1,0))</f>
        <v>0</v>
      </c>
      <c r="AJ353" s="71">
        <f>IF($G353="",0,IF(AND(OR(fClient="All",$C353=fClient),OR(fCampaign="All",$D353=fCampaign),OR(fTeam="All",$B353=fTeam),OR(fChannel="All",$F353=fChannel)),1,0))</f>
        <v>0</v>
      </c>
      <c r="AK353" s="71">
        <f>IF($G353="",0,IF(OR($M353="Completed",$M353="Cancelled"),0,1))</f>
        <v>0</v>
      </c>
      <c r="AL353" s="71">
        <f>IF(AND($AK353=1,ISNUMBER($L353)),IF($L353&lt;ReportDate,1,0),0)</f>
        <v>0</v>
      </c>
      <c r="AM353" s="71">
        <f>IF(AND($G353&lt;&gt;"",$M353="Blocked"),1,0)</f>
        <v>0</v>
      </c>
      <c r="AN353" s="71">
        <f>IF(AND($AK353=1,ISNUMBER($L353)),IF($L353=ReportDate,1,0),0)</f>
        <v>0</v>
      </c>
      <c r="AO353" s="71">
        <f>IF(AND($AK353=1,ISNUMBER($L353)),IF($L353=ReportDate+1,1,0),0)</f>
        <v>0</v>
      </c>
      <c r="AP353" s="71">
        <f>IF(AND($AK353=1,ISNUMBER($L353)),IF(AND($L353&gt;=ReportDate,$L353&lt;=ReportDate+DueSoonDays),1,0),0)</f>
        <v>0</v>
      </c>
      <c r="AQ353" s="71">
        <f>IF(AND($AK353=1,OR($I353="Critical",$I353="High")),1,0)</f>
        <v>0</v>
      </c>
      <c r="AR353" s="71">
        <f>IF($AK353=1,IF(ISNUMBER($Y353),IF(ReportDate-$Y353&gt;StaleDays,1,0),1),0)</f>
        <v>0</v>
      </c>
      <c r="AS353" s="71">
        <f>IF(AND($G353&lt;&gt;"",ISNUMBER($Q353),ISNUMBER($R353)),IF(AND($Q353&lt;$R353,OR($M353="Completed",AND(ISNUMBER($L353),$L353&lt;ReportDate))),1,0),0)</f>
        <v>0</v>
      </c>
      <c r="AT353" s="71">
        <f>IF($AK353=1,IF(OR($L353=ReportDate,$W353=ReportDate,$K353=ReportDate,$A353=ReportDate),1,0),0)</f>
        <v>0</v>
      </c>
      <c r="AU353" s="71">
        <f>IF($AK353=1,IF(OR($L353=ReportDate+1,$W353=ReportDate+1,$K353=ReportDate+1,$A353=ReportDate+1),1,0),0)</f>
        <v>0</v>
      </c>
      <c r="AV353" s="71">
        <f>IF(AND($G353&lt;&gt;"",$M353="Completed"),IF(OR($Y353=ReportDate-1,$A353=ReportDate-1),1,0),0)</f>
        <v>0</v>
      </c>
      <c r="AW353" s="71">
        <f>IF(AND($AK353=1,$Z353="Yes"),1,0)</f>
        <v>0</v>
      </c>
      <c r="AX353" s="71">
        <f>IF(AND($AK353=1,$AA353="Yes"),1,0)</f>
        <v>0</v>
      </c>
      <c r="AY353" s="71">
        <f>IF(AND($AM353=1,OR($I353="Critical",$I353="High")),1,0)</f>
        <v>0</v>
      </c>
      <c r="AZ353" s="71">
        <f>IF(AND($AK353=1,OR($C353=TCL_Client,$C353=MECCA_Client)),1,0)</f>
        <v>0</v>
      </c>
      <c r="BA353" s="71" t="str">
        <f>IF($G353="","",IFERROR(MATCH($I353,lst_Priority,0),5))</f>
        <v/>
      </c>
      <c r="BB353" s="71" t="str">
        <f>IF(AND($AL353=1,$AJ353=1),$BA353*100000+ROW(),"")</f>
        <v/>
      </c>
      <c r="BC353" s="71" t="str">
        <f>IF(AND($AM353=1,$AJ353=1),$BA353*100000+ROW(),"")</f>
        <v/>
      </c>
      <c r="BD353" s="71" t="str">
        <f>IF(AND($AP353=1,$AJ353=1),$BA353*100000+ROW(),"")</f>
        <v/>
      </c>
      <c r="BE353" s="71" t="str">
        <f>IF(AND($AT353=1,$AJ353=1),$BA353*100000+ROW(),"")</f>
        <v/>
      </c>
      <c r="BF353" s="71" t="str">
        <f>IF(AND($AU353=1,$AJ353=1),$BA353*100000+ROW(),"")</f>
        <v/>
      </c>
      <c r="BG353" s="71" t="str">
        <f>IF(AND($AV353=1,$AJ353=1),$BA353*100000+ROW(),"")</f>
        <v/>
      </c>
      <c r="BH353" s="71" t="str">
        <f>IF(AND($AW353=1,$AJ353=1),$BA353*100000+ROW(),"")</f>
        <v/>
      </c>
      <c r="BI353" s="71" t="str">
        <f>IF(AND($AX353=1,$AJ353=1),$BA353*100000+ROW(),"")</f>
        <v/>
      </c>
      <c r="BJ353" s="71" t="str">
        <f>IF(AND($AS353=1,$AJ353=1),$BA353*100000+ROW(),"")</f>
        <v/>
      </c>
      <c r="BK353" s="71" t="str">
        <f>IF(AND($AY353=1,$AJ353=1),$BA353*100000+ROW(),"")</f>
        <v/>
      </c>
      <c r="BL353" s="71" t="str">
        <f>IF(AND($AZ353=1),$BA353*100000+ROW(),"")</f>
        <v/>
      </c>
    </row>
    <row r="354">
      <c r="A354" s="63" t="n"/>
      <c r="B354" s="64" t="n"/>
      <c r="C354" s="64" t="n"/>
      <c r="D354" s="64" t="n"/>
      <c r="E354" s="64" t="n"/>
      <c r="F354" s="64" t="n"/>
      <c r="G354" s="65" t="n"/>
      <c r="H354" s="65" t="n"/>
      <c r="I354" s="64" t="n"/>
      <c r="J354" s="64" t="n"/>
      <c r="K354" s="63" t="n"/>
      <c r="L354" s="63" t="n"/>
      <c r="M354" s="64" t="n"/>
      <c r="N354" s="66" t="n"/>
      <c r="O354" s="65" t="n"/>
      <c r="P354" s="64" t="n"/>
      <c r="Q354" s="67" t="n"/>
      <c r="R354" s="67" t="n"/>
      <c r="S354" s="68" t="str">
        <f>IF(AND(ISNUMBER($Q354),ISNUMBER($R354)),$Q354-$R354,"")</f>
        <v/>
      </c>
      <c r="T354" s="65" t="n"/>
      <c r="U354" s="64" t="n"/>
      <c r="V354" s="65" t="n"/>
      <c r="W354" s="63" t="n"/>
      <c r="X354" s="65" t="n"/>
      <c r="Y354" s="63" t="n"/>
      <c r="Z354" s="64" t="n"/>
      <c r="AA354" s="64" t="n"/>
      <c r="AB354" s="65" t="n"/>
      <c r="AC354" s="69" t="str">
        <f>IF(OR($G354="",NOT(ISNUMBER($K354)),$AK354=0),"",MAX(0,ReportDate-$K354))</f>
        <v/>
      </c>
      <c r="AD354" s="69" t="str">
        <f>IF($G354="","",IF($AL354=1,ReportDate-$L354,0))</f>
        <v/>
      </c>
      <c r="AE354" s="70" t="str">
        <f>IF($G354="","",IF($M354="Completed",1,IF(ISNUMBER($N354),$N354,0)))</f>
        <v/>
      </c>
      <c r="AF354" s="70" t="str">
        <f>IF(AND(ISNUMBER($Q354),ISNUMBER($R354)),IF($R354&lt;&gt;0,$Q354/$R354,""),"")</f>
        <v/>
      </c>
      <c r="AG354" s="71" t="str">
        <f>IF($G354="","",IF($AL354=1,"OVERDUE",IF($AM354=1,"BLOCKED",IF($AN354=1,"DUE TODAY",IF($AO354=1,"DUE TOMORROW",IF($AQ354=1,"HIGH PRIORITY",IF($AR354=1,"NO RECENT UPDATE",""))))))) </f>
        <v/>
      </c>
      <c r="AH354" s="71" t="str">
        <f>IF($G354="","",IF(ISNUMBER($A354),IF(ISNUMBER($A354),YEAR($A354)&amp;"-"&amp;TEXT(MONTH($A354),"00"),""),IF(ISNUMBER($L354),IF(ISNUMBER($L354),YEAR($L354)&amp;"-"&amp;TEXT(MONTH($L354),"00"),""),"")))</f>
        <v/>
      </c>
      <c r="AI354" s="71">
        <f>IF($G354="",0,IF(AND(OR(fClient="All",$C354=fClient),OR(fCampaign="All",$D354=fCampaign),OR(fTeam="All",$B354=fTeam),OR(fChannel="All",$F354=fChannel),OR(fMonth="All",$AH354=fMonth),OR(fTStatus="All",$M354=fTStatus)),1,0))</f>
        <v>0</v>
      </c>
      <c r="AJ354" s="71">
        <f>IF($G354="",0,IF(AND(OR(fClient="All",$C354=fClient),OR(fCampaign="All",$D354=fCampaign),OR(fTeam="All",$B354=fTeam),OR(fChannel="All",$F354=fChannel)),1,0))</f>
        <v>0</v>
      </c>
      <c r="AK354" s="71">
        <f>IF($G354="",0,IF(OR($M354="Completed",$M354="Cancelled"),0,1))</f>
        <v>0</v>
      </c>
      <c r="AL354" s="71">
        <f>IF(AND($AK354=1,ISNUMBER($L354)),IF($L354&lt;ReportDate,1,0),0)</f>
        <v>0</v>
      </c>
      <c r="AM354" s="71">
        <f>IF(AND($G354&lt;&gt;"",$M354="Blocked"),1,0)</f>
        <v>0</v>
      </c>
      <c r="AN354" s="71">
        <f>IF(AND($AK354=1,ISNUMBER($L354)),IF($L354=ReportDate,1,0),0)</f>
        <v>0</v>
      </c>
      <c r="AO354" s="71">
        <f>IF(AND($AK354=1,ISNUMBER($L354)),IF($L354=ReportDate+1,1,0),0)</f>
        <v>0</v>
      </c>
      <c r="AP354" s="71">
        <f>IF(AND($AK354=1,ISNUMBER($L354)),IF(AND($L354&gt;=ReportDate,$L354&lt;=ReportDate+DueSoonDays),1,0),0)</f>
        <v>0</v>
      </c>
      <c r="AQ354" s="71">
        <f>IF(AND($AK354=1,OR($I354="Critical",$I354="High")),1,0)</f>
        <v>0</v>
      </c>
      <c r="AR354" s="71">
        <f>IF($AK354=1,IF(ISNUMBER($Y354),IF(ReportDate-$Y354&gt;StaleDays,1,0),1),0)</f>
        <v>0</v>
      </c>
      <c r="AS354" s="71">
        <f>IF(AND($G354&lt;&gt;"",ISNUMBER($Q354),ISNUMBER($R354)),IF(AND($Q354&lt;$R354,OR($M354="Completed",AND(ISNUMBER($L354),$L354&lt;ReportDate))),1,0),0)</f>
        <v>0</v>
      </c>
      <c r="AT354" s="71">
        <f>IF($AK354=1,IF(OR($L354=ReportDate,$W354=ReportDate,$K354=ReportDate,$A354=ReportDate),1,0),0)</f>
        <v>0</v>
      </c>
      <c r="AU354" s="71">
        <f>IF($AK354=1,IF(OR($L354=ReportDate+1,$W354=ReportDate+1,$K354=ReportDate+1,$A354=ReportDate+1),1,0),0)</f>
        <v>0</v>
      </c>
      <c r="AV354" s="71">
        <f>IF(AND($G354&lt;&gt;"",$M354="Completed"),IF(OR($Y354=ReportDate-1,$A354=ReportDate-1),1,0),0)</f>
        <v>0</v>
      </c>
      <c r="AW354" s="71">
        <f>IF(AND($AK354=1,$Z354="Yes"),1,0)</f>
        <v>0</v>
      </c>
      <c r="AX354" s="71">
        <f>IF(AND($AK354=1,$AA354="Yes"),1,0)</f>
        <v>0</v>
      </c>
      <c r="AY354" s="71">
        <f>IF(AND($AM354=1,OR($I354="Critical",$I354="High")),1,0)</f>
        <v>0</v>
      </c>
      <c r="AZ354" s="71">
        <f>IF(AND($AK354=1,OR($C354=TCL_Client,$C354=MECCA_Client)),1,0)</f>
        <v>0</v>
      </c>
      <c r="BA354" s="71" t="str">
        <f>IF($G354="","",IFERROR(MATCH($I354,lst_Priority,0),5))</f>
        <v/>
      </c>
      <c r="BB354" s="71" t="str">
        <f>IF(AND($AL354=1,$AJ354=1),$BA354*100000+ROW(),"")</f>
        <v/>
      </c>
      <c r="BC354" s="71" t="str">
        <f>IF(AND($AM354=1,$AJ354=1),$BA354*100000+ROW(),"")</f>
        <v/>
      </c>
      <c r="BD354" s="71" t="str">
        <f>IF(AND($AP354=1,$AJ354=1),$BA354*100000+ROW(),"")</f>
        <v/>
      </c>
      <c r="BE354" s="71" t="str">
        <f>IF(AND($AT354=1,$AJ354=1),$BA354*100000+ROW(),"")</f>
        <v/>
      </c>
      <c r="BF354" s="71" t="str">
        <f>IF(AND($AU354=1,$AJ354=1),$BA354*100000+ROW(),"")</f>
        <v/>
      </c>
      <c r="BG354" s="71" t="str">
        <f>IF(AND($AV354=1,$AJ354=1),$BA354*100000+ROW(),"")</f>
        <v/>
      </c>
      <c r="BH354" s="71" t="str">
        <f>IF(AND($AW354=1,$AJ354=1),$BA354*100000+ROW(),"")</f>
        <v/>
      </c>
      <c r="BI354" s="71" t="str">
        <f>IF(AND($AX354=1,$AJ354=1),$BA354*100000+ROW(),"")</f>
        <v/>
      </c>
      <c r="BJ354" s="71" t="str">
        <f>IF(AND($AS354=1,$AJ354=1),$BA354*100000+ROW(),"")</f>
        <v/>
      </c>
      <c r="BK354" s="71" t="str">
        <f>IF(AND($AY354=1,$AJ354=1),$BA354*100000+ROW(),"")</f>
        <v/>
      </c>
      <c r="BL354" s="71" t="str">
        <f>IF(AND($AZ354=1),$BA354*100000+ROW(),"")</f>
        <v/>
      </c>
    </row>
    <row r="355">
      <c r="A355" s="63" t="n"/>
      <c r="B355" s="64" t="n"/>
      <c r="C355" s="64" t="n"/>
      <c r="D355" s="64" t="n"/>
      <c r="E355" s="64" t="n"/>
      <c r="F355" s="64" t="n"/>
      <c r="G355" s="65" t="n"/>
      <c r="H355" s="65" t="n"/>
      <c r="I355" s="64" t="n"/>
      <c r="J355" s="64" t="n"/>
      <c r="K355" s="63" t="n"/>
      <c r="L355" s="63" t="n"/>
      <c r="M355" s="64" t="n"/>
      <c r="N355" s="66" t="n"/>
      <c r="O355" s="65" t="n"/>
      <c r="P355" s="64" t="n"/>
      <c r="Q355" s="67" t="n"/>
      <c r="R355" s="67" t="n"/>
      <c r="S355" s="68" t="str">
        <f>IF(AND(ISNUMBER($Q355),ISNUMBER($R355)),$Q355-$R355,"")</f>
        <v/>
      </c>
      <c r="T355" s="65" t="n"/>
      <c r="U355" s="64" t="n"/>
      <c r="V355" s="65" t="n"/>
      <c r="W355" s="63" t="n"/>
      <c r="X355" s="65" t="n"/>
      <c r="Y355" s="63" t="n"/>
      <c r="Z355" s="64" t="n"/>
      <c r="AA355" s="64" t="n"/>
      <c r="AB355" s="65" t="n"/>
      <c r="AC355" s="69" t="str">
        <f>IF(OR($G355="",NOT(ISNUMBER($K355)),$AK355=0),"",MAX(0,ReportDate-$K355))</f>
        <v/>
      </c>
      <c r="AD355" s="69" t="str">
        <f>IF($G355="","",IF($AL355=1,ReportDate-$L355,0))</f>
        <v/>
      </c>
      <c r="AE355" s="70" t="str">
        <f>IF($G355="","",IF($M355="Completed",1,IF(ISNUMBER($N355),$N355,0)))</f>
        <v/>
      </c>
      <c r="AF355" s="70" t="str">
        <f>IF(AND(ISNUMBER($Q355),ISNUMBER($R355)),IF($R355&lt;&gt;0,$Q355/$R355,""),"")</f>
        <v/>
      </c>
      <c r="AG355" s="71" t="str">
        <f>IF($G355="","",IF($AL355=1,"OVERDUE",IF($AM355=1,"BLOCKED",IF($AN355=1,"DUE TODAY",IF($AO355=1,"DUE TOMORROW",IF($AQ355=1,"HIGH PRIORITY",IF($AR355=1,"NO RECENT UPDATE",""))))))) </f>
        <v/>
      </c>
      <c r="AH355" s="71" t="str">
        <f>IF($G355="","",IF(ISNUMBER($A355),IF(ISNUMBER($A355),YEAR($A355)&amp;"-"&amp;TEXT(MONTH($A355),"00"),""),IF(ISNUMBER($L355),IF(ISNUMBER($L355),YEAR($L355)&amp;"-"&amp;TEXT(MONTH($L355),"00"),""),"")))</f>
        <v/>
      </c>
      <c r="AI355" s="71">
        <f>IF($G355="",0,IF(AND(OR(fClient="All",$C355=fClient),OR(fCampaign="All",$D355=fCampaign),OR(fTeam="All",$B355=fTeam),OR(fChannel="All",$F355=fChannel),OR(fMonth="All",$AH355=fMonth),OR(fTStatus="All",$M355=fTStatus)),1,0))</f>
        <v>0</v>
      </c>
      <c r="AJ355" s="71">
        <f>IF($G355="",0,IF(AND(OR(fClient="All",$C355=fClient),OR(fCampaign="All",$D355=fCampaign),OR(fTeam="All",$B355=fTeam),OR(fChannel="All",$F355=fChannel)),1,0))</f>
        <v>0</v>
      </c>
      <c r="AK355" s="71">
        <f>IF($G355="",0,IF(OR($M355="Completed",$M355="Cancelled"),0,1))</f>
        <v>0</v>
      </c>
      <c r="AL355" s="71">
        <f>IF(AND($AK355=1,ISNUMBER($L355)),IF($L355&lt;ReportDate,1,0),0)</f>
        <v>0</v>
      </c>
      <c r="AM355" s="71">
        <f>IF(AND($G355&lt;&gt;"",$M355="Blocked"),1,0)</f>
        <v>0</v>
      </c>
      <c r="AN355" s="71">
        <f>IF(AND($AK355=1,ISNUMBER($L355)),IF($L355=ReportDate,1,0),0)</f>
        <v>0</v>
      </c>
      <c r="AO355" s="71">
        <f>IF(AND($AK355=1,ISNUMBER($L355)),IF($L355=ReportDate+1,1,0),0)</f>
        <v>0</v>
      </c>
      <c r="AP355" s="71">
        <f>IF(AND($AK355=1,ISNUMBER($L355)),IF(AND($L355&gt;=ReportDate,$L355&lt;=ReportDate+DueSoonDays),1,0),0)</f>
        <v>0</v>
      </c>
      <c r="AQ355" s="71">
        <f>IF(AND($AK355=1,OR($I355="Critical",$I355="High")),1,0)</f>
        <v>0</v>
      </c>
      <c r="AR355" s="71">
        <f>IF($AK355=1,IF(ISNUMBER($Y355),IF(ReportDate-$Y355&gt;StaleDays,1,0),1),0)</f>
        <v>0</v>
      </c>
      <c r="AS355" s="71">
        <f>IF(AND($G355&lt;&gt;"",ISNUMBER($Q355),ISNUMBER($R355)),IF(AND($Q355&lt;$R355,OR($M355="Completed",AND(ISNUMBER($L355),$L355&lt;ReportDate))),1,0),0)</f>
        <v>0</v>
      </c>
      <c r="AT355" s="71">
        <f>IF($AK355=1,IF(OR($L355=ReportDate,$W355=ReportDate,$K355=ReportDate,$A355=ReportDate),1,0),0)</f>
        <v>0</v>
      </c>
      <c r="AU355" s="71">
        <f>IF($AK355=1,IF(OR($L355=ReportDate+1,$W355=ReportDate+1,$K355=ReportDate+1,$A355=ReportDate+1),1,0),0)</f>
        <v>0</v>
      </c>
      <c r="AV355" s="71">
        <f>IF(AND($G355&lt;&gt;"",$M355="Completed"),IF(OR($Y355=ReportDate-1,$A355=ReportDate-1),1,0),0)</f>
        <v>0</v>
      </c>
      <c r="AW355" s="71">
        <f>IF(AND($AK355=1,$Z355="Yes"),1,0)</f>
        <v>0</v>
      </c>
      <c r="AX355" s="71">
        <f>IF(AND($AK355=1,$AA355="Yes"),1,0)</f>
        <v>0</v>
      </c>
      <c r="AY355" s="71">
        <f>IF(AND($AM355=1,OR($I355="Critical",$I355="High")),1,0)</f>
        <v>0</v>
      </c>
      <c r="AZ355" s="71">
        <f>IF(AND($AK355=1,OR($C355=TCL_Client,$C355=MECCA_Client)),1,0)</f>
        <v>0</v>
      </c>
      <c r="BA355" s="71" t="str">
        <f>IF($G355="","",IFERROR(MATCH($I355,lst_Priority,0),5))</f>
        <v/>
      </c>
      <c r="BB355" s="71" t="str">
        <f>IF(AND($AL355=1,$AJ355=1),$BA355*100000+ROW(),"")</f>
        <v/>
      </c>
      <c r="BC355" s="71" t="str">
        <f>IF(AND($AM355=1,$AJ355=1),$BA355*100000+ROW(),"")</f>
        <v/>
      </c>
      <c r="BD355" s="71" t="str">
        <f>IF(AND($AP355=1,$AJ355=1),$BA355*100000+ROW(),"")</f>
        <v/>
      </c>
      <c r="BE355" s="71" t="str">
        <f>IF(AND($AT355=1,$AJ355=1),$BA355*100000+ROW(),"")</f>
        <v/>
      </c>
      <c r="BF355" s="71" t="str">
        <f>IF(AND($AU355=1,$AJ355=1),$BA355*100000+ROW(),"")</f>
        <v/>
      </c>
      <c r="BG355" s="71" t="str">
        <f>IF(AND($AV355=1,$AJ355=1),$BA355*100000+ROW(),"")</f>
        <v/>
      </c>
      <c r="BH355" s="71" t="str">
        <f>IF(AND($AW355=1,$AJ355=1),$BA355*100000+ROW(),"")</f>
        <v/>
      </c>
      <c r="BI355" s="71" t="str">
        <f>IF(AND($AX355=1,$AJ355=1),$BA355*100000+ROW(),"")</f>
        <v/>
      </c>
      <c r="BJ355" s="71" t="str">
        <f>IF(AND($AS355=1,$AJ355=1),$BA355*100000+ROW(),"")</f>
        <v/>
      </c>
      <c r="BK355" s="71" t="str">
        <f>IF(AND($AY355=1,$AJ355=1),$BA355*100000+ROW(),"")</f>
        <v/>
      </c>
      <c r="BL355" s="71" t="str">
        <f>IF(AND($AZ355=1),$BA355*100000+ROW(),"")</f>
        <v/>
      </c>
    </row>
    <row r="356">
      <c r="A356" s="63" t="n"/>
      <c r="B356" s="64" t="n"/>
      <c r="C356" s="64" t="n"/>
      <c r="D356" s="64" t="n"/>
      <c r="E356" s="64" t="n"/>
      <c r="F356" s="64" t="n"/>
      <c r="G356" s="65" t="n"/>
      <c r="H356" s="65" t="n"/>
      <c r="I356" s="64" t="n"/>
      <c r="J356" s="64" t="n"/>
      <c r="K356" s="63" t="n"/>
      <c r="L356" s="63" t="n"/>
      <c r="M356" s="64" t="n"/>
      <c r="N356" s="66" t="n"/>
      <c r="O356" s="65" t="n"/>
      <c r="P356" s="64" t="n"/>
      <c r="Q356" s="67" t="n"/>
      <c r="R356" s="67" t="n"/>
      <c r="S356" s="68" t="str">
        <f>IF(AND(ISNUMBER($Q356),ISNUMBER($R356)),$Q356-$R356,"")</f>
        <v/>
      </c>
      <c r="T356" s="65" t="n"/>
      <c r="U356" s="64" t="n"/>
      <c r="V356" s="65" t="n"/>
      <c r="W356" s="63" t="n"/>
      <c r="X356" s="65" t="n"/>
      <c r="Y356" s="63" t="n"/>
      <c r="Z356" s="64" t="n"/>
      <c r="AA356" s="64" t="n"/>
      <c r="AB356" s="65" t="n"/>
      <c r="AC356" s="69" t="str">
        <f>IF(OR($G356="",NOT(ISNUMBER($K356)),$AK356=0),"",MAX(0,ReportDate-$K356))</f>
        <v/>
      </c>
      <c r="AD356" s="69" t="str">
        <f>IF($G356="","",IF($AL356=1,ReportDate-$L356,0))</f>
        <v/>
      </c>
      <c r="AE356" s="70" t="str">
        <f>IF($G356="","",IF($M356="Completed",1,IF(ISNUMBER($N356),$N356,0)))</f>
        <v/>
      </c>
      <c r="AF356" s="70" t="str">
        <f>IF(AND(ISNUMBER($Q356),ISNUMBER($R356)),IF($R356&lt;&gt;0,$Q356/$R356,""),"")</f>
        <v/>
      </c>
      <c r="AG356" s="71" t="str">
        <f>IF($G356="","",IF($AL356=1,"OVERDUE",IF($AM356=1,"BLOCKED",IF($AN356=1,"DUE TODAY",IF($AO356=1,"DUE TOMORROW",IF($AQ356=1,"HIGH PRIORITY",IF($AR356=1,"NO RECENT UPDATE",""))))))) </f>
        <v/>
      </c>
      <c r="AH356" s="71" t="str">
        <f>IF($G356="","",IF(ISNUMBER($A356),IF(ISNUMBER($A356),YEAR($A356)&amp;"-"&amp;TEXT(MONTH($A356),"00"),""),IF(ISNUMBER($L356),IF(ISNUMBER($L356),YEAR($L356)&amp;"-"&amp;TEXT(MONTH($L356),"00"),""),"")))</f>
        <v/>
      </c>
      <c r="AI356" s="71">
        <f>IF($G356="",0,IF(AND(OR(fClient="All",$C356=fClient),OR(fCampaign="All",$D356=fCampaign),OR(fTeam="All",$B356=fTeam),OR(fChannel="All",$F356=fChannel),OR(fMonth="All",$AH356=fMonth),OR(fTStatus="All",$M356=fTStatus)),1,0))</f>
        <v>0</v>
      </c>
      <c r="AJ356" s="71">
        <f>IF($G356="",0,IF(AND(OR(fClient="All",$C356=fClient),OR(fCampaign="All",$D356=fCampaign),OR(fTeam="All",$B356=fTeam),OR(fChannel="All",$F356=fChannel)),1,0))</f>
        <v>0</v>
      </c>
      <c r="AK356" s="71">
        <f>IF($G356="",0,IF(OR($M356="Completed",$M356="Cancelled"),0,1))</f>
        <v>0</v>
      </c>
      <c r="AL356" s="71">
        <f>IF(AND($AK356=1,ISNUMBER($L356)),IF($L356&lt;ReportDate,1,0),0)</f>
        <v>0</v>
      </c>
      <c r="AM356" s="71">
        <f>IF(AND($G356&lt;&gt;"",$M356="Blocked"),1,0)</f>
        <v>0</v>
      </c>
      <c r="AN356" s="71">
        <f>IF(AND($AK356=1,ISNUMBER($L356)),IF($L356=ReportDate,1,0),0)</f>
        <v>0</v>
      </c>
      <c r="AO356" s="71">
        <f>IF(AND($AK356=1,ISNUMBER($L356)),IF($L356=ReportDate+1,1,0),0)</f>
        <v>0</v>
      </c>
      <c r="AP356" s="71">
        <f>IF(AND($AK356=1,ISNUMBER($L356)),IF(AND($L356&gt;=ReportDate,$L356&lt;=ReportDate+DueSoonDays),1,0),0)</f>
        <v>0</v>
      </c>
      <c r="AQ356" s="71">
        <f>IF(AND($AK356=1,OR($I356="Critical",$I356="High")),1,0)</f>
        <v>0</v>
      </c>
      <c r="AR356" s="71">
        <f>IF($AK356=1,IF(ISNUMBER($Y356),IF(ReportDate-$Y356&gt;StaleDays,1,0),1),0)</f>
        <v>0</v>
      </c>
      <c r="AS356" s="71">
        <f>IF(AND($G356&lt;&gt;"",ISNUMBER($Q356),ISNUMBER($R356)),IF(AND($Q356&lt;$R356,OR($M356="Completed",AND(ISNUMBER($L356),$L356&lt;ReportDate))),1,0),0)</f>
        <v>0</v>
      </c>
      <c r="AT356" s="71">
        <f>IF($AK356=1,IF(OR($L356=ReportDate,$W356=ReportDate,$K356=ReportDate,$A356=ReportDate),1,0),0)</f>
        <v>0</v>
      </c>
      <c r="AU356" s="71">
        <f>IF($AK356=1,IF(OR($L356=ReportDate+1,$W356=ReportDate+1,$K356=ReportDate+1,$A356=ReportDate+1),1,0),0)</f>
        <v>0</v>
      </c>
      <c r="AV356" s="71">
        <f>IF(AND($G356&lt;&gt;"",$M356="Completed"),IF(OR($Y356=ReportDate-1,$A356=ReportDate-1),1,0),0)</f>
        <v>0</v>
      </c>
      <c r="AW356" s="71">
        <f>IF(AND($AK356=1,$Z356="Yes"),1,0)</f>
        <v>0</v>
      </c>
      <c r="AX356" s="71">
        <f>IF(AND($AK356=1,$AA356="Yes"),1,0)</f>
        <v>0</v>
      </c>
      <c r="AY356" s="71">
        <f>IF(AND($AM356=1,OR($I356="Critical",$I356="High")),1,0)</f>
        <v>0</v>
      </c>
      <c r="AZ356" s="71">
        <f>IF(AND($AK356=1,OR($C356=TCL_Client,$C356=MECCA_Client)),1,0)</f>
        <v>0</v>
      </c>
      <c r="BA356" s="71" t="str">
        <f>IF($G356="","",IFERROR(MATCH($I356,lst_Priority,0),5))</f>
        <v/>
      </c>
      <c r="BB356" s="71" t="str">
        <f>IF(AND($AL356=1,$AJ356=1),$BA356*100000+ROW(),"")</f>
        <v/>
      </c>
      <c r="BC356" s="71" t="str">
        <f>IF(AND($AM356=1,$AJ356=1),$BA356*100000+ROW(),"")</f>
        <v/>
      </c>
      <c r="BD356" s="71" t="str">
        <f>IF(AND($AP356=1,$AJ356=1),$BA356*100000+ROW(),"")</f>
        <v/>
      </c>
      <c r="BE356" s="71" t="str">
        <f>IF(AND($AT356=1,$AJ356=1),$BA356*100000+ROW(),"")</f>
        <v/>
      </c>
      <c r="BF356" s="71" t="str">
        <f>IF(AND($AU356=1,$AJ356=1),$BA356*100000+ROW(),"")</f>
        <v/>
      </c>
      <c r="BG356" s="71" t="str">
        <f>IF(AND($AV356=1,$AJ356=1),$BA356*100000+ROW(),"")</f>
        <v/>
      </c>
      <c r="BH356" s="71" t="str">
        <f>IF(AND($AW356=1,$AJ356=1),$BA356*100000+ROW(),"")</f>
        <v/>
      </c>
      <c r="BI356" s="71" t="str">
        <f>IF(AND($AX356=1,$AJ356=1),$BA356*100000+ROW(),"")</f>
        <v/>
      </c>
      <c r="BJ356" s="71" t="str">
        <f>IF(AND($AS356=1,$AJ356=1),$BA356*100000+ROW(),"")</f>
        <v/>
      </c>
      <c r="BK356" s="71" t="str">
        <f>IF(AND($AY356=1,$AJ356=1),$BA356*100000+ROW(),"")</f>
        <v/>
      </c>
      <c r="BL356" s="71" t="str">
        <f>IF(AND($AZ356=1),$BA356*100000+ROW(),"")</f>
        <v/>
      </c>
    </row>
    <row r="357">
      <c r="A357" s="63" t="n"/>
      <c r="B357" s="64" t="n"/>
      <c r="C357" s="64" t="n"/>
      <c r="D357" s="64" t="n"/>
      <c r="E357" s="64" t="n"/>
      <c r="F357" s="64" t="n"/>
      <c r="G357" s="65" t="n"/>
      <c r="H357" s="65" t="n"/>
      <c r="I357" s="64" t="n"/>
      <c r="J357" s="64" t="n"/>
      <c r="K357" s="63" t="n"/>
      <c r="L357" s="63" t="n"/>
      <c r="M357" s="64" t="n"/>
      <c r="N357" s="66" t="n"/>
      <c r="O357" s="65" t="n"/>
      <c r="P357" s="64" t="n"/>
      <c r="Q357" s="67" t="n"/>
      <c r="R357" s="67" t="n"/>
      <c r="S357" s="68" t="str">
        <f>IF(AND(ISNUMBER($Q357),ISNUMBER($R357)),$Q357-$R357,"")</f>
        <v/>
      </c>
      <c r="T357" s="65" t="n"/>
      <c r="U357" s="64" t="n"/>
      <c r="V357" s="65" t="n"/>
      <c r="W357" s="63" t="n"/>
      <c r="X357" s="65" t="n"/>
      <c r="Y357" s="63" t="n"/>
      <c r="Z357" s="64" t="n"/>
      <c r="AA357" s="64" t="n"/>
      <c r="AB357" s="65" t="n"/>
      <c r="AC357" s="69" t="str">
        <f>IF(OR($G357="",NOT(ISNUMBER($K357)),$AK357=0),"",MAX(0,ReportDate-$K357))</f>
        <v/>
      </c>
      <c r="AD357" s="69" t="str">
        <f>IF($G357="","",IF($AL357=1,ReportDate-$L357,0))</f>
        <v/>
      </c>
      <c r="AE357" s="70" t="str">
        <f>IF($G357="","",IF($M357="Completed",1,IF(ISNUMBER($N357),$N357,0)))</f>
        <v/>
      </c>
      <c r="AF357" s="70" t="str">
        <f>IF(AND(ISNUMBER($Q357),ISNUMBER($R357)),IF($R357&lt;&gt;0,$Q357/$R357,""),"")</f>
        <v/>
      </c>
      <c r="AG357" s="71" t="str">
        <f>IF($G357="","",IF($AL357=1,"OVERDUE",IF($AM357=1,"BLOCKED",IF($AN357=1,"DUE TODAY",IF($AO357=1,"DUE TOMORROW",IF($AQ357=1,"HIGH PRIORITY",IF($AR357=1,"NO RECENT UPDATE",""))))))) </f>
        <v/>
      </c>
      <c r="AH357" s="71" t="str">
        <f>IF($G357="","",IF(ISNUMBER($A357),IF(ISNUMBER($A357),YEAR($A357)&amp;"-"&amp;TEXT(MONTH($A357),"00"),""),IF(ISNUMBER($L357),IF(ISNUMBER($L357),YEAR($L357)&amp;"-"&amp;TEXT(MONTH($L357),"00"),""),"")))</f>
        <v/>
      </c>
      <c r="AI357" s="71">
        <f>IF($G357="",0,IF(AND(OR(fClient="All",$C357=fClient),OR(fCampaign="All",$D357=fCampaign),OR(fTeam="All",$B357=fTeam),OR(fChannel="All",$F357=fChannel),OR(fMonth="All",$AH357=fMonth),OR(fTStatus="All",$M357=fTStatus)),1,0))</f>
        <v>0</v>
      </c>
      <c r="AJ357" s="71">
        <f>IF($G357="",0,IF(AND(OR(fClient="All",$C357=fClient),OR(fCampaign="All",$D357=fCampaign),OR(fTeam="All",$B357=fTeam),OR(fChannel="All",$F357=fChannel)),1,0))</f>
        <v>0</v>
      </c>
      <c r="AK357" s="71">
        <f>IF($G357="",0,IF(OR($M357="Completed",$M357="Cancelled"),0,1))</f>
        <v>0</v>
      </c>
      <c r="AL357" s="71">
        <f>IF(AND($AK357=1,ISNUMBER($L357)),IF($L357&lt;ReportDate,1,0),0)</f>
        <v>0</v>
      </c>
      <c r="AM357" s="71">
        <f>IF(AND($G357&lt;&gt;"",$M357="Blocked"),1,0)</f>
        <v>0</v>
      </c>
      <c r="AN357" s="71">
        <f>IF(AND($AK357=1,ISNUMBER($L357)),IF($L357=ReportDate,1,0),0)</f>
        <v>0</v>
      </c>
      <c r="AO357" s="71">
        <f>IF(AND($AK357=1,ISNUMBER($L357)),IF($L357=ReportDate+1,1,0),0)</f>
        <v>0</v>
      </c>
      <c r="AP357" s="71">
        <f>IF(AND($AK357=1,ISNUMBER($L357)),IF(AND($L357&gt;=ReportDate,$L357&lt;=ReportDate+DueSoonDays),1,0),0)</f>
        <v>0</v>
      </c>
      <c r="AQ357" s="71">
        <f>IF(AND($AK357=1,OR($I357="Critical",$I357="High")),1,0)</f>
        <v>0</v>
      </c>
      <c r="AR357" s="71">
        <f>IF($AK357=1,IF(ISNUMBER($Y357),IF(ReportDate-$Y357&gt;StaleDays,1,0),1),0)</f>
        <v>0</v>
      </c>
      <c r="AS357" s="71">
        <f>IF(AND($G357&lt;&gt;"",ISNUMBER($Q357),ISNUMBER($R357)),IF(AND($Q357&lt;$R357,OR($M357="Completed",AND(ISNUMBER($L357),$L357&lt;ReportDate))),1,0),0)</f>
        <v>0</v>
      </c>
      <c r="AT357" s="71">
        <f>IF($AK357=1,IF(OR($L357=ReportDate,$W357=ReportDate,$K357=ReportDate,$A357=ReportDate),1,0),0)</f>
        <v>0</v>
      </c>
      <c r="AU357" s="71">
        <f>IF($AK357=1,IF(OR($L357=ReportDate+1,$W357=ReportDate+1,$K357=ReportDate+1,$A357=ReportDate+1),1,0),0)</f>
        <v>0</v>
      </c>
      <c r="AV357" s="71">
        <f>IF(AND($G357&lt;&gt;"",$M357="Completed"),IF(OR($Y357=ReportDate-1,$A357=ReportDate-1),1,0),0)</f>
        <v>0</v>
      </c>
      <c r="AW357" s="71">
        <f>IF(AND($AK357=1,$Z357="Yes"),1,0)</f>
        <v>0</v>
      </c>
      <c r="AX357" s="71">
        <f>IF(AND($AK357=1,$AA357="Yes"),1,0)</f>
        <v>0</v>
      </c>
      <c r="AY357" s="71">
        <f>IF(AND($AM357=1,OR($I357="Critical",$I357="High")),1,0)</f>
        <v>0</v>
      </c>
      <c r="AZ357" s="71">
        <f>IF(AND($AK357=1,OR($C357=TCL_Client,$C357=MECCA_Client)),1,0)</f>
        <v>0</v>
      </c>
      <c r="BA357" s="71" t="str">
        <f>IF($G357="","",IFERROR(MATCH($I357,lst_Priority,0),5))</f>
        <v/>
      </c>
      <c r="BB357" s="71" t="str">
        <f>IF(AND($AL357=1,$AJ357=1),$BA357*100000+ROW(),"")</f>
        <v/>
      </c>
      <c r="BC357" s="71" t="str">
        <f>IF(AND($AM357=1,$AJ357=1),$BA357*100000+ROW(),"")</f>
        <v/>
      </c>
      <c r="BD357" s="71" t="str">
        <f>IF(AND($AP357=1,$AJ357=1),$BA357*100000+ROW(),"")</f>
        <v/>
      </c>
      <c r="BE357" s="71" t="str">
        <f>IF(AND($AT357=1,$AJ357=1),$BA357*100000+ROW(),"")</f>
        <v/>
      </c>
      <c r="BF357" s="71" t="str">
        <f>IF(AND($AU357=1,$AJ357=1),$BA357*100000+ROW(),"")</f>
        <v/>
      </c>
      <c r="BG357" s="71" t="str">
        <f>IF(AND($AV357=1,$AJ357=1),$BA357*100000+ROW(),"")</f>
        <v/>
      </c>
      <c r="BH357" s="71" t="str">
        <f>IF(AND($AW357=1,$AJ357=1),$BA357*100000+ROW(),"")</f>
        <v/>
      </c>
      <c r="BI357" s="71" t="str">
        <f>IF(AND($AX357=1,$AJ357=1),$BA357*100000+ROW(),"")</f>
        <v/>
      </c>
      <c r="BJ357" s="71" t="str">
        <f>IF(AND($AS357=1,$AJ357=1),$BA357*100000+ROW(),"")</f>
        <v/>
      </c>
      <c r="BK357" s="71" t="str">
        <f>IF(AND($AY357=1,$AJ357=1),$BA357*100000+ROW(),"")</f>
        <v/>
      </c>
      <c r="BL357" s="71" t="str">
        <f>IF(AND($AZ357=1),$BA357*100000+ROW(),"")</f>
        <v/>
      </c>
    </row>
    <row r="358">
      <c r="A358" s="63" t="n"/>
      <c r="B358" s="64" t="n"/>
      <c r="C358" s="64" t="n"/>
      <c r="D358" s="64" t="n"/>
      <c r="E358" s="64" t="n"/>
      <c r="F358" s="64" t="n"/>
      <c r="G358" s="65" t="n"/>
      <c r="H358" s="65" t="n"/>
      <c r="I358" s="64" t="n"/>
      <c r="J358" s="64" t="n"/>
      <c r="K358" s="63" t="n"/>
      <c r="L358" s="63" t="n"/>
      <c r="M358" s="64" t="n"/>
      <c r="N358" s="66" t="n"/>
      <c r="O358" s="65" t="n"/>
      <c r="P358" s="64" t="n"/>
      <c r="Q358" s="67" t="n"/>
      <c r="R358" s="67" t="n"/>
      <c r="S358" s="68" t="str">
        <f>IF(AND(ISNUMBER($Q358),ISNUMBER($R358)),$Q358-$R358,"")</f>
        <v/>
      </c>
      <c r="T358" s="65" t="n"/>
      <c r="U358" s="64" t="n"/>
      <c r="V358" s="65" t="n"/>
      <c r="W358" s="63" t="n"/>
      <c r="X358" s="65" t="n"/>
      <c r="Y358" s="63" t="n"/>
      <c r="Z358" s="64" t="n"/>
      <c r="AA358" s="64" t="n"/>
      <c r="AB358" s="65" t="n"/>
      <c r="AC358" s="69" t="str">
        <f>IF(OR($G358="",NOT(ISNUMBER($K358)),$AK358=0),"",MAX(0,ReportDate-$K358))</f>
        <v/>
      </c>
      <c r="AD358" s="69" t="str">
        <f>IF($G358="","",IF($AL358=1,ReportDate-$L358,0))</f>
        <v/>
      </c>
      <c r="AE358" s="70" t="str">
        <f>IF($G358="","",IF($M358="Completed",1,IF(ISNUMBER($N358),$N358,0)))</f>
        <v/>
      </c>
      <c r="AF358" s="70" t="str">
        <f>IF(AND(ISNUMBER($Q358),ISNUMBER($R358)),IF($R358&lt;&gt;0,$Q358/$R358,""),"")</f>
        <v/>
      </c>
      <c r="AG358" s="71" t="str">
        <f>IF($G358="","",IF($AL358=1,"OVERDUE",IF($AM358=1,"BLOCKED",IF($AN358=1,"DUE TODAY",IF($AO358=1,"DUE TOMORROW",IF($AQ358=1,"HIGH PRIORITY",IF($AR358=1,"NO RECENT UPDATE",""))))))) </f>
        <v/>
      </c>
      <c r="AH358" s="71" t="str">
        <f>IF($G358="","",IF(ISNUMBER($A358),IF(ISNUMBER($A358),YEAR($A358)&amp;"-"&amp;TEXT(MONTH($A358),"00"),""),IF(ISNUMBER($L358),IF(ISNUMBER($L358),YEAR($L358)&amp;"-"&amp;TEXT(MONTH($L358),"00"),""),"")))</f>
        <v/>
      </c>
      <c r="AI358" s="71">
        <f>IF($G358="",0,IF(AND(OR(fClient="All",$C358=fClient),OR(fCampaign="All",$D358=fCampaign),OR(fTeam="All",$B358=fTeam),OR(fChannel="All",$F358=fChannel),OR(fMonth="All",$AH358=fMonth),OR(fTStatus="All",$M358=fTStatus)),1,0))</f>
        <v>0</v>
      </c>
      <c r="AJ358" s="71">
        <f>IF($G358="",0,IF(AND(OR(fClient="All",$C358=fClient),OR(fCampaign="All",$D358=fCampaign),OR(fTeam="All",$B358=fTeam),OR(fChannel="All",$F358=fChannel)),1,0))</f>
        <v>0</v>
      </c>
      <c r="AK358" s="71">
        <f>IF($G358="",0,IF(OR($M358="Completed",$M358="Cancelled"),0,1))</f>
        <v>0</v>
      </c>
      <c r="AL358" s="71">
        <f>IF(AND($AK358=1,ISNUMBER($L358)),IF($L358&lt;ReportDate,1,0),0)</f>
        <v>0</v>
      </c>
      <c r="AM358" s="71">
        <f>IF(AND($G358&lt;&gt;"",$M358="Blocked"),1,0)</f>
        <v>0</v>
      </c>
      <c r="AN358" s="71">
        <f>IF(AND($AK358=1,ISNUMBER($L358)),IF($L358=ReportDate,1,0),0)</f>
        <v>0</v>
      </c>
      <c r="AO358" s="71">
        <f>IF(AND($AK358=1,ISNUMBER($L358)),IF($L358=ReportDate+1,1,0),0)</f>
        <v>0</v>
      </c>
      <c r="AP358" s="71">
        <f>IF(AND($AK358=1,ISNUMBER($L358)),IF(AND($L358&gt;=ReportDate,$L358&lt;=ReportDate+DueSoonDays),1,0),0)</f>
        <v>0</v>
      </c>
      <c r="AQ358" s="71">
        <f>IF(AND($AK358=1,OR($I358="Critical",$I358="High")),1,0)</f>
        <v>0</v>
      </c>
      <c r="AR358" s="71">
        <f>IF($AK358=1,IF(ISNUMBER($Y358),IF(ReportDate-$Y358&gt;StaleDays,1,0),1),0)</f>
        <v>0</v>
      </c>
      <c r="AS358" s="71">
        <f>IF(AND($G358&lt;&gt;"",ISNUMBER($Q358),ISNUMBER($R358)),IF(AND($Q358&lt;$R358,OR($M358="Completed",AND(ISNUMBER($L358),$L358&lt;ReportDate))),1,0),0)</f>
        <v>0</v>
      </c>
      <c r="AT358" s="71">
        <f>IF($AK358=1,IF(OR($L358=ReportDate,$W358=ReportDate,$K358=ReportDate,$A358=ReportDate),1,0),0)</f>
        <v>0</v>
      </c>
      <c r="AU358" s="71">
        <f>IF($AK358=1,IF(OR($L358=ReportDate+1,$W358=ReportDate+1,$K358=ReportDate+1,$A358=ReportDate+1),1,0),0)</f>
        <v>0</v>
      </c>
      <c r="AV358" s="71">
        <f>IF(AND($G358&lt;&gt;"",$M358="Completed"),IF(OR($Y358=ReportDate-1,$A358=ReportDate-1),1,0),0)</f>
        <v>0</v>
      </c>
      <c r="AW358" s="71">
        <f>IF(AND($AK358=1,$Z358="Yes"),1,0)</f>
        <v>0</v>
      </c>
      <c r="AX358" s="71">
        <f>IF(AND($AK358=1,$AA358="Yes"),1,0)</f>
        <v>0</v>
      </c>
      <c r="AY358" s="71">
        <f>IF(AND($AM358=1,OR($I358="Critical",$I358="High")),1,0)</f>
        <v>0</v>
      </c>
      <c r="AZ358" s="71">
        <f>IF(AND($AK358=1,OR($C358=TCL_Client,$C358=MECCA_Client)),1,0)</f>
        <v>0</v>
      </c>
      <c r="BA358" s="71" t="str">
        <f>IF($G358="","",IFERROR(MATCH($I358,lst_Priority,0),5))</f>
        <v/>
      </c>
      <c r="BB358" s="71" t="str">
        <f>IF(AND($AL358=1,$AJ358=1),$BA358*100000+ROW(),"")</f>
        <v/>
      </c>
      <c r="BC358" s="71" t="str">
        <f>IF(AND($AM358=1,$AJ358=1),$BA358*100000+ROW(),"")</f>
        <v/>
      </c>
      <c r="BD358" s="71" t="str">
        <f>IF(AND($AP358=1,$AJ358=1),$BA358*100000+ROW(),"")</f>
        <v/>
      </c>
      <c r="BE358" s="71" t="str">
        <f>IF(AND($AT358=1,$AJ358=1),$BA358*100000+ROW(),"")</f>
        <v/>
      </c>
      <c r="BF358" s="71" t="str">
        <f>IF(AND($AU358=1,$AJ358=1),$BA358*100000+ROW(),"")</f>
        <v/>
      </c>
      <c r="BG358" s="71" t="str">
        <f>IF(AND($AV358=1,$AJ358=1),$BA358*100000+ROW(),"")</f>
        <v/>
      </c>
      <c r="BH358" s="71" t="str">
        <f>IF(AND($AW358=1,$AJ358=1),$BA358*100000+ROW(),"")</f>
        <v/>
      </c>
      <c r="BI358" s="71" t="str">
        <f>IF(AND($AX358=1,$AJ358=1),$BA358*100000+ROW(),"")</f>
        <v/>
      </c>
      <c r="BJ358" s="71" t="str">
        <f>IF(AND($AS358=1,$AJ358=1),$BA358*100000+ROW(),"")</f>
        <v/>
      </c>
      <c r="BK358" s="71" t="str">
        <f>IF(AND($AY358=1,$AJ358=1),$BA358*100000+ROW(),"")</f>
        <v/>
      </c>
      <c r="BL358" s="71" t="str">
        <f>IF(AND($AZ358=1),$BA358*100000+ROW(),"")</f>
        <v/>
      </c>
    </row>
    <row r="359">
      <c r="A359" s="63" t="n"/>
      <c r="B359" s="64" t="n"/>
      <c r="C359" s="64" t="n"/>
      <c r="D359" s="64" t="n"/>
      <c r="E359" s="64" t="n"/>
      <c r="F359" s="64" t="n"/>
      <c r="G359" s="65" t="n"/>
      <c r="H359" s="65" t="n"/>
      <c r="I359" s="64" t="n"/>
      <c r="J359" s="64" t="n"/>
      <c r="K359" s="63" t="n"/>
      <c r="L359" s="63" t="n"/>
      <c r="M359" s="64" t="n"/>
      <c r="N359" s="66" t="n"/>
      <c r="O359" s="65" t="n"/>
      <c r="P359" s="64" t="n"/>
      <c r="Q359" s="67" t="n"/>
      <c r="R359" s="67" t="n"/>
      <c r="S359" s="68" t="str">
        <f>IF(AND(ISNUMBER($Q359),ISNUMBER($R359)),$Q359-$R359,"")</f>
        <v/>
      </c>
      <c r="T359" s="65" t="n"/>
      <c r="U359" s="64" t="n"/>
      <c r="V359" s="65" t="n"/>
      <c r="W359" s="63" t="n"/>
      <c r="X359" s="65" t="n"/>
      <c r="Y359" s="63" t="n"/>
      <c r="Z359" s="64" t="n"/>
      <c r="AA359" s="64" t="n"/>
      <c r="AB359" s="65" t="n"/>
      <c r="AC359" s="69" t="str">
        <f>IF(OR($G359="",NOT(ISNUMBER($K359)),$AK359=0),"",MAX(0,ReportDate-$K359))</f>
        <v/>
      </c>
      <c r="AD359" s="69" t="str">
        <f>IF($G359="","",IF($AL359=1,ReportDate-$L359,0))</f>
        <v/>
      </c>
      <c r="AE359" s="70" t="str">
        <f>IF($G359="","",IF($M359="Completed",1,IF(ISNUMBER($N359),$N359,0)))</f>
        <v/>
      </c>
      <c r="AF359" s="70" t="str">
        <f>IF(AND(ISNUMBER($Q359),ISNUMBER($R359)),IF($R359&lt;&gt;0,$Q359/$R359,""),"")</f>
        <v/>
      </c>
      <c r="AG359" s="71" t="str">
        <f>IF($G359="","",IF($AL359=1,"OVERDUE",IF($AM359=1,"BLOCKED",IF($AN359=1,"DUE TODAY",IF($AO359=1,"DUE TOMORROW",IF($AQ359=1,"HIGH PRIORITY",IF($AR359=1,"NO RECENT UPDATE",""))))))) </f>
        <v/>
      </c>
      <c r="AH359" s="71" t="str">
        <f>IF($G359="","",IF(ISNUMBER($A359),IF(ISNUMBER($A359),YEAR($A359)&amp;"-"&amp;TEXT(MONTH($A359),"00"),""),IF(ISNUMBER($L359),IF(ISNUMBER($L359),YEAR($L359)&amp;"-"&amp;TEXT(MONTH($L359),"00"),""),"")))</f>
        <v/>
      </c>
      <c r="AI359" s="71">
        <f>IF($G359="",0,IF(AND(OR(fClient="All",$C359=fClient),OR(fCampaign="All",$D359=fCampaign),OR(fTeam="All",$B359=fTeam),OR(fChannel="All",$F359=fChannel),OR(fMonth="All",$AH359=fMonth),OR(fTStatus="All",$M359=fTStatus)),1,0))</f>
        <v>0</v>
      </c>
      <c r="AJ359" s="71">
        <f>IF($G359="",0,IF(AND(OR(fClient="All",$C359=fClient),OR(fCampaign="All",$D359=fCampaign),OR(fTeam="All",$B359=fTeam),OR(fChannel="All",$F359=fChannel)),1,0))</f>
        <v>0</v>
      </c>
      <c r="AK359" s="71">
        <f>IF($G359="",0,IF(OR($M359="Completed",$M359="Cancelled"),0,1))</f>
        <v>0</v>
      </c>
      <c r="AL359" s="71">
        <f>IF(AND($AK359=1,ISNUMBER($L359)),IF($L359&lt;ReportDate,1,0),0)</f>
        <v>0</v>
      </c>
      <c r="AM359" s="71">
        <f>IF(AND($G359&lt;&gt;"",$M359="Blocked"),1,0)</f>
        <v>0</v>
      </c>
      <c r="AN359" s="71">
        <f>IF(AND($AK359=1,ISNUMBER($L359)),IF($L359=ReportDate,1,0),0)</f>
        <v>0</v>
      </c>
      <c r="AO359" s="71">
        <f>IF(AND($AK359=1,ISNUMBER($L359)),IF($L359=ReportDate+1,1,0),0)</f>
        <v>0</v>
      </c>
      <c r="AP359" s="71">
        <f>IF(AND($AK359=1,ISNUMBER($L359)),IF(AND($L359&gt;=ReportDate,$L359&lt;=ReportDate+DueSoonDays),1,0),0)</f>
        <v>0</v>
      </c>
      <c r="AQ359" s="71">
        <f>IF(AND($AK359=1,OR($I359="Critical",$I359="High")),1,0)</f>
        <v>0</v>
      </c>
      <c r="AR359" s="71">
        <f>IF($AK359=1,IF(ISNUMBER($Y359),IF(ReportDate-$Y359&gt;StaleDays,1,0),1),0)</f>
        <v>0</v>
      </c>
      <c r="AS359" s="71">
        <f>IF(AND($G359&lt;&gt;"",ISNUMBER($Q359),ISNUMBER($R359)),IF(AND($Q359&lt;$R359,OR($M359="Completed",AND(ISNUMBER($L359),$L359&lt;ReportDate))),1,0),0)</f>
        <v>0</v>
      </c>
      <c r="AT359" s="71">
        <f>IF($AK359=1,IF(OR($L359=ReportDate,$W359=ReportDate,$K359=ReportDate,$A359=ReportDate),1,0),0)</f>
        <v>0</v>
      </c>
      <c r="AU359" s="71">
        <f>IF($AK359=1,IF(OR($L359=ReportDate+1,$W359=ReportDate+1,$K359=ReportDate+1,$A359=ReportDate+1),1,0),0)</f>
        <v>0</v>
      </c>
      <c r="AV359" s="71">
        <f>IF(AND($G359&lt;&gt;"",$M359="Completed"),IF(OR($Y359=ReportDate-1,$A359=ReportDate-1),1,0),0)</f>
        <v>0</v>
      </c>
      <c r="AW359" s="71">
        <f>IF(AND($AK359=1,$Z359="Yes"),1,0)</f>
        <v>0</v>
      </c>
      <c r="AX359" s="71">
        <f>IF(AND($AK359=1,$AA359="Yes"),1,0)</f>
        <v>0</v>
      </c>
      <c r="AY359" s="71">
        <f>IF(AND($AM359=1,OR($I359="Critical",$I359="High")),1,0)</f>
        <v>0</v>
      </c>
      <c r="AZ359" s="71">
        <f>IF(AND($AK359=1,OR($C359=TCL_Client,$C359=MECCA_Client)),1,0)</f>
        <v>0</v>
      </c>
      <c r="BA359" s="71" t="str">
        <f>IF($G359="","",IFERROR(MATCH($I359,lst_Priority,0),5))</f>
        <v/>
      </c>
      <c r="BB359" s="71" t="str">
        <f>IF(AND($AL359=1,$AJ359=1),$BA359*100000+ROW(),"")</f>
        <v/>
      </c>
      <c r="BC359" s="71" t="str">
        <f>IF(AND($AM359=1,$AJ359=1),$BA359*100000+ROW(),"")</f>
        <v/>
      </c>
      <c r="BD359" s="71" t="str">
        <f>IF(AND($AP359=1,$AJ359=1),$BA359*100000+ROW(),"")</f>
        <v/>
      </c>
      <c r="BE359" s="71" t="str">
        <f>IF(AND($AT359=1,$AJ359=1),$BA359*100000+ROW(),"")</f>
        <v/>
      </c>
      <c r="BF359" s="71" t="str">
        <f>IF(AND($AU359=1,$AJ359=1),$BA359*100000+ROW(),"")</f>
        <v/>
      </c>
      <c r="BG359" s="71" t="str">
        <f>IF(AND($AV359=1,$AJ359=1),$BA359*100000+ROW(),"")</f>
        <v/>
      </c>
      <c r="BH359" s="71" t="str">
        <f>IF(AND($AW359=1,$AJ359=1),$BA359*100000+ROW(),"")</f>
        <v/>
      </c>
      <c r="BI359" s="71" t="str">
        <f>IF(AND($AX359=1,$AJ359=1),$BA359*100000+ROW(),"")</f>
        <v/>
      </c>
      <c r="BJ359" s="71" t="str">
        <f>IF(AND($AS359=1,$AJ359=1),$BA359*100000+ROW(),"")</f>
        <v/>
      </c>
      <c r="BK359" s="71" t="str">
        <f>IF(AND($AY359=1,$AJ359=1),$BA359*100000+ROW(),"")</f>
        <v/>
      </c>
      <c r="BL359" s="71" t="str">
        <f>IF(AND($AZ359=1),$BA359*100000+ROW(),"")</f>
        <v/>
      </c>
    </row>
    <row r="360">
      <c r="A360" s="63" t="n"/>
      <c r="B360" s="64" t="n"/>
      <c r="C360" s="64" t="n"/>
      <c r="D360" s="64" t="n"/>
      <c r="E360" s="64" t="n"/>
      <c r="F360" s="64" t="n"/>
      <c r="G360" s="65" t="n"/>
      <c r="H360" s="65" t="n"/>
      <c r="I360" s="64" t="n"/>
      <c r="J360" s="64" t="n"/>
      <c r="K360" s="63" t="n"/>
      <c r="L360" s="63" t="n"/>
      <c r="M360" s="64" t="n"/>
      <c r="N360" s="66" t="n"/>
      <c r="O360" s="65" t="n"/>
      <c r="P360" s="64" t="n"/>
      <c r="Q360" s="67" t="n"/>
      <c r="R360" s="67" t="n"/>
      <c r="S360" s="68" t="str">
        <f>IF(AND(ISNUMBER($Q360),ISNUMBER($R360)),$Q360-$R360,"")</f>
        <v/>
      </c>
      <c r="T360" s="65" t="n"/>
      <c r="U360" s="64" t="n"/>
      <c r="V360" s="65" t="n"/>
      <c r="W360" s="63" t="n"/>
      <c r="X360" s="65" t="n"/>
      <c r="Y360" s="63" t="n"/>
      <c r="Z360" s="64" t="n"/>
      <c r="AA360" s="64" t="n"/>
      <c r="AB360" s="65" t="n"/>
      <c r="AC360" s="69" t="str">
        <f>IF(OR($G360="",NOT(ISNUMBER($K360)),$AK360=0),"",MAX(0,ReportDate-$K360))</f>
        <v/>
      </c>
      <c r="AD360" s="69" t="str">
        <f>IF($G360="","",IF($AL360=1,ReportDate-$L360,0))</f>
        <v/>
      </c>
      <c r="AE360" s="70" t="str">
        <f>IF($G360="","",IF($M360="Completed",1,IF(ISNUMBER($N360),$N360,0)))</f>
        <v/>
      </c>
      <c r="AF360" s="70" t="str">
        <f>IF(AND(ISNUMBER($Q360),ISNUMBER($R360)),IF($R360&lt;&gt;0,$Q360/$R360,""),"")</f>
        <v/>
      </c>
      <c r="AG360" s="71" t="str">
        <f>IF($G360="","",IF($AL360=1,"OVERDUE",IF($AM360=1,"BLOCKED",IF($AN360=1,"DUE TODAY",IF($AO360=1,"DUE TOMORROW",IF($AQ360=1,"HIGH PRIORITY",IF($AR360=1,"NO RECENT UPDATE",""))))))) </f>
        <v/>
      </c>
      <c r="AH360" s="71" t="str">
        <f>IF($G360="","",IF(ISNUMBER($A360),IF(ISNUMBER($A360),YEAR($A360)&amp;"-"&amp;TEXT(MONTH($A360),"00"),""),IF(ISNUMBER($L360),IF(ISNUMBER($L360),YEAR($L360)&amp;"-"&amp;TEXT(MONTH($L360),"00"),""),"")))</f>
        <v/>
      </c>
      <c r="AI360" s="71">
        <f>IF($G360="",0,IF(AND(OR(fClient="All",$C360=fClient),OR(fCampaign="All",$D360=fCampaign),OR(fTeam="All",$B360=fTeam),OR(fChannel="All",$F360=fChannel),OR(fMonth="All",$AH360=fMonth),OR(fTStatus="All",$M360=fTStatus)),1,0))</f>
        <v>0</v>
      </c>
      <c r="AJ360" s="71">
        <f>IF($G360="",0,IF(AND(OR(fClient="All",$C360=fClient),OR(fCampaign="All",$D360=fCampaign),OR(fTeam="All",$B360=fTeam),OR(fChannel="All",$F360=fChannel)),1,0))</f>
        <v>0</v>
      </c>
      <c r="AK360" s="71">
        <f>IF($G360="",0,IF(OR($M360="Completed",$M360="Cancelled"),0,1))</f>
        <v>0</v>
      </c>
      <c r="AL360" s="71">
        <f>IF(AND($AK360=1,ISNUMBER($L360)),IF($L360&lt;ReportDate,1,0),0)</f>
        <v>0</v>
      </c>
      <c r="AM360" s="71">
        <f>IF(AND($G360&lt;&gt;"",$M360="Blocked"),1,0)</f>
        <v>0</v>
      </c>
      <c r="AN360" s="71">
        <f>IF(AND($AK360=1,ISNUMBER($L360)),IF($L360=ReportDate,1,0),0)</f>
        <v>0</v>
      </c>
      <c r="AO360" s="71">
        <f>IF(AND($AK360=1,ISNUMBER($L360)),IF($L360=ReportDate+1,1,0),0)</f>
        <v>0</v>
      </c>
      <c r="AP360" s="71">
        <f>IF(AND($AK360=1,ISNUMBER($L360)),IF(AND($L360&gt;=ReportDate,$L360&lt;=ReportDate+DueSoonDays),1,0),0)</f>
        <v>0</v>
      </c>
      <c r="AQ360" s="71">
        <f>IF(AND($AK360=1,OR($I360="Critical",$I360="High")),1,0)</f>
        <v>0</v>
      </c>
      <c r="AR360" s="71">
        <f>IF($AK360=1,IF(ISNUMBER($Y360),IF(ReportDate-$Y360&gt;StaleDays,1,0),1),0)</f>
        <v>0</v>
      </c>
      <c r="AS360" s="71">
        <f>IF(AND($G360&lt;&gt;"",ISNUMBER($Q360),ISNUMBER($R360)),IF(AND($Q360&lt;$R360,OR($M360="Completed",AND(ISNUMBER($L360),$L360&lt;ReportDate))),1,0),0)</f>
        <v>0</v>
      </c>
      <c r="AT360" s="71">
        <f>IF($AK360=1,IF(OR($L360=ReportDate,$W360=ReportDate,$K360=ReportDate,$A360=ReportDate),1,0),0)</f>
        <v>0</v>
      </c>
      <c r="AU360" s="71">
        <f>IF($AK360=1,IF(OR($L360=ReportDate+1,$W360=ReportDate+1,$K360=ReportDate+1,$A360=ReportDate+1),1,0),0)</f>
        <v>0</v>
      </c>
      <c r="AV360" s="71">
        <f>IF(AND($G360&lt;&gt;"",$M360="Completed"),IF(OR($Y360=ReportDate-1,$A360=ReportDate-1),1,0),0)</f>
        <v>0</v>
      </c>
      <c r="AW360" s="71">
        <f>IF(AND($AK360=1,$Z360="Yes"),1,0)</f>
        <v>0</v>
      </c>
      <c r="AX360" s="71">
        <f>IF(AND($AK360=1,$AA360="Yes"),1,0)</f>
        <v>0</v>
      </c>
      <c r="AY360" s="71">
        <f>IF(AND($AM360=1,OR($I360="Critical",$I360="High")),1,0)</f>
        <v>0</v>
      </c>
      <c r="AZ360" s="71">
        <f>IF(AND($AK360=1,OR($C360=TCL_Client,$C360=MECCA_Client)),1,0)</f>
        <v>0</v>
      </c>
      <c r="BA360" s="71" t="str">
        <f>IF($G360="","",IFERROR(MATCH($I360,lst_Priority,0),5))</f>
        <v/>
      </c>
      <c r="BB360" s="71" t="str">
        <f>IF(AND($AL360=1,$AJ360=1),$BA360*100000+ROW(),"")</f>
        <v/>
      </c>
      <c r="BC360" s="71" t="str">
        <f>IF(AND($AM360=1,$AJ360=1),$BA360*100000+ROW(),"")</f>
        <v/>
      </c>
      <c r="BD360" s="71" t="str">
        <f>IF(AND($AP360=1,$AJ360=1),$BA360*100000+ROW(),"")</f>
        <v/>
      </c>
      <c r="BE360" s="71" t="str">
        <f>IF(AND($AT360=1,$AJ360=1),$BA360*100000+ROW(),"")</f>
        <v/>
      </c>
      <c r="BF360" s="71" t="str">
        <f>IF(AND($AU360=1,$AJ360=1),$BA360*100000+ROW(),"")</f>
        <v/>
      </c>
      <c r="BG360" s="71" t="str">
        <f>IF(AND($AV360=1,$AJ360=1),$BA360*100000+ROW(),"")</f>
        <v/>
      </c>
      <c r="BH360" s="71" t="str">
        <f>IF(AND($AW360=1,$AJ360=1),$BA360*100000+ROW(),"")</f>
        <v/>
      </c>
      <c r="BI360" s="71" t="str">
        <f>IF(AND($AX360=1,$AJ360=1),$BA360*100000+ROW(),"")</f>
        <v/>
      </c>
      <c r="BJ360" s="71" t="str">
        <f>IF(AND($AS360=1,$AJ360=1),$BA360*100000+ROW(),"")</f>
        <v/>
      </c>
      <c r="BK360" s="71" t="str">
        <f>IF(AND($AY360=1,$AJ360=1),$BA360*100000+ROW(),"")</f>
        <v/>
      </c>
      <c r="BL360" s="71" t="str">
        <f>IF(AND($AZ360=1),$BA360*100000+ROW(),"")</f>
        <v/>
      </c>
    </row>
    <row r="361">
      <c r="A361" s="63" t="n"/>
      <c r="B361" s="64" t="n"/>
      <c r="C361" s="64" t="n"/>
      <c r="D361" s="64" t="n"/>
      <c r="E361" s="64" t="n"/>
      <c r="F361" s="64" t="n"/>
      <c r="G361" s="65" t="n"/>
      <c r="H361" s="65" t="n"/>
      <c r="I361" s="64" t="n"/>
      <c r="J361" s="64" t="n"/>
      <c r="K361" s="63" t="n"/>
      <c r="L361" s="63" t="n"/>
      <c r="M361" s="64" t="n"/>
      <c r="N361" s="66" t="n"/>
      <c r="O361" s="65" t="n"/>
      <c r="P361" s="64" t="n"/>
      <c r="Q361" s="67" t="n"/>
      <c r="R361" s="67" t="n"/>
      <c r="S361" s="68" t="str">
        <f>IF(AND(ISNUMBER($Q361),ISNUMBER($R361)),$Q361-$R361,"")</f>
        <v/>
      </c>
      <c r="T361" s="65" t="n"/>
      <c r="U361" s="64" t="n"/>
      <c r="V361" s="65" t="n"/>
      <c r="W361" s="63" t="n"/>
      <c r="X361" s="65" t="n"/>
      <c r="Y361" s="63" t="n"/>
      <c r="Z361" s="64" t="n"/>
      <c r="AA361" s="64" t="n"/>
      <c r="AB361" s="65" t="n"/>
      <c r="AC361" s="69" t="str">
        <f>IF(OR($G361="",NOT(ISNUMBER($K361)),$AK361=0),"",MAX(0,ReportDate-$K361))</f>
        <v/>
      </c>
      <c r="AD361" s="69" t="str">
        <f>IF($G361="","",IF($AL361=1,ReportDate-$L361,0))</f>
        <v/>
      </c>
      <c r="AE361" s="70" t="str">
        <f>IF($G361="","",IF($M361="Completed",1,IF(ISNUMBER($N361),$N361,0)))</f>
        <v/>
      </c>
      <c r="AF361" s="70" t="str">
        <f>IF(AND(ISNUMBER($Q361),ISNUMBER($R361)),IF($R361&lt;&gt;0,$Q361/$R361,""),"")</f>
        <v/>
      </c>
      <c r="AG361" s="71" t="str">
        <f>IF($G361="","",IF($AL361=1,"OVERDUE",IF($AM361=1,"BLOCKED",IF($AN361=1,"DUE TODAY",IF($AO361=1,"DUE TOMORROW",IF($AQ361=1,"HIGH PRIORITY",IF($AR361=1,"NO RECENT UPDATE",""))))))) </f>
        <v/>
      </c>
      <c r="AH361" s="71" t="str">
        <f>IF($G361="","",IF(ISNUMBER($A361),IF(ISNUMBER($A361),YEAR($A361)&amp;"-"&amp;TEXT(MONTH($A361),"00"),""),IF(ISNUMBER($L361),IF(ISNUMBER($L361),YEAR($L361)&amp;"-"&amp;TEXT(MONTH($L361),"00"),""),"")))</f>
        <v/>
      </c>
      <c r="AI361" s="71">
        <f>IF($G361="",0,IF(AND(OR(fClient="All",$C361=fClient),OR(fCampaign="All",$D361=fCampaign),OR(fTeam="All",$B361=fTeam),OR(fChannel="All",$F361=fChannel),OR(fMonth="All",$AH361=fMonth),OR(fTStatus="All",$M361=fTStatus)),1,0))</f>
        <v>0</v>
      </c>
      <c r="AJ361" s="71">
        <f>IF($G361="",0,IF(AND(OR(fClient="All",$C361=fClient),OR(fCampaign="All",$D361=fCampaign),OR(fTeam="All",$B361=fTeam),OR(fChannel="All",$F361=fChannel)),1,0))</f>
        <v>0</v>
      </c>
      <c r="AK361" s="71">
        <f>IF($G361="",0,IF(OR($M361="Completed",$M361="Cancelled"),0,1))</f>
        <v>0</v>
      </c>
      <c r="AL361" s="71">
        <f>IF(AND($AK361=1,ISNUMBER($L361)),IF($L361&lt;ReportDate,1,0),0)</f>
        <v>0</v>
      </c>
      <c r="AM361" s="71">
        <f>IF(AND($G361&lt;&gt;"",$M361="Blocked"),1,0)</f>
        <v>0</v>
      </c>
      <c r="AN361" s="71">
        <f>IF(AND($AK361=1,ISNUMBER($L361)),IF($L361=ReportDate,1,0),0)</f>
        <v>0</v>
      </c>
      <c r="AO361" s="71">
        <f>IF(AND($AK361=1,ISNUMBER($L361)),IF($L361=ReportDate+1,1,0),0)</f>
        <v>0</v>
      </c>
      <c r="AP361" s="71">
        <f>IF(AND($AK361=1,ISNUMBER($L361)),IF(AND($L361&gt;=ReportDate,$L361&lt;=ReportDate+DueSoonDays),1,0),0)</f>
        <v>0</v>
      </c>
      <c r="AQ361" s="71">
        <f>IF(AND($AK361=1,OR($I361="Critical",$I361="High")),1,0)</f>
        <v>0</v>
      </c>
      <c r="AR361" s="71">
        <f>IF($AK361=1,IF(ISNUMBER($Y361),IF(ReportDate-$Y361&gt;StaleDays,1,0),1),0)</f>
        <v>0</v>
      </c>
      <c r="AS361" s="71">
        <f>IF(AND($G361&lt;&gt;"",ISNUMBER($Q361),ISNUMBER($R361)),IF(AND($Q361&lt;$R361,OR($M361="Completed",AND(ISNUMBER($L361),$L361&lt;ReportDate))),1,0),0)</f>
        <v>0</v>
      </c>
      <c r="AT361" s="71">
        <f>IF($AK361=1,IF(OR($L361=ReportDate,$W361=ReportDate,$K361=ReportDate,$A361=ReportDate),1,0),0)</f>
        <v>0</v>
      </c>
      <c r="AU361" s="71">
        <f>IF($AK361=1,IF(OR($L361=ReportDate+1,$W361=ReportDate+1,$K361=ReportDate+1,$A361=ReportDate+1),1,0),0)</f>
        <v>0</v>
      </c>
      <c r="AV361" s="71">
        <f>IF(AND($G361&lt;&gt;"",$M361="Completed"),IF(OR($Y361=ReportDate-1,$A361=ReportDate-1),1,0),0)</f>
        <v>0</v>
      </c>
      <c r="AW361" s="71">
        <f>IF(AND($AK361=1,$Z361="Yes"),1,0)</f>
        <v>0</v>
      </c>
      <c r="AX361" s="71">
        <f>IF(AND($AK361=1,$AA361="Yes"),1,0)</f>
        <v>0</v>
      </c>
      <c r="AY361" s="71">
        <f>IF(AND($AM361=1,OR($I361="Critical",$I361="High")),1,0)</f>
        <v>0</v>
      </c>
      <c r="AZ361" s="71">
        <f>IF(AND($AK361=1,OR($C361=TCL_Client,$C361=MECCA_Client)),1,0)</f>
        <v>0</v>
      </c>
      <c r="BA361" s="71" t="str">
        <f>IF($G361="","",IFERROR(MATCH($I361,lst_Priority,0),5))</f>
        <v/>
      </c>
      <c r="BB361" s="71" t="str">
        <f>IF(AND($AL361=1,$AJ361=1),$BA361*100000+ROW(),"")</f>
        <v/>
      </c>
      <c r="BC361" s="71" t="str">
        <f>IF(AND($AM361=1,$AJ361=1),$BA361*100000+ROW(),"")</f>
        <v/>
      </c>
      <c r="BD361" s="71" t="str">
        <f>IF(AND($AP361=1,$AJ361=1),$BA361*100000+ROW(),"")</f>
        <v/>
      </c>
      <c r="BE361" s="71" t="str">
        <f>IF(AND($AT361=1,$AJ361=1),$BA361*100000+ROW(),"")</f>
        <v/>
      </c>
      <c r="BF361" s="71" t="str">
        <f>IF(AND($AU361=1,$AJ361=1),$BA361*100000+ROW(),"")</f>
        <v/>
      </c>
      <c r="BG361" s="71" t="str">
        <f>IF(AND($AV361=1,$AJ361=1),$BA361*100000+ROW(),"")</f>
        <v/>
      </c>
      <c r="BH361" s="71" t="str">
        <f>IF(AND($AW361=1,$AJ361=1),$BA361*100000+ROW(),"")</f>
        <v/>
      </c>
      <c r="BI361" s="71" t="str">
        <f>IF(AND($AX361=1,$AJ361=1),$BA361*100000+ROW(),"")</f>
        <v/>
      </c>
      <c r="BJ361" s="71" t="str">
        <f>IF(AND($AS361=1,$AJ361=1),$BA361*100000+ROW(),"")</f>
        <v/>
      </c>
      <c r="BK361" s="71" t="str">
        <f>IF(AND($AY361=1,$AJ361=1),$BA361*100000+ROW(),"")</f>
        <v/>
      </c>
      <c r="BL361" s="71" t="str">
        <f>IF(AND($AZ361=1),$BA361*100000+ROW(),"")</f>
        <v/>
      </c>
    </row>
    <row r="362">
      <c r="A362" s="63" t="n"/>
      <c r="B362" s="64" t="n"/>
      <c r="C362" s="64" t="n"/>
      <c r="D362" s="64" t="n"/>
      <c r="E362" s="64" t="n"/>
      <c r="F362" s="64" t="n"/>
      <c r="G362" s="65" t="n"/>
      <c r="H362" s="65" t="n"/>
      <c r="I362" s="64" t="n"/>
      <c r="J362" s="64" t="n"/>
      <c r="K362" s="63" t="n"/>
      <c r="L362" s="63" t="n"/>
      <c r="M362" s="64" t="n"/>
      <c r="N362" s="66" t="n"/>
      <c r="O362" s="65" t="n"/>
      <c r="P362" s="64" t="n"/>
      <c r="Q362" s="67" t="n"/>
      <c r="R362" s="67" t="n"/>
      <c r="S362" s="68" t="str">
        <f>IF(AND(ISNUMBER($Q362),ISNUMBER($R362)),$Q362-$R362,"")</f>
        <v/>
      </c>
      <c r="T362" s="65" t="n"/>
      <c r="U362" s="64" t="n"/>
      <c r="V362" s="65" t="n"/>
      <c r="W362" s="63" t="n"/>
      <c r="X362" s="65" t="n"/>
      <c r="Y362" s="63" t="n"/>
      <c r="Z362" s="64" t="n"/>
      <c r="AA362" s="64" t="n"/>
      <c r="AB362" s="65" t="n"/>
      <c r="AC362" s="69" t="str">
        <f>IF(OR($G362="",NOT(ISNUMBER($K362)),$AK362=0),"",MAX(0,ReportDate-$K362))</f>
        <v/>
      </c>
      <c r="AD362" s="69" t="str">
        <f>IF($G362="","",IF($AL362=1,ReportDate-$L362,0))</f>
        <v/>
      </c>
      <c r="AE362" s="70" t="str">
        <f>IF($G362="","",IF($M362="Completed",1,IF(ISNUMBER($N362),$N362,0)))</f>
        <v/>
      </c>
      <c r="AF362" s="70" t="str">
        <f>IF(AND(ISNUMBER($Q362),ISNUMBER($R362)),IF($R362&lt;&gt;0,$Q362/$R362,""),"")</f>
        <v/>
      </c>
      <c r="AG362" s="71" t="str">
        <f>IF($G362="","",IF($AL362=1,"OVERDUE",IF($AM362=1,"BLOCKED",IF($AN362=1,"DUE TODAY",IF($AO362=1,"DUE TOMORROW",IF($AQ362=1,"HIGH PRIORITY",IF($AR362=1,"NO RECENT UPDATE",""))))))) </f>
        <v/>
      </c>
      <c r="AH362" s="71" t="str">
        <f>IF($G362="","",IF(ISNUMBER($A362),IF(ISNUMBER($A362),YEAR($A362)&amp;"-"&amp;TEXT(MONTH($A362),"00"),""),IF(ISNUMBER($L362),IF(ISNUMBER($L362),YEAR($L362)&amp;"-"&amp;TEXT(MONTH($L362),"00"),""),"")))</f>
        <v/>
      </c>
      <c r="AI362" s="71">
        <f>IF($G362="",0,IF(AND(OR(fClient="All",$C362=fClient),OR(fCampaign="All",$D362=fCampaign),OR(fTeam="All",$B362=fTeam),OR(fChannel="All",$F362=fChannel),OR(fMonth="All",$AH362=fMonth),OR(fTStatus="All",$M362=fTStatus)),1,0))</f>
        <v>0</v>
      </c>
      <c r="AJ362" s="71">
        <f>IF($G362="",0,IF(AND(OR(fClient="All",$C362=fClient),OR(fCampaign="All",$D362=fCampaign),OR(fTeam="All",$B362=fTeam),OR(fChannel="All",$F362=fChannel)),1,0))</f>
        <v>0</v>
      </c>
      <c r="AK362" s="71">
        <f>IF($G362="",0,IF(OR($M362="Completed",$M362="Cancelled"),0,1))</f>
        <v>0</v>
      </c>
      <c r="AL362" s="71">
        <f>IF(AND($AK362=1,ISNUMBER($L362)),IF($L362&lt;ReportDate,1,0),0)</f>
        <v>0</v>
      </c>
      <c r="AM362" s="71">
        <f>IF(AND($G362&lt;&gt;"",$M362="Blocked"),1,0)</f>
        <v>0</v>
      </c>
      <c r="AN362" s="71">
        <f>IF(AND($AK362=1,ISNUMBER($L362)),IF($L362=ReportDate,1,0),0)</f>
        <v>0</v>
      </c>
      <c r="AO362" s="71">
        <f>IF(AND($AK362=1,ISNUMBER($L362)),IF($L362=ReportDate+1,1,0),0)</f>
        <v>0</v>
      </c>
      <c r="AP362" s="71">
        <f>IF(AND($AK362=1,ISNUMBER($L362)),IF(AND($L362&gt;=ReportDate,$L362&lt;=ReportDate+DueSoonDays),1,0),0)</f>
        <v>0</v>
      </c>
      <c r="AQ362" s="71">
        <f>IF(AND($AK362=1,OR($I362="Critical",$I362="High")),1,0)</f>
        <v>0</v>
      </c>
      <c r="AR362" s="71">
        <f>IF($AK362=1,IF(ISNUMBER($Y362),IF(ReportDate-$Y362&gt;StaleDays,1,0),1),0)</f>
        <v>0</v>
      </c>
      <c r="AS362" s="71">
        <f>IF(AND($G362&lt;&gt;"",ISNUMBER($Q362),ISNUMBER($R362)),IF(AND($Q362&lt;$R362,OR($M362="Completed",AND(ISNUMBER($L362),$L362&lt;ReportDate))),1,0),0)</f>
        <v>0</v>
      </c>
      <c r="AT362" s="71">
        <f>IF($AK362=1,IF(OR($L362=ReportDate,$W362=ReportDate,$K362=ReportDate,$A362=ReportDate),1,0),0)</f>
        <v>0</v>
      </c>
      <c r="AU362" s="71">
        <f>IF($AK362=1,IF(OR($L362=ReportDate+1,$W362=ReportDate+1,$K362=ReportDate+1,$A362=ReportDate+1),1,0),0)</f>
        <v>0</v>
      </c>
      <c r="AV362" s="71">
        <f>IF(AND($G362&lt;&gt;"",$M362="Completed"),IF(OR($Y362=ReportDate-1,$A362=ReportDate-1),1,0),0)</f>
        <v>0</v>
      </c>
      <c r="AW362" s="71">
        <f>IF(AND($AK362=1,$Z362="Yes"),1,0)</f>
        <v>0</v>
      </c>
      <c r="AX362" s="71">
        <f>IF(AND($AK362=1,$AA362="Yes"),1,0)</f>
        <v>0</v>
      </c>
      <c r="AY362" s="71">
        <f>IF(AND($AM362=1,OR($I362="Critical",$I362="High")),1,0)</f>
        <v>0</v>
      </c>
      <c r="AZ362" s="71">
        <f>IF(AND($AK362=1,OR($C362=TCL_Client,$C362=MECCA_Client)),1,0)</f>
        <v>0</v>
      </c>
      <c r="BA362" s="71" t="str">
        <f>IF($G362="","",IFERROR(MATCH($I362,lst_Priority,0),5))</f>
        <v/>
      </c>
      <c r="BB362" s="71" t="str">
        <f>IF(AND($AL362=1,$AJ362=1),$BA362*100000+ROW(),"")</f>
        <v/>
      </c>
      <c r="BC362" s="71" t="str">
        <f>IF(AND($AM362=1,$AJ362=1),$BA362*100000+ROW(),"")</f>
        <v/>
      </c>
      <c r="BD362" s="71" t="str">
        <f>IF(AND($AP362=1,$AJ362=1),$BA362*100000+ROW(),"")</f>
        <v/>
      </c>
      <c r="BE362" s="71" t="str">
        <f>IF(AND($AT362=1,$AJ362=1),$BA362*100000+ROW(),"")</f>
        <v/>
      </c>
      <c r="BF362" s="71" t="str">
        <f>IF(AND($AU362=1,$AJ362=1),$BA362*100000+ROW(),"")</f>
        <v/>
      </c>
      <c r="BG362" s="71" t="str">
        <f>IF(AND($AV362=1,$AJ362=1),$BA362*100000+ROW(),"")</f>
        <v/>
      </c>
      <c r="BH362" s="71" t="str">
        <f>IF(AND($AW362=1,$AJ362=1),$BA362*100000+ROW(),"")</f>
        <v/>
      </c>
      <c r="BI362" s="71" t="str">
        <f>IF(AND($AX362=1,$AJ362=1),$BA362*100000+ROW(),"")</f>
        <v/>
      </c>
      <c r="BJ362" s="71" t="str">
        <f>IF(AND($AS362=1,$AJ362=1),$BA362*100000+ROW(),"")</f>
        <v/>
      </c>
      <c r="BK362" s="71" t="str">
        <f>IF(AND($AY362=1,$AJ362=1),$BA362*100000+ROW(),"")</f>
        <v/>
      </c>
      <c r="BL362" s="71" t="str">
        <f>IF(AND($AZ362=1),$BA362*100000+ROW(),"")</f>
        <v/>
      </c>
    </row>
    <row r="363">
      <c r="A363" s="63" t="n"/>
      <c r="B363" s="64" t="n"/>
      <c r="C363" s="64" t="n"/>
      <c r="D363" s="64" t="n"/>
      <c r="E363" s="64" t="n"/>
      <c r="F363" s="64" t="n"/>
      <c r="G363" s="65" t="n"/>
      <c r="H363" s="65" t="n"/>
      <c r="I363" s="64" t="n"/>
      <c r="J363" s="64" t="n"/>
      <c r="K363" s="63" t="n"/>
      <c r="L363" s="63" t="n"/>
      <c r="M363" s="64" t="n"/>
      <c r="N363" s="66" t="n"/>
      <c r="O363" s="65" t="n"/>
      <c r="P363" s="64" t="n"/>
      <c r="Q363" s="67" t="n"/>
      <c r="R363" s="67" t="n"/>
      <c r="S363" s="68" t="str">
        <f>IF(AND(ISNUMBER($Q363),ISNUMBER($R363)),$Q363-$R363,"")</f>
        <v/>
      </c>
      <c r="T363" s="65" t="n"/>
      <c r="U363" s="64" t="n"/>
      <c r="V363" s="65" t="n"/>
      <c r="W363" s="63" t="n"/>
      <c r="X363" s="65" t="n"/>
      <c r="Y363" s="63" t="n"/>
      <c r="Z363" s="64" t="n"/>
      <c r="AA363" s="64" t="n"/>
      <c r="AB363" s="65" t="n"/>
      <c r="AC363" s="69" t="str">
        <f>IF(OR($G363="",NOT(ISNUMBER($K363)),$AK363=0),"",MAX(0,ReportDate-$K363))</f>
        <v/>
      </c>
      <c r="AD363" s="69" t="str">
        <f>IF($G363="","",IF($AL363=1,ReportDate-$L363,0))</f>
        <v/>
      </c>
      <c r="AE363" s="70" t="str">
        <f>IF($G363="","",IF($M363="Completed",1,IF(ISNUMBER($N363),$N363,0)))</f>
        <v/>
      </c>
      <c r="AF363" s="70" t="str">
        <f>IF(AND(ISNUMBER($Q363),ISNUMBER($R363)),IF($R363&lt;&gt;0,$Q363/$R363,""),"")</f>
        <v/>
      </c>
      <c r="AG363" s="71" t="str">
        <f>IF($G363="","",IF($AL363=1,"OVERDUE",IF($AM363=1,"BLOCKED",IF($AN363=1,"DUE TODAY",IF($AO363=1,"DUE TOMORROW",IF($AQ363=1,"HIGH PRIORITY",IF($AR363=1,"NO RECENT UPDATE",""))))))) </f>
        <v/>
      </c>
      <c r="AH363" s="71" t="str">
        <f>IF($G363="","",IF(ISNUMBER($A363),IF(ISNUMBER($A363),YEAR($A363)&amp;"-"&amp;TEXT(MONTH($A363),"00"),""),IF(ISNUMBER($L363),IF(ISNUMBER($L363),YEAR($L363)&amp;"-"&amp;TEXT(MONTH($L363),"00"),""),"")))</f>
        <v/>
      </c>
      <c r="AI363" s="71">
        <f>IF($G363="",0,IF(AND(OR(fClient="All",$C363=fClient),OR(fCampaign="All",$D363=fCampaign),OR(fTeam="All",$B363=fTeam),OR(fChannel="All",$F363=fChannel),OR(fMonth="All",$AH363=fMonth),OR(fTStatus="All",$M363=fTStatus)),1,0))</f>
        <v>0</v>
      </c>
      <c r="AJ363" s="71">
        <f>IF($G363="",0,IF(AND(OR(fClient="All",$C363=fClient),OR(fCampaign="All",$D363=fCampaign),OR(fTeam="All",$B363=fTeam),OR(fChannel="All",$F363=fChannel)),1,0))</f>
        <v>0</v>
      </c>
      <c r="AK363" s="71">
        <f>IF($G363="",0,IF(OR($M363="Completed",$M363="Cancelled"),0,1))</f>
        <v>0</v>
      </c>
      <c r="AL363" s="71">
        <f>IF(AND($AK363=1,ISNUMBER($L363)),IF($L363&lt;ReportDate,1,0),0)</f>
        <v>0</v>
      </c>
      <c r="AM363" s="71">
        <f>IF(AND($G363&lt;&gt;"",$M363="Blocked"),1,0)</f>
        <v>0</v>
      </c>
      <c r="AN363" s="71">
        <f>IF(AND($AK363=1,ISNUMBER($L363)),IF($L363=ReportDate,1,0),0)</f>
        <v>0</v>
      </c>
      <c r="AO363" s="71">
        <f>IF(AND($AK363=1,ISNUMBER($L363)),IF($L363=ReportDate+1,1,0),0)</f>
        <v>0</v>
      </c>
      <c r="AP363" s="71">
        <f>IF(AND($AK363=1,ISNUMBER($L363)),IF(AND($L363&gt;=ReportDate,$L363&lt;=ReportDate+DueSoonDays),1,0),0)</f>
        <v>0</v>
      </c>
      <c r="AQ363" s="71">
        <f>IF(AND($AK363=1,OR($I363="Critical",$I363="High")),1,0)</f>
        <v>0</v>
      </c>
      <c r="AR363" s="71">
        <f>IF($AK363=1,IF(ISNUMBER($Y363),IF(ReportDate-$Y363&gt;StaleDays,1,0),1),0)</f>
        <v>0</v>
      </c>
      <c r="AS363" s="71">
        <f>IF(AND($G363&lt;&gt;"",ISNUMBER($Q363),ISNUMBER($R363)),IF(AND($Q363&lt;$R363,OR($M363="Completed",AND(ISNUMBER($L363),$L363&lt;ReportDate))),1,0),0)</f>
        <v>0</v>
      </c>
      <c r="AT363" s="71">
        <f>IF($AK363=1,IF(OR($L363=ReportDate,$W363=ReportDate,$K363=ReportDate,$A363=ReportDate),1,0),0)</f>
        <v>0</v>
      </c>
      <c r="AU363" s="71">
        <f>IF($AK363=1,IF(OR($L363=ReportDate+1,$W363=ReportDate+1,$K363=ReportDate+1,$A363=ReportDate+1),1,0),0)</f>
        <v>0</v>
      </c>
      <c r="AV363" s="71">
        <f>IF(AND($G363&lt;&gt;"",$M363="Completed"),IF(OR($Y363=ReportDate-1,$A363=ReportDate-1),1,0),0)</f>
        <v>0</v>
      </c>
      <c r="AW363" s="71">
        <f>IF(AND($AK363=1,$Z363="Yes"),1,0)</f>
        <v>0</v>
      </c>
      <c r="AX363" s="71">
        <f>IF(AND($AK363=1,$AA363="Yes"),1,0)</f>
        <v>0</v>
      </c>
      <c r="AY363" s="71">
        <f>IF(AND($AM363=1,OR($I363="Critical",$I363="High")),1,0)</f>
        <v>0</v>
      </c>
      <c r="AZ363" s="71">
        <f>IF(AND($AK363=1,OR($C363=TCL_Client,$C363=MECCA_Client)),1,0)</f>
        <v>0</v>
      </c>
      <c r="BA363" s="71" t="str">
        <f>IF($G363="","",IFERROR(MATCH($I363,lst_Priority,0),5))</f>
        <v/>
      </c>
      <c r="BB363" s="71" t="str">
        <f>IF(AND($AL363=1,$AJ363=1),$BA363*100000+ROW(),"")</f>
        <v/>
      </c>
      <c r="BC363" s="71" t="str">
        <f>IF(AND($AM363=1,$AJ363=1),$BA363*100000+ROW(),"")</f>
        <v/>
      </c>
      <c r="BD363" s="71" t="str">
        <f>IF(AND($AP363=1,$AJ363=1),$BA363*100000+ROW(),"")</f>
        <v/>
      </c>
      <c r="BE363" s="71" t="str">
        <f>IF(AND($AT363=1,$AJ363=1),$BA363*100000+ROW(),"")</f>
        <v/>
      </c>
      <c r="BF363" s="71" t="str">
        <f>IF(AND($AU363=1,$AJ363=1),$BA363*100000+ROW(),"")</f>
        <v/>
      </c>
      <c r="BG363" s="71" t="str">
        <f>IF(AND($AV363=1,$AJ363=1),$BA363*100000+ROW(),"")</f>
        <v/>
      </c>
      <c r="BH363" s="71" t="str">
        <f>IF(AND($AW363=1,$AJ363=1),$BA363*100000+ROW(),"")</f>
        <v/>
      </c>
      <c r="BI363" s="71" t="str">
        <f>IF(AND($AX363=1,$AJ363=1),$BA363*100000+ROW(),"")</f>
        <v/>
      </c>
      <c r="BJ363" s="71" t="str">
        <f>IF(AND($AS363=1,$AJ363=1),$BA363*100000+ROW(),"")</f>
        <v/>
      </c>
      <c r="BK363" s="71" t="str">
        <f>IF(AND($AY363=1,$AJ363=1),$BA363*100000+ROW(),"")</f>
        <v/>
      </c>
      <c r="BL363" s="71" t="str">
        <f>IF(AND($AZ363=1),$BA363*100000+ROW(),"")</f>
        <v/>
      </c>
    </row>
    <row r="364">
      <c r="A364" s="63" t="n"/>
      <c r="B364" s="64" t="n"/>
      <c r="C364" s="64" t="n"/>
      <c r="D364" s="64" t="n"/>
      <c r="E364" s="64" t="n"/>
      <c r="F364" s="64" t="n"/>
      <c r="G364" s="65" t="n"/>
      <c r="H364" s="65" t="n"/>
      <c r="I364" s="64" t="n"/>
      <c r="J364" s="64" t="n"/>
      <c r="K364" s="63" t="n"/>
      <c r="L364" s="63" t="n"/>
      <c r="M364" s="64" t="n"/>
      <c r="N364" s="66" t="n"/>
      <c r="O364" s="65" t="n"/>
      <c r="P364" s="64" t="n"/>
      <c r="Q364" s="67" t="n"/>
      <c r="R364" s="67" t="n"/>
      <c r="S364" s="68" t="str">
        <f>IF(AND(ISNUMBER($Q364),ISNUMBER($R364)),$Q364-$R364,"")</f>
        <v/>
      </c>
      <c r="T364" s="65" t="n"/>
      <c r="U364" s="64" t="n"/>
      <c r="V364" s="65" t="n"/>
      <c r="W364" s="63" t="n"/>
      <c r="X364" s="65" t="n"/>
      <c r="Y364" s="63" t="n"/>
      <c r="Z364" s="64" t="n"/>
      <c r="AA364" s="64" t="n"/>
      <c r="AB364" s="65" t="n"/>
      <c r="AC364" s="69" t="str">
        <f>IF(OR($G364="",NOT(ISNUMBER($K364)),$AK364=0),"",MAX(0,ReportDate-$K364))</f>
        <v/>
      </c>
      <c r="AD364" s="69" t="str">
        <f>IF($G364="","",IF($AL364=1,ReportDate-$L364,0))</f>
        <v/>
      </c>
      <c r="AE364" s="70" t="str">
        <f>IF($G364="","",IF($M364="Completed",1,IF(ISNUMBER($N364),$N364,0)))</f>
        <v/>
      </c>
      <c r="AF364" s="70" t="str">
        <f>IF(AND(ISNUMBER($Q364),ISNUMBER($R364)),IF($R364&lt;&gt;0,$Q364/$R364,""),"")</f>
        <v/>
      </c>
      <c r="AG364" s="71" t="str">
        <f>IF($G364="","",IF($AL364=1,"OVERDUE",IF($AM364=1,"BLOCKED",IF($AN364=1,"DUE TODAY",IF($AO364=1,"DUE TOMORROW",IF($AQ364=1,"HIGH PRIORITY",IF($AR364=1,"NO RECENT UPDATE",""))))))) </f>
        <v/>
      </c>
      <c r="AH364" s="71" t="str">
        <f>IF($G364="","",IF(ISNUMBER($A364),IF(ISNUMBER($A364),YEAR($A364)&amp;"-"&amp;TEXT(MONTH($A364),"00"),""),IF(ISNUMBER($L364),IF(ISNUMBER($L364),YEAR($L364)&amp;"-"&amp;TEXT(MONTH($L364),"00"),""),"")))</f>
        <v/>
      </c>
      <c r="AI364" s="71">
        <f>IF($G364="",0,IF(AND(OR(fClient="All",$C364=fClient),OR(fCampaign="All",$D364=fCampaign),OR(fTeam="All",$B364=fTeam),OR(fChannel="All",$F364=fChannel),OR(fMonth="All",$AH364=fMonth),OR(fTStatus="All",$M364=fTStatus)),1,0))</f>
        <v>0</v>
      </c>
      <c r="AJ364" s="71">
        <f>IF($G364="",0,IF(AND(OR(fClient="All",$C364=fClient),OR(fCampaign="All",$D364=fCampaign),OR(fTeam="All",$B364=fTeam),OR(fChannel="All",$F364=fChannel)),1,0))</f>
        <v>0</v>
      </c>
      <c r="AK364" s="71">
        <f>IF($G364="",0,IF(OR($M364="Completed",$M364="Cancelled"),0,1))</f>
        <v>0</v>
      </c>
      <c r="AL364" s="71">
        <f>IF(AND($AK364=1,ISNUMBER($L364)),IF($L364&lt;ReportDate,1,0),0)</f>
        <v>0</v>
      </c>
      <c r="AM364" s="71">
        <f>IF(AND($G364&lt;&gt;"",$M364="Blocked"),1,0)</f>
        <v>0</v>
      </c>
      <c r="AN364" s="71">
        <f>IF(AND($AK364=1,ISNUMBER($L364)),IF($L364=ReportDate,1,0),0)</f>
        <v>0</v>
      </c>
      <c r="AO364" s="71">
        <f>IF(AND($AK364=1,ISNUMBER($L364)),IF($L364=ReportDate+1,1,0),0)</f>
        <v>0</v>
      </c>
      <c r="AP364" s="71">
        <f>IF(AND($AK364=1,ISNUMBER($L364)),IF(AND($L364&gt;=ReportDate,$L364&lt;=ReportDate+DueSoonDays),1,0),0)</f>
        <v>0</v>
      </c>
      <c r="AQ364" s="71">
        <f>IF(AND($AK364=1,OR($I364="Critical",$I364="High")),1,0)</f>
        <v>0</v>
      </c>
      <c r="AR364" s="71">
        <f>IF($AK364=1,IF(ISNUMBER($Y364),IF(ReportDate-$Y364&gt;StaleDays,1,0),1),0)</f>
        <v>0</v>
      </c>
      <c r="AS364" s="71">
        <f>IF(AND($G364&lt;&gt;"",ISNUMBER($Q364),ISNUMBER($R364)),IF(AND($Q364&lt;$R364,OR($M364="Completed",AND(ISNUMBER($L364),$L364&lt;ReportDate))),1,0),0)</f>
        <v>0</v>
      </c>
      <c r="AT364" s="71">
        <f>IF($AK364=1,IF(OR($L364=ReportDate,$W364=ReportDate,$K364=ReportDate,$A364=ReportDate),1,0),0)</f>
        <v>0</v>
      </c>
      <c r="AU364" s="71">
        <f>IF($AK364=1,IF(OR($L364=ReportDate+1,$W364=ReportDate+1,$K364=ReportDate+1,$A364=ReportDate+1),1,0),0)</f>
        <v>0</v>
      </c>
      <c r="AV364" s="71">
        <f>IF(AND($G364&lt;&gt;"",$M364="Completed"),IF(OR($Y364=ReportDate-1,$A364=ReportDate-1),1,0),0)</f>
        <v>0</v>
      </c>
      <c r="AW364" s="71">
        <f>IF(AND($AK364=1,$Z364="Yes"),1,0)</f>
        <v>0</v>
      </c>
      <c r="AX364" s="71">
        <f>IF(AND($AK364=1,$AA364="Yes"),1,0)</f>
        <v>0</v>
      </c>
      <c r="AY364" s="71">
        <f>IF(AND($AM364=1,OR($I364="Critical",$I364="High")),1,0)</f>
        <v>0</v>
      </c>
      <c r="AZ364" s="71">
        <f>IF(AND($AK364=1,OR($C364=TCL_Client,$C364=MECCA_Client)),1,0)</f>
        <v>0</v>
      </c>
      <c r="BA364" s="71" t="str">
        <f>IF($G364="","",IFERROR(MATCH($I364,lst_Priority,0),5))</f>
        <v/>
      </c>
      <c r="BB364" s="71" t="str">
        <f>IF(AND($AL364=1,$AJ364=1),$BA364*100000+ROW(),"")</f>
        <v/>
      </c>
      <c r="BC364" s="71" t="str">
        <f>IF(AND($AM364=1,$AJ364=1),$BA364*100000+ROW(),"")</f>
        <v/>
      </c>
      <c r="BD364" s="71" t="str">
        <f>IF(AND($AP364=1,$AJ364=1),$BA364*100000+ROW(),"")</f>
        <v/>
      </c>
      <c r="BE364" s="71" t="str">
        <f>IF(AND($AT364=1,$AJ364=1),$BA364*100000+ROW(),"")</f>
        <v/>
      </c>
      <c r="BF364" s="71" t="str">
        <f>IF(AND($AU364=1,$AJ364=1),$BA364*100000+ROW(),"")</f>
        <v/>
      </c>
      <c r="BG364" s="71" t="str">
        <f>IF(AND($AV364=1,$AJ364=1),$BA364*100000+ROW(),"")</f>
        <v/>
      </c>
      <c r="BH364" s="71" t="str">
        <f>IF(AND($AW364=1,$AJ364=1),$BA364*100000+ROW(),"")</f>
        <v/>
      </c>
      <c r="BI364" s="71" t="str">
        <f>IF(AND($AX364=1,$AJ364=1),$BA364*100000+ROW(),"")</f>
        <v/>
      </c>
      <c r="BJ364" s="71" t="str">
        <f>IF(AND($AS364=1,$AJ364=1),$BA364*100000+ROW(),"")</f>
        <v/>
      </c>
      <c r="BK364" s="71" t="str">
        <f>IF(AND($AY364=1,$AJ364=1),$BA364*100000+ROW(),"")</f>
        <v/>
      </c>
      <c r="BL364" s="71" t="str">
        <f>IF(AND($AZ364=1),$BA364*100000+ROW(),"")</f>
        <v/>
      </c>
    </row>
    <row r="365">
      <c r="A365" s="63" t="n"/>
      <c r="B365" s="64" t="n"/>
      <c r="C365" s="64" t="n"/>
      <c r="D365" s="64" t="n"/>
      <c r="E365" s="64" t="n"/>
      <c r="F365" s="64" t="n"/>
      <c r="G365" s="65" t="n"/>
      <c r="H365" s="65" t="n"/>
      <c r="I365" s="64" t="n"/>
      <c r="J365" s="64" t="n"/>
      <c r="K365" s="63" t="n"/>
      <c r="L365" s="63" t="n"/>
      <c r="M365" s="64" t="n"/>
      <c r="N365" s="66" t="n"/>
      <c r="O365" s="65" t="n"/>
      <c r="P365" s="64" t="n"/>
      <c r="Q365" s="67" t="n"/>
      <c r="R365" s="67" t="n"/>
      <c r="S365" s="68" t="str">
        <f>IF(AND(ISNUMBER($Q365),ISNUMBER($R365)),$Q365-$R365,"")</f>
        <v/>
      </c>
      <c r="T365" s="65" t="n"/>
      <c r="U365" s="64" t="n"/>
      <c r="V365" s="65" t="n"/>
      <c r="W365" s="63" t="n"/>
      <c r="X365" s="65" t="n"/>
      <c r="Y365" s="63" t="n"/>
      <c r="Z365" s="64" t="n"/>
      <c r="AA365" s="64" t="n"/>
      <c r="AB365" s="65" t="n"/>
      <c r="AC365" s="69" t="str">
        <f>IF(OR($G365="",NOT(ISNUMBER($K365)),$AK365=0),"",MAX(0,ReportDate-$K365))</f>
        <v/>
      </c>
      <c r="AD365" s="69" t="str">
        <f>IF($G365="","",IF($AL365=1,ReportDate-$L365,0))</f>
        <v/>
      </c>
      <c r="AE365" s="70" t="str">
        <f>IF($G365="","",IF($M365="Completed",1,IF(ISNUMBER($N365),$N365,0)))</f>
        <v/>
      </c>
      <c r="AF365" s="70" t="str">
        <f>IF(AND(ISNUMBER($Q365),ISNUMBER($R365)),IF($R365&lt;&gt;0,$Q365/$R365,""),"")</f>
        <v/>
      </c>
      <c r="AG365" s="71" t="str">
        <f>IF($G365="","",IF($AL365=1,"OVERDUE",IF($AM365=1,"BLOCKED",IF($AN365=1,"DUE TODAY",IF($AO365=1,"DUE TOMORROW",IF($AQ365=1,"HIGH PRIORITY",IF($AR365=1,"NO RECENT UPDATE",""))))))) </f>
        <v/>
      </c>
      <c r="AH365" s="71" t="str">
        <f>IF($G365="","",IF(ISNUMBER($A365),IF(ISNUMBER($A365),YEAR($A365)&amp;"-"&amp;TEXT(MONTH($A365),"00"),""),IF(ISNUMBER($L365),IF(ISNUMBER($L365),YEAR($L365)&amp;"-"&amp;TEXT(MONTH($L365),"00"),""),"")))</f>
        <v/>
      </c>
      <c r="AI365" s="71">
        <f>IF($G365="",0,IF(AND(OR(fClient="All",$C365=fClient),OR(fCampaign="All",$D365=fCampaign),OR(fTeam="All",$B365=fTeam),OR(fChannel="All",$F365=fChannel),OR(fMonth="All",$AH365=fMonth),OR(fTStatus="All",$M365=fTStatus)),1,0))</f>
        <v>0</v>
      </c>
      <c r="AJ365" s="71">
        <f>IF($G365="",0,IF(AND(OR(fClient="All",$C365=fClient),OR(fCampaign="All",$D365=fCampaign),OR(fTeam="All",$B365=fTeam),OR(fChannel="All",$F365=fChannel)),1,0))</f>
        <v>0</v>
      </c>
      <c r="AK365" s="71">
        <f>IF($G365="",0,IF(OR($M365="Completed",$M365="Cancelled"),0,1))</f>
        <v>0</v>
      </c>
      <c r="AL365" s="71">
        <f>IF(AND($AK365=1,ISNUMBER($L365)),IF($L365&lt;ReportDate,1,0),0)</f>
        <v>0</v>
      </c>
      <c r="AM365" s="71">
        <f>IF(AND($G365&lt;&gt;"",$M365="Blocked"),1,0)</f>
        <v>0</v>
      </c>
      <c r="AN365" s="71">
        <f>IF(AND($AK365=1,ISNUMBER($L365)),IF($L365=ReportDate,1,0),0)</f>
        <v>0</v>
      </c>
      <c r="AO365" s="71">
        <f>IF(AND($AK365=1,ISNUMBER($L365)),IF($L365=ReportDate+1,1,0),0)</f>
        <v>0</v>
      </c>
      <c r="AP365" s="71">
        <f>IF(AND($AK365=1,ISNUMBER($L365)),IF(AND($L365&gt;=ReportDate,$L365&lt;=ReportDate+DueSoonDays),1,0),0)</f>
        <v>0</v>
      </c>
      <c r="AQ365" s="71">
        <f>IF(AND($AK365=1,OR($I365="Critical",$I365="High")),1,0)</f>
        <v>0</v>
      </c>
      <c r="AR365" s="71">
        <f>IF($AK365=1,IF(ISNUMBER($Y365),IF(ReportDate-$Y365&gt;StaleDays,1,0),1),0)</f>
        <v>0</v>
      </c>
      <c r="AS365" s="71">
        <f>IF(AND($G365&lt;&gt;"",ISNUMBER($Q365),ISNUMBER($R365)),IF(AND($Q365&lt;$R365,OR($M365="Completed",AND(ISNUMBER($L365),$L365&lt;ReportDate))),1,0),0)</f>
        <v>0</v>
      </c>
      <c r="AT365" s="71">
        <f>IF($AK365=1,IF(OR($L365=ReportDate,$W365=ReportDate,$K365=ReportDate,$A365=ReportDate),1,0),0)</f>
        <v>0</v>
      </c>
      <c r="AU365" s="71">
        <f>IF($AK365=1,IF(OR($L365=ReportDate+1,$W365=ReportDate+1,$K365=ReportDate+1,$A365=ReportDate+1),1,0),0)</f>
        <v>0</v>
      </c>
      <c r="AV365" s="71">
        <f>IF(AND($G365&lt;&gt;"",$M365="Completed"),IF(OR($Y365=ReportDate-1,$A365=ReportDate-1),1,0),0)</f>
        <v>0</v>
      </c>
      <c r="AW365" s="71">
        <f>IF(AND($AK365=1,$Z365="Yes"),1,0)</f>
        <v>0</v>
      </c>
      <c r="AX365" s="71">
        <f>IF(AND($AK365=1,$AA365="Yes"),1,0)</f>
        <v>0</v>
      </c>
      <c r="AY365" s="71">
        <f>IF(AND($AM365=1,OR($I365="Critical",$I365="High")),1,0)</f>
        <v>0</v>
      </c>
      <c r="AZ365" s="71">
        <f>IF(AND($AK365=1,OR($C365=TCL_Client,$C365=MECCA_Client)),1,0)</f>
        <v>0</v>
      </c>
      <c r="BA365" s="71" t="str">
        <f>IF($G365="","",IFERROR(MATCH($I365,lst_Priority,0),5))</f>
        <v/>
      </c>
      <c r="BB365" s="71" t="str">
        <f>IF(AND($AL365=1,$AJ365=1),$BA365*100000+ROW(),"")</f>
        <v/>
      </c>
      <c r="BC365" s="71" t="str">
        <f>IF(AND($AM365=1,$AJ365=1),$BA365*100000+ROW(),"")</f>
        <v/>
      </c>
      <c r="BD365" s="71" t="str">
        <f>IF(AND($AP365=1,$AJ365=1),$BA365*100000+ROW(),"")</f>
        <v/>
      </c>
      <c r="BE365" s="71" t="str">
        <f>IF(AND($AT365=1,$AJ365=1),$BA365*100000+ROW(),"")</f>
        <v/>
      </c>
      <c r="BF365" s="71" t="str">
        <f>IF(AND($AU365=1,$AJ365=1),$BA365*100000+ROW(),"")</f>
        <v/>
      </c>
      <c r="BG365" s="71" t="str">
        <f>IF(AND($AV365=1,$AJ365=1),$BA365*100000+ROW(),"")</f>
        <v/>
      </c>
      <c r="BH365" s="71" t="str">
        <f>IF(AND($AW365=1,$AJ365=1),$BA365*100000+ROW(),"")</f>
        <v/>
      </c>
      <c r="BI365" s="71" t="str">
        <f>IF(AND($AX365=1,$AJ365=1),$BA365*100000+ROW(),"")</f>
        <v/>
      </c>
      <c r="BJ365" s="71" t="str">
        <f>IF(AND($AS365=1,$AJ365=1),$BA365*100000+ROW(),"")</f>
        <v/>
      </c>
      <c r="BK365" s="71" t="str">
        <f>IF(AND($AY365=1,$AJ365=1),$BA365*100000+ROW(),"")</f>
        <v/>
      </c>
      <c r="BL365" s="71" t="str">
        <f>IF(AND($AZ365=1),$BA365*100000+ROW(),"")</f>
        <v/>
      </c>
    </row>
    <row r="366">
      <c r="A366" s="63" t="n"/>
      <c r="B366" s="64" t="n"/>
      <c r="C366" s="64" t="n"/>
      <c r="D366" s="64" t="n"/>
      <c r="E366" s="64" t="n"/>
      <c r="F366" s="64" t="n"/>
      <c r="G366" s="65" t="n"/>
      <c r="H366" s="65" t="n"/>
      <c r="I366" s="64" t="n"/>
      <c r="J366" s="64" t="n"/>
      <c r="K366" s="63" t="n"/>
      <c r="L366" s="63" t="n"/>
      <c r="M366" s="64" t="n"/>
      <c r="N366" s="66" t="n"/>
      <c r="O366" s="65" t="n"/>
      <c r="P366" s="64" t="n"/>
      <c r="Q366" s="67" t="n"/>
      <c r="R366" s="67" t="n"/>
      <c r="S366" s="68" t="str">
        <f>IF(AND(ISNUMBER($Q366),ISNUMBER($R366)),$Q366-$R366,"")</f>
        <v/>
      </c>
      <c r="T366" s="65" t="n"/>
      <c r="U366" s="64" t="n"/>
      <c r="V366" s="65" t="n"/>
      <c r="W366" s="63" t="n"/>
      <c r="X366" s="65" t="n"/>
      <c r="Y366" s="63" t="n"/>
      <c r="Z366" s="64" t="n"/>
      <c r="AA366" s="64" t="n"/>
      <c r="AB366" s="65" t="n"/>
      <c r="AC366" s="69" t="str">
        <f>IF(OR($G366="",NOT(ISNUMBER($K366)),$AK366=0),"",MAX(0,ReportDate-$K366))</f>
        <v/>
      </c>
      <c r="AD366" s="69" t="str">
        <f>IF($G366="","",IF($AL366=1,ReportDate-$L366,0))</f>
        <v/>
      </c>
      <c r="AE366" s="70" t="str">
        <f>IF($G366="","",IF($M366="Completed",1,IF(ISNUMBER($N366),$N366,0)))</f>
        <v/>
      </c>
      <c r="AF366" s="70" t="str">
        <f>IF(AND(ISNUMBER($Q366),ISNUMBER($R366)),IF($R366&lt;&gt;0,$Q366/$R366,""),"")</f>
        <v/>
      </c>
      <c r="AG366" s="71" t="str">
        <f>IF($G366="","",IF($AL366=1,"OVERDUE",IF($AM366=1,"BLOCKED",IF($AN366=1,"DUE TODAY",IF($AO366=1,"DUE TOMORROW",IF($AQ366=1,"HIGH PRIORITY",IF($AR366=1,"NO RECENT UPDATE",""))))))) </f>
        <v/>
      </c>
      <c r="AH366" s="71" t="str">
        <f>IF($G366="","",IF(ISNUMBER($A366),IF(ISNUMBER($A366),YEAR($A366)&amp;"-"&amp;TEXT(MONTH($A366),"00"),""),IF(ISNUMBER($L366),IF(ISNUMBER($L366),YEAR($L366)&amp;"-"&amp;TEXT(MONTH($L366),"00"),""),"")))</f>
        <v/>
      </c>
      <c r="AI366" s="71">
        <f>IF($G366="",0,IF(AND(OR(fClient="All",$C366=fClient),OR(fCampaign="All",$D366=fCampaign),OR(fTeam="All",$B366=fTeam),OR(fChannel="All",$F366=fChannel),OR(fMonth="All",$AH366=fMonth),OR(fTStatus="All",$M366=fTStatus)),1,0))</f>
        <v>0</v>
      </c>
      <c r="AJ366" s="71">
        <f>IF($G366="",0,IF(AND(OR(fClient="All",$C366=fClient),OR(fCampaign="All",$D366=fCampaign),OR(fTeam="All",$B366=fTeam),OR(fChannel="All",$F366=fChannel)),1,0))</f>
        <v>0</v>
      </c>
      <c r="AK366" s="71">
        <f>IF($G366="",0,IF(OR($M366="Completed",$M366="Cancelled"),0,1))</f>
        <v>0</v>
      </c>
      <c r="AL366" s="71">
        <f>IF(AND($AK366=1,ISNUMBER($L366)),IF($L366&lt;ReportDate,1,0),0)</f>
        <v>0</v>
      </c>
      <c r="AM366" s="71">
        <f>IF(AND($G366&lt;&gt;"",$M366="Blocked"),1,0)</f>
        <v>0</v>
      </c>
      <c r="AN366" s="71">
        <f>IF(AND($AK366=1,ISNUMBER($L366)),IF($L366=ReportDate,1,0),0)</f>
        <v>0</v>
      </c>
      <c r="AO366" s="71">
        <f>IF(AND($AK366=1,ISNUMBER($L366)),IF($L366=ReportDate+1,1,0),0)</f>
        <v>0</v>
      </c>
      <c r="AP366" s="71">
        <f>IF(AND($AK366=1,ISNUMBER($L366)),IF(AND($L366&gt;=ReportDate,$L366&lt;=ReportDate+DueSoonDays),1,0),0)</f>
        <v>0</v>
      </c>
      <c r="AQ366" s="71">
        <f>IF(AND($AK366=1,OR($I366="Critical",$I366="High")),1,0)</f>
        <v>0</v>
      </c>
      <c r="AR366" s="71">
        <f>IF($AK366=1,IF(ISNUMBER($Y366),IF(ReportDate-$Y366&gt;StaleDays,1,0),1),0)</f>
        <v>0</v>
      </c>
      <c r="AS366" s="71">
        <f>IF(AND($G366&lt;&gt;"",ISNUMBER($Q366),ISNUMBER($R366)),IF(AND($Q366&lt;$R366,OR($M366="Completed",AND(ISNUMBER($L366),$L366&lt;ReportDate))),1,0),0)</f>
        <v>0</v>
      </c>
      <c r="AT366" s="71">
        <f>IF($AK366=1,IF(OR($L366=ReportDate,$W366=ReportDate,$K366=ReportDate,$A366=ReportDate),1,0),0)</f>
        <v>0</v>
      </c>
      <c r="AU366" s="71">
        <f>IF($AK366=1,IF(OR($L366=ReportDate+1,$W366=ReportDate+1,$K366=ReportDate+1,$A366=ReportDate+1),1,0),0)</f>
        <v>0</v>
      </c>
      <c r="AV366" s="71">
        <f>IF(AND($G366&lt;&gt;"",$M366="Completed"),IF(OR($Y366=ReportDate-1,$A366=ReportDate-1),1,0),0)</f>
        <v>0</v>
      </c>
      <c r="AW366" s="71">
        <f>IF(AND($AK366=1,$Z366="Yes"),1,0)</f>
        <v>0</v>
      </c>
      <c r="AX366" s="71">
        <f>IF(AND($AK366=1,$AA366="Yes"),1,0)</f>
        <v>0</v>
      </c>
      <c r="AY366" s="71">
        <f>IF(AND($AM366=1,OR($I366="Critical",$I366="High")),1,0)</f>
        <v>0</v>
      </c>
      <c r="AZ366" s="71">
        <f>IF(AND($AK366=1,OR($C366=TCL_Client,$C366=MECCA_Client)),1,0)</f>
        <v>0</v>
      </c>
      <c r="BA366" s="71" t="str">
        <f>IF($G366="","",IFERROR(MATCH($I366,lst_Priority,0),5))</f>
        <v/>
      </c>
      <c r="BB366" s="71" t="str">
        <f>IF(AND($AL366=1,$AJ366=1),$BA366*100000+ROW(),"")</f>
        <v/>
      </c>
      <c r="BC366" s="71" t="str">
        <f>IF(AND($AM366=1,$AJ366=1),$BA366*100000+ROW(),"")</f>
        <v/>
      </c>
      <c r="BD366" s="71" t="str">
        <f>IF(AND($AP366=1,$AJ366=1),$BA366*100000+ROW(),"")</f>
        <v/>
      </c>
      <c r="BE366" s="71" t="str">
        <f>IF(AND($AT366=1,$AJ366=1),$BA366*100000+ROW(),"")</f>
        <v/>
      </c>
      <c r="BF366" s="71" t="str">
        <f>IF(AND($AU366=1,$AJ366=1),$BA366*100000+ROW(),"")</f>
        <v/>
      </c>
      <c r="BG366" s="71" t="str">
        <f>IF(AND($AV366=1,$AJ366=1),$BA366*100000+ROW(),"")</f>
        <v/>
      </c>
      <c r="BH366" s="71" t="str">
        <f>IF(AND($AW366=1,$AJ366=1),$BA366*100000+ROW(),"")</f>
        <v/>
      </c>
      <c r="BI366" s="71" t="str">
        <f>IF(AND($AX366=1,$AJ366=1),$BA366*100000+ROW(),"")</f>
        <v/>
      </c>
      <c r="BJ366" s="71" t="str">
        <f>IF(AND($AS366=1,$AJ366=1),$BA366*100000+ROW(),"")</f>
        <v/>
      </c>
      <c r="BK366" s="71" t="str">
        <f>IF(AND($AY366=1,$AJ366=1),$BA366*100000+ROW(),"")</f>
        <v/>
      </c>
      <c r="BL366" s="71" t="str">
        <f>IF(AND($AZ366=1),$BA366*100000+ROW(),"")</f>
        <v/>
      </c>
    </row>
    <row r="367">
      <c r="A367" s="63" t="n"/>
      <c r="B367" s="64" t="n"/>
      <c r="C367" s="64" t="n"/>
      <c r="D367" s="64" t="n"/>
      <c r="E367" s="64" t="n"/>
      <c r="F367" s="64" t="n"/>
      <c r="G367" s="65" t="n"/>
      <c r="H367" s="65" t="n"/>
      <c r="I367" s="64" t="n"/>
      <c r="J367" s="64" t="n"/>
      <c r="K367" s="63" t="n"/>
      <c r="L367" s="63" t="n"/>
      <c r="M367" s="64" t="n"/>
      <c r="N367" s="66" t="n"/>
      <c r="O367" s="65" t="n"/>
      <c r="P367" s="64" t="n"/>
      <c r="Q367" s="67" t="n"/>
      <c r="R367" s="67" t="n"/>
      <c r="S367" s="68" t="str">
        <f>IF(AND(ISNUMBER($Q367),ISNUMBER($R367)),$Q367-$R367,"")</f>
        <v/>
      </c>
      <c r="T367" s="65" t="n"/>
      <c r="U367" s="64" t="n"/>
      <c r="V367" s="65" t="n"/>
      <c r="W367" s="63" t="n"/>
      <c r="X367" s="65" t="n"/>
      <c r="Y367" s="63" t="n"/>
      <c r="Z367" s="64" t="n"/>
      <c r="AA367" s="64" t="n"/>
      <c r="AB367" s="65" t="n"/>
      <c r="AC367" s="69" t="str">
        <f>IF(OR($G367="",NOT(ISNUMBER($K367)),$AK367=0),"",MAX(0,ReportDate-$K367))</f>
        <v/>
      </c>
      <c r="AD367" s="69" t="str">
        <f>IF($G367="","",IF($AL367=1,ReportDate-$L367,0))</f>
        <v/>
      </c>
      <c r="AE367" s="70" t="str">
        <f>IF($G367="","",IF($M367="Completed",1,IF(ISNUMBER($N367),$N367,0)))</f>
        <v/>
      </c>
      <c r="AF367" s="70" t="str">
        <f>IF(AND(ISNUMBER($Q367),ISNUMBER($R367)),IF($R367&lt;&gt;0,$Q367/$R367,""),"")</f>
        <v/>
      </c>
      <c r="AG367" s="71" t="str">
        <f>IF($G367="","",IF($AL367=1,"OVERDUE",IF($AM367=1,"BLOCKED",IF($AN367=1,"DUE TODAY",IF($AO367=1,"DUE TOMORROW",IF($AQ367=1,"HIGH PRIORITY",IF($AR367=1,"NO RECENT UPDATE",""))))))) </f>
        <v/>
      </c>
      <c r="AH367" s="71" t="str">
        <f>IF($G367="","",IF(ISNUMBER($A367),IF(ISNUMBER($A367),YEAR($A367)&amp;"-"&amp;TEXT(MONTH($A367),"00"),""),IF(ISNUMBER($L367),IF(ISNUMBER($L367),YEAR($L367)&amp;"-"&amp;TEXT(MONTH($L367),"00"),""),"")))</f>
        <v/>
      </c>
      <c r="AI367" s="71">
        <f>IF($G367="",0,IF(AND(OR(fClient="All",$C367=fClient),OR(fCampaign="All",$D367=fCampaign),OR(fTeam="All",$B367=fTeam),OR(fChannel="All",$F367=fChannel),OR(fMonth="All",$AH367=fMonth),OR(fTStatus="All",$M367=fTStatus)),1,0))</f>
        <v>0</v>
      </c>
      <c r="AJ367" s="71">
        <f>IF($G367="",0,IF(AND(OR(fClient="All",$C367=fClient),OR(fCampaign="All",$D367=fCampaign),OR(fTeam="All",$B367=fTeam),OR(fChannel="All",$F367=fChannel)),1,0))</f>
        <v>0</v>
      </c>
      <c r="AK367" s="71">
        <f>IF($G367="",0,IF(OR($M367="Completed",$M367="Cancelled"),0,1))</f>
        <v>0</v>
      </c>
      <c r="AL367" s="71">
        <f>IF(AND($AK367=1,ISNUMBER($L367)),IF($L367&lt;ReportDate,1,0),0)</f>
        <v>0</v>
      </c>
      <c r="AM367" s="71">
        <f>IF(AND($G367&lt;&gt;"",$M367="Blocked"),1,0)</f>
        <v>0</v>
      </c>
      <c r="AN367" s="71">
        <f>IF(AND($AK367=1,ISNUMBER($L367)),IF($L367=ReportDate,1,0),0)</f>
        <v>0</v>
      </c>
      <c r="AO367" s="71">
        <f>IF(AND($AK367=1,ISNUMBER($L367)),IF($L367=ReportDate+1,1,0),0)</f>
        <v>0</v>
      </c>
      <c r="AP367" s="71">
        <f>IF(AND($AK367=1,ISNUMBER($L367)),IF(AND($L367&gt;=ReportDate,$L367&lt;=ReportDate+DueSoonDays),1,0),0)</f>
        <v>0</v>
      </c>
      <c r="AQ367" s="71">
        <f>IF(AND($AK367=1,OR($I367="Critical",$I367="High")),1,0)</f>
        <v>0</v>
      </c>
      <c r="AR367" s="71">
        <f>IF($AK367=1,IF(ISNUMBER($Y367),IF(ReportDate-$Y367&gt;StaleDays,1,0),1),0)</f>
        <v>0</v>
      </c>
      <c r="AS367" s="71">
        <f>IF(AND($G367&lt;&gt;"",ISNUMBER($Q367),ISNUMBER($R367)),IF(AND($Q367&lt;$R367,OR($M367="Completed",AND(ISNUMBER($L367),$L367&lt;ReportDate))),1,0),0)</f>
        <v>0</v>
      </c>
      <c r="AT367" s="71">
        <f>IF($AK367=1,IF(OR($L367=ReportDate,$W367=ReportDate,$K367=ReportDate,$A367=ReportDate),1,0),0)</f>
        <v>0</v>
      </c>
      <c r="AU367" s="71">
        <f>IF($AK367=1,IF(OR($L367=ReportDate+1,$W367=ReportDate+1,$K367=ReportDate+1,$A367=ReportDate+1),1,0),0)</f>
        <v>0</v>
      </c>
      <c r="AV367" s="71">
        <f>IF(AND($G367&lt;&gt;"",$M367="Completed"),IF(OR($Y367=ReportDate-1,$A367=ReportDate-1),1,0),0)</f>
        <v>0</v>
      </c>
      <c r="AW367" s="71">
        <f>IF(AND($AK367=1,$Z367="Yes"),1,0)</f>
        <v>0</v>
      </c>
      <c r="AX367" s="71">
        <f>IF(AND($AK367=1,$AA367="Yes"),1,0)</f>
        <v>0</v>
      </c>
      <c r="AY367" s="71">
        <f>IF(AND($AM367=1,OR($I367="Critical",$I367="High")),1,0)</f>
        <v>0</v>
      </c>
      <c r="AZ367" s="71">
        <f>IF(AND($AK367=1,OR($C367=TCL_Client,$C367=MECCA_Client)),1,0)</f>
        <v>0</v>
      </c>
      <c r="BA367" s="71" t="str">
        <f>IF($G367="","",IFERROR(MATCH($I367,lst_Priority,0),5))</f>
        <v/>
      </c>
      <c r="BB367" s="71" t="str">
        <f>IF(AND($AL367=1,$AJ367=1),$BA367*100000+ROW(),"")</f>
        <v/>
      </c>
      <c r="BC367" s="71" t="str">
        <f>IF(AND($AM367=1,$AJ367=1),$BA367*100000+ROW(),"")</f>
        <v/>
      </c>
      <c r="BD367" s="71" t="str">
        <f>IF(AND($AP367=1,$AJ367=1),$BA367*100000+ROW(),"")</f>
        <v/>
      </c>
      <c r="BE367" s="71" t="str">
        <f>IF(AND($AT367=1,$AJ367=1),$BA367*100000+ROW(),"")</f>
        <v/>
      </c>
      <c r="BF367" s="71" t="str">
        <f>IF(AND($AU367=1,$AJ367=1),$BA367*100000+ROW(),"")</f>
        <v/>
      </c>
      <c r="BG367" s="71" t="str">
        <f>IF(AND($AV367=1,$AJ367=1),$BA367*100000+ROW(),"")</f>
        <v/>
      </c>
      <c r="BH367" s="71" t="str">
        <f>IF(AND($AW367=1,$AJ367=1),$BA367*100000+ROW(),"")</f>
        <v/>
      </c>
      <c r="BI367" s="71" t="str">
        <f>IF(AND($AX367=1,$AJ367=1),$BA367*100000+ROW(),"")</f>
        <v/>
      </c>
      <c r="BJ367" s="71" t="str">
        <f>IF(AND($AS367=1,$AJ367=1),$BA367*100000+ROW(),"")</f>
        <v/>
      </c>
      <c r="BK367" s="71" t="str">
        <f>IF(AND($AY367=1,$AJ367=1),$BA367*100000+ROW(),"")</f>
        <v/>
      </c>
      <c r="BL367" s="71" t="str">
        <f>IF(AND($AZ367=1),$BA367*100000+ROW(),"")</f>
        <v/>
      </c>
    </row>
    <row r="368">
      <c r="A368" s="63" t="n"/>
      <c r="B368" s="64" t="n"/>
      <c r="C368" s="64" t="n"/>
      <c r="D368" s="64" t="n"/>
      <c r="E368" s="64" t="n"/>
      <c r="F368" s="64" t="n"/>
      <c r="G368" s="65" t="n"/>
      <c r="H368" s="65" t="n"/>
      <c r="I368" s="64" t="n"/>
      <c r="J368" s="64" t="n"/>
      <c r="K368" s="63" t="n"/>
      <c r="L368" s="63" t="n"/>
      <c r="M368" s="64" t="n"/>
      <c r="N368" s="66" t="n"/>
      <c r="O368" s="65" t="n"/>
      <c r="P368" s="64" t="n"/>
      <c r="Q368" s="67" t="n"/>
      <c r="R368" s="67" t="n"/>
      <c r="S368" s="68" t="str">
        <f>IF(AND(ISNUMBER($Q368),ISNUMBER($R368)),$Q368-$R368,"")</f>
        <v/>
      </c>
      <c r="T368" s="65" t="n"/>
      <c r="U368" s="64" t="n"/>
      <c r="V368" s="65" t="n"/>
      <c r="W368" s="63" t="n"/>
      <c r="X368" s="65" t="n"/>
      <c r="Y368" s="63" t="n"/>
      <c r="Z368" s="64" t="n"/>
      <c r="AA368" s="64" t="n"/>
      <c r="AB368" s="65" t="n"/>
      <c r="AC368" s="69" t="str">
        <f>IF(OR($G368="",NOT(ISNUMBER($K368)),$AK368=0),"",MAX(0,ReportDate-$K368))</f>
        <v/>
      </c>
      <c r="AD368" s="69" t="str">
        <f>IF($G368="","",IF($AL368=1,ReportDate-$L368,0))</f>
        <v/>
      </c>
      <c r="AE368" s="70" t="str">
        <f>IF($G368="","",IF($M368="Completed",1,IF(ISNUMBER($N368),$N368,0)))</f>
        <v/>
      </c>
      <c r="AF368" s="70" t="str">
        <f>IF(AND(ISNUMBER($Q368),ISNUMBER($R368)),IF($R368&lt;&gt;0,$Q368/$R368,""),"")</f>
        <v/>
      </c>
      <c r="AG368" s="71" t="str">
        <f>IF($G368="","",IF($AL368=1,"OVERDUE",IF($AM368=1,"BLOCKED",IF($AN368=1,"DUE TODAY",IF($AO368=1,"DUE TOMORROW",IF($AQ368=1,"HIGH PRIORITY",IF($AR368=1,"NO RECENT UPDATE",""))))))) </f>
        <v/>
      </c>
      <c r="AH368" s="71" t="str">
        <f>IF($G368="","",IF(ISNUMBER($A368),IF(ISNUMBER($A368),YEAR($A368)&amp;"-"&amp;TEXT(MONTH($A368),"00"),""),IF(ISNUMBER($L368),IF(ISNUMBER($L368),YEAR($L368)&amp;"-"&amp;TEXT(MONTH($L368),"00"),""),"")))</f>
        <v/>
      </c>
      <c r="AI368" s="71">
        <f>IF($G368="",0,IF(AND(OR(fClient="All",$C368=fClient),OR(fCampaign="All",$D368=fCampaign),OR(fTeam="All",$B368=fTeam),OR(fChannel="All",$F368=fChannel),OR(fMonth="All",$AH368=fMonth),OR(fTStatus="All",$M368=fTStatus)),1,0))</f>
        <v>0</v>
      </c>
      <c r="AJ368" s="71">
        <f>IF($G368="",0,IF(AND(OR(fClient="All",$C368=fClient),OR(fCampaign="All",$D368=fCampaign),OR(fTeam="All",$B368=fTeam),OR(fChannel="All",$F368=fChannel)),1,0))</f>
        <v>0</v>
      </c>
      <c r="AK368" s="71">
        <f>IF($G368="",0,IF(OR($M368="Completed",$M368="Cancelled"),0,1))</f>
        <v>0</v>
      </c>
      <c r="AL368" s="71">
        <f>IF(AND($AK368=1,ISNUMBER($L368)),IF($L368&lt;ReportDate,1,0),0)</f>
        <v>0</v>
      </c>
      <c r="AM368" s="71">
        <f>IF(AND($G368&lt;&gt;"",$M368="Blocked"),1,0)</f>
        <v>0</v>
      </c>
      <c r="AN368" s="71">
        <f>IF(AND($AK368=1,ISNUMBER($L368)),IF($L368=ReportDate,1,0),0)</f>
        <v>0</v>
      </c>
      <c r="AO368" s="71">
        <f>IF(AND($AK368=1,ISNUMBER($L368)),IF($L368=ReportDate+1,1,0),0)</f>
        <v>0</v>
      </c>
      <c r="AP368" s="71">
        <f>IF(AND($AK368=1,ISNUMBER($L368)),IF(AND($L368&gt;=ReportDate,$L368&lt;=ReportDate+DueSoonDays),1,0),0)</f>
        <v>0</v>
      </c>
      <c r="AQ368" s="71">
        <f>IF(AND($AK368=1,OR($I368="Critical",$I368="High")),1,0)</f>
        <v>0</v>
      </c>
      <c r="AR368" s="71">
        <f>IF($AK368=1,IF(ISNUMBER($Y368),IF(ReportDate-$Y368&gt;StaleDays,1,0),1),0)</f>
        <v>0</v>
      </c>
      <c r="AS368" s="71">
        <f>IF(AND($G368&lt;&gt;"",ISNUMBER($Q368),ISNUMBER($R368)),IF(AND($Q368&lt;$R368,OR($M368="Completed",AND(ISNUMBER($L368),$L368&lt;ReportDate))),1,0),0)</f>
        <v>0</v>
      </c>
      <c r="AT368" s="71">
        <f>IF($AK368=1,IF(OR($L368=ReportDate,$W368=ReportDate,$K368=ReportDate,$A368=ReportDate),1,0),0)</f>
        <v>0</v>
      </c>
      <c r="AU368" s="71">
        <f>IF($AK368=1,IF(OR($L368=ReportDate+1,$W368=ReportDate+1,$K368=ReportDate+1,$A368=ReportDate+1),1,0),0)</f>
        <v>0</v>
      </c>
      <c r="AV368" s="71">
        <f>IF(AND($G368&lt;&gt;"",$M368="Completed"),IF(OR($Y368=ReportDate-1,$A368=ReportDate-1),1,0),0)</f>
        <v>0</v>
      </c>
      <c r="AW368" s="71">
        <f>IF(AND($AK368=1,$Z368="Yes"),1,0)</f>
        <v>0</v>
      </c>
      <c r="AX368" s="71">
        <f>IF(AND($AK368=1,$AA368="Yes"),1,0)</f>
        <v>0</v>
      </c>
      <c r="AY368" s="71">
        <f>IF(AND($AM368=1,OR($I368="Critical",$I368="High")),1,0)</f>
        <v>0</v>
      </c>
      <c r="AZ368" s="71">
        <f>IF(AND($AK368=1,OR($C368=TCL_Client,$C368=MECCA_Client)),1,0)</f>
        <v>0</v>
      </c>
      <c r="BA368" s="71" t="str">
        <f>IF($G368="","",IFERROR(MATCH($I368,lst_Priority,0),5))</f>
        <v/>
      </c>
      <c r="BB368" s="71" t="str">
        <f>IF(AND($AL368=1,$AJ368=1),$BA368*100000+ROW(),"")</f>
        <v/>
      </c>
      <c r="BC368" s="71" t="str">
        <f>IF(AND($AM368=1,$AJ368=1),$BA368*100000+ROW(),"")</f>
        <v/>
      </c>
      <c r="BD368" s="71" t="str">
        <f>IF(AND($AP368=1,$AJ368=1),$BA368*100000+ROW(),"")</f>
        <v/>
      </c>
      <c r="BE368" s="71" t="str">
        <f>IF(AND($AT368=1,$AJ368=1),$BA368*100000+ROW(),"")</f>
        <v/>
      </c>
      <c r="BF368" s="71" t="str">
        <f>IF(AND($AU368=1,$AJ368=1),$BA368*100000+ROW(),"")</f>
        <v/>
      </c>
      <c r="BG368" s="71" t="str">
        <f>IF(AND($AV368=1,$AJ368=1),$BA368*100000+ROW(),"")</f>
        <v/>
      </c>
      <c r="BH368" s="71" t="str">
        <f>IF(AND($AW368=1,$AJ368=1),$BA368*100000+ROW(),"")</f>
        <v/>
      </c>
      <c r="BI368" s="71" t="str">
        <f>IF(AND($AX368=1,$AJ368=1),$BA368*100000+ROW(),"")</f>
        <v/>
      </c>
      <c r="BJ368" s="71" t="str">
        <f>IF(AND($AS368=1,$AJ368=1),$BA368*100000+ROW(),"")</f>
        <v/>
      </c>
      <c r="BK368" s="71" t="str">
        <f>IF(AND($AY368=1,$AJ368=1),$BA368*100000+ROW(),"")</f>
        <v/>
      </c>
      <c r="BL368" s="71" t="str">
        <f>IF(AND($AZ368=1),$BA368*100000+ROW(),"")</f>
        <v/>
      </c>
    </row>
    <row r="369">
      <c r="A369" s="63" t="n"/>
      <c r="B369" s="64" t="n"/>
      <c r="C369" s="64" t="n"/>
      <c r="D369" s="64" t="n"/>
      <c r="E369" s="64" t="n"/>
      <c r="F369" s="64" t="n"/>
      <c r="G369" s="65" t="n"/>
      <c r="H369" s="65" t="n"/>
      <c r="I369" s="64" t="n"/>
      <c r="J369" s="64" t="n"/>
      <c r="K369" s="63" t="n"/>
      <c r="L369" s="63" t="n"/>
      <c r="M369" s="64" t="n"/>
      <c r="N369" s="66" t="n"/>
      <c r="O369" s="65" t="n"/>
      <c r="P369" s="64" t="n"/>
      <c r="Q369" s="67" t="n"/>
      <c r="R369" s="67" t="n"/>
      <c r="S369" s="68" t="str">
        <f>IF(AND(ISNUMBER($Q369),ISNUMBER($R369)),$Q369-$R369,"")</f>
        <v/>
      </c>
      <c r="T369" s="65" t="n"/>
      <c r="U369" s="64" t="n"/>
      <c r="V369" s="65" t="n"/>
      <c r="W369" s="63" t="n"/>
      <c r="X369" s="65" t="n"/>
      <c r="Y369" s="63" t="n"/>
      <c r="Z369" s="64" t="n"/>
      <c r="AA369" s="64" t="n"/>
      <c r="AB369" s="65" t="n"/>
      <c r="AC369" s="69" t="str">
        <f>IF(OR($G369="",NOT(ISNUMBER($K369)),$AK369=0),"",MAX(0,ReportDate-$K369))</f>
        <v/>
      </c>
      <c r="AD369" s="69" t="str">
        <f>IF($G369="","",IF($AL369=1,ReportDate-$L369,0))</f>
        <v/>
      </c>
      <c r="AE369" s="70" t="str">
        <f>IF($G369="","",IF($M369="Completed",1,IF(ISNUMBER($N369),$N369,0)))</f>
        <v/>
      </c>
      <c r="AF369" s="70" t="str">
        <f>IF(AND(ISNUMBER($Q369),ISNUMBER($R369)),IF($R369&lt;&gt;0,$Q369/$R369,""),"")</f>
        <v/>
      </c>
      <c r="AG369" s="71" t="str">
        <f>IF($G369="","",IF($AL369=1,"OVERDUE",IF($AM369=1,"BLOCKED",IF($AN369=1,"DUE TODAY",IF($AO369=1,"DUE TOMORROW",IF($AQ369=1,"HIGH PRIORITY",IF($AR369=1,"NO RECENT UPDATE",""))))))) </f>
        <v/>
      </c>
      <c r="AH369" s="71" t="str">
        <f>IF($G369="","",IF(ISNUMBER($A369),IF(ISNUMBER($A369),YEAR($A369)&amp;"-"&amp;TEXT(MONTH($A369),"00"),""),IF(ISNUMBER($L369),IF(ISNUMBER($L369),YEAR($L369)&amp;"-"&amp;TEXT(MONTH($L369),"00"),""),"")))</f>
        <v/>
      </c>
      <c r="AI369" s="71">
        <f>IF($G369="",0,IF(AND(OR(fClient="All",$C369=fClient),OR(fCampaign="All",$D369=fCampaign),OR(fTeam="All",$B369=fTeam),OR(fChannel="All",$F369=fChannel),OR(fMonth="All",$AH369=fMonth),OR(fTStatus="All",$M369=fTStatus)),1,0))</f>
        <v>0</v>
      </c>
      <c r="AJ369" s="71">
        <f>IF($G369="",0,IF(AND(OR(fClient="All",$C369=fClient),OR(fCampaign="All",$D369=fCampaign),OR(fTeam="All",$B369=fTeam),OR(fChannel="All",$F369=fChannel)),1,0))</f>
        <v>0</v>
      </c>
      <c r="AK369" s="71">
        <f>IF($G369="",0,IF(OR($M369="Completed",$M369="Cancelled"),0,1))</f>
        <v>0</v>
      </c>
      <c r="AL369" s="71">
        <f>IF(AND($AK369=1,ISNUMBER($L369)),IF($L369&lt;ReportDate,1,0),0)</f>
        <v>0</v>
      </c>
      <c r="AM369" s="71">
        <f>IF(AND($G369&lt;&gt;"",$M369="Blocked"),1,0)</f>
        <v>0</v>
      </c>
      <c r="AN369" s="71">
        <f>IF(AND($AK369=1,ISNUMBER($L369)),IF($L369=ReportDate,1,0),0)</f>
        <v>0</v>
      </c>
      <c r="AO369" s="71">
        <f>IF(AND($AK369=1,ISNUMBER($L369)),IF($L369=ReportDate+1,1,0),0)</f>
        <v>0</v>
      </c>
      <c r="AP369" s="71">
        <f>IF(AND($AK369=1,ISNUMBER($L369)),IF(AND($L369&gt;=ReportDate,$L369&lt;=ReportDate+DueSoonDays),1,0),0)</f>
        <v>0</v>
      </c>
      <c r="AQ369" s="71">
        <f>IF(AND($AK369=1,OR($I369="Critical",$I369="High")),1,0)</f>
        <v>0</v>
      </c>
      <c r="AR369" s="71">
        <f>IF($AK369=1,IF(ISNUMBER($Y369),IF(ReportDate-$Y369&gt;StaleDays,1,0),1),0)</f>
        <v>0</v>
      </c>
      <c r="AS369" s="71">
        <f>IF(AND($G369&lt;&gt;"",ISNUMBER($Q369),ISNUMBER($R369)),IF(AND($Q369&lt;$R369,OR($M369="Completed",AND(ISNUMBER($L369),$L369&lt;ReportDate))),1,0),0)</f>
        <v>0</v>
      </c>
      <c r="AT369" s="71">
        <f>IF($AK369=1,IF(OR($L369=ReportDate,$W369=ReportDate,$K369=ReportDate,$A369=ReportDate),1,0),0)</f>
        <v>0</v>
      </c>
      <c r="AU369" s="71">
        <f>IF($AK369=1,IF(OR($L369=ReportDate+1,$W369=ReportDate+1,$K369=ReportDate+1,$A369=ReportDate+1),1,0),0)</f>
        <v>0</v>
      </c>
      <c r="AV369" s="71">
        <f>IF(AND($G369&lt;&gt;"",$M369="Completed"),IF(OR($Y369=ReportDate-1,$A369=ReportDate-1),1,0),0)</f>
        <v>0</v>
      </c>
      <c r="AW369" s="71">
        <f>IF(AND($AK369=1,$Z369="Yes"),1,0)</f>
        <v>0</v>
      </c>
      <c r="AX369" s="71">
        <f>IF(AND($AK369=1,$AA369="Yes"),1,0)</f>
        <v>0</v>
      </c>
      <c r="AY369" s="71">
        <f>IF(AND($AM369=1,OR($I369="Critical",$I369="High")),1,0)</f>
        <v>0</v>
      </c>
      <c r="AZ369" s="71">
        <f>IF(AND($AK369=1,OR($C369=TCL_Client,$C369=MECCA_Client)),1,0)</f>
        <v>0</v>
      </c>
      <c r="BA369" s="71" t="str">
        <f>IF($G369="","",IFERROR(MATCH($I369,lst_Priority,0),5))</f>
        <v/>
      </c>
      <c r="BB369" s="71" t="str">
        <f>IF(AND($AL369=1,$AJ369=1),$BA369*100000+ROW(),"")</f>
        <v/>
      </c>
      <c r="BC369" s="71" t="str">
        <f>IF(AND($AM369=1,$AJ369=1),$BA369*100000+ROW(),"")</f>
        <v/>
      </c>
      <c r="BD369" s="71" t="str">
        <f>IF(AND($AP369=1,$AJ369=1),$BA369*100000+ROW(),"")</f>
        <v/>
      </c>
      <c r="BE369" s="71" t="str">
        <f>IF(AND($AT369=1,$AJ369=1),$BA369*100000+ROW(),"")</f>
        <v/>
      </c>
      <c r="BF369" s="71" t="str">
        <f>IF(AND($AU369=1,$AJ369=1),$BA369*100000+ROW(),"")</f>
        <v/>
      </c>
      <c r="BG369" s="71" t="str">
        <f>IF(AND($AV369=1,$AJ369=1),$BA369*100000+ROW(),"")</f>
        <v/>
      </c>
      <c r="BH369" s="71" t="str">
        <f>IF(AND($AW369=1,$AJ369=1),$BA369*100000+ROW(),"")</f>
        <v/>
      </c>
      <c r="BI369" s="71" t="str">
        <f>IF(AND($AX369=1,$AJ369=1),$BA369*100000+ROW(),"")</f>
        <v/>
      </c>
      <c r="BJ369" s="71" t="str">
        <f>IF(AND($AS369=1,$AJ369=1),$BA369*100000+ROW(),"")</f>
        <v/>
      </c>
      <c r="BK369" s="71" t="str">
        <f>IF(AND($AY369=1,$AJ369=1),$BA369*100000+ROW(),"")</f>
        <v/>
      </c>
      <c r="BL369" s="71" t="str">
        <f>IF(AND($AZ369=1),$BA369*100000+ROW(),"")</f>
        <v/>
      </c>
    </row>
    <row r="370">
      <c r="A370" s="63" t="n"/>
      <c r="B370" s="64" t="n"/>
      <c r="C370" s="64" t="n"/>
      <c r="D370" s="64" t="n"/>
      <c r="E370" s="64" t="n"/>
      <c r="F370" s="64" t="n"/>
      <c r="G370" s="65" t="n"/>
      <c r="H370" s="65" t="n"/>
      <c r="I370" s="64" t="n"/>
      <c r="J370" s="64" t="n"/>
      <c r="K370" s="63" t="n"/>
      <c r="L370" s="63" t="n"/>
      <c r="M370" s="64" t="n"/>
      <c r="N370" s="66" t="n"/>
      <c r="O370" s="65" t="n"/>
      <c r="P370" s="64" t="n"/>
      <c r="Q370" s="67" t="n"/>
      <c r="R370" s="67" t="n"/>
      <c r="S370" s="68" t="str">
        <f>IF(AND(ISNUMBER($Q370),ISNUMBER($R370)),$Q370-$R370,"")</f>
        <v/>
      </c>
      <c r="T370" s="65" t="n"/>
      <c r="U370" s="64" t="n"/>
      <c r="V370" s="65" t="n"/>
      <c r="W370" s="63" t="n"/>
      <c r="X370" s="65" t="n"/>
      <c r="Y370" s="63" t="n"/>
      <c r="Z370" s="64" t="n"/>
      <c r="AA370" s="64" t="n"/>
      <c r="AB370" s="65" t="n"/>
      <c r="AC370" s="69" t="str">
        <f>IF(OR($G370="",NOT(ISNUMBER($K370)),$AK370=0),"",MAX(0,ReportDate-$K370))</f>
        <v/>
      </c>
      <c r="AD370" s="69" t="str">
        <f>IF($G370="","",IF($AL370=1,ReportDate-$L370,0))</f>
        <v/>
      </c>
      <c r="AE370" s="70" t="str">
        <f>IF($G370="","",IF($M370="Completed",1,IF(ISNUMBER($N370),$N370,0)))</f>
        <v/>
      </c>
      <c r="AF370" s="70" t="str">
        <f>IF(AND(ISNUMBER($Q370),ISNUMBER($R370)),IF($R370&lt;&gt;0,$Q370/$R370,""),"")</f>
        <v/>
      </c>
      <c r="AG370" s="71" t="str">
        <f>IF($G370="","",IF($AL370=1,"OVERDUE",IF($AM370=1,"BLOCKED",IF($AN370=1,"DUE TODAY",IF($AO370=1,"DUE TOMORROW",IF($AQ370=1,"HIGH PRIORITY",IF($AR370=1,"NO RECENT UPDATE",""))))))) </f>
        <v/>
      </c>
      <c r="AH370" s="71" t="str">
        <f>IF($G370="","",IF(ISNUMBER($A370),IF(ISNUMBER($A370),YEAR($A370)&amp;"-"&amp;TEXT(MONTH($A370),"00"),""),IF(ISNUMBER($L370),IF(ISNUMBER($L370),YEAR($L370)&amp;"-"&amp;TEXT(MONTH($L370),"00"),""),"")))</f>
        <v/>
      </c>
      <c r="AI370" s="71">
        <f>IF($G370="",0,IF(AND(OR(fClient="All",$C370=fClient),OR(fCampaign="All",$D370=fCampaign),OR(fTeam="All",$B370=fTeam),OR(fChannel="All",$F370=fChannel),OR(fMonth="All",$AH370=fMonth),OR(fTStatus="All",$M370=fTStatus)),1,0))</f>
        <v>0</v>
      </c>
      <c r="AJ370" s="71">
        <f>IF($G370="",0,IF(AND(OR(fClient="All",$C370=fClient),OR(fCampaign="All",$D370=fCampaign),OR(fTeam="All",$B370=fTeam),OR(fChannel="All",$F370=fChannel)),1,0))</f>
        <v>0</v>
      </c>
      <c r="AK370" s="71">
        <f>IF($G370="",0,IF(OR($M370="Completed",$M370="Cancelled"),0,1))</f>
        <v>0</v>
      </c>
      <c r="AL370" s="71">
        <f>IF(AND($AK370=1,ISNUMBER($L370)),IF($L370&lt;ReportDate,1,0),0)</f>
        <v>0</v>
      </c>
      <c r="AM370" s="71">
        <f>IF(AND($G370&lt;&gt;"",$M370="Blocked"),1,0)</f>
        <v>0</v>
      </c>
      <c r="AN370" s="71">
        <f>IF(AND($AK370=1,ISNUMBER($L370)),IF($L370=ReportDate,1,0),0)</f>
        <v>0</v>
      </c>
      <c r="AO370" s="71">
        <f>IF(AND($AK370=1,ISNUMBER($L370)),IF($L370=ReportDate+1,1,0),0)</f>
        <v>0</v>
      </c>
      <c r="AP370" s="71">
        <f>IF(AND($AK370=1,ISNUMBER($L370)),IF(AND($L370&gt;=ReportDate,$L370&lt;=ReportDate+DueSoonDays),1,0),0)</f>
        <v>0</v>
      </c>
      <c r="AQ370" s="71">
        <f>IF(AND($AK370=1,OR($I370="Critical",$I370="High")),1,0)</f>
        <v>0</v>
      </c>
      <c r="AR370" s="71">
        <f>IF($AK370=1,IF(ISNUMBER($Y370),IF(ReportDate-$Y370&gt;StaleDays,1,0),1),0)</f>
        <v>0</v>
      </c>
      <c r="AS370" s="71">
        <f>IF(AND($G370&lt;&gt;"",ISNUMBER($Q370),ISNUMBER($R370)),IF(AND($Q370&lt;$R370,OR($M370="Completed",AND(ISNUMBER($L370),$L370&lt;ReportDate))),1,0),0)</f>
        <v>0</v>
      </c>
      <c r="AT370" s="71">
        <f>IF($AK370=1,IF(OR($L370=ReportDate,$W370=ReportDate,$K370=ReportDate,$A370=ReportDate),1,0),0)</f>
        <v>0</v>
      </c>
      <c r="AU370" s="71">
        <f>IF($AK370=1,IF(OR($L370=ReportDate+1,$W370=ReportDate+1,$K370=ReportDate+1,$A370=ReportDate+1),1,0),0)</f>
        <v>0</v>
      </c>
      <c r="AV370" s="71">
        <f>IF(AND($G370&lt;&gt;"",$M370="Completed"),IF(OR($Y370=ReportDate-1,$A370=ReportDate-1),1,0),0)</f>
        <v>0</v>
      </c>
      <c r="AW370" s="71">
        <f>IF(AND($AK370=1,$Z370="Yes"),1,0)</f>
        <v>0</v>
      </c>
      <c r="AX370" s="71">
        <f>IF(AND($AK370=1,$AA370="Yes"),1,0)</f>
        <v>0</v>
      </c>
      <c r="AY370" s="71">
        <f>IF(AND($AM370=1,OR($I370="Critical",$I370="High")),1,0)</f>
        <v>0</v>
      </c>
      <c r="AZ370" s="71">
        <f>IF(AND($AK370=1,OR($C370=TCL_Client,$C370=MECCA_Client)),1,0)</f>
        <v>0</v>
      </c>
      <c r="BA370" s="71" t="str">
        <f>IF($G370="","",IFERROR(MATCH($I370,lst_Priority,0),5))</f>
        <v/>
      </c>
      <c r="BB370" s="71" t="str">
        <f>IF(AND($AL370=1,$AJ370=1),$BA370*100000+ROW(),"")</f>
        <v/>
      </c>
      <c r="BC370" s="71" t="str">
        <f>IF(AND($AM370=1,$AJ370=1),$BA370*100000+ROW(),"")</f>
        <v/>
      </c>
      <c r="BD370" s="71" t="str">
        <f>IF(AND($AP370=1,$AJ370=1),$BA370*100000+ROW(),"")</f>
        <v/>
      </c>
      <c r="BE370" s="71" t="str">
        <f>IF(AND($AT370=1,$AJ370=1),$BA370*100000+ROW(),"")</f>
        <v/>
      </c>
      <c r="BF370" s="71" t="str">
        <f>IF(AND($AU370=1,$AJ370=1),$BA370*100000+ROW(),"")</f>
        <v/>
      </c>
      <c r="BG370" s="71" t="str">
        <f>IF(AND($AV370=1,$AJ370=1),$BA370*100000+ROW(),"")</f>
        <v/>
      </c>
      <c r="BH370" s="71" t="str">
        <f>IF(AND($AW370=1,$AJ370=1),$BA370*100000+ROW(),"")</f>
        <v/>
      </c>
      <c r="BI370" s="71" t="str">
        <f>IF(AND($AX370=1,$AJ370=1),$BA370*100000+ROW(),"")</f>
        <v/>
      </c>
      <c r="BJ370" s="71" t="str">
        <f>IF(AND($AS370=1,$AJ370=1),$BA370*100000+ROW(),"")</f>
        <v/>
      </c>
      <c r="BK370" s="71" t="str">
        <f>IF(AND($AY370=1,$AJ370=1),$BA370*100000+ROW(),"")</f>
        <v/>
      </c>
      <c r="BL370" s="71" t="str">
        <f>IF(AND($AZ370=1),$BA370*100000+ROW(),"")</f>
        <v/>
      </c>
    </row>
    <row r="371">
      <c r="A371" s="63" t="n"/>
      <c r="B371" s="64" t="n"/>
      <c r="C371" s="64" t="n"/>
      <c r="D371" s="64" t="n"/>
      <c r="E371" s="64" t="n"/>
      <c r="F371" s="64" t="n"/>
      <c r="G371" s="65" t="n"/>
      <c r="H371" s="65" t="n"/>
      <c r="I371" s="64" t="n"/>
      <c r="J371" s="64" t="n"/>
      <c r="K371" s="63" t="n"/>
      <c r="L371" s="63" t="n"/>
      <c r="M371" s="64" t="n"/>
      <c r="N371" s="66" t="n"/>
      <c r="O371" s="65" t="n"/>
      <c r="P371" s="64" t="n"/>
      <c r="Q371" s="67" t="n"/>
      <c r="R371" s="67" t="n"/>
      <c r="S371" s="68" t="str">
        <f>IF(AND(ISNUMBER($Q371),ISNUMBER($R371)),$Q371-$R371,"")</f>
        <v/>
      </c>
      <c r="T371" s="65" t="n"/>
      <c r="U371" s="64" t="n"/>
      <c r="V371" s="65" t="n"/>
      <c r="W371" s="63" t="n"/>
      <c r="X371" s="65" t="n"/>
      <c r="Y371" s="63" t="n"/>
      <c r="Z371" s="64" t="n"/>
      <c r="AA371" s="64" t="n"/>
      <c r="AB371" s="65" t="n"/>
      <c r="AC371" s="69" t="str">
        <f>IF(OR($G371="",NOT(ISNUMBER($K371)),$AK371=0),"",MAX(0,ReportDate-$K371))</f>
        <v/>
      </c>
      <c r="AD371" s="69" t="str">
        <f>IF($G371="","",IF($AL371=1,ReportDate-$L371,0))</f>
        <v/>
      </c>
      <c r="AE371" s="70" t="str">
        <f>IF($G371="","",IF($M371="Completed",1,IF(ISNUMBER($N371),$N371,0)))</f>
        <v/>
      </c>
      <c r="AF371" s="70" t="str">
        <f>IF(AND(ISNUMBER($Q371),ISNUMBER($R371)),IF($R371&lt;&gt;0,$Q371/$R371,""),"")</f>
        <v/>
      </c>
      <c r="AG371" s="71" t="str">
        <f>IF($G371="","",IF($AL371=1,"OVERDUE",IF($AM371=1,"BLOCKED",IF($AN371=1,"DUE TODAY",IF($AO371=1,"DUE TOMORROW",IF($AQ371=1,"HIGH PRIORITY",IF($AR371=1,"NO RECENT UPDATE",""))))))) </f>
        <v/>
      </c>
      <c r="AH371" s="71" t="str">
        <f>IF($G371="","",IF(ISNUMBER($A371),IF(ISNUMBER($A371),YEAR($A371)&amp;"-"&amp;TEXT(MONTH($A371),"00"),""),IF(ISNUMBER($L371),IF(ISNUMBER($L371),YEAR($L371)&amp;"-"&amp;TEXT(MONTH($L371),"00"),""),"")))</f>
        <v/>
      </c>
      <c r="AI371" s="71">
        <f>IF($G371="",0,IF(AND(OR(fClient="All",$C371=fClient),OR(fCampaign="All",$D371=fCampaign),OR(fTeam="All",$B371=fTeam),OR(fChannel="All",$F371=fChannel),OR(fMonth="All",$AH371=fMonth),OR(fTStatus="All",$M371=fTStatus)),1,0))</f>
        <v>0</v>
      </c>
      <c r="AJ371" s="71">
        <f>IF($G371="",0,IF(AND(OR(fClient="All",$C371=fClient),OR(fCampaign="All",$D371=fCampaign),OR(fTeam="All",$B371=fTeam),OR(fChannel="All",$F371=fChannel)),1,0))</f>
        <v>0</v>
      </c>
      <c r="AK371" s="71">
        <f>IF($G371="",0,IF(OR($M371="Completed",$M371="Cancelled"),0,1))</f>
        <v>0</v>
      </c>
      <c r="AL371" s="71">
        <f>IF(AND($AK371=1,ISNUMBER($L371)),IF($L371&lt;ReportDate,1,0),0)</f>
        <v>0</v>
      </c>
      <c r="AM371" s="71">
        <f>IF(AND($G371&lt;&gt;"",$M371="Blocked"),1,0)</f>
        <v>0</v>
      </c>
      <c r="AN371" s="71">
        <f>IF(AND($AK371=1,ISNUMBER($L371)),IF($L371=ReportDate,1,0),0)</f>
        <v>0</v>
      </c>
      <c r="AO371" s="71">
        <f>IF(AND($AK371=1,ISNUMBER($L371)),IF($L371=ReportDate+1,1,0),0)</f>
        <v>0</v>
      </c>
      <c r="AP371" s="71">
        <f>IF(AND($AK371=1,ISNUMBER($L371)),IF(AND($L371&gt;=ReportDate,$L371&lt;=ReportDate+DueSoonDays),1,0),0)</f>
        <v>0</v>
      </c>
      <c r="AQ371" s="71">
        <f>IF(AND($AK371=1,OR($I371="Critical",$I371="High")),1,0)</f>
        <v>0</v>
      </c>
      <c r="AR371" s="71">
        <f>IF($AK371=1,IF(ISNUMBER($Y371),IF(ReportDate-$Y371&gt;StaleDays,1,0),1),0)</f>
        <v>0</v>
      </c>
      <c r="AS371" s="71">
        <f>IF(AND($G371&lt;&gt;"",ISNUMBER($Q371),ISNUMBER($R371)),IF(AND($Q371&lt;$R371,OR($M371="Completed",AND(ISNUMBER($L371),$L371&lt;ReportDate))),1,0),0)</f>
        <v>0</v>
      </c>
      <c r="AT371" s="71">
        <f>IF($AK371=1,IF(OR($L371=ReportDate,$W371=ReportDate,$K371=ReportDate,$A371=ReportDate),1,0),0)</f>
        <v>0</v>
      </c>
      <c r="AU371" s="71">
        <f>IF($AK371=1,IF(OR($L371=ReportDate+1,$W371=ReportDate+1,$K371=ReportDate+1,$A371=ReportDate+1),1,0),0)</f>
        <v>0</v>
      </c>
      <c r="AV371" s="71">
        <f>IF(AND($G371&lt;&gt;"",$M371="Completed"),IF(OR($Y371=ReportDate-1,$A371=ReportDate-1),1,0),0)</f>
        <v>0</v>
      </c>
      <c r="AW371" s="71">
        <f>IF(AND($AK371=1,$Z371="Yes"),1,0)</f>
        <v>0</v>
      </c>
      <c r="AX371" s="71">
        <f>IF(AND($AK371=1,$AA371="Yes"),1,0)</f>
        <v>0</v>
      </c>
      <c r="AY371" s="71">
        <f>IF(AND($AM371=1,OR($I371="Critical",$I371="High")),1,0)</f>
        <v>0</v>
      </c>
      <c r="AZ371" s="71">
        <f>IF(AND($AK371=1,OR($C371=TCL_Client,$C371=MECCA_Client)),1,0)</f>
        <v>0</v>
      </c>
      <c r="BA371" s="71" t="str">
        <f>IF($G371="","",IFERROR(MATCH($I371,lst_Priority,0),5))</f>
        <v/>
      </c>
      <c r="BB371" s="71" t="str">
        <f>IF(AND($AL371=1,$AJ371=1),$BA371*100000+ROW(),"")</f>
        <v/>
      </c>
      <c r="BC371" s="71" t="str">
        <f>IF(AND($AM371=1,$AJ371=1),$BA371*100000+ROW(),"")</f>
        <v/>
      </c>
      <c r="BD371" s="71" t="str">
        <f>IF(AND($AP371=1,$AJ371=1),$BA371*100000+ROW(),"")</f>
        <v/>
      </c>
      <c r="BE371" s="71" t="str">
        <f>IF(AND($AT371=1,$AJ371=1),$BA371*100000+ROW(),"")</f>
        <v/>
      </c>
      <c r="BF371" s="71" t="str">
        <f>IF(AND($AU371=1,$AJ371=1),$BA371*100000+ROW(),"")</f>
        <v/>
      </c>
      <c r="BG371" s="71" t="str">
        <f>IF(AND($AV371=1,$AJ371=1),$BA371*100000+ROW(),"")</f>
        <v/>
      </c>
      <c r="BH371" s="71" t="str">
        <f>IF(AND($AW371=1,$AJ371=1),$BA371*100000+ROW(),"")</f>
        <v/>
      </c>
      <c r="BI371" s="71" t="str">
        <f>IF(AND($AX371=1,$AJ371=1),$BA371*100000+ROW(),"")</f>
        <v/>
      </c>
      <c r="BJ371" s="71" t="str">
        <f>IF(AND($AS371=1,$AJ371=1),$BA371*100000+ROW(),"")</f>
        <v/>
      </c>
      <c r="BK371" s="71" t="str">
        <f>IF(AND($AY371=1,$AJ371=1),$BA371*100000+ROW(),"")</f>
        <v/>
      </c>
      <c r="BL371" s="71" t="str">
        <f>IF(AND($AZ371=1),$BA371*100000+ROW(),"")</f>
        <v/>
      </c>
    </row>
    <row r="372">
      <c r="A372" s="63" t="n"/>
      <c r="B372" s="64" t="n"/>
      <c r="C372" s="64" t="n"/>
      <c r="D372" s="64" t="n"/>
      <c r="E372" s="64" t="n"/>
      <c r="F372" s="64" t="n"/>
      <c r="G372" s="65" t="n"/>
      <c r="H372" s="65" t="n"/>
      <c r="I372" s="64" t="n"/>
      <c r="J372" s="64" t="n"/>
      <c r="K372" s="63" t="n"/>
      <c r="L372" s="63" t="n"/>
      <c r="M372" s="64" t="n"/>
      <c r="N372" s="66" t="n"/>
      <c r="O372" s="65" t="n"/>
      <c r="P372" s="64" t="n"/>
      <c r="Q372" s="67" t="n"/>
      <c r="R372" s="67" t="n"/>
      <c r="S372" s="68" t="str">
        <f>IF(AND(ISNUMBER($Q372),ISNUMBER($R372)),$Q372-$R372,"")</f>
        <v/>
      </c>
      <c r="T372" s="65" t="n"/>
      <c r="U372" s="64" t="n"/>
      <c r="V372" s="65" t="n"/>
      <c r="W372" s="63" t="n"/>
      <c r="X372" s="65" t="n"/>
      <c r="Y372" s="63" t="n"/>
      <c r="Z372" s="64" t="n"/>
      <c r="AA372" s="64" t="n"/>
      <c r="AB372" s="65" t="n"/>
      <c r="AC372" s="69" t="str">
        <f>IF(OR($G372="",NOT(ISNUMBER($K372)),$AK372=0),"",MAX(0,ReportDate-$K372))</f>
        <v/>
      </c>
      <c r="AD372" s="69" t="str">
        <f>IF($G372="","",IF($AL372=1,ReportDate-$L372,0))</f>
        <v/>
      </c>
      <c r="AE372" s="70" t="str">
        <f>IF($G372="","",IF($M372="Completed",1,IF(ISNUMBER($N372),$N372,0)))</f>
        <v/>
      </c>
      <c r="AF372" s="70" t="str">
        <f>IF(AND(ISNUMBER($Q372),ISNUMBER($R372)),IF($R372&lt;&gt;0,$Q372/$R372,""),"")</f>
        <v/>
      </c>
      <c r="AG372" s="71" t="str">
        <f>IF($G372="","",IF($AL372=1,"OVERDUE",IF($AM372=1,"BLOCKED",IF($AN372=1,"DUE TODAY",IF($AO372=1,"DUE TOMORROW",IF($AQ372=1,"HIGH PRIORITY",IF($AR372=1,"NO RECENT UPDATE",""))))))) </f>
        <v/>
      </c>
      <c r="AH372" s="71" t="str">
        <f>IF($G372="","",IF(ISNUMBER($A372),IF(ISNUMBER($A372),YEAR($A372)&amp;"-"&amp;TEXT(MONTH($A372),"00"),""),IF(ISNUMBER($L372),IF(ISNUMBER($L372),YEAR($L372)&amp;"-"&amp;TEXT(MONTH($L372),"00"),""),"")))</f>
        <v/>
      </c>
      <c r="AI372" s="71">
        <f>IF($G372="",0,IF(AND(OR(fClient="All",$C372=fClient),OR(fCampaign="All",$D372=fCampaign),OR(fTeam="All",$B372=fTeam),OR(fChannel="All",$F372=fChannel),OR(fMonth="All",$AH372=fMonth),OR(fTStatus="All",$M372=fTStatus)),1,0))</f>
        <v>0</v>
      </c>
      <c r="AJ372" s="71">
        <f>IF($G372="",0,IF(AND(OR(fClient="All",$C372=fClient),OR(fCampaign="All",$D372=fCampaign),OR(fTeam="All",$B372=fTeam),OR(fChannel="All",$F372=fChannel)),1,0))</f>
        <v>0</v>
      </c>
      <c r="AK372" s="71">
        <f>IF($G372="",0,IF(OR($M372="Completed",$M372="Cancelled"),0,1))</f>
        <v>0</v>
      </c>
      <c r="AL372" s="71">
        <f>IF(AND($AK372=1,ISNUMBER($L372)),IF($L372&lt;ReportDate,1,0),0)</f>
        <v>0</v>
      </c>
      <c r="AM372" s="71">
        <f>IF(AND($G372&lt;&gt;"",$M372="Blocked"),1,0)</f>
        <v>0</v>
      </c>
      <c r="AN372" s="71">
        <f>IF(AND($AK372=1,ISNUMBER($L372)),IF($L372=ReportDate,1,0),0)</f>
        <v>0</v>
      </c>
      <c r="AO372" s="71">
        <f>IF(AND($AK372=1,ISNUMBER($L372)),IF($L372=ReportDate+1,1,0),0)</f>
        <v>0</v>
      </c>
      <c r="AP372" s="71">
        <f>IF(AND($AK372=1,ISNUMBER($L372)),IF(AND($L372&gt;=ReportDate,$L372&lt;=ReportDate+DueSoonDays),1,0),0)</f>
        <v>0</v>
      </c>
      <c r="AQ372" s="71">
        <f>IF(AND($AK372=1,OR($I372="Critical",$I372="High")),1,0)</f>
        <v>0</v>
      </c>
      <c r="AR372" s="71">
        <f>IF($AK372=1,IF(ISNUMBER($Y372),IF(ReportDate-$Y372&gt;StaleDays,1,0),1),0)</f>
        <v>0</v>
      </c>
      <c r="AS372" s="71">
        <f>IF(AND($G372&lt;&gt;"",ISNUMBER($Q372),ISNUMBER($R372)),IF(AND($Q372&lt;$R372,OR($M372="Completed",AND(ISNUMBER($L372),$L372&lt;ReportDate))),1,0),0)</f>
        <v>0</v>
      </c>
      <c r="AT372" s="71">
        <f>IF($AK372=1,IF(OR($L372=ReportDate,$W372=ReportDate,$K372=ReportDate,$A372=ReportDate),1,0),0)</f>
        <v>0</v>
      </c>
      <c r="AU372" s="71">
        <f>IF($AK372=1,IF(OR($L372=ReportDate+1,$W372=ReportDate+1,$K372=ReportDate+1,$A372=ReportDate+1),1,0),0)</f>
        <v>0</v>
      </c>
      <c r="AV372" s="71">
        <f>IF(AND($G372&lt;&gt;"",$M372="Completed"),IF(OR($Y372=ReportDate-1,$A372=ReportDate-1),1,0),0)</f>
        <v>0</v>
      </c>
      <c r="AW372" s="71">
        <f>IF(AND($AK372=1,$Z372="Yes"),1,0)</f>
        <v>0</v>
      </c>
      <c r="AX372" s="71">
        <f>IF(AND($AK372=1,$AA372="Yes"),1,0)</f>
        <v>0</v>
      </c>
      <c r="AY372" s="71">
        <f>IF(AND($AM372=1,OR($I372="Critical",$I372="High")),1,0)</f>
        <v>0</v>
      </c>
      <c r="AZ372" s="71">
        <f>IF(AND($AK372=1,OR($C372=TCL_Client,$C372=MECCA_Client)),1,0)</f>
        <v>0</v>
      </c>
      <c r="BA372" s="71" t="str">
        <f>IF($G372="","",IFERROR(MATCH($I372,lst_Priority,0),5))</f>
        <v/>
      </c>
      <c r="BB372" s="71" t="str">
        <f>IF(AND($AL372=1,$AJ372=1),$BA372*100000+ROW(),"")</f>
        <v/>
      </c>
      <c r="BC372" s="71" t="str">
        <f>IF(AND($AM372=1,$AJ372=1),$BA372*100000+ROW(),"")</f>
        <v/>
      </c>
      <c r="BD372" s="71" t="str">
        <f>IF(AND($AP372=1,$AJ372=1),$BA372*100000+ROW(),"")</f>
        <v/>
      </c>
      <c r="BE372" s="71" t="str">
        <f>IF(AND($AT372=1,$AJ372=1),$BA372*100000+ROW(),"")</f>
        <v/>
      </c>
      <c r="BF372" s="71" t="str">
        <f>IF(AND($AU372=1,$AJ372=1),$BA372*100000+ROW(),"")</f>
        <v/>
      </c>
      <c r="BG372" s="71" t="str">
        <f>IF(AND($AV372=1,$AJ372=1),$BA372*100000+ROW(),"")</f>
        <v/>
      </c>
      <c r="BH372" s="71" t="str">
        <f>IF(AND($AW372=1,$AJ372=1),$BA372*100000+ROW(),"")</f>
        <v/>
      </c>
      <c r="BI372" s="71" t="str">
        <f>IF(AND($AX372=1,$AJ372=1),$BA372*100000+ROW(),"")</f>
        <v/>
      </c>
      <c r="BJ372" s="71" t="str">
        <f>IF(AND($AS372=1,$AJ372=1),$BA372*100000+ROW(),"")</f>
        <v/>
      </c>
      <c r="BK372" s="71" t="str">
        <f>IF(AND($AY372=1,$AJ372=1),$BA372*100000+ROW(),"")</f>
        <v/>
      </c>
      <c r="BL372" s="71" t="str">
        <f>IF(AND($AZ372=1),$BA372*100000+ROW(),"")</f>
        <v/>
      </c>
    </row>
    <row r="373">
      <c r="A373" s="63" t="n"/>
      <c r="B373" s="64" t="n"/>
      <c r="C373" s="64" t="n"/>
      <c r="D373" s="64" t="n"/>
      <c r="E373" s="64" t="n"/>
      <c r="F373" s="64" t="n"/>
      <c r="G373" s="65" t="n"/>
      <c r="H373" s="65" t="n"/>
      <c r="I373" s="64" t="n"/>
      <c r="J373" s="64" t="n"/>
      <c r="K373" s="63" t="n"/>
      <c r="L373" s="63" t="n"/>
      <c r="M373" s="64" t="n"/>
      <c r="N373" s="66" t="n"/>
      <c r="O373" s="65" t="n"/>
      <c r="P373" s="64" t="n"/>
      <c r="Q373" s="67" t="n"/>
      <c r="R373" s="67" t="n"/>
      <c r="S373" s="68" t="str">
        <f>IF(AND(ISNUMBER($Q373),ISNUMBER($R373)),$Q373-$R373,"")</f>
        <v/>
      </c>
      <c r="T373" s="65" t="n"/>
      <c r="U373" s="64" t="n"/>
      <c r="V373" s="65" t="n"/>
      <c r="W373" s="63" t="n"/>
      <c r="X373" s="65" t="n"/>
      <c r="Y373" s="63" t="n"/>
      <c r="Z373" s="64" t="n"/>
      <c r="AA373" s="64" t="n"/>
      <c r="AB373" s="65" t="n"/>
      <c r="AC373" s="69" t="str">
        <f>IF(OR($G373="",NOT(ISNUMBER($K373)),$AK373=0),"",MAX(0,ReportDate-$K373))</f>
        <v/>
      </c>
      <c r="AD373" s="69" t="str">
        <f>IF($G373="","",IF($AL373=1,ReportDate-$L373,0))</f>
        <v/>
      </c>
      <c r="AE373" s="70" t="str">
        <f>IF($G373="","",IF($M373="Completed",1,IF(ISNUMBER($N373),$N373,0)))</f>
        <v/>
      </c>
      <c r="AF373" s="70" t="str">
        <f>IF(AND(ISNUMBER($Q373),ISNUMBER($R373)),IF($R373&lt;&gt;0,$Q373/$R373,""),"")</f>
        <v/>
      </c>
      <c r="AG373" s="71" t="str">
        <f>IF($G373="","",IF($AL373=1,"OVERDUE",IF($AM373=1,"BLOCKED",IF($AN373=1,"DUE TODAY",IF($AO373=1,"DUE TOMORROW",IF($AQ373=1,"HIGH PRIORITY",IF($AR373=1,"NO RECENT UPDATE",""))))))) </f>
        <v/>
      </c>
      <c r="AH373" s="71" t="str">
        <f>IF($G373="","",IF(ISNUMBER($A373),IF(ISNUMBER($A373),YEAR($A373)&amp;"-"&amp;TEXT(MONTH($A373),"00"),""),IF(ISNUMBER($L373),IF(ISNUMBER($L373),YEAR($L373)&amp;"-"&amp;TEXT(MONTH($L373),"00"),""),"")))</f>
        <v/>
      </c>
      <c r="AI373" s="71">
        <f>IF($G373="",0,IF(AND(OR(fClient="All",$C373=fClient),OR(fCampaign="All",$D373=fCampaign),OR(fTeam="All",$B373=fTeam),OR(fChannel="All",$F373=fChannel),OR(fMonth="All",$AH373=fMonth),OR(fTStatus="All",$M373=fTStatus)),1,0))</f>
        <v>0</v>
      </c>
      <c r="AJ373" s="71">
        <f>IF($G373="",0,IF(AND(OR(fClient="All",$C373=fClient),OR(fCampaign="All",$D373=fCampaign),OR(fTeam="All",$B373=fTeam),OR(fChannel="All",$F373=fChannel)),1,0))</f>
        <v>0</v>
      </c>
      <c r="AK373" s="71">
        <f>IF($G373="",0,IF(OR($M373="Completed",$M373="Cancelled"),0,1))</f>
        <v>0</v>
      </c>
      <c r="AL373" s="71">
        <f>IF(AND($AK373=1,ISNUMBER($L373)),IF($L373&lt;ReportDate,1,0),0)</f>
        <v>0</v>
      </c>
      <c r="AM373" s="71">
        <f>IF(AND($G373&lt;&gt;"",$M373="Blocked"),1,0)</f>
        <v>0</v>
      </c>
      <c r="AN373" s="71">
        <f>IF(AND($AK373=1,ISNUMBER($L373)),IF($L373=ReportDate,1,0),0)</f>
        <v>0</v>
      </c>
      <c r="AO373" s="71">
        <f>IF(AND($AK373=1,ISNUMBER($L373)),IF($L373=ReportDate+1,1,0),0)</f>
        <v>0</v>
      </c>
      <c r="AP373" s="71">
        <f>IF(AND($AK373=1,ISNUMBER($L373)),IF(AND($L373&gt;=ReportDate,$L373&lt;=ReportDate+DueSoonDays),1,0),0)</f>
        <v>0</v>
      </c>
      <c r="AQ373" s="71">
        <f>IF(AND($AK373=1,OR($I373="Critical",$I373="High")),1,0)</f>
        <v>0</v>
      </c>
      <c r="AR373" s="71">
        <f>IF($AK373=1,IF(ISNUMBER($Y373),IF(ReportDate-$Y373&gt;StaleDays,1,0),1),0)</f>
        <v>0</v>
      </c>
      <c r="AS373" s="71">
        <f>IF(AND($G373&lt;&gt;"",ISNUMBER($Q373),ISNUMBER($R373)),IF(AND($Q373&lt;$R373,OR($M373="Completed",AND(ISNUMBER($L373),$L373&lt;ReportDate))),1,0),0)</f>
        <v>0</v>
      </c>
      <c r="AT373" s="71">
        <f>IF($AK373=1,IF(OR($L373=ReportDate,$W373=ReportDate,$K373=ReportDate,$A373=ReportDate),1,0),0)</f>
        <v>0</v>
      </c>
      <c r="AU373" s="71">
        <f>IF($AK373=1,IF(OR($L373=ReportDate+1,$W373=ReportDate+1,$K373=ReportDate+1,$A373=ReportDate+1),1,0),0)</f>
        <v>0</v>
      </c>
      <c r="AV373" s="71">
        <f>IF(AND($G373&lt;&gt;"",$M373="Completed"),IF(OR($Y373=ReportDate-1,$A373=ReportDate-1),1,0),0)</f>
        <v>0</v>
      </c>
      <c r="AW373" s="71">
        <f>IF(AND($AK373=1,$Z373="Yes"),1,0)</f>
        <v>0</v>
      </c>
      <c r="AX373" s="71">
        <f>IF(AND($AK373=1,$AA373="Yes"),1,0)</f>
        <v>0</v>
      </c>
      <c r="AY373" s="71">
        <f>IF(AND($AM373=1,OR($I373="Critical",$I373="High")),1,0)</f>
        <v>0</v>
      </c>
      <c r="AZ373" s="71">
        <f>IF(AND($AK373=1,OR($C373=TCL_Client,$C373=MECCA_Client)),1,0)</f>
        <v>0</v>
      </c>
      <c r="BA373" s="71" t="str">
        <f>IF($G373="","",IFERROR(MATCH($I373,lst_Priority,0),5))</f>
        <v/>
      </c>
      <c r="BB373" s="71" t="str">
        <f>IF(AND($AL373=1,$AJ373=1),$BA373*100000+ROW(),"")</f>
        <v/>
      </c>
      <c r="BC373" s="71" t="str">
        <f>IF(AND($AM373=1,$AJ373=1),$BA373*100000+ROW(),"")</f>
        <v/>
      </c>
      <c r="BD373" s="71" t="str">
        <f>IF(AND($AP373=1,$AJ373=1),$BA373*100000+ROW(),"")</f>
        <v/>
      </c>
      <c r="BE373" s="71" t="str">
        <f>IF(AND($AT373=1,$AJ373=1),$BA373*100000+ROW(),"")</f>
        <v/>
      </c>
      <c r="BF373" s="71" t="str">
        <f>IF(AND($AU373=1,$AJ373=1),$BA373*100000+ROW(),"")</f>
        <v/>
      </c>
      <c r="BG373" s="71" t="str">
        <f>IF(AND($AV373=1,$AJ373=1),$BA373*100000+ROW(),"")</f>
        <v/>
      </c>
      <c r="BH373" s="71" t="str">
        <f>IF(AND($AW373=1,$AJ373=1),$BA373*100000+ROW(),"")</f>
        <v/>
      </c>
      <c r="BI373" s="71" t="str">
        <f>IF(AND($AX373=1,$AJ373=1),$BA373*100000+ROW(),"")</f>
        <v/>
      </c>
      <c r="BJ373" s="71" t="str">
        <f>IF(AND($AS373=1,$AJ373=1),$BA373*100000+ROW(),"")</f>
        <v/>
      </c>
      <c r="BK373" s="71" t="str">
        <f>IF(AND($AY373=1,$AJ373=1),$BA373*100000+ROW(),"")</f>
        <v/>
      </c>
      <c r="BL373" s="71" t="str">
        <f>IF(AND($AZ373=1),$BA373*100000+ROW(),"")</f>
        <v/>
      </c>
    </row>
    <row r="374">
      <c r="A374" s="63" t="n"/>
      <c r="B374" s="64" t="n"/>
      <c r="C374" s="64" t="n"/>
      <c r="D374" s="64" t="n"/>
      <c r="E374" s="64" t="n"/>
      <c r="F374" s="64" t="n"/>
      <c r="G374" s="65" t="n"/>
      <c r="H374" s="65" t="n"/>
      <c r="I374" s="64" t="n"/>
      <c r="J374" s="64" t="n"/>
      <c r="K374" s="63" t="n"/>
      <c r="L374" s="63" t="n"/>
      <c r="M374" s="64" t="n"/>
      <c r="N374" s="66" t="n"/>
      <c r="O374" s="65" t="n"/>
      <c r="P374" s="64" t="n"/>
      <c r="Q374" s="67" t="n"/>
      <c r="R374" s="67" t="n"/>
      <c r="S374" s="68" t="str">
        <f>IF(AND(ISNUMBER($Q374),ISNUMBER($R374)),$Q374-$R374,"")</f>
        <v/>
      </c>
      <c r="T374" s="65" t="n"/>
      <c r="U374" s="64" t="n"/>
      <c r="V374" s="65" t="n"/>
      <c r="W374" s="63" t="n"/>
      <c r="X374" s="65" t="n"/>
      <c r="Y374" s="63" t="n"/>
      <c r="Z374" s="64" t="n"/>
      <c r="AA374" s="64" t="n"/>
      <c r="AB374" s="65" t="n"/>
      <c r="AC374" s="69" t="str">
        <f>IF(OR($G374="",NOT(ISNUMBER($K374)),$AK374=0),"",MAX(0,ReportDate-$K374))</f>
        <v/>
      </c>
      <c r="AD374" s="69" t="str">
        <f>IF($G374="","",IF($AL374=1,ReportDate-$L374,0))</f>
        <v/>
      </c>
      <c r="AE374" s="70" t="str">
        <f>IF($G374="","",IF($M374="Completed",1,IF(ISNUMBER($N374),$N374,0)))</f>
        <v/>
      </c>
      <c r="AF374" s="70" t="str">
        <f>IF(AND(ISNUMBER($Q374),ISNUMBER($R374)),IF($R374&lt;&gt;0,$Q374/$R374,""),"")</f>
        <v/>
      </c>
      <c r="AG374" s="71" t="str">
        <f>IF($G374="","",IF($AL374=1,"OVERDUE",IF($AM374=1,"BLOCKED",IF($AN374=1,"DUE TODAY",IF($AO374=1,"DUE TOMORROW",IF($AQ374=1,"HIGH PRIORITY",IF($AR374=1,"NO RECENT UPDATE",""))))))) </f>
        <v/>
      </c>
      <c r="AH374" s="71" t="str">
        <f>IF($G374="","",IF(ISNUMBER($A374),IF(ISNUMBER($A374),YEAR($A374)&amp;"-"&amp;TEXT(MONTH($A374),"00"),""),IF(ISNUMBER($L374),IF(ISNUMBER($L374),YEAR($L374)&amp;"-"&amp;TEXT(MONTH($L374),"00"),""),"")))</f>
        <v/>
      </c>
      <c r="AI374" s="71">
        <f>IF($G374="",0,IF(AND(OR(fClient="All",$C374=fClient),OR(fCampaign="All",$D374=fCampaign),OR(fTeam="All",$B374=fTeam),OR(fChannel="All",$F374=fChannel),OR(fMonth="All",$AH374=fMonth),OR(fTStatus="All",$M374=fTStatus)),1,0))</f>
        <v>0</v>
      </c>
      <c r="AJ374" s="71">
        <f>IF($G374="",0,IF(AND(OR(fClient="All",$C374=fClient),OR(fCampaign="All",$D374=fCampaign),OR(fTeam="All",$B374=fTeam),OR(fChannel="All",$F374=fChannel)),1,0))</f>
        <v>0</v>
      </c>
      <c r="AK374" s="71">
        <f>IF($G374="",0,IF(OR($M374="Completed",$M374="Cancelled"),0,1))</f>
        <v>0</v>
      </c>
      <c r="AL374" s="71">
        <f>IF(AND($AK374=1,ISNUMBER($L374)),IF($L374&lt;ReportDate,1,0),0)</f>
        <v>0</v>
      </c>
      <c r="AM374" s="71">
        <f>IF(AND($G374&lt;&gt;"",$M374="Blocked"),1,0)</f>
        <v>0</v>
      </c>
      <c r="AN374" s="71">
        <f>IF(AND($AK374=1,ISNUMBER($L374)),IF($L374=ReportDate,1,0),0)</f>
        <v>0</v>
      </c>
      <c r="AO374" s="71">
        <f>IF(AND($AK374=1,ISNUMBER($L374)),IF($L374=ReportDate+1,1,0),0)</f>
        <v>0</v>
      </c>
      <c r="AP374" s="71">
        <f>IF(AND($AK374=1,ISNUMBER($L374)),IF(AND($L374&gt;=ReportDate,$L374&lt;=ReportDate+DueSoonDays),1,0),0)</f>
        <v>0</v>
      </c>
      <c r="AQ374" s="71">
        <f>IF(AND($AK374=1,OR($I374="Critical",$I374="High")),1,0)</f>
        <v>0</v>
      </c>
      <c r="AR374" s="71">
        <f>IF($AK374=1,IF(ISNUMBER($Y374),IF(ReportDate-$Y374&gt;StaleDays,1,0),1),0)</f>
        <v>0</v>
      </c>
      <c r="AS374" s="71">
        <f>IF(AND($G374&lt;&gt;"",ISNUMBER($Q374),ISNUMBER($R374)),IF(AND($Q374&lt;$R374,OR($M374="Completed",AND(ISNUMBER($L374),$L374&lt;ReportDate))),1,0),0)</f>
        <v>0</v>
      </c>
      <c r="AT374" s="71">
        <f>IF($AK374=1,IF(OR($L374=ReportDate,$W374=ReportDate,$K374=ReportDate,$A374=ReportDate),1,0),0)</f>
        <v>0</v>
      </c>
      <c r="AU374" s="71">
        <f>IF($AK374=1,IF(OR($L374=ReportDate+1,$W374=ReportDate+1,$K374=ReportDate+1,$A374=ReportDate+1),1,0),0)</f>
        <v>0</v>
      </c>
      <c r="AV374" s="71">
        <f>IF(AND($G374&lt;&gt;"",$M374="Completed"),IF(OR($Y374=ReportDate-1,$A374=ReportDate-1),1,0),0)</f>
        <v>0</v>
      </c>
      <c r="AW374" s="71">
        <f>IF(AND($AK374=1,$Z374="Yes"),1,0)</f>
        <v>0</v>
      </c>
      <c r="AX374" s="71">
        <f>IF(AND($AK374=1,$AA374="Yes"),1,0)</f>
        <v>0</v>
      </c>
      <c r="AY374" s="71">
        <f>IF(AND($AM374=1,OR($I374="Critical",$I374="High")),1,0)</f>
        <v>0</v>
      </c>
      <c r="AZ374" s="71">
        <f>IF(AND($AK374=1,OR($C374=TCL_Client,$C374=MECCA_Client)),1,0)</f>
        <v>0</v>
      </c>
      <c r="BA374" s="71" t="str">
        <f>IF($G374="","",IFERROR(MATCH($I374,lst_Priority,0),5))</f>
        <v/>
      </c>
      <c r="BB374" s="71" t="str">
        <f>IF(AND($AL374=1,$AJ374=1),$BA374*100000+ROW(),"")</f>
        <v/>
      </c>
      <c r="BC374" s="71" t="str">
        <f>IF(AND($AM374=1,$AJ374=1),$BA374*100000+ROW(),"")</f>
        <v/>
      </c>
      <c r="BD374" s="71" t="str">
        <f>IF(AND($AP374=1,$AJ374=1),$BA374*100000+ROW(),"")</f>
        <v/>
      </c>
      <c r="BE374" s="71" t="str">
        <f>IF(AND($AT374=1,$AJ374=1),$BA374*100000+ROW(),"")</f>
        <v/>
      </c>
      <c r="BF374" s="71" t="str">
        <f>IF(AND($AU374=1,$AJ374=1),$BA374*100000+ROW(),"")</f>
        <v/>
      </c>
      <c r="BG374" s="71" t="str">
        <f>IF(AND($AV374=1,$AJ374=1),$BA374*100000+ROW(),"")</f>
        <v/>
      </c>
      <c r="BH374" s="71" t="str">
        <f>IF(AND($AW374=1,$AJ374=1),$BA374*100000+ROW(),"")</f>
        <v/>
      </c>
      <c r="BI374" s="71" t="str">
        <f>IF(AND($AX374=1,$AJ374=1),$BA374*100000+ROW(),"")</f>
        <v/>
      </c>
      <c r="BJ374" s="71" t="str">
        <f>IF(AND($AS374=1,$AJ374=1),$BA374*100000+ROW(),"")</f>
        <v/>
      </c>
      <c r="BK374" s="71" t="str">
        <f>IF(AND($AY374=1,$AJ374=1),$BA374*100000+ROW(),"")</f>
        <v/>
      </c>
      <c r="BL374" s="71" t="str">
        <f>IF(AND($AZ374=1),$BA374*100000+ROW(),"")</f>
        <v/>
      </c>
    </row>
    <row r="375">
      <c r="A375" s="63" t="n"/>
      <c r="B375" s="64" t="n"/>
      <c r="C375" s="64" t="n"/>
      <c r="D375" s="64" t="n"/>
      <c r="E375" s="64" t="n"/>
      <c r="F375" s="64" t="n"/>
      <c r="G375" s="65" t="n"/>
      <c r="H375" s="65" t="n"/>
      <c r="I375" s="64" t="n"/>
      <c r="J375" s="64" t="n"/>
      <c r="K375" s="63" t="n"/>
      <c r="L375" s="63" t="n"/>
      <c r="M375" s="64" t="n"/>
      <c r="N375" s="66" t="n"/>
      <c r="O375" s="65" t="n"/>
      <c r="P375" s="64" t="n"/>
      <c r="Q375" s="67" t="n"/>
      <c r="R375" s="67" t="n"/>
      <c r="S375" s="68" t="str">
        <f>IF(AND(ISNUMBER($Q375),ISNUMBER($R375)),$Q375-$R375,"")</f>
        <v/>
      </c>
      <c r="T375" s="65" t="n"/>
      <c r="U375" s="64" t="n"/>
      <c r="V375" s="65" t="n"/>
      <c r="W375" s="63" t="n"/>
      <c r="X375" s="65" t="n"/>
      <c r="Y375" s="63" t="n"/>
      <c r="Z375" s="64" t="n"/>
      <c r="AA375" s="64" t="n"/>
      <c r="AB375" s="65" t="n"/>
      <c r="AC375" s="69" t="str">
        <f>IF(OR($G375="",NOT(ISNUMBER($K375)),$AK375=0),"",MAX(0,ReportDate-$K375))</f>
        <v/>
      </c>
      <c r="AD375" s="69" t="str">
        <f>IF($G375="","",IF($AL375=1,ReportDate-$L375,0))</f>
        <v/>
      </c>
      <c r="AE375" s="70" t="str">
        <f>IF($G375="","",IF($M375="Completed",1,IF(ISNUMBER($N375),$N375,0)))</f>
        <v/>
      </c>
      <c r="AF375" s="70" t="str">
        <f>IF(AND(ISNUMBER($Q375),ISNUMBER($R375)),IF($R375&lt;&gt;0,$Q375/$R375,""),"")</f>
        <v/>
      </c>
      <c r="AG375" s="71" t="str">
        <f>IF($G375="","",IF($AL375=1,"OVERDUE",IF($AM375=1,"BLOCKED",IF($AN375=1,"DUE TODAY",IF($AO375=1,"DUE TOMORROW",IF($AQ375=1,"HIGH PRIORITY",IF($AR375=1,"NO RECENT UPDATE",""))))))) </f>
        <v/>
      </c>
      <c r="AH375" s="71" t="str">
        <f>IF($G375="","",IF(ISNUMBER($A375),IF(ISNUMBER($A375),YEAR($A375)&amp;"-"&amp;TEXT(MONTH($A375),"00"),""),IF(ISNUMBER($L375),IF(ISNUMBER($L375),YEAR($L375)&amp;"-"&amp;TEXT(MONTH($L375),"00"),""),"")))</f>
        <v/>
      </c>
      <c r="AI375" s="71">
        <f>IF($G375="",0,IF(AND(OR(fClient="All",$C375=fClient),OR(fCampaign="All",$D375=fCampaign),OR(fTeam="All",$B375=fTeam),OR(fChannel="All",$F375=fChannel),OR(fMonth="All",$AH375=fMonth),OR(fTStatus="All",$M375=fTStatus)),1,0))</f>
        <v>0</v>
      </c>
      <c r="AJ375" s="71">
        <f>IF($G375="",0,IF(AND(OR(fClient="All",$C375=fClient),OR(fCampaign="All",$D375=fCampaign),OR(fTeam="All",$B375=fTeam),OR(fChannel="All",$F375=fChannel)),1,0))</f>
        <v>0</v>
      </c>
      <c r="AK375" s="71">
        <f>IF($G375="",0,IF(OR($M375="Completed",$M375="Cancelled"),0,1))</f>
        <v>0</v>
      </c>
      <c r="AL375" s="71">
        <f>IF(AND($AK375=1,ISNUMBER($L375)),IF($L375&lt;ReportDate,1,0),0)</f>
        <v>0</v>
      </c>
      <c r="AM375" s="71">
        <f>IF(AND($G375&lt;&gt;"",$M375="Blocked"),1,0)</f>
        <v>0</v>
      </c>
      <c r="AN375" s="71">
        <f>IF(AND($AK375=1,ISNUMBER($L375)),IF($L375=ReportDate,1,0),0)</f>
        <v>0</v>
      </c>
      <c r="AO375" s="71">
        <f>IF(AND($AK375=1,ISNUMBER($L375)),IF($L375=ReportDate+1,1,0),0)</f>
        <v>0</v>
      </c>
      <c r="AP375" s="71">
        <f>IF(AND($AK375=1,ISNUMBER($L375)),IF(AND($L375&gt;=ReportDate,$L375&lt;=ReportDate+DueSoonDays),1,0),0)</f>
        <v>0</v>
      </c>
      <c r="AQ375" s="71">
        <f>IF(AND($AK375=1,OR($I375="Critical",$I375="High")),1,0)</f>
        <v>0</v>
      </c>
      <c r="AR375" s="71">
        <f>IF($AK375=1,IF(ISNUMBER($Y375),IF(ReportDate-$Y375&gt;StaleDays,1,0),1),0)</f>
        <v>0</v>
      </c>
      <c r="AS375" s="71">
        <f>IF(AND($G375&lt;&gt;"",ISNUMBER($Q375),ISNUMBER($R375)),IF(AND($Q375&lt;$R375,OR($M375="Completed",AND(ISNUMBER($L375),$L375&lt;ReportDate))),1,0),0)</f>
        <v>0</v>
      </c>
      <c r="AT375" s="71">
        <f>IF($AK375=1,IF(OR($L375=ReportDate,$W375=ReportDate,$K375=ReportDate,$A375=ReportDate),1,0),0)</f>
        <v>0</v>
      </c>
      <c r="AU375" s="71">
        <f>IF($AK375=1,IF(OR($L375=ReportDate+1,$W375=ReportDate+1,$K375=ReportDate+1,$A375=ReportDate+1),1,0),0)</f>
        <v>0</v>
      </c>
      <c r="AV375" s="71">
        <f>IF(AND($G375&lt;&gt;"",$M375="Completed"),IF(OR($Y375=ReportDate-1,$A375=ReportDate-1),1,0),0)</f>
        <v>0</v>
      </c>
      <c r="AW375" s="71">
        <f>IF(AND($AK375=1,$Z375="Yes"),1,0)</f>
        <v>0</v>
      </c>
      <c r="AX375" s="71">
        <f>IF(AND($AK375=1,$AA375="Yes"),1,0)</f>
        <v>0</v>
      </c>
      <c r="AY375" s="71">
        <f>IF(AND($AM375=1,OR($I375="Critical",$I375="High")),1,0)</f>
        <v>0</v>
      </c>
      <c r="AZ375" s="71">
        <f>IF(AND($AK375=1,OR($C375=TCL_Client,$C375=MECCA_Client)),1,0)</f>
        <v>0</v>
      </c>
      <c r="BA375" s="71" t="str">
        <f>IF($G375="","",IFERROR(MATCH($I375,lst_Priority,0),5))</f>
        <v/>
      </c>
      <c r="BB375" s="71" t="str">
        <f>IF(AND($AL375=1,$AJ375=1),$BA375*100000+ROW(),"")</f>
        <v/>
      </c>
      <c r="BC375" s="71" t="str">
        <f>IF(AND($AM375=1,$AJ375=1),$BA375*100000+ROW(),"")</f>
        <v/>
      </c>
      <c r="BD375" s="71" t="str">
        <f>IF(AND($AP375=1,$AJ375=1),$BA375*100000+ROW(),"")</f>
        <v/>
      </c>
      <c r="BE375" s="71" t="str">
        <f>IF(AND($AT375=1,$AJ375=1),$BA375*100000+ROW(),"")</f>
        <v/>
      </c>
      <c r="BF375" s="71" t="str">
        <f>IF(AND($AU375=1,$AJ375=1),$BA375*100000+ROW(),"")</f>
        <v/>
      </c>
      <c r="BG375" s="71" t="str">
        <f>IF(AND($AV375=1,$AJ375=1),$BA375*100000+ROW(),"")</f>
        <v/>
      </c>
      <c r="BH375" s="71" t="str">
        <f>IF(AND($AW375=1,$AJ375=1),$BA375*100000+ROW(),"")</f>
        <v/>
      </c>
      <c r="BI375" s="71" t="str">
        <f>IF(AND($AX375=1,$AJ375=1),$BA375*100000+ROW(),"")</f>
        <v/>
      </c>
      <c r="BJ375" s="71" t="str">
        <f>IF(AND($AS375=1,$AJ375=1),$BA375*100000+ROW(),"")</f>
        <v/>
      </c>
      <c r="BK375" s="71" t="str">
        <f>IF(AND($AY375=1,$AJ375=1),$BA375*100000+ROW(),"")</f>
        <v/>
      </c>
      <c r="BL375" s="71" t="str">
        <f>IF(AND($AZ375=1),$BA375*100000+ROW(),"")</f>
        <v/>
      </c>
    </row>
    <row r="376">
      <c r="A376" s="63" t="n"/>
      <c r="B376" s="64" t="n"/>
      <c r="C376" s="64" t="n"/>
      <c r="D376" s="64" t="n"/>
      <c r="E376" s="64" t="n"/>
      <c r="F376" s="64" t="n"/>
      <c r="G376" s="65" t="n"/>
      <c r="H376" s="65" t="n"/>
      <c r="I376" s="64" t="n"/>
      <c r="J376" s="64" t="n"/>
      <c r="K376" s="63" t="n"/>
      <c r="L376" s="63" t="n"/>
      <c r="M376" s="64" t="n"/>
      <c r="N376" s="66" t="n"/>
      <c r="O376" s="65" t="n"/>
      <c r="P376" s="64" t="n"/>
      <c r="Q376" s="67" t="n"/>
      <c r="R376" s="67" t="n"/>
      <c r="S376" s="68" t="str">
        <f>IF(AND(ISNUMBER($Q376),ISNUMBER($R376)),$Q376-$R376,"")</f>
        <v/>
      </c>
      <c r="T376" s="65" t="n"/>
      <c r="U376" s="64" t="n"/>
      <c r="V376" s="65" t="n"/>
      <c r="W376" s="63" t="n"/>
      <c r="X376" s="65" t="n"/>
      <c r="Y376" s="63" t="n"/>
      <c r="Z376" s="64" t="n"/>
      <c r="AA376" s="64" t="n"/>
      <c r="AB376" s="65" t="n"/>
      <c r="AC376" s="69" t="str">
        <f>IF(OR($G376="",NOT(ISNUMBER($K376)),$AK376=0),"",MAX(0,ReportDate-$K376))</f>
        <v/>
      </c>
      <c r="AD376" s="69" t="str">
        <f>IF($G376="","",IF($AL376=1,ReportDate-$L376,0))</f>
        <v/>
      </c>
      <c r="AE376" s="70" t="str">
        <f>IF($G376="","",IF($M376="Completed",1,IF(ISNUMBER($N376),$N376,0)))</f>
        <v/>
      </c>
      <c r="AF376" s="70" t="str">
        <f>IF(AND(ISNUMBER($Q376),ISNUMBER($R376)),IF($R376&lt;&gt;0,$Q376/$R376,""),"")</f>
        <v/>
      </c>
      <c r="AG376" s="71" t="str">
        <f>IF($G376="","",IF($AL376=1,"OVERDUE",IF($AM376=1,"BLOCKED",IF($AN376=1,"DUE TODAY",IF($AO376=1,"DUE TOMORROW",IF($AQ376=1,"HIGH PRIORITY",IF($AR376=1,"NO RECENT UPDATE",""))))))) </f>
        <v/>
      </c>
      <c r="AH376" s="71" t="str">
        <f>IF($G376="","",IF(ISNUMBER($A376),IF(ISNUMBER($A376),YEAR($A376)&amp;"-"&amp;TEXT(MONTH($A376),"00"),""),IF(ISNUMBER($L376),IF(ISNUMBER($L376),YEAR($L376)&amp;"-"&amp;TEXT(MONTH($L376),"00"),""),"")))</f>
        <v/>
      </c>
      <c r="AI376" s="71">
        <f>IF($G376="",0,IF(AND(OR(fClient="All",$C376=fClient),OR(fCampaign="All",$D376=fCampaign),OR(fTeam="All",$B376=fTeam),OR(fChannel="All",$F376=fChannel),OR(fMonth="All",$AH376=fMonth),OR(fTStatus="All",$M376=fTStatus)),1,0))</f>
        <v>0</v>
      </c>
      <c r="AJ376" s="71">
        <f>IF($G376="",0,IF(AND(OR(fClient="All",$C376=fClient),OR(fCampaign="All",$D376=fCampaign),OR(fTeam="All",$B376=fTeam),OR(fChannel="All",$F376=fChannel)),1,0))</f>
        <v>0</v>
      </c>
      <c r="AK376" s="71">
        <f>IF($G376="",0,IF(OR($M376="Completed",$M376="Cancelled"),0,1))</f>
        <v>0</v>
      </c>
      <c r="AL376" s="71">
        <f>IF(AND($AK376=1,ISNUMBER($L376)),IF($L376&lt;ReportDate,1,0),0)</f>
        <v>0</v>
      </c>
      <c r="AM376" s="71">
        <f>IF(AND($G376&lt;&gt;"",$M376="Blocked"),1,0)</f>
        <v>0</v>
      </c>
      <c r="AN376" s="71">
        <f>IF(AND($AK376=1,ISNUMBER($L376)),IF($L376=ReportDate,1,0),0)</f>
        <v>0</v>
      </c>
      <c r="AO376" s="71">
        <f>IF(AND($AK376=1,ISNUMBER($L376)),IF($L376=ReportDate+1,1,0),0)</f>
        <v>0</v>
      </c>
      <c r="AP376" s="71">
        <f>IF(AND($AK376=1,ISNUMBER($L376)),IF(AND($L376&gt;=ReportDate,$L376&lt;=ReportDate+DueSoonDays),1,0),0)</f>
        <v>0</v>
      </c>
      <c r="AQ376" s="71">
        <f>IF(AND($AK376=1,OR($I376="Critical",$I376="High")),1,0)</f>
        <v>0</v>
      </c>
      <c r="AR376" s="71">
        <f>IF($AK376=1,IF(ISNUMBER($Y376),IF(ReportDate-$Y376&gt;StaleDays,1,0),1),0)</f>
        <v>0</v>
      </c>
      <c r="AS376" s="71">
        <f>IF(AND($G376&lt;&gt;"",ISNUMBER($Q376),ISNUMBER($R376)),IF(AND($Q376&lt;$R376,OR($M376="Completed",AND(ISNUMBER($L376),$L376&lt;ReportDate))),1,0),0)</f>
        <v>0</v>
      </c>
      <c r="AT376" s="71">
        <f>IF($AK376=1,IF(OR($L376=ReportDate,$W376=ReportDate,$K376=ReportDate,$A376=ReportDate),1,0),0)</f>
        <v>0</v>
      </c>
      <c r="AU376" s="71">
        <f>IF($AK376=1,IF(OR($L376=ReportDate+1,$W376=ReportDate+1,$K376=ReportDate+1,$A376=ReportDate+1),1,0),0)</f>
        <v>0</v>
      </c>
      <c r="AV376" s="71">
        <f>IF(AND($G376&lt;&gt;"",$M376="Completed"),IF(OR($Y376=ReportDate-1,$A376=ReportDate-1),1,0),0)</f>
        <v>0</v>
      </c>
      <c r="AW376" s="71">
        <f>IF(AND($AK376=1,$Z376="Yes"),1,0)</f>
        <v>0</v>
      </c>
      <c r="AX376" s="71">
        <f>IF(AND($AK376=1,$AA376="Yes"),1,0)</f>
        <v>0</v>
      </c>
      <c r="AY376" s="71">
        <f>IF(AND($AM376=1,OR($I376="Critical",$I376="High")),1,0)</f>
        <v>0</v>
      </c>
      <c r="AZ376" s="71">
        <f>IF(AND($AK376=1,OR($C376=TCL_Client,$C376=MECCA_Client)),1,0)</f>
        <v>0</v>
      </c>
      <c r="BA376" s="71" t="str">
        <f>IF($G376="","",IFERROR(MATCH($I376,lst_Priority,0),5))</f>
        <v/>
      </c>
      <c r="BB376" s="71" t="str">
        <f>IF(AND($AL376=1,$AJ376=1),$BA376*100000+ROW(),"")</f>
        <v/>
      </c>
      <c r="BC376" s="71" t="str">
        <f>IF(AND($AM376=1,$AJ376=1),$BA376*100000+ROW(),"")</f>
        <v/>
      </c>
      <c r="BD376" s="71" t="str">
        <f>IF(AND($AP376=1,$AJ376=1),$BA376*100000+ROW(),"")</f>
        <v/>
      </c>
      <c r="BE376" s="71" t="str">
        <f>IF(AND($AT376=1,$AJ376=1),$BA376*100000+ROW(),"")</f>
        <v/>
      </c>
      <c r="BF376" s="71" t="str">
        <f>IF(AND($AU376=1,$AJ376=1),$BA376*100000+ROW(),"")</f>
        <v/>
      </c>
      <c r="BG376" s="71" t="str">
        <f>IF(AND($AV376=1,$AJ376=1),$BA376*100000+ROW(),"")</f>
        <v/>
      </c>
      <c r="BH376" s="71" t="str">
        <f>IF(AND($AW376=1,$AJ376=1),$BA376*100000+ROW(),"")</f>
        <v/>
      </c>
      <c r="BI376" s="71" t="str">
        <f>IF(AND($AX376=1,$AJ376=1),$BA376*100000+ROW(),"")</f>
        <v/>
      </c>
      <c r="BJ376" s="71" t="str">
        <f>IF(AND($AS376=1,$AJ376=1),$BA376*100000+ROW(),"")</f>
        <v/>
      </c>
      <c r="BK376" s="71" t="str">
        <f>IF(AND($AY376=1,$AJ376=1),$BA376*100000+ROW(),"")</f>
        <v/>
      </c>
      <c r="BL376" s="71" t="str">
        <f>IF(AND($AZ376=1),$BA376*100000+ROW(),"")</f>
        <v/>
      </c>
    </row>
    <row r="377">
      <c r="A377" s="63" t="n"/>
      <c r="B377" s="64" t="n"/>
      <c r="C377" s="64" t="n"/>
      <c r="D377" s="64" t="n"/>
      <c r="E377" s="64" t="n"/>
      <c r="F377" s="64" t="n"/>
      <c r="G377" s="65" t="n"/>
      <c r="H377" s="65" t="n"/>
      <c r="I377" s="64" t="n"/>
      <c r="J377" s="64" t="n"/>
      <c r="K377" s="63" t="n"/>
      <c r="L377" s="63" t="n"/>
      <c r="M377" s="64" t="n"/>
      <c r="N377" s="66" t="n"/>
      <c r="O377" s="65" t="n"/>
      <c r="P377" s="64" t="n"/>
      <c r="Q377" s="67" t="n"/>
      <c r="R377" s="67" t="n"/>
      <c r="S377" s="68" t="str">
        <f>IF(AND(ISNUMBER($Q377),ISNUMBER($R377)),$Q377-$R377,"")</f>
        <v/>
      </c>
      <c r="T377" s="65" t="n"/>
      <c r="U377" s="64" t="n"/>
      <c r="V377" s="65" t="n"/>
      <c r="W377" s="63" t="n"/>
      <c r="X377" s="65" t="n"/>
      <c r="Y377" s="63" t="n"/>
      <c r="Z377" s="64" t="n"/>
      <c r="AA377" s="64" t="n"/>
      <c r="AB377" s="65" t="n"/>
      <c r="AC377" s="69" t="str">
        <f>IF(OR($G377="",NOT(ISNUMBER($K377)),$AK377=0),"",MAX(0,ReportDate-$K377))</f>
        <v/>
      </c>
      <c r="AD377" s="69" t="str">
        <f>IF($G377="","",IF($AL377=1,ReportDate-$L377,0))</f>
        <v/>
      </c>
      <c r="AE377" s="70" t="str">
        <f>IF($G377="","",IF($M377="Completed",1,IF(ISNUMBER($N377),$N377,0)))</f>
        <v/>
      </c>
      <c r="AF377" s="70" t="str">
        <f>IF(AND(ISNUMBER($Q377),ISNUMBER($R377)),IF($R377&lt;&gt;0,$Q377/$R377,""),"")</f>
        <v/>
      </c>
      <c r="AG377" s="71" t="str">
        <f>IF($G377="","",IF($AL377=1,"OVERDUE",IF($AM377=1,"BLOCKED",IF($AN377=1,"DUE TODAY",IF($AO377=1,"DUE TOMORROW",IF($AQ377=1,"HIGH PRIORITY",IF($AR377=1,"NO RECENT UPDATE",""))))))) </f>
        <v/>
      </c>
      <c r="AH377" s="71" t="str">
        <f>IF($G377="","",IF(ISNUMBER($A377),IF(ISNUMBER($A377),YEAR($A377)&amp;"-"&amp;TEXT(MONTH($A377),"00"),""),IF(ISNUMBER($L377),IF(ISNUMBER($L377),YEAR($L377)&amp;"-"&amp;TEXT(MONTH($L377),"00"),""),"")))</f>
        <v/>
      </c>
      <c r="AI377" s="71">
        <f>IF($G377="",0,IF(AND(OR(fClient="All",$C377=fClient),OR(fCampaign="All",$D377=fCampaign),OR(fTeam="All",$B377=fTeam),OR(fChannel="All",$F377=fChannel),OR(fMonth="All",$AH377=fMonth),OR(fTStatus="All",$M377=fTStatus)),1,0))</f>
        <v>0</v>
      </c>
      <c r="AJ377" s="71">
        <f>IF($G377="",0,IF(AND(OR(fClient="All",$C377=fClient),OR(fCampaign="All",$D377=fCampaign),OR(fTeam="All",$B377=fTeam),OR(fChannel="All",$F377=fChannel)),1,0))</f>
        <v>0</v>
      </c>
      <c r="AK377" s="71">
        <f>IF($G377="",0,IF(OR($M377="Completed",$M377="Cancelled"),0,1))</f>
        <v>0</v>
      </c>
      <c r="AL377" s="71">
        <f>IF(AND($AK377=1,ISNUMBER($L377)),IF($L377&lt;ReportDate,1,0),0)</f>
        <v>0</v>
      </c>
      <c r="AM377" s="71">
        <f>IF(AND($G377&lt;&gt;"",$M377="Blocked"),1,0)</f>
        <v>0</v>
      </c>
      <c r="AN377" s="71">
        <f>IF(AND($AK377=1,ISNUMBER($L377)),IF($L377=ReportDate,1,0),0)</f>
        <v>0</v>
      </c>
      <c r="AO377" s="71">
        <f>IF(AND($AK377=1,ISNUMBER($L377)),IF($L377=ReportDate+1,1,0),0)</f>
        <v>0</v>
      </c>
      <c r="AP377" s="71">
        <f>IF(AND($AK377=1,ISNUMBER($L377)),IF(AND($L377&gt;=ReportDate,$L377&lt;=ReportDate+DueSoonDays),1,0),0)</f>
        <v>0</v>
      </c>
      <c r="AQ377" s="71">
        <f>IF(AND($AK377=1,OR($I377="Critical",$I377="High")),1,0)</f>
        <v>0</v>
      </c>
      <c r="AR377" s="71">
        <f>IF($AK377=1,IF(ISNUMBER($Y377),IF(ReportDate-$Y377&gt;StaleDays,1,0),1),0)</f>
        <v>0</v>
      </c>
      <c r="AS377" s="71">
        <f>IF(AND($G377&lt;&gt;"",ISNUMBER($Q377),ISNUMBER($R377)),IF(AND($Q377&lt;$R377,OR($M377="Completed",AND(ISNUMBER($L377),$L377&lt;ReportDate))),1,0),0)</f>
        <v>0</v>
      </c>
      <c r="AT377" s="71">
        <f>IF($AK377=1,IF(OR($L377=ReportDate,$W377=ReportDate,$K377=ReportDate,$A377=ReportDate),1,0),0)</f>
        <v>0</v>
      </c>
      <c r="AU377" s="71">
        <f>IF($AK377=1,IF(OR($L377=ReportDate+1,$W377=ReportDate+1,$K377=ReportDate+1,$A377=ReportDate+1),1,0),0)</f>
        <v>0</v>
      </c>
      <c r="AV377" s="71">
        <f>IF(AND($G377&lt;&gt;"",$M377="Completed"),IF(OR($Y377=ReportDate-1,$A377=ReportDate-1),1,0),0)</f>
        <v>0</v>
      </c>
      <c r="AW377" s="71">
        <f>IF(AND($AK377=1,$Z377="Yes"),1,0)</f>
        <v>0</v>
      </c>
      <c r="AX377" s="71">
        <f>IF(AND($AK377=1,$AA377="Yes"),1,0)</f>
        <v>0</v>
      </c>
      <c r="AY377" s="71">
        <f>IF(AND($AM377=1,OR($I377="Critical",$I377="High")),1,0)</f>
        <v>0</v>
      </c>
      <c r="AZ377" s="71">
        <f>IF(AND($AK377=1,OR($C377=TCL_Client,$C377=MECCA_Client)),1,0)</f>
        <v>0</v>
      </c>
      <c r="BA377" s="71" t="str">
        <f>IF($G377="","",IFERROR(MATCH($I377,lst_Priority,0),5))</f>
        <v/>
      </c>
      <c r="BB377" s="71" t="str">
        <f>IF(AND($AL377=1,$AJ377=1),$BA377*100000+ROW(),"")</f>
        <v/>
      </c>
      <c r="BC377" s="71" t="str">
        <f>IF(AND($AM377=1,$AJ377=1),$BA377*100000+ROW(),"")</f>
        <v/>
      </c>
      <c r="BD377" s="71" t="str">
        <f>IF(AND($AP377=1,$AJ377=1),$BA377*100000+ROW(),"")</f>
        <v/>
      </c>
      <c r="BE377" s="71" t="str">
        <f>IF(AND($AT377=1,$AJ377=1),$BA377*100000+ROW(),"")</f>
        <v/>
      </c>
      <c r="BF377" s="71" t="str">
        <f>IF(AND($AU377=1,$AJ377=1),$BA377*100000+ROW(),"")</f>
        <v/>
      </c>
      <c r="BG377" s="71" t="str">
        <f>IF(AND($AV377=1,$AJ377=1),$BA377*100000+ROW(),"")</f>
        <v/>
      </c>
      <c r="BH377" s="71" t="str">
        <f>IF(AND($AW377=1,$AJ377=1),$BA377*100000+ROW(),"")</f>
        <v/>
      </c>
      <c r="BI377" s="71" t="str">
        <f>IF(AND($AX377=1,$AJ377=1),$BA377*100000+ROW(),"")</f>
        <v/>
      </c>
      <c r="BJ377" s="71" t="str">
        <f>IF(AND($AS377=1,$AJ377=1),$BA377*100000+ROW(),"")</f>
        <v/>
      </c>
      <c r="BK377" s="71" t="str">
        <f>IF(AND($AY377=1,$AJ377=1),$BA377*100000+ROW(),"")</f>
        <v/>
      </c>
      <c r="BL377" s="71" t="str">
        <f>IF(AND($AZ377=1),$BA377*100000+ROW(),"")</f>
        <v/>
      </c>
    </row>
    <row r="378">
      <c r="A378" s="63" t="n"/>
      <c r="B378" s="64" t="n"/>
      <c r="C378" s="64" t="n"/>
      <c r="D378" s="64" t="n"/>
      <c r="E378" s="64" t="n"/>
      <c r="F378" s="64" t="n"/>
      <c r="G378" s="65" t="n"/>
      <c r="H378" s="65" t="n"/>
      <c r="I378" s="64" t="n"/>
      <c r="J378" s="64" t="n"/>
      <c r="K378" s="63" t="n"/>
      <c r="L378" s="63" t="n"/>
      <c r="M378" s="64" t="n"/>
      <c r="N378" s="66" t="n"/>
      <c r="O378" s="65" t="n"/>
      <c r="P378" s="64" t="n"/>
      <c r="Q378" s="67" t="n"/>
      <c r="R378" s="67" t="n"/>
      <c r="S378" s="68" t="str">
        <f>IF(AND(ISNUMBER($Q378),ISNUMBER($R378)),$Q378-$R378,"")</f>
        <v/>
      </c>
      <c r="T378" s="65" t="n"/>
      <c r="U378" s="64" t="n"/>
      <c r="V378" s="65" t="n"/>
      <c r="W378" s="63" t="n"/>
      <c r="X378" s="65" t="n"/>
      <c r="Y378" s="63" t="n"/>
      <c r="Z378" s="64" t="n"/>
      <c r="AA378" s="64" t="n"/>
      <c r="AB378" s="65" t="n"/>
      <c r="AC378" s="69" t="str">
        <f>IF(OR($G378="",NOT(ISNUMBER($K378)),$AK378=0),"",MAX(0,ReportDate-$K378))</f>
        <v/>
      </c>
      <c r="AD378" s="69" t="str">
        <f>IF($G378="","",IF($AL378=1,ReportDate-$L378,0))</f>
        <v/>
      </c>
      <c r="AE378" s="70" t="str">
        <f>IF($G378="","",IF($M378="Completed",1,IF(ISNUMBER($N378),$N378,0)))</f>
        <v/>
      </c>
      <c r="AF378" s="70" t="str">
        <f>IF(AND(ISNUMBER($Q378),ISNUMBER($R378)),IF($R378&lt;&gt;0,$Q378/$R378,""),"")</f>
        <v/>
      </c>
      <c r="AG378" s="71" t="str">
        <f>IF($G378="","",IF($AL378=1,"OVERDUE",IF($AM378=1,"BLOCKED",IF($AN378=1,"DUE TODAY",IF($AO378=1,"DUE TOMORROW",IF($AQ378=1,"HIGH PRIORITY",IF($AR378=1,"NO RECENT UPDATE",""))))))) </f>
        <v/>
      </c>
      <c r="AH378" s="71" t="str">
        <f>IF($G378="","",IF(ISNUMBER($A378),IF(ISNUMBER($A378),YEAR($A378)&amp;"-"&amp;TEXT(MONTH($A378),"00"),""),IF(ISNUMBER($L378),IF(ISNUMBER($L378),YEAR($L378)&amp;"-"&amp;TEXT(MONTH($L378),"00"),""),"")))</f>
        <v/>
      </c>
      <c r="AI378" s="71">
        <f>IF($G378="",0,IF(AND(OR(fClient="All",$C378=fClient),OR(fCampaign="All",$D378=fCampaign),OR(fTeam="All",$B378=fTeam),OR(fChannel="All",$F378=fChannel),OR(fMonth="All",$AH378=fMonth),OR(fTStatus="All",$M378=fTStatus)),1,0))</f>
        <v>0</v>
      </c>
      <c r="AJ378" s="71">
        <f>IF($G378="",0,IF(AND(OR(fClient="All",$C378=fClient),OR(fCampaign="All",$D378=fCampaign),OR(fTeam="All",$B378=fTeam),OR(fChannel="All",$F378=fChannel)),1,0))</f>
        <v>0</v>
      </c>
      <c r="AK378" s="71">
        <f>IF($G378="",0,IF(OR($M378="Completed",$M378="Cancelled"),0,1))</f>
        <v>0</v>
      </c>
      <c r="AL378" s="71">
        <f>IF(AND($AK378=1,ISNUMBER($L378)),IF($L378&lt;ReportDate,1,0),0)</f>
        <v>0</v>
      </c>
      <c r="AM378" s="71">
        <f>IF(AND($G378&lt;&gt;"",$M378="Blocked"),1,0)</f>
        <v>0</v>
      </c>
      <c r="AN378" s="71">
        <f>IF(AND($AK378=1,ISNUMBER($L378)),IF($L378=ReportDate,1,0),0)</f>
        <v>0</v>
      </c>
      <c r="AO378" s="71">
        <f>IF(AND($AK378=1,ISNUMBER($L378)),IF($L378=ReportDate+1,1,0),0)</f>
        <v>0</v>
      </c>
      <c r="AP378" s="71">
        <f>IF(AND($AK378=1,ISNUMBER($L378)),IF(AND($L378&gt;=ReportDate,$L378&lt;=ReportDate+DueSoonDays),1,0),0)</f>
        <v>0</v>
      </c>
      <c r="AQ378" s="71">
        <f>IF(AND($AK378=1,OR($I378="Critical",$I378="High")),1,0)</f>
        <v>0</v>
      </c>
      <c r="AR378" s="71">
        <f>IF($AK378=1,IF(ISNUMBER($Y378),IF(ReportDate-$Y378&gt;StaleDays,1,0),1),0)</f>
        <v>0</v>
      </c>
      <c r="AS378" s="71">
        <f>IF(AND($G378&lt;&gt;"",ISNUMBER($Q378),ISNUMBER($R378)),IF(AND($Q378&lt;$R378,OR($M378="Completed",AND(ISNUMBER($L378),$L378&lt;ReportDate))),1,0),0)</f>
        <v>0</v>
      </c>
      <c r="AT378" s="71">
        <f>IF($AK378=1,IF(OR($L378=ReportDate,$W378=ReportDate,$K378=ReportDate,$A378=ReportDate),1,0),0)</f>
        <v>0</v>
      </c>
      <c r="AU378" s="71">
        <f>IF($AK378=1,IF(OR($L378=ReportDate+1,$W378=ReportDate+1,$K378=ReportDate+1,$A378=ReportDate+1),1,0),0)</f>
        <v>0</v>
      </c>
      <c r="AV378" s="71">
        <f>IF(AND($G378&lt;&gt;"",$M378="Completed"),IF(OR($Y378=ReportDate-1,$A378=ReportDate-1),1,0),0)</f>
        <v>0</v>
      </c>
      <c r="AW378" s="71">
        <f>IF(AND($AK378=1,$Z378="Yes"),1,0)</f>
        <v>0</v>
      </c>
      <c r="AX378" s="71">
        <f>IF(AND($AK378=1,$AA378="Yes"),1,0)</f>
        <v>0</v>
      </c>
      <c r="AY378" s="71">
        <f>IF(AND($AM378=1,OR($I378="Critical",$I378="High")),1,0)</f>
        <v>0</v>
      </c>
      <c r="AZ378" s="71">
        <f>IF(AND($AK378=1,OR($C378=TCL_Client,$C378=MECCA_Client)),1,0)</f>
        <v>0</v>
      </c>
      <c r="BA378" s="71" t="str">
        <f>IF($G378="","",IFERROR(MATCH($I378,lst_Priority,0),5))</f>
        <v/>
      </c>
      <c r="BB378" s="71" t="str">
        <f>IF(AND($AL378=1,$AJ378=1),$BA378*100000+ROW(),"")</f>
        <v/>
      </c>
      <c r="BC378" s="71" t="str">
        <f>IF(AND($AM378=1,$AJ378=1),$BA378*100000+ROW(),"")</f>
        <v/>
      </c>
      <c r="BD378" s="71" t="str">
        <f>IF(AND($AP378=1,$AJ378=1),$BA378*100000+ROW(),"")</f>
        <v/>
      </c>
      <c r="BE378" s="71" t="str">
        <f>IF(AND($AT378=1,$AJ378=1),$BA378*100000+ROW(),"")</f>
        <v/>
      </c>
      <c r="BF378" s="71" t="str">
        <f>IF(AND($AU378=1,$AJ378=1),$BA378*100000+ROW(),"")</f>
        <v/>
      </c>
      <c r="BG378" s="71" t="str">
        <f>IF(AND($AV378=1,$AJ378=1),$BA378*100000+ROW(),"")</f>
        <v/>
      </c>
      <c r="BH378" s="71" t="str">
        <f>IF(AND($AW378=1,$AJ378=1),$BA378*100000+ROW(),"")</f>
        <v/>
      </c>
      <c r="BI378" s="71" t="str">
        <f>IF(AND($AX378=1,$AJ378=1),$BA378*100000+ROW(),"")</f>
        <v/>
      </c>
      <c r="BJ378" s="71" t="str">
        <f>IF(AND($AS378=1,$AJ378=1),$BA378*100000+ROW(),"")</f>
        <v/>
      </c>
      <c r="BK378" s="71" t="str">
        <f>IF(AND($AY378=1,$AJ378=1),$BA378*100000+ROW(),"")</f>
        <v/>
      </c>
      <c r="BL378" s="71" t="str">
        <f>IF(AND($AZ378=1),$BA378*100000+ROW(),"")</f>
        <v/>
      </c>
    </row>
    <row r="379">
      <c r="A379" s="63" t="n"/>
      <c r="B379" s="64" t="n"/>
      <c r="C379" s="64" t="n"/>
      <c r="D379" s="64" t="n"/>
      <c r="E379" s="64" t="n"/>
      <c r="F379" s="64" t="n"/>
      <c r="G379" s="65" t="n"/>
      <c r="H379" s="65" t="n"/>
      <c r="I379" s="64" t="n"/>
      <c r="J379" s="64" t="n"/>
      <c r="K379" s="63" t="n"/>
      <c r="L379" s="63" t="n"/>
      <c r="M379" s="64" t="n"/>
      <c r="N379" s="66" t="n"/>
      <c r="O379" s="65" t="n"/>
      <c r="P379" s="64" t="n"/>
      <c r="Q379" s="67" t="n"/>
      <c r="R379" s="67" t="n"/>
      <c r="S379" s="68" t="str">
        <f>IF(AND(ISNUMBER($Q379),ISNUMBER($R379)),$Q379-$R379,"")</f>
        <v/>
      </c>
      <c r="T379" s="65" t="n"/>
      <c r="U379" s="64" t="n"/>
      <c r="V379" s="65" t="n"/>
      <c r="W379" s="63" t="n"/>
      <c r="X379" s="65" t="n"/>
      <c r="Y379" s="63" t="n"/>
      <c r="Z379" s="64" t="n"/>
      <c r="AA379" s="64" t="n"/>
      <c r="AB379" s="65" t="n"/>
      <c r="AC379" s="69" t="str">
        <f>IF(OR($G379="",NOT(ISNUMBER($K379)),$AK379=0),"",MAX(0,ReportDate-$K379))</f>
        <v/>
      </c>
      <c r="AD379" s="69" t="str">
        <f>IF($G379="","",IF($AL379=1,ReportDate-$L379,0))</f>
        <v/>
      </c>
      <c r="AE379" s="70" t="str">
        <f>IF($G379="","",IF($M379="Completed",1,IF(ISNUMBER($N379),$N379,0)))</f>
        <v/>
      </c>
      <c r="AF379" s="70" t="str">
        <f>IF(AND(ISNUMBER($Q379),ISNUMBER($R379)),IF($R379&lt;&gt;0,$Q379/$R379,""),"")</f>
        <v/>
      </c>
      <c r="AG379" s="71" t="str">
        <f>IF($G379="","",IF($AL379=1,"OVERDUE",IF($AM379=1,"BLOCKED",IF($AN379=1,"DUE TODAY",IF($AO379=1,"DUE TOMORROW",IF($AQ379=1,"HIGH PRIORITY",IF($AR379=1,"NO RECENT UPDATE",""))))))) </f>
        <v/>
      </c>
      <c r="AH379" s="71" t="str">
        <f>IF($G379="","",IF(ISNUMBER($A379),IF(ISNUMBER($A379),YEAR($A379)&amp;"-"&amp;TEXT(MONTH($A379),"00"),""),IF(ISNUMBER($L379),IF(ISNUMBER($L379),YEAR($L379)&amp;"-"&amp;TEXT(MONTH($L379),"00"),""),"")))</f>
        <v/>
      </c>
      <c r="AI379" s="71">
        <f>IF($G379="",0,IF(AND(OR(fClient="All",$C379=fClient),OR(fCampaign="All",$D379=fCampaign),OR(fTeam="All",$B379=fTeam),OR(fChannel="All",$F379=fChannel),OR(fMonth="All",$AH379=fMonth),OR(fTStatus="All",$M379=fTStatus)),1,0))</f>
        <v>0</v>
      </c>
      <c r="AJ379" s="71">
        <f>IF($G379="",0,IF(AND(OR(fClient="All",$C379=fClient),OR(fCampaign="All",$D379=fCampaign),OR(fTeam="All",$B379=fTeam),OR(fChannel="All",$F379=fChannel)),1,0))</f>
        <v>0</v>
      </c>
      <c r="AK379" s="71">
        <f>IF($G379="",0,IF(OR($M379="Completed",$M379="Cancelled"),0,1))</f>
        <v>0</v>
      </c>
      <c r="AL379" s="71">
        <f>IF(AND($AK379=1,ISNUMBER($L379)),IF($L379&lt;ReportDate,1,0),0)</f>
        <v>0</v>
      </c>
      <c r="AM379" s="71">
        <f>IF(AND($G379&lt;&gt;"",$M379="Blocked"),1,0)</f>
        <v>0</v>
      </c>
      <c r="AN379" s="71">
        <f>IF(AND($AK379=1,ISNUMBER($L379)),IF($L379=ReportDate,1,0),0)</f>
        <v>0</v>
      </c>
      <c r="AO379" s="71">
        <f>IF(AND($AK379=1,ISNUMBER($L379)),IF($L379=ReportDate+1,1,0),0)</f>
        <v>0</v>
      </c>
      <c r="AP379" s="71">
        <f>IF(AND($AK379=1,ISNUMBER($L379)),IF(AND($L379&gt;=ReportDate,$L379&lt;=ReportDate+DueSoonDays),1,0),0)</f>
        <v>0</v>
      </c>
      <c r="AQ379" s="71">
        <f>IF(AND($AK379=1,OR($I379="Critical",$I379="High")),1,0)</f>
        <v>0</v>
      </c>
      <c r="AR379" s="71">
        <f>IF($AK379=1,IF(ISNUMBER($Y379),IF(ReportDate-$Y379&gt;StaleDays,1,0),1),0)</f>
        <v>0</v>
      </c>
      <c r="AS379" s="71">
        <f>IF(AND($G379&lt;&gt;"",ISNUMBER($Q379),ISNUMBER($R379)),IF(AND($Q379&lt;$R379,OR($M379="Completed",AND(ISNUMBER($L379),$L379&lt;ReportDate))),1,0),0)</f>
        <v>0</v>
      </c>
      <c r="AT379" s="71">
        <f>IF($AK379=1,IF(OR($L379=ReportDate,$W379=ReportDate,$K379=ReportDate,$A379=ReportDate),1,0),0)</f>
        <v>0</v>
      </c>
      <c r="AU379" s="71">
        <f>IF($AK379=1,IF(OR($L379=ReportDate+1,$W379=ReportDate+1,$K379=ReportDate+1,$A379=ReportDate+1),1,0),0)</f>
        <v>0</v>
      </c>
      <c r="AV379" s="71">
        <f>IF(AND($G379&lt;&gt;"",$M379="Completed"),IF(OR($Y379=ReportDate-1,$A379=ReportDate-1),1,0),0)</f>
        <v>0</v>
      </c>
      <c r="AW379" s="71">
        <f>IF(AND($AK379=1,$Z379="Yes"),1,0)</f>
        <v>0</v>
      </c>
      <c r="AX379" s="71">
        <f>IF(AND($AK379=1,$AA379="Yes"),1,0)</f>
        <v>0</v>
      </c>
      <c r="AY379" s="71">
        <f>IF(AND($AM379=1,OR($I379="Critical",$I379="High")),1,0)</f>
        <v>0</v>
      </c>
      <c r="AZ379" s="71">
        <f>IF(AND($AK379=1,OR($C379=TCL_Client,$C379=MECCA_Client)),1,0)</f>
        <v>0</v>
      </c>
      <c r="BA379" s="71" t="str">
        <f>IF($G379="","",IFERROR(MATCH($I379,lst_Priority,0),5))</f>
        <v/>
      </c>
      <c r="BB379" s="71" t="str">
        <f>IF(AND($AL379=1,$AJ379=1),$BA379*100000+ROW(),"")</f>
        <v/>
      </c>
      <c r="BC379" s="71" t="str">
        <f>IF(AND($AM379=1,$AJ379=1),$BA379*100000+ROW(),"")</f>
        <v/>
      </c>
      <c r="BD379" s="71" t="str">
        <f>IF(AND($AP379=1,$AJ379=1),$BA379*100000+ROW(),"")</f>
        <v/>
      </c>
      <c r="BE379" s="71" t="str">
        <f>IF(AND($AT379=1,$AJ379=1),$BA379*100000+ROW(),"")</f>
        <v/>
      </c>
      <c r="BF379" s="71" t="str">
        <f>IF(AND($AU379=1,$AJ379=1),$BA379*100000+ROW(),"")</f>
        <v/>
      </c>
      <c r="BG379" s="71" t="str">
        <f>IF(AND($AV379=1,$AJ379=1),$BA379*100000+ROW(),"")</f>
        <v/>
      </c>
      <c r="BH379" s="71" t="str">
        <f>IF(AND($AW379=1,$AJ379=1),$BA379*100000+ROW(),"")</f>
        <v/>
      </c>
      <c r="BI379" s="71" t="str">
        <f>IF(AND($AX379=1,$AJ379=1),$BA379*100000+ROW(),"")</f>
        <v/>
      </c>
      <c r="BJ379" s="71" t="str">
        <f>IF(AND($AS379=1,$AJ379=1),$BA379*100000+ROW(),"")</f>
        <v/>
      </c>
      <c r="BK379" s="71" t="str">
        <f>IF(AND($AY379=1,$AJ379=1),$BA379*100000+ROW(),"")</f>
        <v/>
      </c>
      <c r="BL379" s="71" t="str">
        <f>IF(AND($AZ379=1),$BA379*100000+ROW(),"")</f>
        <v/>
      </c>
    </row>
    <row r="380">
      <c r="A380" s="63" t="n"/>
      <c r="B380" s="64" t="n"/>
      <c r="C380" s="64" t="n"/>
      <c r="D380" s="64" t="n"/>
      <c r="E380" s="64" t="n"/>
      <c r="F380" s="64" t="n"/>
      <c r="G380" s="65" t="n"/>
      <c r="H380" s="65" t="n"/>
      <c r="I380" s="64" t="n"/>
      <c r="J380" s="64" t="n"/>
      <c r="K380" s="63" t="n"/>
      <c r="L380" s="63" t="n"/>
      <c r="M380" s="64" t="n"/>
      <c r="N380" s="66" t="n"/>
      <c r="O380" s="65" t="n"/>
      <c r="P380" s="64" t="n"/>
      <c r="Q380" s="67" t="n"/>
      <c r="R380" s="67" t="n"/>
      <c r="S380" s="68" t="str">
        <f>IF(AND(ISNUMBER($Q380),ISNUMBER($R380)),$Q380-$R380,"")</f>
        <v/>
      </c>
      <c r="T380" s="65" t="n"/>
      <c r="U380" s="64" t="n"/>
      <c r="V380" s="65" t="n"/>
      <c r="W380" s="63" t="n"/>
      <c r="X380" s="65" t="n"/>
      <c r="Y380" s="63" t="n"/>
      <c r="Z380" s="64" t="n"/>
      <c r="AA380" s="64" t="n"/>
      <c r="AB380" s="65" t="n"/>
      <c r="AC380" s="69" t="str">
        <f>IF(OR($G380="",NOT(ISNUMBER($K380)),$AK380=0),"",MAX(0,ReportDate-$K380))</f>
        <v/>
      </c>
      <c r="AD380" s="69" t="str">
        <f>IF($G380="","",IF($AL380=1,ReportDate-$L380,0))</f>
        <v/>
      </c>
      <c r="AE380" s="70" t="str">
        <f>IF($G380="","",IF($M380="Completed",1,IF(ISNUMBER($N380),$N380,0)))</f>
        <v/>
      </c>
      <c r="AF380" s="70" t="str">
        <f>IF(AND(ISNUMBER($Q380),ISNUMBER($R380)),IF($R380&lt;&gt;0,$Q380/$R380,""),"")</f>
        <v/>
      </c>
      <c r="AG380" s="71" t="str">
        <f>IF($G380="","",IF($AL380=1,"OVERDUE",IF($AM380=1,"BLOCKED",IF($AN380=1,"DUE TODAY",IF($AO380=1,"DUE TOMORROW",IF($AQ380=1,"HIGH PRIORITY",IF($AR380=1,"NO RECENT UPDATE",""))))))) </f>
        <v/>
      </c>
      <c r="AH380" s="71" t="str">
        <f>IF($G380="","",IF(ISNUMBER($A380),IF(ISNUMBER($A380),YEAR($A380)&amp;"-"&amp;TEXT(MONTH($A380),"00"),""),IF(ISNUMBER($L380),IF(ISNUMBER($L380),YEAR($L380)&amp;"-"&amp;TEXT(MONTH($L380),"00"),""),"")))</f>
        <v/>
      </c>
      <c r="AI380" s="71">
        <f>IF($G380="",0,IF(AND(OR(fClient="All",$C380=fClient),OR(fCampaign="All",$D380=fCampaign),OR(fTeam="All",$B380=fTeam),OR(fChannel="All",$F380=fChannel),OR(fMonth="All",$AH380=fMonth),OR(fTStatus="All",$M380=fTStatus)),1,0))</f>
        <v>0</v>
      </c>
      <c r="AJ380" s="71">
        <f>IF($G380="",0,IF(AND(OR(fClient="All",$C380=fClient),OR(fCampaign="All",$D380=fCampaign),OR(fTeam="All",$B380=fTeam),OR(fChannel="All",$F380=fChannel)),1,0))</f>
        <v>0</v>
      </c>
      <c r="AK380" s="71">
        <f>IF($G380="",0,IF(OR($M380="Completed",$M380="Cancelled"),0,1))</f>
        <v>0</v>
      </c>
      <c r="AL380" s="71">
        <f>IF(AND($AK380=1,ISNUMBER($L380)),IF($L380&lt;ReportDate,1,0),0)</f>
        <v>0</v>
      </c>
      <c r="AM380" s="71">
        <f>IF(AND($G380&lt;&gt;"",$M380="Blocked"),1,0)</f>
        <v>0</v>
      </c>
      <c r="AN380" s="71">
        <f>IF(AND($AK380=1,ISNUMBER($L380)),IF($L380=ReportDate,1,0),0)</f>
        <v>0</v>
      </c>
      <c r="AO380" s="71">
        <f>IF(AND($AK380=1,ISNUMBER($L380)),IF($L380=ReportDate+1,1,0),0)</f>
        <v>0</v>
      </c>
      <c r="AP380" s="71">
        <f>IF(AND($AK380=1,ISNUMBER($L380)),IF(AND($L380&gt;=ReportDate,$L380&lt;=ReportDate+DueSoonDays),1,0),0)</f>
        <v>0</v>
      </c>
      <c r="AQ380" s="71">
        <f>IF(AND($AK380=1,OR($I380="Critical",$I380="High")),1,0)</f>
        <v>0</v>
      </c>
      <c r="AR380" s="71">
        <f>IF($AK380=1,IF(ISNUMBER($Y380),IF(ReportDate-$Y380&gt;StaleDays,1,0),1),0)</f>
        <v>0</v>
      </c>
      <c r="AS380" s="71">
        <f>IF(AND($G380&lt;&gt;"",ISNUMBER($Q380),ISNUMBER($R380)),IF(AND($Q380&lt;$R380,OR($M380="Completed",AND(ISNUMBER($L380),$L380&lt;ReportDate))),1,0),0)</f>
        <v>0</v>
      </c>
      <c r="AT380" s="71">
        <f>IF($AK380=1,IF(OR($L380=ReportDate,$W380=ReportDate,$K380=ReportDate,$A380=ReportDate),1,0),0)</f>
        <v>0</v>
      </c>
      <c r="AU380" s="71">
        <f>IF($AK380=1,IF(OR($L380=ReportDate+1,$W380=ReportDate+1,$K380=ReportDate+1,$A380=ReportDate+1),1,0),0)</f>
        <v>0</v>
      </c>
      <c r="AV380" s="71">
        <f>IF(AND($G380&lt;&gt;"",$M380="Completed"),IF(OR($Y380=ReportDate-1,$A380=ReportDate-1),1,0),0)</f>
        <v>0</v>
      </c>
      <c r="AW380" s="71">
        <f>IF(AND($AK380=1,$Z380="Yes"),1,0)</f>
        <v>0</v>
      </c>
      <c r="AX380" s="71">
        <f>IF(AND($AK380=1,$AA380="Yes"),1,0)</f>
        <v>0</v>
      </c>
      <c r="AY380" s="71">
        <f>IF(AND($AM380=1,OR($I380="Critical",$I380="High")),1,0)</f>
        <v>0</v>
      </c>
      <c r="AZ380" s="71">
        <f>IF(AND($AK380=1,OR($C380=TCL_Client,$C380=MECCA_Client)),1,0)</f>
        <v>0</v>
      </c>
      <c r="BA380" s="71" t="str">
        <f>IF($G380="","",IFERROR(MATCH($I380,lst_Priority,0),5))</f>
        <v/>
      </c>
      <c r="BB380" s="71" t="str">
        <f>IF(AND($AL380=1,$AJ380=1),$BA380*100000+ROW(),"")</f>
        <v/>
      </c>
      <c r="BC380" s="71" t="str">
        <f>IF(AND($AM380=1,$AJ380=1),$BA380*100000+ROW(),"")</f>
        <v/>
      </c>
      <c r="BD380" s="71" t="str">
        <f>IF(AND($AP380=1,$AJ380=1),$BA380*100000+ROW(),"")</f>
        <v/>
      </c>
      <c r="BE380" s="71" t="str">
        <f>IF(AND($AT380=1,$AJ380=1),$BA380*100000+ROW(),"")</f>
        <v/>
      </c>
      <c r="BF380" s="71" t="str">
        <f>IF(AND($AU380=1,$AJ380=1),$BA380*100000+ROW(),"")</f>
        <v/>
      </c>
      <c r="BG380" s="71" t="str">
        <f>IF(AND($AV380=1,$AJ380=1),$BA380*100000+ROW(),"")</f>
        <v/>
      </c>
      <c r="BH380" s="71" t="str">
        <f>IF(AND($AW380=1,$AJ380=1),$BA380*100000+ROW(),"")</f>
        <v/>
      </c>
      <c r="BI380" s="71" t="str">
        <f>IF(AND($AX380=1,$AJ380=1),$BA380*100000+ROW(),"")</f>
        <v/>
      </c>
      <c r="BJ380" s="71" t="str">
        <f>IF(AND($AS380=1,$AJ380=1),$BA380*100000+ROW(),"")</f>
        <v/>
      </c>
      <c r="BK380" s="71" t="str">
        <f>IF(AND($AY380=1,$AJ380=1),$BA380*100000+ROW(),"")</f>
        <v/>
      </c>
      <c r="BL380" s="71" t="str">
        <f>IF(AND($AZ380=1),$BA380*100000+ROW(),"")</f>
        <v/>
      </c>
    </row>
    <row r="381">
      <c r="A381" s="63" t="n"/>
      <c r="B381" s="64" t="n"/>
      <c r="C381" s="64" t="n"/>
      <c r="D381" s="64" t="n"/>
      <c r="E381" s="64" t="n"/>
      <c r="F381" s="64" t="n"/>
      <c r="G381" s="65" t="n"/>
      <c r="H381" s="65" t="n"/>
      <c r="I381" s="64" t="n"/>
      <c r="J381" s="64" t="n"/>
      <c r="K381" s="63" t="n"/>
      <c r="L381" s="63" t="n"/>
      <c r="M381" s="64" t="n"/>
      <c r="N381" s="66" t="n"/>
      <c r="O381" s="65" t="n"/>
      <c r="P381" s="64" t="n"/>
      <c r="Q381" s="67" t="n"/>
      <c r="R381" s="67" t="n"/>
      <c r="S381" s="68" t="str">
        <f>IF(AND(ISNUMBER($Q381),ISNUMBER($R381)),$Q381-$R381,"")</f>
        <v/>
      </c>
      <c r="T381" s="65" t="n"/>
      <c r="U381" s="64" t="n"/>
      <c r="V381" s="65" t="n"/>
      <c r="W381" s="63" t="n"/>
      <c r="X381" s="65" t="n"/>
      <c r="Y381" s="63" t="n"/>
      <c r="Z381" s="64" t="n"/>
      <c r="AA381" s="64" t="n"/>
      <c r="AB381" s="65" t="n"/>
      <c r="AC381" s="69" t="str">
        <f>IF(OR($G381="",NOT(ISNUMBER($K381)),$AK381=0),"",MAX(0,ReportDate-$K381))</f>
        <v/>
      </c>
      <c r="AD381" s="69" t="str">
        <f>IF($G381="","",IF($AL381=1,ReportDate-$L381,0))</f>
        <v/>
      </c>
      <c r="AE381" s="70" t="str">
        <f>IF($G381="","",IF($M381="Completed",1,IF(ISNUMBER($N381),$N381,0)))</f>
        <v/>
      </c>
      <c r="AF381" s="70" t="str">
        <f>IF(AND(ISNUMBER($Q381),ISNUMBER($R381)),IF($R381&lt;&gt;0,$Q381/$R381,""),"")</f>
        <v/>
      </c>
      <c r="AG381" s="71" t="str">
        <f>IF($G381="","",IF($AL381=1,"OVERDUE",IF($AM381=1,"BLOCKED",IF($AN381=1,"DUE TODAY",IF($AO381=1,"DUE TOMORROW",IF($AQ381=1,"HIGH PRIORITY",IF($AR381=1,"NO RECENT UPDATE",""))))))) </f>
        <v/>
      </c>
      <c r="AH381" s="71" t="str">
        <f>IF($G381="","",IF(ISNUMBER($A381),IF(ISNUMBER($A381),YEAR($A381)&amp;"-"&amp;TEXT(MONTH($A381),"00"),""),IF(ISNUMBER($L381),IF(ISNUMBER($L381),YEAR($L381)&amp;"-"&amp;TEXT(MONTH($L381),"00"),""),"")))</f>
        <v/>
      </c>
      <c r="AI381" s="71">
        <f>IF($G381="",0,IF(AND(OR(fClient="All",$C381=fClient),OR(fCampaign="All",$D381=fCampaign),OR(fTeam="All",$B381=fTeam),OR(fChannel="All",$F381=fChannel),OR(fMonth="All",$AH381=fMonth),OR(fTStatus="All",$M381=fTStatus)),1,0))</f>
        <v>0</v>
      </c>
      <c r="AJ381" s="71">
        <f>IF($G381="",0,IF(AND(OR(fClient="All",$C381=fClient),OR(fCampaign="All",$D381=fCampaign),OR(fTeam="All",$B381=fTeam),OR(fChannel="All",$F381=fChannel)),1,0))</f>
        <v>0</v>
      </c>
      <c r="AK381" s="71">
        <f>IF($G381="",0,IF(OR($M381="Completed",$M381="Cancelled"),0,1))</f>
        <v>0</v>
      </c>
      <c r="AL381" s="71">
        <f>IF(AND($AK381=1,ISNUMBER($L381)),IF($L381&lt;ReportDate,1,0),0)</f>
        <v>0</v>
      </c>
      <c r="AM381" s="71">
        <f>IF(AND($G381&lt;&gt;"",$M381="Blocked"),1,0)</f>
        <v>0</v>
      </c>
      <c r="AN381" s="71">
        <f>IF(AND($AK381=1,ISNUMBER($L381)),IF($L381=ReportDate,1,0),0)</f>
        <v>0</v>
      </c>
      <c r="AO381" s="71">
        <f>IF(AND($AK381=1,ISNUMBER($L381)),IF($L381=ReportDate+1,1,0),0)</f>
        <v>0</v>
      </c>
      <c r="AP381" s="71">
        <f>IF(AND($AK381=1,ISNUMBER($L381)),IF(AND($L381&gt;=ReportDate,$L381&lt;=ReportDate+DueSoonDays),1,0),0)</f>
        <v>0</v>
      </c>
      <c r="AQ381" s="71">
        <f>IF(AND($AK381=1,OR($I381="Critical",$I381="High")),1,0)</f>
        <v>0</v>
      </c>
      <c r="AR381" s="71">
        <f>IF($AK381=1,IF(ISNUMBER($Y381),IF(ReportDate-$Y381&gt;StaleDays,1,0),1),0)</f>
        <v>0</v>
      </c>
      <c r="AS381" s="71">
        <f>IF(AND($G381&lt;&gt;"",ISNUMBER($Q381),ISNUMBER($R381)),IF(AND($Q381&lt;$R381,OR($M381="Completed",AND(ISNUMBER($L381),$L381&lt;ReportDate))),1,0),0)</f>
        <v>0</v>
      </c>
      <c r="AT381" s="71">
        <f>IF($AK381=1,IF(OR($L381=ReportDate,$W381=ReportDate,$K381=ReportDate,$A381=ReportDate),1,0),0)</f>
        <v>0</v>
      </c>
      <c r="AU381" s="71">
        <f>IF($AK381=1,IF(OR($L381=ReportDate+1,$W381=ReportDate+1,$K381=ReportDate+1,$A381=ReportDate+1),1,0),0)</f>
        <v>0</v>
      </c>
      <c r="AV381" s="71">
        <f>IF(AND($G381&lt;&gt;"",$M381="Completed"),IF(OR($Y381=ReportDate-1,$A381=ReportDate-1),1,0),0)</f>
        <v>0</v>
      </c>
      <c r="AW381" s="71">
        <f>IF(AND($AK381=1,$Z381="Yes"),1,0)</f>
        <v>0</v>
      </c>
      <c r="AX381" s="71">
        <f>IF(AND($AK381=1,$AA381="Yes"),1,0)</f>
        <v>0</v>
      </c>
      <c r="AY381" s="71">
        <f>IF(AND($AM381=1,OR($I381="Critical",$I381="High")),1,0)</f>
        <v>0</v>
      </c>
      <c r="AZ381" s="71">
        <f>IF(AND($AK381=1,OR($C381=TCL_Client,$C381=MECCA_Client)),1,0)</f>
        <v>0</v>
      </c>
      <c r="BA381" s="71" t="str">
        <f>IF($G381="","",IFERROR(MATCH($I381,lst_Priority,0),5))</f>
        <v/>
      </c>
      <c r="BB381" s="71" t="str">
        <f>IF(AND($AL381=1,$AJ381=1),$BA381*100000+ROW(),"")</f>
        <v/>
      </c>
      <c r="BC381" s="71" t="str">
        <f>IF(AND($AM381=1,$AJ381=1),$BA381*100000+ROW(),"")</f>
        <v/>
      </c>
      <c r="BD381" s="71" t="str">
        <f>IF(AND($AP381=1,$AJ381=1),$BA381*100000+ROW(),"")</f>
        <v/>
      </c>
      <c r="BE381" s="71" t="str">
        <f>IF(AND($AT381=1,$AJ381=1),$BA381*100000+ROW(),"")</f>
        <v/>
      </c>
      <c r="BF381" s="71" t="str">
        <f>IF(AND($AU381=1,$AJ381=1),$BA381*100000+ROW(),"")</f>
        <v/>
      </c>
      <c r="BG381" s="71" t="str">
        <f>IF(AND($AV381=1,$AJ381=1),$BA381*100000+ROW(),"")</f>
        <v/>
      </c>
      <c r="BH381" s="71" t="str">
        <f>IF(AND($AW381=1,$AJ381=1),$BA381*100000+ROW(),"")</f>
        <v/>
      </c>
      <c r="BI381" s="71" t="str">
        <f>IF(AND($AX381=1,$AJ381=1),$BA381*100000+ROW(),"")</f>
        <v/>
      </c>
      <c r="BJ381" s="71" t="str">
        <f>IF(AND($AS381=1,$AJ381=1),$BA381*100000+ROW(),"")</f>
        <v/>
      </c>
      <c r="BK381" s="71" t="str">
        <f>IF(AND($AY381=1,$AJ381=1),$BA381*100000+ROW(),"")</f>
        <v/>
      </c>
      <c r="BL381" s="71" t="str">
        <f>IF(AND($AZ381=1),$BA381*100000+ROW(),"")</f>
        <v/>
      </c>
    </row>
    <row r="382">
      <c r="A382" s="63" t="n"/>
      <c r="B382" s="64" t="n"/>
      <c r="C382" s="64" t="n"/>
      <c r="D382" s="64" t="n"/>
      <c r="E382" s="64" t="n"/>
      <c r="F382" s="64" t="n"/>
      <c r="G382" s="65" t="n"/>
      <c r="H382" s="65" t="n"/>
      <c r="I382" s="64" t="n"/>
      <c r="J382" s="64" t="n"/>
      <c r="K382" s="63" t="n"/>
      <c r="L382" s="63" t="n"/>
      <c r="M382" s="64" t="n"/>
      <c r="N382" s="66" t="n"/>
      <c r="O382" s="65" t="n"/>
      <c r="P382" s="64" t="n"/>
      <c r="Q382" s="67" t="n"/>
      <c r="R382" s="67" t="n"/>
      <c r="S382" s="68" t="str">
        <f>IF(AND(ISNUMBER($Q382),ISNUMBER($R382)),$Q382-$R382,"")</f>
        <v/>
      </c>
      <c r="T382" s="65" t="n"/>
      <c r="U382" s="64" t="n"/>
      <c r="V382" s="65" t="n"/>
      <c r="W382" s="63" t="n"/>
      <c r="X382" s="65" t="n"/>
      <c r="Y382" s="63" t="n"/>
      <c r="Z382" s="64" t="n"/>
      <c r="AA382" s="64" t="n"/>
      <c r="AB382" s="65" t="n"/>
      <c r="AC382" s="69" t="str">
        <f>IF(OR($G382="",NOT(ISNUMBER($K382)),$AK382=0),"",MAX(0,ReportDate-$K382))</f>
        <v/>
      </c>
      <c r="AD382" s="69" t="str">
        <f>IF($G382="","",IF($AL382=1,ReportDate-$L382,0))</f>
        <v/>
      </c>
      <c r="AE382" s="70" t="str">
        <f>IF($G382="","",IF($M382="Completed",1,IF(ISNUMBER($N382),$N382,0)))</f>
        <v/>
      </c>
      <c r="AF382" s="70" t="str">
        <f>IF(AND(ISNUMBER($Q382),ISNUMBER($R382)),IF($R382&lt;&gt;0,$Q382/$R382,""),"")</f>
        <v/>
      </c>
      <c r="AG382" s="71" t="str">
        <f>IF($G382="","",IF($AL382=1,"OVERDUE",IF($AM382=1,"BLOCKED",IF($AN382=1,"DUE TODAY",IF($AO382=1,"DUE TOMORROW",IF($AQ382=1,"HIGH PRIORITY",IF($AR382=1,"NO RECENT UPDATE",""))))))) </f>
        <v/>
      </c>
      <c r="AH382" s="71" t="str">
        <f>IF($G382="","",IF(ISNUMBER($A382),IF(ISNUMBER($A382),YEAR($A382)&amp;"-"&amp;TEXT(MONTH($A382),"00"),""),IF(ISNUMBER($L382),IF(ISNUMBER($L382),YEAR($L382)&amp;"-"&amp;TEXT(MONTH($L382),"00"),""),"")))</f>
        <v/>
      </c>
      <c r="AI382" s="71">
        <f>IF($G382="",0,IF(AND(OR(fClient="All",$C382=fClient),OR(fCampaign="All",$D382=fCampaign),OR(fTeam="All",$B382=fTeam),OR(fChannel="All",$F382=fChannel),OR(fMonth="All",$AH382=fMonth),OR(fTStatus="All",$M382=fTStatus)),1,0))</f>
        <v>0</v>
      </c>
      <c r="AJ382" s="71">
        <f>IF($G382="",0,IF(AND(OR(fClient="All",$C382=fClient),OR(fCampaign="All",$D382=fCampaign),OR(fTeam="All",$B382=fTeam),OR(fChannel="All",$F382=fChannel)),1,0))</f>
        <v>0</v>
      </c>
      <c r="AK382" s="71">
        <f>IF($G382="",0,IF(OR($M382="Completed",$M382="Cancelled"),0,1))</f>
        <v>0</v>
      </c>
      <c r="AL382" s="71">
        <f>IF(AND($AK382=1,ISNUMBER($L382)),IF($L382&lt;ReportDate,1,0),0)</f>
        <v>0</v>
      </c>
      <c r="AM382" s="71">
        <f>IF(AND($G382&lt;&gt;"",$M382="Blocked"),1,0)</f>
        <v>0</v>
      </c>
      <c r="AN382" s="71">
        <f>IF(AND($AK382=1,ISNUMBER($L382)),IF($L382=ReportDate,1,0),0)</f>
        <v>0</v>
      </c>
      <c r="AO382" s="71">
        <f>IF(AND($AK382=1,ISNUMBER($L382)),IF($L382=ReportDate+1,1,0),0)</f>
        <v>0</v>
      </c>
      <c r="AP382" s="71">
        <f>IF(AND($AK382=1,ISNUMBER($L382)),IF(AND($L382&gt;=ReportDate,$L382&lt;=ReportDate+DueSoonDays),1,0),0)</f>
        <v>0</v>
      </c>
      <c r="AQ382" s="71">
        <f>IF(AND($AK382=1,OR($I382="Critical",$I382="High")),1,0)</f>
        <v>0</v>
      </c>
      <c r="AR382" s="71">
        <f>IF($AK382=1,IF(ISNUMBER($Y382),IF(ReportDate-$Y382&gt;StaleDays,1,0),1),0)</f>
        <v>0</v>
      </c>
      <c r="AS382" s="71">
        <f>IF(AND($G382&lt;&gt;"",ISNUMBER($Q382),ISNUMBER($R382)),IF(AND($Q382&lt;$R382,OR($M382="Completed",AND(ISNUMBER($L382),$L382&lt;ReportDate))),1,0),0)</f>
        <v>0</v>
      </c>
      <c r="AT382" s="71">
        <f>IF($AK382=1,IF(OR($L382=ReportDate,$W382=ReportDate,$K382=ReportDate,$A382=ReportDate),1,0),0)</f>
        <v>0</v>
      </c>
      <c r="AU382" s="71">
        <f>IF($AK382=1,IF(OR($L382=ReportDate+1,$W382=ReportDate+1,$K382=ReportDate+1,$A382=ReportDate+1),1,0),0)</f>
        <v>0</v>
      </c>
      <c r="AV382" s="71">
        <f>IF(AND($G382&lt;&gt;"",$M382="Completed"),IF(OR($Y382=ReportDate-1,$A382=ReportDate-1),1,0),0)</f>
        <v>0</v>
      </c>
      <c r="AW382" s="71">
        <f>IF(AND($AK382=1,$Z382="Yes"),1,0)</f>
        <v>0</v>
      </c>
      <c r="AX382" s="71">
        <f>IF(AND($AK382=1,$AA382="Yes"),1,0)</f>
        <v>0</v>
      </c>
      <c r="AY382" s="71">
        <f>IF(AND($AM382=1,OR($I382="Critical",$I382="High")),1,0)</f>
        <v>0</v>
      </c>
      <c r="AZ382" s="71">
        <f>IF(AND($AK382=1,OR($C382=TCL_Client,$C382=MECCA_Client)),1,0)</f>
        <v>0</v>
      </c>
      <c r="BA382" s="71" t="str">
        <f>IF($G382="","",IFERROR(MATCH($I382,lst_Priority,0),5))</f>
        <v/>
      </c>
      <c r="BB382" s="71" t="str">
        <f>IF(AND($AL382=1,$AJ382=1),$BA382*100000+ROW(),"")</f>
        <v/>
      </c>
      <c r="BC382" s="71" t="str">
        <f>IF(AND($AM382=1,$AJ382=1),$BA382*100000+ROW(),"")</f>
        <v/>
      </c>
      <c r="BD382" s="71" t="str">
        <f>IF(AND($AP382=1,$AJ382=1),$BA382*100000+ROW(),"")</f>
        <v/>
      </c>
      <c r="BE382" s="71" t="str">
        <f>IF(AND($AT382=1,$AJ382=1),$BA382*100000+ROW(),"")</f>
        <v/>
      </c>
      <c r="BF382" s="71" t="str">
        <f>IF(AND($AU382=1,$AJ382=1),$BA382*100000+ROW(),"")</f>
        <v/>
      </c>
      <c r="BG382" s="71" t="str">
        <f>IF(AND($AV382=1,$AJ382=1),$BA382*100000+ROW(),"")</f>
        <v/>
      </c>
      <c r="BH382" s="71" t="str">
        <f>IF(AND($AW382=1,$AJ382=1),$BA382*100000+ROW(),"")</f>
        <v/>
      </c>
      <c r="BI382" s="71" t="str">
        <f>IF(AND($AX382=1,$AJ382=1),$BA382*100000+ROW(),"")</f>
        <v/>
      </c>
      <c r="BJ382" s="71" t="str">
        <f>IF(AND($AS382=1,$AJ382=1),$BA382*100000+ROW(),"")</f>
        <v/>
      </c>
      <c r="BK382" s="71" t="str">
        <f>IF(AND($AY382=1,$AJ382=1),$BA382*100000+ROW(),"")</f>
        <v/>
      </c>
      <c r="BL382" s="71" t="str">
        <f>IF(AND($AZ382=1),$BA382*100000+ROW(),"")</f>
        <v/>
      </c>
    </row>
    <row r="383">
      <c r="A383" s="63" t="n"/>
      <c r="B383" s="64" t="n"/>
      <c r="C383" s="64" t="n"/>
      <c r="D383" s="64" t="n"/>
      <c r="E383" s="64" t="n"/>
      <c r="F383" s="64" t="n"/>
      <c r="G383" s="65" t="n"/>
      <c r="H383" s="65" t="n"/>
      <c r="I383" s="64" t="n"/>
      <c r="J383" s="64" t="n"/>
      <c r="K383" s="63" t="n"/>
      <c r="L383" s="63" t="n"/>
      <c r="M383" s="64" t="n"/>
      <c r="N383" s="66" t="n"/>
      <c r="O383" s="65" t="n"/>
      <c r="P383" s="64" t="n"/>
      <c r="Q383" s="67" t="n"/>
      <c r="R383" s="67" t="n"/>
      <c r="S383" s="68" t="str">
        <f>IF(AND(ISNUMBER($Q383),ISNUMBER($R383)),$Q383-$R383,"")</f>
        <v/>
      </c>
      <c r="T383" s="65" t="n"/>
      <c r="U383" s="64" t="n"/>
      <c r="V383" s="65" t="n"/>
      <c r="W383" s="63" t="n"/>
      <c r="X383" s="65" t="n"/>
      <c r="Y383" s="63" t="n"/>
      <c r="Z383" s="64" t="n"/>
      <c r="AA383" s="64" t="n"/>
      <c r="AB383" s="65" t="n"/>
      <c r="AC383" s="69" t="str">
        <f>IF(OR($G383="",NOT(ISNUMBER($K383)),$AK383=0),"",MAX(0,ReportDate-$K383))</f>
        <v/>
      </c>
      <c r="AD383" s="69" t="str">
        <f>IF($G383="","",IF($AL383=1,ReportDate-$L383,0))</f>
        <v/>
      </c>
      <c r="AE383" s="70" t="str">
        <f>IF($G383="","",IF($M383="Completed",1,IF(ISNUMBER($N383),$N383,0)))</f>
        <v/>
      </c>
      <c r="AF383" s="70" t="str">
        <f>IF(AND(ISNUMBER($Q383),ISNUMBER($R383)),IF($R383&lt;&gt;0,$Q383/$R383,""),"")</f>
        <v/>
      </c>
      <c r="AG383" s="71" t="str">
        <f>IF($G383="","",IF($AL383=1,"OVERDUE",IF($AM383=1,"BLOCKED",IF($AN383=1,"DUE TODAY",IF($AO383=1,"DUE TOMORROW",IF($AQ383=1,"HIGH PRIORITY",IF($AR383=1,"NO RECENT UPDATE",""))))))) </f>
        <v/>
      </c>
      <c r="AH383" s="71" t="str">
        <f>IF($G383="","",IF(ISNUMBER($A383),IF(ISNUMBER($A383),YEAR($A383)&amp;"-"&amp;TEXT(MONTH($A383),"00"),""),IF(ISNUMBER($L383),IF(ISNUMBER($L383),YEAR($L383)&amp;"-"&amp;TEXT(MONTH($L383),"00"),""),"")))</f>
        <v/>
      </c>
      <c r="AI383" s="71">
        <f>IF($G383="",0,IF(AND(OR(fClient="All",$C383=fClient),OR(fCampaign="All",$D383=fCampaign),OR(fTeam="All",$B383=fTeam),OR(fChannel="All",$F383=fChannel),OR(fMonth="All",$AH383=fMonth),OR(fTStatus="All",$M383=fTStatus)),1,0))</f>
        <v>0</v>
      </c>
      <c r="AJ383" s="71">
        <f>IF($G383="",0,IF(AND(OR(fClient="All",$C383=fClient),OR(fCampaign="All",$D383=fCampaign),OR(fTeam="All",$B383=fTeam),OR(fChannel="All",$F383=fChannel)),1,0))</f>
        <v>0</v>
      </c>
      <c r="AK383" s="71">
        <f>IF($G383="",0,IF(OR($M383="Completed",$M383="Cancelled"),0,1))</f>
        <v>0</v>
      </c>
      <c r="AL383" s="71">
        <f>IF(AND($AK383=1,ISNUMBER($L383)),IF($L383&lt;ReportDate,1,0),0)</f>
        <v>0</v>
      </c>
      <c r="AM383" s="71">
        <f>IF(AND($G383&lt;&gt;"",$M383="Blocked"),1,0)</f>
        <v>0</v>
      </c>
      <c r="AN383" s="71">
        <f>IF(AND($AK383=1,ISNUMBER($L383)),IF($L383=ReportDate,1,0),0)</f>
        <v>0</v>
      </c>
      <c r="AO383" s="71">
        <f>IF(AND($AK383=1,ISNUMBER($L383)),IF($L383=ReportDate+1,1,0),0)</f>
        <v>0</v>
      </c>
      <c r="AP383" s="71">
        <f>IF(AND($AK383=1,ISNUMBER($L383)),IF(AND($L383&gt;=ReportDate,$L383&lt;=ReportDate+DueSoonDays),1,0),0)</f>
        <v>0</v>
      </c>
      <c r="AQ383" s="71">
        <f>IF(AND($AK383=1,OR($I383="Critical",$I383="High")),1,0)</f>
        <v>0</v>
      </c>
      <c r="AR383" s="71">
        <f>IF($AK383=1,IF(ISNUMBER($Y383),IF(ReportDate-$Y383&gt;StaleDays,1,0),1),0)</f>
        <v>0</v>
      </c>
      <c r="AS383" s="71">
        <f>IF(AND($G383&lt;&gt;"",ISNUMBER($Q383),ISNUMBER($R383)),IF(AND($Q383&lt;$R383,OR($M383="Completed",AND(ISNUMBER($L383),$L383&lt;ReportDate))),1,0),0)</f>
        <v>0</v>
      </c>
      <c r="AT383" s="71">
        <f>IF($AK383=1,IF(OR($L383=ReportDate,$W383=ReportDate,$K383=ReportDate,$A383=ReportDate),1,0),0)</f>
        <v>0</v>
      </c>
      <c r="AU383" s="71">
        <f>IF($AK383=1,IF(OR($L383=ReportDate+1,$W383=ReportDate+1,$K383=ReportDate+1,$A383=ReportDate+1),1,0),0)</f>
        <v>0</v>
      </c>
      <c r="AV383" s="71">
        <f>IF(AND($G383&lt;&gt;"",$M383="Completed"),IF(OR($Y383=ReportDate-1,$A383=ReportDate-1),1,0),0)</f>
        <v>0</v>
      </c>
      <c r="AW383" s="71">
        <f>IF(AND($AK383=1,$Z383="Yes"),1,0)</f>
        <v>0</v>
      </c>
      <c r="AX383" s="71">
        <f>IF(AND($AK383=1,$AA383="Yes"),1,0)</f>
        <v>0</v>
      </c>
      <c r="AY383" s="71">
        <f>IF(AND($AM383=1,OR($I383="Critical",$I383="High")),1,0)</f>
        <v>0</v>
      </c>
      <c r="AZ383" s="71">
        <f>IF(AND($AK383=1,OR($C383=TCL_Client,$C383=MECCA_Client)),1,0)</f>
        <v>0</v>
      </c>
      <c r="BA383" s="71" t="str">
        <f>IF($G383="","",IFERROR(MATCH($I383,lst_Priority,0),5))</f>
        <v/>
      </c>
      <c r="BB383" s="71" t="str">
        <f>IF(AND($AL383=1,$AJ383=1),$BA383*100000+ROW(),"")</f>
        <v/>
      </c>
      <c r="BC383" s="71" t="str">
        <f>IF(AND($AM383=1,$AJ383=1),$BA383*100000+ROW(),"")</f>
        <v/>
      </c>
      <c r="BD383" s="71" t="str">
        <f>IF(AND($AP383=1,$AJ383=1),$BA383*100000+ROW(),"")</f>
        <v/>
      </c>
      <c r="BE383" s="71" t="str">
        <f>IF(AND($AT383=1,$AJ383=1),$BA383*100000+ROW(),"")</f>
        <v/>
      </c>
      <c r="BF383" s="71" t="str">
        <f>IF(AND($AU383=1,$AJ383=1),$BA383*100000+ROW(),"")</f>
        <v/>
      </c>
      <c r="BG383" s="71" t="str">
        <f>IF(AND($AV383=1,$AJ383=1),$BA383*100000+ROW(),"")</f>
        <v/>
      </c>
      <c r="BH383" s="71" t="str">
        <f>IF(AND($AW383=1,$AJ383=1),$BA383*100000+ROW(),"")</f>
        <v/>
      </c>
      <c r="BI383" s="71" t="str">
        <f>IF(AND($AX383=1,$AJ383=1),$BA383*100000+ROW(),"")</f>
        <v/>
      </c>
      <c r="BJ383" s="71" t="str">
        <f>IF(AND($AS383=1,$AJ383=1),$BA383*100000+ROW(),"")</f>
        <v/>
      </c>
      <c r="BK383" s="71" t="str">
        <f>IF(AND($AY383=1,$AJ383=1),$BA383*100000+ROW(),"")</f>
        <v/>
      </c>
      <c r="BL383" s="71" t="str">
        <f>IF(AND($AZ383=1),$BA383*100000+ROW(),"")</f>
        <v/>
      </c>
    </row>
    <row r="384">
      <c r="A384" s="63" t="n"/>
      <c r="B384" s="64" t="n"/>
      <c r="C384" s="64" t="n"/>
      <c r="D384" s="64" t="n"/>
      <c r="E384" s="64" t="n"/>
      <c r="F384" s="64" t="n"/>
      <c r="G384" s="65" t="n"/>
      <c r="H384" s="65" t="n"/>
      <c r="I384" s="64" t="n"/>
      <c r="J384" s="64" t="n"/>
      <c r="K384" s="63" t="n"/>
      <c r="L384" s="63" t="n"/>
      <c r="M384" s="64" t="n"/>
      <c r="N384" s="66" t="n"/>
      <c r="O384" s="65" t="n"/>
      <c r="P384" s="64" t="n"/>
      <c r="Q384" s="67" t="n"/>
      <c r="R384" s="67" t="n"/>
      <c r="S384" s="68" t="str">
        <f>IF(AND(ISNUMBER($Q384),ISNUMBER($R384)),$Q384-$R384,"")</f>
        <v/>
      </c>
      <c r="T384" s="65" t="n"/>
      <c r="U384" s="64" t="n"/>
      <c r="V384" s="65" t="n"/>
      <c r="W384" s="63" t="n"/>
      <c r="X384" s="65" t="n"/>
      <c r="Y384" s="63" t="n"/>
      <c r="Z384" s="64" t="n"/>
      <c r="AA384" s="64" t="n"/>
      <c r="AB384" s="65" t="n"/>
      <c r="AC384" s="69" t="str">
        <f>IF(OR($G384="",NOT(ISNUMBER($K384)),$AK384=0),"",MAX(0,ReportDate-$K384))</f>
        <v/>
      </c>
      <c r="AD384" s="69" t="str">
        <f>IF($G384="","",IF($AL384=1,ReportDate-$L384,0))</f>
        <v/>
      </c>
      <c r="AE384" s="70" t="str">
        <f>IF($G384="","",IF($M384="Completed",1,IF(ISNUMBER($N384),$N384,0)))</f>
        <v/>
      </c>
      <c r="AF384" s="70" t="str">
        <f>IF(AND(ISNUMBER($Q384),ISNUMBER($R384)),IF($R384&lt;&gt;0,$Q384/$R384,""),"")</f>
        <v/>
      </c>
      <c r="AG384" s="71" t="str">
        <f>IF($G384="","",IF($AL384=1,"OVERDUE",IF($AM384=1,"BLOCKED",IF($AN384=1,"DUE TODAY",IF($AO384=1,"DUE TOMORROW",IF($AQ384=1,"HIGH PRIORITY",IF($AR384=1,"NO RECENT UPDATE",""))))))) </f>
        <v/>
      </c>
      <c r="AH384" s="71" t="str">
        <f>IF($G384="","",IF(ISNUMBER($A384),IF(ISNUMBER($A384),YEAR($A384)&amp;"-"&amp;TEXT(MONTH($A384),"00"),""),IF(ISNUMBER($L384),IF(ISNUMBER($L384),YEAR($L384)&amp;"-"&amp;TEXT(MONTH($L384),"00"),""),"")))</f>
        <v/>
      </c>
      <c r="AI384" s="71">
        <f>IF($G384="",0,IF(AND(OR(fClient="All",$C384=fClient),OR(fCampaign="All",$D384=fCampaign),OR(fTeam="All",$B384=fTeam),OR(fChannel="All",$F384=fChannel),OR(fMonth="All",$AH384=fMonth),OR(fTStatus="All",$M384=fTStatus)),1,0))</f>
        <v>0</v>
      </c>
      <c r="AJ384" s="71">
        <f>IF($G384="",0,IF(AND(OR(fClient="All",$C384=fClient),OR(fCampaign="All",$D384=fCampaign),OR(fTeam="All",$B384=fTeam),OR(fChannel="All",$F384=fChannel)),1,0))</f>
        <v>0</v>
      </c>
      <c r="AK384" s="71">
        <f>IF($G384="",0,IF(OR($M384="Completed",$M384="Cancelled"),0,1))</f>
        <v>0</v>
      </c>
      <c r="AL384" s="71">
        <f>IF(AND($AK384=1,ISNUMBER($L384)),IF($L384&lt;ReportDate,1,0),0)</f>
        <v>0</v>
      </c>
      <c r="AM384" s="71">
        <f>IF(AND($G384&lt;&gt;"",$M384="Blocked"),1,0)</f>
        <v>0</v>
      </c>
      <c r="AN384" s="71">
        <f>IF(AND($AK384=1,ISNUMBER($L384)),IF($L384=ReportDate,1,0),0)</f>
        <v>0</v>
      </c>
      <c r="AO384" s="71">
        <f>IF(AND($AK384=1,ISNUMBER($L384)),IF($L384=ReportDate+1,1,0),0)</f>
        <v>0</v>
      </c>
      <c r="AP384" s="71">
        <f>IF(AND($AK384=1,ISNUMBER($L384)),IF(AND($L384&gt;=ReportDate,$L384&lt;=ReportDate+DueSoonDays),1,0),0)</f>
        <v>0</v>
      </c>
      <c r="AQ384" s="71">
        <f>IF(AND($AK384=1,OR($I384="Critical",$I384="High")),1,0)</f>
        <v>0</v>
      </c>
      <c r="AR384" s="71">
        <f>IF($AK384=1,IF(ISNUMBER($Y384),IF(ReportDate-$Y384&gt;StaleDays,1,0),1),0)</f>
        <v>0</v>
      </c>
      <c r="AS384" s="71">
        <f>IF(AND($G384&lt;&gt;"",ISNUMBER($Q384),ISNUMBER($R384)),IF(AND($Q384&lt;$R384,OR($M384="Completed",AND(ISNUMBER($L384),$L384&lt;ReportDate))),1,0),0)</f>
        <v>0</v>
      </c>
      <c r="AT384" s="71">
        <f>IF($AK384=1,IF(OR($L384=ReportDate,$W384=ReportDate,$K384=ReportDate,$A384=ReportDate),1,0),0)</f>
        <v>0</v>
      </c>
      <c r="AU384" s="71">
        <f>IF($AK384=1,IF(OR($L384=ReportDate+1,$W384=ReportDate+1,$K384=ReportDate+1,$A384=ReportDate+1),1,0),0)</f>
        <v>0</v>
      </c>
      <c r="AV384" s="71">
        <f>IF(AND($G384&lt;&gt;"",$M384="Completed"),IF(OR($Y384=ReportDate-1,$A384=ReportDate-1),1,0),0)</f>
        <v>0</v>
      </c>
      <c r="AW384" s="71">
        <f>IF(AND($AK384=1,$Z384="Yes"),1,0)</f>
        <v>0</v>
      </c>
      <c r="AX384" s="71">
        <f>IF(AND($AK384=1,$AA384="Yes"),1,0)</f>
        <v>0</v>
      </c>
      <c r="AY384" s="71">
        <f>IF(AND($AM384=1,OR($I384="Critical",$I384="High")),1,0)</f>
        <v>0</v>
      </c>
      <c r="AZ384" s="71">
        <f>IF(AND($AK384=1,OR($C384=TCL_Client,$C384=MECCA_Client)),1,0)</f>
        <v>0</v>
      </c>
      <c r="BA384" s="71" t="str">
        <f>IF($G384="","",IFERROR(MATCH($I384,lst_Priority,0),5))</f>
        <v/>
      </c>
      <c r="BB384" s="71" t="str">
        <f>IF(AND($AL384=1,$AJ384=1),$BA384*100000+ROW(),"")</f>
        <v/>
      </c>
      <c r="BC384" s="71" t="str">
        <f>IF(AND($AM384=1,$AJ384=1),$BA384*100000+ROW(),"")</f>
        <v/>
      </c>
      <c r="BD384" s="71" t="str">
        <f>IF(AND($AP384=1,$AJ384=1),$BA384*100000+ROW(),"")</f>
        <v/>
      </c>
      <c r="BE384" s="71" t="str">
        <f>IF(AND($AT384=1,$AJ384=1),$BA384*100000+ROW(),"")</f>
        <v/>
      </c>
      <c r="BF384" s="71" t="str">
        <f>IF(AND($AU384=1,$AJ384=1),$BA384*100000+ROW(),"")</f>
        <v/>
      </c>
      <c r="BG384" s="71" t="str">
        <f>IF(AND($AV384=1,$AJ384=1),$BA384*100000+ROW(),"")</f>
        <v/>
      </c>
      <c r="BH384" s="71" t="str">
        <f>IF(AND($AW384=1,$AJ384=1),$BA384*100000+ROW(),"")</f>
        <v/>
      </c>
      <c r="BI384" s="71" t="str">
        <f>IF(AND($AX384=1,$AJ384=1),$BA384*100000+ROW(),"")</f>
        <v/>
      </c>
      <c r="BJ384" s="71" t="str">
        <f>IF(AND($AS384=1,$AJ384=1),$BA384*100000+ROW(),"")</f>
        <v/>
      </c>
      <c r="BK384" s="71" t="str">
        <f>IF(AND($AY384=1,$AJ384=1),$BA384*100000+ROW(),"")</f>
        <v/>
      </c>
      <c r="BL384" s="71" t="str">
        <f>IF(AND($AZ384=1),$BA384*100000+ROW(),"")</f>
        <v/>
      </c>
    </row>
    <row r="385">
      <c r="A385" s="63" t="n"/>
      <c r="B385" s="64" t="n"/>
      <c r="C385" s="64" t="n"/>
      <c r="D385" s="64" t="n"/>
      <c r="E385" s="64" t="n"/>
      <c r="F385" s="64" t="n"/>
      <c r="G385" s="65" t="n"/>
      <c r="H385" s="65" t="n"/>
      <c r="I385" s="64" t="n"/>
      <c r="J385" s="64" t="n"/>
      <c r="K385" s="63" t="n"/>
      <c r="L385" s="63" t="n"/>
      <c r="M385" s="64" t="n"/>
      <c r="N385" s="66" t="n"/>
      <c r="O385" s="65" t="n"/>
      <c r="P385" s="64" t="n"/>
      <c r="Q385" s="67" t="n"/>
      <c r="R385" s="67" t="n"/>
      <c r="S385" s="68" t="str">
        <f>IF(AND(ISNUMBER($Q385),ISNUMBER($R385)),$Q385-$R385,"")</f>
        <v/>
      </c>
      <c r="T385" s="65" t="n"/>
      <c r="U385" s="64" t="n"/>
      <c r="V385" s="65" t="n"/>
      <c r="W385" s="63" t="n"/>
      <c r="X385" s="65" t="n"/>
      <c r="Y385" s="63" t="n"/>
      <c r="Z385" s="64" t="n"/>
      <c r="AA385" s="64" t="n"/>
      <c r="AB385" s="65" t="n"/>
      <c r="AC385" s="69" t="str">
        <f>IF(OR($G385="",NOT(ISNUMBER($K385)),$AK385=0),"",MAX(0,ReportDate-$K385))</f>
        <v/>
      </c>
      <c r="AD385" s="69" t="str">
        <f>IF($G385="","",IF($AL385=1,ReportDate-$L385,0))</f>
        <v/>
      </c>
      <c r="AE385" s="70" t="str">
        <f>IF($G385="","",IF($M385="Completed",1,IF(ISNUMBER($N385),$N385,0)))</f>
        <v/>
      </c>
      <c r="AF385" s="70" t="str">
        <f>IF(AND(ISNUMBER($Q385),ISNUMBER($R385)),IF($R385&lt;&gt;0,$Q385/$R385,""),"")</f>
        <v/>
      </c>
      <c r="AG385" s="71" t="str">
        <f>IF($G385="","",IF($AL385=1,"OVERDUE",IF($AM385=1,"BLOCKED",IF($AN385=1,"DUE TODAY",IF($AO385=1,"DUE TOMORROW",IF($AQ385=1,"HIGH PRIORITY",IF($AR385=1,"NO RECENT UPDATE",""))))))) </f>
        <v/>
      </c>
      <c r="AH385" s="71" t="str">
        <f>IF($G385="","",IF(ISNUMBER($A385),IF(ISNUMBER($A385),YEAR($A385)&amp;"-"&amp;TEXT(MONTH($A385),"00"),""),IF(ISNUMBER($L385),IF(ISNUMBER($L385),YEAR($L385)&amp;"-"&amp;TEXT(MONTH($L385),"00"),""),"")))</f>
        <v/>
      </c>
      <c r="AI385" s="71">
        <f>IF($G385="",0,IF(AND(OR(fClient="All",$C385=fClient),OR(fCampaign="All",$D385=fCampaign),OR(fTeam="All",$B385=fTeam),OR(fChannel="All",$F385=fChannel),OR(fMonth="All",$AH385=fMonth),OR(fTStatus="All",$M385=fTStatus)),1,0))</f>
        <v>0</v>
      </c>
      <c r="AJ385" s="71">
        <f>IF($G385="",0,IF(AND(OR(fClient="All",$C385=fClient),OR(fCampaign="All",$D385=fCampaign),OR(fTeam="All",$B385=fTeam),OR(fChannel="All",$F385=fChannel)),1,0))</f>
        <v>0</v>
      </c>
      <c r="AK385" s="71">
        <f>IF($G385="",0,IF(OR($M385="Completed",$M385="Cancelled"),0,1))</f>
        <v>0</v>
      </c>
      <c r="AL385" s="71">
        <f>IF(AND($AK385=1,ISNUMBER($L385)),IF($L385&lt;ReportDate,1,0),0)</f>
        <v>0</v>
      </c>
      <c r="AM385" s="71">
        <f>IF(AND($G385&lt;&gt;"",$M385="Blocked"),1,0)</f>
        <v>0</v>
      </c>
      <c r="AN385" s="71">
        <f>IF(AND($AK385=1,ISNUMBER($L385)),IF($L385=ReportDate,1,0),0)</f>
        <v>0</v>
      </c>
      <c r="AO385" s="71">
        <f>IF(AND($AK385=1,ISNUMBER($L385)),IF($L385=ReportDate+1,1,0),0)</f>
        <v>0</v>
      </c>
      <c r="AP385" s="71">
        <f>IF(AND($AK385=1,ISNUMBER($L385)),IF(AND($L385&gt;=ReportDate,$L385&lt;=ReportDate+DueSoonDays),1,0),0)</f>
        <v>0</v>
      </c>
      <c r="AQ385" s="71">
        <f>IF(AND($AK385=1,OR($I385="Critical",$I385="High")),1,0)</f>
        <v>0</v>
      </c>
      <c r="AR385" s="71">
        <f>IF($AK385=1,IF(ISNUMBER($Y385),IF(ReportDate-$Y385&gt;StaleDays,1,0),1),0)</f>
        <v>0</v>
      </c>
      <c r="AS385" s="71">
        <f>IF(AND($G385&lt;&gt;"",ISNUMBER($Q385),ISNUMBER($R385)),IF(AND($Q385&lt;$R385,OR($M385="Completed",AND(ISNUMBER($L385),$L385&lt;ReportDate))),1,0),0)</f>
        <v>0</v>
      </c>
      <c r="AT385" s="71">
        <f>IF($AK385=1,IF(OR($L385=ReportDate,$W385=ReportDate,$K385=ReportDate,$A385=ReportDate),1,0),0)</f>
        <v>0</v>
      </c>
      <c r="AU385" s="71">
        <f>IF($AK385=1,IF(OR($L385=ReportDate+1,$W385=ReportDate+1,$K385=ReportDate+1,$A385=ReportDate+1),1,0),0)</f>
        <v>0</v>
      </c>
      <c r="AV385" s="71">
        <f>IF(AND($G385&lt;&gt;"",$M385="Completed"),IF(OR($Y385=ReportDate-1,$A385=ReportDate-1),1,0),0)</f>
        <v>0</v>
      </c>
      <c r="AW385" s="71">
        <f>IF(AND($AK385=1,$Z385="Yes"),1,0)</f>
        <v>0</v>
      </c>
      <c r="AX385" s="71">
        <f>IF(AND($AK385=1,$AA385="Yes"),1,0)</f>
        <v>0</v>
      </c>
      <c r="AY385" s="71">
        <f>IF(AND($AM385=1,OR($I385="Critical",$I385="High")),1,0)</f>
        <v>0</v>
      </c>
      <c r="AZ385" s="71">
        <f>IF(AND($AK385=1,OR($C385=TCL_Client,$C385=MECCA_Client)),1,0)</f>
        <v>0</v>
      </c>
      <c r="BA385" s="71" t="str">
        <f>IF($G385="","",IFERROR(MATCH($I385,lst_Priority,0),5))</f>
        <v/>
      </c>
      <c r="BB385" s="71" t="str">
        <f>IF(AND($AL385=1,$AJ385=1),$BA385*100000+ROW(),"")</f>
        <v/>
      </c>
      <c r="BC385" s="71" t="str">
        <f>IF(AND($AM385=1,$AJ385=1),$BA385*100000+ROW(),"")</f>
        <v/>
      </c>
      <c r="BD385" s="71" t="str">
        <f>IF(AND($AP385=1,$AJ385=1),$BA385*100000+ROW(),"")</f>
        <v/>
      </c>
      <c r="BE385" s="71" t="str">
        <f>IF(AND($AT385=1,$AJ385=1),$BA385*100000+ROW(),"")</f>
        <v/>
      </c>
      <c r="BF385" s="71" t="str">
        <f>IF(AND($AU385=1,$AJ385=1),$BA385*100000+ROW(),"")</f>
        <v/>
      </c>
      <c r="BG385" s="71" t="str">
        <f>IF(AND($AV385=1,$AJ385=1),$BA385*100000+ROW(),"")</f>
        <v/>
      </c>
      <c r="BH385" s="71" t="str">
        <f>IF(AND($AW385=1,$AJ385=1),$BA385*100000+ROW(),"")</f>
        <v/>
      </c>
      <c r="BI385" s="71" t="str">
        <f>IF(AND($AX385=1,$AJ385=1),$BA385*100000+ROW(),"")</f>
        <v/>
      </c>
      <c r="BJ385" s="71" t="str">
        <f>IF(AND($AS385=1,$AJ385=1),$BA385*100000+ROW(),"")</f>
        <v/>
      </c>
      <c r="BK385" s="71" t="str">
        <f>IF(AND($AY385=1,$AJ385=1),$BA385*100000+ROW(),"")</f>
        <v/>
      </c>
      <c r="BL385" s="71" t="str">
        <f>IF(AND($AZ385=1),$BA385*100000+ROW(),"")</f>
        <v/>
      </c>
    </row>
    <row r="386">
      <c r="A386" s="63" t="n"/>
      <c r="B386" s="64" t="n"/>
      <c r="C386" s="64" t="n"/>
      <c r="D386" s="64" t="n"/>
      <c r="E386" s="64" t="n"/>
      <c r="F386" s="64" t="n"/>
      <c r="G386" s="65" t="n"/>
      <c r="H386" s="65" t="n"/>
      <c r="I386" s="64" t="n"/>
      <c r="J386" s="64" t="n"/>
      <c r="K386" s="63" t="n"/>
      <c r="L386" s="63" t="n"/>
      <c r="M386" s="64" t="n"/>
      <c r="N386" s="66" t="n"/>
      <c r="O386" s="65" t="n"/>
      <c r="P386" s="64" t="n"/>
      <c r="Q386" s="67" t="n"/>
      <c r="R386" s="67" t="n"/>
      <c r="S386" s="68" t="str">
        <f>IF(AND(ISNUMBER($Q386),ISNUMBER($R386)),$Q386-$R386,"")</f>
        <v/>
      </c>
      <c r="T386" s="65" t="n"/>
      <c r="U386" s="64" t="n"/>
      <c r="V386" s="65" t="n"/>
      <c r="W386" s="63" t="n"/>
      <c r="X386" s="65" t="n"/>
      <c r="Y386" s="63" t="n"/>
      <c r="Z386" s="64" t="n"/>
      <c r="AA386" s="64" t="n"/>
      <c r="AB386" s="65" t="n"/>
      <c r="AC386" s="69" t="str">
        <f>IF(OR($G386="",NOT(ISNUMBER($K386)),$AK386=0),"",MAX(0,ReportDate-$K386))</f>
        <v/>
      </c>
      <c r="AD386" s="69" t="str">
        <f>IF($G386="","",IF($AL386=1,ReportDate-$L386,0))</f>
        <v/>
      </c>
      <c r="AE386" s="70" t="str">
        <f>IF($G386="","",IF($M386="Completed",1,IF(ISNUMBER($N386),$N386,0)))</f>
        <v/>
      </c>
      <c r="AF386" s="70" t="str">
        <f>IF(AND(ISNUMBER($Q386),ISNUMBER($R386)),IF($R386&lt;&gt;0,$Q386/$R386,""),"")</f>
        <v/>
      </c>
      <c r="AG386" s="71" t="str">
        <f>IF($G386="","",IF($AL386=1,"OVERDUE",IF($AM386=1,"BLOCKED",IF($AN386=1,"DUE TODAY",IF($AO386=1,"DUE TOMORROW",IF($AQ386=1,"HIGH PRIORITY",IF($AR386=1,"NO RECENT UPDATE",""))))))) </f>
        <v/>
      </c>
      <c r="AH386" s="71" t="str">
        <f>IF($G386="","",IF(ISNUMBER($A386),IF(ISNUMBER($A386),YEAR($A386)&amp;"-"&amp;TEXT(MONTH($A386),"00"),""),IF(ISNUMBER($L386),IF(ISNUMBER($L386),YEAR($L386)&amp;"-"&amp;TEXT(MONTH($L386),"00"),""),"")))</f>
        <v/>
      </c>
      <c r="AI386" s="71">
        <f>IF($G386="",0,IF(AND(OR(fClient="All",$C386=fClient),OR(fCampaign="All",$D386=fCampaign),OR(fTeam="All",$B386=fTeam),OR(fChannel="All",$F386=fChannel),OR(fMonth="All",$AH386=fMonth),OR(fTStatus="All",$M386=fTStatus)),1,0))</f>
        <v>0</v>
      </c>
      <c r="AJ386" s="71">
        <f>IF($G386="",0,IF(AND(OR(fClient="All",$C386=fClient),OR(fCampaign="All",$D386=fCampaign),OR(fTeam="All",$B386=fTeam),OR(fChannel="All",$F386=fChannel)),1,0))</f>
        <v>0</v>
      </c>
      <c r="AK386" s="71">
        <f>IF($G386="",0,IF(OR($M386="Completed",$M386="Cancelled"),0,1))</f>
        <v>0</v>
      </c>
      <c r="AL386" s="71">
        <f>IF(AND($AK386=1,ISNUMBER($L386)),IF($L386&lt;ReportDate,1,0),0)</f>
        <v>0</v>
      </c>
      <c r="AM386" s="71">
        <f>IF(AND($G386&lt;&gt;"",$M386="Blocked"),1,0)</f>
        <v>0</v>
      </c>
      <c r="AN386" s="71">
        <f>IF(AND($AK386=1,ISNUMBER($L386)),IF($L386=ReportDate,1,0),0)</f>
        <v>0</v>
      </c>
      <c r="AO386" s="71">
        <f>IF(AND($AK386=1,ISNUMBER($L386)),IF($L386=ReportDate+1,1,0),0)</f>
        <v>0</v>
      </c>
      <c r="AP386" s="71">
        <f>IF(AND($AK386=1,ISNUMBER($L386)),IF(AND($L386&gt;=ReportDate,$L386&lt;=ReportDate+DueSoonDays),1,0),0)</f>
        <v>0</v>
      </c>
      <c r="AQ386" s="71">
        <f>IF(AND($AK386=1,OR($I386="Critical",$I386="High")),1,0)</f>
        <v>0</v>
      </c>
      <c r="AR386" s="71">
        <f>IF($AK386=1,IF(ISNUMBER($Y386),IF(ReportDate-$Y386&gt;StaleDays,1,0),1),0)</f>
        <v>0</v>
      </c>
      <c r="AS386" s="71">
        <f>IF(AND($G386&lt;&gt;"",ISNUMBER($Q386),ISNUMBER($R386)),IF(AND($Q386&lt;$R386,OR($M386="Completed",AND(ISNUMBER($L386),$L386&lt;ReportDate))),1,0),0)</f>
        <v>0</v>
      </c>
      <c r="AT386" s="71">
        <f>IF($AK386=1,IF(OR($L386=ReportDate,$W386=ReportDate,$K386=ReportDate,$A386=ReportDate),1,0),0)</f>
        <v>0</v>
      </c>
      <c r="AU386" s="71">
        <f>IF($AK386=1,IF(OR($L386=ReportDate+1,$W386=ReportDate+1,$K386=ReportDate+1,$A386=ReportDate+1),1,0),0)</f>
        <v>0</v>
      </c>
      <c r="AV386" s="71">
        <f>IF(AND($G386&lt;&gt;"",$M386="Completed"),IF(OR($Y386=ReportDate-1,$A386=ReportDate-1),1,0),0)</f>
        <v>0</v>
      </c>
      <c r="AW386" s="71">
        <f>IF(AND($AK386=1,$Z386="Yes"),1,0)</f>
        <v>0</v>
      </c>
      <c r="AX386" s="71">
        <f>IF(AND($AK386=1,$AA386="Yes"),1,0)</f>
        <v>0</v>
      </c>
      <c r="AY386" s="71">
        <f>IF(AND($AM386=1,OR($I386="Critical",$I386="High")),1,0)</f>
        <v>0</v>
      </c>
      <c r="AZ386" s="71">
        <f>IF(AND($AK386=1,OR($C386=TCL_Client,$C386=MECCA_Client)),1,0)</f>
        <v>0</v>
      </c>
      <c r="BA386" s="71" t="str">
        <f>IF($G386="","",IFERROR(MATCH($I386,lst_Priority,0),5))</f>
        <v/>
      </c>
      <c r="BB386" s="71" t="str">
        <f>IF(AND($AL386=1,$AJ386=1),$BA386*100000+ROW(),"")</f>
        <v/>
      </c>
      <c r="BC386" s="71" t="str">
        <f>IF(AND($AM386=1,$AJ386=1),$BA386*100000+ROW(),"")</f>
        <v/>
      </c>
      <c r="BD386" s="71" t="str">
        <f>IF(AND($AP386=1,$AJ386=1),$BA386*100000+ROW(),"")</f>
        <v/>
      </c>
      <c r="BE386" s="71" t="str">
        <f>IF(AND($AT386=1,$AJ386=1),$BA386*100000+ROW(),"")</f>
        <v/>
      </c>
      <c r="BF386" s="71" t="str">
        <f>IF(AND($AU386=1,$AJ386=1),$BA386*100000+ROW(),"")</f>
        <v/>
      </c>
      <c r="BG386" s="71" t="str">
        <f>IF(AND($AV386=1,$AJ386=1),$BA386*100000+ROW(),"")</f>
        <v/>
      </c>
      <c r="BH386" s="71" t="str">
        <f>IF(AND($AW386=1,$AJ386=1),$BA386*100000+ROW(),"")</f>
        <v/>
      </c>
      <c r="BI386" s="71" t="str">
        <f>IF(AND($AX386=1,$AJ386=1),$BA386*100000+ROW(),"")</f>
        <v/>
      </c>
      <c r="BJ386" s="71" t="str">
        <f>IF(AND($AS386=1,$AJ386=1),$BA386*100000+ROW(),"")</f>
        <v/>
      </c>
      <c r="BK386" s="71" t="str">
        <f>IF(AND($AY386=1,$AJ386=1),$BA386*100000+ROW(),"")</f>
        <v/>
      </c>
      <c r="BL386" s="71" t="str">
        <f>IF(AND($AZ386=1),$BA386*100000+ROW(),"")</f>
        <v/>
      </c>
    </row>
    <row r="387">
      <c r="A387" s="63" t="n"/>
      <c r="B387" s="64" t="n"/>
      <c r="C387" s="64" t="n"/>
      <c r="D387" s="64" t="n"/>
      <c r="E387" s="64" t="n"/>
      <c r="F387" s="64" t="n"/>
      <c r="G387" s="65" t="n"/>
      <c r="H387" s="65" t="n"/>
      <c r="I387" s="64" t="n"/>
      <c r="J387" s="64" t="n"/>
      <c r="K387" s="63" t="n"/>
      <c r="L387" s="63" t="n"/>
      <c r="M387" s="64" t="n"/>
      <c r="N387" s="66" t="n"/>
      <c r="O387" s="65" t="n"/>
      <c r="P387" s="64" t="n"/>
      <c r="Q387" s="67" t="n"/>
      <c r="R387" s="67" t="n"/>
      <c r="S387" s="68" t="str">
        <f>IF(AND(ISNUMBER($Q387),ISNUMBER($R387)),$Q387-$R387,"")</f>
        <v/>
      </c>
      <c r="T387" s="65" t="n"/>
      <c r="U387" s="64" t="n"/>
      <c r="V387" s="65" t="n"/>
      <c r="W387" s="63" t="n"/>
      <c r="X387" s="65" t="n"/>
      <c r="Y387" s="63" t="n"/>
      <c r="Z387" s="64" t="n"/>
      <c r="AA387" s="64" t="n"/>
      <c r="AB387" s="65" t="n"/>
      <c r="AC387" s="69" t="str">
        <f>IF(OR($G387="",NOT(ISNUMBER($K387)),$AK387=0),"",MAX(0,ReportDate-$K387))</f>
        <v/>
      </c>
      <c r="AD387" s="69" t="str">
        <f>IF($G387="","",IF($AL387=1,ReportDate-$L387,0))</f>
        <v/>
      </c>
      <c r="AE387" s="70" t="str">
        <f>IF($G387="","",IF($M387="Completed",1,IF(ISNUMBER($N387),$N387,0)))</f>
        <v/>
      </c>
      <c r="AF387" s="70" t="str">
        <f>IF(AND(ISNUMBER($Q387),ISNUMBER($R387)),IF($R387&lt;&gt;0,$Q387/$R387,""),"")</f>
        <v/>
      </c>
      <c r="AG387" s="71" t="str">
        <f>IF($G387="","",IF($AL387=1,"OVERDUE",IF($AM387=1,"BLOCKED",IF($AN387=1,"DUE TODAY",IF($AO387=1,"DUE TOMORROW",IF($AQ387=1,"HIGH PRIORITY",IF($AR387=1,"NO RECENT UPDATE",""))))))) </f>
        <v/>
      </c>
      <c r="AH387" s="71" t="str">
        <f>IF($G387="","",IF(ISNUMBER($A387),IF(ISNUMBER($A387),YEAR($A387)&amp;"-"&amp;TEXT(MONTH($A387),"00"),""),IF(ISNUMBER($L387),IF(ISNUMBER($L387),YEAR($L387)&amp;"-"&amp;TEXT(MONTH($L387),"00"),""),"")))</f>
        <v/>
      </c>
      <c r="AI387" s="71">
        <f>IF($G387="",0,IF(AND(OR(fClient="All",$C387=fClient),OR(fCampaign="All",$D387=fCampaign),OR(fTeam="All",$B387=fTeam),OR(fChannel="All",$F387=fChannel),OR(fMonth="All",$AH387=fMonth),OR(fTStatus="All",$M387=fTStatus)),1,0))</f>
        <v>0</v>
      </c>
      <c r="AJ387" s="71">
        <f>IF($G387="",0,IF(AND(OR(fClient="All",$C387=fClient),OR(fCampaign="All",$D387=fCampaign),OR(fTeam="All",$B387=fTeam),OR(fChannel="All",$F387=fChannel)),1,0))</f>
        <v>0</v>
      </c>
      <c r="AK387" s="71">
        <f>IF($G387="",0,IF(OR($M387="Completed",$M387="Cancelled"),0,1))</f>
        <v>0</v>
      </c>
      <c r="AL387" s="71">
        <f>IF(AND($AK387=1,ISNUMBER($L387)),IF($L387&lt;ReportDate,1,0),0)</f>
        <v>0</v>
      </c>
      <c r="AM387" s="71">
        <f>IF(AND($G387&lt;&gt;"",$M387="Blocked"),1,0)</f>
        <v>0</v>
      </c>
      <c r="AN387" s="71">
        <f>IF(AND($AK387=1,ISNUMBER($L387)),IF($L387=ReportDate,1,0),0)</f>
        <v>0</v>
      </c>
      <c r="AO387" s="71">
        <f>IF(AND($AK387=1,ISNUMBER($L387)),IF($L387=ReportDate+1,1,0),0)</f>
        <v>0</v>
      </c>
      <c r="AP387" s="71">
        <f>IF(AND($AK387=1,ISNUMBER($L387)),IF(AND($L387&gt;=ReportDate,$L387&lt;=ReportDate+DueSoonDays),1,0),0)</f>
        <v>0</v>
      </c>
      <c r="AQ387" s="71">
        <f>IF(AND($AK387=1,OR($I387="Critical",$I387="High")),1,0)</f>
        <v>0</v>
      </c>
      <c r="AR387" s="71">
        <f>IF($AK387=1,IF(ISNUMBER($Y387),IF(ReportDate-$Y387&gt;StaleDays,1,0),1),0)</f>
        <v>0</v>
      </c>
      <c r="AS387" s="71">
        <f>IF(AND($G387&lt;&gt;"",ISNUMBER($Q387),ISNUMBER($R387)),IF(AND($Q387&lt;$R387,OR($M387="Completed",AND(ISNUMBER($L387),$L387&lt;ReportDate))),1,0),0)</f>
        <v>0</v>
      </c>
      <c r="AT387" s="71">
        <f>IF($AK387=1,IF(OR($L387=ReportDate,$W387=ReportDate,$K387=ReportDate,$A387=ReportDate),1,0),0)</f>
        <v>0</v>
      </c>
      <c r="AU387" s="71">
        <f>IF($AK387=1,IF(OR($L387=ReportDate+1,$W387=ReportDate+1,$K387=ReportDate+1,$A387=ReportDate+1),1,0),0)</f>
        <v>0</v>
      </c>
      <c r="AV387" s="71">
        <f>IF(AND($G387&lt;&gt;"",$M387="Completed"),IF(OR($Y387=ReportDate-1,$A387=ReportDate-1),1,0),0)</f>
        <v>0</v>
      </c>
      <c r="AW387" s="71">
        <f>IF(AND($AK387=1,$Z387="Yes"),1,0)</f>
        <v>0</v>
      </c>
      <c r="AX387" s="71">
        <f>IF(AND($AK387=1,$AA387="Yes"),1,0)</f>
        <v>0</v>
      </c>
      <c r="AY387" s="71">
        <f>IF(AND($AM387=1,OR($I387="Critical",$I387="High")),1,0)</f>
        <v>0</v>
      </c>
      <c r="AZ387" s="71">
        <f>IF(AND($AK387=1,OR($C387=TCL_Client,$C387=MECCA_Client)),1,0)</f>
        <v>0</v>
      </c>
      <c r="BA387" s="71" t="str">
        <f>IF($G387="","",IFERROR(MATCH($I387,lst_Priority,0),5))</f>
        <v/>
      </c>
      <c r="BB387" s="71" t="str">
        <f>IF(AND($AL387=1,$AJ387=1),$BA387*100000+ROW(),"")</f>
        <v/>
      </c>
      <c r="BC387" s="71" t="str">
        <f>IF(AND($AM387=1,$AJ387=1),$BA387*100000+ROW(),"")</f>
        <v/>
      </c>
      <c r="BD387" s="71" t="str">
        <f>IF(AND($AP387=1,$AJ387=1),$BA387*100000+ROW(),"")</f>
        <v/>
      </c>
      <c r="BE387" s="71" t="str">
        <f>IF(AND($AT387=1,$AJ387=1),$BA387*100000+ROW(),"")</f>
        <v/>
      </c>
      <c r="BF387" s="71" t="str">
        <f>IF(AND($AU387=1,$AJ387=1),$BA387*100000+ROW(),"")</f>
        <v/>
      </c>
      <c r="BG387" s="71" t="str">
        <f>IF(AND($AV387=1,$AJ387=1),$BA387*100000+ROW(),"")</f>
        <v/>
      </c>
      <c r="BH387" s="71" t="str">
        <f>IF(AND($AW387=1,$AJ387=1),$BA387*100000+ROW(),"")</f>
        <v/>
      </c>
      <c r="BI387" s="71" t="str">
        <f>IF(AND($AX387=1,$AJ387=1),$BA387*100000+ROW(),"")</f>
        <v/>
      </c>
      <c r="BJ387" s="71" t="str">
        <f>IF(AND($AS387=1,$AJ387=1),$BA387*100000+ROW(),"")</f>
        <v/>
      </c>
      <c r="BK387" s="71" t="str">
        <f>IF(AND($AY387=1,$AJ387=1),$BA387*100000+ROW(),"")</f>
        <v/>
      </c>
      <c r="BL387" s="71" t="str">
        <f>IF(AND($AZ387=1),$BA387*100000+ROW(),"")</f>
        <v/>
      </c>
    </row>
    <row r="388">
      <c r="A388" s="63" t="n"/>
      <c r="B388" s="64" t="n"/>
      <c r="C388" s="64" t="n"/>
      <c r="D388" s="64" t="n"/>
      <c r="E388" s="64" t="n"/>
      <c r="F388" s="64" t="n"/>
      <c r="G388" s="65" t="n"/>
      <c r="H388" s="65" t="n"/>
      <c r="I388" s="64" t="n"/>
      <c r="J388" s="64" t="n"/>
      <c r="K388" s="63" t="n"/>
      <c r="L388" s="63" t="n"/>
      <c r="M388" s="64" t="n"/>
      <c r="N388" s="66" t="n"/>
      <c r="O388" s="65" t="n"/>
      <c r="P388" s="64" t="n"/>
      <c r="Q388" s="67" t="n"/>
      <c r="R388" s="67" t="n"/>
      <c r="S388" s="68" t="str">
        <f>IF(AND(ISNUMBER($Q388),ISNUMBER($R388)),$Q388-$R388,"")</f>
        <v/>
      </c>
      <c r="T388" s="65" t="n"/>
      <c r="U388" s="64" t="n"/>
      <c r="V388" s="65" t="n"/>
      <c r="W388" s="63" t="n"/>
      <c r="X388" s="65" t="n"/>
      <c r="Y388" s="63" t="n"/>
      <c r="Z388" s="64" t="n"/>
      <c r="AA388" s="64" t="n"/>
      <c r="AB388" s="65" t="n"/>
      <c r="AC388" s="69" t="str">
        <f>IF(OR($G388="",NOT(ISNUMBER($K388)),$AK388=0),"",MAX(0,ReportDate-$K388))</f>
        <v/>
      </c>
      <c r="AD388" s="69" t="str">
        <f>IF($G388="","",IF($AL388=1,ReportDate-$L388,0))</f>
        <v/>
      </c>
      <c r="AE388" s="70" t="str">
        <f>IF($G388="","",IF($M388="Completed",1,IF(ISNUMBER($N388),$N388,0)))</f>
        <v/>
      </c>
      <c r="AF388" s="70" t="str">
        <f>IF(AND(ISNUMBER($Q388),ISNUMBER($R388)),IF($R388&lt;&gt;0,$Q388/$R388,""),"")</f>
        <v/>
      </c>
      <c r="AG388" s="71" t="str">
        <f>IF($G388="","",IF($AL388=1,"OVERDUE",IF($AM388=1,"BLOCKED",IF($AN388=1,"DUE TODAY",IF($AO388=1,"DUE TOMORROW",IF($AQ388=1,"HIGH PRIORITY",IF($AR388=1,"NO RECENT UPDATE",""))))))) </f>
        <v/>
      </c>
      <c r="AH388" s="71" t="str">
        <f>IF($G388="","",IF(ISNUMBER($A388),IF(ISNUMBER($A388),YEAR($A388)&amp;"-"&amp;TEXT(MONTH($A388),"00"),""),IF(ISNUMBER($L388),IF(ISNUMBER($L388),YEAR($L388)&amp;"-"&amp;TEXT(MONTH($L388),"00"),""),"")))</f>
        <v/>
      </c>
      <c r="AI388" s="71">
        <f>IF($G388="",0,IF(AND(OR(fClient="All",$C388=fClient),OR(fCampaign="All",$D388=fCampaign),OR(fTeam="All",$B388=fTeam),OR(fChannel="All",$F388=fChannel),OR(fMonth="All",$AH388=fMonth),OR(fTStatus="All",$M388=fTStatus)),1,0))</f>
        <v>0</v>
      </c>
      <c r="AJ388" s="71">
        <f>IF($G388="",0,IF(AND(OR(fClient="All",$C388=fClient),OR(fCampaign="All",$D388=fCampaign),OR(fTeam="All",$B388=fTeam),OR(fChannel="All",$F388=fChannel)),1,0))</f>
        <v>0</v>
      </c>
      <c r="AK388" s="71">
        <f>IF($G388="",0,IF(OR($M388="Completed",$M388="Cancelled"),0,1))</f>
        <v>0</v>
      </c>
      <c r="AL388" s="71">
        <f>IF(AND($AK388=1,ISNUMBER($L388)),IF($L388&lt;ReportDate,1,0),0)</f>
        <v>0</v>
      </c>
      <c r="AM388" s="71">
        <f>IF(AND($G388&lt;&gt;"",$M388="Blocked"),1,0)</f>
        <v>0</v>
      </c>
      <c r="AN388" s="71">
        <f>IF(AND($AK388=1,ISNUMBER($L388)),IF($L388=ReportDate,1,0),0)</f>
        <v>0</v>
      </c>
      <c r="AO388" s="71">
        <f>IF(AND($AK388=1,ISNUMBER($L388)),IF($L388=ReportDate+1,1,0),0)</f>
        <v>0</v>
      </c>
      <c r="AP388" s="71">
        <f>IF(AND($AK388=1,ISNUMBER($L388)),IF(AND($L388&gt;=ReportDate,$L388&lt;=ReportDate+DueSoonDays),1,0),0)</f>
        <v>0</v>
      </c>
      <c r="AQ388" s="71">
        <f>IF(AND($AK388=1,OR($I388="Critical",$I388="High")),1,0)</f>
        <v>0</v>
      </c>
      <c r="AR388" s="71">
        <f>IF($AK388=1,IF(ISNUMBER($Y388),IF(ReportDate-$Y388&gt;StaleDays,1,0),1),0)</f>
        <v>0</v>
      </c>
      <c r="AS388" s="71">
        <f>IF(AND($G388&lt;&gt;"",ISNUMBER($Q388),ISNUMBER($R388)),IF(AND($Q388&lt;$R388,OR($M388="Completed",AND(ISNUMBER($L388),$L388&lt;ReportDate))),1,0),0)</f>
        <v>0</v>
      </c>
      <c r="AT388" s="71">
        <f>IF($AK388=1,IF(OR($L388=ReportDate,$W388=ReportDate,$K388=ReportDate,$A388=ReportDate),1,0),0)</f>
        <v>0</v>
      </c>
      <c r="AU388" s="71">
        <f>IF($AK388=1,IF(OR($L388=ReportDate+1,$W388=ReportDate+1,$K388=ReportDate+1,$A388=ReportDate+1),1,0),0)</f>
        <v>0</v>
      </c>
      <c r="AV388" s="71">
        <f>IF(AND($G388&lt;&gt;"",$M388="Completed"),IF(OR($Y388=ReportDate-1,$A388=ReportDate-1),1,0),0)</f>
        <v>0</v>
      </c>
      <c r="AW388" s="71">
        <f>IF(AND($AK388=1,$Z388="Yes"),1,0)</f>
        <v>0</v>
      </c>
      <c r="AX388" s="71">
        <f>IF(AND($AK388=1,$AA388="Yes"),1,0)</f>
        <v>0</v>
      </c>
      <c r="AY388" s="71">
        <f>IF(AND($AM388=1,OR($I388="Critical",$I388="High")),1,0)</f>
        <v>0</v>
      </c>
      <c r="AZ388" s="71">
        <f>IF(AND($AK388=1,OR($C388=TCL_Client,$C388=MECCA_Client)),1,0)</f>
        <v>0</v>
      </c>
      <c r="BA388" s="71" t="str">
        <f>IF($G388="","",IFERROR(MATCH($I388,lst_Priority,0),5))</f>
        <v/>
      </c>
      <c r="BB388" s="71" t="str">
        <f>IF(AND($AL388=1,$AJ388=1),$BA388*100000+ROW(),"")</f>
        <v/>
      </c>
      <c r="BC388" s="71" t="str">
        <f>IF(AND($AM388=1,$AJ388=1),$BA388*100000+ROW(),"")</f>
        <v/>
      </c>
      <c r="BD388" s="71" t="str">
        <f>IF(AND($AP388=1,$AJ388=1),$BA388*100000+ROW(),"")</f>
        <v/>
      </c>
      <c r="BE388" s="71" t="str">
        <f>IF(AND($AT388=1,$AJ388=1),$BA388*100000+ROW(),"")</f>
        <v/>
      </c>
      <c r="BF388" s="71" t="str">
        <f>IF(AND($AU388=1,$AJ388=1),$BA388*100000+ROW(),"")</f>
        <v/>
      </c>
      <c r="BG388" s="71" t="str">
        <f>IF(AND($AV388=1,$AJ388=1),$BA388*100000+ROW(),"")</f>
        <v/>
      </c>
      <c r="BH388" s="71" t="str">
        <f>IF(AND($AW388=1,$AJ388=1),$BA388*100000+ROW(),"")</f>
        <v/>
      </c>
      <c r="BI388" s="71" t="str">
        <f>IF(AND($AX388=1,$AJ388=1),$BA388*100000+ROW(),"")</f>
        <v/>
      </c>
      <c r="BJ388" s="71" t="str">
        <f>IF(AND($AS388=1,$AJ388=1),$BA388*100000+ROW(),"")</f>
        <v/>
      </c>
      <c r="BK388" s="71" t="str">
        <f>IF(AND($AY388=1,$AJ388=1),$BA388*100000+ROW(),"")</f>
        <v/>
      </c>
      <c r="BL388" s="71" t="str">
        <f>IF(AND($AZ388=1),$BA388*100000+ROW(),"")</f>
        <v/>
      </c>
    </row>
    <row r="389">
      <c r="A389" s="63" t="n"/>
      <c r="B389" s="64" t="n"/>
      <c r="C389" s="64" t="n"/>
      <c r="D389" s="64" t="n"/>
      <c r="E389" s="64" t="n"/>
      <c r="F389" s="64" t="n"/>
      <c r="G389" s="65" t="n"/>
      <c r="H389" s="65" t="n"/>
      <c r="I389" s="64" t="n"/>
      <c r="J389" s="64" t="n"/>
      <c r="K389" s="63" t="n"/>
      <c r="L389" s="63" t="n"/>
      <c r="M389" s="64" t="n"/>
      <c r="N389" s="66" t="n"/>
      <c r="O389" s="65" t="n"/>
      <c r="P389" s="64" t="n"/>
      <c r="Q389" s="67" t="n"/>
      <c r="R389" s="67" t="n"/>
      <c r="S389" s="68" t="str">
        <f>IF(AND(ISNUMBER($Q389),ISNUMBER($R389)),$Q389-$R389,"")</f>
        <v/>
      </c>
      <c r="T389" s="65" t="n"/>
      <c r="U389" s="64" t="n"/>
      <c r="V389" s="65" t="n"/>
      <c r="W389" s="63" t="n"/>
      <c r="X389" s="65" t="n"/>
      <c r="Y389" s="63" t="n"/>
      <c r="Z389" s="64" t="n"/>
      <c r="AA389" s="64" t="n"/>
      <c r="AB389" s="65" t="n"/>
      <c r="AC389" s="69" t="str">
        <f>IF(OR($G389="",NOT(ISNUMBER($K389)),$AK389=0),"",MAX(0,ReportDate-$K389))</f>
        <v/>
      </c>
      <c r="AD389" s="69" t="str">
        <f>IF($G389="","",IF($AL389=1,ReportDate-$L389,0))</f>
        <v/>
      </c>
      <c r="AE389" s="70" t="str">
        <f>IF($G389="","",IF($M389="Completed",1,IF(ISNUMBER($N389),$N389,0)))</f>
        <v/>
      </c>
      <c r="AF389" s="70" t="str">
        <f>IF(AND(ISNUMBER($Q389),ISNUMBER($R389)),IF($R389&lt;&gt;0,$Q389/$R389,""),"")</f>
        <v/>
      </c>
      <c r="AG389" s="71" t="str">
        <f>IF($G389="","",IF($AL389=1,"OVERDUE",IF($AM389=1,"BLOCKED",IF($AN389=1,"DUE TODAY",IF($AO389=1,"DUE TOMORROW",IF($AQ389=1,"HIGH PRIORITY",IF($AR389=1,"NO RECENT UPDATE",""))))))) </f>
        <v/>
      </c>
      <c r="AH389" s="71" t="str">
        <f>IF($G389="","",IF(ISNUMBER($A389),IF(ISNUMBER($A389),YEAR($A389)&amp;"-"&amp;TEXT(MONTH($A389),"00"),""),IF(ISNUMBER($L389),IF(ISNUMBER($L389),YEAR($L389)&amp;"-"&amp;TEXT(MONTH($L389),"00"),""),"")))</f>
        <v/>
      </c>
      <c r="AI389" s="71">
        <f>IF($G389="",0,IF(AND(OR(fClient="All",$C389=fClient),OR(fCampaign="All",$D389=fCampaign),OR(fTeam="All",$B389=fTeam),OR(fChannel="All",$F389=fChannel),OR(fMonth="All",$AH389=fMonth),OR(fTStatus="All",$M389=fTStatus)),1,0))</f>
        <v>0</v>
      </c>
      <c r="AJ389" s="71">
        <f>IF($G389="",0,IF(AND(OR(fClient="All",$C389=fClient),OR(fCampaign="All",$D389=fCampaign),OR(fTeam="All",$B389=fTeam),OR(fChannel="All",$F389=fChannel)),1,0))</f>
        <v>0</v>
      </c>
      <c r="AK389" s="71">
        <f>IF($G389="",0,IF(OR($M389="Completed",$M389="Cancelled"),0,1))</f>
        <v>0</v>
      </c>
      <c r="AL389" s="71">
        <f>IF(AND($AK389=1,ISNUMBER($L389)),IF($L389&lt;ReportDate,1,0),0)</f>
        <v>0</v>
      </c>
      <c r="AM389" s="71">
        <f>IF(AND($G389&lt;&gt;"",$M389="Blocked"),1,0)</f>
        <v>0</v>
      </c>
      <c r="AN389" s="71">
        <f>IF(AND($AK389=1,ISNUMBER($L389)),IF($L389=ReportDate,1,0),0)</f>
        <v>0</v>
      </c>
      <c r="AO389" s="71">
        <f>IF(AND($AK389=1,ISNUMBER($L389)),IF($L389=ReportDate+1,1,0),0)</f>
        <v>0</v>
      </c>
      <c r="AP389" s="71">
        <f>IF(AND($AK389=1,ISNUMBER($L389)),IF(AND($L389&gt;=ReportDate,$L389&lt;=ReportDate+DueSoonDays),1,0),0)</f>
        <v>0</v>
      </c>
      <c r="AQ389" s="71">
        <f>IF(AND($AK389=1,OR($I389="Critical",$I389="High")),1,0)</f>
        <v>0</v>
      </c>
      <c r="AR389" s="71">
        <f>IF($AK389=1,IF(ISNUMBER($Y389),IF(ReportDate-$Y389&gt;StaleDays,1,0),1),0)</f>
        <v>0</v>
      </c>
      <c r="AS389" s="71">
        <f>IF(AND($G389&lt;&gt;"",ISNUMBER($Q389),ISNUMBER($R389)),IF(AND($Q389&lt;$R389,OR($M389="Completed",AND(ISNUMBER($L389),$L389&lt;ReportDate))),1,0),0)</f>
        <v>0</v>
      </c>
      <c r="AT389" s="71">
        <f>IF($AK389=1,IF(OR($L389=ReportDate,$W389=ReportDate,$K389=ReportDate,$A389=ReportDate),1,0),0)</f>
        <v>0</v>
      </c>
      <c r="AU389" s="71">
        <f>IF($AK389=1,IF(OR($L389=ReportDate+1,$W389=ReportDate+1,$K389=ReportDate+1,$A389=ReportDate+1),1,0),0)</f>
        <v>0</v>
      </c>
      <c r="AV389" s="71">
        <f>IF(AND($G389&lt;&gt;"",$M389="Completed"),IF(OR($Y389=ReportDate-1,$A389=ReportDate-1),1,0),0)</f>
        <v>0</v>
      </c>
      <c r="AW389" s="71">
        <f>IF(AND($AK389=1,$Z389="Yes"),1,0)</f>
        <v>0</v>
      </c>
      <c r="AX389" s="71">
        <f>IF(AND($AK389=1,$AA389="Yes"),1,0)</f>
        <v>0</v>
      </c>
      <c r="AY389" s="71">
        <f>IF(AND($AM389=1,OR($I389="Critical",$I389="High")),1,0)</f>
        <v>0</v>
      </c>
      <c r="AZ389" s="71">
        <f>IF(AND($AK389=1,OR($C389=TCL_Client,$C389=MECCA_Client)),1,0)</f>
        <v>0</v>
      </c>
      <c r="BA389" s="71" t="str">
        <f>IF($G389="","",IFERROR(MATCH($I389,lst_Priority,0),5))</f>
        <v/>
      </c>
      <c r="BB389" s="71" t="str">
        <f>IF(AND($AL389=1,$AJ389=1),$BA389*100000+ROW(),"")</f>
        <v/>
      </c>
      <c r="BC389" s="71" t="str">
        <f>IF(AND($AM389=1,$AJ389=1),$BA389*100000+ROW(),"")</f>
        <v/>
      </c>
      <c r="BD389" s="71" t="str">
        <f>IF(AND($AP389=1,$AJ389=1),$BA389*100000+ROW(),"")</f>
        <v/>
      </c>
      <c r="BE389" s="71" t="str">
        <f>IF(AND($AT389=1,$AJ389=1),$BA389*100000+ROW(),"")</f>
        <v/>
      </c>
      <c r="BF389" s="71" t="str">
        <f>IF(AND($AU389=1,$AJ389=1),$BA389*100000+ROW(),"")</f>
        <v/>
      </c>
      <c r="BG389" s="71" t="str">
        <f>IF(AND($AV389=1,$AJ389=1),$BA389*100000+ROW(),"")</f>
        <v/>
      </c>
      <c r="BH389" s="71" t="str">
        <f>IF(AND($AW389=1,$AJ389=1),$BA389*100000+ROW(),"")</f>
        <v/>
      </c>
      <c r="BI389" s="71" t="str">
        <f>IF(AND($AX389=1,$AJ389=1),$BA389*100000+ROW(),"")</f>
        <v/>
      </c>
      <c r="BJ389" s="71" t="str">
        <f>IF(AND($AS389=1,$AJ389=1),$BA389*100000+ROW(),"")</f>
        <v/>
      </c>
      <c r="BK389" s="71" t="str">
        <f>IF(AND($AY389=1,$AJ389=1),$BA389*100000+ROW(),"")</f>
        <v/>
      </c>
      <c r="BL389" s="71" t="str">
        <f>IF(AND($AZ389=1),$BA389*100000+ROW(),"")</f>
        <v/>
      </c>
    </row>
    <row r="390">
      <c r="A390" s="63" t="n"/>
      <c r="B390" s="64" t="n"/>
      <c r="C390" s="64" t="n"/>
      <c r="D390" s="64" t="n"/>
      <c r="E390" s="64" t="n"/>
      <c r="F390" s="64" t="n"/>
      <c r="G390" s="65" t="n"/>
      <c r="H390" s="65" t="n"/>
      <c r="I390" s="64" t="n"/>
      <c r="J390" s="64" t="n"/>
      <c r="K390" s="63" t="n"/>
      <c r="L390" s="63" t="n"/>
      <c r="M390" s="64" t="n"/>
      <c r="N390" s="66" t="n"/>
      <c r="O390" s="65" t="n"/>
      <c r="P390" s="64" t="n"/>
      <c r="Q390" s="67" t="n"/>
      <c r="R390" s="67" t="n"/>
      <c r="S390" s="68" t="str">
        <f>IF(AND(ISNUMBER($Q390),ISNUMBER($R390)),$Q390-$R390,"")</f>
        <v/>
      </c>
      <c r="T390" s="65" t="n"/>
      <c r="U390" s="64" t="n"/>
      <c r="V390" s="65" t="n"/>
      <c r="W390" s="63" t="n"/>
      <c r="X390" s="65" t="n"/>
      <c r="Y390" s="63" t="n"/>
      <c r="Z390" s="64" t="n"/>
      <c r="AA390" s="64" t="n"/>
      <c r="AB390" s="65" t="n"/>
      <c r="AC390" s="69" t="str">
        <f>IF(OR($G390="",NOT(ISNUMBER($K390)),$AK390=0),"",MAX(0,ReportDate-$K390))</f>
        <v/>
      </c>
      <c r="AD390" s="69" t="str">
        <f>IF($G390="","",IF($AL390=1,ReportDate-$L390,0))</f>
        <v/>
      </c>
      <c r="AE390" s="70" t="str">
        <f>IF($G390="","",IF($M390="Completed",1,IF(ISNUMBER($N390),$N390,0)))</f>
        <v/>
      </c>
      <c r="AF390" s="70" t="str">
        <f>IF(AND(ISNUMBER($Q390),ISNUMBER($R390)),IF($R390&lt;&gt;0,$Q390/$R390,""),"")</f>
        <v/>
      </c>
      <c r="AG390" s="71" t="str">
        <f>IF($G390="","",IF($AL390=1,"OVERDUE",IF($AM390=1,"BLOCKED",IF($AN390=1,"DUE TODAY",IF($AO390=1,"DUE TOMORROW",IF($AQ390=1,"HIGH PRIORITY",IF($AR390=1,"NO RECENT UPDATE",""))))))) </f>
        <v/>
      </c>
      <c r="AH390" s="71" t="str">
        <f>IF($G390="","",IF(ISNUMBER($A390),IF(ISNUMBER($A390),YEAR($A390)&amp;"-"&amp;TEXT(MONTH($A390),"00"),""),IF(ISNUMBER($L390),IF(ISNUMBER($L390),YEAR($L390)&amp;"-"&amp;TEXT(MONTH($L390),"00"),""),"")))</f>
        <v/>
      </c>
      <c r="AI390" s="71">
        <f>IF($G390="",0,IF(AND(OR(fClient="All",$C390=fClient),OR(fCampaign="All",$D390=fCampaign),OR(fTeam="All",$B390=fTeam),OR(fChannel="All",$F390=fChannel),OR(fMonth="All",$AH390=fMonth),OR(fTStatus="All",$M390=fTStatus)),1,0))</f>
        <v>0</v>
      </c>
      <c r="AJ390" s="71">
        <f>IF($G390="",0,IF(AND(OR(fClient="All",$C390=fClient),OR(fCampaign="All",$D390=fCampaign),OR(fTeam="All",$B390=fTeam),OR(fChannel="All",$F390=fChannel)),1,0))</f>
        <v>0</v>
      </c>
      <c r="AK390" s="71">
        <f>IF($G390="",0,IF(OR($M390="Completed",$M390="Cancelled"),0,1))</f>
        <v>0</v>
      </c>
      <c r="AL390" s="71">
        <f>IF(AND($AK390=1,ISNUMBER($L390)),IF($L390&lt;ReportDate,1,0),0)</f>
        <v>0</v>
      </c>
      <c r="AM390" s="71">
        <f>IF(AND($G390&lt;&gt;"",$M390="Blocked"),1,0)</f>
        <v>0</v>
      </c>
      <c r="AN390" s="71">
        <f>IF(AND($AK390=1,ISNUMBER($L390)),IF($L390=ReportDate,1,0),0)</f>
        <v>0</v>
      </c>
      <c r="AO390" s="71">
        <f>IF(AND($AK390=1,ISNUMBER($L390)),IF($L390=ReportDate+1,1,0),0)</f>
        <v>0</v>
      </c>
      <c r="AP390" s="71">
        <f>IF(AND($AK390=1,ISNUMBER($L390)),IF(AND($L390&gt;=ReportDate,$L390&lt;=ReportDate+DueSoonDays),1,0),0)</f>
        <v>0</v>
      </c>
      <c r="AQ390" s="71">
        <f>IF(AND($AK390=1,OR($I390="Critical",$I390="High")),1,0)</f>
        <v>0</v>
      </c>
      <c r="AR390" s="71">
        <f>IF($AK390=1,IF(ISNUMBER($Y390),IF(ReportDate-$Y390&gt;StaleDays,1,0),1),0)</f>
        <v>0</v>
      </c>
      <c r="AS390" s="71">
        <f>IF(AND($G390&lt;&gt;"",ISNUMBER($Q390),ISNUMBER($R390)),IF(AND($Q390&lt;$R390,OR($M390="Completed",AND(ISNUMBER($L390),$L390&lt;ReportDate))),1,0),0)</f>
        <v>0</v>
      </c>
      <c r="AT390" s="71">
        <f>IF($AK390=1,IF(OR($L390=ReportDate,$W390=ReportDate,$K390=ReportDate,$A390=ReportDate),1,0),0)</f>
        <v>0</v>
      </c>
      <c r="AU390" s="71">
        <f>IF($AK390=1,IF(OR($L390=ReportDate+1,$W390=ReportDate+1,$K390=ReportDate+1,$A390=ReportDate+1),1,0),0)</f>
        <v>0</v>
      </c>
      <c r="AV390" s="71">
        <f>IF(AND($G390&lt;&gt;"",$M390="Completed"),IF(OR($Y390=ReportDate-1,$A390=ReportDate-1),1,0),0)</f>
        <v>0</v>
      </c>
      <c r="AW390" s="71">
        <f>IF(AND($AK390=1,$Z390="Yes"),1,0)</f>
        <v>0</v>
      </c>
      <c r="AX390" s="71">
        <f>IF(AND($AK390=1,$AA390="Yes"),1,0)</f>
        <v>0</v>
      </c>
      <c r="AY390" s="71">
        <f>IF(AND($AM390=1,OR($I390="Critical",$I390="High")),1,0)</f>
        <v>0</v>
      </c>
      <c r="AZ390" s="71">
        <f>IF(AND($AK390=1,OR($C390=TCL_Client,$C390=MECCA_Client)),1,0)</f>
        <v>0</v>
      </c>
      <c r="BA390" s="71" t="str">
        <f>IF($G390="","",IFERROR(MATCH($I390,lst_Priority,0),5))</f>
        <v/>
      </c>
      <c r="BB390" s="71" t="str">
        <f>IF(AND($AL390=1,$AJ390=1),$BA390*100000+ROW(),"")</f>
        <v/>
      </c>
      <c r="BC390" s="71" t="str">
        <f>IF(AND($AM390=1,$AJ390=1),$BA390*100000+ROW(),"")</f>
        <v/>
      </c>
      <c r="BD390" s="71" t="str">
        <f>IF(AND($AP390=1,$AJ390=1),$BA390*100000+ROW(),"")</f>
        <v/>
      </c>
      <c r="BE390" s="71" t="str">
        <f>IF(AND($AT390=1,$AJ390=1),$BA390*100000+ROW(),"")</f>
        <v/>
      </c>
      <c r="BF390" s="71" t="str">
        <f>IF(AND($AU390=1,$AJ390=1),$BA390*100000+ROW(),"")</f>
        <v/>
      </c>
      <c r="BG390" s="71" t="str">
        <f>IF(AND($AV390=1,$AJ390=1),$BA390*100000+ROW(),"")</f>
        <v/>
      </c>
      <c r="BH390" s="71" t="str">
        <f>IF(AND($AW390=1,$AJ390=1),$BA390*100000+ROW(),"")</f>
        <v/>
      </c>
      <c r="BI390" s="71" t="str">
        <f>IF(AND($AX390=1,$AJ390=1),$BA390*100000+ROW(),"")</f>
        <v/>
      </c>
      <c r="BJ390" s="71" t="str">
        <f>IF(AND($AS390=1,$AJ390=1),$BA390*100000+ROW(),"")</f>
        <v/>
      </c>
      <c r="BK390" s="71" t="str">
        <f>IF(AND($AY390=1,$AJ390=1),$BA390*100000+ROW(),"")</f>
        <v/>
      </c>
      <c r="BL390" s="71" t="str">
        <f>IF(AND($AZ390=1),$BA390*100000+ROW(),"")</f>
        <v/>
      </c>
    </row>
    <row r="391">
      <c r="A391" s="63" t="n"/>
      <c r="B391" s="64" t="n"/>
      <c r="C391" s="64" t="n"/>
      <c r="D391" s="64" t="n"/>
      <c r="E391" s="64" t="n"/>
      <c r="F391" s="64" t="n"/>
      <c r="G391" s="65" t="n"/>
      <c r="H391" s="65" t="n"/>
      <c r="I391" s="64" t="n"/>
      <c r="J391" s="64" t="n"/>
      <c r="K391" s="63" t="n"/>
      <c r="L391" s="63" t="n"/>
      <c r="M391" s="64" t="n"/>
      <c r="N391" s="66" t="n"/>
      <c r="O391" s="65" t="n"/>
      <c r="P391" s="64" t="n"/>
      <c r="Q391" s="67" t="n"/>
      <c r="R391" s="67" t="n"/>
      <c r="S391" s="68" t="str">
        <f>IF(AND(ISNUMBER($Q391),ISNUMBER($R391)),$Q391-$R391,"")</f>
        <v/>
      </c>
      <c r="T391" s="65" t="n"/>
      <c r="U391" s="64" t="n"/>
      <c r="V391" s="65" t="n"/>
      <c r="W391" s="63" t="n"/>
      <c r="X391" s="65" t="n"/>
      <c r="Y391" s="63" t="n"/>
      <c r="Z391" s="64" t="n"/>
      <c r="AA391" s="64" t="n"/>
      <c r="AB391" s="65" t="n"/>
      <c r="AC391" s="69" t="str">
        <f>IF(OR($G391="",NOT(ISNUMBER($K391)),$AK391=0),"",MAX(0,ReportDate-$K391))</f>
        <v/>
      </c>
      <c r="AD391" s="69" t="str">
        <f>IF($G391="","",IF($AL391=1,ReportDate-$L391,0))</f>
        <v/>
      </c>
      <c r="AE391" s="70" t="str">
        <f>IF($G391="","",IF($M391="Completed",1,IF(ISNUMBER($N391),$N391,0)))</f>
        <v/>
      </c>
      <c r="AF391" s="70" t="str">
        <f>IF(AND(ISNUMBER($Q391),ISNUMBER($R391)),IF($R391&lt;&gt;0,$Q391/$R391,""),"")</f>
        <v/>
      </c>
      <c r="AG391" s="71" t="str">
        <f>IF($G391="","",IF($AL391=1,"OVERDUE",IF($AM391=1,"BLOCKED",IF($AN391=1,"DUE TODAY",IF($AO391=1,"DUE TOMORROW",IF($AQ391=1,"HIGH PRIORITY",IF($AR391=1,"NO RECENT UPDATE",""))))))) </f>
        <v/>
      </c>
      <c r="AH391" s="71" t="str">
        <f>IF($G391="","",IF(ISNUMBER($A391),IF(ISNUMBER($A391),YEAR($A391)&amp;"-"&amp;TEXT(MONTH($A391),"00"),""),IF(ISNUMBER($L391),IF(ISNUMBER($L391),YEAR($L391)&amp;"-"&amp;TEXT(MONTH($L391),"00"),""),"")))</f>
        <v/>
      </c>
      <c r="AI391" s="71">
        <f>IF($G391="",0,IF(AND(OR(fClient="All",$C391=fClient),OR(fCampaign="All",$D391=fCampaign),OR(fTeam="All",$B391=fTeam),OR(fChannel="All",$F391=fChannel),OR(fMonth="All",$AH391=fMonth),OR(fTStatus="All",$M391=fTStatus)),1,0))</f>
        <v>0</v>
      </c>
      <c r="AJ391" s="71">
        <f>IF($G391="",0,IF(AND(OR(fClient="All",$C391=fClient),OR(fCampaign="All",$D391=fCampaign),OR(fTeam="All",$B391=fTeam),OR(fChannel="All",$F391=fChannel)),1,0))</f>
        <v>0</v>
      </c>
      <c r="AK391" s="71">
        <f>IF($G391="",0,IF(OR($M391="Completed",$M391="Cancelled"),0,1))</f>
        <v>0</v>
      </c>
      <c r="AL391" s="71">
        <f>IF(AND($AK391=1,ISNUMBER($L391)),IF($L391&lt;ReportDate,1,0),0)</f>
        <v>0</v>
      </c>
      <c r="AM391" s="71">
        <f>IF(AND($G391&lt;&gt;"",$M391="Blocked"),1,0)</f>
        <v>0</v>
      </c>
      <c r="AN391" s="71">
        <f>IF(AND($AK391=1,ISNUMBER($L391)),IF($L391=ReportDate,1,0),0)</f>
        <v>0</v>
      </c>
      <c r="AO391" s="71">
        <f>IF(AND($AK391=1,ISNUMBER($L391)),IF($L391=ReportDate+1,1,0),0)</f>
        <v>0</v>
      </c>
      <c r="AP391" s="71">
        <f>IF(AND($AK391=1,ISNUMBER($L391)),IF(AND($L391&gt;=ReportDate,$L391&lt;=ReportDate+DueSoonDays),1,0),0)</f>
        <v>0</v>
      </c>
      <c r="AQ391" s="71">
        <f>IF(AND($AK391=1,OR($I391="Critical",$I391="High")),1,0)</f>
        <v>0</v>
      </c>
      <c r="AR391" s="71">
        <f>IF($AK391=1,IF(ISNUMBER($Y391),IF(ReportDate-$Y391&gt;StaleDays,1,0),1),0)</f>
        <v>0</v>
      </c>
      <c r="AS391" s="71">
        <f>IF(AND($G391&lt;&gt;"",ISNUMBER($Q391),ISNUMBER($R391)),IF(AND($Q391&lt;$R391,OR($M391="Completed",AND(ISNUMBER($L391),$L391&lt;ReportDate))),1,0),0)</f>
        <v>0</v>
      </c>
      <c r="AT391" s="71">
        <f>IF($AK391=1,IF(OR($L391=ReportDate,$W391=ReportDate,$K391=ReportDate,$A391=ReportDate),1,0),0)</f>
        <v>0</v>
      </c>
      <c r="AU391" s="71">
        <f>IF($AK391=1,IF(OR($L391=ReportDate+1,$W391=ReportDate+1,$K391=ReportDate+1,$A391=ReportDate+1),1,0),0)</f>
        <v>0</v>
      </c>
      <c r="AV391" s="71">
        <f>IF(AND($G391&lt;&gt;"",$M391="Completed"),IF(OR($Y391=ReportDate-1,$A391=ReportDate-1),1,0),0)</f>
        <v>0</v>
      </c>
      <c r="AW391" s="71">
        <f>IF(AND($AK391=1,$Z391="Yes"),1,0)</f>
        <v>0</v>
      </c>
      <c r="AX391" s="71">
        <f>IF(AND($AK391=1,$AA391="Yes"),1,0)</f>
        <v>0</v>
      </c>
      <c r="AY391" s="71">
        <f>IF(AND($AM391=1,OR($I391="Critical",$I391="High")),1,0)</f>
        <v>0</v>
      </c>
      <c r="AZ391" s="71">
        <f>IF(AND($AK391=1,OR($C391=TCL_Client,$C391=MECCA_Client)),1,0)</f>
        <v>0</v>
      </c>
      <c r="BA391" s="71" t="str">
        <f>IF($G391="","",IFERROR(MATCH($I391,lst_Priority,0),5))</f>
        <v/>
      </c>
      <c r="BB391" s="71" t="str">
        <f>IF(AND($AL391=1,$AJ391=1),$BA391*100000+ROW(),"")</f>
        <v/>
      </c>
      <c r="BC391" s="71" t="str">
        <f>IF(AND($AM391=1,$AJ391=1),$BA391*100000+ROW(),"")</f>
        <v/>
      </c>
      <c r="BD391" s="71" t="str">
        <f>IF(AND($AP391=1,$AJ391=1),$BA391*100000+ROW(),"")</f>
        <v/>
      </c>
      <c r="BE391" s="71" t="str">
        <f>IF(AND($AT391=1,$AJ391=1),$BA391*100000+ROW(),"")</f>
        <v/>
      </c>
      <c r="BF391" s="71" t="str">
        <f>IF(AND($AU391=1,$AJ391=1),$BA391*100000+ROW(),"")</f>
        <v/>
      </c>
      <c r="BG391" s="71" t="str">
        <f>IF(AND($AV391=1,$AJ391=1),$BA391*100000+ROW(),"")</f>
        <v/>
      </c>
      <c r="BH391" s="71" t="str">
        <f>IF(AND($AW391=1,$AJ391=1),$BA391*100000+ROW(),"")</f>
        <v/>
      </c>
      <c r="BI391" s="71" t="str">
        <f>IF(AND($AX391=1,$AJ391=1),$BA391*100000+ROW(),"")</f>
        <v/>
      </c>
      <c r="BJ391" s="71" t="str">
        <f>IF(AND($AS391=1,$AJ391=1),$BA391*100000+ROW(),"")</f>
        <v/>
      </c>
      <c r="BK391" s="71" t="str">
        <f>IF(AND($AY391=1,$AJ391=1),$BA391*100000+ROW(),"")</f>
        <v/>
      </c>
      <c r="BL391" s="71" t="str">
        <f>IF(AND($AZ391=1),$BA391*100000+ROW(),"")</f>
        <v/>
      </c>
    </row>
    <row r="392">
      <c r="A392" s="63" t="n"/>
      <c r="B392" s="64" t="n"/>
      <c r="C392" s="64" t="n"/>
      <c r="D392" s="64" t="n"/>
      <c r="E392" s="64" t="n"/>
      <c r="F392" s="64" t="n"/>
      <c r="G392" s="65" t="n"/>
      <c r="H392" s="65" t="n"/>
      <c r="I392" s="64" t="n"/>
      <c r="J392" s="64" t="n"/>
      <c r="K392" s="63" t="n"/>
      <c r="L392" s="63" t="n"/>
      <c r="M392" s="64" t="n"/>
      <c r="N392" s="66" t="n"/>
      <c r="O392" s="65" t="n"/>
      <c r="P392" s="64" t="n"/>
      <c r="Q392" s="67" t="n"/>
      <c r="R392" s="67" t="n"/>
      <c r="S392" s="68" t="str">
        <f>IF(AND(ISNUMBER($Q392),ISNUMBER($R392)),$Q392-$R392,"")</f>
        <v/>
      </c>
      <c r="T392" s="65" t="n"/>
      <c r="U392" s="64" t="n"/>
      <c r="V392" s="65" t="n"/>
      <c r="W392" s="63" t="n"/>
      <c r="X392" s="65" t="n"/>
      <c r="Y392" s="63" t="n"/>
      <c r="Z392" s="64" t="n"/>
      <c r="AA392" s="64" t="n"/>
      <c r="AB392" s="65" t="n"/>
      <c r="AC392" s="69" t="str">
        <f>IF(OR($G392="",NOT(ISNUMBER($K392)),$AK392=0),"",MAX(0,ReportDate-$K392))</f>
        <v/>
      </c>
      <c r="AD392" s="69" t="str">
        <f>IF($G392="","",IF($AL392=1,ReportDate-$L392,0))</f>
        <v/>
      </c>
      <c r="AE392" s="70" t="str">
        <f>IF($G392="","",IF($M392="Completed",1,IF(ISNUMBER($N392),$N392,0)))</f>
        <v/>
      </c>
      <c r="AF392" s="70" t="str">
        <f>IF(AND(ISNUMBER($Q392),ISNUMBER($R392)),IF($R392&lt;&gt;0,$Q392/$R392,""),"")</f>
        <v/>
      </c>
      <c r="AG392" s="71" t="str">
        <f>IF($G392="","",IF($AL392=1,"OVERDUE",IF($AM392=1,"BLOCKED",IF($AN392=1,"DUE TODAY",IF($AO392=1,"DUE TOMORROW",IF($AQ392=1,"HIGH PRIORITY",IF($AR392=1,"NO RECENT UPDATE",""))))))) </f>
        <v/>
      </c>
      <c r="AH392" s="71" t="str">
        <f>IF($G392="","",IF(ISNUMBER($A392),IF(ISNUMBER($A392),YEAR($A392)&amp;"-"&amp;TEXT(MONTH($A392),"00"),""),IF(ISNUMBER($L392),IF(ISNUMBER($L392),YEAR($L392)&amp;"-"&amp;TEXT(MONTH($L392),"00"),""),"")))</f>
        <v/>
      </c>
      <c r="AI392" s="71">
        <f>IF($G392="",0,IF(AND(OR(fClient="All",$C392=fClient),OR(fCampaign="All",$D392=fCampaign),OR(fTeam="All",$B392=fTeam),OR(fChannel="All",$F392=fChannel),OR(fMonth="All",$AH392=fMonth),OR(fTStatus="All",$M392=fTStatus)),1,0))</f>
        <v>0</v>
      </c>
      <c r="AJ392" s="71">
        <f>IF($G392="",0,IF(AND(OR(fClient="All",$C392=fClient),OR(fCampaign="All",$D392=fCampaign),OR(fTeam="All",$B392=fTeam),OR(fChannel="All",$F392=fChannel)),1,0))</f>
        <v>0</v>
      </c>
      <c r="AK392" s="71">
        <f>IF($G392="",0,IF(OR($M392="Completed",$M392="Cancelled"),0,1))</f>
        <v>0</v>
      </c>
      <c r="AL392" s="71">
        <f>IF(AND($AK392=1,ISNUMBER($L392)),IF($L392&lt;ReportDate,1,0),0)</f>
        <v>0</v>
      </c>
      <c r="AM392" s="71">
        <f>IF(AND($G392&lt;&gt;"",$M392="Blocked"),1,0)</f>
        <v>0</v>
      </c>
      <c r="AN392" s="71">
        <f>IF(AND($AK392=1,ISNUMBER($L392)),IF($L392=ReportDate,1,0),0)</f>
        <v>0</v>
      </c>
      <c r="AO392" s="71">
        <f>IF(AND($AK392=1,ISNUMBER($L392)),IF($L392=ReportDate+1,1,0),0)</f>
        <v>0</v>
      </c>
      <c r="AP392" s="71">
        <f>IF(AND($AK392=1,ISNUMBER($L392)),IF(AND($L392&gt;=ReportDate,$L392&lt;=ReportDate+DueSoonDays),1,0),0)</f>
        <v>0</v>
      </c>
      <c r="AQ392" s="71">
        <f>IF(AND($AK392=1,OR($I392="Critical",$I392="High")),1,0)</f>
        <v>0</v>
      </c>
      <c r="AR392" s="71">
        <f>IF($AK392=1,IF(ISNUMBER($Y392),IF(ReportDate-$Y392&gt;StaleDays,1,0),1),0)</f>
        <v>0</v>
      </c>
      <c r="AS392" s="71">
        <f>IF(AND($G392&lt;&gt;"",ISNUMBER($Q392),ISNUMBER($R392)),IF(AND($Q392&lt;$R392,OR($M392="Completed",AND(ISNUMBER($L392),$L392&lt;ReportDate))),1,0),0)</f>
        <v>0</v>
      </c>
      <c r="AT392" s="71">
        <f>IF($AK392=1,IF(OR($L392=ReportDate,$W392=ReportDate,$K392=ReportDate,$A392=ReportDate),1,0),0)</f>
        <v>0</v>
      </c>
      <c r="AU392" s="71">
        <f>IF($AK392=1,IF(OR($L392=ReportDate+1,$W392=ReportDate+1,$K392=ReportDate+1,$A392=ReportDate+1),1,0),0)</f>
        <v>0</v>
      </c>
      <c r="AV392" s="71">
        <f>IF(AND($G392&lt;&gt;"",$M392="Completed"),IF(OR($Y392=ReportDate-1,$A392=ReportDate-1),1,0),0)</f>
        <v>0</v>
      </c>
      <c r="AW392" s="71">
        <f>IF(AND($AK392=1,$Z392="Yes"),1,0)</f>
        <v>0</v>
      </c>
      <c r="AX392" s="71">
        <f>IF(AND($AK392=1,$AA392="Yes"),1,0)</f>
        <v>0</v>
      </c>
      <c r="AY392" s="71">
        <f>IF(AND($AM392=1,OR($I392="Critical",$I392="High")),1,0)</f>
        <v>0</v>
      </c>
      <c r="AZ392" s="71">
        <f>IF(AND($AK392=1,OR($C392=TCL_Client,$C392=MECCA_Client)),1,0)</f>
        <v>0</v>
      </c>
      <c r="BA392" s="71" t="str">
        <f>IF($G392="","",IFERROR(MATCH($I392,lst_Priority,0),5))</f>
        <v/>
      </c>
      <c r="BB392" s="71" t="str">
        <f>IF(AND($AL392=1,$AJ392=1),$BA392*100000+ROW(),"")</f>
        <v/>
      </c>
      <c r="BC392" s="71" t="str">
        <f>IF(AND($AM392=1,$AJ392=1),$BA392*100000+ROW(),"")</f>
        <v/>
      </c>
      <c r="BD392" s="71" t="str">
        <f>IF(AND($AP392=1,$AJ392=1),$BA392*100000+ROW(),"")</f>
        <v/>
      </c>
      <c r="BE392" s="71" t="str">
        <f>IF(AND($AT392=1,$AJ392=1),$BA392*100000+ROW(),"")</f>
        <v/>
      </c>
      <c r="BF392" s="71" t="str">
        <f>IF(AND($AU392=1,$AJ392=1),$BA392*100000+ROW(),"")</f>
        <v/>
      </c>
      <c r="BG392" s="71" t="str">
        <f>IF(AND($AV392=1,$AJ392=1),$BA392*100000+ROW(),"")</f>
        <v/>
      </c>
      <c r="BH392" s="71" t="str">
        <f>IF(AND($AW392=1,$AJ392=1),$BA392*100000+ROW(),"")</f>
        <v/>
      </c>
      <c r="BI392" s="71" t="str">
        <f>IF(AND($AX392=1,$AJ392=1),$BA392*100000+ROW(),"")</f>
        <v/>
      </c>
      <c r="BJ392" s="71" t="str">
        <f>IF(AND($AS392=1,$AJ392=1),$BA392*100000+ROW(),"")</f>
        <v/>
      </c>
      <c r="BK392" s="71" t="str">
        <f>IF(AND($AY392=1,$AJ392=1),$BA392*100000+ROW(),"")</f>
        <v/>
      </c>
      <c r="BL392" s="71" t="str">
        <f>IF(AND($AZ392=1),$BA392*100000+ROW(),"")</f>
        <v/>
      </c>
    </row>
    <row r="393">
      <c r="A393" s="63" t="n"/>
      <c r="B393" s="64" t="n"/>
      <c r="C393" s="64" t="n"/>
      <c r="D393" s="64" t="n"/>
      <c r="E393" s="64" t="n"/>
      <c r="F393" s="64" t="n"/>
      <c r="G393" s="65" t="n"/>
      <c r="H393" s="65" t="n"/>
      <c r="I393" s="64" t="n"/>
      <c r="J393" s="64" t="n"/>
      <c r="K393" s="63" t="n"/>
      <c r="L393" s="63" t="n"/>
      <c r="M393" s="64" t="n"/>
      <c r="N393" s="66" t="n"/>
      <c r="O393" s="65" t="n"/>
      <c r="P393" s="64" t="n"/>
      <c r="Q393" s="67" t="n"/>
      <c r="R393" s="67" t="n"/>
      <c r="S393" s="68" t="str">
        <f>IF(AND(ISNUMBER($Q393),ISNUMBER($R393)),$Q393-$R393,"")</f>
        <v/>
      </c>
      <c r="T393" s="65" t="n"/>
      <c r="U393" s="64" t="n"/>
      <c r="V393" s="65" t="n"/>
      <c r="W393" s="63" t="n"/>
      <c r="X393" s="65" t="n"/>
      <c r="Y393" s="63" t="n"/>
      <c r="Z393" s="64" t="n"/>
      <c r="AA393" s="64" t="n"/>
      <c r="AB393" s="65" t="n"/>
      <c r="AC393" s="69" t="str">
        <f>IF(OR($G393="",NOT(ISNUMBER($K393)),$AK393=0),"",MAX(0,ReportDate-$K393))</f>
        <v/>
      </c>
      <c r="AD393" s="69" t="str">
        <f>IF($G393="","",IF($AL393=1,ReportDate-$L393,0))</f>
        <v/>
      </c>
      <c r="AE393" s="70" t="str">
        <f>IF($G393="","",IF($M393="Completed",1,IF(ISNUMBER($N393),$N393,0)))</f>
        <v/>
      </c>
      <c r="AF393" s="70" t="str">
        <f>IF(AND(ISNUMBER($Q393),ISNUMBER($R393)),IF($R393&lt;&gt;0,$Q393/$R393,""),"")</f>
        <v/>
      </c>
      <c r="AG393" s="71" t="str">
        <f>IF($G393="","",IF($AL393=1,"OVERDUE",IF($AM393=1,"BLOCKED",IF($AN393=1,"DUE TODAY",IF($AO393=1,"DUE TOMORROW",IF($AQ393=1,"HIGH PRIORITY",IF($AR393=1,"NO RECENT UPDATE",""))))))) </f>
        <v/>
      </c>
      <c r="AH393" s="71" t="str">
        <f>IF($G393="","",IF(ISNUMBER($A393),IF(ISNUMBER($A393),YEAR($A393)&amp;"-"&amp;TEXT(MONTH($A393),"00"),""),IF(ISNUMBER($L393),IF(ISNUMBER($L393),YEAR($L393)&amp;"-"&amp;TEXT(MONTH($L393),"00"),""),"")))</f>
        <v/>
      </c>
      <c r="AI393" s="71">
        <f>IF($G393="",0,IF(AND(OR(fClient="All",$C393=fClient),OR(fCampaign="All",$D393=fCampaign),OR(fTeam="All",$B393=fTeam),OR(fChannel="All",$F393=fChannel),OR(fMonth="All",$AH393=fMonth),OR(fTStatus="All",$M393=fTStatus)),1,0))</f>
        <v>0</v>
      </c>
      <c r="AJ393" s="71">
        <f>IF($G393="",0,IF(AND(OR(fClient="All",$C393=fClient),OR(fCampaign="All",$D393=fCampaign),OR(fTeam="All",$B393=fTeam),OR(fChannel="All",$F393=fChannel)),1,0))</f>
        <v>0</v>
      </c>
      <c r="AK393" s="71">
        <f>IF($G393="",0,IF(OR($M393="Completed",$M393="Cancelled"),0,1))</f>
        <v>0</v>
      </c>
      <c r="AL393" s="71">
        <f>IF(AND($AK393=1,ISNUMBER($L393)),IF($L393&lt;ReportDate,1,0),0)</f>
        <v>0</v>
      </c>
      <c r="AM393" s="71">
        <f>IF(AND($G393&lt;&gt;"",$M393="Blocked"),1,0)</f>
        <v>0</v>
      </c>
      <c r="AN393" s="71">
        <f>IF(AND($AK393=1,ISNUMBER($L393)),IF($L393=ReportDate,1,0),0)</f>
        <v>0</v>
      </c>
      <c r="AO393" s="71">
        <f>IF(AND($AK393=1,ISNUMBER($L393)),IF($L393=ReportDate+1,1,0),0)</f>
        <v>0</v>
      </c>
      <c r="AP393" s="71">
        <f>IF(AND($AK393=1,ISNUMBER($L393)),IF(AND($L393&gt;=ReportDate,$L393&lt;=ReportDate+DueSoonDays),1,0),0)</f>
        <v>0</v>
      </c>
      <c r="AQ393" s="71">
        <f>IF(AND($AK393=1,OR($I393="Critical",$I393="High")),1,0)</f>
        <v>0</v>
      </c>
      <c r="AR393" s="71">
        <f>IF($AK393=1,IF(ISNUMBER($Y393),IF(ReportDate-$Y393&gt;StaleDays,1,0),1),0)</f>
        <v>0</v>
      </c>
      <c r="AS393" s="71">
        <f>IF(AND($G393&lt;&gt;"",ISNUMBER($Q393),ISNUMBER($R393)),IF(AND($Q393&lt;$R393,OR($M393="Completed",AND(ISNUMBER($L393),$L393&lt;ReportDate))),1,0),0)</f>
        <v>0</v>
      </c>
      <c r="AT393" s="71">
        <f>IF($AK393=1,IF(OR($L393=ReportDate,$W393=ReportDate,$K393=ReportDate,$A393=ReportDate),1,0),0)</f>
        <v>0</v>
      </c>
      <c r="AU393" s="71">
        <f>IF($AK393=1,IF(OR($L393=ReportDate+1,$W393=ReportDate+1,$K393=ReportDate+1,$A393=ReportDate+1),1,0),0)</f>
        <v>0</v>
      </c>
      <c r="AV393" s="71">
        <f>IF(AND($G393&lt;&gt;"",$M393="Completed"),IF(OR($Y393=ReportDate-1,$A393=ReportDate-1),1,0),0)</f>
        <v>0</v>
      </c>
      <c r="AW393" s="71">
        <f>IF(AND($AK393=1,$Z393="Yes"),1,0)</f>
        <v>0</v>
      </c>
      <c r="AX393" s="71">
        <f>IF(AND($AK393=1,$AA393="Yes"),1,0)</f>
        <v>0</v>
      </c>
      <c r="AY393" s="71">
        <f>IF(AND($AM393=1,OR($I393="Critical",$I393="High")),1,0)</f>
        <v>0</v>
      </c>
      <c r="AZ393" s="71">
        <f>IF(AND($AK393=1,OR($C393=TCL_Client,$C393=MECCA_Client)),1,0)</f>
        <v>0</v>
      </c>
      <c r="BA393" s="71" t="str">
        <f>IF($G393="","",IFERROR(MATCH($I393,lst_Priority,0),5))</f>
        <v/>
      </c>
      <c r="BB393" s="71" t="str">
        <f>IF(AND($AL393=1,$AJ393=1),$BA393*100000+ROW(),"")</f>
        <v/>
      </c>
      <c r="BC393" s="71" t="str">
        <f>IF(AND($AM393=1,$AJ393=1),$BA393*100000+ROW(),"")</f>
        <v/>
      </c>
      <c r="BD393" s="71" t="str">
        <f>IF(AND($AP393=1,$AJ393=1),$BA393*100000+ROW(),"")</f>
        <v/>
      </c>
      <c r="BE393" s="71" t="str">
        <f>IF(AND($AT393=1,$AJ393=1),$BA393*100000+ROW(),"")</f>
        <v/>
      </c>
      <c r="BF393" s="71" t="str">
        <f>IF(AND($AU393=1,$AJ393=1),$BA393*100000+ROW(),"")</f>
        <v/>
      </c>
      <c r="BG393" s="71" t="str">
        <f>IF(AND($AV393=1,$AJ393=1),$BA393*100000+ROW(),"")</f>
        <v/>
      </c>
      <c r="BH393" s="71" t="str">
        <f>IF(AND($AW393=1,$AJ393=1),$BA393*100000+ROW(),"")</f>
        <v/>
      </c>
      <c r="BI393" s="71" t="str">
        <f>IF(AND($AX393=1,$AJ393=1),$BA393*100000+ROW(),"")</f>
        <v/>
      </c>
      <c r="BJ393" s="71" t="str">
        <f>IF(AND($AS393=1,$AJ393=1),$BA393*100000+ROW(),"")</f>
        <v/>
      </c>
      <c r="BK393" s="71" t="str">
        <f>IF(AND($AY393=1,$AJ393=1),$BA393*100000+ROW(),"")</f>
        <v/>
      </c>
      <c r="BL393" s="71" t="str">
        <f>IF(AND($AZ393=1),$BA393*100000+ROW(),"")</f>
        <v/>
      </c>
    </row>
    <row r="394">
      <c r="A394" s="63" t="n"/>
      <c r="B394" s="64" t="n"/>
      <c r="C394" s="64" t="n"/>
      <c r="D394" s="64" t="n"/>
      <c r="E394" s="64" t="n"/>
      <c r="F394" s="64" t="n"/>
      <c r="G394" s="65" t="n"/>
      <c r="H394" s="65" t="n"/>
      <c r="I394" s="64" t="n"/>
      <c r="J394" s="64" t="n"/>
      <c r="K394" s="63" t="n"/>
      <c r="L394" s="63" t="n"/>
      <c r="M394" s="64" t="n"/>
      <c r="N394" s="66" t="n"/>
      <c r="O394" s="65" t="n"/>
      <c r="P394" s="64" t="n"/>
      <c r="Q394" s="67" t="n"/>
      <c r="R394" s="67" t="n"/>
      <c r="S394" s="68" t="str">
        <f>IF(AND(ISNUMBER($Q394),ISNUMBER($R394)),$Q394-$R394,"")</f>
        <v/>
      </c>
      <c r="T394" s="65" t="n"/>
      <c r="U394" s="64" t="n"/>
      <c r="V394" s="65" t="n"/>
      <c r="W394" s="63" t="n"/>
      <c r="X394" s="65" t="n"/>
      <c r="Y394" s="63" t="n"/>
      <c r="Z394" s="64" t="n"/>
      <c r="AA394" s="64" t="n"/>
      <c r="AB394" s="65" t="n"/>
      <c r="AC394" s="69" t="str">
        <f>IF(OR($G394="",NOT(ISNUMBER($K394)),$AK394=0),"",MAX(0,ReportDate-$K394))</f>
        <v/>
      </c>
      <c r="AD394" s="69" t="str">
        <f>IF($G394="","",IF($AL394=1,ReportDate-$L394,0))</f>
        <v/>
      </c>
      <c r="AE394" s="70" t="str">
        <f>IF($G394="","",IF($M394="Completed",1,IF(ISNUMBER($N394),$N394,0)))</f>
        <v/>
      </c>
      <c r="AF394" s="70" t="str">
        <f>IF(AND(ISNUMBER($Q394),ISNUMBER($R394)),IF($R394&lt;&gt;0,$Q394/$R394,""),"")</f>
        <v/>
      </c>
      <c r="AG394" s="71" t="str">
        <f>IF($G394="","",IF($AL394=1,"OVERDUE",IF($AM394=1,"BLOCKED",IF($AN394=1,"DUE TODAY",IF($AO394=1,"DUE TOMORROW",IF($AQ394=1,"HIGH PRIORITY",IF($AR394=1,"NO RECENT UPDATE",""))))))) </f>
        <v/>
      </c>
      <c r="AH394" s="71" t="str">
        <f>IF($G394="","",IF(ISNUMBER($A394),IF(ISNUMBER($A394),YEAR($A394)&amp;"-"&amp;TEXT(MONTH($A394),"00"),""),IF(ISNUMBER($L394),IF(ISNUMBER($L394),YEAR($L394)&amp;"-"&amp;TEXT(MONTH($L394),"00"),""),"")))</f>
        <v/>
      </c>
      <c r="AI394" s="71">
        <f>IF($G394="",0,IF(AND(OR(fClient="All",$C394=fClient),OR(fCampaign="All",$D394=fCampaign),OR(fTeam="All",$B394=fTeam),OR(fChannel="All",$F394=fChannel),OR(fMonth="All",$AH394=fMonth),OR(fTStatus="All",$M394=fTStatus)),1,0))</f>
        <v>0</v>
      </c>
      <c r="AJ394" s="71">
        <f>IF($G394="",0,IF(AND(OR(fClient="All",$C394=fClient),OR(fCampaign="All",$D394=fCampaign),OR(fTeam="All",$B394=fTeam),OR(fChannel="All",$F394=fChannel)),1,0))</f>
        <v>0</v>
      </c>
      <c r="AK394" s="71">
        <f>IF($G394="",0,IF(OR($M394="Completed",$M394="Cancelled"),0,1))</f>
        <v>0</v>
      </c>
      <c r="AL394" s="71">
        <f>IF(AND($AK394=1,ISNUMBER($L394)),IF($L394&lt;ReportDate,1,0),0)</f>
        <v>0</v>
      </c>
      <c r="AM394" s="71">
        <f>IF(AND($G394&lt;&gt;"",$M394="Blocked"),1,0)</f>
        <v>0</v>
      </c>
      <c r="AN394" s="71">
        <f>IF(AND($AK394=1,ISNUMBER($L394)),IF($L394=ReportDate,1,0),0)</f>
        <v>0</v>
      </c>
      <c r="AO394" s="71">
        <f>IF(AND($AK394=1,ISNUMBER($L394)),IF($L394=ReportDate+1,1,0),0)</f>
        <v>0</v>
      </c>
      <c r="AP394" s="71">
        <f>IF(AND($AK394=1,ISNUMBER($L394)),IF(AND($L394&gt;=ReportDate,$L394&lt;=ReportDate+DueSoonDays),1,0),0)</f>
        <v>0</v>
      </c>
      <c r="AQ394" s="71">
        <f>IF(AND($AK394=1,OR($I394="Critical",$I394="High")),1,0)</f>
        <v>0</v>
      </c>
      <c r="AR394" s="71">
        <f>IF($AK394=1,IF(ISNUMBER($Y394),IF(ReportDate-$Y394&gt;StaleDays,1,0),1),0)</f>
        <v>0</v>
      </c>
      <c r="AS394" s="71">
        <f>IF(AND($G394&lt;&gt;"",ISNUMBER($Q394),ISNUMBER($R394)),IF(AND($Q394&lt;$R394,OR($M394="Completed",AND(ISNUMBER($L394),$L394&lt;ReportDate))),1,0),0)</f>
        <v>0</v>
      </c>
      <c r="AT394" s="71">
        <f>IF($AK394=1,IF(OR($L394=ReportDate,$W394=ReportDate,$K394=ReportDate,$A394=ReportDate),1,0),0)</f>
        <v>0</v>
      </c>
      <c r="AU394" s="71">
        <f>IF($AK394=1,IF(OR($L394=ReportDate+1,$W394=ReportDate+1,$K394=ReportDate+1,$A394=ReportDate+1),1,0),0)</f>
        <v>0</v>
      </c>
      <c r="AV394" s="71">
        <f>IF(AND($G394&lt;&gt;"",$M394="Completed"),IF(OR($Y394=ReportDate-1,$A394=ReportDate-1),1,0),0)</f>
        <v>0</v>
      </c>
      <c r="AW394" s="71">
        <f>IF(AND($AK394=1,$Z394="Yes"),1,0)</f>
        <v>0</v>
      </c>
      <c r="AX394" s="71">
        <f>IF(AND($AK394=1,$AA394="Yes"),1,0)</f>
        <v>0</v>
      </c>
      <c r="AY394" s="71">
        <f>IF(AND($AM394=1,OR($I394="Critical",$I394="High")),1,0)</f>
        <v>0</v>
      </c>
      <c r="AZ394" s="71">
        <f>IF(AND($AK394=1,OR($C394=TCL_Client,$C394=MECCA_Client)),1,0)</f>
        <v>0</v>
      </c>
      <c r="BA394" s="71" t="str">
        <f>IF($G394="","",IFERROR(MATCH($I394,lst_Priority,0),5))</f>
        <v/>
      </c>
      <c r="BB394" s="71" t="str">
        <f>IF(AND($AL394=1,$AJ394=1),$BA394*100000+ROW(),"")</f>
        <v/>
      </c>
      <c r="BC394" s="71" t="str">
        <f>IF(AND($AM394=1,$AJ394=1),$BA394*100000+ROW(),"")</f>
        <v/>
      </c>
      <c r="BD394" s="71" t="str">
        <f>IF(AND($AP394=1,$AJ394=1),$BA394*100000+ROW(),"")</f>
        <v/>
      </c>
      <c r="BE394" s="71" t="str">
        <f>IF(AND($AT394=1,$AJ394=1),$BA394*100000+ROW(),"")</f>
        <v/>
      </c>
      <c r="BF394" s="71" t="str">
        <f>IF(AND($AU394=1,$AJ394=1),$BA394*100000+ROW(),"")</f>
        <v/>
      </c>
      <c r="BG394" s="71" t="str">
        <f>IF(AND($AV394=1,$AJ394=1),$BA394*100000+ROW(),"")</f>
        <v/>
      </c>
      <c r="BH394" s="71" t="str">
        <f>IF(AND($AW394=1,$AJ394=1),$BA394*100000+ROW(),"")</f>
        <v/>
      </c>
      <c r="BI394" s="71" t="str">
        <f>IF(AND($AX394=1,$AJ394=1),$BA394*100000+ROW(),"")</f>
        <v/>
      </c>
      <c r="BJ394" s="71" t="str">
        <f>IF(AND($AS394=1,$AJ394=1),$BA394*100000+ROW(),"")</f>
        <v/>
      </c>
      <c r="BK394" s="71" t="str">
        <f>IF(AND($AY394=1,$AJ394=1),$BA394*100000+ROW(),"")</f>
        <v/>
      </c>
      <c r="BL394" s="71" t="str">
        <f>IF(AND($AZ394=1),$BA394*100000+ROW(),"")</f>
        <v/>
      </c>
    </row>
    <row r="395">
      <c r="A395" s="63" t="n"/>
      <c r="B395" s="64" t="n"/>
      <c r="C395" s="64" t="n"/>
      <c r="D395" s="64" t="n"/>
      <c r="E395" s="64" t="n"/>
      <c r="F395" s="64" t="n"/>
      <c r="G395" s="65" t="n"/>
      <c r="H395" s="65" t="n"/>
      <c r="I395" s="64" t="n"/>
      <c r="J395" s="64" t="n"/>
      <c r="K395" s="63" t="n"/>
      <c r="L395" s="63" t="n"/>
      <c r="M395" s="64" t="n"/>
      <c r="N395" s="66" t="n"/>
      <c r="O395" s="65" t="n"/>
      <c r="P395" s="64" t="n"/>
      <c r="Q395" s="67" t="n"/>
      <c r="R395" s="67" t="n"/>
      <c r="S395" s="68" t="str">
        <f>IF(AND(ISNUMBER($Q395),ISNUMBER($R395)),$Q395-$R395,"")</f>
        <v/>
      </c>
      <c r="T395" s="65" t="n"/>
      <c r="U395" s="64" t="n"/>
      <c r="V395" s="65" t="n"/>
      <c r="W395" s="63" t="n"/>
      <c r="X395" s="65" t="n"/>
      <c r="Y395" s="63" t="n"/>
      <c r="Z395" s="64" t="n"/>
      <c r="AA395" s="64" t="n"/>
      <c r="AB395" s="65" t="n"/>
      <c r="AC395" s="69" t="str">
        <f>IF(OR($G395="",NOT(ISNUMBER($K395)),$AK395=0),"",MAX(0,ReportDate-$K395))</f>
        <v/>
      </c>
      <c r="AD395" s="69" t="str">
        <f>IF($G395="","",IF($AL395=1,ReportDate-$L395,0))</f>
        <v/>
      </c>
      <c r="AE395" s="70" t="str">
        <f>IF($G395="","",IF($M395="Completed",1,IF(ISNUMBER($N395),$N395,0)))</f>
        <v/>
      </c>
      <c r="AF395" s="70" t="str">
        <f>IF(AND(ISNUMBER($Q395),ISNUMBER($R395)),IF($R395&lt;&gt;0,$Q395/$R395,""),"")</f>
        <v/>
      </c>
      <c r="AG395" s="71" t="str">
        <f>IF($G395="","",IF($AL395=1,"OVERDUE",IF($AM395=1,"BLOCKED",IF($AN395=1,"DUE TODAY",IF($AO395=1,"DUE TOMORROW",IF($AQ395=1,"HIGH PRIORITY",IF($AR395=1,"NO RECENT UPDATE",""))))))) </f>
        <v/>
      </c>
      <c r="AH395" s="71" t="str">
        <f>IF($G395="","",IF(ISNUMBER($A395),IF(ISNUMBER($A395),YEAR($A395)&amp;"-"&amp;TEXT(MONTH($A395),"00"),""),IF(ISNUMBER($L395),IF(ISNUMBER($L395),YEAR($L395)&amp;"-"&amp;TEXT(MONTH($L395),"00"),""),"")))</f>
        <v/>
      </c>
      <c r="AI395" s="71">
        <f>IF($G395="",0,IF(AND(OR(fClient="All",$C395=fClient),OR(fCampaign="All",$D395=fCampaign),OR(fTeam="All",$B395=fTeam),OR(fChannel="All",$F395=fChannel),OR(fMonth="All",$AH395=fMonth),OR(fTStatus="All",$M395=fTStatus)),1,0))</f>
        <v>0</v>
      </c>
      <c r="AJ395" s="71">
        <f>IF($G395="",0,IF(AND(OR(fClient="All",$C395=fClient),OR(fCampaign="All",$D395=fCampaign),OR(fTeam="All",$B395=fTeam),OR(fChannel="All",$F395=fChannel)),1,0))</f>
        <v>0</v>
      </c>
      <c r="AK395" s="71">
        <f>IF($G395="",0,IF(OR($M395="Completed",$M395="Cancelled"),0,1))</f>
        <v>0</v>
      </c>
      <c r="AL395" s="71">
        <f>IF(AND($AK395=1,ISNUMBER($L395)),IF($L395&lt;ReportDate,1,0),0)</f>
        <v>0</v>
      </c>
      <c r="AM395" s="71">
        <f>IF(AND($G395&lt;&gt;"",$M395="Blocked"),1,0)</f>
        <v>0</v>
      </c>
      <c r="AN395" s="71">
        <f>IF(AND($AK395=1,ISNUMBER($L395)),IF($L395=ReportDate,1,0),0)</f>
        <v>0</v>
      </c>
      <c r="AO395" s="71">
        <f>IF(AND($AK395=1,ISNUMBER($L395)),IF($L395=ReportDate+1,1,0),0)</f>
        <v>0</v>
      </c>
      <c r="AP395" s="71">
        <f>IF(AND($AK395=1,ISNUMBER($L395)),IF(AND($L395&gt;=ReportDate,$L395&lt;=ReportDate+DueSoonDays),1,0),0)</f>
        <v>0</v>
      </c>
      <c r="AQ395" s="71">
        <f>IF(AND($AK395=1,OR($I395="Critical",$I395="High")),1,0)</f>
        <v>0</v>
      </c>
      <c r="AR395" s="71">
        <f>IF($AK395=1,IF(ISNUMBER($Y395),IF(ReportDate-$Y395&gt;StaleDays,1,0),1),0)</f>
        <v>0</v>
      </c>
      <c r="AS395" s="71">
        <f>IF(AND($G395&lt;&gt;"",ISNUMBER($Q395),ISNUMBER($R395)),IF(AND($Q395&lt;$R395,OR($M395="Completed",AND(ISNUMBER($L395),$L395&lt;ReportDate))),1,0),0)</f>
        <v>0</v>
      </c>
      <c r="AT395" s="71">
        <f>IF($AK395=1,IF(OR($L395=ReportDate,$W395=ReportDate,$K395=ReportDate,$A395=ReportDate),1,0),0)</f>
        <v>0</v>
      </c>
      <c r="AU395" s="71">
        <f>IF($AK395=1,IF(OR($L395=ReportDate+1,$W395=ReportDate+1,$K395=ReportDate+1,$A395=ReportDate+1),1,0),0)</f>
        <v>0</v>
      </c>
      <c r="AV395" s="71">
        <f>IF(AND($G395&lt;&gt;"",$M395="Completed"),IF(OR($Y395=ReportDate-1,$A395=ReportDate-1),1,0),0)</f>
        <v>0</v>
      </c>
      <c r="AW395" s="71">
        <f>IF(AND($AK395=1,$Z395="Yes"),1,0)</f>
        <v>0</v>
      </c>
      <c r="AX395" s="71">
        <f>IF(AND($AK395=1,$AA395="Yes"),1,0)</f>
        <v>0</v>
      </c>
      <c r="AY395" s="71">
        <f>IF(AND($AM395=1,OR($I395="Critical",$I395="High")),1,0)</f>
        <v>0</v>
      </c>
      <c r="AZ395" s="71">
        <f>IF(AND($AK395=1,OR($C395=TCL_Client,$C395=MECCA_Client)),1,0)</f>
        <v>0</v>
      </c>
      <c r="BA395" s="71" t="str">
        <f>IF($G395="","",IFERROR(MATCH($I395,lst_Priority,0),5))</f>
        <v/>
      </c>
      <c r="BB395" s="71" t="str">
        <f>IF(AND($AL395=1,$AJ395=1),$BA395*100000+ROW(),"")</f>
        <v/>
      </c>
      <c r="BC395" s="71" t="str">
        <f>IF(AND($AM395=1,$AJ395=1),$BA395*100000+ROW(),"")</f>
        <v/>
      </c>
      <c r="BD395" s="71" t="str">
        <f>IF(AND($AP395=1,$AJ395=1),$BA395*100000+ROW(),"")</f>
        <v/>
      </c>
      <c r="BE395" s="71" t="str">
        <f>IF(AND($AT395=1,$AJ395=1),$BA395*100000+ROW(),"")</f>
        <v/>
      </c>
      <c r="BF395" s="71" t="str">
        <f>IF(AND($AU395=1,$AJ395=1),$BA395*100000+ROW(),"")</f>
        <v/>
      </c>
      <c r="BG395" s="71" t="str">
        <f>IF(AND($AV395=1,$AJ395=1),$BA395*100000+ROW(),"")</f>
        <v/>
      </c>
      <c r="BH395" s="71" t="str">
        <f>IF(AND($AW395=1,$AJ395=1),$BA395*100000+ROW(),"")</f>
        <v/>
      </c>
      <c r="BI395" s="71" t="str">
        <f>IF(AND($AX395=1,$AJ395=1),$BA395*100000+ROW(),"")</f>
        <v/>
      </c>
      <c r="BJ395" s="71" t="str">
        <f>IF(AND($AS395=1,$AJ395=1),$BA395*100000+ROW(),"")</f>
        <v/>
      </c>
      <c r="BK395" s="71" t="str">
        <f>IF(AND($AY395=1,$AJ395=1),$BA395*100000+ROW(),"")</f>
        <v/>
      </c>
      <c r="BL395" s="71" t="str">
        <f>IF(AND($AZ395=1),$BA395*100000+ROW(),"")</f>
        <v/>
      </c>
    </row>
    <row r="396">
      <c r="A396" s="63" t="n"/>
      <c r="B396" s="64" t="n"/>
      <c r="C396" s="64" t="n"/>
      <c r="D396" s="64" t="n"/>
      <c r="E396" s="64" t="n"/>
      <c r="F396" s="64" t="n"/>
      <c r="G396" s="65" t="n"/>
      <c r="H396" s="65" t="n"/>
      <c r="I396" s="64" t="n"/>
      <c r="J396" s="64" t="n"/>
      <c r="K396" s="63" t="n"/>
      <c r="L396" s="63" t="n"/>
      <c r="M396" s="64" t="n"/>
      <c r="N396" s="66" t="n"/>
      <c r="O396" s="65" t="n"/>
      <c r="P396" s="64" t="n"/>
      <c r="Q396" s="67" t="n"/>
      <c r="R396" s="67" t="n"/>
      <c r="S396" s="68" t="str">
        <f>IF(AND(ISNUMBER($Q396),ISNUMBER($R396)),$Q396-$R396,"")</f>
        <v/>
      </c>
      <c r="T396" s="65" t="n"/>
      <c r="U396" s="64" t="n"/>
      <c r="V396" s="65" t="n"/>
      <c r="W396" s="63" t="n"/>
      <c r="X396" s="65" t="n"/>
      <c r="Y396" s="63" t="n"/>
      <c r="Z396" s="64" t="n"/>
      <c r="AA396" s="64" t="n"/>
      <c r="AB396" s="65" t="n"/>
      <c r="AC396" s="69" t="str">
        <f>IF(OR($G396="",NOT(ISNUMBER($K396)),$AK396=0),"",MAX(0,ReportDate-$K396))</f>
        <v/>
      </c>
      <c r="AD396" s="69" t="str">
        <f>IF($G396="","",IF($AL396=1,ReportDate-$L396,0))</f>
        <v/>
      </c>
      <c r="AE396" s="70" t="str">
        <f>IF($G396="","",IF($M396="Completed",1,IF(ISNUMBER($N396),$N396,0)))</f>
        <v/>
      </c>
      <c r="AF396" s="70" t="str">
        <f>IF(AND(ISNUMBER($Q396),ISNUMBER($R396)),IF($R396&lt;&gt;0,$Q396/$R396,""),"")</f>
        <v/>
      </c>
      <c r="AG396" s="71" t="str">
        <f>IF($G396="","",IF($AL396=1,"OVERDUE",IF($AM396=1,"BLOCKED",IF($AN396=1,"DUE TODAY",IF($AO396=1,"DUE TOMORROW",IF($AQ396=1,"HIGH PRIORITY",IF($AR396=1,"NO RECENT UPDATE",""))))))) </f>
        <v/>
      </c>
      <c r="AH396" s="71" t="str">
        <f>IF($G396="","",IF(ISNUMBER($A396),IF(ISNUMBER($A396),YEAR($A396)&amp;"-"&amp;TEXT(MONTH($A396),"00"),""),IF(ISNUMBER($L396),IF(ISNUMBER($L396),YEAR($L396)&amp;"-"&amp;TEXT(MONTH($L396),"00"),""),"")))</f>
        <v/>
      </c>
      <c r="AI396" s="71">
        <f>IF($G396="",0,IF(AND(OR(fClient="All",$C396=fClient),OR(fCampaign="All",$D396=fCampaign),OR(fTeam="All",$B396=fTeam),OR(fChannel="All",$F396=fChannel),OR(fMonth="All",$AH396=fMonth),OR(fTStatus="All",$M396=fTStatus)),1,0))</f>
        <v>0</v>
      </c>
      <c r="AJ396" s="71">
        <f>IF($G396="",0,IF(AND(OR(fClient="All",$C396=fClient),OR(fCampaign="All",$D396=fCampaign),OR(fTeam="All",$B396=fTeam),OR(fChannel="All",$F396=fChannel)),1,0))</f>
        <v>0</v>
      </c>
      <c r="AK396" s="71">
        <f>IF($G396="",0,IF(OR($M396="Completed",$M396="Cancelled"),0,1))</f>
        <v>0</v>
      </c>
      <c r="AL396" s="71">
        <f>IF(AND($AK396=1,ISNUMBER($L396)),IF($L396&lt;ReportDate,1,0),0)</f>
        <v>0</v>
      </c>
      <c r="AM396" s="71">
        <f>IF(AND($G396&lt;&gt;"",$M396="Blocked"),1,0)</f>
        <v>0</v>
      </c>
      <c r="AN396" s="71">
        <f>IF(AND($AK396=1,ISNUMBER($L396)),IF($L396=ReportDate,1,0),0)</f>
        <v>0</v>
      </c>
      <c r="AO396" s="71">
        <f>IF(AND($AK396=1,ISNUMBER($L396)),IF($L396=ReportDate+1,1,0),0)</f>
        <v>0</v>
      </c>
      <c r="AP396" s="71">
        <f>IF(AND($AK396=1,ISNUMBER($L396)),IF(AND($L396&gt;=ReportDate,$L396&lt;=ReportDate+DueSoonDays),1,0),0)</f>
        <v>0</v>
      </c>
      <c r="AQ396" s="71">
        <f>IF(AND($AK396=1,OR($I396="Critical",$I396="High")),1,0)</f>
        <v>0</v>
      </c>
      <c r="AR396" s="71">
        <f>IF($AK396=1,IF(ISNUMBER($Y396),IF(ReportDate-$Y396&gt;StaleDays,1,0),1),0)</f>
        <v>0</v>
      </c>
      <c r="AS396" s="71">
        <f>IF(AND($G396&lt;&gt;"",ISNUMBER($Q396),ISNUMBER($R396)),IF(AND($Q396&lt;$R396,OR($M396="Completed",AND(ISNUMBER($L396),$L396&lt;ReportDate))),1,0),0)</f>
        <v>0</v>
      </c>
      <c r="AT396" s="71">
        <f>IF($AK396=1,IF(OR($L396=ReportDate,$W396=ReportDate,$K396=ReportDate,$A396=ReportDate),1,0),0)</f>
        <v>0</v>
      </c>
      <c r="AU396" s="71">
        <f>IF($AK396=1,IF(OR($L396=ReportDate+1,$W396=ReportDate+1,$K396=ReportDate+1,$A396=ReportDate+1),1,0),0)</f>
        <v>0</v>
      </c>
      <c r="AV396" s="71">
        <f>IF(AND($G396&lt;&gt;"",$M396="Completed"),IF(OR($Y396=ReportDate-1,$A396=ReportDate-1),1,0),0)</f>
        <v>0</v>
      </c>
      <c r="AW396" s="71">
        <f>IF(AND($AK396=1,$Z396="Yes"),1,0)</f>
        <v>0</v>
      </c>
      <c r="AX396" s="71">
        <f>IF(AND($AK396=1,$AA396="Yes"),1,0)</f>
        <v>0</v>
      </c>
      <c r="AY396" s="71">
        <f>IF(AND($AM396=1,OR($I396="Critical",$I396="High")),1,0)</f>
        <v>0</v>
      </c>
      <c r="AZ396" s="71">
        <f>IF(AND($AK396=1,OR($C396=TCL_Client,$C396=MECCA_Client)),1,0)</f>
        <v>0</v>
      </c>
      <c r="BA396" s="71" t="str">
        <f>IF($G396="","",IFERROR(MATCH($I396,lst_Priority,0),5))</f>
        <v/>
      </c>
      <c r="BB396" s="71" t="str">
        <f>IF(AND($AL396=1,$AJ396=1),$BA396*100000+ROW(),"")</f>
        <v/>
      </c>
      <c r="BC396" s="71" t="str">
        <f>IF(AND($AM396=1,$AJ396=1),$BA396*100000+ROW(),"")</f>
        <v/>
      </c>
      <c r="BD396" s="71" t="str">
        <f>IF(AND($AP396=1,$AJ396=1),$BA396*100000+ROW(),"")</f>
        <v/>
      </c>
      <c r="BE396" s="71" t="str">
        <f>IF(AND($AT396=1,$AJ396=1),$BA396*100000+ROW(),"")</f>
        <v/>
      </c>
      <c r="BF396" s="71" t="str">
        <f>IF(AND($AU396=1,$AJ396=1),$BA396*100000+ROW(),"")</f>
        <v/>
      </c>
      <c r="BG396" s="71" t="str">
        <f>IF(AND($AV396=1,$AJ396=1),$BA396*100000+ROW(),"")</f>
        <v/>
      </c>
      <c r="BH396" s="71" t="str">
        <f>IF(AND($AW396=1,$AJ396=1),$BA396*100000+ROW(),"")</f>
        <v/>
      </c>
      <c r="BI396" s="71" t="str">
        <f>IF(AND($AX396=1,$AJ396=1),$BA396*100000+ROW(),"")</f>
        <v/>
      </c>
      <c r="BJ396" s="71" t="str">
        <f>IF(AND($AS396=1,$AJ396=1),$BA396*100000+ROW(),"")</f>
        <v/>
      </c>
      <c r="BK396" s="71" t="str">
        <f>IF(AND($AY396=1,$AJ396=1),$BA396*100000+ROW(),"")</f>
        <v/>
      </c>
      <c r="BL396" s="71" t="str">
        <f>IF(AND($AZ396=1),$BA396*100000+ROW(),"")</f>
        <v/>
      </c>
    </row>
    <row r="397">
      <c r="A397" s="63" t="n"/>
      <c r="B397" s="64" t="n"/>
      <c r="C397" s="64" t="n"/>
      <c r="D397" s="64" t="n"/>
      <c r="E397" s="64" t="n"/>
      <c r="F397" s="64" t="n"/>
      <c r="G397" s="65" t="n"/>
      <c r="H397" s="65" t="n"/>
      <c r="I397" s="64" t="n"/>
      <c r="J397" s="64" t="n"/>
      <c r="K397" s="63" t="n"/>
      <c r="L397" s="63" t="n"/>
      <c r="M397" s="64" t="n"/>
      <c r="N397" s="66" t="n"/>
      <c r="O397" s="65" t="n"/>
      <c r="P397" s="64" t="n"/>
      <c r="Q397" s="67" t="n"/>
      <c r="R397" s="67" t="n"/>
      <c r="S397" s="68" t="str">
        <f>IF(AND(ISNUMBER($Q397),ISNUMBER($R397)),$Q397-$R397,"")</f>
        <v/>
      </c>
      <c r="T397" s="65" t="n"/>
      <c r="U397" s="64" t="n"/>
      <c r="V397" s="65" t="n"/>
      <c r="W397" s="63" t="n"/>
      <c r="X397" s="65" t="n"/>
      <c r="Y397" s="63" t="n"/>
      <c r="Z397" s="64" t="n"/>
      <c r="AA397" s="64" t="n"/>
      <c r="AB397" s="65" t="n"/>
      <c r="AC397" s="69" t="str">
        <f>IF(OR($G397="",NOT(ISNUMBER($K397)),$AK397=0),"",MAX(0,ReportDate-$K397))</f>
        <v/>
      </c>
      <c r="AD397" s="69" t="str">
        <f>IF($G397="","",IF($AL397=1,ReportDate-$L397,0))</f>
        <v/>
      </c>
      <c r="AE397" s="70" t="str">
        <f>IF($G397="","",IF($M397="Completed",1,IF(ISNUMBER($N397),$N397,0)))</f>
        <v/>
      </c>
      <c r="AF397" s="70" t="str">
        <f>IF(AND(ISNUMBER($Q397),ISNUMBER($R397)),IF($R397&lt;&gt;0,$Q397/$R397,""),"")</f>
        <v/>
      </c>
      <c r="AG397" s="71" t="str">
        <f>IF($G397="","",IF($AL397=1,"OVERDUE",IF($AM397=1,"BLOCKED",IF($AN397=1,"DUE TODAY",IF($AO397=1,"DUE TOMORROW",IF($AQ397=1,"HIGH PRIORITY",IF($AR397=1,"NO RECENT UPDATE",""))))))) </f>
        <v/>
      </c>
      <c r="AH397" s="71" t="str">
        <f>IF($G397="","",IF(ISNUMBER($A397),IF(ISNUMBER($A397),YEAR($A397)&amp;"-"&amp;TEXT(MONTH($A397),"00"),""),IF(ISNUMBER($L397),IF(ISNUMBER($L397),YEAR($L397)&amp;"-"&amp;TEXT(MONTH($L397),"00"),""),"")))</f>
        <v/>
      </c>
      <c r="AI397" s="71">
        <f>IF($G397="",0,IF(AND(OR(fClient="All",$C397=fClient),OR(fCampaign="All",$D397=fCampaign),OR(fTeam="All",$B397=fTeam),OR(fChannel="All",$F397=fChannel),OR(fMonth="All",$AH397=fMonth),OR(fTStatus="All",$M397=fTStatus)),1,0))</f>
        <v>0</v>
      </c>
      <c r="AJ397" s="71">
        <f>IF($G397="",0,IF(AND(OR(fClient="All",$C397=fClient),OR(fCampaign="All",$D397=fCampaign),OR(fTeam="All",$B397=fTeam),OR(fChannel="All",$F397=fChannel)),1,0))</f>
        <v>0</v>
      </c>
      <c r="AK397" s="71">
        <f>IF($G397="",0,IF(OR($M397="Completed",$M397="Cancelled"),0,1))</f>
        <v>0</v>
      </c>
      <c r="AL397" s="71">
        <f>IF(AND($AK397=1,ISNUMBER($L397)),IF($L397&lt;ReportDate,1,0),0)</f>
        <v>0</v>
      </c>
      <c r="AM397" s="71">
        <f>IF(AND($G397&lt;&gt;"",$M397="Blocked"),1,0)</f>
        <v>0</v>
      </c>
      <c r="AN397" s="71">
        <f>IF(AND($AK397=1,ISNUMBER($L397)),IF($L397=ReportDate,1,0),0)</f>
        <v>0</v>
      </c>
      <c r="AO397" s="71">
        <f>IF(AND($AK397=1,ISNUMBER($L397)),IF($L397=ReportDate+1,1,0),0)</f>
        <v>0</v>
      </c>
      <c r="AP397" s="71">
        <f>IF(AND($AK397=1,ISNUMBER($L397)),IF(AND($L397&gt;=ReportDate,$L397&lt;=ReportDate+DueSoonDays),1,0),0)</f>
        <v>0</v>
      </c>
      <c r="AQ397" s="71">
        <f>IF(AND($AK397=1,OR($I397="Critical",$I397="High")),1,0)</f>
        <v>0</v>
      </c>
      <c r="AR397" s="71">
        <f>IF($AK397=1,IF(ISNUMBER($Y397),IF(ReportDate-$Y397&gt;StaleDays,1,0),1),0)</f>
        <v>0</v>
      </c>
      <c r="AS397" s="71">
        <f>IF(AND($G397&lt;&gt;"",ISNUMBER($Q397),ISNUMBER($R397)),IF(AND($Q397&lt;$R397,OR($M397="Completed",AND(ISNUMBER($L397),$L397&lt;ReportDate))),1,0),0)</f>
        <v>0</v>
      </c>
      <c r="AT397" s="71">
        <f>IF($AK397=1,IF(OR($L397=ReportDate,$W397=ReportDate,$K397=ReportDate,$A397=ReportDate),1,0),0)</f>
        <v>0</v>
      </c>
      <c r="AU397" s="71">
        <f>IF($AK397=1,IF(OR($L397=ReportDate+1,$W397=ReportDate+1,$K397=ReportDate+1,$A397=ReportDate+1),1,0),0)</f>
        <v>0</v>
      </c>
      <c r="AV397" s="71">
        <f>IF(AND($G397&lt;&gt;"",$M397="Completed"),IF(OR($Y397=ReportDate-1,$A397=ReportDate-1),1,0),0)</f>
        <v>0</v>
      </c>
      <c r="AW397" s="71">
        <f>IF(AND($AK397=1,$Z397="Yes"),1,0)</f>
        <v>0</v>
      </c>
      <c r="AX397" s="71">
        <f>IF(AND($AK397=1,$AA397="Yes"),1,0)</f>
        <v>0</v>
      </c>
      <c r="AY397" s="71">
        <f>IF(AND($AM397=1,OR($I397="Critical",$I397="High")),1,0)</f>
        <v>0</v>
      </c>
      <c r="AZ397" s="71">
        <f>IF(AND($AK397=1,OR($C397=TCL_Client,$C397=MECCA_Client)),1,0)</f>
        <v>0</v>
      </c>
      <c r="BA397" s="71" t="str">
        <f>IF($G397="","",IFERROR(MATCH($I397,lst_Priority,0),5))</f>
        <v/>
      </c>
      <c r="BB397" s="71" t="str">
        <f>IF(AND($AL397=1,$AJ397=1),$BA397*100000+ROW(),"")</f>
        <v/>
      </c>
      <c r="BC397" s="71" t="str">
        <f>IF(AND($AM397=1,$AJ397=1),$BA397*100000+ROW(),"")</f>
        <v/>
      </c>
      <c r="BD397" s="71" t="str">
        <f>IF(AND($AP397=1,$AJ397=1),$BA397*100000+ROW(),"")</f>
        <v/>
      </c>
      <c r="BE397" s="71" t="str">
        <f>IF(AND($AT397=1,$AJ397=1),$BA397*100000+ROW(),"")</f>
        <v/>
      </c>
      <c r="BF397" s="71" t="str">
        <f>IF(AND($AU397=1,$AJ397=1),$BA397*100000+ROW(),"")</f>
        <v/>
      </c>
      <c r="BG397" s="71" t="str">
        <f>IF(AND($AV397=1,$AJ397=1),$BA397*100000+ROW(),"")</f>
        <v/>
      </c>
      <c r="BH397" s="71" t="str">
        <f>IF(AND($AW397=1,$AJ397=1),$BA397*100000+ROW(),"")</f>
        <v/>
      </c>
      <c r="BI397" s="71" t="str">
        <f>IF(AND($AX397=1,$AJ397=1),$BA397*100000+ROW(),"")</f>
        <v/>
      </c>
      <c r="BJ397" s="71" t="str">
        <f>IF(AND($AS397=1,$AJ397=1),$BA397*100000+ROW(),"")</f>
        <v/>
      </c>
      <c r="BK397" s="71" t="str">
        <f>IF(AND($AY397=1,$AJ397=1),$BA397*100000+ROW(),"")</f>
        <v/>
      </c>
      <c r="BL397" s="71" t="str">
        <f>IF(AND($AZ397=1),$BA397*100000+ROW(),"")</f>
        <v/>
      </c>
    </row>
    <row r="398">
      <c r="A398" s="63" t="n"/>
      <c r="B398" s="64" t="n"/>
      <c r="C398" s="64" t="n"/>
      <c r="D398" s="64" t="n"/>
      <c r="E398" s="64" t="n"/>
      <c r="F398" s="64" t="n"/>
      <c r="G398" s="65" t="n"/>
      <c r="H398" s="65" t="n"/>
      <c r="I398" s="64" t="n"/>
      <c r="J398" s="64" t="n"/>
      <c r="K398" s="63" t="n"/>
      <c r="L398" s="63" t="n"/>
      <c r="M398" s="64" t="n"/>
      <c r="N398" s="66" t="n"/>
      <c r="O398" s="65" t="n"/>
      <c r="P398" s="64" t="n"/>
      <c r="Q398" s="67" t="n"/>
      <c r="R398" s="67" t="n"/>
      <c r="S398" s="68" t="str">
        <f>IF(AND(ISNUMBER($Q398),ISNUMBER($R398)),$Q398-$R398,"")</f>
        <v/>
      </c>
      <c r="T398" s="65" t="n"/>
      <c r="U398" s="64" t="n"/>
      <c r="V398" s="65" t="n"/>
      <c r="W398" s="63" t="n"/>
      <c r="X398" s="65" t="n"/>
      <c r="Y398" s="63" t="n"/>
      <c r="Z398" s="64" t="n"/>
      <c r="AA398" s="64" t="n"/>
      <c r="AB398" s="65" t="n"/>
      <c r="AC398" s="69" t="str">
        <f>IF(OR($G398="",NOT(ISNUMBER($K398)),$AK398=0),"",MAX(0,ReportDate-$K398))</f>
        <v/>
      </c>
      <c r="AD398" s="69" t="str">
        <f>IF($G398="","",IF($AL398=1,ReportDate-$L398,0))</f>
        <v/>
      </c>
      <c r="AE398" s="70" t="str">
        <f>IF($G398="","",IF($M398="Completed",1,IF(ISNUMBER($N398),$N398,0)))</f>
        <v/>
      </c>
      <c r="AF398" s="70" t="str">
        <f>IF(AND(ISNUMBER($Q398),ISNUMBER($R398)),IF($R398&lt;&gt;0,$Q398/$R398,""),"")</f>
        <v/>
      </c>
      <c r="AG398" s="71" t="str">
        <f>IF($G398="","",IF($AL398=1,"OVERDUE",IF($AM398=1,"BLOCKED",IF($AN398=1,"DUE TODAY",IF($AO398=1,"DUE TOMORROW",IF($AQ398=1,"HIGH PRIORITY",IF($AR398=1,"NO RECENT UPDATE",""))))))) </f>
        <v/>
      </c>
      <c r="AH398" s="71" t="str">
        <f>IF($G398="","",IF(ISNUMBER($A398),IF(ISNUMBER($A398),YEAR($A398)&amp;"-"&amp;TEXT(MONTH($A398),"00"),""),IF(ISNUMBER($L398),IF(ISNUMBER($L398),YEAR($L398)&amp;"-"&amp;TEXT(MONTH($L398),"00"),""),"")))</f>
        <v/>
      </c>
      <c r="AI398" s="71">
        <f>IF($G398="",0,IF(AND(OR(fClient="All",$C398=fClient),OR(fCampaign="All",$D398=fCampaign),OR(fTeam="All",$B398=fTeam),OR(fChannel="All",$F398=fChannel),OR(fMonth="All",$AH398=fMonth),OR(fTStatus="All",$M398=fTStatus)),1,0))</f>
        <v>0</v>
      </c>
      <c r="AJ398" s="71">
        <f>IF($G398="",0,IF(AND(OR(fClient="All",$C398=fClient),OR(fCampaign="All",$D398=fCampaign),OR(fTeam="All",$B398=fTeam),OR(fChannel="All",$F398=fChannel)),1,0))</f>
        <v>0</v>
      </c>
      <c r="AK398" s="71">
        <f>IF($G398="",0,IF(OR($M398="Completed",$M398="Cancelled"),0,1))</f>
        <v>0</v>
      </c>
      <c r="AL398" s="71">
        <f>IF(AND($AK398=1,ISNUMBER($L398)),IF($L398&lt;ReportDate,1,0),0)</f>
        <v>0</v>
      </c>
      <c r="AM398" s="71">
        <f>IF(AND($G398&lt;&gt;"",$M398="Blocked"),1,0)</f>
        <v>0</v>
      </c>
      <c r="AN398" s="71">
        <f>IF(AND($AK398=1,ISNUMBER($L398)),IF($L398=ReportDate,1,0),0)</f>
        <v>0</v>
      </c>
      <c r="AO398" s="71">
        <f>IF(AND($AK398=1,ISNUMBER($L398)),IF($L398=ReportDate+1,1,0),0)</f>
        <v>0</v>
      </c>
      <c r="AP398" s="71">
        <f>IF(AND($AK398=1,ISNUMBER($L398)),IF(AND($L398&gt;=ReportDate,$L398&lt;=ReportDate+DueSoonDays),1,0),0)</f>
        <v>0</v>
      </c>
      <c r="AQ398" s="71">
        <f>IF(AND($AK398=1,OR($I398="Critical",$I398="High")),1,0)</f>
        <v>0</v>
      </c>
      <c r="AR398" s="71">
        <f>IF($AK398=1,IF(ISNUMBER($Y398),IF(ReportDate-$Y398&gt;StaleDays,1,0),1),0)</f>
        <v>0</v>
      </c>
      <c r="AS398" s="71">
        <f>IF(AND($G398&lt;&gt;"",ISNUMBER($Q398),ISNUMBER($R398)),IF(AND($Q398&lt;$R398,OR($M398="Completed",AND(ISNUMBER($L398),$L398&lt;ReportDate))),1,0),0)</f>
        <v>0</v>
      </c>
      <c r="AT398" s="71">
        <f>IF($AK398=1,IF(OR($L398=ReportDate,$W398=ReportDate,$K398=ReportDate,$A398=ReportDate),1,0),0)</f>
        <v>0</v>
      </c>
      <c r="AU398" s="71">
        <f>IF($AK398=1,IF(OR($L398=ReportDate+1,$W398=ReportDate+1,$K398=ReportDate+1,$A398=ReportDate+1),1,0),0)</f>
        <v>0</v>
      </c>
      <c r="AV398" s="71">
        <f>IF(AND($G398&lt;&gt;"",$M398="Completed"),IF(OR($Y398=ReportDate-1,$A398=ReportDate-1),1,0),0)</f>
        <v>0</v>
      </c>
      <c r="AW398" s="71">
        <f>IF(AND($AK398=1,$Z398="Yes"),1,0)</f>
        <v>0</v>
      </c>
      <c r="AX398" s="71">
        <f>IF(AND($AK398=1,$AA398="Yes"),1,0)</f>
        <v>0</v>
      </c>
      <c r="AY398" s="71">
        <f>IF(AND($AM398=1,OR($I398="Critical",$I398="High")),1,0)</f>
        <v>0</v>
      </c>
      <c r="AZ398" s="71">
        <f>IF(AND($AK398=1,OR($C398=TCL_Client,$C398=MECCA_Client)),1,0)</f>
        <v>0</v>
      </c>
      <c r="BA398" s="71" t="str">
        <f>IF($G398="","",IFERROR(MATCH($I398,lst_Priority,0),5))</f>
        <v/>
      </c>
      <c r="BB398" s="71" t="str">
        <f>IF(AND($AL398=1,$AJ398=1),$BA398*100000+ROW(),"")</f>
        <v/>
      </c>
      <c r="BC398" s="71" t="str">
        <f>IF(AND($AM398=1,$AJ398=1),$BA398*100000+ROW(),"")</f>
        <v/>
      </c>
      <c r="BD398" s="71" t="str">
        <f>IF(AND($AP398=1,$AJ398=1),$BA398*100000+ROW(),"")</f>
        <v/>
      </c>
      <c r="BE398" s="71" t="str">
        <f>IF(AND($AT398=1,$AJ398=1),$BA398*100000+ROW(),"")</f>
        <v/>
      </c>
      <c r="BF398" s="71" t="str">
        <f>IF(AND($AU398=1,$AJ398=1),$BA398*100000+ROW(),"")</f>
        <v/>
      </c>
      <c r="BG398" s="71" t="str">
        <f>IF(AND($AV398=1,$AJ398=1),$BA398*100000+ROW(),"")</f>
        <v/>
      </c>
      <c r="BH398" s="71" t="str">
        <f>IF(AND($AW398=1,$AJ398=1),$BA398*100000+ROW(),"")</f>
        <v/>
      </c>
      <c r="BI398" s="71" t="str">
        <f>IF(AND($AX398=1,$AJ398=1),$BA398*100000+ROW(),"")</f>
        <v/>
      </c>
      <c r="BJ398" s="71" t="str">
        <f>IF(AND($AS398=1,$AJ398=1),$BA398*100000+ROW(),"")</f>
        <v/>
      </c>
      <c r="BK398" s="71" t="str">
        <f>IF(AND($AY398=1,$AJ398=1),$BA398*100000+ROW(),"")</f>
        <v/>
      </c>
      <c r="BL398" s="71" t="str">
        <f>IF(AND($AZ398=1),$BA398*100000+ROW(),"")</f>
        <v/>
      </c>
    </row>
    <row r="399">
      <c r="A399" s="63" t="n"/>
      <c r="B399" s="64" t="n"/>
      <c r="C399" s="64" t="n"/>
      <c r="D399" s="64" t="n"/>
      <c r="E399" s="64" t="n"/>
      <c r="F399" s="64" t="n"/>
      <c r="G399" s="65" t="n"/>
      <c r="H399" s="65" t="n"/>
      <c r="I399" s="64" t="n"/>
      <c r="J399" s="64" t="n"/>
      <c r="K399" s="63" t="n"/>
      <c r="L399" s="63" t="n"/>
      <c r="M399" s="64" t="n"/>
      <c r="N399" s="66" t="n"/>
      <c r="O399" s="65" t="n"/>
      <c r="P399" s="64" t="n"/>
      <c r="Q399" s="67" t="n"/>
      <c r="R399" s="67" t="n"/>
      <c r="S399" s="68" t="str">
        <f>IF(AND(ISNUMBER($Q399),ISNUMBER($R399)),$Q399-$R399,"")</f>
        <v/>
      </c>
      <c r="T399" s="65" t="n"/>
      <c r="U399" s="64" t="n"/>
      <c r="V399" s="65" t="n"/>
      <c r="W399" s="63" t="n"/>
      <c r="X399" s="65" t="n"/>
      <c r="Y399" s="63" t="n"/>
      <c r="Z399" s="64" t="n"/>
      <c r="AA399" s="64" t="n"/>
      <c r="AB399" s="65" t="n"/>
      <c r="AC399" s="69" t="str">
        <f>IF(OR($G399="",NOT(ISNUMBER($K399)),$AK399=0),"",MAX(0,ReportDate-$K399))</f>
        <v/>
      </c>
      <c r="AD399" s="69" t="str">
        <f>IF($G399="","",IF($AL399=1,ReportDate-$L399,0))</f>
        <v/>
      </c>
      <c r="AE399" s="70" t="str">
        <f>IF($G399="","",IF($M399="Completed",1,IF(ISNUMBER($N399),$N399,0)))</f>
        <v/>
      </c>
      <c r="AF399" s="70" t="str">
        <f>IF(AND(ISNUMBER($Q399),ISNUMBER($R399)),IF($R399&lt;&gt;0,$Q399/$R399,""),"")</f>
        <v/>
      </c>
      <c r="AG399" s="71" t="str">
        <f>IF($G399="","",IF($AL399=1,"OVERDUE",IF($AM399=1,"BLOCKED",IF($AN399=1,"DUE TODAY",IF($AO399=1,"DUE TOMORROW",IF($AQ399=1,"HIGH PRIORITY",IF($AR399=1,"NO RECENT UPDATE",""))))))) </f>
        <v/>
      </c>
      <c r="AH399" s="71" t="str">
        <f>IF($G399="","",IF(ISNUMBER($A399),IF(ISNUMBER($A399),YEAR($A399)&amp;"-"&amp;TEXT(MONTH($A399),"00"),""),IF(ISNUMBER($L399),IF(ISNUMBER($L399),YEAR($L399)&amp;"-"&amp;TEXT(MONTH($L399),"00"),""),"")))</f>
        <v/>
      </c>
      <c r="AI399" s="71">
        <f>IF($G399="",0,IF(AND(OR(fClient="All",$C399=fClient),OR(fCampaign="All",$D399=fCampaign),OR(fTeam="All",$B399=fTeam),OR(fChannel="All",$F399=fChannel),OR(fMonth="All",$AH399=fMonth),OR(fTStatus="All",$M399=fTStatus)),1,0))</f>
        <v>0</v>
      </c>
      <c r="AJ399" s="71">
        <f>IF($G399="",0,IF(AND(OR(fClient="All",$C399=fClient),OR(fCampaign="All",$D399=fCampaign),OR(fTeam="All",$B399=fTeam),OR(fChannel="All",$F399=fChannel)),1,0))</f>
        <v>0</v>
      </c>
      <c r="AK399" s="71">
        <f>IF($G399="",0,IF(OR($M399="Completed",$M399="Cancelled"),0,1))</f>
        <v>0</v>
      </c>
      <c r="AL399" s="71">
        <f>IF(AND($AK399=1,ISNUMBER($L399)),IF($L399&lt;ReportDate,1,0),0)</f>
        <v>0</v>
      </c>
      <c r="AM399" s="71">
        <f>IF(AND($G399&lt;&gt;"",$M399="Blocked"),1,0)</f>
        <v>0</v>
      </c>
      <c r="AN399" s="71">
        <f>IF(AND($AK399=1,ISNUMBER($L399)),IF($L399=ReportDate,1,0),0)</f>
        <v>0</v>
      </c>
      <c r="AO399" s="71">
        <f>IF(AND($AK399=1,ISNUMBER($L399)),IF($L399=ReportDate+1,1,0),0)</f>
        <v>0</v>
      </c>
      <c r="AP399" s="71">
        <f>IF(AND($AK399=1,ISNUMBER($L399)),IF(AND($L399&gt;=ReportDate,$L399&lt;=ReportDate+DueSoonDays),1,0),0)</f>
        <v>0</v>
      </c>
      <c r="AQ399" s="71">
        <f>IF(AND($AK399=1,OR($I399="Critical",$I399="High")),1,0)</f>
        <v>0</v>
      </c>
      <c r="AR399" s="71">
        <f>IF($AK399=1,IF(ISNUMBER($Y399),IF(ReportDate-$Y399&gt;StaleDays,1,0),1),0)</f>
        <v>0</v>
      </c>
      <c r="AS399" s="71">
        <f>IF(AND($G399&lt;&gt;"",ISNUMBER($Q399),ISNUMBER($R399)),IF(AND($Q399&lt;$R399,OR($M399="Completed",AND(ISNUMBER($L399),$L399&lt;ReportDate))),1,0),0)</f>
        <v>0</v>
      </c>
      <c r="AT399" s="71">
        <f>IF($AK399=1,IF(OR($L399=ReportDate,$W399=ReportDate,$K399=ReportDate,$A399=ReportDate),1,0),0)</f>
        <v>0</v>
      </c>
      <c r="AU399" s="71">
        <f>IF($AK399=1,IF(OR($L399=ReportDate+1,$W399=ReportDate+1,$K399=ReportDate+1,$A399=ReportDate+1),1,0),0)</f>
        <v>0</v>
      </c>
      <c r="AV399" s="71">
        <f>IF(AND($G399&lt;&gt;"",$M399="Completed"),IF(OR($Y399=ReportDate-1,$A399=ReportDate-1),1,0),0)</f>
        <v>0</v>
      </c>
      <c r="AW399" s="71">
        <f>IF(AND($AK399=1,$Z399="Yes"),1,0)</f>
        <v>0</v>
      </c>
      <c r="AX399" s="71">
        <f>IF(AND($AK399=1,$AA399="Yes"),1,0)</f>
        <v>0</v>
      </c>
      <c r="AY399" s="71">
        <f>IF(AND($AM399=1,OR($I399="Critical",$I399="High")),1,0)</f>
        <v>0</v>
      </c>
      <c r="AZ399" s="71">
        <f>IF(AND($AK399=1,OR($C399=TCL_Client,$C399=MECCA_Client)),1,0)</f>
        <v>0</v>
      </c>
      <c r="BA399" s="71" t="str">
        <f>IF($G399="","",IFERROR(MATCH($I399,lst_Priority,0),5))</f>
        <v/>
      </c>
      <c r="BB399" s="71" t="str">
        <f>IF(AND($AL399=1,$AJ399=1),$BA399*100000+ROW(),"")</f>
        <v/>
      </c>
      <c r="BC399" s="71" t="str">
        <f>IF(AND($AM399=1,$AJ399=1),$BA399*100000+ROW(),"")</f>
        <v/>
      </c>
      <c r="BD399" s="71" t="str">
        <f>IF(AND($AP399=1,$AJ399=1),$BA399*100000+ROW(),"")</f>
        <v/>
      </c>
      <c r="BE399" s="71" t="str">
        <f>IF(AND($AT399=1,$AJ399=1),$BA399*100000+ROW(),"")</f>
        <v/>
      </c>
      <c r="BF399" s="71" t="str">
        <f>IF(AND($AU399=1,$AJ399=1),$BA399*100000+ROW(),"")</f>
        <v/>
      </c>
      <c r="BG399" s="71" t="str">
        <f>IF(AND($AV399=1,$AJ399=1),$BA399*100000+ROW(),"")</f>
        <v/>
      </c>
      <c r="BH399" s="71" t="str">
        <f>IF(AND($AW399=1,$AJ399=1),$BA399*100000+ROW(),"")</f>
        <v/>
      </c>
      <c r="BI399" s="71" t="str">
        <f>IF(AND($AX399=1,$AJ399=1),$BA399*100000+ROW(),"")</f>
        <v/>
      </c>
      <c r="BJ399" s="71" t="str">
        <f>IF(AND($AS399=1,$AJ399=1),$BA399*100000+ROW(),"")</f>
        <v/>
      </c>
      <c r="BK399" s="71" t="str">
        <f>IF(AND($AY399=1,$AJ399=1),$BA399*100000+ROW(),"")</f>
        <v/>
      </c>
      <c r="BL399" s="71" t="str">
        <f>IF(AND($AZ399=1),$BA399*100000+ROW(),"")</f>
        <v/>
      </c>
    </row>
    <row r="400">
      <c r="A400" s="63" t="n"/>
      <c r="B400" s="64" t="n"/>
      <c r="C400" s="64" t="n"/>
      <c r="D400" s="64" t="n"/>
      <c r="E400" s="64" t="n"/>
      <c r="F400" s="64" t="n"/>
      <c r="G400" s="65" t="n"/>
      <c r="H400" s="65" t="n"/>
      <c r="I400" s="64" t="n"/>
      <c r="J400" s="64" t="n"/>
      <c r="K400" s="63" t="n"/>
      <c r="L400" s="63" t="n"/>
      <c r="M400" s="64" t="n"/>
      <c r="N400" s="66" t="n"/>
      <c r="O400" s="65" t="n"/>
      <c r="P400" s="64" t="n"/>
      <c r="Q400" s="67" t="n"/>
      <c r="R400" s="67" t="n"/>
      <c r="S400" s="68" t="str">
        <f>IF(AND(ISNUMBER($Q400),ISNUMBER($R400)),$Q400-$R400,"")</f>
        <v/>
      </c>
      <c r="T400" s="65" t="n"/>
      <c r="U400" s="64" t="n"/>
      <c r="V400" s="65" t="n"/>
      <c r="W400" s="63" t="n"/>
      <c r="X400" s="65" t="n"/>
      <c r="Y400" s="63" t="n"/>
      <c r="Z400" s="64" t="n"/>
      <c r="AA400" s="64" t="n"/>
      <c r="AB400" s="65" t="n"/>
      <c r="AC400" s="69" t="str">
        <f>IF(OR($G400="",NOT(ISNUMBER($K400)),$AK400=0),"",MAX(0,ReportDate-$K400))</f>
        <v/>
      </c>
      <c r="AD400" s="69" t="str">
        <f>IF($G400="","",IF($AL400=1,ReportDate-$L400,0))</f>
        <v/>
      </c>
      <c r="AE400" s="70" t="str">
        <f>IF($G400="","",IF($M400="Completed",1,IF(ISNUMBER($N400),$N400,0)))</f>
        <v/>
      </c>
      <c r="AF400" s="70" t="str">
        <f>IF(AND(ISNUMBER($Q400),ISNUMBER($R400)),IF($R400&lt;&gt;0,$Q400/$R400,""),"")</f>
        <v/>
      </c>
      <c r="AG400" s="71" t="str">
        <f>IF($G400="","",IF($AL400=1,"OVERDUE",IF($AM400=1,"BLOCKED",IF($AN400=1,"DUE TODAY",IF($AO400=1,"DUE TOMORROW",IF($AQ400=1,"HIGH PRIORITY",IF($AR400=1,"NO RECENT UPDATE",""))))))) </f>
        <v/>
      </c>
      <c r="AH400" s="71" t="str">
        <f>IF($G400="","",IF(ISNUMBER($A400),IF(ISNUMBER($A400),YEAR($A400)&amp;"-"&amp;TEXT(MONTH($A400),"00"),""),IF(ISNUMBER($L400),IF(ISNUMBER($L400),YEAR($L400)&amp;"-"&amp;TEXT(MONTH($L400),"00"),""),"")))</f>
        <v/>
      </c>
      <c r="AI400" s="71">
        <f>IF($G400="",0,IF(AND(OR(fClient="All",$C400=fClient),OR(fCampaign="All",$D400=fCampaign),OR(fTeam="All",$B400=fTeam),OR(fChannel="All",$F400=fChannel),OR(fMonth="All",$AH400=fMonth),OR(fTStatus="All",$M400=fTStatus)),1,0))</f>
        <v>0</v>
      </c>
      <c r="AJ400" s="71">
        <f>IF($G400="",0,IF(AND(OR(fClient="All",$C400=fClient),OR(fCampaign="All",$D400=fCampaign),OR(fTeam="All",$B400=fTeam),OR(fChannel="All",$F400=fChannel)),1,0))</f>
        <v>0</v>
      </c>
      <c r="AK400" s="71">
        <f>IF($G400="",0,IF(OR($M400="Completed",$M400="Cancelled"),0,1))</f>
        <v>0</v>
      </c>
      <c r="AL400" s="71">
        <f>IF(AND($AK400=1,ISNUMBER($L400)),IF($L400&lt;ReportDate,1,0),0)</f>
        <v>0</v>
      </c>
      <c r="AM400" s="71">
        <f>IF(AND($G400&lt;&gt;"",$M400="Blocked"),1,0)</f>
        <v>0</v>
      </c>
      <c r="AN400" s="71">
        <f>IF(AND($AK400=1,ISNUMBER($L400)),IF($L400=ReportDate,1,0),0)</f>
        <v>0</v>
      </c>
      <c r="AO400" s="71">
        <f>IF(AND($AK400=1,ISNUMBER($L400)),IF($L400=ReportDate+1,1,0),0)</f>
        <v>0</v>
      </c>
      <c r="AP400" s="71">
        <f>IF(AND($AK400=1,ISNUMBER($L400)),IF(AND($L400&gt;=ReportDate,$L400&lt;=ReportDate+DueSoonDays),1,0),0)</f>
        <v>0</v>
      </c>
      <c r="AQ400" s="71">
        <f>IF(AND($AK400=1,OR($I400="Critical",$I400="High")),1,0)</f>
        <v>0</v>
      </c>
      <c r="AR400" s="71">
        <f>IF($AK400=1,IF(ISNUMBER($Y400),IF(ReportDate-$Y400&gt;StaleDays,1,0),1),0)</f>
        <v>0</v>
      </c>
      <c r="AS400" s="71">
        <f>IF(AND($G400&lt;&gt;"",ISNUMBER($Q400),ISNUMBER($R400)),IF(AND($Q400&lt;$R400,OR($M400="Completed",AND(ISNUMBER($L400),$L400&lt;ReportDate))),1,0),0)</f>
        <v>0</v>
      </c>
      <c r="AT400" s="71">
        <f>IF($AK400=1,IF(OR($L400=ReportDate,$W400=ReportDate,$K400=ReportDate,$A400=ReportDate),1,0),0)</f>
        <v>0</v>
      </c>
      <c r="AU400" s="71">
        <f>IF($AK400=1,IF(OR($L400=ReportDate+1,$W400=ReportDate+1,$K400=ReportDate+1,$A400=ReportDate+1),1,0),0)</f>
        <v>0</v>
      </c>
      <c r="AV400" s="71">
        <f>IF(AND($G400&lt;&gt;"",$M400="Completed"),IF(OR($Y400=ReportDate-1,$A400=ReportDate-1),1,0),0)</f>
        <v>0</v>
      </c>
      <c r="AW400" s="71">
        <f>IF(AND($AK400=1,$Z400="Yes"),1,0)</f>
        <v>0</v>
      </c>
      <c r="AX400" s="71">
        <f>IF(AND($AK400=1,$AA400="Yes"),1,0)</f>
        <v>0</v>
      </c>
      <c r="AY400" s="71">
        <f>IF(AND($AM400=1,OR($I400="Critical",$I400="High")),1,0)</f>
        <v>0</v>
      </c>
      <c r="AZ400" s="71">
        <f>IF(AND($AK400=1,OR($C400=TCL_Client,$C400=MECCA_Client)),1,0)</f>
        <v>0</v>
      </c>
      <c r="BA400" s="71" t="str">
        <f>IF($G400="","",IFERROR(MATCH($I400,lst_Priority,0),5))</f>
        <v/>
      </c>
      <c r="BB400" s="71" t="str">
        <f>IF(AND($AL400=1,$AJ400=1),$BA400*100000+ROW(),"")</f>
        <v/>
      </c>
      <c r="BC400" s="71" t="str">
        <f>IF(AND($AM400=1,$AJ400=1),$BA400*100000+ROW(),"")</f>
        <v/>
      </c>
      <c r="BD400" s="71" t="str">
        <f>IF(AND($AP400=1,$AJ400=1),$BA400*100000+ROW(),"")</f>
        <v/>
      </c>
      <c r="BE400" s="71" t="str">
        <f>IF(AND($AT400=1,$AJ400=1),$BA400*100000+ROW(),"")</f>
        <v/>
      </c>
      <c r="BF400" s="71" t="str">
        <f>IF(AND($AU400=1,$AJ400=1),$BA400*100000+ROW(),"")</f>
        <v/>
      </c>
      <c r="BG400" s="71" t="str">
        <f>IF(AND($AV400=1,$AJ400=1),$BA400*100000+ROW(),"")</f>
        <v/>
      </c>
      <c r="BH400" s="71" t="str">
        <f>IF(AND($AW400=1,$AJ400=1),$BA400*100000+ROW(),"")</f>
        <v/>
      </c>
      <c r="BI400" s="71" t="str">
        <f>IF(AND($AX400=1,$AJ400=1),$BA400*100000+ROW(),"")</f>
        <v/>
      </c>
      <c r="BJ400" s="71" t="str">
        <f>IF(AND($AS400=1,$AJ400=1),$BA400*100000+ROW(),"")</f>
        <v/>
      </c>
      <c r="BK400" s="71" t="str">
        <f>IF(AND($AY400=1,$AJ400=1),$BA400*100000+ROW(),"")</f>
        <v/>
      </c>
      <c r="BL400" s="71" t="str">
        <f>IF(AND($AZ400=1),$BA400*100000+ROW(),"")</f>
        <v/>
      </c>
    </row>
    <row r="401">
      <c r="A401" s="63" t="n"/>
      <c r="B401" s="64" t="n"/>
      <c r="C401" s="64" t="n"/>
      <c r="D401" s="64" t="n"/>
      <c r="E401" s="64" t="n"/>
      <c r="F401" s="64" t="n"/>
      <c r="G401" s="65" t="n"/>
      <c r="H401" s="65" t="n"/>
      <c r="I401" s="64" t="n"/>
      <c r="J401" s="64" t="n"/>
      <c r="K401" s="63" t="n"/>
      <c r="L401" s="63" t="n"/>
      <c r="M401" s="64" t="n"/>
      <c r="N401" s="66" t="n"/>
      <c r="O401" s="65" t="n"/>
      <c r="P401" s="64" t="n"/>
      <c r="Q401" s="67" t="n"/>
      <c r="R401" s="67" t="n"/>
      <c r="S401" s="68" t="str">
        <f>IF(AND(ISNUMBER($Q401),ISNUMBER($R401)),$Q401-$R401,"")</f>
        <v/>
      </c>
      <c r="T401" s="65" t="n"/>
      <c r="U401" s="64" t="n"/>
      <c r="V401" s="65" t="n"/>
      <c r="W401" s="63" t="n"/>
      <c r="X401" s="65" t="n"/>
      <c r="Y401" s="63" t="n"/>
      <c r="Z401" s="64" t="n"/>
      <c r="AA401" s="64" t="n"/>
      <c r="AB401" s="65" t="n"/>
      <c r="AC401" s="69" t="str">
        <f>IF(OR($G401="",NOT(ISNUMBER($K401)),$AK401=0),"",MAX(0,ReportDate-$K401))</f>
        <v/>
      </c>
      <c r="AD401" s="69" t="str">
        <f>IF($G401="","",IF($AL401=1,ReportDate-$L401,0))</f>
        <v/>
      </c>
      <c r="AE401" s="70" t="str">
        <f>IF($G401="","",IF($M401="Completed",1,IF(ISNUMBER($N401),$N401,0)))</f>
        <v/>
      </c>
      <c r="AF401" s="70" t="str">
        <f>IF(AND(ISNUMBER($Q401),ISNUMBER($R401)),IF($R401&lt;&gt;0,$Q401/$R401,""),"")</f>
        <v/>
      </c>
      <c r="AG401" s="71" t="str">
        <f>IF($G401="","",IF($AL401=1,"OVERDUE",IF($AM401=1,"BLOCKED",IF($AN401=1,"DUE TODAY",IF($AO401=1,"DUE TOMORROW",IF($AQ401=1,"HIGH PRIORITY",IF($AR401=1,"NO RECENT UPDATE",""))))))) </f>
        <v/>
      </c>
      <c r="AH401" s="71" t="str">
        <f>IF($G401="","",IF(ISNUMBER($A401),IF(ISNUMBER($A401),YEAR($A401)&amp;"-"&amp;TEXT(MONTH($A401),"00"),""),IF(ISNUMBER($L401),IF(ISNUMBER($L401),YEAR($L401)&amp;"-"&amp;TEXT(MONTH($L401),"00"),""),"")))</f>
        <v/>
      </c>
      <c r="AI401" s="71">
        <f>IF($G401="",0,IF(AND(OR(fClient="All",$C401=fClient),OR(fCampaign="All",$D401=fCampaign),OR(fTeam="All",$B401=fTeam),OR(fChannel="All",$F401=fChannel),OR(fMonth="All",$AH401=fMonth),OR(fTStatus="All",$M401=fTStatus)),1,0))</f>
        <v>0</v>
      </c>
      <c r="AJ401" s="71">
        <f>IF($G401="",0,IF(AND(OR(fClient="All",$C401=fClient),OR(fCampaign="All",$D401=fCampaign),OR(fTeam="All",$B401=fTeam),OR(fChannel="All",$F401=fChannel)),1,0))</f>
        <v>0</v>
      </c>
      <c r="AK401" s="71">
        <f>IF($G401="",0,IF(OR($M401="Completed",$M401="Cancelled"),0,1))</f>
        <v>0</v>
      </c>
      <c r="AL401" s="71">
        <f>IF(AND($AK401=1,ISNUMBER($L401)),IF($L401&lt;ReportDate,1,0),0)</f>
        <v>0</v>
      </c>
      <c r="AM401" s="71">
        <f>IF(AND($G401&lt;&gt;"",$M401="Blocked"),1,0)</f>
        <v>0</v>
      </c>
      <c r="AN401" s="71">
        <f>IF(AND($AK401=1,ISNUMBER($L401)),IF($L401=ReportDate,1,0),0)</f>
        <v>0</v>
      </c>
      <c r="AO401" s="71">
        <f>IF(AND($AK401=1,ISNUMBER($L401)),IF($L401=ReportDate+1,1,0),0)</f>
        <v>0</v>
      </c>
      <c r="AP401" s="71">
        <f>IF(AND($AK401=1,ISNUMBER($L401)),IF(AND($L401&gt;=ReportDate,$L401&lt;=ReportDate+DueSoonDays),1,0),0)</f>
        <v>0</v>
      </c>
      <c r="AQ401" s="71">
        <f>IF(AND($AK401=1,OR($I401="Critical",$I401="High")),1,0)</f>
        <v>0</v>
      </c>
      <c r="AR401" s="71">
        <f>IF($AK401=1,IF(ISNUMBER($Y401),IF(ReportDate-$Y401&gt;StaleDays,1,0),1),0)</f>
        <v>0</v>
      </c>
      <c r="AS401" s="71">
        <f>IF(AND($G401&lt;&gt;"",ISNUMBER($Q401),ISNUMBER($R401)),IF(AND($Q401&lt;$R401,OR($M401="Completed",AND(ISNUMBER($L401),$L401&lt;ReportDate))),1,0),0)</f>
        <v>0</v>
      </c>
      <c r="AT401" s="71">
        <f>IF($AK401=1,IF(OR($L401=ReportDate,$W401=ReportDate,$K401=ReportDate,$A401=ReportDate),1,0),0)</f>
        <v>0</v>
      </c>
      <c r="AU401" s="71">
        <f>IF($AK401=1,IF(OR($L401=ReportDate+1,$W401=ReportDate+1,$K401=ReportDate+1,$A401=ReportDate+1),1,0),0)</f>
        <v>0</v>
      </c>
      <c r="AV401" s="71">
        <f>IF(AND($G401&lt;&gt;"",$M401="Completed"),IF(OR($Y401=ReportDate-1,$A401=ReportDate-1),1,0),0)</f>
        <v>0</v>
      </c>
      <c r="AW401" s="71">
        <f>IF(AND($AK401=1,$Z401="Yes"),1,0)</f>
        <v>0</v>
      </c>
      <c r="AX401" s="71">
        <f>IF(AND($AK401=1,$AA401="Yes"),1,0)</f>
        <v>0</v>
      </c>
      <c r="AY401" s="71">
        <f>IF(AND($AM401=1,OR($I401="Critical",$I401="High")),1,0)</f>
        <v>0</v>
      </c>
      <c r="AZ401" s="71">
        <f>IF(AND($AK401=1,OR($C401=TCL_Client,$C401=MECCA_Client)),1,0)</f>
        <v>0</v>
      </c>
      <c r="BA401" s="71" t="str">
        <f>IF($G401="","",IFERROR(MATCH($I401,lst_Priority,0),5))</f>
        <v/>
      </c>
      <c r="BB401" s="71" t="str">
        <f>IF(AND($AL401=1,$AJ401=1),$BA401*100000+ROW(),"")</f>
        <v/>
      </c>
      <c r="BC401" s="71" t="str">
        <f>IF(AND($AM401=1,$AJ401=1),$BA401*100000+ROW(),"")</f>
        <v/>
      </c>
      <c r="BD401" s="71" t="str">
        <f>IF(AND($AP401=1,$AJ401=1),$BA401*100000+ROW(),"")</f>
        <v/>
      </c>
      <c r="BE401" s="71" t="str">
        <f>IF(AND($AT401=1,$AJ401=1),$BA401*100000+ROW(),"")</f>
        <v/>
      </c>
      <c r="BF401" s="71" t="str">
        <f>IF(AND($AU401=1,$AJ401=1),$BA401*100000+ROW(),"")</f>
        <v/>
      </c>
      <c r="BG401" s="71" t="str">
        <f>IF(AND($AV401=1,$AJ401=1),$BA401*100000+ROW(),"")</f>
        <v/>
      </c>
      <c r="BH401" s="71" t="str">
        <f>IF(AND($AW401=1,$AJ401=1),$BA401*100000+ROW(),"")</f>
        <v/>
      </c>
      <c r="BI401" s="71" t="str">
        <f>IF(AND($AX401=1,$AJ401=1),$BA401*100000+ROW(),"")</f>
        <v/>
      </c>
      <c r="BJ401" s="71" t="str">
        <f>IF(AND($AS401=1,$AJ401=1),$BA401*100000+ROW(),"")</f>
        <v/>
      </c>
      <c r="BK401" s="71" t="str">
        <f>IF(AND($AY401=1,$AJ401=1),$BA401*100000+ROW(),"")</f>
        <v/>
      </c>
      <c r="BL401" s="71" t="str">
        <f>IF(AND($AZ401=1),$BA401*100000+ROW(),"")</f>
        <v/>
      </c>
    </row>
    <row r="402">
      <c r="A402" s="63" t="n"/>
      <c r="B402" s="64" t="n"/>
      <c r="C402" s="64" t="n"/>
      <c r="D402" s="64" t="n"/>
      <c r="E402" s="64" t="n"/>
      <c r="F402" s="64" t="n"/>
      <c r="G402" s="65" t="n"/>
      <c r="H402" s="65" t="n"/>
      <c r="I402" s="64" t="n"/>
      <c r="J402" s="64" t="n"/>
      <c r="K402" s="63" t="n"/>
      <c r="L402" s="63" t="n"/>
      <c r="M402" s="64" t="n"/>
      <c r="N402" s="66" t="n"/>
      <c r="O402" s="65" t="n"/>
      <c r="P402" s="64" t="n"/>
      <c r="Q402" s="67" t="n"/>
      <c r="R402" s="67" t="n"/>
      <c r="S402" s="68" t="str">
        <f>IF(AND(ISNUMBER($Q402),ISNUMBER($R402)),$Q402-$R402,"")</f>
        <v/>
      </c>
      <c r="T402" s="65" t="n"/>
      <c r="U402" s="64" t="n"/>
      <c r="V402" s="65" t="n"/>
      <c r="W402" s="63" t="n"/>
      <c r="X402" s="65" t="n"/>
      <c r="Y402" s="63" t="n"/>
      <c r="Z402" s="64" t="n"/>
      <c r="AA402" s="64" t="n"/>
      <c r="AB402" s="65" t="n"/>
      <c r="AC402" s="69" t="str">
        <f>IF(OR($G402="",NOT(ISNUMBER($K402)),$AK402=0),"",MAX(0,ReportDate-$K402))</f>
        <v/>
      </c>
      <c r="AD402" s="69" t="str">
        <f>IF($G402="","",IF($AL402=1,ReportDate-$L402,0))</f>
        <v/>
      </c>
      <c r="AE402" s="70" t="str">
        <f>IF($G402="","",IF($M402="Completed",1,IF(ISNUMBER($N402),$N402,0)))</f>
        <v/>
      </c>
      <c r="AF402" s="70" t="str">
        <f>IF(AND(ISNUMBER($Q402),ISNUMBER($R402)),IF($R402&lt;&gt;0,$Q402/$R402,""),"")</f>
        <v/>
      </c>
      <c r="AG402" s="71" t="str">
        <f>IF($G402="","",IF($AL402=1,"OVERDUE",IF($AM402=1,"BLOCKED",IF($AN402=1,"DUE TODAY",IF($AO402=1,"DUE TOMORROW",IF($AQ402=1,"HIGH PRIORITY",IF($AR402=1,"NO RECENT UPDATE",""))))))) </f>
        <v/>
      </c>
      <c r="AH402" s="71" t="str">
        <f>IF($G402="","",IF(ISNUMBER($A402),IF(ISNUMBER($A402),YEAR($A402)&amp;"-"&amp;TEXT(MONTH($A402),"00"),""),IF(ISNUMBER($L402),IF(ISNUMBER($L402),YEAR($L402)&amp;"-"&amp;TEXT(MONTH($L402),"00"),""),"")))</f>
        <v/>
      </c>
      <c r="AI402" s="71">
        <f>IF($G402="",0,IF(AND(OR(fClient="All",$C402=fClient),OR(fCampaign="All",$D402=fCampaign),OR(fTeam="All",$B402=fTeam),OR(fChannel="All",$F402=fChannel),OR(fMonth="All",$AH402=fMonth),OR(fTStatus="All",$M402=fTStatus)),1,0))</f>
        <v>0</v>
      </c>
      <c r="AJ402" s="71">
        <f>IF($G402="",0,IF(AND(OR(fClient="All",$C402=fClient),OR(fCampaign="All",$D402=fCampaign),OR(fTeam="All",$B402=fTeam),OR(fChannel="All",$F402=fChannel)),1,0))</f>
        <v>0</v>
      </c>
      <c r="AK402" s="71">
        <f>IF($G402="",0,IF(OR($M402="Completed",$M402="Cancelled"),0,1))</f>
        <v>0</v>
      </c>
      <c r="AL402" s="71">
        <f>IF(AND($AK402=1,ISNUMBER($L402)),IF($L402&lt;ReportDate,1,0),0)</f>
        <v>0</v>
      </c>
      <c r="AM402" s="71">
        <f>IF(AND($G402&lt;&gt;"",$M402="Blocked"),1,0)</f>
        <v>0</v>
      </c>
      <c r="AN402" s="71">
        <f>IF(AND($AK402=1,ISNUMBER($L402)),IF($L402=ReportDate,1,0),0)</f>
        <v>0</v>
      </c>
      <c r="AO402" s="71">
        <f>IF(AND($AK402=1,ISNUMBER($L402)),IF($L402=ReportDate+1,1,0),0)</f>
        <v>0</v>
      </c>
      <c r="AP402" s="71">
        <f>IF(AND($AK402=1,ISNUMBER($L402)),IF(AND($L402&gt;=ReportDate,$L402&lt;=ReportDate+DueSoonDays),1,0),0)</f>
        <v>0</v>
      </c>
      <c r="AQ402" s="71">
        <f>IF(AND($AK402=1,OR($I402="Critical",$I402="High")),1,0)</f>
        <v>0</v>
      </c>
      <c r="AR402" s="71">
        <f>IF($AK402=1,IF(ISNUMBER($Y402),IF(ReportDate-$Y402&gt;StaleDays,1,0),1),0)</f>
        <v>0</v>
      </c>
      <c r="AS402" s="71">
        <f>IF(AND($G402&lt;&gt;"",ISNUMBER($Q402),ISNUMBER($R402)),IF(AND($Q402&lt;$R402,OR($M402="Completed",AND(ISNUMBER($L402),$L402&lt;ReportDate))),1,0),0)</f>
        <v>0</v>
      </c>
      <c r="AT402" s="71">
        <f>IF($AK402=1,IF(OR($L402=ReportDate,$W402=ReportDate,$K402=ReportDate,$A402=ReportDate),1,0),0)</f>
        <v>0</v>
      </c>
      <c r="AU402" s="71">
        <f>IF($AK402=1,IF(OR($L402=ReportDate+1,$W402=ReportDate+1,$K402=ReportDate+1,$A402=ReportDate+1),1,0),0)</f>
        <v>0</v>
      </c>
      <c r="AV402" s="71">
        <f>IF(AND($G402&lt;&gt;"",$M402="Completed"),IF(OR($Y402=ReportDate-1,$A402=ReportDate-1),1,0),0)</f>
        <v>0</v>
      </c>
      <c r="AW402" s="71">
        <f>IF(AND($AK402=1,$Z402="Yes"),1,0)</f>
        <v>0</v>
      </c>
      <c r="AX402" s="71">
        <f>IF(AND($AK402=1,$AA402="Yes"),1,0)</f>
        <v>0</v>
      </c>
      <c r="AY402" s="71">
        <f>IF(AND($AM402=1,OR($I402="Critical",$I402="High")),1,0)</f>
        <v>0</v>
      </c>
      <c r="AZ402" s="71">
        <f>IF(AND($AK402=1,OR($C402=TCL_Client,$C402=MECCA_Client)),1,0)</f>
        <v>0</v>
      </c>
      <c r="BA402" s="71" t="str">
        <f>IF($G402="","",IFERROR(MATCH($I402,lst_Priority,0),5))</f>
        <v/>
      </c>
      <c r="BB402" s="71" t="str">
        <f>IF(AND($AL402=1,$AJ402=1),$BA402*100000+ROW(),"")</f>
        <v/>
      </c>
      <c r="BC402" s="71" t="str">
        <f>IF(AND($AM402=1,$AJ402=1),$BA402*100000+ROW(),"")</f>
        <v/>
      </c>
      <c r="BD402" s="71" t="str">
        <f>IF(AND($AP402=1,$AJ402=1),$BA402*100000+ROW(),"")</f>
        <v/>
      </c>
      <c r="BE402" s="71" t="str">
        <f>IF(AND($AT402=1,$AJ402=1),$BA402*100000+ROW(),"")</f>
        <v/>
      </c>
      <c r="BF402" s="71" t="str">
        <f>IF(AND($AU402=1,$AJ402=1),$BA402*100000+ROW(),"")</f>
        <v/>
      </c>
      <c r="BG402" s="71" t="str">
        <f>IF(AND($AV402=1,$AJ402=1),$BA402*100000+ROW(),"")</f>
        <v/>
      </c>
      <c r="BH402" s="71" t="str">
        <f>IF(AND($AW402=1,$AJ402=1),$BA402*100000+ROW(),"")</f>
        <v/>
      </c>
      <c r="BI402" s="71" t="str">
        <f>IF(AND($AX402=1,$AJ402=1),$BA402*100000+ROW(),"")</f>
        <v/>
      </c>
      <c r="BJ402" s="71" t="str">
        <f>IF(AND($AS402=1,$AJ402=1),$BA402*100000+ROW(),"")</f>
        <v/>
      </c>
      <c r="BK402" s="71" t="str">
        <f>IF(AND($AY402=1,$AJ402=1),$BA402*100000+ROW(),"")</f>
        <v/>
      </c>
      <c r="BL402" s="71" t="str">
        <f>IF(AND($AZ402=1),$BA402*100000+ROW(),"")</f>
        <v/>
      </c>
    </row>
    <row r="403">
      <c r="A403" s="63" t="n"/>
      <c r="B403" s="64" t="n"/>
      <c r="C403" s="64" t="n"/>
      <c r="D403" s="64" t="n"/>
      <c r="E403" s="64" t="n"/>
      <c r="F403" s="64" t="n"/>
      <c r="G403" s="65" t="n"/>
      <c r="H403" s="65" t="n"/>
      <c r="I403" s="64" t="n"/>
      <c r="J403" s="64" t="n"/>
      <c r="K403" s="63" t="n"/>
      <c r="L403" s="63" t="n"/>
      <c r="M403" s="64" t="n"/>
      <c r="N403" s="66" t="n"/>
      <c r="O403" s="65" t="n"/>
      <c r="P403" s="64" t="n"/>
      <c r="Q403" s="67" t="n"/>
      <c r="R403" s="67" t="n"/>
      <c r="S403" s="68" t="str">
        <f>IF(AND(ISNUMBER($Q403),ISNUMBER($R403)),$Q403-$R403,"")</f>
        <v/>
      </c>
      <c r="T403" s="65" t="n"/>
      <c r="U403" s="64" t="n"/>
      <c r="V403" s="65" t="n"/>
      <c r="W403" s="63" t="n"/>
      <c r="X403" s="65" t="n"/>
      <c r="Y403" s="63" t="n"/>
      <c r="Z403" s="64" t="n"/>
      <c r="AA403" s="64" t="n"/>
      <c r="AB403" s="65" t="n"/>
      <c r="AC403" s="69" t="str">
        <f>IF(OR($G403="",NOT(ISNUMBER($K403)),$AK403=0),"",MAX(0,ReportDate-$K403))</f>
        <v/>
      </c>
      <c r="AD403" s="69" t="str">
        <f>IF($G403="","",IF($AL403=1,ReportDate-$L403,0))</f>
        <v/>
      </c>
      <c r="AE403" s="70" t="str">
        <f>IF($G403="","",IF($M403="Completed",1,IF(ISNUMBER($N403),$N403,0)))</f>
        <v/>
      </c>
      <c r="AF403" s="70" t="str">
        <f>IF(AND(ISNUMBER($Q403),ISNUMBER($R403)),IF($R403&lt;&gt;0,$Q403/$R403,""),"")</f>
        <v/>
      </c>
      <c r="AG403" s="71" t="str">
        <f>IF($G403="","",IF($AL403=1,"OVERDUE",IF($AM403=1,"BLOCKED",IF($AN403=1,"DUE TODAY",IF($AO403=1,"DUE TOMORROW",IF($AQ403=1,"HIGH PRIORITY",IF($AR403=1,"NO RECENT UPDATE",""))))))) </f>
        <v/>
      </c>
      <c r="AH403" s="71" t="str">
        <f>IF($G403="","",IF(ISNUMBER($A403),IF(ISNUMBER($A403),YEAR($A403)&amp;"-"&amp;TEXT(MONTH($A403),"00"),""),IF(ISNUMBER($L403),IF(ISNUMBER($L403),YEAR($L403)&amp;"-"&amp;TEXT(MONTH($L403),"00"),""),"")))</f>
        <v/>
      </c>
      <c r="AI403" s="71">
        <f>IF($G403="",0,IF(AND(OR(fClient="All",$C403=fClient),OR(fCampaign="All",$D403=fCampaign),OR(fTeam="All",$B403=fTeam),OR(fChannel="All",$F403=fChannel),OR(fMonth="All",$AH403=fMonth),OR(fTStatus="All",$M403=fTStatus)),1,0))</f>
        <v>0</v>
      </c>
      <c r="AJ403" s="71">
        <f>IF($G403="",0,IF(AND(OR(fClient="All",$C403=fClient),OR(fCampaign="All",$D403=fCampaign),OR(fTeam="All",$B403=fTeam),OR(fChannel="All",$F403=fChannel)),1,0))</f>
        <v>0</v>
      </c>
      <c r="AK403" s="71">
        <f>IF($G403="",0,IF(OR($M403="Completed",$M403="Cancelled"),0,1))</f>
        <v>0</v>
      </c>
      <c r="AL403" s="71">
        <f>IF(AND($AK403=1,ISNUMBER($L403)),IF($L403&lt;ReportDate,1,0),0)</f>
        <v>0</v>
      </c>
      <c r="AM403" s="71">
        <f>IF(AND($G403&lt;&gt;"",$M403="Blocked"),1,0)</f>
        <v>0</v>
      </c>
      <c r="AN403" s="71">
        <f>IF(AND($AK403=1,ISNUMBER($L403)),IF($L403=ReportDate,1,0),0)</f>
        <v>0</v>
      </c>
      <c r="AO403" s="71">
        <f>IF(AND($AK403=1,ISNUMBER($L403)),IF($L403=ReportDate+1,1,0),0)</f>
        <v>0</v>
      </c>
      <c r="AP403" s="71">
        <f>IF(AND($AK403=1,ISNUMBER($L403)),IF(AND($L403&gt;=ReportDate,$L403&lt;=ReportDate+DueSoonDays),1,0),0)</f>
        <v>0</v>
      </c>
      <c r="AQ403" s="71">
        <f>IF(AND($AK403=1,OR($I403="Critical",$I403="High")),1,0)</f>
        <v>0</v>
      </c>
      <c r="AR403" s="71">
        <f>IF($AK403=1,IF(ISNUMBER($Y403),IF(ReportDate-$Y403&gt;StaleDays,1,0),1),0)</f>
        <v>0</v>
      </c>
      <c r="AS403" s="71">
        <f>IF(AND($G403&lt;&gt;"",ISNUMBER($Q403),ISNUMBER($R403)),IF(AND($Q403&lt;$R403,OR($M403="Completed",AND(ISNUMBER($L403),$L403&lt;ReportDate))),1,0),0)</f>
        <v>0</v>
      </c>
      <c r="AT403" s="71">
        <f>IF($AK403=1,IF(OR($L403=ReportDate,$W403=ReportDate,$K403=ReportDate,$A403=ReportDate),1,0),0)</f>
        <v>0</v>
      </c>
      <c r="AU403" s="71">
        <f>IF($AK403=1,IF(OR($L403=ReportDate+1,$W403=ReportDate+1,$K403=ReportDate+1,$A403=ReportDate+1),1,0),0)</f>
        <v>0</v>
      </c>
      <c r="AV403" s="71">
        <f>IF(AND($G403&lt;&gt;"",$M403="Completed"),IF(OR($Y403=ReportDate-1,$A403=ReportDate-1),1,0),0)</f>
        <v>0</v>
      </c>
      <c r="AW403" s="71">
        <f>IF(AND($AK403=1,$Z403="Yes"),1,0)</f>
        <v>0</v>
      </c>
      <c r="AX403" s="71">
        <f>IF(AND($AK403=1,$AA403="Yes"),1,0)</f>
        <v>0</v>
      </c>
      <c r="AY403" s="71">
        <f>IF(AND($AM403=1,OR($I403="Critical",$I403="High")),1,0)</f>
        <v>0</v>
      </c>
      <c r="AZ403" s="71">
        <f>IF(AND($AK403=1,OR($C403=TCL_Client,$C403=MECCA_Client)),1,0)</f>
        <v>0</v>
      </c>
      <c r="BA403" s="71" t="str">
        <f>IF($G403="","",IFERROR(MATCH($I403,lst_Priority,0),5))</f>
        <v/>
      </c>
      <c r="BB403" s="71" t="str">
        <f>IF(AND($AL403=1,$AJ403=1),$BA403*100000+ROW(),"")</f>
        <v/>
      </c>
      <c r="BC403" s="71" t="str">
        <f>IF(AND($AM403=1,$AJ403=1),$BA403*100000+ROW(),"")</f>
        <v/>
      </c>
      <c r="BD403" s="71" t="str">
        <f>IF(AND($AP403=1,$AJ403=1),$BA403*100000+ROW(),"")</f>
        <v/>
      </c>
      <c r="BE403" s="71" t="str">
        <f>IF(AND($AT403=1,$AJ403=1),$BA403*100000+ROW(),"")</f>
        <v/>
      </c>
      <c r="BF403" s="71" t="str">
        <f>IF(AND($AU403=1,$AJ403=1),$BA403*100000+ROW(),"")</f>
        <v/>
      </c>
      <c r="BG403" s="71" t="str">
        <f>IF(AND($AV403=1,$AJ403=1),$BA403*100000+ROW(),"")</f>
        <v/>
      </c>
      <c r="BH403" s="71" t="str">
        <f>IF(AND($AW403=1,$AJ403=1),$BA403*100000+ROW(),"")</f>
        <v/>
      </c>
      <c r="BI403" s="71" t="str">
        <f>IF(AND($AX403=1,$AJ403=1),$BA403*100000+ROW(),"")</f>
        <v/>
      </c>
      <c r="BJ403" s="71" t="str">
        <f>IF(AND($AS403=1,$AJ403=1),$BA403*100000+ROW(),"")</f>
        <v/>
      </c>
      <c r="BK403" s="71" t="str">
        <f>IF(AND($AY403=1,$AJ403=1),$BA403*100000+ROW(),"")</f>
        <v/>
      </c>
      <c r="BL403" s="71" t="str">
        <f>IF(AND($AZ403=1),$BA403*100000+ROW(),"")</f>
        <v/>
      </c>
    </row>
    <row r="404">
      <c r="A404" s="63" t="n"/>
      <c r="B404" s="64" t="n"/>
      <c r="C404" s="64" t="n"/>
      <c r="D404" s="64" t="n"/>
      <c r="E404" s="64" t="n"/>
      <c r="F404" s="64" t="n"/>
      <c r="G404" s="65" t="n"/>
      <c r="H404" s="65" t="n"/>
      <c r="I404" s="64" t="n"/>
      <c r="J404" s="64" t="n"/>
      <c r="K404" s="63" t="n"/>
      <c r="L404" s="63" t="n"/>
      <c r="M404" s="64" t="n"/>
      <c r="N404" s="66" t="n"/>
      <c r="O404" s="65" t="n"/>
      <c r="P404" s="64" t="n"/>
      <c r="Q404" s="67" t="n"/>
      <c r="R404" s="67" t="n"/>
      <c r="S404" s="68" t="str">
        <f>IF(AND(ISNUMBER($Q404),ISNUMBER($R404)),$Q404-$R404,"")</f>
        <v/>
      </c>
      <c r="T404" s="65" t="n"/>
      <c r="U404" s="64" t="n"/>
      <c r="V404" s="65" t="n"/>
      <c r="W404" s="63" t="n"/>
      <c r="X404" s="65" t="n"/>
      <c r="Y404" s="63" t="n"/>
      <c r="Z404" s="64" t="n"/>
      <c r="AA404" s="64" t="n"/>
      <c r="AB404" s="65" t="n"/>
      <c r="AC404" s="69" t="str">
        <f>IF(OR($G404="",NOT(ISNUMBER($K404)),$AK404=0),"",MAX(0,ReportDate-$K404))</f>
        <v/>
      </c>
      <c r="AD404" s="69" t="str">
        <f>IF($G404="","",IF($AL404=1,ReportDate-$L404,0))</f>
        <v/>
      </c>
      <c r="AE404" s="70" t="str">
        <f>IF($G404="","",IF($M404="Completed",1,IF(ISNUMBER($N404),$N404,0)))</f>
        <v/>
      </c>
      <c r="AF404" s="70" t="str">
        <f>IF(AND(ISNUMBER($Q404),ISNUMBER($R404)),IF($R404&lt;&gt;0,$Q404/$R404,""),"")</f>
        <v/>
      </c>
      <c r="AG404" s="71" t="str">
        <f>IF($G404="","",IF($AL404=1,"OVERDUE",IF($AM404=1,"BLOCKED",IF($AN404=1,"DUE TODAY",IF($AO404=1,"DUE TOMORROW",IF($AQ404=1,"HIGH PRIORITY",IF($AR404=1,"NO RECENT UPDATE",""))))))) </f>
        <v/>
      </c>
      <c r="AH404" s="71" t="str">
        <f>IF($G404="","",IF(ISNUMBER($A404),IF(ISNUMBER($A404),YEAR($A404)&amp;"-"&amp;TEXT(MONTH($A404),"00"),""),IF(ISNUMBER($L404),IF(ISNUMBER($L404),YEAR($L404)&amp;"-"&amp;TEXT(MONTH($L404),"00"),""),"")))</f>
        <v/>
      </c>
      <c r="AI404" s="71">
        <f>IF($G404="",0,IF(AND(OR(fClient="All",$C404=fClient),OR(fCampaign="All",$D404=fCampaign),OR(fTeam="All",$B404=fTeam),OR(fChannel="All",$F404=fChannel),OR(fMonth="All",$AH404=fMonth),OR(fTStatus="All",$M404=fTStatus)),1,0))</f>
        <v>0</v>
      </c>
      <c r="AJ404" s="71">
        <f>IF($G404="",0,IF(AND(OR(fClient="All",$C404=fClient),OR(fCampaign="All",$D404=fCampaign),OR(fTeam="All",$B404=fTeam),OR(fChannel="All",$F404=fChannel)),1,0))</f>
        <v>0</v>
      </c>
      <c r="AK404" s="71">
        <f>IF($G404="",0,IF(OR($M404="Completed",$M404="Cancelled"),0,1))</f>
        <v>0</v>
      </c>
      <c r="AL404" s="71">
        <f>IF(AND($AK404=1,ISNUMBER($L404)),IF($L404&lt;ReportDate,1,0),0)</f>
        <v>0</v>
      </c>
      <c r="AM404" s="71">
        <f>IF(AND($G404&lt;&gt;"",$M404="Blocked"),1,0)</f>
        <v>0</v>
      </c>
      <c r="AN404" s="71">
        <f>IF(AND($AK404=1,ISNUMBER($L404)),IF($L404=ReportDate,1,0),0)</f>
        <v>0</v>
      </c>
      <c r="AO404" s="71">
        <f>IF(AND($AK404=1,ISNUMBER($L404)),IF($L404=ReportDate+1,1,0),0)</f>
        <v>0</v>
      </c>
      <c r="AP404" s="71">
        <f>IF(AND($AK404=1,ISNUMBER($L404)),IF(AND($L404&gt;=ReportDate,$L404&lt;=ReportDate+DueSoonDays),1,0),0)</f>
        <v>0</v>
      </c>
      <c r="AQ404" s="71">
        <f>IF(AND($AK404=1,OR($I404="Critical",$I404="High")),1,0)</f>
        <v>0</v>
      </c>
      <c r="AR404" s="71">
        <f>IF($AK404=1,IF(ISNUMBER($Y404),IF(ReportDate-$Y404&gt;StaleDays,1,0),1),0)</f>
        <v>0</v>
      </c>
      <c r="AS404" s="71">
        <f>IF(AND($G404&lt;&gt;"",ISNUMBER($Q404),ISNUMBER($R404)),IF(AND($Q404&lt;$R404,OR($M404="Completed",AND(ISNUMBER($L404),$L404&lt;ReportDate))),1,0),0)</f>
        <v>0</v>
      </c>
      <c r="AT404" s="71">
        <f>IF($AK404=1,IF(OR($L404=ReportDate,$W404=ReportDate,$K404=ReportDate,$A404=ReportDate),1,0),0)</f>
        <v>0</v>
      </c>
      <c r="AU404" s="71">
        <f>IF($AK404=1,IF(OR($L404=ReportDate+1,$W404=ReportDate+1,$K404=ReportDate+1,$A404=ReportDate+1),1,0),0)</f>
        <v>0</v>
      </c>
      <c r="AV404" s="71">
        <f>IF(AND($G404&lt;&gt;"",$M404="Completed"),IF(OR($Y404=ReportDate-1,$A404=ReportDate-1),1,0),0)</f>
        <v>0</v>
      </c>
      <c r="AW404" s="71">
        <f>IF(AND($AK404=1,$Z404="Yes"),1,0)</f>
        <v>0</v>
      </c>
      <c r="AX404" s="71">
        <f>IF(AND($AK404=1,$AA404="Yes"),1,0)</f>
        <v>0</v>
      </c>
      <c r="AY404" s="71">
        <f>IF(AND($AM404=1,OR($I404="Critical",$I404="High")),1,0)</f>
        <v>0</v>
      </c>
      <c r="AZ404" s="71">
        <f>IF(AND($AK404=1,OR($C404=TCL_Client,$C404=MECCA_Client)),1,0)</f>
        <v>0</v>
      </c>
      <c r="BA404" s="71" t="str">
        <f>IF($G404="","",IFERROR(MATCH($I404,lst_Priority,0),5))</f>
        <v/>
      </c>
      <c r="BB404" s="71" t="str">
        <f>IF(AND($AL404=1,$AJ404=1),$BA404*100000+ROW(),"")</f>
        <v/>
      </c>
      <c r="BC404" s="71" t="str">
        <f>IF(AND($AM404=1,$AJ404=1),$BA404*100000+ROW(),"")</f>
        <v/>
      </c>
      <c r="BD404" s="71" t="str">
        <f>IF(AND($AP404=1,$AJ404=1),$BA404*100000+ROW(),"")</f>
        <v/>
      </c>
      <c r="BE404" s="71" t="str">
        <f>IF(AND($AT404=1,$AJ404=1),$BA404*100000+ROW(),"")</f>
        <v/>
      </c>
      <c r="BF404" s="71" t="str">
        <f>IF(AND($AU404=1,$AJ404=1),$BA404*100000+ROW(),"")</f>
        <v/>
      </c>
      <c r="BG404" s="71" t="str">
        <f>IF(AND($AV404=1,$AJ404=1),$BA404*100000+ROW(),"")</f>
        <v/>
      </c>
      <c r="BH404" s="71" t="str">
        <f>IF(AND($AW404=1,$AJ404=1),$BA404*100000+ROW(),"")</f>
        <v/>
      </c>
      <c r="BI404" s="71" t="str">
        <f>IF(AND($AX404=1,$AJ404=1),$BA404*100000+ROW(),"")</f>
        <v/>
      </c>
      <c r="BJ404" s="71" t="str">
        <f>IF(AND($AS404=1,$AJ404=1),$BA404*100000+ROW(),"")</f>
        <v/>
      </c>
      <c r="BK404" s="71" t="str">
        <f>IF(AND($AY404=1,$AJ404=1),$BA404*100000+ROW(),"")</f>
        <v/>
      </c>
      <c r="BL404" s="71" t="str">
        <f>IF(AND($AZ404=1),$BA404*100000+ROW(),"")</f>
        <v/>
      </c>
    </row>
    <row r="405">
      <c r="A405" s="63" t="n"/>
      <c r="B405" s="64" t="n"/>
      <c r="C405" s="64" t="n"/>
      <c r="D405" s="64" t="n"/>
      <c r="E405" s="64" t="n"/>
      <c r="F405" s="64" t="n"/>
      <c r="G405" s="65" t="n"/>
      <c r="H405" s="65" t="n"/>
      <c r="I405" s="64" t="n"/>
      <c r="J405" s="64" t="n"/>
      <c r="K405" s="63" t="n"/>
      <c r="L405" s="63" t="n"/>
      <c r="M405" s="64" t="n"/>
      <c r="N405" s="66" t="n"/>
      <c r="O405" s="65" t="n"/>
      <c r="P405" s="64" t="n"/>
      <c r="Q405" s="67" t="n"/>
      <c r="R405" s="67" t="n"/>
      <c r="S405" s="68" t="str">
        <f>IF(AND(ISNUMBER($Q405),ISNUMBER($R405)),$Q405-$R405,"")</f>
        <v/>
      </c>
      <c r="T405" s="65" t="n"/>
      <c r="U405" s="64" t="n"/>
      <c r="V405" s="65" t="n"/>
      <c r="W405" s="63" t="n"/>
      <c r="X405" s="65" t="n"/>
      <c r="Y405" s="63" t="n"/>
      <c r="Z405" s="64" t="n"/>
      <c r="AA405" s="64" t="n"/>
      <c r="AB405" s="65" t="n"/>
      <c r="AC405" s="69" t="str">
        <f>IF(OR($G405="",NOT(ISNUMBER($K405)),$AK405=0),"",MAX(0,ReportDate-$K405))</f>
        <v/>
      </c>
      <c r="AD405" s="69" t="str">
        <f>IF($G405="","",IF($AL405=1,ReportDate-$L405,0))</f>
        <v/>
      </c>
      <c r="AE405" s="70" t="str">
        <f>IF($G405="","",IF($M405="Completed",1,IF(ISNUMBER($N405),$N405,0)))</f>
        <v/>
      </c>
      <c r="AF405" s="70" t="str">
        <f>IF(AND(ISNUMBER($Q405),ISNUMBER($R405)),IF($R405&lt;&gt;0,$Q405/$R405,""),"")</f>
        <v/>
      </c>
      <c r="AG405" s="71" t="str">
        <f>IF($G405="","",IF($AL405=1,"OVERDUE",IF($AM405=1,"BLOCKED",IF($AN405=1,"DUE TODAY",IF($AO405=1,"DUE TOMORROW",IF($AQ405=1,"HIGH PRIORITY",IF($AR405=1,"NO RECENT UPDATE",""))))))) </f>
        <v/>
      </c>
      <c r="AH405" s="71" t="str">
        <f>IF($G405="","",IF(ISNUMBER($A405),IF(ISNUMBER($A405),YEAR($A405)&amp;"-"&amp;TEXT(MONTH($A405),"00"),""),IF(ISNUMBER($L405),IF(ISNUMBER($L405),YEAR($L405)&amp;"-"&amp;TEXT(MONTH($L405),"00"),""),"")))</f>
        <v/>
      </c>
      <c r="AI405" s="71">
        <f>IF($G405="",0,IF(AND(OR(fClient="All",$C405=fClient),OR(fCampaign="All",$D405=fCampaign),OR(fTeam="All",$B405=fTeam),OR(fChannel="All",$F405=fChannel),OR(fMonth="All",$AH405=fMonth),OR(fTStatus="All",$M405=fTStatus)),1,0))</f>
        <v>0</v>
      </c>
      <c r="AJ405" s="71">
        <f>IF($G405="",0,IF(AND(OR(fClient="All",$C405=fClient),OR(fCampaign="All",$D405=fCampaign),OR(fTeam="All",$B405=fTeam),OR(fChannel="All",$F405=fChannel)),1,0))</f>
        <v>0</v>
      </c>
      <c r="AK405" s="71">
        <f>IF($G405="",0,IF(OR($M405="Completed",$M405="Cancelled"),0,1))</f>
        <v>0</v>
      </c>
      <c r="AL405" s="71">
        <f>IF(AND($AK405=1,ISNUMBER($L405)),IF($L405&lt;ReportDate,1,0),0)</f>
        <v>0</v>
      </c>
      <c r="AM405" s="71">
        <f>IF(AND($G405&lt;&gt;"",$M405="Blocked"),1,0)</f>
        <v>0</v>
      </c>
      <c r="AN405" s="71">
        <f>IF(AND($AK405=1,ISNUMBER($L405)),IF($L405=ReportDate,1,0),0)</f>
        <v>0</v>
      </c>
      <c r="AO405" s="71">
        <f>IF(AND($AK405=1,ISNUMBER($L405)),IF($L405=ReportDate+1,1,0),0)</f>
        <v>0</v>
      </c>
      <c r="AP405" s="71">
        <f>IF(AND($AK405=1,ISNUMBER($L405)),IF(AND($L405&gt;=ReportDate,$L405&lt;=ReportDate+DueSoonDays),1,0),0)</f>
        <v>0</v>
      </c>
      <c r="AQ405" s="71">
        <f>IF(AND($AK405=1,OR($I405="Critical",$I405="High")),1,0)</f>
        <v>0</v>
      </c>
      <c r="AR405" s="71">
        <f>IF($AK405=1,IF(ISNUMBER($Y405),IF(ReportDate-$Y405&gt;StaleDays,1,0),1),0)</f>
        <v>0</v>
      </c>
      <c r="AS405" s="71">
        <f>IF(AND($G405&lt;&gt;"",ISNUMBER($Q405),ISNUMBER($R405)),IF(AND($Q405&lt;$R405,OR($M405="Completed",AND(ISNUMBER($L405),$L405&lt;ReportDate))),1,0),0)</f>
        <v>0</v>
      </c>
      <c r="AT405" s="71">
        <f>IF($AK405=1,IF(OR($L405=ReportDate,$W405=ReportDate,$K405=ReportDate,$A405=ReportDate),1,0),0)</f>
        <v>0</v>
      </c>
      <c r="AU405" s="71">
        <f>IF($AK405=1,IF(OR($L405=ReportDate+1,$W405=ReportDate+1,$K405=ReportDate+1,$A405=ReportDate+1),1,0),0)</f>
        <v>0</v>
      </c>
      <c r="AV405" s="71">
        <f>IF(AND($G405&lt;&gt;"",$M405="Completed"),IF(OR($Y405=ReportDate-1,$A405=ReportDate-1),1,0),0)</f>
        <v>0</v>
      </c>
      <c r="AW405" s="71">
        <f>IF(AND($AK405=1,$Z405="Yes"),1,0)</f>
        <v>0</v>
      </c>
      <c r="AX405" s="71">
        <f>IF(AND($AK405=1,$AA405="Yes"),1,0)</f>
        <v>0</v>
      </c>
      <c r="AY405" s="71">
        <f>IF(AND($AM405=1,OR($I405="Critical",$I405="High")),1,0)</f>
        <v>0</v>
      </c>
      <c r="AZ405" s="71">
        <f>IF(AND($AK405=1,OR($C405=TCL_Client,$C405=MECCA_Client)),1,0)</f>
        <v>0</v>
      </c>
      <c r="BA405" s="71" t="str">
        <f>IF($G405="","",IFERROR(MATCH($I405,lst_Priority,0),5))</f>
        <v/>
      </c>
      <c r="BB405" s="71" t="str">
        <f>IF(AND($AL405=1,$AJ405=1),$BA405*100000+ROW(),"")</f>
        <v/>
      </c>
      <c r="BC405" s="71" t="str">
        <f>IF(AND($AM405=1,$AJ405=1),$BA405*100000+ROW(),"")</f>
        <v/>
      </c>
      <c r="BD405" s="71" t="str">
        <f>IF(AND($AP405=1,$AJ405=1),$BA405*100000+ROW(),"")</f>
        <v/>
      </c>
      <c r="BE405" s="71" t="str">
        <f>IF(AND($AT405=1,$AJ405=1),$BA405*100000+ROW(),"")</f>
        <v/>
      </c>
      <c r="BF405" s="71" t="str">
        <f>IF(AND($AU405=1,$AJ405=1),$BA405*100000+ROW(),"")</f>
        <v/>
      </c>
      <c r="BG405" s="71" t="str">
        <f>IF(AND($AV405=1,$AJ405=1),$BA405*100000+ROW(),"")</f>
        <v/>
      </c>
      <c r="BH405" s="71" t="str">
        <f>IF(AND($AW405=1,$AJ405=1),$BA405*100000+ROW(),"")</f>
        <v/>
      </c>
      <c r="BI405" s="71" t="str">
        <f>IF(AND($AX405=1,$AJ405=1),$BA405*100000+ROW(),"")</f>
        <v/>
      </c>
      <c r="BJ405" s="71" t="str">
        <f>IF(AND($AS405=1,$AJ405=1),$BA405*100000+ROW(),"")</f>
        <v/>
      </c>
      <c r="BK405" s="71" t="str">
        <f>IF(AND($AY405=1,$AJ405=1),$BA405*100000+ROW(),"")</f>
        <v/>
      </c>
      <c r="BL405" s="71" t="str">
        <f>IF(AND($AZ405=1),$BA405*100000+ROW(),"")</f>
        <v/>
      </c>
    </row>
    <row r="406">
      <c r="A406" s="63" t="n"/>
      <c r="B406" s="64" t="n"/>
      <c r="C406" s="64" t="n"/>
      <c r="D406" s="64" t="n"/>
      <c r="E406" s="64" t="n"/>
      <c r="F406" s="64" t="n"/>
      <c r="G406" s="65" t="n"/>
      <c r="H406" s="65" t="n"/>
      <c r="I406" s="64" t="n"/>
      <c r="J406" s="64" t="n"/>
      <c r="K406" s="63" t="n"/>
      <c r="L406" s="63" t="n"/>
      <c r="M406" s="64" t="n"/>
      <c r="N406" s="66" t="n"/>
      <c r="O406" s="65" t="n"/>
      <c r="P406" s="64" t="n"/>
      <c r="Q406" s="67" t="n"/>
      <c r="R406" s="67" t="n"/>
      <c r="S406" s="68" t="str">
        <f>IF(AND(ISNUMBER($Q406),ISNUMBER($R406)),$Q406-$R406,"")</f>
        <v/>
      </c>
      <c r="T406" s="65" t="n"/>
      <c r="U406" s="64" t="n"/>
      <c r="V406" s="65" t="n"/>
      <c r="W406" s="63" t="n"/>
      <c r="X406" s="65" t="n"/>
      <c r="Y406" s="63" t="n"/>
      <c r="Z406" s="64" t="n"/>
      <c r="AA406" s="64" t="n"/>
      <c r="AB406" s="65" t="n"/>
      <c r="AC406" s="69" t="str">
        <f>IF(OR($G406="",NOT(ISNUMBER($K406)),$AK406=0),"",MAX(0,ReportDate-$K406))</f>
        <v/>
      </c>
      <c r="AD406" s="69" t="str">
        <f>IF($G406="","",IF($AL406=1,ReportDate-$L406,0))</f>
        <v/>
      </c>
      <c r="AE406" s="70" t="str">
        <f>IF($G406="","",IF($M406="Completed",1,IF(ISNUMBER($N406),$N406,0)))</f>
        <v/>
      </c>
      <c r="AF406" s="70" t="str">
        <f>IF(AND(ISNUMBER($Q406),ISNUMBER($R406)),IF($R406&lt;&gt;0,$Q406/$R406,""),"")</f>
        <v/>
      </c>
      <c r="AG406" s="71" t="str">
        <f>IF($G406="","",IF($AL406=1,"OVERDUE",IF($AM406=1,"BLOCKED",IF($AN406=1,"DUE TODAY",IF($AO406=1,"DUE TOMORROW",IF($AQ406=1,"HIGH PRIORITY",IF($AR406=1,"NO RECENT UPDATE",""))))))) </f>
        <v/>
      </c>
      <c r="AH406" s="71" t="str">
        <f>IF($G406="","",IF(ISNUMBER($A406),IF(ISNUMBER($A406),YEAR($A406)&amp;"-"&amp;TEXT(MONTH($A406),"00"),""),IF(ISNUMBER($L406),IF(ISNUMBER($L406),YEAR($L406)&amp;"-"&amp;TEXT(MONTH($L406),"00"),""),"")))</f>
        <v/>
      </c>
      <c r="AI406" s="71">
        <f>IF($G406="",0,IF(AND(OR(fClient="All",$C406=fClient),OR(fCampaign="All",$D406=fCampaign),OR(fTeam="All",$B406=fTeam),OR(fChannel="All",$F406=fChannel),OR(fMonth="All",$AH406=fMonth),OR(fTStatus="All",$M406=fTStatus)),1,0))</f>
        <v>0</v>
      </c>
      <c r="AJ406" s="71">
        <f>IF($G406="",0,IF(AND(OR(fClient="All",$C406=fClient),OR(fCampaign="All",$D406=fCampaign),OR(fTeam="All",$B406=fTeam),OR(fChannel="All",$F406=fChannel)),1,0))</f>
        <v>0</v>
      </c>
      <c r="AK406" s="71">
        <f>IF($G406="",0,IF(OR($M406="Completed",$M406="Cancelled"),0,1))</f>
        <v>0</v>
      </c>
      <c r="AL406" s="71">
        <f>IF(AND($AK406=1,ISNUMBER($L406)),IF($L406&lt;ReportDate,1,0),0)</f>
        <v>0</v>
      </c>
      <c r="AM406" s="71">
        <f>IF(AND($G406&lt;&gt;"",$M406="Blocked"),1,0)</f>
        <v>0</v>
      </c>
      <c r="AN406" s="71">
        <f>IF(AND($AK406=1,ISNUMBER($L406)),IF($L406=ReportDate,1,0),0)</f>
        <v>0</v>
      </c>
      <c r="AO406" s="71">
        <f>IF(AND($AK406=1,ISNUMBER($L406)),IF($L406=ReportDate+1,1,0),0)</f>
        <v>0</v>
      </c>
      <c r="AP406" s="71">
        <f>IF(AND($AK406=1,ISNUMBER($L406)),IF(AND($L406&gt;=ReportDate,$L406&lt;=ReportDate+DueSoonDays),1,0),0)</f>
        <v>0</v>
      </c>
      <c r="AQ406" s="71">
        <f>IF(AND($AK406=1,OR($I406="Critical",$I406="High")),1,0)</f>
        <v>0</v>
      </c>
      <c r="AR406" s="71">
        <f>IF($AK406=1,IF(ISNUMBER($Y406),IF(ReportDate-$Y406&gt;StaleDays,1,0),1),0)</f>
        <v>0</v>
      </c>
      <c r="AS406" s="71">
        <f>IF(AND($G406&lt;&gt;"",ISNUMBER($Q406),ISNUMBER($R406)),IF(AND($Q406&lt;$R406,OR($M406="Completed",AND(ISNUMBER($L406),$L406&lt;ReportDate))),1,0),0)</f>
        <v>0</v>
      </c>
      <c r="AT406" s="71">
        <f>IF($AK406=1,IF(OR($L406=ReportDate,$W406=ReportDate,$K406=ReportDate,$A406=ReportDate),1,0),0)</f>
        <v>0</v>
      </c>
      <c r="AU406" s="71">
        <f>IF($AK406=1,IF(OR($L406=ReportDate+1,$W406=ReportDate+1,$K406=ReportDate+1,$A406=ReportDate+1),1,0),0)</f>
        <v>0</v>
      </c>
      <c r="AV406" s="71">
        <f>IF(AND($G406&lt;&gt;"",$M406="Completed"),IF(OR($Y406=ReportDate-1,$A406=ReportDate-1),1,0),0)</f>
        <v>0</v>
      </c>
      <c r="AW406" s="71">
        <f>IF(AND($AK406=1,$Z406="Yes"),1,0)</f>
        <v>0</v>
      </c>
      <c r="AX406" s="71">
        <f>IF(AND($AK406=1,$AA406="Yes"),1,0)</f>
        <v>0</v>
      </c>
      <c r="AY406" s="71">
        <f>IF(AND($AM406=1,OR($I406="Critical",$I406="High")),1,0)</f>
        <v>0</v>
      </c>
      <c r="AZ406" s="71">
        <f>IF(AND($AK406=1,OR($C406=TCL_Client,$C406=MECCA_Client)),1,0)</f>
        <v>0</v>
      </c>
      <c r="BA406" s="71" t="str">
        <f>IF($G406="","",IFERROR(MATCH($I406,lst_Priority,0),5))</f>
        <v/>
      </c>
      <c r="BB406" s="71" t="str">
        <f>IF(AND($AL406=1,$AJ406=1),$BA406*100000+ROW(),"")</f>
        <v/>
      </c>
      <c r="BC406" s="71" t="str">
        <f>IF(AND($AM406=1,$AJ406=1),$BA406*100000+ROW(),"")</f>
        <v/>
      </c>
      <c r="BD406" s="71" t="str">
        <f>IF(AND($AP406=1,$AJ406=1),$BA406*100000+ROW(),"")</f>
        <v/>
      </c>
      <c r="BE406" s="71" t="str">
        <f>IF(AND($AT406=1,$AJ406=1),$BA406*100000+ROW(),"")</f>
        <v/>
      </c>
      <c r="BF406" s="71" t="str">
        <f>IF(AND($AU406=1,$AJ406=1),$BA406*100000+ROW(),"")</f>
        <v/>
      </c>
      <c r="BG406" s="71" t="str">
        <f>IF(AND($AV406=1,$AJ406=1),$BA406*100000+ROW(),"")</f>
        <v/>
      </c>
      <c r="BH406" s="71" t="str">
        <f>IF(AND($AW406=1,$AJ406=1),$BA406*100000+ROW(),"")</f>
        <v/>
      </c>
      <c r="BI406" s="71" t="str">
        <f>IF(AND($AX406=1,$AJ406=1),$BA406*100000+ROW(),"")</f>
        <v/>
      </c>
      <c r="BJ406" s="71" t="str">
        <f>IF(AND($AS406=1,$AJ406=1),$BA406*100000+ROW(),"")</f>
        <v/>
      </c>
      <c r="BK406" s="71" t="str">
        <f>IF(AND($AY406=1,$AJ406=1),$BA406*100000+ROW(),"")</f>
        <v/>
      </c>
      <c r="BL406" s="71" t="str">
        <f>IF(AND($AZ406=1),$BA406*100000+ROW(),"")</f>
        <v/>
      </c>
    </row>
    <row r="407">
      <c r="A407" s="63" t="n"/>
      <c r="B407" s="64" t="n"/>
      <c r="C407" s="64" t="n"/>
      <c r="D407" s="64" t="n"/>
      <c r="E407" s="64" t="n"/>
      <c r="F407" s="64" t="n"/>
      <c r="G407" s="65" t="n"/>
      <c r="H407" s="65" t="n"/>
      <c r="I407" s="64" t="n"/>
      <c r="J407" s="64" t="n"/>
      <c r="K407" s="63" t="n"/>
      <c r="L407" s="63" t="n"/>
      <c r="M407" s="64" t="n"/>
      <c r="N407" s="66" t="n"/>
      <c r="O407" s="65" t="n"/>
      <c r="P407" s="64" t="n"/>
      <c r="Q407" s="67" t="n"/>
      <c r="R407" s="67" t="n"/>
      <c r="S407" s="68" t="str">
        <f>IF(AND(ISNUMBER($Q407),ISNUMBER($R407)),$Q407-$R407,"")</f>
        <v/>
      </c>
      <c r="T407" s="65" t="n"/>
      <c r="U407" s="64" t="n"/>
      <c r="V407" s="65" t="n"/>
      <c r="W407" s="63" t="n"/>
      <c r="X407" s="65" t="n"/>
      <c r="Y407" s="63" t="n"/>
      <c r="Z407" s="64" t="n"/>
      <c r="AA407" s="64" t="n"/>
      <c r="AB407" s="65" t="n"/>
      <c r="AC407" s="69" t="str">
        <f>IF(OR($G407="",NOT(ISNUMBER($K407)),$AK407=0),"",MAX(0,ReportDate-$K407))</f>
        <v/>
      </c>
      <c r="AD407" s="69" t="str">
        <f>IF($G407="","",IF($AL407=1,ReportDate-$L407,0))</f>
        <v/>
      </c>
      <c r="AE407" s="70" t="str">
        <f>IF($G407="","",IF($M407="Completed",1,IF(ISNUMBER($N407),$N407,0)))</f>
        <v/>
      </c>
      <c r="AF407" s="70" t="str">
        <f>IF(AND(ISNUMBER($Q407),ISNUMBER($R407)),IF($R407&lt;&gt;0,$Q407/$R407,""),"")</f>
        <v/>
      </c>
      <c r="AG407" s="71" t="str">
        <f>IF($G407="","",IF($AL407=1,"OVERDUE",IF($AM407=1,"BLOCKED",IF($AN407=1,"DUE TODAY",IF($AO407=1,"DUE TOMORROW",IF($AQ407=1,"HIGH PRIORITY",IF($AR407=1,"NO RECENT UPDATE",""))))))) </f>
        <v/>
      </c>
      <c r="AH407" s="71" t="str">
        <f>IF($G407="","",IF(ISNUMBER($A407),IF(ISNUMBER($A407),YEAR($A407)&amp;"-"&amp;TEXT(MONTH($A407),"00"),""),IF(ISNUMBER($L407),IF(ISNUMBER($L407),YEAR($L407)&amp;"-"&amp;TEXT(MONTH($L407),"00"),""),"")))</f>
        <v/>
      </c>
      <c r="AI407" s="71">
        <f>IF($G407="",0,IF(AND(OR(fClient="All",$C407=fClient),OR(fCampaign="All",$D407=fCampaign),OR(fTeam="All",$B407=fTeam),OR(fChannel="All",$F407=fChannel),OR(fMonth="All",$AH407=fMonth),OR(fTStatus="All",$M407=fTStatus)),1,0))</f>
        <v>0</v>
      </c>
      <c r="AJ407" s="71">
        <f>IF($G407="",0,IF(AND(OR(fClient="All",$C407=fClient),OR(fCampaign="All",$D407=fCampaign),OR(fTeam="All",$B407=fTeam),OR(fChannel="All",$F407=fChannel)),1,0))</f>
        <v>0</v>
      </c>
      <c r="AK407" s="71">
        <f>IF($G407="",0,IF(OR($M407="Completed",$M407="Cancelled"),0,1))</f>
        <v>0</v>
      </c>
      <c r="AL407" s="71">
        <f>IF(AND($AK407=1,ISNUMBER($L407)),IF($L407&lt;ReportDate,1,0),0)</f>
        <v>0</v>
      </c>
      <c r="AM407" s="71">
        <f>IF(AND($G407&lt;&gt;"",$M407="Blocked"),1,0)</f>
        <v>0</v>
      </c>
      <c r="AN407" s="71">
        <f>IF(AND($AK407=1,ISNUMBER($L407)),IF($L407=ReportDate,1,0),0)</f>
        <v>0</v>
      </c>
      <c r="AO407" s="71">
        <f>IF(AND($AK407=1,ISNUMBER($L407)),IF($L407=ReportDate+1,1,0),0)</f>
        <v>0</v>
      </c>
      <c r="AP407" s="71">
        <f>IF(AND($AK407=1,ISNUMBER($L407)),IF(AND($L407&gt;=ReportDate,$L407&lt;=ReportDate+DueSoonDays),1,0),0)</f>
        <v>0</v>
      </c>
      <c r="AQ407" s="71">
        <f>IF(AND($AK407=1,OR($I407="Critical",$I407="High")),1,0)</f>
        <v>0</v>
      </c>
      <c r="AR407" s="71">
        <f>IF($AK407=1,IF(ISNUMBER($Y407),IF(ReportDate-$Y407&gt;StaleDays,1,0),1),0)</f>
        <v>0</v>
      </c>
      <c r="AS407" s="71">
        <f>IF(AND($G407&lt;&gt;"",ISNUMBER($Q407),ISNUMBER($R407)),IF(AND($Q407&lt;$R407,OR($M407="Completed",AND(ISNUMBER($L407),$L407&lt;ReportDate))),1,0),0)</f>
        <v>0</v>
      </c>
      <c r="AT407" s="71">
        <f>IF($AK407=1,IF(OR($L407=ReportDate,$W407=ReportDate,$K407=ReportDate,$A407=ReportDate),1,0),0)</f>
        <v>0</v>
      </c>
      <c r="AU407" s="71">
        <f>IF($AK407=1,IF(OR($L407=ReportDate+1,$W407=ReportDate+1,$K407=ReportDate+1,$A407=ReportDate+1),1,0),0)</f>
        <v>0</v>
      </c>
      <c r="AV407" s="71">
        <f>IF(AND($G407&lt;&gt;"",$M407="Completed"),IF(OR($Y407=ReportDate-1,$A407=ReportDate-1),1,0),0)</f>
        <v>0</v>
      </c>
      <c r="AW407" s="71">
        <f>IF(AND($AK407=1,$Z407="Yes"),1,0)</f>
        <v>0</v>
      </c>
      <c r="AX407" s="71">
        <f>IF(AND($AK407=1,$AA407="Yes"),1,0)</f>
        <v>0</v>
      </c>
      <c r="AY407" s="71">
        <f>IF(AND($AM407=1,OR($I407="Critical",$I407="High")),1,0)</f>
        <v>0</v>
      </c>
      <c r="AZ407" s="71">
        <f>IF(AND($AK407=1,OR($C407=TCL_Client,$C407=MECCA_Client)),1,0)</f>
        <v>0</v>
      </c>
      <c r="BA407" s="71" t="str">
        <f>IF($G407="","",IFERROR(MATCH($I407,lst_Priority,0),5))</f>
        <v/>
      </c>
      <c r="BB407" s="71" t="str">
        <f>IF(AND($AL407=1,$AJ407=1),$BA407*100000+ROW(),"")</f>
        <v/>
      </c>
      <c r="BC407" s="71" t="str">
        <f>IF(AND($AM407=1,$AJ407=1),$BA407*100000+ROW(),"")</f>
        <v/>
      </c>
      <c r="BD407" s="71" t="str">
        <f>IF(AND($AP407=1,$AJ407=1),$BA407*100000+ROW(),"")</f>
        <v/>
      </c>
      <c r="BE407" s="71" t="str">
        <f>IF(AND($AT407=1,$AJ407=1),$BA407*100000+ROW(),"")</f>
        <v/>
      </c>
      <c r="BF407" s="71" t="str">
        <f>IF(AND($AU407=1,$AJ407=1),$BA407*100000+ROW(),"")</f>
        <v/>
      </c>
      <c r="BG407" s="71" t="str">
        <f>IF(AND($AV407=1,$AJ407=1),$BA407*100000+ROW(),"")</f>
        <v/>
      </c>
      <c r="BH407" s="71" t="str">
        <f>IF(AND($AW407=1,$AJ407=1),$BA407*100000+ROW(),"")</f>
        <v/>
      </c>
      <c r="BI407" s="71" t="str">
        <f>IF(AND($AX407=1,$AJ407=1),$BA407*100000+ROW(),"")</f>
        <v/>
      </c>
      <c r="BJ407" s="71" t="str">
        <f>IF(AND($AS407=1,$AJ407=1),$BA407*100000+ROW(),"")</f>
        <v/>
      </c>
      <c r="BK407" s="71" t="str">
        <f>IF(AND($AY407=1,$AJ407=1),$BA407*100000+ROW(),"")</f>
        <v/>
      </c>
      <c r="BL407" s="71" t="str">
        <f>IF(AND($AZ407=1),$BA407*100000+ROW(),"")</f>
        <v/>
      </c>
    </row>
    <row r="408">
      <c r="A408" s="63" t="n"/>
      <c r="B408" s="64" t="n"/>
      <c r="C408" s="64" t="n"/>
      <c r="D408" s="64" t="n"/>
      <c r="E408" s="64" t="n"/>
      <c r="F408" s="64" t="n"/>
      <c r="G408" s="65" t="n"/>
      <c r="H408" s="65" t="n"/>
      <c r="I408" s="64" t="n"/>
      <c r="J408" s="64" t="n"/>
      <c r="K408" s="63" t="n"/>
      <c r="L408" s="63" t="n"/>
      <c r="M408" s="64" t="n"/>
      <c r="N408" s="66" t="n"/>
      <c r="O408" s="65" t="n"/>
      <c r="P408" s="64" t="n"/>
      <c r="Q408" s="67" t="n"/>
      <c r="R408" s="67" t="n"/>
      <c r="S408" s="68" t="str">
        <f>IF(AND(ISNUMBER($Q408),ISNUMBER($R408)),$Q408-$R408,"")</f>
        <v/>
      </c>
      <c r="T408" s="65" t="n"/>
      <c r="U408" s="64" t="n"/>
      <c r="V408" s="65" t="n"/>
      <c r="W408" s="63" t="n"/>
      <c r="X408" s="65" t="n"/>
      <c r="Y408" s="63" t="n"/>
      <c r="Z408" s="64" t="n"/>
      <c r="AA408" s="64" t="n"/>
      <c r="AB408" s="65" t="n"/>
      <c r="AC408" s="69" t="str">
        <f>IF(OR($G408="",NOT(ISNUMBER($K408)),$AK408=0),"",MAX(0,ReportDate-$K408))</f>
        <v/>
      </c>
      <c r="AD408" s="69" t="str">
        <f>IF($G408="","",IF($AL408=1,ReportDate-$L408,0))</f>
        <v/>
      </c>
      <c r="AE408" s="70" t="str">
        <f>IF($G408="","",IF($M408="Completed",1,IF(ISNUMBER($N408),$N408,0)))</f>
        <v/>
      </c>
      <c r="AF408" s="70" t="str">
        <f>IF(AND(ISNUMBER($Q408),ISNUMBER($R408)),IF($R408&lt;&gt;0,$Q408/$R408,""),"")</f>
        <v/>
      </c>
      <c r="AG408" s="71" t="str">
        <f>IF($G408="","",IF($AL408=1,"OVERDUE",IF($AM408=1,"BLOCKED",IF($AN408=1,"DUE TODAY",IF($AO408=1,"DUE TOMORROW",IF($AQ408=1,"HIGH PRIORITY",IF($AR408=1,"NO RECENT UPDATE",""))))))) </f>
        <v/>
      </c>
      <c r="AH408" s="71" t="str">
        <f>IF($G408="","",IF(ISNUMBER($A408),IF(ISNUMBER($A408),YEAR($A408)&amp;"-"&amp;TEXT(MONTH($A408),"00"),""),IF(ISNUMBER($L408),IF(ISNUMBER($L408),YEAR($L408)&amp;"-"&amp;TEXT(MONTH($L408),"00"),""),"")))</f>
        <v/>
      </c>
      <c r="AI408" s="71">
        <f>IF($G408="",0,IF(AND(OR(fClient="All",$C408=fClient),OR(fCampaign="All",$D408=fCampaign),OR(fTeam="All",$B408=fTeam),OR(fChannel="All",$F408=fChannel),OR(fMonth="All",$AH408=fMonth),OR(fTStatus="All",$M408=fTStatus)),1,0))</f>
        <v>0</v>
      </c>
      <c r="AJ408" s="71">
        <f>IF($G408="",0,IF(AND(OR(fClient="All",$C408=fClient),OR(fCampaign="All",$D408=fCampaign),OR(fTeam="All",$B408=fTeam),OR(fChannel="All",$F408=fChannel)),1,0))</f>
        <v>0</v>
      </c>
      <c r="AK408" s="71">
        <f>IF($G408="",0,IF(OR($M408="Completed",$M408="Cancelled"),0,1))</f>
        <v>0</v>
      </c>
      <c r="AL408" s="71">
        <f>IF(AND($AK408=1,ISNUMBER($L408)),IF($L408&lt;ReportDate,1,0),0)</f>
        <v>0</v>
      </c>
      <c r="AM408" s="71">
        <f>IF(AND($G408&lt;&gt;"",$M408="Blocked"),1,0)</f>
        <v>0</v>
      </c>
      <c r="AN408" s="71">
        <f>IF(AND($AK408=1,ISNUMBER($L408)),IF($L408=ReportDate,1,0),0)</f>
        <v>0</v>
      </c>
      <c r="AO408" s="71">
        <f>IF(AND($AK408=1,ISNUMBER($L408)),IF($L408=ReportDate+1,1,0),0)</f>
        <v>0</v>
      </c>
      <c r="AP408" s="71">
        <f>IF(AND($AK408=1,ISNUMBER($L408)),IF(AND($L408&gt;=ReportDate,$L408&lt;=ReportDate+DueSoonDays),1,0),0)</f>
        <v>0</v>
      </c>
      <c r="AQ408" s="71">
        <f>IF(AND($AK408=1,OR($I408="Critical",$I408="High")),1,0)</f>
        <v>0</v>
      </c>
      <c r="AR408" s="71">
        <f>IF($AK408=1,IF(ISNUMBER($Y408),IF(ReportDate-$Y408&gt;StaleDays,1,0),1),0)</f>
        <v>0</v>
      </c>
      <c r="AS408" s="71">
        <f>IF(AND($G408&lt;&gt;"",ISNUMBER($Q408),ISNUMBER($R408)),IF(AND($Q408&lt;$R408,OR($M408="Completed",AND(ISNUMBER($L408),$L408&lt;ReportDate))),1,0),0)</f>
        <v>0</v>
      </c>
      <c r="AT408" s="71">
        <f>IF($AK408=1,IF(OR($L408=ReportDate,$W408=ReportDate,$K408=ReportDate,$A408=ReportDate),1,0),0)</f>
        <v>0</v>
      </c>
      <c r="AU408" s="71">
        <f>IF($AK408=1,IF(OR($L408=ReportDate+1,$W408=ReportDate+1,$K408=ReportDate+1,$A408=ReportDate+1),1,0),0)</f>
        <v>0</v>
      </c>
      <c r="AV408" s="71">
        <f>IF(AND($G408&lt;&gt;"",$M408="Completed"),IF(OR($Y408=ReportDate-1,$A408=ReportDate-1),1,0),0)</f>
        <v>0</v>
      </c>
      <c r="AW408" s="71">
        <f>IF(AND($AK408=1,$Z408="Yes"),1,0)</f>
        <v>0</v>
      </c>
      <c r="AX408" s="71">
        <f>IF(AND($AK408=1,$AA408="Yes"),1,0)</f>
        <v>0</v>
      </c>
      <c r="AY408" s="71">
        <f>IF(AND($AM408=1,OR($I408="Critical",$I408="High")),1,0)</f>
        <v>0</v>
      </c>
      <c r="AZ408" s="71">
        <f>IF(AND($AK408=1,OR($C408=TCL_Client,$C408=MECCA_Client)),1,0)</f>
        <v>0</v>
      </c>
      <c r="BA408" s="71" t="str">
        <f>IF($G408="","",IFERROR(MATCH($I408,lst_Priority,0),5))</f>
        <v/>
      </c>
      <c r="BB408" s="71" t="str">
        <f>IF(AND($AL408=1,$AJ408=1),$BA408*100000+ROW(),"")</f>
        <v/>
      </c>
      <c r="BC408" s="71" t="str">
        <f>IF(AND($AM408=1,$AJ408=1),$BA408*100000+ROW(),"")</f>
        <v/>
      </c>
      <c r="BD408" s="71" t="str">
        <f>IF(AND($AP408=1,$AJ408=1),$BA408*100000+ROW(),"")</f>
        <v/>
      </c>
      <c r="BE408" s="71" t="str">
        <f>IF(AND($AT408=1,$AJ408=1),$BA408*100000+ROW(),"")</f>
        <v/>
      </c>
      <c r="BF408" s="71" t="str">
        <f>IF(AND($AU408=1,$AJ408=1),$BA408*100000+ROW(),"")</f>
        <v/>
      </c>
      <c r="BG408" s="71" t="str">
        <f>IF(AND($AV408=1,$AJ408=1),$BA408*100000+ROW(),"")</f>
        <v/>
      </c>
      <c r="BH408" s="71" t="str">
        <f>IF(AND($AW408=1,$AJ408=1),$BA408*100000+ROW(),"")</f>
        <v/>
      </c>
      <c r="BI408" s="71" t="str">
        <f>IF(AND($AX408=1,$AJ408=1),$BA408*100000+ROW(),"")</f>
        <v/>
      </c>
      <c r="BJ408" s="71" t="str">
        <f>IF(AND($AS408=1,$AJ408=1),$BA408*100000+ROW(),"")</f>
        <v/>
      </c>
      <c r="BK408" s="71" t="str">
        <f>IF(AND($AY408=1,$AJ408=1),$BA408*100000+ROW(),"")</f>
        <v/>
      </c>
      <c r="BL408" s="71" t="str">
        <f>IF(AND($AZ408=1),$BA408*100000+ROW(),"")</f>
        <v/>
      </c>
    </row>
    <row r="409">
      <c r="A409" s="63" t="n"/>
      <c r="B409" s="64" t="n"/>
      <c r="C409" s="64" t="n"/>
      <c r="D409" s="64" t="n"/>
      <c r="E409" s="64" t="n"/>
      <c r="F409" s="64" t="n"/>
      <c r="G409" s="65" t="n"/>
      <c r="H409" s="65" t="n"/>
      <c r="I409" s="64" t="n"/>
      <c r="J409" s="64" t="n"/>
      <c r="K409" s="63" t="n"/>
      <c r="L409" s="63" t="n"/>
      <c r="M409" s="64" t="n"/>
      <c r="N409" s="66" t="n"/>
      <c r="O409" s="65" t="n"/>
      <c r="P409" s="64" t="n"/>
      <c r="Q409" s="67" t="n"/>
      <c r="R409" s="67" t="n"/>
      <c r="S409" s="68" t="str">
        <f>IF(AND(ISNUMBER($Q409),ISNUMBER($R409)),$Q409-$R409,"")</f>
        <v/>
      </c>
      <c r="T409" s="65" t="n"/>
      <c r="U409" s="64" t="n"/>
      <c r="V409" s="65" t="n"/>
      <c r="W409" s="63" t="n"/>
      <c r="X409" s="65" t="n"/>
      <c r="Y409" s="63" t="n"/>
      <c r="Z409" s="64" t="n"/>
      <c r="AA409" s="64" t="n"/>
      <c r="AB409" s="65" t="n"/>
      <c r="AC409" s="69" t="str">
        <f>IF(OR($G409="",NOT(ISNUMBER($K409)),$AK409=0),"",MAX(0,ReportDate-$K409))</f>
        <v/>
      </c>
      <c r="AD409" s="69" t="str">
        <f>IF($G409="","",IF($AL409=1,ReportDate-$L409,0))</f>
        <v/>
      </c>
      <c r="AE409" s="70" t="str">
        <f>IF($G409="","",IF($M409="Completed",1,IF(ISNUMBER($N409),$N409,0)))</f>
        <v/>
      </c>
      <c r="AF409" s="70" t="str">
        <f>IF(AND(ISNUMBER($Q409),ISNUMBER($R409)),IF($R409&lt;&gt;0,$Q409/$R409,""),"")</f>
        <v/>
      </c>
      <c r="AG409" s="71" t="str">
        <f>IF($G409="","",IF($AL409=1,"OVERDUE",IF($AM409=1,"BLOCKED",IF($AN409=1,"DUE TODAY",IF($AO409=1,"DUE TOMORROW",IF($AQ409=1,"HIGH PRIORITY",IF($AR409=1,"NO RECENT UPDATE",""))))))) </f>
        <v/>
      </c>
      <c r="AH409" s="71" t="str">
        <f>IF($G409="","",IF(ISNUMBER($A409),IF(ISNUMBER($A409),YEAR($A409)&amp;"-"&amp;TEXT(MONTH($A409),"00"),""),IF(ISNUMBER($L409),IF(ISNUMBER($L409),YEAR($L409)&amp;"-"&amp;TEXT(MONTH($L409),"00"),""),"")))</f>
        <v/>
      </c>
      <c r="AI409" s="71">
        <f>IF($G409="",0,IF(AND(OR(fClient="All",$C409=fClient),OR(fCampaign="All",$D409=fCampaign),OR(fTeam="All",$B409=fTeam),OR(fChannel="All",$F409=fChannel),OR(fMonth="All",$AH409=fMonth),OR(fTStatus="All",$M409=fTStatus)),1,0))</f>
        <v>0</v>
      </c>
      <c r="AJ409" s="71">
        <f>IF($G409="",0,IF(AND(OR(fClient="All",$C409=fClient),OR(fCampaign="All",$D409=fCampaign),OR(fTeam="All",$B409=fTeam),OR(fChannel="All",$F409=fChannel)),1,0))</f>
        <v>0</v>
      </c>
      <c r="AK409" s="71">
        <f>IF($G409="",0,IF(OR($M409="Completed",$M409="Cancelled"),0,1))</f>
        <v>0</v>
      </c>
      <c r="AL409" s="71">
        <f>IF(AND($AK409=1,ISNUMBER($L409)),IF($L409&lt;ReportDate,1,0),0)</f>
        <v>0</v>
      </c>
      <c r="AM409" s="71">
        <f>IF(AND($G409&lt;&gt;"",$M409="Blocked"),1,0)</f>
        <v>0</v>
      </c>
      <c r="AN409" s="71">
        <f>IF(AND($AK409=1,ISNUMBER($L409)),IF($L409=ReportDate,1,0),0)</f>
        <v>0</v>
      </c>
      <c r="AO409" s="71">
        <f>IF(AND($AK409=1,ISNUMBER($L409)),IF($L409=ReportDate+1,1,0),0)</f>
        <v>0</v>
      </c>
      <c r="AP409" s="71">
        <f>IF(AND($AK409=1,ISNUMBER($L409)),IF(AND($L409&gt;=ReportDate,$L409&lt;=ReportDate+DueSoonDays),1,0),0)</f>
        <v>0</v>
      </c>
      <c r="AQ409" s="71">
        <f>IF(AND($AK409=1,OR($I409="Critical",$I409="High")),1,0)</f>
        <v>0</v>
      </c>
      <c r="AR409" s="71">
        <f>IF($AK409=1,IF(ISNUMBER($Y409),IF(ReportDate-$Y409&gt;StaleDays,1,0),1),0)</f>
        <v>0</v>
      </c>
      <c r="AS409" s="71">
        <f>IF(AND($G409&lt;&gt;"",ISNUMBER($Q409),ISNUMBER($R409)),IF(AND($Q409&lt;$R409,OR($M409="Completed",AND(ISNUMBER($L409),$L409&lt;ReportDate))),1,0),0)</f>
        <v>0</v>
      </c>
      <c r="AT409" s="71">
        <f>IF($AK409=1,IF(OR($L409=ReportDate,$W409=ReportDate,$K409=ReportDate,$A409=ReportDate),1,0),0)</f>
        <v>0</v>
      </c>
      <c r="AU409" s="71">
        <f>IF($AK409=1,IF(OR($L409=ReportDate+1,$W409=ReportDate+1,$K409=ReportDate+1,$A409=ReportDate+1),1,0),0)</f>
        <v>0</v>
      </c>
      <c r="AV409" s="71">
        <f>IF(AND($G409&lt;&gt;"",$M409="Completed"),IF(OR($Y409=ReportDate-1,$A409=ReportDate-1),1,0),0)</f>
        <v>0</v>
      </c>
      <c r="AW409" s="71">
        <f>IF(AND($AK409=1,$Z409="Yes"),1,0)</f>
        <v>0</v>
      </c>
      <c r="AX409" s="71">
        <f>IF(AND($AK409=1,$AA409="Yes"),1,0)</f>
        <v>0</v>
      </c>
      <c r="AY409" s="71">
        <f>IF(AND($AM409=1,OR($I409="Critical",$I409="High")),1,0)</f>
        <v>0</v>
      </c>
      <c r="AZ409" s="71">
        <f>IF(AND($AK409=1,OR($C409=TCL_Client,$C409=MECCA_Client)),1,0)</f>
        <v>0</v>
      </c>
      <c r="BA409" s="71" t="str">
        <f>IF($G409="","",IFERROR(MATCH($I409,lst_Priority,0),5))</f>
        <v/>
      </c>
      <c r="BB409" s="71" t="str">
        <f>IF(AND($AL409=1,$AJ409=1),$BA409*100000+ROW(),"")</f>
        <v/>
      </c>
      <c r="BC409" s="71" t="str">
        <f>IF(AND($AM409=1,$AJ409=1),$BA409*100000+ROW(),"")</f>
        <v/>
      </c>
      <c r="BD409" s="71" t="str">
        <f>IF(AND($AP409=1,$AJ409=1),$BA409*100000+ROW(),"")</f>
        <v/>
      </c>
      <c r="BE409" s="71" t="str">
        <f>IF(AND($AT409=1,$AJ409=1),$BA409*100000+ROW(),"")</f>
        <v/>
      </c>
      <c r="BF409" s="71" t="str">
        <f>IF(AND($AU409=1,$AJ409=1),$BA409*100000+ROW(),"")</f>
        <v/>
      </c>
      <c r="BG409" s="71" t="str">
        <f>IF(AND($AV409=1,$AJ409=1),$BA409*100000+ROW(),"")</f>
        <v/>
      </c>
      <c r="BH409" s="71" t="str">
        <f>IF(AND($AW409=1,$AJ409=1),$BA409*100000+ROW(),"")</f>
        <v/>
      </c>
      <c r="BI409" s="71" t="str">
        <f>IF(AND($AX409=1,$AJ409=1),$BA409*100000+ROW(),"")</f>
        <v/>
      </c>
      <c r="BJ409" s="71" t="str">
        <f>IF(AND($AS409=1,$AJ409=1),$BA409*100000+ROW(),"")</f>
        <v/>
      </c>
      <c r="BK409" s="71" t="str">
        <f>IF(AND($AY409=1,$AJ409=1),$BA409*100000+ROW(),"")</f>
        <v/>
      </c>
      <c r="BL409" s="71" t="str">
        <f>IF(AND($AZ409=1),$BA409*100000+ROW(),"")</f>
        <v/>
      </c>
    </row>
    <row r="410">
      <c r="A410" s="63" t="n"/>
      <c r="B410" s="64" t="n"/>
      <c r="C410" s="64" t="n"/>
      <c r="D410" s="64" t="n"/>
      <c r="E410" s="64" t="n"/>
      <c r="F410" s="64" t="n"/>
      <c r="G410" s="65" t="n"/>
      <c r="H410" s="65" t="n"/>
      <c r="I410" s="64" t="n"/>
      <c r="J410" s="64" t="n"/>
      <c r="K410" s="63" t="n"/>
      <c r="L410" s="63" t="n"/>
      <c r="M410" s="64" t="n"/>
      <c r="N410" s="66" t="n"/>
      <c r="O410" s="65" t="n"/>
      <c r="P410" s="64" t="n"/>
      <c r="Q410" s="67" t="n"/>
      <c r="R410" s="67" t="n"/>
      <c r="S410" s="68" t="str">
        <f>IF(AND(ISNUMBER($Q410),ISNUMBER($R410)),$Q410-$R410,"")</f>
        <v/>
      </c>
      <c r="T410" s="65" t="n"/>
      <c r="U410" s="64" t="n"/>
      <c r="V410" s="65" t="n"/>
      <c r="W410" s="63" t="n"/>
      <c r="X410" s="65" t="n"/>
      <c r="Y410" s="63" t="n"/>
      <c r="Z410" s="64" t="n"/>
      <c r="AA410" s="64" t="n"/>
      <c r="AB410" s="65" t="n"/>
      <c r="AC410" s="69" t="str">
        <f>IF(OR($G410="",NOT(ISNUMBER($K410)),$AK410=0),"",MAX(0,ReportDate-$K410))</f>
        <v/>
      </c>
      <c r="AD410" s="69" t="str">
        <f>IF($G410="","",IF($AL410=1,ReportDate-$L410,0))</f>
        <v/>
      </c>
      <c r="AE410" s="70" t="str">
        <f>IF($G410="","",IF($M410="Completed",1,IF(ISNUMBER($N410),$N410,0)))</f>
        <v/>
      </c>
      <c r="AF410" s="70" t="str">
        <f>IF(AND(ISNUMBER($Q410),ISNUMBER($R410)),IF($R410&lt;&gt;0,$Q410/$R410,""),"")</f>
        <v/>
      </c>
      <c r="AG410" s="71" t="str">
        <f>IF($G410="","",IF($AL410=1,"OVERDUE",IF($AM410=1,"BLOCKED",IF($AN410=1,"DUE TODAY",IF($AO410=1,"DUE TOMORROW",IF($AQ410=1,"HIGH PRIORITY",IF($AR410=1,"NO RECENT UPDATE",""))))))) </f>
        <v/>
      </c>
      <c r="AH410" s="71" t="str">
        <f>IF($G410="","",IF(ISNUMBER($A410),IF(ISNUMBER($A410),YEAR($A410)&amp;"-"&amp;TEXT(MONTH($A410),"00"),""),IF(ISNUMBER($L410),IF(ISNUMBER($L410),YEAR($L410)&amp;"-"&amp;TEXT(MONTH($L410),"00"),""),"")))</f>
        <v/>
      </c>
      <c r="AI410" s="71">
        <f>IF($G410="",0,IF(AND(OR(fClient="All",$C410=fClient),OR(fCampaign="All",$D410=fCampaign),OR(fTeam="All",$B410=fTeam),OR(fChannel="All",$F410=fChannel),OR(fMonth="All",$AH410=fMonth),OR(fTStatus="All",$M410=fTStatus)),1,0))</f>
        <v>0</v>
      </c>
      <c r="AJ410" s="71">
        <f>IF($G410="",0,IF(AND(OR(fClient="All",$C410=fClient),OR(fCampaign="All",$D410=fCampaign),OR(fTeam="All",$B410=fTeam),OR(fChannel="All",$F410=fChannel)),1,0))</f>
        <v>0</v>
      </c>
      <c r="AK410" s="71">
        <f>IF($G410="",0,IF(OR($M410="Completed",$M410="Cancelled"),0,1))</f>
        <v>0</v>
      </c>
      <c r="AL410" s="71">
        <f>IF(AND($AK410=1,ISNUMBER($L410)),IF($L410&lt;ReportDate,1,0),0)</f>
        <v>0</v>
      </c>
      <c r="AM410" s="71">
        <f>IF(AND($G410&lt;&gt;"",$M410="Blocked"),1,0)</f>
        <v>0</v>
      </c>
      <c r="AN410" s="71">
        <f>IF(AND($AK410=1,ISNUMBER($L410)),IF($L410=ReportDate,1,0),0)</f>
        <v>0</v>
      </c>
      <c r="AO410" s="71">
        <f>IF(AND($AK410=1,ISNUMBER($L410)),IF($L410=ReportDate+1,1,0),0)</f>
        <v>0</v>
      </c>
      <c r="AP410" s="71">
        <f>IF(AND($AK410=1,ISNUMBER($L410)),IF(AND($L410&gt;=ReportDate,$L410&lt;=ReportDate+DueSoonDays),1,0),0)</f>
        <v>0</v>
      </c>
      <c r="AQ410" s="71">
        <f>IF(AND($AK410=1,OR($I410="Critical",$I410="High")),1,0)</f>
        <v>0</v>
      </c>
      <c r="AR410" s="71">
        <f>IF($AK410=1,IF(ISNUMBER($Y410),IF(ReportDate-$Y410&gt;StaleDays,1,0),1),0)</f>
        <v>0</v>
      </c>
      <c r="AS410" s="71">
        <f>IF(AND($G410&lt;&gt;"",ISNUMBER($Q410),ISNUMBER($R410)),IF(AND($Q410&lt;$R410,OR($M410="Completed",AND(ISNUMBER($L410),$L410&lt;ReportDate))),1,0),0)</f>
        <v>0</v>
      </c>
      <c r="AT410" s="71">
        <f>IF($AK410=1,IF(OR($L410=ReportDate,$W410=ReportDate,$K410=ReportDate,$A410=ReportDate),1,0),0)</f>
        <v>0</v>
      </c>
      <c r="AU410" s="71">
        <f>IF($AK410=1,IF(OR($L410=ReportDate+1,$W410=ReportDate+1,$K410=ReportDate+1,$A410=ReportDate+1),1,0),0)</f>
        <v>0</v>
      </c>
      <c r="AV410" s="71">
        <f>IF(AND($G410&lt;&gt;"",$M410="Completed"),IF(OR($Y410=ReportDate-1,$A410=ReportDate-1),1,0),0)</f>
        <v>0</v>
      </c>
      <c r="AW410" s="71">
        <f>IF(AND($AK410=1,$Z410="Yes"),1,0)</f>
        <v>0</v>
      </c>
      <c r="AX410" s="71">
        <f>IF(AND($AK410=1,$AA410="Yes"),1,0)</f>
        <v>0</v>
      </c>
      <c r="AY410" s="71">
        <f>IF(AND($AM410=1,OR($I410="Critical",$I410="High")),1,0)</f>
        <v>0</v>
      </c>
      <c r="AZ410" s="71">
        <f>IF(AND($AK410=1,OR($C410=TCL_Client,$C410=MECCA_Client)),1,0)</f>
        <v>0</v>
      </c>
      <c r="BA410" s="71" t="str">
        <f>IF($G410="","",IFERROR(MATCH($I410,lst_Priority,0),5))</f>
        <v/>
      </c>
      <c r="BB410" s="71" t="str">
        <f>IF(AND($AL410=1,$AJ410=1),$BA410*100000+ROW(),"")</f>
        <v/>
      </c>
      <c r="BC410" s="71" t="str">
        <f>IF(AND($AM410=1,$AJ410=1),$BA410*100000+ROW(),"")</f>
        <v/>
      </c>
      <c r="BD410" s="71" t="str">
        <f>IF(AND($AP410=1,$AJ410=1),$BA410*100000+ROW(),"")</f>
        <v/>
      </c>
      <c r="BE410" s="71" t="str">
        <f>IF(AND($AT410=1,$AJ410=1),$BA410*100000+ROW(),"")</f>
        <v/>
      </c>
      <c r="BF410" s="71" t="str">
        <f>IF(AND($AU410=1,$AJ410=1),$BA410*100000+ROW(),"")</f>
        <v/>
      </c>
      <c r="BG410" s="71" t="str">
        <f>IF(AND($AV410=1,$AJ410=1),$BA410*100000+ROW(),"")</f>
        <v/>
      </c>
      <c r="BH410" s="71" t="str">
        <f>IF(AND($AW410=1,$AJ410=1),$BA410*100000+ROW(),"")</f>
        <v/>
      </c>
      <c r="BI410" s="71" t="str">
        <f>IF(AND($AX410=1,$AJ410=1),$BA410*100000+ROW(),"")</f>
        <v/>
      </c>
      <c r="BJ410" s="71" t="str">
        <f>IF(AND($AS410=1,$AJ410=1),$BA410*100000+ROW(),"")</f>
        <v/>
      </c>
      <c r="BK410" s="71" t="str">
        <f>IF(AND($AY410=1,$AJ410=1),$BA410*100000+ROW(),"")</f>
        <v/>
      </c>
      <c r="BL410" s="71" t="str">
        <f>IF(AND($AZ410=1),$BA410*100000+ROW(),"")</f>
        <v/>
      </c>
    </row>
    <row r="411">
      <c r="A411" s="63" t="n"/>
      <c r="B411" s="64" t="n"/>
      <c r="C411" s="64" t="n"/>
      <c r="D411" s="64" t="n"/>
      <c r="E411" s="64" t="n"/>
      <c r="F411" s="64" t="n"/>
      <c r="G411" s="65" t="n"/>
      <c r="H411" s="65" t="n"/>
      <c r="I411" s="64" t="n"/>
      <c r="J411" s="64" t="n"/>
      <c r="K411" s="63" t="n"/>
      <c r="L411" s="63" t="n"/>
      <c r="M411" s="64" t="n"/>
      <c r="N411" s="66" t="n"/>
      <c r="O411" s="65" t="n"/>
      <c r="P411" s="64" t="n"/>
      <c r="Q411" s="67" t="n"/>
      <c r="R411" s="67" t="n"/>
      <c r="S411" s="68" t="str">
        <f>IF(AND(ISNUMBER($Q411),ISNUMBER($R411)),$Q411-$R411,"")</f>
        <v/>
      </c>
      <c r="T411" s="65" t="n"/>
      <c r="U411" s="64" t="n"/>
      <c r="V411" s="65" t="n"/>
      <c r="W411" s="63" t="n"/>
      <c r="X411" s="65" t="n"/>
      <c r="Y411" s="63" t="n"/>
      <c r="Z411" s="64" t="n"/>
      <c r="AA411" s="64" t="n"/>
      <c r="AB411" s="65" t="n"/>
      <c r="AC411" s="69" t="str">
        <f>IF(OR($G411="",NOT(ISNUMBER($K411)),$AK411=0),"",MAX(0,ReportDate-$K411))</f>
        <v/>
      </c>
      <c r="AD411" s="69" t="str">
        <f>IF($G411="","",IF($AL411=1,ReportDate-$L411,0))</f>
        <v/>
      </c>
      <c r="AE411" s="70" t="str">
        <f>IF($G411="","",IF($M411="Completed",1,IF(ISNUMBER($N411),$N411,0)))</f>
        <v/>
      </c>
      <c r="AF411" s="70" t="str">
        <f>IF(AND(ISNUMBER($Q411),ISNUMBER($R411)),IF($R411&lt;&gt;0,$Q411/$R411,""),"")</f>
        <v/>
      </c>
      <c r="AG411" s="71" t="str">
        <f>IF($G411="","",IF($AL411=1,"OVERDUE",IF($AM411=1,"BLOCKED",IF($AN411=1,"DUE TODAY",IF($AO411=1,"DUE TOMORROW",IF($AQ411=1,"HIGH PRIORITY",IF($AR411=1,"NO RECENT UPDATE",""))))))) </f>
        <v/>
      </c>
      <c r="AH411" s="71" t="str">
        <f>IF($G411="","",IF(ISNUMBER($A411),IF(ISNUMBER($A411),YEAR($A411)&amp;"-"&amp;TEXT(MONTH($A411),"00"),""),IF(ISNUMBER($L411),IF(ISNUMBER($L411),YEAR($L411)&amp;"-"&amp;TEXT(MONTH($L411),"00"),""),"")))</f>
        <v/>
      </c>
      <c r="AI411" s="71">
        <f>IF($G411="",0,IF(AND(OR(fClient="All",$C411=fClient),OR(fCampaign="All",$D411=fCampaign),OR(fTeam="All",$B411=fTeam),OR(fChannel="All",$F411=fChannel),OR(fMonth="All",$AH411=fMonth),OR(fTStatus="All",$M411=fTStatus)),1,0))</f>
        <v>0</v>
      </c>
      <c r="AJ411" s="71">
        <f>IF($G411="",0,IF(AND(OR(fClient="All",$C411=fClient),OR(fCampaign="All",$D411=fCampaign),OR(fTeam="All",$B411=fTeam),OR(fChannel="All",$F411=fChannel)),1,0))</f>
        <v>0</v>
      </c>
      <c r="AK411" s="71">
        <f>IF($G411="",0,IF(OR($M411="Completed",$M411="Cancelled"),0,1))</f>
        <v>0</v>
      </c>
      <c r="AL411" s="71">
        <f>IF(AND($AK411=1,ISNUMBER($L411)),IF($L411&lt;ReportDate,1,0),0)</f>
        <v>0</v>
      </c>
      <c r="AM411" s="71">
        <f>IF(AND($G411&lt;&gt;"",$M411="Blocked"),1,0)</f>
        <v>0</v>
      </c>
      <c r="AN411" s="71">
        <f>IF(AND($AK411=1,ISNUMBER($L411)),IF($L411=ReportDate,1,0),0)</f>
        <v>0</v>
      </c>
      <c r="AO411" s="71">
        <f>IF(AND($AK411=1,ISNUMBER($L411)),IF($L411=ReportDate+1,1,0),0)</f>
        <v>0</v>
      </c>
      <c r="AP411" s="71">
        <f>IF(AND($AK411=1,ISNUMBER($L411)),IF(AND($L411&gt;=ReportDate,$L411&lt;=ReportDate+DueSoonDays),1,0),0)</f>
        <v>0</v>
      </c>
      <c r="AQ411" s="71">
        <f>IF(AND($AK411=1,OR($I411="Critical",$I411="High")),1,0)</f>
        <v>0</v>
      </c>
      <c r="AR411" s="71">
        <f>IF($AK411=1,IF(ISNUMBER($Y411),IF(ReportDate-$Y411&gt;StaleDays,1,0),1),0)</f>
        <v>0</v>
      </c>
      <c r="AS411" s="71">
        <f>IF(AND($G411&lt;&gt;"",ISNUMBER($Q411),ISNUMBER($R411)),IF(AND($Q411&lt;$R411,OR($M411="Completed",AND(ISNUMBER($L411),$L411&lt;ReportDate))),1,0),0)</f>
        <v>0</v>
      </c>
      <c r="AT411" s="71">
        <f>IF($AK411=1,IF(OR($L411=ReportDate,$W411=ReportDate,$K411=ReportDate,$A411=ReportDate),1,0),0)</f>
        <v>0</v>
      </c>
      <c r="AU411" s="71">
        <f>IF($AK411=1,IF(OR($L411=ReportDate+1,$W411=ReportDate+1,$K411=ReportDate+1,$A411=ReportDate+1),1,0),0)</f>
        <v>0</v>
      </c>
      <c r="AV411" s="71">
        <f>IF(AND($G411&lt;&gt;"",$M411="Completed"),IF(OR($Y411=ReportDate-1,$A411=ReportDate-1),1,0),0)</f>
        <v>0</v>
      </c>
      <c r="AW411" s="71">
        <f>IF(AND($AK411=1,$Z411="Yes"),1,0)</f>
        <v>0</v>
      </c>
      <c r="AX411" s="71">
        <f>IF(AND($AK411=1,$AA411="Yes"),1,0)</f>
        <v>0</v>
      </c>
      <c r="AY411" s="71">
        <f>IF(AND($AM411=1,OR($I411="Critical",$I411="High")),1,0)</f>
        <v>0</v>
      </c>
      <c r="AZ411" s="71">
        <f>IF(AND($AK411=1,OR($C411=TCL_Client,$C411=MECCA_Client)),1,0)</f>
        <v>0</v>
      </c>
      <c r="BA411" s="71" t="str">
        <f>IF($G411="","",IFERROR(MATCH($I411,lst_Priority,0),5))</f>
        <v/>
      </c>
      <c r="BB411" s="71" t="str">
        <f>IF(AND($AL411=1,$AJ411=1),$BA411*100000+ROW(),"")</f>
        <v/>
      </c>
      <c r="BC411" s="71" t="str">
        <f>IF(AND($AM411=1,$AJ411=1),$BA411*100000+ROW(),"")</f>
        <v/>
      </c>
      <c r="BD411" s="71" t="str">
        <f>IF(AND($AP411=1,$AJ411=1),$BA411*100000+ROW(),"")</f>
        <v/>
      </c>
      <c r="BE411" s="71" t="str">
        <f>IF(AND($AT411=1,$AJ411=1),$BA411*100000+ROW(),"")</f>
        <v/>
      </c>
      <c r="BF411" s="71" t="str">
        <f>IF(AND($AU411=1,$AJ411=1),$BA411*100000+ROW(),"")</f>
        <v/>
      </c>
      <c r="BG411" s="71" t="str">
        <f>IF(AND($AV411=1,$AJ411=1),$BA411*100000+ROW(),"")</f>
        <v/>
      </c>
      <c r="BH411" s="71" t="str">
        <f>IF(AND($AW411=1,$AJ411=1),$BA411*100000+ROW(),"")</f>
        <v/>
      </c>
      <c r="BI411" s="71" t="str">
        <f>IF(AND($AX411=1,$AJ411=1),$BA411*100000+ROW(),"")</f>
        <v/>
      </c>
      <c r="BJ411" s="71" t="str">
        <f>IF(AND($AS411=1,$AJ411=1),$BA411*100000+ROW(),"")</f>
        <v/>
      </c>
      <c r="BK411" s="71" t="str">
        <f>IF(AND($AY411=1,$AJ411=1),$BA411*100000+ROW(),"")</f>
        <v/>
      </c>
      <c r="BL411" s="71" t="str">
        <f>IF(AND($AZ411=1),$BA411*100000+ROW(),"")</f>
        <v/>
      </c>
    </row>
    <row r="412">
      <c r="A412" s="63" t="n"/>
      <c r="B412" s="64" t="n"/>
      <c r="C412" s="64" t="n"/>
      <c r="D412" s="64" t="n"/>
      <c r="E412" s="64" t="n"/>
      <c r="F412" s="64" t="n"/>
      <c r="G412" s="65" t="n"/>
      <c r="H412" s="65" t="n"/>
      <c r="I412" s="64" t="n"/>
      <c r="J412" s="64" t="n"/>
      <c r="K412" s="63" t="n"/>
      <c r="L412" s="63" t="n"/>
      <c r="M412" s="64" t="n"/>
      <c r="N412" s="66" t="n"/>
      <c r="O412" s="65" t="n"/>
      <c r="P412" s="64" t="n"/>
      <c r="Q412" s="67" t="n"/>
      <c r="R412" s="67" t="n"/>
      <c r="S412" s="68" t="str">
        <f>IF(AND(ISNUMBER($Q412),ISNUMBER($R412)),$Q412-$R412,"")</f>
        <v/>
      </c>
      <c r="T412" s="65" t="n"/>
      <c r="U412" s="64" t="n"/>
      <c r="V412" s="65" t="n"/>
      <c r="W412" s="63" t="n"/>
      <c r="X412" s="65" t="n"/>
      <c r="Y412" s="63" t="n"/>
      <c r="Z412" s="64" t="n"/>
      <c r="AA412" s="64" t="n"/>
      <c r="AB412" s="65" t="n"/>
      <c r="AC412" s="69" t="str">
        <f>IF(OR($G412="",NOT(ISNUMBER($K412)),$AK412=0),"",MAX(0,ReportDate-$K412))</f>
        <v/>
      </c>
      <c r="AD412" s="69" t="str">
        <f>IF($G412="","",IF($AL412=1,ReportDate-$L412,0))</f>
        <v/>
      </c>
      <c r="AE412" s="70" t="str">
        <f>IF($G412="","",IF($M412="Completed",1,IF(ISNUMBER($N412),$N412,0)))</f>
        <v/>
      </c>
      <c r="AF412" s="70" t="str">
        <f>IF(AND(ISNUMBER($Q412),ISNUMBER($R412)),IF($R412&lt;&gt;0,$Q412/$R412,""),"")</f>
        <v/>
      </c>
      <c r="AG412" s="71" t="str">
        <f>IF($G412="","",IF($AL412=1,"OVERDUE",IF($AM412=1,"BLOCKED",IF($AN412=1,"DUE TODAY",IF($AO412=1,"DUE TOMORROW",IF($AQ412=1,"HIGH PRIORITY",IF($AR412=1,"NO RECENT UPDATE",""))))))) </f>
        <v/>
      </c>
      <c r="AH412" s="71" t="str">
        <f>IF($G412="","",IF(ISNUMBER($A412),IF(ISNUMBER($A412),YEAR($A412)&amp;"-"&amp;TEXT(MONTH($A412),"00"),""),IF(ISNUMBER($L412),IF(ISNUMBER($L412),YEAR($L412)&amp;"-"&amp;TEXT(MONTH($L412),"00"),""),"")))</f>
        <v/>
      </c>
      <c r="AI412" s="71">
        <f>IF($G412="",0,IF(AND(OR(fClient="All",$C412=fClient),OR(fCampaign="All",$D412=fCampaign),OR(fTeam="All",$B412=fTeam),OR(fChannel="All",$F412=fChannel),OR(fMonth="All",$AH412=fMonth),OR(fTStatus="All",$M412=fTStatus)),1,0))</f>
        <v>0</v>
      </c>
      <c r="AJ412" s="71">
        <f>IF($G412="",0,IF(AND(OR(fClient="All",$C412=fClient),OR(fCampaign="All",$D412=fCampaign),OR(fTeam="All",$B412=fTeam),OR(fChannel="All",$F412=fChannel)),1,0))</f>
        <v>0</v>
      </c>
      <c r="AK412" s="71">
        <f>IF($G412="",0,IF(OR($M412="Completed",$M412="Cancelled"),0,1))</f>
        <v>0</v>
      </c>
      <c r="AL412" s="71">
        <f>IF(AND($AK412=1,ISNUMBER($L412)),IF($L412&lt;ReportDate,1,0),0)</f>
        <v>0</v>
      </c>
      <c r="AM412" s="71">
        <f>IF(AND($G412&lt;&gt;"",$M412="Blocked"),1,0)</f>
        <v>0</v>
      </c>
      <c r="AN412" s="71">
        <f>IF(AND($AK412=1,ISNUMBER($L412)),IF($L412=ReportDate,1,0),0)</f>
        <v>0</v>
      </c>
      <c r="AO412" s="71">
        <f>IF(AND($AK412=1,ISNUMBER($L412)),IF($L412=ReportDate+1,1,0),0)</f>
        <v>0</v>
      </c>
      <c r="AP412" s="71">
        <f>IF(AND($AK412=1,ISNUMBER($L412)),IF(AND($L412&gt;=ReportDate,$L412&lt;=ReportDate+DueSoonDays),1,0),0)</f>
        <v>0</v>
      </c>
      <c r="AQ412" s="71">
        <f>IF(AND($AK412=1,OR($I412="Critical",$I412="High")),1,0)</f>
        <v>0</v>
      </c>
      <c r="AR412" s="71">
        <f>IF($AK412=1,IF(ISNUMBER($Y412),IF(ReportDate-$Y412&gt;StaleDays,1,0),1),0)</f>
        <v>0</v>
      </c>
      <c r="AS412" s="71">
        <f>IF(AND($G412&lt;&gt;"",ISNUMBER($Q412),ISNUMBER($R412)),IF(AND($Q412&lt;$R412,OR($M412="Completed",AND(ISNUMBER($L412),$L412&lt;ReportDate))),1,0),0)</f>
        <v>0</v>
      </c>
      <c r="AT412" s="71">
        <f>IF($AK412=1,IF(OR($L412=ReportDate,$W412=ReportDate,$K412=ReportDate,$A412=ReportDate),1,0),0)</f>
        <v>0</v>
      </c>
      <c r="AU412" s="71">
        <f>IF($AK412=1,IF(OR($L412=ReportDate+1,$W412=ReportDate+1,$K412=ReportDate+1,$A412=ReportDate+1),1,0),0)</f>
        <v>0</v>
      </c>
      <c r="AV412" s="71">
        <f>IF(AND($G412&lt;&gt;"",$M412="Completed"),IF(OR($Y412=ReportDate-1,$A412=ReportDate-1),1,0),0)</f>
        <v>0</v>
      </c>
      <c r="AW412" s="71">
        <f>IF(AND($AK412=1,$Z412="Yes"),1,0)</f>
        <v>0</v>
      </c>
      <c r="AX412" s="71">
        <f>IF(AND($AK412=1,$AA412="Yes"),1,0)</f>
        <v>0</v>
      </c>
      <c r="AY412" s="71">
        <f>IF(AND($AM412=1,OR($I412="Critical",$I412="High")),1,0)</f>
        <v>0</v>
      </c>
      <c r="AZ412" s="71">
        <f>IF(AND($AK412=1,OR($C412=TCL_Client,$C412=MECCA_Client)),1,0)</f>
        <v>0</v>
      </c>
      <c r="BA412" s="71" t="str">
        <f>IF($G412="","",IFERROR(MATCH($I412,lst_Priority,0),5))</f>
        <v/>
      </c>
      <c r="BB412" s="71" t="str">
        <f>IF(AND($AL412=1,$AJ412=1),$BA412*100000+ROW(),"")</f>
        <v/>
      </c>
      <c r="BC412" s="71" t="str">
        <f>IF(AND($AM412=1,$AJ412=1),$BA412*100000+ROW(),"")</f>
        <v/>
      </c>
      <c r="BD412" s="71" t="str">
        <f>IF(AND($AP412=1,$AJ412=1),$BA412*100000+ROW(),"")</f>
        <v/>
      </c>
      <c r="BE412" s="71" t="str">
        <f>IF(AND($AT412=1,$AJ412=1),$BA412*100000+ROW(),"")</f>
        <v/>
      </c>
      <c r="BF412" s="71" t="str">
        <f>IF(AND($AU412=1,$AJ412=1),$BA412*100000+ROW(),"")</f>
        <v/>
      </c>
      <c r="BG412" s="71" t="str">
        <f>IF(AND($AV412=1,$AJ412=1),$BA412*100000+ROW(),"")</f>
        <v/>
      </c>
      <c r="BH412" s="71" t="str">
        <f>IF(AND($AW412=1,$AJ412=1),$BA412*100000+ROW(),"")</f>
        <v/>
      </c>
      <c r="BI412" s="71" t="str">
        <f>IF(AND($AX412=1,$AJ412=1),$BA412*100000+ROW(),"")</f>
        <v/>
      </c>
      <c r="BJ412" s="71" t="str">
        <f>IF(AND($AS412=1,$AJ412=1),$BA412*100000+ROW(),"")</f>
        <v/>
      </c>
      <c r="BK412" s="71" t="str">
        <f>IF(AND($AY412=1,$AJ412=1),$BA412*100000+ROW(),"")</f>
        <v/>
      </c>
      <c r="BL412" s="71" t="str">
        <f>IF(AND($AZ412=1),$BA412*100000+ROW(),"")</f>
        <v/>
      </c>
    </row>
    <row r="413">
      <c r="A413" s="63" t="n"/>
      <c r="B413" s="64" t="n"/>
      <c r="C413" s="64" t="n"/>
      <c r="D413" s="64" t="n"/>
      <c r="E413" s="64" t="n"/>
      <c r="F413" s="64" t="n"/>
      <c r="G413" s="65" t="n"/>
      <c r="H413" s="65" t="n"/>
      <c r="I413" s="64" t="n"/>
      <c r="J413" s="64" t="n"/>
      <c r="K413" s="63" t="n"/>
      <c r="L413" s="63" t="n"/>
      <c r="M413" s="64" t="n"/>
      <c r="N413" s="66" t="n"/>
      <c r="O413" s="65" t="n"/>
      <c r="P413" s="64" t="n"/>
      <c r="Q413" s="67" t="n"/>
      <c r="R413" s="67" t="n"/>
      <c r="S413" s="68" t="str">
        <f>IF(AND(ISNUMBER($Q413),ISNUMBER($R413)),$Q413-$R413,"")</f>
        <v/>
      </c>
      <c r="T413" s="65" t="n"/>
      <c r="U413" s="64" t="n"/>
      <c r="V413" s="65" t="n"/>
      <c r="W413" s="63" t="n"/>
      <c r="X413" s="65" t="n"/>
      <c r="Y413" s="63" t="n"/>
      <c r="Z413" s="64" t="n"/>
      <c r="AA413" s="64" t="n"/>
      <c r="AB413" s="65" t="n"/>
      <c r="AC413" s="69" t="str">
        <f>IF(OR($G413="",NOT(ISNUMBER($K413)),$AK413=0),"",MAX(0,ReportDate-$K413))</f>
        <v/>
      </c>
      <c r="AD413" s="69" t="str">
        <f>IF($G413="","",IF($AL413=1,ReportDate-$L413,0))</f>
        <v/>
      </c>
      <c r="AE413" s="70" t="str">
        <f>IF($G413="","",IF($M413="Completed",1,IF(ISNUMBER($N413),$N413,0)))</f>
        <v/>
      </c>
      <c r="AF413" s="70" t="str">
        <f>IF(AND(ISNUMBER($Q413),ISNUMBER($R413)),IF($R413&lt;&gt;0,$Q413/$R413,""),"")</f>
        <v/>
      </c>
      <c r="AG413" s="71" t="str">
        <f>IF($G413="","",IF($AL413=1,"OVERDUE",IF($AM413=1,"BLOCKED",IF($AN413=1,"DUE TODAY",IF($AO413=1,"DUE TOMORROW",IF($AQ413=1,"HIGH PRIORITY",IF($AR413=1,"NO RECENT UPDATE",""))))))) </f>
        <v/>
      </c>
      <c r="AH413" s="71" t="str">
        <f>IF($G413="","",IF(ISNUMBER($A413),IF(ISNUMBER($A413),YEAR($A413)&amp;"-"&amp;TEXT(MONTH($A413),"00"),""),IF(ISNUMBER($L413),IF(ISNUMBER($L413),YEAR($L413)&amp;"-"&amp;TEXT(MONTH($L413),"00"),""),"")))</f>
        <v/>
      </c>
      <c r="AI413" s="71">
        <f>IF($G413="",0,IF(AND(OR(fClient="All",$C413=fClient),OR(fCampaign="All",$D413=fCampaign),OR(fTeam="All",$B413=fTeam),OR(fChannel="All",$F413=fChannel),OR(fMonth="All",$AH413=fMonth),OR(fTStatus="All",$M413=fTStatus)),1,0))</f>
        <v>0</v>
      </c>
      <c r="AJ413" s="71">
        <f>IF($G413="",0,IF(AND(OR(fClient="All",$C413=fClient),OR(fCampaign="All",$D413=fCampaign),OR(fTeam="All",$B413=fTeam),OR(fChannel="All",$F413=fChannel)),1,0))</f>
        <v>0</v>
      </c>
      <c r="AK413" s="71">
        <f>IF($G413="",0,IF(OR($M413="Completed",$M413="Cancelled"),0,1))</f>
        <v>0</v>
      </c>
      <c r="AL413" s="71">
        <f>IF(AND($AK413=1,ISNUMBER($L413)),IF($L413&lt;ReportDate,1,0),0)</f>
        <v>0</v>
      </c>
      <c r="AM413" s="71">
        <f>IF(AND($G413&lt;&gt;"",$M413="Blocked"),1,0)</f>
        <v>0</v>
      </c>
      <c r="AN413" s="71">
        <f>IF(AND($AK413=1,ISNUMBER($L413)),IF($L413=ReportDate,1,0),0)</f>
        <v>0</v>
      </c>
      <c r="AO413" s="71">
        <f>IF(AND($AK413=1,ISNUMBER($L413)),IF($L413=ReportDate+1,1,0),0)</f>
        <v>0</v>
      </c>
      <c r="AP413" s="71">
        <f>IF(AND($AK413=1,ISNUMBER($L413)),IF(AND($L413&gt;=ReportDate,$L413&lt;=ReportDate+DueSoonDays),1,0),0)</f>
        <v>0</v>
      </c>
      <c r="AQ413" s="71">
        <f>IF(AND($AK413=1,OR($I413="Critical",$I413="High")),1,0)</f>
        <v>0</v>
      </c>
      <c r="AR413" s="71">
        <f>IF($AK413=1,IF(ISNUMBER($Y413),IF(ReportDate-$Y413&gt;StaleDays,1,0),1),0)</f>
        <v>0</v>
      </c>
      <c r="AS413" s="71">
        <f>IF(AND($G413&lt;&gt;"",ISNUMBER($Q413),ISNUMBER($R413)),IF(AND($Q413&lt;$R413,OR($M413="Completed",AND(ISNUMBER($L413),$L413&lt;ReportDate))),1,0),0)</f>
        <v>0</v>
      </c>
      <c r="AT413" s="71">
        <f>IF($AK413=1,IF(OR($L413=ReportDate,$W413=ReportDate,$K413=ReportDate,$A413=ReportDate),1,0),0)</f>
        <v>0</v>
      </c>
      <c r="AU413" s="71">
        <f>IF($AK413=1,IF(OR($L413=ReportDate+1,$W413=ReportDate+1,$K413=ReportDate+1,$A413=ReportDate+1),1,0),0)</f>
        <v>0</v>
      </c>
      <c r="AV413" s="71">
        <f>IF(AND($G413&lt;&gt;"",$M413="Completed"),IF(OR($Y413=ReportDate-1,$A413=ReportDate-1),1,0),0)</f>
        <v>0</v>
      </c>
      <c r="AW413" s="71">
        <f>IF(AND($AK413=1,$Z413="Yes"),1,0)</f>
        <v>0</v>
      </c>
      <c r="AX413" s="71">
        <f>IF(AND($AK413=1,$AA413="Yes"),1,0)</f>
        <v>0</v>
      </c>
      <c r="AY413" s="71">
        <f>IF(AND($AM413=1,OR($I413="Critical",$I413="High")),1,0)</f>
        <v>0</v>
      </c>
      <c r="AZ413" s="71">
        <f>IF(AND($AK413=1,OR($C413=TCL_Client,$C413=MECCA_Client)),1,0)</f>
        <v>0</v>
      </c>
      <c r="BA413" s="71" t="str">
        <f>IF($G413="","",IFERROR(MATCH($I413,lst_Priority,0),5))</f>
        <v/>
      </c>
      <c r="BB413" s="71" t="str">
        <f>IF(AND($AL413=1,$AJ413=1),$BA413*100000+ROW(),"")</f>
        <v/>
      </c>
      <c r="BC413" s="71" t="str">
        <f>IF(AND($AM413=1,$AJ413=1),$BA413*100000+ROW(),"")</f>
        <v/>
      </c>
      <c r="BD413" s="71" t="str">
        <f>IF(AND($AP413=1,$AJ413=1),$BA413*100000+ROW(),"")</f>
        <v/>
      </c>
      <c r="BE413" s="71" t="str">
        <f>IF(AND($AT413=1,$AJ413=1),$BA413*100000+ROW(),"")</f>
        <v/>
      </c>
      <c r="BF413" s="71" t="str">
        <f>IF(AND($AU413=1,$AJ413=1),$BA413*100000+ROW(),"")</f>
        <v/>
      </c>
      <c r="BG413" s="71" t="str">
        <f>IF(AND($AV413=1,$AJ413=1),$BA413*100000+ROW(),"")</f>
        <v/>
      </c>
      <c r="BH413" s="71" t="str">
        <f>IF(AND($AW413=1,$AJ413=1),$BA413*100000+ROW(),"")</f>
        <v/>
      </c>
      <c r="BI413" s="71" t="str">
        <f>IF(AND($AX413=1,$AJ413=1),$BA413*100000+ROW(),"")</f>
        <v/>
      </c>
      <c r="BJ413" s="71" t="str">
        <f>IF(AND($AS413=1,$AJ413=1),$BA413*100000+ROW(),"")</f>
        <v/>
      </c>
      <c r="BK413" s="71" t="str">
        <f>IF(AND($AY413=1,$AJ413=1),$BA413*100000+ROW(),"")</f>
        <v/>
      </c>
      <c r="BL413" s="71" t="str">
        <f>IF(AND($AZ413=1),$BA413*100000+ROW(),"")</f>
        <v/>
      </c>
    </row>
    <row r="414">
      <c r="A414" s="63" t="n"/>
      <c r="B414" s="64" t="n"/>
      <c r="C414" s="64" t="n"/>
      <c r="D414" s="64" t="n"/>
      <c r="E414" s="64" t="n"/>
      <c r="F414" s="64" t="n"/>
      <c r="G414" s="65" t="n"/>
      <c r="H414" s="65" t="n"/>
      <c r="I414" s="64" t="n"/>
      <c r="J414" s="64" t="n"/>
      <c r="K414" s="63" t="n"/>
      <c r="L414" s="63" t="n"/>
      <c r="M414" s="64" t="n"/>
      <c r="N414" s="66" t="n"/>
      <c r="O414" s="65" t="n"/>
      <c r="P414" s="64" t="n"/>
      <c r="Q414" s="67" t="n"/>
      <c r="R414" s="67" t="n"/>
      <c r="S414" s="68" t="str">
        <f>IF(AND(ISNUMBER($Q414),ISNUMBER($R414)),$Q414-$R414,"")</f>
        <v/>
      </c>
      <c r="T414" s="65" t="n"/>
      <c r="U414" s="64" t="n"/>
      <c r="V414" s="65" t="n"/>
      <c r="W414" s="63" t="n"/>
      <c r="X414" s="65" t="n"/>
      <c r="Y414" s="63" t="n"/>
      <c r="Z414" s="64" t="n"/>
      <c r="AA414" s="64" t="n"/>
      <c r="AB414" s="65" t="n"/>
      <c r="AC414" s="69" t="str">
        <f>IF(OR($G414="",NOT(ISNUMBER($K414)),$AK414=0),"",MAX(0,ReportDate-$K414))</f>
        <v/>
      </c>
      <c r="AD414" s="69" t="str">
        <f>IF($G414="","",IF($AL414=1,ReportDate-$L414,0))</f>
        <v/>
      </c>
      <c r="AE414" s="70" t="str">
        <f>IF($G414="","",IF($M414="Completed",1,IF(ISNUMBER($N414),$N414,0)))</f>
        <v/>
      </c>
      <c r="AF414" s="70" t="str">
        <f>IF(AND(ISNUMBER($Q414),ISNUMBER($R414)),IF($R414&lt;&gt;0,$Q414/$R414,""),"")</f>
        <v/>
      </c>
      <c r="AG414" s="71" t="str">
        <f>IF($G414="","",IF($AL414=1,"OVERDUE",IF($AM414=1,"BLOCKED",IF($AN414=1,"DUE TODAY",IF($AO414=1,"DUE TOMORROW",IF($AQ414=1,"HIGH PRIORITY",IF($AR414=1,"NO RECENT UPDATE",""))))))) </f>
        <v/>
      </c>
      <c r="AH414" s="71" t="str">
        <f>IF($G414="","",IF(ISNUMBER($A414),IF(ISNUMBER($A414),YEAR($A414)&amp;"-"&amp;TEXT(MONTH($A414),"00"),""),IF(ISNUMBER($L414),IF(ISNUMBER($L414),YEAR($L414)&amp;"-"&amp;TEXT(MONTH($L414),"00"),""),"")))</f>
        <v/>
      </c>
      <c r="AI414" s="71">
        <f>IF($G414="",0,IF(AND(OR(fClient="All",$C414=fClient),OR(fCampaign="All",$D414=fCampaign),OR(fTeam="All",$B414=fTeam),OR(fChannel="All",$F414=fChannel),OR(fMonth="All",$AH414=fMonth),OR(fTStatus="All",$M414=fTStatus)),1,0))</f>
        <v>0</v>
      </c>
      <c r="AJ414" s="71">
        <f>IF($G414="",0,IF(AND(OR(fClient="All",$C414=fClient),OR(fCampaign="All",$D414=fCampaign),OR(fTeam="All",$B414=fTeam),OR(fChannel="All",$F414=fChannel)),1,0))</f>
        <v>0</v>
      </c>
      <c r="AK414" s="71">
        <f>IF($G414="",0,IF(OR($M414="Completed",$M414="Cancelled"),0,1))</f>
        <v>0</v>
      </c>
      <c r="AL414" s="71">
        <f>IF(AND($AK414=1,ISNUMBER($L414)),IF($L414&lt;ReportDate,1,0),0)</f>
        <v>0</v>
      </c>
      <c r="AM414" s="71">
        <f>IF(AND($G414&lt;&gt;"",$M414="Blocked"),1,0)</f>
        <v>0</v>
      </c>
      <c r="AN414" s="71">
        <f>IF(AND($AK414=1,ISNUMBER($L414)),IF($L414=ReportDate,1,0),0)</f>
        <v>0</v>
      </c>
      <c r="AO414" s="71">
        <f>IF(AND($AK414=1,ISNUMBER($L414)),IF($L414=ReportDate+1,1,0),0)</f>
        <v>0</v>
      </c>
      <c r="AP414" s="71">
        <f>IF(AND($AK414=1,ISNUMBER($L414)),IF(AND($L414&gt;=ReportDate,$L414&lt;=ReportDate+DueSoonDays),1,0),0)</f>
        <v>0</v>
      </c>
      <c r="AQ414" s="71">
        <f>IF(AND($AK414=1,OR($I414="Critical",$I414="High")),1,0)</f>
        <v>0</v>
      </c>
      <c r="AR414" s="71">
        <f>IF($AK414=1,IF(ISNUMBER($Y414),IF(ReportDate-$Y414&gt;StaleDays,1,0),1),0)</f>
        <v>0</v>
      </c>
      <c r="AS414" s="71">
        <f>IF(AND($G414&lt;&gt;"",ISNUMBER($Q414),ISNUMBER($R414)),IF(AND($Q414&lt;$R414,OR($M414="Completed",AND(ISNUMBER($L414),$L414&lt;ReportDate))),1,0),0)</f>
        <v>0</v>
      </c>
      <c r="AT414" s="71">
        <f>IF($AK414=1,IF(OR($L414=ReportDate,$W414=ReportDate,$K414=ReportDate,$A414=ReportDate),1,0),0)</f>
        <v>0</v>
      </c>
      <c r="AU414" s="71">
        <f>IF($AK414=1,IF(OR($L414=ReportDate+1,$W414=ReportDate+1,$K414=ReportDate+1,$A414=ReportDate+1),1,0),0)</f>
        <v>0</v>
      </c>
      <c r="AV414" s="71">
        <f>IF(AND($G414&lt;&gt;"",$M414="Completed"),IF(OR($Y414=ReportDate-1,$A414=ReportDate-1),1,0),0)</f>
        <v>0</v>
      </c>
      <c r="AW414" s="71">
        <f>IF(AND($AK414=1,$Z414="Yes"),1,0)</f>
        <v>0</v>
      </c>
      <c r="AX414" s="71">
        <f>IF(AND($AK414=1,$AA414="Yes"),1,0)</f>
        <v>0</v>
      </c>
      <c r="AY414" s="71">
        <f>IF(AND($AM414=1,OR($I414="Critical",$I414="High")),1,0)</f>
        <v>0</v>
      </c>
      <c r="AZ414" s="71">
        <f>IF(AND($AK414=1,OR($C414=TCL_Client,$C414=MECCA_Client)),1,0)</f>
        <v>0</v>
      </c>
      <c r="BA414" s="71" t="str">
        <f>IF($G414="","",IFERROR(MATCH($I414,lst_Priority,0),5))</f>
        <v/>
      </c>
      <c r="BB414" s="71" t="str">
        <f>IF(AND($AL414=1,$AJ414=1),$BA414*100000+ROW(),"")</f>
        <v/>
      </c>
      <c r="BC414" s="71" t="str">
        <f>IF(AND($AM414=1,$AJ414=1),$BA414*100000+ROW(),"")</f>
        <v/>
      </c>
      <c r="BD414" s="71" t="str">
        <f>IF(AND($AP414=1,$AJ414=1),$BA414*100000+ROW(),"")</f>
        <v/>
      </c>
      <c r="BE414" s="71" t="str">
        <f>IF(AND($AT414=1,$AJ414=1),$BA414*100000+ROW(),"")</f>
        <v/>
      </c>
      <c r="BF414" s="71" t="str">
        <f>IF(AND($AU414=1,$AJ414=1),$BA414*100000+ROW(),"")</f>
        <v/>
      </c>
      <c r="BG414" s="71" t="str">
        <f>IF(AND($AV414=1,$AJ414=1),$BA414*100000+ROW(),"")</f>
        <v/>
      </c>
      <c r="BH414" s="71" t="str">
        <f>IF(AND($AW414=1,$AJ414=1),$BA414*100000+ROW(),"")</f>
        <v/>
      </c>
      <c r="BI414" s="71" t="str">
        <f>IF(AND($AX414=1,$AJ414=1),$BA414*100000+ROW(),"")</f>
        <v/>
      </c>
      <c r="BJ414" s="71" t="str">
        <f>IF(AND($AS414=1,$AJ414=1),$BA414*100000+ROW(),"")</f>
        <v/>
      </c>
      <c r="BK414" s="71" t="str">
        <f>IF(AND($AY414=1,$AJ414=1),$BA414*100000+ROW(),"")</f>
        <v/>
      </c>
      <c r="BL414" s="71" t="str">
        <f>IF(AND($AZ414=1),$BA414*100000+ROW(),"")</f>
        <v/>
      </c>
    </row>
    <row r="415">
      <c r="A415" s="63" t="n"/>
      <c r="B415" s="64" t="n"/>
      <c r="C415" s="64" t="n"/>
      <c r="D415" s="64" t="n"/>
      <c r="E415" s="64" t="n"/>
      <c r="F415" s="64" t="n"/>
      <c r="G415" s="65" t="n"/>
      <c r="H415" s="65" t="n"/>
      <c r="I415" s="64" t="n"/>
      <c r="J415" s="64" t="n"/>
      <c r="K415" s="63" t="n"/>
      <c r="L415" s="63" t="n"/>
      <c r="M415" s="64" t="n"/>
      <c r="N415" s="66" t="n"/>
      <c r="O415" s="65" t="n"/>
      <c r="P415" s="64" t="n"/>
      <c r="Q415" s="67" t="n"/>
      <c r="R415" s="67" t="n"/>
      <c r="S415" s="68" t="str">
        <f>IF(AND(ISNUMBER($Q415),ISNUMBER($R415)),$Q415-$R415,"")</f>
        <v/>
      </c>
      <c r="T415" s="65" t="n"/>
      <c r="U415" s="64" t="n"/>
      <c r="V415" s="65" t="n"/>
      <c r="W415" s="63" t="n"/>
      <c r="X415" s="65" t="n"/>
      <c r="Y415" s="63" t="n"/>
      <c r="Z415" s="64" t="n"/>
      <c r="AA415" s="64" t="n"/>
      <c r="AB415" s="65" t="n"/>
      <c r="AC415" s="69" t="str">
        <f>IF(OR($G415="",NOT(ISNUMBER($K415)),$AK415=0),"",MAX(0,ReportDate-$K415))</f>
        <v/>
      </c>
      <c r="AD415" s="69" t="str">
        <f>IF($G415="","",IF($AL415=1,ReportDate-$L415,0))</f>
        <v/>
      </c>
      <c r="AE415" s="70" t="str">
        <f>IF($G415="","",IF($M415="Completed",1,IF(ISNUMBER($N415),$N415,0)))</f>
        <v/>
      </c>
      <c r="AF415" s="70" t="str">
        <f>IF(AND(ISNUMBER($Q415),ISNUMBER($R415)),IF($R415&lt;&gt;0,$Q415/$R415,""),"")</f>
        <v/>
      </c>
      <c r="AG415" s="71" t="str">
        <f>IF($G415="","",IF($AL415=1,"OVERDUE",IF($AM415=1,"BLOCKED",IF($AN415=1,"DUE TODAY",IF($AO415=1,"DUE TOMORROW",IF($AQ415=1,"HIGH PRIORITY",IF($AR415=1,"NO RECENT UPDATE",""))))))) </f>
        <v/>
      </c>
      <c r="AH415" s="71" t="str">
        <f>IF($G415="","",IF(ISNUMBER($A415),IF(ISNUMBER($A415),YEAR($A415)&amp;"-"&amp;TEXT(MONTH($A415),"00"),""),IF(ISNUMBER($L415),IF(ISNUMBER($L415),YEAR($L415)&amp;"-"&amp;TEXT(MONTH($L415),"00"),""),"")))</f>
        <v/>
      </c>
      <c r="AI415" s="71">
        <f>IF($G415="",0,IF(AND(OR(fClient="All",$C415=fClient),OR(fCampaign="All",$D415=fCampaign),OR(fTeam="All",$B415=fTeam),OR(fChannel="All",$F415=fChannel),OR(fMonth="All",$AH415=fMonth),OR(fTStatus="All",$M415=fTStatus)),1,0))</f>
        <v>0</v>
      </c>
      <c r="AJ415" s="71">
        <f>IF($G415="",0,IF(AND(OR(fClient="All",$C415=fClient),OR(fCampaign="All",$D415=fCampaign),OR(fTeam="All",$B415=fTeam),OR(fChannel="All",$F415=fChannel)),1,0))</f>
        <v>0</v>
      </c>
      <c r="AK415" s="71">
        <f>IF($G415="",0,IF(OR($M415="Completed",$M415="Cancelled"),0,1))</f>
        <v>0</v>
      </c>
      <c r="AL415" s="71">
        <f>IF(AND($AK415=1,ISNUMBER($L415)),IF($L415&lt;ReportDate,1,0),0)</f>
        <v>0</v>
      </c>
      <c r="AM415" s="71">
        <f>IF(AND($G415&lt;&gt;"",$M415="Blocked"),1,0)</f>
        <v>0</v>
      </c>
      <c r="AN415" s="71">
        <f>IF(AND($AK415=1,ISNUMBER($L415)),IF($L415=ReportDate,1,0),0)</f>
        <v>0</v>
      </c>
      <c r="AO415" s="71">
        <f>IF(AND($AK415=1,ISNUMBER($L415)),IF($L415=ReportDate+1,1,0),0)</f>
        <v>0</v>
      </c>
      <c r="AP415" s="71">
        <f>IF(AND($AK415=1,ISNUMBER($L415)),IF(AND($L415&gt;=ReportDate,$L415&lt;=ReportDate+DueSoonDays),1,0),0)</f>
        <v>0</v>
      </c>
      <c r="AQ415" s="71">
        <f>IF(AND($AK415=1,OR($I415="Critical",$I415="High")),1,0)</f>
        <v>0</v>
      </c>
      <c r="AR415" s="71">
        <f>IF($AK415=1,IF(ISNUMBER($Y415),IF(ReportDate-$Y415&gt;StaleDays,1,0),1),0)</f>
        <v>0</v>
      </c>
      <c r="AS415" s="71">
        <f>IF(AND($G415&lt;&gt;"",ISNUMBER($Q415),ISNUMBER($R415)),IF(AND($Q415&lt;$R415,OR($M415="Completed",AND(ISNUMBER($L415),$L415&lt;ReportDate))),1,0),0)</f>
        <v>0</v>
      </c>
      <c r="AT415" s="71">
        <f>IF($AK415=1,IF(OR($L415=ReportDate,$W415=ReportDate,$K415=ReportDate,$A415=ReportDate),1,0),0)</f>
        <v>0</v>
      </c>
      <c r="AU415" s="71">
        <f>IF($AK415=1,IF(OR($L415=ReportDate+1,$W415=ReportDate+1,$K415=ReportDate+1,$A415=ReportDate+1),1,0),0)</f>
        <v>0</v>
      </c>
      <c r="AV415" s="71">
        <f>IF(AND($G415&lt;&gt;"",$M415="Completed"),IF(OR($Y415=ReportDate-1,$A415=ReportDate-1),1,0),0)</f>
        <v>0</v>
      </c>
      <c r="AW415" s="71">
        <f>IF(AND($AK415=1,$Z415="Yes"),1,0)</f>
        <v>0</v>
      </c>
      <c r="AX415" s="71">
        <f>IF(AND($AK415=1,$AA415="Yes"),1,0)</f>
        <v>0</v>
      </c>
      <c r="AY415" s="71">
        <f>IF(AND($AM415=1,OR($I415="Critical",$I415="High")),1,0)</f>
        <v>0</v>
      </c>
      <c r="AZ415" s="71">
        <f>IF(AND($AK415=1,OR($C415=TCL_Client,$C415=MECCA_Client)),1,0)</f>
        <v>0</v>
      </c>
      <c r="BA415" s="71" t="str">
        <f>IF($G415="","",IFERROR(MATCH($I415,lst_Priority,0),5))</f>
        <v/>
      </c>
      <c r="BB415" s="71" t="str">
        <f>IF(AND($AL415=1,$AJ415=1),$BA415*100000+ROW(),"")</f>
        <v/>
      </c>
      <c r="BC415" s="71" t="str">
        <f>IF(AND($AM415=1,$AJ415=1),$BA415*100000+ROW(),"")</f>
        <v/>
      </c>
      <c r="BD415" s="71" t="str">
        <f>IF(AND($AP415=1,$AJ415=1),$BA415*100000+ROW(),"")</f>
        <v/>
      </c>
      <c r="BE415" s="71" t="str">
        <f>IF(AND($AT415=1,$AJ415=1),$BA415*100000+ROW(),"")</f>
        <v/>
      </c>
      <c r="BF415" s="71" t="str">
        <f>IF(AND($AU415=1,$AJ415=1),$BA415*100000+ROW(),"")</f>
        <v/>
      </c>
      <c r="BG415" s="71" t="str">
        <f>IF(AND($AV415=1,$AJ415=1),$BA415*100000+ROW(),"")</f>
        <v/>
      </c>
      <c r="BH415" s="71" t="str">
        <f>IF(AND($AW415=1,$AJ415=1),$BA415*100000+ROW(),"")</f>
        <v/>
      </c>
      <c r="BI415" s="71" t="str">
        <f>IF(AND($AX415=1,$AJ415=1),$BA415*100000+ROW(),"")</f>
        <v/>
      </c>
      <c r="BJ415" s="71" t="str">
        <f>IF(AND($AS415=1,$AJ415=1),$BA415*100000+ROW(),"")</f>
        <v/>
      </c>
      <c r="BK415" s="71" t="str">
        <f>IF(AND($AY415=1,$AJ415=1),$BA415*100000+ROW(),"")</f>
        <v/>
      </c>
      <c r="BL415" s="71" t="str">
        <f>IF(AND($AZ415=1),$BA415*100000+ROW(),"")</f>
        <v/>
      </c>
    </row>
    <row r="416">
      <c r="A416" s="63" t="n"/>
      <c r="B416" s="64" t="n"/>
      <c r="C416" s="64" t="n"/>
      <c r="D416" s="64" t="n"/>
      <c r="E416" s="64" t="n"/>
      <c r="F416" s="64" t="n"/>
      <c r="G416" s="65" t="n"/>
      <c r="H416" s="65" t="n"/>
      <c r="I416" s="64" t="n"/>
      <c r="J416" s="64" t="n"/>
      <c r="K416" s="63" t="n"/>
      <c r="L416" s="63" t="n"/>
      <c r="M416" s="64" t="n"/>
      <c r="N416" s="66" t="n"/>
      <c r="O416" s="65" t="n"/>
      <c r="P416" s="64" t="n"/>
      <c r="Q416" s="67" t="n"/>
      <c r="R416" s="67" t="n"/>
      <c r="S416" s="68" t="str">
        <f>IF(AND(ISNUMBER($Q416),ISNUMBER($R416)),$Q416-$R416,"")</f>
        <v/>
      </c>
      <c r="T416" s="65" t="n"/>
      <c r="U416" s="64" t="n"/>
      <c r="V416" s="65" t="n"/>
      <c r="W416" s="63" t="n"/>
      <c r="X416" s="65" t="n"/>
      <c r="Y416" s="63" t="n"/>
      <c r="Z416" s="64" t="n"/>
      <c r="AA416" s="64" t="n"/>
      <c r="AB416" s="65" t="n"/>
      <c r="AC416" s="69" t="str">
        <f>IF(OR($G416="",NOT(ISNUMBER($K416)),$AK416=0),"",MAX(0,ReportDate-$K416))</f>
        <v/>
      </c>
      <c r="AD416" s="69" t="str">
        <f>IF($G416="","",IF($AL416=1,ReportDate-$L416,0))</f>
        <v/>
      </c>
      <c r="AE416" s="70" t="str">
        <f>IF($G416="","",IF($M416="Completed",1,IF(ISNUMBER($N416),$N416,0)))</f>
        <v/>
      </c>
      <c r="AF416" s="70" t="str">
        <f>IF(AND(ISNUMBER($Q416),ISNUMBER($R416)),IF($R416&lt;&gt;0,$Q416/$R416,""),"")</f>
        <v/>
      </c>
      <c r="AG416" s="71" t="str">
        <f>IF($G416="","",IF($AL416=1,"OVERDUE",IF($AM416=1,"BLOCKED",IF($AN416=1,"DUE TODAY",IF($AO416=1,"DUE TOMORROW",IF($AQ416=1,"HIGH PRIORITY",IF($AR416=1,"NO RECENT UPDATE",""))))))) </f>
        <v/>
      </c>
      <c r="AH416" s="71" t="str">
        <f>IF($G416="","",IF(ISNUMBER($A416),IF(ISNUMBER($A416),YEAR($A416)&amp;"-"&amp;TEXT(MONTH($A416),"00"),""),IF(ISNUMBER($L416),IF(ISNUMBER($L416),YEAR($L416)&amp;"-"&amp;TEXT(MONTH($L416),"00"),""),"")))</f>
        <v/>
      </c>
      <c r="AI416" s="71">
        <f>IF($G416="",0,IF(AND(OR(fClient="All",$C416=fClient),OR(fCampaign="All",$D416=fCampaign),OR(fTeam="All",$B416=fTeam),OR(fChannel="All",$F416=fChannel),OR(fMonth="All",$AH416=fMonth),OR(fTStatus="All",$M416=fTStatus)),1,0))</f>
        <v>0</v>
      </c>
      <c r="AJ416" s="71">
        <f>IF($G416="",0,IF(AND(OR(fClient="All",$C416=fClient),OR(fCampaign="All",$D416=fCampaign),OR(fTeam="All",$B416=fTeam),OR(fChannel="All",$F416=fChannel)),1,0))</f>
        <v>0</v>
      </c>
      <c r="AK416" s="71">
        <f>IF($G416="",0,IF(OR($M416="Completed",$M416="Cancelled"),0,1))</f>
        <v>0</v>
      </c>
      <c r="AL416" s="71">
        <f>IF(AND($AK416=1,ISNUMBER($L416)),IF($L416&lt;ReportDate,1,0),0)</f>
        <v>0</v>
      </c>
      <c r="AM416" s="71">
        <f>IF(AND($G416&lt;&gt;"",$M416="Blocked"),1,0)</f>
        <v>0</v>
      </c>
      <c r="AN416" s="71">
        <f>IF(AND($AK416=1,ISNUMBER($L416)),IF($L416=ReportDate,1,0),0)</f>
        <v>0</v>
      </c>
      <c r="AO416" s="71">
        <f>IF(AND($AK416=1,ISNUMBER($L416)),IF($L416=ReportDate+1,1,0),0)</f>
        <v>0</v>
      </c>
      <c r="AP416" s="71">
        <f>IF(AND($AK416=1,ISNUMBER($L416)),IF(AND($L416&gt;=ReportDate,$L416&lt;=ReportDate+DueSoonDays),1,0),0)</f>
        <v>0</v>
      </c>
      <c r="AQ416" s="71">
        <f>IF(AND($AK416=1,OR($I416="Critical",$I416="High")),1,0)</f>
        <v>0</v>
      </c>
      <c r="AR416" s="71">
        <f>IF($AK416=1,IF(ISNUMBER($Y416),IF(ReportDate-$Y416&gt;StaleDays,1,0),1),0)</f>
        <v>0</v>
      </c>
      <c r="AS416" s="71">
        <f>IF(AND($G416&lt;&gt;"",ISNUMBER($Q416),ISNUMBER($R416)),IF(AND($Q416&lt;$R416,OR($M416="Completed",AND(ISNUMBER($L416),$L416&lt;ReportDate))),1,0),0)</f>
        <v>0</v>
      </c>
      <c r="AT416" s="71">
        <f>IF($AK416=1,IF(OR($L416=ReportDate,$W416=ReportDate,$K416=ReportDate,$A416=ReportDate),1,0),0)</f>
        <v>0</v>
      </c>
      <c r="AU416" s="71">
        <f>IF($AK416=1,IF(OR($L416=ReportDate+1,$W416=ReportDate+1,$K416=ReportDate+1,$A416=ReportDate+1),1,0),0)</f>
        <v>0</v>
      </c>
      <c r="AV416" s="71">
        <f>IF(AND($G416&lt;&gt;"",$M416="Completed"),IF(OR($Y416=ReportDate-1,$A416=ReportDate-1),1,0),0)</f>
        <v>0</v>
      </c>
      <c r="AW416" s="71">
        <f>IF(AND($AK416=1,$Z416="Yes"),1,0)</f>
        <v>0</v>
      </c>
      <c r="AX416" s="71">
        <f>IF(AND($AK416=1,$AA416="Yes"),1,0)</f>
        <v>0</v>
      </c>
      <c r="AY416" s="71">
        <f>IF(AND($AM416=1,OR($I416="Critical",$I416="High")),1,0)</f>
        <v>0</v>
      </c>
      <c r="AZ416" s="71">
        <f>IF(AND($AK416=1,OR($C416=TCL_Client,$C416=MECCA_Client)),1,0)</f>
        <v>0</v>
      </c>
      <c r="BA416" s="71" t="str">
        <f>IF($G416="","",IFERROR(MATCH($I416,lst_Priority,0),5))</f>
        <v/>
      </c>
      <c r="BB416" s="71" t="str">
        <f>IF(AND($AL416=1,$AJ416=1),$BA416*100000+ROW(),"")</f>
        <v/>
      </c>
      <c r="BC416" s="71" t="str">
        <f>IF(AND($AM416=1,$AJ416=1),$BA416*100000+ROW(),"")</f>
        <v/>
      </c>
      <c r="BD416" s="71" t="str">
        <f>IF(AND($AP416=1,$AJ416=1),$BA416*100000+ROW(),"")</f>
        <v/>
      </c>
      <c r="BE416" s="71" t="str">
        <f>IF(AND($AT416=1,$AJ416=1),$BA416*100000+ROW(),"")</f>
        <v/>
      </c>
      <c r="BF416" s="71" t="str">
        <f>IF(AND($AU416=1,$AJ416=1),$BA416*100000+ROW(),"")</f>
        <v/>
      </c>
      <c r="BG416" s="71" t="str">
        <f>IF(AND($AV416=1,$AJ416=1),$BA416*100000+ROW(),"")</f>
        <v/>
      </c>
      <c r="BH416" s="71" t="str">
        <f>IF(AND($AW416=1,$AJ416=1),$BA416*100000+ROW(),"")</f>
        <v/>
      </c>
      <c r="BI416" s="71" t="str">
        <f>IF(AND($AX416=1,$AJ416=1),$BA416*100000+ROW(),"")</f>
        <v/>
      </c>
      <c r="BJ416" s="71" t="str">
        <f>IF(AND($AS416=1,$AJ416=1),$BA416*100000+ROW(),"")</f>
        <v/>
      </c>
      <c r="BK416" s="71" t="str">
        <f>IF(AND($AY416=1,$AJ416=1),$BA416*100000+ROW(),"")</f>
        <v/>
      </c>
      <c r="BL416" s="71" t="str">
        <f>IF(AND($AZ416=1),$BA416*100000+ROW(),"")</f>
        <v/>
      </c>
    </row>
    <row r="417">
      <c r="A417" s="63" t="n"/>
      <c r="B417" s="64" t="n"/>
      <c r="C417" s="64" t="n"/>
      <c r="D417" s="64" t="n"/>
      <c r="E417" s="64" t="n"/>
      <c r="F417" s="64" t="n"/>
      <c r="G417" s="65" t="n"/>
      <c r="H417" s="65" t="n"/>
      <c r="I417" s="64" t="n"/>
      <c r="J417" s="64" t="n"/>
      <c r="K417" s="63" t="n"/>
      <c r="L417" s="63" t="n"/>
      <c r="M417" s="64" t="n"/>
      <c r="N417" s="66" t="n"/>
      <c r="O417" s="65" t="n"/>
      <c r="P417" s="64" t="n"/>
      <c r="Q417" s="67" t="n"/>
      <c r="R417" s="67" t="n"/>
      <c r="S417" s="68" t="str">
        <f>IF(AND(ISNUMBER($Q417),ISNUMBER($R417)),$Q417-$R417,"")</f>
        <v/>
      </c>
      <c r="T417" s="65" t="n"/>
      <c r="U417" s="64" t="n"/>
      <c r="V417" s="65" t="n"/>
      <c r="W417" s="63" t="n"/>
      <c r="X417" s="65" t="n"/>
      <c r="Y417" s="63" t="n"/>
      <c r="Z417" s="64" t="n"/>
      <c r="AA417" s="64" t="n"/>
      <c r="AB417" s="65" t="n"/>
      <c r="AC417" s="69" t="str">
        <f>IF(OR($G417="",NOT(ISNUMBER($K417)),$AK417=0),"",MAX(0,ReportDate-$K417))</f>
        <v/>
      </c>
      <c r="AD417" s="69" t="str">
        <f>IF($G417="","",IF($AL417=1,ReportDate-$L417,0))</f>
        <v/>
      </c>
      <c r="AE417" s="70" t="str">
        <f>IF($G417="","",IF($M417="Completed",1,IF(ISNUMBER($N417),$N417,0)))</f>
        <v/>
      </c>
      <c r="AF417" s="70" t="str">
        <f>IF(AND(ISNUMBER($Q417),ISNUMBER($R417)),IF($R417&lt;&gt;0,$Q417/$R417,""),"")</f>
        <v/>
      </c>
      <c r="AG417" s="71" t="str">
        <f>IF($G417="","",IF($AL417=1,"OVERDUE",IF($AM417=1,"BLOCKED",IF($AN417=1,"DUE TODAY",IF($AO417=1,"DUE TOMORROW",IF($AQ417=1,"HIGH PRIORITY",IF($AR417=1,"NO RECENT UPDATE",""))))))) </f>
        <v/>
      </c>
      <c r="AH417" s="71" t="str">
        <f>IF($G417="","",IF(ISNUMBER($A417),IF(ISNUMBER($A417),YEAR($A417)&amp;"-"&amp;TEXT(MONTH($A417),"00"),""),IF(ISNUMBER($L417),IF(ISNUMBER($L417),YEAR($L417)&amp;"-"&amp;TEXT(MONTH($L417),"00"),""),"")))</f>
        <v/>
      </c>
      <c r="AI417" s="71">
        <f>IF($G417="",0,IF(AND(OR(fClient="All",$C417=fClient),OR(fCampaign="All",$D417=fCampaign),OR(fTeam="All",$B417=fTeam),OR(fChannel="All",$F417=fChannel),OR(fMonth="All",$AH417=fMonth),OR(fTStatus="All",$M417=fTStatus)),1,0))</f>
        <v>0</v>
      </c>
      <c r="AJ417" s="71">
        <f>IF($G417="",0,IF(AND(OR(fClient="All",$C417=fClient),OR(fCampaign="All",$D417=fCampaign),OR(fTeam="All",$B417=fTeam),OR(fChannel="All",$F417=fChannel)),1,0))</f>
        <v>0</v>
      </c>
      <c r="AK417" s="71">
        <f>IF($G417="",0,IF(OR($M417="Completed",$M417="Cancelled"),0,1))</f>
        <v>0</v>
      </c>
      <c r="AL417" s="71">
        <f>IF(AND($AK417=1,ISNUMBER($L417)),IF($L417&lt;ReportDate,1,0),0)</f>
        <v>0</v>
      </c>
      <c r="AM417" s="71">
        <f>IF(AND($G417&lt;&gt;"",$M417="Blocked"),1,0)</f>
        <v>0</v>
      </c>
      <c r="AN417" s="71">
        <f>IF(AND($AK417=1,ISNUMBER($L417)),IF($L417=ReportDate,1,0),0)</f>
        <v>0</v>
      </c>
      <c r="AO417" s="71">
        <f>IF(AND($AK417=1,ISNUMBER($L417)),IF($L417=ReportDate+1,1,0),0)</f>
        <v>0</v>
      </c>
      <c r="AP417" s="71">
        <f>IF(AND($AK417=1,ISNUMBER($L417)),IF(AND($L417&gt;=ReportDate,$L417&lt;=ReportDate+DueSoonDays),1,0),0)</f>
        <v>0</v>
      </c>
      <c r="AQ417" s="71">
        <f>IF(AND($AK417=1,OR($I417="Critical",$I417="High")),1,0)</f>
        <v>0</v>
      </c>
      <c r="AR417" s="71">
        <f>IF($AK417=1,IF(ISNUMBER($Y417),IF(ReportDate-$Y417&gt;StaleDays,1,0),1),0)</f>
        <v>0</v>
      </c>
      <c r="AS417" s="71">
        <f>IF(AND($G417&lt;&gt;"",ISNUMBER($Q417),ISNUMBER($R417)),IF(AND($Q417&lt;$R417,OR($M417="Completed",AND(ISNUMBER($L417),$L417&lt;ReportDate))),1,0),0)</f>
        <v>0</v>
      </c>
      <c r="AT417" s="71">
        <f>IF($AK417=1,IF(OR($L417=ReportDate,$W417=ReportDate,$K417=ReportDate,$A417=ReportDate),1,0),0)</f>
        <v>0</v>
      </c>
      <c r="AU417" s="71">
        <f>IF($AK417=1,IF(OR($L417=ReportDate+1,$W417=ReportDate+1,$K417=ReportDate+1,$A417=ReportDate+1),1,0),0)</f>
        <v>0</v>
      </c>
      <c r="AV417" s="71">
        <f>IF(AND($G417&lt;&gt;"",$M417="Completed"),IF(OR($Y417=ReportDate-1,$A417=ReportDate-1),1,0),0)</f>
        <v>0</v>
      </c>
      <c r="AW417" s="71">
        <f>IF(AND($AK417=1,$Z417="Yes"),1,0)</f>
        <v>0</v>
      </c>
      <c r="AX417" s="71">
        <f>IF(AND($AK417=1,$AA417="Yes"),1,0)</f>
        <v>0</v>
      </c>
      <c r="AY417" s="71">
        <f>IF(AND($AM417=1,OR($I417="Critical",$I417="High")),1,0)</f>
        <v>0</v>
      </c>
      <c r="AZ417" s="71">
        <f>IF(AND($AK417=1,OR($C417=TCL_Client,$C417=MECCA_Client)),1,0)</f>
        <v>0</v>
      </c>
      <c r="BA417" s="71" t="str">
        <f>IF($G417="","",IFERROR(MATCH($I417,lst_Priority,0),5))</f>
        <v/>
      </c>
      <c r="BB417" s="71" t="str">
        <f>IF(AND($AL417=1,$AJ417=1),$BA417*100000+ROW(),"")</f>
        <v/>
      </c>
      <c r="BC417" s="71" t="str">
        <f>IF(AND($AM417=1,$AJ417=1),$BA417*100000+ROW(),"")</f>
        <v/>
      </c>
      <c r="BD417" s="71" t="str">
        <f>IF(AND($AP417=1,$AJ417=1),$BA417*100000+ROW(),"")</f>
        <v/>
      </c>
      <c r="BE417" s="71" t="str">
        <f>IF(AND($AT417=1,$AJ417=1),$BA417*100000+ROW(),"")</f>
        <v/>
      </c>
      <c r="BF417" s="71" t="str">
        <f>IF(AND($AU417=1,$AJ417=1),$BA417*100000+ROW(),"")</f>
        <v/>
      </c>
      <c r="BG417" s="71" t="str">
        <f>IF(AND($AV417=1,$AJ417=1),$BA417*100000+ROW(),"")</f>
        <v/>
      </c>
      <c r="BH417" s="71" t="str">
        <f>IF(AND($AW417=1,$AJ417=1),$BA417*100000+ROW(),"")</f>
        <v/>
      </c>
      <c r="BI417" s="71" t="str">
        <f>IF(AND($AX417=1,$AJ417=1),$BA417*100000+ROW(),"")</f>
        <v/>
      </c>
      <c r="BJ417" s="71" t="str">
        <f>IF(AND($AS417=1,$AJ417=1),$BA417*100000+ROW(),"")</f>
        <v/>
      </c>
      <c r="BK417" s="71" t="str">
        <f>IF(AND($AY417=1,$AJ417=1),$BA417*100000+ROW(),"")</f>
        <v/>
      </c>
      <c r="BL417" s="71" t="str">
        <f>IF(AND($AZ417=1),$BA417*100000+ROW(),"")</f>
        <v/>
      </c>
    </row>
    <row r="418">
      <c r="A418" s="63" t="n"/>
      <c r="B418" s="64" t="n"/>
      <c r="C418" s="64" t="n"/>
      <c r="D418" s="64" t="n"/>
      <c r="E418" s="64" t="n"/>
      <c r="F418" s="64" t="n"/>
      <c r="G418" s="65" t="n"/>
      <c r="H418" s="65" t="n"/>
      <c r="I418" s="64" t="n"/>
      <c r="J418" s="64" t="n"/>
      <c r="K418" s="63" t="n"/>
      <c r="L418" s="63" t="n"/>
      <c r="M418" s="64" t="n"/>
      <c r="N418" s="66" t="n"/>
      <c r="O418" s="65" t="n"/>
      <c r="P418" s="64" t="n"/>
      <c r="Q418" s="67" t="n"/>
      <c r="R418" s="67" t="n"/>
      <c r="S418" s="68" t="str">
        <f>IF(AND(ISNUMBER($Q418),ISNUMBER($R418)),$Q418-$R418,"")</f>
        <v/>
      </c>
      <c r="T418" s="65" t="n"/>
      <c r="U418" s="64" t="n"/>
      <c r="V418" s="65" t="n"/>
      <c r="W418" s="63" t="n"/>
      <c r="X418" s="65" t="n"/>
      <c r="Y418" s="63" t="n"/>
      <c r="Z418" s="64" t="n"/>
      <c r="AA418" s="64" t="n"/>
      <c r="AB418" s="65" t="n"/>
      <c r="AC418" s="69" t="str">
        <f>IF(OR($G418="",NOT(ISNUMBER($K418)),$AK418=0),"",MAX(0,ReportDate-$K418))</f>
        <v/>
      </c>
      <c r="AD418" s="69" t="str">
        <f>IF($G418="","",IF($AL418=1,ReportDate-$L418,0))</f>
        <v/>
      </c>
      <c r="AE418" s="70" t="str">
        <f>IF($G418="","",IF($M418="Completed",1,IF(ISNUMBER($N418),$N418,0)))</f>
        <v/>
      </c>
      <c r="AF418" s="70" t="str">
        <f>IF(AND(ISNUMBER($Q418),ISNUMBER($R418)),IF($R418&lt;&gt;0,$Q418/$R418,""),"")</f>
        <v/>
      </c>
      <c r="AG418" s="71" t="str">
        <f>IF($G418="","",IF($AL418=1,"OVERDUE",IF($AM418=1,"BLOCKED",IF($AN418=1,"DUE TODAY",IF($AO418=1,"DUE TOMORROW",IF($AQ418=1,"HIGH PRIORITY",IF($AR418=1,"NO RECENT UPDATE",""))))))) </f>
        <v/>
      </c>
      <c r="AH418" s="71" t="str">
        <f>IF($G418="","",IF(ISNUMBER($A418),IF(ISNUMBER($A418),YEAR($A418)&amp;"-"&amp;TEXT(MONTH($A418),"00"),""),IF(ISNUMBER($L418),IF(ISNUMBER($L418),YEAR($L418)&amp;"-"&amp;TEXT(MONTH($L418),"00"),""),"")))</f>
        <v/>
      </c>
      <c r="AI418" s="71">
        <f>IF($G418="",0,IF(AND(OR(fClient="All",$C418=fClient),OR(fCampaign="All",$D418=fCampaign),OR(fTeam="All",$B418=fTeam),OR(fChannel="All",$F418=fChannel),OR(fMonth="All",$AH418=fMonth),OR(fTStatus="All",$M418=fTStatus)),1,0))</f>
        <v>0</v>
      </c>
      <c r="AJ418" s="71">
        <f>IF($G418="",0,IF(AND(OR(fClient="All",$C418=fClient),OR(fCampaign="All",$D418=fCampaign),OR(fTeam="All",$B418=fTeam),OR(fChannel="All",$F418=fChannel)),1,0))</f>
        <v>0</v>
      </c>
      <c r="AK418" s="71">
        <f>IF($G418="",0,IF(OR($M418="Completed",$M418="Cancelled"),0,1))</f>
        <v>0</v>
      </c>
      <c r="AL418" s="71">
        <f>IF(AND($AK418=1,ISNUMBER($L418)),IF($L418&lt;ReportDate,1,0),0)</f>
        <v>0</v>
      </c>
      <c r="AM418" s="71">
        <f>IF(AND($G418&lt;&gt;"",$M418="Blocked"),1,0)</f>
        <v>0</v>
      </c>
      <c r="AN418" s="71">
        <f>IF(AND($AK418=1,ISNUMBER($L418)),IF($L418=ReportDate,1,0),0)</f>
        <v>0</v>
      </c>
      <c r="AO418" s="71">
        <f>IF(AND($AK418=1,ISNUMBER($L418)),IF($L418=ReportDate+1,1,0),0)</f>
        <v>0</v>
      </c>
      <c r="AP418" s="71">
        <f>IF(AND($AK418=1,ISNUMBER($L418)),IF(AND($L418&gt;=ReportDate,$L418&lt;=ReportDate+DueSoonDays),1,0),0)</f>
        <v>0</v>
      </c>
      <c r="AQ418" s="71">
        <f>IF(AND($AK418=1,OR($I418="Critical",$I418="High")),1,0)</f>
        <v>0</v>
      </c>
      <c r="AR418" s="71">
        <f>IF($AK418=1,IF(ISNUMBER($Y418),IF(ReportDate-$Y418&gt;StaleDays,1,0),1),0)</f>
        <v>0</v>
      </c>
      <c r="AS418" s="71">
        <f>IF(AND($G418&lt;&gt;"",ISNUMBER($Q418),ISNUMBER($R418)),IF(AND($Q418&lt;$R418,OR($M418="Completed",AND(ISNUMBER($L418),$L418&lt;ReportDate))),1,0),0)</f>
        <v>0</v>
      </c>
      <c r="AT418" s="71">
        <f>IF($AK418=1,IF(OR($L418=ReportDate,$W418=ReportDate,$K418=ReportDate,$A418=ReportDate),1,0),0)</f>
        <v>0</v>
      </c>
      <c r="AU418" s="71">
        <f>IF($AK418=1,IF(OR($L418=ReportDate+1,$W418=ReportDate+1,$K418=ReportDate+1,$A418=ReportDate+1),1,0),0)</f>
        <v>0</v>
      </c>
      <c r="AV418" s="71">
        <f>IF(AND($G418&lt;&gt;"",$M418="Completed"),IF(OR($Y418=ReportDate-1,$A418=ReportDate-1),1,0),0)</f>
        <v>0</v>
      </c>
      <c r="AW418" s="71">
        <f>IF(AND($AK418=1,$Z418="Yes"),1,0)</f>
        <v>0</v>
      </c>
      <c r="AX418" s="71">
        <f>IF(AND($AK418=1,$AA418="Yes"),1,0)</f>
        <v>0</v>
      </c>
      <c r="AY418" s="71">
        <f>IF(AND($AM418=1,OR($I418="Critical",$I418="High")),1,0)</f>
        <v>0</v>
      </c>
      <c r="AZ418" s="71">
        <f>IF(AND($AK418=1,OR($C418=TCL_Client,$C418=MECCA_Client)),1,0)</f>
        <v>0</v>
      </c>
      <c r="BA418" s="71" t="str">
        <f>IF($G418="","",IFERROR(MATCH($I418,lst_Priority,0),5))</f>
        <v/>
      </c>
      <c r="BB418" s="71" t="str">
        <f>IF(AND($AL418=1,$AJ418=1),$BA418*100000+ROW(),"")</f>
        <v/>
      </c>
      <c r="BC418" s="71" t="str">
        <f>IF(AND($AM418=1,$AJ418=1),$BA418*100000+ROW(),"")</f>
        <v/>
      </c>
      <c r="BD418" s="71" t="str">
        <f>IF(AND($AP418=1,$AJ418=1),$BA418*100000+ROW(),"")</f>
        <v/>
      </c>
      <c r="BE418" s="71" t="str">
        <f>IF(AND($AT418=1,$AJ418=1),$BA418*100000+ROW(),"")</f>
        <v/>
      </c>
      <c r="BF418" s="71" t="str">
        <f>IF(AND($AU418=1,$AJ418=1),$BA418*100000+ROW(),"")</f>
        <v/>
      </c>
      <c r="BG418" s="71" t="str">
        <f>IF(AND($AV418=1,$AJ418=1),$BA418*100000+ROW(),"")</f>
        <v/>
      </c>
      <c r="BH418" s="71" t="str">
        <f>IF(AND($AW418=1,$AJ418=1),$BA418*100000+ROW(),"")</f>
        <v/>
      </c>
      <c r="BI418" s="71" t="str">
        <f>IF(AND($AX418=1,$AJ418=1),$BA418*100000+ROW(),"")</f>
        <v/>
      </c>
      <c r="BJ418" s="71" t="str">
        <f>IF(AND($AS418=1,$AJ418=1),$BA418*100000+ROW(),"")</f>
        <v/>
      </c>
      <c r="BK418" s="71" t="str">
        <f>IF(AND($AY418=1,$AJ418=1),$BA418*100000+ROW(),"")</f>
        <v/>
      </c>
      <c r="BL418" s="71" t="str">
        <f>IF(AND($AZ418=1),$BA418*100000+ROW(),"")</f>
        <v/>
      </c>
    </row>
    <row r="419">
      <c r="A419" s="63" t="n"/>
      <c r="B419" s="64" t="n"/>
      <c r="C419" s="64" t="n"/>
      <c r="D419" s="64" t="n"/>
      <c r="E419" s="64" t="n"/>
      <c r="F419" s="64" t="n"/>
      <c r="G419" s="65" t="n"/>
      <c r="H419" s="65" t="n"/>
      <c r="I419" s="64" t="n"/>
      <c r="J419" s="64" t="n"/>
      <c r="K419" s="63" t="n"/>
      <c r="L419" s="63" t="n"/>
      <c r="M419" s="64" t="n"/>
      <c r="N419" s="66" t="n"/>
      <c r="O419" s="65" t="n"/>
      <c r="P419" s="64" t="n"/>
      <c r="Q419" s="67" t="n"/>
      <c r="R419" s="67" t="n"/>
      <c r="S419" s="68" t="str">
        <f>IF(AND(ISNUMBER($Q419),ISNUMBER($R419)),$Q419-$R419,"")</f>
        <v/>
      </c>
      <c r="T419" s="65" t="n"/>
      <c r="U419" s="64" t="n"/>
      <c r="V419" s="65" t="n"/>
      <c r="W419" s="63" t="n"/>
      <c r="X419" s="65" t="n"/>
      <c r="Y419" s="63" t="n"/>
      <c r="Z419" s="64" t="n"/>
      <c r="AA419" s="64" t="n"/>
      <c r="AB419" s="65" t="n"/>
      <c r="AC419" s="69" t="str">
        <f>IF(OR($G419="",NOT(ISNUMBER($K419)),$AK419=0),"",MAX(0,ReportDate-$K419))</f>
        <v/>
      </c>
      <c r="AD419" s="69" t="str">
        <f>IF($G419="","",IF($AL419=1,ReportDate-$L419,0))</f>
        <v/>
      </c>
      <c r="AE419" s="70" t="str">
        <f>IF($G419="","",IF($M419="Completed",1,IF(ISNUMBER($N419),$N419,0)))</f>
        <v/>
      </c>
      <c r="AF419" s="70" t="str">
        <f>IF(AND(ISNUMBER($Q419),ISNUMBER($R419)),IF($R419&lt;&gt;0,$Q419/$R419,""),"")</f>
        <v/>
      </c>
      <c r="AG419" s="71" t="str">
        <f>IF($G419="","",IF($AL419=1,"OVERDUE",IF($AM419=1,"BLOCKED",IF($AN419=1,"DUE TODAY",IF($AO419=1,"DUE TOMORROW",IF($AQ419=1,"HIGH PRIORITY",IF($AR419=1,"NO RECENT UPDATE",""))))))) </f>
        <v/>
      </c>
      <c r="AH419" s="71" t="str">
        <f>IF($G419="","",IF(ISNUMBER($A419),IF(ISNUMBER($A419),YEAR($A419)&amp;"-"&amp;TEXT(MONTH($A419),"00"),""),IF(ISNUMBER($L419),IF(ISNUMBER($L419),YEAR($L419)&amp;"-"&amp;TEXT(MONTH($L419),"00"),""),"")))</f>
        <v/>
      </c>
      <c r="AI419" s="71">
        <f>IF($G419="",0,IF(AND(OR(fClient="All",$C419=fClient),OR(fCampaign="All",$D419=fCampaign),OR(fTeam="All",$B419=fTeam),OR(fChannel="All",$F419=fChannel),OR(fMonth="All",$AH419=fMonth),OR(fTStatus="All",$M419=fTStatus)),1,0))</f>
        <v>0</v>
      </c>
      <c r="AJ419" s="71">
        <f>IF($G419="",0,IF(AND(OR(fClient="All",$C419=fClient),OR(fCampaign="All",$D419=fCampaign),OR(fTeam="All",$B419=fTeam),OR(fChannel="All",$F419=fChannel)),1,0))</f>
        <v>0</v>
      </c>
      <c r="AK419" s="71">
        <f>IF($G419="",0,IF(OR($M419="Completed",$M419="Cancelled"),0,1))</f>
        <v>0</v>
      </c>
      <c r="AL419" s="71">
        <f>IF(AND($AK419=1,ISNUMBER($L419)),IF($L419&lt;ReportDate,1,0),0)</f>
        <v>0</v>
      </c>
      <c r="AM419" s="71">
        <f>IF(AND($G419&lt;&gt;"",$M419="Blocked"),1,0)</f>
        <v>0</v>
      </c>
      <c r="AN419" s="71">
        <f>IF(AND($AK419=1,ISNUMBER($L419)),IF($L419=ReportDate,1,0),0)</f>
        <v>0</v>
      </c>
      <c r="AO419" s="71">
        <f>IF(AND($AK419=1,ISNUMBER($L419)),IF($L419=ReportDate+1,1,0),0)</f>
        <v>0</v>
      </c>
      <c r="AP419" s="71">
        <f>IF(AND($AK419=1,ISNUMBER($L419)),IF(AND($L419&gt;=ReportDate,$L419&lt;=ReportDate+DueSoonDays),1,0),0)</f>
        <v>0</v>
      </c>
      <c r="AQ419" s="71">
        <f>IF(AND($AK419=1,OR($I419="Critical",$I419="High")),1,0)</f>
        <v>0</v>
      </c>
      <c r="AR419" s="71">
        <f>IF($AK419=1,IF(ISNUMBER($Y419),IF(ReportDate-$Y419&gt;StaleDays,1,0),1),0)</f>
        <v>0</v>
      </c>
      <c r="AS419" s="71">
        <f>IF(AND($G419&lt;&gt;"",ISNUMBER($Q419),ISNUMBER($R419)),IF(AND($Q419&lt;$R419,OR($M419="Completed",AND(ISNUMBER($L419),$L419&lt;ReportDate))),1,0),0)</f>
        <v>0</v>
      </c>
      <c r="AT419" s="71">
        <f>IF($AK419=1,IF(OR($L419=ReportDate,$W419=ReportDate,$K419=ReportDate,$A419=ReportDate),1,0),0)</f>
        <v>0</v>
      </c>
      <c r="AU419" s="71">
        <f>IF($AK419=1,IF(OR($L419=ReportDate+1,$W419=ReportDate+1,$K419=ReportDate+1,$A419=ReportDate+1),1,0),0)</f>
        <v>0</v>
      </c>
      <c r="AV419" s="71">
        <f>IF(AND($G419&lt;&gt;"",$M419="Completed"),IF(OR($Y419=ReportDate-1,$A419=ReportDate-1),1,0),0)</f>
        <v>0</v>
      </c>
      <c r="AW419" s="71">
        <f>IF(AND($AK419=1,$Z419="Yes"),1,0)</f>
        <v>0</v>
      </c>
      <c r="AX419" s="71">
        <f>IF(AND($AK419=1,$AA419="Yes"),1,0)</f>
        <v>0</v>
      </c>
      <c r="AY419" s="71">
        <f>IF(AND($AM419=1,OR($I419="Critical",$I419="High")),1,0)</f>
        <v>0</v>
      </c>
      <c r="AZ419" s="71">
        <f>IF(AND($AK419=1,OR($C419=TCL_Client,$C419=MECCA_Client)),1,0)</f>
        <v>0</v>
      </c>
      <c r="BA419" s="71" t="str">
        <f>IF($G419="","",IFERROR(MATCH($I419,lst_Priority,0),5))</f>
        <v/>
      </c>
      <c r="BB419" s="71" t="str">
        <f>IF(AND($AL419=1,$AJ419=1),$BA419*100000+ROW(),"")</f>
        <v/>
      </c>
      <c r="BC419" s="71" t="str">
        <f>IF(AND($AM419=1,$AJ419=1),$BA419*100000+ROW(),"")</f>
        <v/>
      </c>
      <c r="BD419" s="71" t="str">
        <f>IF(AND($AP419=1,$AJ419=1),$BA419*100000+ROW(),"")</f>
        <v/>
      </c>
      <c r="BE419" s="71" t="str">
        <f>IF(AND($AT419=1,$AJ419=1),$BA419*100000+ROW(),"")</f>
        <v/>
      </c>
      <c r="BF419" s="71" t="str">
        <f>IF(AND($AU419=1,$AJ419=1),$BA419*100000+ROW(),"")</f>
        <v/>
      </c>
      <c r="BG419" s="71" t="str">
        <f>IF(AND($AV419=1,$AJ419=1),$BA419*100000+ROW(),"")</f>
        <v/>
      </c>
      <c r="BH419" s="71" t="str">
        <f>IF(AND($AW419=1,$AJ419=1),$BA419*100000+ROW(),"")</f>
        <v/>
      </c>
      <c r="BI419" s="71" t="str">
        <f>IF(AND($AX419=1,$AJ419=1),$BA419*100000+ROW(),"")</f>
        <v/>
      </c>
      <c r="BJ419" s="71" t="str">
        <f>IF(AND($AS419=1,$AJ419=1),$BA419*100000+ROW(),"")</f>
        <v/>
      </c>
      <c r="BK419" s="71" t="str">
        <f>IF(AND($AY419=1,$AJ419=1),$BA419*100000+ROW(),"")</f>
        <v/>
      </c>
      <c r="BL419" s="71" t="str">
        <f>IF(AND($AZ419=1),$BA419*100000+ROW(),"")</f>
        <v/>
      </c>
    </row>
    <row r="420">
      <c r="A420" s="63" t="n"/>
      <c r="B420" s="64" t="n"/>
      <c r="C420" s="64" t="n"/>
      <c r="D420" s="64" t="n"/>
      <c r="E420" s="64" t="n"/>
      <c r="F420" s="64" t="n"/>
      <c r="G420" s="65" t="n"/>
      <c r="H420" s="65" t="n"/>
      <c r="I420" s="64" t="n"/>
      <c r="J420" s="64" t="n"/>
      <c r="K420" s="63" t="n"/>
      <c r="L420" s="63" t="n"/>
      <c r="M420" s="64" t="n"/>
      <c r="N420" s="66" t="n"/>
      <c r="O420" s="65" t="n"/>
      <c r="P420" s="64" t="n"/>
      <c r="Q420" s="67" t="n"/>
      <c r="R420" s="67" t="n"/>
      <c r="S420" s="68" t="str">
        <f>IF(AND(ISNUMBER($Q420),ISNUMBER($R420)),$Q420-$R420,"")</f>
        <v/>
      </c>
      <c r="T420" s="65" t="n"/>
      <c r="U420" s="64" t="n"/>
      <c r="V420" s="65" t="n"/>
      <c r="W420" s="63" t="n"/>
      <c r="X420" s="65" t="n"/>
      <c r="Y420" s="63" t="n"/>
      <c r="Z420" s="64" t="n"/>
      <c r="AA420" s="64" t="n"/>
      <c r="AB420" s="65" t="n"/>
      <c r="AC420" s="69" t="str">
        <f>IF(OR($G420="",NOT(ISNUMBER($K420)),$AK420=0),"",MAX(0,ReportDate-$K420))</f>
        <v/>
      </c>
      <c r="AD420" s="69" t="str">
        <f>IF($G420="","",IF($AL420=1,ReportDate-$L420,0))</f>
        <v/>
      </c>
      <c r="AE420" s="70" t="str">
        <f>IF($G420="","",IF($M420="Completed",1,IF(ISNUMBER($N420),$N420,0)))</f>
        <v/>
      </c>
      <c r="AF420" s="70" t="str">
        <f>IF(AND(ISNUMBER($Q420),ISNUMBER($R420)),IF($R420&lt;&gt;0,$Q420/$R420,""),"")</f>
        <v/>
      </c>
      <c r="AG420" s="71" t="str">
        <f>IF($G420="","",IF($AL420=1,"OVERDUE",IF($AM420=1,"BLOCKED",IF($AN420=1,"DUE TODAY",IF($AO420=1,"DUE TOMORROW",IF($AQ420=1,"HIGH PRIORITY",IF($AR420=1,"NO RECENT UPDATE",""))))))) </f>
        <v/>
      </c>
      <c r="AH420" s="71" t="str">
        <f>IF($G420="","",IF(ISNUMBER($A420),IF(ISNUMBER($A420),YEAR($A420)&amp;"-"&amp;TEXT(MONTH($A420),"00"),""),IF(ISNUMBER($L420),IF(ISNUMBER($L420),YEAR($L420)&amp;"-"&amp;TEXT(MONTH($L420),"00"),""),"")))</f>
        <v/>
      </c>
      <c r="AI420" s="71">
        <f>IF($G420="",0,IF(AND(OR(fClient="All",$C420=fClient),OR(fCampaign="All",$D420=fCampaign),OR(fTeam="All",$B420=fTeam),OR(fChannel="All",$F420=fChannel),OR(fMonth="All",$AH420=fMonth),OR(fTStatus="All",$M420=fTStatus)),1,0))</f>
        <v>0</v>
      </c>
      <c r="AJ420" s="71">
        <f>IF($G420="",0,IF(AND(OR(fClient="All",$C420=fClient),OR(fCampaign="All",$D420=fCampaign),OR(fTeam="All",$B420=fTeam),OR(fChannel="All",$F420=fChannel)),1,0))</f>
        <v>0</v>
      </c>
      <c r="AK420" s="71">
        <f>IF($G420="",0,IF(OR($M420="Completed",$M420="Cancelled"),0,1))</f>
        <v>0</v>
      </c>
      <c r="AL420" s="71">
        <f>IF(AND($AK420=1,ISNUMBER($L420)),IF($L420&lt;ReportDate,1,0),0)</f>
        <v>0</v>
      </c>
      <c r="AM420" s="71">
        <f>IF(AND($G420&lt;&gt;"",$M420="Blocked"),1,0)</f>
        <v>0</v>
      </c>
      <c r="AN420" s="71">
        <f>IF(AND($AK420=1,ISNUMBER($L420)),IF($L420=ReportDate,1,0),0)</f>
        <v>0</v>
      </c>
      <c r="AO420" s="71">
        <f>IF(AND($AK420=1,ISNUMBER($L420)),IF($L420=ReportDate+1,1,0),0)</f>
        <v>0</v>
      </c>
      <c r="AP420" s="71">
        <f>IF(AND($AK420=1,ISNUMBER($L420)),IF(AND($L420&gt;=ReportDate,$L420&lt;=ReportDate+DueSoonDays),1,0),0)</f>
        <v>0</v>
      </c>
      <c r="AQ420" s="71">
        <f>IF(AND($AK420=1,OR($I420="Critical",$I420="High")),1,0)</f>
        <v>0</v>
      </c>
      <c r="AR420" s="71">
        <f>IF($AK420=1,IF(ISNUMBER($Y420),IF(ReportDate-$Y420&gt;StaleDays,1,0),1),0)</f>
        <v>0</v>
      </c>
      <c r="AS420" s="71">
        <f>IF(AND($G420&lt;&gt;"",ISNUMBER($Q420),ISNUMBER($R420)),IF(AND($Q420&lt;$R420,OR($M420="Completed",AND(ISNUMBER($L420),$L420&lt;ReportDate))),1,0),0)</f>
        <v>0</v>
      </c>
      <c r="AT420" s="71">
        <f>IF($AK420=1,IF(OR($L420=ReportDate,$W420=ReportDate,$K420=ReportDate,$A420=ReportDate),1,0),0)</f>
        <v>0</v>
      </c>
      <c r="AU420" s="71">
        <f>IF($AK420=1,IF(OR($L420=ReportDate+1,$W420=ReportDate+1,$K420=ReportDate+1,$A420=ReportDate+1),1,0),0)</f>
        <v>0</v>
      </c>
      <c r="AV420" s="71">
        <f>IF(AND($G420&lt;&gt;"",$M420="Completed"),IF(OR($Y420=ReportDate-1,$A420=ReportDate-1),1,0),0)</f>
        <v>0</v>
      </c>
      <c r="AW420" s="71">
        <f>IF(AND($AK420=1,$Z420="Yes"),1,0)</f>
        <v>0</v>
      </c>
      <c r="AX420" s="71">
        <f>IF(AND($AK420=1,$AA420="Yes"),1,0)</f>
        <v>0</v>
      </c>
      <c r="AY420" s="71">
        <f>IF(AND($AM420=1,OR($I420="Critical",$I420="High")),1,0)</f>
        <v>0</v>
      </c>
      <c r="AZ420" s="71">
        <f>IF(AND($AK420=1,OR($C420=TCL_Client,$C420=MECCA_Client)),1,0)</f>
        <v>0</v>
      </c>
      <c r="BA420" s="71" t="str">
        <f>IF($G420="","",IFERROR(MATCH($I420,lst_Priority,0),5))</f>
        <v/>
      </c>
      <c r="BB420" s="71" t="str">
        <f>IF(AND($AL420=1,$AJ420=1),$BA420*100000+ROW(),"")</f>
        <v/>
      </c>
      <c r="BC420" s="71" t="str">
        <f>IF(AND($AM420=1,$AJ420=1),$BA420*100000+ROW(),"")</f>
        <v/>
      </c>
      <c r="BD420" s="71" t="str">
        <f>IF(AND($AP420=1,$AJ420=1),$BA420*100000+ROW(),"")</f>
        <v/>
      </c>
      <c r="BE420" s="71" t="str">
        <f>IF(AND($AT420=1,$AJ420=1),$BA420*100000+ROW(),"")</f>
        <v/>
      </c>
      <c r="BF420" s="71" t="str">
        <f>IF(AND($AU420=1,$AJ420=1),$BA420*100000+ROW(),"")</f>
        <v/>
      </c>
      <c r="BG420" s="71" t="str">
        <f>IF(AND($AV420=1,$AJ420=1),$BA420*100000+ROW(),"")</f>
        <v/>
      </c>
      <c r="BH420" s="71" t="str">
        <f>IF(AND($AW420=1,$AJ420=1),$BA420*100000+ROW(),"")</f>
        <v/>
      </c>
      <c r="BI420" s="71" t="str">
        <f>IF(AND($AX420=1,$AJ420=1),$BA420*100000+ROW(),"")</f>
        <v/>
      </c>
      <c r="BJ420" s="71" t="str">
        <f>IF(AND($AS420=1,$AJ420=1),$BA420*100000+ROW(),"")</f>
        <v/>
      </c>
      <c r="BK420" s="71" t="str">
        <f>IF(AND($AY420=1,$AJ420=1),$BA420*100000+ROW(),"")</f>
        <v/>
      </c>
      <c r="BL420" s="71" t="str">
        <f>IF(AND($AZ420=1),$BA420*100000+ROW(),"")</f>
        <v/>
      </c>
    </row>
    <row r="421">
      <c r="A421" s="63" t="n"/>
      <c r="B421" s="64" t="n"/>
      <c r="C421" s="64" t="n"/>
      <c r="D421" s="64" t="n"/>
      <c r="E421" s="64" t="n"/>
      <c r="F421" s="64" t="n"/>
      <c r="G421" s="65" t="n"/>
      <c r="H421" s="65" t="n"/>
      <c r="I421" s="64" t="n"/>
      <c r="J421" s="64" t="n"/>
      <c r="K421" s="63" t="n"/>
      <c r="L421" s="63" t="n"/>
      <c r="M421" s="64" t="n"/>
      <c r="N421" s="66" t="n"/>
      <c r="O421" s="65" t="n"/>
      <c r="P421" s="64" t="n"/>
      <c r="Q421" s="67" t="n"/>
      <c r="R421" s="67" t="n"/>
      <c r="S421" s="68" t="str">
        <f>IF(AND(ISNUMBER($Q421),ISNUMBER($R421)),$Q421-$R421,"")</f>
        <v/>
      </c>
      <c r="T421" s="65" t="n"/>
      <c r="U421" s="64" t="n"/>
      <c r="V421" s="65" t="n"/>
      <c r="W421" s="63" t="n"/>
      <c r="X421" s="65" t="n"/>
      <c r="Y421" s="63" t="n"/>
      <c r="Z421" s="64" t="n"/>
      <c r="AA421" s="64" t="n"/>
      <c r="AB421" s="65" t="n"/>
      <c r="AC421" s="69" t="str">
        <f>IF(OR($G421="",NOT(ISNUMBER($K421)),$AK421=0),"",MAX(0,ReportDate-$K421))</f>
        <v/>
      </c>
      <c r="AD421" s="69" t="str">
        <f>IF($G421="","",IF($AL421=1,ReportDate-$L421,0))</f>
        <v/>
      </c>
      <c r="AE421" s="70" t="str">
        <f>IF($G421="","",IF($M421="Completed",1,IF(ISNUMBER($N421),$N421,0)))</f>
        <v/>
      </c>
      <c r="AF421" s="70" t="str">
        <f>IF(AND(ISNUMBER($Q421),ISNUMBER($R421)),IF($R421&lt;&gt;0,$Q421/$R421,""),"")</f>
        <v/>
      </c>
      <c r="AG421" s="71" t="str">
        <f>IF($G421="","",IF($AL421=1,"OVERDUE",IF($AM421=1,"BLOCKED",IF($AN421=1,"DUE TODAY",IF($AO421=1,"DUE TOMORROW",IF($AQ421=1,"HIGH PRIORITY",IF($AR421=1,"NO RECENT UPDATE",""))))))) </f>
        <v/>
      </c>
      <c r="AH421" s="71" t="str">
        <f>IF($G421="","",IF(ISNUMBER($A421),IF(ISNUMBER($A421),YEAR($A421)&amp;"-"&amp;TEXT(MONTH($A421),"00"),""),IF(ISNUMBER($L421),IF(ISNUMBER($L421),YEAR($L421)&amp;"-"&amp;TEXT(MONTH($L421),"00"),""),"")))</f>
        <v/>
      </c>
      <c r="AI421" s="71">
        <f>IF($G421="",0,IF(AND(OR(fClient="All",$C421=fClient),OR(fCampaign="All",$D421=fCampaign),OR(fTeam="All",$B421=fTeam),OR(fChannel="All",$F421=fChannel),OR(fMonth="All",$AH421=fMonth),OR(fTStatus="All",$M421=fTStatus)),1,0))</f>
        <v>0</v>
      </c>
      <c r="AJ421" s="71">
        <f>IF($G421="",0,IF(AND(OR(fClient="All",$C421=fClient),OR(fCampaign="All",$D421=fCampaign),OR(fTeam="All",$B421=fTeam),OR(fChannel="All",$F421=fChannel)),1,0))</f>
        <v>0</v>
      </c>
      <c r="AK421" s="71">
        <f>IF($G421="",0,IF(OR($M421="Completed",$M421="Cancelled"),0,1))</f>
        <v>0</v>
      </c>
      <c r="AL421" s="71">
        <f>IF(AND($AK421=1,ISNUMBER($L421)),IF($L421&lt;ReportDate,1,0),0)</f>
        <v>0</v>
      </c>
      <c r="AM421" s="71">
        <f>IF(AND($G421&lt;&gt;"",$M421="Blocked"),1,0)</f>
        <v>0</v>
      </c>
      <c r="AN421" s="71">
        <f>IF(AND($AK421=1,ISNUMBER($L421)),IF($L421=ReportDate,1,0),0)</f>
        <v>0</v>
      </c>
      <c r="AO421" s="71">
        <f>IF(AND($AK421=1,ISNUMBER($L421)),IF($L421=ReportDate+1,1,0),0)</f>
        <v>0</v>
      </c>
      <c r="AP421" s="71">
        <f>IF(AND($AK421=1,ISNUMBER($L421)),IF(AND($L421&gt;=ReportDate,$L421&lt;=ReportDate+DueSoonDays),1,0),0)</f>
        <v>0</v>
      </c>
      <c r="AQ421" s="71">
        <f>IF(AND($AK421=1,OR($I421="Critical",$I421="High")),1,0)</f>
        <v>0</v>
      </c>
      <c r="AR421" s="71">
        <f>IF($AK421=1,IF(ISNUMBER($Y421),IF(ReportDate-$Y421&gt;StaleDays,1,0),1),0)</f>
        <v>0</v>
      </c>
      <c r="AS421" s="71">
        <f>IF(AND($G421&lt;&gt;"",ISNUMBER($Q421),ISNUMBER($R421)),IF(AND($Q421&lt;$R421,OR($M421="Completed",AND(ISNUMBER($L421),$L421&lt;ReportDate))),1,0),0)</f>
        <v>0</v>
      </c>
      <c r="AT421" s="71">
        <f>IF($AK421=1,IF(OR($L421=ReportDate,$W421=ReportDate,$K421=ReportDate,$A421=ReportDate),1,0),0)</f>
        <v>0</v>
      </c>
      <c r="AU421" s="71">
        <f>IF($AK421=1,IF(OR($L421=ReportDate+1,$W421=ReportDate+1,$K421=ReportDate+1,$A421=ReportDate+1),1,0),0)</f>
        <v>0</v>
      </c>
      <c r="AV421" s="71">
        <f>IF(AND($G421&lt;&gt;"",$M421="Completed"),IF(OR($Y421=ReportDate-1,$A421=ReportDate-1),1,0),0)</f>
        <v>0</v>
      </c>
      <c r="AW421" s="71">
        <f>IF(AND($AK421=1,$Z421="Yes"),1,0)</f>
        <v>0</v>
      </c>
      <c r="AX421" s="71">
        <f>IF(AND($AK421=1,$AA421="Yes"),1,0)</f>
        <v>0</v>
      </c>
      <c r="AY421" s="71">
        <f>IF(AND($AM421=1,OR($I421="Critical",$I421="High")),1,0)</f>
        <v>0</v>
      </c>
      <c r="AZ421" s="71">
        <f>IF(AND($AK421=1,OR($C421=TCL_Client,$C421=MECCA_Client)),1,0)</f>
        <v>0</v>
      </c>
      <c r="BA421" s="71" t="str">
        <f>IF($G421="","",IFERROR(MATCH($I421,lst_Priority,0),5))</f>
        <v/>
      </c>
      <c r="BB421" s="71" t="str">
        <f>IF(AND($AL421=1,$AJ421=1),$BA421*100000+ROW(),"")</f>
        <v/>
      </c>
      <c r="BC421" s="71" t="str">
        <f>IF(AND($AM421=1,$AJ421=1),$BA421*100000+ROW(),"")</f>
        <v/>
      </c>
      <c r="BD421" s="71" t="str">
        <f>IF(AND($AP421=1,$AJ421=1),$BA421*100000+ROW(),"")</f>
        <v/>
      </c>
      <c r="BE421" s="71" t="str">
        <f>IF(AND($AT421=1,$AJ421=1),$BA421*100000+ROW(),"")</f>
        <v/>
      </c>
      <c r="BF421" s="71" t="str">
        <f>IF(AND($AU421=1,$AJ421=1),$BA421*100000+ROW(),"")</f>
        <v/>
      </c>
      <c r="BG421" s="71" t="str">
        <f>IF(AND($AV421=1,$AJ421=1),$BA421*100000+ROW(),"")</f>
        <v/>
      </c>
      <c r="BH421" s="71" t="str">
        <f>IF(AND($AW421=1,$AJ421=1),$BA421*100000+ROW(),"")</f>
        <v/>
      </c>
      <c r="BI421" s="71" t="str">
        <f>IF(AND($AX421=1,$AJ421=1),$BA421*100000+ROW(),"")</f>
        <v/>
      </c>
      <c r="BJ421" s="71" t="str">
        <f>IF(AND($AS421=1,$AJ421=1),$BA421*100000+ROW(),"")</f>
        <v/>
      </c>
      <c r="BK421" s="71" t="str">
        <f>IF(AND($AY421=1,$AJ421=1),$BA421*100000+ROW(),"")</f>
        <v/>
      </c>
      <c r="BL421" s="71" t="str">
        <f>IF(AND($AZ421=1),$BA421*100000+ROW(),"")</f>
        <v/>
      </c>
    </row>
    <row r="422">
      <c r="A422" s="63" t="n"/>
      <c r="B422" s="64" t="n"/>
      <c r="C422" s="64" t="n"/>
      <c r="D422" s="64" t="n"/>
      <c r="E422" s="64" t="n"/>
      <c r="F422" s="64" t="n"/>
      <c r="G422" s="65" t="n"/>
      <c r="H422" s="65" t="n"/>
      <c r="I422" s="64" t="n"/>
      <c r="J422" s="64" t="n"/>
      <c r="K422" s="63" t="n"/>
      <c r="L422" s="63" t="n"/>
      <c r="M422" s="64" t="n"/>
      <c r="N422" s="66" t="n"/>
      <c r="O422" s="65" t="n"/>
      <c r="P422" s="64" t="n"/>
      <c r="Q422" s="67" t="n"/>
      <c r="R422" s="67" t="n"/>
      <c r="S422" s="68" t="str">
        <f>IF(AND(ISNUMBER($Q422),ISNUMBER($R422)),$Q422-$R422,"")</f>
        <v/>
      </c>
      <c r="T422" s="65" t="n"/>
      <c r="U422" s="64" t="n"/>
      <c r="V422" s="65" t="n"/>
      <c r="W422" s="63" t="n"/>
      <c r="X422" s="65" t="n"/>
      <c r="Y422" s="63" t="n"/>
      <c r="Z422" s="64" t="n"/>
      <c r="AA422" s="64" t="n"/>
      <c r="AB422" s="65" t="n"/>
      <c r="AC422" s="69" t="str">
        <f>IF(OR($G422="",NOT(ISNUMBER($K422)),$AK422=0),"",MAX(0,ReportDate-$K422))</f>
        <v/>
      </c>
      <c r="AD422" s="69" t="str">
        <f>IF($G422="","",IF($AL422=1,ReportDate-$L422,0))</f>
        <v/>
      </c>
      <c r="AE422" s="70" t="str">
        <f>IF($G422="","",IF($M422="Completed",1,IF(ISNUMBER($N422),$N422,0)))</f>
        <v/>
      </c>
      <c r="AF422" s="70" t="str">
        <f>IF(AND(ISNUMBER($Q422),ISNUMBER($R422)),IF($R422&lt;&gt;0,$Q422/$R422,""),"")</f>
        <v/>
      </c>
      <c r="AG422" s="71" t="str">
        <f>IF($G422="","",IF($AL422=1,"OVERDUE",IF($AM422=1,"BLOCKED",IF($AN422=1,"DUE TODAY",IF($AO422=1,"DUE TOMORROW",IF($AQ422=1,"HIGH PRIORITY",IF($AR422=1,"NO RECENT UPDATE",""))))))) </f>
        <v/>
      </c>
      <c r="AH422" s="71" t="str">
        <f>IF($G422="","",IF(ISNUMBER($A422),IF(ISNUMBER($A422),YEAR($A422)&amp;"-"&amp;TEXT(MONTH($A422),"00"),""),IF(ISNUMBER($L422),IF(ISNUMBER($L422),YEAR($L422)&amp;"-"&amp;TEXT(MONTH($L422),"00"),""),"")))</f>
        <v/>
      </c>
      <c r="AI422" s="71">
        <f>IF($G422="",0,IF(AND(OR(fClient="All",$C422=fClient),OR(fCampaign="All",$D422=fCampaign),OR(fTeam="All",$B422=fTeam),OR(fChannel="All",$F422=fChannel),OR(fMonth="All",$AH422=fMonth),OR(fTStatus="All",$M422=fTStatus)),1,0))</f>
        <v>0</v>
      </c>
      <c r="AJ422" s="71">
        <f>IF($G422="",0,IF(AND(OR(fClient="All",$C422=fClient),OR(fCampaign="All",$D422=fCampaign),OR(fTeam="All",$B422=fTeam),OR(fChannel="All",$F422=fChannel)),1,0))</f>
        <v>0</v>
      </c>
      <c r="AK422" s="71">
        <f>IF($G422="",0,IF(OR($M422="Completed",$M422="Cancelled"),0,1))</f>
        <v>0</v>
      </c>
      <c r="AL422" s="71">
        <f>IF(AND($AK422=1,ISNUMBER($L422)),IF($L422&lt;ReportDate,1,0),0)</f>
        <v>0</v>
      </c>
      <c r="AM422" s="71">
        <f>IF(AND($G422&lt;&gt;"",$M422="Blocked"),1,0)</f>
        <v>0</v>
      </c>
      <c r="AN422" s="71">
        <f>IF(AND($AK422=1,ISNUMBER($L422)),IF($L422=ReportDate,1,0),0)</f>
        <v>0</v>
      </c>
      <c r="AO422" s="71">
        <f>IF(AND($AK422=1,ISNUMBER($L422)),IF($L422=ReportDate+1,1,0),0)</f>
        <v>0</v>
      </c>
      <c r="AP422" s="71">
        <f>IF(AND($AK422=1,ISNUMBER($L422)),IF(AND($L422&gt;=ReportDate,$L422&lt;=ReportDate+DueSoonDays),1,0),0)</f>
        <v>0</v>
      </c>
      <c r="AQ422" s="71">
        <f>IF(AND($AK422=1,OR($I422="Critical",$I422="High")),1,0)</f>
        <v>0</v>
      </c>
      <c r="AR422" s="71">
        <f>IF($AK422=1,IF(ISNUMBER($Y422),IF(ReportDate-$Y422&gt;StaleDays,1,0),1),0)</f>
        <v>0</v>
      </c>
      <c r="AS422" s="71">
        <f>IF(AND($G422&lt;&gt;"",ISNUMBER($Q422),ISNUMBER($R422)),IF(AND($Q422&lt;$R422,OR($M422="Completed",AND(ISNUMBER($L422),$L422&lt;ReportDate))),1,0),0)</f>
        <v>0</v>
      </c>
      <c r="AT422" s="71">
        <f>IF($AK422=1,IF(OR($L422=ReportDate,$W422=ReportDate,$K422=ReportDate,$A422=ReportDate),1,0),0)</f>
        <v>0</v>
      </c>
      <c r="AU422" s="71">
        <f>IF($AK422=1,IF(OR($L422=ReportDate+1,$W422=ReportDate+1,$K422=ReportDate+1,$A422=ReportDate+1),1,0),0)</f>
        <v>0</v>
      </c>
      <c r="AV422" s="71">
        <f>IF(AND($G422&lt;&gt;"",$M422="Completed"),IF(OR($Y422=ReportDate-1,$A422=ReportDate-1),1,0),0)</f>
        <v>0</v>
      </c>
      <c r="AW422" s="71">
        <f>IF(AND($AK422=1,$Z422="Yes"),1,0)</f>
        <v>0</v>
      </c>
      <c r="AX422" s="71">
        <f>IF(AND($AK422=1,$AA422="Yes"),1,0)</f>
        <v>0</v>
      </c>
      <c r="AY422" s="71">
        <f>IF(AND($AM422=1,OR($I422="Critical",$I422="High")),1,0)</f>
        <v>0</v>
      </c>
      <c r="AZ422" s="71">
        <f>IF(AND($AK422=1,OR($C422=TCL_Client,$C422=MECCA_Client)),1,0)</f>
        <v>0</v>
      </c>
      <c r="BA422" s="71" t="str">
        <f>IF($G422="","",IFERROR(MATCH($I422,lst_Priority,0),5))</f>
        <v/>
      </c>
      <c r="BB422" s="71" t="str">
        <f>IF(AND($AL422=1,$AJ422=1),$BA422*100000+ROW(),"")</f>
        <v/>
      </c>
      <c r="BC422" s="71" t="str">
        <f>IF(AND($AM422=1,$AJ422=1),$BA422*100000+ROW(),"")</f>
        <v/>
      </c>
      <c r="BD422" s="71" t="str">
        <f>IF(AND($AP422=1,$AJ422=1),$BA422*100000+ROW(),"")</f>
        <v/>
      </c>
      <c r="BE422" s="71" t="str">
        <f>IF(AND($AT422=1,$AJ422=1),$BA422*100000+ROW(),"")</f>
        <v/>
      </c>
      <c r="BF422" s="71" t="str">
        <f>IF(AND($AU422=1,$AJ422=1),$BA422*100000+ROW(),"")</f>
        <v/>
      </c>
      <c r="BG422" s="71" t="str">
        <f>IF(AND($AV422=1,$AJ422=1),$BA422*100000+ROW(),"")</f>
        <v/>
      </c>
      <c r="BH422" s="71" t="str">
        <f>IF(AND($AW422=1,$AJ422=1),$BA422*100000+ROW(),"")</f>
        <v/>
      </c>
      <c r="BI422" s="71" t="str">
        <f>IF(AND($AX422=1,$AJ422=1),$BA422*100000+ROW(),"")</f>
        <v/>
      </c>
      <c r="BJ422" s="71" t="str">
        <f>IF(AND($AS422=1,$AJ422=1),$BA422*100000+ROW(),"")</f>
        <v/>
      </c>
      <c r="BK422" s="71" t="str">
        <f>IF(AND($AY422=1,$AJ422=1),$BA422*100000+ROW(),"")</f>
        <v/>
      </c>
      <c r="BL422" s="71" t="str">
        <f>IF(AND($AZ422=1),$BA422*100000+ROW(),"")</f>
        <v/>
      </c>
    </row>
    <row r="423">
      <c r="A423" s="63" t="n"/>
      <c r="B423" s="64" t="n"/>
      <c r="C423" s="64" t="n"/>
      <c r="D423" s="64" t="n"/>
      <c r="E423" s="64" t="n"/>
      <c r="F423" s="64" t="n"/>
      <c r="G423" s="65" t="n"/>
      <c r="H423" s="65" t="n"/>
      <c r="I423" s="64" t="n"/>
      <c r="J423" s="64" t="n"/>
      <c r="K423" s="63" t="n"/>
      <c r="L423" s="63" t="n"/>
      <c r="M423" s="64" t="n"/>
      <c r="N423" s="66" t="n"/>
      <c r="O423" s="65" t="n"/>
      <c r="P423" s="64" t="n"/>
      <c r="Q423" s="67" t="n"/>
      <c r="R423" s="67" t="n"/>
      <c r="S423" s="68" t="str">
        <f>IF(AND(ISNUMBER($Q423),ISNUMBER($R423)),$Q423-$R423,"")</f>
        <v/>
      </c>
      <c r="T423" s="65" t="n"/>
      <c r="U423" s="64" t="n"/>
      <c r="V423" s="65" t="n"/>
      <c r="W423" s="63" t="n"/>
      <c r="X423" s="65" t="n"/>
      <c r="Y423" s="63" t="n"/>
      <c r="Z423" s="64" t="n"/>
      <c r="AA423" s="64" t="n"/>
      <c r="AB423" s="65" t="n"/>
      <c r="AC423" s="69" t="str">
        <f>IF(OR($G423="",NOT(ISNUMBER($K423)),$AK423=0),"",MAX(0,ReportDate-$K423))</f>
        <v/>
      </c>
      <c r="AD423" s="69" t="str">
        <f>IF($G423="","",IF($AL423=1,ReportDate-$L423,0))</f>
        <v/>
      </c>
      <c r="AE423" s="70" t="str">
        <f>IF($G423="","",IF($M423="Completed",1,IF(ISNUMBER($N423),$N423,0)))</f>
        <v/>
      </c>
      <c r="AF423" s="70" t="str">
        <f>IF(AND(ISNUMBER($Q423),ISNUMBER($R423)),IF($R423&lt;&gt;0,$Q423/$R423,""),"")</f>
        <v/>
      </c>
      <c r="AG423" s="71" t="str">
        <f>IF($G423="","",IF($AL423=1,"OVERDUE",IF($AM423=1,"BLOCKED",IF($AN423=1,"DUE TODAY",IF($AO423=1,"DUE TOMORROW",IF($AQ423=1,"HIGH PRIORITY",IF($AR423=1,"NO RECENT UPDATE",""))))))) </f>
        <v/>
      </c>
      <c r="AH423" s="71" t="str">
        <f>IF($G423="","",IF(ISNUMBER($A423),IF(ISNUMBER($A423),YEAR($A423)&amp;"-"&amp;TEXT(MONTH($A423),"00"),""),IF(ISNUMBER($L423),IF(ISNUMBER($L423),YEAR($L423)&amp;"-"&amp;TEXT(MONTH($L423),"00"),""),"")))</f>
        <v/>
      </c>
      <c r="AI423" s="71">
        <f>IF($G423="",0,IF(AND(OR(fClient="All",$C423=fClient),OR(fCampaign="All",$D423=fCampaign),OR(fTeam="All",$B423=fTeam),OR(fChannel="All",$F423=fChannel),OR(fMonth="All",$AH423=fMonth),OR(fTStatus="All",$M423=fTStatus)),1,0))</f>
        <v>0</v>
      </c>
      <c r="AJ423" s="71">
        <f>IF($G423="",0,IF(AND(OR(fClient="All",$C423=fClient),OR(fCampaign="All",$D423=fCampaign),OR(fTeam="All",$B423=fTeam),OR(fChannel="All",$F423=fChannel)),1,0))</f>
        <v>0</v>
      </c>
      <c r="AK423" s="71">
        <f>IF($G423="",0,IF(OR($M423="Completed",$M423="Cancelled"),0,1))</f>
        <v>0</v>
      </c>
      <c r="AL423" s="71">
        <f>IF(AND($AK423=1,ISNUMBER($L423)),IF($L423&lt;ReportDate,1,0),0)</f>
        <v>0</v>
      </c>
      <c r="AM423" s="71">
        <f>IF(AND($G423&lt;&gt;"",$M423="Blocked"),1,0)</f>
        <v>0</v>
      </c>
      <c r="AN423" s="71">
        <f>IF(AND($AK423=1,ISNUMBER($L423)),IF($L423=ReportDate,1,0),0)</f>
        <v>0</v>
      </c>
      <c r="AO423" s="71">
        <f>IF(AND($AK423=1,ISNUMBER($L423)),IF($L423=ReportDate+1,1,0),0)</f>
        <v>0</v>
      </c>
      <c r="AP423" s="71">
        <f>IF(AND($AK423=1,ISNUMBER($L423)),IF(AND($L423&gt;=ReportDate,$L423&lt;=ReportDate+DueSoonDays),1,0),0)</f>
        <v>0</v>
      </c>
      <c r="AQ423" s="71">
        <f>IF(AND($AK423=1,OR($I423="Critical",$I423="High")),1,0)</f>
        <v>0</v>
      </c>
      <c r="AR423" s="71">
        <f>IF($AK423=1,IF(ISNUMBER($Y423),IF(ReportDate-$Y423&gt;StaleDays,1,0),1),0)</f>
        <v>0</v>
      </c>
      <c r="AS423" s="71">
        <f>IF(AND($G423&lt;&gt;"",ISNUMBER($Q423),ISNUMBER($R423)),IF(AND($Q423&lt;$R423,OR($M423="Completed",AND(ISNUMBER($L423),$L423&lt;ReportDate))),1,0),0)</f>
        <v>0</v>
      </c>
      <c r="AT423" s="71">
        <f>IF($AK423=1,IF(OR($L423=ReportDate,$W423=ReportDate,$K423=ReportDate,$A423=ReportDate),1,0),0)</f>
        <v>0</v>
      </c>
      <c r="AU423" s="71">
        <f>IF($AK423=1,IF(OR($L423=ReportDate+1,$W423=ReportDate+1,$K423=ReportDate+1,$A423=ReportDate+1),1,0),0)</f>
        <v>0</v>
      </c>
      <c r="AV423" s="71">
        <f>IF(AND($G423&lt;&gt;"",$M423="Completed"),IF(OR($Y423=ReportDate-1,$A423=ReportDate-1),1,0),0)</f>
        <v>0</v>
      </c>
      <c r="AW423" s="71">
        <f>IF(AND($AK423=1,$Z423="Yes"),1,0)</f>
        <v>0</v>
      </c>
      <c r="AX423" s="71">
        <f>IF(AND($AK423=1,$AA423="Yes"),1,0)</f>
        <v>0</v>
      </c>
      <c r="AY423" s="71">
        <f>IF(AND($AM423=1,OR($I423="Critical",$I423="High")),1,0)</f>
        <v>0</v>
      </c>
      <c r="AZ423" s="71">
        <f>IF(AND($AK423=1,OR($C423=TCL_Client,$C423=MECCA_Client)),1,0)</f>
        <v>0</v>
      </c>
      <c r="BA423" s="71" t="str">
        <f>IF($G423="","",IFERROR(MATCH($I423,lst_Priority,0),5))</f>
        <v/>
      </c>
      <c r="BB423" s="71" t="str">
        <f>IF(AND($AL423=1,$AJ423=1),$BA423*100000+ROW(),"")</f>
        <v/>
      </c>
      <c r="BC423" s="71" t="str">
        <f>IF(AND($AM423=1,$AJ423=1),$BA423*100000+ROW(),"")</f>
        <v/>
      </c>
      <c r="BD423" s="71" t="str">
        <f>IF(AND($AP423=1,$AJ423=1),$BA423*100000+ROW(),"")</f>
        <v/>
      </c>
      <c r="BE423" s="71" t="str">
        <f>IF(AND($AT423=1,$AJ423=1),$BA423*100000+ROW(),"")</f>
        <v/>
      </c>
      <c r="BF423" s="71" t="str">
        <f>IF(AND($AU423=1,$AJ423=1),$BA423*100000+ROW(),"")</f>
        <v/>
      </c>
      <c r="BG423" s="71" t="str">
        <f>IF(AND($AV423=1,$AJ423=1),$BA423*100000+ROW(),"")</f>
        <v/>
      </c>
      <c r="BH423" s="71" t="str">
        <f>IF(AND($AW423=1,$AJ423=1),$BA423*100000+ROW(),"")</f>
        <v/>
      </c>
      <c r="BI423" s="71" t="str">
        <f>IF(AND($AX423=1,$AJ423=1),$BA423*100000+ROW(),"")</f>
        <v/>
      </c>
      <c r="BJ423" s="71" t="str">
        <f>IF(AND($AS423=1,$AJ423=1),$BA423*100000+ROW(),"")</f>
        <v/>
      </c>
      <c r="BK423" s="71" t="str">
        <f>IF(AND($AY423=1,$AJ423=1),$BA423*100000+ROW(),"")</f>
        <v/>
      </c>
      <c r="BL423" s="71" t="str">
        <f>IF(AND($AZ423=1),$BA423*100000+ROW(),"")</f>
        <v/>
      </c>
    </row>
    <row r="424">
      <c r="A424" s="63" t="n"/>
      <c r="B424" s="64" t="n"/>
      <c r="C424" s="64" t="n"/>
      <c r="D424" s="64" t="n"/>
      <c r="E424" s="64" t="n"/>
      <c r="F424" s="64" t="n"/>
      <c r="G424" s="65" t="n"/>
      <c r="H424" s="65" t="n"/>
      <c r="I424" s="64" t="n"/>
      <c r="J424" s="64" t="n"/>
      <c r="K424" s="63" t="n"/>
      <c r="L424" s="63" t="n"/>
      <c r="M424" s="64" t="n"/>
      <c r="N424" s="66" t="n"/>
      <c r="O424" s="65" t="n"/>
      <c r="P424" s="64" t="n"/>
      <c r="Q424" s="67" t="n"/>
      <c r="R424" s="67" t="n"/>
      <c r="S424" s="68" t="str">
        <f>IF(AND(ISNUMBER($Q424),ISNUMBER($R424)),$Q424-$R424,"")</f>
        <v/>
      </c>
      <c r="T424" s="65" t="n"/>
      <c r="U424" s="64" t="n"/>
      <c r="V424" s="65" t="n"/>
      <c r="W424" s="63" t="n"/>
      <c r="X424" s="65" t="n"/>
      <c r="Y424" s="63" t="n"/>
      <c r="Z424" s="64" t="n"/>
      <c r="AA424" s="64" t="n"/>
      <c r="AB424" s="65" t="n"/>
      <c r="AC424" s="69" t="str">
        <f>IF(OR($G424="",NOT(ISNUMBER($K424)),$AK424=0),"",MAX(0,ReportDate-$K424))</f>
        <v/>
      </c>
      <c r="AD424" s="69" t="str">
        <f>IF($G424="","",IF($AL424=1,ReportDate-$L424,0))</f>
        <v/>
      </c>
      <c r="AE424" s="70" t="str">
        <f>IF($G424="","",IF($M424="Completed",1,IF(ISNUMBER($N424),$N424,0)))</f>
        <v/>
      </c>
      <c r="AF424" s="70" t="str">
        <f>IF(AND(ISNUMBER($Q424),ISNUMBER($R424)),IF($R424&lt;&gt;0,$Q424/$R424,""),"")</f>
        <v/>
      </c>
      <c r="AG424" s="71" t="str">
        <f>IF($G424="","",IF($AL424=1,"OVERDUE",IF($AM424=1,"BLOCKED",IF($AN424=1,"DUE TODAY",IF($AO424=1,"DUE TOMORROW",IF($AQ424=1,"HIGH PRIORITY",IF($AR424=1,"NO RECENT UPDATE",""))))))) </f>
        <v/>
      </c>
      <c r="AH424" s="71" t="str">
        <f>IF($G424="","",IF(ISNUMBER($A424),IF(ISNUMBER($A424),YEAR($A424)&amp;"-"&amp;TEXT(MONTH($A424),"00"),""),IF(ISNUMBER($L424),IF(ISNUMBER($L424),YEAR($L424)&amp;"-"&amp;TEXT(MONTH($L424),"00"),""),"")))</f>
        <v/>
      </c>
      <c r="AI424" s="71">
        <f>IF($G424="",0,IF(AND(OR(fClient="All",$C424=fClient),OR(fCampaign="All",$D424=fCampaign),OR(fTeam="All",$B424=fTeam),OR(fChannel="All",$F424=fChannel),OR(fMonth="All",$AH424=fMonth),OR(fTStatus="All",$M424=fTStatus)),1,0))</f>
        <v>0</v>
      </c>
      <c r="AJ424" s="71">
        <f>IF($G424="",0,IF(AND(OR(fClient="All",$C424=fClient),OR(fCampaign="All",$D424=fCampaign),OR(fTeam="All",$B424=fTeam),OR(fChannel="All",$F424=fChannel)),1,0))</f>
        <v>0</v>
      </c>
      <c r="AK424" s="71">
        <f>IF($G424="",0,IF(OR($M424="Completed",$M424="Cancelled"),0,1))</f>
        <v>0</v>
      </c>
      <c r="AL424" s="71">
        <f>IF(AND($AK424=1,ISNUMBER($L424)),IF($L424&lt;ReportDate,1,0),0)</f>
        <v>0</v>
      </c>
      <c r="AM424" s="71">
        <f>IF(AND($G424&lt;&gt;"",$M424="Blocked"),1,0)</f>
        <v>0</v>
      </c>
      <c r="AN424" s="71">
        <f>IF(AND($AK424=1,ISNUMBER($L424)),IF($L424=ReportDate,1,0),0)</f>
        <v>0</v>
      </c>
      <c r="AO424" s="71">
        <f>IF(AND($AK424=1,ISNUMBER($L424)),IF($L424=ReportDate+1,1,0),0)</f>
        <v>0</v>
      </c>
      <c r="AP424" s="71">
        <f>IF(AND($AK424=1,ISNUMBER($L424)),IF(AND($L424&gt;=ReportDate,$L424&lt;=ReportDate+DueSoonDays),1,0),0)</f>
        <v>0</v>
      </c>
      <c r="AQ424" s="71">
        <f>IF(AND($AK424=1,OR($I424="Critical",$I424="High")),1,0)</f>
        <v>0</v>
      </c>
      <c r="AR424" s="71">
        <f>IF($AK424=1,IF(ISNUMBER($Y424),IF(ReportDate-$Y424&gt;StaleDays,1,0),1),0)</f>
        <v>0</v>
      </c>
      <c r="AS424" s="71">
        <f>IF(AND($G424&lt;&gt;"",ISNUMBER($Q424),ISNUMBER($R424)),IF(AND($Q424&lt;$R424,OR($M424="Completed",AND(ISNUMBER($L424),$L424&lt;ReportDate))),1,0),0)</f>
        <v>0</v>
      </c>
      <c r="AT424" s="71">
        <f>IF($AK424=1,IF(OR($L424=ReportDate,$W424=ReportDate,$K424=ReportDate,$A424=ReportDate),1,0),0)</f>
        <v>0</v>
      </c>
      <c r="AU424" s="71">
        <f>IF($AK424=1,IF(OR($L424=ReportDate+1,$W424=ReportDate+1,$K424=ReportDate+1,$A424=ReportDate+1),1,0),0)</f>
        <v>0</v>
      </c>
      <c r="AV424" s="71">
        <f>IF(AND($G424&lt;&gt;"",$M424="Completed"),IF(OR($Y424=ReportDate-1,$A424=ReportDate-1),1,0),0)</f>
        <v>0</v>
      </c>
      <c r="AW424" s="71">
        <f>IF(AND($AK424=1,$Z424="Yes"),1,0)</f>
        <v>0</v>
      </c>
      <c r="AX424" s="71">
        <f>IF(AND($AK424=1,$AA424="Yes"),1,0)</f>
        <v>0</v>
      </c>
      <c r="AY424" s="71">
        <f>IF(AND($AM424=1,OR($I424="Critical",$I424="High")),1,0)</f>
        <v>0</v>
      </c>
      <c r="AZ424" s="71">
        <f>IF(AND($AK424=1,OR($C424=TCL_Client,$C424=MECCA_Client)),1,0)</f>
        <v>0</v>
      </c>
      <c r="BA424" s="71" t="str">
        <f>IF($G424="","",IFERROR(MATCH($I424,lst_Priority,0),5))</f>
        <v/>
      </c>
      <c r="BB424" s="71" t="str">
        <f>IF(AND($AL424=1,$AJ424=1),$BA424*100000+ROW(),"")</f>
        <v/>
      </c>
      <c r="BC424" s="71" t="str">
        <f>IF(AND($AM424=1,$AJ424=1),$BA424*100000+ROW(),"")</f>
        <v/>
      </c>
      <c r="BD424" s="71" t="str">
        <f>IF(AND($AP424=1,$AJ424=1),$BA424*100000+ROW(),"")</f>
        <v/>
      </c>
      <c r="BE424" s="71" t="str">
        <f>IF(AND($AT424=1,$AJ424=1),$BA424*100000+ROW(),"")</f>
        <v/>
      </c>
      <c r="BF424" s="71" t="str">
        <f>IF(AND($AU424=1,$AJ424=1),$BA424*100000+ROW(),"")</f>
        <v/>
      </c>
      <c r="BG424" s="71" t="str">
        <f>IF(AND($AV424=1,$AJ424=1),$BA424*100000+ROW(),"")</f>
        <v/>
      </c>
      <c r="BH424" s="71" t="str">
        <f>IF(AND($AW424=1,$AJ424=1),$BA424*100000+ROW(),"")</f>
        <v/>
      </c>
      <c r="BI424" s="71" t="str">
        <f>IF(AND($AX424=1,$AJ424=1),$BA424*100000+ROW(),"")</f>
        <v/>
      </c>
      <c r="BJ424" s="71" t="str">
        <f>IF(AND($AS424=1,$AJ424=1),$BA424*100000+ROW(),"")</f>
        <v/>
      </c>
      <c r="BK424" s="71" t="str">
        <f>IF(AND($AY424=1,$AJ424=1),$BA424*100000+ROW(),"")</f>
        <v/>
      </c>
      <c r="BL424" s="71" t="str">
        <f>IF(AND($AZ424=1),$BA424*100000+ROW(),"")</f>
        <v/>
      </c>
    </row>
    <row r="425">
      <c r="A425" s="63" t="n"/>
      <c r="B425" s="64" t="n"/>
      <c r="C425" s="64" t="n"/>
      <c r="D425" s="64" t="n"/>
      <c r="E425" s="64" t="n"/>
      <c r="F425" s="64" t="n"/>
      <c r="G425" s="65" t="n"/>
      <c r="H425" s="65" t="n"/>
      <c r="I425" s="64" t="n"/>
      <c r="J425" s="64" t="n"/>
      <c r="K425" s="63" t="n"/>
      <c r="L425" s="63" t="n"/>
      <c r="M425" s="64" t="n"/>
      <c r="N425" s="66" t="n"/>
      <c r="O425" s="65" t="n"/>
      <c r="P425" s="64" t="n"/>
      <c r="Q425" s="67" t="n"/>
      <c r="R425" s="67" t="n"/>
      <c r="S425" s="68" t="str">
        <f>IF(AND(ISNUMBER($Q425),ISNUMBER($R425)),$Q425-$R425,"")</f>
        <v/>
      </c>
      <c r="T425" s="65" t="n"/>
      <c r="U425" s="64" t="n"/>
      <c r="V425" s="65" t="n"/>
      <c r="W425" s="63" t="n"/>
      <c r="X425" s="65" t="n"/>
      <c r="Y425" s="63" t="n"/>
      <c r="Z425" s="64" t="n"/>
      <c r="AA425" s="64" t="n"/>
      <c r="AB425" s="65" t="n"/>
      <c r="AC425" s="69" t="str">
        <f>IF(OR($G425="",NOT(ISNUMBER($K425)),$AK425=0),"",MAX(0,ReportDate-$K425))</f>
        <v/>
      </c>
      <c r="AD425" s="69" t="str">
        <f>IF($G425="","",IF($AL425=1,ReportDate-$L425,0))</f>
        <v/>
      </c>
      <c r="AE425" s="70" t="str">
        <f>IF($G425="","",IF($M425="Completed",1,IF(ISNUMBER($N425),$N425,0)))</f>
        <v/>
      </c>
      <c r="AF425" s="70" t="str">
        <f>IF(AND(ISNUMBER($Q425),ISNUMBER($R425)),IF($R425&lt;&gt;0,$Q425/$R425,""),"")</f>
        <v/>
      </c>
      <c r="AG425" s="71" t="str">
        <f>IF($G425="","",IF($AL425=1,"OVERDUE",IF($AM425=1,"BLOCKED",IF($AN425=1,"DUE TODAY",IF($AO425=1,"DUE TOMORROW",IF($AQ425=1,"HIGH PRIORITY",IF($AR425=1,"NO RECENT UPDATE",""))))))) </f>
        <v/>
      </c>
      <c r="AH425" s="71" t="str">
        <f>IF($G425="","",IF(ISNUMBER($A425),IF(ISNUMBER($A425),YEAR($A425)&amp;"-"&amp;TEXT(MONTH($A425),"00"),""),IF(ISNUMBER($L425),IF(ISNUMBER($L425),YEAR($L425)&amp;"-"&amp;TEXT(MONTH($L425),"00"),""),"")))</f>
        <v/>
      </c>
      <c r="AI425" s="71">
        <f>IF($G425="",0,IF(AND(OR(fClient="All",$C425=fClient),OR(fCampaign="All",$D425=fCampaign),OR(fTeam="All",$B425=fTeam),OR(fChannel="All",$F425=fChannel),OR(fMonth="All",$AH425=fMonth),OR(fTStatus="All",$M425=fTStatus)),1,0))</f>
        <v>0</v>
      </c>
      <c r="AJ425" s="71">
        <f>IF($G425="",0,IF(AND(OR(fClient="All",$C425=fClient),OR(fCampaign="All",$D425=fCampaign),OR(fTeam="All",$B425=fTeam),OR(fChannel="All",$F425=fChannel)),1,0))</f>
        <v>0</v>
      </c>
      <c r="AK425" s="71">
        <f>IF($G425="",0,IF(OR($M425="Completed",$M425="Cancelled"),0,1))</f>
        <v>0</v>
      </c>
      <c r="AL425" s="71">
        <f>IF(AND($AK425=1,ISNUMBER($L425)),IF($L425&lt;ReportDate,1,0),0)</f>
        <v>0</v>
      </c>
      <c r="AM425" s="71">
        <f>IF(AND($G425&lt;&gt;"",$M425="Blocked"),1,0)</f>
        <v>0</v>
      </c>
      <c r="AN425" s="71">
        <f>IF(AND($AK425=1,ISNUMBER($L425)),IF($L425=ReportDate,1,0),0)</f>
        <v>0</v>
      </c>
      <c r="AO425" s="71">
        <f>IF(AND($AK425=1,ISNUMBER($L425)),IF($L425=ReportDate+1,1,0),0)</f>
        <v>0</v>
      </c>
      <c r="AP425" s="71">
        <f>IF(AND($AK425=1,ISNUMBER($L425)),IF(AND($L425&gt;=ReportDate,$L425&lt;=ReportDate+DueSoonDays),1,0),0)</f>
        <v>0</v>
      </c>
      <c r="AQ425" s="71">
        <f>IF(AND($AK425=1,OR($I425="Critical",$I425="High")),1,0)</f>
        <v>0</v>
      </c>
      <c r="AR425" s="71">
        <f>IF($AK425=1,IF(ISNUMBER($Y425),IF(ReportDate-$Y425&gt;StaleDays,1,0),1),0)</f>
        <v>0</v>
      </c>
      <c r="AS425" s="71">
        <f>IF(AND($G425&lt;&gt;"",ISNUMBER($Q425),ISNUMBER($R425)),IF(AND($Q425&lt;$R425,OR($M425="Completed",AND(ISNUMBER($L425),$L425&lt;ReportDate))),1,0),0)</f>
        <v>0</v>
      </c>
      <c r="AT425" s="71">
        <f>IF($AK425=1,IF(OR($L425=ReportDate,$W425=ReportDate,$K425=ReportDate,$A425=ReportDate),1,0),0)</f>
        <v>0</v>
      </c>
      <c r="AU425" s="71">
        <f>IF($AK425=1,IF(OR($L425=ReportDate+1,$W425=ReportDate+1,$K425=ReportDate+1,$A425=ReportDate+1),1,0),0)</f>
        <v>0</v>
      </c>
      <c r="AV425" s="71">
        <f>IF(AND($G425&lt;&gt;"",$M425="Completed"),IF(OR($Y425=ReportDate-1,$A425=ReportDate-1),1,0),0)</f>
        <v>0</v>
      </c>
      <c r="AW425" s="71">
        <f>IF(AND($AK425=1,$Z425="Yes"),1,0)</f>
        <v>0</v>
      </c>
      <c r="AX425" s="71">
        <f>IF(AND($AK425=1,$AA425="Yes"),1,0)</f>
        <v>0</v>
      </c>
      <c r="AY425" s="71">
        <f>IF(AND($AM425=1,OR($I425="Critical",$I425="High")),1,0)</f>
        <v>0</v>
      </c>
      <c r="AZ425" s="71">
        <f>IF(AND($AK425=1,OR($C425=TCL_Client,$C425=MECCA_Client)),1,0)</f>
        <v>0</v>
      </c>
      <c r="BA425" s="71" t="str">
        <f>IF($G425="","",IFERROR(MATCH($I425,lst_Priority,0),5))</f>
        <v/>
      </c>
      <c r="BB425" s="71" t="str">
        <f>IF(AND($AL425=1,$AJ425=1),$BA425*100000+ROW(),"")</f>
        <v/>
      </c>
      <c r="BC425" s="71" t="str">
        <f>IF(AND($AM425=1,$AJ425=1),$BA425*100000+ROW(),"")</f>
        <v/>
      </c>
      <c r="BD425" s="71" t="str">
        <f>IF(AND($AP425=1,$AJ425=1),$BA425*100000+ROW(),"")</f>
        <v/>
      </c>
      <c r="BE425" s="71" t="str">
        <f>IF(AND($AT425=1,$AJ425=1),$BA425*100000+ROW(),"")</f>
        <v/>
      </c>
      <c r="BF425" s="71" t="str">
        <f>IF(AND($AU425=1,$AJ425=1),$BA425*100000+ROW(),"")</f>
        <v/>
      </c>
      <c r="BG425" s="71" t="str">
        <f>IF(AND($AV425=1,$AJ425=1),$BA425*100000+ROW(),"")</f>
        <v/>
      </c>
      <c r="BH425" s="71" t="str">
        <f>IF(AND($AW425=1,$AJ425=1),$BA425*100000+ROW(),"")</f>
        <v/>
      </c>
      <c r="BI425" s="71" t="str">
        <f>IF(AND($AX425=1,$AJ425=1),$BA425*100000+ROW(),"")</f>
        <v/>
      </c>
      <c r="BJ425" s="71" t="str">
        <f>IF(AND($AS425=1,$AJ425=1),$BA425*100000+ROW(),"")</f>
        <v/>
      </c>
      <c r="BK425" s="71" t="str">
        <f>IF(AND($AY425=1,$AJ425=1),$BA425*100000+ROW(),"")</f>
        <v/>
      </c>
      <c r="BL425" s="71" t="str">
        <f>IF(AND($AZ425=1),$BA425*100000+ROW(),"")</f>
        <v/>
      </c>
    </row>
    <row r="426">
      <c r="A426" s="63" t="n"/>
      <c r="B426" s="64" t="n"/>
      <c r="C426" s="64" t="n"/>
      <c r="D426" s="64" t="n"/>
      <c r="E426" s="64" t="n"/>
      <c r="F426" s="64" t="n"/>
      <c r="G426" s="65" t="n"/>
      <c r="H426" s="65" t="n"/>
      <c r="I426" s="64" t="n"/>
      <c r="J426" s="64" t="n"/>
      <c r="K426" s="63" t="n"/>
      <c r="L426" s="63" t="n"/>
      <c r="M426" s="64" t="n"/>
      <c r="N426" s="66" t="n"/>
      <c r="O426" s="65" t="n"/>
      <c r="P426" s="64" t="n"/>
      <c r="Q426" s="67" t="n"/>
      <c r="R426" s="67" t="n"/>
      <c r="S426" s="68" t="str">
        <f>IF(AND(ISNUMBER($Q426),ISNUMBER($R426)),$Q426-$R426,"")</f>
        <v/>
      </c>
      <c r="T426" s="65" t="n"/>
      <c r="U426" s="64" t="n"/>
      <c r="V426" s="65" t="n"/>
      <c r="W426" s="63" t="n"/>
      <c r="X426" s="65" t="n"/>
      <c r="Y426" s="63" t="n"/>
      <c r="Z426" s="64" t="n"/>
      <c r="AA426" s="64" t="n"/>
      <c r="AB426" s="65" t="n"/>
      <c r="AC426" s="69" t="str">
        <f>IF(OR($G426="",NOT(ISNUMBER($K426)),$AK426=0),"",MAX(0,ReportDate-$K426))</f>
        <v/>
      </c>
      <c r="AD426" s="69" t="str">
        <f>IF($G426="","",IF($AL426=1,ReportDate-$L426,0))</f>
        <v/>
      </c>
      <c r="AE426" s="70" t="str">
        <f>IF($G426="","",IF($M426="Completed",1,IF(ISNUMBER($N426),$N426,0)))</f>
        <v/>
      </c>
      <c r="AF426" s="70" t="str">
        <f>IF(AND(ISNUMBER($Q426),ISNUMBER($R426)),IF($R426&lt;&gt;0,$Q426/$R426,""),"")</f>
        <v/>
      </c>
      <c r="AG426" s="71" t="str">
        <f>IF($G426="","",IF($AL426=1,"OVERDUE",IF($AM426=1,"BLOCKED",IF($AN426=1,"DUE TODAY",IF($AO426=1,"DUE TOMORROW",IF($AQ426=1,"HIGH PRIORITY",IF($AR426=1,"NO RECENT UPDATE",""))))))) </f>
        <v/>
      </c>
      <c r="AH426" s="71" t="str">
        <f>IF($G426="","",IF(ISNUMBER($A426),IF(ISNUMBER($A426),YEAR($A426)&amp;"-"&amp;TEXT(MONTH($A426),"00"),""),IF(ISNUMBER($L426),IF(ISNUMBER($L426),YEAR($L426)&amp;"-"&amp;TEXT(MONTH($L426),"00"),""),"")))</f>
        <v/>
      </c>
      <c r="AI426" s="71">
        <f>IF($G426="",0,IF(AND(OR(fClient="All",$C426=fClient),OR(fCampaign="All",$D426=fCampaign),OR(fTeam="All",$B426=fTeam),OR(fChannel="All",$F426=fChannel),OR(fMonth="All",$AH426=fMonth),OR(fTStatus="All",$M426=fTStatus)),1,0))</f>
        <v>0</v>
      </c>
      <c r="AJ426" s="71">
        <f>IF($G426="",0,IF(AND(OR(fClient="All",$C426=fClient),OR(fCampaign="All",$D426=fCampaign),OR(fTeam="All",$B426=fTeam),OR(fChannel="All",$F426=fChannel)),1,0))</f>
        <v>0</v>
      </c>
      <c r="AK426" s="71">
        <f>IF($G426="",0,IF(OR($M426="Completed",$M426="Cancelled"),0,1))</f>
        <v>0</v>
      </c>
      <c r="AL426" s="71">
        <f>IF(AND($AK426=1,ISNUMBER($L426)),IF($L426&lt;ReportDate,1,0),0)</f>
        <v>0</v>
      </c>
      <c r="AM426" s="71">
        <f>IF(AND($G426&lt;&gt;"",$M426="Blocked"),1,0)</f>
        <v>0</v>
      </c>
      <c r="AN426" s="71">
        <f>IF(AND($AK426=1,ISNUMBER($L426)),IF($L426=ReportDate,1,0),0)</f>
        <v>0</v>
      </c>
      <c r="AO426" s="71">
        <f>IF(AND($AK426=1,ISNUMBER($L426)),IF($L426=ReportDate+1,1,0),0)</f>
        <v>0</v>
      </c>
      <c r="AP426" s="71">
        <f>IF(AND($AK426=1,ISNUMBER($L426)),IF(AND($L426&gt;=ReportDate,$L426&lt;=ReportDate+DueSoonDays),1,0),0)</f>
        <v>0</v>
      </c>
      <c r="AQ426" s="71">
        <f>IF(AND($AK426=1,OR($I426="Critical",$I426="High")),1,0)</f>
        <v>0</v>
      </c>
      <c r="AR426" s="71">
        <f>IF($AK426=1,IF(ISNUMBER($Y426),IF(ReportDate-$Y426&gt;StaleDays,1,0),1),0)</f>
        <v>0</v>
      </c>
      <c r="AS426" s="71">
        <f>IF(AND($G426&lt;&gt;"",ISNUMBER($Q426),ISNUMBER($R426)),IF(AND($Q426&lt;$R426,OR($M426="Completed",AND(ISNUMBER($L426),$L426&lt;ReportDate))),1,0),0)</f>
        <v>0</v>
      </c>
      <c r="AT426" s="71">
        <f>IF($AK426=1,IF(OR($L426=ReportDate,$W426=ReportDate,$K426=ReportDate,$A426=ReportDate),1,0),0)</f>
        <v>0</v>
      </c>
      <c r="AU426" s="71">
        <f>IF($AK426=1,IF(OR($L426=ReportDate+1,$W426=ReportDate+1,$K426=ReportDate+1,$A426=ReportDate+1),1,0),0)</f>
        <v>0</v>
      </c>
      <c r="AV426" s="71">
        <f>IF(AND($G426&lt;&gt;"",$M426="Completed"),IF(OR($Y426=ReportDate-1,$A426=ReportDate-1),1,0),0)</f>
        <v>0</v>
      </c>
      <c r="AW426" s="71">
        <f>IF(AND($AK426=1,$Z426="Yes"),1,0)</f>
        <v>0</v>
      </c>
      <c r="AX426" s="71">
        <f>IF(AND($AK426=1,$AA426="Yes"),1,0)</f>
        <v>0</v>
      </c>
      <c r="AY426" s="71">
        <f>IF(AND($AM426=1,OR($I426="Critical",$I426="High")),1,0)</f>
        <v>0</v>
      </c>
      <c r="AZ426" s="71">
        <f>IF(AND($AK426=1,OR($C426=TCL_Client,$C426=MECCA_Client)),1,0)</f>
        <v>0</v>
      </c>
      <c r="BA426" s="71" t="str">
        <f>IF($G426="","",IFERROR(MATCH($I426,lst_Priority,0),5))</f>
        <v/>
      </c>
      <c r="BB426" s="71" t="str">
        <f>IF(AND($AL426=1,$AJ426=1),$BA426*100000+ROW(),"")</f>
        <v/>
      </c>
      <c r="BC426" s="71" t="str">
        <f>IF(AND($AM426=1,$AJ426=1),$BA426*100000+ROW(),"")</f>
        <v/>
      </c>
      <c r="BD426" s="71" t="str">
        <f>IF(AND($AP426=1,$AJ426=1),$BA426*100000+ROW(),"")</f>
        <v/>
      </c>
      <c r="BE426" s="71" t="str">
        <f>IF(AND($AT426=1,$AJ426=1),$BA426*100000+ROW(),"")</f>
        <v/>
      </c>
      <c r="BF426" s="71" t="str">
        <f>IF(AND($AU426=1,$AJ426=1),$BA426*100000+ROW(),"")</f>
        <v/>
      </c>
      <c r="BG426" s="71" t="str">
        <f>IF(AND($AV426=1,$AJ426=1),$BA426*100000+ROW(),"")</f>
        <v/>
      </c>
      <c r="BH426" s="71" t="str">
        <f>IF(AND($AW426=1,$AJ426=1),$BA426*100000+ROW(),"")</f>
        <v/>
      </c>
      <c r="BI426" s="71" t="str">
        <f>IF(AND($AX426=1,$AJ426=1),$BA426*100000+ROW(),"")</f>
        <v/>
      </c>
      <c r="BJ426" s="71" t="str">
        <f>IF(AND($AS426=1,$AJ426=1),$BA426*100000+ROW(),"")</f>
        <v/>
      </c>
      <c r="BK426" s="71" t="str">
        <f>IF(AND($AY426=1,$AJ426=1),$BA426*100000+ROW(),"")</f>
        <v/>
      </c>
      <c r="BL426" s="71" t="str">
        <f>IF(AND($AZ426=1),$BA426*100000+ROW(),"")</f>
        <v/>
      </c>
    </row>
    <row r="427">
      <c r="A427" s="63" t="n"/>
      <c r="B427" s="64" t="n"/>
      <c r="C427" s="64" t="n"/>
      <c r="D427" s="64" t="n"/>
      <c r="E427" s="64" t="n"/>
      <c r="F427" s="64" t="n"/>
      <c r="G427" s="65" t="n"/>
      <c r="H427" s="65" t="n"/>
      <c r="I427" s="64" t="n"/>
      <c r="J427" s="64" t="n"/>
      <c r="K427" s="63" t="n"/>
      <c r="L427" s="63" t="n"/>
      <c r="M427" s="64" t="n"/>
      <c r="N427" s="66" t="n"/>
      <c r="O427" s="65" t="n"/>
      <c r="P427" s="64" t="n"/>
      <c r="Q427" s="67" t="n"/>
      <c r="R427" s="67" t="n"/>
      <c r="S427" s="68" t="str">
        <f>IF(AND(ISNUMBER($Q427),ISNUMBER($R427)),$Q427-$R427,"")</f>
        <v/>
      </c>
      <c r="T427" s="65" t="n"/>
      <c r="U427" s="64" t="n"/>
      <c r="V427" s="65" t="n"/>
      <c r="W427" s="63" t="n"/>
      <c r="X427" s="65" t="n"/>
      <c r="Y427" s="63" t="n"/>
      <c r="Z427" s="64" t="n"/>
      <c r="AA427" s="64" t="n"/>
      <c r="AB427" s="65" t="n"/>
      <c r="AC427" s="69" t="str">
        <f>IF(OR($G427="",NOT(ISNUMBER($K427)),$AK427=0),"",MAX(0,ReportDate-$K427))</f>
        <v/>
      </c>
      <c r="AD427" s="69" t="str">
        <f>IF($G427="","",IF($AL427=1,ReportDate-$L427,0))</f>
        <v/>
      </c>
      <c r="AE427" s="70" t="str">
        <f>IF($G427="","",IF($M427="Completed",1,IF(ISNUMBER($N427),$N427,0)))</f>
        <v/>
      </c>
      <c r="AF427" s="70" t="str">
        <f>IF(AND(ISNUMBER($Q427),ISNUMBER($R427)),IF($R427&lt;&gt;0,$Q427/$R427,""),"")</f>
        <v/>
      </c>
      <c r="AG427" s="71" t="str">
        <f>IF($G427="","",IF($AL427=1,"OVERDUE",IF($AM427=1,"BLOCKED",IF($AN427=1,"DUE TODAY",IF($AO427=1,"DUE TOMORROW",IF($AQ427=1,"HIGH PRIORITY",IF($AR427=1,"NO RECENT UPDATE",""))))))) </f>
        <v/>
      </c>
      <c r="AH427" s="71" t="str">
        <f>IF($G427="","",IF(ISNUMBER($A427),IF(ISNUMBER($A427),YEAR($A427)&amp;"-"&amp;TEXT(MONTH($A427),"00"),""),IF(ISNUMBER($L427),IF(ISNUMBER($L427),YEAR($L427)&amp;"-"&amp;TEXT(MONTH($L427),"00"),""),"")))</f>
        <v/>
      </c>
      <c r="AI427" s="71">
        <f>IF($G427="",0,IF(AND(OR(fClient="All",$C427=fClient),OR(fCampaign="All",$D427=fCampaign),OR(fTeam="All",$B427=fTeam),OR(fChannel="All",$F427=fChannel),OR(fMonth="All",$AH427=fMonth),OR(fTStatus="All",$M427=fTStatus)),1,0))</f>
        <v>0</v>
      </c>
      <c r="AJ427" s="71">
        <f>IF($G427="",0,IF(AND(OR(fClient="All",$C427=fClient),OR(fCampaign="All",$D427=fCampaign),OR(fTeam="All",$B427=fTeam),OR(fChannel="All",$F427=fChannel)),1,0))</f>
        <v>0</v>
      </c>
      <c r="AK427" s="71">
        <f>IF($G427="",0,IF(OR($M427="Completed",$M427="Cancelled"),0,1))</f>
        <v>0</v>
      </c>
      <c r="AL427" s="71">
        <f>IF(AND($AK427=1,ISNUMBER($L427)),IF($L427&lt;ReportDate,1,0),0)</f>
        <v>0</v>
      </c>
      <c r="AM427" s="71">
        <f>IF(AND($G427&lt;&gt;"",$M427="Blocked"),1,0)</f>
        <v>0</v>
      </c>
      <c r="AN427" s="71">
        <f>IF(AND($AK427=1,ISNUMBER($L427)),IF($L427=ReportDate,1,0),0)</f>
        <v>0</v>
      </c>
      <c r="AO427" s="71">
        <f>IF(AND($AK427=1,ISNUMBER($L427)),IF($L427=ReportDate+1,1,0),0)</f>
        <v>0</v>
      </c>
      <c r="AP427" s="71">
        <f>IF(AND($AK427=1,ISNUMBER($L427)),IF(AND($L427&gt;=ReportDate,$L427&lt;=ReportDate+DueSoonDays),1,0),0)</f>
        <v>0</v>
      </c>
      <c r="AQ427" s="71">
        <f>IF(AND($AK427=1,OR($I427="Critical",$I427="High")),1,0)</f>
        <v>0</v>
      </c>
      <c r="AR427" s="71">
        <f>IF($AK427=1,IF(ISNUMBER($Y427),IF(ReportDate-$Y427&gt;StaleDays,1,0),1),0)</f>
        <v>0</v>
      </c>
      <c r="AS427" s="71">
        <f>IF(AND($G427&lt;&gt;"",ISNUMBER($Q427),ISNUMBER($R427)),IF(AND($Q427&lt;$R427,OR($M427="Completed",AND(ISNUMBER($L427),$L427&lt;ReportDate))),1,0),0)</f>
        <v>0</v>
      </c>
      <c r="AT427" s="71">
        <f>IF($AK427=1,IF(OR($L427=ReportDate,$W427=ReportDate,$K427=ReportDate,$A427=ReportDate),1,0),0)</f>
        <v>0</v>
      </c>
      <c r="AU427" s="71">
        <f>IF($AK427=1,IF(OR($L427=ReportDate+1,$W427=ReportDate+1,$K427=ReportDate+1,$A427=ReportDate+1),1,0),0)</f>
        <v>0</v>
      </c>
      <c r="AV427" s="71">
        <f>IF(AND($G427&lt;&gt;"",$M427="Completed"),IF(OR($Y427=ReportDate-1,$A427=ReportDate-1),1,0),0)</f>
        <v>0</v>
      </c>
      <c r="AW427" s="71">
        <f>IF(AND($AK427=1,$Z427="Yes"),1,0)</f>
        <v>0</v>
      </c>
      <c r="AX427" s="71">
        <f>IF(AND($AK427=1,$AA427="Yes"),1,0)</f>
        <v>0</v>
      </c>
      <c r="AY427" s="71">
        <f>IF(AND($AM427=1,OR($I427="Critical",$I427="High")),1,0)</f>
        <v>0</v>
      </c>
      <c r="AZ427" s="71">
        <f>IF(AND($AK427=1,OR($C427=TCL_Client,$C427=MECCA_Client)),1,0)</f>
        <v>0</v>
      </c>
      <c r="BA427" s="71" t="str">
        <f>IF($G427="","",IFERROR(MATCH($I427,lst_Priority,0),5))</f>
        <v/>
      </c>
      <c r="BB427" s="71" t="str">
        <f>IF(AND($AL427=1,$AJ427=1),$BA427*100000+ROW(),"")</f>
        <v/>
      </c>
      <c r="BC427" s="71" t="str">
        <f>IF(AND($AM427=1,$AJ427=1),$BA427*100000+ROW(),"")</f>
        <v/>
      </c>
      <c r="BD427" s="71" t="str">
        <f>IF(AND($AP427=1,$AJ427=1),$BA427*100000+ROW(),"")</f>
        <v/>
      </c>
      <c r="BE427" s="71" t="str">
        <f>IF(AND($AT427=1,$AJ427=1),$BA427*100000+ROW(),"")</f>
        <v/>
      </c>
      <c r="BF427" s="71" t="str">
        <f>IF(AND($AU427=1,$AJ427=1),$BA427*100000+ROW(),"")</f>
        <v/>
      </c>
      <c r="BG427" s="71" t="str">
        <f>IF(AND($AV427=1,$AJ427=1),$BA427*100000+ROW(),"")</f>
        <v/>
      </c>
      <c r="BH427" s="71" t="str">
        <f>IF(AND($AW427=1,$AJ427=1),$BA427*100000+ROW(),"")</f>
        <v/>
      </c>
      <c r="BI427" s="71" t="str">
        <f>IF(AND($AX427=1,$AJ427=1),$BA427*100000+ROW(),"")</f>
        <v/>
      </c>
      <c r="BJ427" s="71" t="str">
        <f>IF(AND($AS427=1,$AJ427=1),$BA427*100000+ROW(),"")</f>
        <v/>
      </c>
      <c r="BK427" s="71" t="str">
        <f>IF(AND($AY427=1,$AJ427=1),$BA427*100000+ROW(),"")</f>
        <v/>
      </c>
      <c r="BL427" s="71" t="str">
        <f>IF(AND($AZ427=1),$BA427*100000+ROW(),"")</f>
        <v/>
      </c>
    </row>
    <row r="428">
      <c r="A428" s="63" t="n"/>
      <c r="B428" s="64" t="n"/>
      <c r="C428" s="64" t="n"/>
      <c r="D428" s="64" t="n"/>
      <c r="E428" s="64" t="n"/>
      <c r="F428" s="64" t="n"/>
      <c r="G428" s="65" t="n"/>
      <c r="H428" s="65" t="n"/>
      <c r="I428" s="64" t="n"/>
      <c r="J428" s="64" t="n"/>
      <c r="K428" s="63" t="n"/>
      <c r="L428" s="63" t="n"/>
      <c r="M428" s="64" t="n"/>
      <c r="N428" s="66" t="n"/>
      <c r="O428" s="65" t="n"/>
      <c r="P428" s="64" t="n"/>
      <c r="Q428" s="67" t="n"/>
      <c r="R428" s="67" t="n"/>
      <c r="S428" s="68" t="str">
        <f>IF(AND(ISNUMBER($Q428),ISNUMBER($R428)),$Q428-$R428,"")</f>
        <v/>
      </c>
      <c r="T428" s="65" t="n"/>
      <c r="U428" s="64" t="n"/>
      <c r="V428" s="65" t="n"/>
      <c r="W428" s="63" t="n"/>
      <c r="X428" s="65" t="n"/>
      <c r="Y428" s="63" t="n"/>
      <c r="Z428" s="64" t="n"/>
      <c r="AA428" s="64" t="n"/>
      <c r="AB428" s="65" t="n"/>
      <c r="AC428" s="69" t="str">
        <f>IF(OR($G428="",NOT(ISNUMBER($K428)),$AK428=0),"",MAX(0,ReportDate-$K428))</f>
        <v/>
      </c>
      <c r="AD428" s="69" t="str">
        <f>IF($G428="","",IF($AL428=1,ReportDate-$L428,0))</f>
        <v/>
      </c>
      <c r="AE428" s="70" t="str">
        <f>IF($G428="","",IF($M428="Completed",1,IF(ISNUMBER($N428),$N428,0)))</f>
        <v/>
      </c>
      <c r="AF428" s="70" t="str">
        <f>IF(AND(ISNUMBER($Q428),ISNUMBER($R428)),IF($R428&lt;&gt;0,$Q428/$R428,""),"")</f>
        <v/>
      </c>
      <c r="AG428" s="71" t="str">
        <f>IF($G428="","",IF($AL428=1,"OVERDUE",IF($AM428=1,"BLOCKED",IF($AN428=1,"DUE TODAY",IF($AO428=1,"DUE TOMORROW",IF($AQ428=1,"HIGH PRIORITY",IF($AR428=1,"NO RECENT UPDATE",""))))))) </f>
        <v/>
      </c>
      <c r="AH428" s="71" t="str">
        <f>IF($G428="","",IF(ISNUMBER($A428),IF(ISNUMBER($A428),YEAR($A428)&amp;"-"&amp;TEXT(MONTH($A428),"00"),""),IF(ISNUMBER($L428),IF(ISNUMBER($L428),YEAR($L428)&amp;"-"&amp;TEXT(MONTH($L428),"00"),""),"")))</f>
        <v/>
      </c>
      <c r="AI428" s="71">
        <f>IF($G428="",0,IF(AND(OR(fClient="All",$C428=fClient),OR(fCampaign="All",$D428=fCampaign),OR(fTeam="All",$B428=fTeam),OR(fChannel="All",$F428=fChannel),OR(fMonth="All",$AH428=fMonth),OR(fTStatus="All",$M428=fTStatus)),1,0))</f>
        <v>0</v>
      </c>
      <c r="AJ428" s="71">
        <f>IF($G428="",0,IF(AND(OR(fClient="All",$C428=fClient),OR(fCampaign="All",$D428=fCampaign),OR(fTeam="All",$B428=fTeam),OR(fChannel="All",$F428=fChannel)),1,0))</f>
        <v>0</v>
      </c>
      <c r="AK428" s="71">
        <f>IF($G428="",0,IF(OR($M428="Completed",$M428="Cancelled"),0,1))</f>
        <v>0</v>
      </c>
      <c r="AL428" s="71">
        <f>IF(AND($AK428=1,ISNUMBER($L428)),IF($L428&lt;ReportDate,1,0),0)</f>
        <v>0</v>
      </c>
      <c r="AM428" s="71">
        <f>IF(AND($G428&lt;&gt;"",$M428="Blocked"),1,0)</f>
        <v>0</v>
      </c>
      <c r="AN428" s="71">
        <f>IF(AND($AK428=1,ISNUMBER($L428)),IF($L428=ReportDate,1,0),0)</f>
        <v>0</v>
      </c>
      <c r="AO428" s="71">
        <f>IF(AND($AK428=1,ISNUMBER($L428)),IF($L428=ReportDate+1,1,0),0)</f>
        <v>0</v>
      </c>
      <c r="AP428" s="71">
        <f>IF(AND($AK428=1,ISNUMBER($L428)),IF(AND($L428&gt;=ReportDate,$L428&lt;=ReportDate+DueSoonDays),1,0),0)</f>
        <v>0</v>
      </c>
      <c r="AQ428" s="71">
        <f>IF(AND($AK428=1,OR($I428="Critical",$I428="High")),1,0)</f>
        <v>0</v>
      </c>
      <c r="AR428" s="71">
        <f>IF($AK428=1,IF(ISNUMBER($Y428),IF(ReportDate-$Y428&gt;StaleDays,1,0),1),0)</f>
        <v>0</v>
      </c>
      <c r="AS428" s="71">
        <f>IF(AND($G428&lt;&gt;"",ISNUMBER($Q428),ISNUMBER($R428)),IF(AND($Q428&lt;$R428,OR($M428="Completed",AND(ISNUMBER($L428),$L428&lt;ReportDate))),1,0),0)</f>
        <v>0</v>
      </c>
      <c r="AT428" s="71">
        <f>IF($AK428=1,IF(OR($L428=ReportDate,$W428=ReportDate,$K428=ReportDate,$A428=ReportDate),1,0),0)</f>
        <v>0</v>
      </c>
      <c r="AU428" s="71">
        <f>IF($AK428=1,IF(OR($L428=ReportDate+1,$W428=ReportDate+1,$K428=ReportDate+1,$A428=ReportDate+1),1,0),0)</f>
        <v>0</v>
      </c>
      <c r="AV428" s="71">
        <f>IF(AND($G428&lt;&gt;"",$M428="Completed"),IF(OR($Y428=ReportDate-1,$A428=ReportDate-1),1,0),0)</f>
        <v>0</v>
      </c>
      <c r="AW428" s="71">
        <f>IF(AND($AK428=1,$Z428="Yes"),1,0)</f>
        <v>0</v>
      </c>
      <c r="AX428" s="71">
        <f>IF(AND($AK428=1,$AA428="Yes"),1,0)</f>
        <v>0</v>
      </c>
      <c r="AY428" s="71">
        <f>IF(AND($AM428=1,OR($I428="Critical",$I428="High")),1,0)</f>
        <v>0</v>
      </c>
      <c r="AZ428" s="71">
        <f>IF(AND($AK428=1,OR($C428=TCL_Client,$C428=MECCA_Client)),1,0)</f>
        <v>0</v>
      </c>
      <c r="BA428" s="71" t="str">
        <f>IF($G428="","",IFERROR(MATCH($I428,lst_Priority,0),5))</f>
        <v/>
      </c>
      <c r="BB428" s="71" t="str">
        <f>IF(AND($AL428=1,$AJ428=1),$BA428*100000+ROW(),"")</f>
        <v/>
      </c>
      <c r="BC428" s="71" t="str">
        <f>IF(AND($AM428=1,$AJ428=1),$BA428*100000+ROW(),"")</f>
        <v/>
      </c>
      <c r="BD428" s="71" t="str">
        <f>IF(AND($AP428=1,$AJ428=1),$BA428*100000+ROW(),"")</f>
        <v/>
      </c>
      <c r="BE428" s="71" t="str">
        <f>IF(AND($AT428=1,$AJ428=1),$BA428*100000+ROW(),"")</f>
        <v/>
      </c>
      <c r="BF428" s="71" t="str">
        <f>IF(AND($AU428=1,$AJ428=1),$BA428*100000+ROW(),"")</f>
        <v/>
      </c>
      <c r="BG428" s="71" t="str">
        <f>IF(AND($AV428=1,$AJ428=1),$BA428*100000+ROW(),"")</f>
        <v/>
      </c>
      <c r="BH428" s="71" t="str">
        <f>IF(AND($AW428=1,$AJ428=1),$BA428*100000+ROW(),"")</f>
        <v/>
      </c>
      <c r="BI428" s="71" t="str">
        <f>IF(AND($AX428=1,$AJ428=1),$BA428*100000+ROW(),"")</f>
        <v/>
      </c>
      <c r="BJ428" s="71" t="str">
        <f>IF(AND($AS428=1,$AJ428=1),$BA428*100000+ROW(),"")</f>
        <v/>
      </c>
      <c r="BK428" s="71" t="str">
        <f>IF(AND($AY428=1,$AJ428=1),$BA428*100000+ROW(),"")</f>
        <v/>
      </c>
      <c r="BL428" s="71" t="str">
        <f>IF(AND($AZ428=1),$BA428*100000+ROW(),"")</f>
        <v/>
      </c>
    </row>
    <row r="429">
      <c r="A429" s="63" t="n"/>
      <c r="B429" s="64" t="n"/>
      <c r="C429" s="64" t="n"/>
      <c r="D429" s="64" t="n"/>
      <c r="E429" s="64" t="n"/>
      <c r="F429" s="64" t="n"/>
      <c r="G429" s="65" t="n"/>
      <c r="H429" s="65" t="n"/>
      <c r="I429" s="64" t="n"/>
      <c r="J429" s="64" t="n"/>
      <c r="K429" s="63" t="n"/>
      <c r="L429" s="63" t="n"/>
      <c r="M429" s="64" t="n"/>
      <c r="N429" s="66" t="n"/>
      <c r="O429" s="65" t="n"/>
      <c r="P429" s="64" t="n"/>
      <c r="Q429" s="67" t="n"/>
      <c r="R429" s="67" t="n"/>
      <c r="S429" s="68" t="str">
        <f>IF(AND(ISNUMBER($Q429),ISNUMBER($R429)),$Q429-$R429,"")</f>
        <v/>
      </c>
      <c r="T429" s="65" t="n"/>
      <c r="U429" s="64" t="n"/>
      <c r="V429" s="65" t="n"/>
      <c r="W429" s="63" t="n"/>
      <c r="X429" s="65" t="n"/>
      <c r="Y429" s="63" t="n"/>
      <c r="Z429" s="64" t="n"/>
      <c r="AA429" s="64" t="n"/>
      <c r="AB429" s="65" t="n"/>
      <c r="AC429" s="69" t="str">
        <f>IF(OR($G429="",NOT(ISNUMBER($K429)),$AK429=0),"",MAX(0,ReportDate-$K429))</f>
        <v/>
      </c>
      <c r="AD429" s="69" t="str">
        <f>IF($G429="","",IF($AL429=1,ReportDate-$L429,0))</f>
        <v/>
      </c>
      <c r="AE429" s="70" t="str">
        <f>IF($G429="","",IF($M429="Completed",1,IF(ISNUMBER($N429),$N429,0)))</f>
        <v/>
      </c>
      <c r="AF429" s="70" t="str">
        <f>IF(AND(ISNUMBER($Q429),ISNUMBER($R429)),IF($R429&lt;&gt;0,$Q429/$R429,""),"")</f>
        <v/>
      </c>
      <c r="AG429" s="71" t="str">
        <f>IF($G429="","",IF($AL429=1,"OVERDUE",IF($AM429=1,"BLOCKED",IF($AN429=1,"DUE TODAY",IF($AO429=1,"DUE TOMORROW",IF($AQ429=1,"HIGH PRIORITY",IF($AR429=1,"NO RECENT UPDATE",""))))))) </f>
        <v/>
      </c>
      <c r="AH429" s="71" t="str">
        <f>IF($G429="","",IF(ISNUMBER($A429),IF(ISNUMBER($A429),YEAR($A429)&amp;"-"&amp;TEXT(MONTH($A429),"00"),""),IF(ISNUMBER($L429),IF(ISNUMBER($L429),YEAR($L429)&amp;"-"&amp;TEXT(MONTH($L429),"00"),""),"")))</f>
        <v/>
      </c>
      <c r="AI429" s="71">
        <f>IF($G429="",0,IF(AND(OR(fClient="All",$C429=fClient),OR(fCampaign="All",$D429=fCampaign),OR(fTeam="All",$B429=fTeam),OR(fChannel="All",$F429=fChannel),OR(fMonth="All",$AH429=fMonth),OR(fTStatus="All",$M429=fTStatus)),1,0))</f>
        <v>0</v>
      </c>
      <c r="AJ429" s="71">
        <f>IF($G429="",0,IF(AND(OR(fClient="All",$C429=fClient),OR(fCampaign="All",$D429=fCampaign),OR(fTeam="All",$B429=fTeam),OR(fChannel="All",$F429=fChannel)),1,0))</f>
        <v>0</v>
      </c>
      <c r="AK429" s="71">
        <f>IF($G429="",0,IF(OR($M429="Completed",$M429="Cancelled"),0,1))</f>
        <v>0</v>
      </c>
      <c r="AL429" s="71">
        <f>IF(AND($AK429=1,ISNUMBER($L429)),IF($L429&lt;ReportDate,1,0),0)</f>
        <v>0</v>
      </c>
      <c r="AM429" s="71">
        <f>IF(AND($G429&lt;&gt;"",$M429="Blocked"),1,0)</f>
        <v>0</v>
      </c>
      <c r="AN429" s="71">
        <f>IF(AND($AK429=1,ISNUMBER($L429)),IF($L429=ReportDate,1,0),0)</f>
        <v>0</v>
      </c>
      <c r="AO429" s="71">
        <f>IF(AND($AK429=1,ISNUMBER($L429)),IF($L429=ReportDate+1,1,0),0)</f>
        <v>0</v>
      </c>
      <c r="AP429" s="71">
        <f>IF(AND($AK429=1,ISNUMBER($L429)),IF(AND($L429&gt;=ReportDate,$L429&lt;=ReportDate+DueSoonDays),1,0),0)</f>
        <v>0</v>
      </c>
      <c r="AQ429" s="71">
        <f>IF(AND($AK429=1,OR($I429="Critical",$I429="High")),1,0)</f>
        <v>0</v>
      </c>
      <c r="AR429" s="71">
        <f>IF($AK429=1,IF(ISNUMBER($Y429),IF(ReportDate-$Y429&gt;StaleDays,1,0),1),0)</f>
        <v>0</v>
      </c>
      <c r="AS429" s="71">
        <f>IF(AND($G429&lt;&gt;"",ISNUMBER($Q429),ISNUMBER($R429)),IF(AND($Q429&lt;$R429,OR($M429="Completed",AND(ISNUMBER($L429),$L429&lt;ReportDate))),1,0),0)</f>
        <v>0</v>
      </c>
      <c r="AT429" s="71">
        <f>IF($AK429=1,IF(OR($L429=ReportDate,$W429=ReportDate,$K429=ReportDate,$A429=ReportDate),1,0),0)</f>
        <v>0</v>
      </c>
      <c r="AU429" s="71">
        <f>IF($AK429=1,IF(OR($L429=ReportDate+1,$W429=ReportDate+1,$K429=ReportDate+1,$A429=ReportDate+1),1,0),0)</f>
        <v>0</v>
      </c>
      <c r="AV429" s="71">
        <f>IF(AND($G429&lt;&gt;"",$M429="Completed"),IF(OR($Y429=ReportDate-1,$A429=ReportDate-1),1,0),0)</f>
        <v>0</v>
      </c>
      <c r="AW429" s="71">
        <f>IF(AND($AK429=1,$Z429="Yes"),1,0)</f>
        <v>0</v>
      </c>
      <c r="AX429" s="71">
        <f>IF(AND($AK429=1,$AA429="Yes"),1,0)</f>
        <v>0</v>
      </c>
      <c r="AY429" s="71">
        <f>IF(AND($AM429=1,OR($I429="Critical",$I429="High")),1,0)</f>
        <v>0</v>
      </c>
      <c r="AZ429" s="71">
        <f>IF(AND($AK429=1,OR($C429=TCL_Client,$C429=MECCA_Client)),1,0)</f>
        <v>0</v>
      </c>
      <c r="BA429" s="71" t="str">
        <f>IF($G429="","",IFERROR(MATCH($I429,lst_Priority,0),5))</f>
        <v/>
      </c>
      <c r="BB429" s="71" t="str">
        <f>IF(AND($AL429=1,$AJ429=1),$BA429*100000+ROW(),"")</f>
        <v/>
      </c>
      <c r="BC429" s="71" t="str">
        <f>IF(AND($AM429=1,$AJ429=1),$BA429*100000+ROW(),"")</f>
        <v/>
      </c>
      <c r="BD429" s="71" t="str">
        <f>IF(AND($AP429=1,$AJ429=1),$BA429*100000+ROW(),"")</f>
        <v/>
      </c>
      <c r="BE429" s="71" t="str">
        <f>IF(AND($AT429=1,$AJ429=1),$BA429*100000+ROW(),"")</f>
        <v/>
      </c>
      <c r="BF429" s="71" t="str">
        <f>IF(AND($AU429=1,$AJ429=1),$BA429*100000+ROW(),"")</f>
        <v/>
      </c>
      <c r="BG429" s="71" t="str">
        <f>IF(AND($AV429=1,$AJ429=1),$BA429*100000+ROW(),"")</f>
        <v/>
      </c>
      <c r="BH429" s="71" t="str">
        <f>IF(AND($AW429=1,$AJ429=1),$BA429*100000+ROW(),"")</f>
        <v/>
      </c>
      <c r="BI429" s="71" t="str">
        <f>IF(AND($AX429=1,$AJ429=1),$BA429*100000+ROW(),"")</f>
        <v/>
      </c>
      <c r="BJ429" s="71" t="str">
        <f>IF(AND($AS429=1,$AJ429=1),$BA429*100000+ROW(),"")</f>
        <v/>
      </c>
      <c r="BK429" s="71" t="str">
        <f>IF(AND($AY429=1,$AJ429=1),$BA429*100000+ROW(),"")</f>
        <v/>
      </c>
      <c r="BL429" s="71" t="str">
        <f>IF(AND($AZ429=1),$BA429*100000+ROW(),"")</f>
        <v/>
      </c>
    </row>
    <row r="430">
      <c r="A430" s="63" t="n"/>
      <c r="B430" s="64" t="n"/>
      <c r="C430" s="64" t="n"/>
      <c r="D430" s="64" t="n"/>
      <c r="E430" s="64" t="n"/>
      <c r="F430" s="64" t="n"/>
      <c r="G430" s="65" t="n"/>
      <c r="H430" s="65" t="n"/>
      <c r="I430" s="64" t="n"/>
      <c r="J430" s="64" t="n"/>
      <c r="K430" s="63" t="n"/>
      <c r="L430" s="63" t="n"/>
      <c r="M430" s="64" t="n"/>
      <c r="N430" s="66" t="n"/>
      <c r="O430" s="65" t="n"/>
      <c r="P430" s="64" t="n"/>
      <c r="Q430" s="67" t="n"/>
      <c r="R430" s="67" t="n"/>
      <c r="S430" s="68" t="str">
        <f>IF(AND(ISNUMBER($Q430),ISNUMBER($R430)),$Q430-$R430,"")</f>
        <v/>
      </c>
      <c r="T430" s="65" t="n"/>
      <c r="U430" s="64" t="n"/>
      <c r="V430" s="65" t="n"/>
      <c r="W430" s="63" t="n"/>
      <c r="X430" s="65" t="n"/>
      <c r="Y430" s="63" t="n"/>
      <c r="Z430" s="64" t="n"/>
      <c r="AA430" s="64" t="n"/>
      <c r="AB430" s="65" t="n"/>
      <c r="AC430" s="69" t="str">
        <f>IF(OR($G430="",NOT(ISNUMBER($K430)),$AK430=0),"",MAX(0,ReportDate-$K430))</f>
        <v/>
      </c>
      <c r="AD430" s="69" t="str">
        <f>IF($G430="","",IF($AL430=1,ReportDate-$L430,0))</f>
        <v/>
      </c>
      <c r="AE430" s="70" t="str">
        <f>IF($G430="","",IF($M430="Completed",1,IF(ISNUMBER($N430),$N430,0)))</f>
        <v/>
      </c>
      <c r="AF430" s="70" t="str">
        <f>IF(AND(ISNUMBER($Q430),ISNUMBER($R430)),IF($R430&lt;&gt;0,$Q430/$R430,""),"")</f>
        <v/>
      </c>
      <c r="AG430" s="71" t="str">
        <f>IF($G430="","",IF($AL430=1,"OVERDUE",IF($AM430=1,"BLOCKED",IF($AN430=1,"DUE TODAY",IF($AO430=1,"DUE TOMORROW",IF($AQ430=1,"HIGH PRIORITY",IF($AR430=1,"NO RECENT UPDATE",""))))))) </f>
        <v/>
      </c>
      <c r="AH430" s="71" t="str">
        <f>IF($G430="","",IF(ISNUMBER($A430),IF(ISNUMBER($A430),YEAR($A430)&amp;"-"&amp;TEXT(MONTH($A430),"00"),""),IF(ISNUMBER($L430),IF(ISNUMBER($L430),YEAR($L430)&amp;"-"&amp;TEXT(MONTH($L430),"00"),""),"")))</f>
        <v/>
      </c>
      <c r="AI430" s="71">
        <f>IF($G430="",0,IF(AND(OR(fClient="All",$C430=fClient),OR(fCampaign="All",$D430=fCampaign),OR(fTeam="All",$B430=fTeam),OR(fChannel="All",$F430=fChannel),OR(fMonth="All",$AH430=fMonth),OR(fTStatus="All",$M430=fTStatus)),1,0))</f>
        <v>0</v>
      </c>
      <c r="AJ430" s="71">
        <f>IF($G430="",0,IF(AND(OR(fClient="All",$C430=fClient),OR(fCampaign="All",$D430=fCampaign),OR(fTeam="All",$B430=fTeam),OR(fChannel="All",$F430=fChannel)),1,0))</f>
        <v>0</v>
      </c>
      <c r="AK430" s="71">
        <f>IF($G430="",0,IF(OR($M430="Completed",$M430="Cancelled"),0,1))</f>
        <v>0</v>
      </c>
      <c r="AL430" s="71">
        <f>IF(AND($AK430=1,ISNUMBER($L430)),IF($L430&lt;ReportDate,1,0),0)</f>
        <v>0</v>
      </c>
      <c r="AM430" s="71">
        <f>IF(AND($G430&lt;&gt;"",$M430="Blocked"),1,0)</f>
        <v>0</v>
      </c>
      <c r="AN430" s="71">
        <f>IF(AND($AK430=1,ISNUMBER($L430)),IF($L430=ReportDate,1,0),0)</f>
        <v>0</v>
      </c>
      <c r="AO430" s="71">
        <f>IF(AND($AK430=1,ISNUMBER($L430)),IF($L430=ReportDate+1,1,0),0)</f>
        <v>0</v>
      </c>
      <c r="AP430" s="71">
        <f>IF(AND($AK430=1,ISNUMBER($L430)),IF(AND($L430&gt;=ReportDate,$L430&lt;=ReportDate+DueSoonDays),1,0),0)</f>
        <v>0</v>
      </c>
      <c r="AQ430" s="71">
        <f>IF(AND($AK430=1,OR($I430="Critical",$I430="High")),1,0)</f>
        <v>0</v>
      </c>
      <c r="AR430" s="71">
        <f>IF($AK430=1,IF(ISNUMBER($Y430),IF(ReportDate-$Y430&gt;StaleDays,1,0),1),0)</f>
        <v>0</v>
      </c>
      <c r="AS430" s="71">
        <f>IF(AND($G430&lt;&gt;"",ISNUMBER($Q430),ISNUMBER($R430)),IF(AND($Q430&lt;$R430,OR($M430="Completed",AND(ISNUMBER($L430),$L430&lt;ReportDate))),1,0),0)</f>
        <v>0</v>
      </c>
      <c r="AT430" s="71">
        <f>IF($AK430=1,IF(OR($L430=ReportDate,$W430=ReportDate,$K430=ReportDate,$A430=ReportDate),1,0),0)</f>
        <v>0</v>
      </c>
      <c r="AU430" s="71">
        <f>IF($AK430=1,IF(OR($L430=ReportDate+1,$W430=ReportDate+1,$K430=ReportDate+1,$A430=ReportDate+1),1,0),0)</f>
        <v>0</v>
      </c>
      <c r="AV430" s="71">
        <f>IF(AND($G430&lt;&gt;"",$M430="Completed"),IF(OR($Y430=ReportDate-1,$A430=ReportDate-1),1,0),0)</f>
        <v>0</v>
      </c>
      <c r="AW430" s="71">
        <f>IF(AND($AK430=1,$Z430="Yes"),1,0)</f>
        <v>0</v>
      </c>
      <c r="AX430" s="71">
        <f>IF(AND($AK430=1,$AA430="Yes"),1,0)</f>
        <v>0</v>
      </c>
      <c r="AY430" s="71">
        <f>IF(AND($AM430=1,OR($I430="Critical",$I430="High")),1,0)</f>
        <v>0</v>
      </c>
      <c r="AZ430" s="71">
        <f>IF(AND($AK430=1,OR($C430=TCL_Client,$C430=MECCA_Client)),1,0)</f>
        <v>0</v>
      </c>
      <c r="BA430" s="71" t="str">
        <f>IF($G430="","",IFERROR(MATCH($I430,lst_Priority,0),5))</f>
        <v/>
      </c>
      <c r="BB430" s="71" t="str">
        <f>IF(AND($AL430=1,$AJ430=1),$BA430*100000+ROW(),"")</f>
        <v/>
      </c>
      <c r="BC430" s="71" t="str">
        <f>IF(AND($AM430=1,$AJ430=1),$BA430*100000+ROW(),"")</f>
        <v/>
      </c>
      <c r="BD430" s="71" t="str">
        <f>IF(AND($AP430=1,$AJ430=1),$BA430*100000+ROW(),"")</f>
        <v/>
      </c>
      <c r="BE430" s="71" t="str">
        <f>IF(AND($AT430=1,$AJ430=1),$BA430*100000+ROW(),"")</f>
        <v/>
      </c>
      <c r="BF430" s="71" t="str">
        <f>IF(AND($AU430=1,$AJ430=1),$BA430*100000+ROW(),"")</f>
        <v/>
      </c>
      <c r="BG430" s="71" t="str">
        <f>IF(AND($AV430=1,$AJ430=1),$BA430*100000+ROW(),"")</f>
        <v/>
      </c>
      <c r="BH430" s="71" t="str">
        <f>IF(AND($AW430=1,$AJ430=1),$BA430*100000+ROW(),"")</f>
        <v/>
      </c>
      <c r="BI430" s="71" t="str">
        <f>IF(AND($AX430=1,$AJ430=1),$BA430*100000+ROW(),"")</f>
        <v/>
      </c>
      <c r="BJ430" s="71" t="str">
        <f>IF(AND($AS430=1,$AJ430=1),$BA430*100000+ROW(),"")</f>
        <v/>
      </c>
      <c r="BK430" s="71" t="str">
        <f>IF(AND($AY430=1,$AJ430=1),$BA430*100000+ROW(),"")</f>
        <v/>
      </c>
      <c r="BL430" s="71" t="str">
        <f>IF(AND($AZ430=1),$BA430*100000+ROW(),"")</f>
        <v/>
      </c>
    </row>
    <row r="431">
      <c r="A431" s="63" t="n"/>
      <c r="B431" s="64" t="n"/>
      <c r="C431" s="64" t="n"/>
      <c r="D431" s="64" t="n"/>
      <c r="E431" s="64" t="n"/>
      <c r="F431" s="64" t="n"/>
      <c r="G431" s="65" t="n"/>
      <c r="H431" s="65" t="n"/>
      <c r="I431" s="64" t="n"/>
      <c r="J431" s="64" t="n"/>
      <c r="K431" s="63" t="n"/>
      <c r="L431" s="63" t="n"/>
      <c r="M431" s="64" t="n"/>
      <c r="N431" s="66" t="n"/>
      <c r="O431" s="65" t="n"/>
      <c r="P431" s="64" t="n"/>
      <c r="Q431" s="67" t="n"/>
      <c r="R431" s="67" t="n"/>
      <c r="S431" s="68" t="str">
        <f>IF(AND(ISNUMBER($Q431),ISNUMBER($R431)),$Q431-$R431,"")</f>
        <v/>
      </c>
      <c r="T431" s="65" t="n"/>
      <c r="U431" s="64" t="n"/>
      <c r="V431" s="65" t="n"/>
      <c r="W431" s="63" t="n"/>
      <c r="X431" s="65" t="n"/>
      <c r="Y431" s="63" t="n"/>
      <c r="Z431" s="64" t="n"/>
      <c r="AA431" s="64" t="n"/>
      <c r="AB431" s="65" t="n"/>
      <c r="AC431" s="69" t="str">
        <f>IF(OR($G431="",NOT(ISNUMBER($K431)),$AK431=0),"",MAX(0,ReportDate-$K431))</f>
        <v/>
      </c>
      <c r="AD431" s="69" t="str">
        <f>IF($G431="","",IF($AL431=1,ReportDate-$L431,0))</f>
        <v/>
      </c>
      <c r="AE431" s="70" t="str">
        <f>IF($G431="","",IF($M431="Completed",1,IF(ISNUMBER($N431),$N431,0)))</f>
        <v/>
      </c>
      <c r="AF431" s="70" t="str">
        <f>IF(AND(ISNUMBER($Q431),ISNUMBER($R431)),IF($R431&lt;&gt;0,$Q431/$R431,""),"")</f>
        <v/>
      </c>
      <c r="AG431" s="71" t="str">
        <f>IF($G431="","",IF($AL431=1,"OVERDUE",IF($AM431=1,"BLOCKED",IF($AN431=1,"DUE TODAY",IF($AO431=1,"DUE TOMORROW",IF($AQ431=1,"HIGH PRIORITY",IF($AR431=1,"NO RECENT UPDATE",""))))))) </f>
        <v/>
      </c>
      <c r="AH431" s="71" t="str">
        <f>IF($G431="","",IF(ISNUMBER($A431),IF(ISNUMBER($A431),YEAR($A431)&amp;"-"&amp;TEXT(MONTH($A431),"00"),""),IF(ISNUMBER($L431),IF(ISNUMBER($L431),YEAR($L431)&amp;"-"&amp;TEXT(MONTH($L431),"00"),""),"")))</f>
        <v/>
      </c>
      <c r="AI431" s="71">
        <f>IF($G431="",0,IF(AND(OR(fClient="All",$C431=fClient),OR(fCampaign="All",$D431=fCampaign),OR(fTeam="All",$B431=fTeam),OR(fChannel="All",$F431=fChannel),OR(fMonth="All",$AH431=fMonth),OR(fTStatus="All",$M431=fTStatus)),1,0))</f>
        <v>0</v>
      </c>
      <c r="AJ431" s="71">
        <f>IF($G431="",0,IF(AND(OR(fClient="All",$C431=fClient),OR(fCampaign="All",$D431=fCampaign),OR(fTeam="All",$B431=fTeam),OR(fChannel="All",$F431=fChannel)),1,0))</f>
        <v>0</v>
      </c>
      <c r="AK431" s="71">
        <f>IF($G431="",0,IF(OR($M431="Completed",$M431="Cancelled"),0,1))</f>
        <v>0</v>
      </c>
      <c r="AL431" s="71">
        <f>IF(AND($AK431=1,ISNUMBER($L431)),IF($L431&lt;ReportDate,1,0),0)</f>
        <v>0</v>
      </c>
      <c r="AM431" s="71">
        <f>IF(AND($G431&lt;&gt;"",$M431="Blocked"),1,0)</f>
        <v>0</v>
      </c>
      <c r="AN431" s="71">
        <f>IF(AND($AK431=1,ISNUMBER($L431)),IF($L431=ReportDate,1,0),0)</f>
        <v>0</v>
      </c>
      <c r="AO431" s="71">
        <f>IF(AND($AK431=1,ISNUMBER($L431)),IF($L431=ReportDate+1,1,0),0)</f>
        <v>0</v>
      </c>
      <c r="AP431" s="71">
        <f>IF(AND($AK431=1,ISNUMBER($L431)),IF(AND($L431&gt;=ReportDate,$L431&lt;=ReportDate+DueSoonDays),1,0),0)</f>
        <v>0</v>
      </c>
      <c r="AQ431" s="71">
        <f>IF(AND($AK431=1,OR($I431="Critical",$I431="High")),1,0)</f>
        <v>0</v>
      </c>
      <c r="AR431" s="71">
        <f>IF($AK431=1,IF(ISNUMBER($Y431),IF(ReportDate-$Y431&gt;StaleDays,1,0),1),0)</f>
        <v>0</v>
      </c>
      <c r="AS431" s="71">
        <f>IF(AND($G431&lt;&gt;"",ISNUMBER($Q431),ISNUMBER($R431)),IF(AND($Q431&lt;$R431,OR($M431="Completed",AND(ISNUMBER($L431),$L431&lt;ReportDate))),1,0),0)</f>
        <v>0</v>
      </c>
      <c r="AT431" s="71">
        <f>IF($AK431=1,IF(OR($L431=ReportDate,$W431=ReportDate,$K431=ReportDate,$A431=ReportDate),1,0),0)</f>
        <v>0</v>
      </c>
      <c r="AU431" s="71">
        <f>IF($AK431=1,IF(OR($L431=ReportDate+1,$W431=ReportDate+1,$K431=ReportDate+1,$A431=ReportDate+1),1,0),0)</f>
        <v>0</v>
      </c>
      <c r="AV431" s="71">
        <f>IF(AND($G431&lt;&gt;"",$M431="Completed"),IF(OR($Y431=ReportDate-1,$A431=ReportDate-1),1,0),0)</f>
        <v>0</v>
      </c>
      <c r="AW431" s="71">
        <f>IF(AND($AK431=1,$Z431="Yes"),1,0)</f>
        <v>0</v>
      </c>
      <c r="AX431" s="71">
        <f>IF(AND($AK431=1,$AA431="Yes"),1,0)</f>
        <v>0</v>
      </c>
      <c r="AY431" s="71">
        <f>IF(AND($AM431=1,OR($I431="Critical",$I431="High")),1,0)</f>
        <v>0</v>
      </c>
      <c r="AZ431" s="71">
        <f>IF(AND($AK431=1,OR($C431=TCL_Client,$C431=MECCA_Client)),1,0)</f>
        <v>0</v>
      </c>
      <c r="BA431" s="71" t="str">
        <f>IF($G431="","",IFERROR(MATCH($I431,lst_Priority,0),5))</f>
        <v/>
      </c>
      <c r="BB431" s="71" t="str">
        <f>IF(AND($AL431=1,$AJ431=1),$BA431*100000+ROW(),"")</f>
        <v/>
      </c>
      <c r="BC431" s="71" t="str">
        <f>IF(AND($AM431=1,$AJ431=1),$BA431*100000+ROW(),"")</f>
        <v/>
      </c>
      <c r="BD431" s="71" t="str">
        <f>IF(AND($AP431=1,$AJ431=1),$BA431*100000+ROW(),"")</f>
        <v/>
      </c>
      <c r="BE431" s="71" t="str">
        <f>IF(AND($AT431=1,$AJ431=1),$BA431*100000+ROW(),"")</f>
        <v/>
      </c>
      <c r="BF431" s="71" t="str">
        <f>IF(AND($AU431=1,$AJ431=1),$BA431*100000+ROW(),"")</f>
        <v/>
      </c>
      <c r="BG431" s="71" t="str">
        <f>IF(AND($AV431=1,$AJ431=1),$BA431*100000+ROW(),"")</f>
        <v/>
      </c>
      <c r="BH431" s="71" t="str">
        <f>IF(AND($AW431=1,$AJ431=1),$BA431*100000+ROW(),"")</f>
        <v/>
      </c>
      <c r="BI431" s="71" t="str">
        <f>IF(AND($AX431=1,$AJ431=1),$BA431*100000+ROW(),"")</f>
        <v/>
      </c>
      <c r="BJ431" s="71" t="str">
        <f>IF(AND($AS431=1,$AJ431=1),$BA431*100000+ROW(),"")</f>
        <v/>
      </c>
      <c r="BK431" s="71" t="str">
        <f>IF(AND($AY431=1,$AJ431=1),$BA431*100000+ROW(),"")</f>
        <v/>
      </c>
      <c r="BL431" s="71" t="str">
        <f>IF(AND($AZ431=1),$BA431*100000+ROW(),"")</f>
        <v/>
      </c>
    </row>
    <row r="432">
      <c r="A432" s="63" t="n"/>
      <c r="B432" s="64" t="n"/>
      <c r="C432" s="64" t="n"/>
      <c r="D432" s="64" t="n"/>
      <c r="E432" s="64" t="n"/>
      <c r="F432" s="64" t="n"/>
      <c r="G432" s="65" t="n"/>
      <c r="H432" s="65" t="n"/>
      <c r="I432" s="64" t="n"/>
      <c r="J432" s="64" t="n"/>
      <c r="K432" s="63" t="n"/>
      <c r="L432" s="63" t="n"/>
      <c r="M432" s="64" t="n"/>
      <c r="N432" s="66" t="n"/>
      <c r="O432" s="65" t="n"/>
      <c r="P432" s="64" t="n"/>
      <c r="Q432" s="67" t="n"/>
      <c r="R432" s="67" t="n"/>
      <c r="S432" s="68" t="str">
        <f>IF(AND(ISNUMBER($Q432),ISNUMBER($R432)),$Q432-$R432,"")</f>
        <v/>
      </c>
      <c r="T432" s="65" t="n"/>
      <c r="U432" s="64" t="n"/>
      <c r="V432" s="65" t="n"/>
      <c r="W432" s="63" t="n"/>
      <c r="X432" s="65" t="n"/>
      <c r="Y432" s="63" t="n"/>
      <c r="Z432" s="64" t="n"/>
      <c r="AA432" s="64" t="n"/>
      <c r="AB432" s="65" t="n"/>
      <c r="AC432" s="69" t="str">
        <f>IF(OR($G432="",NOT(ISNUMBER($K432)),$AK432=0),"",MAX(0,ReportDate-$K432))</f>
        <v/>
      </c>
      <c r="AD432" s="69" t="str">
        <f>IF($G432="","",IF($AL432=1,ReportDate-$L432,0))</f>
        <v/>
      </c>
      <c r="AE432" s="70" t="str">
        <f>IF($G432="","",IF($M432="Completed",1,IF(ISNUMBER($N432),$N432,0)))</f>
        <v/>
      </c>
      <c r="AF432" s="70" t="str">
        <f>IF(AND(ISNUMBER($Q432),ISNUMBER($R432)),IF($R432&lt;&gt;0,$Q432/$R432,""),"")</f>
        <v/>
      </c>
      <c r="AG432" s="71" t="str">
        <f>IF($G432="","",IF($AL432=1,"OVERDUE",IF($AM432=1,"BLOCKED",IF($AN432=1,"DUE TODAY",IF($AO432=1,"DUE TOMORROW",IF($AQ432=1,"HIGH PRIORITY",IF($AR432=1,"NO RECENT UPDATE",""))))))) </f>
        <v/>
      </c>
      <c r="AH432" s="71" t="str">
        <f>IF($G432="","",IF(ISNUMBER($A432),IF(ISNUMBER($A432),YEAR($A432)&amp;"-"&amp;TEXT(MONTH($A432),"00"),""),IF(ISNUMBER($L432),IF(ISNUMBER($L432),YEAR($L432)&amp;"-"&amp;TEXT(MONTH($L432),"00"),""),"")))</f>
        <v/>
      </c>
      <c r="AI432" s="71">
        <f>IF($G432="",0,IF(AND(OR(fClient="All",$C432=fClient),OR(fCampaign="All",$D432=fCampaign),OR(fTeam="All",$B432=fTeam),OR(fChannel="All",$F432=fChannel),OR(fMonth="All",$AH432=fMonth),OR(fTStatus="All",$M432=fTStatus)),1,0))</f>
        <v>0</v>
      </c>
      <c r="AJ432" s="71">
        <f>IF($G432="",0,IF(AND(OR(fClient="All",$C432=fClient),OR(fCampaign="All",$D432=fCampaign),OR(fTeam="All",$B432=fTeam),OR(fChannel="All",$F432=fChannel)),1,0))</f>
        <v>0</v>
      </c>
      <c r="AK432" s="71">
        <f>IF($G432="",0,IF(OR($M432="Completed",$M432="Cancelled"),0,1))</f>
        <v>0</v>
      </c>
      <c r="AL432" s="71">
        <f>IF(AND($AK432=1,ISNUMBER($L432)),IF($L432&lt;ReportDate,1,0),0)</f>
        <v>0</v>
      </c>
      <c r="AM432" s="71">
        <f>IF(AND($G432&lt;&gt;"",$M432="Blocked"),1,0)</f>
        <v>0</v>
      </c>
      <c r="AN432" s="71">
        <f>IF(AND($AK432=1,ISNUMBER($L432)),IF($L432=ReportDate,1,0),0)</f>
        <v>0</v>
      </c>
      <c r="AO432" s="71">
        <f>IF(AND($AK432=1,ISNUMBER($L432)),IF($L432=ReportDate+1,1,0),0)</f>
        <v>0</v>
      </c>
      <c r="AP432" s="71">
        <f>IF(AND($AK432=1,ISNUMBER($L432)),IF(AND($L432&gt;=ReportDate,$L432&lt;=ReportDate+DueSoonDays),1,0),0)</f>
        <v>0</v>
      </c>
      <c r="AQ432" s="71">
        <f>IF(AND($AK432=1,OR($I432="Critical",$I432="High")),1,0)</f>
        <v>0</v>
      </c>
      <c r="AR432" s="71">
        <f>IF($AK432=1,IF(ISNUMBER($Y432),IF(ReportDate-$Y432&gt;StaleDays,1,0),1),0)</f>
        <v>0</v>
      </c>
      <c r="AS432" s="71">
        <f>IF(AND($G432&lt;&gt;"",ISNUMBER($Q432),ISNUMBER($R432)),IF(AND($Q432&lt;$R432,OR($M432="Completed",AND(ISNUMBER($L432),$L432&lt;ReportDate))),1,0),0)</f>
        <v>0</v>
      </c>
      <c r="AT432" s="71">
        <f>IF($AK432=1,IF(OR($L432=ReportDate,$W432=ReportDate,$K432=ReportDate,$A432=ReportDate),1,0),0)</f>
        <v>0</v>
      </c>
      <c r="AU432" s="71">
        <f>IF($AK432=1,IF(OR($L432=ReportDate+1,$W432=ReportDate+1,$K432=ReportDate+1,$A432=ReportDate+1),1,0),0)</f>
        <v>0</v>
      </c>
      <c r="AV432" s="71">
        <f>IF(AND($G432&lt;&gt;"",$M432="Completed"),IF(OR($Y432=ReportDate-1,$A432=ReportDate-1),1,0),0)</f>
        <v>0</v>
      </c>
      <c r="AW432" s="71">
        <f>IF(AND($AK432=1,$Z432="Yes"),1,0)</f>
        <v>0</v>
      </c>
      <c r="AX432" s="71">
        <f>IF(AND($AK432=1,$AA432="Yes"),1,0)</f>
        <v>0</v>
      </c>
      <c r="AY432" s="71">
        <f>IF(AND($AM432=1,OR($I432="Critical",$I432="High")),1,0)</f>
        <v>0</v>
      </c>
      <c r="AZ432" s="71">
        <f>IF(AND($AK432=1,OR($C432=TCL_Client,$C432=MECCA_Client)),1,0)</f>
        <v>0</v>
      </c>
      <c r="BA432" s="71" t="str">
        <f>IF($G432="","",IFERROR(MATCH($I432,lst_Priority,0),5))</f>
        <v/>
      </c>
      <c r="BB432" s="71" t="str">
        <f>IF(AND($AL432=1,$AJ432=1),$BA432*100000+ROW(),"")</f>
        <v/>
      </c>
      <c r="BC432" s="71" t="str">
        <f>IF(AND($AM432=1,$AJ432=1),$BA432*100000+ROW(),"")</f>
        <v/>
      </c>
      <c r="BD432" s="71" t="str">
        <f>IF(AND($AP432=1,$AJ432=1),$BA432*100000+ROW(),"")</f>
        <v/>
      </c>
      <c r="BE432" s="71" t="str">
        <f>IF(AND($AT432=1,$AJ432=1),$BA432*100000+ROW(),"")</f>
        <v/>
      </c>
      <c r="BF432" s="71" t="str">
        <f>IF(AND($AU432=1,$AJ432=1),$BA432*100000+ROW(),"")</f>
        <v/>
      </c>
      <c r="BG432" s="71" t="str">
        <f>IF(AND($AV432=1,$AJ432=1),$BA432*100000+ROW(),"")</f>
        <v/>
      </c>
      <c r="BH432" s="71" t="str">
        <f>IF(AND($AW432=1,$AJ432=1),$BA432*100000+ROW(),"")</f>
        <v/>
      </c>
      <c r="BI432" s="71" t="str">
        <f>IF(AND($AX432=1,$AJ432=1),$BA432*100000+ROW(),"")</f>
        <v/>
      </c>
      <c r="BJ432" s="71" t="str">
        <f>IF(AND($AS432=1,$AJ432=1),$BA432*100000+ROW(),"")</f>
        <v/>
      </c>
      <c r="BK432" s="71" t="str">
        <f>IF(AND($AY432=1,$AJ432=1),$BA432*100000+ROW(),"")</f>
        <v/>
      </c>
      <c r="BL432" s="71" t="str">
        <f>IF(AND($AZ432=1),$BA432*100000+ROW(),"")</f>
        <v/>
      </c>
    </row>
    <row r="433">
      <c r="A433" s="63" t="n"/>
      <c r="B433" s="64" t="n"/>
      <c r="C433" s="64" t="n"/>
      <c r="D433" s="64" t="n"/>
      <c r="E433" s="64" t="n"/>
      <c r="F433" s="64" t="n"/>
      <c r="G433" s="65" t="n"/>
      <c r="H433" s="65" t="n"/>
      <c r="I433" s="64" t="n"/>
      <c r="J433" s="64" t="n"/>
      <c r="K433" s="63" t="n"/>
      <c r="L433" s="63" t="n"/>
      <c r="M433" s="64" t="n"/>
      <c r="N433" s="66" t="n"/>
      <c r="O433" s="65" t="n"/>
      <c r="P433" s="64" t="n"/>
      <c r="Q433" s="67" t="n"/>
      <c r="R433" s="67" t="n"/>
      <c r="S433" s="68" t="str">
        <f>IF(AND(ISNUMBER($Q433),ISNUMBER($R433)),$Q433-$R433,"")</f>
        <v/>
      </c>
      <c r="T433" s="65" t="n"/>
      <c r="U433" s="64" t="n"/>
      <c r="V433" s="65" t="n"/>
      <c r="W433" s="63" t="n"/>
      <c r="X433" s="65" t="n"/>
      <c r="Y433" s="63" t="n"/>
      <c r="Z433" s="64" t="n"/>
      <c r="AA433" s="64" t="n"/>
      <c r="AB433" s="65" t="n"/>
      <c r="AC433" s="69" t="str">
        <f>IF(OR($G433="",NOT(ISNUMBER($K433)),$AK433=0),"",MAX(0,ReportDate-$K433))</f>
        <v/>
      </c>
      <c r="AD433" s="69" t="str">
        <f>IF($G433="","",IF($AL433=1,ReportDate-$L433,0))</f>
        <v/>
      </c>
      <c r="AE433" s="70" t="str">
        <f>IF($G433="","",IF($M433="Completed",1,IF(ISNUMBER($N433),$N433,0)))</f>
        <v/>
      </c>
      <c r="AF433" s="70" t="str">
        <f>IF(AND(ISNUMBER($Q433),ISNUMBER($R433)),IF($R433&lt;&gt;0,$Q433/$R433,""),"")</f>
        <v/>
      </c>
      <c r="AG433" s="71" t="str">
        <f>IF($G433="","",IF($AL433=1,"OVERDUE",IF($AM433=1,"BLOCKED",IF($AN433=1,"DUE TODAY",IF($AO433=1,"DUE TOMORROW",IF($AQ433=1,"HIGH PRIORITY",IF($AR433=1,"NO RECENT UPDATE",""))))))) </f>
        <v/>
      </c>
      <c r="AH433" s="71" t="str">
        <f>IF($G433="","",IF(ISNUMBER($A433),IF(ISNUMBER($A433),YEAR($A433)&amp;"-"&amp;TEXT(MONTH($A433),"00"),""),IF(ISNUMBER($L433),IF(ISNUMBER($L433),YEAR($L433)&amp;"-"&amp;TEXT(MONTH($L433),"00"),""),"")))</f>
        <v/>
      </c>
      <c r="AI433" s="71">
        <f>IF($G433="",0,IF(AND(OR(fClient="All",$C433=fClient),OR(fCampaign="All",$D433=fCampaign),OR(fTeam="All",$B433=fTeam),OR(fChannel="All",$F433=fChannel),OR(fMonth="All",$AH433=fMonth),OR(fTStatus="All",$M433=fTStatus)),1,0))</f>
        <v>0</v>
      </c>
      <c r="AJ433" s="71">
        <f>IF($G433="",0,IF(AND(OR(fClient="All",$C433=fClient),OR(fCampaign="All",$D433=fCampaign),OR(fTeam="All",$B433=fTeam),OR(fChannel="All",$F433=fChannel)),1,0))</f>
        <v>0</v>
      </c>
      <c r="AK433" s="71">
        <f>IF($G433="",0,IF(OR($M433="Completed",$M433="Cancelled"),0,1))</f>
        <v>0</v>
      </c>
      <c r="AL433" s="71">
        <f>IF(AND($AK433=1,ISNUMBER($L433)),IF($L433&lt;ReportDate,1,0),0)</f>
        <v>0</v>
      </c>
      <c r="AM433" s="71">
        <f>IF(AND($G433&lt;&gt;"",$M433="Blocked"),1,0)</f>
        <v>0</v>
      </c>
      <c r="AN433" s="71">
        <f>IF(AND($AK433=1,ISNUMBER($L433)),IF($L433=ReportDate,1,0),0)</f>
        <v>0</v>
      </c>
      <c r="AO433" s="71">
        <f>IF(AND($AK433=1,ISNUMBER($L433)),IF($L433=ReportDate+1,1,0),0)</f>
        <v>0</v>
      </c>
      <c r="AP433" s="71">
        <f>IF(AND($AK433=1,ISNUMBER($L433)),IF(AND($L433&gt;=ReportDate,$L433&lt;=ReportDate+DueSoonDays),1,0),0)</f>
        <v>0</v>
      </c>
      <c r="AQ433" s="71">
        <f>IF(AND($AK433=1,OR($I433="Critical",$I433="High")),1,0)</f>
        <v>0</v>
      </c>
      <c r="AR433" s="71">
        <f>IF($AK433=1,IF(ISNUMBER($Y433),IF(ReportDate-$Y433&gt;StaleDays,1,0),1),0)</f>
        <v>0</v>
      </c>
      <c r="AS433" s="71">
        <f>IF(AND($G433&lt;&gt;"",ISNUMBER($Q433),ISNUMBER($R433)),IF(AND($Q433&lt;$R433,OR($M433="Completed",AND(ISNUMBER($L433),$L433&lt;ReportDate))),1,0),0)</f>
        <v>0</v>
      </c>
      <c r="AT433" s="71">
        <f>IF($AK433=1,IF(OR($L433=ReportDate,$W433=ReportDate,$K433=ReportDate,$A433=ReportDate),1,0),0)</f>
        <v>0</v>
      </c>
      <c r="AU433" s="71">
        <f>IF($AK433=1,IF(OR($L433=ReportDate+1,$W433=ReportDate+1,$K433=ReportDate+1,$A433=ReportDate+1),1,0),0)</f>
        <v>0</v>
      </c>
      <c r="AV433" s="71">
        <f>IF(AND($G433&lt;&gt;"",$M433="Completed"),IF(OR($Y433=ReportDate-1,$A433=ReportDate-1),1,0),0)</f>
        <v>0</v>
      </c>
      <c r="AW433" s="71">
        <f>IF(AND($AK433=1,$Z433="Yes"),1,0)</f>
        <v>0</v>
      </c>
      <c r="AX433" s="71">
        <f>IF(AND($AK433=1,$AA433="Yes"),1,0)</f>
        <v>0</v>
      </c>
      <c r="AY433" s="71">
        <f>IF(AND($AM433=1,OR($I433="Critical",$I433="High")),1,0)</f>
        <v>0</v>
      </c>
      <c r="AZ433" s="71">
        <f>IF(AND($AK433=1,OR($C433=TCL_Client,$C433=MECCA_Client)),1,0)</f>
        <v>0</v>
      </c>
      <c r="BA433" s="71" t="str">
        <f>IF($G433="","",IFERROR(MATCH($I433,lst_Priority,0),5))</f>
        <v/>
      </c>
      <c r="BB433" s="71" t="str">
        <f>IF(AND($AL433=1,$AJ433=1),$BA433*100000+ROW(),"")</f>
        <v/>
      </c>
      <c r="BC433" s="71" t="str">
        <f>IF(AND($AM433=1,$AJ433=1),$BA433*100000+ROW(),"")</f>
        <v/>
      </c>
      <c r="BD433" s="71" t="str">
        <f>IF(AND($AP433=1,$AJ433=1),$BA433*100000+ROW(),"")</f>
        <v/>
      </c>
      <c r="BE433" s="71" t="str">
        <f>IF(AND($AT433=1,$AJ433=1),$BA433*100000+ROW(),"")</f>
        <v/>
      </c>
      <c r="BF433" s="71" t="str">
        <f>IF(AND($AU433=1,$AJ433=1),$BA433*100000+ROW(),"")</f>
        <v/>
      </c>
      <c r="BG433" s="71" t="str">
        <f>IF(AND($AV433=1,$AJ433=1),$BA433*100000+ROW(),"")</f>
        <v/>
      </c>
      <c r="BH433" s="71" t="str">
        <f>IF(AND($AW433=1,$AJ433=1),$BA433*100000+ROW(),"")</f>
        <v/>
      </c>
      <c r="BI433" s="71" t="str">
        <f>IF(AND($AX433=1,$AJ433=1),$BA433*100000+ROW(),"")</f>
        <v/>
      </c>
      <c r="BJ433" s="71" t="str">
        <f>IF(AND($AS433=1,$AJ433=1),$BA433*100000+ROW(),"")</f>
        <v/>
      </c>
      <c r="BK433" s="71" t="str">
        <f>IF(AND($AY433=1,$AJ433=1),$BA433*100000+ROW(),"")</f>
        <v/>
      </c>
      <c r="BL433" s="71" t="str">
        <f>IF(AND($AZ433=1),$BA433*100000+ROW(),"")</f>
        <v/>
      </c>
    </row>
    <row r="434">
      <c r="A434" s="63" t="n"/>
      <c r="B434" s="64" t="n"/>
      <c r="C434" s="64" t="n"/>
      <c r="D434" s="64" t="n"/>
      <c r="E434" s="64" t="n"/>
      <c r="F434" s="64" t="n"/>
      <c r="G434" s="65" t="n"/>
      <c r="H434" s="65" t="n"/>
      <c r="I434" s="64" t="n"/>
      <c r="J434" s="64" t="n"/>
      <c r="K434" s="63" t="n"/>
      <c r="L434" s="63" t="n"/>
      <c r="M434" s="64" t="n"/>
      <c r="N434" s="66" t="n"/>
      <c r="O434" s="65" t="n"/>
      <c r="P434" s="64" t="n"/>
      <c r="Q434" s="67" t="n"/>
      <c r="R434" s="67" t="n"/>
      <c r="S434" s="68" t="str">
        <f>IF(AND(ISNUMBER($Q434),ISNUMBER($R434)),$Q434-$R434,"")</f>
        <v/>
      </c>
      <c r="T434" s="65" t="n"/>
      <c r="U434" s="64" t="n"/>
      <c r="V434" s="65" t="n"/>
      <c r="W434" s="63" t="n"/>
      <c r="X434" s="65" t="n"/>
      <c r="Y434" s="63" t="n"/>
      <c r="Z434" s="64" t="n"/>
      <c r="AA434" s="64" t="n"/>
      <c r="AB434" s="65" t="n"/>
      <c r="AC434" s="69" t="str">
        <f>IF(OR($G434="",NOT(ISNUMBER($K434)),$AK434=0),"",MAX(0,ReportDate-$K434))</f>
        <v/>
      </c>
      <c r="AD434" s="69" t="str">
        <f>IF($G434="","",IF($AL434=1,ReportDate-$L434,0))</f>
        <v/>
      </c>
      <c r="AE434" s="70" t="str">
        <f>IF($G434="","",IF($M434="Completed",1,IF(ISNUMBER($N434),$N434,0)))</f>
        <v/>
      </c>
      <c r="AF434" s="70" t="str">
        <f>IF(AND(ISNUMBER($Q434),ISNUMBER($R434)),IF($R434&lt;&gt;0,$Q434/$R434,""),"")</f>
        <v/>
      </c>
      <c r="AG434" s="71" t="str">
        <f>IF($G434="","",IF($AL434=1,"OVERDUE",IF($AM434=1,"BLOCKED",IF($AN434=1,"DUE TODAY",IF($AO434=1,"DUE TOMORROW",IF($AQ434=1,"HIGH PRIORITY",IF($AR434=1,"NO RECENT UPDATE",""))))))) </f>
        <v/>
      </c>
      <c r="AH434" s="71" t="str">
        <f>IF($G434="","",IF(ISNUMBER($A434),IF(ISNUMBER($A434),YEAR($A434)&amp;"-"&amp;TEXT(MONTH($A434),"00"),""),IF(ISNUMBER($L434),IF(ISNUMBER($L434),YEAR($L434)&amp;"-"&amp;TEXT(MONTH($L434),"00"),""),"")))</f>
        <v/>
      </c>
      <c r="AI434" s="71">
        <f>IF($G434="",0,IF(AND(OR(fClient="All",$C434=fClient),OR(fCampaign="All",$D434=fCampaign),OR(fTeam="All",$B434=fTeam),OR(fChannel="All",$F434=fChannel),OR(fMonth="All",$AH434=fMonth),OR(fTStatus="All",$M434=fTStatus)),1,0))</f>
        <v>0</v>
      </c>
      <c r="AJ434" s="71">
        <f>IF($G434="",0,IF(AND(OR(fClient="All",$C434=fClient),OR(fCampaign="All",$D434=fCampaign),OR(fTeam="All",$B434=fTeam),OR(fChannel="All",$F434=fChannel)),1,0))</f>
        <v>0</v>
      </c>
      <c r="AK434" s="71">
        <f>IF($G434="",0,IF(OR($M434="Completed",$M434="Cancelled"),0,1))</f>
        <v>0</v>
      </c>
      <c r="AL434" s="71">
        <f>IF(AND($AK434=1,ISNUMBER($L434)),IF($L434&lt;ReportDate,1,0),0)</f>
        <v>0</v>
      </c>
      <c r="AM434" s="71">
        <f>IF(AND($G434&lt;&gt;"",$M434="Blocked"),1,0)</f>
        <v>0</v>
      </c>
      <c r="AN434" s="71">
        <f>IF(AND($AK434=1,ISNUMBER($L434)),IF($L434=ReportDate,1,0),0)</f>
        <v>0</v>
      </c>
      <c r="AO434" s="71">
        <f>IF(AND($AK434=1,ISNUMBER($L434)),IF($L434=ReportDate+1,1,0),0)</f>
        <v>0</v>
      </c>
      <c r="AP434" s="71">
        <f>IF(AND($AK434=1,ISNUMBER($L434)),IF(AND($L434&gt;=ReportDate,$L434&lt;=ReportDate+DueSoonDays),1,0),0)</f>
        <v>0</v>
      </c>
      <c r="AQ434" s="71">
        <f>IF(AND($AK434=1,OR($I434="Critical",$I434="High")),1,0)</f>
        <v>0</v>
      </c>
      <c r="AR434" s="71">
        <f>IF($AK434=1,IF(ISNUMBER($Y434),IF(ReportDate-$Y434&gt;StaleDays,1,0),1),0)</f>
        <v>0</v>
      </c>
      <c r="AS434" s="71">
        <f>IF(AND($G434&lt;&gt;"",ISNUMBER($Q434),ISNUMBER($R434)),IF(AND($Q434&lt;$R434,OR($M434="Completed",AND(ISNUMBER($L434),$L434&lt;ReportDate))),1,0),0)</f>
        <v>0</v>
      </c>
      <c r="AT434" s="71">
        <f>IF($AK434=1,IF(OR($L434=ReportDate,$W434=ReportDate,$K434=ReportDate,$A434=ReportDate),1,0),0)</f>
        <v>0</v>
      </c>
      <c r="AU434" s="71">
        <f>IF($AK434=1,IF(OR($L434=ReportDate+1,$W434=ReportDate+1,$K434=ReportDate+1,$A434=ReportDate+1),1,0),0)</f>
        <v>0</v>
      </c>
      <c r="AV434" s="71">
        <f>IF(AND($G434&lt;&gt;"",$M434="Completed"),IF(OR($Y434=ReportDate-1,$A434=ReportDate-1),1,0),0)</f>
        <v>0</v>
      </c>
      <c r="AW434" s="71">
        <f>IF(AND($AK434=1,$Z434="Yes"),1,0)</f>
        <v>0</v>
      </c>
      <c r="AX434" s="71">
        <f>IF(AND($AK434=1,$AA434="Yes"),1,0)</f>
        <v>0</v>
      </c>
      <c r="AY434" s="71">
        <f>IF(AND($AM434=1,OR($I434="Critical",$I434="High")),1,0)</f>
        <v>0</v>
      </c>
      <c r="AZ434" s="71">
        <f>IF(AND($AK434=1,OR($C434=TCL_Client,$C434=MECCA_Client)),1,0)</f>
        <v>0</v>
      </c>
      <c r="BA434" s="71" t="str">
        <f>IF($G434="","",IFERROR(MATCH($I434,lst_Priority,0),5))</f>
        <v/>
      </c>
      <c r="BB434" s="71" t="str">
        <f>IF(AND($AL434=1,$AJ434=1),$BA434*100000+ROW(),"")</f>
        <v/>
      </c>
      <c r="BC434" s="71" t="str">
        <f>IF(AND($AM434=1,$AJ434=1),$BA434*100000+ROW(),"")</f>
        <v/>
      </c>
      <c r="BD434" s="71" t="str">
        <f>IF(AND($AP434=1,$AJ434=1),$BA434*100000+ROW(),"")</f>
        <v/>
      </c>
      <c r="BE434" s="71" t="str">
        <f>IF(AND($AT434=1,$AJ434=1),$BA434*100000+ROW(),"")</f>
        <v/>
      </c>
      <c r="BF434" s="71" t="str">
        <f>IF(AND($AU434=1,$AJ434=1),$BA434*100000+ROW(),"")</f>
        <v/>
      </c>
      <c r="BG434" s="71" t="str">
        <f>IF(AND($AV434=1,$AJ434=1),$BA434*100000+ROW(),"")</f>
        <v/>
      </c>
      <c r="BH434" s="71" t="str">
        <f>IF(AND($AW434=1,$AJ434=1),$BA434*100000+ROW(),"")</f>
        <v/>
      </c>
      <c r="BI434" s="71" t="str">
        <f>IF(AND($AX434=1,$AJ434=1),$BA434*100000+ROW(),"")</f>
        <v/>
      </c>
      <c r="BJ434" s="71" t="str">
        <f>IF(AND($AS434=1,$AJ434=1),$BA434*100000+ROW(),"")</f>
        <v/>
      </c>
      <c r="BK434" s="71" t="str">
        <f>IF(AND($AY434=1,$AJ434=1),$BA434*100000+ROW(),"")</f>
        <v/>
      </c>
      <c r="BL434" s="71" t="str">
        <f>IF(AND($AZ434=1),$BA434*100000+ROW(),"")</f>
        <v/>
      </c>
    </row>
    <row r="435">
      <c r="A435" s="63" t="n"/>
      <c r="B435" s="64" t="n"/>
      <c r="C435" s="64" t="n"/>
      <c r="D435" s="64" t="n"/>
      <c r="E435" s="64" t="n"/>
      <c r="F435" s="64" t="n"/>
      <c r="G435" s="65" t="n"/>
      <c r="H435" s="65" t="n"/>
      <c r="I435" s="64" t="n"/>
      <c r="J435" s="64" t="n"/>
      <c r="K435" s="63" t="n"/>
      <c r="L435" s="63" t="n"/>
      <c r="M435" s="64" t="n"/>
      <c r="N435" s="66" t="n"/>
      <c r="O435" s="65" t="n"/>
      <c r="P435" s="64" t="n"/>
      <c r="Q435" s="67" t="n"/>
      <c r="R435" s="67" t="n"/>
      <c r="S435" s="68" t="str">
        <f>IF(AND(ISNUMBER($Q435),ISNUMBER($R435)),$Q435-$R435,"")</f>
        <v/>
      </c>
      <c r="T435" s="65" t="n"/>
      <c r="U435" s="64" t="n"/>
      <c r="V435" s="65" t="n"/>
      <c r="W435" s="63" t="n"/>
      <c r="X435" s="65" t="n"/>
      <c r="Y435" s="63" t="n"/>
      <c r="Z435" s="64" t="n"/>
      <c r="AA435" s="64" t="n"/>
      <c r="AB435" s="65" t="n"/>
      <c r="AC435" s="69" t="str">
        <f>IF(OR($G435="",NOT(ISNUMBER($K435)),$AK435=0),"",MAX(0,ReportDate-$K435))</f>
        <v/>
      </c>
      <c r="AD435" s="69" t="str">
        <f>IF($G435="","",IF($AL435=1,ReportDate-$L435,0))</f>
        <v/>
      </c>
      <c r="AE435" s="70" t="str">
        <f>IF($G435="","",IF($M435="Completed",1,IF(ISNUMBER($N435),$N435,0)))</f>
        <v/>
      </c>
      <c r="AF435" s="70" t="str">
        <f>IF(AND(ISNUMBER($Q435),ISNUMBER($R435)),IF($R435&lt;&gt;0,$Q435/$R435,""),"")</f>
        <v/>
      </c>
      <c r="AG435" s="71" t="str">
        <f>IF($G435="","",IF($AL435=1,"OVERDUE",IF($AM435=1,"BLOCKED",IF($AN435=1,"DUE TODAY",IF($AO435=1,"DUE TOMORROW",IF($AQ435=1,"HIGH PRIORITY",IF($AR435=1,"NO RECENT UPDATE",""))))))) </f>
        <v/>
      </c>
      <c r="AH435" s="71" t="str">
        <f>IF($G435="","",IF(ISNUMBER($A435),IF(ISNUMBER($A435),YEAR($A435)&amp;"-"&amp;TEXT(MONTH($A435),"00"),""),IF(ISNUMBER($L435),IF(ISNUMBER($L435),YEAR($L435)&amp;"-"&amp;TEXT(MONTH($L435),"00"),""),"")))</f>
        <v/>
      </c>
      <c r="AI435" s="71">
        <f>IF($G435="",0,IF(AND(OR(fClient="All",$C435=fClient),OR(fCampaign="All",$D435=fCampaign),OR(fTeam="All",$B435=fTeam),OR(fChannel="All",$F435=fChannel),OR(fMonth="All",$AH435=fMonth),OR(fTStatus="All",$M435=fTStatus)),1,0))</f>
        <v>0</v>
      </c>
      <c r="AJ435" s="71">
        <f>IF($G435="",0,IF(AND(OR(fClient="All",$C435=fClient),OR(fCampaign="All",$D435=fCampaign),OR(fTeam="All",$B435=fTeam),OR(fChannel="All",$F435=fChannel)),1,0))</f>
        <v>0</v>
      </c>
      <c r="AK435" s="71">
        <f>IF($G435="",0,IF(OR($M435="Completed",$M435="Cancelled"),0,1))</f>
        <v>0</v>
      </c>
      <c r="AL435" s="71">
        <f>IF(AND($AK435=1,ISNUMBER($L435)),IF($L435&lt;ReportDate,1,0),0)</f>
        <v>0</v>
      </c>
      <c r="AM435" s="71">
        <f>IF(AND($G435&lt;&gt;"",$M435="Blocked"),1,0)</f>
        <v>0</v>
      </c>
      <c r="AN435" s="71">
        <f>IF(AND($AK435=1,ISNUMBER($L435)),IF($L435=ReportDate,1,0),0)</f>
        <v>0</v>
      </c>
      <c r="AO435" s="71">
        <f>IF(AND($AK435=1,ISNUMBER($L435)),IF($L435=ReportDate+1,1,0),0)</f>
        <v>0</v>
      </c>
      <c r="AP435" s="71">
        <f>IF(AND($AK435=1,ISNUMBER($L435)),IF(AND($L435&gt;=ReportDate,$L435&lt;=ReportDate+DueSoonDays),1,0),0)</f>
        <v>0</v>
      </c>
      <c r="AQ435" s="71">
        <f>IF(AND($AK435=1,OR($I435="Critical",$I435="High")),1,0)</f>
        <v>0</v>
      </c>
      <c r="AR435" s="71">
        <f>IF($AK435=1,IF(ISNUMBER($Y435),IF(ReportDate-$Y435&gt;StaleDays,1,0),1),0)</f>
        <v>0</v>
      </c>
      <c r="AS435" s="71">
        <f>IF(AND($G435&lt;&gt;"",ISNUMBER($Q435),ISNUMBER($R435)),IF(AND($Q435&lt;$R435,OR($M435="Completed",AND(ISNUMBER($L435),$L435&lt;ReportDate))),1,0),0)</f>
        <v>0</v>
      </c>
      <c r="AT435" s="71">
        <f>IF($AK435=1,IF(OR($L435=ReportDate,$W435=ReportDate,$K435=ReportDate,$A435=ReportDate),1,0),0)</f>
        <v>0</v>
      </c>
      <c r="AU435" s="71">
        <f>IF($AK435=1,IF(OR($L435=ReportDate+1,$W435=ReportDate+1,$K435=ReportDate+1,$A435=ReportDate+1),1,0),0)</f>
        <v>0</v>
      </c>
      <c r="AV435" s="71">
        <f>IF(AND($G435&lt;&gt;"",$M435="Completed"),IF(OR($Y435=ReportDate-1,$A435=ReportDate-1),1,0),0)</f>
        <v>0</v>
      </c>
      <c r="AW435" s="71">
        <f>IF(AND($AK435=1,$Z435="Yes"),1,0)</f>
        <v>0</v>
      </c>
      <c r="AX435" s="71">
        <f>IF(AND($AK435=1,$AA435="Yes"),1,0)</f>
        <v>0</v>
      </c>
      <c r="AY435" s="71">
        <f>IF(AND($AM435=1,OR($I435="Critical",$I435="High")),1,0)</f>
        <v>0</v>
      </c>
      <c r="AZ435" s="71">
        <f>IF(AND($AK435=1,OR($C435=TCL_Client,$C435=MECCA_Client)),1,0)</f>
        <v>0</v>
      </c>
      <c r="BA435" s="71" t="str">
        <f>IF($G435="","",IFERROR(MATCH($I435,lst_Priority,0),5))</f>
        <v/>
      </c>
      <c r="BB435" s="71" t="str">
        <f>IF(AND($AL435=1,$AJ435=1),$BA435*100000+ROW(),"")</f>
        <v/>
      </c>
      <c r="BC435" s="71" t="str">
        <f>IF(AND($AM435=1,$AJ435=1),$BA435*100000+ROW(),"")</f>
        <v/>
      </c>
      <c r="BD435" s="71" t="str">
        <f>IF(AND($AP435=1,$AJ435=1),$BA435*100000+ROW(),"")</f>
        <v/>
      </c>
      <c r="BE435" s="71" t="str">
        <f>IF(AND($AT435=1,$AJ435=1),$BA435*100000+ROW(),"")</f>
        <v/>
      </c>
      <c r="BF435" s="71" t="str">
        <f>IF(AND($AU435=1,$AJ435=1),$BA435*100000+ROW(),"")</f>
        <v/>
      </c>
      <c r="BG435" s="71" t="str">
        <f>IF(AND($AV435=1,$AJ435=1),$BA435*100000+ROW(),"")</f>
        <v/>
      </c>
      <c r="BH435" s="71" t="str">
        <f>IF(AND($AW435=1,$AJ435=1),$BA435*100000+ROW(),"")</f>
        <v/>
      </c>
      <c r="BI435" s="71" t="str">
        <f>IF(AND($AX435=1,$AJ435=1),$BA435*100000+ROW(),"")</f>
        <v/>
      </c>
      <c r="BJ435" s="71" t="str">
        <f>IF(AND($AS435=1,$AJ435=1),$BA435*100000+ROW(),"")</f>
        <v/>
      </c>
      <c r="BK435" s="71" t="str">
        <f>IF(AND($AY435=1,$AJ435=1),$BA435*100000+ROW(),"")</f>
        <v/>
      </c>
      <c r="BL435" s="71" t="str">
        <f>IF(AND($AZ435=1),$BA435*100000+ROW(),"")</f>
        <v/>
      </c>
    </row>
    <row r="436">
      <c r="A436" s="63" t="n"/>
      <c r="B436" s="64" t="n"/>
      <c r="C436" s="64" t="n"/>
      <c r="D436" s="64" t="n"/>
      <c r="E436" s="64" t="n"/>
      <c r="F436" s="64" t="n"/>
      <c r="G436" s="65" t="n"/>
      <c r="H436" s="65" t="n"/>
      <c r="I436" s="64" t="n"/>
      <c r="J436" s="64" t="n"/>
      <c r="K436" s="63" t="n"/>
      <c r="L436" s="63" t="n"/>
      <c r="M436" s="64" t="n"/>
      <c r="N436" s="66" t="n"/>
      <c r="O436" s="65" t="n"/>
      <c r="P436" s="64" t="n"/>
      <c r="Q436" s="67" t="n"/>
      <c r="R436" s="67" t="n"/>
      <c r="S436" s="68" t="str">
        <f>IF(AND(ISNUMBER($Q436),ISNUMBER($R436)),$Q436-$R436,"")</f>
        <v/>
      </c>
      <c r="T436" s="65" t="n"/>
      <c r="U436" s="64" t="n"/>
      <c r="V436" s="65" t="n"/>
      <c r="W436" s="63" t="n"/>
      <c r="X436" s="65" t="n"/>
      <c r="Y436" s="63" t="n"/>
      <c r="Z436" s="64" t="n"/>
      <c r="AA436" s="64" t="n"/>
      <c r="AB436" s="65" t="n"/>
      <c r="AC436" s="69" t="str">
        <f>IF(OR($G436="",NOT(ISNUMBER($K436)),$AK436=0),"",MAX(0,ReportDate-$K436))</f>
        <v/>
      </c>
      <c r="AD436" s="69" t="str">
        <f>IF($G436="","",IF($AL436=1,ReportDate-$L436,0))</f>
        <v/>
      </c>
      <c r="AE436" s="70" t="str">
        <f>IF($G436="","",IF($M436="Completed",1,IF(ISNUMBER($N436),$N436,0)))</f>
        <v/>
      </c>
      <c r="AF436" s="70" t="str">
        <f>IF(AND(ISNUMBER($Q436),ISNUMBER($R436)),IF($R436&lt;&gt;0,$Q436/$R436,""),"")</f>
        <v/>
      </c>
      <c r="AG436" s="71" t="str">
        <f>IF($G436="","",IF($AL436=1,"OVERDUE",IF($AM436=1,"BLOCKED",IF($AN436=1,"DUE TODAY",IF($AO436=1,"DUE TOMORROW",IF($AQ436=1,"HIGH PRIORITY",IF($AR436=1,"NO RECENT UPDATE",""))))))) </f>
        <v/>
      </c>
      <c r="AH436" s="71" t="str">
        <f>IF($G436="","",IF(ISNUMBER($A436),IF(ISNUMBER($A436),YEAR($A436)&amp;"-"&amp;TEXT(MONTH($A436),"00"),""),IF(ISNUMBER($L436),IF(ISNUMBER($L436),YEAR($L436)&amp;"-"&amp;TEXT(MONTH($L436),"00"),""),"")))</f>
        <v/>
      </c>
      <c r="AI436" s="71">
        <f>IF($G436="",0,IF(AND(OR(fClient="All",$C436=fClient),OR(fCampaign="All",$D436=fCampaign),OR(fTeam="All",$B436=fTeam),OR(fChannel="All",$F436=fChannel),OR(fMonth="All",$AH436=fMonth),OR(fTStatus="All",$M436=fTStatus)),1,0))</f>
        <v>0</v>
      </c>
      <c r="AJ436" s="71">
        <f>IF($G436="",0,IF(AND(OR(fClient="All",$C436=fClient),OR(fCampaign="All",$D436=fCampaign),OR(fTeam="All",$B436=fTeam),OR(fChannel="All",$F436=fChannel)),1,0))</f>
        <v>0</v>
      </c>
      <c r="AK436" s="71">
        <f>IF($G436="",0,IF(OR($M436="Completed",$M436="Cancelled"),0,1))</f>
        <v>0</v>
      </c>
      <c r="AL436" s="71">
        <f>IF(AND($AK436=1,ISNUMBER($L436)),IF($L436&lt;ReportDate,1,0),0)</f>
        <v>0</v>
      </c>
      <c r="AM436" s="71">
        <f>IF(AND($G436&lt;&gt;"",$M436="Blocked"),1,0)</f>
        <v>0</v>
      </c>
      <c r="AN436" s="71">
        <f>IF(AND($AK436=1,ISNUMBER($L436)),IF($L436=ReportDate,1,0),0)</f>
        <v>0</v>
      </c>
      <c r="AO436" s="71">
        <f>IF(AND($AK436=1,ISNUMBER($L436)),IF($L436=ReportDate+1,1,0),0)</f>
        <v>0</v>
      </c>
      <c r="AP436" s="71">
        <f>IF(AND($AK436=1,ISNUMBER($L436)),IF(AND($L436&gt;=ReportDate,$L436&lt;=ReportDate+DueSoonDays),1,0),0)</f>
        <v>0</v>
      </c>
      <c r="AQ436" s="71">
        <f>IF(AND($AK436=1,OR($I436="Critical",$I436="High")),1,0)</f>
        <v>0</v>
      </c>
      <c r="AR436" s="71">
        <f>IF($AK436=1,IF(ISNUMBER($Y436),IF(ReportDate-$Y436&gt;StaleDays,1,0),1),0)</f>
        <v>0</v>
      </c>
      <c r="AS436" s="71">
        <f>IF(AND($G436&lt;&gt;"",ISNUMBER($Q436),ISNUMBER($R436)),IF(AND($Q436&lt;$R436,OR($M436="Completed",AND(ISNUMBER($L436),$L436&lt;ReportDate))),1,0),0)</f>
        <v>0</v>
      </c>
      <c r="AT436" s="71">
        <f>IF($AK436=1,IF(OR($L436=ReportDate,$W436=ReportDate,$K436=ReportDate,$A436=ReportDate),1,0),0)</f>
        <v>0</v>
      </c>
      <c r="AU436" s="71">
        <f>IF($AK436=1,IF(OR($L436=ReportDate+1,$W436=ReportDate+1,$K436=ReportDate+1,$A436=ReportDate+1),1,0),0)</f>
        <v>0</v>
      </c>
      <c r="AV436" s="71">
        <f>IF(AND($G436&lt;&gt;"",$M436="Completed"),IF(OR($Y436=ReportDate-1,$A436=ReportDate-1),1,0),0)</f>
        <v>0</v>
      </c>
      <c r="AW436" s="71">
        <f>IF(AND($AK436=1,$Z436="Yes"),1,0)</f>
        <v>0</v>
      </c>
      <c r="AX436" s="71">
        <f>IF(AND($AK436=1,$AA436="Yes"),1,0)</f>
        <v>0</v>
      </c>
      <c r="AY436" s="71">
        <f>IF(AND($AM436=1,OR($I436="Critical",$I436="High")),1,0)</f>
        <v>0</v>
      </c>
      <c r="AZ436" s="71">
        <f>IF(AND($AK436=1,OR($C436=TCL_Client,$C436=MECCA_Client)),1,0)</f>
        <v>0</v>
      </c>
      <c r="BA436" s="71" t="str">
        <f>IF($G436="","",IFERROR(MATCH($I436,lst_Priority,0),5))</f>
        <v/>
      </c>
      <c r="BB436" s="71" t="str">
        <f>IF(AND($AL436=1,$AJ436=1),$BA436*100000+ROW(),"")</f>
        <v/>
      </c>
      <c r="BC436" s="71" t="str">
        <f>IF(AND($AM436=1,$AJ436=1),$BA436*100000+ROW(),"")</f>
        <v/>
      </c>
      <c r="BD436" s="71" t="str">
        <f>IF(AND($AP436=1,$AJ436=1),$BA436*100000+ROW(),"")</f>
        <v/>
      </c>
      <c r="BE436" s="71" t="str">
        <f>IF(AND($AT436=1,$AJ436=1),$BA436*100000+ROW(),"")</f>
        <v/>
      </c>
      <c r="BF436" s="71" t="str">
        <f>IF(AND($AU436=1,$AJ436=1),$BA436*100000+ROW(),"")</f>
        <v/>
      </c>
      <c r="BG436" s="71" t="str">
        <f>IF(AND($AV436=1,$AJ436=1),$BA436*100000+ROW(),"")</f>
        <v/>
      </c>
      <c r="BH436" s="71" t="str">
        <f>IF(AND($AW436=1,$AJ436=1),$BA436*100000+ROW(),"")</f>
        <v/>
      </c>
      <c r="BI436" s="71" t="str">
        <f>IF(AND($AX436=1,$AJ436=1),$BA436*100000+ROW(),"")</f>
        <v/>
      </c>
      <c r="BJ436" s="71" t="str">
        <f>IF(AND($AS436=1,$AJ436=1),$BA436*100000+ROW(),"")</f>
        <v/>
      </c>
      <c r="BK436" s="71" t="str">
        <f>IF(AND($AY436=1,$AJ436=1),$BA436*100000+ROW(),"")</f>
        <v/>
      </c>
      <c r="BL436" s="71" t="str">
        <f>IF(AND($AZ436=1),$BA436*100000+ROW(),"")</f>
        <v/>
      </c>
    </row>
    <row r="437">
      <c r="A437" s="63" t="n"/>
      <c r="B437" s="64" t="n"/>
      <c r="C437" s="64" t="n"/>
      <c r="D437" s="64" t="n"/>
      <c r="E437" s="64" t="n"/>
      <c r="F437" s="64" t="n"/>
      <c r="G437" s="65" t="n"/>
      <c r="H437" s="65" t="n"/>
      <c r="I437" s="64" t="n"/>
      <c r="J437" s="64" t="n"/>
      <c r="K437" s="63" t="n"/>
      <c r="L437" s="63" t="n"/>
      <c r="M437" s="64" t="n"/>
      <c r="N437" s="66" t="n"/>
      <c r="O437" s="65" t="n"/>
      <c r="P437" s="64" t="n"/>
      <c r="Q437" s="67" t="n"/>
      <c r="R437" s="67" t="n"/>
      <c r="S437" s="68" t="str">
        <f>IF(AND(ISNUMBER($Q437),ISNUMBER($R437)),$Q437-$R437,"")</f>
        <v/>
      </c>
      <c r="T437" s="65" t="n"/>
      <c r="U437" s="64" t="n"/>
      <c r="V437" s="65" t="n"/>
      <c r="W437" s="63" t="n"/>
      <c r="X437" s="65" t="n"/>
      <c r="Y437" s="63" t="n"/>
      <c r="Z437" s="64" t="n"/>
      <c r="AA437" s="64" t="n"/>
      <c r="AB437" s="65" t="n"/>
      <c r="AC437" s="69" t="str">
        <f>IF(OR($G437="",NOT(ISNUMBER($K437)),$AK437=0),"",MAX(0,ReportDate-$K437))</f>
        <v/>
      </c>
      <c r="AD437" s="69" t="str">
        <f>IF($G437="","",IF($AL437=1,ReportDate-$L437,0))</f>
        <v/>
      </c>
      <c r="AE437" s="70" t="str">
        <f>IF($G437="","",IF($M437="Completed",1,IF(ISNUMBER($N437),$N437,0)))</f>
        <v/>
      </c>
      <c r="AF437" s="70" t="str">
        <f>IF(AND(ISNUMBER($Q437),ISNUMBER($R437)),IF($R437&lt;&gt;0,$Q437/$R437,""),"")</f>
        <v/>
      </c>
      <c r="AG437" s="71" t="str">
        <f>IF($G437="","",IF($AL437=1,"OVERDUE",IF($AM437=1,"BLOCKED",IF($AN437=1,"DUE TODAY",IF($AO437=1,"DUE TOMORROW",IF($AQ437=1,"HIGH PRIORITY",IF($AR437=1,"NO RECENT UPDATE",""))))))) </f>
        <v/>
      </c>
      <c r="AH437" s="71" t="str">
        <f>IF($G437="","",IF(ISNUMBER($A437),IF(ISNUMBER($A437),YEAR($A437)&amp;"-"&amp;TEXT(MONTH($A437),"00"),""),IF(ISNUMBER($L437),IF(ISNUMBER($L437),YEAR($L437)&amp;"-"&amp;TEXT(MONTH($L437),"00"),""),"")))</f>
        <v/>
      </c>
      <c r="AI437" s="71">
        <f>IF($G437="",0,IF(AND(OR(fClient="All",$C437=fClient),OR(fCampaign="All",$D437=fCampaign),OR(fTeam="All",$B437=fTeam),OR(fChannel="All",$F437=fChannel),OR(fMonth="All",$AH437=fMonth),OR(fTStatus="All",$M437=fTStatus)),1,0))</f>
        <v>0</v>
      </c>
      <c r="AJ437" s="71">
        <f>IF($G437="",0,IF(AND(OR(fClient="All",$C437=fClient),OR(fCampaign="All",$D437=fCampaign),OR(fTeam="All",$B437=fTeam),OR(fChannel="All",$F437=fChannel)),1,0))</f>
        <v>0</v>
      </c>
      <c r="AK437" s="71">
        <f>IF($G437="",0,IF(OR($M437="Completed",$M437="Cancelled"),0,1))</f>
        <v>0</v>
      </c>
      <c r="AL437" s="71">
        <f>IF(AND($AK437=1,ISNUMBER($L437)),IF($L437&lt;ReportDate,1,0),0)</f>
        <v>0</v>
      </c>
      <c r="AM437" s="71">
        <f>IF(AND($G437&lt;&gt;"",$M437="Blocked"),1,0)</f>
        <v>0</v>
      </c>
      <c r="AN437" s="71">
        <f>IF(AND($AK437=1,ISNUMBER($L437)),IF($L437=ReportDate,1,0),0)</f>
        <v>0</v>
      </c>
      <c r="AO437" s="71">
        <f>IF(AND($AK437=1,ISNUMBER($L437)),IF($L437=ReportDate+1,1,0),0)</f>
        <v>0</v>
      </c>
      <c r="AP437" s="71">
        <f>IF(AND($AK437=1,ISNUMBER($L437)),IF(AND($L437&gt;=ReportDate,$L437&lt;=ReportDate+DueSoonDays),1,0),0)</f>
        <v>0</v>
      </c>
      <c r="AQ437" s="71">
        <f>IF(AND($AK437=1,OR($I437="Critical",$I437="High")),1,0)</f>
        <v>0</v>
      </c>
      <c r="AR437" s="71">
        <f>IF($AK437=1,IF(ISNUMBER($Y437),IF(ReportDate-$Y437&gt;StaleDays,1,0),1),0)</f>
        <v>0</v>
      </c>
      <c r="AS437" s="71">
        <f>IF(AND($G437&lt;&gt;"",ISNUMBER($Q437),ISNUMBER($R437)),IF(AND($Q437&lt;$R437,OR($M437="Completed",AND(ISNUMBER($L437),$L437&lt;ReportDate))),1,0),0)</f>
        <v>0</v>
      </c>
      <c r="AT437" s="71">
        <f>IF($AK437=1,IF(OR($L437=ReportDate,$W437=ReportDate,$K437=ReportDate,$A437=ReportDate),1,0),0)</f>
        <v>0</v>
      </c>
      <c r="AU437" s="71">
        <f>IF($AK437=1,IF(OR($L437=ReportDate+1,$W437=ReportDate+1,$K437=ReportDate+1,$A437=ReportDate+1),1,0),0)</f>
        <v>0</v>
      </c>
      <c r="AV437" s="71">
        <f>IF(AND($G437&lt;&gt;"",$M437="Completed"),IF(OR($Y437=ReportDate-1,$A437=ReportDate-1),1,0),0)</f>
        <v>0</v>
      </c>
      <c r="AW437" s="71">
        <f>IF(AND($AK437=1,$Z437="Yes"),1,0)</f>
        <v>0</v>
      </c>
      <c r="AX437" s="71">
        <f>IF(AND($AK437=1,$AA437="Yes"),1,0)</f>
        <v>0</v>
      </c>
      <c r="AY437" s="71">
        <f>IF(AND($AM437=1,OR($I437="Critical",$I437="High")),1,0)</f>
        <v>0</v>
      </c>
      <c r="AZ437" s="71">
        <f>IF(AND($AK437=1,OR($C437=TCL_Client,$C437=MECCA_Client)),1,0)</f>
        <v>0</v>
      </c>
      <c r="BA437" s="71" t="str">
        <f>IF($G437="","",IFERROR(MATCH($I437,lst_Priority,0),5))</f>
        <v/>
      </c>
      <c r="BB437" s="71" t="str">
        <f>IF(AND($AL437=1,$AJ437=1),$BA437*100000+ROW(),"")</f>
        <v/>
      </c>
      <c r="BC437" s="71" t="str">
        <f>IF(AND($AM437=1,$AJ437=1),$BA437*100000+ROW(),"")</f>
        <v/>
      </c>
      <c r="BD437" s="71" t="str">
        <f>IF(AND($AP437=1,$AJ437=1),$BA437*100000+ROW(),"")</f>
        <v/>
      </c>
      <c r="BE437" s="71" t="str">
        <f>IF(AND($AT437=1,$AJ437=1),$BA437*100000+ROW(),"")</f>
        <v/>
      </c>
      <c r="BF437" s="71" t="str">
        <f>IF(AND($AU437=1,$AJ437=1),$BA437*100000+ROW(),"")</f>
        <v/>
      </c>
      <c r="BG437" s="71" t="str">
        <f>IF(AND($AV437=1,$AJ437=1),$BA437*100000+ROW(),"")</f>
        <v/>
      </c>
      <c r="BH437" s="71" t="str">
        <f>IF(AND($AW437=1,$AJ437=1),$BA437*100000+ROW(),"")</f>
        <v/>
      </c>
      <c r="BI437" s="71" t="str">
        <f>IF(AND($AX437=1,$AJ437=1),$BA437*100000+ROW(),"")</f>
        <v/>
      </c>
      <c r="BJ437" s="71" t="str">
        <f>IF(AND($AS437=1,$AJ437=1),$BA437*100000+ROW(),"")</f>
        <v/>
      </c>
      <c r="BK437" s="71" t="str">
        <f>IF(AND($AY437=1,$AJ437=1),$BA437*100000+ROW(),"")</f>
        <v/>
      </c>
      <c r="BL437" s="71" t="str">
        <f>IF(AND($AZ437=1),$BA437*100000+ROW(),"")</f>
        <v/>
      </c>
    </row>
    <row r="438">
      <c r="A438" s="63" t="n"/>
      <c r="B438" s="64" t="n"/>
      <c r="C438" s="64" t="n"/>
      <c r="D438" s="64" t="n"/>
      <c r="E438" s="64" t="n"/>
      <c r="F438" s="64" t="n"/>
      <c r="G438" s="65" t="n"/>
      <c r="H438" s="65" t="n"/>
      <c r="I438" s="64" t="n"/>
      <c r="J438" s="64" t="n"/>
      <c r="K438" s="63" t="n"/>
      <c r="L438" s="63" t="n"/>
      <c r="M438" s="64" t="n"/>
      <c r="N438" s="66" t="n"/>
      <c r="O438" s="65" t="n"/>
      <c r="P438" s="64" t="n"/>
      <c r="Q438" s="67" t="n"/>
      <c r="R438" s="67" t="n"/>
      <c r="S438" s="68" t="str">
        <f>IF(AND(ISNUMBER($Q438),ISNUMBER($R438)),$Q438-$R438,"")</f>
        <v/>
      </c>
      <c r="T438" s="65" t="n"/>
      <c r="U438" s="64" t="n"/>
      <c r="V438" s="65" t="n"/>
      <c r="W438" s="63" t="n"/>
      <c r="X438" s="65" t="n"/>
      <c r="Y438" s="63" t="n"/>
      <c r="Z438" s="64" t="n"/>
      <c r="AA438" s="64" t="n"/>
      <c r="AB438" s="65" t="n"/>
      <c r="AC438" s="69" t="str">
        <f>IF(OR($G438="",NOT(ISNUMBER($K438)),$AK438=0),"",MAX(0,ReportDate-$K438))</f>
        <v/>
      </c>
      <c r="AD438" s="69" t="str">
        <f>IF($G438="","",IF($AL438=1,ReportDate-$L438,0))</f>
        <v/>
      </c>
      <c r="AE438" s="70" t="str">
        <f>IF($G438="","",IF($M438="Completed",1,IF(ISNUMBER($N438),$N438,0)))</f>
        <v/>
      </c>
      <c r="AF438" s="70" t="str">
        <f>IF(AND(ISNUMBER($Q438),ISNUMBER($R438)),IF($R438&lt;&gt;0,$Q438/$R438,""),"")</f>
        <v/>
      </c>
      <c r="AG438" s="71" t="str">
        <f>IF($G438="","",IF($AL438=1,"OVERDUE",IF($AM438=1,"BLOCKED",IF($AN438=1,"DUE TODAY",IF($AO438=1,"DUE TOMORROW",IF($AQ438=1,"HIGH PRIORITY",IF($AR438=1,"NO RECENT UPDATE",""))))))) </f>
        <v/>
      </c>
      <c r="AH438" s="71" t="str">
        <f>IF($G438="","",IF(ISNUMBER($A438),IF(ISNUMBER($A438),YEAR($A438)&amp;"-"&amp;TEXT(MONTH($A438),"00"),""),IF(ISNUMBER($L438),IF(ISNUMBER($L438),YEAR($L438)&amp;"-"&amp;TEXT(MONTH($L438),"00"),""),"")))</f>
        <v/>
      </c>
      <c r="AI438" s="71">
        <f>IF($G438="",0,IF(AND(OR(fClient="All",$C438=fClient),OR(fCampaign="All",$D438=fCampaign),OR(fTeam="All",$B438=fTeam),OR(fChannel="All",$F438=fChannel),OR(fMonth="All",$AH438=fMonth),OR(fTStatus="All",$M438=fTStatus)),1,0))</f>
        <v>0</v>
      </c>
      <c r="AJ438" s="71">
        <f>IF($G438="",0,IF(AND(OR(fClient="All",$C438=fClient),OR(fCampaign="All",$D438=fCampaign),OR(fTeam="All",$B438=fTeam),OR(fChannel="All",$F438=fChannel)),1,0))</f>
        <v>0</v>
      </c>
      <c r="AK438" s="71">
        <f>IF($G438="",0,IF(OR($M438="Completed",$M438="Cancelled"),0,1))</f>
        <v>0</v>
      </c>
      <c r="AL438" s="71">
        <f>IF(AND($AK438=1,ISNUMBER($L438)),IF($L438&lt;ReportDate,1,0),0)</f>
        <v>0</v>
      </c>
      <c r="AM438" s="71">
        <f>IF(AND($G438&lt;&gt;"",$M438="Blocked"),1,0)</f>
        <v>0</v>
      </c>
      <c r="AN438" s="71">
        <f>IF(AND($AK438=1,ISNUMBER($L438)),IF($L438=ReportDate,1,0),0)</f>
        <v>0</v>
      </c>
      <c r="AO438" s="71">
        <f>IF(AND($AK438=1,ISNUMBER($L438)),IF($L438=ReportDate+1,1,0),0)</f>
        <v>0</v>
      </c>
      <c r="AP438" s="71">
        <f>IF(AND($AK438=1,ISNUMBER($L438)),IF(AND($L438&gt;=ReportDate,$L438&lt;=ReportDate+DueSoonDays),1,0),0)</f>
        <v>0</v>
      </c>
      <c r="AQ438" s="71">
        <f>IF(AND($AK438=1,OR($I438="Critical",$I438="High")),1,0)</f>
        <v>0</v>
      </c>
      <c r="AR438" s="71">
        <f>IF($AK438=1,IF(ISNUMBER($Y438),IF(ReportDate-$Y438&gt;StaleDays,1,0),1),0)</f>
        <v>0</v>
      </c>
      <c r="AS438" s="71">
        <f>IF(AND($G438&lt;&gt;"",ISNUMBER($Q438),ISNUMBER($R438)),IF(AND($Q438&lt;$R438,OR($M438="Completed",AND(ISNUMBER($L438),$L438&lt;ReportDate))),1,0),0)</f>
        <v>0</v>
      </c>
      <c r="AT438" s="71">
        <f>IF($AK438=1,IF(OR($L438=ReportDate,$W438=ReportDate,$K438=ReportDate,$A438=ReportDate),1,0),0)</f>
        <v>0</v>
      </c>
      <c r="AU438" s="71">
        <f>IF($AK438=1,IF(OR($L438=ReportDate+1,$W438=ReportDate+1,$K438=ReportDate+1,$A438=ReportDate+1),1,0),0)</f>
        <v>0</v>
      </c>
      <c r="AV438" s="71">
        <f>IF(AND($G438&lt;&gt;"",$M438="Completed"),IF(OR($Y438=ReportDate-1,$A438=ReportDate-1),1,0),0)</f>
        <v>0</v>
      </c>
      <c r="AW438" s="71">
        <f>IF(AND($AK438=1,$Z438="Yes"),1,0)</f>
        <v>0</v>
      </c>
      <c r="AX438" s="71">
        <f>IF(AND($AK438=1,$AA438="Yes"),1,0)</f>
        <v>0</v>
      </c>
      <c r="AY438" s="71">
        <f>IF(AND($AM438=1,OR($I438="Critical",$I438="High")),1,0)</f>
        <v>0</v>
      </c>
      <c r="AZ438" s="71">
        <f>IF(AND($AK438=1,OR($C438=TCL_Client,$C438=MECCA_Client)),1,0)</f>
        <v>0</v>
      </c>
      <c r="BA438" s="71" t="str">
        <f>IF($G438="","",IFERROR(MATCH($I438,lst_Priority,0),5))</f>
        <v/>
      </c>
      <c r="BB438" s="71" t="str">
        <f>IF(AND($AL438=1,$AJ438=1),$BA438*100000+ROW(),"")</f>
        <v/>
      </c>
      <c r="BC438" s="71" t="str">
        <f>IF(AND($AM438=1,$AJ438=1),$BA438*100000+ROW(),"")</f>
        <v/>
      </c>
      <c r="BD438" s="71" t="str">
        <f>IF(AND($AP438=1,$AJ438=1),$BA438*100000+ROW(),"")</f>
        <v/>
      </c>
      <c r="BE438" s="71" t="str">
        <f>IF(AND($AT438=1,$AJ438=1),$BA438*100000+ROW(),"")</f>
        <v/>
      </c>
      <c r="BF438" s="71" t="str">
        <f>IF(AND($AU438=1,$AJ438=1),$BA438*100000+ROW(),"")</f>
        <v/>
      </c>
      <c r="BG438" s="71" t="str">
        <f>IF(AND($AV438=1,$AJ438=1),$BA438*100000+ROW(),"")</f>
        <v/>
      </c>
      <c r="BH438" s="71" t="str">
        <f>IF(AND($AW438=1,$AJ438=1),$BA438*100000+ROW(),"")</f>
        <v/>
      </c>
      <c r="BI438" s="71" t="str">
        <f>IF(AND($AX438=1,$AJ438=1),$BA438*100000+ROW(),"")</f>
        <v/>
      </c>
      <c r="BJ438" s="71" t="str">
        <f>IF(AND($AS438=1,$AJ438=1),$BA438*100000+ROW(),"")</f>
        <v/>
      </c>
      <c r="BK438" s="71" t="str">
        <f>IF(AND($AY438=1,$AJ438=1),$BA438*100000+ROW(),"")</f>
        <v/>
      </c>
      <c r="BL438" s="71" t="str">
        <f>IF(AND($AZ438=1),$BA438*100000+ROW(),"")</f>
        <v/>
      </c>
    </row>
    <row r="439">
      <c r="A439" s="63" t="n"/>
      <c r="B439" s="64" t="n"/>
      <c r="C439" s="64" t="n"/>
      <c r="D439" s="64" t="n"/>
      <c r="E439" s="64" t="n"/>
      <c r="F439" s="64" t="n"/>
      <c r="G439" s="65" t="n"/>
      <c r="H439" s="65" t="n"/>
      <c r="I439" s="64" t="n"/>
      <c r="J439" s="64" t="n"/>
      <c r="K439" s="63" t="n"/>
      <c r="L439" s="63" t="n"/>
      <c r="M439" s="64" t="n"/>
      <c r="N439" s="66" t="n"/>
      <c r="O439" s="65" t="n"/>
      <c r="P439" s="64" t="n"/>
      <c r="Q439" s="67" t="n"/>
      <c r="R439" s="67" t="n"/>
      <c r="S439" s="68" t="str">
        <f>IF(AND(ISNUMBER($Q439),ISNUMBER($R439)),$Q439-$R439,"")</f>
        <v/>
      </c>
      <c r="T439" s="65" t="n"/>
      <c r="U439" s="64" t="n"/>
      <c r="V439" s="65" t="n"/>
      <c r="W439" s="63" t="n"/>
      <c r="X439" s="65" t="n"/>
      <c r="Y439" s="63" t="n"/>
      <c r="Z439" s="64" t="n"/>
      <c r="AA439" s="64" t="n"/>
      <c r="AB439" s="65" t="n"/>
      <c r="AC439" s="69" t="str">
        <f>IF(OR($G439="",NOT(ISNUMBER($K439)),$AK439=0),"",MAX(0,ReportDate-$K439))</f>
        <v/>
      </c>
      <c r="AD439" s="69" t="str">
        <f>IF($G439="","",IF($AL439=1,ReportDate-$L439,0))</f>
        <v/>
      </c>
      <c r="AE439" s="70" t="str">
        <f>IF($G439="","",IF($M439="Completed",1,IF(ISNUMBER($N439),$N439,0)))</f>
        <v/>
      </c>
      <c r="AF439" s="70" t="str">
        <f>IF(AND(ISNUMBER($Q439),ISNUMBER($R439)),IF($R439&lt;&gt;0,$Q439/$R439,""),"")</f>
        <v/>
      </c>
      <c r="AG439" s="71" t="str">
        <f>IF($G439="","",IF($AL439=1,"OVERDUE",IF($AM439=1,"BLOCKED",IF($AN439=1,"DUE TODAY",IF($AO439=1,"DUE TOMORROW",IF($AQ439=1,"HIGH PRIORITY",IF($AR439=1,"NO RECENT UPDATE",""))))))) </f>
        <v/>
      </c>
      <c r="AH439" s="71" t="str">
        <f>IF($G439="","",IF(ISNUMBER($A439),IF(ISNUMBER($A439),YEAR($A439)&amp;"-"&amp;TEXT(MONTH($A439),"00"),""),IF(ISNUMBER($L439),IF(ISNUMBER($L439),YEAR($L439)&amp;"-"&amp;TEXT(MONTH($L439),"00"),""),"")))</f>
        <v/>
      </c>
      <c r="AI439" s="71">
        <f>IF($G439="",0,IF(AND(OR(fClient="All",$C439=fClient),OR(fCampaign="All",$D439=fCampaign),OR(fTeam="All",$B439=fTeam),OR(fChannel="All",$F439=fChannel),OR(fMonth="All",$AH439=fMonth),OR(fTStatus="All",$M439=fTStatus)),1,0))</f>
        <v>0</v>
      </c>
      <c r="AJ439" s="71">
        <f>IF($G439="",0,IF(AND(OR(fClient="All",$C439=fClient),OR(fCampaign="All",$D439=fCampaign),OR(fTeam="All",$B439=fTeam),OR(fChannel="All",$F439=fChannel)),1,0))</f>
        <v>0</v>
      </c>
      <c r="AK439" s="71">
        <f>IF($G439="",0,IF(OR($M439="Completed",$M439="Cancelled"),0,1))</f>
        <v>0</v>
      </c>
      <c r="AL439" s="71">
        <f>IF(AND($AK439=1,ISNUMBER($L439)),IF($L439&lt;ReportDate,1,0),0)</f>
        <v>0</v>
      </c>
      <c r="AM439" s="71">
        <f>IF(AND($G439&lt;&gt;"",$M439="Blocked"),1,0)</f>
        <v>0</v>
      </c>
      <c r="AN439" s="71">
        <f>IF(AND($AK439=1,ISNUMBER($L439)),IF($L439=ReportDate,1,0),0)</f>
        <v>0</v>
      </c>
      <c r="AO439" s="71">
        <f>IF(AND($AK439=1,ISNUMBER($L439)),IF($L439=ReportDate+1,1,0),0)</f>
        <v>0</v>
      </c>
      <c r="AP439" s="71">
        <f>IF(AND($AK439=1,ISNUMBER($L439)),IF(AND($L439&gt;=ReportDate,$L439&lt;=ReportDate+DueSoonDays),1,0),0)</f>
        <v>0</v>
      </c>
      <c r="AQ439" s="71">
        <f>IF(AND($AK439=1,OR($I439="Critical",$I439="High")),1,0)</f>
        <v>0</v>
      </c>
      <c r="AR439" s="71">
        <f>IF($AK439=1,IF(ISNUMBER($Y439),IF(ReportDate-$Y439&gt;StaleDays,1,0),1),0)</f>
        <v>0</v>
      </c>
      <c r="AS439" s="71">
        <f>IF(AND($G439&lt;&gt;"",ISNUMBER($Q439),ISNUMBER($R439)),IF(AND($Q439&lt;$R439,OR($M439="Completed",AND(ISNUMBER($L439),$L439&lt;ReportDate))),1,0),0)</f>
        <v>0</v>
      </c>
      <c r="AT439" s="71">
        <f>IF($AK439=1,IF(OR($L439=ReportDate,$W439=ReportDate,$K439=ReportDate,$A439=ReportDate),1,0),0)</f>
        <v>0</v>
      </c>
      <c r="AU439" s="71">
        <f>IF($AK439=1,IF(OR($L439=ReportDate+1,$W439=ReportDate+1,$K439=ReportDate+1,$A439=ReportDate+1),1,0),0)</f>
        <v>0</v>
      </c>
      <c r="AV439" s="71">
        <f>IF(AND($G439&lt;&gt;"",$M439="Completed"),IF(OR($Y439=ReportDate-1,$A439=ReportDate-1),1,0),0)</f>
        <v>0</v>
      </c>
      <c r="AW439" s="71">
        <f>IF(AND($AK439=1,$Z439="Yes"),1,0)</f>
        <v>0</v>
      </c>
      <c r="AX439" s="71">
        <f>IF(AND($AK439=1,$AA439="Yes"),1,0)</f>
        <v>0</v>
      </c>
      <c r="AY439" s="71">
        <f>IF(AND($AM439=1,OR($I439="Critical",$I439="High")),1,0)</f>
        <v>0</v>
      </c>
      <c r="AZ439" s="71">
        <f>IF(AND($AK439=1,OR($C439=TCL_Client,$C439=MECCA_Client)),1,0)</f>
        <v>0</v>
      </c>
      <c r="BA439" s="71" t="str">
        <f>IF($G439="","",IFERROR(MATCH($I439,lst_Priority,0),5))</f>
        <v/>
      </c>
      <c r="BB439" s="71" t="str">
        <f>IF(AND($AL439=1,$AJ439=1),$BA439*100000+ROW(),"")</f>
        <v/>
      </c>
      <c r="BC439" s="71" t="str">
        <f>IF(AND($AM439=1,$AJ439=1),$BA439*100000+ROW(),"")</f>
        <v/>
      </c>
      <c r="BD439" s="71" t="str">
        <f>IF(AND($AP439=1,$AJ439=1),$BA439*100000+ROW(),"")</f>
        <v/>
      </c>
      <c r="BE439" s="71" t="str">
        <f>IF(AND($AT439=1,$AJ439=1),$BA439*100000+ROW(),"")</f>
        <v/>
      </c>
      <c r="BF439" s="71" t="str">
        <f>IF(AND($AU439=1,$AJ439=1),$BA439*100000+ROW(),"")</f>
        <v/>
      </c>
      <c r="BG439" s="71" t="str">
        <f>IF(AND($AV439=1,$AJ439=1),$BA439*100000+ROW(),"")</f>
        <v/>
      </c>
      <c r="BH439" s="71" t="str">
        <f>IF(AND($AW439=1,$AJ439=1),$BA439*100000+ROW(),"")</f>
        <v/>
      </c>
      <c r="BI439" s="71" t="str">
        <f>IF(AND($AX439=1,$AJ439=1),$BA439*100000+ROW(),"")</f>
        <v/>
      </c>
      <c r="BJ439" s="71" t="str">
        <f>IF(AND($AS439=1,$AJ439=1),$BA439*100000+ROW(),"")</f>
        <v/>
      </c>
      <c r="BK439" s="71" t="str">
        <f>IF(AND($AY439=1,$AJ439=1),$BA439*100000+ROW(),"")</f>
        <v/>
      </c>
      <c r="BL439" s="71" t="str">
        <f>IF(AND($AZ439=1),$BA439*100000+ROW(),"")</f>
        <v/>
      </c>
    </row>
    <row r="440">
      <c r="A440" s="63" t="n"/>
      <c r="B440" s="64" t="n"/>
      <c r="C440" s="64" t="n"/>
      <c r="D440" s="64" t="n"/>
      <c r="E440" s="64" t="n"/>
      <c r="F440" s="64" t="n"/>
      <c r="G440" s="65" t="n"/>
      <c r="H440" s="65" t="n"/>
      <c r="I440" s="64" t="n"/>
      <c r="J440" s="64" t="n"/>
      <c r="K440" s="63" t="n"/>
      <c r="L440" s="63" t="n"/>
      <c r="M440" s="64" t="n"/>
      <c r="N440" s="66" t="n"/>
      <c r="O440" s="65" t="n"/>
      <c r="P440" s="64" t="n"/>
      <c r="Q440" s="67" t="n"/>
      <c r="R440" s="67" t="n"/>
      <c r="S440" s="68" t="str">
        <f>IF(AND(ISNUMBER($Q440),ISNUMBER($R440)),$Q440-$R440,"")</f>
        <v/>
      </c>
      <c r="T440" s="65" t="n"/>
      <c r="U440" s="64" t="n"/>
      <c r="V440" s="65" t="n"/>
      <c r="W440" s="63" t="n"/>
      <c r="X440" s="65" t="n"/>
      <c r="Y440" s="63" t="n"/>
      <c r="Z440" s="64" t="n"/>
      <c r="AA440" s="64" t="n"/>
      <c r="AB440" s="65" t="n"/>
      <c r="AC440" s="69" t="str">
        <f>IF(OR($G440="",NOT(ISNUMBER($K440)),$AK440=0),"",MAX(0,ReportDate-$K440))</f>
        <v/>
      </c>
      <c r="AD440" s="69" t="str">
        <f>IF($G440="","",IF($AL440=1,ReportDate-$L440,0))</f>
        <v/>
      </c>
      <c r="AE440" s="70" t="str">
        <f>IF($G440="","",IF($M440="Completed",1,IF(ISNUMBER($N440),$N440,0)))</f>
        <v/>
      </c>
      <c r="AF440" s="70" t="str">
        <f>IF(AND(ISNUMBER($Q440),ISNUMBER($R440)),IF($R440&lt;&gt;0,$Q440/$R440,""),"")</f>
        <v/>
      </c>
      <c r="AG440" s="71" t="str">
        <f>IF($G440="","",IF($AL440=1,"OVERDUE",IF($AM440=1,"BLOCKED",IF($AN440=1,"DUE TODAY",IF($AO440=1,"DUE TOMORROW",IF($AQ440=1,"HIGH PRIORITY",IF($AR440=1,"NO RECENT UPDATE",""))))))) </f>
        <v/>
      </c>
      <c r="AH440" s="71" t="str">
        <f>IF($G440="","",IF(ISNUMBER($A440),IF(ISNUMBER($A440),YEAR($A440)&amp;"-"&amp;TEXT(MONTH($A440),"00"),""),IF(ISNUMBER($L440),IF(ISNUMBER($L440),YEAR($L440)&amp;"-"&amp;TEXT(MONTH($L440),"00"),""),"")))</f>
        <v/>
      </c>
      <c r="AI440" s="71">
        <f>IF($G440="",0,IF(AND(OR(fClient="All",$C440=fClient),OR(fCampaign="All",$D440=fCampaign),OR(fTeam="All",$B440=fTeam),OR(fChannel="All",$F440=fChannel),OR(fMonth="All",$AH440=fMonth),OR(fTStatus="All",$M440=fTStatus)),1,0))</f>
        <v>0</v>
      </c>
      <c r="AJ440" s="71">
        <f>IF($G440="",0,IF(AND(OR(fClient="All",$C440=fClient),OR(fCampaign="All",$D440=fCampaign),OR(fTeam="All",$B440=fTeam),OR(fChannel="All",$F440=fChannel)),1,0))</f>
        <v>0</v>
      </c>
      <c r="AK440" s="71">
        <f>IF($G440="",0,IF(OR($M440="Completed",$M440="Cancelled"),0,1))</f>
        <v>0</v>
      </c>
      <c r="AL440" s="71">
        <f>IF(AND($AK440=1,ISNUMBER($L440)),IF($L440&lt;ReportDate,1,0),0)</f>
        <v>0</v>
      </c>
      <c r="AM440" s="71">
        <f>IF(AND($G440&lt;&gt;"",$M440="Blocked"),1,0)</f>
        <v>0</v>
      </c>
      <c r="AN440" s="71">
        <f>IF(AND($AK440=1,ISNUMBER($L440)),IF($L440=ReportDate,1,0),0)</f>
        <v>0</v>
      </c>
      <c r="AO440" s="71">
        <f>IF(AND($AK440=1,ISNUMBER($L440)),IF($L440=ReportDate+1,1,0),0)</f>
        <v>0</v>
      </c>
      <c r="AP440" s="71">
        <f>IF(AND($AK440=1,ISNUMBER($L440)),IF(AND($L440&gt;=ReportDate,$L440&lt;=ReportDate+DueSoonDays),1,0),0)</f>
        <v>0</v>
      </c>
      <c r="AQ440" s="71">
        <f>IF(AND($AK440=1,OR($I440="Critical",$I440="High")),1,0)</f>
        <v>0</v>
      </c>
      <c r="AR440" s="71">
        <f>IF($AK440=1,IF(ISNUMBER($Y440),IF(ReportDate-$Y440&gt;StaleDays,1,0),1),0)</f>
        <v>0</v>
      </c>
      <c r="AS440" s="71">
        <f>IF(AND($G440&lt;&gt;"",ISNUMBER($Q440),ISNUMBER($R440)),IF(AND($Q440&lt;$R440,OR($M440="Completed",AND(ISNUMBER($L440),$L440&lt;ReportDate))),1,0),0)</f>
        <v>0</v>
      </c>
      <c r="AT440" s="71">
        <f>IF($AK440=1,IF(OR($L440=ReportDate,$W440=ReportDate,$K440=ReportDate,$A440=ReportDate),1,0),0)</f>
        <v>0</v>
      </c>
      <c r="AU440" s="71">
        <f>IF($AK440=1,IF(OR($L440=ReportDate+1,$W440=ReportDate+1,$K440=ReportDate+1,$A440=ReportDate+1),1,0),0)</f>
        <v>0</v>
      </c>
      <c r="AV440" s="71">
        <f>IF(AND($G440&lt;&gt;"",$M440="Completed"),IF(OR($Y440=ReportDate-1,$A440=ReportDate-1),1,0),0)</f>
        <v>0</v>
      </c>
      <c r="AW440" s="71">
        <f>IF(AND($AK440=1,$Z440="Yes"),1,0)</f>
        <v>0</v>
      </c>
      <c r="AX440" s="71">
        <f>IF(AND($AK440=1,$AA440="Yes"),1,0)</f>
        <v>0</v>
      </c>
      <c r="AY440" s="71">
        <f>IF(AND($AM440=1,OR($I440="Critical",$I440="High")),1,0)</f>
        <v>0</v>
      </c>
      <c r="AZ440" s="71">
        <f>IF(AND($AK440=1,OR($C440=TCL_Client,$C440=MECCA_Client)),1,0)</f>
        <v>0</v>
      </c>
      <c r="BA440" s="71" t="str">
        <f>IF($G440="","",IFERROR(MATCH($I440,lst_Priority,0),5))</f>
        <v/>
      </c>
      <c r="BB440" s="71" t="str">
        <f>IF(AND($AL440=1,$AJ440=1),$BA440*100000+ROW(),"")</f>
        <v/>
      </c>
      <c r="BC440" s="71" t="str">
        <f>IF(AND($AM440=1,$AJ440=1),$BA440*100000+ROW(),"")</f>
        <v/>
      </c>
      <c r="BD440" s="71" t="str">
        <f>IF(AND($AP440=1,$AJ440=1),$BA440*100000+ROW(),"")</f>
        <v/>
      </c>
      <c r="BE440" s="71" t="str">
        <f>IF(AND($AT440=1,$AJ440=1),$BA440*100000+ROW(),"")</f>
        <v/>
      </c>
      <c r="BF440" s="71" t="str">
        <f>IF(AND($AU440=1,$AJ440=1),$BA440*100000+ROW(),"")</f>
        <v/>
      </c>
      <c r="BG440" s="71" t="str">
        <f>IF(AND($AV440=1,$AJ440=1),$BA440*100000+ROW(),"")</f>
        <v/>
      </c>
      <c r="BH440" s="71" t="str">
        <f>IF(AND($AW440=1,$AJ440=1),$BA440*100000+ROW(),"")</f>
        <v/>
      </c>
      <c r="BI440" s="71" t="str">
        <f>IF(AND($AX440=1,$AJ440=1),$BA440*100000+ROW(),"")</f>
        <v/>
      </c>
      <c r="BJ440" s="71" t="str">
        <f>IF(AND($AS440=1,$AJ440=1),$BA440*100000+ROW(),"")</f>
        <v/>
      </c>
      <c r="BK440" s="71" t="str">
        <f>IF(AND($AY440=1,$AJ440=1),$BA440*100000+ROW(),"")</f>
        <v/>
      </c>
      <c r="BL440" s="71" t="str">
        <f>IF(AND($AZ440=1),$BA440*100000+ROW(),"")</f>
        <v/>
      </c>
    </row>
    <row r="441">
      <c r="A441" s="63" t="n"/>
      <c r="B441" s="64" t="n"/>
      <c r="C441" s="64" t="n"/>
      <c r="D441" s="64" t="n"/>
      <c r="E441" s="64" t="n"/>
      <c r="F441" s="64" t="n"/>
      <c r="G441" s="65" t="n"/>
      <c r="H441" s="65" t="n"/>
      <c r="I441" s="64" t="n"/>
      <c r="J441" s="64" t="n"/>
      <c r="K441" s="63" t="n"/>
      <c r="L441" s="63" t="n"/>
      <c r="M441" s="64" t="n"/>
      <c r="N441" s="66" t="n"/>
      <c r="O441" s="65" t="n"/>
      <c r="P441" s="64" t="n"/>
      <c r="Q441" s="67" t="n"/>
      <c r="R441" s="67" t="n"/>
      <c r="S441" s="68" t="str">
        <f>IF(AND(ISNUMBER($Q441),ISNUMBER($R441)),$Q441-$R441,"")</f>
        <v/>
      </c>
      <c r="T441" s="65" t="n"/>
      <c r="U441" s="64" t="n"/>
      <c r="V441" s="65" t="n"/>
      <c r="W441" s="63" t="n"/>
      <c r="X441" s="65" t="n"/>
      <c r="Y441" s="63" t="n"/>
      <c r="Z441" s="64" t="n"/>
      <c r="AA441" s="64" t="n"/>
      <c r="AB441" s="65" t="n"/>
      <c r="AC441" s="69" t="str">
        <f>IF(OR($G441="",NOT(ISNUMBER($K441)),$AK441=0),"",MAX(0,ReportDate-$K441))</f>
        <v/>
      </c>
      <c r="AD441" s="69" t="str">
        <f>IF($G441="","",IF($AL441=1,ReportDate-$L441,0))</f>
        <v/>
      </c>
      <c r="AE441" s="70" t="str">
        <f>IF($G441="","",IF($M441="Completed",1,IF(ISNUMBER($N441),$N441,0)))</f>
        <v/>
      </c>
      <c r="AF441" s="70" t="str">
        <f>IF(AND(ISNUMBER($Q441),ISNUMBER($R441)),IF($R441&lt;&gt;0,$Q441/$R441,""),"")</f>
        <v/>
      </c>
      <c r="AG441" s="71" t="str">
        <f>IF($G441="","",IF($AL441=1,"OVERDUE",IF($AM441=1,"BLOCKED",IF($AN441=1,"DUE TODAY",IF($AO441=1,"DUE TOMORROW",IF($AQ441=1,"HIGH PRIORITY",IF($AR441=1,"NO RECENT UPDATE",""))))))) </f>
        <v/>
      </c>
      <c r="AH441" s="71" t="str">
        <f>IF($G441="","",IF(ISNUMBER($A441),IF(ISNUMBER($A441),YEAR($A441)&amp;"-"&amp;TEXT(MONTH($A441),"00"),""),IF(ISNUMBER($L441),IF(ISNUMBER($L441),YEAR($L441)&amp;"-"&amp;TEXT(MONTH($L441),"00"),""),"")))</f>
        <v/>
      </c>
      <c r="AI441" s="71">
        <f>IF($G441="",0,IF(AND(OR(fClient="All",$C441=fClient),OR(fCampaign="All",$D441=fCampaign),OR(fTeam="All",$B441=fTeam),OR(fChannel="All",$F441=fChannel),OR(fMonth="All",$AH441=fMonth),OR(fTStatus="All",$M441=fTStatus)),1,0))</f>
        <v>0</v>
      </c>
      <c r="AJ441" s="71">
        <f>IF($G441="",0,IF(AND(OR(fClient="All",$C441=fClient),OR(fCampaign="All",$D441=fCampaign),OR(fTeam="All",$B441=fTeam),OR(fChannel="All",$F441=fChannel)),1,0))</f>
        <v>0</v>
      </c>
      <c r="AK441" s="71">
        <f>IF($G441="",0,IF(OR($M441="Completed",$M441="Cancelled"),0,1))</f>
        <v>0</v>
      </c>
      <c r="AL441" s="71">
        <f>IF(AND($AK441=1,ISNUMBER($L441)),IF($L441&lt;ReportDate,1,0),0)</f>
        <v>0</v>
      </c>
      <c r="AM441" s="71">
        <f>IF(AND($G441&lt;&gt;"",$M441="Blocked"),1,0)</f>
        <v>0</v>
      </c>
      <c r="AN441" s="71">
        <f>IF(AND($AK441=1,ISNUMBER($L441)),IF($L441=ReportDate,1,0),0)</f>
        <v>0</v>
      </c>
      <c r="AO441" s="71">
        <f>IF(AND($AK441=1,ISNUMBER($L441)),IF($L441=ReportDate+1,1,0),0)</f>
        <v>0</v>
      </c>
      <c r="AP441" s="71">
        <f>IF(AND($AK441=1,ISNUMBER($L441)),IF(AND($L441&gt;=ReportDate,$L441&lt;=ReportDate+DueSoonDays),1,0),0)</f>
        <v>0</v>
      </c>
      <c r="AQ441" s="71">
        <f>IF(AND($AK441=1,OR($I441="Critical",$I441="High")),1,0)</f>
        <v>0</v>
      </c>
      <c r="AR441" s="71">
        <f>IF($AK441=1,IF(ISNUMBER($Y441),IF(ReportDate-$Y441&gt;StaleDays,1,0),1),0)</f>
        <v>0</v>
      </c>
      <c r="AS441" s="71">
        <f>IF(AND($G441&lt;&gt;"",ISNUMBER($Q441),ISNUMBER($R441)),IF(AND($Q441&lt;$R441,OR($M441="Completed",AND(ISNUMBER($L441),$L441&lt;ReportDate))),1,0),0)</f>
        <v>0</v>
      </c>
      <c r="AT441" s="71">
        <f>IF($AK441=1,IF(OR($L441=ReportDate,$W441=ReportDate,$K441=ReportDate,$A441=ReportDate),1,0),0)</f>
        <v>0</v>
      </c>
      <c r="AU441" s="71">
        <f>IF($AK441=1,IF(OR($L441=ReportDate+1,$W441=ReportDate+1,$K441=ReportDate+1,$A441=ReportDate+1),1,0),0)</f>
        <v>0</v>
      </c>
      <c r="AV441" s="71">
        <f>IF(AND($G441&lt;&gt;"",$M441="Completed"),IF(OR($Y441=ReportDate-1,$A441=ReportDate-1),1,0),0)</f>
        <v>0</v>
      </c>
      <c r="AW441" s="71">
        <f>IF(AND($AK441=1,$Z441="Yes"),1,0)</f>
        <v>0</v>
      </c>
      <c r="AX441" s="71">
        <f>IF(AND($AK441=1,$AA441="Yes"),1,0)</f>
        <v>0</v>
      </c>
      <c r="AY441" s="71">
        <f>IF(AND($AM441=1,OR($I441="Critical",$I441="High")),1,0)</f>
        <v>0</v>
      </c>
      <c r="AZ441" s="71">
        <f>IF(AND($AK441=1,OR($C441=TCL_Client,$C441=MECCA_Client)),1,0)</f>
        <v>0</v>
      </c>
      <c r="BA441" s="71" t="str">
        <f>IF($G441="","",IFERROR(MATCH($I441,lst_Priority,0),5))</f>
        <v/>
      </c>
      <c r="BB441" s="71" t="str">
        <f>IF(AND($AL441=1,$AJ441=1),$BA441*100000+ROW(),"")</f>
        <v/>
      </c>
      <c r="BC441" s="71" t="str">
        <f>IF(AND($AM441=1,$AJ441=1),$BA441*100000+ROW(),"")</f>
        <v/>
      </c>
      <c r="BD441" s="71" t="str">
        <f>IF(AND($AP441=1,$AJ441=1),$BA441*100000+ROW(),"")</f>
        <v/>
      </c>
      <c r="BE441" s="71" t="str">
        <f>IF(AND($AT441=1,$AJ441=1),$BA441*100000+ROW(),"")</f>
        <v/>
      </c>
      <c r="BF441" s="71" t="str">
        <f>IF(AND($AU441=1,$AJ441=1),$BA441*100000+ROW(),"")</f>
        <v/>
      </c>
      <c r="BG441" s="71" t="str">
        <f>IF(AND($AV441=1,$AJ441=1),$BA441*100000+ROW(),"")</f>
        <v/>
      </c>
      <c r="BH441" s="71" t="str">
        <f>IF(AND($AW441=1,$AJ441=1),$BA441*100000+ROW(),"")</f>
        <v/>
      </c>
      <c r="BI441" s="71" t="str">
        <f>IF(AND($AX441=1,$AJ441=1),$BA441*100000+ROW(),"")</f>
        <v/>
      </c>
      <c r="BJ441" s="71" t="str">
        <f>IF(AND($AS441=1,$AJ441=1),$BA441*100000+ROW(),"")</f>
        <v/>
      </c>
      <c r="BK441" s="71" t="str">
        <f>IF(AND($AY441=1,$AJ441=1),$BA441*100000+ROW(),"")</f>
        <v/>
      </c>
      <c r="BL441" s="71" t="str">
        <f>IF(AND($AZ441=1),$BA441*100000+ROW(),"")</f>
        <v/>
      </c>
    </row>
    <row r="442">
      <c r="A442" s="63" t="n"/>
      <c r="B442" s="64" t="n"/>
      <c r="C442" s="64" t="n"/>
      <c r="D442" s="64" t="n"/>
      <c r="E442" s="64" t="n"/>
      <c r="F442" s="64" t="n"/>
      <c r="G442" s="65" t="n"/>
      <c r="H442" s="65" t="n"/>
      <c r="I442" s="64" t="n"/>
      <c r="J442" s="64" t="n"/>
      <c r="K442" s="63" t="n"/>
      <c r="L442" s="63" t="n"/>
      <c r="M442" s="64" t="n"/>
      <c r="N442" s="66" t="n"/>
      <c r="O442" s="65" t="n"/>
      <c r="P442" s="64" t="n"/>
      <c r="Q442" s="67" t="n"/>
      <c r="R442" s="67" t="n"/>
      <c r="S442" s="68" t="str">
        <f>IF(AND(ISNUMBER($Q442),ISNUMBER($R442)),$Q442-$R442,"")</f>
        <v/>
      </c>
      <c r="T442" s="65" t="n"/>
      <c r="U442" s="64" t="n"/>
      <c r="V442" s="65" t="n"/>
      <c r="W442" s="63" t="n"/>
      <c r="X442" s="65" t="n"/>
      <c r="Y442" s="63" t="n"/>
      <c r="Z442" s="64" t="n"/>
      <c r="AA442" s="64" t="n"/>
      <c r="AB442" s="65" t="n"/>
      <c r="AC442" s="69" t="str">
        <f>IF(OR($G442="",NOT(ISNUMBER($K442)),$AK442=0),"",MAX(0,ReportDate-$K442))</f>
        <v/>
      </c>
      <c r="AD442" s="69" t="str">
        <f>IF($G442="","",IF($AL442=1,ReportDate-$L442,0))</f>
        <v/>
      </c>
      <c r="AE442" s="70" t="str">
        <f>IF($G442="","",IF($M442="Completed",1,IF(ISNUMBER($N442),$N442,0)))</f>
        <v/>
      </c>
      <c r="AF442" s="70" t="str">
        <f>IF(AND(ISNUMBER($Q442),ISNUMBER($R442)),IF($R442&lt;&gt;0,$Q442/$R442,""),"")</f>
        <v/>
      </c>
      <c r="AG442" s="71" t="str">
        <f>IF($G442="","",IF($AL442=1,"OVERDUE",IF($AM442=1,"BLOCKED",IF($AN442=1,"DUE TODAY",IF($AO442=1,"DUE TOMORROW",IF($AQ442=1,"HIGH PRIORITY",IF($AR442=1,"NO RECENT UPDATE",""))))))) </f>
        <v/>
      </c>
      <c r="AH442" s="71" t="str">
        <f>IF($G442="","",IF(ISNUMBER($A442),IF(ISNUMBER($A442),YEAR($A442)&amp;"-"&amp;TEXT(MONTH($A442),"00"),""),IF(ISNUMBER($L442),IF(ISNUMBER($L442),YEAR($L442)&amp;"-"&amp;TEXT(MONTH($L442),"00"),""),"")))</f>
        <v/>
      </c>
      <c r="AI442" s="71">
        <f>IF($G442="",0,IF(AND(OR(fClient="All",$C442=fClient),OR(fCampaign="All",$D442=fCampaign),OR(fTeam="All",$B442=fTeam),OR(fChannel="All",$F442=fChannel),OR(fMonth="All",$AH442=fMonth),OR(fTStatus="All",$M442=fTStatus)),1,0))</f>
        <v>0</v>
      </c>
      <c r="AJ442" s="71">
        <f>IF($G442="",0,IF(AND(OR(fClient="All",$C442=fClient),OR(fCampaign="All",$D442=fCampaign),OR(fTeam="All",$B442=fTeam),OR(fChannel="All",$F442=fChannel)),1,0))</f>
        <v>0</v>
      </c>
      <c r="AK442" s="71">
        <f>IF($G442="",0,IF(OR($M442="Completed",$M442="Cancelled"),0,1))</f>
        <v>0</v>
      </c>
      <c r="AL442" s="71">
        <f>IF(AND($AK442=1,ISNUMBER($L442)),IF($L442&lt;ReportDate,1,0),0)</f>
        <v>0</v>
      </c>
      <c r="AM442" s="71">
        <f>IF(AND($G442&lt;&gt;"",$M442="Blocked"),1,0)</f>
        <v>0</v>
      </c>
      <c r="AN442" s="71">
        <f>IF(AND($AK442=1,ISNUMBER($L442)),IF($L442=ReportDate,1,0),0)</f>
        <v>0</v>
      </c>
      <c r="AO442" s="71">
        <f>IF(AND($AK442=1,ISNUMBER($L442)),IF($L442=ReportDate+1,1,0),0)</f>
        <v>0</v>
      </c>
      <c r="AP442" s="71">
        <f>IF(AND($AK442=1,ISNUMBER($L442)),IF(AND($L442&gt;=ReportDate,$L442&lt;=ReportDate+DueSoonDays),1,0),0)</f>
        <v>0</v>
      </c>
      <c r="AQ442" s="71">
        <f>IF(AND($AK442=1,OR($I442="Critical",$I442="High")),1,0)</f>
        <v>0</v>
      </c>
      <c r="AR442" s="71">
        <f>IF($AK442=1,IF(ISNUMBER($Y442),IF(ReportDate-$Y442&gt;StaleDays,1,0),1),0)</f>
        <v>0</v>
      </c>
      <c r="AS442" s="71">
        <f>IF(AND($G442&lt;&gt;"",ISNUMBER($Q442),ISNUMBER($R442)),IF(AND($Q442&lt;$R442,OR($M442="Completed",AND(ISNUMBER($L442),$L442&lt;ReportDate))),1,0),0)</f>
        <v>0</v>
      </c>
      <c r="AT442" s="71">
        <f>IF($AK442=1,IF(OR($L442=ReportDate,$W442=ReportDate,$K442=ReportDate,$A442=ReportDate),1,0),0)</f>
        <v>0</v>
      </c>
      <c r="AU442" s="71">
        <f>IF($AK442=1,IF(OR($L442=ReportDate+1,$W442=ReportDate+1,$K442=ReportDate+1,$A442=ReportDate+1),1,0),0)</f>
        <v>0</v>
      </c>
      <c r="AV442" s="71">
        <f>IF(AND($G442&lt;&gt;"",$M442="Completed"),IF(OR($Y442=ReportDate-1,$A442=ReportDate-1),1,0),0)</f>
        <v>0</v>
      </c>
      <c r="AW442" s="71">
        <f>IF(AND($AK442=1,$Z442="Yes"),1,0)</f>
        <v>0</v>
      </c>
      <c r="AX442" s="71">
        <f>IF(AND($AK442=1,$AA442="Yes"),1,0)</f>
        <v>0</v>
      </c>
      <c r="AY442" s="71">
        <f>IF(AND($AM442=1,OR($I442="Critical",$I442="High")),1,0)</f>
        <v>0</v>
      </c>
      <c r="AZ442" s="71">
        <f>IF(AND($AK442=1,OR($C442=TCL_Client,$C442=MECCA_Client)),1,0)</f>
        <v>0</v>
      </c>
      <c r="BA442" s="71" t="str">
        <f>IF($G442="","",IFERROR(MATCH($I442,lst_Priority,0),5))</f>
        <v/>
      </c>
      <c r="BB442" s="71" t="str">
        <f>IF(AND($AL442=1,$AJ442=1),$BA442*100000+ROW(),"")</f>
        <v/>
      </c>
      <c r="BC442" s="71" t="str">
        <f>IF(AND($AM442=1,$AJ442=1),$BA442*100000+ROW(),"")</f>
        <v/>
      </c>
      <c r="BD442" s="71" t="str">
        <f>IF(AND($AP442=1,$AJ442=1),$BA442*100000+ROW(),"")</f>
        <v/>
      </c>
      <c r="BE442" s="71" t="str">
        <f>IF(AND($AT442=1,$AJ442=1),$BA442*100000+ROW(),"")</f>
        <v/>
      </c>
      <c r="BF442" s="71" t="str">
        <f>IF(AND($AU442=1,$AJ442=1),$BA442*100000+ROW(),"")</f>
        <v/>
      </c>
      <c r="BG442" s="71" t="str">
        <f>IF(AND($AV442=1,$AJ442=1),$BA442*100000+ROW(),"")</f>
        <v/>
      </c>
      <c r="BH442" s="71" t="str">
        <f>IF(AND($AW442=1,$AJ442=1),$BA442*100000+ROW(),"")</f>
        <v/>
      </c>
      <c r="BI442" s="71" t="str">
        <f>IF(AND($AX442=1,$AJ442=1),$BA442*100000+ROW(),"")</f>
        <v/>
      </c>
      <c r="BJ442" s="71" t="str">
        <f>IF(AND($AS442=1,$AJ442=1),$BA442*100000+ROW(),"")</f>
        <v/>
      </c>
      <c r="BK442" s="71" t="str">
        <f>IF(AND($AY442=1,$AJ442=1),$BA442*100000+ROW(),"")</f>
        <v/>
      </c>
      <c r="BL442" s="71" t="str">
        <f>IF(AND($AZ442=1),$BA442*100000+ROW(),"")</f>
        <v/>
      </c>
    </row>
    <row r="443">
      <c r="A443" s="63" t="n"/>
      <c r="B443" s="64" t="n"/>
      <c r="C443" s="64" t="n"/>
      <c r="D443" s="64" t="n"/>
      <c r="E443" s="64" t="n"/>
      <c r="F443" s="64" t="n"/>
      <c r="G443" s="65" t="n"/>
      <c r="H443" s="65" t="n"/>
      <c r="I443" s="64" t="n"/>
      <c r="J443" s="64" t="n"/>
      <c r="K443" s="63" t="n"/>
      <c r="L443" s="63" t="n"/>
      <c r="M443" s="64" t="n"/>
      <c r="N443" s="66" t="n"/>
      <c r="O443" s="65" t="n"/>
      <c r="P443" s="64" t="n"/>
      <c r="Q443" s="67" t="n"/>
      <c r="R443" s="67" t="n"/>
      <c r="S443" s="68" t="str">
        <f>IF(AND(ISNUMBER($Q443),ISNUMBER($R443)),$Q443-$R443,"")</f>
        <v/>
      </c>
      <c r="T443" s="65" t="n"/>
      <c r="U443" s="64" t="n"/>
      <c r="V443" s="65" t="n"/>
      <c r="W443" s="63" t="n"/>
      <c r="X443" s="65" t="n"/>
      <c r="Y443" s="63" t="n"/>
      <c r="Z443" s="64" t="n"/>
      <c r="AA443" s="64" t="n"/>
      <c r="AB443" s="65" t="n"/>
      <c r="AC443" s="69" t="str">
        <f>IF(OR($G443="",NOT(ISNUMBER($K443)),$AK443=0),"",MAX(0,ReportDate-$K443))</f>
        <v/>
      </c>
      <c r="AD443" s="69" t="str">
        <f>IF($G443="","",IF($AL443=1,ReportDate-$L443,0))</f>
        <v/>
      </c>
      <c r="AE443" s="70" t="str">
        <f>IF($G443="","",IF($M443="Completed",1,IF(ISNUMBER($N443),$N443,0)))</f>
        <v/>
      </c>
      <c r="AF443" s="70" t="str">
        <f>IF(AND(ISNUMBER($Q443),ISNUMBER($R443)),IF($R443&lt;&gt;0,$Q443/$R443,""),"")</f>
        <v/>
      </c>
      <c r="AG443" s="71" t="str">
        <f>IF($G443="","",IF($AL443=1,"OVERDUE",IF($AM443=1,"BLOCKED",IF($AN443=1,"DUE TODAY",IF($AO443=1,"DUE TOMORROW",IF($AQ443=1,"HIGH PRIORITY",IF($AR443=1,"NO RECENT UPDATE",""))))))) </f>
        <v/>
      </c>
      <c r="AH443" s="71" t="str">
        <f>IF($G443="","",IF(ISNUMBER($A443),IF(ISNUMBER($A443),YEAR($A443)&amp;"-"&amp;TEXT(MONTH($A443),"00"),""),IF(ISNUMBER($L443),IF(ISNUMBER($L443),YEAR($L443)&amp;"-"&amp;TEXT(MONTH($L443),"00"),""),"")))</f>
        <v/>
      </c>
      <c r="AI443" s="71">
        <f>IF($G443="",0,IF(AND(OR(fClient="All",$C443=fClient),OR(fCampaign="All",$D443=fCampaign),OR(fTeam="All",$B443=fTeam),OR(fChannel="All",$F443=fChannel),OR(fMonth="All",$AH443=fMonth),OR(fTStatus="All",$M443=fTStatus)),1,0))</f>
        <v>0</v>
      </c>
      <c r="AJ443" s="71">
        <f>IF($G443="",0,IF(AND(OR(fClient="All",$C443=fClient),OR(fCampaign="All",$D443=fCampaign),OR(fTeam="All",$B443=fTeam),OR(fChannel="All",$F443=fChannel)),1,0))</f>
        <v>0</v>
      </c>
      <c r="AK443" s="71">
        <f>IF($G443="",0,IF(OR($M443="Completed",$M443="Cancelled"),0,1))</f>
        <v>0</v>
      </c>
      <c r="AL443" s="71">
        <f>IF(AND($AK443=1,ISNUMBER($L443)),IF($L443&lt;ReportDate,1,0),0)</f>
        <v>0</v>
      </c>
      <c r="AM443" s="71">
        <f>IF(AND($G443&lt;&gt;"",$M443="Blocked"),1,0)</f>
        <v>0</v>
      </c>
      <c r="AN443" s="71">
        <f>IF(AND($AK443=1,ISNUMBER($L443)),IF($L443=ReportDate,1,0),0)</f>
        <v>0</v>
      </c>
      <c r="AO443" s="71">
        <f>IF(AND($AK443=1,ISNUMBER($L443)),IF($L443=ReportDate+1,1,0),0)</f>
        <v>0</v>
      </c>
      <c r="AP443" s="71">
        <f>IF(AND($AK443=1,ISNUMBER($L443)),IF(AND($L443&gt;=ReportDate,$L443&lt;=ReportDate+DueSoonDays),1,0),0)</f>
        <v>0</v>
      </c>
      <c r="AQ443" s="71">
        <f>IF(AND($AK443=1,OR($I443="Critical",$I443="High")),1,0)</f>
        <v>0</v>
      </c>
      <c r="AR443" s="71">
        <f>IF($AK443=1,IF(ISNUMBER($Y443),IF(ReportDate-$Y443&gt;StaleDays,1,0),1),0)</f>
        <v>0</v>
      </c>
      <c r="AS443" s="71">
        <f>IF(AND($G443&lt;&gt;"",ISNUMBER($Q443),ISNUMBER($R443)),IF(AND($Q443&lt;$R443,OR($M443="Completed",AND(ISNUMBER($L443),$L443&lt;ReportDate))),1,0),0)</f>
        <v>0</v>
      </c>
      <c r="AT443" s="71">
        <f>IF($AK443=1,IF(OR($L443=ReportDate,$W443=ReportDate,$K443=ReportDate,$A443=ReportDate),1,0),0)</f>
        <v>0</v>
      </c>
      <c r="AU443" s="71">
        <f>IF($AK443=1,IF(OR($L443=ReportDate+1,$W443=ReportDate+1,$K443=ReportDate+1,$A443=ReportDate+1),1,0),0)</f>
        <v>0</v>
      </c>
      <c r="AV443" s="71">
        <f>IF(AND($G443&lt;&gt;"",$M443="Completed"),IF(OR($Y443=ReportDate-1,$A443=ReportDate-1),1,0),0)</f>
        <v>0</v>
      </c>
      <c r="AW443" s="71">
        <f>IF(AND($AK443=1,$Z443="Yes"),1,0)</f>
        <v>0</v>
      </c>
      <c r="AX443" s="71">
        <f>IF(AND($AK443=1,$AA443="Yes"),1,0)</f>
        <v>0</v>
      </c>
      <c r="AY443" s="71">
        <f>IF(AND($AM443=1,OR($I443="Critical",$I443="High")),1,0)</f>
        <v>0</v>
      </c>
      <c r="AZ443" s="71">
        <f>IF(AND($AK443=1,OR($C443=TCL_Client,$C443=MECCA_Client)),1,0)</f>
        <v>0</v>
      </c>
      <c r="BA443" s="71" t="str">
        <f>IF($G443="","",IFERROR(MATCH($I443,lst_Priority,0),5))</f>
        <v/>
      </c>
      <c r="BB443" s="71" t="str">
        <f>IF(AND($AL443=1,$AJ443=1),$BA443*100000+ROW(),"")</f>
        <v/>
      </c>
      <c r="BC443" s="71" t="str">
        <f>IF(AND($AM443=1,$AJ443=1),$BA443*100000+ROW(),"")</f>
        <v/>
      </c>
      <c r="BD443" s="71" t="str">
        <f>IF(AND($AP443=1,$AJ443=1),$BA443*100000+ROW(),"")</f>
        <v/>
      </c>
      <c r="BE443" s="71" t="str">
        <f>IF(AND($AT443=1,$AJ443=1),$BA443*100000+ROW(),"")</f>
        <v/>
      </c>
      <c r="BF443" s="71" t="str">
        <f>IF(AND($AU443=1,$AJ443=1),$BA443*100000+ROW(),"")</f>
        <v/>
      </c>
      <c r="BG443" s="71" t="str">
        <f>IF(AND($AV443=1,$AJ443=1),$BA443*100000+ROW(),"")</f>
        <v/>
      </c>
      <c r="BH443" s="71" t="str">
        <f>IF(AND($AW443=1,$AJ443=1),$BA443*100000+ROW(),"")</f>
        <v/>
      </c>
      <c r="BI443" s="71" t="str">
        <f>IF(AND($AX443=1,$AJ443=1),$BA443*100000+ROW(),"")</f>
        <v/>
      </c>
      <c r="BJ443" s="71" t="str">
        <f>IF(AND($AS443=1,$AJ443=1),$BA443*100000+ROW(),"")</f>
        <v/>
      </c>
      <c r="BK443" s="71" t="str">
        <f>IF(AND($AY443=1,$AJ443=1),$BA443*100000+ROW(),"")</f>
        <v/>
      </c>
      <c r="BL443" s="71" t="str">
        <f>IF(AND($AZ443=1),$BA443*100000+ROW(),"")</f>
        <v/>
      </c>
    </row>
    <row r="444">
      <c r="A444" s="63" t="n"/>
      <c r="B444" s="64" t="n"/>
      <c r="C444" s="64" t="n"/>
      <c r="D444" s="64" t="n"/>
      <c r="E444" s="64" t="n"/>
      <c r="F444" s="64" t="n"/>
      <c r="G444" s="65" t="n"/>
      <c r="H444" s="65" t="n"/>
      <c r="I444" s="64" t="n"/>
      <c r="J444" s="64" t="n"/>
      <c r="K444" s="63" t="n"/>
      <c r="L444" s="63" t="n"/>
      <c r="M444" s="64" t="n"/>
      <c r="N444" s="66" t="n"/>
      <c r="O444" s="65" t="n"/>
      <c r="P444" s="64" t="n"/>
      <c r="Q444" s="67" t="n"/>
      <c r="R444" s="67" t="n"/>
      <c r="S444" s="68" t="str">
        <f>IF(AND(ISNUMBER($Q444),ISNUMBER($R444)),$Q444-$R444,"")</f>
        <v/>
      </c>
      <c r="T444" s="65" t="n"/>
      <c r="U444" s="64" t="n"/>
      <c r="V444" s="65" t="n"/>
      <c r="W444" s="63" t="n"/>
      <c r="X444" s="65" t="n"/>
      <c r="Y444" s="63" t="n"/>
      <c r="Z444" s="64" t="n"/>
      <c r="AA444" s="64" t="n"/>
      <c r="AB444" s="65" t="n"/>
      <c r="AC444" s="69" t="str">
        <f>IF(OR($G444="",NOT(ISNUMBER($K444)),$AK444=0),"",MAX(0,ReportDate-$K444))</f>
        <v/>
      </c>
      <c r="AD444" s="69" t="str">
        <f>IF($G444="","",IF($AL444=1,ReportDate-$L444,0))</f>
        <v/>
      </c>
      <c r="AE444" s="70" t="str">
        <f>IF($G444="","",IF($M444="Completed",1,IF(ISNUMBER($N444),$N444,0)))</f>
        <v/>
      </c>
      <c r="AF444" s="70" t="str">
        <f>IF(AND(ISNUMBER($Q444),ISNUMBER($R444)),IF($R444&lt;&gt;0,$Q444/$R444,""),"")</f>
        <v/>
      </c>
      <c r="AG444" s="71" t="str">
        <f>IF($G444="","",IF($AL444=1,"OVERDUE",IF($AM444=1,"BLOCKED",IF($AN444=1,"DUE TODAY",IF($AO444=1,"DUE TOMORROW",IF($AQ444=1,"HIGH PRIORITY",IF($AR444=1,"NO RECENT UPDATE",""))))))) </f>
        <v/>
      </c>
      <c r="AH444" s="71" t="str">
        <f>IF($G444="","",IF(ISNUMBER($A444),IF(ISNUMBER($A444),YEAR($A444)&amp;"-"&amp;TEXT(MONTH($A444),"00"),""),IF(ISNUMBER($L444),IF(ISNUMBER($L444),YEAR($L444)&amp;"-"&amp;TEXT(MONTH($L444),"00"),""),"")))</f>
        <v/>
      </c>
      <c r="AI444" s="71">
        <f>IF($G444="",0,IF(AND(OR(fClient="All",$C444=fClient),OR(fCampaign="All",$D444=fCampaign),OR(fTeam="All",$B444=fTeam),OR(fChannel="All",$F444=fChannel),OR(fMonth="All",$AH444=fMonth),OR(fTStatus="All",$M444=fTStatus)),1,0))</f>
        <v>0</v>
      </c>
      <c r="AJ444" s="71">
        <f>IF($G444="",0,IF(AND(OR(fClient="All",$C444=fClient),OR(fCampaign="All",$D444=fCampaign),OR(fTeam="All",$B444=fTeam),OR(fChannel="All",$F444=fChannel)),1,0))</f>
        <v>0</v>
      </c>
      <c r="AK444" s="71">
        <f>IF($G444="",0,IF(OR($M444="Completed",$M444="Cancelled"),0,1))</f>
        <v>0</v>
      </c>
      <c r="AL444" s="71">
        <f>IF(AND($AK444=1,ISNUMBER($L444)),IF($L444&lt;ReportDate,1,0),0)</f>
        <v>0</v>
      </c>
      <c r="AM444" s="71">
        <f>IF(AND($G444&lt;&gt;"",$M444="Blocked"),1,0)</f>
        <v>0</v>
      </c>
      <c r="AN444" s="71">
        <f>IF(AND($AK444=1,ISNUMBER($L444)),IF($L444=ReportDate,1,0),0)</f>
        <v>0</v>
      </c>
      <c r="AO444" s="71">
        <f>IF(AND($AK444=1,ISNUMBER($L444)),IF($L444=ReportDate+1,1,0),0)</f>
        <v>0</v>
      </c>
      <c r="AP444" s="71">
        <f>IF(AND($AK444=1,ISNUMBER($L444)),IF(AND($L444&gt;=ReportDate,$L444&lt;=ReportDate+DueSoonDays),1,0),0)</f>
        <v>0</v>
      </c>
      <c r="AQ444" s="71">
        <f>IF(AND($AK444=1,OR($I444="Critical",$I444="High")),1,0)</f>
        <v>0</v>
      </c>
      <c r="AR444" s="71">
        <f>IF($AK444=1,IF(ISNUMBER($Y444),IF(ReportDate-$Y444&gt;StaleDays,1,0),1),0)</f>
        <v>0</v>
      </c>
      <c r="AS444" s="71">
        <f>IF(AND($G444&lt;&gt;"",ISNUMBER($Q444),ISNUMBER($R444)),IF(AND($Q444&lt;$R444,OR($M444="Completed",AND(ISNUMBER($L444),$L444&lt;ReportDate))),1,0),0)</f>
        <v>0</v>
      </c>
      <c r="AT444" s="71">
        <f>IF($AK444=1,IF(OR($L444=ReportDate,$W444=ReportDate,$K444=ReportDate,$A444=ReportDate),1,0),0)</f>
        <v>0</v>
      </c>
      <c r="AU444" s="71">
        <f>IF($AK444=1,IF(OR($L444=ReportDate+1,$W444=ReportDate+1,$K444=ReportDate+1,$A444=ReportDate+1),1,0),0)</f>
        <v>0</v>
      </c>
      <c r="AV444" s="71">
        <f>IF(AND($G444&lt;&gt;"",$M444="Completed"),IF(OR($Y444=ReportDate-1,$A444=ReportDate-1),1,0),0)</f>
        <v>0</v>
      </c>
      <c r="AW444" s="71">
        <f>IF(AND($AK444=1,$Z444="Yes"),1,0)</f>
        <v>0</v>
      </c>
      <c r="AX444" s="71">
        <f>IF(AND($AK444=1,$AA444="Yes"),1,0)</f>
        <v>0</v>
      </c>
      <c r="AY444" s="71">
        <f>IF(AND($AM444=1,OR($I444="Critical",$I444="High")),1,0)</f>
        <v>0</v>
      </c>
      <c r="AZ444" s="71">
        <f>IF(AND($AK444=1,OR($C444=TCL_Client,$C444=MECCA_Client)),1,0)</f>
        <v>0</v>
      </c>
      <c r="BA444" s="71" t="str">
        <f>IF($G444="","",IFERROR(MATCH($I444,lst_Priority,0),5))</f>
        <v/>
      </c>
      <c r="BB444" s="71" t="str">
        <f>IF(AND($AL444=1,$AJ444=1),$BA444*100000+ROW(),"")</f>
        <v/>
      </c>
      <c r="BC444" s="71" t="str">
        <f>IF(AND($AM444=1,$AJ444=1),$BA444*100000+ROW(),"")</f>
        <v/>
      </c>
      <c r="BD444" s="71" t="str">
        <f>IF(AND($AP444=1,$AJ444=1),$BA444*100000+ROW(),"")</f>
        <v/>
      </c>
      <c r="BE444" s="71" t="str">
        <f>IF(AND($AT444=1,$AJ444=1),$BA444*100000+ROW(),"")</f>
        <v/>
      </c>
      <c r="BF444" s="71" t="str">
        <f>IF(AND($AU444=1,$AJ444=1),$BA444*100000+ROW(),"")</f>
        <v/>
      </c>
      <c r="BG444" s="71" t="str">
        <f>IF(AND($AV444=1,$AJ444=1),$BA444*100000+ROW(),"")</f>
        <v/>
      </c>
      <c r="BH444" s="71" t="str">
        <f>IF(AND($AW444=1,$AJ444=1),$BA444*100000+ROW(),"")</f>
        <v/>
      </c>
      <c r="BI444" s="71" t="str">
        <f>IF(AND($AX444=1,$AJ444=1),$BA444*100000+ROW(),"")</f>
        <v/>
      </c>
      <c r="BJ444" s="71" t="str">
        <f>IF(AND($AS444=1,$AJ444=1),$BA444*100000+ROW(),"")</f>
        <v/>
      </c>
      <c r="BK444" s="71" t="str">
        <f>IF(AND($AY444=1,$AJ444=1),$BA444*100000+ROW(),"")</f>
        <v/>
      </c>
      <c r="BL444" s="71" t="str">
        <f>IF(AND($AZ444=1),$BA444*100000+ROW(),"")</f>
        <v/>
      </c>
    </row>
    <row r="445">
      <c r="A445" s="63" t="n"/>
      <c r="B445" s="64" t="n"/>
      <c r="C445" s="64" t="n"/>
      <c r="D445" s="64" t="n"/>
      <c r="E445" s="64" t="n"/>
      <c r="F445" s="64" t="n"/>
      <c r="G445" s="65" t="n"/>
      <c r="H445" s="65" t="n"/>
      <c r="I445" s="64" t="n"/>
      <c r="J445" s="64" t="n"/>
      <c r="K445" s="63" t="n"/>
      <c r="L445" s="63" t="n"/>
      <c r="M445" s="64" t="n"/>
      <c r="N445" s="66" t="n"/>
      <c r="O445" s="65" t="n"/>
      <c r="P445" s="64" t="n"/>
      <c r="Q445" s="67" t="n"/>
      <c r="R445" s="67" t="n"/>
      <c r="S445" s="68" t="str">
        <f>IF(AND(ISNUMBER($Q445),ISNUMBER($R445)),$Q445-$R445,"")</f>
        <v/>
      </c>
      <c r="T445" s="65" t="n"/>
      <c r="U445" s="64" t="n"/>
      <c r="V445" s="65" t="n"/>
      <c r="W445" s="63" t="n"/>
      <c r="X445" s="65" t="n"/>
      <c r="Y445" s="63" t="n"/>
      <c r="Z445" s="64" t="n"/>
      <c r="AA445" s="64" t="n"/>
      <c r="AB445" s="65" t="n"/>
      <c r="AC445" s="69" t="str">
        <f>IF(OR($G445="",NOT(ISNUMBER($K445)),$AK445=0),"",MAX(0,ReportDate-$K445))</f>
        <v/>
      </c>
      <c r="AD445" s="69" t="str">
        <f>IF($G445="","",IF($AL445=1,ReportDate-$L445,0))</f>
        <v/>
      </c>
      <c r="AE445" s="70" t="str">
        <f>IF($G445="","",IF($M445="Completed",1,IF(ISNUMBER($N445),$N445,0)))</f>
        <v/>
      </c>
      <c r="AF445" s="70" t="str">
        <f>IF(AND(ISNUMBER($Q445),ISNUMBER($R445)),IF($R445&lt;&gt;0,$Q445/$R445,""),"")</f>
        <v/>
      </c>
      <c r="AG445" s="71" t="str">
        <f>IF($G445="","",IF($AL445=1,"OVERDUE",IF($AM445=1,"BLOCKED",IF($AN445=1,"DUE TODAY",IF($AO445=1,"DUE TOMORROW",IF($AQ445=1,"HIGH PRIORITY",IF($AR445=1,"NO RECENT UPDATE",""))))))) </f>
        <v/>
      </c>
      <c r="AH445" s="71" t="str">
        <f>IF($G445="","",IF(ISNUMBER($A445),IF(ISNUMBER($A445),YEAR($A445)&amp;"-"&amp;TEXT(MONTH($A445),"00"),""),IF(ISNUMBER($L445),IF(ISNUMBER($L445),YEAR($L445)&amp;"-"&amp;TEXT(MONTH($L445),"00"),""),"")))</f>
        <v/>
      </c>
      <c r="AI445" s="71">
        <f>IF($G445="",0,IF(AND(OR(fClient="All",$C445=fClient),OR(fCampaign="All",$D445=fCampaign),OR(fTeam="All",$B445=fTeam),OR(fChannel="All",$F445=fChannel),OR(fMonth="All",$AH445=fMonth),OR(fTStatus="All",$M445=fTStatus)),1,0))</f>
        <v>0</v>
      </c>
      <c r="AJ445" s="71">
        <f>IF($G445="",0,IF(AND(OR(fClient="All",$C445=fClient),OR(fCampaign="All",$D445=fCampaign),OR(fTeam="All",$B445=fTeam),OR(fChannel="All",$F445=fChannel)),1,0))</f>
        <v>0</v>
      </c>
      <c r="AK445" s="71">
        <f>IF($G445="",0,IF(OR($M445="Completed",$M445="Cancelled"),0,1))</f>
        <v>0</v>
      </c>
      <c r="AL445" s="71">
        <f>IF(AND($AK445=1,ISNUMBER($L445)),IF($L445&lt;ReportDate,1,0),0)</f>
        <v>0</v>
      </c>
      <c r="AM445" s="71">
        <f>IF(AND($G445&lt;&gt;"",$M445="Blocked"),1,0)</f>
        <v>0</v>
      </c>
      <c r="AN445" s="71">
        <f>IF(AND($AK445=1,ISNUMBER($L445)),IF($L445=ReportDate,1,0),0)</f>
        <v>0</v>
      </c>
      <c r="AO445" s="71">
        <f>IF(AND($AK445=1,ISNUMBER($L445)),IF($L445=ReportDate+1,1,0),0)</f>
        <v>0</v>
      </c>
      <c r="AP445" s="71">
        <f>IF(AND($AK445=1,ISNUMBER($L445)),IF(AND($L445&gt;=ReportDate,$L445&lt;=ReportDate+DueSoonDays),1,0),0)</f>
        <v>0</v>
      </c>
      <c r="AQ445" s="71">
        <f>IF(AND($AK445=1,OR($I445="Critical",$I445="High")),1,0)</f>
        <v>0</v>
      </c>
      <c r="AR445" s="71">
        <f>IF($AK445=1,IF(ISNUMBER($Y445),IF(ReportDate-$Y445&gt;StaleDays,1,0),1),0)</f>
        <v>0</v>
      </c>
      <c r="AS445" s="71">
        <f>IF(AND($G445&lt;&gt;"",ISNUMBER($Q445),ISNUMBER($R445)),IF(AND($Q445&lt;$R445,OR($M445="Completed",AND(ISNUMBER($L445),$L445&lt;ReportDate))),1,0),0)</f>
        <v>0</v>
      </c>
      <c r="AT445" s="71">
        <f>IF($AK445=1,IF(OR($L445=ReportDate,$W445=ReportDate,$K445=ReportDate,$A445=ReportDate),1,0),0)</f>
        <v>0</v>
      </c>
      <c r="AU445" s="71">
        <f>IF($AK445=1,IF(OR($L445=ReportDate+1,$W445=ReportDate+1,$K445=ReportDate+1,$A445=ReportDate+1),1,0),0)</f>
        <v>0</v>
      </c>
      <c r="AV445" s="71">
        <f>IF(AND($G445&lt;&gt;"",$M445="Completed"),IF(OR($Y445=ReportDate-1,$A445=ReportDate-1),1,0),0)</f>
        <v>0</v>
      </c>
      <c r="AW445" s="71">
        <f>IF(AND($AK445=1,$Z445="Yes"),1,0)</f>
        <v>0</v>
      </c>
      <c r="AX445" s="71">
        <f>IF(AND($AK445=1,$AA445="Yes"),1,0)</f>
        <v>0</v>
      </c>
      <c r="AY445" s="71">
        <f>IF(AND($AM445=1,OR($I445="Critical",$I445="High")),1,0)</f>
        <v>0</v>
      </c>
      <c r="AZ445" s="71">
        <f>IF(AND($AK445=1,OR($C445=TCL_Client,$C445=MECCA_Client)),1,0)</f>
        <v>0</v>
      </c>
      <c r="BA445" s="71" t="str">
        <f>IF($G445="","",IFERROR(MATCH($I445,lst_Priority,0),5))</f>
        <v/>
      </c>
      <c r="BB445" s="71" t="str">
        <f>IF(AND($AL445=1,$AJ445=1),$BA445*100000+ROW(),"")</f>
        <v/>
      </c>
      <c r="BC445" s="71" t="str">
        <f>IF(AND($AM445=1,$AJ445=1),$BA445*100000+ROW(),"")</f>
        <v/>
      </c>
      <c r="BD445" s="71" t="str">
        <f>IF(AND($AP445=1,$AJ445=1),$BA445*100000+ROW(),"")</f>
        <v/>
      </c>
      <c r="BE445" s="71" t="str">
        <f>IF(AND($AT445=1,$AJ445=1),$BA445*100000+ROW(),"")</f>
        <v/>
      </c>
      <c r="BF445" s="71" t="str">
        <f>IF(AND($AU445=1,$AJ445=1),$BA445*100000+ROW(),"")</f>
        <v/>
      </c>
      <c r="BG445" s="71" t="str">
        <f>IF(AND($AV445=1,$AJ445=1),$BA445*100000+ROW(),"")</f>
        <v/>
      </c>
      <c r="BH445" s="71" t="str">
        <f>IF(AND($AW445=1,$AJ445=1),$BA445*100000+ROW(),"")</f>
        <v/>
      </c>
      <c r="BI445" s="71" t="str">
        <f>IF(AND($AX445=1,$AJ445=1),$BA445*100000+ROW(),"")</f>
        <v/>
      </c>
      <c r="BJ445" s="71" t="str">
        <f>IF(AND($AS445=1,$AJ445=1),$BA445*100000+ROW(),"")</f>
        <v/>
      </c>
      <c r="BK445" s="71" t="str">
        <f>IF(AND($AY445=1,$AJ445=1),$BA445*100000+ROW(),"")</f>
        <v/>
      </c>
      <c r="BL445" s="71" t="str">
        <f>IF(AND($AZ445=1),$BA445*100000+ROW(),"")</f>
        <v/>
      </c>
    </row>
    <row r="446">
      <c r="A446" s="63" t="n"/>
      <c r="B446" s="64" t="n"/>
      <c r="C446" s="64" t="n"/>
      <c r="D446" s="64" t="n"/>
      <c r="E446" s="64" t="n"/>
      <c r="F446" s="64" t="n"/>
      <c r="G446" s="65" t="n"/>
      <c r="H446" s="65" t="n"/>
      <c r="I446" s="64" t="n"/>
      <c r="J446" s="64" t="n"/>
      <c r="K446" s="63" t="n"/>
      <c r="L446" s="63" t="n"/>
      <c r="M446" s="64" t="n"/>
      <c r="N446" s="66" t="n"/>
      <c r="O446" s="65" t="n"/>
      <c r="P446" s="64" t="n"/>
      <c r="Q446" s="67" t="n"/>
      <c r="R446" s="67" t="n"/>
      <c r="S446" s="68" t="str">
        <f>IF(AND(ISNUMBER($Q446),ISNUMBER($R446)),$Q446-$R446,"")</f>
        <v/>
      </c>
      <c r="T446" s="65" t="n"/>
      <c r="U446" s="64" t="n"/>
      <c r="V446" s="65" t="n"/>
      <c r="W446" s="63" t="n"/>
      <c r="X446" s="65" t="n"/>
      <c r="Y446" s="63" t="n"/>
      <c r="Z446" s="64" t="n"/>
      <c r="AA446" s="64" t="n"/>
      <c r="AB446" s="65" t="n"/>
      <c r="AC446" s="69" t="str">
        <f>IF(OR($G446="",NOT(ISNUMBER($K446)),$AK446=0),"",MAX(0,ReportDate-$K446))</f>
        <v/>
      </c>
      <c r="AD446" s="69" t="str">
        <f>IF($G446="","",IF($AL446=1,ReportDate-$L446,0))</f>
        <v/>
      </c>
      <c r="AE446" s="70" t="str">
        <f>IF($G446="","",IF($M446="Completed",1,IF(ISNUMBER($N446),$N446,0)))</f>
        <v/>
      </c>
      <c r="AF446" s="70" t="str">
        <f>IF(AND(ISNUMBER($Q446),ISNUMBER($R446)),IF($R446&lt;&gt;0,$Q446/$R446,""),"")</f>
        <v/>
      </c>
      <c r="AG446" s="71" t="str">
        <f>IF($G446="","",IF($AL446=1,"OVERDUE",IF($AM446=1,"BLOCKED",IF($AN446=1,"DUE TODAY",IF($AO446=1,"DUE TOMORROW",IF($AQ446=1,"HIGH PRIORITY",IF($AR446=1,"NO RECENT UPDATE",""))))))) </f>
        <v/>
      </c>
      <c r="AH446" s="71" t="str">
        <f>IF($G446="","",IF(ISNUMBER($A446),IF(ISNUMBER($A446),YEAR($A446)&amp;"-"&amp;TEXT(MONTH($A446),"00"),""),IF(ISNUMBER($L446),IF(ISNUMBER($L446),YEAR($L446)&amp;"-"&amp;TEXT(MONTH($L446),"00"),""),"")))</f>
        <v/>
      </c>
      <c r="AI446" s="71">
        <f>IF($G446="",0,IF(AND(OR(fClient="All",$C446=fClient),OR(fCampaign="All",$D446=fCampaign),OR(fTeam="All",$B446=fTeam),OR(fChannel="All",$F446=fChannel),OR(fMonth="All",$AH446=fMonth),OR(fTStatus="All",$M446=fTStatus)),1,0))</f>
        <v>0</v>
      </c>
      <c r="AJ446" s="71">
        <f>IF($G446="",0,IF(AND(OR(fClient="All",$C446=fClient),OR(fCampaign="All",$D446=fCampaign),OR(fTeam="All",$B446=fTeam),OR(fChannel="All",$F446=fChannel)),1,0))</f>
        <v>0</v>
      </c>
      <c r="AK446" s="71">
        <f>IF($G446="",0,IF(OR($M446="Completed",$M446="Cancelled"),0,1))</f>
        <v>0</v>
      </c>
      <c r="AL446" s="71">
        <f>IF(AND($AK446=1,ISNUMBER($L446)),IF($L446&lt;ReportDate,1,0),0)</f>
        <v>0</v>
      </c>
      <c r="AM446" s="71">
        <f>IF(AND($G446&lt;&gt;"",$M446="Blocked"),1,0)</f>
        <v>0</v>
      </c>
      <c r="AN446" s="71">
        <f>IF(AND($AK446=1,ISNUMBER($L446)),IF($L446=ReportDate,1,0),0)</f>
        <v>0</v>
      </c>
      <c r="AO446" s="71">
        <f>IF(AND($AK446=1,ISNUMBER($L446)),IF($L446=ReportDate+1,1,0),0)</f>
        <v>0</v>
      </c>
      <c r="AP446" s="71">
        <f>IF(AND($AK446=1,ISNUMBER($L446)),IF(AND($L446&gt;=ReportDate,$L446&lt;=ReportDate+DueSoonDays),1,0),0)</f>
        <v>0</v>
      </c>
      <c r="AQ446" s="71">
        <f>IF(AND($AK446=1,OR($I446="Critical",$I446="High")),1,0)</f>
        <v>0</v>
      </c>
      <c r="AR446" s="71">
        <f>IF($AK446=1,IF(ISNUMBER($Y446),IF(ReportDate-$Y446&gt;StaleDays,1,0),1),0)</f>
        <v>0</v>
      </c>
      <c r="AS446" s="71">
        <f>IF(AND($G446&lt;&gt;"",ISNUMBER($Q446),ISNUMBER($R446)),IF(AND($Q446&lt;$R446,OR($M446="Completed",AND(ISNUMBER($L446),$L446&lt;ReportDate))),1,0),0)</f>
        <v>0</v>
      </c>
      <c r="AT446" s="71">
        <f>IF($AK446=1,IF(OR($L446=ReportDate,$W446=ReportDate,$K446=ReportDate,$A446=ReportDate),1,0),0)</f>
        <v>0</v>
      </c>
      <c r="AU446" s="71">
        <f>IF($AK446=1,IF(OR($L446=ReportDate+1,$W446=ReportDate+1,$K446=ReportDate+1,$A446=ReportDate+1),1,0),0)</f>
        <v>0</v>
      </c>
      <c r="AV446" s="71">
        <f>IF(AND($G446&lt;&gt;"",$M446="Completed"),IF(OR($Y446=ReportDate-1,$A446=ReportDate-1),1,0),0)</f>
        <v>0</v>
      </c>
      <c r="AW446" s="71">
        <f>IF(AND($AK446=1,$Z446="Yes"),1,0)</f>
        <v>0</v>
      </c>
      <c r="AX446" s="71">
        <f>IF(AND($AK446=1,$AA446="Yes"),1,0)</f>
        <v>0</v>
      </c>
      <c r="AY446" s="71">
        <f>IF(AND($AM446=1,OR($I446="Critical",$I446="High")),1,0)</f>
        <v>0</v>
      </c>
      <c r="AZ446" s="71">
        <f>IF(AND($AK446=1,OR($C446=TCL_Client,$C446=MECCA_Client)),1,0)</f>
        <v>0</v>
      </c>
      <c r="BA446" s="71" t="str">
        <f>IF($G446="","",IFERROR(MATCH($I446,lst_Priority,0),5))</f>
        <v/>
      </c>
      <c r="BB446" s="71" t="str">
        <f>IF(AND($AL446=1,$AJ446=1),$BA446*100000+ROW(),"")</f>
        <v/>
      </c>
      <c r="BC446" s="71" t="str">
        <f>IF(AND($AM446=1,$AJ446=1),$BA446*100000+ROW(),"")</f>
        <v/>
      </c>
      <c r="BD446" s="71" t="str">
        <f>IF(AND($AP446=1,$AJ446=1),$BA446*100000+ROW(),"")</f>
        <v/>
      </c>
      <c r="BE446" s="71" t="str">
        <f>IF(AND($AT446=1,$AJ446=1),$BA446*100000+ROW(),"")</f>
        <v/>
      </c>
      <c r="BF446" s="71" t="str">
        <f>IF(AND($AU446=1,$AJ446=1),$BA446*100000+ROW(),"")</f>
        <v/>
      </c>
      <c r="BG446" s="71" t="str">
        <f>IF(AND($AV446=1,$AJ446=1),$BA446*100000+ROW(),"")</f>
        <v/>
      </c>
      <c r="BH446" s="71" t="str">
        <f>IF(AND($AW446=1,$AJ446=1),$BA446*100000+ROW(),"")</f>
        <v/>
      </c>
      <c r="BI446" s="71" t="str">
        <f>IF(AND($AX446=1,$AJ446=1),$BA446*100000+ROW(),"")</f>
        <v/>
      </c>
      <c r="BJ446" s="71" t="str">
        <f>IF(AND($AS446=1,$AJ446=1),$BA446*100000+ROW(),"")</f>
        <v/>
      </c>
      <c r="BK446" s="71" t="str">
        <f>IF(AND($AY446=1,$AJ446=1),$BA446*100000+ROW(),"")</f>
        <v/>
      </c>
      <c r="BL446" s="71" t="str">
        <f>IF(AND($AZ446=1),$BA446*100000+ROW(),"")</f>
        <v/>
      </c>
    </row>
    <row r="447">
      <c r="A447" s="63" t="n"/>
      <c r="B447" s="64" t="n"/>
      <c r="C447" s="64" t="n"/>
      <c r="D447" s="64" t="n"/>
      <c r="E447" s="64" t="n"/>
      <c r="F447" s="64" t="n"/>
      <c r="G447" s="65" t="n"/>
      <c r="H447" s="65" t="n"/>
      <c r="I447" s="64" t="n"/>
      <c r="J447" s="64" t="n"/>
      <c r="K447" s="63" t="n"/>
      <c r="L447" s="63" t="n"/>
      <c r="M447" s="64" t="n"/>
      <c r="N447" s="66" t="n"/>
      <c r="O447" s="65" t="n"/>
      <c r="P447" s="64" t="n"/>
      <c r="Q447" s="67" t="n"/>
      <c r="R447" s="67" t="n"/>
      <c r="S447" s="68" t="str">
        <f>IF(AND(ISNUMBER($Q447),ISNUMBER($R447)),$Q447-$R447,"")</f>
        <v/>
      </c>
      <c r="T447" s="65" t="n"/>
      <c r="U447" s="64" t="n"/>
      <c r="V447" s="65" t="n"/>
      <c r="W447" s="63" t="n"/>
      <c r="X447" s="65" t="n"/>
      <c r="Y447" s="63" t="n"/>
      <c r="Z447" s="64" t="n"/>
      <c r="AA447" s="64" t="n"/>
      <c r="AB447" s="65" t="n"/>
      <c r="AC447" s="69" t="str">
        <f>IF(OR($G447="",NOT(ISNUMBER($K447)),$AK447=0),"",MAX(0,ReportDate-$K447))</f>
        <v/>
      </c>
      <c r="AD447" s="69" t="str">
        <f>IF($G447="","",IF($AL447=1,ReportDate-$L447,0))</f>
        <v/>
      </c>
      <c r="AE447" s="70" t="str">
        <f>IF($G447="","",IF($M447="Completed",1,IF(ISNUMBER($N447),$N447,0)))</f>
        <v/>
      </c>
      <c r="AF447" s="70" t="str">
        <f>IF(AND(ISNUMBER($Q447),ISNUMBER($R447)),IF($R447&lt;&gt;0,$Q447/$R447,""),"")</f>
        <v/>
      </c>
      <c r="AG447" s="71" t="str">
        <f>IF($G447="","",IF($AL447=1,"OVERDUE",IF($AM447=1,"BLOCKED",IF($AN447=1,"DUE TODAY",IF($AO447=1,"DUE TOMORROW",IF($AQ447=1,"HIGH PRIORITY",IF($AR447=1,"NO RECENT UPDATE",""))))))) </f>
        <v/>
      </c>
      <c r="AH447" s="71" t="str">
        <f>IF($G447="","",IF(ISNUMBER($A447),IF(ISNUMBER($A447),YEAR($A447)&amp;"-"&amp;TEXT(MONTH($A447),"00"),""),IF(ISNUMBER($L447),IF(ISNUMBER($L447),YEAR($L447)&amp;"-"&amp;TEXT(MONTH($L447),"00"),""),"")))</f>
        <v/>
      </c>
      <c r="AI447" s="71">
        <f>IF($G447="",0,IF(AND(OR(fClient="All",$C447=fClient),OR(fCampaign="All",$D447=fCampaign),OR(fTeam="All",$B447=fTeam),OR(fChannel="All",$F447=fChannel),OR(fMonth="All",$AH447=fMonth),OR(fTStatus="All",$M447=fTStatus)),1,0))</f>
        <v>0</v>
      </c>
      <c r="AJ447" s="71">
        <f>IF($G447="",0,IF(AND(OR(fClient="All",$C447=fClient),OR(fCampaign="All",$D447=fCampaign),OR(fTeam="All",$B447=fTeam),OR(fChannel="All",$F447=fChannel)),1,0))</f>
        <v>0</v>
      </c>
      <c r="AK447" s="71">
        <f>IF($G447="",0,IF(OR($M447="Completed",$M447="Cancelled"),0,1))</f>
        <v>0</v>
      </c>
      <c r="AL447" s="71">
        <f>IF(AND($AK447=1,ISNUMBER($L447)),IF($L447&lt;ReportDate,1,0),0)</f>
        <v>0</v>
      </c>
      <c r="AM447" s="71">
        <f>IF(AND($G447&lt;&gt;"",$M447="Blocked"),1,0)</f>
        <v>0</v>
      </c>
      <c r="AN447" s="71">
        <f>IF(AND($AK447=1,ISNUMBER($L447)),IF($L447=ReportDate,1,0),0)</f>
        <v>0</v>
      </c>
      <c r="AO447" s="71">
        <f>IF(AND($AK447=1,ISNUMBER($L447)),IF($L447=ReportDate+1,1,0),0)</f>
        <v>0</v>
      </c>
      <c r="AP447" s="71">
        <f>IF(AND($AK447=1,ISNUMBER($L447)),IF(AND($L447&gt;=ReportDate,$L447&lt;=ReportDate+DueSoonDays),1,0),0)</f>
        <v>0</v>
      </c>
      <c r="AQ447" s="71">
        <f>IF(AND($AK447=1,OR($I447="Critical",$I447="High")),1,0)</f>
        <v>0</v>
      </c>
      <c r="AR447" s="71">
        <f>IF($AK447=1,IF(ISNUMBER($Y447),IF(ReportDate-$Y447&gt;StaleDays,1,0),1),0)</f>
        <v>0</v>
      </c>
      <c r="AS447" s="71">
        <f>IF(AND($G447&lt;&gt;"",ISNUMBER($Q447),ISNUMBER($R447)),IF(AND($Q447&lt;$R447,OR($M447="Completed",AND(ISNUMBER($L447),$L447&lt;ReportDate))),1,0),0)</f>
        <v>0</v>
      </c>
      <c r="AT447" s="71">
        <f>IF($AK447=1,IF(OR($L447=ReportDate,$W447=ReportDate,$K447=ReportDate,$A447=ReportDate),1,0),0)</f>
        <v>0</v>
      </c>
      <c r="AU447" s="71">
        <f>IF($AK447=1,IF(OR($L447=ReportDate+1,$W447=ReportDate+1,$K447=ReportDate+1,$A447=ReportDate+1),1,0),0)</f>
        <v>0</v>
      </c>
      <c r="AV447" s="71">
        <f>IF(AND($G447&lt;&gt;"",$M447="Completed"),IF(OR($Y447=ReportDate-1,$A447=ReportDate-1),1,0),0)</f>
        <v>0</v>
      </c>
      <c r="AW447" s="71">
        <f>IF(AND($AK447=1,$Z447="Yes"),1,0)</f>
        <v>0</v>
      </c>
      <c r="AX447" s="71">
        <f>IF(AND($AK447=1,$AA447="Yes"),1,0)</f>
        <v>0</v>
      </c>
      <c r="AY447" s="71">
        <f>IF(AND($AM447=1,OR($I447="Critical",$I447="High")),1,0)</f>
        <v>0</v>
      </c>
      <c r="AZ447" s="71">
        <f>IF(AND($AK447=1,OR($C447=TCL_Client,$C447=MECCA_Client)),1,0)</f>
        <v>0</v>
      </c>
      <c r="BA447" s="71" t="str">
        <f>IF($G447="","",IFERROR(MATCH($I447,lst_Priority,0),5))</f>
        <v/>
      </c>
      <c r="BB447" s="71" t="str">
        <f>IF(AND($AL447=1,$AJ447=1),$BA447*100000+ROW(),"")</f>
        <v/>
      </c>
      <c r="BC447" s="71" t="str">
        <f>IF(AND($AM447=1,$AJ447=1),$BA447*100000+ROW(),"")</f>
        <v/>
      </c>
      <c r="BD447" s="71" t="str">
        <f>IF(AND($AP447=1,$AJ447=1),$BA447*100000+ROW(),"")</f>
        <v/>
      </c>
      <c r="BE447" s="71" t="str">
        <f>IF(AND($AT447=1,$AJ447=1),$BA447*100000+ROW(),"")</f>
        <v/>
      </c>
      <c r="BF447" s="71" t="str">
        <f>IF(AND($AU447=1,$AJ447=1),$BA447*100000+ROW(),"")</f>
        <v/>
      </c>
      <c r="BG447" s="71" t="str">
        <f>IF(AND($AV447=1,$AJ447=1),$BA447*100000+ROW(),"")</f>
        <v/>
      </c>
      <c r="BH447" s="71" t="str">
        <f>IF(AND($AW447=1,$AJ447=1),$BA447*100000+ROW(),"")</f>
        <v/>
      </c>
      <c r="BI447" s="71" t="str">
        <f>IF(AND($AX447=1,$AJ447=1),$BA447*100000+ROW(),"")</f>
        <v/>
      </c>
      <c r="BJ447" s="71" t="str">
        <f>IF(AND($AS447=1,$AJ447=1),$BA447*100000+ROW(),"")</f>
        <v/>
      </c>
      <c r="BK447" s="71" t="str">
        <f>IF(AND($AY447=1,$AJ447=1),$BA447*100000+ROW(),"")</f>
        <v/>
      </c>
      <c r="BL447" s="71" t="str">
        <f>IF(AND($AZ447=1),$BA447*100000+ROW(),"")</f>
        <v/>
      </c>
    </row>
    <row r="448">
      <c r="A448" s="63" t="n"/>
      <c r="B448" s="64" t="n"/>
      <c r="C448" s="64" t="n"/>
      <c r="D448" s="64" t="n"/>
      <c r="E448" s="64" t="n"/>
      <c r="F448" s="64" t="n"/>
      <c r="G448" s="65" t="n"/>
      <c r="H448" s="65" t="n"/>
      <c r="I448" s="64" t="n"/>
      <c r="J448" s="64" t="n"/>
      <c r="K448" s="63" t="n"/>
      <c r="L448" s="63" t="n"/>
      <c r="M448" s="64" t="n"/>
      <c r="N448" s="66" t="n"/>
      <c r="O448" s="65" t="n"/>
      <c r="P448" s="64" t="n"/>
      <c r="Q448" s="67" t="n"/>
      <c r="R448" s="67" t="n"/>
      <c r="S448" s="68" t="str">
        <f>IF(AND(ISNUMBER($Q448),ISNUMBER($R448)),$Q448-$R448,"")</f>
        <v/>
      </c>
      <c r="T448" s="65" t="n"/>
      <c r="U448" s="64" t="n"/>
      <c r="V448" s="65" t="n"/>
      <c r="W448" s="63" t="n"/>
      <c r="X448" s="65" t="n"/>
      <c r="Y448" s="63" t="n"/>
      <c r="Z448" s="64" t="n"/>
      <c r="AA448" s="64" t="n"/>
      <c r="AB448" s="65" t="n"/>
      <c r="AC448" s="69" t="str">
        <f>IF(OR($G448="",NOT(ISNUMBER($K448)),$AK448=0),"",MAX(0,ReportDate-$K448))</f>
        <v/>
      </c>
      <c r="AD448" s="69" t="str">
        <f>IF($G448="","",IF($AL448=1,ReportDate-$L448,0))</f>
        <v/>
      </c>
      <c r="AE448" s="70" t="str">
        <f>IF($G448="","",IF($M448="Completed",1,IF(ISNUMBER($N448),$N448,0)))</f>
        <v/>
      </c>
      <c r="AF448" s="70" t="str">
        <f>IF(AND(ISNUMBER($Q448),ISNUMBER($R448)),IF($R448&lt;&gt;0,$Q448/$R448,""),"")</f>
        <v/>
      </c>
      <c r="AG448" s="71" t="str">
        <f>IF($G448="","",IF($AL448=1,"OVERDUE",IF($AM448=1,"BLOCKED",IF($AN448=1,"DUE TODAY",IF($AO448=1,"DUE TOMORROW",IF($AQ448=1,"HIGH PRIORITY",IF($AR448=1,"NO RECENT UPDATE",""))))))) </f>
        <v/>
      </c>
      <c r="AH448" s="71" t="str">
        <f>IF($G448="","",IF(ISNUMBER($A448),IF(ISNUMBER($A448),YEAR($A448)&amp;"-"&amp;TEXT(MONTH($A448),"00"),""),IF(ISNUMBER($L448),IF(ISNUMBER($L448),YEAR($L448)&amp;"-"&amp;TEXT(MONTH($L448),"00"),""),"")))</f>
        <v/>
      </c>
      <c r="AI448" s="71">
        <f>IF($G448="",0,IF(AND(OR(fClient="All",$C448=fClient),OR(fCampaign="All",$D448=fCampaign),OR(fTeam="All",$B448=fTeam),OR(fChannel="All",$F448=fChannel),OR(fMonth="All",$AH448=fMonth),OR(fTStatus="All",$M448=fTStatus)),1,0))</f>
        <v>0</v>
      </c>
      <c r="AJ448" s="71">
        <f>IF($G448="",0,IF(AND(OR(fClient="All",$C448=fClient),OR(fCampaign="All",$D448=fCampaign),OR(fTeam="All",$B448=fTeam),OR(fChannel="All",$F448=fChannel)),1,0))</f>
        <v>0</v>
      </c>
      <c r="AK448" s="71">
        <f>IF($G448="",0,IF(OR($M448="Completed",$M448="Cancelled"),0,1))</f>
        <v>0</v>
      </c>
      <c r="AL448" s="71">
        <f>IF(AND($AK448=1,ISNUMBER($L448)),IF($L448&lt;ReportDate,1,0),0)</f>
        <v>0</v>
      </c>
      <c r="AM448" s="71">
        <f>IF(AND($G448&lt;&gt;"",$M448="Blocked"),1,0)</f>
        <v>0</v>
      </c>
      <c r="AN448" s="71">
        <f>IF(AND($AK448=1,ISNUMBER($L448)),IF($L448=ReportDate,1,0),0)</f>
        <v>0</v>
      </c>
      <c r="AO448" s="71">
        <f>IF(AND($AK448=1,ISNUMBER($L448)),IF($L448=ReportDate+1,1,0),0)</f>
        <v>0</v>
      </c>
      <c r="AP448" s="71">
        <f>IF(AND($AK448=1,ISNUMBER($L448)),IF(AND($L448&gt;=ReportDate,$L448&lt;=ReportDate+DueSoonDays),1,0),0)</f>
        <v>0</v>
      </c>
      <c r="AQ448" s="71">
        <f>IF(AND($AK448=1,OR($I448="Critical",$I448="High")),1,0)</f>
        <v>0</v>
      </c>
      <c r="AR448" s="71">
        <f>IF($AK448=1,IF(ISNUMBER($Y448),IF(ReportDate-$Y448&gt;StaleDays,1,0),1),0)</f>
        <v>0</v>
      </c>
      <c r="AS448" s="71">
        <f>IF(AND($G448&lt;&gt;"",ISNUMBER($Q448),ISNUMBER($R448)),IF(AND($Q448&lt;$R448,OR($M448="Completed",AND(ISNUMBER($L448),$L448&lt;ReportDate))),1,0),0)</f>
        <v>0</v>
      </c>
      <c r="AT448" s="71">
        <f>IF($AK448=1,IF(OR($L448=ReportDate,$W448=ReportDate,$K448=ReportDate,$A448=ReportDate),1,0),0)</f>
        <v>0</v>
      </c>
      <c r="AU448" s="71">
        <f>IF($AK448=1,IF(OR($L448=ReportDate+1,$W448=ReportDate+1,$K448=ReportDate+1,$A448=ReportDate+1),1,0),0)</f>
        <v>0</v>
      </c>
      <c r="AV448" s="71">
        <f>IF(AND($G448&lt;&gt;"",$M448="Completed"),IF(OR($Y448=ReportDate-1,$A448=ReportDate-1),1,0),0)</f>
        <v>0</v>
      </c>
      <c r="AW448" s="71">
        <f>IF(AND($AK448=1,$Z448="Yes"),1,0)</f>
        <v>0</v>
      </c>
      <c r="AX448" s="71">
        <f>IF(AND($AK448=1,$AA448="Yes"),1,0)</f>
        <v>0</v>
      </c>
      <c r="AY448" s="71">
        <f>IF(AND($AM448=1,OR($I448="Critical",$I448="High")),1,0)</f>
        <v>0</v>
      </c>
      <c r="AZ448" s="71">
        <f>IF(AND($AK448=1,OR($C448=TCL_Client,$C448=MECCA_Client)),1,0)</f>
        <v>0</v>
      </c>
      <c r="BA448" s="71" t="str">
        <f>IF($G448="","",IFERROR(MATCH($I448,lst_Priority,0),5))</f>
        <v/>
      </c>
      <c r="BB448" s="71" t="str">
        <f>IF(AND($AL448=1,$AJ448=1),$BA448*100000+ROW(),"")</f>
        <v/>
      </c>
      <c r="BC448" s="71" t="str">
        <f>IF(AND($AM448=1,$AJ448=1),$BA448*100000+ROW(),"")</f>
        <v/>
      </c>
      <c r="BD448" s="71" t="str">
        <f>IF(AND($AP448=1,$AJ448=1),$BA448*100000+ROW(),"")</f>
        <v/>
      </c>
      <c r="BE448" s="71" t="str">
        <f>IF(AND($AT448=1,$AJ448=1),$BA448*100000+ROW(),"")</f>
        <v/>
      </c>
      <c r="BF448" s="71" t="str">
        <f>IF(AND($AU448=1,$AJ448=1),$BA448*100000+ROW(),"")</f>
        <v/>
      </c>
      <c r="BG448" s="71" t="str">
        <f>IF(AND($AV448=1,$AJ448=1),$BA448*100000+ROW(),"")</f>
        <v/>
      </c>
      <c r="BH448" s="71" t="str">
        <f>IF(AND($AW448=1,$AJ448=1),$BA448*100000+ROW(),"")</f>
        <v/>
      </c>
      <c r="BI448" s="71" t="str">
        <f>IF(AND($AX448=1,$AJ448=1),$BA448*100000+ROW(),"")</f>
        <v/>
      </c>
      <c r="BJ448" s="71" t="str">
        <f>IF(AND($AS448=1,$AJ448=1),$BA448*100000+ROW(),"")</f>
        <v/>
      </c>
      <c r="BK448" s="71" t="str">
        <f>IF(AND($AY448=1,$AJ448=1),$BA448*100000+ROW(),"")</f>
        <v/>
      </c>
      <c r="BL448" s="71" t="str">
        <f>IF(AND($AZ448=1),$BA448*100000+ROW(),"")</f>
        <v/>
      </c>
    </row>
    <row r="449">
      <c r="A449" s="63" t="n"/>
      <c r="B449" s="64" t="n"/>
      <c r="C449" s="64" t="n"/>
      <c r="D449" s="64" t="n"/>
      <c r="E449" s="64" t="n"/>
      <c r="F449" s="64" t="n"/>
      <c r="G449" s="65" t="n"/>
      <c r="H449" s="65" t="n"/>
      <c r="I449" s="64" t="n"/>
      <c r="J449" s="64" t="n"/>
      <c r="K449" s="63" t="n"/>
      <c r="L449" s="63" t="n"/>
      <c r="M449" s="64" t="n"/>
      <c r="N449" s="66" t="n"/>
      <c r="O449" s="65" t="n"/>
      <c r="P449" s="64" t="n"/>
      <c r="Q449" s="67" t="n"/>
      <c r="R449" s="67" t="n"/>
      <c r="S449" s="68" t="str">
        <f>IF(AND(ISNUMBER($Q449),ISNUMBER($R449)),$Q449-$R449,"")</f>
        <v/>
      </c>
      <c r="T449" s="65" t="n"/>
      <c r="U449" s="64" t="n"/>
      <c r="V449" s="65" t="n"/>
      <c r="W449" s="63" t="n"/>
      <c r="X449" s="65" t="n"/>
      <c r="Y449" s="63" t="n"/>
      <c r="Z449" s="64" t="n"/>
      <c r="AA449" s="64" t="n"/>
      <c r="AB449" s="65" t="n"/>
      <c r="AC449" s="69" t="str">
        <f>IF(OR($G449="",NOT(ISNUMBER($K449)),$AK449=0),"",MAX(0,ReportDate-$K449))</f>
        <v/>
      </c>
      <c r="AD449" s="69" t="str">
        <f>IF($G449="","",IF($AL449=1,ReportDate-$L449,0))</f>
        <v/>
      </c>
      <c r="AE449" s="70" t="str">
        <f>IF($G449="","",IF($M449="Completed",1,IF(ISNUMBER($N449),$N449,0)))</f>
        <v/>
      </c>
      <c r="AF449" s="70" t="str">
        <f>IF(AND(ISNUMBER($Q449),ISNUMBER($R449)),IF($R449&lt;&gt;0,$Q449/$R449,""),"")</f>
        <v/>
      </c>
      <c r="AG449" s="71" t="str">
        <f>IF($G449="","",IF($AL449=1,"OVERDUE",IF($AM449=1,"BLOCKED",IF($AN449=1,"DUE TODAY",IF($AO449=1,"DUE TOMORROW",IF($AQ449=1,"HIGH PRIORITY",IF($AR449=1,"NO RECENT UPDATE",""))))))) </f>
        <v/>
      </c>
      <c r="AH449" s="71" t="str">
        <f>IF($G449="","",IF(ISNUMBER($A449),IF(ISNUMBER($A449),YEAR($A449)&amp;"-"&amp;TEXT(MONTH($A449),"00"),""),IF(ISNUMBER($L449),IF(ISNUMBER($L449),YEAR($L449)&amp;"-"&amp;TEXT(MONTH($L449),"00"),""),"")))</f>
        <v/>
      </c>
      <c r="AI449" s="71">
        <f>IF($G449="",0,IF(AND(OR(fClient="All",$C449=fClient),OR(fCampaign="All",$D449=fCampaign),OR(fTeam="All",$B449=fTeam),OR(fChannel="All",$F449=fChannel),OR(fMonth="All",$AH449=fMonth),OR(fTStatus="All",$M449=fTStatus)),1,0))</f>
        <v>0</v>
      </c>
      <c r="AJ449" s="71">
        <f>IF($G449="",0,IF(AND(OR(fClient="All",$C449=fClient),OR(fCampaign="All",$D449=fCampaign),OR(fTeam="All",$B449=fTeam),OR(fChannel="All",$F449=fChannel)),1,0))</f>
        <v>0</v>
      </c>
      <c r="AK449" s="71">
        <f>IF($G449="",0,IF(OR($M449="Completed",$M449="Cancelled"),0,1))</f>
        <v>0</v>
      </c>
      <c r="AL449" s="71">
        <f>IF(AND($AK449=1,ISNUMBER($L449)),IF($L449&lt;ReportDate,1,0),0)</f>
        <v>0</v>
      </c>
      <c r="AM449" s="71">
        <f>IF(AND($G449&lt;&gt;"",$M449="Blocked"),1,0)</f>
        <v>0</v>
      </c>
      <c r="AN449" s="71">
        <f>IF(AND($AK449=1,ISNUMBER($L449)),IF($L449=ReportDate,1,0),0)</f>
        <v>0</v>
      </c>
      <c r="AO449" s="71">
        <f>IF(AND($AK449=1,ISNUMBER($L449)),IF($L449=ReportDate+1,1,0),0)</f>
        <v>0</v>
      </c>
      <c r="AP449" s="71">
        <f>IF(AND($AK449=1,ISNUMBER($L449)),IF(AND($L449&gt;=ReportDate,$L449&lt;=ReportDate+DueSoonDays),1,0),0)</f>
        <v>0</v>
      </c>
      <c r="AQ449" s="71">
        <f>IF(AND($AK449=1,OR($I449="Critical",$I449="High")),1,0)</f>
        <v>0</v>
      </c>
      <c r="AR449" s="71">
        <f>IF($AK449=1,IF(ISNUMBER($Y449),IF(ReportDate-$Y449&gt;StaleDays,1,0),1),0)</f>
        <v>0</v>
      </c>
      <c r="AS449" s="71">
        <f>IF(AND($G449&lt;&gt;"",ISNUMBER($Q449),ISNUMBER($R449)),IF(AND($Q449&lt;$R449,OR($M449="Completed",AND(ISNUMBER($L449),$L449&lt;ReportDate))),1,0),0)</f>
        <v>0</v>
      </c>
      <c r="AT449" s="71">
        <f>IF($AK449=1,IF(OR($L449=ReportDate,$W449=ReportDate,$K449=ReportDate,$A449=ReportDate),1,0),0)</f>
        <v>0</v>
      </c>
      <c r="AU449" s="71">
        <f>IF($AK449=1,IF(OR($L449=ReportDate+1,$W449=ReportDate+1,$K449=ReportDate+1,$A449=ReportDate+1),1,0),0)</f>
        <v>0</v>
      </c>
      <c r="AV449" s="71">
        <f>IF(AND($G449&lt;&gt;"",$M449="Completed"),IF(OR($Y449=ReportDate-1,$A449=ReportDate-1),1,0),0)</f>
        <v>0</v>
      </c>
      <c r="AW449" s="71">
        <f>IF(AND($AK449=1,$Z449="Yes"),1,0)</f>
        <v>0</v>
      </c>
      <c r="AX449" s="71">
        <f>IF(AND($AK449=1,$AA449="Yes"),1,0)</f>
        <v>0</v>
      </c>
      <c r="AY449" s="71">
        <f>IF(AND($AM449=1,OR($I449="Critical",$I449="High")),1,0)</f>
        <v>0</v>
      </c>
      <c r="AZ449" s="71">
        <f>IF(AND($AK449=1,OR($C449=TCL_Client,$C449=MECCA_Client)),1,0)</f>
        <v>0</v>
      </c>
      <c r="BA449" s="71" t="str">
        <f>IF($G449="","",IFERROR(MATCH($I449,lst_Priority,0),5))</f>
        <v/>
      </c>
      <c r="BB449" s="71" t="str">
        <f>IF(AND($AL449=1,$AJ449=1),$BA449*100000+ROW(),"")</f>
        <v/>
      </c>
      <c r="BC449" s="71" t="str">
        <f>IF(AND($AM449=1,$AJ449=1),$BA449*100000+ROW(),"")</f>
        <v/>
      </c>
      <c r="BD449" s="71" t="str">
        <f>IF(AND($AP449=1,$AJ449=1),$BA449*100000+ROW(),"")</f>
        <v/>
      </c>
      <c r="BE449" s="71" t="str">
        <f>IF(AND($AT449=1,$AJ449=1),$BA449*100000+ROW(),"")</f>
        <v/>
      </c>
      <c r="BF449" s="71" t="str">
        <f>IF(AND($AU449=1,$AJ449=1),$BA449*100000+ROW(),"")</f>
        <v/>
      </c>
      <c r="BG449" s="71" t="str">
        <f>IF(AND($AV449=1,$AJ449=1),$BA449*100000+ROW(),"")</f>
        <v/>
      </c>
      <c r="BH449" s="71" t="str">
        <f>IF(AND($AW449=1,$AJ449=1),$BA449*100000+ROW(),"")</f>
        <v/>
      </c>
      <c r="BI449" s="71" t="str">
        <f>IF(AND($AX449=1,$AJ449=1),$BA449*100000+ROW(),"")</f>
        <v/>
      </c>
      <c r="BJ449" s="71" t="str">
        <f>IF(AND($AS449=1,$AJ449=1),$BA449*100000+ROW(),"")</f>
        <v/>
      </c>
      <c r="BK449" s="71" t="str">
        <f>IF(AND($AY449=1,$AJ449=1),$BA449*100000+ROW(),"")</f>
        <v/>
      </c>
      <c r="BL449" s="71" t="str">
        <f>IF(AND($AZ449=1),$BA449*100000+ROW(),"")</f>
        <v/>
      </c>
    </row>
    <row r="450">
      <c r="A450" s="63" t="n"/>
      <c r="B450" s="64" t="n"/>
      <c r="C450" s="64" t="n"/>
      <c r="D450" s="64" t="n"/>
      <c r="E450" s="64" t="n"/>
      <c r="F450" s="64" t="n"/>
      <c r="G450" s="65" t="n"/>
      <c r="H450" s="65" t="n"/>
      <c r="I450" s="64" t="n"/>
      <c r="J450" s="64" t="n"/>
      <c r="K450" s="63" t="n"/>
      <c r="L450" s="63" t="n"/>
      <c r="M450" s="64" t="n"/>
      <c r="N450" s="66" t="n"/>
      <c r="O450" s="65" t="n"/>
      <c r="P450" s="64" t="n"/>
      <c r="Q450" s="67" t="n"/>
      <c r="R450" s="67" t="n"/>
      <c r="S450" s="68" t="str">
        <f>IF(AND(ISNUMBER($Q450),ISNUMBER($R450)),$Q450-$R450,"")</f>
        <v/>
      </c>
      <c r="T450" s="65" t="n"/>
      <c r="U450" s="64" t="n"/>
      <c r="V450" s="65" t="n"/>
      <c r="W450" s="63" t="n"/>
      <c r="X450" s="65" t="n"/>
      <c r="Y450" s="63" t="n"/>
      <c r="Z450" s="64" t="n"/>
      <c r="AA450" s="64" t="n"/>
      <c r="AB450" s="65" t="n"/>
      <c r="AC450" s="69" t="str">
        <f>IF(OR($G450="",NOT(ISNUMBER($K450)),$AK450=0),"",MAX(0,ReportDate-$K450))</f>
        <v/>
      </c>
      <c r="AD450" s="69" t="str">
        <f>IF($G450="","",IF($AL450=1,ReportDate-$L450,0))</f>
        <v/>
      </c>
      <c r="AE450" s="70" t="str">
        <f>IF($G450="","",IF($M450="Completed",1,IF(ISNUMBER($N450),$N450,0)))</f>
        <v/>
      </c>
      <c r="AF450" s="70" t="str">
        <f>IF(AND(ISNUMBER($Q450),ISNUMBER($R450)),IF($R450&lt;&gt;0,$Q450/$R450,""),"")</f>
        <v/>
      </c>
      <c r="AG450" s="71" t="str">
        <f>IF($G450="","",IF($AL450=1,"OVERDUE",IF($AM450=1,"BLOCKED",IF($AN450=1,"DUE TODAY",IF($AO450=1,"DUE TOMORROW",IF($AQ450=1,"HIGH PRIORITY",IF($AR450=1,"NO RECENT UPDATE",""))))))) </f>
        <v/>
      </c>
      <c r="AH450" s="71" t="str">
        <f>IF($G450="","",IF(ISNUMBER($A450),IF(ISNUMBER($A450),YEAR($A450)&amp;"-"&amp;TEXT(MONTH($A450),"00"),""),IF(ISNUMBER($L450),IF(ISNUMBER($L450),YEAR($L450)&amp;"-"&amp;TEXT(MONTH($L450),"00"),""),"")))</f>
        <v/>
      </c>
      <c r="AI450" s="71">
        <f>IF($G450="",0,IF(AND(OR(fClient="All",$C450=fClient),OR(fCampaign="All",$D450=fCampaign),OR(fTeam="All",$B450=fTeam),OR(fChannel="All",$F450=fChannel),OR(fMonth="All",$AH450=fMonth),OR(fTStatus="All",$M450=fTStatus)),1,0))</f>
        <v>0</v>
      </c>
      <c r="AJ450" s="71">
        <f>IF($G450="",0,IF(AND(OR(fClient="All",$C450=fClient),OR(fCampaign="All",$D450=fCampaign),OR(fTeam="All",$B450=fTeam),OR(fChannel="All",$F450=fChannel)),1,0))</f>
        <v>0</v>
      </c>
      <c r="AK450" s="71">
        <f>IF($G450="",0,IF(OR($M450="Completed",$M450="Cancelled"),0,1))</f>
        <v>0</v>
      </c>
      <c r="AL450" s="71">
        <f>IF(AND($AK450=1,ISNUMBER($L450)),IF($L450&lt;ReportDate,1,0),0)</f>
        <v>0</v>
      </c>
      <c r="AM450" s="71">
        <f>IF(AND($G450&lt;&gt;"",$M450="Blocked"),1,0)</f>
        <v>0</v>
      </c>
      <c r="AN450" s="71">
        <f>IF(AND($AK450=1,ISNUMBER($L450)),IF($L450=ReportDate,1,0),0)</f>
        <v>0</v>
      </c>
      <c r="AO450" s="71">
        <f>IF(AND($AK450=1,ISNUMBER($L450)),IF($L450=ReportDate+1,1,0),0)</f>
        <v>0</v>
      </c>
      <c r="AP450" s="71">
        <f>IF(AND($AK450=1,ISNUMBER($L450)),IF(AND($L450&gt;=ReportDate,$L450&lt;=ReportDate+DueSoonDays),1,0),0)</f>
        <v>0</v>
      </c>
      <c r="AQ450" s="71">
        <f>IF(AND($AK450=1,OR($I450="Critical",$I450="High")),1,0)</f>
        <v>0</v>
      </c>
      <c r="AR450" s="71">
        <f>IF($AK450=1,IF(ISNUMBER($Y450),IF(ReportDate-$Y450&gt;StaleDays,1,0),1),0)</f>
        <v>0</v>
      </c>
      <c r="AS450" s="71">
        <f>IF(AND($G450&lt;&gt;"",ISNUMBER($Q450),ISNUMBER($R450)),IF(AND($Q450&lt;$R450,OR($M450="Completed",AND(ISNUMBER($L450),$L450&lt;ReportDate))),1,0),0)</f>
        <v>0</v>
      </c>
      <c r="AT450" s="71">
        <f>IF($AK450=1,IF(OR($L450=ReportDate,$W450=ReportDate,$K450=ReportDate,$A450=ReportDate),1,0),0)</f>
        <v>0</v>
      </c>
      <c r="AU450" s="71">
        <f>IF($AK450=1,IF(OR($L450=ReportDate+1,$W450=ReportDate+1,$K450=ReportDate+1,$A450=ReportDate+1),1,0),0)</f>
        <v>0</v>
      </c>
      <c r="AV450" s="71">
        <f>IF(AND($G450&lt;&gt;"",$M450="Completed"),IF(OR($Y450=ReportDate-1,$A450=ReportDate-1),1,0),0)</f>
        <v>0</v>
      </c>
      <c r="AW450" s="71">
        <f>IF(AND($AK450=1,$Z450="Yes"),1,0)</f>
        <v>0</v>
      </c>
      <c r="AX450" s="71">
        <f>IF(AND($AK450=1,$AA450="Yes"),1,0)</f>
        <v>0</v>
      </c>
      <c r="AY450" s="71">
        <f>IF(AND($AM450=1,OR($I450="Critical",$I450="High")),1,0)</f>
        <v>0</v>
      </c>
      <c r="AZ450" s="71">
        <f>IF(AND($AK450=1,OR($C450=TCL_Client,$C450=MECCA_Client)),1,0)</f>
        <v>0</v>
      </c>
      <c r="BA450" s="71" t="str">
        <f>IF($G450="","",IFERROR(MATCH($I450,lst_Priority,0),5))</f>
        <v/>
      </c>
      <c r="BB450" s="71" t="str">
        <f>IF(AND($AL450=1,$AJ450=1),$BA450*100000+ROW(),"")</f>
        <v/>
      </c>
      <c r="BC450" s="71" t="str">
        <f>IF(AND($AM450=1,$AJ450=1),$BA450*100000+ROW(),"")</f>
        <v/>
      </c>
      <c r="BD450" s="71" t="str">
        <f>IF(AND($AP450=1,$AJ450=1),$BA450*100000+ROW(),"")</f>
        <v/>
      </c>
      <c r="BE450" s="71" t="str">
        <f>IF(AND($AT450=1,$AJ450=1),$BA450*100000+ROW(),"")</f>
        <v/>
      </c>
      <c r="BF450" s="71" t="str">
        <f>IF(AND($AU450=1,$AJ450=1),$BA450*100000+ROW(),"")</f>
        <v/>
      </c>
      <c r="BG450" s="71" t="str">
        <f>IF(AND($AV450=1,$AJ450=1),$BA450*100000+ROW(),"")</f>
        <v/>
      </c>
      <c r="BH450" s="71" t="str">
        <f>IF(AND($AW450=1,$AJ450=1),$BA450*100000+ROW(),"")</f>
        <v/>
      </c>
      <c r="BI450" s="71" t="str">
        <f>IF(AND($AX450=1,$AJ450=1),$BA450*100000+ROW(),"")</f>
        <v/>
      </c>
      <c r="BJ450" s="71" t="str">
        <f>IF(AND($AS450=1,$AJ450=1),$BA450*100000+ROW(),"")</f>
        <v/>
      </c>
      <c r="BK450" s="71" t="str">
        <f>IF(AND($AY450=1,$AJ450=1),$BA450*100000+ROW(),"")</f>
        <v/>
      </c>
      <c r="BL450" s="71" t="str">
        <f>IF(AND($AZ450=1),$BA450*100000+ROW(),"")</f>
        <v/>
      </c>
    </row>
    <row r="451">
      <c r="A451" s="63" t="n"/>
      <c r="B451" s="64" t="n"/>
      <c r="C451" s="64" t="n"/>
      <c r="D451" s="64" t="n"/>
      <c r="E451" s="64" t="n"/>
      <c r="F451" s="64" t="n"/>
      <c r="G451" s="65" t="n"/>
      <c r="H451" s="65" t="n"/>
      <c r="I451" s="64" t="n"/>
      <c r="J451" s="64" t="n"/>
      <c r="K451" s="63" t="n"/>
      <c r="L451" s="63" t="n"/>
      <c r="M451" s="64" t="n"/>
      <c r="N451" s="66" t="n"/>
      <c r="O451" s="65" t="n"/>
      <c r="P451" s="64" t="n"/>
      <c r="Q451" s="67" t="n"/>
      <c r="R451" s="67" t="n"/>
      <c r="S451" s="68" t="str">
        <f>IF(AND(ISNUMBER($Q451),ISNUMBER($R451)),$Q451-$R451,"")</f>
        <v/>
      </c>
      <c r="T451" s="65" t="n"/>
      <c r="U451" s="64" t="n"/>
      <c r="V451" s="65" t="n"/>
      <c r="W451" s="63" t="n"/>
      <c r="X451" s="65" t="n"/>
      <c r="Y451" s="63" t="n"/>
      <c r="Z451" s="64" t="n"/>
      <c r="AA451" s="64" t="n"/>
      <c r="AB451" s="65" t="n"/>
      <c r="AC451" s="69" t="str">
        <f>IF(OR($G451="",NOT(ISNUMBER($K451)),$AK451=0),"",MAX(0,ReportDate-$K451))</f>
        <v/>
      </c>
      <c r="AD451" s="69" t="str">
        <f>IF($G451="","",IF($AL451=1,ReportDate-$L451,0))</f>
        <v/>
      </c>
      <c r="AE451" s="70" t="str">
        <f>IF($G451="","",IF($M451="Completed",1,IF(ISNUMBER($N451),$N451,0)))</f>
        <v/>
      </c>
      <c r="AF451" s="70" t="str">
        <f>IF(AND(ISNUMBER($Q451),ISNUMBER($R451)),IF($R451&lt;&gt;0,$Q451/$R451,""),"")</f>
        <v/>
      </c>
      <c r="AG451" s="71" t="str">
        <f>IF($G451="","",IF($AL451=1,"OVERDUE",IF($AM451=1,"BLOCKED",IF($AN451=1,"DUE TODAY",IF($AO451=1,"DUE TOMORROW",IF($AQ451=1,"HIGH PRIORITY",IF($AR451=1,"NO RECENT UPDATE",""))))))) </f>
        <v/>
      </c>
      <c r="AH451" s="71" t="str">
        <f>IF($G451="","",IF(ISNUMBER($A451),IF(ISNUMBER($A451),YEAR($A451)&amp;"-"&amp;TEXT(MONTH($A451),"00"),""),IF(ISNUMBER($L451),IF(ISNUMBER($L451),YEAR($L451)&amp;"-"&amp;TEXT(MONTH($L451),"00"),""),"")))</f>
        <v/>
      </c>
      <c r="AI451" s="71">
        <f>IF($G451="",0,IF(AND(OR(fClient="All",$C451=fClient),OR(fCampaign="All",$D451=fCampaign),OR(fTeam="All",$B451=fTeam),OR(fChannel="All",$F451=fChannel),OR(fMonth="All",$AH451=fMonth),OR(fTStatus="All",$M451=fTStatus)),1,0))</f>
        <v>0</v>
      </c>
      <c r="AJ451" s="71">
        <f>IF($G451="",0,IF(AND(OR(fClient="All",$C451=fClient),OR(fCampaign="All",$D451=fCampaign),OR(fTeam="All",$B451=fTeam),OR(fChannel="All",$F451=fChannel)),1,0))</f>
        <v>0</v>
      </c>
      <c r="AK451" s="71">
        <f>IF($G451="",0,IF(OR($M451="Completed",$M451="Cancelled"),0,1))</f>
        <v>0</v>
      </c>
      <c r="AL451" s="71">
        <f>IF(AND($AK451=1,ISNUMBER($L451)),IF($L451&lt;ReportDate,1,0),0)</f>
        <v>0</v>
      </c>
      <c r="AM451" s="71">
        <f>IF(AND($G451&lt;&gt;"",$M451="Blocked"),1,0)</f>
        <v>0</v>
      </c>
      <c r="AN451" s="71">
        <f>IF(AND($AK451=1,ISNUMBER($L451)),IF($L451=ReportDate,1,0),0)</f>
        <v>0</v>
      </c>
      <c r="AO451" s="71">
        <f>IF(AND($AK451=1,ISNUMBER($L451)),IF($L451=ReportDate+1,1,0),0)</f>
        <v>0</v>
      </c>
      <c r="AP451" s="71">
        <f>IF(AND($AK451=1,ISNUMBER($L451)),IF(AND($L451&gt;=ReportDate,$L451&lt;=ReportDate+DueSoonDays),1,0),0)</f>
        <v>0</v>
      </c>
      <c r="AQ451" s="71">
        <f>IF(AND($AK451=1,OR($I451="Critical",$I451="High")),1,0)</f>
        <v>0</v>
      </c>
      <c r="AR451" s="71">
        <f>IF($AK451=1,IF(ISNUMBER($Y451),IF(ReportDate-$Y451&gt;StaleDays,1,0),1),0)</f>
        <v>0</v>
      </c>
      <c r="AS451" s="71">
        <f>IF(AND($G451&lt;&gt;"",ISNUMBER($Q451),ISNUMBER($R451)),IF(AND($Q451&lt;$R451,OR($M451="Completed",AND(ISNUMBER($L451),$L451&lt;ReportDate))),1,0),0)</f>
        <v>0</v>
      </c>
      <c r="AT451" s="71">
        <f>IF($AK451=1,IF(OR($L451=ReportDate,$W451=ReportDate,$K451=ReportDate,$A451=ReportDate),1,0),0)</f>
        <v>0</v>
      </c>
      <c r="AU451" s="71">
        <f>IF($AK451=1,IF(OR($L451=ReportDate+1,$W451=ReportDate+1,$K451=ReportDate+1,$A451=ReportDate+1),1,0),0)</f>
        <v>0</v>
      </c>
      <c r="AV451" s="71">
        <f>IF(AND($G451&lt;&gt;"",$M451="Completed"),IF(OR($Y451=ReportDate-1,$A451=ReportDate-1),1,0),0)</f>
        <v>0</v>
      </c>
      <c r="AW451" s="71">
        <f>IF(AND($AK451=1,$Z451="Yes"),1,0)</f>
        <v>0</v>
      </c>
      <c r="AX451" s="71">
        <f>IF(AND($AK451=1,$AA451="Yes"),1,0)</f>
        <v>0</v>
      </c>
      <c r="AY451" s="71">
        <f>IF(AND($AM451=1,OR($I451="Critical",$I451="High")),1,0)</f>
        <v>0</v>
      </c>
      <c r="AZ451" s="71">
        <f>IF(AND($AK451=1,OR($C451=TCL_Client,$C451=MECCA_Client)),1,0)</f>
        <v>0</v>
      </c>
      <c r="BA451" s="71" t="str">
        <f>IF($G451="","",IFERROR(MATCH($I451,lst_Priority,0),5))</f>
        <v/>
      </c>
      <c r="BB451" s="71" t="str">
        <f>IF(AND($AL451=1,$AJ451=1),$BA451*100000+ROW(),"")</f>
        <v/>
      </c>
      <c r="BC451" s="71" t="str">
        <f>IF(AND($AM451=1,$AJ451=1),$BA451*100000+ROW(),"")</f>
        <v/>
      </c>
      <c r="BD451" s="71" t="str">
        <f>IF(AND($AP451=1,$AJ451=1),$BA451*100000+ROW(),"")</f>
        <v/>
      </c>
      <c r="BE451" s="71" t="str">
        <f>IF(AND($AT451=1,$AJ451=1),$BA451*100000+ROW(),"")</f>
        <v/>
      </c>
      <c r="BF451" s="71" t="str">
        <f>IF(AND($AU451=1,$AJ451=1),$BA451*100000+ROW(),"")</f>
        <v/>
      </c>
      <c r="BG451" s="71" t="str">
        <f>IF(AND($AV451=1,$AJ451=1),$BA451*100000+ROW(),"")</f>
        <v/>
      </c>
      <c r="BH451" s="71" t="str">
        <f>IF(AND($AW451=1,$AJ451=1),$BA451*100000+ROW(),"")</f>
        <v/>
      </c>
      <c r="BI451" s="71" t="str">
        <f>IF(AND($AX451=1,$AJ451=1),$BA451*100000+ROW(),"")</f>
        <v/>
      </c>
      <c r="BJ451" s="71" t="str">
        <f>IF(AND($AS451=1,$AJ451=1),$BA451*100000+ROW(),"")</f>
        <v/>
      </c>
      <c r="BK451" s="71" t="str">
        <f>IF(AND($AY451=1,$AJ451=1),$BA451*100000+ROW(),"")</f>
        <v/>
      </c>
      <c r="BL451" s="71" t="str">
        <f>IF(AND($AZ451=1),$BA451*100000+ROW(),"")</f>
        <v/>
      </c>
    </row>
    <row r="452">
      <c r="A452" s="63" t="n"/>
      <c r="B452" s="64" t="n"/>
      <c r="C452" s="64" t="n"/>
      <c r="D452" s="64" t="n"/>
      <c r="E452" s="64" t="n"/>
      <c r="F452" s="64" t="n"/>
      <c r="G452" s="65" t="n"/>
      <c r="H452" s="65" t="n"/>
      <c r="I452" s="64" t="n"/>
      <c r="J452" s="64" t="n"/>
      <c r="K452" s="63" t="n"/>
      <c r="L452" s="63" t="n"/>
      <c r="M452" s="64" t="n"/>
      <c r="N452" s="66" t="n"/>
      <c r="O452" s="65" t="n"/>
      <c r="P452" s="64" t="n"/>
      <c r="Q452" s="67" t="n"/>
      <c r="R452" s="67" t="n"/>
      <c r="S452" s="68" t="str">
        <f>IF(AND(ISNUMBER($Q452),ISNUMBER($R452)),$Q452-$R452,"")</f>
        <v/>
      </c>
      <c r="T452" s="65" t="n"/>
      <c r="U452" s="64" t="n"/>
      <c r="V452" s="65" t="n"/>
      <c r="W452" s="63" t="n"/>
      <c r="X452" s="65" t="n"/>
      <c r="Y452" s="63" t="n"/>
      <c r="Z452" s="64" t="n"/>
      <c r="AA452" s="64" t="n"/>
      <c r="AB452" s="65" t="n"/>
      <c r="AC452" s="69" t="str">
        <f>IF(OR($G452="",NOT(ISNUMBER($K452)),$AK452=0),"",MAX(0,ReportDate-$K452))</f>
        <v/>
      </c>
      <c r="AD452" s="69" t="str">
        <f>IF($G452="","",IF($AL452=1,ReportDate-$L452,0))</f>
        <v/>
      </c>
      <c r="AE452" s="70" t="str">
        <f>IF($G452="","",IF($M452="Completed",1,IF(ISNUMBER($N452),$N452,0)))</f>
        <v/>
      </c>
      <c r="AF452" s="70" t="str">
        <f>IF(AND(ISNUMBER($Q452),ISNUMBER($R452)),IF($R452&lt;&gt;0,$Q452/$R452,""),"")</f>
        <v/>
      </c>
      <c r="AG452" s="71" t="str">
        <f>IF($G452="","",IF($AL452=1,"OVERDUE",IF($AM452=1,"BLOCKED",IF($AN452=1,"DUE TODAY",IF($AO452=1,"DUE TOMORROW",IF($AQ452=1,"HIGH PRIORITY",IF($AR452=1,"NO RECENT UPDATE",""))))))) </f>
        <v/>
      </c>
      <c r="AH452" s="71" t="str">
        <f>IF($G452="","",IF(ISNUMBER($A452),IF(ISNUMBER($A452),YEAR($A452)&amp;"-"&amp;TEXT(MONTH($A452),"00"),""),IF(ISNUMBER($L452),IF(ISNUMBER($L452),YEAR($L452)&amp;"-"&amp;TEXT(MONTH($L452),"00"),""),"")))</f>
        <v/>
      </c>
      <c r="AI452" s="71">
        <f>IF($G452="",0,IF(AND(OR(fClient="All",$C452=fClient),OR(fCampaign="All",$D452=fCampaign),OR(fTeam="All",$B452=fTeam),OR(fChannel="All",$F452=fChannel),OR(fMonth="All",$AH452=fMonth),OR(fTStatus="All",$M452=fTStatus)),1,0))</f>
        <v>0</v>
      </c>
      <c r="AJ452" s="71">
        <f>IF($G452="",0,IF(AND(OR(fClient="All",$C452=fClient),OR(fCampaign="All",$D452=fCampaign),OR(fTeam="All",$B452=fTeam),OR(fChannel="All",$F452=fChannel)),1,0))</f>
        <v>0</v>
      </c>
      <c r="AK452" s="71">
        <f>IF($G452="",0,IF(OR($M452="Completed",$M452="Cancelled"),0,1))</f>
        <v>0</v>
      </c>
      <c r="AL452" s="71">
        <f>IF(AND($AK452=1,ISNUMBER($L452)),IF($L452&lt;ReportDate,1,0),0)</f>
        <v>0</v>
      </c>
      <c r="AM452" s="71">
        <f>IF(AND($G452&lt;&gt;"",$M452="Blocked"),1,0)</f>
        <v>0</v>
      </c>
      <c r="AN452" s="71">
        <f>IF(AND($AK452=1,ISNUMBER($L452)),IF($L452=ReportDate,1,0),0)</f>
        <v>0</v>
      </c>
      <c r="AO452" s="71">
        <f>IF(AND($AK452=1,ISNUMBER($L452)),IF($L452=ReportDate+1,1,0),0)</f>
        <v>0</v>
      </c>
      <c r="AP452" s="71">
        <f>IF(AND($AK452=1,ISNUMBER($L452)),IF(AND($L452&gt;=ReportDate,$L452&lt;=ReportDate+DueSoonDays),1,0),0)</f>
        <v>0</v>
      </c>
      <c r="AQ452" s="71">
        <f>IF(AND($AK452=1,OR($I452="Critical",$I452="High")),1,0)</f>
        <v>0</v>
      </c>
      <c r="AR452" s="71">
        <f>IF($AK452=1,IF(ISNUMBER($Y452),IF(ReportDate-$Y452&gt;StaleDays,1,0),1),0)</f>
        <v>0</v>
      </c>
      <c r="AS452" s="71">
        <f>IF(AND($G452&lt;&gt;"",ISNUMBER($Q452),ISNUMBER($R452)),IF(AND($Q452&lt;$R452,OR($M452="Completed",AND(ISNUMBER($L452),$L452&lt;ReportDate))),1,0),0)</f>
        <v>0</v>
      </c>
      <c r="AT452" s="71">
        <f>IF($AK452=1,IF(OR($L452=ReportDate,$W452=ReportDate,$K452=ReportDate,$A452=ReportDate),1,0),0)</f>
        <v>0</v>
      </c>
      <c r="AU452" s="71">
        <f>IF($AK452=1,IF(OR($L452=ReportDate+1,$W452=ReportDate+1,$K452=ReportDate+1,$A452=ReportDate+1),1,0),0)</f>
        <v>0</v>
      </c>
      <c r="AV452" s="71">
        <f>IF(AND($G452&lt;&gt;"",$M452="Completed"),IF(OR($Y452=ReportDate-1,$A452=ReportDate-1),1,0),0)</f>
        <v>0</v>
      </c>
      <c r="AW452" s="71">
        <f>IF(AND($AK452=1,$Z452="Yes"),1,0)</f>
        <v>0</v>
      </c>
      <c r="AX452" s="71">
        <f>IF(AND($AK452=1,$AA452="Yes"),1,0)</f>
        <v>0</v>
      </c>
      <c r="AY452" s="71">
        <f>IF(AND($AM452=1,OR($I452="Critical",$I452="High")),1,0)</f>
        <v>0</v>
      </c>
      <c r="AZ452" s="71">
        <f>IF(AND($AK452=1,OR($C452=TCL_Client,$C452=MECCA_Client)),1,0)</f>
        <v>0</v>
      </c>
      <c r="BA452" s="71" t="str">
        <f>IF($G452="","",IFERROR(MATCH($I452,lst_Priority,0),5))</f>
        <v/>
      </c>
      <c r="BB452" s="71" t="str">
        <f>IF(AND($AL452=1,$AJ452=1),$BA452*100000+ROW(),"")</f>
        <v/>
      </c>
      <c r="BC452" s="71" t="str">
        <f>IF(AND($AM452=1,$AJ452=1),$BA452*100000+ROW(),"")</f>
        <v/>
      </c>
      <c r="BD452" s="71" t="str">
        <f>IF(AND($AP452=1,$AJ452=1),$BA452*100000+ROW(),"")</f>
        <v/>
      </c>
      <c r="BE452" s="71" t="str">
        <f>IF(AND($AT452=1,$AJ452=1),$BA452*100000+ROW(),"")</f>
        <v/>
      </c>
      <c r="BF452" s="71" t="str">
        <f>IF(AND($AU452=1,$AJ452=1),$BA452*100000+ROW(),"")</f>
        <v/>
      </c>
      <c r="BG452" s="71" t="str">
        <f>IF(AND($AV452=1,$AJ452=1),$BA452*100000+ROW(),"")</f>
        <v/>
      </c>
      <c r="BH452" s="71" t="str">
        <f>IF(AND($AW452=1,$AJ452=1),$BA452*100000+ROW(),"")</f>
        <v/>
      </c>
      <c r="BI452" s="71" t="str">
        <f>IF(AND($AX452=1,$AJ452=1),$BA452*100000+ROW(),"")</f>
        <v/>
      </c>
      <c r="BJ452" s="71" t="str">
        <f>IF(AND($AS452=1,$AJ452=1),$BA452*100000+ROW(),"")</f>
        <v/>
      </c>
      <c r="BK452" s="71" t="str">
        <f>IF(AND($AY452=1,$AJ452=1),$BA452*100000+ROW(),"")</f>
        <v/>
      </c>
      <c r="BL452" s="71" t="str">
        <f>IF(AND($AZ452=1),$BA452*100000+ROW(),"")</f>
        <v/>
      </c>
    </row>
    <row r="453">
      <c r="A453" s="63" t="n"/>
      <c r="B453" s="64" t="n"/>
      <c r="C453" s="64" t="n"/>
      <c r="D453" s="64" t="n"/>
      <c r="E453" s="64" t="n"/>
      <c r="F453" s="64" t="n"/>
      <c r="G453" s="65" t="n"/>
      <c r="H453" s="65" t="n"/>
      <c r="I453" s="64" t="n"/>
      <c r="J453" s="64" t="n"/>
      <c r="K453" s="63" t="n"/>
      <c r="L453" s="63" t="n"/>
      <c r="M453" s="64" t="n"/>
      <c r="N453" s="66" t="n"/>
      <c r="O453" s="65" t="n"/>
      <c r="P453" s="64" t="n"/>
      <c r="Q453" s="67" t="n"/>
      <c r="R453" s="67" t="n"/>
      <c r="S453" s="68" t="str">
        <f>IF(AND(ISNUMBER($Q453),ISNUMBER($R453)),$Q453-$R453,"")</f>
        <v/>
      </c>
      <c r="T453" s="65" t="n"/>
      <c r="U453" s="64" t="n"/>
      <c r="V453" s="65" t="n"/>
      <c r="W453" s="63" t="n"/>
      <c r="X453" s="65" t="n"/>
      <c r="Y453" s="63" t="n"/>
      <c r="Z453" s="64" t="n"/>
      <c r="AA453" s="64" t="n"/>
      <c r="AB453" s="65" t="n"/>
      <c r="AC453" s="69" t="str">
        <f>IF(OR($G453="",NOT(ISNUMBER($K453)),$AK453=0),"",MAX(0,ReportDate-$K453))</f>
        <v/>
      </c>
      <c r="AD453" s="69" t="str">
        <f>IF($G453="","",IF($AL453=1,ReportDate-$L453,0))</f>
        <v/>
      </c>
      <c r="AE453" s="70" t="str">
        <f>IF($G453="","",IF($M453="Completed",1,IF(ISNUMBER($N453),$N453,0)))</f>
        <v/>
      </c>
      <c r="AF453" s="70" t="str">
        <f>IF(AND(ISNUMBER($Q453),ISNUMBER($R453)),IF($R453&lt;&gt;0,$Q453/$R453,""),"")</f>
        <v/>
      </c>
      <c r="AG453" s="71" t="str">
        <f>IF($G453="","",IF($AL453=1,"OVERDUE",IF($AM453=1,"BLOCKED",IF($AN453=1,"DUE TODAY",IF($AO453=1,"DUE TOMORROW",IF($AQ453=1,"HIGH PRIORITY",IF($AR453=1,"NO RECENT UPDATE",""))))))) </f>
        <v/>
      </c>
      <c r="AH453" s="71" t="str">
        <f>IF($G453="","",IF(ISNUMBER($A453),IF(ISNUMBER($A453),YEAR($A453)&amp;"-"&amp;TEXT(MONTH($A453),"00"),""),IF(ISNUMBER($L453),IF(ISNUMBER($L453),YEAR($L453)&amp;"-"&amp;TEXT(MONTH($L453),"00"),""),"")))</f>
        <v/>
      </c>
      <c r="AI453" s="71">
        <f>IF($G453="",0,IF(AND(OR(fClient="All",$C453=fClient),OR(fCampaign="All",$D453=fCampaign),OR(fTeam="All",$B453=fTeam),OR(fChannel="All",$F453=fChannel),OR(fMonth="All",$AH453=fMonth),OR(fTStatus="All",$M453=fTStatus)),1,0))</f>
        <v>0</v>
      </c>
      <c r="AJ453" s="71">
        <f>IF($G453="",0,IF(AND(OR(fClient="All",$C453=fClient),OR(fCampaign="All",$D453=fCampaign),OR(fTeam="All",$B453=fTeam),OR(fChannel="All",$F453=fChannel)),1,0))</f>
        <v>0</v>
      </c>
      <c r="AK453" s="71">
        <f>IF($G453="",0,IF(OR($M453="Completed",$M453="Cancelled"),0,1))</f>
        <v>0</v>
      </c>
      <c r="AL453" s="71">
        <f>IF(AND($AK453=1,ISNUMBER($L453)),IF($L453&lt;ReportDate,1,0),0)</f>
        <v>0</v>
      </c>
      <c r="AM453" s="71">
        <f>IF(AND($G453&lt;&gt;"",$M453="Blocked"),1,0)</f>
        <v>0</v>
      </c>
      <c r="AN453" s="71">
        <f>IF(AND($AK453=1,ISNUMBER($L453)),IF($L453=ReportDate,1,0),0)</f>
        <v>0</v>
      </c>
      <c r="AO453" s="71">
        <f>IF(AND($AK453=1,ISNUMBER($L453)),IF($L453=ReportDate+1,1,0),0)</f>
        <v>0</v>
      </c>
      <c r="AP453" s="71">
        <f>IF(AND($AK453=1,ISNUMBER($L453)),IF(AND($L453&gt;=ReportDate,$L453&lt;=ReportDate+DueSoonDays),1,0),0)</f>
        <v>0</v>
      </c>
      <c r="AQ453" s="71">
        <f>IF(AND($AK453=1,OR($I453="Critical",$I453="High")),1,0)</f>
        <v>0</v>
      </c>
      <c r="AR453" s="71">
        <f>IF($AK453=1,IF(ISNUMBER($Y453),IF(ReportDate-$Y453&gt;StaleDays,1,0),1),0)</f>
        <v>0</v>
      </c>
      <c r="AS453" s="71">
        <f>IF(AND($G453&lt;&gt;"",ISNUMBER($Q453),ISNUMBER($R453)),IF(AND($Q453&lt;$R453,OR($M453="Completed",AND(ISNUMBER($L453),$L453&lt;ReportDate))),1,0),0)</f>
        <v>0</v>
      </c>
      <c r="AT453" s="71">
        <f>IF($AK453=1,IF(OR($L453=ReportDate,$W453=ReportDate,$K453=ReportDate,$A453=ReportDate),1,0),0)</f>
        <v>0</v>
      </c>
      <c r="AU453" s="71">
        <f>IF($AK453=1,IF(OR($L453=ReportDate+1,$W453=ReportDate+1,$K453=ReportDate+1,$A453=ReportDate+1),1,0),0)</f>
        <v>0</v>
      </c>
      <c r="AV453" s="71">
        <f>IF(AND($G453&lt;&gt;"",$M453="Completed"),IF(OR($Y453=ReportDate-1,$A453=ReportDate-1),1,0),0)</f>
        <v>0</v>
      </c>
      <c r="AW453" s="71">
        <f>IF(AND($AK453=1,$Z453="Yes"),1,0)</f>
        <v>0</v>
      </c>
      <c r="AX453" s="71">
        <f>IF(AND($AK453=1,$AA453="Yes"),1,0)</f>
        <v>0</v>
      </c>
      <c r="AY453" s="71">
        <f>IF(AND($AM453=1,OR($I453="Critical",$I453="High")),1,0)</f>
        <v>0</v>
      </c>
      <c r="AZ453" s="71">
        <f>IF(AND($AK453=1,OR($C453=TCL_Client,$C453=MECCA_Client)),1,0)</f>
        <v>0</v>
      </c>
      <c r="BA453" s="71" t="str">
        <f>IF($G453="","",IFERROR(MATCH($I453,lst_Priority,0),5))</f>
        <v/>
      </c>
      <c r="BB453" s="71" t="str">
        <f>IF(AND($AL453=1,$AJ453=1),$BA453*100000+ROW(),"")</f>
        <v/>
      </c>
      <c r="BC453" s="71" t="str">
        <f>IF(AND($AM453=1,$AJ453=1),$BA453*100000+ROW(),"")</f>
        <v/>
      </c>
      <c r="BD453" s="71" t="str">
        <f>IF(AND($AP453=1,$AJ453=1),$BA453*100000+ROW(),"")</f>
        <v/>
      </c>
      <c r="BE453" s="71" t="str">
        <f>IF(AND($AT453=1,$AJ453=1),$BA453*100000+ROW(),"")</f>
        <v/>
      </c>
      <c r="BF453" s="71" t="str">
        <f>IF(AND($AU453=1,$AJ453=1),$BA453*100000+ROW(),"")</f>
        <v/>
      </c>
      <c r="BG453" s="71" t="str">
        <f>IF(AND($AV453=1,$AJ453=1),$BA453*100000+ROW(),"")</f>
        <v/>
      </c>
      <c r="BH453" s="71" t="str">
        <f>IF(AND($AW453=1,$AJ453=1),$BA453*100000+ROW(),"")</f>
        <v/>
      </c>
      <c r="BI453" s="71" t="str">
        <f>IF(AND($AX453=1,$AJ453=1),$BA453*100000+ROW(),"")</f>
        <v/>
      </c>
      <c r="BJ453" s="71" t="str">
        <f>IF(AND($AS453=1,$AJ453=1),$BA453*100000+ROW(),"")</f>
        <v/>
      </c>
      <c r="BK453" s="71" t="str">
        <f>IF(AND($AY453=1,$AJ453=1),$BA453*100000+ROW(),"")</f>
        <v/>
      </c>
      <c r="BL453" s="71" t="str">
        <f>IF(AND($AZ453=1),$BA453*100000+ROW(),"")</f>
        <v/>
      </c>
    </row>
    <row r="454">
      <c r="A454" s="63" t="n"/>
      <c r="B454" s="64" t="n"/>
      <c r="C454" s="64" t="n"/>
      <c r="D454" s="64" t="n"/>
      <c r="E454" s="64" t="n"/>
      <c r="F454" s="64" t="n"/>
      <c r="G454" s="65" t="n"/>
      <c r="H454" s="65" t="n"/>
      <c r="I454" s="64" t="n"/>
      <c r="J454" s="64" t="n"/>
      <c r="K454" s="63" t="n"/>
      <c r="L454" s="63" t="n"/>
      <c r="M454" s="64" t="n"/>
      <c r="N454" s="66" t="n"/>
      <c r="O454" s="65" t="n"/>
      <c r="P454" s="64" t="n"/>
      <c r="Q454" s="67" t="n"/>
      <c r="R454" s="67" t="n"/>
      <c r="S454" s="68" t="str">
        <f>IF(AND(ISNUMBER($Q454),ISNUMBER($R454)),$Q454-$R454,"")</f>
        <v/>
      </c>
      <c r="T454" s="65" t="n"/>
      <c r="U454" s="64" t="n"/>
      <c r="V454" s="65" t="n"/>
      <c r="W454" s="63" t="n"/>
      <c r="X454" s="65" t="n"/>
      <c r="Y454" s="63" t="n"/>
      <c r="Z454" s="64" t="n"/>
      <c r="AA454" s="64" t="n"/>
      <c r="AB454" s="65" t="n"/>
      <c r="AC454" s="69" t="str">
        <f>IF(OR($G454="",NOT(ISNUMBER($K454)),$AK454=0),"",MAX(0,ReportDate-$K454))</f>
        <v/>
      </c>
      <c r="AD454" s="69" t="str">
        <f>IF($G454="","",IF($AL454=1,ReportDate-$L454,0))</f>
        <v/>
      </c>
      <c r="AE454" s="70" t="str">
        <f>IF($G454="","",IF($M454="Completed",1,IF(ISNUMBER($N454),$N454,0)))</f>
        <v/>
      </c>
      <c r="AF454" s="70" t="str">
        <f>IF(AND(ISNUMBER($Q454),ISNUMBER($R454)),IF($R454&lt;&gt;0,$Q454/$R454,""),"")</f>
        <v/>
      </c>
      <c r="AG454" s="71" t="str">
        <f>IF($G454="","",IF($AL454=1,"OVERDUE",IF($AM454=1,"BLOCKED",IF($AN454=1,"DUE TODAY",IF($AO454=1,"DUE TOMORROW",IF($AQ454=1,"HIGH PRIORITY",IF($AR454=1,"NO RECENT UPDATE",""))))))) </f>
        <v/>
      </c>
      <c r="AH454" s="71" t="str">
        <f>IF($G454="","",IF(ISNUMBER($A454),IF(ISNUMBER($A454),YEAR($A454)&amp;"-"&amp;TEXT(MONTH($A454),"00"),""),IF(ISNUMBER($L454),IF(ISNUMBER($L454),YEAR($L454)&amp;"-"&amp;TEXT(MONTH($L454),"00"),""),"")))</f>
        <v/>
      </c>
      <c r="AI454" s="71">
        <f>IF($G454="",0,IF(AND(OR(fClient="All",$C454=fClient),OR(fCampaign="All",$D454=fCampaign),OR(fTeam="All",$B454=fTeam),OR(fChannel="All",$F454=fChannel),OR(fMonth="All",$AH454=fMonth),OR(fTStatus="All",$M454=fTStatus)),1,0))</f>
        <v>0</v>
      </c>
      <c r="AJ454" s="71">
        <f>IF($G454="",0,IF(AND(OR(fClient="All",$C454=fClient),OR(fCampaign="All",$D454=fCampaign),OR(fTeam="All",$B454=fTeam),OR(fChannel="All",$F454=fChannel)),1,0))</f>
        <v>0</v>
      </c>
      <c r="AK454" s="71">
        <f>IF($G454="",0,IF(OR($M454="Completed",$M454="Cancelled"),0,1))</f>
        <v>0</v>
      </c>
      <c r="AL454" s="71">
        <f>IF(AND($AK454=1,ISNUMBER($L454)),IF($L454&lt;ReportDate,1,0),0)</f>
        <v>0</v>
      </c>
      <c r="AM454" s="71">
        <f>IF(AND($G454&lt;&gt;"",$M454="Blocked"),1,0)</f>
        <v>0</v>
      </c>
      <c r="AN454" s="71">
        <f>IF(AND($AK454=1,ISNUMBER($L454)),IF($L454=ReportDate,1,0),0)</f>
        <v>0</v>
      </c>
      <c r="AO454" s="71">
        <f>IF(AND($AK454=1,ISNUMBER($L454)),IF($L454=ReportDate+1,1,0),0)</f>
        <v>0</v>
      </c>
      <c r="AP454" s="71">
        <f>IF(AND($AK454=1,ISNUMBER($L454)),IF(AND($L454&gt;=ReportDate,$L454&lt;=ReportDate+DueSoonDays),1,0),0)</f>
        <v>0</v>
      </c>
      <c r="AQ454" s="71">
        <f>IF(AND($AK454=1,OR($I454="Critical",$I454="High")),1,0)</f>
        <v>0</v>
      </c>
      <c r="AR454" s="71">
        <f>IF($AK454=1,IF(ISNUMBER($Y454),IF(ReportDate-$Y454&gt;StaleDays,1,0),1),0)</f>
        <v>0</v>
      </c>
      <c r="AS454" s="71">
        <f>IF(AND($G454&lt;&gt;"",ISNUMBER($Q454),ISNUMBER($R454)),IF(AND($Q454&lt;$R454,OR($M454="Completed",AND(ISNUMBER($L454),$L454&lt;ReportDate))),1,0),0)</f>
        <v>0</v>
      </c>
      <c r="AT454" s="71">
        <f>IF($AK454=1,IF(OR($L454=ReportDate,$W454=ReportDate,$K454=ReportDate,$A454=ReportDate),1,0),0)</f>
        <v>0</v>
      </c>
      <c r="AU454" s="71">
        <f>IF($AK454=1,IF(OR($L454=ReportDate+1,$W454=ReportDate+1,$K454=ReportDate+1,$A454=ReportDate+1),1,0),0)</f>
        <v>0</v>
      </c>
      <c r="AV454" s="71">
        <f>IF(AND($G454&lt;&gt;"",$M454="Completed"),IF(OR($Y454=ReportDate-1,$A454=ReportDate-1),1,0),0)</f>
        <v>0</v>
      </c>
      <c r="AW454" s="71">
        <f>IF(AND($AK454=1,$Z454="Yes"),1,0)</f>
        <v>0</v>
      </c>
      <c r="AX454" s="71">
        <f>IF(AND($AK454=1,$AA454="Yes"),1,0)</f>
        <v>0</v>
      </c>
      <c r="AY454" s="71">
        <f>IF(AND($AM454=1,OR($I454="Critical",$I454="High")),1,0)</f>
        <v>0</v>
      </c>
      <c r="AZ454" s="71">
        <f>IF(AND($AK454=1,OR($C454=TCL_Client,$C454=MECCA_Client)),1,0)</f>
        <v>0</v>
      </c>
      <c r="BA454" s="71" t="str">
        <f>IF($G454="","",IFERROR(MATCH($I454,lst_Priority,0),5))</f>
        <v/>
      </c>
      <c r="BB454" s="71" t="str">
        <f>IF(AND($AL454=1,$AJ454=1),$BA454*100000+ROW(),"")</f>
        <v/>
      </c>
      <c r="BC454" s="71" t="str">
        <f>IF(AND($AM454=1,$AJ454=1),$BA454*100000+ROW(),"")</f>
        <v/>
      </c>
      <c r="BD454" s="71" t="str">
        <f>IF(AND($AP454=1,$AJ454=1),$BA454*100000+ROW(),"")</f>
        <v/>
      </c>
      <c r="BE454" s="71" t="str">
        <f>IF(AND($AT454=1,$AJ454=1),$BA454*100000+ROW(),"")</f>
        <v/>
      </c>
      <c r="BF454" s="71" t="str">
        <f>IF(AND($AU454=1,$AJ454=1),$BA454*100000+ROW(),"")</f>
        <v/>
      </c>
      <c r="BG454" s="71" t="str">
        <f>IF(AND($AV454=1,$AJ454=1),$BA454*100000+ROW(),"")</f>
        <v/>
      </c>
      <c r="BH454" s="71" t="str">
        <f>IF(AND($AW454=1,$AJ454=1),$BA454*100000+ROW(),"")</f>
        <v/>
      </c>
      <c r="BI454" s="71" t="str">
        <f>IF(AND($AX454=1,$AJ454=1),$BA454*100000+ROW(),"")</f>
        <v/>
      </c>
      <c r="BJ454" s="71" t="str">
        <f>IF(AND($AS454=1,$AJ454=1),$BA454*100000+ROW(),"")</f>
        <v/>
      </c>
      <c r="BK454" s="71" t="str">
        <f>IF(AND($AY454=1,$AJ454=1),$BA454*100000+ROW(),"")</f>
        <v/>
      </c>
      <c r="BL454" s="71" t="str">
        <f>IF(AND($AZ454=1),$BA454*100000+ROW(),"")</f>
        <v/>
      </c>
    </row>
    <row r="455">
      <c r="A455" s="63" t="n"/>
      <c r="B455" s="64" t="n"/>
      <c r="C455" s="64" t="n"/>
      <c r="D455" s="64" t="n"/>
      <c r="E455" s="64" t="n"/>
      <c r="F455" s="64" t="n"/>
      <c r="G455" s="65" t="n"/>
      <c r="H455" s="65" t="n"/>
      <c r="I455" s="64" t="n"/>
      <c r="J455" s="64" t="n"/>
      <c r="K455" s="63" t="n"/>
      <c r="L455" s="63" t="n"/>
      <c r="M455" s="64" t="n"/>
      <c r="N455" s="66" t="n"/>
      <c r="O455" s="65" t="n"/>
      <c r="P455" s="64" t="n"/>
      <c r="Q455" s="67" t="n"/>
      <c r="R455" s="67" t="n"/>
      <c r="S455" s="68" t="str">
        <f>IF(AND(ISNUMBER($Q455),ISNUMBER($R455)),$Q455-$R455,"")</f>
        <v/>
      </c>
      <c r="T455" s="65" t="n"/>
      <c r="U455" s="64" t="n"/>
      <c r="V455" s="65" t="n"/>
      <c r="W455" s="63" t="n"/>
      <c r="X455" s="65" t="n"/>
      <c r="Y455" s="63" t="n"/>
      <c r="Z455" s="64" t="n"/>
      <c r="AA455" s="64" t="n"/>
      <c r="AB455" s="65" t="n"/>
      <c r="AC455" s="69" t="str">
        <f>IF(OR($G455="",NOT(ISNUMBER($K455)),$AK455=0),"",MAX(0,ReportDate-$K455))</f>
        <v/>
      </c>
      <c r="AD455" s="69" t="str">
        <f>IF($G455="","",IF($AL455=1,ReportDate-$L455,0))</f>
        <v/>
      </c>
      <c r="AE455" s="70" t="str">
        <f>IF($G455="","",IF($M455="Completed",1,IF(ISNUMBER($N455),$N455,0)))</f>
        <v/>
      </c>
      <c r="AF455" s="70" t="str">
        <f>IF(AND(ISNUMBER($Q455),ISNUMBER($R455)),IF($R455&lt;&gt;0,$Q455/$R455,""),"")</f>
        <v/>
      </c>
      <c r="AG455" s="71" t="str">
        <f>IF($G455="","",IF($AL455=1,"OVERDUE",IF($AM455=1,"BLOCKED",IF($AN455=1,"DUE TODAY",IF($AO455=1,"DUE TOMORROW",IF($AQ455=1,"HIGH PRIORITY",IF($AR455=1,"NO RECENT UPDATE",""))))))) </f>
        <v/>
      </c>
      <c r="AH455" s="71" t="str">
        <f>IF($G455="","",IF(ISNUMBER($A455),IF(ISNUMBER($A455),YEAR($A455)&amp;"-"&amp;TEXT(MONTH($A455),"00"),""),IF(ISNUMBER($L455),IF(ISNUMBER($L455),YEAR($L455)&amp;"-"&amp;TEXT(MONTH($L455),"00"),""),"")))</f>
        <v/>
      </c>
      <c r="AI455" s="71">
        <f>IF($G455="",0,IF(AND(OR(fClient="All",$C455=fClient),OR(fCampaign="All",$D455=fCampaign),OR(fTeam="All",$B455=fTeam),OR(fChannel="All",$F455=fChannel),OR(fMonth="All",$AH455=fMonth),OR(fTStatus="All",$M455=fTStatus)),1,0))</f>
        <v>0</v>
      </c>
      <c r="AJ455" s="71">
        <f>IF($G455="",0,IF(AND(OR(fClient="All",$C455=fClient),OR(fCampaign="All",$D455=fCampaign),OR(fTeam="All",$B455=fTeam),OR(fChannel="All",$F455=fChannel)),1,0))</f>
        <v>0</v>
      </c>
      <c r="AK455" s="71">
        <f>IF($G455="",0,IF(OR($M455="Completed",$M455="Cancelled"),0,1))</f>
        <v>0</v>
      </c>
      <c r="AL455" s="71">
        <f>IF(AND($AK455=1,ISNUMBER($L455)),IF($L455&lt;ReportDate,1,0),0)</f>
        <v>0</v>
      </c>
      <c r="AM455" s="71">
        <f>IF(AND($G455&lt;&gt;"",$M455="Blocked"),1,0)</f>
        <v>0</v>
      </c>
      <c r="AN455" s="71">
        <f>IF(AND($AK455=1,ISNUMBER($L455)),IF($L455=ReportDate,1,0),0)</f>
        <v>0</v>
      </c>
      <c r="AO455" s="71">
        <f>IF(AND($AK455=1,ISNUMBER($L455)),IF($L455=ReportDate+1,1,0),0)</f>
        <v>0</v>
      </c>
      <c r="AP455" s="71">
        <f>IF(AND($AK455=1,ISNUMBER($L455)),IF(AND($L455&gt;=ReportDate,$L455&lt;=ReportDate+DueSoonDays),1,0),0)</f>
        <v>0</v>
      </c>
      <c r="AQ455" s="71">
        <f>IF(AND($AK455=1,OR($I455="Critical",$I455="High")),1,0)</f>
        <v>0</v>
      </c>
      <c r="AR455" s="71">
        <f>IF($AK455=1,IF(ISNUMBER($Y455),IF(ReportDate-$Y455&gt;StaleDays,1,0),1),0)</f>
        <v>0</v>
      </c>
      <c r="AS455" s="71">
        <f>IF(AND($G455&lt;&gt;"",ISNUMBER($Q455),ISNUMBER($R455)),IF(AND($Q455&lt;$R455,OR($M455="Completed",AND(ISNUMBER($L455),$L455&lt;ReportDate))),1,0),0)</f>
        <v>0</v>
      </c>
      <c r="AT455" s="71">
        <f>IF($AK455=1,IF(OR($L455=ReportDate,$W455=ReportDate,$K455=ReportDate,$A455=ReportDate),1,0),0)</f>
        <v>0</v>
      </c>
      <c r="AU455" s="71">
        <f>IF($AK455=1,IF(OR($L455=ReportDate+1,$W455=ReportDate+1,$K455=ReportDate+1,$A455=ReportDate+1),1,0),0)</f>
        <v>0</v>
      </c>
      <c r="AV455" s="71">
        <f>IF(AND($G455&lt;&gt;"",$M455="Completed"),IF(OR($Y455=ReportDate-1,$A455=ReportDate-1),1,0),0)</f>
        <v>0</v>
      </c>
      <c r="AW455" s="71">
        <f>IF(AND($AK455=1,$Z455="Yes"),1,0)</f>
        <v>0</v>
      </c>
      <c r="AX455" s="71">
        <f>IF(AND($AK455=1,$AA455="Yes"),1,0)</f>
        <v>0</v>
      </c>
      <c r="AY455" s="71">
        <f>IF(AND($AM455=1,OR($I455="Critical",$I455="High")),1,0)</f>
        <v>0</v>
      </c>
      <c r="AZ455" s="71">
        <f>IF(AND($AK455=1,OR($C455=TCL_Client,$C455=MECCA_Client)),1,0)</f>
        <v>0</v>
      </c>
      <c r="BA455" s="71" t="str">
        <f>IF($G455="","",IFERROR(MATCH($I455,lst_Priority,0),5))</f>
        <v/>
      </c>
      <c r="BB455" s="71" t="str">
        <f>IF(AND($AL455=1,$AJ455=1),$BA455*100000+ROW(),"")</f>
        <v/>
      </c>
      <c r="BC455" s="71" t="str">
        <f>IF(AND($AM455=1,$AJ455=1),$BA455*100000+ROW(),"")</f>
        <v/>
      </c>
      <c r="BD455" s="71" t="str">
        <f>IF(AND($AP455=1,$AJ455=1),$BA455*100000+ROW(),"")</f>
        <v/>
      </c>
      <c r="BE455" s="71" t="str">
        <f>IF(AND($AT455=1,$AJ455=1),$BA455*100000+ROW(),"")</f>
        <v/>
      </c>
      <c r="BF455" s="71" t="str">
        <f>IF(AND($AU455=1,$AJ455=1),$BA455*100000+ROW(),"")</f>
        <v/>
      </c>
      <c r="BG455" s="71" t="str">
        <f>IF(AND($AV455=1,$AJ455=1),$BA455*100000+ROW(),"")</f>
        <v/>
      </c>
      <c r="BH455" s="71" t="str">
        <f>IF(AND($AW455=1,$AJ455=1),$BA455*100000+ROW(),"")</f>
        <v/>
      </c>
      <c r="BI455" s="71" t="str">
        <f>IF(AND($AX455=1,$AJ455=1),$BA455*100000+ROW(),"")</f>
        <v/>
      </c>
      <c r="BJ455" s="71" t="str">
        <f>IF(AND($AS455=1,$AJ455=1),$BA455*100000+ROW(),"")</f>
        <v/>
      </c>
      <c r="BK455" s="71" t="str">
        <f>IF(AND($AY455=1,$AJ455=1),$BA455*100000+ROW(),"")</f>
        <v/>
      </c>
      <c r="BL455" s="71" t="str">
        <f>IF(AND($AZ455=1),$BA455*100000+ROW(),"")</f>
        <v/>
      </c>
    </row>
    <row r="456">
      <c r="A456" s="63" t="n"/>
      <c r="B456" s="64" t="n"/>
      <c r="C456" s="64" t="n"/>
      <c r="D456" s="64" t="n"/>
      <c r="E456" s="64" t="n"/>
      <c r="F456" s="64" t="n"/>
      <c r="G456" s="65" t="n"/>
      <c r="H456" s="65" t="n"/>
      <c r="I456" s="64" t="n"/>
      <c r="J456" s="64" t="n"/>
      <c r="K456" s="63" t="n"/>
      <c r="L456" s="63" t="n"/>
      <c r="M456" s="64" t="n"/>
      <c r="N456" s="66" t="n"/>
      <c r="O456" s="65" t="n"/>
      <c r="P456" s="64" t="n"/>
      <c r="Q456" s="67" t="n"/>
      <c r="R456" s="67" t="n"/>
      <c r="S456" s="68" t="str">
        <f>IF(AND(ISNUMBER($Q456),ISNUMBER($R456)),$Q456-$R456,"")</f>
        <v/>
      </c>
      <c r="T456" s="65" t="n"/>
      <c r="U456" s="64" t="n"/>
      <c r="V456" s="65" t="n"/>
      <c r="W456" s="63" t="n"/>
      <c r="X456" s="65" t="n"/>
      <c r="Y456" s="63" t="n"/>
      <c r="Z456" s="64" t="n"/>
      <c r="AA456" s="64" t="n"/>
      <c r="AB456" s="65" t="n"/>
      <c r="AC456" s="69" t="str">
        <f>IF(OR($G456="",NOT(ISNUMBER($K456)),$AK456=0),"",MAX(0,ReportDate-$K456))</f>
        <v/>
      </c>
      <c r="AD456" s="69" t="str">
        <f>IF($G456="","",IF($AL456=1,ReportDate-$L456,0))</f>
        <v/>
      </c>
      <c r="AE456" s="70" t="str">
        <f>IF($G456="","",IF($M456="Completed",1,IF(ISNUMBER($N456),$N456,0)))</f>
        <v/>
      </c>
      <c r="AF456" s="70" t="str">
        <f>IF(AND(ISNUMBER($Q456),ISNUMBER($R456)),IF($R456&lt;&gt;0,$Q456/$R456,""),"")</f>
        <v/>
      </c>
      <c r="AG456" s="71" t="str">
        <f>IF($G456="","",IF($AL456=1,"OVERDUE",IF($AM456=1,"BLOCKED",IF($AN456=1,"DUE TODAY",IF($AO456=1,"DUE TOMORROW",IF($AQ456=1,"HIGH PRIORITY",IF($AR456=1,"NO RECENT UPDATE",""))))))) </f>
        <v/>
      </c>
      <c r="AH456" s="71" t="str">
        <f>IF($G456="","",IF(ISNUMBER($A456),IF(ISNUMBER($A456),YEAR($A456)&amp;"-"&amp;TEXT(MONTH($A456),"00"),""),IF(ISNUMBER($L456),IF(ISNUMBER($L456),YEAR($L456)&amp;"-"&amp;TEXT(MONTH($L456),"00"),""),"")))</f>
        <v/>
      </c>
      <c r="AI456" s="71">
        <f>IF($G456="",0,IF(AND(OR(fClient="All",$C456=fClient),OR(fCampaign="All",$D456=fCampaign),OR(fTeam="All",$B456=fTeam),OR(fChannel="All",$F456=fChannel),OR(fMonth="All",$AH456=fMonth),OR(fTStatus="All",$M456=fTStatus)),1,0))</f>
        <v>0</v>
      </c>
      <c r="AJ456" s="71">
        <f>IF($G456="",0,IF(AND(OR(fClient="All",$C456=fClient),OR(fCampaign="All",$D456=fCampaign),OR(fTeam="All",$B456=fTeam),OR(fChannel="All",$F456=fChannel)),1,0))</f>
        <v>0</v>
      </c>
      <c r="AK456" s="71">
        <f>IF($G456="",0,IF(OR($M456="Completed",$M456="Cancelled"),0,1))</f>
        <v>0</v>
      </c>
      <c r="AL456" s="71">
        <f>IF(AND($AK456=1,ISNUMBER($L456)),IF($L456&lt;ReportDate,1,0),0)</f>
        <v>0</v>
      </c>
      <c r="AM456" s="71">
        <f>IF(AND($G456&lt;&gt;"",$M456="Blocked"),1,0)</f>
        <v>0</v>
      </c>
      <c r="AN456" s="71">
        <f>IF(AND($AK456=1,ISNUMBER($L456)),IF($L456=ReportDate,1,0),0)</f>
        <v>0</v>
      </c>
      <c r="AO456" s="71">
        <f>IF(AND($AK456=1,ISNUMBER($L456)),IF($L456=ReportDate+1,1,0),0)</f>
        <v>0</v>
      </c>
      <c r="AP456" s="71">
        <f>IF(AND($AK456=1,ISNUMBER($L456)),IF(AND($L456&gt;=ReportDate,$L456&lt;=ReportDate+DueSoonDays),1,0),0)</f>
        <v>0</v>
      </c>
      <c r="AQ456" s="71">
        <f>IF(AND($AK456=1,OR($I456="Critical",$I456="High")),1,0)</f>
        <v>0</v>
      </c>
      <c r="AR456" s="71">
        <f>IF($AK456=1,IF(ISNUMBER($Y456),IF(ReportDate-$Y456&gt;StaleDays,1,0),1),0)</f>
        <v>0</v>
      </c>
      <c r="AS456" s="71">
        <f>IF(AND($G456&lt;&gt;"",ISNUMBER($Q456),ISNUMBER($R456)),IF(AND($Q456&lt;$R456,OR($M456="Completed",AND(ISNUMBER($L456),$L456&lt;ReportDate))),1,0),0)</f>
        <v>0</v>
      </c>
      <c r="AT456" s="71">
        <f>IF($AK456=1,IF(OR($L456=ReportDate,$W456=ReportDate,$K456=ReportDate,$A456=ReportDate),1,0),0)</f>
        <v>0</v>
      </c>
      <c r="AU456" s="71">
        <f>IF($AK456=1,IF(OR($L456=ReportDate+1,$W456=ReportDate+1,$K456=ReportDate+1,$A456=ReportDate+1),1,0),0)</f>
        <v>0</v>
      </c>
      <c r="AV456" s="71">
        <f>IF(AND($G456&lt;&gt;"",$M456="Completed"),IF(OR($Y456=ReportDate-1,$A456=ReportDate-1),1,0),0)</f>
        <v>0</v>
      </c>
      <c r="AW456" s="71">
        <f>IF(AND($AK456=1,$Z456="Yes"),1,0)</f>
        <v>0</v>
      </c>
      <c r="AX456" s="71">
        <f>IF(AND($AK456=1,$AA456="Yes"),1,0)</f>
        <v>0</v>
      </c>
      <c r="AY456" s="71">
        <f>IF(AND($AM456=1,OR($I456="Critical",$I456="High")),1,0)</f>
        <v>0</v>
      </c>
      <c r="AZ456" s="71">
        <f>IF(AND($AK456=1,OR($C456=TCL_Client,$C456=MECCA_Client)),1,0)</f>
        <v>0</v>
      </c>
      <c r="BA456" s="71" t="str">
        <f>IF($G456="","",IFERROR(MATCH($I456,lst_Priority,0),5))</f>
        <v/>
      </c>
      <c r="BB456" s="71" t="str">
        <f>IF(AND($AL456=1,$AJ456=1),$BA456*100000+ROW(),"")</f>
        <v/>
      </c>
      <c r="BC456" s="71" t="str">
        <f>IF(AND($AM456=1,$AJ456=1),$BA456*100000+ROW(),"")</f>
        <v/>
      </c>
      <c r="BD456" s="71" t="str">
        <f>IF(AND($AP456=1,$AJ456=1),$BA456*100000+ROW(),"")</f>
        <v/>
      </c>
      <c r="BE456" s="71" t="str">
        <f>IF(AND($AT456=1,$AJ456=1),$BA456*100000+ROW(),"")</f>
        <v/>
      </c>
      <c r="BF456" s="71" t="str">
        <f>IF(AND($AU456=1,$AJ456=1),$BA456*100000+ROW(),"")</f>
        <v/>
      </c>
      <c r="BG456" s="71" t="str">
        <f>IF(AND($AV456=1,$AJ456=1),$BA456*100000+ROW(),"")</f>
        <v/>
      </c>
      <c r="BH456" s="71" t="str">
        <f>IF(AND($AW456=1,$AJ456=1),$BA456*100000+ROW(),"")</f>
        <v/>
      </c>
      <c r="BI456" s="71" t="str">
        <f>IF(AND($AX456=1,$AJ456=1),$BA456*100000+ROW(),"")</f>
        <v/>
      </c>
      <c r="BJ456" s="71" t="str">
        <f>IF(AND($AS456=1,$AJ456=1),$BA456*100000+ROW(),"")</f>
        <v/>
      </c>
      <c r="BK456" s="71" t="str">
        <f>IF(AND($AY456=1,$AJ456=1),$BA456*100000+ROW(),"")</f>
        <v/>
      </c>
      <c r="BL456" s="71" t="str">
        <f>IF(AND($AZ456=1),$BA456*100000+ROW(),"")</f>
        <v/>
      </c>
    </row>
    <row r="457">
      <c r="A457" s="63" t="n"/>
      <c r="B457" s="64" t="n"/>
      <c r="C457" s="64" t="n"/>
      <c r="D457" s="64" t="n"/>
      <c r="E457" s="64" t="n"/>
      <c r="F457" s="64" t="n"/>
      <c r="G457" s="65" t="n"/>
      <c r="H457" s="65" t="n"/>
      <c r="I457" s="64" t="n"/>
      <c r="J457" s="64" t="n"/>
      <c r="K457" s="63" t="n"/>
      <c r="L457" s="63" t="n"/>
      <c r="M457" s="64" t="n"/>
      <c r="N457" s="66" t="n"/>
      <c r="O457" s="65" t="n"/>
      <c r="P457" s="64" t="n"/>
      <c r="Q457" s="67" t="n"/>
      <c r="R457" s="67" t="n"/>
      <c r="S457" s="68" t="str">
        <f>IF(AND(ISNUMBER($Q457),ISNUMBER($R457)),$Q457-$R457,"")</f>
        <v/>
      </c>
      <c r="T457" s="65" t="n"/>
      <c r="U457" s="64" t="n"/>
      <c r="V457" s="65" t="n"/>
      <c r="W457" s="63" t="n"/>
      <c r="X457" s="65" t="n"/>
      <c r="Y457" s="63" t="n"/>
      <c r="Z457" s="64" t="n"/>
      <c r="AA457" s="64" t="n"/>
      <c r="AB457" s="65" t="n"/>
      <c r="AC457" s="69" t="str">
        <f>IF(OR($G457="",NOT(ISNUMBER($K457)),$AK457=0),"",MAX(0,ReportDate-$K457))</f>
        <v/>
      </c>
      <c r="AD457" s="69" t="str">
        <f>IF($G457="","",IF($AL457=1,ReportDate-$L457,0))</f>
        <v/>
      </c>
      <c r="AE457" s="70" t="str">
        <f>IF($G457="","",IF($M457="Completed",1,IF(ISNUMBER($N457),$N457,0)))</f>
        <v/>
      </c>
      <c r="AF457" s="70" t="str">
        <f>IF(AND(ISNUMBER($Q457),ISNUMBER($R457)),IF($R457&lt;&gt;0,$Q457/$R457,""),"")</f>
        <v/>
      </c>
      <c r="AG457" s="71" t="str">
        <f>IF($G457="","",IF($AL457=1,"OVERDUE",IF($AM457=1,"BLOCKED",IF($AN457=1,"DUE TODAY",IF($AO457=1,"DUE TOMORROW",IF($AQ457=1,"HIGH PRIORITY",IF($AR457=1,"NO RECENT UPDATE",""))))))) </f>
        <v/>
      </c>
      <c r="AH457" s="71" t="str">
        <f>IF($G457="","",IF(ISNUMBER($A457),IF(ISNUMBER($A457),YEAR($A457)&amp;"-"&amp;TEXT(MONTH($A457),"00"),""),IF(ISNUMBER($L457),IF(ISNUMBER($L457),YEAR($L457)&amp;"-"&amp;TEXT(MONTH($L457),"00"),""),"")))</f>
        <v/>
      </c>
      <c r="AI457" s="71">
        <f>IF($G457="",0,IF(AND(OR(fClient="All",$C457=fClient),OR(fCampaign="All",$D457=fCampaign),OR(fTeam="All",$B457=fTeam),OR(fChannel="All",$F457=fChannel),OR(fMonth="All",$AH457=fMonth),OR(fTStatus="All",$M457=fTStatus)),1,0))</f>
        <v>0</v>
      </c>
      <c r="AJ457" s="71">
        <f>IF($G457="",0,IF(AND(OR(fClient="All",$C457=fClient),OR(fCampaign="All",$D457=fCampaign),OR(fTeam="All",$B457=fTeam),OR(fChannel="All",$F457=fChannel)),1,0))</f>
        <v>0</v>
      </c>
      <c r="AK457" s="71">
        <f>IF($G457="",0,IF(OR($M457="Completed",$M457="Cancelled"),0,1))</f>
        <v>0</v>
      </c>
      <c r="AL457" s="71">
        <f>IF(AND($AK457=1,ISNUMBER($L457)),IF($L457&lt;ReportDate,1,0),0)</f>
        <v>0</v>
      </c>
      <c r="AM457" s="71">
        <f>IF(AND($G457&lt;&gt;"",$M457="Blocked"),1,0)</f>
        <v>0</v>
      </c>
      <c r="AN457" s="71">
        <f>IF(AND($AK457=1,ISNUMBER($L457)),IF($L457=ReportDate,1,0),0)</f>
        <v>0</v>
      </c>
      <c r="AO457" s="71">
        <f>IF(AND($AK457=1,ISNUMBER($L457)),IF($L457=ReportDate+1,1,0),0)</f>
        <v>0</v>
      </c>
      <c r="AP457" s="71">
        <f>IF(AND($AK457=1,ISNUMBER($L457)),IF(AND($L457&gt;=ReportDate,$L457&lt;=ReportDate+DueSoonDays),1,0),0)</f>
        <v>0</v>
      </c>
      <c r="AQ457" s="71">
        <f>IF(AND($AK457=1,OR($I457="Critical",$I457="High")),1,0)</f>
        <v>0</v>
      </c>
      <c r="AR457" s="71">
        <f>IF($AK457=1,IF(ISNUMBER($Y457),IF(ReportDate-$Y457&gt;StaleDays,1,0),1),0)</f>
        <v>0</v>
      </c>
      <c r="AS457" s="71">
        <f>IF(AND($G457&lt;&gt;"",ISNUMBER($Q457),ISNUMBER($R457)),IF(AND($Q457&lt;$R457,OR($M457="Completed",AND(ISNUMBER($L457),$L457&lt;ReportDate))),1,0),0)</f>
        <v>0</v>
      </c>
      <c r="AT457" s="71">
        <f>IF($AK457=1,IF(OR($L457=ReportDate,$W457=ReportDate,$K457=ReportDate,$A457=ReportDate),1,0),0)</f>
        <v>0</v>
      </c>
      <c r="AU457" s="71">
        <f>IF($AK457=1,IF(OR($L457=ReportDate+1,$W457=ReportDate+1,$K457=ReportDate+1,$A457=ReportDate+1),1,0),0)</f>
        <v>0</v>
      </c>
      <c r="AV457" s="71">
        <f>IF(AND($G457&lt;&gt;"",$M457="Completed"),IF(OR($Y457=ReportDate-1,$A457=ReportDate-1),1,0),0)</f>
        <v>0</v>
      </c>
      <c r="AW457" s="71">
        <f>IF(AND($AK457=1,$Z457="Yes"),1,0)</f>
        <v>0</v>
      </c>
      <c r="AX457" s="71">
        <f>IF(AND($AK457=1,$AA457="Yes"),1,0)</f>
        <v>0</v>
      </c>
      <c r="AY457" s="71">
        <f>IF(AND($AM457=1,OR($I457="Critical",$I457="High")),1,0)</f>
        <v>0</v>
      </c>
      <c r="AZ457" s="71">
        <f>IF(AND($AK457=1,OR($C457=TCL_Client,$C457=MECCA_Client)),1,0)</f>
        <v>0</v>
      </c>
      <c r="BA457" s="71" t="str">
        <f>IF($G457="","",IFERROR(MATCH($I457,lst_Priority,0),5))</f>
        <v/>
      </c>
      <c r="BB457" s="71" t="str">
        <f>IF(AND($AL457=1,$AJ457=1),$BA457*100000+ROW(),"")</f>
        <v/>
      </c>
      <c r="BC457" s="71" t="str">
        <f>IF(AND($AM457=1,$AJ457=1),$BA457*100000+ROW(),"")</f>
        <v/>
      </c>
      <c r="BD457" s="71" t="str">
        <f>IF(AND($AP457=1,$AJ457=1),$BA457*100000+ROW(),"")</f>
        <v/>
      </c>
      <c r="BE457" s="71" t="str">
        <f>IF(AND($AT457=1,$AJ457=1),$BA457*100000+ROW(),"")</f>
        <v/>
      </c>
      <c r="BF457" s="71" t="str">
        <f>IF(AND($AU457=1,$AJ457=1),$BA457*100000+ROW(),"")</f>
        <v/>
      </c>
      <c r="BG457" s="71" t="str">
        <f>IF(AND($AV457=1,$AJ457=1),$BA457*100000+ROW(),"")</f>
        <v/>
      </c>
      <c r="BH457" s="71" t="str">
        <f>IF(AND($AW457=1,$AJ457=1),$BA457*100000+ROW(),"")</f>
        <v/>
      </c>
      <c r="BI457" s="71" t="str">
        <f>IF(AND($AX457=1,$AJ457=1),$BA457*100000+ROW(),"")</f>
        <v/>
      </c>
      <c r="BJ457" s="71" t="str">
        <f>IF(AND($AS457=1,$AJ457=1),$BA457*100000+ROW(),"")</f>
        <v/>
      </c>
      <c r="BK457" s="71" t="str">
        <f>IF(AND($AY457=1,$AJ457=1),$BA457*100000+ROW(),"")</f>
        <v/>
      </c>
      <c r="BL457" s="71" t="str">
        <f>IF(AND($AZ457=1),$BA457*100000+ROW(),"")</f>
        <v/>
      </c>
    </row>
    <row r="458">
      <c r="A458" s="63" t="n"/>
      <c r="B458" s="64" t="n"/>
      <c r="C458" s="64" t="n"/>
      <c r="D458" s="64" t="n"/>
      <c r="E458" s="64" t="n"/>
      <c r="F458" s="64" t="n"/>
      <c r="G458" s="65" t="n"/>
      <c r="H458" s="65" t="n"/>
      <c r="I458" s="64" t="n"/>
      <c r="J458" s="64" t="n"/>
      <c r="K458" s="63" t="n"/>
      <c r="L458" s="63" t="n"/>
      <c r="M458" s="64" t="n"/>
      <c r="N458" s="66" t="n"/>
      <c r="O458" s="65" t="n"/>
      <c r="P458" s="64" t="n"/>
      <c r="Q458" s="67" t="n"/>
      <c r="R458" s="67" t="n"/>
      <c r="S458" s="68" t="str">
        <f>IF(AND(ISNUMBER($Q458),ISNUMBER($R458)),$Q458-$R458,"")</f>
        <v/>
      </c>
      <c r="T458" s="65" t="n"/>
      <c r="U458" s="64" t="n"/>
      <c r="V458" s="65" t="n"/>
      <c r="W458" s="63" t="n"/>
      <c r="X458" s="65" t="n"/>
      <c r="Y458" s="63" t="n"/>
      <c r="Z458" s="64" t="n"/>
      <c r="AA458" s="64" t="n"/>
      <c r="AB458" s="65" t="n"/>
      <c r="AC458" s="69" t="str">
        <f>IF(OR($G458="",NOT(ISNUMBER($K458)),$AK458=0),"",MAX(0,ReportDate-$K458))</f>
        <v/>
      </c>
      <c r="AD458" s="69" t="str">
        <f>IF($G458="","",IF($AL458=1,ReportDate-$L458,0))</f>
        <v/>
      </c>
      <c r="AE458" s="70" t="str">
        <f>IF($G458="","",IF($M458="Completed",1,IF(ISNUMBER($N458),$N458,0)))</f>
        <v/>
      </c>
      <c r="AF458" s="70" t="str">
        <f>IF(AND(ISNUMBER($Q458),ISNUMBER($R458)),IF($R458&lt;&gt;0,$Q458/$R458,""),"")</f>
        <v/>
      </c>
      <c r="AG458" s="71" t="str">
        <f>IF($G458="","",IF($AL458=1,"OVERDUE",IF($AM458=1,"BLOCKED",IF($AN458=1,"DUE TODAY",IF($AO458=1,"DUE TOMORROW",IF($AQ458=1,"HIGH PRIORITY",IF($AR458=1,"NO RECENT UPDATE",""))))))) </f>
        <v/>
      </c>
      <c r="AH458" s="71" t="str">
        <f>IF($G458="","",IF(ISNUMBER($A458),IF(ISNUMBER($A458),YEAR($A458)&amp;"-"&amp;TEXT(MONTH($A458),"00"),""),IF(ISNUMBER($L458),IF(ISNUMBER($L458),YEAR($L458)&amp;"-"&amp;TEXT(MONTH($L458),"00"),""),"")))</f>
        <v/>
      </c>
      <c r="AI458" s="71">
        <f>IF($G458="",0,IF(AND(OR(fClient="All",$C458=fClient),OR(fCampaign="All",$D458=fCampaign),OR(fTeam="All",$B458=fTeam),OR(fChannel="All",$F458=fChannel),OR(fMonth="All",$AH458=fMonth),OR(fTStatus="All",$M458=fTStatus)),1,0))</f>
        <v>0</v>
      </c>
      <c r="AJ458" s="71">
        <f>IF($G458="",0,IF(AND(OR(fClient="All",$C458=fClient),OR(fCampaign="All",$D458=fCampaign),OR(fTeam="All",$B458=fTeam),OR(fChannel="All",$F458=fChannel)),1,0))</f>
        <v>0</v>
      </c>
      <c r="AK458" s="71">
        <f>IF($G458="",0,IF(OR($M458="Completed",$M458="Cancelled"),0,1))</f>
        <v>0</v>
      </c>
      <c r="AL458" s="71">
        <f>IF(AND($AK458=1,ISNUMBER($L458)),IF($L458&lt;ReportDate,1,0),0)</f>
        <v>0</v>
      </c>
      <c r="AM458" s="71">
        <f>IF(AND($G458&lt;&gt;"",$M458="Blocked"),1,0)</f>
        <v>0</v>
      </c>
      <c r="AN458" s="71">
        <f>IF(AND($AK458=1,ISNUMBER($L458)),IF($L458=ReportDate,1,0),0)</f>
        <v>0</v>
      </c>
      <c r="AO458" s="71">
        <f>IF(AND($AK458=1,ISNUMBER($L458)),IF($L458=ReportDate+1,1,0),0)</f>
        <v>0</v>
      </c>
      <c r="AP458" s="71">
        <f>IF(AND($AK458=1,ISNUMBER($L458)),IF(AND($L458&gt;=ReportDate,$L458&lt;=ReportDate+DueSoonDays),1,0),0)</f>
        <v>0</v>
      </c>
      <c r="AQ458" s="71">
        <f>IF(AND($AK458=1,OR($I458="Critical",$I458="High")),1,0)</f>
        <v>0</v>
      </c>
      <c r="AR458" s="71">
        <f>IF($AK458=1,IF(ISNUMBER($Y458),IF(ReportDate-$Y458&gt;StaleDays,1,0),1),0)</f>
        <v>0</v>
      </c>
      <c r="AS458" s="71">
        <f>IF(AND($G458&lt;&gt;"",ISNUMBER($Q458),ISNUMBER($R458)),IF(AND($Q458&lt;$R458,OR($M458="Completed",AND(ISNUMBER($L458),$L458&lt;ReportDate))),1,0),0)</f>
        <v>0</v>
      </c>
      <c r="AT458" s="71">
        <f>IF($AK458=1,IF(OR($L458=ReportDate,$W458=ReportDate,$K458=ReportDate,$A458=ReportDate),1,0),0)</f>
        <v>0</v>
      </c>
      <c r="AU458" s="71">
        <f>IF($AK458=1,IF(OR($L458=ReportDate+1,$W458=ReportDate+1,$K458=ReportDate+1,$A458=ReportDate+1),1,0),0)</f>
        <v>0</v>
      </c>
      <c r="AV458" s="71">
        <f>IF(AND($G458&lt;&gt;"",$M458="Completed"),IF(OR($Y458=ReportDate-1,$A458=ReportDate-1),1,0),0)</f>
        <v>0</v>
      </c>
      <c r="AW458" s="71">
        <f>IF(AND($AK458=1,$Z458="Yes"),1,0)</f>
        <v>0</v>
      </c>
      <c r="AX458" s="71">
        <f>IF(AND($AK458=1,$AA458="Yes"),1,0)</f>
        <v>0</v>
      </c>
      <c r="AY458" s="71">
        <f>IF(AND($AM458=1,OR($I458="Critical",$I458="High")),1,0)</f>
        <v>0</v>
      </c>
      <c r="AZ458" s="71">
        <f>IF(AND($AK458=1,OR($C458=TCL_Client,$C458=MECCA_Client)),1,0)</f>
        <v>0</v>
      </c>
      <c r="BA458" s="71" t="str">
        <f>IF($G458="","",IFERROR(MATCH($I458,lst_Priority,0),5))</f>
        <v/>
      </c>
      <c r="BB458" s="71" t="str">
        <f>IF(AND($AL458=1,$AJ458=1),$BA458*100000+ROW(),"")</f>
        <v/>
      </c>
      <c r="BC458" s="71" t="str">
        <f>IF(AND($AM458=1,$AJ458=1),$BA458*100000+ROW(),"")</f>
        <v/>
      </c>
      <c r="BD458" s="71" t="str">
        <f>IF(AND($AP458=1,$AJ458=1),$BA458*100000+ROW(),"")</f>
        <v/>
      </c>
      <c r="BE458" s="71" t="str">
        <f>IF(AND($AT458=1,$AJ458=1),$BA458*100000+ROW(),"")</f>
        <v/>
      </c>
      <c r="BF458" s="71" t="str">
        <f>IF(AND($AU458=1,$AJ458=1),$BA458*100000+ROW(),"")</f>
        <v/>
      </c>
      <c r="BG458" s="71" t="str">
        <f>IF(AND($AV458=1,$AJ458=1),$BA458*100000+ROW(),"")</f>
        <v/>
      </c>
      <c r="BH458" s="71" t="str">
        <f>IF(AND($AW458=1,$AJ458=1),$BA458*100000+ROW(),"")</f>
        <v/>
      </c>
      <c r="BI458" s="71" t="str">
        <f>IF(AND($AX458=1,$AJ458=1),$BA458*100000+ROW(),"")</f>
        <v/>
      </c>
      <c r="BJ458" s="71" t="str">
        <f>IF(AND($AS458=1,$AJ458=1),$BA458*100000+ROW(),"")</f>
        <v/>
      </c>
      <c r="BK458" s="71" t="str">
        <f>IF(AND($AY458=1,$AJ458=1),$BA458*100000+ROW(),"")</f>
        <v/>
      </c>
      <c r="BL458" s="71" t="str">
        <f>IF(AND($AZ458=1),$BA458*100000+ROW(),"")</f>
        <v/>
      </c>
    </row>
    <row r="459">
      <c r="A459" s="63" t="n"/>
      <c r="B459" s="64" t="n"/>
      <c r="C459" s="64" t="n"/>
      <c r="D459" s="64" t="n"/>
      <c r="E459" s="64" t="n"/>
      <c r="F459" s="64" t="n"/>
      <c r="G459" s="65" t="n"/>
      <c r="H459" s="65" t="n"/>
      <c r="I459" s="64" t="n"/>
      <c r="J459" s="64" t="n"/>
      <c r="K459" s="63" t="n"/>
      <c r="L459" s="63" t="n"/>
      <c r="M459" s="64" t="n"/>
      <c r="N459" s="66" t="n"/>
      <c r="O459" s="65" t="n"/>
      <c r="P459" s="64" t="n"/>
      <c r="Q459" s="67" t="n"/>
      <c r="R459" s="67" t="n"/>
      <c r="S459" s="68" t="str">
        <f>IF(AND(ISNUMBER($Q459),ISNUMBER($R459)),$Q459-$R459,"")</f>
        <v/>
      </c>
      <c r="T459" s="65" t="n"/>
      <c r="U459" s="64" t="n"/>
      <c r="V459" s="65" t="n"/>
      <c r="W459" s="63" t="n"/>
      <c r="X459" s="65" t="n"/>
      <c r="Y459" s="63" t="n"/>
      <c r="Z459" s="64" t="n"/>
      <c r="AA459" s="64" t="n"/>
      <c r="AB459" s="65" t="n"/>
      <c r="AC459" s="69" t="str">
        <f>IF(OR($G459="",NOT(ISNUMBER($K459)),$AK459=0),"",MAX(0,ReportDate-$K459))</f>
        <v/>
      </c>
      <c r="AD459" s="69" t="str">
        <f>IF($G459="","",IF($AL459=1,ReportDate-$L459,0))</f>
        <v/>
      </c>
      <c r="AE459" s="70" t="str">
        <f>IF($G459="","",IF($M459="Completed",1,IF(ISNUMBER($N459),$N459,0)))</f>
        <v/>
      </c>
      <c r="AF459" s="70" t="str">
        <f>IF(AND(ISNUMBER($Q459),ISNUMBER($R459)),IF($R459&lt;&gt;0,$Q459/$R459,""),"")</f>
        <v/>
      </c>
      <c r="AG459" s="71" t="str">
        <f>IF($G459="","",IF($AL459=1,"OVERDUE",IF($AM459=1,"BLOCKED",IF($AN459=1,"DUE TODAY",IF($AO459=1,"DUE TOMORROW",IF($AQ459=1,"HIGH PRIORITY",IF($AR459=1,"NO RECENT UPDATE",""))))))) </f>
        <v/>
      </c>
      <c r="AH459" s="71" t="str">
        <f>IF($G459="","",IF(ISNUMBER($A459),IF(ISNUMBER($A459),YEAR($A459)&amp;"-"&amp;TEXT(MONTH($A459),"00"),""),IF(ISNUMBER($L459),IF(ISNUMBER($L459),YEAR($L459)&amp;"-"&amp;TEXT(MONTH($L459),"00"),""),"")))</f>
        <v/>
      </c>
      <c r="AI459" s="71">
        <f>IF($G459="",0,IF(AND(OR(fClient="All",$C459=fClient),OR(fCampaign="All",$D459=fCampaign),OR(fTeam="All",$B459=fTeam),OR(fChannel="All",$F459=fChannel),OR(fMonth="All",$AH459=fMonth),OR(fTStatus="All",$M459=fTStatus)),1,0))</f>
        <v>0</v>
      </c>
      <c r="AJ459" s="71">
        <f>IF($G459="",0,IF(AND(OR(fClient="All",$C459=fClient),OR(fCampaign="All",$D459=fCampaign),OR(fTeam="All",$B459=fTeam),OR(fChannel="All",$F459=fChannel)),1,0))</f>
        <v>0</v>
      </c>
      <c r="AK459" s="71">
        <f>IF($G459="",0,IF(OR($M459="Completed",$M459="Cancelled"),0,1))</f>
        <v>0</v>
      </c>
      <c r="AL459" s="71">
        <f>IF(AND($AK459=1,ISNUMBER($L459)),IF($L459&lt;ReportDate,1,0),0)</f>
        <v>0</v>
      </c>
      <c r="AM459" s="71">
        <f>IF(AND($G459&lt;&gt;"",$M459="Blocked"),1,0)</f>
        <v>0</v>
      </c>
      <c r="AN459" s="71">
        <f>IF(AND($AK459=1,ISNUMBER($L459)),IF($L459=ReportDate,1,0),0)</f>
        <v>0</v>
      </c>
      <c r="AO459" s="71">
        <f>IF(AND($AK459=1,ISNUMBER($L459)),IF($L459=ReportDate+1,1,0),0)</f>
        <v>0</v>
      </c>
      <c r="AP459" s="71">
        <f>IF(AND($AK459=1,ISNUMBER($L459)),IF(AND($L459&gt;=ReportDate,$L459&lt;=ReportDate+DueSoonDays),1,0),0)</f>
        <v>0</v>
      </c>
      <c r="AQ459" s="71">
        <f>IF(AND($AK459=1,OR($I459="Critical",$I459="High")),1,0)</f>
        <v>0</v>
      </c>
      <c r="AR459" s="71">
        <f>IF($AK459=1,IF(ISNUMBER($Y459),IF(ReportDate-$Y459&gt;StaleDays,1,0),1),0)</f>
        <v>0</v>
      </c>
      <c r="AS459" s="71">
        <f>IF(AND($G459&lt;&gt;"",ISNUMBER($Q459),ISNUMBER($R459)),IF(AND($Q459&lt;$R459,OR($M459="Completed",AND(ISNUMBER($L459),$L459&lt;ReportDate))),1,0),0)</f>
        <v>0</v>
      </c>
      <c r="AT459" s="71">
        <f>IF($AK459=1,IF(OR($L459=ReportDate,$W459=ReportDate,$K459=ReportDate,$A459=ReportDate),1,0),0)</f>
        <v>0</v>
      </c>
      <c r="AU459" s="71">
        <f>IF($AK459=1,IF(OR($L459=ReportDate+1,$W459=ReportDate+1,$K459=ReportDate+1,$A459=ReportDate+1),1,0),0)</f>
        <v>0</v>
      </c>
      <c r="AV459" s="71">
        <f>IF(AND($G459&lt;&gt;"",$M459="Completed"),IF(OR($Y459=ReportDate-1,$A459=ReportDate-1),1,0),0)</f>
        <v>0</v>
      </c>
      <c r="AW459" s="71">
        <f>IF(AND($AK459=1,$Z459="Yes"),1,0)</f>
        <v>0</v>
      </c>
      <c r="AX459" s="71">
        <f>IF(AND($AK459=1,$AA459="Yes"),1,0)</f>
        <v>0</v>
      </c>
      <c r="AY459" s="71">
        <f>IF(AND($AM459=1,OR($I459="Critical",$I459="High")),1,0)</f>
        <v>0</v>
      </c>
      <c r="AZ459" s="71">
        <f>IF(AND($AK459=1,OR($C459=TCL_Client,$C459=MECCA_Client)),1,0)</f>
        <v>0</v>
      </c>
      <c r="BA459" s="71" t="str">
        <f>IF($G459="","",IFERROR(MATCH($I459,lst_Priority,0),5))</f>
        <v/>
      </c>
      <c r="BB459" s="71" t="str">
        <f>IF(AND($AL459=1,$AJ459=1),$BA459*100000+ROW(),"")</f>
        <v/>
      </c>
      <c r="BC459" s="71" t="str">
        <f>IF(AND($AM459=1,$AJ459=1),$BA459*100000+ROW(),"")</f>
        <v/>
      </c>
      <c r="BD459" s="71" t="str">
        <f>IF(AND($AP459=1,$AJ459=1),$BA459*100000+ROW(),"")</f>
        <v/>
      </c>
      <c r="BE459" s="71" t="str">
        <f>IF(AND($AT459=1,$AJ459=1),$BA459*100000+ROW(),"")</f>
        <v/>
      </c>
      <c r="BF459" s="71" t="str">
        <f>IF(AND($AU459=1,$AJ459=1),$BA459*100000+ROW(),"")</f>
        <v/>
      </c>
      <c r="BG459" s="71" t="str">
        <f>IF(AND($AV459=1,$AJ459=1),$BA459*100000+ROW(),"")</f>
        <v/>
      </c>
      <c r="BH459" s="71" t="str">
        <f>IF(AND($AW459=1,$AJ459=1),$BA459*100000+ROW(),"")</f>
        <v/>
      </c>
      <c r="BI459" s="71" t="str">
        <f>IF(AND($AX459=1,$AJ459=1),$BA459*100000+ROW(),"")</f>
        <v/>
      </c>
      <c r="BJ459" s="71" t="str">
        <f>IF(AND($AS459=1,$AJ459=1),$BA459*100000+ROW(),"")</f>
        <v/>
      </c>
      <c r="BK459" s="71" t="str">
        <f>IF(AND($AY459=1,$AJ459=1),$BA459*100000+ROW(),"")</f>
        <v/>
      </c>
      <c r="BL459" s="71" t="str">
        <f>IF(AND($AZ459=1),$BA459*100000+ROW(),"")</f>
        <v/>
      </c>
    </row>
    <row r="460">
      <c r="A460" s="63" t="n"/>
      <c r="B460" s="64" t="n"/>
      <c r="C460" s="64" t="n"/>
      <c r="D460" s="64" t="n"/>
      <c r="E460" s="64" t="n"/>
      <c r="F460" s="64" t="n"/>
      <c r="G460" s="65" t="n"/>
      <c r="H460" s="65" t="n"/>
      <c r="I460" s="64" t="n"/>
      <c r="J460" s="64" t="n"/>
      <c r="K460" s="63" t="n"/>
      <c r="L460" s="63" t="n"/>
      <c r="M460" s="64" t="n"/>
      <c r="N460" s="66" t="n"/>
      <c r="O460" s="65" t="n"/>
      <c r="P460" s="64" t="n"/>
      <c r="Q460" s="67" t="n"/>
      <c r="R460" s="67" t="n"/>
      <c r="S460" s="68" t="str">
        <f>IF(AND(ISNUMBER($Q460),ISNUMBER($R460)),$Q460-$R460,"")</f>
        <v/>
      </c>
      <c r="T460" s="65" t="n"/>
      <c r="U460" s="64" t="n"/>
      <c r="V460" s="65" t="n"/>
      <c r="W460" s="63" t="n"/>
      <c r="X460" s="65" t="n"/>
      <c r="Y460" s="63" t="n"/>
      <c r="Z460" s="64" t="n"/>
      <c r="AA460" s="64" t="n"/>
      <c r="AB460" s="65" t="n"/>
      <c r="AC460" s="69" t="str">
        <f>IF(OR($G460="",NOT(ISNUMBER($K460)),$AK460=0),"",MAX(0,ReportDate-$K460))</f>
        <v/>
      </c>
      <c r="AD460" s="69" t="str">
        <f>IF($G460="","",IF($AL460=1,ReportDate-$L460,0))</f>
        <v/>
      </c>
      <c r="AE460" s="70" t="str">
        <f>IF($G460="","",IF($M460="Completed",1,IF(ISNUMBER($N460),$N460,0)))</f>
        <v/>
      </c>
      <c r="AF460" s="70" t="str">
        <f>IF(AND(ISNUMBER($Q460),ISNUMBER($R460)),IF($R460&lt;&gt;0,$Q460/$R460,""),"")</f>
        <v/>
      </c>
      <c r="AG460" s="71" t="str">
        <f>IF($G460="","",IF($AL460=1,"OVERDUE",IF($AM460=1,"BLOCKED",IF($AN460=1,"DUE TODAY",IF($AO460=1,"DUE TOMORROW",IF($AQ460=1,"HIGH PRIORITY",IF($AR460=1,"NO RECENT UPDATE",""))))))) </f>
        <v/>
      </c>
      <c r="AH460" s="71" t="str">
        <f>IF($G460="","",IF(ISNUMBER($A460),IF(ISNUMBER($A460),YEAR($A460)&amp;"-"&amp;TEXT(MONTH($A460),"00"),""),IF(ISNUMBER($L460),IF(ISNUMBER($L460),YEAR($L460)&amp;"-"&amp;TEXT(MONTH($L460),"00"),""),"")))</f>
        <v/>
      </c>
      <c r="AI460" s="71">
        <f>IF($G460="",0,IF(AND(OR(fClient="All",$C460=fClient),OR(fCampaign="All",$D460=fCampaign),OR(fTeam="All",$B460=fTeam),OR(fChannel="All",$F460=fChannel),OR(fMonth="All",$AH460=fMonth),OR(fTStatus="All",$M460=fTStatus)),1,0))</f>
        <v>0</v>
      </c>
      <c r="AJ460" s="71">
        <f>IF($G460="",0,IF(AND(OR(fClient="All",$C460=fClient),OR(fCampaign="All",$D460=fCampaign),OR(fTeam="All",$B460=fTeam),OR(fChannel="All",$F460=fChannel)),1,0))</f>
        <v>0</v>
      </c>
      <c r="AK460" s="71">
        <f>IF($G460="",0,IF(OR($M460="Completed",$M460="Cancelled"),0,1))</f>
        <v>0</v>
      </c>
      <c r="AL460" s="71">
        <f>IF(AND($AK460=1,ISNUMBER($L460)),IF($L460&lt;ReportDate,1,0),0)</f>
        <v>0</v>
      </c>
      <c r="AM460" s="71">
        <f>IF(AND($G460&lt;&gt;"",$M460="Blocked"),1,0)</f>
        <v>0</v>
      </c>
      <c r="AN460" s="71">
        <f>IF(AND($AK460=1,ISNUMBER($L460)),IF($L460=ReportDate,1,0),0)</f>
        <v>0</v>
      </c>
      <c r="AO460" s="71">
        <f>IF(AND($AK460=1,ISNUMBER($L460)),IF($L460=ReportDate+1,1,0),0)</f>
        <v>0</v>
      </c>
      <c r="AP460" s="71">
        <f>IF(AND($AK460=1,ISNUMBER($L460)),IF(AND($L460&gt;=ReportDate,$L460&lt;=ReportDate+DueSoonDays),1,0),0)</f>
        <v>0</v>
      </c>
      <c r="AQ460" s="71">
        <f>IF(AND($AK460=1,OR($I460="Critical",$I460="High")),1,0)</f>
        <v>0</v>
      </c>
      <c r="AR460" s="71">
        <f>IF($AK460=1,IF(ISNUMBER($Y460),IF(ReportDate-$Y460&gt;StaleDays,1,0),1),0)</f>
        <v>0</v>
      </c>
      <c r="AS460" s="71">
        <f>IF(AND($G460&lt;&gt;"",ISNUMBER($Q460),ISNUMBER($R460)),IF(AND($Q460&lt;$R460,OR($M460="Completed",AND(ISNUMBER($L460),$L460&lt;ReportDate))),1,0),0)</f>
        <v>0</v>
      </c>
      <c r="AT460" s="71">
        <f>IF($AK460=1,IF(OR($L460=ReportDate,$W460=ReportDate,$K460=ReportDate,$A460=ReportDate),1,0),0)</f>
        <v>0</v>
      </c>
      <c r="AU460" s="71">
        <f>IF($AK460=1,IF(OR($L460=ReportDate+1,$W460=ReportDate+1,$K460=ReportDate+1,$A460=ReportDate+1),1,0),0)</f>
        <v>0</v>
      </c>
      <c r="AV460" s="71">
        <f>IF(AND($G460&lt;&gt;"",$M460="Completed"),IF(OR($Y460=ReportDate-1,$A460=ReportDate-1),1,0),0)</f>
        <v>0</v>
      </c>
      <c r="AW460" s="71">
        <f>IF(AND($AK460=1,$Z460="Yes"),1,0)</f>
        <v>0</v>
      </c>
      <c r="AX460" s="71">
        <f>IF(AND($AK460=1,$AA460="Yes"),1,0)</f>
        <v>0</v>
      </c>
      <c r="AY460" s="71">
        <f>IF(AND($AM460=1,OR($I460="Critical",$I460="High")),1,0)</f>
        <v>0</v>
      </c>
      <c r="AZ460" s="71">
        <f>IF(AND($AK460=1,OR($C460=TCL_Client,$C460=MECCA_Client)),1,0)</f>
        <v>0</v>
      </c>
      <c r="BA460" s="71" t="str">
        <f>IF($G460="","",IFERROR(MATCH($I460,lst_Priority,0),5))</f>
        <v/>
      </c>
      <c r="BB460" s="71" t="str">
        <f>IF(AND($AL460=1,$AJ460=1),$BA460*100000+ROW(),"")</f>
        <v/>
      </c>
      <c r="BC460" s="71" t="str">
        <f>IF(AND($AM460=1,$AJ460=1),$BA460*100000+ROW(),"")</f>
        <v/>
      </c>
      <c r="BD460" s="71" t="str">
        <f>IF(AND($AP460=1,$AJ460=1),$BA460*100000+ROW(),"")</f>
        <v/>
      </c>
      <c r="BE460" s="71" t="str">
        <f>IF(AND($AT460=1,$AJ460=1),$BA460*100000+ROW(),"")</f>
        <v/>
      </c>
      <c r="BF460" s="71" t="str">
        <f>IF(AND($AU460=1,$AJ460=1),$BA460*100000+ROW(),"")</f>
        <v/>
      </c>
      <c r="BG460" s="71" t="str">
        <f>IF(AND($AV460=1,$AJ460=1),$BA460*100000+ROW(),"")</f>
        <v/>
      </c>
      <c r="BH460" s="71" t="str">
        <f>IF(AND($AW460=1,$AJ460=1),$BA460*100000+ROW(),"")</f>
        <v/>
      </c>
      <c r="BI460" s="71" t="str">
        <f>IF(AND($AX460=1,$AJ460=1),$BA460*100000+ROW(),"")</f>
        <v/>
      </c>
      <c r="BJ460" s="71" t="str">
        <f>IF(AND($AS460=1,$AJ460=1),$BA460*100000+ROW(),"")</f>
        <v/>
      </c>
      <c r="BK460" s="71" t="str">
        <f>IF(AND($AY460=1,$AJ460=1),$BA460*100000+ROW(),"")</f>
        <v/>
      </c>
      <c r="BL460" s="71" t="str">
        <f>IF(AND($AZ460=1),$BA460*100000+ROW(),"")</f>
        <v/>
      </c>
    </row>
    <row r="461">
      <c r="A461" s="63" t="n"/>
      <c r="B461" s="64" t="n"/>
      <c r="C461" s="64" t="n"/>
      <c r="D461" s="64" t="n"/>
      <c r="E461" s="64" t="n"/>
      <c r="F461" s="64" t="n"/>
      <c r="G461" s="65" t="n"/>
      <c r="H461" s="65" t="n"/>
      <c r="I461" s="64" t="n"/>
      <c r="J461" s="64" t="n"/>
      <c r="K461" s="63" t="n"/>
      <c r="L461" s="63" t="n"/>
      <c r="M461" s="64" t="n"/>
      <c r="N461" s="66" t="n"/>
      <c r="O461" s="65" t="n"/>
      <c r="P461" s="64" t="n"/>
      <c r="Q461" s="67" t="n"/>
      <c r="R461" s="67" t="n"/>
      <c r="S461" s="68" t="str">
        <f>IF(AND(ISNUMBER($Q461),ISNUMBER($R461)),$Q461-$R461,"")</f>
        <v/>
      </c>
      <c r="T461" s="65" t="n"/>
      <c r="U461" s="64" t="n"/>
      <c r="V461" s="65" t="n"/>
      <c r="W461" s="63" t="n"/>
      <c r="X461" s="65" t="n"/>
      <c r="Y461" s="63" t="n"/>
      <c r="Z461" s="64" t="n"/>
      <c r="AA461" s="64" t="n"/>
      <c r="AB461" s="65" t="n"/>
      <c r="AC461" s="69" t="str">
        <f>IF(OR($G461="",NOT(ISNUMBER($K461)),$AK461=0),"",MAX(0,ReportDate-$K461))</f>
        <v/>
      </c>
      <c r="AD461" s="69" t="str">
        <f>IF($G461="","",IF($AL461=1,ReportDate-$L461,0))</f>
        <v/>
      </c>
      <c r="AE461" s="70" t="str">
        <f>IF($G461="","",IF($M461="Completed",1,IF(ISNUMBER($N461),$N461,0)))</f>
        <v/>
      </c>
      <c r="AF461" s="70" t="str">
        <f>IF(AND(ISNUMBER($Q461),ISNUMBER($R461)),IF($R461&lt;&gt;0,$Q461/$R461,""),"")</f>
        <v/>
      </c>
      <c r="AG461" s="71" t="str">
        <f>IF($G461="","",IF($AL461=1,"OVERDUE",IF($AM461=1,"BLOCKED",IF($AN461=1,"DUE TODAY",IF($AO461=1,"DUE TOMORROW",IF($AQ461=1,"HIGH PRIORITY",IF($AR461=1,"NO RECENT UPDATE",""))))))) </f>
        <v/>
      </c>
      <c r="AH461" s="71" t="str">
        <f>IF($G461="","",IF(ISNUMBER($A461),IF(ISNUMBER($A461),YEAR($A461)&amp;"-"&amp;TEXT(MONTH($A461),"00"),""),IF(ISNUMBER($L461),IF(ISNUMBER($L461),YEAR($L461)&amp;"-"&amp;TEXT(MONTH($L461),"00"),""),"")))</f>
        <v/>
      </c>
      <c r="AI461" s="71">
        <f>IF($G461="",0,IF(AND(OR(fClient="All",$C461=fClient),OR(fCampaign="All",$D461=fCampaign),OR(fTeam="All",$B461=fTeam),OR(fChannel="All",$F461=fChannel),OR(fMonth="All",$AH461=fMonth),OR(fTStatus="All",$M461=fTStatus)),1,0))</f>
        <v>0</v>
      </c>
      <c r="AJ461" s="71">
        <f>IF($G461="",0,IF(AND(OR(fClient="All",$C461=fClient),OR(fCampaign="All",$D461=fCampaign),OR(fTeam="All",$B461=fTeam),OR(fChannel="All",$F461=fChannel)),1,0))</f>
        <v>0</v>
      </c>
      <c r="AK461" s="71">
        <f>IF($G461="",0,IF(OR($M461="Completed",$M461="Cancelled"),0,1))</f>
        <v>0</v>
      </c>
      <c r="AL461" s="71">
        <f>IF(AND($AK461=1,ISNUMBER($L461)),IF($L461&lt;ReportDate,1,0),0)</f>
        <v>0</v>
      </c>
      <c r="AM461" s="71">
        <f>IF(AND($G461&lt;&gt;"",$M461="Blocked"),1,0)</f>
        <v>0</v>
      </c>
      <c r="AN461" s="71">
        <f>IF(AND($AK461=1,ISNUMBER($L461)),IF($L461=ReportDate,1,0),0)</f>
        <v>0</v>
      </c>
      <c r="AO461" s="71">
        <f>IF(AND($AK461=1,ISNUMBER($L461)),IF($L461=ReportDate+1,1,0),0)</f>
        <v>0</v>
      </c>
      <c r="AP461" s="71">
        <f>IF(AND($AK461=1,ISNUMBER($L461)),IF(AND($L461&gt;=ReportDate,$L461&lt;=ReportDate+DueSoonDays),1,0),0)</f>
        <v>0</v>
      </c>
      <c r="AQ461" s="71">
        <f>IF(AND($AK461=1,OR($I461="Critical",$I461="High")),1,0)</f>
        <v>0</v>
      </c>
      <c r="AR461" s="71">
        <f>IF($AK461=1,IF(ISNUMBER($Y461),IF(ReportDate-$Y461&gt;StaleDays,1,0),1),0)</f>
        <v>0</v>
      </c>
      <c r="AS461" s="71">
        <f>IF(AND($G461&lt;&gt;"",ISNUMBER($Q461),ISNUMBER($R461)),IF(AND($Q461&lt;$R461,OR($M461="Completed",AND(ISNUMBER($L461),$L461&lt;ReportDate))),1,0),0)</f>
        <v>0</v>
      </c>
      <c r="AT461" s="71">
        <f>IF($AK461=1,IF(OR($L461=ReportDate,$W461=ReportDate,$K461=ReportDate,$A461=ReportDate),1,0),0)</f>
        <v>0</v>
      </c>
      <c r="AU461" s="71">
        <f>IF($AK461=1,IF(OR($L461=ReportDate+1,$W461=ReportDate+1,$K461=ReportDate+1,$A461=ReportDate+1),1,0),0)</f>
        <v>0</v>
      </c>
      <c r="AV461" s="71">
        <f>IF(AND($G461&lt;&gt;"",$M461="Completed"),IF(OR($Y461=ReportDate-1,$A461=ReportDate-1),1,0),0)</f>
        <v>0</v>
      </c>
      <c r="AW461" s="71">
        <f>IF(AND($AK461=1,$Z461="Yes"),1,0)</f>
        <v>0</v>
      </c>
      <c r="AX461" s="71">
        <f>IF(AND($AK461=1,$AA461="Yes"),1,0)</f>
        <v>0</v>
      </c>
      <c r="AY461" s="71">
        <f>IF(AND($AM461=1,OR($I461="Critical",$I461="High")),1,0)</f>
        <v>0</v>
      </c>
      <c r="AZ461" s="71">
        <f>IF(AND($AK461=1,OR($C461=TCL_Client,$C461=MECCA_Client)),1,0)</f>
        <v>0</v>
      </c>
      <c r="BA461" s="71" t="str">
        <f>IF($G461="","",IFERROR(MATCH($I461,lst_Priority,0),5))</f>
        <v/>
      </c>
      <c r="BB461" s="71" t="str">
        <f>IF(AND($AL461=1,$AJ461=1),$BA461*100000+ROW(),"")</f>
        <v/>
      </c>
      <c r="BC461" s="71" t="str">
        <f>IF(AND($AM461=1,$AJ461=1),$BA461*100000+ROW(),"")</f>
        <v/>
      </c>
      <c r="BD461" s="71" t="str">
        <f>IF(AND($AP461=1,$AJ461=1),$BA461*100000+ROW(),"")</f>
        <v/>
      </c>
      <c r="BE461" s="71" t="str">
        <f>IF(AND($AT461=1,$AJ461=1),$BA461*100000+ROW(),"")</f>
        <v/>
      </c>
      <c r="BF461" s="71" t="str">
        <f>IF(AND($AU461=1,$AJ461=1),$BA461*100000+ROW(),"")</f>
        <v/>
      </c>
      <c r="BG461" s="71" t="str">
        <f>IF(AND($AV461=1,$AJ461=1),$BA461*100000+ROW(),"")</f>
        <v/>
      </c>
      <c r="BH461" s="71" t="str">
        <f>IF(AND($AW461=1,$AJ461=1),$BA461*100000+ROW(),"")</f>
        <v/>
      </c>
      <c r="BI461" s="71" t="str">
        <f>IF(AND($AX461=1,$AJ461=1),$BA461*100000+ROW(),"")</f>
        <v/>
      </c>
      <c r="BJ461" s="71" t="str">
        <f>IF(AND($AS461=1,$AJ461=1),$BA461*100000+ROW(),"")</f>
        <v/>
      </c>
      <c r="BK461" s="71" t="str">
        <f>IF(AND($AY461=1,$AJ461=1),$BA461*100000+ROW(),"")</f>
        <v/>
      </c>
      <c r="BL461" s="71" t="str">
        <f>IF(AND($AZ461=1),$BA461*100000+ROW(),"")</f>
        <v/>
      </c>
    </row>
    <row r="462">
      <c r="A462" s="63" t="n"/>
      <c r="B462" s="64" t="n"/>
      <c r="C462" s="64" t="n"/>
      <c r="D462" s="64" t="n"/>
      <c r="E462" s="64" t="n"/>
      <c r="F462" s="64" t="n"/>
      <c r="G462" s="65" t="n"/>
      <c r="H462" s="65" t="n"/>
      <c r="I462" s="64" t="n"/>
      <c r="J462" s="64" t="n"/>
      <c r="K462" s="63" t="n"/>
      <c r="L462" s="63" t="n"/>
      <c r="M462" s="64" t="n"/>
      <c r="N462" s="66" t="n"/>
      <c r="O462" s="65" t="n"/>
      <c r="P462" s="64" t="n"/>
      <c r="Q462" s="67" t="n"/>
      <c r="R462" s="67" t="n"/>
      <c r="S462" s="68" t="str">
        <f>IF(AND(ISNUMBER($Q462),ISNUMBER($R462)),$Q462-$R462,"")</f>
        <v/>
      </c>
      <c r="T462" s="65" t="n"/>
      <c r="U462" s="64" t="n"/>
      <c r="V462" s="65" t="n"/>
      <c r="W462" s="63" t="n"/>
      <c r="X462" s="65" t="n"/>
      <c r="Y462" s="63" t="n"/>
      <c r="Z462" s="64" t="n"/>
      <c r="AA462" s="64" t="n"/>
      <c r="AB462" s="65" t="n"/>
      <c r="AC462" s="69" t="str">
        <f>IF(OR($G462="",NOT(ISNUMBER($K462)),$AK462=0),"",MAX(0,ReportDate-$K462))</f>
        <v/>
      </c>
      <c r="AD462" s="69" t="str">
        <f>IF($G462="","",IF($AL462=1,ReportDate-$L462,0))</f>
        <v/>
      </c>
      <c r="AE462" s="70" t="str">
        <f>IF($G462="","",IF($M462="Completed",1,IF(ISNUMBER($N462),$N462,0)))</f>
        <v/>
      </c>
      <c r="AF462" s="70" t="str">
        <f>IF(AND(ISNUMBER($Q462),ISNUMBER($R462)),IF($R462&lt;&gt;0,$Q462/$R462,""),"")</f>
        <v/>
      </c>
      <c r="AG462" s="71" t="str">
        <f>IF($G462="","",IF($AL462=1,"OVERDUE",IF($AM462=1,"BLOCKED",IF($AN462=1,"DUE TODAY",IF($AO462=1,"DUE TOMORROW",IF($AQ462=1,"HIGH PRIORITY",IF($AR462=1,"NO RECENT UPDATE",""))))))) </f>
        <v/>
      </c>
      <c r="AH462" s="71" t="str">
        <f>IF($G462="","",IF(ISNUMBER($A462),IF(ISNUMBER($A462),YEAR($A462)&amp;"-"&amp;TEXT(MONTH($A462),"00"),""),IF(ISNUMBER($L462),IF(ISNUMBER($L462),YEAR($L462)&amp;"-"&amp;TEXT(MONTH($L462),"00"),""),"")))</f>
        <v/>
      </c>
      <c r="AI462" s="71">
        <f>IF($G462="",0,IF(AND(OR(fClient="All",$C462=fClient),OR(fCampaign="All",$D462=fCampaign),OR(fTeam="All",$B462=fTeam),OR(fChannel="All",$F462=fChannel),OR(fMonth="All",$AH462=fMonth),OR(fTStatus="All",$M462=fTStatus)),1,0))</f>
        <v>0</v>
      </c>
      <c r="AJ462" s="71">
        <f>IF($G462="",0,IF(AND(OR(fClient="All",$C462=fClient),OR(fCampaign="All",$D462=fCampaign),OR(fTeam="All",$B462=fTeam),OR(fChannel="All",$F462=fChannel)),1,0))</f>
        <v>0</v>
      </c>
      <c r="AK462" s="71">
        <f>IF($G462="",0,IF(OR($M462="Completed",$M462="Cancelled"),0,1))</f>
        <v>0</v>
      </c>
      <c r="AL462" s="71">
        <f>IF(AND($AK462=1,ISNUMBER($L462)),IF($L462&lt;ReportDate,1,0),0)</f>
        <v>0</v>
      </c>
      <c r="AM462" s="71">
        <f>IF(AND($G462&lt;&gt;"",$M462="Blocked"),1,0)</f>
        <v>0</v>
      </c>
      <c r="AN462" s="71">
        <f>IF(AND($AK462=1,ISNUMBER($L462)),IF($L462=ReportDate,1,0),0)</f>
        <v>0</v>
      </c>
      <c r="AO462" s="71">
        <f>IF(AND($AK462=1,ISNUMBER($L462)),IF($L462=ReportDate+1,1,0),0)</f>
        <v>0</v>
      </c>
      <c r="AP462" s="71">
        <f>IF(AND($AK462=1,ISNUMBER($L462)),IF(AND($L462&gt;=ReportDate,$L462&lt;=ReportDate+DueSoonDays),1,0),0)</f>
        <v>0</v>
      </c>
      <c r="AQ462" s="71">
        <f>IF(AND($AK462=1,OR($I462="Critical",$I462="High")),1,0)</f>
        <v>0</v>
      </c>
      <c r="AR462" s="71">
        <f>IF($AK462=1,IF(ISNUMBER($Y462),IF(ReportDate-$Y462&gt;StaleDays,1,0),1),0)</f>
        <v>0</v>
      </c>
      <c r="AS462" s="71">
        <f>IF(AND($G462&lt;&gt;"",ISNUMBER($Q462),ISNUMBER($R462)),IF(AND($Q462&lt;$R462,OR($M462="Completed",AND(ISNUMBER($L462),$L462&lt;ReportDate))),1,0),0)</f>
        <v>0</v>
      </c>
      <c r="AT462" s="71">
        <f>IF($AK462=1,IF(OR($L462=ReportDate,$W462=ReportDate,$K462=ReportDate,$A462=ReportDate),1,0),0)</f>
        <v>0</v>
      </c>
      <c r="AU462" s="71">
        <f>IF($AK462=1,IF(OR($L462=ReportDate+1,$W462=ReportDate+1,$K462=ReportDate+1,$A462=ReportDate+1),1,0),0)</f>
        <v>0</v>
      </c>
      <c r="AV462" s="71">
        <f>IF(AND($G462&lt;&gt;"",$M462="Completed"),IF(OR($Y462=ReportDate-1,$A462=ReportDate-1),1,0),0)</f>
        <v>0</v>
      </c>
      <c r="AW462" s="71">
        <f>IF(AND($AK462=1,$Z462="Yes"),1,0)</f>
        <v>0</v>
      </c>
      <c r="AX462" s="71">
        <f>IF(AND($AK462=1,$AA462="Yes"),1,0)</f>
        <v>0</v>
      </c>
      <c r="AY462" s="71">
        <f>IF(AND($AM462=1,OR($I462="Critical",$I462="High")),1,0)</f>
        <v>0</v>
      </c>
      <c r="AZ462" s="71">
        <f>IF(AND($AK462=1,OR($C462=TCL_Client,$C462=MECCA_Client)),1,0)</f>
        <v>0</v>
      </c>
      <c r="BA462" s="71" t="str">
        <f>IF($G462="","",IFERROR(MATCH($I462,lst_Priority,0),5))</f>
        <v/>
      </c>
      <c r="BB462" s="71" t="str">
        <f>IF(AND($AL462=1,$AJ462=1),$BA462*100000+ROW(),"")</f>
        <v/>
      </c>
      <c r="BC462" s="71" t="str">
        <f>IF(AND($AM462=1,$AJ462=1),$BA462*100000+ROW(),"")</f>
        <v/>
      </c>
      <c r="BD462" s="71" t="str">
        <f>IF(AND($AP462=1,$AJ462=1),$BA462*100000+ROW(),"")</f>
        <v/>
      </c>
      <c r="BE462" s="71" t="str">
        <f>IF(AND($AT462=1,$AJ462=1),$BA462*100000+ROW(),"")</f>
        <v/>
      </c>
      <c r="BF462" s="71" t="str">
        <f>IF(AND($AU462=1,$AJ462=1),$BA462*100000+ROW(),"")</f>
        <v/>
      </c>
      <c r="BG462" s="71" t="str">
        <f>IF(AND($AV462=1,$AJ462=1),$BA462*100000+ROW(),"")</f>
        <v/>
      </c>
      <c r="BH462" s="71" t="str">
        <f>IF(AND($AW462=1,$AJ462=1),$BA462*100000+ROW(),"")</f>
        <v/>
      </c>
      <c r="BI462" s="71" t="str">
        <f>IF(AND($AX462=1,$AJ462=1),$BA462*100000+ROW(),"")</f>
        <v/>
      </c>
      <c r="BJ462" s="71" t="str">
        <f>IF(AND($AS462=1,$AJ462=1),$BA462*100000+ROW(),"")</f>
        <v/>
      </c>
      <c r="BK462" s="71" t="str">
        <f>IF(AND($AY462=1,$AJ462=1),$BA462*100000+ROW(),"")</f>
        <v/>
      </c>
      <c r="BL462" s="71" t="str">
        <f>IF(AND($AZ462=1),$BA462*100000+ROW(),"")</f>
        <v/>
      </c>
    </row>
    <row r="463">
      <c r="A463" s="63" t="n"/>
      <c r="B463" s="64" t="n"/>
      <c r="C463" s="64" t="n"/>
      <c r="D463" s="64" t="n"/>
      <c r="E463" s="64" t="n"/>
      <c r="F463" s="64" t="n"/>
      <c r="G463" s="65" t="n"/>
      <c r="H463" s="65" t="n"/>
      <c r="I463" s="64" t="n"/>
      <c r="J463" s="64" t="n"/>
      <c r="K463" s="63" t="n"/>
      <c r="L463" s="63" t="n"/>
      <c r="M463" s="64" t="n"/>
      <c r="N463" s="66" t="n"/>
      <c r="O463" s="65" t="n"/>
      <c r="P463" s="64" t="n"/>
      <c r="Q463" s="67" t="n"/>
      <c r="R463" s="67" t="n"/>
      <c r="S463" s="68" t="str">
        <f>IF(AND(ISNUMBER($Q463),ISNUMBER($R463)),$Q463-$R463,"")</f>
        <v/>
      </c>
      <c r="T463" s="65" t="n"/>
      <c r="U463" s="64" t="n"/>
      <c r="V463" s="65" t="n"/>
      <c r="W463" s="63" t="n"/>
      <c r="X463" s="65" t="n"/>
      <c r="Y463" s="63" t="n"/>
      <c r="Z463" s="64" t="n"/>
      <c r="AA463" s="64" t="n"/>
      <c r="AB463" s="65" t="n"/>
      <c r="AC463" s="69" t="str">
        <f>IF(OR($G463="",NOT(ISNUMBER($K463)),$AK463=0),"",MAX(0,ReportDate-$K463))</f>
        <v/>
      </c>
      <c r="AD463" s="69" t="str">
        <f>IF($G463="","",IF($AL463=1,ReportDate-$L463,0))</f>
        <v/>
      </c>
      <c r="AE463" s="70" t="str">
        <f>IF($G463="","",IF($M463="Completed",1,IF(ISNUMBER($N463),$N463,0)))</f>
        <v/>
      </c>
      <c r="AF463" s="70" t="str">
        <f>IF(AND(ISNUMBER($Q463),ISNUMBER($R463)),IF($R463&lt;&gt;0,$Q463/$R463,""),"")</f>
        <v/>
      </c>
      <c r="AG463" s="71" t="str">
        <f>IF($G463="","",IF($AL463=1,"OVERDUE",IF($AM463=1,"BLOCKED",IF($AN463=1,"DUE TODAY",IF($AO463=1,"DUE TOMORROW",IF($AQ463=1,"HIGH PRIORITY",IF($AR463=1,"NO RECENT UPDATE",""))))))) </f>
        <v/>
      </c>
      <c r="AH463" s="71" t="str">
        <f>IF($G463="","",IF(ISNUMBER($A463),IF(ISNUMBER($A463),YEAR($A463)&amp;"-"&amp;TEXT(MONTH($A463),"00"),""),IF(ISNUMBER($L463),IF(ISNUMBER($L463),YEAR($L463)&amp;"-"&amp;TEXT(MONTH($L463),"00"),""),"")))</f>
        <v/>
      </c>
      <c r="AI463" s="71">
        <f>IF($G463="",0,IF(AND(OR(fClient="All",$C463=fClient),OR(fCampaign="All",$D463=fCampaign),OR(fTeam="All",$B463=fTeam),OR(fChannel="All",$F463=fChannel),OR(fMonth="All",$AH463=fMonth),OR(fTStatus="All",$M463=fTStatus)),1,0))</f>
        <v>0</v>
      </c>
      <c r="AJ463" s="71">
        <f>IF($G463="",0,IF(AND(OR(fClient="All",$C463=fClient),OR(fCampaign="All",$D463=fCampaign),OR(fTeam="All",$B463=fTeam),OR(fChannel="All",$F463=fChannel)),1,0))</f>
        <v>0</v>
      </c>
      <c r="AK463" s="71">
        <f>IF($G463="",0,IF(OR($M463="Completed",$M463="Cancelled"),0,1))</f>
        <v>0</v>
      </c>
      <c r="AL463" s="71">
        <f>IF(AND($AK463=1,ISNUMBER($L463)),IF($L463&lt;ReportDate,1,0),0)</f>
        <v>0</v>
      </c>
      <c r="AM463" s="71">
        <f>IF(AND($G463&lt;&gt;"",$M463="Blocked"),1,0)</f>
        <v>0</v>
      </c>
      <c r="AN463" s="71">
        <f>IF(AND($AK463=1,ISNUMBER($L463)),IF($L463=ReportDate,1,0),0)</f>
        <v>0</v>
      </c>
      <c r="AO463" s="71">
        <f>IF(AND($AK463=1,ISNUMBER($L463)),IF($L463=ReportDate+1,1,0),0)</f>
        <v>0</v>
      </c>
      <c r="AP463" s="71">
        <f>IF(AND($AK463=1,ISNUMBER($L463)),IF(AND($L463&gt;=ReportDate,$L463&lt;=ReportDate+DueSoonDays),1,0),0)</f>
        <v>0</v>
      </c>
      <c r="AQ463" s="71">
        <f>IF(AND($AK463=1,OR($I463="Critical",$I463="High")),1,0)</f>
        <v>0</v>
      </c>
      <c r="AR463" s="71">
        <f>IF($AK463=1,IF(ISNUMBER($Y463),IF(ReportDate-$Y463&gt;StaleDays,1,0),1),0)</f>
        <v>0</v>
      </c>
      <c r="AS463" s="71">
        <f>IF(AND($G463&lt;&gt;"",ISNUMBER($Q463),ISNUMBER($R463)),IF(AND($Q463&lt;$R463,OR($M463="Completed",AND(ISNUMBER($L463),$L463&lt;ReportDate))),1,0),0)</f>
        <v>0</v>
      </c>
      <c r="AT463" s="71">
        <f>IF($AK463=1,IF(OR($L463=ReportDate,$W463=ReportDate,$K463=ReportDate,$A463=ReportDate),1,0),0)</f>
        <v>0</v>
      </c>
      <c r="AU463" s="71">
        <f>IF($AK463=1,IF(OR($L463=ReportDate+1,$W463=ReportDate+1,$K463=ReportDate+1,$A463=ReportDate+1),1,0),0)</f>
        <v>0</v>
      </c>
      <c r="AV463" s="71">
        <f>IF(AND($G463&lt;&gt;"",$M463="Completed"),IF(OR($Y463=ReportDate-1,$A463=ReportDate-1),1,0),0)</f>
        <v>0</v>
      </c>
      <c r="AW463" s="71">
        <f>IF(AND($AK463=1,$Z463="Yes"),1,0)</f>
        <v>0</v>
      </c>
      <c r="AX463" s="71">
        <f>IF(AND($AK463=1,$AA463="Yes"),1,0)</f>
        <v>0</v>
      </c>
      <c r="AY463" s="71">
        <f>IF(AND($AM463=1,OR($I463="Critical",$I463="High")),1,0)</f>
        <v>0</v>
      </c>
      <c r="AZ463" s="71">
        <f>IF(AND($AK463=1,OR($C463=TCL_Client,$C463=MECCA_Client)),1,0)</f>
        <v>0</v>
      </c>
      <c r="BA463" s="71" t="str">
        <f>IF($G463="","",IFERROR(MATCH($I463,lst_Priority,0),5))</f>
        <v/>
      </c>
      <c r="BB463" s="71" t="str">
        <f>IF(AND($AL463=1,$AJ463=1),$BA463*100000+ROW(),"")</f>
        <v/>
      </c>
      <c r="BC463" s="71" t="str">
        <f>IF(AND($AM463=1,$AJ463=1),$BA463*100000+ROW(),"")</f>
        <v/>
      </c>
      <c r="BD463" s="71" t="str">
        <f>IF(AND($AP463=1,$AJ463=1),$BA463*100000+ROW(),"")</f>
        <v/>
      </c>
      <c r="BE463" s="71" t="str">
        <f>IF(AND($AT463=1,$AJ463=1),$BA463*100000+ROW(),"")</f>
        <v/>
      </c>
      <c r="BF463" s="71" t="str">
        <f>IF(AND($AU463=1,$AJ463=1),$BA463*100000+ROW(),"")</f>
        <v/>
      </c>
      <c r="BG463" s="71" t="str">
        <f>IF(AND($AV463=1,$AJ463=1),$BA463*100000+ROW(),"")</f>
        <v/>
      </c>
      <c r="BH463" s="71" t="str">
        <f>IF(AND($AW463=1,$AJ463=1),$BA463*100000+ROW(),"")</f>
        <v/>
      </c>
      <c r="BI463" s="71" t="str">
        <f>IF(AND($AX463=1,$AJ463=1),$BA463*100000+ROW(),"")</f>
        <v/>
      </c>
      <c r="BJ463" s="71" t="str">
        <f>IF(AND($AS463=1,$AJ463=1),$BA463*100000+ROW(),"")</f>
        <v/>
      </c>
      <c r="BK463" s="71" t="str">
        <f>IF(AND($AY463=1,$AJ463=1),$BA463*100000+ROW(),"")</f>
        <v/>
      </c>
      <c r="BL463" s="71" t="str">
        <f>IF(AND($AZ463=1),$BA463*100000+ROW(),"")</f>
        <v/>
      </c>
    </row>
    <row r="464">
      <c r="A464" s="63" t="n"/>
      <c r="B464" s="64" t="n"/>
      <c r="C464" s="64" t="n"/>
      <c r="D464" s="64" t="n"/>
      <c r="E464" s="64" t="n"/>
      <c r="F464" s="64" t="n"/>
      <c r="G464" s="65" t="n"/>
      <c r="H464" s="65" t="n"/>
      <c r="I464" s="64" t="n"/>
      <c r="J464" s="64" t="n"/>
      <c r="K464" s="63" t="n"/>
      <c r="L464" s="63" t="n"/>
      <c r="M464" s="64" t="n"/>
      <c r="N464" s="66" t="n"/>
      <c r="O464" s="65" t="n"/>
      <c r="P464" s="64" t="n"/>
      <c r="Q464" s="67" t="n"/>
      <c r="R464" s="67" t="n"/>
      <c r="S464" s="68" t="str">
        <f>IF(AND(ISNUMBER($Q464),ISNUMBER($R464)),$Q464-$R464,"")</f>
        <v/>
      </c>
      <c r="T464" s="65" t="n"/>
      <c r="U464" s="64" t="n"/>
      <c r="V464" s="65" t="n"/>
      <c r="W464" s="63" t="n"/>
      <c r="X464" s="65" t="n"/>
      <c r="Y464" s="63" t="n"/>
      <c r="Z464" s="64" t="n"/>
      <c r="AA464" s="64" t="n"/>
      <c r="AB464" s="65" t="n"/>
      <c r="AC464" s="69" t="str">
        <f>IF(OR($G464="",NOT(ISNUMBER($K464)),$AK464=0),"",MAX(0,ReportDate-$K464))</f>
        <v/>
      </c>
      <c r="AD464" s="69" t="str">
        <f>IF($G464="","",IF($AL464=1,ReportDate-$L464,0))</f>
        <v/>
      </c>
      <c r="AE464" s="70" t="str">
        <f>IF($G464="","",IF($M464="Completed",1,IF(ISNUMBER($N464),$N464,0)))</f>
        <v/>
      </c>
      <c r="AF464" s="70" t="str">
        <f>IF(AND(ISNUMBER($Q464),ISNUMBER($R464)),IF($R464&lt;&gt;0,$Q464/$R464,""),"")</f>
        <v/>
      </c>
      <c r="AG464" s="71" t="str">
        <f>IF($G464="","",IF($AL464=1,"OVERDUE",IF($AM464=1,"BLOCKED",IF($AN464=1,"DUE TODAY",IF($AO464=1,"DUE TOMORROW",IF($AQ464=1,"HIGH PRIORITY",IF($AR464=1,"NO RECENT UPDATE",""))))))) </f>
        <v/>
      </c>
      <c r="AH464" s="71" t="str">
        <f>IF($G464="","",IF(ISNUMBER($A464),IF(ISNUMBER($A464),YEAR($A464)&amp;"-"&amp;TEXT(MONTH($A464),"00"),""),IF(ISNUMBER($L464),IF(ISNUMBER($L464),YEAR($L464)&amp;"-"&amp;TEXT(MONTH($L464),"00"),""),"")))</f>
        <v/>
      </c>
      <c r="AI464" s="71">
        <f>IF($G464="",0,IF(AND(OR(fClient="All",$C464=fClient),OR(fCampaign="All",$D464=fCampaign),OR(fTeam="All",$B464=fTeam),OR(fChannel="All",$F464=fChannel),OR(fMonth="All",$AH464=fMonth),OR(fTStatus="All",$M464=fTStatus)),1,0))</f>
        <v>0</v>
      </c>
      <c r="AJ464" s="71">
        <f>IF($G464="",0,IF(AND(OR(fClient="All",$C464=fClient),OR(fCampaign="All",$D464=fCampaign),OR(fTeam="All",$B464=fTeam),OR(fChannel="All",$F464=fChannel)),1,0))</f>
        <v>0</v>
      </c>
      <c r="AK464" s="71">
        <f>IF($G464="",0,IF(OR($M464="Completed",$M464="Cancelled"),0,1))</f>
        <v>0</v>
      </c>
      <c r="AL464" s="71">
        <f>IF(AND($AK464=1,ISNUMBER($L464)),IF($L464&lt;ReportDate,1,0),0)</f>
        <v>0</v>
      </c>
      <c r="AM464" s="71">
        <f>IF(AND($G464&lt;&gt;"",$M464="Blocked"),1,0)</f>
        <v>0</v>
      </c>
      <c r="AN464" s="71">
        <f>IF(AND($AK464=1,ISNUMBER($L464)),IF($L464=ReportDate,1,0),0)</f>
        <v>0</v>
      </c>
      <c r="AO464" s="71">
        <f>IF(AND($AK464=1,ISNUMBER($L464)),IF($L464=ReportDate+1,1,0),0)</f>
        <v>0</v>
      </c>
      <c r="AP464" s="71">
        <f>IF(AND($AK464=1,ISNUMBER($L464)),IF(AND($L464&gt;=ReportDate,$L464&lt;=ReportDate+DueSoonDays),1,0),0)</f>
        <v>0</v>
      </c>
      <c r="AQ464" s="71">
        <f>IF(AND($AK464=1,OR($I464="Critical",$I464="High")),1,0)</f>
        <v>0</v>
      </c>
      <c r="AR464" s="71">
        <f>IF($AK464=1,IF(ISNUMBER($Y464),IF(ReportDate-$Y464&gt;StaleDays,1,0),1),0)</f>
        <v>0</v>
      </c>
      <c r="AS464" s="71">
        <f>IF(AND($G464&lt;&gt;"",ISNUMBER($Q464),ISNUMBER($R464)),IF(AND($Q464&lt;$R464,OR($M464="Completed",AND(ISNUMBER($L464),$L464&lt;ReportDate))),1,0),0)</f>
        <v>0</v>
      </c>
      <c r="AT464" s="71">
        <f>IF($AK464=1,IF(OR($L464=ReportDate,$W464=ReportDate,$K464=ReportDate,$A464=ReportDate),1,0),0)</f>
        <v>0</v>
      </c>
      <c r="AU464" s="71">
        <f>IF($AK464=1,IF(OR($L464=ReportDate+1,$W464=ReportDate+1,$K464=ReportDate+1,$A464=ReportDate+1),1,0),0)</f>
        <v>0</v>
      </c>
      <c r="AV464" s="71">
        <f>IF(AND($G464&lt;&gt;"",$M464="Completed"),IF(OR($Y464=ReportDate-1,$A464=ReportDate-1),1,0),0)</f>
        <v>0</v>
      </c>
      <c r="AW464" s="71">
        <f>IF(AND($AK464=1,$Z464="Yes"),1,0)</f>
        <v>0</v>
      </c>
      <c r="AX464" s="71">
        <f>IF(AND($AK464=1,$AA464="Yes"),1,0)</f>
        <v>0</v>
      </c>
      <c r="AY464" s="71">
        <f>IF(AND($AM464=1,OR($I464="Critical",$I464="High")),1,0)</f>
        <v>0</v>
      </c>
      <c r="AZ464" s="71">
        <f>IF(AND($AK464=1,OR($C464=TCL_Client,$C464=MECCA_Client)),1,0)</f>
        <v>0</v>
      </c>
      <c r="BA464" s="71" t="str">
        <f>IF($G464="","",IFERROR(MATCH($I464,lst_Priority,0),5))</f>
        <v/>
      </c>
      <c r="BB464" s="71" t="str">
        <f>IF(AND($AL464=1,$AJ464=1),$BA464*100000+ROW(),"")</f>
        <v/>
      </c>
      <c r="BC464" s="71" t="str">
        <f>IF(AND($AM464=1,$AJ464=1),$BA464*100000+ROW(),"")</f>
        <v/>
      </c>
      <c r="BD464" s="71" t="str">
        <f>IF(AND($AP464=1,$AJ464=1),$BA464*100000+ROW(),"")</f>
        <v/>
      </c>
      <c r="BE464" s="71" t="str">
        <f>IF(AND($AT464=1,$AJ464=1),$BA464*100000+ROW(),"")</f>
        <v/>
      </c>
      <c r="BF464" s="71" t="str">
        <f>IF(AND($AU464=1,$AJ464=1),$BA464*100000+ROW(),"")</f>
        <v/>
      </c>
      <c r="BG464" s="71" t="str">
        <f>IF(AND($AV464=1,$AJ464=1),$BA464*100000+ROW(),"")</f>
        <v/>
      </c>
      <c r="BH464" s="71" t="str">
        <f>IF(AND($AW464=1,$AJ464=1),$BA464*100000+ROW(),"")</f>
        <v/>
      </c>
      <c r="BI464" s="71" t="str">
        <f>IF(AND($AX464=1,$AJ464=1),$BA464*100000+ROW(),"")</f>
        <v/>
      </c>
      <c r="BJ464" s="71" t="str">
        <f>IF(AND($AS464=1,$AJ464=1),$BA464*100000+ROW(),"")</f>
        <v/>
      </c>
      <c r="BK464" s="71" t="str">
        <f>IF(AND($AY464=1,$AJ464=1),$BA464*100000+ROW(),"")</f>
        <v/>
      </c>
      <c r="BL464" s="71" t="str">
        <f>IF(AND($AZ464=1),$BA464*100000+ROW(),"")</f>
        <v/>
      </c>
    </row>
    <row r="465">
      <c r="A465" s="63" t="n"/>
      <c r="B465" s="64" t="n"/>
      <c r="C465" s="64" t="n"/>
      <c r="D465" s="64" t="n"/>
      <c r="E465" s="64" t="n"/>
      <c r="F465" s="64" t="n"/>
      <c r="G465" s="65" t="n"/>
      <c r="H465" s="65" t="n"/>
      <c r="I465" s="64" t="n"/>
      <c r="J465" s="64" t="n"/>
      <c r="K465" s="63" t="n"/>
      <c r="L465" s="63" t="n"/>
      <c r="M465" s="64" t="n"/>
      <c r="N465" s="66" t="n"/>
      <c r="O465" s="65" t="n"/>
      <c r="P465" s="64" t="n"/>
      <c r="Q465" s="67" t="n"/>
      <c r="R465" s="67" t="n"/>
      <c r="S465" s="68" t="str">
        <f>IF(AND(ISNUMBER($Q465),ISNUMBER($R465)),$Q465-$R465,"")</f>
        <v/>
      </c>
      <c r="T465" s="65" t="n"/>
      <c r="U465" s="64" t="n"/>
      <c r="V465" s="65" t="n"/>
      <c r="W465" s="63" t="n"/>
      <c r="X465" s="65" t="n"/>
      <c r="Y465" s="63" t="n"/>
      <c r="Z465" s="64" t="n"/>
      <c r="AA465" s="64" t="n"/>
      <c r="AB465" s="65" t="n"/>
      <c r="AC465" s="69" t="str">
        <f>IF(OR($G465="",NOT(ISNUMBER($K465)),$AK465=0),"",MAX(0,ReportDate-$K465))</f>
        <v/>
      </c>
      <c r="AD465" s="69" t="str">
        <f>IF($G465="","",IF($AL465=1,ReportDate-$L465,0))</f>
        <v/>
      </c>
      <c r="AE465" s="70" t="str">
        <f>IF($G465="","",IF($M465="Completed",1,IF(ISNUMBER($N465),$N465,0)))</f>
        <v/>
      </c>
      <c r="AF465" s="70" t="str">
        <f>IF(AND(ISNUMBER($Q465),ISNUMBER($R465)),IF($R465&lt;&gt;0,$Q465/$R465,""),"")</f>
        <v/>
      </c>
      <c r="AG465" s="71" t="str">
        <f>IF($G465="","",IF($AL465=1,"OVERDUE",IF($AM465=1,"BLOCKED",IF($AN465=1,"DUE TODAY",IF($AO465=1,"DUE TOMORROW",IF($AQ465=1,"HIGH PRIORITY",IF($AR465=1,"NO RECENT UPDATE",""))))))) </f>
        <v/>
      </c>
      <c r="AH465" s="71" t="str">
        <f>IF($G465="","",IF(ISNUMBER($A465),IF(ISNUMBER($A465),YEAR($A465)&amp;"-"&amp;TEXT(MONTH($A465),"00"),""),IF(ISNUMBER($L465),IF(ISNUMBER($L465),YEAR($L465)&amp;"-"&amp;TEXT(MONTH($L465),"00"),""),"")))</f>
        <v/>
      </c>
      <c r="AI465" s="71">
        <f>IF($G465="",0,IF(AND(OR(fClient="All",$C465=fClient),OR(fCampaign="All",$D465=fCampaign),OR(fTeam="All",$B465=fTeam),OR(fChannel="All",$F465=fChannel),OR(fMonth="All",$AH465=fMonth),OR(fTStatus="All",$M465=fTStatus)),1,0))</f>
        <v>0</v>
      </c>
      <c r="AJ465" s="71">
        <f>IF($G465="",0,IF(AND(OR(fClient="All",$C465=fClient),OR(fCampaign="All",$D465=fCampaign),OR(fTeam="All",$B465=fTeam),OR(fChannel="All",$F465=fChannel)),1,0))</f>
        <v>0</v>
      </c>
      <c r="AK465" s="71">
        <f>IF($G465="",0,IF(OR($M465="Completed",$M465="Cancelled"),0,1))</f>
        <v>0</v>
      </c>
      <c r="AL465" s="71">
        <f>IF(AND($AK465=1,ISNUMBER($L465)),IF($L465&lt;ReportDate,1,0),0)</f>
        <v>0</v>
      </c>
      <c r="AM465" s="71">
        <f>IF(AND($G465&lt;&gt;"",$M465="Blocked"),1,0)</f>
        <v>0</v>
      </c>
      <c r="AN465" s="71">
        <f>IF(AND($AK465=1,ISNUMBER($L465)),IF($L465=ReportDate,1,0),0)</f>
        <v>0</v>
      </c>
      <c r="AO465" s="71">
        <f>IF(AND($AK465=1,ISNUMBER($L465)),IF($L465=ReportDate+1,1,0),0)</f>
        <v>0</v>
      </c>
      <c r="AP465" s="71">
        <f>IF(AND($AK465=1,ISNUMBER($L465)),IF(AND($L465&gt;=ReportDate,$L465&lt;=ReportDate+DueSoonDays),1,0),0)</f>
        <v>0</v>
      </c>
      <c r="AQ465" s="71">
        <f>IF(AND($AK465=1,OR($I465="Critical",$I465="High")),1,0)</f>
        <v>0</v>
      </c>
      <c r="AR465" s="71">
        <f>IF($AK465=1,IF(ISNUMBER($Y465),IF(ReportDate-$Y465&gt;StaleDays,1,0),1),0)</f>
        <v>0</v>
      </c>
      <c r="AS465" s="71">
        <f>IF(AND($G465&lt;&gt;"",ISNUMBER($Q465),ISNUMBER($R465)),IF(AND($Q465&lt;$R465,OR($M465="Completed",AND(ISNUMBER($L465),$L465&lt;ReportDate))),1,0),0)</f>
        <v>0</v>
      </c>
      <c r="AT465" s="71">
        <f>IF($AK465=1,IF(OR($L465=ReportDate,$W465=ReportDate,$K465=ReportDate,$A465=ReportDate),1,0),0)</f>
        <v>0</v>
      </c>
      <c r="AU465" s="71">
        <f>IF($AK465=1,IF(OR($L465=ReportDate+1,$W465=ReportDate+1,$K465=ReportDate+1,$A465=ReportDate+1),1,0),0)</f>
        <v>0</v>
      </c>
      <c r="AV465" s="71">
        <f>IF(AND($G465&lt;&gt;"",$M465="Completed"),IF(OR($Y465=ReportDate-1,$A465=ReportDate-1),1,0),0)</f>
        <v>0</v>
      </c>
      <c r="AW465" s="71">
        <f>IF(AND($AK465=1,$Z465="Yes"),1,0)</f>
        <v>0</v>
      </c>
      <c r="AX465" s="71">
        <f>IF(AND($AK465=1,$AA465="Yes"),1,0)</f>
        <v>0</v>
      </c>
      <c r="AY465" s="71">
        <f>IF(AND($AM465=1,OR($I465="Critical",$I465="High")),1,0)</f>
        <v>0</v>
      </c>
      <c r="AZ465" s="71">
        <f>IF(AND($AK465=1,OR($C465=TCL_Client,$C465=MECCA_Client)),1,0)</f>
        <v>0</v>
      </c>
      <c r="BA465" s="71" t="str">
        <f>IF($G465="","",IFERROR(MATCH($I465,lst_Priority,0),5))</f>
        <v/>
      </c>
      <c r="BB465" s="71" t="str">
        <f>IF(AND($AL465=1,$AJ465=1),$BA465*100000+ROW(),"")</f>
        <v/>
      </c>
      <c r="BC465" s="71" t="str">
        <f>IF(AND($AM465=1,$AJ465=1),$BA465*100000+ROW(),"")</f>
        <v/>
      </c>
      <c r="BD465" s="71" t="str">
        <f>IF(AND($AP465=1,$AJ465=1),$BA465*100000+ROW(),"")</f>
        <v/>
      </c>
      <c r="BE465" s="71" t="str">
        <f>IF(AND($AT465=1,$AJ465=1),$BA465*100000+ROW(),"")</f>
        <v/>
      </c>
      <c r="BF465" s="71" t="str">
        <f>IF(AND($AU465=1,$AJ465=1),$BA465*100000+ROW(),"")</f>
        <v/>
      </c>
      <c r="BG465" s="71" t="str">
        <f>IF(AND($AV465=1,$AJ465=1),$BA465*100000+ROW(),"")</f>
        <v/>
      </c>
      <c r="BH465" s="71" t="str">
        <f>IF(AND($AW465=1,$AJ465=1),$BA465*100000+ROW(),"")</f>
        <v/>
      </c>
      <c r="BI465" s="71" t="str">
        <f>IF(AND($AX465=1,$AJ465=1),$BA465*100000+ROW(),"")</f>
        <v/>
      </c>
      <c r="BJ465" s="71" t="str">
        <f>IF(AND($AS465=1,$AJ465=1),$BA465*100000+ROW(),"")</f>
        <v/>
      </c>
      <c r="BK465" s="71" t="str">
        <f>IF(AND($AY465=1,$AJ465=1),$BA465*100000+ROW(),"")</f>
        <v/>
      </c>
      <c r="BL465" s="71" t="str">
        <f>IF(AND($AZ465=1),$BA465*100000+ROW(),"")</f>
        <v/>
      </c>
    </row>
    <row r="466">
      <c r="A466" s="63" t="n"/>
      <c r="B466" s="64" t="n"/>
      <c r="C466" s="64" t="n"/>
      <c r="D466" s="64" t="n"/>
      <c r="E466" s="64" t="n"/>
      <c r="F466" s="64" t="n"/>
      <c r="G466" s="65" t="n"/>
      <c r="H466" s="65" t="n"/>
      <c r="I466" s="64" t="n"/>
      <c r="J466" s="64" t="n"/>
      <c r="K466" s="63" t="n"/>
      <c r="L466" s="63" t="n"/>
      <c r="M466" s="64" t="n"/>
      <c r="N466" s="66" t="n"/>
      <c r="O466" s="65" t="n"/>
      <c r="P466" s="64" t="n"/>
      <c r="Q466" s="67" t="n"/>
      <c r="R466" s="67" t="n"/>
      <c r="S466" s="68" t="str">
        <f>IF(AND(ISNUMBER($Q466),ISNUMBER($R466)),$Q466-$R466,"")</f>
        <v/>
      </c>
      <c r="T466" s="65" t="n"/>
      <c r="U466" s="64" t="n"/>
      <c r="V466" s="65" t="n"/>
      <c r="W466" s="63" t="n"/>
      <c r="X466" s="65" t="n"/>
      <c r="Y466" s="63" t="n"/>
      <c r="Z466" s="64" t="n"/>
      <c r="AA466" s="64" t="n"/>
      <c r="AB466" s="65" t="n"/>
      <c r="AC466" s="69" t="str">
        <f>IF(OR($G466="",NOT(ISNUMBER($K466)),$AK466=0),"",MAX(0,ReportDate-$K466))</f>
        <v/>
      </c>
      <c r="AD466" s="69" t="str">
        <f>IF($G466="","",IF($AL466=1,ReportDate-$L466,0))</f>
        <v/>
      </c>
      <c r="AE466" s="70" t="str">
        <f>IF($G466="","",IF($M466="Completed",1,IF(ISNUMBER($N466),$N466,0)))</f>
        <v/>
      </c>
      <c r="AF466" s="70" t="str">
        <f>IF(AND(ISNUMBER($Q466),ISNUMBER($R466)),IF($R466&lt;&gt;0,$Q466/$R466,""),"")</f>
        <v/>
      </c>
      <c r="AG466" s="71" t="str">
        <f>IF($G466="","",IF($AL466=1,"OVERDUE",IF($AM466=1,"BLOCKED",IF($AN466=1,"DUE TODAY",IF($AO466=1,"DUE TOMORROW",IF($AQ466=1,"HIGH PRIORITY",IF($AR466=1,"NO RECENT UPDATE",""))))))) </f>
        <v/>
      </c>
      <c r="AH466" s="71" t="str">
        <f>IF($G466="","",IF(ISNUMBER($A466),IF(ISNUMBER($A466),YEAR($A466)&amp;"-"&amp;TEXT(MONTH($A466),"00"),""),IF(ISNUMBER($L466),IF(ISNUMBER($L466),YEAR($L466)&amp;"-"&amp;TEXT(MONTH($L466),"00"),""),"")))</f>
        <v/>
      </c>
      <c r="AI466" s="71">
        <f>IF($G466="",0,IF(AND(OR(fClient="All",$C466=fClient),OR(fCampaign="All",$D466=fCampaign),OR(fTeam="All",$B466=fTeam),OR(fChannel="All",$F466=fChannel),OR(fMonth="All",$AH466=fMonth),OR(fTStatus="All",$M466=fTStatus)),1,0))</f>
        <v>0</v>
      </c>
      <c r="AJ466" s="71">
        <f>IF($G466="",0,IF(AND(OR(fClient="All",$C466=fClient),OR(fCampaign="All",$D466=fCampaign),OR(fTeam="All",$B466=fTeam),OR(fChannel="All",$F466=fChannel)),1,0))</f>
        <v>0</v>
      </c>
      <c r="AK466" s="71">
        <f>IF($G466="",0,IF(OR($M466="Completed",$M466="Cancelled"),0,1))</f>
        <v>0</v>
      </c>
      <c r="AL466" s="71">
        <f>IF(AND($AK466=1,ISNUMBER($L466)),IF($L466&lt;ReportDate,1,0),0)</f>
        <v>0</v>
      </c>
      <c r="AM466" s="71">
        <f>IF(AND($G466&lt;&gt;"",$M466="Blocked"),1,0)</f>
        <v>0</v>
      </c>
      <c r="AN466" s="71">
        <f>IF(AND($AK466=1,ISNUMBER($L466)),IF($L466=ReportDate,1,0),0)</f>
        <v>0</v>
      </c>
      <c r="AO466" s="71">
        <f>IF(AND($AK466=1,ISNUMBER($L466)),IF($L466=ReportDate+1,1,0),0)</f>
        <v>0</v>
      </c>
      <c r="AP466" s="71">
        <f>IF(AND($AK466=1,ISNUMBER($L466)),IF(AND($L466&gt;=ReportDate,$L466&lt;=ReportDate+DueSoonDays),1,0),0)</f>
        <v>0</v>
      </c>
      <c r="AQ466" s="71">
        <f>IF(AND($AK466=1,OR($I466="Critical",$I466="High")),1,0)</f>
        <v>0</v>
      </c>
      <c r="AR466" s="71">
        <f>IF($AK466=1,IF(ISNUMBER($Y466),IF(ReportDate-$Y466&gt;StaleDays,1,0),1),0)</f>
        <v>0</v>
      </c>
      <c r="AS466" s="71">
        <f>IF(AND($G466&lt;&gt;"",ISNUMBER($Q466),ISNUMBER($R466)),IF(AND($Q466&lt;$R466,OR($M466="Completed",AND(ISNUMBER($L466),$L466&lt;ReportDate))),1,0),0)</f>
        <v>0</v>
      </c>
      <c r="AT466" s="71">
        <f>IF($AK466=1,IF(OR($L466=ReportDate,$W466=ReportDate,$K466=ReportDate,$A466=ReportDate),1,0),0)</f>
        <v>0</v>
      </c>
      <c r="AU466" s="71">
        <f>IF($AK466=1,IF(OR($L466=ReportDate+1,$W466=ReportDate+1,$K466=ReportDate+1,$A466=ReportDate+1),1,0),0)</f>
        <v>0</v>
      </c>
      <c r="AV466" s="71">
        <f>IF(AND($G466&lt;&gt;"",$M466="Completed"),IF(OR($Y466=ReportDate-1,$A466=ReportDate-1),1,0),0)</f>
        <v>0</v>
      </c>
      <c r="AW466" s="71">
        <f>IF(AND($AK466=1,$Z466="Yes"),1,0)</f>
        <v>0</v>
      </c>
      <c r="AX466" s="71">
        <f>IF(AND($AK466=1,$AA466="Yes"),1,0)</f>
        <v>0</v>
      </c>
      <c r="AY466" s="71">
        <f>IF(AND($AM466=1,OR($I466="Critical",$I466="High")),1,0)</f>
        <v>0</v>
      </c>
      <c r="AZ466" s="71">
        <f>IF(AND($AK466=1,OR($C466=TCL_Client,$C466=MECCA_Client)),1,0)</f>
        <v>0</v>
      </c>
      <c r="BA466" s="71" t="str">
        <f>IF($G466="","",IFERROR(MATCH($I466,lst_Priority,0),5))</f>
        <v/>
      </c>
      <c r="BB466" s="71" t="str">
        <f>IF(AND($AL466=1,$AJ466=1),$BA466*100000+ROW(),"")</f>
        <v/>
      </c>
      <c r="BC466" s="71" t="str">
        <f>IF(AND($AM466=1,$AJ466=1),$BA466*100000+ROW(),"")</f>
        <v/>
      </c>
      <c r="BD466" s="71" t="str">
        <f>IF(AND($AP466=1,$AJ466=1),$BA466*100000+ROW(),"")</f>
        <v/>
      </c>
      <c r="BE466" s="71" t="str">
        <f>IF(AND($AT466=1,$AJ466=1),$BA466*100000+ROW(),"")</f>
        <v/>
      </c>
      <c r="BF466" s="71" t="str">
        <f>IF(AND($AU466=1,$AJ466=1),$BA466*100000+ROW(),"")</f>
        <v/>
      </c>
      <c r="BG466" s="71" t="str">
        <f>IF(AND($AV466=1,$AJ466=1),$BA466*100000+ROW(),"")</f>
        <v/>
      </c>
      <c r="BH466" s="71" t="str">
        <f>IF(AND($AW466=1,$AJ466=1),$BA466*100000+ROW(),"")</f>
        <v/>
      </c>
      <c r="BI466" s="71" t="str">
        <f>IF(AND($AX466=1,$AJ466=1),$BA466*100000+ROW(),"")</f>
        <v/>
      </c>
      <c r="BJ466" s="71" t="str">
        <f>IF(AND($AS466=1,$AJ466=1),$BA466*100000+ROW(),"")</f>
        <v/>
      </c>
      <c r="BK466" s="71" t="str">
        <f>IF(AND($AY466=1,$AJ466=1),$BA466*100000+ROW(),"")</f>
        <v/>
      </c>
      <c r="BL466" s="71" t="str">
        <f>IF(AND($AZ466=1),$BA466*100000+ROW(),"")</f>
        <v/>
      </c>
    </row>
    <row r="467">
      <c r="A467" s="63" t="n"/>
      <c r="B467" s="64" t="n"/>
      <c r="C467" s="64" t="n"/>
      <c r="D467" s="64" t="n"/>
      <c r="E467" s="64" t="n"/>
      <c r="F467" s="64" t="n"/>
      <c r="G467" s="65" t="n"/>
      <c r="H467" s="65" t="n"/>
      <c r="I467" s="64" t="n"/>
      <c r="J467" s="64" t="n"/>
      <c r="K467" s="63" t="n"/>
      <c r="L467" s="63" t="n"/>
      <c r="M467" s="64" t="n"/>
      <c r="N467" s="66" t="n"/>
      <c r="O467" s="65" t="n"/>
      <c r="P467" s="64" t="n"/>
      <c r="Q467" s="67" t="n"/>
      <c r="R467" s="67" t="n"/>
      <c r="S467" s="68" t="str">
        <f>IF(AND(ISNUMBER($Q467),ISNUMBER($R467)),$Q467-$R467,"")</f>
        <v/>
      </c>
      <c r="T467" s="65" t="n"/>
      <c r="U467" s="64" t="n"/>
      <c r="V467" s="65" t="n"/>
      <c r="W467" s="63" t="n"/>
      <c r="X467" s="65" t="n"/>
      <c r="Y467" s="63" t="n"/>
      <c r="Z467" s="64" t="n"/>
      <c r="AA467" s="64" t="n"/>
      <c r="AB467" s="65" t="n"/>
      <c r="AC467" s="69" t="str">
        <f>IF(OR($G467="",NOT(ISNUMBER($K467)),$AK467=0),"",MAX(0,ReportDate-$K467))</f>
        <v/>
      </c>
      <c r="AD467" s="69" t="str">
        <f>IF($G467="","",IF($AL467=1,ReportDate-$L467,0))</f>
        <v/>
      </c>
      <c r="AE467" s="70" t="str">
        <f>IF($G467="","",IF($M467="Completed",1,IF(ISNUMBER($N467),$N467,0)))</f>
        <v/>
      </c>
      <c r="AF467" s="70" t="str">
        <f>IF(AND(ISNUMBER($Q467),ISNUMBER($R467)),IF($R467&lt;&gt;0,$Q467/$R467,""),"")</f>
        <v/>
      </c>
      <c r="AG467" s="71" t="str">
        <f>IF($G467="","",IF($AL467=1,"OVERDUE",IF($AM467=1,"BLOCKED",IF($AN467=1,"DUE TODAY",IF($AO467=1,"DUE TOMORROW",IF($AQ467=1,"HIGH PRIORITY",IF($AR467=1,"NO RECENT UPDATE",""))))))) </f>
        <v/>
      </c>
      <c r="AH467" s="71" t="str">
        <f>IF($G467="","",IF(ISNUMBER($A467),IF(ISNUMBER($A467),YEAR($A467)&amp;"-"&amp;TEXT(MONTH($A467),"00"),""),IF(ISNUMBER($L467),IF(ISNUMBER($L467),YEAR($L467)&amp;"-"&amp;TEXT(MONTH($L467),"00"),""),"")))</f>
        <v/>
      </c>
      <c r="AI467" s="71">
        <f>IF($G467="",0,IF(AND(OR(fClient="All",$C467=fClient),OR(fCampaign="All",$D467=fCampaign),OR(fTeam="All",$B467=fTeam),OR(fChannel="All",$F467=fChannel),OR(fMonth="All",$AH467=fMonth),OR(fTStatus="All",$M467=fTStatus)),1,0))</f>
        <v>0</v>
      </c>
      <c r="AJ467" s="71">
        <f>IF($G467="",0,IF(AND(OR(fClient="All",$C467=fClient),OR(fCampaign="All",$D467=fCampaign),OR(fTeam="All",$B467=fTeam),OR(fChannel="All",$F467=fChannel)),1,0))</f>
        <v>0</v>
      </c>
      <c r="AK467" s="71">
        <f>IF($G467="",0,IF(OR($M467="Completed",$M467="Cancelled"),0,1))</f>
        <v>0</v>
      </c>
      <c r="AL467" s="71">
        <f>IF(AND($AK467=1,ISNUMBER($L467)),IF($L467&lt;ReportDate,1,0),0)</f>
        <v>0</v>
      </c>
      <c r="AM467" s="71">
        <f>IF(AND($G467&lt;&gt;"",$M467="Blocked"),1,0)</f>
        <v>0</v>
      </c>
      <c r="AN467" s="71">
        <f>IF(AND($AK467=1,ISNUMBER($L467)),IF($L467=ReportDate,1,0),0)</f>
        <v>0</v>
      </c>
      <c r="AO467" s="71">
        <f>IF(AND($AK467=1,ISNUMBER($L467)),IF($L467=ReportDate+1,1,0),0)</f>
        <v>0</v>
      </c>
      <c r="AP467" s="71">
        <f>IF(AND($AK467=1,ISNUMBER($L467)),IF(AND($L467&gt;=ReportDate,$L467&lt;=ReportDate+DueSoonDays),1,0),0)</f>
        <v>0</v>
      </c>
      <c r="AQ467" s="71">
        <f>IF(AND($AK467=1,OR($I467="Critical",$I467="High")),1,0)</f>
        <v>0</v>
      </c>
      <c r="AR467" s="71">
        <f>IF($AK467=1,IF(ISNUMBER($Y467),IF(ReportDate-$Y467&gt;StaleDays,1,0),1),0)</f>
        <v>0</v>
      </c>
      <c r="AS467" s="71">
        <f>IF(AND($G467&lt;&gt;"",ISNUMBER($Q467),ISNUMBER($R467)),IF(AND($Q467&lt;$R467,OR($M467="Completed",AND(ISNUMBER($L467),$L467&lt;ReportDate))),1,0),0)</f>
        <v>0</v>
      </c>
      <c r="AT467" s="71">
        <f>IF($AK467=1,IF(OR($L467=ReportDate,$W467=ReportDate,$K467=ReportDate,$A467=ReportDate),1,0),0)</f>
        <v>0</v>
      </c>
      <c r="AU467" s="71">
        <f>IF($AK467=1,IF(OR($L467=ReportDate+1,$W467=ReportDate+1,$K467=ReportDate+1,$A467=ReportDate+1),1,0),0)</f>
        <v>0</v>
      </c>
      <c r="AV467" s="71">
        <f>IF(AND($G467&lt;&gt;"",$M467="Completed"),IF(OR($Y467=ReportDate-1,$A467=ReportDate-1),1,0),0)</f>
        <v>0</v>
      </c>
      <c r="AW467" s="71">
        <f>IF(AND($AK467=1,$Z467="Yes"),1,0)</f>
        <v>0</v>
      </c>
      <c r="AX467" s="71">
        <f>IF(AND($AK467=1,$AA467="Yes"),1,0)</f>
        <v>0</v>
      </c>
      <c r="AY467" s="71">
        <f>IF(AND($AM467=1,OR($I467="Critical",$I467="High")),1,0)</f>
        <v>0</v>
      </c>
      <c r="AZ467" s="71">
        <f>IF(AND($AK467=1,OR($C467=TCL_Client,$C467=MECCA_Client)),1,0)</f>
        <v>0</v>
      </c>
      <c r="BA467" s="71" t="str">
        <f>IF($G467="","",IFERROR(MATCH($I467,lst_Priority,0),5))</f>
        <v/>
      </c>
      <c r="BB467" s="71" t="str">
        <f>IF(AND($AL467=1,$AJ467=1),$BA467*100000+ROW(),"")</f>
        <v/>
      </c>
      <c r="BC467" s="71" t="str">
        <f>IF(AND($AM467=1,$AJ467=1),$BA467*100000+ROW(),"")</f>
        <v/>
      </c>
      <c r="BD467" s="71" t="str">
        <f>IF(AND($AP467=1,$AJ467=1),$BA467*100000+ROW(),"")</f>
        <v/>
      </c>
      <c r="BE467" s="71" t="str">
        <f>IF(AND($AT467=1,$AJ467=1),$BA467*100000+ROW(),"")</f>
        <v/>
      </c>
      <c r="BF467" s="71" t="str">
        <f>IF(AND($AU467=1,$AJ467=1),$BA467*100000+ROW(),"")</f>
        <v/>
      </c>
      <c r="BG467" s="71" t="str">
        <f>IF(AND($AV467=1,$AJ467=1),$BA467*100000+ROW(),"")</f>
        <v/>
      </c>
      <c r="BH467" s="71" t="str">
        <f>IF(AND($AW467=1,$AJ467=1),$BA467*100000+ROW(),"")</f>
        <v/>
      </c>
      <c r="BI467" s="71" t="str">
        <f>IF(AND($AX467=1,$AJ467=1),$BA467*100000+ROW(),"")</f>
        <v/>
      </c>
      <c r="BJ467" s="71" t="str">
        <f>IF(AND($AS467=1,$AJ467=1),$BA467*100000+ROW(),"")</f>
        <v/>
      </c>
      <c r="BK467" s="71" t="str">
        <f>IF(AND($AY467=1,$AJ467=1),$BA467*100000+ROW(),"")</f>
        <v/>
      </c>
      <c r="BL467" s="71" t="str">
        <f>IF(AND($AZ467=1),$BA467*100000+ROW(),"")</f>
        <v/>
      </c>
    </row>
    <row r="468">
      <c r="A468" s="63" t="n"/>
      <c r="B468" s="64" t="n"/>
      <c r="C468" s="64" t="n"/>
      <c r="D468" s="64" t="n"/>
      <c r="E468" s="64" t="n"/>
      <c r="F468" s="64" t="n"/>
      <c r="G468" s="65" t="n"/>
      <c r="H468" s="65" t="n"/>
      <c r="I468" s="64" t="n"/>
      <c r="J468" s="64" t="n"/>
      <c r="K468" s="63" t="n"/>
      <c r="L468" s="63" t="n"/>
      <c r="M468" s="64" t="n"/>
      <c r="N468" s="66" t="n"/>
      <c r="O468" s="65" t="n"/>
      <c r="P468" s="64" t="n"/>
      <c r="Q468" s="67" t="n"/>
      <c r="R468" s="67" t="n"/>
      <c r="S468" s="68" t="str">
        <f>IF(AND(ISNUMBER($Q468),ISNUMBER($R468)),$Q468-$R468,"")</f>
        <v/>
      </c>
      <c r="T468" s="65" t="n"/>
      <c r="U468" s="64" t="n"/>
      <c r="V468" s="65" t="n"/>
      <c r="W468" s="63" t="n"/>
      <c r="X468" s="65" t="n"/>
      <c r="Y468" s="63" t="n"/>
      <c r="Z468" s="64" t="n"/>
      <c r="AA468" s="64" t="n"/>
      <c r="AB468" s="65" t="n"/>
      <c r="AC468" s="69" t="str">
        <f>IF(OR($G468="",NOT(ISNUMBER($K468)),$AK468=0),"",MAX(0,ReportDate-$K468))</f>
        <v/>
      </c>
      <c r="AD468" s="69" t="str">
        <f>IF($G468="","",IF($AL468=1,ReportDate-$L468,0))</f>
        <v/>
      </c>
      <c r="AE468" s="70" t="str">
        <f>IF($G468="","",IF($M468="Completed",1,IF(ISNUMBER($N468),$N468,0)))</f>
        <v/>
      </c>
      <c r="AF468" s="70" t="str">
        <f>IF(AND(ISNUMBER($Q468),ISNUMBER($R468)),IF($R468&lt;&gt;0,$Q468/$R468,""),"")</f>
        <v/>
      </c>
      <c r="AG468" s="71" t="str">
        <f>IF($G468="","",IF($AL468=1,"OVERDUE",IF($AM468=1,"BLOCKED",IF($AN468=1,"DUE TODAY",IF($AO468=1,"DUE TOMORROW",IF($AQ468=1,"HIGH PRIORITY",IF($AR468=1,"NO RECENT UPDATE",""))))))) </f>
        <v/>
      </c>
      <c r="AH468" s="71" t="str">
        <f>IF($G468="","",IF(ISNUMBER($A468),IF(ISNUMBER($A468),YEAR($A468)&amp;"-"&amp;TEXT(MONTH($A468),"00"),""),IF(ISNUMBER($L468),IF(ISNUMBER($L468),YEAR($L468)&amp;"-"&amp;TEXT(MONTH($L468),"00"),""),"")))</f>
        <v/>
      </c>
      <c r="AI468" s="71">
        <f>IF($G468="",0,IF(AND(OR(fClient="All",$C468=fClient),OR(fCampaign="All",$D468=fCampaign),OR(fTeam="All",$B468=fTeam),OR(fChannel="All",$F468=fChannel),OR(fMonth="All",$AH468=fMonth),OR(fTStatus="All",$M468=fTStatus)),1,0))</f>
        <v>0</v>
      </c>
      <c r="AJ468" s="71">
        <f>IF($G468="",0,IF(AND(OR(fClient="All",$C468=fClient),OR(fCampaign="All",$D468=fCampaign),OR(fTeam="All",$B468=fTeam),OR(fChannel="All",$F468=fChannel)),1,0))</f>
        <v>0</v>
      </c>
      <c r="AK468" s="71">
        <f>IF($G468="",0,IF(OR($M468="Completed",$M468="Cancelled"),0,1))</f>
        <v>0</v>
      </c>
      <c r="AL468" s="71">
        <f>IF(AND($AK468=1,ISNUMBER($L468)),IF($L468&lt;ReportDate,1,0),0)</f>
        <v>0</v>
      </c>
      <c r="AM468" s="71">
        <f>IF(AND($G468&lt;&gt;"",$M468="Blocked"),1,0)</f>
        <v>0</v>
      </c>
      <c r="AN468" s="71">
        <f>IF(AND($AK468=1,ISNUMBER($L468)),IF($L468=ReportDate,1,0),0)</f>
        <v>0</v>
      </c>
      <c r="AO468" s="71">
        <f>IF(AND($AK468=1,ISNUMBER($L468)),IF($L468=ReportDate+1,1,0),0)</f>
        <v>0</v>
      </c>
      <c r="AP468" s="71">
        <f>IF(AND($AK468=1,ISNUMBER($L468)),IF(AND($L468&gt;=ReportDate,$L468&lt;=ReportDate+DueSoonDays),1,0),0)</f>
        <v>0</v>
      </c>
      <c r="AQ468" s="71">
        <f>IF(AND($AK468=1,OR($I468="Critical",$I468="High")),1,0)</f>
        <v>0</v>
      </c>
      <c r="AR468" s="71">
        <f>IF($AK468=1,IF(ISNUMBER($Y468),IF(ReportDate-$Y468&gt;StaleDays,1,0),1),0)</f>
        <v>0</v>
      </c>
      <c r="AS468" s="71">
        <f>IF(AND($G468&lt;&gt;"",ISNUMBER($Q468),ISNUMBER($R468)),IF(AND($Q468&lt;$R468,OR($M468="Completed",AND(ISNUMBER($L468),$L468&lt;ReportDate))),1,0),0)</f>
        <v>0</v>
      </c>
      <c r="AT468" s="71">
        <f>IF($AK468=1,IF(OR($L468=ReportDate,$W468=ReportDate,$K468=ReportDate,$A468=ReportDate),1,0),0)</f>
        <v>0</v>
      </c>
      <c r="AU468" s="71">
        <f>IF($AK468=1,IF(OR($L468=ReportDate+1,$W468=ReportDate+1,$K468=ReportDate+1,$A468=ReportDate+1),1,0),0)</f>
        <v>0</v>
      </c>
      <c r="AV468" s="71">
        <f>IF(AND($G468&lt;&gt;"",$M468="Completed"),IF(OR($Y468=ReportDate-1,$A468=ReportDate-1),1,0),0)</f>
        <v>0</v>
      </c>
      <c r="AW468" s="71">
        <f>IF(AND($AK468=1,$Z468="Yes"),1,0)</f>
        <v>0</v>
      </c>
      <c r="AX468" s="71">
        <f>IF(AND($AK468=1,$AA468="Yes"),1,0)</f>
        <v>0</v>
      </c>
      <c r="AY468" s="71">
        <f>IF(AND($AM468=1,OR($I468="Critical",$I468="High")),1,0)</f>
        <v>0</v>
      </c>
      <c r="AZ468" s="71">
        <f>IF(AND($AK468=1,OR($C468=TCL_Client,$C468=MECCA_Client)),1,0)</f>
        <v>0</v>
      </c>
      <c r="BA468" s="71" t="str">
        <f>IF($G468="","",IFERROR(MATCH($I468,lst_Priority,0),5))</f>
        <v/>
      </c>
      <c r="BB468" s="71" t="str">
        <f>IF(AND($AL468=1,$AJ468=1),$BA468*100000+ROW(),"")</f>
        <v/>
      </c>
      <c r="BC468" s="71" t="str">
        <f>IF(AND($AM468=1,$AJ468=1),$BA468*100000+ROW(),"")</f>
        <v/>
      </c>
      <c r="BD468" s="71" t="str">
        <f>IF(AND($AP468=1,$AJ468=1),$BA468*100000+ROW(),"")</f>
        <v/>
      </c>
      <c r="BE468" s="71" t="str">
        <f>IF(AND($AT468=1,$AJ468=1),$BA468*100000+ROW(),"")</f>
        <v/>
      </c>
      <c r="BF468" s="71" t="str">
        <f>IF(AND($AU468=1,$AJ468=1),$BA468*100000+ROW(),"")</f>
        <v/>
      </c>
      <c r="BG468" s="71" t="str">
        <f>IF(AND($AV468=1,$AJ468=1),$BA468*100000+ROW(),"")</f>
        <v/>
      </c>
      <c r="BH468" s="71" t="str">
        <f>IF(AND($AW468=1,$AJ468=1),$BA468*100000+ROW(),"")</f>
        <v/>
      </c>
      <c r="BI468" s="71" t="str">
        <f>IF(AND($AX468=1,$AJ468=1),$BA468*100000+ROW(),"")</f>
        <v/>
      </c>
      <c r="BJ468" s="71" t="str">
        <f>IF(AND($AS468=1,$AJ468=1),$BA468*100000+ROW(),"")</f>
        <v/>
      </c>
      <c r="BK468" s="71" t="str">
        <f>IF(AND($AY468=1,$AJ468=1),$BA468*100000+ROW(),"")</f>
        <v/>
      </c>
      <c r="BL468" s="71" t="str">
        <f>IF(AND($AZ468=1),$BA468*100000+ROW(),"")</f>
        <v/>
      </c>
    </row>
    <row r="469">
      <c r="A469" s="63" t="n"/>
      <c r="B469" s="64" t="n"/>
      <c r="C469" s="64" t="n"/>
      <c r="D469" s="64" t="n"/>
      <c r="E469" s="64" t="n"/>
      <c r="F469" s="64" t="n"/>
      <c r="G469" s="65" t="n"/>
      <c r="H469" s="65" t="n"/>
      <c r="I469" s="64" t="n"/>
      <c r="J469" s="64" t="n"/>
      <c r="K469" s="63" t="n"/>
      <c r="L469" s="63" t="n"/>
      <c r="M469" s="64" t="n"/>
      <c r="N469" s="66" t="n"/>
      <c r="O469" s="65" t="n"/>
      <c r="P469" s="64" t="n"/>
      <c r="Q469" s="67" t="n"/>
      <c r="R469" s="67" t="n"/>
      <c r="S469" s="68" t="str">
        <f>IF(AND(ISNUMBER($Q469),ISNUMBER($R469)),$Q469-$R469,"")</f>
        <v/>
      </c>
      <c r="T469" s="65" t="n"/>
      <c r="U469" s="64" t="n"/>
      <c r="V469" s="65" t="n"/>
      <c r="W469" s="63" t="n"/>
      <c r="X469" s="65" t="n"/>
      <c r="Y469" s="63" t="n"/>
      <c r="Z469" s="64" t="n"/>
      <c r="AA469" s="64" t="n"/>
      <c r="AB469" s="65" t="n"/>
      <c r="AC469" s="69" t="str">
        <f>IF(OR($G469="",NOT(ISNUMBER($K469)),$AK469=0),"",MAX(0,ReportDate-$K469))</f>
        <v/>
      </c>
      <c r="AD469" s="69" t="str">
        <f>IF($G469="","",IF($AL469=1,ReportDate-$L469,0))</f>
        <v/>
      </c>
      <c r="AE469" s="70" t="str">
        <f>IF($G469="","",IF($M469="Completed",1,IF(ISNUMBER($N469),$N469,0)))</f>
        <v/>
      </c>
      <c r="AF469" s="70" t="str">
        <f>IF(AND(ISNUMBER($Q469),ISNUMBER($R469)),IF($R469&lt;&gt;0,$Q469/$R469,""),"")</f>
        <v/>
      </c>
      <c r="AG469" s="71" t="str">
        <f>IF($G469="","",IF($AL469=1,"OVERDUE",IF($AM469=1,"BLOCKED",IF($AN469=1,"DUE TODAY",IF($AO469=1,"DUE TOMORROW",IF($AQ469=1,"HIGH PRIORITY",IF($AR469=1,"NO RECENT UPDATE",""))))))) </f>
        <v/>
      </c>
      <c r="AH469" s="71" t="str">
        <f>IF($G469="","",IF(ISNUMBER($A469),IF(ISNUMBER($A469),YEAR($A469)&amp;"-"&amp;TEXT(MONTH($A469),"00"),""),IF(ISNUMBER($L469),IF(ISNUMBER($L469),YEAR($L469)&amp;"-"&amp;TEXT(MONTH($L469),"00"),""),"")))</f>
        <v/>
      </c>
      <c r="AI469" s="71">
        <f>IF($G469="",0,IF(AND(OR(fClient="All",$C469=fClient),OR(fCampaign="All",$D469=fCampaign),OR(fTeam="All",$B469=fTeam),OR(fChannel="All",$F469=fChannel),OR(fMonth="All",$AH469=fMonth),OR(fTStatus="All",$M469=fTStatus)),1,0))</f>
        <v>0</v>
      </c>
      <c r="AJ469" s="71">
        <f>IF($G469="",0,IF(AND(OR(fClient="All",$C469=fClient),OR(fCampaign="All",$D469=fCampaign),OR(fTeam="All",$B469=fTeam),OR(fChannel="All",$F469=fChannel)),1,0))</f>
        <v>0</v>
      </c>
      <c r="AK469" s="71">
        <f>IF($G469="",0,IF(OR($M469="Completed",$M469="Cancelled"),0,1))</f>
        <v>0</v>
      </c>
      <c r="AL469" s="71">
        <f>IF(AND($AK469=1,ISNUMBER($L469)),IF($L469&lt;ReportDate,1,0),0)</f>
        <v>0</v>
      </c>
      <c r="AM469" s="71">
        <f>IF(AND($G469&lt;&gt;"",$M469="Blocked"),1,0)</f>
        <v>0</v>
      </c>
      <c r="AN469" s="71">
        <f>IF(AND($AK469=1,ISNUMBER($L469)),IF($L469=ReportDate,1,0),0)</f>
        <v>0</v>
      </c>
      <c r="AO469" s="71">
        <f>IF(AND($AK469=1,ISNUMBER($L469)),IF($L469=ReportDate+1,1,0),0)</f>
        <v>0</v>
      </c>
      <c r="AP469" s="71">
        <f>IF(AND($AK469=1,ISNUMBER($L469)),IF(AND($L469&gt;=ReportDate,$L469&lt;=ReportDate+DueSoonDays),1,0),0)</f>
        <v>0</v>
      </c>
      <c r="AQ469" s="71">
        <f>IF(AND($AK469=1,OR($I469="Critical",$I469="High")),1,0)</f>
        <v>0</v>
      </c>
      <c r="AR469" s="71">
        <f>IF($AK469=1,IF(ISNUMBER($Y469),IF(ReportDate-$Y469&gt;StaleDays,1,0),1),0)</f>
        <v>0</v>
      </c>
      <c r="AS469" s="71">
        <f>IF(AND($G469&lt;&gt;"",ISNUMBER($Q469),ISNUMBER($R469)),IF(AND($Q469&lt;$R469,OR($M469="Completed",AND(ISNUMBER($L469),$L469&lt;ReportDate))),1,0),0)</f>
        <v>0</v>
      </c>
      <c r="AT469" s="71">
        <f>IF($AK469=1,IF(OR($L469=ReportDate,$W469=ReportDate,$K469=ReportDate,$A469=ReportDate),1,0),0)</f>
        <v>0</v>
      </c>
      <c r="AU469" s="71">
        <f>IF($AK469=1,IF(OR($L469=ReportDate+1,$W469=ReportDate+1,$K469=ReportDate+1,$A469=ReportDate+1),1,0),0)</f>
        <v>0</v>
      </c>
      <c r="AV469" s="71">
        <f>IF(AND($G469&lt;&gt;"",$M469="Completed"),IF(OR($Y469=ReportDate-1,$A469=ReportDate-1),1,0),0)</f>
        <v>0</v>
      </c>
      <c r="AW469" s="71">
        <f>IF(AND($AK469=1,$Z469="Yes"),1,0)</f>
        <v>0</v>
      </c>
      <c r="AX469" s="71">
        <f>IF(AND($AK469=1,$AA469="Yes"),1,0)</f>
        <v>0</v>
      </c>
      <c r="AY469" s="71">
        <f>IF(AND($AM469=1,OR($I469="Critical",$I469="High")),1,0)</f>
        <v>0</v>
      </c>
      <c r="AZ469" s="71">
        <f>IF(AND($AK469=1,OR($C469=TCL_Client,$C469=MECCA_Client)),1,0)</f>
        <v>0</v>
      </c>
      <c r="BA469" s="71" t="str">
        <f>IF($G469="","",IFERROR(MATCH($I469,lst_Priority,0),5))</f>
        <v/>
      </c>
      <c r="BB469" s="71" t="str">
        <f>IF(AND($AL469=1,$AJ469=1),$BA469*100000+ROW(),"")</f>
        <v/>
      </c>
      <c r="BC469" s="71" t="str">
        <f>IF(AND($AM469=1,$AJ469=1),$BA469*100000+ROW(),"")</f>
        <v/>
      </c>
      <c r="BD469" s="71" t="str">
        <f>IF(AND($AP469=1,$AJ469=1),$BA469*100000+ROW(),"")</f>
        <v/>
      </c>
      <c r="BE469" s="71" t="str">
        <f>IF(AND($AT469=1,$AJ469=1),$BA469*100000+ROW(),"")</f>
        <v/>
      </c>
      <c r="BF469" s="71" t="str">
        <f>IF(AND($AU469=1,$AJ469=1),$BA469*100000+ROW(),"")</f>
        <v/>
      </c>
      <c r="BG469" s="71" t="str">
        <f>IF(AND($AV469=1,$AJ469=1),$BA469*100000+ROW(),"")</f>
        <v/>
      </c>
      <c r="BH469" s="71" t="str">
        <f>IF(AND($AW469=1,$AJ469=1),$BA469*100000+ROW(),"")</f>
        <v/>
      </c>
      <c r="BI469" s="71" t="str">
        <f>IF(AND($AX469=1,$AJ469=1),$BA469*100000+ROW(),"")</f>
        <v/>
      </c>
      <c r="BJ469" s="71" t="str">
        <f>IF(AND($AS469=1,$AJ469=1),$BA469*100000+ROW(),"")</f>
        <v/>
      </c>
      <c r="BK469" s="71" t="str">
        <f>IF(AND($AY469=1,$AJ469=1),$BA469*100000+ROW(),"")</f>
        <v/>
      </c>
      <c r="BL469" s="71" t="str">
        <f>IF(AND($AZ469=1),$BA469*100000+ROW(),"")</f>
        <v/>
      </c>
    </row>
    <row r="470">
      <c r="A470" s="63" t="n"/>
      <c r="B470" s="64" t="n"/>
      <c r="C470" s="64" t="n"/>
      <c r="D470" s="64" t="n"/>
      <c r="E470" s="64" t="n"/>
      <c r="F470" s="64" t="n"/>
      <c r="G470" s="65" t="n"/>
      <c r="H470" s="65" t="n"/>
      <c r="I470" s="64" t="n"/>
      <c r="J470" s="64" t="n"/>
      <c r="K470" s="63" t="n"/>
      <c r="L470" s="63" t="n"/>
      <c r="M470" s="64" t="n"/>
      <c r="N470" s="66" t="n"/>
      <c r="O470" s="65" t="n"/>
      <c r="P470" s="64" t="n"/>
      <c r="Q470" s="67" t="n"/>
      <c r="R470" s="67" t="n"/>
      <c r="S470" s="68" t="str">
        <f>IF(AND(ISNUMBER($Q470),ISNUMBER($R470)),$Q470-$R470,"")</f>
        <v/>
      </c>
      <c r="T470" s="65" t="n"/>
      <c r="U470" s="64" t="n"/>
      <c r="V470" s="65" t="n"/>
      <c r="W470" s="63" t="n"/>
      <c r="X470" s="65" t="n"/>
      <c r="Y470" s="63" t="n"/>
      <c r="Z470" s="64" t="n"/>
      <c r="AA470" s="64" t="n"/>
      <c r="AB470" s="65" t="n"/>
      <c r="AC470" s="69" t="str">
        <f>IF(OR($G470="",NOT(ISNUMBER($K470)),$AK470=0),"",MAX(0,ReportDate-$K470))</f>
        <v/>
      </c>
      <c r="AD470" s="69" t="str">
        <f>IF($G470="","",IF($AL470=1,ReportDate-$L470,0))</f>
        <v/>
      </c>
      <c r="AE470" s="70" t="str">
        <f>IF($G470="","",IF($M470="Completed",1,IF(ISNUMBER($N470),$N470,0)))</f>
        <v/>
      </c>
      <c r="AF470" s="70" t="str">
        <f>IF(AND(ISNUMBER($Q470),ISNUMBER($R470)),IF($R470&lt;&gt;0,$Q470/$R470,""),"")</f>
        <v/>
      </c>
      <c r="AG470" s="71" t="str">
        <f>IF($G470="","",IF($AL470=1,"OVERDUE",IF($AM470=1,"BLOCKED",IF($AN470=1,"DUE TODAY",IF($AO470=1,"DUE TOMORROW",IF($AQ470=1,"HIGH PRIORITY",IF($AR470=1,"NO RECENT UPDATE",""))))))) </f>
        <v/>
      </c>
      <c r="AH470" s="71" t="str">
        <f>IF($G470="","",IF(ISNUMBER($A470),IF(ISNUMBER($A470),YEAR($A470)&amp;"-"&amp;TEXT(MONTH($A470),"00"),""),IF(ISNUMBER($L470),IF(ISNUMBER($L470),YEAR($L470)&amp;"-"&amp;TEXT(MONTH($L470),"00"),""),"")))</f>
        <v/>
      </c>
      <c r="AI470" s="71">
        <f>IF($G470="",0,IF(AND(OR(fClient="All",$C470=fClient),OR(fCampaign="All",$D470=fCampaign),OR(fTeam="All",$B470=fTeam),OR(fChannel="All",$F470=fChannel),OR(fMonth="All",$AH470=fMonth),OR(fTStatus="All",$M470=fTStatus)),1,0))</f>
        <v>0</v>
      </c>
      <c r="AJ470" s="71">
        <f>IF($G470="",0,IF(AND(OR(fClient="All",$C470=fClient),OR(fCampaign="All",$D470=fCampaign),OR(fTeam="All",$B470=fTeam),OR(fChannel="All",$F470=fChannel)),1,0))</f>
        <v>0</v>
      </c>
      <c r="AK470" s="71">
        <f>IF($G470="",0,IF(OR($M470="Completed",$M470="Cancelled"),0,1))</f>
        <v>0</v>
      </c>
      <c r="AL470" s="71">
        <f>IF(AND($AK470=1,ISNUMBER($L470)),IF($L470&lt;ReportDate,1,0),0)</f>
        <v>0</v>
      </c>
      <c r="AM470" s="71">
        <f>IF(AND($G470&lt;&gt;"",$M470="Blocked"),1,0)</f>
        <v>0</v>
      </c>
      <c r="AN470" s="71">
        <f>IF(AND($AK470=1,ISNUMBER($L470)),IF($L470=ReportDate,1,0),0)</f>
        <v>0</v>
      </c>
      <c r="AO470" s="71">
        <f>IF(AND($AK470=1,ISNUMBER($L470)),IF($L470=ReportDate+1,1,0),0)</f>
        <v>0</v>
      </c>
      <c r="AP470" s="71">
        <f>IF(AND($AK470=1,ISNUMBER($L470)),IF(AND($L470&gt;=ReportDate,$L470&lt;=ReportDate+DueSoonDays),1,0),0)</f>
        <v>0</v>
      </c>
      <c r="AQ470" s="71">
        <f>IF(AND($AK470=1,OR($I470="Critical",$I470="High")),1,0)</f>
        <v>0</v>
      </c>
      <c r="AR470" s="71">
        <f>IF($AK470=1,IF(ISNUMBER($Y470),IF(ReportDate-$Y470&gt;StaleDays,1,0),1),0)</f>
        <v>0</v>
      </c>
      <c r="AS470" s="71">
        <f>IF(AND($G470&lt;&gt;"",ISNUMBER($Q470),ISNUMBER($R470)),IF(AND($Q470&lt;$R470,OR($M470="Completed",AND(ISNUMBER($L470),$L470&lt;ReportDate))),1,0),0)</f>
        <v>0</v>
      </c>
      <c r="AT470" s="71">
        <f>IF($AK470=1,IF(OR($L470=ReportDate,$W470=ReportDate,$K470=ReportDate,$A470=ReportDate),1,0),0)</f>
        <v>0</v>
      </c>
      <c r="AU470" s="71">
        <f>IF($AK470=1,IF(OR($L470=ReportDate+1,$W470=ReportDate+1,$K470=ReportDate+1,$A470=ReportDate+1),1,0),0)</f>
        <v>0</v>
      </c>
      <c r="AV470" s="71">
        <f>IF(AND($G470&lt;&gt;"",$M470="Completed"),IF(OR($Y470=ReportDate-1,$A470=ReportDate-1),1,0),0)</f>
        <v>0</v>
      </c>
      <c r="AW470" s="71">
        <f>IF(AND($AK470=1,$Z470="Yes"),1,0)</f>
        <v>0</v>
      </c>
      <c r="AX470" s="71">
        <f>IF(AND($AK470=1,$AA470="Yes"),1,0)</f>
        <v>0</v>
      </c>
      <c r="AY470" s="71">
        <f>IF(AND($AM470=1,OR($I470="Critical",$I470="High")),1,0)</f>
        <v>0</v>
      </c>
      <c r="AZ470" s="71">
        <f>IF(AND($AK470=1,OR($C470=TCL_Client,$C470=MECCA_Client)),1,0)</f>
        <v>0</v>
      </c>
      <c r="BA470" s="71" t="str">
        <f>IF($G470="","",IFERROR(MATCH($I470,lst_Priority,0),5))</f>
        <v/>
      </c>
      <c r="BB470" s="71" t="str">
        <f>IF(AND($AL470=1,$AJ470=1),$BA470*100000+ROW(),"")</f>
        <v/>
      </c>
      <c r="BC470" s="71" t="str">
        <f>IF(AND($AM470=1,$AJ470=1),$BA470*100000+ROW(),"")</f>
        <v/>
      </c>
      <c r="BD470" s="71" t="str">
        <f>IF(AND($AP470=1,$AJ470=1),$BA470*100000+ROW(),"")</f>
        <v/>
      </c>
      <c r="BE470" s="71" t="str">
        <f>IF(AND($AT470=1,$AJ470=1),$BA470*100000+ROW(),"")</f>
        <v/>
      </c>
      <c r="BF470" s="71" t="str">
        <f>IF(AND($AU470=1,$AJ470=1),$BA470*100000+ROW(),"")</f>
        <v/>
      </c>
      <c r="BG470" s="71" t="str">
        <f>IF(AND($AV470=1,$AJ470=1),$BA470*100000+ROW(),"")</f>
        <v/>
      </c>
      <c r="BH470" s="71" t="str">
        <f>IF(AND($AW470=1,$AJ470=1),$BA470*100000+ROW(),"")</f>
        <v/>
      </c>
      <c r="BI470" s="71" t="str">
        <f>IF(AND($AX470=1,$AJ470=1),$BA470*100000+ROW(),"")</f>
        <v/>
      </c>
      <c r="BJ470" s="71" t="str">
        <f>IF(AND($AS470=1,$AJ470=1),$BA470*100000+ROW(),"")</f>
        <v/>
      </c>
      <c r="BK470" s="71" t="str">
        <f>IF(AND($AY470=1,$AJ470=1),$BA470*100000+ROW(),"")</f>
        <v/>
      </c>
      <c r="BL470" s="71" t="str">
        <f>IF(AND($AZ470=1),$BA470*100000+ROW(),"")</f>
        <v/>
      </c>
    </row>
    <row r="471">
      <c r="A471" s="63" t="n"/>
      <c r="B471" s="64" t="n"/>
      <c r="C471" s="64" t="n"/>
      <c r="D471" s="64" t="n"/>
      <c r="E471" s="64" t="n"/>
      <c r="F471" s="64" t="n"/>
      <c r="G471" s="65" t="n"/>
      <c r="H471" s="65" t="n"/>
      <c r="I471" s="64" t="n"/>
      <c r="J471" s="64" t="n"/>
      <c r="K471" s="63" t="n"/>
      <c r="L471" s="63" t="n"/>
      <c r="M471" s="64" t="n"/>
      <c r="N471" s="66" t="n"/>
      <c r="O471" s="65" t="n"/>
      <c r="P471" s="64" t="n"/>
      <c r="Q471" s="67" t="n"/>
      <c r="R471" s="67" t="n"/>
      <c r="S471" s="68" t="str">
        <f>IF(AND(ISNUMBER($Q471),ISNUMBER($R471)),$Q471-$R471,"")</f>
        <v/>
      </c>
      <c r="T471" s="65" t="n"/>
      <c r="U471" s="64" t="n"/>
      <c r="V471" s="65" t="n"/>
      <c r="W471" s="63" t="n"/>
      <c r="X471" s="65" t="n"/>
      <c r="Y471" s="63" t="n"/>
      <c r="Z471" s="64" t="n"/>
      <c r="AA471" s="64" t="n"/>
      <c r="AB471" s="65" t="n"/>
      <c r="AC471" s="69" t="str">
        <f>IF(OR($G471="",NOT(ISNUMBER($K471)),$AK471=0),"",MAX(0,ReportDate-$K471))</f>
        <v/>
      </c>
      <c r="AD471" s="69" t="str">
        <f>IF($G471="","",IF($AL471=1,ReportDate-$L471,0))</f>
        <v/>
      </c>
      <c r="AE471" s="70" t="str">
        <f>IF($G471="","",IF($M471="Completed",1,IF(ISNUMBER($N471),$N471,0)))</f>
        <v/>
      </c>
      <c r="AF471" s="70" t="str">
        <f>IF(AND(ISNUMBER($Q471),ISNUMBER($R471)),IF($R471&lt;&gt;0,$Q471/$R471,""),"")</f>
        <v/>
      </c>
      <c r="AG471" s="71" t="str">
        <f>IF($G471="","",IF($AL471=1,"OVERDUE",IF($AM471=1,"BLOCKED",IF($AN471=1,"DUE TODAY",IF($AO471=1,"DUE TOMORROW",IF($AQ471=1,"HIGH PRIORITY",IF($AR471=1,"NO RECENT UPDATE",""))))))) </f>
        <v/>
      </c>
      <c r="AH471" s="71" t="str">
        <f>IF($G471="","",IF(ISNUMBER($A471),IF(ISNUMBER($A471),YEAR($A471)&amp;"-"&amp;TEXT(MONTH($A471),"00"),""),IF(ISNUMBER($L471),IF(ISNUMBER($L471),YEAR($L471)&amp;"-"&amp;TEXT(MONTH($L471),"00"),""),"")))</f>
        <v/>
      </c>
      <c r="AI471" s="71">
        <f>IF($G471="",0,IF(AND(OR(fClient="All",$C471=fClient),OR(fCampaign="All",$D471=fCampaign),OR(fTeam="All",$B471=fTeam),OR(fChannel="All",$F471=fChannel),OR(fMonth="All",$AH471=fMonth),OR(fTStatus="All",$M471=fTStatus)),1,0))</f>
        <v>0</v>
      </c>
      <c r="AJ471" s="71">
        <f>IF($G471="",0,IF(AND(OR(fClient="All",$C471=fClient),OR(fCampaign="All",$D471=fCampaign),OR(fTeam="All",$B471=fTeam),OR(fChannel="All",$F471=fChannel)),1,0))</f>
        <v>0</v>
      </c>
      <c r="AK471" s="71">
        <f>IF($G471="",0,IF(OR($M471="Completed",$M471="Cancelled"),0,1))</f>
        <v>0</v>
      </c>
      <c r="AL471" s="71">
        <f>IF(AND($AK471=1,ISNUMBER($L471)),IF($L471&lt;ReportDate,1,0),0)</f>
        <v>0</v>
      </c>
      <c r="AM471" s="71">
        <f>IF(AND($G471&lt;&gt;"",$M471="Blocked"),1,0)</f>
        <v>0</v>
      </c>
      <c r="AN471" s="71">
        <f>IF(AND($AK471=1,ISNUMBER($L471)),IF($L471=ReportDate,1,0),0)</f>
        <v>0</v>
      </c>
      <c r="AO471" s="71">
        <f>IF(AND($AK471=1,ISNUMBER($L471)),IF($L471=ReportDate+1,1,0),0)</f>
        <v>0</v>
      </c>
      <c r="AP471" s="71">
        <f>IF(AND($AK471=1,ISNUMBER($L471)),IF(AND($L471&gt;=ReportDate,$L471&lt;=ReportDate+DueSoonDays),1,0),0)</f>
        <v>0</v>
      </c>
      <c r="AQ471" s="71">
        <f>IF(AND($AK471=1,OR($I471="Critical",$I471="High")),1,0)</f>
        <v>0</v>
      </c>
      <c r="AR471" s="71">
        <f>IF($AK471=1,IF(ISNUMBER($Y471),IF(ReportDate-$Y471&gt;StaleDays,1,0),1),0)</f>
        <v>0</v>
      </c>
      <c r="AS471" s="71">
        <f>IF(AND($G471&lt;&gt;"",ISNUMBER($Q471),ISNUMBER($R471)),IF(AND($Q471&lt;$R471,OR($M471="Completed",AND(ISNUMBER($L471),$L471&lt;ReportDate))),1,0),0)</f>
        <v>0</v>
      </c>
      <c r="AT471" s="71">
        <f>IF($AK471=1,IF(OR($L471=ReportDate,$W471=ReportDate,$K471=ReportDate,$A471=ReportDate),1,0),0)</f>
        <v>0</v>
      </c>
      <c r="AU471" s="71">
        <f>IF($AK471=1,IF(OR($L471=ReportDate+1,$W471=ReportDate+1,$K471=ReportDate+1,$A471=ReportDate+1),1,0),0)</f>
        <v>0</v>
      </c>
      <c r="AV471" s="71">
        <f>IF(AND($G471&lt;&gt;"",$M471="Completed"),IF(OR($Y471=ReportDate-1,$A471=ReportDate-1),1,0),0)</f>
        <v>0</v>
      </c>
      <c r="AW471" s="71">
        <f>IF(AND($AK471=1,$Z471="Yes"),1,0)</f>
        <v>0</v>
      </c>
      <c r="AX471" s="71">
        <f>IF(AND($AK471=1,$AA471="Yes"),1,0)</f>
        <v>0</v>
      </c>
      <c r="AY471" s="71">
        <f>IF(AND($AM471=1,OR($I471="Critical",$I471="High")),1,0)</f>
        <v>0</v>
      </c>
      <c r="AZ471" s="71">
        <f>IF(AND($AK471=1,OR($C471=TCL_Client,$C471=MECCA_Client)),1,0)</f>
        <v>0</v>
      </c>
      <c r="BA471" s="71" t="str">
        <f>IF($G471="","",IFERROR(MATCH($I471,lst_Priority,0),5))</f>
        <v/>
      </c>
      <c r="BB471" s="71" t="str">
        <f>IF(AND($AL471=1,$AJ471=1),$BA471*100000+ROW(),"")</f>
        <v/>
      </c>
      <c r="BC471" s="71" t="str">
        <f>IF(AND($AM471=1,$AJ471=1),$BA471*100000+ROW(),"")</f>
        <v/>
      </c>
      <c r="BD471" s="71" t="str">
        <f>IF(AND($AP471=1,$AJ471=1),$BA471*100000+ROW(),"")</f>
        <v/>
      </c>
      <c r="BE471" s="71" t="str">
        <f>IF(AND($AT471=1,$AJ471=1),$BA471*100000+ROW(),"")</f>
        <v/>
      </c>
      <c r="BF471" s="71" t="str">
        <f>IF(AND($AU471=1,$AJ471=1),$BA471*100000+ROW(),"")</f>
        <v/>
      </c>
      <c r="BG471" s="71" t="str">
        <f>IF(AND($AV471=1,$AJ471=1),$BA471*100000+ROW(),"")</f>
        <v/>
      </c>
      <c r="BH471" s="71" t="str">
        <f>IF(AND($AW471=1,$AJ471=1),$BA471*100000+ROW(),"")</f>
        <v/>
      </c>
      <c r="BI471" s="71" t="str">
        <f>IF(AND($AX471=1,$AJ471=1),$BA471*100000+ROW(),"")</f>
        <v/>
      </c>
      <c r="BJ471" s="71" t="str">
        <f>IF(AND($AS471=1,$AJ471=1),$BA471*100000+ROW(),"")</f>
        <v/>
      </c>
      <c r="BK471" s="71" t="str">
        <f>IF(AND($AY471=1,$AJ471=1),$BA471*100000+ROW(),"")</f>
        <v/>
      </c>
      <c r="BL471" s="71" t="str">
        <f>IF(AND($AZ471=1),$BA471*100000+ROW(),"")</f>
        <v/>
      </c>
    </row>
    <row r="472">
      <c r="A472" s="63" t="n"/>
      <c r="B472" s="64" t="n"/>
      <c r="C472" s="64" t="n"/>
      <c r="D472" s="64" t="n"/>
      <c r="E472" s="64" t="n"/>
      <c r="F472" s="64" t="n"/>
      <c r="G472" s="65" t="n"/>
      <c r="H472" s="65" t="n"/>
      <c r="I472" s="64" t="n"/>
      <c r="J472" s="64" t="n"/>
      <c r="K472" s="63" t="n"/>
      <c r="L472" s="63" t="n"/>
      <c r="M472" s="64" t="n"/>
      <c r="N472" s="66" t="n"/>
      <c r="O472" s="65" t="n"/>
      <c r="P472" s="64" t="n"/>
      <c r="Q472" s="67" t="n"/>
      <c r="R472" s="67" t="n"/>
      <c r="S472" s="68" t="str">
        <f>IF(AND(ISNUMBER($Q472),ISNUMBER($R472)),$Q472-$R472,"")</f>
        <v/>
      </c>
      <c r="T472" s="65" t="n"/>
      <c r="U472" s="64" t="n"/>
      <c r="V472" s="65" t="n"/>
      <c r="W472" s="63" t="n"/>
      <c r="X472" s="65" t="n"/>
      <c r="Y472" s="63" t="n"/>
      <c r="Z472" s="64" t="n"/>
      <c r="AA472" s="64" t="n"/>
      <c r="AB472" s="65" t="n"/>
      <c r="AC472" s="69" t="str">
        <f>IF(OR($G472="",NOT(ISNUMBER($K472)),$AK472=0),"",MAX(0,ReportDate-$K472))</f>
        <v/>
      </c>
      <c r="AD472" s="69" t="str">
        <f>IF($G472="","",IF($AL472=1,ReportDate-$L472,0))</f>
        <v/>
      </c>
      <c r="AE472" s="70" t="str">
        <f>IF($G472="","",IF($M472="Completed",1,IF(ISNUMBER($N472),$N472,0)))</f>
        <v/>
      </c>
      <c r="AF472" s="70" t="str">
        <f>IF(AND(ISNUMBER($Q472),ISNUMBER($R472)),IF($R472&lt;&gt;0,$Q472/$R472,""),"")</f>
        <v/>
      </c>
      <c r="AG472" s="71" t="str">
        <f>IF($G472="","",IF($AL472=1,"OVERDUE",IF($AM472=1,"BLOCKED",IF($AN472=1,"DUE TODAY",IF($AO472=1,"DUE TOMORROW",IF($AQ472=1,"HIGH PRIORITY",IF($AR472=1,"NO RECENT UPDATE",""))))))) </f>
        <v/>
      </c>
      <c r="AH472" s="71" t="str">
        <f>IF($G472="","",IF(ISNUMBER($A472),IF(ISNUMBER($A472),YEAR($A472)&amp;"-"&amp;TEXT(MONTH($A472),"00"),""),IF(ISNUMBER($L472),IF(ISNUMBER($L472),YEAR($L472)&amp;"-"&amp;TEXT(MONTH($L472),"00"),""),"")))</f>
        <v/>
      </c>
      <c r="AI472" s="71">
        <f>IF($G472="",0,IF(AND(OR(fClient="All",$C472=fClient),OR(fCampaign="All",$D472=fCampaign),OR(fTeam="All",$B472=fTeam),OR(fChannel="All",$F472=fChannel),OR(fMonth="All",$AH472=fMonth),OR(fTStatus="All",$M472=fTStatus)),1,0))</f>
        <v>0</v>
      </c>
      <c r="AJ472" s="71">
        <f>IF($G472="",0,IF(AND(OR(fClient="All",$C472=fClient),OR(fCampaign="All",$D472=fCampaign),OR(fTeam="All",$B472=fTeam),OR(fChannel="All",$F472=fChannel)),1,0))</f>
        <v>0</v>
      </c>
      <c r="AK472" s="71">
        <f>IF($G472="",0,IF(OR($M472="Completed",$M472="Cancelled"),0,1))</f>
        <v>0</v>
      </c>
      <c r="AL472" s="71">
        <f>IF(AND($AK472=1,ISNUMBER($L472)),IF($L472&lt;ReportDate,1,0),0)</f>
        <v>0</v>
      </c>
      <c r="AM472" s="71">
        <f>IF(AND($G472&lt;&gt;"",$M472="Blocked"),1,0)</f>
        <v>0</v>
      </c>
      <c r="AN472" s="71">
        <f>IF(AND($AK472=1,ISNUMBER($L472)),IF($L472=ReportDate,1,0),0)</f>
        <v>0</v>
      </c>
      <c r="AO472" s="71">
        <f>IF(AND($AK472=1,ISNUMBER($L472)),IF($L472=ReportDate+1,1,0),0)</f>
        <v>0</v>
      </c>
      <c r="AP472" s="71">
        <f>IF(AND($AK472=1,ISNUMBER($L472)),IF(AND($L472&gt;=ReportDate,$L472&lt;=ReportDate+DueSoonDays),1,0),0)</f>
        <v>0</v>
      </c>
      <c r="AQ472" s="71">
        <f>IF(AND($AK472=1,OR($I472="Critical",$I472="High")),1,0)</f>
        <v>0</v>
      </c>
      <c r="AR472" s="71">
        <f>IF($AK472=1,IF(ISNUMBER($Y472),IF(ReportDate-$Y472&gt;StaleDays,1,0),1),0)</f>
        <v>0</v>
      </c>
      <c r="AS472" s="71">
        <f>IF(AND($G472&lt;&gt;"",ISNUMBER($Q472),ISNUMBER($R472)),IF(AND($Q472&lt;$R472,OR($M472="Completed",AND(ISNUMBER($L472),$L472&lt;ReportDate))),1,0),0)</f>
        <v>0</v>
      </c>
      <c r="AT472" s="71">
        <f>IF($AK472=1,IF(OR($L472=ReportDate,$W472=ReportDate,$K472=ReportDate,$A472=ReportDate),1,0),0)</f>
        <v>0</v>
      </c>
      <c r="AU472" s="71">
        <f>IF($AK472=1,IF(OR($L472=ReportDate+1,$W472=ReportDate+1,$K472=ReportDate+1,$A472=ReportDate+1),1,0),0)</f>
        <v>0</v>
      </c>
      <c r="AV472" s="71">
        <f>IF(AND($G472&lt;&gt;"",$M472="Completed"),IF(OR($Y472=ReportDate-1,$A472=ReportDate-1),1,0),0)</f>
        <v>0</v>
      </c>
      <c r="AW472" s="71">
        <f>IF(AND($AK472=1,$Z472="Yes"),1,0)</f>
        <v>0</v>
      </c>
      <c r="AX472" s="71">
        <f>IF(AND($AK472=1,$AA472="Yes"),1,0)</f>
        <v>0</v>
      </c>
      <c r="AY472" s="71">
        <f>IF(AND($AM472=1,OR($I472="Critical",$I472="High")),1,0)</f>
        <v>0</v>
      </c>
      <c r="AZ472" s="71">
        <f>IF(AND($AK472=1,OR($C472=TCL_Client,$C472=MECCA_Client)),1,0)</f>
        <v>0</v>
      </c>
      <c r="BA472" s="71" t="str">
        <f>IF($G472="","",IFERROR(MATCH($I472,lst_Priority,0),5))</f>
        <v/>
      </c>
      <c r="BB472" s="71" t="str">
        <f>IF(AND($AL472=1,$AJ472=1),$BA472*100000+ROW(),"")</f>
        <v/>
      </c>
      <c r="BC472" s="71" t="str">
        <f>IF(AND($AM472=1,$AJ472=1),$BA472*100000+ROW(),"")</f>
        <v/>
      </c>
      <c r="BD472" s="71" t="str">
        <f>IF(AND($AP472=1,$AJ472=1),$BA472*100000+ROW(),"")</f>
        <v/>
      </c>
      <c r="BE472" s="71" t="str">
        <f>IF(AND($AT472=1,$AJ472=1),$BA472*100000+ROW(),"")</f>
        <v/>
      </c>
      <c r="BF472" s="71" t="str">
        <f>IF(AND($AU472=1,$AJ472=1),$BA472*100000+ROW(),"")</f>
        <v/>
      </c>
      <c r="BG472" s="71" t="str">
        <f>IF(AND($AV472=1,$AJ472=1),$BA472*100000+ROW(),"")</f>
        <v/>
      </c>
      <c r="BH472" s="71" t="str">
        <f>IF(AND($AW472=1,$AJ472=1),$BA472*100000+ROW(),"")</f>
        <v/>
      </c>
      <c r="BI472" s="71" t="str">
        <f>IF(AND($AX472=1,$AJ472=1),$BA472*100000+ROW(),"")</f>
        <v/>
      </c>
      <c r="BJ472" s="71" t="str">
        <f>IF(AND($AS472=1,$AJ472=1),$BA472*100000+ROW(),"")</f>
        <v/>
      </c>
      <c r="BK472" s="71" t="str">
        <f>IF(AND($AY472=1,$AJ472=1),$BA472*100000+ROW(),"")</f>
        <v/>
      </c>
      <c r="BL472" s="71" t="str">
        <f>IF(AND($AZ472=1),$BA472*100000+ROW(),"")</f>
        <v/>
      </c>
    </row>
    <row r="473">
      <c r="A473" s="63" t="n"/>
      <c r="B473" s="64" t="n"/>
      <c r="C473" s="64" t="n"/>
      <c r="D473" s="64" t="n"/>
      <c r="E473" s="64" t="n"/>
      <c r="F473" s="64" t="n"/>
      <c r="G473" s="65" t="n"/>
      <c r="H473" s="65" t="n"/>
      <c r="I473" s="64" t="n"/>
      <c r="J473" s="64" t="n"/>
      <c r="K473" s="63" t="n"/>
      <c r="L473" s="63" t="n"/>
      <c r="M473" s="64" t="n"/>
      <c r="N473" s="66" t="n"/>
      <c r="O473" s="65" t="n"/>
      <c r="P473" s="64" t="n"/>
      <c r="Q473" s="67" t="n"/>
      <c r="R473" s="67" t="n"/>
      <c r="S473" s="68" t="str">
        <f>IF(AND(ISNUMBER($Q473),ISNUMBER($R473)),$Q473-$R473,"")</f>
        <v/>
      </c>
      <c r="T473" s="65" t="n"/>
      <c r="U473" s="64" t="n"/>
      <c r="V473" s="65" t="n"/>
      <c r="W473" s="63" t="n"/>
      <c r="X473" s="65" t="n"/>
      <c r="Y473" s="63" t="n"/>
      <c r="Z473" s="64" t="n"/>
      <c r="AA473" s="64" t="n"/>
      <c r="AB473" s="65" t="n"/>
      <c r="AC473" s="69" t="str">
        <f>IF(OR($G473="",NOT(ISNUMBER($K473)),$AK473=0),"",MAX(0,ReportDate-$K473))</f>
        <v/>
      </c>
      <c r="AD473" s="69" t="str">
        <f>IF($G473="","",IF($AL473=1,ReportDate-$L473,0))</f>
        <v/>
      </c>
      <c r="AE473" s="70" t="str">
        <f>IF($G473="","",IF($M473="Completed",1,IF(ISNUMBER($N473),$N473,0)))</f>
        <v/>
      </c>
      <c r="AF473" s="70" t="str">
        <f>IF(AND(ISNUMBER($Q473),ISNUMBER($R473)),IF($R473&lt;&gt;0,$Q473/$R473,""),"")</f>
        <v/>
      </c>
      <c r="AG473" s="71" t="str">
        <f>IF($G473="","",IF($AL473=1,"OVERDUE",IF($AM473=1,"BLOCKED",IF($AN473=1,"DUE TODAY",IF($AO473=1,"DUE TOMORROW",IF($AQ473=1,"HIGH PRIORITY",IF($AR473=1,"NO RECENT UPDATE",""))))))) </f>
        <v/>
      </c>
      <c r="AH473" s="71" t="str">
        <f>IF($G473="","",IF(ISNUMBER($A473),IF(ISNUMBER($A473),YEAR($A473)&amp;"-"&amp;TEXT(MONTH($A473),"00"),""),IF(ISNUMBER($L473),IF(ISNUMBER($L473),YEAR($L473)&amp;"-"&amp;TEXT(MONTH($L473),"00"),""),"")))</f>
        <v/>
      </c>
      <c r="AI473" s="71">
        <f>IF($G473="",0,IF(AND(OR(fClient="All",$C473=fClient),OR(fCampaign="All",$D473=fCampaign),OR(fTeam="All",$B473=fTeam),OR(fChannel="All",$F473=fChannel),OR(fMonth="All",$AH473=fMonth),OR(fTStatus="All",$M473=fTStatus)),1,0))</f>
        <v>0</v>
      </c>
      <c r="AJ473" s="71">
        <f>IF($G473="",0,IF(AND(OR(fClient="All",$C473=fClient),OR(fCampaign="All",$D473=fCampaign),OR(fTeam="All",$B473=fTeam),OR(fChannel="All",$F473=fChannel)),1,0))</f>
        <v>0</v>
      </c>
      <c r="AK473" s="71">
        <f>IF($G473="",0,IF(OR($M473="Completed",$M473="Cancelled"),0,1))</f>
        <v>0</v>
      </c>
      <c r="AL473" s="71">
        <f>IF(AND($AK473=1,ISNUMBER($L473)),IF($L473&lt;ReportDate,1,0),0)</f>
        <v>0</v>
      </c>
      <c r="AM473" s="71">
        <f>IF(AND($G473&lt;&gt;"",$M473="Blocked"),1,0)</f>
        <v>0</v>
      </c>
      <c r="AN473" s="71">
        <f>IF(AND($AK473=1,ISNUMBER($L473)),IF($L473=ReportDate,1,0),0)</f>
        <v>0</v>
      </c>
      <c r="AO473" s="71">
        <f>IF(AND($AK473=1,ISNUMBER($L473)),IF($L473=ReportDate+1,1,0),0)</f>
        <v>0</v>
      </c>
      <c r="AP473" s="71">
        <f>IF(AND($AK473=1,ISNUMBER($L473)),IF(AND($L473&gt;=ReportDate,$L473&lt;=ReportDate+DueSoonDays),1,0),0)</f>
        <v>0</v>
      </c>
      <c r="AQ473" s="71">
        <f>IF(AND($AK473=1,OR($I473="Critical",$I473="High")),1,0)</f>
        <v>0</v>
      </c>
      <c r="AR473" s="71">
        <f>IF($AK473=1,IF(ISNUMBER($Y473),IF(ReportDate-$Y473&gt;StaleDays,1,0),1),0)</f>
        <v>0</v>
      </c>
      <c r="AS473" s="71">
        <f>IF(AND($G473&lt;&gt;"",ISNUMBER($Q473),ISNUMBER($R473)),IF(AND($Q473&lt;$R473,OR($M473="Completed",AND(ISNUMBER($L473),$L473&lt;ReportDate))),1,0),0)</f>
        <v>0</v>
      </c>
      <c r="AT473" s="71">
        <f>IF($AK473=1,IF(OR($L473=ReportDate,$W473=ReportDate,$K473=ReportDate,$A473=ReportDate),1,0),0)</f>
        <v>0</v>
      </c>
      <c r="AU473" s="71">
        <f>IF($AK473=1,IF(OR($L473=ReportDate+1,$W473=ReportDate+1,$K473=ReportDate+1,$A473=ReportDate+1),1,0),0)</f>
        <v>0</v>
      </c>
      <c r="AV473" s="71">
        <f>IF(AND($G473&lt;&gt;"",$M473="Completed"),IF(OR($Y473=ReportDate-1,$A473=ReportDate-1),1,0),0)</f>
        <v>0</v>
      </c>
      <c r="AW473" s="71">
        <f>IF(AND($AK473=1,$Z473="Yes"),1,0)</f>
        <v>0</v>
      </c>
      <c r="AX473" s="71">
        <f>IF(AND($AK473=1,$AA473="Yes"),1,0)</f>
        <v>0</v>
      </c>
      <c r="AY473" s="71">
        <f>IF(AND($AM473=1,OR($I473="Critical",$I473="High")),1,0)</f>
        <v>0</v>
      </c>
      <c r="AZ473" s="71">
        <f>IF(AND($AK473=1,OR($C473=TCL_Client,$C473=MECCA_Client)),1,0)</f>
        <v>0</v>
      </c>
      <c r="BA473" s="71" t="str">
        <f>IF($G473="","",IFERROR(MATCH($I473,lst_Priority,0),5))</f>
        <v/>
      </c>
      <c r="BB473" s="71" t="str">
        <f>IF(AND($AL473=1,$AJ473=1),$BA473*100000+ROW(),"")</f>
        <v/>
      </c>
      <c r="BC473" s="71" t="str">
        <f>IF(AND($AM473=1,$AJ473=1),$BA473*100000+ROW(),"")</f>
        <v/>
      </c>
      <c r="BD473" s="71" t="str">
        <f>IF(AND($AP473=1,$AJ473=1),$BA473*100000+ROW(),"")</f>
        <v/>
      </c>
      <c r="BE473" s="71" t="str">
        <f>IF(AND($AT473=1,$AJ473=1),$BA473*100000+ROW(),"")</f>
        <v/>
      </c>
      <c r="BF473" s="71" t="str">
        <f>IF(AND($AU473=1,$AJ473=1),$BA473*100000+ROW(),"")</f>
        <v/>
      </c>
      <c r="BG473" s="71" t="str">
        <f>IF(AND($AV473=1,$AJ473=1),$BA473*100000+ROW(),"")</f>
        <v/>
      </c>
      <c r="BH473" s="71" t="str">
        <f>IF(AND($AW473=1,$AJ473=1),$BA473*100000+ROW(),"")</f>
        <v/>
      </c>
      <c r="BI473" s="71" t="str">
        <f>IF(AND($AX473=1,$AJ473=1),$BA473*100000+ROW(),"")</f>
        <v/>
      </c>
      <c r="BJ473" s="71" t="str">
        <f>IF(AND($AS473=1,$AJ473=1),$BA473*100000+ROW(),"")</f>
        <v/>
      </c>
      <c r="BK473" s="71" t="str">
        <f>IF(AND($AY473=1,$AJ473=1),$BA473*100000+ROW(),"")</f>
        <v/>
      </c>
      <c r="BL473" s="71" t="str">
        <f>IF(AND($AZ473=1),$BA473*100000+ROW(),"")</f>
        <v/>
      </c>
    </row>
    <row r="474">
      <c r="A474" s="63" t="n"/>
      <c r="B474" s="64" t="n"/>
      <c r="C474" s="64" t="n"/>
      <c r="D474" s="64" t="n"/>
      <c r="E474" s="64" t="n"/>
      <c r="F474" s="64" t="n"/>
      <c r="G474" s="65" t="n"/>
      <c r="H474" s="65" t="n"/>
      <c r="I474" s="64" t="n"/>
      <c r="J474" s="64" t="n"/>
      <c r="K474" s="63" t="n"/>
      <c r="L474" s="63" t="n"/>
      <c r="M474" s="64" t="n"/>
      <c r="N474" s="66" t="n"/>
      <c r="O474" s="65" t="n"/>
      <c r="P474" s="64" t="n"/>
      <c r="Q474" s="67" t="n"/>
      <c r="R474" s="67" t="n"/>
      <c r="S474" s="68" t="str">
        <f>IF(AND(ISNUMBER($Q474),ISNUMBER($R474)),$Q474-$R474,"")</f>
        <v/>
      </c>
      <c r="T474" s="65" t="n"/>
      <c r="U474" s="64" t="n"/>
      <c r="V474" s="65" t="n"/>
      <c r="W474" s="63" t="n"/>
      <c r="X474" s="65" t="n"/>
      <c r="Y474" s="63" t="n"/>
      <c r="Z474" s="64" t="n"/>
      <c r="AA474" s="64" t="n"/>
      <c r="AB474" s="65" t="n"/>
      <c r="AC474" s="69" t="str">
        <f>IF(OR($G474="",NOT(ISNUMBER($K474)),$AK474=0),"",MAX(0,ReportDate-$K474))</f>
        <v/>
      </c>
      <c r="AD474" s="69" t="str">
        <f>IF($G474="","",IF($AL474=1,ReportDate-$L474,0))</f>
        <v/>
      </c>
      <c r="AE474" s="70" t="str">
        <f>IF($G474="","",IF($M474="Completed",1,IF(ISNUMBER($N474),$N474,0)))</f>
        <v/>
      </c>
      <c r="AF474" s="70" t="str">
        <f>IF(AND(ISNUMBER($Q474),ISNUMBER($R474)),IF($R474&lt;&gt;0,$Q474/$R474,""),"")</f>
        <v/>
      </c>
      <c r="AG474" s="71" t="str">
        <f>IF($G474="","",IF($AL474=1,"OVERDUE",IF($AM474=1,"BLOCKED",IF($AN474=1,"DUE TODAY",IF($AO474=1,"DUE TOMORROW",IF($AQ474=1,"HIGH PRIORITY",IF($AR474=1,"NO RECENT UPDATE",""))))))) </f>
        <v/>
      </c>
      <c r="AH474" s="71" t="str">
        <f>IF($G474="","",IF(ISNUMBER($A474),IF(ISNUMBER($A474),YEAR($A474)&amp;"-"&amp;TEXT(MONTH($A474),"00"),""),IF(ISNUMBER($L474),IF(ISNUMBER($L474),YEAR($L474)&amp;"-"&amp;TEXT(MONTH($L474),"00"),""),"")))</f>
        <v/>
      </c>
      <c r="AI474" s="71">
        <f>IF($G474="",0,IF(AND(OR(fClient="All",$C474=fClient),OR(fCampaign="All",$D474=fCampaign),OR(fTeam="All",$B474=fTeam),OR(fChannel="All",$F474=fChannel),OR(fMonth="All",$AH474=fMonth),OR(fTStatus="All",$M474=fTStatus)),1,0))</f>
        <v>0</v>
      </c>
      <c r="AJ474" s="71">
        <f>IF($G474="",0,IF(AND(OR(fClient="All",$C474=fClient),OR(fCampaign="All",$D474=fCampaign),OR(fTeam="All",$B474=fTeam),OR(fChannel="All",$F474=fChannel)),1,0))</f>
        <v>0</v>
      </c>
      <c r="AK474" s="71">
        <f>IF($G474="",0,IF(OR($M474="Completed",$M474="Cancelled"),0,1))</f>
        <v>0</v>
      </c>
      <c r="AL474" s="71">
        <f>IF(AND($AK474=1,ISNUMBER($L474)),IF($L474&lt;ReportDate,1,0),0)</f>
        <v>0</v>
      </c>
      <c r="AM474" s="71">
        <f>IF(AND($G474&lt;&gt;"",$M474="Blocked"),1,0)</f>
        <v>0</v>
      </c>
      <c r="AN474" s="71">
        <f>IF(AND($AK474=1,ISNUMBER($L474)),IF($L474=ReportDate,1,0),0)</f>
        <v>0</v>
      </c>
      <c r="AO474" s="71">
        <f>IF(AND($AK474=1,ISNUMBER($L474)),IF($L474=ReportDate+1,1,0),0)</f>
        <v>0</v>
      </c>
      <c r="AP474" s="71">
        <f>IF(AND($AK474=1,ISNUMBER($L474)),IF(AND($L474&gt;=ReportDate,$L474&lt;=ReportDate+DueSoonDays),1,0),0)</f>
        <v>0</v>
      </c>
      <c r="AQ474" s="71">
        <f>IF(AND($AK474=1,OR($I474="Critical",$I474="High")),1,0)</f>
        <v>0</v>
      </c>
      <c r="AR474" s="71">
        <f>IF($AK474=1,IF(ISNUMBER($Y474),IF(ReportDate-$Y474&gt;StaleDays,1,0),1),0)</f>
        <v>0</v>
      </c>
      <c r="AS474" s="71">
        <f>IF(AND($G474&lt;&gt;"",ISNUMBER($Q474),ISNUMBER($R474)),IF(AND($Q474&lt;$R474,OR($M474="Completed",AND(ISNUMBER($L474),$L474&lt;ReportDate))),1,0),0)</f>
        <v>0</v>
      </c>
      <c r="AT474" s="71">
        <f>IF($AK474=1,IF(OR($L474=ReportDate,$W474=ReportDate,$K474=ReportDate,$A474=ReportDate),1,0),0)</f>
        <v>0</v>
      </c>
      <c r="AU474" s="71">
        <f>IF($AK474=1,IF(OR($L474=ReportDate+1,$W474=ReportDate+1,$K474=ReportDate+1,$A474=ReportDate+1),1,0),0)</f>
        <v>0</v>
      </c>
      <c r="AV474" s="71">
        <f>IF(AND($G474&lt;&gt;"",$M474="Completed"),IF(OR($Y474=ReportDate-1,$A474=ReportDate-1),1,0),0)</f>
        <v>0</v>
      </c>
      <c r="AW474" s="71">
        <f>IF(AND($AK474=1,$Z474="Yes"),1,0)</f>
        <v>0</v>
      </c>
      <c r="AX474" s="71">
        <f>IF(AND($AK474=1,$AA474="Yes"),1,0)</f>
        <v>0</v>
      </c>
      <c r="AY474" s="71">
        <f>IF(AND($AM474=1,OR($I474="Critical",$I474="High")),1,0)</f>
        <v>0</v>
      </c>
      <c r="AZ474" s="71">
        <f>IF(AND($AK474=1,OR($C474=TCL_Client,$C474=MECCA_Client)),1,0)</f>
        <v>0</v>
      </c>
      <c r="BA474" s="71" t="str">
        <f>IF($G474="","",IFERROR(MATCH($I474,lst_Priority,0),5))</f>
        <v/>
      </c>
      <c r="BB474" s="71" t="str">
        <f>IF(AND($AL474=1,$AJ474=1),$BA474*100000+ROW(),"")</f>
        <v/>
      </c>
      <c r="BC474" s="71" t="str">
        <f>IF(AND($AM474=1,$AJ474=1),$BA474*100000+ROW(),"")</f>
        <v/>
      </c>
      <c r="BD474" s="71" t="str">
        <f>IF(AND($AP474=1,$AJ474=1),$BA474*100000+ROW(),"")</f>
        <v/>
      </c>
      <c r="BE474" s="71" t="str">
        <f>IF(AND($AT474=1,$AJ474=1),$BA474*100000+ROW(),"")</f>
        <v/>
      </c>
      <c r="BF474" s="71" t="str">
        <f>IF(AND($AU474=1,$AJ474=1),$BA474*100000+ROW(),"")</f>
        <v/>
      </c>
      <c r="BG474" s="71" t="str">
        <f>IF(AND($AV474=1,$AJ474=1),$BA474*100000+ROW(),"")</f>
        <v/>
      </c>
      <c r="BH474" s="71" t="str">
        <f>IF(AND($AW474=1,$AJ474=1),$BA474*100000+ROW(),"")</f>
        <v/>
      </c>
      <c r="BI474" s="71" t="str">
        <f>IF(AND($AX474=1,$AJ474=1),$BA474*100000+ROW(),"")</f>
        <v/>
      </c>
      <c r="BJ474" s="71" t="str">
        <f>IF(AND($AS474=1,$AJ474=1),$BA474*100000+ROW(),"")</f>
        <v/>
      </c>
      <c r="BK474" s="71" t="str">
        <f>IF(AND($AY474=1,$AJ474=1),$BA474*100000+ROW(),"")</f>
        <v/>
      </c>
      <c r="BL474" s="71" t="str">
        <f>IF(AND($AZ474=1),$BA474*100000+ROW(),"")</f>
        <v/>
      </c>
    </row>
    <row r="475">
      <c r="A475" s="63" t="n"/>
      <c r="B475" s="64" t="n"/>
      <c r="C475" s="64" t="n"/>
      <c r="D475" s="64" t="n"/>
      <c r="E475" s="64" t="n"/>
      <c r="F475" s="64" t="n"/>
      <c r="G475" s="65" t="n"/>
      <c r="H475" s="65" t="n"/>
      <c r="I475" s="64" t="n"/>
      <c r="J475" s="64" t="n"/>
      <c r="K475" s="63" t="n"/>
      <c r="L475" s="63" t="n"/>
      <c r="M475" s="64" t="n"/>
      <c r="N475" s="66" t="n"/>
      <c r="O475" s="65" t="n"/>
      <c r="P475" s="64" t="n"/>
      <c r="Q475" s="67" t="n"/>
      <c r="R475" s="67" t="n"/>
      <c r="S475" s="68" t="str">
        <f>IF(AND(ISNUMBER($Q475),ISNUMBER($R475)),$Q475-$R475,"")</f>
        <v/>
      </c>
      <c r="T475" s="65" t="n"/>
      <c r="U475" s="64" t="n"/>
      <c r="V475" s="65" t="n"/>
      <c r="W475" s="63" t="n"/>
      <c r="X475" s="65" t="n"/>
      <c r="Y475" s="63" t="n"/>
      <c r="Z475" s="64" t="n"/>
      <c r="AA475" s="64" t="n"/>
      <c r="AB475" s="65" t="n"/>
      <c r="AC475" s="69" t="str">
        <f>IF(OR($G475="",NOT(ISNUMBER($K475)),$AK475=0),"",MAX(0,ReportDate-$K475))</f>
        <v/>
      </c>
      <c r="AD475" s="69" t="str">
        <f>IF($G475="","",IF($AL475=1,ReportDate-$L475,0))</f>
        <v/>
      </c>
      <c r="AE475" s="70" t="str">
        <f>IF($G475="","",IF($M475="Completed",1,IF(ISNUMBER($N475),$N475,0)))</f>
        <v/>
      </c>
      <c r="AF475" s="70" t="str">
        <f>IF(AND(ISNUMBER($Q475),ISNUMBER($R475)),IF($R475&lt;&gt;0,$Q475/$R475,""),"")</f>
        <v/>
      </c>
      <c r="AG475" s="71" t="str">
        <f>IF($G475="","",IF($AL475=1,"OVERDUE",IF($AM475=1,"BLOCKED",IF($AN475=1,"DUE TODAY",IF($AO475=1,"DUE TOMORROW",IF($AQ475=1,"HIGH PRIORITY",IF($AR475=1,"NO RECENT UPDATE",""))))))) </f>
        <v/>
      </c>
      <c r="AH475" s="71" t="str">
        <f>IF($G475="","",IF(ISNUMBER($A475),IF(ISNUMBER($A475),YEAR($A475)&amp;"-"&amp;TEXT(MONTH($A475),"00"),""),IF(ISNUMBER($L475),IF(ISNUMBER($L475),YEAR($L475)&amp;"-"&amp;TEXT(MONTH($L475),"00"),""),"")))</f>
        <v/>
      </c>
      <c r="AI475" s="71">
        <f>IF($G475="",0,IF(AND(OR(fClient="All",$C475=fClient),OR(fCampaign="All",$D475=fCampaign),OR(fTeam="All",$B475=fTeam),OR(fChannel="All",$F475=fChannel),OR(fMonth="All",$AH475=fMonth),OR(fTStatus="All",$M475=fTStatus)),1,0))</f>
        <v>0</v>
      </c>
      <c r="AJ475" s="71">
        <f>IF($G475="",0,IF(AND(OR(fClient="All",$C475=fClient),OR(fCampaign="All",$D475=fCampaign),OR(fTeam="All",$B475=fTeam),OR(fChannel="All",$F475=fChannel)),1,0))</f>
        <v>0</v>
      </c>
      <c r="AK475" s="71">
        <f>IF($G475="",0,IF(OR($M475="Completed",$M475="Cancelled"),0,1))</f>
        <v>0</v>
      </c>
      <c r="AL475" s="71">
        <f>IF(AND($AK475=1,ISNUMBER($L475)),IF($L475&lt;ReportDate,1,0),0)</f>
        <v>0</v>
      </c>
      <c r="AM475" s="71">
        <f>IF(AND($G475&lt;&gt;"",$M475="Blocked"),1,0)</f>
        <v>0</v>
      </c>
      <c r="AN475" s="71">
        <f>IF(AND($AK475=1,ISNUMBER($L475)),IF($L475=ReportDate,1,0),0)</f>
        <v>0</v>
      </c>
      <c r="AO475" s="71">
        <f>IF(AND($AK475=1,ISNUMBER($L475)),IF($L475=ReportDate+1,1,0),0)</f>
        <v>0</v>
      </c>
      <c r="AP475" s="71">
        <f>IF(AND($AK475=1,ISNUMBER($L475)),IF(AND($L475&gt;=ReportDate,$L475&lt;=ReportDate+DueSoonDays),1,0),0)</f>
        <v>0</v>
      </c>
      <c r="AQ475" s="71">
        <f>IF(AND($AK475=1,OR($I475="Critical",$I475="High")),1,0)</f>
        <v>0</v>
      </c>
      <c r="AR475" s="71">
        <f>IF($AK475=1,IF(ISNUMBER($Y475),IF(ReportDate-$Y475&gt;StaleDays,1,0),1),0)</f>
        <v>0</v>
      </c>
      <c r="AS475" s="71">
        <f>IF(AND($G475&lt;&gt;"",ISNUMBER($Q475),ISNUMBER($R475)),IF(AND($Q475&lt;$R475,OR($M475="Completed",AND(ISNUMBER($L475),$L475&lt;ReportDate))),1,0),0)</f>
        <v>0</v>
      </c>
      <c r="AT475" s="71">
        <f>IF($AK475=1,IF(OR($L475=ReportDate,$W475=ReportDate,$K475=ReportDate,$A475=ReportDate),1,0),0)</f>
        <v>0</v>
      </c>
      <c r="AU475" s="71">
        <f>IF($AK475=1,IF(OR($L475=ReportDate+1,$W475=ReportDate+1,$K475=ReportDate+1,$A475=ReportDate+1),1,0),0)</f>
        <v>0</v>
      </c>
      <c r="AV475" s="71">
        <f>IF(AND($G475&lt;&gt;"",$M475="Completed"),IF(OR($Y475=ReportDate-1,$A475=ReportDate-1),1,0),0)</f>
        <v>0</v>
      </c>
      <c r="AW475" s="71">
        <f>IF(AND($AK475=1,$Z475="Yes"),1,0)</f>
        <v>0</v>
      </c>
      <c r="AX475" s="71">
        <f>IF(AND($AK475=1,$AA475="Yes"),1,0)</f>
        <v>0</v>
      </c>
      <c r="AY475" s="71">
        <f>IF(AND($AM475=1,OR($I475="Critical",$I475="High")),1,0)</f>
        <v>0</v>
      </c>
      <c r="AZ475" s="71">
        <f>IF(AND($AK475=1,OR($C475=TCL_Client,$C475=MECCA_Client)),1,0)</f>
        <v>0</v>
      </c>
      <c r="BA475" s="71" t="str">
        <f>IF($G475="","",IFERROR(MATCH($I475,lst_Priority,0),5))</f>
        <v/>
      </c>
      <c r="BB475" s="71" t="str">
        <f>IF(AND($AL475=1,$AJ475=1),$BA475*100000+ROW(),"")</f>
        <v/>
      </c>
      <c r="BC475" s="71" t="str">
        <f>IF(AND($AM475=1,$AJ475=1),$BA475*100000+ROW(),"")</f>
        <v/>
      </c>
      <c r="BD475" s="71" t="str">
        <f>IF(AND($AP475=1,$AJ475=1),$BA475*100000+ROW(),"")</f>
        <v/>
      </c>
      <c r="BE475" s="71" t="str">
        <f>IF(AND($AT475=1,$AJ475=1),$BA475*100000+ROW(),"")</f>
        <v/>
      </c>
      <c r="BF475" s="71" t="str">
        <f>IF(AND($AU475=1,$AJ475=1),$BA475*100000+ROW(),"")</f>
        <v/>
      </c>
      <c r="BG475" s="71" t="str">
        <f>IF(AND($AV475=1,$AJ475=1),$BA475*100000+ROW(),"")</f>
        <v/>
      </c>
      <c r="BH475" s="71" t="str">
        <f>IF(AND($AW475=1,$AJ475=1),$BA475*100000+ROW(),"")</f>
        <v/>
      </c>
      <c r="BI475" s="71" t="str">
        <f>IF(AND($AX475=1,$AJ475=1),$BA475*100000+ROW(),"")</f>
        <v/>
      </c>
      <c r="BJ475" s="71" t="str">
        <f>IF(AND($AS475=1,$AJ475=1),$BA475*100000+ROW(),"")</f>
        <v/>
      </c>
      <c r="BK475" s="71" t="str">
        <f>IF(AND($AY475=1,$AJ475=1),$BA475*100000+ROW(),"")</f>
        <v/>
      </c>
      <c r="BL475" s="71" t="str">
        <f>IF(AND($AZ475=1),$BA475*100000+ROW(),"")</f>
        <v/>
      </c>
    </row>
    <row r="476">
      <c r="A476" s="63" t="n"/>
      <c r="B476" s="64" t="n"/>
      <c r="C476" s="64" t="n"/>
      <c r="D476" s="64" t="n"/>
      <c r="E476" s="64" t="n"/>
      <c r="F476" s="64" t="n"/>
      <c r="G476" s="65" t="n"/>
      <c r="H476" s="65" t="n"/>
      <c r="I476" s="64" t="n"/>
      <c r="J476" s="64" t="n"/>
      <c r="K476" s="63" t="n"/>
      <c r="L476" s="63" t="n"/>
      <c r="M476" s="64" t="n"/>
      <c r="N476" s="66" t="n"/>
      <c r="O476" s="65" t="n"/>
      <c r="P476" s="64" t="n"/>
      <c r="Q476" s="67" t="n"/>
      <c r="R476" s="67" t="n"/>
      <c r="S476" s="68" t="str">
        <f>IF(AND(ISNUMBER($Q476),ISNUMBER($R476)),$Q476-$R476,"")</f>
        <v/>
      </c>
      <c r="T476" s="65" t="n"/>
      <c r="U476" s="64" t="n"/>
      <c r="V476" s="65" t="n"/>
      <c r="W476" s="63" t="n"/>
      <c r="X476" s="65" t="n"/>
      <c r="Y476" s="63" t="n"/>
      <c r="Z476" s="64" t="n"/>
      <c r="AA476" s="64" t="n"/>
      <c r="AB476" s="65" t="n"/>
      <c r="AC476" s="69" t="str">
        <f>IF(OR($G476="",NOT(ISNUMBER($K476)),$AK476=0),"",MAX(0,ReportDate-$K476))</f>
        <v/>
      </c>
      <c r="AD476" s="69" t="str">
        <f>IF($G476="","",IF($AL476=1,ReportDate-$L476,0))</f>
        <v/>
      </c>
      <c r="AE476" s="70" t="str">
        <f>IF($G476="","",IF($M476="Completed",1,IF(ISNUMBER($N476),$N476,0)))</f>
        <v/>
      </c>
      <c r="AF476" s="70" t="str">
        <f>IF(AND(ISNUMBER($Q476),ISNUMBER($R476)),IF($R476&lt;&gt;0,$Q476/$R476,""),"")</f>
        <v/>
      </c>
      <c r="AG476" s="71" t="str">
        <f>IF($G476="","",IF($AL476=1,"OVERDUE",IF($AM476=1,"BLOCKED",IF($AN476=1,"DUE TODAY",IF($AO476=1,"DUE TOMORROW",IF($AQ476=1,"HIGH PRIORITY",IF($AR476=1,"NO RECENT UPDATE",""))))))) </f>
        <v/>
      </c>
      <c r="AH476" s="71" t="str">
        <f>IF($G476="","",IF(ISNUMBER($A476),IF(ISNUMBER($A476),YEAR($A476)&amp;"-"&amp;TEXT(MONTH($A476),"00"),""),IF(ISNUMBER($L476),IF(ISNUMBER($L476),YEAR($L476)&amp;"-"&amp;TEXT(MONTH($L476),"00"),""),"")))</f>
        <v/>
      </c>
      <c r="AI476" s="71">
        <f>IF($G476="",0,IF(AND(OR(fClient="All",$C476=fClient),OR(fCampaign="All",$D476=fCampaign),OR(fTeam="All",$B476=fTeam),OR(fChannel="All",$F476=fChannel),OR(fMonth="All",$AH476=fMonth),OR(fTStatus="All",$M476=fTStatus)),1,0))</f>
        <v>0</v>
      </c>
      <c r="AJ476" s="71">
        <f>IF($G476="",0,IF(AND(OR(fClient="All",$C476=fClient),OR(fCampaign="All",$D476=fCampaign),OR(fTeam="All",$B476=fTeam),OR(fChannel="All",$F476=fChannel)),1,0))</f>
        <v>0</v>
      </c>
      <c r="AK476" s="71">
        <f>IF($G476="",0,IF(OR($M476="Completed",$M476="Cancelled"),0,1))</f>
        <v>0</v>
      </c>
      <c r="AL476" s="71">
        <f>IF(AND($AK476=1,ISNUMBER($L476)),IF($L476&lt;ReportDate,1,0),0)</f>
        <v>0</v>
      </c>
      <c r="AM476" s="71">
        <f>IF(AND($G476&lt;&gt;"",$M476="Blocked"),1,0)</f>
        <v>0</v>
      </c>
      <c r="AN476" s="71">
        <f>IF(AND($AK476=1,ISNUMBER($L476)),IF($L476=ReportDate,1,0),0)</f>
        <v>0</v>
      </c>
      <c r="AO476" s="71">
        <f>IF(AND($AK476=1,ISNUMBER($L476)),IF($L476=ReportDate+1,1,0),0)</f>
        <v>0</v>
      </c>
      <c r="AP476" s="71">
        <f>IF(AND($AK476=1,ISNUMBER($L476)),IF(AND($L476&gt;=ReportDate,$L476&lt;=ReportDate+DueSoonDays),1,0),0)</f>
        <v>0</v>
      </c>
      <c r="AQ476" s="71">
        <f>IF(AND($AK476=1,OR($I476="Critical",$I476="High")),1,0)</f>
        <v>0</v>
      </c>
      <c r="AR476" s="71">
        <f>IF($AK476=1,IF(ISNUMBER($Y476),IF(ReportDate-$Y476&gt;StaleDays,1,0),1),0)</f>
        <v>0</v>
      </c>
      <c r="AS476" s="71">
        <f>IF(AND($G476&lt;&gt;"",ISNUMBER($Q476),ISNUMBER($R476)),IF(AND($Q476&lt;$R476,OR($M476="Completed",AND(ISNUMBER($L476),$L476&lt;ReportDate))),1,0),0)</f>
        <v>0</v>
      </c>
      <c r="AT476" s="71">
        <f>IF($AK476=1,IF(OR($L476=ReportDate,$W476=ReportDate,$K476=ReportDate,$A476=ReportDate),1,0),0)</f>
        <v>0</v>
      </c>
      <c r="AU476" s="71">
        <f>IF($AK476=1,IF(OR($L476=ReportDate+1,$W476=ReportDate+1,$K476=ReportDate+1,$A476=ReportDate+1),1,0),0)</f>
        <v>0</v>
      </c>
      <c r="AV476" s="71">
        <f>IF(AND($G476&lt;&gt;"",$M476="Completed"),IF(OR($Y476=ReportDate-1,$A476=ReportDate-1),1,0),0)</f>
        <v>0</v>
      </c>
      <c r="AW476" s="71">
        <f>IF(AND($AK476=1,$Z476="Yes"),1,0)</f>
        <v>0</v>
      </c>
      <c r="AX476" s="71">
        <f>IF(AND($AK476=1,$AA476="Yes"),1,0)</f>
        <v>0</v>
      </c>
      <c r="AY476" s="71">
        <f>IF(AND($AM476=1,OR($I476="Critical",$I476="High")),1,0)</f>
        <v>0</v>
      </c>
      <c r="AZ476" s="71">
        <f>IF(AND($AK476=1,OR($C476=TCL_Client,$C476=MECCA_Client)),1,0)</f>
        <v>0</v>
      </c>
      <c r="BA476" s="71" t="str">
        <f>IF($G476="","",IFERROR(MATCH($I476,lst_Priority,0),5))</f>
        <v/>
      </c>
      <c r="BB476" s="71" t="str">
        <f>IF(AND($AL476=1,$AJ476=1),$BA476*100000+ROW(),"")</f>
        <v/>
      </c>
      <c r="BC476" s="71" t="str">
        <f>IF(AND($AM476=1,$AJ476=1),$BA476*100000+ROW(),"")</f>
        <v/>
      </c>
      <c r="BD476" s="71" t="str">
        <f>IF(AND($AP476=1,$AJ476=1),$BA476*100000+ROW(),"")</f>
        <v/>
      </c>
      <c r="BE476" s="71" t="str">
        <f>IF(AND($AT476=1,$AJ476=1),$BA476*100000+ROW(),"")</f>
        <v/>
      </c>
      <c r="BF476" s="71" t="str">
        <f>IF(AND($AU476=1,$AJ476=1),$BA476*100000+ROW(),"")</f>
        <v/>
      </c>
      <c r="BG476" s="71" t="str">
        <f>IF(AND($AV476=1,$AJ476=1),$BA476*100000+ROW(),"")</f>
        <v/>
      </c>
      <c r="BH476" s="71" t="str">
        <f>IF(AND($AW476=1,$AJ476=1),$BA476*100000+ROW(),"")</f>
        <v/>
      </c>
      <c r="BI476" s="71" t="str">
        <f>IF(AND($AX476=1,$AJ476=1),$BA476*100000+ROW(),"")</f>
        <v/>
      </c>
      <c r="BJ476" s="71" t="str">
        <f>IF(AND($AS476=1,$AJ476=1),$BA476*100000+ROW(),"")</f>
        <v/>
      </c>
      <c r="BK476" s="71" t="str">
        <f>IF(AND($AY476=1,$AJ476=1),$BA476*100000+ROW(),"")</f>
        <v/>
      </c>
      <c r="BL476" s="71" t="str">
        <f>IF(AND($AZ476=1),$BA476*100000+ROW(),"")</f>
        <v/>
      </c>
    </row>
    <row r="477">
      <c r="A477" s="63" t="n"/>
      <c r="B477" s="64" t="n"/>
      <c r="C477" s="64" t="n"/>
      <c r="D477" s="64" t="n"/>
      <c r="E477" s="64" t="n"/>
      <c r="F477" s="64" t="n"/>
      <c r="G477" s="65" t="n"/>
      <c r="H477" s="65" t="n"/>
      <c r="I477" s="64" t="n"/>
      <c r="J477" s="64" t="n"/>
      <c r="K477" s="63" t="n"/>
      <c r="L477" s="63" t="n"/>
      <c r="M477" s="64" t="n"/>
      <c r="N477" s="66" t="n"/>
      <c r="O477" s="65" t="n"/>
      <c r="P477" s="64" t="n"/>
      <c r="Q477" s="67" t="n"/>
      <c r="R477" s="67" t="n"/>
      <c r="S477" s="68" t="str">
        <f>IF(AND(ISNUMBER($Q477),ISNUMBER($R477)),$Q477-$R477,"")</f>
        <v/>
      </c>
      <c r="T477" s="65" t="n"/>
      <c r="U477" s="64" t="n"/>
      <c r="V477" s="65" t="n"/>
      <c r="W477" s="63" t="n"/>
      <c r="X477" s="65" t="n"/>
      <c r="Y477" s="63" t="n"/>
      <c r="Z477" s="64" t="n"/>
      <c r="AA477" s="64" t="n"/>
      <c r="AB477" s="65" t="n"/>
      <c r="AC477" s="69" t="str">
        <f>IF(OR($G477="",NOT(ISNUMBER($K477)),$AK477=0),"",MAX(0,ReportDate-$K477))</f>
        <v/>
      </c>
      <c r="AD477" s="69" t="str">
        <f>IF($G477="","",IF($AL477=1,ReportDate-$L477,0))</f>
        <v/>
      </c>
      <c r="AE477" s="70" t="str">
        <f>IF($G477="","",IF($M477="Completed",1,IF(ISNUMBER($N477),$N477,0)))</f>
        <v/>
      </c>
      <c r="AF477" s="70" t="str">
        <f>IF(AND(ISNUMBER($Q477),ISNUMBER($R477)),IF($R477&lt;&gt;0,$Q477/$R477,""),"")</f>
        <v/>
      </c>
      <c r="AG477" s="71" t="str">
        <f>IF($G477="","",IF($AL477=1,"OVERDUE",IF($AM477=1,"BLOCKED",IF($AN477=1,"DUE TODAY",IF($AO477=1,"DUE TOMORROW",IF($AQ477=1,"HIGH PRIORITY",IF($AR477=1,"NO RECENT UPDATE",""))))))) </f>
        <v/>
      </c>
      <c r="AH477" s="71" t="str">
        <f>IF($G477="","",IF(ISNUMBER($A477),IF(ISNUMBER($A477),YEAR($A477)&amp;"-"&amp;TEXT(MONTH($A477),"00"),""),IF(ISNUMBER($L477),IF(ISNUMBER($L477),YEAR($L477)&amp;"-"&amp;TEXT(MONTH($L477),"00"),""),"")))</f>
        <v/>
      </c>
      <c r="AI477" s="71">
        <f>IF($G477="",0,IF(AND(OR(fClient="All",$C477=fClient),OR(fCampaign="All",$D477=fCampaign),OR(fTeam="All",$B477=fTeam),OR(fChannel="All",$F477=fChannel),OR(fMonth="All",$AH477=fMonth),OR(fTStatus="All",$M477=fTStatus)),1,0))</f>
        <v>0</v>
      </c>
      <c r="AJ477" s="71">
        <f>IF($G477="",0,IF(AND(OR(fClient="All",$C477=fClient),OR(fCampaign="All",$D477=fCampaign),OR(fTeam="All",$B477=fTeam),OR(fChannel="All",$F477=fChannel)),1,0))</f>
        <v>0</v>
      </c>
      <c r="AK477" s="71">
        <f>IF($G477="",0,IF(OR($M477="Completed",$M477="Cancelled"),0,1))</f>
        <v>0</v>
      </c>
      <c r="AL477" s="71">
        <f>IF(AND($AK477=1,ISNUMBER($L477)),IF($L477&lt;ReportDate,1,0),0)</f>
        <v>0</v>
      </c>
      <c r="AM477" s="71">
        <f>IF(AND($G477&lt;&gt;"",$M477="Blocked"),1,0)</f>
        <v>0</v>
      </c>
      <c r="AN477" s="71">
        <f>IF(AND($AK477=1,ISNUMBER($L477)),IF($L477=ReportDate,1,0),0)</f>
        <v>0</v>
      </c>
      <c r="AO477" s="71">
        <f>IF(AND($AK477=1,ISNUMBER($L477)),IF($L477=ReportDate+1,1,0),0)</f>
        <v>0</v>
      </c>
      <c r="AP477" s="71">
        <f>IF(AND($AK477=1,ISNUMBER($L477)),IF(AND($L477&gt;=ReportDate,$L477&lt;=ReportDate+DueSoonDays),1,0),0)</f>
        <v>0</v>
      </c>
      <c r="AQ477" s="71">
        <f>IF(AND($AK477=1,OR($I477="Critical",$I477="High")),1,0)</f>
        <v>0</v>
      </c>
      <c r="AR477" s="71">
        <f>IF($AK477=1,IF(ISNUMBER($Y477),IF(ReportDate-$Y477&gt;StaleDays,1,0),1),0)</f>
        <v>0</v>
      </c>
      <c r="AS477" s="71">
        <f>IF(AND($G477&lt;&gt;"",ISNUMBER($Q477),ISNUMBER($R477)),IF(AND($Q477&lt;$R477,OR($M477="Completed",AND(ISNUMBER($L477),$L477&lt;ReportDate))),1,0),0)</f>
        <v>0</v>
      </c>
      <c r="AT477" s="71">
        <f>IF($AK477=1,IF(OR($L477=ReportDate,$W477=ReportDate,$K477=ReportDate,$A477=ReportDate),1,0),0)</f>
        <v>0</v>
      </c>
      <c r="AU477" s="71">
        <f>IF($AK477=1,IF(OR($L477=ReportDate+1,$W477=ReportDate+1,$K477=ReportDate+1,$A477=ReportDate+1),1,0),0)</f>
        <v>0</v>
      </c>
      <c r="AV477" s="71">
        <f>IF(AND($G477&lt;&gt;"",$M477="Completed"),IF(OR($Y477=ReportDate-1,$A477=ReportDate-1),1,0),0)</f>
        <v>0</v>
      </c>
      <c r="AW477" s="71">
        <f>IF(AND($AK477=1,$Z477="Yes"),1,0)</f>
        <v>0</v>
      </c>
      <c r="AX477" s="71">
        <f>IF(AND($AK477=1,$AA477="Yes"),1,0)</f>
        <v>0</v>
      </c>
      <c r="AY477" s="71">
        <f>IF(AND($AM477=1,OR($I477="Critical",$I477="High")),1,0)</f>
        <v>0</v>
      </c>
      <c r="AZ477" s="71">
        <f>IF(AND($AK477=1,OR($C477=TCL_Client,$C477=MECCA_Client)),1,0)</f>
        <v>0</v>
      </c>
      <c r="BA477" s="71" t="str">
        <f>IF($G477="","",IFERROR(MATCH($I477,lst_Priority,0),5))</f>
        <v/>
      </c>
      <c r="BB477" s="71" t="str">
        <f>IF(AND($AL477=1,$AJ477=1),$BA477*100000+ROW(),"")</f>
        <v/>
      </c>
      <c r="BC477" s="71" t="str">
        <f>IF(AND($AM477=1,$AJ477=1),$BA477*100000+ROW(),"")</f>
        <v/>
      </c>
      <c r="BD477" s="71" t="str">
        <f>IF(AND($AP477=1,$AJ477=1),$BA477*100000+ROW(),"")</f>
        <v/>
      </c>
      <c r="BE477" s="71" t="str">
        <f>IF(AND($AT477=1,$AJ477=1),$BA477*100000+ROW(),"")</f>
        <v/>
      </c>
      <c r="BF477" s="71" t="str">
        <f>IF(AND($AU477=1,$AJ477=1),$BA477*100000+ROW(),"")</f>
        <v/>
      </c>
      <c r="BG477" s="71" t="str">
        <f>IF(AND($AV477=1,$AJ477=1),$BA477*100000+ROW(),"")</f>
        <v/>
      </c>
      <c r="BH477" s="71" t="str">
        <f>IF(AND($AW477=1,$AJ477=1),$BA477*100000+ROW(),"")</f>
        <v/>
      </c>
      <c r="BI477" s="71" t="str">
        <f>IF(AND($AX477=1,$AJ477=1),$BA477*100000+ROW(),"")</f>
        <v/>
      </c>
      <c r="BJ477" s="71" t="str">
        <f>IF(AND($AS477=1,$AJ477=1),$BA477*100000+ROW(),"")</f>
        <v/>
      </c>
      <c r="BK477" s="71" t="str">
        <f>IF(AND($AY477=1,$AJ477=1),$BA477*100000+ROW(),"")</f>
        <v/>
      </c>
      <c r="BL477" s="71" t="str">
        <f>IF(AND($AZ477=1),$BA477*100000+ROW(),"")</f>
        <v/>
      </c>
    </row>
    <row r="478">
      <c r="A478" s="63" t="n"/>
      <c r="B478" s="64" t="n"/>
      <c r="C478" s="64" t="n"/>
      <c r="D478" s="64" t="n"/>
      <c r="E478" s="64" t="n"/>
      <c r="F478" s="64" t="n"/>
      <c r="G478" s="65" t="n"/>
      <c r="H478" s="65" t="n"/>
      <c r="I478" s="64" t="n"/>
      <c r="J478" s="64" t="n"/>
      <c r="K478" s="63" t="n"/>
      <c r="L478" s="63" t="n"/>
      <c r="M478" s="64" t="n"/>
      <c r="N478" s="66" t="n"/>
      <c r="O478" s="65" t="n"/>
      <c r="P478" s="64" t="n"/>
      <c r="Q478" s="67" t="n"/>
      <c r="R478" s="67" t="n"/>
      <c r="S478" s="68" t="str">
        <f>IF(AND(ISNUMBER($Q478),ISNUMBER($R478)),$Q478-$R478,"")</f>
        <v/>
      </c>
      <c r="T478" s="65" t="n"/>
      <c r="U478" s="64" t="n"/>
      <c r="V478" s="65" t="n"/>
      <c r="W478" s="63" t="n"/>
      <c r="X478" s="65" t="n"/>
      <c r="Y478" s="63" t="n"/>
      <c r="Z478" s="64" t="n"/>
      <c r="AA478" s="64" t="n"/>
      <c r="AB478" s="65" t="n"/>
      <c r="AC478" s="69" t="str">
        <f>IF(OR($G478="",NOT(ISNUMBER($K478)),$AK478=0),"",MAX(0,ReportDate-$K478))</f>
        <v/>
      </c>
      <c r="AD478" s="69" t="str">
        <f>IF($G478="","",IF($AL478=1,ReportDate-$L478,0))</f>
        <v/>
      </c>
      <c r="AE478" s="70" t="str">
        <f>IF($G478="","",IF($M478="Completed",1,IF(ISNUMBER($N478),$N478,0)))</f>
        <v/>
      </c>
      <c r="AF478" s="70" t="str">
        <f>IF(AND(ISNUMBER($Q478),ISNUMBER($R478)),IF($R478&lt;&gt;0,$Q478/$R478,""),"")</f>
        <v/>
      </c>
      <c r="AG478" s="71" t="str">
        <f>IF($G478="","",IF($AL478=1,"OVERDUE",IF($AM478=1,"BLOCKED",IF($AN478=1,"DUE TODAY",IF($AO478=1,"DUE TOMORROW",IF($AQ478=1,"HIGH PRIORITY",IF($AR478=1,"NO RECENT UPDATE",""))))))) </f>
        <v/>
      </c>
      <c r="AH478" s="71" t="str">
        <f>IF($G478="","",IF(ISNUMBER($A478),IF(ISNUMBER($A478),YEAR($A478)&amp;"-"&amp;TEXT(MONTH($A478),"00"),""),IF(ISNUMBER($L478),IF(ISNUMBER($L478),YEAR($L478)&amp;"-"&amp;TEXT(MONTH($L478),"00"),""),"")))</f>
        <v/>
      </c>
      <c r="AI478" s="71">
        <f>IF($G478="",0,IF(AND(OR(fClient="All",$C478=fClient),OR(fCampaign="All",$D478=fCampaign),OR(fTeam="All",$B478=fTeam),OR(fChannel="All",$F478=fChannel),OR(fMonth="All",$AH478=fMonth),OR(fTStatus="All",$M478=fTStatus)),1,0))</f>
        <v>0</v>
      </c>
      <c r="AJ478" s="71">
        <f>IF($G478="",0,IF(AND(OR(fClient="All",$C478=fClient),OR(fCampaign="All",$D478=fCampaign),OR(fTeam="All",$B478=fTeam),OR(fChannel="All",$F478=fChannel)),1,0))</f>
        <v>0</v>
      </c>
      <c r="AK478" s="71">
        <f>IF($G478="",0,IF(OR($M478="Completed",$M478="Cancelled"),0,1))</f>
        <v>0</v>
      </c>
      <c r="AL478" s="71">
        <f>IF(AND($AK478=1,ISNUMBER($L478)),IF($L478&lt;ReportDate,1,0),0)</f>
        <v>0</v>
      </c>
      <c r="AM478" s="71">
        <f>IF(AND($G478&lt;&gt;"",$M478="Blocked"),1,0)</f>
        <v>0</v>
      </c>
      <c r="AN478" s="71">
        <f>IF(AND($AK478=1,ISNUMBER($L478)),IF($L478=ReportDate,1,0),0)</f>
        <v>0</v>
      </c>
      <c r="AO478" s="71">
        <f>IF(AND($AK478=1,ISNUMBER($L478)),IF($L478=ReportDate+1,1,0),0)</f>
        <v>0</v>
      </c>
      <c r="AP478" s="71">
        <f>IF(AND($AK478=1,ISNUMBER($L478)),IF(AND($L478&gt;=ReportDate,$L478&lt;=ReportDate+DueSoonDays),1,0),0)</f>
        <v>0</v>
      </c>
      <c r="AQ478" s="71">
        <f>IF(AND($AK478=1,OR($I478="Critical",$I478="High")),1,0)</f>
        <v>0</v>
      </c>
      <c r="AR478" s="71">
        <f>IF($AK478=1,IF(ISNUMBER($Y478),IF(ReportDate-$Y478&gt;StaleDays,1,0),1),0)</f>
        <v>0</v>
      </c>
      <c r="AS478" s="71">
        <f>IF(AND($G478&lt;&gt;"",ISNUMBER($Q478),ISNUMBER($R478)),IF(AND($Q478&lt;$R478,OR($M478="Completed",AND(ISNUMBER($L478),$L478&lt;ReportDate))),1,0),0)</f>
        <v>0</v>
      </c>
      <c r="AT478" s="71">
        <f>IF($AK478=1,IF(OR($L478=ReportDate,$W478=ReportDate,$K478=ReportDate,$A478=ReportDate),1,0),0)</f>
        <v>0</v>
      </c>
      <c r="AU478" s="71">
        <f>IF($AK478=1,IF(OR($L478=ReportDate+1,$W478=ReportDate+1,$K478=ReportDate+1,$A478=ReportDate+1),1,0),0)</f>
        <v>0</v>
      </c>
      <c r="AV478" s="71">
        <f>IF(AND($G478&lt;&gt;"",$M478="Completed"),IF(OR($Y478=ReportDate-1,$A478=ReportDate-1),1,0),0)</f>
        <v>0</v>
      </c>
      <c r="AW478" s="71">
        <f>IF(AND($AK478=1,$Z478="Yes"),1,0)</f>
        <v>0</v>
      </c>
      <c r="AX478" s="71">
        <f>IF(AND($AK478=1,$AA478="Yes"),1,0)</f>
        <v>0</v>
      </c>
      <c r="AY478" s="71">
        <f>IF(AND($AM478=1,OR($I478="Critical",$I478="High")),1,0)</f>
        <v>0</v>
      </c>
      <c r="AZ478" s="71">
        <f>IF(AND($AK478=1,OR($C478=TCL_Client,$C478=MECCA_Client)),1,0)</f>
        <v>0</v>
      </c>
      <c r="BA478" s="71" t="str">
        <f>IF($G478="","",IFERROR(MATCH($I478,lst_Priority,0),5))</f>
        <v/>
      </c>
      <c r="BB478" s="71" t="str">
        <f>IF(AND($AL478=1,$AJ478=1),$BA478*100000+ROW(),"")</f>
        <v/>
      </c>
      <c r="BC478" s="71" t="str">
        <f>IF(AND($AM478=1,$AJ478=1),$BA478*100000+ROW(),"")</f>
        <v/>
      </c>
      <c r="BD478" s="71" t="str">
        <f>IF(AND($AP478=1,$AJ478=1),$BA478*100000+ROW(),"")</f>
        <v/>
      </c>
      <c r="BE478" s="71" t="str">
        <f>IF(AND($AT478=1,$AJ478=1),$BA478*100000+ROW(),"")</f>
        <v/>
      </c>
      <c r="BF478" s="71" t="str">
        <f>IF(AND($AU478=1,$AJ478=1),$BA478*100000+ROW(),"")</f>
        <v/>
      </c>
      <c r="BG478" s="71" t="str">
        <f>IF(AND($AV478=1,$AJ478=1),$BA478*100000+ROW(),"")</f>
        <v/>
      </c>
      <c r="BH478" s="71" t="str">
        <f>IF(AND($AW478=1,$AJ478=1),$BA478*100000+ROW(),"")</f>
        <v/>
      </c>
      <c r="BI478" s="71" t="str">
        <f>IF(AND($AX478=1,$AJ478=1),$BA478*100000+ROW(),"")</f>
        <v/>
      </c>
      <c r="BJ478" s="71" t="str">
        <f>IF(AND($AS478=1,$AJ478=1),$BA478*100000+ROW(),"")</f>
        <v/>
      </c>
      <c r="BK478" s="71" t="str">
        <f>IF(AND($AY478=1,$AJ478=1),$BA478*100000+ROW(),"")</f>
        <v/>
      </c>
      <c r="BL478" s="71" t="str">
        <f>IF(AND($AZ478=1),$BA478*100000+ROW(),"")</f>
        <v/>
      </c>
    </row>
    <row r="479">
      <c r="A479" s="63" t="n"/>
      <c r="B479" s="64" t="n"/>
      <c r="C479" s="64" t="n"/>
      <c r="D479" s="64" t="n"/>
      <c r="E479" s="64" t="n"/>
      <c r="F479" s="64" t="n"/>
      <c r="G479" s="65" t="n"/>
      <c r="H479" s="65" t="n"/>
      <c r="I479" s="64" t="n"/>
      <c r="J479" s="64" t="n"/>
      <c r="K479" s="63" t="n"/>
      <c r="L479" s="63" t="n"/>
      <c r="M479" s="64" t="n"/>
      <c r="N479" s="66" t="n"/>
      <c r="O479" s="65" t="n"/>
      <c r="P479" s="64" t="n"/>
      <c r="Q479" s="67" t="n"/>
      <c r="R479" s="67" t="n"/>
      <c r="S479" s="68" t="str">
        <f>IF(AND(ISNUMBER($Q479),ISNUMBER($R479)),$Q479-$R479,"")</f>
        <v/>
      </c>
      <c r="T479" s="65" t="n"/>
      <c r="U479" s="64" t="n"/>
      <c r="V479" s="65" t="n"/>
      <c r="W479" s="63" t="n"/>
      <c r="X479" s="65" t="n"/>
      <c r="Y479" s="63" t="n"/>
      <c r="Z479" s="64" t="n"/>
      <c r="AA479" s="64" t="n"/>
      <c r="AB479" s="65" t="n"/>
      <c r="AC479" s="69" t="str">
        <f>IF(OR($G479="",NOT(ISNUMBER($K479)),$AK479=0),"",MAX(0,ReportDate-$K479))</f>
        <v/>
      </c>
      <c r="AD479" s="69" t="str">
        <f>IF($G479="","",IF($AL479=1,ReportDate-$L479,0))</f>
        <v/>
      </c>
      <c r="AE479" s="70" t="str">
        <f>IF($G479="","",IF($M479="Completed",1,IF(ISNUMBER($N479),$N479,0)))</f>
        <v/>
      </c>
      <c r="AF479" s="70" t="str">
        <f>IF(AND(ISNUMBER($Q479),ISNUMBER($R479)),IF($R479&lt;&gt;0,$Q479/$R479,""),"")</f>
        <v/>
      </c>
      <c r="AG479" s="71" t="str">
        <f>IF($G479="","",IF($AL479=1,"OVERDUE",IF($AM479=1,"BLOCKED",IF($AN479=1,"DUE TODAY",IF($AO479=1,"DUE TOMORROW",IF($AQ479=1,"HIGH PRIORITY",IF($AR479=1,"NO RECENT UPDATE",""))))))) </f>
        <v/>
      </c>
      <c r="AH479" s="71" t="str">
        <f>IF($G479="","",IF(ISNUMBER($A479),IF(ISNUMBER($A479),YEAR($A479)&amp;"-"&amp;TEXT(MONTH($A479),"00"),""),IF(ISNUMBER($L479),IF(ISNUMBER($L479),YEAR($L479)&amp;"-"&amp;TEXT(MONTH($L479),"00"),""),"")))</f>
        <v/>
      </c>
      <c r="AI479" s="71">
        <f>IF($G479="",0,IF(AND(OR(fClient="All",$C479=fClient),OR(fCampaign="All",$D479=fCampaign),OR(fTeam="All",$B479=fTeam),OR(fChannel="All",$F479=fChannel),OR(fMonth="All",$AH479=fMonth),OR(fTStatus="All",$M479=fTStatus)),1,0))</f>
        <v>0</v>
      </c>
      <c r="AJ479" s="71">
        <f>IF($G479="",0,IF(AND(OR(fClient="All",$C479=fClient),OR(fCampaign="All",$D479=fCampaign),OR(fTeam="All",$B479=fTeam),OR(fChannel="All",$F479=fChannel)),1,0))</f>
        <v>0</v>
      </c>
      <c r="AK479" s="71">
        <f>IF($G479="",0,IF(OR($M479="Completed",$M479="Cancelled"),0,1))</f>
        <v>0</v>
      </c>
      <c r="AL479" s="71">
        <f>IF(AND($AK479=1,ISNUMBER($L479)),IF($L479&lt;ReportDate,1,0),0)</f>
        <v>0</v>
      </c>
      <c r="AM479" s="71">
        <f>IF(AND($G479&lt;&gt;"",$M479="Blocked"),1,0)</f>
        <v>0</v>
      </c>
      <c r="AN479" s="71">
        <f>IF(AND($AK479=1,ISNUMBER($L479)),IF($L479=ReportDate,1,0),0)</f>
        <v>0</v>
      </c>
      <c r="AO479" s="71">
        <f>IF(AND($AK479=1,ISNUMBER($L479)),IF($L479=ReportDate+1,1,0),0)</f>
        <v>0</v>
      </c>
      <c r="AP479" s="71">
        <f>IF(AND($AK479=1,ISNUMBER($L479)),IF(AND($L479&gt;=ReportDate,$L479&lt;=ReportDate+DueSoonDays),1,0),0)</f>
        <v>0</v>
      </c>
      <c r="AQ479" s="71">
        <f>IF(AND($AK479=1,OR($I479="Critical",$I479="High")),1,0)</f>
        <v>0</v>
      </c>
      <c r="AR479" s="71">
        <f>IF($AK479=1,IF(ISNUMBER($Y479),IF(ReportDate-$Y479&gt;StaleDays,1,0),1),0)</f>
        <v>0</v>
      </c>
      <c r="AS479" s="71">
        <f>IF(AND($G479&lt;&gt;"",ISNUMBER($Q479),ISNUMBER($R479)),IF(AND($Q479&lt;$R479,OR($M479="Completed",AND(ISNUMBER($L479),$L479&lt;ReportDate))),1,0),0)</f>
        <v>0</v>
      </c>
      <c r="AT479" s="71">
        <f>IF($AK479=1,IF(OR($L479=ReportDate,$W479=ReportDate,$K479=ReportDate,$A479=ReportDate),1,0),0)</f>
        <v>0</v>
      </c>
      <c r="AU479" s="71">
        <f>IF($AK479=1,IF(OR($L479=ReportDate+1,$W479=ReportDate+1,$K479=ReportDate+1,$A479=ReportDate+1),1,0),0)</f>
        <v>0</v>
      </c>
      <c r="AV479" s="71">
        <f>IF(AND($G479&lt;&gt;"",$M479="Completed"),IF(OR($Y479=ReportDate-1,$A479=ReportDate-1),1,0),0)</f>
        <v>0</v>
      </c>
      <c r="AW479" s="71">
        <f>IF(AND($AK479=1,$Z479="Yes"),1,0)</f>
        <v>0</v>
      </c>
      <c r="AX479" s="71">
        <f>IF(AND($AK479=1,$AA479="Yes"),1,0)</f>
        <v>0</v>
      </c>
      <c r="AY479" s="71">
        <f>IF(AND($AM479=1,OR($I479="Critical",$I479="High")),1,0)</f>
        <v>0</v>
      </c>
      <c r="AZ479" s="71">
        <f>IF(AND($AK479=1,OR($C479=TCL_Client,$C479=MECCA_Client)),1,0)</f>
        <v>0</v>
      </c>
      <c r="BA479" s="71" t="str">
        <f>IF($G479="","",IFERROR(MATCH($I479,lst_Priority,0),5))</f>
        <v/>
      </c>
      <c r="BB479" s="71" t="str">
        <f>IF(AND($AL479=1,$AJ479=1),$BA479*100000+ROW(),"")</f>
        <v/>
      </c>
      <c r="BC479" s="71" t="str">
        <f>IF(AND($AM479=1,$AJ479=1),$BA479*100000+ROW(),"")</f>
        <v/>
      </c>
      <c r="BD479" s="71" t="str">
        <f>IF(AND($AP479=1,$AJ479=1),$BA479*100000+ROW(),"")</f>
        <v/>
      </c>
      <c r="BE479" s="71" t="str">
        <f>IF(AND($AT479=1,$AJ479=1),$BA479*100000+ROW(),"")</f>
        <v/>
      </c>
      <c r="BF479" s="71" t="str">
        <f>IF(AND($AU479=1,$AJ479=1),$BA479*100000+ROW(),"")</f>
        <v/>
      </c>
      <c r="BG479" s="71" t="str">
        <f>IF(AND($AV479=1,$AJ479=1),$BA479*100000+ROW(),"")</f>
        <v/>
      </c>
      <c r="BH479" s="71" t="str">
        <f>IF(AND($AW479=1,$AJ479=1),$BA479*100000+ROW(),"")</f>
        <v/>
      </c>
      <c r="BI479" s="71" t="str">
        <f>IF(AND($AX479=1,$AJ479=1),$BA479*100000+ROW(),"")</f>
        <v/>
      </c>
      <c r="BJ479" s="71" t="str">
        <f>IF(AND($AS479=1,$AJ479=1),$BA479*100000+ROW(),"")</f>
        <v/>
      </c>
      <c r="BK479" s="71" t="str">
        <f>IF(AND($AY479=1,$AJ479=1),$BA479*100000+ROW(),"")</f>
        <v/>
      </c>
      <c r="BL479" s="71" t="str">
        <f>IF(AND($AZ479=1),$BA479*100000+ROW(),"")</f>
        <v/>
      </c>
    </row>
    <row r="480">
      <c r="A480" s="63" t="n"/>
      <c r="B480" s="64" t="n"/>
      <c r="C480" s="64" t="n"/>
      <c r="D480" s="64" t="n"/>
      <c r="E480" s="64" t="n"/>
      <c r="F480" s="64" t="n"/>
      <c r="G480" s="65" t="n"/>
      <c r="H480" s="65" t="n"/>
      <c r="I480" s="64" t="n"/>
      <c r="J480" s="64" t="n"/>
      <c r="K480" s="63" t="n"/>
      <c r="L480" s="63" t="n"/>
      <c r="M480" s="64" t="n"/>
      <c r="N480" s="66" t="n"/>
      <c r="O480" s="65" t="n"/>
      <c r="P480" s="64" t="n"/>
      <c r="Q480" s="67" t="n"/>
      <c r="R480" s="67" t="n"/>
      <c r="S480" s="68" t="str">
        <f>IF(AND(ISNUMBER($Q480),ISNUMBER($R480)),$Q480-$R480,"")</f>
        <v/>
      </c>
      <c r="T480" s="65" t="n"/>
      <c r="U480" s="64" t="n"/>
      <c r="V480" s="65" t="n"/>
      <c r="W480" s="63" t="n"/>
      <c r="X480" s="65" t="n"/>
      <c r="Y480" s="63" t="n"/>
      <c r="Z480" s="64" t="n"/>
      <c r="AA480" s="64" t="n"/>
      <c r="AB480" s="65" t="n"/>
      <c r="AC480" s="69" t="str">
        <f>IF(OR($G480="",NOT(ISNUMBER($K480)),$AK480=0),"",MAX(0,ReportDate-$K480))</f>
        <v/>
      </c>
      <c r="AD480" s="69" t="str">
        <f>IF($G480="","",IF($AL480=1,ReportDate-$L480,0))</f>
        <v/>
      </c>
      <c r="AE480" s="70" t="str">
        <f>IF($G480="","",IF($M480="Completed",1,IF(ISNUMBER($N480),$N480,0)))</f>
        <v/>
      </c>
      <c r="AF480" s="70" t="str">
        <f>IF(AND(ISNUMBER($Q480),ISNUMBER($R480)),IF($R480&lt;&gt;0,$Q480/$R480,""),"")</f>
        <v/>
      </c>
      <c r="AG480" s="71" t="str">
        <f>IF($G480="","",IF($AL480=1,"OVERDUE",IF($AM480=1,"BLOCKED",IF($AN480=1,"DUE TODAY",IF($AO480=1,"DUE TOMORROW",IF($AQ480=1,"HIGH PRIORITY",IF($AR480=1,"NO RECENT UPDATE",""))))))) </f>
        <v/>
      </c>
      <c r="AH480" s="71" t="str">
        <f>IF($G480="","",IF(ISNUMBER($A480),IF(ISNUMBER($A480),YEAR($A480)&amp;"-"&amp;TEXT(MONTH($A480),"00"),""),IF(ISNUMBER($L480),IF(ISNUMBER($L480),YEAR($L480)&amp;"-"&amp;TEXT(MONTH($L480),"00"),""),"")))</f>
        <v/>
      </c>
      <c r="AI480" s="71">
        <f>IF($G480="",0,IF(AND(OR(fClient="All",$C480=fClient),OR(fCampaign="All",$D480=fCampaign),OR(fTeam="All",$B480=fTeam),OR(fChannel="All",$F480=fChannel),OR(fMonth="All",$AH480=fMonth),OR(fTStatus="All",$M480=fTStatus)),1,0))</f>
        <v>0</v>
      </c>
      <c r="AJ480" s="71">
        <f>IF($G480="",0,IF(AND(OR(fClient="All",$C480=fClient),OR(fCampaign="All",$D480=fCampaign),OR(fTeam="All",$B480=fTeam),OR(fChannel="All",$F480=fChannel)),1,0))</f>
        <v>0</v>
      </c>
      <c r="AK480" s="71">
        <f>IF($G480="",0,IF(OR($M480="Completed",$M480="Cancelled"),0,1))</f>
        <v>0</v>
      </c>
      <c r="AL480" s="71">
        <f>IF(AND($AK480=1,ISNUMBER($L480)),IF($L480&lt;ReportDate,1,0),0)</f>
        <v>0</v>
      </c>
      <c r="AM480" s="71">
        <f>IF(AND($G480&lt;&gt;"",$M480="Blocked"),1,0)</f>
        <v>0</v>
      </c>
      <c r="AN480" s="71">
        <f>IF(AND($AK480=1,ISNUMBER($L480)),IF($L480=ReportDate,1,0),0)</f>
        <v>0</v>
      </c>
      <c r="AO480" s="71">
        <f>IF(AND($AK480=1,ISNUMBER($L480)),IF($L480=ReportDate+1,1,0),0)</f>
        <v>0</v>
      </c>
      <c r="AP480" s="71">
        <f>IF(AND($AK480=1,ISNUMBER($L480)),IF(AND($L480&gt;=ReportDate,$L480&lt;=ReportDate+DueSoonDays),1,0),0)</f>
        <v>0</v>
      </c>
      <c r="AQ480" s="71">
        <f>IF(AND($AK480=1,OR($I480="Critical",$I480="High")),1,0)</f>
        <v>0</v>
      </c>
      <c r="AR480" s="71">
        <f>IF($AK480=1,IF(ISNUMBER($Y480),IF(ReportDate-$Y480&gt;StaleDays,1,0),1),0)</f>
        <v>0</v>
      </c>
      <c r="AS480" s="71">
        <f>IF(AND($G480&lt;&gt;"",ISNUMBER($Q480),ISNUMBER($R480)),IF(AND($Q480&lt;$R480,OR($M480="Completed",AND(ISNUMBER($L480),$L480&lt;ReportDate))),1,0),0)</f>
        <v>0</v>
      </c>
      <c r="AT480" s="71">
        <f>IF($AK480=1,IF(OR($L480=ReportDate,$W480=ReportDate,$K480=ReportDate,$A480=ReportDate),1,0),0)</f>
        <v>0</v>
      </c>
      <c r="AU480" s="71">
        <f>IF($AK480=1,IF(OR($L480=ReportDate+1,$W480=ReportDate+1,$K480=ReportDate+1,$A480=ReportDate+1),1,0),0)</f>
        <v>0</v>
      </c>
      <c r="AV480" s="71">
        <f>IF(AND($G480&lt;&gt;"",$M480="Completed"),IF(OR($Y480=ReportDate-1,$A480=ReportDate-1),1,0),0)</f>
        <v>0</v>
      </c>
      <c r="AW480" s="71">
        <f>IF(AND($AK480=1,$Z480="Yes"),1,0)</f>
        <v>0</v>
      </c>
      <c r="AX480" s="71">
        <f>IF(AND($AK480=1,$AA480="Yes"),1,0)</f>
        <v>0</v>
      </c>
      <c r="AY480" s="71">
        <f>IF(AND($AM480=1,OR($I480="Critical",$I480="High")),1,0)</f>
        <v>0</v>
      </c>
      <c r="AZ480" s="71">
        <f>IF(AND($AK480=1,OR($C480=TCL_Client,$C480=MECCA_Client)),1,0)</f>
        <v>0</v>
      </c>
      <c r="BA480" s="71" t="str">
        <f>IF($G480="","",IFERROR(MATCH($I480,lst_Priority,0),5))</f>
        <v/>
      </c>
      <c r="BB480" s="71" t="str">
        <f>IF(AND($AL480=1,$AJ480=1),$BA480*100000+ROW(),"")</f>
        <v/>
      </c>
      <c r="BC480" s="71" t="str">
        <f>IF(AND($AM480=1,$AJ480=1),$BA480*100000+ROW(),"")</f>
        <v/>
      </c>
      <c r="BD480" s="71" t="str">
        <f>IF(AND($AP480=1,$AJ480=1),$BA480*100000+ROW(),"")</f>
        <v/>
      </c>
      <c r="BE480" s="71" t="str">
        <f>IF(AND($AT480=1,$AJ480=1),$BA480*100000+ROW(),"")</f>
        <v/>
      </c>
      <c r="BF480" s="71" t="str">
        <f>IF(AND($AU480=1,$AJ480=1),$BA480*100000+ROW(),"")</f>
        <v/>
      </c>
      <c r="BG480" s="71" t="str">
        <f>IF(AND($AV480=1,$AJ480=1),$BA480*100000+ROW(),"")</f>
        <v/>
      </c>
      <c r="BH480" s="71" t="str">
        <f>IF(AND($AW480=1,$AJ480=1),$BA480*100000+ROW(),"")</f>
        <v/>
      </c>
      <c r="BI480" s="71" t="str">
        <f>IF(AND($AX480=1,$AJ480=1),$BA480*100000+ROW(),"")</f>
        <v/>
      </c>
      <c r="BJ480" s="71" t="str">
        <f>IF(AND($AS480=1,$AJ480=1),$BA480*100000+ROW(),"")</f>
        <v/>
      </c>
      <c r="BK480" s="71" t="str">
        <f>IF(AND($AY480=1,$AJ480=1),$BA480*100000+ROW(),"")</f>
        <v/>
      </c>
      <c r="BL480" s="71" t="str">
        <f>IF(AND($AZ480=1),$BA480*100000+ROW(),"")</f>
        <v/>
      </c>
    </row>
    <row r="481">
      <c r="A481" s="63" t="n"/>
      <c r="B481" s="64" t="n"/>
      <c r="C481" s="64" t="n"/>
      <c r="D481" s="64" t="n"/>
      <c r="E481" s="64" t="n"/>
      <c r="F481" s="64" t="n"/>
      <c r="G481" s="65" t="n"/>
      <c r="H481" s="65" t="n"/>
      <c r="I481" s="64" t="n"/>
      <c r="J481" s="64" t="n"/>
      <c r="K481" s="63" t="n"/>
      <c r="L481" s="63" t="n"/>
      <c r="M481" s="64" t="n"/>
      <c r="N481" s="66" t="n"/>
      <c r="O481" s="65" t="n"/>
      <c r="P481" s="64" t="n"/>
      <c r="Q481" s="67" t="n"/>
      <c r="R481" s="67" t="n"/>
      <c r="S481" s="68" t="str">
        <f>IF(AND(ISNUMBER($Q481),ISNUMBER($R481)),$Q481-$R481,"")</f>
        <v/>
      </c>
      <c r="T481" s="65" t="n"/>
      <c r="U481" s="64" t="n"/>
      <c r="V481" s="65" t="n"/>
      <c r="W481" s="63" t="n"/>
      <c r="X481" s="65" t="n"/>
      <c r="Y481" s="63" t="n"/>
      <c r="Z481" s="64" t="n"/>
      <c r="AA481" s="64" t="n"/>
      <c r="AB481" s="65" t="n"/>
      <c r="AC481" s="69" t="str">
        <f>IF(OR($G481="",NOT(ISNUMBER($K481)),$AK481=0),"",MAX(0,ReportDate-$K481))</f>
        <v/>
      </c>
      <c r="AD481" s="69" t="str">
        <f>IF($G481="","",IF($AL481=1,ReportDate-$L481,0))</f>
        <v/>
      </c>
      <c r="AE481" s="70" t="str">
        <f>IF($G481="","",IF($M481="Completed",1,IF(ISNUMBER($N481),$N481,0)))</f>
        <v/>
      </c>
      <c r="AF481" s="70" t="str">
        <f>IF(AND(ISNUMBER($Q481),ISNUMBER($R481)),IF($R481&lt;&gt;0,$Q481/$R481,""),"")</f>
        <v/>
      </c>
      <c r="AG481" s="71" t="str">
        <f>IF($G481="","",IF($AL481=1,"OVERDUE",IF($AM481=1,"BLOCKED",IF($AN481=1,"DUE TODAY",IF($AO481=1,"DUE TOMORROW",IF($AQ481=1,"HIGH PRIORITY",IF($AR481=1,"NO RECENT UPDATE",""))))))) </f>
        <v/>
      </c>
      <c r="AH481" s="71" t="str">
        <f>IF($G481="","",IF(ISNUMBER($A481),IF(ISNUMBER($A481),YEAR($A481)&amp;"-"&amp;TEXT(MONTH($A481),"00"),""),IF(ISNUMBER($L481),IF(ISNUMBER($L481),YEAR($L481)&amp;"-"&amp;TEXT(MONTH($L481),"00"),""),"")))</f>
        <v/>
      </c>
      <c r="AI481" s="71">
        <f>IF($G481="",0,IF(AND(OR(fClient="All",$C481=fClient),OR(fCampaign="All",$D481=fCampaign),OR(fTeam="All",$B481=fTeam),OR(fChannel="All",$F481=fChannel),OR(fMonth="All",$AH481=fMonth),OR(fTStatus="All",$M481=fTStatus)),1,0))</f>
        <v>0</v>
      </c>
      <c r="AJ481" s="71">
        <f>IF($G481="",0,IF(AND(OR(fClient="All",$C481=fClient),OR(fCampaign="All",$D481=fCampaign),OR(fTeam="All",$B481=fTeam),OR(fChannel="All",$F481=fChannel)),1,0))</f>
        <v>0</v>
      </c>
      <c r="AK481" s="71">
        <f>IF($G481="",0,IF(OR($M481="Completed",$M481="Cancelled"),0,1))</f>
        <v>0</v>
      </c>
      <c r="AL481" s="71">
        <f>IF(AND($AK481=1,ISNUMBER($L481)),IF($L481&lt;ReportDate,1,0),0)</f>
        <v>0</v>
      </c>
      <c r="AM481" s="71">
        <f>IF(AND($G481&lt;&gt;"",$M481="Blocked"),1,0)</f>
        <v>0</v>
      </c>
      <c r="AN481" s="71">
        <f>IF(AND($AK481=1,ISNUMBER($L481)),IF($L481=ReportDate,1,0),0)</f>
        <v>0</v>
      </c>
      <c r="AO481" s="71">
        <f>IF(AND($AK481=1,ISNUMBER($L481)),IF($L481=ReportDate+1,1,0),0)</f>
        <v>0</v>
      </c>
      <c r="AP481" s="71">
        <f>IF(AND($AK481=1,ISNUMBER($L481)),IF(AND($L481&gt;=ReportDate,$L481&lt;=ReportDate+DueSoonDays),1,0),0)</f>
        <v>0</v>
      </c>
      <c r="AQ481" s="71">
        <f>IF(AND($AK481=1,OR($I481="Critical",$I481="High")),1,0)</f>
        <v>0</v>
      </c>
      <c r="AR481" s="71">
        <f>IF($AK481=1,IF(ISNUMBER($Y481),IF(ReportDate-$Y481&gt;StaleDays,1,0),1),0)</f>
        <v>0</v>
      </c>
      <c r="AS481" s="71">
        <f>IF(AND($G481&lt;&gt;"",ISNUMBER($Q481),ISNUMBER($R481)),IF(AND($Q481&lt;$R481,OR($M481="Completed",AND(ISNUMBER($L481),$L481&lt;ReportDate))),1,0),0)</f>
        <v>0</v>
      </c>
      <c r="AT481" s="71">
        <f>IF($AK481=1,IF(OR($L481=ReportDate,$W481=ReportDate,$K481=ReportDate,$A481=ReportDate),1,0),0)</f>
        <v>0</v>
      </c>
      <c r="AU481" s="71">
        <f>IF($AK481=1,IF(OR($L481=ReportDate+1,$W481=ReportDate+1,$K481=ReportDate+1,$A481=ReportDate+1),1,0),0)</f>
        <v>0</v>
      </c>
      <c r="AV481" s="71">
        <f>IF(AND($G481&lt;&gt;"",$M481="Completed"),IF(OR($Y481=ReportDate-1,$A481=ReportDate-1),1,0),0)</f>
        <v>0</v>
      </c>
      <c r="AW481" s="71">
        <f>IF(AND($AK481=1,$Z481="Yes"),1,0)</f>
        <v>0</v>
      </c>
      <c r="AX481" s="71">
        <f>IF(AND($AK481=1,$AA481="Yes"),1,0)</f>
        <v>0</v>
      </c>
      <c r="AY481" s="71">
        <f>IF(AND($AM481=1,OR($I481="Critical",$I481="High")),1,0)</f>
        <v>0</v>
      </c>
      <c r="AZ481" s="71">
        <f>IF(AND($AK481=1,OR($C481=TCL_Client,$C481=MECCA_Client)),1,0)</f>
        <v>0</v>
      </c>
      <c r="BA481" s="71" t="str">
        <f>IF($G481="","",IFERROR(MATCH($I481,lst_Priority,0),5))</f>
        <v/>
      </c>
      <c r="BB481" s="71" t="str">
        <f>IF(AND($AL481=1,$AJ481=1),$BA481*100000+ROW(),"")</f>
        <v/>
      </c>
      <c r="BC481" s="71" t="str">
        <f>IF(AND($AM481=1,$AJ481=1),$BA481*100000+ROW(),"")</f>
        <v/>
      </c>
      <c r="BD481" s="71" t="str">
        <f>IF(AND($AP481=1,$AJ481=1),$BA481*100000+ROW(),"")</f>
        <v/>
      </c>
      <c r="BE481" s="71" t="str">
        <f>IF(AND($AT481=1,$AJ481=1),$BA481*100000+ROW(),"")</f>
        <v/>
      </c>
      <c r="BF481" s="71" t="str">
        <f>IF(AND($AU481=1,$AJ481=1),$BA481*100000+ROW(),"")</f>
        <v/>
      </c>
      <c r="BG481" s="71" t="str">
        <f>IF(AND($AV481=1,$AJ481=1),$BA481*100000+ROW(),"")</f>
        <v/>
      </c>
      <c r="BH481" s="71" t="str">
        <f>IF(AND($AW481=1,$AJ481=1),$BA481*100000+ROW(),"")</f>
        <v/>
      </c>
      <c r="BI481" s="71" t="str">
        <f>IF(AND($AX481=1,$AJ481=1),$BA481*100000+ROW(),"")</f>
        <v/>
      </c>
      <c r="BJ481" s="71" t="str">
        <f>IF(AND($AS481=1,$AJ481=1),$BA481*100000+ROW(),"")</f>
        <v/>
      </c>
      <c r="BK481" s="71" t="str">
        <f>IF(AND($AY481=1,$AJ481=1),$BA481*100000+ROW(),"")</f>
        <v/>
      </c>
      <c r="BL481" s="71" t="str">
        <f>IF(AND($AZ481=1),$BA481*100000+ROW(),"")</f>
        <v/>
      </c>
    </row>
    <row r="482">
      <c r="A482" s="63" t="n"/>
      <c r="B482" s="64" t="n"/>
      <c r="C482" s="64" t="n"/>
      <c r="D482" s="64" t="n"/>
      <c r="E482" s="64" t="n"/>
      <c r="F482" s="64" t="n"/>
      <c r="G482" s="65" t="n"/>
      <c r="H482" s="65" t="n"/>
      <c r="I482" s="64" t="n"/>
      <c r="J482" s="64" t="n"/>
      <c r="K482" s="63" t="n"/>
      <c r="L482" s="63" t="n"/>
      <c r="M482" s="64" t="n"/>
      <c r="N482" s="66" t="n"/>
      <c r="O482" s="65" t="n"/>
      <c r="P482" s="64" t="n"/>
      <c r="Q482" s="67" t="n"/>
      <c r="R482" s="67" t="n"/>
      <c r="S482" s="68" t="str">
        <f>IF(AND(ISNUMBER($Q482),ISNUMBER($R482)),$Q482-$R482,"")</f>
        <v/>
      </c>
      <c r="T482" s="65" t="n"/>
      <c r="U482" s="64" t="n"/>
      <c r="V482" s="65" t="n"/>
      <c r="W482" s="63" t="n"/>
      <c r="X482" s="65" t="n"/>
      <c r="Y482" s="63" t="n"/>
      <c r="Z482" s="64" t="n"/>
      <c r="AA482" s="64" t="n"/>
      <c r="AB482" s="65" t="n"/>
      <c r="AC482" s="69" t="str">
        <f>IF(OR($G482="",NOT(ISNUMBER($K482)),$AK482=0),"",MAX(0,ReportDate-$K482))</f>
        <v/>
      </c>
      <c r="AD482" s="69" t="str">
        <f>IF($G482="","",IF($AL482=1,ReportDate-$L482,0))</f>
        <v/>
      </c>
      <c r="AE482" s="70" t="str">
        <f>IF($G482="","",IF($M482="Completed",1,IF(ISNUMBER($N482),$N482,0)))</f>
        <v/>
      </c>
      <c r="AF482" s="70" t="str">
        <f>IF(AND(ISNUMBER($Q482),ISNUMBER($R482)),IF($R482&lt;&gt;0,$Q482/$R482,""),"")</f>
        <v/>
      </c>
      <c r="AG482" s="71" t="str">
        <f>IF($G482="","",IF($AL482=1,"OVERDUE",IF($AM482=1,"BLOCKED",IF($AN482=1,"DUE TODAY",IF($AO482=1,"DUE TOMORROW",IF($AQ482=1,"HIGH PRIORITY",IF($AR482=1,"NO RECENT UPDATE",""))))))) </f>
        <v/>
      </c>
      <c r="AH482" s="71" t="str">
        <f>IF($G482="","",IF(ISNUMBER($A482),IF(ISNUMBER($A482),YEAR($A482)&amp;"-"&amp;TEXT(MONTH($A482),"00"),""),IF(ISNUMBER($L482),IF(ISNUMBER($L482),YEAR($L482)&amp;"-"&amp;TEXT(MONTH($L482),"00"),""),"")))</f>
        <v/>
      </c>
      <c r="AI482" s="71">
        <f>IF($G482="",0,IF(AND(OR(fClient="All",$C482=fClient),OR(fCampaign="All",$D482=fCampaign),OR(fTeam="All",$B482=fTeam),OR(fChannel="All",$F482=fChannel),OR(fMonth="All",$AH482=fMonth),OR(fTStatus="All",$M482=fTStatus)),1,0))</f>
        <v>0</v>
      </c>
      <c r="AJ482" s="71">
        <f>IF($G482="",0,IF(AND(OR(fClient="All",$C482=fClient),OR(fCampaign="All",$D482=fCampaign),OR(fTeam="All",$B482=fTeam),OR(fChannel="All",$F482=fChannel)),1,0))</f>
        <v>0</v>
      </c>
      <c r="AK482" s="71">
        <f>IF($G482="",0,IF(OR($M482="Completed",$M482="Cancelled"),0,1))</f>
        <v>0</v>
      </c>
      <c r="AL482" s="71">
        <f>IF(AND($AK482=1,ISNUMBER($L482)),IF($L482&lt;ReportDate,1,0),0)</f>
        <v>0</v>
      </c>
      <c r="AM482" s="71">
        <f>IF(AND($G482&lt;&gt;"",$M482="Blocked"),1,0)</f>
        <v>0</v>
      </c>
      <c r="AN482" s="71">
        <f>IF(AND($AK482=1,ISNUMBER($L482)),IF($L482=ReportDate,1,0),0)</f>
        <v>0</v>
      </c>
      <c r="AO482" s="71">
        <f>IF(AND($AK482=1,ISNUMBER($L482)),IF($L482=ReportDate+1,1,0),0)</f>
        <v>0</v>
      </c>
      <c r="AP482" s="71">
        <f>IF(AND($AK482=1,ISNUMBER($L482)),IF(AND($L482&gt;=ReportDate,$L482&lt;=ReportDate+DueSoonDays),1,0),0)</f>
        <v>0</v>
      </c>
      <c r="AQ482" s="71">
        <f>IF(AND($AK482=1,OR($I482="Critical",$I482="High")),1,0)</f>
        <v>0</v>
      </c>
      <c r="AR482" s="71">
        <f>IF($AK482=1,IF(ISNUMBER($Y482),IF(ReportDate-$Y482&gt;StaleDays,1,0),1),0)</f>
        <v>0</v>
      </c>
      <c r="AS482" s="71">
        <f>IF(AND($G482&lt;&gt;"",ISNUMBER($Q482),ISNUMBER($R482)),IF(AND($Q482&lt;$R482,OR($M482="Completed",AND(ISNUMBER($L482),$L482&lt;ReportDate))),1,0),0)</f>
        <v>0</v>
      </c>
      <c r="AT482" s="71">
        <f>IF($AK482=1,IF(OR($L482=ReportDate,$W482=ReportDate,$K482=ReportDate,$A482=ReportDate),1,0),0)</f>
        <v>0</v>
      </c>
      <c r="AU482" s="71">
        <f>IF($AK482=1,IF(OR($L482=ReportDate+1,$W482=ReportDate+1,$K482=ReportDate+1,$A482=ReportDate+1),1,0),0)</f>
        <v>0</v>
      </c>
      <c r="AV482" s="71">
        <f>IF(AND($G482&lt;&gt;"",$M482="Completed"),IF(OR($Y482=ReportDate-1,$A482=ReportDate-1),1,0),0)</f>
        <v>0</v>
      </c>
      <c r="AW482" s="71">
        <f>IF(AND($AK482=1,$Z482="Yes"),1,0)</f>
        <v>0</v>
      </c>
      <c r="AX482" s="71">
        <f>IF(AND($AK482=1,$AA482="Yes"),1,0)</f>
        <v>0</v>
      </c>
      <c r="AY482" s="71">
        <f>IF(AND($AM482=1,OR($I482="Critical",$I482="High")),1,0)</f>
        <v>0</v>
      </c>
      <c r="AZ482" s="71">
        <f>IF(AND($AK482=1,OR($C482=TCL_Client,$C482=MECCA_Client)),1,0)</f>
        <v>0</v>
      </c>
      <c r="BA482" s="71" t="str">
        <f>IF($G482="","",IFERROR(MATCH($I482,lst_Priority,0),5))</f>
        <v/>
      </c>
      <c r="BB482" s="71" t="str">
        <f>IF(AND($AL482=1,$AJ482=1),$BA482*100000+ROW(),"")</f>
        <v/>
      </c>
      <c r="BC482" s="71" t="str">
        <f>IF(AND($AM482=1,$AJ482=1),$BA482*100000+ROW(),"")</f>
        <v/>
      </c>
      <c r="BD482" s="71" t="str">
        <f>IF(AND($AP482=1,$AJ482=1),$BA482*100000+ROW(),"")</f>
        <v/>
      </c>
      <c r="BE482" s="71" t="str">
        <f>IF(AND($AT482=1,$AJ482=1),$BA482*100000+ROW(),"")</f>
        <v/>
      </c>
      <c r="BF482" s="71" t="str">
        <f>IF(AND($AU482=1,$AJ482=1),$BA482*100000+ROW(),"")</f>
        <v/>
      </c>
      <c r="BG482" s="71" t="str">
        <f>IF(AND($AV482=1,$AJ482=1),$BA482*100000+ROW(),"")</f>
        <v/>
      </c>
      <c r="BH482" s="71" t="str">
        <f>IF(AND($AW482=1,$AJ482=1),$BA482*100000+ROW(),"")</f>
        <v/>
      </c>
      <c r="BI482" s="71" t="str">
        <f>IF(AND($AX482=1,$AJ482=1),$BA482*100000+ROW(),"")</f>
        <v/>
      </c>
      <c r="BJ482" s="71" t="str">
        <f>IF(AND($AS482=1,$AJ482=1),$BA482*100000+ROW(),"")</f>
        <v/>
      </c>
      <c r="BK482" s="71" t="str">
        <f>IF(AND($AY482=1,$AJ482=1),$BA482*100000+ROW(),"")</f>
        <v/>
      </c>
      <c r="BL482" s="71" t="str">
        <f>IF(AND($AZ482=1),$BA482*100000+ROW(),"")</f>
        <v/>
      </c>
    </row>
    <row r="483">
      <c r="A483" s="63" t="n"/>
      <c r="B483" s="64" t="n"/>
      <c r="C483" s="64" t="n"/>
      <c r="D483" s="64" t="n"/>
      <c r="E483" s="64" t="n"/>
      <c r="F483" s="64" t="n"/>
      <c r="G483" s="65" t="n"/>
      <c r="H483" s="65" t="n"/>
      <c r="I483" s="64" t="n"/>
      <c r="J483" s="64" t="n"/>
      <c r="K483" s="63" t="n"/>
      <c r="L483" s="63" t="n"/>
      <c r="M483" s="64" t="n"/>
      <c r="N483" s="66" t="n"/>
      <c r="O483" s="65" t="n"/>
      <c r="P483" s="64" t="n"/>
      <c r="Q483" s="67" t="n"/>
      <c r="R483" s="67" t="n"/>
      <c r="S483" s="68" t="str">
        <f>IF(AND(ISNUMBER($Q483),ISNUMBER($R483)),$Q483-$R483,"")</f>
        <v/>
      </c>
      <c r="T483" s="65" t="n"/>
      <c r="U483" s="64" t="n"/>
      <c r="V483" s="65" t="n"/>
      <c r="W483" s="63" t="n"/>
      <c r="X483" s="65" t="n"/>
      <c r="Y483" s="63" t="n"/>
      <c r="Z483" s="64" t="n"/>
      <c r="AA483" s="64" t="n"/>
      <c r="AB483" s="65" t="n"/>
      <c r="AC483" s="69" t="str">
        <f>IF(OR($G483="",NOT(ISNUMBER($K483)),$AK483=0),"",MAX(0,ReportDate-$K483))</f>
        <v/>
      </c>
      <c r="AD483" s="69" t="str">
        <f>IF($G483="","",IF($AL483=1,ReportDate-$L483,0))</f>
        <v/>
      </c>
      <c r="AE483" s="70" t="str">
        <f>IF($G483="","",IF($M483="Completed",1,IF(ISNUMBER($N483),$N483,0)))</f>
        <v/>
      </c>
      <c r="AF483" s="70" t="str">
        <f>IF(AND(ISNUMBER($Q483),ISNUMBER($R483)),IF($R483&lt;&gt;0,$Q483/$R483,""),"")</f>
        <v/>
      </c>
      <c r="AG483" s="71" t="str">
        <f>IF($G483="","",IF($AL483=1,"OVERDUE",IF($AM483=1,"BLOCKED",IF($AN483=1,"DUE TODAY",IF($AO483=1,"DUE TOMORROW",IF($AQ483=1,"HIGH PRIORITY",IF($AR483=1,"NO RECENT UPDATE",""))))))) </f>
        <v/>
      </c>
      <c r="AH483" s="71" t="str">
        <f>IF($G483="","",IF(ISNUMBER($A483),IF(ISNUMBER($A483),YEAR($A483)&amp;"-"&amp;TEXT(MONTH($A483),"00"),""),IF(ISNUMBER($L483),IF(ISNUMBER($L483),YEAR($L483)&amp;"-"&amp;TEXT(MONTH($L483),"00"),""),"")))</f>
        <v/>
      </c>
      <c r="AI483" s="71">
        <f>IF($G483="",0,IF(AND(OR(fClient="All",$C483=fClient),OR(fCampaign="All",$D483=fCampaign),OR(fTeam="All",$B483=fTeam),OR(fChannel="All",$F483=fChannel),OR(fMonth="All",$AH483=fMonth),OR(fTStatus="All",$M483=fTStatus)),1,0))</f>
        <v>0</v>
      </c>
      <c r="AJ483" s="71">
        <f>IF($G483="",0,IF(AND(OR(fClient="All",$C483=fClient),OR(fCampaign="All",$D483=fCampaign),OR(fTeam="All",$B483=fTeam),OR(fChannel="All",$F483=fChannel)),1,0))</f>
        <v>0</v>
      </c>
      <c r="AK483" s="71">
        <f>IF($G483="",0,IF(OR($M483="Completed",$M483="Cancelled"),0,1))</f>
        <v>0</v>
      </c>
      <c r="AL483" s="71">
        <f>IF(AND($AK483=1,ISNUMBER($L483)),IF($L483&lt;ReportDate,1,0),0)</f>
        <v>0</v>
      </c>
      <c r="AM483" s="71">
        <f>IF(AND($G483&lt;&gt;"",$M483="Blocked"),1,0)</f>
        <v>0</v>
      </c>
      <c r="AN483" s="71">
        <f>IF(AND($AK483=1,ISNUMBER($L483)),IF($L483=ReportDate,1,0),0)</f>
        <v>0</v>
      </c>
      <c r="AO483" s="71">
        <f>IF(AND($AK483=1,ISNUMBER($L483)),IF($L483=ReportDate+1,1,0),0)</f>
        <v>0</v>
      </c>
      <c r="AP483" s="71">
        <f>IF(AND($AK483=1,ISNUMBER($L483)),IF(AND($L483&gt;=ReportDate,$L483&lt;=ReportDate+DueSoonDays),1,0),0)</f>
        <v>0</v>
      </c>
      <c r="AQ483" s="71">
        <f>IF(AND($AK483=1,OR($I483="Critical",$I483="High")),1,0)</f>
        <v>0</v>
      </c>
      <c r="AR483" s="71">
        <f>IF($AK483=1,IF(ISNUMBER($Y483),IF(ReportDate-$Y483&gt;StaleDays,1,0),1),0)</f>
        <v>0</v>
      </c>
      <c r="AS483" s="71">
        <f>IF(AND($G483&lt;&gt;"",ISNUMBER($Q483),ISNUMBER($R483)),IF(AND($Q483&lt;$R483,OR($M483="Completed",AND(ISNUMBER($L483),$L483&lt;ReportDate))),1,0),0)</f>
        <v>0</v>
      </c>
      <c r="AT483" s="71">
        <f>IF($AK483=1,IF(OR($L483=ReportDate,$W483=ReportDate,$K483=ReportDate,$A483=ReportDate),1,0),0)</f>
        <v>0</v>
      </c>
      <c r="AU483" s="71">
        <f>IF($AK483=1,IF(OR($L483=ReportDate+1,$W483=ReportDate+1,$K483=ReportDate+1,$A483=ReportDate+1),1,0),0)</f>
        <v>0</v>
      </c>
      <c r="AV483" s="71">
        <f>IF(AND($G483&lt;&gt;"",$M483="Completed"),IF(OR($Y483=ReportDate-1,$A483=ReportDate-1),1,0),0)</f>
        <v>0</v>
      </c>
      <c r="AW483" s="71">
        <f>IF(AND($AK483=1,$Z483="Yes"),1,0)</f>
        <v>0</v>
      </c>
      <c r="AX483" s="71">
        <f>IF(AND($AK483=1,$AA483="Yes"),1,0)</f>
        <v>0</v>
      </c>
      <c r="AY483" s="71">
        <f>IF(AND($AM483=1,OR($I483="Critical",$I483="High")),1,0)</f>
        <v>0</v>
      </c>
      <c r="AZ483" s="71">
        <f>IF(AND($AK483=1,OR($C483=TCL_Client,$C483=MECCA_Client)),1,0)</f>
        <v>0</v>
      </c>
      <c r="BA483" s="71" t="str">
        <f>IF($G483="","",IFERROR(MATCH($I483,lst_Priority,0),5))</f>
        <v/>
      </c>
      <c r="BB483" s="71" t="str">
        <f>IF(AND($AL483=1,$AJ483=1),$BA483*100000+ROW(),"")</f>
        <v/>
      </c>
      <c r="BC483" s="71" t="str">
        <f>IF(AND($AM483=1,$AJ483=1),$BA483*100000+ROW(),"")</f>
        <v/>
      </c>
      <c r="BD483" s="71" t="str">
        <f>IF(AND($AP483=1,$AJ483=1),$BA483*100000+ROW(),"")</f>
        <v/>
      </c>
      <c r="BE483" s="71" t="str">
        <f>IF(AND($AT483=1,$AJ483=1),$BA483*100000+ROW(),"")</f>
        <v/>
      </c>
      <c r="BF483" s="71" t="str">
        <f>IF(AND($AU483=1,$AJ483=1),$BA483*100000+ROW(),"")</f>
        <v/>
      </c>
      <c r="BG483" s="71" t="str">
        <f>IF(AND($AV483=1,$AJ483=1),$BA483*100000+ROW(),"")</f>
        <v/>
      </c>
      <c r="BH483" s="71" t="str">
        <f>IF(AND($AW483=1,$AJ483=1),$BA483*100000+ROW(),"")</f>
        <v/>
      </c>
      <c r="BI483" s="71" t="str">
        <f>IF(AND($AX483=1,$AJ483=1),$BA483*100000+ROW(),"")</f>
        <v/>
      </c>
      <c r="BJ483" s="71" t="str">
        <f>IF(AND($AS483=1,$AJ483=1),$BA483*100000+ROW(),"")</f>
        <v/>
      </c>
      <c r="BK483" s="71" t="str">
        <f>IF(AND($AY483=1,$AJ483=1),$BA483*100000+ROW(),"")</f>
        <v/>
      </c>
      <c r="BL483" s="71" t="str">
        <f>IF(AND($AZ483=1),$BA483*100000+ROW(),"")</f>
        <v/>
      </c>
    </row>
    <row r="484">
      <c r="A484" s="63" t="n"/>
      <c r="B484" s="64" t="n"/>
      <c r="C484" s="64" t="n"/>
      <c r="D484" s="64" t="n"/>
      <c r="E484" s="64" t="n"/>
      <c r="F484" s="64" t="n"/>
      <c r="G484" s="65" t="n"/>
      <c r="H484" s="65" t="n"/>
      <c r="I484" s="64" t="n"/>
      <c r="J484" s="64" t="n"/>
      <c r="K484" s="63" t="n"/>
      <c r="L484" s="63" t="n"/>
      <c r="M484" s="64" t="n"/>
      <c r="N484" s="66" t="n"/>
      <c r="O484" s="65" t="n"/>
      <c r="P484" s="64" t="n"/>
      <c r="Q484" s="67" t="n"/>
      <c r="R484" s="67" t="n"/>
      <c r="S484" s="68" t="str">
        <f>IF(AND(ISNUMBER($Q484),ISNUMBER($R484)),$Q484-$R484,"")</f>
        <v/>
      </c>
      <c r="T484" s="65" t="n"/>
      <c r="U484" s="64" t="n"/>
      <c r="V484" s="65" t="n"/>
      <c r="W484" s="63" t="n"/>
      <c r="X484" s="65" t="n"/>
      <c r="Y484" s="63" t="n"/>
      <c r="Z484" s="64" t="n"/>
      <c r="AA484" s="64" t="n"/>
      <c r="AB484" s="65" t="n"/>
      <c r="AC484" s="69" t="str">
        <f>IF(OR($G484="",NOT(ISNUMBER($K484)),$AK484=0),"",MAX(0,ReportDate-$K484))</f>
        <v/>
      </c>
      <c r="AD484" s="69" t="str">
        <f>IF($G484="","",IF($AL484=1,ReportDate-$L484,0))</f>
        <v/>
      </c>
      <c r="AE484" s="70" t="str">
        <f>IF($G484="","",IF($M484="Completed",1,IF(ISNUMBER($N484),$N484,0)))</f>
        <v/>
      </c>
      <c r="AF484" s="70" t="str">
        <f>IF(AND(ISNUMBER($Q484),ISNUMBER($R484)),IF($R484&lt;&gt;0,$Q484/$R484,""),"")</f>
        <v/>
      </c>
      <c r="AG484" s="71" t="str">
        <f>IF($G484="","",IF($AL484=1,"OVERDUE",IF($AM484=1,"BLOCKED",IF($AN484=1,"DUE TODAY",IF($AO484=1,"DUE TOMORROW",IF($AQ484=1,"HIGH PRIORITY",IF($AR484=1,"NO RECENT UPDATE",""))))))) </f>
        <v/>
      </c>
      <c r="AH484" s="71" t="str">
        <f>IF($G484="","",IF(ISNUMBER($A484),IF(ISNUMBER($A484),YEAR($A484)&amp;"-"&amp;TEXT(MONTH($A484),"00"),""),IF(ISNUMBER($L484),IF(ISNUMBER($L484),YEAR($L484)&amp;"-"&amp;TEXT(MONTH($L484),"00"),""),"")))</f>
        <v/>
      </c>
      <c r="AI484" s="71">
        <f>IF($G484="",0,IF(AND(OR(fClient="All",$C484=fClient),OR(fCampaign="All",$D484=fCampaign),OR(fTeam="All",$B484=fTeam),OR(fChannel="All",$F484=fChannel),OR(fMonth="All",$AH484=fMonth),OR(fTStatus="All",$M484=fTStatus)),1,0))</f>
        <v>0</v>
      </c>
      <c r="AJ484" s="71">
        <f>IF($G484="",0,IF(AND(OR(fClient="All",$C484=fClient),OR(fCampaign="All",$D484=fCampaign),OR(fTeam="All",$B484=fTeam),OR(fChannel="All",$F484=fChannel)),1,0))</f>
        <v>0</v>
      </c>
      <c r="AK484" s="71">
        <f>IF($G484="",0,IF(OR($M484="Completed",$M484="Cancelled"),0,1))</f>
        <v>0</v>
      </c>
      <c r="AL484" s="71">
        <f>IF(AND($AK484=1,ISNUMBER($L484)),IF($L484&lt;ReportDate,1,0),0)</f>
        <v>0</v>
      </c>
      <c r="AM484" s="71">
        <f>IF(AND($G484&lt;&gt;"",$M484="Blocked"),1,0)</f>
        <v>0</v>
      </c>
      <c r="AN484" s="71">
        <f>IF(AND($AK484=1,ISNUMBER($L484)),IF($L484=ReportDate,1,0),0)</f>
        <v>0</v>
      </c>
      <c r="AO484" s="71">
        <f>IF(AND($AK484=1,ISNUMBER($L484)),IF($L484=ReportDate+1,1,0),0)</f>
        <v>0</v>
      </c>
      <c r="AP484" s="71">
        <f>IF(AND($AK484=1,ISNUMBER($L484)),IF(AND($L484&gt;=ReportDate,$L484&lt;=ReportDate+DueSoonDays),1,0),0)</f>
        <v>0</v>
      </c>
      <c r="AQ484" s="71">
        <f>IF(AND($AK484=1,OR($I484="Critical",$I484="High")),1,0)</f>
        <v>0</v>
      </c>
      <c r="AR484" s="71">
        <f>IF($AK484=1,IF(ISNUMBER($Y484),IF(ReportDate-$Y484&gt;StaleDays,1,0),1),0)</f>
        <v>0</v>
      </c>
      <c r="AS484" s="71">
        <f>IF(AND($G484&lt;&gt;"",ISNUMBER($Q484),ISNUMBER($R484)),IF(AND($Q484&lt;$R484,OR($M484="Completed",AND(ISNUMBER($L484),$L484&lt;ReportDate))),1,0),0)</f>
        <v>0</v>
      </c>
      <c r="AT484" s="71">
        <f>IF($AK484=1,IF(OR($L484=ReportDate,$W484=ReportDate,$K484=ReportDate,$A484=ReportDate),1,0),0)</f>
        <v>0</v>
      </c>
      <c r="AU484" s="71">
        <f>IF($AK484=1,IF(OR($L484=ReportDate+1,$W484=ReportDate+1,$K484=ReportDate+1,$A484=ReportDate+1),1,0),0)</f>
        <v>0</v>
      </c>
      <c r="AV484" s="71">
        <f>IF(AND($G484&lt;&gt;"",$M484="Completed"),IF(OR($Y484=ReportDate-1,$A484=ReportDate-1),1,0),0)</f>
        <v>0</v>
      </c>
      <c r="AW484" s="71">
        <f>IF(AND($AK484=1,$Z484="Yes"),1,0)</f>
        <v>0</v>
      </c>
      <c r="AX484" s="71">
        <f>IF(AND($AK484=1,$AA484="Yes"),1,0)</f>
        <v>0</v>
      </c>
      <c r="AY484" s="71">
        <f>IF(AND($AM484=1,OR($I484="Critical",$I484="High")),1,0)</f>
        <v>0</v>
      </c>
      <c r="AZ484" s="71">
        <f>IF(AND($AK484=1,OR($C484=TCL_Client,$C484=MECCA_Client)),1,0)</f>
        <v>0</v>
      </c>
      <c r="BA484" s="71" t="str">
        <f>IF($G484="","",IFERROR(MATCH($I484,lst_Priority,0),5))</f>
        <v/>
      </c>
      <c r="BB484" s="71" t="str">
        <f>IF(AND($AL484=1,$AJ484=1),$BA484*100000+ROW(),"")</f>
        <v/>
      </c>
      <c r="BC484" s="71" t="str">
        <f>IF(AND($AM484=1,$AJ484=1),$BA484*100000+ROW(),"")</f>
        <v/>
      </c>
      <c r="BD484" s="71" t="str">
        <f>IF(AND($AP484=1,$AJ484=1),$BA484*100000+ROW(),"")</f>
        <v/>
      </c>
      <c r="BE484" s="71" t="str">
        <f>IF(AND($AT484=1,$AJ484=1),$BA484*100000+ROW(),"")</f>
        <v/>
      </c>
      <c r="BF484" s="71" t="str">
        <f>IF(AND($AU484=1,$AJ484=1),$BA484*100000+ROW(),"")</f>
        <v/>
      </c>
      <c r="BG484" s="71" t="str">
        <f>IF(AND($AV484=1,$AJ484=1),$BA484*100000+ROW(),"")</f>
        <v/>
      </c>
      <c r="BH484" s="71" t="str">
        <f>IF(AND($AW484=1,$AJ484=1),$BA484*100000+ROW(),"")</f>
        <v/>
      </c>
      <c r="BI484" s="71" t="str">
        <f>IF(AND($AX484=1,$AJ484=1),$BA484*100000+ROW(),"")</f>
        <v/>
      </c>
      <c r="BJ484" s="71" t="str">
        <f>IF(AND($AS484=1,$AJ484=1),$BA484*100000+ROW(),"")</f>
        <v/>
      </c>
      <c r="BK484" s="71" t="str">
        <f>IF(AND($AY484=1,$AJ484=1),$BA484*100000+ROW(),"")</f>
        <v/>
      </c>
      <c r="BL484" s="71" t="str">
        <f>IF(AND($AZ484=1),$BA484*100000+ROW(),"")</f>
        <v/>
      </c>
    </row>
    <row r="485">
      <c r="A485" s="63" t="n"/>
      <c r="B485" s="64" t="n"/>
      <c r="C485" s="64" t="n"/>
      <c r="D485" s="64" t="n"/>
      <c r="E485" s="64" t="n"/>
      <c r="F485" s="64" t="n"/>
      <c r="G485" s="65" t="n"/>
      <c r="H485" s="65" t="n"/>
      <c r="I485" s="64" t="n"/>
      <c r="J485" s="64" t="n"/>
      <c r="K485" s="63" t="n"/>
      <c r="L485" s="63" t="n"/>
      <c r="M485" s="64" t="n"/>
      <c r="N485" s="66" t="n"/>
      <c r="O485" s="65" t="n"/>
      <c r="P485" s="64" t="n"/>
      <c r="Q485" s="67" t="n"/>
      <c r="R485" s="67" t="n"/>
      <c r="S485" s="68" t="str">
        <f>IF(AND(ISNUMBER($Q485),ISNUMBER($R485)),$Q485-$R485,"")</f>
        <v/>
      </c>
      <c r="T485" s="65" t="n"/>
      <c r="U485" s="64" t="n"/>
      <c r="V485" s="65" t="n"/>
      <c r="W485" s="63" t="n"/>
      <c r="X485" s="65" t="n"/>
      <c r="Y485" s="63" t="n"/>
      <c r="Z485" s="64" t="n"/>
      <c r="AA485" s="64" t="n"/>
      <c r="AB485" s="65" t="n"/>
      <c r="AC485" s="69" t="str">
        <f>IF(OR($G485="",NOT(ISNUMBER($K485)),$AK485=0),"",MAX(0,ReportDate-$K485))</f>
        <v/>
      </c>
      <c r="AD485" s="69" t="str">
        <f>IF($G485="","",IF($AL485=1,ReportDate-$L485,0))</f>
        <v/>
      </c>
      <c r="AE485" s="70" t="str">
        <f>IF($G485="","",IF($M485="Completed",1,IF(ISNUMBER($N485),$N485,0)))</f>
        <v/>
      </c>
      <c r="AF485" s="70" t="str">
        <f>IF(AND(ISNUMBER($Q485),ISNUMBER($R485)),IF($R485&lt;&gt;0,$Q485/$R485,""),"")</f>
        <v/>
      </c>
      <c r="AG485" s="71" t="str">
        <f>IF($G485="","",IF($AL485=1,"OVERDUE",IF($AM485=1,"BLOCKED",IF($AN485=1,"DUE TODAY",IF($AO485=1,"DUE TOMORROW",IF($AQ485=1,"HIGH PRIORITY",IF($AR485=1,"NO RECENT UPDATE",""))))))) </f>
        <v/>
      </c>
      <c r="AH485" s="71" t="str">
        <f>IF($G485="","",IF(ISNUMBER($A485),IF(ISNUMBER($A485),YEAR($A485)&amp;"-"&amp;TEXT(MONTH($A485),"00"),""),IF(ISNUMBER($L485),IF(ISNUMBER($L485),YEAR($L485)&amp;"-"&amp;TEXT(MONTH($L485),"00"),""),"")))</f>
        <v/>
      </c>
      <c r="AI485" s="71">
        <f>IF($G485="",0,IF(AND(OR(fClient="All",$C485=fClient),OR(fCampaign="All",$D485=fCampaign),OR(fTeam="All",$B485=fTeam),OR(fChannel="All",$F485=fChannel),OR(fMonth="All",$AH485=fMonth),OR(fTStatus="All",$M485=fTStatus)),1,0))</f>
        <v>0</v>
      </c>
      <c r="AJ485" s="71">
        <f>IF($G485="",0,IF(AND(OR(fClient="All",$C485=fClient),OR(fCampaign="All",$D485=fCampaign),OR(fTeam="All",$B485=fTeam),OR(fChannel="All",$F485=fChannel)),1,0))</f>
        <v>0</v>
      </c>
      <c r="AK485" s="71">
        <f>IF($G485="",0,IF(OR($M485="Completed",$M485="Cancelled"),0,1))</f>
        <v>0</v>
      </c>
      <c r="AL485" s="71">
        <f>IF(AND($AK485=1,ISNUMBER($L485)),IF($L485&lt;ReportDate,1,0),0)</f>
        <v>0</v>
      </c>
      <c r="AM485" s="71">
        <f>IF(AND($G485&lt;&gt;"",$M485="Blocked"),1,0)</f>
        <v>0</v>
      </c>
      <c r="AN485" s="71">
        <f>IF(AND($AK485=1,ISNUMBER($L485)),IF($L485=ReportDate,1,0),0)</f>
        <v>0</v>
      </c>
      <c r="AO485" s="71">
        <f>IF(AND($AK485=1,ISNUMBER($L485)),IF($L485=ReportDate+1,1,0),0)</f>
        <v>0</v>
      </c>
      <c r="AP485" s="71">
        <f>IF(AND($AK485=1,ISNUMBER($L485)),IF(AND($L485&gt;=ReportDate,$L485&lt;=ReportDate+DueSoonDays),1,0),0)</f>
        <v>0</v>
      </c>
      <c r="AQ485" s="71">
        <f>IF(AND($AK485=1,OR($I485="Critical",$I485="High")),1,0)</f>
        <v>0</v>
      </c>
      <c r="AR485" s="71">
        <f>IF($AK485=1,IF(ISNUMBER($Y485),IF(ReportDate-$Y485&gt;StaleDays,1,0),1),0)</f>
        <v>0</v>
      </c>
      <c r="AS485" s="71">
        <f>IF(AND($G485&lt;&gt;"",ISNUMBER($Q485),ISNUMBER($R485)),IF(AND($Q485&lt;$R485,OR($M485="Completed",AND(ISNUMBER($L485),$L485&lt;ReportDate))),1,0),0)</f>
        <v>0</v>
      </c>
      <c r="AT485" s="71">
        <f>IF($AK485=1,IF(OR($L485=ReportDate,$W485=ReportDate,$K485=ReportDate,$A485=ReportDate),1,0),0)</f>
        <v>0</v>
      </c>
      <c r="AU485" s="71">
        <f>IF($AK485=1,IF(OR($L485=ReportDate+1,$W485=ReportDate+1,$K485=ReportDate+1,$A485=ReportDate+1),1,0),0)</f>
        <v>0</v>
      </c>
      <c r="AV485" s="71">
        <f>IF(AND($G485&lt;&gt;"",$M485="Completed"),IF(OR($Y485=ReportDate-1,$A485=ReportDate-1),1,0),0)</f>
        <v>0</v>
      </c>
      <c r="AW485" s="71">
        <f>IF(AND($AK485=1,$Z485="Yes"),1,0)</f>
        <v>0</v>
      </c>
      <c r="AX485" s="71">
        <f>IF(AND($AK485=1,$AA485="Yes"),1,0)</f>
        <v>0</v>
      </c>
      <c r="AY485" s="71">
        <f>IF(AND($AM485=1,OR($I485="Critical",$I485="High")),1,0)</f>
        <v>0</v>
      </c>
      <c r="AZ485" s="71">
        <f>IF(AND($AK485=1,OR($C485=TCL_Client,$C485=MECCA_Client)),1,0)</f>
        <v>0</v>
      </c>
      <c r="BA485" s="71" t="str">
        <f>IF($G485="","",IFERROR(MATCH($I485,lst_Priority,0),5))</f>
        <v/>
      </c>
      <c r="BB485" s="71" t="str">
        <f>IF(AND($AL485=1,$AJ485=1),$BA485*100000+ROW(),"")</f>
        <v/>
      </c>
      <c r="BC485" s="71" t="str">
        <f>IF(AND($AM485=1,$AJ485=1),$BA485*100000+ROW(),"")</f>
        <v/>
      </c>
      <c r="BD485" s="71" t="str">
        <f>IF(AND($AP485=1,$AJ485=1),$BA485*100000+ROW(),"")</f>
        <v/>
      </c>
      <c r="BE485" s="71" t="str">
        <f>IF(AND($AT485=1,$AJ485=1),$BA485*100000+ROW(),"")</f>
        <v/>
      </c>
      <c r="BF485" s="71" t="str">
        <f>IF(AND($AU485=1,$AJ485=1),$BA485*100000+ROW(),"")</f>
        <v/>
      </c>
      <c r="BG485" s="71" t="str">
        <f>IF(AND($AV485=1,$AJ485=1),$BA485*100000+ROW(),"")</f>
        <v/>
      </c>
      <c r="BH485" s="71" t="str">
        <f>IF(AND($AW485=1,$AJ485=1),$BA485*100000+ROW(),"")</f>
        <v/>
      </c>
      <c r="BI485" s="71" t="str">
        <f>IF(AND($AX485=1,$AJ485=1),$BA485*100000+ROW(),"")</f>
        <v/>
      </c>
      <c r="BJ485" s="71" t="str">
        <f>IF(AND($AS485=1,$AJ485=1),$BA485*100000+ROW(),"")</f>
        <v/>
      </c>
      <c r="BK485" s="71" t="str">
        <f>IF(AND($AY485=1,$AJ485=1),$BA485*100000+ROW(),"")</f>
        <v/>
      </c>
      <c r="BL485" s="71" t="str">
        <f>IF(AND($AZ485=1),$BA485*100000+ROW(),"")</f>
        <v/>
      </c>
    </row>
    <row r="486">
      <c r="A486" s="63" t="n"/>
      <c r="B486" s="64" t="n"/>
      <c r="C486" s="64" t="n"/>
      <c r="D486" s="64" t="n"/>
      <c r="E486" s="64" t="n"/>
      <c r="F486" s="64" t="n"/>
      <c r="G486" s="65" t="n"/>
      <c r="H486" s="65" t="n"/>
      <c r="I486" s="64" t="n"/>
      <c r="J486" s="64" t="n"/>
      <c r="K486" s="63" t="n"/>
      <c r="L486" s="63" t="n"/>
      <c r="M486" s="64" t="n"/>
      <c r="N486" s="66" t="n"/>
      <c r="O486" s="65" t="n"/>
      <c r="P486" s="64" t="n"/>
      <c r="Q486" s="67" t="n"/>
      <c r="R486" s="67" t="n"/>
      <c r="S486" s="68" t="str">
        <f>IF(AND(ISNUMBER($Q486),ISNUMBER($R486)),$Q486-$R486,"")</f>
        <v/>
      </c>
      <c r="T486" s="65" t="n"/>
      <c r="U486" s="64" t="n"/>
      <c r="V486" s="65" t="n"/>
      <c r="W486" s="63" t="n"/>
      <c r="X486" s="65" t="n"/>
      <c r="Y486" s="63" t="n"/>
      <c r="Z486" s="64" t="n"/>
      <c r="AA486" s="64" t="n"/>
      <c r="AB486" s="65" t="n"/>
      <c r="AC486" s="69" t="str">
        <f>IF(OR($G486="",NOT(ISNUMBER($K486)),$AK486=0),"",MAX(0,ReportDate-$K486))</f>
        <v/>
      </c>
      <c r="AD486" s="69" t="str">
        <f>IF($G486="","",IF($AL486=1,ReportDate-$L486,0))</f>
        <v/>
      </c>
      <c r="AE486" s="70" t="str">
        <f>IF($G486="","",IF($M486="Completed",1,IF(ISNUMBER($N486),$N486,0)))</f>
        <v/>
      </c>
      <c r="AF486" s="70" t="str">
        <f>IF(AND(ISNUMBER($Q486),ISNUMBER($R486)),IF($R486&lt;&gt;0,$Q486/$R486,""),"")</f>
        <v/>
      </c>
      <c r="AG486" s="71" t="str">
        <f>IF($G486="","",IF($AL486=1,"OVERDUE",IF($AM486=1,"BLOCKED",IF($AN486=1,"DUE TODAY",IF($AO486=1,"DUE TOMORROW",IF($AQ486=1,"HIGH PRIORITY",IF($AR486=1,"NO RECENT UPDATE",""))))))) </f>
        <v/>
      </c>
      <c r="AH486" s="71" t="str">
        <f>IF($G486="","",IF(ISNUMBER($A486),IF(ISNUMBER($A486),YEAR($A486)&amp;"-"&amp;TEXT(MONTH($A486),"00"),""),IF(ISNUMBER($L486),IF(ISNUMBER($L486),YEAR($L486)&amp;"-"&amp;TEXT(MONTH($L486),"00"),""),"")))</f>
        <v/>
      </c>
      <c r="AI486" s="71">
        <f>IF($G486="",0,IF(AND(OR(fClient="All",$C486=fClient),OR(fCampaign="All",$D486=fCampaign),OR(fTeam="All",$B486=fTeam),OR(fChannel="All",$F486=fChannel),OR(fMonth="All",$AH486=fMonth),OR(fTStatus="All",$M486=fTStatus)),1,0))</f>
        <v>0</v>
      </c>
      <c r="AJ486" s="71">
        <f>IF($G486="",0,IF(AND(OR(fClient="All",$C486=fClient),OR(fCampaign="All",$D486=fCampaign),OR(fTeam="All",$B486=fTeam),OR(fChannel="All",$F486=fChannel)),1,0))</f>
        <v>0</v>
      </c>
      <c r="AK486" s="71">
        <f>IF($G486="",0,IF(OR($M486="Completed",$M486="Cancelled"),0,1))</f>
        <v>0</v>
      </c>
      <c r="AL486" s="71">
        <f>IF(AND($AK486=1,ISNUMBER($L486)),IF($L486&lt;ReportDate,1,0),0)</f>
        <v>0</v>
      </c>
      <c r="AM486" s="71">
        <f>IF(AND($G486&lt;&gt;"",$M486="Blocked"),1,0)</f>
        <v>0</v>
      </c>
      <c r="AN486" s="71">
        <f>IF(AND($AK486=1,ISNUMBER($L486)),IF($L486=ReportDate,1,0),0)</f>
        <v>0</v>
      </c>
      <c r="AO486" s="71">
        <f>IF(AND($AK486=1,ISNUMBER($L486)),IF($L486=ReportDate+1,1,0),0)</f>
        <v>0</v>
      </c>
      <c r="AP486" s="71">
        <f>IF(AND($AK486=1,ISNUMBER($L486)),IF(AND($L486&gt;=ReportDate,$L486&lt;=ReportDate+DueSoonDays),1,0),0)</f>
        <v>0</v>
      </c>
      <c r="AQ486" s="71">
        <f>IF(AND($AK486=1,OR($I486="Critical",$I486="High")),1,0)</f>
        <v>0</v>
      </c>
      <c r="AR486" s="71">
        <f>IF($AK486=1,IF(ISNUMBER($Y486),IF(ReportDate-$Y486&gt;StaleDays,1,0),1),0)</f>
        <v>0</v>
      </c>
      <c r="AS486" s="71">
        <f>IF(AND($G486&lt;&gt;"",ISNUMBER($Q486),ISNUMBER($R486)),IF(AND($Q486&lt;$R486,OR($M486="Completed",AND(ISNUMBER($L486),$L486&lt;ReportDate))),1,0),0)</f>
        <v>0</v>
      </c>
      <c r="AT486" s="71">
        <f>IF($AK486=1,IF(OR($L486=ReportDate,$W486=ReportDate,$K486=ReportDate,$A486=ReportDate),1,0),0)</f>
        <v>0</v>
      </c>
      <c r="AU486" s="71">
        <f>IF($AK486=1,IF(OR($L486=ReportDate+1,$W486=ReportDate+1,$K486=ReportDate+1,$A486=ReportDate+1),1,0),0)</f>
        <v>0</v>
      </c>
      <c r="AV486" s="71">
        <f>IF(AND($G486&lt;&gt;"",$M486="Completed"),IF(OR($Y486=ReportDate-1,$A486=ReportDate-1),1,0),0)</f>
        <v>0</v>
      </c>
      <c r="AW486" s="71">
        <f>IF(AND($AK486=1,$Z486="Yes"),1,0)</f>
        <v>0</v>
      </c>
      <c r="AX486" s="71">
        <f>IF(AND($AK486=1,$AA486="Yes"),1,0)</f>
        <v>0</v>
      </c>
      <c r="AY486" s="71">
        <f>IF(AND($AM486=1,OR($I486="Critical",$I486="High")),1,0)</f>
        <v>0</v>
      </c>
      <c r="AZ486" s="71">
        <f>IF(AND($AK486=1,OR($C486=TCL_Client,$C486=MECCA_Client)),1,0)</f>
        <v>0</v>
      </c>
      <c r="BA486" s="71" t="str">
        <f>IF($G486="","",IFERROR(MATCH($I486,lst_Priority,0),5))</f>
        <v/>
      </c>
      <c r="BB486" s="71" t="str">
        <f>IF(AND($AL486=1,$AJ486=1),$BA486*100000+ROW(),"")</f>
        <v/>
      </c>
      <c r="BC486" s="71" t="str">
        <f>IF(AND($AM486=1,$AJ486=1),$BA486*100000+ROW(),"")</f>
        <v/>
      </c>
      <c r="BD486" s="71" t="str">
        <f>IF(AND($AP486=1,$AJ486=1),$BA486*100000+ROW(),"")</f>
        <v/>
      </c>
      <c r="BE486" s="71" t="str">
        <f>IF(AND($AT486=1,$AJ486=1),$BA486*100000+ROW(),"")</f>
        <v/>
      </c>
      <c r="BF486" s="71" t="str">
        <f>IF(AND($AU486=1,$AJ486=1),$BA486*100000+ROW(),"")</f>
        <v/>
      </c>
      <c r="BG486" s="71" t="str">
        <f>IF(AND($AV486=1,$AJ486=1),$BA486*100000+ROW(),"")</f>
        <v/>
      </c>
      <c r="BH486" s="71" t="str">
        <f>IF(AND($AW486=1,$AJ486=1),$BA486*100000+ROW(),"")</f>
        <v/>
      </c>
      <c r="BI486" s="71" t="str">
        <f>IF(AND($AX486=1,$AJ486=1),$BA486*100000+ROW(),"")</f>
        <v/>
      </c>
      <c r="BJ486" s="71" t="str">
        <f>IF(AND($AS486=1,$AJ486=1),$BA486*100000+ROW(),"")</f>
        <v/>
      </c>
      <c r="BK486" s="71" t="str">
        <f>IF(AND($AY486=1,$AJ486=1),$BA486*100000+ROW(),"")</f>
        <v/>
      </c>
      <c r="BL486" s="71" t="str">
        <f>IF(AND($AZ486=1),$BA486*100000+ROW(),"")</f>
        <v/>
      </c>
    </row>
    <row r="487">
      <c r="A487" s="63" t="n"/>
      <c r="B487" s="64" t="n"/>
      <c r="C487" s="64" t="n"/>
      <c r="D487" s="64" t="n"/>
      <c r="E487" s="64" t="n"/>
      <c r="F487" s="64" t="n"/>
      <c r="G487" s="65" t="n"/>
      <c r="H487" s="65" t="n"/>
      <c r="I487" s="64" t="n"/>
      <c r="J487" s="64" t="n"/>
      <c r="K487" s="63" t="n"/>
      <c r="L487" s="63" t="n"/>
      <c r="M487" s="64" t="n"/>
      <c r="N487" s="66" t="n"/>
      <c r="O487" s="65" t="n"/>
      <c r="P487" s="64" t="n"/>
      <c r="Q487" s="67" t="n"/>
      <c r="R487" s="67" t="n"/>
      <c r="S487" s="68" t="str">
        <f>IF(AND(ISNUMBER($Q487),ISNUMBER($R487)),$Q487-$R487,"")</f>
        <v/>
      </c>
      <c r="T487" s="65" t="n"/>
      <c r="U487" s="64" t="n"/>
      <c r="V487" s="65" t="n"/>
      <c r="W487" s="63" t="n"/>
      <c r="X487" s="65" t="n"/>
      <c r="Y487" s="63" t="n"/>
      <c r="Z487" s="64" t="n"/>
      <c r="AA487" s="64" t="n"/>
      <c r="AB487" s="65" t="n"/>
      <c r="AC487" s="69" t="str">
        <f>IF(OR($G487="",NOT(ISNUMBER($K487)),$AK487=0),"",MAX(0,ReportDate-$K487))</f>
        <v/>
      </c>
      <c r="AD487" s="69" t="str">
        <f>IF($G487="","",IF($AL487=1,ReportDate-$L487,0))</f>
        <v/>
      </c>
      <c r="AE487" s="70" t="str">
        <f>IF($G487="","",IF($M487="Completed",1,IF(ISNUMBER($N487),$N487,0)))</f>
        <v/>
      </c>
      <c r="AF487" s="70" t="str">
        <f>IF(AND(ISNUMBER($Q487),ISNUMBER($R487)),IF($R487&lt;&gt;0,$Q487/$R487,""),"")</f>
        <v/>
      </c>
      <c r="AG487" s="71" t="str">
        <f>IF($G487="","",IF($AL487=1,"OVERDUE",IF($AM487=1,"BLOCKED",IF($AN487=1,"DUE TODAY",IF($AO487=1,"DUE TOMORROW",IF($AQ487=1,"HIGH PRIORITY",IF($AR487=1,"NO RECENT UPDATE",""))))))) </f>
        <v/>
      </c>
      <c r="AH487" s="71" t="str">
        <f>IF($G487="","",IF(ISNUMBER($A487),IF(ISNUMBER($A487),YEAR($A487)&amp;"-"&amp;TEXT(MONTH($A487),"00"),""),IF(ISNUMBER($L487),IF(ISNUMBER($L487),YEAR($L487)&amp;"-"&amp;TEXT(MONTH($L487),"00"),""),"")))</f>
        <v/>
      </c>
      <c r="AI487" s="71">
        <f>IF($G487="",0,IF(AND(OR(fClient="All",$C487=fClient),OR(fCampaign="All",$D487=fCampaign),OR(fTeam="All",$B487=fTeam),OR(fChannel="All",$F487=fChannel),OR(fMonth="All",$AH487=fMonth),OR(fTStatus="All",$M487=fTStatus)),1,0))</f>
        <v>0</v>
      </c>
      <c r="AJ487" s="71">
        <f>IF($G487="",0,IF(AND(OR(fClient="All",$C487=fClient),OR(fCampaign="All",$D487=fCampaign),OR(fTeam="All",$B487=fTeam),OR(fChannel="All",$F487=fChannel)),1,0))</f>
        <v>0</v>
      </c>
      <c r="AK487" s="71">
        <f>IF($G487="",0,IF(OR($M487="Completed",$M487="Cancelled"),0,1))</f>
        <v>0</v>
      </c>
      <c r="AL487" s="71">
        <f>IF(AND($AK487=1,ISNUMBER($L487)),IF($L487&lt;ReportDate,1,0),0)</f>
        <v>0</v>
      </c>
      <c r="AM487" s="71">
        <f>IF(AND($G487&lt;&gt;"",$M487="Blocked"),1,0)</f>
        <v>0</v>
      </c>
      <c r="AN487" s="71">
        <f>IF(AND($AK487=1,ISNUMBER($L487)),IF($L487=ReportDate,1,0),0)</f>
        <v>0</v>
      </c>
      <c r="AO487" s="71">
        <f>IF(AND($AK487=1,ISNUMBER($L487)),IF($L487=ReportDate+1,1,0),0)</f>
        <v>0</v>
      </c>
      <c r="AP487" s="71">
        <f>IF(AND($AK487=1,ISNUMBER($L487)),IF(AND($L487&gt;=ReportDate,$L487&lt;=ReportDate+DueSoonDays),1,0),0)</f>
        <v>0</v>
      </c>
      <c r="AQ487" s="71">
        <f>IF(AND($AK487=1,OR($I487="Critical",$I487="High")),1,0)</f>
        <v>0</v>
      </c>
      <c r="AR487" s="71">
        <f>IF($AK487=1,IF(ISNUMBER($Y487),IF(ReportDate-$Y487&gt;StaleDays,1,0),1),0)</f>
        <v>0</v>
      </c>
      <c r="AS487" s="71">
        <f>IF(AND($G487&lt;&gt;"",ISNUMBER($Q487),ISNUMBER($R487)),IF(AND($Q487&lt;$R487,OR($M487="Completed",AND(ISNUMBER($L487),$L487&lt;ReportDate))),1,0),0)</f>
        <v>0</v>
      </c>
      <c r="AT487" s="71">
        <f>IF($AK487=1,IF(OR($L487=ReportDate,$W487=ReportDate,$K487=ReportDate,$A487=ReportDate),1,0),0)</f>
        <v>0</v>
      </c>
      <c r="AU487" s="71">
        <f>IF($AK487=1,IF(OR($L487=ReportDate+1,$W487=ReportDate+1,$K487=ReportDate+1,$A487=ReportDate+1),1,0),0)</f>
        <v>0</v>
      </c>
      <c r="AV487" s="71">
        <f>IF(AND($G487&lt;&gt;"",$M487="Completed"),IF(OR($Y487=ReportDate-1,$A487=ReportDate-1),1,0),0)</f>
        <v>0</v>
      </c>
      <c r="AW487" s="71">
        <f>IF(AND($AK487=1,$Z487="Yes"),1,0)</f>
        <v>0</v>
      </c>
      <c r="AX487" s="71">
        <f>IF(AND($AK487=1,$AA487="Yes"),1,0)</f>
        <v>0</v>
      </c>
      <c r="AY487" s="71">
        <f>IF(AND($AM487=1,OR($I487="Critical",$I487="High")),1,0)</f>
        <v>0</v>
      </c>
      <c r="AZ487" s="71">
        <f>IF(AND($AK487=1,OR($C487=TCL_Client,$C487=MECCA_Client)),1,0)</f>
        <v>0</v>
      </c>
      <c r="BA487" s="71" t="str">
        <f>IF($G487="","",IFERROR(MATCH($I487,lst_Priority,0),5))</f>
        <v/>
      </c>
      <c r="BB487" s="71" t="str">
        <f>IF(AND($AL487=1,$AJ487=1),$BA487*100000+ROW(),"")</f>
        <v/>
      </c>
      <c r="BC487" s="71" t="str">
        <f>IF(AND($AM487=1,$AJ487=1),$BA487*100000+ROW(),"")</f>
        <v/>
      </c>
      <c r="BD487" s="71" t="str">
        <f>IF(AND($AP487=1,$AJ487=1),$BA487*100000+ROW(),"")</f>
        <v/>
      </c>
      <c r="BE487" s="71" t="str">
        <f>IF(AND($AT487=1,$AJ487=1),$BA487*100000+ROW(),"")</f>
        <v/>
      </c>
      <c r="BF487" s="71" t="str">
        <f>IF(AND($AU487=1,$AJ487=1),$BA487*100000+ROW(),"")</f>
        <v/>
      </c>
      <c r="BG487" s="71" t="str">
        <f>IF(AND($AV487=1,$AJ487=1),$BA487*100000+ROW(),"")</f>
        <v/>
      </c>
      <c r="BH487" s="71" t="str">
        <f>IF(AND($AW487=1,$AJ487=1),$BA487*100000+ROW(),"")</f>
        <v/>
      </c>
      <c r="BI487" s="71" t="str">
        <f>IF(AND($AX487=1,$AJ487=1),$BA487*100000+ROW(),"")</f>
        <v/>
      </c>
      <c r="BJ487" s="71" t="str">
        <f>IF(AND($AS487=1,$AJ487=1),$BA487*100000+ROW(),"")</f>
        <v/>
      </c>
      <c r="BK487" s="71" t="str">
        <f>IF(AND($AY487=1,$AJ487=1),$BA487*100000+ROW(),"")</f>
        <v/>
      </c>
      <c r="BL487" s="71" t="str">
        <f>IF(AND($AZ487=1),$BA487*100000+ROW(),"")</f>
        <v/>
      </c>
    </row>
    <row r="488">
      <c r="A488" s="63" t="n"/>
      <c r="B488" s="64" t="n"/>
      <c r="C488" s="64" t="n"/>
      <c r="D488" s="64" t="n"/>
      <c r="E488" s="64" t="n"/>
      <c r="F488" s="64" t="n"/>
      <c r="G488" s="65" t="n"/>
      <c r="H488" s="65" t="n"/>
      <c r="I488" s="64" t="n"/>
      <c r="J488" s="64" t="n"/>
      <c r="K488" s="63" t="n"/>
      <c r="L488" s="63" t="n"/>
      <c r="M488" s="64" t="n"/>
      <c r="N488" s="66" t="n"/>
      <c r="O488" s="65" t="n"/>
      <c r="P488" s="64" t="n"/>
      <c r="Q488" s="67" t="n"/>
      <c r="R488" s="67" t="n"/>
      <c r="S488" s="68" t="str">
        <f>IF(AND(ISNUMBER($Q488),ISNUMBER($R488)),$Q488-$R488,"")</f>
        <v/>
      </c>
      <c r="T488" s="65" t="n"/>
      <c r="U488" s="64" t="n"/>
      <c r="V488" s="65" t="n"/>
      <c r="W488" s="63" t="n"/>
      <c r="X488" s="65" t="n"/>
      <c r="Y488" s="63" t="n"/>
      <c r="Z488" s="64" t="n"/>
      <c r="AA488" s="64" t="n"/>
      <c r="AB488" s="65" t="n"/>
      <c r="AC488" s="69" t="str">
        <f>IF(OR($G488="",NOT(ISNUMBER($K488)),$AK488=0),"",MAX(0,ReportDate-$K488))</f>
        <v/>
      </c>
      <c r="AD488" s="69" t="str">
        <f>IF($G488="","",IF($AL488=1,ReportDate-$L488,0))</f>
        <v/>
      </c>
      <c r="AE488" s="70" t="str">
        <f>IF($G488="","",IF($M488="Completed",1,IF(ISNUMBER($N488),$N488,0)))</f>
        <v/>
      </c>
      <c r="AF488" s="70" t="str">
        <f>IF(AND(ISNUMBER($Q488),ISNUMBER($R488)),IF($R488&lt;&gt;0,$Q488/$R488,""),"")</f>
        <v/>
      </c>
      <c r="AG488" s="71" t="str">
        <f>IF($G488="","",IF($AL488=1,"OVERDUE",IF($AM488=1,"BLOCKED",IF($AN488=1,"DUE TODAY",IF($AO488=1,"DUE TOMORROW",IF($AQ488=1,"HIGH PRIORITY",IF($AR488=1,"NO RECENT UPDATE",""))))))) </f>
        <v/>
      </c>
      <c r="AH488" s="71" t="str">
        <f>IF($G488="","",IF(ISNUMBER($A488),IF(ISNUMBER($A488),YEAR($A488)&amp;"-"&amp;TEXT(MONTH($A488),"00"),""),IF(ISNUMBER($L488),IF(ISNUMBER($L488),YEAR($L488)&amp;"-"&amp;TEXT(MONTH($L488),"00"),""),"")))</f>
        <v/>
      </c>
      <c r="AI488" s="71">
        <f>IF($G488="",0,IF(AND(OR(fClient="All",$C488=fClient),OR(fCampaign="All",$D488=fCampaign),OR(fTeam="All",$B488=fTeam),OR(fChannel="All",$F488=fChannel),OR(fMonth="All",$AH488=fMonth),OR(fTStatus="All",$M488=fTStatus)),1,0))</f>
        <v>0</v>
      </c>
      <c r="AJ488" s="71">
        <f>IF($G488="",0,IF(AND(OR(fClient="All",$C488=fClient),OR(fCampaign="All",$D488=fCampaign),OR(fTeam="All",$B488=fTeam),OR(fChannel="All",$F488=fChannel)),1,0))</f>
        <v>0</v>
      </c>
      <c r="AK488" s="71">
        <f>IF($G488="",0,IF(OR($M488="Completed",$M488="Cancelled"),0,1))</f>
        <v>0</v>
      </c>
      <c r="AL488" s="71">
        <f>IF(AND($AK488=1,ISNUMBER($L488)),IF($L488&lt;ReportDate,1,0),0)</f>
        <v>0</v>
      </c>
      <c r="AM488" s="71">
        <f>IF(AND($G488&lt;&gt;"",$M488="Blocked"),1,0)</f>
        <v>0</v>
      </c>
      <c r="AN488" s="71">
        <f>IF(AND($AK488=1,ISNUMBER($L488)),IF($L488=ReportDate,1,0),0)</f>
        <v>0</v>
      </c>
      <c r="AO488" s="71">
        <f>IF(AND($AK488=1,ISNUMBER($L488)),IF($L488=ReportDate+1,1,0),0)</f>
        <v>0</v>
      </c>
      <c r="AP488" s="71">
        <f>IF(AND($AK488=1,ISNUMBER($L488)),IF(AND($L488&gt;=ReportDate,$L488&lt;=ReportDate+DueSoonDays),1,0),0)</f>
        <v>0</v>
      </c>
      <c r="AQ488" s="71">
        <f>IF(AND($AK488=1,OR($I488="Critical",$I488="High")),1,0)</f>
        <v>0</v>
      </c>
      <c r="AR488" s="71">
        <f>IF($AK488=1,IF(ISNUMBER($Y488),IF(ReportDate-$Y488&gt;StaleDays,1,0),1),0)</f>
        <v>0</v>
      </c>
      <c r="AS488" s="71">
        <f>IF(AND($G488&lt;&gt;"",ISNUMBER($Q488),ISNUMBER($R488)),IF(AND($Q488&lt;$R488,OR($M488="Completed",AND(ISNUMBER($L488),$L488&lt;ReportDate))),1,0),0)</f>
        <v>0</v>
      </c>
      <c r="AT488" s="71">
        <f>IF($AK488=1,IF(OR($L488=ReportDate,$W488=ReportDate,$K488=ReportDate,$A488=ReportDate),1,0),0)</f>
        <v>0</v>
      </c>
      <c r="AU488" s="71">
        <f>IF($AK488=1,IF(OR($L488=ReportDate+1,$W488=ReportDate+1,$K488=ReportDate+1,$A488=ReportDate+1),1,0),0)</f>
        <v>0</v>
      </c>
      <c r="AV488" s="71">
        <f>IF(AND($G488&lt;&gt;"",$M488="Completed"),IF(OR($Y488=ReportDate-1,$A488=ReportDate-1),1,0),0)</f>
        <v>0</v>
      </c>
      <c r="AW488" s="71">
        <f>IF(AND($AK488=1,$Z488="Yes"),1,0)</f>
        <v>0</v>
      </c>
      <c r="AX488" s="71">
        <f>IF(AND($AK488=1,$AA488="Yes"),1,0)</f>
        <v>0</v>
      </c>
      <c r="AY488" s="71">
        <f>IF(AND($AM488=1,OR($I488="Critical",$I488="High")),1,0)</f>
        <v>0</v>
      </c>
      <c r="AZ488" s="71">
        <f>IF(AND($AK488=1,OR($C488=TCL_Client,$C488=MECCA_Client)),1,0)</f>
        <v>0</v>
      </c>
      <c r="BA488" s="71" t="str">
        <f>IF($G488="","",IFERROR(MATCH($I488,lst_Priority,0),5))</f>
        <v/>
      </c>
      <c r="BB488" s="71" t="str">
        <f>IF(AND($AL488=1,$AJ488=1),$BA488*100000+ROW(),"")</f>
        <v/>
      </c>
      <c r="BC488" s="71" t="str">
        <f>IF(AND($AM488=1,$AJ488=1),$BA488*100000+ROW(),"")</f>
        <v/>
      </c>
      <c r="BD488" s="71" t="str">
        <f>IF(AND($AP488=1,$AJ488=1),$BA488*100000+ROW(),"")</f>
        <v/>
      </c>
      <c r="BE488" s="71" t="str">
        <f>IF(AND($AT488=1,$AJ488=1),$BA488*100000+ROW(),"")</f>
        <v/>
      </c>
      <c r="BF488" s="71" t="str">
        <f>IF(AND($AU488=1,$AJ488=1),$BA488*100000+ROW(),"")</f>
        <v/>
      </c>
      <c r="BG488" s="71" t="str">
        <f>IF(AND($AV488=1,$AJ488=1),$BA488*100000+ROW(),"")</f>
        <v/>
      </c>
      <c r="BH488" s="71" t="str">
        <f>IF(AND($AW488=1,$AJ488=1),$BA488*100000+ROW(),"")</f>
        <v/>
      </c>
      <c r="BI488" s="71" t="str">
        <f>IF(AND($AX488=1,$AJ488=1),$BA488*100000+ROW(),"")</f>
        <v/>
      </c>
      <c r="BJ488" s="71" t="str">
        <f>IF(AND($AS488=1,$AJ488=1),$BA488*100000+ROW(),"")</f>
        <v/>
      </c>
      <c r="BK488" s="71" t="str">
        <f>IF(AND($AY488=1,$AJ488=1),$BA488*100000+ROW(),"")</f>
        <v/>
      </c>
      <c r="BL488" s="71" t="str">
        <f>IF(AND($AZ488=1),$BA488*100000+ROW(),"")</f>
        <v/>
      </c>
    </row>
    <row r="489">
      <c r="A489" s="63" t="n"/>
      <c r="B489" s="64" t="n"/>
      <c r="C489" s="64" t="n"/>
      <c r="D489" s="64" t="n"/>
      <c r="E489" s="64" t="n"/>
      <c r="F489" s="64" t="n"/>
      <c r="G489" s="65" t="n"/>
      <c r="H489" s="65" t="n"/>
      <c r="I489" s="64" t="n"/>
      <c r="J489" s="64" t="n"/>
      <c r="K489" s="63" t="n"/>
      <c r="L489" s="63" t="n"/>
      <c r="M489" s="64" t="n"/>
      <c r="N489" s="66" t="n"/>
      <c r="O489" s="65" t="n"/>
      <c r="P489" s="64" t="n"/>
      <c r="Q489" s="67" t="n"/>
      <c r="R489" s="67" t="n"/>
      <c r="S489" s="68" t="str">
        <f>IF(AND(ISNUMBER($Q489),ISNUMBER($R489)),$Q489-$R489,"")</f>
        <v/>
      </c>
      <c r="T489" s="65" t="n"/>
      <c r="U489" s="64" t="n"/>
      <c r="V489" s="65" t="n"/>
      <c r="W489" s="63" t="n"/>
      <c r="X489" s="65" t="n"/>
      <c r="Y489" s="63" t="n"/>
      <c r="Z489" s="64" t="n"/>
      <c r="AA489" s="64" t="n"/>
      <c r="AB489" s="65" t="n"/>
      <c r="AC489" s="69" t="str">
        <f>IF(OR($G489="",NOT(ISNUMBER($K489)),$AK489=0),"",MAX(0,ReportDate-$K489))</f>
        <v/>
      </c>
      <c r="AD489" s="69" t="str">
        <f>IF($G489="","",IF($AL489=1,ReportDate-$L489,0))</f>
        <v/>
      </c>
      <c r="AE489" s="70" t="str">
        <f>IF($G489="","",IF($M489="Completed",1,IF(ISNUMBER($N489),$N489,0)))</f>
        <v/>
      </c>
      <c r="AF489" s="70" t="str">
        <f>IF(AND(ISNUMBER($Q489),ISNUMBER($R489)),IF($R489&lt;&gt;0,$Q489/$R489,""),"")</f>
        <v/>
      </c>
      <c r="AG489" s="71" t="str">
        <f>IF($G489="","",IF($AL489=1,"OVERDUE",IF($AM489=1,"BLOCKED",IF($AN489=1,"DUE TODAY",IF($AO489=1,"DUE TOMORROW",IF($AQ489=1,"HIGH PRIORITY",IF($AR489=1,"NO RECENT UPDATE",""))))))) </f>
        <v/>
      </c>
      <c r="AH489" s="71" t="str">
        <f>IF($G489="","",IF(ISNUMBER($A489),IF(ISNUMBER($A489),YEAR($A489)&amp;"-"&amp;TEXT(MONTH($A489),"00"),""),IF(ISNUMBER($L489),IF(ISNUMBER($L489),YEAR($L489)&amp;"-"&amp;TEXT(MONTH($L489),"00"),""),"")))</f>
        <v/>
      </c>
      <c r="AI489" s="71">
        <f>IF($G489="",0,IF(AND(OR(fClient="All",$C489=fClient),OR(fCampaign="All",$D489=fCampaign),OR(fTeam="All",$B489=fTeam),OR(fChannel="All",$F489=fChannel),OR(fMonth="All",$AH489=fMonth),OR(fTStatus="All",$M489=fTStatus)),1,0))</f>
        <v>0</v>
      </c>
      <c r="AJ489" s="71">
        <f>IF($G489="",0,IF(AND(OR(fClient="All",$C489=fClient),OR(fCampaign="All",$D489=fCampaign),OR(fTeam="All",$B489=fTeam),OR(fChannel="All",$F489=fChannel)),1,0))</f>
        <v>0</v>
      </c>
      <c r="AK489" s="71">
        <f>IF($G489="",0,IF(OR($M489="Completed",$M489="Cancelled"),0,1))</f>
        <v>0</v>
      </c>
      <c r="AL489" s="71">
        <f>IF(AND($AK489=1,ISNUMBER($L489)),IF($L489&lt;ReportDate,1,0),0)</f>
        <v>0</v>
      </c>
      <c r="AM489" s="71">
        <f>IF(AND($G489&lt;&gt;"",$M489="Blocked"),1,0)</f>
        <v>0</v>
      </c>
      <c r="AN489" s="71">
        <f>IF(AND($AK489=1,ISNUMBER($L489)),IF($L489=ReportDate,1,0),0)</f>
        <v>0</v>
      </c>
      <c r="AO489" s="71">
        <f>IF(AND($AK489=1,ISNUMBER($L489)),IF($L489=ReportDate+1,1,0),0)</f>
        <v>0</v>
      </c>
      <c r="AP489" s="71">
        <f>IF(AND($AK489=1,ISNUMBER($L489)),IF(AND($L489&gt;=ReportDate,$L489&lt;=ReportDate+DueSoonDays),1,0),0)</f>
        <v>0</v>
      </c>
      <c r="AQ489" s="71">
        <f>IF(AND($AK489=1,OR($I489="Critical",$I489="High")),1,0)</f>
        <v>0</v>
      </c>
      <c r="AR489" s="71">
        <f>IF($AK489=1,IF(ISNUMBER($Y489),IF(ReportDate-$Y489&gt;StaleDays,1,0),1),0)</f>
        <v>0</v>
      </c>
      <c r="AS489" s="71">
        <f>IF(AND($G489&lt;&gt;"",ISNUMBER($Q489),ISNUMBER($R489)),IF(AND($Q489&lt;$R489,OR($M489="Completed",AND(ISNUMBER($L489),$L489&lt;ReportDate))),1,0),0)</f>
        <v>0</v>
      </c>
      <c r="AT489" s="71">
        <f>IF($AK489=1,IF(OR($L489=ReportDate,$W489=ReportDate,$K489=ReportDate,$A489=ReportDate),1,0),0)</f>
        <v>0</v>
      </c>
      <c r="AU489" s="71">
        <f>IF($AK489=1,IF(OR($L489=ReportDate+1,$W489=ReportDate+1,$K489=ReportDate+1,$A489=ReportDate+1),1,0),0)</f>
        <v>0</v>
      </c>
      <c r="AV489" s="71">
        <f>IF(AND($G489&lt;&gt;"",$M489="Completed"),IF(OR($Y489=ReportDate-1,$A489=ReportDate-1),1,0),0)</f>
        <v>0</v>
      </c>
      <c r="AW489" s="71">
        <f>IF(AND($AK489=1,$Z489="Yes"),1,0)</f>
        <v>0</v>
      </c>
      <c r="AX489" s="71">
        <f>IF(AND($AK489=1,$AA489="Yes"),1,0)</f>
        <v>0</v>
      </c>
      <c r="AY489" s="71">
        <f>IF(AND($AM489=1,OR($I489="Critical",$I489="High")),1,0)</f>
        <v>0</v>
      </c>
      <c r="AZ489" s="71">
        <f>IF(AND($AK489=1,OR($C489=TCL_Client,$C489=MECCA_Client)),1,0)</f>
        <v>0</v>
      </c>
      <c r="BA489" s="71" t="str">
        <f>IF($G489="","",IFERROR(MATCH($I489,lst_Priority,0),5))</f>
        <v/>
      </c>
      <c r="BB489" s="71" t="str">
        <f>IF(AND($AL489=1,$AJ489=1),$BA489*100000+ROW(),"")</f>
        <v/>
      </c>
      <c r="BC489" s="71" t="str">
        <f>IF(AND($AM489=1,$AJ489=1),$BA489*100000+ROW(),"")</f>
        <v/>
      </c>
      <c r="BD489" s="71" t="str">
        <f>IF(AND($AP489=1,$AJ489=1),$BA489*100000+ROW(),"")</f>
        <v/>
      </c>
      <c r="BE489" s="71" t="str">
        <f>IF(AND($AT489=1,$AJ489=1),$BA489*100000+ROW(),"")</f>
        <v/>
      </c>
      <c r="BF489" s="71" t="str">
        <f>IF(AND($AU489=1,$AJ489=1),$BA489*100000+ROW(),"")</f>
        <v/>
      </c>
      <c r="BG489" s="71" t="str">
        <f>IF(AND($AV489=1,$AJ489=1),$BA489*100000+ROW(),"")</f>
        <v/>
      </c>
      <c r="BH489" s="71" t="str">
        <f>IF(AND($AW489=1,$AJ489=1),$BA489*100000+ROW(),"")</f>
        <v/>
      </c>
      <c r="BI489" s="71" t="str">
        <f>IF(AND($AX489=1,$AJ489=1),$BA489*100000+ROW(),"")</f>
        <v/>
      </c>
      <c r="BJ489" s="71" t="str">
        <f>IF(AND($AS489=1,$AJ489=1),$BA489*100000+ROW(),"")</f>
        <v/>
      </c>
      <c r="BK489" s="71" t="str">
        <f>IF(AND($AY489=1,$AJ489=1),$BA489*100000+ROW(),"")</f>
        <v/>
      </c>
      <c r="BL489" s="71" t="str">
        <f>IF(AND($AZ489=1),$BA489*100000+ROW(),"")</f>
        <v/>
      </c>
    </row>
    <row r="490">
      <c r="A490" s="63" t="n"/>
      <c r="B490" s="64" t="n"/>
      <c r="C490" s="64" t="n"/>
      <c r="D490" s="64" t="n"/>
      <c r="E490" s="64" t="n"/>
      <c r="F490" s="64" t="n"/>
      <c r="G490" s="65" t="n"/>
      <c r="H490" s="65" t="n"/>
      <c r="I490" s="64" t="n"/>
      <c r="J490" s="64" t="n"/>
      <c r="K490" s="63" t="n"/>
      <c r="L490" s="63" t="n"/>
      <c r="M490" s="64" t="n"/>
      <c r="N490" s="66" t="n"/>
      <c r="O490" s="65" t="n"/>
      <c r="P490" s="64" t="n"/>
      <c r="Q490" s="67" t="n"/>
      <c r="R490" s="67" t="n"/>
      <c r="S490" s="68" t="str">
        <f>IF(AND(ISNUMBER($Q490),ISNUMBER($R490)),$Q490-$R490,"")</f>
        <v/>
      </c>
      <c r="T490" s="65" t="n"/>
      <c r="U490" s="64" t="n"/>
      <c r="V490" s="65" t="n"/>
      <c r="W490" s="63" t="n"/>
      <c r="X490" s="65" t="n"/>
      <c r="Y490" s="63" t="n"/>
      <c r="Z490" s="64" t="n"/>
      <c r="AA490" s="64" t="n"/>
      <c r="AB490" s="65" t="n"/>
      <c r="AC490" s="69" t="str">
        <f>IF(OR($G490="",NOT(ISNUMBER($K490)),$AK490=0),"",MAX(0,ReportDate-$K490))</f>
        <v/>
      </c>
      <c r="AD490" s="69" t="str">
        <f>IF($G490="","",IF($AL490=1,ReportDate-$L490,0))</f>
        <v/>
      </c>
      <c r="AE490" s="70" t="str">
        <f>IF($G490="","",IF($M490="Completed",1,IF(ISNUMBER($N490),$N490,0)))</f>
        <v/>
      </c>
      <c r="AF490" s="70" t="str">
        <f>IF(AND(ISNUMBER($Q490),ISNUMBER($R490)),IF($R490&lt;&gt;0,$Q490/$R490,""),"")</f>
        <v/>
      </c>
      <c r="AG490" s="71" t="str">
        <f>IF($G490="","",IF($AL490=1,"OVERDUE",IF($AM490=1,"BLOCKED",IF($AN490=1,"DUE TODAY",IF($AO490=1,"DUE TOMORROW",IF($AQ490=1,"HIGH PRIORITY",IF($AR490=1,"NO RECENT UPDATE",""))))))) </f>
        <v/>
      </c>
      <c r="AH490" s="71" t="str">
        <f>IF($G490="","",IF(ISNUMBER($A490),IF(ISNUMBER($A490),YEAR($A490)&amp;"-"&amp;TEXT(MONTH($A490),"00"),""),IF(ISNUMBER($L490),IF(ISNUMBER($L490),YEAR($L490)&amp;"-"&amp;TEXT(MONTH($L490),"00"),""),"")))</f>
        <v/>
      </c>
      <c r="AI490" s="71">
        <f>IF($G490="",0,IF(AND(OR(fClient="All",$C490=fClient),OR(fCampaign="All",$D490=fCampaign),OR(fTeam="All",$B490=fTeam),OR(fChannel="All",$F490=fChannel),OR(fMonth="All",$AH490=fMonth),OR(fTStatus="All",$M490=fTStatus)),1,0))</f>
        <v>0</v>
      </c>
      <c r="AJ490" s="71">
        <f>IF($G490="",0,IF(AND(OR(fClient="All",$C490=fClient),OR(fCampaign="All",$D490=fCampaign),OR(fTeam="All",$B490=fTeam),OR(fChannel="All",$F490=fChannel)),1,0))</f>
        <v>0</v>
      </c>
      <c r="AK490" s="71">
        <f>IF($G490="",0,IF(OR($M490="Completed",$M490="Cancelled"),0,1))</f>
        <v>0</v>
      </c>
      <c r="AL490" s="71">
        <f>IF(AND($AK490=1,ISNUMBER($L490)),IF($L490&lt;ReportDate,1,0),0)</f>
        <v>0</v>
      </c>
      <c r="AM490" s="71">
        <f>IF(AND($G490&lt;&gt;"",$M490="Blocked"),1,0)</f>
        <v>0</v>
      </c>
      <c r="AN490" s="71">
        <f>IF(AND($AK490=1,ISNUMBER($L490)),IF($L490=ReportDate,1,0),0)</f>
        <v>0</v>
      </c>
      <c r="AO490" s="71">
        <f>IF(AND($AK490=1,ISNUMBER($L490)),IF($L490=ReportDate+1,1,0),0)</f>
        <v>0</v>
      </c>
      <c r="AP490" s="71">
        <f>IF(AND($AK490=1,ISNUMBER($L490)),IF(AND($L490&gt;=ReportDate,$L490&lt;=ReportDate+DueSoonDays),1,0),0)</f>
        <v>0</v>
      </c>
      <c r="AQ490" s="71">
        <f>IF(AND($AK490=1,OR($I490="Critical",$I490="High")),1,0)</f>
        <v>0</v>
      </c>
      <c r="AR490" s="71">
        <f>IF($AK490=1,IF(ISNUMBER($Y490),IF(ReportDate-$Y490&gt;StaleDays,1,0),1),0)</f>
        <v>0</v>
      </c>
      <c r="AS490" s="71">
        <f>IF(AND($G490&lt;&gt;"",ISNUMBER($Q490),ISNUMBER($R490)),IF(AND($Q490&lt;$R490,OR($M490="Completed",AND(ISNUMBER($L490),$L490&lt;ReportDate))),1,0),0)</f>
        <v>0</v>
      </c>
      <c r="AT490" s="71">
        <f>IF($AK490=1,IF(OR($L490=ReportDate,$W490=ReportDate,$K490=ReportDate,$A490=ReportDate),1,0),0)</f>
        <v>0</v>
      </c>
      <c r="AU490" s="71">
        <f>IF($AK490=1,IF(OR($L490=ReportDate+1,$W490=ReportDate+1,$K490=ReportDate+1,$A490=ReportDate+1),1,0),0)</f>
        <v>0</v>
      </c>
      <c r="AV490" s="71">
        <f>IF(AND($G490&lt;&gt;"",$M490="Completed"),IF(OR($Y490=ReportDate-1,$A490=ReportDate-1),1,0),0)</f>
        <v>0</v>
      </c>
      <c r="AW490" s="71">
        <f>IF(AND($AK490=1,$Z490="Yes"),1,0)</f>
        <v>0</v>
      </c>
      <c r="AX490" s="71">
        <f>IF(AND($AK490=1,$AA490="Yes"),1,0)</f>
        <v>0</v>
      </c>
      <c r="AY490" s="71">
        <f>IF(AND($AM490=1,OR($I490="Critical",$I490="High")),1,0)</f>
        <v>0</v>
      </c>
      <c r="AZ490" s="71">
        <f>IF(AND($AK490=1,OR($C490=TCL_Client,$C490=MECCA_Client)),1,0)</f>
        <v>0</v>
      </c>
      <c r="BA490" s="71" t="str">
        <f>IF($G490="","",IFERROR(MATCH($I490,lst_Priority,0),5))</f>
        <v/>
      </c>
      <c r="BB490" s="71" t="str">
        <f>IF(AND($AL490=1,$AJ490=1),$BA490*100000+ROW(),"")</f>
        <v/>
      </c>
      <c r="BC490" s="71" t="str">
        <f>IF(AND($AM490=1,$AJ490=1),$BA490*100000+ROW(),"")</f>
        <v/>
      </c>
      <c r="BD490" s="71" t="str">
        <f>IF(AND($AP490=1,$AJ490=1),$BA490*100000+ROW(),"")</f>
        <v/>
      </c>
      <c r="BE490" s="71" t="str">
        <f>IF(AND($AT490=1,$AJ490=1),$BA490*100000+ROW(),"")</f>
        <v/>
      </c>
      <c r="BF490" s="71" t="str">
        <f>IF(AND($AU490=1,$AJ490=1),$BA490*100000+ROW(),"")</f>
        <v/>
      </c>
      <c r="BG490" s="71" t="str">
        <f>IF(AND($AV490=1,$AJ490=1),$BA490*100000+ROW(),"")</f>
        <v/>
      </c>
      <c r="BH490" s="71" t="str">
        <f>IF(AND($AW490=1,$AJ490=1),$BA490*100000+ROW(),"")</f>
        <v/>
      </c>
      <c r="BI490" s="71" t="str">
        <f>IF(AND($AX490=1,$AJ490=1),$BA490*100000+ROW(),"")</f>
        <v/>
      </c>
      <c r="BJ490" s="71" t="str">
        <f>IF(AND($AS490=1,$AJ490=1),$BA490*100000+ROW(),"")</f>
        <v/>
      </c>
      <c r="BK490" s="71" t="str">
        <f>IF(AND($AY490=1,$AJ490=1),$BA490*100000+ROW(),"")</f>
        <v/>
      </c>
      <c r="BL490" s="71" t="str">
        <f>IF(AND($AZ490=1),$BA490*100000+ROW(),"")</f>
        <v/>
      </c>
    </row>
    <row r="491">
      <c r="A491" s="63" t="n"/>
      <c r="B491" s="64" t="n"/>
      <c r="C491" s="64" t="n"/>
      <c r="D491" s="64" t="n"/>
      <c r="E491" s="64" t="n"/>
      <c r="F491" s="64" t="n"/>
      <c r="G491" s="65" t="n"/>
      <c r="H491" s="65" t="n"/>
      <c r="I491" s="64" t="n"/>
      <c r="J491" s="64" t="n"/>
      <c r="K491" s="63" t="n"/>
      <c r="L491" s="63" t="n"/>
      <c r="M491" s="64" t="n"/>
      <c r="N491" s="66" t="n"/>
      <c r="O491" s="65" t="n"/>
      <c r="P491" s="64" t="n"/>
      <c r="Q491" s="67" t="n"/>
      <c r="R491" s="67" t="n"/>
      <c r="S491" s="68" t="str">
        <f>IF(AND(ISNUMBER($Q491),ISNUMBER($R491)),$Q491-$R491,"")</f>
        <v/>
      </c>
      <c r="T491" s="65" t="n"/>
      <c r="U491" s="64" t="n"/>
      <c r="V491" s="65" t="n"/>
      <c r="W491" s="63" t="n"/>
      <c r="X491" s="65" t="n"/>
      <c r="Y491" s="63" t="n"/>
      <c r="Z491" s="64" t="n"/>
      <c r="AA491" s="64" t="n"/>
      <c r="AB491" s="65" t="n"/>
      <c r="AC491" s="69" t="str">
        <f>IF(OR($G491="",NOT(ISNUMBER($K491)),$AK491=0),"",MAX(0,ReportDate-$K491))</f>
        <v/>
      </c>
      <c r="AD491" s="69" t="str">
        <f>IF($G491="","",IF($AL491=1,ReportDate-$L491,0))</f>
        <v/>
      </c>
      <c r="AE491" s="70" t="str">
        <f>IF($G491="","",IF($M491="Completed",1,IF(ISNUMBER($N491),$N491,0)))</f>
        <v/>
      </c>
      <c r="AF491" s="70" t="str">
        <f>IF(AND(ISNUMBER($Q491),ISNUMBER($R491)),IF($R491&lt;&gt;0,$Q491/$R491,""),"")</f>
        <v/>
      </c>
      <c r="AG491" s="71" t="str">
        <f>IF($G491="","",IF($AL491=1,"OVERDUE",IF($AM491=1,"BLOCKED",IF($AN491=1,"DUE TODAY",IF($AO491=1,"DUE TOMORROW",IF($AQ491=1,"HIGH PRIORITY",IF($AR491=1,"NO RECENT UPDATE",""))))))) </f>
        <v/>
      </c>
      <c r="AH491" s="71" t="str">
        <f>IF($G491="","",IF(ISNUMBER($A491),IF(ISNUMBER($A491),YEAR($A491)&amp;"-"&amp;TEXT(MONTH($A491),"00"),""),IF(ISNUMBER($L491),IF(ISNUMBER($L491),YEAR($L491)&amp;"-"&amp;TEXT(MONTH($L491),"00"),""),"")))</f>
        <v/>
      </c>
      <c r="AI491" s="71">
        <f>IF($G491="",0,IF(AND(OR(fClient="All",$C491=fClient),OR(fCampaign="All",$D491=fCampaign),OR(fTeam="All",$B491=fTeam),OR(fChannel="All",$F491=fChannel),OR(fMonth="All",$AH491=fMonth),OR(fTStatus="All",$M491=fTStatus)),1,0))</f>
        <v>0</v>
      </c>
      <c r="AJ491" s="71">
        <f>IF($G491="",0,IF(AND(OR(fClient="All",$C491=fClient),OR(fCampaign="All",$D491=fCampaign),OR(fTeam="All",$B491=fTeam),OR(fChannel="All",$F491=fChannel)),1,0))</f>
        <v>0</v>
      </c>
      <c r="AK491" s="71">
        <f>IF($G491="",0,IF(OR($M491="Completed",$M491="Cancelled"),0,1))</f>
        <v>0</v>
      </c>
      <c r="AL491" s="71">
        <f>IF(AND($AK491=1,ISNUMBER($L491)),IF($L491&lt;ReportDate,1,0),0)</f>
        <v>0</v>
      </c>
      <c r="AM491" s="71">
        <f>IF(AND($G491&lt;&gt;"",$M491="Blocked"),1,0)</f>
        <v>0</v>
      </c>
      <c r="AN491" s="71">
        <f>IF(AND($AK491=1,ISNUMBER($L491)),IF($L491=ReportDate,1,0),0)</f>
        <v>0</v>
      </c>
      <c r="AO491" s="71">
        <f>IF(AND($AK491=1,ISNUMBER($L491)),IF($L491=ReportDate+1,1,0),0)</f>
        <v>0</v>
      </c>
      <c r="AP491" s="71">
        <f>IF(AND($AK491=1,ISNUMBER($L491)),IF(AND($L491&gt;=ReportDate,$L491&lt;=ReportDate+DueSoonDays),1,0),0)</f>
        <v>0</v>
      </c>
      <c r="AQ491" s="71">
        <f>IF(AND($AK491=1,OR($I491="Critical",$I491="High")),1,0)</f>
        <v>0</v>
      </c>
      <c r="AR491" s="71">
        <f>IF($AK491=1,IF(ISNUMBER($Y491),IF(ReportDate-$Y491&gt;StaleDays,1,0),1),0)</f>
        <v>0</v>
      </c>
      <c r="AS491" s="71">
        <f>IF(AND($G491&lt;&gt;"",ISNUMBER($Q491),ISNUMBER($R491)),IF(AND($Q491&lt;$R491,OR($M491="Completed",AND(ISNUMBER($L491),$L491&lt;ReportDate))),1,0),0)</f>
        <v>0</v>
      </c>
      <c r="AT491" s="71">
        <f>IF($AK491=1,IF(OR($L491=ReportDate,$W491=ReportDate,$K491=ReportDate,$A491=ReportDate),1,0),0)</f>
        <v>0</v>
      </c>
      <c r="AU491" s="71">
        <f>IF($AK491=1,IF(OR($L491=ReportDate+1,$W491=ReportDate+1,$K491=ReportDate+1,$A491=ReportDate+1),1,0),0)</f>
        <v>0</v>
      </c>
      <c r="AV491" s="71">
        <f>IF(AND($G491&lt;&gt;"",$M491="Completed"),IF(OR($Y491=ReportDate-1,$A491=ReportDate-1),1,0),0)</f>
        <v>0</v>
      </c>
      <c r="AW491" s="71">
        <f>IF(AND($AK491=1,$Z491="Yes"),1,0)</f>
        <v>0</v>
      </c>
      <c r="AX491" s="71">
        <f>IF(AND($AK491=1,$AA491="Yes"),1,0)</f>
        <v>0</v>
      </c>
      <c r="AY491" s="71">
        <f>IF(AND($AM491=1,OR($I491="Critical",$I491="High")),1,0)</f>
        <v>0</v>
      </c>
      <c r="AZ491" s="71">
        <f>IF(AND($AK491=1,OR($C491=TCL_Client,$C491=MECCA_Client)),1,0)</f>
        <v>0</v>
      </c>
      <c r="BA491" s="71" t="str">
        <f>IF($G491="","",IFERROR(MATCH($I491,lst_Priority,0),5))</f>
        <v/>
      </c>
      <c r="BB491" s="71" t="str">
        <f>IF(AND($AL491=1,$AJ491=1),$BA491*100000+ROW(),"")</f>
        <v/>
      </c>
      <c r="BC491" s="71" t="str">
        <f>IF(AND($AM491=1,$AJ491=1),$BA491*100000+ROW(),"")</f>
        <v/>
      </c>
      <c r="BD491" s="71" t="str">
        <f>IF(AND($AP491=1,$AJ491=1),$BA491*100000+ROW(),"")</f>
        <v/>
      </c>
      <c r="BE491" s="71" t="str">
        <f>IF(AND($AT491=1,$AJ491=1),$BA491*100000+ROW(),"")</f>
        <v/>
      </c>
      <c r="BF491" s="71" t="str">
        <f>IF(AND($AU491=1,$AJ491=1),$BA491*100000+ROW(),"")</f>
        <v/>
      </c>
      <c r="BG491" s="71" t="str">
        <f>IF(AND($AV491=1,$AJ491=1),$BA491*100000+ROW(),"")</f>
        <v/>
      </c>
      <c r="BH491" s="71" t="str">
        <f>IF(AND($AW491=1,$AJ491=1),$BA491*100000+ROW(),"")</f>
        <v/>
      </c>
      <c r="BI491" s="71" t="str">
        <f>IF(AND($AX491=1,$AJ491=1),$BA491*100000+ROW(),"")</f>
        <v/>
      </c>
      <c r="BJ491" s="71" t="str">
        <f>IF(AND($AS491=1,$AJ491=1),$BA491*100000+ROW(),"")</f>
        <v/>
      </c>
      <c r="BK491" s="71" t="str">
        <f>IF(AND($AY491=1,$AJ491=1),$BA491*100000+ROW(),"")</f>
        <v/>
      </c>
      <c r="BL491" s="71" t="str">
        <f>IF(AND($AZ491=1),$BA491*100000+ROW(),"")</f>
        <v/>
      </c>
    </row>
    <row r="492">
      <c r="A492" s="63" t="n"/>
      <c r="B492" s="64" t="n"/>
      <c r="C492" s="64" t="n"/>
      <c r="D492" s="64" t="n"/>
      <c r="E492" s="64" t="n"/>
      <c r="F492" s="64" t="n"/>
      <c r="G492" s="65" t="n"/>
      <c r="H492" s="65" t="n"/>
      <c r="I492" s="64" t="n"/>
      <c r="J492" s="64" t="n"/>
      <c r="K492" s="63" t="n"/>
      <c r="L492" s="63" t="n"/>
      <c r="M492" s="64" t="n"/>
      <c r="N492" s="66" t="n"/>
      <c r="O492" s="65" t="n"/>
      <c r="P492" s="64" t="n"/>
      <c r="Q492" s="67" t="n"/>
      <c r="R492" s="67" t="n"/>
      <c r="S492" s="68" t="str">
        <f>IF(AND(ISNUMBER($Q492),ISNUMBER($R492)),$Q492-$R492,"")</f>
        <v/>
      </c>
      <c r="T492" s="65" t="n"/>
      <c r="U492" s="64" t="n"/>
      <c r="V492" s="65" t="n"/>
      <c r="W492" s="63" t="n"/>
      <c r="X492" s="65" t="n"/>
      <c r="Y492" s="63" t="n"/>
      <c r="Z492" s="64" t="n"/>
      <c r="AA492" s="64" t="n"/>
      <c r="AB492" s="65" t="n"/>
      <c r="AC492" s="69" t="str">
        <f>IF(OR($G492="",NOT(ISNUMBER($K492)),$AK492=0),"",MAX(0,ReportDate-$K492))</f>
        <v/>
      </c>
      <c r="AD492" s="69" t="str">
        <f>IF($G492="","",IF($AL492=1,ReportDate-$L492,0))</f>
        <v/>
      </c>
      <c r="AE492" s="70" t="str">
        <f>IF($G492="","",IF($M492="Completed",1,IF(ISNUMBER($N492),$N492,0)))</f>
        <v/>
      </c>
      <c r="AF492" s="70" t="str">
        <f>IF(AND(ISNUMBER($Q492),ISNUMBER($R492)),IF($R492&lt;&gt;0,$Q492/$R492,""),"")</f>
        <v/>
      </c>
      <c r="AG492" s="71" t="str">
        <f>IF($G492="","",IF($AL492=1,"OVERDUE",IF($AM492=1,"BLOCKED",IF($AN492=1,"DUE TODAY",IF($AO492=1,"DUE TOMORROW",IF($AQ492=1,"HIGH PRIORITY",IF($AR492=1,"NO RECENT UPDATE",""))))))) </f>
        <v/>
      </c>
      <c r="AH492" s="71" t="str">
        <f>IF($G492="","",IF(ISNUMBER($A492),IF(ISNUMBER($A492),YEAR($A492)&amp;"-"&amp;TEXT(MONTH($A492),"00"),""),IF(ISNUMBER($L492),IF(ISNUMBER($L492),YEAR($L492)&amp;"-"&amp;TEXT(MONTH($L492),"00"),""),"")))</f>
        <v/>
      </c>
      <c r="AI492" s="71">
        <f>IF($G492="",0,IF(AND(OR(fClient="All",$C492=fClient),OR(fCampaign="All",$D492=fCampaign),OR(fTeam="All",$B492=fTeam),OR(fChannel="All",$F492=fChannel),OR(fMonth="All",$AH492=fMonth),OR(fTStatus="All",$M492=fTStatus)),1,0))</f>
        <v>0</v>
      </c>
      <c r="AJ492" s="71">
        <f>IF($G492="",0,IF(AND(OR(fClient="All",$C492=fClient),OR(fCampaign="All",$D492=fCampaign),OR(fTeam="All",$B492=fTeam),OR(fChannel="All",$F492=fChannel)),1,0))</f>
        <v>0</v>
      </c>
      <c r="AK492" s="71">
        <f>IF($G492="",0,IF(OR($M492="Completed",$M492="Cancelled"),0,1))</f>
        <v>0</v>
      </c>
      <c r="AL492" s="71">
        <f>IF(AND($AK492=1,ISNUMBER($L492)),IF($L492&lt;ReportDate,1,0),0)</f>
        <v>0</v>
      </c>
      <c r="AM492" s="71">
        <f>IF(AND($G492&lt;&gt;"",$M492="Blocked"),1,0)</f>
        <v>0</v>
      </c>
      <c r="AN492" s="71">
        <f>IF(AND($AK492=1,ISNUMBER($L492)),IF($L492=ReportDate,1,0),0)</f>
        <v>0</v>
      </c>
      <c r="AO492" s="71">
        <f>IF(AND($AK492=1,ISNUMBER($L492)),IF($L492=ReportDate+1,1,0),0)</f>
        <v>0</v>
      </c>
      <c r="AP492" s="71">
        <f>IF(AND($AK492=1,ISNUMBER($L492)),IF(AND($L492&gt;=ReportDate,$L492&lt;=ReportDate+DueSoonDays),1,0),0)</f>
        <v>0</v>
      </c>
      <c r="AQ492" s="71">
        <f>IF(AND($AK492=1,OR($I492="Critical",$I492="High")),1,0)</f>
        <v>0</v>
      </c>
      <c r="AR492" s="71">
        <f>IF($AK492=1,IF(ISNUMBER($Y492),IF(ReportDate-$Y492&gt;StaleDays,1,0),1),0)</f>
        <v>0</v>
      </c>
      <c r="AS492" s="71">
        <f>IF(AND($G492&lt;&gt;"",ISNUMBER($Q492),ISNUMBER($R492)),IF(AND($Q492&lt;$R492,OR($M492="Completed",AND(ISNUMBER($L492),$L492&lt;ReportDate))),1,0),0)</f>
        <v>0</v>
      </c>
      <c r="AT492" s="71">
        <f>IF($AK492=1,IF(OR($L492=ReportDate,$W492=ReportDate,$K492=ReportDate,$A492=ReportDate),1,0),0)</f>
        <v>0</v>
      </c>
      <c r="AU492" s="71">
        <f>IF($AK492=1,IF(OR($L492=ReportDate+1,$W492=ReportDate+1,$K492=ReportDate+1,$A492=ReportDate+1),1,0),0)</f>
        <v>0</v>
      </c>
      <c r="AV492" s="71">
        <f>IF(AND($G492&lt;&gt;"",$M492="Completed"),IF(OR($Y492=ReportDate-1,$A492=ReportDate-1),1,0),0)</f>
        <v>0</v>
      </c>
      <c r="AW492" s="71">
        <f>IF(AND($AK492=1,$Z492="Yes"),1,0)</f>
        <v>0</v>
      </c>
      <c r="AX492" s="71">
        <f>IF(AND($AK492=1,$AA492="Yes"),1,0)</f>
        <v>0</v>
      </c>
      <c r="AY492" s="71">
        <f>IF(AND($AM492=1,OR($I492="Critical",$I492="High")),1,0)</f>
        <v>0</v>
      </c>
      <c r="AZ492" s="71">
        <f>IF(AND($AK492=1,OR($C492=TCL_Client,$C492=MECCA_Client)),1,0)</f>
        <v>0</v>
      </c>
      <c r="BA492" s="71" t="str">
        <f>IF($G492="","",IFERROR(MATCH($I492,lst_Priority,0),5))</f>
        <v/>
      </c>
      <c r="BB492" s="71" t="str">
        <f>IF(AND($AL492=1,$AJ492=1),$BA492*100000+ROW(),"")</f>
        <v/>
      </c>
      <c r="BC492" s="71" t="str">
        <f>IF(AND($AM492=1,$AJ492=1),$BA492*100000+ROW(),"")</f>
        <v/>
      </c>
      <c r="BD492" s="71" t="str">
        <f>IF(AND($AP492=1,$AJ492=1),$BA492*100000+ROW(),"")</f>
        <v/>
      </c>
      <c r="BE492" s="71" t="str">
        <f>IF(AND($AT492=1,$AJ492=1),$BA492*100000+ROW(),"")</f>
        <v/>
      </c>
      <c r="BF492" s="71" t="str">
        <f>IF(AND($AU492=1,$AJ492=1),$BA492*100000+ROW(),"")</f>
        <v/>
      </c>
      <c r="BG492" s="71" t="str">
        <f>IF(AND($AV492=1,$AJ492=1),$BA492*100000+ROW(),"")</f>
        <v/>
      </c>
      <c r="BH492" s="71" t="str">
        <f>IF(AND($AW492=1,$AJ492=1),$BA492*100000+ROW(),"")</f>
        <v/>
      </c>
      <c r="BI492" s="71" t="str">
        <f>IF(AND($AX492=1,$AJ492=1),$BA492*100000+ROW(),"")</f>
        <v/>
      </c>
      <c r="BJ492" s="71" t="str">
        <f>IF(AND($AS492=1,$AJ492=1),$BA492*100000+ROW(),"")</f>
        <v/>
      </c>
      <c r="BK492" s="71" t="str">
        <f>IF(AND($AY492=1,$AJ492=1),$BA492*100000+ROW(),"")</f>
        <v/>
      </c>
      <c r="BL492" s="71" t="str">
        <f>IF(AND($AZ492=1),$BA492*100000+ROW(),"")</f>
        <v/>
      </c>
    </row>
    <row r="493">
      <c r="A493" s="63" t="n"/>
      <c r="B493" s="64" t="n"/>
      <c r="C493" s="64" t="n"/>
      <c r="D493" s="64" t="n"/>
      <c r="E493" s="64" t="n"/>
      <c r="F493" s="64" t="n"/>
      <c r="G493" s="65" t="n"/>
      <c r="H493" s="65" t="n"/>
      <c r="I493" s="64" t="n"/>
      <c r="J493" s="64" t="n"/>
      <c r="K493" s="63" t="n"/>
      <c r="L493" s="63" t="n"/>
      <c r="M493" s="64" t="n"/>
      <c r="N493" s="66" t="n"/>
      <c r="O493" s="65" t="n"/>
      <c r="P493" s="64" t="n"/>
      <c r="Q493" s="67" t="n"/>
      <c r="R493" s="67" t="n"/>
      <c r="S493" s="68" t="str">
        <f>IF(AND(ISNUMBER($Q493),ISNUMBER($R493)),$Q493-$R493,"")</f>
        <v/>
      </c>
      <c r="T493" s="65" t="n"/>
      <c r="U493" s="64" t="n"/>
      <c r="V493" s="65" t="n"/>
      <c r="W493" s="63" t="n"/>
      <c r="X493" s="65" t="n"/>
      <c r="Y493" s="63" t="n"/>
      <c r="Z493" s="64" t="n"/>
      <c r="AA493" s="64" t="n"/>
      <c r="AB493" s="65" t="n"/>
      <c r="AC493" s="69" t="str">
        <f>IF(OR($G493="",NOT(ISNUMBER($K493)),$AK493=0),"",MAX(0,ReportDate-$K493))</f>
        <v/>
      </c>
      <c r="AD493" s="69" t="str">
        <f>IF($G493="","",IF($AL493=1,ReportDate-$L493,0))</f>
        <v/>
      </c>
      <c r="AE493" s="70" t="str">
        <f>IF($G493="","",IF($M493="Completed",1,IF(ISNUMBER($N493),$N493,0)))</f>
        <v/>
      </c>
      <c r="AF493" s="70" t="str">
        <f>IF(AND(ISNUMBER($Q493),ISNUMBER($R493)),IF($R493&lt;&gt;0,$Q493/$R493,""),"")</f>
        <v/>
      </c>
      <c r="AG493" s="71" t="str">
        <f>IF($G493="","",IF($AL493=1,"OVERDUE",IF($AM493=1,"BLOCKED",IF($AN493=1,"DUE TODAY",IF($AO493=1,"DUE TOMORROW",IF($AQ493=1,"HIGH PRIORITY",IF($AR493=1,"NO RECENT UPDATE",""))))))) </f>
        <v/>
      </c>
      <c r="AH493" s="71" t="str">
        <f>IF($G493="","",IF(ISNUMBER($A493),IF(ISNUMBER($A493),YEAR($A493)&amp;"-"&amp;TEXT(MONTH($A493),"00"),""),IF(ISNUMBER($L493),IF(ISNUMBER($L493),YEAR($L493)&amp;"-"&amp;TEXT(MONTH($L493),"00"),""),"")))</f>
        <v/>
      </c>
      <c r="AI493" s="71">
        <f>IF($G493="",0,IF(AND(OR(fClient="All",$C493=fClient),OR(fCampaign="All",$D493=fCampaign),OR(fTeam="All",$B493=fTeam),OR(fChannel="All",$F493=fChannel),OR(fMonth="All",$AH493=fMonth),OR(fTStatus="All",$M493=fTStatus)),1,0))</f>
        <v>0</v>
      </c>
      <c r="AJ493" s="71">
        <f>IF($G493="",0,IF(AND(OR(fClient="All",$C493=fClient),OR(fCampaign="All",$D493=fCampaign),OR(fTeam="All",$B493=fTeam),OR(fChannel="All",$F493=fChannel)),1,0))</f>
        <v>0</v>
      </c>
      <c r="AK493" s="71">
        <f>IF($G493="",0,IF(OR($M493="Completed",$M493="Cancelled"),0,1))</f>
        <v>0</v>
      </c>
      <c r="AL493" s="71">
        <f>IF(AND($AK493=1,ISNUMBER($L493)),IF($L493&lt;ReportDate,1,0),0)</f>
        <v>0</v>
      </c>
      <c r="AM493" s="71">
        <f>IF(AND($G493&lt;&gt;"",$M493="Blocked"),1,0)</f>
        <v>0</v>
      </c>
      <c r="AN493" s="71">
        <f>IF(AND($AK493=1,ISNUMBER($L493)),IF($L493=ReportDate,1,0),0)</f>
        <v>0</v>
      </c>
      <c r="AO493" s="71">
        <f>IF(AND($AK493=1,ISNUMBER($L493)),IF($L493=ReportDate+1,1,0),0)</f>
        <v>0</v>
      </c>
      <c r="AP493" s="71">
        <f>IF(AND($AK493=1,ISNUMBER($L493)),IF(AND($L493&gt;=ReportDate,$L493&lt;=ReportDate+DueSoonDays),1,0),0)</f>
        <v>0</v>
      </c>
      <c r="AQ493" s="71">
        <f>IF(AND($AK493=1,OR($I493="Critical",$I493="High")),1,0)</f>
        <v>0</v>
      </c>
      <c r="AR493" s="71">
        <f>IF($AK493=1,IF(ISNUMBER($Y493),IF(ReportDate-$Y493&gt;StaleDays,1,0),1),0)</f>
        <v>0</v>
      </c>
      <c r="AS493" s="71">
        <f>IF(AND($G493&lt;&gt;"",ISNUMBER($Q493),ISNUMBER($R493)),IF(AND($Q493&lt;$R493,OR($M493="Completed",AND(ISNUMBER($L493),$L493&lt;ReportDate))),1,0),0)</f>
        <v>0</v>
      </c>
      <c r="AT493" s="71">
        <f>IF($AK493=1,IF(OR($L493=ReportDate,$W493=ReportDate,$K493=ReportDate,$A493=ReportDate),1,0),0)</f>
        <v>0</v>
      </c>
      <c r="AU493" s="71">
        <f>IF($AK493=1,IF(OR($L493=ReportDate+1,$W493=ReportDate+1,$K493=ReportDate+1,$A493=ReportDate+1),1,0),0)</f>
        <v>0</v>
      </c>
      <c r="AV493" s="71">
        <f>IF(AND($G493&lt;&gt;"",$M493="Completed"),IF(OR($Y493=ReportDate-1,$A493=ReportDate-1),1,0),0)</f>
        <v>0</v>
      </c>
      <c r="AW493" s="71">
        <f>IF(AND($AK493=1,$Z493="Yes"),1,0)</f>
        <v>0</v>
      </c>
      <c r="AX493" s="71">
        <f>IF(AND($AK493=1,$AA493="Yes"),1,0)</f>
        <v>0</v>
      </c>
      <c r="AY493" s="71">
        <f>IF(AND($AM493=1,OR($I493="Critical",$I493="High")),1,0)</f>
        <v>0</v>
      </c>
      <c r="AZ493" s="71">
        <f>IF(AND($AK493=1,OR($C493=TCL_Client,$C493=MECCA_Client)),1,0)</f>
        <v>0</v>
      </c>
      <c r="BA493" s="71" t="str">
        <f>IF($G493="","",IFERROR(MATCH($I493,lst_Priority,0),5))</f>
        <v/>
      </c>
      <c r="BB493" s="71" t="str">
        <f>IF(AND($AL493=1,$AJ493=1),$BA493*100000+ROW(),"")</f>
        <v/>
      </c>
      <c r="BC493" s="71" t="str">
        <f>IF(AND($AM493=1,$AJ493=1),$BA493*100000+ROW(),"")</f>
        <v/>
      </c>
      <c r="BD493" s="71" t="str">
        <f>IF(AND($AP493=1,$AJ493=1),$BA493*100000+ROW(),"")</f>
        <v/>
      </c>
      <c r="BE493" s="71" t="str">
        <f>IF(AND($AT493=1,$AJ493=1),$BA493*100000+ROW(),"")</f>
        <v/>
      </c>
      <c r="BF493" s="71" t="str">
        <f>IF(AND($AU493=1,$AJ493=1),$BA493*100000+ROW(),"")</f>
        <v/>
      </c>
      <c r="BG493" s="71" t="str">
        <f>IF(AND($AV493=1,$AJ493=1),$BA493*100000+ROW(),"")</f>
        <v/>
      </c>
      <c r="BH493" s="71" t="str">
        <f>IF(AND($AW493=1,$AJ493=1),$BA493*100000+ROW(),"")</f>
        <v/>
      </c>
      <c r="BI493" s="71" t="str">
        <f>IF(AND($AX493=1,$AJ493=1),$BA493*100000+ROW(),"")</f>
        <v/>
      </c>
      <c r="BJ493" s="71" t="str">
        <f>IF(AND($AS493=1,$AJ493=1),$BA493*100000+ROW(),"")</f>
        <v/>
      </c>
      <c r="BK493" s="71" t="str">
        <f>IF(AND($AY493=1,$AJ493=1),$BA493*100000+ROW(),"")</f>
        <v/>
      </c>
      <c r="BL493" s="71" t="str">
        <f>IF(AND($AZ493=1),$BA493*100000+ROW(),"")</f>
        <v/>
      </c>
    </row>
    <row r="494">
      <c r="A494" s="63" t="n"/>
      <c r="B494" s="64" t="n"/>
      <c r="C494" s="64" t="n"/>
      <c r="D494" s="64" t="n"/>
      <c r="E494" s="64" t="n"/>
      <c r="F494" s="64" t="n"/>
      <c r="G494" s="65" t="n"/>
      <c r="H494" s="65" t="n"/>
      <c r="I494" s="64" t="n"/>
      <c r="J494" s="64" t="n"/>
      <c r="K494" s="63" t="n"/>
      <c r="L494" s="63" t="n"/>
      <c r="M494" s="64" t="n"/>
      <c r="N494" s="66" t="n"/>
      <c r="O494" s="65" t="n"/>
      <c r="P494" s="64" t="n"/>
      <c r="Q494" s="67" t="n"/>
      <c r="R494" s="67" t="n"/>
      <c r="S494" s="68" t="str">
        <f>IF(AND(ISNUMBER($Q494),ISNUMBER($R494)),$Q494-$R494,"")</f>
        <v/>
      </c>
      <c r="T494" s="65" t="n"/>
      <c r="U494" s="64" t="n"/>
      <c r="V494" s="65" t="n"/>
      <c r="W494" s="63" t="n"/>
      <c r="X494" s="65" t="n"/>
      <c r="Y494" s="63" t="n"/>
      <c r="Z494" s="64" t="n"/>
      <c r="AA494" s="64" t="n"/>
      <c r="AB494" s="65" t="n"/>
      <c r="AC494" s="69" t="str">
        <f>IF(OR($G494="",NOT(ISNUMBER($K494)),$AK494=0),"",MAX(0,ReportDate-$K494))</f>
        <v/>
      </c>
      <c r="AD494" s="69" t="str">
        <f>IF($G494="","",IF($AL494=1,ReportDate-$L494,0))</f>
        <v/>
      </c>
      <c r="AE494" s="70" t="str">
        <f>IF($G494="","",IF($M494="Completed",1,IF(ISNUMBER($N494),$N494,0)))</f>
        <v/>
      </c>
      <c r="AF494" s="70" t="str">
        <f>IF(AND(ISNUMBER($Q494),ISNUMBER($R494)),IF($R494&lt;&gt;0,$Q494/$R494,""),"")</f>
        <v/>
      </c>
      <c r="AG494" s="71" t="str">
        <f>IF($G494="","",IF($AL494=1,"OVERDUE",IF($AM494=1,"BLOCKED",IF($AN494=1,"DUE TODAY",IF($AO494=1,"DUE TOMORROW",IF($AQ494=1,"HIGH PRIORITY",IF($AR494=1,"NO RECENT UPDATE",""))))))) </f>
        <v/>
      </c>
      <c r="AH494" s="71" t="str">
        <f>IF($G494="","",IF(ISNUMBER($A494),IF(ISNUMBER($A494),YEAR($A494)&amp;"-"&amp;TEXT(MONTH($A494),"00"),""),IF(ISNUMBER($L494),IF(ISNUMBER($L494),YEAR($L494)&amp;"-"&amp;TEXT(MONTH($L494),"00"),""),"")))</f>
        <v/>
      </c>
      <c r="AI494" s="71">
        <f>IF($G494="",0,IF(AND(OR(fClient="All",$C494=fClient),OR(fCampaign="All",$D494=fCampaign),OR(fTeam="All",$B494=fTeam),OR(fChannel="All",$F494=fChannel),OR(fMonth="All",$AH494=fMonth),OR(fTStatus="All",$M494=fTStatus)),1,0))</f>
        <v>0</v>
      </c>
      <c r="AJ494" s="71">
        <f>IF($G494="",0,IF(AND(OR(fClient="All",$C494=fClient),OR(fCampaign="All",$D494=fCampaign),OR(fTeam="All",$B494=fTeam),OR(fChannel="All",$F494=fChannel)),1,0))</f>
        <v>0</v>
      </c>
      <c r="AK494" s="71">
        <f>IF($G494="",0,IF(OR($M494="Completed",$M494="Cancelled"),0,1))</f>
        <v>0</v>
      </c>
      <c r="AL494" s="71">
        <f>IF(AND($AK494=1,ISNUMBER($L494)),IF($L494&lt;ReportDate,1,0),0)</f>
        <v>0</v>
      </c>
      <c r="AM494" s="71">
        <f>IF(AND($G494&lt;&gt;"",$M494="Blocked"),1,0)</f>
        <v>0</v>
      </c>
      <c r="AN494" s="71">
        <f>IF(AND($AK494=1,ISNUMBER($L494)),IF($L494=ReportDate,1,0),0)</f>
        <v>0</v>
      </c>
      <c r="AO494" s="71">
        <f>IF(AND($AK494=1,ISNUMBER($L494)),IF($L494=ReportDate+1,1,0),0)</f>
        <v>0</v>
      </c>
      <c r="AP494" s="71">
        <f>IF(AND($AK494=1,ISNUMBER($L494)),IF(AND($L494&gt;=ReportDate,$L494&lt;=ReportDate+DueSoonDays),1,0),0)</f>
        <v>0</v>
      </c>
      <c r="AQ494" s="71">
        <f>IF(AND($AK494=1,OR($I494="Critical",$I494="High")),1,0)</f>
        <v>0</v>
      </c>
      <c r="AR494" s="71">
        <f>IF($AK494=1,IF(ISNUMBER($Y494),IF(ReportDate-$Y494&gt;StaleDays,1,0),1),0)</f>
        <v>0</v>
      </c>
      <c r="AS494" s="71">
        <f>IF(AND($G494&lt;&gt;"",ISNUMBER($Q494),ISNUMBER($R494)),IF(AND($Q494&lt;$R494,OR($M494="Completed",AND(ISNUMBER($L494),$L494&lt;ReportDate))),1,0),0)</f>
        <v>0</v>
      </c>
      <c r="AT494" s="71">
        <f>IF($AK494=1,IF(OR($L494=ReportDate,$W494=ReportDate,$K494=ReportDate,$A494=ReportDate),1,0),0)</f>
        <v>0</v>
      </c>
      <c r="AU494" s="71">
        <f>IF($AK494=1,IF(OR($L494=ReportDate+1,$W494=ReportDate+1,$K494=ReportDate+1,$A494=ReportDate+1),1,0),0)</f>
        <v>0</v>
      </c>
      <c r="AV494" s="71">
        <f>IF(AND($G494&lt;&gt;"",$M494="Completed"),IF(OR($Y494=ReportDate-1,$A494=ReportDate-1),1,0),0)</f>
        <v>0</v>
      </c>
      <c r="AW494" s="71">
        <f>IF(AND($AK494=1,$Z494="Yes"),1,0)</f>
        <v>0</v>
      </c>
      <c r="AX494" s="71">
        <f>IF(AND($AK494=1,$AA494="Yes"),1,0)</f>
        <v>0</v>
      </c>
      <c r="AY494" s="71">
        <f>IF(AND($AM494=1,OR($I494="Critical",$I494="High")),1,0)</f>
        <v>0</v>
      </c>
      <c r="AZ494" s="71">
        <f>IF(AND($AK494=1,OR($C494=TCL_Client,$C494=MECCA_Client)),1,0)</f>
        <v>0</v>
      </c>
      <c r="BA494" s="71" t="str">
        <f>IF($G494="","",IFERROR(MATCH($I494,lst_Priority,0),5))</f>
        <v/>
      </c>
      <c r="BB494" s="71" t="str">
        <f>IF(AND($AL494=1,$AJ494=1),$BA494*100000+ROW(),"")</f>
        <v/>
      </c>
      <c r="BC494" s="71" t="str">
        <f>IF(AND($AM494=1,$AJ494=1),$BA494*100000+ROW(),"")</f>
        <v/>
      </c>
      <c r="BD494" s="71" t="str">
        <f>IF(AND($AP494=1,$AJ494=1),$BA494*100000+ROW(),"")</f>
        <v/>
      </c>
      <c r="BE494" s="71" t="str">
        <f>IF(AND($AT494=1,$AJ494=1),$BA494*100000+ROW(),"")</f>
        <v/>
      </c>
      <c r="BF494" s="71" t="str">
        <f>IF(AND($AU494=1,$AJ494=1),$BA494*100000+ROW(),"")</f>
        <v/>
      </c>
      <c r="BG494" s="71" t="str">
        <f>IF(AND($AV494=1,$AJ494=1),$BA494*100000+ROW(),"")</f>
        <v/>
      </c>
      <c r="BH494" s="71" t="str">
        <f>IF(AND($AW494=1,$AJ494=1),$BA494*100000+ROW(),"")</f>
        <v/>
      </c>
      <c r="BI494" s="71" t="str">
        <f>IF(AND($AX494=1,$AJ494=1),$BA494*100000+ROW(),"")</f>
        <v/>
      </c>
      <c r="BJ494" s="71" t="str">
        <f>IF(AND($AS494=1,$AJ494=1),$BA494*100000+ROW(),"")</f>
        <v/>
      </c>
      <c r="BK494" s="71" t="str">
        <f>IF(AND($AY494=1,$AJ494=1),$BA494*100000+ROW(),"")</f>
        <v/>
      </c>
      <c r="BL494" s="71" t="str">
        <f>IF(AND($AZ494=1),$BA494*100000+ROW(),"")</f>
        <v/>
      </c>
    </row>
    <row r="495">
      <c r="A495" s="63" t="n"/>
      <c r="B495" s="64" t="n"/>
      <c r="C495" s="64" t="n"/>
      <c r="D495" s="64" t="n"/>
      <c r="E495" s="64" t="n"/>
      <c r="F495" s="64" t="n"/>
      <c r="G495" s="65" t="n"/>
      <c r="H495" s="65" t="n"/>
      <c r="I495" s="64" t="n"/>
      <c r="J495" s="64" t="n"/>
      <c r="K495" s="63" t="n"/>
      <c r="L495" s="63" t="n"/>
      <c r="M495" s="64" t="n"/>
      <c r="N495" s="66" t="n"/>
      <c r="O495" s="65" t="n"/>
      <c r="P495" s="64" t="n"/>
      <c r="Q495" s="67" t="n"/>
      <c r="R495" s="67" t="n"/>
      <c r="S495" s="68" t="str">
        <f>IF(AND(ISNUMBER($Q495),ISNUMBER($R495)),$Q495-$R495,"")</f>
        <v/>
      </c>
      <c r="T495" s="65" t="n"/>
      <c r="U495" s="64" t="n"/>
      <c r="V495" s="65" t="n"/>
      <c r="W495" s="63" t="n"/>
      <c r="X495" s="65" t="n"/>
      <c r="Y495" s="63" t="n"/>
      <c r="Z495" s="64" t="n"/>
      <c r="AA495" s="64" t="n"/>
      <c r="AB495" s="65" t="n"/>
      <c r="AC495" s="69" t="str">
        <f>IF(OR($G495="",NOT(ISNUMBER($K495)),$AK495=0),"",MAX(0,ReportDate-$K495))</f>
        <v/>
      </c>
      <c r="AD495" s="69" t="str">
        <f>IF($G495="","",IF($AL495=1,ReportDate-$L495,0))</f>
        <v/>
      </c>
      <c r="AE495" s="70" t="str">
        <f>IF($G495="","",IF($M495="Completed",1,IF(ISNUMBER($N495),$N495,0)))</f>
        <v/>
      </c>
      <c r="AF495" s="70" t="str">
        <f>IF(AND(ISNUMBER($Q495),ISNUMBER($R495)),IF($R495&lt;&gt;0,$Q495/$R495,""),"")</f>
        <v/>
      </c>
      <c r="AG495" s="71" t="str">
        <f>IF($G495="","",IF($AL495=1,"OVERDUE",IF($AM495=1,"BLOCKED",IF($AN495=1,"DUE TODAY",IF($AO495=1,"DUE TOMORROW",IF($AQ495=1,"HIGH PRIORITY",IF($AR495=1,"NO RECENT UPDATE",""))))))) </f>
        <v/>
      </c>
      <c r="AH495" s="71" t="str">
        <f>IF($G495="","",IF(ISNUMBER($A495),IF(ISNUMBER($A495),YEAR($A495)&amp;"-"&amp;TEXT(MONTH($A495),"00"),""),IF(ISNUMBER($L495),IF(ISNUMBER($L495),YEAR($L495)&amp;"-"&amp;TEXT(MONTH($L495),"00"),""),"")))</f>
        <v/>
      </c>
      <c r="AI495" s="71">
        <f>IF($G495="",0,IF(AND(OR(fClient="All",$C495=fClient),OR(fCampaign="All",$D495=fCampaign),OR(fTeam="All",$B495=fTeam),OR(fChannel="All",$F495=fChannel),OR(fMonth="All",$AH495=fMonth),OR(fTStatus="All",$M495=fTStatus)),1,0))</f>
        <v>0</v>
      </c>
      <c r="AJ495" s="71">
        <f>IF($G495="",0,IF(AND(OR(fClient="All",$C495=fClient),OR(fCampaign="All",$D495=fCampaign),OR(fTeam="All",$B495=fTeam),OR(fChannel="All",$F495=fChannel)),1,0))</f>
        <v>0</v>
      </c>
      <c r="AK495" s="71">
        <f>IF($G495="",0,IF(OR($M495="Completed",$M495="Cancelled"),0,1))</f>
        <v>0</v>
      </c>
      <c r="AL495" s="71">
        <f>IF(AND($AK495=1,ISNUMBER($L495)),IF($L495&lt;ReportDate,1,0),0)</f>
        <v>0</v>
      </c>
      <c r="AM495" s="71">
        <f>IF(AND($G495&lt;&gt;"",$M495="Blocked"),1,0)</f>
        <v>0</v>
      </c>
      <c r="AN495" s="71">
        <f>IF(AND($AK495=1,ISNUMBER($L495)),IF($L495=ReportDate,1,0),0)</f>
        <v>0</v>
      </c>
      <c r="AO495" s="71">
        <f>IF(AND($AK495=1,ISNUMBER($L495)),IF($L495=ReportDate+1,1,0),0)</f>
        <v>0</v>
      </c>
      <c r="AP495" s="71">
        <f>IF(AND($AK495=1,ISNUMBER($L495)),IF(AND($L495&gt;=ReportDate,$L495&lt;=ReportDate+DueSoonDays),1,0),0)</f>
        <v>0</v>
      </c>
      <c r="AQ495" s="71">
        <f>IF(AND($AK495=1,OR($I495="Critical",$I495="High")),1,0)</f>
        <v>0</v>
      </c>
      <c r="AR495" s="71">
        <f>IF($AK495=1,IF(ISNUMBER($Y495),IF(ReportDate-$Y495&gt;StaleDays,1,0),1),0)</f>
        <v>0</v>
      </c>
      <c r="AS495" s="71">
        <f>IF(AND($G495&lt;&gt;"",ISNUMBER($Q495),ISNUMBER($R495)),IF(AND($Q495&lt;$R495,OR($M495="Completed",AND(ISNUMBER($L495),$L495&lt;ReportDate))),1,0),0)</f>
        <v>0</v>
      </c>
      <c r="AT495" s="71">
        <f>IF($AK495=1,IF(OR($L495=ReportDate,$W495=ReportDate,$K495=ReportDate,$A495=ReportDate),1,0),0)</f>
        <v>0</v>
      </c>
      <c r="AU495" s="71">
        <f>IF($AK495=1,IF(OR($L495=ReportDate+1,$W495=ReportDate+1,$K495=ReportDate+1,$A495=ReportDate+1),1,0),0)</f>
        <v>0</v>
      </c>
      <c r="AV495" s="71">
        <f>IF(AND($G495&lt;&gt;"",$M495="Completed"),IF(OR($Y495=ReportDate-1,$A495=ReportDate-1),1,0),0)</f>
        <v>0</v>
      </c>
      <c r="AW495" s="71">
        <f>IF(AND($AK495=1,$Z495="Yes"),1,0)</f>
        <v>0</v>
      </c>
      <c r="AX495" s="71">
        <f>IF(AND($AK495=1,$AA495="Yes"),1,0)</f>
        <v>0</v>
      </c>
      <c r="AY495" s="71">
        <f>IF(AND($AM495=1,OR($I495="Critical",$I495="High")),1,0)</f>
        <v>0</v>
      </c>
      <c r="AZ495" s="71">
        <f>IF(AND($AK495=1,OR($C495=TCL_Client,$C495=MECCA_Client)),1,0)</f>
        <v>0</v>
      </c>
      <c r="BA495" s="71" t="str">
        <f>IF($G495="","",IFERROR(MATCH($I495,lst_Priority,0),5))</f>
        <v/>
      </c>
      <c r="BB495" s="71" t="str">
        <f>IF(AND($AL495=1,$AJ495=1),$BA495*100000+ROW(),"")</f>
        <v/>
      </c>
      <c r="BC495" s="71" t="str">
        <f>IF(AND($AM495=1,$AJ495=1),$BA495*100000+ROW(),"")</f>
        <v/>
      </c>
      <c r="BD495" s="71" t="str">
        <f>IF(AND($AP495=1,$AJ495=1),$BA495*100000+ROW(),"")</f>
        <v/>
      </c>
      <c r="BE495" s="71" t="str">
        <f>IF(AND($AT495=1,$AJ495=1),$BA495*100000+ROW(),"")</f>
        <v/>
      </c>
      <c r="BF495" s="71" t="str">
        <f>IF(AND($AU495=1,$AJ495=1),$BA495*100000+ROW(),"")</f>
        <v/>
      </c>
      <c r="BG495" s="71" t="str">
        <f>IF(AND($AV495=1,$AJ495=1),$BA495*100000+ROW(),"")</f>
        <v/>
      </c>
      <c r="BH495" s="71" t="str">
        <f>IF(AND($AW495=1,$AJ495=1),$BA495*100000+ROW(),"")</f>
        <v/>
      </c>
      <c r="BI495" s="71" t="str">
        <f>IF(AND($AX495=1,$AJ495=1),$BA495*100000+ROW(),"")</f>
        <v/>
      </c>
      <c r="BJ495" s="71" t="str">
        <f>IF(AND($AS495=1,$AJ495=1),$BA495*100000+ROW(),"")</f>
        <v/>
      </c>
      <c r="BK495" s="71" t="str">
        <f>IF(AND($AY495=1,$AJ495=1),$BA495*100000+ROW(),"")</f>
        <v/>
      </c>
      <c r="BL495" s="71" t="str">
        <f>IF(AND($AZ495=1),$BA495*100000+ROW(),"")</f>
        <v/>
      </c>
    </row>
    <row r="496">
      <c r="A496" s="63" t="n"/>
      <c r="B496" s="64" t="n"/>
      <c r="C496" s="64" t="n"/>
      <c r="D496" s="64" t="n"/>
      <c r="E496" s="64" t="n"/>
      <c r="F496" s="64" t="n"/>
      <c r="G496" s="65" t="n"/>
      <c r="H496" s="65" t="n"/>
      <c r="I496" s="64" t="n"/>
      <c r="J496" s="64" t="n"/>
      <c r="K496" s="63" t="n"/>
      <c r="L496" s="63" t="n"/>
      <c r="M496" s="64" t="n"/>
      <c r="N496" s="66" t="n"/>
      <c r="O496" s="65" t="n"/>
      <c r="P496" s="64" t="n"/>
      <c r="Q496" s="67" t="n"/>
      <c r="R496" s="67" t="n"/>
      <c r="S496" s="68" t="str">
        <f>IF(AND(ISNUMBER($Q496),ISNUMBER($R496)),$Q496-$R496,"")</f>
        <v/>
      </c>
      <c r="T496" s="65" t="n"/>
      <c r="U496" s="64" t="n"/>
      <c r="V496" s="65" t="n"/>
      <c r="W496" s="63" t="n"/>
      <c r="X496" s="65" t="n"/>
      <c r="Y496" s="63" t="n"/>
      <c r="Z496" s="64" t="n"/>
      <c r="AA496" s="64" t="n"/>
      <c r="AB496" s="65" t="n"/>
      <c r="AC496" s="69" t="str">
        <f>IF(OR($G496="",NOT(ISNUMBER($K496)),$AK496=0),"",MAX(0,ReportDate-$K496))</f>
        <v/>
      </c>
      <c r="AD496" s="69" t="str">
        <f>IF($G496="","",IF($AL496=1,ReportDate-$L496,0))</f>
        <v/>
      </c>
      <c r="AE496" s="70" t="str">
        <f>IF($G496="","",IF($M496="Completed",1,IF(ISNUMBER($N496),$N496,0)))</f>
        <v/>
      </c>
      <c r="AF496" s="70" t="str">
        <f>IF(AND(ISNUMBER($Q496),ISNUMBER($R496)),IF($R496&lt;&gt;0,$Q496/$R496,""),"")</f>
        <v/>
      </c>
      <c r="AG496" s="71" t="str">
        <f>IF($G496="","",IF($AL496=1,"OVERDUE",IF($AM496=1,"BLOCKED",IF($AN496=1,"DUE TODAY",IF($AO496=1,"DUE TOMORROW",IF($AQ496=1,"HIGH PRIORITY",IF($AR496=1,"NO RECENT UPDATE",""))))))) </f>
        <v/>
      </c>
      <c r="AH496" s="71" t="str">
        <f>IF($G496="","",IF(ISNUMBER($A496),IF(ISNUMBER($A496),YEAR($A496)&amp;"-"&amp;TEXT(MONTH($A496),"00"),""),IF(ISNUMBER($L496),IF(ISNUMBER($L496),YEAR($L496)&amp;"-"&amp;TEXT(MONTH($L496),"00"),""),"")))</f>
        <v/>
      </c>
      <c r="AI496" s="71">
        <f>IF($G496="",0,IF(AND(OR(fClient="All",$C496=fClient),OR(fCampaign="All",$D496=fCampaign),OR(fTeam="All",$B496=fTeam),OR(fChannel="All",$F496=fChannel),OR(fMonth="All",$AH496=fMonth),OR(fTStatus="All",$M496=fTStatus)),1,0))</f>
        <v>0</v>
      </c>
      <c r="AJ496" s="71">
        <f>IF($G496="",0,IF(AND(OR(fClient="All",$C496=fClient),OR(fCampaign="All",$D496=fCampaign),OR(fTeam="All",$B496=fTeam),OR(fChannel="All",$F496=fChannel)),1,0))</f>
        <v>0</v>
      </c>
      <c r="AK496" s="71">
        <f>IF($G496="",0,IF(OR($M496="Completed",$M496="Cancelled"),0,1))</f>
        <v>0</v>
      </c>
      <c r="AL496" s="71">
        <f>IF(AND($AK496=1,ISNUMBER($L496)),IF($L496&lt;ReportDate,1,0),0)</f>
        <v>0</v>
      </c>
      <c r="AM496" s="71">
        <f>IF(AND($G496&lt;&gt;"",$M496="Blocked"),1,0)</f>
        <v>0</v>
      </c>
      <c r="AN496" s="71">
        <f>IF(AND($AK496=1,ISNUMBER($L496)),IF($L496=ReportDate,1,0),0)</f>
        <v>0</v>
      </c>
      <c r="AO496" s="71">
        <f>IF(AND($AK496=1,ISNUMBER($L496)),IF($L496=ReportDate+1,1,0),0)</f>
        <v>0</v>
      </c>
      <c r="AP496" s="71">
        <f>IF(AND($AK496=1,ISNUMBER($L496)),IF(AND($L496&gt;=ReportDate,$L496&lt;=ReportDate+DueSoonDays),1,0),0)</f>
        <v>0</v>
      </c>
      <c r="AQ496" s="71">
        <f>IF(AND($AK496=1,OR($I496="Critical",$I496="High")),1,0)</f>
        <v>0</v>
      </c>
      <c r="AR496" s="71">
        <f>IF($AK496=1,IF(ISNUMBER($Y496),IF(ReportDate-$Y496&gt;StaleDays,1,0),1),0)</f>
        <v>0</v>
      </c>
      <c r="AS496" s="71">
        <f>IF(AND($G496&lt;&gt;"",ISNUMBER($Q496),ISNUMBER($R496)),IF(AND($Q496&lt;$R496,OR($M496="Completed",AND(ISNUMBER($L496),$L496&lt;ReportDate))),1,0),0)</f>
        <v>0</v>
      </c>
      <c r="AT496" s="71">
        <f>IF($AK496=1,IF(OR($L496=ReportDate,$W496=ReportDate,$K496=ReportDate,$A496=ReportDate),1,0),0)</f>
        <v>0</v>
      </c>
      <c r="AU496" s="71">
        <f>IF($AK496=1,IF(OR($L496=ReportDate+1,$W496=ReportDate+1,$K496=ReportDate+1,$A496=ReportDate+1),1,0),0)</f>
        <v>0</v>
      </c>
      <c r="AV496" s="71">
        <f>IF(AND($G496&lt;&gt;"",$M496="Completed"),IF(OR($Y496=ReportDate-1,$A496=ReportDate-1),1,0),0)</f>
        <v>0</v>
      </c>
      <c r="AW496" s="71">
        <f>IF(AND($AK496=1,$Z496="Yes"),1,0)</f>
        <v>0</v>
      </c>
      <c r="AX496" s="71">
        <f>IF(AND($AK496=1,$AA496="Yes"),1,0)</f>
        <v>0</v>
      </c>
      <c r="AY496" s="71">
        <f>IF(AND($AM496=1,OR($I496="Critical",$I496="High")),1,0)</f>
        <v>0</v>
      </c>
      <c r="AZ496" s="71">
        <f>IF(AND($AK496=1,OR($C496=TCL_Client,$C496=MECCA_Client)),1,0)</f>
        <v>0</v>
      </c>
      <c r="BA496" s="71" t="str">
        <f>IF($G496="","",IFERROR(MATCH($I496,lst_Priority,0),5))</f>
        <v/>
      </c>
      <c r="BB496" s="71" t="str">
        <f>IF(AND($AL496=1,$AJ496=1),$BA496*100000+ROW(),"")</f>
        <v/>
      </c>
      <c r="BC496" s="71" t="str">
        <f>IF(AND($AM496=1,$AJ496=1),$BA496*100000+ROW(),"")</f>
        <v/>
      </c>
      <c r="BD496" s="71" t="str">
        <f>IF(AND($AP496=1,$AJ496=1),$BA496*100000+ROW(),"")</f>
        <v/>
      </c>
      <c r="BE496" s="71" t="str">
        <f>IF(AND($AT496=1,$AJ496=1),$BA496*100000+ROW(),"")</f>
        <v/>
      </c>
      <c r="BF496" s="71" t="str">
        <f>IF(AND($AU496=1,$AJ496=1),$BA496*100000+ROW(),"")</f>
        <v/>
      </c>
      <c r="BG496" s="71" t="str">
        <f>IF(AND($AV496=1,$AJ496=1),$BA496*100000+ROW(),"")</f>
        <v/>
      </c>
      <c r="BH496" s="71" t="str">
        <f>IF(AND($AW496=1,$AJ496=1),$BA496*100000+ROW(),"")</f>
        <v/>
      </c>
      <c r="BI496" s="71" t="str">
        <f>IF(AND($AX496=1,$AJ496=1),$BA496*100000+ROW(),"")</f>
        <v/>
      </c>
      <c r="BJ496" s="71" t="str">
        <f>IF(AND($AS496=1,$AJ496=1),$BA496*100000+ROW(),"")</f>
        <v/>
      </c>
      <c r="BK496" s="71" t="str">
        <f>IF(AND($AY496=1,$AJ496=1),$BA496*100000+ROW(),"")</f>
        <v/>
      </c>
      <c r="BL496" s="71" t="str">
        <f>IF(AND($AZ496=1),$BA496*100000+ROW(),"")</f>
        <v/>
      </c>
    </row>
    <row r="497">
      <c r="A497" s="63" t="n"/>
      <c r="B497" s="64" t="n"/>
      <c r="C497" s="64" t="n"/>
      <c r="D497" s="64" t="n"/>
      <c r="E497" s="64" t="n"/>
      <c r="F497" s="64" t="n"/>
      <c r="G497" s="65" t="n"/>
      <c r="H497" s="65" t="n"/>
      <c r="I497" s="64" t="n"/>
      <c r="J497" s="64" t="n"/>
      <c r="K497" s="63" t="n"/>
      <c r="L497" s="63" t="n"/>
      <c r="M497" s="64" t="n"/>
      <c r="N497" s="66" t="n"/>
      <c r="O497" s="65" t="n"/>
      <c r="P497" s="64" t="n"/>
      <c r="Q497" s="67" t="n"/>
      <c r="R497" s="67" t="n"/>
      <c r="S497" s="68" t="str">
        <f>IF(AND(ISNUMBER($Q497),ISNUMBER($R497)),$Q497-$R497,"")</f>
        <v/>
      </c>
      <c r="T497" s="65" t="n"/>
      <c r="U497" s="64" t="n"/>
      <c r="V497" s="65" t="n"/>
      <c r="W497" s="63" t="n"/>
      <c r="X497" s="65" t="n"/>
      <c r="Y497" s="63" t="n"/>
      <c r="Z497" s="64" t="n"/>
      <c r="AA497" s="64" t="n"/>
      <c r="AB497" s="65" t="n"/>
      <c r="AC497" s="69" t="str">
        <f>IF(OR($G497="",NOT(ISNUMBER($K497)),$AK497=0),"",MAX(0,ReportDate-$K497))</f>
        <v/>
      </c>
      <c r="AD497" s="69" t="str">
        <f>IF($G497="","",IF($AL497=1,ReportDate-$L497,0))</f>
        <v/>
      </c>
      <c r="AE497" s="70" t="str">
        <f>IF($G497="","",IF($M497="Completed",1,IF(ISNUMBER($N497),$N497,0)))</f>
        <v/>
      </c>
      <c r="AF497" s="70" t="str">
        <f>IF(AND(ISNUMBER($Q497),ISNUMBER($R497)),IF($R497&lt;&gt;0,$Q497/$R497,""),"")</f>
        <v/>
      </c>
      <c r="AG497" s="71" t="str">
        <f>IF($G497="","",IF($AL497=1,"OVERDUE",IF($AM497=1,"BLOCKED",IF($AN497=1,"DUE TODAY",IF($AO497=1,"DUE TOMORROW",IF($AQ497=1,"HIGH PRIORITY",IF($AR497=1,"NO RECENT UPDATE",""))))))) </f>
        <v/>
      </c>
      <c r="AH497" s="71" t="str">
        <f>IF($G497="","",IF(ISNUMBER($A497),IF(ISNUMBER($A497),YEAR($A497)&amp;"-"&amp;TEXT(MONTH($A497),"00"),""),IF(ISNUMBER($L497),IF(ISNUMBER($L497),YEAR($L497)&amp;"-"&amp;TEXT(MONTH($L497),"00"),""),"")))</f>
        <v/>
      </c>
      <c r="AI497" s="71">
        <f>IF($G497="",0,IF(AND(OR(fClient="All",$C497=fClient),OR(fCampaign="All",$D497=fCampaign),OR(fTeam="All",$B497=fTeam),OR(fChannel="All",$F497=fChannel),OR(fMonth="All",$AH497=fMonth),OR(fTStatus="All",$M497=fTStatus)),1,0))</f>
        <v>0</v>
      </c>
      <c r="AJ497" s="71">
        <f>IF($G497="",0,IF(AND(OR(fClient="All",$C497=fClient),OR(fCampaign="All",$D497=fCampaign),OR(fTeam="All",$B497=fTeam),OR(fChannel="All",$F497=fChannel)),1,0))</f>
        <v>0</v>
      </c>
      <c r="AK497" s="71">
        <f>IF($G497="",0,IF(OR($M497="Completed",$M497="Cancelled"),0,1))</f>
        <v>0</v>
      </c>
      <c r="AL497" s="71">
        <f>IF(AND($AK497=1,ISNUMBER($L497)),IF($L497&lt;ReportDate,1,0),0)</f>
        <v>0</v>
      </c>
      <c r="AM497" s="71">
        <f>IF(AND($G497&lt;&gt;"",$M497="Blocked"),1,0)</f>
        <v>0</v>
      </c>
      <c r="AN497" s="71">
        <f>IF(AND($AK497=1,ISNUMBER($L497)),IF($L497=ReportDate,1,0),0)</f>
        <v>0</v>
      </c>
      <c r="AO497" s="71">
        <f>IF(AND($AK497=1,ISNUMBER($L497)),IF($L497=ReportDate+1,1,0),0)</f>
        <v>0</v>
      </c>
      <c r="AP497" s="71">
        <f>IF(AND($AK497=1,ISNUMBER($L497)),IF(AND($L497&gt;=ReportDate,$L497&lt;=ReportDate+DueSoonDays),1,0),0)</f>
        <v>0</v>
      </c>
      <c r="AQ497" s="71">
        <f>IF(AND($AK497=1,OR($I497="Critical",$I497="High")),1,0)</f>
        <v>0</v>
      </c>
      <c r="AR497" s="71">
        <f>IF($AK497=1,IF(ISNUMBER($Y497),IF(ReportDate-$Y497&gt;StaleDays,1,0),1),0)</f>
        <v>0</v>
      </c>
      <c r="AS497" s="71">
        <f>IF(AND($G497&lt;&gt;"",ISNUMBER($Q497),ISNUMBER($R497)),IF(AND($Q497&lt;$R497,OR($M497="Completed",AND(ISNUMBER($L497),$L497&lt;ReportDate))),1,0),0)</f>
        <v>0</v>
      </c>
      <c r="AT497" s="71">
        <f>IF($AK497=1,IF(OR($L497=ReportDate,$W497=ReportDate,$K497=ReportDate,$A497=ReportDate),1,0),0)</f>
        <v>0</v>
      </c>
      <c r="AU497" s="71">
        <f>IF($AK497=1,IF(OR($L497=ReportDate+1,$W497=ReportDate+1,$K497=ReportDate+1,$A497=ReportDate+1),1,0),0)</f>
        <v>0</v>
      </c>
      <c r="AV497" s="71">
        <f>IF(AND($G497&lt;&gt;"",$M497="Completed"),IF(OR($Y497=ReportDate-1,$A497=ReportDate-1),1,0),0)</f>
        <v>0</v>
      </c>
      <c r="AW497" s="71">
        <f>IF(AND($AK497=1,$Z497="Yes"),1,0)</f>
        <v>0</v>
      </c>
      <c r="AX497" s="71">
        <f>IF(AND($AK497=1,$AA497="Yes"),1,0)</f>
        <v>0</v>
      </c>
      <c r="AY497" s="71">
        <f>IF(AND($AM497=1,OR($I497="Critical",$I497="High")),1,0)</f>
        <v>0</v>
      </c>
      <c r="AZ497" s="71">
        <f>IF(AND($AK497=1,OR($C497=TCL_Client,$C497=MECCA_Client)),1,0)</f>
        <v>0</v>
      </c>
      <c r="BA497" s="71" t="str">
        <f>IF($G497="","",IFERROR(MATCH($I497,lst_Priority,0),5))</f>
        <v/>
      </c>
      <c r="BB497" s="71" t="str">
        <f>IF(AND($AL497=1,$AJ497=1),$BA497*100000+ROW(),"")</f>
        <v/>
      </c>
      <c r="BC497" s="71" t="str">
        <f>IF(AND($AM497=1,$AJ497=1),$BA497*100000+ROW(),"")</f>
        <v/>
      </c>
      <c r="BD497" s="71" t="str">
        <f>IF(AND($AP497=1,$AJ497=1),$BA497*100000+ROW(),"")</f>
        <v/>
      </c>
      <c r="BE497" s="71" t="str">
        <f>IF(AND($AT497=1,$AJ497=1),$BA497*100000+ROW(),"")</f>
        <v/>
      </c>
      <c r="BF497" s="71" t="str">
        <f>IF(AND($AU497=1,$AJ497=1),$BA497*100000+ROW(),"")</f>
        <v/>
      </c>
      <c r="BG497" s="71" t="str">
        <f>IF(AND($AV497=1,$AJ497=1),$BA497*100000+ROW(),"")</f>
        <v/>
      </c>
      <c r="BH497" s="71" t="str">
        <f>IF(AND($AW497=1,$AJ497=1),$BA497*100000+ROW(),"")</f>
        <v/>
      </c>
      <c r="BI497" s="71" t="str">
        <f>IF(AND($AX497=1,$AJ497=1),$BA497*100000+ROW(),"")</f>
        <v/>
      </c>
      <c r="BJ497" s="71" t="str">
        <f>IF(AND($AS497=1,$AJ497=1),$BA497*100000+ROW(),"")</f>
        <v/>
      </c>
      <c r="BK497" s="71" t="str">
        <f>IF(AND($AY497=1,$AJ497=1),$BA497*100000+ROW(),"")</f>
        <v/>
      </c>
      <c r="BL497" s="71" t="str">
        <f>IF(AND($AZ497=1),$BA497*100000+ROW(),"")</f>
        <v/>
      </c>
    </row>
    <row r="498">
      <c r="A498" s="63" t="n"/>
      <c r="B498" s="64" t="n"/>
      <c r="C498" s="64" t="n"/>
      <c r="D498" s="64" t="n"/>
      <c r="E498" s="64" t="n"/>
      <c r="F498" s="64" t="n"/>
      <c r="G498" s="65" t="n"/>
      <c r="H498" s="65" t="n"/>
      <c r="I498" s="64" t="n"/>
      <c r="J498" s="64" t="n"/>
      <c r="K498" s="63" t="n"/>
      <c r="L498" s="63" t="n"/>
      <c r="M498" s="64" t="n"/>
      <c r="N498" s="66" t="n"/>
      <c r="O498" s="65" t="n"/>
      <c r="P498" s="64" t="n"/>
      <c r="Q498" s="67" t="n"/>
      <c r="R498" s="67" t="n"/>
      <c r="S498" s="68" t="str">
        <f>IF(AND(ISNUMBER($Q498),ISNUMBER($R498)),$Q498-$R498,"")</f>
        <v/>
      </c>
      <c r="T498" s="65" t="n"/>
      <c r="U498" s="64" t="n"/>
      <c r="V498" s="65" t="n"/>
      <c r="W498" s="63" t="n"/>
      <c r="X498" s="65" t="n"/>
      <c r="Y498" s="63" t="n"/>
      <c r="Z498" s="64" t="n"/>
      <c r="AA498" s="64" t="n"/>
      <c r="AB498" s="65" t="n"/>
      <c r="AC498" s="69" t="str">
        <f>IF(OR($G498="",NOT(ISNUMBER($K498)),$AK498=0),"",MAX(0,ReportDate-$K498))</f>
        <v/>
      </c>
      <c r="AD498" s="69" t="str">
        <f>IF($G498="","",IF($AL498=1,ReportDate-$L498,0))</f>
        <v/>
      </c>
      <c r="AE498" s="70" t="str">
        <f>IF($G498="","",IF($M498="Completed",1,IF(ISNUMBER($N498),$N498,0)))</f>
        <v/>
      </c>
      <c r="AF498" s="70" t="str">
        <f>IF(AND(ISNUMBER($Q498),ISNUMBER($R498)),IF($R498&lt;&gt;0,$Q498/$R498,""),"")</f>
        <v/>
      </c>
      <c r="AG498" s="71" t="str">
        <f>IF($G498="","",IF($AL498=1,"OVERDUE",IF($AM498=1,"BLOCKED",IF($AN498=1,"DUE TODAY",IF($AO498=1,"DUE TOMORROW",IF($AQ498=1,"HIGH PRIORITY",IF($AR498=1,"NO RECENT UPDATE",""))))))) </f>
        <v/>
      </c>
      <c r="AH498" s="71" t="str">
        <f>IF($G498="","",IF(ISNUMBER($A498),IF(ISNUMBER($A498),YEAR($A498)&amp;"-"&amp;TEXT(MONTH($A498),"00"),""),IF(ISNUMBER($L498),IF(ISNUMBER($L498),YEAR($L498)&amp;"-"&amp;TEXT(MONTH($L498),"00"),""),"")))</f>
        <v/>
      </c>
      <c r="AI498" s="71">
        <f>IF($G498="",0,IF(AND(OR(fClient="All",$C498=fClient),OR(fCampaign="All",$D498=fCampaign),OR(fTeam="All",$B498=fTeam),OR(fChannel="All",$F498=fChannel),OR(fMonth="All",$AH498=fMonth),OR(fTStatus="All",$M498=fTStatus)),1,0))</f>
        <v>0</v>
      </c>
      <c r="AJ498" s="71">
        <f>IF($G498="",0,IF(AND(OR(fClient="All",$C498=fClient),OR(fCampaign="All",$D498=fCampaign),OR(fTeam="All",$B498=fTeam),OR(fChannel="All",$F498=fChannel)),1,0))</f>
        <v>0</v>
      </c>
      <c r="AK498" s="71">
        <f>IF($G498="",0,IF(OR($M498="Completed",$M498="Cancelled"),0,1))</f>
        <v>0</v>
      </c>
      <c r="AL498" s="71">
        <f>IF(AND($AK498=1,ISNUMBER($L498)),IF($L498&lt;ReportDate,1,0),0)</f>
        <v>0</v>
      </c>
      <c r="AM498" s="71">
        <f>IF(AND($G498&lt;&gt;"",$M498="Blocked"),1,0)</f>
        <v>0</v>
      </c>
      <c r="AN498" s="71">
        <f>IF(AND($AK498=1,ISNUMBER($L498)),IF($L498=ReportDate,1,0),0)</f>
        <v>0</v>
      </c>
      <c r="AO498" s="71">
        <f>IF(AND($AK498=1,ISNUMBER($L498)),IF($L498=ReportDate+1,1,0),0)</f>
        <v>0</v>
      </c>
      <c r="AP498" s="71">
        <f>IF(AND($AK498=1,ISNUMBER($L498)),IF(AND($L498&gt;=ReportDate,$L498&lt;=ReportDate+DueSoonDays),1,0),0)</f>
        <v>0</v>
      </c>
      <c r="AQ498" s="71">
        <f>IF(AND($AK498=1,OR($I498="Critical",$I498="High")),1,0)</f>
        <v>0</v>
      </c>
      <c r="AR498" s="71">
        <f>IF($AK498=1,IF(ISNUMBER($Y498),IF(ReportDate-$Y498&gt;StaleDays,1,0),1),0)</f>
        <v>0</v>
      </c>
      <c r="AS498" s="71">
        <f>IF(AND($G498&lt;&gt;"",ISNUMBER($Q498),ISNUMBER($R498)),IF(AND($Q498&lt;$R498,OR($M498="Completed",AND(ISNUMBER($L498),$L498&lt;ReportDate))),1,0),0)</f>
        <v>0</v>
      </c>
      <c r="AT498" s="71">
        <f>IF($AK498=1,IF(OR($L498=ReportDate,$W498=ReportDate,$K498=ReportDate,$A498=ReportDate),1,0),0)</f>
        <v>0</v>
      </c>
      <c r="AU498" s="71">
        <f>IF($AK498=1,IF(OR($L498=ReportDate+1,$W498=ReportDate+1,$K498=ReportDate+1,$A498=ReportDate+1),1,0),0)</f>
        <v>0</v>
      </c>
      <c r="AV498" s="71">
        <f>IF(AND($G498&lt;&gt;"",$M498="Completed"),IF(OR($Y498=ReportDate-1,$A498=ReportDate-1),1,0),0)</f>
        <v>0</v>
      </c>
      <c r="AW498" s="71">
        <f>IF(AND($AK498=1,$Z498="Yes"),1,0)</f>
        <v>0</v>
      </c>
      <c r="AX498" s="71">
        <f>IF(AND($AK498=1,$AA498="Yes"),1,0)</f>
        <v>0</v>
      </c>
      <c r="AY498" s="71">
        <f>IF(AND($AM498=1,OR($I498="Critical",$I498="High")),1,0)</f>
        <v>0</v>
      </c>
      <c r="AZ498" s="71">
        <f>IF(AND($AK498=1,OR($C498=TCL_Client,$C498=MECCA_Client)),1,0)</f>
        <v>0</v>
      </c>
      <c r="BA498" s="71" t="str">
        <f>IF($G498="","",IFERROR(MATCH($I498,lst_Priority,0),5))</f>
        <v/>
      </c>
      <c r="BB498" s="71" t="str">
        <f>IF(AND($AL498=1,$AJ498=1),$BA498*100000+ROW(),"")</f>
        <v/>
      </c>
      <c r="BC498" s="71" t="str">
        <f>IF(AND($AM498=1,$AJ498=1),$BA498*100000+ROW(),"")</f>
        <v/>
      </c>
      <c r="BD498" s="71" t="str">
        <f>IF(AND($AP498=1,$AJ498=1),$BA498*100000+ROW(),"")</f>
        <v/>
      </c>
      <c r="BE498" s="71" t="str">
        <f>IF(AND($AT498=1,$AJ498=1),$BA498*100000+ROW(),"")</f>
        <v/>
      </c>
      <c r="BF498" s="71" t="str">
        <f>IF(AND($AU498=1,$AJ498=1),$BA498*100000+ROW(),"")</f>
        <v/>
      </c>
      <c r="BG498" s="71" t="str">
        <f>IF(AND($AV498=1,$AJ498=1),$BA498*100000+ROW(),"")</f>
        <v/>
      </c>
      <c r="BH498" s="71" t="str">
        <f>IF(AND($AW498=1,$AJ498=1),$BA498*100000+ROW(),"")</f>
        <v/>
      </c>
      <c r="BI498" s="71" t="str">
        <f>IF(AND($AX498=1,$AJ498=1),$BA498*100000+ROW(),"")</f>
        <v/>
      </c>
      <c r="BJ498" s="71" t="str">
        <f>IF(AND($AS498=1,$AJ498=1),$BA498*100000+ROW(),"")</f>
        <v/>
      </c>
      <c r="BK498" s="71" t="str">
        <f>IF(AND($AY498=1,$AJ498=1),$BA498*100000+ROW(),"")</f>
        <v/>
      </c>
      <c r="BL498" s="71" t="str">
        <f>IF(AND($AZ498=1),$BA498*100000+ROW(),"")</f>
        <v/>
      </c>
    </row>
    <row r="499">
      <c r="A499" s="63" t="n"/>
      <c r="B499" s="64" t="n"/>
      <c r="C499" s="64" t="n"/>
      <c r="D499" s="64" t="n"/>
      <c r="E499" s="64" t="n"/>
      <c r="F499" s="64" t="n"/>
      <c r="G499" s="65" t="n"/>
      <c r="H499" s="65" t="n"/>
      <c r="I499" s="64" t="n"/>
      <c r="J499" s="64" t="n"/>
      <c r="K499" s="63" t="n"/>
      <c r="L499" s="63" t="n"/>
      <c r="M499" s="64" t="n"/>
      <c r="N499" s="66" t="n"/>
      <c r="O499" s="65" t="n"/>
      <c r="P499" s="64" t="n"/>
      <c r="Q499" s="67" t="n"/>
      <c r="R499" s="67" t="n"/>
      <c r="S499" s="68" t="str">
        <f>IF(AND(ISNUMBER($Q499),ISNUMBER($R499)),$Q499-$R499,"")</f>
        <v/>
      </c>
      <c r="T499" s="65" t="n"/>
      <c r="U499" s="64" t="n"/>
      <c r="V499" s="65" t="n"/>
      <c r="W499" s="63" t="n"/>
      <c r="X499" s="65" t="n"/>
      <c r="Y499" s="63" t="n"/>
      <c r="Z499" s="64" t="n"/>
      <c r="AA499" s="64" t="n"/>
      <c r="AB499" s="65" t="n"/>
      <c r="AC499" s="69" t="str">
        <f>IF(OR($G499="",NOT(ISNUMBER($K499)),$AK499=0),"",MAX(0,ReportDate-$K499))</f>
        <v/>
      </c>
      <c r="AD499" s="69" t="str">
        <f>IF($G499="","",IF($AL499=1,ReportDate-$L499,0))</f>
        <v/>
      </c>
      <c r="AE499" s="70" t="str">
        <f>IF($G499="","",IF($M499="Completed",1,IF(ISNUMBER($N499),$N499,0)))</f>
        <v/>
      </c>
      <c r="AF499" s="70" t="str">
        <f>IF(AND(ISNUMBER($Q499),ISNUMBER($R499)),IF($R499&lt;&gt;0,$Q499/$R499,""),"")</f>
        <v/>
      </c>
      <c r="AG499" s="71" t="str">
        <f>IF($G499="","",IF($AL499=1,"OVERDUE",IF($AM499=1,"BLOCKED",IF($AN499=1,"DUE TODAY",IF($AO499=1,"DUE TOMORROW",IF($AQ499=1,"HIGH PRIORITY",IF($AR499=1,"NO RECENT UPDATE",""))))))) </f>
        <v/>
      </c>
      <c r="AH499" s="71" t="str">
        <f>IF($G499="","",IF(ISNUMBER($A499),IF(ISNUMBER($A499),YEAR($A499)&amp;"-"&amp;TEXT(MONTH($A499),"00"),""),IF(ISNUMBER($L499),IF(ISNUMBER($L499),YEAR($L499)&amp;"-"&amp;TEXT(MONTH($L499),"00"),""),"")))</f>
        <v/>
      </c>
      <c r="AI499" s="71">
        <f>IF($G499="",0,IF(AND(OR(fClient="All",$C499=fClient),OR(fCampaign="All",$D499=fCampaign),OR(fTeam="All",$B499=fTeam),OR(fChannel="All",$F499=fChannel),OR(fMonth="All",$AH499=fMonth),OR(fTStatus="All",$M499=fTStatus)),1,0))</f>
        <v>0</v>
      </c>
      <c r="AJ499" s="71">
        <f>IF($G499="",0,IF(AND(OR(fClient="All",$C499=fClient),OR(fCampaign="All",$D499=fCampaign),OR(fTeam="All",$B499=fTeam),OR(fChannel="All",$F499=fChannel)),1,0))</f>
        <v>0</v>
      </c>
      <c r="AK499" s="71">
        <f>IF($G499="",0,IF(OR($M499="Completed",$M499="Cancelled"),0,1))</f>
        <v>0</v>
      </c>
      <c r="AL499" s="71">
        <f>IF(AND($AK499=1,ISNUMBER($L499)),IF($L499&lt;ReportDate,1,0),0)</f>
        <v>0</v>
      </c>
      <c r="AM499" s="71">
        <f>IF(AND($G499&lt;&gt;"",$M499="Blocked"),1,0)</f>
        <v>0</v>
      </c>
      <c r="AN499" s="71">
        <f>IF(AND($AK499=1,ISNUMBER($L499)),IF($L499=ReportDate,1,0),0)</f>
        <v>0</v>
      </c>
      <c r="AO499" s="71">
        <f>IF(AND($AK499=1,ISNUMBER($L499)),IF($L499=ReportDate+1,1,0),0)</f>
        <v>0</v>
      </c>
      <c r="AP499" s="71">
        <f>IF(AND($AK499=1,ISNUMBER($L499)),IF(AND($L499&gt;=ReportDate,$L499&lt;=ReportDate+DueSoonDays),1,0),0)</f>
        <v>0</v>
      </c>
      <c r="AQ499" s="71">
        <f>IF(AND($AK499=1,OR($I499="Critical",$I499="High")),1,0)</f>
        <v>0</v>
      </c>
      <c r="AR499" s="71">
        <f>IF($AK499=1,IF(ISNUMBER($Y499),IF(ReportDate-$Y499&gt;StaleDays,1,0),1),0)</f>
        <v>0</v>
      </c>
      <c r="AS499" s="71">
        <f>IF(AND($G499&lt;&gt;"",ISNUMBER($Q499),ISNUMBER($R499)),IF(AND($Q499&lt;$R499,OR($M499="Completed",AND(ISNUMBER($L499),$L499&lt;ReportDate))),1,0),0)</f>
        <v>0</v>
      </c>
      <c r="AT499" s="71">
        <f>IF($AK499=1,IF(OR($L499=ReportDate,$W499=ReportDate,$K499=ReportDate,$A499=ReportDate),1,0),0)</f>
        <v>0</v>
      </c>
      <c r="AU499" s="71">
        <f>IF($AK499=1,IF(OR($L499=ReportDate+1,$W499=ReportDate+1,$K499=ReportDate+1,$A499=ReportDate+1),1,0),0)</f>
        <v>0</v>
      </c>
      <c r="AV499" s="71">
        <f>IF(AND($G499&lt;&gt;"",$M499="Completed"),IF(OR($Y499=ReportDate-1,$A499=ReportDate-1),1,0),0)</f>
        <v>0</v>
      </c>
      <c r="AW499" s="71">
        <f>IF(AND($AK499=1,$Z499="Yes"),1,0)</f>
        <v>0</v>
      </c>
      <c r="AX499" s="71">
        <f>IF(AND($AK499=1,$AA499="Yes"),1,0)</f>
        <v>0</v>
      </c>
      <c r="AY499" s="71">
        <f>IF(AND($AM499=1,OR($I499="Critical",$I499="High")),1,0)</f>
        <v>0</v>
      </c>
      <c r="AZ499" s="71">
        <f>IF(AND($AK499=1,OR($C499=TCL_Client,$C499=MECCA_Client)),1,0)</f>
        <v>0</v>
      </c>
      <c r="BA499" s="71" t="str">
        <f>IF($G499="","",IFERROR(MATCH($I499,lst_Priority,0),5))</f>
        <v/>
      </c>
      <c r="BB499" s="71" t="str">
        <f>IF(AND($AL499=1,$AJ499=1),$BA499*100000+ROW(),"")</f>
        <v/>
      </c>
      <c r="BC499" s="71" t="str">
        <f>IF(AND($AM499=1,$AJ499=1),$BA499*100000+ROW(),"")</f>
        <v/>
      </c>
      <c r="BD499" s="71" t="str">
        <f>IF(AND($AP499=1,$AJ499=1),$BA499*100000+ROW(),"")</f>
        <v/>
      </c>
      <c r="BE499" s="71" t="str">
        <f>IF(AND($AT499=1,$AJ499=1),$BA499*100000+ROW(),"")</f>
        <v/>
      </c>
      <c r="BF499" s="71" t="str">
        <f>IF(AND($AU499=1,$AJ499=1),$BA499*100000+ROW(),"")</f>
        <v/>
      </c>
      <c r="BG499" s="71" t="str">
        <f>IF(AND($AV499=1,$AJ499=1),$BA499*100000+ROW(),"")</f>
        <v/>
      </c>
      <c r="BH499" s="71" t="str">
        <f>IF(AND($AW499=1,$AJ499=1),$BA499*100000+ROW(),"")</f>
        <v/>
      </c>
      <c r="BI499" s="71" t="str">
        <f>IF(AND($AX499=1,$AJ499=1),$BA499*100000+ROW(),"")</f>
        <v/>
      </c>
      <c r="BJ499" s="71" t="str">
        <f>IF(AND($AS499=1,$AJ499=1),$BA499*100000+ROW(),"")</f>
        <v/>
      </c>
      <c r="BK499" s="71" t="str">
        <f>IF(AND($AY499=1,$AJ499=1),$BA499*100000+ROW(),"")</f>
        <v/>
      </c>
      <c r="BL499" s="71" t="str">
        <f>IF(AND($AZ499=1),$BA499*100000+ROW(),"")</f>
        <v/>
      </c>
    </row>
    <row r="500">
      <c r="A500" s="63" t="n"/>
      <c r="B500" s="64" t="n"/>
      <c r="C500" s="64" t="n"/>
      <c r="D500" s="64" t="n"/>
      <c r="E500" s="64" t="n"/>
      <c r="F500" s="64" t="n"/>
      <c r="G500" s="65" t="n"/>
      <c r="H500" s="65" t="n"/>
      <c r="I500" s="64" t="n"/>
      <c r="J500" s="64" t="n"/>
      <c r="K500" s="63" t="n"/>
      <c r="L500" s="63" t="n"/>
      <c r="M500" s="64" t="n"/>
      <c r="N500" s="66" t="n"/>
      <c r="O500" s="65" t="n"/>
      <c r="P500" s="64" t="n"/>
      <c r="Q500" s="67" t="n"/>
      <c r="R500" s="67" t="n"/>
      <c r="S500" s="68" t="str">
        <f>IF(AND(ISNUMBER($Q500),ISNUMBER($R500)),$Q500-$R500,"")</f>
        <v/>
      </c>
      <c r="T500" s="65" t="n"/>
      <c r="U500" s="64" t="n"/>
      <c r="V500" s="65" t="n"/>
      <c r="W500" s="63" t="n"/>
      <c r="X500" s="65" t="n"/>
      <c r="Y500" s="63" t="n"/>
      <c r="Z500" s="64" t="n"/>
      <c r="AA500" s="64" t="n"/>
      <c r="AB500" s="65" t="n"/>
      <c r="AC500" s="69" t="str">
        <f>IF(OR($G500="",NOT(ISNUMBER($K500)),$AK500=0),"",MAX(0,ReportDate-$K500))</f>
        <v/>
      </c>
      <c r="AD500" s="69" t="str">
        <f>IF($G500="","",IF($AL500=1,ReportDate-$L500,0))</f>
        <v/>
      </c>
      <c r="AE500" s="70" t="str">
        <f>IF($G500="","",IF($M500="Completed",1,IF(ISNUMBER($N500),$N500,0)))</f>
        <v/>
      </c>
      <c r="AF500" s="70" t="str">
        <f>IF(AND(ISNUMBER($Q500),ISNUMBER($R500)),IF($R500&lt;&gt;0,$Q500/$R500,""),"")</f>
        <v/>
      </c>
      <c r="AG500" s="71" t="str">
        <f>IF($G500="","",IF($AL500=1,"OVERDUE",IF($AM500=1,"BLOCKED",IF($AN500=1,"DUE TODAY",IF($AO500=1,"DUE TOMORROW",IF($AQ500=1,"HIGH PRIORITY",IF($AR500=1,"NO RECENT UPDATE",""))))))) </f>
        <v/>
      </c>
      <c r="AH500" s="71" t="str">
        <f>IF($G500="","",IF(ISNUMBER($A500),IF(ISNUMBER($A500),YEAR($A500)&amp;"-"&amp;TEXT(MONTH($A500),"00"),""),IF(ISNUMBER($L500),IF(ISNUMBER($L500),YEAR($L500)&amp;"-"&amp;TEXT(MONTH($L500),"00"),""),"")))</f>
        <v/>
      </c>
      <c r="AI500" s="71">
        <f>IF($G500="",0,IF(AND(OR(fClient="All",$C500=fClient),OR(fCampaign="All",$D500=fCampaign),OR(fTeam="All",$B500=fTeam),OR(fChannel="All",$F500=fChannel),OR(fMonth="All",$AH500=fMonth),OR(fTStatus="All",$M500=fTStatus)),1,0))</f>
        <v>0</v>
      </c>
      <c r="AJ500" s="71">
        <f>IF($G500="",0,IF(AND(OR(fClient="All",$C500=fClient),OR(fCampaign="All",$D500=fCampaign),OR(fTeam="All",$B500=fTeam),OR(fChannel="All",$F500=fChannel)),1,0))</f>
        <v>0</v>
      </c>
      <c r="AK500" s="71">
        <f>IF($G500="",0,IF(OR($M500="Completed",$M500="Cancelled"),0,1))</f>
        <v>0</v>
      </c>
      <c r="AL500" s="71">
        <f>IF(AND($AK500=1,ISNUMBER($L500)),IF($L500&lt;ReportDate,1,0),0)</f>
        <v>0</v>
      </c>
      <c r="AM500" s="71">
        <f>IF(AND($G500&lt;&gt;"",$M500="Blocked"),1,0)</f>
        <v>0</v>
      </c>
      <c r="AN500" s="71">
        <f>IF(AND($AK500=1,ISNUMBER($L500)),IF($L500=ReportDate,1,0),0)</f>
        <v>0</v>
      </c>
      <c r="AO500" s="71">
        <f>IF(AND($AK500=1,ISNUMBER($L500)),IF($L500=ReportDate+1,1,0),0)</f>
        <v>0</v>
      </c>
      <c r="AP500" s="71">
        <f>IF(AND($AK500=1,ISNUMBER($L500)),IF(AND($L500&gt;=ReportDate,$L500&lt;=ReportDate+DueSoonDays),1,0),0)</f>
        <v>0</v>
      </c>
      <c r="AQ500" s="71">
        <f>IF(AND($AK500=1,OR($I500="Critical",$I500="High")),1,0)</f>
        <v>0</v>
      </c>
      <c r="AR500" s="71">
        <f>IF($AK500=1,IF(ISNUMBER($Y500),IF(ReportDate-$Y500&gt;StaleDays,1,0),1),0)</f>
        <v>0</v>
      </c>
      <c r="AS500" s="71">
        <f>IF(AND($G500&lt;&gt;"",ISNUMBER($Q500),ISNUMBER($R500)),IF(AND($Q500&lt;$R500,OR($M500="Completed",AND(ISNUMBER($L500),$L500&lt;ReportDate))),1,0),0)</f>
        <v>0</v>
      </c>
      <c r="AT500" s="71">
        <f>IF($AK500=1,IF(OR($L500=ReportDate,$W500=ReportDate,$K500=ReportDate,$A500=ReportDate),1,0),0)</f>
        <v>0</v>
      </c>
      <c r="AU500" s="71">
        <f>IF($AK500=1,IF(OR($L500=ReportDate+1,$W500=ReportDate+1,$K500=ReportDate+1,$A500=ReportDate+1),1,0),0)</f>
        <v>0</v>
      </c>
      <c r="AV500" s="71">
        <f>IF(AND($G500&lt;&gt;"",$M500="Completed"),IF(OR($Y500=ReportDate-1,$A500=ReportDate-1),1,0),0)</f>
        <v>0</v>
      </c>
      <c r="AW500" s="71">
        <f>IF(AND($AK500=1,$Z500="Yes"),1,0)</f>
        <v>0</v>
      </c>
      <c r="AX500" s="71">
        <f>IF(AND($AK500=1,$AA500="Yes"),1,0)</f>
        <v>0</v>
      </c>
      <c r="AY500" s="71">
        <f>IF(AND($AM500=1,OR($I500="Critical",$I500="High")),1,0)</f>
        <v>0</v>
      </c>
      <c r="AZ500" s="71">
        <f>IF(AND($AK500=1,OR($C500=TCL_Client,$C500=MECCA_Client)),1,0)</f>
        <v>0</v>
      </c>
      <c r="BA500" s="71" t="str">
        <f>IF($G500="","",IFERROR(MATCH($I500,lst_Priority,0),5))</f>
        <v/>
      </c>
      <c r="BB500" s="71" t="str">
        <f>IF(AND($AL500=1,$AJ500=1),$BA500*100000+ROW(),"")</f>
        <v/>
      </c>
      <c r="BC500" s="71" t="str">
        <f>IF(AND($AM500=1,$AJ500=1),$BA500*100000+ROW(),"")</f>
        <v/>
      </c>
      <c r="BD500" s="71" t="str">
        <f>IF(AND($AP500=1,$AJ500=1),$BA500*100000+ROW(),"")</f>
        <v/>
      </c>
      <c r="BE500" s="71" t="str">
        <f>IF(AND($AT500=1,$AJ500=1),$BA500*100000+ROW(),"")</f>
        <v/>
      </c>
      <c r="BF500" s="71" t="str">
        <f>IF(AND($AU500=1,$AJ500=1),$BA500*100000+ROW(),"")</f>
        <v/>
      </c>
      <c r="BG500" s="71" t="str">
        <f>IF(AND($AV500=1,$AJ500=1),$BA500*100000+ROW(),"")</f>
        <v/>
      </c>
      <c r="BH500" s="71" t="str">
        <f>IF(AND($AW500=1,$AJ500=1),$BA500*100000+ROW(),"")</f>
        <v/>
      </c>
      <c r="BI500" s="71" t="str">
        <f>IF(AND($AX500=1,$AJ500=1),$BA500*100000+ROW(),"")</f>
        <v/>
      </c>
      <c r="BJ500" s="71" t="str">
        <f>IF(AND($AS500=1,$AJ500=1),$BA500*100000+ROW(),"")</f>
        <v/>
      </c>
      <c r="BK500" s="71" t="str">
        <f>IF(AND($AY500=1,$AJ500=1),$BA500*100000+ROW(),"")</f>
        <v/>
      </c>
      <c r="BL500" s="71" t="str">
        <f>IF(AND($AZ500=1),$BA500*100000+ROW(),"")</f>
        <v/>
      </c>
    </row>
    <row r="501">
      <c r="A501" s="63" t="n"/>
      <c r="B501" s="64" t="n"/>
      <c r="C501" s="64" t="n"/>
      <c r="D501" s="64" t="n"/>
      <c r="E501" s="64" t="n"/>
      <c r="F501" s="64" t="n"/>
      <c r="G501" s="65" t="n"/>
      <c r="H501" s="65" t="n"/>
      <c r="I501" s="64" t="n"/>
      <c r="J501" s="64" t="n"/>
      <c r="K501" s="63" t="n"/>
      <c r="L501" s="63" t="n"/>
      <c r="M501" s="64" t="n"/>
      <c r="N501" s="66" t="n"/>
      <c r="O501" s="65" t="n"/>
      <c r="P501" s="64" t="n"/>
      <c r="Q501" s="67" t="n"/>
      <c r="R501" s="67" t="n"/>
      <c r="S501" s="68" t="str">
        <f>IF(AND(ISNUMBER($Q501),ISNUMBER($R501)),$Q501-$R501,"")</f>
        <v/>
      </c>
      <c r="T501" s="65" t="n"/>
      <c r="U501" s="64" t="n"/>
      <c r="V501" s="65" t="n"/>
      <c r="W501" s="63" t="n"/>
      <c r="X501" s="65" t="n"/>
      <c r="Y501" s="63" t="n"/>
      <c r="Z501" s="64" t="n"/>
      <c r="AA501" s="64" t="n"/>
      <c r="AB501" s="65" t="n"/>
      <c r="AC501" s="69" t="str">
        <f>IF(OR($G501="",NOT(ISNUMBER($K501)),$AK501=0),"",MAX(0,ReportDate-$K501))</f>
        <v/>
      </c>
      <c r="AD501" s="69" t="str">
        <f>IF($G501="","",IF($AL501=1,ReportDate-$L501,0))</f>
        <v/>
      </c>
      <c r="AE501" s="70" t="str">
        <f>IF($G501="","",IF($M501="Completed",1,IF(ISNUMBER($N501),$N501,0)))</f>
        <v/>
      </c>
      <c r="AF501" s="70" t="str">
        <f>IF(AND(ISNUMBER($Q501),ISNUMBER($R501)),IF($R501&lt;&gt;0,$Q501/$R501,""),"")</f>
        <v/>
      </c>
      <c r="AG501" s="71" t="str">
        <f>IF($G501="","",IF($AL501=1,"OVERDUE",IF($AM501=1,"BLOCKED",IF($AN501=1,"DUE TODAY",IF($AO501=1,"DUE TOMORROW",IF($AQ501=1,"HIGH PRIORITY",IF($AR501=1,"NO RECENT UPDATE",""))))))) </f>
        <v/>
      </c>
      <c r="AH501" s="71" t="str">
        <f>IF($G501="","",IF(ISNUMBER($A501),IF(ISNUMBER($A501),YEAR($A501)&amp;"-"&amp;TEXT(MONTH($A501),"00"),""),IF(ISNUMBER($L501),IF(ISNUMBER($L501),YEAR($L501)&amp;"-"&amp;TEXT(MONTH($L501),"00"),""),"")))</f>
        <v/>
      </c>
      <c r="AI501" s="71">
        <f>IF($G501="",0,IF(AND(OR(fClient="All",$C501=fClient),OR(fCampaign="All",$D501=fCampaign),OR(fTeam="All",$B501=fTeam),OR(fChannel="All",$F501=fChannel),OR(fMonth="All",$AH501=fMonth),OR(fTStatus="All",$M501=fTStatus)),1,0))</f>
        <v>0</v>
      </c>
      <c r="AJ501" s="71">
        <f>IF($G501="",0,IF(AND(OR(fClient="All",$C501=fClient),OR(fCampaign="All",$D501=fCampaign),OR(fTeam="All",$B501=fTeam),OR(fChannel="All",$F501=fChannel)),1,0))</f>
        <v>0</v>
      </c>
      <c r="AK501" s="71">
        <f>IF($G501="",0,IF(OR($M501="Completed",$M501="Cancelled"),0,1))</f>
        <v>0</v>
      </c>
      <c r="AL501" s="71">
        <f>IF(AND($AK501=1,ISNUMBER($L501)),IF($L501&lt;ReportDate,1,0),0)</f>
        <v>0</v>
      </c>
      <c r="AM501" s="71">
        <f>IF(AND($G501&lt;&gt;"",$M501="Blocked"),1,0)</f>
        <v>0</v>
      </c>
      <c r="AN501" s="71">
        <f>IF(AND($AK501=1,ISNUMBER($L501)),IF($L501=ReportDate,1,0),0)</f>
        <v>0</v>
      </c>
      <c r="AO501" s="71">
        <f>IF(AND($AK501=1,ISNUMBER($L501)),IF($L501=ReportDate+1,1,0),0)</f>
        <v>0</v>
      </c>
      <c r="AP501" s="71">
        <f>IF(AND($AK501=1,ISNUMBER($L501)),IF(AND($L501&gt;=ReportDate,$L501&lt;=ReportDate+DueSoonDays),1,0),0)</f>
        <v>0</v>
      </c>
      <c r="AQ501" s="71">
        <f>IF(AND($AK501=1,OR($I501="Critical",$I501="High")),1,0)</f>
        <v>0</v>
      </c>
      <c r="AR501" s="71">
        <f>IF($AK501=1,IF(ISNUMBER($Y501),IF(ReportDate-$Y501&gt;StaleDays,1,0),1),0)</f>
        <v>0</v>
      </c>
      <c r="AS501" s="71">
        <f>IF(AND($G501&lt;&gt;"",ISNUMBER($Q501),ISNUMBER($R501)),IF(AND($Q501&lt;$R501,OR($M501="Completed",AND(ISNUMBER($L501),$L501&lt;ReportDate))),1,0),0)</f>
        <v>0</v>
      </c>
      <c r="AT501" s="71">
        <f>IF($AK501=1,IF(OR($L501=ReportDate,$W501=ReportDate,$K501=ReportDate,$A501=ReportDate),1,0),0)</f>
        <v>0</v>
      </c>
      <c r="AU501" s="71">
        <f>IF($AK501=1,IF(OR($L501=ReportDate+1,$W501=ReportDate+1,$K501=ReportDate+1,$A501=ReportDate+1),1,0),0)</f>
        <v>0</v>
      </c>
      <c r="AV501" s="71">
        <f>IF(AND($G501&lt;&gt;"",$M501="Completed"),IF(OR($Y501=ReportDate-1,$A501=ReportDate-1),1,0),0)</f>
        <v>0</v>
      </c>
      <c r="AW501" s="71">
        <f>IF(AND($AK501=1,$Z501="Yes"),1,0)</f>
        <v>0</v>
      </c>
      <c r="AX501" s="71">
        <f>IF(AND($AK501=1,$AA501="Yes"),1,0)</f>
        <v>0</v>
      </c>
      <c r="AY501" s="71">
        <f>IF(AND($AM501=1,OR($I501="Critical",$I501="High")),1,0)</f>
        <v>0</v>
      </c>
      <c r="AZ501" s="71">
        <f>IF(AND($AK501=1,OR($C501=TCL_Client,$C501=MECCA_Client)),1,0)</f>
        <v>0</v>
      </c>
      <c r="BA501" s="71" t="str">
        <f>IF($G501="","",IFERROR(MATCH($I501,lst_Priority,0),5))</f>
        <v/>
      </c>
      <c r="BB501" s="71" t="str">
        <f>IF(AND($AL501=1,$AJ501=1),$BA501*100000+ROW(),"")</f>
        <v/>
      </c>
      <c r="BC501" s="71" t="str">
        <f>IF(AND($AM501=1,$AJ501=1),$BA501*100000+ROW(),"")</f>
        <v/>
      </c>
      <c r="BD501" s="71" t="str">
        <f>IF(AND($AP501=1,$AJ501=1),$BA501*100000+ROW(),"")</f>
        <v/>
      </c>
      <c r="BE501" s="71" t="str">
        <f>IF(AND($AT501=1,$AJ501=1),$BA501*100000+ROW(),"")</f>
        <v/>
      </c>
      <c r="BF501" s="71" t="str">
        <f>IF(AND($AU501=1,$AJ501=1),$BA501*100000+ROW(),"")</f>
        <v/>
      </c>
      <c r="BG501" s="71" t="str">
        <f>IF(AND($AV501=1,$AJ501=1),$BA501*100000+ROW(),"")</f>
        <v/>
      </c>
      <c r="BH501" s="71" t="str">
        <f>IF(AND($AW501=1,$AJ501=1),$BA501*100000+ROW(),"")</f>
        <v/>
      </c>
      <c r="BI501" s="71" t="str">
        <f>IF(AND($AX501=1,$AJ501=1),$BA501*100000+ROW(),"")</f>
        <v/>
      </c>
      <c r="BJ501" s="71" t="str">
        <f>IF(AND($AS501=1,$AJ501=1),$BA501*100000+ROW(),"")</f>
        <v/>
      </c>
      <c r="BK501" s="71" t="str">
        <f>IF(AND($AY501=1,$AJ501=1),$BA501*100000+ROW(),"")</f>
        <v/>
      </c>
      <c r="BL501" s="71" t="str">
        <f>IF(AND($AZ501=1),$BA501*100000+ROW(),"")</f>
        <v/>
      </c>
    </row>
    <row r="502">
      <c r="A502" s="63" t="n"/>
      <c r="B502" s="64" t="n"/>
      <c r="C502" s="64" t="n"/>
      <c r="D502" s="64" t="n"/>
      <c r="E502" s="64" t="n"/>
      <c r="F502" s="64" t="n"/>
      <c r="G502" s="65" t="n"/>
      <c r="H502" s="65" t="n"/>
      <c r="I502" s="64" t="n"/>
      <c r="J502" s="64" t="n"/>
      <c r="K502" s="63" t="n"/>
      <c r="L502" s="63" t="n"/>
      <c r="M502" s="64" t="n"/>
      <c r="N502" s="66" t="n"/>
      <c r="O502" s="65" t="n"/>
      <c r="P502" s="64" t="n"/>
      <c r="Q502" s="67" t="n"/>
      <c r="R502" s="67" t="n"/>
      <c r="S502" s="68" t="str">
        <f>IF(AND(ISNUMBER($Q502),ISNUMBER($R502)),$Q502-$R502,"")</f>
        <v/>
      </c>
      <c r="T502" s="65" t="n"/>
      <c r="U502" s="64" t="n"/>
      <c r="V502" s="65" t="n"/>
      <c r="W502" s="63" t="n"/>
      <c r="X502" s="65" t="n"/>
      <c r="Y502" s="63" t="n"/>
      <c r="Z502" s="64" t="n"/>
      <c r="AA502" s="64" t="n"/>
      <c r="AB502" s="65" t="n"/>
      <c r="AC502" s="69" t="str">
        <f>IF(OR($G502="",NOT(ISNUMBER($K502)),$AK502=0),"",MAX(0,ReportDate-$K502))</f>
        <v/>
      </c>
      <c r="AD502" s="69" t="str">
        <f>IF($G502="","",IF($AL502=1,ReportDate-$L502,0))</f>
        <v/>
      </c>
      <c r="AE502" s="70" t="str">
        <f>IF($G502="","",IF($M502="Completed",1,IF(ISNUMBER($N502),$N502,0)))</f>
        <v/>
      </c>
      <c r="AF502" s="70" t="str">
        <f>IF(AND(ISNUMBER($Q502),ISNUMBER($R502)),IF($R502&lt;&gt;0,$Q502/$R502,""),"")</f>
        <v/>
      </c>
      <c r="AG502" s="71" t="str">
        <f>IF($G502="","",IF($AL502=1,"OVERDUE",IF($AM502=1,"BLOCKED",IF($AN502=1,"DUE TODAY",IF($AO502=1,"DUE TOMORROW",IF($AQ502=1,"HIGH PRIORITY",IF($AR502=1,"NO RECENT UPDATE",""))))))) </f>
        <v/>
      </c>
      <c r="AH502" s="71" t="str">
        <f>IF($G502="","",IF(ISNUMBER($A502),IF(ISNUMBER($A502),YEAR($A502)&amp;"-"&amp;TEXT(MONTH($A502),"00"),""),IF(ISNUMBER($L502),IF(ISNUMBER($L502),YEAR($L502)&amp;"-"&amp;TEXT(MONTH($L502),"00"),""),"")))</f>
        <v/>
      </c>
      <c r="AI502" s="71">
        <f>IF($G502="",0,IF(AND(OR(fClient="All",$C502=fClient),OR(fCampaign="All",$D502=fCampaign),OR(fTeam="All",$B502=fTeam),OR(fChannel="All",$F502=fChannel),OR(fMonth="All",$AH502=fMonth),OR(fTStatus="All",$M502=fTStatus)),1,0))</f>
        <v>0</v>
      </c>
      <c r="AJ502" s="71">
        <f>IF($G502="",0,IF(AND(OR(fClient="All",$C502=fClient),OR(fCampaign="All",$D502=fCampaign),OR(fTeam="All",$B502=fTeam),OR(fChannel="All",$F502=fChannel)),1,0))</f>
        <v>0</v>
      </c>
      <c r="AK502" s="71">
        <f>IF($G502="",0,IF(OR($M502="Completed",$M502="Cancelled"),0,1))</f>
        <v>0</v>
      </c>
      <c r="AL502" s="71">
        <f>IF(AND($AK502=1,ISNUMBER($L502)),IF($L502&lt;ReportDate,1,0),0)</f>
        <v>0</v>
      </c>
      <c r="AM502" s="71">
        <f>IF(AND($G502&lt;&gt;"",$M502="Blocked"),1,0)</f>
        <v>0</v>
      </c>
      <c r="AN502" s="71">
        <f>IF(AND($AK502=1,ISNUMBER($L502)),IF($L502=ReportDate,1,0),0)</f>
        <v>0</v>
      </c>
      <c r="AO502" s="71">
        <f>IF(AND($AK502=1,ISNUMBER($L502)),IF($L502=ReportDate+1,1,0),0)</f>
        <v>0</v>
      </c>
      <c r="AP502" s="71">
        <f>IF(AND($AK502=1,ISNUMBER($L502)),IF(AND($L502&gt;=ReportDate,$L502&lt;=ReportDate+DueSoonDays),1,0),0)</f>
        <v>0</v>
      </c>
      <c r="AQ502" s="71">
        <f>IF(AND($AK502=1,OR($I502="Critical",$I502="High")),1,0)</f>
        <v>0</v>
      </c>
      <c r="AR502" s="71">
        <f>IF($AK502=1,IF(ISNUMBER($Y502),IF(ReportDate-$Y502&gt;StaleDays,1,0),1),0)</f>
        <v>0</v>
      </c>
      <c r="AS502" s="71">
        <f>IF(AND($G502&lt;&gt;"",ISNUMBER($Q502),ISNUMBER($R502)),IF(AND($Q502&lt;$R502,OR($M502="Completed",AND(ISNUMBER($L502),$L502&lt;ReportDate))),1,0),0)</f>
        <v>0</v>
      </c>
      <c r="AT502" s="71">
        <f>IF($AK502=1,IF(OR($L502=ReportDate,$W502=ReportDate,$K502=ReportDate,$A502=ReportDate),1,0),0)</f>
        <v>0</v>
      </c>
      <c r="AU502" s="71">
        <f>IF($AK502=1,IF(OR($L502=ReportDate+1,$W502=ReportDate+1,$K502=ReportDate+1,$A502=ReportDate+1),1,0),0)</f>
        <v>0</v>
      </c>
      <c r="AV502" s="71">
        <f>IF(AND($G502&lt;&gt;"",$M502="Completed"),IF(OR($Y502=ReportDate-1,$A502=ReportDate-1),1,0),0)</f>
        <v>0</v>
      </c>
      <c r="AW502" s="71">
        <f>IF(AND($AK502=1,$Z502="Yes"),1,0)</f>
        <v>0</v>
      </c>
      <c r="AX502" s="71">
        <f>IF(AND($AK502=1,$AA502="Yes"),1,0)</f>
        <v>0</v>
      </c>
      <c r="AY502" s="71">
        <f>IF(AND($AM502=1,OR($I502="Critical",$I502="High")),1,0)</f>
        <v>0</v>
      </c>
      <c r="AZ502" s="71">
        <f>IF(AND($AK502=1,OR($C502=TCL_Client,$C502=MECCA_Client)),1,0)</f>
        <v>0</v>
      </c>
      <c r="BA502" s="71" t="str">
        <f>IF($G502="","",IFERROR(MATCH($I502,lst_Priority,0),5))</f>
        <v/>
      </c>
      <c r="BB502" s="71" t="str">
        <f>IF(AND($AL502=1,$AJ502=1),$BA502*100000+ROW(),"")</f>
        <v/>
      </c>
      <c r="BC502" s="71" t="str">
        <f>IF(AND($AM502=1,$AJ502=1),$BA502*100000+ROW(),"")</f>
        <v/>
      </c>
      <c r="BD502" s="71" t="str">
        <f>IF(AND($AP502=1,$AJ502=1),$BA502*100000+ROW(),"")</f>
        <v/>
      </c>
      <c r="BE502" s="71" t="str">
        <f>IF(AND($AT502=1,$AJ502=1),$BA502*100000+ROW(),"")</f>
        <v/>
      </c>
      <c r="BF502" s="71" t="str">
        <f>IF(AND($AU502=1,$AJ502=1),$BA502*100000+ROW(),"")</f>
        <v/>
      </c>
      <c r="BG502" s="71" t="str">
        <f>IF(AND($AV502=1,$AJ502=1),$BA502*100000+ROW(),"")</f>
        <v/>
      </c>
      <c r="BH502" s="71" t="str">
        <f>IF(AND($AW502=1,$AJ502=1),$BA502*100000+ROW(),"")</f>
        <v/>
      </c>
      <c r="BI502" s="71" t="str">
        <f>IF(AND($AX502=1,$AJ502=1),$BA502*100000+ROW(),"")</f>
        <v/>
      </c>
      <c r="BJ502" s="71" t="str">
        <f>IF(AND($AS502=1,$AJ502=1),$BA502*100000+ROW(),"")</f>
        <v/>
      </c>
      <c r="BK502" s="71" t="str">
        <f>IF(AND($AY502=1,$AJ502=1),$BA502*100000+ROW(),"")</f>
        <v/>
      </c>
      <c r="BL502" s="71" t="str">
        <f>IF(AND($AZ502=1),$BA502*100000+ROW(),"")</f>
        <v/>
      </c>
    </row>
    <row r="503">
      <c r="A503" s="63" t="n"/>
      <c r="B503" s="64" t="n"/>
      <c r="C503" s="64" t="n"/>
      <c r="D503" s="64" t="n"/>
      <c r="E503" s="64" t="n"/>
      <c r="F503" s="64" t="n"/>
      <c r="G503" s="65" t="n"/>
      <c r="H503" s="65" t="n"/>
      <c r="I503" s="64" t="n"/>
      <c r="J503" s="64" t="n"/>
      <c r="K503" s="63" t="n"/>
      <c r="L503" s="63" t="n"/>
      <c r="M503" s="64" t="n"/>
      <c r="N503" s="66" t="n"/>
      <c r="O503" s="65" t="n"/>
      <c r="P503" s="64" t="n"/>
      <c r="Q503" s="67" t="n"/>
      <c r="R503" s="67" t="n"/>
      <c r="S503" s="68" t="str">
        <f>IF(AND(ISNUMBER($Q503),ISNUMBER($R503)),$Q503-$R503,"")</f>
        <v/>
      </c>
      <c r="T503" s="65" t="n"/>
      <c r="U503" s="64" t="n"/>
      <c r="V503" s="65" t="n"/>
      <c r="W503" s="63" t="n"/>
      <c r="X503" s="65" t="n"/>
      <c r="Y503" s="63" t="n"/>
      <c r="Z503" s="64" t="n"/>
      <c r="AA503" s="64" t="n"/>
      <c r="AB503" s="65" t="n"/>
      <c r="AC503" s="69" t="str">
        <f>IF(OR($G503="",NOT(ISNUMBER($K503)),$AK503=0),"",MAX(0,ReportDate-$K503))</f>
        <v/>
      </c>
      <c r="AD503" s="69" t="str">
        <f>IF($G503="","",IF($AL503=1,ReportDate-$L503,0))</f>
        <v/>
      </c>
      <c r="AE503" s="70" t="str">
        <f>IF($G503="","",IF($M503="Completed",1,IF(ISNUMBER($N503),$N503,0)))</f>
        <v/>
      </c>
      <c r="AF503" s="70" t="str">
        <f>IF(AND(ISNUMBER($Q503),ISNUMBER($R503)),IF($R503&lt;&gt;0,$Q503/$R503,""),"")</f>
        <v/>
      </c>
      <c r="AG503" s="71" t="str">
        <f>IF($G503="","",IF($AL503=1,"OVERDUE",IF($AM503=1,"BLOCKED",IF($AN503=1,"DUE TODAY",IF($AO503=1,"DUE TOMORROW",IF($AQ503=1,"HIGH PRIORITY",IF($AR503=1,"NO RECENT UPDATE",""))))))) </f>
        <v/>
      </c>
      <c r="AH503" s="71" t="str">
        <f>IF($G503="","",IF(ISNUMBER($A503),IF(ISNUMBER($A503),YEAR($A503)&amp;"-"&amp;TEXT(MONTH($A503),"00"),""),IF(ISNUMBER($L503),IF(ISNUMBER($L503),YEAR($L503)&amp;"-"&amp;TEXT(MONTH($L503),"00"),""),"")))</f>
        <v/>
      </c>
      <c r="AI503" s="71">
        <f>IF($G503="",0,IF(AND(OR(fClient="All",$C503=fClient),OR(fCampaign="All",$D503=fCampaign),OR(fTeam="All",$B503=fTeam),OR(fChannel="All",$F503=fChannel),OR(fMonth="All",$AH503=fMonth),OR(fTStatus="All",$M503=fTStatus)),1,0))</f>
        <v>0</v>
      </c>
      <c r="AJ503" s="71">
        <f>IF($G503="",0,IF(AND(OR(fClient="All",$C503=fClient),OR(fCampaign="All",$D503=fCampaign),OR(fTeam="All",$B503=fTeam),OR(fChannel="All",$F503=fChannel)),1,0))</f>
        <v>0</v>
      </c>
      <c r="AK503" s="71">
        <f>IF($G503="",0,IF(OR($M503="Completed",$M503="Cancelled"),0,1))</f>
        <v>0</v>
      </c>
      <c r="AL503" s="71">
        <f>IF(AND($AK503=1,ISNUMBER($L503)),IF($L503&lt;ReportDate,1,0),0)</f>
        <v>0</v>
      </c>
      <c r="AM503" s="71">
        <f>IF(AND($G503&lt;&gt;"",$M503="Blocked"),1,0)</f>
        <v>0</v>
      </c>
      <c r="AN503" s="71">
        <f>IF(AND($AK503=1,ISNUMBER($L503)),IF($L503=ReportDate,1,0),0)</f>
        <v>0</v>
      </c>
      <c r="AO503" s="71">
        <f>IF(AND($AK503=1,ISNUMBER($L503)),IF($L503=ReportDate+1,1,0),0)</f>
        <v>0</v>
      </c>
      <c r="AP503" s="71">
        <f>IF(AND($AK503=1,ISNUMBER($L503)),IF(AND($L503&gt;=ReportDate,$L503&lt;=ReportDate+DueSoonDays),1,0),0)</f>
        <v>0</v>
      </c>
      <c r="AQ503" s="71">
        <f>IF(AND($AK503=1,OR($I503="Critical",$I503="High")),1,0)</f>
        <v>0</v>
      </c>
      <c r="AR503" s="71">
        <f>IF($AK503=1,IF(ISNUMBER($Y503),IF(ReportDate-$Y503&gt;StaleDays,1,0),1),0)</f>
        <v>0</v>
      </c>
      <c r="AS503" s="71">
        <f>IF(AND($G503&lt;&gt;"",ISNUMBER($Q503),ISNUMBER($R503)),IF(AND($Q503&lt;$R503,OR($M503="Completed",AND(ISNUMBER($L503),$L503&lt;ReportDate))),1,0),0)</f>
        <v>0</v>
      </c>
      <c r="AT503" s="71">
        <f>IF($AK503=1,IF(OR($L503=ReportDate,$W503=ReportDate,$K503=ReportDate,$A503=ReportDate),1,0),0)</f>
        <v>0</v>
      </c>
      <c r="AU503" s="71">
        <f>IF($AK503=1,IF(OR($L503=ReportDate+1,$W503=ReportDate+1,$K503=ReportDate+1,$A503=ReportDate+1),1,0),0)</f>
        <v>0</v>
      </c>
      <c r="AV503" s="71">
        <f>IF(AND($G503&lt;&gt;"",$M503="Completed"),IF(OR($Y503=ReportDate-1,$A503=ReportDate-1),1,0),0)</f>
        <v>0</v>
      </c>
      <c r="AW503" s="71">
        <f>IF(AND($AK503=1,$Z503="Yes"),1,0)</f>
        <v>0</v>
      </c>
      <c r="AX503" s="71">
        <f>IF(AND($AK503=1,$AA503="Yes"),1,0)</f>
        <v>0</v>
      </c>
      <c r="AY503" s="71">
        <f>IF(AND($AM503=1,OR($I503="Critical",$I503="High")),1,0)</f>
        <v>0</v>
      </c>
      <c r="AZ503" s="71">
        <f>IF(AND($AK503=1,OR($C503=TCL_Client,$C503=MECCA_Client)),1,0)</f>
        <v>0</v>
      </c>
      <c r="BA503" s="71" t="str">
        <f>IF($G503="","",IFERROR(MATCH($I503,lst_Priority,0),5))</f>
        <v/>
      </c>
      <c r="BB503" s="71" t="str">
        <f>IF(AND($AL503=1,$AJ503=1),$BA503*100000+ROW(),"")</f>
        <v/>
      </c>
      <c r="BC503" s="71" t="str">
        <f>IF(AND($AM503=1,$AJ503=1),$BA503*100000+ROW(),"")</f>
        <v/>
      </c>
      <c r="BD503" s="71" t="str">
        <f>IF(AND($AP503=1,$AJ503=1),$BA503*100000+ROW(),"")</f>
        <v/>
      </c>
      <c r="BE503" s="71" t="str">
        <f>IF(AND($AT503=1,$AJ503=1),$BA503*100000+ROW(),"")</f>
        <v/>
      </c>
      <c r="BF503" s="71" t="str">
        <f>IF(AND($AU503=1,$AJ503=1),$BA503*100000+ROW(),"")</f>
        <v/>
      </c>
      <c r="BG503" s="71" t="str">
        <f>IF(AND($AV503=1,$AJ503=1),$BA503*100000+ROW(),"")</f>
        <v/>
      </c>
      <c r="BH503" s="71" t="str">
        <f>IF(AND($AW503=1,$AJ503=1),$BA503*100000+ROW(),"")</f>
        <v/>
      </c>
      <c r="BI503" s="71" t="str">
        <f>IF(AND($AX503=1,$AJ503=1),$BA503*100000+ROW(),"")</f>
        <v/>
      </c>
      <c r="BJ503" s="71" t="str">
        <f>IF(AND($AS503=1,$AJ503=1),$BA503*100000+ROW(),"")</f>
        <v/>
      </c>
      <c r="BK503" s="71" t="str">
        <f>IF(AND($AY503=1,$AJ503=1),$BA503*100000+ROW(),"")</f>
        <v/>
      </c>
      <c r="BL503" s="71" t="str">
        <f>IF(AND($AZ503=1),$BA503*100000+ROW(),"")</f>
        <v/>
      </c>
    </row>
    <row r="504">
      <c r="A504" s="63" t="n"/>
      <c r="B504" s="64" t="n"/>
      <c r="C504" s="64" t="n"/>
      <c r="D504" s="64" t="n"/>
      <c r="E504" s="64" t="n"/>
      <c r="F504" s="64" t="n"/>
      <c r="G504" s="65" t="n"/>
      <c r="H504" s="65" t="n"/>
      <c r="I504" s="64" t="n"/>
      <c r="J504" s="64" t="n"/>
      <c r="K504" s="63" t="n"/>
      <c r="L504" s="63" t="n"/>
      <c r="M504" s="64" t="n"/>
      <c r="N504" s="66" t="n"/>
      <c r="O504" s="65" t="n"/>
      <c r="P504" s="64" t="n"/>
      <c r="Q504" s="67" t="n"/>
      <c r="R504" s="67" t="n"/>
      <c r="S504" s="68" t="str">
        <f>IF(AND(ISNUMBER($Q504),ISNUMBER($R504)),$Q504-$R504,"")</f>
        <v/>
      </c>
      <c r="T504" s="65" t="n"/>
      <c r="U504" s="64" t="n"/>
      <c r="V504" s="65" t="n"/>
      <c r="W504" s="63" t="n"/>
      <c r="X504" s="65" t="n"/>
      <c r="Y504" s="63" t="n"/>
      <c r="Z504" s="64" t="n"/>
      <c r="AA504" s="64" t="n"/>
      <c r="AB504" s="65" t="n"/>
      <c r="AC504" s="69" t="str">
        <f>IF(OR($G504="",NOT(ISNUMBER($K504)),$AK504=0),"",MAX(0,ReportDate-$K504))</f>
        <v/>
      </c>
      <c r="AD504" s="69" t="str">
        <f>IF($G504="","",IF($AL504=1,ReportDate-$L504,0))</f>
        <v/>
      </c>
      <c r="AE504" s="70" t="str">
        <f>IF($G504="","",IF($M504="Completed",1,IF(ISNUMBER($N504),$N504,0)))</f>
        <v/>
      </c>
      <c r="AF504" s="70" t="str">
        <f>IF(AND(ISNUMBER($Q504),ISNUMBER($R504)),IF($R504&lt;&gt;0,$Q504/$R504,""),"")</f>
        <v/>
      </c>
      <c r="AG504" s="71" t="str">
        <f>IF($G504="","",IF($AL504=1,"OVERDUE",IF($AM504=1,"BLOCKED",IF($AN504=1,"DUE TODAY",IF($AO504=1,"DUE TOMORROW",IF($AQ504=1,"HIGH PRIORITY",IF($AR504=1,"NO RECENT UPDATE",""))))))) </f>
        <v/>
      </c>
      <c r="AH504" s="71" t="str">
        <f>IF($G504="","",IF(ISNUMBER($A504),IF(ISNUMBER($A504),YEAR($A504)&amp;"-"&amp;TEXT(MONTH($A504),"00"),""),IF(ISNUMBER($L504),IF(ISNUMBER($L504),YEAR($L504)&amp;"-"&amp;TEXT(MONTH($L504),"00"),""),"")))</f>
        <v/>
      </c>
      <c r="AI504" s="71">
        <f>IF($G504="",0,IF(AND(OR(fClient="All",$C504=fClient),OR(fCampaign="All",$D504=fCampaign),OR(fTeam="All",$B504=fTeam),OR(fChannel="All",$F504=fChannel),OR(fMonth="All",$AH504=fMonth),OR(fTStatus="All",$M504=fTStatus)),1,0))</f>
        <v>0</v>
      </c>
      <c r="AJ504" s="71">
        <f>IF($G504="",0,IF(AND(OR(fClient="All",$C504=fClient),OR(fCampaign="All",$D504=fCampaign),OR(fTeam="All",$B504=fTeam),OR(fChannel="All",$F504=fChannel)),1,0))</f>
        <v>0</v>
      </c>
      <c r="AK504" s="71">
        <f>IF($G504="",0,IF(OR($M504="Completed",$M504="Cancelled"),0,1))</f>
        <v>0</v>
      </c>
      <c r="AL504" s="71">
        <f>IF(AND($AK504=1,ISNUMBER($L504)),IF($L504&lt;ReportDate,1,0),0)</f>
        <v>0</v>
      </c>
      <c r="AM504" s="71">
        <f>IF(AND($G504&lt;&gt;"",$M504="Blocked"),1,0)</f>
        <v>0</v>
      </c>
      <c r="AN504" s="71">
        <f>IF(AND($AK504=1,ISNUMBER($L504)),IF($L504=ReportDate,1,0),0)</f>
        <v>0</v>
      </c>
      <c r="AO504" s="71">
        <f>IF(AND($AK504=1,ISNUMBER($L504)),IF($L504=ReportDate+1,1,0),0)</f>
        <v>0</v>
      </c>
      <c r="AP504" s="71">
        <f>IF(AND($AK504=1,ISNUMBER($L504)),IF(AND($L504&gt;=ReportDate,$L504&lt;=ReportDate+DueSoonDays),1,0),0)</f>
        <v>0</v>
      </c>
      <c r="AQ504" s="71">
        <f>IF(AND($AK504=1,OR($I504="Critical",$I504="High")),1,0)</f>
        <v>0</v>
      </c>
      <c r="AR504" s="71">
        <f>IF($AK504=1,IF(ISNUMBER($Y504),IF(ReportDate-$Y504&gt;StaleDays,1,0),1),0)</f>
        <v>0</v>
      </c>
      <c r="AS504" s="71">
        <f>IF(AND($G504&lt;&gt;"",ISNUMBER($Q504),ISNUMBER($R504)),IF(AND($Q504&lt;$R504,OR($M504="Completed",AND(ISNUMBER($L504),$L504&lt;ReportDate))),1,0),0)</f>
        <v>0</v>
      </c>
      <c r="AT504" s="71">
        <f>IF($AK504=1,IF(OR($L504=ReportDate,$W504=ReportDate,$K504=ReportDate,$A504=ReportDate),1,0),0)</f>
        <v>0</v>
      </c>
      <c r="AU504" s="71">
        <f>IF($AK504=1,IF(OR($L504=ReportDate+1,$W504=ReportDate+1,$K504=ReportDate+1,$A504=ReportDate+1),1,0),0)</f>
        <v>0</v>
      </c>
      <c r="AV504" s="71">
        <f>IF(AND($G504&lt;&gt;"",$M504="Completed"),IF(OR($Y504=ReportDate-1,$A504=ReportDate-1),1,0),0)</f>
        <v>0</v>
      </c>
      <c r="AW504" s="71">
        <f>IF(AND($AK504=1,$Z504="Yes"),1,0)</f>
        <v>0</v>
      </c>
      <c r="AX504" s="71">
        <f>IF(AND($AK504=1,$AA504="Yes"),1,0)</f>
        <v>0</v>
      </c>
      <c r="AY504" s="71">
        <f>IF(AND($AM504=1,OR($I504="Critical",$I504="High")),1,0)</f>
        <v>0</v>
      </c>
      <c r="AZ504" s="71">
        <f>IF(AND($AK504=1,OR($C504=TCL_Client,$C504=MECCA_Client)),1,0)</f>
        <v>0</v>
      </c>
      <c r="BA504" s="71" t="str">
        <f>IF($G504="","",IFERROR(MATCH($I504,lst_Priority,0),5))</f>
        <v/>
      </c>
      <c r="BB504" s="71" t="str">
        <f>IF(AND($AL504=1,$AJ504=1),$BA504*100000+ROW(),"")</f>
        <v/>
      </c>
      <c r="BC504" s="71" t="str">
        <f>IF(AND($AM504=1,$AJ504=1),$BA504*100000+ROW(),"")</f>
        <v/>
      </c>
      <c r="BD504" s="71" t="str">
        <f>IF(AND($AP504=1,$AJ504=1),$BA504*100000+ROW(),"")</f>
        <v/>
      </c>
      <c r="BE504" s="71" t="str">
        <f>IF(AND($AT504=1,$AJ504=1),$BA504*100000+ROW(),"")</f>
        <v/>
      </c>
      <c r="BF504" s="71" t="str">
        <f>IF(AND($AU504=1,$AJ504=1),$BA504*100000+ROW(),"")</f>
        <v/>
      </c>
      <c r="BG504" s="71" t="str">
        <f>IF(AND($AV504=1,$AJ504=1),$BA504*100000+ROW(),"")</f>
        <v/>
      </c>
      <c r="BH504" s="71" t="str">
        <f>IF(AND($AW504=1,$AJ504=1),$BA504*100000+ROW(),"")</f>
        <v/>
      </c>
      <c r="BI504" s="71" t="str">
        <f>IF(AND($AX504=1,$AJ504=1),$BA504*100000+ROW(),"")</f>
        <v/>
      </c>
      <c r="BJ504" s="71" t="str">
        <f>IF(AND($AS504=1,$AJ504=1),$BA504*100000+ROW(),"")</f>
        <v/>
      </c>
      <c r="BK504" s="71" t="str">
        <f>IF(AND($AY504=1,$AJ504=1),$BA504*100000+ROW(),"")</f>
        <v/>
      </c>
      <c r="BL504" s="71" t="str">
        <f>IF(AND($AZ504=1),$BA504*100000+ROW(),"")</f>
        <v/>
      </c>
    </row>
    <row r="505">
      <c r="A505" s="63" t="n"/>
      <c r="B505" s="64" t="n"/>
      <c r="C505" s="64" t="n"/>
      <c r="D505" s="64" t="n"/>
      <c r="E505" s="64" t="n"/>
      <c r="F505" s="64" t="n"/>
      <c r="G505" s="65" t="n"/>
      <c r="H505" s="65" t="n"/>
      <c r="I505" s="64" t="n"/>
      <c r="J505" s="64" t="n"/>
      <c r="K505" s="63" t="n"/>
      <c r="L505" s="63" t="n"/>
      <c r="M505" s="64" t="n"/>
      <c r="N505" s="66" t="n"/>
      <c r="O505" s="65" t="n"/>
      <c r="P505" s="64" t="n"/>
      <c r="Q505" s="67" t="n"/>
      <c r="R505" s="67" t="n"/>
      <c r="S505" s="68" t="str">
        <f>IF(AND(ISNUMBER($Q505),ISNUMBER($R505)),$Q505-$R505,"")</f>
        <v/>
      </c>
      <c r="T505" s="65" t="n"/>
      <c r="U505" s="64" t="n"/>
      <c r="V505" s="65" t="n"/>
      <c r="W505" s="63" t="n"/>
      <c r="X505" s="65" t="n"/>
      <c r="Y505" s="63" t="n"/>
      <c r="Z505" s="64" t="n"/>
      <c r="AA505" s="64" t="n"/>
      <c r="AB505" s="65" t="n"/>
      <c r="AC505" s="69" t="str">
        <f>IF(OR($G505="",NOT(ISNUMBER($K505)),$AK505=0),"",MAX(0,ReportDate-$K505))</f>
        <v/>
      </c>
      <c r="AD505" s="69" t="str">
        <f>IF($G505="","",IF($AL505=1,ReportDate-$L505,0))</f>
        <v/>
      </c>
      <c r="AE505" s="70" t="str">
        <f>IF($G505="","",IF($M505="Completed",1,IF(ISNUMBER($N505),$N505,0)))</f>
        <v/>
      </c>
      <c r="AF505" s="70" t="str">
        <f>IF(AND(ISNUMBER($Q505),ISNUMBER($R505)),IF($R505&lt;&gt;0,$Q505/$R505,""),"")</f>
        <v/>
      </c>
      <c r="AG505" s="71" t="str">
        <f>IF($G505="","",IF($AL505=1,"OVERDUE",IF($AM505=1,"BLOCKED",IF($AN505=1,"DUE TODAY",IF($AO505=1,"DUE TOMORROW",IF($AQ505=1,"HIGH PRIORITY",IF($AR505=1,"NO RECENT UPDATE",""))))))) </f>
        <v/>
      </c>
      <c r="AH505" s="71" t="str">
        <f>IF($G505="","",IF(ISNUMBER($A505),IF(ISNUMBER($A505),YEAR($A505)&amp;"-"&amp;TEXT(MONTH($A505),"00"),""),IF(ISNUMBER($L505),IF(ISNUMBER($L505),YEAR($L505)&amp;"-"&amp;TEXT(MONTH($L505),"00"),""),"")))</f>
        <v/>
      </c>
      <c r="AI505" s="71">
        <f>IF($G505="",0,IF(AND(OR(fClient="All",$C505=fClient),OR(fCampaign="All",$D505=fCampaign),OR(fTeam="All",$B505=fTeam),OR(fChannel="All",$F505=fChannel),OR(fMonth="All",$AH505=fMonth),OR(fTStatus="All",$M505=fTStatus)),1,0))</f>
        <v>0</v>
      </c>
      <c r="AJ505" s="71">
        <f>IF($G505="",0,IF(AND(OR(fClient="All",$C505=fClient),OR(fCampaign="All",$D505=fCampaign),OR(fTeam="All",$B505=fTeam),OR(fChannel="All",$F505=fChannel)),1,0))</f>
        <v>0</v>
      </c>
      <c r="AK505" s="71">
        <f>IF($G505="",0,IF(OR($M505="Completed",$M505="Cancelled"),0,1))</f>
        <v>0</v>
      </c>
      <c r="AL505" s="71">
        <f>IF(AND($AK505=1,ISNUMBER($L505)),IF($L505&lt;ReportDate,1,0),0)</f>
        <v>0</v>
      </c>
      <c r="AM505" s="71">
        <f>IF(AND($G505&lt;&gt;"",$M505="Blocked"),1,0)</f>
        <v>0</v>
      </c>
      <c r="AN505" s="71">
        <f>IF(AND($AK505=1,ISNUMBER($L505)),IF($L505=ReportDate,1,0),0)</f>
        <v>0</v>
      </c>
      <c r="AO505" s="71">
        <f>IF(AND($AK505=1,ISNUMBER($L505)),IF($L505=ReportDate+1,1,0),0)</f>
        <v>0</v>
      </c>
      <c r="AP505" s="71">
        <f>IF(AND($AK505=1,ISNUMBER($L505)),IF(AND($L505&gt;=ReportDate,$L505&lt;=ReportDate+DueSoonDays),1,0),0)</f>
        <v>0</v>
      </c>
      <c r="AQ505" s="71">
        <f>IF(AND($AK505=1,OR($I505="Critical",$I505="High")),1,0)</f>
        <v>0</v>
      </c>
      <c r="AR505" s="71">
        <f>IF($AK505=1,IF(ISNUMBER($Y505),IF(ReportDate-$Y505&gt;StaleDays,1,0),1),0)</f>
        <v>0</v>
      </c>
      <c r="AS505" s="71">
        <f>IF(AND($G505&lt;&gt;"",ISNUMBER($Q505),ISNUMBER($R505)),IF(AND($Q505&lt;$R505,OR($M505="Completed",AND(ISNUMBER($L505),$L505&lt;ReportDate))),1,0),0)</f>
        <v>0</v>
      </c>
      <c r="AT505" s="71">
        <f>IF($AK505=1,IF(OR($L505=ReportDate,$W505=ReportDate,$K505=ReportDate,$A505=ReportDate),1,0),0)</f>
        <v>0</v>
      </c>
      <c r="AU505" s="71">
        <f>IF($AK505=1,IF(OR($L505=ReportDate+1,$W505=ReportDate+1,$K505=ReportDate+1,$A505=ReportDate+1),1,0),0)</f>
        <v>0</v>
      </c>
      <c r="AV505" s="71">
        <f>IF(AND($G505&lt;&gt;"",$M505="Completed"),IF(OR($Y505=ReportDate-1,$A505=ReportDate-1),1,0),0)</f>
        <v>0</v>
      </c>
      <c r="AW505" s="71">
        <f>IF(AND($AK505=1,$Z505="Yes"),1,0)</f>
        <v>0</v>
      </c>
      <c r="AX505" s="71">
        <f>IF(AND($AK505=1,$AA505="Yes"),1,0)</f>
        <v>0</v>
      </c>
      <c r="AY505" s="71">
        <f>IF(AND($AM505=1,OR($I505="Critical",$I505="High")),1,0)</f>
        <v>0</v>
      </c>
      <c r="AZ505" s="71">
        <f>IF(AND($AK505=1,OR($C505=TCL_Client,$C505=MECCA_Client)),1,0)</f>
        <v>0</v>
      </c>
      <c r="BA505" s="71" t="str">
        <f>IF($G505="","",IFERROR(MATCH($I505,lst_Priority,0),5))</f>
        <v/>
      </c>
      <c r="BB505" s="71" t="str">
        <f>IF(AND($AL505=1,$AJ505=1),$BA505*100000+ROW(),"")</f>
        <v/>
      </c>
      <c r="BC505" s="71" t="str">
        <f>IF(AND($AM505=1,$AJ505=1),$BA505*100000+ROW(),"")</f>
        <v/>
      </c>
      <c r="BD505" s="71" t="str">
        <f>IF(AND($AP505=1,$AJ505=1),$BA505*100000+ROW(),"")</f>
        <v/>
      </c>
      <c r="BE505" s="71" t="str">
        <f>IF(AND($AT505=1,$AJ505=1),$BA505*100000+ROW(),"")</f>
        <v/>
      </c>
      <c r="BF505" s="71" t="str">
        <f>IF(AND($AU505=1,$AJ505=1),$BA505*100000+ROW(),"")</f>
        <v/>
      </c>
      <c r="BG505" s="71" t="str">
        <f>IF(AND($AV505=1,$AJ505=1),$BA505*100000+ROW(),"")</f>
        <v/>
      </c>
      <c r="BH505" s="71" t="str">
        <f>IF(AND($AW505=1,$AJ505=1),$BA505*100000+ROW(),"")</f>
        <v/>
      </c>
      <c r="BI505" s="71" t="str">
        <f>IF(AND($AX505=1,$AJ505=1),$BA505*100000+ROW(),"")</f>
        <v/>
      </c>
      <c r="BJ505" s="71" t="str">
        <f>IF(AND($AS505=1,$AJ505=1),$BA505*100000+ROW(),"")</f>
        <v/>
      </c>
      <c r="BK505" s="71" t="str">
        <f>IF(AND($AY505=1,$AJ505=1),$BA505*100000+ROW(),"")</f>
        <v/>
      </c>
      <c r="BL505" s="71" t="str">
        <f>IF(AND($AZ505=1),$BA505*100000+ROW(),"")</f>
        <v/>
      </c>
    </row>
    <row r="506">
      <c r="A506" s="63" t="n"/>
      <c r="B506" s="64" t="n"/>
      <c r="C506" s="64" t="n"/>
      <c r="D506" s="64" t="n"/>
      <c r="E506" s="64" t="n"/>
      <c r="F506" s="64" t="n"/>
      <c r="G506" s="65" t="n"/>
      <c r="H506" s="65" t="n"/>
      <c r="I506" s="64" t="n"/>
      <c r="J506" s="64" t="n"/>
      <c r="K506" s="63" t="n"/>
      <c r="L506" s="63" t="n"/>
      <c r="M506" s="64" t="n"/>
      <c r="N506" s="66" t="n"/>
      <c r="O506" s="65" t="n"/>
      <c r="P506" s="64" t="n"/>
      <c r="Q506" s="67" t="n"/>
      <c r="R506" s="67" t="n"/>
      <c r="S506" s="68" t="str">
        <f>IF(AND(ISNUMBER($Q506),ISNUMBER($R506)),$Q506-$R506,"")</f>
        <v/>
      </c>
      <c r="T506" s="65" t="n"/>
      <c r="U506" s="64" t="n"/>
      <c r="V506" s="65" t="n"/>
      <c r="W506" s="63" t="n"/>
      <c r="X506" s="65" t="n"/>
      <c r="Y506" s="63" t="n"/>
      <c r="Z506" s="64" t="n"/>
      <c r="AA506" s="64" t="n"/>
      <c r="AB506" s="65" t="n"/>
      <c r="AC506" s="69" t="str">
        <f>IF(OR($G506="",NOT(ISNUMBER($K506)),$AK506=0),"",MAX(0,ReportDate-$K506))</f>
        <v/>
      </c>
      <c r="AD506" s="69" t="str">
        <f>IF($G506="","",IF($AL506=1,ReportDate-$L506,0))</f>
        <v/>
      </c>
      <c r="AE506" s="70" t="str">
        <f>IF($G506="","",IF($M506="Completed",1,IF(ISNUMBER($N506),$N506,0)))</f>
        <v/>
      </c>
      <c r="AF506" s="70" t="str">
        <f>IF(AND(ISNUMBER($Q506),ISNUMBER($R506)),IF($R506&lt;&gt;0,$Q506/$R506,""),"")</f>
        <v/>
      </c>
      <c r="AG506" s="71" t="str">
        <f>IF($G506="","",IF($AL506=1,"OVERDUE",IF($AM506=1,"BLOCKED",IF($AN506=1,"DUE TODAY",IF($AO506=1,"DUE TOMORROW",IF($AQ506=1,"HIGH PRIORITY",IF($AR506=1,"NO RECENT UPDATE",""))))))) </f>
        <v/>
      </c>
      <c r="AH506" s="71" t="str">
        <f>IF($G506="","",IF(ISNUMBER($A506),IF(ISNUMBER($A506),YEAR($A506)&amp;"-"&amp;TEXT(MONTH($A506),"00"),""),IF(ISNUMBER($L506),IF(ISNUMBER($L506),YEAR($L506)&amp;"-"&amp;TEXT(MONTH($L506),"00"),""),"")))</f>
        <v/>
      </c>
      <c r="AI506" s="71">
        <f>IF($G506="",0,IF(AND(OR(fClient="All",$C506=fClient),OR(fCampaign="All",$D506=fCampaign),OR(fTeam="All",$B506=fTeam),OR(fChannel="All",$F506=fChannel),OR(fMonth="All",$AH506=fMonth),OR(fTStatus="All",$M506=fTStatus)),1,0))</f>
        <v>0</v>
      </c>
      <c r="AJ506" s="71">
        <f>IF($G506="",0,IF(AND(OR(fClient="All",$C506=fClient),OR(fCampaign="All",$D506=fCampaign),OR(fTeam="All",$B506=fTeam),OR(fChannel="All",$F506=fChannel)),1,0))</f>
        <v>0</v>
      </c>
      <c r="AK506" s="71">
        <f>IF($G506="",0,IF(OR($M506="Completed",$M506="Cancelled"),0,1))</f>
        <v>0</v>
      </c>
      <c r="AL506" s="71">
        <f>IF(AND($AK506=1,ISNUMBER($L506)),IF($L506&lt;ReportDate,1,0),0)</f>
        <v>0</v>
      </c>
      <c r="AM506" s="71">
        <f>IF(AND($G506&lt;&gt;"",$M506="Blocked"),1,0)</f>
        <v>0</v>
      </c>
      <c r="AN506" s="71">
        <f>IF(AND($AK506=1,ISNUMBER($L506)),IF($L506=ReportDate,1,0),0)</f>
        <v>0</v>
      </c>
      <c r="AO506" s="71">
        <f>IF(AND($AK506=1,ISNUMBER($L506)),IF($L506=ReportDate+1,1,0),0)</f>
        <v>0</v>
      </c>
      <c r="AP506" s="71">
        <f>IF(AND($AK506=1,ISNUMBER($L506)),IF(AND($L506&gt;=ReportDate,$L506&lt;=ReportDate+DueSoonDays),1,0),0)</f>
        <v>0</v>
      </c>
      <c r="AQ506" s="71">
        <f>IF(AND($AK506=1,OR($I506="Critical",$I506="High")),1,0)</f>
        <v>0</v>
      </c>
      <c r="AR506" s="71">
        <f>IF($AK506=1,IF(ISNUMBER($Y506),IF(ReportDate-$Y506&gt;StaleDays,1,0),1),0)</f>
        <v>0</v>
      </c>
      <c r="AS506" s="71">
        <f>IF(AND($G506&lt;&gt;"",ISNUMBER($Q506),ISNUMBER($R506)),IF(AND($Q506&lt;$R506,OR($M506="Completed",AND(ISNUMBER($L506),$L506&lt;ReportDate))),1,0),0)</f>
        <v>0</v>
      </c>
      <c r="AT506" s="71">
        <f>IF($AK506=1,IF(OR($L506=ReportDate,$W506=ReportDate,$K506=ReportDate,$A506=ReportDate),1,0),0)</f>
        <v>0</v>
      </c>
      <c r="AU506" s="71">
        <f>IF($AK506=1,IF(OR($L506=ReportDate+1,$W506=ReportDate+1,$K506=ReportDate+1,$A506=ReportDate+1),1,0),0)</f>
        <v>0</v>
      </c>
      <c r="AV506" s="71">
        <f>IF(AND($G506&lt;&gt;"",$M506="Completed"),IF(OR($Y506=ReportDate-1,$A506=ReportDate-1),1,0),0)</f>
        <v>0</v>
      </c>
      <c r="AW506" s="71">
        <f>IF(AND($AK506=1,$Z506="Yes"),1,0)</f>
        <v>0</v>
      </c>
      <c r="AX506" s="71">
        <f>IF(AND($AK506=1,$AA506="Yes"),1,0)</f>
        <v>0</v>
      </c>
      <c r="AY506" s="71">
        <f>IF(AND($AM506=1,OR($I506="Critical",$I506="High")),1,0)</f>
        <v>0</v>
      </c>
      <c r="AZ506" s="71">
        <f>IF(AND($AK506=1,OR($C506=TCL_Client,$C506=MECCA_Client)),1,0)</f>
        <v>0</v>
      </c>
      <c r="BA506" s="71" t="str">
        <f>IF($G506="","",IFERROR(MATCH($I506,lst_Priority,0),5))</f>
        <v/>
      </c>
      <c r="BB506" s="71" t="str">
        <f>IF(AND($AL506=1,$AJ506=1),$BA506*100000+ROW(),"")</f>
        <v/>
      </c>
      <c r="BC506" s="71" t="str">
        <f>IF(AND($AM506=1,$AJ506=1),$BA506*100000+ROW(),"")</f>
        <v/>
      </c>
      <c r="BD506" s="71" t="str">
        <f>IF(AND($AP506=1,$AJ506=1),$BA506*100000+ROW(),"")</f>
        <v/>
      </c>
      <c r="BE506" s="71" t="str">
        <f>IF(AND($AT506=1,$AJ506=1),$BA506*100000+ROW(),"")</f>
        <v/>
      </c>
      <c r="BF506" s="71" t="str">
        <f>IF(AND($AU506=1,$AJ506=1),$BA506*100000+ROW(),"")</f>
        <v/>
      </c>
      <c r="BG506" s="71" t="str">
        <f>IF(AND($AV506=1,$AJ506=1),$BA506*100000+ROW(),"")</f>
        <v/>
      </c>
      <c r="BH506" s="71" t="str">
        <f>IF(AND($AW506=1,$AJ506=1),$BA506*100000+ROW(),"")</f>
        <v/>
      </c>
      <c r="BI506" s="71" t="str">
        <f>IF(AND($AX506=1,$AJ506=1),$BA506*100000+ROW(),"")</f>
        <v/>
      </c>
      <c r="BJ506" s="71" t="str">
        <f>IF(AND($AS506=1,$AJ506=1),$BA506*100000+ROW(),"")</f>
        <v/>
      </c>
      <c r="BK506" s="71" t="str">
        <f>IF(AND($AY506=1,$AJ506=1),$BA506*100000+ROW(),"")</f>
        <v/>
      </c>
      <c r="BL506" s="71" t="str">
        <f>IF(AND($AZ506=1),$BA506*100000+ROW(),"")</f>
        <v/>
      </c>
    </row>
    <row r="507">
      <c r="A507" s="63" t="n"/>
      <c r="B507" s="64" t="n"/>
      <c r="C507" s="64" t="n"/>
      <c r="D507" s="64" t="n"/>
      <c r="E507" s="64" t="n"/>
      <c r="F507" s="64" t="n"/>
      <c r="G507" s="65" t="n"/>
      <c r="H507" s="65" t="n"/>
      <c r="I507" s="64" t="n"/>
      <c r="J507" s="64" t="n"/>
      <c r="K507" s="63" t="n"/>
      <c r="L507" s="63" t="n"/>
      <c r="M507" s="64" t="n"/>
      <c r="N507" s="66" t="n"/>
      <c r="O507" s="65" t="n"/>
      <c r="P507" s="64" t="n"/>
      <c r="Q507" s="67" t="n"/>
      <c r="R507" s="67" t="n"/>
      <c r="S507" s="68" t="str">
        <f>IF(AND(ISNUMBER($Q507),ISNUMBER($R507)),$Q507-$R507,"")</f>
        <v/>
      </c>
      <c r="T507" s="65" t="n"/>
      <c r="U507" s="64" t="n"/>
      <c r="V507" s="65" t="n"/>
      <c r="W507" s="63" t="n"/>
      <c r="X507" s="65" t="n"/>
      <c r="Y507" s="63" t="n"/>
      <c r="Z507" s="64" t="n"/>
      <c r="AA507" s="64" t="n"/>
      <c r="AB507" s="65" t="n"/>
      <c r="AC507" s="69" t="str">
        <f>IF(OR($G507="",NOT(ISNUMBER($K507)),$AK507=0),"",MAX(0,ReportDate-$K507))</f>
        <v/>
      </c>
      <c r="AD507" s="69" t="str">
        <f>IF($G507="","",IF($AL507=1,ReportDate-$L507,0))</f>
        <v/>
      </c>
      <c r="AE507" s="70" t="str">
        <f>IF($G507="","",IF($M507="Completed",1,IF(ISNUMBER($N507),$N507,0)))</f>
        <v/>
      </c>
      <c r="AF507" s="70" t="str">
        <f>IF(AND(ISNUMBER($Q507),ISNUMBER($R507)),IF($R507&lt;&gt;0,$Q507/$R507,""),"")</f>
        <v/>
      </c>
      <c r="AG507" s="71" t="str">
        <f>IF($G507="","",IF($AL507=1,"OVERDUE",IF($AM507=1,"BLOCKED",IF($AN507=1,"DUE TODAY",IF($AO507=1,"DUE TOMORROW",IF($AQ507=1,"HIGH PRIORITY",IF($AR507=1,"NO RECENT UPDATE",""))))))) </f>
        <v/>
      </c>
      <c r="AH507" s="71" t="str">
        <f>IF($G507="","",IF(ISNUMBER($A507),IF(ISNUMBER($A507),YEAR($A507)&amp;"-"&amp;TEXT(MONTH($A507),"00"),""),IF(ISNUMBER($L507),IF(ISNUMBER($L507),YEAR($L507)&amp;"-"&amp;TEXT(MONTH($L507),"00"),""),"")))</f>
        <v/>
      </c>
      <c r="AI507" s="71">
        <f>IF($G507="",0,IF(AND(OR(fClient="All",$C507=fClient),OR(fCampaign="All",$D507=fCampaign),OR(fTeam="All",$B507=fTeam),OR(fChannel="All",$F507=fChannel),OR(fMonth="All",$AH507=fMonth),OR(fTStatus="All",$M507=fTStatus)),1,0))</f>
        <v>0</v>
      </c>
      <c r="AJ507" s="71">
        <f>IF($G507="",0,IF(AND(OR(fClient="All",$C507=fClient),OR(fCampaign="All",$D507=fCampaign),OR(fTeam="All",$B507=fTeam),OR(fChannel="All",$F507=fChannel)),1,0))</f>
        <v>0</v>
      </c>
      <c r="AK507" s="71">
        <f>IF($G507="",0,IF(OR($M507="Completed",$M507="Cancelled"),0,1))</f>
        <v>0</v>
      </c>
      <c r="AL507" s="71">
        <f>IF(AND($AK507=1,ISNUMBER($L507)),IF($L507&lt;ReportDate,1,0),0)</f>
        <v>0</v>
      </c>
      <c r="AM507" s="71">
        <f>IF(AND($G507&lt;&gt;"",$M507="Blocked"),1,0)</f>
        <v>0</v>
      </c>
      <c r="AN507" s="71">
        <f>IF(AND($AK507=1,ISNUMBER($L507)),IF($L507=ReportDate,1,0),0)</f>
        <v>0</v>
      </c>
      <c r="AO507" s="71">
        <f>IF(AND($AK507=1,ISNUMBER($L507)),IF($L507=ReportDate+1,1,0),0)</f>
        <v>0</v>
      </c>
      <c r="AP507" s="71">
        <f>IF(AND($AK507=1,ISNUMBER($L507)),IF(AND($L507&gt;=ReportDate,$L507&lt;=ReportDate+DueSoonDays),1,0),0)</f>
        <v>0</v>
      </c>
      <c r="AQ507" s="71">
        <f>IF(AND($AK507=1,OR($I507="Critical",$I507="High")),1,0)</f>
        <v>0</v>
      </c>
      <c r="AR507" s="71">
        <f>IF($AK507=1,IF(ISNUMBER($Y507),IF(ReportDate-$Y507&gt;StaleDays,1,0),1),0)</f>
        <v>0</v>
      </c>
      <c r="AS507" s="71">
        <f>IF(AND($G507&lt;&gt;"",ISNUMBER($Q507),ISNUMBER($R507)),IF(AND($Q507&lt;$R507,OR($M507="Completed",AND(ISNUMBER($L507),$L507&lt;ReportDate))),1,0),0)</f>
        <v>0</v>
      </c>
      <c r="AT507" s="71">
        <f>IF($AK507=1,IF(OR($L507=ReportDate,$W507=ReportDate,$K507=ReportDate,$A507=ReportDate),1,0),0)</f>
        <v>0</v>
      </c>
      <c r="AU507" s="71">
        <f>IF($AK507=1,IF(OR($L507=ReportDate+1,$W507=ReportDate+1,$K507=ReportDate+1,$A507=ReportDate+1),1,0),0)</f>
        <v>0</v>
      </c>
      <c r="AV507" s="71">
        <f>IF(AND($G507&lt;&gt;"",$M507="Completed"),IF(OR($Y507=ReportDate-1,$A507=ReportDate-1),1,0),0)</f>
        <v>0</v>
      </c>
      <c r="AW507" s="71">
        <f>IF(AND($AK507=1,$Z507="Yes"),1,0)</f>
        <v>0</v>
      </c>
      <c r="AX507" s="71">
        <f>IF(AND($AK507=1,$AA507="Yes"),1,0)</f>
        <v>0</v>
      </c>
      <c r="AY507" s="71">
        <f>IF(AND($AM507=1,OR($I507="Critical",$I507="High")),1,0)</f>
        <v>0</v>
      </c>
      <c r="AZ507" s="71">
        <f>IF(AND($AK507=1,OR($C507=TCL_Client,$C507=MECCA_Client)),1,0)</f>
        <v>0</v>
      </c>
      <c r="BA507" s="71" t="str">
        <f>IF($G507="","",IFERROR(MATCH($I507,lst_Priority,0),5))</f>
        <v/>
      </c>
      <c r="BB507" s="71" t="str">
        <f>IF(AND($AL507=1,$AJ507=1),$BA507*100000+ROW(),"")</f>
        <v/>
      </c>
      <c r="BC507" s="71" t="str">
        <f>IF(AND($AM507=1,$AJ507=1),$BA507*100000+ROW(),"")</f>
        <v/>
      </c>
      <c r="BD507" s="71" t="str">
        <f>IF(AND($AP507=1,$AJ507=1),$BA507*100000+ROW(),"")</f>
        <v/>
      </c>
      <c r="BE507" s="71" t="str">
        <f>IF(AND($AT507=1,$AJ507=1),$BA507*100000+ROW(),"")</f>
        <v/>
      </c>
      <c r="BF507" s="71" t="str">
        <f>IF(AND($AU507=1,$AJ507=1),$BA507*100000+ROW(),"")</f>
        <v/>
      </c>
      <c r="BG507" s="71" t="str">
        <f>IF(AND($AV507=1,$AJ507=1),$BA507*100000+ROW(),"")</f>
        <v/>
      </c>
      <c r="BH507" s="71" t="str">
        <f>IF(AND($AW507=1,$AJ507=1),$BA507*100000+ROW(),"")</f>
        <v/>
      </c>
      <c r="BI507" s="71" t="str">
        <f>IF(AND($AX507=1,$AJ507=1),$BA507*100000+ROW(),"")</f>
        <v/>
      </c>
      <c r="BJ507" s="71" t="str">
        <f>IF(AND($AS507=1,$AJ507=1),$BA507*100000+ROW(),"")</f>
        <v/>
      </c>
      <c r="BK507" s="71" t="str">
        <f>IF(AND($AY507=1,$AJ507=1),$BA507*100000+ROW(),"")</f>
        <v/>
      </c>
      <c r="BL507" s="71" t="str">
        <f>IF(AND($AZ507=1),$BA507*100000+ROW(),"")</f>
        <v/>
      </c>
    </row>
    <row r="508">
      <c r="A508" s="63" t="n"/>
      <c r="B508" s="64" t="n"/>
      <c r="C508" s="64" t="n"/>
      <c r="D508" s="64" t="n"/>
      <c r="E508" s="64" t="n"/>
      <c r="F508" s="64" t="n"/>
      <c r="G508" s="65" t="n"/>
      <c r="H508" s="65" t="n"/>
      <c r="I508" s="64" t="n"/>
      <c r="J508" s="64" t="n"/>
      <c r="K508" s="63" t="n"/>
      <c r="L508" s="63" t="n"/>
      <c r="M508" s="64" t="n"/>
      <c r="N508" s="66" t="n"/>
      <c r="O508" s="65" t="n"/>
      <c r="P508" s="64" t="n"/>
      <c r="Q508" s="67" t="n"/>
      <c r="R508" s="67" t="n"/>
      <c r="S508" s="68" t="str">
        <f>IF(AND(ISNUMBER($Q508),ISNUMBER($R508)),$Q508-$R508,"")</f>
        <v/>
      </c>
      <c r="T508" s="65" t="n"/>
      <c r="U508" s="64" t="n"/>
      <c r="V508" s="65" t="n"/>
      <c r="W508" s="63" t="n"/>
      <c r="X508" s="65" t="n"/>
      <c r="Y508" s="63" t="n"/>
      <c r="Z508" s="64" t="n"/>
      <c r="AA508" s="64" t="n"/>
      <c r="AB508" s="65" t="n"/>
      <c r="AC508" s="69" t="str">
        <f>IF(OR($G508="",NOT(ISNUMBER($K508)),$AK508=0),"",MAX(0,ReportDate-$K508))</f>
        <v/>
      </c>
      <c r="AD508" s="69" t="str">
        <f>IF($G508="","",IF($AL508=1,ReportDate-$L508,0))</f>
        <v/>
      </c>
      <c r="AE508" s="70" t="str">
        <f>IF($G508="","",IF($M508="Completed",1,IF(ISNUMBER($N508),$N508,0)))</f>
        <v/>
      </c>
      <c r="AF508" s="70" t="str">
        <f>IF(AND(ISNUMBER($Q508),ISNUMBER($R508)),IF($R508&lt;&gt;0,$Q508/$R508,""),"")</f>
        <v/>
      </c>
      <c r="AG508" s="71" t="str">
        <f>IF($G508="","",IF($AL508=1,"OVERDUE",IF($AM508=1,"BLOCKED",IF($AN508=1,"DUE TODAY",IF($AO508=1,"DUE TOMORROW",IF($AQ508=1,"HIGH PRIORITY",IF($AR508=1,"NO RECENT UPDATE",""))))))) </f>
        <v/>
      </c>
      <c r="AH508" s="71" t="str">
        <f>IF($G508="","",IF(ISNUMBER($A508),IF(ISNUMBER($A508),YEAR($A508)&amp;"-"&amp;TEXT(MONTH($A508),"00"),""),IF(ISNUMBER($L508),IF(ISNUMBER($L508),YEAR($L508)&amp;"-"&amp;TEXT(MONTH($L508),"00"),""),"")))</f>
        <v/>
      </c>
      <c r="AI508" s="71">
        <f>IF($G508="",0,IF(AND(OR(fClient="All",$C508=fClient),OR(fCampaign="All",$D508=fCampaign),OR(fTeam="All",$B508=fTeam),OR(fChannel="All",$F508=fChannel),OR(fMonth="All",$AH508=fMonth),OR(fTStatus="All",$M508=fTStatus)),1,0))</f>
        <v>0</v>
      </c>
      <c r="AJ508" s="71">
        <f>IF($G508="",0,IF(AND(OR(fClient="All",$C508=fClient),OR(fCampaign="All",$D508=fCampaign),OR(fTeam="All",$B508=fTeam),OR(fChannel="All",$F508=fChannel)),1,0))</f>
        <v>0</v>
      </c>
      <c r="AK508" s="71">
        <f>IF($G508="",0,IF(OR($M508="Completed",$M508="Cancelled"),0,1))</f>
        <v>0</v>
      </c>
      <c r="AL508" s="71">
        <f>IF(AND($AK508=1,ISNUMBER($L508)),IF($L508&lt;ReportDate,1,0),0)</f>
        <v>0</v>
      </c>
      <c r="AM508" s="71">
        <f>IF(AND($G508&lt;&gt;"",$M508="Blocked"),1,0)</f>
        <v>0</v>
      </c>
      <c r="AN508" s="71">
        <f>IF(AND($AK508=1,ISNUMBER($L508)),IF($L508=ReportDate,1,0),0)</f>
        <v>0</v>
      </c>
      <c r="AO508" s="71">
        <f>IF(AND($AK508=1,ISNUMBER($L508)),IF($L508=ReportDate+1,1,0),0)</f>
        <v>0</v>
      </c>
      <c r="AP508" s="71">
        <f>IF(AND($AK508=1,ISNUMBER($L508)),IF(AND($L508&gt;=ReportDate,$L508&lt;=ReportDate+DueSoonDays),1,0),0)</f>
        <v>0</v>
      </c>
      <c r="AQ508" s="71">
        <f>IF(AND($AK508=1,OR($I508="Critical",$I508="High")),1,0)</f>
        <v>0</v>
      </c>
      <c r="AR508" s="71">
        <f>IF($AK508=1,IF(ISNUMBER($Y508),IF(ReportDate-$Y508&gt;StaleDays,1,0),1),0)</f>
        <v>0</v>
      </c>
      <c r="AS508" s="71">
        <f>IF(AND($G508&lt;&gt;"",ISNUMBER($Q508),ISNUMBER($R508)),IF(AND($Q508&lt;$R508,OR($M508="Completed",AND(ISNUMBER($L508),$L508&lt;ReportDate))),1,0),0)</f>
        <v>0</v>
      </c>
      <c r="AT508" s="71">
        <f>IF($AK508=1,IF(OR($L508=ReportDate,$W508=ReportDate,$K508=ReportDate,$A508=ReportDate),1,0),0)</f>
        <v>0</v>
      </c>
      <c r="AU508" s="71">
        <f>IF($AK508=1,IF(OR($L508=ReportDate+1,$W508=ReportDate+1,$K508=ReportDate+1,$A508=ReportDate+1),1,0),0)</f>
        <v>0</v>
      </c>
      <c r="AV508" s="71">
        <f>IF(AND($G508&lt;&gt;"",$M508="Completed"),IF(OR($Y508=ReportDate-1,$A508=ReportDate-1),1,0),0)</f>
        <v>0</v>
      </c>
      <c r="AW508" s="71">
        <f>IF(AND($AK508=1,$Z508="Yes"),1,0)</f>
        <v>0</v>
      </c>
      <c r="AX508" s="71">
        <f>IF(AND($AK508=1,$AA508="Yes"),1,0)</f>
        <v>0</v>
      </c>
      <c r="AY508" s="71">
        <f>IF(AND($AM508=1,OR($I508="Critical",$I508="High")),1,0)</f>
        <v>0</v>
      </c>
      <c r="AZ508" s="71">
        <f>IF(AND($AK508=1,OR($C508=TCL_Client,$C508=MECCA_Client)),1,0)</f>
        <v>0</v>
      </c>
      <c r="BA508" s="71" t="str">
        <f>IF($G508="","",IFERROR(MATCH($I508,lst_Priority,0),5))</f>
        <v/>
      </c>
      <c r="BB508" s="71" t="str">
        <f>IF(AND($AL508=1,$AJ508=1),$BA508*100000+ROW(),"")</f>
        <v/>
      </c>
      <c r="BC508" s="71" t="str">
        <f>IF(AND($AM508=1,$AJ508=1),$BA508*100000+ROW(),"")</f>
        <v/>
      </c>
      <c r="BD508" s="71" t="str">
        <f>IF(AND($AP508=1,$AJ508=1),$BA508*100000+ROW(),"")</f>
        <v/>
      </c>
      <c r="BE508" s="71" t="str">
        <f>IF(AND($AT508=1,$AJ508=1),$BA508*100000+ROW(),"")</f>
        <v/>
      </c>
      <c r="BF508" s="71" t="str">
        <f>IF(AND($AU508=1,$AJ508=1),$BA508*100000+ROW(),"")</f>
        <v/>
      </c>
      <c r="BG508" s="71" t="str">
        <f>IF(AND($AV508=1,$AJ508=1),$BA508*100000+ROW(),"")</f>
        <v/>
      </c>
      <c r="BH508" s="71" t="str">
        <f>IF(AND($AW508=1,$AJ508=1),$BA508*100000+ROW(),"")</f>
        <v/>
      </c>
      <c r="BI508" s="71" t="str">
        <f>IF(AND($AX508=1,$AJ508=1),$BA508*100000+ROW(),"")</f>
        <v/>
      </c>
      <c r="BJ508" s="71" t="str">
        <f>IF(AND($AS508=1,$AJ508=1),$BA508*100000+ROW(),"")</f>
        <v/>
      </c>
      <c r="BK508" s="71" t="str">
        <f>IF(AND($AY508=1,$AJ508=1),$BA508*100000+ROW(),"")</f>
        <v/>
      </c>
      <c r="BL508" s="71" t="str">
        <f>IF(AND($AZ508=1),$BA508*100000+ROW(),"")</f>
        <v/>
      </c>
    </row>
    <row r="509">
      <c r="A509" s="63" t="n"/>
      <c r="B509" s="64" t="n"/>
      <c r="C509" s="64" t="n"/>
      <c r="D509" s="64" t="n"/>
      <c r="E509" s="64" t="n"/>
      <c r="F509" s="64" t="n"/>
      <c r="G509" s="65" t="n"/>
      <c r="H509" s="65" t="n"/>
      <c r="I509" s="64" t="n"/>
      <c r="J509" s="64" t="n"/>
      <c r="K509" s="63" t="n"/>
      <c r="L509" s="63" t="n"/>
      <c r="M509" s="64" t="n"/>
      <c r="N509" s="66" t="n"/>
      <c r="O509" s="65" t="n"/>
      <c r="P509" s="64" t="n"/>
      <c r="Q509" s="67" t="n"/>
      <c r="R509" s="67" t="n"/>
      <c r="S509" s="68" t="str">
        <f>IF(AND(ISNUMBER($Q509),ISNUMBER($R509)),$Q509-$R509,"")</f>
        <v/>
      </c>
      <c r="T509" s="65" t="n"/>
      <c r="U509" s="64" t="n"/>
      <c r="V509" s="65" t="n"/>
      <c r="W509" s="63" t="n"/>
      <c r="X509" s="65" t="n"/>
      <c r="Y509" s="63" t="n"/>
      <c r="Z509" s="64" t="n"/>
      <c r="AA509" s="64" t="n"/>
      <c r="AB509" s="65" t="n"/>
      <c r="AC509" s="69" t="str">
        <f>IF(OR($G509="",NOT(ISNUMBER($K509)),$AK509=0),"",MAX(0,ReportDate-$K509))</f>
        <v/>
      </c>
      <c r="AD509" s="69" t="str">
        <f>IF($G509="","",IF($AL509=1,ReportDate-$L509,0))</f>
        <v/>
      </c>
      <c r="AE509" s="70" t="str">
        <f>IF($G509="","",IF($M509="Completed",1,IF(ISNUMBER($N509),$N509,0)))</f>
        <v/>
      </c>
      <c r="AF509" s="70" t="str">
        <f>IF(AND(ISNUMBER($Q509),ISNUMBER($R509)),IF($R509&lt;&gt;0,$Q509/$R509,""),"")</f>
        <v/>
      </c>
      <c r="AG509" s="71" t="str">
        <f>IF($G509="","",IF($AL509=1,"OVERDUE",IF($AM509=1,"BLOCKED",IF($AN509=1,"DUE TODAY",IF($AO509=1,"DUE TOMORROW",IF($AQ509=1,"HIGH PRIORITY",IF($AR509=1,"NO RECENT UPDATE",""))))))) </f>
        <v/>
      </c>
      <c r="AH509" s="71" t="str">
        <f>IF($G509="","",IF(ISNUMBER($A509),IF(ISNUMBER($A509),YEAR($A509)&amp;"-"&amp;TEXT(MONTH($A509),"00"),""),IF(ISNUMBER($L509),IF(ISNUMBER($L509),YEAR($L509)&amp;"-"&amp;TEXT(MONTH($L509),"00"),""),"")))</f>
        <v/>
      </c>
      <c r="AI509" s="71">
        <f>IF($G509="",0,IF(AND(OR(fClient="All",$C509=fClient),OR(fCampaign="All",$D509=fCampaign),OR(fTeam="All",$B509=fTeam),OR(fChannel="All",$F509=fChannel),OR(fMonth="All",$AH509=fMonth),OR(fTStatus="All",$M509=fTStatus)),1,0))</f>
        <v>0</v>
      </c>
      <c r="AJ509" s="71">
        <f>IF($G509="",0,IF(AND(OR(fClient="All",$C509=fClient),OR(fCampaign="All",$D509=fCampaign),OR(fTeam="All",$B509=fTeam),OR(fChannel="All",$F509=fChannel)),1,0))</f>
        <v>0</v>
      </c>
      <c r="AK509" s="71">
        <f>IF($G509="",0,IF(OR($M509="Completed",$M509="Cancelled"),0,1))</f>
        <v>0</v>
      </c>
      <c r="AL509" s="71">
        <f>IF(AND($AK509=1,ISNUMBER($L509)),IF($L509&lt;ReportDate,1,0),0)</f>
        <v>0</v>
      </c>
      <c r="AM509" s="71">
        <f>IF(AND($G509&lt;&gt;"",$M509="Blocked"),1,0)</f>
        <v>0</v>
      </c>
      <c r="AN509" s="71">
        <f>IF(AND($AK509=1,ISNUMBER($L509)),IF($L509=ReportDate,1,0),0)</f>
        <v>0</v>
      </c>
      <c r="AO509" s="71">
        <f>IF(AND($AK509=1,ISNUMBER($L509)),IF($L509=ReportDate+1,1,0),0)</f>
        <v>0</v>
      </c>
      <c r="AP509" s="71">
        <f>IF(AND($AK509=1,ISNUMBER($L509)),IF(AND($L509&gt;=ReportDate,$L509&lt;=ReportDate+DueSoonDays),1,0),0)</f>
        <v>0</v>
      </c>
      <c r="AQ509" s="71">
        <f>IF(AND($AK509=1,OR($I509="Critical",$I509="High")),1,0)</f>
        <v>0</v>
      </c>
      <c r="AR509" s="71">
        <f>IF($AK509=1,IF(ISNUMBER($Y509),IF(ReportDate-$Y509&gt;StaleDays,1,0),1),0)</f>
        <v>0</v>
      </c>
      <c r="AS509" s="71">
        <f>IF(AND($G509&lt;&gt;"",ISNUMBER($Q509),ISNUMBER($R509)),IF(AND($Q509&lt;$R509,OR($M509="Completed",AND(ISNUMBER($L509),$L509&lt;ReportDate))),1,0),0)</f>
        <v>0</v>
      </c>
      <c r="AT509" s="71">
        <f>IF($AK509=1,IF(OR($L509=ReportDate,$W509=ReportDate,$K509=ReportDate,$A509=ReportDate),1,0),0)</f>
        <v>0</v>
      </c>
      <c r="AU509" s="71">
        <f>IF($AK509=1,IF(OR($L509=ReportDate+1,$W509=ReportDate+1,$K509=ReportDate+1,$A509=ReportDate+1),1,0),0)</f>
        <v>0</v>
      </c>
      <c r="AV509" s="71">
        <f>IF(AND($G509&lt;&gt;"",$M509="Completed"),IF(OR($Y509=ReportDate-1,$A509=ReportDate-1),1,0),0)</f>
        <v>0</v>
      </c>
      <c r="AW509" s="71">
        <f>IF(AND($AK509=1,$Z509="Yes"),1,0)</f>
        <v>0</v>
      </c>
      <c r="AX509" s="71">
        <f>IF(AND($AK509=1,$AA509="Yes"),1,0)</f>
        <v>0</v>
      </c>
      <c r="AY509" s="71">
        <f>IF(AND($AM509=1,OR($I509="Critical",$I509="High")),1,0)</f>
        <v>0</v>
      </c>
      <c r="AZ509" s="71">
        <f>IF(AND($AK509=1,OR($C509=TCL_Client,$C509=MECCA_Client)),1,0)</f>
        <v>0</v>
      </c>
      <c r="BA509" s="71" t="str">
        <f>IF($G509="","",IFERROR(MATCH($I509,lst_Priority,0),5))</f>
        <v/>
      </c>
      <c r="BB509" s="71" t="str">
        <f>IF(AND($AL509=1,$AJ509=1),$BA509*100000+ROW(),"")</f>
        <v/>
      </c>
      <c r="BC509" s="71" t="str">
        <f>IF(AND($AM509=1,$AJ509=1),$BA509*100000+ROW(),"")</f>
        <v/>
      </c>
      <c r="BD509" s="71" t="str">
        <f>IF(AND($AP509=1,$AJ509=1),$BA509*100000+ROW(),"")</f>
        <v/>
      </c>
      <c r="BE509" s="71" t="str">
        <f>IF(AND($AT509=1,$AJ509=1),$BA509*100000+ROW(),"")</f>
        <v/>
      </c>
      <c r="BF509" s="71" t="str">
        <f>IF(AND($AU509=1,$AJ509=1),$BA509*100000+ROW(),"")</f>
        <v/>
      </c>
      <c r="BG509" s="71" t="str">
        <f>IF(AND($AV509=1,$AJ509=1),$BA509*100000+ROW(),"")</f>
        <v/>
      </c>
      <c r="BH509" s="71" t="str">
        <f>IF(AND($AW509=1,$AJ509=1),$BA509*100000+ROW(),"")</f>
        <v/>
      </c>
      <c r="BI509" s="71" t="str">
        <f>IF(AND($AX509=1,$AJ509=1),$BA509*100000+ROW(),"")</f>
        <v/>
      </c>
      <c r="BJ509" s="71" t="str">
        <f>IF(AND($AS509=1,$AJ509=1),$BA509*100000+ROW(),"")</f>
        <v/>
      </c>
      <c r="BK509" s="71" t="str">
        <f>IF(AND($AY509=1,$AJ509=1),$BA509*100000+ROW(),"")</f>
        <v/>
      </c>
      <c r="BL509" s="71" t="str">
        <f>IF(AND($AZ509=1),$BA509*100000+ROW(),"")</f>
        <v/>
      </c>
    </row>
    <row r="510">
      <c r="A510" s="63" t="n"/>
      <c r="B510" s="64" t="n"/>
      <c r="C510" s="64" t="n"/>
      <c r="D510" s="64" t="n"/>
      <c r="E510" s="64" t="n"/>
      <c r="F510" s="64" t="n"/>
      <c r="G510" s="65" t="n"/>
      <c r="H510" s="65" t="n"/>
      <c r="I510" s="64" t="n"/>
      <c r="J510" s="64" t="n"/>
      <c r="K510" s="63" t="n"/>
      <c r="L510" s="63" t="n"/>
      <c r="M510" s="64" t="n"/>
      <c r="N510" s="66" t="n"/>
      <c r="O510" s="65" t="n"/>
      <c r="P510" s="64" t="n"/>
      <c r="Q510" s="67" t="n"/>
      <c r="R510" s="67" t="n"/>
      <c r="S510" s="68" t="str">
        <f>IF(AND(ISNUMBER($Q510),ISNUMBER($R510)),$Q510-$R510,"")</f>
        <v/>
      </c>
      <c r="T510" s="65" t="n"/>
      <c r="U510" s="64" t="n"/>
      <c r="V510" s="65" t="n"/>
      <c r="W510" s="63" t="n"/>
      <c r="X510" s="65" t="n"/>
      <c r="Y510" s="63" t="n"/>
      <c r="Z510" s="64" t="n"/>
      <c r="AA510" s="64" t="n"/>
      <c r="AB510" s="65" t="n"/>
      <c r="AC510" s="69" t="str">
        <f>IF(OR($G510="",NOT(ISNUMBER($K510)),$AK510=0),"",MAX(0,ReportDate-$K510))</f>
        <v/>
      </c>
      <c r="AD510" s="69" t="str">
        <f>IF($G510="","",IF($AL510=1,ReportDate-$L510,0))</f>
        <v/>
      </c>
      <c r="AE510" s="70" t="str">
        <f>IF($G510="","",IF($M510="Completed",1,IF(ISNUMBER($N510),$N510,0)))</f>
        <v/>
      </c>
      <c r="AF510" s="70" t="str">
        <f>IF(AND(ISNUMBER($Q510),ISNUMBER($R510)),IF($R510&lt;&gt;0,$Q510/$R510,""),"")</f>
        <v/>
      </c>
      <c r="AG510" s="71" t="str">
        <f>IF($G510="","",IF($AL510=1,"OVERDUE",IF($AM510=1,"BLOCKED",IF($AN510=1,"DUE TODAY",IF($AO510=1,"DUE TOMORROW",IF($AQ510=1,"HIGH PRIORITY",IF($AR510=1,"NO RECENT UPDATE",""))))))) </f>
        <v/>
      </c>
      <c r="AH510" s="71" t="str">
        <f>IF($G510="","",IF(ISNUMBER($A510),IF(ISNUMBER($A510),YEAR($A510)&amp;"-"&amp;TEXT(MONTH($A510),"00"),""),IF(ISNUMBER($L510),IF(ISNUMBER($L510),YEAR($L510)&amp;"-"&amp;TEXT(MONTH($L510),"00"),""),"")))</f>
        <v/>
      </c>
      <c r="AI510" s="71">
        <f>IF($G510="",0,IF(AND(OR(fClient="All",$C510=fClient),OR(fCampaign="All",$D510=fCampaign),OR(fTeam="All",$B510=fTeam),OR(fChannel="All",$F510=fChannel),OR(fMonth="All",$AH510=fMonth),OR(fTStatus="All",$M510=fTStatus)),1,0))</f>
        <v>0</v>
      </c>
      <c r="AJ510" s="71">
        <f>IF($G510="",0,IF(AND(OR(fClient="All",$C510=fClient),OR(fCampaign="All",$D510=fCampaign),OR(fTeam="All",$B510=fTeam),OR(fChannel="All",$F510=fChannel)),1,0))</f>
        <v>0</v>
      </c>
      <c r="AK510" s="71">
        <f>IF($G510="",0,IF(OR($M510="Completed",$M510="Cancelled"),0,1))</f>
        <v>0</v>
      </c>
      <c r="AL510" s="71">
        <f>IF(AND($AK510=1,ISNUMBER($L510)),IF($L510&lt;ReportDate,1,0),0)</f>
        <v>0</v>
      </c>
      <c r="AM510" s="71">
        <f>IF(AND($G510&lt;&gt;"",$M510="Blocked"),1,0)</f>
        <v>0</v>
      </c>
      <c r="AN510" s="71">
        <f>IF(AND($AK510=1,ISNUMBER($L510)),IF($L510=ReportDate,1,0),0)</f>
        <v>0</v>
      </c>
      <c r="AO510" s="71">
        <f>IF(AND($AK510=1,ISNUMBER($L510)),IF($L510=ReportDate+1,1,0),0)</f>
        <v>0</v>
      </c>
      <c r="AP510" s="71">
        <f>IF(AND($AK510=1,ISNUMBER($L510)),IF(AND($L510&gt;=ReportDate,$L510&lt;=ReportDate+DueSoonDays),1,0),0)</f>
        <v>0</v>
      </c>
      <c r="AQ510" s="71">
        <f>IF(AND($AK510=1,OR($I510="Critical",$I510="High")),1,0)</f>
        <v>0</v>
      </c>
      <c r="AR510" s="71">
        <f>IF($AK510=1,IF(ISNUMBER($Y510),IF(ReportDate-$Y510&gt;StaleDays,1,0),1),0)</f>
        <v>0</v>
      </c>
      <c r="AS510" s="71">
        <f>IF(AND($G510&lt;&gt;"",ISNUMBER($Q510),ISNUMBER($R510)),IF(AND($Q510&lt;$R510,OR($M510="Completed",AND(ISNUMBER($L510),$L510&lt;ReportDate))),1,0),0)</f>
        <v>0</v>
      </c>
      <c r="AT510" s="71">
        <f>IF($AK510=1,IF(OR($L510=ReportDate,$W510=ReportDate,$K510=ReportDate,$A510=ReportDate),1,0),0)</f>
        <v>0</v>
      </c>
      <c r="AU510" s="71">
        <f>IF($AK510=1,IF(OR($L510=ReportDate+1,$W510=ReportDate+1,$K510=ReportDate+1,$A510=ReportDate+1),1,0),0)</f>
        <v>0</v>
      </c>
      <c r="AV510" s="71">
        <f>IF(AND($G510&lt;&gt;"",$M510="Completed"),IF(OR($Y510=ReportDate-1,$A510=ReportDate-1),1,0),0)</f>
        <v>0</v>
      </c>
      <c r="AW510" s="71">
        <f>IF(AND($AK510=1,$Z510="Yes"),1,0)</f>
        <v>0</v>
      </c>
      <c r="AX510" s="71">
        <f>IF(AND($AK510=1,$AA510="Yes"),1,0)</f>
        <v>0</v>
      </c>
      <c r="AY510" s="71">
        <f>IF(AND($AM510=1,OR($I510="Critical",$I510="High")),1,0)</f>
        <v>0</v>
      </c>
      <c r="AZ510" s="71">
        <f>IF(AND($AK510=1,OR($C510=TCL_Client,$C510=MECCA_Client)),1,0)</f>
        <v>0</v>
      </c>
      <c r="BA510" s="71" t="str">
        <f>IF($G510="","",IFERROR(MATCH($I510,lst_Priority,0),5))</f>
        <v/>
      </c>
      <c r="BB510" s="71" t="str">
        <f>IF(AND($AL510=1,$AJ510=1),$BA510*100000+ROW(),"")</f>
        <v/>
      </c>
      <c r="BC510" s="71" t="str">
        <f>IF(AND($AM510=1,$AJ510=1),$BA510*100000+ROW(),"")</f>
        <v/>
      </c>
      <c r="BD510" s="71" t="str">
        <f>IF(AND($AP510=1,$AJ510=1),$BA510*100000+ROW(),"")</f>
        <v/>
      </c>
      <c r="BE510" s="71" t="str">
        <f>IF(AND($AT510=1,$AJ510=1),$BA510*100000+ROW(),"")</f>
        <v/>
      </c>
      <c r="BF510" s="71" t="str">
        <f>IF(AND($AU510=1,$AJ510=1),$BA510*100000+ROW(),"")</f>
        <v/>
      </c>
      <c r="BG510" s="71" t="str">
        <f>IF(AND($AV510=1,$AJ510=1),$BA510*100000+ROW(),"")</f>
        <v/>
      </c>
      <c r="BH510" s="71" t="str">
        <f>IF(AND($AW510=1,$AJ510=1),$BA510*100000+ROW(),"")</f>
        <v/>
      </c>
      <c r="BI510" s="71" t="str">
        <f>IF(AND($AX510=1,$AJ510=1),$BA510*100000+ROW(),"")</f>
        <v/>
      </c>
      <c r="BJ510" s="71" t="str">
        <f>IF(AND($AS510=1,$AJ510=1),$BA510*100000+ROW(),"")</f>
        <v/>
      </c>
      <c r="BK510" s="71" t="str">
        <f>IF(AND($AY510=1,$AJ510=1),$BA510*100000+ROW(),"")</f>
        <v/>
      </c>
      <c r="BL510" s="71" t="str">
        <f>IF(AND($AZ510=1),$BA510*100000+ROW(),"")</f>
        <v/>
      </c>
    </row>
    <row r="511">
      <c r="A511" s="63" t="n"/>
      <c r="B511" s="64" t="n"/>
      <c r="C511" s="64" t="n"/>
      <c r="D511" s="64" t="n"/>
      <c r="E511" s="64" t="n"/>
      <c r="F511" s="64" t="n"/>
      <c r="G511" s="65" t="n"/>
      <c r="H511" s="65" t="n"/>
      <c r="I511" s="64" t="n"/>
      <c r="J511" s="64" t="n"/>
      <c r="K511" s="63" t="n"/>
      <c r="L511" s="63" t="n"/>
      <c r="M511" s="64" t="n"/>
      <c r="N511" s="66" t="n"/>
      <c r="O511" s="65" t="n"/>
      <c r="P511" s="64" t="n"/>
      <c r="Q511" s="67" t="n"/>
      <c r="R511" s="67" t="n"/>
      <c r="S511" s="68" t="str">
        <f>IF(AND(ISNUMBER($Q511),ISNUMBER($R511)),$Q511-$R511,"")</f>
        <v/>
      </c>
      <c r="T511" s="65" t="n"/>
      <c r="U511" s="64" t="n"/>
      <c r="V511" s="65" t="n"/>
      <c r="W511" s="63" t="n"/>
      <c r="X511" s="65" t="n"/>
      <c r="Y511" s="63" t="n"/>
      <c r="Z511" s="64" t="n"/>
      <c r="AA511" s="64" t="n"/>
      <c r="AB511" s="65" t="n"/>
      <c r="AC511" s="69" t="str">
        <f>IF(OR($G511="",NOT(ISNUMBER($K511)),$AK511=0),"",MAX(0,ReportDate-$K511))</f>
        <v/>
      </c>
      <c r="AD511" s="69" t="str">
        <f>IF($G511="","",IF($AL511=1,ReportDate-$L511,0))</f>
        <v/>
      </c>
      <c r="AE511" s="70" t="str">
        <f>IF($G511="","",IF($M511="Completed",1,IF(ISNUMBER($N511),$N511,0)))</f>
        <v/>
      </c>
      <c r="AF511" s="70" t="str">
        <f>IF(AND(ISNUMBER($Q511),ISNUMBER($R511)),IF($R511&lt;&gt;0,$Q511/$R511,""),"")</f>
        <v/>
      </c>
      <c r="AG511" s="71" t="str">
        <f>IF($G511="","",IF($AL511=1,"OVERDUE",IF($AM511=1,"BLOCKED",IF($AN511=1,"DUE TODAY",IF($AO511=1,"DUE TOMORROW",IF($AQ511=1,"HIGH PRIORITY",IF($AR511=1,"NO RECENT UPDATE",""))))))) </f>
        <v/>
      </c>
      <c r="AH511" s="71" t="str">
        <f>IF($G511="","",IF(ISNUMBER($A511),IF(ISNUMBER($A511),YEAR($A511)&amp;"-"&amp;TEXT(MONTH($A511),"00"),""),IF(ISNUMBER($L511),IF(ISNUMBER($L511),YEAR($L511)&amp;"-"&amp;TEXT(MONTH($L511),"00"),""),"")))</f>
        <v/>
      </c>
      <c r="AI511" s="71">
        <f>IF($G511="",0,IF(AND(OR(fClient="All",$C511=fClient),OR(fCampaign="All",$D511=fCampaign),OR(fTeam="All",$B511=fTeam),OR(fChannel="All",$F511=fChannel),OR(fMonth="All",$AH511=fMonth),OR(fTStatus="All",$M511=fTStatus)),1,0))</f>
        <v>0</v>
      </c>
      <c r="AJ511" s="71">
        <f>IF($G511="",0,IF(AND(OR(fClient="All",$C511=fClient),OR(fCampaign="All",$D511=fCampaign),OR(fTeam="All",$B511=fTeam),OR(fChannel="All",$F511=fChannel)),1,0))</f>
        <v>0</v>
      </c>
      <c r="AK511" s="71">
        <f>IF($G511="",0,IF(OR($M511="Completed",$M511="Cancelled"),0,1))</f>
        <v>0</v>
      </c>
      <c r="AL511" s="71">
        <f>IF(AND($AK511=1,ISNUMBER($L511)),IF($L511&lt;ReportDate,1,0),0)</f>
        <v>0</v>
      </c>
      <c r="AM511" s="71">
        <f>IF(AND($G511&lt;&gt;"",$M511="Blocked"),1,0)</f>
        <v>0</v>
      </c>
      <c r="AN511" s="71">
        <f>IF(AND($AK511=1,ISNUMBER($L511)),IF($L511=ReportDate,1,0),0)</f>
        <v>0</v>
      </c>
      <c r="AO511" s="71">
        <f>IF(AND($AK511=1,ISNUMBER($L511)),IF($L511=ReportDate+1,1,0),0)</f>
        <v>0</v>
      </c>
      <c r="AP511" s="71">
        <f>IF(AND($AK511=1,ISNUMBER($L511)),IF(AND($L511&gt;=ReportDate,$L511&lt;=ReportDate+DueSoonDays),1,0),0)</f>
        <v>0</v>
      </c>
      <c r="AQ511" s="71">
        <f>IF(AND($AK511=1,OR($I511="Critical",$I511="High")),1,0)</f>
        <v>0</v>
      </c>
      <c r="AR511" s="71">
        <f>IF($AK511=1,IF(ISNUMBER($Y511),IF(ReportDate-$Y511&gt;StaleDays,1,0),1),0)</f>
        <v>0</v>
      </c>
      <c r="AS511" s="71">
        <f>IF(AND($G511&lt;&gt;"",ISNUMBER($Q511),ISNUMBER($R511)),IF(AND($Q511&lt;$R511,OR($M511="Completed",AND(ISNUMBER($L511),$L511&lt;ReportDate))),1,0),0)</f>
        <v>0</v>
      </c>
      <c r="AT511" s="71">
        <f>IF($AK511=1,IF(OR($L511=ReportDate,$W511=ReportDate,$K511=ReportDate,$A511=ReportDate),1,0),0)</f>
        <v>0</v>
      </c>
      <c r="AU511" s="71">
        <f>IF($AK511=1,IF(OR($L511=ReportDate+1,$W511=ReportDate+1,$K511=ReportDate+1,$A511=ReportDate+1),1,0),0)</f>
        <v>0</v>
      </c>
      <c r="AV511" s="71">
        <f>IF(AND($G511&lt;&gt;"",$M511="Completed"),IF(OR($Y511=ReportDate-1,$A511=ReportDate-1),1,0),0)</f>
        <v>0</v>
      </c>
      <c r="AW511" s="71">
        <f>IF(AND($AK511=1,$Z511="Yes"),1,0)</f>
        <v>0</v>
      </c>
      <c r="AX511" s="71">
        <f>IF(AND($AK511=1,$AA511="Yes"),1,0)</f>
        <v>0</v>
      </c>
      <c r="AY511" s="71">
        <f>IF(AND($AM511=1,OR($I511="Critical",$I511="High")),1,0)</f>
        <v>0</v>
      </c>
      <c r="AZ511" s="71">
        <f>IF(AND($AK511=1,OR($C511=TCL_Client,$C511=MECCA_Client)),1,0)</f>
        <v>0</v>
      </c>
      <c r="BA511" s="71" t="str">
        <f>IF($G511="","",IFERROR(MATCH($I511,lst_Priority,0),5))</f>
        <v/>
      </c>
      <c r="BB511" s="71" t="str">
        <f>IF(AND($AL511=1,$AJ511=1),$BA511*100000+ROW(),"")</f>
        <v/>
      </c>
      <c r="BC511" s="71" t="str">
        <f>IF(AND($AM511=1,$AJ511=1),$BA511*100000+ROW(),"")</f>
        <v/>
      </c>
      <c r="BD511" s="71" t="str">
        <f>IF(AND($AP511=1,$AJ511=1),$BA511*100000+ROW(),"")</f>
        <v/>
      </c>
      <c r="BE511" s="71" t="str">
        <f>IF(AND($AT511=1,$AJ511=1),$BA511*100000+ROW(),"")</f>
        <v/>
      </c>
      <c r="BF511" s="71" t="str">
        <f>IF(AND($AU511=1,$AJ511=1),$BA511*100000+ROW(),"")</f>
        <v/>
      </c>
      <c r="BG511" s="71" t="str">
        <f>IF(AND($AV511=1,$AJ511=1),$BA511*100000+ROW(),"")</f>
        <v/>
      </c>
      <c r="BH511" s="71" t="str">
        <f>IF(AND($AW511=1,$AJ511=1),$BA511*100000+ROW(),"")</f>
        <v/>
      </c>
      <c r="BI511" s="71" t="str">
        <f>IF(AND($AX511=1,$AJ511=1),$BA511*100000+ROW(),"")</f>
        <v/>
      </c>
      <c r="BJ511" s="71" t="str">
        <f>IF(AND($AS511=1,$AJ511=1),$BA511*100000+ROW(),"")</f>
        <v/>
      </c>
      <c r="BK511" s="71" t="str">
        <f>IF(AND($AY511=1,$AJ511=1),$BA511*100000+ROW(),"")</f>
        <v/>
      </c>
      <c r="BL511" s="71" t="str">
        <f>IF(AND($AZ511=1),$BA511*100000+ROW(),"")</f>
        <v/>
      </c>
    </row>
    <row r="512">
      <c r="A512" s="63" t="n"/>
      <c r="B512" s="64" t="n"/>
      <c r="C512" s="64" t="n"/>
      <c r="D512" s="64" t="n"/>
      <c r="E512" s="64" t="n"/>
      <c r="F512" s="64" t="n"/>
      <c r="G512" s="65" t="n"/>
      <c r="H512" s="65" t="n"/>
      <c r="I512" s="64" t="n"/>
      <c r="J512" s="64" t="n"/>
      <c r="K512" s="63" t="n"/>
      <c r="L512" s="63" t="n"/>
      <c r="M512" s="64" t="n"/>
      <c r="N512" s="66" t="n"/>
      <c r="O512" s="65" t="n"/>
      <c r="P512" s="64" t="n"/>
      <c r="Q512" s="67" t="n"/>
      <c r="R512" s="67" t="n"/>
      <c r="S512" s="68" t="str">
        <f>IF(AND(ISNUMBER($Q512),ISNUMBER($R512)),$Q512-$R512,"")</f>
        <v/>
      </c>
      <c r="T512" s="65" t="n"/>
      <c r="U512" s="64" t="n"/>
      <c r="V512" s="65" t="n"/>
      <c r="W512" s="63" t="n"/>
      <c r="X512" s="65" t="n"/>
      <c r="Y512" s="63" t="n"/>
      <c r="Z512" s="64" t="n"/>
      <c r="AA512" s="64" t="n"/>
      <c r="AB512" s="65" t="n"/>
      <c r="AC512" s="69" t="str">
        <f>IF(OR($G512="",NOT(ISNUMBER($K512)),$AK512=0),"",MAX(0,ReportDate-$K512))</f>
        <v/>
      </c>
      <c r="AD512" s="69" t="str">
        <f>IF($G512="","",IF($AL512=1,ReportDate-$L512,0))</f>
        <v/>
      </c>
      <c r="AE512" s="70" t="str">
        <f>IF($G512="","",IF($M512="Completed",1,IF(ISNUMBER($N512),$N512,0)))</f>
        <v/>
      </c>
      <c r="AF512" s="70" t="str">
        <f>IF(AND(ISNUMBER($Q512),ISNUMBER($R512)),IF($R512&lt;&gt;0,$Q512/$R512,""),"")</f>
        <v/>
      </c>
      <c r="AG512" s="71" t="str">
        <f>IF($G512="","",IF($AL512=1,"OVERDUE",IF($AM512=1,"BLOCKED",IF($AN512=1,"DUE TODAY",IF($AO512=1,"DUE TOMORROW",IF($AQ512=1,"HIGH PRIORITY",IF($AR512=1,"NO RECENT UPDATE",""))))))) </f>
        <v/>
      </c>
      <c r="AH512" s="71" t="str">
        <f>IF($G512="","",IF(ISNUMBER($A512),IF(ISNUMBER($A512),YEAR($A512)&amp;"-"&amp;TEXT(MONTH($A512),"00"),""),IF(ISNUMBER($L512),IF(ISNUMBER($L512),YEAR($L512)&amp;"-"&amp;TEXT(MONTH($L512),"00"),""),"")))</f>
        <v/>
      </c>
      <c r="AI512" s="71">
        <f>IF($G512="",0,IF(AND(OR(fClient="All",$C512=fClient),OR(fCampaign="All",$D512=fCampaign),OR(fTeam="All",$B512=fTeam),OR(fChannel="All",$F512=fChannel),OR(fMonth="All",$AH512=fMonth),OR(fTStatus="All",$M512=fTStatus)),1,0))</f>
        <v>0</v>
      </c>
      <c r="AJ512" s="71">
        <f>IF($G512="",0,IF(AND(OR(fClient="All",$C512=fClient),OR(fCampaign="All",$D512=fCampaign),OR(fTeam="All",$B512=fTeam),OR(fChannel="All",$F512=fChannel)),1,0))</f>
        <v>0</v>
      </c>
      <c r="AK512" s="71">
        <f>IF($G512="",0,IF(OR($M512="Completed",$M512="Cancelled"),0,1))</f>
        <v>0</v>
      </c>
      <c r="AL512" s="71">
        <f>IF(AND($AK512=1,ISNUMBER($L512)),IF($L512&lt;ReportDate,1,0),0)</f>
        <v>0</v>
      </c>
      <c r="AM512" s="71">
        <f>IF(AND($G512&lt;&gt;"",$M512="Blocked"),1,0)</f>
        <v>0</v>
      </c>
      <c r="AN512" s="71">
        <f>IF(AND($AK512=1,ISNUMBER($L512)),IF($L512=ReportDate,1,0),0)</f>
        <v>0</v>
      </c>
      <c r="AO512" s="71">
        <f>IF(AND($AK512=1,ISNUMBER($L512)),IF($L512=ReportDate+1,1,0),0)</f>
        <v>0</v>
      </c>
      <c r="AP512" s="71">
        <f>IF(AND($AK512=1,ISNUMBER($L512)),IF(AND($L512&gt;=ReportDate,$L512&lt;=ReportDate+DueSoonDays),1,0),0)</f>
        <v>0</v>
      </c>
      <c r="AQ512" s="71">
        <f>IF(AND($AK512=1,OR($I512="Critical",$I512="High")),1,0)</f>
        <v>0</v>
      </c>
      <c r="AR512" s="71">
        <f>IF($AK512=1,IF(ISNUMBER($Y512),IF(ReportDate-$Y512&gt;StaleDays,1,0),1),0)</f>
        <v>0</v>
      </c>
      <c r="AS512" s="71">
        <f>IF(AND($G512&lt;&gt;"",ISNUMBER($Q512),ISNUMBER($R512)),IF(AND($Q512&lt;$R512,OR($M512="Completed",AND(ISNUMBER($L512),$L512&lt;ReportDate))),1,0),0)</f>
        <v>0</v>
      </c>
      <c r="AT512" s="71">
        <f>IF($AK512=1,IF(OR($L512=ReportDate,$W512=ReportDate,$K512=ReportDate,$A512=ReportDate),1,0),0)</f>
        <v>0</v>
      </c>
      <c r="AU512" s="71">
        <f>IF($AK512=1,IF(OR($L512=ReportDate+1,$W512=ReportDate+1,$K512=ReportDate+1,$A512=ReportDate+1),1,0),0)</f>
        <v>0</v>
      </c>
      <c r="AV512" s="71">
        <f>IF(AND($G512&lt;&gt;"",$M512="Completed"),IF(OR($Y512=ReportDate-1,$A512=ReportDate-1),1,0),0)</f>
        <v>0</v>
      </c>
      <c r="AW512" s="71">
        <f>IF(AND($AK512=1,$Z512="Yes"),1,0)</f>
        <v>0</v>
      </c>
      <c r="AX512" s="71">
        <f>IF(AND($AK512=1,$AA512="Yes"),1,0)</f>
        <v>0</v>
      </c>
      <c r="AY512" s="71">
        <f>IF(AND($AM512=1,OR($I512="Critical",$I512="High")),1,0)</f>
        <v>0</v>
      </c>
      <c r="AZ512" s="71">
        <f>IF(AND($AK512=1,OR($C512=TCL_Client,$C512=MECCA_Client)),1,0)</f>
        <v>0</v>
      </c>
      <c r="BA512" s="71" t="str">
        <f>IF($G512="","",IFERROR(MATCH($I512,lst_Priority,0),5))</f>
        <v/>
      </c>
      <c r="BB512" s="71" t="str">
        <f>IF(AND($AL512=1,$AJ512=1),$BA512*100000+ROW(),"")</f>
        <v/>
      </c>
      <c r="BC512" s="71" t="str">
        <f>IF(AND($AM512=1,$AJ512=1),$BA512*100000+ROW(),"")</f>
        <v/>
      </c>
      <c r="BD512" s="71" t="str">
        <f>IF(AND($AP512=1,$AJ512=1),$BA512*100000+ROW(),"")</f>
        <v/>
      </c>
      <c r="BE512" s="71" t="str">
        <f>IF(AND($AT512=1,$AJ512=1),$BA512*100000+ROW(),"")</f>
        <v/>
      </c>
      <c r="BF512" s="71" t="str">
        <f>IF(AND($AU512=1,$AJ512=1),$BA512*100000+ROW(),"")</f>
        <v/>
      </c>
      <c r="BG512" s="71" t="str">
        <f>IF(AND($AV512=1,$AJ512=1),$BA512*100000+ROW(),"")</f>
        <v/>
      </c>
      <c r="BH512" s="71" t="str">
        <f>IF(AND($AW512=1,$AJ512=1),$BA512*100000+ROW(),"")</f>
        <v/>
      </c>
      <c r="BI512" s="71" t="str">
        <f>IF(AND($AX512=1,$AJ512=1),$BA512*100000+ROW(),"")</f>
        <v/>
      </c>
      <c r="BJ512" s="71" t="str">
        <f>IF(AND($AS512=1,$AJ512=1),$BA512*100000+ROW(),"")</f>
        <v/>
      </c>
      <c r="BK512" s="71" t="str">
        <f>IF(AND($AY512=1,$AJ512=1),$BA512*100000+ROW(),"")</f>
        <v/>
      </c>
      <c r="BL512" s="71" t="str">
        <f>IF(AND($AZ512=1),$BA512*100000+ROW(),"")</f>
        <v/>
      </c>
    </row>
    <row r="513">
      <c r="A513" s="63" t="n"/>
      <c r="B513" s="64" t="n"/>
      <c r="C513" s="64" t="n"/>
      <c r="D513" s="64" t="n"/>
      <c r="E513" s="64" t="n"/>
      <c r="F513" s="64" t="n"/>
      <c r="G513" s="65" t="n"/>
      <c r="H513" s="65" t="n"/>
      <c r="I513" s="64" t="n"/>
      <c r="J513" s="64" t="n"/>
      <c r="K513" s="63" t="n"/>
      <c r="L513" s="63" t="n"/>
      <c r="M513" s="64" t="n"/>
      <c r="N513" s="66" t="n"/>
      <c r="O513" s="65" t="n"/>
      <c r="P513" s="64" t="n"/>
      <c r="Q513" s="67" t="n"/>
      <c r="R513" s="67" t="n"/>
      <c r="S513" s="68" t="str">
        <f>IF(AND(ISNUMBER($Q513),ISNUMBER($R513)),$Q513-$R513,"")</f>
        <v/>
      </c>
      <c r="T513" s="65" t="n"/>
      <c r="U513" s="64" t="n"/>
      <c r="V513" s="65" t="n"/>
      <c r="W513" s="63" t="n"/>
      <c r="X513" s="65" t="n"/>
      <c r="Y513" s="63" t="n"/>
      <c r="Z513" s="64" t="n"/>
      <c r="AA513" s="64" t="n"/>
      <c r="AB513" s="65" t="n"/>
      <c r="AC513" s="69" t="str">
        <f>IF(OR($G513="",NOT(ISNUMBER($K513)),$AK513=0),"",MAX(0,ReportDate-$K513))</f>
        <v/>
      </c>
      <c r="AD513" s="69" t="str">
        <f>IF($G513="","",IF($AL513=1,ReportDate-$L513,0))</f>
        <v/>
      </c>
      <c r="AE513" s="70" t="str">
        <f>IF($G513="","",IF($M513="Completed",1,IF(ISNUMBER($N513),$N513,0)))</f>
        <v/>
      </c>
      <c r="AF513" s="70" t="str">
        <f>IF(AND(ISNUMBER($Q513),ISNUMBER($R513)),IF($R513&lt;&gt;0,$Q513/$R513,""),"")</f>
        <v/>
      </c>
      <c r="AG513" s="71" t="str">
        <f>IF($G513="","",IF($AL513=1,"OVERDUE",IF($AM513=1,"BLOCKED",IF($AN513=1,"DUE TODAY",IF($AO513=1,"DUE TOMORROW",IF($AQ513=1,"HIGH PRIORITY",IF($AR513=1,"NO RECENT UPDATE",""))))))) </f>
        <v/>
      </c>
      <c r="AH513" s="71" t="str">
        <f>IF($G513="","",IF(ISNUMBER($A513),IF(ISNUMBER($A513),YEAR($A513)&amp;"-"&amp;TEXT(MONTH($A513),"00"),""),IF(ISNUMBER($L513),IF(ISNUMBER($L513),YEAR($L513)&amp;"-"&amp;TEXT(MONTH($L513),"00"),""),"")))</f>
        <v/>
      </c>
      <c r="AI513" s="71">
        <f>IF($G513="",0,IF(AND(OR(fClient="All",$C513=fClient),OR(fCampaign="All",$D513=fCampaign),OR(fTeam="All",$B513=fTeam),OR(fChannel="All",$F513=fChannel),OR(fMonth="All",$AH513=fMonth),OR(fTStatus="All",$M513=fTStatus)),1,0))</f>
        <v>0</v>
      </c>
      <c r="AJ513" s="71">
        <f>IF($G513="",0,IF(AND(OR(fClient="All",$C513=fClient),OR(fCampaign="All",$D513=fCampaign),OR(fTeam="All",$B513=fTeam),OR(fChannel="All",$F513=fChannel)),1,0))</f>
        <v>0</v>
      </c>
      <c r="AK513" s="71">
        <f>IF($G513="",0,IF(OR($M513="Completed",$M513="Cancelled"),0,1))</f>
        <v>0</v>
      </c>
      <c r="AL513" s="71">
        <f>IF(AND($AK513=1,ISNUMBER($L513)),IF($L513&lt;ReportDate,1,0),0)</f>
        <v>0</v>
      </c>
      <c r="AM513" s="71">
        <f>IF(AND($G513&lt;&gt;"",$M513="Blocked"),1,0)</f>
        <v>0</v>
      </c>
      <c r="AN513" s="71">
        <f>IF(AND($AK513=1,ISNUMBER($L513)),IF($L513=ReportDate,1,0),0)</f>
        <v>0</v>
      </c>
      <c r="AO513" s="71">
        <f>IF(AND($AK513=1,ISNUMBER($L513)),IF($L513=ReportDate+1,1,0),0)</f>
        <v>0</v>
      </c>
      <c r="AP513" s="71">
        <f>IF(AND($AK513=1,ISNUMBER($L513)),IF(AND($L513&gt;=ReportDate,$L513&lt;=ReportDate+DueSoonDays),1,0),0)</f>
        <v>0</v>
      </c>
      <c r="AQ513" s="71">
        <f>IF(AND($AK513=1,OR($I513="Critical",$I513="High")),1,0)</f>
        <v>0</v>
      </c>
      <c r="AR513" s="71">
        <f>IF($AK513=1,IF(ISNUMBER($Y513),IF(ReportDate-$Y513&gt;StaleDays,1,0),1),0)</f>
        <v>0</v>
      </c>
      <c r="AS513" s="71">
        <f>IF(AND($G513&lt;&gt;"",ISNUMBER($Q513),ISNUMBER($R513)),IF(AND($Q513&lt;$R513,OR($M513="Completed",AND(ISNUMBER($L513),$L513&lt;ReportDate))),1,0),0)</f>
        <v>0</v>
      </c>
      <c r="AT513" s="71">
        <f>IF($AK513=1,IF(OR($L513=ReportDate,$W513=ReportDate,$K513=ReportDate,$A513=ReportDate),1,0),0)</f>
        <v>0</v>
      </c>
      <c r="AU513" s="71">
        <f>IF($AK513=1,IF(OR($L513=ReportDate+1,$W513=ReportDate+1,$K513=ReportDate+1,$A513=ReportDate+1),1,0),0)</f>
        <v>0</v>
      </c>
      <c r="AV513" s="71">
        <f>IF(AND($G513&lt;&gt;"",$M513="Completed"),IF(OR($Y513=ReportDate-1,$A513=ReportDate-1),1,0),0)</f>
        <v>0</v>
      </c>
      <c r="AW513" s="71">
        <f>IF(AND($AK513=1,$Z513="Yes"),1,0)</f>
        <v>0</v>
      </c>
      <c r="AX513" s="71">
        <f>IF(AND($AK513=1,$AA513="Yes"),1,0)</f>
        <v>0</v>
      </c>
      <c r="AY513" s="71">
        <f>IF(AND($AM513=1,OR($I513="Critical",$I513="High")),1,0)</f>
        <v>0</v>
      </c>
      <c r="AZ513" s="71">
        <f>IF(AND($AK513=1,OR($C513=TCL_Client,$C513=MECCA_Client)),1,0)</f>
        <v>0</v>
      </c>
      <c r="BA513" s="71" t="str">
        <f>IF($G513="","",IFERROR(MATCH($I513,lst_Priority,0),5))</f>
        <v/>
      </c>
      <c r="BB513" s="71" t="str">
        <f>IF(AND($AL513=1,$AJ513=1),$BA513*100000+ROW(),"")</f>
        <v/>
      </c>
      <c r="BC513" s="71" t="str">
        <f>IF(AND($AM513=1,$AJ513=1),$BA513*100000+ROW(),"")</f>
        <v/>
      </c>
      <c r="BD513" s="71" t="str">
        <f>IF(AND($AP513=1,$AJ513=1),$BA513*100000+ROW(),"")</f>
        <v/>
      </c>
      <c r="BE513" s="71" t="str">
        <f>IF(AND($AT513=1,$AJ513=1),$BA513*100000+ROW(),"")</f>
        <v/>
      </c>
      <c r="BF513" s="71" t="str">
        <f>IF(AND($AU513=1,$AJ513=1),$BA513*100000+ROW(),"")</f>
        <v/>
      </c>
      <c r="BG513" s="71" t="str">
        <f>IF(AND($AV513=1,$AJ513=1),$BA513*100000+ROW(),"")</f>
        <v/>
      </c>
      <c r="BH513" s="71" t="str">
        <f>IF(AND($AW513=1,$AJ513=1),$BA513*100000+ROW(),"")</f>
        <v/>
      </c>
      <c r="BI513" s="71" t="str">
        <f>IF(AND($AX513=1,$AJ513=1),$BA513*100000+ROW(),"")</f>
        <v/>
      </c>
      <c r="BJ513" s="71" t="str">
        <f>IF(AND($AS513=1,$AJ513=1),$BA513*100000+ROW(),"")</f>
        <v/>
      </c>
      <c r="BK513" s="71" t="str">
        <f>IF(AND($AY513=1,$AJ513=1),$BA513*100000+ROW(),"")</f>
        <v/>
      </c>
      <c r="BL513" s="71" t="str">
        <f>IF(AND($AZ513=1),$BA513*100000+ROW(),"")</f>
        <v/>
      </c>
    </row>
    <row r="514">
      <c r="A514" s="63" t="n"/>
      <c r="B514" s="64" t="n"/>
      <c r="C514" s="64" t="n"/>
      <c r="D514" s="64" t="n"/>
      <c r="E514" s="64" t="n"/>
      <c r="F514" s="64" t="n"/>
      <c r="G514" s="65" t="n"/>
      <c r="H514" s="65" t="n"/>
      <c r="I514" s="64" t="n"/>
      <c r="J514" s="64" t="n"/>
      <c r="K514" s="63" t="n"/>
      <c r="L514" s="63" t="n"/>
      <c r="M514" s="64" t="n"/>
      <c r="N514" s="66" t="n"/>
      <c r="O514" s="65" t="n"/>
      <c r="P514" s="64" t="n"/>
      <c r="Q514" s="67" t="n"/>
      <c r="R514" s="67" t="n"/>
      <c r="S514" s="68" t="str">
        <f>IF(AND(ISNUMBER($Q514),ISNUMBER($R514)),$Q514-$R514,"")</f>
        <v/>
      </c>
      <c r="T514" s="65" t="n"/>
      <c r="U514" s="64" t="n"/>
      <c r="V514" s="65" t="n"/>
      <c r="W514" s="63" t="n"/>
      <c r="X514" s="65" t="n"/>
      <c r="Y514" s="63" t="n"/>
      <c r="Z514" s="64" t="n"/>
      <c r="AA514" s="64" t="n"/>
      <c r="AB514" s="65" t="n"/>
      <c r="AC514" s="69" t="str">
        <f>IF(OR($G514="",NOT(ISNUMBER($K514)),$AK514=0),"",MAX(0,ReportDate-$K514))</f>
        <v/>
      </c>
      <c r="AD514" s="69" t="str">
        <f>IF($G514="","",IF($AL514=1,ReportDate-$L514,0))</f>
        <v/>
      </c>
      <c r="AE514" s="70" t="str">
        <f>IF($G514="","",IF($M514="Completed",1,IF(ISNUMBER($N514),$N514,0)))</f>
        <v/>
      </c>
      <c r="AF514" s="70" t="str">
        <f>IF(AND(ISNUMBER($Q514),ISNUMBER($R514)),IF($R514&lt;&gt;0,$Q514/$R514,""),"")</f>
        <v/>
      </c>
      <c r="AG514" s="71" t="str">
        <f>IF($G514="","",IF($AL514=1,"OVERDUE",IF($AM514=1,"BLOCKED",IF($AN514=1,"DUE TODAY",IF($AO514=1,"DUE TOMORROW",IF($AQ514=1,"HIGH PRIORITY",IF($AR514=1,"NO RECENT UPDATE",""))))))) </f>
        <v/>
      </c>
      <c r="AH514" s="71" t="str">
        <f>IF($G514="","",IF(ISNUMBER($A514),IF(ISNUMBER($A514),YEAR($A514)&amp;"-"&amp;TEXT(MONTH($A514),"00"),""),IF(ISNUMBER($L514),IF(ISNUMBER($L514),YEAR($L514)&amp;"-"&amp;TEXT(MONTH($L514),"00"),""),"")))</f>
        <v/>
      </c>
      <c r="AI514" s="71">
        <f>IF($G514="",0,IF(AND(OR(fClient="All",$C514=fClient),OR(fCampaign="All",$D514=fCampaign),OR(fTeam="All",$B514=fTeam),OR(fChannel="All",$F514=fChannel),OR(fMonth="All",$AH514=fMonth),OR(fTStatus="All",$M514=fTStatus)),1,0))</f>
        <v>0</v>
      </c>
      <c r="AJ514" s="71">
        <f>IF($G514="",0,IF(AND(OR(fClient="All",$C514=fClient),OR(fCampaign="All",$D514=fCampaign),OR(fTeam="All",$B514=fTeam),OR(fChannel="All",$F514=fChannel)),1,0))</f>
        <v>0</v>
      </c>
      <c r="AK514" s="71">
        <f>IF($G514="",0,IF(OR($M514="Completed",$M514="Cancelled"),0,1))</f>
        <v>0</v>
      </c>
      <c r="AL514" s="71">
        <f>IF(AND($AK514=1,ISNUMBER($L514)),IF($L514&lt;ReportDate,1,0),0)</f>
        <v>0</v>
      </c>
      <c r="AM514" s="71">
        <f>IF(AND($G514&lt;&gt;"",$M514="Blocked"),1,0)</f>
        <v>0</v>
      </c>
      <c r="AN514" s="71">
        <f>IF(AND($AK514=1,ISNUMBER($L514)),IF($L514=ReportDate,1,0),0)</f>
        <v>0</v>
      </c>
      <c r="AO514" s="71">
        <f>IF(AND($AK514=1,ISNUMBER($L514)),IF($L514=ReportDate+1,1,0),0)</f>
        <v>0</v>
      </c>
      <c r="AP514" s="71">
        <f>IF(AND($AK514=1,ISNUMBER($L514)),IF(AND($L514&gt;=ReportDate,$L514&lt;=ReportDate+DueSoonDays),1,0),0)</f>
        <v>0</v>
      </c>
      <c r="AQ514" s="71">
        <f>IF(AND($AK514=1,OR($I514="Critical",$I514="High")),1,0)</f>
        <v>0</v>
      </c>
      <c r="AR514" s="71">
        <f>IF($AK514=1,IF(ISNUMBER($Y514),IF(ReportDate-$Y514&gt;StaleDays,1,0),1),0)</f>
        <v>0</v>
      </c>
      <c r="AS514" s="71">
        <f>IF(AND($G514&lt;&gt;"",ISNUMBER($Q514),ISNUMBER($R514)),IF(AND($Q514&lt;$R514,OR($M514="Completed",AND(ISNUMBER($L514),$L514&lt;ReportDate))),1,0),0)</f>
        <v>0</v>
      </c>
      <c r="AT514" s="71">
        <f>IF($AK514=1,IF(OR($L514=ReportDate,$W514=ReportDate,$K514=ReportDate,$A514=ReportDate),1,0),0)</f>
        <v>0</v>
      </c>
      <c r="AU514" s="71">
        <f>IF($AK514=1,IF(OR($L514=ReportDate+1,$W514=ReportDate+1,$K514=ReportDate+1,$A514=ReportDate+1),1,0),0)</f>
        <v>0</v>
      </c>
      <c r="AV514" s="71">
        <f>IF(AND($G514&lt;&gt;"",$M514="Completed"),IF(OR($Y514=ReportDate-1,$A514=ReportDate-1),1,0),0)</f>
        <v>0</v>
      </c>
      <c r="AW514" s="71">
        <f>IF(AND($AK514=1,$Z514="Yes"),1,0)</f>
        <v>0</v>
      </c>
      <c r="AX514" s="71">
        <f>IF(AND($AK514=1,$AA514="Yes"),1,0)</f>
        <v>0</v>
      </c>
      <c r="AY514" s="71">
        <f>IF(AND($AM514=1,OR($I514="Critical",$I514="High")),1,0)</f>
        <v>0</v>
      </c>
      <c r="AZ514" s="71">
        <f>IF(AND($AK514=1,OR($C514=TCL_Client,$C514=MECCA_Client)),1,0)</f>
        <v>0</v>
      </c>
      <c r="BA514" s="71" t="str">
        <f>IF($G514="","",IFERROR(MATCH($I514,lst_Priority,0),5))</f>
        <v/>
      </c>
      <c r="BB514" s="71" t="str">
        <f>IF(AND($AL514=1,$AJ514=1),$BA514*100000+ROW(),"")</f>
        <v/>
      </c>
      <c r="BC514" s="71" t="str">
        <f>IF(AND($AM514=1,$AJ514=1),$BA514*100000+ROW(),"")</f>
        <v/>
      </c>
      <c r="BD514" s="71" t="str">
        <f>IF(AND($AP514=1,$AJ514=1),$BA514*100000+ROW(),"")</f>
        <v/>
      </c>
      <c r="BE514" s="71" t="str">
        <f>IF(AND($AT514=1,$AJ514=1),$BA514*100000+ROW(),"")</f>
        <v/>
      </c>
      <c r="BF514" s="71" t="str">
        <f>IF(AND($AU514=1,$AJ514=1),$BA514*100000+ROW(),"")</f>
        <v/>
      </c>
      <c r="BG514" s="71" t="str">
        <f>IF(AND($AV514=1,$AJ514=1),$BA514*100000+ROW(),"")</f>
        <v/>
      </c>
      <c r="BH514" s="71" t="str">
        <f>IF(AND($AW514=1,$AJ514=1),$BA514*100000+ROW(),"")</f>
        <v/>
      </c>
      <c r="BI514" s="71" t="str">
        <f>IF(AND($AX514=1,$AJ514=1),$BA514*100000+ROW(),"")</f>
        <v/>
      </c>
      <c r="BJ514" s="71" t="str">
        <f>IF(AND($AS514=1,$AJ514=1),$BA514*100000+ROW(),"")</f>
        <v/>
      </c>
      <c r="BK514" s="71" t="str">
        <f>IF(AND($AY514=1,$AJ514=1),$BA514*100000+ROW(),"")</f>
        <v/>
      </c>
      <c r="BL514" s="71" t="str">
        <f>IF(AND($AZ514=1),$BA514*100000+ROW(),"")</f>
        <v/>
      </c>
    </row>
    <row r="515">
      <c r="A515" s="63" t="n"/>
      <c r="B515" s="64" t="n"/>
      <c r="C515" s="64" t="n"/>
      <c r="D515" s="64" t="n"/>
      <c r="E515" s="64" t="n"/>
      <c r="F515" s="64" t="n"/>
      <c r="G515" s="65" t="n"/>
      <c r="H515" s="65" t="n"/>
      <c r="I515" s="64" t="n"/>
      <c r="J515" s="64" t="n"/>
      <c r="K515" s="63" t="n"/>
      <c r="L515" s="63" t="n"/>
      <c r="M515" s="64" t="n"/>
      <c r="N515" s="66" t="n"/>
      <c r="O515" s="65" t="n"/>
      <c r="P515" s="64" t="n"/>
      <c r="Q515" s="67" t="n"/>
      <c r="R515" s="67" t="n"/>
      <c r="S515" s="68" t="str">
        <f>IF(AND(ISNUMBER($Q515),ISNUMBER($R515)),$Q515-$R515,"")</f>
        <v/>
      </c>
      <c r="T515" s="65" t="n"/>
      <c r="U515" s="64" t="n"/>
      <c r="V515" s="65" t="n"/>
      <c r="W515" s="63" t="n"/>
      <c r="X515" s="65" t="n"/>
      <c r="Y515" s="63" t="n"/>
      <c r="Z515" s="64" t="n"/>
      <c r="AA515" s="64" t="n"/>
      <c r="AB515" s="65" t="n"/>
      <c r="AC515" s="69" t="str">
        <f>IF(OR($G515="",NOT(ISNUMBER($K515)),$AK515=0),"",MAX(0,ReportDate-$K515))</f>
        <v/>
      </c>
      <c r="AD515" s="69" t="str">
        <f>IF($G515="","",IF($AL515=1,ReportDate-$L515,0))</f>
        <v/>
      </c>
      <c r="AE515" s="70" t="str">
        <f>IF($G515="","",IF($M515="Completed",1,IF(ISNUMBER($N515),$N515,0)))</f>
        <v/>
      </c>
      <c r="AF515" s="70" t="str">
        <f>IF(AND(ISNUMBER($Q515),ISNUMBER($R515)),IF($R515&lt;&gt;0,$Q515/$R515,""),"")</f>
        <v/>
      </c>
      <c r="AG515" s="71" t="str">
        <f>IF($G515="","",IF($AL515=1,"OVERDUE",IF($AM515=1,"BLOCKED",IF($AN515=1,"DUE TODAY",IF($AO515=1,"DUE TOMORROW",IF($AQ515=1,"HIGH PRIORITY",IF($AR515=1,"NO RECENT UPDATE",""))))))) </f>
        <v/>
      </c>
      <c r="AH515" s="71" t="str">
        <f>IF($G515="","",IF(ISNUMBER($A515),IF(ISNUMBER($A515),YEAR($A515)&amp;"-"&amp;TEXT(MONTH($A515),"00"),""),IF(ISNUMBER($L515),IF(ISNUMBER($L515),YEAR($L515)&amp;"-"&amp;TEXT(MONTH($L515),"00"),""),"")))</f>
        <v/>
      </c>
      <c r="AI515" s="71">
        <f>IF($G515="",0,IF(AND(OR(fClient="All",$C515=fClient),OR(fCampaign="All",$D515=fCampaign),OR(fTeam="All",$B515=fTeam),OR(fChannel="All",$F515=fChannel),OR(fMonth="All",$AH515=fMonth),OR(fTStatus="All",$M515=fTStatus)),1,0))</f>
        <v>0</v>
      </c>
      <c r="AJ515" s="71">
        <f>IF($G515="",0,IF(AND(OR(fClient="All",$C515=fClient),OR(fCampaign="All",$D515=fCampaign),OR(fTeam="All",$B515=fTeam),OR(fChannel="All",$F515=fChannel)),1,0))</f>
        <v>0</v>
      </c>
      <c r="AK515" s="71">
        <f>IF($G515="",0,IF(OR($M515="Completed",$M515="Cancelled"),0,1))</f>
        <v>0</v>
      </c>
      <c r="AL515" s="71">
        <f>IF(AND($AK515=1,ISNUMBER($L515)),IF($L515&lt;ReportDate,1,0),0)</f>
        <v>0</v>
      </c>
      <c r="AM515" s="71">
        <f>IF(AND($G515&lt;&gt;"",$M515="Blocked"),1,0)</f>
        <v>0</v>
      </c>
      <c r="AN515" s="71">
        <f>IF(AND($AK515=1,ISNUMBER($L515)),IF($L515=ReportDate,1,0),0)</f>
        <v>0</v>
      </c>
      <c r="AO515" s="71">
        <f>IF(AND($AK515=1,ISNUMBER($L515)),IF($L515=ReportDate+1,1,0),0)</f>
        <v>0</v>
      </c>
      <c r="AP515" s="71">
        <f>IF(AND($AK515=1,ISNUMBER($L515)),IF(AND($L515&gt;=ReportDate,$L515&lt;=ReportDate+DueSoonDays),1,0),0)</f>
        <v>0</v>
      </c>
      <c r="AQ515" s="71">
        <f>IF(AND($AK515=1,OR($I515="Critical",$I515="High")),1,0)</f>
        <v>0</v>
      </c>
      <c r="AR515" s="71">
        <f>IF($AK515=1,IF(ISNUMBER($Y515),IF(ReportDate-$Y515&gt;StaleDays,1,0),1),0)</f>
        <v>0</v>
      </c>
      <c r="AS515" s="71">
        <f>IF(AND($G515&lt;&gt;"",ISNUMBER($Q515),ISNUMBER($R515)),IF(AND($Q515&lt;$R515,OR($M515="Completed",AND(ISNUMBER($L515),$L515&lt;ReportDate))),1,0),0)</f>
        <v>0</v>
      </c>
      <c r="AT515" s="71">
        <f>IF($AK515=1,IF(OR($L515=ReportDate,$W515=ReportDate,$K515=ReportDate,$A515=ReportDate),1,0),0)</f>
        <v>0</v>
      </c>
      <c r="AU515" s="71">
        <f>IF($AK515=1,IF(OR($L515=ReportDate+1,$W515=ReportDate+1,$K515=ReportDate+1,$A515=ReportDate+1),1,0),0)</f>
        <v>0</v>
      </c>
      <c r="AV515" s="71">
        <f>IF(AND($G515&lt;&gt;"",$M515="Completed"),IF(OR($Y515=ReportDate-1,$A515=ReportDate-1),1,0),0)</f>
        <v>0</v>
      </c>
      <c r="AW515" s="71">
        <f>IF(AND($AK515=1,$Z515="Yes"),1,0)</f>
        <v>0</v>
      </c>
      <c r="AX515" s="71">
        <f>IF(AND($AK515=1,$AA515="Yes"),1,0)</f>
        <v>0</v>
      </c>
      <c r="AY515" s="71">
        <f>IF(AND($AM515=1,OR($I515="Critical",$I515="High")),1,0)</f>
        <v>0</v>
      </c>
      <c r="AZ515" s="71">
        <f>IF(AND($AK515=1,OR($C515=TCL_Client,$C515=MECCA_Client)),1,0)</f>
        <v>0</v>
      </c>
      <c r="BA515" s="71" t="str">
        <f>IF($G515="","",IFERROR(MATCH($I515,lst_Priority,0),5))</f>
        <v/>
      </c>
      <c r="BB515" s="71" t="str">
        <f>IF(AND($AL515=1,$AJ515=1),$BA515*100000+ROW(),"")</f>
        <v/>
      </c>
      <c r="BC515" s="71" t="str">
        <f>IF(AND($AM515=1,$AJ515=1),$BA515*100000+ROW(),"")</f>
        <v/>
      </c>
      <c r="BD515" s="71" t="str">
        <f>IF(AND($AP515=1,$AJ515=1),$BA515*100000+ROW(),"")</f>
        <v/>
      </c>
      <c r="BE515" s="71" t="str">
        <f>IF(AND($AT515=1,$AJ515=1),$BA515*100000+ROW(),"")</f>
        <v/>
      </c>
      <c r="BF515" s="71" t="str">
        <f>IF(AND($AU515=1,$AJ515=1),$BA515*100000+ROW(),"")</f>
        <v/>
      </c>
      <c r="BG515" s="71" t="str">
        <f>IF(AND($AV515=1,$AJ515=1),$BA515*100000+ROW(),"")</f>
        <v/>
      </c>
      <c r="BH515" s="71" t="str">
        <f>IF(AND($AW515=1,$AJ515=1),$BA515*100000+ROW(),"")</f>
        <v/>
      </c>
      <c r="BI515" s="71" t="str">
        <f>IF(AND($AX515=1,$AJ515=1),$BA515*100000+ROW(),"")</f>
        <v/>
      </c>
      <c r="BJ515" s="71" t="str">
        <f>IF(AND($AS515=1,$AJ515=1),$BA515*100000+ROW(),"")</f>
        <v/>
      </c>
      <c r="BK515" s="71" t="str">
        <f>IF(AND($AY515=1,$AJ515=1),$BA515*100000+ROW(),"")</f>
        <v/>
      </c>
      <c r="BL515" s="71" t="str">
        <f>IF(AND($AZ515=1),$BA515*100000+ROW(),"")</f>
        <v/>
      </c>
    </row>
    <row r="516">
      <c r="A516" s="63" t="n"/>
      <c r="B516" s="64" t="n"/>
      <c r="C516" s="64" t="n"/>
      <c r="D516" s="64" t="n"/>
      <c r="E516" s="64" t="n"/>
      <c r="F516" s="64" t="n"/>
      <c r="G516" s="65" t="n"/>
      <c r="H516" s="65" t="n"/>
      <c r="I516" s="64" t="n"/>
      <c r="J516" s="64" t="n"/>
      <c r="K516" s="63" t="n"/>
      <c r="L516" s="63" t="n"/>
      <c r="M516" s="64" t="n"/>
      <c r="N516" s="66" t="n"/>
      <c r="O516" s="65" t="n"/>
      <c r="P516" s="64" t="n"/>
      <c r="Q516" s="67" t="n"/>
      <c r="R516" s="67" t="n"/>
      <c r="S516" s="68" t="str">
        <f>IF(AND(ISNUMBER($Q516),ISNUMBER($R516)),$Q516-$R516,"")</f>
        <v/>
      </c>
      <c r="T516" s="65" t="n"/>
      <c r="U516" s="64" t="n"/>
      <c r="V516" s="65" t="n"/>
      <c r="W516" s="63" t="n"/>
      <c r="X516" s="65" t="n"/>
      <c r="Y516" s="63" t="n"/>
      <c r="Z516" s="64" t="n"/>
      <c r="AA516" s="64" t="n"/>
      <c r="AB516" s="65" t="n"/>
      <c r="AC516" s="69" t="str">
        <f>IF(OR($G516="",NOT(ISNUMBER($K516)),$AK516=0),"",MAX(0,ReportDate-$K516))</f>
        <v/>
      </c>
      <c r="AD516" s="69" t="str">
        <f>IF($G516="","",IF($AL516=1,ReportDate-$L516,0))</f>
        <v/>
      </c>
      <c r="AE516" s="70" t="str">
        <f>IF($G516="","",IF($M516="Completed",1,IF(ISNUMBER($N516),$N516,0)))</f>
        <v/>
      </c>
      <c r="AF516" s="70" t="str">
        <f>IF(AND(ISNUMBER($Q516),ISNUMBER($R516)),IF($R516&lt;&gt;0,$Q516/$R516,""),"")</f>
        <v/>
      </c>
      <c r="AG516" s="71" t="str">
        <f>IF($G516="","",IF($AL516=1,"OVERDUE",IF($AM516=1,"BLOCKED",IF($AN516=1,"DUE TODAY",IF($AO516=1,"DUE TOMORROW",IF($AQ516=1,"HIGH PRIORITY",IF($AR516=1,"NO RECENT UPDATE",""))))))) </f>
        <v/>
      </c>
      <c r="AH516" s="71" t="str">
        <f>IF($G516="","",IF(ISNUMBER($A516),IF(ISNUMBER($A516),YEAR($A516)&amp;"-"&amp;TEXT(MONTH($A516),"00"),""),IF(ISNUMBER($L516),IF(ISNUMBER($L516),YEAR($L516)&amp;"-"&amp;TEXT(MONTH($L516),"00"),""),"")))</f>
        <v/>
      </c>
      <c r="AI516" s="71">
        <f>IF($G516="",0,IF(AND(OR(fClient="All",$C516=fClient),OR(fCampaign="All",$D516=fCampaign),OR(fTeam="All",$B516=fTeam),OR(fChannel="All",$F516=fChannel),OR(fMonth="All",$AH516=fMonth),OR(fTStatus="All",$M516=fTStatus)),1,0))</f>
        <v>0</v>
      </c>
      <c r="AJ516" s="71">
        <f>IF($G516="",0,IF(AND(OR(fClient="All",$C516=fClient),OR(fCampaign="All",$D516=fCampaign),OR(fTeam="All",$B516=fTeam),OR(fChannel="All",$F516=fChannel)),1,0))</f>
        <v>0</v>
      </c>
      <c r="AK516" s="71">
        <f>IF($G516="",0,IF(OR($M516="Completed",$M516="Cancelled"),0,1))</f>
        <v>0</v>
      </c>
      <c r="AL516" s="71">
        <f>IF(AND($AK516=1,ISNUMBER($L516)),IF($L516&lt;ReportDate,1,0),0)</f>
        <v>0</v>
      </c>
      <c r="AM516" s="71">
        <f>IF(AND($G516&lt;&gt;"",$M516="Blocked"),1,0)</f>
        <v>0</v>
      </c>
      <c r="AN516" s="71">
        <f>IF(AND($AK516=1,ISNUMBER($L516)),IF($L516=ReportDate,1,0),0)</f>
        <v>0</v>
      </c>
      <c r="AO516" s="71">
        <f>IF(AND($AK516=1,ISNUMBER($L516)),IF($L516=ReportDate+1,1,0),0)</f>
        <v>0</v>
      </c>
      <c r="AP516" s="71">
        <f>IF(AND($AK516=1,ISNUMBER($L516)),IF(AND($L516&gt;=ReportDate,$L516&lt;=ReportDate+DueSoonDays),1,0),0)</f>
        <v>0</v>
      </c>
      <c r="AQ516" s="71">
        <f>IF(AND($AK516=1,OR($I516="Critical",$I516="High")),1,0)</f>
        <v>0</v>
      </c>
      <c r="AR516" s="71">
        <f>IF($AK516=1,IF(ISNUMBER($Y516),IF(ReportDate-$Y516&gt;StaleDays,1,0),1),0)</f>
        <v>0</v>
      </c>
      <c r="AS516" s="71">
        <f>IF(AND($G516&lt;&gt;"",ISNUMBER($Q516),ISNUMBER($R516)),IF(AND($Q516&lt;$R516,OR($M516="Completed",AND(ISNUMBER($L516),$L516&lt;ReportDate))),1,0),0)</f>
        <v>0</v>
      </c>
      <c r="AT516" s="71">
        <f>IF($AK516=1,IF(OR($L516=ReportDate,$W516=ReportDate,$K516=ReportDate,$A516=ReportDate),1,0),0)</f>
        <v>0</v>
      </c>
      <c r="AU516" s="71">
        <f>IF($AK516=1,IF(OR($L516=ReportDate+1,$W516=ReportDate+1,$K516=ReportDate+1,$A516=ReportDate+1),1,0),0)</f>
        <v>0</v>
      </c>
      <c r="AV516" s="71">
        <f>IF(AND($G516&lt;&gt;"",$M516="Completed"),IF(OR($Y516=ReportDate-1,$A516=ReportDate-1),1,0),0)</f>
        <v>0</v>
      </c>
      <c r="AW516" s="71">
        <f>IF(AND($AK516=1,$Z516="Yes"),1,0)</f>
        <v>0</v>
      </c>
      <c r="AX516" s="71">
        <f>IF(AND($AK516=1,$AA516="Yes"),1,0)</f>
        <v>0</v>
      </c>
      <c r="AY516" s="71">
        <f>IF(AND($AM516=1,OR($I516="Critical",$I516="High")),1,0)</f>
        <v>0</v>
      </c>
      <c r="AZ516" s="71">
        <f>IF(AND($AK516=1,OR($C516=TCL_Client,$C516=MECCA_Client)),1,0)</f>
        <v>0</v>
      </c>
      <c r="BA516" s="71" t="str">
        <f>IF($G516="","",IFERROR(MATCH($I516,lst_Priority,0),5))</f>
        <v/>
      </c>
      <c r="BB516" s="71" t="str">
        <f>IF(AND($AL516=1,$AJ516=1),$BA516*100000+ROW(),"")</f>
        <v/>
      </c>
      <c r="BC516" s="71" t="str">
        <f>IF(AND($AM516=1,$AJ516=1),$BA516*100000+ROW(),"")</f>
        <v/>
      </c>
      <c r="BD516" s="71" t="str">
        <f>IF(AND($AP516=1,$AJ516=1),$BA516*100000+ROW(),"")</f>
        <v/>
      </c>
      <c r="BE516" s="71" t="str">
        <f>IF(AND($AT516=1,$AJ516=1),$BA516*100000+ROW(),"")</f>
        <v/>
      </c>
      <c r="BF516" s="71" t="str">
        <f>IF(AND($AU516=1,$AJ516=1),$BA516*100000+ROW(),"")</f>
        <v/>
      </c>
      <c r="BG516" s="71" t="str">
        <f>IF(AND($AV516=1,$AJ516=1),$BA516*100000+ROW(),"")</f>
        <v/>
      </c>
      <c r="BH516" s="71" t="str">
        <f>IF(AND($AW516=1,$AJ516=1),$BA516*100000+ROW(),"")</f>
        <v/>
      </c>
      <c r="BI516" s="71" t="str">
        <f>IF(AND($AX516=1,$AJ516=1),$BA516*100000+ROW(),"")</f>
        <v/>
      </c>
      <c r="BJ516" s="71" t="str">
        <f>IF(AND($AS516=1,$AJ516=1),$BA516*100000+ROW(),"")</f>
        <v/>
      </c>
      <c r="BK516" s="71" t="str">
        <f>IF(AND($AY516=1,$AJ516=1),$BA516*100000+ROW(),"")</f>
        <v/>
      </c>
      <c r="BL516" s="71" t="str">
        <f>IF(AND($AZ516=1),$BA516*100000+ROW(),"")</f>
        <v/>
      </c>
    </row>
    <row r="517">
      <c r="A517" s="63" t="n"/>
      <c r="B517" s="64" t="n"/>
      <c r="C517" s="64" t="n"/>
      <c r="D517" s="64" t="n"/>
      <c r="E517" s="64" t="n"/>
      <c r="F517" s="64" t="n"/>
      <c r="G517" s="65" t="n"/>
      <c r="H517" s="65" t="n"/>
      <c r="I517" s="64" t="n"/>
      <c r="J517" s="64" t="n"/>
      <c r="K517" s="63" t="n"/>
      <c r="L517" s="63" t="n"/>
      <c r="M517" s="64" t="n"/>
      <c r="N517" s="66" t="n"/>
      <c r="O517" s="65" t="n"/>
      <c r="P517" s="64" t="n"/>
      <c r="Q517" s="67" t="n"/>
      <c r="R517" s="67" t="n"/>
      <c r="S517" s="68" t="str">
        <f>IF(AND(ISNUMBER($Q517),ISNUMBER($R517)),$Q517-$R517,"")</f>
        <v/>
      </c>
      <c r="T517" s="65" t="n"/>
      <c r="U517" s="64" t="n"/>
      <c r="V517" s="65" t="n"/>
      <c r="W517" s="63" t="n"/>
      <c r="X517" s="65" t="n"/>
      <c r="Y517" s="63" t="n"/>
      <c r="Z517" s="64" t="n"/>
      <c r="AA517" s="64" t="n"/>
      <c r="AB517" s="65" t="n"/>
      <c r="AC517" s="69" t="str">
        <f>IF(OR($G517="",NOT(ISNUMBER($K517)),$AK517=0),"",MAX(0,ReportDate-$K517))</f>
        <v/>
      </c>
      <c r="AD517" s="69" t="str">
        <f>IF($G517="","",IF($AL517=1,ReportDate-$L517,0))</f>
        <v/>
      </c>
      <c r="AE517" s="70" t="str">
        <f>IF($G517="","",IF($M517="Completed",1,IF(ISNUMBER($N517),$N517,0)))</f>
        <v/>
      </c>
      <c r="AF517" s="70" t="str">
        <f>IF(AND(ISNUMBER($Q517),ISNUMBER($R517)),IF($R517&lt;&gt;0,$Q517/$R517,""),"")</f>
        <v/>
      </c>
      <c r="AG517" s="71" t="str">
        <f>IF($G517="","",IF($AL517=1,"OVERDUE",IF($AM517=1,"BLOCKED",IF($AN517=1,"DUE TODAY",IF($AO517=1,"DUE TOMORROW",IF($AQ517=1,"HIGH PRIORITY",IF($AR517=1,"NO RECENT UPDATE",""))))))) </f>
        <v/>
      </c>
      <c r="AH517" s="71" t="str">
        <f>IF($G517="","",IF(ISNUMBER($A517),IF(ISNUMBER($A517),YEAR($A517)&amp;"-"&amp;TEXT(MONTH($A517),"00"),""),IF(ISNUMBER($L517),IF(ISNUMBER($L517),YEAR($L517)&amp;"-"&amp;TEXT(MONTH($L517),"00"),""),"")))</f>
        <v/>
      </c>
      <c r="AI517" s="71">
        <f>IF($G517="",0,IF(AND(OR(fClient="All",$C517=fClient),OR(fCampaign="All",$D517=fCampaign),OR(fTeam="All",$B517=fTeam),OR(fChannel="All",$F517=fChannel),OR(fMonth="All",$AH517=fMonth),OR(fTStatus="All",$M517=fTStatus)),1,0))</f>
        <v>0</v>
      </c>
      <c r="AJ517" s="71">
        <f>IF($G517="",0,IF(AND(OR(fClient="All",$C517=fClient),OR(fCampaign="All",$D517=fCampaign),OR(fTeam="All",$B517=fTeam),OR(fChannel="All",$F517=fChannel)),1,0))</f>
        <v>0</v>
      </c>
      <c r="AK517" s="71">
        <f>IF($G517="",0,IF(OR($M517="Completed",$M517="Cancelled"),0,1))</f>
        <v>0</v>
      </c>
      <c r="AL517" s="71">
        <f>IF(AND($AK517=1,ISNUMBER($L517)),IF($L517&lt;ReportDate,1,0),0)</f>
        <v>0</v>
      </c>
      <c r="AM517" s="71">
        <f>IF(AND($G517&lt;&gt;"",$M517="Blocked"),1,0)</f>
        <v>0</v>
      </c>
      <c r="AN517" s="71">
        <f>IF(AND($AK517=1,ISNUMBER($L517)),IF($L517=ReportDate,1,0),0)</f>
        <v>0</v>
      </c>
      <c r="AO517" s="71">
        <f>IF(AND($AK517=1,ISNUMBER($L517)),IF($L517=ReportDate+1,1,0),0)</f>
        <v>0</v>
      </c>
      <c r="AP517" s="71">
        <f>IF(AND($AK517=1,ISNUMBER($L517)),IF(AND($L517&gt;=ReportDate,$L517&lt;=ReportDate+DueSoonDays),1,0),0)</f>
        <v>0</v>
      </c>
      <c r="AQ517" s="71">
        <f>IF(AND($AK517=1,OR($I517="Critical",$I517="High")),1,0)</f>
        <v>0</v>
      </c>
      <c r="AR517" s="71">
        <f>IF($AK517=1,IF(ISNUMBER($Y517),IF(ReportDate-$Y517&gt;StaleDays,1,0),1),0)</f>
        <v>0</v>
      </c>
      <c r="AS517" s="71">
        <f>IF(AND($G517&lt;&gt;"",ISNUMBER($Q517),ISNUMBER($R517)),IF(AND($Q517&lt;$R517,OR($M517="Completed",AND(ISNUMBER($L517),$L517&lt;ReportDate))),1,0),0)</f>
        <v>0</v>
      </c>
      <c r="AT517" s="71">
        <f>IF($AK517=1,IF(OR($L517=ReportDate,$W517=ReportDate,$K517=ReportDate,$A517=ReportDate),1,0),0)</f>
        <v>0</v>
      </c>
      <c r="AU517" s="71">
        <f>IF($AK517=1,IF(OR($L517=ReportDate+1,$W517=ReportDate+1,$K517=ReportDate+1,$A517=ReportDate+1),1,0),0)</f>
        <v>0</v>
      </c>
      <c r="AV517" s="71">
        <f>IF(AND($G517&lt;&gt;"",$M517="Completed"),IF(OR($Y517=ReportDate-1,$A517=ReportDate-1),1,0),0)</f>
        <v>0</v>
      </c>
      <c r="AW517" s="71">
        <f>IF(AND($AK517=1,$Z517="Yes"),1,0)</f>
        <v>0</v>
      </c>
      <c r="AX517" s="71">
        <f>IF(AND($AK517=1,$AA517="Yes"),1,0)</f>
        <v>0</v>
      </c>
      <c r="AY517" s="71">
        <f>IF(AND($AM517=1,OR($I517="Critical",$I517="High")),1,0)</f>
        <v>0</v>
      </c>
      <c r="AZ517" s="71">
        <f>IF(AND($AK517=1,OR($C517=TCL_Client,$C517=MECCA_Client)),1,0)</f>
        <v>0</v>
      </c>
      <c r="BA517" s="71" t="str">
        <f>IF($G517="","",IFERROR(MATCH($I517,lst_Priority,0),5))</f>
        <v/>
      </c>
      <c r="BB517" s="71" t="str">
        <f>IF(AND($AL517=1,$AJ517=1),$BA517*100000+ROW(),"")</f>
        <v/>
      </c>
      <c r="BC517" s="71" t="str">
        <f>IF(AND($AM517=1,$AJ517=1),$BA517*100000+ROW(),"")</f>
        <v/>
      </c>
      <c r="BD517" s="71" t="str">
        <f>IF(AND($AP517=1,$AJ517=1),$BA517*100000+ROW(),"")</f>
        <v/>
      </c>
      <c r="BE517" s="71" t="str">
        <f>IF(AND($AT517=1,$AJ517=1),$BA517*100000+ROW(),"")</f>
        <v/>
      </c>
      <c r="BF517" s="71" t="str">
        <f>IF(AND($AU517=1,$AJ517=1),$BA517*100000+ROW(),"")</f>
        <v/>
      </c>
      <c r="BG517" s="71" t="str">
        <f>IF(AND($AV517=1,$AJ517=1),$BA517*100000+ROW(),"")</f>
        <v/>
      </c>
      <c r="BH517" s="71" t="str">
        <f>IF(AND($AW517=1,$AJ517=1),$BA517*100000+ROW(),"")</f>
        <v/>
      </c>
      <c r="BI517" s="71" t="str">
        <f>IF(AND($AX517=1,$AJ517=1),$BA517*100000+ROW(),"")</f>
        <v/>
      </c>
      <c r="BJ517" s="71" t="str">
        <f>IF(AND($AS517=1,$AJ517=1),$BA517*100000+ROW(),"")</f>
        <v/>
      </c>
      <c r="BK517" s="71" t="str">
        <f>IF(AND($AY517=1,$AJ517=1),$BA517*100000+ROW(),"")</f>
        <v/>
      </c>
      <c r="BL517" s="71" t="str">
        <f>IF(AND($AZ517=1),$BA517*100000+ROW(),"")</f>
        <v/>
      </c>
    </row>
    <row r="518">
      <c r="A518" s="63" t="n"/>
      <c r="B518" s="64" t="n"/>
      <c r="C518" s="64" t="n"/>
      <c r="D518" s="64" t="n"/>
      <c r="E518" s="64" t="n"/>
      <c r="F518" s="64" t="n"/>
      <c r="G518" s="65" t="n"/>
      <c r="H518" s="65" t="n"/>
      <c r="I518" s="64" t="n"/>
      <c r="J518" s="64" t="n"/>
      <c r="K518" s="63" t="n"/>
      <c r="L518" s="63" t="n"/>
      <c r="M518" s="64" t="n"/>
      <c r="N518" s="66" t="n"/>
      <c r="O518" s="65" t="n"/>
      <c r="P518" s="64" t="n"/>
      <c r="Q518" s="67" t="n"/>
      <c r="R518" s="67" t="n"/>
      <c r="S518" s="68" t="str">
        <f>IF(AND(ISNUMBER($Q518),ISNUMBER($R518)),$Q518-$R518,"")</f>
        <v/>
      </c>
      <c r="T518" s="65" t="n"/>
      <c r="U518" s="64" t="n"/>
      <c r="V518" s="65" t="n"/>
      <c r="W518" s="63" t="n"/>
      <c r="X518" s="65" t="n"/>
      <c r="Y518" s="63" t="n"/>
      <c r="Z518" s="64" t="n"/>
      <c r="AA518" s="64" t="n"/>
      <c r="AB518" s="65" t="n"/>
      <c r="AC518" s="69" t="str">
        <f>IF(OR($G518="",NOT(ISNUMBER($K518)),$AK518=0),"",MAX(0,ReportDate-$K518))</f>
        <v/>
      </c>
      <c r="AD518" s="69" t="str">
        <f>IF($G518="","",IF($AL518=1,ReportDate-$L518,0))</f>
        <v/>
      </c>
      <c r="AE518" s="70" t="str">
        <f>IF($G518="","",IF($M518="Completed",1,IF(ISNUMBER($N518),$N518,0)))</f>
        <v/>
      </c>
      <c r="AF518" s="70" t="str">
        <f>IF(AND(ISNUMBER($Q518),ISNUMBER($R518)),IF($R518&lt;&gt;0,$Q518/$R518,""),"")</f>
        <v/>
      </c>
      <c r="AG518" s="71" t="str">
        <f>IF($G518="","",IF($AL518=1,"OVERDUE",IF($AM518=1,"BLOCKED",IF($AN518=1,"DUE TODAY",IF($AO518=1,"DUE TOMORROW",IF($AQ518=1,"HIGH PRIORITY",IF($AR518=1,"NO RECENT UPDATE",""))))))) </f>
        <v/>
      </c>
      <c r="AH518" s="71" t="str">
        <f>IF($G518="","",IF(ISNUMBER($A518),IF(ISNUMBER($A518),YEAR($A518)&amp;"-"&amp;TEXT(MONTH($A518),"00"),""),IF(ISNUMBER($L518),IF(ISNUMBER($L518),YEAR($L518)&amp;"-"&amp;TEXT(MONTH($L518),"00"),""),"")))</f>
        <v/>
      </c>
      <c r="AI518" s="71">
        <f>IF($G518="",0,IF(AND(OR(fClient="All",$C518=fClient),OR(fCampaign="All",$D518=fCampaign),OR(fTeam="All",$B518=fTeam),OR(fChannel="All",$F518=fChannel),OR(fMonth="All",$AH518=fMonth),OR(fTStatus="All",$M518=fTStatus)),1,0))</f>
        <v>0</v>
      </c>
      <c r="AJ518" s="71">
        <f>IF($G518="",0,IF(AND(OR(fClient="All",$C518=fClient),OR(fCampaign="All",$D518=fCampaign),OR(fTeam="All",$B518=fTeam),OR(fChannel="All",$F518=fChannel)),1,0))</f>
        <v>0</v>
      </c>
      <c r="AK518" s="71">
        <f>IF($G518="",0,IF(OR($M518="Completed",$M518="Cancelled"),0,1))</f>
        <v>0</v>
      </c>
      <c r="AL518" s="71">
        <f>IF(AND($AK518=1,ISNUMBER($L518)),IF($L518&lt;ReportDate,1,0),0)</f>
        <v>0</v>
      </c>
      <c r="AM518" s="71">
        <f>IF(AND($G518&lt;&gt;"",$M518="Blocked"),1,0)</f>
        <v>0</v>
      </c>
      <c r="AN518" s="71">
        <f>IF(AND($AK518=1,ISNUMBER($L518)),IF($L518=ReportDate,1,0),0)</f>
        <v>0</v>
      </c>
      <c r="AO518" s="71">
        <f>IF(AND($AK518=1,ISNUMBER($L518)),IF($L518=ReportDate+1,1,0),0)</f>
        <v>0</v>
      </c>
      <c r="AP518" s="71">
        <f>IF(AND($AK518=1,ISNUMBER($L518)),IF(AND($L518&gt;=ReportDate,$L518&lt;=ReportDate+DueSoonDays),1,0),0)</f>
        <v>0</v>
      </c>
      <c r="AQ518" s="71">
        <f>IF(AND($AK518=1,OR($I518="Critical",$I518="High")),1,0)</f>
        <v>0</v>
      </c>
      <c r="AR518" s="71">
        <f>IF($AK518=1,IF(ISNUMBER($Y518),IF(ReportDate-$Y518&gt;StaleDays,1,0),1),0)</f>
        <v>0</v>
      </c>
      <c r="AS518" s="71">
        <f>IF(AND($G518&lt;&gt;"",ISNUMBER($Q518),ISNUMBER($R518)),IF(AND($Q518&lt;$R518,OR($M518="Completed",AND(ISNUMBER($L518),$L518&lt;ReportDate))),1,0),0)</f>
        <v>0</v>
      </c>
      <c r="AT518" s="71">
        <f>IF($AK518=1,IF(OR($L518=ReportDate,$W518=ReportDate,$K518=ReportDate,$A518=ReportDate),1,0),0)</f>
        <v>0</v>
      </c>
      <c r="AU518" s="71">
        <f>IF($AK518=1,IF(OR($L518=ReportDate+1,$W518=ReportDate+1,$K518=ReportDate+1,$A518=ReportDate+1),1,0),0)</f>
        <v>0</v>
      </c>
      <c r="AV518" s="71">
        <f>IF(AND($G518&lt;&gt;"",$M518="Completed"),IF(OR($Y518=ReportDate-1,$A518=ReportDate-1),1,0),0)</f>
        <v>0</v>
      </c>
      <c r="AW518" s="71">
        <f>IF(AND($AK518=1,$Z518="Yes"),1,0)</f>
        <v>0</v>
      </c>
      <c r="AX518" s="71">
        <f>IF(AND($AK518=1,$AA518="Yes"),1,0)</f>
        <v>0</v>
      </c>
      <c r="AY518" s="71">
        <f>IF(AND($AM518=1,OR($I518="Critical",$I518="High")),1,0)</f>
        <v>0</v>
      </c>
      <c r="AZ518" s="71">
        <f>IF(AND($AK518=1,OR($C518=TCL_Client,$C518=MECCA_Client)),1,0)</f>
        <v>0</v>
      </c>
      <c r="BA518" s="71" t="str">
        <f>IF($G518="","",IFERROR(MATCH($I518,lst_Priority,0),5))</f>
        <v/>
      </c>
      <c r="BB518" s="71" t="str">
        <f>IF(AND($AL518=1,$AJ518=1),$BA518*100000+ROW(),"")</f>
        <v/>
      </c>
      <c r="BC518" s="71" t="str">
        <f>IF(AND($AM518=1,$AJ518=1),$BA518*100000+ROW(),"")</f>
        <v/>
      </c>
      <c r="BD518" s="71" t="str">
        <f>IF(AND($AP518=1,$AJ518=1),$BA518*100000+ROW(),"")</f>
        <v/>
      </c>
      <c r="BE518" s="71" t="str">
        <f>IF(AND($AT518=1,$AJ518=1),$BA518*100000+ROW(),"")</f>
        <v/>
      </c>
      <c r="BF518" s="71" t="str">
        <f>IF(AND($AU518=1,$AJ518=1),$BA518*100000+ROW(),"")</f>
        <v/>
      </c>
      <c r="BG518" s="71" t="str">
        <f>IF(AND($AV518=1,$AJ518=1),$BA518*100000+ROW(),"")</f>
        <v/>
      </c>
      <c r="BH518" s="71" t="str">
        <f>IF(AND($AW518=1,$AJ518=1),$BA518*100000+ROW(),"")</f>
        <v/>
      </c>
      <c r="BI518" s="71" t="str">
        <f>IF(AND($AX518=1,$AJ518=1),$BA518*100000+ROW(),"")</f>
        <v/>
      </c>
      <c r="BJ518" s="71" t="str">
        <f>IF(AND($AS518=1,$AJ518=1),$BA518*100000+ROW(),"")</f>
        <v/>
      </c>
      <c r="BK518" s="71" t="str">
        <f>IF(AND($AY518=1,$AJ518=1),$BA518*100000+ROW(),"")</f>
        <v/>
      </c>
      <c r="BL518" s="71" t="str">
        <f>IF(AND($AZ518=1),$BA518*100000+ROW(),"")</f>
        <v/>
      </c>
    </row>
    <row r="519">
      <c r="A519" s="63" t="n"/>
      <c r="B519" s="64" t="n"/>
      <c r="C519" s="64" t="n"/>
      <c r="D519" s="64" t="n"/>
      <c r="E519" s="64" t="n"/>
      <c r="F519" s="64" t="n"/>
      <c r="G519" s="65" t="n"/>
      <c r="H519" s="65" t="n"/>
      <c r="I519" s="64" t="n"/>
      <c r="J519" s="64" t="n"/>
      <c r="K519" s="63" t="n"/>
      <c r="L519" s="63" t="n"/>
      <c r="M519" s="64" t="n"/>
      <c r="N519" s="66" t="n"/>
      <c r="O519" s="65" t="n"/>
      <c r="P519" s="64" t="n"/>
      <c r="Q519" s="67" t="n"/>
      <c r="R519" s="67" t="n"/>
      <c r="S519" s="68" t="str">
        <f>IF(AND(ISNUMBER($Q519),ISNUMBER($R519)),$Q519-$R519,"")</f>
        <v/>
      </c>
      <c r="T519" s="65" t="n"/>
      <c r="U519" s="64" t="n"/>
      <c r="V519" s="65" t="n"/>
      <c r="W519" s="63" t="n"/>
      <c r="X519" s="65" t="n"/>
      <c r="Y519" s="63" t="n"/>
      <c r="Z519" s="64" t="n"/>
      <c r="AA519" s="64" t="n"/>
      <c r="AB519" s="65" t="n"/>
      <c r="AC519" s="69" t="str">
        <f>IF(OR($G519="",NOT(ISNUMBER($K519)),$AK519=0),"",MAX(0,ReportDate-$K519))</f>
        <v/>
      </c>
      <c r="AD519" s="69" t="str">
        <f>IF($G519="","",IF($AL519=1,ReportDate-$L519,0))</f>
        <v/>
      </c>
      <c r="AE519" s="70" t="str">
        <f>IF($G519="","",IF($M519="Completed",1,IF(ISNUMBER($N519),$N519,0)))</f>
        <v/>
      </c>
      <c r="AF519" s="70" t="str">
        <f>IF(AND(ISNUMBER($Q519),ISNUMBER($R519)),IF($R519&lt;&gt;0,$Q519/$R519,""),"")</f>
        <v/>
      </c>
      <c r="AG519" s="71" t="str">
        <f>IF($G519="","",IF($AL519=1,"OVERDUE",IF($AM519=1,"BLOCKED",IF($AN519=1,"DUE TODAY",IF($AO519=1,"DUE TOMORROW",IF($AQ519=1,"HIGH PRIORITY",IF($AR519=1,"NO RECENT UPDATE",""))))))) </f>
        <v/>
      </c>
      <c r="AH519" s="71" t="str">
        <f>IF($G519="","",IF(ISNUMBER($A519),IF(ISNUMBER($A519),YEAR($A519)&amp;"-"&amp;TEXT(MONTH($A519),"00"),""),IF(ISNUMBER($L519),IF(ISNUMBER($L519),YEAR($L519)&amp;"-"&amp;TEXT(MONTH($L519),"00"),""),"")))</f>
        <v/>
      </c>
      <c r="AI519" s="71">
        <f>IF($G519="",0,IF(AND(OR(fClient="All",$C519=fClient),OR(fCampaign="All",$D519=fCampaign),OR(fTeam="All",$B519=fTeam),OR(fChannel="All",$F519=fChannel),OR(fMonth="All",$AH519=fMonth),OR(fTStatus="All",$M519=fTStatus)),1,0))</f>
        <v>0</v>
      </c>
      <c r="AJ519" s="71">
        <f>IF($G519="",0,IF(AND(OR(fClient="All",$C519=fClient),OR(fCampaign="All",$D519=fCampaign),OR(fTeam="All",$B519=fTeam),OR(fChannel="All",$F519=fChannel)),1,0))</f>
        <v>0</v>
      </c>
      <c r="AK519" s="71">
        <f>IF($G519="",0,IF(OR($M519="Completed",$M519="Cancelled"),0,1))</f>
        <v>0</v>
      </c>
      <c r="AL519" s="71">
        <f>IF(AND($AK519=1,ISNUMBER($L519)),IF($L519&lt;ReportDate,1,0),0)</f>
        <v>0</v>
      </c>
      <c r="AM519" s="71">
        <f>IF(AND($G519&lt;&gt;"",$M519="Blocked"),1,0)</f>
        <v>0</v>
      </c>
      <c r="AN519" s="71">
        <f>IF(AND($AK519=1,ISNUMBER($L519)),IF($L519=ReportDate,1,0),0)</f>
        <v>0</v>
      </c>
      <c r="AO519" s="71">
        <f>IF(AND($AK519=1,ISNUMBER($L519)),IF($L519=ReportDate+1,1,0),0)</f>
        <v>0</v>
      </c>
      <c r="AP519" s="71">
        <f>IF(AND($AK519=1,ISNUMBER($L519)),IF(AND($L519&gt;=ReportDate,$L519&lt;=ReportDate+DueSoonDays),1,0),0)</f>
        <v>0</v>
      </c>
      <c r="AQ519" s="71">
        <f>IF(AND($AK519=1,OR($I519="Critical",$I519="High")),1,0)</f>
        <v>0</v>
      </c>
      <c r="AR519" s="71">
        <f>IF($AK519=1,IF(ISNUMBER($Y519),IF(ReportDate-$Y519&gt;StaleDays,1,0),1),0)</f>
        <v>0</v>
      </c>
      <c r="AS519" s="71">
        <f>IF(AND($G519&lt;&gt;"",ISNUMBER($Q519),ISNUMBER($R519)),IF(AND($Q519&lt;$R519,OR($M519="Completed",AND(ISNUMBER($L519),$L519&lt;ReportDate))),1,0),0)</f>
        <v>0</v>
      </c>
      <c r="AT519" s="71">
        <f>IF($AK519=1,IF(OR($L519=ReportDate,$W519=ReportDate,$K519=ReportDate,$A519=ReportDate),1,0),0)</f>
        <v>0</v>
      </c>
      <c r="AU519" s="71">
        <f>IF($AK519=1,IF(OR($L519=ReportDate+1,$W519=ReportDate+1,$K519=ReportDate+1,$A519=ReportDate+1),1,0),0)</f>
        <v>0</v>
      </c>
      <c r="AV519" s="71">
        <f>IF(AND($G519&lt;&gt;"",$M519="Completed"),IF(OR($Y519=ReportDate-1,$A519=ReportDate-1),1,0),0)</f>
        <v>0</v>
      </c>
      <c r="AW519" s="71">
        <f>IF(AND($AK519=1,$Z519="Yes"),1,0)</f>
        <v>0</v>
      </c>
      <c r="AX519" s="71">
        <f>IF(AND($AK519=1,$AA519="Yes"),1,0)</f>
        <v>0</v>
      </c>
      <c r="AY519" s="71">
        <f>IF(AND($AM519=1,OR($I519="Critical",$I519="High")),1,0)</f>
        <v>0</v>
      </c>
      <c r="AZ519" s="71">
        <f>IF(AND($AK519=1,OR($C519=TCL_Client,$C519=MECCA_Client)),1,0)</f>
        <v>0</v>
      </c>
      <c r="BA519" s="71" t="str">
        <f>IF($G519="","",IFERROR(MATCH($I519,lst_Priority,0),5))</f>
        <v/>
      </c>
      <c r="BB519" s="71" t="str">
        <f>IF(AND($AL519=1,$AJ519=1),$BA519*100000+ROW(),"")</f>
        <v/>
      </c>
      <c r="BC519" s="71" t="str">
        <f>IF(AND($AM519=1,$AJ519=1),$BA519*100000+ROW(),"")</f>
        <v/>
      </c>
      <c r="BD519" s="71" t="str">
        <f>IF(AND($AP519=1,$AJ519=1),$BA519*100000+ROW(),"")</f>
        <v/>
      </c>
      <c r="BE519" s="71" t="str">
        <f>IF(AND($AT519=1,$AJ519=1),$BA519*100000+ROW(),"")</f>
        <v/>
      </c>
      <c r="BF519" s="71" t="str">
        <f>IF(AND($AU519=1,$AJ519=1),$BA519*100000+ROW(),"")</f>
        <v/>
      </c>
      <c r="BG519" s="71" t="str">
        <f>IF(AND($AV519=1,$AJ519=1),$BA519*100000+ROW(),"")</f>
        <v/>
      </c>
      <c r="BH519" s="71" t="str">
        <f>IF(AND($AW519=1,$AJ519=1),$BA519*100000+ROW(),"")</f>
        <v/>
      </c>
      <c r="BI519" s="71" t="str">
        <f>IF(AND($AX519=1,$AJ519=1),$BA519*100000+ROW(),"")</f>
        <v/>
      </c>
      <c r="BJ519" s="71" t="str">
        <f>IF(AND($AS519=1,$AJ519=1),$BA519*100000+ROW(),"")</f>
        <v/>
      </c>
      <c r="BK519" s="71" t="str">
        <f>IF(AND($AY519=1,$AJ519=1),$BA519*100000+ROW(),"")</f>
        <v/>
      </c>
      <c r="BL519" s="71" t="str">
        <f>IF(AND($AZ519=1),$BA519*100000+ROW(),"")</f>
        <v/>
      </c>
    </row>
    <row r="520">
      <c r="A520" s="63" t="n"/>
      <c r="B520" s="64" t="n"/>
      <c r="C520" s="64" t="n"/>
      <c r="D520" s="64" t="n"/>
      <c r="E520" s="64" t="n"/>
      <c r="F520" s="64" t="n"/>
      <c r="G520" s="65" t="n"/>
      <c r="H520" s="65" t="n"/>
      <c r="I520" s="64" t="n"/>
      <c r="J520" s="64" t="n"/>
      <c r="K520" s="63" t="n"/>
      <c r="L520" s="63" t="n"/>
      <c r="M520" s="64" t="n"/>
      <c r="N520" s="66" t="n"/>
      <c r="O520" s="65" t="n"/>
      <c r="P520" s="64" t="n"/>
      <c r="Q520" s="67" t="n"/>
      <c r="R520" s="67" t="n"/>
      <c r="S520" s="68" t="str">
        <f>IF(AND(ISNUMBER($Q520),ISNUMBER($R520)),$Q520-$R520,"")</f>
        <v/>
      </c>
      <c r="T520" s="65" t="n"/>
      <c r="U520" s="64" t="n"/>
      <c r="V520" s="65" t="n"/>
      <c r="W520" s="63" t="n"/>
      <c r="X520" s="65" t="n"/>
      <c r="Y520" s="63" t="n"/>
      <c r="Z520" s="64" t="n"/>
      <c r="AA520" s="64" t="n"/>
      <c r="AB520" s="65" t="n"/>
      <c r="AC520" s="69" t="str">
        <f>IF(OR($G520="",NOT(ISNUMBER($K520)),$AK520=0),"",MAX(0,ReportDate-$K520))</f>
        <v/>
      </c>
      <c r="AD520" s="69" t="str">
        <f>IF($G520="","",IF($AL520=1,ReportDate-$L520,0))</f>
        <v/>
      </c>
      <c r="AE520" s="70" t="str">
        <f>IF($G520="","",IF($M520="Completed",1,IF(ISNUMBER($N520),$N520,0)))</f>
        <v/>
      </c>
      <c r="AF520" s="70" t="str">
        <f>IF(AND(ISNUMBER($Q520),ISNUMBER($R520)),IF($R520&lt;&gt;0,$Q520/$R520,""),"")</f>
        <v/>
      </c>
      <c r="AG520" s="71" t="str">
        <f>IF($G520="","",IF($AL520=1,"OVERDUE",IF($AM520=1,"BLOCKED",IF($AN520=1,"DUE TODAY",IF($AO520=1,"DUE TOMORROW",IF($AQ520=1,"HIGH PRIORITY",IF($AR520=1,"NO RECENT UPDATE",""))))))) </f>
        <v/>
      </c>
      <c r="AH520" s="71" t="str">
        <f>IF($G520="","",IF(ISNUMBER($A520),IF(ISNUMBER($A520),YEAR($A520)&amp;"-"&amp;TEXT(MONTH($A520),"00"),""),IF(ISNUMBER($L520),IF(ISNUMBER($L520),YEAR($L520)&amp;"-"&amp;TEXT(MONTH($L520),"00"),""),"")))</f>
        <v/>
      </c>
      <c r="AI520" s="71">
        <f>IF($G520="",0,IF(AND(OR(fClient="All",$C520=fClient),OR(fCampaign="All",$D520=fCampaign),OR(fTeam="All",$B520=fTeam),OR(fChannel="All",$F520=fChannel),OR(fMonth="All",$AH520=fMonth),OR(fTStatus="All",$M520=fTStatus)),1,0))</f>
        <v>0</v>
      </c>
      <c r="AJ520" s="71">
        <f>IF($G520="",0,IF(AND(OR(fClient="All",$C520=fClient),OR(fCampaign="All",$D520=fCampaign),OR(fTeam="All",$B520=fTeam),OR(fChannel="All",$F520=fChannel)),1,0))</f>
        <v>0</v>
      </c>
      <c r="AK520" s="71">
        <f>IF($G520="",0,IF(OR($M520="Completed",$M520="Cancelled"),0,1))</f>
        <v>0</v>
      </c>
      <c r="AL520" s="71">
        <f>IF(AND($AK520=1,ISNUMBER($L520)),IF($L520&lt;ReportDate,1,0),0)</f>
        <v>0</v>
      </c>
      <c r="AM520" s="71">
        <f>IF(AND($G520&lt;&gt;"",$M520="Blocked"),1,0)</f>
        <v>0</v>
      </c>
      <c r="AN520" s="71">
        <f>IF(AND($AK520=1,ISNUMBER($L520)),IF($L520=ReportDate,1,0),0)</f>
        <v>0</v>
      </c>
      <c r="AO520" s="71">
        <f>IF(AND($AK520=1,ISNUMBER($L520)),IF($L520=ReportDate+1,1,0),0)</f>
        <v>0</v>
      </c>
      <c r="AP520" s="71">
        <f>IF(AND($AK520=1,ISNUMBER($L520)),IF(AND($L520&gt;=ReportDate,$L520&lt;=ReportDate+DueSoonDays),1,0),0)</f>
        <v>0</v>
      </c>
      <c r="AQ520" s="71">
        <f>IF(AND($AK520=1,OR($I520="Critical",$I520="High")),1,0)</f>
        <v>0</v>
      </c>
      <c r="AR520" s="71">
        <f>IF($AK520=1,IF(ISNUMBER($Y520),IF(ReportDate-$Y520&gt;StaleDays,1,0),1),0)</f>
        <v>0</v>
      </c>
      <c r="AS520" s="71">
        <f>IF(AND($G520&lt;&gt;"",ISNUMBER($Q520),ISNUMBER($R520)),IF(AND($Q520&lt;$R520,OR($M520="Completed",AND(ISNUMBER($L520),$L520&lt;ReportDate))),1,0),0)</f>
        <v>0</v>
      </c>
      <c r="AT520" s="71">
        <f>IF($AK520=1,IF(OR($L520=ReportDate,$W520=ReportDate,$K520=ReportDate,$A520=ReportDate),1,0),0)</f>
        <v>0</v>
      </c>
      <c r="AU520" s="71">
        <f>IF($AK520=1,IF(OR($L520=ReportDate+1,$W520=ReportDate+1,$K520=ReportDate+1,$A520=ReportDate+1),1,0),0)</f>
        <v>0</v>
      </c>
      <c r="AV520" s="71">
        <f>IF(AND($G520&lt;&gt;"",$M520="Completed"),IF(OR($Y520=ReportDate-1,$A520=ReportDate-1),1,0),0)</f>
        <v>0</v>
      </c>
      <c r="AW520" s="71">
        <f>IF(AND($AK520=1,$Z520="Yes"),1,0)</f>
        <v>0</v>
      </c>
      <c r="AX520" s="71">
        <f>IF(AND($AK520=1,$AA520="Yes"),1,0)</f>
        <v>0</v>
      </c>
      <c r="AY520" s="71">
        <f>IF(AND($AM520=1,OR($I520="Critical",$I520="High")),1,0)</f>
        <v>0</v>
      </c>
      <c r="AZ520" s="71">
        <f>IF(AND($AK520=1,OR($C520=TCL_Client,$C520=MECCA_Client)),1,0)</f>
        <v>0</v>
      </c>
      <c r="BA520" s="71" t="str">
        <f>IF($G520="","",IFERROR(MATCH($I520,lst_Priority,0),5))</f>
        <v/>
      </c>
      <c r="BB520" s="71" t="str">
        <f>IF(AND($AL520=1,$AJ520=1),$BA520*100000+ROW(),"")</f>
        <v/>
      </c>
      <c r="BC520" s="71" t="str">
        <f>IF(AND($AM520=1,$AJ520=1),$BA520*100000+ROW(),"")</f>
        <v/>
      </c>
      <c r="BD520" s="71" t="str">
        <f>IF(AND($AP520=1,$AJ520=1),$BA520*100000+ROW(),"")</f>
        <v/>
      </c>
      <c r="BE520" s="71" t="str">
        <f>IF(AND($AT520=1,$AJ520=1),$BA520*100000+ROW(),"")</f>
        <v/>
      </c>
      <c r="BF520" s="71" t="str">
        <f>IF(AND($AU520=1,$AJ520=1),$BA520*100000+ROW(),"")</f>
        <v/>
      </c>
      <c r="BG520" s="71" t="str">
        <f>IF(AND($AV520=1,$AJ520=1),$BA520*100000+ROW(),"")</f>
        <v/>
      </c>
      <c r="BH520" s="71" t="str">
        <f>IF(AND($AW520=1,$AJ520=1),$BA520*100000+ROW(),"")</f>
        <v/>
      </c>
      <c r="BI520" s="71" t="str">
        <f>IF(AND($AX520=1,$AJ520=1),$BA520*100000+ROW(),"")</f>
        <v/>
      </c>
      <c r="BJ520" s="71" t="str">
        <f>IF(AND($AS520=1,$AJ520=1),$BA520*100000+ROW(),"")</f>
        <v/>
      </c>
      <c r="BK520" s="71" t="str">
        <f>IF(AND($AY520=1,$AJ520=1),$BA520*100000+ROW(),"")</f>
        <v/>
      </c>
      <c r="BL520" s="71" t="str">
        <f>IF(AND($AZ520=1),$BA520*100000+ROW(),"")</f>
        <v/>
      </c>
    </row>
    <row r="521">
      <c r="A521" s="63" t="n"/>
      <c r="B521" s="64" t="n"/>
      <c r="C521" s="64" t="n"/>
      <c r="D521" s="64" t="n"/>
      <c r="E521" s="64" t="n"/>
      <c r="F521" s="64" t="n"/>
      <c r="G521" s="65" t="n"/>
      <c r="H521" s="65" t="n"/>
      <c r="I521" s="64" t="n"/>
      <c r="J521" s="64" t="n"/>
      <c r="K521" s="63" t="n"/>
      <c r="L521" s="63" t="n"/>
      <c r="M521" s="64" t="n"/>
      <c r="N521" s="66" t="n"/>
      <c r="O521" s="65" t="n"/>
      <c r="P521" s="64" t="n"/>
      <c r="Q521" s="67" t="n"/>
      <c r="R521" s="67" t="n"/>
      <c r="S521" s="68" t="str">
        <f>IF(AND(ISNUMBER($Q521),ISNUMBER($R521)),$Q521-$R521,"")</f>
        <v/>
      </c>
      <c r="T521" s="65" t="n"/>
      <c r="U521" s="64" t="n"/>
      <c r="V521" s="65" t="n"/>
      <c r="W521" s="63" t="n"/>
      <c r="X521" s="65" t="n"/>
      <c r="Y521" s="63" t="n"/>
      <c r="Z521" s="64" t="n"/>
      <c r="AA521" s="64" t="n"/>
      <c r="AB521" s="65" t="n"/>
      <c r="AC521" s="69" t="str">
        <f>IF(OR($G521="",NOT(ISNUMBER($K521)),$AK521=0),"",MAX(0,ReportDate-$K521))</f>
        <v/>
      </c>
      <c r="AD521" s="69" t="str">
        <f>IF($G521="","",IF($AL521=1,ReportDate-$L521,0))</f>
        <v/>
      </c>
      <c r="AE521" s="70" t="str">
        <f>IF($G521="","",IF($M521="Completed",1,IF(ISNUMBER($N521),$N521,0)))</f>
        <v/>
      </c>
      <c r="AF521" s="70" t="str">
        <f>IF(AND(ISNUMBER($Q521),ISNUMBER($R521)),IF($R521&lt;&gt;0,$Q521/$R521,""),"")</f>
        <v/>
      </c>
      <c r="AG521" s="71" t="str">
        <f>IF($G521="","",IF($AL521=1,"OVERDUE",IF($AM521=1,"BLOCKED",IF($AN521=1,"DUE TODAY",IF($AO521=1,"DUE TOMORROW",IF($AQ521=1,"HIGH PRIORITY",IF($AR521=1,"NO RECENT UPDATE",""))))))) </f>
        <v/>
      </c>
      <c r="AH521" s="71" t="str">
        <f>IF($G521="","",IF(ISNUMBER($A521),IF(ISNUMBER($A521),YEAR($A521)&amp;"-"&amp;TEXT(MONTH($A521),"00"),""),IF(ISNUMBER($L521),IF(ISNUMBER($L521),YEAR($L521)&amp;"-"&amp;TEXT(MONTH($L521),"00"),""),"")))</f>
        <v/>
      </c>
      <c r="AI521" s="71">
        <f>IF($G521="",0,IF(AND(OR(fClient="All",$C521=fClient),OR(fCampaign="All",$D521=fCampaign),OR(fTeam="All",$B521=fTeam),OR(fChannel="All",$F521=fChannel),OR(fMonth="All",$AH521=fMonth),OR(fTStatus="All",$M521=fTStatus)),1,0))</f>
        <v>0</v>
      </c>
      <c r="AJ521" s="71">
        <f>IF($G521="",0,IF(AND(OR(fClient="All",$C521=fClient),OR(fCampaign="All",$D521=fCampaign),OR(fTeam="All",$B521=fTeam),OR(fChannel="All",$F521=fChannel)),1,0))</f>
        <v>0</v>
      </c>
      <c r="AK521" s="71">
        <f>IF($G521="",0,IF(OR($M521="Completed",$M521="Cancelled"),0,1))</f>
        <v>0</v>
      </c>
      <c r="AL521" s="71">
        <f>IF(AND($AK521=1,ISNUMBER($L521)),IF($L521&lt;ReportDate,1,0),0)</f>
        <v>0</v>
      </c>
      <c r="AM521" s="71">
        <f>IF(AND($G521&lt;&gt;"",$M521="Blocked"),1,0)</f>
        <v>0</v>
      </c>
      <c r="AN521" s="71">
        <f>IF(AND($AK521=1,ISNUMBER($L521)),IF($L521=ReportDate,1,0),0)</f>
        <v>0</v>
      </c>
      <c r="AO521" s="71">
        <f>IF(AND($AK521=1,ISNUMBER($L521)),IF($L521=ReportDate+1,1,0),0)</f>
        <v>0</v>
      </c>
      <c r="AP521" s="71">
        <f>IF(AND($AK521=1,ISNUMBER($L521)),IF(AND($L521&gt;=ReportDate,$L521&lt;=ReportDate+DueSoonDays),1,0),0)</f>
        <v>0</v>
      </c>
      <c r="AQ521" s="71">
        <f>IF(AND($AK521=1,OR($I521="Critical",$I521="High")),1,0)</f>
        <v>0</v>
      </c>
      <c r="AR521" s="71">
        <f>IF($AK521=1,IF(ISNUMBER($Y521),IF(ReportDate-$Y521&gt;StaleDays,1,0),1),0)</f>
        <v>0</v>
      </c>
      <c r="AS521" s="71">
        <f>IF(AND($G521&lt;&gt;"",ISNUMBER($Q521),ISNUMBER($R521)),IF(AND($Q521&lt;$R521,OR($M521="Completed",AND(ISNUMBER($L521),$L521&lt;ReportDate))),1,0),0)</f>
        <v>0</v>
      </c>
      <c r="AT521" s="71">
        <f>IF($AK521=1,IF(OR($L521=ReportDate,$W521=ReportDate,$K521=ReportDate,$A521=ReportDate),1,0),0)</f>
        <v>0</v>
      </c>
      <c r="AU521" s="71">
        <f>IF($AK521=1,IF(OR($L521=ReportDate+1,$W521=ReportDate+1,$K521=ReportDate+1,$A521=ReportDate+1),1,0),0)</f>
        <v>0</v>
      </c>
      <c r="AV521" s="71">
        <f>IF(AND($G521&lt;&gt;"",$M521="Completed"),IF(OR($Y521=ReportDate-1,$A521=ReportDate-1),1,0),0)</f>
        <v>0</v>
      </c>
      <c r="AW521" s="71">
        <f>IF(AND($AK521=1,$Z521="Yes"),1,0)</f>
        <v>0</v>
      </c>
      <c r="AX521" s="71">
        <f>IF(AND($AK521=1,$AA521="Yes"),1,0)</f>
        <v>0</v>
      </c>
      <c r="AY521" s="71">
        <f>IF(AND($AM521=1,OR($I521="Critical",$I521="High")),1,0)</f>
        <v>0</v>
      </c>
      <c r="AZ521" s="71">
        <f>IF(AND($AK521=1,OR($C521=TCL_Client,$C521=MECCA_Client)),1,0)</f>
        <v>0</v>
      </c>
      <c r="BA521" s="71" t="str">
        <f>IF($G521="","",IFERROR(MATCH($I521,lst_Priority,0),5))</f>
        <v/>
      </c>
      <c r="BB521" s="71" t="str">
        <f>IF(AND($AL521=1,$AJ521=1),$BA521*100000+ROW(),"")</f>
        <v/>
      </c>
      <c r="BC521" s="71" t="str">
        <f>IF(AND($AM521=1,$AJ521=1),$BA521*100000+ROW(),"")</f>
        <v/>
      </c>
      <c r="BD521" s="71" t="str">
        <f>IF(AND($AP521=1,$AJ521=1),$BA521*100000+ROW(),"")</f>
        <v/>
      </c>
      <c r="BE521" s="71" t="str">
        <f>IF(AND($AT521=1,$AJ521=1),$BA521*100000+ROW(),"")</f>
        <v/>
      </c>
      <c r="BF521" s="71" t="str">
        <f>IF(AND($AU521=1,$AJ521=1),$BA521*100000+ROW(),"")</f>
        <v/>
      </c>
      <c r="BG521" s="71" t="str">
        <f>IF(AND($AV521=1,$AJ521=1),$BA521*100000+ROW(),"")</f>
        <v/>
      </c>
      <c r="BH521" s="71" t="str">
        <f>IF(AND($AW521=1,$AJ521=1),$BA521*100000+ROW(),"")</f>
        <v/>
      </c>
      <c r="BI521" s="71" t="str">
        <f>IF(AND($AX521=1,$AJ521=1),$BA521*100000+ROW(),"")</f>
        <v/>
      </c>
      <c r="BJ521" s="71" t="str">
        <f>IF(AND($AS521=1,$AJ521=1),$BA521*100000+ROW(),"")</f>
        <v/>
      </c>
      <c r="BK521" s="71" t="str">
        <f>IF(AND($AY521=1,$AJ521=1),$BA521*100000+ROW(),"")</f>
        <v/>
      </c>
      <c r="BL521" s="71" t="str">
        <f>IF(AND($AZ521=1),$BA521*100000+ROW(),"")</f>
        <v/>
      </c>
    </row>
    <row r="522">
      <c r="A522" s="63" t="n"/>
      <c r="B522" s="64" t="n"/>
      <c r="C522" s="64" t="n"/>
      <c r="D522" s="64" t="n"/>
      <c r="E522" s="64" t="n"/>
      <c r="F522" s="64" t="n"/>
      <c r="G522" s="65" t="n"/>
      <c r="H522" s="65" t="n"/>
      <c r="I522" s="64" t="n"/>
      <c r="J522" s="64" t="n"/>
      <c r="K522" s="63" t="n"/>
      <c r="L522" s="63" t="n"/>
      <c r="M522" s="64" t="n"/>
      <c r="N522" s="66" t="n"/>
      <c r="O522" s="65" t="n"/>
      <c r="P522" s="64" t="n"/>
      <c r="Q522" s="67" t="n"/>
      <c r="R522" s="67" t="n"/>
      <c r="S522" s="68" t="str">
        <f>IF(AND(ISNUMBER($Q522),ISNUMBER($R522)),$Q522-$R522,"")</f>
        <v/>
      </c>
      <c r="T522" s="65" t="n"/>
      <c r="U522" s="64" t="n"/>
      <c r="V522" s="65" t="n"/>
      <c r="W522" s="63" t="n"/>
      <c r="X522" s="65" t="n"/>
      <c r="Y522" s="63" t="n"/>
      <c r="Z522" s="64" t="n"/>
      <c r="AA522" s="64" t="n"/>
      <c r="AB522" s="65" t="n"/>
      <c r="AC522" s="69" t="str">
        <f>IF(OR($G522="",NOT(ISNUMBER($K522)),$AK522=0),"",MAX(0,ReportDate-$K522))</f>
        <v/>
      </c>
      <c r="AD522" s="69" t="str">
        <f>IF($G522="","",IF($AL522=1,ReportDate-$L522,0))</f>
        <v/>
      </c>
      <c r="AE522" s="70" t="str">
        <f>IF($G522="","",IF($M522="Completed",1,IF(ISNUMBER($N522),$N522,0)))</f>
        <v/>
      </c>
      <c r="AF522" s="70" t="str">
        <f>IF(AND(ISNUMBER($Q522),ISNUMBER($R522)),IF($R522&lt;&gt;0,$Q522/$R522,""),"")</f>
        <v/>
      </c>
      <c r="AG522" s="71" t="str">
        <f>IF($G522="","",IF($AL522=1,"OVERDUE",IF($AM522=1,"BLOCKED",IF($AN522=1,"DUE TODAY",IF($AO522=1,"DUE TOMORROW",IF($AQ522=1,"HIGH PRIORITY",IF($AR522=1,"NO RECENT UPDATE",""))))))) </f>
        <v/>
      </c>
      <c r="AH522" s="71" t="str">
        <f>IF($G522="","",IF(ISNUMBER($A522),IF(ISNUMBER($A522),YEAR($A522)&amp;"-"&amp;TEXT(MONTH($A522),"00"),""),IF(ISNUMBER($L522),IF(ISNUMBER($L522),YEAR($L522)&amp;"-"&amp;TEXT(MONTH($L522),"00"),""),"")))</f>
        <v/>
      </c>
      <c r="AI522" s="71">
        <f>IF($G522="",0,IF(AND(OR(fClient="All",$C522=fClient),OR(fCampaign="All",$D522=fCampaign),OR(fTeam="All",$B522=fTeam),OR(fChannel="All",$F522=fChannel),OR(fMonth="All",$AH522=fMonth),OR(fTStatus="All",$M522=fTStatus)),1,0))</f>
        <v>0</v>
      </c>
      <c r="AJ522" s="71">
        <f>IF($G522="",0,IF(AND(OR(fClient="All",$C522=fClient),OR(fCampaign="All",$D522=fCampaign),OR(fTeam="All",$B522=fTeam),OR(fChannel="All",$F522=fChannel)),1,0))</f>
        <v>0</v>
      </c>
      <c r="AK522" s="71">
        <f>IF($G522="",0,IF(OR($M522="Completed",$M522="Cancelled"),0,1))</f>
        <v>0</v>
      </c>
      <c r="AL522" s="71">
        <f>IF(AND($AK522=1,ISNUMBER($L522)),IF($L522&lt;ReportDate,1,0),0)</f>
        <v>0</v>
      </c>
      <c r="AM522" s="71">
        <f>IF(AND($G522&lt;&gt;"",$M522="Blocked"),1,0)</f>
        <v>0</v>
      </c>
      <c r="AN522" s="71">
        <f>IF(AND($AK522=1,ISNUMBER($L522)),IF($L522=ReportDate,1,0),0)</f>
        <v>0</v>
      </c>
      <c r="AO522" s="71">
        <f>IF(AND($AK522=1,ISNUMBER($L522)),IF($L522=ReportDate+1,1,0),0)</f>
        <v>0</v>
      </c>
      <c r="AP522" s="71">
        <f>IF(AND($AK522=1,ISNUMBER($L522)),IF(AND($L522&gt;=ReportDate,$L522&lt;=ReportDate+DueSoonDays),1,0),0)</f>
        <v>0</v>
      </c>
      <c r="AQ522" s="71">
        <f>IF(AND($AK522=1,OR($I522="Critical",$I522="High")),1,0)</f>
        <v>0</v>
      </c>
      <c r="AR522" s="71">
        <f>IF($AK522=1,IF(ISNUMBER($Y522),IF(ReportDate-$Y522&gt;StaleDays,1,0),1),0)</f>
        <v>0</v>
      </c>
      <c r="AS522" s="71">
        <f>IF(AND($G522&lt;&gt;"",ISNUMBER($Q522),ISNUMBER($R522)),IF(AND($Q522&lt;$R522,OR($M522="Completed",AND(ISNUMBER($L522),$L522&lt;ReportDate))),1,0),0)</f>
        <v>0</v>
      </c>
      <c r="AT522" s="71">
        <f>IF($AK522=1,IF(OR($L522=ReportDate,$W522=ReportDate,$K522=ReportDate,$A522=ReportDate),1,0),0)</f>
        <v>0</v>
      </c>
      <c r="AU522" s="71">
        <f>IF($AK522=1,IF(OR($L522=ReportDate+1,$W522=ReportDate+1,$K522=ReportDate+1,$A522=ReportDate+1),1,0),0)</f>
        <v>0</v>
      </c>
      <c r="AV522" s="71">
        <f>IF(AND($G522&lt;&gt;"",$M522="Completed"),IF(OR($Y522=ReportDate-1,$A522=ReportDate-1),1,0),0)</f>
        <v>0</v>
      </c>
      <c r="AW522" s="71">
        <f>IF(AND($AK522=1,$Z522="Yes"),1,0)</f>
        <v>0</v>
      </c>
      <c r="AX522" s="71">
        <f>IF(AND($AK522=1,$AA522="Yes"),1,0)</f>
        <v>0</v>
      </c>
      <c r="AY522" s="71">
        <f>IF(AND($AM522=1,OR($I522="Critical",$I522="High")),1,0)</f>
        <v>0</v>
      </c>
      <c r="AZ522" s="71">
        <f>IF(AND($AK522=1,OR($C522=TCL_Client,$C522=MECCA_Client)),1,0)</f>
        <v>0</v>
      </c>
      <c r="BA522" s="71" t="str">
        <f>IF($G522="","",IFERROR(MATCH($I522,lst_Priority,0),5))</f>
        <v/>
      </c>
      <c r="BB522" s="71" t="str">
        <f>IF(AND($AL522=1,$AJ522=1),$BA522*100000+ROW(),"")</f>
        <v/>
      </c>
      <c r="BC522" s="71" t="str">
        <f>IF(AND($AM522=1,$AJ522=1),$BA522*100000+ROW(),"")</f>
        <v/>
      </c>
      <c r="BD522" s="71" t="str">
        <f>IF(AND($AP522=1,$AJ522=1),$BA522*100000+ROW(),"")</f>
        <v/>
      </c>
      <c r="BE522" s="71" t="str">
        <f>IF(AND($AT522=1,$AJ522=1),$BA522*100000+ROW(),"")</f>
        <v/>
      </c>
      <c r="BF522" s="71" t="str">
        <f>IF(AND($AU522=1,$AJ522=1),$BA522*100000+ROW(),"")</f>
        <v/>
      </c>
      <c r="BG522" s="71" t="str">
        <f>IF(AND($AV522=1,$AJ522=1),$BA522*100000+ROW(),"")</f>
        <v/>
      </c>
      <c r="BH522" s="71" t="str">
        <f>IF(AND($AW522=1,$AJ522=1),$BA522*100000+ROW(),"")</f>
        <v/>
      </c>
      <c r="BI522" s="71" t="str">
        <f>IF(AND($AX522=1,$AJ522=1),$BA522*100000+ROW(),"")</f>
        <v/>
      </c>
      <c r="BJ522" s="71" t="str">
        <f>IF(AND($AS522=1,$AJ522=1),$BA522*100000+ROW(),"")</f>
        <v/>
      </c>
      <c r="BK522" s="71" t="str">
        <f>IF(AND($AY522=1,$AJ522=1),$BA522*100000+ROW(),"")</f>
        <v/>
      </c>
      <c r="BL522" s="71" t="str">
        <f>IF(AND($AZ522=1),$BA522*100000+ROW(),"")</f>
        <v/>
      </c>
    </row>
    <row r="523">
      <c r="A523" s="63" t="n"/>
      <c r="B523" s="64" t="n"/>
      <c r="C523" s="64" t="n"/>
      <c r="D523" s="64" t="n"/>
      <c r="E523" s="64" t="n"/>
      <c r="F523" s="64" t="n"/>
      <c r="G523" s="65" t="n"/>
      <c r="H523" s="65" t="n"/>
      <c r="I523" s="64" t="n"/>
      <c r="J523" s="64" t="n"/>
      <c r="K523" s="63" t="n"/>
      <c r="L523" s="63" t="n"/>
      <c r="M523" s="64" t="n"/>
      <c r="N523" s="66" t="n"/>
      <c r="O523" s="65" t="n"/>
      <c r="P523" s="64" t="n"/>
      <c r="Q523" s="67" t="n"/>
      <c r="R523" s="67" t="n"/>
      <c r="S523" s="68" t="str">
        <f>IF(AND(ISNUMBER($Q523),ISNUMBER($R523)),$Q523-$R523,"")</f>
        <v/>
      </c>
      <c r="T523" s="65" t="n"/>
      <c r="U523" s="64" t="n"/>
      <c r="V523" s="65" t="n"/>
      <c r="W523" s="63" t="n"/>
      <c r="X523" s="65" t="n"/>
      <c r="Y523" s="63" t="n"/>
      <c r="Z523" s="64" t="n"/>
      <c r="AA523" s="64" t="n"/>
      <c r="AB523" s="65" t="n"/>
      <c r="AC523" s="69" t="str">
        <f>IF(OR($G523="",NOT(ISNUMBER($K523)),$AK523=0),"",MAX(0,ReportDate-$K523))</f>
        <v/>
      </c>
      <c r="AD523" s="69" t="str">
        <f>IF($G523="","",IF($AL523=1,ReportDate-$L523,0))</f>
        <v/>
      </c>
      <c r="AE523" s="70" t="str">
        <f>IF($G523="","",IF($M523="Completed",1,IF(ISNUMBER($N523),$N523,0)))</f>
        <v/>
      </c>
      <c r="AF523" s="70" t="str">
        <f>IF(AND(ISNUMBER($Q523),ISNUMBER($R523)),IF($R523&lt;&gt;0,$Q523/$R523,""),"")</f>
        <v/>
      </c>
      <c r="AG523" s="71" t="str">
        <f>IF($G523="","",IF($AL523=1,"OVERDUE",IF($AM523=1,"BLOCKED",IF($AN523=1,"DUE TODAY",IF($AO523=1,"DUE TOMORROW",IF($AQ523=1,"HIGH PRIORITY",IF($AR523=1,"NO RECENT UPDATE",""))))))) </f>
        <v/>
      </c>
      <c r="AH523" s="71" t="str">
        <f>IF($G523="","",IF(ISNUMBER($A523),IF(ISNUMBER($A523),YEAR($A523)&amp;"-"&amp;TEXT(MONTH($A523),"00"),""),IF(ISNUMBER($L523),IF(ISNUMBER($L523),YEAR($L523)&amp;"-"&amp;TEXT(MONTH($L523),"00"),""),"")))</f>
        <v/>
      </c>
      <c r="AI523" s="71">
        <f>IF($G523="",0,IF(AND(OR(fClient="All",$C523=fClient),OR(fCampaign="All",$D523=fCampaign),OR(fTeam="All",$B523=fTeam),OR(fChannel="All",$F523=fChannel),OR(fMonth="All",$AH523=fMonth),OR(fTStatus="All",$M523=fTStatus)),1,0))</f>
        <v>0</v>
      </c>
      <c r="AJ523" s="71">
        <f>IF($G523="",0,IF(AND(OR(fClient="All",$C523=fClient),OR(fCampaign="All",$D523=fCampaign),OR(fTeam="All",$B523=fTeam),OR(fChannel="All",$F523=fChannel)),1,0))</f>
        <v>0</v>
      </c>
      <c r="AK523" s="71">
        <f>IF($G523="",0,IF(OR($M523="Completed",$M523="Cancelled"),0,1))</f>
        <v>0</v>
      </c>
      <c r="AL523" s="71">
        <f>IF(AND($AK523=1,ISNUMBER($L523)),IF($L523&lt;ReportDate,1,0),0)</f>
        <v>0</v>
      </c>
      <c r="AM523" s="71">
        <f>IF(AND($G523&lt;&gt;"",$M523="Blocked"),1,0)</f>
        <v>0</v>
      </c>
      <c r="AN523" s="71">
        <f>IF(AND($AK523=1,ISNUMBER($L523)),IF($L523=ReportDate,1,0),0)</f>
        <v>0</v>
      </c>
      <c r="AO523" s="71">
        <f>IF(AND($AK523=1,ISNUMBER($L523)),IF($L523=ReportDate+1,1,0),0)</f>
        <v>0</v>
      </c>
      <c r="AP523" s="71">
        <f>IF(AND($AK523=1,ISNUMBER($L523)),IF(AND($L523&gt;=ReportDate,$L523&lt;=ReportDate+DueSoonDays),1,0),0)</f>
        <v>0</v>
      </c>
      <c r="AQ523" s="71">
        <f>IF(AND($AK523=1,OR($I523="Critical",$I523="High")),1,0)</f>
        <v>0</v>
      </c>
      <c r="AR523" s="71">
        <f>IF($AK523=1,IF(ISNUMBER($Y523),IF(ReportDate-$Y523&gt;StaleDays,1,0),1),0)</f>
        <v>0</v>
      </c>
      <c r="AS523" s="71">
        <f>IF(AND($G523&lt;&gt;"",ISNUMBER($Q523),ISNUMBER($R523)),IF(AND($Q523&lt;$R523,OR($M523="Completed",AND(ISNUMBER($L523),$L523&lt;ReportDate))),1,0),0)</f>
        <v>0</v>
      </c>
      <c r="AT523" s="71">
        <f>IF($AK523=1,IF(OR($L523=ReportDate,$W523=ReportDate,$K523=ReportDate,$A523=ReportDate),1,0),0)</f>
        <v>0</v>
      </c>
      <c r="AU523" s="71">
        <f>IF($AK523=1,IF(OR($L523=ReportDate+1,$W523=ReportDate+1,$K523=ReportDate+1,$A523=ReportDate+1),1,0),0)</f>
        <v>0</v>
      </c>
      <c r="AV523" s="71">
        <f>IF(AND($G523&lt;&gt;"",$M523="Completed"),IF(OR($Y523=ReportDate-1,$A523=ReportDate-1),1,0),0)</f>
        <v>0</v>
      </c>
      <c r="AW523" s="71">
        <f>IF(AND($AK523=1,$Z523="Yes"),1,0)</f>
        <v>0</v>
      </c>
      <c r="AX523" s="71">
        <f>IF(AND($AK523=1,$AA523="Yes"),1,0)</f>
        <v>0</v>
      </c>
      <c r="AY523" s="71">
        <f>IF(AND($AM523=1,OR($I523="Critical",$I523="High")),1,0)</f>
        <v>0</v>
      </c>
      <c r="AZ523" s="71">
        <f>IF(AND($AK523=1,OR($C523=TCL_Client,$C523=MECCA_Client)),1,0)</f>
        <v>0</v>
      </c>
      <c r="BA523" s="71" t="str">
        <f>IF($G523="","",IFERROR(MATCH($I523,lst_Priority,0),5))</f>
        <v/>
      </c>
      <c r="BB523" s="71" t="str">
        <f>IF(AND($AL523=1,$AJ523=1),$BA523*100000+ROW(),"")</f>
        <v/>
      </c>
      <c r="BC523" s="71" t="str">
        <f>IF(AND($AM523=1,$AJ523=1),$BA523*100000+ROW(),"")</f>
        <v/>
      </c>
      <c r="BD523" s="71" t="str">
        <f>IF(AND($AP523=1,$AJ523=1),$BA523*100000+ROW(),"")</f>
        <v/>
      </c>
      <c r="BE523" s="71" t="str">
        <f>IF(AND($AT523=1,$AJ523=1),$BA523*100000+ROW(),"")</f>
        <v/>
      </c>
      <c r="BF523" s="71" t="str">
        <f>IF(AND($AU523=1,$AJ523=1),$BA523*100000+ROW(),"")</f>
        <v/>
      </c>
      <c r="BG523" s="71" t="str">
        <f>IF(AND($AV523=1,$AJ523=1),$BA523*100000+ROW(),"")</f>
        <v/>
      </c>
      <c r="BH523" s="71" t="str">
        <f>IF(AND($AW523=1,$AJ523=1),$BA523*100000+ROW(),"")</f>
        <v/>
      </c>
      <c r="BI523" s="71" t="str">
        <f>IF(AND($AX523=1,$AJ523=1),$BA523*100000+ROW(),"")</f>
        <v/>
      </c>
      <c r="BJ523" s="71" t="str">
        <f>IF(AND($AS523=1,$AJ523=1),$BA523*100000+ROW(),"")</f>
        <v/>
      </c>
      <c r="BK523" s="71" t="str">
        <f>IF(AND($AY523=1,$AJ523=1),$BA523*100000+ROW(),"")</f>
        <v/>
      </c>
      <c r="BL523" s="71" t="str">
        <f>IF(AND($AZ523=1),$BA523*100000+ROW(),"")</f>
        <v/>
      </c>
    </row>
    <row r="524">
      <c r="A524" s="63" t="n"/>
      <c r="B524" s="64" t="n"/>
      <c r="C524" s="64" t="n"/>
      <c r="D524" s="64" t="n"/>
      <c r="E524" s="64" t="n"/>
      <c r="F524" s="64" t="n"/>
      <c r="G524" s="65" t="n"/>
      <c r="H524" s="65" t="n"/>
      <c r="I524" s="64" t="n"/>
      <c r="J524" s="64" t="n"/>
      <c r="K524" s="63" t="n"/>
      <c r="L524" s="63" t="n"/>
      <c r="M524" s="64" t="n"/>
      <c r="N524" s="66" t="n"/>
      <c r="O524" s="65" t="n"/>
      <c r="P524" s="64" t="n"/>
      <c r="Q524" s="67" t="n"/>
      <c r="R524" s="67" t="n"/>
      <c r="S524" s="68" t="str">
        <f>IF(AND(ISNUMBER($Q524),ISNUMBER($R524)),$Q524-$R524,"")</f>
        <v/>
      </c>
      <c r="T524" s="65" t="n"/>
      <c r="U524" s="64" t="n"/>
      <c r="V524" s="65" t="n"/>
      <c r="W524" s="63" t="n"/>
      <c r="X524" s="65" t="n"/>
      <c r="Y524" s="63" t="n"/>
      <c r="Z524" s="64" t="n"/>
      <c r="AA524" s="64" t="n"/>
      <c r="AB524" s="65" t="n"/>
      <c r="AC524" s="69" t="str">
        <f>IF(OR($G524="",NOT(ISNUMBER($K524)),$AK524=0),"",MAX(0,ReportDate-$K524))</f>
        <v/>
      </c>
      <c r="AD524" s="69" t="str">
        <f>IF($G524="","",IF($AL524=1,ReportDate-$L524,0))</f>
        <v/>
      </c>
      <c r="AE524" s="70" t="str">
        <f>IF($G524="","",IF($M524="Completed",1,IF(ISNUMBER($N524),$N524,0)))</f>
        <v/>
      </c>
      <c r="AF524" s="70" t="str">
        <f>IF(AND(ISNUMBER($Q524),ISNUMBER($R524)),IF($R524&lt;&gt;0,$Q524/$R524,""),"")</f>
        <v/>
      </c>
      <c r="AG524" s="71" t="str">
        <f>IF($G524="","",IF($AL524=1,"OVERDUE",IF($AM524=1,"BLOCKED",IF($AN524=1,"DUE TODAY",IF($AO524=1,"DUE TOMORROW",IF($AQ524=1,"HIGH PRIORITY",IF($AR524=1,"NO RECENT UPDATE",""))))))) </f>
        <v/>
      </c>
      <c r="AH524" s="71" t="str">
        <f>IF($G524="","",IF(ISNUMBER($A524),IF(ISNUMBER($A524),YEAR($A524)&amp;"-"&amp;TEXT(MONTH($A524),"00"),""),IF(ISNUMBER($L524),IF(ISNUMBER($L524),YEAR($L524)&amp;"-"&amp;TEXT(MONTH($L524),"00"),""),"")))</f>
        <v/>
      </c>
      <c r="AI524" s="71">
        <f>IF($G524="",0,IF(AND(OR(fClient="All",$C524=fClient),OR(fCampaign="All",$D524=fCampaign),OR(fTeam="All",$B524=fTeam),OR(fChannel="All",$F524=fChannel),OR(fMonth="All",$AH524=fMonth),OR(fTStatus="All",$M524=fTStatus)),1,0))</f>
        <v>0</v>
      </c>
      <c r="AJ524" s="71">
        <f>IF($G524="",0,IF(AND(OR(fClient="All",$C524=fClient),OR(fCampaign="All",$D524=fCampaign),OR(fTeam="All",$B524=fTeam),OR(fChannel="All",$F524=fChannel)),1,0))</f>
        <v>0</v>
      </c>
      <c r="AK524" s="71">
        <f>IF($G524="",0,IF(OR($M524="Completed",$M524="Cancelled"),0,1))</f>
        <v>0</v>
      </c>
      <c r="AL524" s="71">
        <f>IF(AND($AK524=1,ISNUMBER($L524)),IF($L524&lt;ReportDate,1,0),0)</f>
        <v>0</v>
      </c>
      <c r="AM524" s="71">
        <f>IF(AND($G524&lt;&gt;"",$M524="Blocked"),1,0)</f>
        <v>0</v>
      </c>
      <c r="AN524" s="71">
        <f>IF(AND($AK524=1,ISNUMBER($L524)),IF($L524=ReportDate,1,0),0)</f>
        <v>0</v>
      </c>
      <c r="AO524" s="71">
        <f>IF(AND($AK524=1,ISNUMBER($L524)),IF($L524=ReportDate+1,1,0),0)</f>
        <v>0</v>
      </c>
      <c r="AP524" s="71">
        <f>IF(AND($AK524=1,ISNUMBER($L524)),IF(AND($L524&gt;=ReportDate,$L524&lt;=ReportDate+DueSoonDays),1,0),0)</f>
        <v>0</v>
      </c>
      <c r="AQ524" s="71">
        <f>IF(AND($AK524=1,OR($I524="Critical",$I524="High")),1,0)</f>
        <v>0</v>
      </c>
      <c r="AR524" s="71">
        <f>IF($AK524=1,IF(ISNUMBER($Y524),IF(ReportDate-$Y524&gt;StaleDays,1,0),1),0)</f>
        <v>0</v>
      </c>
      <c r="AS524" s="71">
        <f>IF(AND($G524&lt;&gt;"",ISNUMBER($Q524),ISNUMBER($R524)),IF(AND($Q524&lt;$R524,OR($M524="Completed",AND(ISNUMBER($L524),$L524&lt;ReportDate))),1,0),0)</f>
        <v>0</v>
      </c>
      <c r="AT524" s="71">
        <f>IF($AK524=1,IF(OR($L524=ReportDate,$W524=ReportDate,$K524=ReportDate,$A524=ReportDate),1,0),0)</f>
        <v>0</v>
      </c>
      <c r="AU524" s="71">
        <f>IF($AK524=1,IF(OR($L524=ReportDate+1,$W524=ReportDate+1,$K524=ReportDate+1,$A524=ReportDate+1),1,0),0)</f>
        <v>0</v>
      </c>
      <c r="AV524" s="71">
        <f>IF(AND($G524&lt;&gt;"",$M524="Completed"),IF(OR($Y524=ReportDate-1,$A524=ReportDate-1),1,0),0)</f>
        <v>0</v>
      </c>
      <c r="AW524" s="71">
        <f>IF(AND($AK524=1,$Z524="Yes"),1,0)</f>
        <v>0</v>
      </c>
      <c r="AX524" s="71">
        <f>IF(AND($AK524=1,$AA524="Yes"),1,0)</f>
        <v>0</v>
      </c>
      <c r="AY524" s="71">
        <f>IF(AND($AM524=1,OR($I524="Critical",$I524="High")),1,0)</f>
        <v>0</v>
      </c>
      <c r="AZ524" s="71">
        <f>IF(AND($AK524=1,OR($C524=TCL_Client,$C524=MECCA_Client)),1,0)</f>
        <v>0</v>
      </c>
      <c r="BA524" s="71" t="str">
        <f>IF($G524="","",IFERROR(MATCH($I524,lst_Priority,0),5))</f>
        <v/>
      </c>
      <c r="BB524" s="71" t="str">
        <f>IF(AND($AL524=1,$AJ524=1),$BA524*100000+ROW(),"")</f>
        <v/>
      </c>
      <c r="BC524" s="71" t="str">
        <f>IF(AND($AM524=1,$AJ524=1),$BA524*100000+ROW(),"")</f>
        <v/>
      </c>
      <c r="BD524" s="71" t="str">
        <f>IF(AND($AP524=1,$AJ524=1),$BA524*100000+ROW(),"")</f>
        <v/>
      </c>
      <c r="BE524" s="71" t="str">
        <f>IF(AND($AT524=1,$AJ524=1),$BA524*100000+ROW(),"")</f>
        <v/>
      </c>
      <c r="BF524" s="71" t="str">
        <f>IF(AND($AU524=1,$AJ524=1),$BA524*100000+ROW(),"")</f>
        <v/>
      </c>
      <c r="BG524" s="71" t="str">
        <f>IF(AND($AV524=1,$AJ524=1),$BA524*100000+ROW(),"")</f>
        <v/>
      </c>
      <c r="BH524" s="71" t="str">
        <f>IF(AND($AW524=1,$AJ524=1),$BA524*100000+ROW(),"")</f>
        <v/>
      </c>
      <c r="BI524" s="71" t="str">
        <f>IF(AND($AX524=1,$AJ524=1),$BA524*100000+ROW(),"")</f>
        <v/>
      </c>
      <c r="BJ524" s="71" t="str">
        <f>IF(AND($AS524=1,$AJ524=1),$BA524*100000+ROW(),"")</f>
        <v/>
      </c>
      <c r="BK524" s="71" t="str">
        <f>IF(AND($AY524=1,$AJ524=1),$BA524*100000+ROW(),"")</f>
        <v/>
      </c>
      <c r="BL524" s="71" t="str">
        <f>IF(AND($AZ524=1),$BA524*100000+ROW(),"")</f>
        <v/>
      </c>
    </row>
    <row r="525">
      <c r="A525" s="63" t="n"/>
      <c r="B525" s="64" t="n"/>
      <c r="C525" s="64" t="n"/>
      <c r="D525" s="64" t="n"/>
      <c r="E525" s="64" t="n"/>
      <c r="F525" s="64" t="n"/>
      <c r="G525" s="65" t="n"/>
      <c r="H525" s="65" t="n"/>
      <c r="I525" s="64" t="n"/>
      <c r="J525" s="64" t="n"/>
      <c r="K525" s="63" t="n"/>
      <c r="L525" s="63" t="n"/>
      <c r="M525" s="64" t="n"/>
      <c r="N525" s="66" t="n"/>
      <c r="O525" s="65" t="n"/>
      <c r="P525" s="64" t="n"/>
      <c r="Q525" s="67" t="n"/>
      <c r="R525" s="67" t="n"/>
      <c r="S525" s="68" t="str">
        <f>IF(AND(ISNUMBER($Q525),ISNUMBER($R525)),$Q525-$R525,"")</f>
        <v/>
      </c>
      <c r="T525" s="65" t="n"/>
      <c r="U525" s="64" t="n"/>
      <c r="V525" s="65" t="n"/>
      <c r="W525" s="63" t="n"/>
      <c r="X525" s="65" t="n"/>
      <c r="Y525" s="63" t="n"/>
      <c r="Z525" s="64" t="n"/>
      <c r="AA525" s="64" t="n"/>
      <c r="AB525" s="65" t="n"/>
      <c r="AC525" s="69" t="str">
        <f>IF(OR($G525="",NOT(ISNUMBER($K525)),$AK525=0),"",MAX(0,ReportDate-$K525))</f>
        <v/>
      </c>
      <c r="AD525" s="69" t="str">
        <f>IF($G525="","",IF($AL525=1,ReportDate-$L525,0))</f>
        <v/>
      </c>
      <c r="AE525" s="70" t="str">
        <f>IF($G525="","",IF($M525="Completed",1,IF(ISNUMBER($N525),$N525,0)))</f>
        <v/>
      </c>
      <c r="AF525" s="70" t="str">
        <f>IF(AND(ISNUMBER($Q525),ISNUMBER($R525)),IF($R525&lt;&gt;0,$Q525/$R525,""),"")</f>
        <v/>
      </c>
      <c r="AG525" s="71" t="str">
        <f>IF($G525="","",IF($AL525=1,"OVERDUE",IF($AM525=1,"BLOCKED",IF($AN525=1,"DUE TODAY",IF($AO525=1,"DUE TOMORROW",IF($AQ525=1,"HIGH PRIORITY",IF($AR525=1,"NO RECENT UPDATE",""))))))) </f>
        <v/>
      </c>
      <c r="AH525" s="71" t="str">
        <f>IF($G525="","",IF(ISNUMBER($A525),IF(ISNUMBER($A525),YEAR($A525)&amp;"-"&amp;TEXT(MONTH($A525),"00"),""),IF(ISNUMBER($L525),IF(ISNUMBER($L525),YEAR($L525)&amp;"-"&amp;TEXT(MONTH($L525),"00"),""),"")))</f>
        <v/>
      </c>
      <c r="AI525" s="71">
        <f>IF($G525="",0,IF(AND(OR(fClient="All",$C525=fClient),OR(fCampaign="All",$D525=fCampaign),OR(fTeam="All",$B525=fTeam),OR(fChannel="All",$F525=fChannel),OR(fMonth="All",$AH525=fMonth),OR(fTStatus="All",$M525=fTStatus)),1,0))</f>
        <v>0</v>
      </c>
      <c r="AJ525" s="71">
        <f>IF($G525="",0,IF(AND(OR(fClient="All",$C525=fClient),OR(fCampaign="All",$D525=fCampaign),OR(fTeam="All",$B525=fTeam),OR(fChannel="All",$F525=fChannel)),1,0))</f>
        <v>0</v>
      </c>
      <c r="AK525" s="71">
        <f>IF($G525="",0,IF(OR($M525="Completed",$M525="Cancelled"),0,1))</f>
        <v>0</v>
      </c>
      <c r="AL525" s="71">
        <f>IF(AND($AK525=1,ISNUMBER($L525)),IF($L525&lt;ReportDate,1,0),0)</f>
        <v>0</v>
      </c>
      <c r="AM525" s="71">
        <f>IF(AND($G525&lt;&gt;"",$M525="Blocked"),1,0)</f>
        <v>0</v>
      </c>
      <c r="AN525" s="71">
        <f>IF(AND($AK525=1,ISNUMBER($L525)),IF($L525=ReportDate,1,0),0)</f>
        <v>0</v>
      </c>
      <c r="AO525" s="71">
        <f>IF(AND($AK525=1,ISNUMBER($L525)),IF($L525=ReportDate+1,1,0),0)</f>
        <v>0</v>
      </c>
      <c r="AP525" s="71">
        <f>IF(AND($AK525=1,ISNUMBER($L525)),IF(AND($L525&gt;=ReportDate,$L525&lt;=ReportDate+DueSoonDays),1,0),0)</f>
        <v>0</v>
      </c>
      <c r="AQ525" s="71">
        <f>IF(AND($AK525=1,OR($I525="Critical",$I525="High")),1,0)</f>
        <v>0</v>
      </c>
      <c r="AR525" s="71">
        <f>IF($AK525=1,IF(ISNUMBER($Y525),IF(ReportDate-$Y525&gt;StaleDays,1,0),1),0)</f>
        <v>0</v>
      </c>
      <c r="AS525" s="71">
        <f>IF(AND($G525&lt;&gt;"",ISNUMBER($Q525),ISNUMBER($R525)),IF(AND($Q525&lt;$R525,OR($M525="Completed",AND(ISNUMBER($L525),$L525&lt;ReportDate))),1,0),0)</f>
        <v>0</v>
      </c>
      <c r="AT525" s="71">
        <f>IF($AK525=1,IF(OR($L525=ReportDate,$W525=ReportDate,$K525=ReportDate,$A525=ReportDate),1,0),0)</f>
        <v>0</v>
      </c>
      <c r="AU525" s="71">
        <f>IF($AK525=1,IF(OR($L525=ReportDate+1,$W525=ReportDate+1,$K525=ReportDate+1,$A525=ReportDate+1),1,0),0)</f>
        <v>0</v>
      </c>
      <c r="AV525" s="71">
        <f>IF(AND($G525&lt;&gt;"",$M525="Completed"),IF(OR($Y525=ReportDate-1,$A525=ReportDate-1),1,0),0)</f>
        <v>0</v>
      </c>
      <c r="AW525" s="71">
        <f>IF(AND($AK525=1,$Z525="Yes"),1,0)</f>
        <v>0</v>
      </c>
      <c r="AX525" s="71">
        <f>IF(AND($AK525=1,$AA525="Yes"),1,0)</f>
        <v>0</v>
      </c>
      <c r="AY525" s="71">
        <f>IF(AND($AM525=1,OR($I525="Critical",$I525="High")),1,0)</f>
        <v>0</v>
      </c>
      <c r="AZ525" s="71">
        <f>IF(AND($AK525=1,OR($C525=TCL_Client,$C525=MECCA_Client)),1,0)</f>
        <v>0</v>
      </c>
      <c r="BA525" s="71" t="str">
        <f>IF($G525="","",IFERROR(MATCH($I525,lst_Priority,0),5))</f>
        <v/>
      </c>
      <c r="BB525" s="71" t="str">
        <f>IF(AND($AL525=1,$AJ525=1),$BA525*100000+ROW(),"")</f>
        <v/>
      </c>
      <c r="BC525" s="71" t="str">
        <f>IF(AND($AM525=1,$AJ525=1),$BA525*100000+ROW(),"")</f>
        <v/>
      </c>
      <c r="BD525" s="71" t="str">
        <f>IF(AND($AP525=1,$AJ525=1),$BA525*100000+ROW(),"")</f>
        <v/>
      </c>
      <c r="BE525" s="71" t="str">
        <f>IF(AND($AT525=1,$AJ525=1),$BA525*100000+ROW(),"")</f>
        <v/>
      </c>
      <c r="BF525" s="71" t="str">
        <f>IF(AND($AU525=1,$AJ525=1),$BA525*100000+ROW(),"")</f>
        <v/>
      </c>
      <c r="BG525" s="71" t="str">
        <f>IF(AND($AV525=1,$AJ525=1),$BA525*100000+ROW(),"")</f>
        <v/>
      </c>
      <c r="BH525" s="71" t="str">
        <f>IF(AND($AW525=1,$AJ525=1),$BA525*100000+ROW(),"")</f>
        <v/>
      </c>
      <c r="BI525" s="71" t="str">
        <f>IF(AND($AX525=1,$AJ525=1),$BA525*100000+ROW(),"")</f>
        <v/>
      </c>
      <c r="BJ525" s="71" t="str">
        <f>IF(AND($AS525=1,$AJ525=1),$BA525*100000+ROW(),"")</f>
        <v/>
      </c>
      <c r="BK525" s="71" t="str">
        <f>IF(AND($AY525=1,$AJ525=1),$BA525*100000+ROW(),"")</f>
        <v/>
      </c>
      <c r="BL525" s="71" t="str">
        <f>IF(AND($AZ525=1),$BA525*100000+ROW(),"")</f>
        <v/>
      </c>
    </row>
    <row r="526">
      <c r="A526" s="63" t="n"/>
      <c r="B526" s="64" t="n"/>
      <c r="C526" s="64" t="n"/>
      <c r="D526" s="64" t="n"/>
      <c r="E526" s="64" t="n"/>
      <c r="F526" s="64" t="n"/>
      <c r="G526" s="65" t="n"/>
      <c r="H526" s="65" t="n"/>
      <c r="I526" s="64" t="n"/>
      <c r="J526" s="64" t="n"/>
      <c r="K526" s="63" t="n"/>
      <c r="L526" s="63" t="n"/>
      <c r="M526" s="64" t="n"/>
      <c r="N526" s="66" t="n"/>
      <c r="O526" s="65" t="n"/>
      <c r="P526" s="64" t="n"/>
      <c r="Q526" s="67" t="n"/>
      <c r="R526" s="67" t="n"/>
      <c r="S526" s="68" t="str">
        <f>IF(AND(ISNUMBER($Q526),ISNUMBER($R526)),$Q526-$R526,"")</f>
        <v/>
      </c>
      <c r="T526" s="65" t="n"/>
      <c r="U526" s="64" t="n"/>
      <c r="V526" s="65" t="n"/>
      <c r="W526" s="63" t="n"/>
      <c r="X526" s="65" t="n"/>
      <c r="Y526" s="63" t="n"/>
      <c r="Z526" s="64" t="n"/>
      <c r="AA526" s="64" t="n"/>
      <c r="AB526" s="65" t="n"/>
      <c r="AC526" s="69" t="str">
        <f>IF(OR($G526="",NOT(ISNUMBER($K526)),$AK526=0),"",MAX(0,ReportDate-$K526))</f>
        <v/>
      </c>
      <c r="AD526" s="69" t="str">
        <f>IF($G526="","",IF($AL526=1,ReportDate-$L526,0))</f>
        <v/>
      </c>
      <c r="AE526" s="70" t="str">
        <f>IF($G526="","",IF($M526="Completed",1,IF(ISNUMBER($N526),$N526,0)))</f>
        <v/>
      </c>
      <c r="AF526" s="70" t="str">
        <f>IF(AND(ISNUMBER($Q526),ISNUMBER($R526)),IF($R526&lt;&gt;0,$Q526/$R526,""),"")</f>
        <v/>
      </c>
      <c r="AG526" s="71" t="str">
        <f>IF($G526="","",IF($AL526=1,"OVERDUE",IF($AM526=1,"BLOCKED",IF($AN526=1,"DUE TODAY",IF($AO526=1,"DUE TOMORROW",IF($AQ526=1,"HIGH PRIORITY",IF($AR526=1,"NO RECENT UPDATE",""))))))) </f>
        <v/>
      </c>
      <c r="AH526" s="71" t="str">
        <f>IF($G526="","",IF(ISNUMBER($A526),IF(ISNUMBER($A526),YEAR($A526)&amp;"-"&amp;TEXT(MONTH($A526),"00"),""),IF(ISNUMBER($L526),IF(ISNUMBER($L526),YEAR($L526)&amp;"-"&amp;TEXT(MONTH($L526),"00"),""),"")))</f>
        <v/>
      </c>
      <c r="AI526" s="71">
        <f>IF($G526="",0,IF(AND(OR(fClient="All",$C526=fClient),OR(fCampaign="All",$D526=fCampaign),OR(fTeam="All",$B526=fTeam),OR(fChannel="All",$F526=fChannel),OR(fMonth="All",$AH526=fMonth),OR(fTStatus="All",$M526=fTStatus)),1,0))</f>
        <v>0</v>
      </c>
      <c r="AJ526" s="71">
        <f>IF($G526="",0,IF(AND(OR(fClient="All",$C526=fClient),OR(fCampaign="All",$D526=fCampaign),OR(fTeam="All",$B526=fTeam),OR(fChannel="All",$F526=fChannel)),1,0))</f>
        <v>0</v>
      </c>
      <c r="AK526" s="71">
        <f>IF($G526="",0,IF(OR($M526="Completed",$M526="Cancelled"),0,1))</f>
        <v>0</v>
      </c>
      <c r="AL526" s="71">
        <f>IF(AND($AK526=1,ISNUMBER($L526)),IF($L526&lt;ReportDate,1,0),0)</f>
        <v>0</v>
      </c>
      <c r="AM526" s="71">
        <f>IF(AND($G526&lt;&gt;"",$M526="Blocked"),1,0)</f>
        <v>0</v>
      </c>
      <c r="AN526" s="71">
        <f>IF(AND($AK526=1,ISNUMBER($L526)),IF($L526=ReportDate,1,0),0)</f>
        <v>0</v>
      </c>
      <c r="AO526" s="71">
        <f>IF(AND($AK526=1,ISNUMBER($L526)),IF($L526=ReportDate+1,1,0),0)</f>
        <v>0</v>
      </c>
      <c r="AP526" s="71">
        <f>IF(AND($AK526=1,ISNUMBER($L526)),IF(AND($L526&gt;=ReportDate,$L526&lt;=ReportDate+DueSoonDays),1,0),0)</f>
        <v>0</v>
      </c>
      <c r="AQ526" s="71">
        <f>IF(AND($AK526=1,OR($I526="Critical",$I526="High")),1,0)</f>
        <v>0</v>
      </c>
      <c r="AR526" s="71">
        <f>IF($AK526=1,IF(ISNUMBER($Y526),IF(ReportDate-$Y526&gt;StaleDays,1,0),1),0)</f>
        <v>0</v>
      </c>
      <c r="AS526" s="71">
        <f>IF(AND($G526&lt;&gt;"",ISNUMBER($Q526),ISNUMBER($R526)),IF(AND($Q526&lt;$R526,OR($M526="Completed",AND(ISNUMBER($L526),$L526&lt;ReportDate))),1,0),0)</f>
        <v>0</v>
      </c>
      <c r="AT526" s="71">
        <f>IF($AK526=1,IF(OR($L526=ReportDate,$W526=ReportDate,$K526=ReportDate,$A526=ReportDate),1,0),0)</f>
        <v>0</v>
      </c>
      <c r="AU526" s="71">
        <f>IF($AK526=1,IF(OR($L526=ReportDate+1,$W526=ReportDate+1,$K526=ReportDate+1,$A526=ReportDate+1),1,0),0)</f>
        <v>0</v>
      </c>
      <c r="AV526" s="71">
        <f>IF(AND($G526&lt;&gt;"",$M526="Completed"),IF(OR($Y526=ReportDate-1,$A526=ReportDate-1),1,0),0)</f>
        <v>0</v>
      </c>
      <c r="AW526" s="71">
        <f>IF(AND($AK526=1,$Z526="Yes"),1,0)</f>
        <v>0</v>
      </c>
      <c r="AX526" s="71">
        <f>IF(AND($AK526=1,$AA526="Yes"),1,0)</f>
        <v>0</v>
      </c>
      <c r="AY526" s="71">
        <f>IF(AND($AM526=1,OR($I526="Critical",$I526="High")),1,0)</f>
        <v>0</v>
      </c>
      <c r="AZ526" s="71">
        <f>IF(AND($AK526=1,OR($C526=TCL_Client,$C526=MECCA_Client)),1,0)</f>
        <v>0</v>
      </c>
      <c r="BA526" s="71" t="str">
        <f>IF($G526="","",IFERROR(MATCH($I526,lst_Priority,0),5))</f>
        <v/>
      </c>
      <c r="BB526" s="71" t="str">
        <f>IF(AND($AL526=1,$AJ526=1),$BA526*100000+ROW(),"")</f>
        <v/>
      </c>
      <c r="BC526" s="71" t="str">
        <f>IF(AND($AM526=1,$AJ526=1),$BA526*100000+ROW(),"")</f>
        <v/>
      </c>
      <c r="BD526" s="71" t="str">
        <f>IF(AND($AP526=1,$AJ526=1),$BA526*100000+ROW(),"")</f>
        <v/>
      </c>
      <c r="BE526" s="71" t="str">
        <f>IF(AND($AT526=1,$AJ526=1),$BA526*100000+ROW(),"")</f>
        <v/>
      </c>
      <c r="BF526" s="71" t="str">
        <f>IF(AND($AU526=1,$AJ526=1),$BA526*100000+ROW(),"")</f>
        <v/>
      </c>
      <c r="BG526" s="71" t="str">
        <f>IF(AND($AV526=1,$AJ526=1),$BA526*100000+ROW(),"")</f>
        <v/>
      </c>
      <c r="BH526" s="71" t="str">
        <f>IF(AND($AW526=1,$AJ526=1),$BA526*100000+ROW(),"")</f>
        <v/>
      </c>
      <c r="BI526" s="71" t="str">
        <f>IF(AND($AX526=1,$AJ526=1),$BA526*100000+ROW(),"")</f>
        <v/>
      </c>
      <c r="BJ526" s="71" t="str">
        <f>IF(AND($AS526=1,$AJ526=1),$BA526*100000+ROW(),"")</f>
        <v/>
      </c>
      <c r="BK526" s="71" t="str">
        <f>IF(AND($AY526=1,$AJ526=1),$BA526*100000+ROW(),"")</f>
        <v/>
      </c>
      <c r="BL526" s="71" t="str">
        <f>IF(AND($AZ526=1),$BA526*100000+ROW(),"")</f>
        <v/>
      </c>
    </row>
    <row r="527">
      <c r="A527" s="63" t="n"/>
      <c r="B527" s="64" t="n"/>
      <c r="C527" s="64" t="n"/>
      <c r="D527" s="64" t="n"/>
      <c r="E527" s="64" t="n"/>
      <c r="F527" s="64" t="n"/>
      <c r="G527" s="65" t="n"/>
      <c r="H527" s="65" t="n"/>
      <c r="I527" s="64" t="n"/>
      <c r="J527" s="64" t="n"/>
      <c r="K527" s="63" t="n"/>
      <c r="L527" s="63" t="n"/>
      <c r="M527" s="64" t="n"/>
      <c r="N527" s="66" t="n"/>
      <c r="O527" s="65" t="n"/>
      <c r="P527" s="64" t="n"/>
      <c r="Q527" s="67" t="n"/>
      <c r="R527" s="67" t="n"/>
      <c r="S527" s="68" t="str">
        <f>IF(AND(ISNUMBER($Q527),ISNUMBER($R527)),$Q527-$R527,"")</f>
        <v/>
      </c>
      <c r="T527" s="65" t="n"/>
      <c r="U527" s="64" t="n"/>
      <c r="V527" s="65" t="n"/>
      <c r="W527" s="63" t="n"/>
      <c r="X527" s="65" t="n"/>
      <c r="Y527" s="63" t="n"/>
      <c r="Z527" s="64" t="n"/>
      <c r="AA527" s="64" t="n"/>
      <c r="AB527" s="65" t="n"/>
      <c r="AC527" s="69" t="str">
        <f>IF(OR($G527="",NOT(ISNUMBER($K527)),$AK527=0),"",MAX(0,ReportDate-$K527))</f>
        <v/>
      </c>
      <c r="AD527" s="69" t="str">
        <f>IF($G527="","",IF($AL527=1,ReportDate-$L527,0))</f>
        <v/>
      </c>
      <c r="AE527" s="70" t="str">
        <f>IF($G527="","",IF($M527="Completed",1,IF(ISNUMBER($N527),$N527,0)))</f>
        <v/>
      </c>
      <c r="AF527" s="70" t="str">
        <f>IF(AND(ISNUMBER($Q527),ISNUMBER($R527)),IF($R527&lt;&gt;0,$Q527/$R527,""),"")</f>
        <v/>
      </c>
      <c r="AG527" s="71" t="str">
        <f>IF($G527="","",IF($AL527=1,"OVERDUE",IF($AM527=1,"BLOCKED",IF($AN527=1,"DUE TODAY",IF($AO527=1,"DUE TOMORROW",IF($AQ527=1,"HIGH PRIORITY",IF($AR527=1,"NO RECENT UPDATE",""))))))) </f>
        <v/>
      </c>
      <c r="AH527" s="71" t="str">
        <f>IF($G527="","",IF(ISNUMBER($A527),IF(ISNUMBER($A527),YEAR($A527)&amp;"-"&amp;TEXT(MONTH($A527),"00"),""),IF(ISNUMBER($L527),IF(ISNUMBER($L527),YEAR($L527)&amp;"-"&amp;TEXT(MONTH($L527),"00"),""),"")))</f>
        <v/>
      </c>
      <c r="AI527" s="71">
        <f>IF($G527="",0,IF(AND(OR(fClient="All",$C527=fClient),OR(fCampaign="All",$D527=fCampaign),OR(fTeam="All",$B527=fTeam),OR(fChannel="All",$F527=fChannel),OR(fMonth="All",$AH527=fMonth),OR(fTStatus="All",$M527=fTStatus)),1,0))</f>
        <v>0</v>
      </c>
      <c r="AJ527" s="71">
        <f>IF($G527="",0,IF(AND(OR(fClient="All",$C527=fClient),OR(fCampaign="All",$D527=fCampaign),OR(fTeam="All",$B527=fTeam),OR(fChannel="All",$F527=fChannel)),1,0))</f>
        <v>0</v>
      </c>
      <c r="AK527" s="71">
        <f>IF($G527="",0,IF(OR($M527="Completed",$M527="Cancelled"),0,1))</f>
        <v>0</v>
      </c>
      <c r="AL527" s="71">
        <f>IF(AND($AK527=1,ISNUMBER($L527)),IF($L527&lt;ReportDate,1,0),0)</f>
        <v>0</v>
      </c>
      <c r="AM527" s="71">
        <f>IF(AND($G527&lt;&gt;"",$M527="Blocked"),1,0)</f>
        <v>0</v>
      </c>
      <c r="AN527" s="71">
        <f>IF(AND($AK527=1,ISNUMBER($L527)),IF($L527=ReportDate,1,0),0)</f>
        <v>0</v>
      </c>
      <c r="AO527" s="71">
        <f>IF(AND($AK527=1,ISNUMBER($L527)),IF($L527=ReportDate+1,1,0),0)</f>
        <v>0</v>
      </c>
      <c r="AP527" s="71">
        <f>IF(AND($AK527=1,ISNUMBER($L527)),IF(AND($L527&gt;=ReportDate,$L527&lt;=ReportDate+DueSoonDays),1,0),0)</f>
        <v>0</v>
      </c>
      <c r="AQ527" s="71">
        <f>IF(AND($AK527=1,OR($I527="Critical",$I527="High")),1,0)</f>
        <v>0</v>
      </c>
      <c r="AR527" s="71">
        <f>IF($AK527=1,IF(ISNUMBER($Y527),IF(ReportDate-$Y527&gt;StaleDays,1,0),1),0)</f>
        <v>0</v>
      </c>
      <c r="AS527" s="71">
        <f>IF(AND($G527&lt;&gt;"",ISNUMBER($Q527),ISNUMBER($R527)),IF(AND($Q527&lt;$R527,OR($M527="Completed",AND(ISNUMBER($L527),$L527&lt;ReportDate))),1,0),0)</f>
        <v>0</v>
      </c>
      <c r="AT527" s="71">
        <f>IF($AK527=1,IF(OR($L527=ReportDate,$W527=ReportDate,$K527=ReportDate,$A527=ReportDate),1,0),0)</f>
        <v>0</v>
      </c>
      <c r="AU527" s="71">
        <f>IF($AK527=1,IF(OR($L527=ReportDate+1,$W527=ReportDate+1,$K527=ReportDate+1,$A527=ReportDate+1),1,0),0)</f>
        <v>0</v>
      </c>
      <c r="AV527" s="71">
        <f>IF(AND($G527&lt;&gt;"",$M527="Completed"),IF(OR($Y527=ReportDate-1,$A527=ReportDate-1),1,0),0)</f>
        <v>0</v>
      </c>
      <c r="AW527" s="71">
        <f>IF(AND($AK527=1,$Z527="Yes"),1,0)</f>
        <v>0</v>
      </c>
      <c r="AX527" s="71">
        <f>IF(AND($AK527=1,$AA527="Yes"),1,0)</f>
        <v>0</v>
      </c>
      <c r="AY527" s="71">
        <f>IF(AND($AM527=1,OR($I527="Critical",$I527="High")),1,0)</f>
        <v>0</v>
      </c>
      <c r="AZ527" s="71">
        <f>IF(AND($AK527=1,OR($C527=TCL_Client,$C527=MECCA_Client)),1,0)</f>
        <v>0</v>
      </c>
      <c r="BA527" s="71" t="str">
        <f>IF($G527="","",IFERROR(MATCH($I527,lst_Priority,0),5))</f>
        <v/>
      </c>
      <c r="BB527" s="71" t="str">
        <f>IF(AND($AL527=1,$AJ527=1),$BA527*100000+ROW(),"")</f>
        <v/>
      </c>
      <c r="BC527" s="71" t="str">
        <f>IF(AND($AM527=1,$AJ527=1),$BA527*100000+ROW(),"")</f>
        <v/>
      </c>
      <c r="BD527" s="71" t="str">
        <f>IF(AND($AP527=1,$AJ527=1),$BA527*100000+ROW(),"")</f>
        <v/>
      </c>
      <c r="BE527" s="71" t="str">
        <f>IF(AND($AT527=1,$AJ527=1),$BA527*100000+ROW(),"")</f>
        <v/>
      </c>
      <c r="BF527" s="71" t="str">
        <f>IF(AND($AU527=1,$AJ527=1),$BA527*100000+ROW(),"")</f>
        <v/>
      </c>
      <c r="BG527" s="71" t="str">
        <f>IF(AND($AV527=1,$AJ527=1),$BA527*100000+ROW(),"")</f>
        <v/>
      </c>
      <c r="BH527" s="71" t="str">
        <f>IF(AND($AW527=1,$AJ527=1),$BA527*100000+ROW(),"")</f>
        <v/>
      </c>
      <c r="BI527" s="71" t="str">
        <f>IF(AND($AX527=1,$AJ527=1),$BA527*100000+ROW(),"")</f>
        <v/>
      </c>
      <c r="BJ527" s="71" t="str">
        <f>IF(AND($AS527=1,$AJ527=1),$BA527*100000+ROW(),"")</f>
        <v/>
      </c>
      <c r="BK527" s="71" t="str">
        <f>IF(AND($AY527=1,$AJ527=1),$BA527*100000+ROW(),"")</f>
        <v/>
      </c>
      <c r="BL527" s="71" t="str">
        <f>IF(AND($AZ527=1),$BA527*100000+ROW(),"")</f>
        <v/>
      </c>
    </row>
    <row r="528">
      <c r="A528" s="63" t="n"/>
      <c r="B528" s="64" t="n"/>
      <c r="C528" s="64" t="n"/>
      <c r="D528" s="64" t="n"/>
      <c r="E528" s="64" t="n"/>
      <c r="F528" s="64" t="n"/>
      <c r="G528" s="65" t="n"/>
      <c r="H528" s="65" t="n"/>
      <c r="I528" s="64" t="n"/>
      <c r="J528" s="64" t="n"/>
      <c r="K528" s="63" t="n"/>
      <c r="L528" s="63" t="n"/>
      <c r="M528" s="64" t="n"/>
      <c r="N528" s="66" t="n"/>
      <c r="O528" s="65" t="n"/>
      <c r="P528" s="64" t="n"/>
      <c r="Q528" s="67" t="n"/>
      <c r="R528" s="67" t="n"/>
      <c r="S528" s="68" t="str">
        <f>IF(AND(ISNUMBER($Q528),ISNUMBER($R528)),$Q528-$R528,"")</f>
        <v/>
      </c>
      <c r="T528" s="65" t="n"/>
      <c r="U528" s="64" t="n"/>
      <c r="V528" s="65" t="n"/>
      <c r="W528" s="63" t="n"/>
      <c r="X528" s="65" t="n"/>
      <c r="Y528" s="63" t="n"/>
      <c r="Z528" s="64" t="n"/>
      <c r="AA528" s="64" t="n"/>
      <c r="AB528" s="65" t="n"/>
      <c r="AC528" s="69" t="str">
        <f>IF(OR($G528="",NOT(ISNUMBER($K528)),$AK528=0),"",MAX(0,ReportDate-$K528))</f>
        <v/>
      </c>
      <c r="AD528" s="69" t="str">
        <f>IF($G528="","",IF($AL528=1,ReportDate-$L528,0))</f>
        <v/>
      </c>
      <c r="AE528" s="70" t="str">
        <f>IF($G528="","",IF($M528="Completed",1,IF(ISNUMBER($N528),$N528,0)))</f>
        <v/>
      </c>
      <c r="AF528" s="70" t="str">
        <f>IF(AND(ISNUMBER($Q528),ISNUMBER($R528)),IF($R528&lt;&gt;0,$Q528/$R528,""),"")</f>
        <v/>
      </c>
      <c r="AG528" s="71" t="str">
        <f>IF($G528="","",IF($AL528=1,"OVERDUE",IF($AM528=1,"BLOCKED",IF($AN528=1,"DUE TODAY",IF($AO528=1,"DUE TOMORROW",IF($AQ528=1,"HIGH PRIORITY",IF($AR528=1,"NO RECENT UPDATE",""))))))) </f>
        <v/>
      </c>
      <c r="AH528" s="71" t="str">
        <f>IF($G528="","",IF(ISNUMBER($A528),IF(ISNUMBER($A528),YEAR($A528)&amp;"-"&amp;TEXT(MONTH($A528),"00"),""),IF(ISNUMBER($L528),IF(ISNUMBER($L528),YEAR($L528)&amp;"-"&amp;TEXT(MONTH($L528),"00"),""),"")))</f>
        <v/>
      </c>
      <c r="AI528" s="71">
        <f>IF($G528="",0,IF(AND(OR(fClient="All",$C528=fClient),OR(fCampaign="All",$D528=fCampaign),OR(fTeam="All",$B528=fTeam),OR(fChannel="All",$F528=fChannel),OR(fMonth="All",$AH528=fMonth),OR(fTStatus="All",$M528=fTStatus)),1,0))</f>
        <v>0</v>
      </c>
      <c r="AJ528" s="71">
        <f>IF($G528="",0,IF(AND(OR(fClient="All",$C528=fClient),OR(fCampaign="All",$D528=fCampaign),OR(fTeam="All",$B528=fTeam),OR(fChannel="All",$F528=fChannel)),1,0))</f>
        <v>0</v>
      </c>
      <c r="AK528" s="71">
        <f>IF($G528="",0,IF(OR($M528="Completed",$M528="Cancelled"),0,1))</f>
        <v>0</v>
      </c>
      <c r="AL528" s="71">
        <f>IF(AND($AK528=1,ISNUMBER($L528)),IF($L528&lt;ReportDate,1,0),0)</f>
        <v>0</v>
      </c>
      <c r="AM528" s="71">
        <f>IF(AND($G528&lt;&gt;"",$M528="Blocked"),1,0)</f>
        <v>0</v>
      </c>
      <c r="AN528" s="71">
        <f>IF(AND($AK528=1,ISNUMBER($L528)),IF($L528=ReportDate,1,0),0)</f>
        <v>0</v>
      </c>
      <c r="AO528" s="71">
        <f>IF(AND($AK528=1,ISNUMBER($L528)),IF($L528=ReportDate+1,1,0),0)</f>
        <v>0</v>
      </c>
      <c r="AP528" s="71">
        <f>IF(AND($AK528=1,ISNUMBER($L528)),IF(AND($L528&gt;=ReportDate,$L528&lt;=ReportDate+DueSoonDays),1,0),0)</f>
        <v>0</v>
      </c>
      <c r="AQ528" s="71">
        <f>IF(AND($AK528=1,OR($I528="Critical",$I528="High")),1,0)</f>
        <v>0</v>
      </c>
      <c r="AR528" s="71">
        <f>IF($AK528=1,IF(ISNUMBER($Y528),IF(ReportDate-$Y528&gt;StaleDays,1,0),1),0)</f>
        <v>0</v>
      </c>
      <c r="AS528" s="71">
        <f>IF(AND($G528&lt;&gt;"",ISNUMBER($Q528),ISNUMBER($R528)),IF(AND($Q528&lt;$R528,OR($M528="Completed",AND(ISNUMBER($L528),$L528&lt;ReportDate))),1,0),0)</f>
        <v>0</v>
      </c>
      <c r="AT528" s="71">
        <f>IF($AK528=1,IF(OR($L528=ReportDate,$W528=ReportDate,$K528=ReportDate,$A528=ReportDate),1,0),0)</f>
        <v>0</v>
      </c>
      <c r="AU528" s="71">
        <f>IF($AK528=1,IF(OR($L528=ReportDate+1,$W528=ReportDate+1,$K528=ReportDate+1,$A528=ReportDate+1),1,0),0)</f>
        <v>0</v>
      </c>
      <c r="AV528" s="71">
        <f>IF(AND($G528&lt;&gt;"",$M528="Completed"),IF(OR($Y528=ReportDate-1,$A528=ReportDate-1),1,0),0)</f>
        <v>0</v>
      </c>
      <c r="AW528" s="71">
        <f>IF(AND($AK528=1,$Z528="Yes"),1,0)</f>
        <v>0</v>
      </c>
      <c r="AX528" s="71">
        <f>IF(AND($AK528=1,$AA528="Yes"),1,0)</f>
        <v>0</v>
      </c>
      <c r="AY528" s="71">
        <f>IF(AND($AM528=1,OR($I528="Critical",$I528="High")),1,0)</f>
        <v>0</v>
      </c>
      <c r="AZ528" s="71">
        <f>IF(AND($AK528=1,OR($C528=TCL_Client,$C528=MECCA_Client)),1,0)</f>
        <v>0</v>
      </c>
      <c r="BA528" s="71" t="str">
        <f>IF($G528="","",IFERROR(MATCH($I528,lst_Priority,0),5))</f>
        <v/>
      </c>
      <c r="BB528" s="71" t="str">
        <f>IF(AND($AL528=1,$AJ528=1),$BA528*100000+ROW(),"")</f>
        <v/>
      </c>
      <c r="BC528" s="71" t="str">
        <f>IF(AND($AM528=1,$AJ528=1),$BA528*100000+ROW(),"")</f>
        <v/>
      </c>
      <c r="BD528" s="71" t="str">
        <f>IF(AND($AP528=1,$AJ528=1),$BA528*100000+ROW(),"")</f>
        <v/>
      </c>
      <c r="BE528" s="71" t="str">
        <f>IF(AND($AT528=1,$AJ528=1),$BA528*100000+ROW(),"")</f>
        <v/>
      </c>
      <c r="BF528" s="71" t="str">
        <f>IF(AND($AU528=1,$AJ528=1),$BA528*100000+ROW(),"")</f>
        <v/>
      </c>
      <c r="BG528" s="71" t="str">
        <f>IF(AND($AV528=1,$AJ528=1),$BA528*100000+ROW(),"")</f>
        <v/>
      </c>
      <c r="BH528" s="71" t="str">
        <f>IF(AND($AW528=1,$AJ528=1),$BA528*100000+ROW(),"")</f>
        <v/>
      </c>
      <c r="BI528" s="71" t="str">
        <f>IF(AND($AX528=1,$AJ528=1),$BA528*100000+ROW(),"")</f>
        <v/>
      </c>
      <c r="BJ528" s="71" t="str">
        <f>IF(AND($AS528=1,$AJ528=1),$BA528*100000+ROW(),"")</f>
        <v/>
      </c>
      <c r="BK528" s="71" t="str">
        <f>IF(AND($AY528=1,$AJ528=1),$BA528*100000+ROW(),"")</f>
        <v/>
      </c>
      <c r="BL528" s="71" t="str">
        <f>IF(AND($AZ528=1),$BA528*100000+ROW(),"")</f>
        <v/>
      </c>
    </row>
    <row r="529">
      <c r="A529" s="63" t="n"/>
      <c r="B529" s="64" t="n"/>
      <c r="C529" s="64" t="n"/>
      <c r="D529" s="64" t="n"/>
      <c r="E529" s="64" t="n"/>
      <c r="F529" s="64" t="n"/>
      <c r="G529" s="65" t="n"/>
      <c r="H529" s="65" t="n"/>
      <c r="I529" s="64" t="n"/>
      <c r="J529" s="64" t="n"/>
      <c r="K529" s="63" t="n"/>
      <c r="L529" s="63" t="n"/>
      <c r="M529" s="64" t="n"/>
      <c r="N529" s="66" t="n"/>
      <c r="O529" s="65" t="n"/>
      <c r="P529" s="64" t="n"/>
      <c r="Q529" s="67" t="n"/>
      <c r="R529" s="67" t="n"/>
      <c r="S529" s="68" t="str">
        <f>IF(AND(ISNUMBER($Q529),ISNUMBER($R529)),$Q529-$R529,"")</f>
        <v/>
      </c>
      <c r="T529" s="65" t="n"/>
      <c r="U529" s="64" t="n"/>
      <c r="V529" s="65" t="n"/>
      <c r="W529" s="63" t="n"/>
      <c r="X529" s="65" t="n"/>
      <c r="Y529" s="63" t="n"/>
      <c r="Z529" s="64" t="n"/>
      <c r="AA529" s="64" t="n"/>
      <c r="AB529" s="65" t="n"/>
      <c r="AC529" s="69" t="str">
        <f>IF(OR($G529="",NOT(ISNUMBER($K529)),$AK529=0),"",MAX(0,ReportDate-$K529))</f>
        <v/>
      </c>
      <c r="AD529" s="69" t="str">
        <f>IF($G529="","",IF($AL529=1,ReportDate-$L529,0))</f>
        <v/>
      </c>
      <c r="AE529" s="70" t="str">
        <f>IF($G529="","",IF($M529="Completed",1,IF(ISNUMBER($N529),$N529,0)))</f>
        <v/>
      </c>
      <c r="AF529" s="70" t="str">
        <f>IF(AND(ISNUMBER($Q529),ISNUMBER($R529)),IF($R529&lt;&gt;0,$Q529/$R529,""),"")</f>
        <v/>
      </c>
      <c r="AG529" s="71" t="str">
        <f>IF($G529="","",IF($AL529=1,"OVERDUE",IF($AM529=1,"BLOCKED",IF($AN529=1,"DUE TODAY",IF($AO529=1,"DUE TOMORROW",IF($AQ529=1,"HIGH PRIORITY",IF($AR529=1,"NO RECENT UPDATE",""))))))) </f>
        <v/>
      </c>
      <c r="AH529" s="71" t="str">
        <f>IF($G529="","",IF(ISNUMBER($A529),IF(ISNUMBER($A529),YEAR($A529)&amp;"-"&amp;TEXT(MONTH($A529),"00"),""),IF(ISNUMBER($L529),IF(ISNUMBER($L529),YEAR($L529)&amp;"-"&amp;TEXT(MONTH($L529),"00"),""),"")))</f>
        <v/>
      </c>
      <c r="AI529" s="71">
        <f>IF($G529="",0,IF(AND(OR(fClient="All",$C529=fClient),OR(fCampaign="All",$D529=fCampaign),OR(fTeam="All",$B529=fTeam),OR(fChannel="All",$F529=fChannel),OR(fMonth="All",$AH529=fMonth),OR(fTStatus="All",$M529=fTStatus)),1,0))</f>
        <v>0</v>
      </c>
      <c r="AJ529" s="71">
        <f>IF($G529="",0,IF(AND(OR(fClient="All",$C529=fClient),OR(fCampaign="All",$D529=fCampaign),OR(fTeam="All",$B529=fTeam),OR(fChannel="All",$F529=fChannel)),1,0))</f>
        <v>0</v>
      </c>
      <c r="AK529" s="71">
        <f>IF($G529="",0,IF(OR($M529="Completed",$M529="Cancelled"),0,1))</f>
        <v>0</v>
      </c>
      <c r="AL529" s="71">
        <f>IF(AND($AK529=1,ISNUMBER($L529)),IF($L529&lt;ReportDate,1,0),0)</f>
        <v>0</v>
      </c>
      <c r="AM529" s="71">
        <f>IF(AND($G529&lt;&gt;"",$M529="Blocked"),1,0)</f>
        <v>0</v>
      </c>
      <c r="AN529" s="71">
        <f>IF(AND($AK529=1,ISNUMBER($L529)),IF($L529=ReportDate,1,0),0)</f>
        <v>0</v>
      </c>
      <c r="AO529" s="71">
        <f>IF(AND($AK529=1,ISNUMBER($L529)),IF($L529=ReportDate+1,1,0),0)</f>
        <v>0</v>
      </c>
      <c r="AP529" s="71">
        <f>IF(AND($AK529=1,ISNUMBER($L529)),IF(AND($L529&gt;=ReportDate,$L529&lt;=ReportDate+DueSoonDays),1,0),0)</f>
        <v>0</v>
      </c>
      <c r="AQ529" s="71">
        <f>IF(AND($AK529=1,OR($I529="Critical",$I529="High")),1,0)</f>
        <v>0</v>
      </c>
      <c r="AR529" s="71">
        <f>IF($AK529=1,IF(ISNUMBER($Y529),IF(ReportDate-$Y529&gt;StaleDays,1,0),1),0)</f>
        <v>0</v>
      </c>
      <c r="AS529" s="71">
        <f>IF(AND($G529&lt;&gt;"",ISNUMBER($Q529),ISNUMBER($R529)),IF(AND($Q529&lt;$R529,OR($M529="Completed",AND(ISNUMBER($L529),$L529&lt;ReportDate))),1,0),0)</f>
        <v>0</v>
      </c>
      <c r="AT529" s="71">
        <f>IF($AK529=1,IF(OR($L529=ReportDate,$W529=ReportDate,$K529=ReportDate,$A529=ReportDate),1,0),0)</f>
        <v>0</v>
      </c>
      <c r="AU529" s="71">
        <f>IF($AK529=1,IF(OR($L529=ReportDate+1,$W529=ReportDate+1,$K529=ReportDate+1,$A529=ReportDate+1),1,0),0)</f>
        <v>0</v>
      </c>
      <c r="AV529" s="71">
        <f>IF(AND($G529&lt;&gt;"",$M529="Completed"),IF(OR($Y529=ReportDate-1,$A529=ReportDate-1),1,0),0)</f>
        <v>0</v>
      </c>
      <c r="AW529" s="71">
        <f>IF(AND($AK529=1,$Z529="Yes"),1,0)</f>
        <v>0</v>
      </c>
      <c r="AX529" s="71">
        <f>IF(AND($AK529=1,$AA529="Yes"),1,0)</f>
        <v>0</v>
      </c>
      <c r="AY529" s="71">
        <f>IF(AND($AM529=1,OR($I529="Critical",$I529="High")),1,0)</f>
        <v>0</v>
      </c>
      <c r="AZ529" s="71">
        <f>IF(AND($AK529=1,OR($C529=TCL_Client,$C529=MECCA_Client)),1,0)</f>
        <v>0</v>
      </c>
      <c r="BA529" s="71" t="str">
        <f>IF($G529="","",IFERROR(MATCH($I529,lst_Priority,0),5))</f>
        <v/>
      </c>
      <c r="BB529" s="71" t="str">
        <f>IF(AND($AL529=1,$AJ529=1),$BA529*100000+ROW(),"")</f>
        <v/>
      </c>
      <c r="BC529" s="71" t="str">
        <f>IF(AND($AM529=1,$AJ529=1),$BA529*100000+ROW(),"")</f>
        <v/>
      </c>
      <c r="BD529" s="71" t="str">
        <f>IF(AND($AP529=1,$AJ529=1),$BA529*100000+ROW(),"")</f>
        <v/>
      </c>
      <c r="BE529" s="71" t="str">
        <f>IF(AND($AT529=1,$AJ529=1),$BA529*100000+ROW(),"")</f>
        <v/>
      </c>
      <c r="BF529" s="71" t="str">
        <f>IF(AND($AU529=1,$AJ529=1),$BA529*100000+ROW(),"")</f>
        <v/>
      </c>
      <c r="BG529" s="71" t="str">
        <f>IF(AND($AV529=1,$AJ529=1),$BA529*100000+ROW(),"")</f>
        <v/>
      </c>
      <c r="BH529" s="71" t="str">
        <f>IF(AND($AW529=1,$AJ529=1),$BA529*100000+ROW(),"")</f>
        <v/>
      </c>
      <c r="BI529" s="71" t="str">
        <f>IF(AND($AX529=1,$AJ529=1),$BA529*100000+ROW(),"")</f>
        <v/>
      </c>
      <c r="BJ529" s="71" t="str">
        <f>IF(AND($AS529=1,$AJ529=1),$BA529*100000+ROW(),"")</f>
        <v/>
      </c>
      <c r="BK529" s="71" t="str">
        <f>IF(AND($AY529=1,$AJ529=1),$BA529*100000+ROW(),"")</f>
        <v/>
      </c>
      <c r="BL529" s="71" t="str">
        <f>IF(AND($AZ529=1),$BA529*100000+ROW(),"")</f>
        <v/>
      </c>
    </row>
    <row r="530">
      <c r="A530" s="63" t="n"/>
      <c r="B530" s="64" t="n"/>
      <c r="C530" s="64" t="n"/>
      <c r="D530" s="64" t="n"/>
      <c r="E530" s="64" t="n"/>
      <c r="F530" s="64" t="n"/>
      <c r="G530" s="65" t="n"/>
      <c r="H530" s="65" t="n"/>
      <c r="I530" s="64" t="n"/>
      <c r="J530" s="64" t="n"/>
      <c r="K530" s="63" t="n"/>
      <c r="L530" s="63" t="n"/>
      <c r="M530" s="64" t="n"/>
      <c r="N530" s="66" t="n"/>
      <c r="O530" s="65" t="n"/>
      <c r="P530" s="64" t="n"/>
      <c r="Q530" s="67" t="n"/>
      <c r="R530" s="67" t="n"/>
      <c r="S530" s="68" t="str">
        <f>IF(AND(ISNUMBER($Q530),ISNUMBER($R530)),$Q530-$R530,"")</f>
        <v/>
      </c>
      <c r="T530" s="65" t="n"/>
      <c r="U530" s="64" t="n"/>
      <c r="V530" s="65" t="n"/>
      <c r="W530" s="63" t="n"/>
      <c r="X530" s="65" t="n"/>
      <c r="Y530" s="63" t="n"/>
      <c r="Z530" s="64" t="n"/>
      <c r="AA530" s="64" t="n"/>
      <c r="AB530" s="65" t="n"/>
      <c r="AC530" s="69" t="str">
        <f>IF(OR($G530="",NOT(ISNUMBER($K530)),$AK530=0),"",MAX(0,ReportDate-$K530))</f>
        <v/>
      </c>
      <c r="AD530" s="69" t="str">
        <f>IF($G530="","",IF($AL530=1,ReportDate-$L530,0))</f>
        <v/>
      </c>
      <c r="AE530" s="70" t="str">
        <f>IF($G530="","",IF($M530="Completed",1,IF(ISNUMBER($N530),$N530,0)))</f>
        <v/>
      </c>
      <c r="AF530" s="70" t="str">
        <f>IF(AND(ISNUMBER($Q530),ISNUMBER($R530)),IF($R530&lt;&gt;0,$Q530/$R530,""),"")</f>
        <v/>
      </c>
      <c r="AG530" s="71" t="str">
        <f>IF($G530="","",IF($AL530=1,"OVERDUE",IF($AM530=1,"BLOCKED",IF($AN530=1,"DUE TODAY",IF($AO530=1,"DUE TOMORROW",IF($AQ530=1,"HIGH PRIORITY",IF($AR530=1,"NO RECENT UPDATE",""))))))) </f>
        <v/>
      </c>
      <c r="AH530" s="71" t="str">
        <f>IF($G530="","",IF(ISNUMBER($A530),IF(ISNUMBER($A530),YEAR($A530)&amp;"-"&amp;TEXT(MONTH($A530),"00"),""),IF(ISNUMBER($L530),IF(ISNUMBER($L530),YEAR($L530)&amp;"-"&amp;TEXT(MONTH($L530),"00"),""),"")))</f>
        <v/>
      </c>
      <c r="AI530" s="71">
        <f>IF($G530="",0,IF(AND(OR(fClient="All",$C530=fClient),OR(fCampaign="All",$D530=fCampaign),OR(fTeam="All",$B530=fTeam),OR(fChannel="All",$F530=fChannel),OR(fMonth="All",$AH530=fMonth),OR(fTStatus="All",$M530=fTStatus)),1,0))</f>
        <v>0</v>
      </c>
      <c r="AJ530" s="71">
        <f>IF($G530="",0,IF(AND(OR(fClient="All",$C530=fClient),OR(fCampaign="All",$D530=fCampaign),OR(fTeam="All",$B530=fTeam),OR(fChannel="All",$F530=fChannel)),1,0))</f>
        <v>0</v>
      </c>
      <c r="AK530" s="71">
        <f>IF($G530="",0,IF(OR($M530="Completed",$M530="Cancelled"),0,1))</f>
        <v>0</v>
      </c>
      <c r="AL530" s="71">
        <f>IF(AND($AK530=1,ISNUMBER($L530)),IF($L530&lt;ReportDate,1,0),0)</f>
        <v>0</v>
      </c>
      <c r="AM530" s="71">
        <f>IF(AND($G530&lt;&gt;"",$M530="Blocked"),1,0)</f>
        <v>0</v>
      </c>
      <c r="AN530" s="71">
        <f>IF(AND($AK530=1,ISNUMBER($L530)),IF($L530=ReportDate,1,0),0)</f>
        <v>0</v>
      </c>
      <c r="AO530" s="71">
        <f>IF(AND($AK530=1,ISNUMBER($L530)),IF($L530=ReportDate+1,1,0),0)</f>
        <v>0</v>
      </c>
      <c r="AP530" s="71">
        <f>IF(AND($AK530=1,ISNUMBER($L530)),IF(AND($L530&gt;=ReportDate,$L530&lt;=ReportDate+DueSoonDays),1,0),0)</f>
        <v>0</v>
      </c>
      <c r="AQ530" s="71">
        <f>IF(AND($AK530=1,OR($I530="Critical",$I530="High")),1,0)</f>
        <v>0</v>
      </c>
      <c r="AR530" s="71">
        <f>IF($AK530=1,IF(ISNUMBER($Y530),IF(ReportDate-$Y530&gt;StaleDays,1,0),1),0)</f>
        <v>0</v>
      </c>
      <c r="AS530" s="71">
        <f>IF(AND($G530&lt;&gt;"",ISNUMBER($Q530),ISNUMBER($R530)),IF(AND($Q530&lt;$R530,OR($M530="Completed",AND(ISNUMBER($L530),$L530&lt;ReportDate))),1,0),0)</f>
        <v>0</v>
      </c>
      <c r="AT530" s="71">
        <f>IF($AK530=1,IF(OR($L530=ReportDate,$W530=ReportDate,$K530=ReportDate,$A530=ReportDate),1,0),0)</f>
        <v>0</v>
      </c>
      <c r="AU530" s="71">
        <f>IF($AK530=1,IF(OR($L530=ReportDate+1,$W530=ReportDate+1,$K530=ReportDate+1,$A530=ReportDate+1),1,0),0)</f>
        <v>0</v>
      </c>
      <c r="AV530" s="71">
        <f>IF(AND($G530&lt;&gt;"",$M530="Completed"),IF(OR($Y530=ReportDate-1,$A530=ReportDate-1),1,0),0)</f>
        <v>0</v>
      </c>
      <c r="AW530" s="71">
        <f>IF(AND($AK530=1,$Z530="Yes"),1,0)</f>
        <v>0</v>
      </c>
      <c r="AX530" s="71">
        <f>IF(AND($AK530=1,$AA530="Yes"),1,0)</f>
        <v>0</v>
      </c>
      <c r="AY530" s="71">
        <f>IF(AND($AM530=1,OR($I530="Critical",$I530="High")),1,0)</f>
        <v>0</v>
      </c>
      <c r="AZ530" s="71">
        <f>IF(AND($AK530=1,OR($C530=TCL_Client,$C530=MECCA_Client)),1,0)</f>
        <v>0</v>
      </c>
      <c r="BA530" s="71" t="str">
        <f>IF($G530="","",IFERROR(MATCH($I530,lst_Priority,0),5))</f>
        <v/>
      </c>
      <c r="BB530" s="71" t="str">
        <f>IF(AND($AL530=1,$AJ530=1),$BA530*100000+ROW(),"")</f>
        <v/>
      </c>
      <c r="BC530" s="71" t="str">
        <f>IF(AND($AM530=1,$AJ530=1),$BA530*100000+ROW(),"")</f>
        <v/>
      </c>
      <c r="BD530" s="71" t="str">
        <f>IF(AND($AP530=1,$AJ530=1),$BA530*100000+ROW(),"")</f>
        <v/>
      </c>
      <c r="BE530" s="71" t="str">
        <f>IF(AND($AT530=1,$AJ530=1),$BA530*100000+ROW(),"")</f>
        <v/>
      </c>
      <c r="BF530" s="71" t="str">
        <f>IF(AND($AU530=1,$AJ530=1),$BA530*100000+ROW(),"")</f>
        <v/>
      </c>
      <c r="BG530" s="71" t="str">
        <f>IF(AND($AV530=1,$AJ530=1),$BA530*100000+ROW(),"")</f>
        <v/>
      </c>
      <c r="BH530" s="71" t="str">
        <f>IF(AND($AW530=1,$AJ530=1),$BA530*100000+ROW(),"")</f>
        <v/>
      </c>
      <c r="BI530" s="71" t="str">
        <f>IF(AND($AX530=1,$AJ530=1),$BA530*100000+ROW(),"")</f>
        <v/>
      </c>
      <c r="BJ530" s="71" t="str">
        <f>IF(AND($AS530=1,$AJ530=1),$BA530*100000+ROW(),"")</f>
        <v/>
      </c>
      <c r="BK530" s="71" t="str">
        <f>IF(AND($AY530=1,$AJ530=1),$BA530*100000+ROW(),"")</f>
        <v/>
      </c>
      <c r="BL530" s="71" t="str">
        <f>IF(AND($AZ530=1),$BA530*100000+ROW(),"")</f>
        <v/>
      </c>
    </row>
    <row r="531">
      <c r="A531" s="63" t="n"/>
      <c r="B531" s="64" t="n"/>
      <c r="C531" s="64" t="n"/>
      <c r="D531" s="64" t="n"/>
      <c r="E531" s="64" t="n"/>
      <c r="F531" s="64" t="n"/>
      <c r="G531" s="65" t="n"/>
      <c r="H531" s="65" t="n"/>
      <c r="I531" s="64" t="n"/>
      <c r="J531" s="64" t="n"/>
      <c r="K531" s="63" t="n"/>
      <c r="L531" s="63" t="n"/>
      <c r="M531" s="64" t="n"/>
      <c r="N531" s="66" t="n"/>
      <c r="O531" s="65" t="n"/>
      <c r="P531" s="64" t="n"/>
      <c r="Q531" s="67" t="n"/>
      <c r="R531" s="67" t="n"/>
      <c r="S531" s="68" t="str">
        <f>IF(AND(ISNUMBER($Q531),ISNUMBER($R531)),$Q531-$R531,"")</f>
        <v/>
      </c>
      <c r="T531" s="65" t="n"/>
      <c r="U531" s="64" t="n"/>
      <c r="V531" s="65" t="n"/>
      <c r="W531" s="63" t="n"/>
      <c r="X531" s="65" t="n"/>
      <c r="Y531" s="63" t="n"/>
      <c r="Z531" s="64" t="n"/>
      <c r="AA531" s="64" t="n"/>
      <c r="AB531" s="65" t="n"/>
      <c r="AC531" s="69" t="str">
        <f>IF(OR($G531="",NOT(ISNUMBER($K531)),$AK531=0),"",MAX(0,ReportDate-$K531))</f>
        <v/>
      </c>
      <c r="AD531" s="69" t="str">
        <f>IF($G531="","",IF($AL531=1,ReportDate-$L531,0))</f>
        <v/>
      </c>
      <c r="AE531" s="70" t="str">
        <f>IF($G531="","",IF($M531="Completed",1,IF(ISNUMBER($N531),$N531,0)))</f>
        <v/>
      </c>
      <c r="AF531" s="70" t="str">
        <f>IF(AND(ISNUMBER($Q531),ISNUMBER($R531)),IF($R531&lt;&gt;0,$Q531/$R531,""),"")</f>
        <v/>
      </c>
      <c r="AG531" s="71" t="str">
        <f>IF($G531="","",IF($AL531=1,"OVERDUE",IF($AM531=1,"BLOCKED",IF($AN531=1,"DUE TODAY",IF($AO531=1,"DUE TOMORROW",IF($AQ531=1,"HIGH PRIORITY",IF($AR531=1,"NO RECENT UPDATE",""))))))) </f>
        <v/>
      </c>
      <c r="AH531" s="71" t="str">
        <f>IF($G531="","",IF(ISNUMBER($A531),IF(ISNUMBER($A531),YEAR($A531)&amp;"-"&amp;TEXT(MONTH($A531),"00"),""),IF(ISNUMBER($L531),IF(ISNUMBER($L531),YEAR($L531)&amp;"-"&amp;TEXT(MONTH($L531),"00"),""),"")))</f>
        <v/>
      </c>
      <c r="AI531" s="71">
        <f>IF($G531="",0,IF(AND(OR(fClient="All",$C531=fClient),OR(fCampaign="All",$D531=fCampaign),OR(fTeam="All",$B531=fTeam),OR(fChannel="All",$F531=fChannel),OR(fMonth="All",$AH531=fMonth),OR(fTStatus="All",$M531=fTStatus)),1,0))</f>
        <v>0</v>
      </c>
      <c r="AJ531" s="71">
        <f>IF($G531="",0,IF(AND(OR(fClient="All",$C531=fClient),OR(fCampaign="All",$D531=fCampaign),OR(fTeam="All",$B531=fTeam),OR(fChannel="All",$F531=fChannel)),1,0))</f>
        <v>0</v>
      </c>
      <c r="AK531" s="71">
        <f>IF($G531="",0,IF(OR($M531="Completed",$M531="Cancelled"),0,1))</f>
        <v>0</v>
      </c>
      <c r="AL531" s="71">
        <f>IF(AND($AK531=1,ISNUMBER($L531)),IF($L531&lt;ReportDate,1,0),0)</f>
        <v>0</v>
      </c>
      <c r="AM531" s="71">
        <f>IF(AND($G531&lt;&gt;"",$M531="Blocked"),1,0)</f>
        <v>0</v>
      </c>
      <c r="AN531" s="71">
        <f>IF(AND($AK531=1,ISNUMBER($L531)),IF($L531=ReportDate,1,0),0)</f>
        <v>0</v>
      </c>
      <c r="AO531" s="71">
        <f>IF(AND($AK531=1,ISNUMBER($L531)),IF($L531=ReportDate+1,1,0),0)</f>
        <v>0</v>
      </c>
      <c r="AP531" s="71">
        <f>IF(AND($AK531=1,ISNUMBER($L531)),IF(AND($L531&gt;=ReportDate,$L531&lt;=ReportDate+DueSoonDays),1,0),0)</f>
        <v>0</v>
      </c>
      <c r="AQ531" s="71">
        <f>IF(AND($AK531=1,OR($I531="Critical",$I531="High")),1,0)</f>
        <v>0</v>
      </c>
      <c r="AR531" s="71">
        <f>IF($AK531=1,IF(ISNUMBER($Y531),IF(ReportDate-$Y531&gt;StaleDays,1,0),1),0)</f>
        <v>0</v>
      </c>
      <c r="AS531" s="71">
        <f>IF(AND($G531&lt;&gt;"",ISNUMBER($Q531),ISNUMBER($R531)),IF(AND($Q531&lt;$R531,OR($M531="Completed",AND(ISNUMBER($L531),$L531&lt;ReportDate))),1,0),0)</f>
        <v>0</v>
      </c>
      <c r="AT531" s="71">
        <f>IF($AK531=1,IF(OR($L531=ReportDate,$W531=ReportDate,$K531=ReportDate,$A531=ReportDate),1,0),0)</f>
        <v>0</v>
      </c>
      <c r="AU531" s="71">
        <f>IF($AK531=1,IF(OR($L531=ReportDate+1,$W531=ReportDate+1,$K531=ReportDate+1,$A531=ReportDate+1),1,0),0)</f>
        <v>0</v>
      </c>
      <c r="AV531" s="71">
        <f>IF(AND($G531&lt;&gt;"",$M531="Completed"),IF(OR($Y531=ReportDate-1,$A531=ReportDate-1),1,0),0)</f>
        <v>0</v>
      </c>
      <c r="AW531" s="71">
        <f>IF(AND($AK531=1,$Z531="Yes"),1,0)</f>
        <v>0</v>
      </c>
      <c r="AX531" s="71">
        <f>IF(AND($AK531=1,$AA531="Yes"),1,0)</f>
        <v>0</v>
      </c>
      <c r="AY531" s="71">
        <f>IF(AND($AM531=1,OR($I531="Critical",$I531="High")),1,0)</f>
        <v>0</v>
      </c>
      <c r="AZ531" s="71">
        <f>IF(AND($AK531=1,OR($C531=TCL_Client,$C531=MECCA_Client)),1,0)</f>
        <v>0</v>
      </c>
      <c r="BA531" s="71" t="str">
        <f>IF($G531="","",IFERROR(MATCH($I531,lst_Priority,0),5))</f>
        <v/>
      </c>
      <c r="BB531" s="71" t="str">
        <f>IF(AND($AL531=1,$AJ531=1),$BA531*100000+ROW(),"")</f>
        <v/>
      </c>
      <c r="BC531" s="71" t="str">
        <f>IF(AND($AM531=1,$AJ531=1),$BA531*100000+ROW(),"")</f>
        <v/>
      </c>
      <c r="BD531" s="71" t="str">
        <f>IF(AND($AP531=1,$AJ531=1),$BA531*100000+ROW(),"")</f>
        <v/>
      </c>
      <c r="BE531" s="71" t="str">
        <f>IF(AND($AT531=1,$AJ531=1),$BA531*100000+ROW(),"")</f>
        <v/>
      </c>
      <c r="BF531" s="71" t="str">
        <f>IF(AND($AU531=1,$AJ531=1),$BA531*100000+ROW(),"")</f>
        <v/>
      </c>
      <c r="BG531" s="71" t="str">
        <f>IF(AND($AV531=1,$AJ531=1),$BA531*100000+ROW(),"")</f>
        <v/>
      </c>
      <c r="BH531" s="71" t="str">
        <f>IF(AND($AW531=1,$AJ531=1),$BA531*100000+ROW(),"")</f>
        <v/>
      </c>
      <c r="BI531" s="71" t="str">
        <f>IF(AND($AX531=1,$AJ531=1),$BA531*100000+ROW(),"")</f>
        <v/>
      </c>
      <c r="BJ531" s="71" t="str">
        <f>IF(AND($AS531=1,$AJ531=1),$BA531*100000+ROW(),"")</f>
        <v/>
      </c>
      <c r="BK531" s="71" t="str">
        <f>IF(AND($AY531=1,$AJ531=1),$BA531*100000+ROW(),"")</f>
        <v/>
      </c>
      <c r="BL531" s="71" t="str">
        <f>IF(AND($AZ531=1),$BA531*100000+ROW(),"")</f>
        <v/>
      </c>
    </row>
    <row r="532">
      <c r="A532" s="63" t="n"/>
      <c r="B532" s="64" t="n"/>
      <c r="C532" s="64" t="n"/>
      <c r="D532" s="64" t="n"/>
      <c r="E532" s="64" t="n"/>
      <c r="F532" s="64" t="n"/>
      <c r="G532" s="65" t="n"/>
      <c r="H532" s="65" t="n"/>
      <c r="I532" s="64" t="n"/>
      <c r="J532" s="64" t="n"/>
      <c r="K532" s="63" t="n"/>
      <c r="L532" s="63" t="n"/>
      <c r="M532" s="64" t="n"/>
      <c r="N532" s="66" t="n"/>
      <c r="O532" s="65" t="n"/>
      <c r="P532" s="64" t="n"/>
      <c r="Q532" s="67" t="n"/>
      <c r="R532" s="67" t="n"/>
      <c r="S532" s="68" t="str">
        <f>IF(AND(ISNUMBER($Q532),ISNUMBER($R532)),$Q532-$R532,"")</f>
        <v/>
      </c>
      <c r="T532" s="65" t="n"/>
      <c r="U532" s="64" t="n"/>
      <c r="V532" s="65" t="n"/>
      <c r="W532" s="63" t="n"/>
      <c r="X532" s="65" t="n"/>
      <c r="Y532" s="63" t="n"/>
      <c r="Z532" s="64" t="n"/>
      <c r="AA532" s="64" t="n"/>
      <c r="AB532" s="65" t="n"/>
      <c r="AC532" s="69" t="str">
        <f>IF(OR($G532="",NOT(ISNUMBER($K532)),$AK532=0),"",MAX(0,ReportDate-$K532))</f>
        <v/>
      </c>
      <c r="AD532" s="69" t="str">
        <f>IF($G532="","",IF($AL532=1,ReportDate-$L532,0))</f>
        <v/>
      </c>
      <c r="AE532" s="70" t="str">
        <f>IF($G532="","",IF($M532="Completed",1,IF(ISNUMBER($N532),$N532,0)))</f>
        <v/>
      </c>
      <c r="AF532" s="70" t="str">
        <f>IF(AND(ISNUMBER($Q532),ISNUMBER($R532)),IF($R532&lt;&gt;0,$Q532/$R532,""),"")</f>
        <v/>
      </c>
      <c r="AG532" s="71" t="str">
        <f>IF($G532="","",IF($AL532=1,"OVERDUE",IF($AM532=1,"BLOCKED",IF($AN532=1,"DUE TODAY",IF($AO532=1,"DUE TOMORROW",IF($AQ532=1,"HIGH PRIORITY",IF($AR532=1,"NO RECENT UPDATE",""))))))) </f>
        <v/>
      </c>
      <c r="AH532" s="71" t="str">
        <f>IF($G532="","",IF(ISNUMBER($A532),IF(ISNUMBER($A532),YEAR($A532)&amp;"-"&amp;TEXT(MONTH($A532),"00"),""),IF(ISNUMBER($L532),IF(ISNUMBER($L532),YEAR($L532)&amp;"-"&amp;TEXT(MONTH($L532),"00"),""),"")))</f>
        <v/>
      </c>
      <c r="AI532" s="71">
        <f>IF($G532="",0,IF(AND(OR(fClient="All",$C532=fClient),OR(fCampaign="All",$D532=fCampaign),OR(fTeam="All",$B532=fTeam),OR(fChannel="All",$F532=fChannel),OR(fMonth="All",$AH532=fMonth),OR(fTStatus="All",$M532=fTStatus)),1,0))</f>
        <v>0</v>
      </c>
      <c r="AJ532" s="71">
        <f>IF($G532="",0,IF(AND(OR(fClient="All",$C532=fClient),OR(fCampaign="All",$D532=fCampaign),OR(fTeam="All",$B532=fTeam),OR(fChannel="All",$F532=fChannel)),1,0))</f>
        <v>0</v>
      </c>
      <c r="AK532" s="71">
        <f>IF($G532="",0,IF(OR($M532="Completed",$M532="Cancelled"),0,1))</f>
        <v>0</v>
      </c>
      <c r="AL532" s="71">
        <f>IF(AND($AK532=1,ISNUMBER($L532)),IF($L532&lt;ReportDate,1,0),0)</f>
        <v>0</v>
      </c>
      <c r="AM532" s="71">
        <f>IF(AND($G532&lt;&gt;"",$M532="Blocked"),1,0)</f>
        <v>0</v>
      </c>
      <c r="AN532" s="71">
        <f>IF(AND($AK532=1,ISNUMBER($L532)),IF($L532=ReportDate,1,0),0)</f>
        <v>0</v>
      </c>
      <c r="AO532" s="71">
        <f>IF(AND($AK532=1,ISNUMBER($L532)),IF($L532=ReportDate+1,1,0),0)</f>
        <v>0</v>
      </c>
      <c r="AP532" s="71">
        <f>IF(AND($AK532=1,ISNUMBER($L532)),IF(AND($L532&gt;=ReportDate,$L532&lt;=ReportDate+DueSoonDays),1,0),0)</f>
        <v>0</v>
      </c>
      <c r="AQ532" s="71">
        <f>IF(AND($AK532=1,OR($I532="Critical",$I532="High")),1,0)</f>
        <v>0</v>
      </c>
      <c r="AR532" s="71">
        <f>IF($AK532=1,IF(ISNUMBER($Y532),IF(ReportDate-$Y532&gt;StaleDays,1,0),1),0)</f>
        <v>0</v>
      </c>
      <c r="AS532" s="71">
        <f>IF(AND($G532&lt;&gt;"",ISNUMBER($Q532),ISNUMBER($R532)),IF(AND($Q532&lt;$R532,OR($M532="Completed",AND(ISNUMBER($L532),$L532&lt;ReportDate))),1,0),0)</f>
        <v>0</v>
      </c>
      <c r="AT532" s="71">
        <f>IF($AK532=1,IF(OR($L532=ReportDate,$W532=ReportDate,$K532=ReportDate,$A532=ReportDate),1,0),0)</f>
        <v>0</v>
      </c>
      <c r="AU532" s="71">
        <f>IF($AK532=1,IF(OR($L532=ReportDate+1,$W532=ReportDate+1,$K532=ReportDate+1,$A532=ReportDate+1),1,0),0)</f>
        <v>0</v>
      </c>
      <c r="AV532" s="71">
        <f>IF(AND($G532&lt;&gt;"",$M532="Completed"),IF(OR($Y532=ReportDate-1,$A532=ReportDate-1),1,0),0)</f>
        <v>0</v>
      </c>
      <c r="AW532" s="71">
        <f>IF(AND($AK532=1,$Z532="Yes"),1,0)</f>
        <v>0</v>
      </c>
      <c r="AX532" s="71">
        <f>IF(AND($AK532=1,$AA532="Yes"),1,0)</f>
        <v>0</v>
      </c>
      <c r="AY532" s="71">
        <f>IF(AND($AM532=1,OR($I532="Critical",$I532="High")),1,0)</f>
        <v>0</v>
      </c>
      <c r="AZ532" s="71">
        <f>IF(AND($AK532=1,OR($C532=TCL_Client,$C532=MECCA_Client)),1,0)</f>
        <v>0</v>
      </c>
      <c r="BA532" s="71" t="str">
        <f>IF($G532="","",IFERROR(MATCH($I532,lst_Priority,0),5))</f>
        <v/>
      </c>
      <c r="BB532" s="71" t="str">
        <f>IF(AND($AL532=1,$AJ532=1),$BA532*100000+ROW(),"")</f>
        <v/>
      </c>
      <c r="BC532" s="71" t="str">
        <f>IF(AND($AM532=1,$AJ532=1),$BA532*100000+ROW(),"")</f>
        <v/>
      </c>
      <c r="BD532" s="71" t="str">
        <f>IF(AND($AP532=1,$AJ532=1),$BA532*100000+ROW(),"")</f>
        <v/>
      </c>
      <c r="BE532" s="71" t="str">
        <f>IF(AND($AT532=1,$AJ532=1),$BA532*100000+ROW(),"")</f>
        <v/>
      </c>
      <c r="BF532" s="71" t="str">
        <f>IF(AND($AU532=1,$AJ532=1),$BA532*100000+ROW(),"")</f>
        <v/>
      </c>
      <c r="BG532" s="71" t="str">
        <f>IF(AND($AV532=1,$AJ532=1),$BA532*100000+ROW(),"")</f>
        <v/>
      </c>
      <c r="BH532" s="71" t="str">
        <f>IF(AND($AW532=1,$AJ532=1),$BA532*100000+ROW(),"")</f>
        <v/>
      </c>
      <c r="BI532" s="71" t="str">
        <f>IF(AND($AX532=1,$AJ532=1),$BA532*100000+ROW(),"")</f>
        <v/>
      </c>
      <c r="BJ532" s="71" t="str">
        <f>IF(AND($AS532=1,$AJ532=1),$BA532*100000+ROW(),"")</f>
        <v/>
      </c>
      <c r="BK532" s="71" t="str">
        <f>IF(AND($AY532=1,$AJ532=1),$BA532*100000+ROW(),"")</f>
        <v/>
      </c>
      <c r="BL532" s="71" t="str">
        <f>IF(AND($AZ532=1),$BA532*100000+ROW(),"")</f>
        <v/>
      </c>
    </row>
    <row r="533">
      <c r="A533" s="63" t="n"/>
      <c r="B533" s="64" t="n"/>
      <c r="C533" s="64" t="n"/>
      <c r="D533" s="64" t="n"/>
      <c r="E533" s="64" t="n"/>
      <c r="F533" s="64" t="n"/>
      <c r="G533" s="65" t="n"/>
      <c r="H533" s="65" t="n"/>
      <c r="I533" s="64" t="n"/>
      <c r="J533" s="64" t="n"/>
      <c r="K533" s="63" t="n"/>
      <c r="L533" s="63" t="n"/>
      <c r="M533" s="64" t="n"/>
      <c r="N533" s="66" t="n"/>
      <c r="O533" s="65" t="n"/>
      <c r="P533" s="64" t="n"/>
      <c r="Q533" s="67" t="n"/>
      <c r="R533" s="67" t="n"/>
      <c r="S533" s="68" t="str">
        <f>IF(AND(ISNUMBER($Q533),ISNUMBER($R533)),$Q533-$R533,"")</f>
        <v/>
      </c>
      <c r="T533" s="65" t="n"/>
      <c r="U533" s="64" t="n"/>
      <c r="V533" s="65" t="n"/>
      <c r="W533" s="63" t="n"/>
      <c r="X533" s="65" t="n"/>
      <c r="Y533" s="63" t="n"/>
      <c r="Z533" s="64" t="n"/>
      <c r="AA533" s="64" t="n"/>
      <c r="AB533" s="65" t="n"/>
      <c r="AC533" s="69" t="str">
        <f>IF(OR($G533="",NOT(ISNUMBER($K533)),$AK533=0),"",MAX(0,ReportDate-$K533))</f>
        <v/>
      </c>
      <c r="AD533" s="69" t="str">
        <f>IF($G533="","",IF($AL533=1,ReportDate-$L533,0))</f>
        <v/>
      </c>
      <c r="AE533" s="70" t="str">
        <f>IF($G533="","",IF($M533="Completed",1,IF(ISNUMBER($N533),$N533,0)))</f>
        <v/>
      </c>
      <c r="AF533" s="70" t="str">
        <f>IF(AND(ISNUMBER($Q533),ISNUMBER($R533)),IF($R533&lt;&gt;0,$Q533/$R533,""),"")</f>
        <v/>
      </c>
      <c r="AG533" s="71" t="str">
        <f>IF($G533="","",IF($AL533=1,"OVERDUE",IF($AM533=1,"BLOCKED",IF($AN533=1,"DUE TODAY",IF($AO533=1,"DUE TOMORROW",IF($AQ533=1,"HIGH PRIORITY",IF($AR533=1,"NO RECENT UPDATE",""))))))) </f>
        <v/>
      </c>
      <c r="AH533" s="71" t="str">
        <f>IF($G533="","",IF(ISNUMBER($A533),IF(ISNUMBER($A533),YEAR($A533)&amp;"-"&amp;TEXT(MONTH($A533),"00"),""),IF(ISNUMBER($L533),IF(ISNUMBER($L533),YEAR($L533)&amp;"-"&amp;TEXT(MONTH($L533),"00"),""),"")))</f>
        <v/>
      </c>
      <c r="AI533" s="71">
        <f>IF($G533="",0,IF(AND(OR(fClient="All",$C533=fClient),OR(fCampaign="All",$D533=fCampaign),OR(fTeam="All",$B533=fTeam),OR(fChannel="All",$F533=fChannel),OR(fMonth="All",$AH533=fMonth),OR(fTStatus="All",$M533=fTStatus)),1,0))</f>
        <v>0</v>
      </c>
      <c r="AJ533" s="71">
        <f>IF($G533="",0,IF(AND(OR(fClient="All",$C533=fClient),OR(fCampaign="All",$D533=fCampaign),OR(fTeam="All",$B533=fTeam),OR(fChannel="All",$F533=fChannel)),1,0))</f>
        <v>0</v>
      </c>
      <c r="AK533" s="71">
        <f>IF($G533="",0,IF(OR($M533="Completed",$M533="Cancelled"),0,1))</f>
        <v>0</v>
      </c>
      <c r="AL533" s="71">
        <f>IF(AND($AK533=1,ISNUMBER($L533)),IF($L533&lt;ReportDate,1,0),0)</f>
        <v>0</v>
      </c>
      <c r="AM533" s="71">
        <f>IF(AND($G533&lt;&gt;"",$M533="Blocked"),1,0)</f>
        <v>0</v>
      </c>
      <c r="AN533" s="71">
        <f>IF(AND($AK533=1,ISNUMBER($L533)),IF($L533=ReportDate,1,0),0)</f>
        <v>0</v>
      </c>
      <c r="AO533" s="71">
        <f>IF(AND($AK533=1,ISNUMBER($L533)),IF($L533=ReportDate+1,1,0),0)</f>
        <v>0</v>
      </c>
      <c r="AP533" s="71">
        <f>IF(AND($AK533=1,ISNUMBER($L533)),IF(AND($L533&gt;=ReportDate,$L533&lt;=ReportDate+DueSoonDays),1,0),0)</f>
        <v>0</v>
      </c>
      <c r="AQ533" s="71">
        <f>IF(AND($AK533=1,OR($I533="Critical",$I533="High")),1,0)</f>
        <v>0</v>
      </c>
      <c r="AR533" s="71">
        <f>IF($AK533=1,IF(ISNUMBER($Y533),IF(ReportDate-$Y533&gt;StaleDays,1,0),1),0)</f>
        <v>0</v>
      </c>
      <c r="AS533" s="71">
        <f>IF(AND($G533&lt;&gt;"",ISNUMBER($Q533),ISNUMBER($R533)),IF(AND($Q533&lt;$R533,OR($M533="Completed",AND(ISNUMBER($L533),$L533&lt;ReportDate))),1,0),0)</f>
        <v>0</v>
      </c>
      <c r="AT533" s="71">
        <f>IF($AK533=1,IF(OR($L533=ReportDate,$W533=ReportDate,$K533=ReportDate,$A533=ReportDate),1,0),0)</f>
        <v>0</v>
      </c>
      <c r="AU533" s="71">
        <f>IF($AK533=1,IF(OR($L533=ReportDate+1,$W533=ReportDate+1,$K533=ReportDate+1,$A533=ReportDate+1),1,0),0)</f>
        <v>0</v>
      </c>
      <c r="AV533" s="71">
        <f>IF(AND($G533&lt;&gt;"",$M533="Completed"),IF(OR($Y533=ReportDate-1,$A533=ReportDate-1),1,0),0)</f>
        <v>0</v>
      </c>
      <c r="AW533" s="71">
        <f>IF(AND($AK533=1,$Z533="Yes"),1,0)</f>
        <v>0</v>
      </c>
      <c r="AX533" s="71">
        <f>IF(AND($AK533=1,$AA533="Yes"),1,0)</f>
        <v>0</v>
      </c>
      <c r="AY533" s="71">
        <f>IF(AND($AM533=1,OR($I533="Critical",$I533="High")),1,0)</f>
        <v>0</v>
      </c>
      <c r="AZ533" s="71">
        <f>IF(AND($AK533=1,OR($C533=TCL_Client,$C533=MECCA_Client)),1,0)</f>
        <v>0</v>
      </c>
      <c r="BA533" s="71" t="str">
        <f>IF($G533="","",IFERROR(MATCH($I533,lst_Priority,0),5))</f>
        <v/>
      </c>
      <c r="BB533" s="71" t="str">
        <f>IF(AND($AL533=1,$AJ533=1),$BA533*100000+ROW(),"")</f>
        <v/>
      </c>
      <c r="BC533" s="71" t="str">
        <f>IF(AND($AM533=1,$AJ533=1),$BA533*100000+ROW(),"")</f>
        <v/>
      </c>
      <c r="BD533" s="71" t="str">
        <f>IF(AND($AP533=1,$AJ533=1),$BA533*100000+ROW(),"")</f>
        <v/>
      </c>
      <c r="BE533" s="71" t="str">
        <f>IF(AND($AT533=1,$AJ533=1),$BA533*100000+ROW(),"")</f>
        <v/>
      </c>
      <c r="BF533" s="71" t="str">
        <f>IF(AND($AU533=1,$AJ533=1),$BA533*100000+ROW(),"")</f>
        <v/>
      </c>
      <c r="BG533" s="71" t="str">
        <f>IF(AND($AV533=1,$AJ533=1),$BA533*100000+ROW(),"")</f>
        <v/>
      </c>
      <c r="BH533" s="71" t="str">
        <f>IF(AND($AW533=1,$AJ533=1),$BA533*100000+ROW(),"")</f>
        <v/>
      </c>
      <c r="BI533" s="71" t="str">
        <f>IF(AND($AX533=1,$AJ533=1),$BA533*100000+ROW(),"")</f>
        <v/>
      </c>
      <c r="BJ533" s="71" t="str">
        <f>IF(AND($AS533=1,$AJ533=1),$BA533*100000+ROW(),"")</f>
        <v/>
      </c>
      <c r="BK533" s="71" t="str">
        <f>IF(AND($AY533=1,$AJ533=1),$BA533*100000+ROW(),"")</f>
        <v/>
      </c>
      <c r="BL533" s="71" t="str">
        <f>IF(AND($AZ533=1),$BA533*100000+ROW(),"")</f>
        <v/>
      </c>
    </row>
    <row r="534">
      <c r="A534" s="63" t="n"/>
      <c r="B534" s="64" t="n"/>
      <c r="C534" s="64" t="n"/>
      <c r="D534" s="64" t="n"/>
      <c r="E534" s="64" t="n"/>
      <c r="F534" s="64" t="n"/>
      <c r="G534" s="65" t="n"/>
      <c r="H534" s="65" t="n"/>
      <c r="I534" s="64" t="n"/>
      <c r="J534" s="64" t="n"/>
      <c r="K534" s="63" t="n"/>
      <c r="L534" s="63" t="n"/>
      <c r="M534" s="64" t="n"/>
      <c r="N534" s="66" t="n"/>
      <c r="O534" s="65" t="n"/>
      <c r="P534" s="64" t="n"/>
      <c r="Q534" s="67" t="n"/>
      <c r="R534" s="67" t="n"/>
      <c r="S534" s="68" t="str">
        <f>IF(AND(ISNUMBER($Q534),ISNUMBER($R534)),$Q534-$R534,"")</f>
        <v/>
      </c>
      <c r="T534" s="65" t="n"/>
      <c r="U534" s="64" t="n"/>
      <c r="V534" s="65" t="n"/>
      <c r="W534" s="63" t="n"/>
      <c r="X534" s="65" t="n"/>
      <c r="Y534" s="63" t="n"/>
      <c r="Z534" s="64" t="n"/>
      <c r="AA534" s="64" t="n"/>
      <c r="AB534" s="65" t="n"/>
      <c r="AC534" s="69" t="str">
        <f>IF(OR($G534="",NOT(ISNUMBER($K534)),$AK534=0),"",MAX(0,ReportDate-$K534))</f>
        <v/>
      </c>
      <c r="AD534" s="69" t="str">
        <f>IF($G534="","",IF($AL534=1,ReportDate-$L534,0))</f>
        <v/>
      </c>
      <c r="AE534" s="70" t="str">
        <f>IF($G534="","",IF($M534="Completed",1,IF(ISNUMBER($N534),$N534,0)))</f>
        <v/>
      </c>
      <c r="AF534" s="70" t="str">
        <f>IF(AND(ISNUMBER($Q534),ISNUMBER($R534)),IF($R534&lt;&gt;0,$Q534/$R534,""),"")</f>
        <v/>
      </c>
      <c r="AG534" s="71" t="str">
        <f>IF($G534="","",IF($AL534=1,"OVERDUE",IF($AM534=1,"BLOCKED",IF($AN534=1,"DUE TODAY",IF($AO534=1,"DUE TOMORROW",IF($AQ534=1,"HIGH PRIORITY",IF($AR534=1,"NO RECENT UPDATE",""))))))) </f>
        <v/>
      </c>
      <c r="AH534" s="71" t="str">
        <f>IF($G534="","",IF(ISNUMBER($A534),IF(ISNUMBER($A534),YEAR($A534)&amp;"-"&amp;TEXT(MONTH($A534),"00"),""),IF(ISNUMBER($L534),IF(ISNUMBER($L534),YEAR($L534)&amp;"-"&amp;TEXT(MONTH($L534),"00"),""),"")))</f>
        <v/>
      </c>
      <c r="AI534" s="71">
        <f>IF($G534="",0,IF(AND(OR(fClient="All",$C534=fClient),OR(fCampaign="All",$D534=fCampaign),OR(fTeam="All",$B534=fTeam),OR(fChannel="All",$F534=fChannel),OR(fMonth="All",$AH534=fMonth),OR(fTStatus="All",$M534=fTStatus)),1,0))</f>
        <v>0</v>
      </c>
      <c r="AJ534" s="71">
        <f>IF($G534="",0,IF(AND(OR(fClient="All",$C534=fClient),OR(fCampaign="All",$D534=fCampaign),OR(fTeam="All",$B534=fTeam),OR(fChannel="All",$F534=fChannel)),1,0))</f>
        <v>0</v>
      </c>
      <c r="AK534" s="71">
        <f>IF($G534="",0,IF(OR($M534="Completed",$M534="Cancelled"),0,1))</f>
        <v>0</v>
      </c>
      <c r="AL534" s="71">
        <f>IF(AND($AK534=1,ISNUMBER($L534)),IF($L534&lt;ReportDate,1,0),0)</f>
        <v>0</v>
      </c>
      <c r="AM534" s="71">
        <f>IF(AND($G534&lt;&gt;"",$M534="Blocked"),1,0)</f>
        <v>0</v>
      </c>
      <c r="AN534" s="71">
        <f>IF(AND($AK534=1,ISNUMBER($L534)),IF($L534=ReportDate,1,0),0)</f>
        <v>0</v>
      </c>
      <c r="AO534" s="71">
        <f>IF(AND($AK534=1,ISNUMBER($L534)),IF($L534=ReportDate+1,1,0),0)</f>
        <v>0</v>
      </c>
      <c r="AP534" s="71">
        <f>IF(AND($AK534=1,ISNUMBER($L534)),IF(AND($L534&gt;=ReportDate,$L534&lt;=ReportDate+DueSoonDays),1,0),0)</f>
        <v>0</v>
      </c>
      <c r="AQ534" s="71">
        <f>IF(AND($AK534=1,OR($I534="Critical",$I534="High")),1,0)</f>
        <v>0</v>
      </c>
      <c r="AR534" s="71">
        <f>IF($AK534=1,IF(ISNUMBER($Y534),IF(ReportDate-$Y534&gt;StaleDays,1,0),1),0)</f>
        <v>0</v>
      </c>
      <c r="AS534" s="71">
        <f>IF(AND($G534&lt;&gt;"",ISNUMBER($Q534),ISNUMBER($R534)),IF(AND($Q534&lt;$R534,OR($M534="Completed",AND(ISNUMBER($L534),$L534&lt;ReportDate))),1,0),0)</f>
        <v>0</v>
      </c>
      <c r="AT534" s="71">
        <f>IF($AK534=1,IF(OR($L534=ReportDate,$W534=ReportDate,$K534=ReportDate,$A534=ReportDate),1,0),0)</f>
        <v>0</v>
      </c>
      <c r="AU534" s="71">
        <f>IF($AK534=1,IF(OR($L534=ReportDate+1,$W534=ReportDate+1,$K534=ReportDate+1,$A534=ReportDate+1),1,0),0)</f>
        <v>0</v>
      </c>
      <c r="AV534" s="71">
        <f>IF(AND($G534&lt;&gt;"",$M534="Completed"),IF(OR($Y534=ReportDate-1,$A534=ReportDate-1),1,0),0)</f>
        <v>0</v>
      </c>
      <c r="AW534" s="71">
        <f>IF(AND($AK534=1,$Z534="Yes"),1,0)</f>
        <v>0</v>
      </c>
      <c r="AX534" s="71">
        <f>IF(AND($AK534=1,$AA534="Yes"),1,0)</f>
        <v>0</v>
      </c>
      <c r="AY534" s="71">
        <f>IF(AND($AM534=1,OR($I534="Critical",$I534="High")),1,0)</f>
        <v>0</v>
      </c>
      <c r="AZ534" s="71">
        <f>IF(AND($AK534=1,OR($C534=TCL_Client,$C534=MECCA_Client)),1,0)</f>
        <v>0</v>
      </c>
      <c r="BA534" s="71" t="str">
        <f>IF($G534="","",IFERROR(MATCH($I534,lst_Priority,0),5))</f>
        <v/>
      </c>
      <c r="BB534" s="71" t="str">
        <f>IF(AND($AL534=1,$AJ534=1),$BA534*100000+ROW(),"")</f>
        <v/>
      </c>
      <c r="BC534" s="71" t="str">
        <f>IF(AND($AM534=1,$AJ534=1),$BA534*100000+ROW(),"")</f>
        <v/>
      </c>
      <c r="BD534" s="71" t="str">
        <f>IF(AND($AP534=1,$AJ534=1),$BA534*100000+ROW(),"")</f>
        <v/>
      </c>
      <c r="BE534" s="71" t="str">
        <f>IF(AND($AT534=1,$AJ534=1),$BA534*100000+ROW(),"")</f>
        <v/>
      </c>
      <c r="BF534" s="71" t="str">
        <f>IF(AND($AU534=1,$AJ534=1),$BA534*100000+ROW(),"")</f>
        <v/>
      </c>
      <c r="BG534" s="71" t="str">
        <f>IF(AND($AV534=1,$AJ534=1),$BA534*100000+ROW(),"")</f>
        <v/>
      </c>
      <c r="BH534" s="71" t="str">
        <f>IF(AND($AW534=1,$AJ534=1),$BA534*100000+ROW(),"")</f>
        <v/>
      </c>
      <c r="BI534" s="71" t="str">
        <f>IF(AND($AX534=1,$AJ534=1),$BA534*100000+ROW(),"")</f>
        <v/>
      </c>
      <c r="BJ534" s="71" t="str">
        <f>IF(AND($AS534=1,$AJ534=1),$BA534*100000+ROW(),"")</f>
        <v/>
      </c>
      <c r="BK534" s="71" t="str">
        <f>IF(AND($AY534=1,$AJ534=1),$BA534*100000+ROW(),"")</f>
        <v/>
      </c>
      <c r="BL534" s="71" t="str">
        <f>IF(AND($AZ534=1),$BA534*100000+ROW(),"")</f>
        <v/>
      </c>
    </row>
    <row r="535">
      <c r="A535" s="63" t="n"/>
      <c r="B535" s="64" t="n"/>
      <c r="C535" s="64" t="n"/>
      <c r="D535" s="64" t="n"/>
      <c r="E535" s="64" t="n"/>
      <c r="F535" s="64" t="n"/>
      <c r="G535" s="65" t="n"/>
      <c r="H535" s="65" t="n"/>
      <c r="I535" s="64" t="n"/>
      <c r="J535" s="64" t="n"/>
      <c r="K535" s="63" t="n"/>
      <c r="L535" s="63" t="n"/>
      <c r="M535" s="64" t="n"/>
      <c r="N535" s="66" t="n"/>
      <c r="O535" s="65" t="n"/>
      <c r="P535" s="64" t="n"/>
      <c r="Q535" s="67" t="n"/>
      <c r="R535" s="67" t="n"/>
      <c r="S535" s="68" t="str">
        <f>IF(AND(ISNUMBER($Q535),ISNUMBER($R535)),$Q535-$R535,"")</f>
        <v/>
      </c>
      <c r="T535" s="65" t="n"/>
      <c r="U535" s="64" t="n"/>
      <c r="V535" s="65" t="n"/>
      <c r="W535" s="63" t="n"/>
      <c r="X535" s="65" t="n"/>
      <c r="Y535" s="63" t="n"/>
      <c r="Z535" s="64" t="n"/>
      <c r="AA535" s="64" t="n"/>
      <c r="AB535" s="65" t="n"/>
      <c r="AC535" s="69" t="str">
        <f>IF(OR($G535="",NOT(ISNUMBER($K535)),$AK535=0),"",MAX(0,ReportDate-$K535))</f>
        <v/>
      </c>
      <c r="AD535" s="69" t="str">
        <f>IF($G535="","",IF($AL535=1,ReportDate-$L535,0))</f>
        <v/>
      </c>
      <c r="AE535" s="70" t="str">
        <f>IF($G535="","",IF($M535="Completed",1,IF(ISNUMBER($N535),$N535,0)))</f>
        <v/>
      </c>
      <c r="AF535" s="70" t="str">
        <f>IF(AND(ISNUMBER($Q535),ISNUMBER($R535)),IF($R535&lt;&gt;0,$Q535/$R535,""),"")</f>
        <v/>
      </c>
      <c r="AG535" s="71" t="str">
        <f>IF($G535="","",IF($AL535=1,"OVERDUE",IF($AM535=1,"BLOCKED",IF($AN535=1,"DUE TODAY",IF($AO535=1,"DUE TOMORROW",IF($AQ535=1,"HIGH PRIORITY",IF($AR535=1,"NO RECENT UPDATE",""))))))) </f>
        <v/>
      </c>
      <c r="AH535" s="71" t="str">
        <f>IF($G535="","",IF(ISNUMBER($A535),IF(ISNUMBER($A535),YEAR($A535)&amp;"-"&amp;TEXT(MONTH($A535),"00"),""),IF(ISNUMBER($L535),IF(ISNUMBER($L535),YEAR($L535)&amp;"-"&amp;TEXT(MONTH($L535),"00"),""),"")))</f>
        <v/>
      </c>
      <c r="AI535" s="71">
        <f>IF($G535="",0,IF(AND(OR(fClient="All",$C535=fClient),OR(fCampaign="All",$D535=fCampaign),OR(fTeam="All",$B535=fTeam),OR(fChannel="All",$F535=fChannel),OR(fMonth="All",$AH535=fMonth),OR(fTStatus="All",$M535=fTStatus)),1,0))</f>
        <v>0</v>
      </c>
      <c r="AJ535" s="71">
        <f>IF($G535="",0,IF(AND(OR(fClient="All",$C535=fClient),OR(fCampaign="All",$D535=fCampaign),OR(fTeam="All",$B535=fTeam),OR(fChannel="All",$F535=fChannel)),1,0))</f>
        <v>0</v>
      </c>
      <c r="AK535" s="71">
        <f>IF($G535="",0,IF(OR($M535="Completed",$M535="Cancelled"),0,1))</f>
        <v>0</v>
      </c>
      <c r="AL535" s="71">
        <f>IF(AND($AK535=1,ISNUMBER($L535)),IF($L535&lt;ReportDate,1,0),0)</f>
        <v>0</v>
      </c>
      <c r="AM535" s="71">
        <f>IF(AND($G535&lt;&gt;"",$M535="Blocked"),1,0)</f>
        <v>0</v>
      </c>
      <c r="AN535" s="71">
        <f>IF(AND($AK535=1,ISNUMBER($L535)),IF($L535=ReportDate,1,0),0)</f>
        <v>0</v>
      </c>
      <c r="AO535" s="71">
        <f>IF(AND($AK535=1,ISNUMBER($L535)),IF($L535=ReportDate+1,1,0),0)</f>
        <v>0</v>
      </c>
      <c r="AP535" s="71">
        <f>IF(AND($AK535=1,ISNUMBER($L535)),IF(AND($L535&gt;=ReportDate,$L535&lt;=ReportDate+DueSoonDays),1,0),0)</f>
        <v>0</v>
      </c>
      <c r="AQ535" s="71">
        <f>IF(AND($AK535=1,OR($I535="Critical",$I535="High")),1,0)</f>
        <v>0</v>
      </c>
      <c r="AR535" s="71">
        <f>IF($AK535=1,IF(ISNUMBER($Y535),IF(ReportDate-$Y535&gt;StaleDays,1,0),1),0)</f>
        <v>0</v>
      </c>
      <c r="AS535" s="71">
        <f>IF(AND($G535&lt;&gt;"",ISNUMBER($Q535),ISNUMBER($R535)),IF(AND($Q535&lt;$R535,OR($M535="Completed",AND(ISNUMBER($L535),$L535&lt;ReportDate))),1,0),0)</f>
        <v>0</v>
      </c>
      <c r="AT535" s="71">
        <f>IF($AK535=1,IF(OR($L535=ReportDate,$W535=ReportDate,$K535=ReportDate,$A535=ReportDate),1,0),0)</f>
        <v>0</v>
      </c>
      <c r="AU535" s="71">
        <f>IF($AK535=1,IF(OR($L535=ReportDate+1,$W535=ReportDate+1,$K535=ReportDate+1,$A535=ReportDate+1),1,0),0)</f>
        <v>0</v>
      </c>
      <c r="AV535" s="71">
        <f>IF(AND($G535&lt;&gt;"",$M535="Completed"),IF(OR($Y535=ReportDate-1,$A535=ReportDate-1),1,0),0)</f>
        <v>0</v>
      </c>
      <c r="AW535" s="71">
        <f>IF(AND($AK535=1,$Z535="Yes"),1,0)</f>
        <v>0</v>
      </c>
      <c r="AX535" s="71">
        <f>IF(AND($AK535=1,$AA535="Yes"),1,0)</f>
        <v>0</v>
      </c>
      <c r="AY535" s="71">
        <f>IF(AND($AM535=1,OR($I535="Critical",$I535="High")),1,0)</f>
        <v>0</v>
      </c>
      <c r="AZ535" s="71">
        <f>IF(AND($AK535=1,OR($C535=TCL_Client,$C535=MECCA_Client)),1,0)</f>
        <v>0</v>
      </c>
      <c r="BA535" s="71" t="str">
        <f>IF($G535="","",IFERROR(MATCH($I535,lst_Priority,0),5))</f>
        <v/>
      </c>
      <c r="BB535" s="71" t="str">
        <f>IF(AND($AL535=1,$AJ535=1),$BA535*100000+ROW(),"")</f>
        <v/>
      </c>
      <c r="BC535" s="71" t="str">
        <f>IF(AND($AM535=1,$AJ535=1),$BA535*100000+ROW(),"")</f>
        <v/>
      </c>
      <c r="BD535" s="71" t="str">
        <f>IF(AND($AP535=1,$AJ535=1),$BA535*100000+ROW(),"")</f>
        <v/>
      </c>
      <c r="BE535" s="71" t="str">
        <f>IF(AND($AT535=1,$AJ535=1),$BA535*100000+ROW(),"")</f>
        <v/>
      </c>
      <c r="BF535" s="71" t="str">
        <f>IF(AND($AU535=1,$AJ535=1),$BA535*100000+ROW(),"")</f>
        <v/>
      </c>
      <c r="BG535" s="71" t="str">
        <f>IF(AND($AV535=1,$AJ535=1),$BA535*100000+ROW(),"")</f>
        <v/>
      </c>
      <c r="BH535" s="71" t="str">
        <f>IF(AND($AW535=1,$AJ535=1),$BA535*100000+ROW(),"")</f>
        <v/>
      </c>
      <c r="BI535" s="71" t="str">
        <f>IF(AND($AX535=1,$AJ535=1),$BA535*100000+ROW(),"")</f>
        <v/>
      </c>
      <c r="BJ535" s="71" t="str">
        <f>IF(AND($AS535=1,$AJ535=1),$BA535*100000+ROW(),"")</f>
        <v/>
      </c>
      <c r="BK535" s="71" t="str">
        <f>IF(AND($AY535=1,$AJ535=1),$BA535*100000+ROW(),"")</f>
        <v/>
      </c>
      <c r="BL535" s="71" t="str">
        <f>IF(AND($AZ535=1),$BA535*100000+ROW(),"")</f>
        <v/>
      </c>
    </row>
    <row r="536">
      <c r="A536" s="63" t="n"/>
      <c r="B536" s="64" t="n"/>
      <c r="C536" s="64" t="n"/>
      <c r="D536" s="64" t="n"/>
      <c r="E536" s="64" t="n"/>
      <c r="F536" s="64" t="n"/>
      <c r="G536" s="65" t="n"/>
      <c r="H536" s="65" t="n"/>
      <c r="I536" s="64" t="n"/>
      <c r="J536" s="64" t="n"/>
      <c r="K536" s="63" t="n"/>
      <c r="L536" s="63" t="n"/>
      <c r="M536" s="64" t="n"/>
      <c r="N536" s="66" t="n"/>
      <c r="O536" s="65" t="n"/>
      <c r="P536" s="64" t="n"/>
      <c r="Q536" s="67" t="n"/>
      <c r="R536" s="67" t="n"/>
      <c r="S536" s="68" t="str">
        <f>IF(AND(ISNUMBER($Q536),ISNUMBER($R536)),$Q536-$R536,"")</f>
        <v/>
      </c>
      <c r="T536" s="65" t="n"/>
      <c r="U536" s="64" t="n"/>
      <c r="V536" s="65" t="n"/>
      <c r="W536" s="63" t="n"/>
      <c r="X536" s="65" t="n"/>
      <c r="Y536" s="63" t="n"/>
      <c r="Z536" s="64" t="n"/>
      <c r="AA536" s="64" t="n"/>
      <c r="AB536" s="65" t="n"/>
      <c r="AC536" s="69" t="str">
        <f>IF(OR($G536="",NOT(ISNUMBER($K536)),$AK536=0),"",MAX(0,ReportDate-$K536))</f>
        <v/>
      </c>
      <c r="AD536" s="69" t="str">
        <f>IF($G536="","",IF($AL536=1,ReportDate-$L536,0))</f>
        <v/>
      </c>
      <c r="AE536" s="70" t="str">
        <f>IF($G536="","",IF($M536="Completed",1,IF(ISNUMBER($N536),$N536,0)))</f>
        <v/>
      </c>
      <c r="AF536" s="70" t="str">
        <f>IF(AND(ISNUMBER($Q536),ISNUMBER($R536)),IF($R536&lt;&gt;0,$Q536/$R536,""),"")</f>
        <v/>
      </c>
      <c r="AG536" s="71" t="str">
        <f>IF($G536="","",IF($AL536=1,"OVERDUE",IF($AM536=1,"BLOCKED",IF($AN536=1,"DUE TODAY",IF($AO536=1,"DUE TOMORROW",IF($AQ536=1,"HIGH PRIORITY",IF($AR536=1,"NO RECENT UPDATE",""))))))) </f>
        <v/>
      </c>
      <c r="AH536" s="71" t="str">
        <f>IF($G536="","",IF(ISNUMBER($A536),IF(ISNUMBER($A536),YEAR($A536)&amp;"-"&amp;TEXT(MONTH($A536),"00"),""),IF(ISNUMBER($L536),IF(ISNUMBER($L536),YEAR($L536)&amp;"-"&amp;TEXT(MONTH($L536),"00"),""),"")))</f>
        <v/>
      </c>
      <c r="AI536" s="71">
        <f>IF($G536="",0,IF(AND(OR(fClient="All",$C536=fClient),OR(fCampaign="All",$D536=fCampaign),OR(fTeam="All",$B536=fTeam),OR(fChannel="All",$F536=fChannel),OR(fMonth="All",$AH536=fMonth),OR(fTStatus="All",$M536=fTStatus)),1,0))</f>
        <v>0</v>
      </c>
      <c r="AJ536" s="71">
        <f>IF($G536="",0,IF(AND(OR(fClient="All",$C536=fClient),OR(fCampaign="All",$D536=fCampaign),OR(fTeam="All",$B536=fTeam),OR(fChannel="All",$F536=fChannel)),1,0))</f>
        <v>0</v>
      </c>
      <c r="AK536" s="71">
        <f>IF($G536="",0,IF(OR($M536="Completed",$M536="Cancelled"),0,1))</f>
        <v>0</v>
      </c>
      <c r="AL536" s="71">
        <f>IF(AND($AK536=1,ISNUMBER($L536)),IF($L536&lt;ReportDate,1,0),0)</f>
        <v>0</v>
      </c>
      <c r="AM536" s="71">
        <f>IF(AND($G536&lt;&gt;"",$M536="Blocked"),1,0)</f>
        <v>0</v>
      </c>
      <c r="AN536" s="71">
        <f>IF(AND($AK536=1,ISNUMBER($L536)),IF($L536=ReportDate,1,0),0)</f>
        <v>0</v>
      </c>
      <c r="AO536" s="71">
        <f>IF(AND($AK536=1,ISNUMBER($L536)),IF($L536=ReportDate+1,1,0),0)</f>
        <v>0</v>
      </c>
      <c r="AP536" s="71">
        <f>IF(AND($AK536=1,ISNUMBER($L536)),IF(AND($L536&gt;=ReportDate,$L536&lt;=ReportDate+DueSoonDays),1,0),0)</f>
        <v>0</v>
      </c>
      <c r="AQ536" s="71">
        <f>IF(AND($AK536=1,OR($I536="Critical",$I536="High")),1,0)</f>
        <v>0</v>
      </c>
      <c r="AR536" s="71">
        <f>IF($AK536=1,IF(ISNUMBER($Y536),IF(ReportDate-$Y536&gt;StaleDays,1,0),1),0)</f>
        <v>0</v>
      </c>
      <c r="AS536" s="71">
        <f>IF(AND($G536&lt;&gt;"",ISNUMBER($Q536),ISNUMBER($R536)),IF(AND($Q536&lt;$R536,OR($M536="Completed",AND(ISNUMBER($L536),$L536&lt;ReportDate))),1,0),0)</f>
        <v>0</v>
      </c>
      <c r="AT536" s="71">
        <f>IF($AK536=1,IF(OR($L536=ReportDate,$W536=ReportDate,$K536=ReportDate,$A536=ReportDate),1,0),0)</f>
        <v>0</v>
      </c>
      <c r="AU536" s="71">
        <f>IF($AK536=1,IF(OR($L536=ReportDate+1,$W536=ReportDate+1,$K536=ReportDate+1,$A536=ReportDate+1),1,0),0)</f>
        <v>0</v>
      </c>
      <c r="AV536" s="71">
        <f>IF(AND($G536&lt;&gt;"",$M536="Completed"),IF(OR($Y536=ReportDate-1,$A536=ReportDate-1),1,0),0)</f>
        <v>0</v>
      </c>
      <c r="AW536" s="71">
        <f>IF(AND($AK536=1,$Z536="Yes"),1,0)</f>
        <v>0</v>
      </c>
      <c r="AX536" s="71">
        <f>IF(AND($AK536=1,$AA536="Yes"),1,0)</f>
        <v>0</v>
      </c>
      <c r="AY536" s="71">
        <f>IF(AND($AM536=1,OR($I536="Critical",$I536="High")),1,0)</f>
        <v>0</v>
      </c>
      <c r="AZ536" s="71">
        <f>IF(AND($AK536=1,OR($C536=TCL_Client,$C536=MECCA_Client)),1,0)</f>
        <v>0</v>
      </c>
      <c r="BA536" s="71" t="str">
        <f>IF($G536="","",IFERROR(MATCH($I536,lst_Priority,0),5))</f>
        <v/>
      </c>
      <c r="BB536" s="71" t="str">
        <f>IF(AND($AL536=1,$AJ536=1),$BA536*100000+ROW(),"")</f>
        <v/>
      </c>
      <c r="BC536" s="71" t="str">
        <f>IF(AND($AM536=1,$AJ536=1),$BA536*100000+ROW(),"")</f>
        <v/>
      </c>
      <c r="BD536" s="71" t="str">
        <f>IF(AND($AP536=1,$AJ536=1),$BA536*100000+ROW(),"")</f>
        <v/>
      </c>
      <c r="BE536" s="71" t="str">
        <f>IF(AND($AT536=1,$AJ536=1),$BA536*100000+ROW(),"")</f>
        <v/>
      </c>
      <c r="BF536" s="71" t="str">
        <f>IF(AND($AU536=1,$AJ536=1),$BA536*100000+ROW(),"")</f>
        <v/>
      </c>
      <c r="BG536" s="71" t="str">
        <f>IF(AND($AV536=1,$AJ536=1),$BA536*100000+ROW(),"")</f>
        <v/>
      </c>
      <c r="BH536" s="71" t="str">
        <f>IF(AND($AW536=1,$AJ536=1),$BA536*100000+ROW(),"")</f>
        <v/>
      </c>
      <c r="BI536" s="71" t="str">
        <f>IF(AND($AX536=1,$AJ536=1),$BA536*100000+ROW(),"")</f>
        <v/>
      </c>
      <c r="BJ536" s="71" t="str">
        <f>IF(AND($AS536=1,$AJ536=1),$BA536*100000+ROW(),"")</f>
        <v/>
      </c>
      <c r="BK536" s="71" t="str">
        <f>IF(AND($AY536=1,$AJ536=1),$BA536*100000+ROW(),"")</f>
        <v/>
      </c>
      <c r="BL536" s="71" t="str">
        <f>IF(AND($AZ536=1),$BA536*100000+ROW(),"")</f>
        <v/>
      </c>
    </row>
    <row r="537">
      <c r="A537" s="63" t="n"/>
      <c r="B537" s="64" t="n"/>
      <c r="C537" s="64" t="n"/>
      <c r="D537" s="64" t="n"/>
      <c r="E537" s="64" t="n"/>
      <c r="F537" s="64" t="n"/>
      <c r="G537" s="65" t="n"/>
      <c r="H537" s="65" t="n"/>
      <c r="I537" s="64" t="n"/>
      <c r="J537" s="64" t="n"/>
      <c r="K537" s="63" t="n"/>
      <c r="L537" s="63" t="n"/>
      <c r="M537" s="64" t="n"/>
      <c r="N537" s="66" t="n"/>
      <c r="O537" s="65" t="n"/>
      <c r="P537" s="64" t="n"/>
      <c r="Q537" s="67" t="n"/>
      <c r="R537" s="67" t="n"/>
      <c r="S537" s="68" t="str">
        <f>IF(AND(ISNUMBER($Q537),ISNUMBER($R537)),$Q537-$R537,"")</f>
        <v/>
      </c>
      <c r="T537" s="65" t="n"/>
      <c r="U537" s="64" t="n"/>
      <c r="V537" s="65" t="n"/>
      <c r="W537" s="63" t="n"/>
      <c r="X537" s="65" t="n"/>
      <c r="Y537" s="63" t="n"/>
      <c r="Z537" s="64" t="n"/>
      <c r="AA537" s="64" t="n"/>
      <c r="AB537" s="65" t="n"/>
      <c r="AC537" s="69" t="str">
        <f>IF(OR($G537="",NOT(ISNUMBER($K537)),$AK537=0),"",MAX(0,ReportDate-$K537))</f>
        <v/>
      </c>
      <c r="AD537" s="69" t="str">
        <f>IF($G537="","",IF($AL537=1,ReportDate-$L537,0))</f>
        <v/>
      </c>
      <c r="AE537" s="70" t="str">
        <f>IF($G537="","",IF($M537="Completed",1,IF(ISNUMBER($N537),$N537,0)))</f>
        <v/>
      </c>
      <c r="AF537" s="70" t="str">
        <f>IF(AND(ISNUMBER($Q537),ISNUMBER($R537)),IF($R537&lt;&gt;0,$Q537/$R537,""),"")</f>
        <v/>
      </c>
      <c r="AG537" s="71" t="str">
        <f>IF($G537="","",IF($AL537=1,"OVERDUE",IF($AM537=1,"BLOCKED",IF($AN537=1,"DUE TODAY",IF($AO537=1,"DUE TOMORROW",IF($AQ537=1,"HIGH PRIORITY",IF($AR537=1,"NO RECENT UPDATE",""))))))) </f>
        <v/>
      </c>
      <c r="AH537" s="71" t="str">
        <f>IF($G537="","",IF(ISNUMBER($A537),IF(ISNUMBER($A537),YEAR($A537)&amp;"-"&amp;TEXT(MONTH($A537),"00"),""),IF(ISNUMBER($L537),IF(ISNUMBER($L537),YEAR($L537)&amp;"-"&amp;TEXT(MONTH($L537),"00"),""),"")))</f>
        <v/>
      </c>
      <c r="AI537" s="71">
        <f>IF($G537="",0,IF(AND(OR(fClient="All",$C537=fClient),OR(fCampaign="All",$D537=fCampaign),OR(fTeam="All",$B537=fTeam),OR(fChannel="All",$F537=fChannel),OR(fMonth="All",$AH537=fMonth),OR(fTStatus="All",$M537=fTStatus)),1,0))</f>
        <v>0</v>
      </c>
      <c r="AJ537" s="71">
        <f>IF($G537="",0,IF(AND(OR(fClient="All",$C537=fClient),OR(fCampaign="All",$D537=fCampaign),OR(fTeam="All",$B537=fTeam),OR(fChannel="All",$F537=fChannel)),1,0))</f>
        <v>0</v>
      </c>
      <c r="AK537" s="71">
        <f>IF($G537="",0,IF(OR($M537="Completed",$M537="Cancelled"),0,1))</f>
        <v>0</v>
      </c>
      <c r="AL537" s="71">
        <f>IF(AND($AK537=1,ISNUMBER($L537)),IF($L537&lt;ReportDate,1,0),0)</f>
        <v>0</v>
      </c>
      <c r="AM537" s="71">
        <f>IF(AND($G537&lt;&gt;"",$M537="Blocked"),1,0)</f>
        <v>0</v>
      </c>
      <c r="AN537" s="71">
        <f>IF(AND($AK537=1,ISNUMBER($L537)),IF($L537=ReportDate,1,0),0)</f>
        <v>0</v>
      </c>
      <c r="AO537" s="71">
        <f>IF(AND($AK537=1,ISNUMBER($L537)),IF($L537=ReportDate+1,1,0),0)</f>
        <v>0</v>
      </c>
      <c r="AP537" s="71">
        <f>IF(AND($AK537=1,ISNUMBER($L537)),IF(AND($L537&gt;=ReportDate,$L537&lt;=ReportDate+DueSoonDays),1,0),0)</f>
        <v>0</v>
      </c>
      <c r="AQ537" s="71">
        <f>IF(AND($AK537=1,OR($I537="Critical",$I537="High")),1,0)</f>
        <v>0</v>
      </c>
      <c r="AR537" s="71">
        <f>IF($AK537=1,IF(ISNUMBER($Y537),IF(ReportDate-$Y537&gt;StaleDays,1,0),1),0)</f>
        <v>0</v>
      </c>
      <c r="AS537" s="71">
        <f>IF(AND($G537&lt;&gt;"",ISNUMBER($Q537),ISNUMBER($R537)),IF(AND($Q537&lt;$R537,OR($M537="Completed",AND(ISNUMBER($L537),$L537&lt;ReportDate))),1,0),0)</f>
        <v>0</v>
      </c>
      <c r="AT537" s="71">
        <f>IF($AK537=1,IF(OR($L537=ReportDate,$W537=ReportDate,$K537=ReportDate,$A537=ReportDate),1,0),0)</f>
        <v>0</v>
      </c>
      <c r="AU537" s="71">
        <f>IF($AK537=1,IF(OR($L537=ReportDate+1,$W537=ReportDate+1,$K537=ReportDate+1,$A537=ReportDate+1),1,0),0)</f>
        <v>0</v>
      </c>
      <c r="AV537" s="71">
        <f>IF(AND($G537&lt;&gt;"",$M537="Completed"),IF(OR($Y537=ReportDate-1,$A537=ReportDate-1),1,0),0)</f>
        <v>0</v>
      </c>
      <c r="AW537" s="71">
        <f>IF(AND($AK537=1,$Z537="Yes"),1,0)</f>
        <v>0</v>
      </c>
      <c r="AX537" s="71">
        <f>IF(AND($AK537=1,$AA537="Yes"),1,0)</f>
        <v>0</v>
      </c>
      <c r="AY537" s="71">
        <f>IF(AND($AM537=1,OR($I537="Critical",$I537="High")),1,0)</f>
        <v>0</v>
      </c>
      <c r="AZ537" s="71">
        <f>IF(AND($AK537=1,OR($C537=TCL_Client,$C537=MECCA_Client)),1,0)</f>
        <v>0</v>
      </c>
      <c r="BA537" s="71" t="str">
        <f>IF($G537="","",IFERROR(MATCH($I537,lst_Priority,0),5))</f>
        <v/>
      </c>
      <c r="BB537" s="71" t="str">
        <f>IF(AND($AL537=1,$AJ537=1),$BA537*100000+ROW(),"")</f>
        <v/>
      </c>
      <c r="BC537" s="71" t="str">
        <f>IF(AND($AM537=1,$AJ537=1),$BA537*100000+ROW(),"")</f>
        <v/>
      </c>
      <c r="BD537" s="71" t="str">
        <f>IF(AND($AP537=1,$AJ537=1),$BA537*100000+ROW(),"")</f>
        <v/>
      </c>
      <c r="BE537" s="71" t="str">
        <f>IF(AND($AT537=1,$AJ537=1),$BA537*100000+ROW(),"")</f>
        <v/>
      </c>
      <c r="BF537" s="71" t="str">
        <f>IF(AND($AU537=1,$AJ537=1),$BA537*100000+ROW(),"")</f>
        <v/>
      </c>
      <c r="BG537" s="71" t="str">
        <f>IF(AND($AV537=1,$AJ537=1),$BA537*100000+ROW(),"")</f>
        <v/>
      </c>
      <c r="BH537" s="71" t="str">
        <f>IF(AND($AW537=1,$AJ537=1),$BA537*100000+ROW(),"")</f>
        <v/>
      </c>
      <c r="BI537" s="71" t="str">
        <f>IF(AND($AX537=1,$AJ537=1),$BA537*100000+ROW(),"")</f>
        <v/>
      </c>
      <c r="BJ537" s="71" t="str">
        <f>IF(AND($AS537=1,$AJ537=1),$BA537*100000+ROW(),"")</f>
        <v/>
      </c>
      <c r="BK537" s="71" t="str">
        <f>IF(AND($AY537=1,$AJ537=1),$BA537*100000+ROW(),"")</f>
        <v/>
      </c>
      <c r="BL537" s="71" t="str">
        <f>IF(AND($AZ537=1),$BA537*100000+ROW(),"")</f>
        <v/>
      </c>
    </row>
    <row r="538">
      <c r="A538" s="63" t="n"/>
      <c r="B538" s="64" t="n"/>
      <c r="C538" s="64" t="n"/>
      <c r="D538" s="64" t="n"/>
      <c r="E538" s="64" t="n"/>
      <c r="F538" s="64" t="n"/>
      <c r="G538" s="65" t="n"/>
      <c r="H538" s="65" t="n"/>
      <c r="I538" s="64" t="n"/>
      <c r="J538" s="64" t="n"/>
      <c r="K538" s="63" t="n"/>
      <c r="L538" s="63" t="n"/>
      <c r="M538" s="64" t="n"/>
      <c r="N538" s="66" t="n"/>
      <c r="O538" s="65" t="n"/>
      <c r="P538" s="64" t="n"/>
      <c r="Q538" s="67" t="n"/>
      <c r="R538" s="67" t="n"/>
      <c r="S538" s="68" t="str">
        <f>IF(AND(ISNUMBER($Q538),ISNUMBER($R538)),$Q538-$R538,"")</f>
        <v/>
      </c>
      <c r="T538" s="65" t="n"/>
      <c r="U538" s="64" t="n"/>
      <c r="V538" s="65" t="n"/>
      <c r="W538" s="63" t="n"/>
      <c r="X538" s="65" t="n"/>
      <c r="Y538" s="63" t="n"/>
      <c r="Z538" s="64" t="n"/>
      <c r="AA538" s="64" t="n"/>
      <c r="AB538" s="65" t="n"/>
      <c r="AC538" s="69" t="str">
        <f>IF(OR($G538="",NOT(ISNUMBER($K538)),$AK538=0),"",MAX(0,ReportDate-$K538))</f>
        <v/>
      </c>
      <c r="AD538" s="69" t="str">
        <f>IF($G538="","",IF($AL538=1,ReportDate-$L538,0))</f>
        <v/>
      </c>
      <c r="AE538" s="70" t="str">
        <f>IF($G538="","",IF($M538="Completed",1,IF(ISNUMBER($N538),$N538,0)))</f>
        <v/>
      </c>
      <c r="AF538" s="70" t="str">
        <f>IF(AND(ISNUMBER($Q538),ISNUMBER($R538)),IF($R538&lt;&gt;0,$Q538/$R538,""),"")</f>
        <v/>
      </c>
      <c r="AG538" s="71" t="str">
        <f>IF($G538="","",IF($AL538=1,"OVERDUE",IF($AM538=1,"BLOCKED",IF($AN538=1,"DUE TODAY",IF($AO538=1,"DUE TOMORROW",IF($AQ538=1,"HIGH PRIORITY",IF($AR538=1,"NO RECENT UPDATE",""))))))) </f>
        <v/>
      </c>
      <c r="AH538" s="71" t="str">
        <f>IF($G538="","",IF(ISNUMBER($A538),IF(ISNUMBER($A538),YEAR($A538)&amp;"-"&amp;TEXT(MONTH($A538),"00"),""),IF(ISNUMBER($L538),IF(ISNUMBER($L538),YEAR($L538)&amp;"-"&amp;TEXT(MONTH($L538),"00"),""),"")))</f>
        <v/>
      </c>
      <c r="AI538" s="71">
        <f>IF($G538="",0,IF(AND(OR(fClient="All",$C538=fClient),OR(fCampaign="All",$D538=fCampaign),OR(fTeam="All",$B538=fTeam),OR(fChannel="All",$F538=fChannel),OR(fMonth="All",$AH538=fMonth),OR(fTStatus="All",$M538=fTStatus)),1,0))</f>
        <v>0</v>
      </c>
      <c r="AJ538" s="71">
        <f>IF($G538="",0,IF(AND(OR(fClient="All",$C538=fClient),OR(fCampaign="All",$D538=fCampaign),OR(fTeam="All",$B538=fTeam),OR(fChannel="All",$F538=fChannel)),1,0))</f>
        <v>0</v>
      </c>
      <c r="AK538" s="71">
        <f>IF($G538="",0,IF(OR($M538="Completed",$M538="Cancelled"),0,1))</f>
        <v>0</v>
      </c>
      <c r="AL538" s="71">
        <f>IF(AND($AK538=1,ISNUMBER($L538)),IF($L538&lt;ReportDate,1,0),0)</f>
        <v>0</v>
      </c>
      <c r="AM538" s="71">
        <f>IF(AND($G538&lt;&gt;"",$M538="Blocked"),1,0)</f>
        <v>0</v>
      </c>
      <c r="AN538" s="71">
        <f>IF(AND($AK538=1,ISNUMBER($L538)),IF($L538=ReportDate,1,0),0)</f>
        <v>0</v>
      </c>
      <c r="AO538" s="71">
        <f>IF(AND($AK538=1,ISNUMBER($L538)),IF($L538=ReportDate+1,1,0),0)</f>
        <v>0</v>
      </c>
      <c r="AP538" s="71">
        <f>IF(AND($AK538=1,ISNUMBER($L538)),IF(AND($L538&gt;=ReportDate,$L538&lt;=ReportDate+DueSoonDays),1,0),0)</f>
        <v>0</v>
      </c>
      <c r="AQ538" s="71">
        <f>IF(AND($AK538=1,OR($I538="Critical",$I538="High")),1,0)</f>
        <v>0</v>
      </c>
      <c r="AR538" s="71">
        <f>IF($AK538=1,IF(ISNUMBER($Y538),IF(ReportDate-$Y538&gt;StaleDays,1,0),1),0)</f>
        <v>0</v>
      </c>
      <c r="AS538" s="71">
        <f>IF(AND($G538&lt;&gt;"",ISNUMBER($Q538),ISNUMBER($R538)),IF(AND($Q538&lt;$R538,OR($M538="Completed",AND(ISNUMBER($L538),$L538&lt;ReportDate))),1,0),0)</f>
        <v>0</v>
      </c>
      <c r="AT538" s="71">
        <f>IF($AK538=1,IF(OR($L538=ReportDate,$W538=ReportDate,$K538=ReportDate,$A538=ReportDate),1,0),0)</f>
        <v>0</v>
      </c>
      <c r="AU538" s="71">
        <f>IF($AK538=1,IF(OR($L538=ReportDate+1,$W538=ReportDate+1,$K538=ReportDate+1,$A538=ReportDate+1),1,0),0)</f>
        <v>0</v>
      </c>
      <c r="AV538" s="71">
        <f>IF(AND($G538&lt;&gt;"",$M538="Completed"),IF(OR($Y538=ReportDate-1,$A538=ReportDate-1),1,0),0)</f>
        <v>0</v>
      </c>
      <c r="AW538" s="71">
        <f>IF(AND($AK538=1,$Z538="Yes"),1,0)</f>
        <v>0</v>
      </c>
      <c r="AX538" s="71">
        <f>IF(AND($AK538=1,$AA538="Yes"),1,0)</f>
        <v>0</v>
      </c>
      <c r="AY538" s="71">
        <f>IF(AND($AM538=1,OR($I538="Critical",$I538="High")),1,0)</f>
        <v>0</v>
      </c>
      <c r="AZ538" s="71">
        <f>IF(AND($AK538=1,OR($C538=TCL_Client,$C538=MECCA_Client)),1,0)</f>
        <v>0</v>
      </c>
      <c r="BA538" s="71" t="str">
        <f>IF($G538="","",IFERROR(MATCH($I538,lst_Priority,0),5))</f>
        <v/>
      </c>
      <c r="BB538" s="71" t="str">
        <f>IF(AND($AL538=1,$AJ538=1),$BA538*100000+ROW(),"")</f>
        <v/>
      </c>
      <c r="BC538" s="71" t="str">
        <f>IF(AND($AM538=1,$AJ538=1),$BA538*100000+ROW(),"")</f>
        <v/>
      </c>
      <c r="BD538" s="71" t="str">
        <f>IF(AND($AP538=1,$AJ538=1),$BA538*100000+ROW(),"")</f>
        <v/>
      </c>
      <c r="BE538" s="71" t="str">
        <f>IF(AND($AT538=1,$AJ538=1),$BA538*100000+ROW(),"")</f>
        <v/>
      </c>
      <c r="BF538" s="71" t="str">
        <f>IF(AND($AU538=1,$AJ538=1),$BA538*100000+ROW(),"")</f>
        <v/>
      </c>
      <c r="BG538" s="71" t="str">
        <f>IF(AND($AV538=1,$AJ538=1),$BA538*100000+ROW(),"")</f>
        <v/>
      </c>
      <c r="BH538" s="71" t="str">
        <f>IF(AND($AW538=1,$AJ538=1),$BA538*100000+ROW(),"")</f>
        <v/>
      </c>
      <c r="BI538" s="71" t="str">
        <f>IF(AND($AX538=1,$AJ538=1),$BA538*100000+ROW(),"")</f>
        <v/>
      </c>
      <c r="BJ538" s="71" t="str">
        <f>IF(AND($AS538=1,$AJ538=1),$BA538*100000+ROW(),"")</f>
        <v/>
      </c>
      <c r="BK538" s="71" t="str">
        <f>IF(AND($AY538=1,$AJ538=1),$BA538*100000+ROW(),"")</f>
        <v/>
      </c>
      <c r="BL538" s="71" t="str">
        <f>IF(AND($AZ538=1),$BA538*100000+ROW(),"")</f>
        <v/>
      </c>
    </row>
    <row r="539">
      <c r="A539" s="63" t="n"/>
      <c r="B539" s="64" t="n"/>
      <c r="C539" s="64" t="n"/>
      <c r="D539" s="64" t="n"/>
      <c r="E539" s="64" t="n"/>
      <c r="F539" s="64" t="n"/>
      <c r="G539" s="65" t="n"/>
      <c r="H539" s="65" t="n"/>
      <c r="I539" s="64" t="n"/>
      <c r="J539" s="64" t="n"/>
      <c r="K539" s="63" t="n"/>
      <c r="L539" s="63" t="n"/>
      <c r="M539" s="64" t="n"/>
      <c r="N539" s="66" t="n"/>
      <c r="O539" s="65" t="n"/>
      <c r="P539" s="64" t="n"/>
      <c r="Q539" s="67" t="n"/>
      <c r="R539" s="67" t="n"/>
      <c r="S539" s="68" t="str">
        <f>IF(AND(ISNUMBER($Q539),ISNUMBER($R539)),$Q539-$R539,"")</f>
        <v/>
      </c>
      <c r="T539" s="65" t="n"/>
      <c r="U539" s="64" t="n"/>
      <c r="V539" s="65" t="n"/>
      <c r="W539" s="63" t="n"/>
      <c r="X539" s="65" t="n"/>
      <c r="Y539" s="63" t="n"/>
      <c r="Z539" s="64" t="n"/>
      <c r="AA539" s="64" t="n"/>
      <c r="AB539" s="65" t="n"/>
      <c r="AC539" s="69" t="str">
        <f>IF(OR($G539="",NOT(ISNUMBER($K539)),$AK539=0),"",MAX(0,ReportDate-$K539))</f>
        <v/>
      </c>
      <c r="AD539" s="69" t="str">
        <f>IF($G539="","",IF($AL539=1,ReportDate-$L539,0))</f>
        <v/>
      </c>
      <c r="AE539" s="70" t="str">
        <f>IF($G539="","",IF($M539="Completed",1,IF(ISNUMBER($N539),$N539,0)))</f>
        <v/>
      </c>
      <c r="AF539" s="70" t="str">
        <f>IF(AND(ISNUMBER($Q539),ISNUMBER($R539)),IF($R539&lt;&gt;0,$Q539/$R539,""),"")</f>
        <v/>
      </c>
      <c r="AG539" s="71" t="str">
        <f>IF($G539="","",IF($AL539=1,"OVERDUE",IF($AM539=1,"BLOCKED",IF($AN539=1,"DUE TODAY",IF($AO539=1,"DUE TOMORROW",IF($AQ539=1,"HIGH PRIORITY",IF($AR539=1,"NO RECENT UPDATE",""))))))) </f>
        <v/>
      </c>
      <c r="AH539" s="71" t="str">
        <f>IF($G539="","",IF(ISNUMBER($A539),IF(ISNUMBER($A539),YEAR($A539)&amp;"-"&amp;TEXT(MONTH($A539),"00"),""),IF(ISNUMBER($L539),IF(ISNUMBER($L539),YEAR($L539)&amp;"-"&amp;TEXT(MONTH($L539),"00"),""),"")))</f>
        <v/>
      </c>
      <c r="AI539" s="71">
        <f>IF($G539="",0,IF(AND(OR(fClient="All",$C539=fClient),OR(fCampaign="All",$D539=fCampaign),OR(fTeam="All",$B539=fTeam),OR(fChannel="All",$F539=fChannel),OR(fMonth="All",$AH539=fMonth),OR(fTStatus="All",$M539=fTStatus)),1,0))</f>
        <v>0</v>
      </c>
      <c r="AJ539" s="71">
        <f>IF($G539="",0,IF(AND(OR(fClient="All",$C539=fClient),OR(fCampaign="All",$D539=fCampaign),OR(fTeam="All",$B539=fTeam),OR(fChannel="All",$F539=fChannel)),1,0))</f>
        <v>0</v>
      </c>
      <c r="AK539" s="71">
        <f>IF($G539="",0,IF(OR($M539="Completed",$M539="Cancelled"),0,1))</f>
        <v>0</v>
      </c>
      <c r="AL539" s="71">
        <f>IF(AND($AK539=1,ISNUMBER($L539)),IF($L539&lt;ReportDate,1,0),0)</f>
        <v>0</v>
      </c>
      <c r="AM539" s="71">
        <f>IF(AND($G539&lt;&gt;"",$M539="Blocked"),1,0)</f>
        <v>0</v>
      </c>
      <c r="AN539" s="71">
        <f>IF(AND($AK539=1,ISNUMBER($L539)),IF($L539=ReportDate,1,0),0)</f>
        <v>0</v>
      </c>
      <c r="AO539" s="71">
        <f>IF(AND($AK539=1,ISNUMBER($L539)),IF($L539=ReportDate+1,1,0),0)</f>
        <v>0</v>
      </c>
      <c r="AP539" s="71">
        <f>IF(AND($AK539=1,ISNUMBER($L539)),IF(AND($L539&gt;=ReportDate,$L539&lt;=ReportDate+DueSoonDays),1,0),0)</f>
        <v>0</v>
      </c>
      <c r="AQ539" s="71">
        <f>IF(AND($AK539=1,OR($I539="Critical",$I539="High")),1,0)</f>
        <v>0</v>
      </c>
      <c r="AR539" s="71">
        <f>IF($AK539=1,IF(ISNUMBER($Y539),IF(ReportDate-$Y539&gt;StaleDays,1,0),1),0)</f>
        <v>0</v>
      </c>
      <c r="AS539" s="71">
        <f>IF(AND($G539&lt;&gt;"",ISNUMBER($Q539),ISNUMBER($R539)),IF(AND($Q539&lt;$R539,OR($M539="Completed",AND(ISNUMBER($L539),$L539&lt;ReportDate))),1,0),0)</f>
        <v>0</v>
      </c>
      <c r="AT539" s="71">
        <f>IF($AK539=1,IF(OR($L539=ReportDate,$W539=ReportDate,$K539=ReportDate,$A539=ReportDate),1,0),0)</f>
        <v>0</v>
      </c>
      <c r="AU539" s="71">
        <f>IF($AK539=1,IF(OR($L539=ReportDate+1,$W539=ReportDate+1,$K539=ReportDate+1,$A539=ReportDate+1),1,0),0)</f>
        <v>0</v>
      </c>
      <c r="AV539" s="71">
        <f>IF(AND($G539&lt;&gt;"",$M539="Completed"),IF(OR($Y539=ReportDate-1,$A539=ReportDate-1),1,0),0)</f>
        <v>0</v>
      </c>
      <c r="AW539" s="71">
        <f>IF(AND($AK539=1,$Z539="Yes"),1,0)</f>
        <v>0</v>
      </c>
      <c r="AX539" s="71">
        <f>IF(AND($AK539=1,$AA539="Yes"),1,0)</f>
        <v>0</v>
      </c>
      <c r="AY539" s="71">
        <f>IF(AND($AM539=1,OR($I539="Critical",$I539="High")),1,0)</f>
        <v>0</v>
      </c>
      <c r="AZ539" s="71">
        <f>IF(AND($AK539=1,OR($C539=TCL_Client,$C539=MECCA_Client)),1,0)</f>
        <v>0</v>
      </c>
      <c r="BA539" s="71" t="str">
        <f>IF($G539="","",IFERROR(MATCH($I539,lst_Priority,0),5))</f>
        <v/>
      </c>
      <c r="BB539" s="71" t="str">
        <f>IF(AND($AL539=1,$AJ539=1),$BA539*100000+ROW(),"")</f>
        <v/>
      </c>
      <c r="BC539" s="71" t="str">
        <f>IF(AND($AM539=1,$AJ539=1),$BA539*100000+ROW(),"")</f>
        <v/>
      </c>
      <c r="BD539" s="71" t="str">
        <f>IF(AND($AP539=1,$AJ539=1),$BA539*100000+ROW(),"")</f>
        <v/>
      </c>
      <c r="BE539" s="71" t="str">
        <f>IF(AND($AT539=1,$AJ539=1),$BA539*100000+ROW(),"")</f>
        <v/>
      </c>
      <c r="BF539" s="71" t="str">
        <f>IF(AND($AU539=1,$AJ539=1),$BA539*100000+ROW(),"")</f>
        <v/>
      </c>
      <c r="BG539" s="71" t="str">
        <f>IF(AND($AV539=1,$AJ539=1),$BA539*100000+ROW(),"")</f>
        <v/>
      </c>
      <c r="BH539" s="71" t="str">
        <f>IF(AND($AW539=1,$AJ539=1),$BA539*100000+ROW(),"")</f>
        <v/>
      </c>
      <c r="BI539" s="71" t="str">
        <f>IF(AND($AX539=1,$AJ539=1),$BA539*100000+ROW(),"")</f>
        <v/>
      </c>
      <c r="BJ539" s="71" t="str">
        <f>IF(AND($AS539=1,$AJ539=1),$BA539*100000+ROW(),"")</f>
        <v/>
      </c>
      <c r="BK539" s="71" t="str">
        <f>IF(AND($AY539=1,$AJ539=1),$BA539*100000+ROW(),"")</f>
        <v/>
      </c>
      <c r="BL539" s="71" t="str">
        <f>IF(AND($AZ539=1),$BA539*100000+ROW(),"")</f>
        <v/>
      </c>
    </row>
    <row r="540">
      <c r="A540" s="63" t="n"/>
      <c r="B540" s="64" t="n"/>
      <c r="C540" s="64" t="n"/>
      <c r="D540" s="64" t="n"/>
      <c r="E540" s="64" t="n"/>
      <c r="F540" s="64" t="n"/>
      <c r="G540" s="65" t="n"/>
      <c r="H540" s="65" t="n"/>
      <c r="I540" s="64" t="n"/>
      <c r="J540" s="64" t="n"/>
      <c r="K540" s="63" t="n"/>
      <c r="L540" s="63" t="n"/>
      <c r="M540" s="64" t="n"/>
      <c r="N540" s="66" t="n"/>
      <c r="O540" s="65" t="n"/>
      <c r="P540" s="64" t="n"/>
      <c r="Q540" s="67" t="n"/>
      <c r="R540" s="67" t="n"/>
      <c r="S540" s="68" t="str">
        <f>IF(AND(ISNUMBER($Q540),ISNUMBER($R540)),$Q540-$R540,"")</f>
        <v/>
      </c>
      <c r="T540" s="65" t="n"/>
      <c r="U540" s="64" t="n"/>
      <c r="V540" s="65" t="n"/>
      <c r="W540" s="63" t="n"/>
      <c r="X540" s="65" t="n"/>
      <c r="Y540" s="63" t="n"/>
      <c r="Z540" s="64" t="n"/>
      <c r="AA540" s="64" t="n"/>
      <c r="AB540" s="65" t="n"/>
      <c r="AC540" s="69" t="str">
        <f>IF(OR($G540="",NOT(ISNUMBER($K540)),$AK540=0),"",MAX(0,ReportDate-$K540))</f>
        <v/>
      </c>
      <c r="AD540" s="69" t="str">
        <f>IF($G540="","",IF($AL540=1,ReportDate-$L540,0))</f>
        <v/>
      </c>
      <c r="AE540" s="70" t="str">
        <f>IF($G540="","",IF($M540="Completed",1,IF(ISNUMBER($N540),$N540,0)))</f>
        <v/>
      </c>
      <c r="AF540" s="70" t="str">
        <f>IF(AND(ISNUMBER($Q540),ISNUMBER($R540)),IF($R540&lt;&gt;0,$Q540/$R540,""),"")</f>
        <v/>
      </c>
      <c r="AG540" s="71" t="str">
        <f>IF($G540="","",IF($AL540=1,"OVERDUE",IF($AM540=1,"BLOCKED",IF($AN540=1,"DUE TODAY",IF($AO540=1,"DUE TOMORROW",IF($AQ540=1,"HIGH PRIORITY",IF($AR540=1,"NO RECENT UPDATE",""))))))) </f>
        <v/>
      </c>
      <c r="AH540" s="71" t="str">
        <f>IF($G540="","",IF(ISNUMBER($A540),IF(ISNUMBER($A540),YEAR($A540)&amp;"-"&amp;TEXT(MONTH($A540),"00"),""),IF(ISNUMBER($L540),IF(ISNUMBER($L540),YEAR($L540)&amp;"-"&amp;TEXT(MONTH($L540),"00"),""),"")))</f>
        <v/>
      </c>
      <c r="AI540" s="71">
        <f>IF($G540="",0,IF(AND(OR(fClient="All",$C540=fClient),OR(fCampaign="All",$D540=fCampaign),OR(fTeam="All",$B540=fTeam),OR(fChannel="All",$F540=fChannel),OR(fMonth="All",$AH540=fMonth),OR(fTStatus="All",$M540=fTStatus)),1,0))</f>
        <v>0</v>
      </c>
      <c r="AJ540" s="71">
        <f>IF($G540="",0,IF(AND(OR(fClient="All",$C540=fClient),OR(fCampaign="All",$D540=fCampaign),OR(fTeam="All",$B540=fTeam),OR(fChannel="All",$F540=fChannel)),1,0))</f>
        <v>0</v>
      </c>
      <c r="AK540" s="71">
        <f>IF($G540="",0,IF(OR($M540="Completed",$M540="Cancelled"),0,1))</f>
        <v>0</v>
      </c>
      <c r="AL540" s="71">
        <f>IF(AND($AK540=1,ISNUMBER($L540)),IF($L540&lt;ReportDate,1,0),0)</f>
        <v>0</v>
      </c>
      <c r="AM540" s="71">
        <f>IF(AND($G540&lt;&gt;"",$M540="Blocked"),1,0)</f>
        <v>0</v>
      </c>
      <c r="AN540" s="71">
        <f>IF(AND($AK540=1,ISNUMBER($L540)),IF($L540=ReportDate,1,0),0)</f>
        <v>0</v>
      </c>
      <c r="AO540" s="71">
        <f>IF(AND($AK540=1,ISNUMBER($L540)),IF($L540=ReportDate+1,1,0),0)</f>
        <v>0</v>
      </c>
      <c r="AP540" s="71">
        <f>IF(AND($AK540=1,ISNUMBER($L540)),IF(AND($L540&gt;=ReportDate,$L540&lt;=ReportDate+DueSoonDays),1,0),0)</f>
        <v>0</v>
      </c>
      <c r="AQ540" s="71">
        <f>IF(AND($AK540=1,OR($I540="Critical",$I540="High")),1,0)</f>
        <v>0</v>
      </c>
      <c r="AR540" s="71">
        <f>IF($AK540=1,IF(ISNUMBER($Y540),IF(ReportDate-$Y540&gt;StaleDays,1,0),1),0)</f>
        <v>0</v>
      </c>
      <c r="AS540" s="71">
        <f>IF(AND($G540&lt;&gt;"",ISNUMBER($Q540),ISNUMBER($R540)),IF(AND($Q540&lt;$R540,OR($M540="Completed",AND(ISNUMBER($L540),$L540&lt;ReportDate))),1,0),0)</f>
        <v>0</v>
      </c>
      <c r="AT540" s="71">
        <f>IF($AK540=1,IF(OR($L540=ReportDate,$W540=ReportDate,$K540=ReportDate,$A540=ReportDate),1,0),0)</f>
        <v>0</v>
      </c>
      <c r="AU540" s="71">
        <f>IF($AK540=1,IF(OR($L540=ReportDate+1,$W540=ReportDate+1,$K540=ReportDate+1,$A540=ReportDate+1),1,0),0)</f>
        <v>0</v>
      </c>
      <c r="AV540" s="71">
        <f>IF(AND($G540&lt;&gt;"",$M540="Completed"),IF(OR($Y540=ReportDate-1,$A540=ReportDate-1),1,0),0)</f>
        <v>0</v>
      </c>
      <c r="AW540" s="71">
        <f>IF(AND($AK540=1,$Z540="Yes"),1,0)</f>
        <v>0</v>
      </c>
      <c r="AX540" s="71">
        <f>IF(AND($AK540=1,$AA540="Yes"),1,0)</f>
        <v>0</v>
      </c>
      <c r="AY540" s="71">
        <f>IF(AND($AM540=1,OR($I540="Critical",$I540="High")),1,0)</f>
        <v>0</v>
      </c>
      <c r="AZ540" s="71">
        <f>IF(AND($AK540=1,OR($C540=TCL_Client,$C540=MECCA_Client)),1,0)</f>
        <v>0</v>
      </c>
      <c r="BA540" s="71" t="str">
        <f>IF($G540="","",IFERROR(MATCH($I540,lst_Priority,0),5))</f>
        <v/>
      </c>
      <c r="BB540" s="71" t="str">
        <f>IF(AND($AL540=1,$AJ540=1),$BA540*100000+ROW(),"")</f>
        <v/>
      </c>
      <c r="BC540" s="71" t="str">
        <f>IF(AND($AM540=1,$AJ540=1),$BA540*100000+ROW(),"")</f>
        <v/>
      </c>
      <c r="BD540" s="71" t="str">
        <f>IF(AND($AP540=1,$AJ540=1),$BA540*100000+ROW(),"")</f>
        <v/>
      </c>
      <c r="BE540" s="71" t="str">
        <f>IF(AND($AT540=1,$AJ540=1),$BA540*100000+ROW(),"")</f>
        <v/>
      </c>
      <c r="BF540" s="71" t="str">
        <f>IF(AND($AU540=1,$AJ540=1),$BA540*100000+ROW(),"")</f>
        <v/>
      </c>
      <c r="BG540" s="71" t="str">
        <f>IF(AND($AV540=1,$AJ540=1),$BA540*100000+ROW(),"")</f>
        <v/>
      </c>
      <c r="BH540" s="71" t="str">
        <f>IF(AND($AW540=1,$AJ540=1),$BA540*100000+ROW(),"")</f>
        <v/>
      </c>
      <c r="BI540" s="71" t="str">
        <f>IF(AND($AX540=1,$AJ540=1),$BA540*100000+ROW(),"")</f>
        <v/>
      </c>
      <c r="BJ540" s="71" t="str">
        <f>IF(AND($AS540=1,$AJ540=1),$BA540*100000+ROW(),"")</f>
        <v/>
      </c>
      <c r="BK540" s="71" t="str">
        <f>IF(AND($AY540=1,$AJ540=1),$BA540*100000+ROW(),"")</f>
        <v/>
      </c>
      <c r="BL540" s="71" t="str">
        <f>IF(AND($AZ540=1),$BA540*100000+ROW(),"")</f>
        <v/>
      </c>
    </row>
    <row r="541">
      <c r="A541" s="63" t="n"/>
      <c r="B541" s="64" t="n"/>
      <c r="C541" s="64" t="n"/>
      <c r="D541" s="64" t="n"/>
      <c r="E541" s="64" t="n"/>
      <c r="F541" s="64" t="n"/>
      <c r="G541" s="65" t="n"/>
      <c r="H541" s="65" t="n"/>
      <c r="I541" s="64" t="n"/>
      <c r="J541" s="64" t="n"/>
      <c r="K541" s="63" t="n"/>
      <c r="L541" s="63" t="n"/>
      <c r="M541" s="64" t="n"/>
      <c r="N541" s="66" t="n"/>
      <c r="O541" s="65" t="n"/>
      <c r="P541" s="64" t="n"/>
      <c r="Q541" s="67" t="n"/>
      <c r="R541" s="67" t="n"/>
      <c r="S541" s="68" t="str">
        <f>IF(AND(ISNUMBER($Q541),ISNUMBER($R541)),$Q541-$R541,"")</f>
        <v/>
      </c>
      <c r="T541" s="65" t="n"/>
      <c r="U541" s="64" t="n"/>
      <c r="V541" s="65" t="n"/>
      <c r="W541" s="63" t="n"/>
      <c r="X541" s="65" t="n"/>
      <c r="Y541" s="63" t="n"/>
      <c r="Z541" s="64" t="n"/>
      <c r="AA541" s="64" t="n"/>
      <c r="AB541" s="65" t="n"/>
      <c r="AC541" s="69" t="str">
        <f>IF(OR($G541="",NOT(ISNUMBER($K541)),$AK541=0),"",MAX(0,ReportDate-$K541))</f>
        <v/>
      </c>
      <c r="AD541" s="69" t="str">
        <f>IF($G541="","",IF($AL541=1,ReportDate-$L541,0))</f>
        <v/>
      </c>
      <c r="AE541" s="70" t="str">
        <f>IF($G541="","",IF($M541="Completed",1,IF(ISNUMBER($N541),$N541,0)))</f>
        <v/>
      </c>
      <c r="AF541" s="70" t="str">
        <f>IF(AND(ISNUMBER($Q541),ISNUMBER($R541)),IF($R541&lt;&gt;0,$Q541/$R541,""),"")</f>
        <v/>
      </c>
      <c r="AG541" s="71" t="str">
        <f>IF($G541="","",IF($AL541=1,"OVERDUE",IF($AM541=1,"BLOCKED",IF($AN541=1,"DUE TODAY",IF($AO541=1,"DUE TOMORROW",IF($AQ541=1,"HIGH PRIORITY",IF($AR541=1,"NO RECENT UPDATE",""))))))) </f>
        <v/>
      </c>
      <c r="AH541" s="71" t="str">
        <f>IF($G541="","",IF(ISNUMBER($A541),IF(ISNUMBER($A541),YEAR($A541)&amp;"-"&amp;TEXT(MONTH($A541),"00"),""),IF(ISNUMBER($L541),IF(ISNUMBER($L541),YEAR($L541)&amp;"-"&amp;TEXT(MONTH($L541),"00"),""),"")))</f>
        <v/>
      </c>
      <c r="AI541" s="71">
        <f>IF($G541="",0,IF(AND(OR(fClient="All",$C541=fClient),OR(fCampaign="All",$D541=fCampaign),OR(fTeam="All",$B541=fTeam),OR(fChannel="All",$F541=fChannel),OR(fMonth="All",$AH541=fMonth),OR(fTStatus="All",$M541=fTStatus)),1,0))</f>
        <v>0</v>
      </c>
      <c r="AJ541" s="71">
        <f>IF($G541="",0,IF(AND(OR(fClient="All",$C541=fClient),OR(fCampaign="All",$D541=fCampaign),OR(fTeam="All",$B541=fTeam),OR(fChannel="All",$F541=fChannel)),1,0))</f>
        <v>0</v>
      </c>
      <c r="AK541" s="71">
        <f>IF($G541="",0,IF(OR($M541="Completed",$M541="Cancelled"),0,1))</f>
        <v>0</v>
      </c>
      <c r="AL541" s="71">
        <f>IF(AND($AK541=1,ISNUMBER($L541)),IF($L541&lt;ReportDate,1,0),0)</f>
        <v>0</v>
      </c>
      <c r="AM541" s="71">
        <f>IF(AND($G541&lt;&gt;"",$M541="Blocked"),1,0)</f>
        <v>0</v>
      </c>
      <c r="AN541" s="71">
        <f>IF(AND($AK541=1,ISNUMBER($L541)),IF($L541=ReportDate,1,0),0)</f>
        <v>0</v>
      </c>
      <c r="AO541" s="71">
        <f>IF(AND($AK541=1,ISNUMBER($L541)),IF($L541=ReportDate+1,1,0),0)</f>
        <v>0</v>
      </c>
      <c r="AP541" s="71">
        <f>IF(AND($AK541=1,ISNUMBER($L541)),IF(AND($L541&gt;=ReportDate,$L541&lt;=ReportDate+DueSoonDays),1,0),0)</f>
        <v>0</v>
      </c>
      <c r="AQ541" s="71">
        <f>IF(AND($AK541=1,OR($I541="Critical",$I541="High")),1,0)</f>
        <v>0</v>
      </c>
      <c r="AR541" s="71">
        <f>IF($AK541=1,IF(ISNUMBER($Y541),IF(ReportDate-$Y541&gt;StaleDays,1,0),1),0)</f>
        <v>0</v>
      </c>
      <c r="AS541" s="71">
        <f>IF(AND($G541&lt;&gt;"",ISNUMBER($Q541),ISNUMBER($R541)),IF(AND($Q541&lt;$R541,OR($M541="Completed",AND(ISNUMBER($L541),$L541&lt;ReportDate))),1,0),0)</f>
        <v>0</v>
      </c>
      <c r="AT541" s="71">
        <f>IF($AK541=1,IF(OR($L541=ReportDate,$W541=ReportDate,$K541=ReportDate,$A541=ReportDate),1,0),0)</f>
        <v>0</v>
      </c>
      <c r="AU541" s="71">
        <f>IF($AK541=1,IF(OR($L541=ReportDate+1,$W541=ReportDate+1,$K541=ReportDate+1,$A541=ReportDate+1),1,0),0)</f>
        <v>0</v>
      </c>
      <c r="AV541" s="71">
        <f>IF(AND($G541&lt;&gt;"",$M541="Completed"),IF(OR($Y541=ReportDate-1,$A541=ReportDate-1),1,0),0)</f>
        <v>0</v>
      </c>
      <c r="AW541" s="71">
        <f>IF(AND($AK541=1,$Z541="Yes"),1,0)</f>
        <v>0</v>
      </c>
      <c r="AX541" s="71">
        <f>IF(AND($AK541=1,$AA541="Yes"),1,0)</f>
        <v>0</v>
      </c>
      <c r="AY541" s="71">
        <f>IF(AND($AM541=1,OR($I541="Critical",$I541="High")),1,0)</f>
        <v>0</v>
      </c>
      <c r="AZ541" s="71">
        <f>IF(AND($AK541=1,OR($C541=TCL_Client,$C541=MECCA_Client)),1,0)</f>
        <v>0</v>
      </c>
      <c r="BA541" s="71" t="str">
        <f>IF($G541="","",IFERROR(MATCH($I541,lst_Priority,0),5))</f>
        <v/>
      </c>
      <c r="BB541" s="71" t="str">
        <f>IF(AND($AL541=1,$AJ541=1),$BA541*100000+ROW(),"")</f>
        <v/>
      </c>
      <c r="BC541" s="71" t="str">
        <f>IF(AND($AM541=1,$AJ541=1),$BA541*100000+ROW(),"")</f>
        <v/>
      </c>
      <c r="BD541" s="71" t="str">
        <f>IF(AND($AP541=1,$AJ541=1),$BA541*100000+ROW(),"")</f>
        <v/>
      </c>
      <c r="BE541" s="71" t="str">
        <f>IF(AND($AT541=1,$AJ541=1),$BA541*100000+ROW(),"")</f>
        <v/>
      </c>
      <c r="BF541" s="71" t="str">
        <f>IF(AND($AU541=1,$AJ541=1),$BA541*100000+ROW(),"")</f>
        <v/>
      </c>
      <c r="BG541" s="71" t="str">
        <f>IF(AND($AV541=1,$AJ541=1),$BA541*100000+ROW(),"")</f>
        <v/>
      </c>
      <c r="BH541" s="71" t="str">
        <f>IF(AND($AW541=1,$AJ541=1),$BA541*100000+ROW(),"")</f>
        <v/>
      </c>
      <c r="BI541" s="71" t="str">
        <f>IF(AND($AX541=1,$AJ541=1),$BA541*100000+ROW(),"")</f>
        <v/>
      </c>
      <c r="BJ541" s="71" t="str">
        <f>IF(AND($AS541=1,$AJ541=1),$BA541*100000+ROW(),"")</f>
        <v/>
      </c>
      <c r="BK541" s="71" t="str">
        <f>IF(AND($AY541=1,$AJ541=1),$BA541*100000+ROW(),"")</f>
        <v/>
      </c>
      <c r="BL541" s="71" t="str">
        <f>IF(AND($AZ541=1),$BA541*100000+ROW(),"")</f>
        <v/>
      </c>
    </row>
    <row r="542">
      <c r="A542" s="63" t="n"/>
      <c r="B542" s="64" t="n"/>
      <c r="C542" s="64" t="n"/>
      <c r="D542" s="64" t="n"/>
      <c r="E542" s="64" t="n"/>
      <c r="F542" s="64" t="n"/>
      <c r="G542" s="65" t="n"/>
      <c r="H542" s="65" t="n"/>
      <c r="I542" s="64" t="n"/>
      <c r="J542" s="64" t="n"/>
      <c r="K542" s="63" t="n"/>
      <c r="L542" s="63" t="n"/>
      <c r="M542" s="64" t="n"/>
      <c r="N542" s="66" t="n"/>
      <c r="O542" s="65" t="n"/>
      <c r="P542" s="64" t="n"/>
      <c r="Q542" s="67" t="n"/>
      <c r="R542" s="67" t="n"/>
      <c r="S542" s="68" t="str">
        <f>IF(AND(ISNUMBER($Q542),ISNUMBER($R542)),$Q542-$R542,"")</f>
        <v/>
      </c>
      <c r="T542" s="65" t="n"/>
      <c r="U542" s="64" t="n"/>
      <c r="V542" s="65" t="n"/>
      <c r="W542" s="63" t="n"/>
      <c r="X542" s="65" t="n"/>
      <c r="Y542" s="63" t="n"/>
      <c r="Z542" s="64" t="n"/>
      <c r="AA542" s="64" t="n"/>
      <c r="AB542" s="65" t="n"/>
      <c r="AC542" s="69" t="str">
        <f>IF(OR($G542="",NOT(ISNUMBER($K542)),$AK542=0),"",MAX(0,ReportDate-$K542))</f>
        <v/>
      </c>
      <c r="AD542" s="69" t="str">
        <f>IF($G542="","",IF($AL542=1,ReportDate-$L542,0))</f>
        <v/>
      </c>
      <c r="AE542" s="70" t="str">
        <f>IF($G542="","",IF($M542="Completed",1,IF(ISNUMBER($N542),$N542,0)))</f>
        <v/>
      </c>
      <c r="AF542" s="70" t="str">
        <f>IF(AND(ISNUMBER($Q542),ISNUMBER($R542)),IF($R542&lt;&gt;0,$Q542/$R542,""),"")</f>
        <v/>
      </c>
      <c r="AG542" s="71" t="str">
        <f>IF($G542="","",IF($AL542=1,"OVERDUE",IF($AM542=1,"BLOCKED",IF($AN542=1,"DUE TODAY",IF($AO542=1,"DUE TOMORROW",IF($AQ542=1,"HIGH PRIORITY",IF($AR542=1,"NO RECENT UPDATE",""))))))) </f>
        <v/>
      </c>
      <c r="AH542" s="71" t="str">
        <f>IF($G542="","",IF(ISNUMBER($A542),IF(ISNUMBER($A542),YEAR($A542)&amp;"-"&amp;TEXT(MONTH($A542),"00"),""),IF(ISNUMBER($L542),IF(ISNUMBER($L542),YEAR($L542)&amp;"-"&amp;TEXT(MONTH($L542),"00"),""),"")))</f>
        <v/>
      </c>
      <c r="AI542" s="71">
        <f>IF($G542="",0,IF(AND(OR(fClient="All",$C542=fClient),OR(fCampaign="All",$D542=fCampaign),OR(fTeam="All",$B542=fTeam),OR(fChannel="All",$F542=fChannel),OR(fMonth="All",$AH542=fMonth),OR(fTStatus="All",$M542=fTStatus)),1,0))</f>
        <v>0</v>
      </c>
      <c r="AJ542" s="71">
        <f>IF($G542="",0,IF(AND(OR(fClient="All",$C542=fClient),OR(fCampaign="All",$D542=fCampaign),OR(fTeam="All",$B542=fTeam),OR(fChannel="All",$F542=fChannel)),1,0))</f>
        <v>0</v>
      </c>
      <c r="AK542" s="71">
        <f>IF($G542="",0,IF(OR($M542="Completed",$M542="Cancelled"),0,1))</f>
        <v>0</v>
      </c>
      <c r="AL542" s="71">
        <f>IF(AND($AK542=1,ISNUMBER($L542)),IF($L542&lt;ReportDate,1,0),0)</f>
        <v>0</v>
      </c>
      <c r="AM542" s="71">
        <f>IF(AND($G542&lt;&gt;"",$M542="Blocked"),1,0)</f>
        <v>0</v>
      </c>
      <c r="AN542" s="71">
        <f>IF(AND($AK542=1,ISNUMBER($L542)),IF($L542=ReportDate,1,0),0)</f>
        <v>0</v>
      </c>
      <c r="AO542" s="71">
        <f>IF(AND($AK542=1,ISNUMBER($L542)),IF($L542=ReportDate+1,1,0),0)</f>
        <v>0</v>
      </c>
      <c r="AP542" s="71">
        <f>IF(AND($AK542=1,ISNUMBER($L542)),IF(AND($L542&gt;=ReportDate,$L542&lt;=ReportDate+DueSoonDays),1,0),0)</f>
        <v>0</v>
      </c>
      <c r="AQ542" s="71">
        <f>IF(AND($AK542=1,OR($I542="Critical",$I542="High")),1,0)</f>
        <v>0</v>
      </c>
      <c r="AR542" s="71">
        <f>IF($AK542=1,IF(ISNUMBER($Y542),IF(ReportDate-$Y542&gt;StaleDays,1,0),1),0)</f>
        <v>0</v>
      </c>
      <c r="AS542" s="71">
        <f>IF(AND($G542&lt;&gt;"",ISNUMBER($Q542),ISNUMBER($R542)),IF(AND($Q542&lt;$R542,OR($M542="Completed",AND(ISNUMBER($L542),$L542&lt;ReportDate))),1,0),0)</f>
        <v>0</v>
      </c>
      <c r="AT542" s="71">
        <f>IF($AK542=1,IF(OR($L542=ReportDate,$W542=ReportDate,$K542=ReportDate,$A542=ReportDate),1,0),0)</f>
        <v>0</v>
      </c>
      <c r="AU542" s="71">
        <f>IF($AK542=1,IF(OR($L542=ReportDate+1,$W542=ReportDate+1,$K542=ReportDate+1,$A542=ReportDate+1),1,0),0)</f>
        <v>0</v>
      </c>
      <c r="AV542" s="71">
        <f>IF(AND($G542&lt;&gt;"",$M542="Completed"),IF(OR($Y542=ReportDate-1,$A542=ReportDate-1),1,0),0)</f>
        <v>0</v>
      </c>
      <c r="AW542" s="71">
        <f>IF(AND($AK542=1,$Z542="Yes"),1,0)</f>
        <v>0</v>
      </c>
      <c r="AX542" s="71">
        <f>IF(AND($AK542=1,$AA542="Yes"),1,0)</f>
        <v>0</v>
      </c>
      <c r="AY542" s="71">
        <f>IF(AND($AM542=1,OR($I542="Critical",$I542="High")),1,0)</f>
        <v>0</v>
      </c>
      <c r="AZ542" s="71">
        <f>IF(AND($AK542=1,OR($C542=TCL_Client,$C542=MECCA_Client)),1,0)</f>
        <v>0</v>
      </c>
      <c r="BA542" s="71" t="str">
        <f>IF($G542="","",IFERROR(MATCH($I542,lst_Priority,0),5))</f>
        <v/>
      </c>
      <c r="BB542" s="71" t="str">
        <f>IF(AND($AL542=1,$AJ542=1),$BA542*100000+ROW(),"")</f>
        <v/>
      </c>
      <c r="BC542" s="71" t="str">
        <f>IF(AND($AM542=1,$AJ542=1),$BA542*100000+ROW(),"")</f>
        <v/>
      </c>
      <c r="BD542" s="71" t="str">
        <f>IF(AND($AP542=1,$AJ542=1),$BA542*100000+ROW(),"")</f>
        <v/>
      </c>
      <c r="BE542" s="71" t="str">
        <f>IF(AND($AT542=1,$AJ542=1),$BA542*100000+ROW(),"")</f>
        <v/>
      </c>
      <c r="BF542" s="71" t="str">
        <f>IF(AND($AU542=1,$AJ542=1),$BA542*100000+ROW(),"")</f>
        <v/>
      </c>
      <c r="BG542" s="71" t="str">
        <f>IF(AND($AV542=1,$AJ542=1),$BA542*100000+ROW(),"")</f>
        <v/>
      </c>
      <c r="BH542" s="71" t="str">
        <f>IF(AND($AW542=1,$AJ542=1),$BA542*100000+ROW(),"")</f>
        <v/>
      </c>
      <c r="BI542" s="71" t="str">
        <f>IF(AND($AX542=1,$AJ542=1),$BA542*100000+ROW(),"")</f>
        <v/>
      </c>
      <c r="BJ542" s="71" t="str">
        <f>IF(AND($AS542=1,$AJ542=1),$BA542*100000+ROW(),"")</f>
        <v/>
      </c>
      <c r="BK542" s="71" t="str">
        <f>IF(AND($AY542=1,$AJ542=1),$BA542*100000+ROW(),"")</f>
        <v/>
      </c>
      <c r="BL542" s="71" t="str">
        <f>IF(AND($AZ542=1),$BA542*100000+ROW(),"")</f>
        <v/>
      </c>
    </row>
    <row r="543">
      <c r="A543" s="63" t="n"/>
      <c r="B543" s="64" t="n"/>
      <c r="C543" s="64" t="n"/>
      <c r="D543" s="64" t="n"/>
      <c r="E543" s="64" t="n"/>
      <c r="F543" s="64" t="n"/>
      <c r="G543" s="65" t="n"/>
      <c r="H543" s="65" t="n"/>
      <c r="I543" s="64" t="n"/>
      <c r="J543" s="64" t="n"/>
      <c r="K543" s="63" t="n"/>
      <c r="L543" s="63" t="n"/>
      <c r="M543" s="64" t="n"/>
      <c r="N543" s="66" t="n"/>
      <c r="O543" s="65" t="n"/>
      <c r="P543" s="64" t="n"/>
      <c r="Q543" s="67" t="n"/>
      <c r="R543" s="67" t="n"/>
      <c r="S543" s="68" t="str">
        <f>IF(AND(ISNUMBER($Q543),ISNUMBER($R543)),$Q543-$R543,"")</f>
        <v/>
      </c>
      <c r="T543" s="65" t="n"/>
      <c r="U543" s="64" t="n"/>
      <c r="V543" s="65" t="n"/>
      <c r="W543" s="63" t="n"/>
      <c r="X543" s="65" t="n"/>
      <c r="Y543" s="63" t="n"/>
      <c r="Z543" s="64" t="n"/>
      <c r="AA543" s="64" t="n"/>
      <c r="AB543" s="65" t="n"/>
      <c r="AC543" s="69" t="str">
        <f>IF(OR($G543="",NOT(ISNUMBER($K543)),$AK543=0),"",MAX(0,ReportDate-$K543))</f>
        <v/>
      </c>
      <c r="AD543" s="69" t="str">
        <f>IF($G543="","",IF($AL543=1,ReportDate-$L543,0))</f>
        <v/>
      </c>
      <c r="AE543" s="70" t="str">
        <f>IF($G543="","",IF($M543="Completed",1,IF(ISNUMBER($N543),$N543,0)))</f>
        <v/>
      </c>
      <c r="AF543" s="70" t="str">
        <f>IF(AND(ISNUMBER($Q543),ISNUMBER($R543)),IF($R543&lt;&gt;0,$Q543/$R543,""),"")</f>
        <v/>
      </c>
      <c r="AG543" s="71" t="str">
        <f>IF($G543="","",IF($AL543=1,"OVERDUE",IF($AM543=1,"BLOCKED",IF($AN543=1,"DUE TODAY",IF($AO543=1,"DUE TOMORROW",IF($AQ543=1,"HIGH PRIORITY",IF($AR543=1,"NO RECENT UPDATE",""))))))) </f>
        <v/>
      </c>
      <c r="AH543" s="71" t="str">
        <f>IF($G543="","",IF(ISNUMBER($A543),IF(ISNUMBER($A543),YEAR($A543)&amp;"-"&amp;TEXT(MONTH($A543),"00"),""),IF(ISNUMBER($L543),IF(ISNUMBER($L543),YEAR($L543)&amp;"-"&amp;TEXT(MONTH($L543),"00"),""),"")))</f>
        <v/>
      </c>
      <c r="AI543" s="71">
        <f>IF($G543="",0,IF(AND(OR(fClient="All",$C543=fClient),OR(fCampaign="All",$D543=fCampaign),OR(fTeam="All",$B543=fTeam),OR(fChannel="All",$F543=fChannel),OR(fMonth="All",$AH543=fMonth),OR(fTStatus="All",$M543=fTStatus)),1,0))</f>
        <v>0</v>
      </c>
      <c r="AJ543" s="71">
        <f>IF($G543="",0,IF(AND(OR(fClient="All",$C543=fClient),OR(fCampaign="All",$D543=fCampaign),OR(fTeam="All",$B543=fTeam),OR(fChannel="All",$F543=fChannel)),1,0))</f>
        <v>0</v>
      </c>
      <c r="AK543" s="71">
        <f>IF($G543="",0,IF(OR($M543="Completed",$M543="Cancelled"),0,1))</f>
        <v>0</v>
      </c>
      <c r="AL543" s="71">
        <f>IF(AND($AK543=1,ISNUMBER($L543)),IF($L543&lt;ReportDate,1,0),0)</f>
        <v>0</v>
      </c>
      <c r="AM543" s="71">
        <f>IF(AND($G543&lt;&gt;"",$M543="Blocked"),1,0)</f>
        <v>0</v>
      </c>
      <c r="AN543" s="71">
        <f>IF(AND($AK543=1,ISNUMBER($L543)),IF($L543=ReportDate,1,0),0)</f>
        <v>0</v>
      </c>
      <c r="AO543" s="71">
        <f>IF(AND($AK543=1,ISNUMBER($L543)),IF($L543=ReportDate+1,1,0),0)</f>
        <v>0</v>
      </c>
      <c r="AP543" s="71">
        <f>IF(AND($AK543=1,ISNUMBER($L543)),IF(AND($L543&gt;=ReportDate,$L543&lt;=ReportDate+DueSoonDays),1,0),0)</f>
        <v>0</v>
      </c>
      <c r="AQ543" s="71">
        <f>IF(AND($AK543=1,OR($I543="Critical",$I543="High")),1,0)</f>
        <v>0</v>
      </c>
      <c r="AR543" s="71">
        <f>IF($AK543=1,IF(ISNUMBER($Y543),IF(ReportDate-$Y543&gt;StaleDays,1,0),1),0)</f>
        <v>0</v>
      </c>
      <c r="AS543" s="71">
        <f>IF(AND($G543&lt;&gt;"",ISNUMBER($Q543),ISNUMBER($R543)),IF(AND($Q543&lt;$R543,OR($M543="Completed",AND(ISNUMBER($L543),$L543&lt;ReportDate))),1,0),0)</f>
        <v>0</v>
      </c>
      <c r="AT543" s="71">
        <f>IF($AK543=1,IF(OR($L543=ReportDate,$W543=ReportDate,$K543=ReportDate,$A543=ReportDate),1,0),0)</f>
        <v>0</v>
      </c>
      <c r="AU543" s="71">
        <f>IF($AK543=1,IF(OR($L543=ReportDate+1,$W543=ReportDate+1,$K543=ReportDate+1,$A543=ReportDate+1),1,0),0)</f>
        <v>0</v>
      </c>
      <c r="AV543" s="71">
        <f>IF(AND($G543&lt;&gt;"",$M543="Completed"),IF(OR($Y543=ReportDate-1,$A543=ReportDate-1),1,0),0)</f>
        <v>0</v>
      </c>
      <c r="AW543" s="71">
        <f>IF(AND($AK543=1,$Z543="Yes"),1,0)</f>
        <v>0</v>
      </c>
      <c r="AX543" s="71">
        <f>IF(AND($AK543=1,$AA543="Yes"),1,0)</f>
        <v>0</v>
      </c>
      <c r="AY543" s="71">
        <f>IF(AND($AM543=1,OR($I543="Critical",$I543="High")),1,0)</f>
        <v>0</v>
      </c>
      <c r="AZ543" s="71">
        <f>IF(AND($AK543=1,OR($C543=TCL_Client,$C543=MECCA_Client)),1,0)</f>
        <v>0</v>
      </c>
      <c r="BA543" s="71" t="str">
        <f>IF($G543="","",IFERROR(MATCH($I543,lst_Priority,0),5))</f>
        <v/>
      </c>
      <c r="BB543" s="71" t="str">
        <f>IF(AND($AL543=1,$AJ543=1),$BA543*100000+ROW(),"")</f>
        <v/>
      </c>
      <c r="BC543" s="71" t="str">
        <f>IF(AND($AM543=1,$AJ543=1),$BA543*100000+ROW(),"")</f>
        <v/>
      </c>
      <c r="BD543" s="71" t="str">
        <f>IF(AND($AP543=1,$AJ543=1),$BA543*100000+ROW(),"")</f>
        <v/>
      </c>
      <c r="BE543" s="71" t="str">
        <f>IF(AND($AT543=1,$AJ543=1),$BA543*100000+ROW(),"")</f>
        <v/>
      </c>
      <c r="BF543" s="71" t="str">
        <f>IF(AND($AU543=1,$AJ543=1),$BA543*100000+ROW(),"")</f>
        <v/>
      </c>
      <c r="BG543" s="71" t="str">
        <f>IF(AND($AV543=1,$AJ543=1),$BA543*100000+ROW(),"")</f>
        <v/>
      </c>
      <c r="BH543" s="71" t="str">
        <f>IF(AND($AW543=1,$AJ543=1),$BA543*100000+ROW(),"")</f>
        <v/>
      </c>
      <c r="BI543" s="71" t="str">
        <f>IF(AND($AX543=1,$AJ543=1),$BA543*100000+ROW(),"")</f>
        <v/>
      </c>
      <c r="BJ543" s="71" t="str">
        <f>IF(AND($AS543=1,$AJ543=1),$BA543*100000+ROW(),"")</f>
        <v/>
      </c>
      <c r="BK543" s="71" t="str">
        <f>IF(AND($AY543=1,$AJ543=1),$BA543*100000+ROW(),"")</f>
        <v/>
      </c>
      <c r="BL543" s="71" t="str">
        <f>IF(AND($AZ543=1),$BA543*100000+ROW(),"")</f>
        <v/>
      </c>
    </row>
    <row r="544">
      <c r="A544" s="63" t="n"/>
      <c r="B544" s="64" t="n"/>
      <c r="C544" s="64" t="n"/>
      <c r="D544" s="64" t="n"/>
      <c r="E544" s="64" t="n"/>
      <c r="F544" s="64" t="n"/>
      <c r="G544" s="65" t="n"/>
      <c r="H544" s="65" t="n"/>
      <c r="I544" s="64" t="n"/>
      <c r="J544" s="64" t="n"/>
      <c r="K544" s="63" t="n"/>
      <c r="L544" s="63" t="n"/>
      <c r="M544" s="64" t="n"/>
      <c r="N544" s="66" t="n"/>
      <c r="O544" s="65" t="n"/>
      <c r="P544" s="64" t="n"/>
      <c r="Q544" s="67" t="n"/>
      <c r="R544" s="67" t="n"/>
      <c r="S544" s="68" t="str">
        <f>IF(AND(ISNUMBER($Q544),ISNUMBER($R544)),$Q544-$R544,"")</f>
        <v/>
      </c>
      <c r="T544" s="65" t="n"/>
      <c r="U544" s="64" t="n"/>
      <c r="V544" s="65" t="n"/>
      <c r="W544" s="63" t="n"/>
      <c r="X544" s="65" t="n"/>
      <c r="Y544" s="63" t="n"/>
      <c r="Z544" s="64" t="n"/>
      <c r="AA544" s="64" t="n"/>
      <c r="AB544" s="65" t="n"/>
      <c r="AC544" s="69" t="str">
        <f>IF(OR($G544="",NOT(ISNUMBER($K544)),$AK544=0),"",MAX(0,ReportDate-$K544))</f>
        <v/>
      </c>
      <c r="AD544" s="69" t="str">
        <f>IF($G544="","",IF($AL544=1,ReportDate-$L544,0))</f>
        <v/>
      </c>
      <c r="AE544" s="70" t="str">
        <f>IF($G544="","",IF($M544="Completed",1,IF(ISNUMBER($N544),$N544,0)))</f>
        <v/>
      </c>
      <c r="AF544" s="70" t="str">
        <f>IF(AND(ISNUMBER($Q544),ISNUMBER($R544)),IF($R544&lt;&gt;0,$Q544/$R544,""),"")</f>
        <v/>
      </c>
      <c r="AG544" s="71" t="str">
        <f>IF($G544="","",IF($AL544=1,"OVERDUE",IF($AM544=1,"BLOCKED",IF($AN544=1,"DUE TODAY",IF($AO544=1,"DUE TOMORROW",IF($AQ544=1,"HIGH PRIORITY",IF($AR544=1,"NO RECENT UPDATE",""))))))) </f>
        <v/>
      </c>
      <c r="AH544" s="71" t="str">
        <f>IF($G544="","",IF(ISNUMBER($A544),IF(ISNUMBER($A544),YEAR($A544)&amp;"-"&amp;TEXT(MONTH($A544),"00"),""),IF(ISNUMBER($L544),IF(ISNUMBER($L544),YEAR($L544)&amp;"-"&amp;TEXT(MONTH($L544),"00"),""),"")))</f>
        <v/>
      </c>
      <c r="AI544" s="71">
        <f>IF($G544="",0,IF(AND(OR(fClient="All",$C544=fClient),OR(fCampaign="All",$D544=fCampaign),OR(fTeam="All",$B544=fTeam),OR(fChannel="All",$F544=fChannel),OR(fMonth="All",$AH544=fMonth),OR(fTStatus="All",$M544=fTStatus)),1,0))</f>
        <v>0</v>
      </c>
      <c r="AJ544" s="71">
        <f>IF($G544="",0,IF(AND(OR(fClient="All",$C544=fClient),OR(fCampaign="All",$D544=fCampaign),OR(fTeam="All",$B544=fTeam),OR(fChannel="All",$F544=fChannel)),1,0))</f>
        <v>0</v>
      </c>
      <c r="AK544" s="71">
        <f>IF($G544="",0,IF(OR($M544="Completed",$M544="Cancelled"),0,1))</f>
        <v>0</v>
      </c>
      <c r="AL544" s="71">
        <f>IF(AND($AK544=1,ISNUMBER($L544)),IF($L544&lt;ReportDate,1,0),0)</f>
        <v>0</v>
      </c>
      <c r="AM544" s="71">
        <f>IF(AND($G544&lt;&gt;"",$M544="Blocked"),1,0)</f>
        <v>0</v>
      </c>
      <c r="AN544" s="71">
        <f>IF(AND($AK544=1,ISNUMBER($L544)),IF($L544=ReportDate,1,0),0)</f>
        <v>0</v>
      </c>
      <c r="AO544" s="71">
        <f>IF(AND($AK544=1,ISNUMBER($L544)),IF($L544=ReportDate+1,1,0),0)</f>
        <v>0</v>
      </c>
      <c r="AP544" s="71">
        <f>IF(AND($AK544=1,ISNUMBER($L544)),IF(AND($L544&gt;=ReportDate,$L544&lt;=ReportDate+DueSoonDays),1,0),0)</f>
        <v>0</v>
      </c>
      <c r="AQ544" s="71">
        <f>IF(AND($AK544=1,OR($I544="Critical",$I544="High")),1,0)</f>
        <v>0</v>
      </c>
      <c r="AR544" s="71">
        <f>IF($AK544=1,IF(ISNUMBER($Y544),IF(ReportDate-$Y544&gt;StaleDays,1,0),1),0)</f>
        <v>0</v>
      </c>
      <c r="AS544" s="71">
        <f>IF(AND($G544&lt;&gt;"",ISNUMBER($Q544),ISNUMBER($R544)),IF(AND($Q544&lt;$R544,OR($M544="Completed",AND(ISNUMBER($L544),$L544&lt;ReportDate))),1,0),0)</f>
        <v>0</v>
      </c>
      <c r="AT544" s="71">
        <f>IF($AK544=1,IF(OR($L544=ReportDate,$W544=ReportDate,$K544=ReportDate,$A544=ReportDate),1,0),0)</f>
        <v>0</v>
      </c>
      <c r="AU544" s="71">
        <f>IF($AK544=1,IF(OR($L544=ReportDate+1,$W544=ReportDate+1,$K544=ReportDate+1,$A544=ReportDate+1),1,0),0)</f>
        <v>0</v>
      </c>
      <c r="AV544" s="71">
        <f>IF(AND($G544&lt;&gt;"",$M544="Completed"),IF(OR($Y544=ReportDate-1,$A544=ReportDate-1),1,0),0)</f>
        <v>0</v>
      </c>
      <c r="AW544" s="71">
        <f>IF(AND($AK544=1,$Z544="Yes"),1,0)</f>
        <v>0</v>
      </c>
      <c r="AX544" s="71">
        <f>IF(AND($AK544=1,$AA544="Yes"),1,0)</f>
        <v>0</v>
      </c>
      <c r="AY544" s="71">
        <f>IF(AND($AM544=1,OR($I544="Critical",$I544="High")),1,0)</f>
        <v>0</v>
      </c>
      <c r="AZ544" s="71">
        <f>IF(AND($AK544=1,OR($C544=TCL_Client,$C544=MECCA_Client)),1,0)</f>
        <v>0</v>
      </c>
      <c r="BA544" s="71" t="str">
        <f>IF($G544="","",IFERROR(MATCH($I544,lst_Priority,0),5))</f>
        <v/>
      </c>
      <c r="BB544" s="71" t="str">
        <f>IF(AND($AL544=1,$AJ544=1),$BA544*100000+ROW(),"")</f>
        <v/>
      </c>
      <c r="BC544" s="71" t="str">
        <f>IF(AND($AM544=1,$AJ544=1),$BA544*100000+ROW(),"")</f>
        <v/>
      </c>
      <c r="BD544" s="71" t="str">
        <f>IF(AND($AP544=1,$AJ544=1),$BA544*100000+ROW(),"")</f>
        <v/>
      </c>
      <c r="BE544" s="71" t="str">
        <f>IF(AND($AT544=1,$AJ544=1),$BA544*100000+ROW(),"")</f>
        <v/>
      </c>
      <c r="BF544" s="71" t="str">
        <f>IF(AND($AU544=1,$AJ544=1),$BA544*100000+ROW(),"")</f>
        <v/>
      </c>
      <c r="BG544" s="71" t="str">
        <f>IF(AND($AV544=1,$AJ544=1),$BA544*100000+ROW(),"")</f>
        <v/>
      </c>
      <c r="BH544" s="71" t="str">
        <f>IF(AND($AW544=1,$AJ544=1),$BA544*100000+ROW(),"")</f>
        <v/>
      </c>
      <c r="BI544" s="71" t="str">
        <f>IF(AND($AX544=1,$AJ544=1),$BA544*100000+ROW(),"")</f>
        <v/>
      </c>
      <c r="BJ544" s="71" t="str">
        <f>IF(AND($AS544=1,$AJ544=1),$BA544*100000+ROW(),"")</f>
        <v/>
      </c>
      <c r="BK544" s="71" t="str">
        <f>IF(AND($AY544=1,$AJ544=1),$BA544*100000+ROW(),"")</f>
        <v/>
      </c>
      <c r="BL544" s="71" t="str">
        <f>IF(AND($AZ544=1),$BA544*100000+ROW(),"")</f>
        <v/>
      </c>
    </row>
    <row r="545">
      <c r="A545" s="63" t="n"/>
      <c r="B545" s="64" t="n"/>
      <c r="C545" s="64" t="n"/>
      <c r="D545" s="64" t="n"/>
      <c r="E545" s="64" t="n"/>
      <c r="F545" s="64" t="n"/>
      <c r="G545" s="65" t="n"/>
      <c r="H545" s="65" t="n"/>
      <c r="I545" s="64" t="n"/>
      <c r="J545" s="64" t="n"/>
      <c r="K545" s="63" t="n"/>
      <c r="L545" s="63" t="n"/>
      <c r="M545" s="64" t="n"/>
      <c r="N545" s="66" t="n"/>
      <c r="O545" s="65" t="n"/>
      <c r="P545" s="64" t="n"/>
      <c r="Q545" s="67" t="n"/>
      <c r="R545" s="67" t="n"/>
      <c r="S545" s="68" t="str">
        <f>IF(AND(ISNUMBER($Q545),ISNUMBER($R545)),$Q545-$R545,"")</f>
        <v/>
      </c>
      <c r="T545" s="65" t="n"/>
      <c r="U545" s="64" t="n"/>
      <c r="V545" s="65" t="n"/>
      <c r="W545" s="63" t="n"/>
      <c r="X545" s="65" t="n"/>
      <c r="Y545" s="63" t="n"/>
      <c r="Z545" s="64" t="n"/>
      <c r="AA545" s="64" t="n"/>
      <c r="AB545" s="65" t="n"/>
      <c r="AC545" s="69" t="str">
        <f>IF(OR($G545="",NOT(ISNUMBER($K545)),$AK545=0),"",MAX(0,ReportDate-$K545))</f>
        <v/>
      </c>
      <c r="AD545" s="69" t="str">
        <f>IF($G545="","",IF($AL545=1,ReportDate-$L545,0))</f>
        <v/>
      </c>
      <c r="AE545" s="70" t="str">
        <f>IF($G545="","",IF($M545="Completed",1,IF(ISNUMBER($N545),$N545,0)))</f>
        <v/>
      </c>
      <c r="AF545" s="70" t="str">
        <f>IF(AND(ISNUMBER($Q545),ISNUMBER($R545)),IF($R545&lt;&gt;0,$Q545/$R545,""),"")</f>
        <v/>
      </c>
      <c r="AG545" s="71" t="str">
        <f>IF($G545="","",IF($AL545=1,"OVERDUE",IF($AM545=1,"BLOCKED",IF($AN545=1,"DUE TODAY",IF($AO545=1,"DUE TOMORROW",IF($AQ545=1,"HIGH PRIORITY",IF($AR545=1,"NO RECENT UPDATE",""))))))) </f>
        <v/>
      </c>
      <c r="AH545" s="71" t="str">
        <f>IF($G545="","",IF(ISNUMBER($A545),IF(ISNUMBER($A545),YEAR($A545)&amp;"-"&amp;TEXT(MONTH($A545),"00"),""),IF(ISNUMBER($L545),IF(ISNUMBER($L545),YEAR($L545)&amp;"-"&amp;TEXT(MONTH($L545),"00"),""),"")))</f>
        <v/>
      </c>
      <c r="AI545" s="71">
        <f>IF($G545="",0,IF(AND(OR(fClient="All",$C545=fClient),OR(fCampaign="All",$D545=fCampaign),OR(fTeam="All",$B545=fTeam),OR(fChannel="All",$F545=fChannel),OR(fMonth="All",$AH545=fMonth),OR(fTStatus="All",$M545=fTStatus)),1,0))</f>
        <v>0</v>
      </c>
      <c r="AJ545" s="71">
        <f>IF($G545="",0,IF(AND(OR(fClient="All",$C545=fClient),OR(fCampaign="All",$D545=fCampaign),OR(fTeam="All",$B545=fTeam),OR(fChannel="All",$F545=fChannel)),1,0))</f>
        <v>0</v>
      </c>
      <c r="AK545" s="71">
        <f>IF($G545="",0,IF(OR($M545="Completed",$M545="Cancelled"),0,1))</f>
        <v>0</v>
      </c>
      <c r="AL545" s="71">
        <f>IF(AND($AK545=1,ISNUMBER($L545)),IF($L545&lt;ReportDate,1,0),0)</f>
        <v>0</v>
      </c>
      <c r="AM545" s="71">
        <f>IF(AND($G545&lt;&gt;"",$M545="Blocked"),1,0)</f>
        <v>0</v>
      </c>
      <c r="AN545" s="71">
        <f>IF(AND($AK545=1,ISNUMBER($L545)),IF($L545=ReportDate,1,0),0)</f>
        <v>0</v>
      </c>
      <c r="AO545" s="71">
        <f>IF(AND($AK545=1,ISNUMBER($L545)),IF($L545=ReportDate+1,1,0),0)</f>
        <v>0</v>
      </c>
      <c r="AP545" s="71">
        <f>IF(AND($AK545=1,ISNUMBER($L545)),IF(AND($L545&gt;=ReportDate,$L545&lt;=ReportDate+DueSoonDays),1,0),0)</f>
        <v>0</v>
      </c>
      <c r="AQ545" s="71">
        <f>IF(AND($AK545=1,OR($I545="Critical",$I545="High")),1,0)</f>
        <v>0</v>
      </c>
      <c r="AR545" s="71">
        <f>IF($AK545=1,IF(ISNUMBER($Y545),IF(ReportDate-$Y545&gt;StaleDays,1,0),1),0)</f>
        <v>0</v>
      </c>
      <c r="AS545" s="71">
        <f>IF(AND($G545&lt;&gt;"",ISNUMBER($Q545),ISNUMBER($R545)),IF(AND($Q545&lt;$R545,OR($M545="Completed",AND(ISNUMBER($L545),$L545&lt;ReportDate))),1,0),0)</f>
        <v>0</v>
      </c>
      <c r="AT545" s="71">
        <f>IF($AK545=1,IF(OR($L545=ReportDate,$W545=ReportDate,$K545=ReportDate,$A545=ReportDate),1,0),0)</f>
        <v>0</v>
      </c>
      <c r="AU545" s="71">
        <f>IF($AK545=1,IF(OR($L545=ReportDate+1,$W545=ReportDate+1,$K545=ReportDate+1,$A545=ReportDate+1),1,0),0)</f>
        <v>0</v>
      </c>
      <c r="AV545" s="71">
        <f>IF(AND($G545&lt;&gt;"",$M545="Completed"),IF(OR($Y545=ReportDate-1,$A545=ReportDate-1),1,0),0)</f>
        <v>0</v>
      </c>
      <c r="AW545" s="71">
        <f>IF(AND($AK545=1,$Z545="Yes"),1,0)</f>
        <v>0</v>
      </c>
      <c r="AX545" s="71">
        <f>IF(AND($AK545=1,$AA545="Yes"),1,0)</f>
        <v>0</v>
      </c>
      <c r="AY545" s="71">
        <f>IF(AND($AM545=1,OR($I545="Critical",$I545="High")),1,0)</f>
        <v>0</v>
      </c>
      <c r="AZ545" s="71">
        <f>IF(AND($AK545=1,OR($C545=TCL_Client,$C545=MECCA_Client)),1,0)</f>
        <v>0</v>
      </c>
      <c r="BA545" s="71" t="str">
        <f>IF($G545="","",IFERROR(MATCH($I545,lst_Priority,0),5))</f>
        <v/>
      </c>
      <c r="BB545" s="71" t="str">
        <f>IF(AND($AL545=1,$AJ545=1),$BA545*100000+ROW(),"")</f>
        <v/>
      </c>
      <c r="BC545" s="71" t="str">
        <f>IF(AND($AM545=1,$AJ545=1),$BA545*100000+ROW(),"")</f>
        <v/>
      </c>
      <c r="BD545" s="71" t="str">
        <f>IF(AND($AP545=1,$AJ545=1),$BA545*100000+ROW(),"")</f>
        <v/>
      </c>
      <c r="BE545" s="71" t="str">
        <f>IF(AND($AT545=1,$AJ545=1),$BA545*100000+ROW(),"")</f>
        <v/>
      </c>
      <c r="BF545" s="71" t="str">
        <f>IF(AND($AU545=1,$AJ545=1),$BA545*100000+ROW(),"")</f>
        <v/>
      </c>
      <c r="BG545" s="71" t="str">
        <f>IF(AND($AV545=1,$AJ545=1),$BA545*100000+ROW(),"")</f>
        <v/>
      </c>
      <c r="BH545" s="71" t="str">
        <f>IF(AND($AW545=1,$AJ545=1),$BA545*100000+ROW(),"")</f>
        <v/>
      </c>
      <c r="BI545" s="71" t="str">
        <f>IF(AND($AX545=1,$AJ545=1),$BA545*100000+ROW(),"")</f>
        <v/>
      </c>
      <c r="BJ545" s="71" t="str">
        <f>IF(AND($AS545=1,$AJ545=1),$BA545*100000+ROW(),"")</f>
        <v/>
      </c>
      <c r="BK545" s="71" t="str">
        <f>IF(AND($AY545=1,$AJ545=1),$BA545*100000+ROW(),"")</f>
        <v/>
      </c>
      <c r="BL545" s="71" t="str">
        <f>IF(AND($AZ545=1),$BA545*100000+ROW(),"")</f>
        <v/>
      </c>
    </row>
    <row r="546">
      <c r="A546" s="63" t="n"/>
      <c r="B546" s="64" t="n"/>
      <c r="C546" s="64" t="n"/>
      <c r="D546" s="64" t="n"/>
      <c r="E546" s="64" t="n"/>
      <c r="F546" s="64" t="n"/>
      <c r="G546" s="65" t="n"/>
      <c r="H546" s="65" t="n"/>
      <c r="I546" s="64" t="n"/>
      <c r="J546" s="64" t="n"/>
      <c r="K546" s="63" t="n"/>
      <c r="L546" s="63" t="n"/>
      <c r="M546" s="64" t="n"/>
      <c r="N546" s="66" t="n"/>
      <c r="O546" s="65" t="n"/>
      <c r="P546" s="64" t="n"/>
      <c r="Q546" s="67" t="n"/>
      <c r="R546" s="67" t="n"/>
      <c r="S546" s="68" t="str">
        <f>IF(AND(ISNUMBER($Q546),ISNUMBER($R546)),$Q546-$R546,"")</f>
        <v/>
      </c>
      <c r="T546" s="65" t="n"/>
      <c r="U546" s="64" t="n"/>
      <c r="V546" s="65" t="n"/>
      <c r="W546" s="63" t="n"/>
      <c r="X546" s="65" t="n"/>
      <c r="Y546" s="63" t="n"/>
      <c r="Z546" s="64" t="n"/>
      <c r="AA546" s="64" t="n"/>
      <c r="AB546" s="65" t="n"/>
      <c r="AC546" s="69" t="str">
        <f>IF(OR($G546="",NOT(ISNUMBER($K546)),$AK546=0),"",MAX(0,ReportDate-$K546))</f>
        <v/>
      </c>
      <c r="AD546" s="69" t="str">
        <f>IF($G546="","",IF($AL546=1,ReportDate-$L546,0))</f>
        <v/>
      </c>
      <c r="AE546" s="70" t="str">
        <f>IF($G546="","",IF($M546="Completed",1,IF(ISNUMBER($N546),$N546,0)))</f>
        <v/>
      </c>
      <c r="AF546" s="70" t="str">
        <f>IF(AND(ISNUMBER($Q546),ISNUMBER($R546)),IF($R546&lt;&gt;0,$Q546/$R546,""),"")</f>
        <v/>
      </c>
      <c r="AG546" s="71" t="str">
        <f>IF($G546="","",IF($AL546=1,"OVERDUE",IF($AM546=1,"BLOCKED",IF($AN546=1,"DUE TODAY",IF($AO546=1,"DUE TOMORROW",IF($AQ546=1,"HIGH PRIORITY",IF($AR546=1,"NO RECENT UPDATE",""))))))) </f>
        <v/>
      </c>
      <c r="AH546" s="71" t="str">
        <f>IF($G546="","",IF(ISNUMBER($A546),IF(ISNUMBER($A546),YEAR($A546)&amp;"-"&amp;TEXT(MONTH($A546),"00"),""),IF(ISNUMBER($L546),IF(ISNUMBER($L546),YEAR($L546)&amp;"-"&amp;TEXT(MONTH($L546),"00"),""),"")))</f>
        <v/>
      </c>
      <c r="AI546" s="71">
        <f>IF($G546="",0,IF(AND(OR(fClient="All",$C546=fClient),OR(fCampaign="All",$D546=fCampaign),OR(fTeam="All",$B546=fTeam),OR(fChannel="All",$F546=fChannel),OR(fMonth="All",$AH546=fMonth),OR(fTStatus="All",$M546=fTStatus)),1,0))</f>
        <v>0</v>
      </c>
      <c r="AJ546" s="71">
        <f>IF($G546="",0,IF(AND(OR(fClient="All",$C546=fClient),OR(fCampaign="All",$D546=fCampaign),OR(fTeam="All",$B546=fTeam),OR(fChannel="All",$F546=fChannel)),1,0))</f>
        <v>0</v>
      </c>
      <c r="AK546" s="71">
        <f>IF($G546="",0,IF(OR($M546="Completed",$M546="Cancelled"),0,1))</f>
        <v>0</v>
      </c>
      <c r="AL546" s="71">
        <f>IF(AND($AK546=1,ISNUMBER($L546)),IF($L546&lt;ReportDate,1,0),0)</f>
        <v>0</v>
      </c>
      <c r="AM546" s="71">
        <f>IF(AND($G546&lt;&gt;"",$M546="Blocked"),1,0)</f>
        <v>0</v>
      </c>
      <c r="AN546" s="71">
        <f>IF(AND($AK546=1,ISNUMBER($L546)),IF($L546=ReportDate,1,0),0)</f>
        <v>0</v>
      </c>
      <c r="AO546" s="71">
        <f>IF(AND($AK546=1,ISNUMBER($L546)),IF($L546=ReportDate+1,1,0),0)</f>
        <v>0</v>
      </c>
      <c r="AP546" s="71">
        <f>IF(AND($AK546=1,ISNUMBER($L546)),IF(AND($L546&gt;=ReportDate,$L546&lt;=ReportDate+DueSoonDays),1,0),0)</f>
        <v>0</v>
      </c>
      <c r="AQ546" s="71">
        <f>IF(AND($AK546=1,OR($I546="Critical",$I546="High")),1,0)</f>
        <v>0</v>
      </c>
      <c r="AR546" s="71">
        <f>IF($AK546=1,IF(ISNUMBER($Y546),IF(ReportDate-$Y546&gt;StaleDays,1,0),1),0)</f>
        <v>0</v>
      </c>
      <c r="AS546" s="71">
        <f>IF(AND($G546&lt;&gt;"",ISNUMBER($Q546),ISNUMBER($R546)),IF(AND($Q546&lt;$R546,OR($M546="Completed",AND(ISNUMBER($L546),$L546&lt;ReportDate))),1,0),0)</f>
        <v>0</v>
      </c>
      <c r="AT546" s="71">
        <f>IF($AK546=1,IF(OR($L546=ReportDate,$W546=ReportDate,$K546=ReportDate,$A546=ReportDate),1,0),0)</f>
        <v>0</v>
      </c>
      <c r="AU546" s="71">
        <f>IF($AK546=1,IF(OR($L546=ReportDate+1,$W546=ReportDate+1,$K546=ReportDate+1,$A546=ReportDate+1),1,0),0)</f>
        <v>0</v>
      </c>
      <c r="AV546" s="71">
        <f>IF(AND($G546&lt;&gt;"",$M546="Completed"),IF(OR($Y546=ReportDate-1,$A546=ReportDate-1),1,0),0)</f>
        <v>0</v>
      </c>
      <c r="AW546" s="71">
        <f>IF(AND($AK546=1,$Z546="Yes"),1,0)</f>
        <v>0</v>
      </c>
      <c r="AX546" s="71">
        <f>IF(AND($AK546=1,$AA546="Yes"),1,0)</f>
        <v>0</v>
      </c>
      <c r="AY546" s="71">
        <f>IF(AND($AM546=1,OR($I546="Critical",$I546="High")),1,0)</f>
        <v>0</v>
      </c>
      <c r="AZ546" s="71">
        <f>IF(AND($AK546=1,OR($C546=TCL_Client,$C546=MECCA_Client)),1,0)</f>
        <v>0</v>
      </c>
      <c r="BA546" s="71" t="str">
        <f>IF($G546="","",IFERROR(MATCH($I546,lst_Priority,0),5))</f>
        <v/>
      </c>
      <c r="BB546" s="71" t="str">
        <f>IF(AND($AL546=1,$AJ546=1),$BA546*100000+ROW(),"")</f>
        <v/>
      </c>
      <c r="BC546" s="71" t="str">
        <f>IF(AND($AM546=1,$AJ546=1),$BA546*100000+ROW(),"")</f>
        <v/>
      </c>
      <c r="BD546" s="71" t="str">
        <f>IF(AND($AP546=1,$AJ546=1),$BA546*100000+ROW(),"")</f>
        <v/>
      </c>
      <c r="BE546" s="71" t="str">
        <f>IF(AND($AT546=1,$AJ546=1),$BA546*100000+ROW(),"")</f>
        <v/>
      </c>
      <c r="BF546" s="71" t="str">
        <f>IF(AND($AU546=1,$AJ546=1),$BA546*100000+ROW(),"")</f>
        <v/>
      </c>
      <c r="BG546" s="71" t="str">
        <f>IF(AND($AV546=1,$AJ546=1),$BA546*100000+ROW(),"")</f>
        <v/>
      </c>
      <c r="BH546" s="71" t="str">
        <f>IF(AND($AW546=1,$AJ546=1),$BA546*100000+ROW(),"")</f>
        <v/>
      </c>
      <c r="BI546" s="71" t="str">
        <f>IF(AND($AX546=1,$AJ546=1),$BA546*100000+ROW(),"")</f>
        <v/>
      </c>
      <c r="BJ546" s="71" t="str">
        <f>IF(AND($AS546=1,$AJ546=1),$BA546*100000+ROW(),"")</f>
        <v/>
      </c>
      <c r="BK546" s="71" t="str">
        <f>IF(AND($AY546=1,$AJ546=1),$BA546*100000+ROW(),"")</f>
        <v/>
      </c>
      <c r="BL546" s="71" t="str">
        <f>IF(AND($AZ546=1),$BA546*100000+ROW(),"")</f>
        <v/>
      </c>
    </row>
    <row r="547">
      <c r="A547" s="63" t="n"/>
      <c r="B547" s="64" t="n"/>
      <c r="C547" s="64" t="n"/>
      <c r="D547" s="64" t="n"/>
      <c r="E547" s="64" t="n"/>
      <c r="F547" s="64" t="n"/>
      <c r="G547" s="65" t="n"/>
      <c r="H547" s="65" t="n"/>
      <c r="I547" s="64" t="n"/>
      <c r="J547" s="64" t="n"/>
      <c r="K547" s="63" t="n"/>
      <c r="L547" s="63" t="n"/>
      <c r="M547" s="64" t="n"/>
      <c r="N547" s="66" t="n"/>
      <c r="O547" s="65" t="n"/>
      <c r="P547" s="64" t="n"/>
      <c r="Q547" s="67" t="n"/>
      <c r="R547" s="67" t="n"/>
      <c r="S547" s="68" t="str">
        <f>IF(AND(ISNUMBER($Q547),ISNUMBER($R547)),$Q547-$R547,"")</f>
        <v/>
      </c>
      <c r="T547" s="65" t="n"/>
      <c r="U547" s="64" t="n"/>
      <c r="V547" s="65" t="n"/>
      <c r="W547" s="63" t="n"/>
      <c r="X547" s="65" t="n"/>
      <c r="Y547" s="63" t="n"/>
      <c r="Z547" s="64" t="n"/>
      <c r="AA547" s="64" t="n"/>
      <c r="AB547" s="65" t="n"/>
      <c r="AC547" s="69" t="str">
        <f>IF(OR($G547="",NOT(ISNUMBER($K547)),$AK547=0),"",MAX(0,ReportDate-$K547))</f>
        <v/>
      </c>
      <c r="AD547" s="69" t="str">
        <f>IF($G547="","",IF($AL547=1,ReportDate-$L547,0))</f>
        <v/>
      </c>
      <c r="AE547" s="70" t="str">
        <f>IF($G547="","",IF($M547="Completed",1,IF(ISNUMBER($N547),$N547,0)))</f>
        <v/>
      </c>
      <c r="AF547" s="70" t="str">
        <f>IF(AND(ISNUMBER($Q547),ISNUMBER($R547)),IF($R547&lt;&gt;0,$Q547/$R547,""),"")</f>
        <v/>
      </c>
      <c r="AG547" s="71" t="str">
        <f>IF($G547="","",IF($AL547=1,"OVERDUE",IF($AM547=1,"BLOCKED",IF($AN547=1,"DUE TODAY",IF($AO547=1,"DUE TOMORROW",IF($AQ547=1,"HIGH PRIORITY",IF($AR547=1,"NO RECENT UPDATE",""))))))) </f>
        <v/>
      </c>
      <c r="AH547" s="71" t="str">
        <f>IF($G547="","",IF(ISNUMBER($A547),IF(ISNUMBER($A547),YEAR($A547)&amp;"-"&amp;TEXT(MONTH($A547),"00"),""),IF(ISNUMBER($L547),IF(ISNUMBER($L547),YEAR($L547)&amp;"-"&amp;TEXT(MONTH($L547),"00"),""),"")))</f>
        <v/>
      </c>
      <c r="AI547" s="71">
        <f>IF($G547="",0,IF(AND(OR(fClient="All",$C547=fClient),OR(fCampaign="All",$D547=fCampaign),OR(fTeam="All",$B547=fTeam),OR(fChannel="All",$F547=fChannel),OR(fMonth="All",$AH547=fMonth),OR(fTStatus="All",$M547=fTStatus)),1,0))</f>
        <v>0</v>
      </c>
      <c r="AJ547" s="71">
        <f>IF($G547="",0,IF(AND(OR(fClient="All",$C547=fClient),OR(fCampaign="All",$D547=fCampaign),OR(fTeam="All",$B547=fTeam),OR(fChannel="All",$F547=fChannel)),1,0))</f>
        <v>0</v>
      </c>
      <c r="AK547" s="71">
        <f>IF($G547="",0,IF(OR($M547="Completed",$M547="Cancelled"),0,1))</f>
        <v>0</v>
      </c>
      <c r="AL547" s="71">
        <f>IF(AND($AK547=1,ISNUMBER($L547)),IF($L547&lt;ReportDate,1,0),0)</f>
        <v>0</v>
      </c>
      <c r="AM547" s="71">
        <f>IF(AND($G547&lt;&gt;"",$M547="Blocked"),1,0)</f>
        <v>0</v>
      </c>
      <c r="AN547" s="71">
        <f>IF(AND($AK547=1,ISNUMBER($L547)),IF($L547=ReportDate,1,0),0)</f>
        <v>0</v>
      </c>
      <c r="AO547" s="71">
        <f>IF(AND($AK547=1,ISNUMBER($L547)),IF($L547=ReportDate+1,1,0),0)</f>
        <v>0</v>
      </c>
      <c r="AP547" s="71">
        <f>IF(AND($AK547=1,ISNUMBER($L547)),IF(AND($L547&gt;=ReportDate,$L547&lt;=ReportDate+DueSoonDays),1,0),0)</f>
        <v>0</v>
      </c>
      <c r="AQ547" s="71">
        <f>IF(AND($AK547=1,OR($I547="Critical",$I547="High")),1,0)</f>
        <v>0</v>
      </c>
      <c r="AR547" s="71">
        <f>IF($AK547=1,IF(ISNUMBER($Y547),IF(ReportDate-$Y547&gt;StaleDays,1,0),1),0)</f>
        <v>0</v>
      </c>
      <c r="AS547" s="71">
        <f>IF(AND($G547&lt;&gt;"",ISNUMBER($Q547),ISNUMBER($R547)),IF(AND($Q547&lt;$R547,OR($M547="Completed",AND(ISNUMBER($L547),$L547&lt;ReportDate))),1,0),0)</f>
        <v>0</v>
      </c>
      <c r="AT547" s="71">
        <f>IF($AK547=1,IF(OR($L547=ReportDate,$W547=ReportDate,$K547=ReportDate,$A547=ReportDate),1,0),0)</f>
        <v>0</v>
      </c>
      <c r="AU547" s="71">
        <f>IF($AK547=1,IF(OR($L547=ReportDate+1,$W547=ReportDate+1,$K547=ReportDate+1,$A547=ReportDate+1),1,0),0)</f>
        <v>0</v>
      </c>
      <c r="AV547" s="71">
        <f>IF(AND($G547&lt;&gt;"",$M547="Completed"),IF(OR($Y547=ReportDate-1,$A547=ReportDate-1),1,0),0)</f>
        <v>0</v>
      </c>
      <c r="AW547" s="71">
        <f>IF(AND($AK547=1,$Z547="Yes"),1,0)</f>
        <v>0</v>
      </c>
      <c r="AX547" s="71">
        <f>IF(AND($AK547=1,$AA547="Yes"),1,0)</f>
        <v>0</v>
      </c>
      <c r="AY547" s="71">
        <f>IF(AND($AM547=1,OR($I547="Critical",$I547="High")),1,0)</f>
        <v>0</v>
      </c>
      <c r="AZ547" s="71">
        <f>IF(AND($AK547=1,OR($C547=TCL_Client,$C547=MECCA_Client)),1,0)</f>
        <v>0</v>
      </c>
      <c r="BA547" s="71" t="str">
        <f>IF($G547="","",IFERROR(MATCH($I547,lst_Priority,0),5))</f>
        <v/>
      </c>
      <c r="BB547" s="71" t="str">
        <f>IF(AND($AL547=1,$AJ547=1),$BA547*100000+ROW(),"")</f>
        <v/>
      </c>
      <c r="BC547" s="71" t="str">
        <f>IF(AND($AM547=1,$AJ547=1),$BA547*100000+ROW(),"")</f>
        <v/>
      </c>
      <c r="BD547" s="71" t="str">
        <f>IF(AND($AP547=1,$AJ547=1),$BA547*100000+ROW(),"")</f>
        <v/>
      </c>
      <c r="BE547" s="71" t="str">
        <f>IF(AND($AT547=1,$AJ547=1),$BA547*100000+ROW(),"")</f>
        <v/>
      </c>
      <c r="BF547" s="71" t="str">
        <f>IF(AND($AU547=1,$AJ547=1),$BA547*100000+ROW(),"")</f>
        <v/>
      </c>
      <c r="BG547" s="71" t="str">
        <f>IF(AND($AV547=1,$AJ547=1),$BA547*100000+ROW(),"")</f>
        <v/>
      </c>
      <c r="BH547" s="71" t="str">
        <f>IF(AND($AW547=1,$AJ547=1),$BA547*100000+ROW(),"")</f>
        <v/>
      </c>
      <c r="BI547" s="71" t="str">
        <f>IF(AND($AX547=1,$AJ547=1),$BA547*100000+ROW(),"")</f>
        <v/>
      </c>
      <c r="BJ547" s="71" t="str">
        <f>IF(AND($AS547=1,$AJ547=1),$BA547*100000+ROW(),"")</f>
        <v/>
      </c>
      <c r="BK547" s="71" t="str">
        <f>IF(AND($AY547=1,$AJ547=1),$BA547*100000+ROW(),"")</f>
        <v/>
      </c>
      <c r="BL547" s="71" t="str">
        <f>IF(AND($AZ547=1),$BA547*100000+ROW(),"")</f>
        <v/>
      </c>
    </row>
    <row r="548">
      <c r="A548" s="63" t="n"/>
      <c r="B548" s="64" t="n"/>
      <c r="C548" s="64" t="n"/>
      <c r="D548" s="64" t="n"/>
      <c r="E548" s="64" t="n"/>
      <c r="F548" s="64" t="n"/>
      <c r="G548" s="65" t="n"/>
      <c r="H548" s="65" t="n"/>
      <c r="I548" s="64" t="n"/>
      <c r="J548" s="64" t="n"/>
      <c r="K548" s="63" t="n"/>
      <c r="L548" s="63" t="n"/>
      <c r="M548" s="64" t="n"/>
      <c r="N548" s="66" t="n"/>
      <c r="O548" s="65" t="n"/>
      <c r="P548" s="64" t="n"/>
      <c r="Q548" s="67" t="n"/>
      <c r="R548" s="67" t="n"/>
      <c r="S548" s="68" t="str">
        <f>IF(AND(ISNUMBER($Q548),ISNUMBER($R548)),$Q548-$R548,"")</f>
        <v/>
      </c>
      <c r="T548" s="65" t="n"/>
      <c r="U548" s="64" t="n"/>
      <c r="V548" s="65" t="n"/>
      <c r="W548" s="63" t="n"/>
      <c r="X548" s="65" t="n"/>
      <c r="Y548" s="63" t="n"/>
      <c r="Z548" s="64" t="n"/>
      <c r="AA548" s="64" t="n"/>
      <c r="AB548" s="65" t="n"/>
      <c r="AC548" s="69" t="str">
        <f>IF(OR($G548="",NOT(ISNUMBER($K548)),$AK548=0),"",MAX(0,ReportDate-$K548))</f>
        <v/>
      </c>
      <c r="AD548" s="69" t="str">
        <f>IF($G548="","",IF($AL548=1,ReportDate-$L548,0))</f>
        <v/>
      </c>
      <c r="AE548" s="70" t="str">
        <f>IF($G548="","",IF($M548="Completed",1,IF(ISNUMBER($N548),$N548,0)))</f>
        <v/>
      </c>
      <c r="AF548" s="70" t="str">
        <f>IF(AND(ISNUMBER($Q548),ISNUMBER($R548)),IF($R548&lt;&gt;0,$Q548/$R548,""),"")</f>
        <v/>
      </c>
      <c r="AG548" s="71" t="str">
        <f>IF($G548="","",IF($AL548=1,"OVERDUE",IF($AM548=1,"BLOCKED",IF($AN548=1,"DUE TODAY",IF($AO548=1,"DUE TOMORROW",IF($AQ548=1,"HIGH PRIORITY",IF($AR548=1,"NO RECENT UPDATE",""))))))) </f>
        <v/>
      </c>
      <c r="AH548" s="71" t="str">
        <f>IF($G548="","",IF(ISNUMBER($A548),IF(ISNUMBER($A548),YEAR($A548)&amp;"-"&amp;TEXT(MONTH($A548),"00"),""),IF(ISNUMBER($L548),IF(ISNUMBER($L548),YEAR($L548)&amp;"-"&amp;TEXT(MONTH($L548),"00"),""),"")))</f>
        <v/>
      </c>
      <c r="AI548" s="71">
        <f>IF($G548="",0,IF(AND(OR(fClient="All",$C548=fClient),OR(fCampaign="All",$D548=fCampaign),OR(fTeam="All",$B548=fTeam),OR(fChannel="All",$F548=fChannel),OR(fMonth="All",$AH548=fMonth),OR(fTStatus="All",$M548=fTStatus)),1,0))</f>
        <v>0</v>
      </c>
      <c r="AJ548" s="71">
        <f>IF($G548="",0,IF(AND(OR(fClient="All",$C548=fClient),OR(fCampaign="All",$D548=fCampaign),OR(fTeam="All",$B548=fTeam),OR(fChannel="All",$F548=fChannel)),1,0))</f>
        <v>0</v>
      </c>
      <c r="AK548" s="71">
        <f>IF($G548="",0,IF(OR($M548="Completed",$M548="Cancelled"),0,1))</f>
        <v>0</v>
      </c>
      <c r="AL548" s="71">
        <f>IF(AND($AK548=1,ISNUMBER($L548)),IF($L548&lt;ReportDate,1,0),0)</f>
        <v>0</v>
      </c>
      <c r="AM548" s="71">
        <f>IF(AND($G548&lt;&gt;"",$M548="Blocked"),1,0)</f>
        <v>0</v>
      </c>
      <c r="AN548" s="71">
        <f>IF(AND($AK548=1,ISNUMBER($L548)),IF($L548=ReportDate,1,0),0)</f>
        <v>0</v>
      </c>
      <c r="AO548" s="71">
        <f>IF(AND($AK548=1,ISNUMBER($L548)),IF($L548=ReportDate+1,1,0),0)</f>
        <v>0</v>
      </c>
      <c r="AP548" s="71">
        <f>IF(AND($AK548=1,ISNUMBER($L548)),IF(AND($L548&gt;=ReportDate,$L548&lt;=ReportDate+DueSoonDays),1,0),0)</f>
        <v>0</v>
      </c>
      <c r="AQ548" s="71">
        <f>IF(AND($AK548=1,OR($I548="Critical",$I548="High")),1,0)</f>
        <v>0</v>
      </c>
      <c r="AR548" s="71">
        <f>IF($AK548=1,IF(ISNUMBER($Y548),IF(ReportDate-$Y548&gt;StaleDays,1,0),1),0)</f>
        <v>0</v>
      </c>
      <c r="AS548" s="71">
        <f>IF(AND($G548&lt;&gt;"",ISNUMBER($Q548),ISNUMBER($R548)),IF(AND($Q548&lt;$R548,OR($M548="Completed",AND(ISNUMBER($L548),$L548&lt;ReportDate))),1,0),0)</f>
        <v>0</v>
      </c>
      <c r="AT548" s="71">
        <f>IF($AK548=1,IF(OR($L548=ReportDate,$W548=ReportDate,$K548=ReportDate,$A548=ReportDate),1,0),0)</f>
        <v>0</v>
      </c>
      <c r="AU548" s="71">
        <f>IF($AK548=1,IF(OR($L548=ReportDate+1,$W548=ReportDate+1,$K548=ReportDate+1,$A548=ReportDate+1),1,0),0)</f>
        <v>0</v>
      </c>
      <c r="AV548" s="71">
        <f>IF(AND($G548&lt;&gt;"",$M548="Completed"),IF(OR($Y548=ReportDate-1,$A548=ReportDate-1),1,0),0)</f>
        <v>0</v>
      </c>
      <c r="AW548" s="71">
        <f>IF(AND($AK548=1,$Z548="Yes"),1,0)</f>
        <v>0</v>
      </c>
      <c r="AX548" s="71">
        <f>IF(AND($AK548=1,$AA548="Yes"),1,0)</f>
        <v>0</v>
      </c>
      <c r="AY548" s="71">
        <f>IF(AND($AM548=1,OR($I548="Critical",$I548="High")),1,0)</f>
        <v>0</v>
      </c>
      <c r="AZ548" s="71">
        <f>IF(AND($AK548=1,OR($C548=TCL_Client,$C548=MECCA_Client)),1,0)</f>
        <v>0</v>
      </c>
      <c r="BA548" s="71" t="str">
        <f>IF($G548="","",IFERROR(MATCH($I548,lst_Priority,0),5))</f>
        <v/>
      </c>
      <c r="BB548" s="71" t="str">
        <f>IF(AND($AL548=1,$AJ548=1),$BA548*100000+ROW(),"")</f>
        <v/>
      </c>
      <c r="BC548" s="71" t="str">
        <f>IF(AND($AM548=1,$AJ548=1),$BA548*100000+ROW(),"")</f>
        <v/>
      </c>
      <c r="BD548" s="71" t="str">
        <f>IF(AND($AP548=1,$AJ548=1),$BA548*100000+ROW(),"")</f>
        <v/>
      </c>
      <c r="BE548" s="71" t="str">
        <f>IF(AND($AT548=1,$AJ548=1),$BA548*100000+ROW(),"")</f>
        <v/>
      </c>
      <c r="BF548" s="71" t="str">
        <f>IF(AND($AU548=1,$AJ548=1),$BA548*100000+ROW(),"")</f>
        <v/>
      </c>
      <c r="BG548" s="71" t="str">
        <f>IF(AND($AV548=1,$AJ548=1),$BA548*100000+ROW(),"")</f>
        <v/>
      </c>
      <c r="BH548" s="71" t="str">
        <f>IF(AND($AW548=1,$AJ548=1),$BA548*100000+ROW(),"")</f>
        <v/>
      </c>
      <c r="BI548" s="71" t="str">
        <f>IF(AND($AX548=1,$AJ548=1),$BA548*100000+ROW(),"")</f>
        <v/>
      </c>
      <c r="BJ548" s="71" t="str">
        <f>IF(AND($AS548=1,$AJ548=1),$BA548*100000+ROW(),"")</f>
        <v/>
      </c>
      <c r="BK548" s="71" t="str">
        <f>IF(AND($AY548=1,$AJ548=1),$BA548*100000+ROW(),"")</f>
        <v/>
      </c>
      <c r="BL548" s="71" t="str">
        <f>IF(AND($AZ548=1),$BA548*100000+ROW(),"")</f>
        <v/>
      </c>
    </row>
    <row r="549">
      <c r="A549" s="63" t="n"/>
      <c r="B549" s="64" t="n"/>
      <c r="C549" s="64" t="n"/>
      <c r="D549" s="64" t="n"/>
      <c r="E549" s="64" t="n"/>
      <c r="F549" s="64" t="n"/>
      <c r="G549" s="65" t="n"/>
      <c r="H549" s="65" t="n"/>
      <c r="I549" s="64" t="n"/>
      <c r="J549" s="64" t="n"/>
      <c r="K549" s="63" t="n"/>
      <c r="L549" s="63" t="n"/>
      <c r="M549" s="64" t="n"/>
      <c r="N549" s="66" t="n"/>
      <c r="O549" s="65" t="n"/>
      <c r="P549" s="64" t="n"/>
      <c r="Q549" s="67" t="n"/>
      <c r="R549" s="67" t="n"/>
      <c r="S549" s="68" t="str">
        <f>IF(AND(ISNUMBER($Q549),ISNUMBER($R549)),$Q549-$R549,"")</f>
        <v/>
      </c>
      <c r="T549" s="65" t="n"/>
      <c r="U549" s="64" t="n"/>
      <c r="V549" s="65" t="n"/>
      <c r="W549" s="63" t="n"/>
      <c r="X549" s="65" t="n"/>
      <c r="Y549" s="63" t="n"/>
      <c r="Z549" s="64" t="n"/>
      <c r="AA549" s="64" t="n"/>
      <c r="AB549" s="65" t="n"/>
      <c r="AC549" s="69" t="str">
        <f>IF(OR($G549="",NOT(ISNUMBER($K549)),$AK549=0),"",MAX(0,ReportDate-$K549))</f>
        <v/>
      </c>
      <c r="AD549" s="69" t="str">
        <f>IF($G549="","",IF($AL549=1,ReportDate-$L549,0))</f>
        <v/>
      </c>
      <c r="AE549" s="70" t="str">
        <f>IF($G549="","",IF($M549="Completed",1,IF(ISNUMBER($N549),$N549,0)))</f>
        <v/>
      </c>
      <c r="AF549" s="70" t="str">
        <f>IF(AND(ISNUMBER($Q549),ISNUMBER($R549)),IF($R549&lt;&gt;0,$Q549/$R549,""),"")</f>
        <v/>
      </c>
      <c r="AG549" s="71" t="str">
        <f>IF($G549="","",IF($AL549=1,"OVERDUE",IF($AM549=1,"BLOCKED",IF($AN549=1,"DUE TODAY",IF($AO549=1,"DUE TOMORROW",IF($AQ549=1,"HIGH PRIORITY",IF($AR549=1,"NO RECENT UPDATE",""))))))) </f>
        <v/>
      </c>
      <c r="AH549" s="71" t="str">
        <f>IF($G549="","",IF(ISNUMBER($A549),IF(ISNUMBER($A549),YEAR($A549)&amp;"-"&amp;TEXT(MONTH($A549),"00"),""),IF(ISNUMBER($L549),IF(ISNUMBER($L549),YEAR($L549)&amp;"-"&amp;TEXT(MONTH($L549),"00"),""),"")))</f>
        <v/>
      </c>
      <c r="AI549" s="71">
        <f>IF($G549="",0,IF(AND(OR(fClient="All",$C549=fClient),OR(fCampaign="All",$D549=fCampaign),OR(fTeam="All",$B549=fTeam),OR(fChannel="All",$F549=fChannel),OR(fMonth="All",$AH549=fMonth),OR(fTStatus="All",$M549=fTStatus)),1,0))</f>
        <v>0</v>
      </c>
      <c r="AJ549" s="71">
        <f>IF($G549="",0,IF(AND(OR(fClient="All",$C549=fClient),OR(fCampaign="All",$D549=fCampaign),OR(fTeam="All",$B549=fTeam),OR(fChannel="All",$F549=fChannel)),1,0))</f>
        <v>0</v>
      </c>
      <c r="AK549" s="71">
        <f>IF($G549="",0,IF(OR($M549="Completed",$M549="Cancelled"),0,1))</f>
        <v>0</v>
      </c>
      <c r="AL549" s="71">
        <f>IF(AND($AK549=1,ISNUMBER($L549)),IF($L549&lt;ReportDate,1,0),0)</f>
        <v>0</v>
      </c>
      <c r="AM549" s="71">
        <f>IF(AND($G549&lt;&gt;"",$M549="Blocked"),1,0)</f>
        <v>0</v>
      </c>
      <c r="AN549" s="71">
        <f>IF(AND($AK549=1,ISNUMBER($L549)),IF($L549=ReportDate,1,0),0)</f>
        <v>0</v>
      </c>
      <c r="AO549" s="71">
        <f>IF(AND($AK549=1,ISNUMBER($L549)),IF($L549=ReportDate+1,1,0),0)</f>
        <v>0</v>
      </c>
      <c r="AP549" s="71">
        <f>IF(AND($AK549=1,ISNUMBER($L549)),IF(AND($L549&gt;=ReportDate,$L549&lt;=ReportDate+DueSoonDays),1,0),0)</f>
        <v>0</v>
      </c>
      <c r="AQ549" s="71">
        <f>IF(AND($AK549=1,OR($I549="Critical",$I549="High")),1,0)</f>
        <v>0</v>
      </c>
      <c r="AR549" s="71">
        <f>IF($AK549=1,IF(ISNUMBER($Y549),IF(ReportDate-$Y549&gt;StaleDays,1,0),1),0)</f>
        <v>0</v>
      </c>
      <c r="AS549" s="71">
        <f>IF(AND($G549&lt;&gt;"",ISNUMBER($Q549),ISNUMBER($R549)),IF(AND($Q549&lt;$R549,OR($M549="Completed",AND(ISNUMBER($L549),$L549&lt;ReportDate))),1,0),0)</f>
        <v>0</v>
      </c>
      <c r="AT549" s="71">
        <f>IF($AK549=1,IF(OR($L549=ReportDate,$W549=ReportDate,$K549=ReportDate,$A549=ReportDate),1,0),0)</f>
        <v>0</v>
      </c>
      <c r="AU549" s="71">
        <f>IF($AK549=1,IF(OR($L549=ReportDate+1,$W549=ReportDate+1,$K549=ReportDate+1,$A549=ReportDate+1),1,0),0)</f>
        <v>0</v>
      </c>
      <c r="AV549" s="71">
        <f>IF(AND($G549&lt;&gt;"",$M549="Completed"),IF(OR($Y549=ReportDate-1,$A549=ReportDate-1),1,0),0)</f>
        <v>0</v>
      </c>
      <c r="AW549" s="71">
        <f>IF(AND($AK549=1,$Z549="Yes"),1,0)</f>
        <v>0</v>
      </c>
      <c r="AX549" s="71">
        <f>IF(AND($AK549=1,$AA549="Yes"),1,0)</f>
        <v>0</v>
      </c>
      <c r="AY549" s="71">
        <f>IF(AND($AM549=1,OR($I549="Critical",$I549="High")),1,0)</f>
        <v>0</v>
      </c>
      <c r="AZ549" s="71">
        <f>IF(AND($AK549=1,OR($C549=TCL_Client,$C549=MECCA_Client)),1,0)</f>
        <v>0</v>
      </c>
      <c r="BA549" s="71" t="str">
        <f>IF($G549="","",IFERROR(MATCH($I549,lst_Priority,0),5))</f>
        <v/>
      </c>
      <c r="BB549" s="71" t="str">
        <f>IF(AND($AL549=1,$AJ549=1),$BA549*100000+ROW(),"")</f>
        <v/>
      </c>
      <c r="BC549" s="71" t="str">
        <f>IF(AND($AM549=1,$AJ549=1),$BA549*100000+ROW(),"")</f>
        <v/>
      </c>
      <c r="BD549" s="71" t="str">
        <f>IF(AND($AP549=1,$AJ549=1),$BA549*100000+ROW(),"")</f>
        <v/>
      </c>
      <c r="BE549" s="71" t="str">
        <f>IF(AND($AT549=1,$AJ549=1),$BA549*100000+ROW(),"")</f>
        <v/>
      </c>
      <c r="BF549" s="71" t="str">
        <f>IF(AND($AU549=1,$AJ549=1),$BA549*100000+ROW(),"")</f>
        <v/>
      </c>
      <c r="BG549" s="71" t="str">
        <f>IF(AND($AV549=1,$AJ549=1),$BA549*100000+ROW(),"")</f>
        <v/>
      </c>
      <c r="BH549" s="71" t="str">
        <f>IF(AND($AW549=1,$AJ549=1),$BA549*100000+ROW(),"")</f>
        <v/>
      </c>
      <c r="BI549" s="71" t="str">
        <f>IF(AND($AX549=1,$AJ549=1),$BA549*100000+ROW(),"")</f>
        <v/>
      </c>
      <c r="BJ549" s="71" t="str">
        <f>IF(AND($AS549=1,$AJ549=1),$BA549*100000+ROW(),"")</f>
        <v/>
      </c>
      <c r="BK549" s="71" t="str">
        <f>IF(AND($AY549=1,$AJ549=1),$BA549*100000+ROW(),"")</f>
        <v/>
      </c>
      <c r="BL549" s="71" t="str">
        <f>IF(AND($AZ549=1),$BA549*100000+ROW(),"")</f>
        <v/>
      </c>
    </row>
    <row r="550">
      <c r="A550" s="63" t="n"/>
      <c r="B550" s="64" t="n"/>
      <c r="C550" s="64" t="n"/>
      <c r="D550" s="64" t="n"/>
      <c r="E550" s="64" t="n"/>
      <c r="F550" s="64" t="n"/>
      <c r="G550" s="65" t="n"/>
      <c r="H550" s="65" t="n"/>
      <c r="I550" s="64" t="n"/>
      <c r="J550" s="64" t="n"/>
      <c r="K550" s="63" t="n"/>
      <c r="L550" s="63" t="n"/>
      <c r="M550" s="64" t="n"/>
      <c r="N550" s="66" t="n"/>
      <c r="O550" s="65" t="n"/>
      <c r="P550" s="64" t="n"/>
      <c r="Q550" s="67" t="n"/>
      <c r="R550" s="67" t="n"/>
      <c r="S550" s="68" t="str">
        <f>IF(AND(ISNUMBER($Q550),ISNUMBER($R550)),$Q550-$R550,"")</f>
        <v/>
      </c>
      <c r="T550" s="65" t="n"/>
      <c r="U550" s="64" t="n"/>
      <c r="V550" s="65" t="n"/>
      <c r="W550" s="63" t="n"/>
      <c r="X550" s="65" t="n"/>
      <c r="Y550" s="63" t="n"/>
      <c r="Z550" s="64" t="n"/>
      <c r="AA550" s="64" t="n"/>
      <c r="AB550" s="65" t="n"/>
      <c r="AC550" s="69" t="str">
        <f>IF(OR($G550="",NOT(ISNUMBER($K550)),$AK550=0),"",MAX(0,ReportDate-$K550))</f>
        <v/>
      </c>
      <c r="AD550" s="69" t="str">
        <f>IF($G550="","",IF($AL550=1,ReportDate-$L550,0))</f>
        <v/>
      </c>
      <c r="AE550" s="70" t="str">
        <f>IF($G550="","",IF($M550="Completed",1,IF(ISNUMBER($N550),$N550,0)))</f>
        <v/>
      </c>
      <c r="AF550" s="70" t="str">
        <f>IF(AND(ISNUMBER($Q550),ISNUMBER($R550)),IF($R550&lt;&gt;0,$Q550/$R550,""),"")</f>
        <v/>
      </c>
      <c r="AG550" s="71" t="str">
        <f>IF($G550="","",IF($AL550=1,"OVERDUE",IF($AM550=1,"BLOCKED",IF($AN550=1,"DUE TODAY",IF($AO550=1,"DUE TOMORROW",IF($AQ550=1,"HIGH PRIORITY",IF($AR550=1,"NO RECENT UPDATE",""))))))) </f>
        <v/>
      </c>
      <c r="AH550" s="71" t="str">
        <f>IF($G550="","",IF(ISNUMBER($A550),IF(ISNUMBER($A550),YEAR($A550)&amp;"-"&amp;TEXT(MONTH($A550),"00"),""),IF(ISNUMBER($L550),IF(ISNUMBER($L550),YEAR($L550)&amp;"-"&amp;TEXT(MONTH($L550),"00"),""),"")))</f>
        <v/>
      </c>
      <c r="AI550" s="71">
        <f>IF($G550="",0,IF(AND(OR(fClient="All",$C550=fClient),OR(fCampaign="All",$D550=fCampaign),OR(fTeam="All",$B550=fTeam),OR(fChannel="All",$F550=fChannel),OR(fMonth="All",$AH550=fMonth),OR(fTStatus="All",$M550=fTStatus)),1,0))</f>
        <v>0</v>
      </c>
      <c r="AJ550" s="71">
        <f>IF($G550="",0,IF(AND(OR(fClient="All",$C550=fClient),OR(fCampaign="All",$D550=fCampaign),OR(fTeam="All",$B550=fTeam),OR(fChannel="All",$F550=fChannel)),1,0))</f>
        <v>0</v>
      </c>
      <c r="AK550" s="71">
        <f>IF($G550="",0,IF(OR($M550="Completed",$M550="Cancelled"),0,1))</f>
        <v>0</v>
      </c>
      <c r="AL550" s="71">
        <f>IF(AND($AK550=1,ISNUMBER($L550)),IF($L550&lt;ReportDate,1,0),0)</f>
        <v>0</v>
      </c>
      <c r="AM550" s="71">
        <f>IF(AND($G550&lt;&gt;"",$M550="Blocked"),1,0)</f>
        <v>0</v>
      </c>
      <c r="AN550" s="71">
        <f>IF(AND($AK550=1,ISNUMBER($L550)),IF($L550=ReportDate,1,0),0)</f>
        <v>0</v>
      </c>
      <c r="AO550" s="71">
        <f>IF(AND($AK550=1,ISNUMBER($L550)),IF($L550=ReportDate+1,1,0),0)</f>
        <v>0</v>
      </c>
      <c r="AP550" s="71">
        <f>IF(AND($AK550=1,ISNUMBER($L550)),IF(AND($L550&gt;=ReportDate,$L550&lt;=ReportDate+DueSoonDays),1,0),0)</f>
        <v>0</v>
      </c>
      <c r="AQ550" s="71">
        <f>IF(AND($AK550=1,OR($I550="Critical",$I550="High")),1,0)</f>
        <v>0</v>
      </c>
      <c r="AR550" s="71">
        <f>IF($AK550=1,IF(ISNUMBER($Y550),IF(ReportDate-$Y550&gt;StaleDays,1,0),1),0)</f>
        <v>0</v>
      </c>
      <c r="AS550" s="71">
        <f>IF(AND($G550&lt;&gt;"",ISNUMBER($Q550),ISNUMBER($R550)),IF(AND($Q550&lt;$R550,OR($M550="Completed",AND(ISNUMBER($L550),$L550&lt;ReportDate))),1,0),0)</f>
        <v>0</v>
      </c>
      <c r="AT550" s="71">
        <f>IF($AK550=1,IF(OR($L550=ReportDate,$W550=ReportDate,$K550=ReportDate,$A550=ReportDate),1,0),0)</f>
        <v>0</v>
      </c>
      <c r="AU550" s="71">
        <f>IF($AK550=1,IF(OR($L550=ReportDate+1,$W550=ReportDate+1,$K550=ReportDate+1,$A550=ReportDate+1),1,0),0)</f>
        <v>0</v>
      </c>
      <c r="AV550" s="71">
        <f>IF(AND($G550&lt;&gt;"",$M550="Completed"),IF(OR($Y550=ReportDate-1,$A550=ReportDate-1),1,0),0)</f>
        <v>0</v>
      </c>
      <c r="AW550" s="71">
        <f>IF(AND($AK550=1,$Z550="Yes"),1,0)</f>
        <v>0</v>
      </c>
      <c r="AX550" s="71">
        <f>IF(AND($AK550=1,$AA550="Yes"),1,0)</f>
        <v>0</v>
      </c>
      <c r="AY550" s="71">
        <f>IF(AND($AM550=1,OR($I550="Critical",$I550="High")),1,0)</f>
        <v>0</v>
      </c>
      <c r="AZ550" s="71">
        <f>IF(AND($AK550=1,OR($C550=TCL_Client,$C550=MECCA_Client)),1,0)</f>
        <v>0</v>
      </c>
      <c r="BA550" s="71" t="str">
        <f>IF($G550="","",IFERROR(MATCH($I550,lst_Priority,0),5))</f>
        <v/>
      </c>
      <c r="BB550" s="71" t="str">
        <f>IF(AND($AL550=1,$AJ550=1),$BA550*100000+ROW(),"")</f>
        <v/>
      </c>
      <c r="BC550" s="71" t="str">
        <f>IF(AND($AM550=1,$AJ550=1),$BA550*100000+ROW(),"")</f>
        <v/>
      </c>
      <c r="BD550" s="71" t="str">
        <f>IF(AND($AP550=1,$AJ550=1),$BA550*100000+ROW(),"")</f>
        <v/>
      </c>
      <c r="BE550" s="71" t="str">
        <f>IF(AND($AT550=1,$AJ550=1),$BA550*100000+ROW(),"")</f>
        <v/>
      </c>
      <c r="BF550" s="71" t="str">
        <f>IF(AND($AU550=1,$AJ550=1),$BA550*100000+ROW(),"")</f>
        <v/>
      </c>
      <c r="BG550" s="71" t="str">
        <f>IF(AND($AV550=1,$AJ550=1),$BA550*100000+ROW(),"")</f>
        <v/>
      </c>
      <c r="BH550" s="71" t="str">
        <f>IF(AND($AW550=1,$AJ550=1),$BA550*100000+ROW(),"")</f>
        <v/>
      </c>
      <c r="BI550" s="71" t="str">
        <f>IF(AND($AX550=1,$AJ550=1),$BA550*100000+ROW(),"")</f>
        <v/>
      </c>
      <c r="BJ550" s="71" t="str">
        <f>IF(AND($AS550=1,$AJ550=1),$BA550*100000+ROW(),"")</f>
        <v/>
      </c>
      <c r="BK550" s="71" t="str">
        <f>IF(AND($AY550=1,$AJ550=1),$BA550*100000+ROW(),"")</f>
        <v/>
      </c>
      <c r="BL550" s="71" t="str">
        <f>IF(AND($AZ550=1),$BA550*100000+ROW(),"")</f>
        <v/>
      </c>
    </row>
    <row r="551">
      <c r="A551" s="63" t="n"/>
      <c r="B551" s="64" t="n"/>
      <c r="C551" s="64" t="n"/>
      <c r="D551" s="64" t="n"/>
      <c r="E551" s="64" t="n"/>
      <c r="F551" s="64" t="n"/>
      <c r="G551" s="65" t="n"/>
      <c r="H551" s="65" t="n"/>
      <c r="I551" s="64" t="n"/>
      <c r="J551" s="64" t="n"/>
      <c r="K551" s="63" t="n"/>
      <c r="L551" s="63" t="n"/>
      <c r="M551" s="64" t="n"/>
      <c r="N551" s="66" t="n"/>
      <c r="O551" s="65" t="n"/>
      <c r="P551" s="64" t="n"/>
      <c r="Q551" s="67" t="n"/>
      <c r="R551" s="67" t="n"/>
      <c r="S551" s="68" t="str">
        <f>IF(AND(ISNUMBER($Q551),ISNUMBER($R551)),$Q551-$R551,"")</f>
        <v/>
      </c>
      <c r="T551" s="65" t="n"/>
      <c r="U551" s="64" t="n"/>
      <c r="V551" s="65" t="n"/>
      <c r="W551" s="63" t="n"/>
      <c r="X551" s="65" t="n"/>
      <c r="Y551" s="63" t="n"/>
      <c r="Z551" s="64" t="n"/>
      <c r="AA551" s="64" t="n"/>
      <c r="AB551" s="65" t="n"/>
      <c r="AC551" s="69" t="str">
        <f>IF(OR($G551="",NOT(ISNUMBER($K551)),$AK551=0),"",MAX(0,ReportDate-$K551))</f>
        <v/>
      </c>
      <c r="AD551" s="69" t="str">
        <f>IF($G551="","",IF($AL551=1,ReportDate-$L551,0))</f>
        <v/>
      </c>
      <c r="AE551" s="70" t="str">
        <f>IF($G551="","",IF($M551="Completed",1,IF(ISNUMBER($N551),$N551,0)))</f>
        <v/>
      </c>
      <c r="AF551" s="70" t="str">
        <f>IF(AND(ISNUMBER($Q551),ISNUMBER($R551)),IF($R551&lt;&gt;0,$Q551/$R551,""),"")</f>
        <v/>
      </c>
      <c r="AG551" s="71" t="str">
        <f>IF($G551="","",IF($AL551=1,"OVERDUE",IF($AM551=1,"BLOCKED",IF($AN551=1,"DUE TODAY",IF($AO551=1,"DUE TOMORROW",IF($AQ551=1,"HIGH PRIORITY",IF($AR551=1,"NO RECENT UPDATE",""))))))) </f>
        <v/>
      </c>
      <c r="AH551" s="71" t="str">
        <f>IF($G551="","",IF(ISNUMBER($A551),IF(ISNUMBER($A551),YEAR($A551)&amp;"-"&amp;TEXT(MONTH($A551),"00"),""),IF(ISNUMBER($L551),IF(ISNUMBER($L551),YEAR($L551)&amp;"-"&amp;TEXT(MONTH($L551),"00"),""),"")))</f>
        <v/>
      </c>
      <c r="AI551" s="71">
        <f>IF($G551="",0,IF(AND(OR(fClient="All",$C551=fClient),OR(fCampaign="All",$D551=fCampaign),OR(fTeam="All",$B551=fTeam),OR(fChannel="All",$F551=fChannel),OR(fMonth="All",$AH551=fMonth),OR(fTStatus="All",$M551=fTStatus)),1,0))</f>
        <v>0</v>
      </c>
      <c r="AJ551" s="71">
        <f>IF($G551="",0,IF(AND(OR(fClient="All",$C551=fClient),OR(fCampaign="All",$D551=fCampaign),OR(fTeam="All",$B551=fTeam),OR(fChannel="All",$F551=fChannel)),1,0))</f>
        <v>0</v>
      </c>
      <c r="AK551" s="71">
        <f>IF($G551="",0,IF(OR($M551="Completed",$M551="Cancelled"),0,1))</f>
        <v>0</v>
      </c>
      <c r="AL551" s="71">
        <f>IF(AND($AK551=1,ISNUMBER($L551)),IF($L551&lt;ReportDate,1,0),0)</f>
        <v>0</v>
      </c>
      <c r="AM551" s="71">
        <f>IF(AND($G551&lt;&gt;"",$M551="Blocked"),1,0)</f>
        <v>0</v>
      </c>
      <c r="AN551" s="71">
        <f>IF(AND($AK551=1,ISNUMBER($L551)),IF($L551=ReportDate,1,0),0)</f>
        <v>0</v>
      </c>
      <c r="AO551" s="71">
        <f>IF(AND($AK551=1,ISNUMBER($L551)),IF($L551=ReportDate+1,1,0),0)</f>
        <v>0</v>
      </c>
      <c r="AP551" s="71">
        <f>IF(AND($AK551=1,ISNUMBER($L551)),IF(AND($L551&gt;=ReportDate,$L551&lt;=ReportDate+DueSoonDays),1,0),0)</f>
        <v>0</v>
      </c>
      <c r="AQ551" s="71">
        <f>IF(AND($AK551=1,OR($I551="Critical",$I551="High")),1,0)</f>
        <v>0</v>
      </c>
      <c r="AR551" s="71">
        <f>IF($AK551=1,IF(ISNUMBER($Y551),IF(ReportDate-$Y551&gt;StaleDays,1,0),1),0)</f>
        <v>0</v>
      </c>
      <c r="AS551" s="71">
        <f>IF(AND($G551&lt;&gt;"",ISNUMBER($Q551),ISNUMBER($R551)),IF(AND($Q551&lt;$R551,OR($M551="Completed",AND(ISNUMBER($L551),$L551&lt;ReportDate))),1,0),0)</f>
        <v>0</v>
      </c>
      <c r="AT551" s="71">
        <f>IF($AK551=1,IF(OR($L551=ReportDate,$W551=ReportDate,$K551=ReportDate,$A551=ReportDate),1,0),0)</f>
        <v>0</v>
      </c>
      <c r="AU551" s="71">
        <f>IF($AK551=1,IF(OR($L551=ReportDate+1,$W551=ReportDate+1,$K551=ReportDate+1,$A551=ReportDate+1),1,0),0)</f>
        <v>0</v>
      </c>
      <c r="AV551" s="71">
        <f>IF(AND($G551&lt;&gt;"",$M551="Completed"),IF(OR($Y551=ReportDate-1,$A551=ReportDate-1),1,0),0)</f>
        <v>0</v>
      </c>
      <c r="AW551" s="71">
        <f>IF(AND($AK551=1,$Z551="Yes"),1,0)</f>
        <v>0</v>
      </c>
      <c r="AX551" s="71">
        <f>IF(AND($AK551=1,$AA551="Yes"),1,0)</f>
        <v>0</v>
      </c>
      <c r="AY551" s="71">
        <f>IF(AND($AM551=1,OR($I551="Critical",$I551="High")),1,0)</f>
        <v>0</v>
      </c>
      <c r="AZ551" s="71">
        <f>IF(AND($AK551=1,OR($C551=TCL_Client,$C551=MECCA_Client)),1,0)</f>
        <v>0</v>
      </c>
      <c r="BA551" s="71" t="str">
        <f>IF($G551="","",IFERROR(MATCH($I551,lst_Priority,0),5))</f>
        <v/>
      </c>
      <c r="BB551" s="71" t="str">
        <f>IF(AND($AL551=1,$AJ551=1),$BA551*100000+ROW(),"")</f>
        <v/>
      </c>
      <c r="BC551" s="71" t="str">
        <f>IF(AND($AM551=1,$AJ551=1),$BA551*100000+ROW(),"")</f>
        <v/>
      </c>
      <c r="BD551" s="71" t="str">
        <f>IF(AND($AP551=1,$AJ551=1),$BA551*100000+ROW(),"")</f>
        <v/>
      </c>
      <c r="BE551" s="71" t="str">
        <f>IF(AND($AT551=1,$AJ551=1),$BA551*100000+ROW(),"")</f>
        <v/>
      </c>
      <c r="BF551" s="71" t="str">
        <f>IF(AND($AU551=1,$AJ551=1),$BA551*100000+ROW(),"")</f>
        <v/>
      </c>
      <c r="BG551" s="71" t="str">
        <f>IF(AND($AV551=1,$AJ551=1),$BA551*100000+ROW(),"")</f>
        <v/>
      </c>
      <c r="BH551" s="71" t="str">
        <f>IF(AND($AW551=1,$AJ551=1),$BA551*100000+ROW(),"")</f>
        <v/>
      </c>
      <c r="BI551" s="71" t="str">
        <f>IF(AND($AX551=1,$AJ551=1),$BA551*100000+ROW(),"")</f>
        <v/>
      </c>
      <c r="BJ551" s="71" t="str">
        <f>IF(AND($AS551=1,$AJ551=1),$BA551*100000+ROW(),"")</f>
        <v/>
      </c>
      <c r="BK551" s="71" t="str">
        <f>IF(AND($AY551=1,$AJ551=1),$BA551*100000+ROW(),"")</f>
        <v/>
      </c>
      <c r="BL551" s="71" t="str">
        <f>IF(AND($AZ551=1),$BA551*100000+ROW(),"")</f>
        <v/>
      </c>
    </row>
    <row r="552">
      <c r="A552" s="63" t="n"/>
      <c r="B552" s="64" t="n"/>
      <c r="C552" s="64" t="n"/>
      <c r="D552" s="64" t="n"/>
      <c r="E552" s="64" t="n"/>
      <c r="F552" s="64" t="n"/>
      <c r="G552" s="65" t="n"/>
      <c r="H552" s="65" t="n"/>
      <c r="I552" s="64" t="n"/>
      <c r="J552" s="64" t="n"/>
      <c r="K552" s="63" t="n"/>
      <c r="L552" s="63" t="n"/>
      <c r="M552" s="64" t="n"/>
      <c r="N552" s="66" t="n"/>
      <c r="O552" s="65" t="n"/>
      <c r="P552" s="64" t="n"/>
      <c r="Q552" s="67" t="n"/>
      <c r="R552" s="67" t="n"/>
      <c r="S552" s="68" t="str">
        <f>IF(AND(ISNUMBER($Q552),ISNUMBER($R552)),$Q552-$R552,"")</f>
        <v/>
      </c>
      <c r="T552" s="65" t="n"/>
      <c r="U552" s="64" t="n"/>
      <c r="V552" s="65" t="n"/>
      <c r="W552" s="63" t="n"/>
      <c r="X552" s="65" t="n"/>
      <c r="Y552" s="63" t="n"/>
      <c r="Z552" s="64" t="n"/>
      <c r="AA552" s="64" t="n"/>
      <c r="AB552" s="65" t="n"/>
      <c r="AC552" s="69" t="str">
        <f>IF(OR($G552="",NOT(ISNUMBER($K552)),$AK552=0),"",MAX(0,ReportDate-$K552))</f>
        <v/>
      </c>
      <c r="AD552" s="69" t="str">
        <f>IF($G552="","",IF($AL552=1,ReportDate-$L552,0))</f>
        <v/>
      </c>
      <c r="AE552" s="70" t="str">
        <f>IF($G552="","",IF($M552="Completed",1,IF(ISNUMBER($N552),$N552,0)))</f>
        <v/>
      </c>
      <c r="AF552" s="70" t="str">
        <f>IF(AND(ISNUMBER($Q552),ISNUMBER($R552)),IF($R552&lt;&gt;0,$Q552/$R552,""),"")</f>
        <v/>
      </c>
      <c r="AG552" s="71" t="str">
        <f>IF($G552="","",IF($AL552=1,"OVERDUE",IF($AM552=1,"BLOCKED",IF($AN552=1,"DUE TODAY",IF($AO552=1,"DUE TOMORROW",IF($AQ552=1,"HIGH PRIORITY",IF($AR552=1,"NO RECENT UPDATE",""))))))) </f>
        <v/>
      </c>
      <c r="AH552" s="71" t="str">
        <f>IF($G552="","",IF(ISNUMBER($A552),IF(ISNUMBER($A552),YEAR($A552)&amp;"-"&amp;TEXT(MONTH($A552),"00"),""),IF(ISNUMBER($L552),IF(ISNUMBER($L552),YEAR($L552)&amp;"-"&amp;TEXT(MONTH($L552),"00"),""),"")))</f>
        <v/>
      </c>
      <c r="AI552" s="71">
        <f>IF($G552="",0,IF(AND(OR(fClient="All",$C552=fClient),OR(fCampaign="All",$D552=fCampaign),OR(fTeam="All",$B552=fTeam),OR(fChannel="All",$F552=fChannel),OR(fMonth="All",$AH552=fMonth),OR(fTStatus="All",$M552=fTStatus)),1,0))</f>
        <v>0</v>
      </c>
      <c r="AJ552" s="71">
        <f>IF($G552="",0,IF(AND(OR(fClient="All",$C552=fClient),OR(fCampaign="All",$D552=fCampaign),OR(fTeam="All",$B552=fTeam),OR(fChannel="All",$F552=fChannel)),1,0))</f>
        <v>0</v>
      </c>
      <c r="AK552" s="71">
        <f>IF($G552="",0,IF(OR($M552="Completed",$M552="Cancelled"),0,1))</f>
        <v>0</v>
      </c>
      <c r="AL552" s="71">
        <f>IF(AND($AK552=1,ISNUMBER($L552)),IF($L552&lt;ReportDate,1,0),0)</f>
        <v>0</v>
      </c>
      <c r="AM552" s="71">
        <f>IF(AND($G552&lt;&gt;"",$M552="Blocked"),1,0)</f>
        <v>0</v>
      </c>
      <c r="AN552" s="71">
        <f>IF(AND($AK552=1,ISNUMBER($L552)),IF($L552=ReportDate,1,0),0)</f>
        <v>0</v>
      </c>
      <c r="AO552" s="71">
        <f>IF(AND($AK552=1,ISNUMBER($L552)),IF($L552=ReportDate+1,1,0),0)</f>
        <v>0</v>
      </c>
      <c r="AP552" s="71">
        <f>IF(AND($AK552=1,ISNUMBER($L552)),IF(AND($L552&gt;=ReportDate,$L552&lt;=ReportDate+DueSoonDays),1,0),0)</f>
        <v>0</v>
      </c>
      <c r="AQ552" s="71">
        <f>IF(AND($AK552=1,OR($I552="Critical",$I552="High")),1,0)</f>
        <v>0</v>
      </c>
      <c r="AR552" s="71">
        <f>IF($AK552=1,IF(ISNUMBER($Y552),IF(ReportDate-$Y552&gt;StaleDays,1,0),1),0)</f>
        <v>0</v>
      </c>
      <c r="AS552" s="71">
        <f>IF(AND($G552&lt;&gt;"",ISNUMBER($Q552),ISNUMBER($R552)),IF(AND($Q552&lt;$R552,OR($M552="Completed",AND(ISNUMBER($L552),$L552&lt;ReportDate))),1,0),0)</f>
        <v>0</v>
      </c>
      <c r="AT552" s="71">
        <f>IF($AK552=1,IF(OR($L552=ReportDate,$W552=ReportDate,$K552=ReportDate,$A552=ReportDate),1,0),0)</f>
        <v>0</v>
      </c>
      <c r="AU552" s="71">
        <f>IF($AK552=1,IF(OR($L552=ReportDate+1,$W552=ReportDate+1,$K552=ReportDate+1,$A552=ReportDate+1),1,0),0)</f>
        <v>0</v>
      </c>
      <c r="AV552" s="71">
        <f>IF(AND($G552&lt;&gt;"",$M552="Completed"),IF(OR($Y552=ReportDate-1,$A552=ReportDate-1),1,0),0)</f>
        <v>0</v>
      </c>
      <c r="AW552" s="71">
        <f>IF(AND($AK552=1,$Z552="Yes"),1,0)</f>
        <v>0</v>
      </c>
      <c r="AX552" s="71">
        <f>IF(AND($AK552=1,$AA552="Yes"),1,0)</f>
        <v>0</v>
      </c>
      <c r="AY552" s="71">
        <f>IF(AND($AM552=1,OR($I552="Critical",$I552="High")),1,0)</f>
        <v>0</v>
      </c>
      <c r="AZ552" s="71">
        <f>IF(AND($AK552=1,OR($C552=TCL_Client,$C552=MECCA_Client)),1,0)</f>
        <v>0</v>
      </c>
      <c r="BA552" s="71" t="str">
        <f>IF($G552="","",IFERROR(MATCH($I552,lst_Priority,0),5))</f>
        <v/>
      </c>
      <c r="BB552" s="71" t="str">
        <f>IF(AND($AL552=1,$AJ552=1),$BA552*100000+ROW(),"")</f>
        <v/>
      </c>
      <c r="BC552" s="71" t="str">
        <f>IF(AND($AM552=1,$AJ552=1),$BA552*100000+ROW(),"")</f>
        <v/>
      </c>
      <c r="BD552" s="71" t="str">
        <f>IF(AND($AP552=1,$AJ552=1),$BA552*100000+ROW(),"")</f>
        <v/>
      </c>
      <c r="BE552" s="71" t="str">
        <f>IF(AND($AT552=1,$AJ552=1),$BA552*100000+ROW(),"")</f>
        <v/>
      </c>
      <c r="BF552" s="71" t="str">
        <f>IF(AND($AU552=1,$AJ552=1),$BA552*100000+ROW(),"")</f>
        <v/>
      </c>
      <c r="BG552" s="71" t="str">
        <f>IF(AND($AV552=1,$AJ552=1),$BA552*100000+ROW(),"")</f>
        <v/>
      </c>
      <c r="BH552" s="71" t="str">
        <f>IF(AND($AW552=1,$AJ552=1),$BA552*100000+ROW(),"")</f>
        <v/>
      </c>
      <c r="BI552" s="71" t="str">
        <f>IF(AND($AX552=1,$AJ552=1),$BA552*100000+ROW(),"")</f>
        <v/>
      </c>
      <c r="BJ552" s="71" t="str">
        <f>IF(AND($AS552=1,$AJ552=1),$BA552*100000+ROW(),"")</f>
        <v/>
      </c>
      <c r="BK552" s="71" t="str">
        <f>IF(AND($AY552=1,$AJ552=1),$BA552*100000+ROW(),"")</f>
        <v/>
      </c>
      <c r="BL552" s="71" t="str">
        <f>IF(AND($AZ552=1),$BA552*100000+ROW(),"")</f>
        <v/>
      </c>
    </row>
    <row r="553">
      <c r="A553" s="63" t="n"/>
      <c r="B553" s="64" t="n"/>
      <c r="C553" s="64" t="n"/>
      <c r="D553" s="64" t="n"/>
      <c r="E553" s="64" t="n"/>
      <c r="F553" s="64" t="n"/>
      <c r="G553" s="65" t="n"/>
      <c r="H553" s="65" t="n"/>
      <c r="I553" s="64" t="n"/>
      <c r="J553" s="64" t="n"/>
      <c r="K553" s="63" t="n"/>
      <c r="L553" s="63" t="n"/>
      <c r="M553" s="64" t="n"/>
      <c r="N553" s="66" t="n"/>
      <c r="O553" s="65" t="n"/>
      <c r="P553" s="64" t="n"/>
      <c r="Q553" s="67" t="n"/>
      <c r="R553" s="67" t="n"/>
      <c r="S553" s="68" t="str">
        <f>IF(AND(ISNUMBER($Q553),ISNUMBER($R553)),$Q553-$R553,"")</f>
        <v/>
      </c>
      <c r="T553" s="65" t="n"/>
      <c r="U553" s="64" t="n"/>
      <c r="V553" s="65" t="n"/>
      <c r="W553" s="63" t="n"/>
      <c r="X553" s="65" t="n"/>
      <c r="Y553" s="63" t="n"/>
      <c r="Z553" s="64" t="n"/>
      <c r="AA553" s="64" t="n"/>
      <c r="AB553" s="65" t="n"/>
      <c r="AC553" s="69" t="str">
        <f>IF(OR($G553="",NOT(ISNUMBER($K553)),$AK553=0),"",MAX(0,ReportDate-$K553))</f>
        <v/>
      </c>
      <c r="AD553" s="69" t="str">
        <f>IF($G553="","",IF($AL553=1,ReportDate-$L553,0))</f>
        <v/>
      </c>
      <c r="AE553" s="70" t="str">
        <f>IF($G553="","",IF($M553="Completed",1,IF(ISNUMBER($N553),$N553,0)))</f>
        <v/>
      </c>
      <c r="AF553" s="70" t="str">
        <f>IF(AND(ISNUMBER($Q553),ISNUMBER($R553)),IF($R553&lt;&gt;0,$Q553/$R553,""),"")</f>
        <v/>
      </c>
      <c r="AG553" s="71" t="str">
        <f>IF($G553="","",IF($AL553=1,"OVERDUE",IF($AM553=1,"BLOCKED",IF($AN553=1,"DUE TODAY",IF($AO553=1,"DUE TOMORROW",IF($AQ553=1,"HIGH PRIORITY",IF($AR553=1,"NO RECENT UPDATE",""))))))) </f>
        <v/>
      </c>
      <c r="AH553" s="71" t="str">
        <f>IF($G553="","",IF(ISNUMBER($A553),IF(ISNUMBER($A553),YEAR($A553)&amp;"-"&amp;TEXT(MONTH($A553),"00"),""),IF(ISNUMBER($L553),IF(ISNUMBER($L553),YEAR($L553)&amp;"-"&amp;TEXT(MONTH($L553),"00"),""),"")))</f>
        <v/>
      </c>
      <c r="AI553" s="71">
        <f>IF($G553="",0,IF(AND(OR(fClient="All",$C553=fClient),OR(fCampaign="All",$D553=fCampaign),OR(fTeam="All",$B553=fTeam),OR(fChannel="All",$F553=fChannel),OR(fMonth="All",$AH553=fMonth),OR(fTStatus="All",$M553=fTStatus)),1,0))</f>
        <v>0</v>
      </c>
      <c r="AJ553" s="71">
        <f>IF($G553="",0,IF(AND(OR(fClient="All",$C553=fClient),OR(fCampaign="All",$D553=fCampaign),OR(fTeam="All",$B553=fTeam),OR(fChannel="All",$F553=fChannel)),1,0))</f>
        <v>0</v>
      </c>
      <c r="AK553" s="71">
        <f>IF($G553="",0,IF(OR($M553="Completed",$M553="Cancelled"),0,1))</f>
        <v>0</v>
      </c>
      <c r="AL553" s="71">
        <f>IF(AND($AK553=1,ISNUMBER($L553)),IF($L553&lt;ReportDate,1,0),0)</f>
        <v>0</v>
      </c>
      <c r="AM553" s="71">
        <f>IF(AND($G553&lt;&gt;"",$M553="Blocked"),1,0)</f>
        <v>0</v>
      </c>
      <c r="AN553" s="71">
        <f>IF(AND($AK553=1,ISNUMBER($L553)),IF($L553=ReportDate,1,0),0)</f>
        <v>0</v>
      </c>
      <c r="AO553" s="71">
        <f>IF(AND($AK553=1,ISNUMBER($L553)),IF($L553=ReportDate+1,1,0),0)</f>
        <v>0</v>
      </c>
      <c r="AP553" s="71">
        <f>IF(AND($AK553=1,ISNUMBER($L553)),IF(AND($L553&gt;=ReportDate,$L553&lt;=ReportDate+DueSoonDays),1,0),0)</f>
        <v>0</v>
      </c>
      <c r="AQ553" s="71">
        <f>IF(AND($AK553=1,OR($I553="Critical",$I553="High")),1,0)</f>
        <v>0</v>
      </c>
      <c r="AR553" s="71">
        <f>IF($AK553=1,IF(ISNUMBER($Y553),IF(ReportDate-$Y553&gt;StaleDays,1,0),1),0)</f>
        <v>0</v>
      </c>
      <c r="AS553" s="71">
        <f>IF(AND($G553&lt;&gt;"",ISNUMBER($Q553),ISNUMBER($R553)),IF(AND($Q553&lt;$R553,OR($M553="Completed",AND(ISNUMBER($L553),$L553&lt;ReportDate))),1,0),0)</f>
        <v>0</v>
      </c>
      <c r="AT553" s="71">
        <f>IF($AK553=1,IF(OR($L553=ReportDate,$W553=ReportDate,$K553=ReportDate,$A553=ReportDate),1,0),0)</f>
        <v>0</v>
      </c>
      <c r="AU553" s="71">
        <f>IF($AK553=1,IF(OR($L553=ReportDate+1,$W553=ReportDate+1,$K553=ReportDate+1,$A553=ReportDate+1),1,0),0)</f>
        <v>0</v>
      </c>
      <c r="AV553" s="71">
        <f>IF(AND($G553&lt;&gt;"",$M553="Completed"),IF(OR($Y553=ReportDate-1,$A553=ReportDate-1),1,0),0)</f>
        <v>0</v>
      </c>
      <c r="AW553" s="71">
        <f>IF(AND($AK553=1,$Z553="Yes"),1,0)</f>
        <v>0</v>
      </c>
      <c r="AX553" s="71">
        <f>IF(AND($AK553=1,$AA553="Yes"),1,0)</f>
        <v>0</v>
      </c>
      <c r="AY553" s="71">
        <f>IF(AND($AM553=1,OR($I553="Critical",$I553="High")),1,0)</f>
        <v>0</v>
      </c>
      <c r="AZ553" s="71">
        <f>IF(AND($AK553=1,OR($C553=TCL_Client,$C553=MECCA_Client)),1,0)</f>
        <v>0</v>
      </c>
      <c r="BA553" s="71" t="str">
        <f>IF($G553="","",IFERROR(MATCH($I553,lst_Priority,0),5))</f>
        <v/>
      </c>
      <c r="BB553" s="71" t="str">
        <f>IF(AND($AL553=1,$AJ553=1),$BA553*100000+ROW(),"")</f>
        <v/>
      </c>
      <c r="BC553" s="71" t="str">
        <f>IF(AND($AM553=1,$AJ553=1),$BA553*100000+ROW(),"")</f>
        <v/>
      </c>
      <c r="BD553" s="71" t="str">
        <f>IF(AND($AP553=1,$AJ553=1),$BA553*100000+ROW(),"")</f>
        <v/>
      </c>
      <c r="BE553" s="71" t="str">
        <f>IF(AND($AT553=1,$AJ553=1),$BA553*100000+ROW(),"")</f>
        <v/>
      </c>
      <c r="BF553" s="71" t="str">
        <f>IF(AND($AU553=1,$AJ553=1),$BA553*100000+ROW(),"")</f>
        <v/>
      </c>
      <c r="BG553" s="71" t="str">
        <f>IF(AND($AV553=1,$AJ553=1),$BA553*100000+ROW(),"")</f>
        <v/>
      </c>
      <c r="BH553" s="71" t="str">
        <f>IF(AND($AW553=1,$AJ553=1),$BA553*100000+ROW(),"")</f>
        <v/>
      </c>
      <c r="BI553" s="71" t="str">
        <f>IF(AND($AX553=1,$AJ553=1),$BA553*100000+ROW(),"")</f>
        <v/>
      </c>
      <c r="BJ553" s="71" t="str">
        <f>IF(AND($AS553=1,$AJ553=1),$BA553*100000+ROW(),"")</f>
        <v/>
      </c>
      <c r="BK553" s="71" t="str">
        <f>IF(AND($AY553=1,$AJ553=1),$BA553*100000+ROW(),"")</f>
        <v/>
      </c>
      <c r="BL553" s="71" t="str">
        <f>IF(AND($AZ553=1),$BA553*100000+ROW(),"")</f>
        <v/>
      </c>
    </row>
    <row r="554">
      <c r="A554" s="63" t="n"/>
      <c r="B554" s="64" t="n"/>
      <c r="C554" s="64" t="n"/>
      <c r="D554" s="64" t="n"/>
      <c r="E554" s="64" t="n"/>
      <c r="F554" s="64" t="n"/>
      <c r="G554" s="65" t="n"/>
      <c r="H554" s="65" t="n"/>
      <c r="I554" s="64" t="n"/>
      <c r="J554" s="64" t="n"/>
      <c r="K554" s="63" t="n"/>
      <c r="L554" s="63" t="n"/>
      <c r="M554" s="64" t="n"/>
      <c r="N554" s="66" t="n"/>
      <c r="O554" s="65" t="n"/>
      <c r="P554" s="64" t="n"/>
      <c r="Q554" s="67" t="n"/>
      <c r="R554" s="67" t="n"/>
      <c r="S554" s="68" t="str">
        <f>IF(AND(ISNUMBER($Q554),ISNUMBER($R554)),$Q554-$R554,"")</f>
        <v/>
      </c>
      <c r="T554" s="65" t="n"/>
      <c r="U554" s="64" t="n"/>
      <c r="V554" s="65" t="n"/>
      <c r="W554" s="63" t="n"/>
      <c r="X554" s="65" t="n"/>
      <c r="Y554" s="63" t="n"/>
      <c r="Z554" s="64" t="n"/>
      <c r="AA554" s="64" t="n"/>
      <c r="AB554" s="65" t="n"/>
      <c r="AC554" s="69" t="str">
        <f>IF(OR($G554="",NOT(ISNUMBER($K554)),$AK554=0),"",MAX(0,ReportDate-$K554))</f>
        <v/>
      </c>
      <c r="AD554" s="69" t="str">
        <f>IF($G554="","",IF($AL554=1,ReportDate-$L554,0))</f>
        <v/>
      </c>
      <c r="AE554" s="70" t="str">
        <f>IF($G554="","",IF($M554="Completed",1,IF(ISNUMBER($N554),$N554,0)))</f>
        <v/>
      </c>
      <c r="AF554" s="70" t="str">
        <f>IF(AND(ISNUMBER($Q554),ISNUMBER($R554)),IF($R554&lt;&gt;0,$Q554/$R554,""),"")</f>
        <v/>
      </c>
      <c r="AG554" s="71" t="str">
        <f>IF($G554="","",IF($AL554=1,"OVERDUE",IF($AM554=1,"BLOCKED",IF($AN554=1,"DUE TODAY",IF($AO554=1,"DUE TOMORROW",IF($AQ554=1,"HIGH PRIORITY",IF($AR554=1,"NO RECENT UPDATE",""))))))) </f>
        <v/>
      </c>
      <c r="AH554" s="71" t="str">
        <f>IF($G554="","",IF(ISNUMBER($A554),IF(ISNUMBER($A554),YEAR($A554)&amp;"-"&amp;TEXT(MONTH($A554),"00"),""),IF(ISNUMBER($L554),IF(ISNUMBER($L554),YEAR($L554)&amp;"-"&amp;TEXT(MONTH($L554),"00"),""),"")))</f>
        <v/>
      </c>
      <c r="AI554" s="71">
        <f>IF($G554="",0,IF(AND(OR(fClient="All",$C554=fClient),OR(fCampaign="All",$D554=fCampaign),OR(fTeam="All",$B554=fTeam),OR(fChannel="All",$F554=fChannel),OR(fMonth="All",$AH554=fMonth),OR(fTStatus="All",$M554=fTStatus)),1,0))</f>
        <v>0</v>
      </c>
      <c r="AJ554" s="71">
        <f>IF($G554="",0,IF(AND(OR(fClient="All",$C554=fClient),OR(fCampaign="All",$D554=fCampaign),OR(fTeam="All",$B554=fTeam),OR(fChannel="All",$F554=fChannel)),1,0))</f>
        <v>0</v>
      </c>
      <c r="AK554" s="71">
        <f>IF($G554="",0,IF(OR($M554="Completed",$M554="Cancelled"),0,1))</f>
        <v>0</v>
      </c>
      <c r="AL554" s="71">
        <f>IF(AND($AK554=1,ISNUMBER($L554)),IF($L554&lt;ReportDate,1,0),0)</f>
        <v>0</v>
      </c>
      <c r="AM554" s="71">
        <f>IF(AND($G554&lt;&gt;"",$M554="Blocked"),1,0)</f>
        <v>0</v>
      </c>
      <c r="AN554" s="71">
        <f>IF(AND($AK554=1,ISNUMBER($L554)),IF($L554=ReportDate,1,0),0)</f>
        <v>0</v>
      </c>
      <c r="AO554" s="71">
        <f>IF(AND($AK554=1,ISNUMBER($L554)),IF($L554=ReportDate+1,1,0),0)</f>
        <v>0</v>
      </c>
      <c r="AP554" s="71">
        <f>IF(AND($AK554=1,ISNUMBER($L554)),IF(AND($L554&gt;=ReportDate,$L554&lt;=ReportDate+DueSoonDays),1,0),0)</f>
        <v>0</v>
      </c>
      <c r="AQ554" s="71">
        <f>IF(AND($AK554=1,OR($I554="Critical",$I554="High")),1,0)</f>
        <v>0</v>
      </c>
      <c r="AR554" s="71">
        <f>IF($AK554=1,IF(ISNUMBER($Y554),IF(ReportDate-$Y554&gt;StaleDays,1,0),1),0)</f>
        <v>0</v>
      </c>
      <c r="AS554" s="71">
        <f>IF(AND($G554&lt;&gt;"",ISNUMBER($Q554),ISNUMBER($R554)),IF(AND($Q554&lt;$R554,OR($M554="Completed",AND(ISNUMBER($L554),$L554&lt;ReportDate))),1,0),0)</f>
        <v>0</v>
      </c>
      <c r="AT554" s="71">
        <f>IF($AK554=1,IF(OR($L554=ReportDate,$W554=ReportDate,$K554=ReportDate,$A554=ReportDate),1,0),0)</f>
        <v>0</v>
      </c>
      <c r="AU554" s="71">
        <f>IF($AK554=1,IF(OR($L554=ReportDate+1,$W554=ReportDate+1,$K554=ReportDate+1,$A554=ReportDate+1),1,0),0)</f>
        <v>0</v>
      </c>
      <c r="AV554" s="71">
        <f>IF(AND($G554&lt;&gt;"",$M554="Completed"),IF(OR($Y554=ReportDate-1,$A554=ReportDate-1),1,0),0)</f>
        <v>0</v>
      </c>
      <c r="AW554" s="71">
        <f>IF(AND($AK554=1,$Z554="Yes"),1,0)</f>
        <v>0</v>
      </c>
      <c r="AX554" s="71">
        <f>IF(AND($AK554=1,$AA554="Yes"),1,0)</f>
        <v>0</v>
      </c>
      <c r="AY554" s="71">
        <f>IF(AND($AM554=1,OR($I554="Critical",$I554="High")),1,0)</f>
        <v>0</v>
      </c>
      <c r="AZ554" s="71">
        <f>IF(AND($AK554=1,OR($C554=TCL_Client,$C554=MECCA_Client)),1,0)</f>
        <v>0</v>
      </c>
      <c r="BA554" s="71" t="str">
        <f>IF($G554="","",IFERROR(MATCH($I554,lst_Priority,0),5))</f>
        <v/>
      </c>
      <c r="BB554" s="71" t="str">
        <f>IF(AND($AL554=1,$AJ554=1),$BA554*100000+ROW(),"")</f>
        <v/>
      </c>
      <c r="BC554" s="71" t="str">
        <f>IF(AND($AM554=1,$AJ554=1),$BA554*100000+ROW(),"")</f>
        <v/>
      </c>
      <c r="BD554" s="71" t="str">
        <f>IF(AND($AP554=1,$AJ554=1),$BA554*100000+ROW(),"")</f>
        <v/>
      </c>
      <c r="BE554" s="71" t="str">
        <f>IF(AND($AT554=1,$AJ554=1),$BA554*100000+ROW(),"")</f>
        <v/>
      </c>
      <c r="BF554" s="71" t="str">
        <f>IF(AND($AU554=1,$AJ554=1),$BA554*100000+ROW(),"")</f>
        <v/>
      </c>
      <c r="BG554" s="71" t="str">
        <f>IF(AND($AV554=1,$AJ554=1),$BA554*100000+ROW(),"")</f>
        <v/>
      </c>
      <c r="BH554" s="71" t="str">
        <f>IF(AND($AW554=1,$AJ554=1),$BA554*100000+ROW(),"")</f>
        <v/>
      </c>
      <c r="BI554" s="71" t="str">
        <f>IF(AND($AX554=1,$AJ554=1),$BA554*100000+ROW(),"")</f>
        <v/>
      </c>
      <c r="BJ554" s="71" t="str">
        <f>IF(AND($AS554=1,$AJ554=1),$BA554*100000+ROW(),"")</f>
        <v/>
      </c>
      <c r="BK554" s="71" t="str">
        <f>IF(AND($AY554=1,$AJ554=1),$BA554*100000+ROW(),"")</f>
        <v/>
      </c>
      <c r="BL554" s="71" t="str">
        <f>IF(AND($AZ554=1),$BA554*100000+ROW(),"")</f>
        <v/>
      </c>
    </row>
    <row r="555">
      <c r="A555" s="63" t="n"/>
      <c r="B555" s="64" t="n"/>
      <c r="C555" s="64" t="n"/>
      <c r="D555" s="64" t="n"/>
      <c r="E555" s="64" t="n"/>
      <c r="F555" s="64" t="n"/>
      <c r="G555" s="65" t="n"/>
      <c r="H555" s="65" t="n"/>
      <c r="I555" s="64" t="n"/>
      <c r="J555" s="64" t="n"/>
      <c r="K555" s="63" t="n"/>
      <c r="L555" s="63" t="n"/>
      <c r="M555" s="64" t="n"/>
      <c r="N555" s="66" t="n"/>
      <c r="O555" s="65" t="n"/>
      <c r="P555" s="64" t="n"/>
      <c r="Q555" s="67" t="n"/>
      <c r="R555" s="67" t="n"/>
      <c r="S555" s="68" t="str">
        <f>IF(AND(ISNUMBER($Q555),ISNUMBER($R555)),$Q555-$R555,"")</f>
        <v/>
      </c>
      <c r="T555" s="65" t="n"/>
      <c r="U555" s="64" t="n"/>
      <c r="V555" s="65" t="n"/>
      <c r="W555" s="63" t="n"/>
      <c r="X555" s="65" t="n"/>
      <c r="Y555" s="63" t="n"/>
      <c r="Z555" s="64" t="n"/>
      <c r="AA555" s="64" t="n"/>
      <c r="AB555" s="65" t="n"/>
      <c r="AC555" s="69" t="str">
        <f>IF(OR($G555="",NOT(ISNUMBER($K555)),$AK555=0),"",MAX(0,ReportDate-$K555))</f>
        <v/>
      </c>
      <c r="AD555" s="69" t="str">
        <f>IF($G555="","",IF($AL555=1,ReportDate-$L555,0))</f>
        <v/>
      </c>
      <c r="AE555" s="70" t="str">
        <f>IF($G555="","",IF($M555="Completed",1,IF(ISNUMBER($N555),$N555,0)))</f>
        <v/>
      </c>
      <c r="AF555" s="70" t="str">
        <f>IF(AND(ISNUMBER($Q555),ISNUMBER($R555)),IF($R555&lt;&gt;0,$Q555/$R555,""),"")</f>
        <v/>
      </c>
      <c r="AG555" s="71" t="str">
        <f>IF($G555="","",IF($AL555=1,"OVERDUE",IF($AM555=1,"BLOCKED",IF($AN555=1,"DUE TODAY",IF($AO555=1,"DUE TOMORROW",IF($AQ555=1,"HIGH PRIORITY",IF($AR555=1,"NO RECENT UPDATE",""))))))) </f>
        <v/>
      </c>
      <c r="AH555" s="71" t="str">
        <f>IF($G555="","",IF(ISNUMBER($A555),IF(ISNUMBER($A555),YEAR($A555)&amp;"-"&amp;TEXT(MONTH($A555),"00"),""),IF(ISNUMBER($L555),IF(ISNUMBER($L555),YEAR($L555)&amp;"-"&amp;TEXT(MONTH($L555),"00"),""),"")))</f>
        <v/>
      </c>
      <c r="AI555" s="71">
        <f>IF($G555="",0,IF(AND(OR(fClient="All",$C555=fClient),OR(fCampaign="All",$D555=fCampaign),OR(fTeam="All",$B555=fTeam),OR(fChannel="All",$F555=fChannel),OR(fMonth="All",$AH555=fMonth),OR(fTStatus="All",$M555=fTStatus)),1,0))</f>
        <v>0</v>
      </c>
      <c r="AJ555" s="71">
        <f>IF($G555="",0,IF(AND(OR(fClient="All",$C555=fClient),OR(fCampaign="All",$D555=fCampaign),OR(fTeam="All",$B555=fTeam),OR(fChannel="All",$F555=fChannel)),1,0))</f>
        <v>0</v>
      </c>
      <c r="AK555" s="71">
        <f>IF($G555="",0,IF(OR($M555="Completed",$M555="Cancelled"),0,1))</f>
        <v>0</v>
      </c>
      <c r="AL555" s="71">
        <f>IF(AND($AK555=1,ISNUMBER($L555)),IF($L555&lt;ReportDate,1,0),0)</f>
        <v>0</v>
      </c>
      <c r="AM555" s="71">
        <f>IF(AND($G555&lt;&gt;"",$M555="Blocked"),1,0)</f>
        <v>0</v>
      </c>
      <c r="AN555" s="71">
        <f>IF(AND($AK555=1,ISNUMBER($L555)),IF($L555=ReportDate,1,0),0)</f>
        <v>0</v>
      </c>
      <c r="AO555" s="71">
        <f>IF(AND($AK555=1,ISNUMBER($L555)),IF($L555=ReportDate+1,1,0),0)</f>
        <v>0</v>
      </c>
      <c r="AP555" s="71">
        <f>IF(AND($AK555=1,ISNUMBER($L555)),IF(AND($L555&gt;=ReportDate,$L555&lt;=ReportDate+DueSoonDays),1,0),0)</f>
        <v>0</v>
      </c>
      <c r="AQ555" s="71">
        <f>IF(AND($AK555=1,OR($I555="Critical",$I555="High")),1,0)</f>
        <v>0</v>
      </c>
      <c r="AR555" s="71">
        <f>IF($AK555=1,IF(ISNUMBER($Y555),IF(ReportDate-$Y555&gt;StaleDays,1,0),1),0)</f>
        <v>0</v>
      </c>
      <c r="AS555" s="71">
        <f>IF(AND($G555&lt;&gt;"",ISNUMBER($Q555),ISNUMBER($R555)),IF(AND($Q555&lt;$R555,OR($M555="Completed",AND(ISNUMBER($L555),$L555&lt;ReportDate))),1,0),0)</f>
        <v>0</v>
      </c>
      <c r="AT555" s="71">
        <f>IF($AK555=1,IF(OR($L555=ReportDate,$W555=ReportDate,$K555=ReportDate,$A555=ReportDate),1,0),0)</f>
        <v>0</v>
      </c>
      <c r="AU555" s="71">
        <f>IF($AK555=1,IF(OR($L555=ReportDate+1,$W555=ReportDate+1,$K555=ReportDate+1,$A555=ReportDate+1),1,0),0)</f>
        <v>0</v>
      </c>
      <c r="AV555" s="71">
        <f>IF(AND($G555&lt;&gt;"",$M555="Completed"),IF(OR($Y555=ReportDate-1,$A555=ReportDate-1),1,0),0)</f>
        <v>0</v>
      </c>
      <c r="AW555" s="71">
        <f>IF(AND($AK555=1,$Z555="Yes"),1,0)</f>
        <v>0</v>
      </c>
      <c r="AX555" s="71">
        <f>IF(AND($AK555=1,$AA555="Yes"),1,0)</f>
        <v>0</v>
      </c>
      <c r="AY555" s="71">
        <f>IF(AND($AM555=1,OR($I555="Critical",$I555="High")),1,0)</f>
        <v>0</v>
      </c>
      <c r="AZ555" s="71">
        <f>IF(AND($AK555=1,OR($C555=TCL_Client,$C555=MECCA_Client)),1,0)</f>
        <v>0</v>
      </c>
      <c r="BA555" s="71" t="str">
        <f>IF($G555="","",IFERROR(MATCH($I555,lst_Priority,0),5))</f>
        <v/>
      </c>
      <c r="BB555" s="71" t="str">
        <f>IF(AND($AL555=1,$AJ555=1),$BA555*100000+ROW(),"")</f>
        <v/>
      </c>
      <c r="BC555" s="71" t="str">
        <f>IF(AND($AM555=1,$AJ555=1),$BA555*100000+ROW(),"")</f>
        <v/>
      </c>
      <c r="BD555" s="71" t="str">
        <f>IF(AND($AP555=1,$AJ555=1),$BA555*100000+ROW(),"")</f>
        <v/>
      </c>
      <c r="BE555" s="71" t="str">
        <f>IF(AND($AT555=1,$AJ555=1),$BA555*100000+ROW(),"")</f>
        <v/>
      </c>
      <c r="BF555" s="71" t="str">
        <f>IF(AND($AU555=1,$AJ555=1),$BA555*100000+ROW(),"")</f>
        <v/>
      </c>
      <c r="BG555" s="71" t="str">
        <f>IF(AND($AV555=1,$AJ555=1),$BA555*100000+ROW(),"")</f>
        <v/>
      </c>
      <c r="BH555" s="71" t="str">
        <f>IF(AND($AW555=1,$AJ555=1),$BA555*100000+ROW(),"")</f>
        <v/>
      </c>
      <c r="BI555" s="71" t="str">
        <f>IF(AND($AX555=1,$AJ555=1),$BA555*100000+ROW(),"")</f>
        <v/>
      </c>
      <c r="BJ555" s="71" t="str">
        <f>IF(AND($AS555=1,$AJ555=1),$BA555*100000+ROW(),"")</f>
        <v/>
      </c>
      <c r="BK555" s="71" t="str">
        <f>IF(AND($AY555=1,$AJ555=1),$BA555*100000+ROW(),"")</f>
        <v/>
      </c>
      <c r="BL555" s="71" t="str">
        <f>IF(AND($AZ555=1),$BA555*100000+ROW(),"")</f>
        <v/>
      </c>
    </row>
    <row r="556">
      <c r="A556" s="63" t="n"/>
      <c r="B556" s="64" t="n"/>
      <c r="C556" s="64" t="n"/>
      <c r="D556" s="64" t="n"/>
      <c r="E556" s="64" t="n"/>
      <c r="F556" s="64" t="n"/>
      <c r="G556" s="65" t="n"/>
      <c r="H556" s="65" t="n"/>
      <c r="I556" s="64" t="n"/>
      <c r="J556" s="64" t="n"/>
      <c r="K556" s="63" t="n"/>
      <c r="L556" s="63" t="n"/>
      <c r="M556" s="64" t="n"/>
      <c r="N556" s="66" t="n"/>
      <c r="O556" s="65" t="n"/>
      <c r="P556" s="64" t="n"/>
      <c r="Q556" s="67" t="n"/>
      <c r="R556" s="67" t="n"/>
      <c r="S556" s="68" t="str">
        <f>IF(AND(ISNUMBER($Q556),ISNUMBER($R556)),$Q556-$R556,"")</f>
        <v/>
      </c>
      <c r="T556" s="65" t="n"/>
      <c r="U556" s="64" t="n"/>
      <c r="V556" s="65" t="n"/>
      <c r="W556" s="63" t="n"/>
      <c r="X556" s="65" t="n"/>
      <c r="Y556" s="63" t="n"/>
      <c r="Z556" s="64" t="n"/>
      <c r="AA556" s="64" t="n"/>
      <c r="AB556" s="65" t="n"/>
      <c r="AC556" s="69" t="str">
        <f>IF(OR($G556="",NOT(ISNUMBER($K556)),$AK556=0),"",MAX(0,ReportDate-$K556))</f>
        <v/>
      </c>
      <c r="AD556" s="69" t="str">
        <f>IF($G556="","",IF($AL556=1,ReportDate-$L556,0))</f>
        <v/>
      </c>
      <c r="AE556" s="70" t="str">
        <f>IF($G556="","",IF($M556="Completed",1,IF(ISNUMBER($N556),$N556,0)))</f>
        <v/>
      </c>
      <c r="AF556" s="70" t="str">
        <f>IF(AND(ISNUMBER($Q556),ISNUMBER($R556)),IF($R556&lt;&gt;0,$Q556/$R556,""),"")</f>
        <v/>
      </c>
      <c r="AG556" s="71" t="str">
        <f>IF($G556="","",IF($AL556=1,"OVERDUE",IF($AM556=1,"BLOCKED",IF($AN556=1,"DUE TODAY",IF($AO556=1,"DUE TOMORROW",IF($AQ556=1,"HIGH PRIORITY",IF($AR556=1,"NO RECENT UPDATE",""))))))) </f>
        <v/>
      </c>
      <c r="AH556" s="71" t="str">
        <f>IF($G556="","",IF(ISNUMBER($A556),IF(ISNUMBER($A556),YEAR($A556)&amp;"-"&amp;TEXT(MONTH($A556),"00"),""),IF(ISNUMBER($L556),IF(ISNUMBER($L556),YEAR($L556)&amp;"-"&amp;TEXT(MONTH($L556),"00"),""),"")))</f>
        <v/>
      </c>
      <c r="AI556" s="71">
        <f>IF($G556="",0,IF(AND(OR(fClient="All",$C556=fClient),OR(fCampaign="All",$D556=fCampaign),OR(fTeam="All",$B556=fTeam),OR(fChannel="All",$F556=fChannel),OR(fMonth="All",$AH556=fMonth),OR(fTStatus="All",$M556=fTStatus)),1,0))</f>
        <v>0</v>
      </c>
      <c r="AJ556" s="71">
        <f>IF($G556="",0,IF(AND(OR(fClient="All",$C556=fClient),OR(fCampaign="All",$D556=fCampaign),OR(fTeam="All",$B556=fTeam),OR(fChannel="All",$F556=fChannel)),1,0))</f>
        <v>0</v>
      </c>
      <c r="AK556" s="71">
        <f>IF($G556="",0,IF(OR($M556="Completed",$M556="Cancelled"),0,1))</f>
        <v>0</v>
      </c>
      <c r="AL556" s="71">
        <f>IF(AND($AK556=1,ISNUMBER($L556)),IF($L556&lt;ReportDate,1,0),0)</f>
        <v>0</v>
      </c>
      <c r="AM556" s="71">
        <f>IF(AND($G556&lt;&gt;"",$M556="Blocked"),1,0)</f>
        <v>0</v>
      </c>
      <c r="AN556" s="71">
        <f>IF(AND($AK556=1,ISNUMBER($L556)),IF($L556=ReportDate,1,0),0)</f>
        <v>0</v>
      </c>
      <c r="AO556" s="71">
        <f>IF(AND($AK556=1,ISNUMBER($L556)),IF($L556=ReportDate+1,1,0),0)</f>
        <v>0</v>
      </c>
      <c r="AP556" s="71">
        <f>IF(AND($AK556=1,ISNUMBER($L556)),IF(AND($L556&gt;=ReportDate,$L556&lt;=ReportDate+DueSoonDays),1,0),0)</f>
        <v>0</v>
      </c>
      <c r="AQ556" s="71">
        <f>IF(AND($AK556=1,OR($I556="Critical",$I556="High")),1,0)</f>
        <v>0</v>
      </c>
      <c r="AR556" s="71">
        <f>IF($AK556=1,IF(ISNUMBER($Y556),IF(ReportDate-$Y556&gt;StaleDays,1,0),1),0)</f>
        <v>0</v>
      </c>
      <c r="AS556" s="71">
        <f>IF(AND($G556&lt;&gt;"",ISNUMBER($Q556),ISNUMBER($R556)),IF(AND($Q556&lt;$R556,OR($M556="Completed",AND(ISNUMBER($L556),$L556&lt;ReportDate))),1,0),0)</f>
        <v>0</v>
      </c>
      <c r="AT556" s="71">
        <f>IF($AK556=1,IF(OR($L556=ReportDate,$W556=ReportDate,$K556=ReportDate,$A556=ReportDate),1,0),0)</f>
        <v>0</v>
      </c>
      <c r="AU556" s="71">
        <f>IF($AK556=1,IF(OR($L556=ReportDate+1,$W556=ReportDate+1,$K556=ReportDate+1,$A556=ReportDate+1),1,0),0)</f>
        <v>0</v>
      </c>
      <c r="AV556" s="71">
        <f>IF(AND($G556&lt;&gt;"",$M556="Completed"),IF(OR($Y556=ReportDate-1,$A556=ReportDate-1),1,0),0)</f>
        <v>0</v>
      </c>
      <c r="AW556" s="71">
        <f>IF(AND($AK556=1,$Z556="Yes"),1,0)</f>
        <v>0</v>
      </c>
      <c r="AX556" s="71">
        <f>IF(AND($AK556=1,$AA556="Yes"),1,0)</f>
        <v>0</v>
      </c>
      <c r="AY556" s="71">
        <f>IF(AND($AM556=1,OR($I556="Critical",$I556="High")),1,0)</f>
        <v>0</v>
      </c>
      <c r="AZ556" s="71">
        <f>IF(AND($AK556=1,OR($C556=TCL_Client,$C556=MECCA_Client)),1,0)</f>
        <v>0</v>
      </c>
      <c r="BA556" s="71" t="str">
        <f>IF($G556="","",IFERROR(MATCH($I556,lst_Priority,0),5))</f>
        <v/>
      </c>
      <c r="BB556" s="71" t="str">
        <f>IF(AND($AL556=1,$AJ556=1),$BA556*100000+ROW(),"")</f>
        <v/>
      </c>
      <c r="BC556" s="71" t="str">
        <f>IF(AND($AM556=1,$AJ556=1),$BA556*100000+ROW(),"")</f>
        <v/>
      </c>
      <c r="BD556" s="71" t="str">
        <f>IF(AND($AP556=1,$AJ556=1),$BA556*100000+ROW(),"")</f>
        <v/>
      </c>
      <c r="BE556" s="71" t="str">
        <f>IF(AND($AT556=1,$AJ556=1),$BA556*100000+ROW(),"")</f>
        <v/>
      </c>
      <c r="BF556" s="71" t="str">
        <f>IF(AND($AU556=1,$AJ556=1),$BA556*100000+ROW(),"")</f>
        <v/>
      </c>
      <c r="BG556" s="71" t="str">
        <f>IF(AND($AV556=1,$AJ556=1),$BA556*100000+ROW(),"")</f>
        <v/>
      </c>
      <c r="BH556" s="71" t="str">
        <f>IF(AND($AW556=1,$AJ556=1),$BA556*100000+ROW(),"")</f>
        <v/>
      </c>
      <c r="BI556" s="71" t="str">
        <f>IF(AND($AX556=1,$AJ556=1),$BA556*100000+ROW(),"")</f>
        <v/>
      </c>
      <c r="BJ556" s="71" t="str">
        <f>IF(AND($AS556=1,$AJ556=1),$BA556*100000+ROW(),"")</f>
        <v/>
      </c>
      <c r="BK556" s="71" t="str">
        <f>IF(AND($AY556=1,$AJ556=1),$BA556*100000+ROW(),"")</f>
        <v/>
      </c>
      <c r="BL556" s="71" t="str">
        <f>IF(AND($AZ556=1),$BA556*100000+ROW(),"")</f>
        <v/>
      </c>
    </row>
    <row r="557">
      <c r="A557" s="63" t="n"/>
      <c r="B557" s="64" t="n"/>
      <c r="C557" s="64" t="n"/>
      <c r="D557" s="64" t="n"/>
      <c r="E557" s="64" t="n"/>
      <c r="F557" s="64" t="n"/>
      <c r="G557" s="65" t="n"/>
      <c r="H557" s="65" t="n"/>
      <c r="I557" s="64" t="n"/>
      <c r="J557" s="64" t="n"/>
      <c r="K557" s="63" t="n"/>
      <c r="L557" s="63" t="n"/>
      <c r="M557" s="64" t="n"/>
      <c r="N557" s="66" t="n"/>
      <c r="O557" s="65" t="n"/>
      <c r="P557" s="64" t="n"/>
      <c r="Q557" s="67" t="n"/>
      <c r="R557" s="67" t="n"/>
      <c r="S557" s="68" t="str">
        <f>IF(AND(ISNUMBER($Q557),ISNUMBER($R557)),$Q557-$R557,"")</f>
        <v/>
      </c>
      <c r="T557" s="65" t="n"/>
      <c r="U557" s="64" t="n"/>
      <c r="V557" s="65" t="n"/>
      <c r="W557" s="63" t="n"/>
      <c r="X557" s="65" t="n"/>
      <c r="Y557" s="63" t="n"/>
      <c r="Z557" s="64" t="n"/>
      <c r="AA557" s="64" t="n"/>
      <c r="AB557" s="65" t="n"/>
      <c r="AC557" s="69" t="str">
        <f>IF(OR($G557="",NOT(ISNUMBER($K557)),$AK557=0),"",MAX(0,ReportDate-$K557))</f>
        <v/>
      </c>
      <c r="AD557" s="69" t="str">
        <f>IF($G557="","",IF($AL557=1,ReportDate-$L557,0))</f>
        <v/>
      </c>
      <c r="AE557" s="70" t="str">
        <f>IF($G557="","",IF($M557="Completed",1,IF(ISNUMBER($N557),$N557,0)))</f>
        <v/>
      </c>
      <c r="AF557" s="70" t="str">
        <f>IF(AND(ISNUMBER($Q557),ISNUMBER($R557)),IF($R557&lt;&gt;0,$Q557/$R557,""),"")</f>
        <v/>
      </c>
      <c r="AG557" s="71" t="str">
        <f>IF($G557="","",IF($AL557=1,"OVERDUE",IF($AM557=1,"BLOCKED",IF($AN557=1,"DUE TODAY",IF($AO557=1,"DUE TOMORROW",IF($AQ557=1,"HIGH PRIORITY",IF($AR557=1,"NO RECENT UPDATE",""))))))) </f>
        <v/>
      </c>
      <c r="AH557" s="71" t="str">
        <f>IF($G557="","",IF(ISNUMBER($A557),IF(ISNUMBER($A557),YEAR($A557)&amp;"-"&amp;TEXT(MONTH($A557),"00"),""),IF(ISNUMBER($L557),IF(ISNUMBER($L557),YEAR($L557)&amp;"-"&amp;TEXT(MONTH($L557),"00"),""),"")))</f>
        <v/>
      </c>
      <c r="AI557" s="71">
        <f>IF($G557="",0,IF(AND(OR(fClient="All",$C557=fClient),OR(fCampaign="All",$D557=fCampaign),OR(fTeam="All",$B557=fTeam),OR(fChannel="All",$F557=fChannel),OR(fMonth="All",$AH557=fMonth),OR(fTStatus="All",$M557=fTStatus)),1,0))</f>
        <v>0</v>
      </c>
      <c r="AJ557" s="71">
        <f>IF($G557="",0,IF(AND(OR(fClient="All",$C557=fClient),OR(fCampaign="All",$D557=fCampaign),OR(fTeam="All",$B557=fTeam),OR(fChannel="All",$F557=fChannel)),1,0))</f>
        <v>0</v>
      </c>
      <c r="AK557" s="71">
        <f>IF($G557="",0,IF(OR($M557="Completed",$M557="Cancelled"),0,1))</f>
        <v>0</v>
      </c>
      <c r="AL557" s="71">
        <f>IF(AND($AK557=1,ISNUMBER($L557)),IF($L557&lt;ReportDate,1,0),0)</f>
        <v>0</v>
      </c>
      <c r="AM557" s="71">
        <f>IF(AND($G557&lt;&gt;"",$M557="Blocked"),1,0)</f>
        <v>0</v>
      </c>
      <c r="AN557" s="71">
        <f>IF(AND($AK557=1,ISNUMBER($L557)),IF($L557=ReportDate,1,0),0)</f>
        <v>0</v>
      </c>
      <c r="AO557" s="71">
        <f>IF(AND($AK557=1,ISNUMBER($L557)),IF($L557=ReportDate+1,1,0),0)</f>
        <v>0</v>
      </c>
      <c r="AP557" s="71">
        <f>IF(AND($AK557=1,ISNUMBER($L557)),IF(AND($L557&gt;=ReportDate,$L557&lt;=ReportDate+DueSoonDays),1,0),0)</f>
        <v>0</v>
      </c>
      <c r="AQ557" s="71">
        <f>IF(AND($AK557=1,OR($I557="Critical",$I557="High")),1,0)</f>
        <v>0</v>
      </c>
      <c r="AR557" s="71">
        <f>IF($AK557=1,IF(ISNUMBER($Y557),IF(ReportDate-$Y557&gt;StaleDays,1,0),1),0)</f>
        <v>0</v>
      </c>
      <c r="AS557" s="71">
        <f>IF(AND($G557&lt;&gt;"",ISNUMBER($Q557),ISNUMBER($R557)),IF(AND($Q557&lt;$R557,OR($M557="Completed",AND(ISNUMBER($L557),$L557&lt;ReportDate))),1,0),0)</f>
        <v>0</v>
      </c>
      <c r="AT557" s="71">
        <f>IF($AK557=1,IF(OR($L557=ReportDate,$W557=ReportDate,$K557=ReportDate,$A557=ReportDate),1,0),0)</f>
        <v>0</v>
      </c>
      <c r="AU557" s="71">
        <f>IF($AK557=1,IF(OR($L557=ReportDate+1,$W557=ReportDate+1,$K557=ReportDate+1,$A557=ReportDate+1),1,0),0)</f>
        <v>0</v>
      </c>
      <c r="AV557" s="71">
        <f>IF(AND($G557&lt;&gt;"",$M557="Completed"),IF(OR($Y557=ReportDate-1,$A557=ReportDate-1),1,0),0)</f>
        <v>0</v>
      </c>
      <c r="AW557" s="71">
        <f>IF(AND($AK557=1,$Z557="Yes"),1,0)</f>
        <v>0</v>
      </c>
      <c r="AX557" s="71">
        <f>IF(AND($AK557=1,$AA557="Yes"),1,0)</f>
        <v>0</v>
      </c>
      <c r="AY557" s="71">
        <f>IF(AND($AM557=1,OR($I557="Critical",$I557="High")),1,0)</f>
        <v>0</v>
      </c>
      <c r="AZ557" s="71">
        <f>IF(AND($AK557=1,OR($C557=TCL_Client,$C557=MECCA_Client)),1,0)</f>
        <v>0</v>
      </c>
      <c r="BA557" s="71" t="str">
        <f>IF($G557="","",IFERROR(MATCH($I557,lst_Priority,0),5))</f>
        <v/>
      </c>
      <c r="BB557" s="71" t="str">
        <f>IF(AND($AL557=1,$AJ557=1),$BA557*100000+ROW(),"")</f>
        <v/>
      </c>
      <c r="BC557" s="71" t="str">
        <f>IF(AND($AM557=1,$AJ557=1),$BA557*100000+ROW(),"")</f>
        <v/>
      </c>
      <c r="BD557" s="71" t="str">
        <f>IF(AND($AP557=1,$AJ557=1),$BA557*100000+ROW(),"")</f>
        <v/>
      </c>
      <c r="BE557" s="71" t="str">
        <f>IF(AND($AT557=1,$AJ557=1),$BA557*100000+ROW(),"")</f>
        <v/>
      </c>
      <c r="BF557" s="71" t="str">
        <f>IF(AND($AU557=1,$AJ557=1),$BA557*100000+ROW(),"")</f>
        <v/>
      </c>
      <c r="BG557" s="71" t="str">
        <f>IF(AND($AV557=1,$AJ557=1),$BA557*100000+ROW(),"")</f>
        <v/>
      </c>
      <c r="BH557" s="71" t="str">
        <f>IF(AND($AW557=1,$AJ557=1),$BA557*100000+ROW(),"")</f>
        <v/>
      </c>
      <c r="BI557" s="71" t="str">
        <f>IF(AND($AX557=1,$AJ557=1),$BA557*100000+ROW(),"")</f>
        <v/>
      </c>
      <c r="BJ557" s="71" t="str">
        <f>IF(AND($AS557=1,$AJ557=1),$BA557*100000+ROW(),"")</f>
        <v/>
      </c>
      <c r="BK557" s="71" t="str">
        <f>IF(AND($AY557=1,$AJ557=1),$BA557*100000+ROW(),"")</f>
        <v/>
      </c>
      <c r="BL557" s="71" t="str">
        <f>IF(AND($AZ557=1),$BA557*100000+ROW(),"")</f>
        <v/>
      </c>
    </row>
    <row r="558">
      <c r="A558" s="63" t="n"/>
      <c r="B558" s="64" t="n"/>
      <c r="C558" s="64" t="n"/>
      <c r="D558" s="64" t="n"/>
      <c r="E558" s="64" t="n"/>
      <c r="F558" s="64" t="n"/>
      <c r="G558" s="65" t="n"/>
      <c r="H558" s="65" t="n"/>
      <c r="I558" s="64" t="n"/>
      <c r="J558" s="64" t="n"/>
      <c r="K558" s="63" t="n"/>
      <c r="L558" s="63" t="n"/>
      <c r="M558" s="64" t="n"/>
      <c r="N558" s="66" t="n"/>
      <c r="O558" s="65" t="n"/>
      <c r="P558" s="64" t="n"/>
      <c r="Q558" s="67" t="n"/>
      <c r="R558" s="67" t="n"/>
      <c r="S558" s="68" t="str">
        <f>IF(AND(ISNUMBER($Q558),ISNUMBER($R558)),$Q558-$R558,"")</f>
        <v/>
      </c>
      <c r="T558" s="65" t="n"/>
      <c r="U558" s="64" t="n"/>
      <c r="V558" s="65" t="n"/>
      <c r="W558" s="63" t="n"/>
      <c r="X558" s="65" t="n"/>
      <c r="Y558" s="63" t="n"/>
      <c r="Z558" s="64" t="n"/>
      <c r="AA558" s="64" t="n"/>
      <c r="AB558" s="65" t="n"/>
      <c r="AC558" s="69" t="str">
        <f>IF(OR($G558="",NOT(ISNUMBER($K558)),$AK558=0),"",MAX(0,ReportDate-$K558))</f>
        <v/>
      </c>
      <c r="AD558" s="69" t="str">
        <f>IF($G558="","",IF($AL558=1,ReportDate-$L558,0))</f>
        <v/>
      </c>
      <c r="AE558" s="70" t="str">
        <f>IF($G558="","",IF($M558="Completed",1,IF(ISNUMBER($N558),$N558,0)))</f>
        <v/>
      </c>
      <c r="AF558" s="70" t="str">
        <f>IF(AND(ISNUMBER($Q558),ISNUMBER($R558)),IF($R558&lt;&gt;0,$Q558/$R558,""),"")</f>
        <v/>
      </c>
      <c r="AG558" s="71" t="str">
        <f>IF($G558="","",IF($AL558=1,"OVERDUE",IF($AM558=1,"BLOCKED",IF($AN558=1,"DUE TODAY",IF($AO558=1,"DUE TOMORROW",IF($AQ558=1,"HIGH PRIORITY",IF($AR558=1,"NO RECENT UPDATE",""))))))) </f>
        <v/>
      </c>
      <c r="AH558" s="71" t="str">
        <f>IF($G558="","",IF(ISNUMBER($A558),IF(ISNUMBER($A558),YEAR($A558)&amp;"-"&amp;TEXT(MONTH($A558),"00"),""),IF(ISNUMBER($L558),IF(ISNUMBER($L558),YEAR($L558)&amp;"-"&amp;TEXT(MONTH($L558),"00"),""),"")))</f>
        <v/>
      </c>
      <c r="AI558" s="71">
        <f>IF($G558="",0,IF(AND(OR(fClient="All",$C558=fClient),OR(fCampaign="All",$D558=fCampaign),OR(fTeam="All",$B558=fTeam),OR(fChannel="All",$F558=fChannel),OR(fMonth="All",$AH558=fMonth),OR(fTStatus="All",$M558=fTStatus)),1,0))</f>
        <v>0</v>
      </c>
      <c r="AJ558" s="71">
        <f>IF($G558="",0,IF(AND(OR(fClient="All",$C558=fClient),OR(fCampaign="All",$D558=fCampaign),OR(fTeam="All",$B558=fTeam),OR(fChannel="All",$F558=fChannel)),1,0))</f>
        <v>0</v>
      </c>
      <c r="AK558" s="71">
        <f>IF($G558="",0,IF(OR($M558="Completed",$M558="Cancelled"),0,1))</f>
        <v>0</v>
      </c>
      <c r="AL558" s="71">
        <f>IF(AND($AK558=1,ISNUMBER($L558)),IF($L558&lt;ReportDate,1,0),0)</f>
        <v>0</v>
      </c>
      <c r="AM558" s="71">
        <f>IF(AND($G558&lt;&gt;"",$M558="Blocked"),1,0)</f>
        <v>0</v>
      </c>
      <c r="AN558" s="71">
        <f>IF(AND($AK558=1,ISNUMBER($L558)),IF($L558=ReportDate,1,0),0)</f>
        <v>0</v>
      </c>
      <c r="AO558" s="71">
        <f>IF(AND($AK558=1,ISNUMBER($L558)),IF($L558=ReportDate+1,1,0),0)</f>
        <v>0</v>
      </c>
      <c r="AP558" s="71">
        <f>IF(AND($AK558=1,ISNUMBER($L558)),IF(AND($L558&gt;=ReportDate,$L558&lt;=ReportDate+DueSoonDays),1,0),0)</f>
        <v>0</v>
      </c>
      <c r="AQ558" s="71">
        <f>IF(AND($AK558=1,OR($I558="Critical",$I558="High")),1,0)</f>
        <v>0</v>
      </c>
      <c r="AR558" s="71">
        <f>IF($AK558=1,IF(ISNUMBER($Y558),IF(ReportDate-$Y558&gt;StaleDays,1,0),1),0)</f>
        <v>0</v>
      </c>
      <c r="AS558" s="71">
        <f>IF(AND($G558&lt;&gt;"",ISNUMBER($Q558),ISNUMBER($R558)),IF(AND($Q558&lt;$R558,OR($M558="Completed",AND(ISNUMBER($L558),$L558&lt;ReportDate))),1,0),0)</f>
        <v>0</v>
      </c>
      <c r="AT558" s="71">
        <f>IF($AK558=1,IF(OR($L558=ReportDate,$W558=ReportDate,$K558=ReportDate,$A558=ReportDate),1,0),0)</f>
        <v>0</v>
      </c>
      <c r="AU558" s="71">
        <f>IF($AK558=1,IF(OR($L558=ReportDate+1,$W558=ReportDate+1,$K558=ReportDate+1,$A558=ReportDate+1),1,0),0)</f>
        <v>0</v>
      </c>
      <c r="AV558" s="71">
        <f>IF(AND($G558&lt;&gt;"",$M558="Completed"),IF(OR($Y558=ReportDate-1,$A558=ReportDate-1),1,0),0)</f>
        <v>0</v>
      </c>
      <c r="AW558" s="71">
        <f>IF(AND($AK558=1,$Z558="Yes"),1,0)</f>
        <v>0</v>
      </c>
      <c r="AX558" s="71">
        <f>IF(AND($AK558=1,$AA558="Yes"),1,0)</f>
        <v>0</v>
      </c>
      <c r="AY558" s="71">
        <f>IF(AND($AM558=1,OR($I558="Critical",$I558="High")),1,0)</f>
        <v>0</v>
      </c>
      <c r="AZ558" s="71">
        <f>IF(AND($AK558=1,OR($C558=TCL_Client,$C558=MECCA_Client)),1,0)</f>
        <v>0</v>
      </c>
      <c r="BA558" s="71" t="str">
        <f>IF($G558="","",IFERROR(MATCH($I558,lst_Priority,0),5))</f>
        <v/>
      </c>
      <c r="BB558" s="71" t="str">
        <f>IF(AND($AL558=1,$AJ558=1),$BA558*100000+ROW(),"")</f>
        <v/>
      </c>
      <c r="BC558" s="71" t="str">
        <f>IF(AND($AM558=1,$AJ558=1),$BA558*100000+ROW(),"")</f>
        <v/>
      </c>
      <c r="BD558" s="71" t="str">
        <f>IF(AND($AP558=1,$AJ558=1),$BA558*100000+ROW(),"")</f>
        <v/>
      </c>
      <c r="BE558" s="71" t="str">
        <f>IF(AND($AT558=1,$AJ558=1),$BA558*100000+ROW(),"")</f>
        <v/>
      </c>
      <c r="BF558" s="71" t="str">
        <f>IF(AND($AU558=1,$AJ558=1),$BA558*100000+ROW(),"")</f>
        <v/>
      </c>
      <c r="BG558" s="71" t="str">
        <f>IF(AND($AV558=1,$AJ558=1),$BA558*100000+ROW(),"")</f>
        <v/>
      </c>
      <c r="BH558" s="71" t="str">
        <f>IF(AND($AW558=1,$AJ558=1),$BA558*100000+ROW(),"")</f>
        <v/>
      </c>
      <c r="BI558" s="71" t="str">
        <f>IF(AND($AX558=1,$AJ558=1),$BA558*100000+ROW(),"")</f>
        <v/>
      </c>
      <c r="BJ558" s="71" t="str">
        <f>IF(AND($AS558=1,$AJ558=1),$BA558*100000+ROW(),"")</f>
        <v/>
      </c>
      <c r="BK558" s="71" t="str">
        <f>IF(AND($AY558=1,$AJ558=1),$BA558*100000+ROW(),"")</f>
        <v/>
      </c>
      <c r="BL558" s="71" t="str">
        <f>IF(AND($AZ558=1),$BA558*100000+ROW(),"")</f>
        <v/>
      </c>
    </row>
    <row r="559">
      <c r="A559" s="63" t="n"/>
      <c r="B559" s="64" t="n"/>
      <c r="C559" s="64" t="n"/>
      <c r="D559" s="64" t="n"/>
      <c r="E559" s="64" t="n"/>
      <c r="F559" s="64" t="n"/>
      <c r="G559" s="65" t="n"/>
      <c r="H559" s="65" t="n"/>
      <c r="I559" s="64" t="n"/>
      <c r="J559" s="64" t="n"/>
      <c r="K559" s="63" t="n"/>
      <c r="L559" s="63" t="n"/>
      <c r="M559" s="64" t="n"/>
      <c r="N559" s="66" t="n"/>
      <c r="O559" s="65" t="n"/>
      <c r="P559" s="64" t="n"/>
      <c r="Q559" s="67" t="n"/>
      <c r="R559" s="67" t="n"/>
      <c r="S559" s="68" t="str">
        <f>IF(AND(ISNUMBER($Q559),ISNUMBER($R559)),$Q559-$R559,"")</f>
        <v/>
      </c>
      <c r="T559" s="65" t="n"/>
      <c r="U559" s="64" t="n"/>
      <c r="V559" s="65" t="n"/>
      <c r="W559" s="63" t="n"/>
      <c r="X559" s="65" t="n"/>
      <c r="Y559" s="63" t="n"/>
      <c r="Z559" s="64" t="n"/>
      <c r="AA559" s="64" t="n"/>
      <c r="AB559" s="65" t="n"/>
      <c r="AC559" s="69" t="str">
        <f>IF(OR($G559="",NOT(ISNUMBER($K559)),$AK559=0),"",MAX(0,ReportDate-$K559))</f>
        <v/>
      </c>
      <c r="AD559" s="69" t="str">
        <f>IF($G559="","",IF($AL559=1,ReportDate-$L559,0))</f>
        <v/>
      </c>
      <c r="AE559" s="70" t="str">
        <f>IF($G559="","",IF($M559="Completed",1,IF(ISNUMBER($N559),$N559,0)))</f>
        <v/>
      </c>
      <c r="AF559" s="70" t="str">
        <f>IF(AND(ISNUMBER($Q559),ISNUMBER($R559)),IF($R559&lt;&gt;0,$Q559/$R559,""),"")</f>
        <v/>
      </c>
      <c r="AG559" s="71" t="str">
        <f>IF($G559="","",IF($AL559=1,"OVERDUE",IF($AM559=1,"BLOCKED",IF($AN559=1,"DUE TODAY",IF($AO559=1,"DUE TOMORROW",IF($AQ559=1,"HIGH PRIORITY",IF($AR559=1,"NO RECENT UPDATE",""))))))) </f>
        <v/>
      </c>
      <c r="AH559" s="71" t="str">
        <f>IF($G559="","",IF(ISNUMBER($A559),IF(ISNUMBER($A559),YEAR($A559)&amp;"-"&amp;TEXT(MONTH($A559),"00"),""),IF(ISNUMBER($L559),IF(ISNUMBER($L559),YEAR($L559)&amp;"-"&amp;TEXT(MONTH($L559),"00"),""),"")))</f>
        <v/>
      </c>
      <c r="AI559" s="71">
        <f>IF($G559="",0,IF(AND(OR(fClient="All",$C559=fClient),OR(fCampaign="All",$D559=fCampaign),OR(fTeam="All",$B559=fTeam),OR(fChannel="All",$F559=fChannel),OR(fMonth="All",$AH559=fMonth),OR(fTStatus="All",$M559=fTStatus)),1,0))</f>
        <v>0</v>
      </c>
      <c r="AJ559" s="71">
        <f>IF($G559="",0,IF(AND(OR(fClient="All",$C559=fClient),OR(fCampaign="All",$D559=fCampaign),OR(fTeam="All",$B559=fTeam),OR(fChannel="All",$F559=fChannel)),1,0))</f>
        <v>0</v>
      </c>
      <c r="AK559" s="71">
        <f>IF($G559="",0,IF(OR($M559="Completed",$M559="Cancelled"),0,1))</f>
        <v>0</v>
      </c>
      <c r="AL559" s="71">
        <f>IF(AND($AK559=1,ISNUMBER($L559)),IF($L559&lt;ReportDate,1,0),0)</f>
        <v>0</v>
      </c>
      <c r="AM559" s="71">
        <f>IF(AND($G559&lt;&gt;"",$M559="Blocked"),1,0)</f>
        <v>0</v>
      </c>
      <c r="AN559" s="71">
        <f>IF(AND($AK559=1,ISNUMBER($L559)),IF($L559=ReportDate,1,0),0)</f>
        <v>0</v>
      </c>
      <c r="AO559" s="71">
        <f>IF(AND($AK559=1,ISNUMBER($L559)),IF($L559=ReportDate+1,1,0),0)</f>
        <v>0</v>
      </c>
      <c r="AP559" s="71">
        <f>IF(AND($AK559=1,ISNUMBER($L559)),IF(AND($L559&gt;=ReportDate,$L559&lt;=ReportDate+DueSoonDays),1,0),0)</f>
        <v>0</v>
      </c>
      <c r="AQ559" s="71">
        <f>IF(AND($AK559=1,OR($I559="Critical",$I559="High")),1,0)</f>
        <v>0</v>
      </c>
      <c r="AR559" s="71">
        <f>IF($AK559=1,IF(ISNUMBER($Y559),IF(ReportDate-$Y559&gt;StaleDays,1,0),1),0)</f>
        <v>0</v>
      </c>
      <c r="AS559" s="71">
        <f>IF(AND($G559&lt;&gt;"",ISNUMBER($Q559),ISNUMBER($R559)),IF(AND($Q559&lt;$R559,OR($M559="Completed",AND(ISNUMBER($L559),$L559&lt;ReportDate))),1,0),0)</f>
        <v>0</v>
      </c>
      <c r="AT559" s="71">
        <f>IF($AK559=1,IF(OR($L559=ReportDate,$W559=ReportDate,$K559=ReportDate,$A559=ReportDate),1,0),0)</f>
        <v>0</v>
      </c>
      <c r="AU559" s="71">
        <f>IF($AK559=1,IF(OR($L559=ReportDate+1,$W559=ReportDate+1,$K559=ReportDate+1,$A559=ReportDate+1),1,0),0)</f>
        <v>0</v>
      </c>
      <c r="AV559" s="71">
        <f>IF(AND($G559&lt;&gt;"",$M559="Completed"),IF(OR($Y559=ReportDate-1,$A559=ReportDate-1),1,0),0)</f>
        <v>0</v>
      </c>
      <c r="AW559" s="71">
        <f>IF(AND($AK559=1,$Z559="Yes"),1,0)</f>
        <v>0</v>
      </c>
      <c r="AX559" s="71">
        <f>IF(AND($AK559=1,$AA559="Yes"),1,0)</f>
        <v>0</v>
      </c>
      <c r="AY559" s="71">
        <f>IF(AND($AM559=1,OR($I559="Critical",$I559="High")),1,0)</f>
        <v>0</v>
      </c>
      <c r="AZ559" s="71">
        <f>IF(AND($AK559=1,OR($C559=TCL_Client,$C559=MECCA_Client)),1,0)</f>
        <v>0</v>
      </c>
      <c r="BA559" s="71" t="str">
        <f>IF($G559="","",IFERROR(MATCH($I559,lst_Priority,0),5))</f>
        <v/>
      </c>
      <c r="BB559" s="71" t="str">
        <f>IF(AND($AL559=1,$AJ559=1),$BA559*100000+ROW(),"")</f>
        <v/>
      </c>
      <c r="BC559" s="71" t="str">
        <f>IF(AND($AM559=1,$AJ559=1),$BA559*100000+ROW(),"")</f>
        <v/>
      </c>
      <c r="BD559" s="71" t="str">
        <f>IF(AND($AP559=1,$AJ559=1),$BA559*100000+ROW(),"")</f>
        <v/>
      </c>
      <c r="BE559" s="71" t="str">
        <f>IF(AND($AT559=1,$AJ559=1),$BA559*100000+ROW(),"")</f>
        <v/>
      </c>
      <c r="BF559" s="71" t="str">
        <f>IF(AND($AU559=1,$AJ559=1),$BA559*100000+ROW(),"")</f>
        <v/>
      </c>
      <c r="BG559" s="71" t="str">
        <f>IF(AND($AV559=1,$AJ559=1),$BA559*100000+ROW(),"")</f>
        <v/>
      </c>
      <c r="BH559" s="71" t="str">
        <f>IF(AND($AW559=1,$AJ559=1),$BA559*100000+ROW(),"")</f>
        <v/>
      </c>
      <c r="BI559" s="71" t="str">
        <f>IF(AND($AX559=1,$AJ559=1),$BA559*100000+ROW(),"")</f>
        <v/>
      </c>
      <c r="BJ559" s="71" t="str">
        <f>IF(AND($AS559=1,$AJ559=1),$BA559*100000+ROW(),"")</f>
        <v/>
      </c>
      <c r="BK559" s="71" t="str">
        <f>IF(AND($AY559=1,$AJ559=1),$BA559*100000+ROW(),"")</f>
        <v/>
      </c>
      <c r="BL559" s="71" t="str">
        <f>IF(AND($AZ559=1),$BA559*100000+ROW(),"")</f>
        <v/>
      </c>
    </row>
    <row r="560">
      <c r="A560" s="63" t="n"/>
      <c r="B560" s="64" t="n"/>
      <c r="C560" s="64" t="n"/>
      <c r="D560" s="64" t="n"/>
      <c r="E560" s="64" t="n"/>
      <c r="F560" s="64" t="n"/>
      <c r="G560" s="65" t="n"/>
      <c r="H560" s="65" t="n"/>
      <c r="I560" s="64" t="n"/>
      <c r="J560" s="64" t="n"/>
      <c r="K560" s="63" t="n"/>
      <c r="L560" s="63" t="n"/>
      <c r="M560" s="64" t="n"/>
      <c r="N560" s="66" t="n"/>
      <c r="O560" s="65" t="n"/>
      <c r="P560" s="64" t="n"/>
      <c r="Q560" s="67" t="n"/>
      <c r="R560" s="67" t="n"/>
      <c r="S560" s="68" t="str">
        <f>IF(AND(ISNUMBER($Q560),ISNUMBER($R560)),$Q560-$R560,"")</f>
        <v/>
      </c>
      <c r="T560" s="65" t="n"/>
      <c r="U560" s="64" t="n"/>
      <c r="V560" s="65" t="n"/>
      <c r="W560" s="63" t="n"/>
      <c r="X560" s="65" t="n"/>
      <c r="Y560" s="63" t="n"/>
      <c r="Z560" s="64" t="n"/>
      <c r="AA560" s="64" t="n"/>
      <c r="AB560" s="65" t="n"/>
      <c r="AC560" s="69" t="str">
        <f>IF(OR($G560="",NOT(ISNUMBER($K560)),$AK560=0),"",MAX(0,ReportDate-$K560))</f>
        <v/>
      </c>
      <c r="AD560" s="69" t="str">
        <f>IF($G560="","",IF($AL560=1,ReportDate-$L560,0))</f>
        <v/>
      </c>
      <c r="AE560" s="70" t="str">
        <f>IF($G560="","",IF($M560="Completed",1,IF(ISNUMBER($N560),$N560,0)))</f>
        <v/>
      </c>
      <c r="AF560" s="70" t="str">
        <f>IF(AND(ISNUMBER($Q560),ISNUMBER($R560)),IF($R560&lt;&gt;0,$Q560/$R560,""),"")</f>
        <v/>
      </c>
      <c r="AG560" s="71" t="str">
        <f>IF($G560="","",IF($AL560=1,"OVERDUE",IF($AM560=1,"BLOCKED",IF($AN560=1,"DUE TODAY",IF($AO560=1,"DUE TOMORROW",IF($AQ560=1,"HIGH PRIORITY",IF($AR560=1,"NO RECENT UPDATE",""))))))) </f>
        <v/>
      </c>
      <c r="AH560" s="71" t="str">
        <f>IF($G560="","",IF(ISNUMBER($A560),IF(ISNUMBER($A560),YEAR($A560)&amp;"-"&amp;TEXT(MONTH($A560),"00"),""),IF(ISNUMBER($L560),IF(ISNUMBER($L560),YEAR($L560)&amp;"-"&amp;TEXT(MONTH($L560),"00"),""),"")))</f>
        <v/>
      </c>
      <c r="AI560" s="71">
        <f>IF($G560="",0,IF(AND(OR(fClient="All",$C560=fClient),OR(fCampaign="All",$D560=fCampaign),OR(fTeam="All",$B560=fTeam),OR(fChannel="All",$F560=fChannel),OR(fMonth="All",$AH560=fMonth),OR(fTStatus="All",$M560=fTStatus)),1,0))</f>
        <v>0</v>
      </c>
      <c r="AJ560" s="71">
        <f>IF($G560="",0,IF(AND(OR(fClient="All",$C560=fClient),OR(fCampaign="All",$D560=fCampaign),OR(fTeam="All",$B560=fTeam),OR(fChannel="All",$F560=fChannel)),1,0))</f>
        <v>0</v>
      </c>
      <c r="AK560" s="71">
        <f>IF($G560="",0,IF(OR($M560="Completed",$M560="Cancelled"),0,1))</f>
        <v>0</v>
      </c>
      <c r="AL560" s="71">
        <f>IF(AND($AK560=1,ISNUMBER($L560)),IF($L560&lt;ReportDate,1,0),0)</f>
        <v>0</v>
      </c>
      <c r="AM560" s="71">
        <f>IF(AND($G560&lt;&gt;"",$M560="Blocked"),1,0)</f>
        <v>0</v>
      </c>
      <c r="AN560" s="71">
        <f>IF(AND($AK560=1,ISNUMBER($L560)),IF($L560=ReportDate,1,0),0)</f>
        <v>0</v>
      </c>
      <c r="AO560" s="71">
        <f>IF(AND($AK560=1,ISNUMBER($L560)),IF($L560=ReportDate+1,1,0),0)</f>
        <v>0</v>
      </c>
      <c r="AP560" s="71">
        <f>IF(AND($AK560=1,ISNUMBER($L560)),IF(AND($L560&gt;=ReportDate,$L560&lt;=ReportDate+DueSoonDays),1,0),0)</f>
        <v>0</v>
      </c>
      <c r="AQ560" s="71">
        <f>IF(AND($AK560=1,OR($I560="Critical",$I560="High")),1,0)</f>
        <v>0</v>
      </c>
      <c r="AR560" s="71">
        <f>IF($AK560=1,IF(ISNUMBER($Y560),IF(ReportDate-$Y560&gt;StaleDays,1,0),1),0)</f>
        <v>0</v>
      </c>
      <c r="AS560" s="71">
        <f>IF(AND($G560&lt;&gt;"",ISNUMBER($Q560),ISNUMBER($R560)),IF(AND($Q560&lt;$R560,OR($M560="Completed",AND(ISNUMBER($L560),$L560&lt;ReportDate))),1,0),0)</f>
        <v>0</v>
      </c>
      <c r="AT560" s="71">
        <f>IF($AK560=1,IF(OR($L560=ReportDate,$W560=ReportDate,$K560=ReportDate,$A560=ReportDate),1,0),0)</f>
        <v>0</v>
      </c>
      <c r="AU560" s="71">
        <f>IF($AK560=1,IF(OR($L560=ReportDate+1,$W560=ReportDate+1,$K560=ReportDate+1,$A560=ReportDate+1),1,0),0)</f>
        <v>0</v>
      </c>
      <c r="AV560" s="71">
        <f>IF(AND($G560&lt;&gt;"",$M560="Completed"),IF(OR($Y560=ReportDate-1,$A560=ReportDate-1),1,0),0)</f>
        <v>0</v>
      </c>
      <c r="AW560" s="71">
        <f>IF(AND($AK560=1,$Z560="Yes"),1,0)</f>
        <v>0</v>
      </c>
      <c r="AX560" s="71">
        <f>IF(AND($AK560=1,$AA560="Yes"),1,0)</f>
        <v>0</v>
      </c>
      <c r="AY560" s="71">
        <f>IF(AND($AM560=1,OR($I560="Critical",$I560="High")),1,0)</f>
        <v>0</v>
      </c>
      <c r="AZ560" s="71">
        <f>IF(AND($AK560=1,OR($C560=TCL_Client,$C560=MECCA_Client)),1,0)</f>
        <v>0</v>
      </c>
      <c r="BA560" s="71" t="str">
        <f>IF($G560="","",IFERROR(MATCH($I560,lst_Priority,0),5))</f>
        <v/>
      </c>
      <c r="BB560" s="71" t="str">
        <f>IF(AND($AL560=1,$AJ560=1),$BA560*100000+ROW(),"")</f>
        <v/>
      </c>
      <c r="BC560" s="71" t="str">
        <f>IF(AND($AM560=1,$AJ560=1),$BA560*100000+ROW(),"")</f>
        <v/>
      </c>
      <c r="BD560" s="71" t="str">
        <f>IF(AND($AP560=1,$AJ560=1),$BA560*100000+ROW(),"")</f>
        <v/>
      </c>
      <c r="BE560" s="71" t="str">
        <f>IF(AND($AT560=1,$AJ560=1),$BA560*100000+ROW(),"")</f>
        <v/>
      </c>
      <c r="BF560" s="71" t="str">
        <f>IF(AND($AU560=1,$AJ560=1),$BA560*100000+ROW(),"")</f>
        <v/>
      </c>
      <c r="BG560" s="71" t="str">
        <f>IF(AND($AV560=1,$AJ560=1),$BA560*100000+ROW(),"")</f>
        <v/>
      </c>
      <c r="BH560" s="71" t="str">
        <f>IF(AND($AW560=1,$AJ560=1),$BA560*100000+ROW(),"")</f>
        <v/>
      </c>
      <c r="BI560" s="71" t="str">
        <f>IF(AND($AX560=1,$AJ560=1),$BA560*100000+ROW(),"")</f>
        <v/>
      </c>
      <c r="BJ560" s="71" t="str">
        <f>IF(AND($AS560=1,$AJ560=1),$BA560*100000+ROW(),"")</f>
        <v/>
      </c>
      <c r="BK560" s="71" t="str">
        <f>IF(AND($AY560=1,$AJ560=1),$BA560*100000+ROW(),"")</f>
        <v/>
      </c>
      <c r="BL560" s="71" t="str">
        <f>IF(AND($AZ560=1),$BA560*100000+ROW(),"")</f>
        <v/>
      </c>
    </row>
    <row r="561">
      <c r="A561" s="63" t="n"/>
      <c r="B561" s="64" t="n"/>
      <c r="C561" s="64" t="n"/>
      <c r="D561" s="64" t="n"/>
      <c r="E561" s="64" t="n"/>
      <c r="F561" s="64" t="n"/>
      <c r="G561" s="65" t="n"/>
      <c r="H561" s="65" t="n"/>
      <c r="I561" s="64" t="n"/>
      <c r="J561" s="64" t="n"/>
      <c r="K561" s="63" t="n"/>
      <c r="L561" s="63" t="n"/>
      <c r="M561" s="64" t="n"/>
      <c r="N561" s="66" t="n"/>
      <c r="O561" s="65" t="n"/>
      <c r="P561" s="64" t="n"/>
      <c r="Q561" s="67" t="n"/>
      <c r="R561" s="67" t="n"/>
      <c r="S561" s="68" t="str">
        <f>IF(AND(ISNUMBER($Q561),ISNUMBER($R561)),$Q561-$R561,"")</f>
        <v/>
      </c>
      <c r="T561" s="65" t="n"/>
      <c r="U561" s="64" t="n"/>
      <c r="V561" s="65" t="n"/>
      <c r="W561" s="63" t="n"/>
      <c r="X561" s="65" t="n"/>
      <c r="Y561" s="63" t="n"/>
      <c r="Z561" s="64" t="n"/>
      <c r="AA561" s="64" t="n"/>
      <c r="AB561" s="65" t="n"/>
      <c r="AC561" s="69" t="str">
        <f>IF(OR($G561="",NOT(ISNUMBER($K561)),$AK561=0),"",MAX(0,ReportDate-$K561))</f>
        <v/>
      </c>
      <c r="AD561" s="69" t="str">
        <f>IF($G561="","",IF($AL561=1,ReportDate-$L561,0))</f>
        <v/>
      </c>
      <c r="AE561" s="70" t="str">
        <f>IF($G561="","",IF($M561="Completed",1,IF(ISNUMBER($N561),$N561,0)))</f>
        <v/>
      </c>
      <c r="AF561" s="70" t="str">
        <f>IF(AND(ISNUMBER($Q561),ISNUMBER($R561)),IF($R561&lt;&gt;0,$Q561/$R561,""),"")</f>
        <v/>
      </c>
      <c r="AG561" s="71" t="str">
        <f>IF($G561="","",IF($AL561=1,"OVERDUE",IF($AM561=1,"BLOCKED",IF($AN561=1,"DUE TODAY",IF($AO561=1,"DUE TOMORROW",IF($AQ561=1,"HIGH PRIORITY",IF($AR561=1,"NO RECENT UPDATE",""))))))) </f>
        <v/>
      </c>
      <c r="AH561" s="71" t="str">
        <f>IF($G561="","",IF(ISNUMBER($A561),IF(ISNUMBER($A561),YEAR($A561)&amp;"-"&amp;TEXT(MONTH($A561),"00"),""),IF(ISNUMBER($L561),IF(ISNUMBER($L561),YEAR($L561)&amp;"-"&amp;TEXT(MONTH($L561),"00"),""),"")))</f>
        <v/>
      </c>
      <c r="AI561" s="71">
        <f>IF($G561="",0,IF(AND(OR(fClient="All",$C561=fClient),OR(fCampaign="All",$D561=fCampaign),OR(fTeam="All",$B561=fTeam),OR(fChannel="All",$F561=fChannel),OR(fMonth="All",$AH561=fMonth),OR(fTStatus="All",$M561=fTStatus)),1,0))</f>
        <v>0</v>
      </c>
      <c r="AJ561" s="71">
        <f>IF($G561="",0,IF(AND(OR(fClient="All",$C561=fClient),OR(fCampaign="All",$D561=fCampaign),OR(fTeam="All",$B561=fTeam),OR(fChannel="All",$F561=fChannel)),1,0))</f>
        <v>0</v>
      </c>
      <c r="AK561" s="71">
        <f>IF($G561="",0,IF(OR($M561="Completed",$M561="Cancelled"),0,1))</f>
        <v>0</v>
      </c>
      <c r="AL561" s="71">
        <f>IF(AND($AK561=1,ISNUMBER($L561)),IF($L561&lt;ReportDate,1,0),0)</f>
        <v>0</v>
      </c>
      <c r="AM561" s="71">
        <f>IF(AND($G561&lt;&gt;"",$M561="Blocked"),1,0)</f>
        <v>0</v>
      </c>
      <c r="AN561" s="71">
        <f>IF(AND($AK561=1,ISNUMBER($L561)),IF($L561=ReportDate,1,0),0)</f>
        <v>0</v>
      </c>
      <c r="AO561" s="71">
        <f>IF(AND($AK561=1,ISNUMBER($L561)),IF($L561=ReportDate+1,1,0),0)</f>
        <v>0</v>
      </c>
      <c r="AP561" s="71">
        <f>IF(AND($AK561=1,ISNUMBER($L561)),IF(AND($L561&gt;=ReportDate,$L561&lt;=ReportDate+DueSoonDays),1,0),0)</f>
        <v>0</v>
      </c>
      <c r="AQ561" s="71">
        <f>IF(AND($AK561=1,OR($I561="Critical",$I561="High")),1,0)</f>
        <v>0</v>
      </c>
      <c r="AR561" s="71">
        <f>IF($AK561=1,IF(ISNUMBER($Y561),IF(ReportDate-$Y561&gt;StaleDays,1,0),1),0)</f>
        <v>0</v>
      </c>
      <c r="AS561" s="71">
        <f>IF(AND($G561&lt;&gt;"",ISNUMBER($Q561),ISNUMBER($R561)),IF(AND($Q561&lt;$R561,OR($M561="Completed",AND(ISNUMBER($L561),$L561&lt;ReportDate))),1,0),0)</f>
        <v>0</v>
      </c>
      <c r="AT561" s="71">
        <f>IF($AK561=1,IF(OR($L561=ReportDate,$W561=ReportDate,$K561=ReportDate,$A561=ReportDate),1,0),0)</f>
        <v>0</v>
      </c>
      <c r="AU561" s="71">
        <f>IF($AK561=1,IF(OR($L561=ReportDate+1,$W561=ReportDate+1,$K561=ReportDate+1,$A561=ReportDate+1),1,0),0)</f>
        <v>0</v>
      </c>
      <c r="AV561" s="71">
        <f>IF(AND($G561&lt;&gt;"",$M561="Completed"),IF(OR($Y561=ReportDate-1,$A561=ReportDate-1),1,0),0)</f>
        <v>0</v>
      </c>
      <c r="AW561" s="71">
        <f>IF(AND($AK561=1,$Z561="Yes"),1,0)</f>
        <v>0</v>
      </c>
      <c r="AX561" s="71">
        <f>IF(AND($AK561=1,$AA561="Yes"),1,0)</f>
        <v>0</v>
      </c>
      <c r="AY561" s="71">
        <f>IF(AND($AM561=1,OR($I561="Critical",$I561="High")),1,0)</f>
        <v>0</v>
      </c>
      <c r="AZ561" s="71">
        <f>IF(AND($AK561=1,OR($C561=TCL_Client,$C561=MECCA_Client)),1,0)</f>
        <v>0</v>
      </c>
      <c r="BA561" s="71" t="str">
        <f>IF($G561="","",IFERROR(MATCH($I561,lst_Priority,0),5))</f>
        <v/>
      </c>
      <c r="BB561" s="71" t="str">
        <f>IF(AND($AL561=1,$AJ561=1),$BA561*100000+ROW(),"")</f>
        <v/>
      </c>
      <c r="BC561" s="71" t="str">
        <f>IF(AND($AM561=1,$AJ561=1),$BA561*100000+ROW(),"")</f>
        <v/>
      </c>
      <c r="BD561" s="71" t="str">
        <f>IF(AND($AP561=1,$AJ561=1),$BA561*100000+ROW(),"")</f>
        <v/>
      </c>
      <c r="BE561" s="71" t="str">
        <f>IF(AND($AT561=1,$AJ561=1),$BA561*100000+ROW(),"")</f>
        <v/>
      </c>
      <c r="BF561" s="71" t="str">
        <f>IF(AND($AU561=1,$AJ561=1),$BA561*100000+ROW(),"")</f>
        <v/>
      </c>
      <c r="BG561" s="71" t="str">
        <f>IF(AND($AV561=1,$AJ561=1),$BA561*100000+ROW(),"")</f>
        <v/>
      </c>
      <c r="BH561" s="71" t="str">
        <f>IF(AND($AW561=1,$AJ561=1),$BA561*100000+ROW(),"")</f>
        <v/>
      </c>
      <c r="BI561" s="71" t="str">
        <f>IF(AND($AX561=1,$AJ561=1),$BA561*100000+ROW(),"")</f>
        <v/>
      </c>
      <c r="BJ561" s="71" t="str">
        <f>IF(AND($AS561=1,$AJ561=1),$BA561*100000+ROW(),"")</f>
        <v/>
      </c>
      <c r="BK561" s="71" t="str">
        <f>IF(AND($AY561=1,$AJ561=1),$BA561*100000+ROW(),"")</f>
        <v/>
      </c>
      <c r="BL561" s="71" t="str">
        <f>IF(AND($AZ561=1),$BA561*100000+ROW(),"")</f>
        <v/>
      </c>
    </row>
    <row r="562">
      <c r="A562" s="63" t="n"/>
      <c r="B562" s="64" t="n"/>
      <c r="C562" s="64" t="n"/>
      <c r="D562" s="64" t="n"/>
      <c r="E562" s="64" t="n"/>
      <c r="F562" s="64" t="n"/>
      <c r="G562" s="65" t="n"/>
      <c r="H562" s="65" t="n"/>
      <c r="I562" s="64" t="n"/>
      <c r="J562" s="64" t="n"/>
      <c r="K562" s="63" t="n"/>
      <c r="L562" s="63" t="n"/>
      <c r="M562" s="64" t="n"/>
      <c r="N562" s="66" t="n"/>
      <c r="O562" s="65" t="n"/>
      <c r="P562" s="64" t="n"/>
      <c r="Q562" s="67" t="n"/>
      <c r="R562" s="67" t="n"/>
      <c r="S562" s="68" t="str">
        <f>IF(AND(ISNUMBER($Q562),ISNUMBER($R562)),$Q562-$R562,"")</f>
        <v/>
      </c>
      <c r="T562" s="65" t="n"/>
      <c r="U562" s="64" t="n"/>
      <c r="V562" s="65" t="n"/>
      <c r="W562" s="63" t="n"/>
      <c r="X562" s="65" t="n"/>
      <c r="Y562" s="63" t="n"/>
      <c r="Z562" s="64" t="n"/>
      <c r="AA562" s="64" t="n"/>
      <c r="AB562" s="65" t="n"/>
      <c r="AC562" s="69" t="str">
        <f>IF(OR($G562="",NOT(ISNUMBER($K562)),$AK562=0),"",MAX(0,ReportDate-$K562))</f>
        <v/>
      </c>
      <c r="AD562" s="69" t="str">
        <f>IF($G562="","",IF($AL562=1,ReportDate-$L562,0))</f>
        <v/>
      </c>
      <c r="AE562" s="70" t="str">
        <f>IF($G562="","",IF($M562="Completed",1,IF(ISNUMBER($N562),$N562,0)))</f>
        <v/>
      </c>
      <c r="AF562" s="70" t="str">
        <f>IF(AND(ISNUMBER($Q562),ISNUMBER($R562)),IF($R562&lt;&gt;0,$Q562/$R562,""),"")</f>
        <v/>
      </c>
      <c r="AG562" s="71" t="str">
        <f>IF($G562="","",IF($AL562=1,"OVERDUE",IF($AM562=1,"BLOCKED",IF($AN562=1,"DUE TODAY",IF($AO562=1,"DUE TOMORROW",IF($AQ562=1,"HIGH PRIORITY",IF($AR562=1,"NO RECENT UPDATE",""))))))) </f>
        <v/>
      </c>
      <c r="AH562" s="71" t="str">
        <f>IF($G562="","",IF(ISNUMBER($A562),IF(ISNUMBER($A562),YEAR($A562)&amp;"-"&amp;TEXT(MONTH($A562),"00"),""),IF(ISNUMBER($L562),IF(ISNUMBER($L562),YEAR($L562)&amp;"-"&amp;TEXT(MONTH($L562),"00"),""),"")))</f>
        <v/>
      </c>
      <c r="AI562" s="71">
        <f>IF($G562="",0,IF(AND(OR(fClient="All",$C562=fClient),OR(fCampaign="All",$D562=fCampaign),OR(fTeam="All",$B562=fTeam),OR(fChannel="All",$F562=fChannel),OR(fMonth="All",$AH562=fMonth),OR(fTStatus="All",$M562=fTStatus)),1,0))</f>
        <v>0</v>
      </c>
      <c r="AJ562" s="71">
        <f>IF($G562="",0,IF(AND(OR(fClient="All",$C562=fClient),OR(fCampaign="All",$D562=fCampaign),OR(fTeam="All",$B562=fTeam),OR(fChannel="All",$F562=fChannel)),1,0))</f>
        <v>0</v>
      </c>
      <c r="AK562" s="71">
        <f>IF($G562="",0,IF(OR($M562="Completed",$M562="Cancelled"),0,1))</f>
        <v>0</v>
      </c>
      <c r="AL562" s="71">
        <f>IF(AND($AK562=1,ISNUMBER($L562)),IF($L562&lt;ReportDate,1,0),0)</f>
        <v>0</v>
      </c>
      <c r="AM562" s="71">
        <f>IF(AND($G562&lt;&gt;"",$M562="Blocked"),1,0)</f>
        <v>0</v>
      </c>
      <c r="AN562" s="71">
        <f>IF(AND($AK562=1,ISNUMBER($L562)),IF($L562=ReportDate,1,0),0)</f>
        <v>0</v>
      </c>
      <c r="AO562" s="71">
        <f>IF(AND($AK562=1,ISNUMBER($L562)),IF($L562=ReportDate+1,1,0),0)</f>
        <v>0</v>
      </c>
      <c r="AP562" s="71">
        <f>IF(AND($AK562=1,ISNUMBER($L562)),IF(AND($L562&gt;=ReportDate,$L562&lt;=ReportDate+DueSoonDays),1,0),0)</f>
        <v>0</v>
      </c>
      <c r="AQ562" s="71">
        <f>IF(AND($AK562=1,OR($I562="Critical",$I562="High")),1,0)</f>
        <v>0</v>
      </c>
      <c r="AR562" s="71">
        <f>IF($AK562=1,IF(ISNUMBER($Y562),IF(ReportDate-$Y562&gt;StaleDays,1,0),1),0)</f>
        <v>0</v>
      </c>
      <c r="AS562" s="71">
        <f>IF(AND($G562&lt;&gt;"",ISNUMBER($Q562),ISNUMBER($R562)),IF(AND($Q562&lt;$R562,OR($M562="Completed",AND(ISNUMBER($L562),$L562&lt;ReportDate))),1,0),0)</f>
        <v>0</v>
      </c>
      <c r="AT562" s="71">
        <f>IF($AK562=1,IF(OR($L562=ReportDate,$W562=ReportDate,$K562=ReportDate,$A562=ReportDate),1,0),0)</f>
        <v>0</v>
      </c>
      <c r="AU562" s="71">
        <f>IF($AK562=1,IF(OR($L562=ReportDate+1,$W562=ReportDate+1,$K562=ReportDate+1,$A562=ReportDate+1),1,0),0)</f>
        <v>0</v>
      </c>
      <c r="AV562" s="71">
        <f>IF(AND($G562&lt;&gt;"",$M562="Completed"),IF(OR($Y562=ReportDate-1,$A562=ReportDate-1),1,0),0)</f>
        <v>0</v>
      </c>
      <c r="AW562" s="71">
        <f>IF(AND($AK562=1,$Z562="Yes"),1,0)</f>
        <v>0</v>
      </c>
      <c r="AX562" s="71">
        <f>IF(AND($AK562=1,$AA562="Yes"),1,0)</f>
        <v>0</v>
      </c>
      <c r="AY562" s="71">
        <f>IF(AND($AM562=1,OR($I562="Critical",$I562="High")),1,0)</f>
        <v>0</v>
      </c>
      <c r="AZ562" s="71">
        <f>IF(AND($AK562=1,OR($C562=TCL_Client,$C562=MECCA_Client)),1,0)</f>
        <v>0</v>
      </c>
      <c r="BA562" s="71" t="str">
        <f>IF($G562="","",IFERROR(MATCH($I562,lst_Priority,0),5))</f>
        <v/>
      </c>
      <c r="BB562" s="71" t="str">
        <f>IF(AND($AL562=1,$AJ562=1),$BA562*100000+ROW(),"")</f>
        <v/>
      </c>
      <c r="BC562" s="71" t="str">
        <f>IF(AND($AM562=1,$AJ562=1),$BA562*100000+ROW(),"")</f>
        <v/>
      </c>
      <c r="BD562" s="71" t="str">
        <f>IF(AND($AP562=1,$AJ562=1),$BA562*100000+ROW(),"")</f>
        <v/>
      </c>
      <c r="BE562" s="71" t="str">
        <f>IF(AND($AT562=1,$AJ562=1),$BA562*100000+ROW(),"")</f>
        <v/>
      </c>
      <c r="BF562" s="71" t="str">
        <f>IF(AND($AU562=1,$AJ562=1),$BA562*100000+ROW(),"")</f>
        <v/>
      </c>
      <c r="BG562" s="71" t="str">
        <f>IF(AND($AV562=1,$AJ562=1),$BA562*100000+ROW(),"")</f>
        <v/>
      </c>
      <c r="BH562" s="71" t="str">
        <f>IF(AND($AW562=1,$AJ562=1),$BA562*100000+ROW(),"")</f>
        <v/>
      </c>
      <c r="BI562" s="71" t="str">
        <f>IF(AND($AX562=1,$AJ562=1),$BA562*100000+ROW(),"")</f>
        <v/>
      </c>
      <c r="BJ562" s="71" t="str">
        <f>IF(AND($AS562=1,$AJ562=1),$BA562*100000+ROW(),"")</f>
        <v/>
      </c>
      <c r="BK562" s="71" t="str">
        <f>IF(AND($AY562=1,$AJ562=1),$BA562*100000+ROW(),"")</f>
        <v/>
      </c>
      <c r="BL562" s="71" t="str">
        <f>IF(AND($AZ562=1),$BA562*100000+ROW(),"")</f>
        <v/>
      </c>
    </row>
    <row r="563">
      <c r="A563" s="63" t="n"/>
      <c r="B563" s="64" t="n"/>
      <c r="C563" s="64" t="n"/>
      <c r="D563" s="64" t="n"/>
      <c r="E563" s="64" t="n"/>
      <c r="F563" s="64" t="n"/>
      <c r="G563" s="65" t="n"/>
      <c r="H563" s="65" t="n"/>
      <c r="I563" s="64" t="n"/>
      <c r="J563" s="64" t="n"/>
      <c r="K563" s="63" t="n"/>
      <c r="L563" s="63" t="n"/>
      <c r="M563" s="64" t="n"/>
      <c r="N563" s="66" t="n"/>
      <c r="O563" s="65" t="n"/>
      <c r="P563" s="64" t="n"/>
      <c r="Q563" s="67" t="n"/>
      <c r="R563" s="67" t="n"/>
      <c r="S563" s="68" t="str">
        <f>IF(AND(ISNUMBER($Q563),ISNUMBER($R563)),$Q563-$R563,"")</f>
        <v/>
      </c>
      <c r="T563" s="65" t="n"/>
      <c r="U563" s="64" t="n"/>
      <c r="V563" s="65" t="n"/>
      <c r="W563" s="63" t="n"/>
      <c r="X563" s="65" t="n"/>
      <c r="Y563" s="63" t="n"/>
      <c r="Z563" s="64" t="n"/>
      <c r="AA563" s="64" t="n"/>
      <c r="AB563" s="65" t="n"/>
      <c r="AC563" s="69" t="str">
        <f>IF(OR($G563="",NOT(ISNUMBER($K563)),$AK563=0),"",MAX(0,ReportDate-$K563))</f>
        <v/>
      </c>
      <c r="AD563" s="69" t="str">
        <f>IF($G563="","",IF($AL563=1,ReportDate-$L563,0))</f>
        <v/>
      </c>
      <c r="AE563" s="70" t="str">
        <f>IF($G563="","",IF($M563="Completed",1,IF(ISNUMBER($N563),$N563,0)))</f>
        <v/>
      </c>
      <c r="AF563" s="70" t="str">
        <f>IF(AND(ISNUMBER($Q563),ISNUMBER($R563)),IF($R563&lt;&gt;0,$Q563/$R563,""),"")</f>
        <v/>
      </c>
      <c r="AG563" s="71" t="str">
        <f>IF($G563="","",IF($AL563=1,"OVERDUE",IF($AM563=1,"BLOCKED",IF($AN563=1,"DUE TODAY",IF($AO563=1,"DUE TOMORROW",IF($AQ563=1,"HIGH PRIORITY",IF($AR563=1,"NO RECENT UPDATE",""))))))) </f>
        <v/>
      </c>
      <c r="AH563" s="71" t="str">
        <f>IF($G563="","",IF(ISNUMBER($A563),IF(ISNUMBER($A563),YEAR($A563)&amp;"-"&amp;TEXT(MONTH($A563),"00"),""),IF(ISNUMBER($L563),IF(ISNUMBER($L563),YEAR($L563)&amp;"-"&amp;TEXT(MONTH($L563),"00"),""),"")))</f>
        <v/>
      </c>
      <c r="AI563" s="71">
        <f>IF($G563="",0,IF(AND(OR(fClient="All",$C563=fClient),OR(fCampaign="All",$D563=fCampaign),OR(fTeam="All",$B563=fTeam),OR(fChannel="All",$F563=fChannel),OR(fMonth="All",$AH563=fMonth),OR(fTStatus="All",$M563=fTStatus)),1,0))</f>
        <v>0</v>
      </c>
      <c r="AJ563" s="71">
        <f>IF($G563="",0,IF(AND(OR(fClient="All",$C563=fClient),OR(fCampaign="All",$D563=fCampaign),OR(fTeam="All",$B563=fTeam),OR(fChannel="All",$F563=fChannel)),1,0))</f>
        <v>0</v>
      </c>
      <c r="AK563" s="71">
        <f>IF($G563="",0,IF(OR($M563="Completed",$M563="Cancelled"),0,1))</f>
        <v>0</v>
      </c>
      <c r="AL563" s="71">
        <f>IF(AND($AK563=1,ISNUMBER($L563)),IF($L563&lt;ReportDate,1,0),0)</f>
        <v>0</v>
      </c>
      <c r="AM563" s="71">
        <f>IF(AND($G563&lt;&gt;"",$M563="Blocked"),1,0)</f>
        <v>0</v>
      </c>
      <c r="AN563" s="71">
        <f>IF(AND($AK563=1,ISNUMBER($L563)),IF($L563=ReportDate,1,0),0)</f>
        <v>0</v>
      </c>
      <c r="AO563" s="71">
        <f>IF(AND($AK563=1,ISNUMBER($L563)),IF($L563=ReportDate+1,1,0),0)</f>
        <v>0</v>
      </c>
      <c r="AP563" s="71">
        <f>IF(AND($AK563=1,ISNUMBER($L563)),IF(AND($L563&gt;=ReportDate,$L563&lt;=ReportDate+DueSoonDays),1,0),0)</f>
        <v>0</v>
      </c>
      <c r="AQ563" s="71">
        <f>IF(AND($AK563=1,OR($I563="Critical",$I563="High")),1,0)</f>
        <v>0</v>
      </c>
      <c r="AR563" s="71">
        <f>IF($AK563=1,IF(ISNUMBER($Y563),IF(ReportDate-$Y563&gt;StaleDays,1,0),1),0)</f>
        <v>0</v>
      </c>
      <c r="AS563" s="71">
        <f>IF(AND($G563&lt;&gt;"",ISNUMBER($Q563),ISNUMBER($R563)),IF(AND($Q563&lt;$R563,OR($M563="Completed",AND(ISNUMBER($L563),$L563&lt;ReportDate))),1,0),0)</f>
        <v>0</v>
      </c>
      <c r="AT563" s="71">
        <f>IF($AK563=1,IF(OR($L563=ReportDate,$W563=ReportDate,$K563=ReportDate,$A563=ReportDate),1,0),0)</f>
        <v>0</v>
      </c>
      <c r="AU563" s="71">
        <f>IF($AK563=1,IF(OR($L563=ReportDate+1,$W563=ReportDate+1,$K563=ReportDate+1,$A563=ReportDate+1),1,0),0)</f>
        <v>0</v>
      </c>
      <c r="AV563" s="71">
        <f>IF(AND($G563&lt;&gt;"",$M563="Completed"),IF(OR($Y563=ReportDate-1,$A563=ReportDate-1),1,0),0)</f>
        <v>0</v>
      </c>
      <c r="AW563" s="71">
        <f>IF(AND($AK563=1,$Z563="Yes"),1,0)</f>
        <v>0</v>
      </c>
      <c r="AX563" s="71">
        <f>IF(AND($AK563=1,$AA563="Yes"),1,0)</f>
        <v>0</v>
      </c>
      <c r="AY563" s="71">
        <f>IF(AND($AM563=1,OR($I563="Critical",$I563="High")),1,0)</f>
        <v>0</v>
      </c>
      <c r="AZ563" s="71">
        <f>IF(AND($AK563=1,OR($C563=TCL_Client,$C563=MECCA_Client)),1,0)</f>
        <v>0</v>
      </c>
      <c r="BA563" s="71" t="str">
        <f>IF($G563="","",IFERROR(MATCH($I563,lst_Priority,0),5))</f>
        <v/>
      </c>
      <c r="BB563" s="71" t="str">
        <f>IF(AND($AL563=1,$AJ563=1),$BA563*100000+ROW(),"")</f>
        <v/>
      </c>
      <c r="BC563" s="71" t="str">
        <f>IF(AND($AM563=1,$AJ563=1),$BA563*100000+ROW(),"")</f>
        <v/>
      </c>
      <c r="BD563" s="71" t="str">
        <f>IF(AND($AP563=1,$AJ563=1),$BA563*100000+ROW(),"")</f>
        <v/>
      </c>
      <c r="BE563" s="71" t="str">
        <f>IF(AND($AT563=1,$AJ563=1),$BA563*100000+ROW(),"")</f>
        <v/>
      </c>
      <c r="BF563" s="71" t="str">
        <f>IF(AND($AU563=1,$AJ563=1),$BA563*100000+ROW(),"")</f>
        <v/>
      </c>
      <c r="BG563" s="71" t="str">
        <f>IF(AND($AV563=1,$AJ563=1),$BA563*100000+ROW(),"")</f>
        <v/>
      </c>
      <c r="BH563" s="71" t="str">
        <f>IF(AND($AW563=1,$AJ563=1),$BA563*100000+ROW(),"")</f>
        <v/>
      </c>
      <c r="BI563" s="71" t="str">
        <f>IF(AND($AX563=1,$AJ563=1),$BA563*100000+ROW(),"")</f>
        <v/>
      </c>
      <c r="BJ563" s="71" t="str">
        <f>IF(AND($AS563=1,$AJ563=1),$BA563*100000+ROW(),"")</f>
        <v/>
      </c>
      <c r="BK563" s="71" t="str">
        <f>IF(AND($AY563=1,$AJ563=1),$BA563*100000+ROW(),"")</f>
        <v/>
      </c>
      <c r="BL563" s="71" t="str">
        <f>IF(AND($AZ563=1),$BA563*100000+ROW(),"")</f>
        <v/>
      </c>
    </row>
    <row r="564">
      <c r="A564" s="63" t="n"/>
      <c r="B564" s="64" t="n"/>
      <c r="C564" s="64" t="n"/>
      <c r="D564" s="64" t="n"/>
      <c r="E564" s="64" t="n"/>
      <c r="F564" s="64" t="n"/>
      <c r="G564" s="65" t="n"/>
      <c r="H564" s="65" t="n"/>
      <c r="I564" s="64" t="n"/>
      <c r="J564" s="64" t="n"/>
      <c r="K564" s="63" t="n"/>
      <c r="L564" s="63" t="n"/>
      <c r="M564" s="64" t="n"/>
      <c r="N564" s="66" t="n"/>
      <c r="O564" s="65" t="n"/>
      <c r="P564" s="64" t="n"/>
      <c r="Q564" s="67" t="n"/>
      <c r="R564" s="67" t="n"/>
      <c r="S564" s="68" t="str">
        <f>IF(AND(ISNUMBER($Q564),ISNUMBER($R564)),$Q564-$R564,"")</f>
        <v/>
      </c>
      <c r="T564" s="65" t="n"/>
      <c r="U564" s="64" t="n"/>
      <c r="V564" s="65" t="n"/>
      <c r="W564" s="63" t="n"/>
      <c r="X564" s="65" t="n"/>
      <c r="Y564" s="63" t="n"/>
      <c r="Z564" s="64" t="n"/>
      <c r="AA564" s="64" t="n"/>
      <c r="AB564" s="65" t="n"/>
      <c r="AC564" s="69" t="str">
        <f>IF(OR($G564="",NOT(ISNUMBER($K564)),$AK564=0),"",MAX(0,ReportDate-$K564))</f>
        <v/>
      </c>
      <c r="AD564" s="69" t="str">
        <f>IF($G564="","",IF($AL564=1,ReportDate-$L564,0))</f>
        <v/>
      </c>
      <c r="AE564" s="70" t="str">
        <f>IF($G564="","",IF($M564="Completed",1,IF(ISNUMBER($N564),$N564,0)))</f>
        <v/>
      </c>
      <c r="AF564" s="70" t="str">
        <f>IF(AND(ISNUMBER($Q564),ISNUMBER($R564)),IF($R564&lt;&gt;0,$Q564/$R564,""),"")</f>
        <v/>
      </c>
      <c r="AG564" s="71" t="str">
        <f>IF($G564="","",IF($AL564=1,"OVERDUE",IF($AM564=1,"BLOCKED",IF($AN564=1,"DUE TODAY",IF($AO564=1,"DUE TOMORROW",IF($AQ564=1,"HIGH PRIORITY",IF($AR564=1,"NO RECENT UPDATE",""))))))) </f>
        <v/>
      </c>
      <c r="AH564" s="71" t="str">
        <f>IF($G564="","",IF(ISNUMBER($A564),IF(ISNUMBER($A564),YEAR($A564)&amp;"-"&amp;TEXT(MONTH($A564),"00"),""),IF(ISNUMBER($L564),IF(ISNUMBER($L564),YEAR($L564)&amp;"-"&amp;TEXT(MONTH($L564),"00"),""),"")))</f>
        <v/>
      </c>
      <c r="AI564" s="71">
        <f>IF($G564="",0,IF(AND(OR(fClient="All",$C564=fClient),OR(fCampaign="All",$D564=fCampaign),OR(fTeam="All",$B564=fTeam),OR(fChannel="All",$F564=fChannel),OR(fMonth="All",$AH564=fMonth),OR(fTStatus="All",$M564=fTStatus)),1,0))</f>
        <v>0</v>
      </c>
      <c r="AJ564" s="71">
        <f>IF($G564="",0,IF(AND(OR(fClient="All",$C564=fClient),OR(fCampaign="All",$D564=fCampaign),OR(fTeam="All",$B564=fTeam),OR(fChannel="All",$F564=fChannel)),1,0))</f>
        <v>0</v>
      </c>
      <c r="AK564" s="71">
        <f>IF($G564="",0,IF(OR($M564="Completed",$M564="Cancelled"),0,1))</f>
        <v>0</v>
      </c>
      <c r="AL564" s="71">
        <f>IF(AND($AK564=1,ISNUMBER($L564)),IF($L564&lt;ReportDate,1,0),0)</f>
        <v>0</v>
      </c>
      <c r="AM564" s="71">
        <f>IF(AND($G564&lt;&gt;"",$M564="Blocked"),1,0)</f>
        <v>0</v>
      </c>
      <c r="AN564" s="71">
        <f>IF(AND($AK564=1,ISNUMBER($L564)),IF($L564=ReportDate,1,0),0)</f>
        <v>0</v>
      </c>
      <c r="AO564" s="71">
        <f>IF(AND($AK564=1,ISNUMBER($L564)),IF($L564=ReportDate+1,1,0),0)</f>
        <v>0</v>
      </c>
      <c r="AP564" s="71">
        <f>IF(AND($AK564=1,ISNUMBER($L564)),IF(AND($L564&gt;=ReportDate,$L564&lt;=ReportDate+DueSoonDays),1,0),0)</f>
        <v>0</v>
      </c>
      <c r="AQ564" s="71">
        <f>IF(AND($AK564=1,OR($I564="Critical",$I564="High")),1,0)</f>
        <v>0</v>
      </c>
      <c r="AR564" s="71">
        <f>IF($AK564=1,IF(ISNUMBER($Y564),IF(ReportDate-$Y564&gt;StaleDays,1,0),1),0)</f>
        <v>0</v>
      </c>
      <c r="AS564" s="71">
        <f>IF(AND($G564&lt;&gt;"",ISNUMBER($Q564),ISNUMBER($R564)),IF(AND($Q564&lt;$R564,OR($M564="Completed",AND(ISNUMBER($L564),$L564&lt;ReportDate))),1,0),0)</f>
        <v>0</v>
      </c>
      <c r="AT564" s="71">
        <f>IF($AK564=1,IF(OR($L564=ReportDate,$W564=ReportDate,$K564=ReportDate,$A564=ReportDate),1,0),0)</f>
        <v>0</v>
      </c>
      <c r="AU564" s="71">
        <f>IF($AK564=1,IF(OR($L564=ReportDate+1,$W564=ReportDate+1,$K564=ReportDate+1,$A564=ReportDate+1),1,0),0)</f>
        <v>0</v>
      </c>
      <c r="AV564" s="71">
        <f>IF(AND($G564&lt;&gt;"",$M564="Completed"),IF(OR($Y564=ReportDate-1,$A564=ReportDate-1),1,0),0)</f>
        <v>0</v>
      </c>
      <c r="AW564" s="71">
        <f>IF(AND($AK564=1,$Z564="Yes"),1,0)</f>
        <v>0</v>
      </c>
      <c r="AX564" s="71">
        <f>IF(AND($AK564=1,$AA564="Yes"),1,0)</f>
        <v>0</v>
      </c>
      <c r="AY564" s="71">
        <f>IF(AND($AM564=1,OR($I564="Critical",$I564="High")),1,0)</f>
        <v>0</v>
      </c>
      <c r="AZ564" s="71">
        <f>IF(AND($AK564=1,OR($C564=TCL_Client,$C564=MECCA_Client)),1,0)</f>
        <v>0</v>
      </c>
      <c r="BA564" s="71" t="str">
        <f>IF($G564="","",IFERROR(MATCH($I564,lst_Priority,0),5))</f>
        <v/>
      </c>
      <c r="BB564" s="71" t="str">
        <f>IF(AND($AL564=1,$AJ564=1),$BA564*100000+ROW(),"")</f>
        <v/>
      </c>
      <c r="BC564" s="71" t="str">
        <f>IF(AND($AM564=1,$AJ564=1),$BA564*100000+ROW(),"")</f>
        <v/>
      </c>
      <c r="BD564" s="71" t="str">
        <f>IF(AND($AP564=1,$AJ564=1),$BA564*100000+ROW(),"")</f>
        <v/>
      </c>
      <c r="BE564" s="71" t="str">
        <f>IF(AND($AT564=1,$AJ564=1),$BA564*100000+ROW(),"")</f>
        <v/>
      </c>
      <c r="BF564" s="71" t="str">
        <f>IF(AND($AU564=1,$AJ564=1),$BA564*100000+ROW(),"")</f>
        <v/>
      </c>
      <c r="BG564" s="71" t="str">
        <f>IF(AND($AV564=1,$AJ564=1),$BA564*100000+ROW(),"")</f>
        <v/>
      </c>
      <c r="BH564" s="71" t="str">
        <f>IF(AND($AW564=1,$AJ564=1),$BA564*100000+ROW(),"")</f>
        <v/>
      </c>
      <c r="BI564" s="71" t="str">
        <f>IF(AND($AX564=1,$AJ564=1),$BA564*100000+ROW(),"")</f>
        <v/>
      </c>
      <c r="BJ564" s="71" t="str">
        <f>IF(AND($AS564=1,$AJ564=1),$BA564*100000+ROW(),"")</f>
        <v/>
      </c>
      <c r="BK564" s="71" t="str">
        <f>IF(AND($AY564=1,$AJ564=1),$BA564*100000+ROW(),"")</f>
        <v/>
      </c>
      <c r="BL564" s="71" t="str">
        <f>IF(AND($AZ564=1),$BA564*100000+ROW(),"")</f>
        <v/>
      </c>
    </row>
    <row r="565">
      <c r="A565" s="63" t="n"/>
      <c r="B565" s="64" t="n"/>
      <c r="C565" s="64" t="n"/>
      <c r="D565" s="64" t="n"/>
      <c r="E565" s="64" t="n"/>
      <c r="F565" s="64" t="n"/>
      <c r="G565" s="65" t="n"/>
      <c r="H565" s="65" t="n"/>
      <c r="I565" s="64" t="n"/>
      <c r="J565" s="64" t="n"/>
      <c r="K565" s="63" t="n"/>
      <c r="L565" s="63" t="n"/>
      <c r="M565" s="64" t="n"/>
      <c r="N565" s="66" t="n"/>
      <c r="O565" s="65" t="n"/>
      <c r="P565" s="64" t="n"/>
      <c r="Q565" s="67" t="n"/>
      <c r="R565" s="67" t="n"/>
      <c r="S565" s="68" t="str">
        <f>IF(AND(ISNUMBER($Q565),ISNUMBER($R565)),$Q565-$R565,"")</f>
        <v/>
      </c>
      <c r="T565" s="65" t="n"/>
      <c r="U565" s="64" t="n"/>
      <c r="V565" s="65" t="n"/>
      <c r="W565" s="63" t="n"/>
      <c r="X565" s="65" t="n"/>
      <c r="Y565" s="63" t="n"/>
      <c r="Z565" s="64" t="n"/>
      <c r="AA565" s="64" t="n"/>
      <c r="AB565" s="65" t="n"/>
      <c r="AC565" s="69" t="str">
        <f>IF(OR($G565="",NOT(ISNUMBER($K565)),$AK565=0),"",MAX(0,ReportDate-$K565))</f>
        <v/>
      </c>
      <c r="AD565" s="69" t="str">
        <f>IF($G565="","",IF($AL565=1,ReportDate-$L565,0))</f>
        <v/>
      </c>
      <c r="AE565" s="70" t="str">
        <f>IF($G565="","",IF($M565="Completed",1,IF(ISNUMBER($N565),$N565,0)))</f>
        <v/>
      </c>
      <c r="AF565" s="70" t="str">
        <f>IF(AND(ISNUMBER($Q565),ISNUMBER($R565)),IF($R565&lt;&gt;0,$Q565/$R565,""),"")</f>
        <v/>
      </c>
      <c r="AG565" s="71" t="str">
        <f>IF($G565="","",IF($AL565=1,"OVERDUE",IF($AM565=1,"BLOCKED",IF($AN565=1,"DUE TODAY",IF($AO565=1,"DUE TOMORROW",IF($AQ565=1,"HIGH PRIORITY",IF($AR565=1,"NO RECENT UPDATE",""))))))) </f>
        <v/>
      </c>
      <c r="AH565" s="71" t="str">
        <f>IF($G565="","",IF(ISNUMBER($A565),IF(ISNUMBER($A565),YEAR($A565)&amp;"-"&amp;TEXT(MONTH($A565),"00"),""),IF(ISNUMBER($L565),IF(ISNUMBER($L565),YEAR($L565)&amp;"-"&amp;TEXT(MONTH($L565),"00"),""),"")))</f>
        <v/>
      </c>
      <c r="AI565" s="71">
        <f>IF($G565="",0,IF(AND(OR(fClient="All",$C565=fClient),OR(fCampaign="All",$D565=fCampaign),OR(fTeam="All",$B565=fTeam),OR(fChannel="All",$F565=fChannel),OR(fMonth="All",$AH565=fMonth),OR(fTStatus="All",$M565=fTStatus)),1,0))</f>
        <v>0</v>
      </c>
      <c r="AJ565" s="71">
        <f>IF($G565="",0,IF(AND(OR(fClient="All",$C565=fClient),OR(fCampaign="All",$D565=fCampaign),OR(fTeam="All",$B565=fTeam),OR(fChannel="All",$F565=fChannel)),1,0))</f>
        <v>0</v>
      </c>
      <c r="AK565" s="71">
        <f>IF($G565="",0,IF(OR($M565="Completed",$M565="Cancelled"),0,1))</f>
        <v>0</v>
      </c>
      <c r="AL565" s="71">
        <f>IF(AND($AK565=1,ISNUMBER($L565)),IF($L565&lt;ReportDate,1,0),0)</f>
        <v>0</v>
      </c>
      <c r="AM565" s="71">
        <f>IF(AND($G565&lt;&gt;"",$M565="Blocked"),1,0)</f>
        <v>0</v>
      </c>
      <c r="AN565" s="71">
        <f>IF(AND($AK565=1,ISNUMBER($L565)),IF($L565=ReportDate,1,0),0)</f>
        <v>0</v>
      </c>
      <c r="AO565" s="71">
        <f>IF(AND($AK565=1,ISNUMBER($L565)),IF($L565=ReportDate+1,1,0),0)</f>
        <v>0</v>
      </c>
      <c r="AP565" s="71">
        <f>IF(AND($AK565=1,ISNUMBER($L565)),IF(AND($L565&gt;=ReportDate,$L565&lt;=ReportDate+DueSoonDays),1,0),0)</f>
        <v>0</v>
      </c>
      <c r="AQ565" s="71">
        <f>IF(AND($AK565=1,OR($I565="Critical",$I565="High")),1,0)</f>
        <v>0</v>
      </c>
      <c r="AR565" s="71">
        <f>IF($AK565=1,IF(ISNUMBER($Y565),IF(ReportDate-$Y565&gt;StaleDays,1,0),1),0)</f>
        <v>0</v>
      </c>
      <c r="AS565" s="71">
        <f>IF(AND($G565&lt;&gt;"",ISNUMBER($Q565),ISNUMBER($R565)),IF(AND($Q565&lt;$R565,OR($M565="Completed",AND(ISNUMBER($L565),$L565&lt;ReportDate))),1,0),0)</f>
        <v>0</v>
      </c>
      <c r="AT565" s="71">
        <f>IF($AK565=1,IF(OR($L565=ReportDate,$W565=ReportDate,$K565=ReportDate,$A565=ReportDate),1,0),0)</f>
        <v>0</v>
      </c>
      <c r="AU565" s="71">
        <f>IF($AK565=1,IF(OR($L565=ReportDate+1,$W565=ReportDate+1,$K565=ReportDate+1,$A565=ReportDate+1),1,0),0)</f>
        <v>0</v>
      </c>
      <c r="AV565" s="71">
        <f>IF(AND($G565&lt;&gt;"",$M565="Completed"),IF(OR($Y565=ReportDate-1,$A565=ReportDate-1),1,0),0)</f>
        <v>0</v>
      </c>
      <c r="AW565" s="71">
        <f>IF(AND($AK565=1,$Z565="Yes"),1,0)</f>
        <v>0</v>
      </c>
      <c r="AX565" s="71">
        <f>IF(AND($AK565=1,$AA565="Yes"),1,0)</f>
        <v>0</v>
      </c>
      <c r="AY565" s="71">
        <f>IF(AND($AM565=1,OR($I565="Critical",$I565="High")),1,0)</f>
        <v>0</v>
      </c>
      <c r="AZ565" s="71">
        <f>IF(AND($AK565=1,OR($C565=TCL_Client,$C565=MECCA_Client)),1,0)</f>
        <v>0</v>
      </c>
      <c r="BA565" s="71" t="str">
        <f>IF($G565="","",IFERROR(MATCH($I565,lst_Priority,0),5))</f>
        <v/>
      </c>
      <c r="BB565" s="71" t="str">
        <f>IF(AND($AL565=1,$AJ565=1),$BA565*100000+ROW(),"")</f>
        <v/>
      </c>
      <c r="BC565" s="71" t="str">
        <f>IF(AND($AM565=1,$AJ565=1),$BA565*100000+ROW(),"")</f>
        <v/>
      </c>
      <c r="BD565" s="71" t="str">
        <f>IF(AND($AP565=1,$AJ565=1),$BA565*100000+ROW(),"")</f>
        <v/>
      </c>
      <c r="BE565" s="71" t="str">
        <f>IF(AND($AT565=1,$AJ565=1),$BA565*100000+ROW(),"")</f>
        <v/>
      </c>
      <c r="BF565" s="71" t="str">
        <f>IF(AND($AU565=1,$AJ565=1),$BA565*100000+ROW(),"")</f>
        <v/>
      </c>
      <c r="BG565" s="71" t="str">
        <f>IF(AND($AV565=1,$AJ565=1),$BA565*100000+ROW(),"")</f>
        <v/>
      </c>
      <c r="BH565" s="71" t="str">
        <f>IF(AND($AW565=1,$AJ565=1),$BA565*100000+ROW(),"")</f>
        <v/>
      </c>
      <c r="BI565" s="71" t="str">
        <f>IF(AND($AX565=1,$AJ565=1),$BA565*100000+ROW(),"")</f>
        <v/>
      </c>
      <c r="BJ565" s="71" t="str">
        <f>IF(AND($AS565=1,$AJ565=1),$BA565*100000+ROW(),"")</f>
        <v/>
      </c>
      <c r="BK565" s="71" t="str">
        <f>IF(AND($AY565=1,$AJ565=1),$BA565*100000+ROW(),"")</f>
        <v/>
      </c>
      <c r="BL565" s="71" t="str">
        <f>IF(AND($AZ565=1),$BA565*100000+ROW(),"")</f>
        <v/>
      </c>
    </row>
    <row r="566">
      <c r="A566" s="63" t="n"/>
      <c r="B566" s="64" t="n"/>
      <c r="C566" s="64" t="n"/>
      <c r="D566" s="64" t="n"/>
      <c r="E566" s="64" t="n"/>
      <c r="F566" s="64" t="n"/>
      <c r="G566" s="65" t="n"/>
      <c r="H566" s="65" t="n"/>
      <c r="I566" s="64" t="n"/>
      <c r="J566" s="64" t="n"/>
      <c r="K566" s="63" t="n"/>
      <c r="L566" s="63" t="n"/>
      <c r="M566" s="64" t="n"/>
      <c r="N566" s="66" t="n"/>
      <c r="O566" s="65" t="n"/>
      <c r="P566" s="64" t="n"/>
      <c r="Q566" s="67" t="n"/>
      <c r="R566" s="67" t="n"/>
      <c r="S566" s="68" t="str">
        <f>IF(AND(ISNUMBER($Q566),ISNUMBER($R566)),$Q566-$R566,"")</f>
        <v/>
      </c>
      <c r="T566" s="65" t="n"/>
      <c r="U566" s="64" t="n"/>
      <c r="V566" s="65" t="n"/>
      <c r="W566" s="63" t="n"/>
      <c r="X566" s="65" t="n"/>
      <c r="Y566" s="63" t="n"/>
      <c r="Z566" s="64" t="n"/>
      <c r="AA566" s="64" t="n"/>
      <c r="AB566" s="65" t="n"/>
      <c r="AC566" s="69" t="str">
        <f>IF(OR($G566="",NOT(ISNUMBER($K566)),$AK566=0),"",MAX(0,ReportDate-$K566))</f>
        <v/>
      </c>
      <c r="AD566" s="69" t="str">
        <f>IF($G566="","",IF($AL566=1,ReportDate-$L566,0))</f>
        <v/>
      </c>
      <c r="AE566" s="70" t="str">
        <f>IF($G566="","",IF($M566="Completed",1,IF(ISNUMBER($N566),$N566,0)))</f>
        <v/>
      </c>
      <c r="AF566" s="70" t="str">
        <f>IF(AND(ISNUMBER($Q566),ISNUMBER($R566)),IF($R566&lt;&gt;0,$Q566/$R566,""),"")</f>
        <v/>
      </c>
      <c r="AG566" s="71" t="str">
        <f>IF($G566="","",IF($AL566=1,"OVERDUE",IF($AM566=1,"BLOCKED",IF($AN566=1,"DUE TODAY",IF($AO566=1,"DUE TOMORROW",IF($AQ566=1,"HIGH PRIORITY",IF($AR566=1,"NO RECENT UPDATE",""))))))) </f>
        <v/>
      </c>
      <c r="AH566" s="71" t="str">
        <f>IF($G566="","",IF(ISNUMBER($A566),IF(ISNUMBER($A566),YEAR($A566)&amp;"-"&amp;TEXT(MONTH($A566),"00"),""),IF(ISNUMBER($L566),IF(ISNUMBER($L566),YEAR($L566)&amp;"-"&amp;TEXT(MONTH($L566),"00"),""),"")))</f>
        <v/>
      </c>
      <c r="AI566" s="71">
        <f>IF($G566="",0,IF(AND(OR(fClient="All",$C566=fClient),OR(fCampaign="All",$D566=fCampaign),OR(fTeam="All",$B566=fTeam),OR(fChannel="All",$F566=fChannel),OR(fMonth="All",$AH566=fMonth),OR(fTStatus="All",$M566=fTStatus)),1,0))</f>
        <v>0</v>
      </c>
      <c r="AJ566" s="71">
        <f>IF($G566="",0,IF(AND(OR(fClient="All",$C566=fClient),OR(fCampaign="All",$D566=fCampaign),OR(fTeam="All",$B566=fTeam),OR(fChannel="All",$F566=fChannel)),1,0))</f>
        <v>0</v>
      </c>
      <c r="AK566" s="71">
        <f>IF($G566="",0,IF(OR($M566="Completed",$M566="Cancelled"),0,1))</f>
        <v>0</v>
      </c>
      <c r="AL566" s="71">
        <f>IF(AND($AK566=1,ISNUMBER($L566)),IF($L566&lt;ReportDate,1,0),0)</f>
        <v>0</v>
      </c>
      <c r="AM566" s="71">
        <f>IF(AND($G566&lt;&gt;"",$M566="Blocked"),1,0)</f>
        <v>0</v>
      </c>
      <c r="AN566" s="71">
        <f>IF(AND($AK566=1,ISNUMBER($L566)),IF($L566=ReportDate,1,0),0)</f>
        <v>0</v>
      </c>
      <c r="AO566" s="71">
        <f>IF(AND($AK566=1,ISNUMBER($L566)),IF($L566=ReportDate+1,1,0),0)</f>
        <v>0</v>
      </c>
      <c r="AP566" s="71">
        <f>IF(AND($AK566=1,ISNUMBER($L566)),IF(AND($L566&gt;=ReportDate,$L566&lt;=ReportDate+DueSoonDays),1,0),0)</f>
        <v>0</v>
      </c>
      <c r="AQ566" s="71">
        <f>IF(AND($AK566=1,OR($I566="Critical",$I566="High")),1,0)</f>
        <v>0</v>
      </c>
      <c r="AR566" s="71">
        <f>IF($AK566=1,IF(ISNUMBER($Y566),IF(ReportDate-$Y566&gt;StaleDays,1,0),1),0)</f>
        <v>0</v>
      </c>
      <c r="AS566" s="71">
        <f>IF(AND($G566&lt;&gt;"",ISNUMBER($Q566),ISNUMBER($R566)),IF(AND($Q566&lt;$R566,OR($M566="Completed",AND(ISNUMBER($L566),$L566&lt;ReportDate))),1,0),0)</f>
        <v>0</v>
      </c>
      <c r="AT566" s="71">
        <f>IF($AK566=1,IF(OR($L566=ReportDate,$W566=ReportDate,$K566=ReportDate,$A566=ReportDate),1,0),0)</f>
        <v>0</v>
      </c>
      <c r="AU566" s="71">
        <f>IF($AK566=1,IF(OR($L566=ReportDate+1,$W566=ReportDate+1,$K566=ReportDate+1,$A566=ReportDate+1),1,0),0)</f>
        <v>0</v>
      </c>
      <c r="AV566" s="71">
        <f>IF(AND($G566&lt;&gt;"",$M566="Completed"),IF(OR($Y566=ReportDate-1,$A566=ReportDate-1),1,0),0)</f>
        <v>0</v>
      </c>
      <c r="AW566" s="71">
        <f>IF(AND($AK566=1,$Z566="Yes"),1,0)</f>
        <v>0</v>
      </c>
      <c r="AX566" s="71">
        <f>IF(AND($AK566=1,$AA566="Yes"),1,0)</f>
        <v>0</v>
      </c>
      <c r="AY566" s="71">
        <f>IF(AND($AM566=1,OR($I566="Critical",$I566="High")),1,0)</f>
        <v>0</v>
      </c>
      <c r="AZ566" s="71">
        <f>IF(AND($AK566=1,OR($C566=TCL_Client,$C566=MECCA_Client)),1,0)</f>
        <v>0</v>
      </c>
      <c r="BA566" s="71" t="str">
        <f>IF($G566="","",IFERROR(MATCH($I566,lst_Priority,0),5))</f>
        <v/>
      </c>
      <c r="BB566" s="71" t="str">
        <f>IF(AND($AL566=1,$AJ566=1),$BA566*100000+ROW(),"")</f>
        <v/>
      </c>
      <c r="BC566" s="71" t="str">
        <f>IF(AND($AM566=1,$AJ566=1),$BA566*100000+ROW(),"")</f>
        <v/>
      </c>
      <c r="BD566" s="71" t="str">
        <f>IF(AND($AP566=1,$AJ566=1),$BA566*100000+ROW(),"")</f>
        <v/>
      </c>
      <c r="BE566" s="71" t="str">
        <f>IF(AND($AT566=1,$AJ566=1),$BA566*100000+ROW(),"")</f>
        <v/>
      </c>
      <c r="BF566" s="71" t="str">
        <f>IF(AND($AU566=1,$AJ566=1),$BA566*100000+ROW(),"")</f>
        <v/>
      </c>
      <c r="BG566" s="71" t="str">
        <f>IF(AND($AV566=1,$AJ566=1),$BA566*100000+ROW(),"")</f>
        <v/>
      </c>
      <c r="BH566" s="71" t="str">
        <f>IF(AND($AW566=1,$AJ566=1),$BA566*100000+ROW(),"")</f>
        <v/>
      </c>
      <c r="BI566" s="71" t="str">
        <f>IF(AND($AX566=1,$AJ566=1),$BA566*100000+ROW(),"")</f>
        <v/>
      </c>
      <c r="BJ566" s="71" t="str">
        <f>IF(AND($AS566=1,$AJ566=1),$BA566*100000+ROW(),"")</f>
        <v/>
      </c>
      <c r="BK566" s="71" t="str">
        <f>IF(AND($AY566=1,$AJ566=1),$BA566*100000+ROW(),"")</f>
        <v/>
      </c>
      <c r="BL566" s="71" t="str">
        <f>IF(AND($AZ566=1),$BA566*100000+ROW(),"")</f>
        <v/>
      </c>
    </row>
    <row r="567">
      <c r="A567" s="63" t="n"/>
      <c r="B567" s="64" t="n"/>
      <c r="C567" s="64" t="n"/>
      <c r="D567" s="64" t="n"/>
      <c r="E567" s="64" t="n"/>
      <c r="F567" s="64" t="n"/>
      <c r="G567" s="65" t="n"/>
      <c r="H567" s="65" t="n"/>
      <c r="I567" s="64" t="n"/>
      <c r="J567" s="64" t="n"/>
      <c r="K567" s="63" t="n"/>
      <c r="L567" s="63" t="n"/>
      <c r="M567" s="64" t="n"/>
      <c r="N567" s="66" t="n"/>
      <c r="O567" s="65" t="n"/>
      <c r="P567" s="64" t="n"/>
      <c r="Q567" s="67" t="n"/>
      <c r="R567" s="67" t="n"/>
      <c r="S567" s="68" t="str">
        <f>IF(AND(ISNUMBER($Q567),ISNUMBER($R567)),$Q567-$R567,"")</f>
        <v/>
      </c>
      <c r="T567" s="65" t="n"/>
      <c r="U567" s="64" t="n"/>
      <c r="V567" s="65" t="n"/>
      <c r="W567" s="63" t="n"/>
      <c r="X567" s="65" t="n"/>
      <c r="Y567" s="63" t="n"/>
      <c r="Z567" s="64" t="n"/>
      <c r="AA567" s="64" t="n"/>
      <c r="AB567" s="65" t="n"/>
      <c r="AC567" s="69" t="str">
        <f>IF(OR($G567="",NOT(ISNUMBER($K567)),$AK567=0),"",MAX(0,ReportDate-$K567))</f>
        <v/>
      </c>
      <c r="AD567" s="69" t="str">
        <f>IF($G567="","",IF($AL567=1,ReportDate-$L567,0))</f>
        <v/>
      </c>
      <c r="AE567" s="70" t="str">
        <f>IF($G567="","",IF($M567="Completed",1,IF(ISNUMBER($N567),$N567,0)))</f>
        <v/>
      </c>
      <c r="AF567" s="70" t="str">
        <f>IF(AND(ISNUMBER($Q567),ISNUMBER($R567)),IF($R567&lt;&gt;0,$Q567/$R567,""),"")</f>
        <v/>
      </c>
      <c r="AG567" s="71" t="str">
        <f>IF($G567="","",IF($AL567=1,"OVERDUE",IF($AM567=1,"BLOCKED",IF($AN567=1,"DUE TODAY",IF($AO567=1,"DUE TOMORROW",IF($AQ567=1,"HIGH PRIORITY",IF($AR567=1,"NO RECENT UPDATE",""))))))) </f>
        <v/>
      </c>
      <c r="AH567" s="71" t="str">
        <f>IF($G567="","",IF(ISNUMBER($A567),IF(ISNUMBER($A567),YEAR($A567)&amp;"-"&amp;TEXT(MONTH($A567),"00"),""),IF(ISNUMBER($L567),IF(ISNUMBER($L567),YEAR($L567)&amp;"-"&amp;TEXT(MONTH($L567),"00"),""),"")))</f>
        <v/>
      </c>
      <c r="AI567" s="71">
        <f>IF($G567="",0,IF(AND(OR(fClient="All",$C567=fClient),OR(fCampaign="All",$D567=fCampaign),OR(fTeam="All",$B567=fTeam),OR(fChannel="All",$F567=fChannel),OR(fMonth="All",$AH567=fMonth),OR(fTStatus="All",$M567=fTStatus)),1,0))</f>
        <v>0</v>
      </c>
      <c r="AJ567" s="71">
        <f>IF($G567="",0,IF(AND(OR(fClient="All",$C567=fClient),OR(fCampaign="All",$D567=fCampaign),OR(fTeam="All",$B567=fTeam),OR(fChannel="All",$F567=fChannel)),1,0))</f>
        <v>0</v>
      </c>
      <c r="AK567" s="71">
        <f>IF($G567="",0,IF(OR($M567="Completed",$M567="Cancelled"),0,1))</f>
        <v>0</v>
      </c>
      <c r="AL567" s="71">
        <f>IF(AND($AK567=1,ISNUMBER($L567)),IF($L567&lt;ReportDate,1,0),0)</f>
        <v>0</v>
      </c>
      <c r="AM567" s="71">
        <f>IF(AND($G567&lt;&gt;"",$M567="Blocked"),1,0)</f>
        <v>0</v>
      </c>
      <c r="AN567" s="71">
        <f>IF(AND($AK567=1,ISNUMBER($L567)),IF($L567=ReportDate,1,0),0)</f>
        <v>0</v>
      </c>
      <c r="AO567" s="71">
        <f>IF(AND($AK567=1,ISNUMBER($L567)),IF($L567=ReportDate+1,1,0),0)</f>
        <v>0</v>
      </c>
      <c r="AP567" s="71">
        <f>IF(AND($AK567=1,ISNUMBER($L567)),IF(AND($L567&gt;=ReportDate,$L567&lt;=ReportDate+DueSoonDays),1,0),0)</f>
        <v>0</v>
      </c>
      <c r="AQ567" s="71">
        <f>IF(AND($AK567=1,OR($I567="Critical",$I567="High")),1,0)</f>
        <v>0</v>
      </c>
      <c r="AR567" s="71">
        <f>IF($AK567=1,IF(ISNUMBER($Y567),IF(ReportDate-$Y567&gt;StaleDays,1,0),1),0)</f>
        <v>0</v>
      </c>
      <c r="AS567" s="71">
        <f>IF(AND($G567&lt;&gt;"",ISNUMBER($Q567),ISNUMBER($R567)),IF(AND($Q567&lt;$R567,OR($M567="Completed",AND(ISNUMBER($L567),$L567&lt;ReportDate))),1,0),0)</f>
        <v>0</v>
      </c>
      <c r="AT567" s="71">
        <f>IF($AK567=1,IF(OR($L567=ReportDate,$W567=ReportDate,$K567=ReportDate,$A567=ReportDate),1,0),0)</f>
        <v>0</v>
      </c>
      <c r="AU567" s="71">
        <f>IF($AK567=1,IF(OR($L567=ReportDate+1,$W567=ReportDate+1,$K567=ReportDate+1,$A567=ReportDate+1),1,0),0)</f>
        <v>0</v>
      </c>
      <c r="AV567" s="71">
        <f>IF(AND($G567&lt;&gt;"",$M567="Completed"),IF(OR($Y567=ReportDate-1,$A567=ReportDate-1),1,0),0)</f>
        <v>0</v>
      </c>
      <c r="AW567" s="71">
        <f>IF(AND($AK567=1,$Z567="Yes"),1,0)</f>
        <v>0</v>
      </c>
      <c r="AX567" s="71">
        <f>IF(AND($AK567=1,$AA567="Yes"),1,0)</f>
        <v>0</v>
      </c>
      <c r="AY567" s="71">
        <f>IF(AND($AM567=1,OR($I567="Critical",$I567="High")),1,0)</f>
        <v>0</v>
      </c>
      <c r="AZ567" s="71">
        <f>IF(AND($AK567=1,OR($C567=TCL_Client,$C567=MECCA_Client)),1,0)</f>
        <v>0</v>
      </c>
      <c r="BA567" s="71" t="str">
        <f>IF($G567="","",IFERROR(MATCH($I567,lst_Priority,0),5))</f>
        <v/>
      </c>
      <c r="BB567" s="71" t="str">
        <f>IF(AND($AL567=1,$AJ567=1),$BA567*100000+ROW(),"")</f>
        <v/>
      </c>
      <c r="BC567" s="71" t="str">
        <f>IF(AND($AM567=1,$AJ567=1),$BA567*100000+ROW(),"")</f>
        <v/>
      </c>
      <c r="BD567" s="71" t="str">
        <f>IF(AND($AP567=1,$AJ567=1),$BA567*100000+ROW(),"")</f>
        <v/>
      </c>
      <c r="BE567" s="71" t="str">
        <f>IF(AND($AT567=1,$AJ567=1),$BA567*100000+ROW(),"")</f>
        <v/>
      </c>
      <c r="BF567" s="71" t="str">
        <f>IF(AND($AU567=1,$AJ567=1),$BA567*100000+ROW(),"")</f>
        <v/>
      </c>
      <c r="BG567" s="71" t="str">
        <f>IF(AND($AV567=1,$AJ567=1),$BA567*100000+ROW(),"")</f>
        <v/>
      </c>
      <c r="BH567" s="71" t="str">
        <f>IF(AND($AW567=1,$AJ567=1),$BA567*100000+ROW(),"")</f>
        <v/>
      </c>
      <c r="BI567" s="71" t="str">
        <f>IF(AND($AX567=1,$AJ567=1),$BA567*100000+ROW(),"")</f>
        <v/>
      </c>
      <c r="BJ567" s="71" t="str">
        <f>IF(AND($AS567=1,$AJ567=1),$BA567*100000+ROW(),"")</f>
        <v/>
      </c>
      <c r="BK567" s="71" t="str">
        <f>IF(AND($AY567=1,$AJ567=1),$BA567*100000+ROW(),"")</f>
        <v/>
      </c>
      <c r="BL567" s="71" t="str">
        <f>IF(AND($AZ567=1),$BA567*100000+ROW(),"")</f>
        <v/>
      </c>
    </row>
    <row r="568">
      <c r="A568" s="63" t="n"/>
      <c r="B568" s="64" t="n"/>
      <c r="C568" s="64" t="n"/>
      <c r="D568" s="64" t="n"/>
      <c r="E568" s="64" t="n"/>
      <c r="F568" s="64" t="n"/>
      <c r="G568" s="65" t="n"/>
      <c r="H568" s="65" t="n"/>
      <c r="I568" s="64" t="n"/>
      <c r="J568" s="64" t="n"/>
      <c r="K568" s="63" t="n"/>
      <c r="L568" s="63" t="n"/>
      <c r="M568" s="64" t="n"/>
      <c r="N568" s="66" t="n"/>
      <c r="O568" s="65" t="n"/>
      <c r="P568" s="64" t="n"/>
      <c r="Q568" s="67" t="n"/>
      <c r="R568" s="67" t="n"/>
      <c r="S568" s="68" t="str">
        <f>IF(AND(ISNUMBER($Q568),ISNUMBER($R568)),$Q568-$R568,"")</f>
        <v/>
      </c>
      <c r="T568" s="65" t="n"/>
      <c r="U568" s="64" t="n"/>
      <c r="V568" s="65" t="n"/>
      <c r="W568" s="63" t="n"/>
      <c r="X568" s="65" t="n"/>
      <c r="Y568" s="63" t="n"/>
      <c r="Z568" s="64" t="n"/>
      <c r="AA568" s="64" t="n"/>
      <c r="AB568" s="65" t="n"/>
      <c r="AC568" s="69" t="str">
        <f>IF(OR($G568="",NOT(ISNUMBER($K568)),$AK568=0),"",MAX(0,ReportDate-$K568))</f>
        <v/>
      </c>
      <c r="AD568" s="69" t="str">
        <f>IF($G568="","",IF($AL568=1,ReportDate-$L568,0))</f>
        <v/>
      </c>
      <c r="AE568" s="70" t="str">
        <f>IF($G568="","",IF($M568="Completed",1,IF(ISNUMBER($N568),$N568,0)))</f>
        <v/>
      </c>
      <c r="AF568" s="70" t="str">
        <f>IF(AND(ISNUMBER($Q568),ISNUMBER($R568)),IF($R568&lt;&gt;0,$Q568/$R568,""),"")</f>
        <v/>
      </c>
      <c r="AG568" s="71" t="str">
        <f>IF($G568="","",IF($AL568=1,"OVERDUE",IF($AM568=1,"BLOCKED",IF($AN568=1,"DUE TODAY",IF($AO568=1,"DUE TOMORROW",IF($AQ568=1,"HIGH PRIORITY",IF($AR568=1,"NO RECENT UPDATE",""))))))) </f>
        <v/>
      </c>
      <c r="AH568" s="71" t="str">
        <f>IF($G568="","",IF(ISNUMBER($A568),IF(ISNUMBER($A568),YEAR($A568)&amp;"-"&amp;TEXT(MONTH($A568),"00"),""),IF(ISNUMBER($L568),IF(ISNUMBER($L568),YEAR($L568)&amp;"-"&amp;TEXT(MONTH($L568),"00"),""),"")))</f>
        <v/>
      </c>
      <c r="AI568" s="71">
        <f>IF($G568="",0,IF(AND(OR(fClient="All",$C568=fClient),OR(fCampaign="All",$D568=fCampaign),OR(fTeam="All",$B568=fTeam),OR(fChannel="All",$F568=fChannel),OR(fMonth="All",$AH568=fMonth),OR(fTStatus="All",$M568=fTStatus)),1,0))</f>
        <v>0</v>
      </c>
      <c r="AJ568" s="71">
        <f>IF($G568="",0,IF(AND(OR(fClient="All",$C568=fClient),OR(fCampaign="All",$D568=fCampaign),OR(fTeam="All",$B568=fTeam),OR(fChannel="All",$F568=fChannel)),1,0))</f>
        <v>0</v>
      </c>
      <c r="AK568" s="71">
        <f>IF($G568="",0,IF(OR($M568="Completed",$M568="Cancelled"),0,1))</f>
        <v>0</v>
      </c>
      <c r="AL568" s="71">
        <f>IF(AND($AK568=1,ISNUMBER($L568)),IF($L568&lt;ReportDate,1,0),0)</f>
        <v>0</v>
      </c>
      <c r="AM568" s="71">
        <f>IF(AND($G568&lt;&gt;"",$M568="Blocked"),1,0)</f>
        <v>0</v>
      </c>
      <c r="AN568" s="71">
        <f>IF(AND($AK568=1,ISNUMBER($L568)),IF($L568=ReportDate,1,0),0)</f>
        <v>0</v>
      </c>
      <c r="AO568" s="71">
        <f>IF(AND($AK568=1,ISNUMBER($L568)),IF($L568=ReportDate+1,1,0),0)</f>
        <v>0</v>
      </c>
      <c r="AP568" s="71">
        <f>IF(AND($AK568=1,ISNUMBER($L568)),IF(AND($L568&gt;=ReportDate,$L568&lt;=ReportDate+DueSoonDays),1,0),0)</f>
        <v>0</v>
      </c>
      <c r="AQ568" s="71">
        <f>IF(AND($AK568=1,OR($I568="Critical",$I568="High")),1,0)</f>
        <v>0</v>
      </c>
      <c r="AR568" s="71">
        <f>IF($AK568=1,IF(ISNUMBER($Y568),IF(ReportDate-$Y568&gt;StaleDays,1,0),1),0)</f>
        <v>0</v>
      </c>
      <c r="AS568" s="71">
        <f>IF(AND($G568&lt;&gt;"",ISNUMBER($Q568),ISNUMBER($R568)),IF(AND($Q568&lt;$R568,OR($M568="Completed",AND(ISNUMBER($L568),$L568&lt;ReportDate))),1,0),0)</f>
        <v>0</v>
      </c>
      <c r="AT568" s="71">
        <f>IF($AK568=1,IF(OR($L568=ReportDate,$W568=ReportDate,$K568=ReportDate,$A568=ReportDate),1,0),0)</f>
        <v>0</v>
      </c>
      <c r="AU568" s="71">
        <f>IF($AK568=1,IF(OR($L568=ReportDate+1,$W568=ReportDate+1,$K568=ReportDate+1,$A568=ReportDate+1),1,0),0)</f>
        <v>0</v>
      </c>
      <c r="AV568" s="71">
        <f>IF(AND($G568&lt;&gt;"",$M568="Completed"),IF(OR($Y568=ReportDate-1,$A568=ReportDate-1),1,0),0)</f>
        <v>0</v>
      </c>
      <c r="AW568" s="71">
        <f>IF(AND($AK568=1,$Z568="Yes"),1,0)</f>
        <v>0</v>
      </c>
      <c r="AX568" s="71">
        <f>IF(AND($AK568=1,$AA568="Yes"),1,0)</f>
        <v>0</v>
      </c>
      <c r="AY568" s="71">
        <f>IF(AND($AM568=1,OR($I568="Critical",$I568="High")),1,0)</f>
        <v>0</v>
      </c>
      <c r="AZ568" s="71">
        <f>IF(AND($AK568=1,OR($C568=TCL_Client,$C568=MECCA_Client)),1,0)</f>
        <v>0</v>
      </c>
      <c r="BA568" s="71" t="str">
        <f>IF($G568="","",IFERROR(MATCH($I568,lst_Priority,0),5))</f>
        <v/>
      </c>
      <c r="BB568" s="71" t="str">
        <f>IF(AND($AL568=1,$AJ568=1),$BA568*100000+ROW(),"")</f>
        <v/>
      </c>
      <c r="BC568" s="71" t="str">
        <f>IF(AND($AM568=1,$AJ568=1),$BA568*100000+ROW(),"")</f>
        <v/>
      </c>
      <c r="BD568" s="71" t="str">
        <f>IF(AND($AP568=1,$AJ568=1),$BA568*100000+ROW(),"")</f>
        <v/>
      </c>
      <c r="BE568" s="71" t="str">
        <f>IF(AND($AT568=1,$AJ568=1),$BA568*100000+ROW(),"")</f>
        <v/>
      </c>
      <c r="BF568" s="71" t="str">
        <f>IF(AND($AU568=1,$AJ568=1),$BA568*100000+ROW(),"")</f>
        <v/>
      </c>
      <c r="BG568" s="71" t="str">
        <f>IF(AND($AV568=1,$AJ568=1),$BA568*100000+ROW(),"")</f>
        <v/>
      </c>
      <c r="BH568" s="71" t="str">
        <f>IF(AND($AW568=1,$AJ568=1),$BA568*100000+ROW(),"")</f>
        <v/>
      </c>
      <c r="BI568" s="71" t="str">
        <f>IF(AND($AX568=1,$AJ568=1),$BA568*100000+ROW(),"")</f>
        <v/>
      </c>
      <c r="BJ568" s="71" t="str">
        <f>IF(AND($AS568=1,$AJ568=1),$BA568*100000+ROW(),"")</f>
        <v/>
      </c>
      <c r="BK568" s="71" t="str">
        <f>IF(AND($AY568=1,$AJ568=1),$BA568*100000+ROW(),"")</f>
        <v/>
      </c>
      <c r="BL568" s="71" t="str">
        <f>IF(AND($AZ568=1),$BA568*100000+ROW(),"")</f>
        <v/>
      </c>
    </row>
    <row r="569">
      <c r="A569" s="63" t="n"/>
      <c r="B569" s="64" t="n"/>
      <c r="C569" s="64" t="n"/>
      <c r="D569" s="64" t="n"/>
      <c r="E569" s="64" t="n"/>
      <c r="F569" s="64" t="n"/>
      <c r="G569" s="65" t="n"/>
      <c r="H569" s="65" t="n"/>
      <c r="I569" s="64" t="n"/>
      <c r="J569" s="64" t="n"/>
      <c r="K569" s="63" t="n"/>
      <c r="L569" s="63" t="n"/>
      <c r="M569" s="64" t="n"/>
      <c r="N569" s="66" t="n"/>
      <c r="O569" s="65" t="n"/>
      <c r="P569" s="64" t="n"/>
      <c r="Q569" s="67" t="n"/>
      <c r="R569" s="67" t="n"/>
      <c r="S569" s="68" t="str">
        <f>IF(AND(ISNUMBER($Q569),ISNUMBER($R569)),$Q569-$R569,"")</f>
        <v/>
      </c>
      <c r="T569" s="65" t="n"/>
      <c r="U569" s="64" t="n"/>
      <c r="V569" s="65" t="n"/>
      <c r="W569" s="63" t="n"/>
      <c r="X569" s="65" t="n"/>
      <c r="Y569" s="63" t="n"/>
      <c r="Z569" s="64" t="n"/>
      <c r="AA569" s="64" t="n"/>
      <c r="AB569" s="65" t="n"/>
      <c r="AC569" s="69" t="str">
        <f>IF(OR($G569="",NOT(ISNUMBER($K569)),$AK569=0),"",MAX(0,ReportDate-$K569))</f>
        <v/>
      </c>
      <c r="AD569" s="69" t="str">
        <f>IF($G569="","",IF($AL569=1,ReportDate-$L569,0))</f>
        <v/>
      </c>
      <c r="AE569" s="70" t="str">
        <f>IF($G569="","",IF($M569="Completed",1,IF(ISNUMBER($N569),$N569,0)))</f>
        <v/>
      </c>
      <c r="AF569" s="70" t="str">
        <f>IF(AND(ISNUMBER($Q569),ISNUMBER($R569)),IF($R569&lt;&gt;0,$Q569/$R569,""),"")</f>
        <v/>
      </c>
      <c r="AG569" s="71" t="str">
        <f>IF($G569="","",IF($AL569=1,"OVERDUE",IF($AM569=1,"BLOCKED",IF($AN569=1,"DUE TODAY",IF($AO569=1,"DUE TOMORROW",IF($AQ569=1,"HIGH PRIORITY",IF($AR569=1,"NO RECENT UPDATE",""))))))) </f>
        <v/>
      </c>
      <c r="AH569" s="71" t="str">
        <f>IF($G569="","",IF(ISNUMBER($A569),IF(ISNUMBER($A569),YEAR($A569)&amp;"-"&amp;TEXT(MONTH($A569),"00"),""),IF(ISNUMBER($L569),IF(ISNUMBER($L569),YEAR($L569)&amp;"-"&amp;TEXT(MONTH($L569),"00"),""),"")))</f>
        <v/>
      </c>
      <c r="AI569" s="71">
        <f>IF($G569="",0,IF(AND(OR(fClient="All",$C569=fClient),OR(fCampaign="All",$D569=fCampaign),OR(fTeam="All",$B569=fTeam),OR(fChannel="All",$F569=fChannel),OR(fMonth="All",$AH569=fMonth),OR(fTStatus="All",$M569=fTStatus)),1,0))</f>
        <v>0</v>
      </c>
      <c r="AJ569" s="71">
        <f>IF($G569="",0,IF(AND(OR(fClient="All",$C569=fClient),OR(fCampaign="All",$D569=fCampaign),OR(fTeam="All",$B569=fTeam),OR(fChannel="All",$F569=fChannel)),1,0))</f>
        <v>0</v>
      </c>
      <c r="AK569" s="71">
        <f>IF($G569="",0,IF(OR($M569="Completed",$M569="Cancelled"),0,1))</f>
        <v>0</v>
      </c>
      <c r="AL569" s="71">
        <f>IF(AND($AK569=1,ISNUMBER($L569)),IF($L569&lt;ReportDate,1,0),0)</f>
        <v>0</v>
      </c>
      <c r="AM569" s="71">
        <f>IF(AND($G569&lt;&gt;"",$M569="Blocked"),1,0)</f>
        <v>0</v>
      </c>
      <c r="AN569" s="71">
        <f>IF(AND($AK569=1,ISNUMBER($L569)),IF($L569=ReportDate,1,0),0)</f>
        <v>0</v>
      </c>
      <c r="AO569" s="71">
        <f>IF(AND($AK569=1,ISNUMBER($L569)),IF($L569=ReportDate+1,1,0),0)</f>
        <v>0</v>
      </c>
      <c r="AP569" s="71">
        <f>IF(AND($AK569=1,ISNUMBER($L569)),IF(AND($L569&gt;=ReportDate,$L569&lt;=ReportDate+DueSoonDays),1,0),0)</f>
        <v>0</v>
      </c>
      <c r="AQ569" s="71">
        <f>IF(AND($AK569=1,OR($I569="Critical",$I569="High")),1,0)</f>
        <v>0</v>
      </c>
      <c r="AR569" s="71">
        <f>IF($AK569=1,IF(ISNUMBER($Y569),IF(ReportDate-$Y569&gt;StaleDays,1,0),1),0)</f>
        <v>0</v>
      </c>
      <c r="AS569" s="71">
        <f>IF(AND($G569&lt;&gt;"",ISNUMBER($Q569),ISNUMBER($R569)),IF(AND($Q569&lt;$R569,OR($M569="Completed",AND(ISNUMBER($L569),$L569&lt;ReportDate))),1,0),0)</f>
        <v>0</v>
      </c>
      <c r="AT569" s="71">
        <f>IF($AK569=1,IF(OR($L569=ReportDate,$W569=ReportDate,$K569=ReportDate,$A569=ReportDate),1,0),0)</f>
        <v>0</v>
      </c>
      <c r="AU569" s="71">
        <f>IF($AK569=1,IF(OR($L569=ReportDate+1,$W569=ReportDate+1,$K569=ReportDate+1,$A569=ReportDate+1),1,0),0)</f>
        <v>0</v>
      </c>
      <c r="AV569" s="71">
        <f>IF(AND($G569&lt;&gt;"",$M569="Completed"),IF(OR($Y569=ReportDate-1,$A569=ReportDate-1),1,0),0)</f>
        <v>0</v>
      </c>
      <c r="AW569" s="71">
        <f>IF(AND($AK569=1,$Z569="Yes"),1,0)</f>
        <v>0</v>
      </c>
      <c r="AX569" s="71">
        <f>IF(AND($AK569=1,$AA569="Yes"),1,0)</f>
        <v>0</v>
      </c>
      <c r="AY569" s="71">
        <f>IF(AND($AM569=1,OR($I569="Critical",$I569="High")),1,0)</f>
        <v>0</v>
      </c>
      <c r="AZ569" s="71">
        <f>IF(AND($AK569=1,OR($C569=TCL_Client,$C569=MECCA_Client)),1,0)</f>
        <v>0</v>
      </c>
      <c r="BA569" s="71" t="str">
        <f>IF($G569="","",IFERROR(MATCH($I569,lst_Priority,0),5))</f>
        <v/>
      </c>
      <c r="BB569" s="71" t="str">
        <f>IF(AND($AL569=1,$AJ569=1),$BA569*100000+ROW(),"")</f>
        <v/>
      </c>
      <c r="BC569" s="71" t="str">
        <f>IF(AND($AM569=1,$AJ569=1),$BA569*100000+ROW(),"")</f>
        <v/>
      </c>
      <c r="BD569" s="71" t="str">
        <f>IF(AND($AP569=1,$AJ569=1),$BA569*100000+ROW(),"")</f>
        <v/>
      </c>
      <c r="BE569" s="71" t="str">
        <f>IF(AND($AT569=1,$AJ569=1),$BA569*100000+ROW(),"")</f>
        <v/>
      </c>
      <c r="BF569" s="71" t="str">
        <f>IF(AND($AU569=1,$AJ569=1),$BA569*100000+ROW(),"")</f>
        <v/>
      </c>
      <c r="BG569" s="71" t="str">
        <f>IF(AND($AV569=1,$AJ569=1),$BA569*100000+ROW(),"")</f>
        <v/>
      </c>
      <c r="BH569" s="71" t="str">
        <f>IF(AND($AW569=1,$AJ569=1),$BA569*100000+ROW(),"")</f>
        <v/>
      </c>
      <c r="BI569" s="71" t="str">
        <f>IF(AND($AX569=1,$AJ569=1),$BA569*100000+ROW(),"")</f>
        <v/>
      </c>
      <c r="BJ569" s="71" t="str">
        <f>IF(AND($AS569=1,$AJ569=1),$BA569*100000+ROW(),"")</f>
        <v/>
      </c>
      <c r="BK569" s="71" t="str">
        <f>IF(AND($AY569=1,$AJ569=1),$BA569*100000+ROW(),"")</f>
        <v/>
      </c>
      <c r="BL569" s="71" t="str">
        <f>IF(AND($AZ569=1),$BA569*100000+ROW(),"")</f>
        <v/>
      </c>
    </row>
    <row r="570">
      <c r="A570" s="63" t="n"/>
      <c r="B570" s="64" t="n"/>
      <c r="C570" s="64" t="n"/>
      <c r="D570" s="64" t="n"/>
      <c r="E570" s="64" t="n"/>
      <c r="F570" s="64" t="n"/>
      <c r="G570" s="65" t="n"/>
      <c r="H570" s="65" t="n"/>
      <c r="I570" s="64" t="n"/>
      <c r="J570" s="64" t="n"/>
      <c r="K570" s="63" t="n"/>
      <c r="L570" s="63" t="n"/>
      <c r="M570" s="64" t="n"/>
      <c r="N570" s="66" t="n"/>
      <c r="O570" s="65" t="n"/>
      <c r="P570" s="64" t="n"/>
      <c r="Q570" s="67" t="n"/>
      <c r="R570" s="67" t="n"/>
      <c r="S570" s="68" t="str">
        <f>IF(AND(ISNUMBER($Q570),ISNUMBER($R570)),$Q570-$R570,"")</f>
        <v/>
      </c>
      <c r="T570" s="65" t="n"/>
      <c r="U570" s="64" t="n"/>
      <c r="V570" s="65" t="n"/>
      <c r="W570" s="63" t="n"/>
      <c r="X570" s="65" t="n"/>
      <c r="Y570" s="63" t="n"/>
      <c r="Z570" s="64" t="n"/>
      <c r="AA570" s="64" t="n"/>
      <c r="AB570" s="65" t="n"/>
      <c r="AC570" s="69" t="str">
        <f>IF(OR($G570="",NOT(ISNUMBER($K570)),$AK570=0),"",MAX(0,ReportDate-$K570))</f>
        <v/>
      </c>
      <c r="AD570" s="69" t="str">
        <f>IF($G570="","",IF($AL570=1,ReportDate-$L570,0))</f>
        <v/>
      </c>
      <c r="AE570" s="70" t="str">
        <f>IF($G570="","",IF($M570="Completed",1,IF(ISNUMBER($N570),$N570,0)))</f>
        <v/>
      </c>
      <c r="AF570" s="70" t="str">
        <f>IF(AND(ISNUMBER($Q570),ISNUMBER($R570)),IF($R570&lt;&gt;0,$Q570/$R570,""),"")</f>
        <v/>
      </c>
      <c r="AG570" s="71" t="str">
        <f>IF($G570="","",IF($AL570=1,"OVERDUE",IF($AM570=1,"BLOCKED",IF($AN570=1,"DUE TODAY",IF($AO570=1,"DUE TOMORROW",IF($AQ570=1,"HIGH PRIORITY",IF($AR570=1,"NO RECENT UPDATE",""))))))) </f>
        <v/>
      </c>
      <c r="AH570" s="71" t="str">
        <f>IF($G570="","",IF(ISNUMBER($A570),IF(ISNUMBER($A570),YEAR($A570)&amp;"-"&amp;TEXT(MONTH($A570),"00"),""),IF(ISNUMBER($L570),IF(ISNUMBER($L570),YEAR($L570)&amp;"-"&amp;TEXT(MONTH($L570),"00"),""),"")))</f>
        <v/>
      </c>
      <c r="AI570" s="71">
        <f>IF($G570="",0,IF(AND(OR(fClient="All",$C570=fClient),OR(fCampaign="All",$D570=fCampaign),OR(fTeam="All",$B570=fTeam),OR(fChannel="All",$F570=fChannel),OR(fMonth="All",$AH570=fMonth),OR(fTStatus="All",$M570=fTStatus)),1,0))</f>
        <v>0</v>
      </c>
      <c r="AJ570" s="71">
        <f>IF($G570="",0,IF(AND(OR(fClient="All",$C570=fClient),OR(fCampaign="All",$D570=fCampaign),OR(fTeam="All",$B570=fTeam),OR(fChannel="All",$F570=fChannel)),1,0))</f>
        <v>0</v>
      </c>
      <c r="AK570" s="71">
        <f>IF($G570="",0,IF(OR($M570="Completed",$M570="Cancelled"),0,1))</f>
        <v>0</v>
      </c>
      <c r="AL570" s="71">
        <f>IF(AND($AK570=1,ISNUMBER($L570)),IF($L570&lt;ReportDate,1,0),0)</f>
        <v>0</v>
      </c>
      <c r="AM570" s="71">
        <f>IF(AND($G570&lt;&gt;"",$M570="Blocked"),1,0)</f>
        <v>0</v>
      </c>
      <c r="AN570" s="71">
        <f>IF(AND($AK570=1,ISNUMBER($L570)),IF($L570=ReportDate,1,0),0)</f>
        <v>0</v>
      </c>
      <c r="AO570" s="71">
        <f>IF(AND($AK570=1,ISNUMBER($L570)),IF($L570=ReportDate+1,1,0),0)</f>
        <v>0</v>
      </c>
      <c r="AP570" s="71">
        <f>IF(AND($AK570=1,ISNUMBER($L570)),IF(AND($L570&gt;=ReportDate,$L570&lt;=ReportDate+DueSoonDays),1,0),0)</f>
        <v>0</v>
      </c>
      <c r="AQ570" s="71">
        <f>IF(AND($AK570=1,OR($I570="Critical",$I570="High")),1,0)</f>
        <v>0</v>
      </c>
      <c r="AR570" s="71">
        <f>IF($AK570=1,IF(ISNUMBER($Y570),IF(ReportDate-$Y570&gt;StaleDays,1,0),1),0)</f>
        <v>0</v>
      </c>
      <c r="AS570" s="71">
        <f>IF(AND($G570&lt;&gt;"",ISNUMBER($Q570),ISNUMBER($R570)),IF(AND($Q570&lt;$R570,OR($M570="Completed",AND(ISNUMBER($L570),$L570&lt;ReportDate))),1,0),0)</f>
        <v>0</v>
      </c>
      <c r="AT570" s="71">
        <f>IF($AK570=1,IF(OR($L570=ReportDate,$W570=ReportDate,$K570=ReportDate,$A570=ReportDate),1,0),0)</f>
        <v>0</v>
      </c>
      <c r="AU570" s="71">
        <f>IF($AK570=1,IF(OR($L570=ReportDate+1,$W570=ReportDate+1,$K570=ReportDate+1,$A570=ReportDate+1),1,0),0)</f>
        <v>0</v>
      </c>
      <c r="AV570" s="71">
        <f>IF(AND($G570&lt;&gt;"",$M570="Completed"),IF(OR($Y570=ReportDate-1,$A570=ReportDate-1),1,0),0)</f>
        <v>0</v>
      </c>
      <c r="AW570" s="71">
        <f>IF(AND($AK570=1,$Z570="Yes"),1,0)</f>
        <v>0</v>
      </c>
      <c r="AX570" s="71">
        <f>IF(AND($AK570=1,$AA570="Yes"),1,0)</f>
        <v>0</v>
      </c>
      <c r="AY570" s="71">
        <f>IF(AND($AM570=1,OR($I570="Critical",$I570="High")),1,0)</f>
        <v>0</v>
      </c>
      <c r="AZ570" s="71">
        <f>IF(AND($AK570=1,OR($C570=TCL_Client,$C570=MECCA_Client)),1,0)</f>
        <v>0</v>
      </c>
      <c r="BA570" s="71" t="str">
        <f>IF($G570="","",IFERROR(MATCH($I570,lst_Priority,0),5))</f>
        <v/>
      </c>
      <c r="BB570" s="71" t="str">
        <f>IF(AND($AL570=1,$AJ570=1),$BA570*100000+ROW(),"")</f>
        <v/>
      </c>
      <c r="BC570" s="71" t="str">
        <f>IF(AND($AM570=1,$AJ570=1),$BA570*100000+ROW(),"")</f>
        <v/>
      </c>
      <c r="BD570" s="71" t="str">
        <f>IF(AND($AP570=1,$AJ570=1),$BA570*100000+ROW(),"")</f>
        <v/>
      </c>
      <c r="BE570" s="71" t="str">
        <f>IF(AND($AT570=1,$AJ570=1),$BA570*100000+ROW(),"")</f>
        <v/>
      </c>
      <c r="BF570" s="71" t="str">
        <f>IF(AND($AU570=1,$AJ570=1),$BA570*100000+ROW(),"")</f>
        <v/>
      </c>
      <c r="BG570" s="71" t="str">
        <f>IF(AND($AV570=1,$AJ570=1),$BA570*100000+ROW(),"")</f>
        <v/>
      </c>
      <c r="BH570" s="71" t="str">
        <f>IF(AND($AW570=1,$AJ570=1),$BA570*100000+ROW(),"")</f>
        <v/>
      </c>
      <c r="BI570" s="71" t="str">
        <f>IF(AND($AX570=1,$AJ570=1),$BA570*100000+ROW(),"")</f>
        <v/>
      </c>
      <c r="BJ570" s="71" t="str">
        <f>IF(AND($AS570=1,$AJ570=1),$BA570*100000+ROW(),"")</f>
        <v/>
      </c>
      <c r="BK570" s="71" t="str">
        <f>IF(AND($AY570=1,$AJ570=1),$BA570*100000+ROW(),"")</f>
        <v/>
      </c>
      <c r="BL570" s="71" t="str">
        <f>IF(AND($AZ570=1),$BA570*100000+ROW(),"")</f>
        <v/>
      </c>
    </row>
    <row r="571">
      <c r="A571" s="63" t="n"/>
      <c r="B571" s="64" t="n"/>
      <c r="C571" s="64" t="n"/>
      <c r="D571" s="64" t="n"/>
      <c r="E571" s="64" t="n"/>
      <c r="F571" s="64" t="n"/>
      <c r="G571" s="65" t="n"/>
      <c r="H571" s="65" t="n"/>
      <c r="I571" s="64" t="n"/>
      <c r="J571" s="64" t="n"/>
      <c r="K571" s="63" t="n"/>
      <c r="L571" s="63" t="n"/>
      <c r="M571" s="64" t="n"/>
      <c r="N571" s="66" t="n"/>
      <c r="O571" s="65" t="n"/>
      <c r="P571" s="64" t="n"/>
      <c r="Q571" s="67" t="n"/>
      <c r="R571" s="67" t="n"/>
      <c r="S571" s="68" t="str">
        <f>IF(AND(ISNUMBER($Q571),ISNUMBER($R571)),$Q571-$R571,"")</f>
        <v/>
      </c>
      <c r="T571" s="65" t="n"/>
      <c r="U571" s="64" t="n"/>
      <c r="V571" s="65" t="n"/>
      <c r="W571" s="63" t="n"/>
      <c r="X571" s="65" t="n"/>
      <c r="Y571" s="63" t="n"/>
      <c r="Z571" s="64" t="n"/>
      <c r="AA571" s="64" t="n"/>
      <c r="AB571" s="65" t="n"/>
      <c r="AC571" s="69" t="str">
        <f>IF(OR($G571="",NOT(ISNUMBER($K571)),$AK571=0),"",MAX(0,ReportDate-$K571))</f>
        <v/>
      </c>
      <c r="AD571" s="69" t="str">
        <f>IF($G571="","",IF($AL571=1,ReportDate-$L571,0))</f>
        <v/>
      </c>
      <c r="AE571" s="70" t="str">
        <f>IF($G571="","",IF($M571="Completed",1,IF(ISNUMBER($N571),$N571,0)))</f>
        <v/>
      </c>
      <c r="AF571" s="70" t="str">
        <f>IF(AND(ISNUMBER($Q571),ISNUMBER($R571)),IF($R571&lt;&gt;0,$Q571/$R571,""),"")</f>
        <v/>
      </c>
      <c r="AG571" s="71" t="str">
        <f>IF($G571="","",IF($AL571=1,"OVERDUE",IF($AM571=1,"BLOCKED",IF($AN571=1,"DUE TODAY",IF($AO571=1,"DUE TOMORROW",IF($AQ571=1,"HIGH PRIORITY",IF($AR571=1,"NO RECENT UPDATE",""))))))) </f>
        <v/>
      </c>
      <c r="AH571" s="71" t="str">
        <f>IF($G571="","",IF(ISNUMBER($A571),IF(ISNUMBER($A571),YEAR($A571)&amp;"-"&amp;TEXT(MONTH($A571),"00"),""),IF(ISNUMBER($L571),IF(ISNUMBER($L571),YEAR($L571)&amp;"-"&amp;TEXT(MONTH($L571),"00"),""),"")))</f>
        <v/>
      </c>
      <c r="AI571" s="71">
        <f>IF($G571="",0,IF(AND(OR(fClient="All",$C571=fClient),OR(fCampaign="All",$D571=fCampaign),OR(fTeam="All",$B571=fTeam),OR(fChannel="All",$F571=fChannel),OR(fMonth="All",$AH571=fMonth),OR(fTStatus="All",$M571=fTStatus)),1,0))</f>
        <v>0</v>
      </c>
      <c r="AJ571" s="71">
        <f>IF($G571="",0,IF(AND(OR(fClient="All",$C571=fClient),OR(fCampaign="All",$D571=fCampaign),OR(fTeam="All",$B571=fTeam),OR(fChannel="All",$F571=fChannel)),1,0))</f>
        <v>0</v>
      </c>
      <c r="AK571" s="71">
        <f>IF($G571="",0,IF(OR($M571="Completed",$M571="Cancelled"),0,1))</f>
        <v>0</v>
      </c>
      <c r="AL571" s="71">
        <f>IF(AND($AK571=1,ISNUMBER($L571)),IF($L571&lt;ReportDate,1,0),0)</f>
        <v>0</v>
      </c>
      <c r="AM571" s="71">
        <f>IF(AND($G571&lt;&gt;"",$M571="Blocked"),1,0)</f>
        <v>0</v>
      </c>
      <c r="AN571" s="71">
        <f>IF(AND($AK571=1,ISNUMBER($L571)),IF($L571=ReportDate,1,0),0)</f>
        <v>0</v>
      </c>
      <c r="AO571" s="71">
        <f>IF(AND($AK571=1,ISNUMBER($L571)),IF($L571=ReportDate+1,1,0),0)</f>
        <v>0</v>
      </c>
      <c r="AP571" s="71">
        <f>IF(AND($AK571=1,ISNUMBER($L571)),IF(AND($L571&gt;=ReportDate,$L571&lt;=ReportDate+DueSoonDays),1,0),0)</f>
        <v>0</v>
      </c>
      <c r="AQ571" s="71">
        <f>IF(AND($AK571=1,OR($I571="Critical",$I571="High")),1,0)</f>
        <v>0</v>
      </c>
      <c r="AR571" s="71">
        <f>IF($AK571=1,IF(ISNUMBER($Y571),IF(ReportDate-$Y571&gt;StaleDays,1,0),1),0)</f>
        <v>0</v>
      </c>
      <c r="AS571" s="71">
        <f>IF(AND($G571&lt;&gt;"",ISNUMBER($Q571),ISNUMBER($R571)),IF(AND($Q571&lt;$R571,OR($M571="Completed",AND(ISNUMBER($L571),$L571&lt;ReportDate))),1,0),0)</f>
        <v>0</v>
      </c>
      <c r="AT571" s="71">
        <f>IF($AK571=1,IF(OR($L571=ReportDate,$W571=ReportDate,$K571=ReportDate,$A571=ReportDate),1,0),0)</f>
        <v>0</v>
      </c>
      <c r="AU571" s="71">
        <f>IF($AK571=1,IF(OR($L571=ReportDate+1,$W571=ReportDate+1,$K571=ReportDate+1,$A571=ReportDate+1),1,0),0)</f>
        <v>0</v>
      </c>
      <c r="AV571" s="71">
        <f>IF(AND($G571&lt;&gt;"",$M571="Completed"),IF(OR($Y571=ReportDate-1,$A571=ReportDate-1),1,0),0)</f>
        <v>0</v>
      </c>
      <c r="AW571" s="71">
        <f>IF(AND($AK571=1,$Z571="Yes"),1,0)</f>
        <v>0</v>
      </c>
      <c r="AX571" s="71">
        <f>IF(AND($AK571=1,$AA571="Yes"),1,0)</f>
        <v>0</v>
      </c>
      <c r="AY571" s="71">
        <f>IF(AND($AM571=1,OR($I571="Critical",$I571="High")),1,0)</f>
        <v>0</v>
      </c>
      <c r="AZ571" s="71">
        <f>IF(AND($AK571=1,OR($C571=TCL_Client,$C571=MECCA_Client)),1,0)</f>
        <v>0</v>
      </c>
      <c r="BA571" s="71" t="str">
        <f>IF($G571="","",IFERROR(MATCH($I571,lst_Priority,0),5))</f>
        <v/>
      </c>
      <c r="BB571" s="71" t="str">
        <f>IF(AND($AL571=1,$AJ571=1),$BA571*100000+ROW(),"")</f>
        <v/>
      </c>
      <c r="BC571" s="71" t="str">
        <f>IF(AND($AM571=1,$AJ571=1),$BA571*100000+ROW(),"")</f>
        <v/>
      </c>
      <c r="BD571" s="71" t="str">
        <f>IF(AND($AP571=1,$AJ571=1),$BA571*100000+ROW(),"")</f>
        <v/>
      </c>
      <c r="BE571" s="71" t="str">
        <f>IF(AND($AT571=1,$AJ571=1),$BA571*100000+ROW(),"")</f>
        <v/>
      </c>
      <c r="BF571" s="71" t="str">
        <f>IF(AND($AU571=1,$AJ571=1),$BA571*100000+ROW(),"")</f>
        <v/>
      </c>
      <c r="BG571" s="71" t="str">
        <f>IF(AND($AV571=1,$AJ571=1),$BA571*100000+ROW(),"")</f>
        <v/>
      </c>
      <c r="BH571" s="71" t="str">
        <f>IF(AND($AW571=1,$AJ571=1),$BA571*100000+ROW(),"")</f>
        <v/>
      </c>
      <c r="BI571" s="71" t="str">
        <f>IF(AND($AX571=1,$AJ571=1),$BA571*100000+ROW(),"")</f>
        <v/>
      </c>
      <c r="BJ571" s="71" t="str">
        <f>IF(AND($AS571=1,$AJ571=1),$BA571*100000+ROW(),"")</f>
        <v/>
      </c>
      <c r="BK571" s="71" t="str">
        <f>IF(AND($AY571=1,$AJ571=1),$BA571*100000+ROW(),"")</f>
        <v/>
      </c>
      <c r="BL571" s="71" t="str">
        <f>IF(AND($AZ571=1),$BA571*100000+ROW(),"")</f>
        <v/>
      </c>
    </row>
    <row r="572">
      <c r="A572" s="63" t="n"/>
      <c r="B572" s="64" t="n"/>
      <c r="C572" s="64" t="n"/>
      <c r="D572" s="64" t="n"/>
      <c r="E572" s="64" t="n"/>
      <c r="F572" s="64" t="n"/>
      <c r="G572" s="65" t="n"/>
      <c r="H572" s="65" t="n"/>
      <c r="I572" s="64" t="n"/>
      <c r="J572" s="64" t="n"/>
      <c r="K572" s="63" t="n"/>
      <c r="L572" s="63" t="n"/>
      <c r="M572" s="64" t="n"/>
      <c r="N572" s="66" t="n"/>
      <c r="O572" s="65" t="n"/>
      <c r="P572" s="64" t="n"/>
      <c r="Q572" s="67" t="n"/>
      <c r="R572" s="67" t="n"/>
      <c r="S572" s="68" t="str">
        <f>IF(AND(ISNUMBER($Q572),ISNUMBER($R572)),$Q572-$R572,"")</f>
        <v/>
      </c>
      <c r="T572" s="65" t="n"/>
      <c r="U572" s="64" t="n"/>
      <c r="V572" s="65" t="n"/>
      <c r="W572" s="63" t="n"/>
      <c r="X572" s="65" t="n"/>
      <c r="Y572" s="63" t="n"/>
      <c r="Z572" s="64" t="n"/>
      <c r="AA572" s="64" t="n"/>
      <c r="AB572" s="65" t="n"/>
      <c r="AC572" s="69" t="str">
        <f>IF(OR($G572="",NOT(ISNUMBER($K572)),$AK572=0),"",MAX(0,ReportDate-$K572))</f>
        <v/>
      </c>
      <c r="AD572" s="69" t="str">
        <f>IF($G572="","",IF($AL572=1,ReportDate-$L572,0))</f>
        <v/>
      </c>
      <c r="AE572" s="70" t="str">
        <f>IF($G572="","",IF($M572="Completed",1,IF(ISNUMBER($N572),$N572,0)))</f>
        <v/>
      </c>
      <c r="AF572" s="70" t="str">
        <f>IF(AND(ISNUMBER($Q572),ISNUMBER($R572)),IF($R572&lt;&gt;0,$Q572/$R572,""),"")</f>
        <v/>
      </c>
      <c r="AG572" s="71" t="str">
        <f>IF($G572="","",IF($AL572=1,"OVERDUE",IF($AM572=1,"BLOCKED",IF($AN572=1,"DUE TODAY",IF($AO572=1,"DUE TOMORROW",IF($AQ572=1,"HIGH PRIORITY",IF($AR572=1,"NO RECENT UPDATE",""))))))) </f>
        <v/>
      </c>
      <c r="AH572" s="71" t="str">
        <f>IF($G572="","",IF(ISNUMBER($A572),IF(ISNUMBER($A572),YEAR($A572)&amp;"-"&amp;TEXT(MONTH($A572),"00"),""),IF(ISNUMBER($L572),IF(ISNUMBER($L572),YEAR($L572)&amp;"-"&amp;TEXT(MONTH($L572),"00"),""),"")))</f>
        <v/>
      </c>
      <c r="AI572" s="71">
        <f>IF($G572="",0,IF(AND(OR(fClient="All",$C572=fClient),OR(fCampaign="All",$D572=fCampaign),OR(fTeam="All",$B572=fTeam),OR(fChannel="All",$F572=fChannel),OR(fMonth="All",$AH572=fMonth),OR(fTStatus="All",$M572=fTStatus)),1,0))</f>
        <v>0</v>
      </c>
      <c r="AJ572" s="71">
        <f>IF($G572="",0,IF(AND(OR(fClient="All",$C572=fClient),OR(fCampaign="All",$D572=fCampaign),OR(fTeam="All",$B572=fTeam),OR(fChannel="All",$F572=fChannel)),1,0))</f>
        <v>0</v>
      </c>
      <c r="AK572" s="71">
        <f>IF($G572="",0,IF(OR($M572="Completed",$M572="Cancelled"),0,1))</f>
        <v>0</v>
      </c>
      <c r="AL572" s="71">
        <f>IF(AND($AK572=1,ISNUMBER($L572)),IF($L572&lt;ReportDate,1,0),0)</f>
        <v>0</v>
      </c>
      <c r="AM572" s="71">
        <f>IF(AND($G572&lt;&gt;"",$M572="Blocked"),1,0)</f>
        <v>0</v>
      </c>
      <c r="AN572" s="71">
        <f>IF(AND($AK572=1,ISNUMBER($L572)),IF($L572=ReportDate,1,0),0)</f>
        <v>0</v>
      </c>
      <c r="AO572" s="71">
        <f>IF(AND($AK572=1,ISNUMBER($L572)),IF($L572=ReportDate+1,1,0),0)</f>
        <v>0</v>
      </c>
      <c r="AP572" s="71">
        <f>IF(AND($AK572=1,ISNUMBER($L572)),IF(AND($L572&gt;=ReportDate,$L572&lt;=ReportDate+DueSoonDays),1,0),0)</f>
        <v>0</v>
      </c>
      <c r="AQ572" s="71">
        <f>IF(AND($AK572=1,OR($I572="Critical",$I572="High")),1,0)</f>
        <v>0</v>
      </c>
      <c r="AR572" s="71">
        <f>IF($AK572=1,IF(ISNUMBER($Y572),IF(ReportDate-$Y572&gt;StaleDays,1,0),1),0)</f>
        <v>0</v>
      </c>
      <c r="AS572" s="71">
        <f>IF(AND($G572&lt;&gt;"",ISNUMBER($Q572),ISNUMBER($R572)),IF(AND($Q572&lt;$R572,OR($M572="Completed",AND(ISNUMBER($L572),$L572&lt;ReportDate))),1,0),0)</f>
        <v>0</v>
      </c>
      <c r="AT572" s="71">
        <f>IF($AK572=1,IF(OR($L572=ReportDate,$W572=ReportDate,$K572=ReportDate,$A572=ReportDate),1,0),0)</f>
        <v>0</v>
      </c>
      <c r="AU572" s="71">
        <f>IF($AK572=1,IF(OR($L572=ReportDate+1,$W572=ReportDate+1,$K572=ReportDate+1,$A572=ReportDate+1),1,0),0)</f>
        <v>0</v>
      </c>
      <c r="AV572" s="71">
        <f>IF(AND($G572&lt;&gt;"",$M572="Completed"),IF(OR($Y572=ReportDate-1,$A572=ReportDate-1),1,0),0)</f>
        <v>0</v>
      </c>
      <c r="AW572" s="71">
        <f>IF(AND($AK572=1,$Z572="Yes"),1,0)</f>
        <v>0</v>
      </c>
      <c r="AX572" s="71">
        <f>IF(AND($AK572=1,$AA572="Yes"),1,0)</f>
        <v>0</v>
      </c>
      <c r="AY572" s="71">
        <f>IF(AND($AM572=1,OR($I572="Critical",$I572="High")),1,0)</f>
        <v>0</v>
      </c>
      <c r="AZ572" s="71">
        <f>IF(AND($AK572=1,OR($C572=TCL_Client,$C572=MECCA_Client)),1,0)</f>
        <v>0</v>
      </c>
      <c r="BA572" s="71" t="str">
        <f>IF($G572="","",IFERROR(MATCH($I572,lst_Priority,0),5))</f>
        <v/>
      </c>
      <c r="BB572" s="71" t="str">
        <f>IF(AND($AL572=1,$AJ572=1),$BA572*100000+ROW(),"")</f>
        <v/>
      </c>
      <c r="BC572" s="71" t="str">
        <f>IF(AND($AM572=1,$AJ572=1),$BA572*100000+ROW(),"")</f>
        <v/>
      </c>
      <c r="BD572" s="71" t="str">
        <f>IF(AND($AP572=1,$AJ572=1),$BA572*100000+ROW(),"")</f>
        <v/>
      </c>
      <c r="BE572" s="71" t="str">
        <f>IF(AND($AT572=1,$AJ572=1),$BA572*100000+ROW(),"")</f>
        <v/>
      </c>
      <c r="BF572" s="71" t="str">
        <f>IF(AND($AU572=1,$AJ572=1),$BA572*100000+ROW(),"")</f>
        <v/>
      </c>
      <c r="BG572" s="71" t="str">
        <f>IF(AND($AV572=1,$AJ572=1),$BA572*100000+ROW(),"")</f>
        <v/>
      </c>
      <c r="BH572" s="71" t="str">
        <f>IF(AND($AW572=1,$AJ572=1),$BA572*100000+ROW(),"")</f>
        <v/>
      </c>
      <c r="BI572" s="71" t="str">
        <f>IF(AND($AX572=1,$AJ572=1),$BA572*100000+ROW(),"")</f>
        <v/>
      </c>
      <c r="BJ572" s="71" t="str">
        <f>IF(AND($AS572=1,$AJ572=1),$BA572*100000+ROW(),"")</f>
        <v/>
      </c>
      <c r="BK572" s="71" t="str">
        <f>IF(AND($AY572=1,$AJ572=1),$BA572*100000+ROW(),"")</f>
        <v/>
      </c>
      <c r="BL572" s="71" t="str">
        <f>IF(AND($AZ572=1),$BA572*100000+ROW(),"")</f>
        <v/>
      </c>
    </row>
    <row r="573">
      <c r="A573" s="63" t="n"/>
      <c r="B573" s="64" t="n"/>
      <c r="C573" s="64" t="n"/>
      <c r="D573" s="64" t="n"/>
      <c r="E573" s="64" t="n"/>
      <c r="F573" s="64" t="n"/>
      <c r="G573" s="65" t="n"/>
      <c r="H573" s="65" t="n"/>
      <c r="I573" s="64" t="n"/>
      <c r="J573" s="64" t="n"/>
      <c r="K573" s="63" t="n"/>
      <c r="L573" s="63" t="n"/>
      <c r="M573" s="64" t="n"/>
      <c r="N573" s="66" t="n"/>
      <c r="O573" s="65" t="n"/>
      <c r="P573" s="64" t="n"/>
      <c r="Q573" s="67" t="n"/>
      <c r="R573" s="67" t="n"/>
      <c r="S573" s="68" t="str">
        <f>IF(AND(ISNUMBER($Q573),ISNUMBER($R573)),$Q573-$R573,"")</f>
        <v/>
      </c>
      <c r="T573" s="65" t="n"/>
      <c r="U573" s="64" t="n"/>
      <c r="V573" s="65" t="n"/>
      <c r="W573" s="63" t="n"/>
      <c r="X573" s="65" t="n"/>
      <c r="Y573" s="63" t="n"/>
      <c r="Z573" s="64" t="n"/>
      <c r="AA573" s="64" t="n"/>
      <c r="AB573" s="65" t="n"/>
      <c r="AC573" s="69" t="str">
        <f>IF(OR($G573="",NOT(ISNUMBER($K573)),$AK573=0),"",MAX(0,ReportDate-$K573))</f>
        <v/>
      </c>
      <c r="AD573" s="69" t="str">
        <f>IF($G573="","",IF($AL573=1,ReportDate-$L573,0))</f>
        <v/>
      </c>
      <c r="AE573" s="70" t="str">
        <f>IF($G573="","",IF($M573="Completed",1,IF(ISNUMBER($N573),$N573,0)))</f>
        <v/>
      </c>
      <c r="AF573" s="70" t="str">
        <f>IF(AND(ISNUMBER($Q573),ISNUMBER($R573)),IF($R573&lt;&gt;0,$Q573/$R573,""),"")</f>
        <v/>
      </c>
      <c r="AG573" s="71" t="str">
        <f>IF($G573="","",IF($AL573=1,"OVERDUE",IF($AM573=1,"BLOCKED",IF($AN573=1,"DUE TODAY",IF($AO573=1,"DUE TOMORROW",IF($AQ573=1,"HIGH PRIORITY",IF($AR573=1,"NO RECENT UPDATE",""))))))) </f>
        <v/>
      </c>
      <c r="AH573" s="71" t="str">
        <f>IF($G573="","",IF(ISNUMBER($A573),IF(ISNUMBER($A573),YEAR($A573)&amp;"-"&amp;TEXT(MONTH($A573),"00"),""),IF(ISNUMBER($L573),IF(ISNUMBER($L573),YEAR($L573)&amp;"-"&amp;TEXT(MONTH($L573),"00"),""),"")))</f>
        <v/>
      </c>
      <c r="AI573" s="71">
        <f>IF($G573="",0,IF(AND(OR(fClient="All",$C573=fClient),OR(fCampaign="All",$D573=fCampaign),OR(fTeam="All",$B573=fTeam),OR(fChannel="All",$F573=fChannel),OR(fMonth="All",$AH573=fMonth),OR(fTStatus="All",$M573=fTStatus)),1,0))</f>
        <v>0</v>
      </c>
      <c r="AJ573" s="71">
        <f>IF($G573="",0,IF(AND(OR(fClient="All",$C573=fClient),OR(fCampaign="All",$D573=fCampaign),OR(fTeam="All",$B573=fTeam),OR(fChannel="All",$F573=fChannel)),1,0))</f>
        <v>0</v>
      </c>
      <c r="AK573" s="71">
        <f>IF($G573="",0,IF(OR($M573="Completed",$M573="Cancelled"),0,1))</f>
        <v>0</v>
      </c>
      <c r="AL573" s="71">
        <f>IF(AND($AK573=1,ISNUMBER($L573)),IF($L573&lt;ReportDate,1,0),0)</f>
        <v>0</v>
      </c>
      <c r="AM573" s="71">
        <f>IF(AND($G573&lt;&gt;"",$M573="Blocked"),1,0)</f>
        <v>0</v>
      </c>
      <c r="AN573" s="71">
        <f>IF(AND($AK573=1,ISNUMBER($L573)),IF($L573=ReportDate,1,0),0)</f>
        <v>0</v>
      </c>
      <c r="AO573" s="71">
        <f>IF(AND($AK573=1,ISNUMBER($L573)),IF($L573=ReportDate+1,1,0),0)</f>
        <v>0</v>
      </c>
      <c r="AP573" s="71">
        <f>IF(AND($AK573=1,ISNUMBER($L573)),IF(AND($L573&gt;=ReportDate,$L573&lt;=ReportDate+DueSoonDays),1,0),0)</f>
        <v>0</v>
      </c>
      <c r="AQ573" s="71">
        <f>IF(AND($AK573=1,OR($I573="Critical",$I573="High")),1,0)</f>
        <v>0</v>
      </c>
      <c r="AR573" s="71">
        <f>IF($AK573=1,IF(ISNUMBER($Y573),IF(ReportDate-$Y573&gt;StaleDays,1,0),1),0)</f>
        <v>0</v>
      </c>
      <c r="AS573" s="71">
        <f>IF(AND($G573&lt;&gt;"",ISNUMBER($Q573),ISNUMBER($R573)),IF(AND($Q573&lt;$R573,OR($M573="Completed",AND(ISNUMBER($L573),$L573&lt;ReportDate))),1,0),0)</f>
        <v>0</v>
      </c>
      <c r="AT573" s="71">
        <f>IF($AK573=1,IF(OR($L573=ReportDate,$W573=ReportDate,$K573=ReportDate,$A573=ReportDate),1,0),0)</f>
        <v>0</v>
      </c>
      <c r="AU573" s="71">
        <f>IF($AK573=1,IF(OR($L573=ReportDate+1,$W573=ReportDate+1,$K573=ReportDate+1,$A573=ReportDate+1),1,0),0)</f>
        <v>0</v>
      </c>
      <c r="AV573" s="71">
        <f>IF(AND($G573&lt;&gt;"",$M573="Completed"),IF(OR($Y573=ReportDate-1,$A573=ReportDate-1),1,0),0)</f>
        <v>0</v>
      </c>
      <c r="AW573" s="71">
        <f>IF(AND($AK573=1,$Z573="Yes"),1,0)</f>
        <v>0</v>
      </c>
      <c r="AX573" s="71">
        <f>IF(AND($AK573=1,$AA573="Yes"),1,0)</f>
        <v>0</v>
      </c>
      <c r="AY573" s="71">
        <f>IF(AND($AM573=1,OR($I573="Critical",$I573="High")),1,0)</f>
        <v>0</v>
      </c>
      <c r="AZ573" s="71">
        <f>IF(AND($AK573=1,OR($C573=TCL_Client,$C573=MECCA_Client)),1,0)</f>
        <v>0</v>
      </c>
      <c r="BA573" s="71" t="str">
        <f>IF($G573="","",IFERROR(MATCH($I573,lst_Priority,0),5))</f>
        <v/>
      </c>
      <c r="BB573" s="71" t="str">
        <f>IF(AND($AL573=1,$AJ573=1),$BA573*100000+ROW(),"")</f>
        <v/>
      </c>
      <c r="BC573" s="71" t="str">
        <f>IF(AND($AM573=1,$AJ573=1),$BA573*100000+ROW(),"")</f>
        <v/>
      </c>
      <c r="BD573" s="71" t="str">
        <f>IF(AND($AP573=1,$AJ573=1),$BA573*100000+ROW(),"")</f>
        <v/>
      </c>
      <c r="BE573" s="71" t="str">
        <f>IF(AND($AT573=1,$AJ573=1),$BA573*100000+ROW(),"")</f>
        <v/>
      </c>
      <c r="BF573" s="71" t="str">
        <f>IF(AND($AU573=1,$AJ573=1),$BA573*100000+ROW(),"")</f>
        <v/>
      </c>
      <c r="BG573" s="71" t="str">
        <f>IF(AND($AV573=1,$AJ573=1),$BA573*100000+ROW(),"")</f>
        <v/>
      </c>
      <c r="BH573" s="71" t="str">
        <f>IF(AND($AW573=1,$AJ573=1),$BA573*100000+ROW(),"")</f>
        <v/>
      </c>
      <c r="BI573" s="71" t="str">
        <f>IF(AND($AX573=1,$AJ573=1),$BA573*100000+ROW(),"")</f>
        <v/>
      </c>
      <c r="BJ573" s="71" t="str">
        <f>IF(AND($AS573=1,$AJ573=1),$BA573*100000+ROW(),"")</f>
        <v/>
      </c>
      <c r="BK573" s="71" t="str">
        <f>IF(AND($AY573=1,$AJ573=1),$BA573*100000+ROW(),"")</f>
        <v/>
      </c>
      <c r="BL573" s="71" t="str">
        <f>IF(AND($AZ573=1),$BA573*100000+ROW(),"")</f>
        <v/>
      </c>
    </row>
    <row r="574">
      <c r="A574" s="63" t="n"/>
      <c r="B574" s="64" t="n"/>
      <c r="C574" s="64" t="n"/>
      <c r="D574" s="64" t="n"/>
      <c r="E574" s="64" t="n"/>
      <c r="F574" s="64" t="n"/>
      <c r="G574" s="65" t="n"/>
      <c r="H574" s="65" t="n"/>
      <c r="I574" s="64" t="n"/>
      <c r="J574" s="64" t="n"/>
      <c r="K574" s="63" t="n"/>
      <c r="L574" s="63" t="n"/>
      <c r="M574" s="64" t="n"/>
      <c r="N574" s="66" t="n"/>
      <c r="O574" s="65" t="n"/>
      <c r="P574" s="64" t="n"/>
      <c r="Q574" s="67" t="n"/>
      <c r="R574" s="67" t="n"/>
      <c r="S574" s="68" t="str">
        <f>IF(AND(ISNUMBER($Q574),ISNUMBER($R574)),$Q574-$R574,"")</f>
        <v/>
      </c>
      <c r="T574" s="65" t="n"/>
      <c r="U574" s="64" t="n"/>
      <c r="V574" s="65" t="n"/>
      <c r="W574" s="63" t="n"/>
      <c r="X574" s="65" t="n"/>
      <c r="Y574" s="63" t="n"/>
      <c r="Z574" s="64" t="n"/>
      <c r="AA574" s="64" t="n"/>
      <c r="AB574" s="65" t="n"/>
      <c r="AC574" s="69" t="str">
        <f>IF(OR($G574="",NOT(ISNUMBER($K574)),$AK574=0),"",MAX(0,ReportDate-$K574))</f>
        <v/>
      </c>
      <c r="AD574" s="69" t="str">
        <f>IF($G574="","",IF($AL574=1,ReportDate-$L574,0))</f>
        <v/>
      </c>
      <c r="AE574" s="70" t="str">
        <f>IF($G574="","",IF($M574="Completed",1,IF(ISNUMBER($N574),$N574,0)))</f>
        <v/>
      </c>
      <c r="AF574" s="70" t="str">
        <f>IF(AND(ISNUMBER($Q574),ISNUMBER($R574)),IF($R574&lt;&gt;0,$Q574/$R574,""),"")</f>
        <v/>
      </c>
      <c r="AG574" s="71" t="str">
        <f>IF($G574="","",IF($AL574=1,"OVERDUE",IF($AM574=1,"BLOCKED",IF($AN574=1,"DUE TODAY",IF($AO574=1,"DUE TOMORROW",IF($AQ574=1,"HIGH PRIORITY",IF($AR574=1,"NO RECENT UPDATE",""))))))) </f>
        <v/>
      </c>
      <c r="AH574" s="71" t="str">
        <f>IF($G574="","",IF(ISNUMBER($A574),IF(ISNUMBER($A574),YEAR($A574)&amp;"-"&amp;TEXT(MONTH($A574),"00"),""),IF(ISNUMBER($L574),IF(ISNUMBER($L574),YEAR($L574)&amp;"-"&amp;TEXT(MONTH($L574),"00"),""),"")))</f>
        <v/>
      </c>
      <c r="AI574" s="71">
        <f>IF($G574="",0,IF(AND(OR(fClient="All",$C574=fClient),OR(fCampaign="All",$D574=fCampaign),OR(fTeam="All",$B574=fTeam),OR(fChannel="All",$F574=fChannel),OR(fMonth="All",$AH574=fMonth),OR(fTStatus="All",$M574=fTStatus)),1,0))</f>
        <v>0</v>
      </c>
      <c r="AJ574" s="71">
        <f>IF($G574="",0,IF(AND(OR(fClient="All",$C574=fClient),OR(fCampaign="All",$D574=fCampaign),OR(fTeam="All",$B574=fTeam),OR(fChannel="All",$F574=fChannel)),1,0))</f>
        <v>0</v>
      </c>
      <c r="AK574" s="71">
        <f>IF($G574="",0,IF(OR($M574="Completed",$M574="Cancelled"),0,1))</f>
        <v>0</v>
      </c>
      <c r="AL574" s="71">
        <f>IF(AND($AK574=1,ISNUMBER($L574)),IF($L574&lt;ReportDate,1,0),0)</f>
        <v>0</v>
      </c>
      <c r="AM574" s="71">
        <f>IF(AND($G574&lt;&gt;"",$M574="Blocked"),1,0)</f>
        <v>0</v>
      </c>
      <c r="AN574" s="71">
        <f>IF(AND($AK574=1,ISNUMBER($L574)),IF($L574=ReportDate,1,0),0)</f>
        <v>0</v>
      </c>
      <c r="AO574" s="71">
        <f>IF(AND($AK574=1,ISNUMBER($L574)),IF($L574=ReportDate+1,1,0),0)</f>
        <v>0</v>
      </c>
      <c r="AP574" s="71">
        <f>IF(AND($AK574=1,ISNUMBER($L574)),IF(AND($L574&gt;=ReportDate,$L574&lt;=ReportDate+DueSoonDays),1,0),0)</f>
        <v>0</v>
      </c>
      <c r="AQ574" s="71">
        <f>IF(AND($AK574=1,OR($I574="Critical",$I574="High")),1,0)</f>
        <v>0</v>
      </c>
      <c r="AR574" s="71">
        <f>IF($AK574=1,IF(ISNUMBER($Y574),IF(ReportDate-$Y574&gt;StaleDays,1,0),1),0)</f>
        <v>0</v>
      </c>
      <c r="AS574" s="71">
        <f>IF(AND($G574&lt;&gt;"",ISNUMBER($Q574),ISNUMBER($R574)),IF(AND($Q574&lt;$R574,OR($M574="Completed",AND(ISNUMBER($L574),$L574&lt;ReportDate))),1,0),0)</f>
        <v>0</v>
      </c>
      <c r="AT574" s="71">
        <f>IF($AK574=1,IF(OR($L574=ReportDate,$W574=ReportDate,$K574=ReportDate,$A574=ReportDate),1,0),0)</f>
        <v>0</v>
      </c>
      <c r="AU574" s="71">
        <f>IF($AK574=1,IF(OR($L574=ReportDate+1,$W574=ReportDate+1,$K574=ReportDate+1,$A574=ReportDate+1),1,0),0)</f>
        <v>0</v>
      </c>
      <c r="AV574" s="71">
        <f>IF(AND($G574&lt;&gt;"",$M574="Completed"),IF(OR($Y574=ReportDate-1,$A574=ReportDate-1),1,0),0)</f>
        <v>0</v>
      </c>
      <c r="AW574" s="71">
        <f>IF(AND($AK574=1,$Z574="Yes"),1,0)</f>
        <v>0</v>
      </c>
      <c r="AX574" s="71">
        <f>IF(AND($AK574=1,$AA574="Yes"),1,0)</f>
        <v>0</v>
      </c>
      <c r="AY574" s="71">
        <f>IF(AND($AM574=1,OR($I574="Critical",$I574="High")),1,0)</f>
        <v>0</v>
      </c>
      <c r="AZ574" s="71">
        <f>IF(AND($AK574=1,OR($C574=TCL_Client,$C574=MECCA_Client)),1,0)</f>
        <v>0</v>
      </c>
      <c r="BA574" s="71" t="str">
        <f>IF($G574="","",IFERROR(MATCH($I574,lst_Priority,0),5))</f>
        <v/>
      </c>
      <c r="BB574" s="71" t="str">
        <f>IF(AND($AL574=1,$AJ574=1),$BA574*100000+ROW(),"")</f>
        <v/>
      </c>
      <c r="BC574" s="71" t="str">
        <f>IF(AND($AM574=1,$AJ574=1),$BA574*100000+ROW(),"")</f>
        <v/>
      </c>
      <c r="BD574" s="71" t="str">
        <f>IF(AND($AP574=1,$AJ574=1),$BA574*100000+ROW(),"")</f>
        <v/>
      </c>
      <c r="BE574" s="71" t="str">
        <f>IF(AND($AT574=1,$AJ574=1),$BA574*100000+ROW(),"")</f>
        <v/>
      </c>
      <c r="BF574" s="71" t="str">
        <f>IF(AND($AU574=1,$AJ574=1),$BA574*100000+ROW(),"")</f>
        <v/>
      </c>
      <c r="BG574" s="71" t="str">
        <f>IF(AND($AV574=1,$AJ574=1),$BA574*100000+ROW(),"")</f>
        <v/>
      </c>
      <c r="BH574" s="71" t="str">
        <f>IF(AND($AW574=1,$AJ574=1),$BA574*100000+ROW(),"")</f>
        <v/>
      </c>
      <c r="BI574" s="71" t="str">
        <f>IF(AND($AX574=1,$AJ574=1),$BA574*100000+ROW(),"")</f>
        <v/>
      </c>
      <c r="BJ574" s="71" t="str">
        <f>IF(AND($AS574=1,$AJ574=1),$BA574*100000+ROW(),"")</f>
        <v/>
      </c>
      <c r="BK574" s="71" t="str">
        <f>IF(AND($AY574=1,$AJ574=1),$BA574*100000+ROW(),"")</f>
        <v/>
      </c>
      <c r="BL574" s="71" t="str">
        <f>IF(AND($AZ574=1),$BA574*100000+ROW(),"")</f>
        <v/>
      </c>
    </row>
    <row r="575">
      <c r="A575" s="63" t="n"/>
      <c r="B575" s="64" t="n"/>
      <c r="C575" s="64" t="n"/>
      <c r="D575" s="64" t="n"/>
      <c r="E575" s="64" t="n"/>
      <c r="F575" s="64" t="n"/>
      <c r="G575" s="65" t="n"/>
      <c r="H575" s="65" t="n"/>
      <c r="I575" s="64" t="n"/>
      <c r="J575" s="64" t="n"/>
      <c r="K575" s="63" t="n"/>
      <c r="L575" s="63" t="n"/>
      <c r="M575" s="64" t="n"/>
      <c r="N575" s="66" t="n"/>
      <c r="O575" s="65" t="n"/>
      <c r="P575" s="64" t="n"/>
      <c r="Q575" s="67" t="n"/>
      <c r="R575" s="67" t="n"/>
      <c r="S575" s="68" t="str">
        <f>IF(AND(ISNUMBER($Q575),ISNUMBER($R575)),$Q575-$R575,"")</f>
        <v/>
      </c>
      <c r="T575" s="65" t="n"/>
      <c r="U575" s="64" t="n"/>
      <c r="V575" s="65" t="n"/>
      <c r="W575" s="63" t="n"/>
      <c r="X575" s="65" t="n"/>
      <c r="Y575" s="63" t="n"/>
      <c r="Z575" s="64" t="n"/>
      <c r="AA575" s="64" t="n"/>
      <c r="AB575" s="65" t="n"/>
      <c r="AC575" s="69" t="str">
        <f>IF(OR($G575="",NOT(ISNUMBER($K575)),$AK575=0),"",MAX(0,ReportDate-$K575))</f>
        <v/>
      </c>
      <c r="AD575" s="69" t="str">
        <f>IF($G575="","",IF($AL575=1,ReportDate-$L575,0))</f>
        <v/>
      </c>
      <c r="AE575" s="70" t="str">
        <f>IF($G575="","",IF($M575="Completed",1,IF(ISNUMBER($N575),$N575,0)))</f>
        <v/>
      </c>
      <c r="AF575" s="70" t="str">
        <f>IF(AND(ISNUMBER($Q575),ISNUMBER($R575)),IF($R575&lt;&gt;0,$Q575/$R575,""),"")</f>
        <v/>
      </c>
      <c r="AG575" s="71" t="str">
        <f>IF($G575="","",IF($AL575=1,"OVERDUE",IF($AM575=1,"BLOCKED",IF($AN575=1,"DUE TODAY",IF($AO575=1,"DUE TOMORROW",IF($AQ575=1,"HIGH PRIORITY",IF($AR575=1,"NO RECENT UPDATE",""))))))) </f>
        <v/>
      </c>
      <c r="AH575" s="71" t="str">
        <f>IF($G575="","",IF(ISNUMBER($A575),IF(ISNUMBER($A575),YEAR($A575)&amp;"-"&amp;TEXT(MONTH($A575),"00"),""),IF(ISNUMBER($L575),IF(ISNUMBER($L575),YEAR($L575)&amp;"-"&amp;TEXT(MONTH($L575),"00"),""),"")))</f>
        <v/>
      </c>
      <c r="AI575" s="71">
        <f>IF($G575="",0,IF(AND(OR(fClient="All",$C575=fClient),OR(fCampaign="All",$D575=fCampaign),OR(fTeam="All",$B575=fTeam),OR(fChannel="All",$F575=fChannel),OR(fMonth="All",$AH575=fMonth),OR(fTStatus="All",$M575=fTStatus)),1,0))</f>
        <v>0</v>
      </c>
      <c r="AJ575" s="71">
        <f>IF($G575="",0,IF(AND(OR(fClient="All",$C575=fClient),OR(fCampaign="All",$D575=fCampaign),OR(fTeam="All",$B575=fTeam),OR(fChannel="All",$F575=fChannel)),1,0))</f>
        <v>0</v>
      </c>
      <c r="AK575" s="71">
        <f>IF($G575="",0,IF(OR($M575="Completed",$M575="Cancelled"),0,1))</f>
        <v>0</v>
      </c>
      <c r="AL575" s="71">
        <f>IF(AND($AK575=1,ISNUMBER($L575)),IF($L575&lt;ReportDate,1,0),0)</f>
        <v>0</v>
      </c>
      <c r="AM575" s="71">
        <f>IF(AND($G575&lt;&gt;"",$M575="Blocked"),1,0)</f>
        <v>0</v>
      </c>
      <c r="AN575" s="71">
        <f>IF(AND($AK575=1,ISNUMBER($L575)),IF($L575=ReportDate,1,0),0)</f>
        <v>0</v>
      </c>
      <c r="AO575" s="71">
        <f>IF(AND($AK575=1,ISNUMBER($L575)),IF($L575=ReportDate+1,1,0),0)</f>
        <v>0</v>
      </c>
      <c r="AP575" s="71">
        <f>IF(AND($AK575=1,ISNUMBER($L575)),IF(AND($L575&gt;=ReportDate,$L575&lt;=ReportDate+DueSoonDays),1,0),0)</f>
        <v>0</v>
      </c>
      <c r="AQ575" s="71">
        <f>IF(AND($AK575=1,OR($I575="Critical",$I575="High")),1,0)</f>
        <v>0</v>
      </c>
      <c r="AR575" s="71">
        <f>IF($AK575=1,IF(ISNUMBER($Y575),IF(ReportDate-$Y575&gt;StaleDays,1,0),1),0)</f>
        <v>0</v>
      </c>
      <c r="AS575" s="71">
        <f>IF(AND($G575&lt;&gt;"",ISNUMBER($Q575),ISNUMBER($R575)),IF(AND($Q575&lt;$R575,OR($M575="Completed",AND(ISNUMBER($L575),$L575&lt;ReportDate))),1,0),0)</f>
        <v>0</v>
      </c>
      <c r="AT575" s="71">
        <f>IF($AK575=1,IF(OR($L575=ReportDate,$W575=ReportDate,$K575=ReportDate,$A575=ReportDate),1,0),0)</f>
        <v>0</v>
      </c>
      <c r="AU575" s="71">
        <f>IF($AK575=1,IF(OR($L575=ReportDate+1,$W575=ReportDate+1,$K575=ReportDate+1,$A575=ReportDate+1),1,0),0)</f>
        <v>0</v>
      </c>
      <c r="AV575" s="71">
        <f>IF(AND($G575&lt;&gt;"",$M575="Completed"),IF(OR($Y575=ReportDate-1,$A575=ReportDate-1),1,0),0)</f>
        <v>0</v>
      </c>
      <c r="AW575" s="71">
        <f>IF(AND($AK575=1,$Z575="Yes"),1,0)</f>
        <v>0</v>
      </c>
      <c r="AX575" s="71">
        <f>IF(AND($AK575=1,$AA575="Yes"),1,0)</f>
        <v>0</v>
      </c>
      <c r="AY575" s="71">
        <f>IF(AND($AM575=1,OR($I575="Critical",$I575="High")),1,0)</f>
        <v>0</v>
      </c>
      <c r="AZ575" s="71">
        <f>IF(AND($AK575=1,OR($C575=TCL_Client,$C575=MECCA_Client)),1,0)</f>
        <v>0</v>
      </c>
      <c r="BA575" s="71" t="str">
        <f>IF($G575="","",IFERROR(MATCH($I575,lst_Priority,0),5))</f>
        <v/>
      </c>
      <c r="BB575" s="71" t="str">
        <f>IF(AND($AL575=1,$AJ575=1),$BA575*100000+ROW(),"")</f>
        <v/>
      </c>
      <c r="BC575" s="71" t="str">
        <f>IF(AND($AM575=1,$AJ575=1),$BA575*100000+ROW(),"")</f>
        <v/>
      </c>
      <c r="BD575" s="71" t="str">
        <f>IF(AND($AP575=1,$AJ575=1),$BA575*100000+ROW(),"")</f>
        <v/>
      </c>
      <c r="BE575" s="71" t="str">
        <f>IF(AND($AT575=1,$AJ575=1),$BA575*100000+ROW(),"")</f>
        <v/>
      </c>
      <c r="BF575" s="71" t="str">
        <f>IF(AND($AU575=1,$AJ575=1),$BA575*100000+ROW(),"")</f>
        <v/>
      </c>
      <c r="BG575" s="71" t="str">
        <f>IF(AND($AV575=1,$AJ575=1),$BA575*100000+ROW(),"")</f>
        <v/>
      </c>
      <c r="BH575" s="71" t="str">
        <f>IF(AND($AW575=1,$AJ575=1),$BA575*100000+ROW(),"")</f>
        <v/>
      </c>
      <c r="BI575" s="71" t="str">
        <f>IF(AND($AX575=1,$AJ575=1),$BA575*100000+ROW(),"")</f>
        <v/>
      </c>
      <c r="BJ575" s="71" t="str">
        <f>IF(AND($AS575=1,$AJ575=1),$BA575*100000+ROW(),"")</f>
        <v/>
      </c>
      <c r="BK575" s="71" t="str">
        <f>IF(AND($AY575=1,$AJ575=1),$BA575*100000+ROW(),"")</f>
        <v/>
      </c>
      <c r="BL575" s="71" t="str">
        <f>IF(AND($AZ575=1),$BA575*100000+ROW(),"")</f>
        <v/>
      </c>
    </row>
    <row r="576">
      <c r="A576" s="63" t="n"/>
      <c r="B576" s="64" t="n"/>
      <c r="C576" s="64" t="n"/>
      <c r="D576" s="64" t="n"/>
      <c r="E576" s="64" t="n"/>
      <c r="F576" s="64" t="n"/>
      <c r="G576" s="65" t="n"/>
      <c r="H576" s="65" t="n"/>
      <c r="I576" s="64" t="n"/>
      <c r="J576" s="64" t="n"/>
      <c r="K576" s="63" t="n"/>
      <c r="L576" s="63" t="n"/>
      <c r="M576" s="64" t="n"/>
      <c r="N576" s="66" t="n"/>
      <c r="O576" s="65" t="n"/>
      <c r="P576" s="64" t="n"/>
      <c r="Q576" s="67" t="n"/>
      <c r="R576" s="67" t="n"/>
      <c r="S576" s="68" t="str">
        <f>IF(AND(ISNUMBER($Q576),ISNUMBER($R576)),$Q576-$R576,"")</f>
        <v/>
      </c>
      <c r="T576" s="65" t="n"/>
      <c r="U576" s="64" t="n"/>
      <c r="V576" s="65" t="n"/>
      <c r="W576" s="63" t="n"/>
      <c r="X576" s="65" t="n"/>
      <c r="Y576" s="63" t="n"/>
      <c r="Z576" s="64" t="n"/>
      <c r="AA576" s="64" t="n"/>
      <c r="AB576" s="65" t="n"/>
      <c r="AC576" s="69" t="str">
        <f>IF(OR($G576="",NOT(ISNUMBER($K576)),$AK576=0),"",MAX(0,ReportDate-$K576))</f>
        <v/>
      </c>
      <c r="AD576" s="69" t="str">
        <f>IF($G576="","",IF($AL576=1,ReportDate-$L576,0))</f>
        <v/>
      </c>
      <c r="AE576" s="70" t="str">
        <f>IF($G576="","",IF($M576="Completed",1,IF(ISNUMBER($N576),$N576,0)))</f>
        <v/>
      </c>
      <c r="AF576" s="70" t="str">
        <f>IF(AND(ISNUMBER($Q576),ISNUMBER($R576)),IF($R576&lt;&gt;0,$Q576/$R576,""),"")</f>
        <v/>
      </c>
      <c r="AG576" s="71" t="str">
        <f>IF($G576="","",IF($AL576=1,"OVERDUE",IF($AM576=1,"BLOCKED",IF($AN576=1,"DUE TODAY",IF($AO576=1,"DUE TOMORROW",IF($AQ576=1,"HIGH PRIORITY",IF($AR576=1,"NO RECENT UPDATE",""))))))) </f>
        <v/>
      </c>
      <c r="AH576" s="71" t="str">
        <f>IF($G576="","",IF(ISNUMBER($A576),IF(ISNUMBER($A576),YEAR($A576)&amp;"-"&amp;TEXT(MONTH($A576),"00"),""),IF(ISNUMBER($L576),IF(ISNUMBER($L576),YEAR($L576)&amp;"-"&amp;TEXT(MONTH($L576),"00"),""),"")))</f>
        <v/>
      </c>
      <c r="AI576" s="71">
        <f>IF($G576="",0,IF(AND(OR(fClient="All",$C576=fClient),OR(fCampaign="All",$D576=fCampaign),OR(fTeam="All",$B576=fTeam),OR(fChannel="All",$F576=fChannel),OR(fMonth="All",$AH576=fMonth),OR(fTStatus="All",$M576=fTStatus)),1,0))</f>
        <v>0</v>
      </c>
      <c r="AJ576" s="71">
        <f>IF($G576="",0,IF(AND(OR(fClient="All",$C576=fClient),OR(fCampaign="All",$D576=fCampaign),OR(fTeam="All",$B576=fTeam),OR(fChannel="All",$F576=fChannel)),1,0))</f>
        <v>0</v>
      </c>
      <c r="AK576" s="71">
        <f>IF($G576="",0,IF(OR($M576="Completed",$M576="Cancelled"),0,1))</f>
        <v>0</v>
      </c>
      <c r="AL576" s="71">
        <f>IF(AND($AK576=1,ISNUMBER($L576)),IF($L576&lt;ReportDate,1,0),0)</f>
        <v>0</v>
      </c>
      <c r="AM576" s="71">
        <f>IF(AND($G576&lt;&gt;"",$M576="Blocked"),1,0)</f>
        <v>0</v>
      </c>
      <c r="AN576" s="71">
        <f>IF(AND($AK576=1,ISNUMBER($L576)),IF($L576=ReportDate,1,0),0)</f>
        <v>0</v>
      </c>
      <c r="AO576" s="71">
        <f>IF(AND($AK576=1,ISNUMBER($L576)),IF($L576=ReportDate+1,1,0),0)</f>
        <v>0</v>
      </c>
      <c r="AP576" s="71">
        <f>IF(AND($AK576=1,ISNUMBER($L576)),IF(AND($L576&gt;=ReportDate,$L576&lt;=ReportDate+DueSoonDays),1,0),0)</f>
        <v>0</v>
      </c>
      <c r="AQ576" s="71">
        <f>IF(AND($AK576=1,OR($I576="Critical",$I576="High")),1,0)</f>
        <v>0</v>
      </c>
      <c r="AR576" s="71">
        <f>IF($AK576=1,IF(ISNUMBER($Y576),IF(ReportDate-$Y576&gt;StaleDays,1,0),1),0)</f>
        <v>0</v>
      </c>
      <c r="AS576" s="71">
        <f>IF(AND($G576&lt;&gt;"",ISNUMBER($Q576),ISNUMBER($R576)),IF(AND($Q576&lt;$R576,OR($M576="Completed",AND(ISNUMBER($L576),$L576&lt;ReportDate))),1,0),0)</f>
        <v>0</v>
      </c>
      <c r="AT576" s="71">
        <f>IF($AK576=1,IF(OR($L576=ReportDate,$W576=ReportDate,$K576=ReportDate,$A576=ReportDate),1,0),0)</f>
        <v>0</v>
      </c>
      <c r="AU576" s="71">
        <f>IF($AK576=1,IF(OR($L576=ReportDate+1,$W576=ReportDate+1,$K576=ReportDate+1,$A576=ReportDate+1),1,0),0)</f>
        <v>0</v>
      </c>
      <c r="AV576" s="71">
        <f>IF(AND($G576&lt;&gt;"",$M576="Completed"),IF(OR($Y576=ReportDate-1,$A576=ReportDate-1),1,0),0)</f>
        <v>0</v>
      </c>
      <c r="AW576" s="71">
        <f>IF(AND($AK576=1,$Z576="Yes"),1,0)</f>
        <v>0</v>
      </c>
      <c r="AX576" s="71">
        <f>IF(AND($AK576=1,$AA576="Yes"),1,0)</f>
        <v>0</v>
      </c>
      <c r="AY576" s="71">
        <f>IF(AND($AM576=1,OR($I576="Critical",$I576="High")),1,0)</f>
        <v>0</v>
      </c>
      <c r="AZ576" s="71">
        <f>IF(AND($AK576=1,OR($C576=TCL_Client,$C576=MECCA_Client)),1,0)</f>
        <v>0</v>
      </c>
      <c r="BA576" s="71" t="str">
        <f>IF($G576="","",IFERROR(MATCH($I576,lst_Priority,0),5))</f>
        <v/>
      </c>
      <c r="BB576" s="71" t="str">
        <f>IF(AND($AL576=1,$AJ576=1),$BA576*100000+ROW(),"")</f>
        <v/>
      </c>
      <c r="BC576" s="71" t="str">
        <f>IF(AND($AM576=1,$AJ576=1),$BA576*100000+ROW(),"")</f>
        <v/>
      </c>
      <c r="BD576" s="71" t="str">
        <f>IF(AND($AP576=1,$AJ576=1),$BA576*100000+ROW(),"")</f>
        <v/>
      </c>
      <c r="BE576" s="71" t="str">
        <f>IF(AND($AT576=1,$AJ576=1),$BA576*100000+ROW(),"")</f>
        <v/>
      </c>
      <c r="BF576" s="71" t="str">
        <f>IF(AND($AU576=1,$AJ576=1),$BA576*100000+ROW(),"")</f>
        <v/>
      </c>
      <c r="BG576" s="71" t="str">
        <f>IF(AND($AV576=1,$AJ576=1),$BA576*100000+ROW(),"")</f>
        <v/>
      </c>
      <c r="BH576" s="71" t="str">
        <f>IF(AND($AW576=1,$AJ576=1),$BA576*100000+ROW(),"")</f>
        <v/>
      </c>
      <c r="BI576" s="71" t="str">
        <f>IF(AND($AX576=1,$AJ576=1),$BA576*100000+ROW(),"")</f>
        <v/>
      </c>
      <c r="BJ576" s="71" t="str">
        <f>IF(AND($AS576=1,$AJ576=1),$BA576*100000+ROW(),"")</f>
        <v/>
      </c>
      <c r="BK576" s="71" t="str">
        <f>IF(AND($AY576=1,$AJ576=1),$BA576*100000+ROW(),"")</f>
        <v/>
      </c>
      <c r="BL576" s="71" t="str">
        <f>IF(AND($AZ576=1),$BA576*100000+ROW(),"")</f>
        <v/>
      </c>
    </row>
    <row r="577">
      <c r="A577" s="63" t="n"/>
      <c r="B577" s="64" t="n"/>
      <c r="C577" s="64" t="n"/>
      <c r="D577" s="64" t="n"/>
      <c r="E577" s="64" t="n"/>
      <c r="F577" s="64" t="n"/>
      <c r="G577" s="65" t="n"/>
      <c r="H577" s="65" t="n"/>
      <c r="I577" s="64" t="n"/>
      <c r="J577" s="64" t="n"/>
      <c r="K577" s="63" t="n"/>
      <c r="L577" s="63" t="n"/>
      <c r="M577" s="64" t="n"/>
      <c r="N577" s="66" t="n"/>
      <c r="O577" s="65" t="n"/>
      <c r="P577" s="64" t="n"/>
      <c r="Q577" s="67" t="n"/>
      <c r="R577" s="67" t="n"/>
      <c r="S577" s="68" t="str">
        <f>IF(AND(ISNUMBER($Q577),ISNUMBER($R577)),$Q577-$R577,"")</f>
        <v/>
      </c>
      <c r="T577" s="65" t="n"/>
      <c r="U577" s="64" t="n"/>
      <c r="V577" s="65" t="n"/>
      <c r="W577" s="63" t="n"/>
      <c r="X577" s="65" t="n"/>
      <c r="Y577" s="63" t="n"/>
      <c r="Z577" s="64" t="n"/>
      <c r="AA577" s="64" t="n"/>
      <c r="AB577" s="65" t="n"/>
      <c r="AC577" s="69" t="str">
        <f>IF(OR($G577="",NOT(ISNUMBER($K577)),$AK577=0),"",MAX(0,ReportDate-$K577))</f>
        <v/>
      </c>
      <c r="AD577" s="69" t="str">
        <f>IF($G577="","",IF($AL577=1,ReportDate-$L577,0))</f>
        <v/>
      </c>
      <c r="AE577" s="70" t="str">
        <f>IF($G577="","",IF($M577="Completed",1,IF(ISNUMBER($N577),$N577,0)))</f>
        <v/>
      </c>
      <c r="AF577" s="70" t="str">
        <f>IF(AND(ISNUMBER($Q577),ISNUMBER($R577)),IF($R577&lt;&gt;0,$Q577/$R577,""),"")</f>
        <v/>
      </c>
      <c r="AG577" s="71" t="str">
        <f>IF($G577="","",IF($AL577=1,"OVERDUE",IF($AM577=1,"BLOCKED",IF($AN577=1,"DUE TODAY",IF($AO577=1,"DUE TOMORROW",IF($AQ577=1,"HIGH PRIORITY",IF($AR577=1,"NO RECENT UPDATE",""))))))) </f>
        <v/>
      </c>
      <c r="AH577" s="71" t="str">
        <f>IF($G577="","",IF(ISNUMBER($A577),IF(ISNUMBER($A577),YEAR($A577)&amp;"-"&amp;TEXT(MONTH($A577),"00"),""),IF(ISNUMBER($L577),IF(ISNUMBER($L577),YEAR($L577)&amp;"-"&amp;TEXT(MONTH($L577),"00"),""),"")))</f>
        <v/>
      </c>
      <c r="AI577" s="71">
        <f>IF($G577="",0,IF(AND(OR(fClient="All",$C577=fClient),OR(fCampaign="All",$D577=fCampaign),OR(fTeam="All",$B577=fTeam),OR(fChannel="All",$F577=fChannel),OR(fMonth="All",$AH577=fMonth),OR(fTStatus="All",$M577=fTStatus)),1,0))</f>
        <v>0</v>
      </c>
      <c r="AJ577" s="71">
        <f>IF($G577="",0,IF(AND(OR(fClient="All",$C577=fClient),OR(fCampaign="All",$D577=fCampaign),OR(fTeam="All",$B577=fTeam),OR(fChannel="All",$F577=fChannel)),1,0))</f>
        <v>0</v>
      </c>
      <c r="AK577" s="71">
        <f>IF($G577="",0,IF(OR($M577="Completed",$M577="Cancelled"),0,1))</f>
        <v>0</v>
      </c>
      <c r="AL577" s="71">
        <f>IF(AND($AK577=1,ISNUMBER($L577)),IF($L577&lt;ReportDate,1,0),0)</f>
        <v>0</v>
      </c>
      <c r="AM577" s="71">
        <f>IF(AND($G577&lt;&gt;"",$M577="Blocked"),1,0)</f>
        <v>0</v>
      </c>
      <c r="AN577" s="71">
        <f>IF(AND($AK577=1,ISNUMBER($L577)),IF($L577=ReportDate,1,0),0)</f>
        <v>0</v>
      </c>
      <c r="AO577" s="71">
        <f>IF(AND($AK577=1,ISNUMBER($L577)),IF($L577=ReportDate+1,1,0),0)</f>
        <v>0</v>
      </c>
      <c r="AP577" s="71">
        <f>IF(AND($AK577=1,ISNUMBER($L577)),IF(AND($L577&gt;=ReportDate,$L577&lt;=ReportDate+DueSoonDays),1,0),0)</f>
        <v>0</v>
      </c>
      <c r="AQ577" s="71">
        <f>IF(AND($AK577=1,OR($I577="Critical",$I577="High")),1,0)</f>
        <v>0</v>
      </c>
      <c r="AR577" s="71">
        <f>IF($AK577=1,IF(ISNUMBER($Y577),IF(ReportDate-$Y577&gt;StaleDays,1,0),1),0)</f>
        <v>0</v>
      </c>
      <c r="AS577" s="71">
        <f>IF(AND($G577&lt;&gt;"",ISNUMBER($Q577),ISNUMBER($R577)),IF(AND($Q577&lt;$R577,OR($M577="Completed",AND(ISNUMBER($L577),$L577&lt;ReportDate))),1,0),0)</f>
        <v>0</v>
      </c>
      <c r="AT577" s="71">
        <f>IF($AK577=1,IF(OR($L577=ReportDate,$W577=ReportDate,$K577=ReportDate,$A577=ReportDate),1,0),0)</f>
        <v>0</v>
      </c>
      <c r="AU577" s="71">
        <f>IF($AK577=1,IF(OR($L577=ReportDate+1,$W577=ReportDate+1,$K577=ReportDate+1,$A577=ReportDate+1),1,0),0)</f>
        <v>0</v>
      </c>
      <c r="AV577" s="71">
        <f>IF(AND($G577&lt;&gt;"",$M577="Completed"),IF(OR($Y577=ReportDate-1,$A577=ReportDate-1),1,0),0)</f>
        <v>0</v>
      </c>
      <c r="AW577" s="71">
        <f>IF(AND($AK577=1,$Z577="Yes"),1,0)</f>
        <v>0</v>
      </c>
      <c r="AX577" s="71">
        <f>IF(AND($AK577=1,$AA577="Yes"),1,0)</f>
        <v>0</v>
      </c>
      <c r="AY577" s="71">
        <f>IF(AND($AM577=1,OR($I577="Critical",$I577="High")),1,0)</f>
        <v>0</v>
      </c>
      <c r="AZ577" s="71">
        <f>IF(AND($AK577=1,OR($C577=TCL_Client,$C577=MECCA_Client)),1,0)</f>
        <v>0</v>
      </c>
      <c r="BA577" s="71" t="str">
        <f>IF($G577="","",IFERROR(MATCH($I577,lst_Priority,0),5))</f>
        <v/>
      </c>
      <c r="BB577" s="71" t="str">
        <f>IF(AND($AL577=1,$AJ577=1),$BA577*100000+ROW(),"")</f>
        <v/>
      </c>
      <c r="BC577" s="71" t="str">
        <f>IF(AND($AM577=1,$AJ577=1),$BA577*100000+ROW(),"")</f>
        <v/>
      </c>
      <c r="BD577" s="71" t="str">
        <f>IF(AND($AP577=1,$AJ577=1),$BA577*100000+ROW(),"")</f>
        <v/>
      </c>
      <c r="BE577" s="71" t="str">
        <f>IF(AND($AT577=1,$AJ577=1),$BA577*100000+ROW(),"")</f>
        <v/>
      </c>
      <c r="BF577" s="71" t="str">
        <f>IF(AND($AU577=1,$AJ577=1),$BA577*100000+ROW(),"")</f>
        <v/>
      </c>
      <c r="BG577" s="71" t="str">
        <f>IF(AND($AV577=1,$AJ577=1),$BA577*100000+ROW(),"")</f>
        <v/>
      </c>
      <c r="BH577" s="71" t="str">
        <f>IF(AND($AW577=1,$AJ577=1),$BA577*100000+ROW(),"")</f>
        <v/>
      </c>
      <c r="BI577" s="71" t="str">
        <f>IF(AND($AX577=1,$AJ577=1),$BA577*100000+ROW(),"")</f>
        <v/>
      </c>
      <c r="BJ577" s="71" t="str">
        <f>IF(AND($AS577=1,$AJ577=1),$BA577*100000+ROW(),"")</f>
        <v/>
      </c>
      <c r="BK577" s="71" t="str">
        <f>IF(AND($AY577=1,$AJ577=1),$BA577*100000+ROW(),"")</f>
        <v/>
      </c>
      <c r="BL577" s="71" t="str">
        <f>IF(AND($AZ577=1),$BA577*100000+ROW(),"")</f>
        <v/>
      </c>
    </row>
    <row r="578">
      <c r="A578" s="63" t="n"/>
      <c r="B578" s="64" t="n"/>
      <c r="C578" s="64" t="n"/>
      <c r="D578" s="64" t="n"/>
      <c r="E578" s="64" t="n"/>
      <c r="F578" s="64" t="n"/>
      <c r="G578" s="65" t="n"/>
      <c r="H578" s="65" t="n"/>
      <c r="I578" s="64" t="n"/>
      <c r="J578" s="64" t="n"/>
      <c r="K578" s="63" t="n"/>
      <c r="L578" s="63" t="n"/>
      <c r="M578" s="64" t="n"/>
      <c r="N578" s="66" t="n"/>
      <c r="O578" s="65" t="n"/>
      <c r="P578" s="64" t="n"/>
      <c r="Q578" s="67" t="n"/>
      <c r="R578" s="67" t="n"/>
      <c r="S578" s="68" t="str">
        <f>IF(AND(ISNUMBER($Q578),ISNUMBER($R578)),$Q578-$R578,"")</f>
        <v/>
      </c>
      <c r="T578" s="65" t="n"/>
      <c r="U578" s="64" t="n"/>
      <c r="V578" s="65" t="n"/>
      <c r="W578" s="63" t="n"/>
      <c r="X578" s="65" t="n"/>
      <c r="Y578" s="63" t="n"/>
      <c r="Z578" s="64" t="n"/>
      <c r="AA578" s="64" t="n"/>
      <c r="AB578" s="65" t="n"/>
      <c r="AC578" s="69" t="str">
        <f>IF(OR($G578="",NOT(ISNUMBER($K578)),$AK578=0),"",MAX(0,ReportDate-$K578))</f>
        <v/>
      </c>
      <c r="AD578" s="69" t="str">
        <f>IF($G578="","",IF($AL578=1,ReportDate-$L578,0))</f>
        <v/>
      </c>
      <c r="AE578" s="70" t="str">
        <f>IF($G578="","",IF($M578="Completed",1,IF(ISNUMBER($N578),$N578,0)))</f>
        <v/>
      </c>
      <c r="AF578" s="70" t="str">
        <f>IF(AND(ISNUMBER($Q578),ISNUMBER($R578)),IF($R578&lt;&gt;0,$Q578/$R578,""),"")</f>
        <v/>
      </c>
      <c r="AG578" s="71" t="str">
        <f>IF($G578="","",IF($AL578=1,"OVERDUE",IF($AM578=1,"BLOCKED",IF($AN578=1,"DUE TODAY",IF($AO578=1,"DUE TOMORROW",IF($AQ578=1,"HIGH PRIORITY",IF($AR578=1,"NO RECENT UPDATE",""))))))) </f>
        <v/>
      </c>
      <c r="AH578" s="71" t="str">
        <f>IF($G578="","",IF(ISNUMBER($A578),IF(ISNUMBER($A578),YEAR($A578)&amp;"-"&amp;TEXT(MONTH($A578),"00"),""),IF(ISNUMBER($L578),IF(ISNUMBER($L578),YEAR($L578)&amp;"-"&amp;TEXT(MONTH($L578),"00"),""),"")))</f>
        <v/>
      </c>
      <c r="AI578" s="71">
        <f>IF($G578="",0,IF(AND(OR(fClient="All",$C578=fClient),OR(fCampaign="All",$D578=fCampaign),OR(fTeam="All",$B578=fTeam),OR(fChannel="All",$F578=fChannel),OR(fMonth="All",$AH578=fMonth),OR(fTStatus="All",$M578=fTStatus)),1,0))</f>
        <v>0</v>
      </c>
      <c r="AJ578" s="71">
        <f>IF($G578="",0,IF(AND(OR(fClient="All",$C578=fClient),OR(fCampaign="All",$D578=fCampaign),OR(fTeam="All",$B578=fTeam),OR(fChannel="All",$F578=fChannel)),1,0))</f>
        <v>0</v>
      </c>
      <c r="AK578" s="71">
        <f>IF($G578="",0,IF(OR($M578="Completed",$M578="Cancelled"),0,1))</f>
        <v>0</v>
      </c>
      <c r="AL578" s="71">
        <f>IF(AND($AK578=1,ISNUMBER($L578)),IF($L578&lt;ReportDate,1,0),0)</f>
        <v>0</v>
      </c>
      <c r="AM578" s="71">
        <f>IF(AND($G578&lt;&gt;"",$M578="Blocked"),1,0)</f>
        <v>0</v>
      </c>
      <c r="AN578" s="71">
        <f>IF(AND($AK578=1,ISNUMBER($L578)),IF($L578=ReportDate,1,0),0)</f>
        <v>0</v>
      </c>
      <c r="AO578" s="71">
        <f>IF(AND($AK578=1,ISNUMBER($L578)),IF($L578=ReportDate+1,1,0),0)</f>
        <v>0</v>
      </c>
      <c r="AP578" s="71">
        <f>IF(AND($AK578=1,ISNUMBER($L578)),IF(AND($L578&gt;=ReportDate,$L578&lt;=ReportDate+DueSoonDays),1,0),0)</f>
        <v>0</v>
      </c>
      <c r="AQ578" s="71">
        <f>IF(AND($AK578=1,OR($I578="Critical",$I578="High")),1,0)</f>
        <v>0</v>
      </c>
      <c r="AR578" s="71">
        <f>IF($AK578=1,IF(ISNUMBER($Y578),IF(ReportDate-$Y578&gt;StaleDays,1,0),1),0)</f>
        <v>0</v>
      </c>
      <c r="AS578" s="71">
        <f>IF(AND($G578&lt;&gt;"",ISNUMBER($Q578),ISNUMBER($R578)),IF(AND($Q578&lt;$R578,OR($M578="Completed",AND(ISNUMBER($L578),$L578&lt;ReportDate))),1,0),0)</f>
        <v>0</v>
      </c>
      <c r="AT578" s="71">
        <f>IF($AK578=1,IF(OR($L578=ReportDate,$W578=ReportDate,$K578=ReportDate,$A578=ReportDate),1,0),0)</f>
        <v>0</v>
      </c>
      <c r="AU578" s="71">
        <f>IF($AK578=1,IF(OR($L578=ReportDate+1,$W578=ReportDate+1,$K578=ReportDate+1,$A578=ReportDate+1),1,0),0)</f>
        <v>0</v>
      </c>
      <c r="AV578" s="71">
        <f>IF(AND($G578&lt;&gt;"",$M578="Completed"),IF(OR($Y578=ReportDate-1,$A578=ReportDate-1),1,0),0)</f>
        <v>0</v>
      </c>
      <c r="AW578" s="71">
        <f>IF(AND($AK578=1,$Z578="Yes"),1,0)</f>
        <v>0</v>
      </c>
      <c r="AX578" s="71">
        <f>IF(AND($AK578=1,$AA578="Yes"),1,0)</f>
        <v>0</v>
      </c>
      <c r="AY578" s="71">
        <f>IF(AND($AM578=1,OR($I578="Critical",$I578="High")),1,0)</f>
        <v>0</v>
      </c>
      <c r="AZ578" s="71">
        <f>IF(AND($AK578=1,OR($C578=TCL_Client,$C578=MECCA_Client)),1,0)</f>
        <v>0</v>
      </c>
      <c r="BA578" s="71" t="str">
        <f>IF($G578="","",IFERROR(MATCH($I578,lst_Priority,0),5))</f>
        <v/>
      </c>
      <c r="BB578" s="71" t="str">
        <f>IF(AND($AL578=1,$AJ578=1),$BA578*100000+ROW(),"")</f>
        <v/>
      </c>
      <c r="BC578" s="71" t="str">
        <f>IF(AND($AM578=1,$AJ578=1),$BA578*100000+ROW(),"")</f>
        <v/>
      </c>
      <c r="BD578" s="71" t="str">
        <f>IF(AND($AP578=1,$AJ578=1),$BA578*100000+ROW(),"")</f>
        <v/>
      </c>
      <c r="BE578" s="71" t="str">
        <f>IF(AND($AT578=1,$AJ578=1),$BA578*100000+ROW(),"")</f>
        <v/>
      </c>
      <c r="BF578" s="71" t="str">
        <f>IF(AND($AU578=1,$AJ578=1),$BA578*100000+ROW(),"")</f>
        <v/>
      </c>
      <c r="BG578" s="71" t="str">
        <f>IF(AND($AV578=1,$AJ578=1),$BA578*100000+ROW(),"")</f>
        <v/>
      </c>
      <c r="BH578" s="71" t="str">
        <f>IF(AND($AW578=1,$AJ578=1),$BA578*100000+ROW(),"")</f>
        <v/>
      </c>
      <c r="BI578" s="71" t="str">
        <f>IF(AND($AX578=1,$AJ578=1),$BA578*100000+ROW(),"")</f>
        <v/>
      </c>
      <c r="BJ578" s="71" t="str">
        <f>IF(AND($AS578=1,$AJ578=1),$BA578*100000+ROW(),"")</f>
        <v/>
      </c>
      <c r="BK578" s="71" t="str">
        <f>IF(AND($AY578=1,$AJ578=1),$BA578*100000+ROW(),"")</f>
        <v/>
      </c>
      <c r="BL578" s="71" t="str">
        <f>IF(AND($AZ578=1),$BA578*100000+ROW(),"")</f>
        <v/>
      </c>
    </row>
    <row r="579">
      <c r="A579" s="63" t="n"/>
      <c r="B579" s="64" t="n"/>
      <c r="C579" s="64" t="n"/>
      <c r="D579" s="64" t="n"/>
      <c r="E579" s="64" t="n"/>
      <c r="F579" s="64" t="n"/>
      <c r="G579" s="65" t="n"/>
      <c r="H579" s="65" t="n"/>
      <c r="I579" s="64" t="n"/>
      <c r="J579" s="64" t="n"/>
      <c r="K579" s="63" t="n"/>
      <c r="L579" s="63" t="n"/>
      <c r="M579" s="64" t="n"/>
      <c r="N579" s="66" t="n"/>
      <c r="O579" s="65" t="n"/>
      <c r="P579" s="64" t="n"/>
      <c r="Q579" s="67" t="n"/>
      <c r="R579" s="67" t="n"/>
      <c r="S579" s="68" t="str">
        <f>IF(AND(ISNUMBER($Q579),ISNUMBER($R579)),$Q579-$R579,"")</f>
        <v/>
      </c>
      <c r="T579" s="65" t="n"/>
      <c r="U579" s="64" t="n"/>
      <c r="V579" s="65" t="n"/>
      <c r="W579" s="63" t="n"/>
      <c r="X579" s="65" t="n"/>
      <c r="Y579" s="63" t="n"/>
      <c r="Z579" s="64" t="n"/>
      <c r="AA579" s="64" t="n"/>
      <c r="AB579" s="65" t="n"/>
      <c r="AC579" s="69" t="str">
        <f>IF(OR($G579="",NOT(ISNUMBER($K579)),$AK579=0),"",MAX(0,ReportDate-$K579))</f>
        <v/>
      </c>
      <c r="AD579" s="69" t="str">
        <f>IF($G579="","",IF($AL579=1,ReportDate-$L579,0))</f>
        <v/>
      </c>
      <c r="AE579" s="70" t="str">
        <f>IF($G579="","",IF($M579="Completed",1,IF(ISNUMBER($N579),$N579,0)))</f>
        <v/>
      </c>
      <c r="AF579" s="70" t="str">
        <f>IF(AND(ISNUMBER($Q579),ISNUMBER($R579)),IF($R579&lt;&gt;0,$Q579/$R579,""),"")</f>
        <v/>
      </c>
      <c r="AG579" s="71" t="str">
        <f>IF($G579="","",IF($AL579=1,"OVERDUE",IF($AM579=1,"BLOCKED",IF($AN579=1,"DUE TODAY",IF($AO579=1,"DUE TOMORROW",IF($AQ579=1,"HIGH PRIORITY",IF($AR579=1,"NO RECENT UPDATE",""))))))) </f>
        <v/>
      </c>
      <c r="AH579" s="71" t="str">
        <f>IF($G579="","",IF(ISNUMBER($A579),IF(ISNUMBER($A579),YEAR($A579)&amp;"-"&amp;TEXT(MONTH($A579),"00"),""),IF(ISNUMBER($L579),IF(ISNUMBER($L579),YEAR($L579)&amp;"-"&amp;TEXT(MONTH($L579),"00"),""),"")))</f>
        <v/>
      </c>
      <c r="AI579" s="71">
        <f>IF($G579="",0,IF(AND(OR(fClient="All",$C579=fClient),OR(fCampaign="All",$D579=fCampaign),OR(fTeam="All",$B579=fTeam),OR(fChannel="All",$F579=fChannel),OR(fMonth="All",$AH579=fMonth),OR(fTStatus="All",$M579=fTStatus)),1,0))</f>
        <v>0</v>
      </c>
      <c r="AJ579" s="71">
        <f>IF($G579="",0,IF(AND(OR(fClient="All",$C579=fClient),OR(fCampaign="All",$D579=fCampaign),OR(fTeam="All",$B579=fTeam),OR(fChannel="All",$F579=fChannel)),1,0))</f>
        <v>0</v>
      </c>
      <c r="AK579" s="71">
        <f>IF($G579="",0,IF(OR($M579="Completed",$M579="Cancelled"),0,1))</f>
        <v>0</v>
      </c>
      <c r="AL579" s="71">
        <f>IF(AND($AK579=1,ISNUMBER($L579)),IF($L579&lt;ReportDate,1,0),0)</f>
        <v>0</v>
      </c>
      <c r="AM579" s="71">
        <f>IF(AND($G579&lt;&gt;"",$M579="Blocked"),1,0)</f>
        <v>0</v>
      </c>
      <c r="AN579" s="71">
        <f>IF(AND($AK579=1,ISNUMBER($L579)),IF($L579=ReportDate,1,0),0)</f>
        <v>0</v>
      </c>
      <c r="AO579" s="71">
        <f>IF(AND($AK579=1,ISNUMBER($L579)),IF($L579=ReportDate+1,1,0),0)</f>
        <v>0</v>
      </c>
      <c r="AP579" s="71">
        <f>IF(AND($AK579=1,ISNUMBER($L579)),IF(AND($L579&gt;=ReportDate,$L579&lt;=ReportDate+DueSoonDays),1,0),0)</f>
        <v>0</v>
      </c>
      <c r="AQ579" s="71">
        <f>IF(AND($AK579=1,OR($I579="Critical",$I579="High")),1,0)</f>
        <v>0</v>
      </c>
      <c r="AR579" s="71">
        <f>IF($AK579=1,IF(ISNUMBER($Y579),IF(ReportDate-$Y579&gt;StaleDays,1,0),1),0)</f>
        <v>0</v>
      </c>
      <c r="AS579" s="71">
        <f>IF(AND($G579&lt;&gt;"",ISNUMBER($Q579),ISNUMBER($R579)),IF(AND($Q579&lt;$R579,OR($M579="Completed",AND(ISNUMBER($L579),$L579&lt;ReportDate))),1,0),0)</f>
        <v>0</v>
      </c>
      <c r="AT579" s="71">
        <f>IF($AK579=1,IF(OR($L579=ReportDate,$W579=ReportDate,$K579=ReportDate,$A579=ReportDate),1,0),0)</f>
        <v>0</v>
      </c>
      <c r="AU579" s="71">
        <f>IF($AK579=1,IF(OR($L579=ReportDate+1,$W579=ReportDate+1,$K579=ReportDate+1,$A579=ReportDate+1),1,0),0)</f>
        <v>0</v>
      </c>
      <c r="AV579" s="71">
        <f>IF(AND($G579&lt;&gt;"",$M579="Completed"),IF(OR($Y579=ReportDate-1,$A579=ReportDate-1),1,0),0)</f>
        <v>0</v>
      </c>
      <c r="AW579" s="71">
        <f>IF(AND($AK579=1,$Z579="Yes"),1,0)</f>
        <v>0</v>
      </c>
      <c r="AX579" s="71">
        <f>IF(AND($AK579=1,$AA579="Yes"),1,0)</f>
        <v>0</v>
      </c>
      <c r="AY579" s="71">
        <f>IF(AND($AM579=1,OR($I579="Critical",$I579="High")),1,0)</f>
        <v>0</v>
      </c>
      <c r="AZ579" s="71">
        <f>IF(AND($AK579=1,OR($C579=TCL_Client,$C579=MECCA_Client)),1,0)</f>
        <v>0</v>
      </c>
      <c r="BA579" s="71" t="str">
        <f>IF($G579="","",IFERROR(MATCH($I579,lst_Priority,0),5))</f>
        <v/>
      </c>
      <c r="BB579" s="71" t="str">
        <f>IF(AND($AL579=1,$AJ579=1),$BA579*100000+ROW(),"")</f>
        <v/>
      </c>
      <c r="BC579" s="71" t="str">
        <f>IF(AND($AM579=1,$AJ579=1),$BA579*100000+ROW(),"")</f>
        <v/>
      </c>
      <c r="BD579" s="71" t="str">
        <f>IF(AND($AP579=1,$AJ579=1),$BA579*100000+ROW(),"")</f>
        <v/>
      </c>
      <c r="BE579" s="71" t="str">
        <f>IF(AND($AT579=1,$AJ579=1),$BA579*100000+ROW(),"")</f>
        <v/>
      </c>
      <c r="BF579" s="71" t="str">
        <f>IF(AND($AU579=1,$AJ579=1),$BA579*100000+ROW(),"")</f>
        <v/>
      </c>
      <c r="BG579" s="71" t="str">
        <f>IF(AND($AV579=1,$AJ579=1),$BA579*100000+ROW(),"")</f>
        <v/>
      </c>
      <c r="BH579" s="71" t="str">
        <f>IF(AND($AW579=1,$AJ579=1),$BA579*100000+ROW(),"")</f>
        <v/>
      </c>
      <c r="BI579" s="71" t="str">
        <f>IF(AND($AX579=1,$AJ579=1),$BA579*100000+ROW(),"")</f>
        <v/>
      </c>
      <c r="BJ579" s="71" t="str">
        <f>IF(AND($AS579=1,$AJ579=1),$BA579*100000+ROW(),"")</f>
        <v/>
      </c>
      <c r="BK579" s="71" t="str">
        <f>IF(AND($AY579=1,$AJ579=1),$BA579*100000+ROW(),"")</f>
        <v/>
      </c>
      <c r="BL579" s="71" t="str">
        <f>IF(AND($AZ579=1),$BA579*100000+ROW(),"")</f>
        <v/>
      </c>
    </row>
    <row r="580">
      <c r="A580" s="63" t="n"/>
      <c r="B580" s="64" t="n"/>
      <c r="C580" s="64" t="n"/>
      <c r="D580" s="64" t="n"/>
      <c r="E580" s="64" t="n"/>
      <c r="F580" s="64" t="n"/>
      <c r="G580" s="65" t="n"/>
      <c r="H580" s="65" t="n"/>
      <c r="I580" s="64" t="n"/>
      <c r="J580" s="64" t="n"/>
      <c r="K580" s="63" t="n"/>
      <c r="L580" s="63" t="n"/>
      <c r="M580" s="64" t="n"/>
      <c r="N580" s="66" t="n"/>
      <c r="O580" s="65" t="n"/>
      <c r="P580" s="64" t="n"/>
      <c r="Q580" s="67" t="n"/>
      <c r="R580" s="67" t="n"/>
      <c r="S580" s="68" t="str">
        <f>IF(AND(ISNUMBER($Q580),ISNUMBER($R580)),$Q580-$R580,"")</f>
        <v/>
      </c>
      <c r="T580" s="65" t="n"/>
      <c r="U580" s="64" t="n"/>
      <c r="V580" s="65" t="n"/>
      <c r="W580" s="63" t="n"/>
      <c r="X580" s="65" t="n"/>
      <c r="Y580" s="63" t="n"/>
      <c r="Z580" s="64" t="n"/>
      <c r="AA580" s="64" t="n"/>
      <c r="AB580" s="65" t="n"/>
      <c r="AC580" s="69" t="str">
        <f>IF(OR($G580="",NOT(ISNUMBER($K580)),$AK580=0),"",MAX(0,ReportDate-$K580))</f>
        <v/>
      </c>
      <c r="AD580" s="69" t="str">
        <f>IF($G580="","",IF($AL580=1,ReportDate-$L580,0))</f>
        <v/>
      </c>
      <c r="AE580" s="70" t="str">
        <f>IF($G580="","",IF($M580="Completed",1,IF(ISNUMBER($N580),$N580,0)))</f>
        <v/>
      </c>
      <c r="AF580" s="70" t="str">
        <f>IF(AND(ISNUMBER($Q580),ISNUMBER($R580)),IF($R580&lt;&gt;0,$Q580/$R580,""),"")</f>
        <v/>
      </c>
      <c r="AG580" s="71" t="str">
        <f>IF($G580="","",IF($AL580=1,"OVERDUE",IF($AM580=1,"BLOCKED",IF($AN580=1,"DUE TODAY",IF($AO580=1,"DUE TOMORROW",IF($AQ580=1,"HIGH PRIORITY",IF($AR580=1,"NO RECENT UPDATE",""))))))) </f>
        <v/>
      </c>
      <c r="AH580" s="71" t="str">
        <f>IF($G580="","",IF(ISNUMBER($A580),IF(ISNUMBER($A580),YEAR($A580)&amp;"-"&amp;TEXT(MONTH($A580),"00"),""),IF(ISNUMBER($L580),IF(ISNUMBER($L580),YEAR($L580)&amp;"-"&amp;TEXT(MONTH($L580),"00"),""),"")))</f>
        <v/>
      </c>
      <c r="AI580" s="71">
        <f>IF($G580="",0,IF(AND(OR(fClient="All",$C580=fClient),OR(fCampaign="All",$D580=fCampaign),OR(fTeam="All",$B580=fTeam),OR(fChannel="All",$F580=fChannel),OR(fMonth="All",$AH580=fMonth),OR(fTStatus="All",$M580=fTStatus)),1,0))</f>
        <v>0</v>
      </c>
      <c r="AJ580" s="71">
        <f>IF($G580="",0,IF(AND(OR(fClient="All",$C580=fClient),OR(fCampaign="All",$D580=fCampaign),OR(fTeam="All",$B580=fTeam),OR(fChannel="All",$F580=fChannel)),1,0))</f>
        <v>0</v>
      </c>
      <c r="AK580" s="71">
        <f>IF($G580="",0,IF(OR($M580="Completed",$M580="Cancelled"),0,1))</f>
        <v>0</v>
      </c>
      <c r="AL580" s="71">
        <f>IF(AND($AK580=1,ISNUMBER($L580)),IF($L580&lt;ReportDate,1,0),0)</f>
        <v>0</v>
      </c>
      <c r="AM580" s="71">
        <f>IF(AND($G580&lt;&gt;"",$M580="Blocked"),1,0)</f>
        <v>0</v>
      </c>
      <c r="AN580" s="71">
        <f>IF(AND($AK580=1,ISNUMBER($L580)),IF($L580=ReportDate,1,0),0)</f>
        <v>0</v>
      </c>
      <c r="AO580" s="71">
        <f>IF(AND($AK580=1,ISNUMBER($L580)),IF($L580=ReportDate+1,1,0),0)</f>
        <v>0</v>
      </c>
      <c r="AP580" s="71">
        <f>IF(AND($AK580=1,ISNUMBER($L580)),IF(AND($L580&gt;=ReportDate,$L580&lt;=ReportDate+DueSoonDays),1,0),0)</f>
        <v>0</v>
      </c>
      <c r="AQ580" s="71">
        <f>IF(AND($AK580=1,OR($I580="Critical",$I580="High")),1,0)</f>
        <v>0</v>
      </c>
      <c r="AR580" s="71">
        <f>IF($AK580=1,IF(ISNUMBER($Y580),IF(ReportDate-$Y580&gt;StaleDays,1,0),1),0)</f>
        <v>0</v>
      </c>
      <c r="AS580" s="71">
        <f>IF(AND($G580&lt;&gt;"",ISNUMBER($Q580),ISNUMBER($R580)),IF(AND($Q580&lt;$R580,OR($M580="Completed",AND(ISNUMBER($L580),$L580&lt;ReportDate))),1,0),0)</f>
        <v>0</v>
      </c>
      <c r="AT580" s="71">
        <f>IF($AK580=1,IF(OR($L580=ReportDate,$W580=ReportDate,$K580=ReportDate,$A580=ReportDate),1,0),0)</f>
        <v>0</v>
      </c>
      <c r="AU580" s="71">
        <f>IF($AK580=1,IF(OR($L580=ReportDate+1,$W580=ReportDate+1,$K580=ReportDate+1,$A580=ReportDate+1),1,0),0)</f>
        <v>0</v>
      </c>
      <c r="AV580" s="71">
        <f>IF(AND($G580&lt;&gt;"",$M580="Completed"),IF(OR($Y580=ReportDate-1,$A580=ReportDate-1),1,0),0)</f>
        <v>0</v>
      </c>
      <c r="AW580" s="71">
        <f>IF(AND($AK580=1,$Z580="Yes"),1,0)</f>
        <v>0</v>
      </c>
      <c r="AX580" s="71">
        <f>IF(AND($AK580=1,$AA580="Yes"),1,0)</f>
        <v>0</v>
      </c>
      <c r="AY580" s="71">
        <f>IF(AND($AM580=1,OR($I580="Critical",$I580="High")),1,0)</f>
        <v>0</v>
      </c>
      <c r="AZ580" s="71">
        <f>IF(AND($AK580=1,OR($C580=TCL_Client,$C580=MECCA_Client)),1,0)</f>
        <v>0</v>
      </c>
      <c r="BA580" s="71" t="str">
        <f>IF($G580="","",IFERROR(MATCH($I580,lst_Priority,0),5))</f>
        <v/>
      </c>
      <c r="BB580" s="71" t="str">
        <f>IF(AND($AL580=1,$AJ580=1),$BA580*100000+ROW(),"")</f>
        <v/>
      </c>
      <c r="BC580" s="71" t="str">
        <f>IF(AND($AM580=1,$AJ580=1),$BA580*100000+ROW(),"")</f>
        <v/>
      </c>
      <c r="BD580" s="71" t="str">
        <f>IF(AND($AP580=1,$AJ580=1),$BA580*100000+ROW(),"")</f>
        <v/>
      </c>
      <c r="BE580" s="71" t="str">
        <f>IF(AND($AT580=1,$AJ580=1),$BA580*100000+ROW(),"")</f>
        <v/>
      </c>
      <c r="BF580" s="71" t="str">
        <f>IF(AND($AU580=1,$AJ580=1),$BA580*100000+ROW(),"")</f>
        <v/>
      </c>
      <c r="BG580" s="71" t="str">
        <f>IF(AND($AV580=1,$AJ580=1),$BA580*100000+ROW(),"")</f>
        <v/>
      </c>
      <c r="BH580" s="71" t="str">
        <f>IF(AND($AW580=1,$AJ580=1),$BA580*100000+ROW(),"")</f>
        <v/>
      </c>
      <c r="BI580" s="71" t="str">
        <f>IF(AND($AX580=1,$AJ580=1),$BA580*100000+ROW(),"")</f>
        <v/>
      </c>
      <c r="BJ580" s="71" t="str">
        <f>IF(AND($AS580=1,$AJ580=1),$BA580*100000+ROW(),"")</f>
        <v/>
      </c>
      <c r="BK580" s="71" t="str">
        <f>IF(AND($AY580=1,$AJ580=1),$BA580*100000+ROW(),"")</f>
        <v/>
      </c>
      <c r="BL580" s="71" t="str">
        <f>IF(AND($AZ580=1),$BA580*100000+ROW(),"")</f>
        <v/>
      </c>
    </row>
    <row r="581">
      <c r="A581" s="63" t="n"/>
      <c r="B581" s="64" t="n"/>
      <c r="C581" s="64" t="n"/>
      <c r="D581" s="64" t="n"/>
      <c r="E581" s="64" t="n"/>
      <c r="F581" s="64" t="n"/>
      <c r="G581" s="65" t="n"/>
      <c r="H581" s="65" t="n"/>
      <c r="I581" s="64" t="n"/>
      <c r="J581" s="64" t="n"/>
      <c r="K581" s="63" t="n"/>
      <c r="L581" s="63" t="n"/>
      <c r="M581" s="64" t="n"/>
      <c r="N581" s="66" t="n"/>
      <c r="O581" s="65" t="n"/>
      <c r="P581" s="64" t="n"/>
      <c r="Q581" s="67" t="n"/>
      <c r="R581" s="67" t="n"/>
      <c r="S581" s="68" t="str">
        <f>IF(AND(ISNUMBER($Q581),ISNUMBER($R581)),$Q581-$R581,"")</f>
        <v/>
      </c>
      <c r="T581" s="65" t="n"/>
      <c r="U581" s="64" t="n"/>
      <c r="V581" s="65" t="n"/>
      <c r="W581" s="63" t="n"/>
      <c r="X581" s="65" t="n"/>
      <c r="Y581" s="63" t="n"/>
      <c r="Z581" s="64" t="n"/>
      <c r="AA581" s="64" t="n"/>
      <c r="AB581" s="65" t="n"/>
      <c r="AC581" s="69" t="str">
        <f>IF(OR($G581="",NOT(ISNUMBER($K581)),$AK581=0),"",MAX(0,ReportDate-$K581))</f>
        <v/>
      </c>
      <c r="AD581" s="69" t="str">
        <f>IF($G581="","",IF($AL581=1,ReportDate-$L581,0))</f>
        <v/>
      </c>
      <c r="AE581" s="70" t="str">
        <f>IF($G581="","",IF($M581="Completed",1,IF(ISNUMBER($N581),$N581,0)))</f>
        <v/>
      </c>
      <c r="AF581" s="70" t="str">
        <f>IF(AND(ISNUMBER($Q581),ISNUMBER($R581)),IF($R581&lt;&gt;0,$Q581/$R581,""),"")</f>
        <v/>
      </c>
      <c r="AG581" s="71" t="str">
        <f>IF($G581="","",IF($AL581=1,"OVERDUE",IF($AM581=1,"BLOCKED",IF($AN581=1,"DUE TODAY",IF($AO581=1,"DUE TOMORROW",IF($AQ581=1,"HIGH PRIORITY",IF($AR581=1,"NO RECENT UPDATE",""))))))) </f>
        <v/>
      </c>
      <c r="AH581" s="71" t="str">
        <f>IF($G581="","",IF(ISNUMBER($A581),IF(ISNUMBER($A581),YEAR($A581)&amp;"-"&amp;TEXT(MONTH($A581),"00"),""),IF(ISNUMBER($L581),IF(ISNUMBER($L581),YEAR($L581)&amp;"-"&amp;TEXT(MONTH($L581),"00"),""),"")))</f>
        <v/>
      </c>
      <c r="AI581" s="71">
        <f>IF($G581="",0,IF(AND(OR(fClient="All",$C581=fClient),OR(fCampaign="All",$D581=fCampaign),OR(fTeam="All",$B581=fTeam),OR(fChannel="All",$F581=fChannel),OR(fMonth="All",$AH581=fMonth),OR(fTStatus="All",$M581=fTStatus)),1,0))</f>
        <v>0</v>
      </c>
      <c r="AJ581" s="71">
        <f>IF($G581="",0,IF(AND(OR(fClient="All",$C581=fClient),OR(fCampaign="All",$D581=fCampaign),OR(fTeam="All",$B581=fTeam),OR(fChannel="All",$F581=fChannel)),1,0))</f>
        <v>0</v>
      </c>
      <c r="AK581" s="71">
        <f>IF($G581="",0,IF(OR($M581="Completed",$M581="Cancelled"),0,1))</f>
        <v>0</v>
      </c>
      <c r="AL581" s="71">
        <f>IF(AND($AK581=1,ISNUMBER($L581)),IF($L581&lt;ReportDate,1,0),0)</f>
        <v>0</v>
      </c>
      <c r="AM581" s="71">
        <f>IF(AND($G581&lt;&gt;"",$M581="Blocked"),1,0)</f>
        <v>0</v>
      </c>
      <c r="AN581" s="71">
        <f>IF(AND($AK581=1,ISNUMBER($L581)),IF($L581=ReportDate,1,0),0)</f>
        <v>0</v>
      </c>
      <c r="AO581" s="71">
        <f>IF(AND($AK581=1,ISNUMBER($L581)),IF($L581=ReportDate+1,1,0),0)</f>
        <v>0</v>
      </c>
      <c r="AP581" s="71">
        <f>IF(AND($AK581=1,ISNUMBER($L581)),IF(AND($L581&gt;=ReportDate,$L581&lt;=ReportDate+DueSoonDays),1,0),0)</f>
        <v>0</v>
      </c>
      <c r="AQ581" s="71">
        <f>IF(AND($AK581=1,OR($I581="Critical",$I581="High")),1,0)</f>
        <v>0</v>
      </c>
      <c r="AR581" s="71">
        <f>IF($AK581=1,IF(ISNUMBER($Y581),IF(ReportDate-$Y581&gt;StaleDays,1,0),1),0)</f>
        <v>0</v>
      </c>
      <c r="AS581" s="71">
        <f>IF(AND($G581&lt;&gt;"",ISNUMBER($Q581),ISNUMBER($R581)),IF(AND($Q581&lt;$R581,OR($M581="Completed",AND(ISNUMBER($L581),$L581&lt;ReportDate))),1,0),0)</f>
        <v>0</v>
      </c>
      <c r="AT581" s="71">
        <f>IF($AK581=1,IF(OR($L581=ReportDate,$W581=ReportDate,$K581=ReportDate,$A581=ReportDate),1,0),0)</f>
        <v>0</v>
      </c>
      <c r="AU581" s="71">
        <f>IF($AK581=1,IF(OR($L581=ReportDate+1,$W581=ReportDate+1,$K581=ReportDate+1,$A581=ReportDate+1),1,0),0)</f>
        <v>0</v>
      </c>
      <c r="AV581" s="71">
        <f>IF(AND($G581&lt;&gt;"",$M581="Completed"),IF(OR($Y581=ReportDate-1,$A581=ReportDate-1),1,0),0)</f>
        <v>0</v>
      </c>
      <c r="AW581" s="71">
        <f>IF(AND($AK581=1,$Z581="Yes"),1,0)</f>
        <v>0</v>
      </c>
      <c r="AX581" s="71">
        <f>IF(AND($AK581=1,$AA581="Yes"),1,0)</f>
        <v>0</v>
      </c>
      <c r="AY581" s="71">
        <f>IF(AND($AM581=1,OR($I581="Critical",$I581="High")),1,0)</f>
        <v>0</v>
      </c>
      <c r="AZ581" s="71">
        <f>IF(AND($AK581=1,OR($C581=TCL_Client,$C581=MECCA_Client)),1,0)</f>
        <v>0</v>
      </c>
      <c r="BA581" s="71" t="str">
        <f>IF($G581="","",IFERROR(MATCH($I581,lst_Priority,0),5))</f>
        <v/>
      </c>
      <c r="BB581" s="71" t="str">
        <f>IF(AND($AL581=1,$AJ581=1),$BA581*100000+ROW(),"")</f>
        <v/>
      </c>
      <c r="BC581" s="71" t="str">
        <f>IF(AND($AM581=1,$AJ581=1),$BA581*100000+ROW(),"")</f>
        <v/>
      </c>
      <c r="BD581" s="71" t="str">
        <f>IF(AND($AP581=1,$AJ581=1),$BA581*100000+ROW(),"")</f>
        <v/>
      </c>
      <c r="BE581" s="71" t="str">
        <f>IF(AND($AT581=1,$AJ581=1),$BA581*100000+ROW(),"")</f>
        <v/>
      </c>
      <c r="BF581" s="71" t="str">
        <f>IF(AND($AU581=1,$AJ581=1),$BA581*100000+ROW(),"")</f>
        <v/>
      </c>
      <c r="BG581" s="71" t="str">
        <f>IF(AND($AV581=1,$AJ581=1),$BA581*100000+ROW(),"")</f>
        <v/>
      </c>
      <c r="BH581" s="71" t="str">
        <f>IF(AND($AW581=1,$AJ581=1),$BA581*100000+ROW(),"")</f>
        <v/>
      </c>
      <c r="BI581" s="71" t="str">
        <f>IF(AND($AX581=1,$AJ581=1),$BA581*100000+ROW(),"")</f>
        <v/>
      </c>
      <c r="BJ581" s="71" t="str">
        <f>IF(AND($AS581=1,$AJ581=1),$BA581*100000+ROW(),"")</f>
        <v/>
      </c>
      <c r="BK581" s="71" t="str">
        <f>IF(AND($AY581=1,$AJ581=1),$BA581*100000+ROW(),"")</f>
        <v/>
      </c>
      <c r="BL581" s="71" t="str">
        <f>IF(AND($AZ581=1),$BA581*100000+ROW(),"")</f>
        <v/>
      </c>
    </row>
    <row r="582">
      <c r="A582" s="63" t="n"/>
      <c r="B582" s="64" t="n"/>
      <c r="C582" s="64" t="n"/>
      <c r="D582" s="64" t="n"/>
      <c r="E582" s="64" t="n"/>
      <c r="F582" s="64" t="n"/>
      <c r="G582" s="65" t="n"/>
      <c r="H582" s="65" t="n"/>
      <c r="I582" s="64" t="n"/>
      <c r="J582" s="64" t="n"/>
      <c r="K582" s="63" t="n"/>
      <c r="L582" s="63" t="n"/>
      <c r="M582" s="64" t="n"/>
      <c r="N582" s="66" t="n"/>
      <c r="O582" s="65" t="n"/>
      <c r="P582" s="64" t="n"/>
      <c r="Q582" s="67" t="n"/>
      <c r="R582" s="67" t="n"/>
      <c r="S582" s="68" t="str">
        <f>IF(AND(ISNUMBER($Q582),ISNUMBER($R582)),$Q582-$R582,"")</f>
        <v/>
      </c>
      <c r="T582" s="65" t="n"/>
      <c r="U582" s="64" t="n"/>
      <c r="V582" s="65" t="n"/>
      <c r="W582" s="63" t="n"/>
      <c r="X582" s="65" t="n"/>
      <c r="Y582" s="63" t="n"/>
      <c r="Z582" s="64" t="n"/>
      <c r="AA582" s="64" t="n"/>
      <c r="AB582" s="65" t="n"/>
      <c r="AC582" s="69" t="str">
        <f>IF(OR($G582="",NOT(ISNUMBER($K582)),$AK582=0),"",MAX(0,ReportDate-$K582))</f>
        <v/>
      </c>
      <c r="AD582" s="69" t="str">
        <f>IF($G582="","",IF($AL582=1,ReportDate-$L582,0))</f>
        <v/>
      </c>
      <c r="AE582" s="70" t="str">
        <f>IF($G582="","",IF($M582="Completed",1,IF(ISNUMBER($N582),$N582,0)))</f>
        <v/>
      </c>
      <c r="AF582" s="70" t="str">
        <f>IF(AND(ISNUMBER($Q582),ISNUMBER($R582)),IF($R582&lt;&gt;0,$Q582/$R582,""),"")</f>
        <v/>
      </c>
      <c r="AG582" s="71" t="str">
        <f>IF($G582="","",IF($AL582=1,"OVERDUE",IF($AM582=1,"BLOCKED",IF($AN582=1,"DUE TODAY",IF($AO582=1,"DUE TOMORROW",IF($AQ582=1,"HIGH PRIORITY",IF($AR582=1,"NO RECENT UPDATE",""))))))) </f>
        <v/>
      </c>
      <c r="AH582" s="71" t="str">
        <f>IF($G582="","",IF(ISNUMBER($A582),IF(ISNUMBER($A582),YEAR($A582)&amp;"-"&amp;TEXT(MONTH($A582),"00"),""),IF(ISNUMBER($L582),IF(ISNUMBER($L582),YEAR($L582)&amp;"-"&amp;TEXT(MONTH($L582),"00"),""),"")))</f>
        <v/>
      </c>
      <c r="AI582" s="71">
        <f>IF($G582="",0,IF(AND(OR(fClient="All",$C582=fClient),OR(fCampaign="All",$D582=fCampaign),OR(fTeam="All",$B582=fTeam),OR(fChannel="All",$F582=fChannel),OR(fMonth="All",$AH582=fMonth),OR(fTStatus="All",$M582=fTStatus)),1,0))</f>
        <v>0</v>
      </c>
      <c r="AJ582" s="71">
        <f>IF($G582="",0,IF(AND(OR(fClient="All",$C582=fClient),OR(fCampaign="All",$D582=fCampaign),OR(fTeam="All",$B582=fTeam),OR(fChannel="All",$F582=fChannel)),1,0))</f>
        <v>0</v>
      </c>
      <c r="AK582" s="71">
        <f>IF($G582="",0,IF(OR($M582="Completed",$M582="Cancelled"),0,1))</f>
        <v>0</v>
      </c>
      <c r="AL582" s="71">
        <f>IF(AND($AK582=1,ISNUMBER($L582)),IF($L582&lt;ReportDate,1,0),0)</f>
        <v>0</v>
      </c>
      <c r="AM582" s="71">
        <f>IF(AND($G582&lt;&gt;"",$M582="Blocked"),1,0)</f>
        <v>0</v>
      </c>
      <c r="AN582" s="71">
        <f>IF(AND($AK582=1,ISNUMBER($L582)),IF($L582=ReportDate,1,0),0)</f>
        <v>0</v>
      </c>
      <c r="AO582" s="71">
        <f>IF(AND($AK582=1,ISNUMBER($L582)),IF($L582=ReportDate+1,1,0),0)</f>
        <v>0</v>
      </c>
      <c r="AP582" s="71">
        <f>IF(AND($AK582=1,ISNUMBER($L582)),IF(AND($L582&gt;=ReportDate,$L582&lt;=ReportDate+DueSoonDays),1,0),0)</f>
        <v>0</v>
      </c>
      <c r="AQ582" s="71">
        <f>IF(AND($AK582=1,OR($I582="Critical",$I582="High")),1,0)</f>
        <v>0</v>
      </c>
      <c r="AR582" s="71">
        <f>IF($AK582=1,IF(ISNUMBER($Y582),IF(ReportDate-$Y582&gt;StaleDays,1,0),1),0)</f>
        <v>0</v>
      </c>
      <c r="AS582" s="71">
        <f>IF(AND($G582&lt;&gt;"",ISNUMBER($Q582),ISNUMBER($R582)),IF(AND($Q582&lt;$R582,OR($M582="Completed",AND(ISNUMBER($L582),$L582&lt;ReportDate))),1,0),0)</f>
        <v>0</v>
      </c>
      <c r="AT582" s="71">
        <f>IF($AK582=1,IF(OR($L582=ReportDate,$W582=ReportDate,$K582=ReportDate,$A582=ReportDate),1,0),0)</f>
        <v>0</v>
      </c>
      <c r="AU582" s="71">
        <f>IF($AK582=1,IF(OR($L582=ReportDate+1,$W582=ReportDate+1,$K582=ReportDate+1,$A582=ReportDate+1),1,0),0)</f>
        <v>0</v>
      </c>
      <c r="AV582" s="71">
        <f>IF(AND($G582&lt;&gt;"",$M582="Completed"),IF(OR($Y582=ReportDate-1,$A582=ReportDate-1),1,0),0)</f>
        <v>0</v>
      </c>
      <c r="AW582" s="71">
        <f>IF(AND($AK582=1,$Z582="Yes"),1,0)</f>
        <v>0</v>
      </c>
      <c r="AX582" s="71">
        <f>IF(AND($AK582=1,$AA582="Yes"),1,0)</f>
        <v>0</v>
      </c>
      <c r="AY582" s="71">
        <f>IF(AND($AM582=1,OR($I582="Critical",$I582="High")),1,0)</f>
        <v>0</v>
      </c>
      <c r="AZ582" s="71">
        <f>IF(AND($AK582=1,OR($C582=TCL_Client,$C582=MECCA_Client)),1,0)</f>
        <v>0</v>
      </c>
      <c r="BA582" s="71" t="str">
        <f>IF($G582="","",IFERROR(MATCH($I582,lst_Priority,0),5))</f>
        <v/>
      </c>
      <c r="BB582" s="71" t="str">
        <f>IF(AND($AL582=1,$AJ582=1),$BA582*100000+ROW(),"")</f>
        <v/>
      </c>
      <c r="BC582" s="71" t="str">
        <f>IF(AND($AM582=1,$AJ582=1),$BA582*100000+ROW(),"")</f>
        <v/>
      </c>
      <c r="BD582" s="71" t="str">
        <f>IF(AND($AP582=1,$AJ582=1),$BA582*100000+ROW(),"")</f>
        <v/>
      </c>
      <c r="BE582" s="71" t="str">
        <f>IF(AND($AT582=1,$AJ582=1),$BA582*100000+ROW(),"")</f>
        <v/>
      </c>
      <c r="BF582" s="71" t="str">
        <f>IF(AND($AU582=1,$AJ582=1),$BA582*100000+ROW(),"")</f>
        <v/>
      </c>
      <c r="BG582" s="71" t="str">
        <f>IF(AND($AV582=1,$AJ582=1),$BA582*100000+ROW(),"")</f>
        <v/>
      </c>
      <c r="BH582" s="71" t="str">
        <f>IF(AND($AW582=1,$AJ582=1),$BA582*100000+ROW(),"")</f>
        <v/>
      </c>
      <c r="BI582" s="71" t="str">
        <f>IF(AND($AX582=1,$AJ582=1),$BA582*100000+ROW(),"")</f>
        <v/>
      </c>
      <c r="BJ582" s="71" t="str">
        <f>IF(AND($AS582=1,$AJ582=1),$BA582*100000+ROW(),"")</f>
        <v/>
      </c>
      <c r="BK582" s="71" t="str">
        <f>IF(AND($AY582=1,$AJ582=1),$BA582*100000+ROW(),"")</f>
        <v/>
      </c>
      <c r="BL582" s="71" t="str">
        <f>IF(AND($AZ582=1),$BA582*100000+ROW(),"")</f>
        <v/>
      </c>
    </row>
    <row r="583">
      <c r="A583" s="63" t="n"/>
      <c r="B583" s="64" t="n"/>
      <c r="C583" s="64" t="n"/>
      <c r="D583" s="64" t="n"/>
      <c r="E583" s="64" t="n"/>
      <c r="F583" s="64" t="n"/>
      <c r="G583" s="65" t="n"/>
      <c r="H583" s="65" t="n"/>
      <c r="I583" s="64" t="n"/>
      <c r="J583" s="64" t="n"/>
      <c r="K583" s="63" t="n"/>
      <c r="L583" s="63" t="n"/>
      <c r="M583" s="64" t="n"/>
      <c r="N583" s="66" t="n"/>
      <c r="O583" s="65" t="n"/>
      <c r="P583" s="64" t="n"/>
      <c r="Q583" s="67" t="n"/>
      <c r="R583" s="67" t="n"/>
      <c r="S583" s="68" t="str">
        <f>IF(AND(ISNUMBER($Q583),ISNUMBER($R583)),$Q583-$R583,"")</f>
        <v/>
      </c>
      <c r="T583" s="65" t="n"/>
      <c r="U583" s="64" t="n"/>
      <c r="V583" s="65" t="n"/>
      <c r="W583" s="63" t="n"/>
      <c r="X583" s="65" t="n"/>
      <c r="Y583" s="63" t="n"/>
      <c r="Z583" s="64" t="n"/>
      <c r="AA583" s="64" t="n"/>
      <c r="AB583" s="65" t="n"/>
      <c r="AC583" s="69" t="str">
        <f>IF(OR($G583="",NOT(ISNUMBER($K583)),$AK583=0),"",MAX(0,ReportDate-$K583))</f>
        <v/>
      </c>
      <c r="AD583" s="69" t="str">
        <f>IF($G583="","",IF($AL583=1,ReportDate-$L583,0))</f>
        <v/>
      </c>
      <c r="AE583" s="70" t="str">
        <f>IF($G583="","",IF($M583="Completed",1,IF(ISNUMBER($N583),$N583,0)))</f>
        <v/>
      </c>
      <c r="AF583" s="70" t="str">
        <f>IF(AND(ISNUMBER($Q583),ISNUMBER($R583)),IF($R583&lt;&gt;0,$Q583/$R583,""),"")</f>
        <v/>
      </c>
      <c r="AG583" s="71" t="str">
        <f>IF($G583="","",IF($AL583=1,"OVERDUE",IF($AM583=1,"BLOCKED",IF($AN583=1,"DUE TODAY",IF($AO583=1,"DUE TOMORROW",IF($AQ583=1,"HIGH PRIORITY",IF($AR583=1,"NO RECENT UPDATE",""))))))) </f>
        <v/>
      </c>
      <c r="AH583" s="71" t="str">
        <f>IF($G583="","",IF(ISNUMBER($A583),IF(ISNUMBER($A583),YEAR($A583)&amp;"-"&amp;TEXT(MONTH($A583),"00"),""),IF(ISNUMBER($L583),IF(ISNUMBER($L583),YEAR($L583)&amp;"-"&amp;TEXT(MONTH($L583),"00"),""),"")))</f>
        <v/>
      </c>
      <c r="AI583" s="71">
        <f>IF($G583="",0,IF(AND(OR(fClient="All",$C583=fClient),OR(fCampaign="All",$D583=fCampaign),OR(fTeam="All",$B583=fTeam),OR(fChannel="All",$F583=fChannel),OR(fMonth="All",$AH583=fMonth),OR(fTStatus="All",$M583=fTStatus)),1,0))</f>
        <v>0</v>
      </c>
      <c r="AJ583" s="71">
        <f>IF($G583="",0,IF(AND(OR(fClient="All",$C583=fClient),OR(fCampaign="All",$D583=fCampaign),OR(fTeam="All",$B583=fTeam),OR(fChannel="All",$F583=fChannel)),1,0))</f>
        <v>0</v>
      </c>
      <c r="AK583" s="71">
        <f>IF($G583="",0,IF(OR($M583="Completed",$M583="Cancelled"),0,1))</f>
        <v>0</v>
      </c>
      <c r="AL583" s="71">
        <f>IF(AND($AK583=1,ISNUMBER($L583)),IF($L583&lt;ReportDate,1,0),0)</f>
        <v>0</v>
      </c>
      <c r="AM583" s="71">
        <f>IF(AND($G583&lt;&gt;"",$M583="Blocked"),1,0)</f>
        <v>0</v>
      </c>
      <c r="AN583" s="71">
        <f>IF(AND($AK583=1,ISNUMBER($L583)),IF($L583=ReportDate,1,0),0)</f>
        <v>0</v>
      </c>
      <c r="AO583" s="71">
        <f>IF(AND($AK583=1,ISNUMBER($L583)),IF($L583=ReportDate+1,1,0),0)</f>
        <v>0</v>
      </c>
      <c r="AP583" s="71">
        <f>IF(AND($AK583=1,ISNUMBER($L583)),IF(AND($L583&gt;=ReportDate,$L583&lt;=ReportDate+DueSoonDays),1,0),0)</f>
        <v>0</v>
      </c>
      <c r="AQ583" s="71">
        <f>IF(AND($AK583=1,OR($I583="Critical",$I583="High")),1,0)</f>
        <v>0</v>
      </c>
      <c r="AR583" s="71">
        <f>IF($AK583=1,IF(ISNUMBER($Y583),IF(ReportDate-$Y583&gt;StaleDays,1,0),1),0)</f>
        <v>0</v>
      </c>
      <c r="AS583" s="71">
        <f>IF(AND($G583&lt;&gt;"",ISNUMBER($Q583),ISNUMBER($R583)),IF(AND($Q583&lt;$R583,OR($M583="Completed",AND(ISNUMBER($L583),$L583&lt;ReportDate))),1,0),0)</f>
        <v>0</v>
      </c>
      <c r="AT583" s="71">
        <f>IF($AK583=1,IF(OR($L583=ReportDate,$W583=ReportDate,$K583=ReportDate,$A583=ReportDate),1,0),0)</f>
        <v>0</v>
      </c>
      <c r="AU583" s="71">
        <f>IF($AK583=1,IF(OR($L583=ReportDate+1,$W583=ReportDate+1,$K583=ReportDate+1,$A583=ReportDate+1),1,0),0)</f>
        <v>0</v>
      </c>
      <c r="AV583" s="71">
        <f>IF(AND($G583&lt;&gt;"",$M583="Completed"),IF(OR($Y583=ReportDate-1,$A583=ReportDate-1),1,0),0)</f>
        <v>0</v>
      </c>
      <c r="AW583" s="71">
        <f>IF(AND($AK583=1,$Z583="Yes"),1,0)</f>
        <v>0</v>
      </c>
      <c r="AX583" s="71">
        <f>IF(AND($AK583=1,$AA583="Yes"),1,0)</f>
        <v>0</v>
      </c>
      <c r="AY583" s="71">
        <f>IF(AND($AM583=1,OR($I583="Critical",$I583="High")),1,0)</f>
        <v>0</v>
      </c>
      <c r="AZ583" s="71">
        <f>IF(AND($AK583=1,OR($C583=TCL_Client,$C583=MECCA_Client)),1,0)</f>
        <v>0</v>
      </c>
      <c r="BA583" s="71" t="str">
        <f>IF($G583="","",IFERROR(MATCH($I583,lst_Priority,0),5))</f>
        <v/>
      </c>
      <c r="BB583" s="71" t="str">
        <f>IF(AND($AL583=1,$AJ583=1),$BA583*100000+ROW(),"")</f>
        <v/>
      </c>
      <c r="BC583" s="71" t="str">
        <f>IF(AND($AM583=1,$AJ583=1),$BA583*100000+ROW(),"")</f>
        <v/>
      </c>
      <c r="BD583" s="71" t="str">
        <f>IF(AND($AP583=1,$AJ583=1),$BA583*100000+ROW(),"")</f>
        <v/>
      </c>
      <c r="BE583" s="71" t="str">
        <f>IF(AND($AT583=1,$AJ583=1),$BA583*100000+ROW(),"")</f>
        <v/>
      </c>
      <c r="BF583" s="71" t="str">
        <f>IF(AND($AU583=1,$AJ583=1),$BA583*100000+ROW(),"")</f>
        <v/>
      </c>
      <c r="BG583" s="71" t="str">
        <f>IF(AND($AV583=1,$AJ583=1),$BA583*100000+ROW(),"")</f>
        <v/>
      </c>
      <c r="BH583" s="71" t="str">
        <f>IF(AND($AW583=1,$AJ583=1),$BA583*100000+ROW(),"")</f>
        <v/>
      </c>
      <c r="BI583" s="71" t="str">
        <f>IF(AND($AX583=1,$AJ583=1),$BA583*100000+ROW(),"")</f>
        <v/>
      </c>
      <c r="BJ583" s="71" t="str">
        <f>IF(AND($AS583=1,$AJ583=1),$BA583*100000+ROW(),"")</f>
        <v/>
      </c>
      <c r="BK583" s="71" t="str">
        <f>IF(AND($AY583=1,$AJ583=1),$BA583*100000+ROW(),"")</f>
        <v/>
      </c>
      <c r="BL583" s="71" t="str">
        <f>IF(AND($AZ583=1),$BA583*100000+ROW(),"")</f>
        <v/>
      </c>
    </row>
    <row r="584">
      <c r="A584" s="63" t="n"/>
      <c r="B584" s="64" t="n"/>
      <c r="C584" s="64" t="n"/>
      <c r="D584" s="64" t="n"/>
      <c r="E584" s="64" t="n"/>
      <c r="F584" s="64" t="n"/>
      <c r="G584" s="65" t="n"/>
      <c r="H584" s="65" t="n"/>
      <c r="I584" s="64" t="n"/>
      <c r="J584" s="64" t="n"/>
      <c r="K584" s="63" t="n"/>
      <c r="L584" s="63" t="n"/>
      <c r="M584" s="64" t="n"/>
      <c r="N584" s="66" t="n"/>
      <c r="O584" s="65" t="n"/>
      <c r="P584" s="64" t="n"/>
      <c r="Q584" s="67" t="n"/>
      <c r="R584" s="67" t="n"/>
      <c r="S584" s="68" t="str">
        <f>IF(AND(ISNUMBER($Q584),ISNUMBER($R584)),$Q584-$R584,"")</f>
        <v/>
      </c>
      <c r="T584" s="65" t="n"/>
      <c r="U584" s="64" t="n"/>
      <c r="V584" s="65" t="n"/>
      <c r="W584" s="63" t="n"/>
      <c r="X584" s="65" t="n"/>
      <c r="Y584" s="63" t="n"/>
      <c r="Z584" s="64" t="n"/>
      <c r="AA584" s="64" t="n"/>
      <c r="AB584" s="65" t="n"/>
      <c r="AC584" s="69" t="str">
        <f>IF(OR($G584="",NOT(ISNUMBER($K584)),$AK584=0),"",MAX(0,ReportDate-$K584))</f>
        <v/>
      </c>
      <c r="AD584" s="69" t="str">
        <f>IF($G584="","",IF($AL584=1,ReportDate-$L584,0))</f>
        <v/>
      </c>
      <c r="AE584" s="70" t="str">
        <f>IF($G584="","",IF($M584="Completed",1,IF(ISNUMBER($N584),$N584,0)))</f>
        <v/>
      </c>
      <c r="AF584" s="70" t="str">
        <f>IF(AND(ISNUMBER($Q584),ISNUMBER($R584)),IF($R584&lt;&gt;0,$Q584/$R584,""),"")</f>
        <v/>
      </c>
      <c r="AG584" s="71" t="str">
        <f>IF($G584="","",IF($AL584=1,"OVERDUE",IF($AM584=1,"BLOCKED",IF($AN584=1,"DUE TODAY",IF($AO584=1,"DUE TOMORROW",IF($AQ584=1,"HIGH PRIORITY",IF($AR584=1,"NO RECENT UPDATE",""))))))) </f>
        <v/>
      </c>
      <c r="AH584" s="71" t="str">
        <f>IF($G584="","",IF(ISNUMBER($A584),IF(ISNUMBER($A584),YEAR($A584)&amp;"-"&amp;TEXT(MONTH($A584),"00"),""),IF(ISNUMBER($L584),IF(ISNUMBER($L584),YEAR($L584)&amp;"-"&amp;TEXT(MONTH($L584),"00"),""),"")))</f>
        <v/>
      </c>
      <c r="AI584" s="71">
        <f>IF($G584="",0,IF(AND(OR(fClient="All",$C584=fClient),OR(fCampaign="All",$D584=fCampaign),OR(fTeam="All",$B584=fTeam),OR(fChannel="All",$F584=fChannel),OR(fMonth="All",$AH584=fMonth),OR(fTStatus="All",$M584=fTStatus)),1,0))</f>
        <v>0</v>
      </c>
      <c r="AJ584" s="71">
        <f>IF($G584="",0,IF(AND(OR(fClient="All",$C584=fClient),OR(fCampaign="All",$D584=fCampaign),OR(fTeam="All",$B584=fTeam),OR(fChannel="All",$F584=fChannel)),1,0))</f>
        <v>0</v>
      </c>
      <c r="AK584" s="71">
        <f>IF($G584="",0,IF(OR($M584="Completed",$M584="Cancelled"),0,1))</f>
        <v>0</v>
      </c>
      <c r="AL584" s="71">
        <f>IF(AND($AK584=1,ISNUMBER($L584)),IF($L584&lt;ReportDate,1,0),0)</f>
        <v>0</v>
      </c>
      <c r="AM584" s="71">
        <f>IF(AND($G584&lt;&gt;"",$M584="Blocked"),1,0)</f>
        <v>0</v>
      </c>
      <c r="AN584" s="71">
        <f>IF(AND($AK584=1,ISNUMBER($L584)),IF($L584=ReportDate,1,0),0)</f>
        <v>0</v>
      </c>
      <c r="AO584" s="71">
        <f>IF(AND($AK584=1,ISNUMBER($L584)),IF($L584=ReportDate+1,1,0),0)</f>
        <v>0</v>
      </c>
      <c r="AP584" s="71">
        <f>IF(AND($AK584=1,ISNUMBER($L584)),IF(AND($L584&gt;=ReportDate,$L584&lt;=ReportDate+DueSoonDays),1,0),0)</f>
        <v>0</v>
      </c>
      <c r="AQ584" s="71">
        <f>IF(AND($AK584=1,OR($I584="Critical",$I584="High")),1,0)</f>
        <v>0</v>
      </c>
      <c r="AR584" s="71">
        <f>IF($AK584=1,IF(ISNUMBER($Y584),IF(ReportDate-$Y584&gt;StaleDays,1,0),1),0)</f>
        <v>0</v>
      </c>
      <c r="AS584" s="71">
        <f>IF(AND($G584&lt;&gt;"",ISNUMBER($Q584),ISNUMBER($R584)),IF(AND($Q584&lt;$R584,OR($M584="Completed",AND(ISNUMBER($L584),$L584&lt;ReportDate))),1,0),0)</f>
        <v>0</v>
      </c>
      <c r="AT584" s="71">
        <f>IF($AK584=1,IF(OR($L584=ReportDate,$W584=ReportDate,$K584=ReportDate,$A584=ReportDate),1,0),0)</f>
        <v>0</v>
      </c>
      <c r="AU584" s="71">
        <f>IF($AK584=1,IF(OR($L584=ReportDate+1,$W584=ReportDate+1,$K584=ReportDate+1,$A584=ReportDate+1),1,0),0)</f>
        <v>0</v>
      </c>
      <c r="AV584" s="71">
        <f>IF(AND($G584&lt;&gt;"",$M584="Completed"),IF(OR($Y584=ReportDate-1,$A584=ReportDate-1),1,0),0)</f>
        <v>0</v>
      </c>
      <c r="AW584" s="71">
        <f>IF(AND($AK584=1,$Z584="Yes"),1,0)</f>
        <v>0</v>
      </c>
      <c r="AX584" s="71">
        <f>IF(AND($AK584=1,$AA584="Yes"),1,0)</f>
        <v>0</v>
      </c>
      <c r="AY584" s="71">
        <f>IF(AND($AM584=1,OR($I584="Critical",$I584="High")),1,0)</f>
        <v>0</v>
      </c>
      <c r="AZ584" s="71">
        <f>IF(AND($AK584=1,OR($C584=TCL_Client,$C584=MECCA_Client)),1,0)</f>
        <v>0</v>
      </c>
      <c r="BA584" s="71" t="str">
        <f>IF($G584="","",IFERROR(MATCH($I584,lst_Priority,0),5))</f>
        <v/>
      </c>
      <c r="BB584" s="71" t="str">
        <f>IF(AND($AL584=1,$AJ584=1),$BA584*100000+ROW(),"")</f>
        <v/>
      </c>
      <c r="BC584" s="71" t="str">
        <f>IF(AND($AM584=1,$AJ584=1),$BA584*100000+ROW(),"")</f>
        <v/>
      </c>
      <c r="BD584" s="71" t="str">
        <f>IF(AND($AP584=1,$AJ584=1),$BA584*100000+ROW(),"")</f>
        <v/>
      </c>
      <c r="BE584" s="71" t="str">
        <f>IF(AND($AT584=1,$AJ584=1),$BA584*100000+ROW(),"")</f>
        <v/>
      </c>
      <c r="BF584" s="71" t="str">
        <f>IF(AND($AU584=1,$AJ584=1),$BA584*100000+ROW(),"")</f>
        <v/>
      </c>
      <c r="BG584" s="71" t="str">
        <f>IF(AND($AV584=1,$AJ584=1),$BA584*100000+ROW(),"")</f>
        <v/>
      </c>
      <c r="BH584" s="71" t="str">
        <f>IF(AND($AW584=1,$AJ584=1),$BA584*100000+ROW(),"")</f>
        <v/>
      </c>
      <c r="BI584" s="71" t="str">
        <f>IF(AND($AX584=1,$AJ584=1),$BA584*100000+ROW(),"")</f>
        <v/>
      </c>
      <c r="BJ584" s="71" t="str">
        <f>IF(AND($AS584=1,$AJ584=1),$BA584*100000+ROW(),"")</f>
        <v/>
      </c>
      <c r="BK584" s="71" t="str">
        <f>IF(AND($AY584=1,$AJ584=1),$BA584*100000+ROW(),"")</f>
        <v/>
      </c>
      <c r="BL584" s="71" t="str">
        <f>IF(AND($AZ584=1),$BA584*100000+ROW(),"")</f>
        <v/>
      </c>
    </row>
    <row r="585">
      <c r="A585" s="63" t="n"/>
      <c r="B585" s="64" t="n"/>
      <c r="C585" s="64" t="n"/>
      <c r="D585" s="64" t="n"/>
      <c r="E585" s="64" t="n"/>
      <c r="F585" s="64" t="n"/>
      <c r="G585" s="65" t="n"/>
      <c r="H585" s="65" t="n"/>
      <c r="I585" s="64" t="n"/>
      <c r="J585" s="64" t="n"/>
      <c r="K585" s="63" t="n"/>
      <c r="L585" s="63" t="n"/>
      <c r="M585" s="64" t="n"/>
      <c r="N585" s="66" t="n"/>
      <c r="O585" s="65" t="n"/>
      <c r="P585" s="64" t="n"/>
      <c r="Q585" s="67" t="n"/>
      <c r="R585" s="67" t="n"/>
      <c r="S585" s="68" t="str">
        <f>IF(AND(ISNUMBER($Q585),ISNUMBER($R585)),$Q585-$R585,"")</f>
        <v/>
      </c>
      <c r="T585" s="65" t="n"/>
      <c r="U585" s="64" t="n"/>
      <c r="V585" s="65" t="n"/>
      <c r="W585" s="63" t="n"/>
      <c r="X585" s="65" t="n"/>
      <c r="Y585" s="63" t="n"/>
      <c r="Z585" s="64" t="n"/>
      <c r="AA585" s="64" t="n"/>
      <c r="AB585" s="65" t="n"/>
      <c r="AC585" s="69" t="str">
        <f>IF(OR($G585="",NOT(ISNUMBER($K585)),$AK585=0),"",MAX(0,ReportDate-$K585))</f>
        <v/>
      </c>
      <c r="AD585" s="69" t="str">
        <f>IF($G585="","",IF($AL585=1,ReportDate-$L585,0))</f>
        <v/>
      </c>
      <c r="AE585" s="70" t="str">
        <f>IF($G585="","",IF($M585="Completed",1,IF(ISNUMBER($N585),$N585,0)))</f>
        <v/>
      </c>
      <c r="AF585" s="70" t="str">
        <f>IF(AND(ISNUMBER($Q585),ISNUMBER($R585)),IF($R585&lt;&gt;0,$Q585/$R585,""),"")</f>
        <v/>
      </c>
      <c r="AG585" s="71" t="str">
        <f>IF($G585="","",IF($AL585=1,"OVERDUE",IF($AM585=1,"BLOCKED",IF($AN585=1,"DUE TODAY",IF($AO585=1,"DUE TOMORROW",IF($AQ585=1,"HIGH PRIORITY",IF($AR585=1,"NO RECENT UPDATE",""))))))) </f>
        <v/>
      </c>
      <c r="AH585" s="71" t="str">
        <f>IF($G585="","",IF(ISNUMBER($A585),IF(ISNUMBER($A585),YEAR($A585)&amp;"-"&amp;TEXT(MONTH($A585),"00"),""),IF(ISNUMBER($L585),IF(ISNUMBER($L585),YEAR($L585)&amp;"-"&amp;TEXT(MONTH($L585),"00"),""),"")))</f>
        <v/>
      </c>
      <c r="AI585" s="71">
        <f>IF($G585="",0,IF(AND(OR(fClient="All",$C585=fClient),OR(fCampaign="All",$D585=fCampaign),OR(fTeam="All",$B585=fTeam),OR(fChannel="All",$F585=fChannel),OR(fMonth="All",$AH585=fMonth),OR(fTStatus="All",$M585=fTStatus)),1,0))</f>
        <v>0</v>
      </c>
      <c r="AJ585" s="71">
        <f>IF($G585="",0,IF(AND(OR(fClient="All",$C585=fClient),OR(fCampaign="All",$D585=fCampaign),OR(fTeam="All",$B585=fTeam),OR(fChannel="All",$F585=fChannel)),1,0))</f>
        <v>0</v>
      </c>
      <c r="AK585" s="71">
        <f>IF($G585="",0,IF(OR($M585="Completed",$M585="Cancelled"),0,1))</f>
        <v>0</v>
      </c>
      <c r="AL585" s="71">
        <f>IF(AND($AK585=1,ISNUMBER($L585)),IF($L585&lt;ReportDate,1,0),0)</f>
        <v>0</v>
      </c>
      <c r="AM585" s="71">
        <f>IF(AND($G585&lt;&gt;"",$M585="Blocked"),1,0)</f>
        <v>0</v>
      </c>
      <c r="AN585" s="71">
        <f>IF(AND($AK585=1,ISNUMBER($L585)),IF($L585=ReportDate,1,0),0)</f>
        <v>0</v>
      </c>
      <c r="AO585" s="71">
        <f>IF(AND($AK585=1,ISNUMBER($L585)),IF($L585=ReportDate+1,1,0),0)</f>
        <v>0</v>
      </c>
      <c r="AP585" s="71">
        <f>IF(AND($AK585=1,ISNUMBER($L585)),IF(AND($L585&gt;=ReportDate,$L585&lt;=ReportDate+DueSoonDays),1,0),0)</f>
        <v>0</v>
      </c>
      <c r="AQ585" s="71">
        <f>IF(AND($AK585=1,OR($I585="Critical",$I585="High")),1,0)</f>
        <v>0</v>
      </c>
      <c r="AR585" s="71">
        <f>IF($AK585=1,IF(ISNUMBER($Y585),IF(ReportDate-$Y585&gt;StaleDays,1,0),1),0)</f>
        <v>0</v>
      </c>
      <c r="AS585" s="71">
        <f>IF(AND($G585&lt;&gt;"",ISNUMBER($Q585),ISNUMBER($R585)),IF(AND($Q585&lt;$R585,OR($M585="Completed",AND(ISNUMBER($L585),$L585&lt;ReportDate))),1,0),0)</f>
        <v>0</v>
      </c>
      <c r="AT585" s="71">
        <f>IF($AK585=1,IF(OR($L585=ReportDate,$W585=ReportDate,$K585=ReportDate,$A585=ReportDate),1,0),0)</f>
        <v>0</v>
      </c>
      <c r="AU585" s="71">
        <f>IF($AK585=1,IF(OR($L585=ReportDate+1,$W585=ReportDate+1,$K585=ReportDate+1,$A585=ReportDate+1),1,0),0)</f>
        <v>0</v>
      </c>
      <c r="AV585" s="71">
        <f>IF(AND($G585&lt;&gt;"",$M585="Completed"),IF(OR($Y585=ReportDate-1,$A585=ReportDate-1),1,0),0)</f>
        <v>0</v>
      </c>
      <c r="AW585" s="71">
        <f>IF(AND($AK585=1,$Z585="Yes"),1,0)</f>
        <v>0</v>
      </c>
      <c r="AX585" s="71">
        <f>IF(AND($AK585=1,$AA585="Yes"),1,0)</f>
        <v>0</v>
      </c>
      <c r="AY585" s="71">
        <f>IF(AND($AM585=1,OR($I585="Critical",$I585="High")),1,0)</f>
        <v>0</v>
      </c>
      <c r="AZ585" s="71">
        <f>IF(AND($AK585=1,OR($C585=TCL_Client,$C585=MECCA_Client)),1,0)</f>
        <v>0</v>
      </c>
      <c r="BA585" s="71" t="str">
        <f>IF($G585="","",IFERROR(MATCH($I585,lst_Priority,0),5))</f>
        <v/>
      </c>
      <c r="BB585" s="71" t="str">
        <f>IF(AND($AL585=1,$AJ585=1),$BA585*100000+ROW(),"")</f>
        <v/>
      </c>
      <c r="BC585" s="71" t="str">
        <f>IF(AND($AM585=1,$AJ585=1),$BA585*100000+ROW(),"")</f>
        <v/>
      </c>
      <c r="BD585" s="71" t="str">
        <f>IF(AND($AP585=1,$AJ585=1),$BA585*100000+ROW(),"")</f>
        <v/>
      </c>
      <c r="BE585" s="71" t="str">
        <f>IF(AND($AT585=1,$AJ585=1),$BA585*100000+ROW(),"")</f>
        <v/>
      </c>
      <c r="BF585" s="71" t="str">
        <f>IF(AND($AU585=1,$AJ585=1),$BA585*100000+ROW(),"")</f>
        <v/>
      </c>
      <c r="BG585" s="71" t="str">
        <f>IF(AND($AV585=1,$AJ585=1),$BA585*100000+ROW(),"")</f>
        <v/>
      </c>
      <c r="BH585" s="71" t="str">
        <f>IF(AND($AW585=1,$AJ585=1),$BA585*100000+ROW(),"")</f>
        <v/>
      </c>
      <c r="BI585" s="71" t="str">
        <f>IF(AND($AX585=1,$AJ585=1),$BA585*100000+ROW(),"")</f>
        <v/>
      </c>
      <c r="BJ585" s="71" t="str">
        <f>IF(AND($AS585=1,$AJ585=1),$BA585*100000+ROW(),"")</f>
        <v/>
      </c>
      <c r="BK585" s="71" t="str">
        <f>IF(AND($AY585=1,$AJ585=1),$BA585*100000+ROW(),"")</f>
        <v/>
      </c>
      <c r="BL585" s="71" t="str">
        <f>IF(AND($AZ585=1),$BA585*100000+ROW(),"")</f>
        <v/>
      </c>
    </row>
    <row r="586">
      <c r="A586" s="63" t="n"/>
      <c r="B586" s="64" t="n"/>
      <c r="C586" s="64" t="n"/>
      <c r="D586" s="64" t="n"/>
      <c r="E586" s="64" t="n"/>
      <c r="F586" s="64" t="n"/>
      <c r="G586" s="65" t="n"/>
      <c r="H586" s="65" t="n"/>
      <c r="I586" s="64" t="n"/>
      <c r="J586" s="64" t="n"/>
      <c r="K586" s="63" t="n"/>
      <c r="L586" s="63" t="n"/>
      <c r="M586" s="64" t="n"/>
      <c r="N586" s="66" t="n"/>
      <c r="O586" s="65" t="n"/>
      <c r="P586" s="64" t="n"/>
      <c r="Q586" s="67" t="n"/>
      <c r="R586" s="67" t="n"/>
      <c r="S586" s="68" t="str">
        <f>IF(AND(ISNUMBER($Q586),ISNUMBER($R586)),$Q586-$R586,"")</f>
        <v/>
      </c>
      <c r="T586" s="65" t="n"/>
      <c r="U586" s="64" t="n"/>
      <c r="V586" s="65" t="n"/>
      <c r="W586" s="63" t="n"/>
      <c r="X586" s="65" t="n"/>
      <c r="Y586" s="63" t="n"/>
      <c r="Z586" s="64" t="n"/>
      <c r="AA586" s="64" t="n"/>
      <c r="AB586" s="65" t="n"/>
      <c r="AC586" s="69" t="str">
        <f>IF(OR($G586="",NOT(ISNUMBER($K586)),$AK586=0),"",MAX(0,ReportDate-$K586))</f>
        <v/>
      </c>
      <c r="AD586" s="69" t="str">
        <f>IF($G586="","",IF($AL586=1,ReportDate-$L586,0))</f>
        <v/>
      </c>
      <c r="AE586" s="70" t="str">
        <f>IF($G586="","",IF($M586="Completed",1,IF(ISNUMBER($N586),$N586,0)))</f>
        <v/>
      </c>
      <c r="AF586" s="70" t="str">
        <f>IF(AND(ISNUMBER($Q586),ISNUMBER($R586)),IF($R586&lt;&gt;0,$Q586/$R586,""),"")</f>
        <v/>
      </c>
      <c r="AG586" s="71" t="str">
        <f>IF($G586="","",IF($AL586=1,"OVERDUE",IF($AM586=1,"BLOCKED",IF($AN586=1,"DUE TODAY",IF($AO586=1,"DUE TOMORROW",IF($AQ586=1,"HIGH PRIORITY",IF($AR586=1,"NO RECENT UPDATE",""))))))) </f>
        <v/>
      </c>
      <c r="AH586" s="71" t="str">
        <f>IF($G586="","",IF(ISNUMBER($A586),IF(ISNUMBER($A586),YEAR($A586)&amp;"-"&amp;TEXT(MONTH($A586),"00"),""),IF(ISNUMBER($L586),IF(ISNUMBER($L586),YEAR($L586)&amp;"-"&amp;TEXT(MONTH($L586),"00"),""),"")))</f>
        <v/>
      </c>
      <c r="AI586" s="71">
        <f>IF($G586="",0,IF(AND(OR(fClient="All",$C586=fClient),OR(fCampaign="All",$D586=fCampaign),OR(fTeam="All",$B586=fTeam),OR(fChannel="All",$F586=fChannel),OR(fMonth="All",$AH586=fMonth),OR(fTStatus="All",$M586=fTStatus)),1,0))</f>
        <v>0</v>
      </c>
      <c r="AJ586" s="71">
        <f>IF($G586="",0,IF(AND(OR(fClient="All",$C586=fClient),OR(fCampaign="All",$D586=fCampaign),OR(fTeam="All",$B586=fTeam),OR(fChannel="All",$F586=fChannel)),1,0))</f>
        <v>0</v>
      </c>
      <c r="AK586" s="71">
        <f>IF($G586="",0,IF(OR($M586="Completed",$M586="Cancelled"),0,1))</f>
        <v>0</v>
      </c>
      <c r="AL586" s="71">
        <f>IF(AND($AK586=1,ISNUMBER($L586)),IF($L586&lt;ReportDate,1,0),0)</f>
        <v>0</v>
      </c>
      <c r="AM586" s="71">
        <f>IF(AND($G586&lt;&gt;"",$M586="Blocked"),1,0)</f>
        <v>0</v>
      </c>
      <c r="AN586" s="71">
        <f>IF(AND($AK586=1,ISNUMBER($L586)),IF($L586=ReportDate,1,0),0)</f>
        <v>0</v>
      </c>
      <c r="AO586" s="71">
        <f>IF(AND($AK586=1,ISNUMBER($L586)),IF($L586=ReportDate+1,1,0),0)</f>
        <v>0</v>
      </c>
      <c r="AP586" s="71">
        <f>IF(AND($AK586=1,ISNUMBER($L586)),IF(AND($L586&gt;=ReportDate,$L586&lt;=ReportDate+DueSoonDays),1,0),0)</f>
        <v>0</v>
      </c>
      <c r="AQ586" s="71">
        <f>IF(AND($AK586=1,OR($I586="Critical",$I586="High")),1,0)</f>
        <v>0</v>
      </c>
      <c r="AR586" s="71">
        <f>IF($AK586=1,IF(ISNUMBER($Y586),IF(ReportDate-$Y586&gt;StaleDays,1,0),1),0)</f>
        <v>0</v>
      </c>
      <c r="AS586" s="71">
        <f>IF(AND($G586&lt;&gt;"",ISNUMBER($Q586),ISNUMBER($R586)),IF(AND($Q586&lt;$R586,OR($M586="Completed",AND(ISNUMBER($L586),$L586&lt;ReportDate))),1,0),0)</f>
        <v>0</v>
      </c>
      <c r="AT586" s="71">
        <f>IF($AK586=1,IF(OR($L586=ReportDate,$W586=ReportDate,$K586=ReportDate,$A586=ReportDate),1,0),0)</f>
        <v>0</v>
      </c>
      <c r="AU586" s="71">
        <f>IF($AK586=1,IF(OR($L586=ReportDate+1,$W586=ReportDate+1,$K586=ReportDate+1,$A586=ReportDate+1),1,0),0)</f>
        <v>0</v>
      </c>
      <c r="AV586" s="71">
        <f>IF(AND($G586&lt;&gt;"",$M586="Completed"),IF(OR($Y586=ReportDate-1,$A586=ReportDate-1),1,0),0)</f>
        <v>0</v>
      </c>
      <c r="AW586" s="71">
        <f>IF(AND($AK586=1,$Z586="Yes"),1,0)</f>
        <v>0</v>
      </c>
      <c r="AX586" s="71">
        <f>IF(AND($AK586=1,$AA586="Yes"),1,0)</f>
        <v>0</v>
      </c>
      <c r="AY586" s="71">
        <f>IF(AND($AM586=1,OR($I586="Critical",$I586="High")),1,0)</f>
        <v>0</v>
      </c>
      <c r="AZ586" s="71">
        <f>IF(AND($AK586=1,OR($C586=TCL_Client,$C586=MECCA_Client)),1,0)</f>
        <v>0</v>
      </c>
      <c r="BA586" s="71" t="str">
        <f>IF($G586="","",IFERROR(MATCH($I586,lst_Priority,0),5))</f>
        <v/>
      </c>
      <c r="BB586" s="71" t="str">
        <f>IF(AND($AL586=1,$AJ586=1),$BA586*100000+ROW(),"")</f>
        <v/>
      </c>
      <c r="BC586" s="71" t="str">
        <f>IF(AND($AM586=1,$AJ586=1),$BA586*100000+ROW(),"")</f>
        <v/>
      </c>
      <c r="BD586" s="71" t="str">
        <f>IF(AND($AP586=1,$AJ586=1),$BA586*100000+ROW(),"")</f>
        <v/>
      </c>
      <c r="BE586" s="71" t="str">
        <f>IF(AND($AT586=1,$AJ586=1),$BA586*100000+ROW(),"")</f>
        <v/>
      </c>
      <c r="BF586" s="71" t="str">
        <f>IF(AND($AU586=1,$AJ586=1),$BA586*100000+ROW(),"")</f>
        <v/>
      </c>
      <c r="BG586" s="71" t="str">
        <f>IF(AND($AV586=1,$AJ586=1),$BA586*100000+ROW(),"")</f>
        <v/>
      </c>
      <c r="BH586" s="71" t="str">
        <f>IF(AND($AW586=1,$AJ586=1),$BA586*100000+ROW(),"")</f>
        <v/>
      </c>
      <c r="BI586" s="71" t="str">
        <f>IF(AND($AX586=1,$AJ586=1),$BA586*100000+ROW(),"")</f>
        <v/>
      </c>
      <c r="BJ586" s="71" t="str">
        <f>IF(AND($AS586=1,$AJ586=1),$BA586*100000+ROW(),"")</f>
        <v/>
      </c>
      <c r="BK586" s="71" t="str">
        <f>IF(AND($AY586=1,$AJ586=1),$BA586*100000+ROW(),"")</f>
        <v/>
      </c>
      <c r="BL586" s="71" t="str">
        <f>IF(AND($AZ586=1),$BA586*100000+ROW(),"")</f>
        <v/>
      </c>
    </row>
    <row r="587">
      <c r="A587" s="63" t="n"/>
      <c r="B587" s="64" t="n"/>
      <c r="C587" s="64" t="n"/>
      <c r="D587" s="64" t="n"/>
      <c r="E587" s="64" t="n"/>
      <c r="F587" s="64" t="n"/>
      <c r="G587" s="65" t="n"/>
      <c r="H587" s="65" t="n"/>
      <c r="I587" s="64" t="n"/>
      <c r="J587" s="64" t="n"/>
      <c r="K587" s="63" t="n"/>
      <c r="L587" s="63" t="n"/>
      <c r="M587" s="64" t="n"/>
      <c r="N587" s="66" t="n"/>
      <c r="O587" s="65" t="n"/>
      <c r="P587" s="64" t="n"/>
      <c r="Q587" s="67" t="n"/>
      <c r="R587" s="67" t="n"/>
      <c r="S587" s="68" t="str">
        <f>IF(AND(ISNUMBER($Q587),ISNUMBER($R587)),$Q587-$R587,"")</f>
        <v/>
      </c>
      <c r="T587" s="65" t="n"/>
      <c r="U587" s="64" t="n"/>
      <c r="V587" s="65" t="n"/>
      <c r="W587" s="63" t="n"/>
      <c r="X587" s="65" t="n"/>
      <c r="Y587" s="63" t="n"/>
      <c r="Z587" s="64" t="n"/>
      <c r="AA587" s="64" t="n"/>
      <c r="AB587" s="65" t="n"/>
      <c r="AC587" s="69" t="str">
        <f>IF(OR($G587="",NOT(ISNUMBER($K587)),$AK587=0),"",MAX(0,ReportDate-$K587))</f>
        <v/>
      </c>
      <c r="AD587" s="69" t="str">
        <f>IF($G587="","",IF($AL587=1,ReportDate-$L587,0))</f>
        <v/>
      </c>
      <c r="AE587" s="70" t="str">
        <f>IF($G587="","",IF($M587="Completed",1,IF(ISNUMBER($N587),$N587,0)))</f>
        <v/>
      </c>
      <c r="AF587" s="70" t="str">
        <f>IF(AND(ISNUMBER($Q587),ISNUMBER($R587)),IF($R587&lt;&gt;0,$Q587/$R587,""),"")</f>
        <v/>
      </c>
      <c r="AG587" s="71" t="str">
        <f>IF($G587="","",IF($AL587=1,"OVERDUE",IF($AM587=1,"BLOCKED",IF($AN587=1,"DUE TODAY",IF($AO587=1,"DUE TOMORROW",IF($AQ587=1,"HIGH PRIORITY",IF($AR587=1,"NO RECENT UPDATE",""))))))) </f>
        <v/>
      </c>
      <c r="AH587" s="71" t="str">
        <f>IF($G587="","",IF(ISNUMBER($A587),IF(ISNUMBER($A587),YEAR($A587)&amp;"-"&amp;TEXT(MONTH($A587),"00"),""),IF(ISNUMBER($L587),IF(ISNUMBER($L587),YEAR($L587)&amp;"-"&amp;TEXT(MONTH($L587),"00"),""),"")))</f>
        <v/>
      </c>
      <c r="AI587" s="71">
        <f>IF($G587="",0,IF(AND(OR(fClient="All",$C587=fClient),OR(fCampaign="All",$D587=fCampaign),OR(fTeam="All",$B587=fTeam),OR(fChannel="All",$F587=fChannel),OR(fMonth="All",$AH587=fMonth),OR(fTStatus="All",$M587=fTStatus)),1,0))</f>
        <v>0</v>
      </c>
      <c r="AJ587" s="71">
        <f>IF($G587="",0,IF(AND(OR(fClient="All",$C587=fClient),OR(fCampaign="All",$D587=fCampaign),OR(fTeam="All",$B587=fTeam),OR(fChannel="All",$F587=fChannel)),1,0))</f>
        <v>0</v>
      </c>
      <c r="AK587" s="71">
        <f>IF($G587="",0,IF(OR($M587="Completed",$M587="Cancelled"),0,1))</f>
        <v>0</v>
      </c>
      <c r="AL587" s="71">
        <f>IF(AND($AK587=1,ISNUMBER($L587)),IF($L587&lt;ReportDate,1,0),0)</f>
        <v>0</v>
      </c>
      <c r="AM587" s="71">
        <f>IF(AND($G587&lt;&gt;"",$M587="Blocked"),1,0)</f>
        <v>0</v>
      </c>
      <c r="AN587" s="71">
        <f>IF(AND($AK587=1,ISNUMBER($L587)),IF($L587=ReportDate,1,0),0)</f>
        <v>0</v>
      </c>
      <c r="AO587" s="71">
        <f>IF(AND($AK587=1,ISNUMBER($L587)),IF($L587=ReportDate+1,1,0),0)</f>
        <v>0</v>
      </c>
      <c r="AP587" s="71">
        <f>IF(AND($AK587=1,ISNUMBER($L587)),IF(AND($L587&gt;=ReportDate,$L587&lt;=ReportDate+DueSoonDays),1,0),0)</f>
        <v>0</v>
      </c>
      <c r="AQ587" s="71">
        <f>IF(AND($AK587=1,OR($I587="Critical",$I587="High")),1,0)</f>
        <v>0</v>
      </c>
      <c r="AR587" s="71">
        <f>IF($AK587=1,IF(ISNUMBER($Y587),IF(ReportDate-$Y587&gt;StaleDays,1,0),1),0)</f>
        <v>0</v>
      </c>
      <c r="AS587" s="71">
        <f>IF(AND($G587&lt;&gt;"",ISNUMBER($Q587),ISNUMBER($R587)),IF(AND($Q587&lt;$R587,OR($M587="Completed",AND(ISNUMBER($L587),$L587&lt;ReportDate))),1,0),0)</f>
        <v>0</v>
      </c>
      <c r="AT587" s="71">
        <f>IF($AK587=1,IF(OR($L587=ReportDate,$W587=ReportDate,$K587=ReportDate,$A587=ReportDate),1,0),0)</f>
        <v>0</v>
      </c>
      <c r="AU587" s="71">
        <f>IF($AK587=1,IF(OR($L587=ReportDate+1,$W587=ReportDate+1,$K587=ReportDate+1,$A587=ReportDate+1),1,0),0)</f>
        <v>0</v>
      </c>
      <c r="AV587" s="71">
        <f>IF(AND($G587&lt;&gt;"",$M587="Completed"),IF(OR($Y587=ReportDate-1,$A587=ReportDate-1),1,0),0)</f>
        <v>0</v>
      </c>
      <c r="AW587" s="71">
        <f>IF(AND($AK587=1,$Z587="Yes"),1,0)</f>
        <v>0</v>
      </c>
      <c r="AX587" s="71">
        <f>IF(AND($AK587=1,$AA587="Yes"),1,0)</f>
        <v>0</v>
      </c>
      <c r="AY587" s="71">
        <f>IF(AND($AM587=1,OR($I587="Critical",$I587="High")),1,0)</f>
        <v>0</v>
      </c>
      <c r="AZ587" s="71">
        <f>IF(AND($AK587=1,OR($C587=TCL_Client,$C587=MECCA_Client)),1,0)</f>
        <v>0</v>
      </c>
      <c r="BA587" s="71" t="str">
        <f>IF($G587="","",IFERROR(MATCH($I587,lst_Priority,0),5))</f>
        <v/>
      </c>
      <c r="BB587" s="71" t="str">
        <f>IF(AND($AL587=1,$AJ587=1),$BA587*100000+ROW(),"")</f>
        <v/>
      </c>
      <c r="BC587" s="71" t="str">
        <f>IF(AND($AM587=1,$AJ587=1),$BA587*100000+ROW(),"")</f>
        <v/>
      </c>
      <c r="BD587" s="71" t="str">
        <f>IF(AND($AP587=1,$AJ587=1),$BA587*100000+ROW(),"")</f>
        <v/>
      </c>
      <c r="BE587" s="71" t="str">
        <f>IF(AND($AT587=1,$AJ587=1),$BA587*100000+ROW(),"")</f>
        <v/>
      </c>
      <c r="BF587" s="71" t="str">
        <f>IF(AND($AU587=1,$AJ587=1),$BA587*100000+ROW(),"")</f>
        <v/>
      </c>
      <c r="BG587" s="71" t="str">
        <f>IF(AND($AV587=1,$AJ587=1),$BA587*100000+ROW(),"")</f>
        <v/>
      </c>
      <c r="BH587" s="71" t="str">
        <f>IF(AND($AW587=1,$AJ587=1),$BA587*100000+ROW(),"")</f>
        <v/>
      </c>
      <c r="BI587" s="71" t="str">
        <f>IF(AND($AX587=1,$AJ587=1),$BA587*100000+ROW(),"")</f>
        <v/>
      </c>
      <c r="BJ587" s="71" t="str">
        <f>IF(AND($AS587=1,$AJ587=1),$BA587*100000+ROW(),"")</f>
        <v/>
      </c>
      <c r="BK587" s="71" t="str">
        <f>IF(AND($AY587=1,$AJ587=1),$BA587*100000+ROW(),"")</f>
        <v/>
      </c>
      <c r="BL587" s="71" t="str">
        <f>IF(AND($AZ587=1),$BA587*100000+ROW(),"")</f>
        <v/>
      </c>
    </row>
    <row r="588">
      <c r="A588" s="63" t="n"/>
      <c r="B588" s="64" t="n"/>
      <c r="C588" s="64" t="n"/>
      <c r="D588" s="64" t="n"/>
      <c r="E588" s="64" t="n"/>
      <c r="F588" s="64" t="n"/>
      <c r="G588" s="65" t="n"/>
      <c r="H588" s="65" t="n"/>
      <c r="I588" s="64" t="n"/>
      <c r="J588" s="64" t="n"/>
      <c r="K588" s="63" t="n"/>
      <c r="L588" s="63" t="n"/>
      <c r="M588" s="64" t="n"/>
      <c r="N588" s="66" t="n"/>
      <c r="O588" s="65" t="n"/>
      <c r="P588" s="64" t="n"/>
      <c r="Q588" s="67" t="n"/>
      <c r="R588" s="67" t="n"/>
      <c r="S588" s="68" t="str">
        <f>IF(AND(ISNUMBER($Q588),ISNUMBER($R588)),$Q588-$R588,"")</f>
        <v/>
      </c>
      <c r="T588" s="65" t="n"/>
      <c r="U588" s="64" t="n"/>
      <c r="V588" s="65" t="n"/>
      <c r="W588" s="63" t="n"/>
      <c r="X588" s="65" t="n"/>
      <c r="Y588" s="63" t="n"/>
      <c r="Z588" s="64" t="n"/>
      <c r="AA588" s="64" t="n"/>
      <c r="AB588" s="65" t="n"/>
      <c r="AC588" s="69" t="str">
        <f>IF(OR($G588="",NOT(ISNUMBER($K588)),$AK588=0),"",MAX(0,ReportDate-$K588))</f>
        <v/>
      </c>
      <c r="AD588" s="69" t="str">
        <f>IF($G588="","",IF($AL588=1,ReportDate-$L588,0))</f>
        <v/>
      </c>
      <c r="AE588" s="70" t="str">
        <f>IF($G588="","",IF($M588="Completed",1,IF(ISNUMBER($N588),$N588,0)))</f>
        <v/>
      </c>
      <c r="AF588" s="70" t="str">
        <f>IF(AND(ISNUMBER($Q588),ISNUMBER($R588)),IF($R588&lt;&gt;0,$Q588/$R588,""),"")</f>
        <v/>
      </c>
      <c r="AG588" s="71" t="str">
        <f>IF($G588="","",IF($AL588=1,"OVERDUE",IF($AM588=1,"BLOCKED",IF($AN588=1,"DUE TODAY",IF($AO588=1,"DUE TOMORROW",IF($AQ588=1,"HIGH PRIORITY",IF($AR588=1,"NO RECENT UPDATE",""))))))) </f>
        <v/>
      </c>
      <c r="AH588" s="71" t="str">
        <f>IF($G588="","",IF(ISNUMBER($A588),IF(ISNUMBER($A588),YEAR($A588)&amp;"-"&amp;TEXT(MONTH($A588),"00"),""),IF(ISNUMBER($L588),IF(ISNUMBER($L588),YEAR($L588)&amp;"-"&amp;TEXT(MONTH($L588),"00"),""),"")))</f>
        <v/>
      </c>
      <c r="AI588" s="71">
        <f>IF($G588="",0,IF(AND(OR(fClient="All",$C588=fClient),OR(fCampaign="All",$D588=fCampaign),OR(fTeam="All",$B588=fTeam),OR(fChannel="All",$F588=fChannel),OR(fMonth="All",$AH588=fMonth),OR(fTStatus="All",$M588=fTStatus)),1,0))</f>
        <v>0</v>
      </c>
      <c r="AJ588" s="71">
        <f>IF($G588="",0,IF(AND(OR(fClient="All",$C588=fClient),OR(fCampaign="All",$D588=fCampaign),OR(fTeam="All",$B588=fTeam),OR(fChannel="All",$F588=fChannel)),1,0))</f>
        <v>0</v>
      </c>
      <c r="AK588" s="71">
        <f>IF($G588="",0,IF(OR($M588="Completed",$M588="Cancelled"),0,1))</f>
        <v>0</v>
      </c>
      <c r="AL588" s="71">
        <f>IF(AND($AK588=1,ISNUMBER($L588)),IF($L588&lt;ReportDate,1,0),0)</f>
        <v>0</v>
      </c>
      <c r="AM588" s="71">
        <f>IF(AND($G588&lt;&gt;"",$M588="Blocked"),1,0)</f>
        <v>0</v>
      </c>
      <c r="AN588" s="71">
        <f>IF(AND($AK588=1,ISNUMBER($L588)),IF($L588=ReportDate,1,0),0)</f>
        <v>0</v>
      </c>
      <c r="AO588" s="71">
        <f>IF(AND($AK588=1,ISNUMBER($L588)),IF($L588=ReportDate+1,1,0),0)</f>
        <v>0</v>
      </c>
      <c r="AP588" s="71">
        <f>IF(AND($AK588=1,ISNUMBER($L588)),IF(AND($L588&gt;=ReportDate,$L588&lt;=ReportDate+DueSoonDays),1,0),0)</f>
        <v>0</v>
      </c>
      <c r="AQ588" s="71">
        <f>IF(AND($AK588=1,OR($I588="Critical",$I588="High")),1,0)</f>
        <v>0</v>
      </c>
      <c r="AR588" s="71">
        <f>IF($AK588=1,IF(ISNUMBER($Y588),IF(ReportDate-$Y588&gt;StaleDays,1,0),1),0)</f>
        <v>0</v>
      </c>
      <c r="AS588" s="71">
        <f>IF(AND($G588&lt;&gt;"",ISNUMBER($Q588),ISNUMBER($R588)),IF(AND($Q588&lt;$R588,OR($M588="Completed",AND(ISNUMBER($L588),$L588&lt;ReportDate))),1,0),0)</f>
        <v>0</v>
      </c>
      <c r="AT588" s="71">
        <f>IF($AK588=1,IF(OR($L588=ReportDate,$W588=ReportDate,$K588=ReportDate,$A588=ReportDate),1,0),0)</f>
        <v>0</v>
      </c>
      <c r="AU588" s="71">
        <f>IF($AK588=1,IF(OR($L588=ReportDate+1,$W588=ReportDate+1,$K588=ReportDate+1,$A588=ReportDate+1),1,0),0)</f>
        <v>0</v>
      </c>
      <c r="AV588" s="71">
        <f>IF(AND($G588&lt;&gt;"",$M588="Completed"),IF(OR($Y588=ReportDate-1,$A588=ReportDate-1),1,0),0)</f>
        <v>0</v>
      </c>
      <c r="AW588" s="71">
        <f>IF(AND($AK588=1,$Z588="Yes"),1,0)</f>
        <v>0</v>
      </c>
      <c r="AX588" s="71">
        <f>IF(AND($AK588=1,$AA588="Yes"),1,0)</f>
        <v>0</v>
      </c>
      <c r="AY588" s="71">
        <f>IF(AND($AM588=1,OR($I588="Critical",$I588="High")),1,0)</f>
        <v>0</v>
      </c>
      <c r="AZ588" s="71">
        <f>IF(AND($AK588=1,OR($C588=TCL_Client,$C588=MECCA_Client)),1,0)</f>
        <v>0</v>
      </c>
      <c r="BA588" s="71" t="str">
        <f>IF($G588="","",IFERROR(MATCH($I588,lst_Priority,0),5))</f>
        <v/>
      </c>
      <c r="BB588" s="71" t="str">
        <f>IF(AND($AL588=1,$AJ588=1),$BA588*100000+ROW(),"")</f>
        <v/>
      </c>
      <c r="BC588" s="71" t="str">
        <f>IF(AND($AM588=1,$AJ588=1),$BA588*100000+ROW(),"")</f>
        <v/>
      </c>
      <c r="BD588" s="71" t="str">
        <f>IF(AND($AP588=1,$AJ588=1),$BA588*100000+ROW(),"")</f>
        <v/>
      </c>
      <c r="BE588" s="71" t="str">
        <f>IF(AND($AT588=1,$AJ588=1),$BA588*100000+ROW(),"")</f>
        <v/>
      </c>
      <c r="BF588" s="71" t="str">
        <f>IF(AND($AU588=1,$AJ588=1),$BA588*100000+ROW(),"")</f>
        <v/>
      </c>
      <c r="BG588" s="71" t="str">
        <f>IF(AND($AV588=1,$AJ588=1),$BA588*100000+ROW(),"")</f>
        <v/>
      </c>
      <c r="BH588" s="71" t="str">
        <f>IF(AND($AW588=1,$AJ588=1),$BA588*100000+ROW(),"")</f>
        <v/>
      </c>
      <c r="BI588" s="71" t="str">
        <f>IF(AND($AX588=1,$AJ588=1),$BA588*100000+ROW(),"")</f>
        <v/>
      </c>
      <c r="BJ588" s="71" t="str">
        <f>IF(AND($AS588=1,$AJ588=1),$BA588*100000+ROW(),"")</f>
        <v/>
      </c>
      <c r="BK588" s="71" t="str">
        <f>IF(AND($AY588=1,$AJ588=1),$BA588*100000+ROW(),"")</f>
        <v/>
      </c>
      <c r="BL588" s="71" t="str">
        <f>IF(AND($AZ588=1),$BA588*100000+ROW(),"")</f>
        <v/>
      </c>
    </row>
    <row r="589">
      <c r="A589" s="63" t="n"/>
      <c r="B589" s="64" t="n"/>
      <c r="C589" s="64" t="n"/>
      <c r="D589" s="64" t="n"/>
      <c r="E589" s="64" t="n"/>
      <c r="F589" s="64" t="n"/>
      <c r="G589" s="65" t="n"/>
      <c r="H589" s="65" t="n"/>
      <c r="I589" s="64" t="n"/>
      <c r="J589" s="64" t="n"/>
      <c r="K589" s="63" t="n"/>
      <c r="L589" s="63" t="n"/>
      <c r="M589" s="64" t="n"/>
      <c r="N589" s="66" t="n"/>
      <c r="O589" s="65" t="n"/>
      <c r="P589" s="64" t="n"/>
      <c r="Q589" s="67" t="n"/>
      <c r="R589" s="67" t="n"/>
      <c r="S589" s="68" t="str">
        <f>IF(AND(ISNUMBER($Q589),ISNUMBER($R589)),$Q589-$R589,"")</f>
        <v/>
      </c>
      <c r="T589" s="65" t="n"/>
      <c r="U589" s="64" t="n"/>
      <c r="V589" s="65" t="n"/>
      <c r="W589" s="63" t="n"/>
      <c r="X589" s="65" t="n"/>
      <c r="Y589" s="63" t="n"/>
      <c r="Z589" s="64" t="n"/>
      <c r="AA589" s="64" t="n"/>
      <c r="AB589" s="65" t="n"/>
      <c r="AC589" s="69" t="str">
        <f>IF(OR($G589="",NOT(ISNUMBER($K589)),$AK589=0),"",MAX(0,ReportDate-$K589))</f>
        <v/>
      </c>
      <c r="AD589" s="69" t="str">
        <f>IF($G589="","",IF($AL589=1,ReportDate-$L589,0))</f>
        <v/>
      </c>
      <c r="AE589" s="70" t="str">
        <f>IF($G589="","",IF($M589="Completed",1,IF(ISNUMBER($N589),$N589,0)))</f>
        <v/>
      </c>
      <c r="AF589" s="70" t="str">
        <f>IF(AND(ISNUMBER($Q589),ISNUMBER($R589)),IF($R589&lt;&gt;0,$Q589/$R589,""),"")</f>
        <v/>
      </c>
      <c r="AG589" s="71" t="str">
        <f>IF($G589="","",IF($AL589=1,"OVERDUE",IF($AM589=1,"BLOCKED",IF($AN589=1,"DUE TODAY",IF($AO589=1,"DUE TOMORROW",IF($AQ589=1,"HIGH PRIORITY",IF($AR589=1,"NO RECENT UPDATE",""))))))) </f>
        <v/>
      </c>
      <c r="AH589" s="71" t="str">
        <f>IF($G589="","",IF(ISNUMBER($A589),IF(ISNUMBER($A589),YEAR($A589)&amp;"-"&amp;TEXT(MONTH($A589),"00"),""),IF(ISNUMBER($L589),IF(ISNUMBER($L589),YEAR($L589)&amp;"-"&amp;TEXT(MONTH($L589),"00"),""),"")))</f>
        <v/>
      </c>
      <c r="AI589" s="71">
        <f>IF($G589="",0,IF(AND(OR(fClient="All",$C589=fClient),OR(fCampaign="All",$D589=fCampaign),OR(fTeam="All",$B589=fTeam),OR(fChannel="All",$F589=fChannel),OR(fMonth="All",$AH589=fMonth),OR(fTStatus="All",$M589=fTStatus)),1,0))</f>
        <v>0</v>
      </c>
      <c r="AJ589" s="71">
        <f>IF($G589="",0,IF(AND(OR(fClient="All",$C589=fClient),OR(fCampaign="All",$D589=fCampaign),OR(fTeam="All",$B589=fTeam),OR(fChannel="All",$F589=fChannel)),1,0))</f>
        <v>0</v>
      </c>
      <c r="AK589" s="71">
        <f>IF($G589="",0,IF(OR($M589="Completed",$M589="Cancelled"),0,1))</f>
        <v>0</v>
      </c>
      <c r="AL589" s="71">
        <f>IF(AND($AK589=1,ISNUMBER($L589)),IF($L589&lt;ReportDate,1,0),0)</f>
        <v>0</v>
      </c>
      <c r="AM589" s="71">
        <f>IF(AND($G589&lt;&gt;"",$M589="Blocked"),1,0)</f>
        <v>0</v>
      </c>
      <c r="AN589" s="71">
        <f>IF(AND($AK589=1,ISNUMBER($L589)),IF($L589=ReportDate,1,0),0)</f>
        <v>0</v>
      </c>
      <c r="AO589" s="71">
        <f>IF(AND($AK589=1,ISNUMBER($L589)),IF($L589=ReportDate+1,1,0),0)</f>
        <v>0</v>
      </c>
      <c r="AP589" s="71">
        <f>IF(AND($AK589=1,ISNUMBER($L589)),IF(AND($L589&gt;=ReportDate,$L589&lt;=ReportDate+DueSoonDays),1,0),0)</f>
        <v>0</v>
      </c>
      <c r="AQ589" s="71">
        <f>IF(AND($AK589=1,OR($I589="Critical",$I589="High")),1,0)</f>
        <v>0</v>
      </c>
      <c r="AR589" s="71">
        <f>IF($AK589=1,IF(ISNUMBER($Y589),IF(ReportDate-$Y589&gt;StaleDays,1,0),1),0)</f>
        <v>0</v>
      </c>
      <c r="AS589" s="71">
        <f>IF(AND($G589&lt;&gt;"",ISNUMBER($Q589),ISNUMBER($R589)),IF(AND($Q589&lt;$R589,OR($M589="Completed",AND(ISNUMBER($L589),$L589&lt;ReportDate))),1,0),0)</f>
        <v>0</v>
      </c>
      <c r="AT589" s="71">
        <f>IF($AK589=1,IF(OR($L589=ReportDate,$W589=ReportDate,$K589=ReportDate,$A589=ReportDate),1,0),0)</f>
        <v>0</v>
      </c>
      <c r="AU589" s="71">
        <f>IF($AK589=1,IF(OR($L589=ReportDate+1,$W589=ReportDate+1,$K589=ReportDate+1,$A589=ReportDate+1),1,0),0)</f>
        <v>0</v>
      </c>
      <c r="AV589" s="71">
        <f>IF(AND($G589&lt;&gt;"",$M589="Completed"),IF(OR($Y589=ReportDate-1,$A589=ReportDate-1),1,0),0)</f>
        <v>0</v>
      </c>
      <c r="AW589" s="71">
        <f>IF(AND($AK589=1,$Z589="Yes"),1,0)</f>
        <v>0</v>
      </c>
      <c r="AX589" s="71">
        <f>IF(AND($AK589=1,$AA589="Yes"),1,0)</f>
        <v>0</v>
      </c>
      <c r="AY589" s="71">
        <f>IF(AND($AM589=1,OR($I589="Critical",$I589="High")),1,0)</f>
        <v>0</v>
      </c>
      <c r="AZ589" s="71">
        <f>IF(AND($AK589=1,OR($C589=TCL_Client,$C589=MECCA_Client)),1,0)</f>
        <v>0</v>
      </c>
      <c r="BA589" s="71" t="str">
        <f>IF($G589="","",IFERROR(MATCH($I589,lst_Priority,0),5))</f>
        <v/>
      </c>
      <c r="BB589" s="71" t="str">
        <f>IF(AND($AL589=1,$AJ589=1),$BA589*100000+ROW(),"")</f>
        <v/>
      </c>
      <c r="BC589" s="71" t="str">
        <f>IF(AND($AM589=1,$AJ589=1),$BA589*100000+ROW(),"")</f>
        <v/>
      </c>
      <c r="BD589" s="71" t="str">
        <f>IF(AND($AP589=1,$AJ589=1),$BA589*100000+ROW(),"")</f>
        <v/>
      </c>
      <c r="BE589" s="71" t="str">
        <f>IF(AND($AT589=1,$AJ589=1),$BA589*100000+ROW(),"")</f>
        <v/>
      </c>
      <c r="BF589" s="71" t="str">
        <f>IF(AND($AU589=1,$AJ589=1),$BA589*100000+ROW(),"")</f>
        <v/>
      </c>
      <c r="BG589" s="71" t="str">
        <f>IF(AND($AV589=1,$AJ589=1),$BA589*100000+ROW(),"")</f>
        <v/>
      </c>
      <c r="BH589" s="71" t="str">
        <f>IF(AND($AW589=1,$AJ589=1),$BA589*100000+ROW(),"")</f>
        <v/>
      </c>
      <c r="BI589" s="71" t="str">
        <f>IF(AND($AX589=1,$AJ589=1),$BA589*100000+ROW(),"")</f>
        <v/>
      </c>
      <c r="BJ589" s="71" t="str">
        <f>IF(AND($AS589=1,$AJ589=1),$BA589*100000+ROW(),"")</f>
        <v/>
      </c>
      <c r="BK589" s="71" t="str">
        <f>IF(AND($AY589=1,$AJ589=1),$BA589*100000+ROW(),"")</f>
        <v/>
      </c>
      <c r="BL589" s="71" t="str">
        <f>IF(AND($AZ589=1),$BA589*100000+ROW(),"")</f>
        <v/>
      </c>
    </row>
    <row r="590">
      <c r="A590" s="63" t="n"/>
      <c r="B590" s="64" t="n"/>
      <c r="C590" s="64" t="n"/>
      <c r="D590" s="64" t="n"/>
      <c r="E590" s="64" t="n"/>
      <c r="F590" s="64" t="n"/>
      <c r="G590" s="65" t="n"/>
      <c r="H590" s="65" t="n"/>
      <c r="I590" s="64" t="n"/>
      <c r="J590" s="64" t="n"/>
      <c r="K590" s="63" t="n"/>
      <c r="L590" s="63" t="n"/>
      <c r="M590" s="64" t="n"/>
      <c r="N590" s="66" t="n"/>
      <c r="O590" s="65" t="n"/>
      <c r="P590" s="64" t="n"/>
      <c r="Q590" s="67" t="n"/>
      <c r="R590" s="67" t="n"/>
      <c r="S590" s="68" t="str">
        <f>IF(AND(ISNUMBER($Q590),ISNUMBER($R590)),$Q590-$R590,"")</f>
        <v/>
      </c>
      <c r="T590" s="65" t="n"/>
      <c r="U590" s="64" t="n"/>
      <c r="V590" s="65" t="n"/>
      <c r="W590" s="63" t="n"/>
      <c r="X590" s="65" t="n"/>
      <c r="Y590" s="63" t="n"/>
      <c r="Z590" s="64" t="n"/>
      <c r="AA590" s="64" t="n"/>
      <c r="AB590" s="65" t="n"/>
      <c r="AC590" s="69" t="str">
        <f>IF(OR($G590="",NOT(ISNUMBER($K590)),$AK590=0),"",MAX(0,ReportDate-$K590))</f>
        <v/>
      </c>
      <c r="AD590" s="69" t="str">
        <f>IF($G590="","",IF($AL590=1,ReportDate-$L590,0))</f>
        <v/>
      </c>
      <c r="AE590" s="70" t="str">
        <f>IF($G590="","",IF($M590="Completed",1,IF(ISNUMBER($N590),$N590,0)))</f>
        <v/>
      </c>
      <c r="AF590" s="70" t="str">
        <f>IF(AND(ISNUMBER($Q590),ISNUMBER($R590)),IF($R590&lt;&gt;0,$Q590/$R590,""),"")</f>
        <v/>
      </c>
      <c r="AG590" s="71" t="str">
        <f>IF($G590="","",IF($AL590=1,"OVERDUE",IF($AM590=1,"BLOCKED",IF($AN590=1,"DUE TODAY",IF($AO590=1,"DUE TOMORROW",IF($AQ590=1,"HIGH PRIORITY",IF($AR590=1,"NO RECENT UPDATE",""))))))) </f>
        <v/>
      </c>
      <c r="AH590" s="71" t="str">
        <f>IF($G590="","",IF(ISNUMBER($A590),IF(ISNUMBER($A590),YEAR($A590)&amp;"-"&amp;TEXT(MONTH($A590),"00"),""),IF(ISNUMBER($L590),IF(ISNUMBER($L590),YEAR($L590)&amp;"-"&amp;TEXT(MONTH($L590),"00"),""),"")))</f>
        <v/>
      </c>
      <c r="AI590" s="71">
        <f>IF($G590="",0,IF(AND(OR(fClient="All",$C590=fClient),OR(fCampaign="All",$D590=fCampaign),OR(fTeam="All",$B590=fTeam),OR(fChannel="All",$F590=fChannel),OR(fMonth="All",$AH590=fMonth),OR(fTStatus="All",$M590=fTStatus)),1,0))</f>
        <v>0</v>
      </c>
      <c r="AJ590" s="71">
        <f>IF($G590="",0,IF(AND(OR(fClient="All",$C590=fClient),OR(fCampaign="All",$D590=fCampaign),OR(fTeam="All",$B590=fTeam),OR(fChannel="All",$F590=fChannel)),1,0))</f>
        <v>0</v>
      </c>
      <c r="AK590" s="71">
        <f>IF($G590="",0,IF(OR($M590="Completed",$M590="Cancelled"),0,1))</f>
        <v>0</v>
      </c>
      <c r="AL590" s="71">
        <f>IF(AND($AK590=1,ISNUMBER($L590)),IF($L590&lt;ReportDate,1,0),0)</f>
        <v>0</v>
      </c>
      <c r="AM590" s="71">
        <f>IF(AND($G590&lt;&gt;"",$M590="Blocked"),1,0)</f>
        <v>0</v>
      </c>
      <c r="AN590" s="71">
        <f>IF(AND($AK590=1,ISNUMBER($L590)),IF($L590=ReportDate,1,0),0)</f>
        <v>0</v>
      </c>
      <c r="AO590" s="71">
        <f>IF(AND($AK590=1,ISNUMBER($L590)),IF($L590=ReportDate+1,1,0),0)</f>
        <v>0</v>
      </c>
      <c r="AP590" s="71">
        <f>IF(AND($AK590=1,ISNUMBER($L590)),IF(AND($L590&gt;=ReportDate,$L590&lt;=ReportDate+DueSoonDays),1,0),0)</f>
        <v>0</v>
      </c>
      <c r="AQ590" s="71">
        <f>IF(AND($AK590=1,OR($I590="Critical",$I590="High")),1,0)</f>
        <v>0</v>
      </c>
      <c r="AR590" s="71">
        <f>IF($AK590=1,IF(ISNUMBER($Y590),IF(ReportDate-$Y590&gt;StaleDays,1,0),1),0)</f>
        <v>0</v>
      </c>
      <c r="AS590" s="71">
        <f>IF(AND($G590&lt;&gt;"",ISNUMBER($Q590),ISNUMBER($R590)),IF(AND($Q590&lt;$R590,OR($M590="Completed",AND(ISNUMBER($L590),$L590&lt;ReportDate))),1,0),0)</f>
        <v>0</v>
      </c>
      <c r="AT590" s="71">
        <f>IF($AK590=1,IF(OR($L590=ReportDate,$W590=ReportDate,$K590=ReportDate,$A590=ReportDate),1,0),0)</f>
        <v>0</v>
      </c>
      <c r="AU590" s="71">
        <f>IF($AK590=1,IF(OR($L590=ReportDate+1,$W590=ReportDate+1,$K590=ReportDate+1,$A590=ReportDate+1),1,0),0)</f>
        <v>0</v>
      </c>
      <c r="AV590" s="71">
        <f>IF(AND($G590&lt;&gt;"",$M590="Completed"),IF(OR($Y590=ReportDate-1,$A590=ReportDate-1),1,0),0)</f>
        <v>0</v>
      </c>
      <c r="AW590" s="71">
        <f>IF(AND($AK590=1,$Z590="Yes"),1,0)</f>
        <v>0</v>
      </c>
      <c r="AX590" s="71">
        <f>IF(AND($AK590=1,$AA590="Yes"),1,0)</f>
        <v>0</v>
      </c>
      <c r="AY590" s="71">
        <f>IF(AND($AM590=1,OR($I590="Critical",$I590="High")),1,0)</f>
        <v>0</v>
      </c>
      <c r="AZ590" s="71">
        <f>IF(AND($AK590=1,OR($C590=TCL_Client,$C590=MECCA_Client)),1,0)</f>
        <v>0</v>
      </c>
      <c r="BA590" s="71" t="str">
        <f>IF($G590="","",IFERROR(MATCH($I590,lst_Priority,0),5))</f>
        <v/>
      </c>
      <c r="BB590" s="71" t="str">
        <f>IF(AND($AL590=1,$AJ590=1),$BA590*100000+ROW(),"")</f>
        <v/>
      </c>
      <c r="BC590" s="71" t="str">
        <f>IF(AND($AM590=1,$AJ590=1),$BA590*100000+ROW(),"")</f>
        <v/>
      </c>
      <c r="BD590" s="71" t="str">
        <f>IF(AND($AP590=1,$AJ590=1),$BA590*100000+ROW(),"")</f>
        <v/>
      </c>
      <c r="BE590" s="71" t="str">
        <f>IF(AND($AT590=1,$AJ590=1),$BA590*100000+ROW(),"")</f>
        <v/>
      </c>
      <c r="BF590" s="71" t="str">
        <f>IF(AND($AU590=1,$AJ590=1),$BA590*100000+ROW(),"")</f>
        <v/>
      </c>
      <c r="BG590" s="71" t="str">
        <f>IF(AND($AV590=1,$AJ590=1),$BA590*100000+ROW(),"")</f>
        <v/>
      </c>
      <c r="BH590" s="71" t="str">
        <f>IF(AND($AW590=1,$AJ590=1),$BA590*100000+ROW(),"")</f>
        <v/>
      </c>
      <c r="BI590" s="71" t="str">
        <f>IF(AND($AX590=1,$AJ590=1),$BA590*100000+ROW(),"")</f>
        <v/>
      </c>
      <c r="BJ590" s="71" t="str">
        <f>IF(AND($AS590=1,$AJ590=1),$BA590*100000+ROW(),"")</f>
        <v/>
      </c>
      <c r="BK590" s="71" t="str">
        <f>IF(AND($AY590=1,$AJ590=1),$BA590*100000+ROW(),"")</f>
        <v/>
      </c>
      <c r="BL590" s="71" t="str">
        <f>IF(AND($AZ590=1),$BA590*100000+ROW(),"")</f>
        <v/>
      </c>
    </row>
    <row r="591">
      <c r="A591" s="63" t="n"/>
      <c r="B591" s="64" t="n"/>
      <c r="C591" s="64" t="n"/>
      <c r="D591" s="64" t="n"/>
      <c r="E591" s="64" t="n"/>
      <c r="F591" s="64" t="n"/>
      <c r="G591" s="65" t="n"/>
      <c r="H591" s="65" t="n"/>
      <c r="I591" s="64" t="n"/>
      <c r="J591" s="64" t="n"/>
      <c r="K591" s="63" t="n"/>
      <c r="L591" s="63" t="n"/>
      <c r="M591" s="64" t="n"/>
      <c r="N591" s="66" t="n"/>
      <c r="O591" s="65" t="n"/>
      <c r="P591" s="64" t="n"/>
      <c r="Q591" s="67" t="n"/>
      <c r="R591" s="67" t="n"/>
      <c r="S591" s="68" t="str">
        <f>IF(AND(ISNUMBER($Q591),ISNUMBER($R591)),$Q591-$R591,"")</f>
        <v/>
      </c>
      <c r="T591" s="65" t="n"/>
      <c r="U591" s="64" t="n"/>
      <c r="V591" s="65" t="n"/>
      <c r="W591" s="63" t="n"/>
      <c r="X591" s="65" t="n"/>
      <c r="Y591" s="63" t="n"/>
      <c r="Z591" s="64" t="n"/>
      <c r="AA591" s="64" t="n"/>
      <c r="AB591" s="65" t="n"/>
      <c r="AC591" s="69" t="str">
        <f>IF(OR($G591="",NOT(ISNUMBER($K591)),$AK591=0),"",MAX(0,ReportDate-$K591))</f>
        <v/>
      </c>
      <c r="AD591" s="69" t="str">
        <f>IF($G591="","",IF($AL591=1,ReportDate-$L591,0))</f>
        <v/>
      </c>
      <c r="AE591" s="70" t="str">
        <f>IF($G591="","",IF($M591="Completed",1,IF(ISNUMBER($N591),$N591,0)))</f>
        <v/>
      </c>
      <c r="AF591" s="70" t="str">
        <f>IF(AND(ISNUMBER($Q591),ISNUMBER($R591)),IF($R591&lt;&gt;0,$Q591/$R591,""),"")</f>
        <v/>
      </c>
      <c r="AG591" s="71" t="str">
        <f>IF($G591="","",IF($AL591=1,"OVERDUE",IF($AM591=1,"BLOCKED",IF($AN591=1,"DUE TODAY",IF($AO591=1,"DUE TOMORROW",IF($AQ591=1,"HIGH PRIORITY",IF($AR591=1,"NO RECENT UPDATE",""))))))) </f>
        <v/>
      </c>
      <c r="AH591" s="71" t="str">
        <f>IF($G591="","",IF(ISNUMBER($A591),IF(ISNUMBER($A591),YEAR($A591)&amp;"-"&amp;TEXT(MONTH($A591),"00"),""),IF(ISNUMBER($L591),IF(ISNUMBER($L591),YEAR($L591)&amp;"-"&amp;TEXT(MONTH($L591),"00"),""),"")))</f>
        <v/>
      </c>
      <c r="AI591" s="71">
        <f>IF($G591="",0,IF(AND(OR(fClient="All",$C591=fClient),OR(fCampaign="All",$D591=fCampaign),OR(fTeam="All",$B591=fTeam),OR(fChannel="All",$F591=fChannel),OR(fMonth="All",$AH591=fMonth),OR(fTStatus="All",$M591=fTStatus)),1,0))</f>
        <v>0</v>
      </c>
      <c r="AJ591" s="71">
        <f>IF($G591="",0,IF(AND(OR(fClient="All",$C591=fClient),OR(fCampaign="All",$D591=fCampaign),OR(fTeam="All",$B591=fTeam),OR(fChannel="All",$F591=fChannel)),1,0))</f>
        <v>0</v>
      </c>
      <c r="AK591" s="71">
        <f>IF($G591="",0,IF(OR($M591="Completed",$M591="Cancelled"),0,1))</f>
        <v>0</v>
      </c>
      <c r="AL591" s="71">
        <f>IF(AND($AK591=1,ISNUMBER($L591)),IF($L591&lt;ReportDate,1,0),0)</f>
        <v>0</v>
      </c>
      <c r="AM591" s="71">
        <f>IF(AND($G591&lt;&gt;"",$M591="Blocked"),1,0)</f>
        <v>0</v>
      </c>
      <c r="AN591" s="71">
        <f>IF(AND($AK591=1,ISNUMBER($L591)),IF($L591=ReportDate,1,0),0)</f>
        <v>0</v>
      </c>
      <c r="AO591" s="71">
        <f>IF(AND($AK591=1,ISNUMBER($L591)),IF($L591=ReportDate+1,1,0),0)</f>
        <v>0</v>
      </c>
      <c r="AP591" s="71">
        <f>IF(AND($AK591=1,ISNUMBER($L591)),IF(AND($L591&gt;=ReportDate,$L591&lt;=ReportDate+DueSoonDays),1,0),0)</f>
        <v>0</v>
      </c>
      <c r="AQ591" s="71">
        <f>IF(AND($AK591=1,OR($I591="Critical",$I591="High")),1,0)</f>
        <v>0</v>
      </c>
      <c r="AR591" s="71">
        <f>IF($AK591=1,IF(ISNUMBER($Y591),IF(ReportDate-$Y591&gt;StaleDays,1,0),1),0)</f>
        <v>0</v>
      </c>
      <c r="AS591" s="71">
        <f>IF(AND($G591&lt;&gt;"",ISNUMBER($Q591),ISNUMBER($R591)),IF(AND($Q591&lt;$R591,OR($M591="Completed",AND(ISNUMBER($L591),$L591&lt;ReportDate))),1,0),0)</f>
        <v>0</v>
      </c>
      <c r="AT591" s="71">
        <f>IF($AK591=1,IF(OR($L591=ReportDate,$W591=ReportDate,$K591=ReportDate,$A591=ReportDate),1,0),0)</f>
        <v>0</v>
      </c>
      <c r="AU591" s="71">
        <f>IF($AK591=1,IF(OR($L591=ReportDate+1,$W591=ReportDate+1,$K591=ReportDate+1,$A591=ReportDate+1),1,0),0)</f>
        <v>0</v>
      </c>
      <c r="AV591" s="71">
        <f>IF(AND($G591&lt;&gt;"",$M591="Completed"),IF(OR($Y591=ReportDate-1,$A591=ReportDate-1),1,0),0)</f>
        <v>0</v>
      </c>
      <c r="AW591" s="71">
        <f>IF(AND($AK591=1,$Z591="Yes"),1,0)</f>
        <v>0</v>
      </c>
      <c r="AX591" s="71">
        <f>IF(AND($AK591=1,$AA591="Yes"),1,0)</f>
        <v>0</v>
      </c>
      <c r="AY591" s="71">
        <f>IF(AND($AM591=1,OR($I591="Critical",$I591="High")),1,0)</f>
        <v>0</v>
      </c>
      <c r="AZ591" s="71">
        <f>IF(AND($AK591=1,OR($C591=TCL_Client,$C591=MECCA_Client)),1,0)</f>
        <v>0</v>
      </c>
      <c r="BA591" s="71" t="str">
        <f>IF($G591="","",IFERROR(MATCH($I591,lst_Priority,0),5))</f>
        <v/>
      </c>
      <c r="BB591" s="71" t="str">
        <f>IF(AND($AL591=1,$AJ591=1),$BA591*100000+ROW(),"")</f>
        <v/>
      </c>
      <c r="BC591" s="71" t="str">
        <f>IF(AND($AM591=1,$AJ591=1),$BA591*100000+ROW(),"")</f>
        <v/>
      </c>
      <c r="BD591" s="71" t="str">
        <f>IF(AND($AP591=1,$AJ591=1),$BA591*100000+ROW(),"")</f>
        <v/>
      </c>
      <c r="BE591" s="71" t="str">
        <f>IF(AND($AT591=1,$AJ591=1),$BA591*100000+ROW(),"")</f>
        <v/>
      </c>
      <c r="BF591" s="71" t="str">
        <f>IF(AND($AU591=1,$AJ591=1),$BA591*100000+ROW(),"")</f>
        <v/>
      </c>
      <c r="BG591" s="71" t="str">
        <f>IF(AND($AV591=1,$AJ591=1),$BA591*100000+ROW(),"")</f>
        <v/>
      </c>
      <c r="BH591" s="71" t="str">
        <f>IF(AND($AW591=1,$AJ591=1),$BA591*100000+ROW(),"")</f>
        <v/>
      </c>
      <c r="BI591" s="71" t="str">
        <f>IF(AND($AX591=1,$AJ591=1),$BA591*100000+ROW(),"")</f>
        <v/>
      </c>
      <c r="BJ591" s="71" t="str">
        <f>IF(AND($AS591=1,$AJ591=1),$BA591*100000+ROW(),"")</f>
        <v/>
      </c>
      <c r="BK591" s="71" t="str">
        <f>IF(AND($AY591=1,$AJ591=1),$BA591*100000+ROW(),"")</f>
        <v/>
      </c>
      <c r="BL591" s="71" t="str">
        <f>IF(AND($AZ591=1),$BA591*100000+ROW(),"")</f>
        <v/>
      </c>
    </row>
    <row r="592">
      <c r="A592" s="63" t="n"/>
      <c r="B592" s="64" t="n"/>
      <c r="C592" s="64" t="n"/>
      <c r="D592" s="64" t="n"/>
      <c r="E592" s="64" t="n"/>
      <c r="F592" s="64" t="n"/>
      <c r="G592" s="65" t="n"/>
      <c r="H592" s="65" t="n"/>
      <c r="I592" s="64" t="n"/>
      <c r="J592" s="64" t="n"/>
      <c r="K592" s="63" t="n"/>
      <c r="L592" s="63" t="n"/>
      <c r="M592" s="64" t="n"/>
      <c r="N592" s="66" t="n"/>
      <c r="O592" s="65" t="n"/>
      <c r="P592" s="64" t="n"/>
      <c r="Q592" s="67" t="n"/>
      <c r="R592" s="67" t="n"/>
      <c r="S592" s="68" t="str">
        <f>IF(AND(ISNUMBER($Q592),ISNUMBER($R592)),$Q592-$R592,"")</f>
        <v/>
      </c>
      <c r="T592" s="65" t="n"/>
      <c r="U592" s="64" t="n"/>
      <c r="V592" s="65" t="n"/>
      <c r="W592" s="63" t="n"/>
      <c r="X592" s="65" t="n"/>
      <c r="Y592" s="63" t="n"/>
      <c r="Z592" s="64" t="n"/>
      <c r="AA592" s="64" t="n"/>
      <c r="AB592" s="65" t="n"/>
      <c r="AC592" s="69" t="str">
        <f>IF(OR($G592="",NOT(ISNUMBER($K592)),$AK592=0),"",MAX(0,ReportDate-$K592))</f>
        <v/>
      </c>
      <c r="AD592" s="69" t="str">
        <f>IF($G592="","",IF($AL592=1,ReportDate-$L592,0))</f>
        <v/>
      </c>
      <c r="AE592" s="70" t="str">
        <f>IF($G592="","",IF($M592="Completed",1,IF(ISNUMBER($N592),$N592,0)))</f>
        <v/>
      </c>
      <c r="AF592" s="70" t="str">
        <f>IF(AND(ISNUMBER($Q592),ISNUMBER($R592)),IF($R592&lt;&gt;0,$Q592/$R592,""),"")</f>
        <v/>
      </c>
      <c r="AG592" s="71" t="str">
        <f>IF($G592="","",IF($AL592=1,"OVERDUE",IF($AM592=1,"BLOCKED",IF($AN592=1,"DUE TODAY",IF($AO592=1,"DUE TOMORROW",IF($AQ592=1,"HIGH PRIORITY",IF($AR592=1,"NO RECENT UPDATE",""))))))) </f>
        <v/>
      </c>
      <c r="AH592" s="71" t="str">
        <f>IF($G592="","",IF(ISNUMBER($A592),IF(ISNUMBER($A592),YEAR($A592)&amp;"-"&amp;TEXT(MONTH($A592),"00"),""),IF(ISNUMBER($L592),IF(ISNUMBER($L592),YEAR($L592)&amp;"-"&amp;TEXT(MONTH($L592),"00"),""),"")))</f>
        <v/>
      </c>
      <c r="AI592" s="71">
        <f>IF($G592="",0,IF(AND(OR(fClient="All",$C592=fClient),OR(fCampaign="All",$D592=fCampaign),OR(fTeam="All",$B592=fTeam),OR(fChannel="All",$F592=fChannel),OR(fMonth="All",$AH592=fMonth),OR(fTStatus="All",$M592=fTStatus)),1,0))</f>
        <v>0</v>
      </c>
      <c r="AJ592" s="71">
        <f>IF($G592="",0,IF(AND(OR(fClient="All",$C592=fClient),OR(fCampaign="All",$D592=fCampaign),OR(fTeam="All",$B592=fTeam),OR(fChannel="All",$F592=fChannel)),1,0))</f>
        <v>0</v>
      </c>
      <c r="AK592" s="71">
        <f>IF($G592="",0,IF(OR($M592="Completed",$M592="Cancelled"),0,1))</f>
        <v>0</v>
      </c>
      <c r="AL592" s="71">
        <f>IF(AND($AK592=1,ISNUMBER($L592)),IF($L592&lt;ReportDate,1,0),0)</f>
        <v>0</v>
      </c>
      <c r="AM592" s="71">
        <f>IF(AND($G592&lt;&gt;"",$M592="Blocked"),1,0)</f>
        <v>0</v>
      </c>
      <c r="AN592" s="71">
        <f>IF(AND($AK592=1,ISNUMBER($L592)),IF($L592=ReportDate,1,0),0)</f>
        <v>0</v>
      </c>
      <c r="AO592" s="71">
        <f>IF(AND($AK592=1,ISNUMBER($L592)),IF($L592=ReportDate+1,1,0),0)</f>
        <v>0</v>
      </c>
      <c r="AP592" s="71">
        <f>IF(AND($AK592=1,ISNUMBER($L592)),IF(AND($L592&gt;=ReportDate,$L592&lt;=ReportDate+DueSoonDays),1,0),0)</f>
        <v>0</v>
      </c>
      <c r="AQ592" s="71">
        <f>IF(AND($AK592=1,OR($I592="Critical",$I592="High")),1,0)</f>
        <v>0</v>
      </c>
      <c r="AR592" s="71">
        <f>IF($AK592=1,IF(ISNUMBER($Y592),IF(ReportDate-$Y592&gt;StaleDays,1,0),1),0)</f>
        <v>0</v>
      </c>
      <c r="AS592" s="71">
        <f>IF(AND($G592&lt;&gt;"",ISNUMBER($Q592),ISNUMBER($R592)),IF(AND($Q592&lt;$R592,OR($M592="Completed",AND(ISNUMBER($L592),$L592&lt;ReportDate))),1,0),0)</f>
        <v>0</v>
      </c>
      <c r="AT592" s="71">
        <f>IF($AK592=1,IF(OR($L592=ReportDate,$W592=ReportDate,$K592=ReportDate,$A592=ReportDate),1,0),0)</f>
        <v>0</v>
      </c>
      <c r="AU592" s="71">
        <f>IF($AK592=1,IF(OR($L592=ReportDate+1,$W592=ReportDate+1,$K592=ReportDate+1,$A592=ReportDate+1),1,0),0)</f>
        <v>0</v>
      </c>
      <c r="AV592" s="71">
        <f>IF(AND($G592&lt;&gt;"",$M592="Completed"),IF(OR($Y592=ReportDate-1,$A592=ReportDate-1),1,0),0)</f>
        <v>0</v>
      </c>
      <c r="AW592" s="71">
        <f>IF(AND($AK592=1,$Z592="Yes"),1,0)</f>
        <v>0</v>
      </c>
      <c r="AX592" s="71">
        <f>IF(AND($AK592=1,$AA592="Yes"),1,0)</f>
        <v>0</v>
      </c>
      <c r="AY592" s="71">
        <f>IF(AND($AM592=1,OR($I592="Critical",$I592="High")),1,0)</f>
        <v>0</v>
      </c>
      <c r="AZ592" s="71">
        <f>IF(AND($AK592=1,OR($C592=TCL_Client,$C592=MECCA_Client)),1,0)</f>
        <v>0</v>
      </c>
      <c r="BA592" s="71" t="str">
        <f>IF($G592="","",IFERROR(MATCH($I592,lst_Priority,0),5))</f>
        <v/>
      </c>
      <c r="BB592" s="71" t="str">
        <f>IF(AND($AL592=1,$AJ592=1),$BA592*100000+ROW(),"")</f>
        <v/>
      </c>
      <c r="BC592" s="71" t="str">
        <f>IF(AND($AM592=1,$AJ592=1),$BA592*100000+ROW(),"")</f>
        <v/>
      </c>
      <c r="BD592" s="71" t="str">
        <f>IF(AND($AP592=1,$AJ592=1),$BA592*100000+ROW(),"")</f>
        <v/>
      </c>
      <c r="BE592" s="71" t="str">
        <f>IF(AND($AT592=1,$AJ592=1),$BA592*100000+ROW(),"")</f>
        <v/>
      </c>
      <c r="BF592" s="71" t="str">
        <f>IF(AND($AU592=1,$AJ592=1),$BA592*100000+ROW(),"")</f>
        <v/>
      </c>
      <c r="BG592" s="71" t="str">
        <f>IF(AND($AV592=1,$AJ592=1),$BA592*100000+ROW(),"")</f>
        <v/>
      </c>
      <c r="BH592" s="71" t="str">
        <f>IF(AND($AW592=1,$AJ592=1),$BA592*100000+ROW(),"")</f>
        <v/>
      </c>
      <c r="BI592" s="71" t="str">
        <f>IF(AND($AX592=1,$AJ592=1),$BA592*100000+ROW(),"")</f>
        <v/>
      </c>
      <c r="BJ592" s="71" t="str">
        <f>IF(AND($AS592=1,$AJ592=1),$BA592*100000+ROW(),"")</f>
        <v/>
      </c>
      <c r="BK592" s="71" t="str">
        <f>IF(AND($AY592=1,$AJ592=1),$BA592*100000+ROW(),"")</f>
        <v/>
      </c>
      <c r="BL592" s="71" t="str">
        <f>IF(AND($AZ592=1),$BA592*100000+ROW(),"")</f>
        <v/>
      </c>
    </row>
    <row r="593">
      <c r="A593" s="63" t="n"/>
      <c r="B593" s="64" t="n"/>
      <c r="C593" s="64" t="n"/>
      <c r="D593" s="64" t="n"/>
      <c r="E593" s="64" t="n"/>
      <c r="F593" s="64" t="n"/>
      <c r="G593" s="65" t="n"/>
      <c r="H593" s="65" t="n"/>
      <c r="I593" s="64" t="n"/>
      <c r="J593" s="64" t="n"/>
      <c r="K593" s="63" t="n"/>
      <c r="L593" s="63" t="n"/>
      <c r="M593" s="64" t="n"/>
      <c r="N593" s="66" t="n"/>
      <c r="O593" s="65" t="n"/>
      <c r="P593" s="64" t="n"/>
      <c r="Q593" s="67" t="n"/>
      <c r="R593" s="67" t="n"/>
      <c r="S593" s="68" t="str">
        <f>IF(AND(ISNUMBER($Q593),ISNUMBER($R593)),$Q593-$R593,"")</f>
        <v/>
      </c>
      <c r="T593" s="65" t="n"/>
      <c r="U593" s="64" t="n"/>
      <c r="V593" s="65" t="n"/>
      <c r="W593" s="63" t="n"/>
      <c r="X593" s="65" t="n"/>
      <c r="Y593" s="63" t="n"/>
      <c r="Z593" s="64" t="n"/>
      <c r="AA593" s="64" t="n"/>
      <c r="AB593" s="65" t="n"/>
      <c r="AC593" s="69" t="str">
        <f>IF(OR($G593="",NOT(ISNUMBER($K593)),$AK593=0),"",MAX(0,ReportDate-$K593))</f>
        <v/>
      </c>
      <c r="AD593" s="69" t="str">
        <f>IF($G593="","",IF($AL593=1,ReportDate-$L593,0))</f>
        <v/>
      </c>
      <c r="AE593" s="70" t="str">
        <f>IF($G593="","",IF($M593="Completed",1,IF(ISNUMBER($N593),$N593,0)))</f>
        <v/>
      </c>
      <c r="AF593" s="70" t="str">
        <f>IF(AND(ISNUMBER($Q593),ISNUMBER($R593)),IF($R593&lt;&gt;0,$Q593/$R593,""),"")</f>
        <v/>
      </c>
      <c r="AG593" s="71" t="str">
        <f>IF($G593="","",IF($AL593=1,"OVERDUE",IF($AM593=1,"BLOCKED",IF($AN593=1,"DUE TODAY",IF($AO593=1,"DUE TOMORROW",IF($AQ593=1,"HIGH PRIORITY",IF($AR593=1,"NO RECENT UPDATE",""))))))) </f>
        <v/>
      </c>
      <c r="AH593" s="71" t="str">
        <f>IF($G593="","",IF(ISNUMBER($A593),IF(ISNUMBER($A593),YEAR($A593)&amp;"-"&amp;TEXT(MONTH($A593),"00"),""),IF(ISNUMBER($L593),IF(ISNUMBER($L593),YEAR($L593)&amp;"-"&amp;TEXT(MONTH($L593),"00"),""),"")))</f>
        <v/>
      </c>
      <c r="AI593" s="71">
        <f>IF($G593="",0,IF(AND(OR(fClient="All",$C593=fClient),OR(fCampaign="All",$D593=fCampaign),OR(fTeam="All",$B593=fTeam),OR(fChannel="All",$F593=fChannel),OR(fMonth="All",$AH593=fMonth),OR(fTStatus="All",$M593=fTStatus)),1,0))</f>
        <v>0</v>
      </c>
      <c r="AJ593" s="71">
        <f>IF($G593="",0,IF(AND(OR(fClient="All",$C593=fClient),OR(fCampaign="All",$D593=fCampaign),OR(fTeam="All",$B593=fTeam),OR(fChannel="All",$F593=fChannel)),1,0))</f>
        <v>0</v>
      </c>
      <c r="AK593" s="71">
        <f>IF($G593="",0,IF(OR($M593="Completed",$M593="Cancelled"),0,1))</f>
        <v>0</v>
      </c>
      <c r="AL593" s="71">
        <f>IF(AND($AK593=1,ISNUMBER($L593)),IF($L593&lt;ReportDate,1,0),0)</f>
        <v>0</v>
      </c>
      <c r="AM593" s="71">
        <f>IF(AND($G593&lt;&gt;"",$M593="Blocked"),1,0)</f>
        <v>0</v>
      </c>
      <c r="AN593" s="71">
        <f>IF(AND($AK593=1,ISNUMBER($L593)),IF($L593=ReportDate,1,0),0)</f>
        <v>0</v>
      </c>
      <c r="AO593" s="71">
        <f>IF(AND($AK593=1,ISNUMBER($L593)),IF($L593=ReportDate+1,1,0),0)</f>
        <v>0</v>
      </c>
      <c r="AP593" s="71">
        <f>IF(AND($AK593=1,ISNUMBER($L593)),IF(AND($L593&gt;=ReportDate,$L593&lt;=ReportDate+DueSoonDays),1,0),0)</f>
        <v>0</v>
      </c>
      <c r="AQ593" s="71">
        <f>IF(AND($AK593=1,OR($I593="Critical",$I593="High")),1,0)</f>
        <v>0</v>
      </c>
      <c r="AR593" s="71">
        <f>IF($AK593=1,IF(ISNUMBER($Y593),IF(ReportDate-$Y593&gt;StaleDays,1,0),1),0)</f>
        <v>0</v>
      </c>
      <c r="AS593" s="71">
        <f>IF(AND($G593&lt;&gt;"",ISNUMBER($Q593),ISNUMBER($R593)),IF(AND($Q593&lt;$R593,OR($M593="Completed",AND(ISNUMBER($L593),$L593&lt;ReportDate))),1,0),0)</f>
        <v>0</v>
      </c>
      <c r="AT593" s="71">
        <f>IF($AK593=1,IF(OR($L593=ReportDate,$W593=ReportDate,$K593=ReportDate,$A593=ReportDate),1,0),0)</f>
        <v>0</v>
      </c>
      <c r="AU593" s="71">
        <f>IF($AK593=1,IF(OR($L593=ReportDate+1,$W593=ReportDate+1,$K593=ReportDate+1,$A593=ReportDate+1),1,0),0)</f>
        <v>0</v>
      </c>
      <c r="AV593" s="71">
        <f>IF(AND($G593&lt;&gt;"",$M593="Completed"),IF(OR($Y593=ReportDate-1,$A593=ReportDate-1),1,0),0)</f>
        <v>0</v>
      </c>
      <c r="AW593" s="71">
        <f>IF(AND($AK593=1,$Z593="Yes"),1,0)</f>
        <v>0</v>
      </c>
      <c r="AX593" s="71">
        <f>IF(AND($AK593=1,$AA593="Yes"),1,0)</f>
        <v>0</v>
      </c>
      <c r="AY593" s="71">
        <f>IF(AND($AM593=1,OR($I593="Critical",$I593="High")),1,0)</f>
        <v>0</v>
      </c>
      <c r="AZ593" s="71">
        <f>IF(AND($AK593=1,OR($C593=TCL_Client,$C593=MECCA_Client)),1,0)</f>
        <v>0</v>
      </c>
      <c r="BA593" s="71" t="str">
        <f>IF($G593="","",IFERROR(MATCH($I593,lst_Priority,0),5))</f>
        <v/>
      </c>
      <c r="BB593" s="71" t="str">
        <f>IF(AND($AL593=1,$AJ593=1),$BA593*100000+ROW(),"")</f>
        <v/>
      </c>
      <c r="BC593" s="71" t="str">
        <f>IF(AND($AM593=1,$AJ593=1),$BA593*100000+ROW(),"")</f>
        <v/>
      </c>
      <c r="BD593" s="71" t="str">
        <f>IF(AND($AP593=1,$AJ593=1),$BA593*100000+ROW(),"")</f>
        <v/>
      </c>
      <c r="BE593" s="71" t="str">
        <f>IF(AND($AT593=1,$AJ593=1),$BA593*100000+ROW(),"")</f>
        <v/>
      </c>
      <c r="BF593" s="71" t="str">
        <f>IF(AND($AU593=1,$AJ593=1),$BA593*100000+ROW(),"")</f>
        <v/>
      </c>
      <c r="BG593" s="71" t="str">
        <f>IF(AND($AV593=1,$AJ593=1),$BA593*100000+ROW(),"")</f>
        <v/>
      </c>
      <c r="BH593" s="71" t="str">
        <f>IF(AND($AW593=1,$AJ593=1),$BA593*100000+ROW(),"")</f>
        <v/>
      </c>
      <c r="BI593" s="71" t="str">
        <f>IF(AND($AX593=1,$AJ593=1),$BA593*100000+ROW(),"")</f>
        <v/>
      </c>
      <c r="BJ593" s="71" t="str">
        <f>IF(AND($AS593=1,$AJ593=1),$BA593*100000+ROW(),"")</f>
        <v/>
      </c>
      <c r="BK593" s="71" t="str">
        <f>IF(AND($AY593=1,$AJ593=1),$BA593*100000+ROW(),"")</f>
        <v/>
      </c>
      <c r="BL593" s="71" t="str">
        <f>IF(AND($AZ593=1),$BA593*100000+ROW(),"")</f>
        <v/>
      </c>
    </row>
    <row r="594">
      <c r="A594" s="63" t="n"/>
      <c r="B594" s="64" t="n"/>
      <c r="C594" s="64" t="n"/>
      <c r="D594" s="64" t="n"/>
      <c r="E594" s="64" t="n"/>
      <c r="F594" s="64" t="n"/>
      <c r="G594" s="65" t="n"/>
      <c r="H594" s="65" t="n"/>
      <c r="I594" s="64" t="n"/>
      <c r="J594" s="64" t="n"/>
      <c r="K594" s="63" t="n"/>
      <c r="L594" s="63" t="n"/>
      <c r="M594" s="64" t="n"/>
      <c r="N594" s="66" t="n"/>
      <c r="O594" s="65" t="n"/>
      <c r="P594" s="64" t="n"/>
      <c r="Q594" s="67" t="n"/>
      <c r="R594" s="67" t="n"/>
      <c r="S594" s="68" t="str">
        <f>IF(AND(ISNUMBER($Q594),ISNUMBER($R594)),$Q594-$R594,"")</f>
        <v/>
      </c>
      <c r="T594" s="65" t="n"/>
      <c r="U594" s="64" t="n"/>
      <c r="V594" s="65" t="n"/>
      <c r="W594" s="63" t="n"/>
      <c r="X594" s="65" t="n"/>
      <c r="Y594" s="63" t="n"/>
      <c r="Z594" s="64" t="n"/>
      <c r="AA594" s="64" t="n"/>
      <c r="AB594" s="65" t="n"/>
      <c r="AC594" s="69" t="str">
        <f>IF(OR($G594="",NOT(ISNUMBER($K594)),$AK594=0),"",MAX(0,ReportDate-$K594))</f>
        <v/>
      </c>
      <c r="AD594" s="69" t="str">
        <f>IF($G594="","",IF($AL594=1,ReportDate-$L594,0))</f>
        <v/>
      </c>
      <c r="AE594" s="70" t="str">
        <f>IF($G594="","",IF($M594="Completed",1,IF(ISNUMBER($N594),$N594,0)))</f>
        <v/>
      </c>
      <c r="AF594" s="70" t="str">
        <f>IF(AND(ISNUMBER($Q594),ISNUMBER($R594)),IF($R594&lt;&gt;0,$Q594/$R594,""),"")</f>
        <v/>
      </c>
      <c r="AG594" s="71" t="str">
        <f>IF($G594="","",IF($AL594=1,"OVERDUE",IF($AM594=1,"BLOCKED",IF($AN594=1,"DUE TODAY",IF($AO594=1,"DUE TOMORROW",IF($AQ594=1,"HIGH PRIORITY",IF($AR594=1,"NO RECENT UPDATE",""))))))) </f>
        <v/>
      </c>
      <c r="AH594" s="71" t="str">
        <f>IF($G594="","",IF(ISNUMBER($A594),IF(ISNUMBER($A594),YEAR($A594)&amp;"-"&amp;TEXT(MONTH($A594),"00"),""),IF(ISNUMBER($L594),IF(ISNUMBER($L594),YEAR($L594)&amp;"-"&amp;TEXT(MONTH($L594),"00"),""),"")))</f>
        <v/>
      </c>
      <c r="AI594" s="71">
        <f>IF($G594="",0,IF(AND(OR(fClient="All",$C594=fClient),OR(fCampaign="All",$D594=fCampaign),OR(fTeam="All",$B594=fTeam),OR(fChannel="All",$F594=fChannel),OR(fMonth="All",$AH594=fMonth),OR(fTStatus="All",$M594=fTStatus)),1,0))</f>
        <v>0</v>
      </c>
      <c r="AJ594" s="71">
        <f>IF($G594="",0,IF(AND(OR(fClient="All",$C594=fClient),OR(fCampaign="All",$D594=fCampaign),OR(fTeam="All",$B594=fTeam),OR(fChannel="All",$F594=fChannel)),1,0))</f>
        <v>0</v>
      </c>
      <c r="AK594" s="71">
        <f>IF($G594="",0,IF(OR($M594="Completed",$M594="Cancelled"),0,1))</f>
        <v>0</v>
      </c>
      <c r="AL594" s="71">
        <f>IF(AND($AK594=1,ISNUMBER($L594)),IF($L594&lt;ReportDate,1,0),0)</f>
        <v>0</v>
      </c>
      <c r="AM594" s="71">
        <f>IF(AND($G594&lt;&gt;"",$M594="Blocked"),1,0)</f>
        <v>0</v>
      </c>
      <c r="AN594" s="71">
        <f>IF(AND($AK594=1,ISNUMBER($L594)),IF($L594=ReportDate,1,0),0)</f>
        <v>0</v>
      </c>
      <c r="AO594" s="71">
        <f>IF(AND($AK594=1,ISNUMBER($L594)),IF($L594=ReportDate+1,1,0),0)</f>
        <v>0</v>
      </c>
      <c r="AP594" s="71">
        <f>IF(AND($AK594=1,ISNUMBER($L594)),IF(AND($L594&gt;=ReportDate,$L594&lt;=ReportDate+DueSoonDays),1,0),0)</f>
        <v>0</v>
      </c>
      <c r="AQ594" s="71">
        <f>IF(AND($AK594=1,OR($I594="Critical",$I594="High")),1,0)</f>
        <v>0</v>
      </c>
      <c r="AR594" s="71">
        <f>IF($AK594=1,IF(ISNUMBER($Y594),IF(ReportDate-$Y594&gt;StaleDays,1,0),1),0)</f>
        <v>0</v>
      </c>
      <c r="AS594" s="71">
        <f>IF(AND($G594&lt;&gt;"",ISNUMBER($Q594),ISNUMBER($R594)),IF(AND($Q594&lt;$R594,OR($M594="Completed",AND(ISNUMBER($L594),$L594&lt;ReportDate))),1,0),0)</f>
        <v>0</v>
      </c>
      <c r="AT594" s="71">
        <f>IF($AK594=1,IF(OR($L594=ReportDate,$W594=ReportDate,$K594=ReportDate,$A594=ReportDate),1,0),0)</f>
        <v>0</v>
      </c>
      <c r="AU594" s="71">
        <f>IF($AK594=1,IF(OR($L594=ReportDate+1,$W594=ReportDate+1,$K594=ReportDate+1,$A594=ReportDate+1),1,0),0)</f>
        <v>0</v>
      </c>
      <c r="AV594" s="71">
        <f>IF(AND($G594&lt;&gt;"",$M594="Completed"),IF(OR($Y594=ReportDate-1,$A594=ReportDate-1),1,0),0)</f>
        <v>0</v>
      </c>
      <c r="AW594" s="71">
        <f>IF(AND($AK594=1,$Z594="Yes"),1,0)</f>
        <v>0</v>
      </c>
      <c r="AX594" s="71">
        <f>IF(AND($AK594=1,$AA594="Yes"),1,0)</f>
        <v>0</v>
      </c>
      <c r="AY594" s="71">
        <f>IF(AND($AM594=1,OR($I594="Critical",$I594="High")),1,0)</f>
        <v>0</v>
      </c>
      <c r="AZ594" s="71">
        <f>IF(AND($AK594=1,OR($C594=TCL_Client,$C594=MECCA_Client)),1,0)</f>
        <v>0</v>
      </c>
      <c r="BA594" s="71" t="str">
        <f>IF($G594="","",IFERROR(MATCH($I594,lst_Priority,0),5))</f>
        <v/>
      </c>
      <c r="BB594" s="71" t="str">
        <f>IF(AND($AL594=1,$AJ594=1),$BA594*100000+ROW(),"")</f>
        <v/>
      </c>
      <c r="BC594" s="71" t="str">
        <f>IF(AND($AM594=1,$AJ594=1),$BA594*100000+ROW(),"")</f>
        <v/>
      </c>
      <c r="BD594" s="71" t="str">
        <f>IF(AND($AP594=1,$AJ594=1),$BA594*100000+ROW(),"")</f>
        <v/>
      </c>
      <c r="BE594" s="71" t="str">
        <f>IF(AND($AT594=1,$AJ594=1),$BA594*100000+ROW(),"")</f>
        <v/>
      </c>
      <c r="BF594" s="71" t="str">
        <f>IF(AND($AU594=1,$AJ594=1),$BA594*100000+ROW(),"")</f>
        <v/>
      </c>
      <c r="BG594" s="71" t="str">
        <f>IF(AND($AV594=1,$AJ594=1),$BA594*100000+ROW(),"")</f>
        <v/>
      </c>
      <c r="BH594" s="71" t="str">
        <f>IF(AND($AW594=1,$AJ594=1),$BA594*100000+ROW(),"")</f>
        <v/>
      </c>
      <c r="BI594" s="71" t="str">
        <f>IF(AND($AX594=1,$AJ594=1),$BA594*100000+ROW(),"")</f>
        <v/>
      </c>
      <c r="BJ594" s="71" t="str">
        <f>IF(AND($AS594=1,$AJ594=1),$BA594*100000+ROW(),"")</f>
        <v/>
      </c>
      <c r="BK594" s="71" t="str">
        <f>IF(AND($AY594=1,$AJ594=1),$BA594*100000+ROW(),"")</f>
        <v/>
      </c>
      <c r="BL594" s="71" t="str">
        <f>IF(AND($AZ594=1),$BA594*100000+ROW(),"")</f>
        <v/>
      </c>
    </row>
    <row r="595">
      <c r="A595" s="63" t="n"/>
      <c r="B595" s="64" t="n"/>
      <c r="C595" s="64" t="n"/>
      <c r="D595" s="64" t="n"/>
      <c r="E595" s="64" t="n"/>
      <c r="F595" s="64" t="n"/>
      <c r="G595" s="65" t="n"/>
      <c r="H595" s="65" t="n"/>
      <c r="I595" s="64" t="n"/>
      <c r="J595" s="64" t="n"/>
      <c r="K595" s="63" t="n"/>
      <c r="L595" s="63" t="n"/>
      <c r="M595" s="64" t="n"/>
      <c r="N595" s="66" t="n"/>
      <c r="O595" s="65" t="n"/>
      <c r="P595" s="64" t="n"/>
      <c r="Q595" s="67" t="n"/>
      <c r="R595" s="67" t="n"/>
      <c r="S595" s="68" t="str">
        <f>IF(AND(ISNUMBER($Q595),ISNUMBER($R595)),$Q595-$R595,"")</f>
        <v/>
      </c>
      <c r="T595" s="65" t="n"/>
      <c r="U595" s="64" t="n"/>
      <c r="V595" s="65" t="n"/>
      <c r="W595" s="63" t="n"/>
      <c r="X595" s="65" t="n"/>
      <c r="Y595" s="63" t="n"/>
      <c r="Z595" s="64" t="n"/>
      <c r="AA595" s="64" t="n"/>
      <c r="AB595" s="65" t="n"/>
      <c r="AC595" s="69" t="str">
        <f>IF(OR($G595="",NOT(ISNUMBER($K595)),$AK595=0),"",MAX(0,ReportDate-$K595))</f>
        <v/>
      </c>
      <c r="AD595" s="69" t="str">
        <f>IF($G595="","",IF($AL595=1,ReportDate-$L595,0))</f>
        <v/>
      </c>
      <c r="AE595" s="70" t="str">
        <f>IF($G595="","",IF($M595="Completed",1,IF(ISNUMBER($N595),$N595,0)))</f>
        <v/>
      </c>
      <c r="AF595" s="70" t="str">
        <f>IF(AND(ISNUMBER($Q595),ISNUMBER($R595)),IF($R595&lt;&gt;0,$Q595/$R595,""),"")</f>
        <v/>
      </c>
      <c r="AG595" s="71" t="str">
        <f>IF($G595="","",IF($AL595=1,"OVERDUE",IF($AM595=1,"BLOCKED",IF($AN595=1,"DUE TODAY",IF($AO595=1,"DUE TOMORROW",IF($AQ595=1,"HIGH PRIORITY",IF($AR595=1,"NO RECENT UPDATE",""))))))) </f>
        <v/>
      </c>
      <c r="AH595" s="71" t="str">
        <f>IF($G595="","",IF(ISNUMBER($A595),IF(ISNUMBER($A595),YEAR($A595)&amp;"-"&amp;TEXT(MONTH($A595),"00"),""),IF(ISNUMBER($L595),IF(ISNUMBER($L595),YEAR($L595)&amp;"-"&amp;TEXT(MONTH($L595),"00"),""),"")))</f>
        <v/>
      </c>
      <c r="AI595" s="71">
        <f>IF($G595="",0,IF(AND(OR(fClient="All",$C595=fClient),OR(fCampaign="All",$D595=fCampaign),OR(fTeam="All",$B595=fTeam),OR(fChannel="All",$F595=fChannel),OR(fMonth="All",$AH595=fMonth),OR(fTStatus="All",$M595=fTStatus)),1,0))</f>
        <v>0</v>
      </c>
      <c r="AJ595" s="71">
        <f>IF($G595="",0,IF(AND(OR(fClient="All",$C595=fClient),OR(fCampaign="All",$D595=fCampaign),OR(fTeam="All",$B595=fTeam),OR(fChannel="All",$F595=fChannel)),1,0))</f>
        <v>0</v>
      </c>
      <c r="AK595" s="71">
        <f>IF($G595="",0,IF(OR($M595="Completed",$M595="Cancelled"),0,1))</f>
        <v>0</v>
      </c>
      <c r="AL595" s="71">
        <f>IF(AND($AK595=1,ISNUMBER($L595)),IF($L595&lt;ReportDate,1,0),0)</f>
        <v>0</v>
      </c>
      <c r="AM595" s="71">
        <f>IF(AND($G595&lt;&gt;"",$M595="Blocked"),1,0)</f>
        <v>0</v>
      </c>
      <c r="AN595" s="71">
        <f>IF(AND($AK595=1,ISNUMBER($L595)),IF($L595=ReportDate,1,0),0)</f>
        <v>0</v>
      </c>
      <c r="AO595" s="71">
        <f>IF(AND($AK595=1,ISNUMBER($L595)),IF($L595=ReportDate+1,1,0),0)</f>
        <v>0</v>
      </c>
      <c r="AP595" s="71">
        <f>IF(AND($AK595=1,ISNUMBER($L595)),IF(AND($L595&gt;=ReportDate,$L595&lt;=ReportDate+DueSoonDays),1,0),0)</f>
        <v>0</v>
      </c>
      <c r="AQ595" s="71">
        <f>IF(AND($AK595=1,OR($I595="Critical",$I595="High")),1,0)</f>
        <v>0</v>
      </c>
      <c r="AR595" s="71">
        <f>IF($AK595=1,IF(ISNUMBER($Y595),IF(ReportDate-$Y595&gt;StaleDays,1,0),1),0)</f>
        <v>0</v>
      </c>
      <c r="AS595" s="71">
        <f>IF(AND($G595&lt;&gt;"",ISNUMBER($Q595),ISNUMBER($R595)),IF(AND($Q595&lt;$R595,OR($M595="Completed",AND(ISNUMBER($L595),$L595&lt;ReportDate))),1,0),0)</f>
        <v>0</v>
      </c>
      <c r="AT595" s="71">
        <f>IF($AK595=1,IF(OR($L595=ReportDate,$W595=ReportDate,$K595=ReportDate,$A595=ReportDate),1,0),0)</f>
        <v>0</v>
      </c>
      <c r="AU595" s="71">
        <f>IF($AK595=1,IF(OR($L595=ReportDate+1,$W595=ReportDate+1,$K595=ReportDate+1,$A595=ReportDate+1),1,0),0)</f>
        <v>0</v>
      </c>
      <c r="AV595" s="71">
        <f>IF(AND($G595&lt;&gt;"",$M595="Completed"),IF(OR($Y595=ReportDate-1,$A595=ReportDate-1),1,0),0)</f>
        <v>0</v>
      </c>
      <c r="AW595" s="71">
        <f>IF(AND($AK595=1,$Z595="Yes"),1,0)</f>
        <v>0</v>
      </c>
      <c r="AX595" s="71">
        <f>IF(AND($AK595=1,$AA595="Yes"),1,0)</f>
        <v>0</v>
      </c>
      <c r="AY595" s="71">
        <f>IF(AND($AM595=1,OR($I595="Critical",$I595="High")),1,0)</f>
        <v>0</v>
      </c>
      <c r="AZ595" s="71">
        <f>IF(AND($AK595=1,OR($C595=TCL_Client,$C595=MECCA_Client)),1,0)</f>
        <v>0</v>
      </c>
      <c r="BA595" s="71" t="str">
        <f>IF($G595="","",IFERROR(MATCH($I595,lst_Priority,0),5))</f>
        <v/>
      </c>
      <c r="BB595" s="71" t="str">
        <f>IF(AND($AL595=1,$AJ595=1),$BA595*100000+ROW(),"")</f>
        <v/>
      </c>
      <c r="BC595" s="71" t="str">
        <f>IF(AND($AM595=1,$AJ595=1),$BA595*100000+ROW(),"")</f>
        <v/>
      </c>
      <c r="BD595" s="71" t="str">
        <f>IF(AND($AP595=1,$AJ595=1),$BA595*100000+ROW(),"")</f>
        <v/>
      </c>
      <c r="BE595" s="71" t="str">
        <f>IF(AND($AT595=1,$AJ595=1),$BA595*100000+ROW(),"")</f>
        <v/>
      </c>
      <c r="BF595" s="71" t="str">
        <f>IF(AND($AU595=1,$AJ595=1),$BA595*100000+ROW(),"")</f>
        <v/>
      </c>
      <c r="BG595" s="71" t="str">
        <f>IF(AND($AV595=1,$AJ595=1),$BA595*100000+ROW(),"")</f>
        <v/>
      </c>
      <c r="BH595" s="71" t="str">
        <f>IF(AND($AW595=1,$AJ595=1),$BA595*100000+ROW(),"")</f>
        <v/>
      </c>
      <c r="BI595" s="71" t="str">
        <f>IF(AND($AX595=1,$AJ595=1),$BA595*100000+ROW(),"")</f>
        <v/>
      </c>
      <c r="BJ595" s="71" t="str">
        <f>IF(AND($AS595=1,$AJ595=1),$BA595*100000+ROW(),"")</f>
        <v/>
      </c>
      <c r="BK595" s="71" t="str">
        <f>IF(AND($AY595=1,$AJ595=1),$BA595*100000+ROW(),"")</f>
        <v/>
      </c>
      <c r="BL595" s="71" t="str">
        <f>IF(AND($AZ595=1),$BA595*100000+ROW(),"")</f>
        <v/>
      </c>
    </row>
    <row r="596">
      <c r="A596" s="63" t="n"/>
      <c r="B596" s="64" t="n"/>
      <c r="C596" s="64" t="n"/>
      <c r="D596" s="64" t="n"/>
      <c r="E596" s="64" t="n"/>
      <c r="F596" s="64" t="n"/>
      <c r="G596" s="65" t="n"/>
      <c r="H596" s="65" t="n"/>
      <c r="I596" s="64" t="n"/>
      <c r="J596" s="64" t="n"/>
      <c r="K596" s="63" t="n"/>
      <c r="L596" s="63" t="n"/>
      <c r="M596" s="64" t="n"/>
      <c r="N596" s="66" t="n"/>
      <c r="O596" s="65" t="n"/>
      <c r="P596" s="64" t="n"/>
      <c r="Q596" s="67" t="n"/>
      <c r="R596" s="67" t="n"/>
      <c r="S596" s="68" t="str">
        <f>IF(AND(ISNUMBER($Q596),ISNUMBER($R596)),$Q596-$R596,"")</f>
        <v/>
      </c>
      <c r="T596" s="65" t="n"/>
      <c r="U596" s="64" t="n"/>
      <c r="V596" s="65" t="n"/>
      <c r="W596" s="63" t="n"/>
      <c r="X596" s="65" t="n"/>
      <c r="Y596" s="63" t="n"/>
      <c r="Z596" s="64" t="n"/>
      <c r="AA596" s="64" t="n"/>
      <c r="AB596" s="65" t="n"/>
      <c r="AC596" s="69" t="str">
        <f>IF(OR($G596="",NOT(ISNUMBER($K596)),$AK596=0),"",MAX(0,ReportDate-$K596))</f>
        <v/>
      </c>
      <c r="AD596" s="69" t="str">
        <f>IF($G596="","",IF($AL596=1,ReportDate-$L596,0))</f>
        <v/>
      </c>
      <c r="AE596" s="70" t="str">
        <f>IF($G596="","",IF($M596="Completed",1,IF(ISNUMBER($N596),$N596,0)))</f>
        <v/>
      </c>
      <c r="AF596" s="70" t="str">
        <f>IF(AND(ISNUMBER($Q596),ISNUMBER($R596)),IF($R596&lt;&gt;0,$Q596/$R596,""),"")</f>
        <v/>
      </c>
      <c r="AG596" s="71" t="str">
        <f>IF($G596="","",IF($AL596=1,"OVERDUE",IF($AM596=1,"BLOCKED",IF($AN596=1,"DUE TODAY",IF($AO596=1,"DUE TOMORROW",IF($AQ596=1,"HIGH PRIORITY",IF($AR596=1,"NO RECENT UPDATE",""))))))) </f>
        <v/>
      </c>
      <c r="AH596" s="71" t="str">
        <f>IF($G596="","",IF(ISNUMBER($A596),IF(ISNUMBER($A596),YEAR($A596)&amp;"-"&amp;TEXT(MONTH($A596),"00"),""),IF(ISNUMBER($L596),IF(ISNUMBER($L596),YEAR($L596)&amp;"-"&amp;TEXT(MONTH($L596),"00"),""),"")))</f>
        <v/>
      </c>
      <c r="AI596" s="71">
        <f>IF($G596="",0,IF(AND(OR(fClient="All",$C596=fClient),OR(fCampaign="All",$D596=fCampaign),OR(fTeam="All",$B596=fTeam),OR(fChannel="All",$F596=fChannel),OR(fMonth="All",$AH596=fMonth),OR(fTStatus="All",$M596=fTStatus)),1,0))</f>
        <v>0</v>
      </c>
      <c r="AJ596" s="71">
        <f>IF($G596="",0,IF(AND(OR(fClient="All",$C596=fClient),OR(fCampaign="All",$D596=fCampaign),OR(fTeam="All",$B596=fTeam),OR(fChannel="All",$F596=fChannel)),1,0))</f>
        <v>0</v>
      </c>
      <c r="AK596" s="71">
        <f>IF($G596="",0,IF(OR($M596="Completed",$M596="Cancelled"),0,1))</f>
        <v>0</v>
      </c>
      <c r="AL596" s="71">
        <f>IF(AND($AK596=1,ISNUMBER($L596)),IF($L596&lt;ReportDate,1,0),0)</f>
        <v>0</v>
      </c>
      <c r="AM596" s="71">
        <f>IF(AND($G596&lt;&gt;"",$M596="Blocked"),1,0)</f>
        <v>0</v>
      </c>
      <c r="AN596" s="71">
        <f>IF(AND($AK596=1,ISNUMBER($L596)),IF($L596=ReportDate,1,0),0)</f>
        <v>0</v>
      </c>
      <c r="AO596" s="71">
        <f>IF(AND($AK596=1,ISNUMBER($L596)),IF($L596=ReportDate+1,1,0),0)</f>
        <v>0</v>
      </c>
      <c r="AP596" s="71">
        <f>IF(AND($AK596=1,ISNUMBER($L596)),IF(AND($L596&gt;=ReportDate,$L596&lt;=ReportDate+DueSoonDays),1,0),0)</f>
        <v>0</v>
      </c>
      <c r="AQ596" s="71">
        <f>IF(AND($AK596=1,OR($I596="Critical",$I596="High")),1,0)</f>
        <v>0</v>
      </c>
      <c r="AR596" s="71">
        <f>IF($AK596=1,IF(ISNUMBER($Y596),IF(ReportDate-$Y596&gt;StaleDays,1,0),1),0)</f>
        <v>0</v>
      </c>
      <c r="AS596" s="71">
        <f>IF(AND($G596&lt;&gt;"",ISNUMBER($Q596),ISNUMBER($R596)),IF(AND($Q596&lt;$R596,OR($M596="Completed",AND(ISNUMBER($L596),$L596&lt;ReportDate))),1,0),0)</f>
        <v>0</v>
      </c>
      <c r="AT596" s="71">
        <f>IF($AK596=1,IF(OR($L596=ReportDate,$W596=ReportDate,$K596=ReportDate,$A596=ReportDate),1,0),0)</f>
        <v>0</v>
      </c>
      <c r="AU596" s="71">
        <f>IF($AK596=1,IF(OR($L596=ReportDate+1,$W596=ReportDate+1,$K596=ReportDate+1,$A596=ReportDate+1),1,0),0)</f>
        <v>0</v>
      </c>
      <c r="AV596" s="71">
        <f>IF(AND($G596&lt;&gt;"",$M596="Completed"),IF(OR($Y596=ReportDate-1,$A596=ReportDate-1),1,0),0)</f>
        <v>0</v>
      </c>
      <c r="AW596" s="71">
        <f>IF(AND($AK596=1,$Z596="Yes"),1,0)</f>
        <v>0</v>
      </c>
      <c r="AX596" s="71">
        <f>IF(AND($AK596=1,$AA596="Yes"),1,0)</f>
        <v>0</v>
      </c>
      <c r="AY596" s="71">
        <f>IF(AND($AM596=1,OR($I596="Critical",$I596="High")),1,0)</f>
        <v>0</v>
      </c>
      <c r="AZ596" s="71">
        <f>IF(AND($AK596=1,OR($C596=TCL_Client,$C596=MECCA_Client)),1,0)</f>
        <v>0</v>
      </c>
      <c r="BA596" s="71" t="str">
        <f>IF($G596="","",IFERROR(MATCH($I596,lst_Priority,0),5))</f>
        <v/>
      </c>
      <c r="BB596" s="71" t="str">
        <f>IF(AND($AL596=1,$AJ596=1),$BA596*100000+ROW(),"")</f>
        <v/>
      </c>
      <c r="BC596" s="71" t="str">
        <f>IF(AND($AM596=1,$AJ596=1),$BA596*100000+ROW(),"")</f>
        <v/>
      </c>
      <c r="BD596" s="71" t="str">
        <f>IF(AND($AP596=1,$AJ596=1),$BA596*100000+ROW(),"")</f>
        <v/>
      </c>
      <c r="BE596" s="71" t="str">
        <f>IF(AND($AT596=1,$AJ596=1),$BA596*100000+ROW(),"")</f>
        <v/>
      </c>
      <c r="BF596" s="71" t="str">
        <f>IF(AND($AU596=1,$AJ596=1),$BA596*100000+ROW(),"")</f>
        <v/>
      </c>
      <c r="BG596" s="71" t="str">
        <f>IF(AND($AV596=1,$AJ596=1),$BA596*100000+ROW(),"")</f>
        <v/>
      </c>
      <c r="BH596" s="71" t="str">
        <f>IF(AND($AW596=1,$AJ596=1),$BA596*100000+ROW(),"")</f>
        <v/>
      </c>
      <c r="BI596" s="71" t="str">
        <f>IF(AND($AX596=1,$AJ596=1),$BA596*100000+ROW(),"")</f>
        <v/>
      </c>
      <c r="BJ596" s="71" t="str">
        <f>IF(AND($AS596=1,$AJ596=1),$BA596*100000+ROW(),"")</f>
        <v/>
      </c>
      <c r="BK596" s="71" t="str">
        <f>IF(AND($AY596=1,$AJ596=1),$BA596*100000+ROW(),"")</f>
        <v/>
      </c>
      <c r="BL596" s="71" t="str">
        <f>IF(AND($AZ596=1),$BA596*100000+ROW(),"")</f>
        <v/>
      </c>
    </row>
    <row r="597">
      <c r="A597" s="63" t="n"/>
      <c r="B597" s="64" t="n"/>
      <c r="C597" s="64" t="n"/>
      <c r="D597" s="64" t="n"/>
      <c r="E597" s="64" t="n"/>
      <c r="F597" s="64" t="n"/>
      <c r="G597" s="65" t="n"/>
      <c r="H597" s="65" t="n"/>
      <c r="I597" s="64" t="n"/>
      <c r="J597" s="64" t="n"/>
      <c r="K597" s="63" t="n"/>
      <c r="L597" s="63" t="n"/>
      <c r="M597" s="64" t="n"/>
      <c r="N597" s="66" t="n"/>
      <c r="O597" s="65" t="n"/>
      <c r="P597" s="64" t="n"/>
      <c r="Q597" s="67" t="n"/>
      <c r="R597" s="67" t="n"/>
      <c r="S597" s="68" t="str">
        <f>IF(AND(ISNUMBER($Q597),ISNUMBER($R597)),$Q597-$R597,"")</f>
        <v/>
      </c>
      <c r="T597" s="65" t="n"/>
      <c r="U597" s="64" t="n"/>
      <c r="V597" s="65" t="n"/>
      <c r="W597" s="63" t="n"/>
      <c r="X597" s="65" t="n"/>
      <c r="Y597" s="63" t="n"/>
      <c r="Z597" s="64" t="n"/>
      <c r="AA597" s="64" t="n"/>
      <c r="AB597" s="65" t="n"/>
      <c r="AC597" s="69" t="str">
        <f>IF(OR($G597="",NOT(ISNUMBER($K597)),$AK597=0),"",MAX(0,ReportDate-$K597))</f>
        <v/>
      </c>
      <c r="AD597" s="69" t="str">
        <f>IF($G597="","",IF($AL597=1,ReportDate-$L597,0))</f>
        <v/>
      </c>
      <c r="AE597" s="70" t="str">
        <f>IF($G597="","",IF($M597="Completed",1,IF(ISNUMBER($N597),$N597,0)))</f>
        <v/>
      </c>
      <c r="AF597" s="70" t="str">
        <f>IF(AND(ISNUMBER($Q597),ISNUMBER($R597)),IF($R597&lt;&gt;0,$Q597/$R597,""),"")</f>
        <v/>
      </c>
      <c r="AG597" s="71" t="str">
        <f>IF($G597="","",IF($AL597=1,"OVERDUE",IF($AM597=1,"BLOCKED",IF($AN597=1,"DUE TODAY",IF($AO597=1,"DUE TOMORROW",IF($AQ597=1,"HIGH PRIORITY",IF($AR597=1,"NO RECENT UPDATE",""))))))) </f>
        <v/>
      </c>
      <c r="AH597" s="71" t="str">
        <f>IF($G597="","",IF(ISNUMBER($A597),IF(ISNUMBER($A597),YEAR($A597)&amp;"-"&amp;TEXT(MONTH($A597),"00"),""),IF(ISNUMBER($L597),IF(ISNUMBER($L597),YEAR($L597)&amp;"-"&amp;TEXT(MONTH($L597),"00"),""),"")))</f>
        <v/>
      </c>
      <c r="AI597" s="71">
        <f>IF($G597="",0,IF(AND(OR(fClient="All",$C597=fClient),OR(fCampaign="All",$D597=fCampaign),OR(fTeam="All",$B597=fTeam),OR(fChannel="All",$F597=fChannel),OR(fMonth="All",$AH597=fMonth),OR(fTStatus="All",$M597=fTStatus)),1,0))</f>
        <v>0</v>
      </c>
      <c r="AJ597" s="71">
        <f>IF($G597="",0,IF(AND(OR(fClient="All",$C597=fClient),OR(fCampaign="All",$D597=fCampaign),OR(fTeam="All",$B597=fTeam),OR(fChannel="All",$F597=fChannel)),1,0))</f>
        <v>0</v>
      </c>
      <c r="AK597" s="71">
        <f>IF($G597="",0,IF(OR($M597="Completed",$M597="Cancelled"),0,1))</f>
        <v>0</v>
      </c>
      <c r="AL597" s="71">
        <f>IF(AND($AK597=1,ISNUMBER($L597)),IF($L597&lt;ReportDate,1,0),0)</f>
        <v>0</v>
      </c>
      <c r="AM597" s="71">
        <f>IF(AND($G597&lt;&gt;"",$M597="Blocked"),1,0)</f>
        <v>0</v>
      </c>
      <c r="AN597" s="71">
        <f>IF(AND($AK597=1,ISNUMBER($L597)),IF($L597=ReportDate,1,0),0)</f>
        <v>0</v>
      </c>
      <c r="AO597" s="71">
        <f>IF(AND($AK597=1,ISNUMBER($L597)),IF($L597=ReportDate+1,1,0),0)</f>
        <v>0</v>
      </c>
      <c r="AP597" s="71">
        <f>IF(AND($AK597=1,ISNUMBER($L597)),IF(AND($L597&gt;=ReportDate,$L597&lt;=ReportDate+DueSoonDays),1,0),0)</f>
        <v>0</v>
      </c>
      <c r="AQ597" s="71">
        <f>IF(AND($AK597=1,OR($I597="Critical",$I597="High")),1,0)</f>
        <v>0</v>
      </c>
      <c r="AR597" s="71">
        <f>IF($AK597=1,IF(ISNUMBER($Y597),IF(ReportDate-$Y597&gt;StaleDays,1,0),1),0)</f>
        <v>0</v>
      </c>
      <c r="AS597" s="71">
        <f>IF(AND($G597&lt;&gt;"",ISNUMBER($Q597),ISNUMBER($R597)),IF(AND($Q597&lt;$R597,OR($M597="Completed",AND(ISNUMBER($L597),$L597&lt;ReportDate))),1,0),0)</f>
        <v>0</v>
      </c>
      <c r="AT597" s="71">
        <f>IF($AK597=1,IF(OR($L597=ReportDate,$W597=ReportDate,$K597=ReportDate,$A597=ReportDate),1,0),0)</f>
        <v>0</v>
      </c>
      <c r="AU597" s="71">
        <f>IF($AK597=1,IF(OR($L597=ReportDate+1,$W597=ReportDate+1,$K597=ReportDate+1,$A597=ReportDate+1),1,0),0)</f>
        <v>0</v>
      </c>
      <c r="AV597" s="71">
        <f>IF(AND($G597&lt;&gt;"",$M597="Completed"),IF(OR($Y597=ReportDate-1,$A597=ReportDate-1),1,0),0)</f>
        <v>0</v>
      </c>
      <c r="AW597" s="71">
        <f>IF(AND($AK597=1,$Z597="Yes"),1,0)</f>
        <v>0</v>
      </c>
      <c r="AX597" s="71">
        <f>IF(AND($AK597=1,$AA597="Yes"),1,0)</f>
        <v>0</v>
      </c>
      <c r="AY597" s="71">
        <f>IF(AND($AM597=1,OR($I597="Critical",$I597="High")),1,0)</f>
        <v>0</v>
      </c>
      <c r="AZ597" s="71">
        <f>IF(AND($AK597=1,OR($C597=TCL_Client,$C597=MECCA_Client)),1,0)</f>
        <v>0</v>
      </c>
      <c r="BA597" s="71" t="str">
        <f>IF($G597="","",IFERROR(MATCH($I597,lst_Priority,0),5))</f>
        <v/>
      </c>
      <c r="BB597" s="71" t="str">
        <f>IF(AND($AL597=1,$AJ597=1),$BA597*100000+ROW(),"")</f>
        <v/>
      </c>
      <c r="BC597" s="71" t="str">
        <f>IF(AND($AM597=1,$AJ597=1),$BA597*100000+ROW(),"")</f>
        <v/>
      </c>
      <c r="BD597" s="71" t="str">
        <f>IF(AND($AP597=1,$AJ597=1),$BA597*100000+ROW(),"")</f>
        <v/>
      </c>
      <c r="BE597" s="71" t="str">
        <f>IF(AND($AT597=1,$AJ597=1),$BA597*100000+ROW(),"")</f>
        <v/>
      </c>
      <c r="BF597" s="71" t="str">
        <f>IF(AND($AU597=1,$AJ597=1),$BA597*100000+ROW(),"")</f>
        <v/>
      </c>
      <c r="BG597" s="71" t="str">
        <f>IF(AND($AV597=1,$AJ597=1),$BA597*100000+ROW(),"")</f>
        <v/>
      </c>
      <c r="BH597" s="71" t="str">
        <f>IF(AND($AW597=1,$AJ597=1),$BA597*100000+ROW(),"")</f>
        <v/>
      </c>
      <c r="BI597" s="71" t="str">
        <f>IF(AND($AX597=1,$AJ597=1),$BA597*100000+ROW(),"")</f>
        <v/>
      </c>
      <c r="BJ597" s="71" t="str">
        <f>IF(AND($AS597=1,$AJ597=1),$BA597*100000+ROW(),"")</f>
        <v/>
      </c>
      <c r="BK597" s="71" t="str">
        <f>IF(AND($AY597=1,$AJ597=1),$BA597*100000+ROW(),"")</f>
        <v/>
      </c>
      <c r="BL597" s="71" t="str">
        <f>IF(AND($AZ597=1),$BA597*100000+ROW(),"")</f>
        <v/>
      </c>
    </row>
    <row r="598">
      <c r="A598" s="63" t="n"/>
      <c r="B598" s="64" t="n"/>
      <c r="C598" s="64" t="n"/>
      <c r="D598" s="64" t="n"/>
      <c r="E598" s="64" t="n"/>
      <c r="F598" s="64" t="n"/>
      <c r="G598" s="65" t="n"/>
      <c r="H598" s="65" t="n"/>
      <c r="I598" s="64" t="n"/>
      <c r="J598" s="64" t="n"/>
      <c r="K598" s="63" t="n"/>
      <c r="L598" s="63" t="n"/>
      <c r="M598" s="64" t="n"/>
      <c r="N598" s="66" t="n"/>
      <c r="O598" s="65" t="n"/>
      <c r="P598" s="64" t="n"/>
      <c r="Q598" s="67" t="n"/>
      <c r="R598" s="67" t="n"/>
      <c r="S598" s="68" t="str">
        <f>IF(AND(ISNUMBER($Q598),ISNUMBER($R598)),$Q598-$R598,"")</f>
        <v/>
      </c>
      <c r="T598" s="65" t="n"/>
      <c r="U598" s="64" t="n"/>
      <c r="V598" s="65" t="n"/>
      <c r="W598" s="63" t="n"/>
      <c r="X598" s="65" t="n"/>
      <c r="Y598" s="63" t="n"/>
      <c r="Z598" s="64" t="n"/>
      <c r="AA598" s="64" t="n"/>
      <c r="AB598" s="65" t="n"/>
      <c r="AC598" s="69" t="str">
        <f>IF(OR($G598="",NOT(ISNUMBER($K598)),$AK598=0),"",MAX(0,ReportDate-$K598))</f>
        <v/>
      </c>
      <c r="AD598" s="69" t="str">
        <f>IF($G598="","",IF($AL598=1,ReportDate-$L598,0))</f>
        <v/>
      </c>
      <c r="AE598" s="70" t="str">
        <f>IF($G598="","",IF($M598="Completed",1,IF(ISNUMBER($N598),$N598,0)))</f>
        <v/>
      </c>
      <c r="AF598" s="70" t="str">
        <f>IF(AND(ISNUMBER($Q598),ISNUMBER($R598)),IF($R598&lt;&gt;0,$Q598/$R598,""),"")</f>
        <v/>
      </c>
      <c r="AG598" s="71" t="str">
        <f>IF($G598="","",IF($AL598=1,"OVERDUE",IF($AM598=1,"BLOCKED",IF($AN598=1,"DUE TODAY",IF($AO598=1,"DUE TOMORROW",IF($AQ598=1,"HIGH PRIORITY",IF($AR598=1,"NO RECENT UPDATE",""))))))) </f>
        <v/>
      </c>
      <c r="AH598" s="71" t="str">
        <f>IF($G598="","",IF(ISNUMBER($A598),IF(ISNUMBER($A598),YEAR($A598)&amp;"-"&amp;TEXT(MONTH($A598),"00"),""),IF(ISNUMBER($L598),IF(ISNUMBER($L598),YEAR($L598)&amp;"-"&amp;TEXT(MONTH($L598),"00"),""),"")))</f>
        <v/>
      </c>
      <c r="AI598" s="71">
        <f>IF($G598="",0,IF(AND(OR(fClient="All",$C598=fClient),OR(fCampaign="All",$D598=fCampaign),OR(fTeam="All",$B598=fTeam),OR(fChannel="All",$F598=fChannel),OR(fMonth="All",$AH598=fMonth),OR(fTStatus="All",$M598=fTStatus)),1,0))</f>
        <v>0</v>
      </c>
      <c r="AJ598" s="71">
        <f>IF($G598="",0,IF(AND(OR(fClient="All",$C598=fClient),OR(fCampaign="All",$D598=fCampaign),OR(fTeam="All",$B598=fTeam),OR(fChannel="All",$F598=fChannel)),1,0))</f>
        <v>0</v>
      </c>
      <c r="AK598" s="71">
        <f>IF($G598="",0,IF(OR($M598="Completed",$M598="Cancelled"),0,1))</f>
        <v>0</v>
      </c>
      <c r="AL598" s="71">
        <f>IF(AND($AK598=1,ISNUMBER($L598)),IF($L598&lt;ReportDate,1,0),0)</f>
        <v>0</v>
      </c>
      <c r="AM598" s="71">
        <f>IF(AND($G598&lt;&gt;"",$M598="Blocked"),1,0)</f>
        <v>0</v>
      </c>
      <c r="AN598" s="71">
        <f>IF(AND($AK598=1,ISNUMBER($L598)),IF($L598=ReportDate,1,0),0)</f>
        <v>0</v>
      </c>
      <c r="AO598" s="71">
        <f>IF(AND($AK598=1,ISNUMBER($L598)),IF($L598=ReportDate+1,1,0),0)</f>
        <v>0</v>
      </c>
      <c r="AP598" s="71">
        <f>IF(AND($AK598=1,ISNUMBER($L598)),IF(AND($L598&gt;=ReportDate,$L598&lt;=ReportDate+DueSoonDays),1,0),0)</f>
        <v>0</v>
      </c>
      <c r="AQ598" s="71">
        <f>IF(AND($AK598=1,OR($I598="Critical",$I598="High")),1,0)</f>
        <v>0</v>
      </c>
      <c r="AR598" s="71">
        <f>IF($AK598=1,IF(ISNUMBER($Y598),IF(ReportDate-$Y598&gt;StaleDays,1,0),1),0)</f>
        <v>0</v>
      </c>
      <c r="AS598" s="71">
        <f>IF(AND($G598&lt;&gt;"",ISNUMBER($Q598),ISNUMBER($R598)),IF(AND($Q598&lt;$R598,OR($M598="Completed",AND(ISNUMBER($L598),$L598&lt;ReportDate))),1,0),0)</f>
        <v>0</v>
      </c>
      <c r="AT598" s="71">
        <f>IF($AK598=1,IF(OR($L598=ReportDate,$W598=ReportDate,$K598=ReportDate,$A598=ReportDate),1,0),0)</f>
        <v>0</v>
      </c>
      <c r="AU598" s="71">
        <f>IF($AK598=1,IF(OR($L598=ReportDate+1,$W598=ReportDate+1,$K598=ReportDate+1,$A598=ReportDate+1),1,0),0)</f>
        <v>0</v>
      </c>
      <c r="AV598" s="71">
        <f>IF(AND($G598&lt;&gt;"",$M598="Completed"),IF(OR($Y598=ReportDate-1,$A598=ReportDate-1),1,0),0)</f>
        <v>0</v>
      </c>
      <c r="AW598" s="71">
        <f>IF(AND($AK598=1,$Z598="Yes"),1,0)</f>
        <v>0</v>
      </c>
      <c r="AX598" s="71">
        <f>IF(AND($AK598=1,$AA598="Yes"),1,0)</f>
        <v>0</v>
      </c>
      <c r="AY598" s="71">
        <f>IF(AND($AM598=1,OR($I598="Critical",$I598="High")),1,0)</f>
        <v>0</v>
      </c>
      <c r="AZ598" s="71">
        <f>IF(AND($AK598=1,OR($C598=TCL_Client,$C598=MECCA_Client)),1,0)</f>
        <v>0</v>
      </c>
      <c r="BA598" s="71" t="str">
        <f>IF($G598="","",IFERROR(MATCH($I598,lst_Priority,0),5))</f>
        <v/>
      </c>
      <c r="BB598" s="71" t="str">
        <f>IF(AND($AL598=1,$AJ598=1),$BA598*100000+ROW(),"")</f>
        <v/>
      </c>
      <c r="BC598" s="71" t="str">
        <f>IF(AND($AM598=1,$AJ598=1),$BA598*100000+ROW(),"")</f>
        <v/>
      </c>
      <c r="BD598" s="71" t="str">
        <f>IF(AND($AP598=1,$AJ598=1),$BA598*100000+ROW(),"")</f>
        <v/>
      </c>
      <c r="BE598" s="71" t="str">
        <f>IF(AND($AT598=1,$AJ598=1),$BA598*100000+ROW(),"")</f>
        <v/>
      </c>
      <c r="BF598" s="71" t="str">
        <f>IF(AND($AU598=1,$AJ598=1),$BA598*100000+ROW(),"")</f>
        <v/>
      </c>
      <c r="BG598" s="71" t="str">
        <f>IF(AND($AV598=1,$AJ598=1),$BA598*100000+ROW(),"")</f>
        <v/>
      </c>
      <c r="BH598" s="71" t="str">
        <f>IF(AND($AW598=1,$AJ598=1),$BA598*100000+ROW(),"")</f>
        <v/>
      </c>
      <c r="BI598" s="71" t="str">
        <f>IF(AND($AX598=1,$AJ598=1),$BA598*100000+ROW(),"")</f>
        <v/>
      </c>
      <c r="BJ598" s="71" t="str">
        <f>IF(AND($AS598=1,$AJ598=1),$BA598*100000+ROW(),"")</f>
        <v/>
      </c>
      <c r="BK598" s="71" t="str">
        <f>IF(AND($AY598=1,$AJ598=1),$BA598*100000+ROW(),"")</f>
        <v/>
      </c>
      <c r="BL598" s="71" t="str">
        <f>IF(AND($AZ598=1),$BA598*100000+ROW(),"")</f>
        <v/>
      </c>
    </row>
    <row r="599">
      <c r="A599" s="63" t="n"/>
      <c r="B599" s="64" t="n"/>
      <c r="C599" s="64" t="n"/>
      <c r="D599" s="64" t="n"/>
      <c r="E599" s="64" t="n"/>
      <c r="F599" s="64" t="n"/>
      <c r="G599" s="65" t="n"/>
      <c r="H599" s="65" t="n"/>
      <c r="I599" s="64" t="n"/>
      <c r="J599" s="64" t="n"/>
      <c r="K599" s="63" t="n"/>
      <c r="L599" s="63" t="n"/>
      <c r="M599" s="64" t="n"/>
      <c r="N599" s="66" t="n"/>
      <c r="O599" s="65" t="n"/>
      <c r="P599" s="64" t="n"/>
      <c r="Q599" s="67" t="n"/>
      <c r="R599" s="67" t="n"/>
      <c r="S599" s="68" t="str">
        <f>IF(AND(ISNUMBER($Q599),ISNUMBER($R599)),$Q599-$R599,"")</f>
        <v/>
      </c>
      <c r="T599" s="65" t="n"/>
      <c r="U599" s="64" t="n"/>
      <c r="V599" s="65" t="n"/>
      <c r="W599" s="63" t="n"/>
      <c r="X599" s="65" t="n"/>
      <c r="Y599" s="63" t="n"/>
      <c r="Z599" s="64" t="n"/>
      <c r="AA599" s="64" t="n"/>
      <c r="AB599" s="65" t="n"/>
      <c r="AC599" s="69" t="str">
        <f>IF(OR($G599="",NOT(ISNUMBER($K599)),$AK599=0),"",MAX(0,ReportDate-$K599))</f>
        <v/>
      </c>
      <c r="AD599" s="69" t="str">
        <f>IF($G599="","",IF($AL599=1,ReportDate-$L599,0))</f>
        <v/>
      </c>
      <c r="AE599" s="70" t="str">
        <f>IF($G599="","",IF($M599="Completed",1,IF(ISNUMBER($N599),$N599,0)))</f>
        <v/>
      </c>
      <c r="AF599" s="70" t="str">
        <f>IF(AND(ISNUMBER($Q599),ISNUMBER($R599)),IF($R599&lt;&gt;0,$Q599/$R599,""),"")</f>
        <v/>
      </c>
      <c r="AG599" s="71" t="str">
        <f>IF($G599="","",IF($AL599=1,"OVERDUE",IF($AM599=1,"BLOCKED",IF($AN599=1,"DUE TODAY",IF($AO599=1,"DUE TOMORROW",IF($AQ599=1,"HIGH PRIORITY",IF($AR599=1,"NO RECENT UPDATE",""))))))) </f>
        <v/>
      </c>
      <c r="AH599" s="71" t="str">
        <f>IF($G599="","",IF(ISNUMBER($A599),IF(ISNUMBER($A599),YEAR($A599)&amp;"-"&amp;TEXT(MONTH($A599),"00"),""),IF(ISNUMBER($L599),IF(ISNUMBER($L599),YEAR($L599)&amp;"-"&amp;TEXT(MONTH($L599),"00"),""),"")))</f>
        <v/>
      </c>
      <c r="AI599" s="71">
        <f>IF($G599="",0,IF(AND(OR(fClient="All",$C599=fClient),OR(fCampaign="All",$D599=fCampaign),OR(fTeam="All",$B599=fTeam),OR(fChannel="All",$F599=fChannel),OR(fMonth="All",$AH599=fMonth),OR(fTStatus="All",$M599=fTStatus)),1,0))</f>
        <v>0</v>
      </c>
      <c r="AJ599" s="71">
        <f>IF($G599="",0,IF(AND(OR(fClient="All",$C599=fClient),OR(fCampaign="All",$D599=fCampaign),OR(fTeam="All",$B599=fTeam),OR(fChannel="All",$F599=fChannel)),1,0))</f>
        <v>0</v>
      </c>
      <c r="AK599" s="71">
        <f>IF($G599="",0,IF(OR($M599="Completed",$M599="Cancelled"),0,1))</f>
        <v>0</v>
      </c>
      <c r="AL599" s="71">
        <f>IF(AND($AK599=1,ISNUMBER($L599)),IF($L599&lt;ReportDate,1,0),0)</f>
        <v>0</v>
      </c>
      <c r="AM599" s="71">
        <f>IF(AND($G599&lt;&gt;"",$M599="Blocked"),1,0)</f>
        <v>0</v>
      </c>
      <c r="AN599" s="71">
        <f>IF(AND($AK599=1,ISNUMBER($L599)),IF($L599=ReportDate,1,0),0)</f>
        <v>0</v>
      </c>
      <c r="AO599" s="71">
        <f>IF(AND($AK599=1,ISNUMBER($L599)),IF($L599=ReportDate+1,1,0),0)</f>
        <v>0</v>
      </c>
      <c r="AP599" s="71">
        <f>IF(AND($AK599=1,ISNUMBER($L599)),IF(AND($L599&gt;=ReportDate,$L599&lt;=ReportDate+DueSoonDays),1,0),0)</f>
        <v>0</v>
      </c>
      <c r="AQ599" s="71">
        <f>IF(AND($AK599=1,OR($I599="Critical",$I599="High")),1,0)</f>
        <v>0</v>
      </c>
      <c r="AR599" s="71">
        <f>IF($AK599=1,IF(ISNUMBER($Y599),IF(ReportDate-$Y599&gt;StaleDays,1,0),1),0)</f>
        <v>0</v>
      </c>
      <c r="AS599" s="71">
        <f>IF(AND($G599&lt;&gt;"",ISNUMBER($Q599),ISNUMBER($R599)),IF(AND($Q599&lt;$R599,OR($M599="Completed",AND(ISNUMBER($L599),$L599&lt;ReportDate))),1,0),0)</f>
        <v>0</v>
      </c>
      <c r="AT599" s="71">
        <f>IF($AK599=1,IF(OR($L599=ReportDate,$W599=ReportDate,$K599=ReportDate,$A599=ReportDate),1,0),0)</f>
        <v>0</v>
      </c>
      <c r="AU599" s="71">
        <f>IF($AK599=1,IF(OR($L599=ReportDate+1,$W599=ReportDate+1,$K599=ReportDate+1,$A599=ReportDate+1),1,0),0)</f>
        <v>0</v>
      </c>
      <c r="AV599" s="71">
        <f>IF(AND($G599&lt;&gt;"",$M599="Completed"),IF(OR($Y599=ReportDate-1,$A599=ReportDate-1),1,0),0)</f>
        <v>0</v>
      </c>
      <c r="AW599" s="71">
        <f>IF(AND($AK599=1,$Z599="Yes"),1,0)</f>
        <v>0</v>
      </c>
      <c r="AX599" s="71">
        <f>IF(AND($AK599=1,$AA599="Yes"),1,0)</f>
        <v>0</v>
      </c>
      <c r="AY599" s="71">
        <f>IF(AND($AM599=1,OR($I599="Critical",$I599="High")),1,0)</f>
        <v>0</v>
      </c>
      <c r="AZ599" s="71">
        <f>IF(AND($AK599=1,OR($C599=TCL_Client,$C599=MECCA_Client)),1,0)</f>
        <v>0</v>
      </c>
      <c r="BA599" s="71" t="str">
        <f>IF($G599="","",IFERROR(MATCH($I599,lst_Priority,0),5))</f>
        <v/>
      </c>
      <c r="BB599" s="71" t="str">
        <f>IF(AND($AL599=1,$AJ599=1),$BA599*100000+ROW(),"")</f>
        <v/>
      </c>
      <c r="BC599" s="71" t="str">
        <f>IF(AND($AM599=1,$AJ599=1),$BA599*100000+ROW(),"")</f>
        <v/>
      </c>
      <c r="BD599" s="71" t="str">
        <f>IF(AND($AP599=1,$AJ599=1),$BA599*100000+ROW(),"")</f>
        <v/>
      </c>
      <c r="BE599" s="71" t="str">
        <f>IF(AND($AT599=1,$AJ599=1),$BA599*100000+ROW(),"")</f>
        <v/>
      </c>
      <c r="BF599" s="71" t="str">
        <f>IF(AND($AU599=1,$AJ599=1),$BA599*100000+ROW(),"")</f>
        <v/>
      </c>
      <c r="BG599" s="71" t="str">
        <f>IF(AND($AV599=1,$AJ599=1),$BA599*100000+ROW(),"")</f>
        <v/>
      </c>
      <c r="BH599" s="71" t="str">
        <f>IF(AND($AW599=1,$AJ599=1),$BA599*100000+ROW(),"")</f>
        <v/>
      </c>
      <c r="BI599" s="71" t="str">
        <f>IF(AND($AX599=1,$AJ599=1),$BA599*100000+ROW(),"")</f>
        <v/>
      </c>
      <c r="BJ599" s="71" t="str">
        <f>IF(AND($AS599=1,$AJ599=1),$BA599*100000+ROW(),"")</f>
        <v/>
      </c>
      <c r="BK599" s="71" t="str">
        <f>IF(AND($AY599=1,$AJ599=1),$BA599*100000+ROW(),"")</f>
        <v/>
      </c>
      <c r="BL599" s="71" t="str">
        <f>IF(AND($AZ599=1),$BA599*100000+ROW(),"")</f>
        <v/>
      </c>
    </row>
    <row r="600">
      <c r="A600" s="63" t="n"/>
      <c r="B600" s="64" t="n"/>
      <c r="C600" s="64" t="n"/>
      <c r="D600" s="64" t="n"/>
      <c r="E600" s="64" t="n"/>
      <c r="F600" s="64" t="n"/>
      <c r="G600" s="65" t="n"/>
      <c r="H600" s="65" t="n"/>
      <c r="I600" s="64" t="n"/>
      <c r="J600" s="64" t="n"/>
      <c r="K600" s="63" t="n"/>
      <c r="L600" s="63" t="n"/>
      <c r="M600" s="64" t="n"/>
      <c r="N600" s="66" t="n"/>
      <c r="O600" s="65" t="n"/>
      <c r="P600" s="64" t="n"/>
      <c r="Q600" s="67" t="n"/>
      <c r="R600" s="67" t="n"/>
      <c r="S600" s="68" t="str">
        <f>IF(AND(ISNUMBER($Q600),ISNUMBER($R600)),$Q600-$R600,"")</f>
        <v/>
      </c>
      <c r="T600" s="65" t="n"/>
      <c r="U600" s="64" t="n"/>
      <c r="V600" s="65" t="n"/>
      <c r="W600" s="63" t="n"/>
      <c r="X600" s="65" t="n"/>
      <c r="Y600" s="63" t="n"/>
      <c r="Z600" s="64" t="n"/>
      <c r="AA600" s="64" t="n"/>
      <c r="AB600" s="65" t="n"/>
      <c r="AC600" s="69" t="str">
        <f>IF(OR($G600="",NOT(ISNUMBER($K600)),$AK600=0),"",MAX(0,ReportDate-$K600))</f>
        <v/>
      </c>
      <c r="AD600" s="69" t="str">
        <f>IF($G600="","",IF($AL600=1,ReportDate-$L600,0))</f>
        <v/>
      </c>
      <c r="AE600" s="70" t="str">
        <f>IF($G600="","",IF($M600="Completed",1,IF(ISNUMBER($N600),$N600,0)))</f>
        <v/>
      </c>
      <c r="AF600" s="70" t="str">
        <f>IF(AND(ISNUMBER($Q600),ISNUMBER($R600)),IF($R600&lt;&gt;0,$Q600/$R600,""),"")</f>
        <v/>
      </c>
      <c r="AG600" s="71" t="str">
        <f>IF($G600="","",IF($AL600=1,"OVERDUE",IF($AM600=1,"BLOCKED",IF($AN600=1,"DUE TODAY",IF($AO600=1,"DUE TOMORROW",IF($AQ600=1,"HIGH PRIORITY",IF($AR600=1,"NO RECENT UPDATE",""))))))) </f>
        <v/>
      </c>
      <c r="AH600" s="71" t="str">
        <f>IF($G600="","",IF(ISNUMBER($A600),IF(ISNUMBER($A600),YEAR($A600)&amp;"-"&amp;TEXT(MONTH($A600),"00"),""),IF(ISNUMBER($L600),IF(ISNUMBER($L600),YEAR($L600)&amp;"-"&amp;TEXT(MONTH($L600),"00"),""),"")))</f>
        <v/>
      </c>
      <c r="AI600" s="71">
        <f>IF($G600="",0,IF(AND(OR(fClient="All",$C600=fClient),OR(fCampaign="All",$D600=fCampaign),OR(fTeam="All",$B600=fTeam),OR(fChannel="All",$F600=fChannel),OR(fMonth="All",$AH600=fMonth),OR(fTStatus="All",$M600=fTStatus)),1,0))</f>
        <v>0</v>
      </c>
      <c r="AJ600" s="71">
        <f>IF($G600="",0,IF(AND(OR(fClient="All",$C600=fClient),OR(fCampaign="All",$D600=fCampaign),OR(fTeam="All",$B600=fTeam),OR(fChannel="All",$F600=fChannel)),1,0))</f>
        <v>0</v>
      </c>
      <c r="AK600" s="71">
        <f>IF($G600="",0,IF(OR($M600="Completed",$M600="Cancelled"),0,1))</f>
        <v>0</v>
      </c>
      <c r="AL600" s="71">
        <f>IF(AND($AK600=1,ISNUMBER($L600)),IF($L600&lt;ReportDate,1,0),0)</f>
        <v>0</v>
      </c>
      <c r="AM600" s="71">
        <f>IF(AND($G600&lt;&gt;"",$M600="Blocked"),1,0)</f>
        <v>0</v>
      </c>
      <c r="AN600" s="71">
        <f>IF(AND($AK600=1,ISNUMBER($L600)),IF($L600=ReportDate,1,0),0)</f>
        <v>0</v>
      </c>
      <c r="AO600" s="71">
        <f>IF(AND($AK600=1,ISNUMBER($L600)),IF($L600=ReportDate+1,1,0),0)</f>
        <v>0</v>
      </c>
      <c r="AP600" s="71">
        <f>IF(AND($AK600=1,ISNUMBER($L600)),IF(AND($L600&gt;=ReportDate,$L600&lt;=ReportDate+DueSoonDays),1,0),0)</f>
        <v>0</v>
      </c>
      <c r="AQ600" s="71">
        <f>IF(AND($AK600=1,OR($I600="Critical",$I600="High")),1,0)</f>
        <v>0</v>
      </c>
      <c r="AR600" s="71">
        <f>IF($AK600=1,IF(ISNUMBER($Y600),IF(ReportDate-$Y600&gt;StaleDays,1,0),1),0)</f>
        <v>0</v>
      </c>
      <c r="AS600" s="71">
        <f>IF(AND($G600&lt;&gt;"",ISNUMBER($Q600),ISNUMBER($R600)),IF(AND($Q600&lt;$R600,OR($M600="Completed",AND(ISNUMBER($L600),$L600&lt;ReportDate))),1,0),0)</f>
        <v>0</v>
      </c>
      <c r="AT600" s="71">
        <f>IF($AK600=1,IF(OR($L600=ReportDate,$W600=ReportDate,$K600=ReportDate,$A600=ReportDate),1,0),0)</f>
        <v>0</v>
      </c>
      <c r="AU600" s="71">
        <f>IF($AK600=1,IF(OR($L600=ReportDate+1,$W600=ReportDate+1,$K600=ReportDate+1,$A600=ReportDate+1),1,0),0)</f>
        <v>0</v>
      </c>
      <c r="AV600" s="71">
        <f>IF(AND($G600&lt;&gt;"",$M600="Completed"),IF(OR($Y600=ReportDate-1,$A600=ReportDate-1),1,0),0)</f>
        <v>0</v>
      </c>
      <c r="AW600" s="71">
        <f>IF(AND($AK600=1,$Z600="Yes"),1,0)</f>
        <v>0</v>
      </c>
      <c r="AX600" s="71">
        <f>IF(AND($AK600=1,$AA600="Yes"),1,0)</f>
        <v>0</v>
      </c>
      <c r="AY600" s="71">
        <f>IF(AND($AM600=1,OR($I600="Critical",$I600="High")),1,0)</f>
        <v>0</v>
      </c>
      <c r="AZ600" s="71">
        <f>IF(AND($AK600=1,OR($C600=TCL_Client,$C600=MECCA_Client)),1,0)</f>
        <v>0</v>
      </c>
      <c r="BA600" s="71" t="str">
        <f>IF($G600="","",IFERROR(MATCH($I600,lst_Priority,0),5))</f>
        <v/>
      </c>
      <c r="BB600" s="71" t="str">
        <f>IF(AND($AL600=1,$AJ600=1),$BA600*100000+ROW(),"")</f>
        <v/>
      </c>
      <c r="BC600" s="71" t="str">
        <f>IF(AND($AM600=1,$AJ600=1),$BA600*100000+ROW(),"")</f>
        <v/>
      </c>
      <c r="BD600" s="71" t="str">
        <f>IF(AND($AP600=1,$AJ600=1),$BA600*100000+ROW(),"")</f>
        <v/>
      </c>
      <c r="BE600" s="71" t="str">
        <f>IF(AND($AT600=1,$AJ600=1),$BA600*100000+ROW(),"")</f>
        <v/>
      </c>
      <c r="BF600" s="71" t="str">
        <f>IF(AND($AU600=1,$AJ600=1),$BA600*100000+ROW(),"")</f>
        <v/>
      </c>
      <c r="BG600" s="71" t="str">
        <f>IF(AND($AV600=1,$AJ600=1),$BA600*100000+ROW(),"")</f>
        <v/>
      </c>
      <c r="BH600" s="71" t="str">
        <f>IF(AND($AW600=1,$AJ600=1),$BA600*100000+ROW(),"")</f>
        <v/>
      </c>
      <c r="BI600" s="71" t="str">
        <f>IF(AND($AX600=1,$AJ600=1),$BA600*100000+ROW(),"")</f>
        <v/>
      </c>
      <c r="BJ600" s="71" t="str">
        <f>IF(AND($AS600=1,$AJ600=1),$BA600*100000+ROW(),"")</f>
        <v/>
      </c>
      <c r="BK600" s="71" t="str">
        <f>IF(AND($AY600=1,$AJ600=1),$BA600*100000+ROW(),"")</f>
        <v/>
      </c>
      <c r="BL600" s="71" t="str">
        <f>IF(AND($AZ600=1),$BA600*100000+ROW(),"")</f>
        <v/>
      </c>
    </row>
    <row r="601">
      <c r="A601" s="63" t="n"/>
      <c r="B601" s="64" t="n"/>
      <c r="C601" s="64" t="n"/>
      <c r="D601" s="64" t="n"/>
      <c r="E601" s="64" t="n"/>
      <c r="F601" s="64" t="n"/>
      <c r="G601" s="65" t="n"/>
      <c r="H601" s="65" t="n"/>
      <c r="I601" s="64" t="n"/>
      <c r="J601" s="64" t="n"/>
      <c r="K601" s="63" t="n"/>
      <c r="L601" s="63" t="n"/>
      <c r="M601" s="64" t="n"/>
      <c r="N601" s="66" t="n"/>
      <c r="O601" s="65" t="n"/>
      <c r="P601" s="64" t="n"/>
      <c r="Q601" s="67" t="n"/>
      <c r="R601" s="67" t="n"/>
      <c r="S601" s="68" t="str">
        <f>IF(AND(ISNUMBER($Q601),ISNUMBER($R601)),$Q601-$R601,"")</f>
        <v/>
      </c>
      <c r="T601" s="65" t="n"/>
      <c r="U601" s="64" t="n"/>
      <c r="V601" s="65" t="n"/>
      <c r="W601" s="63" t="n"/>
      <c r="X601" s="65" t="n"/>
      <c r="Y601" s="63" t="n"/>
      <c r="Z601" s="64" t="n"/>
      <c r="AA601" s="64" t="n"/>
      <c r="AB601" s="65" t="n"/>
      <c r="AC601" s="69" t="str">
        <f>IF(OR($G601="",NOT(ISNUMBER($K601)),$AK601=0),"",MAX(0,ReportDate-$K601))</f>
        <v/>
      </c>
      <c r="AD601" s="69" t="str">
        <f>IF($G601="","",IF($AL601=1,ReportDate-$L601,0))</f>
        <v/>
      </c>
      <c r="AE601" s="70" t="str">
        <f>IF($G601="","",IF($M601="Completed",1,IF(ISNUMBER($N601),$N601,0)))</f>
        <v/>
      </c>
      <c r="AF601" s="70" t="str">
        <f>IF(AND(ISNUMBER($Q601),ISNUMBER($R601)),IF($R601&lt;&gt;0,$Q601/$R601,""),"")</f>
        <v/>
      </c>
      <c r="AG601" s="71" t="str">
        <f>IF($G601="","",IF($AL601=1,"OVERDUE",IF($AM601=1,"BLOCKED",IF($AN601=1,"DUE TODAY",IF($AO601=1,"DUE TOMORROW",IF($AQ601=1,"HIGH PRIORITY",IF($AR601=1,"NO RECENT UPDATE",""))))))) </f>
        <v/>
      </c>
      <c r="AH601" s="71" t="str">
        <f>IF($G601="","",IF(ISNUMBER($A601),IF(ISNUMBER($A601),YEAR($A601)&amp;"-"&amp;TEXT(MONTH($A601),"00"),""),IF(ISNUMBER($L601),IF(ISNUMBER($L601),YEAR($L601)&amp;"-"&amp;TEXT(MONTH($L601),"00"),""),"")))</f>
        <v/>
      </c>
      <c r="AI601" s="71">
        <f>IF($G601="",0,IF(AND(OR(fClient="All",$C601=fClient),OR(fCampaign="All",$D601=fCampaign),OR(fTeam="All",$B601=fTeam),OR(fChannel="All",$F601=fChannel),OR(fMonth="All",$AH601=fMonth),OR(fTStatus="All",$M601=fTStatus)),1,0))</f>
        <v>0</v>
      </c>
      <c r="AJ601" s="71">
        <f>IF($G601="",0,IF(AND(OR(fClient="All",$C601=fClient),OR(fCampaign="All",$D601=fCampaign),OR(fTeam="All",$B601=fTeam),OR(fChannel="All",$F601=fChannel)),1,0))</f>
        <v>0</v>
      </c>
      <c r="AK601" s="71">
        <f>IF($G601="",0,IF(OR($M601="Completed",$M601="Cancelled"),0,1))</f>
        <v>0</v>
      </c>
      <c r="AL601" s="71">
        <f>IF(AND($AK601=1,ISNUMBER($L601)),IF($L601&lt;ReportDate,1,0),0)</f>
        <v>0</v>
      </c>
      <c r="AM601" s="71">
        <f>IF(AND($G601&lt;&gt;"",$M601="Blocked"),1,0)</f>
        <v>0</v>
      </c>
      <c r="AN601" s="71">
        <f>IF(AND($AK601=1,ISNUMBER($L601)),IF($L601=ReportDate,1,0),0)</f>
        <v>0</v>
      </c>
      <c r="AO601" s="71">
        <f>IF(AND($AK601=1,ISNUMBER($L601)),IF($L601=ReportDate+1,1,0),0)</f>
        <v>0</v>
      </c>
      <c r="AP601" s="71">
        <f>IF(AND($AK601=1,ISNUMBER($L601)),IF(AND($L601&gt;=ReportDate,$L601&lt;=ReportDate+DueSoonDays),1,0),0)</f>
        <v>0</v>
      </c>
      <c r="AQ601" s="71">
        <f>IF(AND($AK601=1,OR($I601="Critical",$I601="High")),1,0)</f>
        <v>0</v>
      </c>
      <c r="AR601" s="71">
        <f>IF($AK601=1,IF(ISNUMBER($Y601),IF(ReportDate-$Y601&gt;StaleDays,1,0),1),0)</f>
        <v>0</v>
      </c>
      <c r="AS601" s="71">
        <f>IF(AND($G601&lt;&gt;"",ISNUMBER($Q601),ISNUMBER($R601)),IF(AND($Q601&lt;$R601,OR($M601="Completed",AND(ISNUMBER($L601),$L601&lt;ReportDate))),1,0),0)</f>
        <v>0</v>
      </c>
      <c r="AT601" s="71">
        <f>IF($AK601=1,IF(OR($L601=ReportDate,$W601=ReportDate,$K601=ReportDate,$A601=ReportDate),1,0),0)</f>
        <v>0</v>
      </c>
      <c r="AU601" s="71">
        <f>IF($AK601=1,IF(OR($L601=ReportDate+1,$W601=ReportDate+1,$K601=ReportDate+1,$A601=ReportDate+1),1,0),0)</f>
        <v>0</v>
      </c>
      <c r="AV601" s="71">
        <f>IF(AND($G601&lt;&gt;"",$M601="Completed"),IF(OR($Y601=ReportDate-1,$A601=ReportDate-1),1,0),0)</f>
        <v>0</v>
      </c>
      <c r="AW601" s="71">
        <f>IF(AND($AK601=1,$Z601="Yes"),1,0)</f>
        <v>0</v>
      </c>
      <c r="AX601" s="71">
        <f>IF(AND($AK601=1,$AA601="Yes"),1,0)</f>
        <v>0</v>
      </c>
      <c r="AY601" s="71">
        <f>IF(AND($AM601=1,OR($I601="Critical",$I601="High")),1,0)</f>
        <v>0</v>
      </c>
      <c r="AZ601" s="71">
        <f>IF(AND($AK601=1,OR($C601=TCL_Client,$C601=MECCA_Client)),1,0)</f>
        <v>0</v>
      </c>
      <c r="BA601" s="71" t="str">
        <f>IF($G601="","",IFERROR(MATCH($I601,lst_Priority,0),5))</f>
        <v/>
      </c>
      <c r="BB601" s="71" t="str">
        <f>IF(AND($AL601=1,$AJ601=1),$BA601*100000+ROW(),"")</f>
        <v/>
      </c>
      <c r="BC601" s="71" t="str">
        <f>IF(AND($AM601=1,$AJ601=1),$BA601*100000+ROW(),"")</f>
        <v/>
      </c>
      <c r="BD601" s="71" t="str">
        <f>IF(AND($AP601=1,$AJ601=1),$BA601*100000+ROW(),"")</f>
        <v/>
      </c>
      <c r="BE601" s="71" t="str">
        <f>IF(AND($AT601=1,$AJ601=1),$BA601*100000+ROW(),"")</f>
        <v/>
      </c>
      <c r="BF601" s="71" t="str">
        <f>IF(AND($AU601=1,$AJ601=1),$BA601*100000+ROW(),"")</f>
        <v/>
      </c>
      <c r="BG601" s="71" t="str">
        <f>IF(AND($AV601=1,$AJ601=1),$BA601*100000+ROW(),"")</f>
        <v/>
      </c>
      <c r="BH601" s="71" t="str">
        <f>IF(AND($AW601=1,$AJ601=1),$BA601*100000+ROW(),"")</f>
        <v/>
      </c>
      <c r="BI601" s="71" t="str">
        <f>IF(AND($AX601=1,$AJ601=1),$BA601*100000+ROW(),"")</f>
        <v/>
      </c>
      <c r="BJ601" s="71" t="str">
        <f>IF(AND($AS601=1,$AJ601=1),$BA601*100000+ROW(),"")</f>
        <v/>
      </c>
      <c r="BK601" s="71" t="str">
        <f>IF(AND($AY601=1,$AJ601=1),$BA601*100000+ROW(),"")</f>
        <v/>
      </c>
      <c r="BL601" s="71" t="str">
        <f>IF(AND($AZ601=1),$BA601*100000+ROW(),"")</f>
        <v/>
      </c>
    </row>
    <row r="602">
      <c r="A602" s="63" t="n"/>
      <c r="B602" s="64" t="n"/>
      <c r="C602" s="64" t="n"/>
      <c r="D602" s="64" t="n"/>
      <c r="E602" s="64" t="n"/>
      <c r="F602" s="64" t="n"/>
      <c r="G602" s="65" t="n"/>
      <c r="H602" s="65" t="n"/>
      <c r="I602" s="64" t="n"/>
      <c r="J602" s="64" t="n"/>
      <c r="K602" s="63" t="n"/>
      <c r="L602" s="63" t="n"/>
      <c r="M602" s="64" t="n"/>
      <c r="N602" s="66" t="n"/>
      <c r="O602" s="65" t="n"/>
      <c r="P602" s="64" t="n"/>
      <c r="Q602" s="67" t="n"/>
      <c r="R602" s="67" t="n"/>
      <c r="S602" s="68" t="str">
        <f>IF(AND(ISNUMBER($Q602),ISNUMBER($R602)),$Q602-$R602,"")</f>
        <v/>
      </c>
      <c r="T602" s="65" t="n"/>
      <c r="U602" s="64" t="n"/>
      <c r="V602" s="65" t="n"/>
      <c r="W602" s="63" t="n"/>
      <c r="X602" s="65" t="n"/>
      <c r="Y602" s="63" t="n"/>
      <c r="Z602" s="64" t="n"/>
      <c r="AA602" s="64" t="n"/>
      <c r="AB602" s="65" t="n"/>
      <c r="AC602" s="69" t="str">
        <f>IF(OR($G602="",NOT(ISNUMBER($K602)),$AK602=0),"",MAX(0,ReportDate-$K602))</f>
        <v/>
      </c>
      <c r="AD602" s="69" t="str">
        <f>IF($G602="","",IF($AL602=1,ReportDate-$L602,0))</f>
        <v/>
      </c>
      <c r="AE602" s="70" t="str">
        <f>IF($G602="","",IF($M602="Completed",1,IF(ISNUMBER($N602),$N602,0)))</f>
        <v/>
      </c>
      <c r="AF602" s="70" t="str">
        <f>IF(AND(ISNUMBER($Q602),ISNUMBER($R602)),IF($R602&lt;&gt;0,$Q602/$R602,""),"")</f>
        <v/>
      </c>
      <c r="AG602" s="71" t="str">
        <f>IF($G602="","",IF($AL602=1,"OVERDUE",IF($AM602=1,"BLOCKED",IF($AN602=1,"DUE TODAY",IF($AO602=1,"DUE TOMORROW",IF($AQ602=1,"HIGH PRIORITY",IF($AR602=1,"NO RECENT UPDATE",""))))))) </f>
        <v/>
      </c>
      <c r="AH602" s="71" t="str">
        <f>IF($G602="","",IF(ISNUMBER($A602),IF(ISNUMBER($A602),YEAR($A602)&amp;"-"&amp;TEXT(MONTH($A602),"00"),""),IF(ISNUMBER($L602),IF(ISNUMBER($L602),YEAR($L602)&amp;"-"&amp;TEXT(MONTH($L602),"00"),""),"")))</f>
        <v/>
      </c>
      <c r="AI602" s="71">
        <f>IF($G602="",0,IF(AND(OR(fClient="All",$C602=fClient),OR(fCampaign="All",$D602=fCampaign),OR(fTeam="All",$B602=fTeam),OR(fChannel="All",$F602=fChannel),OR(fMonth="All",$AH602=fMonth),OR(fTStatus="All",$M602=fTStatus)),1,0))</f>
        <v>0</v>
      </c>
      <c r="AJ602" s="71">
        <f>IF($G602="",0,IF(AND(OR(fClient="All",$C602=fClient),OR(fCampaign="All",$D602=fCampaign),OR(fTeam="All",$B602=fTeam),OR(fChannel="All",$F602=fChannel)),1,0))</f>
        <v>0</v>
      </c>
      <c r="AK602" s="71">
        <f>IF($G602="",0,IF(OR($M602="Completed",$M602="Cancelled"),0,1))</f>
        <v>0</v>
      </c>
      <c r="AL602" s="71">
        <f>IF(AND($AK602=1,ISNUMBER($L602)),IF($L602&lt;ReportDate,1,0),0)</f>
        <v>0</v>
      </c>
      <c r="AM602" s="71">
        <f>IF(AND($G602&lt;&gt;"",$M602="Blocked"),1,0)</f>
        <v>0</v>
      </c>
      <c r="AN602" s="71">
        <f>IF(AND($AK602=1,ISNUMBER($L602)),IF($L602=ReportDate,1,0),0)</f>
        <v>0</v>
      </c>
      <c r="AO602" s="71">
        <f>IF(AND($AK602=1,ISNUMBER($L602)),IF($L602=ReportDate+1,1,0),0)</f>
        <v>0</v>
      </c>
      <c r="AP602" s="71">
        <f>IF(AND($AK602=1,ISNUMBER($L602)),IF(AND($L602&gt;=ReportDate,$L602&lt;=ReportDate+DueSoonDays),1,0),0)</f>
        <v>0</v>
      </c>
      <c r="AQ602" s="71">
        <f>IF(AND($AK602=1,OR($I602="Critical",$I602="High")),1,0)</f>
        <v>0</v>
      </c>
      <c r="AR602" s="71">
        <f>IF($AK602=1,IF(ISNUMBER($Y602),IF(ReportDate-$Y602&gt;StaleDays,1,0),1),0)</f>
        <v>0</v>
      </c>
      <c r="AS602" s="71">
        <f>IF(AND($G602&lt;&gt;"",ISNUMBER($Q602),ISNUMBER($R602)),IF(AND($Q602&lt;$R602,OR($M602="Completed",AND(ISNUMBER($L602),$L602&lt;ReportDate))),1,0),0)</f>
        <v>0</v>
      </c>
      <c r="AT602" s="71">
        <f>IF($AK602=1,IF(OR($L602=ReportDate,$W602=ReportDate,$K602=ReportDate,$A602=ReportDate),1,0),0)</f>
        <v>0</v>
      </c>
      <c r="AU602" s="71">
        <f>IF($AK602=1,IF(OR($L602=ReportDate+1,$W602=ReportDate+1,$K602=ReportDate+1,$A602=ReportDate+1),1,0),0)</f>
        <v>0</v>
      </c>
      <c r="AV602" s="71">
        <f>IF(AND($G602&lt;&gt;"",$M602="Completed"),IF(OR($Y602=ReportDate-1,$A602=ReportDate-1),1,0),0)</f>
        <v>0</v>
      </c>
      <c r="AW602" s="71">
        <f>IF(AND($AK602=1,$Z602="Yes"),1,0)</f>
        <v>0</v>
      </c>
      <c r="AX602" s="71">
        <f>IF(AND($AK602=1,$AA602="Yes"),1,0)</f>
        <v>0</v>
      </c>
      <c r="AY602" s="71">
        <f>IF(AND($AM602=1,OR($I602="Critical",$I602="High")),1,0)</f>
        <v>0</v>
      </c>
      <c r="AZ602" s="71">
        <f>IF(AND($AK602=1,OR($C602=TCL_Client,$C602=MECCA_Client)),1,0)</f>
        <v>0</v>
      </c>
      <c r="BA602" s="71" t="str">
        <f>IF($G602="","",IFERROR(MATCH($I602,lst_Priority,0),5))</f>
        <v/>
      </c>
      <c r="BB602" s="71" t="str">
        <f>IF(AND($AL602=1,$AJ602=1),$BA602*100000+ROW(),"")</f>
        <v/>
      </c>
      <c r="BC602" s="71" t="str">
        <f>IF(AND($AM602=1,$AJ602=1),$BA602*100000+ROW(),"")</f>
        <v/>
      </c>
      <c r="BD602" s="71" t="str">
        <f>IF(AND($AP602=1,$AJ602=1),$BA602*100000+ROW(),"")</f>
        <v/>
      </c>
      <c r="BE602" s="71" t="str">
        <f>IF(AND($AT602=1,$AJ602=1),$BA602*100000+ROW(),"")</f>
        <v/>
      </c>
      <c r="BF602" s="71" t="str">
        <f>IF(AND($AU602=1,$AJ602=1),$BA602*100000+ROW(),"")</f>
        <v/>
      </c>
      <c r="BG602" s="71" t="str">
        <f>IF(AND($AV602=1,$AJ602=1),$BA602*100000+ROW(),"")</f>
        <v/>
      </c>
      <c r="BH602" s="71" t="str">
        <f>IF(AND($AW602=1,$AJ602=1),$BA602*100000+ROW(),"")</f>
        <v/>
      </c>
      <c r="BI602" s="71" t="str">
        <f>IF(AND($AX602=1,$AJ602=1),$BA602*100000+ROW(),"")</f>
        <v/>
      </c>
      <c r="BJ602" s="71" t="str">
        <f>IF(AND($AS602=1,$AJ602=1),$BA602*100000+ROW(),"")</f>
        <v/>
      </c>
      <c r="BK602" s="71" t="str">
        <f>IF(AND($AY602=1,$AJ602=1),$BA602*100000+ROW(),"")</f>
        <v/>
      </c>
      <c r="BL602" s="71" t="str">
        <f>IF(AND($AZ602=1),$BA602*100000+ROW(),"")</f>
        <v/>
      </c>
    </row>
    <row r="603">
      <c r="A603" s="63" t="n"/>
      <c r="B603" s="64" t="n"/>
      <c r="C603" s="64" t="n"/>
      <c r="D603" s="64" t="n"/>
      <c r="E603" s="64" t="n"/>
      <c r="F603" s="64" t="n"/>
      <c r="G603" s="65" t="n"/>
      <c r="H603" s="65" t="n"/>
      <c r="I603" s="64" t="n"/>
      <c r="J603" s="64" t="n"/>
      <c r="K603" s="63" t="n"/>
      <c r="L603" s="63" t="n"/>
      <c r="M603" s="64" t="n"/>
      <c r="N603" s="66" t="n"/>
      <c r="O603" s="65" t="n"/>
      <c r="P603" s="64" t="n"/>
      <c r="Q603" s="67" t="n"/>
      <c r="R603" s="67" t="n"/>
      <c r="S603" s="68" t="str">
        <f>IF(AND(ISNUMBER($Q603),ISNUMBER($R603)),$Q603-$R603,"")</f>
        <v/>
      </c>
      <c r="T603" s="65" t="n"/>
      <c r="U603" s="64" t="n"/>
      <c r="V603" s="65" t="n"/>
      <c r="W603" s="63" t="n"/>
      <c r="X603" s="65" t="n"/>
      <c r="Y603" s="63" t="n"/>
      <c r="Z603" s="64" t="n"/>
      <c r="AA603" s="64" t="n"/>
      <c r="AB603" s="65" t="n"/>
      <c r="AC603" s="69" t="str">
        <f>IF(OR($G603="",NOT(ISNUMBER($K603)),$AK603=0),"",MAX(0,ReportDate-$K603))</f>
        <v/>
      </c>
      <c r="AD603" s="69" t="str">
        <f>IF($G603="","",IF($AL603=1,ReportDate-$L603,0))</f>
        <v/>
      </c>
      <c r="AE603" s="70" t="str">
        <f>IF($G603="","",IF($M603="Completed",1,IF(ISNUMBER($N603),$N603,0)))</f>
        <v/>
      </c>
      <c r="AF603" s="70" t="str">
        <f>IF(AND(ISNUMBER($Q603),ISNUMBER($R603)),IF($R603&lt;&gt;0,$Q603/$R603,""),"")</f>
        <v/>
      </c>
      <c r="AG603" s="71" t="str">
        <f>IF($G603="","",IF($AL603=1,"OVERDUE",IF($AM603=1,"BLOCKED",IF($AN603=1,"DUE TODAY",IF($AO603=1,"DUE TOMORROW",IF($AQ603=1,"HIGH PRIORITY",IF($AR603=1,"NO RECENT UPDATE",""))))))) </f>
        <v/>
      </c>
      <c r="AH603" s="71" t="str">
        <f>IF($G603="","",IF(ISNUMBER($A603),IF(ISNUMBER($A603),YEAR($A603)&amp;"-"&amp;TEXT(MONTH($A603),"00"),""),IF(ISNUMBER($L603),IF(ISNUMBER($L603),YEAR($L603)&amp;"-"&amp;TEXT(MONTH($L603),"00"),""),"")))</f>
        <v/>
      </c>
      <c r="AI603" s="71">
        <f>IF($G603="",0,IF(AND(OR(fClient="All",$C603=fClient),OR(fCampaign="All",$D603=fCampaign),OR(fTeam="All",$B603=fTeam),OR(fChannel="All",$F603=fChannel),OR(fMonth="All",$AH603=fMonth),OR(fTStatus="All",$M603=fTStatus)),1,0))</f>
        <v>0</v>
      </c>
      <c r="AJ603" s="71">
        <f>IF($G603="",0,IF(AND(OR(fClient="All",$C603=fClient),OR(fCampaign="All",$D603=fCampaign),OR(fTeam="All",$B603=fTeam),OR(fChannel="All",$F603=fChannel)),1,0))</f>
        <v>0</v>
      </c>
      <c r="AK603" s="71">
        <f>IF($G603="",0,IF(OR($M603="Completed",$M603="Cancelled"),0,1))</f>
        <v>0</v>
      </c>
      <c r="AL603" s="71">
        <f>IF(AND($AK603=1,ISNUMBER($L603)),IF($L603&lt;ReportDate,1,0),0)</f>
        <v>0</v>
      </c>
      <c r="AM603" s="71">
        <f>IF(AND($G603&lt;&gt;"",$M603="Blocked"),1,0)</f>
        <v>0</v>
      </c>
      <c r="AN603" s="71">
        <f>IF(AND($AK603=1,ISNUMBER($L603)),IF($L603=ReportDate,1,0),0)</f>
        <v>0</v>
      </c>
      <c r="AO603" s="71">
        <f>IF(AND($AK603=1,ISNUMBER($L603)),IF($L603=ReportDate+1,1,0),0)</f>
        <v>0</v>
      </c>
      <c r="AP603" s="71">
        <f>IF(AND($AK603=1,ISNUMBER($L603)),IF(AND($L603&gt;=ReportDate,$L603&lt;=ReportDate+DueSoonDays),1,0),0)</f>
        <v>0</v>
      </c>
      <c r="AQ603" s="71">
        <f>IF(AND($AK603=1,OR($I603="Critical",$I603="High")),1,0)</f>
        <v>0</v>
      </c>
      <c r="AR603" s="71">
        <f>IF($AK603=1,IF(ISNUMBER($Y603),IF(ReportDate-$Y603&gt;StaleDays,1,0),1),0)</f>
        <v>0</v>
      </c>
      <c r="AS603" s="71">
        <f>IF(AND($G603&lt;&gt;"",ISNUMBER($Q603),ISNUMBER($R603)),IF(AND($Q603&lt;$R603,OR($M603="Completed",AND(ISNUMBER($L603),$L603&lt;ReportDate))),1,0),0)</f>
        <v>0</v>
      </c>
      <c r="AT603" s="71">
        <f>IF($AK603=1,IF(OR($L603=ReportDate,$W603=ReportDate,$K603=ReportDate,$A603=ReportDate),1,0),0)</f>
        <v>0</v>
      </c>
      <c r="AU603" s="71">
        <f>IF($AK603=1,IF(OR($L603=ReportDate+1,$W603=ReportDate+1,$K603=ReportDate+1,$A603=ReportDate+1),1,0),0)</f>
        <v>0</v>
      </c>
      <c r="AV603" s="71">
        <f>IF(AND($G603&lt;&gt;"",$M603="Completed"),IF(OR($Y603=ReportDate-1,$A603=ReportDate-1),1,0),0)</f>
        <v>0</v>
      </c>
      <c r="AW603" s="71">
        <f>IF(AND($AK603=1,$Z603="Yes"),1,0)</f>
        <v>0</v>
      </c>
      <c r="AX603" s="71">
        <f>IF(AND($AK603=1,$AA603="Yes"),1,0)</f>
        <v>0</v>
      </c>
      <c r="AY603" s="71">
        <f>IF(AND($AM603=1,OR($I603="Critical",$I603="High")),1,0)</f>
        <v>0</v>
      </c>
      <c r="AZ603" s="71">
        <f>IF(AND($AK603=1,OR($C603=TCL_Client,$C603=MECCA_Client)),1,0)</f>
        <v>0</v>
      </c>
      <c r="BA603" s="71" t="str">
        <f>IF($G603="","",IFERROR(MATCH($I603,lst_Priority,0),5))</f>
        <v/>
      </c>
      <c r="BB603" s="71" t="str">
        <f>IF(AND($AL603=1,$AJ603=1),$BA603*100000+ROW(),"")</f>
        <v/>
      </c>
      <c r="BC603" s="71" t="str">
        <f>IF(AND($AM603=1,$AJ603=1),$BA603*100000+ROW(),"")</f>
        <v/>
      </c>
      <c r="BD603" s="71" t="str">
        <f>IF(AND($AP603=1,$AJ603=1),$BA603*100000+ROW(),"")</f>
        <v/>
      </c>
      <c r="BE603" s="71" t="str">
        <f>IF(AND($AT603=1,$AJ603=1),$BA603*100000+ROW(),"")</f>
        <v/>
      </c>
      <c r="BF603" s="71" t="str">
        <f>IF(AND($AU603=1,$AJ603=1),$BA603*100000+ROW(),"")</f>
        <v/>
      </c>
      <c r="BG603" s="71" t="str">
        <f>IF(AND($AV603=1,$AJ603=1),$BA603*100000+ROW(),"")</f>
        <v/>
      </c>
      <c r="BH603" s="71" t="str">
        <f>IF(AND($AW603=1,$AJ603=1),$BA603*100000+ROW(),"")</f>
        <v/>
      </c>
      <c r="BI603" s="71" t="str">
        <f>IF(AND($AX603=1,$AJ603=1),$BA603*100000+ROW(),"")</f>
        <v/>
      </c>
      <c r="BJ603" s="71" t="str">
        <f>IF(AND($AS603=1,$AJ603=1),$BA603*100000+ROW(),"")</f>
        <v/>
      </c>
      <c r="BK603" s="71" t="str">
        <f>IF(AND($AY603=1,$AJ603=1),$BA603*100000+ROW(),"")</f>
        <v/>
      </c>
      <c r="BL603" s="71" t="str">
        <f>IF(AND($AZ603=1),$BA603*100000+ROW(),"")</f>
        <v/>
      </c>
    </row>
    <row r="604">
      <c r="A604" s="63" t="n"/>
      <c r="B604" s="64" t="n"/>
      <c r="C604" s="64" t="n"/>
      <c r="D604" s="64" t="n"/>
      <c r="E604" s="64" t="n"/>
      <c r="F604" s="64" t="n"/>
      <c r="G604" s="65" t="n"/>
      <c r="H604" s="65" t="n"/>
      <c r="I604" s="64" t="n"/>
      <c r="J604" s="64" t="n"/>
      <c r="K604" s="63" t="n"/>
      <c r="L604" s="63" t="n"/>
      <c r="M604" s="64" t="n"/>
      <c r="N604" s="66" t="n"/>
      <c r="O604" s="65" t="n"/>
      <c r="P604" s="64" t="n"/>
      <c r="Q604" s="67" t="n"/>
      <c r="R604" s="67" t="n"/>
      <c r="S604" s="68" t="str">
        <f>IF(AND(ISNUMBER($Q604),ISNUMBER($R604)),$Q604-$R604,"")</f>
        <v/>
      </c>
      <c r="T604" s="65" t="n"/>
      <c r="U604" s="64" t="n"/>
      <c r="V604" s="65" t="n"/>
      <c r="W604" s="63" t="n"/>
      <c r="X604" s="65" t="n"/>
      <c r="Y604" s="63" t="n"/>
      <c r="Z604" s="64" t="n"/>
      <c r="AA604" s="64" t="n"/>
      <c r="AB604" s="65" t="n"/>
      <c r="AC604" s="69" t="str">
        <f>IF(OR($G604="",NOT(ISNUMBER($K604)),$AK604=0),"",MAX(0,ReportDate-$K604))</f>
        <v/>
      </c>
      <c r="AD604" s="69" t="str">
        <f>IF($G604="","",IF($AL604=1,ReportDate-$L604,0))</f>
        <v/>
      </c>
      <c r="AE604" s="70" t="str">
        <f>IF($G604="","",IF($M604="Completed",1,IF(ISNUMBER($N604),$N604,0)))</f>
        <v/>
      </c>
      <c r="AF604" s="70" t="str">
        <f>IF(AND(ISNUMBER($Q604),ISNUMBER($R604)),IF($R604&lt;&gt;0,$Q604/$R604,""),"")</f>
        <v/>
      </c>
      <c r="AG604" s="71" t="str">
        <f>IF($G604="","",IF($AL604=1,"OVERDUE",IF($AM604=1,"BLOCKED",IF($AN604=1,"DUE TODAY",IF($AO604=1,"DUE TOMORROW",IF($AQ604=1,"HIGH PRIORITY",IF($AR604=1,"NO RECENT UPDATE",""))))))) </f>
        <v/>
      </c>
      <c r="AH604" s="71" t="str">
        <f>IF($G604="","",IF(ISNUMBER($A604),IF(ISNUMBER($A604),YEAR($A604)&amp;"-"&amp;TEXT(MONTH($A604),"00"),""),IF(ISNUMBER($L604),IF(ISNUMBER($L604),YEAR($L604)&amp;"-"&amp;TEXT(MONTH($L604),"00"),""),"")))</f>
        <v/>
      </c>
      <c r="AI604" s="71">
        <f>IF($G604="",0,IF(AND(OR(fClient="All",$C604=fClient),OR(fCampaign="All",$D604=fCampaign),OR(fTeam="All",$B604=fTeam),OR(fChannel="All",$F604=fChannel),OR(fMonth="All",$AH604=fMonth),OR(fTStatus="All",$M604=fTStatus)),1,0))</f>
        <v>0</v>
      </c>
      <c r="AJ604" s="71">
        <f>IF($G604="",0,IF(AND(OR(fClient="All",$C604=fClient),OR(fCampaign="All",$D604=fCampaign),OR(fTeam="All",$B604=fTeam),OR(fChannel="All",$F604=fChannel)),1,0))</f>
        <v>0</v>
      </c>
      <c r="AK604" s="71">
        <f>IF($G604="",0,IF(OR($M604="Completed",$M604="Cancelled"),0,1))</f>
        <v>0</v>
      </c>
      <c r="AL604" s="71">
        <f>IF(AND($AK604=1,ISNUMBER($L604)),IF($L604&lt;ReportDate,1,0),0)</f>
        <v>0</v>
      </c>
      <c r="AM604" s="71">
        <f>IF(AND($G604&lt;&gt;"",$M604="Blocked"),1,0)</f>
        <v>0</v>
      </c>
      <c r="AN604" s="71">
        <f>IF(AND($AK604=1,ISNUMBER($L604)),IF($L604=ReportDate,1,0),0)</f>
        <v>0</v>
      </c>
      <c r="AO604" s="71">
        <f>IF(AND($AK604=1,ISNUMBER($L604)),IF($L604=ReportDate+1,1,0),0)</f>
        <v>0</v>
      </c>
      <c r="AP604" s="71">
        <f>IF(AND($AK604=1,ISNUMBER($L604)),IF(AND($L604&gt;=ReportDate,$L604&lt;=ReportDate+DueSoonDays),1,0),0)</f>
        <v>0</v>
      </c>
      <c r="AQ604" s="71">
        <f>IF(AND($AK604=1,OR($I604="Critical",$I604="High")),1,0)</f>
        <v>0</v>
      </c>
      <c r="AR604" s="71">
        <f>IF($AK604=1,IF(ISNUMBER($Y604),IF(ReportDate-$Y604&gt;StaleDays,1,0),1),0)</f>
        <v>0</v>
      </c>
      <c r="AS604" s="71">
        <f>IF(AND($G604&lt;&gt;"",ISNUMBER($Q604),ISNUMBER($R604)),IF(AND($Q604&lt;$R604,OR($M604="Completed",AND(ISNUMBER($L604),$L604&lt;ReportDate))),1,0),0)</f>
        <v>0</v>
      </c>
      <c r="AT604" s="71">
        <f>IF($AK604=1,IF(OR($L604=ReportDate,$W604=ReportDate,$K604=ReportDate,$A604=ReportDate),1,0),0)</f>
        <v>0</v>
      </c>
      <c r="AU604" s="71">
        <f>IF($AK604=1,IF(OR($L604=ReportDate+1,$W604=ReportDate+1,$K604=ReportDate+1,$A604=ReportDate+1),1,0),0)</f>
        <v>0</v>
      </c>
      <c r="AV604" s="71">
        <f>IF(AND($G604&lt;&gt;"",$M604="Completed"),IF(OR($Y604=ReportDate-1,$A604=ReportDate-1),1,0),0)</f>
        <v>0</v>
      </c>
      <c r="AW604" s="71">
        <f>IF(AND($AK604=1,$Z604="Yes"),1,0)</f>
        <v>0</v>
      </c>
      <c r="AX604" s="71">
        <f>IF(AND($AK604=1,$AA604="Yes"),1,0)</f>
        <v>0</v>
      </c>
      <c r="AY604" s="71">
        <f>IF(AND($AM604=1,OR($I604="Critical",$I604="High")),1,0)</f>
        <v>0</v>
      </c>
      <c r="AZ604" s="71">
        <f>IF(AND($AK604=1,OR($C604=TCL_Client,$C604=MECCA_Client)),1,0)</f>
        <v>0</v>
      </c>
      <c r="BA604" s="71" t="str">
        <f>IF($G604="","",IFERROR(MATCH($I604,lst_Priority,0),5))</f>
        <v/>
      </c>
      <c r="BB604" s="71" t="str">
        <f>IF(AND($AL604=1,$AJ604=1),$BA604*100000+ROW(),"")</f>
        <v/>
      </c>
      <c r="BC604" s="71" t="str">
        <f>IF(AND($AM604=1,$AJ604=1),$BA604*100000+ROW(),"")</f>
        <v/>
      </c>
      <c r="BD604" s="71" t="str">
        <f>IF(AND($AP604=1,$AJ604=1),$BA604*100000+ROW(),"")</f>
        <v/>
      </c>
      <c r="BE604" s="71" t="str">
        <f>IF(AND($AT604=1,$AJ604=1),$BA604*100000+ROW(),"")</f>
        <v/>
      </c>
      <c r="BF604" s="71" t="str">
        <f>IF(AND($AU604=1,$AJ604=1),$BA604*100000+ROW(),"")</f>
        <v/>
      </c>
      <c r="BG604" s="71" t="str">
        <f>IF(AND($AV604=1,$AJ604=1),$BA604*100000+ROW(),"")</f>
        <v/>
      </c>
      <c r="BH604" s="71" t="str">
        <f>IF(AND($AW604=1,$AJ604=1),$BA604*100000+ROW(),"")</f>
        <v/>
      </c>
      <c r="BI604" s="71" t="str">
        <f>IF(AND($AX604=1,$AJ604=1),$BA604*100000+ROW(),"")</f>
        <v/>
      </c>
      <c r="BJ604" s="71" t="str">
        <f>IF(AND($AS604=1,$AJ604=1),$BA604*100000+ROW(),"")</f>
        <v/>
      </c>
      <c r="BK604" s="71" t="str">
        <f>IF(AND($AY604=1,$AJ604=1),$BA604*100000+ROW(),"")</f>
        <v/>
      </c>
      <c r="BL604" s="71" t="str">
        <f>IF(AND($AZ604=1),$BA604*100000+ROW(),"")</f>
        <v/>
      </c>
    </row>
    <row r="605">
      <c r="A605" s="63" t="n"/>
      <c r="B605" s="64" t="n"/>
      <c r="C605" s="64" t="n"/>
      <c r="D605" s="64" t="n"/>
      <c r="E605" s="64" t="n"/>
      <c r="F605" s="64" t="n"/>
      <c r="G605" s="65" t="n"/>
      <c r="H605" s="65" t="n"/>
      <c r="I605" s="64" t="n"/>
      <c r="J605" s="64" t="n"/>
      <c r="K605" s="63" t="n"/>
      <c r="L605" s="63" t="n"/>
      <c r="M605" s="64" t="n"/>
      <c r="N605" s="66" t="n"/>
      <c r="O605" s="65" t="n"/>
      <c r="P605" s="64" t="n"/>
      <c r="Q605" s="67" t="n"/>
      <c r="R605" s="67" t="n"/>
      <c r="S605" s="68" t="str">
        <f>IF(AND(ISNUMBER($Q605),ISNUMBER($R605)),$Q605-$R605,"")</f>
        <v/>
      </c>
      <c r="T605" s="65" t="n"/>
      <c r="U605" s="64" t="n"/>
      <c r="V605" s="65" t="n"/>
      <c r="W605" s="63" t="n"/>
      <c r="X605" s="65" t="n"/>
      <c r="Y605" s="63" t="n"/>
      <c r="Z605" s="64" t="n"/>
      <c r="AA605" s="64" t="n"/>
      <c r="AB605" s="65" t="n"/>
      <c r="AC605" s="69" t="str">
        <f>IF(OR($G605="",NOT(ISNUMBER($K605)),$AK605=0),"",MAX(0,ReportDate-$K605))</f>
        <v/>
      </c>
      <c r="AD605" s="69" t="str">
        <f>IF($G605="","",IF($AL605=1,ReportDate-$L605,0))</f>
        <v/>
      </c>
      <c r="AE605" s="70" t="str">
        <f>IF($G605="","",IF($M605="Completed",1,IF(ISNUMBER($N605),$N605,0)))</f>
        <v/>
      </c>
      <c r="AF605" s="70" t="str">
        <f>IF(AND(ISNUMBER($Q605),ISNUMBER($R605)),IF($R605&lt;&gt;0,$Q605/$R605,""),"")</f>
        <v/>
      </c>
      <c r="AG605" s="71" t="str">
        <f>IF($G605="","",IF($AL605=1,"OVERDUE",IF($AM605=1,"BLOCKED",IF($AN605=1,"DUE TODAY",IF($AO605=1,"DUE TOMORROW",IF($AQ605=1,"HIGH PRIORITY",IF($AR605=1,"NO RECENT UPDATE",""))))))) </f>
        <v/>
      </c>
      <c r="AH605" s="71" t="str">
        <f>IF($G605="","",IF(ISNUMBER($A605),IF(ISNUMBER($A605),YEAR($A605)&amp;"-"&amp;TEXT(MONTH($A605),"00"),""),IF(ISNUMBER($L605),IF(ISNUMBER($L605),YEAR($L605)&amp;"-"&amp;TEXT(MONTH($L605),"00"),""),"")))</f>
        <v/>
      </c>
      <c r="AI605" s="71">
        <f>IF($G605="",0,IF(AND(OR(fClient="All",$C605=fClient),OR(fCampaign="All",$D605=fCampaign),OR(fTeam="All",$B605=fTeam),OR(fChannel="All",$F605=fChannel),OR(fMonth="All",$AH605=fMonth),OR(fTStatus="All",$M605=fTStatus)),1,0))</f>
        <v>0</v>
      </c>
      <c r="AJ605" s="71">
        <f>IF($G605="",0,IF(AND(OR(fClient="All",$C605=fClient),OR(fCampaign="All",$D605=fCampaign),OR(fTeam="All",$B605=fTeam),OR(fChannel="All",$F605=fChannel)),1,0))</f>
        <v>0</v>
      </c>
      <c r="AK605" s="71">
        <f>IF($G605="",0,IF(OR($M605="Completed",$M605="Cancelled"),0,1))</f>
        <v>0</v>
      </c>
      <c r="AL605" s="71">
        <f>IF(AND($AK605=1,ISNUMBER($L605)),IF($L605&lt;ReportDate,1,0),0)</f>
        <v>0</v>
      </c>
      <c r="AM605" s="71">
        <f>IF(AND($G605&lt;&gt;"",$M605="Blocked"),1,0)</f>
        <v>0</v>
      </c>
      <c r="AN605" s="71">
        <f>IF(AND($AK605=1,ISNUMBER($L605)),IF($L605=ReportDate,1,0),0)</f>
        <v>0</v>
      </c>
      <c r="AO605" s="71">
        <f>IF(AND($AK605=1,ISNUMBER($L605)),IF($L605=ReportDate+1,1,0),0)</f>
        <v>0</v>
      </c>
      <c r="AP605" s="71">
        <f>IF(AND($AK605=1,ISNUMBER($L605)),IF(AND($L605&gt;=ReportDate,$L605&lt;=ReportDate+DueSoonDays),1,0),0)</f>
        <v>0</v>
      </c>
      <c r="AQ605" s="71">
        <f>IF(AND($AK605=1,OR($I605="Critical",$I605="High")),1,0)</f>
        <v>0</v>
      </c>
      <c r="AR605" s="71">
        <f>IF($AK605=1,IF(ISNUMBER($Y605),IF(ReportDate-$Y605&gt;StaleDays,1,0),1),0)</f>
        <v>0</v>
      </c>
      <c r="AS605" s="71">
        <f>IF(AND($G605&lt;&gt;"",ISNUMBER($Q605),ISNUMBER($R605)),IF(AND($Q605&lt;$R605,OR($M605="Completed",AND(ISNUMBER($L605),$L605&lt;ReportDate))),1,0),0)</f>
        <v>0</v>
      </c>
      <c r="AT605" s="71">
        <f>IF($AK605=1,IF(OR($L605=ReportDate,$W605=ReportDate,$K605=ReportDate,$A605=ReportDate),1,0),0)</f>
        <v>0</v>
      </c>
      <c r="AU605" s="71">
        <f>IF($AK605=1,IF(OR($L605=ReportDate+1,$W605=ReportDate+1,$K605=ReportDate+1,$A605=ReportDate+1),1,0),0)</f>
        <v>0</v>
      </c>
      <c r="AV605" s="71">
        <f>IF(AND($G605&lt;&gt;"",$M605="Completed"),IF(OR($Y605=ReportDate-1,$A605=ReportDate-1),1,0),0)</f>
        <v>0</v>
      </c>
      <c r="AW605" s="71">
        <f>IF(AND($AK605=1,$Z605="Yes"),1,0)</f>
        <v>0</v>
      </c>
      <c r="AX605" s="71">
        <f>IF(AND($AK605=1,$AA605="Yes"),1,0)</f>
        <v>0</v>
      </c>
      <c r="AY605" s="71">
        <f>IF(AND($AM605=1,OR($I605="Critical",$I605="High")),1,0)</f>
        <v>0</v>
      </c>
      <c r="AZ605" s="71">
        <f>IF(AND($AK605=1,OR($C605=TCL_Client,$C605=MECCA_Client)),1,0)</f>
        <v>0</v>
      </c>
      <c r="BA605" s="71" t="str">
        <f>IF($G605="","",IFERROR(MATCH($I605,lst_Priority,0),5))</f>
        <v/>
      </c>
      <c r="BB605" s="71" t="str">
        <f>IF(AND($AL605=1,$AJ605=1),$BA605*100000+ROW(),"")</f>
        <v/>
      </c>
      <c r="BC605" s="71" t="str">
        <f>IF(AND($AM605=1,$AJ605=1),$BA605*100000+ROW(),"")</f>
        <v/>
      </c>
      <c r="BD605" s="71" t="str">
        <f>IF(AND($AP605=1,$AJ605=1),$BA605*100000+ROW(),"")</f>
        <v/>
      </c>
      <c r="BE605" s="71" t="str">
        <f>IF(AND($AT605=1,$AJ605=1),$BA605*100000+ROW(),"")</f>
        <v/>
      </c>
      <c r="BF605" s="71" t="str">
        <f>IF(AND($AU605=1,$AJ605=1),$BA605*100000+ROW(),"")</f>
        <v/>
      </c>
      <c r="BG605" s="71" t="str">
        <f>IF(AND($AV605=1,$AJ605=1),$BA605*100000+ROW(),"")</f>
        <v/>
      </c>
      <c r="BH605" s="71" t="str">
        <f>IF(AND($AW605=1,$AJ605=1),$BA605*100000+ROW(),"")</f>
        <v/>
      </c>
      <c r="BI605" s="71" t="str">
        <f>IF(AND($AX605=1,$AJ605=1),$BA605*100000+ROW(),"")</f>
        <v/>
      </c>
      <c r="BJ605" s="71" t="str">
        <f>IF(AND($AS605=1,$AJ605=1),$BA605*100000+ROW(),"")</f>
        <v/>
      </c>
      <c r="BK605" s="71" t="str">
        <f>IF(AND($AY605=1,$AJ605=1),$BA605*100000+ROW(),"")</f>
        <v/>
      </c>
      <c r="BL605" s="71" t="str">
        <f>IF(AND($AZ605=1),$BA605*100000+ROW(),"")</f>
        <v/>
      </c>
    </row>
    <row r="606">
      <c r="A606" s="63" t="n"/>
      <c r="B606" s="64" t="n"/>
      <c r="C606" s="64" t="n"/>
      <c r="D606" s="64" t="n"/>
      <c r="E606" s="64" t="n"/>
      <c r="F606" s="64" t="n"/>
      <c r="G606" s="65" t="n"/>
      <c r="H606" s="65" t="n"/>
      <c r="I606" s="64" t="n"/>
      <c r="J606" s="64" t="n"/>
      <c r="K606" s="63" t="n"/>
      <c r="L606" s="63" t="n"/>
      <c r="M606" s="64" t="n"/>
      <c r="N606" s="66" t="n"/>
      <c r="O606" s="65" t="n"/>
      <c r="P606" s="64" t="n"/>
      <c r="Q606" s="67" t="n"/>
      <c r="R606" s="67" t="n"/>
      <c r="S606" s="68" t="str">
        <f>IF(AND(ISNUMBER($Q606),ISNUMBER($R606)),$Q606-$R606,"")</f>
        <v/>
      </c>
      <c r="T606" s="65" t="n"/>
      <c r="U606" s="64" t="n"/>
      <c r="V606" s="65" t="n"/>
      <c r="W606" s="63" t="n"/>
      <c r="X606" s="65" t="n"/>
      <c r="Y606" s="63" t="n"/>
      <c r="Z606" s="64" t="n"/>
      <c r="AA606" s="64" t="n"/>
      <c r="AB606" s="65" t="n"/>
      <c r="AC606" s="69" t="str">
        <f>IF(OR($G606="",NOT(ISNUMBER($K606)),$AK606=0),"",MAX(0,ReportDate-$K606))</f>
        <v/>
      </c>
      <c r="AD606" s="69" t="str">
        <f>IF($G606="","",IF($AL606=1,ReportDate-$L606,0))</f>
        <v/>
      </c>
      <c r="AE606" s="70" t="str">
        <f>IF($G606="","",IF($M606="Completed",1,IF(ISNUMBER($N606),$N606,0)))</f>
        <v/>
      </c>
      <c r="AF606" s="70" t="str">
        <f>IF(AND(ISNUMBER($Q606),ISNUMBER($R606)),IF($R606&lt;&gt;0,$Q606/$R606,""),"")</f>
        <v/>
      </c>
      <c r="AG606" s="71" t="str">
        <f>IF($G606="","",IF($AL606=1,"OVERDUE",IF($AM606=1,"BLOCKED",IF($AN606=1,"DUE TODAY",IF($AO606=1,"DUE TOMORROW",IF($AQ606=1,"HIGH PRIORITY",IF($AR606=1,"NO RECENT UPDATE",""))))))) </f>
        <v/>
      </c>
      <c r="AH606" s="71" t="str">
        <f>IF($G606="","",IF(ISNUMBER($A606),IF(ISNUMBER($A606),YEAR($A606)&amp;"-"&amp;TEXT(MONTH($A606),"00"),""),IF(ISNUMBER($L606),IF(ISNUMBER($L606),YEAR($L606)&amp;"-"&amp;TEXT(MONTH($L606),"00"),""),"")))</f>
        <v/>
      </c>
      <c r="AI606" s="71">
        <f>IF($G606="",0,IF(AND(OR(fClient="All",$C606=fClient),OR(fCampaign="All",$D606=fCampaign),OR(fTeam="All",$B606=fTeam),OR(fChannel="All",$F606=fChannel),OR(fMonth="All",$AH606=fMonth),OR(fTStatus="All",$M606=fTStatus)),1,0))</f>
        <v>0</v>
      </c>
      <c r="AJ606" s="71">
        <f>IF($G606="",0,IF(AND(OR(fClient="All",$C606=fClient),OR(fCampaign="All",$D606=fCampaign),OR(fTeam="All",$B606=fTeam),OR(fChannel="All",$F606=fChannel)),1,0))</f>
        <v>0</v>
      </c>
      <c r="AK606" s="71">
        <f>IF($G606="",0,IF(OR($M606="Completed",$M606="Cancelled"),0,1))</f>
        <v>0</v>
      </c>
      <c r="AL606" s="71">
        <f>IF(AND($AK606=1,ISNUMBER($L606)),IF($L606&lt;ReportDate,1,0),0)</f>
        <v>0</v>
      </c>
      <c r="AM606" s="71">
        <f>IF(AND($G606&lt;&gt;"",$M606="Blocked"),1,0)</f>
        <v>0</v>
      </c>
      <c r="AN606" s="71">
        <f>IF(AND($AK606=1,ISNUMBER($L606)),IF($L606=ReportDate,1,0),0)</f>
        <v>0</v>
      </c>
      <c r="AO606" s="71">
        <f>IF(AND($AK606=1,ISNUMBER($L606)),IF($L606=ReportDate+1,1,0),0)</f>
        <v>0</v>
      </c>
      <c r="AP606" s="71">
        <f>IF(AND($AK606=1,ISNUMBER($L606)),IF(AND($L606&gt;=ReportDate,$L606&lt;=ReportDate+DueSoonDays),1,0),0)</f>
        <v>0</v>
      </c>
      <c r="AQ606" s="71">
        <f>IF(AND($AK606=1,OR($I606="Critical",$I606="High")),1,0)</f>
        <v>0</v>
      </c>
      <c r="AR606" s="71">
        <f>IF($AK606=1,IF(ISNUMBER($Y606),IF(ReportDate-$Y606&gt;StaleDays,1,0),1),0)</f>
        <v>0</v>
      </c>
      <c r="AS606" s="71">
        <f>IF(AND($G606&lt;&gt;"",ISNUMBER($Q606),ISNUMBER($R606)),IF(AND($Q606&lt;$R606,OR($M606="Completed",AND(ISNUMBER($L606),$L606&lt;ReportDate))),1,0),0)</f>
        <v>0</v>
      </c>
      <c r="AT606" s="71">
        <f>IF($AK606=1,IF(OR($L606=ReportDate,$W606=ReportDate,$K606=ReportDate,$A606=ReportDate),1,0),0)</f>
        <v>0</v>
      </c>
      <c r="AU606" s="71">
        <f>IF($AK606=1,IF(OR($L606=ReportDate+1,$W606=ReportDate+1,$K606=ReportDate+1,$A606=ReportDate+1),1,0),0)</f>
        <v>0</v>
      </c>
      <c r="AV606" s="71">
        <f>IF(AND($G606&lt;&gt;"",$M606="Completed"),IF(OR($Y606=ReportDate-1,$A606=ReportDate-1),1,0),0)</f>
        <v>0</v>
      </c>
      <c r="AW606" s="71">
        <f>IF(AND($AK606=1,$Z606="Yes"),1,0)</f>
        <v>0</v>
      </c>
      <c r="AX606" s="71">
        <f>IF(AND($AK606=1,$AA606="Yes"),1,0)</f>
        <v>0</v>
      </c>
      <c r="AY606" s="71">
        <f>IF(AND($AM606=1,OR($I606="Critical",$I606="High")),1,0)</f>
        <v>0</v>
      </c>
      <c r="AZ606" s="71">
        <f>IF(AND($AK606=1,OR($C606=TCL_Client,$C606=MECCA_Client)),1,0)</f>
        <v>0</v>
      </c>
      <c r="BA606" s="71" t="str">
        <f>IF($G606="","",IFERROR(MATCH($I606,lst_Priority,0),5))</f>
        <v/>
      </c>
      <c r="BB606" s="71" t="str">
        <f>IF(AND($AL606=1,$AJ606=1),$BA606*100000+ROW(),"")</f>
        <v/>
      </c>
      <c r="BC606" s="71" t="str">
        <f>IF(AND($AM606=1,$AJ606=1),$BA606*100000+ROW(),"")</f>
        <v/>
      </c>
      <c r="BD606" s="71" t="str">
        <f>IF(AND($AP606=1,$AJ606=1),$BA606*100000+ROW(),"")</f>
        <v/>
      </c>
      <c r="BE606" s="71" t="str">
        <f>IF(AND($AT606=1,$AJ606=1),$BA606*100000+ROW(),"")</f>
        <v/>
      </c>
      <c r="BF606" s="71" t="str">
        <f>IF(AND($AU606=1,$AJ606=1),$BA606*100000+ROW(),"")</f>
        <v/>
      </c>
      <c r="BG606" s="71" t="str">
        <f>IF(AND($AV606=1,$AJ606=1),$BA606*100000+ROW(),"")</f>
        <v/>
      </c>
      <c r="BH606" s="71" t="str">
        <f>IF(AND($AW606=1,$AJ606=1),$BA606*100000+ROW(),"")</f>
        <v/>
      </c>
      <c r="BI606" s="71" t="str">
        <f>IF(AND($AX606=1,$AJ606=1),$BA606*100000+ROW(),"")</f>
        <v/>
      </c>
      <c r="BJ606" s="71" t="str">
        <f>IF(AND($AS606=1,$AJ606=1),$BA606*100000+ROW(),"")</f>
        <v/>
      </c>
      <c r="BK606" s="71" t="str">
        <f>IF(AND($AY606=1,$AJ606=1),$BA606*100000+ROW(),"")</f>
        <v/>
      </c>
      <c r="BL606" s="71" t="str">
        <f>IF(AND($AZ606=1),$BA606*100000+ROW(),"")</f>
        <v/>
      </c>
    </row>
    <row r="607">
      <c r="A607" s="63" t="n"/>
      <c r="B607" s="64" t="n"/>
      <c r="C607" s="64" t="n"/>
      <c r="D607" s="64" t="n"/>
      <c r="E607" s="64" t="n"/>
      <c r="F607" s="64" t="n"/>
      <c r="G607" s="65" t="n"/>
      <c r="H607" s="65" t="n"/>
      <c r="I607" s="64" t="n"/>
      <c r="J607" s="64" t="n"/>
      <c r="K607" s="63" t="n"/>
      <c r="L607" s="63" t="n"/>
      <c r="M607" s="64" t="n"/>
      <c r="N607" s="66" t="n"/>
      <c r="O607" s="65" t="n"/>
      <c r="P607" s="64" t="n"/>
      <c r="Q607" s="67" t="n"/>
      <c r="R607" s="67" t="n"/>
      <c r="S607" s="68" t="str">
        <f>IF(AND(ISNUMBER($Q607),ISNUMBER($R607)),$Q607-$R607,"")</f>
        <v/>
      </c>
      <c r="T607" s="65" t="n"/>
      <c r="U607" s="64" t="n"/>
      <c r="V607" s="65" t="n"/>
      <c r="W607" s="63" t="n"/>
      <c r="X607" s="65" t="n"/>
      <c r="Y607" s="63" t="n"/>
      <c r="Z607" s="64" t="n"/>
      <c r="AA607" s="64" t="n"/>
      <c r="AB607" s="65" t="n"/>
      <c r="AC607" s="69" t="str">
        <f>IF(OR($G607="",NOT(ISNUMBER($K607)),$AK607=0),"",MAX(0,ReportDate-$K607))</f>
        <v/>
      </c>
      <c r="AD607" s="69" t="str">
        <f>IF($G607="","",IF($AL607=1,ReportDate-$L607,0))</f>
        <v/>
      </c>
      <c r="AE607" s="70" t="str">
        <f>IF($G607="","",IF($M607="Completed",1,IF(ISNUMBER($N607),$N607,0)))</f>
        <v/>
      </c>
      <c r="AF607" s="70" t="str">
        <f>IF(AND(ISNUMBER($Q607),ISNUMBER($R607)),IF($R607&lt;&gt;0,$Q607/$R607,""),"")</f>
        <v/>
      </c>
      <c r="AG607" s="71" t="str">
        <f>IF($G607="","",IF($AL607=1,"OVERDUE",IF($AM607=1,"BLOCKED",IF($AN607=1,"DUE TODAY",IF($AO607=1,"DUE TOMORROW",IF($AQ607=1,"HIGH PRIORITY",IF($AR607=1,"NO RECENT UPDATE",""))))))) </f>
        <v/>
      </c>
      <c r="AH607" s="71" t="str">
        <f>IF($G607="","",IF(ISNUMBER($A607),IF(ISNUMBER($A607),YEAR($A607)&amp;"-"&amp;TEXT(MONTH($A607),"00"),""),IF(ISNUMBER($L607),IF(ISNUMBER($L607),YEAR($L607)&amp;"-"&amp;TEXT(MONTH($L607),"00"),""),"")))</f>
        <v/>
      </c>
      <c r="AI607" s="71">
        <f>IF($G607="",0,IF(AND(OR(fClient="All",$C607=fClient),OR(fCampaign="All",$D607=fCampaign),OR(fTeam="All",$B607=fTeam),OR(fChannel="All",$F607=fChannel),OR(fMonth="All",$AH607=fMonth),OR(fTStatus="All",$M607=fTStatus)),1,0))</f>
        <v>0</v>
      </c>
      <c r="AJ607" s="71">
        <f>IF($G607="",0,IF(AND(OR(fClient="All",$C607=fClient),OR(fCampaign="All",$D607=fCampaign),OR(fTeam="All",$B607=fTeam),OR(fChannel="All",$F607=fChannel)),1,0))</f>
        <v>0</v>
      </c>
      <c r="AK607" s="71">
        <f>IF($G607="",0,IF(OR($M607="Completed",$M607="Cancelled"),0,1))</f>
        <v>0</v>
      </c>
      <c r="AL607" s="71">
        <f>IF(AND($AK607=1,ISNUMBER($L607)),IF($L607&lt;ReportDate,1,0),0)</f>
        <v>0</v>
      </c>
      <c r="AM607" s="71">
        <f>IF(AND($G607&lt;&gt;"",$M607="Blocked"),1,0)</f>
        <v>0</v>
      </c>
      <c r="AN607" s="71">
        <f>IF(AND($AK607=1,ISNUMBER($L607)),IF($L607=ReportDate,1,0),0)</f>
        <v>0</v>
      </c>
      <c r="AO607" s="71">
        <f>IF(AND($AK607=1,ISNUMBER($L607)),IF($L607=ReportDate+1,1,0),0)</f>
        <v>0</v>
      </c>
      <c r="AP607" s="71">
        <f>IF(AND($AK607=1,ISNUMBER($L607)),IF(AND($L607&gt;=ReportDate,$L607&lt;=ReportDate+DueSoonDays),1,0),0)</f>
        <v>0</v>
      </c>
      <c r="AQ607" s="71">
        <f>IF(AND($AK607=1,OR($I607="Critical",$I607="High")),1,0)</f>
        <v>0</v>
      </c>
      <c r="AR607" s="71">
        <f>IF($AK607=1,IF(ISNUMBER($Y607),IF(ReportDate-$Y607&gt;StaleDays,1,0),1),0)</f>
        <v>0</v>
      </c>
      <c r="AS607" s="71">
        <f>IF(AND($G607&lt;&gt;"",ISNUMBER($Q607),ISNUMBER($R607)),IF(AND($Q607&lt;$R607,OR($M607="Completed",AND(ISNUMBER($L607),$L607&lt;ReportDate))),1,0),0)</f>
        <v>0</v>
      </c>
      <c r="AT607" s="71">
        <f>IF($AK607=1,IF(OR($L607=ReportDate,$W607=ReportDate,$K607=ReportDate,$A607=ReportDate),1,0),0)</f>
        <v>0</v>
      </c>
      <c r="AU607" s="71">
        <f>IF($AK607=1,IF(OR($L607=ReportDate+1,$W607=ReportDate+1,$K607=ReportDate+1,$A607=ReportDate+1),1,0),0)</f>
        <v>0</v>
      </c>
      <c r="AV607" s="71">
        <f>IF(AND($G607&lt;&gt;"",$M607="Completed"),IF(OR($Y607=ReportDate-1,$A607=ReportDate-1),1,0),0)</f>
        <v>0</v>
      </c>
      <c r="AW607" s="71">
        <f>IF(AND($AK607=1,$Z607="Yes"),1,0)</f>
        <v>0</v>
      </c>
      <c r="AX607" s="71">
        <f>IF(AND($AK607=1,$AA607="Yes"),1,0)</f>
        <v>0</v>
      </c>
      <c r="AY607" s="71">
        <f>IF(AND($AM607=1,OR($I607="Critical",$I607="High")),1,0)</f>
        <v>0</v>
      </c>
      <c r="AZ607" s="71">
        <f>IF(AND($AK607=1,OR($C607=TCL_Client,$C607=MECCA_Client)),1,0)</f>
        <v>0</v>
      </c>
      <c r="BA607" s="71" t="str">
        <f>IF($G607="","",IFERROR(MATCH($I607,lst_Priority,0),5))</f>
        <v/>
      </c>
      <c r="BB607" s="71" t="str">
        <f>IF(AND($AL607=1,$AJ607=1),$BA607*100000+ROW(),"")</f>
        <v/>
      </c>
      <c r="BC607" s="71" t="str">
        <f>IF(AND($AM607=1,$AJ607=1),$BA607*100000+ROW(),"")</f>
        <v/>
      </c>
      <c r="BD607" s="71" t="str">
        <f>IF(AND($AP607=1,$AJ607=1),$BA607*100000+ROW(),"")</f>
        <v/>
      </c>
      <c r="BE607" s="71" t="str">
        <f>IF(AND($AT607=1,$AJ607=1),$BA607*100000+ROW(),"")</f>
        <v/>
      </c>
      <c r="BF607" s="71" t="str">
        <f>IF(AND($AU607=1,$AJ607=1),$BA607*100000+ROW(),"")</f>
        <v/>
      </c>
      <c r="BG607" s="71" t="str">
        <f>IF(AND($AV607=1,$AJ607=1),$BA607*100000+ROW(),"")</f>
        <v/>
      </c>
      <c r="BH607" s="71" t="str">
        <f>IF(AND($AW607=1,$AJ607=1),$BA607*100000+ROW(),"")</f>
        <v/>
      </c>
      <c r="BI607" s="71" t="str">
        <f>IF(AND($AX607=1,$AJ607=1),$BA607*100000+ROW(),"")</f>
        <v/>
      </c>
      <c r="BJ607" s="71" t="str">
        <f>IF(AND($AS607=1,$AJ607=1),$BA607*100000+ROW(),"")</f>
        <v/>
      </c>
      <c r="BK607" s="71" t="str">
        <f>IF(AND($AY607=1,$AJ607=1),$BA607*100000+ROW(),"")</f>
        <v/>
      </c>
      <c r="BL607" s="71" t="str">
        <f>IF(AND($AZ607=1),$BA607*100000+ROW(),"")</f>
        <v/>
      </c>
    </row>
    <row r="608">
      <c r="A608" s="63" t="n"/>
      <c r="B608" s="64" t="n"/>
      <c r="C608" s="64" t="n"/>
      <c r="D608" s="64" t="n"/>
      <c r="E608" s="64" t="n"/>
      <c r="F608" s="64" t="n"/>
      <c r="G608" s="65" t="n"/>
      <c r="H608" s="65" t="n"/>
      <c r="I608" s="64" t="n"/>
      <c r="J608" s="64" t="n"/>
      <c r="K608" s="63" t="n"/>
      <c r="L608" s="63" t="n"/>
      <c r="M608" s="64" t="n"/>
      <c r="N608" s="66" t="n"/>
      <c r="O608" s="65" t="n"/>
      <c r="P608" s="64" t="n"/>
      <c r="Q608" s="67" t="n"/>
      <c r="R608" s="67" t="n"/>
      <c r="S608" s="68" t="str">
        <f>IF(AND(ISNUMBER($Q608),ISNUMBER($R608)),$Q608-$R608,"")</f>
        <v/>
      </c>
      <c r="T608" s="65" t="n"/>
      <c r="U608" s="64" t="n"/>
      <c r="V608" s="65" t="n"/>
      <c r="W608" s="63" t="n"/>
      <c r="X608" s="65" t="n"/>
      <c r="Y608" s="63" t="n"/>
      <c r="Z608" s="64" t="n"/>
      <c r="AA608" s="64" t="n"/>
      <c r="AB608" s="65" t="n"/>
      <c r="AC608" s="69" t="str">
        <f>IF(OR($G608="",NOT(ISNUMBER($K608)),$AK608=0),"",MAX(0,ReportDate-$K608))</f>
        <v/>
      </c>
      <c r="AD608" s="69" t="str">
        <f>IF($G608="","",IF($AL608=1,ReportDate-$L608,0))</f>
        <v/>
      </c>
      <c r="AE608" s="70" t="str">
        <f>IF($G608="","",IF($M608="Completed",1,IF(ISNUMBER($N608),$N608,0)))</f>
        <v/>
      </c>
      <c r="AF608" s="70" t="str">
        <f>IF(AND(ISNUMBER($Q608),ISNUMBER($R608)),IF($R608&lt;&gt;0,$Q608/$R608,""),"")</f>
        <v/>
      </c>
      <c r="AG608" s="71" t="str">
        <f>IF($G608="","",IF($AL608=1,"OVERDUE",IF($AM608=1,"BLOCKED",IF($AN608=1,"DUE TODAY",IF($AO608=1,"DUE TOMORROW",IF($AQ608=1,"HIGH PRIORITY",IF($AR608=1,"NO RECENT UPDATE",""))))))) </f>
        <v/>
      </c>
      <c r="AH608" s="71" t="str">
        <f>IF($G608="","",IF(ISNUMBER($A608),IF(ISNUMBER($A608),YEAR($A608)&amp;"-"&amp;TEXT(MONTH($A608),"00"),""),IF(ISNUMBER($L608),IF(ISNUMBER($L608),YEAR($L608)&amp;"-"&amp;TEXT(MONTH($L608),"00"),""),"")))</f>
        <v/>
      </c>
      <c r="AI608" s="71">
        <f>IF($G608="",0,IF(AND(OR(fClient="All",$C608=fClient),OR(fCampaign="All",$D608=fCampaign),OR(fTeam="All",$B608=fTeam),OR(fChannel="All",$F608=fChannel),OR(fMonth="All",$AH608=fMonth),OR(fTStatus="All",$M608=fTStatus)),1,0))</f>
        <v>0</v>
      </c>
      <c r="AJ608" s="71">
        <f>IF($G608="",0,IF(AND(OR(fClient="All",$C608=fClient),OR(fCampaign="All",$D608=fCampaign),OR(fTeam="All",$B608=fTeam),OR(fChannel="All",$F608=fChannel)),1,0))</f>
        <v>0</v>
      </c>
      <c r="AK608" s="71">
        <f>IF($G608="",0,IF(OR($M608="Completed",$M608="Cancelled"),0,1))</f>
        <v>0</v>
      </c>
      <c r="AL608" s="71">
        <f>IF(AND($AK608=1,ISNUMBER($L608)),IF($L608&lt;ReportDate,1,0),0)</f>
        <v>0</v>
      </c>
      <c r="AM608" s="71">
        <f>IF(AND($G608&lt;&gt;"",$M608="Blocked"),1,0)</f>
        <v>0</v>
      </c>
      <c r="AN608" s="71">
        <f>IF(AND($AK608=1,ISNUMBER($L608)),IF($L608=ReportDate,1,0),0)</f>
        <v>0</v>
      </c>
      <c r="AO608" s="71">
        <f>IF(AND($AK608=1,ISNUMBER($L608)),IF($L608=ReportDate+1,1,0),0)</f>
        <v>0</v>
      </c>
      <c r="AP608" s="71">
        <f>IF(AND($AK608=1,ISNUMBER($L608)),IF(AND($L608&gt;=ReportDate,$L608&lt;=ReportDate+DueSoonDays),1,0),0)</f>
        <v>0</v>
      </c>
      <c r="AQ608" s="71">
        <f>IF(AND($AK608=1,OR($I608="Critical",$I608="High")),1,0)</f>
        <v>0</v>
      </c>
      <c r="AR608" s="71">
        <f>IF($AK608=1,IF(ISNUMBER($Y608),IF(ReportDate-$Y608&gt;StaleDays,1,0),1),0)</f>
        <v>0</v>
      </c>
      <c r="AS608" s="71">
        <f>IF(AND($G608&lt;&gt;"",ISNUMBER($Q608),ISNUMBER($R608)),IF(AND($Q608&lt;$R608,OR($M608="Completed",AND(ISNUMBER($L608),$L608&lt;ReportDate))),1,0),0)</f>
        <v>0</v>
      </c>
      <c r="AT608" s="71">
        <f>IF($AK608=1,IF(OR($L608=ReportDate,$W608=ReportDate,$K608=ReportDate,$A608=ReportDate),1,0),0)</f>
        <v>0</v>
      </c>
      <c r="AU608" s="71">
        <f>IF($AK608=1,IF(OR($L608=ReportDate+1,$W608=ReportDate+1,$K608=ReportDate+1,$A608=ReportDate+1),1,0),0)</f>
        <v>0</v>
      </c>
      <c r="AV608" s="71">
        <f>IF(AND($G608&lt;&gt;"",$M608="Completed"),IF(OR($Y608=ReportDate-1,$A608=ReportDate-1),1,0),0)</f>
        <v>0</v>
      </c>
      <c r="AW608" s="71">
        <f>IF(AND($AK608=1,$Z608="Yes"),1,0)</f>
        <v>0</v>
      </c>
      <c r="AX608" s="71">
        <f>IF(AND($AK608=1,$AA608="Yes"),1,0)</f>
        <v>0</v>
      </c>
      <c r="AY608" s="71">
        <f>IF(AND($AM608=1,OR($I608="Critical",$I608="High")),1,0)</f>
        <v>0</v>
      </c>
      <c r="AZ608" s="71">
        <f>IF(AND($AK608=1,OR($C608=TCL_Client,$C608=MECCA_Client)),1,0)</f>
        <v>0</v>
      </c>
      <c r="BA608" s="71" t="str">
        <f>IF($G608="","",IFERROR(MATCH($I608,lst_Priority,0),5))</f>
        <v/>
      </c>
      <c r="BB608" s="71" t="str">
        <f>IF(AND($AL608=1,$AJ608=1),$BA608*100000+ROW(),"")</f>
        <v/>
      </c>
      <c r="BC608" s="71" t="str">
        <f>IF(AND($AM608=1,$AJ608=1),$BA608*100000+ROW(),"")</f>
        <v/>
      </c>
      <c r="BD608" s="71" t="str">
        <f>IF(AND($AP608=1,$AJ608=1),$BA608*100000+ROW(),"")</f>
        <v/>
      </c>
      <c r="BE608" s="71" t="str">
        <f>IF(AND($AT608=1,$AJ608=1),$BA608*100000+ROW(),"")</f>
        <v/>
      </c>
      <c r="BF608" s="71" t="str">
        <f>IF(AND($AU608=1,$AJ608=1),$BA608*100000+ROW(),"")</f>
        <v/>
      </c>
      <c r="BG608" s="71" t="str">
        <f>IF(AND($AV608=1,$AJ608=1),$BA608*100000+ROW(),"")</f>
        <v/>
      </c>
      <c r="BH608" s="71" t="str">
        <f>IF(AND($AW608=1,$AJ608=1),$BA608*100000+ROW(),"")</f>
        <v/>
      </c>
      <c r="BI608" s="71" t="str">
        <f>IF(AND($AX608=1,$AJ608=1),$BA608*100000+ROW(),"")</f>
        <v/>
      </c>
      <c r="BJ608" s="71" t="str">
        <f>IF(AND($AS608=1,$AJ608=1),$BA608*100000+ROW(),"")</f>
        <v/>
      </c>
      <c r="BK608" s="71" t="str">
        <f>IF(AND($AY608=1,$AJ608=1),$BA608*100000+ROW(),"")</f>
        <v/>
      </c>
      <c r="BL608" s="71" t="str">
        <f>IF(AND($AZ608=1),$BA608*100000+ROW(),"")</f>
        <v/>
      </c>
    </row>
    <row r="609">
      <c r="A609" s="63" t="n"/>
      <c r="B609" s="64" t="n"/>
      <c r="C609" s="64" t="n"/>
      <c r="D609" s="64" t="n"/>
      <c r="E609" s="64" t="n"/>
      <c r="F609" s="64" t="n"/>
      <c r="G609" s="65" t="n"/>
      <c r="H609" s="65" t="n"/>
      <c r="I609" s="64" t="n"/>
      <c r="J609" s="64" t="n"/>
      <c r="K609" s="63" t="n"/>
      <c r="L609" s="63" t="n"/>
      <c r="M609" s="64" t="n"/>
      <c r="N609" s="66" t="n"/>
      <c r="O609" s="65" t="n"/>
      <c r="P609" s="64" t="n"/>
      <c r="Q609" s="67" t="n"/>
      <c r="R609" s="67" t="n"/>
      <c r="S609" s="68" t="str">
        <f>IF(AND(ISNUMBER($Q609),ISNUMBER($R609)),$Q609-$R609,"")</f>
        <v/>
      </c>
      <c r="T609" s="65" t="n"/>
      <c r="U609" s="64" t="n"/>
      <c r="V609" s="65" t="n"/>
      <c r="W609" s="63" t="n"/>
      <c r="X609" s="65" t="n"/>
      <c r="Y609" s="63" t="n"/>
      <c r="Z609" s="64" t="n"/>
      <c r="AA609" s="64" t="n"/>
      <c r="AB609" s="65" t="n"/>
      <c r="AC609" s="69" t="str">
        <f>IF(OR($G609="",NOT(ISNUMBER($K609)),$AK609=0),"",MAX(0,ReportDate-$K609))</f>
        <v/>
      </c>
      <c r="AD609" s="69" t="str">
        <f>IF($G609="","",IF($AL609=1,ReportDate-$L609,0))</f>
        <v/>
      </c>
      <c r="AE609" s="70" t="str">
        <f>IF($G609="","",IF($M609="Completed",1,IF(ISNUMBER($N609),$N609,0)))</f>
        <v/>
      </c>
      <c r="AF609" s="70" t="str">
        <f>IF(AND(ISNUMBER($Q609),ISNUMBER($R609)),IF($R609&lt;&gt;0,$Q609/$R609,""),"")</f>
        <v/>
      </c>
      <c r="AG609" s="71" t="str">
        <f>IF($G609="","",IF($AL609=1,"OVERDUE",IF($AM609=1,"BLOCKED",IF($AN609=1,"DUE TODAY",IF($AO609=1,"DUE TOMORROW",IF($AQ609=1,"HIGH PRIORITY",IF($AR609=1,"NO RECENT UPDATE",""))))))) </f>
        <v/>
      </c>
      <c r="AH609" s="71" t="str">
        <f>IF($G609="","",IF(ISNUMBER($A609),IF(ISNUMBER($A609),YEAR($A609)&amp;"-"&amp;TEXT(MONTH($A609),"00"),""),IF(ISNUMBER($L609),IF(ISNUMBER($L609),YEAR($L609)&amp;"-"&amp;TEXT(MONTH($L609),"00"),""),"")))</f>
        <v/>
      </c>
      <c r="AI609" s="71">
        <f>IF($G609="",0,IF(AND(OR(fClient="All",$C609=fClient),OR(fCampaign="All",$D609=fCampaign),OR(fTeam="All",$B609=fTeam),OR(fChannel="All",$F609=fChannel),OR(fMonth="All",$AH609=fMonth),OR(fTStatus="All",$M609=fTStatus)),1,0))</f>
        <v>0</v>
      </c>
      <c r="AJ609" s="71">
        <f>IF($G609="",0,IF(AND(OR(fClient="All",$C609=fClient),OR(fCampaign="All",$D609=fCampaign),OR(fTeam="All",$B609=fTeam),OR(fChannel="All",$F609=fChannel)),1,0))</f>
        <v>0</v>
      </c>
      <c r="AK609" s="71">
        <f>IF($G609="",0,IF(OR($M609="Completed",$M609="Cancelled"),0,1))</f>
        <v>0</v>
      </c>
      <c r="AL609" s="71">
        <f>IF(AND($AK609=1,ISNUMBER($L609)),IF($L609&lt;ReportDate,1,0),0)</f>
        <v>0</v>
      </c>
      <c r="AM609" s="71">
        <f>IF(AND($G609&lt;&gt;"",$M609="Blocked"),1,0)</f>
        <v>0</v>
      </c>
      <c r="AN609" s="71">
        <f>IF(AND($AK609=1,ISNUMBER($L609)),IF($L609=ReportDate,1,0),0)</f>
        <v>0</v>
      </c>
      <c r="AO609" s="71">
        <f>IF(AND($AK609=1,ISNUMBER($L609)),IF($L609=ReportDate+1,1,0),0)</f>
        <v>0</v>
      </c>
      <c r="AP609" s="71">
        <f>IF(AND($AK609=1,ISNUMBER($L609)),IF(AND($L609&gt;=ReportDate,$L609&lt;=ReportDate+DueSoonDays),1,0),0)</f>
        <v>0</v>
      </c>
      <c r="AQ609" s="71">
        <f>IF(AND($AK609=1,OR($I609="Critical",$I609="High")),1,0)</f>
        <v>0</v>
      </c>
      <c r="AR609" s="71">
        <f>IF($AK609=1,IF(ISNUMBER($Y609),IF(ReportDate-$Y609&gt;StaleDays,1,0),1),0)</f>
        <v>0</v>
      </c>
      <c r="AS609" s="71">
        <f>IF(AND($G609&lt;&gt;"",ISNUMBER($Q609),ISNUMBER($R609)),IF(AND($Q609&lt;$R609,OR($M609="Completed",AND(ISNUMBER($L609),$L609&lt;ReportDate))),1,0),0)</f>
        <v>0</v>
      </c>
      <c r="AT609" s="71">
        <f>IF($AK609=1,IF(OR($L609=ReportDate,$W609=ReportDate,$K609=ReportDate,$A609=ReportDate),1,0),0)</f>
        <v>0</v>
      </c>
      <c r="AU609" s="71">
        <f>IF($AK609=1,IF(OR($L609=ReportDate+1,$W609=ReportDate+1,$K609=ReportDate+1,$A609=ReportDate+1),1,0),0)</f>
        <v>0</v>
      </c>
      <c r="AV609" s="71">
        <f>IF(AND($G609&lt;&gt;"",$M609="Completed"),IF(OR($Y609=ReportDate-1,$A609=ReportDate-1),1,0),0)</f>
        <v>0</v>
      </c>
      <c r="AW609" s="71">
        <f>IF(AND($AK609=1,$Z609="Yes"),1,0)</f>
        <v>0</v>
      </c>
      <c r="AX609" s="71">
        <f>IF(AND($AK609=1,$AA609="Yes"),1,0)</f>
        <v>0</v>
      </c>
      <c r="AY609" s="71">
        <f>IF(AND($AM609=1,OR($I609="Critical",$I609="High")),1,0)</f>
        <v>0</v>
      </c>
      <c r="AZ609" s="71">
        <f>IF(AND($AK609=1,OR($C609=TCL_Client,$C609=MECCA_Client)),1,0)</f>
        <v>0</v>
      </c>
      <c r="BA609" s="71" t="str">
        <f>IF($G609="","",IFERROR(MATCH($I609,lst_Priority,0),5))</f>
        <v/>
      </c>
      <c r="BB609" s="71" t="str">
        <f>IF(AND($AL609=1,$AJ609=1),$BA609*100000+ROW(),"")</f>
        <v/>
      </c>
      <c r="BC609" s="71" t="str">
        <f>IF(AND($AM609=1,$AJ609=1),$BA609*100000+ROW(),"")</f>
        <v/>
      </c>
      <c r="BD609" s="71" t="str">
        <f>IF(AND($AP609=1,$AJ609=1),$BA609*100000+ROW(),"")</f>
        <v/>
      </c>
      <c r="BE609" s="71" t="str">
        <f>IF(AND($AT609=1,$AJ609=1),$BA609*100000+ROW(),"")</f>
        <v/>
      </c>
      <c r="BF609" s="71" t="str">
        <f>IF(AND($AU609=1,$AJ609=1),$BA609*100000+ROW(),"")</f>
        <v/>
      </c>
      <c r="BG609" s="71" t="str">
        <f>IF(AND($AV609=1,$AJ609=1),$BA609*100000+ROW(),"")</f>
        <v/>
      </c>
      <c r="BH609" s="71" t="str">
        <f>IF(AND($AW609=1,$AJ609=1),$BA609*100000+ROW(),"")</f>
        <v/>
      </c>
      <c r="BI609" s="71" t="str">
        <f>IF(AND($AX609=1,$AJ609=1),$BA609*100000+ROW(),"")</f>
        <v/>
      </c>
      <c r="BJ609" s="71" t="str">
        <f>IF(AND($AS609=1,$AJ609=1),$BA609*100000+ROW(),"")</f>
        <v/>
      </c>
      <c r="BK609" s="71" t="str">
        <f>IF(AND($AY609=1,$AJ609=1),$BA609*100000+ROW(),"")</f>
        <v/>
      </c>
      <c r="BL609" s="71" t="str">
        <f>IF(AND($AZ609=1),$BA609*100000+ROW(),"")</f>
        <v/>
      </c>
    </row>
    <row r="610">
      <c r="A610" s="63" t="n"/>
      <c r="B610" s="64" t="n"/>
      <c r="C610" s="64" t="n"/>
      <c r="D610" s="64" t="n"/>
      <c r="E610" s="64" t="n"/>
      <c r="F610" s="64" t="n"/>
      <c r="G610" s="65" t="n"/>
      <c r="H610" s="65" t="n"/>
      <c r="I610" s="64" t="n"/>
      <c r="J610" s="64" t="n"/>
      <c r="K610" s="63" t="n"/>
      <c r="L610" s="63" t="n"/>
      <c r="M610" s="64" t="n"/>
      <c r="N610" s="66" t="n"/>
      <c r="O610" s="65" t="n"/>
      <c r="P610" s="64" t="n"/>
      <c r="Q610" s="67" t="n"/>
      <c r="R610" s="67" t="n"/>
      <c r="S610" s="68" t="str">
        <f>IF(AND(ISNUMBER($Q610),ISNUMBER($R610)),$Q610-$R610,"")</f>
        <v/>
      </c>
      <c r="T610" s="65" t="n"/>
      <c r="U610" s="64" t="n"/>
      <c r="V610" s="65" t="n"/>
      <c r="W610" s="63" t="n"/>
      <c r="X610" s="65" t="n"/>
      <c r="Y610" s="63" t="n"/>
      <c r="Z610" s="64" t="n"/>
      <c r="AA610" s="64" t="n"/>
      <c r="AB610" s="65" t="n"/>
      <c r="AC610" s="69" t="str">
        <f>IF(OR($G610="",NOT(ISNUMBER($K610)),$AK610=0),"",MAX(0,ReportDate-$K610))</f>
        <v/>
      </c>
      <c r="AD610" s="69" t="str">
        <f>IF($G610="","",IF($AL610=1,ReportDate-$L610,0))</f>
        <v/>
      </c>
      <c r="AE610" s="70" t="str">
        <f>IF($G610="","",IF($M610="Completed",1,IF(ISNUMBER($N610),$N610,0)))</f>
        <v/>
      </c>
      <c r="AF610" s="70" t="str">
        <f>IF(AND(ISNUMBER($Q610),ISNUMBER($R610)),IF($R610&lt;&gt;0,$Q610/$R610,""),"")</f>
        <v/>
      </c>
      <c r="AG610" s="71" t="str">
        <f>IF($G610="","",IF($AL610=1,"OVERDUE",IF($AM610=1,"BLOCKED",IF($AN610=1,"DUE TODAY",IF($AO610=1,"DUE TOMORROW",IF($AQ610=1,"HIGH PRIORITY",IF($AR610=1,"NO RECENT UPDATE",""))))))) </f>
        <v/>
      </c>
      <c r="AH610" s="71" t="str">
        <f>IF($G610="","",IF(ISNUMBER($A610),IF(ISNUMBER($A610),YEAR($A610)&amp;"-"&amp;TEXT(MONTH($A610),"00"),""),IF(ISNUMBER($L610),IF(ISNUMBER($L610),YEAR($L610)&amp;"-"&amp;TEXT(MONTH($L610),"00"),""),"")))</f>
        <v/>
      </c>
      <c r="AI610" s="71">
        <f>IF($G610="",0,IF(AND(OR(fClient="All",$C610=fClient),OR(fCampaign="All",$D610=fCampaign),OR(fTeam="All",$B610=fTeam),OR(fChannel="All",$F610=fChannel),OR(fMonth="All",$AH610=fMonth),OR(fTStatus="All",$M610=fTStatus)),1,0))</f>
        <v>0</v>
      </c>
      <c r="AJ610" s="71">
        <f>IF($G610="",0,IF(AND(OR(fClient="All",$C610=fClient),OR(fCampaign="All",$D610=fCampaign),OR(fTeam="All",$B610=fTeam),OR(fChannel="All",$F610=fChannel)),1,0))</f>
        <v>0</v>
      </c>
      <c r="AK610" s="71">
        <f>IF($G610="",0,IF(OR($M610="Completed",$M610="Cancelled"),0,1))</f>
        <v>0</v>
      </c>
      <c r="AL610" s="71">
        <f>IF(AND($AK610=1,ISNUMBER($L610)),IF($L610&lt;ReportDate,1,0),0)</f>
        <v>0</v>
      </c>
      <c r="AM610" s="71">
        <f>IF(AND($G610&lt;&gt;"",$M610="Blocked"),1,0)</f>
        <v>0</v>
      </c>
      <c r="AN610" s="71">
        <f>IF(AND($AK610=1,ISNUMBER($L610)),IF($L610=ReportDate,1,0),0)</f>
        <v>0</v>
      </c>
      <c r="AO610" s="71">
        <f>IF(AND($AK610=1,ISNUMBER($L610)),IF($L610=ReportDate+1,1,0),0)</f>
        <v>0</v>
      </c>
      <c r="AP610" s="71">
        <f>IF(AND($AK610=1,ISNUMBER($L610)),IF(AND($L610&gt;=ReportDate,$L610&lt;=ReportDate+DueSoonDays),1,0),0)</f>
        <v>0</v>
      </c>
      <c r="AQ610" s="71">
        <f>IF(AND($AK610=1,OR($I610="Critical",$I610="High")),1,0)</f>
        <v>0</v>
      </c>
      <c r="AR610" s="71">
        <f>IF($AK610=1,IF(ISNUMBER($Y610),IF(ReportDate-$Y610&gt;StaleDays,1,0),1),0)</f>
        <v>0</v>
      </c>
      <c r="AS610" s="71">
        <f>IF(AND($G610&lt;&gt;"",ISNUMBER($Q610),ISNUMBER($R610)),IF(AND($Q610&lt;$R610,OR($M610="Completed",AND(ISNUMBER($L610),$L610&lt;ReportDate))),1,0),0)</f>
        <v>0</v>
      </c>
      <c r="AT610" s="71">
        <f>IF($AK610=1,IF(OR($L610=ReportDate,$W610=ReportDate,$K610=ReportDate,$A610=ReportDate),1,0),0)</f>
        <v>0</v>
      </c>
      <c r="AU610" s="71">
        <f>IF($AK610=1,IF(OR($L610=ReportDate+1,$W610=ReportDate+1,$K610=ReportDate+1,$A610=ReportDate+1),1,0),0)</f>
        <v>0</v>
      </c>
      <c r="AV610" s="71">
        <f>IF(AND($G610&lt;&gt;"",$M610="Completed"),IF(OR($Y610=ReportDate-1,$A610=ReportDate-1),1,0),0)</f>
        <v>0</v>
      </c>
      <c r="AW610" s="71">
        <f>IF(AND($AK610=1,$Z610="Yes"),1,0)</f>
        <v>0</v>
      </c>
      <c r="AX610" s="71">
        <f>IF(AND($AK610=1,$AA610="Yes"),1,0)</f>
        <v>0</v>
      </c>
      <c r="AY610" s="71">
        <f>IF(AND($AM610=1,OR($I610="Critical",$I610="High")),1,0)</f>
        <v>0</v>
      </c>
      <c r="AZ610" s="71">
        <f>IF(AND($AK610=1,OR($C610=TCL_Client,$C610=MECCA_Client)),1,0)</f>
        <v>0</v>
      </c>
      <c r="BA610" s="71" t="str">
        <f>IF($G610="","",IFERROR(MATCH($I610,lst_Priority,0),5))</f>
        <v/>
      </c>
      <c r="BB610" s="71" t="str">
        <f>IF(AND($AL610=1,$AJ610=1),$BA610*100000+ROW(),"")</f>
        <v/>
      </c>
      <c r="BC610" s="71" t="str">
        <f>IF(AND($AM610=1,$AJ610=1),$BA610*100000+ROW(),"")</f>
        <v/>
      </c>
      <c r="BD610" s="71" t="str">
        <f>IF(AND($AP610=1,$AJ610=1),$BA610*100000+ROW(),"")</f>
        <v/>
      </c>
      <c r="BE610" s="71" t="str">
        <f>IF(AND($AT610=1,$AJ610=1),$BA610*100000+ROW(),"")</f>
        <v/>
      </c>
      <c r="BF610" s="71" t="str">
        <f>IF(AND($AU610=1,$AJ610=1),$BA610*100000+ROW(),"")</f>
        <v/>
      </c>
      <c r="BG610" s="71" t="str">
        <f>IF(AND($AV610=1,$AJ610=1),$BA610*100000+ROW(),"")</f>
        <v/>
      </c>
      <c r="BH610" s="71" t="str">
        <f>IF(AND($AW610=1,$AJ610=1),$BA610*100000+ROW(),"")</f>
        <v/>
      </c>
      <c r="BI610" s="71" t="str">
        <f>IF(AND($AX610=1,$AJ610=1),$BA610*100000+ROW(),"")</f>
        <v/>
      </c>
      <c r="BJ610" s="71" t="str">
        <f>IF(AND($AS610=1,$AJ610=1),$BA610*100000+ROW(),"")</f>
        <v/>
      </c>
      <c r="BK610" s="71" t="str">
        <f>IF(AND($AY610=1,$AJ610=1),$BA610*100000+ROW(),"")</f>
        <v/>
      </c>
      <c r="BL610" s="71" t="str">
        <f>IF(AND($AZ610=1),$BA610*100000+ROW(),"")</f>
        <v/>
      </c>
    </row>
    <row r="611">
      <c r="A611" s="63" t="n"/>
      <c r="B611" s="64" t="n"/>
      <c r="C611" s="64" t="n"/>
      <c r="D611" s="64" t="n"/>
      <c r="E611" s="64" t="n"/>
      <c r="F611" s="64" t="n"/>
      <c r="G611" s="65" t="n"/>
      <c r="H611" s="65" t="n"/>
      <c r="I611" s="64" t="n"/>
      <c r="J611" s="64" t="n"/>
      <c r="K611" s="63" t="n"/>
      <c r="L611" s="63" t="n"/>
      <c r="M611" s="64" t="n"/>
      <c r="N611" s="66" t="n"/>
      <c r="O611" s="65" t="n"/>
      <c r="P611" s="64" t="n"/>
      <c r="Q611" s="67" t="n"/>
      <c r="R611" s="67" t="n"/>
      <c r="S611" s="68" t="str">
        <f>IF(AND(ISNUMBER($Q611),ISNUMBER($R611)),$Q611-$R611,"")</f>
        <v/>
      </c>
      <c r="T611" s="65" t="n"/>
      <c r="U611" s="64" t="n"/>
      <c r="V611" s="65" t="n"/>
      <c r="W611" s="63" t="n"/>
      <c r="X611" s="65" t="n"/>
      <c r="Y611" s="63" t="n"/>
      <c r="Z611" s="64" t="n"/>
      <c r="AA611" s="64" t="n"/>
      <c r="AB611" s="65" t="n"/>
      <c r="AC611" s="69" t="str">
        <f>IF(OR($G611="",NOT(ISNUMBER($K611)),$AK611=0),"",MAX(0,ReportDate-$K611))</f>
        <v/>
      </c>
      <c r="AD611" s="69" t="str">
        <f>IF($G611="","",IF($AL611=1,ReportDate-$L611,0))</f>
        <v/>
      </c>
      <c r="AE611" s="70" t="str">
        <f>IF($G611="","",IF($M611="Completed",1,IF(ISNUMBER($N611),$N611,0)))</f>
        <v/>
      </c>
      <c r="AF611" s="70" t="str">
        <f>IF(AND(ISNUMBER($Q611),ISNUMBER($R611)),IF($R611&lt;&gt;0,$Q611/$R611,""),"")</f>
        <v/>
      </c>
      <c r="AG611" s="71" t="str">
        <f>IF($G611="","",IF($AL611=1,"OVERDUE",IF($AM611=1,"BLOCKED",IF($AN611=1,"DUE TODAY",IF($AO611=1,"DUE TOMORROW",IF($AQ611=1,"HIGH PRIORITY",IF($AR611=1,"NO RECENT UPDATE",""))))))) </f>
        <v/>
      </c>
      <c r="AH611" s="71" t="str">
        <f>IF($G611="","",IF(ISNUMBER($A611),IF(ISNUMBER($A611),YEAR($A611)&amp;"-"&amp;TEXT(MONTH($A611),"00"),""),IF(ISNUMBER($L611),IF(ISNUMBER($L611),YEAR($L611)&amp;"-"&amp;TEXT(MONTH($L611),"00"),""),"")))</f>
        <v/>
      </c>
      <c r="AI611" s="71">
        <f>IF($G611="",0,IF(AND(OR(fClient="All",$C611=fClient),OR(fCampaign="All",$D611=fCampaign),OR(fTeam="All",$B611=fTeam),OR(fChannel="All",$F611=fChannel),OR(fMonth="All",$AH611=fMonth),OR(fTStatus="All",$M611=fTStatus)),1,0))</f>
        <v>0</v>
      </c>
      <c r="AJ611" s="71">
        <f>IF($G611="",0,IF(AND(OR(fClient="All",$C611=fClient),OR(fCampaign="All",$D611=fCampaign),OR(fTeam="All",$B611=fTeam),OR(fChannel="All",$F611=fChannel)),1,0))</f>
        <v>0</v>
      </c>
      <c r="AK611" s="71">
        <f>IF($G611="",0,IF(OR($M611="Completed",$M611="Cancelled"),0,1))</f>
        <v>0</v>
      </c>
      <c r="AL611" s="71">
        <f>IF(AND($AK611=1,ISNUMBER($L611)),IF($L611&lt;ReportDate,1,0),0)</f>
        <v>0</v>
      </c>
      <c r="AM611" s="71">
        <f>IF(AND($G611&lt;&gt;"",$M611="Blocked"),1,0)</f>
        <v>0</v>
      </c>
      <c r="AN611" s="71">
        <f>IF(AND($AK611=1,ISNUMBER($L611)),IF($L611=ReportDate,1,0),0)</f>
        <v>0</v>
      </c>
      <c r="AO611" s="71">
        <f>IF(AND($AK611=1,ISNUMBER($L611)),IF($L611=ReportDate+1,1,0),0)</f>
        <v>0</v>
      </c>
      <c r="AP611" s="71">
        <f>IF(AND($AK611=1,ISNUMBER($L611)),IF(AND($L611&gt;=ReportDate,$L611&lt;=ReportDate+DueSoonDays),1,0),0)</f>
        <v>0</v>
      </c>
      <c r="AQ611" s="71">
        <f>IF(AND($AK611=1,OR($I611="Critical",$I611="High")),1,0)</f>
        <v>0</v>
      </c>
      <c r="AR611" s="71">
        <f>IF($AK611=1,IF(ISNUMBER($Y611),IF(ReportDate-$Y611&gt;StaleDays,1,0),1),0)</f>
        <v>0</v>
      </c>
      <c r="AS611" s="71">
        <f>IF(AND($G611&lt;&gt;"",ISNUMBER($Q611),ISNUMBER($R611)),IF(AND($Q611&lt;$R611,OR($M611="Completed",AND(ISNUMBER($L611),$L611&lt;ReportDate))),1,0),0)</f>
        <v>0</v>
      </c>
      <c r="AT611" s="71">
        <f>IF($AK611=1,IF(OR($L611=ReportDate,$W611=ReportDate,$K611=ReportDate,$A611=ReportDate),1,0),0)</f>
        <v>0</v>
      </c>
      <c r="AU611" s="71">
        <f>IF($AK611=1,IF(OR($L611=ReportDate+1,$W611=ReportDate+1,$K611=ReportDate+1,$A611=ReportDate+1),1,0),0)</f>
        <v>0</v>
      </c>
      <c r="AV611" s="71">
        <f>IF(AND($G611&lt;&gt;"",$M611="Completed"),IF(OR($Y611=ReportDate-1,$A611=ReportDate-1),1,0),0)</f>
        <v>0</v>
      </c>
      <c r="AW611" s="71">
        <f>IF(AND($AK611=1,$Z611="Yes"),1,0)</f>
        <v>0</v>
      </c>
      <c r="AX611" s="71">
        <f>IF(AND($AK611=1,$AA611="Yes"),1,0)</f>
        <v>0</v>
      </c>
      <c r="AY611" s="71">
        <f>IF(AND($AM611=1,OR($I611="Critical",$I611="High")),1,0)</f>
        <v>0</v>
      </c>
      <c r="AZ611" s="71">
        <f>IF(AND($AK611=1,OR($C611=TCL_Client,$C611=MECCA_Client)),1,0)</f>
        <v>0</v>
      </c>
      <c r="BA611" s="71" t="str">
        <f>IF($G611="","",IFERROR(MATCH($I611,lst_Priority,0),5))</f>
        <v/>
      </c>
      <c r="BB611" s="71" t="str">
        <f>IF(AND($AL611=1,$AJ611=1),$BA611*100000+ROW(),"")</f>
        <v/>
      </c>
      <c r="BC611" s="71" t="str">
        <f>IF(AND($AM611=1,$AJ611=1),$BA611*100000+ROW(),"")</f>
        <v/>
      </c>
      <c r="BD611" s="71" t="str">
        <f>IF(AND($AP611=1,$AJ611=1),$BA611*100000+ROW(),"")</f>
        <v/>
      </c>
      <c r="BE611" s="71" t="str">
        <f>IF(AND($AT611=1,$AJ611=1),$BA611*100000+ROW(),"")</f>
        <v/>
      </c>
      <c r="BF611" s="71" t="str">
        <f>IF(AND($AU611=1,$AJ611=1),$BA611*100000+ROW(),"")</f>
        <v/>
      </c>
      <c r="BG611" s="71" t="str">
        <f>IF(AND($AV611=1,$AJ611=1),$BA611*100000+ROW(),"")</f>
        <v/>
      </c>
      <c r="BH611" s="71" t="str">
        <f>IF(AND($AW611=1,$AJ611=1),$BA611*100000+ROW(),"")</f>
        <v/>
      </c>
      <c r="BI611" s="71" t="str">
        <f>IF(AND($AX611=1,$AJ611=1),$BA611*100000+ROW(),"")</f>
        <v/>
      </c>
      <c r="BJ611" s="71" t="str">
        <f>IF(AND($AS611=1,$AJ611=1),$BA611*100000+ROW(),"")</f>
        <v/>
      </c>
      <c r="BK611" s="71" t="str">
        <f>IF(AND($AY611=1,$AJ611=1),$BA611*100000+ROW(),"")</f>
        <v/>
      </c>
      <c r="BL611" s="71" t="str">
        <f>IF(AND($AZ611=1),$BA611*100000+ROW(),"")</f>
        <v/>
      </c>
    </row>
    <row r="612">
      <c r="A612" s="63" t="n"/>
      <c r="B612" s="64" t="n"/>
      <c r="C612" s="64" t="n"/>
      <c r="D612" s="64" t="n"/>
      <c r="E612" s="64" t="n"/>
      <c r="F612" s="64" t="n"/>
      <c r="G612" s="65" t="n"/>
      <c r="H612" s="65" t="n"/>
      <c r="I612" s="64" t="n"/>
      <c r="J612" s="64" t="n"/>
      <c r="K612" s="63" t="n"/>
      <c r="L612" s="63" t="n"/>
      <c r="M612" s="64" t="n"/>
      <c r="N612" s="66" t="n"/>
      <c r="O612" s="65" t="n"/>
      <c r="P612" s="64" t="n"/>
      <c r="Q612" s="67" t="n"/>
      <c r="R612" s="67" t="n"/>
      <c r="S612" s="68" t="str">
        <f>IF(AND(ISNUMBER($Q612),ISNUMBER($R612)),$Q612-$R612,"")</f>
        <v/>
      </c>
      <c r="T612" s="65" t="n"/>
      <c r="U612" s="64" t="n"/>
      <c r="V612" s="65" t="n"/>
      <c r="W612" s="63" t="n"/>
      <c r="X612" s="65" t="n"/>
      <c r="Y612" s="63" t="n"/>
      <c r="Z612" s="64" t="n"/>
      <c r="AA612" s="64" t="n"/>
      <c r="AB612" s="65" t="n"/>
      <c r="AC612" s="69" t="str">
        <f>IF(OR($G612="",NOT(ISNUMBER($K612)),$AK612=0),"",MAX(0,ReportDate-$K612))</f>
        <v/>
      </c>
      <c r="AD612" s="69" t="str">
        <f>IF($G612="","",IF($AL612=1,ReportDate-$L612,0))</f>
        <v/>
      </c>
      <c r="AE612" s="70" t="str">
        <f>IF($G612="","",IF($M612="Completed",1,IF(ISNUMBER($N612),$N612,0)))</f>
        <v/>
      </c>
      <c r="AF612" s="70" t="str">
        <f>IF(AND(ISNUMBER($Q612),ISNUMBER($R612)),IF($R612&lt;&gt;0,$Q612/$R612,""),"")</f>
        <v/>
      </c>
      <c r="AG612" s="71" t="str">
        <f>IF($G612="","",IF($AL612=1,"OVERDUE",IF($AM612=1,"BLOCKED",IF($AN612=1,"DUE TODAY",IF($AO612=1,"DUE TOMORROW",IF($AQ612=1,"HIGH PRIORITY",IF($AR612=1,"NO RECENT UPDATE",""))))))) </f>
        <v/>
      </c>
      <c r="AH612" s="71" t="str">
        <f>IF($G612="","",IF(ISNUMBER($A612),IF(ISNUMBER($A612),YEAR($A612)&amp;"-"&amp;TEXT(MONTH($A612),"00"),""),IF(ISNUMBER($L612),IF(ISNUMBER($L612),YEAR($L612)&amp;"-"&amp;TEXT(MONTH($L612),"00"),""),"")))</f>
        <v/>
      </c>
      <c r="AI612" s="71">
        <f>IF($G612="",0,IF(AND(OR(fClient="All",$C612=fClient),OR(fCampaign="All",$D612=fCampaign),OR(fTeam="All",$B612=fTeam),OR(fChannel="All",$F612=fChannel),OR(fMonth="All",$AH612=fMonth),OR(fTStatus="All",$M612=fTStatus)),1,0))</f>
        <v>0</v>
      </c>
      <c r="AJ612" s="71">
        <f>IF($G612="",0,IF(AND(OR(fClient="All",$C612=fClient),OR(fCampaign="All",$D612=fCampaign),OR(fTeam="All",$B612=fTeam),OR(fChannel="All",$F612=fChannel)),1,0))</f>
        <v>0</v>
      </c>
      <c r="AK612" s="71">
        <f>IF($G612="",0,IF(OR($M612="Completed",$M612="Cancelled"),0,1))</f>
        <v>0</v>
      </c>
      <c r="AL612" s="71">
        <f>IF(AND($AK612=1,ISNUMBER($L612)),IF($L612&lt;ReportDate,1,0),0)</f>
        <v>0</v>
      </c>
      <c r="AM612" s="71">
        <f>IF(AND($G612&lt;&gt;"",$M612="Blocked"),1,0)</f>
        <v>0</v>
      </c>
      <c r="AN612" s="71">
        <f>IF(AND($AK612=1,ISNUMBER($L612)),IF($L612=ReportDate,1,0),0)</f>
        <v>0</v>
      </c>
      <c r="AO612" s="71">
        <f>IF(AND($AK612=1,ISNUMBER($L612)),IF($L612=ReportDate+1,1,0),0)</f>
        <v>0</v>
      </c>
      <c r="AP612" s="71">
        <f>IF(AND($AK612=1,ISNUMBER($L612)),IF(AND($L612&gt;=ReportDate,$L612&lt;=ReportDate+DueSoonDays),1,0),0)</f>
        <v>0</v>
      </c>
      <c r="AQ612" s="71">
        <f>IF(AND($AK612=1,OR($I612="Critical",$I612="High")),1,0)</f>
        <v>0</v>
      </c>
      <c r="AR612" s="71">
        <f>IF($AK612=1,IF(ISNUMBER($Y612),IF(ReportDate-$Y612&gt;StaleDays,1,0),1),0)</f>
        <v>0</v>
      </c>
      <c r="AS612" s="71">
        <f>IF(AND($G612&lt;&gt;"",ISNUMBER($Q612),ISNUMBER($R612)),IF(AND($Q612&lt;$R612,OR($M612="Completed",AND(ISNUMBER($L612),$L612&lt;ReportDate))),1,0),0)</f>
        <v>0</v>
      </c>
      <c r="AT612" s="71">
        <f>IF($AK612=1,IF(OR($L612=ReportDate,$W612=ReportDate,$K612=ReportDate,$A612=ReportDate),1,0),0)</f>
        <v>0</v>
      </c>
      <c r="AU612" s="71">
        <f>IF($AK612=1,IF(OR($L612=ReportDate+1,$W612=ReportDate+1,$K612=ReportDate+1,$A612=ReportDate+1),1,0),0)</f>
        <v>0</v>
      </c>
      <c r="AV612" s="71">
        <f>IF(AND($G612&lt;&gt;"",$M612="Completed"),IF(OR($Y612=ReportDate-1,$A612=ReportDate-1),1,0),0)</f>
        <v>0</v>
      </c>
      <c r="AW612" s="71">
        <f>IF(AND($AK612=1,$Z612="Yes"),1,0)</f>
        <v>0</v>
      </c>
      <c r="AX612" s="71">
        <f>IF(AND($AK612=1,$AA612="Yes"),1,0)</f>
        <v>0</v>
      </c>
      <c r="AY612" s="71">
        <f>IF(AND($AM612=1,OR($I612="Critical",$I612="High")),1,0)</f>
        <v>0</v>
      </c>
      <c r="AZ612" s="71">
        <f>IF(AND($AK612=1,OR($C612=TCL_Client,$C612=MECCA_Client)),1,0)</f>
        <v>0</v>
      </c>
      <c r="BA612" s="71" t="str">
        <f>IF($G612="","",IFERROR(MATCH($I612,lst_Priority,0),5))</f>
        <v/>
      </c>
      <c r="BB612" s="71" t="str">
        <f>IF(AND($AL612=1,$AJ612=1),$BA612*100000+ROW(),"")</f>
        <v/>
      </c>
      <c r="BC612" s="71" t="str">
        <f>IF(AND($AM612=1,$AJ612=1),$BA612*100000+ROW(),"")</f>
        <v/>
      </c>
      <c r="BD612" s="71" t="str">
        <f>IF(AND($AP612=1,$AJ612=1),$BA612*100000+ROW(),"")</f>
        <v/>
      </c>
      <c r="BE612" s="71" t="str">
        <f>IF(AND($AT612=1,$AJ612=1),$BA612*100000+ROW(),"")</f>
        <v/>
      </c>
      <c r="BF612" s="71" t="str">
        <f>IF(AND($AU612=1,$AJ612=1),$BA612*100000+ROW(),"")</f>
        <v/>
      </c>
      <c r="BG612" s="71" t="str">
        <f>IF(AND($AV612=1,$AJ612=1),$BA612*100000+ROW(),"")</f>
        <v/>
      </c>
      <c r="BH612" s="71" t="str">
        <f>IF(AND($AW612=1,$AJ612=1),$BA612*100000+ROW(),"")</f>
        <v/>
      </c>
      <c r="BI612" s="71" t="str">
        <f>IF(AND($AX612=1,$AJ612=1),$BA612*100000+ROW(),"")</f>
        <v/>
      </c>
      <c r="BJ612" s="71" t="str">
        <f>IF(AND($AS612=1,$AJ612=1),$BA612*100000+ROW(),"")</f>
        <v/>
      </c>
      <c r="BK612" s="71" t="str">
        <f>IF(AND($AY612=1,$AJ612=1),$BA612*100000+ROW(),"")</f>
        <v/>
      </c>
      <c r="BL612" s="71" t="str">
        <f>IF(AND($AZ612=1),$BA612*100000+ROW(),"")</f>
        <v/>
      </c>
    </row>
    <row r="613">
      <c r="A613" s="63" t="n"/>
      <c r="B613" s="64" t="n"/>
      <c r="C613" s="64" t="n"/>
      <c r="D613" s="64" t="n"/>
      <c r="E613" s="64" t="n"/>
      <c r="F613" s="64" t="n"/>
      <c r="G613" s="65" t="n"/>
      <c r="H613" s="65" t="n"/>
      <c r="I613" s="64" t="n"/>
      <c r="J613" s="64" t="n"/>
      <c r="K613" s="63" t="n"/>
      <c r="L613" s="63" t="n"/>
      <c r="M613" s="64" t="n"/>
      <c r="N613" s="66" t="n"/>
      <c r="O613" s="65" t="n"/>
      <c r="P613" s="64" t="n"/>
      <c r="Q613" s="67" t="n"/>
      <c r="R613" s="67" t="n"/>
      <c r="S613" s="68" t="str">
        <f>IF(AND(ISNUMBER($Q613),ISNUMBER($R613)),$Q613-$R613,"")</f>
        <v/>
      </c>
      <c r="T613" s="65" t="n"/>
      <c r="U613" s="64" t="n"/>
      <c r="V613" s="65" t="n"/>
      <c r="W613" s="63" t="n"/>
      <c r="X613" s="65" t="n"/>
      <c r="Y613" s="63" t="n"/>
      <c r="Z613" s="64" t="n"/>
      <c r="AA613" s="64" t="n"/>
      <c r="AB613" s="65" t="n"/>
      <c r="AC613" s="69" t="str">
        <f>IF(OR($G613="",NOT(ISNUMBER($K613)),$AK613=0),"",MAX(0,ReportDate-$K613))</f>
        <v/>
      </c>
      <c r="AD613" s="69" t="str">
        <f>IF($G613="","",IF($AL613=1,ReportDate-$L613,0))</f>
        <v/>
      </c>
      <c r="AE613" s="70" t="str">
        <f>IF($G613="","",IF($M613="Completed",1,IF(ISNUMBER($N613),$N613,0)))</f>
        <v/>
      </c>
      <c r="AF613" s="70" t="str">
        <f>IF(AND(ISNUMBER($Q613),ISNUMBER($R613)),IF($R613&lt;&gt;0,$Q613/$R613,""),"")</f>
        <v/>
      </c>
      <c r="AG613" s="71" t="str">
        <f>IF($G613="","",IF($AL613=1,"OVERDUE",IF($AM613=1,"BLOCKED",IF($AN613=1,"DUE TODAY",IF($AO613=1,"DUE TOMORROW",IF($AQ613=1,"HIGH PRIORITY",IF($AR613=1,"NO RECENT UPDATE",""))))))) </f>
        <v/>
      </c>
      <c r="AH613" s="71" t="str">
        <f>IF($G613="","",IF(ISNUMBER($A613),IF(ISNUMBER($A613),YEAR($A613)&amp;"-"&amp;TEXT(MONTH($A613),"00"),""),IF(ISNUMBER($L613),IF(ISNUMBER($L613),YEAR($L613)&amp;"-"&amp;TEXT(MONTH($L613),"00"),""),"")))</f>
        <v/>
      </c>
      <c r="AI613" s="71">
        <f>IF($G613="",0,IF(AND(OR(fClient="All",$C613=fClient),OR(fCampaign="All",$D613=fCampaign),OR(fTeam="All",$B613=fTeam),OR(fChannel="All",$F613=fChannel),OR(fMonth="All",$AH613=fMonth),OR(fTStatus="All",$M613=fTStatus)),1,0))</f>
        <v>0</v>
      </c>
      <c r="AJ613" s="71">
        <f>IF($G613="",0,IF(AND(OR(fClient="All",$C613=fClient),OR(fCampaign="All",$D613=fCampaign),OR(fTeam="All",$B613=fTeam),OR(fChannel="All",$F613=fChannel)),1,0))</f>
        <v>0</v>
      </c>
      <c r="AK613" s="71">
        <f>IF($G613="",0,IF(OR($M613="Completed",$M613="Cancelled"),0,1))</f>
        <v>0</v>
      </c>
      <c r="AL613" s="71">
        <f>IF(AND($AK613=1,ISNUMBER($L613)),IF($L613&lt;ReportDate,1,0),0)</f>
        <v>0</v>
      </c>
      <c r="AM613" s="71">
        <f>IF(AND($G613&lt;&gt;"",$M613="Blocked"),1,0)</f>
        <v>0</v>
      </c>
      <c r="AN613" s="71">
        <f>IF(AND($AK613=1,ISNUMBER($L613)),IF($L613=ReportDate,1,0),0)</f>
        <v>0</v>
      </c>
      <c r="AO613" s="71">
        <f>IF(AND($AK613=1,ISNUMBER($L613)),IF($L613=ReportDate+1,1,0),0)</f>
        <v>0</v>
      </c>
      <c r="AP613" s="71">
        <f>IF(AND($AK613=1,ISNUMBER($L613)),IF(AND($L613&gt;=ReportDate,$L613&lt;=ReportDate+DueSoonDays),1,0),0)</f>
        <v>0</v>
      </c>
      <c r="AQ613" s="71">
        <f>IF(AND($AK613=1,OR($I613="Critical",$I613="High")),1,0)</f>
        <v>0</v>
      </c>
      <c r="AR613" s="71">
        <f>IF($AK613=1,IF(ISNUMBER($Y613),IF(ReportDate-$Y613&gt;StaleDays,1,0),1),0)</f>
        <v>0</v>
      </c>
      <c r="AS613" s="71">
        <f>IF(AND($G613&lt;&gt;"",ISNUMBER($Q613),ISNUMBER($R613)),IF(AND($Q613&lt;$R613,OR($M613="Completed",AND(ISNUMBER($L613),$L613&lt;ReportDate))),1,0),0)</f>
        <v>0</v>
      </c>
      <c r="AT613" s="71">
        <f>IF($AK613=1,IF(OR($L613=ReportDate,$W613=ReportDate,$K613=ReportDate,$A613=ReportDate),1,0),0)</f>
        <v>0</v>
      </c>
      <c r="AU613" s="71">
        <f>IF($AK613=1,IF(OR($L613=ReportDate+1,$W613=ReportDate+1,$K613=ReportDate+1,$A613=ReportDate+1),1,0),0)</f>
        <v>0</v>
      </c>
      <c r="AV613" s="71">
        <f>IF(AND($G613&lt;&gt;"",$M613="Completed"),IF(OR($Y613=ReportDate-1,$A613=ReportDate-1),1,0),0)</f>
        <v>0</v>
      </c>
      <c r="AW613" s="71">
        <f>IF(AND($AK613=1,$Z613="Yes"),1,0)</f>
        <v>0</v>
      </c>
      <c r="AX613" s="71">
        <f>IF(AND($AK613=1,$AA613="Yes"),1,0)</f>
        <v>0</v>
      </c>
      <c r="AY613" s="71">
        <f>IF(AND($AM613=1,OR($I613="Critical",$I613="High")),1,0)</f>
        <v>0</v>
      </c>
      <c r="AZ613" s="71">
        <f>IF(AND($AK613=1,OR($C613=TCL_Client,$C613=MECCA_Client)),1,0)</f>
        <v>0</v>
      </c>
      <c r="BA613" s="71" t="str">
        <f>IF($G613="","",IFERROR(MATCH($I613,lst_Priority,0),5))</f>
        <v/>
      </c>
      <c r="BB613" s="71" t="str">
        <f>IF(AND($AL613=1,$AJ613=1),$BA613*100000+ROW(),"")</f>
        <v/>
      </c>
      <c r="BC613" s="71" t="str">
        <f>IF(AND($AM613=1,$AJ613=1),$BA613*100000+ROW(),"")</f>
        <v/>
      </c>
      <c r="BD613" s="71" t="str">
        <f>IF(AND($AP613=1,$AJ613=1),$BA613*100000+ROW(),"")</f>
        <v/>
      </c>
      <c r="BE613" s="71" t="str">
        <f>IF(AND($AT613=1,$AJ613=1),$BA613*100000+ROW(),"")</f>
        <v/>
      </c>
      <c r="BF613" s="71" t="str">
        <f>IF(AND($AU613=1,$AJ613=1),$BA613*100000+ROW(),"")</f>
        <v/>
      </c>
      <c r="BG613" s="71" t="str">
        <f>IF(AND($AV613=1,$AJ613=1),$BA613*100000+ROW(),"")</f>
        <v/>
      </c>
      <c r="BH613" s="71" t="str">
        <f>IF(AND($AW613=1,$AJ613=1),$BA613*100000+ROW(),"")</f>
        <v/>
      </c>
      <c r="BI613" s="71" t="str">
        <f>IF(AND($AX613=1,$AJ613=1),$BA613*100000+ROW(),"")</f>
        <v/>
      </c>
      <c r="BJ613" s="71" t="str">
        <f>IF(AND($AS613=1,$AJ613=1),$BA613*100000+ROW(),"")</f>
        <v/>
      </c>
      <c r="BK613" s="71" t="str">
        <f>IF(AND($AY613=1,$AJ613=1),$BA613*100000+ROW(),"")</f>
        <v/>
      </c>
      <c r="BL613" s="71" t="str">
        <f>IF(AND($AZ613=1),$BA613*100000+ROW(),"")</f>
        <v/>
      </c>
    </row>
    <row r="614">
      <c r="A614" s="63" t="n"/>
      <c r="B614" s="64" t="n"/>
      <c r="C614" s="64" t="n"/>
      <c r="D614" s="64" t="n"/>
      <c r="E614" s="64" t="n"/>
      <c r="F614" s="64" t="n"/>
      <c r="G614" s="65" t="n"/>
      <c r="H614" s="65" t="n"/>
      <c r="I614" s="64" t="n"/>
      <c r="J614" s="64" t="n"/>
      <c r="K614" s="63" t="n"/>
      <c r="L614" s="63" t="n"/>
      <c r="M614" s="64" t="n"/>
      <c r="N614" s="66" t="n"/>
      <c r="O614" s="65" t="n"/>
      <c r="P614" s="64" t="n"/>
      <c r="Q614" s="67" t="n"/>
      <c r="R614" s="67" t="n"/>
      <c r="S614" s="68" t="str">
        <f>IF(AND(ISNUMBER($Q614),ISNUMBER($R614)),$Q614-$R614,"")</f>
        <v/>
      </c>
      <c r="T614" s="65" t="n"/>
      <c r="U614" s="64" t="n"/>
      <c r="V614" s="65" t="n"/>
      <c r="W614" s="63" t="n"/>
      <c r="X614" s="65" t="n"/>
      <c r="Y614" s="63" t="n"/>
      <c r="Z614" s="64" t="n"/>
      <c r="AA614" s="64" t="n"/>
      <c r="AB614" s="65" t="n"/>
      <c r="AC614" s="69" t="str">
        <f>IF(OR($G614="",NOT(ISNUMBER($K614)),$AK614=0),"",MAX(0,ReportDate-$K614))</f>
        <v/>
      </c>
      <c r="AD614" s="69" t="str">
        <f>IF($G614="","",IF($AL614=1,ReportDate-$L614,0))</f>
        <v/>
      </c>
      <c r="AE614" s="70" t="str">
        <f>IF($G614="","",IF($M614="Completed",1,IF(ISNUMBER($N614),$N614,0)))</f>
        <v/>
      </c>
      <c r="AF614" s="70" t="str">
        <f>IF(AND(ISNUMBER($Q614),ISNUMBER($R614)),IF($R614&lt;&gt;0,$Q614/$R614,""),"")</f>
        <v/>
      </c>
      <c r="AG614" s="71" t="str">
        <f>IF($G614="","",IF($AL614=1,"OVERDUE",IF($AM614=1,"BLOCKED",IF($AN614=1,"DUE TODAY",IF($AO614=1,"DUE TOMORROW",IF($AQ614=1,"HIGH PRIORITY",IF($AR614=1,"NO RECENT UPDATE",""))))))) </f>
        <v/>
      </c>
      <c r="AH614" s="71" t="str">
        <f>IF($G614="","",IF(ISNUMBER($A614),IF(ISNUMBER($A614),YEAR($A614)&amp;"-"&amp;TEXT(MONTH($A614),"00"),""),IF(ISNUMBER($L614),IF(ISNUMBER($L614),YEAR($L614)&amp;"-"&amp;TEXT(MONTH($L614),"00"),""),"")))</f>
        <v/>
      </c>
      <c r="AI614" s="71">
        <f>IF($G614="",0,IF(AND(OR(fClient="All",$C614=fClient),OR(fCampaign="All",$D614=fCampaign),OR(fTeam="All",$B614=fTeam),OR(fChannel="All",$F614=fChannel),OR(fMonth="All",$AH614=fMonth),OR(fTStatus="All",$M614=fTStatus)),1,0))</f>
        <v>0</v>
      </c>
      <c r="AJ614" s="71">
        <f>IF($G614="",0,IF(AND(OR(fClient="All",$C614=fClient),OR(fCampaign="All",$D614=fCampaign),OR(fTeam="All",$B614=fTeam),OR(fChannel="All",$F614=fChannel)),1,0))</f>
        <v>0</v>
      </c>
      <c r="AK614" s="71">
        <f>IF($G614="",0,IF(OR($M614="Completed",$M614="Cancelled"),0,1))</f>
        <v>0</v>
      </c>
      <c r="AL614" s="71">
        <f>IF(AND($AK614=1,ISNUMBER($L614)),IF($L614&lt;ReportDate,1,0),0)</f>
        <v>0</v>
      </c>
      <c r="AM614" s="71">
        <f>IF(AND($G614&lt;&gt;"",$M614="Blocked"),1,0)</f>
        <v>0</v>
      </c>
      <c r="AN614" s="71">
        <f>IF(AND($AK614=1,ISNUMBER($L614)),IF($L614=ReportDate,1,0),0)</f>
        <v>0</v>
      </c>
      <c r="AO614" s="71">
        <f>IF(AND($AK614=1,ISNUMBER($L614)),IF($L614=ReportDate+1,1,0),0)</f>
        <v>0</v>
      </c>
      <c r="AP614" s="71">
        <f>IF(AND($AK614=1,ISNUMBER($L614)),IF(AND($L614&gt;=ReportDate,$L614&lt;=ReportDate+DueSoonDays),1,0),0)</f>
        <v>0</v>
      </c>
      <c r="AQ614" s="71">
        <f>IF(AND($AK614=1,OR($I614="Critical",$I614="High")),1,0)</f>
        <v>0</v>
      </c>
      <c r="AR614" s="71">
        <f>IF($AK614=1,IF(ISNUMBER($Y614),IF(ReportDate-$Y614&gt;StaleDays,1,0),1),0)</f>
        <v>0</v>
      </c>
      <c r="AS614" s="71">
        <f>IF(AND($G614&lt;&gt;"",ISNUMBER($Q614),ISNUMBER($R614)),IF(AND($Q614&lt;$R614,OR($M614="Completed",AND(ISNUMBER($L614),$L614&lt;ReportDate))),1,0),0)</f>
        <v>0</v>
      </c>
      <c r="AT614" s="71">
        <f>IF($AK614=1,IF(OR($L614=ReportDate,$W614=ReportDate,$K614=ReportDate,$A614=ReportDate),1,0),0)</f>
        <v>0</v>
      </c>
      <c r="AU614" s="71">
        <f>IF($AK614=1,IF(OR($L614=ReportDate+1,$W614=ReportDate+1,$K614=ReportDate+1,$A614=ReportDate+1),1,0),0)</f>
        <v>0</v>
      </c>
      <c r="AV614" s="71">
        <f>IF(AND($G614&lt;&gt;"",$M614="Completed"),IF(OR($Y614=ReportDate-1,$A614=ReportDate-1),1,0),0)</f>
        <v>0</v>
      </c>
      <c r="AW614" s="71">
        <f>IF(AND($AK614=1,$Z614="Yes"),1,0)</f>
        <v>0</v>
      </c>
      <c r="AX614" s="71">
        <f>IF(AND($AK614=1,$AA614="Yes"),1,0)</f>
        <v>0</v>
      </c>
      <c r="AY614" s="71">
        <f>IF(AND($AM614=1,OR($I614="Critical",$I614="High")),1,0)</f>
        <v>0</v>
      </c>
      <c r="AZ614" s="71">
        <f>IF(AND($AK614=1,OR($C614=TCL_Client,$C614=MECCA_Client)),1,0)</f>
        <v>0</v>
      </c>
      <c r="BA614" s="71" t="str">
        <f>IF($G614="","",IFERROR(MATCH($I614,lst_Priority,0),5))</f>
        <v/>
      </c>
      <c r="BB614" s="71" t="str">
        <f>IF(AND($AL614=1,$AJ614=1),$BA614*100000+ROW(),"")</f>
        <v/>
      </c>
      <c r="BC614" s="71" t="str">
        <f>IF(AND($AM614=1,$AJ614=1),$BA614*100000+ROW(),"")</f>
        <v/>
      </c>
      <c r="BD614" s="71" t="str">
        <f>IF(AND($AP614=1,$AJ614=1),$BA614*100000+ROW(),"")</f>
        <v/>
      </c>
      <c r="BE614" s="71" t="str">
        <f>IF(AND($AT614=1,$AJ614=1),$BA614*100000+ROW(),"")</f>
        <v/>
      </c>
      <c r="BF614" s="71" t="str">
        <f>IF(AND($AU614=1,$AJ614=1),$BA614*100000+ROW(),"")</f>
        <v/>
      </c>
      <c r="BG614" s="71" t="str">
        <f>IF(AND($AV614=1,$AJ614=1),$BA614*100000+ROW(),"")</f>
        <v/>
      </c>
      <c r="BH614" s="71" t="str">
        <f>IF(AND($AW614=1,$AJ614=1),$BA614*100000+ROW(),"")</f>
        <v/>
      </c>
      <c r="BI614" s="71" t="str">
        <f>IF(AND($AX614=1,$AJ614=1),$BA614*100000+ROW(),"")</f>
        <v/>
      </c>
      <c r="BJ614" s="71" t="str">
        <f>IF(AND($AS614=1,$AJ614=1),$BA614*100000+ROW(),"")</f>
        <v/>
      </c>
      <c r="BK614" s="71" t="str">
        <f>IF(AND($AY614=1,$AJ614=1),$BA614*100000+ROW(),"")</f>
        <v/>
      </c>
      <c r="BL614" s="71" t="str">
        <f>IF(AND($AZ614=1),$BA614*100000+ROW(),"")</f>
        <v/>
      </c>
    </row>
    <row r="615">
      <c r="A615" s="63" t="n"/>
      <c r="B615" s="64" t="n"/>
      <c r="C615" s="64" t="n"/>
      <c r="D615" s="64" t="n"/>
      <c r="E615" s="64" t="n"/>
      <c r="F615" s="64" t="n"/>
      <c r="G615" s="65" t="n"/>
      <c r="H615" s="65" t="n"/>
      <c r="I615" s="64" t="n"/>
      <c r="J615" s="64" t="n"/>
      <c r="K615" s="63" t="n"/>
      <c r="L615" s="63" t="n"/>
      <c r="M615" s="64" t="n"/>
      <c r="N615" s="66" t="n"/>
      <c r="O615" s="65" t="n"/>
      <c r="P615" s="64" t="n"/>
      <c r="Q615" s="67" t="n"/>
      <c r="R615" s="67" t="n"/>
      <c r="S615" s="68" t="str">
        <f>IF(AND(ISNUMBER($Q615),ISNUMBER($R615)),$Q615-$R615,"")</f>
        <v/>
      </c>
      <c r="T615" s="65" t="n"/>
      <c r="U615" s="64" t="n"/>
      <c r="V615" s="65" t="n"/>
      <c r="W615" s="63" t="n"/>
      <c r="X615" s="65" t="n"/>
      <c r="Y615" s="63" t="n"/>
      <c r="Z615" s="64" t="n"/>
      <c r="AA615" s="64" t="n"/>
      <c r="AB615" s="65" t="n"/>
      <c r="AC615" s="69" t="str">
        <f>IF(OR($G615="",NOT(ISNUMBER($K615)),$AK615=0),"",MAX(0,ReportDate-$K615))</f>
        <v/>
      </c>
      <c r="AD615" s="69" t="str">
        <f>IF($G615="","",IF($AL615=1,ReportDate-$L615,0))</f>
        <v/>
      </c>
      <c r="AE615" s="70" t="str">
        <f>IF($G615="","",IF($M615="Completed",1,IF(ISNUMBER($N615),$N615,0)))</f>
        <v/>
      </c>
      <c r="AF615" s="70" t="str">
        <f>IF(AND(ISNUMBER($Q615),ISNUMBER($R615)),IF($R615&lt;&gt;0,$Q615/$R615,""),"")</f>
        <v/>
      </c>
      <c r="AG615" s="71" t="str">
        <f>IF($G615="","",IF($AL615=1,"OVERDUE",IF($AM615=1,"BLOCKED",IF($AN615=1,"DUE TODAY",IF($AO615=1,"DUE TOMORROW",IF($AQ615=1,"HIGH PRIORITY",IF($AR615=1,"NO RECENT UPDATE",""))))))) </f>
        <v/>
      </c>
      <c r="AH615" s="71" t="str">
        <f>IF($G615="","",IF(ISNUMBER($A615),IF(ISNUMBER($A615),YEAR($A615)&amp;"-"&amp;TEXT(MONTH($A615),"00"),""),IF(ISNUMBER($L615),IF(ISNUMBER($L615),YEAR($L615)&amp;"-"&amp;TEXT(MONTH($L615),"00"),""),"")))</f>
        <v/>
      </c>
      <c r="AI615" s="71">
        <f>IF($G615="",0,IF(AND(OR(fClient="All",$C615=fClient),OR(fCampaign="All",$D615=fCampaign),OR(fTeam="All",$B615=fTeam),OR(fChannel="All",$F615=fChannel),OR(fMonth="All",$AH615=fMonth),OR(fTStatus="All",$M615=fTStatus)),1,0))</f>
        <v>0</v>
      </c>
      <c r="AJ615" s="71">
        <f>IF($G615="",0,IF(AND(OR(fClient="All",$C615=fClient),OR(fCampaign="All",$D615=fCampaign),OR(fTeam="All",$B615=fTeam),OR(fChannel="All",$F615=fChannel)),1,0))</f>
        <v>0</v>
      </c>
      <c r="AK615" s="71">
        <f>IF($G615="",0,IF(OR($M615="Completed",$M615="Cancelled"),0,1))</f>
        <v>0</v>
      </c>
      <c r="AL615" s="71">
        <f>IF(AND($AK615=1,ISNUMBER($L615)),IF($L615&lt;ReportDate,1,0),0)</f>
        <v>0</v>
      </c>
      <c r="AM615" s="71">
        <f>IF(AND($G615&lt;&gt;"",$M615="Blocked"),1,0)</f>
        <v>0</v>
      </c>
      <c r="AN615" s="71">
        <f>IF(AND($AK615=1,ISNUMBER($L615)),IF($L615=ReportDate,1,0),0)</f>
        <v>0</v>
      </c>
      <c r="AO615" s="71">
        <f>IF(AND($AK615=1,ISNUMBER($L615)),IF($L615=ReportDate+1,1,0),0)</f>
        <v>0</v>
      </c>
      <c r="AP615" s="71">
        <f>IF(AND($AK615=1,ISNUMBER($L615)),IF(AND($L615&gt;=ReportDate,$L615&lt;=ReportDate+DueSoonDays),1,0),0)</f>
        <v>0</v>
      </c>
      <c r="AQ615" s="71">
        <f>IF(AND($AK615=1,OR($I615="Critical",$I615="High")),1,0)</f>
        <v>0</v>
      </c>
      <c r="AR615" s="71">
        <f>IF($AK615=1,IF(ISNUMBER($Y615),IF(ReportDate-$Y615&gt;StaleDays,1,0),1),0)</f>
        <v>0</v>
      </c>
      <c r="AS615" s="71">
        <f>IF(AND($G615&lt;&gt;"",ISNUMBER($Q615),ISNUMBER($R615)),IF(AND($Q615&lt;$R615,OR($M615="Completed",AND(ISNUMBER($L615),$L615&lt;ReportDate))),1,0),0)</f>
        <v>0</v>
      </c>
      <c r="AT615" s="71">
        <f>IF($AK615=1,IF(OR($L615=ReportDate,$W615=ReportDate,$K615=ReportDate,$A615=ReportDate),1,0),0)</f>
        <v>0</v>
      </c>
      <c r="AU615" s="71">
        <f>IF($AK615=1,IF(OR($L615=ReportDate+1,$W615=ReportDate+1,$K615=ReportDate+1,$A615=ReportDate+1),1,0),0)</f>
        <v>0</v>
      </c>
      <c r="AV615" s="71">
        <f>IF(AND($G615&lt;&gt;"",$M615="Completed"),IF(OR($Y615=ReportDate-1,$A615=ReportDate-1),1,0),0)</f>
        <v>0</v>
      </c>
      <c r="AW615" s="71">
        <f>IF(AND($AK615=1,$Z615="Yes"),1,0)</f>
        <v>0</v>
      </c>
      <c r="AX615" s="71">
        <f>IF(AND($AK615=1,$AA615="Yes"),1,0)</f>
        <v>0</v>
      </c>
      <c r="AY615" s="71">
        <f>IF(AND($AM615=1,OR($I615="Critical",$I615="High")),1,0)</f>
        <v>0</v>
      </c>
      <c r="AZ615" s="71">
        <f>IF(AND($AK615=1,OR($C615=TCL_Client,$C615=MECCA_Client)),1,0)</f>
        <v>0</v>
      </c>
      <c r="BA615" s="71" t="str">
        <f>IF($G615="","",IFERROR(MATCH($I615,lst_Priority,0),5))</f>
        <v/>
      </c>
      <c r="BB615" s="71" t="str">
        <f>IF(AND($AL615=1,$AJ615=1),$BA615*100000+ROW(),"")</f>
        <v/>
      </c>
      <c r="BC615" s="71" t="str">
        <f>IF(AND($AM615=1,$AJ615=1),$BA615*100000+ROW(),"")</f>
        <v/>
      </c>
      <c r="BD615" s="71" t="str">
        <f>IF(AND($AP615=1,$AJ615=1),$BA615*100000+ROW(),"")</f>
        <v/>
      </c>
      <c r="BE615" s="71" t="str">
        <f>IF(AND($AT615=1,$AJ615=1),$BA615*100000+ROW(),"")</f>
        <v/>
      </c>
      <c r="BF615" s="71" t="str">
        <f>IF(AND($AU615=1,$AJ615=1),$BA615*100000+ROW(),"")</f>
        <v/>
      </c>
      <c r="BG615" s="71" t="str">
        <f>IF(AND($AV615=1,$AJ615=1),$BA615*100000+ROW(),"")</f>
        <v/>
      </c>
      <c r="BH615" s="71" t="str">
        <f>IF(AND($AW615=1,$AJ615=1),$BA615*100000+ROW(),"")</f>
        <v/>
      </c>
      <c r="BI615" s="71" t="str">
        <f>IF(AND($AX615=1,$AJ615=1),$BA615*100000+ROW(),"")</f>
        <v/>
      </c>
      <c r="BJ615" s="71" t="str">
        <f>IF(AND($AS615=1,$AJ615=1),$BA615*100000+ROW(),"")</f>
        <v/>
      </c>
      <c r="BK615" s="71" t="str">
        <f>IF(AND($AY615=1,$AJ615=1),$BA615*100000+ROW(),"")</f>
        <v/>
      </c>
      <c r="BL615" s="71" t="str">
        <f>IF(AND($AZ615=1),$BA615*100000+ROW(),"")</f>
        <v/>
      </c>
    </row>
    <row r="616">
      <c r="A616" s="63" t="n"/>
      <c r="B616" s="64" t="n"/>
      <c r="C616" s="64" t="n"/>
      <c r="D616" s="64" t="n"/>
      <c r="E616" s="64" t="n"/>
      <c r="F616" s="64" t="n"/>
      <c r="G616" s="65" t="n"/>
      <c r="H616" s="65" t="n"/>
      <c r="I616" s="64" t="n"/>
      <c r="J616" s="64" t="n"/>
      <c r="K616" s="63" t="n"/>
      <c r="L616" s="63" t="n"/>
      <c r="M616" s="64" t="n"/>
      <c r="N616" s="66" t="n"/>
      <c r="O616" s="65" t="n"/>
      <c r="P616" s="64" t="n"/>
      <c r="Q616" s="67" t="n"/>
      <c r="R616" s="67" t="n"/>
      <c r="S616" s="68" t="str">
        <f>IF(AND(ISNUMBER($Q616),ISNUMBER($R616)),$Q616-$R616,"")</f>
        <v/>
      </c>
      <c r="T616" s="65" t="n"/>
      <c r="U616" s="64" t="n"/>
      <c r="V616" s="65" t="n"/>
      <c r="W616" s="63" t="n"/>
      <c r="X616" s="65" t="n"/>
      <c r="Y616" s="63" t="n"/>
      <c r="Z616" s="64" t="n"/>
      <c r="AA616" s="64" t="n"/>
      <c r="AB616" s="65" t="n"/>
      <c r="AC616" s="69" t="str">
        <f>IF(OR($G616="",NOT(ISNUMBER($K616)),$AK616=0),"",MAX(0,ReportDate-$K616))</f>
        <v/>
      </c>
      <c r="AD616" s="69" t="str">
        <f>IF($G616="","",IF($AL616=1,ReportDate-$L616,0))</f>
        <v/>
      </c>
      <c r="AE616" s="70" t="str">
        <f>IF($G616="","",IF($M616="Completed",1,IF(ISNUMBER($N616),$N616,0)))</f>
        <v/>
      </c>
      <c r="AF616" s="70" t="str">
        <f>IF(AND(ISNUMBER($Q616),ISNUMBER($R616)),IF($R616&lt;&gt;0,$Q616/$R616,""),"")</f>
        <v/>
      </c>
      <c r="AG616" s="71" t="str">
        <f>IF($G616="","",IF($AL616=1,"OVERDUE",IF($AM616=1,"BLOCKED",IF($AN616=1,"DUE TODAY",IF($AO616=1,"DUE TOMORROW",IF($AQ616=1,"HIGH PRIORITY",IF($AR616=1,"NO RECENT UPDATE",""))))))) </f>
        <v/>
      </c>
      <c r="AH616" s="71" t="str">
        <f>IF($G616="","",IF(ISNUMBER($A616),IF(ISNUMBER($A616),YEAR($A616)&amp;"-"&amp;TEXT(MONTH($A616),"00"),""),IF(ISNUMBER($L616),IF(ISNUMBER($L616),YEAR($L616)&amp;"-"&amp;TEXT(MONTH($L616),"00"),""),"")))</f>
        <v/>
      </c>
      <c r="AI616" s="71">
        <f>IF($G616="",0,IF(AND(OR(fClient="All",$C616=fClient),OR(fCampaign="All",$D616=fCampaign),OR(fTeam="All",$B616=fTeam),OR(fChannel="All",$F616=fChannel),OR(fMonth="All",$AH616=fMonth),OR(fTStatus="All",$M616=fTStatus)),1,0))</f>
        <v>0</v>
      </c>
      <c r="AJ616" s="71">
        <f>IF($G616="",0,IF(AND(OR(fClient="All",$C616=fClient),OR(fCampaign="All",$D616=fCampaign),OR(fTeam="All",$B616=fTeam),OR(fChannel="All",$F616=fChannel)),1,0))</f>
        <v>0</v>
      </c>
      <c r="AK616" s="71">
        <f>IF($G616="",0,IF(OR($M616="Completed",$M616="Cancelled"),0,1))</f>
        <v>0</v>
      </c>
      <c r="AL616" s="71">
        <f>IF(AND($AK616=1,ISNUMBER($L616)),IF($L616&lt;ReportDate,1,0),0)</f>
        <v>0</v>
      </c>
      <c r="AM616" s="71">
        <f>IF(AND($G616&lt;&gt;"",$M616="Blocked"),1,0)</f>
        <v>0</v>
      </c>
      <c r="AN616" s="71">
        <f>IF(AND($AK616=1,ISNUMBER($L616)),IF($L616=ReportDate,1,0),0)</f>
        <v>0</v>
      </c>
      <c r="AO616" s="71">
        <f>IF(AND($AK616=1,ISNUMBER($L616)),IF($L616=ReportDate+1,1,0),0)</f>
        <v>0</v>
      </c>
      <c r="AP616" s="71">
        <f>IF(AND($AK616=1,ISNUMBER($L616)),IF(AND($L616&gt;=ReportDate,$L616&lt;=ReportDate+DueSoonDays),1,0),0)</f>
        <v>0</v>
      </c>
      <c r="AQ616" s="71">
        <f>IF(AND($AK616=1,OR($I616="Critical",$I616="High")),1,0)</f>
        <v>0</v>
      </c>
      <c r="AR616" s="71">
        <f>IF($AK616=1,IF(ISNUMBER($Y616),IF(ReportDate-$Y616&gt;StaleDays,1,0),1),0)</f>
        <v>0</v>
      </c>
      <c r="AS616" s="71">
        <f>IF(AND($G616&lt;&gt;"",ISNUMBER($Q616),ISNUMBER($R616)),IF(AND($Q616&lt;$R616,OR($M616="Completed",AND(ISNUMBER($L616),$L616&lt;ReportDate))),1,0),0)</f>
        <v>0</v>
      </c>
      <c r="AT616" s="71">
        <f>IF($AK616=1,IF(OR($L616=ReportDate,$W616=ReportDate,$K616=ReportDate,$A616=ReportDate),1,0),0)</f>
        <v>0</v>
      </c>
      <c r="AU616" s="71">
        <f>IF($AK616=1,IF(OR($L616=ReportDate+1,$W616=ReportDate+1,$K616=ReportDate+1,$A616=ReportDate+1),1,0),0)</f>
        <v>0</v>
      </c>
      <c r="AV616" s="71">
        <f>IF(AND($G616&lt;&gt;"",$M616="Completed"),IF(OR($Y616=ReportDate-1,$A616=ReportDate-1),1,0),0)</f>
        <v>0</v>
      </c>
      <c r="AW616" s="71">
        <f>IF(AND($AK616=1,$Z616="Yes"),1,0)</f>
        <v>0</v>
      </c>
      <c r="AX616" s="71">
        <f>IF(AND($AK616=1,$AA616="Yes"),1,0)</f>
        <v>0</v>
      </c>
      <c r="AY616" s="71">
        <f>IF(AND($AM616=1,OR($I616="Critical",$I616="High")),1,0)</f>
        <v>0</v>
      </c>
      <c r="AZ616" s="71">
        <f>IF(AND($AK616=1,OR($C616=TCL_Client,$C616=MECCA_Client)),1,0)</f>
        <v>0</v>
      </c>
      <c r="BA616" s="71" t="str">
        <f>IF($G616="","",IFERROR(MATCH($I616,lst_Priority,0),5))</f>
        <v/>
      </c>
      <c r="BB616" s="71" t="str">
        <f>IF(AND($AL616=1,$AJ616=1),$BA616*100000+ROW(),"")</f>
        <v/>
      </c>
      <c r="BC616" s="71" t="str">
        <f>IF(AND($AM616=1,$AJ616=1),$BA616*100000+ROW(),"")</f>
        <v/>
      </c>
      <c r="BD616" s="71" t="str">
        <f>IF(AND($AP616=1,$AJ616=1),$BA616*100000+ROW(),"")</f>
        <v/>
      </c>
      <c r="BE616" s="71" t="str">
        <f>IF(AND($AT616=1,$AJ616=1),$BA616*100000+ROW(),"")</f>
        <v/>
      </c>
      <c r="BF616" s="71" t="str">
        <f>IF(AND($AU616=1,$AJ616=1),$BA616*100000+ROW(),"")</f>
        <v/>
      </c>
      <c r="BG616" s="71" t="str">
        <f>IF(AND($AV616=1,$AJ616=1),$BA616*100000+ROW(),"")</f>
        <v/>
      </c>
      <c r="BH616" s="71" t="str">
        <f>IF(AND($AW616=1,$AJ616=1),$BA616*100000+ROW(),"")</f>
        <v/>
      </c>
      <c r="BI616" s="71" t="str">
        <f>IF(AND($AX616=1,$AJ616=1),$BA616*100000+ROW(),"")</f>
        <v/>
      </c>
      <c r="BJ616" s="71" t="str">
        <f>IF(AND($AS616=1,$AJ616=1),$BA616*100000+ROW(),"")</f>
        <v/>
      </c>
      <c r="BK616" s="71" t="str">
        <f>IF(AND($AY616=1,$AJ616=1),$BA616*100000+ROW(),"")</f>
        <v/>
      </c>
      <c r="BL616" s="71" t="str">
        <f>IF(AND($AZ616=1),$BA616*100000+ROW(),"")</f>
        <v/>
      </c>
    </row>
    <row r="617">
      <c r="A617" s="63" t="n"/>
      <c r="B617" s="64" t="n"/>
      <c r="C617" s="64" t="n"/>
      <c r="D617" s="64" t="n"/>
      <c r="E617" s="64" t="n"/>
      <c r="F617" s="64" t="n"/>
      <c r="G617" s="65" t="n"/>
      <c r="H617" s="65" t="n"/>
      <c r="I617" s="64" t="n"/>
      <c r="J617" s="64" t="n"/>
      <c r="K617" s="63" t="n"/>
      <c r="L617" s="63" t="n"/>
      <c r="M617" s="64" t="n"/>
      <c r="N617" s="66" t="n"/>
      <c r="O617" s="65" t="n"/>
      <c r="P617" s="64" t="n"/>
      <c r="Q617" s="67" t="n"/>
      <c r="R617" s="67" t="n"/>
      <c r="S617" s="68" t="str">
        <f>IF(AND(ISNUMBER($Q617),ISNUMBER($R617)),$Q617-$R617,"")</f>
        <v/>
      </c>
      <c r="T617" s="65" t="n"/>
      <c r="U617" s="64" t="n"/>
      <c r="V617" s="65" t="n"/>
      <c r="W617" s="63" t="n"/>
      <c r="X617" s="65" t="n"/>
      <c r="Y617" s="63" t="n"/>
      <c r="Z617" s="64" t="n"/>
      <c r="AA617" s="64" t="n"/>
      <c r="AB617" s="65" t="n"/>
      <c r="AC617" s="69" t="str">
        <f>IF(OR($G617="",NOT(ISNUMBER($K617)),$AK617=0),"",MAX(0,ReportDate-$K617))</f>
        <v/>
      </c>
      <c r="AD617" s="69" t="str">
        <f>IF($G617="","",IF($AL617=1,ReportDate-$L617,0))</f>
        <v/>
      </c>
      <c r="AE617" s="70" t="str">
        <f>IF($G617="","",IF($M617="Completed",1,IF(ISNUMBER($N617),$N617,0)))</f>
        <v/>
      </c>
      <c r="AF617" s="70" t="str">
        <f>IF(AND(ISNUMBER($Q617),ISNUMBER($R617)),IF($R617&lt;&gt;0,$Q617/$R617,""),"")</f>
        <v/>
      </c>
      <c r="AG617" s="71" t="str">
        <f>IF($G617="","",IF($AL617=1,"OVERDUE",IF($AM617=1,"BLOCKED",IF($AN617=1,"DUE TODAY",IF($AO617=1,"DUE TOMORROW",IF($AQ617=1,"HIGH PRIORITY",IF($AR617=1,"NO RECENT UPDATE",""))))))) </f>
        <v/>
      </c>
      <c r="AH617" s="71" t="str">
        <f>IF($G617="","",IF(ISNUMBER($A617),IF(ISNUMBER($A617),YEAR($A617)&amp;"-"&amp;TEXT(MONTH($A617),"00"),""),IF(ISNUMBER($L617),IF(ISNUMBER($L617),YEAR($L617)&amp;"-"&amp;TEXT(MONTH($L617),"00"),""),"")))</f>
        <v/>
      </c>
      <c r="AI617" s="71">
        <f>IF($G617="",0,IF(AND(OR(fClient="All",$C617=fClient),OR(fCampaign="All",$D617=fCampaign),OR(fTeam="All",$B617=fTeam),OR(fChannel="All",$F617=fChannel),OR(fMonth="All",$AH617=fMonth),OR(fTStatus="All",$M617=fTStatus)),1,0))</f>
        <v>0</v>
      </c>
      <c r="AJ617" s="71">
        <f>IF($G617="",0,IF(AND(OR(fClient="All",$C617=fClient),OR(fCampaign="All",$D617=fCampaign),OR(fTeam="All",$B617=fTeam),OR(fChannel="All",$F617=fChannel)),1,0))</f>
        <v>0</v>
      </c>
      <c r="AK617" s="71">
        <f>IF($G617="",0,IF(OR($M617="Completed",$M617="Cancelled"),0,1))</f>
        <v>0</v>
      </c>
      <c r="AL617" s="71">
        <f>IF(AND($AK617=1,ISNUMBER($L617)),IF($L617&lt;ReportDate,1,0),0)</f>
        <v>0</v>
      </c>
      <c r="AM617" s="71">
        <f>IF(AND($G617&lt;&gt;"",$M617="Blocked"),1,0)</f>
        <v>0</v>
      </c>
      <c r="AN617" s="71">
        <f>IF(AND($AK617=1,ISNUMBER($L617)),IF($L617=ReportDate,1,0),0)</f>
        <v>0</v>
      </c>
      <c r="AO617" s="71">
        <f>IF(AND($AK617=1,ISNUMBER($L617)),IF($L617=ReportDate+1,1,0),0)</f>
        <v>0</v>
      </c>
      <c r="AP617" s="71">
        <f>IF(AND($AK617=1,ISNUMBER($L617)),IF(AND($L617&gt;=ReportDate,$L617&lt;=ReportDate+DueSoonDays),1,0),0)</f>
        <v>0</v>
      </c>
      <c r="AQ617" s="71">
        <f>IF(AND($AK617=1,OR($I617="Critical",$I617="High")),1,0)</f>
        <v>0</v>
      </c>
      <c r="AR617" s="71">
        <f>IF($AK617=1,IF(ISNUMBER($Y617),IF(ReportDate-$Y617&gt;StaleDays,1,0),1),0)</f>
        <v>0</v>
      </c>
      <c r="AS617" s="71">
        <f>IF(AND($G617&lt;&gt;"",ISNUMBER($Q617),ISNUMBER($R617)),IF(AND($Q617&lt;$R617,OR($M617="Completed",AND(ISNUMBER($L617),$L617&lt;ReportDate))),1,0),0)</f>
        <v>0</v>
      </c>
      <c r="AT617" s="71">
        <f>IF($AK617=1,IF(OR($L617=ReportDate,$W617=ReportDate,$K617=ReportDate,$A617=ReportDate),1,0),0)</f>
        <v>0</v>
      </c>
      <c r="AU617" s="71">
        <f>IF($AK617=1,IF(OR($L617=ReportDate+1,$W617=ReportDate+1,$K617=ReportDate+1,$A617=ReportDate+1),1,0),0)</f>
        <v>0</v>
      </c>
      <c r="AV617" s="71">
        <f>IF(AND($G617&lt;&gt;"",$M617="Completed"),IF(OR($Y617=ReportDate-1,$A617=ReportDate-1),1,0),0)</f>
        <v>0</v>
      </c>
      <c r="AW617" s="71">
        <f>IF(AND($AK617=1,$Z617="Yes"),1,0)</f>
        <v>0</v>
      </c>
      <c r="AX617" s="71">
        <f>IF(AND($AK617=1,$AA617="Yes"),1,0)</f>
        <v>0</v>
      </c>
      <c r="AY617" s="71">
        <f>IF(AND($AM617=1,OR($I617="Critical",$I617="High")),1,0)</f>
        <v>0</v>
      </c>
      <c r="AZ617" s="71">
        <f>IF(AND($AK617=1,OR($C617=TCL_Client,$C617=MECCA_Client)),1,0)</f>
        <v>0</v>
      </c>
      <c r="BA617" s="71" t="str">
        <f>IF($G617="","",IFERROR(MATCH($I617,lst_Priority,0),5))</f>
        <v/>
      </c>
      <c r="BB617" s="71" t="str">
        <f>IF(AND($AL617=1,$AJ617=1),$BA617*100000+ROW(),"")</f>
        <v/>
      </c>
      <c r="BC617" s="71" t="str">
        <f>IF(AND($AM617=1,$AJ617=1),$BA617*100000+ROW(),"")</f>
        <v/>
      </c>
      <c r="BD617" s="71" t="str">
        <f>IF(AND($AP617=1,$AJ617=1),$BA617*100000+ROW(),"")</f>
        <v/>
      </c>
      <c r="BE617" s="71" t="str">
        <f>IF(AND($AT617=1,$AJ617=1),$BA617*100000+ROW(),"")</f>
        <v/>
      </c>
      <c r="BF617" s="71" t="str">
        <f>IF(AND($AU617=1,$AJ617=1),$BA617*100000+ROW(),"")</f>
        <v/>
      </c>
      <c r="BG617" s="71" t="str">
        <f>IF(AND($AV617=1,$AJ617=1),$BA617*100000+ROW(),"")</f>
        <v/>
      </c>
      <c r="BH617" s="71" t="str">
        <f>IF(AND($AW617=1,$AJ617=1),$BA617*100000+ROW(),"")</f>
        <v/>
      </c>
      <c r="BI617" s="71" t="str">
        <f>IF(AND($AX617=1,$AJ617=1),$BA617*100000+ROW(),"")</f>
        <v/>
      </c>
      <c r="BJ617" s="71" t="str">
        <f>IF(AND($AS617=1,$AJ617=1),$BA617*100000+ROW(),"")</f>
        <v/>
      </c>
      <c r="BK617" s="71" t="str">
        <f>IF(AND($AY617=1,$AJ617=1),$BA617*100000+ROW(),"")</f>
        <v/>
      </c>
      <c r="BL617" s="71" t="str">
        <f>IF(AND($AZ617=1),$BA617*100000+ROW(),"")</f>
        <v/>
      </c>
    </row>
    <row r="618">
      <c r="A618" s="63" t="n"/>
      <c r="B618" s="64" t="n"/>
      <c r="C618" s="64" t="n"/>
      <c r="D618" s="64" t="n"/>
      <c r="E618" s="64" t="n"/>
      <c r="F618" s="64" t="n"/>
      <c r="G618" s="65" t="n"/>
      <c r="H618" s="65" t="n"/>
      <c r="I618" s="64" t="n"/>
      <c r="J618" s="64" t="n"/>
      <c r="K618" s="63" t="n"/>
      <c r="L618" s="63" t="n"/>
      <c r="M618" s="64" t="n"/>
      <c r="N618" s="66" t="n"/>
      <c r="O618" s="65" t="n"/>
      <c r="P618" s="64" t="n"/>
      <c r="Q618" s="67" t="n"/>
      <c r="R618" s="67" t="n"/>
      <c r="S618" s="68" t="str">
        <f>IF(AND(ISNUMBER($Q618),ISNUMBER($R618)),$Q618-$R618,"")</f>
        <v/>
      </c>
      <c r="T618" s="65" t="n"/>
      <c r="U618" s="64" t="n"/>
      <c r="V618" s="65" t="n"/>
      <c r="W618" s="63" t="n"/>
      <c r="X618" s="65" t="n"/>
      <c r="Y618" s="63" t="n"/>
      <c r="Z618" s="64" t="n"/>
      <c r="AA618" s="64" t="n"/>
      <c r="AB618" s="65" t="n"/>
      <c r="AC618" s="69" t="str">
        <f>IF(OR($G618="",NOT(ISNUMBER($K618)),$AK618=0),"",MAX(0,ReportDate-$K618))</f>
        <v/>
      </c>
      <c r="AD618" s="69" t="str">
        <f>IF($G618="","",IF($AL618=1,ReportDate-$L618,0))</f>
        <v/>
      </c>
      <c r="AE618" s="70" t="str">
        <f>IF($G618="","",IF($M618="Completed",1,IF(ISNUMBER($N618),$N618,0)))</f>
        <v/>
      </c>
      <c r="AF618" s="70" t="str">
        <f>IF(AND(ISNUMBER($Q618),ISNUMBER($R618)),IF($R618&lt;&gt;0,$Q618/$R618,""),"")</f>
        <v/>
      </c>
      <c r="AG618" s="71" t="str">
        <f>IF($G618="","",IF($AL618=1,"OVERDUE",IF($AM618=1,"BLOCKED",IF($AN618=1,"DUE TODAY",IF($AO618=1,"DUE TOMORROW",IF($AQ618=1,"HIGH PRIORITY",IF($AR618=1,"NO RECENT UPDATE",""))))))) </f>
        <v/>
      </c>
      <c r="AH618" s="71" t="str">
        <f>IF($G618="","",IF(ISNUMBER($A618),IF(ISNUMBER($A618),YEAR($A618)&amp;"-"&amp;TEXT(MONTH($A618),"00"),""),IF(ISNUMBER($L618),IF(ISNUMBER($L618),YEAR($L618)&amp;"-"&amp;TEXT(MONTH($L618),"00"),""),"")))</f>
        <v/>
      </c>
      <c r="AI618" s="71">
        <f>IF($G618="",0,IF(AND(OR(fClient="All",$C618=fClient),OR(fCampaign="All",$D618=fCampaign),OR(fTeam="All",$B618=fTeam),OR(fChannel="All",$F618=fChannel),OR(fMonth="All",$AH618=fMonth),OR(fTStatus="All",$M618=fTStatus)),1,0))</f>
        <v>0</v>
      </c>
      <c r="AJ618" s="71">
        <f>IF($G618="",0,IF(AND(OR(fClient="All",$C618=fClient),OR(fCampaign="All",$D618=fCampaign),OR(fTeam="All",$B618=fTeam),OR(fChannel="All",$F618=fChannel)),1,0))</f>
        <v>0</v>
      </c>
      <c r="AK618" s="71">
        <f>IF($G618="",0,IF(OR($M618="Completed",$M618="Cancelled"),0,1))</f>
        <v>0</v>
      </c>
      <c r="AL618" s="71">
        <f>IF(AND($AK618=1,ISNUMBER($L618)),IF($L618&lt;ReportDate,1,0),0)</f>
        <v>0</v>
      </c>
      <c r="AM618" s="71">
        <f>IF(AND($G618&lt;&gt;"",$M618="Blocked"),1,0)</f>
        <v>0</v>
      </c>
      <c r="AN618" s="71">
        <f>IF(AND($AK618=1,ISNUMBER($L618)),IF($L618=ReportDate,1,0),0)</f>
        <v>0</v>
      </c>
      <c r="AO618" s="71">
        <f>IF(AND($AK618=1,ISNUMBER($L618)),IF($L618=ReportDate+1,1,0),0)</f>
        <v>0</v>
      </c>
      <c r="AP618" s="71">
        <f>IF(AND($AK618=1,ISNUMBER($L618)),IF(AND($L618&gt;=ReportDate,$L618&lt;=ReportDate+DueSoonDays),1,0),0)</f>
        <v>0</v>
      </c>
      <c r="AQ618" s="71">
        <f>IF(AND($AK618=1,OR($I618="Critical",$I618="High")),1,0)</f>
        <v>0</v>
      </c>
      <c r="AR618" s="71">
        <f>IF($AK618=1,IF(ISNUMBER($Y618),IF(ReportDate-$Y618&gt;StaleDays,1,0),1),0)</f>
        <v>0</v>
      </c>
      <c r="AS618" s="71">
        <f>IF(AND($G618&lt;&gt;"",ISNUMBER($Q618),ISNUMBER($R618)),IF(AND($Q618&lt;$R618,OR($M618="Completed",AND(ISNUMBER($L618),$L618&lt;ReportDate))),1,0),0)</f>
        <v>0</v>
      </c>
      <c r="AT618" s="71">
        <f>IF($AK618=1,IF(OR($L618=ReportDate,$W618=ReportDate,$K618=ReportDate,$A618=ReportDate),1,0),0)</f>
        <v>0</v>
      </c>
      <c r="AU618" s="71">
        <f>IF($AK618=1,IF(OR($L618=ReportDate+1,$W618=ReportDate+1,$K618=ReportDate+1,$A618=ReportDate+1),1,0),0)</f>
        <v>0</v>
      </c>
      <c r="AV618" s="71">
        <f>IF(AND($G618&lt;&gt;"",$M618="Completed"),IF(OR($Y618=ReportDate-1,$A618=ReportDate-1),1,0),0)</f>
        <v>0</v>
      </c>
      <c r="AW618" s="71">
        <f>IF(AND($AK618=1,$Z618="Yes"),1,0)</f>
        <v>0</v>
      </c>
      <c r="AX618" s="71">
        <f>IF(AND($AK618=1,$AA618="Yes"),1,0)</f>
        <v>0</v>
      </c>
      <c r="AY618" s="71">
        <f>IF(AND($AM618=1,OR($I618="Critical",$I618="High")),1,0)</f>
        <v>0</v>
      </c>
      <c r="AZ618" s="71">
        <f>IF(AND($AK618=1,OR($C618=TCL_Client,$C618=MECCA_Client)),1,0)</f>
        <v>0</v>
      </c>
      <c r="BA618" s="71" t="str">
        <f>IF($G618="","",IFERROR(MATCH($I618,lst_Priority,0),5))</f>
        <v/>
      </c>
      <c r="BB618" s="71" t="str">
        <f>IF(AND($AL618=1,$AJ618=1),$BA618*100000+ROW(),"")</f>
        <v/>
      </c>
      <c r="BC618" s="71" t="str">
        <f>IF(AND($AM618=1,$AJ618=1),$BA618*100000+ROW(),"")</f>
        <v/>
      </c>
      <c r="BD618" s="71" t="str">
        <f>IF(AND($AP618=1,$AJ618=1),$BA618*100000+ROW(),"")</f>
        <v/>
      </c>
      <c r="BE618" s="71" t="str">
        <f>IF(AND($AT618=1,$AJ618=1),$BA618*100000+ROW(),"")</f>
        <v/>
      </c>
      <c r="BF618" s="71" t="str">
        <f>IF(AND($AU618=1,$AJ618=1),$BA618*100000+ROW(),"")</f>
        <v/>
      </c>
      <c r="BG618" s="71" t="str">
        <f>IF(AND($AV618=1,$AJ618=1),$BA618*100000+ROW(),"")</f>
        <v/>
      </c>
      <c r="BH618" s="71" t="str">
        <f>IF(AND($AW618=1,$AJ618=1),$BA618*100000+ROW(),"")</f>
        <v/>
      </c>
      <c r="BI618" s="71" t="str">
        <f>IF(AND($AX618=1,$AJ618=1),$BA618*100000+ROW(),"")</f>
        <v/>
      </c>
      <c r="BJ618" s="71" t="str">
        <f>IF(AND($AS618=1,$AJ618=1),$BA618*100000+ROW(),"")</f>
        <v/>
      </c>
      <c r="BK618" s="71" t="str">
        <f>IF(AND($AY618=1,$AJ618=1),$BA618*100000+ROW(),"")</f>
        <v/>
      </c>
      <c r="BL618" s="71" t="str">
        <f>IF(AND($AZ618=1),$BA618*100000+ROW(),"")</f>
        <v/>
      </c>
    </row>
    <row r="619">
      <c r="A619" s="63" t="n"/>
      <c r="B619" s="64" t="n"/>
      <c r="C619" s="64" t="n"/>
      <c r="D619" s="64" t="n"/>
      <c r="E619" s="64" t="n"/>
      <c r="F619" s="64" t="n"/>
      <c r="G619" s="65" t="n"/>
      <c r="H619" s="65" t="n"/>
      <c r="I619" s="64" t="n"/>
      <c r="J619" s="64" t="n"/>
      <c r="K619" s="63" t="n"/>
      <c r="L619" s="63" t="n"/>
      <c r="M619" s="64" t="n"/>
      <c r="N619" s="66" t="n"/>
      <c r="O619" s="65" t="n"/>
      <c r="P619" s="64" t="n"/>
      <c r="Q619" s="67" t="n"/>
      <c r="R619" s="67" t="n"/>
      <c r="S619" s="68" t="str">
        <f>IF(AND(ISNUMBER($Q619),ISNUMBER($R619)),$Q619-$R619,"")</f>
        <v/>
      </c>
      <c r="T619" s="65" t="n"/>
      <c r="U619" s="64" t="n"/>
      <c r="V619" s="65" t="n"/>
      <c r="W619" s="63" t="n"/>
      <c r="X619" s="65" t="n"/>
      <c r="Y619" s="63" t="n"/>
      <c r="Z619" s="64" t="n"/>
      <c r="AA619" s="64" t="n"/>
      <c r="AB619" s="65" t="n"/>
      <c r="AC619" s="69" t="str">
        <f>IF(OR($G619="",NOT(ISNUMBER($K619)),$AK619=0),"",MAX(0,ReportDate-$K619))</f>
        <v/>
      </c>
      <c r="AD619" s="69" t="str">
        <f>IF($G619="","",IF($AL619=1,ReportDate-$L619,0))</f>
        <v/>
      </c>
      <c r="AE619" s="70" t="str">
        <f>IF($G619="","",IF($M619="Completed",1,IF(ISNUMBER($N619),$N619,0)))</f>
        <v/>
      </c>
      <c r="AF619" s="70" t="str">
        <f>IF(AND(ISNUMBER($Q619),ISNUMBER($R619)),IF($R619&lt;&gt;0,$Q619/$R619,""),"")</f>
        <v/>
      </c>
      <c r="AG619" s="71" t="str">
        <f>IF($G619="","",IF($AL619=1,"OVERDUE",IF($AM619=1,"BLOCKED",IF($AN619=1,"DUE TODAY",IF($AO619=1,"DUE TOMORROW",IF($AQ619=1,"HIGH PRIORITY",IF($AR619=1,"NO RECENT UPDATE",""))))))) </f>
        <v/>
      </c>
      <c r="AH619" s="71" t="str">
        <f>IF($G619="","",IF(ISNUMBER($A619),IF(ISNUMBER($A619),YEAR($A619)&amp;"-"&amp;TEXT(MONTH($A619),"00"),""),IF(ISNUMBER($L619),IF(ISNUMBER($L619),YEAR($L619)&amp;"-"&amp;TEXT(MONTH($L619),"00"),""),"")))</f>
        <v/>
      </c>
      <c r="AI619" s="71">
        <f>IF($G619="",0,IF(AND(OR(fClient="All",$C619=fClient),OR(fCampaign="All",$D619=fCampaign),OR(fTeam="All",$B619=fTeam),OR(fChannel="All",$F619=fChannel),OR(fMonth="All",$AH619=fMonth),OR(fTStatus="All",$M619=fTStatus)),1,0))</f>
        <v>0</v>
      </c>
      <c r="AJ619" s="71">
        <f>IF($G619="",0,IF(AND(OR(fClient="All",$C619=fClient),OR(fCampaign="All",$D619=fCampaign),OR(fTeam="All",$B619=fTeam),OR(fChannel="All",$F619=fChannel)),1,0))</f>
        <v>0</v>
      </c>
      <c r="AK619" s="71">
        <f>IF($G619="",0,IF(OR($M619="Completed",$M619="Cancelled"),0,1))</f>
        <v>0</v>
      </c>
      <c r="AL619" s="71">
        <f>IF(AND($AK619=1,ISNUMBER($L619)),IF($L619&lt;ReportDate,1,0),0)</f>
        <v>0</v>
      </c>
      <c r="AM619" s="71">
        <f>IF(AND($G619&lt;&gt;"",$M619="Blocked"),1,0)</f>
        <v>0</v>
      </c>
      <c r="AN619" s="71">
        <f>IF(AND($AK619=1,ISNUMBER($L619)),IF($L619=ReportDate,1,0),0)</f>
        <v>0</v>
      </c>
      <c r="AO619" s="71">
        <f>IF(AND($AK619=1,ISNUMBER($L619)),IF($L619=ReportDate+1,1,0),0)</f>
        <v>0</v>
      </c>
      <c r="AP619" s="71">
        <f>IF(AND($AK619=1,ISNUMBER($L619)),IF(AND($L619&gt;=ReportDate,$L619&lt;=ReportDate+DueSoonDays),1,0),0)</f>
        <v>0</v>
      </c>
      <c r="AQ619" s="71">
        <f>IF(AND($AK619=1,OR($I619="Critical",$I619="High")),1,0)</f>
        <v>0</v>
      </c>
      <c r="AR619" s="71">
        <f>IF($AK619=1,IF(ISNUMBER($Y619),IF(ReportDate-$Y619&gt;StaleDays,1,0),1),0)</f>
        <v>0</v>
      </c>
      <c r="AS619" s="71">
        <f>IF(AND($G619&lt;&gt;"",ISNUMBER($Q619),ISNUMBER($R619)),IF(AND($Q619&lt;$R619,OR($M619="Completed",AND(ISNUMBER($L619),$L619&lt;ReportDate))),1,0),0)</f>
        <v>0</v>
      </c>
      <c r="AT619" s="71">
        <f>IF($AK619=1,IF(OR($L619=ReportDate,$W619=ReportDate,$K619=ReportDate,$A619=ReportDate),1,0),0)</f>
        <v>0</v>
      </c>
      <c r="AU619" s="71">
        <f>IF($AK619=1,IF(OR($L619=ReportDate+1,$W619=ReportDate+1,$K619=ReportDate+1,$A619=ReportDate+1),1,0),0)</f>
        <v>0</v>
      </c>
      <c r="AV619" s="71">
        <f>IF(AND($G619&lt;&gt;"",$M619="Completed"),IF(OR($Y619=ReportDate-1,$A619=ReportDate-1),1,0),0)</f>
        <v>0</v>
      </c>
      <c r="AW619" s="71">
        <f>IF(AND($AK619=1,$Z619="Yes"),1,0)</f>
        <v>0</v>
      </c>
      <c r="AX619" s="71">
        <f>IF(AND($AK619=1,$AA619="Yes"),1,0)</f>
        <v>0</v>
      </c>
      <c r="AY619" s="71">
        <f>IF(AND($AM619=1,OR($I619="Critical",$I619="High")),1,0)</f>
        <v>0</v>
      </c>
      <c r="AZ619" s="71">
        <f>IF(AND($AK619=1,OR($C619=TCL_Client,$C619=MECCA_Client)),1,0)</f>
        <v>0</v>
      </c>
      <c r="BA619" s="71" t="str">
        <f>IF($G619="","",IFERROR(MATCH($I619,lst_Priority,0),5))</f>
        <v/>
      </c>
      <c r="BB619" s="71" t="str">
        <f>IF(AND($AL619=1,$AJ619=1),$BA619*100000+ROW(),"")</f>
        <v/>
      </c>
      <c r="BC619" s="71" t="str">
        <f>IF(AND($AM619=1,$AJ619=1),$BA619*100000+ROW(),"")</f>
        <v/>
      </c>
      <c r="BD619" s="71" t="str">
        <f>IF(AND($AP619=1,$AJ619=1),$BA619*100000+ROW(),"")</f>
        <v/>
      </c>
      <c r="BE619" s="71" t="str">
        <f>IF(AND($AT619=1,$AJ619=1),$BA619*100000+ROW(),"")</f>
        <v/>
      </c>
      <c r="BF619" s="71" t="str">
        <f>IF(AND($AU619=1,$AJ619=1),$BA619*100000+ROW(),"")</f>
        <v/>
      </c>
      <c r="BG619" s="71" t="str">
        <f>IF(AND($AV619=1,$AJ619=1),$BA619*100000+ROW(),"")</f>
        <v/>
      </c>
      <c r="BH619" s="71" t="str">
        <f>IF(AND($AW619=1,$AJ619=1),$BA619*100000+ROW(),"")</f>
        <v/>
      </c>
      <c r="BI619" s="71" t="str">
        <f>IF(AND($AX619=1,$AJ619=1),$BA619*100000+ROW(),"")</f>
        <v/>
      </c>
      <c r="BJ619" s="71" t="str">
        <f>IF(AND($AS619=1,$AJ619=1),$BA619*100000+ROW(),"")</f>
        <v/>
      </c>
      <c r="BK619" s="71" t="str">
        <f>IF(AND($AY619=1,$AJ619=1),$BA619*100000+ROW(),"")</f>
        <v/>
      </c>
      <c r="BL619" s="71" t="str">
        <f>IF(AND($AZ619=1),$BA619*100000+ROW(),"")</f>
        <v/>
      </c>
    </row>
    <row r="620">
      <c r="A620" s="63" t="n"/>
      <c r="B620" s="64" t="n"/>
      <c r="C620" s="64" t="n"/>
      <c r="D620" s="64" t="n"/>
      <c r="E620" s="64" t="n"/>
      <c r="F620" s="64" t="n"/>
      <c r="G620" s="65" t="n"/>
      <c r="H620" s="65" t="n"/>
      <c r="I620" s="64" t="n"/>
      <c r="J620" s="64" t="n"/>
      <c r="K620" s="63" t="n"/>
      <c r="L620" s="63" t="n"/>
      <c r="M620" s="64" t="n"/>
      <c r="N620" s="66" t="n"/>
      <c r="O620" s="65" t="n"/>
      <c r="P620" s="64" t="n"/>
      <c r="Q620" s="67" t="n"/>
      <c r="R620" s="67" t="n"/>
      <c r="S620" s="68" t="str">
        <f>IF(AND(ISNUMBER($Q620),ISNUMBER($R620)),$Q620-$R620,"")</f>
        <v/>
      </c>
      <c r="T620" s="65" t="n"/>
      <c r="U620" s="64" t="n"/>
      <c r="V620" s="65" t="n"/>
      <c r="W620" s="63" t="n"/>
      <c r="X620" s="65" t="n"/>
      <c r="Y620" s="63" t="n"/>
      <c r="Z620" s="64" t="n"/>
      <c r="AA620" s="64" t="n"/>
      <c r="AB620" s="65" t="n"/>
      <c r="AC620" s="69" t="str">
        <f>IF(OR($G620="",NOT(ISNUMBER($K620)),$AK620=0),"",MAX(0,ReportDate-$K620))</f>
        <v/>
      </c>
      <c r="AD620" s="69" t="str">
        <f>IF($G620="","",IF($AL620=1,ReportDate-$L620,0))</f>
        <v/>
      </c>
      <c r="AE620" s="70" t="str">
        <f>IF($G620="","",IF($M620="Completed",1,IF(ISNUMBER($N620),$N620,0)))</f>
        <v/>
      </c>
      <c r="AF620" s="70" t="str">
        <f>IF(AND(ISNUMBER($Q620),ISNUMBER($R620)),IF($R620&lt;&gt;0,$Q620/$R620,""),"")</f>
        <v/>
      </c>
      <c r="AG620" s="71" t="str">
        <f>IF($G620="","",IF($AL620=1,"OVERDUE",IF($AM620=1,"BLOCKED",IF($AN620=1,"DUE TODAY",IF($AO620=1,"DUE TOMORROW",IF($AQ620=1,"HIGH PRIORITY",IF($AR620=1,"NO RECENT UPDATE",""))))))) </f>
        <v/>
      </c>
      <c r="AH620" s="71" t="str">
        <f>IF($G620="","",IF(ISNUMBER($A620),IF(ISNUMBER($A620),YEAR($A620)&amp;"-"&amp;TEXT(MONTH($A620),"00"),""),IF(ISNUMBER($L620),IF(ISNUMBER($L620),YEAR($L620)&amp;"-"&amp;TEXT(MONTH($L620),"00"),""),"")))</f>
        <v/>
      </c>
      <c r="AI620" s="71">
        <f>IF($G620="",0,IF(AND(OR(fClient="All",$C620=fClient),OR(fCampaign="All",$D620=fCampaign),OR(fTeam="All",$B620=fTeam),OR(fChannel="All",$F620=fChannel),OR(fMonth="All",$AH620=fMonth),OR(fTStatus="All",$M620=fTStatus)),1,0))</f>
        <v>0</v>
      </c>
      <c r="AJ620" s="71">
        <f>IF($G620="",0,IF(AND(OR(fClient="All",$C620=fClient),OR(fCampaign="All",$D620=fCampaign),OR(fTeam="All",$B620=fTeam),OR(fChannel="All",$F620=fChannel)),1,0))</f>
        <v>0</v>
      </c>
      <c r="AK620" s="71">
        <f>IF($G620="",0,IF(OR($M620="Completed",$M620="Cancelled"),0,1))</f>
        <v>0</v>
      </c>
      <c r="AL620" s="71">
        <f>IF(AND($AK620=1,ISNUMBER($L620)),IF($L620&lt;ReportDate,1,0),0)</f>
        <v>0</v>
      </c>
      <c r="AM620" s="71">
        <f>IF(AND($G620&lt;&gt;"",$M620="Blocked"),1,0)</f>
        <v>0</v>
      </c>
      <c r="AN620" s="71">
        <f>IF(AND($AK620=1,ISNUMBER($L620)),IF($L620=ReportDate,1,0),0)</f>
        <v>0</v>
      </c>
      <c r="AO620" s="71">
        <f>IF(AND($AK620=1,ISNUMBER($L620)),IF($L620=ReportDate+1,1,0),0)</f>
        <v>0</v>
      </c>
      <c r="AP620" s="71">
        <f>IF(AND($AK620=1,ISNUMBER($L620)),IF(AND($L620&gt;=ReportDate,$L620&lt;=ReportDate+DueSoonDays),1,0),0)</f>
        <v>0</v>
      </c>
      <c r="AQ620" s="71">
        <f>IF(AND($AK620=1,OR($I620="Critical",$I620="High")),1,0)</f>
        <v>0</v>
      </c>
      <c r="AR620" s="71">
        <f>IF($AK620=1,IF(ISNUMBER($Y620),IF(ReportDate-$Y620&gt;StaleDays,1,0),1),0)</f>
        <v>0</v>
      </c>
      <c r="AS620" s="71">
        <f>IF(AND($G620&lt;&gt;"",ISNUMBER($Q620),ISNUMBER($R620)),IF(AND($Q620&lt;$R620,OR($M620="Completed",AND(ISNUMBER($L620),$L620&lt;ReportDate))),1,0),0)</f>
        <v>0</v>
      </c>
      <c r="AT620" s="71">
        <f>IF($AK620=1,IF(OR($L620=ReportDate,$W620=ReportDate,$K620=ReportDate,$A620=ReportDate),1,0),0)</f>
        <v>0</v>
      </c>
      <c r="AU620" s="71">
        <f>IF($AK620=1,IF(OR($L620=ReportDate+1,$W620=ReportDate+1,$K620=ReportDate+1,$A620=ReportDate+1),1,0),0)</f>
        <v>0</v>
      </c>
      <c r="AV620" s="71">
        <f>IF(AND($G620&lt;&gt;"",$M620="Completed"),IF(OR($Y620=ReportDate-1,$A620=ReportDate-1),1,0),0)</f>
        <v>0</v>
      </c>
      <c r="AW620" s="71">
        <f>IF(AND($AK620=1,$Z620="Yes"),1,0)</f>
        <v>0</v>
      </c>
      <c r="AX620" s="71">
        <f>IF(AND($AK620=1,$AA620="Yes"),1,0)</f>
        <v>0</v>
      </c>
      <c r="AY620" s="71">
        <f>IF(AND($AM620=1,OR($I620="Critical",$I620="High")),1,0)</f>
        <v>0</v>
      </c>
      <c r="AZ620" s="71">
        <f>IF(AND($AK620=1,OR($C620=TCL_Client,$C620=MECCA_Client)),1,0)</f>
        <v>0</v>
      </c>
      <c r="BA620" s="71" t="str">
        <f>IF($G620="","",IFERROR(MATCH($I620,lst_Priority,0),5))</f>
        <v/>
      </c>
      <c r="BB620" s="71" t="str">
        <f>IF(AND($AL620=1,$AJ620=1),$BA620*100000+ROW(),"")</f>
        <v/>
      </c>
      <c r="BC620" s="71" t="str">
        <f>IF(AND($AM620=1,$AJ620=1),$BA620*100000+ROW(),"")</f>
        <v/>
      </c>
      <c r="BD620" s="71" t="str">
        <f>IF(AND($AP620=1,$AJ620=1),$BA620*100000+ROW(),"")</f>
        <v/>
      </c>
      <c r="BE620" s="71" t="str">
        <f>IF(AND($AT620=1,$AJ620=1),$BA620*100000+ROW(),"")</f>
        <v/>
      </c>
      <c r="BF620" s="71" t="str">
        <f>IF(AND($AU620=1,$AJ620=1),$BA620*100000+ROW(),"")</f>
        <v/>
      </c>
      <c r="BG620" s="71" t="str">
        <f>IF(AND($AV620=1,$AJ620=1),$BA620*100000+ROW(),"")</f>
        <v/>
      </c>
      <c r="BH620" s="71" t="str">
        <f>IF(AND($AW620=1,$AJ620=1),$BA620*100000+ROW(),"")</f>
        <v/>
      </c>
      <c r="BI620" s="71" t="str">
        <f>IF(AND($AX620=1,$AJ620=1),$BA620*100000+ROW(),"")</f>
        <v/>
      </c>
      <c r="BJ620" s="71" t="str">
        <f>IF(AND($AS620=1,$AJ620=1),$BA620*100000+ROW(),"")</f>
        <v/>
      </c>
      <c r="BK620" s="71" t="str">
        <f>IF(AND($AY620=1,$AJ620=1),$BA620*100000+ROW(),"")</f>
        <v/>
      </c>
      <c r="BL620" s="71" t="str">
        <f>IF(AND($AZ620=1),$BA620*100000+ROW(),"")</f>
        <v/>
      </c>
    </row>
    <row r="621">
      <c r="A621" s="63" t="n"/>
      <c r="B621" s="64" t="n"/>
      <c r="C621" s="64" t="n"/>
      <c r="D621" s="64" t="n"/>
      <c r="E621" s="64" t="n"/>
      <c r="F621" s="64" t="n"/>
      <c r="G621" s="65" t="n"/>
      <c r="H621" s="65" t="n"/>
      <c r="I621" s="64" t="n"/>
      <c r="J621" s="64" t="n"/>
      <c r="K621" s="63" t="n"/>
      <c r="L621" s="63" t="n"/>
      <c r="M621" s="64" t="n"/>
      <c r="N621" s="66" t="n"/>
      <c r="O621" s="65" t="n"/>
      <c r="P621" s="64" t="n"/>
      <c r="Q621" s="67" t="n"/>
      <c r="R621" s="67" t="n"/>
      <c r="S621" s="68" t="str">
        <f>IF(AND(ISNUMBER($Q621),ISNUMBER($R621)),$Q621-$R621,"")</f>
        <v/>
      </c>
      <c r="T621" s="65" t="n"/>
      <c r="U621" s="64" t="n"/>
      <c r="V621" s="65" t="n"/>
      <c r="W621" s="63" t="n"/>
      <c r="X621" s="65" t="n"/>
      <c r="Y621" s="63" t="n"/>
      <c r="Z621" s="64" t="n"/>
      <c r="AA621" s="64" t="n"/>
      <c r="AB621" s="65" t="n"/>
      <c r="AC621" s="69" t="str">
        <f>IF(OR($G621="",NOT(ISNUMBER($K621)),$AK621=0),"",MAX(0,ReportDate-$K621))</f>
        <v/>
      </c>
      <c r="AD621" s="69" t="str">
        <f>IF($G621="","",IF($AL621=1,ReportDate-$L621,0))</f>
        <v/>
      </c>
      <c r="AE621" s="70" t="str">
        <f>IF($G621="","",IF($M621="Completed",1,IF(ISNUMBER($N621),$N621,0)))</f>
        <v/>
      </c>
      <c r="AF621" s="70" t="str">
        <f>IF(AND(ISNUMBER($Q621),ISNUMBER($R621)),IF($R621&lt;&gt;0,$Q621/$R621,""),"")</f>
        <v/>
      </c>
      <c r="AG621" s="71" t="str">
        <f>IF($G621="","",IF($AL621=1,"OVERDUE",IF($AM621=1,"BLOCKED",IF($AN621=1,"DUE TODAY",IF($AO621=1,"DUE TOMORROW",IF($AQ621=1,"HIGH PRIORITY",IF($AR621=1,"NO RECENT UPDATE",""))))))) </f>
        <v/>
      </c>
      <c r="AH621" s="71" t="str">
        <f>IF($G621="","",IF(ISNUMBER($A621),IF(ISNUMBER($A621),YEAR($A621)&amp;"-"&amp;TEXT(MONTH($A621),"00"),""),IF(ISNUMBER($L621),IF(ISNUMBER($L621),YEAR($L621)&amp;"-"&amp;TEXT(MONTH($L621),"00"),""),"")))</f>
        <v/>
      </c>
      <c r="AI621" s="71">
        <f>IF($G621="",0,IF(AND(OR(fClient="All",$C621=fClient),OR(fCampaign="All",$D621=fCampaign),OR(fTeam="All",$B621=fTeam),OR(fChannel="All",$F621=fChannel),OR(fMonth="All",$AH621=fMonth),OR(fTStatus="All",$M621=fTStatus)),1,0))</f>
        <v>0</v>
      </c>
      <c r="AJ621" s="71">
        <f>IF($G621="",0,IF(AND(OR(fClient="All",$C621=fClient),OR(fCampaign="All",$D621=fCampaign),OR(fTeam="All",$B621=fTeam),OR(fChannel="All",$F621=fChannel)),1,0))</f>
        <v>0</v>
      </c>
      <c r="AK621" s="71">
        <f>IF($G621="",0,IF(OR($M621="Completed",$M621="Cancelled"),0,1))</f>
        <v>0</v>
      </c>
      <c r="AL621" s="71">
        <f>IF(AND($AK621=1,ISNUMBER($L621)),IF($L621&lt;ReportDate,1,0),0)</f>
        <v>0</v>
      </c>
      <c r="AM621" s="71">
        <f>IF(AND($G621&lt;&gt;"",$M621="Blocked"),1,0)</f>
        <v>0</v>
      </c>
      <c r="AN621" s="71">
        <f>IF(AND($AK621=1,ISNUMBER($L621)),IF($L621=ReportDate,1,0),0)</f>
        <v>0</v>
      </c>
      <c r="AO621" s="71">
        <f>IF(AND($AK621=1,ISNUMBER($L621)),IF($L621=ReportDate+1,1,0),0)</f>
        <v>0</v>
      </c>
      <c r="AP621" s="71">
        <f>IF(AND($AK621=1,ISNUMBER($L621)),IF(AND($L621&gt;=ReportDate,$L621&lt;=ReportDate+DueSoonDays),1,0),0)</f>
        <v>0</v>
      </c>
      <c r="AQ621" s="71">
        <f>IF(AND($AK621=1,OR($I621="Critical",$I621="High")),1,0)</f>
        <v>0</v>
      </c>
      <c r="AR621" s="71">
        <f>IF($AK621=1,IF(ISNUMBER($Y621),IF(ReportDate-$Y621&gt;StaleDays,1,0),1),0)</f>
        <v>0</v>
      </c>
      <c r="AS621" s="71">
        <f>IF(AND($G621&lt;&gt;"",ISNUMBER($Q621),ISNUMBER($R621)),IF(AND($Q621&lt;$R621,OR($M621="Completed",AND(ISNUMBER($L621),$L621&lt;ReportDate))),1,0),0)</f>
        <v>0</v>
      </c>
      <c r="AT621" s="71">
        <f>IF($AK621=1,IF(OR($L621=ReportDate,$W621=ReportDate,$K621=ReportDate,$A621=ReportDate),1,0),0)</f>
        <v>0</v>
      </c>
      <c r="AU621" s="71">
        <f>IF($AK621=1,IF(OR($L621=ReportDate+1,$W621=ReportDate+1,$K621=ReportDate+1,$A621=ReportDate+1),1,0),0)</f>
        <v>0</v>
      </c>
      <c r="AV621" s="71">
        <f>IF(AND($G621&lt;&gt;"",$M621="Completed"),IF(OR($Y621=ReportDate-1,$A621=ReportDate-1),1,0),0)</f>
        <v>0</v>
      </c>
      <c r="AW621" s="71">
        <f>IF(AND($AK621=1,$Z621="Yes"),1,0)</f>
        <v>0</v>
      </c>
      <c r="AX621" s="71">
        <f>IF(AND($AK621=1,$AA621="Yes"),1,0)</f>
        <v>0</v>
      </c>
      <c r="AY621" s="71">
        <f>IF(AND($AM621=1,OR($I621="Critical",$I621="High")),1,0)</f>
        <v>0</v>
      </c>
      <c r="AZ621" s="71">
        <f>IF(AND($AK621=1,OR($C621=TCL_Client,$C621=MECCA_Client)),1,0)</f>
        <v>0</v>
      </c>
      <c r="BA621" s="71" t="str">
        <f>IF($G621="","",IFERROR(MATCH($I621,lst_Priority,0),5))</f>
        <v/>
      </c>
      <c r="BB621" s="71" t="str">
        <f>IF(AND($AL621=1,$AJ621=1),$BA621*100000+ROW(),"")</f>
        <v/>
      </c>
      <c r="BC621" s="71" t="str">
        <f>IF(AND($AM621=1,$AJ621=1),$BA621*100000+ROW(),"")</f>
        <v/>
      </c>
      <c r="BD621" s="71" t="str">
        <f>IF(AND($AP621=1,$AJ621=1),$BA621*100000+ROW(),"")</f>
        <v/>
      </c>
      <c r="BE621" s="71" t="str">
        <f>IF(AND($AT621=1,$AJ621=1),$BA621*100000+ROW(),"")</f>
        <v/>
      </c>
      <c r="BF621" s="71" t="str">
        <f>IF(AND($AU621=1,$AJ621=1),$BA621*100000+ROW(),"")</f>
        <v/>
      </c>
      <c r="BG621" s="71" t="str">
        <f>IF(AND($AV621=1,$AJ621=1),$BA621*100000+ROW(),"")</f>
        <v/>
      </c>
      <c r="BH621" s="71" t="str">
        <f>IF(AND($AW621=1,$AJ621=1),$BA621*100000+ROW(),"")</f>
        <v/>
      </c>
      <c r="BI621" s="71" t="str">
        <f>IF(AND($AX621=1,$AJ621=1),$BA621*100000+ROW(),"")</f>
        <v/>
      </c>
      <c r="BJ621" s="71" t="str">
        <f>IF(AND($AS621=1,$AJ621=1),$BA621*100000+ROW(),"")</f>
        <v/>
      </c>
      <c r="BK621" s="71" t="str">
        <f>IF(AND($AY621=1,$AJ621=1),$BA621*100000+ROW(),"")</f>
        <v/>
      </c>
      <c r="BL621" s="71" t="str">
        <f>IF(AND($AZ621=1),$BA621*100000+ROW(),"")</f>
        <v/>
      </c>
    </row>
    <row r="622">
      <c r="A622" s="63" t="n"/>
      <c r="B622" s="64" t="n"/>
      <c r="C622" s="64" t="n"/>
      <c r="D622" s="64" t="n"/>
      <c r="E622" s="64" t="n"/>
      <c r="F622" s="64" t="n"/>
      <c r="G622" s="65" t="n"/>
      <c r="H622" s="65" t="n"/>
      <c r="I622" s="64" t="n"/>
      <c r="J622" s="64" t="n"/>
      <c r="K622" s="63" t="n"/>
      <c r="L622" s="63" t="n"/>
      <c r="M622" s="64" t="n"/>
      <c r="N622" s="66" t="n"/>
      <c r="O622" s="65" t="n"/>
      <c r="P622" s="64" t="n"/>
      <c r="Q622" s="67" t="n"/>
      <c r="R622" s="67" t="n"/>
      <c r="S622" s="68" t="str">
        <f>IF(AND(ISNUMBER($Q622),ISNUMBER($R622)),$Q622-$R622,"")</f>
        <v/>
      </c>
      <c r="T622" s="65" t="n"/>
      <c r="U622" s="64" t="n"/>
      <c r="V622" s="65" t="n"/>
      <c r="W622" s="63" t="n"/>
      <c r="X622" s="65" t="n"/>
      <c r="Y622" s="63" t="n"/>
      <c r="Z622" s="64" t="n"/>
      <c r="AA622" s="64" t="n"/>
      <c r="AB622" s="65" t="n"/>
      <c r="AC622" s="69" t="str">
        <f>IF(OR($G622="",NOT(ISNUMBER($K622)),$AK622=0),"",MAX(0,ReportDate-$K622))</f>
        <v/>
      </c>
      <c r="AD622" s="69" t="str">
        <f>IF($G622="","",IF($AL622=1,ReportDate-$L622,0))</f>
        <v/>
      </c>
      <c r="AE622" s="70" t="str">
        <f>IF($G622="","",IF($M622="Completed",1,IF(ISNUMBER($N622),$N622,0)))</f>
        <v/>
      </c>
      <c r="AF622" s="70" t="str">
        <f>IF(AND(ISNUMBER($Q622),ISNUMBER($R622)),IF($R622&lt;&gt;0,$Q622/$R622,""),"")</f>
        <v/>
      </c>
      <c r="AG622" s="71" t="str">
        <f>IF($G622="","",IF($AL622=1,"OVERDUE",IF($AM622=1,"BLOCKED",IF($AN622=1,"DUE TODAY",IF($AO622=1,"DUE TOMORROW",IF($AQ622=1,"HIGH PRIORITY",IF($AR622=1,"NO RECENT UPDATE",""))))))) </f>
        <v/>
      </c>
      <c r="AH622" s="71" t="str">
        <f>IF($G622="","",IF(ISNUMBER($A622),IF(ISNUMBER($A622),YEAR($A622)&amp;"-"&amp;TEXT(MONTH($A622),"00"),""),IF(ISNUMBER($L622),IF(ISNUMBER($L622),YEAR($L622)&amp;"-"&amp;TEXT(MONTH($L622),"00"),""),"")))</f>
        <v/>
      </c>
      <c r="AI622" s="71">
        <f>IF($G622="",0,IF(AND(OR(fClient="All",$C622=fClient),OR(fCampaign="All",$D622=fCampaign),OR(fTeam="All",$B622=fTeam),OR(fChannel="All",$F622=fChannel),OR(fMonth="All",$AH622=fMonth),OR(fTStatus="All",$M622=fTStatus)),1,0))</f>
        <v>0</v>
      </c>
      <c r="AJ622" s="71">
        <f>IF($G622="",0,IF(AND(OR(fClient="All",$C622=fClient),OR(fCampaign="All",$D622=fCampaign),OR(fTeam="All",$B622=fTeam),OR(fChannel="All",$F622=fChannel)),1,0))</f>
        <v>0</v>
      </c>
      <c r="AK622" s="71">
        <f>IF($G622="",0,IF(OR($M622="Completed",$M622="Cancelled"),0,1))</f>
        <v>0</v>
      </c>
      <c r="AL622" s="71">
        <f>IF(AND($AK622=1,ISNUMBER($L622)),IF($L622&lt;ReportDate,1,0),0)</f>
        <v>0</v>
      </c>
      <c r="AM622" s="71">
        <f>IF(AND($G622&lt;&gt;"",$M622="Blocked"),1,0)</f>
        <v>0</v>
      </c>
      <c r="AN622" s="71">
        <f>IF(AND($AK622=1,ISNUMBER($L622)),IF($L622=ReportDate,1,0),0)</f>
        <v>0</v>
      </c>
      <c r="AO622" s="71">
        <f>IF(AND($AK622=1,ISNUMBER($L622)),IF($L622=ReportDate+1,1,0),0)</f>
        <v>0</v>
      </c>
      <c r="AP622" s="71">
        <f>IF(AND($AK622=1,ISNUMBER($L622)),IF(AND($L622&gt;=ReportDate,$L622&lt;=ReportDate+DueSoonDays),1,0),0)</f>
        <v>0</v>
      </c>
      <c r="AQ622" s="71">
        <f>IF(AND($AK622=1,OR($I622="Critical",$I622="High")),1,0)</f>
        <v>0</v>
      </c>
      <c r="AR622" s="71">
        <f>IF($AK622=1,IF(ISNUMBER($Y622),IF(ReportDate-$Y622&gt;StaleDays,1,0),1),0)</f>
        <v>0</v>
      </c>
      <c r="AS622" s="71">
        <f>IF(AND($G622&lt;&gt;"",ISNUMBER($Q622),ISNUMBER($R622)),IF(AND($Q622&lt;$R622,OR($M622="Completed",AND(ISNUMBER($L622),$L622&lt;ReportDate))),1,0),0)</f>
        <v>0</v>
      </c>
      <c r="AT622" s="71">
        <f>IF($AK622=1,IF(OR($L622=ReportDate,$W622=ReportDate,$K622=ReportDate,$A622=ReportDate),1,0),0)</f>
        <v>0</v>
      </c>
      <c r="AU622" s="71">
        <f>IF($AK622=1,IF(OR($L622=ReportDate+1,$W622=ReportDate+1,$K622=ReportDate+1,$A622=ReportDate+1),1,0),0)</f>
        <v>0</v>
      </c>
      <c r="AV622" s="71">
        <f>IF(AND($G622&lt;&gt;"",$M622="Completed"),IF(OR($Y622=ReportDate-1,$A622=ReportDate-1),1,0),0)</f>
        <v>0</v>
      </c>
      <c r="AW622" s="71">
        <f>IF(AND($AK622=1,$Z622="Yes"),1,0)</f>
        <v>0</v>
      </c>
      <c r="AX622" s="71">
        <f>IF(AND($AK622=1,$AA622="Yes"),1,0)</f>
        <v>0</v>
      </c>
      <c r="AY622" s="71">
        <f>IF(AND($AM622=1,OR($I622="Critical",$I622="High")),1,0)</f>
        <v>0</v>
      </c>
      <c r="AZ622" s="71">
        <f>IF(AND($AK622=1,OR($C622=TCL_Client,$C622=MECCA_Client)),1,0)</f>
        <v>0</v>
      </c>
      <c r="BA622" s="71" t="str">
        <f>IF($G622="","",IFERROR(MATCH($I622,lst_Priority,0),5))</f>
        <v/>
      </c>
      <c r="BB622" s="71" t="str">
        <f>IF(AND($AL622=1,$AJ622=1),$BA622*100000+ROW(),"")</f>
        <v/>
      </c>
      <c r="BC622" s="71" t="str">
        <f>IF(AND($AM622=1,$AJ622=1),$BA622*100000+ROW(),"")</f>
        <v/>
      </c>
      <c r="BD622" s="71" t="str">
        <f>IF(AND($AP622=1,$AJ622=1),$BA622*100000+ROW(),"")</f>
        <v/>
      </c>
      <c r="BE622" s="71" t="str">
        <f>IF(AND($AT622=1,$AJ622=1),$BA622*100000+ROW(),"")</f>
        <v/>
      </c>
      <c r="BF622" s="71" t="str">
        <f>IF(AND($AU622=1,$AJ622=1),$BA622*100000+ROW(),"")</f>
        <v/>
      </c>
      <c r="BG622" s="71" t="str">
        <f>IF(AND($AV622=1,$AJ622=1),$BA622*100000+ROW(),"")</f>
        <v/>
      </c>
      <c r="BH622" s="71" t="str">
        <f>IF(AND($AW622=1,$AJ622=1),$BA622*100000+ROW(),"")</f>
        <v/>
      </c>
      <c r="BI622" s="71" t="str">
        <f>IF(AND($AX622=1,$AJ622=1),$BA622*100000+ROW(),"")</f>
        <v/>
      </c>
      <c r="BJ622" s="71" t="str">
        <f>IF(AND($AS622=1,$AJ622=1),$BA622*100000+ROW(),"")</f>
        <v/>
      </c>
      <c r="BK622" s="71" t="str">
        <f>IF(AND($AY622=1,$AJ622=1),$BA622*100000+ROW(),"")</f>
        <v/>
      </c>
      <c r="BL622" s="71" t="str">
        <f>IF(AND($AZ622=1),$BA622*100000+ROW(),"")</f>
        <v/>
      </c>
    </row>
    <row r="623">
      <c r="A623" s="63" t="n"/>
      <c r="B623" s="64" t="n"/>
      <c r="C623" s="64" t="n"/>
      <c r="D623" s="64" t="n"/>
      <c r="E623" s="64" t="n"/>
      <c r="F623" s="64" t="n"/>
      <c r="G623" s="65" t="n"/>
      <c r="H623" s="65" t="n"/>
      <c r="I623" s="64" t="n"/>
      <c r="J623" s="64" t="n"/>
      <c r="K623" s="63" t="n"/>
      <c r="L623" s="63" t="n"/>
      <c r="M623" s="64" t="n"/>
      <c r="N623" s="66" t="n"/>
      <c r="O623" s="65" t="n"/>
      <c r="P623" s="64" t="n"/>
      <c r="Q623" s="67" t="n"/>
      <c r="R623" s="67" t="n"/>
      <c r="S623" s="68" t="str">
        <f>IF(AND(ISNUMBER($Q623),ISNUMBER($R623)),$Q623-$R623,"")</f>
        <v/>
      </c>
      <c r="T623" s="65" t="n"/>
      <c r="U623" s="64" t="n"/>
      <c r="V623" s="65" t="n"/>
      <c r="W623" s="63" t="n"/>
      <c r="X623" s="65" t="n"/>
      <c r="Y623" s="63" t="n"/>
      <c r="Z623" s="64" t="n"/>
      <c r="AA623" s="64" t="n"/>
      <c r="AB623" s="65" t="n"/>
      <c r="AC623" s="69" t="str">
        <f>IF(OR($G623="",NOT(ISNUMBER($K623)),$AK623=0),"",MAX(0,ReportDate-$K623))</f>
        <v/>
      </c>
      <c r="AD623" s="69" t="str">
        <f>IF($G623="","",IF($AL623=1,ReportDate-$L623,0))</f>
        <v/>
      </c>
      <c r="AE623" s="70" t="str">
        <f>IF($G623="","",IF($M623="Completed",1,IF(ISNUMBER($N623),$N623,0)))</f>
        <v/>
      </c>
      <c r="AF623" s="70" t="str">
        <f>IF(AND(ISNUMBER($Q623),ISNUMBER($R623)),IF($R623&lt;&gt;0,$Q623/$R623,""),"")</f>
        <v/>
      </c>
      <c r="AG623" s="71" t="str">
        <f>IF($G623="","",IF($AL623=1,"OVERDUE",IF($AM623=1,"BLOCKED",IF($AN623=1,"DUE TODAY",IF($AO623=1,"DUE TOMORROW",IF($AQ623=1,"HIGH PRIORITY",IF($AR623=1,"NO RECENT UPDATE",""))))))) </f>
        <v/>
      </c>
      <c r="AH623" s="71" t="str">
        <f>IF($G623="","",IF(ISNUMBER($A623),IF(ISNUMBER($A623),YEAR($A623)&amp;"-"&amp;TEXT(MONTH($A623),"00"),""),IF(ISNUMBER($L623),IF(ISNUMBER($L623),YEAR($L623)&amp;"-"&amp;TEXT(MONTH($L623),"00"),""),"")))</f>
        <v/>
      </c>
      <c r="AI623" s="71">
        <f>IF($G623="",0,IF(AND(OR(fClient="All",$C623=fClient),OR(fCampaign="All",$D623=fCampaign),OR(fTeam="All",$B623=fTeam),OR(fChannel="All",$F623=fChannel),OR(fMonth="All",$AH623=fMonth),OR(fTStatus="All",$M623=fTStatus)),1,0))</f>
        <v>0</v>
      </c>
      <c r="AJ623" s="71">
        <f>IF($G623="",0,IF(AND(OR(fClient="All",$C623=fClient),OR(fCampaign="All",$D623=fCampaign),OR(fTeam="All",$B623=fTeam),OR(fChannel="All",$F623=fChannel)),1,0))</f>
        <v>0</v>
      </c>
      <c r="AK623" s="71">
        <f>IF($G623="",0,IF(OR($M623="Completed",$M623="Cancelled"),0,1))</f>
        <v>0</v>
      </c>
      <c r="AL623" s="71">
        <f>IF(AND($AK623=1,ISNUMBER($L623)),IF($L623&lt;ReportDate,1,0),0)</f>
        <v>0</v>
      </c>
      <c r="AM623" s="71">
        <f>IF(AND($G623&lt;&gt;"",$M623="Blocked"),1,0)</f>
        <v>0</v>
      </c>
      <c r="AN623" s="71">
        <f>IF(AND($AK623=1,ISNUMBER($L623)),IF($L623=ReportDate,1,0),0)</f>
        <v>0</v>
      </c>
      <c r="AO623" s="71">
        <f>IF(AND($AK623=1,ISNUMBER($L623)),IF($L623=ReportDate+1,1,0),0)</f>
        <v>0</v>
      </c>
      <c r="AP623" s="71">
        <f>IF(AND($AK623=1,ISNUMBER($L623)),IF(AND($L623&gt;=ReportDate,$L623&lt;=ReportDate+DueSoonDays),1,0),0)</f>
        <v>0</v>
      </c>
      <c r="AQ623" s="71">
        <f>IF(AND($AK623=1,OR($I623="Critical",$I623="High")),1,0)</f>
        <v>0</v>
      </c>
      <c r="AR623" s="71">
        <f>IF($AK623=1,IF(ISNUMBER($Y623),IF(ReportDate-$Y623&gt;StaleDays,1,0),1),0)</f>
        <v>0</v>
      </c>
      <c r="AS623" s="71">
        <f>IF(AND($G623&lt;&gt;"",ISNUMBER($Q623),ISNUMBER($R623)),IF(AND($Q623&lt;$R623,OR($M623="Completed",AND(ISNUMBER($L623),$L623&lt;ReportDate))),1,0),0)</f>
        <v>0</v>
      </c>
      <c r="AT623" s="71">
        <f>IF($AK623=1,IF(OR($L623=ReportDate,$W623=ReportDate,$K623=ReportDate,$A623=ReportDate),1,0),0)</f>
        <v>0</v>
      </c>
      <c r="AU623" s="71">
        <f>IF($AK623=1,IF(OR($L623=ReportDate+1,$W623=ReportDate+1,$K623=ReportDate+1,$A623=ReportDate+1),1,0),0)</f>
        <v>0</v>
      </c>
      <c r="AV623" s="71">
        <f>IF(AND($G623&lt;&gt;"",$M623="Completed"),IF(OR($Y623=ReportDate-1,$A623=ReportDate-1),1,0),0)</f>
        <v>0</v>
      </c>
      <c r="AW623" s="71">
        <f>IF(AND($AK623=1,$Z623="Yes"),1,0)</f>
        <v>0</v>
      </c>
      <c r="AX623" s="71">
        <f>IF(AND($AK623=1,$AA623="Yes"),1,0)</f>
        <v>0</v>
      </c>
      <c r="AY623" s="71">
        <f>IF(AND($AM623=1,OR($I623="Critical",$I623="High")),1,0)</f>
        <v>0</v>
      </c>
      <c r="AZ623" s="71">
        <f>IF(AND($AK623=1,OR($C623=TCL_Client,$C623=MECCA_Client)),1,0)</f>
        <v>0</v>
      </c>
      <c r="BA623" s="71" t="str">
        <f>IF($G623="","",IFERROR(MATCH($I623,lst_Priority,0),5))</f>
        <v/>
      </c>
      <c r="BB623" s="71" t="str">
        <f>IF(AND($AL623=1,$AJ623=1),$BA623*100000+ROW(),"")</f>
        <v/>
      </c>
      <c r="BC623" s="71" t="str">
        <f>IF(AND($AM623=1,$AJ623=1),$BA623*100000+ROW(),"")</f>
        <v/>
      </c>
      <c r="BD623" s="71" t="str">
        <f>IF(AND($AP623=1,$AJ623=1),$BA623*100000+ROW(),"")</f>
        <v/>
      </c>
      <c r="BE623" s="71" t="str">
        <f>IF(AND($AT623=1,$AJ623=1),$BA623*100000+ROW(),"")</f>
        <v/>
      </c>
      <c r="BF623" s="71" t="str">
        <f>IF(AND($AU623=1,$AJ623=1),$BA623*100000+ROW(),"")</f>
        <v/>
      </c>
      <c r="BG623" s="71" t="str">
        <f>IF(AND($AV623=1,$AJ623=1),$BA623*100000+ROW(),"")</f>
        <v/>
      </c>
      <c r="BH623" s="71" t="str">
        <f>IF(AND($AW623=1,$AJ623=1),$BA623*100000+ROW(),"")</f>
        <v/>
      </c>
      <c r="BI623" s="71" t="str">
        <f>IF(AND($AX623=1,$AJ623=1),$BA623*100000+ROW(),"")</f>
        <v/>
      </c>
      <c r="BJ623" s="71" t="str">
        <f>IF(AND($AS623=1,$AJ623=1),$BA623*100000+ROW(),"")</f>
        <v/>
      </c>
      <c r="BK623" s="71" t="str">
        <f>IF(AND($AY623=1,$AJ623=1),$BA623*100000+ROW(),"")</f>
        <v/>
      </c>
      <c r="BL623" s="71" t="str">
        <f>IF(AND($AZ623=1),$BA623*100000+ROW(),"")</f>
        <v/>
      </c>
    </row>
    <row r="624">
      <c r="A624" s="63" t="n"/>
      <c r="B624" s="64" t="n"/>
      <c r="C624" s="64" t="n"/>
      <c r="D624" s="64" t="n"/>
      <c r="E624" s="64" t="n"/>
      <c r="F624" s="64" t="n"/>
      <c r="G624" s="65" t="n"/>
      <c r="H624" s="65" t="n"/>
      <c r="I624" s="64" t="n"/>
      <c r="J624" s="64" t="n"/>
      <c r="K624" s="63" t="n"/>
      <c r="L624" s="63" t="n"/>
      <c r="M624" s="64" t="n"/>
      <c r="N624" s="66" t="n"/>
      <c r="O624" s="65" t="n"/>
      <c r="P624" s="64" t="n"/>
      <c r="Q624" s="67" t="n"/>
      <c r="R624" s="67" t="n"/>
      <c r="S624" s="68" t="str">
        <f>IF(AND(ISNUMBER($Q624),ISNUMBER($R624)),$Q624-$R624,"")</f>
        <v/>
      </c>
      <c r="T624" s="65" t="n"/>
      <c r="U624" s="64" t="n"/>
      <c r="V624" s="65" t="n"/>
      <c r="W624" s="63" t="n"/>
      <c r="X624" s="65" t="n"/>
      <c r="Y624" s="63" t="n"/>
      <c r="Z624" s="64" t="n"/>
      <c r="AA624" s="64" t="n"/>
      <c r="AB624" s="65" t="n"/>
      <c r="AC624" s="69" t="str">
        <f>IF(OR($G624="",NOT(ISNUMBER($K624)),$AK624=0),"",MAX(0,ReportDate-$K624))</f>
        <v/>
      </c>
      <c r="AD624" s="69" t="str">
        <f>IF($G624="","",IF($AL624=1,ReportDate-$L624,0))</f>
        <v/>
      </c>
      <c r="AE624" s="70" t="str">
        <f>IF($G624="","",IF($M624="Completed",1,IF(ISNUMBER($N624),$N624,0)))</f>
        <v/>
      </c>
      <c r="AF624" s="70" t="str">
        <f>IF(AND(ISNUMBER($Q624),ISNUMBER($R624)),IF($R624&lt;&gt;0,$Q624/$R624,""),"")</f>
        <v/>
      </c>
      <c r="AG624" s="71" t="str">
        <f>IF($G624="","",IF($AL624=1,"OVERDUE",IF($AM624=1,"BLOCKED",IF($AN624=1,"DUE TODAY",IF($AO624=1,"DUE TOMORROW",IF($AQ624=1,"HIGH PRIORITY",IF($AR624=1,"NO RECENT UPDATE",""))))))) </f>
        <v/>
      </c>
      <c r="AH624" s="71" t="str">
        <f>IF($G624="","",IF(ISNUMBER($A624),IF(ISNUMBER($A624),YEAR($A624)&amp;"-"&amp;TEXT(MONTH($A624),"00"),""),IF(ISNUMBER($L624),IF(ISNUMBER($L624),YEAR($L624)&amp;"-"&amp;TEXT(MONTH($L624),"00"),""),"")))</f>
        <v/>
      </c>
      <c r="AI624" s="71">
        <f>IF($G624="",0,IF(AND(OR(fClient="All",$C624=fClient),OR(fCampaign="All",$D624=fCampaign),OR(fTeam="All",$B624=fTeam),OR(fChannel="All",$F624=fChannel),OR(fMonth="All",$AH624=fMonth),OR(fTStatus="All",$M624=fTStatus)),1,0))</f>
        <v>0</v>
      </c>
      <c r="AJ624" s="71">
        <f>IF($G624="",0,IF(AND(OR(fClient="All",$C624=fClient),OR(fCampaign="All",$D624=fCampaign),OR(fTeam="All",$B624=fTeam),OR(fChannel="All",$F624=fChannel)),1,0))</f>
        <v>0</v>
      </c>
      <c r="AK624" s="71">
        <f>IF($G624="",0,IF(OR($M624="Completed",$M624="Cancelled"),0,1))</f>
        <v>0</v>
      </c>
      <c r="AL624" s="71">
        <f>IF(AND($AK624=1,ISNUMBER($L624)),IF($L624&lt;ReportDate,1,0),0)</f>
        <v>0</v>
      </c>
      <c r="AM624" s="71">
        <f>IF(AND($G624&lt;&gt;"",$M624="Blocked"),1,0)</f>
        <v>0</v>
      </c>
      <c r="AN624" s="71">
        <f>IF(AND($AK624=1,ISNUMBER($L624)),IF($L624=ReportDate,1,0),0)</f>
        <v>0</v>
      </c>
      <c r="AO624" s="71">
        <f>IF(AND($AK624=1,ISNUMBER($L624)),IF($L624=ReportDate+1,1,0),0)</f>
        <v>0</v>
      </c>
      <c r="AP624" s="71">
        <f>IF(AND($AK624=1,ISNUMBER($L624)),IF(AND($L624&gt;=ReportDate,$L624&lt;=ReportDate+DueSoonDays),1,0),0)</f>
        <v>0</v>
      </c>
      <c r="AQ624" s="71">
        <f>IF(AND($AK624=1,OR($I624="Critical",$I624="High")),1,0)</f>
        <v>0</v>
      </c>
      <c r="AR624" s="71">
        <f>IF($AK624=1,IF(ISNUMBER($Y624),IF(ReportDate-$Y624&gt;StaleDays,1,0),1),0)</f>
        <v>0</v>
      </c>
      <c r="AS624" s="71">
        <f>IF(AND($G624&lt;&gt;"",ISNUMBER($Q624),ISNUMBER($R624)),IF(AND($Q624&lt;$R624,OR($M624="Completed",AND(ISNUMBER($L624),$L624&lt;ReportDate))),1,0),0)</f>
        <v>0</v>
      </c>
      <c r="AT624" s="71">
        <f>IF($AK624=1,IF(OR($L624=ReportDate,$W624=ReportDate,$K624=ReportDate,$A624=ReportDate),1,0),0)</f>
        <v>0</v>
      </c>
      <c r="AU624" s="71">
        <f>IF($AK624=1,IF(OR($L624=ReportDate+1,$W624=ReportDate+1,$K624=ReportDate+1,$A624=ReportDate+1),1,0),0)</f>
        <v>0</v>
      </c>
      <c r="AV624" s="71">
        <f>IF(AND($G624&lt;&gt;"",$M624="Completed"),IF(OR($Y624=ReportDate-1,$A624=ReportDate-1),1,0),0)</f>
        <v>0</v>
      </c>
      <c r="AW624" s="71">
        <f>IF(AND($AK624=1,$Z624="Yes"),1,0)</f>
        <v>0</v>
      </c>
      <c r="AX624" s="71">
        <f>IF(AND($AK624=1,$AA624="Yes"),1,0)</f>
        <v>0</v>
      </c>
      <c r="AY624" s="71">
        <f>IF(AND($AM624=1,OR($I624="Critical",$I624="High")),1,0)</f>
        <v>0</v>
      </c>
      <c r="AZ624" s="71">
        <f>IF(AND($AK624=1,OR($C624=TCL_Client,$C624=MECCA_Client)),1,0)</f>
        <v>0</v>
      </c>
      <c r="BA624" s="71" t="str">
        <f>IF($G624="","",IFERROR(MATCH($I624,lst_Priority,0),5))</f>
        <v/>
      </c>
      <c r="BB624" s="71" t="str">
        <f>IF(AND($AL624=1,$AJ624=1),$BA624*100000+ROW(),"")</f>
        <v/>
      </c>
      <c r="BC624" s="71" t="str">
        <f>IF(AND($AM624=1,$AJ624=1),$BA624*100000+ROW(),"")</f>
        <v/>
      </c>
      <c r="BD624" s="71" t="str">
        <f>IF(AND($AP624=1,$AJ624=1),$BA624*100000+ROW(),"")</f>
        <v/>
      </c>
      <c r="BE624" s="71" t="str">
        <f>IF(AND($AT624=1,$AJ624=1),$BA624*100000+ROW(),"")</f>
        <v/>
      </c>
      <c r="BF624" s="71" t="str">
        <f>IF(AND($AU624=1,$AJ624=1),$BA624*100000+ROW(),"")</f>
        <v/>
      </c>
      <c r="BG624" s="71" t="str">
        <f>IF(AND($AV624=1,$AJ624=1),$BA624*100000+ROW(),"")</f>
        <v/>
      </c>
      <c r="BH624" s="71" t="str">
        <f>IF(AND($AW624=1,$AJ624=1),$BA624*100000+ROW(),"")</f>
        <v/>
      </c>
      <c r="BI624" s="71" t="str">
        <f>IF(AND($AX624=1,$AJ624=1),$BA624*100000+ROW(),"")</f>
        <v/>
      </c>
      <c r="BJ624" s="71" t="str">
        <f>IF(AND($AS624=1,$AJ624=1),$BA624*100000+ROW(),"")</f>
        <v/>
      </c>
      <c r="BK624" s="71" t="str">
        <f>IF(AND($AY624=1,$AJ624=1),$BA624*100000+ROW(),"")</f>
        <v/>
      </c>
      <c r="BL624" s="71" t="str">
        <f>IF(AND($AZ624=1),$BA624*100000+ROW(),"")</f>
        <v/>
      </c>
    </row>
    <row r="625">
      <c r="A625" s="63" t="n"/>
      <c r="B625" s="64" t="n"/>
      <c r="C625" s="64" t="n"/>
      <c r="D625" s="64" t="n"/>
      <c r="E625" s="64" t="n"/>
      <c r="F625" s="64" t="n"/>
      <c r="G625" s="65" t="n"/>
      <c r="H625" s="65" t="n"/>
      <c r="I625" s="64" t="n"/>
      <c r="J625" s="64" t="n"/>
      <c r="K625" s="63" t="n"/>
      <c r="L625" s="63" t="n"/>
      <c r="M625" s="64" t="n"/>
      <c r="N625" s="66" t="n"/>
      <c r="O625" s="65" t="n"/>
      <c r="P625" s="64" t="n"/>
      <c r="Q625" s="67" t="n"/>
      <c r="R625" s="67" t="n"/>
      <c r="S625" s="68" t="str">
        <f>IF(AND(ISNUMBER($Q625),ISNUMBER($R625)),$Q625-$R625,"")</f>
        <v/>
      </c>
      <c r="T625" s="65" t="n"/>
      <c r="U625" s="64" t="n"/>
      <c r="V625" s="65" t="n"/>
      <c r="W625" s="63" t="n"/>
      <c r="X625" s="65" t="n"/>
      <c r="Y625" s="63" t="n"/>
      <c r="Z625" s="64" t="n"/>
      <c r="AA625" s="64" t="n"/>
      <c r="AB625" s="65" t="n"/>
      <c r="AC625" s="69" t="str">
        <f>IF(OR($G625="",NOT(ISNUMBER($K625)),$AK625=0),"",MAX(0,ReportDate-$K625))</f>
        <v/>
      </c>
      <c r="AD625" s="69" t="str">
        <f>IF($G625="","",IF($AL625=1,ReportDate-$L625,0))</f>
        <v/>
      </c>
      <c r="AE625" s="70" t="str">
        <f>IF($G625="","",IF($M625="Completed",1,IF(ISNUMBER($N625),$N625,0)))</f>
        <v/>
      </c>
      <c r="AF625" s="70" t="str">
        <f>IF(AND(ISNUMBER($Q625),ISNUMBER($R625)),IF($R625&lt;&gt;0,$Q625/$R625,""),"")</f>
        <v/>
      </c>
      <c r="AG625" s="71" t="str">
        <f>IF($G625="","",IF($AL625=1,"OVERDUE",IF($AM625=1,"BLOCKED",IF($AN625=1,"DUE TODAY",IF($AO625=1,"DUE TOMORROW",IF($AQ625=1,"HIGH PRIORITY",IF($AR625=1,"NO RECENT UPDATE",""))))))) </f>
        <v/>
      </c>
      <c r="AH625" s="71" t="str">
        <f>IF($G625="","",IF(ISNUMBER($A625),IF(ISNUMBER($A625),YEAR($A625)&amp;"-"&amp;TEXT(MONTH($A625),"00"),""),IF(ISNUMBER($L625),IF(ISNUMBER($L625),YEAR($L625)&amp;"-"&amp;TEXT(MONTH($L625),"00"),""),"")))</f>
        <v/>
      </c>
      <c r="AI625" s="71">
        <f>IF($G625="",0,IF(AND(OR(fClient="All",$C625=fClient),OR(fCampaign="All",$D625=fCampaign),OR(fTeam="All",$B625=fTeam),OR(fChannel="All",$F625=fChannel),OR(fMonth="All",$AH625=fMonth),OR(fTStatus="All",$M625=fTStatus)),1,0))</f>
        <v>0</v>
      </c>
      <c r="AJ625" s="71">
        <f>IF($G625="",0,IF(AND(OR(fClient="All",$C625=fClient),OR(fCampaign="All",$D625=fCampaign),OR(fTeam="All",$B625=fTeam),OR(fChannel="All",$F625=fChannel)),1,0))</f>
        <v>0</v>
      </c>
      <c r="AK625" s="71">
        <f>IF($G625="",0,IF(OR($M625="Completed",$M625="Cancelled"),0,1))</f>
        <v>0</v>
      </c>
      <c r="AL625" s="71">
        <f>IF(AND($AK625=1,ISNUMBER($L625)),IF($L625&lt;ReportDate,1,0),0)</f>
        <v>0</v>
      </c>
      <c r="AM625" s="71">
        <f>IF(AND($G625&lt;&gt;"",$M625="Blocked"),1,0)</f>
        <v>0</v>
      </c>
      <c r="AN625" s="71">
        <f>IF(AND($AK625=1,ISNUMBER($L625)),IF($L625=ReportDate,1,0),0)</f>
        <v>0</v>
      </c>
      <c r="AO625" s="71">
        <f>IF(AND($AK625=1,ISNUMBER($L625)),IF($L625=ReportDate+1,1,0),0)</f>
        <v>0</v>
      </c>
      <c r="AP625" s="71">
        <f>IF(AND($AK625=1,ISNUMBER($L625)),IF(AND($L625&gt;=ReportDate,$L625&lt;=ReportDate+DueSoonDays),1,0),0)</f>
        <v>0</v>
      </c>
      <c r="AQ625" s="71">
        <f>IF(AND($AK625=1,OR($I625="Critical",$I625="High")),1,0)</f>
        <v>0</v>
      </c>
      <c r="AR625" s="71">
        <f>IF($AK625=1,IF(ISNUMBER($Y625),IF(ReportDate-$Y625&gt;StaleDays,1,0),1),0)</f>
        <v>0</v>
      </c>
      <c r="AS625" s="71">
        <f>IF(AND($G625&lt;&gt;"",ISNUMBER($Q625),ISNUMBER($R625)),IF(AND($Q625&lt;$R625,OR($M625="Completed",AND(ISNUMBER($L625),$L625&lt;ReportDate))),1,0),0)</f>
        <v>0</v>
      </c>
      <c r="AT625" s="71">
        <f>IF($AK625=1,IF(OR($L625=ReportDate,$W625=ReportDate,$K625=ReportDate,$A625=ReportDate),1,0),0)</f>
        <v>0</v>
      </c>
      <c r="AU625" s="71">
        <f>IF($AK625=1,IF(OR($L625=ReportDate+1,$W625=ReportDate+1,$K625=ReportDate+1,$A625=ReportDate+1),1,0),0)</f>
        <v>0</v>
      </c>
      <c r="AV625" s="71">
        <f>IF(AND($G625&lt;&gt;"",$M625="Completed"),IF(OR($Y625=ReportDate-1,$A625=ReportDate-1),1,0),0)</f>
        <v>0</v>
      </c>
      <c r="AW625" s="71">
        <f>IF(AND($AK625=1,$Z625="Yes"),1,0)</f>
        <v>0</v>
      </c>
      <c r="AX625" s="71">
        <f>IF(AND($AK625=1,$AA625="Yes"),1,0)</f>
        <v>0</v>
      </c>
      <c r="AY625" s="71">
        <f>IF(AND($AM625=1,OR($I625="Critical",$I625="High")),1,0)</f>
        <v>0</v>
      </c>
      <c r="AZ625" s="71">
        <f>IF(AND($AK625=1,OR($C625=TCL_Client,$C625=MECCA_Client)),1,0)</f>
        <v>0</v>
      </c>
      <c r="BA625" s="71" t="str">
        <f>IF($G625="","",IFERROR(MATCH($I625,lst_Priority,0),5))</f>
        <v/>
      </c>
      <c r="BB625" s="71" t="str">
        <f>IF(AND($AL625=1,$AJ625=1),$BA625*100000+ROW(),"")</f>
        <v/>
      </c>
      <c r="BC625" s="71" t="str">
        <f>IF(AND($AM625=1,$AJ625=1),$BA625*100000+ROW(),"")</f>
        <v/>
      </c>
      <c r="BD625" s="71" t="str">
        <f>IF(AND($AP625=1,$AJ625=1),$BA625*100000+ROW(),"")</f>
        <v/>
      </c>
      <c r="BE625" s="71" t="str">
        <f>IF(AND($AT625=1,$AJ625=1),$BA625*100000+ROW(),"")</f>
        <v/>
      </c>
      <c r="BF625" s="71" t="str">
        <f>IF(AND($AU625=1,$AJ625=1),$BA625*100000+ROW(),"")</f>
        <v/>
      </c>
      <c r="BG625" s="71" t="str">
        <f>IF(AND($AV625=1,$AJ625=1),$BA625*100000+ROW(),"")</f>
        <v/>
      </c>
      <c r="BH625" s="71" t="str">
        <f>IF(AND($AW625=1,$AJ625=1),$BA625*100000+ROW(),"")</f>
        <v/>
      </c>
      <c r="BI625" s="71" t="str">
        <f>IF(AND($AX625=1,$AJ625=1),$BA625*100000+ROW(),"")</f>
        <v/>
      </c>
      <c r="BJ625" s="71" t="str">
        <f>IF(AND($AS625=1,$AJ625=1),$BA625*100000+ROW(),"")</f>
        <v/>
      </c>
      <c r="BK625" s="71" t="str">
        <f>IF(AND($AY625=1,$AJ625=1),$BA625*100000+ROW(),"")</f>
        <v/>
      </c>
      <c r="BL625" s="71" t="str">
        <f>IF(AND($AZ625=1),$BA625*100000+ROW(),"")</f>
        <v/>
      </c>
    </row>
    <row r="626">
      <c r="A626" s="63" t="n"/>
      <c r="B626" s="64" t="n"/>
      <c r="C626" s="64" t="n"/>
      <c r="D626" s="64" t="n"/>
      <c r="E626" s="64" t="n"/>
      <c r="F626" s="64" t="n"/>
      <c r="G626" s="65" t="n"/>
      <c r="H626" s="65" t="n"/>
      <c r="I626" s="64" t="n"/>
      <c r="J626" s="64" t="n"/>
      <c r="K626" s="63" t="n"/>
      <c r="L626" s="63" t="n"/>
      <c r="M626" s="64" t="n"/>
      <c r="N626" s="66" t="n"/>
      <c r="O626" s="65" t="n"/>
      <c r="P626" s="64" t="n"/>
      <c r="Q626" s="67" t="n"/>
      <c r="R626" s="67" t="n"/>
      <c r="S626" s="68" t="str">
        <f>IF(AND(ISNUMBER($Q626),ISNUMBER($R626)),$Q626-$R626,"")</f>
        <v/>
      </c>
      <c r="T626" s="65" t="n"/>
      <c r="U626" s="64" t="n"/>
      <c r="V626" s="65" t="n"/>
      <c r="W626" s="63" t="n"/>
      <c r="X626" s="65" t="n"/>
      <c r="Y626" s="63" t="n"/>
      <c r="Z626" s="64" t="n"/>
      <c r="AA626" s="64" t="n"/>
      <c r="AB626" s="65" t="n"/>
      <c r="AC626" s="69" t="str">
        <f>IF(OR($G626="",NOT(ISNUMBER($K626)),$AK626=0),"",MAX(0,ReportDate-$K626))</f>
        <v/>
      </c>
      <c r="AD626" s="69" t="str">
        <f>IF($G626="","",IF($AL626=1,ReportDate-$L626,0))</f>
        <v/>
      </c>
      <c r="AE626" s="70" t="str">
        <f>IF($G626="","",IF($M626="Completed",1,IF(ISNUMBER($N626),$N626,0)))</f>
        <v/>
      </c>
      <c r="AF626" s="70" t="str">
        <f>IF(AND(ISNUMBER($Q626),ISNUMBER($R626)),IF($R626&lt;&gt;0,$Q626/$R626,""),"")</f>
        <v/>
      </c>
      <c r="AG626" s="71" t="str">
        <f>IF($G626="","",IF($AL626=1,"OVERDUE",IF($AM626=1,"BLOCKED",IF($AN626=1,"DUE TODAY",IF($AO626=1,"DUE TOMORROW",IF($AQ626=1,"HIGH PRIORITY",IF($AR626=1,"NO RECENT UPDATE",""))))))) </f>
        <v/>
      </c>
      <c r="AH626" s="71" t="str">
        <f>IF($G626="","",IF(ISNUMBER($A626),IF(ISNUMBER($A626),YEAR($A626)&amp;"-"&amp;TEXT(MONTH($A626),"00"),""),IF(ISNUMBER($L626),IF(ISNUMBER($L626),YEAR($L626)&amp;"-"&amp;TEXT(MONTH($L626),"00"),""),"")))</f>
        <v/>
      </c>
      <c r="AI626" s="71">
        <f>IF($G626="",0,IF(AND(OR(fClient="All",$C626=fClient),OR(fCampaign="All",$D626=fCampaign),OR(fTeam="All",$B626=fTeam),OR(fChannel="All",$F626=fChannel),OR(fMonth="All",$AH626=fMonth),OR(fTStatus="All",$M626=fTStatus)),1,0))</f>
        <v>0</v>
      </c>
      <c r="AJ626" s="71">
        <f>IF($G626="",0,IF(AND(OR(fClient="All",$C626=fClient),OR(fCampaign="All",$D626=fCampaign),OR(fTeam="All",$B626=fTeam),OR(fChannel="All",$F626=fChannel)),1,0))</f>
        <v>0</v>
      </c>
      <c r="AK626" s="71">
        <f>IF($G626="",0,IF(OR($M626="Completed",$M626="Cancelled"),0,1))</f>
        <v>0</v>
      </c>
      <c r="AL626" s="71">
        <f>IF(AND($AK626=1,ISNUMBER($L626)),IF($L626&lt;ReportDate,1,0),0)</f>
        <v>0</v>
      </c>
      <c r="AM626" s="71">
        <f>IF(AND($G626&lt;&gt;"",$M626="Blocked"),1,0)</f>
        <v>0</v>
      </c>
      <c r="AN626" s="71">
        <f>IF(AND($AK626=1,ISNUMBER($L626)),IF($L626=ReportDate,1,0),0)</f>
        <v>0</v>
      </c>
      <c r="AO626" s="71">
        <f>IF(AND($AK626=1,ISNUMBER($L626)),IF($L626=ReportDate+1,1,0),0)</f>
        <v>0</v>
      </c>
      <c r="AP626" s="71">
        <f>IF(AND($AK626=1,ISNUMBER($L626)),IF(AND($L626&gt;=ReportDate,$L626&lt;=ReportDate+DueSoonDays),1,0),0)</f>
        <v>0</v>
      </c>
      <c r="AQ626" s="71">
        <f>IF(AND($AK626=1,OR($I626="Critical",$I626="High")),1,0)</f>
        <v>0</v>
      </c>
      <c r="AR626" s="71">
        <f>IF($AK626=1,IF(ISNUMBER($Y626),IF(ReportDate-$Y626&gt;StaleDays,1,0),1),0)</f>
        <v>0</v>
      </c>
      <c r="AS626" s="71">
        <f>IF(AND($G626&lt;&gt;"",ISNUMBER($Q626),ISNUMBER($R626)),IF(AND($Q626&lt;$R626,OR($M626="Completed",AND(ISNUMBER($L626),$L626&lt;ReportDate))),1,0),0)</f>
        <v>0</v>
      </c>
      <c r="AT626" s="71">
        <f>IF($AK626=1,IF(OR($L626=ReportDate,$W626=ReportDate,$K626=ReportDate,$A626=ReportDate),1,0),0)</f>
        <v>0</v>
      </c>
      <c r="AU626" s="71">
        <f>IF($AK626=1,IF(OR($L626=ReportDate+1,$W626=ReportDate+1,$K626=ReportDate+1,$A626=ReportDate+1),1,0),0)</f>
        <v>0</v>
      </c>
      <c r="AV626" s="71">
        <f>IF(AND($G626&lt;&gt;"",$M626="Completed"),IF(OR($Y626=ReportDate-1,$A626=ReportDate-1),1,0),0)</f>
        <v>0</v>
      </c>
      <c r="AW626" s="71">
        <f>IF(AND($AK626=1,$Z626="Yes"),1,0)</f>
        <v>0</v>
      </c>
      <c r="AX626" s="71">
        <f>IF(AND($AK626=1,$AA626="Yes"),1,0)</f>
        <v>0</v>
      </c>
      <c r="AY626" s="71">
        <f>IF(AND($AM626=1,OR($I626="Critical",$I626="High")),1,0)</f>
        <v>0</v>
      </c>
      <c r="AZ626" s="71">
        <f>IF(AND($AK626=1,OR($C626=TCL_Client,$C626=MECCA_Client)),1,0)</f>
        <v>0</v>
      </c>
      <c r="BA626" s="71" t="str">
        <f>IF($G626="","",IFERROR(MATCH($I626,lst_Priority,0),5))</f>
        <v/>
      </c>
      <c r="BB626" s="71" t="str">
        <f>IF(AND($AL626=1,$AJ626=1),$BA626*100000+ROW(),"")</f>
        <v/>
      </c>
      <c r="BC626" s="71" t="str">
        <f>IF(AND($AM626=1,$AJ626=1),$BA626*100000+ROW(),"")</f>
        <v/>
      </c>
      <c r="BD626" s="71" t="str">
        <f>IF(AND($AP626=1,$AJ626=1),$BA626*100000+ROW(),"")</f>
        <v/>
      </c>
      <c r="BE626" s="71" t="str">
        <f>IF(AND($AT626=1,$AJ626=1),$BA626*100000+ROW(),"")</f>
        <v/>
      </c>
      <c r="BF626" s="71" t="str">
        <f>IF(AND($AU626=1,$AJ626=1),$BA626*100000+ROW(),"")</f>
        <v/>
      </c>
      <c r="BG626" s="71" t="str">
        <f>IF(AND($AV626=1,$AJ626=1),$BA626*100000+ROW(),"")</f>
        <v/>
      </c>
      <c r="BH626" s="71" t="str">
        <f>IF(AND($AW626=1,$AJ626=1),$BA626*100000+ROW(),"")</f>
        <v/>
      </c>
      <c r="BI626" s="71" t="str">
        <f>IF(AND($AX626=1,$AJ626=1),$BA626*100000+ROW(),"")</f>
        <v/>
      </c>
      <c r="BJ626" s="71" t="str">
        <f>IF(AND($AS626=1,$AJ626=1),$BA626*100000+ROW(),"")</f>
        <v/>
      </c>
      <c r="BK626" s="71" t="str">
        <f>IF(AND($AY626=1,$AJ626=1),$BA626*100000+ROW(),"")</f>
        <v/>
      </c>
      <c r="BL626" s="71" t="str">
        <f>IF(AND($AZ626=1),$BA626*100000+ROW(),"")</f>
        <v/>
      </c>
    </row>
    <row r="627">
      <c r="A627" s="63" t="n"/>
      <c r="B627" s="64" t="n"/>
      <c r="C627" s="64" t="n"/>
      <c r="D627" s="64" t="n"/>
      <c r="E627" s="64" t="n"/>
      <c r="F627" s="64" t="n"/>
      <c r="G627" s="65" t="n"/>
      <c r="H627" s="65" t="n"/>
      <c r="I627" s="64" t="n"/>
      <c r="J627" s="64" t="n"/>
      <c r="K627" s="63" t="n"/>
      <c r="L627" s="63" t="n"/>
      <c r="M627" s="64" t="n"/>
      <c r="N627" s="66" t="n"/>
      <c r="O627" s="65" t="n"/>
      <c r="P627" s="64" t="n"/>
      <c r="Q627" s="67" t="n"/>
      <c r="R627" s="67" t="n"/>
      <c r="S627" s="68" t="str">
        <f>IF(AND(ISNUMBER($Q627),ISNUMBER($R627)),$Q627-$R627,"")</f>
        <v/>
      </c>
      <c r="T627" s="65" t="n"/>
      <c r="U627" s="64" t="n"/>
      <c r="V627" s="65" t="n"/>
      <c r="W627" s="63" t="n"/>
      <c r="X627" s="65" t="n"/>
      <c r="Y627" s="63" t="n"/>
      <c r="Z627" s="64" t="n"/>
      <c r="AA627" s="64" t="n"/>
      <c r="AB627" s="65" t="n"/>
      <c r="AC627" s="69" t="str">
        <f>IF(OR($G627="",NOT(ISNUMBER($K627)),$AK627=0),"",MAX(0,ReportDate-$K627))</f>
        <v/>
      </c>
      <c r="AD627" s="69" t="str">
        <f>IF($G627="","",IF($AL627=1,ReportDate-$L627,0))</f>
        <v/>
      </c>
      <c r="AE627" s="70" t="str">
        <f>IF($G627="","",IF($M627="Completed",1,IF(ISNUMBER($N627),$N627,0)))</f>
        <v/>
      </c>
      <c r="AF627" s="70" t="str">
        <f>IF(AND(ISNUMBER($Q627),ISNUMBER($R627)),IF($R627&lt;&gt;0,$Q627/$R627,""),"")</f>
        <v/>
      </c>
      <c r="AG627" s="71" t="str">
        <f>IF($G627="","",IF($AL627=1,"OVERDUE",IF($AM627=1,"BLOCKED",IF($AN627=1,"DUE TODAY",IF($AO627=1,"DUE TOMORROW",IF($AQ627=1,"HIGH PRIORITY",IF($AR627=1,"NO RECENT UPDATE",""))))))) </f>
        <v/>
      </c>
      <c r="AH627" s="71" t="str">
        <f>IF($G627="","",IF(ISNUMBER($A627),IF(ISNUMBER($A627),YEAR($A627)&amp;"-"&amp;TEXT(MONTH($A627),"00"),""),IF(ISNUMBER($L627),IF(ISNUMBER($L627),YEAR($L627)&amp;"-"&amp;TEXT(MONTH($L627),"00"),""),"")))</f>
        <v/>
      </c>
      <c r="AI627" s="71">
        <f>IF($G627="",0,IF(AND(OR(fClient="All",$C627=fClient),OR(fCampaign="All",$D627=fCampaign),OR(fTeam="All",$B627=fTeam),OR(fChannel="All",$F627=fChannel),OR(fMonth="All",$AH627=fMonth),OR(fTStatus="All",$M627=fTStatus)),1,0))</f>
        <v>0</v>
      </c>
      <c r="AJ627" s="71">
        <f>IF($G627="",0,IF(AND(OR(fClient="All",$C627=fClient),OR(fCampaign="All",$D627=fCampaign),OR(fTeam="All",$B627=fTeam),OR(fChannel="All",$F627=fChannel)),1,0))</f>
        <v>0</v>
      </c>
      <c r="AK627" s="71">
        <f>IF($G627="",0,IF(OR($M627="Completed",$M627="Cancelled"),0,1))</f>
        <v>0</v>
      </c>
      <c r="AL627" s="71">
        <f>IF(AND($AK627=1,ISNUMBER($L627)),IF($L627&lt;ReportDate,1,0),0)</f>
        <v>0</v>
      </c>
      <c r="AM627" s="71">
        <f>IF(AND($G627&lt;&gt;"",$M627="Blocked"),1,0)</f>
        <v>0</v>
      </c>
      <c r="AN627" s="71">
        <f>IF(AND($AK627=1,ISNUMBER($L627)),IF($L627=ReportDate,1,0),0)</f>
        <v>0</v>
      </c>
      <c r="AO627" s="71">
        <f>IF(AND($AK627=1,ISNUMBER($L627)),IF($L627=ReportDate+1,1,0),0)</f>
        <v>0</v>
      </c>
      <c r="AP627" s="71">
        <f>IF(AND($AK627=1,ISNUMBER($L627)),IF(AND($L627&gt;=ReportDate,$L627&lt;=ReportDate+DueSoonDays),1,0),0)</f>
        <v>0</v>
      </c>
      <c r="AQ627" s="71">
        <f>IF(AND($AK627=1,OR($I627="Critical",$I627="High")),1,0)</f>
        <v>0</v>
      </c>
      <c r="AR627" s="71">
        <f>IF($AK627=1,IF(ISNUMBER($Y627),IF(ReportDate-$Y627&gt;StaleDays,1,0),1),0)</f>
        <v>0</v>
      </c>
      <c r="AS627" s="71">
        <f>IF(AND($G627&lt;&gt;"",ISNUMBER($Q627),ISNUMBER($R627)),IF(AND($Q627&lt;$R627,OR($M627="Completed",AND(ISNUMBER($L627),$L627&lt;ReportDate))),1,0),0)</f>
        <v>0</v>
      </c>
      <c r="AT627" s="71">
        <f>IF($AK627=1,IF(OR($L627=ReportDate,$W627=ReportDate,$K627=ReportDate,$A627=ReportDate),1,0),0)</f>
        <v>0</v>
      </c>
      <c r="AU627" s="71">
        <f>IF($AK627=1,IF(OR($L627=ReportDate+1,$W627=ReportDate+1,$K627=ReportDate+1,$A627=ReportDate+1),1,0),0)</f>
        <v>0</v>
      </c>
      <c r="AV627" s="71">
        <f>IF(AND($G627&lt;&gt;"",$M627="Completed"),IF(OR($Y627=ReportDate-1,$A627=ReportDate-1),1,0),0)</f>
        <v>0</v>
      </c>
      <c r="AW627" s="71">
        <f>IF(AND($AK627=1,$Z627="Yes"),1,0)</f>
        <v>0</v>
      </c>
      <c r="AX627" s="71">
        <f>IF(AND($AK627=1,$AA627="Yes"),1,0)</f>
        <v>0</v>
      </c>
      <c r="AY627" s="71">
        <f>IF(AND($AM627=1,OR($I627="Critical",$I627="High")),1,0)</f>
        <v>0</v>
      </c>
      <c r="AZ627" s="71">
        <f>IF(AND($AK627=1,OR($C627=TCL_Client,$C627=MECCA_Client)),1,0)</f>
        <v>0</v>
      </c>
      <c r="BA627" s="71" t="str">
        <f>IF($G627="","",IFERROR(MATCH($I627,lst_Priority,0),5))</f>
        <v/>
      </c>
      <c r="BB627" s="71" t="str">
        <f>IF(AND($AL627=1,$AJ627=1),$BA627*100000+ROW(),"")</f>
        <v/>
      </c>
      <c r="BC627" s="71" t="str">
        <f>IF(AND($AM627=1,$AJ627=1),$BA627*100000+ROW(),"")</f>
        <v/>
      </c>
      <c r="BD627" s="71" t="str">
        <f>IF(AND($AP627=1,$AJ627=1),$BA627*100000+ROW(),"")</f>
        <v/>
      </c>
      <c r="BE627" s="71" t="str">
        <f>IF(AND($AT627=1,$AJ627=1),$BA627*100000+ROW(),"")</f>
        <v/>
      </c>
      <c r="BF627" s="71" t="str">
        <f>IF(AND($AU627=1,$AJ627=1),$BA627*100000+ROW(),"")</f>
        <v/>
      </c>
      <c r="BG627" s="71" t="str">
        <f>IF(AND($AV627=1,$AJ627=1),$BA627*100000+ROW(),"")</f>
        <v/>
      </c>
      <c r="BH627" s="71" t="str">
        <f>IF(AND($AW627=1,$AJ627=1),$BA627*100000+ROW(),"")</f>
        <v/>
      </c>
      <c r="BI627" s="71" t="str">
        <f>IF(AND($AX627=1,$AJ627=1),$BA627*100000+ROW(),"")</f>
        <v/>
      </c>
      <c r="BJ627" s="71" t="str">
        <f>IF(AND($AS627=1,$AJ627=1),$BA627*100000+ROW(),"")</f>
        <v/>
      </c>
      <c r="BK627" s="71" t="str">
        <f>IF(AND($AY627=1,$AJ627=1),$BA627*100000+ROW(),"")</f>
        <v/>
      </c>
      <c r="BL627" s="71" t="str">
        <f>IF(AND($AZ627=1),$BA627*100000+ROW(),"")</f>
        <v/>
      </c>
    </row>
    <row r="628">
      <c r="A628" s="63" t="n"/>
      <c r="B628" s="64" t="n"/>
      <c r="C628" s="64" t="n"/>
      <c r="D628" s="64" t="n"/>
      <c r="E628" s="64" t="n"/>
      <c r="F628" s="64" t="n"/>
      <c r="G628" s="65" t="n"/>
      <c r="H628" s="65" t="n"/>
      <c r="I628" s="64" t="n"/>
      <c r="J628" s="64" t="n"/>
      <c r="K628" s="63" t="n"/>
      <c r="L628" s="63" t="n"/>
      <c r="M628" s="64" t="n"/>
      <c r="N628" s="66" t="n"/>
      <c r="O628" s="65" t="n"/>
      <c r="P628" s="64" t="n"/>
      <c r="Q628" s="67" t="n"/>
      <c r="R628" s="67" t="n"/>
      <c r="S628" s="68" t="str">
        <f>IF(AND(ISNUMBER($Q628),ISNUMBER($R628)),$Q628-$R628,"")</f>
        <v/>
      </c>
      <c r="T628" s="65" t="n"/>
      <c r="U628" s="64" t="n"/>
      <c r="V628" s="65" t="n"/>
      <c r="W628" s="63" t="n"/>
      <c r="X628" s="65" t="n"/>
      <c r="Y628" s="63" t="n"/>
      <c r="Z628" s="64" t="n"/>
      <c r="AA628" s="64" t="n"/>
      <c r="AB628" s="65" t="n"/>
      <c r="AC628" s="69" t="str">
        <f>IF(OR($G628="",NOT(ISNUMBER($K628)),$AK628=0),"",MAX(0,ReportDate-$K628))</f>
        <v/>
      </c>
      <c r="AD628" s="69" t="str">
        <f>IF($G628="","",IF($AL628=1,ReportDate-$L628,0))</f>
        <v/>
      </c>
      <c r="AE628" s="70" t="str">
        <f>IF($G628="","",IF($M628="Completed",1,IF(ISNUMBER($N628),$N628,0)))</f>
        <v/>
      </c>
      <c r="AF628" s="70" t="str">
        <f>IF(AND(ISNUMBER($Q628),ISNUMBER($R628)),IF($R628&lt;&gt;0,$Q628/$R628,""),"")</f>
        <v/>
      </c>
      <c r="AG628" s="71" t="str">
        <f>IF($G628="","",IF($AL628=1,"OVERDUE",IF($AM628=1,"BLOCKED",IF($AN628=1,"DUE TODAY",IF($AO628=1,"DUE TOMORROW",IF($AQ628=1,"HIGH PRIORITY",IF($AR628=1,"NO RECENT UPDATE",""))))))) </f>
        <v/>
      </c>
      <c r="AH628" s="71" t="str">
        <f>IF($G628="","",IF(ISNUMBER($A628),IF(ISNUMBER($A628),YEAR($A628)&amp;"-"&amp;TEXT(MONTH($A628),"00"),""),IF(ISNUMBER($L628),IF(ISNUMBER($L628),YEAR($L628)&amp;"-"&amp;TEXT(MONTH($L628),"00"),""),"")))</f>
        <v/>
      </c>
      <c r="AI628" s="71">
        <f>IF($G628="",0,IF(AND(OR(fClient="All",$C628=fClient),OR(fCampaign="All",$D628=fCampaign),OR(fTeam="All",$B628=fTeam),OR(fChannel="All",$F628=fChannel),OR(fMonth="All",$AH628=fMonth),OR(fTStatus="All",$M628=fTStatus)),1,0))</f>
        <v>0</v>
      </c>
      <c r="AJ628" s="71">
        <f>IF($G628="",0,IF(AND(OR(fClient="All",$C628=fClient),OR(fCampaign="All",$D628=fCampaign),OR(fTeam="All",$B628=fTeam),OR(fChannel="All",$F628=fChannel)),1,0))</f>
        <v>0</v>
      </c>
      <c r="AK628" s="71">
        <f>IF($G628="",0,IF(OR($M628="Completed",$M628="Cancelled"),0,1))</f>
        <v>0</v>
      </c>
      <c r="AL628" s="71">
        <f>IF(AND($AK628=1,ISNUMBER($L628)),IF($L628&lt;ReportDate,1,0),0)</f>
        <v>0</v>
      </c>
      <c r="AM628" s="71">
        <f>IF(AND($G628&lt;&gt;"",$M628="Blocked"),1,0)</f>
        <v>0</v>
      </c>
      <c r="AN628" s="71">
        <f>IF(AND($AK628=1,ISNUMBER($L628)),IF($L628=ReportDate,1,0),0)</f>
        <v>0</v>
      </c>
      <c r="AO628" s="71">
        <f>IF(AND($AK628=1,ISNUMBER($L628)),IF($L628=ReportDate+1,1,0),0)</f>
        <v>0</v>
      </c>
      <c r="AP628" s="71">
        <f>IF(AND($AK628=1,ISNUMBER($L628)),IF(AND($L628&gt;=ReportDate,$L628&lt;=ReportDate+DueSoonDays),1,0),0)</f>
        <v>0</v>
      </c>
      <c r="AQ628" s="71">
        <f>IF(AND($AK628=1,OR($I628="Critical",$I628="High")),1,0)</f>
        <v>0</v>
      </c>
      <c r="AR628" s="71">
        <f>IF($AK628=1,IF(ISNUMBER($Y628),IF(ReportDate-$Y628&gt;StaleDays,1,0),1),0)</f>
        <v>0</v>
      </c>
      <c r="AS628" s="71">
        <f>IF(AND($G628&lt;&gt;"",ISNUMBER($Q628),ISNUMBER($R628)),IF(AND($Q628&lt;$R628,OR($M628="Completed",AND(ISNUMBER($L628),$L628&lt;ReportDate))),1,0),0)</f>
        <v>0</v>
      </c>
      <c r="AT628" s="71">
        <f>IF($AK628=1,IF(OR($L628=ReportDate,$W628=ReportDate,$K628=ReportDate,$A628=ReportDate),1,0),0)</f>
        <v>0</v>
      </c>
      <c r="AU628" s="71">
        <f>IF($AK628=1,IF(OR($L628=ReportDate+1,$W628=ReportDate+1,$K628=ReportDate+1,$A628=ReportDate+1),1,0),0)</f>
        <v>0</v>
      </c>
      <c r="AV628" s="71">
        <f>IF(AND($G628&lt;&gt;"",$M628="Completed"),IF(OR($Y628=ReportDate-1,$A628=ReportDate-1),1,0),0)</f>
        <v>0</v>
      </c>
      <c r="AW628" s="71">
        <f>IF(AND($AK628=1,$Z628="Yes"),1,0)</f>
        <v>0</v>
      </c>
      <c r="AX628" s="71">
        <f>IF(AND($AK628=1,$AA628="Yes"),1,0)</f>
        <v>0</v>
      </c>
      <c r="AY628" s="71">
        <f>IF(AND($AM628=1,OR($I628="Critical",$I628="High")),1,0)</f>
        <v>0</v>
      </c>
      <c r="AZ628" s="71">
        <f>IF(AND($AK628=1,OR($C628=TCL_Client,$C628=MECCA_Client)),1,0)</f>
        <v>0</v>
      </c>
      <c r="BA628" s="71" t="str">
        <f>IF($G628="","",IFERROR(MATCH($I628,lst_Priority,0),5))</f>
        <v/>
      </c>
      <c r="BB628" s="71" t="str">
        <f>IF(AND($AL628=1,$AJ628=1),$BA628*100000+ROW(),"")</f>
        <v/>
      </c>
      <c r="BC628" s="71" t="str">
        <f>IF(AND($AM628=1,$AJ628=1),$BA628*100000+ROW(),"")</f>
        <v/>
      </c>
      <c r="BD628" s="71" t="str">
        <f>IF(AND($AP628=1,$AJ628=1),$BA628*100000+ROW(),"")</f>
        <v/>
      </c>
      <c r="BE628" s="71" t="str">
        <f>IF(AND($AT628=1,$AJ628=1),$BA628*100000+ROW(),"")</f>
        <v/>
      </c>
      <c r="BF628" s="71" t="str">
        <f>IF(AND($AU628=1,$AJ628=1),$BA628*100000+ROW(),"")</f>
        <v/>
      </c>
      <c r="BG628" s="71" t="str">
        <f>IF(AND($AV628=1,$AJ628=1),$BA628*100000+ROW(),"")</f>
        <v/>
      </c>
      <c r="BH628" s="71" t="str">
        <f>IF(AND($AW628=1,$AJ628=1),$BA628*100000+ROW(),"")</f>
        <v/>
      </c>
      <c r="BI628" s="71" t="str">
        <f>IF(AND($AX628=1,$AJ628=1),$BA628*100000+ROW(),"")</f>
        <v/>
      </c>
      <c r="BJ628" s="71" t="str">
        <f>IF(AND($AS628=1,$AJ628=1),$BA628*100000+ROW(),"")</f>
        <v/>
      </c>
      <c r="BK628" s="71" t="str">
        <f>IF(AND($AY628=1,$AJ628=1),$BA628*100000+ROW(),"")</f>
        <v/>
      </c>
      <c r="BL628" s="71" t="str">
        <f>IF(AND($AZ628=1),$BA628*100000+ROW(),"")</f>
        <v/>
      </c>
    </row>
    <row r="629">
      <c r="A629" s="63" t="n"/>
      <c r="B629" s="64" t="n"/>
      <c r="C629" s="64" t="n"/>
      <c r="D629" s="64" t="n"/>
      <c r="E629" s="64" t="n"/>
      <c r="F629" s="64" t="n"/>
      <c r="G629" s="65" t="n"/>
      <c r="H629" s="65" t="n"/>
      <c r="I629" s="64" t="n"/>
      <c r="J629" s="64" t="n"/>
      <c r="K629" s="63" t="n"/>
      <c r="L629" s="63" t="n"/>
      <c r="M629" s="64" t="n"/>
      <c r="N629" s="66" t="n"/>
      <c r="O629" s="65" t="n"/>
      <c r="P629" s="64" t="n"/>
      <c r="Q629" s="67" t="n"/>
      <c r="R629" s="67" t="n"/>
      <c r="S629" s="68" t="str">
        <f>IF(AND(ISNUMBER($Q629),ISNUMBER($R629)),$Q629-$R629,"")</f>
        <v/>
      </c>
      <c r="T629" s="65" t="n"/>
      <c r="U629" s="64" t="n"/>
      <c r="V629" s="65" t="n"/>
      <c r="W629" s="63" t="n"/>
      <c r="X629" s="65" t="n"/>
      <c r="Y629" s="63" t="n"/>
      <c r="Z629" s="64" t="n"/>
      <c r="AA629" s="64" t="n"/>
      <c r="AB629" s="65" t="n"/>
      <c r="AC629" s="69" t="str">
        <f>IF(OR($G629="",NOT(ISNUMBER($K629)),$AK629=0),"",MAX(0,ReportDate-$K629))</f>
        <v/>
      </c>
      <c r="AD629" s="69" t="str">
        <f>IF($G629="","",IF($AL629=1,ReportDate-$L629,0))</f>
        <v/>
      </c>
      <c r="AE629" s="70" t="str">
        <f>IF($G629="","",IF($M629="Completed",1,IF(ISNUMBER($N629),$N629,0)))</f>
        <v/>
      </c>
      <c r="AF629" s="70" t="str">
        <f>IF(AND(ISNUMBER($Q629),ISNUMBER($R629)),IF($R629&lt;&gt;0,$Q629/$R629,""),"")</f>
        <v/>
      </c>
      <c r="AG629" s="71" t="str">
        <f>IF($G629="","",IF($AL629=1,"OVERDUE",IF($AM629=1,"BLOCKED",IF($AN629=1,"DUE TODAY",IF($AO629=1,"DUE TOMORROW",IF($AQ629=1,"HIGH PRIORITY",IF($AR629=1,"NO RECENT UPDATE",""))))))) </f>
        <v/>
      </c>
      <c r="AH629" s="71" t="str">
        <f>IF($G629="","",IF(ISNUMBER($A629),IF(ISNUMBER($A629),YEAR($A629)&amp;"-"&amp;TEXT(MONTH($A629),"00"),""),IF(ISNUMBER($L629),IF(ISNUMBER($L629),YEAR($L629)&amp;"-"&amp;TEXT(MONTH($L629),"00"),""),"")))</f>
        <v/>
      </c>
      <c r="AI629" s="71">
        <f>IF($G629="",0,IF(AND(OR(fClient="All",$C629=fClient),OR(fCampaign="All",$D629=fCampaign),OR(fTeam="All",$B629=fTeam),OR(fChannel="All",$F629=fChannel),OR(fMonth="All",$AH629=fMonth),OR(fTStatus="All",$M629=fTStatus)),1,0))</f>
        <v>0</v>
      </c>
      <c r="AJ629" s="71">
        <f>IF($G629="",0,IF(AND(OR(fClient="All",$C629=fClient),OR(fCampaign="All",$D629=fCampaign),OR(fTeam="All",$B629=fTeam),OR(fChannel="All",$F629=fChannel)),1,0))</f>
        <v>0</v>
      </c>
      <c r="AK629" s="71">
        <f>IF($G629="",0,IF(OR($M629="Completed",$M629="Cancelled"),0,1))</f>
        <v>0</v>
      </c>
      <c r="AL629" s="71">
        <f>IF(AND($AK629=1,ISNUMBER($L629)),IF($L629&lt;ReportDate,1,0),0)</f>
        <v>0</v>
      </c>
      <c r="AM629" s="71">
        <f>IF(AND($G629&lt;&gt;"",$M629="Blocked"),1,0)</f>
        <v>0</v>
      </c>
      <c r="AN629" s="71">
        <f>IF(AND($AK629=1,ISNUMBER($L629)),IF($L629=ReportDate,1,0),0)</f>
        <v>0</v>
      </c>
      <c r="AO629" s="71">
        <f>IF(AND($AK629=1,ISNUMBER($L629)),IF($L629=ReportDate+1,1,0),0)</f>
        <v>0</v>
      </c>
      <c r="AP629" s="71">
        <f>IF(AND($AK629=1,ISNUMBER($L629)),IF(AND($L629&gt;=ReportDate,$L629&lt;=ReportDate+DueSoonDays),1,0),0)</f>
        <v>0</v>
      </c>
      <c r="AQ629" s="71">
        <f>IF(AND($AK629=1,OR($I629="Critical",$I629="High")),1,0)</f>
        <v>0</v>
      </c>
      <c r="AR629" s="71">
        <f>IF($AK629=1,IF(ISNUMBER($Y629),IF(ReportDate-$Y629&gt;StaleDays,1,0),1),0)</f>
        <v>0</v>
      </c>
      <c r="AS629" s="71">
        <f>IF(AND($G629&lt;&gt;"",ISNUMBER($Q629),ISNUMBER($R629)),IF(AND($Q629&lt;$R629,OR($M629="Completed",AND(ISNUMBER($L629),$L629&lt;ReportDate))),1,0),0)</f>
        <v>0</v>
      </c>
      <c r="AT629" s="71">
        <f>IF($AK629=1,IF(OR($L629=ReportDate,$W629=ReportDate,$K629=ReportDate,$A629=ReportDate),1,0),0)</f>
        <v>0</v>
      </c>
      <c r="AU629" s="71">
        <f>IF($AK629=1,IF(OR($L629=ReportDate+1,$W629=ReportDate+1,$K629=ReportDate+1,$A629=ReportDate+1),1,0),0)</f>
        <v>0</v>
      </c>
      <c r="AV629" s="71">
        <f>IF(AND($G629&lt;&gt;"",$M629="Completed"),IF(OR($Y629=ReportDate-1,$A629=ReportDate-1),1,0),0)</f>
        <v>0</v>
      </c>
      <c r="AW629" s="71">
        <f>IF(AND($AK629=1,$Z629="Yes"),1,0)</f>
        <v>0</v>
      </c>
      <c r="AX629" s="71">
        <f>IF(AND($AK629=1,$AA629="Yes"),1,0)</f>
        <v>0</v>
      </c>
      <c r="AY629" s="71">
        <f>IF(AND($AM629=1,OR($I629="Critical",$I629="High")),1,0)</f>
        <v>0</v>
      </c>
      <c r="AZ629" s="71">
        <f>IF(AND($AK629=1,OR($C629=TCL_Client,$C629=MECCA_Client)),1,0)</f>
        <v>0</v>
      </c>
      <c r="BA629" s="71" t="str">
        <f>IF($G629="","",IFERROR(MATCH($I629,lst_Priority,0),5))</f>
        <v/>
      </c>
      <c r="BB629" s="71" t="str">
        <f>IF(AND($AL629=1,$AJ629=1),$BA629*100000+ROW(),"")</f>
        <v/>
      </c>
      <c r="BC629" s="71" t="str">
        <f>IF(AND($AM629=1,$AJ629=1),$BA629*100000+ROW(),"")</f>
        <v/>
      </c>
      <c r="BD629" s="71" t="str">
        <f>IF(AND($AP629=1,$AJ629=1),$BA629*100000+ROW(),"")</f>
        <v/>
      </c>
      <c r="BE629" s="71" t="str">
        <f>IF(AND($AT629=1,$AJ629=1),$BA629*100000+ROW(),"")</f>
        <v/>
      </c>
      <c r="BF629" s="71" t="str">
        <f>IF(AND($AU629=1,$AJ629=1),$BA629*100000+ROW(),"")</f>
        <v/>
      </c>
      <c r="BG629" s="71" t="str">
        <f>IF(AND($AV629=1,$AJ629=1),$BA629*100000+ROW(),"")</f>
        <v/>
      </c>
      <c r="BH629" s="71" t="str">
        <f>IF(AND($AW629=1,$AJ629=1),$BA629*100000+ROW(),"")</f>
        <v/>
      </c>
      <c r="BI629" s="71" t="str">
        <f>IF(AND($AX629=1,$AJ629=1),$BA629*100000+ROW(),"")</f>
        <v/>
      </c>
      <c r="BJ629" s="71" t="str">
        <f>IF(AND($AS629=1,$AJ629=1),$BA629*100000+ROW(),"")</f>
        <v/>
      </c>
      <c r="BK629" s="71" t="str">
        <f>IF(AND($AY629=1,$AJ629=1),$BA629*100000+ROW(),"")</f>
        <v/>
      </c>
      <c r="BL629" s="71" t="str">
        <f>IF(AND($AZ629=1),$BA629*100000+ROW(),"")</f>
        <v/>
      </c>
    </row>
    <row r="630">
      <c r="A630" s="63" t="n"/>
      <c r="B630" s="64" t="n"/>
      <c r="C630" s="64" t="n"/>
      <c r="D630" s="64" t="n"/>
      <c r="E630" s="64" t="n"/>
      <c r="F630" s="64" t="n"/>
      <c r="G630" s="65" t="n"/>
      <c r="H630" s="65" t="n"/>
      <c r="I630" s="64" t="n"/>
      <c r="J630" s="64" t="n"/>
      <c r="K630" s="63" t="n"/>
      <c r="L630" s="63" t="n"/>
      <c r="M630" s="64" t="n"/>
      <c r="N630" s="66" t="n"/>
      <c r="O630" s="65" t="n"/>
      <c r="P630" s="64" t="n"/>
      <c r="Q630" s="67" t="n"/>
      <c r="R630" s="67" t="n"/>
      <c r="S630" s="68" t="str">
        <f>IF(AND(ISNUMBER($Q630),ISNUMBER($R630)),$Q630-$R630,"")</f>
        <v/>
      </c>
      <c r="T630" s="65" t="n"/>
      <c r="U630" s="64" t="n"/>
      <c r="V630" s="65" t="n"/>
      <c r="W630" s="63" t="n"/>
      <c r="X630" s="65" t="n"/>
      <c r="Y630" s="63" t="n"/>
      <c r="Z630" s="64" t="n"/>
      <c r="AA630" s="64" t="n"/>
      <c r="AB630" s="65" t="n"/>
      <c r="AC630" s="69" t="str">
        <f>IF(OR($G630="",NOT(ISNUMBER($K630)),$AK630=0),"",MAX(0,ReportDate-$K630))</f>
        <v/>
      </c>
      <c r="AD630" s="69" t="str">
        <f>IF($G630="","",IF($AL630=1,ReportDate-$L630,0))</f>
        <v/>
      </c>
      <c r="AE630" s="70" t="str">
        <f>IF($G630="","",IF($M630="Completed",1,IF(ISNUMBER($N630),$N630,0)))</f>
        <v/>
      </c>
      <c r="AF630" s="70" t="str">
        <f>IF(AND(ISNUMBER($Q630),ISNUMBER($R630)),IF($R630&lt;&gt;0,$Q630/$R630,""),"")</f>
        <v/>
      </c>
      <c r="AG630" s="71" t="str">
        <f>IF($G630="","",IF($AL630=1,"OVERDUE",IF($AM630=1,"BLOCKED",IF($AN630=1,"DUE TODAY",IF($AO630=1,"DUE TOMORROW",IF($AQ630=1,"HIGH PRIORITY",IF($AR630=1,"NO RECENT UPDATE",""))))))) </f>
        <v/>
      </c>
      <c r="AH630" s="71" t="str">
        <f>IF($G630="","",IF(ISNUMBER($A630),IF(ISNUMBER($A630),YEAR($A630)&amp;"-"&amp;TEXT(MONTH($A630),"00"),""),IF(ISNUMBER($L630),IF(ISNUMBER($L630),YEAR($L630)&amp;"-"&amp;TEXT(MONTH($L630),"00"),""),"")))</f>
        <v/>
      </c>
      <c r="AI630" s="71">
        <f>IF($G630="",0,IF(AND(OR(fClient="All",$C630=fClient),OR(fCampaign="All",$D630=fCampaign),OR(fTeam="All",$B630=fTeam),OR(fChannel="All",$F630=fChannel),OR(fMonth="All",$AH630=fMonth),OR(fTStatus="All",$M630=fTStatus)),1,0))</f>
        <v>0</v>
      </c>
      <c r="AJ630" s="71">
        <f>IF($G630="",0,IF(AND(OR(fClient="All",$C630=fClient),OR(fCampaign="All",$D630=fCampaign),OR(fTeam="All",$B630=fTeam),OR(fChannel="All",$F630=fChannel)),1,0))</f>
        <v>0</v>
      </c>
      <c r="AK630" s="71">
        <f>IF($G630="",0,IF(OR($M630="Completed",$M630="Cancelled"),0,1))</f>
        <v>0</v>
      </c>
      <c r="AL630" s="71">
        <f>IF(AND($AK630=1,ISNUMBER($L630)),IF($L630&lt;ReportDate,1,0),0)</f>
        <v>0</v>
      </c>
      <c r="AM630" s="71">
        <f>IF(AND($G630&lt;&gt;"",$M630="Blocked"),1,0)</f>
        <v>0</v>
      </c>
      <c r="AN630" s="71">
        <f>IF(AND($AK630=1,ISNUMBER($L630)),IF($L630=ReportDate,1,0),0)</f>
        <v>0</v>
      </c>
      <c r="AO630" s="71">
        <f>IF(AND($AK630=1,ISNUMBER($L630)),IF($L630=ReportDate+1,1,0),0)</f>
        <v>0</v>
      </c>
      <c r="AP630" s="71">
        <f>IF(AND($AK630=1,ISNUMBER($L630)),IF(AND($L630&gt;=ReportDate,$L630&lt;=ReportDate+DueSoonDays),1,0),0)</f>
        <v>0</v>
      </c>
      <c r="AQ630" s="71">
        <f>IF(AND($AK630=1,OR($I630="Critical",$I630="High")),1,0)</f>
        <v>0</v>
      </c>
      <c r="AR630" s="71">
        <f>IF($AK630=1,IF(ISNUMBER($Y630),IF(ReportDate-$Y630&gt;StaleDays,1,0),1),0)</f>
        <v>0</v>
      </c>
      <c r="AS630" s="71">
        <f>IF(AND($G630&lt;&gt;"",ISNUMBER($Q630),ISNUMBER($R630)),IF(AND($Q630&lt;$R630,OR($M630="Completed",AND(ISNUMBER($L630),$L630&lt;ReportDate))),1,0),0)</f>
        <v>0</v>
      </c>
      <c r="AT630" s="71">
        <f>IF($AK630=1,IF(OR($L630=ReportDate,$W630=ReportDate,$K630=ReportDate,$A630=ReportDate),1,0),0)</f>
        <v>0</v>
      </c>
      <c r="AU630" s="71">
        <f>IF($AK630=1,IF(OR($L630=ReportDate+1,$W630=ReportDate+1,$K630=ReportDate+1,$A630=ReportDate+1),1,0),0)</f>
        <v>0</v>
      </c>
      <c r="AV630" s="71">
        <f>IF(AND($G630&lt;&gt;"",$M630="Completed"),IF(OR($Y630=ReportDate-1,$A630=ReportDate-1),1,0),0)</f>
        <v>0</v>
      </c>
      <c r="AW630" s="71">
        <f>IF(AND($AK630=1,$Z630="Yes"),1,0)</f>
        <v>0</v>
      </c>
      <c r="AX630" s="71">
        <f>IF(AND($AK630=1,$AA630="Yes"),1,0)</f>
        <v>0</v>
      </c>
      <c r="AY630" s="71">
        <f>IF(AND($AM630=1,OR($I630="Critical",$I630="High")),1,0)</f>
        <v>0</v>
      </c>
      <c r="AZ630" s="71">
        <f>IF(AND($AK630=1,OR($C630=TCL_Client,$C630=MECCA_Client)),1,0)</f>
        <v>0</v>
      </c>
      <c r="BA630" s="71" t="str">
        <f>IF($G630="","",IFERROR(MATCH($I630,lst_Priority,0),5))</f>
        <v/>
      </c>
      <c r="BB630" s="71" t="str">
        <f>IF(AND($AL630=1,$AJ630=1),$BA630*100000+ROW(),"")</f>
        <v/>
      </c>
      <c r="BC630" s="71" t="str">
        <f>IF(AND($AM630=1,$AJ630=1),$BA630*100000+ROW(),"")</f>
        <v/>
      </c>
      <c r="BD630" s="71" t="str">
        <f>IF(AND($AP630=1,$AJ630=1),$BA630*100000+ROW(),"")</f>
        <v/>
      </c>
      <c r="BE630" s="71" t="str">
        <f>IF(AND($AT630=1,$AJ630=1),$BA630*100000+ROW(),"")</f>
        <v/>
      </c>
      <c r="BF630" s="71" t="str">
        <f>IF(AND($AU630=1,$AJ630=1),$BA630*100000+ROW(),"")</f>
        <v/>
      </c>
      <c r="BG630" s="71" t="str">
        <f>IF(AND($AV630=1,$AJ630=1),$BA630*100000+ROW(),"")</f>
        <v/>
      </c>
      <c r="BH630" s="71" t="str">
        <f>IF(AND($AW630=1,$AJ630=1),$BA630*100000+ROW(),"")</f>
        <v/>
      </c>
      <c r="BI630" s="71" t="str">
        <f>IF(AND($AX630=1,$AJ630=1),$BA630*100000+ROW(),"")</f>
        <v/>
      </c>
      <c r="BJ630" s="71" t="str">
        <f>IF(AND($AS630=1,$AJ630=1),$BA630*100000+ROW(),"")</f>
        <v/>
      </c>
      <c r="BK630" s="71" t="str">
        <f>IF(AND($AY630=1,$AJ630=1),$BA630*100000+ROW(),"")</f>
        <v/>
      </c>
      <c r="BL630" s="71" t="str">
        <f>IF(AND($AZ630=1),$BA630*100000+ROW(),"")</f>
        <v/>
      </c>
    </row>
    <row r="631">
      <c r="A631" s="63" t="n"/>
      <c r="B631" s="64" t="n"/>
      <c r="C631" s="64" t="n"/>
      <c r="D631" s="64" t="n"/>
      <c r="E631" s="64" t="n"/>
      <c r="F631" s="64" t="n"/>
      <c r="G631" s="65" t="n"/>
      <c r="H631" s="65" t="n"/>
      <c r="I631" s="64" t="n"/>
      <c r="J631" s="64" t="n"/>
      <c r="K631" s="63" t="n"/>
      <c r="L631" s="63" t="n"/>
      <c r="M631" s="64" t="n"/>
      <c r="N631" s="66" t="n"/>
      <c r="O631" s="65" t="n"/>
      <c r="P631" s="64" t="n"/>
      <c r="Q631" s="67" t="n"/>
      <c r="R631" s="67" t="n"/>
      <c r="S631" s="68" t="str">
        <f>IF(AND(ISNUMBER($Q631),ISNUMBER($R631)),$Q631-$R631,"")</f>
        <v/>
      </c>
      <c r="T631" s="65" t="n"/>
      <c r="U631" s="64" t="n"/>
      <c r="V631" s="65" t="n"/>
      <c r="W631" s="63" t="n"/>
      <c r="X631" s="65" t="n"/>
      <c r="Y631" s="63" t="n"/>
      <c r="Z631" s="64" t="n"/>
      <c r="AA631" s="64" t="n"/>
      <c r="AB631" s="65" t="n"/>
      <c r="AC631" s="69" t="str">
        <f>IF(OR($G631="",NOT(ISNUMBER($K631)),$AK631=0),"",MAX(0,ReportDate-$K631))</f>
        <v/>
      </c>
      <c r="AD631" s="69" t="str">
        <f>IF($G631="","",IF($AL631=1,ReportDate-$L631,0))</f>
        <v/>
      </c>
      <c r="AE631" s="70" t="str">
        <f>IF($G631="","",IF($M631="Completed",1,IF(ISNUMBER($N631),$N631,0)))</f>
        <v/>
      </c>
      <c r="AF631" s="70" t="str">
        <f>IF(AND(ISNUMBER($Q631),ISNUMBER($R631)),IF($R631&lt;&gt;0,$Q631/$R631,""),"")</f>
        <v/>
      </c>
      <c r="AG631" s="71" t="str">
        <f>IF($G631="","",IF($AL631=1,"OVERDUE",IF($AM631=1,"BLOCKED",IF($AN631=1,"DUE TODAY",IF($AO631=1,"DUE TOMORROW",IF($AQ631=1,"HIGH PRIORITY",IF($AR631=1,"NO RECENT UPDATE",""))))))) </f>
        <v/>
      </c>
      <c r="AH631" s="71" t="str">
        <f>IF($G631="","",IF(ISNUMBER($A631),IF(ISNUMBER($A631),YEAR($A631)&amp;"-"&amp;TEXT(MONTH($A631),"00"),""),IF(ISNUMBER($L631),IF(ISNUMBER($L631),YEAR($L631)&amp;"-"&amp;TEXT(MONTH($L631),"00"),""),"")))</f>
        <v/>
      </c>
      <c r="AI631" s="71">
        <f>IF($G631="",0,IF(AND(OR(fClient="All",$C631=fClient),OR(fCampaign="All",$D631=fCampaign),OR(fTeam="All",$B631=fTeam),OR(fChannel="All",$F631=fChannel),OR(fMonth="All",$AH631=fMonth),OR(fTStatus="All",$M631=fTStatus)),1,0))</f>
        <v>0</v>
      </c>
      <c r="AJ631" s="71">
        <f>IF($G631="",0,IF(AND(OR(fClient="All",$C631=fClient),OR(fCampaign="All",$D631=fCampaign),OR(fTeam="All",$B631=fTeam),OR(fChannel="All",$F631=fChannel)),1,0))</f>
        <v>0</v>
      </c>
      <c r="AK631" s="71">
        <f>IF($G631="",0,IF(OR($M631="Completed",$M631="Cancelled"),0,1))</f>
        <v>0</v>
      </c>
      <c r="AL631" s="71">
        <f>IF(AND($AK631=1,ISNUMBER($L631)),IF($L631&lt;ReportDate,1,0),0)</f>
        <v>0</v>
      </c>
      <c r="AM631" s="71">
        <f>IF(AND($G631&lt;&gt;"",$M631="Blocked"),1,0)</f>
        <v>0</v>
      </c>
      <c r="AN631" s="71">
        <f>IF(AND($AK631=1,ISNUMBER($L631)),IF($L631=ReportDate,1,0),0)</f>
        <v>0</v>
      </c>
      <c r="AO631" s="71">
        <f>IF(AND($AK631=1,ISNUMBER($L631)),IF($L631=ReportDate+1,1,0),0)</f>
        <v>0</v>
      </c>
      <c r="AP631" s="71">
        <f>IF(AND($AK631=1,ISNUMBER($L631)),IF(AND($L631&gt;=ReportDate,$L631&lt;=ReportDate+DueSoonDays),1,0),0)</f>
        <v>0</v>
      </c>
      <c r="AQ631" s="71">
        <f>IF(AND($AK631=1,OR($I631="Critical",$I631="High")),1,0)</f>
        <v>0</v>
      </c>
      <c r="AR631" s="71">
        <f>IF($AK631=1,IF(ISNUMBER($Y631),IF(ReportDate-$Y631&gt;StaleDays,1,0),1),0)</f>
        <v>0</v>
      </c>
      <c r="AS631" s="71">
        <f>IF(AND($G631&lt;&gt;"",ISNUMBER($Q631),ISNUMBER($R631)),IF(AND($Q631&lt;$R631,OR($M631="Completed",AND(ISNUMBER($L631),$L631&lt;ReportDate))),1,0),0)</f>
        <v>0</v>
      </c>
      <c r="AT631" s="71">
        <f>IF($AK631=1,IF(OR($L631=ReportDate,$W631=ReportDate,$K631=ReportDate,$A631=ReportDate),1,0),0)</f>
        <v>0</v>
      </c>
      <c r="AU631" s="71">
        <f>IF($AK631=1,IF(OR($L631=ReportDate+1,$W631=ReportDate+1,$K631=ReportDate+1,$A631=ReportDate+1),1,0),0)</f>
        <v>0</v>
      </c>
      <c r="AV631" s="71">
        <f>IF(AND($G631&lt;&gt;"",$M631="Completed"),IF(OR($Y631=ReportDate-1,$A631=ReportDate-1),1,0),0)</f>
        <v>0</v>
      </c>
      <c r="AW631" s="71">
        <f>IF(AND($AK631=1,$Z631="Yes"),1,0)</f>
        <v>0</v>
      </c>
      <c r="AX631" s="71">
        <f>IF(AND($AK631=1,$AA631="Yes"),1,0)</f>
        <v>0</v>
      </c>
      <c r="AY631" s="71">
        <f>IF(AND($AM631=1,OR($I631="Critical",$I631="High")),1,0)</f>
        <v>0</v>
      </c>
      <c r="AZ631" s="71">
        <f>IF(AND($AK631=1,OR($C631=TCL_Client,$C631=MECCA_Client)),1,0)</f>
        <v>0</v>
      </c>
      <c r="BA631" s="71" t="str">
        <f>IF($G631="","",IFERROR(MATCH($I631,lst_Priority,0),5))</f>
        <v/>
      </c>
      <c r="BB631" s="71" t="str">
        <f>IF(AND($AL631=1,$AJ631=1),$BA631*100000+ROW(),"")</f>
        <v/>
      </c>
      <c r="BC631" s="71" t="str">
        <f>IF(AND($AM631=1,$AJ631=1),$BA631*100000+ROW(),"")</f>
        <v/>
      </c>
      <c r="BD631" s="71" t="str">
        <f>IF(AND($AP631=1,$AJ631=1),$BA631*100000+ROW(),"")</f>
        <v/>
      </c>
      <c r="BE631" s="71" t="str">
        <f>IF(AND($AT631=1,$AJ631=1),$BA631*100000+ROW(),"")</f>
        <v/>
      </c>
      <c r="BF631" s="71" t="str">
        <f>IF(AND($AU631=1,$AJ631=1),$BA631*100000+ROW(),"")</f>
        <v/>
      </c>
      <c r="BG631" s="71" t="str">
        <f>IF(AND($AV631=1,$AJ631=1),$BA631*100000+ROW(),"")</f>
        <v/>
      </c>
      <c r="BH631" s="71" t="str">
        <f>IF(AND($AW631=1,$AJ631=1),$BA631*100000+ROW(),"")</f>
        <v/>
      </c>
      <c r="BI631" s="71" t="str">
        <f>IF(AND($AX631=1,$AJ631=1),$BA631*100000+ROW(),"")</f>
        <v/>
      </c>
      <c r="BJ631" s="71" t="str">
        <f>IF(AND($AS631=1,$AJ631=1),$BA631*100000+ROW(),"")</f>
        <v/>
      </c>
      <c r="BK631" s="71" t="str">
        <f>IF(AND($AY631=1,$AJ631=1),$BA631*100000+ROW(),"")</f>
        <v/>
      </c>
      <c r="BL631" s="71" t="str">
        <f>IF(AND($AZ631=1),$BA631*100000+ROW(),"")</f>
        <v/>
      </c>
    </row>
    <row r="632">
      <c r="A632" s="63" t="n"/>
      <c r="B632" s="64" t="n"/>
      <c r="C632" s="64" t="n"/>
      <c r="D632" s="64" t="n"/>
      <c r="E632" s="64" t="n"/>
      <c r="F632" s="64" t="n"/>
      <c r="G632" s="65" t="n"/>
      <c r="H632" s="65" t="n"/>
      <c r="I632" s="64" t="n"/>
      <c r="J632" s="64" t="n"/>
      <c r="K632" s="63" t="n"/>
      <c r="L632" s="63" t="n"/>
      <c r="M632" s="64" t="n"/>
      <c r="N632" s="66" t="n"/>
      <c r="O632" s="65" t="n"/>
      <c r="P632" s="64" t="n"/>
      <c r="Q632" s="67" t="n"/>
      <c r="R632" s="67" t="n"/>
      <c r="S632" s="68" t="str">
        <f>IF(AND(ISNUMBER($Q632),ISNUMBER($R632)),$Q632-$R632,"")</f>
        <v/>
      </c>
      <c r="T632" s="65" t="n"/>
      <c r="U632" s="64" t="n"/>
      <c r="V632" s="65" t="n"/>
      <c r="W632" s="63" t="n"/>
      <c r="X632" s="65" t="n"/>
      <c r="Y632" s="63" t="n"/>
      <c r="Z632" s="64" t="n"/>
      <c r="AA632" s="64" t="n"/>
      <c r="AB632" s="65" t="n"/>
      <c r="AC632" s="69" t="str">
        <f>IF(OR($G632="",NOT(ISNUMBER($K632)),$AK632=0),"",MAX(0,ReportDate-$K632))</f>
        <v/>
      </c>
      <c r="AD632" s="69" t="str">
        <f>IF($G632="","",IF($AL632=1,ReportDate-$L632,0))</f>
        <v/>
      </c>
      <c r="AE632" s="70" t="str">
        <f>IF($G632="","",IF($M632="Completed",1,IF(ISNUMBER($N632),$N632,0)))</f>
        <v/>
      </c>
      <c r="AF632" s="70" t="str">
        <f>IF(AND(ISNUMBER($Q632),ISNUMBER($R632)),IF($R632&lt;&gt;0,$Q632/$R632,""),"")</f>
        <v/>
      </c>
      <c r="AG632" s="71" t="str">
        <f>IF($G632="","",IF($AL632=1,"OVERDUE",IF($AM632=1,"BLOCKED",IF($AN632=1,"DUE TODAY",IF($AO632=1,"DUE TOMORROW",IF($AQ632=1,"HIGH PRIORITY",IF($AR632=1,"NO RECENT UPDATE",""))))))) </f>
        <v/>
      </c>
      <c r="AH632" s="71" t="str">
        <f>IF($G632="","",IF(ISNUMBER($A632),IF(ISNUMBER($A632),YEAR($A632)&amp;"-"&amp;TEXT(MONTH($A632),"00"),""),IF(ISNUMBER($L632),IF(ISNUMBER($L632),YEAR($L632)&amp;"-"&amp;TEXT(MONTH($L632),"00"),""),"")))</f>
        <v/>
      </c>
      <c r="AI632" s="71">
        <f>IF($G632="",0,IF(AND(OR(fClient="All",$C632=fClient),OR(fCampaign="All",$D632=fCampaign),OR(fTeam="All",$B632=fTeam),OR(fChannel="All",$F632=fChannel),OR(fMonth="All",$AH632=fMonth),OR(fTStatus="All",$M632=fTStatus)),1,0))</f>
        <v>0</v>
      </c>
      <c r="AJ632" s="71">
        <f>IF($G632="",0,IF(AND(OR(fClient="All",$C632=fClient),OR(fCampaign="All",$D632=fCampaign),OR(fTeam="All",$B632=fTeam),OR(fChannel="All",$F632=fChannel)),1,0))</f>
        <v>0</v>
      </c>
      <c r="AK632" s="71">
        <f>IF($G632="",0,IF(OR($M632="Completed",$M632="Cancelled"),0,1))</f>
        <v>0</v>
      </c>
      <c r="AL632" s="71">
        <f>IF(AND($AK632=1,ISNUMBER($L632)),IF($L632&lt;ReportDate,1,0),0)</f>
        <v>0</v>
      </c>
      <c r="AM632" s="71">
        <f>IF(AND($G632&lt;&gt;"",$M632="Blocked"),1,0)</f>
        <v>0</v>
      </c>
      <c r="AN632" s="71">
        <f>IF(AND($AK632=1,ISNUMBER($L632)),IF($L632=ReportDate,1,0),0)</f>
        <v>0</v>
      </c>
      <c r="AO632" s="71">
        <f>IF(AND($AK632=1,ISNUMBER($L632)),IF($L632=ReportDate+1,1,0),0)</f>
        <v>0</v>
      </c>
      <c r="AP632" s="71">
        <f>IF(AND($AK632=1,ISNUMBER($L632)),IF(AND($L632&gt;=ReportDate,$L632&lt;=ReportDate+DueSoonDays),1,0),0)</f>
        <v>0</v>
      </c>
      <c r="AQ632" s="71">
        <f>IF(AND($AK632=1,OR($I632="Critical",$I632="High")),1,0)</f>
        <v>0</v>
      </c>
      <c r="AR632" s="71">
        <f>IF($AK632=1,IF(ISNUMBER($Y632),IF(ReportDate-$Y632&gt;StaleDays,1,0),1),0)</f>
        <v>0</v>
      </c>
      <c r="AS632" s="71">
        <f>IF(AND($G632&lt;&gt;"",ISNUMBER($Q632),ISNUMBER($R632)),IF(AND($Q632&lt;$R632,OR($M632="Completed",AND(ISNUMBER($L632),$L632&lt;ReportDate))),1,0),0)</f>
        <v>0</v>
      </c>
      <c r="AT632" s="71">
        <f>IF($AK632=1,IF(OR($L632=ReportDate,$W632=ReportDate,$K632=ReportDate,$A632=ReportDate),1,0),0)</f>
        <v>0</v>
      </c>
      <c r="AU632" s="71">
        <f>IF($AK632=1,IF(OR($L632=ReportDate+1,$W632=ReportDate+1,$K632=ReportDate+1,$A632=ReportDate+1),1,0),0)</f>
        <v>0</v>
      </c>
      <c r="AV632" s="71">
        <f>IF(AND($G632&lt;&gt;"",$M632="Completed"),IF(OR($Y632=ReportDate-1,$A632=ReportDate-1),1,0),0)</f>
        <v>0</v>
      </c>
      <c r="AW632" s="71">
        <f>IF(AND($AK632=1,$Z632="Yes"),1,0)</f>
        <v>0</v>
      </c>
      <c r="AX632" s="71">
        <f>IF(AND($AK632=1,$AA632="Yes"),1,0)</f>
        <v>0</v>
      </c>
      <c r="AY632" s="71">
        <f>IF(AND($AM632=1,OR($I632="Critical",$I632="High")),1,0)</f>
        <v>0</v>
      </c>
      <c r="AZ632" s="71">
        <f>IF(AND($AK632=1,OR($C632=TCL_Client,$C632=MECCA_Client)),1,0)</f>
        <v>0</v>
      </c>
      <c r="BA632" s="71" t="str">
        <f>IF($G632="","",IFERROR(MATCH($I632,lst_Priority,0),5))</f>
        <v/>
      </c>
      <c r="BB632" s="71" t="str">
        <f>IF(AND($AL632=1,$AJ632=1),$BA632*100000+ROW(),"")</f>
        <v/>
      </c>
      <c r="BC632" s="71" t="str">
        <f>IF(AND($AM632=1,$AJ632=1),$BA632*100000+ROW(),"")</f>
        <v/>
      </c>
      <c r="BD632" s="71" t="str">
        <f>IF(AND($AP632=1,$AJ632=1),$BA632*100000+ROW(),"")</f>
        <v/>
      </c>
      <c r="BE632" s="71" t="str">
        <f>IF(AND($AT632=1,$AJ632=1),$BA632*100000+ROW(),"")</f>
        <v/>
      </c>
      <c r="BF632" s="71" t="str">
        <f>IF(AND($AU632=1,$AJ632=1),$BA632*100000+ROW(),"")</f>
        <v/>
      </c>
      <c r="BG632" s="71" t="str">
        <f>IF(AND($AV632=1,$AJ632=1),$BA632*100000+ROW(),"")</f>
        <v/>
      </c>
      <c r="BH632" s="71" t="str">
        <f>IF(AND($AW632=1,$AJ632=1),$BA632*100000+ROW(),"")</f>
        <v/>
      </c>
      <c r="BI632" s="71" t="str">
        <f>IF(AND($AX632=1,$AJ632=1),$BA632*100000+ROW(),"")</f>
        <v/>
      </c>
      <c r="BJ632" s="71" t="str">
        <f>IF(AND($AS632=1,$AJ632=1),$BA632*100000+ROW(),"")</f>
        <v/>
      </c>
      <c r="BK632" s="71" t="str">
        <f>IF(AND($AY632=1,$AJ632=1),$BA632*100000+ROW(),"")</f>
        <v/>
      </c>
      <c r="BL632" s="71" t="str">
        <f>IF(AND($AZ632=1),$BA632*100000+ROW(),"")</f>
        <v/>
      </c>
    </row>
    <row r="633">
      <c r="A633" s="63" t="n"/>
      <c r="B633" s="64" t="n"/>
      <c r="C633" s="64" t="n"/>
      <c r="D633" s="64" t="n"/>
      <c r="E633" s="64" t="n"/>
      <c r="F633" s="64" t="n"/>
      <c r="G633" s="65" t="n"/>
      <c r="H633" s="65" t="n"/>
      <c r="I633" s="64" t="n"/>
      <c r="J633" s="64" t="n"/>
      <c r="K633" s="63" t="n"/>
      <c r="L633" s="63" t="n"/>
      <c r="M633" s="64" t="n"/>
      <c r="N633" s="66" t="n"/>
      <c r="O633" s="65" t="n"/>
      <c r="P633" s="64" t="n"/>
      <c r="Q633" s="67" t="n"/>
      <c r="R633" s="67" t="n"/>
      <c r="S633" s="68" t="str">
        <f>IF(AND(ISNUMBER($Q633),ISNUMBER($R633)),$Q633-$R633,"")</f>
        <v/>
      </c>
      <c r="T633" s="65" t="n"/>
      <c r="U633" s="64" t="n"/>
      <c r="V633" s="65" t="n"/>
      <c r="W633" s="63" t="n"/>
      <c r="X633" s="65" t="n"/>
      <c r="Y633" s="63" t="n"/>
      <c r="Z633" s="64" t="n"/>
      <c r="AA633" s="64" t="n"/>
      <c r="AB633" s="65" t="n"/>
      <c r="AC633" s="69" t="str">
        <f>IF(OR($G633="",NOT(ISNUMBER($K633)),$AK633=0),"",MAX(0,ReportDate-$K633))</f>
        <v/>
      </c>
      <c r="AD633" s="69" t="str">
        <f>IF($G633="","",IF($AL633=1,ReportDate-$L633,0))</f>
        <v/>
      </c>
      <c r="AE633" s="70" t="str">
        <f>IF($G633="","",IF($M633="Completed",1,IF(ISNUMBER($N633),$N633,0)))</f>
        <v/>
      </c>
      <c r="AF633" s="70" t="str">
        <f>IF(AND(ISNUMBER($Q633),ISNUMBER($R633)),IF($R633&lt;&gt;0,$Q633/$R633,""),"")</f>
        <v/>
      </c>
      <c r="AG633" s="71" t="str">
        <f>IF($G633="","",IF($AL633=1,"OVERDUE",IF($AM633=1,"BLOCKED",IF($AN633=1,"DUE TODAY",IF($AO633=1,"DUE TOMORROW",IF($AQ633=1,"HIGH PRIORITY",IF($AR633=1,"NO RECENT UPDATE",""))))))) </f>
        <v/>
      </c>
      <c r="AH633" s="71" t="str">
        <f>IF($G633="","",IF(ISNUMBER($A633),IF(ISNUMBER($A633),YEAR($A633)&amp;"-"&amp;TEXT(MONTH($A633),"00"),""),IF(ISNUMBER($L633),IF(ISNUMBER($L633),YEAR($L633)&amp;"-"&amp;TEXT(MONTH($L633),"00"),""),"")))</f>
        <v/>
      </c>
      <c r="AI633" s="71">
        <f>IF($G633="",0,IF(AND(OR(fClient="All",$C633=fClient),OR(fCampaign="All",$D633=fCampaign),OR(fTeam="All",$B633=fTeam),OR(fChannel="All",$F633=fChannel),OR(fMonth="All",$AH633=fMonth),OR(fTStatus="All",$M633=fTStatus)),1,0))</f>
        <v>0</v>
      </c>
      <c r="AJ633" s="71">
        <f>IF($G633="",0,IF(AND(OR(fClient="All",$C633=fClient),OR(fCampaign="All",$D633=fCampaign),OR(fTeam="All",$B633=fTeam),OR(fChannel="All",$F633=fChannel)),1,0))</f>
        <v>0</v>
      </c>
      <c r="AK633" s="71">
        <f>IF($G633="",0,IF(OR($M633="Completed",$M633="Cancelled"),0,1))</f>
        <v>0</v>
      </c>
      <c r="AL633" s="71">
        <f>IF(AND($AK633=1,ISNUMBER($L633)),IF($L633&lt;ReportDate,1,0),0)</f>
        <v>0</v>
      </c>
      <c r="AM633" s="71">
        <f>IF(AND($G633&lt;&gt;"",$M633="Blocked"),1,0)</f>
        <v>0</v>
      </c>
      <c r="AN633" s="71">
        <f>IF(AND($AK633=1,ISNUMBER($L633)),IF($L633=ReportDate,1,0),0)</f>
        <v>0</v>
      </c>
      <c r="AO633" s="71">
        <f>IF(AND($AK633=1,ISNUMBER($L633)),IF($L633=ReportDate+1,1,0),0)</f>
        <v>0</v>
      </c>
      <c r="AP633" s="71">
        <f>IF(AND($AK633=1,ISNUMBER($L633)),IF(AND($L633&gt;=ReportDate,$L633&lt;=ReportDate+DueSoonDays),1,0),0)</f>
        <v>0</v>
      </c>
      <c r="AQ633" s="71">
        <f>IF(AND($AK633=1,OR($I633="Critical",$I633="High")),1,0)</f>
        <v>0</v>
      </c>
      <c r="AR633" s="71">
        <f>IF($AK633=1,IF(ISNUMBER($Y633),IF(ReportDate-$Y633&gt;StaleDays,1,0),1),0)</f>
        <v>0</v>
      </c>
      <c r="AS633" s="71">
        <f>IF(AND($G633&lt;&gt;"",ISNUMBER($Q633),ISNUMBER($R633)),IF(AND($Q633&lt;$R633,OR($M633="Completed",AND(ISNUMBER($L633),$L633&lt;ReportDate))),1,0),0)</f>
        <v>0</v>
      </c>
      <c r="AT633" s="71">
        <f>IF($AK633=1,IF(OR($L633=ReportDate,$W633=ReportDate,$K633=ReportDate,$A633=ReportDate),1,0),0)</f>
        <v>0</v>
      </c>
      <c r="AU633" s="71">
        <f>IF($AK633=1,IF(OR($L633=ReportDate+1,$W633=ReportDate+1,$K633=ReportDate+1,$A633=ReportDate+1),1,0),0)</f>
        <v>0</v>
      </c>
      <c r="AV633" s="71">
        <f>IF(AND($G633&lt;&gt;"",$M633="Completed"),IF(OR($Y633=ReportDate-1,$A633=ReportDate-1),1,0),0)</f>
        <v>0</v>
      </c>
      <c r="AW633" s="71">
        <f>IF(AND($AK633=1,$Z633="Yes"),1,0)</f>
        <v>0</v>
      </c>
      <c r="AX633" s="71">
        <f>IF(AND($AK633=1,$AA633="Yes"),1,0)</f>
        <v>0</v>
      </c>
      <c r="AY633" s="71">
        <f>IF(AND($AM633=1,OR($I633="Critical",$I633="High")),1,0)</f>
        <v>0</v>
      </c>
      <c r="AZ633" s="71">
        <f>IF(AND($AK633=1,OR($C633=TCL_Client,$C633=MECCA_Client)),1,0)</f>
        <v>0</v>
      </c>
      <c r="BA633" s="71" t="str">
        <f>IF($G633="","",IFERROR(MATCH($I633,lst_Priority,0),5))</f>
        <v/>
      </c>
      <c r="BB633" s="71" t="str">
        <f>IF(AND($AL633=1,$AJ633=1),$BA633*100000+ROW(),"")</f>
        <v/>
      </c>
      <c r="BC633" s="71" t="str">
        <f>IF(AND($AM633=1,$AJ633=1),$BA633*100000+ROW(),"")</f>
        <v/>
      </c>
      <c r="BD633" s="71" t="str">
        <f>IF(AND($AP633=1,$AJ633=1),$BA633*100000+ROW(),"")</f>
        <v/>
      </c>
      <c r="BE633" s="71" t="str">
        <f>IF(AND($AT633=1,$AJ633=1),$BA633*100000+ROW(),"")</f>
        <v/>
      </c>
      <c r="BF633" s="71" t="str">
        <f>IF(AND($AU633=1,$AJ633=1),$BA633*100000+ROW(),"")</f>
        <v/>
      </c>
      <c r="BG633" s="71" t="str">
        <f>IF(AND($AV633=1,$AJ633=1),$BA633*100000+ROW(),"")</f>
        <v/>
      </c>
      <c r="BH633" s="71" t="str">
        <f>IF(AND($AW633=1,$AJ633=1),$BA633*100000+ROW(),"")</f>
        <v/>
      </c>
      <c r="BI633" s="71" t="str">
        <f>IF(AND($AX633=1,$AJ633=1),$BA633*100000+ROW(),"")</f>
        <v/>
      </c>
      <c r="BJ633" s="71" t="str">
        <f>IF(AND($AS633=1,$AJ633=1),$BA633*100000+ROW(),"")</f>
        <v/>
      </c>
      <c r="BK633" s="71" t="str">
        <f>IF(AND($AY633=1,$AJ633=1),$BA633*100000+ROW(),"")</f>
        <v/>
      </c>
      <c r="BL633" s="71" t="str">
        <f>IF(AND($AZ633=1),$BA633*100000+ROW(),"")</f>
        <v/>
      </c>
    </row>
    <row r="634">
      <c r="A634" s="63" t="n"/>
      <c r="B634" s="64" t="n"/>
      <c r="C634" s="64" t="n"/>
      <c r="D634" s="64" t="n"/>
      <c r="E634" s="64" t="n"/>
      <c r="F634" s="64" t="n"/>
      <c r="G634" s="65" t="n"/>
      <c r="H634" s="65" t="n"/>
      <c r="I634" s="64" t="n"/>
      <c r="J634" s="64" t="n"/>
      <c r="K634" s="63" t="n"/>
      <c r="L634" s="63" t="n"/>
      <c r="M634" s="64" t="n"/>
      <c r="N634" s="66" t="n"/>
      <c r="O634" s="65" t="n"/>
      <c r="P634" s="64" t="n"/>
      <c r="Q634" s="67" t="n"/>
      <c r="R634" s="67" t="n"/>
      <c r="S634" s="68" t="str">
        <f>IF(AND(ISNUMBER($Q634),ISNUMBER($R634)),$Q634-$R634,"")</f>
        <v/>
      </c>
      <c r="T634" s="65" t="n"/>
      <c r="U634" s="64" t="n"/>
      <c r="V634" s="65" t="n"/>
      <c r="W634" s="63" t="n"/>
      <c r="X634" s="65" t="n"/>
      <c r="Y634" s="63" t="n"/>
      <c r="Z634" s="64" t="n"/>
      <c r="AA634" s="64" t="n"/>
      <c r="AB634" s="65" t="n"/>
      <c r="AC634" s="69" t="str">
        <f>IF(OR($G634="",NOT(ISNUMBER($K634)),$AK634=0),"",MAX(0,ReportDate-$K634))</f>
        <v/>
      </c>
      <c r="AD634" s="69" t="str">
        <f>IF($G634="","",IF($AL634=1,ReportDate-$L634,0))</f>
        <v/>
      </c>
      <c r="AE634" s="70" t="str">
        <f>IF($G634="","",IF($M634="Completed",1,IF(ISNUMBER($N634),$N634,0)))</f>
        <v/>
      </c>
      <c r="AF634" s="70" t="str">
        <f>IF(AND(ISNUMBER($Q634),ISNUMBER($R634)),IF($R634&lt;&gt;0,$Q634/$R634,""),"")</f>
        <v/>
      </c>
      <c r="AG634" s="71" t="str">
        <f>IF($G634="","",IF($AL634=1,"OVERDUE",IF($AM634=1,"BLOCKED",IF($AN634=1,"DUE TODAY",IF($AO634=1,"DUE TOMORROW",IF($AQ634=1,"HIGH PRIORITY",IF($AR634=1,"NO RECENT UPDATE",""))))))) </f>
        <v/>
      </c>
      <c r="AH634" s="71" t="str">
        <f>IF($G634="","",IF(ISNUMBER($A634),IF(ISNUMBER($A634),YEAR($A634)&amp;"-"&amp;TEXT(MONTH($A634),"00"),""),IF(ISNUMBER($L634),IF(ISNUMBER($L634),YEAR($L634)&amp;"-"&amp;TEXT(MONTH($L634),"00"),""),"")))</f>
        <v/>
      </c>
      <c r="AI634" s="71">
        <f>IF($G634="",0,IF(AND(OR(fClient="All",$C634=fClient),OR(fCampaign="All",$D634=fCampaign),OR(fTeam="All",$B634=fTeam),OR(fChannel="All",$F634=fChannel),OR(fMonth="All",$AH634=fMonth),OR(fTStatus="All",$M634=fTStatus)),1,0))</f>
        <v>0</v>
      </c>
      <c r="AJ634" s="71">
        <f>IF($G634="",0,IF(AND(OR(fClient="All",$C634=fClient),OR(fCampaign="All",$D634=fCampaign),OR(fTeam="All",$B634=fTeam),OR(fChannel="All",$F634=fChannel)),1,0))</f>
        <v>0</v>
      </c>
      <c r="AK634" s="71">
        <f>IF($G634="",0,IF(OR($M634="Completed",$M634="Cancelled"),0,1))</f>
        <v>0</v>
      </c>
      <c r="AL634" s="71">
        <f>IF(AND($AK634=1,ISNUMBER($L634)),IF($L634&lt;ReportDate,1,0),0)</f>
        <v>0</v>
      </c>
      <c r="AM634" s="71">
        <f>IF(AND($G634&lt;&gt;"",$M634="Blocked"),1,0)</f>
        <v>0</v>
      </c>
      <c r="AN634" s="71">
        <f>IF(AND($AK634=1,ISNUMBER($L634)),IF($L634=ReportDate,1,0),0)</f>
        <v>0</v>
      </c>
      <c r="AO634" s="71">
        <f>IF(AND($AK634=1,ISNUMBER($L634)),IF($L634=ReportDate+1,1,0),0)</f>
        <v>0</v>
      </c>
      <c r="AP634" s="71">
        <f>IF(AND($AK634=1,ISNUMBER($L634)),IF(AND($L634&gt;=ReportDate,$L634&lt;=ReportDate+DueSoonDays),1,0),0)</f>
        <v>0</v>
      </c>
      <c r="AQ634" s="71">
        <f>IF(AND($AK634=1,OR($I634="Critical",$I634="High")),1,0)</f>
        <v>0</v>
      </c>
      <c r="AR634" s="71">
        <f>IF($AK634=1,IF(ISNUMBER($Y634),IF(ReportDate-$Y634&gt;StaleDays,1,0),1),0)</f>
        <v>0</v>
      </c>
      <c r="AS634" s="71">
        <f>IF(AND($G634&lt;&gt;"",ISNUMBER($Q634),ISNUMBER($R634)),IF(AND($Q634&lt;$R634,OR($M634="Completed",AND(ISNUMBER($L634),$L634&lt;ReportDate))),1,0),0)</f>
        <v>0</v>
      </c>
      <c r="AT634" s="71">
        <f>IF($AK634=1,IF(OR($L634=ReportDate,$W634=ReportDate,$K634=ReportDate,$A634=ReportDate),1,0),0)</f>
        <v>0</v>
      </c>
      <c r="AU634" s="71">
        <f>IF($AK634=1,IF(OR($L634=ReportDate+1,$W634=ReportDate+1,$K634=ReportDate+1,$A634=ReportDate+1),1,0),0)</f>
        <v>0</v>
      </c>
      <c r="AV634" s="71">
        <f>IF(AND($G634&lt;&gt;"",$M634="Completed"),IF(OR($Y634=ReportDate-1,$A634=ReportDate-1),1,0),0)</f>
        <v>0</v>
      </c>
      <c r="AW634" s="71">
        <f>IF(AND($AK634=1,$Z634="Yes"),1,0)</f>
        <v>0</v>
      </c>
      <c r="AX634" s="71">
        <f>IF(AND($AK634=1,$AA634="Yes"),1,0)</f>
        <v>0</v>
      </c>
      <c r="AY634" s="71">
        <f>IF(AND($AM634=1,OR($I634="Critical",$I634="High")),1,0)</f>
        <v>0</v>
      </c>
      <c r="AZ634" s="71">
        <f>IF(AND($AK634=1,OR($C634=TCL_Client,$C634=MECCA_Client)),1,0)</f>
        <v>0</v>
      </c>
      <c r="BA634" s="71" t="str">
        <f>IF($G634="","",IFERROR(MATCH($I634,lst_Priority,0),5))</f>
        <v/>
      </c>
      <c r="BB634" s="71" t="str">
        <f>IF(AND($AL634=1,$AJ634=1),$BA634*100000+ROW(),"")</f>
        <v/>
      </c>
      <c r="BC634" s="71" t="str">
        <f>IF(AND($AM634=1,$AJ634=1),$BA634*100000+ROW(),"")</f>
        <v/>
      </c>
      <c r="BD634" s="71" t="str">
        <f>IF(AND($AP634=1,$AJ634=1),$BA634*100000+ROW(),"")</f>
        <v/>
      </c>
      <c r="BE634" s="71" t="str">
        <f>IF(AND($AT634=1,$AJ634=1),$BA634*100000+ROW(),"")</f>
        <v/>
      </c>
      <c r="BF634" s="71" t="str">
        <f>IF(AND($AU634=1,$AJ634=1),$BA634*100000+ROW(),"")</f>
        <v/>
      </c>
      <c r="BG634" s="71" t="str">
        <f>IF(AND($AV634=1,$AJ634=1),$BA634*100000+ROW(),"")</f>
        <v/>
      </c>
      <c r="BH634" s="71" t="str">
        <f>IF(AND($AW634=1,$AJ634=1),$BA634*100000+ROW(),"")</f>
        <v/>
      </c>
      <c r="BI634" s="71" t="str">
        <f>IF(AND($AX634=1,$AJ634=1),$BA634*100000+ROW(),"")</f>
        <v/>
      </c>
      <c r="BJ634" s="71" t="str">
        <f>IF(AND($AS634=1,$AJ634=1),$BA634*100000+ROW(),"")</f>
        <v/>
      </c>
      <c r="BK634" s="71" t="str">
        <f>IF(AND($AY634=1,$AJ634=1),$BA634*100000+ROW(),"")</f>
        <v/>
      </c>
      <c r="BL634" s="71" t="str">
        <f>IF(AND($AZ634=1),$BA634*100000+ROW(),"")</f>
        <v/>
      </c>
    </row>
    <row r="635">
      <c r="A635" s="63" t="n"/>
      <c r="B635" s="64" t="n"/>
      <c r="C635" s="64" t="n"/>
      <c r="D635" s="64" t="n"/>
      <c r="E635" s="64" t="n"/>
      <c r="F635" s="64" t="n"/>
      <c r="G635" s="65" t="n"/>
      <c r="H635" s="65" t="n"/>
      <c r="I635" s="64" t="n"/>
      <c r="J635" s="64" t="n"/>
      <c r="K635" s="63" t="n"/>
      <c r="L635" s="63" t="n"/>
      <c r="M635" s="64" t="n"/>
      <c r="N635" s="66" t="n"/>
      <c r="O635" s="65" t="n"/>
      <c r="P635" s="64" t="n"/>
      <c r="Q635" s="67" t="n"/>
      <c r="R635" s="67" t="n"/>
      <c r="S635" s="68" t="str">
        <f>IF(AND(ISNUMBER($Q635),ISNUMBER($R635)),$Q635-$R635,"")</f>
        <v/>
      </c>
      <c r="T635" s="65" t="n"/>
      <c r="U635" s="64" t="n"/>
      <c r="V635" s="65" t="n"/>
      <c r="W635" s="63" t="n"/>
      <c r="X635" s="65" t="n"/>
      <c r="Y635" s="63" t="n"/>
      <c r="Z635" s="64" t="n"/>
      <c r="AA635" s="64" t="n"/>
      <c r="AB635" s="65" t="n"/>
      <c r="AC635" s="69" t="str">
        <f>IF(OR($G635="",NOT(ISNUMBER($K635)),$AK635=0),"",MAX(0,ReportDate-$K635))</f>
        <v/>
      </c>
      <c r="AD635" s="69" t="str">
        <f>IF($G635="","",IF($AL635=1,ReportDate-$L635,0))</f>
        <v/>
      </c>
      <c r="AE635" s="70" t="str">
        <f>IF($G635="","",IF($M635="Completed",1,IF(ISNUMBER($N635),$N635,0)))</f>
        <v/>
      </c>
      <c r="AF635" s="70" t="str">
        <f>IF(AND(ISNUMBER($Q635),ISNUMBER($R635)),IF($R635&lt;&gt;0,$Q635/$R635,""),"")</f>
        <v/>
      </c>
      <c r="AG635" s="71" t="str">
        <f>IF($G635="","",IF($AL635=1,"OVERDUE",IF($AM635=1,"BLOCKED",IF($AN635=1,"DUE TODAY",IF($AO635=1,"DUE TOMORROW",IF($AQ635=1,"HIGH PRIORITY",IF($AR635=1,"NO RECENT UPDATE",""))))))) </f>
        <v/>
      </c>
      <c r="AH635" s="71" t="str">
        <f>IF($G635="","",IF(ISNUMBER($A635),IF(ISNUMBER($A635),YEAR($A635)&amp;"-"&amp;TEXT(MONTH($A635),"00"),""),IF(ISNUMBER($L635),IF(ISNUMBER($L635),YEAR($L635)&amp;"-"&amp;TEXT(MONTH($L635),"00"),""),"")))</f>
        <v/>
      </c>
      <c r="AI635" s="71">
        <f>IF($G635="",0,IF(AND(OR(fClient="All",$C635=fClient),OR(fCampaign="All",$D635=fCampaign),OR(fTeam="All",$B635=fTeam),OR(fChannel="All",$F635=fChannel),OR(fMonth="All",$AH635=fMonth),OR(fTStatus="All",$M635=fTStatus)),1,0))</f>
        <v>0</v>
      </c>
      <c r="AJ635" s="71">
        <f>IF($G635="",0,IF(AND(OR(fClient="All",$C635=fClient),OR(fCampaign="All",$D635=fCampaign),OR(fTeam="All",$B635=fTeam),OR(fChannel="All",$F635=fChannel)),1,0))</f>
        <v>0</v>
      </c>
      <c r="AK635" s="71">
        <f>IF($G635="",0,IF(OR($M635="Completed",$M635="Cancelled"),0,1))</f>
        <v>0</v>
      </c>
      <c r="AL635" s="71">
        <f>IF(AND($AK635=1,ISNUMBER($L635)),IF($L635&lt;ReportDate,1,0),0)</f>
        <v>0</v>
      </c>
      <c r="AM635" s="71">
        <f>IF(AND($G635&lt;&gt;"",$M635="Blocked"),1,0)</f>
        <v>0</v>
      </c>
      <c r="AN635" s="71">
        <f>IF(AND($AK635=1,ISNUMBER($L635)),IF($L635=ReportDate,1,0),0)</f>
        <v>0</v>
      </c>
      <c r="AO635" s="71">
        <f>IF(AND($AK635=1,ISNUMBER($L635)),IF($L635=ReportDate+1,1,0),0)</f>
        <v>0</v>
      </c>
      <c r="AP635" s="71">
        <f>IF(AND($AK635=1,ISNUMBER($L635)),IF(AND($L635&gt;=ReportDate,$L635&lt;=ReportDate+DueSoonDays),1,0),0)</f>
        <v>0</v>
      </c>
      <c r="AQ635" s="71">
        <f>IF(AND($AK635=1,OR($I635="Critical",$I635="High")),1,0)</f>
        <v>0</v>
      </c>
      <c r="AR635" s="71">
        <f>IF($AK635=1,IF(ISNUMBER($Y635),IF(ReportDate-$Y635&gt;StaleDays,1,0),1),0)</f>
        <v>0</v>
      </c>
      <c r="AS635" s="71">
        <f>IF(AND($G635&lt;&gt;"",ISNUMBER($Q635),ISNUMBER($R635)),IF(AND($Q635&lt;$R635,OR($M635="Completed",AND(ISNUMBER($L635),$L635&lt;ReportDate))),1,0),0)</f>
        <v>0</v>
      </c>
      <c r="AT635" s="71">
        <f>IF($AK635=1,IF(OR($L635=ReportDate,$W635=ReportDate,$K635=ReportDate,$A635=ReportDate),1,0),0)</f>
        <v>0</v>
      </c>
      <c r="AU635" s="71">
        <f>IF($AK635=1,IF(OR($L635=ReportDate+1,$W635=ReportDate+1,$K635=ReportDate+1,$A635=ReportDate+1),1,0),0)</f>
        <v>0</v>
      </c>
      <c r="AV635" s="71">
        <f>IF(AND($G635&lt;&gt;"",$M635="Completed"),IF(OR($Y635=ReportDate-1,$A635=ReportDate-1),1,0),0)</f>
        <v>0</v>
      </c>
      <c r="AW635" s="71">
        <f>IF(AND($AK635=1,$Z635="Yes"),1,0)</f>
        <v>0</v>
      </c>
      <c r="AX635" s="71">
        <f>IF(AND($AK635=1,$AA635="Yes"),1,0)</f>
        <v>0</v>
      </c>
      <c r="AY635" s="71">
        <f>IF(AND($AM635=1,OR($I635="Critical",$I635="High")),1,0)</f>
        <v>0</v>
      </c>
      <c r="AZ635" s="71">
        <f>IF(AND($AK635=1,OR($C635=TCL_Client,$C635=MECCA_Client)),1,0)</f>
        <v>0</v>
      </c>
      <c r="BA635" s="71" t="str">
        <f>IF($G635="","",IFERROR(MATCH($I635,lst_Priority,0),5))</f>
        <v/>
      </c>
      <c r="BB635" s="71" t="str">
        <f>IF(AND($AL635=1,$AJ635=1),$BA635*100000+ROW(),"")</f>
        <v/>
      </c>
      <c r="BC635" s="71" t="str">
        <f>IF(AND($AM635=1,$AJ635=1),$BA635*100000+ROW(),"")</f>
        <v/>
      </c>
      <c r="BD635" s="71" t="str">
        <f>IF(AND($AP635=1,$AJ635=1),$BA635*100000+ROW(),"")</f>
        <v/>
      </c>
      <c r="BE635" s="71" t="str">
        <f>IF(AND($AT635=1,$AJ635=1),$BA635*100000+ROW(),"")</f>
        <v/>
      </c>
      <c r="BF635" s="71" t="str">
        <f>IF(AND($AU635=1,$AJ635=1),$BA635*100000+ROW(),"")</f>
        <v/>
      </c>
      <c r="BG635" s="71" t="str">
        <f>IF(AND($AV635=1,$AJ635=1),$BA635*100000+ROW(),"")</f>
        <v/>
      </c>
      <c r="BH635" s="71" t="str">
        <f>IF(AND($AW635=1,$AJ635=1),$BA635*100000+ROW(),"")</f>
        <v/>
      </c>
      <c r="BI635" s="71" t="str">
        <f>IF(AND($AX635=1,$AJ635=1),$BA635*100000+ROW(),"")</f>
        <v/>
      </c>
      <c r="BJ635" s="71" t="str">
        <f>IF(AND($AS635=1,$AJ635=1),$BA635*100000+ROW(),"")</f>
        <v/>
      </c>
      <c r="BK635" s="71" t="str">
        <f>IF(AND($AY635=1,$AJ635=1),$BA635*100000+ROW(),"")</f>
        <v/>
      </c>
      <c r="BL635" s="71" t="str">
        <f>IF(AND($AZ635=1),$BA635*100000+ROW(),"")</f>
        <v/>
      </c>
    </row>
    <row r="636">
      <c r="A636" s="63" t="n"/>
      <c r="B636" s="64" t="n"/>
      <c r="C636" s="64" t="n"/>
      <c r="D636" s="64" t="n"/>
      <c r="E636" s="64" t="n"/>
      <c r="F636" s="64" t="n"/>
      <c r="G636" s="65" t="n"/>
      <c r="H636" s="65" t="n"/>
      <c r="I636" s="64" t="n"/>
      <c r="J636" s="64" t="n"/>
      <c r="K636" s="63" t="n"/>
      <c r="L636" s="63" t="n"/>
      <c r="M636" s="64" t="n"/>
      <c r="N636" s="66" t="n"/>
      <c r="O636" s="65" t="n"/>
      <c r="P636" s="64" t="n"/>
      <c r="Q636" s="67" t="n"/>
      <c r="R636" s="67" t="n"/>
      <c r="S636" s="68" t="str">
        <f>IF(AND(ISNUMBER($Q636),ISNUMBER($R636)),$Q636-$R636,"")</f>
        <v/>
      </c>
      <c r="T636" s="65" t="n"/>
      <c r="U636" s="64" t="n"/>
      <c r="V636" s="65" t="n"/>
      <c r="W636" s="63" t="n"/>
      <c r="X636" s="65" t="n"/>
      <c r="Y636" s="63" t="n"/>
      <c r="Z636" s="64" t="n"/>
      <c r="AA636" s="64" t="n"/>
      <c r="AB636" s="65" t="n"/>
      <c r="AC636" s="69" t="str">
        <f>IF(OR($G636="",NOT(ISNUMBER($K636)),$AK636=0),"",MAX(0,ReportDate-$K636))</f>
        <v/>
      </c>
      <c r="AD636" s="69" t="str">
        <f>IF($G636="","",IF($AL636=1,ReportDate-$L636,0))</f>
        <v/>
      </c>
      <c r="AE636" s="70" t="str">
        <f>IF($G636="","",IF($M636="Completed",1,IF(ISNUMBER($N636),$N636,0)))</f>
        <v/>
      </c>
      <c r="AF636" s="70" t="str">
        <f>IF(AND(ISNUMBER($Q636),ISNUMBER($R636)),IF($R636&lt;&gt;0,$Q636/$R636,""),"")</f>
        <v/>
      </c>
      <c r="AG636" s="71" t="str">
        <f>IF($G636="","",IF($AL636=1,"OVERDUE",IF($AM636=1,"BLOCKED",IF($AN636=1,"DUE TODAY",IF($AO636=1,"DUE TOMORROW",IF($AQ636=1,"HIGH PRIORITY",IF($AR636=1,"NO RECENT UPDATE",""))))))) </f>
        <v/>
      </c>
      <c r="AH636" s="71" t="str">
        <f>IF($G636="","",IF(ISNUMBER($A636),IF(ISNUMBER($A636),YEAR($A636)&amp;"-"&amp;TEXT(MONTH($A636),"00"),""),IF(ISNUMBER($L636),IF(ISNUMBER($L636),YEAR($L636)&amp;"-"&amp;TEXT(MONTH($L636),"00"),""),"")))</f>
        <v/>
      </c>
      <c r="AI636" s="71">
        <f>IF($G636="",0,IF(AND(OR(fClient="All",$C636=fClient),OR(fCampaign="All",$D636=fCampaign),OR(fTeam="All",$B636=fTeam),OR(fChannel="All",$F636=fChannel),OR(fMonth="All",$AH636=fMonth),OR(fTStatus="All",$M636=fTStatus)),1,0))</f>
        <v>0</v>
      </c>
      <c r="AJ636" s="71">
        <f>IF($G636="",0,IF(AND(OR(fClient="All",$C636=fClient),OR(fCampaign="All",$D636=fCampaign),OR(fTeam="All",$B636=fTeam),OR(fChannel="All",$F636=fChannel)),1,0))</f>
        <v>0</v>
      </c>
      <c r="AK636" s="71">
        <f>IF($G636="",0,IF(OR($M636="Completed",$M636="Cancelled"),0,1))</f>
        <v>0</v>
      </c>
      <c r="AL636" s="71">
        <f>IF(AND($AK636=1,ISNUMBER($L636)),IF($L636&lt;ReportDate,1,0),0)</f>
        <v>0</v>
      </c>
      <c r="AM636" s="71">
        <f>IF(AND($G636&lt;&gt;"",$M636="Blocked"),1,0)</f>
        <v>0</v>
      </c>
      <c r="AN636" s="71">
        <f>IF(AND($AK636=1,ISNUMBER($L636)),IF($L636=ReportDate,1,0),0)</f>
        <v>0</v>
      </c>
      <c r="AO636" s="71">
        <f>IF(AND($AK636=1,ISNUMBER($L636)),IF($L636=ReportDate+1,1,0),0)</f>
        <v>0</v>
      </c>
      <c r="AP636" s="71">
        <f>IF(AND($AK636=1,ISNUMBER($L636)),IF(AND($L636&gt;=ReportDate,$L636&lt;=ReportDate+DueSoonDays),1,0),0)</f>
        <v>0</v>
      </c>
      <c r="AQ636" s="71">
        <f>IF(AND($AK636=1,OR($I636="Critical",$I636="High")),1,0)</f>
        <v>0</v>
      </c>
      <c r="AR636" s="71">
        <f>IF($AK636=1,IF(ISNUMBER($Y636),IF(ReportDate-$Y636&gt;StaleDays,1,0),1),0)</f>
        <v>0</v>
      </c>
      <c r="AS636" s="71">
        <f>IF(AND($G636&lt;&gt;"",ISNUMBER($Q636),ISNUMBER($R636)),IF(AND($Q636&lt;$R636,OR($M636="Completed",AND(ISNUMBER($L636),$L636&lt;ReportDate))),1,0),0)</f>
        <v>0</v>
      </c>
      <c r="AT636" s="71">
        <f>IF($AK636=1,IF(OR($L636=ReportDate,$W636=ReportDate,$K636=ReportDate,$A636=ReportDate),1,0),0)</f>
        <v>0</v>
      </c>
      <c r="AU636" s="71">
        <f>IF($AK636=1,IF(OR($L636=ReportDate+1,$W636=ReportDate+1,$K636=ReportDate+1,$A636=ReportDate+1),1,0),0)</f>
        <v>0</v>
      </c>
      <c r="AV636" s="71">
        <f>IF(AND($G636&lt;&gt;"",$M636="Completed"),IF(OR($Y636=ReportDate-1,$A636=ReportDate-1),1,0),0)</f>
        <v>0</v>
      </c>
      <c r="AW636" s="71">
        <f>IF(AND($AK636=1,$Z636="Yes"),1,0)</f>
        <v>0</v>
      </c>
      <c r="AX636" s="71">
        <f>IF(AND($AK636=1,$AA636="Yes"),1,0)</f>
        <v>0</v>
      </c>
      <c r="AY636" s="71">
        <f>IF(AND($AM636=1,OR($I636="Critical",$I636="High")),1,0)</f>
        <v>0</v>
      </c>
      <c r="AZ636" s="71">
        <f>IF(AND($AK636=1,OR($C636=TCL_Client,$C636=MECCA_Client)),1,0)</f>
        <v>0</v>
      </c>
      <c r="BA636" s="71" t="str">
        <f>IF($G636="","",IFERROR(MATCH($I636,lst_Priority,0),5))</f>
        <v/>
      </c>
      <c r="BB636" s="71" t="str">
        <f>IF(AND($AL636=1,$AJ636=1),$BA636*100000+ROW(),"")</f>
        <v/>
      </c>
      <c r="BC636" s="71" t="str">
        <f>IF(AND($AM636=1,$AJ636=1),$BA636*100000+ROW(),"")</f>
        <v/>
      </c>
      <c r="BD636" s="71" t="str">
        <f>IF(AND($AP636=1,$AJ636=1),$BA636*100000+ROW(),"")</f>
        <v/>
      </c>
      <c r="BE636" s="71" t="str">
        <f>IF(AND($AT636=1,$AJ636=1),$BA636*100000+ROW(),"")</f>
        <v/>
      </c>
      <c r="BF636" s="71" t="str">
        <f>IF(AND($AU636=1,$AJ636=1),$BA636*100000+ROW(),"")</f>
        <v/>
      </c>
      <c r="BG636" s="71" t="str">
        <f>IF(AND($AV636=1,$AJ636=1),$BA636*100000+ROW(),"")</f>
        <v/>
      </c>
      <c r="BH636" s="71" t="str">
        <f>IF(AND($AW636=1,$AJ636=1),$BA636*100000+ROW(),"")</f>
        <v/>
      </c>
      <c r="BI636" s="71" t="str">
        <f>IF(AND($AX636=1,$AJ636=1),$BA636*100000+ROW(),"")</f>
        <v/>
      </c>
      <c r="BJ636" s="71" t="str">
        <f>IF(AND($AS636=1,$AJ636=1),$BA636*100000+ROW(),"")</f>
        <v/>
      </c>
      <c r="BK636" s="71" t="str">
        <f>IF(AND($AY636=1,$AJ636=1),$BA636*100000+ROW(),"")</f>
        <v/>
      </c>
      <c r="BL636" s="71" t="str">
        <f>IF(AND($AZ636=1),$BA636*100000+ROW(),"")</f>
        <v/>
      </c>
    </row>
    <row r="637">
      <c r="A637" s="63" t="n"/>
      <c r="B637" s="64" t="n"/>
      <c r="C637" s="64" t="n"/>
      <c r="D637" s="64" t="n"/>
      <c r="E637" s="64" t="n"/>
      <c r="F637" s="64" t="n"/>
      <c r="G637" s="65" t="n"/>
      <c r="H637" s="65" t="n"/>
      <c r="I637" s="64" t="n"/>
      <c r="J637" s="64" t="n"/>
      <c r="K637" s="63" t="n"/>
      <c r="L637" s="63" t="n"/>
      <c r="M637" s="64" t="n"/>
      <c r="N637" s="66" t="n"/>
      <c r="O637" s="65" t="n"/>
      <c r="P637" s="64" t="n"/>
      <c r="Q637" s="67" t="n"/>
      <c r="R637" s="67" t="n"/>
      <c r="S637" s="68" t="str">
        <f>IF(AND(ISNUMBER($Q637),ISNUMBER($R637)),$Q637-$R637,"")</f>
        <v/>
      </c>
      <c r="T637" s="65" t="n"/>
      <c r="U637" s="64" t="n"/>
      <c r="V637" s="65" t="n"/>
      <c r="W637" s="63" t="n"/>
      <c r="X637" s="65" t="n"/>
      <c r="Y637" s="63" t="n"/>
      <c r="Z637" s="64" t="n"/>
      <c r="AA637" s="64" t="n"/>
      <c r="AB637" s="65" t="n"/>
      <c r="AC637" s="69" t="str">
        <f>IF(OR($G637="",NOT(ISNUMBER($K637)),$AK637=0),"",MAX(0,ReportDate-$K637))</f>
        <v/>
      </c>
      <c r="AD637" s="69" t="str">
        <f>IF($G637="","",IF($AL637=1,ReportDate-$L637,0))</f>
        <v/>
      </c>
      <c r="AE637" s="70" t="str">
        <f>IF($G637="","",IF($M637="Completed",1,IF(ISNUMBER($N637),$N637,0)))</f>
        <v/>
      </c>
      <c r="AF637" s="70" t="str">
        <f>IF(AND(ISNUMBER($Q637),ISNUMBER($R637)),IF($R637&lt;&gt;0,$Q637/$R637,""),"")</f>
        <v/>
      </c>
      <c r="AG637" s="71" t="str">
        <f>IF($G637="","",IF($AL637=1,"OVERDUE",IF($AM637=1,"BLOCKED",IF($AN637=1,"DUE TODAY",IF($AO637=1,"DUE TOMORROW",IF($AQ637=1,"HIGH PRIORITY",IF($AR637=1,"NO RECENT UPDATE",""))))))) </f>
        <v/>
      </c>
      <c r="AH637" s="71" t="str">
        <f>IF($G637="","",IF(ISNUMBER($A637),IF(ISNUMBER($A637),YEAR($A637)&amp;"-"&amp;TEXT(MONTH($A637),"00"),""),IF(ISNUMBER($L637),IF(ISNUMBER($L637),YEAR($L637)&amp;"-"&amp;TEXT(MONTH($L637),"00"),""),"")))</f>
        <v/>
      </c>
      <c r="AI637" s="71">
        <f>IF($G637="",0,IF(AND(OR(fClient="All",$C637=fClient),OR(fCampaign="All",$D637=fCampaign),OR(fTeam="All",$B637=fTeam),OR(fChannel="All",$F637=fChannel),OR(fMonth="All",$AH637=fMonth),OR(fTStatus="All",$M637=fTStatus)),1,0))</f>
        <v>0</v>
      </c>
      <c r="AJ637" s="71">
        <f>IF($G637="",0,IF(AND(OR(fClient="All",$C637=fClient),OR(fCampaign="All",$D637=fCampaign),OR(fTeam="All",$B637=fTeam),OR(fChannel="All",$F637=fChannel)),1,0))</f>
        <v>0</v>
      </c>
      <c r="AK637" s="71">
        <f>IF($G637="",0,IF(OR($M637="Completed",$M637="Cancelled"),0,1))</f>
        <v>0</v>
      </c>
      <c r="AL637" s="71">
        <f>IF(AND($AK637=1,ISNUMBER($L637)),IF($L637&lt;ReportDate,1,0),0)</f>
        <v>0</v>
      </c>
      <c r="AM637" s="71">
        <f>IF(AND($G637&lt;&gt;"",$M637="Blocked"),1,0)</f>
        <v>0</v>
      </c>
      <c r="AN637" s="71">
        <f>IF(AND($AK637=1,ISNUMBER($L637)),IF($L637=ReportDate,1,0),0)</f>
        <v>0</v>
      </c>
      <c r="AO637" s="71">
        <f>IF(AND($AK637=1,ISNUMBER($L637)),IF($L637=ReportDate+1,1,0),0)</f>
        <v>0</v>
      </c>
      <c r="AP637" s="71">
        <f>IF(AND($AK637=1,ISNUMBER($L637)),IF(AND($L637&gt;=ReportDate,$L637&lt;=ReportDate+DueSoonDays),1,0),0)</f>
        <v>0</v>
      </c>
      <c r="AQ637" s="71">
        <f>IF(AND($AK637=1,OR($I637="Critical",$I637="High")),1,0)</f>
        <v>0</v>
      </c>
      <c r="AR637" s="71">
        <f>IF($AK637=1,IF(ISNUMBER($Y637),IF(ReportDate-$Y637&gt;StaleDays,1,0),1),0)</f>
        <v>0</v>
      </c>
      <c r="AS637" s="71">
        <f>IF(AND($G637&lt;&gt;"",ISNUMBER($Q637),ISNUMBER($R637)),IF(AND($Q637&lt;$R637,OR($M637="Completed",AND(ISNUMBER($L637),$L637&lt;ReportDate))),1,0),0)</f>
        <v>0</v>
      </c>
      <c r="AT637" s="71">
        <f>IF($AK637=1,IF(OR($L637=ReportDate,$W637=ReportDate,$K637=ReportDate,$A637=ReportDate),1,0),0)</f>
        <v>0</v>
      </c>
      <c r="AU637" s="71">
        <f>IF($AK637=1,IF(OR($L637=ReportDate+1,$W637=ReportDate+1,$K637=ReportDate+1,$A637=ReportDate+1),1,0),0)</f>
        <v>0</v>
      </c>
      <c r="AV637" s="71">
        <f>IF(AND($G637&lt;&gt;"",$M637="Completed"),IF(OR($Y637=ReportDate-1,$A637=ReportDate-1),1,0),0)</f>
        <v>0</v>
      </c>
      <c r="AW637" s="71">
        <f>IF(AND($AK637=1,$Z637="Yes"),1,0)</f>
        <v>0</v>
      </c>
      <c r="AX637" s="71">
        <f>IF(AND($AK637=1,$AA637="Yes"),1,0)</f>
        <v>0</v>
      </c>
      <c r="AY637" s="71">
        <f>IF(AND($AM637=1,OR($I637="Critical",$I637="High")),1,0)</f>
        <v>0</v>
      </c>
      <c r="AZ637" s="71">
        <f>IF(AND($AK637=1,OR($C637=TCL_Client,$C637=MECCA_Client)),1,0)</f>
        <v>0</v>
      </c>
      <c r="BA637" s="71" t="str">
        <f>IF($G637="","",IFERROR(MATCH($I637,lst_Priority,0),5))</f>
        <v/>
      </c>
      <c r="BB637" s="71" t="str">
        <f>IF(AND($AL637=1,$AJ637=1),$BA637*100000+ROW(),"")</f>
        <v/>
      </c>
      <c r="BC637" s="71" t="str">
        <f>IF(AND($AM637=1,$AJ637=1),$BA637*100000+ROW(),"")</f>
        <v/>
      </c>
      <c r="BD637" s="71" t="str">
        <f>IF(AND($AP637=1,$AJ637=1),$BA637*100000+ROW(),"")</f>
        <v/>
      </c>
      <c r="BE637" s="71" t="str">
        <f>IF(AND($AT637=1,$AJ637=1),$BA637*100000+ROW(),"")</f>
        <v/>
      </c>
      <c r="BF637" s="71" t="str">
        <f>IF(AND($AU637=1,$AJ637=1),$BA637*100000+ROW(),"")</f>
        <v/>
      </c>
      <c r="BG637" s="71" t="str">
        <f>IF(AND($AV637=1,$AJ637=1),$BA637*100000+ROW(),"")</f>
        <v/>
      </c>
      <c r="BH637" s="71" t="str">
        <f>IF(AND($AW637=1,$AJ637=1),$BA637*100000+ROW(),"")</f>
        <v/>
      </c>
      <c r="BI637" s="71" t="str">
        <f>IF(AND($AX637=1,$AJ637=1),$BA637*100000+ROW(),"")</f>
        <v/>
      </c>
      <c r="BJ637" s="71" t="str">
        <f>IF(AND($AS637=1,$AJ637=1),$BA637*100000+ROW(),"")</f>
        <v/>
      </c>
      <c r="BK637" s="71" t="str">
        <f>IF(AND($AY637=1,$AJ637=1),$BA637*100000+ROW(),"")</f>
        <v/>
      </c>
      <c r="BL637" s="71" t="str">
        <f>IF(AND($AZ637=1),$BA637*100000+ROW(),"")</f>
        <v/>
      </c>
    </row>
    <row r="638">
      <c r="A638" s="63" t="n"/>
      <c r="B638" s="64" t="n"/>
      <c r="C638" s="64" t="n"/>
      <c r="D638" s="64" t="n"/>
      <c r="E638" s="64" t="n"/>
      <c r="F638" s="64" t="n"/>
      <c r="G638" s="65" t="n"/>
      <c r="H638" s="65" t="n"/>
      <c r="I638" s="64" t="n"/>
      <c r="J638" s="64" t="n"/>
      <c r="K638" s="63" t="n"/>
      <c r="L638" s="63" t="n"/>
      <c r="M638" s="64" t="n"/>
      <c r="N638" s="66" t="n"/>
      <c r="O638" s="65" t="n"/>
      <c r="P638" s="64" t="n"/>
      <c r="Q638" s="67" t="n"/>
      <c r="R638" s="67" t="n"/>
      <c r="S638" s="68" t="str">
        <f>IF(AND(ISNUMBER($Q638),ISNUMBER($R638)),$Q638-$R638,"")</f>
        <v/>
      </c>
      <c r="T638" s="65" t="n"/>
      <c r="U638" s="64" t="n"/>
      <c r="V638" s="65" t="n"/>
      <c r="W638" s="63" t="n"/>
      <c r="X638" s="65" t="n"/>
      <c r="Y638" s="63" t="n"/>
      <c r="Z638" s="64" t="n"/>
      <c r="AA638" s="64" t="n"/>
      <c r="AB638" s="65" t="n"/>
      <c r="AC638" s="69" t="str">
        <f>IF(OR($G638="",NOT(ISNUMBER($K638)),$AK638=0),"",MAX(0,ReportDate-$K638))</f>
        <v/>
      </c>
      <c r="AD638" s="69" t="str">
        <f>IF($G638="","",IF($AL638=1,ReportDate-$L638,0))</f>
        <v/>
      </c>
      <c r="AE638" s="70" t="str">
        <f>IF($G638="","",IF($M638="Completed",1,IF(ISNUMBER($N638),$N638,0)))</f>
        <v/>
      </c>
      <c r="AF638" s="70" t="str">
        <f>IF(AND(ISNUMBER($Q638),ISNUMBER($R638)),IF($R638&lt;&gt;0,$Q638/$R638,""),"")</f>
        <v/>
      </c>
      <c r="AG638" s="71" t="str">
        <f>IF($G638="","",IF($AL638=1,"OVERDUE",IF($AM638=1,"BLOCKED",IF($AN638=1,"DUE TODAY",IF($AO638=1,"DUE TOMORROW",IF($AQ638=1,"HIGH PRIORITY",IF($AR638=1,"NO RECENT UPDATE",""))))))) </f>
        <v/>
      </c>
      <c r="AH638" s="71" t="str">
        <f>IF($G638="","",IF(ISNUMBER($A638),IF(ISNUMBER($A638),YEAR($A638)&amp;"-"&amp;TEXT(MONTH($A638),"00"),""),IF(ISNUMBER($L638),IF(ISNUMBER($L638),YEAR($L638)&amp;"-"&amp;TEXT(MONTH($L638),"00"),""),"")))</f>
        <v/>
      </c>
      <c r="AI638" s="71">
        <f>IF($G638="",0,IF(AND(OR(fClient="All",$C638=fClient),OR(fCampaign="All",$D638=fCampaign),OR(fTeam="All",$B638=fTeam),OR(fChannel="All",$F638=fChannel),OR(fMonth="All",$AH638=fMonth),OR(fTStatus="All",$M638=fTStatus)),1,0))</f>
        <v>0</v>
      </c>
      <c r="AJ638" s="71">
        <f>IF($G638="",0,IF(AND(OR(fClient="All",$C638=fClient),OR(fCampaign="All",$D638=fCampaign),OR(fTeam="All",$B638=fTeam),OR(fChannel="All",$F638=fChannel)),1,0))</f>
        <v>0</v>
      </c>
      <c r="AK638" s="71">
        <f>IF($G638="",0,IF(OR($M638="Completed",$M638="Cancelled"),0,1))</f>
        <v>0</v>
      </c>
      <c r="AL638" s="71">
        <f>IF(AND($AK638=1,ISNUMBER($L638)),IF($L638&lt;ReportDate,1,0),0)</f>
        <v>0</v>
      </c>
      <c r="AM638" s="71">
        <f>IF(AND($G638&lt;&gt;"",$M638="Blocked"),1,0)</f>
        <v>0</v>
      </c>
      <c r="AN638" s="71">
        <f>IF(AND($AK638=1,ISNUMBER($L638)),IF($L638=ReportDate,1,0),0)</f>
        <v>0</v>
      </c>
      <c r="AO638" s="71">
        <f>IF(AND($AK638=1,ISNUMBER($L638)),IF($L638=ReportDate+1,1,0),0)</f>
        <v>0</v>
      </c>
      <c r="AP638" s="71">
        <f>IF(AND($AK638=1,ISNUMBER($L638)),IF(AND($L638&gt;=ReportDate,$L638&lt;=ReportDate+DueSoonDays),1,0),0)</f>
        <v>0</v>
      </c>
      <c r="AQ638" s="71">
        <f>IF(AND($AK638=1,OR($I638="Critical",$I638="High")),1,0)</f>
        <v>0</v>
      </c>
      <c r="AR638" s="71">
        <f>IF($AK638=1,IF(ISNUMBER($Y638),IF(ReportDate-$Y638&gt;StaleDays,1,0),1),0)</f>
        <v>0</v>
      </c>
      <c r="AS638" s="71">
        <f>IF(AND($G638&lt;&gt;"",ISNUMBER($Q638),ISNUMBER($R638)),IF(AND($Q638&lt;$R638,OR($M638="Completed",AND(ISNUMBER($L638),$L638&lt;ReportDate))),1,0),0)</f>
        <v>0</v>
      </c>
      <c r="AT638" s="71">
        <f>IF($AK638=1,IF(OR($L638=ReportDate,$W638=ReportDate,$K638=ReportDate,$A638=ReportDate),1,0),0)</f>
        <v>0</v>
      </c>
      <c r="AU638" s="71">
        <f>IF($AK638=1,IF(OR($L638=ReportDate+1,$W638=ReportDate+1,$K638=ReportDate+1,$A638=ReportDate+1),1,0),0)</f>
        <v>0</v>
      </c>
      <c r="AV638" s="71">
        <f>IF(AND($G638&lt;&gt;"",$M638="Completed"),IF(OR($Y638=ReportDate-1,$A638=ReportDate-1),1,0),0)</f>
        <v>0</v>
      </c>
      <c r="AW638" s="71">
        <f>IF(AND($AK638=1,$Z638="Yes"),1,0)</f>
        <v>0</v>
      </c>
      <c r="AX638" s="71">
        <f>IF(AND($AK638=1,$AA638="Yes"),1,0)</f>
        <v>0</v>
      </c>
      <c r="AY638" s="71">
        <f>IF(AND($AM638=1,OR($I638="Critical",$I638="High")),1,0)</f>
        <v>0</v>
      </c>
      <c r="AZ638" s="71">
        <f>IF(AND($AK638=1,OR($C638=TCL_Client,$C638=MECCA_Client)),1,0)</f>
        <v>0</v>
      </c>
      <c r="BA638" s="71" t="str">
        <f>IF($G638="","",IFERROR(MATCH($I638,lst_Priority,0),5))</f>
        <v/>
      </c>
      <c r="BB638" s="71" t="str">
        <f>IF(AND($AL638=1,$AJ638=1),$BA638*100000+ROW(),"")</f>
        <v/>
      </c>
      <c r="BC638" s="71" t="str">
        <f>IF(AND($AM638=1,$AJ638=1),$BA638*100000+ROW(),"")</f>
        <v/>
      </c>
      <c r="BD638" s="71" t="str">
        <f>IF(AND($AP638=1,$AJ638=1),$BA638*100000+ROW(),"")</f>
        <v/>
      </c>
      <c r="BE638" s="71" t="str">
        <f>IF(AND($AT638=1,$AJ638=1),$BA638*100000+ROW(),"")</f>
        <v/>
      </c>
      <c r="BF638" s="71" t="str">
        <f>IF(AND($AU638=1,$AJ638=1),$BA638*100000+ROW(),"")</f>
        <v/>
      </c>
      <c r="BG638" s="71" t="str">
        <f>IF(AND($AV638=1,$AJ638=1),$BA638*100000+ROW(),"")</f>
        <v/>
      </c>
      <c r="BH638" s="71" t="str">
        <f>IF(AND($AW638=1,$AJ638=1),$BA638*100000+ROW(),"")</f>
        <v/>
      </c>
      <c r="BI638" s="71" t="str">
        <f>IF(AND($AX638=1,$AJ638=1),$BA638*100000+ROW(),"")</f>
        <v/>
      </c>
      <c r="BJ638" s="71" t="str">
        <f>IF(AND($AS638=1,$AJ638=1),$BA638*100000+ROW(),"")</f>
        <v/>
      </c>
      <c r="BK638" s="71" t="str">
        <f>IF(AND($AY638=1,$AJ638=1),$BA638*100000+ROW(),"")</f>
        <v/>
      </c>
      <c r="BL638" s="71" t="str">
        <f>IF(AND($AZ638=1),$BA638*100000+ROW(),"")</f>
        <v/>
      </c>
    </row>
    <row r="639">
      <c r="A639" s="63" t="n"/>
      <c r="B639" s="64" t="n"/>
      <c r="C639" s="64" t="n"/>
      <c r="D639" s="64" t="n"/>
      <c r="E639" s="64" t="n"/>
      <c r="F639" s="64" t="n"/>
      <c r="G639" s="65" t="n"/>
      <c r="H639" s="65" t="n"/>
      <c r="I639" s="64" t="n"/>
      <c r="J639" s="64" t="n"/>
      <c r="K639" s="63" t="n"/>
      <c r="L639" s="63" t="n"/>
      <c r="M639" s="64" t="n"/>
      <c r="N639" s="66" t="n"/>
      <c r="O639" s="65" t="n"/>
      <c r="P639" s="64" t="n"/>
      <c r="Q639" s="67" t="n"/>
      <c r="R639" s="67" t="n"/>
      <c r="S639" s="68" t="str">
        <f>IF(AND(ISNUMBER($Q639),ISNUMBER($R639)),$Q639-$R639,"")</f>
        <v/>
      </c>
      <c r="T639" s="65" t="n"/>
      <c r="U639" s="64" t="n"/>
      <c r="V639" s="65" t="n"/>
      <c r="W639" s="63" t="n"/>
      <c r="X639" s="65" t="n"/>
      <c r="Y639" s="63" t="n"/>
      <c r="Z639" s="64" t="n"/>
      <c r="AA639" s="64" t="n"/>
      <c r="AB639" s="65" t="n"/>
      <c r="AC639" s="69" t="str">
        <f>IF(OR($G639="",NOT(ISNUMBER($K639)),$AK639=0),"",MAX(0,ReportDate-$K639))</f>
        <v/>
      </c>
      <c r="AD639" s="69" t="str">
        <f>IF($G639="","",IF($AL639=1,ReportDate-$L639,0))</f>
        <v/>
      </c>
      <c r="AE639" s="70" t="str">
        <f>IF($G639="","",IF($M639="Completed",1,IF(ISNUMBER($N639),$N639,0)))</f>
        <v/>
      </c>
      <c r="AF639" s="70" t="str">
        <f>IF(AND(ISNUMBER($Q639),ISNUMBER($R639)),IF($R639&lt;&gt;0,$Q639/$R639,""),"")</f>
        <v/>
      </c>
      <c r="AG639" s="71" t="str">
        <f>IF($G639="","",IF($AL639=1,"OVERDUE",IF($AM639=1,"BLOCKED",IF($AN639=1,"DUE TODAY",IF($AO639=1,"DUE TOMORROW",IF($AQ639=1,"HIGH PRIORITY",IF($AR639=1,"NO RECENT UPDATE",""))))))) </f>
        <v/>
      </c>
      <c r="AH639" s="71" t="str">
        <f>IF($G639="","",IF(ISNUMBER($A639),IF(ISNUMBER($A639),YEAR($A639)&amp;"-"&amp;TEXT(MONTH($A639),"00"),""),IF(ISNUMBER($L639),IF(ISNUMBER($L639),YEAR($L639)&amp;"-"&amp;TEXT(MONTH($L639),"00"),""),"")))</f>
        <v/>
      </c>
      <c r="AI639" s="71">
        <f>IF($G639="",0,IF(AND(OR(fClient="All",$C639=fClient),OR(fCampaign="All",$D639=fCampaign),OR(fTeam="All",$B639=fTeam),OR(fChannel="All",$F639=fChannel),OR(fMonth="All",$AH639=fMonth),OR(fTStatus="All",$M639=fTStatus)),1,0))</f>
        <v>0</v>
      </c>
      <c r="AJ639" s="71">
        <f>IF($G639="",0,IF(AND(OR(fClient="All",$C639=fClient),OR(fCampaign="All",$D639=fCampaign),OR(fTeam="All",$B639=fTeam),OR(fChannel="All",$F639=fChannel)),1,0))</f>
        <v>0</v>
      </c>
      <c r="AK639" s="71">
        <f>IF($G639="",0,IF(OR($M639="Completed",$M639="Cancelled"),0,1))</f>
        <v>0</v>
      </c>
      <c r="AL639" s="71">
        <f>IF(AND($AK639=1,ISNUMBER($L639)),IF($L639&lt;ReportDate,1,0),0)</f>
        <v>0</v>
      </c>
      <c r="AM639" s="71">
        <f>IF(AND($G639&lt;&gt;"",$M639="Blocked"),1,0)</f>
        <v>0</v>
      </c>
      <c r="AN639" s="71">
        <f>IF(AND($AK639=1,ISNUMBER($L639)),IF($L639=ReportDate,1,0),0)</f>
        <v>0</v>
      </c>
      <c r="AO639" s="71">
        <f>IF(AND($AK639=1,ISNUMBER($L639)),IF($L639=ReportDate+1,1,0),0)</f>
        <v>0</v>
      </c>
      <c r="AP639" s="71">
        <f>IF(AND($AK639=1,ISNUMBER($L639)),IF(AND($L639&gt;=ReportDate,$L639&lt;=ReportDate+DueSoonDays),1,0),0)</f>
        <v>0</v>
      </c>
      <c r="AQ639" s="71">
        <f>IF(AND($AK639=1,OR($I639="Critical",$I639="High")),1,0)</f>
        <v>0</v>
      </c>
      <c r="AR639" s="71">
        <f>IF($AK639=1,IF(ISNUMBER($Y639),IF(ReportDate-$Y639&gt;StaleDays,1,0),1),0)</f>
        <v>0</v>
      </c>
      <c r="AS639" s="71">
        <f>IF(AND($G639&lt;&gt;"",ISNUMBER($Q639),ISNUMBER($R639)),IF(AND($Q639&lt;$R639,OR($M639="Completed",AND(ISNUMBER($L639),$L639&lt;ReportDate))),1,0),0)</f>
        <v>0</v>
      </c>
      <c r="AT639" s="71">
        <f>IF($AK639=1,IF(OR($L639=ReportDate,$W639=ReportDate,$K639=ReportDate,$A639=ReportDate),1,0),0)</f>
        <v>0</v>
      </c>
      <c r="AU639" s="71">
        <f>IF($AK639=1,IF(OR($L639=ReportDate+1,$W639=ReportDate+1,$K639=ReportDate+1,$A639=ReportDate+1),1,0),0)</f>
        <v>0</v>
      </c>
      <c r="AV639" s="71">
        <f>IF(AND($G639&lt;&gt;"",$M639="Completed"),IF(OR($Y639=ReportDate-1,$A639=ReportDate-1),1,0),0)</f>
        <v>0</v>
      </c>
      <c r="AW639" s="71">
        <f>IF(AND($AK639=1,$Z639="Yes"),1,0)</f>
        <v>0</v>
      </c>
      <c r="AX639" s="71">
        <f>IF(AND($AK639=1,$AA639="Yes"),1,0)</f>
        <v>0</v>
      </c>
      <c r="AY639" s="71">
        <f>IF(AND($AM639=1,OR($I639="Critical",$I639="High")),1,0)</f>
        <v>0</v>
      </c>
      <c r="AZ639" s="71">
        <f>IF(AND($AK639=1,OR($C639=TCL_Client,$C639=MECCA_Client)),1,0)</f>
        <v>0</v>
      </c>
      <c r="BA639" s="71" t="str">
        <f>IF($G639="","",IFERROR(MATCH($I639,lst_Priority,0),5))</f>
        <v/>
      </c>
      <c r="BB639" s="71" t="str">
        <f>IF(AND($AL639=1,$AJ639=1),$BA639*100000+ROW(),"")</f>
        <v/>
      </c>
      <c r="BC639" s="71" t="str">
        <f>IF(AND($AM639=1,$AJ639=1),$BA639*100000+ROW(),"")</f>
        <v/>
      </c>
      <c r="BD639" s="71" t="str">
        <f>IF(AND($AP639=1,$AJ639=1),$BA639*100000+ROW(),"")</f>
        <v/>
      </c>
      <c r="BE639" s="71" t="str">
        <f>IF(AND($AT639=1,$AJ639=1),$BA639*100000+ROW(),"")</f>
        <v/>
      </c>
      <c r="BF639" s="71" t="str">
        <f>IF(AND($AU639=1,$AJ639=1),$BA639*100000+ROW(),"")</f>
        <v/>
      </c>
      <c r="BG639" s="71" t="str">
        <f>IF(AND($AV639=1,$AJ639=1),$BA639*100000+ROW(),"")</f>
        <v/>
      </c>
      <c r="BH639" s="71" t="str">
        <f>IF(AND($AW639=1,$AJ639=1),$BA639*100000+ROW(),"")</f>
        <v/>
      </c>
      <c r="BI639" s="71" t="str">
        <f>IF(AND($AX639=1,$AJ639=1),$BA639*100000+ROW(),"")</f>
        <v/>
      </c>
      <c r="BJ639" s="71" t="str">
        <f>IF(AND($AS639=1,$AJ639=1),$BA639*100000+ROW(),"")</f>
        <v/>
      </c>
      <c r="BK639" s="71" t="str">
        <f>IF(AND($AY639=1,$AJ639=1),$BA639*100000+ROW(),"")</f>
        <v/>
      </c>
      <c r="BL639" s="71" t="str">
        <f>IF(AND($AZ639=1),$BA639*100000+ROW(),"")</f>
        <v/>
      </c>
    </row>
    <row r="640">
      <c r="A640" s="63" t="n"/>
      <c r="B640" s="64" t="n"/>
      <c r="C640" s="64" t="n"/>
      <c r="D640" s="64" t="n"/>
      <c r="E640" s="64" t="n"/>
      <c r="F640" s="64" t="n"/>
      <c r="G640" s="65" t="n"/>
      <c r="H640" s="65" t="n"/>
      <c r="I640" s="64" t="n"/>
      <c r="J640" s="64" t="n"/>
      <c r="K640" s="63" t="n"/>
      <c r="L640" s="63" t="n"/>
      <c r="M640" s="64" t="n"/>
      <c r="N640" s="66" t="n"/>
      <c r="O640" s="65" t="n"/>
      <c r="P640" s="64" t="n"/>
      <c r="Q640" s="67" t="n"/>
      <c r="R640" s="67" t="n"/>
      <c r="S640" s="68" t="str">
        <f>IF(AND(ISNUMBER($Q640),ISNUMBER($R640)),$Q640-$R640,"")</f>
        <v/>
      </c>
      <c r="T640" s="65" t="n"/>
      <c r="U640" s="64" t="n"/>
      <c r="V640" s="65" t="n"/>
      <c r="W640" s="63" t="n"/>
      <c r="X640" s="65" t="n"/>
      <c r="Y640" s="63" t="n"/>
      <c r="Z640" s="64" t="n"/>
      <c r="AA640" s="64" t="n"/>
      <c r="AB640" s="65" t="n"/>
      <c r="AC640" s="69" t="str">
        <f>IF(OR($G640="",NOT(ISNUMBER($K640)),$AK640=0),"",MAX(0,ReportDate-$K640))</f>
        <v/>
      </c>
      <c r="AD640" s="69" t="str">
        <f>IF($G640="","",IF($AL640=1,ReportDate-$L640,0))</f>
        <v/>
      </c>
      <c r="AE640" s="70" t="str">
        <f>IF($G640="","",IF($M640="Completed",1,IF(ISNUMBER($N640),$N640,0)))</f>
        <v/>
      </c>
      <c r="AF640" s="70" t="str">
        <f>IF(AND(ISNUMBER($Q640),ISNUMBER($R640)),IF($R640&lt;&gt;0,$Q640/$R640,""),"")</f>
        <v/>
      </c>
      <c r="AG640" s="71" t="str">
        <f>IF($G640="","",IF($AL640=1,"OVERDUE",IF($AM640=1,"BLOCKED",IF($AN640=1,"DUE TODAY",IF($AO640=1,"DUE TOMORROW",IF($AQ640=1,"HIGH PRIORITY",IF($AR640=1,"NO RECENT UPDATE",""))))))) </f>
        <v/>
      </c>
      <c r="AH640" s="71" t="str">
        <f>IF($G640="","",IF(ISNUMBER($A640),IF(ISNUMBER($A640),YEAR($A640)&amp;"-"&amp;TEXT(MONTH($A640),"00"),""),IF(ISNUMBER($L640),IF(ISNUMBER($L640),YEAR($L640)&amp;"-"&amp;TEXT(MONTH($L640),"00"),""),"")))</f>
        <v/>
      </c>
      <c r="AI640" s="71">
        <f>IF($G640="",0,IF(AND(OR(fClient="All",$C640=fClient),OR(fCampaign="All",$D640=fCampaign),OR(fTeam="All",$B640=fTeam),OR(fChannel="All",$F640=fChannel),OR(fMonth="All",$AH640=fMonth),OR(fTStatus="All",$M640=fTStatus)),1,0))</f>
        <v>0</v>
      </c>
      <c r="AJ640" s="71">
        <f>IF($G640="",0,IF(AND(OR(fClient="All",$C640=fClient),OR(fCampaign="All",$D640=fCampaign),OR(fTeam="All",$B640=fTeam),OR(fChannel="All",$F640=fChannel)),1,0))</f>
        <v>0</v>
      </c>
      <c r="AK640" s="71">
        <f>IF($G640="",0,IF(OR($M640="Completed",$M640="Cancelled"),0,1))</f>
        <v>0</v>
      </c>
      <c r="AL640" s="71">
        <f>IF(AND($AK640=1,ISNUMBER($L640)),IF($L640&lt;ReportDate,1,0),0)</f>
        <v>0</v>
      </c>
      <c r="AM640" s="71">
        <f>IF(AND($G640&lt;&gt;"",$M640="Blocked"),1,0)</f>
        <v>0</v>
      </c>
      <c r="AN640" s="71">
        <f>IF(AND($AK640=1,ISNUMBER($L640)),IF($L640=ReportDate,1,0),0)</f>
        <v>0</v>
      </c>
      <c r="AO640" s="71">
        <f>IF(AND($AK640=1,ISNUMBER($L640)),IF($L640=ReportDate+1,1,0),0)</f>
        <v>0</v>
      </c>
      <c r="AP640" s="71">
        <f>IF(AND($AK640=1,ISNUMBER($L640)),IF(AND($L640&gt;=ReportDate,$L640&lt;=ReportDate+DueSoonDays),1,0),0)</f>
        <v>0</v>
      </c>
      <c r="AQ640" s="71">
        <f>IF(AND($AK640=1,OR($I640="Critical",$I640="High")),1,0)</f>
        <v>0</v>
      </c>
      <c r="AR640" s="71">
        <f>IF($AK640=1,IF(ISNUMBER($Y640),IF(ReportDate-$Y640&gt;StaleDays,1,0),1),0)</f>
        <v>0</v>
      </c>
      <c r="AS640" s="71">
        <f>IF(AND($G640&lt;&gt;"",ISNUMBER($Q640),ISNUMBER($R640)),IF(AND($Q640&lt;$R640,OR($M640="Completed",AND(ISNUMBER($L640),$L640&lt;ReportDate))),1,0),0)</f>
        <v>0</v>
      </c>
      <c r="AT640" s="71">
        <f>IF($AK640=1,IF(OR($L640=ReportDate,$W640=ReportDate,$K640=ReportDate,$A640=ReportDate),1,0),0)</f>
        <v>0</v>
      </c>
      <c r="AU640" s="71">
        <f>IF($AK640=1,IF(OR($L640=ReportDate+1,$W640=ReportDate+1,$K640=ReportDate+1,$A640=ReportDate+1),1,0),0)</f>
        <v>0</v>
      </c>
      <c r="AV640" s="71">
        <f>IF(AND($G640&lt;&gt;"",$M640="Completed"),IF(OR($Y640=ReportDate-1,$A640=ReportDate-1),1,0),0)</f>
        <v>0</v>
      </c>
      <c r="AW640" s="71">
        <f>IF(AND($AK640=1,$Z640="Yes"),1,0)</f>
        <v>0</v>
      </c>
      <c r="AX640" s="71">
        <f>IF(AND($AK640=1,$AA640="Yes"),1,0)</f>
        <v>0</v>
      </c>
      <c r="AY640" s="71">
        <f>IF(AND($AM640=1,OR($I640="Critical",$I640="High")),1,0)</f>
        <v>0</v>
      </c>
      <c r="AZ640" s="71">
        <f>IF(AND($AK640=1,OR($C640=TCL_Client,$C640=MECCA_Client)),1,0)</f>
        <v>0</v>
      </c>
      <c r="BA640" s="71" t="str">
        <f>IF($G640="","",IFERROR(MATCH($I640,lst_Priority,0),5))</f>
        <v/>
      </c>
      <c r="BB640" s="71" t="str">
        <f>IF(AND($AL640=1,$AJ640=1),$BA640*100000+ROW(),"")</f>
        <v/>
      </c>
      <c r="BC640" s="71" t="str">
        <f>IF(AND($AM640=1,$AJ640=1),$BA640*100000+ROW(),"")</f>
        <v/>
      </c>
      <c r="BD640" s="71" t="str">
        <f>IF(AND($AP640=1,$AJ640=1),$BA640*100000+ROW(),"")</f>
        <v/>
      </c>
      <c r="BE640" s="71" t="str">
        <f>IF(AND($AT640=1,$AJ640=1),$BA640*100000+ROW(),"")</f>
        <v/>
      </c>
      <c r="BF640" s="71" t="str">
        <f>IF(AND($AU640=1,$AJ640=1),$BA640*100000+ROW(),"")</f>
        <v/>
      </c>
      <c r="BG640" s="71" t="str">
        <f>IF(AND($AV640=1,$AJ640=1),$BA640*100000+ROW(),"")</f>
        <v/>
      </c>
      <c r="BH640" s="71" t="str">
        <f>IF(AND($AW640=1,$AJ640=1),$BA640*100000+ROW(),"")</f>
        <v/>
      </c>
      <c r="BI640" s="71" t="str">
        <f>IF(AND($AX640=1,$AJ640=1),$BA640*100000+ROW(),"")</f>
        <v/>
      </c>
      <c r="BJ640" s="71" t="str">
        <f>IF(AND($AS640=1,$AJ640=1),$BA640*100000+ROW(),"")</f>
        <v/>
      </c>
      <c r="BK640" s="71" t="str">
        <f>IF(AND($AY640=1,$AJ640=1),$BA640*100000+ROW(),"")</f>
        <v/>
      </c>
      <c r="BL640" s="71" t="str">
        <f>IF(AND($AZ640=1),$BA640*100000+ROW(),"")</f>
        <v/>
      </c>
    </row>
    <row r="641">
      <c r="A641" s="63" t="n"/>
      <c r="B641" s="64" t="n"/>
      <c r="C641" s="64" t="n"/>
      <c r="D641" s="64" t="n"/>
      <c r="E641" s="64" t="n"/>
      <c r="F641" s="64" t="n"/>
      <c r="G641" s="65" t="n"/>
      <c r="H641" s="65" t="n"/>
      <c r="I641" s="64" t="n"/>
      <c r="J641" s="64" t="n"/>
      <c r="K641" s="63" t="n"/>
      <c r="L641" s="63" t="n"/>
      <c r="M641" s="64" t="n"/>
      <c r="N641" s="66" t="n"/>
      <c r="O641" s="65" t="n"/>
      <c r="P641" s="64" t="n"/>
      <c r="Q641" s="67" t="n"/>
      <c r="R641" s="67" t="n"/>
      <c r="S641" s="68" t="str">
        <f>IF(AND(ISNUMBER($Q641),ISNUMBER($R641)),$Q641-$R641,"")</f>
        <v/>
      </c>
      <c r="T641" s="65" t="n"/>
      <c r="U641" s="64" t="n"/>
      <c r="V641" s="65" t="n"/>
      <c r="W641" s="63" t="n"/>
      <c r="X641" s="65" t="n"/>
      <c r="Y641" s="63" t="n"/>
      <c r="Z641" s="64" t="n"/>
      <c r="AA641" s="64" t="n"/>
      <c r="AB641" s="65" t="n"/>
      <c r="AC641" s="69" t="str">
        <f>IF(OR($G641="",NOT(ISNUMBER($K641)),$AK641=0),"",MAX(0,ReportDate-$K641))</f>
        <v/>
      </c>
      <c r="AD641" s="69" t="str">
        <f>IF($G641="","",IF($AL641=1,ReportDate-$L641,0))</f>
        <v/>
      </c>
      <c r="AE641" s="70" t="str">
        <f>IF($G641="","",IF($M641="Completed",1,IF(ISNUMBER($N641),$N641,0)))</f>
        <v/>
      </c>
      <c r="AF641" s="70" t="str">
        <f>IF(AND(ISNUMBER($Q641),ISNUMBER($R641)),IF($R641&lt;&gt;0,$Q641/$R641,""),"")</f>
        <v/>
      </c>
      <c r="AG641" s="71" t="str">
        <f>IF($G641="","",IF($AL641=1,"OVERDUE",IF($AM641=1,"BLOCKED",IF($AN641=1,"DUE TODAY",IF($AO641=1,"DUE TOMORROW",IF($AQ641=1,"HIGH PRIORITY",IF($AR641=1,"NO RECENT UPDATE",""))))))) </f>
        <v/>
      </c>
      <c r="AH641" s="71" t="str">
        <f>IF($G641="","",IF(ISNUMBER($A641),IF(ISNUMBER($A641),YEAR($A641)&amp;"-"&amp;TEXT(MONTH($A641),"00"),""),IF(ISNUMBER($L641),IF(ISNUMBER($L641),YEAR($L641)&amp;"-"&amp;TEXT(MONTH($L641),"00"),""),"")))</f>
        <v/>
      </c>
      <c r="AI641" s="71">
        <f>IF($G641="",0,IF(AND(OR(fClient="All",$C641=fClient),OR(fCampaign="All",$D641=fCampaign),OR(fTeam="All",$B641=fTeam),OR(fChannel="All",$F641=fChannel),OR(fMonth="All",$AH641=fMonth),OR(fTStatus="All",$M641=fTStatus)),1,0))</f>
        <v>0</v>
      </c>
      <c r="AJ641" s="71">
        <f>IF($G641="",0,IF(AND(OR(fClient="All",$C641=fClient),OR(fCampaign="All",$D641=fCampaign),OR(fTeam="All",$B641=fTeam),OR(fChannel="All",$F641=fChannel)),1,0))</f>
        <v>0</v>
      </c>
      <c r="AK641" s="71">
        <f>IF($G641="",0,IF(OR($M641="Completed",$M641="Cancelled"),0,1))</f>
        <v>0</v>
      </c>
      <c r="AL641" s="71">
        <f>IF(AND($AK641=1,ISNUMBER($L641)),IF($L641&lt;ReportDate,1,0),0)</f>
        <v>0</v>
      </c>
      <c r="AM641" s="71">
        <f>IF(AND($G641&lt;&gt;"",$M641="Blocked"),1,0)</f>
        <v>0</v>
      </c>
      <c r="AN641" s="71">
        <f>IF(AND($AK641=1,ISNUMBER($L641)),IF($L641=ReportDate,1,0),0)</f>
        <v>0</v>
      </c>
      <c r="AO641" s="71">
        <f>IF(AND($AK641=1,ISNUMBER($L641)),IF($L641=ReportDate+1,1,0),0)</f>
        <v>0</v>
      </c>
      <c r="AP641" s="71">
        <f>IF(AND($AK641=1,ISNUMBER($L641)),IF(AND($L641&gt;=ReportDate,$L641&lt;=ReportDate+DueSoonDays),1,0),0)</f>
        <v>0</v>
      </c>
      <c r="AQ641" s="71">
        <f>IF(AND($AK641=1,OR($I641="Critical",$I641="High")),1,0)</f>
        <v>0</v>
      </c>
      <c r="AR641" s="71">
        <f>IF($AK641=1,IF(ISNUMBER($Y641),IF(ReportDate-$Y641&gt;StaleDays,1,0),1),0)</f>
        <v>0</v>
      </c>
      <c r="AS641" s="71">
        <f>IF(AND($G641&lt;&gt;"",ISNUMBER($Q641),ISNUMBER($R641)),IF(AND($Q641&lt;$R641,OR($M641="Completed",AND(ISNUMBER($L641),$L641&lt;ReportDate))),1,0),0)</f>
        <v>0</v>
      </c>
      <c r="AT641" s="71">
        <f>IF($AK641=1,IF(OR($L641=ReportDate,$W641=ReportDate,$K641=ReportDate,$A641=ReportDate),1,0),0)</f>
        <v>0</v>
      </c>
      <c r="AU641" s="71">
        <f>IF($AK641=1,IF(OR($L641=ReportDate+1,$W641=ReportDate+1,$K641=ReportDate+1,$A641=ReportDate+1),1,0),0)</f>
        <v>0</v>
      </c>
      <c r="AV641" s="71">
        <f>IF(AND($G641&lt;&gt;"",$M641="Completed"),IF(OR($Y641=ReportDate-1,$A641=ReportDate-1),1,0),0)</f>
        <v>0</v>
      </c>
      <c r="AW641" s="71">
        <f>IF(AND($AK641=1,$Z641="Yes"),1,0)</f>
        <v>0</v>
      </c>
      <c r="AX641" s="71">
        <f>IF(AND($AK641=1,$AA641="Yes"),1,0)</f>
        <v>0</v>
      </c>
      <c r="AY641" s="71">
        <f>IF(AND($AM641=1,OR($I641="Critical",$I641="High")),1,0)</f>
        <v>0</v>
      </c>
      <c r="AZ641" s="71">
        <f>IF(AND($AK641=1,OR($C641=TCL_Client,$C641=MECCA_Client)),1,0)</f>
        <v>0</v>
      </c>
      <c r="BA641" s="71" t="str">
        <f>IF($G641="","",IFERROR(MATCH($I641,lst_Priority,0),5))</f>
        <v/>
      </c>
      <c r="BB641" s="71" t="str">
        <f>IF(AND($AL641=1,$AJ641=1),$BA641*100000+ROW(),"")</f>
        <v/>
      </c>
      <c r="BC641" s="71" t="str">
        <f>IF(AND($AM641=1,$AJ641=1),$BA641*100000+ROW(),"")</f>
        <v/>
      </c>
      <c r="BD641" s="71" t="str">
        <f>IF(AND($AP641=1,$AJ641=1),$BA641*100000+ROW(),"")</f>
        <v/>
      </c>
      <c r="BE641" s="71" t="str">
        <f>IF(AND($AT641=1,$AJ641=1),$BA641*100000+ROW(),"")</f>
        <v/>
      </c>
      <c r="BF641" s="71" t="str">
        <f>IF(AND($AU641=1,$AJ641=1),$BA641*100000+ROW(),"")</f>
        <v/>
      </c>
      <c r="BG641" s="71" t="str">
        <f>IF(AND($AV641=1,$AJ641=1),$BA641*100000+ROW(),"")</f>
        <v/>
      </c>
      <c r="BH641" s="71" t="str">
        <f>IF(AND($AW641=1,$AJ641=1),$BA641*100000+ROW(),"")</f>
        <v/>
      </c>
      <c r="BI641" s="71" t="str">
        <f>IF(AND($AX641=1,$AJ641=1),$BA641*100000+ROW(),"")</f>
        <v/>
      </c>
      <c r="BJ641" s="71" t="str">
        <f>IF(AND($AS641=1,$AJ641=1),$BA641*100000+ROW(),"")</f>
        <v/>
      </c>
      <c r="BK641" s="71" t="str">
        <f>IF(AND($AY641=1,$AJ641=1),$BA641*100000+ROW(),"")</f>
        <v/>
      </c>
      <c r="BL641" s="71" t="str">
        <f>IF(AND($AZ641=1),$BA641*100000+ROW(),"")</f>
        <v/>
      </c>
    </row>
    <row r="642">
      <c r="A642" s="63" t="n"/>
      <c r="B642" s="64" t="n"/>
      <c r="C642" s="64" t="n"/>
      <c r="D642" s="64" t="n"/>
      <c r="E642" s="64" t="n"/>
      <c r="F642" s="64" t="n"/>
      <c r="G642" s="65" t="n"/>
      <c r="H642" s="65" t="n"/>
      <c r="I642" s="64" t="n"/>
      <c r="J642" s="64" t="n"/>
      <c r="K642" s="63" t="n"/>
      <c r="L642" s="63" t="n"/>
      <c r="M642" s="64" t="n"/>
      <c r="N642" s="66" t="n"/>
      <c r="O642" s="65" t="n"/>
      <c r="P642" s="64" t="n"/>
      <c r="Q642" s="67" t="n"/>
      <c r="R642" s="67" t="n"/>
      <c r="S642" s="68" t="str">
        <f>IF(AND(ISNUMBER($Q642),ISNUMBER($R642)),$Q642-$R642,"")</f>
        <v/>
      </c>
      <c r="T642" s="65" t="n"/>
      <c r="U642" s="64" t="n"/>
      <c r="V642" s="65" t="n"/>
      <c r="W642" s="63" t="n"/>
      <c r="X642" s="65" t="n"/>
      <c r="Y642" s="63" t="n"/>
      <c r="Z642" s="64" t="n"/>
      <c r="AA642" s="64" t="n"/>
      <c r="AB642" s="65" t="n"/>
      <c r="AC642" s="69" t="str">
        <f>IF(OR($G642="",NOT(ISNUMBER($K642)),$AK642=0),"",MAX(0,ReportDate-$K642))</f>
        <v/>
      </c>
      <c r="AD642" s="69" t="str">
        <f>IF($G642="","",IF($AL642=1,ReportDate-$L642,0))</f>
        <v/>
      </c>
      <c r="AE642" s="70" t="str">
        <f>IF($G642="","",IF($M642="Completed",1,IF(ISNUMBER($N642),$N642,0)))</f>
        <v/>
      </c>
      <c r="AF642" s="70" t="str">
        <f>IF(AND(ISNUMBER($Q642),ISNUMBER($R642)),IF($R642&lt;&gt;0,$Q642/$R642,""),"")</f>
        <v/>
      </c>
      <c r="AG642" s="71" t="str">
        <f>IF($G642="","",IF($AL642=1,"OVERDUE",IF($AM642=1,"BLOCKED",IF($AN642=1,"DUE TODAY",IF($AO642=1,"DUE TOMORROW",IF($AQ642=1,"HIGH PRIORITY",IF($AR642=1,"NO RECENT UPDATE",""))))))) </f>
        <v/>
      </c>
      <c r="AH642" s="71" t="str">
        <f>IF($G642="","",IF(ISNUMBER($A642),IF(ISNUMBER($A642),YEAR($A642)&amp;"-"&amp;TEXT(MONTH($A642),"00"),""),IF(ISNUMBER($L642),IF(ISNUMBER($L642),YEAR($L642)&amp;"-"&amp;TEXT(MONTH($L642),"00"),""),"")))</f>
        <v/>
      </c>
      <c r="AI642" s="71">
        <f>IF($G642="",0,IF(AND(OR(fClient="All",$C642=fClient),OR(fCampaign="All",$D642=fCampaign),OR(fTeam="All",$B642=fTeam),OR(fChannel="All",$F642=fChannel),OR(fMonth="All",$AH642=fMonth),OR(fTStatus="All",$M642=fTStatus)),1,0))</f>
        <v>0</v>
      </c>
      <c r="AJ642" s="71">
        <f>IF($G642="",0,IF(AND(OR(fClient="All",$C642=fClient),OR(fCampaign="All",$D642=fCampaign),OR(fTeam="All",$B642=fTeam),OR(fChannel="All",$F642=fChannel)),1,0))</f>
        <v>0</v>
      </c>
      <c r="AK642" s="71">
        <f>IF($G642="",0,IF(OR($M642="Completed",$M642="Cancelled"),0,1))</f>
        <v>0</v>
      </c>
      <c r="AL642" s="71">
        <f>IF(AND($AK642=1,ISNUMBER($L642)),IF($L642&lt;ReportDate,1,0),0)</f>
        <v>0</v>
      </c>
      <c r="AM642" s="71">
        <f>IF(AND($G642&lt;&gt;"",$M642="Blocked"),1,0)</f>
        <v>0</v>
      </c>
      <c r="AN642" s="71">
        <f>IF(AND($AK642=1,ISNUMBER($L642)),IF($L642=ReportDate,1,0),0)</f>
        <v>0</v>
      </c>
      <c r="AO642" s="71">
        <f>IF(AND($AK642=1,ISNUMBER($L642)),IF($L642=ReportDate+1,1,0),0)</f>
        <v>0</v>
      </c>
      <c r="AP642" s="71">
        <f>IF(AND($AK642=1,ISNUMBER($L642)),IF(AND($L642&gt;=ReportDate,$L642&lt;=ReportDate+DueSoonDays),1,0),0)</f>
        <v>0</v>
      </c>
      <c r="AQ642" s="71">
        <f>IF(AND($AK642=1,OR($I642="Critical",$I642="High")),1,0)</f>
        <v>0</v>
      </c>
      <c r="AR642" s="71">
        <f>IF($AK642=1,IF(ISNUMBER($Y642),IF(ReportDate-$Y642&gt;StaleDays,1,0),1),0)</f>
        <v>0</v>
      </c>
      <c r="AS642" s="71">
        <f>IF(AND($G642&lt;&gt;"",ISNUMBER($Q642),ISNUMBER($R642)),IF(AND($Q642&lt;$R642,OR($M642="Completed",AND(ISNUMBER($L642),$L642&lt;ReportDate))),1,0),0)</f>
        <v>0</v>
      </c>
      <c r="AT642" s="71">
        <f>IF($AK642=1,IF(OR($L642=ReportDate,$W642=ReportDate,$K642=ReportDate,$A642=ReportDate),1,0),0)</f>
        <v>0</v>
      </c>
      <c r="AU642" s="71">
        <f>IF($AK642=1,IF(OR($L642=ReportDate+1,$W642=ReportDate+1,$K642=ReportDate+1,$A642=ReportDate+1),1,0),0)</f>
        <v>0</v>
      </c>
      <c r="AV642" s="71">
        <f>IF(AND($G642&lt;&gt;"",$M642="Completed"),IF(OR($Y642=ReportDate-1,$A642=ReportDate-1),1,0),0)</f>
        <v>0</v>
      </c>
      <c r="AW642" s="71">
        <f>IF(AND($AK642=1,$Z642="Yes"),1,0)</f>
        <v>0</v>
      </c>
      <c r="AX642" s="71">
        <f>IF(AND($AK642=1,$AA642="Yes"),1,0)</f>
        <v>0</v>
      </c>
      <c r="AY642" s="71">
        <f>IF(AND($AM642=1,OR($I642="Critical",$I642="High")),1,0)</f>
        <v>0</v>
      </c>
      <c r="AZ642" s="71">
        <f>IF(AND($AK642=1,OR($C642=TCL_Client,$C642=MECCA_Client)),1,0)</f>
        <v>0</v>
      </c>
      <c r="BA642" s="71" t="str">
        <f>IF($G642="","",IFERROR(MATCH($I642,lst_Priority,0),5))</f>
        <v/>
      </c>
      <c r="BB642" s="71" t="str">
        <f>IF(AND($AL642=1,$AJ642=1),$BA642*100000+ROW(),"")</f>
        <v/>
      </c>
      <c r="BC642" s="71" t="str">
        <f>IF(AND($AM642=1,$AJ642=1),$BA642*100000+ROW(),"")</f>
        <v/>
      </c>
      <c r="BD642" s="71" t="str">
        <f>IF(AND($AP642=1,$AJ642=1),$BA642*100000+ROW(),"")</f>
        <v/>
      </c>
      <c r="BE642" s="71" t="str">
        <f>IF(AND($AT642=1,$AJ642=1),$BA642*100000+ROW(),"")</f>
        <v/>
      </c>
      <c r="BF642" s="71" t="str">
        <f>IF(AND($AU642=1,$AJ642=1),$BA642*100000+ROW(),"")</f>
        <v/>
      </c>
      <c r="BG642" s="71" t="str">
        <f>IF(AND($AV642=1,$AJ642=1),$BA642*100000+ROW(),"")</f>
        <v/>
      </c>
      <c r="BH642" s="71" t="str">
        <f>IF(AND($AW642=1,$AJ642=1),$BA642*100000+ROW(),"")</f>
        <v/>
      </c>
      <c r="BI642" s="71" t="str">
        <f>IF(AND($AX642=1,$AJ642=1),$BA642*100000+ROW(),"")</f>
        <v/>
      </c>
      <c r="BJ642" s="71" t="str">
        <f>IF(AND($AS642=1,$AJ642=1),$BA642*100000+ROW(),"")</f>
        <v/>
      </c>
      <c r="BK642" s="71" t="str">
        <f>IF(AND($AY642=1,$AJ642=1),$BA642*100000+ROW(),"")</f>
        <v/>
      </c>
      <c r="BL642" s="71" t="str">
        <f>IF(AND($AZ642=1),$BA642*100000+ROW(),"")</f>
        <v/>
      </c>
    </row>
    <row r="643">
      <c r="A643" s="63" t="n"/>
      <c r="B643" s="64" t="n"/>
      <c r="C643" s="64" t="n"/>
      <c r="D643" s="64" t="n"/>
      <c r="E643" s="64" t="n"/>
      <c r="F643" s="64" t="n"/>
      <c r="G643" s="65" t="n"/>
      <c r="H643" s="65" t="n"/>
      <c r="I643" s="64" t="n"/>
      <c r="J643" s="64" t="n"/>
      <c r="K643" s="63" t="n"/>
      <c r="L643" s="63" t="n"/>
      <c r="M643" s="64" t="n"/>
      <c r="N643" s="66" t="n"/>
      <c r="O643" s="65" t="n"/>
      <c r="P643" s="64" t="n"/>
      <c r="Q643" s="67" t="n"/>
      <c r="R643" s="67" t="n"/>
      <c r="S643" s="68" t="str">
        <f>IF(AND(ISNUMBER($Q643),ISNUMBER($R643)),$Q643-$R643,"")</f>
        <v/>
      </c>
      <c r="T643" s="65" t="n"/>
      <c r="U643" s="64" t="n"/>
      <c r="V643" s="65" t="n"/>
      <c r="W643" s="63" t="n"/>
      <c r="X643" s="65" t="n"/>
      <c r="Y643" s="63" t="n"/>
      <c r="Z643" s="64" t="n"/>
      <c r="AA643" s="64" t="n"/>
      <c r="AB643" s="65" t="n"/>
      <c r="AC643" s="69" t="str">
        <f>IF(OR($G643="",NOT(ISNUMBER($K643)),$AK643=0),"",MAX(0,ReportDate-$K643))</f>
        <v/>
      </c>
      <c r="AD643" s="69" t="str">
        <f>IF($G643="","",IF($AL643=1,ReportDate-$L643,0))</f>
        <v/>
      </c>
      <c r="AE643" s="70" t="str">
        <f>IF($G643="","",IF($M643="Completed",1,IF(ISNUMBER($N643),$N643,0)))</f>
        <v/>
      </c>
      <c r="AF643" s="70" t="str">
        <f>IF(AND(ISNUMBER($Q643),ISNUMBER($R643)),IF($R643&lt;&gt;0,$Q643/$R643,""),"")</f>
        <v/>
      </c>
      <c r="AG643" s="71" t="str">
        <f>IF($G643="","",IF($AL643=1,"OVERDUE",IF($AM643=1,"BLOCKED",IF($AN643=1,"DUE TODAY",IF($AO643=1,"DUE TOMORROW",IF($AQ643=1,"HIGH PRIORITY",IF($AR643=1,"NO RECENT UPDATE",""))))))) </f>
        <v/>
      </c>
      <c r="AH643" s="71" t="str">
        <f>IF($G643="","",IF(ISNUMBER($A643),IF(ISNUMBER($A643),YEAR($A643)&amp;"-"&amp;TEXT(MONTH($A643),"00"),""),IF(ISNUMBER($L643),IF(ISNUMBER($L643),YEAR($L643)&amp;"-"&amp;TEXT(MONTH($L643),"00"),""),"")))</f>
        <v/>
      </c>
      <c r="AI643" s="71">
        <f>IF($G643="",0,IF(AND(OR(fClient="All",$C643=fClient),OR(fCampaign="All",$D643=fCampaign),OR(fTeam="All",$B643=fTeam),OR(fChannel="All",$F643=fChannel),OR(fMonth="All",$AH643=fMonth),OR(fTStatus="All",$M643=fTStatus)),1,0))</f>
        <v>0</v>
      </c>
      <c r="AJ643" s="71">
        <f>IF($G643="",0,IF(AND(OR(fClient="All",$C643=fClient),OR(fCampaign="All",$D643=fCampaign),OR(fTeam="All",$B643=fTeam),OR(fChannel="All",$F643=fChannel)),1,0))</f>
        <v>0</v>
      </c>
      <c r="AK643" s="71">
        <f>IF($G643="",0,IF(OR($M643="Completed",$M643="Cancelled"),0,1))</f>
        <v>0</v>
      </c>
      <c r="AL643" s="71">
        <f>IF(AND($AK643=1,ISNUMBER($L643)),IF($L643&lt;ReportDate,1,0),0)</f>
        <v>0</v>
      </c>
      <c r="AM643" s="71">
        <f>IF(AND($G643&lt;&gt;"",$M643="Blocked"),1,0)</f>
        <v>0</v>
      </c>
      <c r="AN643" s="71">
        <f>IF(AND($AK643=1,ISNUMBER($L643)),IF($L643=ReportDate,1,0),0)</f>
        <v>0</v>
      </c>
      <c r="AO643" s="71">
        <f>IF(AND($AK643=1,ISNUMBER($L643)),IF($L643=ReportDate+1,1,0),0)</f>
        <v>0</v>
      </c>
      <c r="AP643" s="71">
        <f>IF(AND($AK643=1,ISNUMBER($L643)),IF(AND($L643&gt;=ReportDate,$L643&lt;=ReportDate+DueSoonDays),1,0),0)</f>
        <v>0</v>
      </c>
      <c r="AQ643" s="71">
        <f>IF(AND($AK643=1,OR($I643="Critical",$I643="High")),1,0)</f>
        <v>0</v>
      </c>
      <c r="AR643" s="71">
        <f>IF($AK643=1,IF(ISNUMBER($Y643),IF(ReportDate-$Y643&gt;StaleDays,1,0),1),0)</f>
        <v>0</v>
      </c>
      <c r="AS643" s="71">
        <f>IF(AND($G643&lt;&gt;"",ISNUMBER($Q643),ISNUMBER($R643)),IF(AND($Q643&lt;$R643,OR($M643="Completed",AND(ISNUMBER($L643),$L643&lt;ReportDate))),1,0),0)</f>
        <v>0</v>
      </c>
      <c r="AT643" s="71">
        <f>IF($AK643=1,IF(OR($L643=ReportDate,$W643=ReportDate,$K643=ReportDate,$A643=ReportDate),1,0),0)</f>
        <v>0</v>
      </c>
      <c r="AU643" s="71">
        <f>IF($AK643=1,IF(OR($L643=ReportDate+1,$W643=ReportDate+1,$K643=ReportDate+1,$A643=ReportDate+1),1,0),0)</f>
        <v>0</v>
      </c>
      <c r="AV643" s="71">
        <f>IF(AND($G643&lt;&gt;"",$M643="Completed"),IF(OR($Y643=ReportDate-1,$A643=ReportDate-1),1,0),0)</f>
        <v>0</v>
      </c>
      <c r="AW643" s="71">
        <f>IF(AND($AK643=1,$Z643="Yes"),1,0)</f>
        <v>0</v>
      </c>
      <c r="AX643" s="71">
        <f>IF(AND($AK643=1,$AA643="Yes"),1,0)</f>
        <v>0</v>
      </c>
      <c r="AY643" s="71">
        <f>IF(AND($AM643=1,OR($I643="Critical",$I643="High")),1,0)</f>
        <v>0</v>
      </c>
      <c r="AZ643" s="71">
        <f>IF(AND($AK643=1,OR($C643=TCL_Client,$C643=MECCA_Client)),1,0)</f>
        <v>0</v>
      </c>
      <c r="BA643" s="71" t="str">
        <f>IF($G643="","",IFERROR(MATCH($I643,lst_Priority,0),5))</f>
        <v/>
      </c>
      <c r="BB643" s="71" t="str">
        <f>IF(AND($AL643=1,$AJ643=1),$BA643*100000+ROW(),"")</f>
        <v/>
      </c>
      <c r="BC643" s="71" t="str">
        <f>IF(AND($AM643=1,$AJ643=1),$BA643*100000+ROW(),"")</f>
        <v/>
      </c>
      <c r="BD643" s="71" t="str">
        <f>IF(AND($AP643=1,$AJ643=1),$BA643*100000+ROW(),"")</f>
        <v/>
      </c>
      <c r="BE643" s="71" t="str">
        <f>IF(AND($AT643=1,$AJ643=1),$BA643*100000+ROW(),"")</f>
        <v/>
      </c>
      <c r="BF643" s="71" t="str">
        <f>IF(AND($AU643=1,$AJ643=1),$BA643*100000+ROW(),"")</f>
        <v/>
      </c>
      <c r="BG643" s="71" t="str">
        <f>IF(AND($AV643=1,$AJ643=1),$BA643*100000+ROW(),"")</f>
        <v/>
      </c>
      <c r="BH643" s="71" t="str">
        <f>IF(AND($AW643=1,$AJ643=1),$BA643*100000+ROW(),"")</f>
        <v/>
      </c>
      <c r="BI643" s="71" t="str">
        <f>IF(AND($AX643=1,$AJ643=1),$BA643*100000+ROW(),"")</f>
        <v/>
      </c>
      <c r="BJ643" s="71" t="str">
        <f>IF(AND($AS643=1,$AJ643=1),$BA643*100000+ROW(),"")</f>
        <v/>
      </c>
      <c r="BK643" s="71" t="str">
        <f>IF(AND($AY643=1,$AJ643=1),$BA643*100000+ROW(),"")</f>
        <v/>
      </c>
      <c r="BL643" s="71" t="str">
        <f>IF(AND($AZ643=1),$BA643*100000+ROW(),"")</f>
        <v/>
      </c>
    </row>
    <row r="644">
      <c r="A644" s="63" t="n"/>
      <c r="B644" s="64" t="n"/>
      <c r="C644" s="64" t="n"/>
      <c r="D644" s="64" t="n"/>
      <c r="E644" s="64" t="n"/>
      <c r="F644" s="64" t="n"/>
      <c r="G644" s="65" t="n"/>
      <c r="H644" s="65" t="n"/>
      <c r="I644" s="64" t="n"/>
      <c r="J644" s="64" t="n"/>
      <c r="K644" s="63" t="n"/>
      <c r="L644" s="63" t="n"/>
      <c r="M644" s="64" t="n"/>
      <c r="N644" s="66" t="n"/>
      <c r="O644" s="65" t="n"/>
      <c r="P644" s="64" t="n"/>
      <c r="Q644" s="67" t="n"/>
      <c r="R644" s="67" t="n"/>
      <c r="S644" s="68" t="str">
        <f>IF(AND(ISNUMBER($Q644),ISNUMBER($R644)),$Q644-$R644,"")</f>
        <v/>
      </c>
      <c r="T644" s="65" t="n"/>
      <c r="U644" s="64" t="n"/>
      <c r="V644" s="65" t="n"/>
      <c r="W644" s="63" t="n"/>
      <c r="X644" s="65" t="n"/>
      <c r="Y644" s="63" t="n"/>
      <c r="Z644" s="64" t="n"/>
      <c r="AA644" s="64" t="n"/>
      <c r="AB644" s="65" t="n"/>
      <c r="AC644" s="69" t="str">
        <f>IF(OR($G644="",NOT(ISNUMBER($K644)),$AK644=0),"",MAX(0,ReportDate-$K644))</f>
        <v/>
      </c>
      <c r="AD644" s="69" t="str">
        <f>IF($G644="","",IF($AL644=1,ReportDate-$L644,0))</f>
        <v/>
      </c>
      <c r="AE644" s="70" t="str">
        <f>IF($G644="","",IF($M644="Completed",1,IF(ISNUMBER($N644),$N644,0)))</f>
        <v/>
      </c>
      <c r="AF644" s="70" t="str">
        <f>IF(AND(ISNUMBER($Q644),ISNUMBER($R644)),IF($R644&lt;&gt;0,$Q644/$R644,""),"")</f>
        <v/>
      </c>
      <c r="AG644" s="71" t="str">
        <f>IF($G644="","",IF($AL644=1,"OVERDUE",IF($AM644=1,"BLOCKED",IF($AN644=1,"DUE TODAY",IF($AO644=1,"DUE TOMORROW",IF($AQ644=1,"HIGH PRIORITY",IF($AR644=1,"NO RECENT UPDATE",""))))))) </f>
        <v/>
      </c>
      <c r="AH644" s="71" t="str">
        <f>IF($G644="","",IF(ISNUMBER($A644),IF(ISNUMBER($A644),YEAR($A644)&amp;"-"&amp;TEXT(MONTH($A644),"00"),""),IF(ISNUMBER($L644),IF(ISNUMBER($L644),YEAR($L644)&amp;"-"&amp;TEXT(MONTH($L644),"00"),""),"")))</f>
        <v/>
      </c>
      <c r="AI644" s="71">
        <f>IF($G644="",0,IF(AND(OR(fClient="All",$C644=fClient),OR(fCampaign="All",$D644=fCampaign),OR(fTeam="All",$B644=fTeam),OR(fChannel="All",$F644=fChannel),OR(fMonth="All",$AH644=fMonth),OR(fTStatus="All",$M644=fTStatus)),1,0))</f>
        <v>0</v>
      </c>
      <c r="AJ644" s="71">
        <f>IF($G644="",0,IF(AND(OR(fClient="All",$C644=fClient),OR(fCampaign="All",$D644=fCampaign),OR(fTeam="All",$B644=fTeam),OR(fChannel="All",$F644=fChannel)),1,0))</f>
        <v>0</v>
      </c>
      <c r="AK644" s="71">
        <f>IF($G644="",0,IF(OR($M644="Completed",$M644="Cancelled"),0,1))</f>
        <v>0</v>
      </c>
      <c r="AL644" s="71">
        <f>IF(AND($AK644=1,ISNUMBER($L644)),IF($L644&lt;ReportDate,1,0),0)</f>
        <v>0</v>
      </c>
      <c r="AM644" s="71">
        <f>IF(AND($G644&lt;&gt;"",$M644="Blocked"),1,0)</f>
        <v>0</v>
      </c>
      <c r="AN644" s="71">
        <f>IF(AND($AK644=1,ISNUMBER($L644)),IF($L644=ReportDate,1,0),0)</f>
        <v>0</v>
      </c>
      <c r="AO644" s="71">
        <f>IF(AND($AK644=1,ISNUMBER($L644)),IF($L644=ReportDate+1,1,0),0)</f>
        <v>0</v>
      </c>
      <c r="AP644" s="71">
        <f>IF(AND($AK644=1,ISNUMBER($L644)),IF(AND($L644&gt;=ReportDate,$L644&lt;=ReportDate+DueSoonDays),1,0),0)</f>
        <v>0</v>
      </c>
      <c r="AQ644" s="71">
        <f>IF(AND($AK644=1,OR($I644="Critical",$I644="High")),1,0)</f>
        <v>0</v>
      </c>
      <c r="AR644" s="71">
        <f>IF($AK644=1,IF(ISNUMBER($Y644),IF(ReportDate-$Y644&gt;StaleDays,1,0),1),0)</f>
        <v>0</v>
      </c>
      <c r="AS644" s="71">
        <f>IF(AND($G644&lt;&gt;"",ISNUMBER($Q644),ISNUMBER($R644)),IF(AND($Q644&lt;$R644,OR($M644="Completed",AND(ISNUMBER($L644),$L644&lt;ReportDate))),1,0),0)</f>
        <v>0</v>
      </c>
      <c r="AT644" s="71">
        <f>IF($AK644=1,IF(OR($L644=ReportDate,$W644=ReportDate,$K644=ReportDate,$A644=ReportDate),1,0),0)</f>
        <v>0</v>
      </c>
      <c r="AU644" s="71">
        <f>IF($AK644=1,IF(OR($L644=ReportDate+1,$W644=ReportDate+1,$K644=ReportDate+1,$A644=ReportDate+1),1,0),0)</f>
        <v>0</v>
      </c>
      <c r="AV644" s="71">
        <f>IF(AND($G644&lt;&gt;"",$M644="Completed"),IF(OR($Y644=ReportDate-1,$A644=ReportDate-1),1,0),0)</f>
        <v>0</v>
      </c>
      <c r="AW644" s="71">
        <f>IF(AND($AK644=1,$Z644="Yes"),1,0)</f>
        <v>0</v>
      </c>
      <c r="AX644" s="71">
        <f>IF(AND($AK644=1,$AA644="Yes"),1,0)</f>
        <v>0</v>
      </c>
      <c r="AY644" s="71">
        <f>IF(AND($AM644=1,OR($I644="Critical",$I644="High")),1,0)</f>
        <v>0</v>
      </c>
      <c r="AZ644" s="71">
        <f>IF(AND($AK644=1,OR($C644=TCL_Client,$C644=MECCA_Client)),1,0)</f>
        <v>0</v>
      </c>
      <c r="BA644" s="71" t="str">
        <f>IF($G644="","",IFERROR(MATCH($I644,lst_Priority,0),5))</f>
        <v/>
      </c>
      <c r="BB644" s="71" t="str">
        <f>IF(AND($AL644=1,$AJ644=1),$BA644*100000+ROW(),"")</f>
        <v/>
      </c>
      <c r="BC644" s="71" t="str">
        <f>IF(AND($AM644=1,$AJ644=1),$BA644*100000+ROW(),"")</f>
        <v/>
      </c>
      <c r="BD644" s="71" t="str">
        <f>IF(AND($AP644=1,$AJ644=1),$BA644*100000+ROW(),"")</f>
        <v/>
      </c>
      <c r="BE644" s="71" t="str">
        <f>IF(AND($AT644=1,$AJ644=1),$BA644*100000+ROW(),"")</f>
        <v/>
      </c>
      <c r="BF644" s="71" t="str">
        <f>IF(AND($AU644=1,$AJ644=1),$BA644*100000+ROW(),"")</f>
        <v/>
      </c>
      <c r="BG644" s="71" t="str">
        <f>IF(AND($AV644=1,$AJ644=1),$BA644*100000+ROW(),"")</f>
        <v/>
      </c>
      <c r="BH644" s="71" t="str">
        <f>IF(AND($AW644=1,$AJ644=1),$BA644*100000+ROW(),"")</f>
        <v/>
      </c>
      <c r="BI644" s="71" t="str">
        <f>IF(AND($AX644=1,$AJ644=1),$BA644*100000+ROW(),"")</f>
        <v/>
      </c>
      <c r="BJ644" s="71" t="str">
        <f>IF(AND($AS644=1,$AJ644=1),$BA644*100000+ROW(),"")</f>
        <v/>
      </c>
      <c r="BK644" s="71" t="str">
        <f>IF(AND($AY644=1,$AJ644=1),$BA644*100000+ROW(),"")</f>
        <v/>
      </c>
      <c r="BL644" s="71" t="str">
        <f>IF(AND($AZ644=1),$BA644*100000+ROW(),"")</f>
        <v/>
      </c>
    </row>
    <row r="645">
      <c r="A645" s="63" t="n"/>
      <c r="B645" s="64" t="n"/>
      <c r="C645" s="64" t="n"/>
      <c r="D645" s="64" t="n"/>
      <c r="E645" s="64" t="n"/>
      <c r="F645" s="64" t="n"/>
      <c r="G645" s="65" t="n"/>
      <c r="H645" s="65" t="n"/>
      <c r="I645" s="64" t="n"/>
      <c r="J645" s="64" t="n"/>
      <c r="K645" s="63" t="n"/>
      <c r="L645" s="63" t="n"/>
      <c r="M645" s="64" t="n"/>
      <c r="N645" s="66" t="n"/>
      <c r="O645" s="65" t="n"/>
      <c r="P645" s="64" t="n"/>
      <c r="Q645" s="67" t="n"/>
      <c r="R645" s="67" t="n"/>
      <c r="S645" s="68" t="str">
        <f>IF(AND(ISNUMBER($Q645),ISNUMBER($R645)),$Q645-$R645,"")</f>
        <v/>
      </c>
      <c r="T645" s="65" t="n"/>
      <c r="U645" s="64" t="n"/>
      <c r="V645" s="65" t="n"/>
      <c r="W645" s="63" t="n"/>
      <c r="X645" s="65" t="n"/>
      <c r="Y645" s="63" t="n"/>
      <c r="Z645" s="64" t="n"/>
      <c r="AA645" s="64" t="n"/>
      <c r="AB645" s="65" t="n"/>
      <c r="AC645" s="69" t="str">
        <f>IF(OR($G645="",NOT(ISNUMBER($K645)),$AK645=0),"",MAX(0,ReportDate-$K645))</f>
        <v/>
      </c>
      <c r="AD645" s="69" t="str">
        <f>IF($G645="","",IF($AL645=1,ReportDate-$L645,0))</f>
        <v/>
      </c>
      <c r="AE645" s="70" t="str">
        <f>IF($G645="","",IF($M645="Completed",1,IF(ISNUMBER($N645),$N645,0)))</f>
        <v/>
      </c>
      <c r="AF645" s="70" t="str">
        <f>IF(AND(ISNUMBER($Q645),ISNUMBER($R645)),IF($R645&lt;&gt;0,$Q645/$R645,""),"")</f>
        <v/>
      </c>
      <c r="AG645" s="71" t="str">
        <f>IF($G645="","",IF($AL645=1,"OVERDUE",IF($AM645=1,"BLOCKED",IF($AN645=1,"DUE TODAY",IF($AO645=1,"DUE TOMORROW",IF($AQ645=1,"HIGH PRIORITY",IF($AR645=1,"NO RECENT UPDATE",""))))))) </f>
        <v/>
      </c>
      <c r="AH645" s="71" t="str">
        <f>IF($G645="","",IF(ISNUMBER($A645),IF(ISNUMBER($A645),YEAR($A645)&amp;"-"&amp;TEXT(MONTH($A645),"00"),""),IF(ISNUMBER($L645),IF(ISNUMBER($L645),YEAR($L645)&amp;"-"&amp;TEXT(MONTH($L645),"00"),""),"")))</f>
        <v/>
      </c>
      <c r="AI645" s="71">
        <f>IF($G645="",0,IF(AND(OR(fClient="All",$C645=fClient),OR(fCampaign="All",$D645=fCampaign),OR(fTeam="All",$B645=fTeam),OR(fChannel="All",$F645=fChannel),OR(fMonth="All",$AH645=fMonth),OR(fTStatus="All",$M645=fTStatus)),1,0))</f>
        <v>0</v>
      </c>
      <c r="AJ645" s="71">
        <f>IF($G645="",0,IF(AND(OR(fClient="All",$C645=fClient),OR(fCampaign="All",$D645=fCampaign),OR(fTeam="All",$B645=fTeam),OR(fChannel="All",$F645=fChannel)),1,0))</f>
        <v>0</v>
      </c>
      <c r="AK645" s="71">
        <f>IF($G645="",0,IF(OR($M645="Completed",$M645="Cancelled"),0,1))</f>
        <v>0</v>
      </c>
      <c r="AL645" s="71">
        <f>IF(AND($AK645=1,ISNUMBER($L645)),IF($L645&lt;ReportDate,1,0),0)</f>
        <v>0</v>
      </c>
      <c r="AM645" s="71">
        <f>IF(AND($G645&lt;&gt;"",$M645="Blocked"),1,0)</f>
        <v>0</v>
      </c>
      <c r="AN645" s="71">
        <f>IF(AND($AK645=1,ISNUMBER($L645)),IF($L645=ReportDate,1,0),0)</f>
        <v>0</v>
      </c>
      <c r="AO645" s="71">
        <f>IF(AND($AK645=1,ISNUMBER($L645)),IF($L645=ReportDate+1,1,0),0)</f>
        <v>0</v>
      </c>
      <c r="AP645" s="71">
        <f>IF(AND($AK645=1,ISNUMBER($L645)),IF(AND($L645&gt;=ReportDate,$L645&lt;=ReportDate+DueSoonDays),1,0),0)</f>
        <v>0</v>
      </c>
      <c r="AQ645" s="71">
        <f>IF(AND($AK645=1,OR($I645="Critical",$I645="High")),1,0)</f>
        <v>0</v>
      </c>
      <c r="AR645" s="71">
        <f>IF($AK645=1,IF(ISNUMBER($Y645),IF(ReportDate-$Y645&gt;StaleDays,1,0),1),0)</f>
        <v>0</v>
      </c>
      <c r="AS645" s="71">
        <f>IF(AND($G645&lt;&gt;"",ISNUMBER($Q645),ISNUMBER($R645)),IF(AND($Q645&lt;$R645,OR($M645="Completed",AND(ISNUMBER($L645),$L645&lt;ReportDate))),1,0),0)</f>
        <v>0</v>
      </c>
      <c r="AT645" s="71">
        <f>IF($AK645=1,IF(OR($L645=ReportDate,$W645=ReportDate,$K645=ReportDate,$A645=ReportDate),1,0),0)</f>
        <v>0</v>
      </c>
      <c r="AU645" s="71">
        <f>IF($AK645=1,IF(OR($L645=ReportDate+1,$W645=ReportDate+1,$K645=ReportDate+1,$A645=ReportDate+1),1,0),0)</f>
        <v>0</v>
      </c>
      <c r="AV645" s="71">
        <f>IF(AND($G645&lt;&gt;"",$M645="Completed"),IF(OR($Y645=ReportDate-1,$A645=ReportDate-1),1,0),0)</f>
        <v>0</v>
      </c>
      <c r="AW645" s="71">
        <f>IF(AND($AK645=1,$Z645="Yes"),1,0)</f>
        <v>0</v>
      </c>
      <c r="AX645" s="71">
        <f>IF(AND($AK645=1,$AA645="Yes"),1,0)</f>
        <v>0</v>
      </c>
      <c r="AY645" s="71">
        <f>IF(AND($AM645=1,OR($I645="Critical",$I645="High")),1,0)</f>
        <v>0</v>
      </c>
      <c r="AZ645" s="71">
        <f>IF(AND($AK645=1,OR($C645=TCL_Client,$C645=MECCA_Client)),1,0)</f>
        <v>0</v>
      </c>
      <c r="BA645" s="71" t="str">
        <f>IF($G645="","",IFERROR(MATCH($I645,lst_Priority,0),5))</f>
        <v/>
      </c>
      <c r="BB645" s="71" t="str">
        <f>IF(AND($AL645=1,$AJ645=1),$BA645*100000+ROW(),"")</f>
        <v/>
      </c>
      <c r="BC645" s="71" t="str">
        <f>IF(AND($AM645=1,$AJ645=1),$BA645*100000+ROW(),"")</f>
        <v/>
      </c>
      <c r="BD645" s="71" t="str">
        <f>IF(AND($AP645=1,$AJ645=1),$BA645*100000+ROW(),"")</f>
        <v/>
      </c>
      <c r="BE645" s="71" t="str">
        <f>IF(AND($AT645=1,$AJ645=1),$BA645*100000+ROW(),"")</f>
        <v/>
      </c>
      <c r="BF645" s="71" t="str">
        <f>IF(AND($AU645=1,$AJ645=1),$BA645*100000+ROW(),"")</f>
        <v/>
      </c>
      <c r="BG645" s="71" t="str">
        <f>IF(AND($AV645=1,$AJ645=1),$BA645*100000+ROW(),"")</f>
        <v/>
      </c>
      <c r="BH645" s="71" t="str">
        <f>IF(AND($AW645=1,$AJ645=1),$BA645*100000+ROW(),"")</f>
        <v/>
      </c>
      <c r="BI645" s="71" t="str">
        <f>IF(AND($AX645=1,$AJ645=1),$BA645*100000+ROW(),"")</f>
        <v/>
      </c>
      <c r="BJ645" s="71" t="str">
        <f>IF(AND($AS645=1,$AJ645=1),$BA645*100000+ROW(),"")</f>
        <v/>
      </c>
      <c r="BK645" s="71" t="str">
        <f>IF(AND($AY645=1,$AJ645=1),$BA645*100000+ROW(),"")</f>
        <v/>
      </c>
      <c r="BL645" s="71" t="str">
        <f>IF(AND($AZ645=1),$BA645*100000+ROW(),"")</f>
        <v/>
      </c>
    </row>
    <row r="646">
      <c r="A646" s="63" t="n"/>
      <c r="B646" s="64" t="n"/>
      <c r="C646" s="64" t="n"/>
      <c r="D646" s="64" t="n"/>
      <c r="E646" s="64" t="n"/>
      <c r="F646" s="64" t="n"/>
      <c r="G646" s="65" t="n"/>
      <c r="H646" s="65" t="n"/>
      <c r="I646" s="64" t="n"/>
      <c r="J646" s="64" t="n"/>
      <c r="K646" s="63" t="n"/>
      <c r="L646" s="63" t="n"/>
      <c r="M646" s="64" t="n"/>
      <c r="N646" s="66" t="n"/>
      <c r="O646" s="65" t="n"/>
      <c r="P646" s="64" t="n"/>
      <c r="Q646" s="67" t="n"/>
      <c r="R646" s="67" t="n"/>
      <c r="S646" s="68" t="str">
        <f>IF(AND(ISNUMBER($Q646),ISNUMBER($R646)),$Q646-$R646,"")</f>
        <v/>
      </c>
      <c r="T646" s="65" t="n"/>
      <c r="U646" s="64" t="n"/>
      <c r="V646" s="65" t="n"/>
      <c r="W646" s="63" t="n"/>
      <c r="X646" s="65" t="n"/>
      <c r="Y646" s="63" t="n"/>
      <c r="Z646" s="64" t="n"/>
      <c r="AA646" s="64" t="n"/>
      <c r="AB646" s="65" t="n"/>
      <c r="AC646" s="69" t="str">
        <f>IF(OR($G646="",NOT(ISNUMBER($K646)),$AK646=0),"",MAX(0,ReportDate-$K646))</f>
        <v/>
      </c>
      <c r="AD646" s="69" t="str">
        <f>IF($G646="","",IF($AL646=1,ReportDate-$L646,0))</f>
        <v/>
      </c>
      <c r="AE646" s="70" t="str">
        <f>IF($G646="","",IF($M646="Completed",1,IF(ISNUMBER($N646),$N646,0)))</f>
        <v/>
      </c>
      <c r="AF646" s="70" t="str">
        <f>IF(AND(ISNUMBER($Q646),ISNUMBER($R646)),IF($R646&lt;&gt;0,$Q646/$R646,""),"")</f>
        <v/>
      </c>
      <c r="AG646" s="71" t="str">
        <f>IF($G646="","",IF($AL646=1,"OVERDUE",IF($AM646=1,"BLOCKED",IF($AN646=1,"DUE TODAY",IF($AO646=1,"DUE TOMORROW",IF($AQ646=1,"HIGH PRIORITY",IF($AR646=1,"NO RECENT UPDATE",""))))))) </f>
        <v/>
      </c>
      <c r="AH646" s="71" t="str">
        <f>IF($G646="","",IF(ISNUMBER($A646),IF(ISNUMBER($A646),YEAR($A646)&amp;"-"&amp;TEXT(MONTH($A646),"00"),""),IF(ISNUMBER($L646),IF(ISNUMBER($L646),YEAR($L646)&amp;"-"&amp;TEXT(MONTH($L646),"00"),""),"")))</f>
        <v/>
      </c>
      <c r="AI646" s="71">
        <f>IF($G646="",0,IF(AND(OR(fClient="All",$C646=fClient),OR(fCampaign="All",$D646=fCampaign),OR(fTeam="All",$B646=fTeam),OR(fChannel="All",$F646=fChannel),OR(fMonth="All",$AH646=fMonth),OR(fTStatus="All",$M646=fTStatus)),1,0))</f>
        <v>0</v>
      </c>
      <c r="AJ646" s="71">
        <f>IF($G646="",0,IF(AND(OR(fClient="All",$C646=fClient),OR(fCampaign="All",$D646=fCampaign),OR(fTeam="All",$B646=fTeam),OR(fChannel="All",$F646=fChannel)),1,0))</f>
        <v>0</v>
      </c>
      <c r="AK646" s="71">
        <f>IF($G646="",0,IF(OR($M646="Completed",$M646="Cancelled"),0,1))</f>
        <v>0</v>
      </c>
      <c r="AL646" s="71">
        <f>IF(AND($AK646=1,ISNUMBER($L646)),IF($L646&lt;ReportDate,1,0),0)</f>
        <v>0</v>
      </c>
      <c r="AM646" s="71">
        <f>IF(AND($G646&lt;&gt;"",$M646="Blocked"),1,0)</f>
        <v>0</v>
      </c>
      <c r="AN646" s="71">
        <f>IF(AND($AK646=1,ISNUMBER($L646)),IF($L646=ReportDate,1,0),0)</f>
        <v>0</v>
      </c>
      <c r="AO646" s="71">
        <f>IF(AND($AK646=1,ISNUMBER($L646)),IF($L646=ReportDate+1,1,0),0)</f>
        <v>0</v>
      </c>
      <c r="AP646" s="71">
        <f>IF(AND($AK646=1,ISNUMBER($L646)),IF(AND($L646&gt;=ReportDate,$L646&lt;=ReportDate+DueSoonDays),1,0),0)</f>
        <v>0</v>
      </c>
      <c r="AQ646" s="71">
        <f>IF(AND($AK646=1,OR($I646="Critical",$I646="High")),1,0)</f>
        <v>0</v>
      </c>
      <c r="AR646" s="71">
        <f>IF($AK646=1,IF(ISNUMBER($Y646),IF(ReportDate-$Y646&gt;StaleDays,1,0),1),0)</f>
        <v>0</v>
      </c>
      <c r="AS646" s="71">
        <f>IF(AND($G646&lt;&gt;"",ISNUMBER($Q646),ISNUMBER($R646)),IF(AND($Q646&lt;$R646,OR($M646="Completed",AND(ISNUMBER($L646),$L646&lt;ReportDate))),1,0),0)</f>
        <v>0</v>
      </c>
      <c r="AT646" s="71">
        <f>IF($AK646=1,IF(OR($L646=ReportDate,$W646=ReportDate,$K646=ReportDate,$A646=ReportDate),1,0),0)</f>
        <v>0</v>
      </c>
      <c r="AU646" s="71">
        <f>IF($AK646=1,IF(OR($L646=ReportDate+1,$W646=ReportDate+1,$K646=ReportDate+1,$A646=ReportDate+1),1,0),0)</f>
        <v>0</v>
      </c>
      <c r="AV646" s="71">
        <f>IF(AND($G646&lt;&gt;"",$M646="Completed"),IF(OR($Y646=ReportDate-1,$A646=ReportDate-1),1,0),0)</f>
        <v>0</v>
      </c>
      <c r="AW646" s="71">
        <f>IF(AND($AK646=1,$Z646="Yes"),1,0)</f>
        <v>0</v>
      </c>
      <c r="AX646" s="71">
        <f>IF(AND($AK646=1,$AA646="Yes"),1,0)</f>
        <v>0</v>
      </c>
      <c r="AY646" s="71">
        <f>IF(AND($AM646=1,OR($I646="Critical",$I646="High")),1,0)</f>
        <v>0</v>
      </c>
      <c r="AZ646" s="71">
        <f>IF(AND($AK646=1,OR($C646=TCL_Client,$C646=MECCA_Client)),1,0)</f>
        <v>0</v>
      </c>
      <c r="BA646" s="71" t="str">
        <f>IF($G646="","",IFERROR(MATCH($I646,lst_Priority,0),5))</f>
        <v/>
      </c>
      <c r="BB646" s="71" t="str">
        <f>IF(AND($AL646=1,$AJ646=1),$BA646*100000+ROW(),"")</f>
        <v/>
      </c>
      <c r="BC646" s="71" t="str">
        <f>IF(AND($AM646=1,$AJ646=1),$BA646*100000+ROW(),"")</f>
        <v/>
      </c>
      <c r="BD646" s="71" t="str">
        <f>IF(AND($AP646=1,$AJ646=1),$BA646*100000+ROW(),"")</f>
        <v/>
      </c>
      <c r="BE646" s="71" t="str">
        <f>IF(AND($AT646=1,$AJ646=1),$BA646*100000+ROW(),"")</f>
        <v/>
      </c>
      <c r="BF646" s="71" t="str">
        <f>IF(AND($AU646=1,$AJ646=1),$BA646*100000+ROW(),"")</f>
        <v/>
      </c>
      <c r="BG646" s="71" t="str">
        <f>IF(AND($AV646=1,$AJ646=1),$BA646*100000+ROW(),"")</f>
        <v/>
      </c>
      <c r="BH646" s="71" t="str">
        <f>IF(AND($AW646=1,$AJ646=1),$BA646*100000+ROW(),"")</f>
        <v/>
      </c>
      <c r="BI646" s="71" t="str">
        <f>IF(AND($AX646=1,$AJ646=1),$BA646*100000+ROW(),"")</f>
        <v/>
      </c>
      <c r="BJ646" s="71" t="str">
        <f>IF(AND($AS646=1,$AJ646=1),$BA646*100000+ROW(),"")</f>
        <v/>
      </c>
      <c r="BK646" s="71" t="str">
        <f>IF(AND($AY646=1,$AJ646=1),$BA646*100000+ROW(),"")</f>
        <v/>
      </c>
      <c r="BL646" s="71" t="str">
        <f>IF(AND($AZ646=1),$BA646*100000+ROW(),"")</f>
        <v/>
      </c>
    </row>
    <row r="647">
      <c r="A647" s="63" t="n"/>
      <c r="B647" s="64" t="n"/>
      <c r="C647" s="64" t="n"/>
      <c r="D647" s="64" t="n"/>
      <c r="E647" s="64" t="n"/>
      <c r="F647" s="64" t="n"/>
      <c r="G647" s="65" t="n"/>
      <c r="H647" s="65" t="n"/>
      <c r="I647" s="64" t="n"/>
      <c r="J647" s="64" t="n"/>
      <c r="K647" s="63" t="n"/>
      <c r="L647" s="63" t="n"/>
      <c r="M647" s="64" t="n"/>
      <c r="N647" s="66" t="n"/>
      <c r="O647" s="65" t="n"/>
      <c r="P647" s="64" t="n"/>
      <c r="Q647" s="67" t="n"/>
      <c r="R647" s="67" t="n"/>
      <c r="S647" s="68" t="str">
        <f>IF(AND(ISNUMBER($Q647),ISNUMBER($R647)),$Q647-$R647,"")</f>
        <v/>
      </c>
      <c r="T647" s="65" t="n"/>
      <c r="U647" s="64" t="n"/>
      <c r="V647" s="65" t="n"/>
      <c r="W647" s="63" t="n"/>
      <c r="X647" s="65" t="n"/>
      <c r="Y647" s="63" t="n"/>
      <c r="Z647" s="64" t="n"/>
      <c r="AA647" s="64" t="n"/>
      <c r="AB647" s="65" t="n"/>
      <c r="AC647" s="69" t="str">
        <f>IF(OR($G647="",NOT(ISNUMBER($K647)),$AK647=0),"",MAX(0,ReportDate-$K647))</f>
        <v/>
      </c>
      <c r="AD647" s="69" t="str">
        <f>IF($G647="","",IF($AL647=1,ReportDate-$L647,0))</f>
        <v/>
      </c>
      <c r="AE647" s="70" t="str">
        <f>IF($G647="","",IF($M647="Completed",1,IF(ISNUMBER($N647),$N647,0)))</f>
        <v/>
      </c>
      <c r="AF647" s="70" t="str">
        <f>IF(AND(ISNUMBER($Q647),ISNUMBER($R647)),IF($R647&lt;&gt;0,$Q647/$R647,""),"")</f>
        <v/>
      </c>
      <c r="AG647" s="71" t="str">
        <f>IF($G647="","",IF($AL647=1,"OVERDUE",IF($AM647=1,"BLOCKED",IF($AN647=1,"DUE TODAY",IF($AO647=1,"DUE TOMORROW",IF($AQ647=1,"HIGH PRIORITY",IF($AR647=1,"NO RECENT UPDATE",""))))))) </f>
        <v/>
      </c>
      <c r="AH647" s="71" t="str">
        <f>IF($G647="","",IF(ISNUMBER($A647),IF(ISNUMBER($A647),YEAR($A647)&amp;"-"&amp;TEXT(MONTH($A647),"00"),""),IF(ISNUMBER($L647),IF(ISNUMBER($L647),YEAR($L647)&amp;"-"&amp;TEXT(MONTH($L647),"00"),""),"")))</f>
        <v/>
      </c>
      <c r="AI647" s="71">
        <f>IF($G647="",0,IF(AND(OR(fClient="All",$C647=fClient),OR(fCampaign="All",$D647=fCampaign),OR(fTeam="All",$B647=fTeam),OR(fChannel="All",$F647=fChannel),OR(fMonth="All",$AH647=fMonth),OR(fTStatus="All",$M647=fTStatus)),1,0))</f>
        <v>0</v>
      </c>
      <c r="AJ647" s="71">
        <f>IF($G647="",0,IF(AND(OR(fClient="All",$C647=fClient),OR(fCampaign="All",$D647=fCampaign),OR(fTeam="All",$B647=fTeam),OR(fChannel="All",$F647=fChannel)),1,0))</f>
        <v>0</v>
      </c>
      <c r="AK647" s="71">
        <f>IF($G647="",0,IF(OR($M647="Completed",$M647="Cancelled"),0,1))</f>
        <v>0</v>
      </c>
      <c r="AL647" s="71">
        <f>IF(AND($AK647=1,ISNUMBER($L647)),IF($L647&lt;ReportDate,1,0),0)</f>
        <v>0</v>
      </c>
      <c r="AM647" s="71">
        <f>IF(AND($G647&lt;&gt;"",$M647="Blocked"),1,0)</f>
        <v>0</v>
      </c>
      <c r="AN647" s="71">
        <f>IF(AND($AK647=1,ISNUMBER($L647)),IF($L647=ReportDate,1,0),0)</f>
        <v>0</v>
      </c>
      <c r="AO647" s="71">
        <f>IF(AND($AK647=1,ISNUMBER($L647)),IF($L647=ReportDate+1,1,0),0)</f>
        <v>0</v>
      </c>
      <c r="AP647" s="71">
        <f>IF(AND($AK647=1,ISNUMBER($L647)),IF(AND($L647&gt;=ReportDate,$L647&lt;=ReportDate+DueSoonDays),1,0),0)</f>
        <v>0</v>
      </c>
      <c r="AQ647" s="71">
        <f>IF(AND($AK647=1,OR($I647="Critical",$I647="High")),1,0)</f>
        <v>0</v>
      </c>
      <c r="AR647" s="71">
        <f>IF($AK647=1,IF(ISNUMBER($Y647),IF(ReportDate-$Y647&gt;StaleDays,1,0),1),0)</f>
        <v>0</v>
      </c>
      <c r="AS647" s="71">
        <f>IF(AND($G647&lt;&gt;"",ISNUMBER($Q647),ISNUMBER($R647)),IF(AND($Q647&lt;$R647,OR($M647="Completed",AND(ISNUMBER($L647),$L647&lt;ReportDate))),1,0),0)</f>
        <v>0</v>
      </c>
      <c r="AT647" s="71">
        <f>IF($AK647=1,IF(OR($L647=ReportDate,$W647=ReportDate,$K647=ReportDate,$A647=ReportDate),1,0),0)</f>
        <v>0</v>
      </c>
      <c r="AU647" s="71">
        <f>IF($AK647=1,IF(OR($L647=ReportDate+1,$W647=ReportDate+1,$K647=ReportDate+1,$A647=ReportDate+1),1,0),0)</f>
        <v>0</v>
      </c>
      <c r="AV647" s="71">
        <f>IF(AND($G647&lt;&gt;"",$M647="Completed"),IF(OR($Y647=ReportDate-1,$A647=ReportDate-1),1,0),0)</f>
        <v>0</v>
      </c>
      <c r="AW647" s="71">
        <f>IF(AND($AK647=1,$Z647="Yes"),1,0)</f>
        <v>0</v>
      </c>
      <c r="AX647" s="71">
        <f>IF(AND($AK647=1,$AA647="Yes"),1,0)</f>
        <v>0</v>
      </c>
      <c r="AY647" s="71">
        <f>IF(AND($AM647=1,OR($I647="Critical",$I647="High")),1,0)</f>
        <v>0</v>
      </c>
      <c r="AZ647" s="71">
        <f>IF(AND($AK647=1,OR($C647=TCL_Client,$C647=MECCA_Client)),1,0)</f>
        <v>0</v>
      </c>
      <c r="BA647" s="71" t="str">
        <f>IF($G647="","",IFERROR(MATCH($I647,lst_Priority,0),5))</f>
        <v/>
      </c>
      <c r="BB647" s="71" t="str">
        <f>IF(AND($AL647=1,$AJ647=1),$BA647*100000+ROW(),"")</f>
        <v/>
      </c>
      <c r="BC647" s="71" t="str">
        <f>IF(AND($AM647=1,$AJ647=1),$BA647*100000+ROW(),"")</f>
        <v/>
      </c>
      <c r="BD647" s="71" t="str">
        <f>IF(AND($AP647=1,$AJ647=1),$BA647*100000+ROW(),"")</f>
        <v/>
      </c>
      <c r="BE647" s="71" t="str">
        <f>IF(AND($AT647=1,$AJ647=1),$BA647*100000+ROW(),"")</f>
        <v/>
      </c>
      <c r="BF647" s="71" t="str">
        <f>IF(AND($AU647=1,$AJ647=1),$BA647*100000+ROW(),"")</f>
        <v/>
      </c>
      <c r="BG647" s="71" t="str">
        <f>IF(AND($AV647=1,$AJ647=1),$BA647*100000+ROW(),"")</f>
        <v/>
      </c>
      <c r="BH647" s="71" t="str">
        <f>IF(AND($AW647=1,$AJ647=1),$BA647*100000+ROW(),"")</f>
        <v/>
      </c>
      <c r="BI647" s="71" t="str">
        <f>IF(AND($AX647=1,$AJ647=1),$BA647*100000+ROW(),"")</f>
        <v/>
      </c>
      <c r="BJ647" s="71" t="str">
        <f>IF(AND($AS647=1,$AJ647=1),$BA647*100000+ROW(),"")</f>
        <v/>
      </c>
      <c r="BK647" s="71" t="str">
        <f>IF(AND($AY647=1,$AJ647=1),$BA647*100000+ROW(),"")</f>
        <v/>
      </c>
      <c r="BL647" s="71" t="str">
        <f>IF(AND($AZ647=1),$BA647*100000+ROW(),"")</f>
        <v/>
      </c>
    </row>
    <row r="648">
      <c r="A648" s="63" t="n"/>
      <c r="B648" s="64" t="n"/>
      <c r="C648" s="64" t="n"/>
      <c r="D648" s="64" t="n"/>
      <c r="E648" s="64" t="n"/>
      <c r="F648" s="64" t="n"/>
      <c r="G648" s="65" t="n"/>
      <c r="H648" s="65" t="n"/>
      <c r="I648" s="64" t="n"/>
      <c r="J648" s="64" t="n"/>
      <c r="K648" s="63" t="n"/>
      <c r="L648" s="63" t="n"/>
      <c r="M648" s="64" t="n"/>
      <c r="N648" s="66" t="n"/>
      <c r="O648" s="65" t="n"/>
      <c r="P648" s="64" t="n"/>
      <c r="Q648" s="67" t="n"/>
      <c r="R648" s="67" t="n"/>
      <c r="S648" s="68" t="str">
        <f>IF(AND(ISNUMBER($Q648),ISNUMBER($R648)),$Q648-$R648,"")</f>
        <v/>
      </c>
      <c r="T648" s="65" t="n"/>
      <c r="U648" s="64" t="n"/>
      <c r="V648" s="65" t="n"/>
      <c r="W648" s="63" t="n"/>
      <c r="X648" s="65" t="n"/>
      <c r="Y648" s="63" t="n"/>
      <c r="Z648" s="64" t="n"/>
      <c r="AA648" s="64" t="n"/>
      <c r="AB648" s="65" t="n"/>
      <c r="AC648" s="69" t="str">
        <f>IF(OR($G648="",NOT(ISNUMBER($K648)),$AK648=0),"",MAX(0,ReportDate-$K648))</f>
        <v/>
      </c>
      <c r="AD648" s="69" t="str">
        <f>IF($G648="","",IF($AL648=1,ReportDate-$L648,0))</f>
        <v/>
      </c>
      <c r="AE648" s="70" t="str">
        <f>IF($G648="","",IF($M648="Completed",1,IF(ISNUMBER($N648),$N648,0)))</f>
        <v/>
      </c>
      <c r="AF648" s="70" t="str">
        <f>IF(AND(ISNUMBER($Q648),ISNUMBER($R648)),IF($R648&lt;&gt;0,$Q648/$R648,""),"")</f>
        <v/>
      </c>
      <c r="AG648" s="71" t="str">
        <f>IF($G648="","",IF($AL648=1,"OVERDUE",IF($AM648=1,"BLOCKED",IF($AN648=1,"DUE TODAY",IF($AO648=1,"DUE TOMORROW",IF($AQ648=1,"HIGH PRIORITY",IF($AR648=1,"NO RECENT UPDATE",""))))))) </f>
        <v/>
      </c>
      <c r="AH648" s="71" t="str">
        <f>IF($G648="","",IF(ISNUMBER($A648),IF(ISNUMBER($A648),YEAR($A648)&amp;"-"&amp;TEXT(MONTH($A648),"00"),""),IF(ISNUMBER($L648),IF(ISNUMBER($L648),YEAR($L648)&amp;"-"&amp;TEXT(MONTH($L648),"00"),""),"")))</f>
        <v/>
      </c>
      <c r="AI648" s="71">
        <f>IF($G648="",0,IF(AND(OR(fClient="All",$C648=fClient),OR(fCampaign="All",$D648=fCampaign),OR(fTeam="All",$B648=fTeam),OR(fChannel="All",$F648=fChannel),OR(fMonth="All",$AH648=fMonth),OR(fTStatus="All",$M648=fTStatus)),1,0))</f>
        <v>0</v>
      </c>
      <c r="AJ648" s="71">
        <f>IF($G648="",0,IF(AND(OR(fClient="All",$C648=fClient),OR(fCampaign="All",$D648=fCampaign),OR(fTeam="All",$B648=fTeam),OR(fChannel="All",$F648=fChannel)),1,0))</f>
        <v>0</v>
      </c>
      <c r="AK648" s="71">
        <f>IF($G648="",0,IF(OR($M648="Completed",$M648="Cancelled"),0,1))</f>
        <v>0</v>
      </c>
      <c r="AL648" s="71">
        <f>IF(AND($AK648=1,ISNUMBER($L648)),IF($L648&lt;ReportDate,1,0),0)</f>
        <v>0</v>
      </c>
      <c r="AM648" s="71">
        <f>IF(AND($G648&lt;&gt;"",$M648="Blocked"),1,0)</f>
        <v>0</v>
      </c>
      <c r="AN648" s="71">
        <f>IF(AND($AK648=1,ISNUMBER($L648)),IF($L648=ReportDate,1,0),0)</f>
        <v>0</v>
      </c>
      <c r="AO648" s="71">
        <f>IF(AND($AK648=1,ISNUMBER($L648)),IF($L648=ReportDate+1,1,0),0)</f>
        <v>0</v>
      </c>
      <c r="AP648" s="71">
        <f>IF(AND($AK648=1,ISNUMBER($L648)),IF(AND($L648&gt;=ReportDate,$L648&lt;=ReportDate+DueSoonDays),1,0),0)</f>
        <v>0</v>
      </c>
      <c r="AQ648" s="71">
        <f>IF(AND($AK648=1,OR($I648="Critical",$I648="High")),1,0)</f>
        <v>0</v>
      </c>
      <c r="AR648" s="71">
        <f>IF($AK648=1,IF(ISNUMBER($Y648),IF(ReportDate-$Y648&gt;StaleDays,1,0),1),0)</f>
        <v>0</v>
      </c>
      <c r="AS648" s="71">
        <f>IF(AND($G648&lt;&gt;"",ISNUMBER($Q648),ISNUMBER($R648)),IF(AND($Q648&lt;$R648,OR($M648="Completed",AND(ISNUMBER($L648),$L648&lt;ReportDate))),1,0),0)</f>
        <v>0</v>
      </c>
      <c r="AT648" s="71">
        <f>IF($AK648=1,IF(OR($L648=ReportDate,$W648=ReportDate,$K648=ReportDate,$A648=ReportDate),1,0),0)</f>
        <v>0</v>
      </c>
      <c r="AU648" s="71">
        <f>IF($AK648=1,IF(OR($L648=ReportDate+1,$W648=ReportDate+1,$K648=ReportDate+1,$A648=ReportDate+1),1,0),0)</f>
        <v>0</v>
      </c>
      <c r="AV648" s="71">
        <f>IF(AND($G648&lt;&gt;"",$M648="Completed"),IF(OR($Y648=ReportDate-1,$A648=ReportDate-1),1,0),0)</f>
        <v>0</v>
      </c>
      <c r="AW648" s="71">
        <f>IF(AND($AK648=1,$Z648="Yes"),1,0)</f>
        <v>0</v>
      </c>
      <c r="AX648" s="71">
        <f>IF(AND($AK648=1,$AA648="Yes"),1,0)</f>
        <v>0</v>
      </c>
      <c r="AY648" s="71">
        <f>IF(AND($AM648=1,OR($I648="Critical",$I648="High")),1,0)</f>
        <v>0</v>
      </c>
      <c r="AZ648" s="71">
        <f>IF(AND($AK648=1,OR($C648=TCL_Client,$C648=MECCA_Client)),1,0)</f>
        <v>0</v>
      </c>
      <c r="BA648" s="71" t="str">
        <f>IF($G648="","",IFERROR(MATCH($I648,lst_Priority,0),5))</f>
        <v/>
      </c>
      <c r="BB648" s="71" t="str">
        <f>IF(AND($AL648=1,$AJ648=1),$BA648*100000+ROW(),"")</f>
        <v/>
      </c>
      <c r="BC648" s="71" t="str">
        <f>IF(AND($AM648=1,$AJ648=1),$BA648*100000+ROW(),"")</f>
        <v/>
      </c>
      <c r="BD648" s="71" t="str">
        <f>IF(AND($AP648=1,$AJ648=1),$BA648*100000+ROW(),"")</f>
        <v/>
      </c>
      <c r="BE648" s="71" t="str">
        <f>IF(AND($AT648=1,$AJ648=1),$BA648*100000+ROW(),"")</f>
        <v/>
      </c>
      <c r="BF648" s="71" t="str">
        <f>IF(AND($AU648=1,$AJ648=1),$BA648*100000+ROW(),"")</f>
        <v/>
      </c>
      <c r="BG648" s="71" t="str">
        <f>IF(AND($AV648=1,$AJ648=1),$BA648*100000+ROW(),"")</f>
        <v/>
      </c>
      <c r="BH648" s="71" t="str">
        <f>IF(AND($AW648=1,$AJ648=1),$BA648*100000+ROW(),"")</f>
        <v/>
      </c>
      <c r="BI648" s="71" t="str">
        <f>IF(AND($AX648=1,$AJ648=1),$BA648*100000+ROW(),"")</f>
        <v/>
      </c>
      <c r="BJ648" s="71" t="str">
        <f>IF(AND($AS648=1,$AJ648=1),$BA648*100000+ROW(),"")</f>
        <v/>
      </c>
      <c r="BK648" s="71" t="str">
        <f>IF(AND($AY648=1,$AJ648=1),$BA648*100000+ROW(),"")</f>
        <v/>
      </c>
      <c r="BL648" s="71" t="str">
        <f>IF(AND($AZ648=1),$BA648*100000+ROW(),"")</f>
        <v/>
      </c>
    </row>
    <row r="649">
      <c r="A649" s="63" t="n"/>
      <c r="B649" s="64" t="n"/>
      <c r="C649" s="64" t="n"/>
      <c r="D649" s="64" t="n"/>
      <c r="E649" s="64" t="n"/>
      <c r="F649" s="64" t="n"/>
      <c r="G649" s="65" t="n"/>
      <c r="H649" s="65" t="n"/>
      <c r="I649" s="64" t="n"/>
      <c r="J649" s="64" t="n"/>
      <c r="K649" s="63" t="n"/>
      <c r="L649" s="63" t="n"/>
      <c r="M649" s="64" t="n"/>
      <c r="N649" s="66" t="n"/>
      <c r="O649" s="65" t="n"/>
      <c r="P649" s="64" t="n"/>
      <c r="Q649" s="67" t="n"/>
      <c r="R649" s="67" t="n"/>
      <c r="S649" s="68" t="str">
        <f>IF(AND(ISNUMBER($Q649),ISNUMBER($R649)),$Q649-$R649,"")</f>
        <v/>
      </c>
      <c r="T649" s="65" t="n"/>
      <c r="U649" s="64" t="n"/>
      <c r="V649" s="65" t="n"/>
      <c r="W649" s="63" t="n"/>
      <c r="X649" s="65" t="n"/>
      <c r="Y649" s="63" t="n"/>
      <c r="Z649" s="64" t="n"/>
      <c r="AA649" s="64" t="n"/>
      <c r="AB649" s="65" t="n"/>
      <c r="AC649" s="69" t="str">
        <f>IF(OR($G649="",NOT(ISNUMBER($K649)),$AK649=0),"",MAX(0,ReportDate-$K649))</f>
        <v/>
      </c>
      <c r="AD649" s="69" t="str">
        <f>IF($G649="","",IF($AL649=1,ReportDate-$L649,0))</f>
        <v/>
      </c>
      <c r="AE649" s="70" t="str">
        <f>IF($G649="","",IF($M649="Completed",1,IF(ISNUMBER($N649),$N649,0)))</f>
        <v/>
      </c>
      <c r="AF649" s="70" t="str">
        <f>IF(AND(ISNUMBER($Q649),ISNUMBER($R649)),IF($R649&lt;&gt;0,$Q649/$R649,""),"")</f>
        <v/>
      </c>
      <c r="AG649" s="71" t="str">
        <f>IF($G649="","",IF($AL649=1,"OVERDUE",IF($AM649=1,"BLOCKED",IF($AN649=1,"DUE TODAY",IF($AO649=1,"DUE TOMORROW",IF($AQ649=1,"HIGH PRIORITY",IF($AR649=1,"NO RECENT UPDATE",""))))))) </f>
        <v/>
      </c>
      <c r="AH649" s="71" t="str">
        <f>IF($G649="","",IF(ISNUMBER($A649),IF(ISNUMBER($A649),YEAR($A649)&amp;"-"&amp;TEXT(MONTH($A649),"00"),""),IF(ISNUMBER($L649),IF(ISNUMBER($L649),YEAR($L649)&amp;"-"&amp;TEXT(MONTH($L649),"00"),""),"")))</f>
        <v/>
      </c>
      <c r="AI649" s="71">
        <f>IF($G649="",0,IF(AND(OR(fClient="All",$C649=fClient),OR(fCampaign="All",$D649=fCampaign),OR(fTeam="All",$B649=fTeam),OR(fChannel="All",$F649=fChannel),OR(fMonth="All",$AH649=fMonth),OR(fTStatus="All",$M649=fTStatus)),1,0))</f>
        <v>0</v>
      </c>
      <c r="AJ649" s="71">
        <f>IF($G649="",0,IF(AND(OR(fClient="All",$C649=fClient),OR(fCampaign="All",$D649=fCampaign),OR(fTeam="All",$B649=fTeam),OR(fChannel="All",$F649=fChannel)),1,0))</f>
        <v>0</v>
      </c>
      <c r="AK649" s="71">
        <f>IF($G649="",0,IF(OR($M649="Completed",$M649="Cancelled"),0,1))</f>
        <v>0</v>
      </c>
      <c r="AL649" s="71">
        <f>IF(AND($AK649=1,ISNUMBER($L649)),IF($L649&lt;ReportDate,1,0),0)</f>
        <v>0</v>
      </c>
      <c r="AM649" s="71">
        <f>IF(AND($G649&lt;&gt;"",$M649="Blocked"),1,0)</f>
        <v>0</v>
      </c>
      <c r="AN649" s="71">
        <f>IF(AND($AK649=1,ISNUMBER($L649)),IF($L649=ReportDate,1,0),0)</f>
        <v>0</v>
      </c>
      <c r="AO649" s="71">
        <f>IF(AND($AK649=1,ISNUMBER($L649)),IF($L649=ReportDate+1,1,0),0)</f>
        <v>0</v>
      </c>
      <c r="AP649" s="71">
        <f>IF(AND($AK649=1,ISNUMBER($L649)),IF(AND($L649&gt;=ReportDate,$L649&lt;=ReportDate+DueSoonDays),1,0),0)</f>
        <v>0</v>
      </c>
      <c r="AQ649" s="71">
        <f>IF(AND($AK649=1,OR($I649="Critical",$I649="High")),1,0)</f>
        <v>0</v>
      </c>
      <c r="AR649" s="71">
        <f>IF($AK649=1,IF(ISNUMBER($Y649),IF(ReportDate-$Y649&gt;StaleDays,1,0),1),0)</f>
        <v>0</v>
      </c>
      <c r="AS649" s="71">
        <f>IF(AND($G649&lt;&gt;"",ISNUMBER($Q649),ISNUMBER($R649)),IF(AND($Q649&lt;$R649,OR($M649="Completed",AND(ISNUMBER($L649),$L649&lt;ReportDate))),1,0),0)</f>
        <v>0</v>
      </c>
      <c r="AT649" s="71">
        <f>IF($AK649=1,IF(OR($L649=ReportDate,$W649=ReportDate,$K649=ReportDate,$A649=ReportDate),1,0),0)</f>
        <v>0</v>
      </c>
      <c r="AU649" s="71">
        <f>IF($AK649=1,IF(OR($L649=ReportDate+1,$W649=ReportDate+1,$K649=ReportDate+1,$A649=ReportDate+1),1,0),0)</f>
        <v>0</v>
      </c>
      <c r="AV649" s="71">
        <f>IF(AND($G649&lt;&gt;"",$M649="Completed"),IF(OR($Y649=ReportDate-1,$A649=ReportDate-1),1,0),0)</f>
        <v>0</v>
      </c>
      <c r="AW649" s="71">
        <f>IF(AND($AK649=1,$Z649="Yes"),1,0)</f>
        <v>0</v>
      </c>
      <c r="AX649" s="71">
        <f>IF(AND($AK649=1,$AA649="Yes"),1,0)</f>
        <v>0</v>
      </c>
      <c r="AY649" s="71">
        <f>IF(AND($AM649=1,OR($I649="Critical",$I649="High")),1,0)</f>
        <v>0</v>
      </c>
      <c r="AZ649" s="71">
        <f>IF(AND($AK649=1,OR($C649=TCL_Client,$C649=MECCA_Client)),1,0)</f>
        <v>0</v>
      </c>
      <c r="BA649" s="71" t="str">
        <f>IF($G649="","",IFERROR(MATCH($I649,lst_Priority,0),5))</f>
        <v/>
      </c>
      <c r="BB649" s="71" t="str">
        <f>IF(AND($AL649=1,$AJ649=1),$BA649*100000+ROW(),"")</f>
        <v/>
      </c>
      <c r="BC649" s="71" t="str">
        <f>IF(AND($AM649=1,$AJ649=1),$BA649*100000+ROW(),"")</f>
        <v/>
      </c>
      <c r="BD649" s="71" t="str">
        <f>IF(AND($AP649=1,$AJ649=1),$BA649*100000+ROW(),"")</f>
        <v/>
      </c>
      <c r="BE649" s="71" t="str">
        <f>IF(AND($AT649=1,$AJ649=1),$BA649*100000+ROW(),"")</f>
        <v/>
      </c>
      <c r="BF649" s="71" t="str">
        <f>IF(AND($AU649=1,$AJ649=1),$BA649*100000+ROW(),"")</f>
        <v/>
      </c>
      <c r="BG649" s="71" t="str">
        <f>IF(AND($AV649=1,$AJ649=1),$BA649*100000+ROW(),"")</f>
        <v/>
      </c>
      <c r="BH649" s="71" t="str">
        <f>IF(AND($AW649=1,$AJ649=1),$BA649*100000+ROW(),"")</f>
        <v/>
      </c>
      <c r="BI649" s="71" t="str">
        <f>IF(AND($AX649=1,$AJ649=1),$BA649*100000+ROW(),"")</f>
        <v/>
      </c>
      <c r="BJ649" s="71" t="str">
        <f>IF(AND($AS649=1,$AJ649=1),$BA649*100000+ROW(),"")</f>
        <v/>
      </c>
      <c r="BK649" s="71" t="str">
        <f>IF(AND($AY649=1,$AJ649=1),$BA649*100000+ROW(),"")</f>
        <v/>
      </c>
      <c r="BL649" s="71" t="str">
        <f>IF(AND($AZ649=1),$BA649*100000+ROW(),"")</f>
        <v/>
      </c>
    </row>
    <row r="650">
      <c r="A650" s="63" t="n"/>
      <c r="B650" s="64" t="n"/>
      <c r="C650" s="64" t="n"/>
      <c r="D650" s="64" t="n"/>
      <c r="E650" s="64" t="n"/>
      <c r="F650" s="64" t="n"/>
      <c r="G650" s="65" t="n"/>
      <c r="H650" s="65" t="n"/>
      <c r="I650" s="64" t="n"/>
      <c r="J650" s="64" t="n"/>
      <c r="K650" s="63" t="n"/>
      <c r="L650" s="63" t="n"/>
      <c r="M650" s="64" t="n"/>
      <c r="N650" s="66" t="n"/>
      <c r="O650" s="65" t="n"/>
      <c r="P650" s="64" t="n"/>
      <c r="Q650" s="67" t="n"/>
      <c r="R650" s="67" t="n"/>
      <c r="S650" s="68" t="str">
        <f>IF(AND(ISNUMBER($Q650),ISNUMBER($R650)),$Q650-$R650,"")</f>
        <v/>
      </c>
      <c r="T650" s="65" t="n"/>
      <c r="U650" s="64" t="n"/>
      <c r="V650" s="65" t="n"/>
      <c r="W650" s="63" t="n"/>
      <c r="X650" s="65" t="n"/>
      <c r="Y650" s="63" t="n"/>
      <c r="Z650" s="64" t="n"/>
      <c r="AA650" s="64" t="n"/>
      <c r="AB650" s="65" t="n"/>
      <c r="AC650" s="69" t="str">
        <f>IF(OR($G650="",NOT(ISNUMBER($K650)),$AK650=0),"",MAX(0,ReportDate-$K650))</f>
        <v/>
      </c>
      <c r="AD650" s="69" t="str">
        <f>IF($G650="","",IF($AL650=1,ReportDate-$L650,0))</f>
        <v/>
      </c>
      <c r="AE650" s="70" t="str">
        <f>IF($G650="","",IF($M650="Completed",1,IF(ISNUMBER($N650),$N650,0)))</f>
        <v/>
      </c>
      <c r="AF650" s="70" t="str">
        <f>IF(AND(ISNUMBER($Q650),ISNUMBER($R650)),IF($R650&lt;&gt;0,$Q650/$R650,""),"")</f>
        <v/>
      </c>
      <c r="AG650" s="71" t="str">
        <f>IF($G650="","",IF($AL650=1,"OVERDUE",IF($AM650=1,"BLOCKED",IF($AN650=1,"DUE TODAY",IF($AO650=1,"DUE TOMORROW",IF($AQ650=1,"HIGH PRIORITY",IF($AR650=1,"NO RECENT UPDATE",""))))))) </f>
        <v/>
      </c>
      <c r="AH650" s="71" t="str">
        <f>IF($G650="","",IF(ISNUMBER($A650),IF(ISNUMBER($A650),YEAR($A650)&amp;"-"&amp;TEXT(MONTH($A650),"00"),""),IF(ISNUMBER($L650),IF(ISNUMBER($L650),YEAR($L650)&amp;"-"&amp;TEXT(MONTH($L650),"00"),""),"")))</f>
        <v/>
      </c>
      <c r="AI650" s="71">
        <f>IF($G650="",0,IF(AND(OR(fClient="All",$C650=fClient),OR(fCampaign="All",$D650=fCampaign),OR(fTeam="All",$B650=fTeam),OR(fChannel="All",$F650=fChannel),OR(fMonth="All",$AH650=fMonth),OR(fTStatus="All",$M650=fTStatus)),1,0))</f>
        <v>0</v>
      </c>
      <c r="AJ650" s="71">
        <f>IF($G650="",0,IF(AND(OR(fClient="All",$C650=fClient),OR(fCampaign="All",$D650=fCampaign),OR(fTeam="All",$B650=fTeam),OR(fChannel="All",$F650=fChannel)),1,0))</f>
        <v>0</v>
      </c>
      <c r="AK650" s="71">
        <f>IF($G650="",0,IF(OR($M650="Completed",$M650="Cancelled"),0,1))</f>
        <v>0</v>
      </c>
      <c r="AL650" s="71">
        <f>IF(AND($AK650=1,ISNUMBER($L650)),IF($L650&lt;ReportDate,1,0),0)</f>
        <v>0</v>
      </c>
      <c r="AM650" s="71">
        <f>IF(AND($G650&lt;&gt;"",$M650="Blocked"),1,0)</f>
        <v>0</v>
      </c>
      <c r="AN650" s="71">
        <f>IF(AND($AK650=1,ISNUMBER($L650)),IF($L650=ReportDate,1,0),0)</f>
        <v>0</v>
      </c>
      <c r="AO650" s="71">
        <f>IF(AND($AK650=1,ISNUMBER($L650)),IF($L650=ReportDate+1,1,0),0)</f>
        <v>0</v>
      </c>
      <c r="AP650" s="71">
        <f>IF(AND($AK650=1,ISNUMBER($L650)),IF(AND($L650&gt;=ReportDate,$L650&lt;=ReportDate+DueSoonDays),1,0),0)</f>
        <v>0</v>
      </c>
      <c r="AQ650" s="71">
        <f>IF(AND($AK650=1,OR($I650="Critical",$I650="High")),1,0)</f>
        <v>0</v>
      </c>
      <c r="AR650" s="71">
        <f>IF($AK650=1,IF(ISNUMBER($Y650),IF(ReportDate-$Y650&gt;StaleDays,1,0),1),0)</f>
        <v>0</v>
      </c>
      <c r="AS650" s="71">
        <f>IF(AND($G650&lt;&gt;"",ISNUMBER($Q650),ISNUMBER($R650)),IF(AND($Q650&lt;$R650,OR($M650="Completed",AND(ISNUMBER($L650),$L650&lt;ReportDate))),1,0),0)</f>
        <v>0</v>
      </c>
      <c r="AT650" s="71">
        <f>IF($AK650=1,IF(OR($L650=ReportDate,$W650=ReportDate,$K650=ReportDate,$A650=ReportDate),1,0),0)</f>
        <v>0</v>
      </c>
      <c r="AU650" s="71">
        <f>IF($AK650=1,IF(OR($L650=ReportDate+1,$W650=ReportDate+1,$K650=ReportDate+1,$A650=ReportDate+1),1,0),0)</f>
        <v>0</v>
      </c>
      <c r="AV650" s="71">
        <f>IF(AND($G650&lt;&gt;"",$M650="Completed"),IF(OR($Y650=ReportDate-1,$A650=ReportDate-1),1,0),0)</f>
        <v>0</v>
      </c>
      <c r="AW650" s="71">
        <f>IF(AND($AK650=1,$Z650="Yes"),1,0)</f>
        <v>0</v>
      </c>
      <c r="AX650" s="71">
        <f>IF(AND($AK650=1,$AA650="Yes"),1,0)</f>
        <v>0</v>
      </c>
      <c r="AY650" s="71">
        <f>IF(AND($AM650=1,OR($I650="Critical",$I650="High")),1,0)</f>
        <v>0</v>
      </c>
      <c r="AZ650" s="71">
        <f>IF(AND($AK650=1,OR($C650=TCL_Client,$C650=MECCA_Client)),1,0)</f>
        <v>0</v>
      </c>
      <c r="BA650" s="71" t="str">
        <f>IF($G650="","",IFERROR(MATCH($I650,lst_Priority,0),5))</f>
        <v/>
      </c>
      <c r="BB650" s="71" t="str">
        <f>IF(AND($AL650=1,$AJ650=1),$BA650*100000+ROW(),"")</f>
        <v/>
      </c>
      <c r="BC650" s="71" t="str">
        <f>IF(AND($AM650=1,$AJ650=1),$BA650*100000+ROW(),"")</f>
        <v/>
      </c>
      <c r="BD650" s="71" t="str">
        <f>IF(AND($AP650=1,$AJ650=1),$BA650*100000+ROW(),"")</f>
        <v/>
      </c>
      <c r="BE650" s="71" t="str">
        <f>IF(AND($AT650=1,$AJ650=1),$BA650*100000+ROW(),"")</f>
        <v/>
      </c>
      <c r="BF650" s="71" t="str">
        <f>IF(AND($AU650=1,$AJ650=1),$BA650*100000+ROW(),"")</f>
        <v/>
      </c>
      <c r="BG650" s="71" t="str">
        <f>IF(AND($AV650=1,$AJ650=1),$BA650*100000+ROW(),"")</f>
        <v/>
      </c>
      <c r="BH650" s="71" t="str">
        <f>IF(AND($AW650=1,$AJ650=1),$BA650*100000+ROW(),"")</f>
        <v/>
      </c>
      <c r="BI650" s="71" t="str">
        <f>IF(AND($AX650=1,$AJ650=1),$BA650*100000+ROW(),"")</f>
        <v/>
      </c>
      <c r="BJ650" s="71" t="str">
        <f>IF(AND($AS650=1,$AJ650=1),$BA650*100000+ROW(),"")</f>
        <v/>
      </c>
      <c r="BK650" s="71" t="str">
        <f>IF(AND($AY650=1,$AJ650=1),$BA650*100000+ROW(),"")</f>
        <v/>
      </c>
      <c r="BL650" s="71" t="str">
        <f>IF(AND($AZ650=1),$BA650*100000+ROW(),"")</f>
        <v/>
      </c>
    </row>
    <row r="651">
      <c r="A651" s="63" t="n"/>
      <c r="B651" s="64" t="n"/>
      <c r="C651" s="64" t="n"/>
      <c r="D651" s="64" t="n"/>
      <c r="E651" s="64" t="n"/>
      <c r="F651" s="64" t="n"/>
      <c r="G651" s="65" t="n"/>
      <c r="H651" s="65" t="n"/>
      <c r="I651" s="64" t="n"/>
      <c r="J651" s="64" t="n"/>
      <c r="K651" s="63" t="n"/>
      <c r="L651" s="63" t="n"/>
      <c r="M651" s="64" t="n"/>
      <c r="N651" s="66" t="n"/>
      <c r="O651" s="65" t="n"/>
      <c r="P651" s="64" t="n"/>
      <c r="Q651" s="67" t="n"/>
      <c r="R651" s="67" t="n"/>
      <c r="S651" s="68" t="str">
        <f>IF(AND(ISNUMBER($Q651),ISNUMBER($R651)),$Q651-$R651,"")</f>
        <v/>
      </c>
      <c r="T651" s="65" t="n"/>
      <c r="U651" s="64" t="n"/>
      <c r="V651" s="65" t="n"/>
      <c r="W651" s="63" t="n"/>
      <c r="X651" s="65" t="n"/>
      <c r="Y651" s="63" t="n"/>
      <c r="Z651" s="64" t="n"/>
      <c r="AA651" s="64" t="n"/>
      <c r="AB651" s="65" t="n"/>
      <c r="AC651" s="69" t="str">
        <f>IF(OR($G651="",NOT(ISNUMBER($K651)),$AK651=0),"",MAX(0,ReportDate-$K651))</f>
        <v/>
      </c>
      <c r="AD651" s="69" t="str">
        <f>IF($G651="","",IF($AL651=1,ReportDate-$L651,0))</f>
        <v/>
      </c>
      <c r="AE651" s="70" t="str">
        <f>IF($G651="","",IF($M651="Completed",1,IF(ISNUMBER($N651),$N651,0)))</f>
        <v/>
      </c>
      <c r="AF651" s="70" t="str">
        <f>IF(AND(ISNUMBER($Q651),ISNUMBER($R651)),IF($R651&lt;&gt;0,$Q651/$R651,""),"")</f>
        <v/>
      </c>
      <c r="AG651" s="71" t="str">
        <f>IF($G651="","",IF($AL651=1,"OVERDUE",IF($AM651=1,"BLOCKED",IF($AN651=1,"DUE TODAY",IF($AO651=1,"DUE TOMORROW",IF($AQ651=1,"HIGH PRIORITY",IF($AR651=1,"NO RECENT UPDATE",""))))))) </f>
        <v/>
      </c>
      <c r="AH651" s="71" t="str">
        <f>IF($G651="","",IF(ISNUMBER($A651),IF(ISNUMBER($A651),YEAR($A651)&amp;"-"&amp;TEXT(MONTH($A651),"00"),""),IF(ISNUMBER($L651),IF(ISNUMBER($L651),YEAR($L651)&amp;"-"&amp;TEXT(MONTH($L651),"00"),""),"")))</f>
        <v/>
      </c>
      <c r="AI651" s="71">
        <f>IF($G651="",0,IF(AND(OR(fClient="All",$C651=fClient),OR(fCampaign="All",$D651=fCampaign),OR(fTeam="All",$B651=fTeam),OR(fChannel="All",$F651=fChannel),OR(fMonth="All",$AH651=fMonth),OR(fTStatus="All",$M651=fTStatus)),1,0))</f>
        <v>0</v>
      </c>
      <c r="AJ651" s="71">
        <f>IF($G651="",0,IF(AND(OR(fClient="All",$C651=fClient),OR(fCampaign="All",$D651=fCampaign),OR(fTeam="All",$B651=fTeam),OR(fChannel="All",$F651=fChannel)),1,0))</f>
        <v>0</v>
      </c>
      <c r="AK651" s="71">
        <f>IF($G651="",0,IF(OR($M651="Completed",$M651="Cancelled"),0,1))</f>
        <v>0</v>
      </c>
      <c r="AL651" s="71">
        <f>IF(AND($AK651=1,ISNUMBER($L651)),IF($L651&lt;ReportDate,1,0),0)</f>
        <v>0</v>
      </c>
      <c r="AM651" s="71">
        <f>IF(AND($G651&lt;&gt;"",$M651="Blocked"),1,0)</f>
        <v>0</v>
      </c>
      <c r="AN651" s="71">
        <f>IF(AND($AK651=1,ISNUMBER($L651)),IF($L651=ReportDate,1,0),0)</f>
        <v>0</v>
      </c>
      <c r="AO651" s="71">
        <f>IF(AND($AK651=1,ISNUMBER($L651)),IF($L651=ReportDate+1,1,0),0)</f>
        <v>0</v>
      </c>
      <c r="AP651" s="71">
        <f>IF(AND($AK651=1,ISNUMBER($L651)),IF(AND($L651&gt;=ReportDate,$L651&lt;=ReportDate+DueSoonDays),1,0),0)</f>
        <v>0</v>
      </c>
      <c r="AQ651" s="71">
        <f>IF(AND($AK651=1,OR($I651="Critical",$I651="High")),1,0)</f>
        <v>0</v>
      </c>
      <c r="AR651" s="71">
        <f>IF($AK651=1,IF(ISNUMBER($Y651),IF(ReportDate-$Y651&gt;StaleDays,1,0),1),0)</f>
        <v>0</v>
      </c>
      <c r="AS651" s="71">
        <f>IF(AND($G651&lt;&gt;"",ISNUMBER($Q651),ISNUMBER($R651)),IF(AND($Q651&lt;$R651,OR($M651="Completed",AND(ISNUMBER($L651),$L651&lt;ReportDate))),1,0),0)</f>
        <v>0</v>
      </c>
      <c r="AT651" s="71">
        <f>IF($AK651=1,IF(OR($L651=ReportDate,$W651=ReportDate,$K651=ReportDate,$A651=ReportDate),1,0),0)</f>
        <v>0</v>
      </c>
      <c r="AU651" s="71">
        <f>IF($AK651=1,IF(OR($L651=ReportDate+1,$W651=ReportDate+1,$K651=ReportDate+1,$A651=ReportDate+1),1,0),0)</f>
        <v>0</v>
      </c>
      <c r="AV651" s="71">
        <f>IF(AND($G651&lt;&gt;"",$M651="Completed"),IF(OR($Y651=ReportDate-1,$A651=ReportDate-1),1,0),0)</f>
        <v>0</v>
      </c>
      <c r="AW651" s="71">
        <f>IF(AND($AK651=1,$Z651="Yes"),1,0)</f>
        <v>0</v>
      </c>
      <c r="AX651" s="71">
        <f>IF(AND($AK651=1,$AA651="Yes"),1,0)</f>
        <v>0</v>
      </c>
      <c r="AY651" s="71">
        <f>IF(AND($AM651=1,OR($I651="Critical",$I651="High")),1,0)</f>
        <v>0</v>
      </c>
      <c r="AZ651" s="71">
        <f>IF(AND($AK651=1,OR($C651=TCL_Client,$C651=MECCA_Client)),1,0)</f>
        <v>0</v>
      </c>
      <c r="BA651" s="71" t="str">
        <f>IF($G651="","",IFERROR(MATCH($I651,lst_Priority,0),5))</f>
        <v/>
      </c>
      <c r="BB651" s="71" t="str">
        <f>IF(AND($AL651=1,$AJ651=1),$BA651*100000+ROW(),"")</f>
        <v/>
      </c>
      <c r="BC651" s="71" t="str">
        <f>IF(AND($AM651=1,$AJ651=1),$BA651*100000+ROW(),"")</f>
        <v/>
      </c>
      <c r="BD651" s="71" t="str">
        <f>IF(AND($AP651=1,$AJ651=1),$BA651*100000+ROW(),"")</f>
        <v/>
      </c>
      <c r="BE651" s="71" t="str">
        <f>IF(AND($AT651=1,$AJ651=1),$BA651*100000+ROW(),"")</f>
        <v/>
      </c>
      <c r="BF651" s="71" t="str">
        <f>IF(AND($AU651=1,$AJ651=1),$BA651*100000+ROW(),"")</f>
        <v/>
      </c>
      <c r="BG651" s="71" t="str">
        <f>IF(AND($AV651=1,$AJ651=1),$BA651*100000+ROW(),"")</f>
        <v/>
      </c>
      <c r="BH651" s="71" t="str">
        <f>IF(AND($AW651=1,$AJ651=1),$BA651*100000+ROW(),"")</f>
        <v/>
      </c>
      <c r="BI651" s="71" t="str">
        <f>IF(AND($AX651=1,$AJ651=1),$BA651*100000+ROW(),"")</f>
        <v/>
      </c>
      <c r="BJ651" s="71" t="str">
        <f>IF(AND($AS651=1,$AJ651=1),$BA651*100000+ROW(),"")</f>
        <v/>
      </c>
      <c r="BK651" s="71" t="str">
        <f>IF(AND($AY651=1,$AJ651=1),$BA651*100000+ROW(),"")</f>
        <v/>
      </c>
      <c r="BL651" s="71" t="str">
        <f>IF(AND($AZ651=1),$BA651*100000+ROW(),"")</f>
        <v/>
      </c>
    </row>
    <row r="652">
      <c r="A652" s="63" t="n"/>
      <c r="B652" s="64" t="n"/>
      <c r="C652" s="64" t="n"/>
      <c r="D652" s="64" t="n"/>
      <c r="E652" s="64" t="n"/>
      <c r="F652" s="64" t="n"/>
      <c r="G652" s="65" t="n"/>
      <c r="H652" s="65" t="n"/>
      <c r="I652" s="64" t="n"/>
      <c r="J652" s="64" t="n"/>
      <c r="K652" s="63" t="n"/>
      <c r="L652" s="63" t="n"/>
      <c r="M652" s="64" t="n"/>
      <c r="N652" s="66" t="n"/>
      <c r="O652" s="65" t="n"/>
      <c r="P652" s="64" t="n"/>
      <c r="Q652" s="67" t="n"/>
      <c r="R652" s="67" t="n"/>
      <c r="S652" s="68" t="str">
        <f>IF(AND(ISNUMBER($Q652),ISNUMBER($R652)),$Q652-$R652,"")</f>
        <v/>
      </c>
      <c r="T652" s="65" t="n"/>
      <c r="U652" s="64" t="n"/>
      <c r="V652" s="65" t="n"/>
      <c r="W652" s="63" t="n"/>
      <c r="X652" s="65" t="n"/>
      <c r="Y652" s="63" t="n"/>
      <c r="Z652" s="64" t="n"/>
      <c r="AA652" s="64" t="n"/>
      <c r="AB652" s="65" t="n"/>
      <c r="AC652" s="69" t="str">
        <f>IF(OR($G652="",NOT(ISNUMBER($K652)),$AK652=0),"",MAX(0,ReportDate-$K652))</f>
        <v/>
      </c>
      <c r="AD652" s="69" t="str">
        <f>IF($G652="","",IF($AL652=1,ReportDate-$L652,0))</f>
        <v/>
      </c>
      <c r="AE652" s="70" t="str">
        <f>IF($G652="","",IF($M652="Completed",1,IF(ISNUMBER($N652),$N652,0)))</f>
        <v/>
      </c>
      <c r="AF652" s="70" t="str">
        <f>IF(AND(ISNUMBER($Q652),ISNUMBER($R652)),IF($R652&lt;&gt;0,$Q652/$R652,""),"")</f>
        <v/>
      </c>
      <c r="AG652" s="71" t="str">
        <f>IF($G652="","",IF($AL652=1,"OVERDUE",IF($AM652=1,"BLOCKED",IF($AN652=1,"DUE TODAY",IF($AO652=1,"DUE TOMORROW",IF($AQ652=1,"HIGH PRIORITY",IF($AR652=1,"NO RECENT UPDATE",""))))))) </f>
        <v/>
      </c>
      <c r="AH652" s="71" t="str">
        <f>IF($G652="","",IF(ISNUMBER($A652),IF(ISNUMBER($A652),YEAR($A652)&amp;"-"&amp;TEXT(MONTH($A652),"00"),""),IF(ISNUMBER($L652),IF(ISNUMBER($L652),YEAR($L652)&amp;"-"&amp;TEXT(MONTH($L652),"00"),""),"")))</f>
        <v/>
      </c>
      <c r="AI652" s="71">
        <f>IF($G652="",0,IF(AND(OR(fClient="All",$C652=fClient),OR(fCampaign="All",$D652=fCampaign),OR(fTeam="All",$B652=fTeam),OR(fChannel="All",$F652=fChannel),OR(fMonth="All",$AH652=fMonth),OR(fTStatus="All",$M652=fTStatus)),1,0))</f>
        <v>0</v>
      </c>
      <c r="AJ652" s="71">
        <f>IF($G652="",0,IF(AND(OR(fClient="All",$C652=fClient),OR(fCampaign="All",$D652=fCampaign),OR(fTeam="All",$B652=fTeam),OR(fChannel="All",$F652=fChannel)),1,0))</f>
        <v>0</v>
      </c>
      <c r="AK652" s="71">
        <f>IF($G652="",0,IF(OR($M652="Completed",$M652="Cancelled"),0,1))</f>
        <v>0</v>
      </c>
      <c r="AL652" s="71">
        <f>IF(AND($AK652=1,ISNUMBER($L652)),IF($L652&lt;ReportDate,1,0),0)</f>
        <v>0</v>
      </c>
      <c r="AM652" s="71">
        <f>IF(AND($G652&lt;&gt;"",$M652="Blocked"),1,0)</f>
        <v>0</v>
      </c>
      <c r="AN652" s="71">
        <f>IF(AND($AK652=1,ISNUMBER($L652)),IF($L652=ReportDate,1,0),0)</f>
        <v>0</v>
      </c>
      <c r="AO652" s="71">
        <f>IF(AND($AK652=1,ISNUMBER($L652)),IF($L652=ReportDate+1,1,0),0)</f>
        <v>0</v>
      </c>
      <c r="AP652" s="71">
        <f>IF(AND($AK652=1,ISNUMBER($L652)),IF(AND($L652&gt;=ReportDate,$L652&lt;=ReportDate+DueSoonDays),1,0),0)</f>
        <v>0</v>
      </c>
      <c r="AQ652" s="71">
        <f>IF(AND($AK652=1,OR($I652="Critical",$I652="High")),1,0)</f>
        <v>0</v>
      </c>
      <c r="AR652" s="71">
        <f>IF($AK652=1,IF(ISNUMBER($Y652),IF(ReportDate-$Y652&gt;StaleDays,1,0),1),0)</f>
        <v>0</v>
      </c>
      <c r="AS652" s="71">
        <f>IF(AND($G652&lt;&gt;"",ISNUMBER($Q652),ISNUMBER($R652)),IF(AND($Q652&lt;$R652,OR($M652="Completed",AND(ISNUMBER($L652),$L652&lt;ReportDate))),1,0),0)</f>
        <v>0</v>
      </c>
      <c r="AT652" s="71">
        <f>IF($AK652=1,IF(OR($L652=ReportDate,$W652=ReportDate,$K652=ReportDate,$A652=ReportDate),1,0),0)</f>
        <v>0</v>
      </c>
      <c r="AU652" s="71">
        <f>IF($AK652=1,IF(OR($L652=ReportDate+1,$W652=ReportDate+1,$K652=ReportDate+1,$A652=ReportDate+1),1,0),0)</f>
        <v>0</v>
      </c>
      <c r="AV652" s="71">
        <f>IF(AND($G652&lt;&gt;"",$M652="Completed"),IF(OR($Y652=ReportDate-1,$A652=ReportDate-1),1,0),0)</f>
        <v>0</v>
      </c>
      <c r="AW652" s="71">
        <f>IF(AND($AK652=1,$Z652="Yes"),1,0)</f>
        <v>0</v>
      </c>
      <c r="AX652" s="71">
        <f>IF(AND($AK652=1,$AA652="Yes"),1,0)</f>
        <v>0</v>
      </c>
      <c r="AY652" s="71">
        <f>IF(AND($AM652=1,OR($I652="Critical",$I652="High")),1,0)</f>
        <v>0</v>
      </c>
      <c r="AZ652" s="71">
        <f>IF(AND($AK652=1,OR($C652=TCL_Client,$C652=MECCA_Client)),1,0)</f>
        <v>0</v>
      </c>
      <c r="BA652" s="71" t="str">
        <f>IF($G652="","",IFERROR(MATCH($I652,lst_Priority,0),5))</f>
        <v/>
      </c>
      <c r="BB652" s="71" t="str">
        <f>IF(AND($AL652=1,$AJ652=1),$BA652*100000+ROW(),"")</f>
        <v/>
      </c>
      <c r="BC652" s="71" t="str">
        <f>IF(AND($AM652=1,$AJ652=1),$BA652*100000+ROW(),"")</f>
        <v/>
      </c>
      <c r="BD652" s="71" t="str">
        <f>IF(AND($AP652=1,$AJ652=1),$BA652*100000+ROW(),"")</f>
        <v/>
      </c>
      <c r="BE652" s="71" t="str">
        <f>IF(AND($AT652=1,$AJ652=1),$BA652*100000+ROW(),"")</f>
        <v/>
      </c>
      <c r="BF652" s="71" t="str">
        <f>IF(AND($AU652=1,$AJ652=1),$BA652*100000+ROW(),"")</f>
        <v/>
      </c>
      <c r="BG652" s="71" t="str">
        <f>IF(AND($AV652=1,$AJ652=1),$BA652*100000+ROW(),"")</f>
        <v/>
      </c>
      <c r="BH652" s="71" t="str">
        <f>IF(AND($AW652=1,$AJ652=1),$BA652*100000+ROW(),"")</f>
        <v/>
      </c>
      <c r="BI652" s="71" t="str">
        <f>IF(AND($AX652=1,$AJ652=1),$BA652*100000+ROW(),"")</f>
        <v/>
      </c>
      <c r="BJ652" s="71" t="str">
        <f>IF(AND($AS652=1,$AJ652=1),$BA652*100000+ROW(),"")</f>
        <v/>
      </c>
      <c r="BK652" s="71" t="str">
        <f>IF(AND($AY652=1,$AJ652=1),$BA652*100000+ROW(),"")</f>
        <v/>
      </c>
      <c r="BL652" s="71" t="str">
        <f>IF(AND($AZ652=1),$BA652*100000+ROW(),"")</f>
        <v/>
      </c>
    </row>
    <row r="653">
      <c r="A653" s="63" t="n"/>
      <c r="B653" s="64" t="n"/>
      <c r="C653" s="64" t="n"/>
      <c r="D653" s="64" t="n"/>
      <c r="E653" s="64" t="n"/>
      <c r="F653" s="64" t="n"/>
      <c r="G653" s="65" t="n"/>
      <c r="H653" s="65" t="n"/>
      <c r="I653" s="64" t="n"/>
      <c r="J653" s="64" t="n"/>
      <c r="K653" s="63" t="n"/>
      <c r="L653" s="63" t="n"/>
      <c r="M653" s="64" t="n"/>
      <c r="N653" s="66" t="n"/>
      <c r="O653" s="65" t="n"/>
      <c r="P653" s="64" t="n"/>
      <c r="Q653" s="67" t="n"/>
      <c r="R653" s="67" t="n"/>
      <c r="S653" s="68" t="str">
        <f>IF(AND(ISNUMBER($Q653),ISNUMBER($R653)),$Q653-$R653,"")</f>
        <v/>
      </c>
      <c r="T653" s="65" t="n"/>
      <c r="U653" s="64" t="n"/>
      <c r="V653" s="65" t="n"/>
      <c r="W653" s="63" t="n"/>
      <c r="X653" s="65" t="n"/>
      <c r="Y653" s="63" t="n"/>
      <c r="Z653" s="64" t="n"/>
      <c r="AA653" s="64" t="n"/>
      <c r="AB653" s="65" t="n"/>
      <c r="AC653" s="69" t="str">
        <f>IF(OR($G653="",NOT(ISNUMBER($K653)),$AK653=0),"",MAX(0,ReportDate-$K653))</f>
        <v/>
      </c>
      <c r="AD653" s="69" t="str">
        <f>IF($G653="","",IF($AL653=1,ReportDate-$L653,0))</f>
        <v/>
      </c>
      <c r="AE653" s="70" t="str">
        <f>IF($G653="","",IF($M653="Completed",1,IF(ISNUMBER($N653),$N653,0)))</f>
        <v/>
      </c>
      <c r="AF653" s="70" t="str">
        <f>IF(AND(ISNUMBER($Q653),ISNUMBER($R653)),IF($R653&lt;&gt;0,$Q653/$R653,""),"")</f>
        <v/>
      </c>
      <c r="AG653" s="71" t="str">
        <f>IF($G653="","",IF($AL653=1,"OVERDUE",IF($AM653=1,"BLOCKED",IF($AN653=1,"DUE TODAY",IF($AO653=1,"DUE TOMORROW",IF($AQ653=1,"HIGH PRIORITY",IF($AR653=1,"NO RECENT UPDATE",""))))))) </f>
        <v/>
      </c>
      <c r="AH653" s="71" t="str">
        <f>IF($G653="","",IF(ISNUMBER($A653),IF(ISNUMBER($A653),YEAR($A653)&amp;"-"&amp;TEXT(MONTH($A653),"00"),""),IF(ISNUMBER($L653),IF(ISNUMBER($L653),YEAR($L653)&amp;"-"&amp;TEXT(MONTH($L653),"00"),""),"")))</f>
        <v/>
      </c>
      <c r="AI653" s="71">
        <f>IF($G653="",0,IF(AND(OR(fClient="All",$C653=fClient),OR(fCampaign="All",$D653=fCampaign),OR(fTeam="All",$B653=fTeam),OR(fChannel="All",$F653=fChannel),OR(fMonth="All",$AH653=fMonth),OR(fTStatus="All",$M653=fTStatus)),1,0))</f>
        <v>0</v>
      </c>
      <c r="AJ653" s="71">
        <f>IF($G653="",0,IF(AND(OR(fClient="All",$C653=fClient),OR(fCampaign="All",$D653=fCampaign),OR(fTeam="All",$B653=fTeam),OR(fChannel="All",$F653=fChannel)),1,0))</f>
        <v>0</v>
      </c>
      <c r="AK653" s="71">
        <f>IF($G653="",0,IF(OR($M653="Completed",$M653="Cancelled"),0,1))</f>
        <v>0</v>
      </c>
      <c r="AL653" s="71">
        <f>IF(AND($AK653=1,ISNUMBER($L653)),IF($L653&lt;ReportDate,1,0),0)</f>
        <v>0</v>
      </c>
      <c r="AM653" s="71">
        <f>IF(AND($G653&lt;&gt;"",$M653="Blocked"),1,0)</f>
        <v>0</v>
      </c>
      <c r="AN653" s="71">
        <f>IF(AND($AK653=1,ISNUMBER($L653)),IF($L653=ReportDate,1,0),0)</f>
        <v>0</v>
      </c>
      <c r="AO653" s="71">
        <f>IF(AND($AK653=1,ISNUMBER($L653)),IF($L653=ReportDate+1,1,0),0)</f>
        <v>0</v>
      </c>
      <c r="AP653" s="71">
        <f>IF(AND($AK653=1,ISNUMBER($L653)),IF(AND($L653&gt;=ReportDate,$L653&lt;=ReportDate+DueSoonDays),1,0),0)</f>
        <v>0</v>
      </c>
      <c r="AQ653" s="71">
        <f>IF(AND($AK653=1,OR($I653="Critical",$I653="High")),1,0)</f>
        <v>0</v>
      </c>
      <c r="AR653" s="71">
        <f>IF($AK653=1,IF(ISNUMBER($Y653),IF(ReportDate-$Y653&gt;StaleDays,1,0),1),0)</f>
        <v>0</v>
      </c>
      <c r="AS653" s="71">
        <f>IF(AND($G653&lt;&gt;"",ISNUMBER($Q653),ISNUMBER($R653)),IF(AND($Q653&lt;$R653,OR($M653="Completed",AND(ISNUMBER($L653),$L653&lt;ReportDate))),1,0),0)</f>
        <v>0</v>
      </c>
      <c r="AT653" s="71">
        <f>IF($AK653=1,IF(OR($L653=ReportDate,$W653=ReportDate,$K653=ReportDate,$A653=ReportDate),1,0),0)</f>
        <v>0</v>
      </c>
      <c r="AU653" s="71">
        <f>IF($AK653=1,IF(OR($L653=ReportDate+1,$W653=ReportDate+1,$K653=ReportDate+1,$A653=ReportDate+1),1,0),0)</f>
        <v>0</v>
      </c>
      <c r="AV653" s="71">
        <f>IF(AND($G653&lt;&gt;"",$M653="Completed"),IF(OR($Y653=ReportDate-1,$A653=ReportDate-1),1,0),0)</f>
        <v>0</v>
      </c>
      <c r="AW653" s="71">
        <f>IF(AND($AK653=1,$Z653="Yes"),1,0)</f>
        <v>0</v>
      </c>
      <c r="AX653" s="71">
        <f>IF(AND($AK653=1,$AA653="Yes"),1,0)</f>
        <v>0</v>
      </c>
      <c r="AY653" s="71">
        <f>IF(AND($AM653=1,OR($I653="Critical",$I653="High")),1,0)</f>
        <v>0</v>
      </c>
      <c r="AZ653" s="71">
        <f>IF(AND($AK653=1,OR($C653=TCL_Client,$C653=MECCA_Client)),1,0)</f>
        <v>0</v>
      </c>
      <c r="BA653" s="71" t="str">
        <f>IF($G653="","",IFERROR(MATCH($I653,lst_Priority,0),5))</f>
        <v/>
      </c>
      <c r="BB653" s="71" t="str">
        <f>IF(AND($AL653=1,$AJ653=1),$BA653*100000+ROW(),"")</f>
        <v/>
      </c>
      <c r="BC653" s="71" t="str">
        <f>IF(AND($AM653=1,$AJ653=1),$BA653*100000+ROW(),"")</f>
        <v/>
      </c>
      <c r="BD653" s="71" t="str">
        <f>IF(AND($AP653=1,$AJ653=1),$BA653*100000+ROW(),"")</f>
        <v/>
      </c>
      <c r="BE653" s="71" t="str">
        <f>IF(AND($AT653=1,$AJ653=1),$BA653*100000+ROW(),"")</f>
        <v/>
      </c>
      <c r="BF653" s="71" t="str">
        <f>IF(AND($AU653=1,$AJ653=1),$BA653*100000+ROW(),"")</f>
        <v/>
      </c>
      <c r="BG653" s="71" t="str">
        <f>IF(AND($AV653=1,$AJ653=1),$BA653*100000+ROW(),"")</f>
        <v/>
      </c>
      <c r="BH653" s="71" t="str">
        <f>IF(AND($AW653=1,$AJ653=1),$BA653*100000+ROW(),"")</f>
        <v/>
      </c>
      <c r="BI653" s="71" t="str">
        <f>IF(AND($AX653=1,$AJ653=1),$BA653*100000+ROW(),"")</f>
        <v/>
      </c>
      <c r="BJ653" s="71" t="str">
        <f>IF(AND($AS653=1,$AJ653=1),$BA653*100000+ROW(),"")</f>
        <v/>
      </c>
      <c r="BK653" s="71" t="str">
        <f>IF(AND($AY653=1,$AJ653=1),$BA653*100000+ROW(),"")</f>
        <v/>
      </c>
      <c r="BL653" s="71" t="str">
        <f>IF(AND($AZ653=1),$BA653*100000+ROW(),"")</f>
        <v/>
      </c>
    </row>
    <row r="654">
      <c r="A654" s="63" t="n"/>
      <c r="B654" s="64" t="n"/>
      <c r="C654" s="64" t="n"/>
      <c r="D654" s="64" t="n"/>
      <c r="E654" s="64" t="n"/>
      <c r="F654" s="64" t="n"/>
      <c r="G654" s="65" t="n"/>
      <c r="H654" s="65" t="n"/>
      <c r="I654" s="64" t="n"/>
      <c r="J654" s="64" t="n"/>
      <c r="K654" s="63" t="n"/>
      <c r="L654" s="63" t="n"/>
      <c r="M654" s="64" t="n"/>
      <c r="N654" s="66" t="n"/>
      <c r="O654" s="65" t="n"/>
      <c r="P654" s="64" t="n"/>
      <c r="Q654" s="67" t="n"/>
      <c r="R654" s="67" t="n"/>
      <c r="S654" s="68" t="str">
        <f>IF(AND(ISNUMBER($Q654),ISNUMBER($R654)),$Q654-$R654,"")</f>
        <v/>
      </c>
      <c r="T654" s="65" t="n"/>
      <c r="U654" s="64" t="n"/>
      <c r="V654" s="65" t="n"/>
      <c r="W654" s="63" t="n"/>
      <c r="X654" s="65" t="n"/>
      <c r="Y654" s="63" t="n"/>
      <c r="Z654" s="64" t="n"/>
      <c r="AA654" s="64" t="n"/>
      <c r="AB654" s="65" t="n"/>
      <c r="AC654" s="69" t="str">
        <f>IF(OR($G654="",NOT(ISNUMBER($K654)),$AK654=0),"",MAX(0,ReportDate-$K654))</f>
        <v/>
      </c>
      <c r="AD654" s="69" t="str">
        <f>IF($G654="","",IF($AL654=1,ReportDate-$L654,0))</f>
        <v/>
      </c>
      <c r="AE654" s="70" t="str">
        <f>IF($G654="","",IF($M654="Completed",1,IF(ISNUMBER($N654),$N654,0)))</f>
        <v/>
      </c>
      <c r="AF654" s="70" t="str">
        <f>IF(AND(ISNUMBER($Q654),ISNUMBER($R654)),IF($R654&lt;&gt;0,$Q654/$R654,""),"")</f>
        <v/>
      </c>
      <c r="AG654" s="71" t="str">
        <f>IF($G654="","",IF($AL654=1,"OVERDUE",IF($AM654=1,"BLOCKED",IF($AN654=1,"DUE TODAY",IF($AO654=1,"DUE TOMORROW",IF($AQ654=1,"HIGH PRIORITY",IF($AR654=1,"NO RECENT UPDATE",""))))))) </f>
        <v/>
      </c>
      <c r="AH654" s="71" t="str">
        <f>IF($G654="","",IF(ISNUMBER($A654),IF(ISNUMBER($A654),YEAR($A654)&amp;"-"&amp;TEXT(MONTH($A654),"00"),""),IF(ISNUMBER($L654),IF(ISNUMBER($L654),YEAR($L654)&amp;"-"&amp;TEXT(MONTH($L654),"00"),""),"")))</f>
        <v/>
      </c>
      <c r="AI654" s="71">
        <f>IF($G654="",0,IF(AND(OR(fClient="All",$C654=fClient),OR(fCampaign="All",$D654=fCampaign),OR(fTeam="All",$B654=fTeam),OR(fChannel="All",$F654=fChannel),OR(fMonth="All",$AH654=fMonth),OR(fTStatus="All",$M654=fTStatus)),1,0))</f>
        <v>0</v>
      </c>
      <c r="AJ654" s="71">
        <f>IF($G654="",0,IF(AND(OR(fClient="All",$C654=fClient),OR(fCampaign="All",$D654=fCampaign),OR(fTeam="All",$B654=fTeam),OR(fChannel="All",$F654=fChannel)),1,0))</f>
        <v>0</v>
      </c>
      <c r="AK654" s="71">
        <f>IF($G654="",0,IF(OR($M654="Completed",$M654="Cancelled"),0,1))</f>
        <v>0</v>
      </c>
      <c r="AL654" s="71">
        <f>IF(AND($AK654=1,ISNUMBER($L654)),IF($L654&lt;ReportDate,1,0),0)</f>
        <v>0</v>
      </c>
      <c r="AM654" s="71">
        <f>IF(AND($G654&lt;&gt;"",$M654="Blocked"),1,0)</f>
        <v>0</v>
      </c>
      <c r="AN654" s="71">
        <f>IF(AND($AK654=1,ISNUMBER($L654)),IF($L654=ReportDate,1,0),0)</f>
        <v>0</v>
      </c>
      <c r="AO654" s="71">
        <f>IF(AND($AK654=1,ISNUMBER($L654)),IF($L654=ReportDate+1,1,0),0)</f>
        <v>0</v>
      </c>
      <c r="AP654" s="71">
        <f>IF(AND($AK654=1,ISNUMBER($L654)),IF(AND($L654&gt;=ReportDate,$L654&lt;=ReportDate+DueSoonDays),1,0),0)</f>
        <v>0</v>
      </c>
      <c r="AQ654" s="71">
        <f>IF(AND($AK654=1,OR($I654="Critical",$I654="High")),1,0)</f>
        <v>0</v>
      </c>
      <c r="AR654" s="71">
        <f>IF($AK654=1,IF(ISNUMBER($Y654),IF(ReportDate-$Y654&gt;StaleDays,1,0),1),0)</f>
        <v>0</v>
      </c>
      <c r="AS654" s="71">
        <f>IF(AND($G654&lt;&gt;"",ISNUMBER($Q654),ISNUMBER($R654)),IF(AND($Q654&lt;$R654,OR($M654="Completed",AND(ISNUMBER($L654),$L654&lt;ReportDate))),1,0),0)</f>
        <v>0</v>
      </c>
      <c r="AT654" s="71">
        <f>IF($AK654=1,IF(OR($L654=ReportDate,$W654=ReportDate,$K654=ReportDate,$A654=ReportDate),1,0),0)</f>
        <v>0</v>
      </c>
      <c r="AU654" s="71">
        <f>IF($AK654=1,IF(OR($L654=ReportDate+1,$W654=ReportDate+1,$K654=ReportDate+1,$A654=ReportDate+1),1,0),0)</f>
        <v>0</v>
      </c>
      <c r="AV654" s="71">
        <f>IF(AND($G654&lt;&gt;"",$M654="Completed"),IF(OR($Y654=ReportDate-1,$A654=ReportDate-1),1,0),0)</f>
        <v>0</v>
      </c>
      <c r="AW654" s="71">
        <f>IF(AND($AK654=1,$Z654="Yes"),1,0)</f>
        <v>0</v>
      </c>
      <c r="AX654" s="71">
        <f>IF(AND($AK654=1,$AA654="Yes"),1,0)</f>
        <v>0</v>
      </c>
      <c r="AY654" s="71">
        <f>IF(AND($AM654=1,OR($I654="Critical",$I654="High")),1,0)</f>
        <v>0</v>
      </c>
      <c r="AZ654" s="71">
        <f>IF(AND($AK654=1,OR($C654=TCL_Client,$C654=MECCA_Client)),1,0)</f>
        <v>0</v>
      </c>
      <c r="BA654" s="71" t="str">
        <f>IF($G654="","",IFERROR(MATCH($I654,lst_Priority,0),5))</f>
        <v/>
      </c>
      <c r="BB654" s="71" t="str">
        <f>IF(AND($AL654=1,$AJ654=1),$BA654*100000+ROW(),"")</f>
        <v/>
      </c>
      <c r="BC654" s="71" t="str">
        <f>IF(AND($AM654=1,$AJ654=1),$BA654*100000+ROW(),"")</f>
        <v/>
      </c>
      <c r="BD654" s="71" t="str">
        <f>IF(AND($AP654=1,$AJ654=1),$BA654*100000+ROW(),"")</f>
        <v/>
      </c>
      <c r="BE654" s="71" t="str">
        <f>IF(AND($AT654=1,$AJ654=1),$BA654*100000+ROW(),"")</f>
        <v/>
      </c>
      <c r="BF654" s="71" t="str">
        <f>IF(AND($AU654=1,$AJ654=1),$BA654*100000+ROW(),"")</f>
        <v/>
      </c>
      <c r="BG654" s="71" t="str">
        <f>IF(AND($AV654=1,$AJ654=1),$BA654*100000+ROW(),"")</f>
        <v/>
      </c>
      <c r="BH654" s="71" t="str">
        <f>IF(AND($AW654=1,$AJ654=1),$BA654*100000+ROW(),"")</f>
        <v/>
      </c>
      <c r="BI654" s="71" t="str">
        <f>IF(AND($AX654=1,$AJ654=1),$BA654*100000+ROW(),"")</f>
        <v/>
      </c>
      <c r="BJ654" s="71" t="str">
        <f>IF(AND($AS654=1,$AJ654=1),$BA654*100000+ROW(),"")</f>
        <v/>
      </c>
      <c r="BK654" s="71" t="str">
        <f>IF(AND($AY654=1,$AJ654=1),$BA654*100000+ROW(),"")</f>
        <v/>
      </c>
      <c r="BL654" s="71" t="str">
        <f>IF(AND($AZ654=1),$BA654*100000+ROW(),"")</f>
        <v/>
      </c>
    </row>
    <row r="655">
      <c r="A655" s="63" t="n"/>
      <c r="B655" s="64" t="n"/>
      <c r="C655" s="64" t="n"/>
      <c r="D655" s="64" t="n"/>
      <c r="E655" s="64" t="n"/>
      <c r="F655" s="64" t="n"/>
      <c r="G655" s="65" t="n"/>
      <c r="H655" s="65" t="n"/>
      <c r="I655" s="64" t="n"/>
      <c r="J655" s="64" t="n"/>
      <c r="K655" s="63" t="n"/>
      <c r="L655" s="63" t="n"/>
      <c r="M655" s="64" t="n"/>
      <c r="N655" s="66" t="n"/>
      <c r="O655" s="65" t="n"/>
      <c r="P655" s="64" t="n"/>
      <c r="Q655" s="67" t="n"/>
      <c r="R655" s="67" t="n"/>
      <c r="S655" s="68" t="str">
        <f>IF(AND(ISNUMBER($Q655),ISNUMBER($R655)),$Q655-$R655,"")</f>
        <v/>
      </c>
      <c r="T655" s="65" t="n"/>
      <c r="U655" s="64" t="n"/>
      <c r="V655" s="65" t="n"/>
      <c r="W655" s="63" t="n"/>
      <c r="X655" s="65" t="n"/>
      <c r="Y655" s="63" t="n"/>
      <c r="Z655" s="64" t="n"/>
      <c r="AA655" s="64" t="n"/>
      <c r="AB655" s="65" t="n"/>
      <c r="AC655" s="69" t="str">
        <f>IF(OR($G655="",NOT(ISNUMBER($K655)),$AK655=0),"",MAX(0,ReportDate-$K655))</f>
        <v/>
      </c>
      <c r="AD655" s="69" t="str">
        <f>IF($G655="","",IF($AL655=1,ReportDate-$L655,0))</f>
        <v/>
      </c>
      <c r="AE655" s="70" t="str">
        <f>IF($G655="","",IF($M655="Completed",1,IF(ISNUMBER($N655),$N655,0)))</f>
        <v/>
      </c>
      <c r="AF655" s="70" t="str">
        <f>IF(AND(ISNUMBER($Q655),ISNUMBER($R655)),IF($R655&lt;&gt;0,$Q655/$R655,""),"")</f>
        <v/>
      </c>
      <c r="AG655" s="71" t="str">
        <f>IF($G655="","",IF($AL655=1,"OVERDUE",IF($AM655=1,"BLOCKED",IF($AN655=1,"DUE TODAY",IF($AO655=1,"DUE TOMORROW",IF($AQ655=1,"HIGH PRIORITY",IF($AR655=1,"NO RECENT UPDATE",""))))))) </f>
        <v/>
      </c>
      <c r="AH655" s="71" t="str">
        <f>IF($G655="","",IF(ISNUMBER($A655),IF(ISNUMBER($A655),YEAR($A655)&amp;"-"&amp;TEXT(MONTH($A655),"00"),""),IF(ISNUMBER($L655),IF(ISNUMBER($L655),YEAR($L655)&amp;"-"&amp;TEXT(MONTH($L655),"00"),""),"")))</f>
        <v/>
      </c>
      <c r="AI655" s="71">
        <f>IF($G655="",0,IF(AND(OR(fClient="All",$C655=fClient),OR(fCampaign="All",$D655=fCampaign),OR(fTeam="All",$B655=fTeam),OR(fChannel="All",$F655=fChannel),OR(fMonth="All",$AH655=fMonth),OR(fTStatus="All",$M655=fTStatus)),1,0))</f>
        <v>0</v>
      </c>
      <c r="AJ655" s="71">
        <f>IF($G655="",0,IF(AND(OR(fClient="All",$C655=fClient),OR(fCampaign="All",$D655=fCampaign),OR(fTeam="All",$B655=fTeam),OR(fChannel="All",$F655=fChannel)),1,0))</f>
        <v>0</v>
      </c>
      <c r="AK655" s="71">
        <f>IF($G655="",0,IF(OR($M655="Completed",$M655="Cancelled"),0,1))</f>
        <v>0</v>
      </c>
      <c r="AL655" s="71">
        <f>IF(AND($AK655=1,ISNUMBER($L655)),IF($L655&lt;ReportDate,1,0),0)</f>
        <v>0</v>
      </c>
      <c r="AM655" s="71">
        <f>IF(AND($G655&lt;&gt;"",$M655="Blocked"),1,0)</f>
        <v>0</v>
      </c>
      <c r="AN655" s="71">
        <f>IF(AND($AK655=1,ISNUMBER($L655)),IF($L655=ReportDate,1,0),0)</f>
        <v>0</v>
      </c>
      <c r="AO655" s="71">
        <f>IF(AND($AK655=1,ISNUMBER($L655)),IF($L655=ReportDate+1,1,0),0)</f>
        <v>0</v>
      </c>
      <c r="AP655" s="71">
        <f>IF(AND($AK655=1,ISNUMBER($L655)),IF(AND($L655&gt;=ReportDate,$L655&lt;=ReportDate+DueSoonDays),1,0),0)</f>
        <v>0</v>
      </c>
      <c r="AQ655" s="71">
        <f>IF(AND($AK655=1,OR($I655="Critical",$I655="High")),1,0)</f>
        <v>0</v>
      </c>
      <c r="AR655" s="71">
        <f>IF($AK655=1,IF(ISNUMBER($Y655),IF(ReportDate-$Y655&gt;StaleDays,1,0),1),0)</f>
        <v>0</v>
      </c>
      <c r="AS655" s="71">
        <f>IF(AND($G655&lt;&gt;"",ISNUMBER($Q655),ISNUMBER($R655)),IF(AND($Q655&lt;$R655,OR($M655="Completed",AND(ISNUMBER($L655),$L655&lt;ReportDate))),1,0),0)</f>
        <v>0</v>
      </c>
      <c r="AT655" s="71">
        <f>IF($AK655=1,IF(OR($L655=ReportDate,$W655=ReportDate,$K655=ReportDate,$A655=ReportDate),1,0),0)</f>
        <v>0</v>
      </c>
      <c r="AU655" s="71">
        <f>IF($AK655=1,IF(OR($L655=ReportDate+1,$W655=ReportDate+1,$K655=ReportDate+1,$A655=ReportDate+1),1,0),0)</f>
        <v>0</v>
      </c>
      <c r="AV655" s="71">
        <f>IF(AND($G655&lt;&gt;"",$M655="Completed"),IF(OR($Y655=ReportDate-1,$A655=ReportDate-1),1,0),0)</f>
        <v>0</v>
      </c>
      <c r="AW655" s="71">
        <f>IF(AND($AK655=1,$Z655="Yes"),1,0)</f>
        <v>0</v>
      </c>
      <c r="AX655" s="71">
        <f>IF(AND($AK655=1,$AA655="Yes"),1,0)</f>
        <v>0</v>
      </c>
      <c r="AY655" s="71">
        <f>IF(AND($AM655=1,OR($I655="Critical",$I655="High")),1,0)</f>
        <v>0</v>
      </c>
      <c r="AZ655" s="71">
        <f>IF(AND($AK655=1,OR($C655=TCL_Client,$C655=MECCA_Client)),1,0)</f>
        <v>0</v>
      </c>
      <c r="BA655" s="71" t="str">
        <f>IF($G655="","",IFERROR(MATCH($I655,lst_Priority,0),5))</f>
        <v/>
      </c>
      <c r="BB655" s="71" t="str">
        <f>IF(AND($AL655=1,$AJ655=1),$BA655*100000+ROW(),"")</f>
        <v/>
      </c>
      <c r="BC655" s="71" t="str">
        <f>IF(AND($AM655=1,$AJ655=1),$BA655*100000+ROW(),"")</f>
        <v/>
      </c>
      <c r="BD655" s="71" t="str">
        <f>IF(AND($AP655=1,$AJ655=1),$BA655*100000+ROW(),"")</f>
        <v/>
      </c>
      <c r="BE655" s="71" t="str">
        <f>IF(AND($AT655=1,$AJ655=1),$BA655*100000+ROW(),"")</f>
        <v/>
      </c>
      <c r="BF655" s="71" t="str">
        <f>IF(AND($AU655=1,$AJ655=1),$BA655*100000+ROW(),"")</f>
        <v/>
      </c>
      <c r="BG655" s="71" t="str">
        <f>IF(AND($AV655=1,$AJ655=1),$BA655*100000+ROW(),"")</f>
        <v/>
      </c>
      <c r="BH655" s="71" t="str">
        <f>IF(AND($AW655=1,$AJ655=1),$BA655*100000+ROW(),"")</f>
        <v/>
      </c>
      <c r="BI655" s="71" t="str">
        <f>IF(AND($AX655=1,$AJ655=1),$BA655*100000+ROW(),"")</f>
        <v/>
      </c>
      <c r="BJ655" s="71" t="str">
        <f>IF(AND($AS655=1,$AJ655=1),$BA655*100000+ROW(),"")</f>
        <v/>
      </c>
      <c r="BK655" s="71" t="str">
        <f>IF(AND($AY655=1,$AJ655=1),$BA655*100000+ROW(),"")</f>
        <v/>
      </c>
      <c r="BL655" s="71" t="str">
        <f>IF(AND($AZ655=1),$BA655*100000+ROW(),"")</f>
        <v/>
      </c>
    </row>
    <row r="656">
      <c r="A656" s="63" t="n"/>
      <c r="B656" s="64" t="n"/>
      <c r="C656" s="64" t="n"/>
      <c r="D656" s="64" t="n"/>
      <c r="E656" s="64" t="n"/>
      <c r="F656" s="64" t="n"/>
      <c r="G656" s="65" t="n"/>
      <c r="H656" s="65" t="n"/>
      <c r="I656" s="64" t="n"/>
      <c r="J656" s="64" t="n"/>
      <c r="K656" s="63" t="n"/>
      <c r="L656" s="63" t="n"/>
      <c r="M656" s="64" t="n"/>
      <c r="N656" s="66" t="n"/>
      <c r="O656" s="65" t="n"/>
      <c r="P656" s="64" t="n"/>
      <c r="Q656" s="67" t="n"/>
      <c r="R656" s="67" t="n"/>
      <c r="S656" s="68" t="str">
        <f>IF(AND(ISNUMBER($Q656),ISNUMBER($R656)),$Q656-$R656,"")</f>
        <v/>
      </c>
      <c r="T656" s="65" t="n"/>
      <c r="U656" s="64" t="n"/>
      <c r="V656" s="65" t="n"/>
      <c r="W656" s="63" t="n"/>
      <c r="X656" s="65" t="n"/>
      <c r="Y656" s="63" t="n"/>
      <c r="Z656" s="64" t="n"/>
      <c r="AA656" s="64" t="n"/>
      <c r="AB656" s="65" t="n"/>
      <c r="AC656" s="69" t="str">
        <f>IF(OR($G656="",NOT(ISNUMBER($K656)),$AK656=0),"",MAX(0,ReportDate-$K656))</f>
        <v/>
      </c>
      <c r="AD656" s="69" t="str">
        <f>IF($G656="","",IF($AL656=1,ReportDate-$L656,0))</f>
        <v/>
      </c>
      <c r="AE656" s="70" t="str">
        <f>IF($G656="","",IF($M656="Completed",1,IF(ISNUMBER($N656),$N656,0)))</f>
        <v/>
      </c>
      <c r="AF656" s="70" t="str">
        <f>IF(AND(ISNUMBER($Q656),ISNUMBER($R656)),IF($R656&lt;&gt;0,$Q656/$R656,""),"")</f>
        <v/>
      </c>
      <c r="AG656" s="71" t="str">
        <f>IF($G656="","",IF($AL656=1,"OVERDUE",IF($AM656=1,"BLOCKED",IF($AN656=1,"DUE TODAY",IF($AO656=1,"DUE TOMORROW",IF($AQ656=1,"HIGH PRIORITY",IF($AR656=1,"NO RECENT UPDATE",""))))))) </f>
        <v/>
      </c>
      <c r="AH656" s="71" t="str">
        <f>IF($G656="","",IF(ISNUMBER($A656),IF(ISNUMBER($A656),YEAR($A656)&amp;"-"&amp;TEXT(MONTH($A656),"00"),""),IF(ISNUMBER($L656),IF(ISNUMBER($L656),YEAR($L656)&amp;"-"&amp;TEXT(MONTH($L656),"00"),""),"")))</f>
        <v/>
      </c>
      <c r="AI656" s="71">
        <f>IF($G656="",0,IF(AND(OR(fClient="All",$C656=fClient),OR(fCampaign="All",$D656=fCampaign),OR(fTeam="All",$B656=fTeam),OR(fChannel="All",$F656=fChannel),OR(fMonth="All",$AH656=fMonth),OR(fTStatus="All",$M656=fTStatus)),1,0))</f>
        <v>0</v>
      </c>
      <c r="AJ656" s="71">
        <f>IF($G656="",0,IF(AND(OR(fClient="All",$C656=fClient),OR(fCampaign="All",$D656=fCampaign),OR(fTeam="All",$B656=fTeam),OR(fChannel="All",$F656=fChannel)),1,0))</f>
        <v>0</v>
      </c>
      <c r="AK656" s="71">
        <f>IF($G656="",0,IF(OR($M656="Completed",$M656="Cancelled"),0,1))</f>
        <v>0</v>
      </c>
      <c r="AL656" s="71">
        <f>IF(AND($AK656=1,ISNUMBER($L656)),IF($L656&lt;ReportDate,1,0),0)</f>
        <v>0</v>
      </c>
      <c r="AM656" s="71">
        <f>IF(AND($G656&lt;&gt;"",$M656="Blocked"),1,0)</f>
        <v>0</v>
      </c>
      <c r="AN656" s="71">
        <f>IF(AND($AK656=1,ISNUMBER($L656)),IF($L656=ReportDate,1,0),0)</f>
        <v>0</v>
      </c>
      <c r="AO656" s="71">
        <f>IF(AND($AK656=1,ISNUMBER($L656)),IF($L656=ReportDate+1,1,0),0)</f>
        <v>0</v>
      </c>
      <c r="AP656" s="71">
        <f>IF(AND($AK656=1,ISNUMBER($L656)),IF(AND($L656&gt;=ReportDate,$L656&lt;=ReportDate+DueSoonDays),1,0),0)</f>
        <v>0</v>
      </c>
      <c r="AQ656" s="71">
        <f>IF(AND($AK656=1,OR($I656="Critical",$I656="High")),1,0)</f>
        <v>0</v>
      </c>
      <c r="AR656" s="71">
        <f>IF($AK656=1,IF(ISNUMBER($Y656),IF(ReportDate-$Y656&gt;StaleDays,1,0),1),0)</f>
        <v>0</v>
      </c>
      <c r="AS656" s="71">
        <f>IF(AND($G656&lt;&gt;"",ISNUMBER($Q656),ISNUMBER($R656)),IF(AND($Q656&lt;$R656,OR($M656="Completed",AND(ISNUMBER($L656),$L656&lt;ReportDate))),1,0),0)</f>
        <v>0</v>
      </c>
      <c r="AT656" s="71">
        <f>IF($AK656=1,IF(OR($L656=ReportDate,$W656=ReportDate,$K656=ReportDate,$A656=ReportDate),1,0),0)</f>
        <v>0</v>
      </c>
      <c r="AU656" s="71">
        <f>IF($AK656=1,IF(OR($L656=ReportDate+1,$W656=ReportDate+1,$K656=ReportDate+1,$A656=ReportDate+1),1,0),0)</f>
        <v>0</v>
      </c>
      <c r="AV656" s="71">
        <f>IF(AND($G656&lt;&gt;"",$M656="Completed"),IF(OR($Y656=ReportDate-1,$A656=ReportDate-1),1,0),0)</f>
        <v>0</v>
      </c>
      <c r="AW656" s="71">
        <f>IF(AND($AK656=1,$Z656="Yes"),1,0)</f>
        <v>0</v>
      </c>
      <c r="AX656" s="71">
        <f>IF(AND($AK656=1,$AA656="Yes"),1,0)</f>
        <v>0</v>
      </c>
      <c r="AY656" s="71">
        <f>IF(AND($AM656=1,OR($I656="Critical",$I656="High")),1,0)</f>
        <v>0</v>
      </c>
      <c r="AZ656" s="71">
        <f>IF(AND($AK656=1,OR($C656=TCL_Client,$C656=MECCA_Client)),1,0)</f>
        <v>0</v>
      </c>
      <c r="BA656" s="71" t="str">
        <f>IF($G656="","",IFERROR(MATCH($I656,lst_Priority,0),5))</f>
        <v/>
      </c>
      <c r="BB656" s="71" t="str">
        <f>IF(AND($AL656=1,$AJ656=1),$BA656*100000+ROW(),"")</f>
        <v/>
      </c>
      <c r="BC656" s="71" t="str">
        <f>IF(AND($AM656=1,$AJ656=1),$BA656*100000+ROW(),"")</f>
        <v/>
      </c>
      <c r="BD656" s="71" t="str">
        <f>IF(AND($AP656=1,$AJ656=1),$BA656*100000+ROW(),"")</f>
        <v/>
      </c>
      <c r="BE656" s="71" t="str">
        <f>IF(AND($AT656=1,$AJ656=1),$BA656*100000+ROW(),"")</f>
        <v/>
      </c>
      <c r="BF656" s="71" t="str">
        <f>IF(AND($AU656=1,$AJ656=1),$BA656*100000+ROW(),"")</f>
        <v/>
      </c>
      <c r="BG656" s="71" t="str">
        <f>IF(AND($AV656=1,$AJ656=1),$BA656*100000+ROW(),"")</f>
        <v/>
      </c>
      <c r="BH656" s="71" t="str">
        <f>IF(AND($AW656=1,$AJ656=1),$BA656*100000+ROW(),"")</f>
        <v/>
      </c>
      <c r="BI656" s="71" t="str">
        <f>IF(AND($AX656=1,$AJ656=1),$BA656*100000+ROW(),"")</f>
        <v/>
      </c>
      <c r="BJ656" s="71" t="str">
        <f>IF(AND($AS656=1,$AJ656=1),$BA656*100000+ROW(),"")</f>
        <v/>
      </c>
      <c r="BK656" s="71" t="str">
        <f>IF(AND($AY656=1,$AJ656=1),$BA656*100000+ROW(),"")</f>
        <v/>
      </c>
      <c r="BL656" s="71" t="str">
        <f>IF(AND($AZ656=1),$BA656*100000+ROW(),"")</f>
        <v/>
      </c>
    </row>
    <row r="657">
      <c r="A657" s="63" t="n"/>
      <c r="B657" s="64" t="n"/>
      <c r="C657" s="64" t="n"/>
      <c r="D657" s="64" t="n"/>
      <c r="E657" s="64" t="n"/>
      <c r="F657" s="64" t="n"/>
      <c r="G657" s="65" t="n"/>
      <c r="H657" s="65" t="n"/>
      <c r="I657" s="64" t="n"/>
      <c r="J657" s="64" t="n"/>
      <c r="K657" s="63" t="n"/>
      <c r="L657" s="63" t="n"/>
      <c r="M657" s="64" t="n"/>
      <c r="N657" s="66" t="n"/>
      <c r="O657" s="65" t="n"/>
      <c r="P657" s="64" t="n"/>
      <c r="Q657" s="67" t="n"/>
      <c r="R657" s="67" t="n"/>
      <c r="S657" s="68" t="str">
        <f>IF(AND(ISNUMBER($Q657),ISNUMBER($R657)),$Q657-$R657,"")</f>
        <v/>
      </c>
      <c r="T657" s="65" t="n"/>
      <c r="U657" s="64" t="n"/>
      <c r="V657" s="65" t="n"/>
      <c r="W657" s="63" t="n"/>
      <c r="X657" s="65" t="n"/>
      <c r="Y657" s="63" t="n"/>
      <c r="Z657" s="64" t="n"/>
      <c r="AA657" s="64" t="n"/>
      <c r="AB657" s="65" t="n"/>
      <c r="AC657" s="69" t="str">
        <f>IF(OR($G657="",NOT(ISNUMBER($K657)),$AK657=0),"",MAX(0,ReportDate-$K657))</f>
        <v/>
      </c>
      <c r="AD657" s="69" t="str">
        <f>IF($G657="","",IF($AL657=1,ReportDate-$L657,0))</f>
        <v/>
      </c>
      <c r="AE657" s="70" t="str">
        <f>IF($G657="","",IF($M657="Completed",1,IF(ISNUMBER($N657),$N657,0)))</f>
        <v/>
      </c>
      <c r="AF657" s="70" t="str">
        <f>IF(AND(ISNUMBER($Q657),ISNUMBER($R657)),IF($R657&lt;&gt;0,$Q657/$R657,""),"")</f>
        <v/>
      </c>
      <c r="AG657" s="71" t="str">
        <f>IF($G657="","",IF($AL657=1,"OVERDUE",IF($AM657=1,"BLOCKED",IF($AN657=1,"DUE TODAY",IF($AO657=1,"DUE TOMORROW",IF($AQ657=1,"HIGH PRIORITY",IF($AR657=1,"NO RECENT UPDATE",""))))))) </f>
        <v/>
      </c>
      <c r="AH657" s="71" t="str">
        <f>IF($G657="","",IF(ISNUMBER($A657),IF(ISNUMBER($A657),YEAR($A657)&amp;"-"&amp;TEXT(MONTH($A657),"00"),""),IF(ISNUMBER($L657),IF(ISNUMBER($L657),YEAR($L657)&amp;"-"&amp;TEXT(MONTH($L657),"00"),""),"")))</f>
        <v/>
      </c>
      <c r="AI657" s="71">
        <f>IF($G657="",0,IF(AND(OR(fClient="All",$C657=fClient),OR(fCampaign="All",$D657=fCampaign),OR(fTeam="All",$B657=fTeam),OR(fChannel="All",$F657=fChannel),OR(fMonth="All",$AH657=fMonth),OR(fTStatus="All",$M657=fTStatus)),1,0))</f>
        <v>0</v>
      </c>
      <c r="AJ657" s="71">
        <f>IF($G657="",0,IF(AND(OR(fClient="All",$C657=fClient),OR(fCampaign="All",$D657=fCampaign),OR(fTeam="All",$B657=fTeam),OR(fChannel="All",$F657=fChannel)),1,0))</f>
        <v>0</v>
      </c>
      <c r="AK657" s="71">
        <f>IF($G657="",0,IF(OR($M657="Completed",$M657="Cancelled"),0,1))</f>
        <v>0</v>
      </c>
      <c r="AL657" s="71">
        <f>IF(AND($AK657=1,ISNUMBER($L657)),IF($L657&lt;ReportDate,1,0),0)</f>
        <v>0</v>
      </c>
      <c r="AM657" s="71">
        <f>IF(AND($G657&lt;&gt;"",$M657="Blocked"),1,0)</f>
        <v>0</v>
      </c>
      <c r="AN657" s="71">
        <f>IF(AND($AK657=1,ISNUMBER($L657)),IF($L657=ReportDate,1,0),0)</f>
        <v>0</v>
      </c>
      <c r="AO657" s="71">
        <f>IF(AND($AK657=1,ISNUMBER($L657)),IF($L657=ReportDate+1,1,0),0)</f>
        <v>0</v>
      </c>
      <c r="AP657" s="71">
        <f>IF(AND($AK657=1,ISNUMBER($L657)),IF(AND($L657&gt;=ReportDate,$L657&lt;=ReportDate+DueSoonDays),1,0),0)</f>
        <v>0</v>
      </c>
      <c r="AQ657" s="71">
        <f>IF(AND($AK657=1,OR($I657="Critical",$I657="High")),1,0)</f>
        <v>0</v>
      </c>
      <c r="AR657" s="71">
        <f>IF($AK657=1,IF(ISNUMBER($Y657),IF(ReportDate-$Y657&gt;StaleDays,1,0),1),0)</f>
        <v>0</v>
      </c>
      <c r="AS657" s="71">
        <f>IF(AND($G657&lt;&gt;"",ISNUMBER($Q657),ISNUMBER($R657)),IF(AND($Q657&lt;$R657,OR($M657="Completed",AND(ISNUMBER($L657),$L657&lt;ReportDate))),1,0),0)</f>
        <v>0</v>
      </c>
      <c r="AT657" s="71">
        <f>IF($AK657=1,IF(OR($L657=ReportDate,$W657=ReportDate,$K657=ReportDate,$A657=ReportDate),1,0),0)</f>
        <v>0</v>
      </c>
      <c r="AU657" s="71">
        <f>IF($AK657=1,IF(OR($L657=ReportDate+1,$W657=ReportDate+1,$K657=ReportDate+1,$A657=ReportDate+1),1,0),0)</f>
        <v>0</v>
      </c>
      <c r="AV657" s="71">
        <f>IF(AND($G657&lt;&gt;"",$M657="Completed"),IF(OR($Y657=ReportDate-1,$A657=ReportDate-1),1,0),0)</f>
        <v>0</v>
      </c>
      <c r="AW657" s="71">
        <f>IF(AND($AK657=1,$Z657="Yes"),1,0)</f>
        <v>0</v>
      </c>
      <c r="AX657" s="71">
        <f>IF(AND($AK657=1,$AA657="Yes"),1,0)</f>
        <v>0</v>
      </c>
      <c r="AY657" s="71">
        <f>IF(AND($AM657=1,OR($I657="Critical",$I657="High")),1,0)</f>
        <v>0</v>
      </c>
      <c r="AZ657" s="71">
        <f>IF(AND($AK657=1,OR($C657=TCL_Client,$C657=MECCA_Client)),1,0)</f>
        <v>0</v>
      </c>
      <c r="BA657" s="71" t="str">
        <f>IF($G657="","",IFERROR(MATCH($I657,lst_Priority,0),5))</f>
        <v/>
      </c>
      <c r="BB657" s="71" t="str">
        <f>IF(AND($AL657=1,$AJ657=1),$BA657*100000+ROW(),"")</f>
        <v/>
      </c>
      <c r="BC657" s="71" t="str">
        <f>IF(AND($AM657=1,$AJ657=1),$BA657*100000+ROW(),"")</f>
        <v/>
      </c>
      <c r="BD657" s="71" t="str">
        <f>IF(AND($AP657=1,$AJ657=1),$BA657*100000+ROW(),"")</f>
        <v/>
      </c>
      <c r="BE657" s="71" t="str">
        <f>IF(AND($AT657=1,$AJ657=1),$BA657*100000+ROW(),"")</f>
        <v/>
      </c>
      <c r="BF657" s="71" t="str">
        <f>IF(AND($AU657=1,$AJ657=1),$BA657*100000+ROW(),"")</f>
        <v/>
      </c>
      <c r="BG657" s="71" t="str">
        <f>IF(AND($AV657=1,$AJ657=1),$BA657*100000+ROW(),"")</f>
        <v/>
      </c>
      <c r="BH657" s="71" t="str">
        <f>IF(AND($AW657=1,$AJ657=1),$BA657*100000+ROW(),"")</f>
        <v/>
      </c>
      <c r="BI657" s="71" t="str">
        <f>IF(AND($AX657=1,$AJ657=1),$BA657*100000+ROW(),"")</f>
        <v/>
      </c>
      <c r="BJ657" s="71" t="str">
        <f>IF(AND($AS657=1,$AJ657=1),$BA657*100000+ROW(),"")</f>
        <v/>
      </c>
      <c r="BK657" s="71" t="str">
        <f>IF(AND($AY657=1,$AJ657=1),$BA657*100000+ROW(),"")</f>
        <v/>
      </c>
      <c r="BL657" s="71" t="str">
        <f>IF(AND($AZ657=1),$BA657*100000+ROW(),"")</f>
        <v/>
      </c>
    </row>
    <row r="658">
      <c r="A658" s="63" t="n"/>
      <c r="B658" s="64" t="n"/>
      <c r="C658" s="64" t="n"/>
      <c r="D658" s="64" t="n"/>
      <c r="E658" s="64" t="n"/>
      <c r="F658" s="64" t="n"/>
      <c r="G658" s="65" t="n"/>
      <c r="H658" s="65" t="n"/>
      <c r="I658" s="64" t="n"/>
      <c r="J658" s="64" t="n"/>
      <c r="K658" s="63" t="n"/>
      <c r="L658" s="63" t="n"/>
      <c r="M658" s="64" t="n"/>
      <c r="N658" s="66" t="n"/>
      <c r="O658" s="65" t="n"/>
      <c r="P658" s="64" t="n"/>
      <c r="Q658" s="67" t="n"/>
      <c r="R658" s="67" t="n"/>
      <c r="S658" s="68" t="str">
        <f>IF(AND(ISNUMBER($Q658),ISNUMBER($R658)),$Q658-$R658,"")</f>
        <v/>
      </c>
      <c r="T658" s="65" t="n"/>
      <c r="U658" s="64" t="n"/>
      <c r="V658" s="65" t="n"/>
      <c r="W658" s="63" t="n"/>
      <c r="X658" s="65" t="n"/>
      <c r="Y658" s="63" t="n"/>
      <c r="Z658" s="64" t="n"/>
      <c r="AA658" s="64" t="n"/>
      <c r="AB658" s="65" t="n"/>
      <c r="AC658" s="69" t="str">
        <f>IF(OR($G658="",NOT(ISNUMBER($K658)),$AK658=0),"",MAX(0,ReportDate-$K658))</f>
        <v/>
      </c>
      <c r="AD658" s="69" t="str">
        <f>IF($G658="","",IF($AL658=1,ReportDate-$L658,0))</f>
        <v/>
      </c>
      <c r="AE658" s="70" t="str">
        <f>IF($G658="","",IF($M658="Completed",1,IF(ISNUMBER($N658),$N658,0)))</f>
        <v/>
      </c>
      <c r="AF658" s="70" t="str">
        <f>IF(AND(ISNUMBER($Q658),ISNUMBER($R658)),IF($R658&lt;&gt;0,$Q658/$R658,""),"")</f>
        <v/>
      </c>
      <c r="AG658" s="71" t="str">
        <f>IF($G658="","",IF($AL658=1,"OVERDUE",IF($AM658=1,"BLOCKED",IF($AN658=1,"DUE TODAY",IF($AO658=1,"DUE TOMORROW",IF($AQ658=1,"HIGH PRIORITY",IF($AR658=1,"NO RECENT UPDATE",""))))))) </f>
        <v/>
      </c>
      <c r="AH658" s="71" t="str">
        <f>IF($G658="","",IF(ISNUMBER($A658),IF(ISNUMBER($A658),YEAR($A658)&amp;"-"&amp;TEXT(MONTH($A658),"00"),""),IF(ISNUMBER($L658),IF(ISNUMBER($L658),YEAR($L658)&amp;"-"&amp;TEXT(MONTH($L658),"00"),""),"")))</f>
        <v/>
      </c>
      <c r="AI658" s="71">
        <f>IF($G658="",0,IF(AND(OR(fClient="All",$C658=fClient),OR(fCampaign="All",$D658=fCampaign),OR(fTeam="All",$B658=fTeam),OR(fChannel="All",$F658=fChannel),OR(fMonth="All",$AH658=fMonth),OR(fTStatus="All",$M658=fTStatus)),1,0))</f>
        <v>0</v>
      </c>
      <c r="AJ658" s="71">
        <f>IF($G658="",0,IF(AND(OR(fClient="All",$C658=fClient),OR(fCampaign="All",$D658=fCampaign),OR(fTeam="All",$B658=fTeam),OR(fChannel="All",$F658=fChannel)),1,0))</f>
        <v>0</v>
      </c>
      <c r="AK658" s="71">
        <f>IF($G658="",0,IF(OR($M658="Completed",$M658="Cancelled"),0,1))</f>
        <v>0</v>
      </c>
      <c r="AL658" s="71">
        <f>IF(AND($AK658=1,ISNUMBER($L658)),IF($L658&lt;ReportDate,1,0),0)</f>
        <v>0</v>
      </c>
      <c r="AM658" s="71">
        <f>IF(AND($G658&lt;&gt;"",$M658="Blocked"),1,0)</f>
        <v>0</v>
      </c>
      <c r="AN658" s="71">
        <f>IF(AND($AK658=1,ISNUMBER($L658)),IF($L658=ReportDate,1,0),0)</f>
        <v>0</v>
      </c>
      <c r="AO658" s="71">
        <f>IF(AND($AK658=1,ISNUMBER($L658)),IF($L658=ReportDate+1,1,0),0)</f>
        <v>0</v>
      </c>
      <c r="AP658" s="71">
        <f>IF(AND($AK658=1,ISNUMBER($L658)),IF(AND($L658&gt;=ReportDate,$L658&lt;=ReportDate+DueSoonDays),1,0),0)</f>
        <v>0</v>
      </c>
      <c r="AQ658" s="71">
        <f>IF(AND($AK658=1,OR($I658="Critical",$I658="High")),1,0)</f>
        <v>0</v>
      </c>
      <c r="AR658" s="71">
        <f>IF($AK658=1,IF(ISNUMBER($Y658),IF(ReportDate-$Y658&gt;StaleDays,1,0),1),0)</f>
        <v>0</v>
      </c>
      <c r="AS658" s="71">
        <f>IF(AND($G658&lt;&gt;"",ISNUMBER($Q658),ISNUMBER($R658)),IF(AND($Q658&lt;$R658,OR($M658="Completed",AND(ISNUMBER($L658),$L658&lt;ReportDate))),1,0),0)</f>
        <v>0</v>
      </c>
      <c r="AT658" s="71">
        <f>IF($AK658=1,IF(OR($L658=ReportDate,$W658=ReportDate,$K658=ReportDate,$A658=ReportDate),1,0),0)</f>
        <v>0</v>
      </c>
      <c r="AU658" s="71">
        <f>IF($AK658=1,IF(OR($L658=ReportDate+1,$W658=ReportDate+1,$K658=ReportDate+1,$A658=ReportDate+1),1,0),0)</f>
        <v>0</v>
      </c>
      <c r="AV658" s="71">
        <f>IF(AND($G658&lt;&gt;"",$M658="Completed"),IF(OR($Y658=ReportDate-1,$A658=ReportDate-1),1,0),0)</f>
        <v>0</v>
      </c>
      <c r="AW658" s="71">
        <f>IF(AND($AK658=1,$Z658="Yes"),1,0)</f>
        <v>0</v>
      </c>
      <c r="AX658" s="71">
        <f>IF(AND($AK658=1,$AA658="Yes"),1,0)</f>
        <v>0</v>
      </c>
      <c r="AY658" s="71">
        <f>IF(AND($AM658=1,OR($I658="Critical",$I658="High")),1,0)</f>
        <v>0</v>
      </c>
      <c r="AZ658" s="71">
        <f>IF(AND($AK658=1,OR($C658=TCL_Client,$C658=MECCA_Client)),1,0)</f>
        <v>0</v>
      </c>
      <c r="BA658" s="71" t="str">
        <f>IF($G658="","",IFERROR(MATCH($I658,lst_Priority,0),5))</f>
        <v/>
      </c>
      <c r="BB658" s="71" t="str">
        <f>IF(AND($AL658=1,$AJ658=1),$BA658*100000+ROW(),"")</f>
        <v/>
      </c>
      <c r="BC658" s="71" t="str">
        <f>IF(AND($AM658=1,$AJ658=1),$BA658*100000+ROW(),"")</f>
        <v/>
      </c>
      <c r="BD658" s="71" t="str">
        <f>IF(AND($AP658=1,$AJ658=1),$BA658*100000+ROW(),"")</f>
        <v/>
      </c>
      <c r="BE658" s="71" t="str">
        <f>IF(AND($AT658=1,$AJ658=1),$BA658*100000+ROW(),"")</f>
        <v/>
      </c>
      <c r="BF658" s="71" t="str">
        <f>IF(AND($AU658=1,$AJ658=1),$BA658*100000+ROW(),"")</f>
        <v/>
      </c>
      <c r="BG658" s="71" t="str">
        <f>IF(AND($AV658=1,$AJ658=1),$BA658*100000+ROW(),"")</f>
        <v/>
      </c>
      <c r="BH658" s="71" t="str">
        <f>IF(AND($AW658=1,$AJ658=1),$BA658*100000+ROW(),"")</f>
        <v/>
      </c>
      <c r="BI658" s="71" t="str">
        <f>IF(AND($AX658=1,$AJ658=1),$BA658*100000+ROW(),"")</f>
        <v/>
      </c>
      <c r="BJ658" s="71" t="str">
        <f>IF(AND($AS658=1,$AJ658=1),$BA658*100000+ROW(),"")</f>
        <v/>
      </c>
      <c r="BK658" s="71" t="str">
        <f>IF(AND($AY658=1,$AJ658=1),$BA658*100000+ROW(),"")</f>
        <v/>
      </c>
      <c r="BL658" s="71" t="str">
        <f>IF(AND($AZ658=1),$BA658*100000+ROW(),"")</f>
        <v/>
      </c>
    </row>
    <row r="659">
      <c r="A659" s="63" t="n"/>
      <c r="B659" s="64" t="n"/>
      <c r="C659" s="64" t="n"/>
      <c r="D659" s="64" t="n"/>
      <c r="E659" s="64" t="n"/>
      <c r="F659" s="64" t="n"/>
      <c r="G659" s="65" t="n"/>
      <c r="H659" s="65" t="n"/>
      <c r="I659" s="64" t="n"/>
      <c r="J659" s="64" t="n"/>
      <c r="K659" s="63" t="n"/>
      <c r="L659" s="63" t="n"/>
      <c r="M659" s="64" t="n"/>
      <c r="N659" s="66" t="n"/>
      <c r="O659" s="65" t="n"/>
      <c r="P659" s="64" t="n"/>
      <c r="Q659" s="67" t="n"/>
      <c r="R659" s="67" t="n"/>
      <c r="S659" s="68" t="str">
        <f>IF(AND(ISNUMBER($Q659),ISNUMBER($R659)),$Q659-$R659,"")</f>
        <v/>
      </c>
      <c r="T659" s="65" t="n"/>
      <c r="U659" s="64" t="n"/>
      <c r="V659" s="65" t="n"/>
      <c r="W659" s="63" t="n"/>
      <c r="X659" s="65" t="n"/>
      <c r="Y659" s="63" t="n"/>
      <c r="Z659" s="64" t="n"/>
      <c r="AA659" s="64" t="n"/>
      <c r="AB659" s="65" t="n"/>
      <c r="AC659" s="69" t="str">
        <f>IF(OR($G659="",NOT(ISNUMBER($K659)),$AK659=0),"",MAX(0,ReportDate-$K659))</f>
        <v/>
      </c>
      <c r="AD659" s="69" t="str">
        <f>IF($G659="","",IF($AL659=1,ReportDate-$L659,0))</f>
        <v/>
      </c>
      <c r="AE659" s="70" t="str">
        <f>IF($G659="","",IF($M659="Completed",1,IF(ISNUMBER($N659),$N659,0)))</f>
        <v/>
      </c>
      <c r="AF659" s="70" t="str">
        <f>IF(AND(ISNUMBER($Q659),ISNUMBER($R659)),IF($R659&lt;&gt;0,$Q659/$R659,""),"")</f>
        <v/>
      </c>
      <c r="AG659" s="71" t="str">
        <f>IF($G659="","",IF($AL659=1,"OVERDUE",IF($AM659=1,"BLOCKED",IF($AN659=1,"DUE TODAY",IF($AO659=1,"DUE TOMORROW",IF($AQ659=1,"HIGH PRIORITY",IF($AR659=1,"NO RECENT UPDATE",""))))))) </f>
        <v/>
      </c>
      <c r="AH659" s="71" t="str">
        <f>IF($G659="","",IF(ISNUMBER($A659),IF(ISNUMBER($A659),YEAR($A659)&amp;"-"&amp;TEXT(MONTH($A659),"00"),""),IF(ISNUMBER($L659),IF(ISNUMBER($L659),YEAR($L659)&amp;"-"&amp;TEXT(MONTH($L659),"00"),""),"")))</f>
        <v/>
      </c>
      <c r="AI659" s="71">
        <f>IF($G659="",0,IF(AND(OR(fClient="All",$C659=fClient),OR(fCampaign="All",$D659=fCampaign),OR(fTeam="All",$B659=fTeam),OR(fChannel="All",$F659=fChannel),OR(fMonth="All",$AH659=fMonth),OR(fTStatus="All",$M659=fTStatus)),1,0))</f>
        <v>0</v>
      </c>
      <c r="AJ659" s="71">
        <f>IF($G659="",0,IF(AND(OR(fClient="All",$C659=fClient),OR(fCampaign="All",$D659=fCampaign),OR(fTeam="All",$B659=fTeam),OR(fChannel="All",$F659=fChannel)),1,0))</f>
        <v>0</v>
      </c>
      <c r="AK659" s="71">
        <f>IF($G659="",0,IF(OR($M659="Completed",$M659="Cancelled"),0,1))</f>
        <v>0</v>
      </c>
      <c r="AL659" s="71">
        <f>IF(AND($AK659=1,ISNUMBER($L659)),IF($L659&lt;ReportDate,1,0),0)</f>
        <v>0</v>
      </c>
      <c r="AM659" s="71">
        <f>IF(AND($G659&lt;&gt;"",$M659="Blocked"),1,0)</f>
        <v>0</v>
      </c>
      <c r="AN659" s="71">
        <f>IF(AND($AK659=1,ISNUMBER($L659)),IF($L659=ReportDate,1,0),0)</f>
        <v>0</v>
      </c>
      <c r="AO659" s="71">
        <f>IF(AND($AK659=1,ISNUMBER($L659)),IF($L659=ReportDate+1,1,0),0)</f>
        <v>0</v>
      </c>
      <c r="AP659" s="71">
        <f>IF(AND($AK659=1,ISNUMBER($L659)),IF(AND($L659&gt;=ReportDate,$L659&lt;=ReportDate+DueSoonDays),1,0),0)</f>
        <v>0</v>
      </c>
      <c r="AQ659" s="71">
        <f>IF(AND($AK659=1,OR($I659="Critical",$I659="High")),1,0)</f>
        <v>0</v>
      </c>
      <c r="AR659" s="71">
        <f>IF($AK659=1,IF(ISNUMBER($Y659),IF(ReportDate-$Y659&gt;StaleDays,1,0),1),0)</f>
        <v>0</v>
      </c>
      <c r="AS659" s="71">
        <f>IF(AND($G659&lt;&gt;"",ISNUMBER($Q659),ISNUMBER($R659)),IF(AND($Q659&lt;$R659,OR($M659="Completed",AND(ISNUMBER($L659),$L659&lt;ReportDate))),1,0),0)</f>
        <v>0</v>
      </c>
      <c r="AT659" s="71">
        <f>IF($AK659=1,IF(OR($L659=ReportDate,$W659=ReportDate,$K659=ReportDate,$A659=ReportDate),1,0),0)</f>
        <v>0</v>
      </c>
      <c r="AU659" s="71">
        <f>IF($AK659=1,IF(OR($L659=ReportDate+1,$W659=ReportDate+1,$K659=ReportDate+1,$A659=ReportDate+1),1,0),0)</f>
        <v>0</v>
      </c>
      <c r="AV659" s="71">
        <f>IF(AND($G659&lt;&gt;"",$M659="Completed"),IF(OR($Y659=ReportDate-1,$A659=ReportDate-1),1,0),0)</f>
        <v>0</v>
      </c>
      <c r="AW659" s="71">
        <f>IF(AND($AK659=1,$Z659="Yes"),1,0)</f>
        <v>0</v>
      </c>
      <c r="AX659" s="71">
        <f>IF(AND($AK659=1,$AA659="Yes"),1,0)</f>
        <v>0</v>
      </c>
      <c r="AY659" s="71">
        <f>IF(AND($AM659=1,OR($I659="Critical",$I659="High")),1,0)</f>
        <v>0</v>
      </c>
      <c r="AZ659" s="71">
        <f>IF(AND($AK659=1,OR($C659=TCL_Client,$C659=MECCA_Client)),1,0)</f>
        <v>0</v>
      </c>
      <c r="BA659" s="71" t="str">
        <f>IF($G659="","",IFERROR(MATCH($I659,lst_Priority,0),5))</f>
        <v/>
      </c>
      <c r="BB659" s="71" t="str">
        <f>IF(AND($AL659=1,$AJ659=1),$BA659*100000+ROW(),"")</f>
        <v/>
      </c>
      <c r="BC659" s="71" t="str">
        <f>IF(AND($AM659=1,$AJ659=1),$BA659*100000+ROW(),"")</f>
        <v/>
      </c>
      <c r="BD659" s="71" t="str">
        <f>IF(AND($AP659=1,$AJ659=1),$BA659*100000+ROW(),"")</f>
        <v/>
      </c>
      <c r="BE659" s="71" t="str">
        <f>IF(AND($AT659=1,$AJ659=1),$BA659*100000+ROW(),"")</f>
        <v/>
      </c>
      <c r="BF659" s="71" t="str">
        <f>IF(AND($AU659=1,$AJ659=1),$BA659*100000+ROW(),"")</f>
        <v/>
      </c>
      <c r="BG659" s="71" t="str">
        <f>IF(AND($AV659=1,$AJ659=1),$BA659*100000+ROW(),"")</f>
        <v/>
      </c>
      <c r="BH659" s="71" t="str">
        <f>IF(AND($AW659=1,$AJ659=1),$BA659*100000+ROW(),"")</f>
        <v/>
      </c>
      <c r="BI659" s="71" t="str">
        <f>IF(AND($AX659=1,$AJ659=1),$BA659*100000+ROW(),"")</f>
        <v/>
      </c>
      <c r="BJ659" s="71" t="str">
        <f>IF(AND($AS659=1,$AJ659=1),$BA659*100000+ROW(),"")</f>
        <v/>
      </c>
      <c r="BK659" s="71" t="str">
        <f>IF(AND($AY659=1,$AJ659=1),$BA659*100000+ROW(),"")</f>
        <v/>
      </c>
      <c r="BL659" s="71" t="str">
        <f>IF(AND($AZ659=1),$BA659*100000+ROW(),"")</f>
        <v/>
      </c>
    </row>
    <row r="660">
      <c r="A660" s="63" t="n"/>
      <c r="B660" s="64" t="n"/>
      <c r="C660" s="64" t="n"/>
      <c r="D660" s="64" t="n"/>
      <c r="E660" s="64" t="n"/>
      <c r="F660" s="64" t="n"/>
      <c r="G660" s="65" t="n"/>
      <c r="H660" s="65" t="n"/>
      <c r="I660" s="64" t="n"/>
      <c r="J660" s="64" t="n"/>
      <c r="K660" s="63" t="n"/>
      <c r="L660" s="63" t="n"/>
      <c r="M660" s="64" t="n"/>
      <c r="N660" s="66" t="n"/>
      <c r="O660" s="65" t="n"/>
      <c r="P660" s="64" t="n"/>
      <c r="Q660" s="67" t="n"/>
      <c r="R660" s="67" t="n"/>
      <c r="S660" s="68" t="str">
        <f>IF(AND(ISNUMBER($Q660),ISNUMBER($R660)),$Q660-$R660,"")</f>
        <v/>
      </c>
      <c r="T660" s="65" t="n"/>
      <c r="U660" s="64" t="n"/>
      <c r="V660" s="65" t="n"/>
      <c r="W660" s="63" t="n"/>
      <c r="X660" s="65" t="n"/>
      <c r="Y660" s="63" t="n"/>
      <c r="Z660" s="64" t="n"/>
      <c r="AA660" s="64" t="n"/>
      <c r="AB660" s="65" t="n"/>
      <c r="AC660" s="69" t="str">
        <f>IF(OR($G660="",NOT(ISNUMBER($K660)),$AK660=0),"",MAX(0,ReportDate-$K660))</f>
        <v/>
      </c>
      <c r="AD660" s="69" t="str">
        <f>IF($G660="","",IF($AL660=1,ReportDate-$L660,0))</f>
        <v/>
      </c>
      <c r="AE660" s="70" t="str">
        <f>IF($G660="","",IF($M660="Completed",1,IF(ISNUMBER($N660),$N660,0)))</f>
        <v/>
      </c>
      <c r="AF660" s="70" t="str">
        <f>IF(AND(ISNUMBER($Q660),ISNUMBER($R660)),IF($R660&lt;&gt;0,$Q660/$R660,""),"")</f>
        <v/>
      </c>
      <c r="AG660" s="71" t="str">
        <f>IF($G660="","",IF($AL660=1,"OVERDUE",IF($AM660=1,"BLOCKED",IF($AN660=1,"DUE TODAY",IF($AO660=1,"DUE TOMORROW",IF($AQ660=1,"HIGH PRIORITY",IF($AR660=1,"NO RECENT UPDATE",""))))))) </f>
        <v/>
      </c>
      <c r="AH660" s="71" t="str">
        <f>IF($G660="","",IF(ISNUMBER($A660),IF(ISNUMBER($A660),YEAR($A660)&amp;"-"&amp;TEXT(MONTH($A660),"00"),""),IF(ISNUMBER($L660),IF(ISNUMBER($L660),YEAR($L660)&amp;"-"&amp;TEXT(MONTH($L660),"00"),""),"")))</f>
        <v/>
      </c>
      <c r="AI660" s="71">
        <f>IF($G660="",0,IF(AND(OR(fClient="All",$C660=fClient),OR(fCampaign="All",$D660=fCampaign),OR(fTeam="All",$B660=fTeam),OR(fChannel="All",$F660=fChannel),OR(fMonth="All",$AH660=fMonth),OR(fTStatus="All",$M660=fTStatus)),1,0))</f>
        <v>0</v>
      </c>
      <c r="AJ660" s="71">
        <f>IF($G660="",0,IF(AND(OR(fClient="All",$C660=fClient),OR(fCampaign="All",$D660=fCampaign),OR(fTeam="All",$B660=fTeam),OR(fChannel="All",$F660=fChannel)),1,0))</f>
        <v>0</v>
      </c>
      <c r="AK660" s="71">
        <f>IF($G660="",0,IF(OR($M660="Completed",$M660="Cancelled"),0,1))</f>
        <v>0</v>
      </c>
      <c r="AL660" s="71">
        <f>IF(AND($AK660=1,ISNUMBER($L660)),IF($L660&lt;ReportDate,1,0),0)</f>
        <v>0</v>
      </c>
      <c r="AM660" s="71">
        <f>IF(AND($G660&lt;&gt;"",$M660="Blocked"),1,0)</f>
        <v>0</v>
      </c>
      <c r="AN660" s="71">
        <f>IF(AND($AK660=1,ISNUMBER($L660)),IF($L660=ReportDate,1,0),0)</f>
        <v>0</v>
      </c>
      <c r="AO660" s="71">
        <f>IF(AND($AK660=1,ISNUMBER($L660)),IF($L660=ReportDate+1,1,0),0)</f>
        <v>0</v>
      </c>
      <c r="AP660" s="71">
        <f>IF(AND($AK660=1,ISNUMBER($L660)),IF(AND($L660&gt;=ReportDate,$L660&lt;=ReportDate+DueSoonDays),1,0),0)</f>
        <v>0</v>
      </c>
      <c r="AQ660" s="71">
        <f>IF(AND($AK660=1,OR($I660="Critical",$I660="High")),1,0)</f>
        <v>0</v>
      </c>
      <c r="AR660" s="71">
        <f>IF($AK660=1,IF(ISNUMBER($Y660),IF(ReportDate-$Y660&gt;StaleDays,1,0),1),0)</f>
        <v>0</v>
      </c>
      <c r="AS660" s="71">
        <f>IF(AND($G660&lt;&gt;"",ISNUMBER($Q660),ISNUMBER($R660)),IF(AND($Q660&lt;$R660,OR($M660="Completed",AND(ISNUMBER($L660),$L660&lt;ReportDate))),1,0),0)</f>
        <v>0</v>
      </c>
      <c r="AT660" s="71">
        <f>IF($AK660=1,IF(OR($L660=ReportDate,$W660=ReportDate,$K660=ReportDate,$A660=ReportDate),1,0),0)</f>
        <v>0</v>
      </c>
      <c r="AU660" s="71">
        <f>IF($AK660=1,IF(OR($L660=ReportDate+1,$W660=ReportDate+1,$K660=ReportDate+1,$A660=ReportDate+1),1,0),0)</f>
        <v>0</v>
      </c>
      <c r="AV660" s="71">
        <f>IF(AND($G660&lt;&gt;"",$M660="Completed"),IF(OR($Y660=ReportDate-1,$A660=ReportDate-1),1,0),0)</f>
        <v>0</v>
      </c>
      <c r="AW660" s="71">
        <f>IF(AND($AK660=1,$Z660="Yes"),1,0)</f>
        <v>0</v>
      </c>
      <c r="AX660" s="71">
        <f>IF(AND($AK660=1,$AA660="Yes"),1,0)</f>
        <v>0</v>
      </c>
      <c r="AY660" s="71">
        <f>IF(AND($AM660=1,OR($I660="Critical",$I660="High")),1,0)</f>
        <v>0</v>
      </c>
      <c r="AZ660" s="71">
        <f>IF(AND($AK660=1,OR($C660=TCL_Client,$C660=MECCA_Client)),1,0)</f>
        <v>0</v>
      </c>
      <c r="BA660" s="71" t="str">
        <f>IF($G660="","",IFERROR(MATCH($I660,lst_Priority,0),5))</f>
        <v/>
      </c>
      <c r="BB660" s="71" t="str">
        <f>IF(AND($AL660=1,$AJ660=1),$BA660*100000+ROW(),"")</f>
        <v/>
      </c>
      <c r="BC660" s="71" t="str">
        <f>IF(AND($AM660=1,$AJ660=1),$BA660*100000+ROW(),"")</f>
        <v/>
      </c>
      <c r="BD660" s="71" t="str">
        <f>IF(AND($AP660=1,$AJ660=1),$BA660*100000+ROW(),"")</f>
        <v/>
      </c>
      <c r="BE660" s="71" t="str">
        <f>IF(AND($AT660=1,$AJ660=1),$BA660*100000+ROW(),"")</f>
        <v/>
      </c>
      <c r="BF660" s="71" t="str">
        <f>IF(AND($AU660=1,$AJ660=1),$BA660*100000+ROW(),"")</f>
        <v/>
      </c>
      <c r="BG660" s="71" t="str">
        <f>IF(AND($AV660=1,$AJ660=1),$BA660*100000+ROW(),"")</f>
        <v/>
      </c>
      <c r="BH660" s="71" t="str">
        <f>IF(AND($AW660=1,$AJ660=1),$BA660*100000+ROW(),"")</f>
        <v/>
      </c>
      <c r="BI660" s="71" t="str">
        <f>IF(AND($AX660=1,$AJ660=1),$BA660*100000+ROW(),"")</f>
        <v/>
      </c>
      <c r="BJ660" s="71" t="str">
        <f>IF(AND($AS660=1,$AJ660=1),$BA660*100000+ROW(),"")</f>
        <v/>
      </c>
      <c r="BK660" s="71" t="str">
        <f>IF(AND($AY660=1,$AJ660=1),$BA660*100000+ROW(),"")</f>
        <v/>
      </c>
      <c r="BL660" s="71" t="str">
        <f>IF(AND($AZ660=1),$BA660*100000+ROW(),"")</f>
        <v/>
      </c>
    </row>
    <row r="661">
      <c r="A661" s="63" t="n"/>
      <c r="B661" s="64" t="n"/>
      <c r="C661" s="64" t="n"/>
      <c r="D661" s="64" t="n"/>
      <c r="E661" s="64" t="n"/>
      <c r="F661" s="64" t="n"/>
      <c r="G661" s="65" t="n"/>
      <c r="H661" s="65" t="n"/>
      <c r="I661" s="64" t="n"/>
      <c r="J661" s="64" t="n"/>
      <c r="K661" s="63" t="n"/>
      <c r="L661" s="63" t="n"/>
      <c r="M661" s="64" t="n"/>
      <c r="N661" s="66" t="n"/>
      <c r="O661" s="65" t="n"/>
      <c r="P661" s="64" t="n"/>
      <c r="Q661" s="67" t="n"/>
      <c r="R661" s="67" t="n"/>
      <c r="S661" s="68" t="str">
        <f>IF(AND(ISNUMBER($Q661),ISNUMBER($R661)),$Q661-$R661,"")</f>
        <v/>
      </c>
      <c r="T661" s="65" t="n"/>
      <c r="U661" s="64" t="n"/>
      <c r="V661" s="65" t="n"/>
      <c r="W661" s="63" t="n"/>
      <c r="X661" s="65" t="n"/>
      <c r="Y661" s="63" t="n"/>
      <c r="Z661" s="64" t="n"/>
      <c r="AA661" s="64" t="n"/>
      <c r="AB661" s="65" t="n"/>
      <c r="AC661" s="69" t="str">
        <f>IF(OR($G661="",NOT(ISNUMBER($K661)),$AK661=0),"",MAX(0,ReportDate-$K661))</f>
        <v/>
      </c>
      <c r="AD661" s="69" t="str">
        <f>IF($G661="","",IF($AL661=1,ReportDate-$L661,0))</f>
        <v/>
      </c>
      <c r="AE661" s="70" t="str">
        <f>IF($G661="","",IF($M661="Completed",1,IF(ISNUMBER($N661),$N661,0)))</f>
        <v/>
      </c>
      <c r="AF661" s="70" t="str">
        <f>IF(AND(ISNUMBER($Q661),ISNUMBER($R661)),IF($R661&lt;&gt;0,$Q661/$R661,""),"")</f>
        <v/>
      </c>
      <c r="AG661" s="71" t="str">
        <f>IF($G661="","",IF($AL661=1,"OVERDUE",IF($AM661=1,"BLOCKED",IF($AN661=1,"DUE TODAY",IF($AO661=1,"DUE TOMORROW",IF($AQ661=1,"HIGH PRIORITY",IF($AR661=1,"NO RECENT UPDATE",""))))))) </f>
        <v/>
      </c>
      <c r="AH661" s="71" t="str">
        <f>IF($G661="","",IF(ISNUMBER($A661),IF(ISNUMBER($A661),YEAR($A661)&amp;"-"&amp;TEXT(MONTH($A661),"00"),""),IF(ISNUMBER($L661),IF(ISNUMBER($L661),YEAR($L661)&amp;"-"&amp;TEXT(MONTH($L661),"00"),""),"")))</f>
        <v/>
      </c>
      <c r="AI661" s="71">
        <f>IF($G661="",0,IF(AND(OR(fClient="All",$C661=fClient),OR(fCampaign="All",$D661=fCampaign),OR(fTeam="All",$B661=fTeam),OR(fChannel="All",$F661=fChannel),OR(fMonth="All",$AH661=fMonth),OR(fTStatus="All",$M661=fTStatus)),1,0))</f>
        <v>0</v>
      </c>
      <c r="AJ661" s="71">
        <f>IF($G661="",0,IF(AND(OR(fClient="All",$C661=fClient),OR(fCampaign="All",$D661=fCampaign),OR(fTeam="All",$B661=fTeam),OR(fChannel="All",$F661=fChannel)),1,0))</f>
        <v>0</v>
      </c>
      <c r="AK661" s="71">
        <f>IF($G661="",0,IF(OR($M661="Completed",$M661="Cancelled"),0,1))</f>
        <v>0</v>
      </c>
      <c r="AL661" s="71">
        <f>IF(AND($AK661=1,ISNUMBER($L661)),IF($L661&lt;ReportDate,1,0),0)</f>
        <v>0</v>
      </c>
      <c r="AM661" s="71">
        <f>IF(AND($G661&lt;&gt;"",$M661="Blocked"),1,0)</f>
        <v>0</v>
      </c>
      <c r="AN661" s="71">
        <f>IF(AND($AK661=1,ISNUMBER($L661)),IF($L661=ReportDate,1,0),0)</f>
        <v>0</v>
      </c>
      <c r="AO661" s="71">
        <f>IF(AND($AK661=1,ISNUMBER($L661)),IF($L661=ReportDate+1,1,0),0)</f>
        <v>0</v>
      </c>
      <c r="AP661" s="71">
        <f>IF(AND($AK661=1,ISNUMBER($L661)),IF(AND($L661&gt;=ReportDate,$L661&lt;=ReportDate+DueSoonDays),1,0),0)</f>
        <v>0</v>
      </c>
      <c r="AQ661" s="71">
        <f>IF(AND($AK661=1,OR($I661="Critical",$I661="High")),1,0)</f>
        <v>0</v>
      </c>
      <c r="AR661" s="71">
        <f>IF($AK661=1,IF(ISNUMBER($Y661),IF(ReportDate-$Y661&gt;StaleDays,1,0),1),0)</f>
        <v>0</v>
      </c>
      <c r="AS661" s="71">
        <f>IF(AND($G661&lt;&gt;"",ISNUMBER($Q661),ISNUMBER($R661)),IF(AND($Q661&lt;$R661,OR($M661="Completed",AND(ISNUMBER($L661),$L661&lt;ReportDate))),1,0),0)</f>
        <v>0</v>
      </c>
      <c r="AT661" s="71">
        <f>IF($AK661=1,IF(OR($L661=ReportDate,$W661=ReportDate,$K661=ReportDate,$A661=ReportDate),1,0),0)</f>
        <v>0</v>
      </c>
      <c r="AU661" s="71">
        <f>IF($AK661=1,IF(OR($L661=ReportDate+1,$W661=ReportDate+1,$K661=ReportDate+1,$A661=ReportDate+1),1,0),0)</f>
        <v>0</v>
      </c>
      <c r="AV661" s="71">
        <f>IF(AND($G661&lt;&gt;"",$M661="Completed"),IF(OR($Y661=ReportDate-1,$A661=ReportDate-1),1,0),0)</f>
        <v>0</v>
      </c>
      <c r="AW661" s="71">
        <f>IF(AND($AK661=1,$Z661="Yes"),1,0)</f>
        <v>0</v>
      </c>
      <c r="AX661" s="71">
        <f>IF(AND($AK661=1,$AA661="Yes"),1,0)</f>
        <v>0</v>
      </c>
      <c r="AY661" s="71">
        <f>IF(AND($AM661=1,OR($I661="Critical",$I661="High")),1,0)</f>
        <v>0</v>
      </c>
      <c r="AZ661" s="71">
        <f>IF(AND($AK661=1,OR($C661=TCL_Client,$C661=MECCA_Client)),1,0)</f>
        <v>0</v>
      </c>
      <c r="BA661" s="71" t="str">
        <f>IF($G661="","",IFERROR(MATCH($I661,lst_Priority,0),5))</f>
        <v/>
      </c>
      <c r="BB661" s="71" t="str">
        <f>IF(AND($AL661=1,$AJ661=1),$BA661*100000+ROW(),"")</f>
        <v/>
      </c>
      <c r="BC661" s="71" t="str">
        <f>IF(AND($AM661=1,$AJ661=1),$BA661*100000+ROW(),"")</f>
        <v/>
      </c>
      <c r="BD661" s="71" t="str">
        <f>IF(AND($AP661=1,$AJ661=1),$BA661*100000+ROW(),"")</f>
        <v/>
      </c>
      <c r="BE661" s="71" t="str">
        <f>IF(AND($AT661=1,$AJ661=1),$BA661*100000+ROW(),"")</f>
        <v/>
      </c>
      <c r="BF661" s="71" t="str">
        <f>IF(AND($AU661=1,$AJ661=1),$BA661*100000+ROW(),"")</f>
        <v/>
      </c>
      <c r="BG661" s="71" t="str">
        <f>IF(AND($AV661=1,$AJ661=1),$BA661*100000+ROW(),"")</f>
        <v/>
      </c>
      <c r="BH661" s="71" t="str">
        <f>IF(AND($AW661=1,$AJ661=1),$BA661*100000+ROW(),"")</f>
        <v/>
      </c>
      <c r="BI661" s="71" t="str">
        <f>IF(AND($AX661=1,$AJ661=1),$BA661*100000+ROW(),"")</f>
        <v/>
      </c>
      <c r="BJ661" s="71" t="str">
        <f>IF(AND($AS661=1,$AJ661=1),$BA661*100000+ROW(),"")</f>
        <v/>
      </c>
      <c r="BK661" s="71" t="str">
        <f>IF(AND($AY661=1,$AJ661=1),$BA661*100000+ROW(),"")</f>
        <v/>
      </c>
      <c r="BL661" s="71" t="str">
        <f>IF(AND($AZ661=1),$BA661*100000+ROW(),"")</f>
        <v/>
      </c>
    </row>
    <row r="662">
      <c r="A662" s="63" t="n"/>
      <c r="B662" s="64" t="n"/>
      <c r="C662" s="64" t="n"/>
      <c r="D662" s="64" t="n"/>
      <c r="E662" s="64" t="n"/>
      <c r="F662" s="64" t="n"/>
      <c r="G662" s="65" t="n"/>
      <c r="H662" s="65" t="n"/>
      <c r="I662" s="64" t="n"/>
      <c r="J662" s="64" t="n"/>
      <c r="K662" s="63" t="n"/>
      <c r="L662" s="63" t="n"/>
      <c r="M662" s="64" t="n"/>
      <c r="N662" s="66" t="n"/>
      <c r="O662" s="65" t="n"/>
      <c r="P662" s="64" t="n"/>
      <c r="Q662" s="67" t="n"/>
      <c r="R662" s="67" t="n"/>
      <c r="S662" s="68" t="str">
        <f>IF(AND(ISNUMBER($Q662),ISNUMBER($R662)),$Q662-$R662,"")</f>
        <v/>
      </c>
      <c r="T662" s="65" t="n"/>
      <c r="U662" s="64" t="n"/>
      <c r="V662" s="65" t="n"/>
      <c r="W662" s="63" t="n"/>
      <c r="X662" s="65" t="n"/>
      <c r="Y662" s="63" t="n"/>
      <c r="Z662" s="64" t="n"/>
      <c r="AA662" s="64" t="n"/>
      <c r="AB662" s="65" t="n"/>
      <c r="AC662" s="69" t="str">
        <f>IF(OR($G662="",NOT(ISNUMBER($K662)),$AK662=0),"",MAX(0,ReportDate-$K662))</f>
        <v/>
      </c>
      <c r="AD662" s="69" t="str">
        <f>IF($G662="","",IF($AL662=1,ReportDate-$L662,0))</f>
        <v/>
      </c>
      <c r="AE662" s="70" t="str">
        <f>IF($G662="","",IF($M662="Completed",1,IF(ISNUMBER($N662),$N662,0)))</f>
        <v/>
      </c>
      <c r="AF662" s="70" t="str">
        <f>IF(AND(ISNUMBER($Q662),ISNUMBER($R662)),IF($R662&lt;&gt;0,$Q662/$R662,""),"")</f>
        <v/>
      </c>
      <c r="AG662" s="71" t="str">
        <f>IF($G662="","",IF($AL662=1,"OVERDUE",IF($AM662=1,"BLOCKED",IF($AN662=1,"DUE TODAY",IF($AO662=1,"DUE TOMORROW",IF($AQ662=1,"HIGH PRIORITY",IF($AR662=1,"NO RECENT UPDATE",""))))))) </f>
        <v/>
      </c>
      <c r="AH662" s="71" t="str">
        <f>IF($G662="","",IF(ISNUMBER($A662),IF(ISNUMBER($A662),YEAR($A662)&amp;"-"&amp;TEXT(MONTH($A662),"00"),""),IF(ISNUMBER($L662),IF(ISNUMBER($L662),YEAR($L662)&amp;"-"&amp;TEXT(MONTH($L662),"00"),""),"")))</f>
        <v/>
      </c>
      <c r="AI662" s="71">
        <f>IF($G662="",0,IF(AND(OR(fClient="All",$C662=fClient),OR(fCampaign="All",$D662=fCampaign),OR(fTeam="All",$B662=fTeam),OR(fChannel="All",$F662=fChannel),OR(fMonth="All",$AH662=fMonth),OR(fTStatus="All",$M662=fTStatus)),1,0))</f>
        <v>0</v>
      </c>
      <c r="AJ662" s="71">
        <f>IF($G662="",0,IF(AND(OR(fClient="All",$C662=fClient),OR(fCampaign="All",$D662=fCampaign),OR(fTeam="All",$B662=fTeam),OR(fChannel="All",$F662=fChannel)),1,0))</f>
        <v>0</v>
      </c>
      <c r="AK662" s="71">
        <f>IF($G662="",0,IF(OR($M662="Completed",$M662="Cancelled"),0,1))</f>
        <v>0</v>
      </c>
      <c r="AL662" s="71">
        <f>IF(AND($AK662=1,ISNUMBER($L662)),IF($L662&lt;ReportDate,1,0),0)</f>
        <v>0</v>
      </c>
      <c r="AM662" s="71">
        <f>IF(AND($G662&lt;&gt;"",$M662="Blocked"),1,0)</f>
        <v>0</v>
      </c>
      <c r="AN662" s="71">
        <f>IF(AND($AK662=1,ISNUMBER($L662)),IF($L662=ReportDate,1,0),0)</f>
        <v>0</v>
      </c>
      <c r="AO662" s="71">
        <f>IF(AND($AK662=1,ISNUMBER($L662)),IF($L662=ReportDate+1,1,0),0)</f>
        <v>0</v>
      </c>
      <c r="AP662" s="71">
        <f>IF(AND($AK662=1,ISNUMBER($L662)),IF(AND($L662&gt;=ReportDate,$L662&lt;=ReportDate+DueSoonDays),1,0),0)</f>
        <v>0</v>
      </c>
      <c r="AQ662" s="71">
        <f>IF(AND($AK662=1,OR($I662="Critical",$I662="High")),1,0)</f>
        <v>0</v>
      </c>
      <c r="AR662" s="71">
        <f>IF($AK662=1,IF(ISNUMBER($Y662),IF(ReportDate-$Y662&gt;StaleDays,1,0),1),0)</f>
        <v>0</v>
      </c>
      <c r="AS662" s="71">
        <f>IF(AND($G662&lt;&gt;"",ISNUMBER($Q662),ISNUMBER($R662)),IF(AND($Q662&lt;$R662,OR($M662="Completed",AND(ISNUMBER($L662),$L662&lt;ReportDate))),1,0),0)</f>
        <v>0</v>
      </c>
      <c r="AT662" s="71">
        <f>IF($AK662=1,IF(OR($L662=ReportDate,$W662=ReportDate,$K662=ReportDate,$A662=ReportDate),1,0),0)</f>
        <v>0</v>
      </c>
      <c r="AU662" s="71">
        <f>IF($AK662=1,IF(OR($L662=ReportDate+1,$W662=ReportDate+1,$K662=ReportDate+1,$A662=ReportDate+1),1,0),0)</f>
        <v>0</v>
      </c>
      <c r="AV662" s="71">
        <f>IF(AND($G662&lt;&gt;"",$M662="Completed"),IF(OR($Y662=ReportDate-1,$A662=ReportDate-1),1,0),0)</f>
        <v>0</v>
      </c>
      <c r="AW662" s="71">
        <f>IF(AND($AK662=1,$Z662="Yes"),1,0)</f>
        <v>0</v>
      </c>
      <c r="AX662" s="71">
        <f>IF(AND($AK662=1,$AA662="Yes"),1,0)</f>
        <v>0</v>
      </c>
      <c r="AY662" s="71">
        <f>IF(AND($AM662=1,OR($I662="Critical",$I662="High")),1,0)</f>
        <v>0</v>
      </c>
      <c r="AZ662" s="71">
        <f>IF(AND($AK662=1,OR($C662=TCL_Client,$C662=MECCA_Client)),1,0)</f>
        <v>0</v>
      </c>
      <c r="BA662" s="71" t="str">
        <f>IF($G662="","",IFERROR(MATCH($I662,lst_Priority,0),5))</f>
        <v/>
      </c>
      <c r="BB662" s="71" t="str">
        <f>IF(AND($AL662=1,$AJ662=1),$BA662*100000+ROW(),"")</f>
        <v/>
      </c>
      <c r="BC662" s="71" t="str">
        <f>IF(AND($AM662=1,$AJ662=1),$BA662*100000+ROW(),"")</f>
        <v/>
      </c>
      <c r="BD662" s="71" t="str">
        <f>IF(AND($AP662=1,$AJ662=1),$BA662*100000+ROW(),"")</f>
        <v/>
      </c>
      <c r="BE662" s="71" t="str">
        <f>IF(AND($AT662=1,$AJ662=1),$BA662*100000+ROW(),"")</f>
        <v/>
      </c>
      <c r="BF662" s="71" t="str">
        <f>IF(AND($AU662=1,$AJ662=1),$BA662*100000+ROW(),"")</f>
        <v/>
      </c>
      <c r="BG662" s="71" t="str">
        <f>IF(AND($AV662=1,$AJ662=1),$BA662*100000+ROW(),"")</f>
        <v/>
      </c>
      <c r="BH662" s="71" t="str">
        <f>IF(AND($AW662=1,$AJ662=1),$BA662*100000+ROW(),"")</f>
        <v/>
      </c>
      <c r="BI662" s="71" t="str">
        <f>IF(AND($AX662=1,$AJ662=1),$BA662*100000+ROW(),"")</f>
        <v/>
      </c>
      <c r="BJ662" s="71" t="str">
        <f>IF(AND($AS662=1,$AJ662=1),$BA662*100000+ROW(),"")</f>
        <v/>
      </c>
      <c r="BK662" s="71" t="str">
        <f>IF(AND($AY662=1,$AJ662=1),$BA662*100000+ROW(),"")</f>
        <v/>
      </c>
      <c r="BL662" s="71" t="str">
        <f>IF(AND($AZ662=1),$BA662*100000+ROW(),"")</f>
        <v/>
      </c>
    </row>
    <row r="663">
      <c r="A663" s="63" t="n"/>
      <c r="B663" s="64" t="n"/>
      <c r="C663" s="64" t="n"/>
      <c r="D663" s="64" t="n"/>
      <c r="E663" s="64" t="n"/>
      <c r="F663" s="64" t="n"/>
      <c r="G663" s="65" t="n"/>
      <c r="H663" s="65" t="n"/>
      <c r="I663" s="64" t="n"/>
      <c r="J663" s="64" t="n"/>
      <c r="K663" s="63" t="n"/>
      <c r="L663" s="63" t="n"/>
      <c r="M663" s="64" t="n"/>
      <c r="N663" s="66" t="n"/>
      <c r="O663" s="65" t="n"/>
      <c r="P663" s="64" t="n"/>
      <c r="Q663" s="67" t="n"/>
      <c r="R663" s="67" t="n"/>
      <c r="S663" s="68" t="str">
        <f>IF(AND(ISNUMBER($Q663),ISNUMBER($R663)),$Q663-$R663,"")</f>
        <v/>
      </c>
      <c r="T663" s="65" t="n"/>
      <c r="U663" s="64" t="n"/>
      <c r="V663" s="65" t="n"/>
      <c r="W663" s="63" t="n"/>
      <c r="X663" s="65" t="n"/>
      <c r="Y663" s="63" t="n"/>
      <c r="Z663" s="64" t="n"/>
      <c r="AA663" s="64" t="n"/>
      <c r="AB663" s="65" t="n"/>
      <c r="AC663" s="69" t="str">
        <f>IF(OR($G663="",NOT(ISNUMBER($K663)),$AK663=0),"",MAX(0,ReportDate-$K663))</f>
        <v/>
      </c>
      <c r="AD663" s="69" t="str">
        <f>IF($G663="","",IF($AL663=1,ReportDate-$L663,0))</f>
        <v/>
      </c>
      <c r="AE663" s="70" t="str">
        <f>IF($G663="","",IF($M663="Completed",1,IF(ISNUMBER($N663),$N663,0)))</f>
        <v/>
      </c>
      <c r="AF663" s="70" t="str">
        <f>IF(AND(ISNUMBER($Q663),ISNUMBER($R663)),IF($R663&lt;&gt;0,$Q663/$R663,""),"")</f>
        <v/>
      </c>
      <c r="AG663" s="71" t="str">
        <f>IF($G663="","",IF($AL663=1,"OVERDUE",IF($AM663=1,"BLOCKED",IF($AN663=1,"DUE TODAY",IF($AO663=1,"DUE TOMORROW",IF($AQ663=1,"HIGH PRIORITY",IF($AR663=1,"NO RECENT UPDATE",""))))))) </f>
        <v/>
      </c>
      <c r="AH663" s="71" t="str">
        <f>IF($G663="","",IF(ISNUMBER($A663),IF(ISNUMBER($A663),YEAR($A663)&amp;"-"&amp;TEXT(MONTH($A663),"00"),""),IF(ISNUMBER($L663),IF(ISNUMBER($L663),YEAR($L663)&amp;"-"&amp;TEXT(MONTH($L663),"00"),""),"")))</f>
        <v/>
      </c>
      <c r="AI663" s="71">
        <f>IF($G663="",0,IF(AND(OR(fClient="All",$C663=fClient),OR(fCampaign="All",$D663=fCampaign),OR(fTeam="All",$B663=fTeam),OR(fChannel="All",$F663=fChannel),OR(fMonth="All",$AH663=fMonth),OR(fTStatus="All",$M663=fTStatus)),1,0))</f>
        <v>0</v>
      </c>
      <c r="AJ663" s="71">
        <f>IF($G663="",0,IF(AND(OR(fClient="All",$C663=fClient),OR(fCampaign="All",$D663=fCampaign),OR(fTeam="All",$B663=fTeam),OR(fChannel="All",$F663=fChannel)),1,0))</f>
        <v>0</v>
      </c>
      <c r="AK663" s="71">
        <f>IF($G663="",0,IF(OR($M663="Completed",$M663="Cancelled"),0,1))</f>
        <v>0</v>
      </c>
      <c r="AL663" s="71">
        <f>IF(AND($AK663=1,ISNUMBER($L663)),IF($L663&lt;ReportDate,1,0),0)</f>
        <v>0</v>
      </c>
      <c r="AM663" s="71">
        <f>IF(AND($G663&lt;&gt;"",$M663="Blocked"),1,0)</f>
        <v>0</v>
      </c>
      <c r="AN663" s="71">
        <f>IF(AND($AK663=1,ISNUMBER($L663)),IF($L663=ReportDate,1,0),0)</f>
        <v>0</v>
      </c>
      <c r="AO663" s="71">
        <f>IF(AND($AK663=1,ISNUMBER($L663)),IF($L663=ReportDate+1,1,0),0)</f>
        <v>0</v>
      </c>
      <c r="AP663" s="71">
        <f>IF(AND($AK663=1,ISNUMBER($L663)),IF(AND($L663&gt;=ReportDate,$L663&lt;=ReportDate+DueSoonDays),1,0),0)</f>
        <v>0</v>
      </c>
      <c r="AQ663" s="71">
        <f>IF(AND($AK663=1,OR($I663="Critical",$I663="High")),1,0)</f>
        <v>0</v>
      </c>
      <c r="AR663" s="71">
        <f>IF($AK663=1,IF(ISNUMBER($Y663),IF(ReportDate-$Y663&gt;StaleDays,1,0),1),0)</f>
        <v>0</v>
      </c>
      <c r="AS663" s="71">
        <f>IF(AND($G663&lt;&gt;"",ISNUMBER($Q663),ISNUMBER($R663)),IF(AND($Q663&lt;$R663,OR($M663="Completed",AND(ISNUMBER($L663),$L663&lt;ReportDate))),1,0),0)</f>
        <v>0</v>
      </c>
      <c r="AT663" s="71">
        <f>IF($AK663=1,IF(OR($L663=ReportDate,$W663=ReportDate,$K663=ReportDate,$A663=ReportDate),1,0),0)</f>
        <v>0</v>
      </c>
      <c r="AU663" s="71">
        <f>IF($AK663=1,IF(OR($L663=ReportDate+1,$W663=ReportDate+1,$K663=ReportDate+1,$A663=ReportDate+1),1,0),0)</f>
        <v>0</v>
      </c>
      <c r="AV663" s="71">
        <f>IF(AND($G663&lt;&gt;"",$M663="Completed"),IF(OR($Y663=ReportDate-1,$A663=ReportDate-1),1,0),0)</f>
        <v>0</v>
      </c>
      <c r="AW663" s="71">
        <f>IF(AND($AK663=1,$Z663="Yes"),1,0)</f>
        <v>0</v>
      </c>
      <c r="AX663" s="71">
        <f>IF(AND($AK663=1,$AA663="Yes"),1,0)</f>
        <v>0</v>
      </c>
      <c r="AY663" s="71">
        <f>IF(AND($AM663=1,OR($I663="Critical",$I663="High")),1,0)</f>
        <v>0</v>
      </c>
      <c r="AZ663" s="71">
        <f>IF(AND($AK663=1,OR($C663=TCL_Client,$C663=MECCA_Client)),1,0)</f>
        <v>0</v>
      </c>
      <c r="BA663" s="71" t="str">
        <f>IF($G663="","",IFERROR(MATCH($I663,lst_Priority,0),5))</f>
        <v/>
      </c>
      <c r="BB663" s="71" t="str">
        <f>IF(AND($AL663=1,$AJ663=1),$BA663*100000+ROW(),"")</f>
        <v/>
      </c>
      <c r="BC663" s="71" t="str">
        <f>IF(AND($AM663=1,$AJ663=1),$BA663*100000+ROW(),"")</f>
        <v/>
      </c>
      <c r="BD663" s="71" t="str">
        <f>IF(AND($AP663=1,$AJ663=1),$BA663*100000+ROW(),"")</f>
        <v/>
      </c>
      <c r="BE663" s="71" t="str">
        <f>IF(AND($AT663=1,$AJ663=1),$BA663*100000+ROW(),"")</f>
        <v/>
      </c>
      <c r="BF663" s="71" t="str">
        <f>IF(AND($AU663=1,$AJ663=1),$BA663*100000+ROW(),"")</f>
        <v/>
      </c>
      <c r="BG663" s="71" t="str">
        <f>IF(AND($AV663=1,$AJ663=1),$BA663*100000+ROW(),"")</f>
        <v/>
      </c>
      <c r="BH663" s="71" t="str">
        <f>IF(AND($AW663=1,$AJ663=1),$BA663*100000+ROW(),"")</f>
        <v/>
      </c>
      <c r="BI663" s="71" t="str">
        <f>IF(AND($AX663=1,$AJ663=1),$BA663*100000+ROW(),"")</f>
        <v/>
      </c>
      <c r="BJ663" s="71" t="str">
        <f>IF(AND($AS663=1,$AJ663=1),$BA663*100000+ROW(),"")</f>
        <v/>
      </c>
      <c r="BK663" s="71" t="str">
        <f>IF(AND($AY663=1,$AJ663=1),$BA663*100000+ROW(),"")</f>
        <v/>
      </c>
      <c r="BL663" s="71" t="str">
        <f>IF(AND($AZ663=1),$BA663*100000+ROW(),"")</f>
        <v/>
      </c>
    </row>
    <row r="664">
      <c r="A664" s="63" t="n"/>
      <c r="B664" s="64" t="n"/>
      <c r="C664" s="64" t="n"/>
      <c r="D664" s="64" t="n"/>
      <c r="E664" s="64" t="n"/>
      <c r="F664" s="64" t="n"/>
      <c r="G664" s="65" t="n"/>
      <c r="H664" s="65" t="n"/>
      <c r="I664" s="64" t="n"/>
      <c r="J664" s="64" t="n"/>
      <c r="K664" s="63" t="n"/>
      <c r="L664" s="63" t="n"/>
      <c r="M664" s="64" t="n"/>
      <c r="N664" s="66" t="n"/>
      <c r="O664" s="65" t="n"/>
      <c r="P664" s="64" t="n"/>
      <c r="Q664" s="67" t="n"/>
      <c r="R664" s="67" t="n"/>
      <c r="S664" s="68" t="str">
        <f>IF(AND(ISNUMBER($Q664),ISNUMBER($R664)),$Q664-$R664,"")</f>
        <v/>
      </c>
      <c r="T664" s="65" t="n"/>
      <c r="U664" s="64" t="n"/>
      <c r="V664" s="65" t="n"/>
      <c r="W664" s="63" t="n"/>
      <c r="X664" s="65" t="n"/>
      <c r="Y664" s="63" t="n"/>
      <c r="Z664" s="64" t="n"/>
      <c r="AA664" s="64" t="n"/>
      <c r="AB664" s="65" t="n"/>
      <c r="AC664" s="69" t="str">
        <f>IF(OR($G664="",NOT(ISNUMBER($K664)),$AK664=0),"",MAX(0,ReportDate-$K664))</f>
        <v/>
      </c>
      <c r="AD664" s="69" t="str">
        <f>IF($G664="","",IF($AL664=1,ReportDate-$L664,0))</f>
        <v/>
      </c>
      <c r="AE664" s="70" t="str">
        <f>IF($G664="","",IF($M664="Completed",1,IF(ISNUMBER($N664),$N664,0)))</f>
        <v/>
      </c>
      <c r="AF664" s="70" t="str">
        <f>IF(AND(ISNUMBER($Q664),ISNUMBER($R664)),IF($R664&lt;&gt;0,$Q664/$R664,""),"")</f>
        <v/>
      </c>
      <c r="AG664" s="71" t="str">
        <f>IF($G664="","",IF($AL664=1,"OVERDUE",IF($AM664=1,"BLOCKED",IF($AN664=1,"DUE TODAY",IF($AO664=1,"DUE TOMORROW",IF($AQ664=1,"HIGH PRIORITY",IF($AR664=1,"NO RECENT UPDATE",""))))))) </f>
        <v/>
      </c>
      <c r="AH664" s="71" t="str">
        <f>IF($G664="","",IF(ISNUMBER($A664),IF(ISNUMBER($A664),YEAR($A664)&amp;"-"&amp;TEXT(MONTH($A664),"00"),""),IF(ISNUMBER($L664),IF(ISNUMBER($L664),YEAR($L664)&amp;"-"&amp;TEXT(MONTH($L664),"00"),""),"")))</f>
        <v/>
      </c>
      <c r="AI664" s="71">
        <f>IF($G664="",0,IF(AND(OR(fClient="All",$C664=fClient),OR(fCampaign="All",$D664=fCampaign),OR(fTeam="All",$B664=fTeam),OR(fChannel="All",$F664=fChannel),OR(fMonth="All",$AH664=fMonth),OR(fTStatus="All",$M664=fTStatus)),1,0))</f>
        <v>0</v>
      </c>
      <c r="AJ664" s="71">
        <f>IF($G664="",0,IF(AND(OR(fClient="All",$C664=fClient),OR(fCampaign="All",$D664=fCampaign),OR(fTeam="All",$B664=fTeam),OR(fChannel="All",$F664=fChannel)),1,0))</f>
        <v>0</v>
      </c>
      <c r="AK664" s="71">
        <f>IF($G664="",0,IF(OR($M664="Completed",$M664="Cancelled"),0,1))</f>
        <v>0</v>
      </c>
      <c r="AL664" s="71">
        <f>IF(AND($AK664=1,ISNUMBER($L664)),IF($L664&lt;ReportDate,1,0),0)</f>
        <v>0</v>
      </c>
      <c r="AM664" s="71">
        <f>IF(AND($G664&lt;&gt;"",$M664="Blocked"),1,0)</f>
        <v>0</v>
      </c>
      <c r="AN664" s="71">
        <f>IF(AND($AK664=1,ISNUMBER($L664)),IF($L664=ReportDate,1,0),0)</f>
        <v>0</v>
      </c>
      <c r="AO664" s="71">
        <f>IF(AND($AK664=1,ISNUMBER($L664)),IF($L664=ReportDate+1,1,0),0)</f>
        <v>0</v>
      </c>
      <c r="AP664" s="71">
        <f>IF(AND($AK664=1,ISNUMBER($L664)),IF(AND($L664&gt;=ReportDate,$L664&lt;=ReportDate+DueSoonDays),1,0),0)</f>
        <v>0</v>
      </c>
      <c r="AQ664" s="71">
        <f>IF(AND($AK664=1,OR($I664="Critical",$I664="High")),1,0)</f>
        <v>0</v>
      </c>
      <c r="AR664" s="71">
        <f>IF($AK664=1,IF(ISNUMBER($Y664),IF(ReportDate-$Y664&gt;StaleDays,1,0),1),0)</f>
        <v>0</v>
      </c>
      <c r="AS664" s="71">
        <f>IF(AND($G664&lt;&gt;"",ISNUMBER($Q664),ISNUMBER($R664)),IF(AND($Q664&lt;$R664,OR($M664="Completed",AND(ISNUMBER($L664),$L664&lt;ReportDate))),1,0),0)</f>
        <v>0</v>
      </c>
      <c r="AT664" s="71">
        <f>IF($AK664=1,IF(OR($L664=ReportDate,$W664=ReportDate,$K664=ReportDate,$A664=ReportDate),1,0),0)</f>
        <v>0</v>
      </c>
      <c r="AU664" s="71">
        <f>IF($AK664=1,IF(OR($L664=ReportDate+1,$W664=ReportDate+1,$K664=ReportDate+1,$A664=ReportDate+1),1,0),0)</f>
        <v>0</v>
      </c>
      <c r="AV664" s="71">
        <f>IF(AND($G664&lt;&gt;"",$M664="Completed"),IF(OR($Y664=ReportDate-1,$A664=ReportDate-1),1,0),0)</f>
        <v>0</v>
      </c>
      <c r="AW664" s="71">
        <f>IF(AND($AK664=1,$Z664="Yes"),1,0)</f>
        <v>0</v>
      </c>
      <c r="AX664" s="71">
        <f>IF(AND($AK664=1,$AA664="Yes"),1,0)</f>
        <v>0</v>
      </c>
      <c r="AY664" s="71">
        <f>IF(AND($AM664=1,OR($I664="Critical",$I664="High")),1,0)</f>
        <v>0</v>
      </c>
      <c r="AZ664" s="71">
        <f>IF(AND($AK664=1,OR($C664=TCL_Client,$C664=MECCA_Client)),1,0)</f>
        <v>0</v>
      </c>
      <c r="BA664" s="71" t="str">
        <f>IF($G664="","",IFERROR(MATCH($I664,lst_Priority,0),5))</f>
        <v/>
      </c>
      <c r="BB664" s="71" t="str">
        <f>IF(AND($AL664=1,$AJ664=1),$BA664*100000+ROW(),"")</f>
        <v/>
      </c>
      <c r="BC664" s="71" t="str">
        <f>IF(AND($AM664=1,$AJ664=1),$BA664*100000+ROW(),"")</f>
        <v/>
      </c>
      <c r="BD664" s="71" t="str">
        <f>IF(AND($AP664=1,$AJ664=1),$BA664*100000+ROW(),"")</f>
        <v/>
      </c>
      <c r="BE664" s="71" t="str">
        <f>IF(AND($AT664=1,$AJ664=1),$BA664*100000+ROW(),"")</f>
        <v/>
      </c>
      <c r="BF664" s="71" t="str">
        <f>IF(AND($AU664=1,$AJ664=1),$BA664*100000+ROW(),"")</f>
        <v/>
      </c>
      <c r="BG664" s="71" t="str">
        <f>IF(AND($AV664=1,$AJ664=1),$BA664*100000+ROW(),"")</f>
        <v/>
      </c>
      <c r="BH664" s="71" t="str">
        <f>IF(AND($AW664=1,$AJ664=1),$BA664*100000+ROW(),"")</f>
        <v/>
      </c>
      <c r="BI664" s="71" t="str">
        <f>IF(AND($AX664=1,$AJ664=1),$BA664*100000+ROW(),"")</f>
        <v/>
      </c>
      <c r="BJ664" s="71" t="str">
        <f>IF(AND($AS664=1,$AJ664=1),$BA664*100000+ROW(),"")</f>
        <v/>
      </c>
      <c r="BK664" s="71" t="str">
        <f>IF(AND($AY664=1,$AJ664=1),$BA664*100000+ROW(),"")</f>
        <v/>
      </c>
      <c r="BL664" s="71" t="str">
        <f>IF(AND($AZ664=1),$BA664*100000+ROW(),"")</f>
        <v/>
      </c>
    </row>
    <row r="665">
      <c r="A665" s="63" t="n"/>
      <c r="B665" s="64" t="n"/>
      <c r="C665" s="64" t="n"/>
      <c r="D665" s="64" t="n"/>
      <c r="E665" s="64" t="n"/>
      <c r="F665" s="64" t="n"/>
      <c r="G665" s="65" t="n"/>
      <c r="H665" s="65" t="n"/>
      <c r="I665" s="64" t="n"/>
      <c r="J665" s="64" t="n"/>
      <c r="K665" s="63" t="n"/>
      <c r="L665" s="63" t="n"/>
      <c r="M665" s="64" t="n"/>
      <c r="N665" s="66" t="n"/>
      <c r="O665" s="65" t="n"/>
      <c r="P665" s="64" t="n"/>
      <c r="Q665" s="67" t="n"/>
      <c r="R665" s="67" t="n"/>
      <c r="S665" s="68" t="str">
        <f>IF(AND(ISNUMBER($Q665),ISNUMBER($R665)),$Q665-$R665,"")</f>
        <v/>
      </c>
      <c r="T665" s="65" t="n"/>
      <c r="U665" s="64" t="n"/>
      <c r="V665" s="65" t="n"/>
      <c r="W665" s="63" t="n"/>
      <c r="X665" s="65" t="n"/>
      <c r="Y665" s="63" t="n"/>
      <c r="Z665" s="64" t="n"/>
      <c r="AA665" s="64" t="n"/>
      <c r="AB665" s="65" t="n"/>
      <c r="AC665" s="69" t="str">
        <f>IF(OR($G665="",NOT(ISNUMBER($K665)),$AK665=0),"",MAX(0,ReportDate-$K665))</f>
        <v/>
      </c>
      <c r="AD665" s="69" t="str">
        <f>IF($G665="","",IF($AL665=1,ReportDate-$L665,0))</f>
        <v/>
      </c>
      <c r="AE665" s="70" t="str">
        <f>IF($G665="","",IF($M665="Completed",1,IF(ISNUMBER($N665),$N665,0)))</f>
        <v/>
      </c>
      <c r="AF665" s="70" t="str">
        <f>IF(AND(ISNUMBER($Q665),ISNUMBER($R665)),IF($R665&lt;&gt;0,$Q665/$R665,""),"")</f>
        <v/>
      </c>
      <c r="AG665" s="71" t="str">
        <f>IF($G665="","",IF($AL665=1,"OVERDUE",IF($AM665=1,"BLOCKED",IF($AN665=1,"DUE TODAY",IF($AO665=1,"DUE TOMORROW",IF($AQ665=1,"HIGH PRIORITY",IF($AR665=1,"NO RECENT UPDATE",""))))))) </f>
        <v/>
      </c>
      <c r="AH665" s="71" t="str">
        <f>IF($G665="","",IF(ISNUMBER($A665),IF(ISNUMBER($A665),YEAR($A665)&amp;"-"&amp;TEXT(MONTH($A665),"00"),""),IF(ISNUMBER($L665),IF(ISNUMBER($L665),YEAR($L665)&amp;"-"&amp;TEXT(MONTH($L665),"00"),""),"")))</f>
        <v/>
      </c>
      <c r="AI665" s="71">
        <f>IF($G665="",0,IF(AND(OR(fClient="All",$C665=fClient),OR(fCampaign="All",$D665=fCampaign),OR(fTeam="All",$B665=fTeam),OR(fChannel="All",$F665=fChannel),OR(fMonth="All",$AH665=fMonth),OR(fTStatus="All",$M665=fTStatus)),1,0))</f>
        <v>0</v>
      </c>
      <c r="AJ665" s="71">
        <f>IF($G665="",0,IF(AND(OR(fClient="All",$C665=fClient),OR(fCampaign="All",$D665=fCampaign),OR(fTeam="All",$B665=fTeam),OR(fChannel="All",$F665=fChannel)),1,0))</f>
        <v>0</v>
      </c>
      <c r="AK665" s="71">
        <f>IF($G665="",0,IF(OR($M665="Completed",$M665="Cancelled"),0,1))</f>
        <v>0</v>
      </c>
      <c r="AL665" s="71">
        <f>IF(AND($AK665=1,ISNUMBER($L665)),IF($L665&lt;ReportDate,1,0),0)</f>
        <v>0</v>
      </c>
      <c r="AM665" s="71">
        <f>IF(AND($G665&lt;&gt;"",$M665="Blocked"),1,0)</f>
        <v>0</v>
      </c>
      <c r="AN665" s="71">
        <f>IF(AND($AK665=1,ISNUMBER($L665)),IF($L665=ReportDate,1,0),0)</f>
        <v>0</v>
      </c>
      <c r="AO665" s="71">
        <f>IF(AND($AK665=1,ISNUMBER($L665)),IF($L665=ReportDate+1,1,0),0)</f>
        <v>0</v>
      </c>
      <c r="AP665" s="71">
        <f>IF(AND($AK665=1,ISNUMBER($L665)),IF(AND($L665&gt;=ReportDate,$L665&lt;=ReportDate+DueSoonDays),1,0),0)</f>
        <v>0</v>
      </c>
      <c r="AQ665" s="71">
        <f>IF(AND($AK665=1,OR($I665="Critical",$I665="High")),1,0)</f>
        <v>0</v>
      </c>
      <c r="AR665" s="71">
        <f>IF($AK665=1,IF(ISNUMBER($Y665),IF(ReportDate-$Y665&gt;StaleDays,1,0),1),0)</f>
        <v>0</v>
      </c>
      <c r="AS665" s="71">
        <f>IF(AND($G665&lt;&gt;"",ISNUMBER($Q665),ISNUMBER($R665)),IF(AND($Q665&lt;$R665,OR($M665="Completed",AND(ISNUMBER($L665),$L665&lt;ReportDate))),1,0),0)</f>
        <v>0</v>
      </c>
      <c r="AT665" s="71">
        <f>IF($AK665=1,IF(OR($L665=ReportDate,$W665=ReportDate,$K665=ReportDate,$A665=ReportDate),1,0),0)</f>
        <v>0</v>
      </c>
      <c r="AU665" s="71">
        <f>IF($AK665=1,IF(OR($L665=ReportDate+1,$W665=ReportDate+1,$K665=ReportDate+1,$A665=ReportDate+1),1,0),0)</f>
        <v>0</v>
      </c>
      <c r="AV665" s="71">
        <f>IF(AND($G665&lt;&gt;"",$M665="Completed"),IF(OR($Y665=ReportDate-1,$A665=ReportDate-1),1,0),0)</f>
        <v>0</v>
      </c>
      <c r="AW665" s="71">
        <f>IF(AND($AK665=1,$Z665="Yes"),1,0)</f>
        <v>0</v>
      </c>
      <c r="AX665" s="71">
        <f>IF(AND($AK665=1,$AA665="Yes"),1,0)</f>
        <v>0</v>
      </c>
      <c r="AY665" s="71">
        <f>IF(AND($AM665=1,OR($I665="Critical",$I665="High")),1,0)</f>
        <v>0</v>
      </c>
      <c r="AZ665" s="71">
        <f>IF(AND($AK665=1,OR($C665=TCL_Client,$C665=MECCA_Client)),1,0)</f>
        <v>0</v>
      </c>
      <c r="BA665" s="71" t="str">
        <f>IF($G665="","",IFERROR(MATCH($I665,lst_Priority,0),5))</f>
        <v/>
      </c>
      <c r="BB665" s="71" t="str">
        <f>IF(AND($AL665=1,$AJ665=1),$BA665*100000+ROW(),"")</f>
        <v/>
      </c>
      <c r="BC665" s="71" t="str">
        <f>IF(AND($AM665=1,$AJ665=1),$BA665*100000+ROW(),"")</f>
        <v/>
      </c>
      <c r="BD665" s="71" t="str">
        <f>IF(AND($AP665=1,$AJ665=1),$BA665*100000+ROW(),"")</f>
        <v/>
      </c>
      <c r="BE665" s="71" t="str">
        <f>IF(AND($AT665=1,$AJ665=1),$BA665*100000+ROW(),"")</f>
        <v/>
      </c>
      <c r="BF665" s="71" t="str">
        <f>IF(AND($AU665=1,$AJ665=1),$BA665*100000+ROW(),"")</f>
        <v/>
      </c>
      <c r="BG665" s="71" t="str">
        <f>IF(AND($AV665=1,$AJ665=1),$BA665*100000+ROW(),"")</f>
        <v/>
      </c>
      <c r="BH665" s="71" t="str">
        <f>IF(AND($AW665=1,$AJ665=1),$BA665*100000+ROW(),"")</f>
        <v/>
      </c>
      <c r="BI665" s="71" t="str">
        <f>IF(AND($AX665=1,$AJ665=1),$BA665*100000+ROW(),"")</f>
        <v/>
      </c>
      <c r="BJ665" s="71" t="str">
        <f>IF(AND($AS665=1,$AJ665=1),$BA665*100000+ROW(),"")</f>
        <v/>
      </c>
      <c r="BK665" s="71" t="str">
        <f>IF(AND($AY665=1,$AJ665=1),$BA665*100000+ROW(),"")</f>
        <v/>
      </c>
      <c r="BL665" s="71" t="str">
        <f>IF(AND($AZ665=1),$BA665*100000+ROW(),"")</f>
        <v/>
      </c>
    </row>
    <row r="666">
      <c r="A666" s="63" t="n"/>
      <c r="B666" s="64" t="n"/>
      <c r="C666" s="64" t="n"/>
      <c r="D666" s="64" t="n"/>
      <c r="E666" s="64" t="n"/>
      <c r="F666" s="64" t="n"/>
      <c r="G666" s="65" t="n"/>
      <c r="H666" s="65" t="n"/>
      <c r="I666" s="64" t="n"/>
      <c r="J666" s="64" t="n"/>
      <c r="K666" s="63" t="n"/>
      <c r="L666" s="63" t="n"/>
      <c r="M666" s="64" t="n"/>
      <c r="N666" s="66" t="n"/>
      <c r="O666" s="65" t="n"/>
      <c r="P666" s="64" t="n"/>
      <c r="Q666" s="67" t="n"/>
      <c r="R666" s="67" t="n"/>
      <c r="S666" s="68" t="str">
        <f>IF(AND(ISNUMBER($Q666),ISNUMBER($R666)),$Q666-$R666,"")</f>
        <v/>
      </c>
      <c r="T666" s="65" t="n"/>
      <c r="U666" s="64" t="n"/>
      <c r="V666" s="65" t="n"/>
      <c r="W666" s="63" t="n"/>
      <c r="X666" s="65" t="n"/>
      <c r="Y666" s="63" t="n"/>
      <c r="Z666" s="64" t="n"/>
      <c r="AA666" s="64" t="n"/>
      <c r="AB666" s="65" t="n"/>
      <c r="AC666" s="69" t="str">
        <f>IF(OR($G666="",NOT(ISNUMBER($K666)),$AK666=0),"",MAX(0,ReportDate-$K666))</f>
        <v/>
      </c>
      <c r="AD666" s="69" t="str">
        <f>IF($G666="","",IF($AL666=1,ReportDate-$L666,0))</f>
        <v/>
      </c>
      <c r="AE666" s="70" t="str">
        <f>IF($G666="","",IF($M666="Completed",1,IF(ISNUMBER($N666),$N666,0)))</f>
        <v/>
      </c>
      <c r="AF666" s="70" t="str">
        <f>IF(AND(ISNUMBER($Q666),ISNUMBER($R666)),IF($R666&lt;&gt;0,$Q666/$R666,""),"")</f>
        <v/>
      </c>
      <c r="AG666" s="71" t="str">
        <f>IF($G666="","",IF($AL666=1,"OVERDUE",IF($AM666=1,"BLOCKED",IF($AN666=1,"DUE TODAY",IF($AO666=1,"DUE TOMORROW",IF($AQ666=1,"HIGH PRIORITY",IF($AR666=1,"NO RECENT UPDATE",""))))))) </f>
        <v/>
      </c>
      <c r="AH666" s="71" t="str">
        <f>IF($G666="","",IF(ISNUMBER($A666),IF(ISNUMBER($A666),YEAR($A666)&amp;"-"&amp;TEXT(MONTH($A666),"00"),""),IF(ISNUMBER($L666),IF(ISNUMBER($L666),YEAR($L666)&amp;"-"&amp;TEXT(MONTH($L666),"00"),""),"")))</f>
        <v/>
      </c>
      <c r="AI666" s="71">
        <f>IF($G666="",0,IF(AND(OR(fClient="All",$C666=fClient),OR(fCampaign="All",$D666=fCampaign),OR(fTeam="All",$B666=fTeam),OR(fChannel="All",$F666=fChannel),OR(fMonth="All",$AH666=fMonth),OR(fTStatus="All",$M666=fTStatus)),1,0))</f>
        <v>0</v>
      </c>
      <c r="AJ666" s="71">
        <f>IF($G666="",0,IF(AND(OR(fClient="All",$C666=fClient),OR(fCampaign="All",$D666=fCampaign),OR(fTeam="All",$B666=fTeam),OR(fChannel="All",$F666=fChannel)),1,0))</f>
        <v>0</v>
      </c>
      <c r="AK666" s="71">
        <f>IF($G666="",0,IF(OR($M666="Completed",$M666="Cancelled"),0,1))</f>
        <v>0</v>
      </c>
      <c r="AL666" s="71">
        <f>IF(AND($AK666=1,ISNUMBER($L666)),IF($L666&lt;ReportDate,1,0),0)</f>
        <v>0</v>
      </c>
      <c r="AM666" s="71">
        <f>IF(AND($G666&lt;&gt;"",$M666="Blocked"),1,0)</f>
        <v>0</v>
      </c>
      <c r="AN666" s="71">
        <f>IF(AND($AK666=1,ISNUMBER($L666)),IF($L666=ReportDate,1,0),0)</f>
        <v>0</v>
      </c>
      <c r="AO666" s="71">
        <f>IF(AND($AK666=1,ISNUMBER($L666)),IF($L666=ReportDate+1,1,0),0)</f>
        <v>0</v>
      </c>
      <c r="AP666" s="71">
        <f>IF(AND($AK666=1,ISNUMBER($L666)),IF(AND($L666&gt;=ReportDate,$L666&lt;=ReportDate+DueSoonDays),1,0),0)</f>
        <v>0</v>
      </c>
      <c r="AQ666" s="71">
        <f>IF(AND($AK666=1,OR($I666="Critical",$I666="High")),1,0)</f>
        <v>0</v>
      </c>
      <c r="AR666" s="71">
        <f>IF($AK666=1,IF(ISNUMBER($Y666),IF(ReportDate-$Y666&gt;StaleDays,1,0),1),0)</f>
        <v>0</v>
      </c>
      <c r="AS666" s="71">
        <f>IF(AND($G666&lt;&gt;"",ISNUMBER($Q666),ISNUMBER($R666)),IF(AND($Q666&lt;$R666,OR($M666="Completed",AND(ISNUMBER($L666),$L666&lt;ReportDate))),1,0),0)</f>
        <v>0</v>
      </c>
      <c r="AT666" s="71">
        <f>IF($AK666=1,IF(OR($L666=ReportDate,$W666=ReportDate,$K666=ReportDate,$A666=ReportDate),1,0),0)</f>
        <v>0</v>
      </c>
      <c r="AU666" s="71">
        <f>IF($AK666=1,IF(OR($L666=ReportDate+1,$W666=ReportDate+1,$K666=ReportDate+1,$A666=ReportDate+1),1,0),0)</f>
        <v>0</v>
      </c>
      <c r="AV666" s="71">
        <f>IF(AND($G666&lt;&gt;"",$M666="Completed"),IF(OR($Y666=ReportDate-1,$A666=ReportDate-1),1,0),0)</f>
        <v>0</v>
      </c>
      <c r="AW666" s="71">
        <f>IF(AND($AK666=1,$Z666="Yes"),1,0)</f>
        <v>0</v>
      </c>
      <c r="AX666" s="71">
        <f>IF(AND($AK666=1,$AA666="Yes"),1,0)</f>
        <v>0</v>
      </c>
      <c r="AY666" s="71">
        <f>IF(AND($AM666=1,OR($I666="Critical",$I666="High")),1,0)</f>
        <v>0</v>
      </c>
      <c r="AZ666" s="71">
        <f>IF(AND($AK666=1,OR($C666=TCL_Client,$C666=MECCA_Client)),1,0)</f>
        <v>0</v>
      </c>
      <c r="BA666" s="71" t="str">
        <f>IF($G666="","",IFERROR(MATCH($I666,lst_Priority,0),5))</f>
        <v/>
      </c>
      <c r="BB666" s="71" t="str">
        <f>IF(AND($AL666=1,$AJ666=1),$BA666*100000+ROW(),"")</f>
        <v/>
      </c>
      <c r="BC666" s="71" t="str">
        <f>IF(AND($AM666=1,$AJ666=1),$BA666*100000+ROW(),"")</f>
        <v/>
      </c>
      <c r="BD666" s="71" t="str">
        <f>IF(AND($AP666=1,$AJ666=1),$BA666*100000+ROW(),"")</f>
        <v/>
      </c>
      <c r="BE666" s="71" t="str">
        <f>IF(AND($AT666=1,$AJ666=1),$BA666*100000+ROW(),"")</f>
        <v/>
      </c>
      <c r="BF666" s="71" t="str">
        <f>IF(AND($AU666=1,$AJ666=1),$BA666*100000+ROW(),"")</f>
        <v/>
      </c>
      <c r="BG666" s="71" t="str">
        <f>IF(AND($AV666=1,$AJ666=1),$BA666*100000+ROW(),"")</f>
        <v/>
      </c>
      <c r="BH666" s="71" t="str">
        <f>IF(AND($AW666=1,$AJ666=1),$BA666*100000+ROW(),"")</f>
        <v/>
      </c>
      <c r="BI666" s="71" t="str">
        <f>IF(AND($AX666=1,$AJ666=1),$BA666*100000+ROW(),"")</f>
        <v/>
      </c>
      <c r="BJ666" s="71" t="str">
        <f>IF(AND($AS666=1,$AJ666=1),$BA666*100000+ROW(),"")</f>
        <v/>
      </c>
      <c r="BK666" s="71" t="str">
        <f>IF(AND($AY666=1,$AJ666=1),$BA666*100000+ROW(),"")</f>
        <v/>
      </c>
      <c r="BL666" s="71" t="str">
        <f>IF(AND($AZ666=1),$BA666*100000+ROW(),"")</f>
        <v/>
      </c>
    </row>
    <row r="667">
      <c r="A667" s="63" t="n"/>
      <c r="B667" s="64" t="n"/>
      <c r="C667" s="64" t="n"/>
      <c r="D667" s="64" t="n"/>
      <c r="E667" s="64" t="n"/>
      <c r="F667" s="64" t="n"/>
      <c r="G667" s="65" t="n"/>
      <c r="H667" s="65" t="n"/>
      <c r="I667" s="64" t="n"/>
      <c r="J667" s="64" t="n"/>
      <c r="K667" s="63" t="n"/>
      <c r="L667" s="63" t="n"/>
      <c r="M667" s="64" t="n"/>
      <c r="N667" s="66" t="n"/>
      <c r="O667" s="65" t="n"/>
      <c r="P667" s="64" t="n"/>
      <c r="Q667" s="67" t="n"/>
      <c r="R667" s="67" t="n"/>
      <c r="S667" s="68" t="str">
        <f>IF(AND(ISNUMBER($Q667),ISNUMBER($R667)),$Q667-$R667,"")</f>
        <v/>
      </c>
      <c r="T667" s="65" t="n"/>
      <c r="U667" s="64" t="n"/>
      <c r="V667" s="65" t="n"/>
      <c r="W667" s="63" t="n"/>
      <c r="X667" s="65" t="n"/>
      <c r="Y667" s="63" t="n"/>
      <c r="Z667" s="64" t="n"/>
      <c r="AA667" s="64" t="n"/>
      <c r="AB667" s="65" t="n"/>
      <c r="AC667" s="69" t="str">
        <f>IF(OR($G667="",NOT(ISNUMBER($K667)),$AK667=0),"",MAX(0,ReportDate-$K667))</f>
        <v/>
      </c>
      <c r="AD667" s="69" t="str">
        <f>IF($G667="","",IF($AL667=1,ReportDate-$L667,0))</f>
        <v/>
      </c>
      <c r="AE667" s="70" t="str">
        <f>IF($G667="","",IF($M667="Completed",1,IF(ISNUMBER($N667),$N667,0)))</f>
        <v/>
      </c>
      <c r="AF667" s="70" t="str">
        <f>IF(AND(ISNUMBER($Q667),ISNUMBER($R667)),IF($R667&lt;&gt;0,$Q667/$R667,""),"")</f>
        <v/>
      </c>
      <c r="AG667" s="71" t="str">
        <f>IF($G667="","",IF($AL667=1,"OVERDUE",IF($AM667=1,"BLOCKED",IF($AN667=1,"DUE TODAY",IF($AO667=1,"DUE TOMORROW",IF($AQ667=1,"HIGH PRIORITY",IF($AR667=1,"NO RECENT UPDATE",""))))))) </f>
        <v/>
      </c>
      <c r="AH667" s="71" t="str">
        <f>IF($G667="","",IF(ISNUMBER($A667),IF(ISNUMBER($A667),YEAR($A667)&amp;"-"&amp;TEXT(MONTH($A667),"00"),""),IF(ISNUMBER($L667),IF(ISNUMBER($L667),YEAR($L667)&amp;"-"&amp;TEXT(MONTH($L667),"00"),""),"")))</f>
        <v/>
      </c>
      <c r="AI667" s="71">
        <f>IF($G667="",0,IF(AND(OR(fClient="All",$C667=fClient),OR(fCampaign="All",$D667=fCampaign),OR(fTeam="All",$B667=fTeam),OR(fChannel="All",$F667=fChannel),OR(fMonth="All",$AH667=fMonth),OR(fTStatus="All",$M667=fTStatus)),1,0))</f>
        <v>0</v>
      </c>
      <c r="AJ667" s="71">
        <f>IF($G667="",0,IF(AND(OR(fClient="All",$C667=fClient),OR(fCampaign="All",$D667=fCampaign),OR(fTeam="All",$B667=fTeam),OR(fChannel="All",$F667=fChannel)),1,0))</f>
        <v>0</v>
      </c>
      <c r="AK667" s="71">
        <f>IF($G667="",0,IF(OR($M667="Completed",$M667="Cancelled"),0,1))</f>
        <v>0</v>
      </c>
      <c r="AL667" s="71">
        <f>IF(AND($AK667=1,ISNUMBER($L667)),IF($L667&lt;ReportDate,1,0),0)</f>
        <v>0</v>
      </c>
      <c r="AM667" s="71">
        <f>IF(AND($G667&lt;&gt;"",$M667="Blocked"),1,0)</f>
        <v>0</v>
      </c>
      <c r="AN667" s="71">
        <f>IF(AND($AK667=1,ISNUMBER($L667)),IF($L667=ReportDate,1,0),0)</f>
        <v>0</v>
      </c>
      <c r="AO667" s="71">
        <f>IF(AND($AK667=1,ISNUMBER($L667)),IF($L667=ReportDate+1,1,0),0)</f>
        <v>0</v>
      </c>
      <c r="AP667" s="71">
        <f>IF(AND($AK667=1,ISNUMBER($L667)),IF(AND($L667&gt;=ReportDate,$L667&lt;=ReportDate+DueSoonDays),1,0),0)</f>
        <v>0</v>
      </c>
      <c r="AQ667" s="71">
        <f>IF(AND($AK667=1,OR($I667="Critical",$I667="High")),1,0)</f>
        <v>0</v>
      </c>
      <c r="AR667" s="71">
        <f>IF($AK667=1,IF(ISNUMBER($Y667),IF(ReportDate-$Y667&gt;StaleDays,1,0),1),0)</f>
        <v>0</v>
      </c>
      <c r="AS667" s="71">
        <f>IF(AND($G667&lt;&gt;"",ISNUMBER($Q667),ISNUMBER($R667)),IF(AND($Q667&lt;$R667,OR($M667="Completed",AND(ISNUMBER($L667),$L667&lt;ReportDate))),1,0),0)</f>
        <v>0</v>
      </c>
      <c r="AT667" s="71">
        <f>IF($AK667=1,IF(OR($L667=ReportDate,$W667=ReportDate,$K667=ReportDate,$A667=ReportDate),1,0),0)</f>
        <v>0</v>
      </c>
      <c r="AU667" s="71">
        <f>IF($AK667=1,IF(OR($L667=ReportDate+1,$W667=ReportDate+1,$K667=ReportDate+1,$A667=ReportDate+1),1,0),0)</f>
        <v>0</v>
      </c>
      <c r="AV667" s="71">
        <f>IF(AND($G667&lt;&gt;"",$M667="Completed"),IF(OR($Y667=ReportDate-1,$A667=ReportDate-1),1,0),0)</f>
        <v>0</v>
      </c>
      <c r="AW667" s="71">
        <f>IF(AND($AK667=1,$Z667="Yes"),1,0)</f>
        <v>0</v>
      </c>
      <c r="AX667" s="71">
        <f>IF(AND($AK667=1,$AA667="Yes"),1,0)</f>
        <v>0</v>
      </c>
      <c r="AY667" s="71">
        <f>IF(AND($AM667=1,OR($I667="Critical",$I667="High")),1,0)</f>
        <v>0</v>
      </c>
      <c r="AZ667" s="71">
        <f>IF(AND($AK667=1,OR($C667=TCL_Client,$C667=MECCA_Client)),1,0)</f>
        <v>0</v>
      </c>
      <c r="BA667" s="71" t="str">
        <f>IF($G667="","",IFERROR(MATCH($I667,lst_Priority,0),5))</f>
        <v/>
      </c>
      <c r="BB667" s="71" t="str">
        <f>IF(AND($AL667=1,$AJ667=1),$BA667*100000+ROW(),"")</f>
        <v/>
      </c>
      <c r="BC667" s="71" t="str">
        <f>IF(AND($AM667=1,$AJ667=1),$BA667*100000+ROW(),"")</f>
        <v/>
      </c>
      <c r="BD667" s="71" t="str">
        <f>IF(AND($AP667=1,$AJ667=1),$BA667*100000+ROW(),"")</f>
        <v/>
      </c>
      <c r="BE667" s="71" t="str">
        <f>IF(AND($AT667=1,$AJ667=1),$BA667*100000+ROW(),"")</f>
        <v/>
      </c>
      <c r="BF667" s="71" t="str">
        <f>IF(AND($AU667=1,$AJ667=1),$BA667*100000+ROW(),"")</f>
        <v/>
      </c>
      <c r="BG667" s="71" t="str">
        <f>IF(AND($AV667=1,$AJ667=1),$BA667*100000+ROW(),"")</f>
        <v/>
      </c>
      <c r="BH667" s="71" t="str">
        <f>IF(AND($AW667=1,$AJ667=1),$BA667*100000+ROW(),"")</f>
        <v/>
      </c>
      <c r="BI667" s="71" t="str">
        <f>IF(AND($AX667=1,$AJ667=1),$BA667*100000+ROW(),"")</f>
        <v/>
      </c>
      <c r="BJ667" s="71" t="str">
        <f>IF(AND($AS667=1,$AJ667=1),$BA667*100000+ROW(),"")</f>
        <v/>
      </c>
      <c r="BK667" s="71" t="str">
        <f>IF(AND($AY667=1,$AJ667=1),$BA667*100000+ROW(),"")</f>
        <v/>
      </c>
      <c r="BL667" s="71" t="str">
        <f>IF(AND($AZ667=1),$BA667*100000+ROW(),"")</f>
        <v/>
      </c>
    </row>
    <row r="668">
      <c r="A668" s="63" t="n"/>
      <c r="B668" s="64" t="n"/>
      <c r="C668" s="64" t="n"/>
      <c r="D668" s="64" t="n"/>
      <c r="E668" s="64" t="n"/>
      <c r="F668" s="64" t="n"/>
      <c r="G668" s="65" t="n"/>
      <c r="H668" s="65" t="n"/>
      <c r="I668" s="64" t="n"/>
      <c r="J668" s="64" t="n"/>
      <c r="K668" s="63" t="n"/>
      <c r="L668" s="63" t="n"/>
      <c r="M668" s="64" t="n"/>
      <c r="N668" s="66" t="n"/>
      <c r="O668" s="65" t="n"/>
      <c r="P668" s="64" t="n"/>
      <c r="Q668" s="67" t="n"/>
      <c r="R668" s="67" t="n"/>
      <c r="S668" s="68" t="str">
        <f>IF(AND(ISNUMBER($Q668),ISNUMBER($R668)),$Q668-$R668,"")</f>
        <v/>
      </c>
      <c r="T668" s="65" t="n"/>
      <c r="U668" s="64" t="n"/>
      <c r="V668" s="65" t="n"/>
      <c r="W668" s="63" t="n"/>
      <c r="X668" s="65" t="n"/>
      <c r="Y668" s="63" t="n"/>
      <c r="Z668" s="64" t="n"/>
      <c r="AA668" s="64" t="n"/>
      <c r="AB668" s="65" t="n"/>
      <c r="AC668" s="69" t="str">
        <f>IF(OR($G668="",NOT(ISNUMBER($K668)),$AK668=0),"",MAX(0,ReportDate-$K668))</f>
        <v/>
      </c>
      <c r="AD668" s="69" t="str">
        <f>IF($G668="","",IF($AL668=1,ReportDate-$L668,0))</f>
        <v/>
      </c>
      <c r="AE668" s="70" t="str">
        <f>IF($G668="","",IF($M668="Completed",1,IF(ISNUMBER($N668),$N668,0)))</f>
        <v/>
      </c>
      <c r="AF668" s="70" t="str">
        <f>IF(AND(ISNUMBER($Q668),ISNUMBER($R668)),IF($R668&lt;&gt;0,$Q668/$R668,""),"")</f>
        <v/>
      </c>
      <c r="AG668" s="71" t="str">
        <f>IF($G668="","",IF($AL668=1,"OVERDUE",IF($AM668=1,"BLOCKED",IF($AN668=1,"DUE TODAY",IF($AO668=1,"DUE TOMORROW",IF($AQ668=1,"HIGH PRIORITY",IF($AR668=1,"NO RECENT UPDATE",""))))))) </f>
        <v/>
      </c>
      <c r="AH668" s="71" t="str">
        <f>IF($G668="","",IF(ISNUMBER($A668),IF(ISNUMBER($A668),YEAR($A668)&amp;"-"&amp;TEXT(MONTH($A668),"00"),""),IF(ISNUMBER($L668),IF(ISNUMBER($L668),YEAR($L668)&amp;"-"&amp;TEXT(MONTH($L668),"00"),""),"")))</f>
        <v/>
      </c>
      <c r="AI668" s="71">
        <f>IF($G668="",0,IF(AND(OR(fClient="All",$C668=fClient),OR(fCampaign="All",$D668=fCampaign),OR(fTeam="All",$B668=fTeam),OR(fChannel="All",$F668=fChannel),OR(fMonth="All",$AH668=fMonth),OR(fTStatus="All",$M668=fTStatus)),1,0))</f>
        <v>0</v>
      </c>
      <c r="AJ668" s="71">
        <f>IF($G668="",0,IF(AND(OR(fClient="All",$C668=fClient),OR(fCampaign="All",$D668=fCampaign),OR(fTeam="All",$B668=fTeam),OR(fChannel="All",$F668=fChannel)),1,0))</f>
        <v>0</v>
      </c>
      <c r="AK668" s="71">
        <f>IF($G668="",0,IF(OR($M668="Completed",$M668="Cancelled"),0,1))</f>
        <v>0</v>
      </c>
      <c r="AL668" s="71">
        <f>IF(AND($AK668=1,ISNUMBER($L668)),IF($L668&lt;ReportDate,1,0),0)</f>
        <v>0</v>
      </c>
      <c r="AM668" s="71">
        <f>IF(AND($G668&lt;&gt;"",$M668="Blocked"),1,0)</f>
        <v>0</v>
      </c>
      <c r="AN668" s="71">
        <f>IF(AND($AK668=1,ISNUMBER($L668)),IF($L668=ReportDate,1,0),0)</f>
        <v>0</v>
      </c>
      <c r="AO668" s="71">
        <f>IF(AND($AK668=1,ISNUMBER($L668)),IF($L668=ReportDate+1,1,0),0)</f>
        <v>0</v>
      </c>
      <c r="AP668" s="71">
        <f>IF(AND($AK668=1,ISNUMBER($L668)),IF(AND($L668&gt;=ReportDate,$L668&lt;=ReportDate+DueSoonDays),1,0),0)</f>
        <v>0</v>
      </c>
      <c r="AQ668" s="71">
        <f>IF(AND($AK668=1,OR($I668="Critical",$I668="High")),1,0)</f>
        <v>0</v>
      </c>
      <c r="AR668" s="71">
        <f>IF($AK668=1,IF(ISNUMBER($Y668),IF(ReportDate-$Y668&gt;StaleDays,1,0),1),0)</f>
        <v>0</v>
      </c>
      <c r="AS668" s="71">
        <f>IF(AND($G668&lt;&gt;"",ISNUMBER($Q668),ISNUMBER($R668)),IF(AND($Q668&lt;$R668,OR($M668="Completed",AND(ISNUMBER($L668),$L668&lt;ReportDate))),1,0),0)</f>
        <v>0</v>
      </c>
      <c r="AT668" s="71">
        <f>IF($AK668=1,IF(OR($L668=ReportDate,$W668=ReportDate,$K668=ReportDate,$A668=ReportDate),1,0),0)</f>
        <v>0</v>
      </c>
      <c r="AU668" s="71">
        <f>IF($AK668=1,IF(OR($L668=ReportDate+1,$W668=ReportDate+1,$K668=ReportDate+1,$A668=ReportDate+1),1,0),0)</f>
        <v>0</v>
      </c>
      <c r="AV668" s="71">
        <f>IF(AND($G668&lt;&gt;"",$M668="Completed"),IF(OR($Y668=ReportDate-1,$A668=ReportDate-1),1,0),0)</f>
        <v>0</v>
      </c>
      <c r="AW668" s="71">
        <f>IF(AND($AK668=1,$Z668="Yes"),1,0)</f>
        <v>0</v>
      </c>
      <c r="AX668" s="71">
        <f>IF(AND($AK668=1,$AA668="Yes"),1,0)</f>
        <v>0</v>
      </c>
      <c r="AY668" s="71">
        <f>IF(AND($AM668=1,OR($I668="Critical",$I668="High")),1,0)</f>
        <v>0</v>
      </c>
      <c r="AZ668" s="71">
        <f>IF(AND($AK668=1,OR($C668=TCL_Client,$C668=MECCA_Client)),1,0)</f>
        <v>0</v>
      </c>
      <c r="BA668" s="71" t="str">
        <f>IF($G668="","",IFERROR(MATCH($I668,lst_Priority,0),5))</f>
        <v/>
      </c>
      <c r="BB668" s="71" t="str">
        <f>IF(AND($AL668=1,$AJ668=1),$BA668*100000+ROW(),"")</f>
        <v/>
      </c>
      <c r="BC668" s="71" t="str">
        <f>IF(AND($AM668=1,$AJ668=1),$BA668*100000+ROW(),"")</f>
        <v/>
      </c>
      <c r="BD668" s="71" t="str">
        <f>IF(AND($AP668=1,$AJ668=1),$BA668*100000+ROW(),"")</f>
        <v/>
      </c>
      <c r="BE668" s="71" t="str">
        <f>IF(AND($AT668=1,$AJ668=1),$BA668*100000+ROW(),"")</f>
        <v/>
      </c>
      <c r="BF668" s="71" t="str">
        <f>IF(AND($AU668=1,$AJ668=1),$BA668*100000+ROW(),"")</f>
        <v/>
      </c>
      <c r="BG668" s="71" t="str">
        <f>IF(AND($AV668=1,$AJ668=1),$BA668*100000+ROW(),"")</f>
        <v/>
      </c>
      <c r="BH668" s="71" t="str">
        <f>IF(AND($AW668=1,$AJ668=1),$BA668*100000+ROW(),"")</f>
        <v/>
      </c>
      <c r="BI668" s="71" t="str">
        <f>IF(AND($AX668=1,$AJ668=1),$BA668*100000+ROW(),"")</f>
        <v/>
      </c>
      <c r="BJ668" s="71" t="str">
        <f>IF(AND($AS668=1,$AJ668=1),$BA668*100000+ROW(),"")</f>
        <v/>
      </c>
      <c r="BK668" s="71" t="str">
        <f>IF(AND($AY668=1,$AJ668=1),$BA668*100000+ROW(),"")</f>
        <v/>
      </c>
      <c r="BL668" s="71" t="str">
        <f>IF(AND($AZ668=1),$BA668*100000+ROW(),"")</f>
        <v/>
      </c>
    </row>
    <row r="669">
      <c r="A669" s="63" t="n"/>
      <c r="B669" s="64" t="n"/>
      <c r="C669" s="64" t="n"/>
      <c r="D669" s="64" t="n"/>
      <c r="E669" s="64" t="n"/>
      <c r="F669" s="64" t="n"/>
      <c r="G669" s="65" t="n"/>
      <c r="H669" s="65" t="n"/>
      <c r="I669" s="64" t="n"/>
      <c r="J669" s="64" t="n"/>
      <c r="K669" s="63" t="n"/>
      <c r="L669" s="63" t="n"/>
      <c r="M669" s="64" t="n"/>
      <c r="N669" s="66" t="n"/>
      <c r="O669" s="65" t="n"/>
      <c r="P669" s="64" t="n"/>
      <c r="Q669" s="67" t="n"/>
      <c r="R669" s="67" t="n"/>
      <c r="S669" s="68" t="str">
        <f>IF(AND(ISNUMBER($Q669),ISNUMBER($R669)),$Q669-$R669,"")</f>
        <v/>
      </c>
      <c r="T669" s="65" t="n"/>
      <c r="U669" s="64" t="n"/>
      <c r="V669" s="65" t="n"/>
      <c r="W669" s="63" t="n"/>
      <c r="X669" s="65" t="n"/>
      <c r="Y669" s="63" t="n"/>
      <c r="Z669" s="64" t="n"/>
      <c r="AA669" s="64" t="n"/>
      <c r="AB669" s="65" t="n"/>
      <c r="AC669" s="69" t="str">
        <f>IF(OR($G669="",NOT(ISNUMBER($K669)),$AK669=0),"",MAX(0,ReportDate-$K669))</f>
        <v/>
      </c>
      <c r="AD669" s="69" t="str">
        <f>IF($G669="","",IF($AL669=1,ReportDate-$L669,0))</f>
        <v/>
      </c>
      <c r="AE669" s="70" t="str">
        <f>IF($G669="","",IF($M669="Completed",1,IF(ISNUMBER($N669),$N669,0)))</f>
        <v/>
      </c>
      <c r="AF669" s="70" t="str">
        <f>IF(AND(ISNUMBER($Q669),ISNUMBER($R669)),IF($R669&lt;&gt;0,$Q669/$R669,""),"")</f>
        <v/>
      </c>
      <c r="AG669" s="71" t="str">
        <f>IF($G669="","",IF($AL669=1,"OVERDUE",IF($AM669=1,"BLOCKED",IF($AN669=1,"DUE TODAY",IF($AO669=1,"DUE TOMORROW",IF($AQ669=1,"HIGH PRIORITY",IF($AR669=1,"NO RECENT UPDATE",""))))))) </f>
        <v/>
      </c>
      <c r="AH669" s="71" t="str">
        <f>IF($G669="","",IF(ISNUMBER($A669),IF(ISNUMBER($A669),YEAR($A669)&amp;"-"&amp;TEXT(MONTH($A669),"00"),""),IF(ISNUMBER($L669),IF(ISNUMBER($L669),YEAR($L669)&amp;"-"&amp;TEXT(MONTH($L669),"00"),""),"")))</f>
        <v/>
      </c>
      <c r="AI669" s="71">
        <f>IF($G669="",0,IF(AND(OR(fClient="All",$C669=fClient),OR(fCampaign="All",$D669=fCampaign),OR(fTeam="All",$B669=fTeam),OR(fChannel="All",$F669=fChannel),OR(fMonth="All",$AH669=fMonth),OR(fTStatus="All",$M669=fTStatus)),1,0))</f>
        <v>0</v>
      </c>
      <c r="AJ669" s="71">
        <f>IF($G669="",0,IF(AND(OR(fClient="All",$C669=fClient),OR(fCampaign="All",$D669=fCampaign),OR(fTeam="All",$B669=fTeam),OR(fChannel="All",$F669=fChannel)),1,0))</f>
        <v>0</v>
      </c>
      <c r="AK669" s="71">
        <f>IF($G669="",0,IF(OR($M669="Completed",$M669="Cancelled"),0,1))</f>
        <v>0</v>
      </c>
      <c r="AL669" s="71">
        <f>IF(AND($AK669=1,ISNUMBER($L669)),IF($L669&lt;ReportDate,1,0),0)</f>
        <v>0</v>
      </c>
      <c r="AM669" s="71">
        <f>IF(AND($G669&lt;&gt;"",$M669="Blocked"),1,0)</f>
        <v>0</v>
      </c>
      <c r="AN669" s="71">
        <f>IF(AND($AK669=1,ISNUMBER($L669)),IF($L669=ReportDate,1,0),0)</f>
        <v>0</v>
      </c>
      <c r="AO669" s="71">
        <f>IF(AND($AK669=1,ISNUMBER($L669)),IF($L669=ReportDate+1,1,0),0)</f>
        <v>0</v>
      </c>
      <c r="AP669" s="71">
        <f>IF(AND($AK669=1,ISNUMBER($L669)),IF(AND($L669&gt;=ReportDate,$L669&lt;=ReportDate+DueSoonDays),1,0),0)</f>
        <v>0</v>
      </c>
      <c r="AQ669" s="71">
        <f>IF(AND($AK669=1,OR($I669="Critical",$I669="High")),1,0)</f>
        <v>0</v>
      </c>
      <c r="AR669" s="71">
        <f>IF($AK669=1,IF(ISNUMBER($Y669),IF(ReportDate-$Y669&gt;StaleDays,1,0),1),0)</f>
        <v>0</v>
      </c>
      <c r="AS669" s="71">
        <f>IF(AND($G669&lt;&gt;"",ISNUMBER($Q669),ISNUMBER($R669)),IF(AND($Q669&lt;$R669,OR($M669="Completed",AND(ISNUMBER($L669),$L669&lt;ReportDate))),1,0),0)</f>
        <v>0</v>
      </c>
      <c r="AT669" s="71">
        <f>IF($AK669=1,IF(OR($L669=ReportDate,$W669=ReportDate,$K669=ReportDate,$A669=ReportDate),1,0),0)</f>
        <v>0</v>
      </c>
      <c r="AU669" s="71">
        <f>IF($AK669=1,IF(OR($L669=ReportDate+1,$W669=ReportDate+1,$K669=ReportDate+1,$A669=ReportDate+1),1,0),0)</f>
        <v>0</v>
      </c>
      <c r="AV669" s="71">
        <f>IF(AND($G669&lt;&gt;"",$M669="Completed"),IF(OR($Y669=ReportDate-1,$A669=ReportDate-1),1,0),0)</f>
        <v>0</v>
      </c>
      <c r="AW669" s="71">
        <f>IF(AND($AK669=1,$Z669="Yes"),1,0)</f>
        <v>0</v>
      </c>
      <c r="AX669" s="71">
        <f>IF(AND($AK669=1,$AA669="Yes"),1,0)</f>
        <v>0</v>
      </c>
      <c r="AY669" s="71">
        <f>IF(AND($AM669=1,OR($I669="Critical",$I669="High")),1,0)</f>
        <v>0</v>
      </c>
      <c r="AZ669" s="71">
        <f>IF(AND($AK669=1,OR($C669=TCL_Client,$C669=MECCA_Client)),1,0)</f>
        <v>0</v>
      </c>
      <c r="BA669" s="71" t="str">
        <f>IF($G669="","",IFERROR(MATCH($I669,lst_Priority,0),5))</f>
        <v/>
      </c>
      <c r="BB669" s="71" t="str">
        <f>IF(AND($AL669=1,$AJ669=1),$BA669*100000+ROW(),"")</f>
        <v/>
      </c>
      <c r="BC669" s="71" t="str">
        <f>IF(AND($AM669=1,$AJ669=1),$BA669*100000+ROW(),"")</f>
        <v/>
      </c>
      <c r="BD669" s="71" t="str">
        <f>IF(AND($AP669=1,$AJ669=1),$BA669*100000+ROW(),"")</f>
        <v/>
      </c>
      <c r="BE669" s="71" t="str">
        <f>IF(AND($AT669=1,$AJ669=1),$BA669*100000+ROW(),"")</f>
        <v/>
      </c>
      <c r="BF669" s="71" t="str">
        <f>IF(AND($AU669=1,$AJ669=1),$BA669*100000+ROW(),"")</f>
        <v/>
      </c>
      <c r="BG669" s="71" t="str">
        <f>IF(AND($AV669=1,$AJ669=1),$BA669*100000+ROW(),"")</f>
        <v/>
      </c>
      <c r="BH669" s="71" t="str">
        <f>IF(AND($AW669=1,$AJ669=1),$BA669*100000+ROW(),"")</f>
        <v/>
      </c>
      <c r="BI669" s="71" t="str">
        <f>IF(AND($AX669=1,$AJ669=1),$BA669*100000+ROW(),"")</f>
        <v/>
      </c>
      <c r="BJ669" s="71" t="str">
        <f>IF(AND($AS669=1,$AJ669=1),$BA669*100000+ROW(),"")</f>
        <v/>
      </c>
      <c r="BK669" s="71" t="str">
        <f>IF(AND($AY669=1,$AJ669=1),$BA669*100000+ROW(),"")</f>
        <v/>
      </c>
      <c r="BL669" s="71" t="str">
        <f>IF(AND($AZ669=1),$BA669*100000+ROW(),"")</f>
        <v/>
      </c>
    </row>
    <row r="670">
      <c r="A670" s="63" t="n"/>
      <c r="B670" s="64" t="n"/>
      <c r="C670" s="64" t="n"/>
      <c r="D670" s="64" t="n"/>
      <c r="E670" s="64" t="n"/>
      <c r="F670" s="64" t="n"/>
      <c r="G670" s="65" t="n"/>
      <c r="H670" s="65" t="n"/>
      <c r="I670" s="64" t="n"/>
      <c r="J670" s="64" t="n"/>
      <c r="K670" s="63" t="n"/>
      <c r="L670" s="63" t="n"/>
      <c r="M670" s="64" t="n"/>
      <c r="N670" s="66" t="n"/>
      <c r="O670" s="65" t="n"/>
      <c r="P670" s="64" t="n"/>
      <c r="Q670" s="67" t="n"/>
      <c r="R670" s="67" t="n"/>
      <c r="S670" s="68" t="str">
        <f>IF(AND(ISNUMBER($Q670),ISNUMBER($R670)),$Q670-$R670,"")</f>
        <v/>
      </c>
      <c r="T670" s="65" t="n"/>
      <c r="U670" s="64" t="n"/>
      <c r="V670" s="65" t="n"/>
      <c r="W670" s="63" t="n"/>
      <c r="X670" s="65" t="n"/>
      <c r="Y670" s="63" t="n"/>
      <c r="Z670" s="64" t="n"/>
      <c r="AA670" s="64" t="n"/>
      <c r="AB670" s="65" t="n"/>
      <c r="AC670" s="69" t="str">
        <f>IF(OR($G670="",NOT(ISNUMBER($K670)),$AK670=0),"",MAX(0,ReportDate-$K670))</f>
        <v/>
      </c>
      <c r="AD670" s="69" t="str">
        <f>IF($G670="","",IF($AL670=1,ReportDate-$L670,0))</f>
        <v/>
      </c>
      <c r="AE670" s="70" t="str">
        <f>IF($G670="","",IF($M670="Completed",1,IF(ISNUMBER($N670),$N670,0)))</f>
        <v/>
      </c>
      <c r="AF670" s="70" t="str">
        <f>IF(AND(ISNUMBER($Q670),ISNUMBER($R670)),IF($R670&lt;&gt;0,$Q670/$R670,""),"")</f>
        <v/>
      </c>
      <c r="AG670" s="71" t="str">
        <f>IF($G670="","",IF($AL670=1,"OVERDUE",IF($AM670=1,"BLOCKED",IF($AN670=1,"DUE TODAY",IF($AO670=1,"DUE TOMORROW",IF($AQ670=1,"HIGH PRIORITY",IF($AR670=1,"NO RECENT UPDATE",""))))))) </f>
        <v/>
      </c>
      <c r="AH670" s="71" t="str">
        <f>IF($G670="","",IF(ISNUMBER($A670),IF(ISNUMBER($A670),YEAR($A670)&amp;"-"&amp;TEXT(MONTH($A670),"00"),""),IF(ISNUMBER($L670),IF(ISNUMBER($L670),YEAR($L670)&amp;"-"&amp;TEXT(MONTH($L670),"00"),""),"")))</f>
        <v/>
      </c>
      <c r="AI670" s="71">
        <f>IF($G670="",0,IF(AND(OR(fClient="All",$C670=fClient),OR(fCampaign="All",$D670=fCampaign),OR(fTeam="All",$B670=fTeam),OR(fChannel="All",$F670=fChannel),OR(fMonth="All",$AH670=fMonth),OR(fTStatus="All",$M670=fTStatus)),1,0))</f>
        <v>0</v>
      </c>
      <c r="AJ670" s="71">
        <f>IF($G670="",0,IF(AND(OR(fClient="All",$C670=fClient),OR(fCampaign="All",$D670=fCampaign),OR(fTeam="All",$B670=fTeam),OR(fChannel="All",$F670=fChannel)),1,0))</f>
        <v>0</v>
      </c>
      <c r="AK670" s="71">
        <f>IF($G670="",0,IF(OR($M670="Completed",$M670="Cancelled"),0,1))</f>
        <v>0</v>
      </c>
      <c r="AL670" s="71">
        <f>IF(AND($AK670=1,ISNUMBER($L670)),IF($L670&lt;ReportDate,1,0),0)</f>
        <v>0</v>
      </c>
      <c r="AM670" s="71">
        <f>IF(AND($G670&lt;&gt;"",$M670="Blocked"),1,0)</f>
        <v>0</v>
      </c>
      <c r="AN670" s="71">
        <f>IF(AND($AK670=1,ISNUMBER($L670)),IF($L670=ReportDate,1,0),0)</f>
        <v>0</v>
      </c>
      <c r="AO670" s="71">
        <f>IF(AND($AK670=1,ISNUMBER($L670)),IF($L670=ReportDate+1,1,0),0)</f>
        <v>0</v>
      </c>
      <c r="AP670" s="71">
        <f>IF(AND($AK670=1,ISNUMBER($L670)),IF(AND($L670&gt;=ReportDate,$L670&lt;=ReportDate+DueSoonDays),1,0),0)</f>
        <v>0</v>
      </c>
      <c r="AQ670" s="71">
        <f>IF(AND($AK670=1,OR($I670="Critical",$I670="High")),1,0)</f>
        <v>0</v>
      </c>
      <c r="AR670" s="71">
        <f>IF($AK670=1,IF(ISNUMBER($Y670),IF(ReportDate-$Y670&gt;StaleDays,1,0),1),0)</f>
        <v>0</v>
      </c>
      <c r="AS670" s="71">
        <f>IF(AND($G670&lt;&gt;"",ISNUMBER($Q670),ISNUMBER($R670)),IF(AND($Q670&lt;$R670,OR($M670="Completed",AND(ISNUMBER($L670),$L670&lt;ReportDate))),1,0),0)</f>
        <v>0</v>
      </c>
      <c r="AT670" s="71">
        <f>IF($AK670=1,IF(OR($L670=ReportDate,$W670=ReportDate,$K670=ReportDate,$A670=ReportDate),1,0),0)</f>
        <v>0</v>
      </c>
      <c r="AU670" s="71">
        <f>IF($AK670=1,IF(OR($L670=ReportDate+1,$W670=ReportDate+1,$K670=ReportDate+1,$A670=ReportDate+1),1,0),0)</f>
        <v>0</v>
      </c>
      <c r="AV670" s="71">
        <f>IF(AND($G670&lt;&gt;"",$M670="Completed"),IF(OR($Y670=ReportDate-1,$A670=ReportDate-1),1,0),0)</f>
        <v>0</v>
      </c>
      <c r="AW670" s="71">
        <f>IF(AND($AK670=1,$Z670="Yes"),1,0)</f>
        <v>0</v>
      </c>
      <c r="AX670" s="71">
        <f>IF(AND($AK670=1,$AA670="Yes"),1,0)</f>
        <v>0</v>
      </c>
      <c r="AY670" s="71">
        <f>IF(AND($AM670=1,OR($I670="Critical",$I670="High")),1,0)</f>
        <v>0</v>
      </c>
      <c r="AZ670" s="71">
        <f>IF(AND($AK670=1,OR($C670=TCL_Client,$C670=MECCA_Client)),1,0)</f>
        <v>0</v>
      </c>
      <c r="BA670" s="71" t="str">
        <f>IF($G670="","",IFERROR(MATCH($I670,lst_Priority,0),5))</f>
        <v/>
      </c>
      <c r="BB670" s="71" t="str">
        <f>IF(AND($AL670=1,$AJ670=1),$BA670*100000+ROW(),"")</f>
        <v/>
      </c>
      <c r="BC670" s="71" t="str">
        <f>IF(AND($AM670=1,$AJ670=1),$BA670*100000+ROW(),"")</f>
        <v/>
      </c>
      <c r="BD670" s="71" t="str">
        <f>IF(AND($AP670=1,$AJ670=1),$BA670*100000+ROW(),"")</f>
        <v/>
      </c>
      <c r="BE670" s="71" t="str">
        <f>IF(AND($AT670=1,$AJ670=1),$BA670*100000+ROW(),"")</f>
        <v/>
      </c>
      <c r="BF670" s="71" t="str">
        <f>IF(AND($AU670=1,$AJ670=1),$BA670*100000+ROW(),"")</f>
        <v/>
      </c>
      <c r="BG670" s="71" t="str">
        <f>IF(AND($AV670=1,$AJ670=1),$BA670*100000+ROW(),"")</f>
        <v/>
      </c>
      <c r="BH670" s="71" t="str">
        <f>IF(AND($AW670=1,$AJ670=1),$BA670*100000+ROW(),"")</f>
        <v/>
      </c>
      <c r="BI670" s="71" t="str">
        <f>IF(AND($AX670=1,$AJ670=1),$BA670*100000+ROW(),"")</f>
        <v/>
      </c>
      <c r="BJ670" s="71" t="str">
        <f>IF(AND($AS670=1,$AJ670=1),$BA670*100000+ROW(),"")</f>
        <v/>
      </c>
      <c r="BK670" s="71" t="str">
        <f>IF(AND($AY670=1,$AJ670=1),$BA670*100000+ROW(),"")</f>
        <v/>
      </c>
      <c r="BL670" s="71" t="str">
        <f>IF(AND($AZ670=1),$BA670*100000+ROW(),"")</f>
        <v/>
      </c>
    </row>
    <row r="671">
      <c r="A671" s="63" t="n"/>
      <c r="B671" s="64" t="n"/>
      <c r="C671" s="64" t="n"/>
      <c r="D671" s="64" t="n"/>
      <c r="E671" s="64" t="n"/>
      <c r="F671" s="64" t="n"/>
      <c r="G671" s="65" t="n"/>
      <c r="H671" s="65" t="n"/>
      <c r="I671" s="64" t="n"/>
      <c r="J671" s="64" t="n"/>
      <c r="K671" s="63" t="n"/>
      <c r="L671" s="63" t="n"/>
      <c r="M671" s="64" t="n"/>
      <c r="N671" s="66" t="n"/>
      <c r="O671" s="65" t="n"/>
      <c r="P671" s="64" t="n"/>
      <c r="Q671" s="67" t="n"/>
      <c r="R671" s="67" t="n"/>
      <c r="S671" s="68" t="str">
        <f>IF(AND(ISNUMBER($Q671),ISNUMBER($R671)),$Q671-$R671,"")</f>
        <v/>
      </c>
      <c r="T671" s="65" t="n"/>
      <c r="U671" s="64" t="n"/>
      <c r="V671" s="65" t="n"/>
      <c r="W671" s="63" t="n"/>
      <c r="X671" s="65" t="n"/>
      <c r="Y671" s="63" t="n"/>
      <c r="Z671" s="64" t="n"/>
      <c r="AA671" s="64" t="n"/>
      <c r="AB671" s="65" t="n"/>
      <c r="AC671" s="69" t="str">
        <f>IF(OR($G671="",NOT(ISNUMBER($K671)),$AK671=0),"",MAX(0,ReportDate-$K671))</f>
        <v/>
      </c>
      <c r="AD671" s="69" t="str">
        <f>IF($G671="","",IF($AL671=1,ReportDate-$L671,0))</f>
        <v/>
      </c>
      <c r="AE671" s="70" t="str">
        <f>IF($G671="","",IF($M671="Completed",1,IF(ISNUMBER($N671),$N671,0)))</f>
        <v/>
      </c>
      <c r="AF671" s="70" t="str">
        <f>IF(AND(ISNUMBER($Q671),ISNUMBER($R671)),IF($R671&lt;&gt;0,$Q671/$R671,""),"")</f>
        <v/>
      </c>
      <c r="AG671" s="71" t="str">
        <f>IF($G671="","",IF($AL671=1,"OVERDUE",IF($AM671=1,"BLOCKED",IF($AN671=1,"DUE TODAY",IF($AO671=1,"DUE TOMORROW",IF($AQ671=1,"HIGH PRIORITY",IF($AR671=1,"NO RECENT UPDATE",""))))))) </f>
        <v/>
      </c>
      <c r="AH671" s="71" t="str">
        <f>IF($G671="","",IF(ISNUMBER($A671),IF(ISNUMBER($A671),YEAR($A671)&amp;"-"&amp;TEXT(MONTH($A671),"00"),""),IF(ISNUMBER($L671),IF(ISNUMBER($L671),YEAR($L671)&amp;"-"&amp;TEXT(MONTH($L671),"00"),""),"")))</f>
        <v/>
      </c>
      <c r="AI671" s="71">
        <f>IF($G671="",0,IF(AND(OR(fClient="All",$C671=fClient),OR(fCampaign="All",$D671=fCampaign),OR(fTeam="All",$B671=fTeam),OR(fChannel="All",$F671=fChannel),OR(fMonth="All",$AH671=fMonth),OR(fTStatus="All",$M671=fTStatus)),1,0))</f>
        <v>0</v>
      </c>
      <c r="AJ671" s="71">
        <f>IF($G671="",0,IF(AND(OR(fClient="All",$C671=fClient),OR(fCampaign="All",$D671=fCampaign),OR(fTeam="All",$B671=fTeam),OR(fChannel="All",$F671=fChannel)),1,0))</f>
        <v>0</v>
      </c>
      <c r="AK671" s="71">
        <f>IF($G671="",0,IF(OR($M671="Completed",$M671="Cancelled"),0,1))</f>
        <v>0</v>
      </c>
      <c r="AL671" s="71">
        <f>IF(AND($AK671=1,ISNUMBER($L671)),IF($L671&lt;ReportDate,1,0),0)</f>
        <v>0</v>
      </c>
      <c r="AM671" s="71">
        <f>IF(AND($G671&lt;&gt;"",$M671="Blocked"),1,0)</f>
        <v>0</v>
      </c>
      <c r="AN671" s="71">
        <f>IF(AND($AK671=1,ISNUMBER($L671)),IF($L671=ReportDate,1,0),0)</f>
        <v>0</v>
      </c>
      <c r="AO671" s="71">
        <f>IF(AND($AK671=1,ISNUMBER($L671)),IF($L671=ReportDate+1,1,0),0)</f>
        <v>0</v>
      </c>
      <c r="AP671" s="71">
        <f>IF(AND($AK671=1,ISNUMBER($L671)),IF(AND($L671&gt;=ReportDate,$L671&lt;=ReportDate+DueSoonDays),1,0),0)</f>
        <v>0</v>
      </c>
      <c r="AQ671" s="71">
        <f>IF(AND($AK671=1,OR($I671="Critical",$I671="High")),1,0)</f>
        <v>0</v>
      </c>
      <c r="AR671" s="71">
        <f>IF($AK671=1,IF(ISNUMBER($Y671),IF(ReportDate-$Y671&gt;StaleDays,1,0),1),0)</f>
        <v>0</v>
      </c>
      <c r="AS671" s="71">
        <f>IF(AND($G671&lt;&gt;"",ISNUMBER($Q671),ISNUMBER($R671)),IF(AND($Q671&lt;$R671,OR($M671="Completed",AND(ISNUMBER($L671),$L671&lt;ReportDate))),1,0),0)</f>
        <v>0</v>
      </c>
      <c r="AT671" s="71">
        <f>IF($AK671=1,IF(OR($L671=ReportDate,$W671=ReportDate,$K671=ReportDate,$A671=ReportDate),1,0),0)</f>
        <v>0</v>
      </c>
      <c r="AU671" s="71">
        <f>IF($AK671=1,IF(OR($L671=ReportDate+1,$W671=ReportDate+1,$K671=ReportDate+1,$A671=ReportDate+1),1,0),0)</f>
        <v>0</v>
      </c>
      <c r="AV671" s="71">
        <f>IF(AND($G671&lt;&gt;"",$M671="Completed"),IF(OR($Y671=ReportDate-1,$A671=ReportDate-1),1,0),0)</f>
        <v>0</v>
      </c>
      <c r="AW671" s="71">
        <f>IF(AND($AK671=1,$Z671="Yes"),1,0)</f>
        <v>0</v>
      </c>
      <c r="AX671" s="71">
        <f>IF(AND($AK671=1,$AA671="Yes"),1,0)</f>
        <v>0</v>
      </c>
      <c r="AY671" s="71">
        <f>IF(AND($AM671=1,OR($I671="Critical",$I671="High")),1,0)</f>
        <v>0</v>
      </c>
      <c r="AZ671" s="71">
        <f>IF(AND($AK671=1,OR($C671=TCL_Client,$C671=MECCA_Client)),1,0)</f>
        <v>0</v>
      </c>
      <c r="BA671" s="71" t="str">
        <f>IF($G671="","",IFERROR(MATCH($I671,lst_Priority,0),5))</f>
        <v/>
      </c>
      <c r="BB671" s="71" t="str">
        <f>IF(AND($AL671=1,$AJ671=1),$BA671*100000+ROW(),"")</f>
        <v/>
      </c>
      <c r="BC671" s="71" t="str">
        <f>IF(AND($AM671=1,$AJ671=1),$BA671*100000+ROW(),"")</f>
        <v/>
      </c>
      <c r="BD671" s="71" t="str">
        <f>IF(AND($AP671=1,$AJ671=1),$BA671*100000+ROW(),"")</f>
        <v/>
      </c>
      <c r="BE671" s="71" t="str">
        <f>IF(AND($AT671=1,$AJ671=1),$BA671*100000+ROW(),"")</f>
        <v/>
      </c>
      <c r="BF671" s="71" t="str">
        <f>IF(AND($AU671=1,$AJ671=1),$BA671*100000+ROW(),"")</f>
        <v/>
      </c>
      <c r="BG671" s="71" t="str">
        <f>IF(AND($AV671=1,$AJ671=1),$BA671*100000+ROW(),"")</f>
        <v/>
      </c>
      <c r="BH671" s="71" t="str">
        <f>IF(AND($AW671=1,$AJ671=1),$BA671*100000+ROW(),"")</f>
        <v/>
      </c>
      <c r="BI671" s="71" t="str">
        <f>IF(AND($AX671=1,$AJ671=1),$BA671*100000+ROW(),"")</f>
        <v/>
      </c>
      <c r="BJ671" s="71" t="str">
        <f>IF(AND($AS671=1,$AJ671=1),$BA671*100000+ROW(),"")</f>
        <v/>
      </c>
      <c r="BK671" s="71" t="str">
        <f>IF(AND($AY671=1,$AJ671=1),$BA671*100000+ROW(),"")</f>
        <v/>
      </c>
      <c r="BL671" s="71" t="str">
        <f>IF(AND($AZ671=1),$BA671*100000+ROW(),"")</f>
        <v/>
      </c>
    </row>
    <row r="672">
      <c r="A672" s="63" t="n"/>
      <c r="B672" s="64" t="n"/>
      <c r="C672" s="64" t="n"/>
      <c r="D672" s="64" t="n"/>
      <c r="E672" s="64" t="n"/>
      <c r="F672" s="64" t="n"/>
      <c r="G672" s="65" t="n"/>
      <c r="H672" s="65" t="n"/>
      <c r="I672" s="64" t="n"/>
      <c r="J672" s="64" t="n"/>
      <c r="K672" s="63" t="n"/>
      <c r="L672" s="63" t="n"/>
      <c r="M672" s="64" t="n"/>
      <c r="N672" s="66" t="n"/>
      <c r="O672" s="65" t="n"/>
      <c r="P672" s="64" t="n"/>
      <c r="Q672" s="67" t="n"/>
      <c r="R672" s="67" t="n"/>
      <c r="S672" s="68" t="str">
        <f>IF(AND(ISNUMBER($Q672),ISNUMBER($R672)),$Q672-$R672,"")</f>
        <v/>
      </c>
      <c r="T672" s="65" t="n"/>
      <c r="U672" s="64" t="n"/>
      <c r="V672" s="65" t="n"/>
      <c r="W672" s="63" t="n"/>
      <c r="X672" s="65" t="n"/>
      <c r="Y672" s="63" t="n"/>
      <c r="Z672" s="64" t="n"/>
      <c r="AA672" s="64" t="n"/>
      <c r="AB672" s="65" t="n"/>
      <c r="AC672" s="69" t="str">
        <f>IF(OR($G672="",NOT(ISNUMBER($K672)),$AK672=0),"",MAX(0,ReportDate-$K672))</f>
        <v/>
      </c>
      <c r="AD672" s="69" t="str">
        <f>IF($G672="","",IF($AL672=1,ReportDate-$L672,0))</f>
        <v/>
      </c>
      <c r="AE672" s="70" t="str">
        <f>IF($G672="","",IF($M672="Completed",1,IF(ISNUMBER($N672),$N672,0)))</f>
        <v/>
      </c>
      <c r="AF672" s="70" t="str">
        <f>IF(AND(ISNUMBER($Q672),ISNUMBER($R672)),IF($R672&lt;&gt;0,$Q672/$R672,""),"")</f>
        <v/>
      </c>
      <c r="AG672" s="71" t="str">
        <f>IF($G672="","",IF($AL672=1,"OVERDUE",IF($AM672=1,"BLOCKED",IF($AN672=1,"DUE TODAY",IF($AO672=1,"DUE TOMORROW",IF($AQ672=1,"HIGH PRIORITY",IF($AR672=1,"NO RECENT UPDATE",""))))))) </f>
        <v/>
      </c>
      <c r="AH672" s="71" t="str">
        <f>IF($G672="","",IF(ISNUMBER($A672),IF(ISNUMBER($A672),YEAR($A672)&amp;"-"&amp;TEXT(MONTH($A672),"00"),""),IF(ISNUMBER($L672),IF(ISNUMBER($L672),YEAR($L672)&amp;"-"&amp;TEXT(MONTH($L672),"00"),""),"")))</f>
        <v/>
      </c>
      <c r="AI672" s="71">
        <f>IF($G672="",0,IF(AND(OR(fClient="All",$C672=fClient),OR(fCampaign="All",$D672=fCampaign),OR(fTeam="All",$B672=fTeam),OR(fChannel="All",$F672=fChannel),OR(fMonth="All",$AH672=fMonth),OR(fTStatus="All",$M672=fTStatus)),1,0))</f>
        <v>0</v>
      </c>
      <c r="AJ672" s="71">
        <f>IF($G672="",0,IF(AND(OR(fClient="All",$C672=fClient),OR(fCampaign="All",$D672=fCampaign),OR(fTeam="All",$B672=fTeam),OR(fChannel="All",$F672=fChannel)),1,0))</f>
        <v>0</v>
      </c>
      <c r="AK672" s="71">
        <f>IF($G672="",0,IF(OR($M672="Completed",$M672="Cancelled"),0,1))</f>
        <v>0</v>
      </c>
      <c r="AL672" s="71">
        <f>IF(AND($AK672=1,ISNUMBER($L672)),IF($L672&lt;ReportDate,1,0),0)</f>
        <v>0</v>
      </c>
      <c r="AM672" s="71">
        <f>IF(AND($G672&lt;&gt;"",$M672="Blocked"),1,0)</f>
        <v>0</v>
      </c>
      <c r="AN672" s="71">
        <f>IF(AND($AK672=1,ISNUMBER($L672)),IF($L672=ReportDate,1,0),0)</f>
        <v>0</v>
      </c>
      <c r="AO672" s="71">
        <f>IF(AND($AK672=1,ISNUMBER($L672)),IF($L672=ReportDate+1,1,0),0)</f>
        <v>0</v>
      </c>
      <c r="AP672" s="71">
        <f>IF(AND($AK672=1,ISNUMBER($L672)),IF(AND($L672&gt;=ReportDate,$L672&lt;=ReportDate+DueSoonDays),1,0),0)</f>
        <v>0</v>
      </c>
      <c r="AQ672" s="71">
        <f>IF(AND($AK672=1,OR($I672="Critical",$I672="High")),1,0)</f>
        <v>0</v>
      </c>
      <c r="AR672" s="71">
        <f>IF($AK672=1,IF(ISNUMBER($Y672),IF(ReportDate-$Y672&gt;StaleDays,1,0),1),0)</f>
        <v>0</v>
      </c>
      <c r="AS672" s="71">
        <f>IF(AND($G672&lt;&gt;"",ISNUMBER($Q672),ISNUMBER($R672)),IF(AND($Q672&lt;$R672,OR($M672="Completed",AND(ISNUMBER($L672),$L672&lt;ReportDate))),1,0),0)</f>
        <v>0</v>
      </c>
      <c r="AT672" s="71">
        <f>IF($AK672=1,IF(OR($L672=ReportDate,$W672=ReportDate,$K672=ReportDate,$A672=ReportDate),1,0),0)</f>
        <v>0</v>
      </c>
      <c r="AU672" s="71">
        <f>IF($AK672=1,IF(OR($L672=ReportDate+1,$W672=ReportDate+1,$K672=ReportDate+1,$A672=ReportDate+1),1,0),0)</f>
        <v>0</v>
      </c>
      <c r="AV672" s="71">
        <f>IF(AND($G672&lt;&gt;"",$M672="Completed"),IF(OR($Y672=ReportDate-1,$A672=ReportDate-1),1,0),0)</f>
        <v>0</v>
      </c>
      <c r="AW672" s="71">
        <f>IF(AND($AK672=1,$Z672="Yes"),1,0)</f>
        <v>0</v>
      </c>
      <c r="AX672" s="71">
        <f>IF(AND($AK672=1,$AA672="Yes"),1,0)</f>
        <v>0</v>
      </c>
      <c r="AY672" s="71">
        <f>IF(AND($AM672=1,OR($I672="Critical",$I672="High")),1,0)</f>
        <v>0</v>
      </c>
      <c r="AZ672" s="71">
        <f>IF(AND($AK672=1,OR($C672=TCL_Client,$C672=MECCA_Client)),1,0)</f>
        <v>0</v>
      </c>
      <c r="BA672" s="71" t="str">
        <f>IF($G672="","",IFERROR(MATCH($I672,lst_Priority,0),5))</f>
        <v/>
      </c>
      <c r="BB672" s="71" t="str">
        <f>IF(AND($AL672=1,$AJ672=1),$BA672*100000+ROW(),"")</f>
        <v/>
      </c>
      <c r="BC672" s="71" t="str">
        <f>IF(AND($AM672=1,$AJ672=1),$BA672*100000+ROW(),"")</f>
        <v/>
      </c>
      <c r="BD672" s="71" t="str">
        <f>IF(AND($AP672=1,$AJ672=1),$BA672*100000+ROW(),"")</f>
        <v/>
      </c>
      <c r="BE672" s="71" t="str">
        <f>IF(AND($AT672=1,$AJ672=1),$BA672*100000+ROW(),"")</f>
        <v/>
      </c>
      <c r="BF672" s="71" t="str">
        <f>IF(AND($AU672=1,$AJ672=1),$BA672*100000+ROW(),"")</f>
        <v/>
      </c>
      <c r="BG672" s="71" t="str">
        <f>IF(AND($AV672=1,$AJ672=1),$BA672*100000+ROW(),"")</f>
        <v/>
      </c>
      <c r="BH672" s="71" t="str">
        <f>IF(AND($AW672=1,$AJ672=1),$BA672*100000+ROW(),"")</f>
        <v/>
      </c>
      <c r="BI672" s="71" t="str">
        <f>IF(AND($AX672=1,$AJ672=1),$BA672*100000+ROW(),"")</f>
        <v/>
      </c>
      <c r="BJ672" s="71" t="str">
        <f>IF(AND($AS672=1,$AJ672=1),$BA672*100000+ROW(),"")</f>
        <v/>
      </c>
      <c r="BK672" s="71" t="str">
        <f>IF(AND($AY672=1,$AJ672=1),$BA672*100000+ROW(),"")</f>
        <v/>
      </c>
      <c r="BL672" s="71" t="str">
        <f>IF(AND($AZ672=1),$BA672*100000+ROW(),"")</f>
        <v/>
      </c>
    </row>
    <row r="673">
      <c r="A673" s="63" t="n"/>
      <c r="B673" s="64" t="n"/>
      <c r="C673" s="64" t="n"/>
      <c r="D673" s="64" t="n"/>
      <c r="E673" s="64" t="n"/>
      <c r="F673" s="64" t="n"/>
      <c r="G673" s="65" t="n"/>
      <c r="H673" s="65" t="n"/>
      <c r="I673" s="64" t="n"/>
      <c r="J673" s="64" t="n"/>
      <c r="K673" s="63" t="n"/>
      <c r="L673" s="63" t="n"/>
      <c r="M673" s="64" t="n"/>
      <c r="N673" s="66" t="n"/>
      <c r="O673" s="65" t="n"/>
      <c r="P673" s="64" t="n"/>
      <c r="Q673" s="67" t="n"/>
      <c r="R673" s="67" t="n"/>
      <c r="S673" s="68" t="str">
        <f>IF(AND(ISNUMBER($Q673),ISNUMBER($R673)),$Q673-$R673,"")</f>
        <v/>
      </c>
      <c r="T673" s="65" t="n"/>
      <c r="U673" s="64" t="n"/>
      <c r="V673" s="65" t="n"/>
      <c r="W673" s="63" t="n"/>
      <c r="X673" s="65" t="n"/>
      <c r="Y673" s="63" t="n"/>
      <c r="Z673" s="64" t="n"/>
      <c r="AA673" s="64" t="n"/>
      <c r="AB673" s="65" t="n"/>
      <c r="AC673" s="69" t="str">
        <f>IF(OR($G673="",NOT(ISNUMBER($K673)),$AK673=0),"",MAX(0,ReportDate-$K673))</f>
        <v/>
      </c>
      <c r="AD673" s="69" t="str">
        <f>IF($G673="","",IF($AL673=1,ReportDate-$L673,0))</f>
        <v/>
      </c>
      <c r="AE673" s="70" t="str">
        <f>IF($G673="","",IF($M673="Completed",1,IF(ISNUMBER($N673),$N673,0)))</f>
        <v/>
      </c>
      <c r="AF673" s="70" t="str">
        <f>IF(AND(ISNUMBER($Q673),ISNUMBER($R673)),IF($R673&lt;&gt;0,$Q673/$R673,""),"")</f>
        <v/>
      </c>
      <c r="AG673" s="71" t="str">
        <f>IF($G673="","",IF($AL673=1,"OVERDUE",IF($AM673=1,"BLOCKED",IF($AN673=1,"DUE TODAY",IF($AO673=1,"DUE TOMORROW",IF($AQ673=1,"HIGH PRIORITY",IF($AR673=1,"NO RECENT UPDATE",""))))))) </f>
        <v/>
      </c>
      <c r="AH673" s="71" t="str">
        <f>IF($G673="","",IF(ISNUMBER($A673),IF(ISNUMBER($A673),YEAR($A673)&amp;"-"&amp;TEXT(MONTH($A673),"00"),""),IF(ISNUMBER($L673),IF(ISNUMBER($L673),YEAR($L673)&amp;"-"&amp;TEXT(MONTH($L673),"00"),""),"")))</f>
        <v/>
      </c>
      <c r="AI673" s="71">
        <f>IF($G673="",0,IF(AND(OR(fClient="All",$C673=fClient),OR(fCampaign="All",$D673=fCampaign),OR(fTeam="All",$B673=fTeam),OR(fChannel="All",$F673=fChannel),OR(fMonth="All",$AH673=fMonth),OR(fTStatus="All",$M673=fTStatus)),1,0))</f>
        <v>0</v>
      </c>
      <c r="AJ673" s="71">
        <f>IF($G673="",0,IF(AND(OR(fClient="All",$C673=fClient),OR(fCampaign="All",$D673=fCampaign),OR(fTeam="All",$B673=fTeam),OR(fChannel="All",$F673=fChannel)),1,0))</f>
        <v>0</v>
      </c>
      <c r="AK673" s="71">
        <f>IF($G673="",0,IF(OR($M673="Completed",$M673="Cancelled"),0,1))</f>
        <v>0</v>
      </c>
      <c r="AL673" s="71">
        <f>IF(AND($AK673=1,ISNUMBER($L673)),IF($L673&lt;ReportDate,1,0),0)</f>
        <v>0</v>
      </c>
      <c r="AM673" s="71">
        <f>IF(AND($G673&lt;&gt;"",$M673="Blocked"),1,0)</f>
        <v>0</v>
      </c>
      <c r="AN673" s="71">
        <f>IF(AND($AK673=1,ISNUMBER($L673)),IF($L673=ReportDate,1,0),0)</f>
        <v>0</v>
      </c>
      <c r="AO673" s="71">
        <f>IF(AND($AK673=1,ISNUMBER($L673)),IF($L673=ReportDate+1,1,0),0)</f>
        <v>0</v>
      </c>
      <c r="AP673" s="71">
        <f>IF(AND($AK673=1,ISNUMBER($L673)),IF(AND($L673&gt;=ReportDate,$L673&lt;=ReportDate+DueSoonDays),1,0),0)</f>
        <v>0</v>
      </c>
      <c r="AQ673" s="71">
        <f>IF(AND($AK673=1,OR($I673="Critical",$I673="High")),1,0)</f>
        <v>0</v>
      </c>
      <c r="AR673" s="71">
        <f>IF($AK673=1,IF(ISNUMBER($Y673),IF(ReportDate-$Y673&gt;StaleDays,1,0),1),0)</f>
        <v>0</v>
      </c>
      <c r="AS673" s="71">
        <f>IF(AND($G673&lt;&gt;"",ISNUMBER($Q673),ISNUMBER($R673)),IF(AND($Q673&lt;$R673,OR($M673="Completed",AND(ISNUMBER($L673),$L673&lt;ReportDate))),1,0),0)</f>
        <v>0</v>
      </c>
      <c r="AT673" s="71">
        <f>IF($AK673=1,IF(OR($L673=ReportDate,$W673=ReportDate,$K673=ReportDate,$A673=ReportDate),1,0),0)</f>
        <v>0</v>
      </c>
      <c r="AU673" s="71">
        <f>IF($AK673=1,IF(OR($L673=ReportDate+1,$W673=ReportDate+1,$K673=ReportDate+1,$A673=ReportDate+1),1,0),0)</f>
        <v>0</v>
      </c>
      <c r="AV673" s="71">
        <f>IF(AND($G673&lt;&gt;"",$M673="Completed"),IF(OR($Y673=ReportDate-1,$A673=ReportDate-1),1,0),0)</f>
        <v>0</v>
      </c>
      <c r="AW673" s="71">
        <f>IF(AND($AK673=1,$Z673="Yes"),1,0)</f>
        <v>0</v>
      </c>
      <c r="AX673" s="71">
        <f>IF(AND($AK673=1,$AA673="Yes"),1,0)</f>
        <v>0</v>
      </c>
      <c r="AY673" s="71">
        <f>IF(AND($AM673=1,OR($I673="Critical",$I673="High")),1,0)</f>
        <v>0</v>
      </c>
      <c r="AZ673" s="71">
        <f>IF(AND($AK673=1,OR($C673=TCL_Client,$C673=MECCA_Client)),1,0)</f>
        <v>0</v>
      </c>
      <c r="BA673" s="71" t="str">
        <f>IF($G673="","",IFERROR(MATCH($I673,lst_Priority,0),5))</f>
        <v/>
      </c>
      <c r="BB673" s="71" t="str">
        <f>IF(AND($AL673=1,$AJ673=1),$BA673*100000+ROW(),"")</f>
        <v/>
      </c>
      <c r="BC673" s="71" t="str">
        <f>IF(AND($AM673=1,$AJ673=1),$BA673*100000+ROW(),"")</f>
        <v/>
      </c>
      <c r="BD673" s="71" t="str">
        <f>IF(AND($AP673=1,$AJ673=1),$BA673*100000+ROW(),"")</f>
        <v/>
      </c>
      <c r="BE673" s="71" t="str">
        <f>IF(AND($AT673=1,$AJ673=1),$BA673*100000+ROW(),"")</f>
        <v/>
      </c>
      <c r="BF673" s="71" t="str">
        <f>IF(AND($AU673=1,$AJ673=1),$BA673*100000+ROW(),"")</f>
        <v/>
      </c>
      <c r="BG673" s="71" t="str">
        <f>IF(AND($AV673=1,$AJ673=1),$BA673*100000+ROW(),"")</f>
        <v/>
      </c>
      <c r="BH673" s="71" t="str">
        <f>IF(AND($AW673=1,$AJ673=1),$BA673*100000+ROW(),"")</f>
        <v/>
      </c>
      <c r="BI673" s="71" t="str">
        <f>IF(AND($AX673=1,$AJ673=1),$BA673*100000+ROW(),"")</f>
        <v/>
      </c>
      <c r="BJ673" s="71" t="str">
        <f>IF(AND($AS673=1,$AJ673=1),$BA673*100000+ROW(),"")</f>
        <v/>
      </c>
      <c r="BK673" s="71" t="str">
        <f>IF(AND($AY673=1,$AJ673=1),$BA673*100000+ROW(),"")</f>
        <v/>
      </c>
      <c r="BL673" s="71" t="str">
        <f>IF(AND($AZ673=1),$BA673*100000+ROW(),"")</f>
        <v/>
      </c>
    </row>
    <row r="674">
      <c r="A674" s="63" t="n"/>
      <c r="B674" s="64" t="n"/>
      <c r="C674" s="64" t="n"/>
      <c r="D674" s="64" t="n"/>
      <c r="E674" s="64" t="n"/>
      <c r="F674" s="64" t="n"/>
      <c r="G674" s="65" t="n"/>
      <c r="H674" s="65" t="n"/>
      <c r="I674" s="64" t="n"/>
      <c r="J674" s="64" t="n"/>
      <c r="K674" s="63" t="n"/>
      <c r="L674" s="63" t="n"/>
      <c r="M674" s="64" t="n"/>
      <c r="N674" s="66" t="n"/>
      <c r="O674" s="65" t="n"/>
      <c r="P674" s="64" t="n"/>
      <c r="Q674" s="67" t="n"/>
      <c r="R674" s="67" t="n"/>
      <c r="S674" s="68" t="str">
        <f>IF(AND(ISNUMBER($Q674),ISNUMBER($R674)),$Q674-$R674,"")</f>
        <v/>
      </c>
      <c r="T674" s="65" t="n"/>
      <c r="U674" s="64" t="n"/>
      <c r="V674" s="65" t="n"/>
      <c r="W674" s="63" t="n"/>
      <c r="X674" s="65" t="n"/>
      <c r="Y674" s="63" t="n"/>
      <c r="Z674" s="64" t="n"/>
      <c r="AA674" s="64" t="n"/>
      <c r="AB674" s="65" t="n"/>
      <c r="AC674" s="69" t="str">
        <f>IF(OR($G674="",NOT(ISNUMBER($K674)),$AK674=0),"",MAX(0,ReportDate-$K674))</f>
        <v/>
      </c>
      <c r="AD674" s="69" t="str">
        <f>IF($G674="","",IF($AL674=1,ReportDate-$L674,0))</f>
        <v/>
      </c>
      <c r="AE674" s="70" t="str">
        <f>IF($G674="","",IF($M674="Completed",1,IF(ISNUMBER($N674),$N674,0)))</f>
        <v/>
      </c>
      <c r="AF674" s="70" t="str">
        <f>IF(AND(ISNUMBER($Q674),ISNUMBER($R674)),IF($R674&lt;&gt;0,$Q674/$R674,""),"")</f>
        <v/>
      </c>
      <c r="AG674" s="71" t="str">
        <f>IF($G674="","",IF($AL674=1,"OVERDUE",IF($AM674=1,"BLOCKED",IF($AN674=1,"DUE TODAY",IF($AO674=1,"DUE TOMORROW",IF($AQ674=1,"HIGH PRIORITY",IF($AR674=1,"NO RECENT UPDATE",""))))))) </f>
        <v/>
      </c>
      <c r="AH674" s="71" t="str">
        <f>IF($G674="","",IF(ISNUMBER($A674),IF(ISNUMBER($A674),YEAR($A674)&amp;"-"&amp;TEXT(MONTH($A674),"00"),""),IF(ISNUMBER($L674),IF(ISNUMBER($L674),YEAR($L674)&amp;"-"&amp;TEXT(MONTH($L674),"00"),""),"")))</f>
        <v/>
      </c>
      <c r="AI674" s="71">
        <f>IF($G674="",0,IF(AND(OR(fClient="All",$C674=fClient),OR(fCampaign="All",$D674=fCampaign),OR(fTeam="All",$B674=fTeam),OR(fChannel="All",$F674=fChannel),OR(fMonth="All",$AH674=fMonth),OR(fTStatus="All",$M674=fTStatus)),1,0))</f>
        <v>0</v>
      </c>
      <c r="AJ674" s="71">
        <f>IF($G674="",0,IF(AND(OR(fClient="All",$C674=fClient),OR(fCampaign="All",$D674=fCampaign),OR(fTeam="All",$B674=fTeam),OR(fChannel="All",$F674=fChannel)),1,0))</f>
        <v>0</v>
      </c>
      <c r="AK674" s="71">
        <f>IF($G674="",0,IF(OR($M674="Completed",$M674="Cancelled"),0,1))</f>
        <v>0</v>
      </c>
      <c r="AL674" s="71">
        <f>IF(AND($AK674=1,ISNUMBER($L674)),IF($L674&lt;ReportDate,1,0),0)</f>
        <v>0</v>
      </c>
      <c r="AM674" s="71">
        <f>IF(AND($G674&lt;&gt;"",$M674="Blocked"),1,0)</f>
        <v>0</v>
      </c>
      <c r="AN674" s="71">
        <f>IF(AND($AK674=1,ISNUMBER($L674)),IF($L674=ReportDate,1,0),0)</f>
        <v>0</v>
      </c>
      <c r="AO674" s="71">
        <f>IF(AND($AK674=1,ISNUMBER($L674)),IF($L674=ReportDate+1,1,0),0)</f>
        <v>0</v>
      </c>
      <c r="AP674" s="71">
        <f>IF(AND($AK674=1,ISNUMBER($L674)),IF(AND($L674&gt;=ReportDate,$L674&lt;=ReportDate+DueSoonDays),1,0),0)</f>
        <v>0</v>
      </c>
      <c r="AQ674" s="71">
        <f>IF(AND($AK674=1,OR($I674="Critical",$I674="High")),1,0)</f>
        <v>0</v>
      </c>
      <c r="AR674" s="71">
        <f>IF($AK674=1,IF(ISNUMBER($Y674),IF(ReportDate-$Y674&gt;StaleDays,1,0),1),0)</f>
        <v>0</v>
      </c>
      <c r="AS674" s="71">
        <f>IF(AND($G674&lt;&gt;"",ISNUMBER($Q674),ISNUMBER($R674)),IF(AND($Q674&lt;$R674,OR($M674="Completed",AND(ISNUMBER($L674),$L674&lt;ReportDate))),1,0),0)</f>
        <v>0</v>
      </c>
      <c r="AT674" s="71">
        <f>IF($AK674=1,IF(OR($L674=ReportDate,$W674=ReportDate,$K674=ReportDate,$A674=ReportDate),1,0),0)</f>
        <v>0</v>
      </c>
      <c r="AU674" s="71">
        <f>IF($AK674=1,IF(OR($L674=ReportDate+1,$W674=ReportDate+1,$K674=ReportDate+1,$A674=ReportDate+1),1,0),0)</f>
        <v>0</v>
      </c>
      <c r="AV674" s="71">
        <f>IF(AND($G674&lt;&gt;"",$M674="Completed"),IF(OR($Y674=ReportDate-1,$A674=ReportDate-1),1,0),0)</f>
        <v>0</v>
      </c>
      <c r="AW674" s="71">
        <f>IF(AND($AK674=1,$Z674="Yes"),1,0)</f>
        <v>0</v>
      </c>
      <c r="AX674" s="71">
        <f>IF(AND($AK674=1,$AA674="Yes"),1,0)</f>
        <v>0</v>
      </c>
      <c r="AY674" s="71">
        <f>IF(AND($AM674=1,OR($I674="Critical",$I674="High")),1,0)</f>
        <v>0</v>
      </c>
      <c r="AZ674" s="71">
        <f>IF(AND($AK674=1,OR($C674=TCL_Client,$C674=MECCA_Client)),1,0)</f>
        <v>0</v>
      </c>
      <c r="BA674" s="71" t="str">
        <f>IF($G674="","",IFERROR(MATCH($I674,lst_Priority,0),5))</f>
        <v/>
      </c>
      <c r="BB674" s="71" t="str">
        <f>IF(AND($AL674=1,$AJ674=1),$BA674*100000+ROW(),"")</f>
        <v/>
      </c>
      <c r="BC674" s="71" t="str">
        <f>IF(AND($AM674=1,$AJ674=1),$BA674*100000+ROW(),"")</f>
        <v/>
      </c>
      <c r="BD674" s="71" t="str">
        <f>IF(AND($AP674=1,$AJ674=1),$BA674*100000+ROW(),"")</f>
        <v/>
      </c>
      <c r="BE674" s="71" t="str">
        <f>IF(AND($AT674=1,$AJ674=1),$BA674*100000+ROW(),"")</f>
        <v/>
      </c>
      <c r="BF674" s="71" t="str">
        <f>IF(AND($AU674=1,$AJ674=1),$BA674*100000+ROW(),"")</f>
        <v/>
      </c>
      <c r="BG674" s="71" t="str">
        <f>IF(AND($AV674=1,$AJ674=1),$BA674*100000+ROW(),"")</f>
        <v/>
      </c>
      <c r="BH674" s="71" t="str">
        <f>IF(AND($AW674=1,$AJ674=1),$BA674*100000+ROW(),"")</f>
        <v/>
      </c>
      <c r="BI674" s="71" t="str">
        <f>IF(AND($AX674=1,$AJ674=1),$BA674*100000+ROW(),"")</f>
        <v/>
      </c>
      <c r="BJ674" s="71" t="str">
        <f>IF(AND($AS674=1,$AJ674=1),$BA674*100000+ROW(),"")</f>
        <v/>
      </c>
      <c r="BK674" s="71" t="str">
        <f>IF(AND($AY674=1,$AJ674=1),$BA674*100000+ROW(),"")</f>
        <v/>
      </c>
      <c r="BL674" s="71" t="str">
        <f>IF(AND($AZ674=1),$BA674*100000+ROW(),"")</f>
        <v/>
      </c>
    </row>
    <row r="675">
      <c r="A675" s="63" t="n"/>
      <c r="B675" s="64" t="n"/>
      <c r="C675" s="64" t="n"/>
      <c r="D675" s="64" t="n"/>
      <c r="E675" s="64" t="n"/>
      <c r="F675" s="64" t="n"/>
      <c r="G675" s="65" t="n"/>
      <c r="H675" s="65" t="n"/>
      <c r="I675" s="64" t="n"/>
      <c r="J675" s="64" t="n"/>
      <c r="K675" s="63" t="n"/>
      <c r="L675" s="63" t="n"/>
      <c r="M675" s="64" t="n"/>
      <c r="N675" s="66" t="n"/>
      <c r="O675" s="65" t="n"/>
      <c r="P675" s="64" t="n"/>
      <c r="Q675" s="67" t="n"/>
      <c r="R675" s="67" t="n"/>
      <c r="S675" s="68" t="str">
        <f>IF(AND(ISNUMBER($Q675),ISNUMBER($R675)),$Q675-$R675,"")</f>
        <v/>
      </c>
      <c r="T675" s="65" t="n"/>
      <c r="U675" s="64" t="n"/>
      <c r="V675" s="65" t="n"/>
      <c r="W675" s="63" t="n"/>
      <c r="X675" s="65" t="n"/>
      <c r="Y675" s="63" t="n"/>
      <c r="Z675" s="64" t="n"/>
      <c r="AA675" s="64" t="n"/>
      <c r="AB675" s="65" t="n"/>
      <c r="AC675" s="69" t="str">
        <f>IF(OR($G675="",NOT(ISNUMBER($K675)),$AK675=0),"",MAX(0,ReportDate-$K675))</f>
        <v/>
      </c>
      <c r="AD675" s="69" t="str">
        <f>IF($G675="","",IF($AL675=1,ReportDate-$L675,0))</f>
        <v/>
      </c>
      <c r="AE675" s="70" t="str">
        <f>IF($G675="","",IF($M675="Completed",1,IF(ISNUMBER($N675),$N675,0)))</f>
        <v/>
      </c>
      <c r="AF675" s="70" t="str">
        <f>IF(AND(ISNUMBER($Q675),ISNUMBER($R675)),IF($R675&lt;&gt;0,$Q675/$R675,""),"")</f>
        <v/>
      </c>
      <c r="AG675" s="71" t="str">
        <f>IF($G675="","",IF($AL675=1,"OVERDUE",IF($AM675=1,"BLOCKED",IF($AN675=1,"DUE TODAY",IF($AO675=1,"DUE TOMORROW",IF($AQ675=1,"HIGH PRIORITY",IF($AR675=1,"NO RECENT UPDATE",""))))))) </f>
        <v/>
      </c>
      <c r="AH675" s="71" t="str">
        <f>IF($G675="","",IF(ISNUMBER($A675),IF(ISNUMBER($A675),YEAR($A675)&amp;"-"&amp;TEXT(MONTH($A675),"00"),""),IF(ISNUMBER($L675),IF(ISNUMBER($L675),YEAR($L675)&amp;"-"&amp;TEXT(MONTH($L675),"00"),""),"")))</f>
        <v/>
      </c>
      <c r="AI675" s="71">
        <f>IF($G675="",0,IF(AND(OR(fClient="All",$C675=fClient),OR(fCampaign="All",$D675=fCampaign),OR(fTeam="All",$B675=fTeam),OR(fChannel="All",$F675=fChannel),OR(fMonth="All",$AH675=fMonth),OR(fTStatus="All",$M675=fTStatus)),1,0))</f>
        <v>0</v>
      </c>
      <c r="AJ675" s="71">
        <f>IF($G675="",0,IF(AND(OR(fClient="All",$C675=fClient),OR(fCampaign="All",$D675=fCampaign),OR(fTeam="All",$B675=fTeam),OR(fChannel="All",$F675=fChannel)),1,0))</f>
        <v>0</v>
      </c>
      <c r="AK675" s="71">
        <f>IF($G675="",0,IF(OR($M675="Completed",$M675="Cancelled"),0,1))</f>
        <v>0</v>
      </c>
      <c r="AL675" s="71">
        <f>IF(AND($AK675=1,ISNUMBER($L675)),IF($L675&lt;ReportDate,1,0),0)</f>
        <v>0</v>
      </c>
      <c r="AM675" s="71">
        <f>IF(AND($G675&lt;&gt;"",$M675="Blocked"),1,0)</f>
        <v>0</v>
      </c>
      <c r="AN675" s="71">
        <f>IF(AND($AK675=1,ISNUMBER($L675)),IF($L675=ReportDate,1,0),0)</f>
        <v>0</v>
      </c>
      <c r="AO675" s="71">
        <f>IF(AND($AK675=1,ISNUMBER($L675)),IF($L675=ReportDate+1,1,0),0)</f>
        <v>0</v>
      </c>
      <c r="AP675" s="71">
        <f>IF(AND($AK675=1,ISNUMBER($L675)),IF(AND($L675&gt;=ReportDate,$L675&lt;=ReportDate+DueSoonDays),1,0),0)</f>
        <v>0</v>
      </c>
      <c r="AQ675" s="71">
        <f>IF(AND($AK675=1,OR($I675="Critical",$I675="High")),1,0)</f>
        <v>0</v>
      </c>
      <c r="AR675" s="71">
        <f>IF($AK675=1,IF(ISNUMBER($Y675),IF(ReportDate-$Y675&gt;StaleDays,1,0),1),0)</f>
        <v>0</v>
      </c>
      <c r="AS675" s="71">
        <f>IF(AND($G675&lt;&gt;"",ISNUMBER($Q675),ISNUMBER($R675)),IF(AND($Q675&lt;$R675,OR($M675="Completed",AND(ISNUMBER($L675),$L675&lt;ReportDate))),1,0),0)</f>
        <v>0</v>
      </c>
      <c r="AT675" s="71">
        <f>IF($AK675=1,IF(OR($L675=ReportDate,$W675=ReportDate,$K675=ReportDate,$A675=ReportDate),1,0),0)</f>
        <v>0</v>
      </c>
      <c r="AU675" s="71">
        <f>IF($AK675=1,IF(OR($L675=ReportDate+1,$W675=ReportDate+1,$K675=ReportDate+1,$A675=ReportDate+1),1,0),0)</f>
        <v>0</v>
      </c>
      <c r="AV675" s="71">
        <f>IF(AND($G675&lt;&gt;"",$M675="Completed"),IF(OR($Y675=ReportDate-1,$A675=ReportDate-1),1,0),0)</f>
        <v>0</v>
      </c>
      <c r="AW675" s="71">
        <f>IF(AND($AK675=1,$Z675="Yes"),1,0)</f>
        <v>0</v>
      </c>
      <c r="AX675" s="71">
        <f>IF(AND($AK675=1,$AA675="Yes"),1,0)</f>
        <v>0</v>
      </c>
      <c r="AY675" s="71">
        <f>IF(AND($AM675=1,OR($I675="Critical",$I675="High")),1,0)</f>
        <v>0</v>
      </c>
      <c r="AZ675" s="71">
        <f>IF(AND($AK675=1,OR($C675=TCL_Client,$C675=MECCA_Client)),1,0)</f>
        <v>0</v>
      </c>
      <c r="BA675" s="71" t="str">
        <f>IF($G675="","",IFERROR(MATCH($I675,lst_Priority,0),5))</f>
        <v/>
      </c>
      <c r="BB675" s="71" t="str">
        <f>IF(AND($AL675=1,$AJ675=1),$BA675*100000+ROW(),"")</f>
        <v/>
      </c>
      <c r="BC675" s="71" t="str">
        <f>IF(AND($AM675=1,$AJ675=1),$BA675*100000+ROW(),"")</f>
        <v/>
      </c>
      <c r="BD675" s="71" t="str">
        <f>IF(AND($AP675=1,$AJ675=1),$BA675*100000+ROW(),"")</f>
        <v/>
      </c>
      <c r="BE675" s="71" t="str">
        <f>IF(AND($AT675=1,$AJ675=1),$BA675*100000+ROW(),"")</f>
        <v/>
      </c>
      <c r="BF675" s="71" t="str">
        <f>IF(AND($AU675=1,$AJ675=1),$BA675*100000+ROW(),"")</f>
        <v/>
      </c>
      <c r="BG675" s="71" t="str">
        <f>IF(AND($AV675=1,$AJ675=1),$BA675*100000+ROW(),"")</f>
        <v/>
      </c>
      <c r="BH675" s="71" t="str">
        <f>IF(AND($AW675=1,$AJ675=1),$BA675*100000+ROW(),"")</f>
        <v/>
      </c>
      <c r="BI675" s="71" t="str">
        <f>IF(AND($AX675=1,$AJ675=1),$BA675*100000+ROW(),"")</f>
        <v/>
      </c>
      <c r="BJ675" s="71" t="str">
        <f>IF(AND($AS675=1,$AJ675=1),$BA675*100000+ROW(),"")</f>
        <v/>
      </c>
      <c r="BK675" s="71" t="str">
        <f>IF(AND($AY675=1,$AJ675=1),$BA675*100000+ROW(),"")</f>
        <v/>
      </c>
      <c r="BL675" s="71" t="str">
        <f>IF(AND($AZ675=1),$BA675*100000+ROW(),"")</f>
        <v/>
      </c>
    </row>
    <row r="676">
      <c r="A676" s="63" t="n"/>
      <c r="B676" s="64" t="n"/>
      <c r="C676" s="64" t="n"/>
      <c r="D676" s="64" t="n"/>
      <c r="E676" s="64" t="n"/>
      <c r="F676" s="64" t="n"/>
      <c r="G676" s="65" t="n"/>
      <c r="H676" s="65" t="n"/>
      <c r="I676" s="64" t="n"/>
      <c r="J676" s="64" t="n"/>
      <c r="K676" s="63" t="n"/>
      <c r="L676" s="63" t="n"/>
      <c r="M676" s="64" t="n"/>
      <c r="N676" s="66" t="n"/>
      <c r="O676" s="65" t="n"/>
      <c r="P676" s="64" t="n"/>
      <c r="Q676" s="67" t="n"/>
      <c r="R676" s="67" t="n"/>
      <c r="S676" s="68" t="str">
        <f>IF(AND(ISNUMBER($Q676),ISNUMBER($R676)),$Q676-$R676,"")</f>
        <v/>
      </c>
      <c r="T676" s="65" t="n"/>
      <c r="U676" s="64" t="n"/>
      <c r="V676" s="65" t="n"/>
      <c r="W676" s="63" t="n"/>
      <c r="X676" s="65" t="n"/>
      <c r="Y676" s="63" t="n"/>
      <c r="Z676" s="64" t="n"/>
      <c r="AA676" s="64" t="n"/>
      <c r="AB676" s="65" t="n"/>
      <c r="AC676" s="69" t="str">
        <f>IF(OR($G676="",NOT(ISNUMBER($K676)),$AK676=0),"",MAX(0,ReportDate-$K676))</f>
        <v/>
      </c>
      <c r="AD676" s="69" t="str">
        <f>IF($G676="","",IF($AL676=1,ReportDate-$L676,0))</f>
        <v/>
      </c>
      <c r="AE676" s="70" t="str">
        <f>IF($G676="","",IF($M676="Completed",1,IF(ISNUMBER($N676),$N676,0)))</f>
        <v/>
      </c>
      <c r="AF676" s="70" t="str">
        <f>IF(AND(ISNUMBER($Q676),ISNUMBER($R676)),IF($R676&lt;&gt;0,$Q676/$R676,""),"")</f>
        <v/>
      </c>
      <c r="AG676" s="71" t="str">
        <f>IF($G676="","",IF($AL676=1,"OVERDUE",IF($AM676=1,"BLOCKED",IF($AN676=1,"DUE TODAY",IF($AO676=1,"DUE TOMORROW",IF($AQ676=1,"HIGH PRIORITY",IF($AR676=1,"NO RECENT UPDATE",""))))))) </f>
        <v/>
      </c>
      <c r="AH676" s="71" t="str">
        <f>IF($G676="","",IF(ISNUMBER($A676),IF(ISNUMBER($A676),YEAR($A676)&amp;"-"&amp;TEXT(MONTH($A676),"00"),""),IF(ISNUMBER($L676),IF(ISNUMBER($L676),YEAR($L676)&amp;"-"&amp;TEXT(MONTH($L676),"00"),""),"")))</f>
        <v/>
      </c>
      <c r="AI676" s="71">
        <f>IF($G676="",0,IF(AND(OR(fClient="All",$C676=fClient),OR(fCampaign="All",$D676=fCampaign),OR(fTeam="All",$B676=fTeam),OR(fChannel="All",$F676=fChannel),OR(fMonth="All",$AH676=fMonth),OR(fTStatus="All",$M676=fTStatus)),1,0))</f>
        <v>0</v>
      </c>
      <c r="AJ676" s="71">
        <f>IF($G676="",0,IF(AND(OR(fClient="All",$C676=fClient),OR(fCampaign="All",$D676=fCampaign),OR(fTeam="All",$B676=fTeam),OR(fChannel="All",$F676=fChannel)),1,0))</f>
        <v>0</v>
      </c>
      <c r="AK676" s="71">
        <f>IF($G676="",0,IF(OR($M676="Completed",$M676="Cancelled"),0,1))</f>
        <v>0</v>
      </c>
      <c r="AL676" s="71">
        <f>IF(AND($AK676=1,ISNUMBER($L676)),IF($L676&lt;ReportDate,1,0),0)</f>
        <v>0</v>
      </c>
      <c r="AM676" s="71">
        <f>IF(AND($G676&lt;&gt;"",$M676="Blocked"),1,0)</f>
        <v>0</v>
      </c>
      <c r="AN676" s="71">
        <f>IF(AND($AK676=1,ISNUMBER($L676)),IF($L676=ReportDate,1,0),0)</f>
        <v>0</v>
      </c>
      <c r="AO676" s="71">
        <f>IF(AND($AK676=1,ISNUMBER($L676)),IF($L676=ReportDate+1,1,0),0)</f>
        <v>0</v>
      </c>
      <c r="AP676" s="71">
        <f>IF(AND($AK676=1,ISNUMBER($L676)),IF(AND($L676&gt;=ReportDate,$L676&lt;=ReportDate+DueSoonDays),1,0),0)</f>
        <v>0</v>
      </c>
      <c r="AQ676" s="71">
        <f>IF(AND($AK676=1,OR($I676="Critical",$I676="High")),1,0)</f>
        <v>0</v>
      </c>
      <c r="AR676" s="71">
        <f>IF($AK676=1,IF(ISNUMBER($Y676),IF(ReportDate-$Y676&gt;StaleDays,1,0),1),0)</f>
        <v>0</v>
      </c>
      <c r="AS676" s="71">
        <f>IF(AND($G676&lt;&gt;"",ISNUMBER($Q676),ISNUMBER($R676)),IF(AND($Q676&lt;$R676,OR($M676="Completed",AND(ISNUMBER($L676),$L676&lt;ReportDate))),1,0),0)</f>
        <v>0</v>
      </c>
      <c r="AT676" s="71">
        <f>IF($AK676=1,IF(OR($L676=ReportDate,$W676=ReportDate,$K676=ReportDate,$A676=ReportDate),1,0),0)</f>
        <v>0</v>
      </c>
      <c r="AU676" s="71">
        <f>IF($AK676=1,IF(OR($L676=ReportDate+1,$W676=ReportDate+1,$K676=ReportDate+1,$A676=ReportDate+1),1,0),0)</f>
        <v>0</v>
      </c>
      <c r="AV676" s="71">
        <f>IF(AND($G676&lt;&gt;"",$M676="Completed"),IF(OR($Y676=ReportDate-1,$A676=ReportDate-1),1,0),0)</f>
        <v>0</v>
      </c>
      <c r="AW676" s="71">
        <f>IF(AND($AK676=1,$Z676="Yes"),1,0)</f>
        <v>0</v>
      </c>
      <c r="AX676" s="71">
        <f>IF(AND($AK676=1,$AA676="Yes"),1,0)</f>
        <v>0</v>
      </c>
      <c r="AY676" s="71">
        <f>IF(AND($AM676=1,OR($I676="Critical",$I676="High")),1,0)</f>
        <v>0</v>
      </c>
      <c r="AZ676" s="71">
        <f>IF(AND($AK676=1,OR($C676=TCL_Client,$C676=MECCA_Client)),1,0)</f>
        <v>0</v>
      </c>
      <c r="BA676" s="71" t="str">
        <f>IF($G676="","",IFERROR(MATCH($I676,lst_Priority,0),5))</f>
        <v/>
      </c>
      <c r="BB676" s="71" t="str">
        <f>IF(AND($AL676=1,$AJ676=1),$BA676*100000+ROW(),"")</f>
        <v/>
      </c>
      <c r="BC676" s="71" t="str">
        <f>IF(AND($AM676=1,$AJ676=1),$BA676*100000+ROW(),"")</f>
        <v/>
      </c>
      <c r="BD676" s="71" t="str">
        <f>IF(AND($AP676=1,$AJ676=1),$BA676*100000+ROW(),"")</f>
        <v/>
      </c>
      <c r="BE676" s="71" t="str">
        <f>IF(AND($AT676=1,$AJ676=1),$BA676*100000+ROW(),"")</f>
        <v/>
      </c>
      <c r="BF676" s="71" t="str">
        <f>IF(AND($AU676=1,$AJ676=1),$BA676*100000+ROW(),"")</f>
        <v/>
      </c>
      <c r="BG676" s="71" t="str">
        <f>IF(AND($AV676=1,$AJ676=1),$BA676*100000+ROW(),"")</f>
        <v/>
      </c>
      <c r="BH676" s="71" t="str">
        <f>IF(AND($AW676=1,$AJ676=1),$BA676*100000+ROW(),"")</f>
        <v/>
      </c>
      <c r="BI676" s="71" t="str">
        <f>IF(AND($AX676=1,$AJ676=1),$BA676*100000+ROW(),"")</f>
        <v/>
      </c>
      <c r="BJ676" s="71" t="str">
        <f>IF(AND($AS676=1,$AJ676=1),$BA676*100000+ROW(),"")</f>
        <v/>
      </c>
      <c r="BK676" s="71" t="str">
        <f>IF(AND($AY676=1,$AJ676=1),$BA676*100000+ROW(),"")</f>
        <v/>
      </c>
      <c r="BL676" s="71" t="str">
        <f>IF(AND($AZ676=1),$BA676*100000+ROW(),"")</f>
        <v/>
      </c>
    </row>
    <row r="677">
      <c r="A677" s="63" t="n"/>
      <c r="B677" s="64" t="n"/>
      <c r="C677" s="64" t="n"/>
      <c r="D677" s="64" t="n"/>
      <c r="E677" s="64" t="n"/>
      <c r="F677" s="64" t="n"/>
      <c r="G677" s="65" t="n"/>
      <c r="H677" s="65" t="n"/>
      <c r="I677" s="64" t="n"/>
      <c r="J677" s="64" t="n"/>
      <c r="K677" s="63" t="n"/>
      <c r="L677" s="63" t="n"/>
      <c r="M677" s="64" t="n"/>
      <c r="N677" s="66" t="n"/>
      <c r="O677" s="65" t="n"/>
      <c r="P677" s="64" t="n"/>
      <c r="Q677" s="67" t="n"/>
      <c r="R677" s="67" t="n"/>
      <c r="S677" s="68" t="str">
        <f>IF(AND(ISNUMBER($Q677),ISNUMBER($R677)),$Q677-$R677,"")</f>
        <v/>
      </c>
      <c r="T677" s="65" t="n"/>
      <c r="U677" s="64" t="n"/>
      <c r="V677" s="65" t="n"/>
      <c r="W677" s="63" t="n"/>
      <c r="X677" s="65" t="n"/>
      <c r="Y677" s="63" t="n"/>
      <c r="Z677" s="64" t="n"/>
      <c r="AA677" s="64" t="n"/>
      <c r="AB677" s="65" t="n"/>
      <c r="AC677" s="69" t="str">
        <f>IF(OR($G677="",NOT(ISNUMBER($K677)),$AK677=0),"",MAX(0,ReportDate-$K677))</f>
        <v/>
      </c>
      <c r="AD677" s="69" t="str">
        <f>IF($G677="","",IF($AL677=1,ReportDate-$L677,0))</f>
        <v/>
      </c>
      <c r="AE677" s="70" t="str">
        <f>IF($G677="","",IF($M677="Completed",1,IF(ISNUMBER($N677),$N677,0)))</f>
        <v/>
      </c>
      <c r="AF677" s="70" t="str">
        <f>IF(AND(ISNUMBER($Q677),ISNUMBER($R677)),IF($R677&lt;&gt;0,$Q677/$R677,""),"")</f>
        <v/>
      </c>
      <c r="AG677" s="71" t="str">
        <f>IF($G677="","",IF($AL677=1,"OVERDUE",IF($AM677=1,"BLOCKED",IF($AN677=1,"DUE TODAY",IF($AO677=1,"DUE TOMORROW",IF($AQ677=1,"HIGH PRIORITY",IF($AR677=1,"NO RECENT UPDATE",""))))))) </f>
        <v/>
      </c>
      <c r="AH677" s="71" t="str">
        <f>IF($G677="","",IF(ISNUMBER($A677),IF(ISNUMBER($A677),YEAR($A677)&amp;"-"&amp;TEXT(MONTH($A677),"00"),""),IF(ISNUMBER($L677),IF(ISNUMBER($L677),YEAR($L677)&amp;"-"&amp;TEXT(MONTH($L677),"00"),""),"")))</f>
        <v/>
      </c>
      <c r="AI677" s="71">
        <f>IF($G677="",0,IF(AND(OR(fClient="All",$C677=fClient),OR(fCampaign="All",$D677=fCampaign),OR(fTeam="All",$B677=fTeam),OR(fChannel="All",$F677=fChannel),OR(fMonth="All",$AH677=fMonth),OR(fTStatus="All",$M677=fTStatus)),1,0))</f>
        <v>0</v>
      </c>
      <c r="AJ677" s="71">
        <f>IF($G677="",0,IF(AND(OR(fClient="All",$C677=fClient),OR(fCampaign="All",$D677=fCampaign),OR(fTeam="All",$B677=fTeam),OR(fChannel="All",$F677=fChannel)),1,0))</f>
        <v>0</v>
      </c>
      <c r="AK677" s="71">
        <f>IF($G677="",0,IF(OR($M677="Completed",$M677="Cancelled"),0,1))</f>
        <v>0</v>
      </c>
      <c r="AL677" s="71">
        <f>IF(AND($AK677=1,ISNUMBER($L677)),IF($L677&lt;ReportDate,1,0),0)</f>
        <v>0</v>
      </c>
      <c r="AM677" s="71">
        <f>IF(AND($G677&lt;&gt;"",$M677="Blocked"),1,0)</f>
        <v>0</v>
      </c>
      <c r="AN677" s="71">
        <f>IF(AND($AK677=1,ISNUMBER($L677)),IF($L677=ReportDate,1,0),0)</f>
        <v>0</v>
      </c>
      <c r="AO677" s="71">
        <f>IF(AND($AK677=1,ISNUMBER($L677)),IF($L677=ReportDate+1,1,0),0)</f>
        <v>0</v>
      </c>
      <c r="AP677" s="71">
        <f>IF(AND($AK677=1,ISNUMBER($L677)),IF(AND($L677&gt;=ReportDate,$L677&lt;=ReportDate+DueSoonDays),1,0),0)</f>
        <v>0</v>
      </c>
      <c r="AQ677" s="71">
        <f>IF(AND($AK677=1,OR($I677="Critical",$I677="High")),1,0)</f>
        <v>0</v>
      </c>
      <c r="AR677" s="71">
        <f>IF($AK677=1,IF(ISNUMBER($Y677),IF(ReportDate-$Y677&gt;StaleDays,1,0),1),0)</f>
        <v>0</v>
      </c>
      <c r="AS677" s="71">
        <f>IF(AND($G677&lt;&gt;"",ISNUMBER($Q677),ISNUMBER($R677)),IF(AND($Q677&lt;$R677,OR($M677="Completed",AND(ISNUMBER($L677),$L677&lt;ReportDate))),1,0),0)</f>
        <v>0</v>
      </c>
      <c r="AT677" s="71">
        <f>IF($AK677=1,IF(OR($L677=ReportDate,$W677=ReportDate,$K677=ReportDate,$A677=ReportDate),1,0),0)</f>
        <v>0</v>
      </c>
      <c r="AU677" s="71">
        <f>IF($AK677=1,IF(OR($L677=ReportDate+1,$W677=ReportDate+1,$K677=ReportDate+1,$A677=ReportDate+1),1,0),0)</f>
        <v>0</v>
      </c>
      <c r="AV677" s="71">
        <f>IF(AND($G677&lt;&gt;"",$M677="Completed"),IF(OR($Y677=ReportDate-1,$A677=ReportDate-1),1,0),0)</f>
        <v>0</v>
      </c>
      <c r="AW677" s="71">
        <f>IF(AND($AK677=1,$Z677="Yes"),1,0)</f>
        <v>0</v>
      </c>
      <c r="AX677" s="71">
        <f>IF(AND($AK677=1,$AA677="Yes"),1,0)</f>
        <v>0</v>
      </c>
      <c r="AY677" s="71">
        <f>IF(AND($AM677=1,OR($I677="Critical",$I677="High")),1,0)</f>
        <v>0</v>
      </c>
      <c r="AZ677" s="71">
        <f>IF(AND($AK677=1,OR($C677=TCL_Client,$C677=MECCA_Client)),1,0)</f>
        <v>0</v>
      </c>
      <c r="BA677" s="71" t="str">
        <f>IF($G677="","",IFERROR(MATCH($I677,lst_Priority,0),5))</f>
        <v/>
      </c>
      <c r="BB677" s="71" t="str">
        <f>IF(AND($AL677=1,$AJ677=1),$BA677*100000+ROW(),"")</f>
        <v/>
      </c>
      <c r="BC677" s="71" t="str">
        <f>IF(AND($AM677=1,$AJ677=1),$BA677*100000+ROW(),"")</f>
        <v/>
      </c>
      <c r="BD677" s="71" t="str">
        <f>IF(AND($AP677=1,$AJ677=1),$BA677*100000+ROW(),"")</f>
        <v/>
      </c>
      <c r="BE677" s="71" t="str">
        <f>IF(AND($AT677=1,$AJ677=1),$BA677*100000+ROW(),"")</f>
        <v/>
      </c>
      <c r="BF677" s="71" t="str">
        <f>IF(AND($AU677=1,$AJ677=1),$BA677*100000+ROW(),"")</f>
        <v/>
      </c>
      <c r="BG677" s="71" t="str">
        <f>IF(AND($AV677=1,$AJ677=1),$BA677*100000+ROW(),"")</f>
        <v/>
      </c>
      <c r="BH677" s="71" t="str">
        <f>IF(AND($AW677=1,$AJ677=1),$BA677*100000+ROW(),"")</f>
        <v/>
      </c>
      <c r="BI677" s="71" t="str">
        <f>IF(AND($AX677=1,$AJ677=1),$BA677*100000+ROW(),"")</f>
        <v/>
      </c>
      <c r="BJ677" s="71" t="str">
        <f>IF(AND($AS677=1,$AJ677=1),$BA677*100000+ROW(),"")</f>
        <v/>
      </c>
      <c r="BK677" s="71" t="str">
        <f>IF(AND($AY677=1,$AJ677=1),$BA677*100000+ROW(),"")</f>
        <v/>
      </c>
      <c r="BL677" s="71" t="str">
        <f>IF(AND($AZ677=1),$BA677*100000+ROW(),"")</f>
        <v/>
      </c>
    </row>
    <row r="678">
      <c r="A678" s="63" t="n"/>
      <c r="B678" s="64" t="n"/>
      <c r="C678" s="64" t="n"/>
      <c r="D678" s="64" t="n"/>
      <c r="E678" s="64" t="n"/>
      <c r="F678" s="64" t="n"/>
      <c r="G678" s="65" t="n"/>
      <c r="H678" s="65" t="n"/>
      <c r="I678" s="64" t="n"/>
      <c r="J678" s="64" t="n"/>
      <c r="K678" s="63" t="n"/>
      <c r="L678" s="63" t="n"/>
      <c r="M678" s="64" t="n"/>
      <c r="N678" s="66" t="n"/>
      <c r="O678" s="65" t="n"/>
      <c r="P678" s="64" t="n"/>
      <c r="Q678" s="67" t="n"/>
      <c r="R678" s="67" t="n"/>
      <c r="S678" s="68" t="str">
        <f>IF(AND(ISNUMBER($Q678),ISNUMBER($R678)),$Q678-$R678,"")</f>
        <v/>
      </c>
      <c r="T678" s="65" t="n"/>
      <c r="U678" s="64" t="n"/>
      <c r="V678" s="65" t="n"/>
      <c r="W678" s="63" t="n"/>
      <c r="X678" s="65" t="n"/>
      <c r="Y678" s="63" t="n"/>
      <c r="Z678" s="64" t="n"/>
      <c r="AA678" s="64" t="n"/>
      <c r="AB678" s="65" t="n"/>
      <c r="AC678" s="69" t="str">
        <f>IF(OR($G678="",NOT(ISNUMBER($K678)),$AK678=0),"",MAX(0,ReportDate-$K678))</f>
        <v/>
      </c>
      <c r="AD678" s="69" t="str">
        <f>IF($G678="","",IF($AL678=1,ReportDate-$L678,0))</f>
        <v/>
      </c>
      <c r="AE678" s="70" t="str">
        <f>IF($G678="","",IF($M678="Completed",1,IF(ISNUMBER($N678),$N678,0)))</f>
        <v/>
      </c>
      <c r="AF678" s="70" t="str">
        <f>IF(AND(ISNUMBER($Q678),ISNUMBER($R678)),IF($R678&lt;&gt;0,$Q678/$R678,""),"")</f>
        <v/>
      </c>
      <c r="AG678" s="71" t="str">
        <f>IF($G678="","",IF($AL678=1,"OVERDUE",IF($AM678=1,"BLOCKED",IF($AN678=1,"DUE TODAY",IF($AO678=1,"DUE TOMORROW",IF($AQ678=1,"HIGH PRIORITY",IF($AR678=1,"NO RECENT UPDATE",""))))))) </f>
        <v/>
      </c>
      <c r="AH678" s="71" t="str">
        <f>IF($G678="","",IF(ISNUMBER($A678),IF(ISNUMBER($A678),YEAR($A678)&amp;"-"&amp;TEXT(MONTH($A678),"00"),""),IF(ISNUMBER($L678),IF(ISNUMBER($L678),YEAR($L678)&amp;"-"&amp;TEXT(MONTH($L678),"00"),""),"")))</f>
        <v/>
      </c>
      <c r="AI678" s="71">
        <f>IF($G678="",0,IF(AND(OR(fClient="All",$C678=fClient),OR(fCampaign="All",$D678=fCampaign),OR(fTeam="All",$B678=fTeam),OR(fChannel="All",$F678=fChannel),OR(fMonth="All",$AH678=fMonth),OR(fTStatus="All",$M678=fTStatus)),1,0))</f>
        <v>0</v>
      </c>
      <c r="AJ678" s="71">
        <f>IF($G678="",0,IF(AND(OR(fClient="All",$C678=fClient),OR(fCampaign="All",$D678=fCampaign),OR(fTeam="All",$B678=fTeam),OR(fChannel="All",$F678=fChannel)),1,0))</f>
        <v>0</v>
      </c>
      <c r="AK678" s="71">
        <f>IF($G678="",0,IF(OR($M678="Completed",$M678="Cancelled"),0,1))</f>
        <v>0</v>
      </c>
      <c r="AL678" s="71">
        <f>IF(AND($AK678=1,ISNUMBER($L678)),IF($L678&lt;ReportDate,1,0),0)</f>
        <v>0</v>
      </c>
      <c r="AM678" s="71">
        <f>IF(AND($G678&lt;&gt;"",$M678="Blocked"),1,0)</f>
        <v>0</v>
      </c>
      <c r="AN678" s="71">
        <f>IF(AND($AK678=1,ISNUMBER($L678)),IF($L678=ReportDate,1,0),0)</f>
        <v>0</v>
      </c>
      <c r="AO678" s="71">
        <f>IF(AND($AK678=1,ISNUMBER($L678)),IF($L678=ReportDate+1,1,0),0)</f>
        <v>0</v>
      </c>
      <c r="AP678" s="71">
        <f>IF(AND($AK678=1,ISNUMBER($L678)),IF(AND($L678&gt;=ReportDate,$L678&lt;=ReportDate+DueSoonDays),1,0),0)</f>
        <v>0</v>
      </c>
      <c r="AQ678" s="71">
        <f>IF(AND($AK678=1,OR($I678="Critical",$I678="High")),1,0)</f>
        <v>0</v>
      </c>
      <c r="AR678" s="71">
        <f>IF($AK678=1,IF(ISNUMBER($Y678),IF(ReportDate-$Y678&gt;StaleDays,1,0),1),0)</f>
        <v>0</v>
      </c>
      <c r="AS678" s="71">
        <f>IF(AND($G678&lt;&gt;"",ISNUMBER($Q678),ISNUMBER($R678)),IF(AND($Q678&lt;$R678,OR($M678="Completed",AND(ISNUMBER($L678),$L678&lt;ReportDate))),1,0),0)</f>
        <v>0</v>
      </c>
      <c r="AT678" s="71">
        <f>IF($AK678=1,IF(OR($L678=ReportDate,$W678=ReportDate,$K678=ReportDate,$A678=ReportDate),1,0),0)</f>
        <v>0</v>
      </c>
      <c r="AU678" s="71">
        <f>IF($AK678=1,IF(OR($L678=ReportDate+1,$W678=ReportDate+1,$K678=ReportDate+1,$A678=ReportDate+1),1,0),0)</f>
        <v>0</v>
      </c>
      <c r="AV678" s="71">
        <f>IF(AND($G678&lt;&gt;"",$M678="Completed"),IF(OR($Y678=ReportDate-1,$A678=ReportDate-1),1,0),0)</f>
        <v>0</v>
      </c>
      <c r="AW678" s="71">
        <f>IF(AND($AK678=1,$Z678="Yes"),1,0)</f>
        <v>0</v>
      </c>
      <c r="AX678" s="71">
        <f>IF(AND($AK678=1,$AA678="Yes"),1,0)</f>
        <v>0</v>
      </c>
      <c r="AY678" s="71">
        <f>IF(AND($AM678=1,OR($I678="Critical",$I678="High")),1,0)</f>
        <v>0</v>
      </c>
      <c r="AZ678" s="71">
        <f>IF(AND($AK678=1,OR($C678=TCL_Client,$C678=MECCA_Client)),1,0)</f>
        <v>0</v>
      </c>
      <c r="BA678" s="71" t="str">
        <f>IF($G678="","",IFERROR(MATCH($I678,lst_Priority,0),5))</f>
        <v/>
      </c>
      <c r="BB678" s="71" t="str">
        <f>IF(AND($AL678=1,$AJ678=1),$BA678*100000+ROW(),"")</f>
        <v/>
      </c>
      <c r="BC678" s="71" t="str">
        <f>IF(AND($AM678=1,$AJ678=1),$BA678*100000+ROW(),"")</f>
        <v/>
      </c>
      <c r="BD678" s="71" t="str">
        <f>IF(AND($AP678=1,$AJ678=1),$BA678*100000+ROW(),"")</f>
        <v/>
      </c>
      <c r="BE678" s="71" t="str">
        <f>IF(AND($AT678=1,$AJ678=1),$BA678*100000+ROW(),"")</f>
        <v/>
      </c>
      <c r="BF678" s="71" t="str">
        <f>IF(AND($AU678=1,$AJ678=1),$BA678*100000+ROW(),"")</f>
        <v/>
      </c>
      <c r="BG678" s="71" t="str">
        <f>IF(AND($AV678=1,$AJ678=1),$BA678*100000+ROW(),"")</f>
        <v/>
      </c>
      <c r="BH678" s="71" t="str">
        <f>IF(AND($AW678=1,$AJ678=1),$BA678*100000+ROW(),"")</f>
        <v/>
      </c>
      <c r="BI678" s="71" t="str">
        <f>IF(AND($AX678=1,$AJ678=1),$BA678*100000+ROW(),"")</f>
        <v/>
      </c>
      <c r="BJ678" s="71" t="str">
        <f>IF(AND($AS678=1,$AJ678=1),$BA678*100000+ROW(),"")</f>
        <v/>
      </c>
      <c r="BK678" s="71" t="str">
        <f>IF(AND($AY678=1,$AJ678=1),$BA678*100000+ROW(),"")</f>
        <v/>
      </c>
      <c r="BL678" s="71" t="str">
        <f>IF(AND($AZ678=1),$BA678*100000+ROW(),"")</f>
        <v/>
      </c>
    </row>
    <row r="679">
      <c r="A679" s="63" t="n"/>
      <c r="B679" s="64" t="n"/>
      <c r="C679" s="64" t="n"/>
      <c r="D679" s="64" t="n"/>
      <c r="E679" s="64" t="n"/>
      <c r="F679" s="64" t="n"/>
      <c r="G679" s="65" t="n"/>
      <c r="H679" s="65" t="n"/>
      <c r="I679" s="64" t="n"/>
      <c r="J679" s="64" t="n"/>
      <c r="K679" s="63" t="n"/>
      <c r="L679" s="63" t="n"/>
      <c r="M679" s="64" t="n"/>
      <c r="N679" s="66" t="n"/>
      <c r="O679" s="65" t="n"/>
      <c r="P679" s="64" t="n"/>
      <c r="Q679" s="67" t="n"/>
      <c r="R679" s="67" t="n"/>
      <c r="S679" s="68" t="str">
        <f>IF(AND(ISNUMBER($Q679),ISNUMBER($R679)),$Q679-$R679,"")</f>
        <v/>
      </c>
      <c r="T679" s="65" t="n"/>
      <c r="U679" s="64" t="n"/>
      <c r="V679" s="65" t="n"/>
      <c r="W679" s="63" t="n"/>
      <c r="X679" s="65" t="n"/>
      <c r="Y679" s="63" t="n"/>
      <c r="Z679" s="64" t="n"/>
      <c r="AA679" s="64" t="n"/>
      <c r="AB679" s="65" t="n"/>
      <c r="AC679" s="69" t="str">
        <f>IF(OR($G679="",NOT(ISNUMBER($K679)),$AK679=0),"",MAX(0,ReportDate-$K679))</f>
        <v/>
      </c>
      <c r="AD679" s="69" t="str">
        <f>IF($G679="","",IF($AL679=1,ReportDate-$L679,0))</f>
        <v/>
      </c>
      <c r="AE679" s="70" t="str">
        <f>IF($G679="","",IF($M679="Completed",1,IF(ISNUMBER($N679),$N679,0)))</f>
        <v/>
      </c>
      <c r="AF679" s="70" t="str">
        <f>IF(AND(ISNUMBER($Q679),ISNUMBER($R679)),IF($R679&lt;&gt;0,$Q679/$R679,""),"")</f>
        <v/>
      </c>
      <c r="AG679" s="71" t="str">
        <f>IF($G679="","",IF($AL679=1,"OVERDUE",IF($AM679=1,"BLOCKED",IF($AN679=1,"DUE TODAY",IF($AO679=1,"DUE TOMORROW",IF($AQ679=1,"HIGH PRIORITY",IF($AR679=1,"NO RECENT UPDATE",""))))))) </f>
        <v/>
      </c>
      <c r="AH679" s="71" t="str">
        <f>IF($G679="","",IF(ISNUMBER($A679),IF(ISNUMBER($A679),YEAR($A679)&amp;"-"&amp;TEXT(MONTH($A679),"00"),""),IF(ISNUMBER($L679),IF(ISNUMBER($L679),YEAR($L679)&amp;"-"&amp;TEXT(MONTH($L679),"00"),""),"")))</f>
        <v/>
      </c>
      <c r="AI679" s="71">
        <f>IF($G679="",0,IF(AND(OR(fClient="All",$C679=fClient),OR(fCampaign="All",$D679=fCampaign),OR(fTeam="All",$B679=fTeam),OR(fChannel="All",$F679=fChannel),OR(fMonth="All",$AH679=fMonth),OR(fTStatus="All",$M679=fTStatus)),1,0))</f>
        <v>0</v>
      </c>
      <c r="AJ679" s="71">
        <f>IF($G679="",0,IF(AND(OR(fClient="All",$C679=fClient),OR(fCampaign="All",$D679=fCampaign),OR(fTeam="All",$B679=fTeam),OR(fChannel="All",$F679=fChannel)),1,0))</f>
        <v>0</v>
      </c>
      <c r="AK679" s="71">
        <f>IF($G679="",0,IF(OR($M679="Completed",$M679="Cancelled"),0,1))</f>
        <v>0</v>
      </c>
      <c r="AL679" s="71">
        <f>IF(AND($AK679=1,ISNUMBER($L679)),IF($L679&lt;ReportDate,1,0),0)</f>
        <v>0</v>
      </c>
      <c r="AM679" s="71">
        <f>IF(AND($G679&lt;&gt;"",$M679="Blocked"),1,0)</f>
        <v>0</v>
      </c>
      <c r="AN679" s="71">
        <f>IF(AND($AK679=1,ISNUMBER($L679)),IF($L679=ReportDate,1,0),0)</f>
        <v>0</v>
      </c>
      <c r="AO679" s="71">
        <f>IF(AND($AK679=1,ISNUMBER($L679)),IF($L679=ReportDate+1,1,0),0)</f>
        <v>0</v>
      </c>
      <c r="AP679" s="71">
        <f>IF(AND($AK679=1,ISNUMBER($L679)),IF(AND($L679&gt;=ReportDate,$L679&lt;=ReportDate+DueSoonDays),1,0),0)</f>
        <v>0</v>
      </c>
      <c r="AQ679" s="71">
        <f>IF(AND($AK679=1,OR($I679="Critical",$I679="High")),1,0)</f>
        <v>0</v>
      </c>
      <c r="AR679" s="71">
        <f>IF($AK679=1,IF(ISNUMBER($Y679),IF(ReportDate-$Y679&gt;StaleDays,1,0),1),0)</f>
        <v>0</v>
      </c>
      <c r="AS679" s="71">
        <f>IF(AND($G679&lt;&gt;"",ISNUMBER($Q679),ISNUMBER($R679)),IF(AND($Q679&lt;$R679,OR($M679="Completed",AND(ISNUMBER($L679),$L679&lt;ReportDate))),1,0),0)</f>
        <v>0</v>
      </c>
      <c r="AT679" s="71">
        <f>IF($AK679=1,IF(OR($L679=ReportDate,$W679=ReportDate,$K679=ReportDate,$A679=ReportDate),1,0),0)</f>
        <v>0</v>
      </c>
      <c r="AU679" s="71">
        <f>IF($AK679=1,IF(OR($L679=ReportDate+1,$W679=ReportDate+1,$K679=ReportDate+1,$A679=ReportDate+1),1,0),0)</f>
        <v>0</v>
      </c>
      <c r="AV679" s="71">
        <f>IF(AND($G679&lt;&gt;"",$M679="Completed"),IF(OR($Y679=ReportDate-1,$A679=ReportDate-1),1,0),0)</f>
        <v>0</v>
      </c>
      <c r="AW679" s="71">
        <f>IF(AND($AK679=1,$Z679="Yes"),1,0)</f>
        <v>0</v>
      </c>
      <c r="AX679" s="71">
        <f>IF(AND($AK679=1,$AA679="Yes"),1,0)</f>
        <v>0</v>
      </c>
      <c r="AY679" s="71">
        <f>IF(AND($AM679=1,OR($I679="Critical",$I679="High")),1,0)</f>
        <v>0</v>
      </c>
      <c r="AZ679" s="71">
        <f>IF(AND($AK679=1,OR($C679=TCL_Client,$C679=MECCA_Client)),1,0)</f>
        <v>0</v>
      </c>
      <c r="BA679" s="71" t="str">
        <f>IF($G679="","",IFERROR(MATCH($I679,lst_Priority,0),5))</f>
        <v/>
      </c>
      <c r="BB679" s="71" t="str">
        <f>IF(AND($AL679=1,$AJ679=1),$BA679*100000+ROW(),"")</f>
        <v/>
      </c>
      <c r="BC679" s="71" t="str">
        <f>IF(AND($AM679=1,$AJ679=1),$BA679*100000+ROW(),"")</f>
        <v/>
      </c>
      <c r="BD679" s="71" t="str">
        <f>IF(AND($AP679=1,$AJ679=1),$BA679*100000+ROW(),"")</f>
        <v/>
      </c>
      <c r="BE679" s="71" t="str">
        <f>IF(AND($AT679=1,$AJ679=1),$BA679*100000+ROW(),"")</f>
        <v/>
      </c>
      <c r="BF679" s="71" t="str">
        <f>IF(AND($AU679=1,$AJ679=1),$BA679*100000+ROW(),"")</f>
        <v/>
      </c>
      <c r="BG679" s="71" t="str">
        <f>IF(AND($AV679=1,$AJ679=1),$BA679*100000+ROW(),"")</f>
        <v/>
      </c>
      <c r="BH679" s="71" t="str">
        <f>IF(AND($AW679=1,$AJ679=1),$BA679*100000+ROW(),"")</f>
        <v/>
      </c>
      <c r="BI679" s="71" t="str">
        <f>IF(AND($AX679=1,$AJ679=1),$BA679*100000+ROW(),"")</f>
        <v/>
      </c>
      <c r="BJ679" s="71" t="str">
        <f>IF(AND($AS679=1,$AJ679=1),$BA679*100000+ROW(),"")</f>
        <v/>
      </c>
      <c r="BK679" s="71" t="str">
        <f>IF(AND($AY679=1,$AJ679=1),$BA679*100000+ROW(),"")</f>
        <v/>
      </c>
      <c r="BL679" s="71" t="str">
        <f>IF(AND($AZ679=1),$BA679*100000+ROW(),"")</f>
        <v/>
      </c>
    </row>
    <row r="680">
      <c r="A680" s="63" t="n"/>
      <c r="B680" s="64" t="n"/>
      <c r="C680" s="64" t="n"/>
      <c r="D680" s="64" t="n"/>
      <c r="E680" s="64" t="n"/>
      <c r="F680" s="64" t="n"/>
      <c r="G680" s="65" t="n"/>
      <c r="H680" s="65" t="n"/>
      <c r="I680" s="64" t="n"/>
      <c r="J680" s="64" t="n"/>
      <c r="K680" s="63" t="n"/>
      <c r="L680" s="63" t="n"/>
      <c r="M680" s="64" t="n"/>
      <c r="N680" s="66" t="n"/>
      <c r="O680" s="65" t="n"/>
      <c r="P680" s="64" t="n"/>
      <c r="Q680" s="67" t="n"/>
      <c r="R680" s="67" t="n"/>
      <c r="S680" s="68" t="str">
        <f>IF(AND(ISNUMBER($Q680),ISNUMBER($R680)),$Q680-$R680,"")</f>
        <v/>
      </c>
      <c r="T680" s="65" t="n"/>
      <c r="U680" s="64" t="n"/>
      <c r="V680" s="65" t="n"/>
      <c r="W680" s="63" t="n"/>
      <c r="X680" s="65" t="n"/>
      <c r="Y680" s="63" t="n"/>
      <c r="Z680" s="64" t="n"/>
      <c r="AA680" s="64" t="n"/>
      <c r="AB680" s="65" t="n"/>
      <c r="AC680" s="69" t="str">
        <f>IF(OR($G680="",NOT(ISNUMBER($K680)),$AK680=0),"",MAX(0,ReportDate-$K680))</f>
        <v/>
      </c>
      <c r="AD680" s="69" t="str">
        <f>IF($G680="","",IF($AL680=1,ReportDate-$L680,0))</f>
        <v/>
      </c>
      <c r="AE680" s="70" t="str">
        <f>IF($G680="","",IF($M680="Completed",1,IF(ISNUMBER($N680),$N680,0)))</f>
        <v/>
      </c>
      <c r="AF680" s="70" t="str">
        <f>IF(AND(ISNUMBER($Q680),ISNUMBER($R680)),IF($R680&lt;&gt;0,$Q680/$R680,""),"")</f>
        <v/>
      </c>
      <c r="AG680" s="71" t="str">
        <f>IF($G680="","",IF($AL680=1,"OVERDUE",IF($AM680=1,"BLOCKED",IF($AN680=1,"DUE TODAY",IF($AO680=1,"DUE TOMORROW",IF($AQ680=1,"HIGH PRIORITY",IF($AR680=1,"NO RECENT UPDATE",""))))))) </f>
        <v/>
      </c>
      <c r="AH680" s="71" t="str">
        <f>IF($G680="","",IF(ISNUMBER($A680),IF(ISNUMBER($A680),YEAR($A680)&amp;"-"&amp;TEXT(MONTH($A680),"00"),""),IF(ISNUMBER($L680),IF(ISNUMBER($L680),YEAR($L680)&amp;"-"&amp;TEXT(MONTH($L680),"00"),""),"")))</f>
        <v/>
      </c>
      <c r="AI680" s="71">
        <f>IF($G680="",0,IF(AND(OR(fClient="All",$C680=fClient),OR(fCampaign="All",$D680=fCampaign),OR(fTeam="All",$B680=fTeam),OR(fChannel="All",$F680=fChannel),OR(fMonth="All",$AH680=fMonth),OR(fTStatus="All",$M680=fTStatus)),1,0))</f>
        <v>0</v>
      </c>
      <c r="AJ680" s="71">
        <f>IF($G680="",0,IF(AND(OR(fClient="All",$C680=fClient),OR(fCampaign="All",$D680=fCampaign),OR(fTeam="All",$B680=fTeam),OR(fChannel="All",$F680=fChannel)),1,0))</f>
        <v>0</v>
      </c>
      <c r="AK680" s="71">
        <f>IF($G680="",0,IF(OR($M680="Completed",$M680="Cancelled"),0,1))</f>
        <v>0</v>
      </c>
      <c r="AL680" s="71">
        <f>IF(AND($AK680=1,ISNUMBER($L680)),IF($L680&lt;ReportDate,1,0),0)</f>
        <v>0</v>
      </c>
      <c r="AM680" s="71">
        <f>IF(AND($G680&lt;&gt;"",$M680="Blocked"),1,0)</f>
        <v>0</v>
      </c>
      <c r="AN680" s="71">
        <f>IF(AND($AK680=1,ISNUMBER($L680)),IF($L680=ReportDate,1,0),0)</f>
        <v>0</v>
      </c>
      <c r="AO680" s="71">
        <f>IF(AND($AK680=1,ISNUMBER($L680)),IF($L680=ReportDate+1,1,0),0)</f>
        <v>0</v>
      </c>
      <c r="AP680" s="71">
        <f>IF(AND($AK680=1,ISNUMBER($L680)),IF(AND($L680&gt;=ReportDate,$L680&lt;=ReportDate+DueSoonDays),1,0),0)</f>
        <v>0</v>
      </c>
      <c r="AQ680" s="71">
        <f>IF(AND($AK680=1,OR($I680="Critical",$I680="High")),1,0)</f>
        <v>0</v>
      </c>
      <c r="AR680" s="71">
        <f>IF($AK680=1,IF(ISNUMBER($Y680),IF(ReportDate-$Y680&gt;StaleDays,1,0),1),0)</f>
        <v>0</v>
      </c>
      <c r="AS680" s="71">
        <f>IF(AND($G680&lt;&gt;"",ISNUMBER($Q680),ISNUMBER($R680)),IF(AND($Q680&lt;$R680,OR($M680="Completed",AND(ISNUMBER($L680),$L680&lt;ReportDate))),1,0),0)</f>
        <v>0</v>
      </c>
      <c r="AT680" s="71">
        <f>IF($AK680=1,IF(OR($L680=ReportDate,$W680=ReportDate,$K680=ReportDate,$A680=ReportDate),1,0),0)</f>
        <v>0</v>
      </c>
      <c r="AU680" s="71">
        <f>IF($AK680=1,IF(OR($L680=ReportDate+1,$W680=ReportDate+1,$K680=ReportDate+1,$A680=ReportDate+1),1,0),0)</f>
        <v>0</v>
      </c>
      <c r="AV680" s="71">
        <f>IF(AND($G680&lt;&gt;"",$M680="Completed"),IF(OR($Y680=ReportDate-1,$A680=ReportDate-1),1,0),0)</f>
        <v>0</v>
      </c>
      <c r="AW680" s="71">
        <f>IF(AND($AK680=1,$Z680="Yes"),1,0)</f>
        <v>0</v>
      </c>
      <c r="AX680" s="71">
        <f>IF(AND($AK680=1,$AA680="Yes"),1,0)</f>
        <v>0</v>
      </c>
      <c r="AY680" s="71">
        <f>IF(AND($AM680=1,OR($I680="Critical",$I680="High")),1,0)</f>
        <v>0</v>
      </c>
      <c r="AZ680" s="71">
        <f>IF(AND($AK680=1,OR($C680=TCL_Client,$C680=MECCA_Client)),1,0)</f>
        <v>0</v>
      </c>
      <c r="BA680" s="71" t="str">
        <f>IF($G680="","",IFERROR(MATCH($I680,lst_Priority,0),5))</f>
        <v/>
      </c>
      <c r="BB680" s="71" t="str">
        <f>IF(AND($AL680=1,$AJ680=1),$BA680*100000+ROW(),"")</f>
        <v/>
      </c>
      <c r="BC680" s="71" t="str">
        <f>IF(AND($AM680=1,$AJ680=1),$BA680*100000+ROW(),"")</f>
        <v/>
      </c>
      <c r="BD680" s="71" t="str">
        <f>IF(AND($AP680=1,$AJ680=1),$BA680*100000+ROW(),"")</f>
        <v/>
      </c>
      <c r="BE680" s="71" t="str">
        <f>IF(AND($AT680=1,$AJ680=1),$BA680*100000+ROW(),"")</f>
        <v/>
      </c>
      <c r="BF680" s="71" t="str">
        <f>IF(AND($AU680=1,$AJ680=1),$BA680*100000+ROW(),"")</f>
        <v/>
      </c>
      <c r="BG680" s="71" t="str">
        <f>IF(AND($AV680=1,$AJ680=1),$BA680*100000+ROW(),"")</f>
        <v/>
      </c>
      <c r="BH680" s="71" t="str">
        <f>IF(AND($AW680=1,$AJ680=1),$BA680*100000+ROW(),"")</f>
        <v/>
      </c>
      <c r="BI680" s="71" t="str">
        <f>IF(AND($AX680=1,$AJ680=1),$BA680*100000+ROW(),"")</f>
        <v/>
      </c>
      <c r="BJ680" s="71" t="str">
        <f>IF(AND($AS680=1,$AJ680=1),$BA680*100000+ROW(),"")</f>
        <v/>
      </c>
      <c r="BK680" s="71" t="str">
        <f>IF(AND($AY680=1,$AJ680=1),$BA680*100000+ROW(),"")</f>
        <v/>
      </c>
      <c r="BL680" s="71" t="str">
        <f>IF(AND($AZ680=1),$BA680*100000+ROW(),"")</f>
        <v/>
      </c>
    </row>
    <row r="681">
      <c r="A681" s="63" t="n"/>
      <c r="B681" s="64" t="n"/>
      <c r="C681" s="64" t="n"/>
      <c r="D681" s="64" t="n"/>
      <c r="E681" s="64" t="n"/>
      <c r="F681" s="64" t="n"/>
      <c r="G681" s="65" t="n"/>
      <c r="H681" s="65" t="n"/>
      <c r="I681" s="64" t="n"/>
      <c r="J681" s="64" t="n"/>
      <c r="K681" s="63" t="n"/>
      <c r="L681" s="63" t="n"/>
      <c r="M681" s="64" t="n"/>
      <c r="N681" s="66" t="n"/>
      <c r="O681" s="65" t="n"/>
      <c r="P681" s="64" t="n"/>
      <c r="Q681" s="67" t="n"/>
      <c r="R681" s="67" t="n"/>
      <c r="S681" s="68" t="str">
        <f>IF(AND(ISNUMBER($Q681),ISNUMBER($R681)),$Q681-$R681,"")</f>
        <v/>
      </c>
      <c r="T681" s="65" t="n"/>
      <c r="U681" s="64" t="n"/>
      <c r="V681" s="65" t="n"/>
      <c r="W681" s="63" t="n"/>
      <c r="X681" s="65" t="n"/>
      <c r="Y681" s="63" t="n"/>
      <c r="Z681" s="64" t="n"/>
      <c r="AA681" s="64" t="n"/>
      <c r="AB681" s="65" t="n"/>
      <c r="AC681" s="69" t="str">
        <f>IF(OR($G681="",NOT(ISNUMBER($K681)),$AK681=0),"",MAX(0,ReportDate-$K681))</f>
        <v/>
      </c>
      <c r="AD681" s="69" t="str">
        <f>IF($G681="","",IF($AL681=1,ReportDate-$L681,0))</f>
        <v/>
      </c>
      <c r="AE681" s="70" t="str">
        <f>IF($G681="","",IF($M681="Completed",1,IF(ISNUMBER($N681),$N681,0)))</f>
        <v/>
      </c>
      <c r="AF681" s="70" t="str">
        <f>IF(AND(ISNUMBER($Q681),ISNUMBER($R681)),IF($R681&lt;&gt;0,$Q681/$R681,""),"")</f>
        <v/>
      </c>
      <c r="AG681" s="71" t="str">
        <f>IF($G681="","",IF($AL681=1,"OVERDUE",IF($AM681=1,"BLOCKED",IF($AN681=1,"DUE TODAY",IF($AO681=1,"DUE TOMORROW",IF($AQ681=1,"HIGH PRIORITY",IF($AR681=1,"NO RECENT UPDATE",""))))))) </f>
        <v/>
      </c>
      <c r="AH681" s="71" t="str">
        <f>IF($G681="","",IF(ISNUMBER($A681),IF(ISNUMBER($A681),YEAR($A681)&amp;"-"&amp;TEXT(MONTH($A681),"00"),""),IF(ISNUMBER($L681),IF(ISNUMBER($L681),YEAR($L681)&amp;"-"&amp;TEXT(MONTH($L681),"00"),""),"")))</f>
        <v/>
      </c>
      <c r="AI681" s="71">
        <f>IF($G681="",0,IF(AND(OR(fClient="All",$C681=fClient),OR(fCampaign="All",$D681=fCampaign),OR(fTeam="All",$B681=fTeam),OR(fChannel="All",$F681=fChannel),OR(fMonth="All",$AH681=fMonth),OR(fTStatus="All",$M681=fTStatus)),1,0))</f>
        <v>0</v>
      </c>
      <c r="AJ681" s="71">
        <f>IF($G681="",0,IF(AND(OR(fClient="All",$C681=fClient),OR(fCampaign="All",$D681=fCampaign),OR(fTeam="All",$B681=fTeam),OR(fChannel="All",$F681=fChannel)),1,0))</f>
        <v>0</v>
      </c>
      <c r="AK681" s="71">
        <f>IF($G681="",0,IF(OR($M681="Completed",$M681="Cancelled"),0,1))</f>
        <v>0</v>
      </c>
      <c r="AL681" s="71">
        <f>IF(AND($AK681=1,ISNUMBER($L681)),IF($L681&lt;ReportDate,1,0),0)</f>
        <v>0</v>
      </c>
      <c r="AM681" s="71">
        <f>IF(AND($G681&lt;&gt;"",$M681="Blocked"),1,0)</f>
        <v>0</v>
      </c>
      <c r="AN681" s="71">
        <f>IF(AND($AK681=1,ISNUMBER($L681)),IF($L681=ReportDate,1,0),0)</f>
        <v>0</v>
      </c>
      <c r="AO681" s="71">
        <f>IF(AND($AK681=1,ISNUMBER($L681)),IF($L681=ReportDate+1,1,0),0)</f>
        <v>0</v>
      </c>
      <c r="AP681" s="71">
        <f>IF(AND($AK681=1,ISNUMBER($L681)),IF(AND($L681&gt;=ReportDate,$L681&lt;=ReportDate+DueSoonDays),1,0),0)</f>
        <v>0</v>
      </c>
      <c r="AQ681" s="71">
        <f>IF(AND($AK681=1,OR($I681="Critical",$I681="High")),1,0)</f>
        <v>0</v>
      </c>
      <c r="AR681" s="71">
        <f>IF($AK681=1,IF(ISNUMBER($Y681),IF(ReportDate-$Y681&gt;StaleDays,1,0),1),0)</f>
        <v>0</v>
      </c>
      <c r="AS681" s="71">
        <f>IF(AND($G681&lt;&gt;"",ISNUMBER($Q681),ISNUMBER($R681)),IF(AND($Q681&lt;$R681,OR($M681="Completed",AND(ISNUMBER($L681),$L681&lt;ReportDate))),1,0),0)</f>
        <v>0</v>
      </c>
      <c r="AT681" s="71">
        <f>IF($AK681=1,IF(OR($L681=ReportDate,$W681=ReportDate,$K681=ReportDate,$A681=ReportDate),1,0),0)</f>
        <v>0</v>
      </c>
      <c r="AU681" s="71">
        <f>IF($AK681=1,IF(OR($L681=ReportDate+1,$W681=ReportDate+1,$K681=ReportDate+1,$A681=ReportDate+1),1,0),0)</f>
        <v>0</v>
      </c>
      <c r="AV681" s="71">
        <f>IF(AND($G681&lt;&gt;"",$M681="Completed"),IF(OR($Y681=ReportDate-1,$A681=ReportDate-1),1,0),0)</f>
        <v>0</v>
      </c>
      <c r="AW681" s="71">
        <f>IF(AND($AK681=1,$Z681="Yes"),1,0)</f>
        <v>0</v>
      </c>
      <c r="AX681" s="71">
        <f>IF(AND($AK681=1,$AA681="Yes"),1,0)</f>
        <v>0</v>
      </c>
      <c r="AY681" s="71">
        <f>IF(AND($AM681=1,OR($I681="Critical",$I681="High")),1,0)</f>
        <v>0</v>
      </c>
      <c r="AZ681" s="71">
        <f>IF(AND($AK681=1,OR($C681=TCL_Client,$C681=MECCA_Client)),1,0)</f>
        <v>0</v>
      </c>
      <c r="BA681" s="71" t="str">
        <f>IF($G681="","",IFERROR(MATCH($I681,lst_Priority,0),5))</f>
        <v/>
      </c>
      <c r="BB681" s="71" t="str">
        <f>IF(AND($AL681=1,$AJ681=1),$BA681*100000+ROW(),"")</f>
        <v/>
      </c>
      <c r="BC681" s="71" t="str">
        <f>IF(AND($AM681=1,$AJ681=1),$BA681*100000+ROW(),"")</f>
        <v/>
      </c>
      <c r="BD681" s="71" t="str">
        <f>IF(AND($AP681=1,$AJ681=1),$BA681*100000+ROW(),"")</f>
        <v/>
      </c>
      <c r="BE681" s="71" t="str">
        <f>IF(AND($AT681=1,$AJ681=1),$BA681*100000+ROW(),"")</f>
        <v/>
      </c>
      <c r="BF681" s="71" t="str">
        <f>IF(AND($AU681=1,$AJ681=1),$BA681*100000+ROW(),"")</f>
        <v/>
      </c>
      <c r="BG681" s="71" t="str">
        <f>IF(AND($AV681=1,$AJ681=1),$BA681*100000+ROW(),"")</f>
        <v/>
      </c>
      <c r="BH681" s="71" t="str">
        <f>IF(AND($AW681=1,$AJ681=1),$BA681*100000+ROW(),"")</f>
        <v/>
      </c>
      <c r="BI681" s="71" t="str">
        <f>IF(AND($AX681=1,$AJ681=1),$BA681*100000+ROW(),"")</f>
        <v/>
      </c>
      <c r="BJ681" s="71" t="str">
        <f>IF(AND($AS681=1,$AJ681=1),$BA681*100000+ROW(),"")</f>
        <v/>
      </c>
      <c r="BK681" s="71" t="str">
        <f>IF(AND($AY681=1,$AJ681=1),$BA681*100000+ROW(),"")</f>
        <v/>
      </c>
      <c r="BL681" s="71" t="str">
        <f>IF(AND($AZ681=1),$BA681*100000+ROW(),"")</f>
        <v/>
      </c>
    </row>
    <row r="682">
      <c r="A682" s="63" t="n"/>
      <c r="B682" s="64" t="n"/>
      <c r="C682" s="64" t="n"/>
      <c r="D682" s="64" t="n"/>
      <c r="E682" s="64" t="n"/>
      <c r="F682" s="64" t="n"/>
      <c r="G682" s="65" t="n"/>
      <c r="H682" s="65" t="n"/>
      <c r="I682" s="64" t="n"/>
      <c r="J682" s="64" t="n"/>
      <c r="K682" s="63" t="n"/>
      <c r="L682" s="63" t="n"/>
      <c r="M682" s="64" t="n"/>
      <c r="N682" s="66" t="n"/>
      <c r="O682" s="65" t="n"/>
      <c r="P682" s="64" t="n"/>
      <c r="Q682" s="67" t="n"/>
      <c r="R682" s="67" t="n"/>
      <c r="S682" s="68" t="str">
        <f>IF(AND(ISNUMBER($Q682),ISNUMBER($R682)),$Q682-$R682,"")</f>
        <v/>
      </c>
      <c r="T682" s="65" t="n"/>
      <c r="U682" s="64" t="n"/>
      <c r="V682" s="65" t="n"/>
      <c r="W682" s="63" t="n"/>
      <c r="X682" s="65" t="n"/>
      <c r="Y682" s="63" t="n"/>
      <c r="Z682" s="64" t="n"/>
      <c r="AA682" s="64" t="n"/>
      <c r="AB682" s="65" t="n"/>
      <c r="AC682" s="69" t="str">
        <f>IF(OR($G682="",NOT(ISNUMBER($K682)),$AK682=0),"",MAX(0,ReportDate-$K682))</f>
        <v/>
      </c>
      <c r="AD682" s="69" t="str">
        <f>IF($G682="","",IF($AL682=1,ReportDate-$L682,0))</f>
        <v/>
      </c>
      <c r="AE682" s="70" t="str">
        <f>IF($G682="","",IF($M682="Completed",1,IF(ISNUMBER($N682),$N682,0)))</f>
        <v/>
      </c>
      <c r="AF682" s="70" t="str">
        <f>IF(AND(ISNUMBER($Q682),ISNUMBER($R682)),IF($R682&lt;&gt;0,$Q682/$R682,""),"")</f>
        <v/>
      </c>
      <c r="AG682" s="71" t="str">
        <f>IF($G682="","",IF($AL682=1,"OVERDUE",IF($AM682=1,"BLOCKED",IF($AN682=1,"DUE TODAY",IF($AO682=1,"DUE TOMORROW",IF($AQ682=1,"HIGH PRIORITY",IF($AR682=1,"NO RECENT UPDATE",""))))))) </f>
        <v/>
      </c>
      <c r="AH682" s="71" t="str">
        <f>IF($G682="","",IF(ISNUMBER($A682),IF(ISNUMBER($A682),YEAR($A682)&amp;"-"&amp;TEXT(MONTH($A682),"00"),""),IF(ISNUMBER($L682),IF(ISNUMBER($L682),YEAR($L682)&amp;"-"&amp;TEXT(MONTH($L682),"00"),""),"")))</f>
        <v/>
      </c>
      <c r="AI682" s="71">
        <f>IF($G682="",0,IF(AND(OR(fClient="All",$C682=fClient),OR(fCampaign="All",$D682=fCampaign),OR(fTeam="All",$B682=fTeam),OR(fChannel="All",$F682=fChannel),OR(fMonth="All",$AH682=fMonth),OR(fTStatus="All",$M682=fTStatus)),1,0))</f>
        <v>0</v>
      </c>
      <c r="AJ682" s="71">
        <f>IF($G682="",0,IF(AND(OR(fClient="All",$C682=fClient),OR(fCampaign="All",$D682=fCampaign),OR(fTeam="All",$B682=fTeam),OR(fChannel="All",$F682=fChannel)),1,0))</f>
        <v>0</v>
      </c>
      <c r="AK682" s="71">
        <f>IF($G682="",0,IF(OR($M682="Completed",$M682="Cancelled"),0,1))</f>
        <v>0</v>
      </c>
      <c r="AL682" s="71">
        <f>IF(AND($AK682=1,ISNUMBER($L682)),IF($L682&lt;ReportDate,1,0),0)</f>
        <v>0</v>
      </c>
      <c r="AM682" s="71">
        <f>IF(AND($G682&lt;&gt;"",$M682="Blocked"),1,0)</f>
        <v>0</v>
      </c>
      <c r="AN682" s="71">
        <f>IF(AND($AK682=1,ISNUMBER($L682)),IF($L682=ReportDate,1,0),0)</f>
        <v>0</v>
      </c>
      <c r="AO682" s="71">
        <f>IF(AND($AK682=1,ISNUMBER($L682)),IF($L682=ReportDate+1,1,0),0)</f>
        <v>0</v>
      </c>
      <c r="AP682" s="71">
        <f>IF(AND($AK682=1,ISNUMBER($L682)),IF(AND($L682&gt;=ReportDate,$L682&lt;=ReportDate+DueSoonDays),1,0),0)</f>
        <v>0</v>
      </c>
      <c r="AQ682" s="71">
        <f>IF(AND($AK682=1,OR($I682="Critical",$I682="High")),1,0)</f>
        <v>0</v>
      </c>
      <c r="AR682" s="71">
        <f>IF($AK682=1,IF(ISNUMBER($Y682),IF(ReportDate-$Y682&gt;StaleDays,1,0),1),0)</f>
        <v>0</v>
      </c>
      <c r="AS682" s="71">
        <f>IF(AND($G682&lt;&gt;"",ISNUMBER($Q682),ISNUMBER($R682)),IF(AND($Q682&lt;$R682,OR($M682="Completed",AND(ISNUMBER($L682),$L682&lt;ReportDate))),1,0),0)</f>
        <v>0</v>
      </c>
      <c r="AT682" s="71">
        <f>IF($AK682=1,IF(OR($L682=ReportDate,$W682=ReportDate,$K682=ReportDate,$A682=ReportDate),1,0),0)</f>
        <v>0</v>
      </c>
      <c r="AU682" s="71">
        <f>IF($AK682=1,IF(OR($L682=ReportDate+1,$W682=ReportDate+1,$K682=ReportDate+1,$A682=ReportDate+1),1,0),0)</f>
        <v>0</v>
      </c>
      <c r="AV682" s="71">
        <f>IF(AND($G682&lt;&gt;"",$M682="Completed"),IF(OR($Y682=ReportDate-1,$A682=ReportDate-1),1,0),0)</f>
        <v>0</v>
      </c>
      <c r="AW682" s="71">
        <f>IF(AND($AK682=1,$Z682="Yes"),1,0)</f>
        <v>0</v>
      </c>
      <c r="AX682" s="71">
        <f>IF(AND($AK682=1,$AA682="Yes"),1,0)</f>
        <v>0</v>
      </c>
      <c r="AY682" s="71">
        <f>IF(AND($AM682=1,OR($I682="Critical",$I682="High")),1,0)</f>
        <v>0</v>
      </c>
      <c r="AZ682" s="71">
        <f>IF(AND($AK682=1,OR($C682=TCL_Client,$C682=MECCA_Client)),1,0)</f>
        <v>0</v>
      </c>
      <c r="BA682" s="71" t="str">
        <f>IF($G682="","",IFERROR(MATCH($I682,lst_Priority,0),5))</f>
        <v/>
      </c>
      <c r="BB682" s="71" t="str">
        <f>IF(AND($AL682=1,$AJ682=1),$BA682*100000+ROW(),"")</f>
        <v/>
      </c>
      <c r="BC682" s="71" t="str">
        <f>IF(AND($AM682=1,$AJ682=1),$BA682*100000+ROW(),"")</f>
        <v/>
      </c>
      <c r="BD682" s="71" t="str">
        <f>IF(AND($AP682=1,$AJ682=1),$BA682*100000+ROW(),"")</f>
        <v/>
      </c>
      <c r="BE682" s="71" t="str">
        <f>IF(AND($AT682=1,$AJ682=1),$BA682*100000+ROW(),"")</f>
        <v/>
      </c>
      <c r="BF682" s="71" t="str">
        <f>IF(AND($AU682=1,$AJ682=1),$BA682*100000+ROW(),"")</f>
        <v/>
      </c>
      <c r="BG682" s="71" t="str">
        <f>IF(AND($AV682=1,$AJ682=1),$BA682*100000+ROW(),"")</f>
        <v/>
      </c>
      <c r="BH682" s="71" t="str">
        <f>IF(AND($AW682=1,$AJ682=1),$BA682*100000+ROW(),"")</f>
        <v/>
      </c>
      <c r="BI682" s="71" t="str">
        <f>IF(AND($AX682=1,$AJ682=1),$BA682*100000+ROW(),"")</f>
        <v/>
      </c>
      <c r="BJ682" s="71" t="str">
        <f>IF(AND($AS682=1,$AJ682=1),$BA682*100000+ROW(),"")</f>
        <v/>
      </c>
      <c r="BK682" s="71" t="str">
        <f>IF(AND($AY682=1,$AJ682=1),$BA682*100000+ROW(),"")</f>
        <v/>
      </c>
      <c r="BL682" s="71" t="str">
        <f>IF(AND($AZ682=1),$BA682*100000+ROW(),"")</f>
        <v/>
      </c>
    </row>
    <row r="683">
      <c r="A683" s="63" t="n"/>
      <c r="B683" s="64" t="n"/>
      <c r="C683" s="64" t="n"/>
      <c r="D683" s="64" t="n"/>
      <c r="E683" s="64" t="n"/>
      <c r="F683" s="64" t="n"/>
      <c r="G683" s="65" t="n"/>
      <c r="H683" s="65" t="n"/>
      <c r="I683" s="64" t="n"/>
      <c r="J683" s="64" t="n"/>
      <c r="K683" s="63" t="n"/>
      <c r="L683" s="63" t="n"/>
      <c r="M683" s="64" t="n"/>
      <c r="N683" s="66" t="n"/>
      <c r="O683" s="65" t="n"/>
      <c r="P683" s="64" t="n"/>
      <c r="Q683" s="67" t="n"/>
      <c r="R683" s="67" t="n"/>
      <c r="S683" s="68" t="str">
        <f>IF(AND(ISNUMBER($Q683),ISNUMBER($R683)),$Q683-$R683,"")</f>
        <v/>
      </c>
      <c r="T683" s="65" t="n"/>
      <c r="U683" s="64" t="n"/>
      <c r="V683" s="65" t="n"/>
      <c r="W683" s="63" t="n"/>
      <c r="X683" s="65" t="n"/>
      <c r="Y683" s="63" t="n"/>
      <c r="Z683" s="64" t="n"/>
      <c r="AA683" s="64" t="n"/>
      <c r="AB683" s="65" t="n"/>
      <c r="AC683" s="69" t="str">
        <f>IF(OR($G683="",NOT(ISNUMBER($K683)),$AK683=0),"",MAX(0,ReportDate-$K683))</f>
        <v/>
      </c>
      <c r="AD683" s="69" t="str">
        <f>IF($G683="","",IF($AL683=1,ReportDate-$L683,0))</f>
        <v/>
      </c>
      <c r="AE683" s="70" t="str">
        <f>IF($G683="","",IF($M683="Completed",1,IF(ISNUMBER($N683),$N683,0)))</f>
        <v/>
      </c>
      <c r="AF683" s="70" t="str">
        <f>IF(AND(ISNUMBER($Q683),ISNUMBER($R683)),IF($R683&lt;&gt;0,$Q683/$R683,""),"")</f>
        <v/>
      </c>
      <c r="AG683" s="71" t="str">
        <f>IF($G683="","",IF($AL683=1,"OVERDUE",IF($AM683=1,"BLOCKED",IF($AN683=1,"DUE TODAY",IF($AO683=1,"DUE TOMORROW",IF($AQ683=1,"HIGH PRIORITY",IF($AR683=1,"NO RECENT UPDATE",""))))))) </f>
        <v/>
      </c>
      <c r="AH683" s="71" t="str">
        <f>IF($G683="","",IF(ISNUMBER($A683),IF(ISNUMBER($A683),YEAR($A683)&amp;"-"&amp;TEXT(MONTH($A683),"00"),""),IF(ISNUMBER($L683),IF(ISNUMBER($L683),YEAR($L683)&amp;"-"&amp;TEXT(MONTH($L683),"00"),""),"")))</f>
        <v/>
      </c>
      <c r="AI683" s="71">
        <f>IF($G683="",0,IF(AND(OR(fClient="All",$C683=fClient),OR(fCampaign="All",$D683=fCampaign),OR(fTeam="All",$B683=fTeam),OR(fChannel="All",$F683=fChannel),OR(fMonth="All",$AH683=fMonth),OR(fTStatus="All",$M683=fTStatus)),1,0))</f>
        <v>0</v>
      </c>
      <c r="AJ683" s="71">
        <f>IF($G683="",0,IF(AND(OR(fClient="All",$C683=fClient),OR(fCampaign="All",$D683=fCampaign),OR(fTeam="All",$B683=fTeam),OR(fChannel="All",$F683=fChannel)),1,0))</f>
        <v>0</v>
      </c>
      <c r="AK683" s="71">
        <f>IF($G683="",0,IF(OR($M683="Completed",$M683="Cancelled"),0,1))</f>
        <v>0</v>
      </c>
      <c r="AL683" s="71">
        <f>IF(AND($AK683=1,ISNUMBER($L683)),IF($L683&lt;ReportDate,1,0),0)</f>
        <v>0</v>
      </c>
      <c r="AM683" s="71">
        <f>IF(AND($G683&lt;&gt;"",$M683="Blocked"),1,0)</f>
        <v>0</v>
      </c>
      <c r="AN683" s="71">
        <f>IF(AND($AK683=1,ISNUMBER($L683)),IF($L683=ReportDate,1,0),0)</f>
        <v>0</v>
      </c>
      <c r="AO683" s="71">
        <f>IF(AND($AK683=1,ISNUMBER($L683)),IF($L683=ReportDate+1,1,0),0)</f>
        <v>0</v>
      </c>
      <c r="AP683" s="71">
        <f>IF(AND($AK683=1,ISNUMBER($L683)),IF(AND($L683&gt;=ReportDate,$L683&lt;=ReportDate+DueSoonDays),1,0),0)</f>
        <v>0</v>
      </c>
      <c r="AQ683" s="71">
        <f>IF(AND($AK683=1,OR($I683="Critical",$I683="High")),1,0)</f>
        <v>0</v>
      </c>
      <c r="AR683" s="71">
        <f>IF($AK683=1,IF(ISNUMBER($Y683),IF(ReportDate-$Y683&gt;StaleDays,1,0),1),0)</f>
        <v>0</v>
      </c>
      <c r="AS683" s="71">
        <f>IF(AND($G683&lt;&gt;"",ISNUMBER($Q683),ISNUMBER($R683)),IF(AND($Q683&lt;$R683,OR($M683="Completed",AND(ISNUMBER($L683),$L683&lt;ReportDate))),1,0),0)</f>
        <v>0</v>
      </c>
      <c r="AT683" s="71">
        <f>IF($AK683=1,IF(OR($L683=ReportDate,$W683=ReportDate,$K683=ReportDate,$A683=ReportDate),1,0),0)</f>
        <v>0</v>
      </c>
      <c r="AU683" s="71">
        <f>IF($AK683=1,IF(OR($L683=ReportDate+1,$W683=ReportDate+1,$K683=ReportDate+1,$A683=ReportDate+1),1,0),0)</f>
        <v>0</v>
      </c>
      <c r="AV683" s="71">
        <f>IF(AND($G683&lt;&gt;"",$M683="Completed"),IF(OR($Y683=ReportDate-1,$A683=ReportDate-1),1,0),0)</f>
        <v>0</v>
      </c>
      <c r="AW683" s="71">
        <f>IF(AND($AK683=1,$Z683="Yes"),1,0)</f>
        <v>0</v>
      </c>
      <c r="AX683" s="71">
        <f>IF(AND($AK683=1,$AA683="Yes"),1,0)</f>
        <v>0</v>
      </c>
      <c r="AY683" s="71">
        <f>IF(AND($AM683=1,OR($I683="Critical",$I683="High")),1,0)</f>
        <v>0</v>
      </c>
      <c r="AZ683" s="71">
        <f>IF(AND($AK683=1,OR($C683=TCL_Client,$C683=MECCA_Client)),1,0)</f>
        <v>0</v>
      </c>
      <c r="BA683" s="71" t="str">
        <f>IF($G683="","",IFERROR(MATCH($I683,lst_Priority,0),5))</f>
        <v/>
      </c>
      <c r="BB683" s="71" t="str">
        <f>IF(AND($AL683=1,$AJ683=1),$BA683*100000+ROW(),"")</f>
        <v/>
      </c>
      <c r="BC683" s="71" t="str">
        <f>IF(AND($AM683=1,$AJ683=1),$BA683*100000+ROW(),"")</f>
        <v/>
      </c>
      <c r="BD683" s="71" t="str">
        <f>IF(AND($AP683=1,$AJ683=1),$BA683*100000+ROW(),"")</f>
        <v/>
      </c>
      <c r="BE683" s="71" t="str">
        <f>IF(AND($AT683=1,$AJ683=1),$BA683*100000+ROW(),"")</f>
        <v/>
      </c>
      <c r="BF683" s="71" t="str">
        <f>IF(AND($AU683=1,$AJ683=1),$BA683*100000+ROW(),"")</f>
        <v/>
      </c>
      <c r="BG683" s="71" t="str">
        <f>IF(AND($AV683=1,$AJ683=1),$BA683*100000+ROW(),"")</f>
        <v/>
      </c>
      <c r="BH683" s="71" t="str">
        <f>IF(AND($AW683=1,$AJ683=1),$BA683*100000+ROW(),"")</f>
        <v/>
      </c>
      <c r="BI683" s="71" t="str">
        <f>IF(AND($AX683=1,$AJ683=1),$BA683*100000+ROW(),"")</f>
        <v/>
      </c>
      <c r="BJ683" s="71" t="str">
        <f>IF(AND($AS683=1,$AJ683=1),$BA683*100000+ROW(),"")</f>
        <v/>
      </c>
      <c r="BK683" s="71" t="str">
        <f>IF(AND($AY683=1,$AJ683=1),$BA683*100000+ROW(),"")</f>
        <v/>
      </c>
      <c r="BL683" s="71" t="str">
        <f>IF(AND($AZ683=1),$BA683*100000+ROW(),"")</f>
        <v/>
      </c>
    </row>
    <row r="684">
      <c r="A684" s="63" t="n"/>
      <c r="B684" s="64" t="n"/>
      <c r="C684" s="64" t="n"/>
      <c r="D684" s="64" t="n"/>
      <c r="E684" s="64" t="n"/>
      <c r="F684" s="64" t="n"/>
      <c r="G684" s="65" t="n"/>
      <c r="H684" s="65" t="n"/>
      <c r="I684" s="64" t="n"/>
      <c r="J684" s="64" t="n"/>
      <c r="K684" s="63" t="n"/>
      <c r="L684" s="63" t="n"/>
      <c r="M684" s="64" t="n"/>
      <c r="N684" s="66" t="n"/>
      <c r="O684" s="65" t="n"/>
      <c r="P684" s="64" t="n"/>
      <c r="Q684" s="67" t="n"/>
      <c r="R684" s="67" t="n"/>
      <c r="S684" s="68" t="str">
        <f>IF(AND(ISNUMBER($Q684),ISNUMBER($R684)),$Q684-$R684,"")</f>
        <v/>
      </c>
      <c r="T684" s="65" t="n"/>
      <c r="U684" s="64" t="n"/>
      <c r="V684" s="65" t="n"/>
      <c r="W684" s="63" t="n"/>
      <c r="X684" s="65" t="n"/>
      <c r="Y684" s="63" t="n"/>
      <c r="Z684" s="64" t="n"/>
      <c r="AA684" s="64" t="n"/>
      <c r="AB684" s="65" t="n"/>
      <c r="AC684" s="69" t="str">
        <f>IF(OR($G684="",NOT(ISNUMBER($K684)),$AK684=0),"",MAX(0,ReportDate-$K684))</f>
        <v/>
      </c>
      <c r="AD684" s="69" t="str">
        <f>IF($G684="","",IF($AL684=1,ReportDate-$L684,0))</f>
        <v/>
      </c>
      <c r="AE684" s="70" t="str">
        <f>IF($G684="","",IF($M684="Completed",1,IF(ISNUMBER($N684),$N684,0)))</f>
        <v/>
      </c>
      <c r="AF684" s="70" t="str">
        <f>IF(AND(ISNUMBER($Q684),ISNUMBER($R684)),IF($R684&lt;&gt;0,$Q684/$R684,""),"")</f>
        <v/>
      </c>
      <c r="AG684" s="71" t="str">
        <f>IF($G684="","",IF($AL684=1,"OVERDUE",IF($AM684=1,"BLOCKED",IF($AN684=1,"DUE TODAY",IF($AO684=1,"DUE TOMORROW",IF($AQ684=1,"HIGH PRIORITY",IF($AR684=1,"NO RECENT UPDATE",""))))))) </f>
        <v/>
      </c>
      <c r="AH684" s="71" t="str">
        <f>IF($G684="","",IF(ISNUMBER($A684),IF(ISNUMBER($A684),YEAR($A684)&amp;"-"&amp;TEXT(MONTH($A684),"00"),""),IF(ISNUMBER($L684),IF(ISNUMBER($L684),YEAR($L684)&amp;"-"&amp;TEXT(MONTH($L684),"00"),""),"")))</f>
        <v/>
      </c>
      <c r="AI684" s="71">
        <f>IF($G684="",0,IF(AND(OR(fClient="All",$C684=fClient),OR(fCampaign="All",$D684=fCampaign),OR(fTeam="All",$B684=fTeam),OR(fChannel="All",$F684=fChannel),OR(fMonth="All",$AH684=fMonth),OR(fTStatus="All",$M684=fTStatus)),1,0))</f>
        <v>0</v>
      </c>
      <c r="AJ684" s="71">
        <f>IF($G684="",0,IF(AND(OR(fClient="All",$C684=fClient),OR(fCampaign="All",$D684=fCampaign),OR(fTeam="All",$B684=fTeam),OR(fChannel="All",$F684=fChannel)),1,0))</f>
        <v>0</v>
      </c>
      <c r="AK684" s="71">
        <f>IF($G684="",0,IF(OR($M684="Completed",$M684="Cancelled"),0,1))</f>
        <v>0</v>
      </c>
      <c r="AL684" s="71">
        <f>IF(AND($AK684=1,ISNUMBER($L684)),IF($L684&lt;ReportDate,1,0),0)</f>
        <v>0</v>
      </c>
      <c r="AM684" s="71">
        <f>IF(AND($G684&lt;&gt;"",$M684="Blocked"),1,0)</f>
        <v>0</v>
      </c>
      <c r="AN684" s="71">
        <f>IF(AND($AK684=1,ISNUMBER($L684)),IF($L684=ReportDate,1,0),0)</f>
        <v>0</v>
      </c>
      <c r="AO684" s="71">
        <f>IF(AND($AK684=1,ISNUMBER($L684)),IF($L684=ReportDate+1,1,0),0)</f>
        <v>0</v>
      </c>
      <c r="AP684" s="71">
        <f>IF(AND($AK684=1,ISNUMBER($L684)),IF(AND($L684&gt;=ReportDate,$L684&lt;=ReportDate+DueSoonDays),1,0),0)</f>
        <v>0</v>
      </c>
      <c r="AQ684" s="71">
        <f>IF(AND($AK684=1,OR($I684="Critical",$I684="High")),1,0)</f>
        <v>0</v>
      </c>
      <c r="AR684" s="71">
        <f>IF($AK684=1,IF(ISNUMBER($Y684),IF(ReportDate-$Y684&gt;StaleDays,1,0),1),0)</f>
        <v>0</v>
      </c>
      <c r="AS684" s="71">
        <f>IF(AND($G684&lt;&gt;"",ISNUMBER($Q684),ISNUMBER($R684)),IF(AND($Q684&lt;$R684,OR($M684="Completed",AND(ISNUMBER($L684),$L684&lt;ReportDate))),1,0),0)</f>
        <v>0</v>
      </c>
      <c r="AT684" s="71">
        <f>IF($AK684=1,IF(OR($L684=ReportDate,$W684=ReportDate,$K684=ReportDate,$A684=ReportDate),1,0),0)</f>
        <v>0</v>
      </c>
      <c r="AU684" s="71">
        <f>IF($AK684=1,IF(OR($L684=ReportDate+1,$W684=ReportDate+1,$K684=ReportDate+1,$A684=ReportDate+1),1,0),0)</f>
        <v>0</v>
      </c>
      <c r="AV684" s="71">
        <f>IF(AND($G684&lt;&gt;"",$M684="Completed"),IF(OR($Y684=ReportDate-1,$A684=ReportDate-1),1,0),0)</f>
        <v>0</v>
      </c>
      <c r="AW684" s="71">
        <f>IF(AND($AK684=1,$Z684="Yes"),1,0)</f>
        <v>0</v>
      </c>
      <c r="AX684" s="71">
        <f>IF(AND($AK684=1,$AA684="Yes"),1,0)</f>
        <v>0</v>
      </c>
      <c r="AY684" s="71">
        <f>IF(AND($AM684=1,OR($I684="Critical",$I684="High")),1,0)</f>
        <v>0</v>
      </c>
      <c r="AZ684" s="71">
        <f>IF(AND($AK684=1,OR($C684=TCL_Client,$C684=MECCA_Client)),1,0)</f>
        <v>0</v>
      </c>
      <c r="BA684" s="71" t="str">
        <f>IF($G684="","",IFERROR(MATCH($I684,lst_Priority,0),5))</f>
        <v/>
      </c>
      <c r="BB684" s="71" t="str">
        <f>IF(AND($AL684=1,$AJ684=1),$BA684*100000+ROW(),"")</f>
        <v/>
      </c>
      <c r="BC684" s="71" t="str">
        <f>IF(AND($AM684=1,$AJ684=1),$BA684*100000+ROW(),"")</f>
        <v/>
      </c>
      <c r="BD684" s="71" t="str">
        <f>IF(AND($AP684=1,$AJ684=1),$BA684*100000+ROW(),"")</f>
        <v/>
      </c>
      <c r="BE684" s="71" t="str">
        <f>IF(AND($AT684=1,$AJ684=1),$BA684*100000+ROW(),"")</f>
        <v/>
      </c>
      <c r="BF684" s="71" t="str">
        <f>IF(AND($AU684=1,$AJ684=1),$BA684*100000+ROW(),"")</f>
        <v/>
      </c>
      <c r="BG684" s="71" t="str">
        <f>IF(AND($AV684=1,$AJ684=1),$BA684*100000+ROW(),"")</f>
        <v/>
      </c>
      <c r="BH684" s="71" t="str">
        <f>IF(AND($AW684=1,$AJ684=1),$BA684*100000+ROW(),"")</f>
        <v/>
      </c>
      <c r="BI684" s="71" t="str">
        <f>IF(AND($AX684=1,$AJ684=1),$BA684*100000+ROW(),"")</f>
        <v/>
      </c>
      <c r="BJ684" s="71" t="str">
        <f>IF(AND($AS684=1,$AJ684=1),$BA684*100000+ROW(),"")</f>
        <v/>
      </c>
      <c r="BK684" s="71" t="str">
        <f>IF(AND($AY684=1,$AJ684=1),$BA684*100000+ROW(),"")</f>
        <v/>
      </c>
      <c r="BL684" s="71" t="str">
        <f>IF(AND($AZ684=1),$BA684*100000+ROW(),"")</f>
        <v/>
      </c>
    </row>
    <row r="685">
      <c r="A685" s="63" t="n"/>
      <c r="B685" s="64" t="n"/>
      <c r="C685" s="64" t="n"/>
      <c r="D685" s="64" t="n"/>
      <c r="E685" s="64" t="n"/>
      <c r="F685" s="64" t="n"/>
      <c r="G685" s="65" t="n"/>
      <c r="H685" s="65" t="n"/>
      <c r="I685" s="64" t="n"/>
      <c r="J685" s="64" t="n"/>
      <c r="K685" s="63" t="n"/>
      <c r="L685" s="63" t="n"/>
      <c r="M685" s="64" t="n"/>
      <c r="N685" s="66" t="n"/>
      <c r="O685" s="65" t="n"/>
      <c r="P685" s="64" t="n"/>
      <c r="Q685" s="67" t="n"/>
      <c r="R685" s="67" t="n"/>
      <c r="S685" s="68" t="str">
        <f>IF(AND(ISNUMBER($Q685),ISNUMBER($R685)),$Q685-$R685,"")</f>
        <v/>
      </c>
      <c r="T685" s="65" t="n"/>
      <c r="U685" s="64" t="n"/>
      <c r="V685" s="65" t="n"/>
      <c r="W685" s="63" t="n"/>
      <c r="X685" s="65" t="n"/>
      <c r="Y685" s="63" t="n"/>
      <c r="Z685" s="64" t="n"/>
      <c r="AA685" s="64" t="n"/>
      <c r="AB685" s="65" t="n"/>
      <c r="AC685" s="69" t="str">
        <f>IF(OR($G685="",NOT(ISNUMBER($K685)),$AK685=0),"",MAX(0,ReportDate-$K685))</f>
        <v/>
      </c>
      <c r="AD685" s="69" t="str">
        <f>IF($G685="","",IF($AL685=1,ReportDate-$L685,0))</f>
        <v/>
      </c>
      <c r="AE685" s="70" t="str">
        <f>IF($G685="","",IF($M685="Completed",1,IF(ISNUMBER($N685),$N685,0)))</f>
        <v/>
      </c>
      <c r="AF685" s="70" t="str">
        <f>IF(AND(ISNUMBER($Q685),ISNUMBER($R685)),IF($R685&lt;&gt;0,$Q685/$R685,""),"")</f>
        <v/>
      </c>
      <c r="AG685" s="71" t="str">
        <f>IF($G685="","",IF($AL685=1,"OVERDUE",IF($AM685=1,"BLOCKED",IF($AN685=1,"DUE TODAY",IF($AO685=1,"DUE TOMORROW",IF($AQ685=1,"HIGH PRIORITY",IF($AR685=1,"NO RECENT UPDATE",""))))))) </f>
        <v/>
      </c>
      <c r="AH685" s="71" t="str">
        <f>IF($G685="","",IF(ISNUMBER($A685),IF(ISNUMBER($A685),YEAR($A685)&amp;"-"&amp;TEXT(MONTH($A685),"00"),""),IF(ISNUMBER($L685),IF(ISNUMBER($L685),YEAR($L685)&amp;"-"&amp;TEXT(MONTH($L685),"00"),""),"")))</f>
        <v/>
      </c>
      <c r="AI685" s="71">
        <f>IF($G685="",0,IF(AND(OR(fClient="All",$C685=fClient),OR(fCampaign="All",$D685=fCampaign),OR(fTeam="All",$B685=fTeam),OR(fChannel="All",$F685=fChannel),OR(fMonth="All",$AH685=fMonth),OR(fTStatus="All",$M685=fTStatus)),1,0))</f>
        <v>0</v>
      </c>
      <c r="AJ685" s="71">
        <f>IF($G685="",0,IF(AND(OR(fClient="All",$C685=fClient),OR(fCampaign="All",$D685=fCampaign),OR(fTeam="All",$B685=fTeam),OR(fChannel="All",$F685=fChannel)),1,0))</f>
        <v>0</v>
      </c>
      <c r="AK685" s="71">
        <f>IF($G685="",0,IF(OR($M685="Completed",$M685="Cancelled"),0,1))</f>
        <v>0</v>
      </c>
      <c r="AL685" s="71">
        <f>IF(AND($AK685=1,ISNUMBER($L685)),IF($L685&lt;ReportDate,1,0),0)</f>
        <v>0</v>
      </c>
      <c r="AM685" s="71">
        <f>IF(AND($G685&lt;&gt;"",$M685="Blocked"),1,0)</f>
        <v>0</v>
      </c>
      <c r="AN685" s="71">
        <f>IF(AND($AK685=1,ISNUMBER($L685)),IF($L685=ReportDate,1,0),0)</f>
        <v>0</v>
      </c>
      <c r="AO685" s="71">
        <f>IF(AND($AK685=1,ISNUMBER($L685)),IF($L685=ReportDate+1,1,0),0)</f>
        <v>0</v>
      </c>
      <c r="AP685" s="71">
        <f>IF(AND($AK685=1,ISNUMBER($L685)),IF(AND($L685&gt;=ReportDate,$L685&lt;=ReportDate+DueSoonDays),1,0),0)</f>
        <v>0</v>
      </c>
      <c r="AQ685" s="71">
        <f>IF(AND($AK685=1,OR($I685="Critical",$I685="High")),1,0)</f>
        <v>0</v>
      </c>
      <c r="AR685" s="71">
        <f>IF($AK685=1,IF(ISNUMBER($Y685),IF(ReportDate-$Y685&gt;StaleDays,1,0),1),0)</f>
        <v>0</v>
      </c>
      <c r="AS685" s="71">
        <f>IF(AND($G685&lt;&gt;"",ISNUMBER($Q685),ISNUMBER($R685)),IF(AND($Q685&lt;$R685,OR($M685="Completed",AND(ISNUMBER($L685),$L685&lt;ReportDate))),1,0),0)</f>
        <v>0</v>
      </c>
      <c r="AT685" s="71">
        <f>IF($AK685=1,IF(OR($L685=ReportDate,$W685=ReportDate,$K685=ReportDate,$A685=ReportDate),1,0),0)</f>
        <v>0</v>
      </c>
      <c r="AU685" s="71">
        <f>IF($AK685=1,IF(OR($L685=ReportDate+1,$W685=ReportDate+1,$K685=ReportDate+1,$A685=ReportDate+1),1,0),0)</f>
        <v>0</v>
      </c>
      <c r="AV685" s="71">
        <f>IF(AND($G685&lt;&gt;"",$M685="Completed"),IF(OR($Y685=ReportDate-1,$A685=ReportDate-1),1,0),0)</f>
        <v>0</v>
      </c>
      <c r="AW685" s="71">
        <f>IF(AND($AK685=1,$Z685="Yes"),1,0)</f>
        <v>0</v>
      </c>
      <c r="AX685" s="71">
        <f>IF(AND($AK685=1,$AA685="Yes"),1,0)</f>
        <v>0</v>
      </c>
      <c r="AY685" s="71">
        <f>IF(AND($AM685=1,OR($I685="Critical",$I685="High")),1,0)</f>
        <v>0</v>
      </c>
      <c r="AZ685" s="71">
        <f>IF(AND($AK685=1,OR($C685=TCL_Client,$C685=MECCA_Client)),1,0)</f>
        <v>0</v>
      </c>
      <c r="BA685" s="71" t="str">
        <f>IF($G685="","",IFERROR(MATCH($I685,lst_Priority,0),5))</f>
        <v/>
      </c>
      <c r="BB685" s="71" t="str">
        <f>IF(AND($AL685=1,$AJ685=1),$BA685*100000+ROW(),"")</f>
        <v/>
      </c>
      <c r="BC685" s="71" t="str">
        <f>IF(AND($AM685=1,$AJ685=1),$BA685*100000+ROW(),"")</f>
        <v/>
      </c>
      <c r="BD685" s="71" t="str">
        <f>IF(AND($AP685=1,$AJ685=1),$BA685*100000+ROW(),"")</f>
        <v/>
      </c>
      <c r="BE685" s="71" t="str">
        <f>IF(AND($AT685=1,$AJ685=1),$BA685*100000+ROW(),"")</f>
        <v/>
      </c>
      <c r="BF685" s="71" t="str">
        <f>IF(AND($AU685=1,$AJ685=1),$BA685*100000+ROW(),"")</f>
        <v/>
      </c>
      <c r="BG685" s="71" t="str">
        <f>IF(AND($AV685=1,$AJ685=1),$BA685*100000+ROW(),"")</f>
        <v/>
      </c>
      <c r="BH685" s="71" t="str">
        <f>IF(AND($AW685=1,$AJ685=1),$BA685*100000+ROW(),"")</f>
        <v/>
      </c>
      <c r="BI685" s="71" t="str">
        <f>IF(AND($AX685=1,$AJ685=1),$BA685*100000+ROW(),"")</f>
        <v/>
      </c>
      <c r="BJ685" s="71" t="str">
        <f>IF(AND($AS685=1,$AJ685=1),$BA685*100000+ROW(),"")</f>
        <v/>
      </c>
      <c r="BK685" s="71" t="str">
        <f>IF(AND($AY685=1,$AJ685=1),$BA685*100000+ROW(),"")</f>
        <v/>
      </c>
      <c r="BL685" s="71" t="str">
        <f>IF(AND($AZ685=1),$BA685*100000+ROW(),"")</f>
        <v/>
      </c>
    </row>
    <row r="686">
      <c r="A686" s="63" t="n"/>
      <c r="B686" s="64" t="n"/>
      <c r="C686" s="64" t="n"/>
      <c r="D686" s="64" t="n"/>
      <c r="E686" s="64" t="n"/>
      <c r="F686" s="64" t="n"/>
      <c r="G686" s="65" t="n"/>
      <c r="H686" s="65" t="n"/>
      <c r="I686" s="64" t="n"/>
      <c r="J686" s="64" t="n"/>
      <c r="K686" s="63" t="n"/>
      <c r="L686" s="63" t="n"/>
      <c r="M686" s="64" t="n"/>
      <c r="N686" s="66" t="n"/>
      <c r="O686" s="65" t="n"/>
      <c r="P686" s="64" t="n"/>
      <c r="Q686" s="67" t="n"/>
      <c r="R686" s="67" t="n"/>
      <c r="S686" s="68" t="str">
        <f>IF(AND(ISNUMBER($Q686),ISNUMBER($R686)),$Q686-$R686,"")</f>
        <v/>
      </c>
      <c r="T686" s="65" t="n"/>
      <c r="U686" s="64" t="n"/>
      <c r="V686" s="65" t="n"/>
      <c r="W686" s="63" t="n"/>
      <c r="X686" s="65" t="n"/>
      <c r="Y686" s="63" t="n"/>
      <c r="Z686" s="64" t="n"/>
      <c r="AA686" s="64" t="n"/>
      <c r="AB686" s="65" t="n"/>
      <c r="AC686" s="69" t="str">
        <f>IF(OR($G686="",NOT(ISNUMBER($K686)),$AK686=0),"",MAX(0,ReportDate-$K686))</f>
        <v/>
      </c>
      <c r="AD686" s="69" t="str">
        <f>IF($G686="","",IF($AL686=1,ReportDate-$L686,0))</f>
        <v/>
      </c>
      <c r="AE686" s="70" t="str">
        <f>IF($G686="","",IF($M686="Completed",1,IF(ISNUMBER($N686),$N686,0)))</f>
        <v/>
      </c>
      <c r="AF686" s="70" t="str">
        <f>IF(AND(ISNUMBER($Q686),ISNUMBER($R686)),IF($R686&lt;&gt;0,$Q686/$R686,""),"")</f>
        <v/>
      </c>
      <c r="AG686" s="71" t="str">
        <f>IF($G686="","",IF($AL686=1,"OVERDUE",IF($AM686=1,"BLOCKED",IF($AN686=1,"DUE TODAY",IF($AO686=1,"DUE TOMORROW",IF($AQ686=1,"HIGH PRIORITY",IF($AR686=1,"NO RECENT UPDATE",""))))))) </f>
        <v/>
      </c>
      <c r="AH686" s="71" t="str">
        <f>IF($G686="","",IF(ISNUMBER($A686),IF(ISNUMBER($A686),YEAR($A686)&amp;"-"&amp;TEXT(MONTH($A686),"00"),""),IF(ISNUMBER($L686),IF(ISNUMBER($L686),YEAR($L686)&amp;"-"&amp;TEXT(MONTH($L686),"00"),""),"")))</f>
        <v/>
      </c>
      <c r="AI686" s="71">
        <f>IF($G686="",0,IF(AND(OR(fClient="All",$C686=fClient),OR(fCampaign="All",$D686=fCampaign),OR(fTeam="All",$B686=fTeam),OR(fChannel="All",$F686=fChannel),OR(fMonth="All",$AH686=fMonth),OR(fTStatus="All",$M686=fTStatus)),1,0))</f>
        <v>0</v>
      </c>
      <c r="AJ686" s="71">
        <f>IF($G686="",0,IF(AND(OR(fClient="All",$C686=fClient),OR(fCampaign="All",$D686=fCampaign),OR(fTeam="All",$B686=fTeam),OR(fChannel="All",$F686=fChannel)),1,0))</f>
        <v>0</v>
      </c>
      <c r="AK686" s="71">
        <f>IF($G686="",0,IF(OR($M686="Completed",$M686="Cancelled"),0,1))</f>
        <v>0</v>
      </c>
      <c r="AL686" s="71">
        <f>IF(AND($AK686=1,ISNUMBER($L686)),IF($L686&lt;ReportDate,1,0),0)</f>
        <v>0</v>
      </c>
      <c r="AM686" s="71">
        <f>IF(AND($G686&lt;&gt;"",$M686="Blocked"),1,0)</f>
        <v>0</v>
      </c>
      <c r="AN686" s="71">
        <f>IF(AND($AK686=1,ISNUMBER($L686)),IF($L686=ReportDate,1,0),0)</f>
        <v>0</v>
      </c>
      <c r="AO686" s="71">
        <f>IF(AND($AK686=1,ISNUMBER($L686)),IF($L686=ReportDate+1,1,0),0)</f>
        <v>0</v>
      </c>
      <c r="AP686" s="71">
        <f>IF(AND($AK686=1,ISNUMBER($L686)),IF(AND($L686&gt;=ReportDate,$L686&lt;=ReportDate+DueSoonDays),1,0),0)</f>
        <v>0</v>
      </c>
      <c r="AQ686" s="71">
        <f>IF(AND($AK686=1,OR($I686="Critical",$I686="High")),1,0)</f>
        <v>0</v>
      </c>
      <c r="AR686" s="71">
        <f>IF($AK686=1,IF(ISNUMBER($Y686),IF(ReportDate-$Y686&gt;StaleDays,1,0),1),0)</f>
        <v>0</v>
      </c>
      <c r="AS686" s="71">
        <f>IF(AND($G686&lt;&gt;"",ISNUMBER($Q686),ISNUMBER($R686)),IF(AND($Q686&lt;$R686,OR($M686="Completed",AND(ISNUMBER($L686),$L686&lt;ReportDate))),1,0),0)</f>
        <v>0</v>
      </c>
      <c r="AT686" s="71">
        <f>IF($AK686=1,IF(OR($L686=ReportDate,$W686=ReportDate,$K686=ReportDate,$A686=ReportDate),1,0),0)</f>
        <v>0</v>
      </c>
      <c r="AU686" s="71">
        <f>IF($AK686=1,IF(OR($L686=ReportDate+1,$W686=ReportDate+1,$K686=ReportDate+1,$A686=ReportDate+1),1,0),0)</f>
        <v>0</v>
      </c>
      <c r="AV686" s="71">
        <f>IF(AND($G686&lt;&gt;"",$M686="Completed"),IF(OR($Y686=ReportDate-1,$A686=ReportDate-1),1,0),0)</f>
        <v>0</v>
      </c>
      <c r="AW686" s="71">
        <f>IF(AND($AK686=1,$Z686="Yes"),1,0)</f>
        <v>0</v>
      </c>
      <c r="AX686" s="71">
        <f>IF(AND($AK686=1,$AA686="Yes"),1,0)</f>
        <v>0</v>
      </c>
      <c r="AY686" s="71">
        <f>IF(AND($AM686=1,OR($I686="Critical",$I686="High")),1,0)</f>
        <v>0</v>
      </c>
      <c r="AZ686" s="71">
        <f>IF(AND($AK686=1,OR($C686=TCL_Client,$C686=MECCA_Client)),1,0)</f>
        <v>0</v>
      </c>
      <c r="BA686" s="71" t="str">
        <f>IF($G686="","",IFERROR(MATCH($I686,lst_Priority,0),5))</f>
        <v/>
      </c>
      <c r="BB686" s="71" t="str">
        <f>IF(AND($AL686=1,$AJ686=1),$BA686*100000+ROW(),"")</f>
        <v/>
      </c>
      <c r="BC686" s="71" t="str">
        <f>IF(AND($AM686=1,$AJ686=1),$BA686*100000+ROW(),"")</f>
        <v/>
      </c>
      <c r="BD686" s="71" t="str">
        <f>IF(AND($AP686=1,$AJ686=1),$BA686*100000+ROW(),"")</f>
        <v/>
      </c>
      <c r="BE686" s="71" t="str">
        <f>IF(AND($AT686=1,$AJ686=1),$BA686*100000+ROW(),"")</f>
        <v/>
      </c>
      <c r="BF686" s="71" t="str">
        <f>IF(AND($AU686=1,$AJ686=1),$BA686*100000+ROW(),"")</f>
        <v/>
      </c>
      <c r="BG686" s="71" t="str">
        <f>IF(AND($AV686=1,$AJ686=1),$BA686*100000+ROW(),"")</f>
        <v/>
      </c>
      <c r="BH686" s="71" t="str">
        <f>IF(AND($AW686=1,$AJ686=1),$BA686*100000+ROW(),"")</f>
        <v/>
      </c>
      <c r="BI686" s="71" t="str">
        <f>IF(AND($AX686=1,$AJ686=1),$BA686*100000+ROW(),"")</f>
        <v/>
      </c>
      <c r="BJ686" s="71" t="str">
        <f>IF(AND($AS686=1,$AJ686=1),$BA686*100000+ROW(),"")</f>
        <v/>
      </c>
      <c r="BK686" s="71" t="str">
        <f>IF(AND($AY686=1,$AJ686=1),$BA686*100000+ROW(),"")</f>
        <v/>
      </c>
      <c r="BL686" s="71" t="str">
        <f>IF(AND($AZ686=1),$BA686*100000+ROW(),"")</f>
        <v/>
      </c>
    </row>
    <row r="687">
      <c r="A687" s="63" t="n"/>
      <c r="B687" s="64" t="n"/>
      <c r="C687" s="64" t="n"/>
      <c r="D687" s="64" t="n"/>
      <c r="E687" s="64" t="n"/>
      <c r="F687" s="64" t="n"/>
      <c r="G687" s="65" t="n"/>
      <c r="H687" s="65" t="n"/>
      <c r="I687" s="64" t="n"/>
      <c r="J687" s="64" t="n"/>
      <c r="K687" s="63" t="n"/>
      <c r="L687" s="63" t="n"/>
      <c r="M687" s="64" t="n"/>
      <c r="N687" s="66" t="n"/>
      <c r="O687" s="65" t="n"/>
      <c r="P687" s="64" t="n"/>
      <c r="Q687" s="67" t="n"/>
      <c r="R687" s="67" t="n"/>
      <c r="S687" s="68" t="str">
        <f>IF(AND(ISNUMBER($Q687),ISNUMBER($R687)),$Q687-$R687,"")</f>
        <v/>
      </c>
      <c r="T687" s="65" t="n"/>
      <c r="U687" s="64" t="n"/>
      <c r="V687" s="65" t="n"/>
      <c r="W687" s="63" t="n"/>
      <c r="X687" s="65" t="n"/>
      <c r="Y687" s="63" t="n"/>
      <c r="Z687" s="64" t="n"/>
      <c r="AA687" s="64" t="n"/>
      <c r="AB687" s="65" t="n"/>
      <c r="AC687" s="69" t="str">
        <f>IF(OR($G687="",NOT(ISNUMBER($K687)),$AK687=0),"",MAX(0,ReportDate-$K687))</f>
        <v/>
      </c>
      <c r="AD687" s="69" t="str">
        <f>IF($G687="","",IF($AL687=1,ReportDate-$L687,0))</f>
        <v/>
      </c>
      <c r="AE687" s="70" t="str">
        <f>IF($G687="","",IF($M687="Completed",1,IF(ISNUMBER($N687),$N687,0)))</f>
        <v/>
      </c>
      <c r="AF687" s="70" t="str">
        <f>IF(AND(ISNUMBER($Q687),ISNUMBER($R687)),IF($R687&lt;&gt;0,$Q687/$R687,""),"")</f>
        <v/>
      </c>
      <c r="AG687" s="71" t="str">
        <f>IF($G687="","",IF($AL687=1,"OVERDUE",IF($AM687=1,"BLOCKED",IF($AN687=1,"DUE TODAY",IF($AO687=1,"DUE TOMORROW",IF($AQ687=1,"HIGH PRIORITY",IF($AR687=1,"NO RECENT UPDATE",""))))))) </f>
        <v/>
      </c>
      <c r="AH687" s="71" t="str">
        <f>IF($G687="","",IF(ISNUMBER($A687),IF(ISNUMBER($A687),YEAR($A687)&amp;"-"&amp;TEXT(MONTH($A687),"00"),""),IF(ISNUMBER($L687),IF(ISNUMBER($L687),YEAR($L687)&amp;"-"&amp;TEXT(MONTH($L687),"00"),""),"")))</f>
        <v/>
      </c>
      <c r="AI687" s="71">
        <f>IF($G687="",0,IF(AND(OR(fClient="All",$C687=fClient),OR(fCampaign="All",$D687=fCampaign),OR(fTeam="All",$B687=fTeam),OR(fChannel="All",$F687=fChannel),OR(fMonth="All",$AH687=fMonth),OR(fTStatus="All",$M687=fTStatus)),1,0))</f>
        <v>0</v>
      </c>
      <c r="AJ687" s="71">
        <f>IF($G687="",0,IF(AND(OR(fClient="All",$C687=fClient),OR(fCampaign="All",$D687=fCampaign),OR(fTeam="All",$B687=fTeam),OR(fChannel="All",$F687=fChannel)),1,0))</f>
        <v>0</v>
      </c>
      <c r="AK687" s="71">
        <f>IF($G687="",0,IF(OR($M687="Completed",$M687="Cancelled"),0,1))</f>
        <v>0</v>
      </c>
      <c r="AL687" s="71">
        <f>IF(AND($AK687=1,ISNUMBER($L687)),IF($L687&lt;ReportDate,1,0),0)</f>
        <v>0</v>
      </c>
      <c r="AM687" s="71">
        <f>IF(AND($G687&lt;&gt;"",$M687="Blocked"),1,0)</f>
        <v>0</v>
      </c>
      <c r="AN687" s="71">
        <f>IF(AND($AK687=1,ISNUMBER($L687)),IF($L687=ReportDate,1,0),0)</f>
        <v>0</v>
      </c>
      <c r="AO687" s="71">
        <f>IF(AND($AK687=1,ISNUMBER($L687)),IF($L687=ReportDate+1,1,0),0)</f>
        <v>0</v>
      </c>
      <c r="AP687" s="71">
        <f>IF(AND($AK687=1,ISNUMBER($L687)),IF(AND($L687&gt;=ReportDate,$L687&lt;=ReportDate+DueSoonDays),1,0),0)</f>
        <v>0</v>
      </c>
      <c r="AQ687" s="71">
        <f>IF(AND($AK687=1,OR($I687="Critical",$I687="High")),1,0)</f>
        <v>0</v>
      </c>
      <c r="AR687" s="71">
        <f>IF($AK687=1,IF(ISNUMBER($Y687),IF(ReportDate-$Y687&gt;StaleDays,1,0),1),0)</f>
        <v>0</v>
      </c>
      <c r="AS687" s="71">
        <f>IF(AND($G687&lt;&gt;"",ISNUMBER($Q687),ISNUMBER($R687)),IF(AND($Q687&lt;$R687,OR($M687="Completed",AND(ISNUMBER($L687),$L687&lt;ReportDate))),1,0),0)</f>
        <v>0</v>
      </c>
      <c r="AT687" s="71">
        <f>IF($AK687=1,IF(OR($L687=ReportDate,$W687=ReportDate,$K687=ReportDate,$A687=ReportDate),1,0),0)</f>
        <v>0</v>
      </c>
      <c r="AU687" s="71">
        <f>IF($AK687=1,IF(OR($L687=ReportDate+1,$W687=ReportDate+1,$K687=ReportDate+1,$A687=ReportDate+1),1,0),0)</f>
        <v>0</v>
      </c>
      <c r="AV687" s="71">
        <f>IF(AND($G687&lt;&gt;"",$M687="Completed"),IF(OR($Y687=ReportDate-1,$A687=ReportDate-1),1,0),0)</f>
        <v>0</v>
      </c>
      <c r="AW687" s="71">
        <f>IF(AND($AK687=1,$Z687="Yes"),1,0)</f>
        <v>0</v>
      </c>
      <c r="AX687" s="71">
        <f>IF(AND($AK687=1,$AA687="Yes"),1,0)</f>
        <v>0</v>
      </c>
      <c r="AY687" s="71">
        <f>IF(AND($AM687=1,OR($I687="Critical",$I687="High")),1,0)</f>
        <v>0</v>
      </c>
      <c r="AZ687" s="71">
        <f>IF(AND($AK687=1,OR($C687=TCL_Client,$C687=MECCA_Client)),1,0)</f>
        <v>0</v>
      </c>
      <c r="BA687" s="71" t="str">
        <f>IF($G687="","",IFERROR(MATCH($I687,lst_Priority,0),5))</f>
        <v/>
      </c>
      <c r="BB687" s="71" t="str">
        <f>IF(AND($AL687=1,$AJ687=1),$BA687*100000+ROW(),"")</f>
        <v/>
      </c>
      <c r="BC687" s="71" t="str">
        <f>IF(AND($AM687=1,$AJ687=1),$BA687*100000+ROW(),"")</f>
        <v/>
      </c>
      <c r="BD687" s="71" t="str">
        <f>IF(AND($AP687=1,$AJ687=1),$BA687*100000+ROW(),"")</f>
        <v/>
      </c>
      <c r="BE687" s="71" t="str">
        <f>IF(AND($AT687=1,$AJ687=1),$BA687*100000+ROW(),"")</f>
        <v/>
      </c>
      <c r="BF687" s="71" t="str">
        <f>IF(AND($AU687=1,$AJ687=1),$BA687*100000+ROW(),"")</f>
        <v/>
      </c>
      <c r="BG687" s="71" t="str">
        <f>IF(AND($AV687=1,$AJ687=1),$BA687*100000+ROW(),"")</f>
        <v/>
      </c>
      <c r="BH687" s="71" t="str">
        <f>IF(AND($AW687=1,$AJ687=1),$BA687*100000+ROW(),"")</f>
        <v/>
      </c>
      <c r="BI687" s="71" t="str">
        <f>IF(AND($AX687=1,$AJ687=1),$BA687*100000+ROW(),"")</f>
        <v/>
      </c>
      <c r="BJ687" s="71" t="str">
        <f>IF(AND($AS687=1,$AJ687=1),$BA687*100000+ROW(),"")</f>
        <v/>
      </c>
      <c r="BK687" s="71" t="str">
        <f>IF(AND($AY687=1,$AJ687=1),$BA687*100000+ROW(),"")</f>
        <v/>
      </c>
      <c r="BL687" s="71" t="str">
        <f>IF(AND($AZ687=1),$BA687*100000+ROW(),"")</f>
        <v/>
      </c>
    </row>
    <row r="688">
      <c r="A688" s="63" t="n"/>
      <c r="B688" s="64" t="n"/>
      <c r="C688" s="64" t="n"/>
      <c r="D688" s="64" t="n"/>
      <c r="E688" s="64" t="n"/>
      <c r="F688" s="64" t="n"/>
      <c r="G688" s="65" t="n"/>
      <c r="H688" s="65" t="n"/>
      <c r="I688" s="64" t="n"/>
      <c r="J688" s="64" t="n"/>
      <c r="K688" s="63" t="n"/>
      <c r="L688" s="63" t="n"/>
      <c r="M688" s="64" t="n"/>
      <c r="N688" s="66" t="n"/>
      <c r="O688" s="65" t="n"/>
      <c r="P688" s="64" t="n"/>
      <c r="Q688" s="67" t="n"/>
      <c r="R688" s="67" t="n"/>
      <c r="S688" s="68" t="str">
        <f>IF(AND(ISNUMBER($Q688),ISNUMBER($R688)),$Q688-$R688,"")</f>
        <v/>
      </c>
      <c r="T688" s="65" t="n"/>
      <c r="U688" s="64" t="n"/>
      <c r="V688" s="65" t="n"/>
      <c r="W688" s="63" t="n"/>
      <c r="X688" s="65" t="n"/>
      <c r="Y688" s="63" t="n"/>
      <c r="Z688" s="64" t="n"/>
      <c r="AA688" s="64" t="n"/>
      <c r="AB688" s="65" t="n"/>
      <c r="AC688" s="69" t="str">
        <f>IF(OR($G688="",NOT(ISNUMBER($K688)),$AK688=0),"",MAX(0,ReportDate-$K688))</f>
        <v/>
      </c>
      <c r="AD688" s="69" t="str">
        <f>IF($G688="","",IF($AL688=1,ReportDate-$L688,0))</f>
        <v/>
      </c>
      <c r="AE688" s="70" t="str">
        <f>IF($G688="","",IF($M688="Completed",1,IF(ISNUMBER($N688),$N688,0)))</f>
        <v/>
      </c>
      <c r="AF688" s="70" t="str">
        <f>IF(AND(ISNUMBER($Q688),ISNUMBER($R688)),IF($R688&lt;&gt;0,$Q688/$R688,""),"")</f>
        <v/>
      </c>
      <c r="AG688" s="71" t="str">
        <f>IF($G688="","",IF($AL688=1,"OVERDUE",IF($AM688=1,"BLOCKED",IF($AN688=1,"DUE TODAY",IF($AO688=1,"DUE TOMORROW",IF($AQ688=1,"HIGH PRIORITY",IF($AR688=1,"NO RECENT UPDATE",""))))))) </f>
        <v/>
      </c>
      <c r="AH688" s="71" t="str">
        <f>IF($G688="","",IF(ISNUMBER($A688),IF(ISNUMBER($A688),YEAR($A688)&amp;"-"&amp;TEXT(MONTH($A688),"00"),""),IF(ISNUMBER($L688),IF(ISNUMBER($L688),YEAR($L688)&amp;"-"&amp;TEXT(MONTH($L688),"00"),""),"")))</f>
        <v/>
      </c>
      <c r="AI688" s="71">
        <f>IF($G688="",0,IF(AND(OR(fClient="All",$C688=fClient),OR(fCampaign="All",$D688=fCampaign),OR(fTeam="All",$B688=fTeam),OR(fChannel="All",$F688=fChannel),OR(fMonth="All",$AH688=fMonth),OR(fTStatus="All",$M688=fTStatus)),1,0))</f>
        <v>0</v>
      </c>
      <c r="AJ688" s="71">
        <f>IF($G688="",0,IF(AND(OR(fClient="All",$C688=fClient),OR(fCampaign="All",$D688=fCampaign),OR(fTeam="All",$B688=fTeam),OR(fChannel="All",$F688=fChannel)),1,0))</f>
        <v>0</v>
      </c>
      <c r="AK688" s="71">
        <f>IF($G688="",0,IF(OR($M688="Completed",$M688="Cancelled"),0,1))</f>
        <v>0</v>
      </c>
      <c r="AL688" s="71">
        <f>IF(AND($AK688=1,ISNUMBER($L688)),IF($L688&lt;ReportDate,1,0),0)</f>
        <v>0</v>
      </c>
      <c r="AM688" s="71">
        <f>IF(AND($G688&lt;&gt;"",$M688="Blocked"),1,0)</f>
        <v>0</v>
      </c>
      <c r="AN688" s="71">
        <f>IF(AND($AK688=1,ISNUMBER($L688)),IF($L688=ReportDate,1,0),0)</f>
        <v>0</v>
      </c>
      <c r="AO688" s="71">
        <f>IF(AND($AK688=1,ISNUMBER($L688)),IF($L688=ReportDate+1,1,0),0)</f>
        <v>0</v>
      </c>
      <c r="AP688" s="71">
        <f>IF(AND($AK688=1,ISNUMBER($L688)),IF(AND($L688&gt;=ReportDate,$L688&lt;=ReportDate+DueSoonDays),1,0),0)</f>
        <v>0</v>
      </c>
      <c r="AQ688" s="71">
        <f>IF(AND($AK688=1,OR($I688="Critical",$I688="High")),1,0)</f>
        <v>0</v>
      </c>
      <c r="AR688" s="71">
        <f>IF($AK688=1,IF(ISNUMBER($Y688),IF(ReportDate-$Y688&gt;StaleDays,1,0),1),0)</f>
        <v>0</v>
      </c>
      <c r="AS688" s="71">
        <f>IF(AND($G688&lt;&gt;"",ISNUMBER($Q688),ISNUMBER($R688)),IF(AND($Q688&lt;$R688,OR($M688="Completed",AND(ISNUMBER($L688),$L688&lt;ReportDate))),1,0),0)</f>
        <v>0</v>
      </c>
      <c r="AT688" s="71">
        <f>IF($AK688=1,IF(OR($L688=ReportDate,$W688=ReportDate,$K688=ReportDate,$A688=ReportDate),1,0),0)</f>
        <v>0</v>
      </c>
      <c r="AU688" s="71">
        <f>IF($AK688=1,IF(OR($L688=ReportDate+1,$W688=ReportDate+1,$K688=ReportDate+1,$A688=ReportDate+1),1,0),0)</f>
        <v>0</v>
      </c>
      <c r="AV688" s="71">
        <f>IF(AND($G688&lt;&gt;"",$M688="Completed"),IF(OR($Y688=ReportDate-1,$A688=ReportDate-1),1,0),0)</f>
        <v>0</v>
      </c>
      <c r="AW688" s="71">
        <f>IF(AND($AK688=1,$Z688="Yes"),1,0)</f>
        <v>0</v>
      </c>
      <c r="AX688" s="71">
        <f>IF(AND($AK688=1,$AA688="Yes"),1,0)</f>
        <v>0</v>
      </c>
      <c r="AY688" s="71">
        <f>IF(AND($AM688=1,OR($I688="Critical",$I688="High")),1,0)</f>
        <v>0</v>
      </c>
      <c r="AZ688" s="71">
        <f>IF(AND($AK688=1,OR($C688=TCL_Client,$C688=MECCA_Client)),1,0)</f>
        <v>0</v>
      </c>
      <c r="BA688" s="71" t="str">
        <f>IF($G688="","",IFERROR(MATCH($I688,lst_Priority,0),5))</f>
        <v/>
      </c>
      <c r="BB688" s="71" t="str">
        <f>IF(AND($AL688=1,$AJ688=1),$BA688*100000+ROW(),"")</f>
        <v/>
      </c>
      <c r="BC688" s="71" t="str">
        <f>IF(AND($AM688=1,$AJ688=1),$BA688*100000+ROW(),"")</f>
        <v/>
      </c>
      <c r="BD688" s="71" t="str">
        <f>IF(AND($AP688=1,$AJ688=1),$BA688*100000+ROW(),"")</f>
        <v/>
      </c>
      <c r="BE688" s="71" t="str">
        <f>IF(AND($AT688=1,$AJ688=1),$BA688*100000+ROW(),"")</f>
        <v/>
      </c>
      <c r="BF688" s="71" t="str">
        <f>IF(AND($AU688=1,$AJ688=1),$BA688*100000+ROW(),"")</f>
        <v/>
      </c>
      <c r="BG688" s="71" t="str">
        <f>IF(AND($AV688=1,$AJ688=1),$BA688*100000+ROW(),"")</f>
        <v/>
      </c>
      <c r="BH688" s="71" t="str">
        <f>IF(AND($AW688=1,$AJ688=1),$BA688*100000+ROW(),"")</f>
        <v/>
      </c>
      <c r="BI688" s="71" t="str">
        <f>IF(AND($AX688=1,$AJ688=1),$BA688*100000+ROW(),"")</f>
        <v/>
      </c>
      <c r="BJ688" s="71" t="str">
        <f>IF(AND($AS688=1,$AJ688=1),$BA688*100000+ROW(),"")</f>
        <v/>
      </c>
      <c r="BK688" s="71" t="str">
        <f>IF(AND($AY688=1,$AJ688=1),$BA688*100000+ROW(),"")</f>
        <v/>
      </c>
      <c r="BL688" s="71" t="str">
        <f>IF(AND($AZ688=1),$BA688*100000+ROW(),"")</f>
        <v/>
      </c>
    </row>
    <row r="689">
      <c r="A689" s="63" t="n"/>
      <c r="B689" s="64" t="n"/>
      <c r="C689" s="64" t="n"/>
      <c r="D689" s="64" t="n"/>
      <c r="E689" s="64" t="n"/>
      <c r="F689" s="64" t="n"/>
      <c r="G689" s="65" t="n"/>
      <c r="H689" s="65" t="n"/>
      <c r="I689" s="64" t="n"/>
      <c r="J689" s="64" t="n"/>
      <c r="K689" s="63" t="n"/>
      <c r="L689" s="63" t="n"/>
      <c r="M689" s="64" t="n"/>
      <c r="N689" s="66" t="n"/>
      <c r="O689" s="65" t="n"/>
      <c r="P689" s="64" t="n"/>
      <c r="Q689" s="67" t="n"/>
      <c r="R689" s="67" t="n"/>
      <c r="S689" s="68" t="str">
        <f>IF(AND(ISNUMBER($Q689),ISNUMBER($R689)),$Q689-$R689,"")</f>
        <v/>
      </c>
      <c r="T689" s="65" t="n"/>
      <c r="U689" s="64" t="n"/>
      <c r="V689" s="65" t="n"/>
      <c r="W689" s="63" t="n"/>
      <c r="X689" s="65" t="n"/>
      <c r="Y689" s="63" t="n"/>
      <c r="Z689" s="64" t="n"/>
      <c r="AA689" s="64" t="n"/>
      <c r="AB689" s="65" t="n"/>
      <c r="AC689" s="69" t="str">
        <f>IF(OR($G689="",NOT(ISNUMBER($K689)),$AK689=0),"",MAX(0,ReportDate-$K689))</f>
        <v/>
      </c>
      <c r="AD689" s="69" t="str">
        <f>IF($G689="","",IF($AL689=1,ReportDate-$L689,0))</f>
        <v/>
      </c>
      <c r="AE689" s="70" t="str">
        <f>IF($G689="","",IF($M689="Completed",1,IF(ISNUMBER($N689),$N689,0)))</f>
        <v/>
      </c>
      <c r="AF689" s="70" t="str">
        <f>IF(AND(ISNUMBER($Q689),ISNUMBER($R689)),IF($R689&lt;&gt;0,$Q689/$R689,""),"")</f>
        <v/>
      </c>
      <c r="AG689" s="71" t="str">
        <f>IF($G689="","",IF($AL689=1,"OVERDUE",IF($AM689=1,"BLOCKED",IF($AN689=1,"DUE TODAY",IF($AO689=1,"DUE TOMORROW",IF($AQ689=1,"HIGH PRIORITY",IF($AR689=1,"NO RECENT UPDATE",""))))))) </f>
        <v/>
      </c>
      <c r="AH689" s="71" t="str">
        <f>IF($G689="","",IF(ISNUMBER($A689),IF(ISNUMBER($A689),YEAR($A689)&amp;"-"&amp;TEXT(MONTH($A689),"00"),""),IF(ISNUMBER($L689),IF(ISNUMBER($L689),YEAR($L689)&amp;"-"&amp;TEXT(MONTH($L689),"00"),""),"")))</f>
        <v/>
      </c>
      <c r="AI689" s="71">
        <f>IF($G689="",0,IF(AND(OR(fClient="All",$C689=fClient),OR(fCampaign="All",$D689=fCampaign),OR(fTeam="All",$B689=fTeam),OR(fChannel="All",$F689=fChannel),OR(fMonth="All",$AH689=fMonth),OR(fTStatus="All",$M689=fTStatus)),1,0))</f>
        <v>0</v>
      </c>
      <c r="AJ689" s="71">
        <f>IF($G689="",0,IF(AND(OR(fClient="All",$C689=fClient),OR(fCampaign="All",$D689=fCampaign),OR(fTeam="All",$B689=fTeam),OR(fChannel="All",$F689=fChannel)),1,0))</f>
        <v>0</v>
      </c>
      <c r="AK689" s="71">
        <f>IF($G689="",0,IF(OR($M689="Completed",$M689="Cancelled"),0,1))</f>
        <v>0</v>
      </c>
      <c r="AL689" s="71">
        <f>IF(AND($AK689=1,ISNUMBER($L689)),IF($L689&lt;ReportDate,1,0),0)</f>
        <v>0</v>
      </c>
      <c r="AM689" s="71">
        <f>IF(AND($G689&lt;&gt;"",$M689="Blocked"),1,0)</f>
        <v>0</v>
      </c>
      <c r="AN689" s="71">
        <f>IF(AND($AK689=1,ISNUMBER($L689)),IF($L689=ReportDate,1,0),0)</f>
        <v>0</v>
      </c>
      <c r="AO689" s="71">
        <f>IF(AND($AK689=1,ISNUMBER($L689)),IF($L689=ReportDate+1,1,0),0)</f>
        <v>0</v>
      </c>
      <c r="AP689" s="71">
        <f>IF(AND($AK689=1,ISNUMBER($L689)),IF(AND($L689&gt;=ReportDate,$L689&lt;=ReportDate+DueSoonDays),1,0),0)</f>
        <v>0</v>
      </c>
      <c r="AQ689" s="71">
        <f>IF(AND($AK689=1,OR($I689="Critical",$I689="High")),1,0)</f>
        <v>0</v>
      </c>
      <c r="AR689" s="71">
        <f>IF($AK689=1,IF(ISNUMBER($Y689),IF(ReportDate-$Y689&gt;StaleDays,1,0),1),0)</f>
        <v>0</v>
      </c>
      <c r="AS689" s="71">
        <f>IF(AND($G689&lt;&gt;"",ISNUMBER($Q689),ISNUMBER($R689)),IF(AND($Q689&lt;$R689,OR($M689="Completed",AND(ISNUMBER($L689),$L689&lt;ReportDate))),1,0),0)</f>
        <v>0</v>
      </c>
      <c r="AT689" s="71">
        <f>IF($AK689=1,IF(OR($L689=ReportDate,$W689=ReportDate,$K689=ReportDate,$A689=ReportDate),1,0),0)</f>
        <v>0</v>
      </c>
      <c r="AU689" s="71">
        <f>IF($AK689=1,IF(OR($L689=ReportDate+1,$W689=ReportDate+1,$K689=ReportDate+1,$A689=ReportDate+1),1,0),0)</f>
        <v>0</v>
      </c>
      <c r="AV689" s="71">
        <f>IF(AND($G689&lt;&gt;"",$M689="Completed"),IF(OR($Y689=ReportDate-1,$A689=ReportDate-1),1,0),0)</f>
        <v>0</v>
      </c>
      <c r="AW689" s="71">
        <f>IF(AND($AK689=1,$Z689="Yes"),1,0)</f>
        <v>0</v>
      </c>
      <c r="AX689" s="71">
        <f>IF(AND($AK689=1,$AA689="Yes"),1,0)</f>
        <v>0</v>
      </c>
      <c r="AY689" s="71">
        <f>IF(AND($AM689=1,OR($I689="Critical",$I689="High")),1,0)</f>
        <v>0</v>
      </c>
      <c r="AZ689" s="71">
        <f>IF(AND($AK689=1,OR($C689=TCL_Client,$C689=MECCA_Client)),1,0)</f>
        <v>0</v>
      </c>
      <c r="BA689" s="71" t="str">
        <f>IF($G689="","",IFERROR(MATCH($I689,lst_Priority,0),5))</f>
        <v/>
      </c>
      <c r="BB689" s="71" t="str">
        <f>IF(AND($AL689=1,$AJ689=1),$BA689*100000+ROW(),"")</f>
        <v/>
      </c>
      <c r="BC689" s="71" t="str">
        <f>IF(AND($AM689=1,$AJ689=1),$BA689*100000+ROW(),"")</f>
        <v/>
      </c>
      <c r="BD689" s="71" t="str">
        <f>IF(AND($AP689=1,$AJ689=1),$BA689*100000+ROW(),"")</f>
        <v/>
      </c>
      <c r="BE689" s="71" t="str">
        <f>IF(AND($AT689=1,$AJ689=1),$BA689*100000+ROW(),"")</f>
        <v/>
      </c>
      <c r="BF689" s="71" t="str">
        <f>IF(AND($AU689=1,$AJ689=1),$BA689*100000+ROW(),"")</f>
        <v/>
      </c>
      <c r="BG689" s="71" t="str">
        <f>IF(AND($AV689=1,$AJ689=1),$BA689*100000+ROW(),"")</f>
        <v/>
      </c>
      <c r="BH689" s="71" t="str">
        <f>IF(AND($AW689=1,$AJ689=1),$BA689*100000+ROW(),"")</f>
        <v/>
      </c>
      <c r="BI689" s="71" t="str">
        <f>IF(AND($AX689=1,$AJ689=1),$BA689*100000+ROW(),"")</f>
        <v/>
      </c>
      <c r="BJ689" s="71" t="str">
        <f>IF(AND($AS689=1,$AJ689=1),$BA689*100000+ROW(),"")</f>
        <v/>
      </c>
      <c r="BK689" s="71" t="str">
        <f>IF(AND($AY689=1,$AJ689=1),$BA689*100000+ROW(),"")</f>
        <v/>
      </c>
      <c r="BL689" s="71" t="str">
        <f>IF(AND($AZ689=1),$BA689*100000+ROW(),"")</f>
        <v/>
      </c>
    </row>
    <row r="690">
      <c r="A690" s="63" t="n"/>
      <c r="B690" s="64" t="n"/>
      <c r="C690" s="64" t="n"/>
      <c r="D690" s="64" t="n"/>
      <c r="E690" s="64" t="n"/>
      <c r="F690" s="64" t="n"/>
      <c r="G690" s="65" t="n"/>
      <c r="H690" s="65" t="n"/>
      <c r="I690" s="64" t="n"/>
      <c r="J690" s="64" t="n"/>
      <c r="K690" s="63" t="n"/>
      <c r="L690" s="63" t="n"/>
      <c r="M690" s="64" t="n"/>
      <c r="N690" s="66" t="n"/>
      <c r="O690" s="65" t="n"/>
      <c r="P690" s="64" t="n"/>
      <c r="Q690" s="67" t="n"/>
      <c r="R690" s="67" t="n"/>
      <c r="S690" s="68" t="str">
        <f>IF(AND(ISNUMBER($Q690),ISNUMBER($R690)),$Q690-$R690,"")</f>
        <v/>
      </c>
      <c r="T690" s="65" t="n"/>
      <c r="U690" s="64" t="n"/>
      <c r="V690" s="65" t="n"/>
      <c r="W690" s="63" t="n"/>
      <c r="X690" s="65" t="n"/>
      <c r="Y690" s="63" t="n"/>
      <c r="Z690" s="64" t="n"/>
      <c r="AA690" s="64" t="n"/>
      <c r="AB690" s="65" t="n"/>
      <c r="AC690" s="69" t="str">
        <f>IF(OR($G690="",NOT(ISNUMBER($K690)),$AK690=0),"",MAX(0,ReportDate-$K690))</f>
        <v/>
      </c>
      <c r="AD690" s="69" t="str">
        <f>IF($G690="","",IF($AL690=1,ReportDate-$L690,0))</f>
        <v/>
      </c>
      <c r="AE690" s="70" t="str">
        <f>IF($G690="","",IF($M690="Completed",1,IF(ISNUMBER($N690),$N690,0)))</f>
        <v/>
      </c>
      <c r="AF690" s="70" t="str">
        <f>IF(AND(ISNUMBER($Q690),ISNUMBER($R690)),IF($R690&lt;&gt;0,$Q690/$R690,""),"")</f>
        <v/>
      </c>
      <c r="AG690" s="71" t="str">
        <f>IF($G690="","",IF($AL690=1,"OVERDUE",IF($AM690=1,"BLOCKED",IF($AN690=1,"DUE TODAY",IF($AO690=1,"DUE TOMORROW",IF($AQ690=1,"HIGH PRIORITY",IF($AR690=1,"NO RECENT UPDATE",""))))))) </f>
        <v/>
      </c>
      <c r="AH690" s="71" t="str">
        <f>IF($G690="","",IF(ISNUMBER($A690),IF(ISNUMBER($A690),YEAR($A690)&amp;"-"&amp;TEXT(MONTH($A690),"00"),""),IF(ISNUMBER($L690),IF(ISNUMBER($L690),YEAR($L690)&amp;"-"&amp;TEXT(MONTH($L690),"00"),""),"")))</f>
        <v/>
      </c>
      <c r="AI690" s="71">
        <f>IF($G690="",0,IF(AND(OR(fClient="All",$C690=fClient),OR(fCampaign="All",$D690=fCampaign),OR(fTeam="All",$B690=fTeam),OR(fChannel="All",$F690=fChannel),OR(fMonth="All",$AH690=fMonth),OR(fTStatus="All",$M690=fTStatus)),1,0))</f>
        <v>0</v>
      </c>
      <c r="AJ690" s="71">
        <f>IF($G690="",0,IF(AND(OR(fClient="All",$C690=fClient),OR(fCampaign="All",$D690=fCampaign),OR(fTeam="All",$B690=fTeam),OR(fChannel="All",$F690=fChannel)),1,0))</f>
        <v>0</v>
      </c>
      <c r="AK690" s="71">
        <f>IF($G690="",0,IF(OR($M690="Completed",$M690="Cancelled"),0,1))</f>
        <v>0</v>
      </c>
      <c r="AL690" s="71">
        <f>IF(AND($AK690=1,ISNUMBER($L690)),IF($L690&lt;ReportDate,1,0),0)</f>
        <v>0</v>
      </c>
      <c r="AM690" s="71">
        <f>IF(AND($G690&lt;&gt;"",$M690="Blocked"),1,0)</f>
        <v>0</v>
      </c>
      <c r="AN690" s="71">
        <f>IF(AND($AK690=1,ISNUMBER($L690)),IF($L690=ReportDate,1,0),0)</f>
        <v>0</v>
      </c>
      <c r="AO690" s="71">
        <f>IF(AND($AK690=1,ISNUMBER($L690)),IF($L690=ReportDate+1,1,0),0)</f>
        <v>0</v>
      </c>
      <c r="AP690" s="71">
        <f>IF(AND($AK690=1,ISNUMBER($L690)),IF(AND($L690&gt;=ReportDate,$L690&lt;=ReportDate+DueSoonDays),1,0),0)</f>
        <v>0</v>
      </c>
      <c r="AQ690" s="71">
        <f>IF(AND($AK690=1,OR($I690="Critical",$I690="High")),1,0)</f>
        <v>0</v>
      </c>
      <c r="AR690" s="71">
        <f>IF($AK690=1,IF(ISNUMBER($Y690),IF(ReportDate-$Y690&gt;StaleDays,1,0),1),0)</f>
        <v>0</v>
      </c>
      <c r="AS690" s="71">
        <f>IF(AND($G690&lt;&gt;"",ISNUMBER($Q690),ISNUMBER($R690)),IF(AND($Q690&lt;$R690,OR($M690="Completed",AND(ISNUMBER($L690),$L690&lt;ReportDate))),1,0),0)</f>
        <v>0</v>
      </c>
      <c r="AT690" s="71">
        <f>IF($AK690=1,IF(OR($L690=ReportDate,$W690=ReportDate,$K690=ReportDate,$A690=ReportDate),1,0),0)</f>
        <v>0</v>
      </c>
      <c r="AU690" s="71">
        <f>IF($AK690=1,IF(OR($L690=ReportDate+1,$W690=ReportDate+1,$K690=ReportDate+1,$A690=ReportDate+1),1,0),0)</f>
        <v>0</v>
      </c>
      <c r="AV690" s="71">
        <f>IF(AND($G690&lt;&gt;"",$M690="Completed"),IF(OR($Y690=ReportDate-1,$A690=ReportDate-1),1,0),0)</f>
        <v>0</v>
      </c>
      <c r="AW690" s="71">
        <f>IF(AND($AK690=1,$Z690="Yes"),1,0)</f>
        <v>0</v>
      </c>
      <c r="AX690" s="71">
        <f>IF(AND($AK690=1,$AA690="Yes"),1,0)</f>
        <v>0</v>
      </c>
      <c r="AY690" s="71">
        <f>IF(AND($AM690=1,OR($I690="Critical",$I690="High")),1,0)</f>
        <v>0</v>
      </c>
      <c r="AZ690" s="71">
        <f>IF(AND($AK690=1,OR($C690=TCL_Client,$C690=MECCA_Client)),1,0)</f>
        <v>0</v>
      </c>
      <c r="BA690" s="71" t="str">
        <f>IF($G690="","",IFERROR(MATCH($I690,lst_Priority,0),5))</f>
        <v/>
      </c>
      <c r="BB690" s="71" t="str">
        <f>IF(AND($AL690=1,$AJ690=1),$BA690*100000+ROW(),"")</f>
        <v/>
      </c>
      <c r="BC690" s="71" t="str">
        <f>IF(AND($AM690=1,$AJ690=1),$BA690*100000+ROW(),"")</f>
        <v/>
      </c>
      <c r="BD690" s="71" t="str">
        <f>IF(AND($AP690=1,$AJ690=1),$BA690*100000+ROW(),"")</f>
        <v/>
      </c>
      <c r="BE690" s="71" t="str">
        <f>IF(AND($AT690=1,$AJ690=1),$BA690*100000+ROW(),"")</f>
        <v/>
      </c>
      <c r="BF690" s="71" t="str">
        <f>IF(AND($AU690=1,$AJ690=1),$BA690*100000+ROW(),"")</f>
        <v/>
      </c>
      <c r="BG690" s="71" t="str">
        <f>IF(AND($AV690=1,$AJ690=1),$BA690*100000+ROW(),"")</f>
        <v/>
      </c>
      <c r="BH690" s="71" t="str">
        <f>IF(AND($AW690=1,$AJ690=1),$BA690*100000+ROW(),"")</f>
        <v/>
      </c>
      <c r="BI690" s="71" t="str">
        <f>IF(AND($AX690=1,$AJ690=1),$BA690*100000+ROW(),"")</f>
        <v/>
      </c>
      <c r="BJ690" s="71" t="str">
        <f>IF(AND($AS690=1,$AJ690=1),$BA690*100000+ROW(),"")</f>
        <v/>
      </c>
      <c r="BK690" s="71" t="str">
        <f>IF(AND($AY690=1,$AJ690=1),$BA690*100000+ROW(),"")</f>
        <v/>
      </c>
      <c r="BL690" s="71" t="str">
        <f>IF(AND($AZ690=1),$BA690*100000+ROW(),"")</f>
        <v/>
      </c>
    </row>
    <row r="691">
      <c r="A691" s="63" t="n"/>
      <c r="B691" s="64" t="n"/>
      <c r="C691" s="64" t="n"/>
      <c r="D691" s="64" t="n"/>
      <c r="E691" s="64" t="n"/>
      <c r="F691" s="64" t="n"/>
      <c r="G691" s="65" t="n"/>
      <c r="H691" s="65" t="n"/>
      <c r="I691" s="64" t="n"/>
      <c r="J691" s="64" t="n"/>
      <c r="K691" s="63" t="n"/>
      <c r="L691" s="63" t="n"/>
      <c r="M691" s="64" t="n"/>
      <c r="N691" s="66" t="n"/>
      <c r="O691" s="65" t="n"/>
      <c r="P691" s="64" t="n"/>
      <c r="Q691" s="67" t="n"/>
      <c r="R691" s="67" t="n"/>
      <c r="S691" s="68" t="str">
        <f>IF(AND(ISNUMBER($Q691),ISNUMBER($R691)),$Q691-$R691,"")</f>
        <v/>
      </c>
      <c r="T691" s="65" t="n"/>
      <c r="U691" s="64" t="n"/>
      <c r="V691" s="65" t="n"/>
      <c r="W691" s="63" t="n"/>
      <c r="X691" s="65" t="n"/>
      <c r="Y691" s="63" t="n"/>
      <c r="Z691" s="64" t="n"/>
      <c r="AA691" s="64" t="n"/>
      <c r="AB691" s="65" t="n"/>
      <c r="AC691" s="69" t="str">
        <f>IF(OR($G691="",NOT(ISNUMBER($K691)),$AK691=0),"",MAX(0,ReportDate-$K691))</f>
        <v/>
      </c>
      <c r="AD691" s="69" t="str">
        <f>IF($G691="","",IF($AL691=1,ReportDate-$L691,0))</f>
        <v/>
      </c>
      <c r="AE691" s="70" t="str">
        <f>IF($G691="","",IF($M691="Completed",1,IF(ISNUMBER($N691),$N691,0)))</f>
        <v/>
      </c>
      <c r="AF691" s="70" t="str">
        <f>IF(AND(ISNUMBER($Q691),ISNUMBER($R691)),IF($R691&lt;&gt;0,$Q691/$R691,""),"")</f>
        <v/>
      </c>
      <c r="AG691" s="71" t="str">
        <f>IF($G691="","",IF($AL691=1,"OVERDUE",IF($AM691=1,"BLOCKED",IF($AN691=1,"DUE TODAY",IF($AO691=1,"DUE TOMORROW",IF($AQ691=1,"HIGH PRIORITY",IF($AR691=1,"NO RECENT UPDATE",""))))))) </f>
        <v/>
      </c>
      <c r="AH691" s="71" t="str">
        <f>IF($G691="","",IF(ISNUMBER($A691),IF(ISNUMBER($A691),YEAR($A691)&amp;"-"&amp;TEXT(MONTH($A691),"00"),""),IF(ISNUMBER($L691),IF(ISNUMBER($L691),YEAR($L691)&amp;"-"&amp;TEXT(MONTH($L691),"00"),""),"")))</f>
        <v/>
      </c>
      <c r="AI691" s="71">
        <f>IF($G691="",0,IF(AND(OR(fClient="All",$C691=fClient),OR(fCampaign="All",$D691=fCampaign),OR(fTeam="All",$B691=fTeam),OR(fChannel="All",$F691=fChannel),OR(fMonth="All",$AH691=fMonth),OR(fTStatus="All",$M691=fTStatus)),1,0))</f>
        <v>0</v>
      </c>
      <c r="AJ691" s="71">
        <f>IF($G691="",0,IF(AND(OR(fClient="All",$C691=fClient),OR(fCampaign="All",$D691=fCampaign),OR(fTeam="All",$B691=fTeam),OR(fChannel="All",$F691=fChannel)),1,0))</f>
        <v>0</v>
      </c>
      <c r="AK691" s="71">
        <f>IF($G691="",0,IF(OR($M691="Completed",$M691="Cancelled"),0,1))</f>
        <v>0</v>
      </c>
      <c r="AL691" s="71">
        <f>IF(AND($AK691=1,ISNUMBER($L691)),IF($L691&lt;ReportDate,1,0),0)</f>
        <v>0</v>
      </c>
      <c r="AM691" s="71">
        <f>IF(AND($G691&lt;&gt;"",$M691="Blocked"),1,0)</f>
        <v>0</v>
      </c>
      <c r="AN691" s="71">
        <f>IF(AND($AK691=1,ISNUMBER($L691)),IF($L691=ReportDate,1,0),0)</f>
        <v>0</v>
      </c>
      <c r="AO691" s="71">
        <f>IF(AND($AK691=1,ISNUMBER($L691)),IF($L691=ReportDate+1,1,0),0)</f>
        <v>0</v>
      </c>
      <c r="AP691" s="71">
        <f>IF(AND($AK691=1,ISNUMBER($L691)),IF(AND($L691&gt;=ReportDate,$L691&lt;=ReportDate+DueSoonDays),1,0),0)</f>
        <v>0</v>
      </c>
      <c r="AQ691" s="71">
        <f>IF(AND($AK691=1,OR($I691="Critical",$I691="High")),1,0)</f>
        <v>0</v>
      </c>
      <c r="AR691" s="71">
        <f>IF($AK691=1,IF(ISNUMBER($Y691),IF(ReportDate-$Y691&gt;StaleDays,1,0),1),0)</f>
        <v>0</v>
      </c>
      <c r="AS691" s="71">
        <f>IF(AND($G691&lt;&gt;"",ISNUMBER($Q691),ISNUMBER($R691)),IF(AND($Q691&lt;$R691,OR($M691="Completed",AND(ISNUMBER($L691),$L691&lt;ReportDate))),1,0),0)</f>
        <v>0</v>
      </c>
      <c r="AT691" s="71">
        <f>IF($AK691=1,IF(OR($L691=ReportDate,$W691=ReportDate,$K691=ReportDate,$A691=ReportDate),1,0),0)</f>
        <v>0</v>
      </c>
      <c r="AU691" s="71">
        <f>IF($AK691=1,IF(OR($L691=ReportDate+1,$W691=ReportDate+1,$K691=ReportDate+1,$A691=ReportDate+1),1,0),0)</f>
        <v>0</v>
      </c>
      <c r="AV691" s="71">
        <f>IF(AND($G691&lt;&gt;"",$M691="Completed"),IF(OR($Y691=ReportDate-1,$A691=ReportDate-1),1,0),0)</f>
        <v>0</v>
      </c>
      <c r="AW691" s="71">
        <f>IF(AND($AK691=1,$Z691="Yes"),1,0)</f>
        <v>0</v>
      </c>
      <c r="AX691" s="71">
        <f>IF(AND($AK691=1,$AA691="Yes"),1,0)</f>
        <v>0</v>
      </c>
      <c r="AY691" s="71">
        <f>IF(AND($AM691=1,OR($I691="Critical",$I691="High")),1,0)</f>
        <v>0</v>
      </c>
      <c r="AZ691" s="71">
        <f>IF(AND($AK691=1,OR($C691=TCL_Client,$C691=MECCA_Client)),1,0)</f>
        <v>0</v>
      </c>
      <c r="BA691" s="71" t="str">
        <f>IF($G691="","",IFERROR(MATCH($I691,lst_Priority,0),5))</f>
        <v/>
      </c>
      <c r="BB691" s="71" t="str">
        <f>IF(AND($AL691=1,$AJ691=1),$BA691*100000+ROW(),"")</f>
        <v/>
      </c>
      <c r="BC691" s="71" t="str">
        <f>IF(AND($AM691=1,$AJ691=1),$BA691*100000+ROW(),"")</f>
        <v/>
      </c>
      <c r="BD691" s="71" t="str">
        <f>IF(AND($AP691=1,$AJ691=1),$BA691*100000+ROW(),"")</f>
        <v/>
      </c>
      <c r="BE691" s="71" t="str">
        <f>IF(AND($AT691=1,$AJ691=1),$BA691*100000+ROW(),"")</f>
        <v/>
      </c>
      <c r="BF691" s="71" t="str">
        <f>IF(AND($AU691=1,$AJ691=1),$BA691*100000+ROW(),"")</f>
        <v/>
      </c>
      <c r="BG691" s="71" t="str">
        <f>IF(AND($AV691=1,$AJ691=1),$BA691*100000+ROW(),"")</f>
        <v/>
      </c>
      <c r="BH691" s="71" t="str">
        <f>IF(AND($AW691=1,$AJ691=1),$BA691*100000+ROW(),"")</f>
        <v/>
      </c>
      <c r="BI691" s="71" t="str">
        <f>IF(AND($AX691=1,$AJ691=1),$BA691*100000+ROW(),"")</f>
        <v/>
      </c>
      <c r="BJ691" s="71" t="str">
        <f>IF(AND($AS691=1,$AJ691=1),$BA691*100000+ROW(),"")</f>
        <v/>
      </c>
      <c r="BK691" s="71" t="str">
        <f>IF(AND($AY691=1,$AJ691=1),$BA691*100000+ROW(),"")</f>
        <v/>
      </c>
      <c r="BL691" s="71" t="str">
        <f>IF(AND($AZ691=1),$BA691*100000+ROW(),"")</f>
        <v/>
      </c>
    </row>
    <row r="692">
      <c r="A692" s="63" t="n"/>
      <c r="B692" s="64" t="n"/>
      <c r="C692" s="64" t="n"/>
      <c r="D692" s="64" t="n"/>
      <c r="E692" s="64" t="n"/>
      <c r="F692" s="64" t="n"/>
      <c r="G692" s="65" t="n"/>
      <c r="H692" s="65" t="n"/>
      <c r="I692" s="64" t="n"/>
      <c r="J692" s="64" t="n"/>
      <c r="K692" s="63" t="n"/>
      <c r="L692" s="63" t="n"/>
      <c r="M692" s="64" t="n"/>
      <c r="N692" s="66" t="n"/>
      <c r="O692" s="65" t="n"/>
      <c r="P692" s="64" t="n"/>
      <c r="Q692" s="67" t="n"/>
      <c r="R692" s="67" t="n"/>
      <c r="S692" s="68" t="str">
        <f>IF(AND(ISNUMBER($Q692),ISNUMBER($R692)),$Q692-$R692,"")</f>
        <v/>
      </c>
      <c r="T692" s="65" t="n"/>
      <c r="U692" s="64" t="n"/>
      <c r="V692" s="65" t="n"/>
      <c r="W692" s="63" t="n"/>
      <c r="X692" s="65" t="n"/>
      <c r="Y692" s="63" t="n"/>
      <c r="Z692" s="64" t="n"/>
      <c r="AA692" s="64" t="n"/>
      <c r="AB692" s="65" t="n"/>
      <c r="AC692" s="69" t="str">
        <f>IF(OR($G692="",NOT(ISNUMBER($K692)),$AK692=0),"",MAX(0,ReportDate-$K692))</f>
        <v/>
      </c>
      <c r="AD692" s="69" t="str">
        <f>IF($G692="","",IF($AL692=1,ReportDate-$L692,0))</f>
        <v/>
      </c>
      <c r="AE692" s="70" t="str">
        <f>IF($G692="","",IF($M692="Completed",1,IF(ISNUMBER($N692),$N692,0)))</f>
        <v/>
      </c>
      <c r="AF692" s="70" t="str">
        <f>IF(AND(ISNUMBER($Q692),ISNUMBER($R692)),IF($R692&lt;&gt;0,$Q692/$R692,""),"")</f>
        <v/>
      </c>
      <c r="AG692" s="71" t="str">
        <f>IF($G692="","",IF($AL692=1,"OVERDUE",IF($AM692=1,"BLOCKED",IF($AN692=1,"DUE TODAY",IF($AO692=1,"DUE TOMORROW",IF($AQ692=1,"HIGH PRIORITY",IF($AR692=1,"NO RECENT UPDATE",""))))))) </f>
        <v/>
      </c>
      <c r="AH692" s="71" t="str">
        <f>IF($G692="","",IF(ISNUMBER($A692),IF(ISNUMBER($A692),YEAR($A692)&amp;"-"&amp;TEXT(MONTH($A692),"00"),""),IF(ISNUMBER($L692),IF(ISNUMBER($L692),YEAR($L692)&amp;"-"&amp;TEXT(MONTH($L692),"00"),""),"")))</f>
        <v/>
      </c>
      <c r="AI692" s="71">
        <f>IF($G692="",0,IF(AND(OR(fClient="All",$C692=fClient),OR(fCampaign="All",$D692=fCampaign),OR(fTeam="All",$B692=fTeam),OR(fChannel="All",$F692=fChannel),OR(fMonth="All",$AH692=fMonth),OR(fTStatus="All",$M692=fTStatus)),1,0))</f>
        <v>0</v>
      </c>
      <c r="AJ692" s="71">
        <f>IF($G692="",0,IF(AND(OR(fClient="All",$C692=fClient),OR(fCampaign="All",$D692=fCampaign),OR(fTeam="All",$B692=fTeam),OR(fChannel="All",$F692=fChannel)),1,0))</f>
        <v>0</v>
      </c>
      <c r="AK692" s="71">
        <f>IF($G692="",0,IF(OR($M692="Completed",$M692="Cancelled"),0,1))</f>
        <v>0</v>
      </c>
      <c r="AL692" s="71">
        <f>IF(AND($AK692=1,ISNUMBER($L692)),IF($L692&lt;ReportDate,1,0),0)</f>
        <v>0</v>
      </c>
      <c r="AM692" s="71">
        <f>IF(AND($G692&lt;&gt;"",$M692="Blocked"),1,0)</f>
        <v>0</v>
      </c>
      <c r="AN692" s="71">
        <f>IF(AND($AK692=1,ISNUMBER($L692)),IF($L692=ReportDate,1,0),0)</f>
        <v>0</v>
      </c>
      <c r="AO692" s="71">
        <f>IF(AND($AK692=1,ISNUMBER($L692)),IF($L692=ReportDate+1,1,0),0)</f>
        <v>0</v>
      </c>
      <c r="AP692" s="71">
        <f>IF(AND($AK692=1,ISNUMBER($L692)),IF(AND($L692&gt;=ReportDate,$L692&lt;=ReportDate+DueSoonDays),1,0),0)</f>
        <v>0</v>
      </c>
      <c r="AQ692" s="71">
        <f>IF(AND($AK692=1,OR($I692="Critical",$I692="High")),1,0)</f>
        <v>0</v>
      </c>
      <c r="AR692" s="71">
        <f>IF($AK692=1,IF(ISNUMBER($Y692),IF(ReportDate-$Y692&gt;StaleDays,1,0),1),0)</f>
        <v>0</v>
      </c>
      <c r="AS692" s="71">
        <f>IF(AND($G692&lt;&gt;"",ISNUMBER($Q692),ISNUMBER($R692)),IF(AND($Q692&lt;$R692,OR($M692="Completed",AND(ISNUMBER($L692),$L692&lt;ReportDate))),1,0),0)</f>
        <v>0</v>
      </c>
      <c r="AT692" s="71">
        <f>IF($AK692=1,IF(OR($L692=ReportDate,$W692=ReportDate,$K692=ReportDate,$A692=ReportDate),1,0),0)</f>
        <v>0</v>
      </c>
      <c r="AU692" s="71">
        <f>IF($AK692=1,IF(OR($L692=ReportDate+1,$W692=ReportDate+1,$K692=ReportDate+1,$A692=ReportDate+1),1,0),0)</f>
        <v>0</v>
      </c>
      <c r="AV692" s="71">
        <f>IF(AND($G692&lt;&gt;"",$M692="Completed"),IF(OR($Y692=ReportDate-1,$A692=ReportDate-1),1,0),0)</f>
        <v>0</v>
      </c>
      <c r="AW692" s="71">
        <f>IF(AND($AK692=1,$Z692="Yes"),1,0)</f>
        <v>0</v>
      </c>
      <c r="AX692" s="71">
        <f>IF(AND($AK692=1,$AA692="Yes"),1,0)</f>
        <v>0</v>
      </c>
      <c r="AY692" s="71">
        <f>IF(AND($AM692=1,OR($I692="Critical",$I692="High")),1,0)</f>
        <v>0</v>
      </c>
      <c r="AZ692" s="71">
        <f>IF(AND($AK692=1,OR($C692=TCL_Client,$C692=MECCA_Client)),1,0)</f>
        <v>0</v>
      </c>
      <c r="BA692" s="71" t="str">
        <f>IF($G692="","",IFERROR(MATCH($I692,lst_Priority,0),5))</f>
        <v/>
      </c>
      <c r="BB692" s="71" t="str">
        <f>IF(AND($AL692=1,$AJ692=1),$BA692*100000+ROW(),"")</f>
        <v/>
      </c>
      <c r="BC692" s="71" t="str">
        <f>IF(AND($AM692=1,$AJ692=1),$BA692*100000+ROW(),"")</f>
        <v/>
      </c>
      <c r="BD692" s="71" t="str">
        <f>IF(AND($AP692=1,$AJ692=1),$BA692*100000+ROW(),"")</f>
        <v/>
      </c>
      <c r="BE692" s="71" t="str">
        <f>IF(AND($AT692=1,$AJ692=1),$BA692*100000+ROW(),"")</f>
        <v/>
      </c>
      <c r="BF692" s="71" t="str">
        <f>IF(AND($AU692=1,$AJ692=1),$BA692*100000+ROW(),"")</f>
        <v/>
      </c>
      <c r="BG692" s="71" t="str">
        <f>IF(AND($AV692=1,$AJ692=1),$BA692*100000+ROW(),"")</f>
        <v/>
      </c>
      <c r="BH692" s="71" t="str">
        <f>IF(AND($AW692=1,$AJ692=1),$BA692*100000+ROW(),"")</f>
        <v/>
      </c>
      <c r="BI692" s="71" t="str">
        <f>IF(AND($AX692=1,$AJ692=1),$BA692*100000+ROW(),"")</f>
        <v/>
      </c>
      <c r="BJ692" s="71" t="str">
        <f>IF(AND($AS692=1,$AJ692=1),$BA692*100000+ROW(),"")</f>
        <v/>
      </c>
      <c r="BK692" s="71" t="str">
        <f>IF(AND($AY692=1,$AJ692=1),$BA692*100000+ROW(),"")</f>
        <v/>
      </c>
      <c r="BL692" s="71" t="str">
        <f>IF(AND($AZ692=1),$BA692*100000+ROW(),"")</f>
        <v/>
      </c>
    </row>
    <row r="693">
      <c r="A693" s="63" t="n"/>
      <c r="B693" s="64" t="n"/>
      <c r="C693" s="64" t="n"/>
      <c r="D693" s="64" t="n"/>
      <c r="E693" s="64" t="n"/>
      <c r="F693" s="64" t="n"/>
      <c r="G693" s="65" t="n"/>
      <c r="H693" s="65" t="n"/>
      <c r="I693" s="64" t="n"/>
      <c r="J693" s="64" t="n"/>
      <c r="K693" s="63" t="n"/>
      <c r="L693" s="63" t="n"/>
      <c r="M693" s="64" t="n"/>
      <c r="N693" s="66" t="n"/>
      <c r="O693" s="65" t="n"/>
      <c r="P693" s="64" t="n"/>
      <c r="Q693" s="67" t="n"/>
      <c r="R693" s="67" t="n"/>
      <c r="S693" s="68" t="str">
        <f>IF(AND(ISNUMBER($Q693),ISNUMBER($R693)),$Q693-$R693,"")</f>
        <v/>
      </c>
      <c r="T693" s="65" t="n"/>
      <c r="U693" s="64" t="n"/>
      <c r="V693" s="65" t="n"/>
      <c r="W693" s="63" t="n"/>
      <c r="X693" s="65" t="n"/>
      <c r="Y693" s="63" t="n"/>
      <c r="Z693" s="64" t="n"/>
      <c r="AA693" s="64" t="n"/>
      <c r="AB693" s="65" t="n"/>
      <c r="AC693" s="69" t="str">
        <f>IF(OR($G693="",NOT(ISNUMBER($K693)),$AK693=0),"",MAX(0,ReportDate-$K693))</f>
        <v/>
      </c>
      <c r="AD693" s="69" t="str">
        <f>IF($G693="","",IF($AL693=1,ReportDate-$L693,0))</f>
        <v/>
      </c>
      <c r="AE693" s="70" t="str">
        <f>IF($G693="","",IF($M693="Completed",1,IF(ISNUMBER($N693),$N693,0)))</f>
        <v/>
      </c>
      <c r="AF693" s="70" t="str">
        <f>IF(AND(ISNUMBER($Q693),ISNUMBER($R693)),IF($R693&lt;&gt;0,$Q693/$R693,""),"")</f>
        <v/>
      </c>
      <c r="AG693" s="71" t="str">
        <f>IF($G693="","",IF($AL693=1,"OVERDUE",IF($AM693=1,"BLOCKED",IF($AN693=1,"DUE TODAY",IF($AO693=1,"DUE TOMORROW",IF($AQ693=1,"HIGH PRIORITY",IF($AR693=1,"NO RECENT UPDATE",""))))))) </f>
        <v/>
      </c>
      <c r="AH693" s="71" t="str">
        <f>IF($G693="","",IF(ISNUMBER($A693),IF(ISNUMBER($A693),YEAR($A693)&amp;"-"&amp;TEXT(MONTH($A693),"00"),""),IF(ISNUMBER($L693),IF(ISNUMBER($L693),YEAR($L693)&amp;"-"&amp;TEXT(MONTH($L693),"00"),""),"")))</f>
        <v/>
      </c>
      <c r="AI693" s="71">
        <f>IF($G693="",0,IF(AND(OR(fClient="All",$C693=fClient),OR(fCampaign="All",$D693=fCampaign),OR(fTeam="All",$B693=fTeam),OR(fChannel="All",$F693=fChannel),OR(fMonth="All",$AH693=fMonth),OR(fTStatus="All",$M693=fTStatus)),1,0))</f>
        <v>0</v>
      </c>
      <c r="AJ693" s="71">
        <f>IF($G693="",0,IF(AND(OR(fClient="All",$C693=fClient),OR(fCampaign="All",$D693=fCampaign),OR(fTeam="All",$B693=fTeam),OR(fChannel="All",$F693=fChannel)),1,0))</f>
        <v>0</v>
      </c>
      <c r="AK693" s="71">
        <f>IF($G693="",0,IF(OR($M693="Completed",$M693="Cancelled"),0,1))</f>
        <v>0</v>
      </c>
      <c r="AL693" s="71">
        <f>IF(AND($AK693=1,ISNUMBER($L693)),IF($L693&lt;ReportDate,1,0),0)</f>
        <v>0</v>
      </c>
      <c r="AM693" s="71">
        <f>IF(AND($G693&lt;&gt;"",$M693="Blocked"),1,0)</f>
        <v>0</v>
      </c>
      <c r="AN693" s="71">
        <f>IF(AND($AK693=1,ISNUMBER($L693)),IF($L693=ReportDate,1,0),0)</f>
        <v>0</v>
      </c>
      <c r="AO693" s="71">
        <f>IF(AND($AK693=1,ISNUMBER($L693)),IF($L693=ReportDate+1,1,0),0)</f>
        <v>0</v>
      </c>
      <c r="AP693" s="71">
        <f>IF(AND($AK693=1,ISNUMBER($L693)),IF(AND($L693&gt;=ReportDate,$L693&lt;=ReportDate+DueSoonDays),1,0),0)</f>
        <v>0</v>
      </c>
      <c r="AQ693" s="71">
        <f>IF(AND($AK693=1,OR($I693="Critical",$I693="High")),1,0)</f>
        <v>0</v>
      </c>
      <c r="AR693" s="71">
        <f>IF($AK693=1,IF(ISNUMBER($Y693),IF(ReportDate-$Y693&gt;StaleDays,1,0),1),0)</f>
        <v>0</v>
      </c>
      <c r="AS693" s="71">
        <f>IF(AND($G693&lt;&gt;"",ISNUMBER($Q693),ISNUMBER($R693)),IF(AND($Q693&lt;$R693,OR($M693="Completed",AND(ISNUMBER($L693),$L693&lt;ReportDate))),1,0),0)</f>
        <v>0</v>
      </c>
      <c r="AT693" s="71">
        <f>IF($AK693=1,IF(OR($L693=ReportDate,$W693=ReportDate,$K693=ReportDate,$A693=ReportDate),1,0),0)</f>
        <v>0</v>
      </c>
      <c r="AU693" s="71">
        <f>IF($AK693=1,IF(OR($L693=ReportDate+1,$W693=ReportDate+1,$K693=ReportDate+1,$A693=ReportDate+1),1,0),0)</f>
        <v>0</v>
      </c>
      <c r="AV693" s="71">
        <f>IF(AND($G693&lt;&gt;"",$M693="Completed"),IF(OR($Y693=ReportDate-1,$A693=ReportDate-1),1,0),0)</f>
        <v>0</v>
      </c>
      <c r="AW693" s="71">
        <f>IF(AND($AK693=1,$Z693="Yes"),1,0)</f>
        <v>0</v>
      </c>
      <c r="AX693" s="71">
        <f>IF(AND($AK693=1,$AA693="Yes"),1,0)</f>
        <v>0</v>
      </c>
      <c r="AY693" s="71">
        <f>IF(AND($AM693=1,OR($I693="Critical",$I693="High")),1,0)</f>
        <v>0</v>
      </c>
      <c r="AZ693" s="71">
        <f>IF(AND($AK693=1,OR($C693=TCL_Client,$C693=MECCA_Client)),1,0)</f>
        <v>0</v>
      </c>
      <c r="BA693" s="71" t="str">
        <f>IF($G693="","",IFERROR(MATCH($I693,lst_Priority,0),5))</f>
        <v/>
      </c>
      <c r="BB693" s="71" t="str">
        <f>IF(AND($AL693=1,$AJ693=1),$BA693*100000+ROW(),"")</f>
        <v/>
      </c>
      <c r="BC693" s="71" t="str">
        <f>IF(AND($AM693=1,$AJ693=1),$BA693*100000+ROW(),"")</f>
        <v/>
      </c>
      <c r="BD693" s="71" t="str">
        <f>IF(AND($AP693=1,$AJ693=1),$BA693*100000+ROW(),"")</f>
        <v/>
      </c>
      <c r="BE693" s="71" t="str">
        <f>IF(AND($AT693=1,$AJ693=1),$BA693*100000+ROW(),"")</f>
        <v/>
      </c>
      <c r="BF693" s="71" t="str">
        <f>IF(AND($AU693=1,$AJ693=1),$BA693*100000+ROW(),"")</f>
        <v/>
      </c>
      <c r="BG693" s="71" t="str">
        <f>IF(AND($AV693=1,$AJ693=1),$BA693*100000+ROW(),"")</f>
        <v/>
      </c>
      <c r="BH693" s="71" t="str">
        <f>IF(AND($AW693=1,$AJ693=1),$BA693*100000+ROW(),"")</f>
        <v/>
      </c>
      <c r="BI693" s="71" t="str">
        <f>IF(AND($AX693=1,$AJ693=1),$BA693*100000+ROW(),"")</f>
        <v/>
      </c>
      <c r="BJ693" s="71" t="str">
        <f>IF(AND($AS693=1,$AJ693=1),$BA693*100000+ROW(),"")</f>
        <v/>
      </c>
      <c r="BK693" s="71" t="str">
        <f>IF(AND($AY693=1,$AJ693=1),$BA693*100000+ROW(),"")</f>
        <v/>
      </c>
      <c r="BL693" s="71" t="str">
        <f>IF(AND($AZ693=1),$BA693*100000+ROW(),"")</f>
        <v/>
      </c>
    </row>
    <row r="694">
      <c r="A694" s="63" t="n"/>
      <c r="B694" s="64" t="n"/>
      <c r="C694" s="64" t="n"/>
      <c r="D694" s="64" t="n"/>
      <c r="E694" s="64" t="n"/>
      <c r="F694" s="64" t="n"/>
      <c r="G694" s="65" t="n"/>
      <c r="H694" s="65" t="n"/>
      <c r="I694" s="64" t="n"/>
      <c r="J694" s="64" t="n"/>
      <c r="K694" s="63" t="n"/>
      <c r="L694" s="63" t="n"/>
      <c r="M694" s="64" t="n"/>
      <c r="N694" s="66" t="n"/>
      <c r="O694" s="65" t="n"/>
      <c r="P694" s="64" t="n"/>
      <c r="Q694" s="67" t="n"/>
      <c r="R694" s="67" t="n"/>
      <c r="S694" s="68" t="str">
        <f>IF(AND(ISNUMBER($Q694),ISNUMBER($R694)),$Q694-$R694,"")</f>
        <v/>
      </c>
      <c r="T694" s="65" t="n"/>
      <c r="U694" s="64" t="n"/>
      <c r="V694" s="65" t="n"/>
      <c r="W694" s="63" t="n"/>
      <c r="X694" s="65" t="n"/>
      <c r="Y694" s="63" t="n"/>
      <c r="Z694" s="64" t="n"/>
      <c r="AA694" s="64" t="n"/>
      <c r="AB694" s="65" t="n"/>
      <c r="AC694" s="69" t="str">
        <f>IF(OR($G694="",NOT(ISNUMBER($K694)),$AK694=0),"",MAX(0,ReportDate-$K694))</f>
        <v/>
      </c>
      <c r="AD694" s="69" t="str">
        <f>IF($G694="","",IF($AL694=1,ReportDate-$L694,0))</f>
        <v/>
      </c>
      <c r="AE694" s="70" t="str">
        <f>IF($G694="","",IF($M694="Completed",1,IF(ISNUMBER($N694),$N694,0)))</f>
        <v/>
      </c>
      <c r="AF694" s="70" t="str">
        <f>IF(AND(ISNUMBER($Q694),ISNUMBER($R694)),IF($R694&lt;&gt;0,$Q694/$R694,""),"")</f>
        <v/>
      </c>
      <c r="AG694" s="71" t="str">
        <f>IF($G694="","",IF($AL694=1,"OVERDUE",IF($AM694=1,"BLOCKED",IF($AN694=1,"DUE TODAY",IF($AO694=1,"DUE TOMORROW",IF($AQ694=1,"HIGH PRIORITY",IF($AR694=1,"NO RECENT UPDATE",""))))))) </f>
        <v/>
      </c>
      <c r="AH694" s="71" t="str">
        <f>IF($G694="","",IF(ISNUMBER($A694),IF(ISNUMBER($A694),YEAR($A694)&amp;"-"&amp;TEXT(MONTH($A694),"00"),""),IF(ISNUMBER($L694),IF(ISNUMBER($L694),YEAR($L694)&amp;"-"&amp;TEXT(MONTH($L694),"00"),""),"")))</f>
        <v/>
      </c>
      <c r="AI694" s="71">
        <f>IF($G694="",0,IF(AND(OR(fClient="All",$C694=fClient),OR(fCampaign="All",$D694=fCampaign),OR(fTeam="All",$B694=fTeam),OR(fChannel="All",$F694=fChannel),OR(fMonth="All",$AH694=fMonth),OR(fTStatus="All",$M694=fTStatus)),1,0))</f>
        <v>0</v>
      </c>
      <c r="AJ694" s="71">
        <f>IF($G694="",0,IF(AND(OR(fClient="All",$C694=fClient),OR(fCampaign="All",$D694=fCampaign),OR(fTeam="All",$B694=fTeam),OR(fChannel="All",$F694=fChannel)),1,0))</f>
        <v>0</v>
      </c>
      <c r="AK694" s="71">
        <f>IF($G694="",0,IF(OR($M694="Completed",$M694="Cancelled"),0,1))</f>
        <v>0</v>
      </c>
      <c r="AL694" s="71">
        <f>IF(AND($AK694=1,ISNUMBER($L694)),IF($L694&lt;ReportDate,1,0),0)</f>
        <v>0</v>
      </c>
      <c r="AM694" s="71">
        <f>IF(AND($G694&lt;&gt;"",$M694="Blocked"),1,0)</f>
        <v>0</v>
      </c>
      <c r="AN694" s="71">
        <f>IF(AND($AK694=1,ISNUMBER($L694)),IF($L694=ReportDate,1,0),0)</f>
        <v>0</v>
      </c>
      <c r="AO694" s="71">
        <f>IF(AND($AK694=1,ISNUMBER($L694)),IF($L694=ReportDate+1,1,0),0)</f>
        <v>0</v>
      </c>
      <c r="AP694" s="71">
        <f>IF(AND($AK694=1,ISNUMBER($L694)),IF(AND($L694&gt;=ReportDate,$L694&lt;=ReportDate+DueSoonDays),1,0),0)</f>
        <v>0</v>
      </c>
      <c r="AQ694" s="71">
        <f>IF(AND($AK694=1,OR($I694="Critical",$I694="High")),1,0)</f>
        <v>0</v>
      </c>
      <c r="AR694" s="71">
        <f>IF($AK694=1,IF(ISNUMBER($Y694),IF(ReportDate-$Y694&gt;StaleDays,1,0),1),0)</f>
        <v>0</v>
      </c>
      <c r="AS694" s="71">
        <f>IF(AND($G694&lt;&gt;"",ISNUMBER($Q694),ISNUMBER($R694)),IF(AND($Q694&lt;$R694,OR($M694="Completed",AND(ISNUMBER($L694),$L694&lt;ReportDate))),1,0),0)</f>
        <v>0</v>
      </c>
      <c r="AT694" s="71">
        <f>IF($AK694=1,IF(OR($L694=ReportDate,$W694=ReportDate,$K694=ReportDate,$A694=ReportDate),1,0),0)</f>
        <v>0</v>
      </c>
      <c r="AU694" s="71">
        <f>IF($AK694=1,IF(OR($L694=ReportDate+1,$W694=ReportDate+1,$K694=ReportDate+1,$A694=ReportDate+1),1,0),0)</f>
        <v>0</v>
      </c>
      <c r="AV694" s="71">
        <f>IF(AND($G694&lt;&gt;"",$M694="Completed"),IF(OR($Y694=ReportDate-1,$A694=ReportDate-1),1,0),0)</f>
        <v>0</v>
      </c>
      <c r="AW694" s="71">
        <f>IF(AND($AK694=1,$Z694="Yes"),1,0)</f>
        <v>0</v>
      </c>
      <c r="AX694" s="71">
        <f>IF(AND($AK694=1,$AA694="Yes"),1,0)</f>
        <v>0</v>
      </c>
      <c r="AY694" s="71">
        <f>IF(AND($AM694=1,OR($I694="Critical",$I694="High")),1,0)</f>
        <v>0</v>
      </c>
      <c r="AZ694" s="71">
        <f>IF(AND($AK694=1,OR($C694=TCL_Client,$C694=MECCA_Client)),1,0)</f>
        <v>0</v>
      </c>
      <c r="BA694" s="71" t="str">
        <f>IF($G694="","",IFERROR(MATCH($I694,lst_Priority,0),5))</f>
        <v/>
      </c>
      <c r="BB694" s="71" t="str">
        <f>IF(AND($AL694=1,$AJ694=1),$BA694*100000+ROW(),"")</f>
        <v/>
      </c>
      <c r="BC694" s="71" t="str">
        <f>IF(AND($AM694=1,$AJ694=1),$BA694*100000+ROW(),"")</f>
        <v/>
      </c>
      <c r="BD694" s="71" t="str">
        <f>IF(AND($AP694=1,$AJ694=1),$BA694*100000+ROW(),"")</f>
        <v/>
      </c>
      <c r="BE694" s="71" t="str">
        <f>IF(AND($AT694=1,$AJ694=1),$BA694*100000+ROW(),"")</f>
        <v/>
      </c>
      <c r="BF694" s="71" t="str">
        <f>IF(AND($AU694=1,$AJ694=1),$BA694*100000+ROW(),"")</f>
        <v/>
      </c>
      <c r="BG694" s="71" t="str">
        <f>IF(AND($AV694=1,$AJ694=1),$BA694*100000+ROW(),"")</f>
        <v/>
      </c>
      <c r="BH694" s="71" t="str">
        <f>IF(AND($AW694=1,$AJ694=1),$BA694*100000+ROW(),"")</f>
        <v/>
      </c>
      <c r="BI694" s="71" t="str">
        <f>IF(AND($AX694=1,$AJ694=1),$BA694*100000+ROW(),"")</f>
        <v/>
      </c>
      <c r="BJ694" s="71" t="str">
        <f>IF(AND($AS694=1,$AJ694=1),$BA694*100000+ROW(),"")</f>
        <v/>
      </c>
      <c r="BK694" s="71" t="str">
        <f>IF(AND($AY694=1,$AJ694=1),$BA694*100000+ROW(),"")</f>
        <v/>
      </c>
      <c r="BL694" s="71" t="str">
        <f>IF(AND($AZ694=1),$BA694*100000+ROW(),"")</f>
        <v/>
      </c>
    </row>
    <row r="695">
      <c r="A695" s="63" t="n"/>
      <c r="B695" s="64" t="n"/>
      <c r="C695" s="64" t="n"/>
      <c r="D695" s="64" t="n"/>
      <c r="E695" s="64" t="n"/>
      <c r="F695" s="64" t="n"/>
      <c r="G695" s="65" t="n"/>
      <c r="H695" s="65" t="n"/>
      <c r="I695" s="64" t="n"/>
      <c r="J695" s="64" t="n"/>
      <c r="K695" s="63" t="n"/>
      <c r="L695" s="63" t="n"/>
      <c r="M695" s="64" t="n"/>
      <c r="N695" s="66" t="n"/>
      <c r="O695" s="65" t="n"/>
      <c r="P695" s="64" t="n"/>
      <c r="Q695" s="67" t="n"/>
      <c r="R695" s="67" t="n"/>
      <c r="S695" s="68" t="str">
        <f>IF(AND(ISNUMBER($Q695),ISNUMBER($R695)),$Q695-$R695,"")</f>
        <v/>
      </c>
      <c r="T695" s="65" t="n"/>
      <c r="U695" s="64" t="n"/>
      <c r="V695" s="65" t="n"/>
      <c r="W695" s="63" t="n"/>
      <c r="X695" s="65" t="n"/>
      <c r="Y695" s="63" t="n"/>
      <c r="Z695" s="64" t="n"/>
      <c r="AA695" s="64" t="n"/>
      <c r="AB695" s="65" t="n"/>
      <c r="AC695" s="69" t="str">
        <f>IF(OR($G695="",NOT(ISNUMBER($K695)),$AK695=0),"",MAX(0,ReportDate-$K695))</f>
        <v/>
      </c>
      <c r="AD695" s="69" t="str">
        <f>IF($G695="","",IF($AL695=1,ReportDate-$L695,0))</f>
        <v/>
      </c>
      <c r="AE695" s="70" t="str">
        <f>IF($G695="","",IF($M695="Completed",1,IF(ISNUMBER($N695),$N695,0)))</f>
        <v/>
      </c>
      <c r="AF695" s="70" t="str">
        <f>IF(AND(ISNUMBER($Q695),ISNUMBER($R695)),IF($R695&lt;&gt;0,$Q695/$R695,""),"")</f>
        <v/>
      </c>
      <c r="AG695" s="71" t="str">
        <f>IF($G695="","",IF($AL695=1,"OVERDUE",IF($AM695=1,"BLOCKED",IF($AN695=1,"DUE TODAY",IF($AO695=1,"DUE TOMORROW",IF($AQ695=1,"HIGH PRIORITY",IF($AR695=1,"NO RECENT UPDATE",""))))))) </f>
        <v/>
      </c>
      <c r="AH695" s="71" t="str">
        <f>IF($G695="","",IF(ISNUMBER($A695),IF(ISNUMBER($A695),YEAR($A695)&amp;"-"&amp;TEXT(MONTH($A695),"00"),""),IF(ISNUMBER($L695),IF(ISNUMBER($L695),YEAR($L695)&amp;"-"&amp;TEXT(MONTH($L695),"00"),""),"")))</f>
        <v/>
      </c>
      <c r="AI695" s="71">
        <f>IF($G695="",0,IF(AND(OR(fClient="All",$C695=fClient),OR(fCampaign="All",$D695=fCampaign),OR(fTeam="All",$B695=fTeam),OR(fChannel="All",$F695=fChannel),OR(fMonth="All",$AH695=fMonth),OR(fTStatus="All",$M695=fTStatus)),1,0))</f>
        <v>0</v>
      </c>
      <c r="AJ695" s="71">
        <f>IF($G695="",0,IF(AND(OR(fClient="All",$C695=fClient),OR(fCampaign="All",$D695=fCampaign),OR(fTeam="All",$B695=fTeam),OR(fChannel="All",$F695=fChannel)),1,0))</f>
        <v>0</v>
      </c>
      <c r="AK695" s="71">
        <f>IF($G695="",0,IF(OR($M695="Completed",$M695="Cancelled"),0,1))</f>
        <v>0</v>
      </c>
      <c r="AL695" s="71">
        <f>IF(AND($AK695=1,ISNUMBER($L695)),IF($L695&lt;ReportDate,1,0),0)</f>
        <v>0</v>
      </c>
      <c r="AM695" s="71">
        <f>IF(AND($G695&lt;&gt;"",$M695="Blocked"),1,0)</f>
        <v>0</v>
      </c>
      <c r="AN695" s="71">
        <f>IF(AND($AK695=1,ISNUMBER($L695)),IF($L695=ReportDate,1,0),0)</f>
        <v>0</v>
      </c>
      <c r="AO695" s="71">
        <f>IF(AND($AK695=1,ISNUMBER($L695)),IF($L695=ReportDate+1,1,0),0)</f>
        <v>0</v>
      </c>
      <c r="AP695" s="71">
        <f>IF(AND($AK695=1,ISNUMBER($L695)),IF(AND($L695&gt;=ReportDate,$L695&lt;=ReportDate+DueSoonDays),1,0),0)</f>
        <v>0</v>
      </c>
      <c r="AQ695" s="71">
        <f>IF(AND($AK695=1,OR($I695="Critical",$I695="High")),1,0)</f>
        <v>0</v>
      </c>
      <c r="AR695" s="71">
        <f>IF($AK695=1,IF(ISNUMBER($Y695),IF(ReportDate-$Y695&gt;StaleDays,1,0),1),0)</f>
        <v>0</v>
      </c>
      <c r="AS695" s="71">
        <f>IF(AND($G695&lt;&gt;"",ISNUMBER($Q695),ISNUMBER($R695)),IF(AND($Q695&lt;$R695,OR($M695="Completed",AND(ISNUMBER($L695),$L695&lt;ReportDate))),1,0),0)</f>
        <v>0</v>
      </c>
      <c r="AT695" s="71">
        <f>IF($AK695=1,IF(OR($L695=ReportDate,$W695=ReportDate,$K695=ReportDate,$A695=ReportDate),1,0),0)</f>
        <v>0</v>
      </c>
      <c r="AU695" s="71">
        <f>IF($AK695=1,IF(OR($L695=ReportDate+1,$W695=ReportDate+1,$K695=ReportDate+1,$A695=ReportDate+1),1,0),0)</f>
        <v>0</v>
      </c>
      <c r="AV695" s="71">
        <f>IF(AND($G695&lt;&gt;"",$M695="Completed"),IF(OR($Y695=ReportDate-1,$A695=ReportDate-1),1,0),0)</f>
        <v>0</v>
      </c>
      <c r="AW695" s="71">
        <f>IF(AND($AK695=1,$Z695="Yes"),1,0)</f>
        <v>0</v>
      </c>
      <c r="AX695" s="71">
        <f>IF(AND($AK695=1,$AA695="Yes"),1,0)</f>
        <v>0</v>
      </c>
      <c r="AY695" s="71">
        <f>IF(AND($AM695=1,OR($I695="Critical",$I695="High")),1,0)</f>
        <v>0</v>
      </c>
      <c r="AZ695" s="71">
        <f>IF(AND($AK695=1,OR($C695=TCL_Client,$C695=MECCA_Client)),1,0)</f>
        <v>0</v>
      </c>
      <c r="BA695" s="71" t="str">
        <f>IF($G695="","",IFERROR(MATCH($I695,lst_Priority,0),5))</f>
        <v/>
      </c>
      <c r="BB695" s="71" t="str">
        <f>IF(AND($AL695=1,$AJ695=1),$BA695*100000+ROW(),"")</f>
        <v/>
      </c>
      <c r="BC695" s="71" t="str">
        <f>IF(AND($AM695=1,$AJ695=1),$BA695*100000+ROW(),"")</f>
        <v/>
      </c>
      <c r="BD695" s="71" t="str">
        <f>IF(AND($AP695=1,$AJ695=1),$BA695*100000+ROW(),"")</f>
        <v/>
      </c>
      <c r="BE695" s="71" t="str">
        <f>IF(AND($AT695=1,$AJ695=1),$BA695*100000+ROW(),"")</f>
        <v/>
      </c>
      <c r="BF695" s="71" t="str">
        <f>IF(AND($AU695=1,$AJ695=1),$BA695*100000+ROW(),"")</f>
        <v/>
      </c>
      <c r="BG695" s="71" t="str">
        <f>IF(AND($AV695=1,$AJ695=1),$BA695*100000+ROW(),"")</f>
        <v/>
      </c>
      <c r="BH695" s="71" t="str">
        <f>IF(AND($AW695=1,$AJ695=1),$BA695*100000+ROW(),"")</f>
        <v/>
      </c>
      <c r="BI695" s="71" t="str">
        <f>IF(AND($AX695=1,$AJ695=1),$BA695*100000+ROW(),"")</f>
        <v/>
      </c>
      <c r="BJ695" s="71" t="str">
        <f>IF(AND($AS695=1,$AJ695=1),$BA695*100000+ROW(),"")</f>
        <v/>
      </c>
      <c r="BK695" s="71" t="str">
        <f>IF(AND($AY695=1,$AJ695=1),$BA695*100000+ROW(),"")</f>
        <v/>
      </c>
      <c r="BL695" s="71" t="str">
        <f>IF(AND($AZ695=1),$BA695*100000+ROW(),"")</f>
        <v/>
      </c>
    </row>
    <row r="696">
      <c r="A696" s="63" t="n"/>
      <c r="B696" s="64" t="n"/>
      <c r="C696" s="64" t="n"/>
      <c r="D696" s="64" t="n"/>
      <c r="E696" s="64" t="n"/>
      <c r="F696" s="64" t="n"/>
      <c r="G696" s="65" t="n"/>
      <c r="H696" s="65" t="n"/>
      <c r="I696" s="64" t="n"/>
      <c r="J696" s="64" t="n"/>
      <c r="K696" s="63" t="n"/>
      <c r="L696" s="63" t="n"/>
      <c r="M696" s="64" t="n"/>
      <c r="N696" s="66" t="n"/>
      <c r="O696" s="65" t="n"/>
      <c r="P696" s="64" t="n"/>
      <c r="Q696" s="67" t="n"/>
      <c r="R696" s="67" t="n"/>
      <c r="S696" s="68" t="str">
        <f>IF(AND(ISNUMBER($Q696),ISNUMBER($R696)),$Q696-$R696,"")</f>
        <v/>
      </c>
      <c r="T696" s="65" t="n"/>
      <c r="U696" s="64" t="n"/>
      <c r="V696" s="65" t="n"/>
      <c r="W696" s="63" t="n"/>
      <c r="X696" s="65" t="n"/>
      <c r="Y696" s="63" t="n"/>
      <c r="Z696" s="64" t="n"/>
      <c r="AA696" s="64" t="n"/>
      <c r="AB696" s="65" t="n"/>
      <c r="AC696" s="69" t="str">
        <f>IF(OR($G696="",NOT(ISNUMBER($K696)),$AK696=0),"",MAX(0,ReportDate-$K696))</f>
        <v/>
      </c>
      <c r="AD696" s="69" t="str">
        <f>IF($G696="","",IF($AL696=1,ReportDate-$L696,0))</f>
        <v/>
      </c>
      <c r="AE696" s="70" t="str">
        <f>IF($G696="","",IF($M696="Completed",1,IF(ISNUMBER($N696),$N696,0)))</f>
        <v/>
      </c>
      <c r="AF696" s="70" t="str">
        <f>IF(AND(ISNUMBER($Q696),ISNUMBER($R696)),IF($R696&lt;&gt;0,$Q696/$R696,""),"")</f>
        <v/>
      </c>
      <c r="AG696" s="71" t="str">
        <f>IF($G696="","",IF($AL696=1,"OVERDUE",IF($AM696=1,"BLOCKED",IF($AN696=1,"DUE TODAY",IF($AO696=1,"DUE TOMORROW",IF($AQ696=1,"HIGH PRIORITY",IF($AR696=1,"NO RECENT UPDATE",""))))))) </f>
        <v/>
      </c>
      <c r="AH696" s="71" t="str">
        <f>IF($G696="","",IF(ISNUMBER($A696),IF(ISNUMBER($A696),YEAR($A696)&amp;"-"&amp;TEXT(MONTH($A696),"00"),""),IF(ISNUMBER($L696),IF(ISNUMBER($L696),YEAR($L696)&amp;"-"&amp;TEXT(MONTH($L696),"00"),""),"")))</f>
        <v/>
      </c>
      <c r="AI696" s="71">
        <f>IF($G696="",0,IF(AND(OR(fClient="All",$C696=fClient),OR(fCampaign="All",$D696=fCampaign),OR(fTeam="All",$B696=fTeam),OR(fChannel="All",$F696=fChannel),OR(fMonth="All",$AH696=fMonth),OR(fTStatus="All",$M696=fTStatus)),1,0))</f>
        <v>0</v>
      </c>
      <c r="AJ696" s="71">
        <f>IF($G696="",0,IF(AND(OR(fClient="All",$C696=fClient),OR(fCampaign="All",$D696=fCampaign),OR(fTeam="All",$B696=fTeam),OR(fChannel="All",$F696=fChannel)),1,0))</f>
        <v>0</v>
      </c>
      <c r="AK696" s="71">
        <f>IF($G696="",0,IF(OR($M696="Completed",$M696="Cancelled"),0,1))</f>
        <v>0</v>
      </c>
      <c r="AL696" s="71">
        <f>IF(AND($AK696=1,ISNUMBER($L696)),IF($L696&lt;ReportDate,1,0),0)</f>
        <v>0</v>
      </c>
      <c r="AM696" s="71">
        <f>IF(AND($G696&lt;&gt;"",$M696="Blocked"),1,0)</f>
        <v>0</v>
      </c>
      <c r="AN696" s="71">
        <f>IF(AND($AK696=1,ISNUMBER($L696)),IF($L696=ReportDate,1,0),0)</f>
        <v>0</v>
      </c>
      <c r="AO696" s="71">
        <f>IF(AND($AK696=1,ISNUMBER($L696)),IF($L696=ReportDate+1,1,0),0)</f>
        <v>0</v>
      </c>
      <c r="AP696" s="71">
        <f>IF(AND($AK696=1,ISNUMBER($L696)),IF(AND($L696&gt;=ReportDate,$L696&lt;=ReportDate+DueSoonDays),1,0),0)</f>
        <v>0</v>
      </c>
      <c r="AQ696" s="71">
        <f>IF(AND($AK696=1,OR($I696="Critical",$I696="High")),1,0)</f>
        <v>0</v>
      </c>
      <c r="AR696" s="71">
        <f>IF($AK696=1,IF(ISNUMBER($Y696),IF(ReportDate-$Y696&gt;StaleDays,1,0),1),0)</f>
        <v>0</v>
      </c>
      <c r="AS696" s="71">
        <f>IF(AND($G696&lt;&gt;"",ISNUMBER($Q696),ISNUMBER($R696)),IF(AND($Q696&lt;$R696,OR($M696="Completed",AND(ISNUMBER($L696),$L696&lt;ReportDate))),1,0),0)</f>
        <v>0</v>
      </c>
      <c r="AT696" s="71">
        <f>IF($AK696=1,IF(OR($L696=ReportDate,$W696=ReportDate,$K696=ReportDate,$A696=ReportDate),1,0),0)</f>
        <v>0</v>
      </c>
      <c r="AU696" s="71">
        <f>IF($AK696=1,IF(OR($L696=ReportDate+1,$W696=ReportDate+1,$K696=ReportDate+1,$A696=ReportDate+1),1,0),0)</f>
        <v>0</v>
      </c>
      <c r="AV696" s="71">
        <f>IF(AND($G696&lt;&gt;"",$M696="Completed"),IF(OR($Y696=ReportDate-1,$A696=ReportDate-1),1,0),0)</f>
        <v>0</v>
      </c>
      <c r="AW696" s="71">
        <f>IF(AND($AK696=1,$Z696="Yes"),1,0)</f>
        <v>0</v>
      </c>
      <c r="AX696" s="71">
        <f>IF(AND($AK696=1,$AA696="Yes"),1,0)</f>
        <v>0</v>
      </c>
      <c r="AY696" s="71">
        <f>IF(AND($AM696=1,OR($I696="Critical",$I696="High")),1,0)</f>
        <v>0</v>
      </c>
      <c r="AZ696" s="71">
        <f>IF(AND($AK696=1,OR($C696=TCL_Client,$C696=MECCA_Client)),1,0)</f>
        <v>0</v>
      </c>
      <c r="BA696" s="71" t="str">
        <f>IF($G696="","",IFERROR(MATCH($I696,lst_Priority,0),5))</f>
        <v/>
      </c>
      <c r="BB696" s="71" t="str">
        <f>IF(AND($AL696=1,$AJ696=1),$BA696*100000+ROW(),"")</f>
        <v/>
      </c>
      <c r="BC696" s="71" t="str">
        <f>IF(AND($AM696=1,$AJ696=1),$BA696*100000+ROW(),"")</f>
        <v/>
      </c>
      <c r="BD696" s="71" t="str">
        <f>IF(AND($AP696=1,$AJ696=1),$BA696*100000+ROW(),"")</f>
        <v/>
      </c>
      <c r="BE696" s="71" t="str">
        <f>IF(AND($AT696=1,$AJ696=1),$BA696*100000+ROW(),"")</f>
        <v/>
      </c>
      <c r="BF696" s="71" t="str">
        <f>IF(AND($AU696=1,$AJ696=1),$BA696*100000+ROW(),"")</f>
        <v/>
      </c>
      <c r="BG696" s="71" t="str">
        <f>IF(AND($AV696=1,$AJ696=1),$BA696*100000+ROW(),"")</f>
        <v/>
      </c>
      <c r="BH696" s="71" t="str">
        <f>IF(AND($AW696=1,$AJ696=1),$BA696*100000+ROW(),"")</f>
        <v/>
      </c>
      <c r="BI696" s="71" t="str">
        <f>IF(AND($AX696=1,$AJ696=1),$BA696*100000+ROW(),"")</f>
        <v/>
      </c>
      <c r="BJ696" s="71" t="str">
        <f>IF(AND($AS696=1,$AJ696=1),$BA696*100000+ROW(),"")</f>
        <v/>
      </c>
      <c r="BK696" s="71" t="str">
        <f>IF(AND($AY696=1,$AJ696=1),$BA696*100000+ROW(),"")</f>
        <v/>
      </c>
      <c r="BL696" s="71" t="str">
        <f>IF(AND($AZ696=1),$BA696*100000+ROW(),"")</f>
        <v/>
      </c>
    </row>
    <row r="697">
      <c r="A697" s="63" t="n"/>
      <c r="B697" s="64" t="n"/>
      <c r="C697" s="64" t="n"/>
      <c r="D697" s="64" t="n"/>
      <c r="E697" s="64" t="n"/>
      <c r="F697" s="64" t="n"/>
      <c r="G697" s="65" t="n"/>
      <c r="H697" s="65" t="n"/>
      <c r="I697" s="64" t="n"/>
      <c r="J697" s="64" t="n"/>
      <c r="K697" s="63" t="n"/>
      <c r="L697" s="63" t="n"/>
      <c r="M697" s="64" t="n"/>
      <c r="N697" s="66" t="n"/>
      <c r="O697" s="65" t="n"/>
      <c r="P697" s="64" t="n"/>
      <c r="Q697" s="67" t="n"/>
      <c r="R697" s="67" t="n"/>
      <c r="S697" s="68" t="str">
        <f>IF(AND(ISNUMBER($Q697),ISNUMBER($R697)),$Q697-$R697,"")</f>
        <v/>
      </c>
      <c r="T697" s="65" t="n"/>
      <c r="U697" s="64" t="n"/>
      <c r="V697" s="65" t="n"/>
      <c r="W697" s="63" t="n"/>
      <c r="X697" s="65" t="n"/>
      <c r="Y697" s="63" t="n"/>
      <c r="Z697" s="64" t="n"/>
      <c r="AA697" s="64" t="n"/>
      <c r="AB697" s="65" t="n"/>
      <c r="AC697" s="69" t="str">
        <f>IF(OR($G697="",NOT(ISNUMBER($K697)),$AK697=0),"",MAX(0,ReportDate-$K697))</f>
        <v/>
      </c>
      <c r="AD697" s="69" t="str">
        <f>IF($G697="","",IF($AL697=1,ReportDate-$L697,0))</f>
        <v/>
      </c>
      <c r="AE697" s="70" t="str">
        <f>IF($G697="","",IF($M697="Completed",1,IF(ISNUMBER($N697),$N697,0)))</f>
        <v/>
      </c>
      <c r="AF697" s="70" t="str">
        <f>IF(AND(ISNUMBER($Q697),ISNUMBER($R697)),IF($R697&lt;&gt;0,$Q697/$R697,""),"")</f>
        <v/>
      </c>
      <c r="AG697" s="71" t="str">
        <f>IF($G697="","",IF($AL697=1,"OVERDUE",IF($AM697=1,"BLOCKED",IF($AN697=1,"DUE TODAY",IF($AO697=1,"DUE TOMORROW",IF($AQ697=1,"HIGH PRIORITY",IF($AR697=1,"NO RECENT UPDATE",""))))))) </f>
        <v/>
      </c>
      <c r="AH697" s="71" t="str">
        <f>IF($G697="","",IF(ISNUMBER($A697),IF(ISNUMBER($A697),YEAR($A697)&amp;"-"&amp;TEXT(MONTH($A697),"00"),""),IF(ISNUMBER($L697),IF(ISNUMBER($L697),YEAR($L697)&amp;"-"&amp;TEXT(MONTH($L697),"00"),""),"")))</f>
        <v/>
      </c>
      <c r="AI697" s="71">
        <f>IF($G697="",0,IF(AND(OR(fClient="All",$C697=fClient),OR(fCampaign="All",$D697=fCampaign),OR(fTeam="All",$B697=fTeam),OR(fChannel="All",$F697=fChannel),OR(fMonth="All",$AH697=fMonth),OR(fTStatus="All",$M697=fTStatus)),1,0))</f>
        <v>0</v>
      </c>
      <c r="AJ697" s="71">
        <f>IF($G697="",0,IF(AND(OR(fClient="All",$C697=fClient),OR(fCampaign="All",$D697=fCampaign),OR(fTeam="All",$B697=fTeam),OR(fChannel="All",$F697=fChannel)),1,0))</f>
        <v>0</v>
      </c>
      <c r="AK697" s="71">
        <f>IF($G697="",0,IF(OR($M697="Completed",$M697="Cancelled"),0,1))</f>
        <v>0</v>
      </c>
      <c r="AL697" s="71">
        <f>IF(AND($AK697=1,ISNUMBER($L697)),IF($L697&lt;ReportDate,1,0),0)</f>
        <v>0</v>
      </c>
      <c r="AM697" s="71">
        <f>IF(AND($G697&lt;&gt;"",$M697="Blocked"),1,0)</f>
        <v>0</v>
      </c>
      <c r="AN697" s="71">
        <f>IF(AND($AK697=1,ISNUMBER($L697)),IF($L697=ReportDate,1,0),0)</f>
        <v>0</v>
      </c>
      <c r="AO697" s="71">
        <f>IF(AND($AK697=1,ISNUMBER($L697)),IF($L697=ReportDate+1,1,0),0)</f>
        <v>0</v>
      </c>
      <c r="AP697" s="71">
        <f>IF(AND($AK697=1,ISNUMBER($L697)),IF(AND($L697&gt;=ReportDate,$L697&lt;=ReportDate+DueSoonDays),1,0),0)</f>
        <v>0</v>
      </c>
      <c r="AQ697" s="71">
        <f>IF(AND($AK697=1,OR($I697="Critical",$I697="High")),1,0)</f>
        <v>0</v>
      </c>
      <c r="AR697" s="71">
        <f>IF($AK697=1,IF(ISNUMBER($Y697),IF(ReportDate-$Y697&gt;StaleDays,1,0),1),0)</f>
        <v>0</v>
      </c>
      <c r="AS697" s="71">
        <f>IF(AND($G697&lt;&gt;"",ISNUMBER($Q697),ISNUMBER($R697)),IF(AND($Q697&lt;$R697,OR($M697="Completed",AND(ISNUMBER($L697),$L697&lt;ReportDate))),1,0),0)</f>
        <v>0</v>
      </c>
      <c r="AT697" s="71">
        <f>IF($AK697=1,IF(OR($L697=ReportDate,$W697=ReportDate,$K697=ReportDate,$A697=ReportDate),1,0),0)</f>
        <v>0</v>
      </c>
      <c r="AU697" s="71">
        <f>IF($AK697=1,IF(OR($L697=ReportDate+1,$W697=ReportDate+1,$K697=ReportDate+1,$A697=ReportDate+1),1,0),0)</f>
        <v>0</v>
      </c>
      <c r="AV697" s="71">
        <f>IF(AND($G697&lt;&gt;"",$M697="Completed"),IF(OR($Y697=ReportDate-1,$A697=ReportDate-1),1,0),0)</f>
        <v>0</v>
      </c>
      <c r="AW697" s="71">
        <f>IF(AND($AK697=1,$Z697="Yes"),1,0)</f>
        <v>0</v>
      </c>
      <c r="AX697" s="71">
        <f>IF(AND($AK697=1,$AA697="Yes"),1,0)</f>
        <v>0</v>
      </c>
      <c r="AY697" s="71">
        <f>IF(AND($AM697=1,OR($I697="Critical",$I697="High")),1,0)</f>
        <v>0</v>
      </c>
      <c r="AZ697" s="71">
        <f>IF(AND($AK697=1,OR($C697=TCL_Client,$C697=MECCA_Client)),1,0)</f>
        <v>0</v>
      </c>
      <c r="BA697" s="71" t="str">
        <f>IF($G697="","",IFERROR(MATCH($I697,lst_Priority,0),5))</f>
        <v/>
      </c>
      <c r="BB697" s="71" t="str">
        <f>IF(AND($AL697=1,$AJ697=1),$BA697*100000+ROW(),"")</f>
        <v/>
      </c>
      <c r="BC697" s="71" t="str">
        <f>IF(AND($AM697=1,$AJ697=1),$BA697*100000+ROW(),"")</f>
        <v/>
      </c>
      <c r="BD697" s="71" t="str">
        <f>IF(AND($AP697=1,$AJ697=1),$BA697*100000+ROW(),"")</f>
        <v/>
      </c>
      <c r="BE697" s="71" t="str">
        <f>IF(AND($AT697=1,$AJ697=1),$BA697*100000+ROW(),"")</f>
        <v/>
      </c>
      <c r="BF697" s="71" t="str">
        <f>IF(AND($AU697=1,$AJ697=1),$BA697*100000+ROW(),"")</f>
        <v/>
      </c>
      <c r="BG697" s="71" t="str">
        <f>IF(AND($AV697=1,$AJ697=1),$BA697*100000+ROW(),"")</f>
        <v/>
      </c>
      <c r="BH697" s="71" t="str">
        <f>IF(AND($AW697=1,$AJ697=1),$BA697*100000+ROW(),"")</f>
        <v/>
      </c>
      <c r="BI697" s="71" t="str">
        <f>IF(AND($AX697=1,$AJ697=1),$BA697*100000+ROW(),"")</f>
        <v/>
      </c>
      <c r="BJ697" s="71" t="str">
        <f>IF(AND($AS697=1,$AJ697=1),$BA697*100000+ROW(),"")</f>
        <v/>
      </c>
      <c r="BK697" s="71" t="str">
        <f>IF(AND($AY697=1,$AJ697=1),$BA697*100000+ROW(),"")</f>
        <v/>
      </c>
      <c r="BL697" s="71" t="str">
        <f>IF(AND($AZ697=1),$BA697*100000+ROW(),"")</f>
        <v/>
      </c>
    </row>
    <row r="698">
      <c r="A698" s="63" t="n"/>
      <c r="B698" s="64" t="n"/>
      <c r="C698" s="64" t="n"/>
      <c r="D698" s="64" t="n"/>
      <c r="E698" s="64" t="n"/>
      <c r="F698" s="64" t="n"/>
      <c r="G698" s="65" t="n"/>
      <c r="H698" s="65" t="n"/>
      <c r="I698" s="64" t="n"/>
      <c r="J698" s="64" t="n"/>
      <c r="K698" s="63" t="n"/>
      <c r="L698" s="63" t="n"/>
      <c r="M698" s="64" t="n"/>
      <c r="N698" s="66" t="n"/>
      <c r="O698" s="65" t="n"/>
      <c r="P698" s="64" t="n"/>
      <c r="Q698" s="67" t="n"/>
      <c r="R698" s="67" t="n"/>
      <c r="S698" s="68" t="str">
        <f>IF(AND(ISNUMBER($Q698),ISNUMBER($R698)),$Q698-$R698,"")</f>
        <v/>
      </c>
      <c r="T698" s="65" t="n"/>
      <c r="U698" s="64" t="n"/>
      <c r="V698" s="65" t="n"/>
      <c r="W698" s="63" t="n"/>
      <c r="X698" s="65" t="n"/>
      <c r="Y698" s="63" t="n"/>
      <c r="Z698" s="64" t="n"/>
      <c r="AA698" s="64" t="n"/>
      <c r="AB698" s="65" t="n"/>
      <c r="AC698" s="69" t="str">
        <f>IF(OR($G698="",NOT(ISNUMBER($K698)),$AK698=0),"",MAX(0,ReportDate-$K698))</f>
        <v/>
      </c>
      <c r="AD698" s="69" t="str">
        <f>IF($G698="","",IF($AL698=1,ReportDate-$L698,0))</f>
        <v/>
      </c>
      <c r="AE698" s="70" t="str">
        <f>IF($G698="","",IF($M698="Completed",1,IF(ISNUMBER($N698),$N698,0)))</f>
        <v/>
      </c>
      <c r="AF698" s="70" t="str">
        <f>IF(AND(ISNUMBER($Q698),ISNUMBER($R698)),IF($R698&lt;&gt;0,$Q698/$R698,""),"")</f>
        <v/>
      </c>
      <c r="AG698" s="71" t="str">
        <f>IF($G698="","",IF($AL698=1,"OVERDUE",IF($AM698=1,"BLOCKED",IF($AN698=1,"DUE TODAY",IF($AO698=1,"DUE TOMORROW",IF($AQ698=1,"HIGH PRIORITY",IF($AR698=1,"NO RECENT UPDATE",""))))))) </f>
        <v/>
      </c>
      <c r="AH698" s="71" t="str">
        <f>IF($G698="","",IF(ISNUMBER($A698),IF(ISNUMBER($A698),YEAR($A698)&amp;"-"&amp;TEXT(MONTH($A698),"00"),""),IF(ISNUMBER($L698),IF(ISNUMBER($L698),YEAR($L698)&amp;"-"&amp;TEXT(MONTH($L698),"00"),""),"")))</f>
        <v/>
      </c>
      <c r="AI698" s="71">
        <f>IF($G698="",0,IF(AND(OR(fClient="All",$C698=fClient),OR(fCampaign="All",$D698=fCampaign),OR(fTeam="All",$B698=fTeam),OR(fChannel="All",$F698=fChannel),OR(fMonth="All",$AH698=fMonth),OR(fTStatus="All",$M698=fTStatus)),1,0))</f>
        <v>0</v>
      </c>
      <c r="AJ698" s="71">
        <f>IF($G698="",0,IF(AND(OR(fClient="All",$C698=fClient),OR(fCampaign="All",$D698=fCampaign),OR(fTeam="All",$B698=fTeam),OR(fChannel="All",$F698=fChannel)),1,0))</f>
        <v>0</v>
      </c>
      <c r="AK698" s="71">
        <f>IF($G698="",0,IF(OR($M698="Completed",$M698="Cancelled"),0,1))</f>
        <v>0</v>
      </c>
      <c r="AL698" s="71">
        <f>IF(AND($AK698=1,ISNUMBER($L698)),IF($L698&lt;ReportDate,1,0),0)</f>
        <v>0</v>
      </c>
      <c r="AM698" s="71">
        <f>IF(AND($G698&lt;&gt;"",$M698="Blocked"),1,0)</f>
        <v>0</v>
      </c>
      <c r="AN698" s="71">
        <f>IF(AND($AK698=1,ISNUMBER($L698)),IF($L698=ReportDate,1,0),0)</f>
        <v>0</v>
      </c>
      <c r="AO698" s="71">
        <f>IF(AND($AK698=1,ISNUMBER($L698)),IF($L698=ReportDate+1,1,0),0)</f>
        <v>0</v>
      </c>
      <c r="AP698" s="71">
        <f>IF(AND($AK698=1,ISNUMBER($L698)),IF(AND($L698&gt;=ReportDate,$L698&lt;=ReportDate+DueSoonDays),1,0),0)</f>
        <v>0</v>
      </c>
      <c r="AQ698" s="71">
        <f>IF(AND($AK698=1,OR($I698="Critical",$I698="High")),1,0)</f>
        <v>0</v>
      </c>
      <c r="AR698" s="71">
        <f>IF($AK698=1,IF(ISNUMBER($Y698),IF(ReportDate-$Y698&gt;StaleDays,1,0),1),0)</f>
        <v>0</v>
      </c>
      <c r="AS698" s="71">
        <f>IF(AND($G698&lt;&gt;"",ISNUMBER($Q698),ISNUMBER($R698)),IF(AND($Q698&lt;$R698,OR($M698="Completed",AND(ISNUMBER($L698),$L698&lt;ReportDate))),1,0),0)</f>
        <v>0</v>
      </c>
      <c r="AT698" s="71">
        <f>IF($AK698=1,IF(OR($L698=ReportDate,$W698=ReportDate,$K698=ReportDate,$A698=ReportDate),1,0),0)</f>
        <v>0</v>
      </c>
      <c r="AU698" s="71">
        <f>IF($AK698=1,IF(OR($L698=ReportDate+1,$W698=ReportDate+1,$K698=ReportDate+1,$A698=ReportDate+1),1,0),0)</f>
        <v>0</v>
      </c>
      <c r="AV698" s="71">
        <f>IF(AND($G698&lt;&gt;"",$M698="Completed"),IF(OR($Y698=ReportDate-1,$A698=ReportDate-1),1,0),0)</f>
        <v>0</v>
      </c>
      <c r="AW698" s="71">
        <f>IF(AND($AK698=1,$Z698="Yes"),1,0)</f>
        <v>0</v>
      </c>
      <c r="AX698" s="71">
        <f>IF(AND($AK698=1,$AA698="Yes"),1,0)</f>
        <v>0</v>
      </c>
      <c r="AY698" s="71">
        <f>IF(AND($AM698=1,OR($I698="Critical",$I698="High")),1,0)</f>
        <v>0</v>
      </c>
      <c r="AZ698" s="71">
        <f>IF(AND($AK698=1,OR($C698=TCL_Client,$C698=MECCA_Client)),1,0)</f>
        <v>0</v>
      </c>
      <c r="BA698" s="71" t="str">
        <f>IF($G698="","",IFERROR(MATCH($I698,lst_Priority,0),5))</f>
        <v/>
      </c>
      <c r="BB698" s="71" t="str">
        <f>IF(AND($AL698=1,$AJ698=1),$BA698*100000+ROW(),"")</f>
        <v/>
      </c>
      <c r="BC698" s="71" t="str">
        <f>IF(AND($AM698=1,$AJ698=1),$BA698*100000+ROW(),"")</f>
        <v/>
      </c>
      <c r="BD698" s="71" t="str">
        <f>IF(AND($AP698=1,$AJ698=1),$BA698*100000+ROW(),"")</f>
        <v/>
      </c>
      <c r="BE698" s="71" t="str">
        <f>IF(AND($AT698=1,$AJ698=1),$BA698*100000+ROW(),"")</f>
        <v/>
      </c>
      <c r="BF698" s="71" t="str">
        <f>IF(AND($AU698=1,$AJ698=1),$BA698*100000+ROW(),"")</f>
        <v/>
      </c>
      <c r="BG698" s="71" t="str">
        <f>IF(AND($AV698=1,$AJ698=1),$BA698*100000+ROW(),"")</f>
        <v/>
      </c>
      <c r="BH698" s="71" t="str">
        <f>IF(AND($AW698=1,$AJ698=1),$BA698*100000+ROW(),"")</f>
        <v/>
      </c>
      <c r="BI698" s="71" t="str">
        <f>IF(AND($AX698=1,$AJ698=1),$BA698*100000+ROW(),"")</f>
        <v/>
      </c>
      <c r="BJ698" s="71" t="str">
        <f>IF(AND($AS698=1,$AJ698=1),$BA698*100000+ROW(),"")</f>
        <v/>
      </c>
      <c r="BK698" s="71" t="str">
        <f>IF(AND($AY698=1,$AJ698=1),$BA698*100000+ROW(),"")</f>
        <v/>
      </c>
      <c r="BL698" s="71" t="str">
        <f>IF(AND($AZ698=1),$BA698*100000+ROW(),"")</f>
        <v/>
      </c>
    </row>
    <row r="699">
      <c r="A699" s="63" t="n"/>
      <c r="B699" s="64" t="n"/>
      <c r="C699" s="64" t="n"/>
      <c r="D699" s="64" t="n"/>
      <c r="E699" s="64" t="n"/>
      <c r="F699" s="64" t="n"/>
      <c r="G699" s="65" t="n"/>
      <c r="H699" s="65" t="n"/>
      <c r="I699" s="64" t="n"/>
      <c r="J699" s="64" t="n"/>
      <c r="K699" s="63" t="n"/>
      <c r="L699" s="63" t="n"/>
      <c r="M699" s="64" t="n"/>
      <c r="N699" s="66" t="n"/>
      <c r="O699" s="65" t="n"/>
      <c r="P699" s="64" t="n"/>
      <c r="Q699" s="67" t="n"/>
      <c r="R699" s="67" t="n"/>
      <c r="S699" s="68" t="str">
        <f>IF(AND(ISNUMBER($Q699),ISNUMBER($R699)),$Q699-$R699,"")</f>
        <v/>
      </c>
      <c r="T699" s="65" t="n"/>
      <c r="U699" s="64" t="n"/>
      <c r="V699" s="65" t="n"/>
      <c r="W699" s="63" t="n"/>
      <c r="X699" s="65" t="n"/>
      <c r="Y699" s="63" t="n"/>
      <c r="Z699" s="64" t="n"/>
      <c r="AA699" s="64" t="n"/>
      <c r="AB699" s="65" t="n"/>
      <c r="AC699" s="69" t="str">
        <f>IF(OR($G699="",NOT(ISNUMBER($K699)),$AK699=0),"",MAX(0,ReportDate-$K699))</f>
        <v/>
      </c>
      <c r="AD699" s="69" t="str">
        <f>IF($G699="","",IF($AL699=1,ReportDate-$L699,0))</f>
        <v/>
      </c>
      <c r="AE699" s="70" t="str">
        <f>IF($G699="","",IF($M699="Completed",1,IF(ISNUMBER($N699),$N699,0)))</f>
        <v/>
      </c>
      <c r="AF699" s="70" t="str">
        <f>IF(AND(ISNUMBER($Q699),ISNUMBER($R699)),IF($R699&lt;&gt;0,$Q699/$R699,""),"")</f>
        <v/>
      </c>
      <c r="AG699" s="71" t="str">
        <f>IF($G699="","",IF($AL699=1,"OVERDUE",IF($AM699=1,"BLOCKED",IF($AN699=1,"DUE TODAY",IF($AO699=1,"DUE TOMORROW",IF($AQ699=1,"HIGH PRIORITY",IF($AR699=1,"NO RECENT UPDATE",""))))))) </f>
        <v/>
      </c>
      <c r="AH699" s="71" t="str">
        <f>IF($G699="","",IF(ISNUMBER($A699),IF(ISNUMBER($A699),YEAR($A699)&amp;"-"&amp;TEXT(MONTH($A699),"00"),""),IF(ISNUMBER($L699),IF(ISNUMBER($L699),YEAR($L699)&amp;"-"&amp;TEXT(MONTH($L699),"00"),""),"")))</f>
        <v/>
      </c>
      <c r="AI699" s="71">
        <f>IF($G699="",0,IF(AND(OR(fClient="All",$C699=fClient),OR(fCampaign="All",$D699=fCampaign),OR(fTeam="All",$B699=fTeam),OR(fChannel="All",$F699=fChannel),OR(fMonth="All",$AH699=fMonth),OR(fTStatus="All",$M699=fTStatus)),1,0))</f>
        <v>0</v>
      </c>
      <c r="AJ699" s="71">
        <f>IF($G699="",0,IF(AND(OR(fClient="All",$C699=fClient),OR(fCampaign="All",$D699=fCampaign),OR(fTeam="All",$B699=fTeam),OR(fChannel="All",$F699=fChannel)),1,0))</f>
        <v>0</v>
      </c>
      <c r="AK699" s="71">
        <f>IF($G699="",0,IF(OR($M699="Completed",$M699="Cancelled"),0,1))</f>
        <v>0</v>
      </c>
      <c r="AL699" s="71">
        <f>IF(AND($AK699=1,ISNUMBER($L699)),IF($L699&lt;ReportDate,1,0),0)</f>
        <v>0</v>
      </c>
      <c r="AM699" s="71">
        <f>IF(AND($G699&lt;&gt;"",$M699="Blocked"),1,0)</f>
        <v>0</v>
      </c>
      <c r="AN699" s="71">
        <f>IF(AND($AK699=1,ISNUMBER($L699)),IF($L699=ReportDate,1,0),0)</f>
        <v>0</v>
      </c>
      <c r="AO699" s="71">
        <f>IF(AND($AK699=1,ISNUMBER($L699)),IF($L699=ReportDate+1,1,0),0)</f>
        <v>0</v>
      </c>
      <c r="AP699" s="71">
        <f>IF(AND($AK699=1,ISNUMBER($L699)),IF(AND($L699&gt;=ReportDate,$L699&lt;=ReportDate+DueSoonDays),1,0),0)</f>
        <v>0</v>
      </c>
      <c r="AQ699" s="71">
        <f>IF(AND($AK699=1,OR($I699="Critical",$I699="High")),1,0)</f>
        <v>0</v>
      </c>
      <c r="AR699" s="71">
        <f>IF($AK699=1,IF(ISNUMBER($Y699),IF(ReportDate-$Y699&gt;StaleDays,1,0),1),0)</f>
        <v>0</v>
      </c>
      <c r="AS699" s="71">
        <f>IF(AND($G699&lt;&gt;"",ISNUMBER($Q699),ISNUMBER($R699)),IF(AND($Q699&lt;$R699,OR($M699="Completed",AND(ISNUMBER($L699),$L699&lt;ReportDate))),1,0),0)</f>
        <v>0</v>
      </c>
      <c r="AT699" s="71">
        <f>IF($AK699=1,IF(OR($L699=ReportDate,$W699=ReportDate,$K699=ReportDate,$A699=ReportDate),1,0),0)</f>
        <v>0</v>
      </c>
      <c r="AU699" s="71">
        <f>IF($AK699=1,IF(OR($L699=ReportDate+1,$W699=ReportDate+1,$K699=ReportDate+1,$A699=ReportDate+1),1,0),0)</f>
        <v>0</v>
      </c>
      <c r="AV699" s="71">
        <f>IF(AND($G699&lt;&gt;"",$M699="Completed"),IF(OR($Y699=ReportDate-1,$A699=ReportDate-1),1,0),0)</f>
        <v>0</v>
      </c>
      <c r="AW699" s="71">
        <f>IF(AND($AK699=1,$Z699="Yes"),1,0)</f>
        <v>0</v>
      </c>
      <c r="AX699" s="71">
        <f>IF(AND($AK699=1,$AA699="Yes"),1,0)</f>
        <v>0</v>
      </c>
      <c r="AY699" s="71">
        <f>IF(AND($AM699=1,OR($I699="Critical",$I699="High")),1,0)</f>
        <v>0</v>
      </c>
      <c r="AZ699" s="71">
        <f>IF(AND($AK699=1,OR($C699=TCL_Client,$C699=MECCA_Client)),1,0)</f>
        <v>0</v>
      </c>
      <c r="BA699" s="71" t="str">
        <f>IF($G699="","",IFERROR(MATCH($I699,lst_Priority,0),5))</f>
        <v/>
      </c>
      <c r="BB699" s="71" t="str">
        <f>IF(AND($AL699=1,$AJ699=1),$BA699*100000+ROW(),"")</f>
        <v/>
      </c>
      <c r="BC699" s="71" t="str">
        <f>IF(AND($AM699=1,$AJ699=1),$BA699*100000+ROW(),"")</f>
        <v/>
      </c>
      <c r="BD699" s="71" t="str">
        <f>IF(AND($AP699=1,$AJ699=1),$BA699*100000+ROW(),"")</f>
        <v/>
      </c>
      <c r="BE699" s="71" t="str">
        <f>IF(AND($AT699=1,$AJ699=1),$BA699*100000+ROW(),"")</f>
        <v/>
      </c>
      <c r="BF699" s="71" t="str">
        <f>IF(AND($AU699=1,$AJ699=1),$BA699*100000+ROW(),"")</f>
        <v/>
      </c>
      <c r="BG699" s="71" t="str">
        <f>IF(AND($AV699=1,$AJ699=1),$BA699*100000+ROW(),"")</f>
        <v/>
      </c>
      <c r="BH699" s="71" t="str">
        <f>IF(AND($AW699=1,$AJ699=1),$BA699*100000+ROW(),"")</f>
        <v/>
      </c>
      <c r="BI699" s="71" t="str">
        <f>IF(AND($AX699=1,$AJ699=1),$BA699*100000+ROW(),"")</f>
        <v/>
      </c>
      <c r="BJ699" s="71" t="str">
        <f>IF(AND($AS699=1,$AJ699=1),$BA699*100000+ROW(),"")</f>
        <v/>
      </c>
      <c r="BK699" s="71" t="str">
        <f>IF(AND($AY699=1,$AJ699=1),$BA699*100000+ROW(),"")</f>
        <v/>
      </c>
      <c r="BL699" s="71" t="str">
        <f>IF(AND($AZ699=1),$BA699*100000+ROW(),"")</f>
        <v/>
      </c>
    </row>
    <row r="700">
      <c r="A700" s="63" t="n"/>
      <c r="B700" s="64" t="n"/>
      <c r="C700" s="64" t="n"/>
      <c r="D700" s="64" t="n"/>
      <c r="E700" s="64" t="n"/>
      <c r="F700" s="64" t="n"/>
      <c r="G700" s="65" t="n"/>
      <c r="H700" s="65" t="n"/>
      <c r="I700" s="64" t="n"/>
      <c r="J700" s="64" t="n"/>
      <c r="K700" s="63" t="n"/>
      <c r="L700" s="63" t="n"/>
      <c r="M700" s="64" t="n"/>
      <c r="N700" s="66" t="n"/>
      <c r="O700" s="65" t="n"/>
      <c r="P700" s="64" t="n"/>
      <c r="Q700" s="67" t="n"/>
      <c r="R700" s="67" t="n"/>
      <c r="S700" s="68" t="str">
        <f>IF(AND(ISNUMBER($Q700),ISNUMBER($R700)),$Q700-$R700,"")</f>
        <v/>
      </c>
      <c r="T700" s="65" t="n"/>
      <c r="U700" s="64" t="n"/>
      <c r="V700" s="65" t="n"/>
      <c r="W700" s="63" t="n"/>
      <c r="X700" s="65" t="n"/>
      <c r="Y700" s="63" t="n"/>
      <c r="Z700" s="64" t="n"/>
      <c r="AA700" s="64" t="n"/>
      <c r="AB700" s="65" t="n"/>
      <c r="AC700" s="69" t="str">
        <f>IF(OR($G700="",NOT(ISNUMBER($K700)),$AK700=0),"",MAX(0,ReportDate-$K700))</f>
        <v/>
      </c>
      <c r="AD700" s="69" t="str">
        <f>IF($G700="","",IF($AL700=1,ReportDate-$L700,0))</f>
        <v/>
      </c>
      <c r="AE700" s="70" t="str">
        <f>IF($G700="","",IF($M700="Completed",1,IF(ISNUMBER($N700),$N700,0)))</f>
        <v/>
      </c>
      <c r="AF700" s="70" t="str">
        <f>IF(AND(ISNUMBER($Q700),ISNUMBER($R700)),IF($R700&lt;&gt;0,$Q700/$R700,""),"")</f>
        <v/>
      </c>
      <c r="AG700" s="71" t="str">
        <f>IF($G700="","",IF($AL700=1,"OVERDUE",IF($AM700=1,"BLOCKED",IF($AN700=1,"DUE TODAY",IF($AO700=1,"DUE TOMORROW",IF($AQ700=1,"HIGH PRIORITY",IF($AR700=1,"NO RECENT UPDATE",""))))))) </f>
        <v/>
      </c>
      <c r="AH700" s="71" t="str">
        <f>IF($G700="","",IF(ISNUMBER($A700),IF(ISNUMBER($A700),YEAR($A700)&amp;"-"&amp;TEXT(MONTH($A700),"00"),""),IF(ISNUMBER($L700),IF(ISNUMBER($L700),YEAR($L700)&amp;"-"&amp;TEXT(MONTH($L700),"00"),""),"")))</f>
        <v/>
      </c>
      <c r="AI700" s="71">
        <f>IF($G700="",0,IF(AND(OR(fClient="All",$C700=fClient),OR(fCampaign="All",$D700=fCampaign),OR(fTeam="All",$B700=fTeam),OR(fChannel="All",$F700=fChannel),OR(fMonth="All",$AH700=fMonth),OR(fTStatus="All",$M700=fTStatus)),1,0))</f>
        <v>0</v>
      </c>
      <c r="AJ700" s="71">
        <f>IF($G700="",0,IF(AND(OR(fClient="All",$C700=fClient),OR(fCampaign="All",$D700=fCampaign),OR(fTeam="All",$B700=fTeam),OR(fChannel="All",$F700=fChannel)),1,0))</f>
        <v>0</v>
      </c>
      <c r="AK700" s="71">
        <f>IF($G700="",0,IF(OR($M700="Completed",$M700="Cancelled"),0,1))</f>
        <v>0</v>
      </c>
      <c r="AL700" s="71">
        <f>IF(AND($AK700=1,ISNUMBER($L700)),IF($L700&lt;ReportDate,1,0),0)</f>
        <v>0</v>
      </c>
      <c r="AM700" s="71">
        <f>IF(AND($G700&lt;&gt;"",$M700="Blocked"),1,0)</f>
        <v>0</v>
      </c>
      <c r="AN700" s="71">
        <f>IF(AND($AK700=1,ISNUMBER($L700)),IF($L700=ReportDate,1,0),0)</f>
        <v>0</v>
      </c>
      <c r="AO700" s="71">
        <f>IF(AND($AK700=1,ISNUMBER($L700)),IF($L700=ReportDate+1,1,0),0)</f>
        <v>0</v>
      </c>
      <c r="AP700" s="71">
        <f>IF(AND($AK700=1,ISNUMBER($L700)),IF(AND($L700&gt;=ReportDate,$L700&lt;=ReportDate+DueSoonDays),1,0),0)</f>
        <v>0</v>
      </c>
      <c r="AQ700" s="71">
        <f>IF(AND($AK700=1,OR($I700="Critical",$I700="High")),1,0)</f>
        <v>0</v>
      </c>
      <c r="AR700" s="71">
        <f>IF($AK700=1,IF(ISNUMBER($Y700),IF(ReportDate-$Y700&gt;StaleDays,1,0),1),0)</f>
        <v>0</v>
      </c>
      <c r="AS700" s="71">
        <f>IF(AND($G700&lt;&gt;"",ISNUMBER($Q700),ISNUMBER($R700)),IF(AND($Q700&lt;$R700,OR($M700="Completed",AND(ISNUMBER($L700),$L700&lt;ReportDate))),1,0),0)</f>
        <v>0</v>
      </c>
      <c r="AT700" s="71">
        <f>IF($AK700=1,IF(OR($L700=ReportDate,$W700=ReportDate,$K700=ReportDate,$A700=ReportDate),1,0),0)</f>
        <v>0</v>
      </c>
      <c r="AU700" s="71">
        <f>IF($AK700=1,IF(OR($L700=ReportDate+1,$W700=ReportDate+1,$K700=ReportDate+1,$A700=ReportDate+1),1,0),0)</f>
        <v>0</v>
      </c>
      <c r="AV700" s="71">
        <f>IF(AND($G700&lt;&gt;"",$M700="Completed"),IF(OR($Y700=ReportDate-1,$A700=ReportDate-1),1,0),0)</f>
        <v>0</v>
      </c>
      <c r="AW700" s="71">
        <f>IF(AND($AK700=1,$Z700="Yes"),1,0)</f>
        <v>0</v>
      </c>
      <c r="AX700" s="71">
        <f>IF(AND($AK700=1,$AA700="Yes"),1,0)</f>
        <v>0</v>
      </c>
      <c r="AY700" s="71">
        <f>IF(AND($AM700=1,OR($I700="Critical",$I700="High")),1,0)</f>
        <v>0</v>
      </c>
      <c r="AZ700" s="71">
        <f>IF(AND($AK700=1,OR($C700=TCL_Client,$C700=MECCA_Client)),1,0)</f>
        <v>0</v>
      </c>
      <c r="BA700" s="71" t="str">
        <f>IF($G700="","",IFERROR(MATCH($I700,lst_Priority,0),5))</f>
        <v/>
      </c>
      <c r="BB700" s="71" t="str">
        <f>IF(AND($AL700=1,$AJ700=1),$BA700*100000+ROW(),"")</f>
        <v/>
      </c>
      <c r="BC700" s="71" t="str">
        <f>IF(AND($AM700=1,$AJ700=1),$BA700*100000+ROW(),"")</f>
        <v/>
      </c>
      <c r="BD700" s="71" t="str">
        <f>IF(AND($AP700=1,$AJ700=1),$BA700*100000+ROW(),"")</f>
        <v/>
      </c>
      <c r="BE700" s="71" t="str">
        <f>IF(AND($AT700=1,$AJ700=1),$BA700*100000+ROW(),"")</f>
        <v/>
      </c>
      <c r="BF700" s="71" t="str">
        <f>IF(AND($AU700=1,$AJ700=1),$BA700*100000+ROW(),"")</f>
        <v/>
      </c>
      <c r="BG700" s="71" t="str">
        <f>IF(AND($AV700=1,$AJ700=1),$BA700*100000+ROW(),"")</f>
        <v/>
      </c>
      <c r="BH700" s="71" t="str">
        <f>IF(AND($AW700=1,$AJ700=1),$BA700*100000+ROW(),"")</f>
        <v/>
      </c>
      <c r="BI700" s="71" t="str">
        <f>IF(AND($AX700=1,$AJ700=1),$BA700*100000+ROW(),"")</f>
        <v/>
      </c>
      <c r="BJ700" s="71" t="str">
        <f>IF(AND($AS700=1,$AJ700=1),$BA700*100000+ROW(),"")</f>
        <v/>
      </c>
      <c r="BK700" s="71" t="str">
        <f>IF(AND($AY700=1,$AJ700=1),$BA700*100000+ROW(),"")</f>
        <v/>
      </c>
      <c r="BL700" s="71" t="str">
        <f>IF(AND($AZ700=1),$BA700*100000+ROW(),"")</f>
        <v/>
      </c>
    </row>
    <row r="701">
      <c r="A701" s="63" t="n"/>
      <c r="B701" s="64" t="n"/>
      <c r="C701" s="64" t="n"/>
      <c r="D701" s="64" t="n"/>
      <c r="E701" s="64" t="n"/>
      <c r="F701" s="64" t="n"/>
      <c r="G701" s="65" t="n"/>
      <c r="H701" s="65" t="n"/>
      <c r="I701" s="64" t="n"/>
      <c r="J701" s="64" t="n"/>
      <c r="K701" s="63" t="n"/>
      <c r="L701" s="63" t="n"/>
      <c r="M701" s="64" t="n"/>
      <c r="N701" s="66" t="n"/>
      <c r="O701" s="65" t="n"/>
      <c r="P701" s="64" t="n"/>
      <c r="Q701" s="67" t="n"/>
      <c r="R701" s="67" t="n"/>
      <c r="S701" s="68" t="str">
        <f>IF(AND(ISNUMBER($Q701),ISNUMBER($R701)),$Q701-$R701,"")</f>
        <v/>
      </c>
      <c r="T701" s="65" t="n"/>
      <c r="U701" s="64" t="n"/>
      <c r="V701" s="65" t="n"/>
      <c r="W701" s="63" t="n"/>
      <c r="X701" s="65" t="n"/>
      <c r="Y701" s="63" t="n"/>
      <c r="Z701" s="64" t="n"/>
      <c r="AA701" s="64" t="n"/>
      <c r="AB701" s="65" t="n"/>
      <c r="AC701" s="69" t="str">
        <f>IF(OR($G701="",NOT(ISNUMBER($K701)),$AK701=0),"",MAX(0,ReportDate-$K701))</f>
        <v/>
      </c>
      <c r="AD701" s="69" t="str">
        <f>IF($G701="","",IF($AL701=1,ReportDate-$L701,0))</f>
        <v/>
      </c>
      <c r="AE701" s="70" t="str">
        <f>IF($G701="","",IF($M701="Completed",1,IF(ISNUMBER($N701),$N701,0)))</f>
        <v/>
      </c>
      <c r="AF701" s="70" t="str">
        <f>IF(AND(ISNUMBER($Q701),ISNUMBER($R701)),IF($R701&lt;&gt;0,$Q701/$R701,""),"")</f>
        <v/>
      </c>
      <c r="AG701" s="71" t="str">
        <f>IF($G701="","",IF($AL701=1,"OVERDUE",IF($AM701=1,"BLOCKED",IF($AN701=1,"DUE TODAY",IF($AO701=1,"DUE TOMORROW",IF($AQ701=1,"HIGH PRIORITY",IF($AR701=1,"NO RECENT UPDATE",""))))))) </f>
        <v/>
      </c>
      <c r="AH701" s="71" t="str">
        <f>IF($G701="","",IF(ISNUMBER($A701),IF(ISNUMBER($A701),YEAR($A701)&amp;"-"&amp;TEXT(MONTH($A701),"00"),""),IF(ISNUMBER($L701),IF(ISNUMBER($L701),YEAR($L701)&amp;"-"&amp;TEXT(MONTH($L701),"00"),""),"")))</f>
        <v/>
      </c>
      <c r="AI701" s="71">
        <f>IF($G701="",0,IF(AND(OR(fClient="All",$C701=fClient),OR(fCampaign="All",$D701=fCampaign),OR(fTeam="All",$B701=fTeam),OR(fChannel="All",$F701=fChannel),OR(fMonth="All",$AH701=fMonth),OR(fTStatus="All",$M701=fTStatus)),1,0))</f>
        <v>0</v>
      </c>
      <c r="AJ701" s="71">
        <f>IF($G701="",0,IF(AND(OR(fClient="All",$C701=fClient),OR(fCampaign="All",$D701=fCampaign),OR(fTeam="All",$B701=fTeam),OR(fChannel="All",$F701=fChannel)),1,0))</f>
        <v>0</v>
      </c>
      <c r="AK701" s="71">
        <f>IF($G701="",0,IF(OR($M701="Completed",$M701="Cancelled"),0,1))</f>
        <v>0</v>
      </c>
      <c r="AL701" s="71">
        <f>IF(AND($AK701=1,ISNUMBER($L701)),IF($L701&lt;ReportDate,1,0),0)</f>
        <v>0</v>
      </c>
      <c r="AM701" s="71">
        <f>IF(AND($G701&lt;&gt;"",$M701="Blocked"),1,0)</f>
        <v>0</v>
      </c>
      <c r="AN701" s="71">
        <f>IF(AND($AK701=1,ISNUMBER($L701)),IF($L701=ReportDate,1,0),0)</f>
        <v>0</v>
      </c>
      <c r="AO701" s="71">
        <f>IF(AND($AK701=1,ISNUMBER($L701)),IF($L701=ReportDate+1,1,0),0)</f>
        <v>0</v>
      </c>
      <c r="AP701" s="71">
        <f>IF(AND($AK701=1,ISNUMBER($L701)),IF(AND($L701&gt;=ReportDate,$L701&lt;=ReportDate+DueSoonDays),1,0),0)</f>
        <v>0</v>
      </c>
      <c r="AQ701" s="71">
        <f>IF(AND($AK701=1,OR($I701="Critical",$I701="High")),1,0)</f>
        <v>0</v>
      </c>
      <c r="AR701" s="71">
        <f>IF($AK701=1,IF(ISNUMBER($Y701),IF(ReportDate-$Y701&gt;StaleDays,1,0),1),0)</f>
        <v>0</v>
      </c>
      <c r="AS701" s="71">
        <f>IF(AND($G701&lt;&gt;"",ISNUMBER($Q701),ISNUMBER($R701)),IF(AND($Q701&lt;$R701,OR($M701="Completed",AND(ISNUMBER($L701),$L701&lt;ReportDate))),1,0),0)</f>
        <v>0</v>
      </c>
      <c r="AT701" s="71">
        <f>IF($AK701=1,IF(OR($L701=ReportDate,$W701=ReportDate,$K701=ReportDate,$A701=ReportDate),1,0),0)</f>
        <v>0</v>
      </c>
      <c r="AU701" s="71">
        <f>IF($AK701=1,IF(OR($L701=ReportDate+1,$W701=ReportDate+1,$K701=ReportDate+1,$A701=ReportDate+1),1,0),0)</f>
        <v>0</v>
      </c>
      <c r="AV701" s="71">
        <f>IF(AND($G701&lt;&gt;"",$M701="Completed"),IF(OR($Y701=ReportDate-1,$A701=ReportDate-1),1,0),0)</f>
        <v>0</v>
      </c>
      <c r="AW701" s="71">
        <f>IF(AND($AK701=1,$Z701="Yes"),1,0)</f>
        <v>0</v>
      </c>
      <c r="AX701" s="71">
        <f>IF(AND($AK701=1,$AA701="Yes"),1,0)</f>
        <v>0</v>
      </c>
      <c r="AY701" s="71">
        <f>IF(AND($AM701=1,OR($I701="Critical",$I701="High")),1,0)</f>
        <v>0</v>
      </c>
      <c r="AZ701" s="71">
        <f>IF(AND($AK701=1,OR($C701=TCL_Client,$C701=MECCA_Client)),1,0)</f>
        <v>0</v>
      </c>
      <c r="BA701" s="71" t="str">
        <f>IF($G701="","",IFERROR(MATCH($I701,lst_Priority,0),5))</f>
        <v/>
      </c>
      <c r="BB701" s="71" t="str">
        <f>IF(AND($AL701=1,$AJ701=1),$BA701*100000+ROW(),"")</f>
        <v/>
      </c>
      <c r="BC701" s="71" t="str">
        <f>IF(AND($AM701=1,$AJ701=1),$BA701*100000+ROW(),"")</f>
        <v/>
      </c>
      <c r="BD701" s="71" t="str">
        <f>IF(AND($AP701=1,$AJ701=1),$BA701*100000+ROW(),"")</f>
        <v/>
      </c>
      <c r="BE701" s="71" t="str">
        <f>IF(AND($AT701=1,$AJ701=1),$BA701*100000+ROW(),"")</f>
        <v/>
      </c>
      <c r="BF701" s="71" t="str">
        <f>IF(AND($AU701=1,$AJ701=1),$BA701*100000+ROW(),"")</f>
        <v/>
      </c>
      <c r="BG701" s="71" t="str">
        <f>IF(AND($AV701=1,$AJ701=1),$BA701*100000+ROW(),"")</f>
        <v/>
      </c>
      <c r="BH701" s="71" t="str">
        <f>IF(AND($AW701=1,$AJ701=1),$BA701*100000+ROW(),"")</f>
        <v/>
      </c>
      <c r="BI701" s="71" t="str">
        <f>IF(AND($AX701=1,$AJ701=1),$BA701*100000+ROW(),"")</f>
        <v/>
      </c>
      <c r="BJ701" s="71" t="str">
        <f>IF(AND($AS701=1,$AJ701=1),$BA701*100000+ROW(),"")</f>
        <v/>
      </c>
      <c r="BK701" s="71" t="str">
        <f>IF(AND($AY701=1,$AJ701=1),$BA701*100000+ROW(),"")</f>
        <v/>
      </c>
      <c r="BL701" s="71" t="str">
        <f>IF(AND($AZ701=1),$BA701*100000+ROW(),"")</f>
        <v/>
      </c>
    </row>
    <row r="702">
      <c r="A702" s="63" t="n"/>
      <c r="B702" s="64" t="n"/>
      <c r="C702" s="64" t="n"/>
      <c r="D702" s="64" t="n"/>
      <c r="E702" s="64" t="n"/>
      <c r="F702" s="64" t="n"/>
      <c r="G702" s="65" t="n"/>
      <c r="H702" s="65" t="n"/>
      <c r="I702" s="64" t="n"/>
      <c r="J702" s="64" t="n"/>
      <c r="K702" s="63" t="n"/>
      <c r="L702" s="63" t="n"/>
      <c r="M702" s="64" t="n"/>
      <c r="N702" s="66" t="n"/>
      <c r="O702" s="65" t="n"/>
      <c r="P702" s="64" t="n"/>
      <c r="Q702" s="67" t="n"/>
      <c r="R702" s="67" t="n"/>
      <c r="S702" s="68" t="str">
        <f>IF(AND(ISNUMBER($Q702),ISNUMBER($R702)),$Q702-$R702,"")</f>
        <v/>
      </c>
      <c r="T702" s="65" t="n"/>
      <c r="U702" s="64" t="n"/>
      <c r="V702" s="65" t="n"/>
      <c r="W702" s="63" t="n"/>
      <c r="X702" s="65" t="n"/>
      <c r="Y702" s="63" t="n"/>
      <c r="Z702" s="64" t="n"/>
      <c r="AA702" s="64" t="n"/>
      <c r="AB702" s="65" t="n"/>
      <c r="AC702" s="69" t="str">
        <f>IF(OR($G702="",NOT(ISNUMBER($K702)),$AK702=0),"",MAX(0,ReportDate-$K702))</f>
        <v/>
      </c>
      <c r="AD702" s="69" t="str">
        <f>IF($G702="","",IF($AL702=1,ReportDate-$L702,0))</f>
        <v/>
      </c>
      <c r="AE702" s="70" t="str">
        <f>IF($G702="","",IF($M702="Completed",1,IF(ISNUMBER($N702),$N702,0)))</f>
        <v/>
      </c>
      <c r="AF702" s="70" t="str">
        <f>IF(AND(ISNUMBER($Q702),ISNUMBER($R702)),IF($R702&lt;&gt;0,$Q702/$R702,""),"")</f>
        <v/>
      </c>
      <c r="AG702" s="71" t="str">
        <f>IF($G702="","",IF($AL702=1,"OVERDUE",IF($AM702=1,"BLOCKED",IF($AN702=1,"DUE TODAY",IF($AO702=1,"DUE TOMORROW",IF($AQ702=1,"HIGH PRIORITY",IF($AR702=1,"NO RECENT UPDATE",""))))))) </f>
        <v/>
      </c>
      <c r="AH702" s="71" t="str">
        <f>IF($G702="","",IF(ISNUMBER($A702),IF(ISNUMBER($A702),YEAR($A702)&amp;"-"&amp;TEXT(MONTH($A702),"00"),""),IF(ISNUMBER($L702),IF(ISNUMBER($L702),YEAR($L702)&amp;"-"&amp;TEXT(MONTH($L702),"00"),""),"")))</f>
        <v/>
      </c>
      <c r="AI702" s="71">
        <f>IF($G702="",0,IF(AND(OR(fClient="All",$C702=fClient),OR(fCampaign="All",$D702=fCampaign),OR(fTeam="All",$B702=fTeam),OR(fChannel="All",$F702=fChannel),OR(fMonth="All",$AH702=fMonth),OR(fTStatus="All",$M702=fTStatus)),1,0))</f>
        <v>0</v>
      </c>
      <c r="AJ702" s="71">
        <f>IF($G702="",0,IF(AND(OR(fClient="All",$C702=fClient),OR(fCampaign="All",$D702=fCampaign),OR(fTeam="All",$B702=fTeam),OR(fChannel="All",$F702=fChannel)),1,0))</f>
        <v>0</v>
      </c>
      <c r="AK702" s="71">
        <f>IF($G702="",0,IF(OR($M702="Completed",$M702="Cancelled"),0,1))</f>
        <v>0</v>
      </c>
      <c r="AL702" s="71">
        <f>IF(AND($AK702=1,ISNUMBER($L702)),IF($L702&lt;ReportDate,1,0),0)</f>
        <v>0</v>
      </c>
      <c r="AM702" s="71">
        <f>IF(AND($G702&lt;&gt;"",$M702="Blocked"),1,0)</f>
        <v>0</v>
      </c>
      <c r="AN702" s="71">
        <f>IF(AND($AK702=1,ISNUMBER($L702)),IF($L702=ReportDate,1,0),0)</f>
        <v>0</v>
      </c>
      <c r="AO702" s="71">
        <f>IF(AND($AK702=1,ISNUMBER($L702)),IF($L702=ReportDate+1,1,0),0)</f>
        <v>0</v>
      </c>
      <c r="AP702" s="71">
        <f>IF(AND($AK702=1,ISNUMBER($L702)),IF(AND($L702&gt;=ReportDate,$L702&lt;=ReportDate+DueSoonDays),1,0),0)</f>
        <v>0</v>
      </c>
      <c r="AQ702" s="71">
        <f>IF(AND($AK702=1,OR($I702="Critical",$I702="High")),1,0)</f>
        <v>0</v>
      </c>
      <c r="AR702" s="71">
        <f>IF($AK702=1,IF(ISNUMBER($Y702),IF(ReportDate-$Y702&gt;StaleDays,1,0),1),0)</f>
        <v>0</v>
      </c>
      <c r="AS702" s="71">
        <f>IF(AND($G702&lt;&gt;"",ISNUMBER($Q702),ISNUMBER($R702)),IF(AND($Q702&lt;$R702,OR($M702="Completed",AND(ISNUMBER($L702),$L702&lt;ReportDate))),1,0),0)</f>
        <v>0</v>
      </c>
      <c r="AT702" s="71">
        <f>IF($AK702=1,IF(OR($L702=ReportDate,$W702=ReportDate,$K702=ReportDate,$A702=ReportDate),1,0),0)</f>
        <v>0</v>
      </c>
      <c r="AU702" s="71">
        <f>IF($AK702=1,IF(OR($L702=ReportDate+1,$W702=ReportDate+1,$K702=ReportDate+1,$A702=ReportDate+1),1,0),0)</f>
        <v>0</v>
      </c>
      <c r="AV702" s="71">
        <f>IF(AND($G702&lt;&gt;"",$M702="Completed"),IF(OR($Y702=ReportDate-1,$A702=ReportDate-1),1,0),0)</f>
        <v>0</v>
      </c>
      <c r="AW702" s="71">
        <f>IF(AND($AK702=1,$Z702="Yes"),1,0)</f>
        <v>0</v>
      </c>
      <c r="AX702" s="71">
        <f>IF(AND($AK702=1,$AA702="Yes"),1,0)</f>
        <v>0</v>
      </c>
      <c r="AY702" s="71">
        <f>IF(AND($AM702=1,OR($I702="Critical",$I702="High")),1,0)</f>
        <v>0</v>
      </c>
      <c r="AZ702" s="71">
        <f>IF(AND($AK702=1,OR($C702=TCL_Client,$C702=MECCA_Client)),1,0)</f>
        <v>0</v>
      </c>
      <c r="BA702" s="71" t="str">
        <f>IF($G702="","",IFERROR(MATCH($I702,lst_Priority,0),5))</f>
        <v/>
      </c>
      <c r="BB702" s="71" t="str">
        <f>IF(AND($AL702=1,$AJ702=1),$BA702*100000+ROW(),"")</f>
        <v/>
      </c>
      <c r="BC702" s="71" t="str">
        <f>IF(AND($AM702=1,$AJ702=1),$BA702*100000+ROW(),"")</f>
        <v/>
      </c>
      <c r="BD702" s="71" t="str">
        <f>IF(AND($AP702=1,$AJ702=1),$BA702*100000+ROW(),"")</f>
        <v/>
      </c>
      <c r="BE702" s="71" t="str">
        <f>IF(AND($AT702=1,$AJ702=1),$BA702*100000+ROW(),"")</f>
        <v/>
      </c>
      <c r="BF702" s="71" t="str">
        <f>IF(AND($AU702=1,$AJ702=1),$BA702*100000+ROW(),"")</f>
        <v/>
      </c>
      <c r="BG702" s="71" t="str">
        <f>IF(AND($AV702=1,$AJ702=1),$BA702*100000+ROW(),"")</f>
        <v/>
      </c>
      <c r="BH702" s="71" t="str">
        <f>IF(AND($AW702=1,$AJ702=1),$BA702*100000+ROW(),"")</f>
        <v/>
      </c>
      <c r="BI702" s="71" t="str">
        <f>IF(AND($AX702=1,$AJ702=1),$BA702*100000+ROW(),"")</f>
        <v/>
      </c>
      <c r="BJ702" s="71" t="str">
        <f>IF(AND($AS702=1,$AJ702=1),$BA702*100000+ROW(),"")</f>
        <v/>
      </c>
      <c r="BK702" s="71" t="str">
        <f>IF(AND($AY702=1,$AJ702=1),$BA702*100000+ROW(),"")</f>
        <v/>
      </c>
      <c r="BL702" s="71" t="str">
        <f>IF(AND($AZ702=1),$BA702*100000+ROW(),"")</f>
        <v/>
      </c>
    </row>
    <row r="703">
      <c r="A703" s="63" t="n"/>
      <c r="B703" s="64" t="n"/>
      <c r="C703" s="64" t="n"/>
      <c r="D703" s="64" t="n"/>
      <c r="E703" s="64" t="n"/>
      <c r="F703" s="64" t="n"/>
      <c r="G703" s="65" t="n"/>
      <c r="H703" s="65" t="n"/>
      <c r="I703" s="64" t="n"/>
      <c r="J703" s="64" t="n"/>
      <c r="K703" s="63" t="n"/>
      <c r="L703" s="63" t="n"/>
      <c r="M703" s="64" t="n"/>
      <c r="N703" s="66" t="n"/>
      <c r="O703" s="65" t="n"/>
      <c r="P703" s="64" t="n"/>
      <c r="Q703" s="67" t="n"/>
      <c r="R703" s="67" t="n"/>
      <c r="S703" s="68" t="str">
        <f>IF(AND(ISNUMBER($Q703),ISNUMBER($R703)),$Q703-$R703,"")</f>
        <v/>
      </c>
      <c r="T703" s="65" t="n"/>
      <c r="U703" s="64" t="n"/>
      <c r="V703" s="65" t="n"/>
      <c r="W703" s="63" t="n"/>
      <c r="X703" s="65" t="n"/>
      <c r="Y703" s="63" t="n"/>
      <c r="Z703" s="64" t="n"/>
      <c r="AA703" s="64" t="n"/>
      <c r="AB703" s="65" t="n"/>
      <c r="AC703" s="69" t="str">
        <f>IF(OR($G703="",NOT(ISNUMBER($K703)),$AK703=0),"",MAX(0,ReportDate-$K703))</f>
        <v/>
      </c>
      <c r="AD703" s="69" t="str">
        <f>IF($G703="","",IF($AL703=1,ReportDate-$L703,0))</f>
        <v/>
      </c>
      <c r="AE703" s="70" t="str">
        <f>IF($G703="","",IF($M703="Completed",1,IF(ISNUMBER($N703),$N703,0)))</f>
        <v/>
      </c>
      <c r="AF703" s="70" t="str">
        <f>IF(AND(ISNUMBER($Q703),ISNUMBER($R703)),IF($R703&lt;&gt;0,$Q703/$R703,""),"")</f>
        <v/>
      </c>
      <c r="AG703" s="71" t="str">
        <f>IF($G703="","",IF($AL703=1,"OVERDUE",IF($AM703=1,"BLOCKED",IF($AN703=1,"DUE TODAY",IF($AO703=1,"DUE TOMORROW",IF($AQ703=1,"HIGH PRIORITY",IF($AR703=1,"NO RECENT UPDATE",""))))))) </f>
        <v/>
      </c>
      <c r="AH703" s="71" t="str">
        <f>IF($G703="","",IF(ISNUMBER($A703),IF(ISNUMBER($A703),YEAR($A703)&amp;"-"&amp;TEXT(MONTH($A703),"00"),""),IF(ISNUMBER($L703),IF(ISNUMBER($L703),YEAR($L703)&amp;"-"&amp;TEXT(MONTH($L703),"00"),""),"")))</f>
        <v/>
      </c>
      <c r="AI703" s="71">
        <f>IF($G703="",0,IF(AND(OR(fClient="All",$C703=fClient),OR(fCampaign="All",$D703=fCampaign),OR(fTeam="All",$B703=fTeam),OR(fChannel="All",$F703=fChannel),OR(fMonth="All",$AH703=fMonth),OR(fTStatus="All",$M703=fTStatus)),1,0))</f>
        <v>0</v>
      </c>
      <c r="AJ703" s="71">
        <f>IF($G703="",0,IF(AND(OR(fClient="All",$C703=fClient),OR(fCampaign="All",$D703=fCampaign),OR(fTeam="All",$B703=fTeam),OR(fChannel="All",$F703=fChannel)),1,0))</f>
        <v>0</v>
      </c>
      <c r="AK703" s="71">
        <f>IF($G703="",0,IF(OR($M703="Completed",$M703="Cancelled"),0,1))</f>
        <v>0</v>
      </c>
      <c r="AL703" s="71">
        <f>IF(AND($AK703=1,ISNUMBER($L703)),IF($L703&lt;ReportDate,1,0),0)</f>
        <v>0</v>
      </c>
      <c r="AM703" s="71">
        <f>IF(AND($G703&lt;&gt;"",$M703="Blocked"),1,0)</f>
        <v>0</v>
      </c>
      <c r="AN703" s="71">
        <f>IF(AND($AK703=1,ISNUMBER($L703)),IF($L703=ReportDate,1,0),0)</f>
        <v>0</v>
      </c>
      <c r="AO703" s="71">
        <f>IF(AND($AK703=1,ISNUMBER($L703)),IF($L703=ReportDate+1,1,0),0)</f>
        <v>0</v>
      </c>
      <c r="AP703" s="71">
        <f>IF(AND($AK703=1,ISNUMBER($L703)),IF(AND($L703&gt;=ReportDate,$L703&lt;=ReportDate+DueSoonDays),1,0),0)</f>
        <v>0</v>
      </c>
      <c r="AQ703" s="71">
        <f>IF(AND($AK703=1,OR($I703="Critical",$I703="High")),1,0)</f>
        <v>0</v>
      </c>
      <c r="AR703" s="71">
        <f>IF($AK703=1,IF(ISNUMBER($Y703),IF(ReportDate-$Y703&gt;StaleDays,1,0),1),0)</f>
        <v>0</v>
      </c>
      <c r="AS703" s="71">
        <f>IF(AND($G703&lt;&gt;"",ISNUMBER($Q703),ISNUMBER($R703)),IF(AND($Q703&lt;$R703,OR($M703="Completed",AND(ISNUMBER($L703),$L703&lt;ReportDate))),1,0),0)</f>
        <v>0</v>
      </c>
      <c r="AT703" s="71">
        <f>IF($AK703=1,IF(OR($L703=ReportDate,$W703=ReportDate,$K703=ReportDate,$A703=ReportDate),1,0),0)</f>
        <v>0</v>
      </c>
      <c r="AU703" s="71">
        <f>IF($AK703=1,IF(OR($L703=ReportDate+1,$W703=ReportDate+1,$K703=ReportDate+1,$A703=ReportDate+1),1,0),0)</f>
        <v>0</v>
      </c>
      <c r="AV703" s="71">
        <f>IF(AND($G703&lt;&gt;"",$M703="Completed"),IF(OR($Y703=ReportDate-1,$A703=ReportDate-1),1,0),0)</f>
        <v>0</v>
      </c>
      <c r="AW703" s="71">
        <f>IF(AND($AK703=1,$Z703="Yes"),1,0)</f>
        <v>0</v>
      </c>
      <c r="AX703" s="71">
        <f>IF(AND($AK703=1,$AA703="Yes"),1,0)</f>
        <v>0</v>
      </c>
      <c r="AY703" s="71">
        <f>IF(AND($AM703=1,OR($I703="Critical",$I703="High")),1,0)</f>
        <v>0</v>
      </c>
      <c r="AZ703" s="71">
        <f>IF(AND($AK703=1,OR($C703=TCL_Client,$C703=MECCA_Client)),1,0)</f>
        <v>0</v>
      </c>
      <c r="BA703" s="71" t="str">
        <f>IF($G703="","",IFERROR(MATCH($I703,lst_Priority,0),5))</f>
        <v/>
      </c>
      <c r="BB703" s="71" t="str">
        <f>IF(AND($AL703=1,$AJ703=1),$BA703*100000+ROW(),"")</f>
        <v/>
      </c>
      <c r="BC703" s="71" t="str">
        <f>IF(AND($AM703=1,$AJ703=1),$BA703*100000+ROW(),"")</f>
        <v/>
      </c>
      <c r="BD703" s="71" t="str">
        <f>IF(AND($AP703=1,$AJ703=1),$BA703*100000+ROW(),"")</f>
        <v/>
      </c>
      <c r="BE703" s="71" t="str">
        <f>IF(AND($AT703=1,$AJ703=1),$BA703*100000+ROW(),"")</f>
        <v/>
      </c>
      <c r="BF703" s="71" t="str">
        <f>IF(AND($AU703=1,$AJ703=1),$BA703*100000+ROW(),"")</f>
        <v/>
      </c>
      <c r="BG703" s="71" t="str">
        <f>IF(AND($AV703=1,$AJ703=1),$BA703*100000+ROW(),"")</f>
        <v/>
      </c>
      <c r="BH703" s="71" t="str">
        <f>IF(AND($AW703=1,$AJ703=1),$BA703*100000+ROW(),"")</f>
        <v/>
      </c>
      <c r="BI703" s="71" t="str">
        <f>IF(AND($AX703=1,$AJ703=1),$BA703*100000+ROW(),"")</f>
        <v/>
      </c>
      <c r="BJ703" s="71" t="str">
        <f>IF(AND($AS703=1,$AJ703=1),$BA703*100000+ROW(),"")</f>
        <v/>
      </c>
      <c r="BK703" s="71" t="str">
        <f>IF(AND($AY703=1,$AJ703=1),$BA703*100000+ROW(),"")</f>
        <v/>
      </c>
      <c r="BL703" s="71" t="str">
        <f>IF(AND($AZ703=1),$BA703*100000+ROW(),"")</f>
        <v/>
      </c>
    </row>
    <row r="704">
      <c r="A704" s="63" t="n"/>
      <c r="B704" s="64" t="n"/>
      <c r="C704" s="64" t="n"/>
      <c r="D704" s="64" t="n"/>
      <c r="E704" s="64" t="n"/>
      <c r="F704" s="64" t="n"/>
      <c r="G704" s="65" t="n"/>
      <c r="H704" s="65" t="n"/>
      <c r="I704" s="64" t="n"/>
      <c r="J704" s="64" t="n"/>
      <c r="K704" s="63" t="n"/>
      <c r="L704" s="63" t="n"/>
      <c r="M704" s="64" t="n"/>
      <c r="N704" s="66" t="n"/>
      <c r="O704" s="65" t="n"/>
      <c r="P704" s="64" t="n"/>
      <c r="Q704" s="67" t="n"/>
      <c r="R704" s="67" t="n"/>
      <c r="S704" s="68" t="str">
        <f>IF(AND(ISNUMBER($Q704),ISNUMBER($R704)),$Q704-$R704,"")</f>
        <v/>
      </c>
      <c r="T704" s="65" t="n"/>
      <c r="U704" s="64" t="n"/>
      <c r="V704" s="65" t="n"/>
      <c r="W704" s="63" t="n"/>
      <c r="X704" s="65" t="n"/>
      <c r="Y704" s="63" t="n"/>
      <c r="Z704" s="64" t="n"/>
      <c r="AA704" s="64" t="n"/>
      <c r="AB704" s="65" t="n"/>
      <c r="AC704" s="69" t="str">
        <f>IF(OR($G704="",NOT(ISNUMBER($K704)),$AK704=0),"",MAX(0,ReportDate-$K704))</f>
        <v/>
      </c>
      <c r="AD704" s="69" t="str">
        <f>IF($G704="","",IF($AL704=1,ReportDate-$L704,0))</f>
        <v/>
      </c>
      <c r="AE704" s="70" t="str">
        <f>IF($G704="","",IF($M704="Completed",1,IF(ISNUMBER($N704),$N704,0)))</f>
        <v/>
      </c>
      <c r="AF704" s="70" t="str">
        <f>IF(AND(ISNUMBER($Q704),ISNUMBER($R704)),IF($R704&lt;&gt;0,$Q704/$R704,""),"")</f>
        <v/>
      </c>
      <c r="AG704" s="71" t="str">
        <f>IF($G704="","",IF($AL704=1,"OVERDUE",IF($AM704=1,"BLOCKED",IF($AN704=1,"DUE TODAY",IF($AO704=1,"DUE TOMORROW",IF($AQ704=1,"HIGH PRIORITY",IF($AR704=1,"NO RECENT UPDATE",""))))))) </f>
        <v/>
      </c>
      <c r="AH704" s="71" t="str">
        <f>IF($G704="","",IF(ISNUMBER($A704),IF(ISNUMBER($A704),YEAR($A704)&amp;"-"&amp;TEXT(MONTH($A704),"00"),""),IF(ISNUMBER($L704),IF(ISNUMBER($L704),YEAR($L704)&amp;"-"&amp;TEXT(MONTH($L704),"00"),""),"")))</f>
        <v/>
      </c>
      <c r="AI704" s="71">
        <f>IF($G704="",0,IF(AND(OR(fClient="All",$C704=fClient),OR(fCampaign="All",$D704=fCampaign),OR(fTeam="All",$B704=fTeam),OR(fChannel="All",$F704=fChannel),OR(fMonth="All",$AH704=fMonth),OR(fTStatus="All",$M704=fTStatus)),1,0))</f>
        <v>0</v>
      </c>
      <c r="AJ704" s="71">
        <f>IF($G704="",0,IF(AND(OR(fClient="All",$C704=fClient),OR(fCampaign="All",$D704=fCampaign),OR(fTeam="All",$B704=fTeam),OR(fChannel="All",$F704=fChannel)),1,0))</f>
        <v>0</v>
      </c>
      <c r="AK704" s="71">
        <f>IF($G704="",0,IF(OR($M704="Completed",$M704="Cancelled"),0,1))</f>
        <v>0</v>
      </c>
      <c r="AL704" s="71">
        <f>IF(AND($AK704=1,ISNUMBER($L704)),IF($L704&lt;ReportDate,1,0),0)</f>
        <v>0</v>
      </c>
      <c r="AM704" s="71">
        <f>IF(AND($G704&lt;&gt;"",$M704="Blocked"),1,0)</f>
        <v>0</v>
      </c>
      <c r="AN704" s="71">
        <f>IF(AND($AK704=1,ISNUMBER($L704)),IF($L704=ReportDate,1,0),0)</f>
        <v>0</v>
      </c>
      <c r="AO704" s="71">
        <f>IF(AND($AK704=1,ISNUMBER($L704)),IF($L704=ReportDate+1,1,0),0)</f>
        <v>0</v>
      </c>
      <c r="AP704" s="71">
        <f>IF(AND($AK704=1,ISNUMBER($L704)),IF(AND($L704&gt;=ReportDate,$L704&lt;=ReportDate+DueSoonDays),1,0),0)</f>
        <v>0</v>
      </c>
      <c r="AQ704" s="71">
        <f>IF(AND($AK704=1,OR($I704="Critical",$I704="High")),1,0)</f>
        <v>0</v>
      </c>
      <c r="AR704" s="71">
        <f>IF($AK704=1,IF(ISNUMBER($Y704),IF(ReportDate-$Y704&gt;StaleDays,1,0),1),0)</f>
        <v>0</v>
      </c>
      <c r="AS704" s="71">
        <f>IF(AND($G704&lt;&gt;"",ISNUMBER($Q704),ISNUMBER($R704)),IF(AND($Q704&lt;$R704,OR($M704="Completed",AND(ISNUMBER($L704),$L704&lt;ReportDate))),1,0),0)</f>
        <v>0</v>
      </c>
      <c r="AT704" s="71">
        <f>IF($AK704=1,IF(OR($L704=ReportDate,$W704=ReportDate,$K704=ReportDate,$A704=ReportDate),1,0),0)</f>
        <v>0</v>
      </c>
      <c r="AU704" s="71">
        <f>IF($AK704=1,IF(OR($L704=ReportDate+1,$W704=ReportDate+1,$K704=ReportDate+1,$A704=ReportDate+1),1,0),0)</f>
        <v>0</v>
      </c>
      <c r="AV704" s="71">
        <f>IF(AND($G704&lt;&gt;"",$M704="Completed"),IF(OR($Y704=ReportDate-1,$A704=ReportDate-1),1,0),0)</f>
        <v>0</v>
      </c>
      <c r="AW704" s="71">
        <f>IF(AND($AK704=1,$Z704="Yes"),1,0)</f>
        <v>0</v>
      </c>
      <c r="AX704" s="71">
        <f>IF(AND($AK704=1,$AA704="Yes"),1,0)</f>
        <v>0</v>
      </c>
      <c r="AY704" s="71">
        <f>IF(AND($AM704=1,OR($I704="Critical",$I704="High")),1,0)</f>
        <v>0</v>
      </c>
      <c r="AZ704" s="71">
        <f>IF(AND($AK704=1,OR($C704=TCL_Client,$C704=MECCA_Client)),1,0)</f>
        <v>0</v>
      </c>
      <c r="BA704" s="71" t="str">
        <f>IF($G704="","",IFERROR(MATCH($I704,lst_Priority,0),5))</f>
        <v/>
      </c>
      <c r="BB704" s="71" t="str">
        <f>IF(AND($AL704=1,$AJ704=1),$BA704*100000+ROW(),"")</f>
        <v/>
      </c>
      <c r="BC704" s="71" t="str">
        <f>IF(AND($AM704=1,$AJ704=1),$BA704*100000+ROW(),"")</f>
        <v/>
      </c>
      <c r="BD704" s="71" t="str">
        <f>IF(AND($AP704=1,$AJ704=1),$BA704*100000+ROW(),"")</f>
        <v/>
      </c>
      <c r="BE704" s="71" t="str">
        <f>IF(AND($AT704=1,$AJ704=1),$BA704*100000+ROW(),"")</f>
        <v/>
      </c>
      <c r="BF704" s="71" t="str">
        <f>IF(AND($AU704=1,$AJ704=1),$BA704*100000+ROW(),"")</f>
        <v/>
      </c>
      <c r="BG704" s="71" t="str">
        <f>IF(AND($AV704=1,$AJ704=1),$BA704*100000+ROW(),"")</f>
        <v/>
      </c>
      <c r="BH704" s="71" t="str">
        <f>IF(AND($AW704=1,$AJ704=1),$BA704*100000+ROW(),"")</f>
        <v/>
      </c>
      <c r="BI704" s="71" t="str">
        <f>IF(AND($AX704=1,$AJ704=1),$BA704*100000+ROW(),"")</f>
        <v/>
      </c>
      <c r="BJ704" s="71" t="str">
        <f>IF(AND($AS704=1,$AJ704=1),$BA704*100000+ROW(),"")</f>
        <v/>
      </c>
      <c r="BK704" s="71" t="str">
        <f>IF(AND($AY704=1,$AJ704=1),$BA704*100000+ROW(),"")</f>
        <v/>
      </c>
      <c r="BL704" s="71" t="str">
        <f>IF(AND($AZ704=1),$BA704*100000+ROW(),"")</f>
        <v/>
      </c>
    </row>
    <row r="705">
      <c r="A705" s="63" t="n"/>
      <c r="B705" s="64" t="n"/>
      <c r="C705" s="64" t="n"/>
      <c r="D705" s="64" t="n"/>
      <c r="E705" s="64" t="n"/>
      <c r="F705" s="64" t="n"/>
      <c r="G705" s="65" t="n"/>
      <c r="H705" s="65" t="n"/>
      <c r="I705" s="64" t="n"/>
      <c r="J705" s="64" t="n"/>
      <c r="K705" s="63" t="n"/>
      <c r="L705" s="63" t="n"/>
      <c r="M705" s="64" t="n"/>
      <c r="N705" s="66" t="n"/>
      <c r="O705" s="65" t="n"/>
      <c r="P705" s="64" t="n"/>
      <c r="Q705" s="67" t="n"/>
      <c r="R705" s="67" t="n"/>
      <c r="S705" s="68" t="str">
        <f>IF(AND(ISNUMBER($Q705),ISNUMBER($R705)),$Q705-$R705,"")</f>
        <v/>
      </c>
      <c r="T705" s="65" t="n"/>
      <c r="U705" s="64" t="n"/>
      <c r="V705" s="65" t="n"/>
      <c r="W705" s="63" t="n"/>
      <c r="X705" s="65" t="n"/>
      <c r="Y705" s="63" t="n"/>
      <c r="Z705" s="64" t="n"/>
      <c r="AA705" s="64" t="n"/>
      <c r="AB705" s="65" t="n"/>
      <c r="AC705" s="69" t="str">
        <f>IF(OR($G705="",NOT(ISNUMBER($K705)),$AK705=0),"",MAX(0,ReportDate-$K705))</f>
        <v/>
      </c>
      <c r="AD705" s="69" t="str">
        <f>IF($G705="","",IF($AL705=1,ReportDate-$L705,0))</f>
        <v/>
      </c>
      <c r="AE705" s="70" t="str">
        <f>IF($G705="","",IF($M705="Completed",1,IF(ISNUMBER($N705),$N705,0)))</f>
        <v/>
      </c>
      <c r="AF705" s="70" t="str">
        <f>IF(AND(ISNUMBER($Q705),ISNUMBER($R705)),IF($R705&lt;&gt;0,$Q705/$R705,""),"")</f>
        <v/>
      </c>
      <c r="AG705" s="71" t="str">
        <f>IF($G705="","",IF($AL705=1,"OVERDUE",IF($AM705=1,"BLOCKED",IF($AN705=1,"DUE TODAY",IF($AO705=1,"DUE TOMORROW",IF($AQ705=1,"HIGH PRIORITY",IF($AR705=1,"NO RECENT UPDATE",""))))))) </f>
        <v/>
      </c>
      <c r="AH705" s="71" t="str">
        <f>IF($G705="","",IF(ISNUMBER($A705),IF(ISNUMBER($A705),YEAR($A705)&amp;"-"&amp;TEXT(MONTH($A705),"00"),""),IF(ISNUMBER($L705),IF(ISNUMBER($L705),YEAR($L705)&amp;"-"&amp;TEXT(MONTH($L705),"00"),""),"")))</f>
        <v/>
      </c>
      <c r="AI705" s="71">
        <f>IF($G705="",0,IF(AND(OR(fClient="All",$C705=fClient),OR(fCampaign="All",$D705=fCampaign),OR(fTeam="All",$B705=fTeam),OR(fChannel="All",$F705=fChannel),OR(fMonth="All",$AH705=fMonth),OR(fTStatus="All",$M705=fTStatus)),1,0))</f>
        <v>0</v>
      </c>
      <c r="AJ705" s="71">
        <f>IF($G705="",0,IF(AND(OR(fClient="All",$C705=fClient),OR(fCampaign="All",$D705=fCampaign),OR(fTeam="All",$B705=fTeam),OR(fChannel="All",$F705=fChannel)),1,0))</f>
        <v>0</v>
      </c>
      <c r="AK705" s="71">
        <f>IF($G705="",0,IF(OR($M705="Completed",$M705="Cancelled"),0,1))</f>
        <v>0</v>
      </c>
      <c r="AL705" s="71">
        <f>IF(AND($AK705=1,ISNUMBER($L705)),IF($L705&lt;ReportDate,1,0),0)</f>
        <v>0</v>
      </c>
      <c r="AM705" s="71">
        <f>IF(AND($G705&lt;&gt;"",$M705="Blocked"),1,0)</f>
        <v>0</v>
      </c>
      <c r="AN705" s="71">
        <f>IF(AND($AK705=1,ISNUMBER($L705)),IF($L705=ReportDate,1,0),0)</f>
        <v>0</v>
      </c>
      <c r="AO705" s="71">
        <f>IF(AND($AK705=1,ISNUMBER($L705)),IF($L705=ReportDate+1,1,0),0)</f>
        <v>0</v>
      </c>
      <c r="AP705" s="71">
        <f>IF(AND($AK705=1,ISNUMBER($L705)),IF(AND($L705&gt;=ReportDate,$L705&lt;=ReportDate+DueSoonDays),1,0),0)</f>
        <v>0</v>
      </c>
      <c r="AQ705" s="71">
        <f>IF(AND($AK705=1,OR($I705="Critical",$I705="High")),1,0)</f>
        <v>0</v>
      </c>
      <c r="AR705" s="71">
        <f>IF($AK705=1,IF(ISNUMBER($Y705),IF(ReportDate-$Y705&gt;StaleDays,1,0),1),0)</f>
        <v>0</v>
      </c>
      <c r="AS705" s="71">
        <f>IF(AND($G705&lt;&gt;"",ISNUMBER($Q705),ISNUMBER($R705)),IF(AND($Q705&lt;$R705,OR($M705="Completed",AND(ISNUMBER($L705),$L705&lt;ReportDate))),1,0),0)</f>
        <v>0</v>
      </c>
      <c r="AT705" s="71">
        <f>IF($AK705=1,IF(OR($L705=ReportDate,$W705=ReportDate,$K705=ReportDate,$A705=ReportDate),1,0),0)</f>
        <v>0</v>
      </c>
      <c r="AU705" s="71">
        <f>IF($AK705=1,IF(OR($L705=ReportDate+1,$W705=ReportDate+1,$K705=ReportDate+1,$A705=ReportDate+1),1,0),0)</f>
        <v>0</v>
      </c>
      <c r="AV705" s="71">
        <f>IF(AND($G705&lt;&gt;"",$M705="Completed"),IF(OR($Y705=ReportDate-1,$A705=ReportDate-1),1,0),0)</f>
        <v>0</v>
      </c>
      <c r="AW705" s="71">
        <f>IF(AND($AK705=1,$Z705="Yes"),1,0)</f>
        <v>0</v>
      </c>
      <c r="AX705" s="71">
        <f>IF(AND($AK705=1,$AA705="Yes"),1,0)</f>
        <v>0</v>
      </c>
      <c r="AY705" s="71">
        <f>IF(AND($AM705=1,OR($I705="Critical",$I705="High")),1,0)</f>
        <v>0</v>
      </c>
      <c r="AZ705" s="71">
        <f>IF(AND($AK705=1,OR($C705=TCL_Client,$C705=MECCA_Client)),1,0)</f>
        <v>0</v>
      </c>
      <c r="BA705" s="71" t="str">
        <f>IF($G705="","",IFERROR(MATCH($I705,lst_Priority,0),5))</f>
        <v/>
      </c>
      <c r="BB705" s="71" t="str">
        <f>IF(AND($AL705=1,$AJ705=1),$BA705*100000+ROW(),"")</f>
        <v/>
      </c>
      <c r="BC705" s="71" t="str">
        <f>IF(AND($AM705=1,$AJ705=1),$BA705*100000+ROW(),"")</f>
        <v/>
      </c>
      <c r="BD705" s="71" t="str">
        <f>IF(AND($AP705=1,$AJ705=1),$BA705*100000+ROW(),"")</f>
        <v/>
      </c>
      <c r="BE705" s="71" t="str">
        <f>IF(AND($AT705=1,$AJ705=1),$BA705*100000+ROW(),"")</f>
        <v/>
      </c>
      <c r="BF705" s="71" t="str">
        <f>IF(AND($AU705=1,$AJ705=1),$BA705*100000+ROW(),"")</f>
        <v/>
      </c>
      <c r="BG705" s="71" t="str">
        <f>IF(AND($AV705=1,$AJ705=1),$BA705*100000+ROW(),"")</f>
        <v/>
      </c>
      <c r="BH705" s="71" t="str">
        <f>IF(AND($AW705=1,$AJ705=1),$BA705*100000+ROW(),"")</f>
        <v/>
      </c>
      <c r="BI705" s="71" t="str">
        <f>IF(AND($AX705=1,$AJ705=1),$BA705*100000+ROW(),"")</f>
        <v/>
      </c>
      <c r="BJ705" s="71" t="str">
        <f>IF(AND($AS705=1,$AJ705=1),$BA705*100000+ROW(),"")</f>
        <v/>
      </c>
      <c r="BK705" s="71" t="str">
        <f>IF(AND($AY705=1,$AJ705=1),$BA705*100000+ROW(),"")</f>
        <v/>
      </c>
      <c r="BL705" s="71" t="str">
        <f>IF(AND($AZ705=1),$BA705*100000+ROW(),"")</f>
        <v/>
      </c>
    </row>
    <row r="706">
      <c r="A706" s="63" t="n"/>
      <c r="B706" s="64" t="n"/>
      <c r="C706" s="64" t="n"/>
      <c r="D706" s="64" t="n"/>
      <c r="E706" s="64" t="n"/>
      <c r="F706" s="64" t="n"/>
      <c r="G706" s="65" t="n"/>
      <c r="H706" s="65" t="n"/>
      <c r="I706" s="64" t="n"/>
      <c r="J706" s="64" t="n"/>
      <c r="K706" s="63" t="n"/>
      <c r="L706" s="63" t="n"/>
      <c r="M706" s="64" t="n"/>
      <c r="N706" s="66" t="n"/>
      <c r="O706" s="65" t="n"/>
      <c r="P706" s="64" t="n"/>
      <c r="Q706" s="67" t="n"/>
      <c r="R706" s="67" t="n"/>
      <c r="S706" s="68" t="str">
        <f>IF(AND(ISNUMBER($Q706),ISNUMBER($R706)),$Q706-$R706,"")</f>
        <v/>
      </c>
      <c r="T706" s="65" t="n"/>
      <c r="U706" s="64" t="n"/>
      <c r="V706" s="65" t="n"/>
      <c r="W706" s="63" t="n"/>
      <c r="X706" s="65" t="n"/>
      <c r="Y706" s="63" t="n"/>
      <c r="Z706" s="64" t="n"/>
      <c r="AA706" s="64" t="n"/>
      <c r="AB706" s="65" t="n"/>
      <c r="AC706" s="69" t="str">
        <f>IF(OR($G706="",NOT(ISNUMBER($K706)),$AK706=0),"",MAX(0,ReportDate-$K706))</f>
        <v/>
      </c>
      <c r="AD706" s="69" t="str">
        <f>IF($G706="","",IF($AL706=1,ReportDate-$L706,0))</f>
        <v/>
      </c>
      <c r="AE706" s="70" t="str">
        <f>IF($G706="","",IF($M706="Completed",1,IF(ISNUMBER($N706),$N706,0)))</f>
        <v/>
      </c>
      <c r="AF706" s="70" t="str">
        <f>IF(AND(ISNUMBER($Q706),ISNUMBER($R706)),IF($R706&lt;&gt;0,$Q706/$R706,""),"")</f>
        <v/>
      </c>
      <c r="AG706" s="71" t="str">
        <f>IF($G706="","",IF($AL706=1,"OVERDUE",IF($AM706=1,"BLOCKED",IF($AN706=1,"DUE TODAY",IF($AO706=1,"DUE TOMORROW",IF($AQ706=1,"HIGH PRIORITY",IF($AR706=1,"NO RECENT UPDATE",""))))))) </f>
        <v/>
      </c>
      <c r="AH706" s="71" t="str">
        <f>IF($G706="","",IF(ISNUMBER($A706),IF(ISNUMBER($A706),YEAR($A706)&amp;"-"&amp;TEXT(MONTH($A706),"00"),""),IF(ISNUMBER($L706),IF(ISNUMBER($L706),YEAR($L706)&amp;"-"&amp;TEXT(MONTH($L706),"00"),""),"")))</f>
        <v/>
      </c>
      <c r="AI706" s="71">
        <f>IF($G706="",0,IF(AND(OR(fClient="All",$C706=fClient),OR(fCampaign="All",$D706=fCampaign),OR(fTeam="All",$B706=fTeam),OR(fChannel="All",$F706=fChannel),OR(fMonth="All",$AH706=fMonth),OR(fTStatus="All",$M706=fTStatus)),1,0))</f>
        <v>0</v>
      </c>
      <c r="AJ706" s="71">
        <f>IF($G706="",0,IF(AND(OR(fClient="All",$C706=fClient),OR(fCampaign="All",$D706=fCampaign),OR(fTeam="All",$B706=fTeam),OR(fChannel="All",$F706=fChannel)),1,0))</f>
        <v>0</v>
      </c>
      <c r="AK706" s="71">
        <f>IF($G706="",0,IF(OR($M706="Completed",$M706="Cancelled"),0,1))</f>
        <v>0</v>
      </c>
      <c r="AL706" s="71">
        <f>IF(AND($AK706=1,ISNUMBER($L706)),IF($L706&lt;ReportDate,1,0),0)</f>
        <v>0</v>
      </c>
      <c r="AM706" s="71">
        <f>IF(AND($G706&lt;&gt;"",$M706="Blocked"),1,0)</f>
        <v>0</v>
      </c>
      <c r="AN706" s="71">
        <f>IF(AND($AK706=1,ISNUMBER($L706)),IF($L706=ReportDate,1,0),0)</f>
        <v>0</v>
      </c>
      <c r="AO706" s="71">
        <f>IF(AND($AK706=1,ISNUMBER($L706)),IF($L706=ReportDate+1,1,0),0)</f>
        <v>0</v>
      </c>
      <c r="AP706" s="71">
        <f>IF(AND($AK706=1,ISNUMBER($L706)),IF(AND($L706&gt;=ReportDate,$L706&lt;=ReportDate+DueSoonDays),1,0),0)</f>
        <v>0</v>
      </c>
      <c r="AQ706" s="71">
        <f>IF(AND($AK706=1,OR($I706="Critical",$I706="High")),1,0)</f>
        <v>0</v>
      </c>
      <c r="AR706" s="71">
        <f>IF($AK706=1,IF(ISNUMBER($Y706),IF(ReportDate-$Y706&gt;StaleDays,1,0),1),0)</f>
        <v>0</v>
      </c>
      <c r="AS706" s="71">
        <f>IF(AND($G706&lt;&gt;"",ISNUMBER($Q706),ISNUMBER($R706)),IF(AND($Q706&lt;$R706,OR($M706="Completed",AND(ISNUMBER($L706),$L706&lt;ReportDate))),1,0),0)</f>
        <v>0</v>
      </c>
      <c r="AT706" s="71">
        <f>IF($AK706=1,IF(OR($L706=ReportDate,$W706=ReportDate,$K706=ReportDate,$A706=ReportDate),1,0),0)</f>
        <v>0</v>
      </c>
      <c r="AU706" s="71">
        <f>IF($AK706=1,IF(OR($L706=ReportDate+1,$W706=ReportDate+1,$K706=ReportDate+1,$A706=ReportDate+1),1,0),0)</f>
        <v>0</v>
      </c>
      <c r="AV706" s="71">
        <f>IF(AND($G706&lt;&gt;"",$M706="Completed"),IF(OR($Y706=ReportDate-1,$A706=ReportDate-1),1,0),0)</f>
        <v>0</v>
      </c>
      <c r="AW706" s="71">
        <f>IF(AND($AK706=1,$Z706="Yes"),1,0)</f>
        <v>0</v>
      </c>
      <c r="AX706" s="71">
        <f>IF(AND($AK706=1,$AA706="Yes"),1,0)</f>
        <v>0</v>
      </c>
      <c r="AY706" s="71">
        <f>IF(AND($AM706=1,OR($I706="Critical",$I706="High")),1,0)</f>
        <v>0</v>
      </c>
      <c r="AZ706" s="71">
        <f>IF(AND($AK706=1,OR($C706=TCL_Client,$C706=MECCA_Client)),1,0)</f>
        <v>0</v>
      </c>
      <c r="BA706" s="71" t="str">
        <f>IF($G706="","",IFERROR(MATCH($I706,lst_Priority,0),5))</f>
        <v/>
      </c>
      <c r="BB706" s="71" t="str">
        <f>IF(AND($AL706=1,$AJ706=1),$BA706*100000+ROW(),"")</f>
        <v/>
      </c>
      <c r="BC706" s="71" t="str">
        <f>IF(AND($AM706=1,$AJ706=1),$BA706*100000+ROW(),"")</f>
        <v/>
      </c>
      <c r="BD706" s="71" t="str">
        <f>IF(AND($AP706=1,$AJ706=1),$BA706*100000+ROW(),"")</f>
        <v/>
      </c>
      <c r="BE706" s="71" t="str">
        <f>IF(AND($AT706=1,$AJ706=1),$BA706*100000+ROW(),"")</f>
        <v/>
      </c>
      <c r="BF706" s="71" t="str">
        <f>IF(AND($AU706=1,$AJ706=1),$BA706*100000+ROW(),"")</f>
        <v/>
      </c>
      <c r="BG706" s="71" t="str">
        <f>IF(AND($AV706=1,$AJ706=1),$BA706*100000+ROW(),"")</f>
        <v/>
      </c>
      <c r="BH706" s="71" t="str">
        <f>IF(AND($AW706=1,$AJ706=1),$BA706*100000+ROW(),"")</f>
        <v/>
      </c>
      <c r="BI706" s="71" t="str">
        <f>IF(AND($AX706=1,$AJ706=1),$BA706*100000+ROW(),"")</f>
        <v/>
      </c>
      <c r="BJ706" s="71" t="str">
        <f>IF(AND($AS706=1,$AJ706=1),$BA706*100000+ROW(),"")</f>
        <v/>
      </c>
      <c r="BK706" s="71" t="str">
        <f>IF(AND($AY706=1,$AJ706=1),$BA706*100000+ROW(),"")</f>
        <v/>
      </c>
      <c r="BL706" s="71" t="str">
        <f>IF(AND($AZ706=1),$BA706*100000+ROW(),"")</f>
        <v/>
      </c>
    </row>
    <row r="707">
      <c r="A707" s="63" t="n"/>
      <c r="B707" s="64" t="n"/>
      <c r="C707" s="64" t="n"/>
      <c r="D707" s="64" t="n"/>
      <c r="E707" s="64" t="n"/>
      <c r="F707" s="64" t="n"/>
      <c r="G707" s="65" t="n"/>
      <c r="H707" s="65" t="n"/>
      <c r="I707" s="64" t="n"/>
      <c r="J707" s="64" t="n"/>
      <c r="K707" s="63" t="n"/>
      <c r="L707" s="63" t="n"/>
      <c r="M707" s="64" t="n"/>
      <c r="N707" s="66" t="n"/>
      <c r="O707" s="65" t="n"/>
      <c r="P707" s="64" t="n"/>
      <c r="Q707" s="67" t="n"/>
      <c r="R707" s="67" t="n"/>
      <c r="S707" s="68" t="str">
        <f>IF(AND(ISNUMBER($Q707),ISNUMBER($R707)),$Q707-$R707,"")</f>
        <v/>
      </c>
      <c r="T707" s="65" t="n"/>
      <c r="U707" s="64" t="n"/>
      <c r="V707" s="65" t="n"/>
      <c r="W707" s="63" t="n"/>
      <c r="X707" s="65" t="n"/>
      <c r="Y707" s="63" t="n"/>
      <c r="Z707" s="64" t="n"/>
      <c r="AA707" s="64" t="n"/>
      <c r="AB707" s="65" t="n"/>
      <c r="AC707" s="69" t="str">
        <f>IF(OR($G707="",NOT(ISNUMBER($K707)),$AK707=0),"",MAX(0,ReportDate-$K707))</f>
        <v/>
      </c>
      <c r="AD707" s="69" t="str">
        <f>IF($G707="","",IF($AL707=1,ReportDate-$L707,0))</f>
        <v/>
      </c>
      <c r="AE707" s="70" t="str">
        <f>IF($G707="","",IF($M707="Completed",1,IF(ISNUMBER($N707),$N707,0)))</f>
        <v/>
      </c>
      <c r="AF707" s="70" t="str">
        <f>IF(AND(ISNUMBER($Q707),ISNUMBER($R707)),IF($R707&lt;&gt;0,$Q707/$R707,""),"")</f>
        <v/>
      </c>
      <c r="AG707" s="71" t="str">
        <f>IF($G707="","",IF($AL707=1,"OVERDUE",IF($AM707=1,"BLOCKED",IF($AN707=1,"DUE TODAY",IF($AO707=1,"DUE TOMORROW",IF($AQ707=1,"HIGH PRIORITY",IF($AR707=1,"NO RECENT UPDATE",""))))))) </f>
        <v/>
      </c>
      <c r="AH707" s="71" t="str">
        <f>IF($G707="","",IF(ISNUMBER($A707),IF(ISNUMBER($A707),YEAR($A707)&amp;"-"&amp;TEXT(MONTH($A707),"00"),""),IF(ISNUMBER($L707),IF(ISNUMBER($L707),YEAR($L707)&amp;"-"&amp;TEXT(MONTH($L707),"00"),""),"")))</f>
        <v/>
      </c>
      <c r="AI707" s="71">
        <f>IF($G707="",0,IF(AND(OR(fClient="All",$C707=fClient),OR(fCampaign="All",$D707=fCampaign),OR(fTeam="All",$B707=fTeam),OR(fChannel="All",$F707=fChannel),OR(fMonth="All",$AH707=fMonth),OR(fTStatus="All",$M707=fTStatus)),1,0))</f>
        <v>0</v>
      </c>
      <c r="AJ707" s="71">
        <f>IF($G707="",0,IF(AND(OR(fClient="All",$C707=fClient),OR(fCampaign="All",$D707=fCampaign),OR(fTeam="All",$B707=fTeam),OR(fChannel="All",$F707=fChannel)),1,0))</f>
        <v>0</v>
      </c>
      <c r="AK707" s="71">
        <f>IF($G707="",0,IF(OR($M707="Completed",$M707="Cancelled"),0,1))</f>
        <v>0</v>
      </c>
      <c r="AL707" s="71">
        <f>IF(AND($AK707=1,ISNUMBER($L707)),IF($L707&lt;ReportDate,1,0),0)</f>
        <v>0</v>
      </c>
      <c r="AM707" s="71">
        <f>IF(AND($G707&lt;&gt;"",$M707="Blocked"),1,0)</f>
        <v>0</v>
      </c>
      <c r="AN707" s="71">
        <f>IF(AND($AK707=1,ISNUMBER($L707)),IF($L707=ReportDate,1,0),0)</f>
        <v>0</v>
      </c>
      <c r="AO707" s="71">
        <f>IF(AND($AK707=1,ISNUMBER($L707)),IF($L707=ReportDate+1,1,0),0)</f>
        <v>0</v>
      </c>
      <c r="AP707" s="71">
        <f>IF(AND($AK707=1,ISNUMBER($L707)),IF(AND($L707&gt;=ReportDate,$L707&lt;=ReportDate+DueSoonDays),1,0),0)</f>
        <v>0</v>
      </c>
      <c r="AQ707" s="71">
        <f>IF(AND($AK707=1,OR($I707="Critical",$I707="High")),1,0)</f>
        <v>0</v>
      </c>
      <c r="AR707" s="71">
        <f>IF($AK707=1,IF(ISNUMBER($Y707),IF(ReportDate-$Y707&gt;StaleDays,1,0),1),0)</f>
        <v>0</v>
      </c>
      <c r="AS707" s="71">
        <f>IF(AND($G707&lt;&gt;"",ISNUMBER($Q707),ISNUMBER($R707)),IF(AND($Q707&lt;$R707,OR($M707="Completed",AND(ISNUMBER($L707),$L707&lt;ReportDate))),1,0),0)</f>
        <v>0</v>
      </c>
      <c r="AT707" s="71">
        <f>IF($AK707=1,IF(OR($L707=ReportDate,$W707=ReportDate,$K707=ReportDate,$A707=ReportDate),1,0),0)</f>
        <v>0</v>
      </c>
      <c r="AU707" s="71">
        <f>IF($AK707=1,IF(OR($L707=ReportDate+1,$W707=ReportDate+1,$K707=ReportDate+1,$A707=ReportDate+1),1,0),0)</f>
        <v>0</v>
      </c>
      <c r="AV707" s="71">
        <f>IF(AND($G707&lt;&gt;"",$M707="Completed"),IF(OR($Y707=ReportDate-1,$A707=ReportDate-1),1,0),0)</f>
        <v>0</v>
      </c>
      <c r="AW707" s="71">
        <f>IF(AND($AK707=1,$Z707="Yes"),1,0)</f>
        <v>0</v>
      </c>
      <c r="AX707" s="71">
        <f>IF(AND($AK707=1,$AA707="Yes"),1,0)</f>
        <v>0</v>
      </c>
      <c r="AY707" s="71">
        <f>IF(AND($AM707=1,OR($I707="Critical",$I707="High")),1,0)</f>
        <v>0</v>
      </c>
      <c r="AZ707" s="71">
        <f>IF(AND($AK707=1,OR($C707=TCL_Client,$C707=MECCA_Client)),1,0)</f>
        <v>0</v>
      </c>
      <c r="BA707" s="71" t="str">
        <f>IF($G707="","",IFERROR(MATCH($I707,lst_Priority,0),5))</f>
        <v/>
      </c>
      <c r="BB707" s="71" t="str">
        <f>IF(AND($AL707=1,$AJ707=1),$BA707*100000+ROW(),"")</f>
        <v/>
      </c>
      <c r="BC707" s="71" t="str">
        <f>IF(AND($AM707=1,$AJ707=1),$BA707*100000+ROW(),"")</f>
        <v/>
      </c>
      <c r="BD707" s="71" t="str">
        <f>IF(AND($AP707=1,$AJ707=1),$BA707*100000+ROW(),"")</f>
        <v/>
      </c>
      <c r="BE707" s="71" t="str">
        <f>IF(AND($AT707=1,$AJ707=1),$BA707*100000+ROW(),"")</f>
        <v/>
      </c>
      <c r="BF707" s="71" t="str">
        <f>IF(AND($AU707=1,$AJ707=1),$BA707*100000+ROW(),"")</f>
        <v/>
      </c>
      <c r="BG707" s="71" t="str">
        <f>IF(AND($AV707=1,$AJ707=1),$BA707*100000+ROW(),"")</f>
        <v/>
      </c>
      <c r="BH707" s="71" t="str">
        <f>IF(AND($AW707=1,$AJ707=1),$BA707*100000+ROW(),"")</f>
        <v/>
      </c>
      <c r="BI707" s="71" t="str">
        <f>IF(AND($AX707=1,$AJ707=1),$BA707*100000+ROW(),"")</f>
        <v/>
      </c>
      <c r="BJ707" s="71" t="str">
        <f>IF(AND($AS707=1,$AJ707=1),$BA707*100000+ROW(),"")</f>
        <v/>
      </c>
      <c r="BK707" s="71" t="str">
        <f>IF(AND($AY707=1,$AJ707=1),$BA707*100000+ROW(),"")</f>
        <v/>
      </c>
      <c r="BL707" s="71" t="str">
        <f>IF(AND($AZ707=1),$BA707*100000+ROW(),"")</f>
        <v/>
      </c>
    </row>
    <row r="708">
      <c r="A708" s="63" t="n"/>
      <c r="B708" s="64" t="n"/>
      <c r="C708" s="64" t="n"/>
      <c r="D708" s="64" t="n"/>
      <c r="E708" s="64" t="n"/>
      <c r="F708" s="64" t="n"/>
      <c r="G708" s="65" t="n"/>
      <c r="H708" s="65" t="n"/>
      <c r="I708" s="64" t="n"/>
      <c r="J708" s="64" t="n"/>
      <c r="K708" s="63" t="n"/>
      <c r="L708" s="63" t="n"/>
      <c r="M708" s="64" t="n"/>
      <c r="N708" s="66" t="n"/>
      <c r="O708" s="65" t="n"/>
      <c r="P708" s="64" t="n"/>
      <c r="Q708" s="67" t="n"/>
      <c r="R708" s="67" t="n"/>
      <c r="S708" s="68" t="str">
        <f>IF(AND(ISNUMBER($Q708),ISNUMBER($R708)),$Q708-$R708,"")</f>
        <v/>
      </c>
      <c r="T708" s="65" t="n"/>
      <c r="U708" s="64" t="n"/>
      <c r="V708" s="65" t="n"/>
      <c r="W708" s="63" t="n"/>
      <c r="X708" s="65" t="n"/>
      <c r="Y708" s="63" t="n"/>
      <c r="Z708" s="64" t="n"/>
      <c r="AA708" s="64" t="n"/>
      <c r="AB708" s="65" t="n"/>
      <c r="AC708" s="69" t="str">
        <f>IF(OR($G708="",NOT(ISNUMBER($K708)),$AK708=0),"",MAX(0,ReportDate-$K708))</f>
        <v/>
      </c>
      <c r="AD708" s="69" t="str">
        <f>IF($G708="","",IF($AL708=1,ReportDate-$L708,0))</f>
        <v/>
      </c>
      <c r="AE708" s="70" t="str">
        <f>IF($G708="","",IF($M708="Completed",1,IF(ISNUMBER($N708),$N708,0)))</f>
        <v/>
      </c>
      <c r="AF708" s="70" t="str">
        <f>IF(AND(ISNUMBER($Q708),ISNUMBER($R708)),IF($R708&lt;&gt;0,$Q708/$R708,""),"")</f>
        <v/>
      </c>
      <c r="AG708" s="71" t="str">
        <f>IF($G708="","",IF($AL708=1,"OVERDUE",IF($AM708=1,"BLOCKED",IF($AN708=1,"DUE TODAY",IF($AO708=1,"DUE TOMORROW",IF($AQ708=1,"HIGH PRIORITY",IF($AR708=1,"NO RECENT UPDATE",""))))))) </f>
        <v/>
      </c>
      <c r="AH708" s="71" t="str">
        <f>IF($G708="","",IF(ISNUMBER($A708),IF(ISNUMBER($A708),YEAR($A708)&amp;"-"&amp;TEXT(MONTH($A708),"00"),""),IF(ISNUMBER($L708),IF(ISNUMBER($L708),YEAR($L708)&amp;"-"&amp;TEXT(MONTH($L708),"00"),""),"")))</f>
        <v/>
      </c>
      <c r="AI708" s="71">
        <f>IF($G708="",0,IF(AND(OR(fClient="All",$C708=fClient),OR(fCampaign="All",$D708=fCampaign),OR(fTeam="All",$B708=fTeam),OR(fChannel="All",$F708=fChannel),OR(fMonth="All",$AH708=fMonth),OR(fTStatus="All",$M708=fTStatus)),1,0))</f>
        <v>0</v>
      </c>
      <c r="AJ708" s="71">
        <f>IF($G708="",0,IF(AND(OR(fClient="All",$C708=fClient),OR(fCampaign="All",$D708=fCampaign),OR(fTeam="All",$B708=fTeam),OR(fChannel="All",$F708=fChannel)),1,0))</f>
        <v>0</v>
      </c>
      <c r="AK708" s="71">
        <f>IF($G708="",0,IF(OR($M708="Completed",$M708="Cancelled"),0,1))</f>
        <v>0</v>
      </c>
      <c r="AL708" s="71">
        <f>IF(AND($AK708=1,ISNUMBER($L708)),IF($L708&lt;ReportDate,1,0),0)</f>
        <v>0</v>
      </c>
      <c r="AM708" s="71">
        <f>IF(AND($G708&lt;&gt;"",$M708="Blocked"),1,0)</f>
        <v>0</v>
      </c>
      <c r="AN708" s="71">
        <f>IF(AND($AK708=1,ISNUMBER($L708)),IF($L708=ReportDate,1,0),0)</f>
        <v>0</v>
      </c>
      <c r="AO708" s="71">
        <f>IF(AND($AK708=1,ISNUMBER($L708)),IF($L708=ReportDate+1,1,0),0)</f>
        <v>0</v>
      </c>
      <c r="AP708" s="71">
        <f>IF(AND($AK708=1,ISNUMBER($L708)),IF(AND($L708&gt;=ReportDate,$L708&lt;=ReportDate+DueSoonDays),1,0),0)</f>
        <v>0</v>
      </c>
      <c r="AQ708" s="71">
        <f>IF(AND($AK708=1,OR($I708="Critical",$I708="High")),1,0)</f>
        <v>0</v>
      </c>
      <c r="AR708" s="71">
        <f>IF($AK708=1,IF(ISNUMBER($Y708),IF(ReportDate-$Y708&gt;StaleDays,1,0),1),0)</f>
        <v>0</v>
      </c>
      <c r="AS708" s="71">
        <f>IF(AND($G708&lt;&gt;"",ISNUMBER($Q708),ISNUMBER($R708)),IF(AND($Q708&lt;$R708,OR($M708="Completed",AND(ISNUMBER($L708),$L708&lt;ReportDate))),1,0),0)</f>
        <v>0</v>
      </c>
      <c r="AT708" s="71">
        <f>IF($AK708=1,IF(OR($L708=ReportDate,$W708=ReportDate,$K708=ReportDate,$A708=ReportDate),1,0),0)</f>
        <v>0</v>
      </c>
      <c r="AU708" s="71">
        <f>IF($AK708=1,IF(OR($L708=ReportDate+1,$W708=ReportDate+1,$K708=ReportDate+1,$A708=ReportDate+1),1,0),0)</f>
        <v>0</v>
      </c>
      <c r="AV708" s="71">
        <f>IF(AND($G708&lt;&gt;"",$M708="Completed"),IF(OR($Y708=ReportDate-1,$A708=ReportDate-1),1,0),0)</f>
        <v>0</v>
      </c>
      <c r="AW708" s="71">
        <f>IF(AND($AK708=1,$Z708="Yes"),1,0)</f>
        <v>0</v>
      </c>
      <c r="AX708" s="71">
        <f>IF(AND($AK708=1,$AA708="Yes"),1,0)</f>
        <v>0</v>
      </c>
      <c r="AY708" s="71">
        <f>IF(AND($AM708=1,OR($I708="Critical",$I708="High")),1,0)</f>
        <v>0</v>
      </c>
      <c r="AZ708" s="71">
        <f>IF(AND($AK708=1,OR($C708=TCL_Client,$C708=MECCA_Client)),1,0)</f>
        <v>0</v>
      </c>
      <c r="BA708" s="71" t="str">
        <f>IF($G708="","",IFERROR(MATCH($I708,lst_Priority,0),5))</f>
        <v/>
      </c>
      <c r="BB708" s="71" t="str">
        <f>IF(AND($AL708=1,$AJ708=1),$BA708*100000+ROW(),"")</f>
        <v/>
      </c>
      <c r="BC708" s="71" t="str">
        <f>IF(AND($AM708=1,$AJ708=1),$BA708*100000+ROW(),"")</f>
        <v/>
      </c>
      <c r="BD708" s="71" t="str">
        <f>IF(AND($AP708=1,$AJ708=1),$BA708*100000+ROW(),"")</f>
        <v/>
      </c>
      <c r="BE708" s="71" t="str">
        <f>IF(AND($AT708=1,$AJ708=1),$BA708*100000+ROW(),"")</f>
        <v/>
      </c>
      <c r="BF708" s="71" t="str">
        <f>IF(AND($AU708=1,$AJ708=1),$BA708*100000+ROW(),"")</f>
        <v/>
      </c>
      <c r="BG708" s="71" t="str">
        <f>IF(AND($AV708=1,$AJ708=1),$BA708*100000+ROW(),"")</f>
        <v/>
      </c>
      <c r="BH708" s="71" t="str">
        <f>IF(AND($AW708=1,$AJ708=1),$BA708*100000+ROW(),"")</f>
        <v/>
      </c>
      <c r="BI708" s="71" t="str">
        <f>IF(AND($AX708=1,$AJ708=1),$BA708*100000+ROW(),"")</f>
        <v/>
      </c>
      <c r="BJ708" s="71" t="str">
        <f>IF(AND($AS708=1,$AJ708=1),$BA708*100000+ROW(),"")</f>
        <v/>
      </c>
      <c r="BK708" s="71" t="str">
        <f>IF(AND($AY708=1,$AJ708=1),$BA708*100000+ROW(),"")</f>
        <v/>
      </c>
      <c r="BL708" s="71" t="str">
        <f>IF(AND($AZ708=1),$BA708*100000+ROW(),"")</f>
        <v/>
      </c>
    </row>
    <row r="709">
      <c r="A709" s="63" t="n"/>
      <c r="B709" s="64" t="n"/>
      <c r="C709" s="64" t="n"/>
      <c r="D709" s="64" t="n"/>
      <c r="E709" s="64" t="n"/>
      <c r="F709" s="64" t="n"/>
      <c r="G709" s="65" t="n"/>
      <c r="H709" s="65" t="n"/>
      <c r="I709" s="64" t="n"/>
      <c r="J709" s="64" t="n"/>
      <c r="K709" s="63" t="n"/>
      <c r="L709" s="63" t="n"/>
      <c r="M709" s="64" t="n"/>
      <c r="N709" s="66" t="n"/>
      <c r="O709" s="65" t="n"/>
      <c r="P709" s="64" t="n"/>
      <c r="Q709" s="67" t="n"/>
      <c r="R709" s="67" t="n"/>
      <c r="S709" s="68" t="str">
        <f>IF(AND(ISNUMBER($Q709),ISNUMBER($R709)),$Q709-$R709,"")</f>
        <v/>
      </c>
      <c r="T709" s="65" t="n"/>
      <c r="U709" s="64" t="n"/>
      <c r="V709" s="65" t="n"/>
      <c r="W709" s="63" t="n"/>
      <c r="X709" s="65" t="n"/>
      <c r="Y709" s="63" t="n"/>
      <c r="Z709" s="64" t="n"/>
      <c r="AA709" s="64" t="n"/>
      <c r="AB709" s="65" t="n"/>
      <c r="AC709" s="69" t="str">
        <f>IF(OR($G709="",NOT(ISNUMBER($K709)),$AK709=0),"",MAX(0,ReportDate-$K709))</f>
        <v/>
      </c>
      <c r="AD709" s="69" t="str">
        <f>IF($G709="","",IF($AL709=1,ReportDate-$L709,0))</f>
        <v/>
      </c>
      <c r="AE709" s="70" t="str">
        <f>IF($G709="","",IF($M709="Completed",1,IF(ISNUMBER($N709),$N709,0)))</f>
        <v/>
      </c>
      <c r="AF709" s="70" t="str">
        <f>IF(AND(ISNUMBER($Q709),ISNUMBER($R709)),IF($R709&lt;&gt;0,$Q709/$R709,""),"")</f>
        <v/>
      </c>
      <c r="AG709" s="71" t="str">
        <f>IF($G709="","",IF($AL709=1,"OVERDUE",IF($AM709=1,"BLOCKED",IF($AN709=1,"DUE TODAY",IF($AO709=1,"DUE TOMORROW",IF($AQ709=1,"HIGH PRIORITY",IF($AR709=1,"NO RECENT UPDATE",""))))))) </f>
        <v/>
      </c>
      <c r="AH709" s="71" t="str">
        <f>IF($G709="","",IF(ISNUMBER($A709),IF(ISNUMBER($A709),YEAR($A709)&amp;"-"&amp;TEXT(MONTH($A709),"00"),""),IF(ISNUMBER($L709),IF(ISNUMBER($L709),YEAR($L709)&amp;"-"&amp;TEXT(MONTH($L709),"00"),""),"")))</f>
        <v/>
      </c>
      <c r="AI709" s="71">
        <f>IF($G709="",0,IF(AND(OR(fClient="All",$C709=fClient),OR(fCampaign="All",$D709=fCampaign),OR(fTeam="All",$B709=fTeam),OR(fChannel="All",$F709=fChannel),OR(fMonth="All",$AH709=fMonth),OR(fTStatus="All",$M709=fTStatus)),1,0))</f>
        <v>0</v>
      </c>
      <c r="AJ709" s="71">
        <f>IF($G709="",0,IF(AND(OR(fClient="All",$C709=fClient),OR(fCampaign="All",$D709=fCampaign),OR(fTeam="All",$B709=fTeam),OR(fChannel="All",$F709=fChannel)),1,0))</f>
        <v>0</v>
      </c>
      <c r="AK709" s="71">
        <f>IF($G709="",0,IF(OR($M709="Completed",$M709="Cancelled"),0,1))</f>
        <v>0</v>
      </c>
      <c r="AL709" s="71">
        <f>IF(AND($AK709=1,ISNUMBER($L709)),IF($L709&lt;ReportDate,1,0),0)</f>
        <v>0</v>
      </c>
      <c r="AM709" s="71">
        <f>IF(AND($G709&lt;&gt;"",$M709="Blocked"),1,0)</f>
        <v>0</v>
      </c>
      <c r="AN709" s="71">
        <f>IF(AND($AK709=1,ISNUMBER($L709)),IF($L709=ReportDate,1,0),0)</f>
        <v>0</v>
      </c>
      <c r="AO709" s="71">
        <f>IF(AND($AK709=1,ISNUMBER($L709)),IF($L709=ReportDate+1,1,0),0)</f>
        <v>0</v>
      </c>
      <c r="AP709" s="71">
        <f>IF(AND($AK709=1,ISNUMBER($L709)),IF(AND($L709&gt;=ReportDate,$L709&lt;=ReportDate+DueSoonDays),1,0),0)</f>
        <v>0</v>
      </c>
      <c r="AQ709" s="71">
        <f>IF(AND($AK709=1,OR($I709="Critical",$I709="High")),1,0)</f>
        <v>0</v>
      </c>
      <c r="AR709" s="71">
        <f>IF($AK709=1,IF(ISNUMBER($Y709),IF(ReportDate-$Y709&gt;StaleDays,1,0),1),0)</f>
        <v>0</v>
      </c>
      <c r="AS709" s="71">
        <f>IF(AND($G709&lt;&gt;"",ISNUMBER($Q709),ISNUMBER($R709)),IF(AND($Q709&lt;$R709,OR($M709="Completed",AND(ISNUMBER($L709),$L709&lt;ReportDate))),1,0),0)</f>
        <v>0</v>
      </c>
      <c r="AT709" s="71">
        <f>IF($AK709=1,IF(OR($L709=ReportDate,$W709=ReportDate,$K709=ReportDate,$A709=ReportDate),1,0),0)</f>
        <v>0</v>
      </c>
      <c r="AU709" s="71">
        <f>IF($AK709=1,IF(OR($L709=ReportDate+1,$W709=ReportDate+1,$K709=ReportDate+1,$A709=ReportDate+1),1,0),0)</f>
        <v>0</v>
      </c>
      <c r="AV709" s="71">
        <f>IF(AND($G709&lt;&gt;"",$M709="Completed"),IF(OR($Y709=ReportDate-1,$A709=ReportDate-1),1,0),0)</f>
        <v>0</v>
      </c>
      <c r="AW709" s="71">
        <f>IF(AND($AK709=1,$Z709="Yes"),1,0)</f>
        <v>0</v>
      </c>
      <c r="AX709" s="71">
        <f>IF(AND($AK709=1,$AA709="Yes"),1,0)</f>
        <v>0</v>
      </c>
      <c r="AY709" s="71">
        <f>IF(AND($AM709=1,OR($I709="Critical",$I709="High")),1,0)</f>
        <v>0</v>
      </c>
      <c r="AZ709" s="71">
        <f>IF(AND($AK709=1,OR($C709=TCL_Client,$C709=MECCA_Client)),1,0)</f>
        <v>0</v>
      </c>
      <c r="BA709" s="71" t="str">
        <f>IF($G709="","",IFERROR(MATCH($I709,lst_Priority,0),5))</f>
        <v/>
      </c>
      <c r="BB709" s="71" t="str">
        <f>IF(AND($AL709=1,$AJ709=1),$BA709*100000+ROW(),"")</f>
        <v/>
      </c>
      <c r="BC709" s="71" t="str">
        <f>IF(AND($AM709=1,$AJ709=1),$BA709*100000+ROW(),"")</f>
        <v/>
      </c>
      <c r="BD709" s="71" t="str">
        <f>IF(AND($AP709=1,$AJ709=1),$BA709*100000+ROW(),"")</f>
        <v/>
      </c>
      <c r="BE709" s="71" t="str">
        <f>IF(AND($AT709=1,$AJ709=1),$BA709*100000+ROW(),"")</f>
        <v/>
      </c>
      <c r="BF709" s="71" t="str">
        <f>IF(AND($AU709=1,$AJ709=1),$BA709*100000+ROW(),"")</f>
        <v/>
      </c>
      <c r="BG709" s="71" t="str">
        <f>IF(AND($AV709=1,$AJ709=1),$BA709*100000+ROW(),"")</f>
        <v/>
      </c>
      <c r="BH709" s="71" t="str">
        <f>IF(AND($AW709=1,$AJ709=1),$BA709*100000+ROW(),"")</f>
        <v/>
      </c>
      <c r="BI709" s="71" t="str">
        <f>IF(AND($AX709=1,$AJ709=1),$BA709*100000+ROW(),"")</f>
        <v/>
      </c>
      <c r="BJ709" s="71" t="str">
        <f>IF(AND($AS709=1,$AJ709=1),$BA709*100000+ROW(),"")</f>
        <v/>
      </c>
      <c r="BK709" s="71" t="str">
        <f>IF(AND($AY709=1,$AJ709=1),$BA709*100000+ROW(),"")</f>
        <v/>
      </c>
      <c r="BL709" s="71" t="str">
        <f>IF(AND($AZ709=1),$BA709*100000+ROW(),"")</f>
        <v/>
      </c>
    </row>
    <row r="710">
      <c r="A710" s="63" t="n"/>
      <c r="B710" s="64" t="n"/>
      <c r="C710" s="64" t="n"/>
      <c r="D710" s="64" t="n"/>
      <c r="E710" s="64" t="n"/>
      <c r="F710" s="64" t="n"/>
      <c r="G710" s="65" t="n"/>
      <c r="H710" s="65" t="n"/>
      <c r="I710" s="64" t="n"/>
      <c r="J710" s="64" t="n"/>
      <c r="K710" s="63" t="n"/>
      <c r="L710" s="63" t="n"/>
      <c r="M710" s="64" t="n"/>
      <c r="N710" s="66" t="n"/>
      <c r="O710" s="65" t="n"/>
      <c r="P710" s="64" t="n"/>
      <c r="Q710" s="67" t="n"/>
      <c r="R710" s="67" t="n"/>
      <c r="S710" s="68" t="str">
        <f>IF(AND(ISNUMBER($Q710),ISNUMBER($R710)),$Q710-$R710,"")</f>
        <v/>
      </c>
      <c r="T710" s="65" t="n"/>
      <c r="U710" s="64" t="n"/>
      <c r="V710" s="65" t="n"/>
      <c r="W710" s="63" t="n"/>
      <c r="X710" s="65" t="n"/>
      <c r="Y710" s="63" t="n"/>
      <c r="Z710" s="64" t="n"/>
      <c r="AA710" s="64" t="n"/>
      <c r="AB710" s="65" t="n"/>
      <c r="AC710" s="69" t="str">
        <f>IF(OR($G710="",NOT(ISNUMBER($K710)),$AK710=0),"",MAX(0,ReportDate-$K710))</f>
        <v/>
      </c>
      <c r="AD710" s="69" t="str">
        <f>IF($G710="","",IF($AL710=1,ReportDate-$L710,0))</f>
        <v/>
      </c>
      <c r="AE710" s="70" t="str">
        <f>IF($G710="","",IF($M710="Completed",1,IF(ISNUMBER($N710),$N710,0)))</f>
        <v/>
      </c>
      <c r="AF710" s="70" t="str">
        <f>IF(AND(ISNUMBER($Q710),ISNUMBER($R710)),IF($R710&lt;&gt;0,$Q710/$R710,""),"")</f>
        <v/>
      </c>
      <c r="AG710" s="71" t="str">
        <f>IF($G710="","",IF($AL710=1,"OVERDUE",IF($AM710=1,"BLOCKED",IF($AN710=1,"DUE TODAY",IF($AO710=1,"DUE TOMORROW",IF($AQ710=1,"HIGH PRIORITY",IF($AR710=1,"NO RECENT UPDATE",""))))))) </f>
        <v/>
      </c>
      <c r="AH710" s="71" t="str">
        <f>IF($G710="","",IF(ISNUMBER($A710),IF(ISNUMBER($A710),YEAR($A710)&amp;"-"&amp;TEXT(MONTH($A710),"00"),""),IF(ISNUMBER($L710),IF(ISNUMBER($L710),YEAR($L710)&amp;"-"&amp;TEXT(MONTH($L710),"00"),""),"")))</f>
        <v/>
      </c>
      <c r="AI710" s="71">
        <f>IF($G710="",0,IF(AND(OR(fClient="All",$C710=fClient),OR(fCampaign="All",$D710=fCampaign),OR(fTeam="All",$B710=fTeam),OR(fChannel="All",$F710=fChannel),OR(fMonth="All",$AH710=fMonth),OR(fTStatus="All",$M710=fTStatus)),1,0))</f>
        <v>0</v>
      </c>
      <c r="AJ710" s="71">
        <f>IF($G710="",0,IF(AND(OR(fClient="All",$C710=fClient),OR(fCampaign="All",$D710=fCampaign),OR(fTeam="All",$B710=fTeam),OR(fChannel="All",$F710=fChannel)),1,0))</f>
        <v>0</v>
      </c>
      <c r="AK710" s="71">
        <f>IF($G710="",0,IF(OR($M710="Completed",$M710="Cancelled"),0,1))</f>
        <v>0</v>
      </c>
      <c r="AL710" s="71">
        <f>IF(AND($AK710=1,ISNUMBER($L710)),IF($L710&lt;ReportDate,1,0),0)</f>
        <v>0</v>
      </c>
      <c r="AM710" s="71">
        <f>IF(AND($G710&lt;&gt;"",$M710="Blocked"),1,0)</f>
        <v>0</v>
      </c>
      <c r="AN710" s="71">
        <f>IF(AND($AK710=1,ISNUMBER($L710)),IF($L710=ReportDate,1,0),0)</f>
        <v>0</v>
      </c>
      <c r="AO710" s="71">
        <f>IF(AND($AK710=1,ISNUMBER($L710)),IF($L710=ReportDate+1,1,0),0)</f>
        <v>0</v>
      </c>
      <c r="AP710" s="71">
        <f>IF(AND($AK710=1,ISNUMBER($L710)),IF(AND($L710&gt;=ReportDate,$L710&lt;=ReportDate+DueSoonDays),1,0),0)</f>
        <v>0</v>
      </c>
      <c r="AQ710" s="71">
        <f>IF(AND($AK710=1,OR($I710="Critical",$I710="High")),1,0)</f>
        <v>0</v>
      </c>
      <c r="AR710" s="71">
        <f>IF($AK710=1,IF(ISNUMBER($Y710),IF(ReportDate-$Y710&gt;StaleDays,1,0),1),0)</f>
        <v>0</v>
      </c>
      <c r="AS710" s="71">
        <f>IF(AND($G710&lt;&gt;"",ISNUMBER($Q710),ISNUMBER($R710)),IF(AND($Q710&lt;$R710,OR($M710="Completed",AND(ISNUMBER($L710),$L710&lt;ReportDate))),1,0),0)</f>
        <v>0</v>
      </c>
      <c r="AT710" s="71">
        <f>IF($AK710=1,IF(OR($L710=ReportDate,$W710=ReportDate,$K710=ReportDate,$A710=ReportDate),1,0),0)</f>
        <v>0</v>
      </c>
      <c r="AU710" s="71">
        <f>IF($AK710=1,IF(OR($L710=ReportDate+1,$W710=ReportDate+1,$K710=ReportDate+1,$A710=ReportDate+1),1,0),0)</f>
        <v>0</v>
      </c>
      <c r="AV710" s="71">
        <f>IF(AND($G710&lt;&gt;"",$M710="Completed"),IF(OR($Y710=ReportDate-1,$A710=ReportDate-1),1,0),0)</f>
        <v>0</v>
      </c>
      <c r="AW710" s="71">
        <f>IF(AND($AK710=1,$Z710="Yes"),1,0)</f>
        <v>0</v>
      </c>
      <c r="AX710" s="71">
        <f>IF(AND($AK710=1,$AA710="Yes"),1,0)</f>
        <v>0</v>
      </c>
      <c r="AY710" s="71">
        <f>IF(AND($AM710=1,OR($I710="Critical",$I710="High")),1,0)</f>
        <v>0</v>
      </c>
      <c r="AZ710" s="71">
        <f>IF(AND($AK710=1,OR($C710=TCL_Client,$C710=MECCA_Client)),1,0)</f>
        <v>0</v>
      </c>
      <c r="BA710" s="71" t="str">
        <f>IF($G710="","",IFERROR(MATCH($I710,lst_Priority,0),5))</f>
        <v/>
      </c>
      <c r="BB710" s="71" t="str">
        <f>IF(AND($AL710=1,$AJ710=1),$BA710*100000+ROW(),"")</f>
        <v/>
      </c>
      <c r="BC710" s="71" t="str">
        <f>IF(AND($AM710=1,$AJ710=1),$BA710*100000+ROW(),"")</f>
        <v/>
      </c>
      <c r="BD710" s="71" t="str">
        <f>IF(AND($AP710=1,$AJ710=1),$BA710*100000+ROW(),"")</f>
        <v/>
      </c>
      <c r="BE710" s="71" t="str">
        <f>IF(AND($AT710=1,$AJ710=1),$BA710*100000+ROW(),"")</f>
        <v/>
      </c>
      <c r="BF710" s="71" t="str">
        <f>IF(AND($AU710=1,$AJ710=1),$BA710*100000+ROW(),"")</f>
        <v/>
      </c>
      <c r="BG710" s="71" t="str">
        <f>IF(AND($AV710=1,$AJ710=1),$BA710*100000+ROW(),"")</f>
        <v/>
      </c>
      <c r="BH710" s="71" t="str">
        <f>IF(AND($AW710=1,$AJ710=1),$BA710*100000+ROW(),"")</f>
        <v/>
      </c>
      <c r="BI710" s="71" t="str">
        <f>IF(AND($AX710=1,$AJ710=1),$BA710*100000+ROW(),"")</f>
        <v/>
      </c>
      <c r="BJ710" s="71" t="str">
        <f>IF(AND($AS710=1,$AJ710=1),$BA710*100000+ROW(),"")</f>
        <v/>
      </c>
      <c r="BK710" s="71" t="str">
        <f>IF(AND($AY710=1,$AJ710=1),$BA710*100000+ROW(),"")</f>
        <v/>
      </c>
      <c r="BL710" s="71" t="str">
        <f>IF(AND($AZ710=1),$BA710*100000+ROW(),"")</f>
        <v/>
      </c>
    </row>
    <row r="711">
      <c r="A711" s="63" t="n"/>
      <c r="B711" s="64" t="n"/>
      <c r="C711" s="64" t="n"/>
      <c r="D711" s="64" t="n"/>
      <c r="E711" s="64" t="n"/>
      <c r="F711" s="64" t="n"/>
      <c r="G711" s="65" t="n"/>
      <c r="H711" s="65" t="n"/>
      <c r="I711" s="64" t="n"/>
      <c r="J711" s="64" t="n"/>
      <c r="K711" s="63" t="n"/>
      <c r="L711" s="63" t="n"/>
      <c r="M711" s="64" t="n"/>
      <c r="N711" s="66" t="n"/>
      <c r="O711" s="65" t="n"/>
      <c r="P711" s="64" t="n"/>
      <c r="Q711" s="67" t="n"/>
      <c r="R711" s="67" t="n"/>
      <c r="S711" s="68" t="str">
        <f>IF(AND(ISNUMBER($Q711),ISNUMBER($R711)),$Q711-$R711,"")</f>
        <v/>
      </c>
      <c r="T711" s="65" t="n"/>
      <c r="U711" s="64" t="n"/>
      <c r="V711" s="65" t="n"/>
      <c r="W711" s="63" t="n"/>
      <c r="X711" s="65" t="n"/>
      <c r="Y711" s="63" t="n"/>
      <c r="Z711" s="64" t="n"/>
      <c r="AA711" s="64" t="n"/>
      <c r="AB711" s="65" t="n"/>
      <c r="AC711" s="69" t="str">
        <f>IF(OR($G711="",NOT(ISNUMBER($K711)),$AK711=0),"",MAX(0,ReportDate-$K711))</f>
        <v/>
      </c>
      <c r="AD711" s="69" t="str">
        <f>IF($G711="","",IF($AL711=1,ReportDate-$L711,0))</f>
        <v/>
      </c>
      <c r="AE711" s="70" t="str">
        <f>IF($G711="","",IF($M711="Completed",1,IF(ISNUMBER($N711),$N711,0)))</f>
        <v/>
      </c>
      <c r="AF711" s="70" t="str">
        <f>IF(AND(ISNUMBER($Q711),ISNUMBER($R711)),IF($R711&lt;&gt;0,$Q711/$R711,""),"")</f>
        <v/>
      </c>
      <c r="AG711" s="71" t="str">
        <f>IF($G711="","",IF($AL711=1,"OVERDUE",IF($AM711=1,"BLOCKED",IF($AN711=1,"DUE TODAY",IF($AO711=1,"DUE TOMORROW",IF($AQ711=1,"HIGH PRIORITY",IF($AR711=1,"NO RECENT UPDATE",""))))))) </f>
        <v/>
      </c>
      <c r="AH711" s="71" t="str">
        <f>IF($G711="","",IF(ISNUMBER($A711),IF(ISNUMBER($A711),YEAR($A711)&amp;"-"&amp;TEXT(MONTH($A711),"00"),""),IF(ISNUMBER($L711),IF(ISNUMBER($L711),YEAR($L711)&amp;"-"&amp;TEXT(MONTH($L711),"00"),""),"")))</f>
        <v/>
      </c>
      <c r="AI711" s="71">
        <f>IF($G711="",0,IF(AND(OR(fClient="All",$C711=fClient),OR(fCampaign="All",$D711=fCampaign),OR(fTeam="All",$B711=fTeam),OR(fChannel="All",$F711=fChannel),OR(fMonth="All",$AH711=fMonth),OR(fTStatus="All",$M711=fTStatus)),1,0))</f>
        <v>0</v>
      </c>
      <c r="AJ711" s="71">
        <f>IF($G711="",0,IF(AND(OR(fClient="All",$C711=fClient),OR(fCampaign="All",$D711=fCampaign),OR(fTeam="All",$B711=fTeam),OR(fChannel="All",$F711=fChannel)),1,0))</f>
        <v>0</v>
      </c>
      <c r="AK711" s="71">
        <f>IF($G711="",0,IF(OR($M711="Completed",$M711="Cancelled"),0,1))</f>
        <v>0</v>
      </c>
      <c r="AL711" s="71">
        <f>IF(AND($AK711=1,ISNUMBER($L711)),IF($L711&lt;ReportDate,1,0),0)</f>
        <v>0</v>
      </c>
      <c r="AM711" s="71">
        <f>IF(AND($G711&lt;&gt;"",$M711="Blocked"),1,0)</f>
        <v>0</v>
      </c>
      <c r="AN711" s="71">
        <f>IF(AND($AK711=1,ISNUMBER($L711)),IF($L711=ReportDate,1,0),0)</f>
        <v>0</v>
      </c>
      <c r="AO711" s="71">
        <f>IF(AND($AK711=1,ISNUMBER($L711)),IF($L711=ReportDate+1,1,0),0)</f>
        <v>0</v>
      </c>
      <c r="AP711" s="71">
        <f>IF(AND($AK711=1,ISNUMBER($L711)),IF(AND($L711&gt;=ReportDate,$L711&lt;=ReportDate+DueSoonDays),1,0),0)</f>
        <v>0</v>
      </c>
      <c r="AQ711" s="71">
        <f>IF(AND($AK711=1,OR($I711="Critical",$I711="High")),1,0)</f>
        <v>0</v>
      </c>
      <c r="AR711" s="71">
        <f>IF($AK711=1,IF(ISNUMBER($Y711),IF(ReportDate-$Y711&gt;StaleDays,1,0),1),0)</f>
        <v>0</v>
      </c>
      <c r="AS711" s="71">
        <f>IF(AND($G711&lt;&gt;"",ISNUMBER($Q711),ISNUMBER($R711)),IF(AND($Q711&lt;$R711,OR($M711="Completed",AND(ISNUMBER($L711),$L711&lt;ReportDate))),1,0),0)</f>
        <v>0</v>
      </c>
      <c r="AT711" s="71">
        <f>IF($AK711=1,IF(OR($L711=ReportDate,$W711=ReportDate,$K711=ReportDate,$A711=ReportDate),1,0),0)</f>
        <v>0</v>
      </c>
      <c r="AU711" s="71">
        <f>IF($AK711=1,IF(OR($L711=ReportDate+1,$W711=ReportDate+1,$K711=ReportDate+1,$A711=ReportDate+1),1,0),0)</f>
        <v>0</v>
      </c>
      <c r="AV711" s="71">
        <f>IF(AND($G711&lt;&gt;"",$M711="Completed"),IF(OR($Y711=ReportDate-1,$A711=ReportDate-1),1,0),0)</f>
        <v>0</v>
      </c>
      <c r="AW711" s="71">
        <f>IF(AND($AK711=1,$Z711="Yes"),1,0)</f>
        <v>0</v>
      </c>
      <c r="AX711" s="71">
        <f>IF(AND($AK711=1,$AA711="Yes"),1,0)</f>
        <v>0</v>
      </c>
      <c r="AY711" s="71">
        <f>IF(AND($AM711=1,OR($I711="Critical",$I711="High")),1,0)</f>
        <v>0</v>
      </c>
      <c r="AZ711" s="71">
        <f>IF(AND($AK711=1,OR($C711=TCL_Client,$C711=MECCA_Client)),1,0)</f>
        <v>0</v>
      </c>
      <c r="BA711" s="71" t="str">
        <f>IF($G711="","",IFERROR(MATCH($I711,lst_Priority,0),5))</f>
        <v/>
      </c>
      <c r="BB711" s="71" t="str">
        <f>IF(AND($AL711=1,$AJ711=1),$BA711*100000+ROW(),"")</f>
        <v/>
      </c>
      <c r="BC711" s="71" t="str">
        <f>IF(AND($AM711=1,$AJ711=1),$BA711*100000+ROW(),"")</f>
        <v/>
      </c>
      <c r="BD711" s="71" t="str">
        <f>IF(AND($AP711=1,$AJ711=1),$BA711*100000+ROW(),"")</f>
        <v/>
      </c>
      <c r="BE711" s="71" t="str">
        <f>IF(AND($AT711=1,$AJ711=1),$BA711*100000+ROW(),"")</f>
        <v/>
      </c>
      <c r="BF711" s="71" t="str">
        <f>IF(AND($AU711=1,$AJ711=1),$BA711*100000+ROW(),"")</f>
        <v/>
      </c>
      <c r="BG711" s="71" t="str">
        <f>IF(AND($AV711=1,$AJ711=1),$BA711*100000+ROW(),"")</f>
        <v/>
      </c>
      <c r="BH711" s="71" t="str">
        <f>IF(AND($AW711=1,$AJ711=1),$BA711*100000+ROW(),"")</f>
        <v/>
      </c>
      <c r="BI711" s="71" t="str">
        <f>IF(AND($AX711=1,$AJ711=1),$BA711*100000+ROW(),"")</f>
        <v/>
      </c>
      <c r="BJ711" s="71" t="str">
        <f>IF(AND($AS711=1,$AJ711=1),$BA711*100000+ROW(),"")</f>
        <v/>
      </c>
      <c r="BK711" s="71" t="str">
        <f>IF(AND($AY711=1,$AJ711=1),$BA711*100000+ROW(),"")</f>
        <v/>
      </c>
      <c r="BL711" s="71" t="str">
        <f>IF(AND($AZ711=1),$BA711*100000+ROW(),"")</f>
        <v/>
      </c>
    </row>
    <row r="712">
      <c r="A712" s="63" t="n"/>
      <c r="B712" s="64" t="n"/>
      <c r="C712" s="64" t="n"/>
      <c r="D712" s="64" t="n"/>
      <c r="E712" s="64" t="n"/>
      <c r="F712" s="64" t="n"/>
      <c r="G712" s="65" t="n"/>
      <c r="H712" s="65" t="n"/>
      <c r="I712" s="64" t="n"/>
      <c r="J712" s="64" t="n"/>
      <c r="K712" s="63" t="n"/>
      <c r="L712" s="63" t="n"/>
      <c r="M712" s="64" t="n"/>
      <c r="N712" s="66" t="n"/>
      <c r="O712" s="65" t="n"/>
      <c r="P712" s="64" t="n"/>
      <c r="Q712" s="67" t="n"/>
      <c r="R712" s="67" t="n"/>
      <c r="S712" s="68" t="str">
        <f>IF(AND(ISNUMBER($Q712),ISNUMBER($R712)),$Q712-$R712,"")</f>
        <v/>
      </c>
      <c r="T712" s="65" t="n"/>
      <c r="U712" s="64" t="n"/>
      <c r="V712" s="65" t="n"/>
      <c r="W712" s="63" t="n"/>
      <c r="X712" s="65" t="n"/>
      <c r="Y712" s="63" t="n"/>
      <c r="Z712" s="64" t="n"/>
      <c r="AA712" s="64" t="n"/>
      <c r="AB712" s="65" t="n"/>
      <c r="AC712" s="69" t="str">
        <f>IF(OR($G712="",NOT(ISNUMBER($K712)),$AK712=0),"",MAX(0,ReportDate-$K712))</f>
        <v/>
      </c>
      <c r="AD712" s="69" t="str">
        <f>IF($G712="","",IF($AL712=1,ReportDate-$L712,0))</f>
        <v/>
      </c>
      <c r="AE712" s="70" t="str">
        <f>IF($G712="","",IF($M712="Completed",1,IF(ISNUMBER($N712),$N712,0)))</f>
        <v/>
      </c>
      <c r="AF712" s="70" t="str">
        <f>IF(AND(ISNUMBER($Q712),ISNUMBER($R712)),IF($R712&lt;&gt;0,$Q712/$R712,""),"")</f>
        <v/>
      </c>
      <c r="AG712" s="71" t="str">
        <f>IF($G712="","",IF($AL712=1,"OVERDUE",IF($AM712=1,"BLOCKED",IF($AN712=1,"DUE TODAY",IF($AO712=1,"DUE TOMORROW",IF($AQ712=1,"HIGH PRIORITY",IF($AR712=1,"NO RECENT UPDATE",""))))))) </f>
        <v/>
      </c>
      <c r="AH712" s="71" t="str">
        <f>IF($G712="","",IF(ISNUMBER($A712),IF(ISNUMBER($A712),YEAR($A712)&amp;"-"&amp;TEXT(MONTH($A712),"00"),""),IF(ISNUMBER($L712),IF(ISNUMBER($L712),YEAR($L712)&amp;"-"&amp;TEXT(MONTH($L712),"00"),""),"")))</f>
        <v/>
      </c>
      <c r="AI712" s="71">
        <f>IF($G712="",0,IF(AND(OR(fClient="All",$C712=fClient),OR(fCampaign="All",$D712=fCampaign),OR(fTeam="All",$B712=fTeam),OR(fChannel="All",$F712=fChannel),OR(fMonth="All",$AH712=fMonth),OR(fTStatus="All",$M712=fTStatus)),1,0))</f>
        <v>0</v>
      </c>
      <c r="AJ712" s="71">
        <f>IF($G712="",0,IF(AND(OR(fClient="All",$C712=fClient),OR(fCampaign="All",$D712=fCampaign),OR(fTeam="All",$B712=fTeam),OR(fChannel="All",$F712=fChannel)),1,0))</f>
        <v>0</v>
      </c>
      <c r="AK712" s="71">
        <f>IF($G712="",0,IF(OR($M712="Completed",$M712="Cancelled"),0,1))</f>
        <v>0</v>
      </c>
      <c r="AL712" s="71">
        <f>IF(AND($AK712=1,ISNUMBER($L712)),IF($L712&lt;ReportDate,1,0),0)</f>
        <v>0</v>
      </c>
      <c r="AM712" s="71">
        <f>IF(AND($G712&lt;&gt;"",$M712="Blocked"),1,0)</f>
        <v>0</v>
      </c>
      <c r="AN712" s="71">
        <f>IF(AND($AK712=1,ISNUMBER($L712)),IF($L712=ReportDate,1,0),0)</f>
        <v>0</v>
      </c>
      <c r="AO712" s="71">
        <f>IF(AND($AK712=1,ISNUMBER($L712)),IF($L712=ReportDate+1,1,0),0)</f>
        <v>0</v>
      </c>
      <c r="AP712" s="71">
        <f>IF(AND($AK712=1,ISNUMBER($L712)),IF(AND($L712&gt;=ReportDate,$L712&lt;=ReportDate+DueSoonDays),1,0),0)</f>
        <v>0</v>
      </c>
      <c r="AQ712" s="71">
        <f>IF(AND($AK712=1,OR($I712="Critical",$I712="High")),1,0)</f>
        <v>0</v>
      </c>
      <c r="AR712" s="71">
        <f>IF($AK712=1,IF(ISNUMBER($Y712),IF(ReportDate-$Y712&gt;StaleDays,1,0),1),0)</f>
        <v>0</v>
      </c>
      <c r="AS712" s="71">
        <f>IF(AND($G712&lt;&gt;"",ISNUMBER($Q712),ISNUMBER($R712)),IF(AND($Q712&lt;$R712,OR($M712="Completed",AND(ISNUMBER($L712),$L712&lt;ReportDate))),1,0),0)</f>
        <v>0</v>
      </c>
      <c r="AT712" s="71">
        <f>IF($AK712=1,IF(OR($L712=ReportDate,$W712=ReportDate,$K712=ReportDate,$A712=ReportDate),1,0),0)</f>
        <v>0</v>
      </c>
      <c r="AU712" s="71">
        <f>IF($AK712=1,IF(OR($L712=ReportDate+1,$W712=ReportDate+1,$K712=ReportDate+1,$A712=ReportDate+1),1,0),0)</f>
        <v>0</v>
      </c>
      <c r="AV712" s="71">
        <f>IF(AND($G712&lt;&gt;"",$M712="Completed"),IF(OR($Y712=ReportDate-1,$A712=ReportDate-1),1,0),0)</f>
        <v>0</v>
      </c>
      <c r="AW712" s="71">
        <f>IF(AND($AK712=1,$Z712="Yes"),1,0)</f>
        <v>0</v>
      </c>
      <c r="AX712" s="71">
        <f>IF(AND($AK712=1,$AA712="Yes"),1,0)</f>
        <v>0</v>
      </c>
      <c r="AY712" s="71">
        <f>IF(AND($AM712=1,OR($I712="Critical",$I712="High")),1,0)</f>
        <v>0</v>
      </c>
      <c r="AZ712" s="71">
        <f>IF(AND($AK712=1,OR($C712=TCL_Client,$C712=MECCA_Client)),1,0)</f>
        <v>0</v>
      </c>
      <c r="BA712" s="71" t="str">
        <f>IF($G712="","",IFERROR(MATCH($I712,lst_Priority,0),5))</f>
        <v/>
      </c>
      <c r="BB712" s="71" t="str">
        <f>IF(AND($AL712=1,$AJ712=1),$BA712*100000+ROW(),"")</f>
        <v/>
      </c>
      <c r="BC712" s="71" t="str">
        <f>IF(AND($AM712=1,$AJ712=1),$BA712*100000+ROW(),"")</f>
        <v/>
      </c>
      <c r="BD712" s="71" t="str">
        <f>IF(AND($AP712=1,$AJ712=1),$BA712*100000+ROW(),"")</f>
        <v/>
      </c>
      <c r="BE712" s="71" t="str">
        <f>IF(AND($AT712=1,$AJ712=1),$BA712*100000+ROW(),"")</f>
        <v/>
      </c>
      <c r="BF712" s="71" t="str">
        <f>IF(AND($AU712=1,$AJ712=1),$BA712*100000+ROW(),"")</f>
        <v/>
      </c>
      <c r="BG712" s="71" t="str">
        <f>IF(AND($AV712=1,$AJ712=1),$BA712*100000+ROW(),"")</f>
        <v/>
      </c>
      <c r="BH712" s="71" t="str">
        <f>IF(AND($AW712=1,$AJ712=1),$BA712*100000+ROW(),"")</f>
        <v/>
      </c>
      <c r="BI712" s="71" t="str">
        <f>IF(AND($AX712=1,$AJ712=1),$BA712*100000+ROW(),"")</f>
        <v/>
      </c>
      <c r="BJ712" s="71" t="str">
        <f>IF(AND($AS712=1,$AJ712=1),$BA712*100000+ROW(),"")</f>
        <v/>
      </c>
      <c r="BK712" s="71" t="str">
        <f>IF(AND($AY712=1,$AJ712=1),$BA712*100000+ROW(),"")</f>
        <v/>
      </c>
      <c r="BL712" s="71" t="str">
        <f>IF(AND($AZ712=1),$BA712*100000+ROW(),"")</f>
        <v/>
      </c>
    </row>
    <row r="713">
      <c r="A713" s="63" t="n"/>
      <c r="B713" s="64" t="n"/>
      <c r="C713" s="64" t="n"/>
      <c r="D713" s="64" t="n"/>
      <c r="E713" s="64" t="n"/>
      <c r="F713" s="64" t="n"/>
      <c r="G713" s="65" t="n"/>
      <c r="H713" s="65" t="n"/>
      <c r="I713" s="64" t="n"/>
      <c r="J713" s="64" t="n"/>
      <c r="K713" s="63" t="n"/>
      <c r="L713" s="63" t="n"/>
      <c r="M713" s="64" t="n"/>
      <c r="N713" s="66" t="n"/>
      <c r="O713" s="65" t="n"/>
      <c r="P713" s="64" t="n"/>
      <c r="Q713" s="67" t="n"/>
      <c r="R713" s="67" t="n"/>
      <c r="S713" s="68" t="str">
        <f>IF(AND(ISNUMBER($Q713),ISNUMBER($R713)),$Q713-$R713,"")</f>
        <v/>
      </c>
      <c r="T713" s="65" t="n"/>
      <c r="U713" s="64" t="n"/>
      <c r="V713" s="65" t="n"/>
      <c r="W713" s="63" t="n"/>
      <c r="X713" s="65" t="n"/>
      <c r="Y713" s="63" t="n"/>
      <c r="Z713" s="64" t="n"/>
      <c r="AA713" s="64" t="n"/>
      <c r="AB713" s="65" t="n"/>
      <c r="AC713" s="69" t="str">
        <f>IF(OR($G713="",NOT(ISNUMBER($K713)),$AK713=0),"",MAX(0,ReportDate-$K713))</f>
        <v/>
      </c>
      <c r="AD713" s="69" t="str">
        <f>IF($G713="","",IF($AL713=1,ReportDate-$L713,0))</f>
        <v/>
      </c>
      <c r="AE713" s="70" t="str">
        <f>IF($G713="","",IF($M713="Completed",1,IF(ISNUMBER($N713),$N713,0)))</f>
        <v/>
      </c>
      <c r="AF713" s="70" t="str">
        <f>IF(AND(ISNUMBER($Q713),ISNUMBER($R713)),IF($R713&lt;&gt;0,$Q713/$R713,""),"")</f>
        <v/>
      </c>
      <c r="AG713" s="71" t="str">
        <f>IF($G713="","",IF($AL713=1,"OVERDUE",IF($AM713=1,"BLOCKED",IF($AN713=1,"DUE TODAY",IF($AO713=1,"DUE TOMORROW",IF($AQ713=1,"HIGH PRIORITY",IF($AR713=1,"NO RECENT UPDATE",""))))))) </f>
        <v/>
      </c>
      <c r="AH713" s="71" t="str">
        <f>IF($G713="","",IF(ISNUMBER($A713),IF(ISNUMBER($A713),YEAR($A713)&amp;"-"&amp;TEXT(MONTH($A713),"00"),""),IF(ISNUMBER($L713),IF(ISNUMBER($L713),YEAR($L713)&amp;"-"&amp;TEXT(MONTH($L713),"00"),""),"")))</f>
        <v/>
      </c>
      <c r="AI713" s="71">
        <f>IF($G713="",0,IF(AND(OR(fClient="All",$C713=fClient),OR(fCampaign="All",$D713=fCampaign),OR(fTeam="All",$B713=fTeam),OR(fChannel="All",$F713=fChannel),OR(fMonth="All",$AH713=fMonth),OR(fTStatus="All",$M713=fTStatus)),1,0))</f>
        <v>0</v>
      </c>
      <c r="AJ713" s="71">
        <f>IF($G713="",0,IF(AND(OR(fClient="All",$C713=fClient),OR(fCampaign="All",$D713=fCampaign),OR(fTeam="All",$B713=fTeam),OR(fChannel="All",$F713=fChannel)),1,0))</f>
        <v>0</v>
      </c>
      <c r="AK713" s="71">
        <f>IF($G713="",0,IF(OR($M713="Completed",$M713="Cancelled"),0,1))</f>
        <v>0</v>
      </c>
      <c r="AL713" s="71">
        <f>IF(AND($AK713=1,ISNUMBER($L713)),IF($L713&lt;ReportDate,1,0),0)</f>
        <v>0</v>
      </c>
      <c r="AM713" s="71">
        <f>IF(AND($G713&lt;&gt;"",$M713="Blocked"),1,0)</f>
        <v>0</v>
      </c>
      <c r="AN713" s="71">
        <f>IF(AND($AK713=1,ISNUMBER($L713)),IF($L713=ReportDate,1,0),0)</f>
        <v>0</v>
      </c>
      <c r="AO713" s="71">
        <f>IF(AND($AK713=1,ISNUMBER($L713)),IF($L713=ReportDate+1,1,0),0)</f>
        <v>0</v>
      </c>
      <c r="AP713" s="71">
        <f>IF(AND($AK713=1,ISNUMBER($L713)),IF(AND($L713&gt;=ReportDate,$L713&lt;=ReportDate+DueSoonDays),1,0),0)</f>
        <v>0</v>
      </c>
      <c r="AQ713" s="71">
        <f>IF(AND($AK713=1,OR($I713="Critical",$I713="High")),1,0)</f>
        <v>0</v>
      </c>
      <c r="AR713" s="71">
        <f>IF($AK713=1,IF(ISNUMBER($Y713),IF(ReportDate-$Y713&gt;StaleDays,1,0),1),0)</f>
        <v>0</v>
      </c>
      <c r="AS713" s="71">
        <f>IF(AND($G713&lt;&gt;"",ISNUMBER($Q713),ISNUMBER($R713)),IF(AND($Q713&lt;$R713,OR($M713="Completed",AND(ISNUMBER($L713),$L713&lt;ReportDate))),1,0),0)</f>
        <v>0</v>
      </c>
      <c r="AT713" s="71">
        <f>IF($AK713=1,IF(OR($L713=ReportDate,$W713=ReportDate,$K713=ReportDate,$A713=ReportDate),1,0),0)</f>
        <v>0</v>
      </c>
      <c r="AU713" s="71">
        <f>IF($AK713=1,IF(OR($L713=ReportDate+1,$W713=ReportDate+1,$K713=ReportDate+1,$A713=ReportDate+1),1,0),0)</f>
        <v>0</v>
      </c>
      <c r="AV713" s="71">
        <f>IF(AND($G713&lt;&gt;"",$M713="Completed"),IF(OR($Y713=ReportDate-1,$A713=ReportDate-1),1,0),0)</f>
        <v>0</v>
      </c>
      <c r="AW713" s="71">
        <f>IF(AND($AK713=1,$Z713="Yes"),1,0)</f>
        <v>0</v>
      </c>
      <c r="AX713" s="71">
        <f>IF(AND($AK713=1,$AA713="Yes"),1,0)</f>
        <v>0</v>
      </c>
      <c r="AY713" s="71">
        <f>IF(AND($AM713=1,OR($I713="Critical",$I713="High")),1,0)</f>
        <v>0</v>
      </c>
      <c r="AZ713" s="71">
        <f>IF(AND($AK713=1,OR($C713=TCL_Client,$C713=MECCA_Client)),1,0)</f>
        <v>0</v>
      </c>
      <c r="BA713" s="71" t="str">
        <f>IF($G713="","",IFERROR(MATCH($I713,lst_Priority,0),5))</f>
        <v/>
      </c>
      <c r="BB713" s="71" t="str">
        <f>IF(AND($AL713=1,$AJ713=1),$BA713*100000+ROW(),"")</f>
        <v/>
      </c>
      <c r="BC713" s="71" t="str">
        <f>IF(AND($AM713=1,$AJ713=1),$BA713*100000+ROW(),"")</f>
        <v/>
      </c>
      <c r="BD713" s="71" t="str">
        <f>IF(AND($AP713=1,$AJ713=1),$BA713*100000+ROW(),"")</f>
        <v/>
      </c>
      <c r="BE713" s="71" t="str">
        <f>IF(AND($AT713=1,$AJ713=1),$BA713*100000+ROW(),"")</f>
        <v/>
      </c>
      <c r="BF713" s="71" t="str">
        <f>IF(AND($AU713=1,$AJ713=1),$BA713*100000+ROW(),"")</f>
        <v/>
      </c>
      <c r="BG713" s="71" t="str">
        <f>IF(AND($AV713=1,$AJ713=1),$BA713*100000+ROW(),"")</f>
        <v/>
      </c>
      <c r="BH713" s="71" t="str">
        <f>IF(AND($AW713=1,$AJ713=1),$BA713*100000+ROW(),"")</f>
        <v/>
      </c>
      <c r="BI713" s="71" t="str">
        <f>IF(AND($AX713=1,$AJ713=1),$BA713*100000+ROW(),"")</f>
        <v/>
      </c>
      <c r="BJ713" s="71" t="str">
        <f>IF(AND($AS713=1,$AJ713=1),$BA713*100000+ROW(),"")</f>
        <v/>
      </c>
      <c r="BK713" s="71" t="str">
        <f>IF(AND($AY713=1,$AJ713=1),$BA713*100000+ROW(),"")</f>
        <v/>
      </c>
      <c r="BL713" s="71" t="str">
        <f>IF(AND($AZ713=1),$BA713*100000+ROW(),"")</f>
        <v/>
      </c>
    </row>
    <row r="714">
      <c r="A714" s="63" t="n"/>
      <c r="B714" s="64" t="n"/>
      <c r="C714" s="64" t="n"/>
      <c r="D714" s="64" t="n"/>
      <c r="E714" s="64" t="n"/>
      <c r="F714" s="64" t="n"/>
      <c r="G714" s="65" t="n"/>
      <c r="H714" s="65" t="n"/>
      <c r="I714" s="64" t="n"/>
      <c r="J714" s="64" t="n"/>
      <c r="K714" s="63" t="n"/>
      <c r="L714" s="63" t="n"/>
      <c r="M714" s="64" t="n"/>
      <c r="N714" s="66" t="n"/>
      <c r="O714" s="65" t="n"/>
      <c r="P714" s="64" t="n"/>
      <c r="Q714" s="67" t="n"/>
      <c r="R714" s="67" t="n"/>
      <c r="S714" s="68" t="str">
        <f>IF(AND(ISNUMBER($Q714),ISNUMBER($R714)),$Q714-$R714,"")</f>
        <v/>
      </c>
      <c r="T714" s="65" t="n"/>
      <c r="U714" s="64" t="n"/>
      <c r="V714" s="65" t="n"/>
      <c r="W714" s="63" t="n"/>
      <c r="X714" s="65" t="n"/>
      <c r="Y714" s="63" t="n"/>
      <c r="Z714" s="64" t="n"/>
      <c r="AA714" s="64" t="n"/>
      <c r="AB714" s="65" t="n"/>
      <c r="AC714" s="69" t="str">
        <f>IF(OR($G714="",NOT(ISNUMBER($K714)),$AK714=0),"",MAX(0,ReportDate-$K714))</f>
        <v/>
      </c>
      <c r="AD714" s="69" t="str">
        <f>IF($G714="","",IF($AL714=1,ReportDate-$L714,0))</f>
        <v/>
      </c>
      <c r="AE714" s="70" t="str">
        <f>IF($G714="","",IF($M714="Completed",1,IF(ISNUMBER($N714),$N714,0)))</f>
        <v/>
      </c>
      <c r="AF714" s="70" t="str">
        <f>IF(AND(ISNUMBER($Q714),ISNUMBER($R714)),IF($R714&lt;&gt;0,$Q714/$R714,""),"")</f>
        <v/>
      </c>
      <c r="AG714" s="71" t="str">
        <f>IF($G714="","",IF($AL714=1,"OVERDUE",IF($AM714=1,"BLOCKED",IF($AN714=1,"DUE TODAY",IF($AO714=1,"DUE TOMORROW",IF($AQ714=1,"HIGH PRIORITY",IF($AR714=1,"NO RECENT UPDATE",""))))))) </f>
        <v/>
      </c>
      <c r="AH714" s="71" t="str">
        <f>IF($G714="","",IF(ISNUMBER($A714),IF(ISNUMBER($A714),YEAR($A714)&amp;"-"&amp;TEXT(MONTH($A714),"00"),""),IF(ISNUMBER($L714),IF(ISNUMBER($L714),YEAR($L714)&amp;"-"&amp;TEXT(MONTH($L714),"00"),""),"")))</f>
        <v/>
      </c>
      <c r="AI714" s="71">
        <f>IF($G714="",0,IF(AND(OR(fClient="All",$C714=fClient),OR(fCampaign="All",$D714=fCampaign),OR(fTeam="All",$B714=fTeam),OR(fChannel="All",$F714=fChannel),OR(fMonth="All",$AH714=fMonth),OR(fTStatus="All",$M714=fTStatus)),1,0))</f>
        <v>0</v>
      </c>
      <c r="AJ714" s="71">
        <f>IF($G714="",0,IF(AND(OR(fClient="All",$C714=fClient),OR(fCampaign="All",$D714=fCampaign),OR(fTeam="All",$B714=fTeam),OR(fChannel="All",$F714=fChannel)),1,0))</f>
        <v>0</v>
      </c>
      <c r="AK714" s="71">
        <f>IF($G714="",0,IF(OR($M714="Completed",$M714="Cancelled"),0,1))</f>
        <v>0</v>
      </c>
      <c r="AL714" s="71">
        <f>IF(AND($AK714=1,ISNUMBER($L714)),IF($L714&lt;ReportDate,1,0),0)</f>
        <v>0</v>
      </c>
      <c r="AM714" s="71">
        <f>IF(AND($G714&lt;&gt;"",$M714="Blocked"),1,0)</f>
        <v>0</v>
      </c>
      <c r="AN714" s="71">
        <f>IF(AND($AK714=1,ISNUMBER($L714)),IF($L714=ReportDate,1,0),0)</f>
        <v>0</v>
      </c>
      <c r="AO714" s="71">
        <f>IF(AND($AK714=1,ISNUMBER($L714)),IF($L714=ReportDate+1,1,0),0)</f>
        <v>0</v>
      </c>
      <c r="AP714" s="71">
        <f>IF(AND($AK714=1,ISNUMBER($L714)),IF(AND($L714&gt;=ReportDate,$L714&lt;=ReportDate+DueSoonDays),1,0),0)</f>
        <v>0</v>
      </c>
      <c r="AQ714" s="71">
        <f>IF(AND($AK714=1,OR($I714="Critical",$I714="High")),1,0)</f>
        <v>0</v>
      </c>
      <c r="AR714" s="71">
        <f>IF($AK714=1,IF(ISNUMBER($Y714),IF(ReportDate-$Y714&gt;StaleDays,1,0),1),0)</f>
        <v>0</v>
      </c>
      <c r="AS714" s="71">
        <f>IF(AND($G714&lt;&gt;"",ISNUMBER($Q714),ISNUMBER($R714)),IF(AND($Q714&lt;$R714,OR($M714="Completed",AND(ISNUMBER($L714),$L714&lt;ReportDate))),1,0),0)</f>
        <v>0</v>
      </c>
      <c r="AT714" s="71">
        <f>IF($AK714=1,IF(OR($L714=ReportDate,$W714=ReportDate,$K714=ReportDate,$A714=ReportDate),1,0),0)</f>
        <v>0</v>
      </c>
      <c r="AU714" s="71">
        <f>IF($AK714=1,IF(OR($L714=ReportDate+1,$W714=ReportDate+1,$K714=ReportDate+1,$A714=ReportDate+1),1,0),0)</f>
        <v>0</v>
      </c>
      <c r="AV714" s="71">
        <f>IF(AND($G714&lt;&gt;"",$M714="Completed"),IF(OR($Y714=ReportDate-1,$A714=ReportDate-1),1,0),0)</f>
        <v>0</v>
      </c>
      <c r="AW714" s="71">
        <f>IF(AND($AK714=1,$Z714="Yes"),1,0)</f>
        <v>0</v>
      </c>
      <c r="AX714" s="71">
        <f>IF(AND($AK714=1,$AA714="Yes"),1,0)</f>
        <v>0</v>
      </c>
      <c r="AY714" s="71">
        <f>IF(AND($AM714=1,OR($I714="Critical",$I714="High")),1,0)</f>
        <v>0</v>
      </c>
      <c r="AZ714" s="71">
        <f>IF(AND($AK714=1,OR($C714=TCL_Client,$C714=MECCA_Client)),1,0)</f>
        <v>0</v>
      </c>
      <c r="BA714" s="71" t="str">
        <f>IF($G714="","",IFERROR(MATCH($I714,lst_Priority,0),5))</f>
        <v/>
      </c>
      <c r="BB714" s="71" t="str">
        <f>IF(AND($AL714=1,$AJ714=1),$BA714*100000+ROW(),"")</f>
        <v/>
      </c>
      <c r="BC714" s="71" t="str">
        <f>IF(AND($AM714=1,$AJ714=1),$BA714*100000+ROW(),"")</f>
        <v/>
      </c>
      <c r="BD714" s="71" t="str">
        <f>IF(AND($AP714=1,$AJ714=1),$BA714*100000+ROW(),"")</f>
        <v/>
      </c>
      <c r="BE714" s="71" t="str">
        <f>IF(AND($AT714=1,$AJ714=1),$BA714*100000+ROW(),"")</f>
        <v/>
      </c>
      <c r="BF714" s="71" t="str">
        <f>IF(AND($AU714=1,$AJ714=1),$BA714*100000+ROW(),"")</f>
        <v/>
      </c>
      <c r="BG714" s="71" t="str">
        <f>IF(AND($AV714=1,$AJ714=1),$BA714*100000+ROW(),"")</f>
        <v/>
      </c>
      <c r="BH714" s="71" t="str">
        <f>IF(AND($AW714=1,$AJ714=1),$BA714*100000+ROW(),"")</f>
        <v/>
      </c>
      <c r="BI714" s="71" t="str">
        <f>IF(AND($AX714=1,$AJ714=1),$BA714*100000+ROW(),"")</f>
        <v/>
      </c>
      <c r="BJ714" s="71" t="str">
        <f>IF(AND($AS714=1,$AJ714=1),$BA714*100000+ROW(),"")</f>
        <v/>
      </c>
      <c r="BK714" s="71" t="str">
        <f>IF(AND($AY714=1,$AJ714=1),$BA714*100000+ROW(),"")</f>
        <v/>
      </c>
      <c r="BL714" s="71" t="str">
        <f>IF(AND($AZ714=1),$BA714*100000+ROW(),"")</f>
        <v/>
      </c>
    </row>
    <row r="715">
      <c r="A715" s="63" t="n"/>
      <c r="B715" s="64" t="n"/>
      <c r="C715" s="64" t="n"/>
      <c r="D715" s="64" t="n"/>
      <c r="E715" s="64" t="n"/>
      <c r="F715" s="64" t="n"/>
      <c r="G715" s="65" t="n"/>
      <c r="H715" s="65" t="n"/>
      <c r="I715" s="64" t="n"/>
      <c r="J715" s="64" t="n"/>
      <c r="K715" s="63" t="n"/>
      <c r="L715" s="63" t="n"/>
      <c r="M715" s="64" t="n"/>
      <c r="N715" s="66" t="n"/>
      <c r="O715" s="65" t="n"/>
      <c r="P715" s="64" t="n"/>
      <c r="Q715" s="67" t="n"/>
      <c r="R715" s="67" t="n"/>
      <c r="S715" s="68" t="str">
        <f>IF(AND(ISNUMBER($Q715),ISNUMBER($R715)),$Q715-$R715,"")</f>
        <v/>
      </c>
      <c r="T715" s="65" t="n"/>
      <c r="U715" s="64" t="n"/>
      <c r="V715" s="65" t="n"/>
      <c r="W715" s="63" t="n"/>
      <c r="X715" s="65" t="n"/>
      <c r="Y715" s="63" t="n"/>
      <c r="Z715" s="64" t="n"/>
      <c r="AA715" s="64" t="n"/>
      <c r="AB715" s="65" t="n"/>
      <c r="AC715" s="69" t="str">
        <f>IF(OR($G715="",NOT(ISNUMBER($K715)),$AK715=0),"",MAX(0,ReportDate-$K715))</f>
        <v/>
      </c>
      <c r="AD715" s="69" t="str">
        <f>IF($G715="","",IF($AL715=1,ReportDate-$L715,0))</f>
        <v/>
      </c>
      <c r="AE715" s="70" t="str">
        <f>IF($G715="","",IF($M715="Completed",1,IF(ISNUMBER($N715),$N715,0)))</f>
        <v/>
      </c>
      <c r="AF715" s="70" t="str">
        <f>IF(AND(ISNUMBER($Q715),ISNUMBER($R715)),IF($R715&lt;&gt;0,$Q715/$R715,""),"")</f>
        <v/>
      </c>
      <c r="AG715" s="71" t="str">
        <f>IF($G715="","",IF($AL715=1,"OVERDUE",IF($AM715=1,"BLOCKED",IF($AN715=1,"DUE TODAY",IF($AO715=1,"DUE TOMORROW",IF($AQ715=1,"HIGH PRIORITY",IF($AR715=1,"NO RECENT UPDATE",""))))))) </f>
        <v/>
      </c>
      <c r="AH715" s="71" t="str">
        <f>IF($G715="","",IF(ISNUMBER($A715),IF(ISNUMBER($A715),YEAR($A715)&amp;"-"&amp;TEXT(MONTH($A715),"00"),""),IF(ISNUMBER($L715),IF(ISNUMBER($L715),YEAR($L715)&amp;"-"&amp;TEXT(MONTH($L715),"00"),""),"")))</f>
        <v/>
      </c>
      <c r="AI715" s="71">
        <f>IF($G715="",0,IF(AND(OR(fClient="All",$C715=fClient),OR(fCampaign="All",$D715=fCampaign),OR(fTeam="All",$B715=fTeam),OR(fChannel="All",$F715=fChannel),OR(fMonth="All",$AH715=fMonth),OR(fTStatus="All",$M715=fTStatus)),1,0))</f>
        <v>0</v>
      </c>
      <c r="AJ715" s="71">
        <f>IF($G715="",0,IF(AND(OR(fClient="All",$C715=fClient),OR(fCampaign="All",$D715=fCampaign),OR(fTeam="All",$B715=fTeam),OR(fChannel="All",$F715=fChannel)),1,0))</f>
        <v>0</v>
      </c>
      <c r="AK715" s="71">
        <f>IF($G715="",0,IF(OR($M715="Completed",$M715="Cancelled"),0,1))</f>
        <v>0</v>
      </c>
      <c r="AL715" s="71">
        <f>IF(AND($AK715=1,ISNUMBER($L715)),IF($L715&lt;ReportDate,1,0),0)</f>
        <v>0</v>
      </c>
      <c r="AM715" s="71">
        <f>IF(AND($G715&lt;&gt;"",$M715="Blocked"),1,0)</f>
        <v>0</v>
      </c>
      <c r="AN715" s="71">
        <f>IF(AND($AK715=1,ISNUMBER($L715)),IF($L715=ReportDate,1,0),0)</f>
        <v>0</v>
      </c>
      <c r="AO715" s="71">
        <f>IF(AND($AK715=1,ISNUMBER($L715)),IF($L715=ReportDate+1,1,0),0)</f>
        <v>0</v>
      </c>
      <c r="AP715" s="71">
        <f>IF(AND($AK715=1,ISNUMBER($L715)),IF(AND($L715&gt;=ReportDate,$L715&lt;=ReportDate+DueSoonDays),1,0),0)</f>
        <v>0</v>
      </c>
      <c r="AQ715" s="71">
        <f>IF(AND($AK715=1,OR($I715="Critical",$I715="High")),1,0)</f>
        <v>0</v>
      </c>
      <c r="AR715" s="71">
        <f>IF($AK715=1,IF(ISNUMBER($Y715),IF(ReportDate-$Y715&gt;StaleDays,1,0),1),0)</f>
        <v>0</v>
      </c>
      <c r="AS715" s="71">
        <f>IF(AND($G715&lt;&gt;"",ISNUMBER($Q715),ISNUMBER($R715)),IF(AND($Q715&lt;$R715,OR($M715="Completed",AND(ISNUMBER($L715),$L715&lt;ReportDate))),1,0),0)</f>
        <v>0</v>
      </c>
      <c r="AT715" s="71">
        <f>IF($AK715=1,IF(OR($L715=ReportDate,$W715=ReportDate,$K715=ReportDate,$A715=ReportDate),1,0),0)</f>
        <v>0</v>
      </c>
      <c r="AU715" s="71">
        <f>IF($AK715=1,IF(OR($L715=ReportDate+1,$W715=ReportDate+1,$K715=ReportDate+1,$A715=ReportDate+1),1,0),0)</f>
        <v>0</v>
      </c>
      <c r="AV715" s="71">
        <f>IF(AND($G715&lt;&gt;"",$M715="Completed"),IF(OR($Y715=ReportDate-1,$A715=ReportDate-1),1,0),0)</f>
        <v>0</v>
      </c>
      <c r="AW715" s="71">
        <f>IF(AND($AK715=1,$Z715="Yes"),1,0)</f>
        <v>0</v>
      </c>
      <c r="AX715" s="71">
        <f>IF(AND($AK715=1,$AA715="Yes"),1,0)</f>
        <v>0</v>
      </c>
      <c r="AY715" s="71">
        <f>IF(AND($AM715=1,OR($I715="Critical",$I715="High")),1,0)</f>
        <v>0</v>
      </c>
      <c r="AZ715" s="71">
        <f>IF(AND($AK715=1,OR($C715=TCL_Client,$C715=MECCA_Client)),1,0)</f>
        <v>0</v>
      </c>
      <c r="BA715" s="71" t="str">
        <f>IF($G715="","",IFERROR(MATCH($I715,lst_Priority,0),5))</f>
        <v/>
      </c>
      <c r="BB715" s="71" t="str">
        <f>IF(AND($AL715=1,$AJ715=1),$BA715*100000+ROW(),"")</f>
        <v/>
      </c>
      <c r="BC715" s="71" t="str">
        <f>IF(AND($AM715=1,$AJ715=1),$BA715*100000+ROW(),"")</f>
        <v/>
      </c>
      <c r="BD715" s="71" t="str">
        <f>IF(AND($AP715=1,$AJ715=1),$BA715*100000+ROW(),"")</f>
        <v/>
      </c>
      <c r="BE715" s="71" t="str">
        <f>IF(AND($AT715=1,$AJ715=1),$BA715*100000+ROW(),"")</f>
        <v/>
      </c>
      <c r="BF715" s="71" t="str">
        <f>IF(AND($AU715=1,$AJ715=1),$BA715*100000+ROW(),"")</f>
        <v/>
      </c>
      <c r="BG715" s="71" t="str">
        <f>IF(AND($AV715=1,$AJ715=1),$BA715*100000+ROW(),"")</f>
        <v/>
      </c>
      <c r="BH715" s="71" t="str">
        <f>IF(AND($AW715=1,$AJ715=1),$BA715*100000+ROW(),"")</f>
        <v/>
      </c>
      <c r="BI715" s="71" t="str">
        <f>IF(AND($AX715=1,$AJ715=1),$BA715*100000+ROW(),"")</f>
        <v/>
      </c>
      <c r="BJ715" s="71" t="str">
        <f>IF(AND($AS715=1,$AJ715=1),$BA715*100000+ROW(),"")</f>
        <v/>
      </c>
      <c r="BK715" s="71" t="str">
        <f>IF(AND($AY715=1,$AJ715=1),$BA715*100000+ROW(),"")</f>
        <v/>
      </c>
      <c r="BL715" s="71" t="str">
        <f>IF(AND($AZ715=1),$BA715*100000+ROW(),"")</f>
        <v/>
      </c>
    </row>
    <row r="716">
      <c r="A716" s="63" t="n"/>
      <c r="B716" s="64" t="n"/>
      <c r="C716" s="64" t="n"/>
      <c r="D716" s="64" t="n"/>
      <c r="E716" s="64" t="n"/>
      <c r="F716" s="64" t="n"/>
      <c r="G716" s="65" t="n"/>
      <c r="H716" s="65" t="n"/>
      <c r="I716" s="64" t="n"/>
      <c r="J716" s="64" t="n"/>
      <c r="K716" s="63" t="n"/>
      <c r="L716" s="63" t="n"/>
      <c r="M716" s="64" t="n"/>
      <c r="N716" s="66" t="n"/>
      <c r="O716" s="65" t="n"/>
      <c r="P716" s="64" t="n"/>
      <c r="Q716" s="67" t="n"/>
      <c r="R716" s="67" t="n"/>
      <c r="S716" s="68" t="str">
        <f>IF(AND(ISNUMBER($Q716),ISNUMBER($R716)),$Q716-$R716,"")</f>
        <v/>
      </c>
      <c r="T716" s="65" t="n"/>
      <c r="U716" s="64" t="n"/>
      <c r="V716" s="65" t="n"/>
      <c r="W716" s="63" t="n"/>
      <c r="X716" s="65" t="n"/>
      <c r="Y716" s="63" t="n"/>
      <c r="Z716" s="64" t="n"/>
      <c r="AA716" s="64" t="n"/>
      <c r="AB716" s="65" t="n"/>
      <c r="AC716" s="69" t="str">
        <f>IF(OR($G716="",NOT(ISNUMBER($K716)),$AK716=0),"",MAX(0,ReportDate-$K716))</f>
        <v/>
      </c>
      <c r="AD716" s="69" t="str">
        <f>IF($G716="","",IF($AL716=1,ReportDate-$L716,0))</f>
        <v/>
      </c>
      <c r="AE716" s="70" t="str">
        <f>IF($G716="","",IF($M716="Completed",1,IF(ISNUMBER($N716),$N716,0)))</f>
        <v/>
      </c>
      <c r="AF716" s="70" t="str">
        <f>IF(AND(ISNUMBER($Q716),ISNUMBER($R716)),IF($R716&lt;&gt;0,$Q716/$R716,""),"")</f>
        <v/>
      </c>
      <c r="AG716" s="71" t="str">
        <f>IF($G716="","",IF($AL716=1,"OVERDUE",IF($AM716=1,"BLOCKED",IF($AN716=1,"DUE TODAY",IF($AO716=1,"DUE TOMORROW",IF($AQ716=1,"HIGH PRIORITY",IF($AR716=1,"NO RECENT UPDATE",""))))))) </f>
        <v/>
      </c>
      <c r="AH716" s="71" t="str">
        <f>IF($G716="","",IF(ISNUMBER($A716),IF(ISNUMBER($A716),YEAR($A716)&amp;"-"&amp;TEXT(MONTH($A716),"00"),""),IF(ISNUMBER($L716),IF(ISNUMBER($L716),YEAR($L716)&amp;"-"&amp;TEXT(MONTH($L716),"00"),""),"")))</f>
        <v/>
      </c>
      <c r="AI716" s="71">
        <f>IF($G716="",0,IF(AND(OR(fClient="All",$C716=fClient),OR(fCampaign="All",$D716=fCampaign),OR(fTeam="All",$B716=fTeam),OR(fChannel="All",$F716=fChannel),OR(fMonth="All",$AH716=fMonth),OR(fTStatus="All",$M716=fTStatus)),1,0))</f>
        <v>0</v>
      </c>
      <c r="AJ716" s="71">
        <f>IF($G716="",0,IF(AND(OR(fClient="All",$C716=fClient),OR(fCampaign="All",$D716=fCampaign),OR(fTeam="All",$B716=fTeam),OR(fChannel="All",$F716=fChannel)),1,0))</f>
        <v>0</v>
      </c>
      <c r="AK716" s="71">
        <f>IF($G716="",0,IF(OR($M716="Completed",$M716="Cancelled"),0,1))</f>
        <v>0</v>
      </c>
      <c r="AL716" s="71">
        <f>IF(AND($AK716=1,ISNUMBER($L716)),IF($L716&lt;ReportDate,1,0),0)</f>
        <v>0</v>
      </c>
      <c r="AM716" s="71">
        <f>IF(AND($G716&lt;&gt;"",$M716="Blocked"),1,0)</f>
        <v>0</v>
      </c>
      <c r="AN716" s="71">
        <f>IF(AND($AK716=1,ISNUMBER($L716)),IF($L716=ReportDate,1,0),0)</f>
        <v>0</v>
      </c>
      <c r="AO716" s="71">
        <f>IF(AND($AK716=1,ISNUMBER($L716)),IF($L716=ReportDate+1,1,0),0)</f>
        <v>0</v>
      </c>
      <c r="AP716" s="71">
        <f>IF(AND($AK716=1,ISNUMBER($L716)),IF(AND($L716&gt;=ReportDate,$L716&lt;=ReportDate+DueSoonDays),1,0),0)</f>
        <v>0</v>
      </c>
      <c r="AQ716" s="71">
        <f>IF(AND($AK716=1,OR($I716="Critical",$I716="High")),1,0)</f>
        <v>0</v>
      </c>
      <c r="AR716" s="71">
        <f>IF($AK716=1,IF(ISNUMBER($Y716),IF(ReportDate-$Y716&gt;StaleDays,1,0),1),0)</f>
        <v>0</v>
      </c>
      <c r="AS716" s="71">
        <f>IF(AND($G716&lt;&gt;"",ISNUMBER($Q716),ISNUMBER($R716)),IF(AND($Q716&lt;$R716,OR($M716="Completed",AND(ISNUMBER($L716),$L716&lt;ReportDate))),1,0),0)</f>
        <v>0</v>
      </c>
      <c r="AT716" s="71">
        <f>IF($AK716=1,IF(OR($L716=ReportDate,$W716=ReportDate,$K716=ReportDate,$A716=ReportDate),1,0),0)</f>
        <v>0</v>
      </c>
      <c r="AU716" s="71">
        <f>IF($AK716=1,IF(OR($L716=ReportDate+1,$W716=ReportDate+1,$K716=ReportDate+1,$A716=ReportDate+1),1,0),0)</f>
        <v>0</v>
      </c>
      <c r="AV716" s="71">
        <f>IF(AND($G716&lt;&gt;"",$M716="Completed"),IF(OR($Y716=ReportDate-1,$A716=ReportDate-1),1,0),0)</f>
        <v>0</v>
      </c>
      <c r="AW716" s="71">
        <f>IF(AND($AK716=1,$Z716="Yes"),1,0)</f>
        <v>0</v>
      </c>
      <c r="AX716" s="71">
        <f>IF(AND($AK716=1,$AA716="Yes"),1,0)</f>
        <v>0</v>
      </c>
      <c r="AY716" s="71">
        <f>IF(AND($AM716=1,OR($I716="Critical",$I716="High")),1,0)</f>
        <v>0</v>
      </c>
      <c r="AZ716" s="71">
        <f>IF(AND($AK716=1,OR($C716=TCL_Client,$C716=MECCA_Client)),1,0)</f>
        <v>0</v>
      </c>
      <c r="BA716" s="71" t="str">
        <f>IF($G716="","",IFERROR(MATCH($I716,lst_Priority,0),5))</f>
        <v/>
      </c>
      <c r="BB716" s="71" t="str">
        <f>IF(AND($AL716=1,$AJ716=1),$BA716*100000+ROW(),"")</f>
        <v/>
      </c>
      <c r="BC716" s="71" t="str">
        <f>IF(AND($AM716=1,$AJ716=1),$BA716*100000+ROW(),"")</f>
        <v/>
      </c>
      <c r="BD716" s="71" t="str">
        <f>IF(AND($AP716=1,$AJ716=1),$BA716*100000+ROW(),"")</f>
        <v/>
      </c>
      <c r="BE716" s="71" t="str">
        <f>IF(AND($AT716=1,$AJ716=1),$BA716*100000+ROW(),"")</f>
        <v/>
      </c>
      <c r="BF716" s="71" t="str">
        <f>IF(AND($AU716=1,$AJ716=1),$BA716*100000+ROW(),"")</f>
        <v/>
      </c>
      <c r="BG716" s="71" t="str">
        <f>IF(AND($AV716=1,$AJ716=1),$BA716*100000+ROW(),"")</f>
        <v/>
      </c>
      <c r="BH716" s="71" t="str">
        <f>IF(AND($AW716=1,$AJ716=1),$BA716*100000+ROW(),"")</f>
        <v/>
      </c>
      <c r="BI716" s="71" t="str">
        <f>IF(AND($AX716=1,$AJ716=1),$BA716*100000+ROW(),"")</f>
        <v/>
      </c>
      <c r="BJ716" s="71" t="str">
        <f>IF(AND($AS716=1,$AJ716=1),$BA716*100000+ROW(),"")</f>
        <v/>
      </c>
      <c r="BK716" s="71" t="str">
        <f>IF(AND($AY716=1,$AJ716=1),$BA716*100000+ROW(),"")</f>
        <v/>
      </c>
      <c r="BL716" s="71" t="str">
        <f>IF(AND($AZ716=1),$BA716*100000+ROW(),"")</f>
        <v/>
      </c>
    </row>
    <row r="717">
      <c r="A717" s="63" t="n"/>
      <c r="B717" s="64" t="n"/>
      <c r="C717" s="64" t="n"/>
      <c r="D717" s="64" t="n"/>
      <c r="E717" s="64" t="n"/>
      <c r="F717" s="64" t="n"/>
      <c r="G717" s="65" t="n"/>
      <c r="H717" s="65" t="n"/>
      <c r="I717" s="64" t="n"/>
      <c r="J717" s="64" t="n"/>
      <c r="K717" s="63" t="n"/>
      <c r="L717" s="63" t="n"/>
      <c r="M717" s="64" t="n"/>
      <c r="N717" s="66" t="n"/>
      <c r="O717" s="65" t="n"/>
      <c r="P717" s="64" t="n"/>
      <c r="Q717" s="67" t="n"/>
      <c r="R717" s="67" t="n"/>
      <c r="S717" s="68" t="str">
        <f>IF(AND(ISNUMBER($Q717),ISNUMBER($R717)),$Q717-$R717,"")</f>
        <v/>
      </c>
      <c r="T717" s="65" t="n"/>
      <c r="U717" s="64" t="n"/>
      <c r="V717" s="65" t="n"/>
      <c r="W717" s="63" t="n"/>
      <c r="X717" s="65" t="n"/>
      <c r="Y717" s="63" t="n"/>
      <c r="Z717" s="64" t="n"/>
      <c r="AA717" s="64" t="n"/>
      <c r="AB717" s="65" t="n"/>
      <c r="AC717" s="69" t="str">
        <f>IF(OR($G717="",NOT(ISNUMBER($K717)),$AK717=0),"",MAX(0,ReportDate-$K717))</f>
        <v/>
      </c>
      <c r="AD717" s="69" t="str">
        <f>IF($G717="","",IF($AL717=1,ReportDate-$L717,0))</f>
        <v/>
      </c>
      <c r="AE717" s="70" t="str">
        <f>IF($G717="","",IF($M717="Completed",1,IF(ISNUMBER($N717),$N717,0)))</f>
        <v/>
      </c>
      <c r="AF717" s="70" t="str">
        <f>IF(AND(ISNUMBER($Q717),ISNUMBER($R717)),IF($R717&lt;&gt;0,$Q717/$R717,""),"")</f>
        <v/>
      </c>
      <c r="AG717" s="71" t="str">
        <f>IF($G717="","",IF($AL717=1,"OVERDUE",IF($AM717=1,"BLOCKED",IF($AN717=1,"DUE TODAY",IF($AO717=1,"DUE TOMORROW",IF($AQ717=1,"HIGH PRIORITY",IF($AR717=1,"NO RECENT UPDATE",""))))))) </f>
        <v/>
      </c>
      <c r="AH717" s="71" t="str">
        <f>IF($G717="","",IF(ISNUMBER($A717),IF(ISNUMBER($A717),YEAR($A717)&amp;"-"&amp;TEXT(MONTH($A717),"00"),""),IF(ISNUMBER($L717),IF(ISNUMBER($L717),YEAR($L717)&amp;"-"&amp;TEXT(MONTH($L717),"00"),""),"")))</f>
        <v/>
      </c>
      <c r="AI717" s="71">
        <f>IF($G717="",0,IF(AND(OR(fClient="All",$C717=fClient),OR(fCampaign="All",$D717=fCampaign),OR(fTeam="All",$B717=fTeam),OR(fChannel="All",$F717=fChannel),OR(fMonth="All",$AH717=fMonth),OR(fTStatus="All",$M717=fTStatus)),1,0))</f>
        <v>0</v>
      </c>
      <c r="AJ717" s="71">
        <f>IF($G717="",0,IF(AND(OR(fClient="All",$C717=fClient),OR(fCampaign="All",$D717=fCampaign),OR(fTeam="All",$B717=fTeam),OR(fChannel="All",$F717=fChannel)),1,0))</f>
        <v>0</v>
      </c>
      <c r="AK717" s="71">
        <f>IF($G717="",0,IF(OR($M717="Completed",$M717="Cancelled"),0,1))</f>
        <v>0</v>
      </c>
      <c r="AL717" s="71">
        <f>IF(AND($AK717=1,ISNUMBER($L717)),IF($L717&lt;ReportDate,1,0),0)</f>
        <v>0</v>
      </c>
      <c r="AM717" s="71">
        <f>IF(AND($G717&lt;&gt;"",$M717="Blocked"),1,0)</f>
        <v>0</v>
      </c>
      <c r="AN717" s="71">
        <f>IF(AND($AK717=1,ISNUMBER($L717)),IF($L717=ReportDate,1,0),0)</f>
        <v>0</v>
      </c>
      <c r="AO717" s="71">
        <f>IF(AND($AK717=1,ISNUMBER($L717)),IF($L717=ReportDate+1,1,0),0)</f>
        <v>0</v>
      </c>
      <c r="AP717" s="71">
        <f>IF(AND($AK717=1,ISNUMBER($L717)),IF(AND($L717&gt;=ReportDate,$L717&lt;=ReportDate+DueSoonDays),1,0),0)</f>
        <v>0</v>
      </c>
      <c r="AQ717" s="71">
        <f>IF(AND($AK717=1,OR($I717="Critical",$I717="High")),1,0)</f>
        <v>0</v>
      </c>
      <c r="AR717" s="71">
        <f>IF($AK717=1,IF(ISNUMBER($Y717),IF(ReportDate-$Y717&gt;StaleDays,1,0),1),0)</f>
        <v>0</v>
      </c>
      <c r="AS717" s="71">
        <f>IF(AND($G717&lt;&gt;"",ISNUMBER($Q717),ISNUMBER($R717)),IF(AND($Q717&lt;$R717,OR($M717="Completed",AND(ISNUMBER($L717),$L717&lt;ReportDate))),1,0),0)</f>
        <v>0</v>
      </c>
      <c r="AT717" s="71">
        <f>IF($AK717=1,IF(OR($L717=ReportDate,$W717=ReportDate,$K717=ReportDate,$A717=ReportDate),1,0),0)</f>
        <v>0</v>
      </c>
      <c r="AU717" s="71">
        <f>IF($AK717=1,IF(OR($L717=ReportDate+1,$W717=ReportDate+1,$K717=ReportDate+1,$A717=ReportDate+1),1,0),0)</f>
        <v>0</v>
      </c>
      <c r="AV717" s="71">
        <f>IF(AND($G717&lt;&gt;"",$M717="Completed"),IF(OR($Y717=ReportDate-1,$A717=ReportDate-1),1,0),0)</f>
        <v>0</v>
      </c>
      <c r="AW717" s="71">
        <f>IF(AND($AK717=1,$Z717="Yes"),1,0)</f>
        <v>0</v>
      </c>
      <c r="AX717" s="71">
        <f>IF(AND($AK717=1,$AA717="Yes"),1,0)</f>
        <v>0</v>
      </c>
      <c r="AY717" s="71">
        <f>IF(AND($AM717=1,OR($I717="Critical",$I717="High")),1,0)</f>
        <v>0</v>
      </c>
      <c r="AZ717" s="71">
        <f>IF(AND($AK717=1,OR($C717=TCL_Client,$C717=MECCA_Client)),1,0)</f>
        <v>0</v>
      </c>
      <c r="BA717" s="71" t="str">
        <f>IF($G717="","",IFERROR(MATCH($I717,lst_Priority,0),5))</f>
        <v/>
      </c>
      <c r="BB717" s="71" t="str">
        <f>IF(AND($AL717=1,$AJ717=1),$BA717*100000+ROW(),"")</f>
        <v/>
      </c>
      <c r="BC717" s="71" t="str">
        <f>IF(AND($AM717=1,$AJ717=1),$BA717*100000+ROW(),"")</f>
        <v/>
      </c>
      <c r="BD717" s="71" t="str">
        <f>IF(AND($AP717=1,$AJ717=1),$BA717*100000+ROW(),"")</f>
        <v/>
      </c>
      <c r="BE717" s="71" t="str">
        <f>IF(AND($AT717=1,$AJ717=1),$BA717*100000+ROW(),"")</f>
        <v/>
      </c>
      <c r="BF717" s="71" t="str">
        <f>IF(AND($AU717=1,$AJ717=1),$BA717*100000+ROW(),"")</f>
        <v/>
      </c>
      <c r="BG717" s="71" t="str">
        <f>IF(AND($AV717=1,$AJ717=1),$BA717*100000+ROW(),"")</f>
        <v/>
      </c>
      <c r="BH717" s="71" t="str">
        <f>IF(AND($AW717=1,$AJ717=1),$BA717*100000+ROW(),"")</f>
        <v/>
      </c>
      <c r="BI717" s="71" t="str">
        <f>IF(AND($AX717=1,$AJ717=1),$BA717*100000+ROW(),"")</f>
        <v/>
      </c>
      <c r="BJ717" s="71" t="str">
        <f>IF(AND($AS717=1,$AJ717=1),$BA717*100000+ROW(),"")</f>
        <v/>
      </c>
      <c r="BK717" s="71" t="str">
        <f>IF(AND($AY717=1,$AJ717=1),$BA717*100000+ROW(),"")</f>
        <v/>
      </c>
      <c r="BL717" s="71" t="str">
        <f>IF(AND($AZ717=1),$BA717*100000+ROW(),"")</f>
        <v/>
      </c>
    </row>
    <row r="718">
      <c r="A718" s="63" t="n"/>
      <c r="B718" s="64" t="n"/>
      <c r="C718" s="64" t="n"/>
      <c r="D718" s="64" t="n"/>
      <c r="E718" s="64" t="n"/>
      <c r="F718" s="64" t="n"/>
      <c r="G718" s="65" t="n"/>
      <c r="H718" s="65" t="n"/>
      <c r="I718" s="64" t="n"/>
      <c r="J718" s="64" t="n"/>
      <c r="K718" s="63" t="n"/>
      <c r="L718" s="63" t="n"/>
      <c r="M718" s="64" t="n"/>
      <c r="N718" s="66" t="n"/>
      <c r="O718" s="65" t="n"/>
      <c r="P718" s="64" t="n"/>
      <c r="Q718" s="67" t="n"/>
      <c r="R718" s="67" t="n"/>
      <c r="S718" s="68" t="str">
        <f>IF(AND(ISNUMBER($Q718),ISNUMBER($R718)),$Q718-$R718,"")</f>
        <v/>
      </c>
      <c r="T718" s="65" t="n"/>
      <c r="U718" s="64" t="n"/>
      <c r="V718" s="65" t="n"/>
      <c r="W718" s="63" t="n"/>
      <c r="X718" s="65" t="n"/>
      <c r="Y718" s="63" t="n"/>
      <c r="Z718" s="64" t="n"/>
      <c r="AA718" s="64" t="n"/>
      <c r="AB718" s="65" t="n"/>
      <c r="AC718" s="69" t="str">
        <f>IF(OR($G718="",NOT(ISNUMBER($K718)),$AK718=0),"",MAX(0,ReportDate-$K718))</f>
        <v/>
      </c>
      <c r="AD718" s="69" t="str">
        <f>IF($G718="","",IF($AL718=1,ReportDate-$L718,0))</f>
        <v/>
      </c>
      <c r="AE718" s="70" t="str">
        <f>IF($G718="","",IF($M718="Completed",1,IF(ISNUMBER($N718),$N718,0)))</f>
        <v/>
      </c>
      <c r="AF718" s="70" t="str">
        <f>IF(AND(ISNUMBER($Q718),ISNUMBER($R718)),IF($R718&lt;&gt;0,$Q718/$R718,""),"")</f>
        <v/>
      </c>
      <c r="AG718" s="71" t="str">
        <f>IF($G718="","",IF($AL718=1,"OVERDUE",IF($AM718=1,"BLOCKED",IF($AN718=1,"DUE TODAY",IF($AO718=1,"DUE TOMORROW",IF($AQ718=1,"HIGH PRIORITY",IF($AR718=1,"NO RECENT UPDATE",""))))))) </f>
        <v/>
      </c>
      <c r="AH718" s="71" t="str">
        <f>IF($G718="","",IF(ISNUMBER($A718),IF(ISNUMBER($A718),YEAR($A718)&amp;"-"&amp;TEXT(MONTH($A718),"00"),""),IF(ISNUMBER($L718),IF(ISNUMBER($L718),YEAR($L718)&amp;"-"&amp;TEXT(MONTH($L718),"00"),""),"")))</f>
        <v/>
      </c>
      <c r="AI718" s="71">
        <f>IF($G718="",0,IF(AND(OR(fClient="All",$C718=fClient),OR(fCampaign="All",$D718=fCampaign),OR(fTeam="All",$B718=fTeam),OR(fChannel="All",$F718=fChannel),OR(fMonth="All",$AH718=fMonth),OR(fTStatus="All",$M718=fTStatus)),1,0))</f>
        <v>0</v>
      </c>
      <c r="AJ718" s="71">
        <f>IF($G718="",0,IF(AND(OR(fClient="All",$C718=fClient),OR(fCampaign="All",$D718=fCampaign),OR(fTeam="All",$B718=fTeam),OR(fChannel="All",$F718=fChannel)),1,0))</f>
        <v>0</v>
      </c>
      <c r="AK718" s="71">
        <f>IF($G718="",0,IF(OR($M718="Completed",$M718="Cancelled"),0,1))</f>
        <v>0</v>
      </c>
      <c r="AL718" s="71">
        <f>IF(AND($AK718=1,ISNUMBER($L718)),IF($L718&lt;ReportDate,1,0),0)</f>
        <v>0</v>
      </c>
      <c r="AM718" s="71">
        <f>IF(AND($G718&lt;&gt;"",$M718="Blocked"),1,0)</f>
        <v>0</v>
      </c>
      <c r="AN718" s="71">
        <f>IF(AND($AK718=1,ISNUMBER($L718)),IF($L718=ReportDate,1,0),0)</f>
        <v>0</v>
      </c>
      <c r="AO718" s="71">
        <f>IF(AND($AK718=1,ISNUMBER($L718)),IF($L718=ReportDate+1,1,0),0)</f>
        <v>0</v>
      </c>
      <c r="AP718" s="71">
        <f>IF(AND($AK718=1,ISNUMBER($L718)),IF(AND($L718&gt;=ReportDate,$L718&lt;=ReportDate+DueSoonDays),1,0),0)</f>
        <v>0</v>
      </c>
      <c r="AQ718" s="71">
        <f>IF(AND($AK718=1,OR($I718="Critical",$I718="High")),1,0)</f>
        <v>0</v>
      </c>
      <c r="AR718" s="71">
        <f>IF($AK718=1,IF(ISNUMBER($Y718),IF(ReportDate-$Y718&gt;StaleDays,1,0),1),0)</f>
        <v>0</v>
      </c>
      <c r="AS718" s="71">
        <f>IF(AND($G718&lt;&gt;"",ISNUMBER($Q718),ISNUMBER($R718)),IF(AND($Q718&lt;$R718,OR($M718="Completed",AND(ISNUMBER($L718),$L718&lt;ReportDate))),1,0),0)</f>
        <v>0</v>
      </c>
      <c r="AT718" s="71">
        <f>IF($AK718=1,IF(OR($L718=ReportDate,$W718=ReportDate,$K718=ReportDate,$A718=ReportDate),1,0),0)</f>
        <v>0</v>
      </c>
      <c r="AU718" s="71">
        <f>IF($AK718=1,IF(OR($L718=ReportDate+1,$W718=ReportDate+1,$K718=ReportDate+1,$A718=ReportDate+1),1,0),0)</f>
        <v>0</v>
      </c>
      <c r="AV718" s="71">
        <f>IF(AND($G718&lt;&gt;"",$M718="Completed"),IF(OR($Y718=ReportDate-1,$A718=ReportDate-1),1,0),0)</f>
        <v>0</v>
      </c>
      <c r="AW718" s="71">
        <f>IF(AND($AK718=1,$Z718="Yes"),1,0)</f>
        <v>0</v>
      </c>
      <c r="AX718" s="71">
        <f>IF(AND($AK718=1,$AA718="Yes"),1,0)</f>
        <v>0</v>
      </c>
      <c r="AY718" s="71">
        <f>IF(AND($AM718=1,OR($I718="Critical",$I718="High")),1,0)</f>
        <v>0</v>
      </c>
      <c r="AZ718" s="71">
        <f>IF(AND($AK718=1,OR($C718=TCL_Client,$C718=MECCA_Client)),1,0)</f>
        <v>0</v>
      </c>
      <c r="BA718" s="71" t="str">
        <f>IF($G718="","",IFERROR(MATCH($I718,lst_Priority,0),5))</f>
        <v/>
      </c>
      <c r="BB718" s="71" t="str">
        <f>IF(AND($AL718=1,$AJ718=1),$BA718*100000+ROW(),"")</f>
        <v/>
      </c>
      <c r="BC718" s="71" t="str">
        <f>IF(AND($AM718=1,$AJ718=1),$BA718*100000+ROW(),"")</f>
        <v/>
      </c>
      <c r="BD718" s="71" t="str">
        <f>IF(AND($AP718=1,$AJ718=1),$BA718*100000+ROW(),"")</f>
        <v/>
      </c>
      <c r="BE718" s="71" t="str">
        <f>IF(AND($AT718=1,$AJ718=1),$BA718*100000+ROW(),"")</f>
        <v/>
      </c>
      <c r="BF718" s="71" t="str">
        <f>IF(AND($AU718=1,$AJ718=1),$BA718*100000+ROW(),"")</f>
        <v/>
      </c>
      <c r="BG718" s="71" t="str">
        <f>IF(AND($AV718=1,$AJ718=1),$BA718*100000+ROW(),"")</f>
        <v/>
      </c>
      <c r="BH718" s="71" t="str">
        <f>IF(AND($AW718=1,$AJ718=1),$BA718*100000+ROW(),"")</f>
        <v/>
      </c>
      <c r="BI718" s="71" t="str">
        <f>IF(AND($AX718=1,$AJ718=1),$BA718*100000+ROW(),"")</f>
        <v/>
      </c>
      <c r="BJ718" s="71" t="str">
        <f>IF(AND($AS718=1,$AJ718=1),$BA718*100000+ROW(),"")</f>
        <v/>
      </c>
      <c r="BK718" s="71" t="str">
        <f>IF(AND($AY718=1,$AJ718=1),$BA718*100000+ROW(),"")</f>
        <v/>
      </c>
      <c r="BL718" s="71" t="str">
        <f>IF(AND($AZ718=1),$BA718*100000+ROW(),"")</f>
        <v/>
      </c>
    </row>
    <row r="719">
      <c r="A719" s="63" t="n"/>
      <c r="B719" s="64" t="n"/>
      <c r="C719" s="64" t="n"/>
      <c r="D719" s="64" t="n"/>
      <c r="E719" s="64" t="n"/>
      <c r="F719" s="64" t="n"/>
      <c r="G719" s="65" t="n"/>
      <c r="H719" s="65" t="n"/>
      <c r="I719" s="64" t="n"/>
      <c r="J719" s="64" t="n"/>
      <c r="K719" s="63" t="n"/>
      <c r="L719" s="63" t="n"/>
      <c r="M719" s="64" t="n"/>
      <c r="N719" s="66" t="n"/>
      <c r="O719" s="65" t="n"/>
      <c r="P719" s="64" t="n"/>
      <c r="Q719" s="67" t="n"/>
      <c r="R719" s="67" t="n"/>
      <c r="S719" s="68" t="str">
        <f>IF(AND(ISNUMBER($Q719),ISNUMBER($R719)),$Q719-$R719,"")</f>
        <v/>
      </c>
      <c r="T719" s="65" t="n"/>
      <c r="U719" s="64" t="n"/>
      <c r="V719" s="65" t="n"/>
      <c r="W719" s="63" t="n"/>
      <c r="X719" s="65" t="n"/>
      <c r="Y719" s="63" t="n"/>
      <c r="Z719" s="64" t="n"/>
      <c r="AA719" s="64" t="n"/>
      <c r="AB719" s="65" t="n"/>
      <c r="AC719" s="69" t="str">
        <f>IF(OR($G719="",NOT(ISNUMBER($K719)),$AK719=0),"",MAX(0,ReportDate-$K719))</f>
        <v/>
      </c>
      <c r="AD719" s="69" t="str">
        <f>IF($G719="","",IF($AL719=1,ReportDate-$L719,0))</f>
        <v/>
      </c>
      <c r="AE719" s="70" t="str">
        <f>IF($G719="","",IF($M719="Completed",1,IF(ISNUMBER($N719),$N719,0)))</f>
        <v/>
      </c>
      <c r="AF719" s="70" t="str">
        <f>IF(AND(ISNUMBER($Q719),ISNUMBER($R719)),IF($R719&lt;&gt;0,$Q719/$R719,""),"")</f>
        <v/>
      </c>
      <c r="AG719" s="71" t="str">
        <f>IF($G719="","",IF($AL719=1,"OVERDUE",IF($AM719=1,"BLOCKED",IF($AN719=1,"DUE TODAY",IF($AO719=1,"DUE TOMORROW",IF($AQ719=1,"HIGH PRIORITY",IF($AR719=1,"NO RECENT UPDATE",""))))))) </f>
        <v/>
      </c>
      <c r="AH719" s="71" t="str">
        <f>IF($G719="","",IF(ISNUMBER($A719),IF(ISNUMBER($A719),YEAR($A719)&amp;"-"&amp;TEXT(MONTH($A719),"00"),""),IF(ISNUMBER($L719),IF(ISNUMBER($L719),YEAR($L719)&amp;"-"&amp;TEXT(MONTH($L719),"00"),""),"")))</f>
        <v/>
      </c>
      <c r="AI719" s="71">
        <f>IF($G719="",0,IF(AND(OR(fClient="All",$C719=fClient),OR(fCampaign="All",$D719=fCampaign),OR(fTeam="All",$B719=fTeam),OR(fChannel="All",$F719=fChannel),OR(fMonth="All",$AH719=fMonth),OR(fTStatus="All",$M719=fTStatus)),1,0))</f>
        <v>0</v>
      </c>
      <c r="AJ719" s="71">
        <f>IF($G719="",0,IF(AND(OR(fClient="All",$C719=fClient),OR(fCampaign="All",$D719=fCampaign),OR(fTeam="All",$B719=fTeam),OR(fChannel="All",$F719=fChannel)),1,0))</f>
        <v>0</v>
      </c>
      <c r="AK719" s="71">
        <f>IF($G719="",0,IF(OR($M719="Completed",$M719="Cancelled"),0,1))</f>
        <v>0</v>
      </c>
      <c r="AL719" s="71">
        <f>IF(AND($AK719=1,ISNUMBER($L719)),IF($L719&lt;ReportDate,1,0),0)</f>
        <v>0</v>
      </c>
      <c r="AM719" s="71">
        <f>IF(AND($G719&lt;&gt;"",$M719="Blocked"),1,0)</f>
        <v>0</v>
      </c>
      <c r="AN719" s="71">
        <f>IF(AND($AK719=1,ISNUMBER($L719)),IF($L719=ReportDate,1,0),0)</f>
        <v>0</v>
      </c>
      <c r="AO719" s="71">
        <f>IF(AND($AK719=1,ISNUMBER($L719)),IF($L719=ReportDate+1,1,0),0)</f>
        <v>0</v>
      </c>
      <c r="AP719" s="71">
        <f>IF(AND($AK719=1,ISNUMBER($L719)),IF(AND($L719&gt;=ReportDate,$L719&lt;=ReportDate+DueSoonDays),1,0),0)</f>
        <v>0</v>
      </c>
      <c r="AQ719" s="71">
        <f>IF(AND($AK719=1,OR($I719="Critical",$I719="High")),1,0)</f>
        <v>0</v>
      </c>
      <c r="AR719" s="71">
        <f>IF($AK719=1,IF(ISNUMBER($Y719),IF(ReportDate-$Y719&gt;StaleDays,1,0),1),0)</f>
        <v>0</v>
      </c>
      <c r="AS719" s="71">
        <f>IF(AND($G719&lt;&gt;"",ISNUMBER($Q719),ISNUMBER($R719)),IF(AND($Q719&lt;$R719,OR($M719="Completed",AND(ISNUMBER($L719),$L719&lt;ReportDate))),1,0),0)</f>
        <v>0</v>
      </c>
      <c r="AT719" s="71">
        <f>IF($AK719=1,IF(OR($L719=ReportDate,$W719=ReportDate,$K719=ReportDate,$A719=ReportDate),1,0),0)</f>
        <v>0</v>
      </c>
      <c r="AU719" s="71">
        <f>IF($AK719=1,IF(OR($L719=ReportDate+1,$W719=ReportDate+1,$K719=ReportDate+1,$A719=ReportDate+1),1,0),0)</f>
        <v>0</v>
      </c>
      <c r="AV719" s="71">
        <f>IF(AND($G719&lt;&gt;"",$M719="Completed"),IF(OR($Y719=ReportDate-1,$A719=ReportDate-1),1,0),0)</f>
        <v>0</v>
      </c>
      <c r="AW719" s="71">
        <f>IF(AND($AK719=1,$Z719="Yes"),1,0)</f>
        <v>0</v>
      </c>
      <c r="AX719" s="71">
        <f>IF(AND($AK719=1,$AA719="Yes"),1,0)</f>
        <v>0</v>
      </c>
      <c r="AY719" s="71">
        <f>IF(AND($AM719=1,OR($I719="Critical",$I719="High")),1,0)</f>
        <v>0</v>
      </c>
      <c r="AZ719" s="71">
        <f>IF(AND($AK719=1,OR($C719=TCL_Client,$C719=MECCA_Client)),1,0)</f>
        <v>0</v>
      </c>
      <c r="BA719" s="71" t="str">
        <f>IF($G719="","",IFERROR(MATCH($I719,lst_Priority,0),5))</f>
        <v/>
      </c>
      <c r="BB719" s="71" t="str">
        <f>IF(AND($AL719=1,$AJ719=1),$BA719*100000+ROW(),"")</f>
        <v/>
      </c>
      <c r="BC719" s="71" t="str">
        <f>IF(AND($AM719=1,$AJ719=1),$BA719*100000+ROW(),"")</f>
        <v/>
      </c>
      <c r="BD719" s="71" t="str">
        <f>IF(AND($AP719=1,$AJ719=1),$BA719*100000+ROW(),"")</f>
        <v/>
      </c>
      <c r="BE719" s="71" t="str">
        <f>IF(AND($AT719=1,$AJ719=1),$BA719*100000+ROW(),"")</f>
        <v/>
      </c>
      <c r="BF719" s="71" t="str">
        <f>IF(AND($AU719=1,$AJ719=1),$BA719*100000+ROW(),"")</f>
        <v/>
      </c>
      <c r="BG719" s="71" t="str">
        <f>IF(AND($AV719=1,$AJ719=1),$BA719*100000+ROW(),"")</f>
        <v/>
      </c>
      <c r="BH719" s="71" t="str">
        <f>IF(AND($AW719=1,$AJ719=1),$BA719*100000+ROW(),"")</f>
        <v/>
      </c>
      <c r="BI719" s="71" t="str">
        <f>IF(AND($AX719=1,$AJ719=1),$BA719*100000+ROW(),"")</f>
        <v/>
      </c>
      <c r="BJ719" s="71" t="str">
        <f>IF(AND($AS719=1,$AJ719=1),$BA719*100000+ROW(),"")</f>
        <v/>
      </c>
      <c r="BK719" s="71" t="str">
        <f>IF(AND($AY719=1,$AJ719=1),$BA719*100000+ROW(),"")</f>
        <v/>
      </c>
      <c r="BL719" s="71" t="str">
        <f>IF(AND($AZ719=1),$BA719*100000+ROW(),"")</f>
        <v/>
      </c>
    </row>
    <row r="720">
      <c r="A720" s="63" t="n"/>
      <c r="B720" s="64" t="n"/>
      <c r="C720" s="64" t="n"/>
      <c r="D720" s="64" t="n"/>
      <c r="E720" s="64" t="n"/>
      <c r="F720" s="64" t="n"/>
      <c r="G720" s="65" t="n"/>
      <c r="H720" s="65" t="n"/>
      <c r="I720" s="64" t="n"/>
      <c r="J720" s="64" t="n"/>
      <c r="K720" s="63" t="n"/>
      <c r="L720" s="63" t="n"/>
      <c r="M720" s="64" t="n"/>
      <c r="N720" s="66" t="n"/>
      <c r="O720" s="65" t="n"/>
      <c r="P720" s="64" t="n"/>
      <c r="Q720" s="67" t="n"/>
      <c r="R720" s="67" t="n"/>
      <c r="S720" s="68" t="str">
        <f>IF(AND(ISNUMBER($Q720),ISNUMBER($R720)),$Q720-$R720,"")</f>
        <v/>
      </c>
      <c r="T720" s="65" t="n"/>
      <c r="U720" s="64" t="n"/>
      <c r="V720" s="65" t="n"/>
      <c r="W720" s="63" t="n"/>
      <c r="X720" s="65" t="n"/>
      <c r="Y720" s="63" t="n"/>
      <c r="Z720" s="64" t="n"/>
      <c r="AA720" s="64" t="n"/>
      <c r="AB720" s="65" t="n"/>
      <c r="AC720" s="69" t="str">
        <f>IF(OR($G720="",NOT(ISNUMBER($K720)),$AK720=0),"",MAX(0,ReportDate-$K720))</f>
        <v/>
      </c>
      <c r="AD720" s="69" t="str">
        <f>IF($G720="","",IF($AL720=1,ReportDate-$L720,0))</f>
        <v/>
      </c>
      <c r="AE720" s="70" t="str">
        <f>IF($G720="","",IF($M720="Completed",1,IF(ISNUMBER($N720),$N720,0)))</f>
        <v/>
      </c>
      <c r="AF720" s="70" t="str">
        <f>IF(AND(ISNUMBER($Q720),ISNUMBER($R720)),IF($R720&lt;&gt;0,$Q720/$R720,""),"")</f>
        <v/>
      </c>
      <c r="AG720" s="71" t="str">
        <f>IF($G720="","",IF($AL720=1,"OVERDUE",IF($AM720=1,"BLOCKED",IF($AN720=1,"DUE TODAY",IF($AO720=1,"DUE TOMORROW",IF($AQ720=1,"HIGH PRIORITY",IF($AR720=1,"NO RECENT UPDATE",""))))))) </f>
        <v/>
      </c>
      <c r="AH720" s="71" t="str">
        <f>IF($G720="","",IF(ISNUMBER($A720),IF(ISNUMBER($A720),YEAR($A720)&amp;"-"&amp;TEXT(MONTH($A720),"00"),""),IF(ISNUMBER($L720),IF(ISNUMBER($L720),YEAR($L720)&amp;"-"&amp;TEXT(MONTH($L720),"00"),""),"")))</f>
        <v/>
      </c>
      <c r="AI720" s="71">
        <f>IF($G720="",0,IF(AND(OR(fClient="All",$C720=fClient),OR(fCampaign="All",$D720=fCampaign),OR(fTeam="All",$B720=fTeam),OR(fChannel="All",$F720=fChannel),OR(fMonth="All",$AH720=fMonth),OR(fTStatus="All",$M720=fTStatus)),1,0))</f>
        <v>0</v>
      </c>
      <c r="AJ720" s="71">
        <f>IF($G720="",0,IF(AND(OR(fClient="All",$C720=fClient),OR(fCampaign="All",$D720=fCampaign),OR(fTeam="All",$B720=fTeam),OR(fChannel="All",$F720=fChannel)),1,0))</f>
        <v>0</v>
      </c>
      <c r="AK720" s="71">
        <f>IF($G720="",0,IF(OR($M720="Completed",$M720="Cancelled"),0,1))</f>
        <v>0</v>
      </c>
      <c r="AL720" s="71">
        <f>IF(AND($AK720=1,ISNUMBER($L720)),IF($L720&lt;ReportDate,1,0),0)</f>
        <v>0</v>
      </c>
      <c r="AM720" s="71">
        <f>IF(AND($G720&lt;&gt;"",$M720="Blocked"),1,0)</f>
        <v>0</v>
      </c>
      <c r="AN720" s="71">
        <f>IF(AND($AK720=1,ISNUMBER($L720)),IF($L720=ReportDate,1,0),0)</f>
        <v>0</v>
      </c>
      <c r="AO720" s="71">
        <f>IF(AND($AK720=1,ISNUMBER($L720)),IF($L720=ReportDate+1,1,0),0)</f>
        <v>0</v>
      </c>
      <c r="AP720" s="71">
        <f>IF(AND($AK720=1,ISNUMBER($L720)),IF(AND($L720&gt;=ReportDate,$L720&lt;=ReportDate+DueSoonDays),1,0),0)</f>
        <v>0</v>
      </c>
      <c r="AQ720" s="71">
        <f>IF(AND($AK720=1,OR($I720="Critical",$I720="High")),1,0)</f>
        <v>0</v>
      </c>
      <c r="AR720" s="71">
        <f>IF($AK720=1,IF(ISNUMBER($Y720),IF(ReportDate-$Y720&gt;StaleDays,1,0),1),0)</f>
        <v>0</v>
      </c>
      <c r="AS720" s="71">
        <f>IF(AND($G720&lt;&gt;"",ISNUMBER($Q720),ISNUMBER($R720)),IF(AND($Q720&lt;$R720,OR($M720="Completed",AND(ISNUMBER($L720),$L720&lt;ReportDate))),1,0),0)</f>
        <v>0</v>
      </c>
      <c r="AT720" s="71">
        <f>IF($AK720=1,IF(OR($L720=ReportDate,$W720=ReportDate,$K720=ReportDate,$A720=ReportDate),1,0),0)</f>
        <v>0</v>
      </c>
      <c r="AU720" s="71">
        <f>IF($AK720=1,IF(OR($L720=ReportDate+1,$W720=ReportDate+1,$K720=ReportDate+1,$A720=ReportDate+1),1,0),0)</f>
        <v>0</v>
      </c>
      <c r="AV720" s="71">
        <f>IF(AND($G720&lt;&gt;"",$M720="Completed"),IF(OR($Y720=ReportDate-1,$A720=ReportDate-1),1,0),0)</f>
        <v>0</v>
      </c>
      <c r="AW720" s="71">
        <f>IF(AND($AK720=1,$Z720="Yes"),1,0)</f>
        <v>0</v>
      </c>
      <c r="AX720" s="71">
        <f>IF(AND($AK720=1,$AA720="Yes"),1,0)</f>
        <v>0</v>
      </c>
      <c r="AY720" s="71">
        <f>IF(AND($AM720=1,OR($I720="Critical",$I720="High")),1,0)</f>
        <v>0</v>
      </c>
      <c r="AZ720" s="71">
        <f>IF(AND($AK720=1,OR($C720=TCL_Client,$C720=MECCA_Client)),1,0)</f>
        <v>0</v>
      </c>
      <c r="BA720" s="71" t="str">
        <f>IF($G720="","",IFERROR(MATCH($I720,lst_Priority,0),5))</f>
        <v/>
      </c>
      <c r="BB720" s="71" t="str">
        <f>IF(AND($AL720=1,$AJ720=1),$BA720*100000+ROW(),"")</f>
        <v/>
      </c>
      <c r="BC720" s="71" t="str">
        <f>IF(AND($AM720=1,$AJ720=1),$BA720*100000+ROW(),"")</f>
        <v/>
      </c>
      <c r="BD720" s="71" t="str">
        <f>IF(AND($AP720=1,$AJ720=1),$BA720*100000+ROW(),"")</f>
        <v/>
      </c>
      <c r="BE720" s="71" t="str">
        <f>IF(AND($AT720=1,$AJ720=1),$BA720*100000+ROW(),"")</f>
        <v/>
      </c>
      <c r="BF720" s="71" t="str">
        <f>IF(AND($AU720=1,$AJ720=1),$BA720*100000+ROW(),"")</f>
        <v/>
      </c>
      <c r="BG720" s="71" t="str">
        <f>IF(AND($AV720=1,$AJ720=1),$BA720*100000+ROW(),"")</f>
        <v/>
      </c>
      <c r="BH720" s="71" t="str">
        <f>IF(AND($AW720=1,$AJ720=1),$BA720*100000+ROW(),"")</f>
        <v/>
      </c>
      <c r="BI720" s="71" t="str">
        <f>IF(AND($AX720=1,$AJ720=1),$BA720*100000+ROW(),"")</f>
        <v/>
      </c>
      <c r="BJ720" s="71" t="str">
        <f>IF(AND($AS720=1,$AJ720=1),$BA720*100000+ROW(),"")</f>
        <v/>
      </c>
      <c r="BK720" s="71" t="str">
        <f>IF(AND($AY720=1,$AJ720=1),$BA720*100000+ROW(),"")</f>
        <v/>
      </c>
      <c r="BL720" s="71" t="str">
        <f>IF(AND($AZ720=1),$BA720*100000+ROW(),"")</f>
        <v/>
      </c>
    </row>
    <row r="721">
      <c r="A721" s="63" t="n"/>
      <c r="B721" s="64" t="n"/>
      <c r="C721" s="64" t="n"/>
      <c r="D721" s="64" t="n"/>
      <c r="E721" s="64" t="n"/>
      <c r="F721" s="64" t="n"/>
      <c r="G721" s="65" t="n"/>
      <c r="H721" s="65" t="n"/>
      <c r="I721" s="64" t="n"/>
      <c r="J721" s="64" t="n"/>
      <c r="K721" s="63" t="n"/>
      <c r="L721" s="63" t="n"/>
      <c r="M721" s="64" t="n"/>
      <c r="N721" s="66" t="n"/>
      <c r="O721" s="65" t="n"/>
      <c r="P721" s="64" t="n"/>
      <c r="Q721" s="67" t="n"/>
      <c r="R721" s="67" t="n"/>
      <c r="S721" s="68" t="str">
        <f>IF(AND(ISNUMBER($Q721),ISNUMBER($R721)),$Q721-$R721,"")</f>
        <v/>
      </c>
      <c r="T721" s="65" t="n"/>
      <c r="U721" s="64" t="n"/>
      <c r="V721" s="65" t="n"/>
      <c r="W721" s="63" t="n"/>
      <c r="X721" s="65" t="n"/>
      <c r="Y721" s="63" t="n"/>
      <c r="Z721" s="64" t="n"/>
      <c r="AA721" s="64" t="n"/>
      <c r="AB721" s="65" t="n"/>
      <c r="AC721" s="69" t="str">
        <f>IF(OR($G721="",NOT(ISNUMBER($K721)),$AK721=0),"",MAX(0,ReportDate-$K721))</f>
        <v/>
      </c>
      <c r="AD721" s="69" t="str">
        <f>IF($G721="","",IF($AL721=1,ReportDate-$L721,0))</f>
        <v/>
      </c>
      <c r="AE721" s="70" t="str">
        <f>IF($G721="","",IF($M721="Completed",1,IF(ISNUMBER($N721),$N721,0)))</f>
        <v/>
      </c>
      <c r="AF721" s="70" t="str">
        <f>IF(AND(ISNUMBER($Q721),ISNUMBER($R721)),IF($R721&lt;&gt;0,$Q721/$R721,""),"")</f>
        <v/>
      </c>
      <c r="AG721" s="71" t="str">
        <f>IF($G721="","",IF($AL721=1,"OVERDUE",IF($AM721=1,"BLOCKED",IF($AN721=1,"DUE TODAY",IF($AO721=1,"DUE TOMORROW",IF($AQ721=1,"HIGH PRIORITY",IF($AR721=1,"NO RECENT UPDATE",""))))))) </f>
        <v/>
      </c>
      <c r="AH721" s="71" t="str">
        <f>IF($G721="","",IF(ISNUMBER($A721),IF(ISNUMBER($A721),YEAR($A721)&amp;"-"&amp;TEXT(MONTH($A721),"00"),""),IF(ISNUMBER($L721),IF(ISNUMBER($L721),YEAR($L721)&amp;"-"&amp;TEXT(MONTH($L721),"00"),""),"")))</f>
        <v/>
      </c>
      <c r="AI721" s="71">
        <f>IF($G721="",0,IF(AND(OR(fClient="All",$C721=fClient),OR(fCampaign="All",$D721=fCampaign),OR(fTeam="All",$B721=fTeam),OR(fChannel="All",$F721=fChannel),OR(fMonth="All",$AH721=fMonth),OR(fTStatus="All",$M721=fTStatus)),1,0))</f>
        <v>0</v>
      </c>
      <c r="AJ721" s="71">
        <f>IF($G721="",0,IF(AND(OR(fClient="All",$C721=fClient),OR(fCampaign="All",$D721=fCampaign),OR(fTeam="All",$B721=fTeam),OR(fChannel="All",$F721=fChannel)),1,0))</f>
        <v>0</v>
      </c>
      <c r="AK721" s="71">
        <f>IF($G721="",0,IF(OR($M721="Completed",$M721="Cancelled"),0,1))</f>
        <v>0</v>
      </c>
      <c r="AL721" s="71">
        <f>IF(AND($AK721=1,ISNUMBER($L721)),IF($L721&lt;ReportDate,1,0),0)</f>
        <v>0</v>
      </c>
      <c r="AM721" s="71">
        <f>IF(AND($G721&lt;&gt;"",$M721="Blocked"),1,0)</f>
        <v>0</v>
      </c>
      <c r="AN721" s="71">
        <f>IF(AND($AK721=1,ISNUMBER($L721)),IF($L721=ReportDate,1,0),0)</f>
        <v>0</v>
      </c>
      <c r="AO721" s="71">
        <f>IF(AND($AK721=1,ISNUMBER($L721)),IF($L721=ReportDate+1,1,0),0)</f>
        <v>0</v>
      </c>
      <c r="AP721" s="71">
        <f>IF(AND($AK721=1,ISNUMBER($L721)),IF(AND($L721&gt;=ReportDate,$L721&lt;=ReportDate+DueSoonDays),1,0),0)</f>
        <v>0</v>
      </c>
      <c r="AQ721" s="71">
        <f>IF(AND($AK721=1,OR($I721="Critical",$I721="High")),1,0)</f>
        <v>0</v>
      </c>
      <c r="AR721" s="71">
        <f>IF($AK721=1,IF(ISNUMBER($Y721),IF(ReportDate-$Y721&gt;StaleDays,1,0),1),0)</f>
        <v>0</v>
      </c>
      <c r="AS721" s="71">
        <f>IF(AND($G721&lt;&gt;"",ISNUMBER($Q721),ISNUMBER($R721)),IF(AND($Q721&lt;$R721,OR($M721="Completed",AND(ISNUMBER($L721),$L721&lt;ReportDate))),1,0),0)</f>
        <v>0</v>
      </c>
      <c r="AT721" s="71">
        <f>IF($AK721=1,IF(OR($L721=ReportDate,$W721=ReportDate,$K721=ReportDate,$A721=ReportDate),1,0),0)</f>
        <v>0</v>
      </c>
      <c r="AU721" s="71">
        <f>IF($AK721=1,IF(OR($L721=ReportDate+1,$W721=ReportDate+1,$K721=ReportDate+1,$A721=ReportDate+1),1,0),0)</f>
        <v>0</v>
      </c>
      <c r="AV721" s="71">
        <f>IF(AND($G721&lt;&gt;"",$M721="Completed"),IF(OR($Y721=ReportDate-1,$A721=ReportDate-1),1,0),0)</f>
        <v>0</v>
      </c>
      <c r="AW721" s="71">
        <f>IF(AND($AK721=1,$Z721="Yes"),1,0)</f>
        <v>0</v>
      </c>
      <c r="AX721" s="71">
        <f>IF(AND($AK721=1,$AA721="Yes"),1,0)</f>
        <v>0</v>
      </c>
      <c r="AY721" s="71">
        <f>IF(AND($AM721=1,OR($I721="Critical",$I721="High")),1,0)</f>
        <v>0</v>
      </c>
      <c r="AZ721" s="71">
        <f>IF(AND($AK721=1,OR($C721=TCL_Client,$C721=MECCA_Client)),1,0)</f>
        <v>0</v>
      </c>
      <c r="BA721" s="71" t="str">
        <f>IF($G721="","",IFERROR(MATCH($I721,lst_Priority,0),5))</f>
        <v/>
      </c>
      <c r="BB721" s="71" t="str">
        <f>IF(AND($AL721=1,$AJ721=1),$BA721*100000+ROW(),"")</f>
        <v/>
      </c>
      <c r="BC721" s="71" t="str">
        <f>IF(AND($AM721=1,$AJ721=1),$BA721*100000+ROW(),"")</f>
        <v/>
      </c>
      <c r="BD721" s="71" t="str">
        <f>IF(AND($AP721=1,$AJ721=1),$BA721*100000+ROW(),"")</f>
        <v/>
      </c>
      <c r="BE721" s="71" t="str">
        <f>IF(AND($AT721=1,$AJ721=1),$BA721*100000+ROW(),"")</f>
        <v/>
      </c>
      <c r="BF721" s="71" t="str">
        <f>IF(AND($AU721=1,$AJ721=1),$BA721*100000+ROW(),"")</f>
        <v/>
      </c>
      <c r="BG721" s="71" t="str">
        <f>IF(AND($AV721=1,$AJ721=1),$BA721*100000+ROW(),"")</f>
        <v/>
      </c>
      <c r="BH721" s="71" t="str">
        <f>IF(AND($AW721=1,$AJ721=1),$BA721*100000+ROW(),"")</f>
        <v/>
      </c>
      <c r="BI721" s="71" t="str">
        <f>IF(AND($AX721=1,$AJ721=1),$BA721*100000+ROW(),"")</f>
        <v/>
      </c>
      <c r="BJ721" s="71" t="str">
        <f>IF(AND($AS721=1,$AJ721=1),$BA721*100000+ROW(),"")</f>
        <v/>
      </c>
      <c r="BK721" s="71" t="str">
        <f>IF(AND($AY721=1,$AJ721=1),$BA721*100000+ROW(),"")</f>
        <v/>
      </c>
      <c r="BL721" s="71" t="str">
        <f>IF(AND($AZ721=1),$BA721*100000+ROW(),"")</f>
        <v/>
      </c>
    </row>
    <row r="722">
      <c r="A722" s="63" t="n"/>
      <c r="B722" s="64" t="n"/>
      <c r="C722" s="64" t="n"/>
      <c r="D722" s="64" t="n"/>
      <c r="E722" s="64" t="n"/>
      <c r="F722" s="64" t="n"/>
      <c r="G722" s="65" t="n"/>
      <c r="H722" s="65" t="n"/>
      <c r="I722" s="64" t="n"/>
      <c r="J722" s="64" t="n"/>
      <c r="K722" s="63" t="n"/>
      <c r="L722" s="63" t="n"/>
      <c r="M722" s="64" t="n"/>
      <c r="N722" s="66" t="n"/>
      <c r="O722" s="65" t="n"/>
      <c r="P722" s="64" t="n"/>
      <c r="Q722" s="67" t="n"/>
      <c r="R722" s="67" t="n"/>
      <c r="S722" s="68" t="str">
        <f>IF(AND(ISNUMBER($Q722),ISNUMBER($R722)),$Q722-$R722,"")</f>
        <v/>
      </c>
      <c r="T722" s="65" t="n"/>
      <c r="U722" s="64" t="n"/>
      <c r="V722" s="65" t="n"/>
      <c r="W722" s="63" t="n"/>
      <c r="X722" s="65" t="n"/>
      <c r="Y722" s="63" t="n"/>
      <c r="Z722" s="64" t="n"/>
      <c r="AA722" s="64" t="n"/>
      <c r="AB722" s="65" t="n"/>
      <c r="AC722" s="69" t="str">
        <f>IF(OR($G722="",NOT(ISNUMBER($K722)),$AK722=0),"",MAX(0,ReportDate-$K722))</f>
        <v/>
      </c>
      <c r="AD722" s="69" t="str">
        <f>IF($G722="","",IF($AL722=1,ReportDate-$L722,0))</f>
        <v/>
      </c>
      <c r="AE722" s="70" t="str">
        <f>IF($G722="","",IF($M722="Completed",1,IF(ISNUMBER($N722),$N722,0)))</f>
        <v/>
      </c>
      <c r="AF722" s="70" t="str">
        <f>IF(AND(ISNUMBER($Q722),ISNUMBER($R722)),IF($R722&lt;&gt;0,$Q722/$R722,""),"")</f>
        <v/>
      </c>
      <c r="AG722" s="71" t="str">
        <f>IF($G722="","",IF($AL722=1,"OVERDUE",IF($AM722=1,"BLOCKED",IF($AN722=1,"DUE TODAY",IF($AO722=1,"DUE TOMORROW",IF($AQ722=1,"HIGH PRIORITY",IF($AR722=1,"NO RECENT UPDATE",""))))))) </f>
        <v/>
      </c>
      <c r="AH722" s="71" t="str">
        <f>IF($G722="","",IF(ISNUMBER($A722),IF(ISNUMBER($A722),YEAR($A722)&amp;"-"&amp;TEXT(MONTH($A722),"00"),""),IF(ISNUMBER($L722),IF(ISNUMBER($L722),YEAR($L722)&amp;"-"&amp;TEXT(MONTH($L722),"00"),""),"")))</f>
        <v/>
      </c>
      <c r="AI722" s="71">
        <f>IF($G722="",0,IF(AND(OR(fClient="All",$C722=fClient),OR(fCampaign="All",$D722=fCampaign),OR(fTeam="All",$B722=fTeam),OR(fChannel="All",$F722=fChannel),OR(fMonth="All",$AH722=fMonth),OR(fTStatus="All",$M722=fTStatus)),1,0))</f>
        <v>0</v>
      </c>
      <c r="AJ722" s="71">
        <f>IF($G722="",0,IF(AND(OR(fClient="All",$C722=fClient),OR(fCampaign="All",$D722=fCampaign),OR(fTeam="All",$B722=fTeam),OR(fChannel="All",$F722=fChannel)),1,0))</f>
        <v>0</v>
      </c>
      <c r="AK722" s="71">
        <f>IF($G722="",0,IF(OR($M722="Completed",$M722="Cancelled"),0,1))</f>
        <v>0</v>
      </c>
      <c r="AL722" s="71">
        <f>IF(AND($AK722=1,ISNUMBER($L722)),IF($L722&lt;ReportDate,1,0),0)</f>
        <v>0</v>
      </c>
      <c r="AM722" s="71">
        <f>IF(AND($G722&lt;&gt;"",$M722="Blocked"),1,0)</f>
        <v>0</v>
      </c>
      <c r="AN722" s="71">
        <f>IF(AND($AK722=1,ISNUMBER($L722)),IF($L722=ReportDate,1,0),0)</f>
        <v>0</v>
      </c>
      <c r="AO722" s="71">
        <f>IF(AND($AK722=1,ISNUMBER($L722)),IF($L722=ReportDate+1,1,0),0)</f>
        <v>0</v>
      </c>
      <c r="AP722" s="71">
        <f>IF(AND($AK722=1,ISNUMBER($L722)),IF(AND($L722&gt;=ReportDate,$L722&lt;=ReportDate+DueSoonDays),1,0),0)</f>
        <v>0</v>
      </c>
      <c r="AQ722" s="71">
        <f>IF(AND($AK722=1,OR($I722="Critical",$I722="High")),1,0)</f>
        <v>0</v>
      </c>
      <c r="AR722" s="71">
        <f>IF($AK722=1,IF(ISNUMBER($Y722),IF(ReportDate-$Y722&gt;StaleDays,1,0),1),0)</f>
        <v>0</v>
      </c>
      <c r="AS722" s="71">
        <f>IF(AND($G722&lt;&gt;"",ISNUMBER($Q722),ISNUMBER($R722)),IF(AND($Q722&lt;$R722,OR($M722="Completed",AND(ISNUMBER($L722),$L722&lt;ReportDate))),1,0),0)</f>
        <v>0</v>
      </c>
      <c r="AT722" s="71">
        <f>IF($AK722=1,IF(OR($L722=ReportDate,$W722=ReportDate,$K722=ReportDate,$A722=ReportDate),1,0),0)</f>
        <v>0</v>
      </c>
      <c r="AU722" s="71">
        <f>IF($AK722=1,IF(OR($L722=ReportDate+1,$W722=ReportDate+1,$K722=ReportDate+1,$A722=ReportDate+1),1,0),0)</f>
        <v>0</v>
      </c>
      <c r="AV722" s="71">
        <f>IF(AND($G722&lt;&gt;"",$M722="Completed"),IF(OR($Y722=ReportDate-1,$A722=ReportDate-1),1,0),0)</f>
        <v>0</v>
      </c>
      <c r="AW722" s="71">
        <f>IF(AND($AK722=1,$Z722="Yes"),1,0)</f>
        <v>0</v>
      </c>
      <c r="AX722" s="71">
        <f>IF(AND($AK722=1,$AA722="Yes"),1,0)</f>
        <v>0</v>
      </c>
      <c r="AY722" s="71">
        <f>IF(AND($AM722=1,OR($I722="Critical",$I722="High")),1,0)</f>
        <v>0</v>
      </c>
      <c r="AZ722" s="71">
        <f>IF(AND($AK722=1,OR($C722=TCL_Client,$C722=MECCA_Client)),1,0)</f>
        <v>0</v>
      </c>
      <c r="BA722" s="71" t="str">
        <f>IF($G722="","",IFERROR(MATCH($I722,lst_Priority,0),5))</f>
        <v/>
      </c>
      <c r="BB722" s="71" t="str">
        <f>IF(AND($AL722=1,$AJ722=1),$BA722*100000+ROW(),"")</f>
        <v/>
      </c>
      <c r="BC722" s="71" t="str">
        <f>IF(AND($AM722=1,$AJ722=1),$BA722*100000+ROW(),"")</f>
        <v/>
      </c>
      <c r="BD722" s="71" t="str">
        <f>IF(AND($AP722=1,$AJ722=1),$BA722*100000+ROW(),"")</f>
        <v/>
      </c>
      <c r="BE722" s="71" t="str">
        <f>IF(AND($AT722=1,$AJ722=1),$BA722*100000+ROW(),"")</f>
        <v/>
      </c>
      <c r="BF722" s="71" t="str">
        <f>IF(AND($AU722=1,$AJ722=1),$BA722*100000+ROW(),"")</f>
        <v/>
      </c>
      <c r="BG722" s="71" t="str">
        <f>IF(AND($AV722=1,$AJ722=1),$BA722*100000+ROW(),"")</f>
        <v/>
      </c>
      <c r="BH722" s="71" t="str">
        <f>IF(AND($AW722=1,$AJ722=1),$BA722*100000+ROW(),"")</f>
        <v/>
      </c>
      <c r="BI722" s="71" t="str">
        <f>IF(AND($AX722=1,$AJ722=1),$BA722*100000+ROW(),"")</f>
        <v/>
      </c>
      <c r="BJ722" s="71" t="str">
        <f>IF(AND($AS722=1,$AJ722=1),$BA722*100000+ROW(),"")</f>
        <v/>
      </c>
      <c r="BK722" s="71" t="str">
        <f>IF(AND($AY722=1,$AJ722=1),$BA722*100000+ROW(),"")</f>
        <v/>
      </c>
      <c r="BL722" s="71" t="str">
        <f>IF(AND($AZ722=1),$BA722*100000+ROW(),"")</f>
        <v/>
      </c>
    </row>
    <row r="723">
      <c r="A723" s="63" t="n"/>
      <c r="B723" s="64" t="n"/>
      <c r="C723" s="64" t="n"/>
      <c r="D723" s="64" t="n"/>
      <c r="E723" s="64" t="n"/>
      <c r="F723" s="64" t="n"/>
      <c r="G723" s="65" t="n"/>
      <c r="H723" s="65" t="n"/>
      <c r="I723" s="64" t="n"/>
      <c r="J723" s="64" t="n"/>
      <c r="K723" s="63" t="n"/>
      <c r="L723" s="63" t="n"/>
      <c r="M723" s="64" t="n"/>
      <c r="N723" s="66" t="n"/>
      <c r="O723" s="65" t="n"/>
      <c r="P723" s="64" t="n"/>
      <c r="Q723" s="67" t="n"/>
      <c r="R723" s="67" t="n"/>
      <c r="S723" s="68" t="str">
        <f>IF(AND(ISNUMBER($Q723),ISNUMBER($R723)),$Q723-$R723,"")</f>
        <v/>
      </c>
      <c r="T723" s="65" t="n"/>
      <c r="U723" s="64" t="n"/>
      <c r="V723" s="65" t="n"/>
      <c r="W723" s="63" t="n"/>
      <c r="X723" s="65" t="n"/>
      <c r="Y723" s="63" t="n"/>
      <c r="Z723" s="64" t="n"/>
      <c r="AA723" s="64" t="n"/>
      <c r="AB723" s="65" t="n"/>
      <c r="AC723" s="69" t="str">
        <f>IF(OR($G723="",NOT(ISNUMBER($K723)),$AK723=0),"",MAX(0,ReportDate-$K723))</f>
        <v/>
      </c>
      <c r="AD723" s="69" t="str">
        <f>IF($G723="","",IF($AL723=1,ReportDate-$L723,0))</f>
        <v/>
      </c>
      <c r="AE723" s="70" t="str">
        <f>IF($G723="","",IF($M723="Completed",1,IF(ISNUMBER($N723),$N723,0)))</f>
        <v/>
      </c>
      <c r="AF723" s="70" t="str">
        <f>IF(AND(ISNUMBER($Q723),ISNUMBER($R723)),IF($R723&lt;&gt;0,$Q723/$R723,""),"")</f>
        <v/>
      </c>
      <c r="AG723" s="71" t="str">
        <f>IF($G723="","",IF($AL723=1,"OVERDUE",IF($AM723=1,"BLOCKED",IF($AN723=1,"DUE TODAY",IF($AO723=1,"DUE TOMORROW",IF($AQ723=1,"HIGH PRIORITY",IF($AR723=1,"NO RECENT UPDATE",""))))))) </f>
        <v/>
      </c>
      <c r="AH723" s="71" t="str">
        <f>IF($G723="","",IF(ISNUMBER($A723),IF(ISNUMBER($A723),YEAR($A723)&amp;"-"&amp;TEXT(MONTH($A723),"00"),""),IF(ISNUMBER($L723),IF(ISNUMBER($L723),YEAR($L723)&amp;"-"&amp;TEXT(MONTH($L723),"00"),""),"")))</f>
        <v/>
      </c>
      <c r="AI723" s="71">
        <f>IF($G723="",0,IF(AND(OR(fClient="All",$C723=fClient),OR(fCampaign="All",$D723=fCampaign),OR(fTeam="All",$B723=fTeam),OR(fChannel="All",$F723=fChannel),OR(fMonth="All",$AH723=fMonth),OR(fTStatus="All",$M723=fTStatus)),1,0))</f>
        <v>0</v>
      </c>
      <c r="AJ723" s="71">
        <f>IF($G723="",0,IF(AND(OR(fClient="All",$C723=fClient),OR(fCampaign="All",$D723=fCampaign),OR(fTeam="All",$B723=fTeam),OR(fChannel="All",$F723=fChannel)),1,0))</f>
        <v>0</v>
      </c>
      <c r="AK723" s="71">
        <f>IF($G723="",0,IF(OR($M723="Completed",$M723="Cancelled"),0,1))</f>
        <v>0</v>
      </c>
      <c r="AL723" s="71">
        <f>IF(AND($AK723=1,ISNUMBER($L723)),IF($L723&lt;ReportDate,1,0),0)</f>
        <v>0</v>
      </c>
      <c r="AM723" s="71">
        <f>IF(AND($G723&lt;&gt;"",$M723="Blocked"),1,0)</f>
        <v>0</v>
      </c>
      <c r="AN723" s="71">
        <f>IF(AND($AK723=1,ISNUMBER($L723)),IF($L723=ReportDate,1,0),0)</f>
        <v>0</v>
      </c>
      <c r="AO723" s="71">
        <f>IF(AND($AK723=1,ISNUMBER($L723)),IF($L723=ReportDate+1,1,0),0)</f>
        <v>0</v>
      </c>
      <c r="AP723" s="71">
        <f>IF(AND($AK723=1,ISNUMBER($L723)),IF(AND($L723&gt;=ReportDate,$L723&lt;=ReportDate+DueSoonDays),1,0),0)</f>
        <v>0</v>
      </c>
      <c r="AQ723" s="71">
        <f>IF(AND($AK723=1,OR($I723="Critical",$I723="High")),1,0)</f>
        <v>0</v>
      </c>
      <c r="AR723" s="71">
        <f>IF($AK723=1,IF(ISNUMBER($Y723),IF(ReportDate-$Y723&gt;StaleDays,1,0),1),0)</f>
        <v>0</v>
      </c>
      <c r="AS723" s="71">
        <f>IF(AND($G723&lt;&gt;"",ISNUMBER($Q723),ISNUMBER($R723)),IF(AND($Q723&lt;$R723,OR($M723="Completed",AND(ISNUMBER($L723),$L723&lt;ReportDate))),1,0),0)</f>
        <v>0</v>
      </c>
      <c r="AT723" s="71">
        <f>IF($AK723=1,IF(OR($L723=ReportDate,$W723=ReportDate,$K723=ReportDate,$A723=ReportDate),1,0),0)</f>
        <v>0</v>
      </c>
      <c r="AU723" s="71">
        <f>IF($AK723=1,IF(OR($L723=ReportDate+1,$W723=ReportDate+1,$K723=ReportDate+1,$A723=ReportDate+1),1,0),0)</f>
        <v>0</v>
      </c>
      <c r="AV723" s="71">
        <f>IF(AND($G723&lt;&gt;"",$M723="Completed"),IF(OR($Y723=ReportDate-1,$A723=ReportDate-1),1,0),0)</f>
        <v>0</v>
      </c>
      <c r="AW723" s="71">
        <f>IF(AND($AK723=1,$Z723="Yes"),1,0)</f>
        <v>0</v>
      </c>
      <c r="AX723" s="71">
        <f>IF(AND($AK723=1,$AA723="Yes"),1,0)</f>
        <v>0</v>
      </c>
      <c r="AY723" s="71">
        <f>IF(AND($AM723=1,OR($I723="Critical",$I723="High")),1,0)</f>
        <v>0</v>
      </c>
      <c r="AZ723" s="71">
        <f>IF(AND($AK723=1,OR($C723=TCL_Client,$C723=MECCA_Client)),1,0)</f>
        <v>0</v>
      </c>
      <c r="BA723" s="71" t="str">
        <f>IF($G723="","",IFERROR(MATCH($I723,lst_Priority,0),5))</f>
        <v/>
      </c>
      <c r="BB723" s="71" t="str">
        <f>IF(AND($AL723=1,$AJ723=1),$BA723*100000+ROW(),"")</f>
        <v/>
      </c>
      <c r="BC723" s="71" t="str">
        <f>IF(AND($AM723=1,$AJ723=1),$BA723*100000+ROW(),"")</f>
        <v/>
      </c>
      <c r="BD723" s="71" t="str">
        <f>IF(AND($AP723=1,$AJ723=1),$BA723*100000+ROW(),"")</f>
        <v/>
      </c>
      <c r="BE723" s="71" t="str">
        <f>IF(AND($AT723=1,$AJ723=1),$BA723*100000+ROW(),"")</f>
        <v/>
      </c>
      <c r="BF723" s="71" t="str">
        <f>IF(AND($AU723=1,$AJ723=1),$BA723*100000+ROW(),"")</f>
        <v/>
      </c>
      <c r="BG723" s="71" t="str">
        <f>IF(AND($AV723=1,$AJ723=1),$BA723*100000+ROW(),"")</f>
        <v/>
      </c>
      <c r="BH723" s="71" t="str">
        <f>IF(AND($AW723=1,$AJ723=1),$BA723*100000+ROW(),"")</f>
        <v/>
      </c>
      <c r="BI723" s="71" t="str">
        <f>IF(AND($AX723=1,$AJ723=1),$BA723*100000+ROW(),"")</f>
        <v/>
      </c>
      <c r="BJ723" s="71" t="str">
        <f>IF(AND($AS723=1,$AJ723=1),$BA723*100000+ROW(),"")</f>
        <v/>
      </c>
      <c r="BK723" s="71" t="str">
        <f>IF(AND($AY723=1,$AJ723=1),$BA723*100000+ROW(),"")</f>
        <v/>
      </c>
      <c r="BL723" s="71" t="str">
        <f>IF(AND($AZ723=1),$BA723*100000+ROW(),"")</f>
        <v/>
      </c>
    </row>
    <row r="724">
      <c r="A724" s="63" t="n"/>
      <c r="B724" s="64" t="n"/>
      <c r="C724" s="64" t="n"/>
      <c r="D724" s="64" t="n"/>
      <c r="E724" s="64" t="n"/>
      <c r="F724" s="64" t="n"/>
      <c r="G724" s="65" t="n"/>
      <c r="H724" s="65" t="n"/>
      <c r="I724" s="64" t="n"/>
      <c r="J724" s="64" t="n"/>
      <c r="K724" s="63" t="n"/>
      <c r="L724" s="63" t="n"/>
      <c r="M724" s="64" t="n"/>
      <c r="N724" s="66" t="n"/>
      <c r="O724" s="65" t="n"/>
      <c r="P724" s="64" t="n"/>
      <c r="Q724" s="67" t="n"/>
      <c r="R724" s="67" t="n"/>
      <c r="S724" s="68" t="str">
        <f>IF(AND(ISNUMBER($Q724),ISNUMBER($R724)),$Q724-$R724,"")</f>
        <v/>
      </c>
      <c r="T724" s="65" t="n"/>
      <c r="U724" s="64" t="n"/>
      <c r="V724" s="65" t="n"/>
      <c r="W724" s="63" t="n"/>
      <c r="X724" s="65" t="n"/>
      <c r="Y724" s="63" t="n"/>
      <c r="Z724" s="64" t="n"/>
      <c r="AA724" s="64" t="n"/>
      <c r="AB724" s="65" t="n"/>
      <c r="AC724" s="69" t="str">
        <f>IF(OR($G724="",NOT(ISNUMBER($K724)),$AK724=0),"",MAX(0,ReportDate-$K724))</f>
        <v/>
      </c>
      <c r="AD724" s="69" t="str">
        <f>IF($G724="","",IF($AL724=1,ReportDate-$L724,0))</f>
        <v/>
      </c>
      <c r="AE724" s="70" t="str">
        <f>IF($G724="","",IF($M724="Completed",1,IF(ISNUMBER($N724),$N724,0)))</f>
        <v/>
      </c>
      <c r="AF724" s="70" t="str">
        <f>IF(AND(ISNUMBER($Q724),ISNUMBER($R724)),IF($R724&lt;&gt;0,$Q724/$R724,""),"")</f>
        <v/>
      </c>
      <c r="AG724" s="71" t="str">
        <f>IF($G724="","",IF($AL724=1,"OVERDUE",IF($AM724=1,"BLOCKED",IF($AN724=1,"DUE TODAY",IF($AO724=1,"DUE TOMORROW",IF($AQ724=1,"HIGH PRIORITY",IF($AR724=1,"NO RECENT UPDATE",""))))))) </f>
        <v/>
      </c>
      <c r="AH724" s="71" t="str">
        <f>IF($G724="","",IF(ISNUMBER($A724),IF(ISNUMBER($A724),YEAR($A724)&amp;"-"&amp;TEXT(MONTH($A724),"00"),""),IF(ISNUMBER($L724),IF(ISNUMBER($L724),YEAR($L724)&amp;"-"&amp;TEXT(MONTH($L724),"00"),""),"")))</f>
        <v/>
      </c>
      <c r="AI724" s="71">
        <f>IF($G724="",0,IF(AND(OR(fClient="All",$C724=fClient),OR(fCampaign="All",$D724=fCampaign),OR(fTeam="All",$B724=fTeam),OR(fChannel="All",$F724=fChannel),OR(fMonth="All",$AH724=fMonth),OR(fTStatus="All",$M724=fTStatus)),1,0))</f>
        <v>0</v>
      </c>
      <c r="AJ724" s="71">
        <f>IF($G724="",0,IF(AND(OR(fClient="All",$C724=fClient),OR(fCampaign="All",$D724=fCampaign),OR(fTeam="All",$B724=fTeam),OR(fChannel="All",$F724=fChannel)),1,0))</f>
        <v>0</v>
      </c>
      <c r="AK724" s="71">
        <f>IF($G724="",0,IF(OR($M724="Completed",$M724="Cancelled"),0,1))</f>
        <v>0</v>
      </c>
      <c r="AL724" s="71">
        <f>IF(AND($AK724=1,ISNUMBER($L724)),IF($L724&lt;ReportDate,1,0),0)</f>
        <v>0</v>
      </c>
      <c r="AM724" s="71">
        <f>IF(AND($G724&lt;&gt;"",$M724="Blocked"),1,0)</f>
        <v>0</v>
      </c>
      <c r="AN724" s="71">
        <f>IF(AND($AK724=1,ISNUMBER($L724)),IF($L724=ReportDate,1,0),0)</f>
        <v>0</v>
      </c>
      <c r="AO724" s="71">
        <f>IF(AND($AK724=1,ISNUMBER($L724)),IF($L724=ReportDate+1,1,0),0)</f>
        <v>0</v>
      </c>
      <c r="AP724" s="71">
        <f>IF(AND($AK724=1,ISNUMBER($L724)),IF(AND($L724&gt;=ReportDate,$L724&lt;=ReportDate+DueSoonDays),1,0),0)</f>
        <v>0</v>
      </c>
      <c r="AQ724" s="71">
        <f>IF(AND($AK724=1,OR($I724="Critical",$I724="High")),1,0)</f>
        <v>0</v>
      </c>
      <c r="AR724" s="71">
        <f>IF($AK724=1,IF(ISNUMBER($Y724),IF(ReportDate-$Y724&gt;StaleDays,1,0),1),0)</f>
        <v>0</v>
      </c>
      <c r="AS724" s="71">
        <f>IF(AND($G724&lt;&gt;"",ISNUMBER($Q724),ISNUMBER($R724)),IF(AND($Q724&lt;$R724,OR($M724="Completed",AND(ISNUMBER($L724),$L724&lt;ReportDate))),1,0),0)</f>
        <v>0</v>
      </c>
      <c r="AT724" s="71">
        <f>IF($AK724=1,IF(OR($L724=ReportDate,$W724=ReportDate,$K724=ReportDate,$A724=ReportDate),1,0),0)</f>
        <v>0</v>
      </c>
      <c r="AU724" s="71">
        <f>IF($AK724=1,IF(OR($L724=ReportDate+1,$W724=ReportDate+1,$K724=ReportDate+1,$A724=ReportDate+1),1,0),0)</f>
        <v>0</v>
      </c>
      <c r="AV724" s="71">
        <f>IF(AND($G724&lt;&gt;"",$M724="Completed"),IF(OR($Y724=ReportDate-1,$A724=ReportDate-1),1,0),0)</f>
        <v>0</v>
      </c>
      <c r="AW724" s="71">
        <f>IF(AND($AK724=1,$Z724="Yes"),1,0)</f>
        <v>0</v>
      </c>
      <c r="AX724" s="71">
        <f>IF(AND($AK724=1,$AA724="Yes"),1,0)</f>
        <v>0</v>
      </c>
      <c r="AY724" s="71">
        <f>IF(AND($AM724=1,OR($I724="Critical",$I724="High")),1,0)</f>
        <v>0</v>
      </c>
      <c r="AZ724" s="71">
        <f>IF(AND($AK724=1,OR($C724=TCL_Client,$C724=MECCA_Client)),1,0)</f>
        <v>0</v>
      </c>
      <c r="BA724" s="71" t="str">
        <f>IF($G724="","",IFERROR(MATCH($I724,lst_Priority,0),5))</f>
        <v/>
      </c>
      <c r="BB724" s="71" t="str">
        <f>IF(AND($AL724=1,$AJ724=1),$BA724*100000+ROW(),"")</f>
        <v/>
      </c>
      <c r="BC724" s="71" t="str">
        <f>IF(AND($AM724=1,$AJ724=1),$BA724*100000+ROW(),"")</f>
        <v/>
      </c>
      <c r="BD724" s="71" t="str">
        <f>IF(AND($AP724=1,$AJ724=1),$BA724*100000+ROW(),"")</f>
        <v/>
      </c>
      <c r="BE724" s="71" t="str">
        <f>IF(AND($AT724=1,$AJ724=1),$BA724*100000+ROW(),"")</f>
        <v/>
      </c>
      <c r="BF724" s="71" t="str">
        <f>IF(AND($AU724=1,$AJ724=1),$BA724*100000+ROW(),"")</f>
        <v/>
      </c>
      <c r="BG724" s="71" t="str">
        <f>IF(AND($AV724=1,$AJ724=1),$BA724*100000+ROW(),"")</f>
        <v/>
      </c>
      <c r="BH724" s="71" t="str">
        <f>IF(AND($AW724=1,$AJ724=1),$BA724*100000+ROW(),"")</f>
        <v/>
      </c>
      <c r="BI724" s="71" t="str">
        <f>IF(AND($AX724=1,$AJ724=1),$BA724*100000+ROW(),"")</f>
        <v/>
      </c>
      <c r="BJ724" s="71" t="str">
        <f>IF(AND($AS724=1,$AJ724=1),$BA724*100000+ROW(),"")</f>
        <v/>
      </c>
      <c r="BK724" s="71" t="str">
        <f>IF(AND($AY724=1,$AJ724=1),$BA724*100000+ROW(),"")</f>
        <v/>
      </c>
      <c r="BL724" s="71" t="str">
        <f>IF(AND($AZ724=1),$BA724*100000+ROW(),"")</f>
        <v/>
      </c>
    </row>
    <row r="725">
      <c r="A725" s="63" t="n"/>
      <c r="B725" s="64" t="n"/>
      <c r="C725" s="64" t="n"/>
      <c r="D725" s="64" t="n"/>
      <c r="E725" s="64" t="n"/>
      <c r="F725" s="64" t="n"/>
      <c r="G725" s="65" t="n"/>
      <c r="H725" s="65" t="n"/>
      <c r="I725" s="64" t="n"/>
      <c r="J725" s="64" t="n"/>
      <c r="K725" s="63" t="n"/>
      <c r="L725" s="63" t="n"/>
      <c r="M725" s="64" t="n"/>
      <c r="N725" s="66" t="n"/>
      <c r="O725" s="65" t="n"/>
      <c r="P725" s="64" t="n"/>
      <c r="Q725" s="67" t="n"/>
      <c r="R725" s="67" t="n"/>
      <c r="S725" s="68" t="str">
        <f>IF(AND(ISNUMBER($Q725),ISNUMBER($R725)),$Q725-$R725,"")</f>
        <v/>
      </c>
      <c r="T725" s="65" t="n"/>
      <c r="U725" s="64" t="n"/>
      <c r="V725" s="65" t="n"/>
      <c r="W725" s="63" t="n"/>
      <c r="X725" s="65" t="n"/>
      <c r="Y725" s="63" t="n"/>
      <c r="Z725" s="64" t="n"/>
      <c r="AA725" s="64" t="n"/>
      <c r="AB725" s="65" t="n"/>
      <c r="AC725" s="69" t="str">
        <f>IF(OR($G725="",NOT(ISNUMBER($K725)),$AK725=0),"",MAX(0,ReportDate-$K725))</f>
        <v/>
      </c>
      <c r="AD725" s="69" t="str">
        <f>IF($G725="","",IF($AL725=1,ReportDate-$L725,0))</f>
        <v/>
      </c>
      <c r="AE725" s="70" t="str">
        <f>IF($G725="","",IF($M725="Completed",1,IF(ISNUMBER($N725),$N725,0)))</f>
        <v/>
      </c>
      <c r="AF725" s="70" t="str">
        <f>IF(AND(ISNUMBER($Q725),ISNUMBER($R725)),IF($R725&lt;&gt;0,$Q725/$R725,""),"")</f>
        <v/>
      </c>
      <c r="AG725" s="71" t="str">
        <f>IF($G725="","",IF($AL725=1,"OVERDUE",IF($AM725=1,"BLOCKED",IF($AN725=1,"DUE TODAY",IF($AO725=1,"DUE TOMORROW",IF($AQ725=1,"HIGH PRIORITY",IF($AR725=1,"NO RECENT UPDATE",""))))))) </f>
        <v/>
      </c>
      <c r="AH725" s="71" t="str">
        <f>IF($G725="","",IF(ISNUMBER($A725),IF(ISNUMBER($A725),YEAR($A725)&amp;"-"&amp;TEXT(MONTH($A725),"00"),""),IF(ISNUMBER($L725),IF(ISNUMBER($L725),YEAR($L725)&amp;"-"&amp;TEXT(MONTH($L725),"00"),""),"")))</f>
        <v/>
      </c>
      <c r="AI725" s="71">
        <f>IF($G725="",0,IF(AND(OR(fClient="All",$C725=fClient),OR(fCampaign="All",$D725=fCampaign),OR(fTeam="All",$B725=fTeam),OR(fChannel="All",$F725=fChannel),OR(fMonth="All",$AH725=fMonth),OR(fTStatus="All",$M725=fTStatus)),1,0))</f>
        <v>0</v>
      </c>
      <c r="AJ725" s="71">
        <f>IF($G725="",0,IF(AND(OR(fClient="All",$C725=fClient),OR(fCampaign="All",$D725=fCampaign),OR(fTeam="All",$B725=fTeam),OR(fChannel="All",$F725=fChannel)),1,0))</f>
        <v>0</v>
      </c>
      <c r="AK725" s="71">
        <f>IF($G725="",0,IF(OR($M725="Completed",$M725="Cancelled"),0,1))</f>
        <v>0</v>
      </c>
      <c r="AL725" s="71">
        <f>IF(AND($AK725=1,ISNUMBER($L725)),IF($L725&lt;ReportDate,1,0),0)</f>
        <v>0</v>
      </c>
      <c r="AM725" s="71">
        <f>IF(AND($G725&lt;&gt;"",$M725="Blocked"),1,0)</f>
        <v>0</v>
      </c>
      <c r="AN725" s="71">
        <f>IF(AND($AK725=1,ISNUMBER($L725)),IF($L725=ReportDate,1,0),0)</f>
        <v>0</v>
      </c>
      <c r="AO725" s="71">
        <f>IF(AND($AK725=1,ISNUMBER($L725)),IF($L725=ReportDate+1,1,0),0)</f>
        <v>0</v>
      </c>
      <c r="AP725" s="71">
        <f>IF(AND($AK725=1,ISNUMBER($L725)),IF(AND($L725&gt;=ReportDate,$L725&lt;=ReportDate+DueSoonDays),1,0),0)</f>
        <v>0</v>
      </c>
      <c r="AQ725" s="71">
        <f>IF(AND($AK725=1,OR($I725="Critical",$I725="High")),1,0)</f>
        <v>0</v>
      </c>
      <c r="AR725" s="71">
        <f>IF($AK725=1,IF(ISNUMBER($Y725),IF(ReportDate-$Y725&gt;StaleDays,1,0),1),0)</f>
        <v>0</v>
      </c>
      <c r="AS725" s="71">
        <f>IF(AND($G725&lt;&gt;"",ISNUMBER($Q725),ISNUMBER($R725)),IF(AND($Q725&lt;$R725,OR($M725="Completed",AND(ISNUMBER($L725),$L725&lt;ReportDate))),1,0),0)</f>
        <v>0</v>
      </c>
      <c r="AT725" s="71">
        <f>IF($AK725=1,IF(OR($L725=ReportDate,$W725=ReportDate,$K725=ReportDate,$A725=ReportDate),1,0),0)</f>
        <v>0</v>
      </c>
      <c r="AU725" s="71">
        <f>IF($AK725=1,IF(OR($L725=ReportDate+1,$W725=ReportDate+1,$K725=ReportDate+1,$A725=ReportDate+1),1,0),0)</f>
        <v>0</v>
      </c>
      <c r="AV725" s="71">
        <f>IF(AND($G725&lt;&gt;"",$M725="Completed"),IF(OR($Y725=ReportDate-1,$A725=ReportDate-1),1,0),0)</f>
        <v>0</v>
      </c>
      <c r="AW725" s="71">
        <f>IF(AND($AK725=1,$Z725="Yes"),1,0)</f>
        <v>0</v>
      </c>
      <c r="AX725" s="71">
        <f>IF(AND($AK725=1,$AA725="Yes"),1,0)</f>
        <v>0</v>
      </c>
      <c r="AY725" s="71">
        <f>IF(AND($AM725=1,OR($I725="Critical",$I725="High")),1,0)</f>
        <v>0</v>
      </c>
      <c r="AZ725" s="71">
        <f>IF(AND($AK725=1,OR($C725=TCL_Client,$C725=MECCA_Client)),1,0)</f>
        <v>0</v>
      </c>
      <c r="BA725" s="71" t="str">
        <f>IF($G725="","",IFERROR(MATCH($I725,lst_Priority,0),5))</f>
        <v/>
      </c>
      <c r="BB725" s="71" t="str">
        <f>IF(AND($AL725=1,$AJ725=1),$BA725*100000+ROW(),"")</f>
        <v/>
      </c>
      <c r="BC725" s="71" t="str">
        <f>IF(AND($AM725=1,$AJ725=1),$BA725*100000+ROW(),"")</f>
        <v/>
      </c>
      <c r="BD725" s="71" t="str">
        <f>IF(AND($AP725=1,$AJ725=1),$BA725*100000+ROW(),"")</f>
        <v/>
      </c>
      <c r="BE725" s="71" t="str">
        <f>IF(AND($AT725=1,$AJ725=1),$BA725*100000+ROW(),"")</f>
        <v/>
      </c>
      <c r="BF725" s="71" t="str">
        <f>IF(AND($AU725=1,$AJ725=1),$BA725*100000+ROW(),"")</f>
        <v/>
      </c>
      <c r="BG725" s="71" t="str">
        <f>IF(AND($AV725=1,$AJ725=1),$BA725*100000+ROW(),"")</f>
        <v/>
      </c>
      <c r="BH725" s="71" t="str">
        <f>IF(AND($AW725=1,$AJ725=1),$BA725*100000+ROW(),"")</f>
        <v/>
      </c>
      <c r="BI725" s="71" t="str">
        <f>IF(AND($AX725=1,$AJ725=1),$BA725*100000+ROW(),"")</f>
        <v/>
      </c>
      <c r="BJ725" s="71" t="str">
        <f>IF(AND($AS725=1,$AJ725=1),$BA725*100000+ROW(),"")</f>
        <v/>
      </c>
      <c r="BK725" s="71" t="str">
        <f>IF(AND($AY725=1,$AJ725=1),$BA725*100000+ROW(),"")</f>
        <v/>
      </c>
      <c r="BL725" s="71" t="str">
        <f>IF(AND($AZ725=1),$BA725*100000+ROW(),"")</f>
        <v/>
      </c>
    </row>
    <row r="726">
      <c r="A726" s="63" t="n"/>
      <c r="B726" s="64" t="n"/>
      <c r="C726" s="64" t="n"/>
      <c r="D726" s="64" t="n"/>
      <c r="E726" s="64" t="n"/>
      <c r="F726" s="64" t="n"/>
      <c r="G726" s="65" t="n"/>
      <c r="H726" s="65" t="n"/>
      <c r="I726" s="64" t="n"/>
      <c r="J726" s="64" t="n"/>
      <c r="K726" s="63" t="n"/>
      <c r="L726" s="63" t="n"/>
      <c r="M726" s="64" t="n"/>
      <c r="N726" s="66" t="n"/>
      <c r="O726" s="65" t="n"/>
      <c r="P726" s="64" t="n"/>
      <c r="Q726" s="67" t="n"/>
      <c r="R726" s="67" t="n"/>
      <c r="S726" s="68" t="str">
        <f>IF(AND(ISNUMBER($Q726),ISNUMBER($R726)),$Q726-$R726,"")</f>
        <v/>
      </c>
      <c r="T726" s="65" t="n"/>
      <c r="U726" s="64" t="n"/>
      <c r="V726" s="65" t="n"/>
      <c r="W726" s="63" t="n"/>
      <c r="X726" s="65" t="n"/>
      <c r="Y726" s="63" t="n"/>
      <c r="Z726" s="64" t="n"/>
      <c r="AA726" s="64" t="n"/>
      <c r="AB726" s="65" t="n"/>
      <c r="AC726" s="69" t="str">
        <f>IF(OR($G726="",NOT(ISNUMBER($K726)),$AK726=0),"",MAX(0,ReportDate-$K726))</f>
        <v/>
      </c>
      <c r="AD726" s="69" t="str">
        <f>IF($G726="","",IF($AL726=1,ReportDate-$L726,0))</f>
        <v/>
      </c>
      <c r="AE726" s="70" t="str">
        <f>IF($G726="","",IF($M726="Completed",1,IF(ISNUMBER($N726),$N726,0)))</f>
        <v/>
      </c>
      <c r="AF726" s="70" t="str">
        <f>IF(AND(ISNUMBER($Q726),ISNUMBER($R726)),IF($R726&lt;&gt;0,$Q726/$R726,""),"")</f>
        <v/>
      </c>
      <c r="AG726" s="71" t="str">
        <f>IF($G726="","",IF($AL726=1,"OVERDUE",IF($AM726=1,"BLOCKED",IF($AN726=1,"DUE TODAY",IF($AO726=1,"DUE TOMORROW",IF($AQ726=1,"HIGH PRIORITY",IF($AR726=1,"NO RECENT UPDATE",""))))))) </f>
        <v/>
      </c>
      <c r="AH726" s="71" t="str">
        <f>IF($G726="","",IF(ISNUMBER($A726),IF(ISNUMBER($A726),YEAR($A726)&amp;"-"&amp;TEXT(MONTH($A726),"00"),""),IF(ISNUMBER($L726),IF(ISNUMBER($L726),YEAR($L726)&amp;"-"&amp;TEXT(MONTH($L726),"00"),""),"")))</f>
        <v/>
      </c>
      <c r="AI726" s="71">
        <f>IF($G726="",0,IF(AND(OR(fClient="All",$C726=fClient),OR(fCampaign="All",$D726=fCampaign),OR(fTeam="All",$B726=fTeam),OR(fChannel="All",$F726=fChannel),OR(fMonth="All",$AH726=fMonth),OR(fTStatus="All",$M726=fTStatus)),1,0))</f>
        <v>0</v>
      </c>
      <c r="AJ726" s="71">
        <f>IF($G726="",0,IF(AND(OR(fClient="All",$C726=fClient),OR(fCampaign="All",$D726=fCampaign),OR(fTeam="All",$B726=fTeam),OR(fChannel="All",$F726=fChannel)),1,0))</f>
        <v>0</v>
      </c>
      <c r="AK726" s="71">
        <f>IF($G726="",0,IF(OR($M726="Completed",$M726="Cancelled"),0,1))</f>
        <v>0</v>
      </c>
      <c r="AL726" s="71">
        <f>IF(AND($AK726=1,ISNUMBER($L726)),IF($L726&lt;ReportDate,1,0),0)</f>
        <v>0</v>
      </c>
      <c r="AM726" s="71">
        <f>IF(AND($G726&lt;&gt;"",$M726="Blocked"),1,0)</f>
        <v>0</v>
      </c>
      <c r="AN726" s="71">
        <f>IF(AND($AK726=1,ISNUMBER($L726)),IF($L726=ReportDate,1,0),0)</f>
        <v>0</v>
      </c>
      <c r="AO726" s="71">
        <f>IF(AND($AK726=1,ISNUMBER($L726)),IF($L726=ReportDate+1,1,0),0)</f>
        <v>0</v>
      </c>
      <c r="AP726" s="71">
        <f>IF(AND($AK726=1,ISNUMBER($L726)),IF(AND($L726&gt;=ReportDate,$L726&lt;=ReportDate+DueSoonDays),1,0),0)</f>
        <v>0</v>
      </c>
      <c r="AQ726" s="71">
        <f>IF(AND($AK726=1,OR($I726="Critical",$I726="High")),1,0)</f>
        <v>0</v>
      </c>
      <c r="AR726" s="71">
        <f>IF($AK726=1,IF(ISNUMBER($Y726),IF(ReportDate-$Y726&gt;StaleDays,1,0),1),0)</f>
        <v>0</v>
      </c>
      <c r="AS726" s="71">
        <f>IF(AND($G726&lt;&gt;"",ISNUMBER($Q726),ISNUMBER($R726)),IF(AND($Q726&lt;$R726,OR($M726="Completed",AND(ISNUMBER($L726),$L726&lt;ReportDate))),1,0),0)</f>
        <v>0</v>
      </c>
      <c r="AT726" s="71">
        <f>IF($AK726=1,IF(OR($L726=ReportDate,$W726=ReportDate,$K726=ReportDate,$A726=ReportDate),1,0),0)</f>
        <v>0</v>
      </c>
      <c r="AU726" s="71">
        <f>IF($AK726=1,IF(OR($L726=ReportDate+1,$W726=ReportDate+1,$K726=ReportDate+1,$A726=ReportDate+1),1,0),0)</f>
        <v>0</v>
      </c>
      <c r="AV726" s="71">
        <f>IF(AND($G726&lt;&gt;"",$M726="Completed"),IF(OR($Y726=ReportDate-1,$A726=ReportDate-1),1,0),0)</f>
        <v>0</v>
      </c>
      <c r="AW726" s="71">
        <f>IF(AND($AK726=1,$Z726="Yes"),1,0)</f>
        <v>0</v>
      </c>
      <c r="AX726" s="71">
        <f>IF(AND($AK726=1,$AA726="Yes"),1,0)</f>
        <v>0</v>
      </c>
      <c r="AY726" s="71">
        <f>IF(AND($AM726=1,OR($I726="Critical",$I726="High")),1,0)</f>
        <v>0</v>
      </c>
      <c r="AZ726" s="71">
        <f>IF(AND($AK726=1,OR($C726=TCL_Client,$C726=MECCA_Client)),1,0)</f>
        <v>0</v>
      </c>
      <c r="BA726" s="71" t="str">
        <f>IF($G726="","",IFERROR(MATCH($I726,lst_Priority,0),5))</f>
        <v/>
      </c>
      <c r="BB726" s="71" t="str">
        <f>IF(AND($AL726=1,$AJ726=1),$BA726*100000+ROW(),"")</f>
        <v/>
      </c>
      <c r="BC726" s="71" t="str">
        <f>IF(AND($AM726=1,$AJ726=1),$BA726*100000+ROW(),"")</f>
        <v/>
      </c>
      <c r="BD726" s="71" t="str">
        <f>IF(AND($AP726=1,$AJ726=1),$BA726*100000+ROW(),"")</f>
        <v/>
      </c>
      <c r="BE726" s="71" t="str">
        <f>IF(AND($AT726=1,$AJ726=1),$BA726*100000+ROW(),"")</f>
        <v/>
      </c>
      <c r="BF726" s="71" t="str">
        <f>IF(AND($AU726=1,$AJ726=1),$BA726*100000+ROW(),"")</f>
        <v/>
      </c>
      <c r="BG726" s="71" t="str">
        <f>IF(AND($AV726=1,$AJ726=1),$BA726*100000+ROW(),"")</f>
        <v/>
      </c>
      <c r="BH726" s="71" t="str">
        <f>IF(AND($AW726=1,$AJ726=1),$BA726*100000+ROW(),"")</f>
        <v/>
      </c>
      <c r="BI726" s="71" t="str">
        <f>IF(AND($AX726=1,$AJ726=1),$BA726*100000+ROW(),"")</f>
        <v/>
      </c>
      <c r="BJ726" s="71" t="str">
        <f>IF(AND($AS726=1,$AJ726=1),$BA726*100000+ROW(),"")</f>
        <v/>
      </c>
      <c r="BK726" s="71" t="str">
        <f>IF(AND($AY726=1,$AJ726=1),$BA726*100000+ROW(),"")</f>
        <v/>
      </c>
      <c r="BL726" s="71" t="str">
        <f>IF(AND($AZ726=1),$BA726*100000+ROW(),"")</f>
        <v/>
      </c>
    </row>
    <row r="727">
      <c r="A727" s="63" t="n"/>
      <c r="B727" s="64" t="n"/>
      <c r="C727" s="64" t="n"/>
      <c r="D727" s="64" t="n"/>
      <c r="E727" s="64" t="n"/>
      <c r="F727" s="64" t="n"/>
      <c r="G727" s="65" t="n"/>
      <c r="H727" s="65" t="n"/>
      <c r="I727" s="64" t="n"/>
      <c r="J727" s="64" t="n"/>
      <c r="K727" s="63" t="n"/>
      <c r="L727" s="63" t="n"/>
      <c r="M727" s="64" t="n"/>
      <c r="N727" s="66" t="n"/>
      <c r="O727" s="65" t="n"/>
      <c r="P727" s="64" t="n"/>
      <c r="Q727" s="67" t="n"/>
      <c r="R727" s="67" t="n"/>
      <c r="S727" s="68" t="str">
        <f>IF(AND(ISNUMBER($Q727),ISNUMBER($R727)),$Q727-$R727,"")</f>
        <v/>
      </c>
      <c r="T727" s="65" t="n"/>
      <c r="U727" s="64" t="n"/>
      <c r="V727" s="65" t="n"/>
      <c r="W727" s="63" t="n"/>
      <c r="X727" s="65" t="n"/>
      <c r="Y727" s="63" t="n"/>
      <c r="Z727" s="64" t="n"/>
      <c r="AA727" s="64" t="n"/>
      <c r="AB727" s="65" t="n"/>
      <c r="AC727" s="69" t="str">
        <f>IF(OR($G727="",NOT(ISNUMBER($K727)),$AK727=0),"",MAX(0,ReportDate-$K727))</f>
        <v/>
      </c>
      <c r="AD727" s="69" t="str">
        <f>IF($G727="","",IF($AL727=1,ReportDate-$L727,0))</f>
        <v/>
      </c>
      <c r="AE727" s="70" t="str">
        <f>IF($G727="","",IF($M727="Completed",1,IF(ISNUMBER($N727),$N727,0)))</f>
        <v/>
      </c>
      <c r="AF727" s="70" t="str">
        <f>IF(AND(ISNUMBER($Q727),ISNUMBER($R727)),IF($R727&lt;&gt;0,$Q727/$R727,""),"")</f>
        <v/>
      </c>
      <c r="AG727" s="71" t="str">
        <f>IF($G727="","",IF($AL727=1,"OVERDUE",IF($AM727=1,"BLOCKED",IF($AN727=1,"DUE TODAY",IF($AO727=1,"DUE TOMORROW",IF($AQ727=1,"HIGH PRIORITY",IF($AR727=1,"NO RECENT UPDATE",""))))))) </f>
        <v/>
      </c>
      <c r="AH727" s="71" t="str">
        <f>IF($G727="","",IF(ISNUMBER($A727),IF(ISNUMBER($A727),YEAR($A727)&amp;"-"&amp;TEXT(MONTH($A727),"00"),""),IF(ISNUMBER($L727),IF(ISNUMBER($L727),YEAR($L727)&amp;"-"&amp;TEXT(MONTH($L727),"00"),""),"")))</f>
        <v/>
      </c>
      <c r="AI727" s="71">
        <f>IF($G727="",0,IF(AND(OR(fClient="All",$C727=fClient),OR(fCampaign="All",$D727=fCampaign),OR(fTeam="All",$B727=fTeam),OR(fChannel="All",$F727=fChannel),OR(fMonth="All",$AH727=fMonth),OR(fTStatus="All",$M727=fTStatus)),1,0))</f>
        <v>0</v>
      </c>
      <c r="AJ727" s="71">
        <f>IF($G727="",0,IF(AND(OR(fClient="All",$C727=fClient),OR(fCampaign="All",$D727=fCampaign),OR(fTeam="All",$B727=fTeam),OR(fChannel="All",$F727=fChannel)),1,0))</f>
        <v>0</v>
      </c>
      <c r="AK727" s="71">
        <f>IF($G727="",0,IF(OR($M727="Completed",$M727="Cancelled"),0,1))</f>
        <v>0</v>
      </c>
      <c r="AL727" s="71">
        <f>IF(AND($AK727=1,ISNUMBER($L727)),IF($L727&lt;ReportDate,1,0),0)</f>
        <v>0</v>
      </c>
      <c r="AM727" s="71">
        <f>IF(AND($G727&lt;&gt;"",$M727="Blocked"),1,0)</f>
        <v>0</v>
      </c>
      <c r="AN727" s="71">
        <f>IF(AND($AK727=1,ISNUMBER($L727)),IF($L727=ReportDate,1,0),0)</f>
        <v>0</v>
      </c>
      <c r="AO727" s="71">
        <f>IF(AND($AK727=1,ISNUMBER($L727)),IF($L727=ReportDate+1,1,0),0)</f>
        <v>0</v>
      </c>
      <c r="AP727" s="71">
        <f>IF(AND($AK727=1,ISNUMBER($L727)),IF(AND($L727&gt;=ReportDate,$L727&lt;=ReportDate+DueSoonDays),1,0),0)</f>
        <v>0</v>
      </c>
      <c r="AQ727" s="71">
        <f>IF(AND($AK727=1,OR($I727="Critical",$I727="High")),1,0)</f>
        <v>0</v>
      </c>
      <c r="AR727" s="71">
        <f>IF($AK727=1,IF(ISNUMBER($Y727),IF(ReportDate-$Y727&gt;StaleDays,1,0),1),0)</f>
        <v>0</v>
      </c>
      <c r="AS727" s="71">
        <f>IF(AND($G727&lt;&gt;"",ISNUMBER($Q727),ISNUMBER($R727)),IF(AND($Q727&lt;$R727,OR($M727="Completed",AND(ISNUMBER($L727),$L727&lt;ReportDate))),1,0),0)</f>
        <v>0</v>
      </c>
      <c r="AT727" s="71">
        <f>IF($AK727=1,IF(OR($L727=ReportDate,$W727=ReportDate,$K727=ReportDate,$A727=ReportDate),1,0),0)</f>
        <v>0</v>
      </c>
      <c r="AU727" s="71">
        <f>IF($AK727=1,IF(OR($L727=ReportDate+1,$W727=ReportDate+1,$K727=ReportDate+1,$A727=ReportDate+1),1,0),0)</f>
        <v>0</v>
      </c>
      <c r="AV727" s="71">
        <f>IF(AND($G727&lt;&gt;"",$M727="Completed"),IF(OR($Y727=ReportDate-1,$A727=ReportDate-1),1,0),0)</f>
        <v>0</v>
      </c>
      <c r="AW727" s="71">
        <f>IF(AND($AK727=1,$Z727="Yes"),1,0)</f>
        <v>0</v>
      </c>
      <c r="AX727" s="71">
        <f>IF(AND($AK727=1,$AA727="Yes"),1,0)</f>
        <v>0</v>
      </c>
      <c r="AY727" s="71">
        <f>IF(AND($AM727=1,OR($I727="Critical",$I727="High")),1,0)</f>
        <v>0</v>
      </c>
      <c r="AZ727" s="71">
        <f>IF(AND($AK727=1,OR($C727=TCL_Client,$C727=MECCA_Client)),1,0)</f>
        <v>0</v>
      </c>
      <c r="BA727" s="71" t="str">
        <f>IF($G727="","",IFERROR(MATCH($I727,lst_Priority,0),5))</f>
        <v/>
      </c>
      <c r="BB727" s="71" t="str">
        <f>IF(AND($AL727=1,$AJ727=1),$BA727*100000+ROW(),"")</f>
        <v/>
      </c>
      <c r="BC727" s="71" t="str">
        <f>IF(AND($AM727=1,$AJ727=1),$BA727*100000+ROW(),"")</f>
        <v/>
      </c>
      <c r="BD727" s="71" t="str">
        <f>IF(AND($AP727=1,$AJ727=1),$BA727*100000+ROW(),"")</f>
        <v/>
      </c>
      <c r="BE727" s="71" t="str">
        <f>IF(AND($AT727=1,$AJ727=1),$BA727*100000+ROW(),"")</f>
        <v/>
      </c>
      <c r="BF727" s="71" t="str">
        <f>IF(AND($AU727=1,$AJ727=1),$BA727*100000+ROW(),"")</f>
        <v/>
      </c>
      <c r="BG727" s="71" t="str">
        <f>IF(AND($AV727=1,$AJ727=1),$BA727*100000+ROW(),"")</f>
        <v/>
      </c>
      <c r="BH727" s="71" t="str">
        <f>IF(AND($AW727=1,$AJ727=1),$BA727*100000+ROW(),"")</f>
        <v/>
      </c>
      <c r="BI727" s="71" t="str">
        <f>IF(AND($AX727=1,$AJ727=1),$BA727*100000+ROW(),"")</f>
        <v/>
      </c>
      <c r="BJ727" s="71" t="str">
        <f>IF(AND($AS727=1,$AJ727=1),$BA727*100000+ROW(),"")</f>
        <v/>
      </c>
      <c r="BK727" s="71" t="str">
        <f>IF(AND($AY727=1,$AJ727=1),$BA727*100000+ROW(),"")</f>
        <v/>
      </c>
      <c r="BL727" s="71" t="str">
        <f>IF(AND($AZ727=1),$BA727*100000+ROW(),"")</f>
        <v/>
      </c>
    </row>
    <row r="728">
      <c r="A728" s="63" t="n"/>
      <c r="B728" s="64" t="n"/>
      <c r="C728" s="64" t="n"/>
      <c r="D728" s="64" t="n"/>
      <c r="E728" s="64" t="n"/>
      <c r="F728" s="64" t="n"/>
      <c r="G728" s="65" t="n"/>
      <c r="H728" s="65" t="n"/>
      <c r="I728" s="64" t="n"/>
      <c r="J728" s="64" t="n"/>
      <c r="K728" s="63" t="n"/>
      <c r="L728" s="63" t="n"/>
      <c r="M728" s="64" t="n"/>
      <c r="N728" s="66" t="n"/>
      <c r="O728" s="65" t="n"/>
      <c r="P728" s="64" t="n"/>
      <c r="Q728" s="67" t="n"/>
      <c r="R728" s="67" t="n"/>
      <c r="S728" s="68" t="str">
        <f>IF(AND(ISNUMBER($Q728),ISNUMBER($R728)),$Q728-$R728,"")</f>
        <v/>
      </c>
      <c r="T728" s="65" t="n"/>
      <c r="U728" s="64" t="n"/>
      <c r="V728" s="65" t="n"/>
      <c r="W728" s="63" t="n"/>
      <c r="X728" s="65" t="n"/>
      <c r="Y728" s="63" t="n"/>
      <c r="Z728" s="64" t="n"/>
      <c r="AA728" s="64" t="n"/>
      <c r="AB728" s="65" t="n"/>
      <c r="AC728" s="69" t="str">
        <f>IF(OR($G728="",NOT(ISNUMBER($K728)),$AK728=0),"",MAX(0,ReportDate-$K728))</f>
        <v/>
      </c>
      <c r="AD728" s="69" t="str">
        <f>IF($G728="","",IF($AL728=1,ReportDate-$L728,0))</f>
        <v/>
      </c>
      <c r="AE728" s="70" t="str">
        <f>IF($G728="","",IF($M728="Completed",1,IF(ISNUMBER($N728),$N728,0)))</f>
        <v/>
      </c>
      <c r="AF728" s="70" t="str">
        <f>IF(AND(ISNUMBER($Q728),ISNUMBER($R728)),IF($R728&lt;&gt;0,$Q728/$R728,""),"")</f>
        <v/>
      </c>
      <c r="AG728" s="71" t="str">
        <f>IF($G728="","",IF($AL728=1,"OVERDUE",IF($AM728=1,"BLOCKED",IF($AN728=1,"DUE TODAY",IF($AO728=1,"DUE TOMORROW",IF($AQ728=1,"HIGH PRIORITY",IF($AR728=1,"NO RECENT UPDATE",""))))))) </f>
        <v/>
      </c>
      <c r="AH728" s="71" t="str">
        <f>IF($G728="","",IF(ISNUMBER($A728),IF(ISNUMBER($A728),YEAR($A728)&amp;"-"&amp;TEXT(MONTH($A728),"00"),""),IF(ISNUMBER($L728),IF(ISNUMBER($L728),YEAR($L728)&amp;"-"&amp;TEXT(MONTH($L728),"00"),""),"")))</f>
        <v/>
      </c>
      <c r="AI728" s="71">
        <f>IF($G728="",0,IF(AND(OR(fClient="All",$C728=fClient),OR(fCampaign="All",$D728=fCampaign),OR(fTeam="All",$B728=fTeam),OR(fChannel="All",$F728=fChannel),OR(fMonth="All",$AH728=fMonth),OR(fTStatus="All",$M728=fTStatus)),1,0))</f>
        <v>0</v>
      </c>
      <c r="AJ728" s="71">
        <f>IF($G728="",0,IF(AND(OR(fClient="All",$C728=fClient),OR(fCampaign="All",$D728=fCampaign),OR(fTeam="All",$B728=fTeam),OR(fChannel="All",$F728=fChannel)),1,0))</f>
        <v>0</v>
      </c>
      <c r="AK728" s="71">
        <f>IF($G728="",0,IF(OR($M728="Completed",$M728="Cancelled"),0,1))</f>
        <v>0</v>
      </c>
      <c r="AL728" s="71">
        <f>IF(AND($AK728=1,ISNUMBER($L728)),IF($L728&lt;ReportDate,1,0),0)</f>
        <v>0</v>
      </c>
      <c r="AM728" s="71">
        <f>IF(AND($G728&lt;&gt;"",$M728="Blocked"),1,0)</f>
        <v>0</v>
      </c>
      <c r="AN728" s="71">
        <f>IF(AND($AK728=1,ISNUMBER($L728)),IF($L728=ReportDate,1,0),0)</f>
        <v>0</v>
      </c>
      <c r="AO728" s="71">
        <f>IF(AND($AK728=1,ISNUMBER($L728)),IF($L728=ReportDate+1,1,0),0)</f>
        <v>0</v>
      </c>
      <c r="AP728" s="71">
        <f>IF(AND($AK728=1,ISNUMBER($L728)),IF(AND($L728&gt;=ReportDate,$L728&lt;=ReportDate+DueSoonDays),1,0),0)</f>
        <v>0</v>
      </c>
      <c r="AQ728" s="71">
        <f>IF(AND($AK728=1,OR($I728="Critical",$I728="High")),1,0)</f>
        <v>0</v>
      </c>
      <c r="AR728" s="71">
        <f>IF($AK728=1,IF(ISNUMBER($Y728),IF(ReportDate-$Y728&gt;StaleDays,1,0),1),0)</f>
        <v>0</v>
      </c>
      <c r="AS728" s="71">
        <f>IF(AND($G728&lt;&gt;"",ISNUMBER($Q728),ISNUMBER($R728)),IF(AND($Q728&lt;$R728,OR($M728="Completed",AND(ISNUMBER($L728),$L728&lt;ReportDate))),1,0),0)</f>
        <v>0</v>
      </c>
      <c r="AT728" s="71">
        <f>IF($AK728=1,IF(OR($L728=ReportDate,$W728=ReportDate,$K728=ReportDate,$A728=ReportDate),1,0),0)</f>
        <v>0</v>
      </c>
      <c r="AU728" s="71">
        <f>IF($AK728=1,IF(OR($L728=ReportDate+1,$W728=ReportDate+1,$K728=ReportDate+1,$A728=ReportDate+1),1,0),0)</f>
        <v>0</v>
      </c>
      <c r="AV728" s="71">
        <f>IF(AND($G728&lt;&gt;"",$M728="Completed"),IF(OR($Y728=ReportDate-1,$A728=ReportDate-1),1,0),0)</f>
        <v>0</v>
      </c>
      <c r="AW728" s="71">
        <f>IF(AND($AK728=1,$Z728="Yes"),1,0)</f>
        <v>0</v>
      </c>
      <c r="AX728" s="71">
        <f>IF(AND($AK728=1,$AA728="Yes"),1,0)</f>
        <v>0</v>
      </c>
      <c r="AY728" s="71">
        <f>IF(AND($AM728=1,OR($I728="Critical",$I728="High")),1,0)</f>
        <v>0</v>
      </c>
      <c r="AZ728" s="71">
        <f>IF(AND($AK728=1,OR($C728=TCL_Client,$C728=MECCA_Client)),1,0)</f>
        <v>0</v>
      </c>
      <c r="BA728" s="71" t="str">
        <f>IF($G728="","",IFERROR(MATCH($I728,lst_Priority,0),5))</f>
        <v/>
      </c>
      <c r="BB728" s="71" t="str">
        <f>IF(AND($AL728=1,$AJ728=1),$BA728*100000+ROW(),"")</f>
        <v/>
      </c>
      <c r="BC728" s="71" t="str">
        <f>IF(AND($AM728=1,$AJ728=1),$BA728*100000+ROW(),"")</f>
        <v/>
      </c>
      <c r="BD728" s="71" t="str">
        <f>IF(AND($AP728=1,$AJ728=1),$BA728*100000+ROW(),"")</f>
        <v/>
      </c>
      <c r="BE728" s="71" t="str">
        <f>IF(AND($AT728=1,$AJ728=1),$BA728*100000+ROW(),"")</f>
        <v/>
      </c>
      <c r="BF728" s="71" t="str">
        <f>IF(AND($AU728=1,$AJ728=1),$BA728*100000+ROW(),"")</f>
        <v/>
      </c>
      <c r="BG728" s="71" t="str">
        <f>IF(AND($AV728=1,$AJ728=1),$BA728*100000+ROW(),"")</f>
        <v/>
      </c>
      <c r="BH728" s="71" t="str">
        <f>IF(AND($AW728=1,$AJ728=1),$BA728*100000+ROW(),"")</f>
        <v/>
      </c>
      <c r="BI728" s="71" t="str">
        <f>IF(AND($AX728=1,$AJ728=1),$BA728*100000+ROW(),"")</f>
        <v/>
      </c>
      <c r="BJ728" s="71" t="str">
        <f>IF(AND($AS728=1,$AJ728=1),$BA728*100000+ROW(),"")</f>
        <v/>
      </c>
      <c r="BK728" s="71" t="str">
        <f>IF(AND($AY728=1,$AJ728=1),$BA728*100000+ROW(),"")</f>
        <v/>
      </c>
      <c r="BL728" s="71" t="str">
        <f>IF(AND($AZ728=1),$BA728*100000+ROW(),"")</f>
        <v/>
      </c>
    </row>
    <row r="729">
      <c r="A729" s="63" t="n"/>
      <c r="B729" s="64" t="n"/>
      <c r="C729" s="64" t="n"/>
      <c r="D729" s="64" t="n"/>
      <c r="E729" s="64" t="n"/>
      <c r="F729" s="64" t="n"/>
      <c r="G729" s="65" t="n"/>
      <c r="H729" s="65" t="n"/>
      <c r="I729" s="64" t="n"/>
      <c r="J729" s="64" t="n"/>
      <c r="K729" s="63" t="n"/>
      <c r="L729" s="63" t="n"/>
      <c r="M729" s="64" t="n"/>
      <c r="N729" s="66" t="n"/>
      <c r="O729" s="65" t="n"/>
      <c r="P729" s="64" t="n"/>
      <c r="Q729" s="67" t="n"/>
      <c r="R729" s="67" t="n"/>
      <c r="S729" s="68" t="str">
        <f>IF(AND(ISNUMBER($Q729),ISNUMBER($R729)),$Q729-$R729,"")</f>
        <v/>
      </c>
      <c r="T729" s="65" t="n"/>
      <c r="U729" s="64" t="n"/>
      <c r="V729" s="65" t="n"/>
      <c r="W729" s="63" t="n"/>
      <c r="X729" s="65" t="n"/>
      <c r="Y729" s="63" t="n"/>
      <c r="Z729" s="64" t="n"/>
      <c r="AA729" s="64" t="n"/>
      <c r="AB729" s="65" t="n"/>
      <c r="AC729" s="69" t="str">
        <f>IF(OR($G729="",NOT(ISNUMBER($K729)),$AK729=0),"",MAX(0,ReportDate-$K729))</f>
        <v/>
      </c>
      <c r="AD729" s="69" t="str">
        <f>IF($G729="","",IF($AL729=1,ReportDate-$L729,0))</f>
        <v/>
      </c>
      <c r="AE729" s="70" t="str">
        <f>IF($G729="","",IF($M729="Completed",1,IF(ISNUMBER($N729),$N729,0)))</f>
        <v/>
      </c>
      <c r="AF729" s="70" t="str">
        <f>IF(AND(ISNUMBER($Q729),ISNUMBER($R729)),IF($R729&lt;&gt;0,$Q729/$R729,""),"")</f>
        <v/>
      </c>
      <c r="AG729" s="71" t="str">
        <f>IF($G729="","",IF($AL729=1,"OVERDUE",IF($AM729=1,"BLOCKED",IF($AN729=1,"DUE TODAY",IF($AO729=1,"DUE TOMORROW",IF($AQ729=1,"HIGH PRIORITY",IF($AR729=1,"NO RECENT UPDATE",""))))))) </f>
        <v/>
      </c>
      <c r="AH729" s="71" t="str">
        <f>IF($G729="","",IF(ISNUMBER($A729),IF(ISNUMBER($A729),YEAR($A729)&amp;"-"&amp;TEXT(MONTH($A729),"00"),""),IF(ISNUMBER($L729),IF(ISNUMBER($L729),YEAR($L729)&amp;"-"&amp;TEXT(MONTH($L729),"00"),""),"")))</f>
        <v/>
      </c>
      <c r="AI729" s="71">
        <f>IF($G729="",0,IF(AND(OR(fClient="All",$C729=fClient),OR(fCampaign="All",$D729=fCampaign),OR(fTeam="All",$B729=fTeam),OR(fChannel="All",$F729=fChannel),OR(fMonth="All",$AH729=fMonth),OR(fTStatus="All",$M729=fTStatus)),1,0))</f>
        <v>0</v>
      </c>
      <c r="AJ729" s="71">
        <f>IF($G729="",0,IF(AND(OR(fClient="All",$C729=fClient),OR(fCampaign="All",$D729=fCampaign),OR(fTeam="All",$B729=fTeam),OR(fChannel="All",$F729=fChannel)),1,0))</f>
        <v>0</v>
      </c>
      <c r="AK729" s="71">
        <f>IF($G729="",0,IF(OR($M729="Completed",$M729="Cancelled"),0,1))</f>
        <v>0</v>
      </c>
      <c r="AL729" s="71">
        <f>IF(AND($AK729=1,ISNUMBER($L729)),IF($L729&lt;ReportDate,1,0),0)</f>
        <v>0</v>
      </c>
      <c r="AM729" s="71">
        <f>IF(AND($G729&lt;&gt;"",$M729="Blocked"),1,0)</f>
        <v>0</v>
      </c>
      <c r="AN729" s="71">
        <f>IF(AND($AK729=1,ISNUMBER($L729)),IF($L729=ReportDate,1,0),0)</f>
        <v>0</v>
      </c>
      <c r="AO729" s="71">
        <f>IF(AND($AK729=1,ISNUMBER($L729)),IF($L729=ReportDate+1,1,0),0)</f>
        <v>0</v>
      </c>
      <c r="AP729" s="71">
        <f>IF(AND($AK729=1,ISNUMBER($L729)),IF(AND($L729&gt;=ReportDate,$L729&lt;=ReportDate+DueSoonDays),1,0),0)</f>
        <v>0</v>
      </c>
      <c r="AQ729" s="71">
        <f>IF(AND($AK729=1,OR($I729="Critical",$I729="High")),1,0)</f>
        <v>0</v>
      </c>
      <c r="AR729" s="71">
        <f>IF($AK729=1,IF(ISNUMBER($Y729),IF(ReportDate-$Y729&gt;StaleDays,1,0),1),0)</f>
        <v>0</v>
      </c>
      <c r="AS729" s="71">
        <f>IF(AND($G729&lt;&gt;"",ISNUMBER($Q729),ISNUMBER($R729)),IF(AND($Q729&lt;$R729,OR($M729="Completed",AND(ISNUMBER($L729),$L729&lt;ReportDate))),1,0),0)</f>
        <v>0</v>
      </c>
      <c r="AT729" s="71">
        <f>IF($AK729=1,IF(OR($L729=ReportDate,$W729=ReportDate,$K729=ReportDate,$A729=ReportDate),1,0),0)</f>
        <v>0</v>
      </c>
      <c r="AU729" s="71">
        <f>IF($AK729=1,IF(OR($L729=ReportDate+1,$W729=ReportDate+1,$K729=ReportDate+1,$A729=ReportDate+1),1,0),0)</f>
        <v>0</v>
      </c>
      <c r="AV729" s="71">
        <f>IF(AND($G729&lt;&gt;"",$M729="Completed"),IF(OR($Y729=ReportDate-1,$A729=ReportDate-1),1,0),0)</f>
        <v>0</v>
      </c>
      <c r="AW729" s="71">
        <f>IF(AND($AK729=1,$Z729="Yes"),1,0)</f>
        <v>0</v>
      </c>
      <c r="AX729" s="71">
        <f>IF(AND($AK729=1,$AA729="Yes"),1,0)</f>
        <v>0</v>
      </c>
      <c r="AY729" s="71">
        <f>IF(AND($AM729=1,OR($I729="Critical",$I729="High")),1,0)</f>
        <v>0</v>
      </c>
      <c r="AZ729" s="71">
        <f>IF(AND($AK729=1,OR($C729=TCL_Client,$C729=MECCA_Client)),1,0)</f>
        <v>0</v>
      </c>
      <c r="BA729" s="71" t="str">
        <f>IF($G729="","",IFERROR(MATCH($I729,lst_Priority,0),5))</f>
        <v/>
      </c>
      <c r="BB729" s="71" t="str">
        <f>IF(AND($AL729=1,$AJ729=1),$BA729*100000+ROW(),"")</f>
        <v/>
      </c>
      <c r="BC729" s="71" t="str">
        <f>IF(AND($AM729=1,$AJ729=1),$BA729*100000+ROW(),"")</f>
        <v/>
      </c>
      <c r="BD729" s="71" t="str">
        <f>IF(AND($AP729=1,$AJ729=1),$BA729*100000+ROW(),"")</f>
        <v/>
      </c>
      <c r="BE729" s="71" t="str">
        <f>IF(AND($AT729=1,$AJ729=1),$BA729*100000+ROW(),"")</f>
        <v/>
      </c>
      <c r="BF729" s="71" t="str">
        <f>IF(AND($AU729=1,$AJ729=1),$BA729*100000+ROW(),"")</f>
        <v/>
      </c>
      <c r="BG729" s="71" t="str">
        <f>IF(AND($AV729=1,$AJ729=1),$BA729*100000+ROW(),"")</f>
        <v/>
      </c>
      <c r="BH729" s="71" t="str">
        <f>IF(AND($AW729=1,$AJ729=1),$BA729*100000+ROW(),"")</f>
        <v/>
      </c>
      <c r="BI729" s="71" t="str">
        <f>IF(AND($AX729=1,$AJ729=1),$BA729*100000+ROW(),"")</f>
        <v/>
      </c>
      <c r="BJ729" s="71" t="str">
        <f>IF(AND($AS729=1,$AJ729=1),$BA729*100000+ROW(),"")</f>
        <v/>
      </c>
      <c r="BK729" s="71" t="str">
        <f>IF(AND($AY729=1,$AJ729=1),$BA729*100000+ROW(),"")</f>
        <v/>
      </c>
      <c r="BL729" s="71" t="str">
        <f>IF(AND($AZ729=1),$BA729*100000+ROW(),"")</f>
        <v/>
      </c>
    </row>
    <row r="730">
      <c r="A730" s="63" t="n"/>
      <c r="B730" s="64" t="n"/>
      <c r="C730" s="64" t="n"/>
      <c r="D730" s="64" t="n"/>
      <c r="E730" s="64" t="n"/>
      <c r="F730" s="64" t="n"/>
      <c r="G730" s="65" t="n"/>
      <c r="H730" s="65" t="n"/>
      <c r="I730" s="64" t="n"/>
      <c r="J730" s="64" t="n"/>
      <c r="K730" s="63" t="n"/>
      <c r="L730" s="63" t="n"/>
      <c r="M730" s="64" t="n"/>
      <c r="N730" s="66" t="n"/>
      <c r="O730" s="65" t="n"/>
      <c r="P730" s="64" t="n"/>
      <c r="Q730" s="67" t="n"/>
      <c r="R730" s="67" t="n"/>
      <c r="S730" s="68" t="str">
        <f>IF(AND(ISNUMBER($Q730),ISNUMBER($R730)),$Q730-$R730,"")</f>
        <v/>
      </c>
      <c r="T730" s="65" t="n"/>
      <c r="U730" s="64" t="n"/>
      <c r="V730" s="65" t="n"/>
      <c r="W730" s="63" t="n"/>
      <c r="X730" s="65" t="n"/>
      <c r="Y730" s="63" t="n"/>
      <c r="Z730" s="64" t="n"/>
      <c r="AA730" s="64" t="n"/>
      <c r="AB730" s="65" t="n"/>
      <c r="AC730" s="69" t="str">
        <f>IF(OR($G730="",NOT(ISNUMBER($K730)),$AK730=0),"",MAX(0,ReportDate-$K730))</f>
        <v/>
      </c>
      <c r="AD730" s="69" t="str">
        <f>IF($G730="","",IF($AL730=1,ReportDate-$L730,0))</f>
        <v/>
      </c>
      <c r="AE730" s="70" t="str">
        <f>IF($G730="","",IF($M730="Completed",1,IF(ISNUMBER($N730),$N730,0)))</f>
        <v/>
      </c>
      <c r="AF730" s="70" t="str">
        <f>IF(AND(ISNUMBER($Q730),ISNUMBER($R730)),IF($R730&lt;&gt;0,$Q730/$R730,""),"")</f>
        <v/>
      </c>
      <c r="AG730" s="71" t="str">
        <f>IF($G730="","",IF($AL730=1,"OVERDUE",IF($AM730=1,"BLOCKED",IF($AN730=1,"DUE TODAY",IF($AO730=1,"DUE TOMORROW",IF($AQ730=1,"HIGH PRIORITY",IF($AR730=1,"NO RECENT UPDATE",""))))))) </f>
        <v/>
      </c>
      <c r="AH730" s="71" t="str">
        <f>IF($G730="","",IF(ISNUMBER($A730),IF(ISNUMBER($A730),YEAR($A730)&amp;"-"&amp;TEXT(MONTH($A730),"00"),""),IF(ISNUMBER($L730),IF(ISNUMBER($L730),YEAR($L730)&amp;"-"&amp;TEXT(MONTH($L730),"00"),""),"")))</f>
        <v/>
      </c>
      <c r="AI730" s="71">
        <f>IF($G730="",0,IF(AND(OR(fClient="All",$C730=fClient),OR(fCampaign="All",$D730=fCampaign),OR(fTeam="All",$B730=fTeam),OR(fChannel="All",$F730=fChannel),OR(fMonth="All",$AH730=fMonth),OR(fTStatus="All",$M730=fTStatus)),1,0))</f>
        <v>0</v>
      </c>
      <c r="AJ730" s="71">
        <f>IF($G730="",0,IF(AND(OR(fClient="All",$C730=fClient),OR(fCampaign="All",$D730=fCampaign),OR(fTeam="All",$B730=fTeam),OR(fChannel="All",$F730=fChannel)),1,0))</f>
        <v>0</v>
      </c>
      <c r="AK730" s="71">
        <f>IF($G730="",0,IF(OR($M730="Completed",$M730="Cancelled"),0,1))</f>
        <v>0</v>
      </c>
      <c r="AL730" s="71">
        <f>IF(AND($AK730=1,ISNUMBER($L730)),IF($L730&lt;ReportDate,1,0),0)</f>
        <v>0</v>
      </c>
      <c r="AM730" s="71">
        <f>IF(AND($G730&lt;&gt;"",$M730="Blocked"),1,0)</f>
        <v>0</v>
      </c>
      <c r="AN730" s="71">
        <f>IF(AND($AK730=1,ISNUMBER($L730)),IF($L730=ReportDate,1,0),0)</f>
        <v>0</v>
      </c>
      <c r="AO730" s="71">
        <f>IF(AND($AK730=1,ISNUMBER($L730)),IF($L730=ReportDate+1,1,0),0)</f>
        <v>0</v>
      </c>
      <c r="AP730" s="71">
        <f>IF(AND($AK730=1,ISNUMBER($L730)),IF(AND($L730&gt;=ReportDate,$L730&lt;=ReportDate+DueSoonDays),1,0),0)</f>
        <v>0</v>
      </c>
      <c r="AQ730" s="71">
        <f>IF(AND($AK730=1,OR($I730="Critical",$I730="High")),1,0)</f>
        <v>0</v>
      </c>
      <c r="AR730" s="71">
        <f>IF($AK730=1,IF(ISNUMBER($Y730),IF(ReportDate-$Y730&gt;StaleDays,1,0),1),0)</f>
        <v>0</v>
      </c>
      <c r="AS730" s="71">
        <f>IF(AND($G730&lt;&gt;"",ISNUMBER($Q730),ISNUMBER($R730)),IF(AND($Q730&lt;$R730,OR($M730="Completed",AND(ISNUMBER($L730),$L730&lt;ReportDate))),1,0),0)</f>
        <v>0</v>
      </c>
      <c r="AT730" s="71">
        <f>IF($AK730=1,IF(OR($L730=ReportDate,$W730=ReportDate,$K730=ReportDate,$A730=ReportDate),1,0),0)</f>
        <v>0</v>
      </c>
      <c r="AU730" s="71">
        <f>IF($AK730=1,IF(OR($L730=ReportDate+1,$W730=ReportDate+1,$K730=ReportDate+1,$A730=ReportDate+1),1,0),0)</f>
        <v>0</v>
      </c>
      <c r="AV730" s="71">
        <f>IF(AND($G730&lt;&gt;"",$M730="Completed"),IF(OR($Y730=ReportDate-1,$A730=ReportDate-1),1,0),0)</f>
        <v>0</v>
      </c>
      <c r="AW730" s="71">
        <f>IF(AND($AK730=1,$Z730="Yes"),1,0)</f>
        <v>0</v>
      </c>
      <c r="AX730" s="71">
        <f>IF(AND($AK730=1,$AA730="Yes"),1,0)</f>
        <v>0</v>
      </c>
      <c r="AY730" s="71">
        <f>IF(AND($AM730=1,OR($I730="Critical",$I730="High")),1,0)</f>
        <v>0</v>
      </c>
      <c r="AZ730" s="71">
        <f>IF(AND($AK730=1,OR($C730=TCL_Client,$C730=MECCA_Client)),1,0)</f>
        <v>0</v>
      </c>
      <c r="BA730" s="71" t="str">
        <f>IF($G730="","",IFERROR(MATCH($I730,lst_Priority,0),5))</f>
        <v/>
      </c>
      <c r="BB730" s="71" t="str">
        <f>IF(AND($AL730=1,$AJ730=1),$BA730*100000+ROW(),"")</f>
        <v/>
      </c>
      <c r="BC730" s="71" t="str">
        <f>IF(AND($AM730=1,$AJ730=1),$BA730*100000+ROW(),"")</f>
        <v/>
      </c>
      <c r="BD730" s="71" t="str">
        <f>IF(AND($AP730=1,$AJ730=1),$BA730*100000+ROW(),"")</f>
        <v/>
      </c>
      <c r="BE730" s="71" t="str">
        <f>IF(AND($AT730=1,$AJ730=1),$BA730*100000+ROW(),"")</f>
        <v/>
      </c>
      <c r="BF730" s="71" t="str">
        <f>IF(AND($AU730=1,$AJ730=1),$BA730*100000+ROW(),"")</f>
        <v/>
      </c>
      <c r="BG730" s="71" t="str">
        <f>IF(AND($AV730=1,$AJ730=1),$BA730*100000+ROW(),"")</f>
        <v/>
      </c>
      <c r="BH730" s="71" t="str">
        <f>IF(AND($AW730=1,$AJ730=1),$BA730*100000+ROW(),"")</f>
        <v/>
      </c>
      <c r="BI730" s="71" t="str">
        <f>IF(AND($AX730=1,$AJ730=1),$BA730*100000+ROW(),"")</f>
        <v/>
      </c>
      <c r="BJ730" s="71" t="str">
        <f>IF(AND($AS730=1,$AJ730=1),$BA730*100000+ROW(),"")</f>
        <v/>
      </c>
      <c r="BK730" s="71" t="str">
        <f>IF(AND($AY730=1,$AJ730=1),$BA730*100000+ROW(),"")</f>
        <v/>
      </c>
      <c r="BL730" s="71" t="str">
        <f>IF(AND($AZ730=1),$BA730*100000+ROW(),"")</f>
        <v/>
      </c>
    </row>
    <row r="731">
      <c r="A731" s="63" t="n"/>
      <c r="B731" s="64" t="n"/>
      <c r="C731" s="64" t="n"/>
      <c r="D731" s="64" t="n"/>
      <c r="E731" s="64" t="n"/>
      <c r="F731" s="64" t="n"/>
      <c r="G731" s="65" t="n"/>
      <c r="H731" s="65" t="n"/>
      <c r="I731" s="64" t="n"/>
      <c r="J731" s="64" t="n"/>
      <c r="K731" s="63" t="n"/>
      <c r="L731" s="63" t="n"/>
      <c r="M731" s="64" t="n"/>
      <c r="N731" s="66" t="n"/>
      <c r="O731" s="65" t="n"/>
      <c r="P731" s="64" t="n"/>
      <c r="Q731" s="67" t="n"/>
      <c r="R731" s="67" t="n"/>
      <c r="S731" s="68" t="str">
        <f>IF(AND(ISNUMBER($Q731),ISNUMBER($R731)),$Q731-$R731,"")</f>
        <v/>
      </c>
      <c r="T731" s="65" t="n"/>
      <c r="U731" s="64" t="n"/>
      <c r="V731" s="65" t="n"/>
      <c r="W731" s="63" t="n"/>
      <c r="X731" s="65" t="n"/>
      <c r="Y731" s="63" t="n"/>
      <c r="Z731" s="64" t="n"/>
      <c r="AA731" s="64" t="n"/>
      <c r="AB731" s="65" t="n"/>
      <c r="AC731" s="69" t="str">
        <f>IF(OR($G731="",NOT(ISNUMBER($K731)),$AK731=0),"",MAX(0,ReportDate-$K731))</f>
        <v/>
      </c>
      <c r="AD731" s="69" t="str">
        <f>IF($G731="","",IF($AL731=1,ReportDate-$L731,0))</f>
        <v/>
      </c>
      <c r="AE731" s="70" t="str">
        <f>IF($G731="","",IF($M731="Completed",1,IF(ISNUMBER($N731),$N731,0)))</f>
        <v/>
      </c>
      <c r="AF731" s="70" t="str">
        <f>IF(AND(ISNUMBER($Q731),ISNUMBER($R731)),IF($R731&lt;&gt;0,$Q731/$R731,""),"")</f>
        <v/>
      </c>
      <c r="AG731" s="71" t="str">
        <f>IF($G731="","",IF($AL731=1,"OVERDUE",IF($AM731=1,"BLOCKED",IF($AN731=1,"DUE TODAY",IF($AO731=1,"DUE TOMORROW",IF($AQ731=1,"HIGH PRIORITY",IF($AR731=1,"NO RECENT UPDATE",""))))))) </f>
        <v/>
      </c>
      <c r="AH731" s="71" t="str">
        <f>IF($G731="","",IF(ISNUMBER($A731),IF(ISNUMBER($A731),YEAR($A731)&amp;"-"&amp;TEXT(MONTH($A731),"00"),""),IF(ISNUMBER($L731),IF(ISNUMBER($L731),YEAR($L731)&amp;"-"&amp;TEXT(MONTH($L731),"00"),""),"")))</f>
        <v/>
      </c>
      <c r="AI731" s="71">
        <f>IF($G731="",0,IF(AND(OR(fClient="All",$C731=fClient),OR(fCampaign="All",$D731=fCampaign),OR(fTeam="All",$B731=fTeam),OR(fChannel="All",$F731=fChannel),OR(fMonth="All",$AH731=fMonth),OR(fTStatus="All",$M731=fTStatus)),1,0))</f>
        <v>0</v>
      </c>
      <c r="AJ731" s="71">
        <f>IF($G731="",0,IF(AND(OR(fClient="All",$C731=fClient),OR(fCampaign="All",$D731=fCampaign),OR(fTeam="All",$B731=fTeam),OR(fChannel="All",$F731=fChannel)),1,0))</f>
        <v>0</v>
      </c>
      <c r="AK731" s="71">
        <f>IF($G731="",0,IF(OR($M731="Completed",$M731="Cancelled"),0,1))</f>
        <v>0</v>
      </c>
      <c r="AL731" s="71">
        <f>IF(AND($AK731=1,ISNUMBER($L731)),IF($L731&lt;ReportDate,1,0),0)</f>
        <v>0</v>
      </c>
      <c r="AM731" s="71">
        <f>IF(AND($G731&lt;&gt;"",$M731="Blocked"),1,0)</f>
        <v>0</v>
      </c>
      <c r="AN731" s="71">
        <f>IF(AND($AK731=1,ISNUMBER($L731)),IF($L731=ReportDate,1,0),0)</f>
        <v>0</v>
      </c>
      <c r="AO731" s="71">
        <f>IF(AND($AK731=1,ISNUMBER($L731)),IF($L731=ReportDate+1,1,0),0)</f>
        <v>0</v>
      </c>
      <c r="AP731" s="71">
        <f>IF(AND($AK731=1,ISNUMBER($L731)),IF(AND($L731&gt;=ReportDate,$L731&lt;=ReportDate+DueSoonDays),1,0),0)</f>
        <v>0</v>
      </c>
      <c r="AQ731" s="71">
        <f>IF(AND($AK731=1,OR($I731="Critical",$I731="High")),1,0)</f>
        <v>0</v>
      </c>
      <c r="AR731" s="71">
        <f>IF($AK731=1,IF(ISNUMBER($Y731),IF(ReportDate-$Y731&gt;StaleDays,1,0),1),0)</f>
        <v>0</v>
      </c>
      <c r="AS731" s="71">
        <f>IF(AND($G731&lt;&gt;"",ISNUMBER($Q731),ISNUMBER($R731)),IF(AND($Q731&lt;$R731,OR($M731="Completed",AND(ISNUMBER($L731),$L731&lt;ReportDate))),1,0),0)</f>
        <v>0</v>
      </c>
      <c r="AT731" s="71">
        <f>IF($AK731=1,IF(OR($L731=ReportDate,$W731=ReportDate,$K731=ReportDate,$A731=ReportDate),1,0),0)</f>
        <v>0</v>
      </c>
      <c r="AU731" s="71">
        <f>IF($AK731=1,IF(OR($L731=ReportDate+1,$W731=ReportDate+1,$K731=ReportDate+1,$A731=ReportDate+1),1,0),0)</f>
        <v>0</v>
      </c>
      <c r="AV731" s="71">
        <f>IF(AND($G731&lt;&gt;"",$M731="Completed"),IF(OR($Y731=ReportDate-1,$A731=ReportDate-1),1,0),0)</f>
        <v>0</v>
      </c>
      <c r="AW731" s="71">
        <f>IF(AND($AK731=1,$Z731="Yes"),1,0)</f>
        <v>0</v>
      </c>
      <c r="AX731" s="71">
        <f>IF(AND($AK731=1,$AA731="Yes"),1,0)</f>
        <v>0</v>
      </c>
      <c r="AY731" s="71">
        <f>IF(AND($AM731=1,OR($I731="Critical",$I731="High")),1,0)</f>
        <v>0</v>
      </c>
      <c r="AZ731" s="71">
        <f>IF(AND($AK731=1,OR($C731=TCL_Client,$C731=MECCA_Client)),1,0)</f>
        <v>0</v>
      </c>
      <c r="BA731" s="71" t="str">
        <f>IF($G731="","",IFERROR(MATCH($I731,lst_Priority,0),5))</f>
        <v/>
      </c>
      <c r="BB731" s="71" t="str">
        <f>IF(AND($AL731=1,$AJ731=1),$BA731*100000+ROW(),"")</f>
        <v/>
      </c>
      <c r="BC731" s="71" t="str">
        <f>IF(AND($AM731=1,$AJ731=1),$BA731*100000+ROW(),"")</f>
        <v/>
      </c>
      <c r="BD731" s="71" t="str">
        <f>IF(AND($AP731=1,$AJ731=1),$BA731*100000+ROW(),"")</f>
        <v/>
      </c>
      <c r="BE731" s="71" t="str">
        <f>IF(AND($AT731=1,$AJ731=1),$BA731*100000+ROW(),"")</f>
        <v/>
      </c>
      <c r="BF731" s="71" t="str">
        <f>IF(AND($AU731=1,$AJ731=1),$BA731*100000+ROW(),"")</f>
        <v/>
      </c>
      <c r="BG731" s="71" t="str">
        <f>IF(AND($AV731=1,$AJ731=1),$BA731*100000+ROW(),"")</f>
        <v/>
      </c>
      <c r="BH731" s="71" t="str">
        <f>IF(AND($AW731=1,$AJ731=1),$BA731*100000+ROW(),"")</f>
        <v/>
      </c>
      <c r="BI731" s="71" t="str">
        <f>IF(AND($AX731=1,$AJ731=1),$BA731*100000+ROW(),"")</f>
        <v/>
      </c>
      <c r="BJ731" s="71" t="str">
        <f>IF(AND($AS731=1,$AJ731=1),$BA731*100000+ROW(),"")</f>
        <v/>
      </c>
      <c r="BK731" s="71" t="str">
        <f>IF(AND($AY731=1,$AJ731=1),$BA731*100000+ROW(),"")</f>
        <v/>
      </c>
      <c r="BL731" s="71" t="str">
        <f>IF(AND($AZ731=1),$BA731*100000+ROW(),"")</f>
        <v/>
      </c>
    </row>
    <row r="732">
      <c r="A732" s="63" t="n"/>
      <c r="B732" s="64" t="n"/>
      <c r="C732" s="64" t="n"/>
      <c r="D732" s="64" t="n"/>
      <c r="E732" s="64" t="n"/>
      <c r="F732" s="64" t="n"/>
      <c r="G732" s="65" t="n"/>
      <c r="H732" s="65" t="n"/>
      <c r="I732" s="64" t="n"/>
      <c r="J732" s="64" t="n"/>
      <c r="K732" s="63" t="n"/>
      <c r="L732" s="63" t="n"/>
      <c r="M732" s="64" t="n"/>
      <c r="N732" s="66" t="n"/>
      <c r="O732" s="65" t="n"/>
      <c r="P732" s="64" t="n"/>
      <c r="Q732" s="67" t="n"/>
      <c r="R732" s="67" t="n"/>
      <c r="S732" s="68" t="str">
        <f>IF(AND(ISNUMBER($Q732),ISNUMBER($R732)),$Q732-$R732,"")</f>
        <v/>
      </c>
      <c r="T732" s="65" t="n"/>
      <c r="U732" s="64" t="n"/>
      <c r="V732" s="65" t="n"/>
      <c r="W732" s="63" t="n"/>
      <c r="X732" s="65" t="n"/>
      <c r="Y732" s="63" t="n"/>
      <c r="Z732" s="64" t="n"/>
      <c r="AA732" s="64" t="n"/>
      <c r="AB732" s="65" t="n"/>
      <c r="AC732" s="69" t="str">
        <f>IF(OR($G732="",NOT(ISNUMBER($K732)),$AK732=0),"",MAX(0,ReportDate-$K732))</f>
        <v/>
      </c>
      <c r="AD732" s="69" t="str">
        <f>IF($G732="","",IF($AL732=1,ReportDate-$L732,0))</f>
        <v/>
      </c>
      <c r="AE732" s="70" t="str">
        <f>IF($G732="","",IF($M732="Completed",1,IF(ISNUMBER($N732),$N732,0)))</f>
        <v/>
      </c>
      <c r="AF732" s="70" t="str">
        <f>IF(AND(ISNUMBER($Q732),ISNUMBER($R732)),IF($R732&lt;&gt;0,$Q732/$R732,""),"")</f>
        <v/>
      </c>
      <c r="AG732" s="71" t="str">
        <f>IF($G732="","",IF($AL732=1,"OVERDUE",IF($AM732=1,"BLOCKED",IF($AN732=1,"DUE TODAY",IF($AO732=1,"DUE TOMORROW",IF($AQ732=1,"HIGH PRIORITY",IF($AR732=1,"NO RECENT UPDATE",""))))))) </f>
        <v/>
      </c>
      <c r="AH732" s="71" t="str">
        <f>IF($G732="","",IF(ISNUMBER($A732),IF(ISNUMBER($A732),YEAR($A732)&amp;"-"&amp;TEXT(MONTH($A732),"00"),""),IF(ISNUMBER($L732),IF(ISNUMBER($L732),YEAR($L732)&amp;"-"&amp;TEXT(MONTH($L732),"00"),""),"")))</f>
        <v/>
      </c>
      <c r="AI732" s="71">
        <f>IF($G732="",0,IF(AND(OR(fClient="All",$C732=fClient),OR(fCampaign="All",$D732=fCampaign),OR(fTeam="All",$B732=fTeam),OR(fChannel="All",$F732=fChannel),OR(fMonth="All",$AH732=fMonth),OR(fTStatus="All",$M732=fTStatus)),1,0))</f>
        <v>0</v>
      </c>
      <c r="AJ732" s="71">
        <f>IF($G732="",0,IF(AND(OR(fClient="All",$C732=fClient),OR(fCampaign="All",$D732=fCampaign),OR(fTeam="All",$B732=fTeam),OR(fChannel="All",$F732=fChannel)),1,0))</f>
        <v>0</v>
      </c>
      <c r="AK732" s="71">
        <f>IF($G732="",0,IF(OR($M732="Completed",$M732="Cancelled"),0,1))</f>
        <v>0</v>
      </c>
      <c r="AL732" s="71">
        <f>IF(AND($AK732=1,ISNUMBER($L732)),IF($L732&lt;ReportDate,1,0),0)</f>
        <v>0</v>
      </c>
      <c r="AM732" s="71">
        <f>IF(AND($G732&lt;&gt;"",$M732="Blocked"),1,0)</f>
        <v>0</v>
      </c>
      <c r="AN732" s="71">
        <f>IF(AND($AK732=1,ISNUMBER($L732)),IF($L732=ReportDate,1,0),0)</f>
        <v>0</v>
      </c>
      <c r="AO732" s="71">
        <f>IF(AND($AK732=1,ISNUMBER($L732)),IF($L732=ReportDate+1,1,0),0)</f>
        <v>0</v>
      </c>
      <c r="AP732" s="71">
        <f>IF(AND($AK732=1,ISNUMBER($L732)),IF(AND($L732&gt;=ReportDate,$L732&lt;=ReportDate+DueSoonDays),1,0),0)</f>
        <v>0</v>
      </c>
      <c r="AQ732" s="71">
        <f>IF(AND($AK732=1,OR($I732="Critical",$I732="High")),1,0)</f>
        <v>0</v>
      </c>
      <c r="AR732" s="71">
        <f>IF($AK732=1,IF(ISNUMBER($Y732),IF(ReportDate-$Y732&gt;StaleDays,1,0),1),0)</f>
        <v>0</v>
      </c>
      <c r="AS732" s="71">
        <f>IF(AND($G732&lt;&gt;"",ISNUMBER($Q732),ISNUMBER($R732)),IF(AND($Q732&lt;$R732,OR($M732="Completed",AND(ISNUMBER($L732),$L732&lt;ReportDate))),1,0),0)</f>
        <v>0</v>
      </c>
      <c r="AT732" s="71">
        <f>IF($AK732=1,IF(OR($L732=ReportDate,$W732=ReportDate,$K732=ReportDate,$A732=ReportDate),1,0),0)</f>
        <v>0</v>
      </c>
      <c r="AU732" s="71">
        <f>IF($AK732=1,IF(OR($L732=ReportDate+1,$W732=ReportDate+1,$K732=ReportDate+1,$A732=ReportDate+1),1,0),0)</f>
        <v>0</v>
      </c>
      <c r="AV732" s="71">
        <f>IF(AND($G732&lt;&gt;"",$M732="Completed"),IF(OR($Y732=ReportDate-1,$A732=ReportDate-1),1,0),0)</f>
        <v>0</v>
      </c>
      <c r="AW732" s="71">
        <f>IF(AND($AK732=1,$Z732="Yes"),1,0)</f>
        <v>0</v>
      </c>
      <c r="AX732" s="71">
        <f>IF(AND($AK732=1,$AA732="Yes"),1,0)</f>
        <v>0</v>
      </c>
      <c r="AY732" s="71">
        <f>IF(AND($AM732=1,OR($I732="Critical",$I732="High")),1,0)</f>
        <v>0</v>
      </c>
      <c r="AZ732" s="71">
        <f>IF(AND($AK732=1,OR($C732=TCL_Client,$C732=MECCA_Client)),1,0)</f>
        <v>0</v>
      </c>
      <c r="BA732" s="71" t="str">
        <f>IF($G732="","",IFERROR(MATCH($I732,lst_Priority,0),5))</f>
        <v/>
      </c>
      <c r="BB732" s="71" t="str">
        <f>IF(AND($AL732=1,$AJ732=1),$BA732*100000+ROW(),"")</f>
        <v/>
      </c>
      <c r="BC732" s="71" t="str">
        <f>IF(AND($AM732=1,$AJ732=1),$BA732*100000+ROW(),"")</f>
        <v/>
      </c>
      <c r="BD732" s="71" t="str">
        <f>IF(AND($AP732=1,$AJ732=1),$BA732*100000+ROW(),"")</f>
        <v/>
      </c>
      <c r="BE732" s="71" t="str">
        <f>IF(AND($AT732=1,$AJ732=1),$BA732*100000+ROW(),"")</f>
        <v/>
      </c>
      <c r="BF732" s="71" t="str">
        <f>IF(AND($AU732=1,$AJ732=1),$BA732*100000+ROW(),"")</f>
        <v/>
      </c>
      <c r="BG732" s="71" t="str">
        <f>IF(AND($AV732=1,$AJ732=1),$BA732*100000+ROW(),"")</f>
        <v/>
      </c>
      <c r="BH732" s="71" t="str">
        <f>IF(AND($AW732=1,$AJ732=1),$BA732*100000+ROW(),"")</f>
        <v/>
      </c>
      <c r="BI732" s="71" t="str">
        <f>IF(AND($AX732=1,$AJ732=1),$BA732*100000+ROW(),"")</f>
        <v/>
      </c>
      <c r="BJ732" s="71" t="str">
        <f>IF(AND($AS732=1,$AJ732=1),$BA732*100000+ROW(),"")</f>
        <v/>
      </c>
      <c r="BK732" s="71" t="str">
        <f>IF(AND($AY732=1,$AJ732=1),$BA732*100000+ROW(),"")</f>
        <v/>
      </c>
      <c r="BL732" s="71" t="str">
        <f>IF(AND($AZ732=1),$BA732*100000+ROW(),"")</f>
        <v/>
      </c>
    </row>
    <row r="733">
      <c r="A733" s="63" t="n"/>
      <c r="B733" s="64" t="n"/>
      <c r="C733" s="64" t="n"/>
      <c r="D733" s="64" t="n"/>
      <c r="E733" s="64" t="n"/>
      <c r="F733" s="64" t="n"/>
      <c r="G733" s="65" t="n"/>
      <c r="H733" s="65" t="n"/>
      <c r="I733" s="64" t="n"/>
      <c r="J733" s="64" t="n"/>
      <c r="K733" s="63" t="n"/>
      <c r="L733" s="63" t="n"/>
      <c r="M733" s="64" t="n"/>
      <c r="N733" s="66" t="n"/>
      <c r="O733" s="65" t="n"/>
      <c r="P733" s="64" t="n"/>
      <c r="Q733" s="67" t="n"/>
      <c r="R733" s="67" t="n"/>
      <c r="S733" s="68" t="str">
        <f>IF(AND(ISNUMBER($Q733),ISNUMBER($R733)),$Q733-$R733,"")</f>
        <v/>
      </c>
      <c r="T733" s="65" t="n"/>
      <c r="U733" s="64" t="n"/>
      <c r="V733" s="65" t="n"/>
      <c r="W733" s="63" t="n"/>
      <c r="X733" s="65" t="n"/>
      <c r="Y733" s="63" t="n"/>
      <c r="Z733" s="64" t="n"/>
      <c r="AA733" s="64" t="n"/>
      <c r="AB733" s="65" t="n"/>
      <c r="AC733" s="69" t="str">
        <f>IF(OR($G733="",NOT(ISNUMBER($K733)),$AK733=0),"",MAX(0,ReportDate-$K733))</f>
        <v/>
      </c>
      <c r="AD733" s="69" t="str">
        <f>IF($G733="","",IF($AL733=1,ReportDate-$L733,0))</f>
        <v/>
      </c>
      <c r="AE733" s="70" t="str">
        <f>IF($G733="","",IF($M733="Completed",1,IF(ISNUMBER($N733),$N733,0)))</f>
        <v/>
      </c>
      <c r="AF733" s="70" t="str">
        <f>IF(AND(ISNUMBER($Q733),ISNUMBER($R733)),IF($R733&lt;&gt;0,$Q733/$R733,""),"")</f>
        <v/>
      </c>
      <c r="AG733" s="71" t="str">
        <f>IF($G733="","",IF($AL733=1,"OVERDUE",IF($AM733=1,"BLOCKED",IF($AN733=1,"DUE TODAY",IF($AO733=1,"DUE TOMORROW",IF($AQ733=1,"HIGH PRIORITY",IF($AR733=1,"NO RECENT UPDATE",""))))))) </f>
        <v/>
      </c>
      <c r="AH733" s="71" t="str">
        <f>IF($G733="","",IF(ISNUMBER($A733),IF(ISNUMBER($A733),YEAR($A733)&amp;"-"&amp;TEXT(MONTH($A733),"00"),""),IF(ISNUMBER($L733),IF(ISNUMBER($L733),YEAR($L733)&amp;"-"&amp;TEXT(MONTH($L733),"00"),""),"")))</f>
        <v/>
      </c>
      <c r="AI733" s="71">
        <f>IF($G733="",0,IF(AND(OR(fClient="All",$C733=fClient),OR(fCampaign="All",$D733=fCampaign),OR(fTeam="All",$B733=fTeam),OR(fChannel="All",$F733=fChannel),OR(fMonth="All",$AH733=fMonth),OR(fTStatus="All",$M733=fTStatus)),1,0))</f>
        <v>0</v>
      </c>
      <c r="AJ733" s="71">
        <f>IF($G733="",0,IF(AND(OR(fClient="All",$C733=fClient),OR(fCampaign="All",$D733=fCampaign),OR(fTeam="All",$B733=fTeam),OR(fChannel="All",$F733=fChannel)),1,0))</f>
        <v>0</v>
      </c>
      <c r="AK733" s="71">
        <f>IF($G733="",0,IF(OR($M733="Completed",$M733="Cancelled"),0,1))</f>
        <v>0</v>
      </c>
      <c r="AL733" s="71">
        <f>IF(AND($AK733=1,ISNUMBER($L733)),IF($L733&lt;ReportDate,1,0),0)</f>
        <v>0</v>
      </c>
      <c r="AM733" s="71">
        <f>IF(AND($G733&lt;&gt;"",$M733="Blocked"),1,0)</f>
        <v>0</v>
      </c>
      <c r="AN733" s="71">
        <f>IF(AND($AK733=1,ISNUMBER($L733)),IF($L733=ReportDate,1,0),0)</f>
        <v>0</v>
      </c>
      <c r="AO733" s="71">
        <f>IF(AND($AK733=1,ISNUMBER($L733)),IF($L733=ReportDate+1,1,0),0)</f>
        <v>0</v>
      </c>
      <c r="AP733" s="71">
        <f>IF(AND($AK733=1,ISNUMBER($L733)),IF(AND($L733&gt;=ReportDate,$L733&lt;=ReportDate+DueSoonDays),1,0),0)</f>
        <v>0</v>
      </c>
      <c r="AQ733" s="71">
        <f>IF(AND($AK733=1,OR($I733="Critical",$I733="High")),1,0)</f>
        <v>0</v>
      </c>
      <c r="AR733" s="71">
        <f>IF($AK733=1,IF(ISNUMBER($Y733),IF(ReportDate-$Y733&gt;StaleDays,1,0),1),0)</f>
        <v>0</v>
      </c>
      <c r="AS733" s="71">
        <f>IF(AND($G733&lt;&gt;"",ISNUMBER($Q733),ISNUMBER($R733)),IF(AND($Q733&lt;$R733,OR($M733="Completed",AND(ISNUMBER($L733),$L733&lt;ReportDate))),1,0),0)</f>
        <v>0</v>
      </c>
      <c r="AT733" s="71">
        <f>IF($AK733=1,IF(OR($L733=ReportDate,$W733=ReportDate,$K733=ReportDate,$A733=ReportDate),1,0),0)</f>
        <v>0</v>
      </c>
      <c r="AU733" s="71">
        <f>IF($AK733=1,IF(OR($L733=ReportDate+1,$W733=ReportDate+1,$K733=ReportDate+1,$A733=ReportDate+1),1,0),0)</f>
        <v>0</v>
      </c>
      <c r="AV733" s="71">
        <f>IF(AND($G733&lt;&gt;"",$M733="Completed"),IF(OR($Y733=ReportDate-1,$A733=ReportDate-1),1,0),0)</f>
        <v>0</v>
      </c>
      <c r="AW733" s="71">
        <f>IF(AND($AK733=1,$Z733="Yes"),1,0)</f>
        <v>0</v>
      </c>
      <c r="AX733" s="71">
        <f>IF(AND($AK733=1,$AA733="Yes"),1,0)</f>
        <v>0</v>
      </c>
      <c r="AY733" s="71">
        <f>IF(AND($AM733=1,OR($I733="Critical",$I733="High")),1,0)</f>
        <v>0</v>
      </c>
      <c r="AZ733" s="71">
        <f>IF(AND($AK733=1,OR($C733=TCL_Client,$C733=MECCA_Client)),1,0)</f>
        <v>0</v>
      </c>
      <c r="BA733" s="71" t="str">
        <f>IF($G733="","",IFERROR(MATCH($I733,lst_Priority,0),5))</f>
        <v/>
      </c>
      <c r="BB733" s="71" t="str">
        <f>IF(AND($AL733=1,$AJ733=1),$BA733*100000+ROW(),"")</f>
        <v/>
      </c>
      <c r="BC733" s="71" t="str">
        <f>IF(AND($AM733=1,$AJ733=1),$BA733*100000+ROW(),"")</f>
        <v/>
      </c>
      <c r="BD733" s="71" t="str">
        <f>IF(AND($AP733=1,$AJ733=1),$BA733*100000+ROW(),"")</f>
        <v/>
      </c>
      <c r="BE733" s="71" t="str">
        <f>IF(AND($AT733=1,$AJ733=1),$BA733*100000+ROW(),"")</f>
        <v/>
      </c>
      <c r="BF733" s="71" t="str">
        <f>IF(AND($AU733=1,$AJ733=1),$BA733*100000+ROW(),"")</f>
        <v/>
      </c>
      <c r="BG733" s="71" t="str">
        <f>IF(AND($AV733=1,$AJ733=1),$BA733*100000+ROW(),"")</f>
        <v/>
      </c>
      <c r="BH733" s="71" t="str">
        <f>IF(AND($AW733=1,$AJ733=1),$BA733*100000+ROW(),"")</f>
        <v/>
      </c>
      <c r="BI733" s="71" t="str">
        <f>IF(AND($AX733=1,$AJ733=1),$BA733*100000+ROW(),"")</f>
        <v/>
      </c>
      <c r="BJ733" s="71" t="str">
        <f>IF(AND($AS733=1,$AJ733=1),$BA733*100000+ROW(),"")</f>
        <v/>
      </c>
      <c r="BK733" s="71" t="str">
        <f>IF(AND($AY733=1,$AJ733=1),$BA733*100000+ROW(),"")</f>
        <v/>
      </c>
      <c r="BL733" s="71" t="str">
        <f>IF(AND($AZ733=1),$BA733*100000+ROW(),"")</f>
        <v/>
      </c>
    </row>
    <row r="734">
      <c r="A734" s="63" t="n"/>
      <c r="B734" s="64" t="n"/>
      <c r="C734" s="64" t="n"/>
      <c r="D734" s="64" t="n"/>
      <c r="E734" s="64" t="n"/>
      <c r="F734" s="64" t="n"/>
      <c r="G734" s="65" t="n"/>
      <c r="H734" s="65" t="n"/>
      <c r="I734" s="64" t="n"/>
      <c r="J734" s="64" t="n"/>
      <c r="K734" s="63" t="n"/>
      <c r="L734" s="63" t="n"/>
      <c r="M734" s="64" t="n"/>
      <c r="N734" s="66" t="n"/>
      <c r="O734" s="65" t="n"/>
      <c r="P734" s="64" t="n"/>
      <c r="Q734" s="67" t="n"/>
      <c r="R734" s="67" t="n"/>
      <c r="S734" s="68" t="str">
        <f>IF(AND(ISNUMBER($Q734),ISNUMBER($R734)),$Q734-$R734,"")</f>
        <v/>
      </c>
      <c r="T734" s="65" t="n"/>
      <c r="U734" s="64" t="n"/>
      <c r="V734" s="65" t="n"/>
      <c r="W734" s="63" t="n"/>
      <c r="X734" s="65" t="n"/>
      <c r="Y734" s="63" t="n"/>
      <c r="Z734" s="64" t="n"/>
      <c r="AA734" s="64" t="n"/>
      <c r="AB734" s="65" t="n"/>
      <c r="AC734" s="69" t="str">
        <f>IF(OR($G734="",NOT(ISNUMBER($K734)),$AK734=0),"",MAX(0,ReportDate-$K734))</f>
        <v/>
      </c>
      <c r="AD734" s="69" t="str">
        <f>IF($G734="","",IF($AL734=1,ReportDate-$L734,0))</f>
        <v/>
      </c>
      <c r="AE734" s="70" t="str">
        <f>IF($G734="","",IF($M734="Completed",1,IF(ISNUMBER($N734),$N734,0)))</f>
        <v/>
      </c>
      <c r="AF734" s="70" t="str">
        <f>IF(AND(ISNUMBER($Q734),ISNUMBER($R734)),IF($R734&lt;&gt;0,$Q734/$R734,""),"")</f>
        <v/>
      </c>
      <c r="AG734" s="71" t="str">
        <f>IF($G734="","",IF($AL734=1,"OVERDUE",IF($AM734=1,"BLOCKED",IF($AN734=1,"DUE TODAY",IF($AO734=1,"DUE TOMORROW",IF($AQ734=1,"HIGH PRIORITY",IF($AR734=1,"NO RECENT UPDATE",""))))))) </f>
        <v/>
      </c>
      <c r="AH734" s="71" t="str">
        <f>IF($G734="","",IF(ISNUMBER($A734),IF(ISNUMBER($A734),YEAR($A734)&amp;"-"&amp;TEXT(MONTH($A734),"00"),""),IF(ISNUMBER($L734),IF(ISNUMBER($L734),YEAR($L734)&amp;"-"&amp;TEXT(MONTH($L734),"00"),""),"")))</f>
        <v/>
      </c>
      <c r="AI734" s="71">
        <f>IF($G734="",0,IF(AND(OR(fClient="All",$C734=fClient),OR(fCampaign="All",$D734=fCampaign),OR(fTeam="All",$B734=fTeam),OR(fChannel="All",$F734=fChannel),OR(fMonth="All",$AH734=fMonth),OR(fTStatus="All",$M734=fTStatus)),1,0))</f>
        <v>0</v>
      </c>
      <c r="AJ734" s="71">
        <f>IF($G734="",0,IF(AND(OR(fClient="All",$C734=fClient),OR(fCampaign="All",$D734=fCampaign),OR(fTeam="All",$B734=fTeam),OR(fChannel="All",$F734=fChannel)),1,0))</f>
        <v>0</v>
      </c>
      <c r="AK734" s="71">
        <f>IF($G734="",0,IF(OR($M734="Completed",$M734="Cancelled"),0,1))</f>
        <v>0</v>
      </c>
      <c r="AL734" s="71">
        <f>IF(AND($AK734=1,ISNUMBER($L734)),IF($L734&lt;ReportDate,1,0),0)</f>
        <v>0</v>
      </c>
      <c r="AM734" s="71">
        <f>IF(AND($G734&lt;&gt;"",$M734="Blocked"),1,0)</f>
        <v>0</v>
      </c>
      <c r="AN734" s="71">
        <f>IF(AND($AK734=1,ISNUMBER($L734)),IF($L734=ReportDate,1,0),0)</f>
        <v>0</v>
      </c>
      <c r="AO734" s="71">
        <f>IF(AND($AK734=1,ISNUMBER($L734)),IF($L734=ReportDate+1,1,0),0)</f>
        <v>0</v>
      </c>
      <c r="AP734" s="71">
        <f>IF(AND($AK734=1,ISNUMBER($L734)),IF(AND($L734&gt;=ReportDate,$L734&lt;=ReportDate+DueSoonDays),1,0),0)</f>
        <v>0</v>
      </c>
      <c r="AQ734" s="71">
        <f>IF(AND($AK734=1,OR($I734="Critical",$I734="High")),1,0)</f>
        <v>0</v>
      </c>
      <c r="AR734" s="71">
        <f>IF($AK734=1,IF(ISNUMBER($Y734),IF(ReportDate-$Y734&gt;StaleDays,1,0),1),0)</f>
        <v>0</v>
      </c>
      <c r="AS734" s="71">
        <f>IF(AND($G734&lt;&gt;"",ISNUMBER($Q734),ISNUMBER($R734)),IF(AND($Q734&lt;$R734,OR($M734="Completed",AND(ISNUMBER($L734),$L734&lt;ReportDate))),1,0),0)</f>
        <v>0</v>
      </c>
      <c r="AT734" s="71">
        <f>IF($AK734=1,IF(OR($L734=ReportDate,$W734=ReportDate,$K734=ReportDate,$A734=ReportDate),1,0),0)</f>
        <v>0</v>
      </c>
      <c r="AU734" s="71">
        <f>IF($AK734=1,IF(OR($L734=ReportDate+1,$W734=ReportDate+1,$K734=ReportDate+1,$A734=ReportDate+1),1,0),0)</f>
        <v>0</v>
      </c>
      <c r="AV734" s="71">
        <f>IF(AND($G734&lt;&gt;"",$M734="Completed"),IF(OR($Y734=ReportDate-1,$A734=ReportDate-1),1,0),0)</f>
        <v>0</v>
      </c>
      <c r="AW734" s="71">
        <f>IF(AND($AK734=1,$Z734="Yes"),1,0)</f>
        <v>0</v>
      </c>
      <c r="AX734" s="71">
        <f>IF(AND($AK734=1,$AA734="Yes"),1,0)</f>
        <v>0</v>
      </c>
      <c r="AY734" s="71">
        <f>IF(AND($AM734=1,OR($I734="Critical",$I734="High")),1,0)</f>
        <v>0</v>
      </c>
      <c r="AZ734" s="71">
        <f>IF(AND($AK734=1,OR($C734=TCL_Client,$C734=MECCA_Client)),1,0)</f>
        <v>0</v>
      </c>
      <c r="BA734" s="71" t="str">
        <f>IF($G734="","",IFERROR(MATCH($I734,lst_Priority,0),5))</f>
        <v/>
      </c>
      <c r="BB734" s="71" t="str">
        <f>IF(AND($AL734=1,$AJ734=1),$BA734*100000+ROW(),"")</f>
        <v/>
      </c>
      <c r="BC734" s="71" t="str">
        <f>IF(AND($AM734=1,$AJ734=1),$BA734*100000+ROW(),"")</f>
        <v/>
      </c>
      <c r="BD734" s="71" t="str">
        <f>IF(AND($AP734=1,$AJ734=1),$BA734*100000+ROW(),"")</f>
        <v/>
      </c>
      <c r="BE734" s="71" t="str">
        <f>IF(AND($AT734=1,$AJ734=1),$BA734*100000+ROW(),"")</f>
        <v/>
      </c>
      <c r="BF734" s="71" t="str">
        <f>IF(AND($AU734=1,$AJ734=1),$BA734*100000+ROW(),"")</f>
        <v/>
      </c>
      <c r="BG734" s="71" t="str">
        <f>IF(AND($AV734=1,$AJ734=1),$BA734*100000+ROW(),"")</f>
        <v/>
      </c>
      <c r="BH734" s="71" t="str">
        <f>IF(AND($AW734=1,$AJ734=1),$BA734*100000+ROW(),"")</f>
        <v/>
      </c>
      <c r="BI734" s="71" t="str">
        <f>IF(AND($AX734=1,$AJ734=1),$BA734*100000+ROW(),"")</f>
        <v/>
      </c>
      <c r="BJ734" s="71" t="str">
        <f>IF(AND($AS734=1,$AJ734=1),$BA734*100000+ROW(),"")</f>
        <v/>
      </c>
      <c r="BK734" s="71" t="str">
        <f>IF(AND($AY734=1,$AJ734=1),$BA734*100000+ROW(),"")</f>
        <v/>
      </c>
      <c r="BL734" s="71" t="str">
        <f>IF(AND($AZ734=1),$BA734*100000+ROW(),"")</f>
        <v/>
      </c>
    </row>
    <row r="735">
      <c r="A735" s="63" t="n"/>
      <c r="B735" s="64" t="n"/>
      <c r="C735" s="64" t="n"/>
      <c r="D735" s="64" t="n"/>
      <c r="E735" s="64" t="n"/>
      <c r="F735" s="64" t="n"/>
      <c r="G735" s="65" t="n"/>
      <c r="H735" s="65" t="n"/>
      <c r="I735" s="64" t="n"/>
      <c r="J735" s="64" t="n"/>
      <c r="K735" s="63" t="n"/>
      <c r="L735" s="63" t="n"/>
      <c r="M735" s="64" t="n"/>
      <c r="N735" s="66" t="n"/>
      <c r="O735" s="65" t="n"/>
      <c r="P735" s="64" t="n"/>
      <c r="Q735" s="67" t="n"/>
      <c r="R735" s="67" t="n"/>
      <c r="S735" s="68" t="str">
        <f>IF(AND(ISNUMBER($Q735),ISNUMBER($R735)),$Q735-$R735,"")</f>
        <v/>
      </c>
      <c r="T735" s="65" t="n"/>
      <c r="U735" s="64" t="n"/>
      <c r="V735" s="65" t="n"/>
      <c r="W735" s="63" t="n"/>
      <c r="X735" s="65" t="n"/>
      <c r="Y735" s="63" t="n"/>
      <c r="Z735" s="64" t="n"/>
      <c r="AA735" s="64" t="n"/>
      <c r="AB735" s="65" t="n"/>
      <c r="AC735" s="69" t="str">
        <f>IF(OR($G735="",NOT(ISNUMBER($K735)),$AK735=0),"",MAX(0,ReportDate-$K735))</f>
        <v/>
      </c>
      <c r="AD735" s="69" t="str">
        <f>IF($G735="","",IF($AL735=1,ReportDate-$L735,0))</f>
        <v/>
      </c>
      <c r="AE735" s="70" t="str">
        <f>IF($G735="","",IF($M735="Completed",1,IF(ISNUMBER($N735),$N735,0)))</f>
        <v/>
      </c>
      <c r="AF735" s="70" t="str">
        <f>IF(AND(ISNUMBER($Q735),ISNUMBER($R735)),IF($R735&lt;&gt;0,$Q735/$R735,""),"")</f>
        <v/>
      </c>
      <c r="AG735" s="71" t="str">
        <f>IF($G735="","",IF($AL735=1,"OVERDUE",IF($AM735=1,"BLOCKED",IF($AN735=1,"DUE TODAY",IF($AO735=1,"DUE TOMORROW",IF($AQ735=1,"HIGH PRIORITY",IF($AR735=1,"NO RECENT UPDATE",""))))))) </f>
        <v/>
      </c>
      <c r="AH735" s="71" t="str">
        <f>IF($G735="","",IF(ISNUMBER($A735),IF(ISNUMBER($A735),YEAR($A735)&amp;"-"&amp;TEXT(MONTH($A735),"00"),""),IF(ISNUMBER($L735),IF(ISNUMBER($L735),YEAR($L735)&amp;"-"&amp;TEXT(MONTH($L735),"00"),""),"")))</f>
        <v/>
      </c>
      <c r="AI735" s="71">
        <f>IF($G735="",0,IF(AND(OR(fClient="All",$C735=fClient),OR(fCampaign="All",$D735=fCampaign),OR(fTeam="All",$B735=fTeam),OR(fChannel="All",$F735=fChannel),OR(fMonth="All",$AH735=fMonth),OR(fTStatus="All",$M735=fTStatus)),1,0))</f>
        <v>0</v>
      </c>
      <c r="AJ735" s="71">
        <f>IF($G735="",0,IF(AND(OR(fClient="All",$C735=fClient),OR(fCampaign="All",$D735=fCampaign),OR(fTeam="All",$B735=fTeam),OR(fChannel="All",$F735=fChannel)),1,0))</f>
        <v>0</v>
      </c>
      <c r="AK735" s="71">
        <f>IF($G735="",0,IF(OR($M735="Completed",$M735="Cancelled"),0,1))</f>
        <v>0</v>
      </c>
      <c r="AL735" s="71">
        <f>IF(AND($AK735=1,ISNUMBER($L735)),IF($L735&lt;ReportDate,1,0),0)</f>
        <v>0</v>
      </c>
      <c r="AM735" s="71">
        <f>IF(AND($G735&lt;&gt;"",$M735="Blocked"),1,0)</f>
        <v>0</v>
      </c>
      <c r="AN735" s="71">
        <f>IF(AND($AK735=1,ISNUMBER($L735)),IF($L735=ReportDate,1,0),0)</f>
        <v>0</v>
      </c>
      <c r="AO735" s="71">
        <f>IF(AND($AK735=1,ISNUMBER($L735)),IF($L735=ReportDate+1,1,0),0)</f>
        <v>0</v>
      </c>
      <c r="AP735" s="71">
        <f>IF(AND($AK735=1,ISNUMBER($L735)),IF(AND($L735&gt;=ReportDate,$L735&lt;=ReportDate+DueSoonDays),1,0),0)</f>
        <v>0</v>
      </c>
      <c r="AQ735" s="71">
        <f>IF(AND($AK735=1,OR($I735="Critical",$I735="High")),1,0)</f>
        <v>0</v>
      </c>
      <c r="AR735" s="71">
        <f>IF($AK735=1,IF(ISNUMBER($Y735),IF(ReportDate-$Y735&gt;StaleDays,1,0),1),0)</f>
        <v>0</v>
      </c>
      <c r="AS735" s="71">
        <f>IF(AND($G735&lt;&gt;"",ISNUMBER($Q735),ISNUMBER($R735)),IF(AND($Q735&lt;$R735,OR($M735="Completed",AND(ISNUMBER($L735),$L735&lt;ReportDate))),1,0),0)</f>
        <v>0</v>
      </c>
      <c r="AT735" s="71">
        <f>IF($AK735=1,IF(OR($L735=ReportDate,$W735=ReportDate,$K735=ReportDate,$A735=ReportDate),1,0),0)</f>
        <v>0</v>
      </c>
      <c r="AU735" s="71">
        <f>IF($AK735=1,IF(OR($L735=ReportDate+1,$W735=ReportDate+1,$K735=ReportDate+1,$A735=ReportDate+1),1,0),0)</f>
        <v>0</v>
      </c>
      <c r="AV735" s="71">
        <f>IF(AND($G735&lt;&gt;"",$M735="Completed"),IF(OR($Y735=ReportDate-1,$A735=ReportDate-1),1,0),0)</f>
        <v>0</v>
      </c>
      <c r="AW735" s="71">
        <f>IF(AND($AK735=1,$Z735="Yes"),1,0)</f>
        <v>0</v>
      </c>
      <c r="AX735" s="71">
        <f>IF(AND($AK735=1,$AA735="Yes"),1,0)</f>
        <v>0</v>
      </c>
      <c r="AY735" s="71">
        <f>IF(AND($AM735=1,OR($I735="Critical",$I735="High")),1,0)</f>
        <v>0</v>
      </c>
      <c r="AZ735" s="71">
        <f>IF(AND($AK735=1,OR($C735=TCL_Client,$C735=MECCA_Client)),1,0)</f>
        <v>0</v>
      </c>
      <c r="BA735" s="71" t="str">
        <f>IF($G735="","",IFERROR(MATCH($I735,lst_Priority,0),5))</f>
        <v/>
      </c>
      <c r="BB735" s="71" t="str">
        <f>IF(AND($AL735=1,$AJ735=1),$BA735*100000+ROW(),"")</f>
        <v/>
      </c>
      <c r="BC735" s="71" t="str">
        <f>IF(AND($AM735=1,$AJ735=1),$BA735*100000+ROW(),"")</f>
        <v/>
      </c>
      <c r="BD735" s="71" t="str">
        <f>IF(AND($AP735=1,$AJ735=1),$BA735*100000+ROW(),"")</f>
        <v/>
      </c>
      <c r="BE735" s="71" t="str">
        <f>IF(AND($AT735=1,$AJ735=1),$BA735*100000+ROW(),"")</f>
        <v/>
      </c>
      <c r="BF735" s="71" t="str">
        <f>IF(AND($AU735=1,$AJ735=1),$BA735*100000+ROW(),"")</f>
        <v/>
      </c>
      <c r="BG735" s="71" t="str">
        <f>IF(AND($AV735=1,$AJ735=1),$BA735*100000+ROW(),"")</f>
        <v/>
      </c>
      <c r="BH735" s="71" t="str">
        <f>IF(AND($AW735=1,$AJ735=1),$BA735*100000+ROW(),"")</f>
        <v/>
      </c>
      <c r="BI735" s="71" t="str">
        <f>IF(AND($AX735=1,$AJ735=1),$BA735*100000+ROW(),"")</f>
        <v/>
      </c>
      <c r="BJ735" s="71" t="str">
        <f>IF(AND($AS735=1,$AJ735=1),$BA735*100000+ROW(),"")</f>
        <v/>
      </c>
      <c r="BK735" s="71" t="str">
        <f>IF(AND($AY735=1,$AJ735=1),$BA735*100000+ROW(),"")</f>
        <v/>
      </c>
      <c r="BL735" s="71" t="str">
        <f>IF(AND($AZ735=1),$BA735*100000+ROW(),"")</f>
        <v/>
      </c>
    </row>
    <row r="736">
      <c r="A736" s="63" t="n"/>
      <c r="B736" s="64" t="n"/>
      <c r="C736" s="64" t="n"/>
      <c r="D736" s="64" t="n"/>
      <c r="E736" s="64" t="n"/>
      <c r="F736" s="64" t="n"/>
      <c r="G736" s="65" t="n"/>
      <c r="H736" s="65" t="n"/>
      <c r="I736" s="64" t="n"/>
      <c r="J736" s="64" t="n"/>
      <c r="K736" s="63" t="n"/>
      <c r="L736" s="63" t="n"/>
      <c r="M736" s="64" t="n"/>
      <c r="N736" s="66" t="n"/>
      <c r="O736" s="65" t="n"/>
      <c r="P736" s="64" t="n"/>
      <c r="Q736" s="67" t="n"/>
      <c r="R736" s="67" t="n"/>
      <c r="S736" s="68" t="str">
        <f>IF(AND(ISNUMBER($Q736),ISNUMBER($R736)),$Q736-$R736,"")</f>
        <v/>
      </c>
      <c r="T736" s="65" t="n"/>
      <c r="U736" s="64" t="n"/>
      <c r="V736" s="65" t="n"/>
      <c r="W736" s="63" t="n"/>
      <c r="X736" s="65" t="n"/>
      <c r="Y736" s="63" t="n"/>
      <c r="Z736" s="64" t="n"/>
      <c r="AA736" s="64" t="n"/>
      <c r="AB736" s="65" t="n"/>
      <c r="AC736" s="69" t="str">
        <f>IF(OR($G736="",NOT(ISNUMBER($K736)),$AK736=0),"",MAX(0,ReportDate-$K736))</f>
        <v/>
      </c>
      <c r="AD736" s="69" t="str">
        <f>IF($G736="","",IF($AL736=1,ReportDate-$L736,0))</f>
        <v/>
      </c>
      <c r="AE736" s="70" t="str">
        <f>IF($G736="","",IF($M736="Completed",1,IF(ISNUMBER($N736),$N736,0)))</f>
        <v/>
      </c>
      <c r="AF736" s="70" t="str">
        <f>IF(AND(ISNUMBER($Q736),ISNUMBER($R736)),IF($R736&lt;&gt;0,$Q736/$R736,""),"")</f>
        <v/>
      </c>
      <c r="AG736" s="71" t="str">
        <f>IF($G736="","",IF($AL736=1,"OVERDUE",IF($AM736=1,"BLOCKED",IF($AN736=1,"DUE TODAY",IF($AO736=1,"DUE TOMORROW",IF($AQ736=1,"HIGH PRIORITY",IF($AR736=1,"NO RECENT UPDATE",""))))))) </f>
        <v/>
      </c>
      <c r="AH736" s="71" t="str">
        <f>IF($G736="","",IF(ISNUMBER($A736),IF(ISNUMBER($A736),YEAR($A736)&amp;"-"&amp;TEXT(MONTH($A736),"00"),""),IF(ISNUMBER($L736),IF(ISNUMBER($L736),YEAR($L736)&amp;"-"&amp;TEXT(MONTH($L736),"00"),""),"")))</f>
        <v/>
      </c>
      <c r="AI736" s="71">
        <f>IF($G736="",0,IF(AND(OR(fClient="All",$C736=fClient),OR(fCampaign="All",$D736=fCampaign),OR(fTeam="All",$B736=fTeam),OR(fChannel="All",$F736=fChannel),OR(fMonth="All",$AH736=fMonth),OR(fTStatus="All",$M736=fTStatus)),1,0))</f>
        <v>0</v>
      </c>
      <c r="AJ736" s="71">
        <f>IF($G736="",0,IF(AND(OR(fClient="All",$C736=fClient),OR(fCampaign="All",$D736=fCampaign),OR(fTeam="All",$B736=fTeam),OR(fChannel="All",$F736=fChannel)),1,0))</f>
        <v>0</v>
      </c>
      <c r="AK736" s="71">
        <f>IF($G736="",0,IF(OR($M736="Completed",$M736="Cancelled"),0,1))</f>
        <v>0</v>
      </c>
      <c r="AL736" s="71">
        <f>IF(AND($AK736=1,ISNUMBER($L736)),IF($L736&lt;ReportDate,1,0),0)</f>
        <v>0</v>
      </c>
      <c r="AM736" s="71">
        <f>IF(AND($G736&lt;&gt;"",$M736="Blocked"),1,0)</f>
        <v>0</v>
      </c>
      <c r="AN736" s="71">
        <f>IF(AND($AK736=1,ISNUMBER($L736)),IF($L736=ReportDate,1,0),0)</f>
        <v>0</v>
      </c>
      <c r="AO736" s="71">
        <f>IF(AND($AK736=1,ISNUMBER($L736)),IF($L736=ReportDate+1,1,0),0)</f>
        <v>0</v>
      </c>
      <c r="AP736" s="71">
        <f>IF(AND($AK736=1,ISNUMBER($L736)),IF(AND($L736&gt;=ReportDate,$L736&lt;=ReportDate+DueSoonDays),1,0),0)</f>
        <v>0</v>
      </c>
      <c r="AQ736" s="71">
        <f>IF(AND($AK736=1,OR($I736="Critical",$I736="High")),1,0)</f>
        <v>0</v>
      </c>
      <c r="AR736" s="71">
        <f>IF($AK736=1,IF(ISNUMBER($Y736),IF(ReportDate-$Y736&gt;StaleDays,1,0),1),0)</f>
        <v>0</v>
      </c>
      <c r="AS736" s="71">
        <f>IF(AND($G736&lt;&gt;"",ISNUMBER($Q736),ISNUMBER($R736)),IF(AND($Q736&lt;$R736,OR($M736="Completed",AND(ISNUMBER($L736),$L736&lt;ReportDate))),1,0),0)</f>
        <v>0</v>
      </c>
      <c r="AT736" s="71">
        <f>IF($AK736=1,IF(OR($L736=ReportDate,$W736=ReportDate,$K736=ReportDate,$A736=ReportDate),1,0),0)</f>
        <v>0</v>
      </c>
      <c r="AU736" s="71">
        <f>IF($AK736=1,IF(OR($L736=ReportDate+1,$W736=ReportDate+1,$K736=ReportDate+1,$A736=ReportDate+1),1,0),0)</f>
        <v>0</v>
      </c>
      <c r="AV736" s="71">
        <f>IF(AND($G736&lt;&gt;"",$M736="Completed"),IF(OR($Y736=ReportDate-1,$A736=ReportDate-1),1,0),0)</f>
        <v>0</v>
      </c>
      <c r="AW736" s="71">
        <f>IF(AND($AK736=1,$Z736="Yes"),1,0)</f>
        <v>0</v>
      </c>
      <c r="AX736" s="71">
        <f>IF(AND($AK736=1,$AA736="Yes"),1,0)</f>
        <v>0</v>
      </c>
      <c r="AY736" s="71">
        <f>IF(AND($AM736=1,OR($I736="Critical",$I736="High")),1,0)</f>
        <v>0</v>
      </c>
      <c r="AZ736" s="71">
        <f>IF(AND($AK736=1,OR($C736=TCL_Client,$C736=MECCA_Client)),1,0)</f>
        <v>0</v>
      </c>
      <c r="BA736" s="71" t="str">
        <f>IF($G736="","",IFERROR(MATCH($I736,lst_Priority,0),5))</f>
        <v/>
      </c>
      <c r="BB736" s="71" t="str">
        <f>IF(AND($AL736=1,$AJ736=1),$BA736*100000+ROW(),"")</f>
        <v/>
      </c>
      <c r="BC736" s="71" t="str">
        <f>IF(AND($AM736=1,$AJ736=1),$BA736*100000+ROW(),"")</f>
        <v/>
      </c>
      <c r="BD736" s="71" t="str">
        <f>IF(AND($AP736=1,$AJ736=1),$BA736*100000+ROW(),"")</f>
        <v/>
      </c>
      <c r="BE736" s="71" t="str">
        <f>IF(AND($AT736=1,$AJ736=1),$BA736*100000+ROW(),"")</f>
        <v/>
      </c>
      <c r="BF736" s="71" t="str">
        <f>IF(AND($AU736=1,$AJ736=1),$BA736*100000+ROW(),"")</f>
        <v/>
      </c>
      <c r="BG736" s="71" t="str">
        <f>IF(AND($AV736=1,$AJ736=1),$BA736*100000+ROW(),"")</f>
        <v/>
      </c>
      <c r="BH736" s="71" t="str">
        <f>IF(AND($AW736=1,$AJ736=1),$BA736*100000+ROW(),"")</f>
        <v/>
      </c>
      <c r="BI736" s="71" t="str">
        <f>IF(AND($AX736=1,$AJ736=1),$BA736*100000+ROW(),"")</f>
        <v/>
      </c>
      <c r="BJ736" s="71" t="str">
        <f>IF(AND($AS736=1,$AJ736=1),$BA736*100000+ROW(),"")</f>
        <v/>
      </c>
      <c r="BK736" s="71" t="str">
        <f>IF(AND($AY736=1,$AJ736=1),$BA736*100000+ROW(),"")</f>
        <v/>
      </c>
      <c r="BL736" s="71" t="str">
        <f>IF(AND($AZ736=1),$BA736*100000+ROW(),"")</f>
        <v/>
      </c>
    </row>
    <row r="737">
      <c r="A737" s="63" t="n"/>
      <c r="B737" s="64" t="n"/>
      <c r="C737" s="64" t="n"/>
      <c r="D737" s="64" t="n"/>
      <c r="E737" s="64" t="n"/>
      <c r="F737" s="64" t="n"/>
      <c r="G737" s="65" t="n"/>
      <c r="H737" s="65" t="n"/>
      <c r="I737" s="64" t="n"/>
      <c r="J737" s="64" t="n"/>
      <c r="K737" s="63" t="n"/>
      <c r="L737" s="63" t="n"/>
      <c r="M737" s="64" t="n"/>
      <c r="N737" s="66" t="n"/>
      <c r="O737" s="65" t="n"/>
      <c r="P737" s="64" t="n"/>
      <c r="Q737" s="67" t="n"/>
      <c r="R737" s="67" t="n"/>
      <c r="S737" s="68" t="str">
        <f>IF(AND(ISNUMBER($Q737),ISNUMBER($R737)),$Q737-$R737,"")</f>
        <v/>
      </c>
      <c r="T737" s="65" t="n"/>
      <c r="U737" s="64" t="n"/>
      <c r="V737" s="65" t="n"/>
      <c r="W737" s="63" t="n"/>
      <c r="X737" s="65" t="n"/>
      <c r="Y737" s="63" t="n"/>
      <c r="Z737" s="64" t="n"/>
      <c r="AA737" s="64" t="n"/>
      <c r="AB737" s="65" t="n"/>
      <c r="AC737" s="69" t="str">
        <f>IF(OR($G737="",NOT(ISNUMBER($K737)),$AK737=0),"",MAX(0,ReportDate-$K737))</f>
        <v/>
      </c>
      <c r="AD737" s="69" t="str">
        <f>IF($G737="","",IF($AL737=1,ReportDate-$L737,0))</f>
        <v/>
      </c>
      <c r="AE737" s="70" t="str">
        <f>IF($G737="","",IF($M737="Completed",1,IF(ISNUMBER($N737),$N737,0)))</f>
        <v/>
      </c>
      <c r="AF737" s="70" t="str">
        <f>IF(AND(ISNUMBER($Q737),ISNUMBER($R737)),IF($R737&lt;&gt;0,$Q737/$R737,""),"")</f>
        <v/>
      </c>
      <c r="AG737" s="71" t="str">
        <f>IF($G737="","",IF($AL737=1,"OVERDUE",IF($AM737=1,"BLOCKED",IF($AN737=1,"DUE TODAY",IF($AO737=1,"DUE TOMORROW",IF($AQ737=1,"HIGH PRIORITY",IF($AR737=1,"NO RECENT UPDATE",""))))))) </f>
        <v/>
      </c>
      <c r="AH737" s="71" t="str">
        <f>IF($G737="","",IF(ISNUMBER($A737),IF(ISNUMBER($A737),YEAR($A737)&amp;"-"&amp;TEXT(MONTH($A737),"00"),""),IF(ISNUMBER($L737),IF(ISNUMBER($L737),YEAR($L737)&amp;"-"&amp;TEXT(MONTH($L737),"00"),""),"")))</f>
        <v/>
      </c>
      <c r="AI737" s="71">
        <f>IF($G737="",0,IF(AND(OR(fClient="All",$C737=fClient),OR(fCampaign="All",$D737=fCampaign),OR(fTeam="All",$B737=fTeam),OR(fChannel="All",$F737=fChannel),OR(fMonth="All",$AH737=fMonth),OR(fTStatus="All",$M737=fTStatus)),1,0))</f>
        <v>0</v>
      </c>
      <c r="AJ737" s="71">
        <f>IF($G737="",0,IF(AND(OR(fClient="All",$C737=fClient),OR(fCampaign="All",$D737=fCampaign),OR(fTeam="All",$B737=fTeam),OR(fChannel="All",$F737=fChannel)),1,0))</f>
        <v>0</v>
      </c>
      <c r="AK737" s="71">
        <f>IF($G737="",0,IF(OR($M737="Completed",$M737="Cancelled"),0,1))</f>
        <v>0</v>
      </c>
      <c r="AL737" s="71">
        <f>IF(AND($AK737=1,ISNUMBER($L737)),IF($L737&lt;ReportDate,1,0),0)</f>
        <v>0</v>
      </c>
      <c r="AM737" s="71">
        <f>IF(AND($G737&lt;&gt;"",$M737="Blocked"),1,0)</f>
        <v>0</v>
      </c>
      <c r="AN737" s="71">
        <f>IF(AND($AK737=1,ISNUMBER($L737)),IF($L737=ReportDate,1,0),0)</f>
        <v>0</v>
      </c>
      <c r="AO737" s="71">
        <f>IF(AND($AK737=1,ISNUMBER($L737)),IF($L737=ReportDate+1,1,0),0)</f>
        <v>0</v>
      </c>
      <c r="AP737" s="71">
        <f>IF(AND($AK737=1,ISNUMBER($L737)),IF(AND($L737&gt;=ReportDate,$L737&lt;=ReportDate+DueSoonDays),1,0),0)</f>
        <v>0</v>
      </c>
      <c r="AQ737" s="71">
        <f>IF(AND($AK737=1,OR($I737="Critical",$I737="High")),1,0)</f>
        <v>0</v>
      </c>
      <c r="AR737" s="71">
        <f>IF($AK737=1,IF(ISNUMBER($Y737),IF(ReportDate-$Y737&gt;StaleDays,1,0),1),0)</f>
        <v>0</v>
      </c>
      <c r="AS737" s="71">
        <f>IF(AND($G737&lt;&gt;"",ISNUMBER($Q737),ISNUMBER($R737)),IF(AND($Q737&lt;$R737,OR($M737="Completed",AND(ISNUMBER($L737),$L737&lt;ReportDate))),1,0),0)</f>
        <v>0</v>
      </c>
      <c r="AT737" s="71">
        <f>IF($AK737=1,IF(OR($L737=ReportDate,$W737=ReportDate,$K737=ReportDate,$A737=ReportDate),1,0),0)</f>
        <v>0</v>
      </c>
      <c r="AU737" s="71">
        <f>IF($AK737=1,IF(OR($L737=ReportDate+1,$W737=ReportDate+1,$K737=ReportDate+1,$A737=ReportDate+1),1,0),0)</f>
        <v>0</v>
      </c>
      <c r="AV737" s="71">
        <f>IF(AND($G737&lt;&gt;"",$M737="Completed"),IF(OR($Y737=ReportDate-1,$A737=ReportDate-1),1,0),0)</f>
        <v>0</v>
      </c>
      <c r="AW737" s="71">
        <f>IF(AND($AK737=1,$Z737="Yes"),1,0)</f>
        <v>0</v>
      </c>
      <c r="AX737" s="71">
        <f>IF(AND($AK737=1,$AA737="Yes"),1,0)</f>
        <v>0</v>
      </c>
      <c r="AY737" s="71">
        <f>IF(AND($AM737=1,OR($I737="Critical",$I737="High")),1,0)</f>
        <v>0</v>
      </c>
      <c r="AZ737" s="71">
        <f>IF(AND($AK737=1,OR($C737=TCL_Client,$C737=MECCA_Client)),1,0)</f>
        <v>0</v>
      </c>
      <c r="BA737" s="71" t="str">
        <f>IF($G737="","",IFERROR(MATCH($I737,lst_Priority,0),5))</f>
        <v/>
      </c>
      <c r="BB737" s="71" t="str">
        <f>IF(AND($AL737=1,$AJ737=1),$BA737*100000+ROW(),"")</f>
        <v/>
      </c>
      <c r="BC737" s="71" t="str">
        <f>IF(AND($AM737=1,$AJ737=1),$BA737*100000+ROW(),"")</f>
        <v/>
      </c>
      <c r="BD737" s="71" t="str">
        <f>IF(AND($AP737=1,$AJ737=1),$BA737*100000+ROW(),"")</f>
        <v/>
      </c>
      <c r="BE737" s="71" t="str">
        <f>IF(AND($AT737=1,$AJ737=1),$BA737*100000+ROW(),"")</f>
        <v/>
      </c>
      <c r="BF737" s="71" t="str">
        <f>IF(AND($AU737=1,$AJ737=1),$BA737*100000+ROW(),"")</f>
        <v/>
      </c>
      <c r="BG737" s="71" t="str">
        <f>IF(AND($AV737=1,$AJ737=1),$BA737*100000+ROW(),"")</f>
        <v/>
      </c>
      <c r="BH737" s="71" t="str">
        <f>IF(AND($AW737=1,$AJ737=1),$BA737*100000+ROW(),"")</f>
        <v/>
      </c>
      <c r="BI737" s="71" t="str">
        <f>IF(AND($AX737=1,$AJ737=1),$BA737*100000+ROW(),"")</f>
        <v/>
      </c>
      <c r="BJ737" s="71" t="str">
        <f>IF(AND($AS737=1,$AJ737=1),$BA737*100000+ROW(),"")</f>
        <v/>
      </c>
      <c r="BK737" s="71" t="str">
        <f>IF(AND($AY737=1,$AJ737=1),$BA737*100000+ROW(),"")</f>
        <v/>
      </c>
      <c r="BL737" s="71" t="str">
        <f>IF(AND($AZ737=1),$BA737*100000+ROW(),"")</f>
        <v/>
      </c>
    </row>
    <row r="738">
      <c r="A738" s="63" t="n"/>
      <c r="B738" s="64" t="n"/>
      <c r="C738" s="64" t="n"/>
      <c r="D738" s="64" t="n"/>
      <c r="E738" s="64" t="n"/>
      <c r="F738" s="64" t="n"/>
      <c r="G738" s="65" t="n"/>
      <c r="H738" s="65" t="n"/>
      <c r="I738" s="64" t="n"/>
      <c r="J738" s="64" t="n"/>
      <c r="K738" s="63" t="n"/>
      <c r="L738" s="63" t="n"/>
      <c r="M738" s="64" t="n"/>
      <c r="N738" s="66" t="n"/>
      <c r="O738" s="65" t="n"/>
      <c r="P738" s="64" t="n"/>
      <c r="Q738" s="67" t="n"/>
      <c r="R738" s="67" t="n"/>
      <c r="S738" s="68" t="str">
        <f>IF(AND(ISNUMBER($Q738),ISNUMBER($R738)),$Q738-$R738,"")</f>
        <v/>
      </c>
      <c r="T738" s="65" t="n"/>
      <c r="U738" s="64" t="n"/>
      <c r="V738" s="65" t="n"/>
      <c r="W738" s="63" t="n"/>
      <c r="X738" s="65" t="n"/>
      <c r="Y738" s="63" t="n"/>
      <c r="Z738" s="64" t="n"/>
      <c r="AA738" s="64" t="n"/>
      <c r="AB738" s="65" t="n"/>
      <c r="AC738" s="69" t="str">
        <f>IF(OR($G738="",NOT(ISNUMBER($K738)),$AK738=0),"",MAX(0,ReportDate-$K738))</f>
        <v/>
      </c>
      <c r="AD738" s="69" t="str">
        <f>IF($G738="","",IF($AL738=1,ReportDate-$L738,0))</f>
        <v/>
      </c>
      <c r="AE738" s="70" t="str">
        <f>IF($G738="","",IF($M738="Completed",1,IF(ISNUMBER($N738),$N738,0)))</f>
        <v/>
      </c>
      <c r="AF738" s="70" t="str">
        <f>IF(AND(ISNUMBER($Q738),ISNUMBER($R738)),IF($R738&lt;&gt;0,$Q738/$R738,""),"")</f>
        <v/>
      </c>
      <c r="AG738" s="71" t="str">
        <f>IF($G738="","",IF($AL738=1,"OVERDUE",IF($AM738=1,"BLOCKED",IF($AN738=1,"DUE TODAY",IF($AO738=1,"DUE TOMORROW",IF($AQ738=1,"HIGH PRIORITY",IF($AR738=1,"NO RECENT UPDATE",""))))))) </f>
        <v/>
      </c>
      <c r="AH738" s="71" t="str">
        <f>IF($G738="","",IF(ISNUMBER($A738),IF(ISNUMBER($A738),YEAR($A738)&amp;"-"&amp;TEXT(MONTH($A738),"00"),""),IF(ISNUMBER($L738),IF(ISNUMBER($L738),YEAR($L738)&amp;"-"&amp;TEXT(MONTH($L738),"00"),""),"")))</f>
        <v/>
      </c>
      <c r="AI738" s="71">
        <f>IF($G738="",0,IF(AND(OR(fClient="All",$C738=fClient),OR(fCampaign="All",$D738=fCampaign),OR(fTeam="All",$B738=fTeam),OR(fChannel="All",$F738=fChannel),OR(fMonth="All",$AH738=fMonth),OR(fTStatus="All",$M738=fTStatus)),1,0))</f>
        <v>0</v>
      </c>
      <c r="AJ738" s="71">
        <f>IF($G738="",0,IF(AND(OR(fClient="All",$C738=fClient),OR(fCampaign="All",$D738=fCampaign),OR(fTeam="All",$B738=fTeam),OR(fChannel="All",$F738=fChannel)),1,0))</f>
        <v>0</v>
      </c>
      <c r="AK738" s="71">
        <f>IF($G738="",0,IF(OR($M738="Completed",$M738="Cancelled"),0,1))</f>
        <v>0</v>
      </c>
      <c r="AL738" s="71">
        <f>IF(AND($AK738=1,ISNUMBER($L738)),IF($L738&lt;ReportDate,1,0),0)</f>
        <v>0</v>
      </c>
      <c r="AM738" s="71">
        <f>IF(AND($G738&lt;&gt;"",$M738="Blocked"),1,0)</f>
        <v>0</v>
      </c>
      <c r="AN738" s="71">
        <f>IF(AND($AK738=1,ISNUMBER($L738)),IF($L738=ReportDate,1,0),0)</f>
        <v>0</v>
      </c>
      <c r="AO738" s="71">
        <f>IF(AND($AK738=1,ISNUMBER($L738)),IF($L738=ReportDate+1,1,0),0)</f>
        <v>0</v>
      </c>
      <c r="AP738" s="71">
        <f>IF(AND($AK738=1,ISNUMBER($L738)),IF(AND($L738&gt;=ReportDate,$L738&lt;=ReportDate+DueSoonDays),1,0),0)</f>
        <v>0</v>
      </c>
      <c r="AQ738" s="71">
        <f>IF(AND($AK738=1,OR($I738="Critical",$I738="High")),1,0)</f>
        <v>0</v>
      </c>
      <c r="AR738" s="71">
        <f>IF($AK738=1,IF(ISNUMBER($Y738),IF(ReportDate-$Y738&gt;StaleDays,1,0),1),0)</f>
        <v>0</v>
      </c>
      <c r="AS738" s="71">
        <f>IF(AND($G738&lt;&gt;"",ISNUMBER($Q738),ISNUMBER($R738)),IF(AND($Q738&lt;$R738,OR($M738="Completed",AND(ISNUMBER($L738),$L738&lt;ReportDate))),1,0),0)</f>
        <v>0</v>
      </c>
      <c r="AT738" s="71">
        <f>IF($AK738=1,IF(OR($L738=ReportDate,$W738=ReportDate,$K738=ReportDate,$A738=ReportDate),1,0),0)</f>
        <v>0</v>
      </c>
      <c r="AU738" s="71">
        <f>IF($AK738=1,IF(OR($L738=ReportDate+1,$W738=ReportDate+1,$K738=ReportDate+1,$A738=ReportDate+1),1,0),0)</f>
        <v>0</v>
      </c>
      <c r="AV738" s="71">
        <f>IF(AND($G738&lt;&gt;"",$M738="Completed"),IF(OR($Y738=ReportDate-1,$A738=ReportDate-1),1,0),0)</f>
        <v>0</v>
      </c>
      <c r="AW738" s="71">
        <f>IF(AND($AK738=1,$Z738="Yes"),1,0)</f>
        <v>0</v>
      </c>
      <c r="AX738" s="71">
        <f>IF(AND($AK738=1,$AA738="Yes"),1,0)</f>
        <v>0</v>
      </c>
      <c r="AY738" s="71">
        <f>IF(AND($AM738=1,OR($I738="Critical",$I738="High")),1,0)</f>
        <v>0</v>
      </c>
      <c r="AZ738" s="71">
        <f>IF(AND($AK738=1,OR($C738=TCL_Client,$C738=MECCA_Client)),1,0)</f>
        <v>0</v>
      </c>
      <c r="BA738" s="71" t="str">
        <f>IF($G738="","",IFERROR(MATCH($I738,lst_Priority,0),5))</f>
        <v/>
      </c>
      <c r="BB738" s="71" t="str">
        <f>IF(AND($AL738=1,$AJ738=1),$BA738*100000+ROW(),"")</f>
        <v/>
      </c>
      <c r="BC738" s="71" t="str">
        <f>IF(AND($AM738=1,$AJ738=1),$BA738*100000+ROW(),"")</f>
        <v/>
      </c>
      <c r="BD738" s="71" t="str">
        <f>IF(AND($AP738=1,$AJ738=1),$BA738*100000+ROW(),"")</f>
        <v/>
      </c>
      <c r="BE738" s="71" t="str">
        <f>IF(AND($AT738=1,$AJ738=1),$BA738*100000+ROW(),"")</f>
        <v/>
      </c>
      <c r="BF738" s="71" t="str">
        <f>IF(AND($AU738=1,$AJ738=1),$BA738*100000+ROW(),"")</f>
        <v/>
      </c>
      <c r="BG738" s="71" t="str">
        <f>IF(AND($AV738=1,$AJ738=1),$BA738*100000+ROW(),"")</f>
        <v/>
      </c>
      <c r="BH738" s="71" t="str">
        <f>IF(AND($AW738=1,$AJ738=1),$BA738*100000+ROW(),"")</f>
        <v/>
      </c>
      <c r="BI738" s="71" t="str">
        <f>IF(AND($AX738=1,$AJ738=1),$BA738*100000+ROW(),"")</f>
        <v/>
      </c>
      <c r="BJ738" s="71" t="str">
        <f>IF(AND($AS738=1,$AJ738=1),$BA738*100000+ROW(),"")</f>
        <v/>
      </c>
      <c r="BK738" s="71" t="str">
        <f>IF(AND($AY738=1,$AJ738=1),$BA738*100000+ROW(),"")</f>
        <v/>
      </c>
      <c r="BL738" s="71" t="str">
        <f>IF(AND($AZ738=1),$BA738*100000+ROW(),"")</f>
        <v/>
      </c>
    </row>
    <row r="739">
      <c r="A739" s="63" t="n"/>
      <c r="B739" s="64" t="n"/>
      <c r="C739" s="64" t="n"/>
      <c r="D739" s="64" t="n"/>
      <c r="E739" s="64" t="n"/>
      <c r="F739" s="64" t="n"/>
      <c r="G739" s="65" t="n"/>
      <c r="H739" s="65" t="n"/>
      <c r="I739" s="64" t="n"/>
      <c r="J739" s="64" t="n"/>
      <c r="K739" s="63" t="n"/>
      <c r="L739" s="63" t="n"/>
      <c r="M739" s="64" t="n"/>
      <c r="N739" s="66" t="n"/>
      <c r="O739" s="65" t="n"/>
      <c r="P739" s="64" t="n"/>
      <c r="Q739" s="67" t="n"/>
      <c r="R739" s="67" t="n"/>
      <c r="S739" s="68" t="str">
        <f>IF(AND(ISNUMBER($Q739),ISNUMBER($R739)),$Q739-$R739,"")</f>
        <v/>
      </c>
      <c r="T739" s="65" t="n"/>
      <c r="U739" s="64" t="n"/>
      <c r="V739" s="65" t="n"/>
      <c r="W739" s="63" t="n"/>
      <c r="X739" s="65" t="n"/>
      <c r="Y739" s="63" t="n"/>
      <c r="Z739" s="64" t="n"/>
      <c r="AA739" s="64" t="n"/>
      <c r="AB739" s="65" t="n"/>
      <c r="AC739" s="69" t="str">
        <f>IF(OR($G739="",NOT(ISNUMBER($K739)),$AK739=0),"",MAX(0,ReportDate-$K739))</f>
        <v/>
      </c>
      <c r="AD739" s="69" t="str">
        <f>IF($G739="","",IF($AL739=1,ReportDate-$L739,0))</f>
        <v/>
      </c>
      <c r="AE739" s="70" t="str">
        <f>IF($G739="","",IF($M739="Completed",1,IF(ISNUMBER($N739),$N739,0)))</f>
        <v/>
      </c>
      <c r="AF739" s="70" t="str">
        <f>IF(AND(ISNUMBER($Q739),ISNUMBER($R739)),IF($R739&lt;&gt;0,$Q739/$R739,""),"")</f>
        <v/>
      </c>
      <c r="AG739" s="71" t="str">
        <f>IF($G739="","",IF($AL739=1,"OVERDUE",IF($AM739=1,"BLOCKED",IF($AN739=1,"DUE TODAY",IF($AO739=1,"DUE TOMORROW",IF($AQ739=1,"HIGH PRIORITY",IF($AR739=1,"NO RECENT UPDATE",""))))))) </f>
        <v/>
      </c>
      <c r="AH739" s="71" t="str">
        <f>IF($G739="","",IF(ISNUMBER($A739),IF(ISNUMBER($A739),YEAR($A739)&amp;"-"&amp;TEXT(MONTH($A739),"00"),""),IF(ISNUMBER($L739),IF(ISNUMBER($L739),YEAR($L739)&amp;"-"&amp;TEXT(MONTH($L739),"00"),""),"")))</f>
        <v/>
      </c>
      <c r="AI739" s="71">
        <f>IF($G739="",0,IF(AND(OR(fClient="All",$C739=fClient),OR(fCampaign="All",$D739=fCampaign),OR(fTeam="All",$B739=fTeam),OR(fChannel="All",$F739=fChannel),OR(fMonth="All",$AH739=fMonth),OR(fTStatus="All",$M739=fTStatus)),1,0))</f>
        <v>0</v>
      </c>
      <c r="AJ739" s="71">
        <f>IF($G739="",0,IF(AND(OR(fClient="All",$C739=fClient),OR(fCampaign="All",$D739=fCampaign),OR(fTeam="All",$B739=fTeam),OR(fChannel="All",$F739=fChannel)),1,0))</f>
        <v>0</v>
      </c>
      <c r="AK739" s="71">
        <f>IF($G739="",0,IF(OR($M739="Completed",$M739="Cancelled"),0,1))</f>
        <v>0</v>
      </c>
      <c r="AL739" s="71">
        <f>IF(AND($AK739=1,ISNUMBER($L739)),IF($L739&lt;ReportDate,1,0),0)</f>
        <v>0</v>
      </c>
      <c r="AM739" s="71">
        <f>IF(AND($G739&lt;&gt;"",$M739="Blocked"),1,0)</f>
        <v>0</v>
      </c>
      <c r="AN739" s="71">
        <f>IF(AND($AK739=1,ISNUMBER($L739)),IF($L739=ReportDate,1,0),0)</f>
        <v>0</v>
      </c>
      <c r="AO739" s="71">
        <f>IF(AND($AK739=1,ISNUMBER($L739)),IF($L739=ReportDate+1,1,0),0)</f>
        <v>0</v>
      </c>
      <c r="AP739" s="71">
        <f>IF(AND($AK739=1,ISNUMBER($L739)),IF(AND($L739&gt;=ReportDate,$L739&lt;=ReportDate+DueSoonDays),1,0),0)</f>
        <v>0</v>
      </c>
      <c r="AQ739" s="71">
        <f>IF(AND($AK739=1,OR($I739="Critical",$I739="High")),1,0)</f>
        <v>0</v>
      </c>
      <c r="AR739" s="71">
        <f>IF($AK739=1,IF(ISNUMBER($Y739),IF(ReportDate-$Y739&gt;StaleDays,1,0),1),0)</f>
        <v>0</v>
      </c>
      <c r="AS739" s="71">
        <f>IF(AND($G739&lt;&gt;"",ISNUMBER($Q739),ISNUMBER($R739)),IF(AND($Q739&lt;$R739,OR($M739="Completed",AND(ISNUMBER($L739),$L739&lt;ReportDate))),1,0),0)</f>
        <v>0</v>
      </c>
      <c r="AT739" s="71">
        <f>IF($AK739=1,IF(OR($L739=ReportDate,$W739=ReportDate,$K739=ReportDate,$A739=ReportDate),1,0),0)</f>
        <v>0</v>
      </c>
      <c r="AU739" s="71">
        <f>IF($AK739=1,IF(OR($L739=ReportDate+1,$W739=ReportDate+1,$K739=ReportDate+1,$A739=ReportDate+1),1,0),0)</f>
        <v>0</v>
      </c>
      <c r="AV739" s="71">
        <f>IF(AND($G739&lt;&gt;"",$M739="Completed"),IF(OR($Y739=ReportDate-1,$A739=ReportDate-1),1,0),0)</f>
        <v>0</v>
      </c>
      <c r="AW739" s="71">
        <f>IF(AND($AK739=1,$Z739="Yes"),1,0)</f>
        <v>0</v>
      </c>
      <c r="AX739" s="71">
        <f>IF(AND($AK739=1,$AA739="Yes"),1,0)</f>
        <v>0</v>
      </c>
      <c r="AY739" s="71">
        <f>IF(AND($AM739=1,OR($I739="Critical",$I739="High")),1,0)</f>
        <v>0</v>
      </c>
      <c r="AZ739" s="71">
        <f>IF(AND($AK739=1,OR($C739=TCL_Client,$C739=MECCA_Client)),1,0)</f>
        <v>0</v>
      </c>
      <c r="BA739" s="71" t="str">
        <f>IF($G739="","",IFERROR(MATCH($I739,lst_Priority,0),5))</f>
        <v/>
      </c>
      <c r="BB739" s="71" t="str">
        <f>IF(AND($AL739=1,$AJ739=1),$BA739*100000+ROW(),"")</f>
        <v/>
      </c>
      <c r="BC739" s="71" t="str">
        <f>IF(AND($AM739=1,$AJ739=1),$BA739*100000+ROW(),"")</f>
        <v/>
      </c>
      <c r="BD739" s="71" t="str">
        <f>IF(AND($AP739=1,$AJ739=1),$BA739*100000+ROW(),"")</f>
        <v/>
      </c>
      <c r="BE739" s="71" t="str">
        <f>IF(AND($AT739=1,$AJ739=1),$BA739*100000+ROW(),"")</f>
        <v/>
      </c>
      <c r="BF739" s="71" t="str">
        <f>IF(AND($AU739=1,$AJ739=1),$BA739*100000+ROW(),"")</f>
        <v/>
      </c>
      <c r="BG739" s="71" t="str">
        <f>IF(AND($AV739=1,$AJ739=1),$BA739*100000+ROW(),"")</f>
        <v/>
      </c>
      <c r="BH739" s="71" t="str">
        <f>IF(AND($AW739=1,$AJ739=1),$BA739*100000+ROW(),"")</f>
        <v/>
      </c>
      <c r="BI739" s="71" t="str">
        <f>IF(AND($AX739=1,$AJ739=1),$BA739*100000+ROW(),"")</f>
        <v/>
      </c>
      <c r="BJ739" s="71" t="str">
        <f>IF(AND($AS739=1,$AJ739=1),$BA739*100000+ROW(),"")</f>
        <v/>
      </c>
      <c r="BK739" s="71" t="str">
        <f>IF(AND($AY739=1,$AJ739=1),$BA739*100000+ROW(),"")</f>
        <v/>
      </c>
      <c r="BL739" s="71" t="str">
        <f>IF(AND($AZ739=1),$BA739*100000+ROW(),"")</f>
        <v/>
      </c>
    </row>
    <row r="740">
      <c r="A740" s="63" t="n"/>
      <c r="B740" s="64" t="n"/>
      <c r="C740" s="64" t="n"/>
      <c r="D740" s="64" t="n"/>
      <c r="E740" s="64" t="n"/>
      <c r="F740" s="64" t="n"/>
      <c r="G740" s="65" t="n"/>
      <c r="H740" s="65" t="n"/>
      <c r="I740" s="64" t="n"/>
      <c r="J740" s="64" t="n"/>
      <c r="K740" s="63" t="n"/>
      <c r="L740" s="63" t="n"/>
      <c r="M740" s="64" t="n"/>
      <c r="N740" s="66" t="n"/>
      <c r="O740" s="65" t="n"/>
      <c r="P740" s="64" t="n"/>
      <c r="Q740" s="67" t="n"/>
      <c r="R740" s="67" t="n"/>
      <c r="S740" s="68" t="str">
        <f>IF(AND(ISNUMBER($Q740),ISNUMBER($R740)),$Q740-$R740,"")</f>
        <v/>
      </c>
      <c r="T740" s="65" t="n"/>
      <c r="U740" s="64" t="n"/>
      <c r="V740" s="65" t="n"/>
      <c r="W740" s="63" t="n"/>
      <c r="X740" s="65" t="n"/>
      <c r="Y740" s="63" t="n"/>
      <c r="Z740" s="64" t="n"/>
      <c r="AA740" s="64" t="n"/>
      <c r="AB740" s="65" t="n"/>
      <c r="AC740" s="69" t="str">
        <f>IF(OR($G740="",NOT(ISNUMBER($K740)),$AK740=0),"",MAX(0,ReportDate-$K740))</f>
        <v/>
      </c>
      <c r="AD740" s="69" t="str">
        <f>IF($G740="","",IF($AL740=1,ReportDate-$L740,0))</f>
        <v/>
      </c>
      <c r="AE740" s="70" t="str">
        <f>IF($G740="","",IF($M740="Completed",1,IF(ISNUMBER($N740),$N740,0)))</f>
        <v/>
      </c>
      <c r="AF740" s="70" t="str">
        <f>IF(AND(ISNUMBER($Q740),ISNUMBER($R740)),IF($R740&lt;&gt;0,$Q740/$R740,""),"")</f>
        <v/>
      </c>
      <c r="AG740" s="71" t="str">
        <f>IF($G740="","",IF($AL740=1,"OVERDUE",IF($AM740=1,"BLOCKED",IF($AN740=1,"DUE TODAY",IF($AO740=1,"DUE TOMORROW",IF($AQ740=1,"HIGH PRIORITY",IF($AR740=1,"NO RECENT UPDATE",""))))))) </f>
        <v/>
      </c>
      <c r="AH740" s="71" t="str">
        <f>IF($G740="","",IF(ISNUMBER($A740),IF(ISNUMBER($A740),YEAR($A740)&amp;"-"&amp;TEXT(MONTH($A740),"00"),""),IF(ISNUMBER($L740),IF(ISNUMBER($L740),YEAR($L740)&amp;"-"&amp;TEXT(MONTH($L740),"00"),""),"")))</f>
        <v/>
      </c>
      <c r="AI740" s="71">
        <f>IF($G740="",0,IF(AND(OR(fClient="All",$C740=fClient),OR(fCampaign="All",$D740=fCampaign),OR(fTeam="All",$B740=fTeam),OR(fChannel="All",$F740=fChannel),OR(fMonth="All",$AH740=fMonth),OR(fTStatus="All",$M740=fTStatus)),1,0))</f>
        <v>0</v>
      </c>
      <c r="AJ740" s="71">
        <f>IF($G740="",0,IF(AND(OR(fClient="All",$C740=fClient),OR(fCampaign="All",$D740=fCampaign),OR(fTeam="All",$B740=fTeam),OR(fChannel="All",$F740=fChannel)),1,0))</f>
        <v>0</v>
      </c>
      <c r="AK740" s="71">
        <f>IF($G740="",0,IF(OR($M740="Completed",$M740="Cancelled"),0,1))</f>
        <v>0</v>
      </c>
      <c r="AL740" s="71">
        <f>IF(AND($AK740=1,ISNUMBER($L740)),IF($L740&lt;ReportDate,1,0),0)</f>
        <v>0</v>
      </c>
      <c r="AM740" s="71">
        <f>IF(AND($G740&lt;&gt;"",$M740="Blocked"),1,0)</f>
        <v>0</v>
      </c>
      <c r="AN740" s="71">
        <f>IF(AND($AK740=1,ISNUMBER($L740)),IF($L740=ReportDate,1,0),0)</f>
        <v>0</v>
      </c>
      <c r="AO740" s="71">
        <f>IF(AND($AK740=1,ISNUMBER($L740)),IF($L740=ReportDate+1,1,0),0)</f>
        <v>0</v>
      </c>
      <c r="AP740" s="71">
        <f>IF(AND($AK740=1,ISNUMBER($L740)),IF(AND($L740&gt;=ReportDate,$L740&lt;=ReportDate+DueSoonDays),1,0),0)</f>
        <v>0</v>
      </c>
      <c r="AQ740" s="71">
        <f>IF(AND($AK740=1,OR($I740="Critical",$I740="High")),1,0)</f>
        <v>0</v>
      </c>
      <c r="AR740" s="71">
        <f>IF($AK740=1,IF(ISNUMBER($Y740),IF(ReportDate-$Y740&gt;StaleDays,1,0),1),0)</f>
        <v>0</v>
      </c>
      <c r="AS740" s="71">
        <f>IF(AND($G740&lt;&gt;"",ISNUMBER($Q740),ISNUMBER($R740)),IF(AND($Q740&lt;$R740,OR($M740="Completed",AND(ISNUMBER($L740),$L740&lt;ReportDate))),1,0),0)</f>
        <v>0</v>
      </c>
      <c r="AT740" s="71">
        <f>IF($AK740=1,IF(OR($L740=ReportDate,$W740=ReportDate,$K740=ReportDate,$A740=ReportDate),1,0),0)</f>
        <v>0</v>
      </c>
      <c r="AU740" s="71">
        <f>IF($AK740=1,IF(OR($L740=ReportDate+1,$W740=ReportDate+1,$K740=ReportDate+1,$A740=ReportDate+1),1,0),0)</f>
        <v>0</v>
      </c>
      <c r="AV740" s="71">
        <f>IF(AND($G740&lt;&gt;"",$M740="Completed"),IF(OR($Y740=ReportDate-1,$A740=ReportDate-1),1,0),0)</f>
        <v>0</v>
      </c>
      <c r="AW740" s="71">
        <f>IF(AND($AK740=1,$Z740="Yes"),1,0)</f>
        <v>0</v>
      </c>
      <c r="AX740" s="71">
        <f>IF(AND($AK740=1,$AA740="Yes"),1,0)</f>
        <v>0</v>
      </c>
      <c r="AY740" s="71">
        <f>IF(AND($AM740=1,OR($I740="Critical",$I740="High")),1,0)</f>
        <v>0</v>
      </c>
      <c r="AZ740" s="71">
        <f>IF(AND($AK740=1,OR($C740=TCL_Client,$C740=MECCA_Client)),1,0)</f>
        <v>0</v>
      </c>
      <c r="BA740" s="71" t="str">
        <f>IF($G740="","",IFERROR(MATCH($I740,lst_Priority,0),5))</f>
        <v/>
      </c>
      <c r="BB740" s="71" t="str">
        <f>IF(AND($AL740=1,$AJ740=1),$BA740*100000+ROW(),"")</f>
        <v/>
      </c>
      <c r="BC740" s="71" t="str">
        <f>IF(AND($AM740=1,$AJ740=1),$BA740*100000+ROW(),"")</f>
        <v/>
      </c>
      <c r="BD740" s="71" t="str">
        <f>IF(AND($AP740=1,$AJ740=1),$BA740*100000+ROW(),"")</f>
        <v/>
      </c>
      <c r="BE740" s="71" t="str">
        <f>IF(AND($AT740=1,$AJ740=1),$BA740*100000+ROW(),"")</f>
        <v/>
      </c>
      <c r="BF740" s="71" t="str">
        <f>IF(AND($AU740=1,$AJ740=1),$BA740*100000+ROW(),"")</f>
        <v/>
      </c>
      <c r="BG740" s="71" t="str">
        <f>IF(AND($AV740=1,$AJ740=1),$BA740*100000+ROW(),"")</f>
        <v/>
      </c>
      <c r="BH740" s="71" t="str">
        <f>IF(AND($AW740=1,$AJ740=1),$BA740*100000+ROW(),"")</f>
        <v/>
      </c>
      <c r="BI740" s="71" t="str">
        <f>IF(AND($AX740=1,$AJ740=1),$BA740*100000+ROW(),"")</f>
        <v/>
      </c>
      <c r="BJ740" s="71" t="str">
        <f>IF(AND($AS740=1,$AJ740=1),$BA740*100000+ROW(),"")</f>
        <v/>
      </c>
      <c r="BK740" s="71" t="str">
        <f>IF(AND($AY740=1,$AJ740=1),$BA740*100000+ROW(),"")</f>
        <v/>
      </c>
      <c r="BL740" s="71" t="str">
        <f>IF(AND($AZ740=1),$BA740*100000+ROW(),"")</f>
        <v/>
      </c>
    </row>
    <row r="741">
      <c r="A741" s="63" t="n"/>
      <c r="B741" s="64" t="n"/>
      <c r="C741" s="64" t="n"/>
      <c r="D741" s="64" t="n"/>
      <c r="E741" s="64" t="n"/>
      <c r="F741" s="64" t="n"/>
      <c r="G741" s="65" t="n"/>
      <c r="H741" s="65" t="n"/>
      <c r="I741" s="64" t="n"/>
      <c r="J741" s="64" t="n"/>
      <c r="K741" s="63" t="n"/>
      <c r="L741" s="63" t="n"/>
      <c r="M741" s="64" t="n"/>
      <c r="N741" s="66" t="n"/>
      <c r="O741" s="65" t="n"/>
      <c r="P741" s="64" t="n"/>
      <c r="Q741" s="67" t="n"/>
      <c r="R741" s="67" t="n"/>
      <c r="S741" s="68" t="str">
        <f>IF(AND(ISNUMBER($Q741),ISNUMBER($R741)),$Q741-$R741,"")</f>
        <v/>
      </c>
      <c r="T741" s="65" t="n"/>
      <c r="U741" s="64" t="n"/>
      <c r="V741" s="65" t="n"/>
      <c r="W741" s="63" t="n"/>
      <c r="X741" s="65" t="n"/>
      <c r="Y741" s="63" t="n"/>
      <c r="Z741" s="64" t="n"/>
      <c r="AA741" s="64" t="n"/>
      <c r="AB741" s="65" t="n"/>
      <c r="AC741" s="69" t="str">
        <f>IF(OR($G741="",NOT(ISNUMBER($K741)),$AK741=0),"",MAX(0,ReportDate-$K741))</f>
        <v/>
      </c>
      <c r="AD741" s="69" t="str">
        <f>IF($G741="","",IF($AL741=1,ReportDate-$L741,0))</f>
        <v/>
      </c>
      <c r="AE741" s="70" t="str">
        <f>IF($G741="","",IF($M741="Completed",1,IF(ISNUMBER($N741),$N741,0)))</f>
        <v/>
      </c>
      <c r="AF741" s="70" t="str">
        <f>IF(AND(ISNUMBER($Q741),ISNUMBER($R741)),IF($R741&lt;&gt;0,$Q741/$R741,""),"")</f>
        <v/>
      </c>
      <c r="AG741" s="71" t="str">
        <f>IF($G741="","",IF($AL741=1,"OVERDUE",IF($AM741=1,"BLOCKED",IF($AN741=1,"DUE TODAY",IF($AO741=1,"DUE TOMORROW",IF($AQ741=1,"HIGH PRIORITY",IF($AR741=1,"NO RECENT UPDATE",""))))))) </f>
        <v/>
      </c>
      <c r="AH741" s="71" t="str">
        <f>IF($G741="","",IF(ISNUMBER($A741),IF(ISNUMBER($A741),YEAR($A741)&amp;"-"&amp;TEXT(MONTH($A741),"00"),""),IF(ISNUMBER($L741),IF(ISNUMBER($L741),YEAR($L741)&amp;"-"&amp;TEXT(MONTH($L741),"00"),""),"")))</f>
        <v/>
      </c>
      <c r="AI741" s="71">
        <f>IF($G741="",0,IF(AND(OR(fClient="All",$C741=fClient),OR(fCampaign="All",$D741=fCampaign),OR(fTeam="All",$B741=fTeam),OR(fChannel="All",$F741=fChannel),OR(fMonth="All",$AH741=fMonth),OR(fTStatus="All",$M741=fTStatus)),1,0))</f>
        <v>0</v>
      </c>
      <c r="AJ741" s="71">
        <f>IF($G741="",0,IF(AND(OR(fClient="All",$C741=fClient),OR(fCampaign="All",$D741=fCampaign),OR(fTeam="All",$B741=fTeam),OR(fChannel="All",$F741=fChannel)),1,0))</f>
        <v>0</v>
      </c>
      <c r="AK741" s="71">
        <f>IF($G741="",0,IF(OR($M741="Completed",$M741="Cancelled"),0,1))</f>
        <v>0</v>
      </c>
      <c r="AL741" s="71">
        <f>IF(AND($AK741=1,ISNUMBER($L741)),IF($L741&lt;ReportDate,1,0),0)</f>
        <v>0</v>
      </c>
      <c r="AM741" s="71">
        <f>IF(AND($G741&lt;&gt;"",$M741="Blocked"),1,0)</f>
        <v>0</v>
      </c>
      <c r="AN741" s="71">
        <f>IF(AND($AK741=1,ISNUMBER($L741)),IF($L741=ReportDate,1,0),0)</f>
        <v>0</v>
      </c>
      <c r="AO741" s="71">
        <f>IF(AND($AK741=1,ISNUMBER($L741)),IF($L741=ReportDate+1,1,0),0)</f>
        <v>0</v>
      </c>
      <c r="AP741" s="71">
        <f>IF(AND($AK741=1,ISNUMBER($L741)),IF(AND($L741&gt;=ReportDate,$L741&lt;=ReportDate+DueSoonDays),1,0),0)</f>
        <v>0</v>
      </c>
      <c r="AQ741" s="71">
        <f>IF(AND($AK741=1,OR($I741="Critical",$I741="High")),1,0)</f>
        <v>0</v>
      </c>
      <c r="AR741" s="71">
        <f>IF($AK741=1,IF(ISNUMBER($Y741),IF(ReportDate-$Y741&gt;StaleDays,1,0),1),0)</f>
        <v>0</v>
      </c>
      <c r="AS741" s="71">
        <f>IF(AND($G741&lt;&gt;"",ISNUMBER($Q741),ISNUMBER($R741)),IF(AND($Q741&lt;$R741,OR($M741="Completed",AND(ISNUMBER($L741),$L741&lt;ReportDate))),1,0),0)</f>
        <v>0</v>
      </c>
      <c r="AT741" s="71">
        <f>IF($AK741=1,IF(OR($L741=ReportDate,$W741=ReportDate,$K741=ReportDate,$A741=ReportDate),1,0),0)</f>
        <v>0</v>
      </c>
      <c r="AU741" s="71">
        <f>IF($AK741=1,IF(OR($L741=ReportDate+1,$W741=ReportDate+1,$K741=ReportDate+1,$A741=ReportDate+1),1,0),0)</f>
        <v>0</v>
      </c>
      <c r="AV741" s="71">
        <f>IF(AND($G741&lt;&gt;"",$M741="Completed"),IF(OR($Y741=ReportDate-1,$A741=ReportDate-1),1,0),0)</f>
        <v>0</v>
      </c>
      <c r="AW741" s="71">
        <f>IF(AND($AK741=1,$Z741="Yes"),1,0)</f>
        <v>0</v>
      </c>
      <c r="AX741" s="71">
        <f>IF(AND($AK741=1,$AA741="Yes"),1,0)</f>
        <v>0</v>
      </c>
      <c r="AY741" s="71">
        <f>IF(AND($AM741=1,OR($I741="Critical",$I741="High")),1,0)</f>
        <v>0</v>
      </c>
      <c r="AZ741" s="71">
        <f>IF(AND($AK741=1,OR($C741=TCL_Client,$C741=MECCA_Client)),1,0)</f>
        <v>0</v>
      </c>
      <c r="BA741" s="71" t="str">
        <f>IF($G741="","",IFERROR(MATCH($I741,lst_Priority,0),5))</f>
        <v/>
      </c>
      <c r="BB741" s="71" t="str">
        <f>IF(AND($AL741=1,$AJ741=1),$BA741*100000+ROW(),"")</f>
        <v/>
      </c>
      <c r="BC741" s="71" t="str">
        <f>IF(AND($AM741=1,$AJ741=1),$BA741*100000+ROW(),"")</f>
        <v/>
      </c>
      <c r="BD741" s="71" t="str">
        <f>IF(AND($AP741=1,$AJ741=1),$BA741*100000+ROW(),"")</f>
        <v/>
      </c>
      <c r="BE741" s="71" t="str">
        <f>IF(AND($AT741=1,$AJ741=1),$BA741*100000+ROW(),"")</f>
        <v/>
      </c>
      <c r="BF741" s="71" t="str">
        <f>IF(AND($AU741=1,$AJ741=1),$BA741*100000+ROW(),"")</f>
        <v/>
      </c>
      <c r="BG741" s="71" t="str">
        <f>IF(AND($AV741=1,$AJ741=1),$BA741*100000+ROW(),"")</f>
        <v/>
      </c>
      <c r="BH741" s="71" t="str">
        <f>IF(AND($AW741=1,$AJ741=1),$BA741*100000+ROW(),"")</f>
        <v/>
      </c>
      <c r="BI741" s="71" t="str">
        <f>IF(AND($AX741=1,$AJ741=1),$BA741*100000+ROW(),"")</f>
        <v/>
      </c>
      <c r="BJ741" s="71" t="str">
        <f>IF(AND($AS741=1,$AJ741=1),$BA741*100000+ROW(),"")</f>
        <v/>
      </c>
      <c r="BK741" s="71" t="str">
        <f>IF(AND($AY741=1,$AJ741=1),$BA741*100000+ROW(),"")</f>
        <v/>
      </c>
      <c r="BL741" s="71" t="str">
        <f>IF(AND($AZ741=1),$BA741*100000+ROW(),"")</f>
        <v/>
      </c>
    </row>
    <row r="742">
      <c r="A742" s="63" t="n"/>
      <c r="B742" s="64" t="n"/>
      <c r="C742" s="64" t="n"/>
      <c r="D742" s="64" t="n"/>
      <c r="E742" s="64" t="n"/>
      <c r="F742" s="64" t="n"/>
      <c r="G742" s="65" t="n"/>
      <c r="H742" s="65" t="n"/>
      <c r="I742" s="64" t="n"/>
      <c r="J742" s="64" t="n"/>
      <c r="K742" s="63" t="n"/>
      <c r="L742" s="63" t="n"/>
      <c r="M742" s="64" t="n"/>
      <c r="N742" s="66" t="n"/>
      <c r="O742" s="65" t="n"/>
      <c r="P742" s="64" t="n"/>
      <c r="Q742" s="67" t="n"/>
      <c r="R742" s="67" t="n"/>
      <c r="S742" s="68" t="str">
        <f>IF(AND(ISNUMBER($Q742),ISNUMBER($R742)),$Q742-$R742,"")</f>
        <v/>
      </c>
      <c r="T742" s="65" t="n"/>
      <c r="U742" s="64" t="n"/>
      <c r="V742" s="65" t="n"/>
      <c r="W742" s="63" t="n"/>
      <c r="X742" s="65" t="n"/>
      <c r="Y742" s="63" t="n"/>
      <c r="Z742" s="64" t="n"/>
      <c r="AA742" s="64" t="n"/>
      <c r="AB742" s="65" t="n"/>
      <c r="AC742" s="69" t="str">
        <f>IF(OR($G742="",NOT(ISNUMBER($K742)),$AK742=0),"",MAX(0,ReportDate-$K742))</f>
        <v/>
      </c>
      <c r="AD742" s="69" t="str">
        <f>IF($G742="","",IF($AL742=1,ReportDate-$L742,0))</f>
        <v/>
      </c>
      <c r="AE742" s="70" t="str">
        <f>IF($G742="","",IF($M742="Completed",1,IF(ISNUMBER($N742),$N742,0)))</f>
        <v/>
      </c>
      <c r="AF742" s="70" t="str">
        <f>IF(AND(ISNUMBER($Q742),ISNUMBER($R742)),IF($R742&lt;&gt;0,$Q742/$R742,""),"")</f>
        <v/>
      </c>
      <c r="AG742" s="71" t="str">
        <f>IF($G742="","",IF($AL742=1,"OVERDUE",IF($AM742=1,"BLOCKED",IF($AN742=1,"DUE TODAY",IF($AO742=1,"DUE TOMORROW",IF($AQ742=1,"HIGH PRIORITY",IF($AR742=1,"NO RECENT UPDATE",""))))))) </f>
        <v/>
      </c>
      <c r="AH742" s="71" t="str">
        <f>IF($G742="","",IF(ISNUMBER($A742),IF(ISNUMBER($A742),YEAR($A742)&amp;"-"&amp;TEXT(MONTH($A742),"00"),""),IF(ISNUMBER($L742),IF(ISNUMBER($L742),YEAR($L742)&amp;"-"&amp;TEXT(MONTH($L742),"00"),""),"")))</f>
        <v/>
      </c>
      <c r="AI742" s="71">
        <f>IF($G742="",0,IF(AND(OR(fClient="All",$C742=fClient),OR(fCampaign="All",$D742=fCampaign),OR(fTeam="All",$B742=fTeam),OR(fChannel="All",$F742=fChannel),OR(fMonth="All",$AH742=fMonth),OR(fTStatus="All",$M742=fTStatus)),1,0))</f>
        <v>0</v>
      </c>
      <c r="AJ742" s="71">
        <f>IF($G742="",0,IF(AND(OR(fClient="All",$C742=fClient),OR(fCampaign="All",$D742=fCampaign),OR(fTeam="All",$B742=fTeam),OR(fChannel="All",$F742=fChannel)),1,0))</f>
        <v>0</v>
      </c>
      <c r="AK742" s="71">
        <f>IF($G742="",0,IF(OR($M742="Completed",$M742="Cancelled"),0,1))</f>
        <v>0</v>
      </c>
      <c r="AL742" s="71">
        <f>IF(AND($AK742=1,ISNUMBER($L742)),IF($L742&lt;ReportDate,1,0),0)</f>
        <v>0</v>
      </c>
      <c r="AM742" s="71">
        <f>IF(AND($G742&lt;&gt;"",$M742="Blocked"),1,0)</f>
        <v>0</v>
      </c>
      <c r="AN742" s="71">
        <f>IF(AND($AK742=1,ISNUMBER($L742)),IF($L742=ReportDate,1,0),0)</f>
        <v>0</v>
      </c>
      <c r="AO742" s="71">
        <f>IF(AND($AK742=1,ISNUMBER($L742)),IF($L742=ReportDate+1,1,0),0)</f>
        <v>0</v>
      </c>
      <c r="AP742" s="71">
        <f>IF(AND($AK742=1,ISNUMBER($L742)),IF(AND($L742&gt;=ReportDate,$L742&lt;=ReportDate+DueSoonDays),1,0),0)</f>
        <v>0</v>
      </c>
      <c r="AQ742" s="71">
        <f>IF(AND($AK742=1,OR($I742="Critical",$I742="High")),1,0)</f>
        <v>0</v>
      </c>
      <c r="AR742" s="71">
        <f>IF($AK742=1,IF(ISNUMBER($Y742),IF(ReportDate-$Y742&gt;StaleDays,1,0),1),0)</f>
        <v>0</v>
      </c>
      <c r="AS742" s="71">
        <f>IF(AND($G742&lt;&gt;"",ISNUMBER($Q742),ISNUMBER($R742)),IF(AND($Q742&lt;$R742,OR($M742="Completed",AND(ISNUMBER($L742),$L742&lt;ReportDate))),1,0),0)</f>
        <v>0</v>
      </c>
      <c r="AT742" s="71">
        <f>IF($AK742=1,IF(OR($L742=ReportDate,$W742=ReportDate,$K742=ReportDate,$A742=ReportDate),1,0),0)</f>
        <v>0</v>
      </c>
      <c r="AU742" s="71">
        <f>IF($AK742=1,IF(OR($L742=ReportDate+1,$W742=ReportDate+1,$K742=ReportDate+1,$A742=ReportDate+1),1,0),0)</f>
        <v>0</v>
      </c>
      <c r="AV742" s="71">
        <f>IF(AND($G742&lt;&gt;"",$M742="Completed"),IF(OR($Y742=ReportDate-1,$A742=ReportDate-1),1,0),0)</f>
        <v>0</v>
      </c>
      <c r="AW742" s="71">
        <f>IF(AND($AK742=1,$Z742="Yes"),1,0)</f>
        <v>0</v>
      </c>
      <c r="AX742" s="71">
        <f>IF(AND($AK742=1,$AA742="Yes"),1,0)</f>
        <v>0</v>
      </c>
      <c r="AY742" s="71">
        <f>IF(AND($AM742=1,OR($I742="Critical",$I742="High")),1,0)</f>
        <v>0</v>
      </c>
      <c r="AZ742" s="71">
        <f>IF(AND($AK742=1,OR($C742=TCL_Client,$C742=MECCA_Client)),1,0)</f>
        <v>0</v>
      </c>
      <c r="BA742" s="71" t="str">
        <f>IF($G742="","",IFERROR(MATCH($I742,lst_Priority,0),5))</f>
        <v/>
      </c>
      <c r="BB742" s="71" t="str">
        <f>IF(AND($AL742=1,$AJ742=1),$BA742*100000+ROW(),"")</f>
        <v/>
      </c>
      <c r="BC742" s="71" t="str">
        <f>IF(AND($AM742=1,$AJ742=1),$BA742*100000+ROW(),"")</f>
        <v/>
      </c>
      <c r="BD742" s="71" t="str">
        <f>IF(AND($AP742=1,$AJ742=1),$BA742*100000+ROW(),"")</f>
        <v/>
      </c>
      <c r="BE742" s="71" t="str">
        <f>IF(AND($AT742=1,$AJ742=1),$BA742*100000+ROW(),"")</f>
        <v/>
      </c>
      <c r="BF742" s="71" t="str">
        <f>IF(AND($AU742=1,$AJ742=1),$BA742*100000+ROW(),"")</f>
        <v/>
      </c>
      <c r="BG742" s="71" t="str">
        <f>IF(AND($AV742=1,$AJ742=1),$BA742*100000+ROW(),"")</f>
        <v/>
      </c>
      <c r="BH742" s="71" t="str">
        <f>IF(AND($AW742=1,$AJ742=1),$BA742*100000+ROW(),"")</f>
        <v/>
      </c>
      <c r="BI742" s="71" t="str">
        <f>IF(AND($AX742=1,$AJ742=1),$BA742*100000+ROW(),"")</f>
        <v/>
      </c>
      <c r="BJ742" s="71" t="str">
        <f>IF(AND($AS742=1,$AJ742=1),$BA742*100000+ROW(),"")</f>
        <v/>
      </c>
      <c r="BK742" s="71" t="str">
        <f>IF(AND($AY742=1,$AJ742=1),$BA742*100000+ROW(),"")</f>
        <v/>
      </c>
      <c r="BL742" s="71" t="str">
        <f>IF(AND($AZ742=1),$BA742*100000+ROW(),"")</f>
        <v/>
      </c>
    </row>
    <row r="743">
      <c r="A743" s="63" t="n"/>
      <c r="B743" s="64" t="n"/>
      <c r="C743" s="64" t="n"/>
      <c r="D743" s="64" t="n"/>
      <c r="E743" s="64" t="n"/>
      <c r="F743" s="64" t="n"/>
      <c r="G743" s="65" t="n"/>
      <c r="H743" s="65" t="n"/>
      <c r="I743" s="64" t="n"/>
      <c r="J743" s="64" t="n"/>
      <c r="K743" s="63" t="n"/>
      <c r="L743" s="63" t="n"/>
      <c r="M743" s="64" t="n"/>
      <c r="N743" s="66" t="n"/>
      <c r="O743" s="65" t="n"/>
      <c r="P743" s="64" t="n"/>
      <c r="Q743" s="67" t="n"/>
      <c r="R743" s="67" t="n"/>
      <c r="S743" s="68" t="str">
        <f>IF(AND(ISNUMBER($Q743),ISNUMBER($R743)),$Q743-$R743,"")</f>
        <v/>
      </c>
      <c r="T743" s="65" t="n"/>
      <c r="U743" s="64" t="n"/>
      <c r="V743" s="65" t="n"/>
      <c r="W743" s="63" t="n"/>
      <c r="X743" s="65" t="n"/>
      <c r="Y743" s="63" t="n"/>
      <c r="Z743" s="64" t="n"/>
      <c r="AA743" s="64" t="n"/>
      <c r="AB743" s="65" t="n"/>
      <c r="AC743" s="69" t="str">
        <f>IF(OR($G743="",NOT(ISNUMBER($K743)),$AK743=0),"",MAX(0,ReportDate-$K743))</f>
        <v/>
      </c>
      <c r="AD743" s="69" t="str">
        <f>IF($G743="","",IF($AL743=1,ReportDate-$L743,0))</f>
        <v/>
      </c>
      <c r="AE743" s="70" t="str">
        <f>IF($G743="","",IF($M743="Completed",1,IF(ISNUMBER($N743),$N743,0)))</f>
        <v/>
      </c>
      <c r="AF743" s="70" t="str">
        <f>IF(AND(ISNUMBER($Q743),ISNUMBER($R743)),IF($R743&lt;&gt;0,$Q743/$R743,""),"")</f>
        <v/>
      </c>
      <c r="AG743" s="71" t="str">
        <f>IF($G743="","",IF($AL743=1,"OVERDUE",IF($AM743=1,"BLOCKED",IF($AN743=1,"DUE TODAY",IF($AO743=1,"DUE TOMORROW",IF($AQ743=1,"HIGH PRIORITY",IF($AR743=1,"NO RECENT UPDATE",""))))))) </f>
        <v/>
      </c>
      <c r="AH743" s="71" t="str">
        <f>IF($G743="","",IF(ISNUMBER($A743),IF(ISNUMBER($A743),YEAR($A743)&amp;"-"&amp;TEXT(MONTH($A743),"00"),""),IF(ISNUMBER($L743),IF(ISNUMBER($L743),YEAR($L743)&amp;"-"&amp;TEXT(MONTH($L743),"00"),""),"")))</f>
        <v/>
      </c>
      <c r="AI743" s="71">
        <f>IF($G743="",0,IF(AND(OR(fClient="All",$C743=fClient),OR(fCampaign="All",$D743=fCampaign),OR(fTeam="All",$B743=fTeam),OR(fChannel="All",$F743=fChannel),OR(fMonth="All",$AH743=fMonth),OR(fTStatus="All",$M743=fTStatus)),1,0))</f>
        <v>0</v>
      </c>
      <c r="AJ743" s="71">
        <f>IF($G743="",0,IF(AND(OR(fClient="All",$C743=fClient),OR(fCampaign="All",$D743=fCampaign),OR(fTeam="All",$B743=fTeam),OR(fChannel="All",$F743=fChannel)),1,0))</f>
        <v>0</v>
      </c>
      <c r="AK743" s="71">
        <f>IF($G743="",0,IF(OR($M743="Completed",$M743="Cancelled"),0,1))</f>
        <v>0</v>
      </c>
      <c r="AL743" s="71">
        <f>IF(AND($AK743=1,ISNUMBER($L743)),IF($L743&lt;ReportDate,1,0),0)</f>
        <v>0</v>
      </c>
      <c r="AM743" s="71">
        <f>IF(AND($G743&lt;&gt;"",$M743="Blocked"),1,0)</f>
        <v>0</v>
      </c>
      <c r="AN743" s="71">
        <f>IF(AND($AK743=1,ISNUMBER($L743)),IF($L743=ReportDate,1,0),0)</f>
        <v>0</v>
      </c>
      <c r="AO743" s="71">
        <f>IF(AND($AK743=1,ISNUMBER($L743)),IF($L743=ReportDate+1,1,0),0)</f>
        <v>0</v>
      </c>
      <c r="AP743" s="71">
        <f>IF(AND($AK743=1,ISNUMBER($L743)),IF(AND($L743&gt;=ReportDate,$L743&lt;=ReportDate+DueSoonDays),1,0),0)</f>
        <v>0</v>
      </c>
      <c r="AQ743" s="71">
        <f>IF(AND($AK743=1,OR($I743="Critical",$I743="High")),1,0)</f>
        <v>0</v>
      </c>
      <c r="AR743" s="71">
        <f>IF($AK743=1,IF(ISNUMBER($Y743),IF(ReportDate-$Y743&gt;StaleDays,1,0),1),0)</f>
        <v>0</v>
      </c>
      <c r="AS743" s="71">
        <f>IF(AND($G743&lt;&gt;"",ISNUMBER($Q743),ISNUMBER($R743)),IF(AND($Q743&lt;$R743,OR($M743="Completed",AND(ISNUMBER($L743),$L743&lt;ReportDate))),1,0),0)</f>
        <v>0</v>
      </c>
      <c r="AT743" s="71">
        <f>IF($AK743=1,IF(OR($L743=ReportDate,$W743=ReportDate,$K743=ReportDate,$A743=ReportDate),1,0),0)</f>
        <v>0</v>
      </c>
      <c r="AU743" s="71">
        <f>IF($AK743=1,IF(OR($L743=ReportDate+1,$W743=ReportDate+1,$K743=ReportDate+1,$A743=ReportDate+1),1,0),0)</f>
        <v>0</v>
      </c>
      <c r="AV743" s="71">
        <f>IF(AND($G743&lt;&gt;"",$M743="Completed"),IF(OR($Y743=ReportDate-1,$A743=ReportDate-1),1,0),0)</f>
        <v>0</v>
      </c>
      <c r="AW743" s="71">
        <f>IF(AND($AK743=1,$Z743="Yes"),1,0)</f>
        <v>0</v>
      </c>
      <c r="AX743" s="71">
        <f>IF(AND($AK743=1,$AA743="Yes"),1,0)</f>
        <v>0</v>
      </c>
      <c r="AY743" s="71">
        <f>IF(AND($AM743=1,OR($I743="Critical",$I743="High")),1,0)</f>
        <v>0</v>
      </c>
      <c r="AZ743" s="71">
        <f>IF(AND($AK743=1,OR($C743=TCL_Client,$C743=MECCA_Client)),1,0)</f>
        <v>0</v>
      </c>
      <c r="BA743" s="71" t="str">
        <f>IF($G743="","",IFERROR(MATCH($I743,lst_Priority,0),5))</f>
        <v/>
      </c>
      <c r="BB743" s="71" t="str">
        <f>IF(AND($AL743=1,$AJ743=1),$BA743*100000+ROW(),"")</f>
        <v/>
      </c>
      <c r="BC743" s="71" t="str">
        <f>IF(AND($AM743=1,$AJ743=1),$BA743*100000+ROW(),"")</f>
        <v/>
      </c>
      <c r="BD743" s="71" t="str">
        <f>IF(AND($AP743=1,$AJ743=1),$BA743*100000+ROW(),"")</f>
        <v/>
      </c>
      <c r="BE743" s="71" t="str">
        <f>IF(AND($AT743=1,$AJ743=1),$BA743*100000+ROW(),"")</f>
        <v/>
      </c>
      <c r="BF743" s="71" t="str">
        <f>IF(AND($AU743=1,$AJ743=1),$BA743*100000+ROW(),"")</f>
        <v/>
      </c>
      <c r="BG743" s="71" t="str">
        <f>IF(AND($AV743=1,$AJ743=1),$BA743*100000+ROW(),"")</f>
        <v/>
      </c>
      <c r="BH743" s="71" t="str">
        <f>IF(AND($AW743=1,$AJ743=1),$BA743*100000+ROW(),"")</f>
        <v/>
      </c>
      <c r="BI743" s="71" t="str">
        <f>IF(AND($AX743=1,$AJ743=1),$BA743*100000+ROW(),"")</f>
        <v/>
      </c>
      <c r="BJ743" s="71" t="str">
        <f>IF(AND($AS743=1,$AJ743=1),$BA743*100000+ROW(),"")</f>
        <v/>
      </c>
      <c r="BK743" s="71" t="str">
        <f>IF(AND($AY743=1,$AJ743=1),$BA743*100000+ROW(),"")</f>
        <v/>
      </c>
      <c r="BL743" s="71" t="str">
        <f>IF(AND($AZ743=1),$BA743*100000+ROW(),"")</f>
        <v/>
      </c>
    </row>
    <row r="744">
      <c r="A744" s="63" t="n"/>
      <c r="B744" s="64" t="n"/>
      <c r="C744" s="64" t="n"/>
      <c r="D744" s="64" t="n"/>
      <c r="E744" s="64" t="n"/>
      <c r="F744" s="64" t="n"/>
      <c r="G744" s="65" t="n"/>
      <c r="H744" s="65" t="n"/>
      <c r="I744" s="64" t="n"/>
      <c r="J744" s="64" t="n"/>
      <c r="K744" s="63" t="n"/>
      <c r="L744" s="63" t="n"/>
      <c r="M744" s="64" t="n"/>
      <c r="N744" s="66" t="n"/>
      <c r="O744" s="65" t="n"/>
      <c r="P744" s="64" t="n"/>
      <c r="Q744" s="67" t="n"/>
      <c r="R744" s="67" t="n"/>
      <c r="S744" s="68" t="str">
        <f>IF(AND(ISNUMBER($Q744),ISNUMBER($R744)),$Q744-$R744,"")</f>
        <v/>
      </c>
      <c r="T744" s="65" t="n"/>
      <c r="U744" s="64" t="n"/>
      <c r="V744" s="65" t="n"/>
      <c r="W744" s="63" t="n"/>
      <c r="X744" s="65" t="n"/>
      <c r="Y744" s="63" t="n"/>
      <c r="Z744" s="64" t="n"/>
      <c r="AA744" s="64" t="n"/>
      <c r="AB744" s="65" t="n"/>
      <c r="AC744" s="69" t="str">
        <f>IF(OR($G744="",NOT(ISNUMBER($K744)),$AK744=0),"",MAX(0,ReportDate-$K744))</f>
        <v/>
      </c>
      <c r="AD744" s="69" t="str">
        <f>IF($G744="","",IF($AL744=1,ReportDate-$L744,0))</f>
        <v/>
      </c>
      <c r="AE744" s="70" t="str">
        <f>IF($G744="","",IF($M744="Completed",1,IF(ISNUMBER($N744),$N744,0)))</f>
        <v/>
      </c>
      <c r="AF744" s="70" t="str">
        <f>IF(AND(ISNUMBER($Q744),ISNUMBER($R744)),IF($R744&lt;&gt;0,$Q744/$R744,""),"")</f>
        <v/>
      </c>
      <c r="AG744" s="71" t="str">
        <f>IF($G744="","",IF($AL744=1,"OVERDUE",IF($AM744=1,"BLOCKED",IF($AN744=1,"DUE TODAY",IF($AO744=1,"DUE TOMORROW",IF($AQ744=1,"HIGH PRIORITY",IF($AR744=1,"NO RECENT UPDATE",""))))))) </f>
        <v/>
      </c>
      <c r="AH744" s="71" t="str">
        <f>IF($G744="","",IF(ISNUMBER($A744),IF(ISNUMBER($A744),YEAR($A744)&amp;"-"&amp;TEXT(MONTH($A744),"00"),""),IF(ISNUMBER($L744),IF(ISNUMBER($L744),YEAR($L744)&amp;"-"&amp;TEXT(MONTH($L744),"00"),""),"")))</f>
        <v/>
      </c>
      <c r="AI744" s="71">
        <f>IF($G744="",0,IF(AND(OR(fClient="All",$C744=fClient),OR(fCampaign="All",$D744=fCampaign),OR(fTeam="All",$B744=fTeam),OR(fChannel="All",$F744=fChannel),OR(fMonth="All",$AH744=fMonth),OR(fTStatus="All",$M744=fTStatus)),1,0))</f>
        <v>0</v>
      </c>
      <c r="AJ744" s="71">
        <f>IF($G744="",0,IF(AND(OR(fClient="All",$C744=fClient),OR(fCampaign="All",$D744=fCampaign),OR(fTeam="All",$B744=fTeam),OR(fChannel="All",$F744=fChannel)),1,0))</f>
        <v>0</v>
      </c>
      <c r="AK744" s="71">
        <f>IF($G744="",0,IF(OR($M744="Completed",$M744="Cancelled"),0,1))</f>
        <v>0</v>
      </c>
      <c r="AL744" s="71">
        <f>IF(AND($AK744=1,ISNUMBER($L744)),IF($L744&lt;ReportDate,1,0),0)</f>
        <v>0</v>
      </c>
      <c r="AM744" s="71">
        <f>IF(AND($G744&lt;&gt;"",$M744="Blocked"),1,0)</f>
        <v>0</v>
      </c>
      <c r="AN744" s="71">
        <f>IF(AND($AK744=1,ISNUMBER($L744)),IF($L744=ReportDate,1,0),0)</f>
        <v>0</v>
      </c>
      <c r="AO744" s="71">
        <f>IF(AND($AK744=1,ISNUMBER($L744)),IF($L744=ReportDate+1,1,0),0)</f>
        <v>0</v>
      </c>
      <c r="AP744" s="71">
        <f>IF(AND($AK744=1,ISNUMBER($L744)),IF(AND($L744&gt;=ReportDate,$L744&lt;=ReportDate+DueSoonDays),1,0),0)</f>
        <v>0</v>
      </c>
      <c r="AQ744" s="71">
        <f>IF(AND($AK744=1,OR($I744="Critical",$I744="High")),1,0)</f>
        <v>0</v>
      </c>
      <c r="AR744" s="71">
        <f>IF($AK744=1,IF(ISNUMBER($Y744),IF(ReportDate-$Y744&gt;StaleDays,1,0),1),0)</f>
        <v>0</v>
      </c>
      <c r="AS744" s="71">
        <f>IF(AND($G744&lt;&gt;"",ISNUMBER($Q744),ISNUMBER($R744)),IF(AND($Q744&lt;$R744,OR($M744="Completed",AND(ISNUMBER($L744),$L744&lt;ReportDate))),1,0),0)</f>
        <v>0</v>
      </c>
      <c r="AT744" s="71">
        <f>IF($AK744=1,IF(OR($L744=ReportDate,$W744=ReportDate,$K744=ReportDate,$A744=ReportDate),1,0),0)</f>
        <v>0</v>
      </c>
      <c r="AU744" s="71">
        <f>IF($AK744=1,IF(OR($L744=ReportDate+1,$W744=ReportDate+1,$K744=ReportDate+1,$A744=ReportDate+1),1,0),0)</f>
        <v>0</v>
      </c>
      <c r="AV744" s="71">
        <f>IF(AND($G744&lt;&gt;"",$M744="Completed"),IF(OR($Y744=ReportDate-1,$A744=ReportDate-1),1,0),0)</f>
        <v>0</v>
      </c>
      <c r="AW744" s="71">
        <f>IF(AND($AK744=1,$Z744="Yes"),1,0)</f>
        <v>0</v>
      </c>
      <c r="AX744" s="71">
        <f>IF(AND($AK744=1,$AA744="Yes"),1,0)</f>
        <v>0</v>
      </c>
      <c r="AY744" s="71">
        <f>IF(AND($AM744=1,OR($I744="Critical",$I744="High")),1,0)</f>
        <v>0</v>
      </c>
      <c r="AZ744" s="71">
        <f>IF(AND($AK744=1,OR($C744=TCL_Client,$C744=MECCA_Client)),1,0)</f>
        <v>0</v>
      </c>
      <c r="BA744" s="71" t="str">
        <f>IF($G744="","",IFERROR(MATCH($I744,lst_Priority,0),5))</f>
        <v/>
      </c>
      <c r="BB744" s="71" t="str">
        <f>IF(AND($AL744=1,$AJ744=1),$BA744*100000+ROW(),"")</f>
        <v/>
      </c>
      <c r="BC744" s="71" t="str">
        <f>IF(AND($AM744=1,$AJ744=1),$BA744*100000+ROW(),"")</f>
        <v/>
      </c>
      <c r="BD744" s="71" t="str">
        <f>IF(AND($AP744=1,$AJ744=1),$BA744*100000+ROW(),"")</f>
        <v/>
      </c>
      <c r="BE744" s="71" t="str">
        <f>IF(AND($AT744=1,$AJ744=1),$BA744*100000+ROW(),"")</f>
        <v/>
      </c>
      <c r="BF744" s="71" t="str">
        <f>IF(AND($AU744=1,$AJ744=1),$BA744*100000+ROW(),"")</f>
        <v/>
      </c>
      <c r="BG744" s="71" t="str">
        <f>IF(AND($AV744=1,$AJ744=1),$BA744*100000+ROW(),"")</f>
        <v/>
      </c>
      <c r="BH744" s="71" t="str">
        <f>IF(AND($AW744=1,$AJ744=1),$BA744*100000+ROW(),"")</f>
        <v/>
      </c>
      <c r="BI744" s="71" t="str">
        <f>IF(AND($AX744=1,$AJ744=1),$BA744*100000+ROW(),"")</f>
        <v/>
      </c>
      <c r="BJ744" s="71" t="str">
        <f>IF(AND($AS744=1,$AJ744=1),$BA744*100000+ROW(),"")</f>
        <v/>
      </c>
      <c r="BK744" s="71" t="str">
        <f>IF(AND($AY744=1,$AJ744=1),$BA744*100000+ROW(),"")</f>
        <v/>
      </c>
      <c r="BL744" s="71" t="str">
        <f>IF(AND($AZ744=1),$BA744*100000+ROW(),"")</f>
        <v/>
      </c>
    </row>
    <row r="745">
      <c r="A745" s="63" t="n"/>
      <c r="B745" s="64" t="n"/>
      <c r="C745" s="64" t="n"/>
      <c r="D745" s="64" t="n"/>
      <c r="E745" s="64" t="n"/>
      <c r="F745" s="64" t="n"/>
      <c r="G745" s="65" t="n"/>
      <c r="H745" s="65" t="n"/>
      <c r="I745" s="64" t="n"/>
      <c r="J745" s="64" t="n"/>
      <c r="K745" s="63" t="n"/>
      <c r="L745" s="63" t="n"/>
      <c r="M745" s="64" t="n"/>
      <c r="N745" s="66" t="n"/>
      <c r="O745" s="65" t="n"/>
      <c r="P745" s="64" t="n"/>
      <c r="Q745" s="67" t="n"/>
      <c r="R745" s="67" t="n"/>
      <c r="S745" s="68" t="str">
        <f>IF(AND(ISNUMBER($Q745),ISNUMBER($R745)),$Q745-$R745,"")</f>
        <v/>
      </c>
      <c r="T745" s="65" t="n"/>
      <c r="U745" s="64" t="n"/>
      <c r="V745" s="65" t="n"/>
      <c r="W745" s="63" t="n"/>
      <c r="X745" s="65" t="n"/>
      <c r="Y745" s="63" t="n"/>
      <c r="Z745" s="64" t="n"/>
      <c r="AA745" s="64" t="n"/>
      <c r="AB745" s="65" t="n"/>
      <c r="AC745" s="69" t="str">
        <f>IF(OR($G745="",NOT(ISNUMBER($K745)),$AK745=0),"",MAX(0,ReportDate-$K745))</f>
        <v/>
      </c>
      <c r="AD745" s="69" t="str">
        <f>IF($G745="","",IF($AL745=1,ReportDate-$L745,0))</f>
        <v/>
      </c>
      <c r="AE745" s="70" t="str">
        <f>IF($G745="","",IF($M745="Completed",1,IF(ISNUMBER($N745),$N745,0)))</f>
        <v/>
      </c>
      <c r="AF745" s="70" t="str">
        <f>IF(AND(ISNUMBER($Q745),ISNUMBER($R745)),IF($R745&lt;&gt;0,$Q745/$R745,""),"")</f>
        <v/>
      </c>
      <c r="AG745" s="71" t="str">
        <f>IF($G745="","",IF($AL745=1,"OVERDUE",IF($AM745=1,"BLOCKED",IF($AN745=1,"DUE TODAY",IF($AO745=1,"DUE TOMORROW",IF($AQ745=1,"HIGH PRIORITY",IF($AR745=1,"NO RECENT UPDATE",""))))))) </f>
        <v/>
      </c>
      <c r="AH745" s="71" t="str">
        <f>IF($G745="","",IF(ISNUMBER($A745),IF(ISNUMBER($A745),YEAR($A745)&amp;"-"&amp;TEXT(MONTH($A745),"00"),""),IF(ISNUMBER($L745),IF(ISNUMBER($L745),YEAR($L745)&amp;"-"&amp;TEXT(MONTH($L745),"00"),""),"")))</f>
        <v/>
      </c>
      <c r="AI745" s="71">
        <f>IF($G745="",0,IF(AND(OR(fClient="All",$C745=fClient),OR(fCampaign="All",$D745=fCampaign),OR(fTeam="All",$B745=fTeam),OR(fChannel="All",$F745=fChannel),OR(fMonth="All",$AH745=fMonth),OR(fTStatus="All",$M745=fTStatus)),1,0))</f>
        <v>0</v>
      </c>
      <c r="AJ745" s="71">
        <f>IF($G745="",0,IF(AND(OR(fClient="All",$C745=fClient),OR(fCampaign="All",$D745=fCampaign),OR(fTeam="All",$B745=fTeam),OR(fChannel="All",$F745=fChannel)),1,0))</f>
        <v>0</v>
      </c>
      <c r="AK745" s="71">
        <f>IF($G745="",0,IF(OR($M745="Completed",$M745="Cancelled"),0,1))</f>
        <v>0</v>
      </c>
      <c r="AL745" s="71">
        <f>IF(AND($AK745=1,ISNUMBER($L745)),IF($L745&lt;ReportDate,1,0),0)</f>
        <v>0</v>
      </c>
      <c r="AM745" s="71">
        <f>IF(AND($G745&lt;&gt;"",$M745="Blocked"),1,0)</f>
        <v>0</v>
      </c>
      <c r="AN745" s="71">
        <f>IF(AND($AK745=1,ISNUMBER($L745)),IF($L745=ReportDate,1,0),0)</f>
        <v>0</v>
      </c>
      <c r="AO745" s="71">
        <f>IF(AND($AK745=1,ISNUMBER($L745)),IF($L745=ReportDate+1,1,0),0)</f>
        <v>0</v>
      </c>
      <c r="AP745" s="71">
        <f>IF(AND($AK745=1,ISNUMBER($L745)),IF(AND($L745&gt;=ReportDate,$L745&lt;=ReportDate+DueSoonDays),1,0),0)</f>
        <v>0</v>
      </c>
      <c r="AQ745" s="71">
        <f>IF(AND($AK745=1,OR($I745="Critical",$I745="High")),1,0)</f>
        <v>0</v>
      </c>
      <c r="AR745" s="71">
        <f>IF($AK745=1,IF(ISNUMBER($Y745),IF(ReportDate-$Y745&gt;StaleDays,1,0),1),0)</f>
        <v>0</v>
      </c>
      <c r="AS745" s="71">
        <f>IF(AND($G745&lt;&gt;"",ISNUMBER($Q745),ISNUMBER($R745)),IF(AND($Q745&lt;$R745,OR($M745="Completed",AND(ISNUMBER($L745),$L745&lt;ReportDate))),1,0),0)</f>
        <v>0</v>
      </c>
      <c r="AT745" s="71">
        <f>IF($AK745=1,IF(OR($L745=ReportDate,$W745=ReportDate,$K745=ReportDate,$A745=ReportDate),1,0),0)</f>
        <v>0</v>
      </c>
      <c r="AU745" s="71">
        <f>IF($AK745=1,IF(OR($L745=ReportDate+1,$W745=ReportDate+1,$K745=ReportDate+1,$A745=ReportDate+1),1,0),0)</f>
        <v>0</v>
      </c>
      <c r="AV745" s="71">
        <f>IF(AND($G745&lt;&gt;"",$M745="Completed"),IF(OR($Y745=ReportDate-1,$A745=ReportDate-1),1,0),0)</f>
        <v>0</v>
      </c>
      <c r="AW745" s="71">
        <f>IF(AND($AK745=1,$Z745="Yes"),1,0)</f>
        <v>0</v>
      </c>
      <c r="AX745" s="71">
        <f>IF(AND($AK745=1,$AA745="Yes"),1,0)</f>
        <v>0</v>
      </c>
      <c r="AY745" s="71">
        <f>IF(AND($AM745=1,OR($I745="Critical",$I745="High")),1,0)</f>
        <v>0</v>
      </c>
      <c r="AZ745" s="71">
        <f>IF(AND($AK745=1,OR($C745=TCL_Client,$C745=MECCA_Client)),1,0)</f>
        <v>0</v>
      </c>
      <c r="BA745" s="71" t="str">
        <f>IF($G745="","",IFERROR(MATCH($I745,lst_Priority,0),5))</f>
        <v/>
      </c>
      <c r="BB745" s="71" t="str">
        <f>IF(AND($AL745=1,$AJ745=1),$BA745*100000+ROW(),"")</f>
        <v/>
      </c>
      <c r="BC745" s="71" t="str">
        <f>IF(AND($AM745=1,$AJ745=1),$BA745*100000+ROW(),"")</f>
        <v/>
      </c>
      <c r="BD745" s="71" t="str">
        <f>IF(AND($AP745=1,$AJ745=1),$BA745*100000+ROW(),"")</f>
        <v/>
      </c>
      <c r="BE745" s="71" t="str">
        <f>IF(AND($AT745=1,$AJ745=1),$BA745*100000+ROW(),"")</f>
        <v/>
      </c>
      <c r="BF745" s="71" t="str">
        <f>IF(AND($AU745=1,$AJ745=1),$BA745*100000+ROW(),"")</f>
        <v/>
      </c>
      <c r="BG745" s="71" t="str">
        <f>IF(AND($AV745=1,$AJ745=1),$BA745*100000+ROW(),"")</f>
        <v/>
      </c>
      <c r="BH745" s="71" t="str">
        <f>IF(AND($AW745=1,$AJ745=1),$BA745*100000+ROW(),"")</f>
        <v/>
      </c>
      <c r="BI745" s="71" t="str">
        <f>IF(AND($AX745=1,$AJ745=1),$BA745*100000+ROW(),"")</f>
        <v/>
      </c>
      <c r="BJ745" s="71" t="str">
        <f>IF(AND($AS745=1,$AJ745=1),$BA745*100000+ROW(),"")</f>
        <v/>
      </c>
      <c r="BK745" s="71" t="str">
        <f>IF(AND($AY745=1,$AJ745=1),$BA745*100000+ROW(),"")</f>
        <v/>
      </c>
      <c r="BL745" s="71" t="str">
        <f>IF(AND($AZ745=1),$BA745*100000+ROW(),"")</f>
        <v/>
      </c>
    </row>
    <row r="746">
      <c r="A746" s="63" t="n"/>
      <c r="B746" s="64" t="n"/>
      <c r="C746" s="64" t="n"/>
      <c r="D746" s="64" t="n"/>
      <c r="E746" s="64" t="n"/>
      <c r="F746" s="64" t="n"/>
      <c r="G746" s="65" t="n"/>
      <c r="H746" s="65" t="n"/>
      <c r="I746" s="64" t="n"/>
      <c r="J746" s="64" t="n"/>
      <c r="K746" s="63" t="n"/>
      <c r="L746" s="63" t="n"/>
      <c r="M746" s="64" t="n"/>
      <c r="N746" s="66" t="n"/>
      <c r="O746" s="65" t="n"/>
      <c r="P746" s="64" t="n"/>
      <c r="Q746" s="67" t="n"/>
      <c r="R746" s="67" t="n"/>
      <c r="S746" s="68" t="str">
        <f>IF(AND(ISNUMBER($Q746),ISNUMBER($R746)),$Q746-$R746,"")</f>
        <v/>
      </c>
      <c r="T746" s="65" t="n"/>
      <c r="U746" s="64" t="n"/>
      <c r="V746" s="65" t="n"/>
      <c r="W746" s="63" t="n"/>
      <c r="X746" s="65" t="n"/>
      <c r="Y746" s="63" t="n"/>
      <c r="Z746" s="64" t="n"/>
      <c r="AA746" s="64" t="n"/>
      <c r="AB746" s="65" t="n"/>
      <c r="AC746" s="69" t="str">
        <f>IF(OR($G746="",NOT(ISNUMBER($K746)),$AK746=0),"",MAX(0,ReportDate-$K746))</f>
        <v/>
      </c>
      <c r="AD746" s="69" t="str">
        <f>IF($G746="","",IF($AL746=1,ReportDate-$L746,0))</f>
        <v/>
      </c>
      <c r="AE746" s="70" t="str">
        <f>IF($G746="","",IF($M746="Completed",1,IF(ISNUMBER($N746),$N746,0)))</f>
        <v/>
      </c>
      <c r="AF746" s="70" t="str">
        <f>IF(AND(ISNUMBER($Q746),ISNUMBER($R746)),IF($R746&lt;&gt;0,$Q746/$R746,""),"")</f>
        <v/>
      </c>
      <c r="AG746" s="71" t="str">
        <f>IF($G746="","",IF($AL746=1,"OVERDUE",IF($AM746=1,"BLOCKED",IF($AN746=1,"DUE TODAY",IF($AO746=1,"DUE TOMORROW",IF($AQ746=1,"HIGH PRIORITY",IF($AR746=1,"NO RECENT UPDATE",""))))))) </f>
        <v/>
      </c>
      <c r="AH746" s="71" t="str">
        <f>IF($G746="","",IF(ISNUMBER($A746),IF(ISNUMBER($A746),YEAR($A746)&amp;"-"&amp;TEXT(MONTH($A746),"00"),""),IF(ISNUMBER($L746),IF(ISNUMBER($L746),YEAR($L746)&amp;"-"&amp;TEXT(MONTH($L746),"00"),""),"")))</f>
        <v/>
      </c>
      <c r="AI746" s="71">
        <f>IF($G746="",0,IF(AND(OR(fClient="All",$C746=fClient),OR(fCampaign="All",$D746=fCampaign),OR(fTeam="All",$B746=fTeam),OR(fChannel="All",$F746=fChannel),OR(fMonth="All",$AH746=fMonth),OR(fTStatus="All",$M746=fTStatus)),1,0))</f>
        <v>0</v>
      </c>
      <c r="AJ746" s="71">
        <f>IF($G746="",0,IF(AND(OR(fClient="All",$C746=fClient),OR(fCampaign="All",$D746=fCampaign),OR(fTeam="All",$B746=fTeam),OR(fChannel="All",$F746=fChannel)),1,0))</f>
        <v>0</v>
      </c>
      <c r="AK746" s="71">
        <f>IF($G746="",0,IF(OR($M746="Completed",$M746="Cancelled"),0,1))</f>
        <v>0</v>
      </c>
      <c r="AL746" s="71">
        <f>IF(AND($AK746=1,ISNUMBER($L746)),IF($L746&lt;ReportDate,1,0),0)</f>
        <v>0</v>
      </c>
      <c r="AM746" s="71">
        <f>IF(AND($G746&lt;&gt;"",$M746="Blocked"),1,0)</f>
        <v>0</v>
      </c>
      <c r="AN746" s="71">
        <f>IF(AND($AK746=1,ISNUMBER($L746)),IF($L746=ReportDate,1,0),0)</f>
        <v>0</v>
      </c>
      <c r="AO746" s="71">
        <f>IF(AND($AK746=1,ISNUMBER($L746)),IF($L746=ReportDate+1,1,0),0)</f>
        <v>0</v>
      </c>
      <c r="AP746" s="71">
        <f>IF(AND($AK746=1,ISNUMBER($L746)),IF(AND($L746&gt;=ReportDate,$L746&lt;=ReportDate+DueSoonDays),1,0),0)</f>
        <v>0</v>
      </c>
      <c r="AQ746" s="71">
        <f>IF(AND($AK746=1,OR($I746="Critical",$I746="High")),1,0)</f>
        <v>0</v>
      </c>
      <c r="AR746" s="71">
        <f>IF($AK746=1,IF(ISNUMBER($Y746),IF(ReportDate-$Y746&gt;StaleDays,1,0),1),0)</f>
        <v>0</v>
      </c>
      <c r="AS746" s="71">
        <f>IF(AND($G746&lt;&gt;"",ISNUMBER($Q746),ISNUMBER($R746)),IF(AND($Q746&lt;$R746,OR($M746="Completed",AND(ISNUMBER($L746),$L746&lt;ReportDate))),1,0),0)</f>
        <v>0</v>
      </c>
      <c r="AT746" s="71">
        <f>IF($AK746=1,IF(OR($L746=ReportDate,$W746=ReportDate,$K746=ReportDate,$A746=ReportDate),1,0),0)</f>
        <v>0</v>
      </c>
      <c r="AU746" s="71">
        <f>IF($AK746=1,IF(OR($L746=ReportDate+1,$W746=ReportDate+1,$K746=ReportDate+1,$A746=ReportDate+1),1,0),0)</f>
        <v>0</v>
      </c>
      <c r="AV746" s="71">
        <f>IF(AND($G746&lt;&gt;"",$M746="Completed"),IF(OR($Y746=ReportDate-1,$A746=ReportDate-1),1,0),0)</f>
        <v>0</v>
      </c>
      <c r="AW746" s="71">
        <f>IF(AND($AK746=1,$Z746="Yes"),1,0)</f>
        <v>0</v>
      </c>
      <c r="AX746" s="71">
        <f>IF(AND($AK746=1,$AA746="Yes"),1,0)</f>
        <v>0</v>
      </c>
      <c r="AY746" s="71">
        <f>IF(AND($AM746=1,OR($I746="Critical",$I746="High")),1,0)</f>
        <v>0</v>
      </c>
      <c r="AZ746" s="71">
        <f>IF(AND($AK746=1,OR($C746=TCL_Client,$C746=MECCA_Client)),1,0)</f>
        <v>0</v>
      </c>
      <c r="BA746" s="71" t="str">
        <f>IF($G746="","",IFERROR(MATCH($I746,lst_Priority,0),5))</f>
        <v/>
      </c>
      <c r="BB746" s="71" t="str">
        <f>IF(AND($AL746=1,$AJ746=1),$BA746*100000+ROW(),"")</f>
        <v/>
      </c>
      <c r="BC746" s="71" t="str">
        <f>IF(AND($AM746=1,$AJ746=1),$BA746*100000+ROW(),"")</f>
        <v/>
      </c>
      <c r="BD746" s="71" t="str">
        <f>IF(AND($AP746=1,$AJ746=1),$BA746*100000+ROW(),"")</f>
        <v/>
      </c>
      <c r="BE746" s="71" t="str">
        <f>IF(AND($AT746=1,$AJ746=1),$BA746*100000+ROW(),"")</f>
        <v/>
      </c>
      <c r="BF746" s="71" t="str">
        <f>IF(AND($AU746=1,$AJ746=1),$BA746*100000+ROW(),"")</f>
        <v/>
      </c>
      <c r="BG746" s="71" t="str">
        <f>IF(AND($AV746=1,$AJ746=1),$BA746*100000+ROW(),"")</f>
        <v/>
      </c>
      <c r="BH746" s="71" t="str">
        <f>IF(AND($AW746=1,$AJ746=1),$BA746*100000+ROW(),"")</f>
        <v/>
      </c>
      <c r="BI746" s="71" t="str">
        <f>IF(AND($AX746=1,$AJ746=1),$BA746*100000+ROW(),"")</f>
        <v/>
      </c>
      <c r="BJ746" s="71" t="str">
        <f>IF(AND($AS746=1,$AJ746=1),$BA746*100000+ROW(),"")</f>
        <v/>
      </c>
      <c r="BK746" s="71" t="str">
        <f>IF(AND($AY746=1,$AJ746=1),$BA746*100000+ROW(),"")</f>
        <v/>
      </c>
      <c r="BL746" s="71" t="str">
        <f>IF(AND($AZ746=1),$BA746*100000+ROW(),"")</f>
        <v/>
      </c>
    </row>
    <row r="747">
      <c r="A747" s="63" t="n"/>
      <c r="B747" s="64" t="n"/>
      <c r="C747" s="64" t="n"/>
      <c r="D747" s="64" t="n"/>
      <c r="E747" s="64" t="n"/>
      <c r="F747" s="64" t="n"/>
      <c r="G747" s="65" t="n"/>
      <c r="H747" s="65" t="n"/>
      <c r="I747" s="64" t="n"/>
      <c r="J747" s="64" t="n"/>
      <c r="K747" s="63" t="n"/>
      <c r="L747" s="63" t="n"/>
      <c r="M747" s="64" t="n"/>
      <c r="N747" s="66" t="n"/>
      <c r="O747" s="65" t="n"/>
      <c r="P747" s="64" t="n"/>
      <c r="Q747" s="67" t="n"/>
      <c r="R747" s="67" t="n"/>
      <c r="S747" s="68" t="str">
        <f>IF(AND(ISNUMBER($Q747),ISNUMBER($R747)),$Q747-$R747,"")</f>
        <v/>
      </c>
      <c r="T747" s="65" t="n"/>
      <c r="U747" s="64" t="n"/>
      <c r="V747" s="65" t="n"/>
      <c r="W747" s="63" t="n"/>
      <c r="X747" s="65" t="n"/>
      <c r="Y747" s="63" t="n"/>
      <c r="Z747" s="64" t="n"/>
      <c r="AA747" s="64" t="n"/>
      <c r="AB747" s="65" t="n"/>
      <c r="AC747" s="69" t="str">
        <f>IF(OR($G747="",NOT(ISNUMBER($K747)),$AK747=0),"",MAX(0,ReportDate-$K747))</f>
        <v/>
      </c>
      <c r="AD747" s="69" t="str">
        <f>IF($G747="","",IF($AL747=1,ReportDate-$L747,0))</f>
        <v/>
      </c>
      <c r="AE747" s="70" t="str">
        <f>IF($G747="","",IF($M747="Completed",1,IF(ISNUMBER($N747),$N747,0)))</f>
        <v/>
      </c>
      <c r="AF747" s="70" t="str">
        <f>IF(AND(ISNUMBER($Q747),ISNUMBER($R747)),IF($R747&lt;&gt;0,$Q747/$R747,""),"")</f>
        <v/>
      </c>
      <c r="AG747" s="71" t="str">
        <f>IF($G747="","",IF($AL747=1,"OVERDUE",IF($AM747=1,"BLOCKED",IF($AN747=1,"DUE TODAY",IF($AO747=1,"DUE TOMORROW",IF($AQ747=1,"HIGH PRIORITY",IF($AR747=1,"NO RECENT UPDATE",""))))))) </f>
        <v/>
      </c>
      <c r="AH747" s="71" t="str">
        <f>IF($G747="","",IF(ISNUMBER($A747),IF(ISNUMBER($A747),YEAR($A747)&amp;"-"&amp;TEXT(MONTH($A747),"00"),""),IF(ISNUMBER($L747),IF(ISNUMBER($L747),YEAR($L747)&amp;"-"&amp;TEXT(MONTH($L747),"00"),""),"")))</f>
        <v/>
      </c>
      <c r="AI747" s="71">
        <f>IF($G747="",0,IF(AND(OR(fClient="All",$C747=fClient),OR(fCampaign="All",$D747=fCampaign),OR(fTeam="All",$B747=fTeam),OR(fChannel="All",$F747=fChannel),OR(fMonth="All",$AH747=fMonth),OR(fTStatus="All",$M747=fTStatus)),1,0))</f>
        <v>0</v>
      </c>
      <c r="AJ747" s="71">
        <f>IF($G747="",0,IF(AND(OR(fClient="All",$C747=fClient),OR(fCampaign="All",$D747=fCampaign),OR(fTeam="All",$B747=fTeam),OR(fChannel="All",$F747=fChannel)),1,0))</f>
        <v>0</v>
      </c>
      <c r="AK747" s="71">
        <f>IF($G747="",0,IF(OR($M747="Completed",$M747="Cancelled"),0,1))</f>
        <v>0</v>
      </c>
      <c r="AL747" s="71">
        <f>IF(AND($AK747=1,ISNUMBER($L747)),IF($L747&lt;ReportDate,1,0),0)</f>
        <v>0</v>
      </c>
      <c r="AM747" s="71">
        <f>IF(AND($G747&lt;&gt;"",$M747="Blocked"),1,0)</f>
        <v>0</v>
      </c>
      <c r="AN747" s="71">
        <f>IF(AND($AK747=1,ISNUMBER($L747)),IF($L747=ReportDate,1,0),0)</f>
        <v>0</v>
      </c>
      <c r="AO747" s="71">
        <f>IF(AND($AK747=1,ISNUMBER($L747)),IF($L747=ReportDate+1,1,0),0)</f>
        <v>0</v>
      </c>
      <c r="AP747" s="71">
        <f>IF(AND($AK747=1,ISNUMBER($L747)),IF(AND($L747&gt;=ReportDate,$L747&lt;=ReportDate+DueSoonDays),1,0),0)</f>
        <v>0</v>
      </c>
      <c r="AQ747" s="71">
        <f>IF(AND($AK747=1,OR($I747="Critical",$I747="High")),1,0)</f>
        <v>0</v>
      </c>
      <c r="AR747" s="71">
        <f>IF($AK747=1,IF(ISNUMBER($Y747),IF(ReportDate-$Y747&gt;StaleDays,1,0),1),0)</f>
        <v>0</v>
      </c>
      <c r="AS747" s="71">
        <f>IF(AND($G747&lt;&gt;"",ISNUMBER($Q747),ISNUMBER($R747)),IF(AND($Q747&lt;$R747,OR($M747="Completed",AND(ISNUMBER($L747),$L747&lt;ReportDate))),1,0),0)</f>
        <v>0</v>
      </c>
      <c r="AT747" s="71">
        <f>IF($AK747=1,IF(OR($L747=ReportDate,$W747=ReportDate,$K747=ReportDate,$A747=ReportDate),1,0),0)</f>
        <v>0</v>
      </c>
      <c r="AU747" s="71">
        <f>IF($AK747=1,IF(OR($L747=ReportDate+1,$W747=ReportDate+1,$K747=ReportDate+1,$A747=ReportDate+1),1,0),0)</f>
        <v>0</v>
      </c>
      <c r="AV747" s="71">
        <f>IF(AND($G747&lt;&gt;"",$M747="Completed"),IF(OR($Y747=ReportDate-1,$A747=ReportDate-1),1,0),0)</f>
        <v>0</v>
      </c>
      <c r="AW747" s="71">
        <f>IF(AND($AK747=1,$Z747="Yes"),1,0)</f>
        <v>0</v>
      </c>
      <c r="AX747" s="71">
        <f>IF(AND($AK747=1,$AA747="Yes"),1,0)</f>
        <v>0</v>
      </c>
      <c r="AY747" s="71">
        <f>IF(AND($AM747=1,OR($I747="Critical",$I747="High")),1,0)</f>
        <v>0</v>
      </c>
      <c r="AZ747" s="71">
        <f>IF(AND($AK747=1,OR($C747=TCL_Client,$C747=MECCA_Client)),1,0)</f>
        <v>0</v>
      </c>
      <c r="BA747" s="71" t="str">
        <f>IF($G747="","",IFERROR(MATCH($I747,lst_Priority,0),5))</f>
        <v/>
      </c>
      <c r="BB747" s="71" t="str">
        <f>IF(AND($AL747=1,$AJ747=1),$BA747*100000+ROW(),"")</f>
        <v/>
      </c>
      <c r="BC747" s="71" t="str">
        <f>IF(AND($AM747=1,$AJ747=1),$BA747*100000+ROW(),"")</f>
        <v/>
      </c>
      <c r="BD747" s="71" t="str">
        <f>IF(AND($AP747=1,$AJ747=1),$BA747*100000+ROW(),"")</f>
        <v/>
      </c>
      <c r="BE747" s="71" t="str">
        <f>IF(AND($AT747=1,$AJ747=1),$BA747*100000+ROW(),"")</f>
        <v/>
      </c>
      <c r="BF747" s="71" t="str">
        <f>IF(AND($AU747=1,$AJ747=1),$BA747*100000+ROW(),"")</f>
        <v/>
      </c>
      <c r="BG747" s="71" t="str">
        <f>IF(AND($AV747=1,$AJ747=1),$BA747*100000+ROW(),"")</f>
        <v/>
      </c>
      <c r="BH747" s="71" t="str">
        <f>IF(AND($AW747=1,$AJ747=1),$BA747*100000+ROW(),"")</f>
        <v/>
      </c>
      <c r="BI747" s="71" t="str">
        <f>IF(AND($AX747=1,$AJ747=1),$BA747*100000+ROW(),"")</f>
        <v/>
      </c>
      <c r="BJ747" s="71" t="str">
        <f>IF(AND($AS747=1,$AJ747=1),$BA747*100000+ROW(),"")</f>
        <v/>
      </c>
      <c r="BK747" s="71" t="str">
        <f>IF(AND($AY747=1,$AJ747=1),$BA747*100000+ROW(),"")</f>
        <v/>
      </c>
      <c r="BL747" s="71" t="str">
        <f>IF(AND($AZ747=1),$BA747*100000+ROW(),"")</f>
        <v/>
      </c>
    </row>
    <row r="748">
      <c r="A748" s="63" t="n"/>
      <c r="B748" s="64" t="n"/>
      <c r="C748" s="64" t="n"/>
      <c r="D748" s="64" t="n"/>
      <c r="E748" s="64" t="n"/>
      <c r="F748" s="64" t="n"/>
      <c r="G748" s="65" t="n"/>
      <c r="H748" s="65" t="n"/>
      <c r="I748" s="64" t="n"/>
      <c r="J748" s="64" t="n"/>
      <c r="K748" s="63" t="n"/>
      <c r="L748" s="63" t="n"/>
      <c r="M748" s="64" t="n"/>
      <c r="N748" s="66" t="n"/>
      <c r="O748" s="65" t="n"/>
      <c r="P748" s="64" t="n"/>
      <c r="Q748" s="67" t="n"/>
      <c r="R748" s="67" t="n"/>
      <c r="S748" s="68" t="str">
        <f>IF(AND(ISNUMBER($Q748),ISNUMBER($R748)),$Q748-$R748,"")</f>
        <v/>
      </c>
      <c r="T748" s="65" t="n"/>
      <c r="U748" s="64" t="n"/>
      <c r="V748" s="65" t="n"/>
      <c r="W748" s="63" t="n"/>
      <c r="X748" s="65" t="n"/>
      <c r="Y748" s="63" t="n"/>
      <c r="Z748" s="64" t="n"/>
      <c r="AA748" s="64" t="n"/>
      <c r="AB748" s="65" t="n"/>
      <c r="AC748" s="69" t="str">
        <f>IF(OR($G748="",NOT(ISNUMBER($K748)),$AK748=0),"",MAX(0,ReportDate-$K748))</f>
        <v/>
      </c>
      <c r="AD748" s="69" t="str">
        <f>IF($G748="","",IF($AL748=1,ReportDate-$L748,0))</f>
        <v/>
      </c>
      <c r="AE748" s="70" t="str">
        <f>IF($G748="","",IF($M748="Completed",1,IF(ISNUMBER($N748),$N748,0)))</f>
        <v/>
      </c>
      <c r="AF748" s="70" t="str">
        <f>IF(AND(ISNUMBER($Q748),ISNUMBER($R748)),IF($R748&lt;&gt;0,$Q748/$R748,""),"")</f>
        <v/>
      </c>
      <c r="AG748" s="71" t="str">
        <f>IF($G748="","",IF($AL748=1,"OVERDUE",IF($AM748=1,"BLOCKED",IF($AN748=1,"DUE TODAY",IF($AO748=1,"DUE TOMORROW",IF($AQ748=1,"HIGH PRIORITY",IF($AR748=1,"NO RECENT UPDATE",""))))))) </f>
        <v/>
      </c>
      <c r="AH748" s="71" t="str">
        <f>IF($G748="","",IF(ISNUMBER($A748),IF(ISNUMBER($A748),YEAR($A748)&amp;"-"&amp;TEXT(MONTH($A748),"00"),""),IF(ISNUMBER($L748),IF(ISNUMBER($L748),YEAR($L748)&amp;"-"&amp;TEXT(MONTH($L748),"00"),""),"")))</f>
        <v/>
      </c>
      <c r="AI748" s="71">
        <f>IF($G748="",0,IF(AND(OR(fClient="All",$C748=fClient),OR(fCampaign="All",$D748=fCampaign),OR(fTeam="All",$B748=fTeam),OR(fChannel="All",$F748=fChannel),OR(fMonth="All",$AH748=fMonth),OR(fTStatus="All",$M748=fTStatus)),1,0))</f>
        <v>0</v>
      </c>
      <c r="AJ748" s="71">
        <f>IF($G748="",0,IF(AND(OR(fClient="All",$C748=fClient),OR(fCampaign="All",$D748=fCampaign),OR(fTeam="All",$B748=fTeam),OR(fChannel="All",$F748=fChannel)),1,0))</f>
        <v>0</v>
      </c>
      <c r="AK748" s="71">
        <f>IF($G748="",0,IF(OR($M748="Completed",$M748="Cancelled"),0,1))</f>
        <v>0</v>
      </c>
      <c r="AL748" s="71">
        <f>IF(AND($AK748=1,ISNUMBER($L748)),IF($L748&lt;ReportDate,1,0),0)</f>
        <v>0</v>
      </c>
      <c r="AM748" s="71">
        <f>IF(AND($G748&lt;&gt;"",$M748="Blocked"),1,0)</f>
        <v>0</v>
      </c>
      <c r="AN748" s="71">
        <f>IF(AND($AK748=1,ISNUMBER($L748)),IF($L748=ReportDate,1,0),0)</f>
        <v>0</v>
      </c>
      <c r="AO748" s="71">
        <f>IF(AND($AK748=1,ISNUMBER($L748)),IF($L748=ReportDate+1,1,0),0)</f>
        <v>0</v>
      </c>
      <c r="AP748" s="71">
        <f>IF(AND($AK748=1,ISNUMBER($L748)),IF(AND($L748&gt;=ReportDate,$L748&lt;=ReportDate+DueSoonDays),1,0),0)</f>
        <v>0</v>
      </c>
      <c r="AQ748" s="71">
        <f>IF(AND($AK748=1,OR($I748="Critical",$I748="High")),1,0)</f>
        <v>0</v>
      </c>
      <c r="AR748" s="71">
        <f>IF($AK748=1,IF(ISNUMBER($Y748),IF(ReportDate-$Y748&gt;StaleDays,1,0),1),0)</f>
        <v>0</v>
      </c>
      <c r="AS748" s="71">
        <f>IF(AND($G748&lt;&gt;"",ISNUMBER($Q748),ISNUMBER($R748)),IF(AND($Q748&lt;$R748,OR($M748="Completed",AND(ISNUMBER($L748),$L748&lt;ReportDate))),1,0),0)</f>
        <v>0</v>
      </c>
      <c r="AT748" s="71">
        <f>IF($AK748=1,IF(OR($L748=ReportDate,$W748=ReportDate,$K748=ReportDate,$A748=ReportDate),1,0),0)</f>
        <v>0</v>
      </c>
      <c r="AU748" s="71">
        <f>IF($AK748=1,IF(OR($L748=ReportDate+1,$W748=ReportDate+1,$K748=ReportDate+1,$A748=ReportDate+1),1,0),0)</f>
        <v>0</v>
      </c>
      <c r="AV748" s="71">
        <f>IF(AND($G748&lt;&gt;"",$M748="Completed"),IF(OR($Y748=ReportDate-1,$A748=ReportDate-1),1,0),0)</f>
        <v>0</v>
      </c>
      <c r="AW748" s="71">
        <f>IF(AND($AK748=1,$Z748="Yes"),1,0)</f>
        <v>0</v>
      </c>
      <c r="AX748" s="71">
        <f>IF(AND($AK748=1,$AA748="Yes"),1,0)</f>
        <v>0</v>
      </c>
      <c r="AY748" s="71">
        <f>IF(AND($AM748=1,OR($I748="Critical",$I748="High")),1,0)</f>
        <v>0</v>
      </c>
      <c r="AZ748" s="71">
        <f>IF(AND($AK748=1,OR($C748=TCL_Client,$C748=MECCA_Client)),1,0)</f>
        <v>0</v>
      </c>
      <c r="BA748" s="71" t="str">
        <f>IF($G748="","",IFERROR(MATCH($I748,lst_Priority,0),5))</f>
        <v/>
      </c>
      <c r="BB748" s="71" t="str">
        <f>IF(AND($AL748=1,$AJ748=1),$BA748*100000+ROW(),"")</f>
        <v/>
      </c>
      <c r="BC748" s="71" t="str">
        <f>IF(AND($AM748=1,$AJ748=1),$BA748*100000+ROW(),"")</f>
        <v/>
      </c>
      <c r="BD748" s="71" t="str">
        <f>IF(AND($AP748=1,$AJ748=1),$BA748*100000+ROW(),"")</f>
        <v/>
      </c>
      <c r="BE748" s="71" t="str">
        <f>IF(AND($AT748=1,$AJ748=1),$BA748*100000+ROW(),"")</f>
        <v/>
      </c>
      <c r="BF748" s="71" t="str">
        <f>IF(AND($AU748=1,$AJ748=1),$BA748*100000+ROW(),"")</f>
        <v/>
      </c>
      <c r="BG748" s="71" t="str">
        <f>IF(AND($AV748=1,$AJ748=1),$BA748*100000+ROW(),"")</f>
        <v/>
      </c>
      <c r="BH748" s="71" t="str">
        <f>IF(AND($AW748=1,$AJ748=1),$BA748*100000+ROW(),"")</f>
        <v/>
      </c>
      <c r="BI748" s="71" t="str">
        <f>IF(AND($AX748=1,$AJ748=1),$BA748*100000+ROW(),"")</f>
        <v/>
      </c>
      <c r="BJ748" s="71" t="str">
        <f>IF(AND($AS748=1,$AJ748=1),$BA748*100000+ROW(),"")</f>
        <v/>
      </c>
      <c r="BK748" s="71" t="str">
        <f>IF(AND($AY748=1,$AJ748=1),$BA748*100000+ROW(),"")</f>
        <v/>
      </c>
      <c r="BL748" s="71" t="str">
        <f>IF(AND($AZ748=1),$BA748*100000+ROW(),"")</f>
        <v/>
      </c>
    </row>
    <row r="749">
      <c r="A749" s="63" t="n"/>
      <c r="B749" s="64" t="n"/>
      <c r="C749" s="64" t="n"/>
      <c r="D749" s="64" t="n"/>
      <c r="E749" s="64" t="n"/>
      <c r="F749" s="64" t="n"/>
      <c r="G749" s="65" t="n"/>
      <c r="H749" s="65" t="n"/>
      <c r="I749" s="64" t="n"/>
      <c r="J749" s="64" t="n"/>
      <c r="K749" s="63" t="n"/>
      <c r="L749" s="63" t="n"/>
      <c r="M749" s="64" t="n"/>
      <c r="N749" s="66" t="n"/>
      <c r="O749" s="65" t="n"/>
      <c r="P749" s="64" t="n"/>
      <c r="Q749" s="67" t="n"/>
      <c r="R749" s="67" t="n"/>
      <c r="S749" s="68" t="str">
        <f>IF(AND(ISNUMBER($Q749),ISNUMBER($R749)),$Q749-$R749,"")</f>
        <v/>
      </c>
      <c r="T749" s="65" t="n"/>
      <c r="U749" s="64" t="n"/>
      <c r="V749" s="65" t="n"/>
      <c r="W749" s="63" t="n"/>
      <c r="X749" s="65" t="n"/>
      <c r="Y749" s="63" t="n"/>
      <c r="Z749" s="64" t="n"/>
      <c r="AA749" s="64" t="n"/>
      <c r="AB749" s="65" t="n"/>
      <c r="AC749" s="69" t="str">
        <f>IF(OR($G749="",NOT(ISNUMBER($K749)),$AK749=0),"",MAX(0,ReportDate-$K749))</f>
        <v/>
      </c>
      <c r="AD749" s="69" t="str">
        <f>IF($G749="","",IF($AL749=1,ReportDate-$L749,0))</f>
        <v/>
      </c>
      <c r="AE749" s="70" t="str">
        <f>IF($G749="","",IF($M749="Completed",1,IF(ISNUMBER($N749),$N749,0)))</f>
        <v/>
      </c>
      <c r="AF749" s="70" t="str">
        <f>IF(AND(ISNUMBER($Q749),ISNUMBER($R749)),IF($R749&lt;&gt;0,$Q749/$R749,""),"")</f>
        <v/>
      </c>
      <c r="AG749" s="71" t="str">
        <f>IF($G749="","",IF($AL749=1,"OVERDUE",IF($AM749=1,"BLOCKED",IF($AN749=1,"DUE TODAY",IF($AO749=1,"DUE TOMORROW",IF($AQ749=1,"HIGH PRIORITY",IF($AR749=1,"NO RECENT UPDATE",""))))))) </f>
        <v/>
      </c>
      <c r="AH749" s="71" t="str">
        <f>IF($G749="","",IF(ISNUMBER($A749),IF(ISNUMBER($A749),YEAR($A749)&amp;"-"&amp;TEXT(MONTH($A749),"00"),""),IF(ISNUMBER($L749),IF(ISNUMBER($L749),YEAR($L749)&amp;"-"&amp;TEXT(MONTH($L749),"00"),""),"")))</f>
        <v/>
      </c>
      <c r="AI749" s="71">
        <f>IF($G749="",0,IF(AND(OR(fClient="All",$C749=fClient),OR(fCampaign="All",$D749=fCampaign),OR(fTeam="All",$B749=fTeam),OR(fChannel="All",$F749=fChannel),OR(fMonth="All",$AH749=fMonth),OR(fTStatus="All",$M749=fTStatus)),1,0))</f>
        <v>0</v>
      </c>
      <c r="AJ749" s="71">
        <f>IF($G749="",0,IF(AND(OR(fClient="All",$C749=fClient),OR(fCampaign="All",$D749=fCampaign),OR(fTeam="All",$B749=fTeam),OR(fChannel="All",$F749=fChannel)),1,0))</f>
        <v>0</v>
      </c>
      <c r="AK749" s="71">
        <f>IF($G749="",0,IF(OR($M749="Completed",$M749="Cancelled"),0,1))</f>
        <v>0</v>
      </c>
      <c r="AL749" s="71">
        <f>IF(AND($AK749=1,ISNUMBER($L749)),IF($L749&lt;ReportDate,1,0),0)</f>
        <v>0</v>
      </c>
      <c r="AM749" s="71">
        <f>IF(AND($G749&lt;&gt;"",$M749="Blocked"),1,0)</f>
        <v>0</v>
      </c>
      <c r="AN749" s="71">
        <f>IF(AND($AK749=1,ISNUMBER($L749)),IF($L749=ReportDate,1,0),0)</f>
        <v>0</v>
      </c>
      <c r="AO749" s="71">
        <f>IF(AND($AK749=1,ISNUMBER($L749)),IF($L749=ReportDate+1,1,0),0)</f>
        <v>0</v>
      </c>
      <c r="AP749" s="71">
        <f>IF(AND($AK749=1,ISNUMBER($L749)),IF(AND($L749&gt;=ReportDate,$L749&lt;=ReportDate+DueSoonDays),1,0),0)</f>
        <v>0</v>
      </c>
      <c r="AQ749" s="71">
        <f>IF(AND($AK749=1,OR($I749="Critical",$I749="High")),1,0)</f>
        <v>0</v>
      </c>
      <c r="AR749" s="71">
        <f>IF($AK749=1,IF(ISNUMBER($Y749),IF(ReportDate-$Y749&gt;StaleDays,1,0),1),0)</f>
        <v>0</v>
      </c>
      <c r="AS749" s="71">
        <f>IF(AND($G749&lt;&gt;"",ISNUMBER($Q749),ISNUMBER($R749)),IF(AND($Q749&lt;$R749,OR($M749="Completed",AND(ISNUMBER($L749),$L749&lt;ReportDate))),1,0),0)</f>
        <v>0</v>
      </c>
      <c r="AT749" s="71">
        <f>IF($AK749=1,IF(OR($L749=ReportDate,$W749=ReportDate,$K749=ReportDate,$A749=ReportDate),1,0),0)</f>
        <v>0</v>
      </c>
      <c r="AU749" s="71">
        <f>IF($AK749=1,IF(OR($L749=ReportDate+1,$W749=ReportDate+1,$K749=ReportDate+1,$A749=ReportDate+1),1,0),0)</f>
        <v>0</v>
      </c>
      <c r="AV749" s="71">
        <f>IF(AND($G749&lt;&gt;"",$M749="Completed"),IF(OR($Y749=ReportDate-1,$A749=ReportDate-1),1,0),0)</f>
        <v>0</v>
      </c>
      <c r="AW749" s="71">
        <f>IF(AND($AK749=1,$Z749="Yes"),1,0)</f>
        <v>0</v>
      </c>
      <c r="AX749" s="71">
        <f>IF(AND($AK749=1,$AA749="Yes"),1,0)</f>
        <v>0</v>
      </c>
      <c r="AY749" s="71">
        <f>IF(AND($AM749=1,OR($I749="Critical",$I749="High")),1,0)</f>
        <v>0</v>
      </c>
      <c r="AZ749" s="71">
        <f>IF(AND($AK749=1,OR($C749=TCL_Client,$C749=MECCA_Client)),1,0)</f>
        <v>0</v>
      </c>
      <c r="BA749" s="71" t="str">
        <f>IF($G749="","",IFERROR(MATCH($I749,lst_Priority,0),5))</f>
        <v/>
      </c>
      <c r="BB749" s="71" t="str">
        <f>IF(AND($AL749=1,$AJ749=1),$BA749*100000+ROW(),"")</f>
        <v/>
      </c>
      <c r="BC749" s="71" t="str">
        <f>IF(AND($AM749=1,$AJ749=1),$BA749*100000+ROW(),"")</f>
        <v/>
      </c>
      <c r="BD749" s="71" t="str">
        <f>IF(AND($AP749=1,$AJ749=1),$BA749*100000+ROW(),"")</f>
        <v/>
      </c>
      <c r="BE749" s="71" t="str">
        <f>IF(AND($AT749=1,$AJ749=1),$BA749*100000+ROW(),"")</f>
        <v/>
      </c>
      <c r="BF749" s="71" t="str">
        <f>IF(AND($AU749=1,$AJ749=1),$BA749*100000+ROW(),"")</f>
        <v/>
      </c>
      <c r="BG749" s="71" t="str">
        <f>IF(AND($AV749=1,$AJ749=1),$BA749*100000+ROW(),"")</f>
        <v/>
      </c>
      <c r="BH749" s="71" t="str">
        <f>IF(AND($AW749=1,$AJ749=1),$BA749*100000+ROW(),"")</f>
        <v/>
      </c>
      <c r="BI749" s="71" t="str">
        <f>IF(AND($AX749=1,$AJ749=1),$BA749*100000+ROW(),"")</f>
        <v/>
      </c>
      <c r="BJ749" s="71" t="str">
        <f>IF(AND($AS749=1,$AJ749=1),$BA749*100000+ROW(),"")</f>
        <v/>
      </c>
      <c r="BK749" s="71" t="str">
        <f>IF(AND($AY749=1,$AJ749=1),$BA749*100000+ROW(),"")</f>
        <v/>
      </c>
      <c r="BL749" s="71" t="str">
        <f>IF(AND($AZ749=1),$BA749*100000+ROW(),"")</f>
        <v/>
      </c>
    </row>
    <row r="750">
      <c r="A750" s="63" t="n"/>
      <c r="B750" s="64" t="n"/>
      <c r="C750" s="64" t="n"/>
      <c r="D750" s="64" t="n"/>
      <c r="E750" s="64" t="n"/>
      <c r="F750" s="64" t="n"/>
      <c r="G750" s="65" t="n"/>
      <c r="H750" s="65" t="n"/>
      <c r="I750" s="64" t="n"/>
      <c r="J750" s="64" t="n"/>
      <c r="K750" s="63" t="n"/>
      <c r="L750" s="63" t="n"/>
      <c r="M750" s="64" t="n"/>
      <c r="N750" s="66" t="n"/>
      <c r="O750" s="65" t="n"/>
      <c r="P750" s="64" t="n"/>
      <c r="Q750" s="67" t="n"/>
      <c r="R750" s="67" t="n"/>
      <c r="S750" s="68" t="str">
        <f>IF(AND(ISNUMBER($Q750),ISNUMBER($R750)),$Q750-$R750,"")</f>
        <v/>
      </c>
      <c r="T750" s="65" t="n"/>
      <c r="U750" s="64" t="n"/>
      <c r="V750" s="65" t="n"/>
      <c r="W750" s="63" t="n"/>
      <c r="X750" s="65" t="n"/>
      <c r="Y750" s="63" t="n"/>
      <c r="Z750" s="64" t="n"/>
      <c r="AA750" s="64" t="n"/>
      <c r="AB750" s="65" t="n"/>
      <c r="AC750" s="69" t="str">
        <f>IF(OR($G750="",NOT(ISNUMBER($K750)),$AK750=0),"",MAX(0,ReportDate-$K750))</f>
        <v/>
      </c>
      <c r="AD750" s="69" t="str">
        <f>IF($G750="","",IF($AL750=1,ReportDate-$L750,0))</f>
        <v/>
      </c>
      <c r="AE750" s="70" t="str">
        <f>IF($G750="","",IF($M750="Completed",1,IF(ISNUMBER($N750),$N750,0)))</f>
        <v/>
      </c>
      <c r="AF750" s="70" t="str">
        <f>IF(AND(ISNUMBER($Q750),ISNUMBER($R750)),IF($R750&lt;&gt;0,$Q750/$R750,""),"")</f>
        <v/>
      </c>
      <c r="AG750" s="71" t="str">
        <f>IF($G750="","",IF($AL750=1,"OVERDUE",IF($AM750=1,"BLOCKED",IF($AN750=1,"DUE TODAY",IF($AO750=1,"DUE TOMORROW",IF($AQ750=1,"HIGH PRIORITY",IF($AR750=1,"NO RECENT UPDATE",""))))))) </f>
        <v/>
      </c>
      <c r="AH750" s="71" t="str">
        <f>IF($G750="","",IF(ISNUMBER($A750),IF(ISNUMBER($A750),YEAR($A750)&amp;"-"&amp;TEXT(MONTH($A750),"00"),""),IF(ISNUMBER($L750),IF(ISNUMBER($L750),YEAR($L750)&amp;"-"&amp;TEXT(MONTH($L750),"00"),""),"")))</f>
        <v/>
      </c>
      <c r="AI750" s="71">
        <f>IF($G750="",0,IF(AND(OR(fClient="All",$C750=fClient),OR(fCampaign="All",$D750=fCampaign),OR(fTeam="All",$B750=fTeam),OR(fChannel="All",$F750=fChannel),OR(fMonth="All",$AH750=fMonth),OR(fTStatus="All",$M750=fTStatus)),1,0))</f>
        <v>0</v>
      </c>
      <c r="AJ750" s="71">
        <f>IF($G750="",0,IF(AND(OR(fClient="All",$C750=fClient),OR(fCampaign="All",$D750=fCampaign),OR(fTeam="All",$B750=fTeam),OR(fChannel="All",$F750=fChannel)),1,0))</f>
        <v>0</v>
      </c>
      <c r="AK750" s="71">
        <f>IF($G750="",0,IF(OR($M750="Completed",$M750="Cancelled"),0,1))</f>
        <v>0</v>
      </c>
      <c r="AL750" s="71">
        <f>IF(AND($AK750=1,ISNUMBER($L750)),IF($L750&lt;ReportDate,1,0),0)</f>
        <v>0</v>
      </c>
      <c r="AM750" s="71">
        <f>IF(AND($G750&lt;&gt;"",$M750="Blocked"),1,0)</f>
        <v>0</v>
      </c>
      <c r="AN750" s="71">
        <f>IF(AND($AK750=1,ISNUMBER($L750)),IF($L750=ReportDate,1,0),0)</f>
        <v>0</v>
      </c>
      <c r="AO750" s="71">
        <f>IF(AND($AK750=1,ISNUMBER($L750)),IF($L750=ReportDate+1,1,0),0)</f>
        <v>0</v>
      </c>
      <c r="AP750" s="71">
        <f>IF(AND($AK750=1,ISNUMBER($L750)),IF(AND($L750&gt;=ReportDate,$L750&lt;=ReportDate+DueSoonDays),1,0),0)</f>
        <v>0</v>
      </c>
      <c r="AQ750" s="71">
        <f>IF(AND($AK750=1,OR($I750="Critical",$I750="High")),1,0)</f>
        <v>0</v>
      </c>
      <c r="AR750" s="71">
        <f>IF($AK750=1,IF(ISNUMBER($Y750),IF(ReportDate-$Y750&gt;StaleDays,1,0),1),0)</f>
        <v>0</v>
      </c>
      <c r="AS750" s="71">
        <f>IF(AND($G750&lt;&gt;"",ISNUMBER($Q750),ISNUMBER($R750)),IF(AND($Q750&lt;$R750,OR($M750="Completed",AND(ISNUMBER($L750),$L750&lt;ReportDate))),1,0),0)</f>
        <v>0</v>
      </c>
      <c r="AT750" s="71">
        <f>IF($AK750=1,IF(OR($L750=ReportDate,$W750=ReportDate,$K750=ReportDate,$A750=ReportDate),1,0),0)</f>
        <v>0</v>
      </c>
      <c r="AU750" s="71">
        <f>IF($AK750=1,IF(OR($L750=ReportDate+1,$W750=ReportDate+1,$K750=ReportDate+1,$A750=ReportDate+1),1,0),0)</f>
        <v>0</v>
      </c>
      <c r="AV750" s="71">
        <f>IF(AND($G750&lt;&gt;"",$M750="Completed"),IF(OR($Y750=ReportDate-1,$A750=ReportDate-1),1,0),0)</f>
        <v>0</v>
      </c>
      <c r="AW750" s="71">
        <f>IF(AND($AK750=1,$Z750="Yes"),1,0)</f>
        <v>0</v>
      </c>
      <c r="AX750" s="71">
        <f>IF(AND($AK750=1,$AA750="Yes"),1,0)</f>
        <v>0</v>
      </c>
      <c r="AY750" s="71">
        <f>IF(AND($AM750=1,OR($I750="Critical",$I750="High")),1,0)</f>
        <v>0</v>
      </c>
      <c r="AZ750" s="71">
        <f>IF(AND($AK750=1,OR($C750=TCL_Client,$C750=MECCA_Client)),1,0)</f>
        <v>0</v>
      </c>
      <c r="BA750" s="71" t="str">
        <f>IF($G750="","",IFERROR(MATCH($I750,lst_Priority,0),5))</f>
        <v/>
      </c>
      <c r="BB750" s="71" t="str">
        <f>IF(AND($AL750=1,$AJ750=1),$BA750*100000+ROW(),"")</f>
        <v/>
      </c>
      <c r="BC750" s="71" t="str">
        <f>IF(AND($AM750=1,$AJ750=1),$BA750*100000+ROW(),"")</f>
        <v/>
      </c>
      <c r="BD750" s="71" t="str">
        <f>IF(AND($AP750=1,$AJ750=1),$BA750*100000+ROW(),"")</f>
        <v/>
      </c>
      <c r="BE750" s="71" t="str">
        <f>IF(AND($AT750=1,$AJ750=1),$BA750*100000+ROW(),"")</f>
        <v/>
      </c>
      <c r="BF750" s="71" t="str">
        <f>IF(AND($AU750=1,$AJ750=1),$BA750*100000+ROW(),"")</f>
        <v/>
      </c>
      <c r="BG750" s="71" t="str">
        <f>IF(AND($AV750=1,$AJ750=1),$BA750*100000+ROW(),"")</f>
        <v/>
      </c>
      <c r="BH750" s="71" t="str">
        <f>IF(AND($AW750=1,$AJ750=1),$BA750*100000+ROW(),"")</f>
        <v/>
      </c>
      <c r="BI750" s="71" t="str">
        <f>IF(AND($AX750=1,$AJ750=1),$BA750*100000+ROW(),"")</f>
        <v/>
      </c>
      <c r="BJ750" s="71" t="str">
        <f>IF(AND($AS750=1,$AJ750=1),$BA750*100000+ROW(),"")</f>
        <v/>
      </c>
      <c r="BK750" s="71" t="str">
        <f>IF(AND($AY750=1,$AJ750=1),$BA750*100000+ROW(),"")</f>
        <v/>
      </c>
      <c r="BL750" s="71" t="str">
        <f>IF(AND($AZ750=1),$BA750*100000+ROW(),"")</f>
        <v/>
      </c>
    </row>
    <row r="751">
      <c r="A751" s="63" t="n"/>
      <c r="B751" s="64" t="n"/>
      <c r="C751" s="64" t="n"/>
      <c r="D751" s="64" t="n"/>
      <c r="E751" s="64" t="n"/>
      <c r="F751" s="64" t="n"/>
      <c r="G751" s="65" t="n"/>
      <c r="H751" s="65" t="n"/>
      <c r="I751" s="64" t="n"/>
      <c r="J751" s="64" t="n"/>
      <c r="K751" s="63" t="n"/>
      <c r="L751" s="63" t="n"/>
      <c r="M751" s="64" t="n"/>
      <c r="N751" s="66" t="n"/>
      <c r="O751" s="65" t="n"/>
      <c r="P751" s="64" t="n"/>
      <c r="Q751" s="67" t="n"/>
      <c r="R751" s="67" t="n"/>
      <c r="S751" s="68" t="str">
        <f>IF(AND(ISNUMBER($Q751),ISNUMBER($R751)),$Q751-$R751,"")</f>
        <v/>
      </c>
      <c r="T751" s="65" t="n"/>
      <c r="U751" s="64" t="n"/>
      <c r="V751" s="65" t="n"/>
      <c r="W751" s="63" t="n"/>
      <c r="X751" s="65" t="n"/>
      <c r="Y751" s="63" t="n"/>
      <c r="Z751" s="64" t="n"/>
      <c r="AA751" s="64" t="n"/>
      <c r="AB751" s="65" t="n"/>
      <c r="AC751" s="69" t="str">
        <f>IF(OR($G751="",NOT(ISNUMBER($K751)),$AK751=0),"",MAX(0,ReportDate-$K751))</f>
        <v/>
      </c>
      <c r="AD751" s="69" t="str">
        <f>IF($G751="","",IF($AL751=1,ReportDate-$L751,0))</f>
        <v/>
      </c>
      <c r="AE751" s="70" t="str">
        <f>IF($G751="","",IF($M751="Completed",1,IF(ISNUMBER($N751),$N751,0)))</f>
        <v/>
      </c>
      <c r="AF751" s="70" t="str">
        <f>IF(AND(ISNUMBER($Q751),ISNUMBER($R751)),IF($R751&lt;&gt;0,$Q751/$R751,""),"")</f>
        <v/>
      </c>
      <c r="AG751" s="71" t="str">
        <f>IF($G751="","",IF($AL751=1,"OVERDUE",IF($AM751=1,"BLOCKED",IF($AN751=1,"DUE TODAY",IF($AO751=1,"DUE TOMORROW",IF($AQ751=1,"HIGH PRIORITY",IF($AR751=1,"NO RECENT UPDATE",""))))))) </f>
        <v/>
      </c>
      <c r="AH751" s="71" t="str">
        <f>IF($G751="","",IF(ISNUMBER($A751),IF(ISNUMBER($A751),YEAR($A751)&amp;"-"&amp;TEXT(MONTH($A751),"00"),""),IF(ISNUMBER($L751),IF(ISNUMBER($L751),YEAR($L751)&amp;"-"&amp;TEXT(MONTH($L751),"00"),""),"")))</f>
        <v/>
      </c>
      <c r="AI751" s="71">
        <f>IF($G751="",0,IF(AND(OR(fClient="All",$C751=fClient),OR(fCampaign="All",$D751=fCampaign),OR(fTeam="All",$B751=fTeam),OR(fChannel="All",$F751=fChannel),OR(fMonth="All",$AH751=fMonth),OR(fTStatus="All",$M751=fTStatus)),1,0))</f>
        <v>0</v>
      </c>
      <c r="AJ751" s="71">
        <f>IF($G751="",0,IF(AND(OR(fClient="All",$C751=fClient),OR(fCampaign="All",$D751=fCampaign),OR(fTeam="All",$B751=fTeam),OR(fChannel="All",$F751=fChannel)),1,0))</f>
        <v>0</v>
      </c>
      <c r="AK751" s="71">
        <f>IF($G751="",0,IF(OR($M751="Completed",$M751="Cancelled"),0,1))</f>
        <v>0</v>
      </c>
      <c r="AL751" s="71">
        <f>IF(AND($AK751=1,ISNUMBER($L751)),IF($L751&lt;ReportDate,1,0),0)</f>
        <v>0</v>
      </c>
      <c r="AM751" s="71">
        <f>IF(AND($G751&lt;&gt;"",$M751="Blocked"),1,0)</f>
        <v>0</v>
      </c>
      <c r="AN751" s="71">
        <f>IF(AND($AK751=1,ISNUMBER($L751)),IF($L751=ReportDate,1,0),0)</f>
        <v>0</v>
      </c>
      <c r="AO751" s="71">
        <f>IF(AND($AK751=1,ISNUMBER($L751)),IF($L751=ReportDate+1,1,0),0)</f>
        <v>0</v>
      </c>
      <c r="AP751" s="71">
        <f>IF(AND($AK751=1,ISNUMBER($L751)),IF(AND($L751&gt;=ReportDate,$L751&lt;=ReportDate+DueSoonDays),1,0),0)</f>
        <v>0</v>
      </c>
      <c r="AQ751" s="71">
        <f>IF(AND($AK751=1,OR($I751="Critical",$I751="High")),1,0)</f>
        <v>0</v>
      </c>
      <c r="AR751" s="71">
        <f>IF($AK751=1,IF(ISNUMBER($Y751),IF(ReportDate-$Y751&gt;StaleDays,1,0),1),0)</f>
        <v>0</v>
      </c>
      <c r="AS751" s="71">
        <f>IF(AND($G751&lt;&gt;"",ISNUMBER($Q751),ISNUMBER($R751)),IF(AND($Q751&lt;$R751,OR($M751="Completed",AND(ISNUMBER($L751),$L751&lt;ReportDate))),1,0),0)</f>
        <v>0</v>
      </c>
      <c r="AT751" s="71">
        <f>IF($AK751=1,IF(OR($L751=ReportDate,$W751=ReportDate,$K751=ReportDate,$A751=ReportDate),1,0),0)</f>
        <v>0</v>
      </c>
      <c r="AU751" s="71">
        <f>IF($AK751=1,IF(OR($L751=ReportDate+1,$W751=ReportDate+1,$K751=ReportDate+1,$A751=ReportDate+1),1,0),0)</f>
        <v>0</v>
      </c>
      <c r="AV751" s="71">
        <f>IF(AND($G751&lt;&gt;"",$M751="Completed"),IF(OR($Y751=ReportDate-1,$A751=ReportDate-1),1,0),0)</f>
        <v>0</v>
      </c>
      <c r="AW751" s="71">
        <f>IF(AND($AK751=1,$Z751="Yes"),1,0)</f>
        <v>0</v>
      </c>
      <c r="AX751" s="71">
        <f>IF(AND($AK751=1,$AA751="Yes"),1,0)</f>
        <v>0</v>
      </c>
      <c r="AY751" s="71">
        <f>IF(AND($AM751=1,OR($I751="Critical",$I751="High")),1,0)</f>
        <v>0</v>
      </c>
      <c r="AZ751" s="71">
        <f>IF(AND($AK751=1,OR($C751=TCL_Client,$C751=MECCA_Client)),1,0)</f>
        <v>0</v>
      </c>
      <c r="BA751" s="71" t="str">
        <f>IF($G751="","",IFERROR(MATCH($I751,lst_Priority,0),5))</f>
        <v/>
      </c>
      <c r="BB751" s="71" t="str">
        <f>IF(AND($AL751=1,$AJ751=1),$BA751*100000+ROW(),"")</f>
        <v/>
      </c>
      <c r="BC751" s="71" t="str">
        <f>IF(AND($AM751=1,$AJ751=1),$BA751*100000+ROW(),"")</f>
        <v/>
      </c>
      <c r="BD751" s="71" t="str">
        <f>IF(AND($AP751=1,$AJ751=1),$BA751*100000+ROW(),"")</f>
        <v/>
      </c>
      <c r="BE751" s="71" t="str">
        <f>IF(AND($AT751=1,$AJ751=1),$BA751*100000+ROW(),"")</f>
        <v/>
      </c>
      <c r="BF751" s="71" t="str">
        <f>IF(AND($AU751=1,$AJ751=1),$BA751*100000+ROW(),"")</f>
        <v/>
      </c>
      <c r="BG751" s="71" t="str">
        <f>IF(AND($AV751=1,$AJ751=1),$BA751*100000+ROW(),"")</f>
        <v/>
      </c>
      <c r="BH751" s="71" t="str">
        <f>IF(AND($AW751=1,$AJ751=1),$BA751*100000+ROW(),"")</f>
        <v/>
      </c>
      <c r="BI751" s="71" t="str">
        <f>IF(AND($AX751=1,$AJ751=1),$BA751*100000+ROW(),"")</f>
        <v/>
      </c>
      <c r="BJ751" s="71" t="str">
        <f>IF(AND($AS751=1,$AJ751=1),$BA751*100000+ROW(),"")</f>
        <v/>
      </c>
      <c r="BK751" s="71" t="str">
        <f>IF(AND($AY751=1,$AJ751=1),$BA751*100000+ROW(),"")</f>
        <v/>
      </c>
      <c r="BL751" s="71" t="str">
        <f>IF(AND($AZ751=1),$BA751*100000+ROW(),"")</f>
        <v/>
      </c>
    </row>
    <row r="752">
      <c r="A752" s="63" t="n"/>
      <c r="B752" s="64" t="n"/>
      <c r="C752" s="64" t="n"/>
      <c r="D752" s="64" t="n"/>
      <c r="E752" s="64" t="n"/>
      <c r="F752" s="64" t="n"/>
      <c r="G752" s="65" t="n"/>
      <c r="H752" s="65" t="n"/>
      <c r="I752" s="64" t="n"/>
      <c r="J752" s="64" t="n"/>
      <c r="K752" s="63" t="n"/>
      <c r="L752" s="63" t="n"/>
      <c r="M752" s="64" t="n"/>
      <c r="N752" s="66" t="n"/>
      <c r="O752" s="65" t="n"/>
      <c r="P752" s="64" t="n"/>
      <c r="Q752" s="67" t="n"/>
      <c r="R752" s="67" t="n"/>
      <c r="S752" s="68" t="str">
        <f>IF(AND(ISNUMBER($Q752),ISNUMBER($R752)),$Q752-$R752,"")</f>
        <v/>
      </c>
      <c r="T752" s="65" t="n"/>
      <c r="U752" s="64" t="n"/>
      <c r="V752" s="65" t="n"/>
      <c r="W752" s="63" t="n"/>
      <c r="X752" s="65" t="n"/>
      <c r="Y752" s="63" t="n"/>
      <c r="Z752" s="64" t="n"/>
      <c r="AA752" s="64" t="n"/>
      <c r="AB752" s="65" t="n"/>
      <c r="AC752" s="69" t="str">
        <f>IF(OR($G752="",NOT(ISNUMBER($K752)),$AK752=0),"",MAX(0,ReportDate-$K752))</f>
        <v/>
      </c>
      <c r="AD752" s="69" t="str">
        <f>IF($G752="","",IF($AL752=1,ReportDate-$L752,0))</f>
        <v/>
      </c>
      <c r="AE752" s="70" t="str">
        <f>IF($G752="","",IF($M752="Completed",1,IF(ISNUMBER($N752),$N752,0)))</f>
        <v/>
      </c>
      <c r="AF752" s="70" t="str">
        <f>IF(AND(ISNUMBER($Q752),ISNUMBER($R752)),IF($R752&lt;&gt;0,$Q752/$R752,""),"")</f>
        <v/>
      </c>
      <c r="AG752" s="71" t="str">
        <f>IF($G752="","",IF($AL752=1,"OVERDUE",IF($AM752=1,"BLOCKED",IF($AN752=1,"DUE TODAY",IF($AO752=1,"DUE TOMORROW",IF($AQ752=1,"HIGH PRIORITY",IF($AR752=1,"NO RECENT UPDATE",""))))))) </f>
        <v/>
      </c>
      <c r="AH752" s="71" t="str">
        <f>IF($G752="","",IF(ISNUMBER($A752),IF(ISNUMBER($A752),YEAR($A752)&amp;"-"&amp;TEXT(MONTH($A752),"00"),""),IF(ISNUMBER($L752),IF(ISNUMBER($L752),YEAR($L752)&amp;"-"&amp;TEXT(MONTH($L752),"00"),""),"")))</f>
        <v/>
      </c>
      <c r="AI752" s="71">
        <f>IF($G752="",0,IF(AND(OR(fClient="All",$C752=fClient),OR(fCampaign="All",$D752=fCampaign),OR(fTeam="All",$B752=fTeam),OR(fChannel="All",$F752=fChannel),OR(fMonth="All",$AH752=fMonth),OR(fTStatus="All",$M752=fTStatus)),1,0))</f>
        <v>0</v>
      </c>
      <c r="AJ752" s="71">
        <f>IF($G752="",0,IF(AND(OR(fClient="All",$C752=fClient),OR(fCampaign="All",$D752=fCampaign),OR(fTeam="All",$B752=fTeam),OR(fChannel="All",$F752=fChannel)),1,0))</f>
        <v>0</v>
      </c>
      <c r="AK752" s="71">
        <f>IF($G752="",0,IF(OR($M752="Completed",$M752="Cancelled"),0,1))</f>
        <v>0</v>
      </c>
      <c r="AL752" s="71">
        <f>IF(AND($AK752=1,ISNUMBER($L752)),IF($L752&lt;ReportDate,1,0),0)</f>
        <v>0</v>
      </c>
      <c r="AM752" s="71">
        <f>IF(AND($G752&lt;&gt;"",$M752="Blocked"),1,0)</f>
        <v>0</v>
      </c>
      <c r="AN752" s="71">
        <f>IF(AND($AK752=1,ISNUMBER($L752)),IF($L752=ReportDate,1,0),0)</f>
        <v>0</v>
      </c>
      <c r="AO752" s="71">
        <f>IF(AND($AK752=1,ISNUMBER($L752)),IF($L752=ReportDate+1,1,0),0)</f>
        <v>0</v>
      </c>
      <c r="AP752" s="71">
        <f>IF(AND($AK752=1,ISNUMBER($L752)),IF(AND($L752&gt;=ReportDate,$L752&lt;=ReportDate+DueSoonDays),1,0),0)</f>
        <v>0</v>
      </c>
      <c r="AQ752" s="71">
        <f>IF(AND($AK752=1,OR($I752="Critical",$I752="High")),1,0)</f>
        <v>0</v>
      </c>
      <c r="AR752" s="71">
        <f>IF($AK752=1,IF(ISNUMBER($Y752),IF(ReportDate-$Y752&gt;StaleDays,1,0),1),0)</f>
        <v>0</v>
      </c>
      <c r="AS752" s="71">
        <f>IF(AND($G752&lt;&gt;"",ISNUMBER($Q752),ISNUMBER($R752)),IF(AND($Q752&lt;$R752,OR($M752="Completed",AND(ISNUMBER($L752),$L752&lt;ReportDate))),1,0),0)</f>
        <v>0</v>
      </c>
      <c r="AT752" s="71">
        <f>IF($AK752=1,IF(OR($L752=ReportDate,$W752=ReportDate,$K752=ReportDate,$A752=ReportDate),1,0),0)</f>
        <v>0</v>
      </c>
      <c r="AU752" s="71">
        <f>IF($AK752=1,IF(OR($L752=ReportDate+1,$W752=ReportDate+1,$K752=ReportDate+1,$A752=ReportDate+1),1,0),0)</f>
        <v>0</v>
      </c>
      <c r="AV752" s="71">
        <f>IF(AND($G752&lt;&gt;"",$M752="Completed"),IF(OR($Y752=ReportDate-1,$A752=ReportDate-1),1,0),0)</f>
        <v>0</v>
      </c>
      <c r="AW752" s="71">
        <f>IF(AND($AK752=1,$Z752="Yes"),1,0)</f>
        <v>0</v>
      </c>
      <c r="AX752" s="71">
        <f>IF(AND($AK752=1,$AA752="Yes"),1,0)</f>
        <v>0</v>
      </c>
      <c r="AY752" s="71">
        <f>IF(AND($AM752=1,OR($I752="Critical",$I752="High")),1,0)</f>
        <v>0</v>
      </c>
      <c r="AZ752" s="71">
        <f>IF(AND($AK752=1,OR($C752=TCL_Client,$C752=MECCA_Client)),1,0)</f>
        <v>0</v>
      </c>
      <c r="BA752" s="71" t="str">
        <f>IF($G752="","",IFERROR(MATCH($I752,lst_Priority,0),5))</f>
        <v/>
      </c>
      <c r="BB752" s="71" t="str">
        <f>IF(AND($AL752=1,$AJ752=1),$BA752*100000+ROW(),"")</f>
        <v/>
      </c>
      <c r="BC752" s="71" t="str">
        <f>IF(AND($AM752=1,$AJ752=1),$BA752*100000+ROW(),"")</f>
        <v/>
      </c>
      <c r="BD752" s="71" t="str">
        <f>IF(AND($AP752=1,$AJ752=1),$BA752*100000+ROW(),"")</f>
        <v/>
      </c>
      <c r="BE752" s="71" t="str">
        <f>IF(AND($AT752=1,$AJ752=1),$BA752*100000+ROW(),"")</f>
        <v/>
      </c>
      <c r="BF752" s="71" t="str">
        <f>IF(AND($AU752=1,$AJ752=1),$BA752*100000+ROW(),"")</f>
        <v/>
      </c>
      <c r="BG752" s="71" t="str">
        <f>IF(AND($AV752=1,$AJ752=1),$BA752*100000+ROW(),"")</f>
        <v/>
      </c>
      <c r="BH752" s="71" t="str">
        <f>IF(AND($AW752=1,$AJ752=1),$BA752*100000+ROW(),"")</f>
        <v/>
      </c>
      <c r="BI752" s="71" t="str">
        <f>IF(AND($AX752=1,$AJ752=1),$BA752*100000+ROW(),"")</f>
        <v/>
      </c>
      <c r="BJ752" s="71" t="str">
        <f>IF(AND($AS752=1,$AJ752=1),$BA752*100000+ROW(),"")</f>
        <v/>
      </c>
      <c r="BK752" s="71" t="str">
        <f>IF(AND($AY752=1,$AJ752=1),$BA752*100000+ROW(),"")</f>
        <v/>
      </c>
      <c r="BL752" s="71" t="str">
        <f>IF(AND($AZ752=1),$BA752*100000+ROW(),"")</f>
        <v/>
      </c>
    </row>
    <row r="753">
      <c r="A753" s="63" t="n"/>
      <c r="B753" s="64" t="n"/>
      <c r="C753" s="64" t="n"/>
      <c r="D753" s="64" t="n"/>
      <c r="E753" s="64" t="n"/>
      <c r="F753" s="64" t="n"/>
      <c r="G753" s="65" t="n"/>
      <c r="H753" s="65" t="n"/>
      <c r="I753" s="64" t="n"/>
      <c r="J753" s="64" t="n"/>
      <c r="K753" s="63" t="n"/>
      <c r="L753" s="63" t="n"/>
      <c r="M753" s="64" t="n"/>
      <c r="N753" s="66" t="n"/>
      <c r="O753" s="65" t="n"/>
      <c r="P753" s="64" t="n"/>
      <c r="Q753" s="67" t="n"/>
      <c r="R753" s="67" t="n"/>
      <c r="S753" s="68" t="str">
        <f>IF(AND(ISNUMBER($Q753),ISNUMBER($R753)),$Q753-$R753,"")</f>
        <v/>
      </c>
      <c r="T753" s="65" t="n"/>
      <c r="U753" s="64" t="n"/>
      <c r="V753" s="65" t="n"/>
      <c r="W753" s="63" t="n"/>
      <c r="X753" s="65" t="n"/>
      <c r="Y753" s="63" t="n"/>
      <c r="Z753" s="64" t="n"/>
      <c r="AA753" s="64" t="n"/>
      <c r="AB753" s="65" t="n"/>
      <c r="AC753" s="69" t="str">
        <f>IF(OR($G753="",NOT(ISNUMBER($K753)),$AK753=0),"",MAX(0,ReportDate-$K753))</f>
        <v/>
      </c>
      <c r="AD753" s="69" t="str">
        <f>IF($G753="","",IF($AL753=1,ReportDate-$L753,0))</f>
        <v/>
      </c>
      <c r="AE753" s="70" t="str">
        <f>IF($G753="","",IF($M753="Completed",1,IF(ISNUMBER($N753),$N753,0)))</f>
        <v/>
      </c>
      <c r="AF753" s="70" t="str">
        <f>IF(AND(ISNUMBER($Q753),ISNUMBER($R753)),IF($R753&lt;&gt;0,$Q753/$R753,""),"")</f>
        <v/>
      </c>
      <c r="AG753" s="71" t="str">
        <f>IF($G753="","",IF($AL753=1,"OVERDUE",IF($AM753=1,"BLOCKED",IF($AN753=1,"DUE TODAY",IF($AO753=1,"DUE TOMORROW",IF($AQ753=1,"HIGH PRIORITY",IF($AR753=1,"NO RECENT UPDATE",""))))))) </f>
        <v/>
      </c>
      <c r="AH753" s="71" t="str">
        <f>IF($G753="","",IF(ISNUMBER($A753),IF(ISNUMBER($A753),YEAR($A753)&amp;"-"&amp;TEXT(MONTH($A753),"00"),""),IF(ISNUMBER($L753),IF(ISNUMBER($L753),YEAR($L753)&amp;"-"&amp;TEXT(MONTH($L753),"00"),""),"")))</f>
        <v/>
      </c>
      <c r="AI753" s="71">
        <f>IF($G753="",0,IF(AND(OR(fClient="All",$C753=fClient),OR(fCampaign="All",$D753=fCampaign),OR(fTeam="All",$B753=fTeam),OR(fChannel="All",$F753=fChannel),OR(fMonth="All",$AH753=fMonth),OR(fTStatus="All",$M753=fTStatus)),1,0))</f>
        <v>0</v>
      </c>
      <c r="AJ753" s="71">
        <f>IF($G753="",0,IF(AND(OR(fClient="All",$C753=fClient),OR(fCampaign="All",$D753=fCampaign),OR(fTeam="All",$B753=fTeam),OR(fChannel="All",$F753=fChannel)),1,0))</f>
        <v>0</v>
      </c>
      <c r="AK753" s="71">
        <f>IF($G753="",0,IF(OR($M753="Completed",$M753="Cancelled"),0,1))</f>
        <v>0</v>
      </c>
      <c r="AL753" s="71">
        <f>IF(AND($AK753=1,ISNUMBER($L753)),IF($L753&lt;ReportDate,1,0),0)</f>
        <v>0</v>
      </c>
      <c r="AM753" s="71">
        <f>IF(AND($G753&lt;&gt;"",$M753="Blocked"),1,0)</f>
        <v>0</v>
      </c>
      <c r="AN753" s="71">
        <f>IF(AND($AK753=1,ISNUMBER($L753)),IF($L753=ReportDate,1,0),0)</f>
        <v>0</v>
      </c>
      <c r="AO753" s="71">
        <f>IF(AND($AK753=1,ISNUMBER($L753)),IF($L753=ReportDate+1,1,0),0)</f>
        <v>0</v>
      </c>
      <c r="AP753" s="71">
        <f>IF(AND($AK753=1,ISNUMBER($L753)),IF(AND($L753&gt;=ReportDate,$L753&lt;=ReportDate+DueSoonDays),1,0),0)</f>
        <v>0</v>
      </c>
      <c r="AQ753" s="71">
        <f>IF(AND($AK753=1,OR($I753="Critical",$I753="High")),1,0)</f>
        <v>0</v>
      </c>
      <c r="AR753" s="71">
        <f>IF($AK753=1,IF(ISNUMBER($Y753),IF(ReportDate-$Y753&gt;StaleDays,1,0),1),0)</f>
        <v>0</v>
      </c>
      <c r="AS753" s="71">
        <f>IF(AND($G753&lt;&gt;"",ISNUMBER($Q753),ISNUMBER($R753)),IF(AND($Q753&lt;$R753,OR($M753="Completed",AND(ISNUMBER($L753),$L753&lt;ReportDate))),1,0),0)</f>
        <v>0</v>
      </c>
      <c r="AT753" s="71">
        <f>IF($AK753=1,IF(OR($L753=ReportDate,$W753=ReportDate,$K753=ReportDate,$A753=ReportDate),1,0),0)</f>
        <v>0</v>
      </c>
      <c r="AU753" s="71">
        <f>IF($AK753=1,IF(OR($L753=ReportDate+1,$W753=ReportDate+1,$K753=ReportDate+1,$A753=ReportDate+1),1,0),0)</f>
        <v>0</v>
      </c>
      <c r="AV753" s="71">
        <f>IF(AND($G753&lt;&gt;"",$M753="Completed"),IF(OR($Y753=ReportDate-1,$A753=ReportDate-1),1,0),0)</f>
        <v>0</v>
      </c>
      <c r="AW753" s="71">
        <f>IF(AND($AK753=1,$Z753="Yes"),1,0)</f>
        <v>0</v>
      </c>
      <c r="AX753" s="71">
        <f>IF(AND($AK753=1,$AA753="Yes"),1,0)</f>
        <v>0</v>
      </c>
      <c r="AY753" s="71">
        <f>IF(AND($AM753=1,OR($I753="Critical",$I753="High")),1,0)</f>
        <v>0</v>
      </c>
      <c r="AZ753" s="71">
        <f>IF(AND($AK753=1,OR($C753=TCL_Client,$C753=MECCA_Client)),1,0)</f>
        <v>0</v>
      </c>
      <c r="BA753" s="71" t="str">
        <f>IF($G753="","",IFERROR(MATCH($I753,lst_Priority,0),5))</f>
        <v/>
      </c>
      <c r="BB753" s="71" t="str">
        <f>IF(AND($AL753=1,$AJ753=1),$BA753*100000+ROW(),"")</f>
        <v/>
      </c>
      <c r="BC753" s="71" t="str">
        <f>IF(AND($AM753=1,$AJ753=1),$BA753*100000+ROW(),"")</f>
        <v/>
      </c>
      <c r="BD753" s="71" t="str">
        <f>IF(AND($AP753=1,$AJ753=1),$BA753*100000+ROW(),"")</f>
        <v/>
      </c>
      <c r="BE753" s="71" t="str">
        <f>IF(AND($AT753=1,$AJ753=1),$BA753*100000+ROW(),"")</f>
        <v/>
      </c>
      <c r="BF753" s="71" t="str">
        <f>IF(AND($AU753=1,$AJ753=1),$BA753*100000+ROW(),"")</f>
        <v/>
      </c>
      <c r="BG753" s="71" t="str">
        <f>IF(AND($AV753=1,$AJ753=1),$BA753*100000+ROW(),"")</f>
        <v/>
      </c>
      <c r="BH753" s="71" t="str">
        <f>IF(AND($AW753=1,$AJ753=1),$BA753*100000+ROW(),"")</f>
        <v/>
      </c>
      <c r="BI753" s="71" t="str">
        <f>IF(AND($AX753=1,$AJ753=1),$BA753*100000+ROW(),"")</f>
        <v/>
      </c>
      <c r="BJ753" s="71" t="str">
        <f>IF(AND($AS753=1,$AJ753=1),$BA753*100000+ROW(),"")</f>
        <v/>
      </c>
      <c r="BK753" s="71" t="str">
        <f>IF(AND($AY753=1,$AJ753=1),$BA753*100000+ROW(),"")</f>
        <v/>
      </c>
      <c r="BL753" s="71" t="str">
        <f>IF(AND($AZ753=1),$BA753*100000+ROW(),"")</f>
        <v/>
      </c>
    </row>
    <row r="754">
      <c r="A754" s="63" t="n"/>
      <c r="B754" s="64" t="n"/>
      <c r="C754" s="64" t="n"/>
      <c r="D754" s="64" t="n"/>
      <c r="E754" s="64" t="n"/>
      <c r="F754" s="64" t="n"/>
      <c r="G754" s="65" t="n"/>
      <c r="H754" s="65" t="n"/>
      <c r="I754" s="64" t="n"/>
      <c r="J754" s="64" t="n"/>
      <c r="K754" s="63" t="n"/>
      <c r="L754" s="63" t="n"/>
      <c r="M754" s="64" t="n"/>
      <c r="N754" s="66" t="n"/>
      <c r="O754" s="65" t="n"/>
      <c r="P754" s="64" t="n"/>
      <c r="Q754" s="67" t="n"/>
      <c r="R754" s="67" t="n"/>
      <c r="S754" s="68" t="str">
        <f>IF(AND(ISNUMBER($Q754),ISNUMBER($R754)),$Q754-$R754,"")</f>
        <v/>
      </c>
      <c r="T754" s="65" t="n"/>
      <c r="U754" s="64" t="n"/>
      <c r="V754" s="65" t="n"/>
      <c r="W754" s="63" t="n"/>
      <c r="X754" s="65" t="n"/>
      <c r="Y754" s="63" t="n"/>
      <c r="Z754" s="64" t="n"/>
      <c r="AA754" s="64" t="n"/>
      <c r="AB754" s="65" t="n"/>
      <c r="AC754" s="69" t="str">
        <f>IF(OR($G754="",NOT(ISNUMBER($K754)),$AK754=0),"",MAX(0,ReportDate-$K754))</f>
        <v/>
      </c>
      <c r="AD754" s="69" t="str">
        <f>IF($G754="","",IF($AL754=1,ReportDate-$L754,0))</f>
        <v/>
      </c>
      <c r="AE754" s="70" t="str">
        <f>IF($G754="","",IF($M754="Completed",1,IF(ISNUMBER($N754),$N754,0)))</f>
        <v/>
      </c>
      <c r="AF754" s="70" t="str">
        <f>IF(AND(ISNUMBER($Q754),ISNUMBER($R754)),IF($R754&lt;&gt;0,$Q754/$R754,""),"")</f>
        <v/>
      </c>
      <c r="AG754" s="71" t="str">
        <f>IF($G754="","",IF($AL754=1,"OVERDUE",IF($AM754=1,"BLOCKED",IF($AN754=1,"DUE TODAY",IF($AO754=1,"DUE TOMORROW",IF($AQ754=1,"HIGH PRIORITY",IF($AR754=1,"NO RECENT UPDATE",""))))))) </f>
        <v/>
      </c>
      <c r="AH754" s="71" t="str">
        <f>IF($G754="","",IF(ISNUMBER($A754),IF(ISNUMBER($A754),YEAR($A754)&amp;"-"&amp;TEXT(MONTH($A754),"00"),""),IF(ISNUMBER($L754),IF(ISNUMBER($L754),YEAR($L754)&amp;"-"&amp;TEXT(MONTH($L754),"00"),""),"")))</f>
        <v/>
      </c>
      <c r="AI754" s="71">
        <f>IF($G754="",0,IF(AND(OR(fClient="All",$C754=fClient),OR(fCampaign="All",$D754=fCampaign),OR(fTeam="All",$B754=fTeam),OR(fChannel="All",$F754=fChannel),OR(fMonth="All",$AH754=fMonth),OR(fTStatus="All",$M754=fTStatus)),1,0))</f>
        <v>0</v>
      </c>
      <c r="AJ754" s="71">
        <f>IF($G754="",0,IF(AND(OR(fClient="All",$C754=fClient),OR(fCampaign="All",$D754=fCampaign),OR(fTeam="All",$B754=fTeam),OR(fChannel="All",$F754=fChannel)),1,0))</f>
        <v>0</v>
      </c>
      <c r="AK754" s="71">
        <f>IF($G754="",0,IF(OR($M754="Completed",$M754="Cancelled"),0,1))</f>
        <v>0</v>
      </c>
      <c r="AL754" s="71">
        <f>IF(AND($AK754=1,ISNUMBER($L754)),IF($L754&lt;ReportDate,1,0),0)</f>
        <v>0</v>
      </c>
      <c r="AM754" s="71">
        <f>IF(AND($G754&lt;&gt;"",$M754="Blocked"),1,0)</f>
        <v>0</v>
      </c>
      <c r="AN754" s="71">
        <f>IF(AND($AK754=1,ISNUMBER($L754)),IF($L754=ReportDate,1,0),0)</f>
        <v>0</v>
      </c>
      <c r="AO754" s="71">
        <f>IF(AND($AK754=1,ISNUMBER($L754)),IF($L754=ReportDate+1,1,0),0)</f>
        <v>0</v>
      </c>
      <c r="AP754" s="71">
        <f>IF(AND($AK754=1,ISNUMBER($L754)),IF(AND($L754&gt;=ReportDate,$L754&lt;=ReportDate+DueSoonDays),1,0),0)</f>
        <v>0</v>
      </c>
      <c r="AQ754" s="71">
        <f>IF(AND($AK754=1,OR($I754="Critical",$I754="High")),1,0)</f>
        <v>0</v>
      </c>
      <c r="AR754" s="71">
        <f>IF($AK754=1,IF(ISNUMBER($Y754),IF(ReportDate-$Y754&gt;StaleDays,1,0),1),0)</f>
        <v>0</v>
      </c>
      <c r="AS754" s="71">
        <f>IF(AND($G754&lt;&gt;"",ISNUMBER($Q754),ISNUMBER($R754)),IF(AND($Q754&lt;$R754,OR($M754="Completed",AND(ISNUMBER($L754),$L754&lt;ReportDate))),1,0),0)</f>
        <v>0</v>
      </c>
      <c r="AT754" s="71">
        <f>IF($AK754=1,IF(OR($L754=ReportDate,$W754=ReportDate,$K754=ReportDate,$A754=ReportDate),1,0),0)</f>
        <v>0</v>
      </c>
      <c r="AU754" s="71">
        <f>IF($AK754=1,IF(OR($L754=ReportDate+1,$W754=ReportDate+1,$K754=ReportDate+1,$A754=ReportDate+1),1,0),0)</f>
        <v>0</v>
      </c>
      <c r="AV754" s="71">
        <f>IF(AND($G754&lt;&gt;"",$M754="Completed"),IF(OR($Y754=ReportDate-1,$A754=ReportDate-1),1,0),0)</f>
        <v>0</v>
      </c>
      <c r="AW754" s="71">
        <f>IF(AND($AK754=1,$Z754="Yes"),1,0)</f>
        <v>0</v>
      </c>
      <c r="AX754" s="71">
        <f>IF(AND($AK754=1,$AA754="Yes"),1,0)</f>
        <v>0</v>
      </c>
      <c r="AY754" s="71">
        <f>IF(AND($AM754=1,OR($I754="Critical",$I754="High")),1,0)</f>
        <v>0</v>
      </c>
      <c r="AZ754" s="71">
        <f>IF(AND($AK754=1,OR($C754=TCL_Client,$C754=MECCA_Client)),1,0)</f>
        <v>0</v>
      </c>
      <c r="BA754" s="71" t="str">
        <f>IF($G754="","",IFERROR(MATCH($I754,lst_Priority,0),5))</f>
        <v/>
      </c>
      <c r="BB754" s="71" t="str">
        <f>IF(AND($AL754=1,$AJ754=1),$BA754*100000+ROW(),"")</f>
        <v/>
      </c>
      <c r="BC754" s="71" t="str">
        <f>IF(AND($AM754=1,$AJ754=1),$BA754*100000+ROW(),"")</f>
        <v/>
      </c>
      <c r="BD754" s="71" t="str">
        <f>IF(AND($AP754=1,$AJ754=1),$BA754*100000+ROW(),"")</f>
        <v/>
      </c>
      <c r="BE754" s="71" t="str">
        <f>IF(AND($AT754=1,$AJ754=1),$BA754*100000+ROW(),"")</f>
        <v/>
      </c>
      <c r="BF754" s="71" t="str">
        <f>IF(AND($AU754=1,$AJ754=1),$BA754*100000+ROW(),"")</f>
        <v/>
      </c>
      <c r="BG754" s="71" t="str">
        <f>IF(AND($AV754=1,$AJ754=1),$BA754*100000+ROW(),"")</f>
        <v/>
      </c>
      <c r="BH754" s="71" t="str">
        <f>IF(AND($AW754=1,$AJ754=1),$BA754*100000+ROW(),"")</f>
        <v/>
      </c>
      <c r="BI754" s="71" t="str">
        <f>IF(AND($AX754=1,$AJ754=1),$BA754*100000+ROW(),"")</f>
        <v/>
      </c>
      <c r="BJ754" s="71" t="str">
        <f>IF(AND($AS754=1,$AJ754=1),$BA754*100000+ROW(),"")</f>
        <v/>
      </c>
      <c r="BK754" s="71" t="str">
        <f>IF(AND($AY754=1,$AJ754=1),$BA754*100000+ROW(),"")</f>
        <v/>
      </c>
      <c r="BL754" s="71" t="str">
        <f>IF(AND($AZ754=1),$BA754*100000+ROW(),"")</f>
        <v/>
      </c>
    </row>
    <row r="755">
      <c r="A755" s="63" t="n"/>
      <c r="B755" s="64" t="n"/>
      <c r="C755" s="64" t="n"/>
      <c r="D755" s="64" t="n"/>
      <c r="E755" s="64" t="n"/>
      <c r="F755" s="64" t="n"/>
      <c r="G755" s="65" t="n"/>
      <c r="H755" s="65" t="n"/>
      <c r="I755" s="64" t="n"/>
      <c r="J755" s="64" t="n"/>
      <c r="K755" s="63" t="n"/>
      <c r="L755" s="63" t="n"/>
      <c r="M755" s="64" t="n"/>
      <c r="N755" s="66" t="n"/>
      <c r="O755" s="65" t="n"/>
      <c r="P755" s="64" t="n"/>
      <c r="Q755" s="67" t="n"/>
      <c r="R755" s="67" t="n"/>
      <c r="S755" s="68" t="str">
        <f>IF(AND(ISNUMBER($Q755),ISNUMBER($R755)),$Q755-$R755,"")</f>
        <v/>
      </c>
      <c r="T755" s="65" t="n"/>
      <c r="U755" s="64" t="n"/>
      <c r="V755" s="65" t="n"/>
      <c r="W755" s="63" t="n"/>
      <c r="X755" s="65" t="n"/>
      <c r="Y755" s="63" t="n"/>
      <c r="Z755" s="64" t="n"/>
      <c r="AA755" s="64" t="n"/>
      <c r="AB755" s="65" t="n"/>
      <c r="AC755" s="69" t="str">
        <f>IF(OR($G755="",NOT(ISNUMBER($K755)),$AK755=0),"",MAX(0,ReportDate-$K755))</f>
        <v/>
      </c>
      <c r="AD755" s="69" t="str">
        <f>IF($G755="","",IF($AL755=1,ReportDate-$L755,0))</f>
        <v/>
      </c>
      <c r="AE755" s="70" t="str">
        <f>IF($G755="","",IF($M755="Completed",1,IF(ISNUMBER($N755),$N755,0)))</f>
        <v/>
      </c>
      <c r="AF755" s="70" t="str">
        <f>IF(AND(ISNUMBER($Q755),ISNUMBER($R755)),IF($R755&lt;&gt;0,$Q755/$R755,""),"")</f>
        <v/>
      </c>
      <c r="AG755" s="71" t="str">
        <f>IF($G755="","",IF($AL755=1,"OVERDUE",IF($AM755=1,"BLOCKED",IF($AN755=1,"DUE TODAY",IF($AO755=1,"DUE TOMORROW",IF($AQ755=1,"HIGH PRIORITY",IF($AR755=1,"NO RECENT UPDATE",""))))))) </f>
        <v/>
      </c>
      <c r="AH755" s="71" t="str">
        <f>IF($G755="","",IF(ISNUMBER($A755),IF(ISNUMBER($A755),YEAR($A755)&amp;"-"&amp;TEXT(MONTH($A755),"00"),""),IF(ISNUMBER($L755),IF(ISNUMBER($L755),YEAR($L755)&amp;"-"&amp;TEXT(MONTH($L755),"00"),""),"")))</f>
        <v/>
      </c>
      <c r="AI755" s="71">
        <f>IF($G755="",0,IF(AND(OR(fClient="All",$C755=fClient),OR(fCampaign="All",$D755=fCampaign),OR(fTeam="All",$B755=fTeam),OR(fChannel="All",$F755=fChannel),OR(fMonth="All",$AH755=fMonth),OR(fTStatus="All",$M755=fTStatus)),1,0))</f>
        <v>0</v>
      </c>
      <c r="AJ755" s="71">
        <f>IF($G755="",0,IF(AND(OR(fClient="All",$C755=fClient),OR(fCampaign="All",$D755=fCampaign),OR(fTeam="All",$B755=fTeam),OR(fChannel="All",$F755=fChannel)),1,0))</f>
        <v>0</v>
      </c>
      <c r="AK755" s="71">
        <f>IF($G755="",0,IF(OR($M755="Completed",$M755="Cancelled"),0,1))</f>
        <v>0</v>
      </c>
      <c r="AL755" s="71">
        <f>IF(AND($AK755=1,ISNUMBER($L755)),IF($L755&lt;ReportDate,1,0),0)</f>
        <v>0</v>
      </c>
      <c r="AM755" s="71">
        <f>IF(AND($G755&lt;&gt;"",$M755="Blocked"),1,0)</f>
        <v>0</v>
      </c>
      <c r="AN755" s="71">
        <f>IF(AND($AK755=1,ISNUMBER($L755)),IF($L755=ReportDate,1,0),0)</f>
        <v>0</v>
      </c>
      <c r="AO755" s="71">
        <f>IF(AND($AK755=1,ISNUMBER($L755)),IF($L755=ReportDate+1,1,0),0)</f>
        <v>0</v>
      </c>
      <c r="AP755" s="71">
        <f>IF(AND($AK755=1,ISNUMBER($L755)),IF(AND($L755&gt;=ReportDate,$L755&lt;=ReportDate+DueSoonDays),1,0),0)</f>
        <v>0</v>
      </c>
      <c r="AQ755" s="71">
        <f>IF(AND($AK755=1,OR($I755="Critical",$I755="High")),1,0)</f>
        <v>0</v>
      </c>
      <c r="AR755" s="71">
        <f>IF($AK755=1,IF(ISNUMBER($Y755),IF(ReportDate-$Y755&gt;StaleDays,1,0),1),0)</f>
        <v>0</v>
      </c>
      <c r="AS755" s="71">
        <f>IF(AND($G755&lt;&gt;"",ISNUMBER($Q755),ISNUMBER($R755)),IF(AND($Q755&lt;$R755,OR($M755="Completed",AND(ISNUMBER($L755),$L755&lt;ReportDate))),1,0),0)</f>
        <v>0</v>
      </c>
      <c r="AT755" s="71">
        <f>IF($AK755=1,IF(OR($L755=ReportDate,$W755=ReportDate,$K755=ReportDate,$A755=ReportDate),1,0),0)</f>
        <v>0</v>
      </c>
      <c r="AU755" s="71">
        <f>IF($AK755=1,IF(OR($L755=ReportDate+1,$W755=ReportDate+1,$K755=ReportDate+1,$A755=ReportDate+1),1,0),0)</f>
        <v>0</v>
      </c>
      <c r="AV755" s="71">
        <f>IF(AND($G755&lt;&gt;"",$M755="Completed"),IF(OR($Y755=ReportDate-1,$A755=ReportDate-1),1,0),0)</f>
        <v>0</v>
      </c>
      <c r="AW755" s="71">
        <f>IF(AND($AK755=1,$Z755="Yes"),1,0)</f>
        <v>0</v>
      </c>
      <c r="AX755" s="71">
        <f>IF(AND($AK755=1,$AA755="Yes"),1,0)</f>
        <v>0</v>
      </c>
      <c r="AY755" s="71">
        <f>IF(AND($AM755=1,OR($I755="Critical",$I755="High")),1,0)</f>
        <v>0</v>
      </c>
      <c r="AZ755" s="71">
        <f>IF(AND($AK755=1,OR($C755=TCL_Client,$C755=MECCA_Client)),1,0)</f>
        <v>0</v>
      </c>
      <c r="BA755" s="71" t="str">
        <f>IF($G755="","",IFERROR(MATCH($I755,lst_Priority,0),5))</f>
        <v/>
      </c>
      <c r="BB755" s="71" t="str">
        <f>IF(AND($AL755=1,$AJ755=1),$BA755*100000+ROW(),"")</f>
        <v/>
      </c>
      <c r="BC755" s="71" t="str">
        <f>IF(AND($AM755=1,$AJ755=1),$BA755*100000+ROW(),"")</f>
        <v/>
      </c>
      <c r="BD755" s="71" t="str">
        <f>IF(AND($AP755=1,$AJ755=1),$BA755*100000+ROW(),"")</f>
        <v/>
      </c>
      <c r="BE755" s="71" t="str">
        <f>IF(AND($AT755=1,$AJ755=1),$BA755*100000+ROW(),"")</f>
        <v/>
      </c>
      <c r="BF755" s="71" t="str">
        <f>IF(AND($AU755=1,$AJ755=1),$BA755*100000+ROW(),"")</f>
        <v/>
      </c>
      <c r="BG755" s="71" t="str">
        <f>IF(AND($AV755=1,$AJ755=1),$BA755*100000+ROW(),"")</f>
        <v/>
      </c>
      <c r="BH755" s="71" t="str">
        <f>IF(AND($AW755=1,$AJ755=1),$BA755*100000+ROW(),"")</f>
        <v/>
      </c>
      <c r="BI755" s="71" t="str">
        <f>IF(AND($AX755=1,$AJ755=1),$BA755*100000+ROW(),"")</f>
        <v/>
      </c>
      <c r="BJ755" s="71" t="str">
        <f>IF(AND($AS755=1,$AJ755=1),$BA755*100000+ROW(),"")</f>
        <v/>
      </c>
      <c r="BK755" s="71" t="str">
        <f>IF(AND($AY755=1,$AJ755=1),$BA755*100000+ROW(),"")</f>
        <v/>
      </c>
      <c r="BL755" s="71" t="str">
        <f>IF(AND($AZ755=1),$BA755*100000+ROW(),"")</f>
        <v/>
      </c>
    </row>
    <row r="756">
      <c r="A756" s="63" t="n"/>
      <c r="B756" s="64" t="n"/>
      <c r="C756" s="64" t="n"/>
      <c r="D756" s="64" t="n"/>
      <c r="E756" s="64" t="n"/>
      <c r="F756" s="64" t="n"/>
      <c r="G756" s="65" t="n"/>
      <c r="H756" s="65" t="n"/>
      <c r="I756" s="64" t="n"/>
      <c r="J756" s="64" t="n"/>
      <c r="K756" s="63" t="n"/>
      <c r="L756" s="63" t="n"/>
      <c r="M756" s="64" t="n"/>
      <c r="N756" s="66" t="n"/>
      <c r="O756" s="65" t="n"/>
      <c r="P756" s="64" t="n"/>
      <c r="Q756" s="67" t="n"/>
      <c r="R756" s="67" t="n"/>
      <c r="S756" s="68" t="str">
        <f>IF(AND(ISNUMBER($Q756),ISNUMBER($R756)),$Q756-$R756,"")</f>
        <v/>
      </c>
      <c r="T756" s="65" t="n"/>
      <c r="U756" s="64" t="n"/>
      <c r="V756" s="65" t="n"/>
      <c r="W756" s="63" t="n"/>
      <c r="X756" s="65" t="n"/>
      <c r="Y756" s="63" t="n"/>
      <c r="Z756" s="64" t="n"/>
      <c r="AA756" s="64" t="n"/>
      <c r="AB756" s="65" t="n"/>
      <c r="AC756" s="69" t="str">
        <f>IF(OR($G756="",NOT(ISNUMBER($K756)),$AK756=0),"",MAX(0,ReportDate-$K756))</f>
        <v/>
      </c>
      <c r="AD756" s="69" t="str">
        <f>IF($G756="","",IF($AL756=1,ReportDate-$L756,0))</f>
        <v/>
      </c>
      <c r="AE756" s="70" t="str">
        <f>IF($G756="","",IF($M756="Completed",1,IF(ISNUMBER($N756),$N756,0)))</f>
        <v/>
      </c>
      <c r="AF756" s="70" t="str">
        <f>IF(AND(ISNUMBER($Q756),ISNUMBER($R756)),IF($R756&lt;&gt;0,$Q756/$R756,""),"")</f>
        <v/>
      </c>
      <c r="AG756" s="71" t="str">
        <f>IF($G756="","",IF($AL756=1,"OVERDUE",IF($AM756=1,"BLOCKED",IF($AN756=1,"DUE TODAY",IF($AO756=1,"DUE TOMORROW",IF($AQ756=1,"HIGH PRIORITY",IF($AR756=1,"NO RECENT UPDATE",""))))))) </f>
        <v/>
      </c>
      <c r="AH756" s="71" t="str">
        <f>IF($G756="","",IF(ISNUMBER($A756),IF(ISNUMBER($A756),YEAR($A756)&amp;"-"&amp;TEXT(MONTH($A756),"00"),""),IF(ISNUMBER($L756),IF(ISNUMBER($L756),YEAR($L756)&amp;"-"&amp;TEXT(MONTH($L756),"00"),""),"")))</f>
        <v/>
      </c>
      <c r="AI756" s="71">
        <f>IF($G756="",0,IF(AND(OR(fClient="All",$C756=fClient),OR(fCampaign="All",$D756=fCampaign),OR(fTeam="All",$B756=fTeam),OR(fChannel="All",$F756=fChannel),OR(fMonth="All",$AH756=fMonth),OR(fTStatus="All",$M756=fTStatus)),1,0))</f>
        <v>0</v>
      </c>
      <c r="AJ756" s="71">
        <f>IF($G756="",0,IF(AND(OR(fClient="All",$C756=fClient),OR(fCampaign="All",$D756=fCampaign),OR(fTeam="All",$B756=fTeam),OR(fChannel="All",$F756=fChannel)),1,0))</f>
        <v>0</v>
      </c>
      <c r="AK756" s="71">
        <f>IF($G756="",0,IF(OR($M756="Completed",$M756="Cancelled"),0,1))</f>
        <v>0</v>
      </c>
      <c r="AL756" s="71">
        <f>IF(AND($AK756=1,ISNUMBER($L756)),IF($L756&lt;ReportDate,1,0),0)</f>
        <v>0</v>
      </c>
      <c r="AM756" s="71">
        <f>IF(AND($G756&lt;&gt;"",$M756="Blocked"),1,0)</f>
        <v>0</v>
      </c>
      <c r="AN756" s="71">
        <f>IF(AND($AK756=1,ISNUMBER($L756)),IF($L756=ReportDate,1,0),0)</f>
        <v>0</v>
      </c>
      <c r="AO756" s="71">
        <f>IF(AND($AK756=1,ISNUMBER($L756)),IF($L756=ReportDate+1,1,0),0)</f>
        <v>0</v>
      </c>
      <c r="AP756" s="71">
        <f>IF(AND($AK756=1,ISNUMBER($L756)),IF(AND($L756&gt;=ReportDate,$L756&lt;=ReportDate+DueSoonDays),1,0),0)</f>
        <v>0</v>
      </c>
      <c r="AQ756" s="71">
        <f>IF(AND($AK756=1,OR($I756="Critical",$I756="High")),1,0)</f>
        <v>0</v>
      </c>
      <c r="AR756" s="71">
        <f>IF($AK756=1,IF(ISNUMBER($Y756),IF(ReportDate-$Y756&gt;StaleDays,1,0),1),0)</f>
        <v>0</v>
      </c>
      <c r="AS756" s="71">
        <f>IF(AND($G756&lt;&gt;"",ISNUMBER($Q756),ISNUMBER($R756)),IF(AND($Q756&lt;$R756,OR($M756="Completed",AND(ISNUMBER($L756),$L756&lt;ReportDate))),1,0),0)</f>
        <v>0</v>
      </c>
      <c r="AT756" s="71">
        <f>IF($AK756=1,IF(OR($L756=ReportDate,$W756=ReportDate,$K756=ReportDate,$A756=ReportDate),1,0),0)</f>
        <v>0</v>
      </c>
      <c r="AU756" s="71">
        <f>IF($AK756=1,IF(OR($L756=ReportDate+1,$W756=ReportDate+1,$K756=ReportDate+1,$A756=ReportDate+1),1,0),0)</f>
        <v>0</v>
      </c>
      <c r="AV756" s="71">
        <f>IF(AND($G756&lt;&gt;"",$M756="Completed"),IF(OR($Y756=ReportDate-1,$A756=ReportDate-1),1,0),0)</f>
        <v>0</v>
      </c>
      <c r="AW756" s="71">
        <f>IF(AND($AK756=1,$Z756="Yes"),1,0)</f>
        <v>0</v>
      </c>
      <c r="AX756" s="71">
        <f>IF(AND($AK756=1,$AA756="Yes"),1,0)</f>
        <v>0</v>
      </c>
      <c r="AY756" s="71">
        <f>IF(AND($AM756=1,OR($I756="Critical",$I756="High")),1,0)</f>
        <v>0</v>
      </c>
      <c r="AZ756" s="71">
        <f>IF(AND($AK756=1,OR($C756=TCL_Client,$C756=MECCA_Client)),1,0)</f>
        <v>0</v>
      </c>
      <c r="BA756" s="71" t="str">
        <f>IF($G756="","",IFERROR(MATCH($I756,lst_Priority,0),5))</f>
        <v/>
      </c>
      <c r="BB756" s="71" t="str">
        <f>IF(AND($AL756=1,$AJ756=1),$BA756*100000+ROW(),"")</f>
        <v/>
      </c>
      <c r="BC756" s="71" t="str">
        <f>IF(AND($AM756=1,$AJ756=1),$BA756*100000+ROW(),"")</f>
        <v/>
      </c>
      <c r="BD756" s="71" t="str">
        <f>IF(AND($AP756=1,$AJ756=1),$BA756*100000+ROW(),"")</f>
        <v/>
      </c>
      <c r="BE756" s="71" t="str">
        <f>IF(AND($AT756=1,$AJ756=1),$BA756*100000+ROW(),"")</f>
        <v/>
      </c>
      <c r="BF756" s="71" t="str">
        <f>IF(AND($AU756=1,$AJ756=1),$BA756*100000+ROW(),"")</f>
        <v/>
      </c>
      <c r="BG756" s="71" t="str">
        <f>IF(AND($AV756=1,$AJ756=1),$BA756*100000+ROW(),"")</f>
        <v/>
      </c>
      <c r="BH756" s="71" t="str">
        <f>IF(AND($AW756=1,$AJ756=1),$BA756*100000+ROW(),"")</f>
        <v/>
      </c>
      <c r="BI756" s="71" t="str">
        <f>IF(AND($AX756=1,$AJ756=1),$BA756*100000+ROW(),"")</f>
        <v/>
      </c>
      <c r="BJ756" s="71" t="str">
        <f>IF(AND($AS756=1,$AJ756=1),$BA756*100000+ROW(),"")</f>
        <v/>
      </c>
      <c r="BK756" s="71" t="str">
        <f>IF(AND($AY756=1,$AJ756=1),$BA756*100000+ROW(),"")</f>
        <v/>
      </c>
      <c r="BL756" s="71" t="str">
        <f>IF(AND($AZ756=1),$BA756*100000+ROW(),"")</f>
        <v/>
      </c>
    </row>
    <row r="757">
      <c r="A757" s="63" t="n"/>
      <c r="B757" s="64" t="n"/>
      <c r="C757" s="64" t="n"/>
      <c r="D757" s="64" t="n"/>
      <c r="E757" s="64" t="n"/>
      <c r="F757" s="64" t="n"/>
      <c r="G757" s="65" t="n"/>
      <c r="H757" s="65" t="n"/>
      <c r="I757" s="64" t="n"/>
      <c r="J757" s="64" t="n"/>
      <c r="K757" s="63" t="n"/>
      <c r="L757" s="63" t="n"/>
      <c r="M757" s="64" t="n"/>
      <c r="N757" s="66" t="n"/>
      <c r="O757" s="65" t="n"/>
      <c r="P757" s="64" t="n"/>
      <c r="Q757" s="67" t="n"/>
      <c r="R757" s="67" t="n"/>
      <c r="S757" s="68" t="str">
        <f>IF(AND(ISNUMBER($Q757),ISNUMBER($R757)),$Q757-$R757,"")</f>
        <v/>
      </c>
      <c r="T757" s="65" t="n"/>
      <c r="U757" s="64" t="n"/>
      <c r="V757" s="65" t="n"/>
      <c r="W757" s="63" t="n"/>
      <c r="X757" s="65" t="n"/>
      <c r="Y757" s="63" t="n"/>
      <c r="Z757" s="64" t="n"/>
      <c r="AA757" s="64" t="n"/>
      <c r="AB757" s="65" t="n"/>
      <c r="AC757" s="69" t="str">
        <f>IF(OR($G757="",NOT(ISNUMBER($K757)),$AK757=0),"",MAX(0,ReportDate-$K757))</f>
        <v/>
      </c>
      <c r="AD757" s="69" t="str">
        <f>IF($G757="","",IF($AL757=1,ReportDate-$L757,0))</f>
        <v/>
      </c>
      <c r="AE757" s="70" t="str">
        <f>IF($G757="","",IF($M757="Completed",1,IF(ISNUMBER($N757),$N757,0)))</f>
        <v/>
      </c>
      <c r="AF757" s="70" t="str">
        <f>IF(AND(ISNUMBER($Q757),ISNUMBER($R757)),IF($R757&lt;&gt;0,$Q757/$R757,""),"")</f>
        <v/>
      </c>
      <c r="AG757" s="71" t="str">
        <f>IF($G757="","",IF($AL757=1,"OVERDUE",IF($AM757=1,"BLOCKED",IF($AN757=1,"DUE TODAY",IF($AO757=1,"DUE TOMORROW",IF($AQ757=1,"HIGH PRIORITY",IF($AR757=1,"NO RECENT UPDATE",""))))))) </f>
        <v/>
      </c>
      <c r="AH757" s="71" t="str">
        <f>IF($G757="","",IF(ISNUMBER($A757),IF(ISNUMBER($A757),YEAR($A757)&amp;"-"&amp;TEXT(MONTH($A757),"00"),""),IF(ISNUMBER($L757),IF(ISNUMBER($L757),YEAR($L757)&amp;"-"&amp;TEXT(MONTH($L757),"00"),""),"")))</f>
        <v/>
      </c>
      <c r="AI757" s="71">
        <f>IF($G757="",0,IF(AND(OR(fClient="All",$C757=fClient),OR(fCampaign="All",$D757=fCampaign),OR(fTeam="All",$B757=fTeam),OR(fChannel="All",$F757=fChannel),OR(fMonth="All",$AH757=fMonth),OR(fTStatus="All",$M757=fTStatus)),1,0))</f>
        <v>0</v>
      </c>
      <c r="AJ757" s="71">
        <f>IF($G757="",0,IF(AND(OR(fClient="All",$C757=fClient),OR(fCampaign="All",$D757=fCampaign),OR(fTeam="All",$B757=fTeam),OR(fChannel="All",$F757=fChannel)),1,0))</f>
        <v>0</v>
      </c>
      <c r="AK757" s="71">
        <f>IF($G757="",0,IF(OR($M757="Completed",$M757="Cancelled"),0,1))</f>
        <v>0</v>
      </c>
      <c r="AL757" s="71">
        <f>IF(AND($AK757=1,ISNUMBER($L757)),IF($L757&lt;ReportDate,1,0),0)</f>
        <v>0</v>
      </c>
      <c r="AM757" s="71">
        <f>IF(AND($G757&lt;&gt;"",$M757="Blocked"),1,0)</f>
        <v>0</v>
      </c>
      <c r="AN757" s="71">
        <f>IF(AND($AK757=1,ISNUMBER($L757)),IF($L757=ReportDate,1,0),0)</f>
        <v>0</v>
      </c>
      <c r="AO757" s="71">
        <f>IF(AND($AK757=1,ISNUMBER($L757)),IF($L757=ReportDate+1,1,0),0)</f>
        <v>0</v>
      </c>
      <c r="AP757" s="71">
        <f>IF(AND($AK757=1,ISNUMBER($L757)),IF(AND($L757&gt;=ReportDate,$L757&lt;=ReportDate+DueSoonDays),1,0),0)</f>
        <v>0</v>
      </c>
      <c r="AQ757" s="71">
        <f>IF(AND($AK757=1,OR($I757="Critical",$I757="High")),1,0)</f>
        <v>0</v>
      </c>
      <c r="AR757" s="71">
        <f>IF($AK757=1,IF(ISNUMBER($Y757),IF(ReportDate-$Y757&gt;StaleDays,1,0),1),0)</f>
        <v>0</v>
      </c>
      <c r="AS757" s="71">
        <f>IF(AND($G757&lt;&gt;"",ISNUMBER($Q757),ISNUMBER($R757)),IF(AND($Q757&lt;$R757,OR($M757="Completed",AND(ISNUMBER($L757),$L757&lt;ReportDate))),1,0),0)</f>
        <v>0</v>
      </c>
      <c r="AT757" s="71">
        <f>IF($AK757=1,IF(OR($L757=ReportDate,$W757=ReportDate,$K757=ReportDate,$A757=ReportDate),1,0),0)</f>
        <v>0</v>
      </c>
      <c r="AU757" s="71">
        <f>IF($AK757=1,IF(OR($L757=ReportDate+1,$W757=ReportDate+1,$K757=ReportDate+1,$A757=ReportDate+1),1,0),0)</f>
        <v>0</v>
      </c>
      <c r="AV757" s="71">
        <f>IF(AND($G757&lt;&gt;"",$M757="Completed"),IF(OR($Y757=ReportDate-1,$A757=ReportDate-1),1,0),0)</f>
        <v>0</v>
      </c>
      <c r="AW757" s="71">
        <f>IF(AND($AK757=1,$Z757="Yes"),1,0)</f>
        <v>0</v>
      </c>
      <c r="AX757" s="71">
        <f>IF(AND($AK757=1,$AA757="Yes"),1,0)</f>
        <v>0</v>
      </c>
      <c r="AY757" s="71">
        <f>IF(AND($AM757=1,OR($I757="Critical",$I757="High")),1,0)</f>
        <v>0</v>
      </c>
      <c r="AZ757" s="71">
        <f>IF(AND($AK757=1,OR($C757=TCL_Client,$C757=MECCA_Client)),1,0)</f>
        <v>0</v>
      </c>
      <c r="BA757" s="71" t="str">
        <f>IF($G757="","",IFERROR(MATCH($I757,lst_Priority,0),5))</f>
        <v/>
      </c>
      <c r="BB757" s="71" t="str">
        <f>IF(AND($AL757=1,$AJ757=1),$BA757*100000+ROW(),"")</f>
        <v/>
      </c>
      <c r="BC757" s="71" t="str">
        <f>IF(AND($AM757=1,$AJ757=1),$BA757*100000+ROW(),"")</f>
        <v/>
      </c>
      <c r="BD757" s="71" t="str">
        <f>IF(AND($AP757=1,$AJ757=1),$BA757*100000+ROW(),"")</f>
        <v/>
      </c>
      <c r="BE757" s="71" t="str">
        <f>IF(AND($AT757=1,$AJ757=1),$BA757*100000+ROW(),"")</f>
        <v/>
      </c>
      <c r="BF757" s="71" t="str">
        <f>IF(AND($AU757=1,$AJ757=1),$BA757*100000+ROW(),"")</f>
        <v/>
      </c>
      <c r="BG757" s="71" t="str">
        <f>IF(AND($AV757=1,$AJ757=1),$BA757*100000+ROW(),"")</f>
        <v/>
      </c>
      <c r="BH757" s="71" t="str">
        <f>IF(AND($AW757=1,$AJ757=1),$BA757*100000+ROW(),"")</f>
        <v/>
      </c>
      <c r="BI757" s="71" t="str">
        <f>IF(AND($AX757=1,$AJ757=1),$BA757*100000+ROW(),"")</f>
        <v/>
      </c>
      <c r="BJ757" s="71" t="str">
        <f>IF(AND($AS757=1,$AJ757=1),$BA757*100000+ROW(),"")</f>
        <v/>
      </c>
      <c r="BK757" s="71" t="str">
        <f>IF(AND($AY757=1,$AJ757=1),$BA757*100000+ROW(),"")</f>
        <v/>
      </c>
      <c r="BL757" s="71" t="str">
        <f>IF(AND($AZ757=1),$BA757*100000+ROW(),"")</f>
        <v/>
      </c>
    </row>
    <row r="758">
      <c r="A758" s="63" t="n"/>
      <c r="B758" s="64" t="n"/>
      <c r="C758" s="64" t="n"/>
      <c r="D758" s="64" t="n"/>
      <c r="E758" s="64" t="n"/>
      <c r="F758" s="64" t="n"/>
      <c r="G758" s="65" t="n"/>
      <c r="H758" s="65" t="n"/>
      <c r="I758" s="64" t="n"/>
      <c r="J758" s="64" t="n"/>
      <c r="K758" s="63" t="n"/>
      <c r="L758" s="63" t="n"/>
      <c r="M758" s="64" t="n"/>
      <c r="N758" s="66" t="n"/>
      <c r="O758" s="65" t="n"/>
      <c r="P758" s="64" t="n"/>
      <c r="Q758" s="67" t="n"/>
      <c r="R758" s="67" t="n"/>
      <c r="S758" s="68" t="str">
        <f>IF(AND(ISNUMBER($Q758),ISNUMBER($R758)),$Q758-$R758,"")</f>
        <v/>
      </c>
      <c r="T758" s="65" t="n"/>
      <c r="U758" s="64" t="n"/>
      <c r="V758" s="65" t="n"/>
      <c r="W758" s="63" t="n"/>
      <c r="X758" s="65" t="n"/>
      <c r="Y758" s="63" t="n"/>
      <c r="Z758" s="64" t="n"/>
      <c r="AA758" s="64" t="n"/>
      <c r="AB758" s="65" t="n"/>
      <c r="AC758" s="69" t="str">
        <f>IF(OR($G758="",NOT(ISNUMBER($K758)),$AK758=0),"",MAX(0,ReportDate-$K758))</f>
        <v/>
      </c>
      <c r="AD758" s="69" t="str">
        <f>IF($G758="","",IF($AL758=1,ReportDate-$L758,0))</f>
        <v/>
      </c>
      <c r="AE758" s="70" t="str">
        <f>IF($G758="","",IF($M758="Completed",1,IF(ISNUMBER($N758),$N758,0)))</f>
        <v/>
      </c>
      <c r="AF758" s="70" t="str">
        <f>IF(AND(ISNUMBER($Q758),ISNUMBER($R758)),IF($R758&lt;&gt;0,$Q758/$R758,""),"")</f>
        <v/>
      </c>
      <c r="AG758" s="71" t="str">
        <f>IF($G758="","",IF($AL758=1,"OVERDUE",IF($AM758=1,"BLOCKED",IF($AN758=1,"DUE TODAY",IF($AO758=1,"DUE TOMORROW",IF($AQ758=1,"HIGH PRIORITY",IF($AR758=1,"NO RECENT UPDATE",""))))))) </f>
        <v/>
      </c>
      <c r="AH758" s="71" t="str">
        <f>IF($G758="","",IF(ISNUMBER($A758),IF(ISNUMBER($A758),YEAR($A758)&amp;"-"&amp;TEXT(MONTH($A758),"00"),""),IF(ISNUMBER($L758),IF(ISNUMBER($L758),YEAR($L758)&amp;"-"&amp;TEXT(MONTH($L758),"00"),""),"")))</f>
        <v/>
      </c>
      <c r="AI758" s="71">
        <f>IF($G758="",0,IF(AND(OR(fClient="All",$C758=fClient),OR(fCampaign="All",$D758=fCampaign),OR(fTeam="All",$B758=fTeam),OR(fChannel="All",$F758=fChannel),OR(fMonth="All",$AH758=fMonth),OR(fTStatus="All",$M758=fTStatus)),1,0))</f>
        <v>0</v>
      </c>
      <c r="AJ758" s="71">
        <f>IF($G758="",0,IF(AND(OR(fClient="All",$C758=fClient),OR(fCampaign="All",$D758=fCampaign),OR(fTeam="All",$B758=fTeam),OR(fChannel="All",$F758=fChannel)),1,0))</f>
        <v>0</v>
      </c>
      <c r="AK758" s="71">
        <f>IF($G758="",0,IF(OR($M758="Completed",$M758="Cancelled"),0,1))</f>
        <v>0</v>
      </c>
      <c r="AL758" s="71">
        <f>IF(AND($AK758=1,ISNUMBER($L758)),IF($L758&lt;ReportDate,1,0),0)</f>
        <v>0</v>
      </c>
      <c r="AM758" s="71">
        <f>IF(AND($G758&lt;&gt;"",$M758="Blocked"),1,0)</f>
        <v>0</v>
      </c>
      <c r="AN758" s="71">
        <f>IF(AND($AK758=1,ISNUMBER($L758)),IF($L758=ReportDate,1,0),0)</f>
        <v>0</v>
      </c>
      <c r="AO758" s="71">
        <f>IF(AND($AK758=1,ISNUMBER($L758)),IF($L758=ReportDate+1,1,0),0)</f>
        <v>0</v>
      </c>
      <c r="AP758" s="71">
        <f>IF(AND($AK758=1,ISNUMBER($L758)),IF(AND($L758&gt;=ReportDate,$L758&lt;=ReportDate+DueSoonDays),1,0),0)</f>
        <v>0</v>
      </c>
      <c r="AQ758" s="71">
        <f>IF(AND($AK758=1,OR($I758="Critical",$I758="High")),1,0)</f>
        <v>0</v>
      </c>
      <c r="AR758" s="71">
        <f>IF($AK758=1,IF(ISNUMBER($Y758),IF(ReportDate-$Y758&gt;StaleDays,1,0),1),0)</f>
        <v>0</v>
      </c>
      <c r="AS758" s="71">
        <f>IF(AND($G758&lt;&gt;"",ISNUMBER($Q758),ISNUMBER($R758)),IF(AND($Q758&lt;$R758,OR($M758="Completed",AND(ISNUMBER($L758),$L758&lt;ReportDate))),1,0),0)</f>
        <v>0</v>
      </c>
      <c r="AT758" s="71">
        <f>IF($AK758=1,IF(OR($L758=ReportDate,$W758=ReportDate,$K758=ReportDate,$A758=ReportDate),1,0),0)</f>
        <v>0</v>
      </c>
      <c r="AU758" s="71">
        <f>IF($AK758=1,IF(OR($L758=ReportDate+1,$W758=ReportDate+1,$K758=ReportDate+1,$A758=ReportDate+1),1,0),0)</f>
        <v>0</v>
      </c>
      <c r="AV758" s="71">
        <f>IF(AND($G758&lt;&gt;"",$M758="Completed"),IF(OR($Y758=ReportDate-1,$A758=ReportDate-1),1,0),0)</f>
        <v>0</v>
      </c>
      <c r="AW758" s="71">
        <f>IF(AND($AK758=1,$Z758="Yes"),1,0)</f>
        <v>0</v>
      </c>
      <c r="AX758" s="71">
        <f>IF(AND($AK758=1,$AA758="Yes"),1,0)</f>
        <v>0</v>
      </c>
      <c r="AY758" s="71">
        <f>IF(AND($AM758=1,OR($I758="Critical",$I758="High")),1,0)</f>
        <v>0</v>
      </c>
      <c r="AZ758" s="71">
        <f>IF(AND($AK758=1,OR($C758=TCL_Client,$C758=MECCA_Client)),1,0)</f>
        <v>0</v>
      </c>
      <c r="BA758" s="71" t="str">
        <f>IF($G758="","",IFERROR(MATCH($I758,lst_Priority,0),5))</f>
        <v/>
      </c>
      <c r="BB758" s="71" t="str">
        <f>IF(AND($AL758=1,$AJ758=1),$BA758*100000+ROW(),"")</f>
        <v/>
      </c>
      <c r="BC758" s="71" t="str">
        <f>IF(AND($AM758=1,$AJ758=1),$BA758*100000+ROW(),"")</f>
        <v/>
      </c>
      <c r="BD758" s="71" t="str">
        <f>IF(AND($AP758=1,$AJ758=1),$BA758*100000+ROW(),"")</f>
        <v/>
      </c>
      <c r="BE758" s="71" t="str">
        <f>IF(AND($AT758=1,$AJ758=1),$BA758*100000+ROW(),"")</f>
        <v/>
      </c>
      <c r="BF758" s="71" t="str">
        <f>IF(AND($AU758=1,$AJ758=1),$BA758*100000+ROW(),"")</f>
        <v/>
      </c>
      <c r="BG758" s="71" t="str">
        <f>IF(AND($AV758=1,$AJ758=1),$BA758*100000+ROW(),"")</f>
        <v/>
      </c>
      <c r="BH758" s="71" t="str">
        <f>IF(AND($AW758=1,$AJ758=1),$BA758*100000+ROW(),"")</f>
        <v/>
      </c>
      <c r="BI758" s="71" t="str">
        <f>IF(AND($AX758=1,$AJ758=1),$BA758*100000+ROW(),"")</f>
        <v/>
      </c>
      <c r="BJ758" s="71" t="str">
        <f>IF(AND($AS758=1,$AJ758=1),$BA758*100000+ROW(),"")</f>
        <v/>
      </c>
      <c r="BK758" s="71" t="str">
        <f>IF(AND($AY758=1,$AJ758=1),$BA758*100000+ROW(),"")</f>
        <v/>
      </c>
      <c r="BL758" s="71" t="str">
        <f>IF(AND($AZ758=1),$BA758*100000+ROW(),"")</f>
        <v/>
      </c>
    </row>
    <row r="759">
      <c r="A759" s="63" t="n"/>
      <c r="B759" s="64" t="n"/>
      <c r="C759" s="64" t="n"/>
      <c r="D759" s="64" t="n"/>
      <c r="E759" s="64" t="n"/>
      <c r="F759" s="64" t="n"/>
      <c r="G759" s="65" t="n"/>
      <c r="H759" s="65" t="n"/>
      <c r="I759" s="64" t="n"/>
      <c r="J759" s="64" t="n"/>
      <c r="K759" s="63" t="n"/>
      <c r="L759" s="63" t="n"/>
      <c r="M759" s="64" t="n"/>
      <c r="N759" s="66" t="n"/>
      <c r="O759" s="65" t="n"/>
      <c r="P759" s="64" t="n"/>
      <c r="Q759" s="67" t="n"/>
      <c r="R759" s="67" t="n"/>
      <c r="S759" s="68" t="str">
        <f>IF(AND(ISNUMBER($Q759),ISNUMBER($R759)),$Q759-$R759,"")</f>
        <v/>
      </c>
      <c r="T759" s="65" t="n"/>
      <c r="U759" s="64" t="n"/>
      <c r="V759" s="65" t="n"/>
      <c r="W759" s="63" t="n"/>
      <c r="X759" s="65" t="n"/>
      <c r="Y759" s="63" t="n"/>
      <c r="Z759" s="64" t="n"/>
      <c r="AA759" s="64" t="n"/>
      <c r="AB759" s="65" t="n"/>
      <c r="AC759" s="69" t="str">
        <f>IF(OR($G759="",NOT(ISNUMBER($K759)),$AK759=0),"",MAX(0,ReportDate-$K759))</f>
        <v/>
      </c>
      <c r="AD759" s="69" t="str">
        <f>IF($G759="","",IF($AL759=1,ReportDate-$L759,0))</f>
        <v/>
      </c>
      <c r="AE759" s="70" t="str">
        <f>IF($G759="","",IF($M759="Completed",1,IF(ISNUMBER($N759),$N759,0)))</f>
        <v/>
      </c>
      <c r="AF759" s="70" t="str">
        <f>IF(AND(ISNUMBER($Q759),ISNUMBER($R759)),IF($R759&lt;&gt;0,$Q759/$R759,""),"")</f>
        <v/>
      </c>
      <c r="AG759" s="71" t="str">
        <f>IF($G759="","",IF($AL759=1,"OVERDUE",IF($AM759=1,"BLOCKED",IF($AN759=1,"DUE TODAY",IF($AO759=1,"DUE TOMORROW",IF($AQ759=1,"HIGH PRIORITY",IF($AR759=1,"NO RECENT UPDATE",""))))))) </f>
        <v/>
      </c>
      <c r="AH759" s="71" t="str">
        <f>IF($G759="","",IF(ISNUMBER($A759),IF(ISNUMBER($A759),YEAR($A759)&amp;"-"&amp;TEXT(MONTH($A759),"00"),""),IF(ISNUMBER($L759),IF(ISNUMBER($L759),YEAR($L759)&amp;"-"&amp;TEXT(MONTH($L759),"00"),""),"")))</f>
        <v/>
      </c>
      <c r="AI759" s="71">
        <f>IF($G759="",0,IF(AND(OR(fClient="All",$C759=fClient),OR(fCampaign="All",$D759=fCampaign),OR(fTeam="All",$B759=fTeam),OR(fChannel="All",$F759=fChannel),OR(fMonth="All",$AH759=fMonth),OR(fTStatus="All",$M759=fTStatus)),1,0))</f>
        <v>0</v>
      </c>
      <c r="AJ759" s="71">
        <f>IF($G759="",0,IF(AND(OR(fClient="All",$C759=fClient),OR(fCampaign="All",$D759=fCampaign),OR(fTeam="All",$B759=fTeam),OR(fChannel="All",$F759=fChannel)),1,0))</f>
        <v>0</v>
      </c>
      <c r="AK759" s="71">
        <f>IF($G759="",0,IF(OR($M759="Completed",$M759="Cancelled"),0,1))</f>
        <v>0</v>
      </c>
      <c r="AL759" s="71">
        <f>IF(AND($AK759=1,ISNUMBER($L759)),IF($L759&lt;ReportDate,1,0),0)</f>
        <v>0</v>
      </c>
      <c r="AM759" s="71">
        <f>IF(AND($G759&lt;&gt;"",$M759="Blocked"),1,0)</f>
        <v>0</v>
      </c>
      <c r="AN759" s="71">
        <f>IF(AND($AK759=1,ISNUMBER($L759)),IF($L759=ReportDate,1,0),0)</f>
        <v>0</v>
      </c>
      <c r="AO759" s="71">
        <f>IF(AND($AK759=1,ISNUMBER($L759)),IF($L759=ReportDate+1,1,0),0)</f>
        <v>0</v>
      </c>
      <c r="AP759" s="71">
        <f>IF(AND($AK759=1,ISNUMBER($L759)),IF(AND($L759&gt;=ReportDate,$L759&lt;=ReportDate+DueSoonDays),1,0),0)</f>
        <v>0</v>
      </c>
      <c r="AQ759" s="71">
        <f>IF(AND($AK759=1,OR($I759="Critical",$I759="High")),1,0)</f>
        <v>0</v>
      </c>
      <c r="AR759" s="71">
        <f>IF($AK759=1,IF(ISNUMBER($Y759),IF(ReportDate-$Y759&gt;StaleDays,1,0),1),0)</f>
        <v>0</v>
      </c>
      <c r="AS759" s="71">
        <f>IF(AND($G759&lt;&gt;"",ISNUMBER($Q759),ISNUMBER($R759)),IF(AND($Q759&lt;$R759,OR($M759="Completed",AND(ISNUMBER($L759),$L759&lt;ReportDate))),1,0),0)</f>
        <v>0</v>
      </c>
      <c r="AT759" s="71">
        <f>IF($AK759=1,IF(OR($L759=ReportDate,$W759=ReportDate,$K759=ReportDate,$A759=ReportDate),1,0),0)</f>
        <v>0</v>
      </c>
      <c r="AU759" s="71">
        <f>IF($AK759=1,IF(OR($L759=ReportDate+1,$W759=ReportDate+1,$K759=ReportDate+1,$A759=ReportDate+1),1,0),0)</f>
        <v>0</v>
      </c>
      <c r="AV759" s="71">
        <f>IF(AND($G759&lt;&gt;"",$M759="Completed"),IF(OR($Y759=ReportDate-1,$A759=ReportDate-1),1,0),0)</f>
        <v>0</v>
      </c>
      <c r="AW759" s="71">
        <f>IF(AND($AK759=1,$Z759="Yes"),1,0)</f>
        <v>0</v>
      </c>
      <c r="AX759" s="71">
        <f>IF(AND($AK759=1,$AA759="Yes"),1,0)</f>
        <v>0</v>
      </c>
      <c r="AY759" s="71">
        <f>IF(AND($AM759=1,OR($I759="Critical",$I759="High")),1,0)</f>
        <v>0</v>
      </c>
      <c r="AZ759" s="71">
        <f>IF(AND($AK759=1,OR($C759=TCL_Client,$C759=MECCA_Client)),1,0)</f>
        <v>0</v>
      </c>
      <c r="BA759" s="71" t="str">
        <f>IF($G759="","",IFERROR(MATCH($I759,lst_Priority,0),5))</f>
        <v/>
      </c>
      <c r="BB759" s="71" t="str">
        <f>IF(AND($AL759=1,$AJ759=1),$BA759*100000+ROW(),"")</f>
        <v/>
      </c>
      <c r="BC759" s="71" t="str">
        <f>IF(AND($AM759=1,$AJ759=1),$BA759*100000+ROW(),"")</f>
        <v/>
      </c>
      <c r="BD759" s="71" t="str">
        <f>IF(AND($AP759=1,$AJ759=1),$BA759*100000+ROW(),"")</f>
        <v/>
      </c>
      <c r="BE759" s="71" t="str">
        <f>IF(AND($AT759=1,$AJ759=1),$BA759*100000+ROW(),"")</f>
        <v/>
      </c>
      <c r="BF759" s="71" t="str">
        <f>IF(AND($AU759=1,$AJ759=1),$BA759*100000+ROW(),"")</f>
        <v/>
      </c>
      <c r="BG759" s="71" t="str">
        <f>IF(AND($AV759=1,$AJ759=1),$BA759*100000+ROW(),"")</f>
        <v/>
      </c>
      <c r="BH759" s="71" t="str">
        <f>IF(AND($AW759=1,$AJ759=1),$BA759*100000+ROW(),"")</f>
        <v/>
      </c>
      <c r="BI759" s="71" t="str">
        <f>IF(AND($AX759=1,$AJ759=1),$BA759*100000+ROW(),"")</f>
        <v/>
      </c>
      <c r="BJ759" s="71" t="str">
        <f>IF(AND($AS759=1,$AJ759=1),$BA759*100000+ROW(),"")</f>
        <v/>
      </c>
      <c r="BK759" s="71" t="str">
        <f>IF(AND($AY759=1,$AJ759=1),$BA759*100000+ROW(),"")</f>
        <v/>
      </c>
      <c r="BL759" s="71" t="str">
        <f>IF(AND($AZ759=1),$BA759*100000+ROW(),"")</f>
        <v/>
      </c>
    </row>
    <row r="760">
      <c r="A760" s="63" t="n"/>
      <c r="B760" s="64" t="n"/>
      <c r="C760" s="64" t="n"/>
      <c r="D760" s="64" t="n"/>
      <c r="E760" s="64" t="n"/>
      <c r="F760" s="64" t="n"/>
      <c r="G760" s="65" t="n"/>
      <c r="H760" s="65" t="n"/>
      <c r="I760" s="64" t="n"/>
      <c r="J760" s="64" t="n"/>
      <c r="K760" s="63" t="n"/>
      <c r="L760" s="63" t="n"/>
      <c r="M760" s="64" t="n"/>
      <c r="N760" s="66" t="n"/>
      <c r="O760" s="65" t="n"/>
      <c r="P760" s="64" t="n"/>
      <c r="Q760" s="67" t="n"/>
      <c r="R760" s="67" t="n"/>
      <c r="S760" s="68" t="str">
        <f>IF(AND(ISNUMBER($Q760),ISNUMBER($R760)),$Q760-$R760,"")</f>
        <v/>
      </c>
      <c r="T760" s="65" t="n"/>
      <c r="U760" s="64" t="n"/>
      <c r="V760" s="65" t="n"/>
      <c r="W760" s="63" t="n"/>
      <c r="X760" s="65" t="n"/>
      <c r="Y760" s="63" t="n"/>
      <c r="Z760" s="64" t="n"/>
      <c r="AA760" s="64" t="n"/>
      <c r="AB760" s="65" t="n"/>
      <c r="AC760" s="69" t="str">
        <f>IF(OR($G760="",NOT(ISNUMBER($K760)),$AK760=0),"",MAX(0,ReportDate-$K760))</f>
        <v/>
      </c>
      <c r="AD760" s="69" t="str">
        <f>IF($G760="","",IF($AL760=1,ReportDate-$L760,0))</f>
        <v/>
      </c>
      <c r="AE760" s="70" t="str">
        <f>IF($G760="","",IF($M760="Completed",1,IF(ISNUMBER($N760),$N760,0)))</f>
        <v/>
      </c>
      <c r="AF760" s="70" t="str">
        <f>IF(AND(ISNUMBER($Q760),ISNUMBER($R760)),IF($R760&lt;&gt;0,$Q760/$R760,""),"")</f>
        <v/>
      </c>
      <c r="AG760" s="71" t="str">
        <f>IF($G760="","",IF($AL760=1,"OVERDUE",IF($AM760=1,"BLOCKED",IF($AN760=1,"DUE TODAY",IF($AO760=1,"DUE TOMORROW",IF($AQ760=1,"HIGH PRIORITY",IF($AR760=1,"NO RECENT UPDATE",""))))))) </f>
        <v/>
      </c>
      <c r="AH760" s="71" t="str">
        <f>IF($G760="","",IF(ISNUMBER($A760),IF(ISNUMBER($A760),YEAR($A760)&amp;"-"&amp;TEXT(MONTH($A760),"00"),""),IF(ISNUMBER($L760),IF(ISNUMBER($L760),YEAR($L760)&amp;"-"&amp;TEXT(MONTH($L760),"00"),""),"")))</f>
        <v/>
      </c>
      <c r="AI760" s="71">
        <f>IF($G760="",0,IF(AND(OR(fClient="All",$C760=fClient),OR(fCampaign="All",$D760=fCampaign),OR(fTeam="All",$B760=fTeam),OR(fChannel="All",$F760=fChannel),OR(fMonth="All",$AH760=fMonth),OR(fTStatus="All",$M760=fTStatus)),1,0))</f>
        <v>0</v>
      </c>
      <c r="AJ760" s="71">
        <f>IF($G760="",0,IF(AND(OR(fClient="All",$C760=fClient),OR(fCampaign="All",$D760=fCampaign),OR(fTeam="All",$B760=fTeam),OR(fChannel="All",$F760=fChannel)),1,0))</f>
        <v>0</v>
      </c>
      <c r="AK760" s="71">
        <f>IF($G760="",0,IF(OR($M760="Completed",$M760="Cancelled"),0,1))</f>
        <v>0</v>
      </c>
      <c r="AL760" s="71">
        <f>IF(AND($AK760=1,ISNUMBER($L760)),IF($L760&lt;ReportDate,1,0),0)</f>
        <v>0</v>
      </c>
      <c r="AM760" s="71">
        <f>IF(AND($G760&lt;&gt;"",$M760="Blocked"),1,0)</f>
        <v>0</v>
      </c>
      <c r="AN760" s="71">
        <f>IF(AND($AK760=1,ISNUMBER($L760)),IF($L760=ReportDate,1,0),0)</f>
        <v>0</v>
      </c>
      <c r="AO760" s="71">
        <f>IF(AND($AK760=1,ISNUMBER($L760)),IF($L760=ReportDate+1,1,0),0)</f>
        <v>0</v>
      </c>
      <c r="AP760" s="71">
        <f>IF(AND($AK760=1,ISNUMBER($L760)),IF(AND($L760&gt;=ReportDate,$L760&lt;=ReportDate+DueSoonDays),1,0),0)</f>
        <v>0</v>
      </c>
      <c r="AQ760" s="71">
        <f>IF(AND($AK760=1,OR($I760="Critical",$I760="High")),1,0)</f>
        <v>0</v>
      </c>
      <c r="AR760" s="71">
        <f>IF($AK760=1,IF(ISNUMBER($Y760),IF(ReportDate-$Y760&gt;StaleDays,1,0),1),0)</f>
        <v>0</v>
      </c>
      <c r="AS760" s="71">
        <f>IF(AND($G760&lt;&gt;"",ISNUMBER($Q760),ISNUMBER($R760)),IF(AND($Q760&lt;$R760,OR($M760="Completed",AND(ISNUMBER($L760),$L760&lt;ReportDate))),1,0),0)</f>
        <v>0</v>
      </c>
      <c r="AT760" s="71">
        <f>IF($AK760=1,IF(OR($L760=ReportDate,$W760=ReportDate,$K760=ReportDate,$A760=ReportDate),1,0),0)</f>
        <v>0</v>
      </c>
      <c r="AU760" s="71">
        <f>IF($AK760=1,IF(OR($L760=ReportDate+1,$W760=ReportDate+1,$K760=ReportDate+1,$A760=ReportDate+1),1,0),0)</f>
        <v>0</v>
      </c>
      <c r="AV760" s="71">
        <f>IF(AND($G760&lt;&gt;"",$M760="Completed"),IF(OR($Y760=ReportDate-1,$A760=ReportDate-1),1,0),0)</f>
        <v>0</v>
      </c>
      <c r="AW760" s="71">
        <f>IF(AND($AK760=1,$Z760="Yes"),1,0)</f>
        <v>0</v>
      </c>
      <c r="AX760" s="71">
        <f>IF(AND($AK760=1,$AA760="Yes"),1,0)</f>
        <v>0</v>
      </c>
      <c r="AY760" s="71">
        <f>IF(AND($AM760=1,OR($I760="Critical",$I760="High")),1,0)</f>
        <v>0</v>
      </c>
      <c r="AZ760" s="71">
        <f>IF(AND($AK760=1,OR($C760=TCL_Client,$C760=MECCA_Client)),1,0)</f>
        <v>0</v>
      </c>
      <c r="BA760" s="71" t="str">
        <f>IF($G760="","",IFERROR(MATCH($I760,lst_Priority,0),5))</f>
        <v/>
      </c>
      <c r="BB760" s="71" t="str">
        <f>IF(AND($AL760=1,$AJ760=1),$BA760*100000+ROW(),"")</f>
        <v/>
      </c>
      <c r="BC760" s="71" t="str">
        <f>IF(AND($AM760=1,$AJ760=1),$BA760*100000+ROW(),"")</f>
        <v/>
      </c>
      <c r="BD760" s="71" t="str">
        <f>IF(AND($AP760=1,$AJ760=1),$BA760*100000+ROW(),"")</f>
        <v/>
      </c>
      <c r="BE760" s="71" t="str">
        <f>IF(AND($AT760=1,$AJ760=1),$BA760*100000+ROW(),"")</f>
        <v/>
      </c>
      <c r="BF760" s="71" t="str">
        <f>IF(AND($AU760=1,$AJ760=1),$BA760*100000+ROW(),"")</f>
        <v/>
      </c>
      <c r="BG760" s="71" t="str">
        <f>IF(AND($AV760=1,$AJ760=1),$BA760*100000+ROW(),"")</f>
        <v/>
      </c>
      <c r="BH760" s="71" t="str">
        <f>IF(AND($AW760=1,$AJ760=1),$BA760*100000+ROW(),"")</f>
        <v/>
      </c>
      <c r="BI760" s="71" t="str">
        <f>IF(AND($AX760=1,$AJ760=1),$BA760*100000+ROW(),"")</f>
        <v/>
      </c>
      <c r="BJ760" s="71" t="str">
        <f>IF(AND($AS760=1,$AJ760=1),$BA760*100000+ROW(),"")</f>
        <v/>
      </c>
      <c r="BK760" s="71" t="str">
        <f>IF(AND($AY760=1,$AJ760=1),$BA760*100000+ROW(),"")</f>
        <v/>
      </c>
      <c r="BL760" s="71" t="str">
        <f>IF(AND($AZ760=1),$BA760*100000+ROW(),"")</f>
        <v/>
      </c>
    </row>
    <row r="761">
      <c r="A761" s="63" t="n"/>
      <c r="B761" s="64" t="n"/>
      <c r="C761" s="64" t="n"/>
      <c r="D761" s="64" t="n"/>
      <c r="E761" s="64" t="n"/>
      <c r="F761" s="64" t="n"/>
      <c r="G761" s="65" t="n"/>
      <c r="H761" s="65" t="n"/>
      <c r="I761" s="64" t="n"/>
      <c r="J761" s="64" t="n"/>
      <c r="K761" s="63" t="n"/>
      <c r="L761" s="63" t="n"/>
      <c r="M761" s="64" t="n"/>
      <c r="N761" s="66" t="n"/>
      <c r="O761" s="65" t="n"/>
      <c r="P761" s="64" t="n"/>
      <c r="Q761" s="67" t="n"/>
      <c r="R761" s="67" t="n"/>
      <c r="S761" s="68" t="str">
        <f>IF(AND(ISNUMBER($Q761),ISNUMBER($R761)),$Q761-$R761,"")</f>
        <v/>
      </c>
      <c r="T761" s="65" t="n"/>
      <c r="U761" s="64" t="n"/>
      <c r="V761" s="65" t="n"/>
      <c r="W761" s="63" t="n"/>
      <c r="X761" s="65" t="n"/>
      <c r="Y761" s="63" t="n"/>
      <c r="Z761" s="64" t="n"/>
      <c r="AA761" s="64" t="n"/>
      <c r="AB761" s="65" t="n"/>
      <c r="AC761" s="69" t="str">
        <f>IF(OR($G761="",NOT(ISNUMBER($K761)),$AK761=0),"",MAX(0,ReportDate-$K761))</f>
        <v/>
      </c>
      <c r="AD761" s="69" t="str">
        <f>IF($G761="","",IF($AL761=1,ReportDate-$L761,0))</f>
        <v/>
      </c>
      <c r="AE761" s="70" t="str">
        <f>IF($G761="","",IF($M761="Completed",1,IF(ISNUMBER($N761),$N761,0)))</f>
        <v/>
      </c>
      <c r="AF761" s="70" t="str">
        <f>IF(AND(ISNUMBER($Q761),ISNUMBER($R761)),IF($R761&lt;&gt;0,$Q761/$R761,""),"")</f>
        <v/>
      </c>
      <c r="AG761" s="71" t="str">
        <f>IF($G761="","",IF($AL761=1,"OVERDUE",IF($AM761=1,"BLOCKED",IF($AN761=1,"DUE TODAY",IF($AO761=1,"DUE TOMORROW",IF($AQ761=1,"HIGH PRIORITY",IF($AR761=1,"NO RECENT UPDATE",""))))))) </f>
        <v/>
      </c>
      <c r="AH761" s="71" t="str">
        <f>IF($G761="","",IF(ISNUMBER($A761),IF(ISNUMBER($A761),YEAR($A761)&amp;"-"&amp;TEXT(MONTH($A761),"00"),""),IF(ISNUMBER($L761),IF(ISNUMBER($L761),YEAR($L761)&amp;"-"&amp;TEXT(MONTH($L761),"00"),""),"")))</f>
        <v/>
      </c>
      <c r="AI761" s="71">
        <f>IF($G761="",0,IF(AND(OR(fClient="All",$C761=fClient),OR(fCampaign="All",$D761=fCampaign),OR(fTeam="All",$B761=fTeam),OR(fChannel="All",$F761=fChannel),OR(fMonth="All",$AH761=fMonth),OR(fTStatus="All",$M761=fTStatus)),1,0))</f>
        <v>0</v>
      </c>
      <c r="AJ761" s="71">
        <f>IF($G761="",0,IF(AND(OR(fClient="All",$C761=fClient),OR(fCampaign="All",$D761=fCampaign),OR(fTeam="All",$B761=fTeam),OR(fChannel="All",$F761=fChannel)),1,0))</f>
        <v>0</v>
      </c>
      <c r="AK761" s="71">
        <f>IF($G761="",0,IF(OR($M761="Completed",$M761="Cancelled"),0,1))</f>
        <v>0</v>
      </c>
      <c r="AL761" s="71">
        <f>IF(AND($AK761=1,ISNUMBER($L761)),IF($L761&lt;ReportDate,1,0),0)</f>
        <v>0</v>
      </c>
      <c r="AM761" s="71">
        <f>IF(AND($G761&lt;&gt;"",$M761="Blocked"),1,0)</f>
        <v>0</v>
      </c>
      <c r="AN761" s="71">
        <f>IF(AND($AK761=1,ISNUMBER($L761)),IF($L761=ReportDate,1,0),0)</f>
        <v>0</v>
      </c>
      <c r="AO761" s="71">
        <f>IF(AND($AK761=1,ISNUMBER($L761)),IF($L761=ReportDate+1,1,0),0)</f>
        <v>0</v>
      </c>
      <c r="AP761" s="71">
        <f>IF(AND($AK761=1,ISNUMBER($L761)),IF(AND($L761&gt;=ReportDate,$L761&lt;=ReportDate+DueSoonDays),1,0),0)</f>
        <v>0</v>
      </c>
      <c r="AQ761" s="71">
        <f>IF(AND($AK761=1,OR($I761="Critical",$I761="High")),1,0)</f>
        <v>0</v>
      </c>
      <c r="AR761" s="71">
        <f>IF($AK761=1,IF(ISNUMBER($Y761),IF(ReportDate-$Y761&gt;StaleDays,1,0),1),0)</f>
        <v>0</v>
      </c>
      <c r="AS761" s="71">
        <f>IF(AND($G761&lt;&gt;"",ISNUMBER($Q761),ISNUMBER($R761)),IF(AND($Q761&lt;$R761,OR($M761="Completed",AND(ISNUMBER($L761),$L761&lt;ReportDate))),1,0),0)</f>
        <v>0</v>
      </c>
      <c r="AT761" s="71">
        <f>IF($AK761=1,IF(OR($L761=ReportDate,$W761=ReportDate,$K761=ReportDate,$A761=ReportDate),1,0),0)</f>
        <v>0</v>
      </c>
      <c r="AU761" s="71">
        <f>IF($AK761=1,IF(OR($L761=ReportDate+1,$W761=ReportDate+1,$K761=ReportDate+1,$A761=ReportDate+1),1,0),0)</f>
        <v>0</v>
      </c>
      <c r="AV761" s="71">
        <f>IF(AND($G761&lt;&gt;"",$M761="Completed"),IF(OR($Y761=ReportDate-1,$A761=ReportDate-1),1,0),0)</f>
        <v>0</v>
      </c>
      <c r="AW761" s="71">
        <f>IF(AND($AK761=1,$Z761="Yes"),1,0)</f>
        <v>0</v>
      </c>
      <c r="AX761" s="71">
        <f>IF(AND($AK761=1,$AA761="Yes"),1,0)</f>
        <v>0</v>
      </c>
      <c r="AY761" s="71">
        <f>IF(AND($AM761=1,OR($I761="Critical",$I761="High")),1,0)</f>
        <v>0</v>
      </c>
      <c r="AZ761" s="71">
        <f>IF(AND($AK761=1,OR($C761=TCL_Client,$C761=MECCA_Client)),1,0)</f>
        <v>0</v>
      </c>
      <c r="BA761" s="71" t="str">
        <f>IF($G761="","",IFERROR(MATCH($I761,lst_Priority,0),5))</f>
        <v/>
      </c>
      <c r="BB761" s="71" t="str">
        <f>IF(AND($AL761=1,$AJ761=1),$BA761*100000+ROW(),"")</f>
        <v/>
      </c>
      <c r="BC761" s="71" t="str">
        <f>IF(AND($AM761=1,$AJ761=1),$BA761*100000+ROW(),"")</f>
        <v/>
      </c>
      <c r="BD761" s="71" t="str">
        <f>IF(AND($AP761=1,$AJ761=1),$BA761*100000+ROW(),"")</f>
        <v/>
      </c>
      <c r="BE761" s="71" t="str">
        <f>IF(AND($AT761=1,$AJ761=1),$BA761*100000+ROW(),"")</f>
        <v/>
      </c>
      <c r="BF761" s="71" t="str">
        <f>IF(AND($AU761=1,$AJ761=1),$BA761*100000+ROW(),"")</f>
        <v/>
      </c>
      <c r="BG761" s="71" t="str">
        <f>IF(AND($AV761=1,$AJ761=1),$BA761*100000+ROW(),"")</f>
        <v/>
      </c>
      <c r="BH761" s="71" t="str">
        <f>IF(AND($AW761=1,$AJ761=1),$BA761*100000+ROW(),"")</f>
        <v/>
      </c>
      <c r="BI761" s="71" t="str">
        <f>IF(AND($AX761=1,$AJ761=1),$BA761*100000+ROW(),"")</f>
        <v/>
      </c>
      <c r="BJ761" s="71" t="str">
        <f>IF(AND($AS761=1,$AJ761=1),$BA761*100000+ROW(),"")</f>
        <v/>
      </c>
      <c r="BK761" s="71" t="str">
        <f>IF(AND($AY761=1,$AJ761=1),$BA761*100000+ROW(),"")</f>
        <v/>
      </c>
      <c r="BL761" s="71" t="str">
        <f>IF(AND($AZ761=1),$BA761*100000+ROW(),"")</f>
        <v/>
      </c>
    </row>
    <row r="762">
      <c r="A762" s="63" t="n"/>
      <c r="B762" s="64" t="n"/>
      <c r="C762" s="64" t="n"/>
      <c r="D762" s="64" t="n"/>
      <c r="E762" s="64" t="n"/>
      <c r="F762" s="64" t="n"/>
      <c r="G762" s="65" t="n"/>
      <c r="H762" s="65" t="n"/>
      <c r="I762" s="64" t="n"/>
      <c r="J762" s="64" t="n"/>
      <c r="K762" s="63" t="n"/>
      <c r="L762" s="63" t="n"/>
      <c r="M762" s="64" t="n"/>
      <c r="N762" s="66" t="n"/>
      <c r="O762" s="65" t="n"/>
      <c r="P762" s="64" t="n"/>
      <c r="Q762" s="67" t="n"/>
      <c r="R762" s="67" t="n"/>
      <c r="S762" s="68" t="str">
        <f>IF(AND(ISNUMBER($Q762),ISNUMBER($R762)),$Q762-$R762,"")</f>
        <v/>
      </c>
      <c r="T762" s="65" t="n"/>
      <c r="U762" s="64" t="n"/>
      <c r="V762" s="65" t="n"/>
      <c r="W762" s="63" t="n"/>
      <c r="X762" s="65" t="n"/>
      <c r="Y762" s="63" t="n"/>
      <c r="Z762" s="64" t="n"/>
      <c r="AA762" s="64" t="n"/>
      <c r="AB762" s="65" t="n"/>
      <c r="AC762" s="69" t="str">
        <f>IF(OR($G762="",NOT(ISNUMBER($K762)),$AK762=0),"",MAX(0,ReportDate-$K762))</f>
        <v/>
      </c>
      <c r="AD762" s="69" t="str">
        <f>IF($G762="","",IF($AL762=1,ReportDate-$L762,0))</f>
        <v/>
      </c>
      <c r="AE762" s="70" t="str">
        <f>IF($G762="","",IF($M762="Completed",1,IF(ISNUMBER($N762),$N762,0)))</f>
        <v/>
      </c>
      <c r="AF762" s="70" t="str">
        <f>IF(AND(ISNUMBER($Q762),ISNUMBER($R762)),IF($R762&lt;&gt;0,$Q762/$R762,""),"")</f>
        <v/>
      </c>
      <c r="AG762" s="71" t="str">
        <f>IF($G762="","",IF($AL762=1,"OVERDUE",IF($AM762=1,"BLOCKED",IF($AN762=1,"DUE TODAY",IF($AO762=1,"DUE TOMORROW",IF($AQ762=1,"HIGH PRIORITY",IF($AR762=1,"NO RECENT UPDATE",""))))))) </f>
        <v/>
      </c>
      <c r="AH762" s="71" t="str">
        <f>IF($G762="","",IF(ISNUMBER($A762),IF(ISNUMBER($A762),YEAR($A762)&amp;"-"&amp;TEXT(MONTH($A762),"00"),""),IF(ISNUMBER($L762),IF(ISNUMBER($L762),YEAR($L762)&amp;"-"&amp;TEXT(MONTH($L762),"00"),""),"")))</f>
        <v/>
      </c>
      <c r="AI762" s="71">
        <f>IF($G762="",0,IF(AND(OR(fClient="All",$C762=fClient),OR(fCampaign="All",$D762=fCampaign),OR(fTeam="All",$B762=fTeam),OR(fChannel="All",$F762=fChannel),OR(fMonth="All",$AH762=fMonth),OR(fTStatus="All",$M762=fTStatus)),1,0))</f>
        <v>0</v>
      </c>
      <c r="AJ762" s="71">
        <f>IF($G762="",0,IF(AND(OR(fClient="All",$C762=fClient),OR(fCampaign="All",$D762=fCampaign),OR(fTeam="All",$B762=fTeam),OR(fChannel="All",$F762=fChannel)),1,0))</f>
        <v>0</v>
      </c>
      <c r="AK762" s="71">
        <f>IF($G762="",0,IF(OR($M762="Completed",$M762="Cancelled"),0,1))</f>
        <v>0</v>
      </c>
      <c r="AL762" s="71">
        <f>IF(AND($AK762=1,ISNUMBER($L762)),IF($L762&lt;ReportDate,1,0),0)</f>
        <v>0</v>
      </c>
      <c r="AM762" s="71">
        <f>IF(AND($G762&lt;&gt;"",$M762="Blocked"),1,0)</f>
        <v>0</v>
      </c>
      <c r="AN762" s="71">
        <f>IF(AND($AK762=1,ISNUMBER($L762)),IF($L762=ReportDate,1,0),0)</f>
        <v>0</v>
      </c>
      <c r="AO762" s="71">
        <f>IF(AND($AK762=1,ISNUMBER($L762)),IF($L762=ReportDate+1,1,0),0)</f>
        <v>0</v>
      </c>
      <c r="AP762" s="71">
        <f>IF(AND($AK762=1,ISNUMBER($L762)),IF(AND($L762&gt;=ReportDate,$L762&lt;=ReportDate+DueSoonDays),1,0),0)</f>
        <v>0</v>
      </c>
      <c r="AQ762" s="71">
        <f>IF(AND($AK762=1,OR($I762="Critical",$I762="High")),1,0)</f>
        <v>0</v>
      </c>
      <c r="AR762" s="71">
        <f>IF($AK762=1,IF(ISNUMBER($Y762),IF(ReportDate-$Y762&gt;StaleDays,1,0),1),0)</f>
        <v>0</v>
      </c>
      <c r="AS762" s="71">
        <f>IF(AND($G762&lt;&gt;"",ISNUMBER($Q762),ISNUMBER($R762)),IF(AND($Q762&lt;$R762,OR($M762="Completed",AND(ISNUMBER($L762),$L762&lt;ReportDate))),1,0),0)</f>
        <v>0</v>
      </c>
      <c r="AT762" s="71">
        <f>IF($AK762=1,IF(OR($L762=ReportDate,$W762=ReportDate,$K762=ReportDate,$A762=ReportDate),1,0),0)</f>
        <v>0</v>
      </c>
      <c r="AU762" s="71">
        <f>IF($AK762=1,IF(OR($L762=ReportDate+1,$W762=ReportDate+1,$K762=ReportDate+1,$A762=ReportDate+1),1,0),0)</f>
        <v>0</v>
      </c>
      <c r="AV762" s="71">
        <f>IF(AND($G762&lt;&gt;"",$M762="Completed"),IF(OR($Y762=ReportDate-1,$A762=ReportDate-1),1,0),0)</f>
        <v>0</v>
      </c>
      <c r="AW762" s="71">
        <f>IF(AND($AK762=1,$Z762="Yes"),1,0)</f>
        <v>0</v>
      </c>
      <c r="AX762" s="71">
        <f>IF(AND($AK762=1,$AA762="Yes"),1,0)</f>
        <v>0</v>
      </c>
      <c r="AY762" s="71">
        <f>IF(AND($AM762=1,OR($I762="Critical",$I762="High")),1,0)</f>
        <v>0</v>
      </c>
      <c r="AZ762" s="71">
        <f>IF(AND($AK762=1,OR($C762=TCL_Client,$C762=MECCA_Client)),1,0)</f>
        <v>0</v>
      </c>
      <c r="BA762" s="71" t="str">
        <f>IF($G762="","",IFERROR(MATCH($I762,lst_Priority,0),5))</f>
        <v/>
      </c>
      <c r="BB762" s="71" t="str">
        <f>IF(AND($AL762=1,$AJ762=1),$BA762*100000+ROW(),"")</f>
        <v/>
      </c>
      <c r="BC762" s="71" t="str">
        <f>IF(AND($AM762=1,$AJ762=1),$BA762*100000+ROW(),"")</f>
        <v/>
      </c>
      <c r="BD762" s="71" t="str">
        <f>IF(AND($AP762=1,$AJ762=1),$BA762*100000+ROW(),"")</f>
        <v/>
      </c>
      <c r="BE762" s="71" t="str">
        <f>IF(AND($AT762=1,$AJ762=1),$BA762*100000+ROW(),"")</f>
        <v/>
      </c>
      <c r="BF762" s="71" t="str">
        <f>IF(AND($AU762=1,$AJ762=1),$BA762*100000+ROW(),"")</f>
        <v/>
      </c>
      <c r="BG762" s="71" t="str">
        <f>IF(AND($AV762=1,$AJ762=1),$BA762*100000+ROW(),"")</f>
        <v/>
      </c>
      <c r="BH762" s="71" t="str">
        <f>IF(AND($AW762=1,$AJ762=1),$BA762*100000+ROW(),"")</f>
        <v/>
      </c>
      <c r="BI762" s="71" t="str">
        <f>IF(AND($AX762=1,$AJ762=1),$BA762*100000+ROW(),"")</f>
        <v/>
      </c>
      <c r="BJ762" s="71" t="str">
        <f>IF(AND($AS762=1,$AJ762=1),$BA762*100000+ROW(),"")</f>
        <v/>
      </c>
      <c r="BK762" s="71" t="str">
        <f>IF(AND($AY762=1,$AJ762=1),$BA762*100000+ROW(),"")</f>
        <v/>
      </c>
      <c r="BL762" s="71" t="str">
        <f>IF(AND($AZ762=1),$BA762*100000+ROW(),"")</f>
        <v/>
      </c>
    </row>
    <row r="763">
      <c r="A763" s="63" t="n"/>
      <c r="B763" s="64" t="n"/>
      <c r="C763" s="64" t="n"/>
      <c r="D763" s="64" t="n"/>
      <c r="E763" s="64" t="n"/>
      <c r="F763" s="64" t="n"/>
      <c r="G763" s="65" t="n"/>
      <c r="H763" s="65" t="n"/>
      <c r="I763" s="64" t="n"/>
      <c r="J763" s="64" t="n"/>
      <c r="K763" s="63" t="n"/>
      <c r="L763" s="63" t="n"/>
      <c r="M763" s="64" t="n"/>
      <c r="N763" s="66" t="n"/>
      <c r="O763" s="65" t="n"/>
      <c r="P763" s="64" t="n"/>
      <c r="Q763" s="67" t="n"/>
      <c r="R763" s="67" t="n"/>
      <c r="S763" s="68" t="str">
        <f>IF(AND(ISNUMBER($Q763),ISNUMBER($R763)),$Q763-$R763,"")</f>
        <v/>
      </c>
      <c r="T763" s="65" t="n"/>
      <c r="U763" s="64" t="n"/>
      <c r="V763" s="65" t="n"/>
      <c r="W763" s="63" t="n"/>
      <c r="X763" s="65" t="n"/>
      <c r="Y763" s="63" t="n"/>
      <c r="Z763" s="64" t="n"/>
      <c r="AA763" s="64" t="n"/>
      <c r="AB763" s="65" t="n"/>
      <c r="AC763" s="69" t="str">
        <f>IF(OR($G763="",NOT(ISNUMBER($K763)),$AK763=0),"",MAX(0,ReportDate-$K763))</f>
        <v/>
      </c>
      <c r="AD763" s="69" t="str">
        <f>IF($G763="","",IF($AL763=1,ReportDate-$L763,0))</f>
        <v/>
      </c>
      <c r="AE763" s="70" t="str">
        <f>IF($G763="","",IF($M763="Completed",1,IF(ISNUMBER($N763),$N763,0)))</f>
        <v/>
      </c>
      <c r="AF763" s="70" t="str">
        <f>IF(AND(ISNUMBER($Q763),ISNUMBER($R763)),IF($R763&lt;&gt;0,$Q763/$R763,""),"")</f>
        <v/>
      </c>
      <c r="AG763" s="71" t="str">
        <f>IF($G763="","",IF($AL763=1,"OVERDUE",IF($AM763=1,"BLOCKED",IF($AN763=1,"DUE TODAY",IF($AO763=1,"DUE TOMORROW",IF($AQ763=1,"HIGH PRIORITY",IF($AR763=1,"NO RECENT UPDATE",""))))))) </f>
        <v/>
      </c>
      <c r="AH763" s="71" t="str">
        <f>IF($G763="","",IF(ISNUMBER($A763),IF(ISNUMBER($A763),YEAR($A763)&amp;"-"&amp;TEXT(MONTH($A763),"00"),""),IF(ISNUMBER($L763),IF(ISNUMBER($L763),YEAR($L763)&amp;"-"&amp;TEXT(MONTH($L763),"00"),""),"")))</f>
        <v/>
      </c>
      <c r="AI763" s="71">
        <f>IF($G763="",0,IF(AND(OR(fClient="All",$C763=fClient),OR(fCampaign="All",$D763=fCampaign),OR(fTeam="All",$B763=fTeam),OR(fChannel="All",$F763=fChannel),OR(fMonth="All",$AH763=fMonth),OR(fTStatus="All",$M763=fTStatus)),1,0))</f>
        <v>0</v>
      </c>
      <c r="AJ763" s="71">
        <f>IF($G763="",0,IF(AND(OR(fClient="All",$C763=fClient),OR(fCampaign="All",$D763=fCampaign),OR(fTeam="All",$B763=fTeam),OR(fChannel="All",$F763=fChannel)),1,0))</f>
        <v>0</v>
      </c>
      <c r="AK763" s="71">
        <f>IF($G763="",0,IF(OR($M763="Completed",$M763="Cancelled"),0,1))</f>
        <v>0</v>
      </c>
      <c r="AL763" s="71">
        <f>IF(AND($AK763=1,ISNUMBER($L763)),IF($L763&lt;ReportDate,1,0),0)</f>
        <v>0</v>
      </c>
      <c r="AM763" s="71">
        <f>IF(AND($G763&lt;&gt;"",$M763="Blocked"),1,0)</f>
        <v>0</v>
      </c>
      <c r="AN763" s="71">
        <f>IF(AND($AK763=1,ISNUMBER($L763)),IF($L763=ReportDate,1,0),0)</f>
        <v>0</v>
      </c>
      <c r="AO763" s="71">
        <f>IF(AND($AK763=1,ISNUMBER($L763)),IF($L763=ReportDate+1,1,0),0)</f>
        <v>0</v>
      </c>
      <c r="AP763" s="71">
        <f>IF(AND($AK763=1,ISNUMBER($L763)),IF(AND($L763&gt;=ReportDate,$L763&lt;=ReportDate+DueSoonDays),1,0),0)</f>
        <v>0</v>
      </c>
      <c r="AQ763" s="71">
        <f>IF(AND($AK763=1,OR($I763="Critical",$I763="High")),1,0)</f>
        <v>0</v>
      </c>
      <c r="AR763" s="71">
        <f>IF($AK763=1,IF(ISNUMBER($Y763),IF(ReportDate-$Y763&gt;StaleDays,1,0),1),0)</f>
        <v>0</v>
      </c>
      <c r="AS763" s="71">
        <f>IF(AND($G763&lt;&gt;"",ISNUMBER($Q763),ISNUMBER($R763)),IF(AND($Q763&lt;$R763,OR($M763="Completed",AND(ISNUMBER($L763),$L763&lt;ReportDate))),1,0),0)</f>
        <v>0</v>
      </c>
      <c r="AT763" s="71">
        <f>IF($AK763=1,IF(OR($L763=ReportDate,$W763=ReportDate,$K763=ReportDate,$A763=ReportDate),1,0),0)</f>
        <v>0</v>
      </c>
      <c r="AU763" s="71">
        <f>IF($AK763=1,IF(OR($L763=ReportDate+1,$W763=ReportDate+1,$K763=ReportDate+1,$A763=ReportDate+1),1,0),0)</f>
        <v>0</v>
      </c>
      <c r="AV763" s="71">
        <f>IF(AND($G763&lt;&gt;"",$M763="Completed"),IF(OR($Y763=ReportDate-1,$A763=ReportDate-1),1,0),0)</f>
        <v>0</v>
      </c>
      <c r="AW763" s="71">
        <f>IF(AND($AK763=1,$Z763="Yes"),1,0)</f>
        <v>0</v>
      </c>
      <c r="AX763" s="71">
        <f>IF(AND($AK763=1,$AA763="Yes"),1,0)</f>
        <v>0</v>
      </c>
      <c r="AY763" s="71">
        <f>IF(AND($AM763=1,OR($I763="Critical",$I763="High")),1,0)</f>
        <v>0</v>
      </c>
      <c r="AZ763" s="71">
        <f>IF(AND($AK763=1,OR($C763=TCL_Client,$C763=MECCA_Client)),1,0)</f>
        <v>0</v>
      </c>
      <c r="BA763" s="71" t="str">
        <f>IF($G763="","",IFERROR(MATCH($I763,lst_Priority,0),5))</f>
        <v/>
      </c>
      <c r="BB763" s="71" t="str">
        <f>IF(AND($AL763=1,$AJ763=1),$BA763*100000+ROW(),"")</f>
        <v/>
      </c>
      <c r="BC763" s="71" t="str">
        <f>IF(AND($AM763=1,$AJ763=1),$BA763*100000+ROW(),"")</f>
        <v/>
      </c>
      <c r="BD763" s="71" t="str">
        <f>IF(AND($AP763=1,$AJ763=1),$BA763*100000+ROW(),"")</f>
        <v/>
      </c>
      <c r="BE763" s="71" t="str">
        <f>IF(AND($AT763=1,$AJ763=1),$BA763*100000+ROW(),"")</f>
        <v/>
      </c>
      <c r="BF763" s="71" t="str">
        <f>IF(AND($AU763=1,$AJ763=1),$BA763*100000+ROW(),"")</f>
        <v/>
      </c>
      <c r="BG763" s="71" t="str">
        <f>IF(AND($AV763=1,$AJ763=1),$BA763*100000+ROW(),"")</f>
        <v/>
      </c>
      <c r="BH763" s="71" t="str">
        <f>IF(AND($AW763=1,$AJ763=1),$BA763*100000+ROW(),"")</f>
        <v/>
      </c>
      <c r="BI763" s="71" t="str">
        <f>IF(AND($AX763=1,$AJ763=1),$BA763*100000+ROW(),"")</f>
        <v/>
      </c>
      <c r="BJ763" s="71" t="str">
        <f>IF(AND($AS763=1,$AJ763=1),$BA763*100000+ROW(),"")</f>
        <v/>
      </c>
      <c r="BK763" s="71" t="str">
        <f>IF(AND($AY763=1,$AJ763=1),$BA763*100000+ROW(),"")</f>
        <v/>
      </c>
      <c r="BL763" s="71" t="str">
        <f>IF(AND($AZ763=1),$BA763*100000+ROW(),"")</f>
        <v/>
      </c>
    </row>
    <row r="764">
      <c r="A764" s="63" t="n"/>
      <c r="B764" s="64" t="n"/>
      <c r="C764" s="64" t="n"/>
      <c r="D764" s="64" t="n"/>
      <c r="E764" s="64" t="n"/>
      <c r="F764" s="64" t="n"/>
      <c r="G764" s="65" t="n"/>
      <c r="H764" s="65" t="n"/>
      <c r="I764" s="64" t="n"/>
      <c r="J764" s="64" t="n"/>
      <c r="K764" s="63" t="n"/>
      <c r="L764" s="63" t="n"/>
      <c r="M764" s="64" t="n"/>
      <c r="N764" s="66" t="n"/>
      <c r="O764" s="65" t="n"/>
      <c r="P764" s="64" t="n"/>
      <c r="Q764" s="67" t="n"/>
      <c r="R764" s="67" t="n"/>
      <c r="S764" s="68" t="str">
        <f>IF(AND(ISNUMBER($Q764),ISNUMBER($R764)),$Q764-$R764,"")</f>
        <v/>
      </c>
      <c r="T764" s="65" t="n"/>
      <c r="U764" s="64" t="n"/>
      <c r="V764" s="65" t="n"/>
      <c r="W764" s="63" t="n"/>
      <c r="X764" s="65" t="n"/>
      <c r="Y764" s="63" t="n"/>
      <c r="Z764" s="64" t="n"/>
      <c r="AA764" s="64" t="n"/>
      <c r="AB764" s="65" t="n"/>
      <c r="AC764" s="69" t="str">
        <f>IF(OR($G764="",NOT(ISNUMBER($K764)),$AK764=0),"",MAX(0,ReportDate-$K764))</f>
        <v/>
      </c>
      <c r="AD764" s="69" t="str">
        <f>IF($G764="","",IF($AL764=1,ReportDate-$L764,0))</f>
        <v/>
      </c>
      <c r="AE764" s="70" t="str">
        <f>IF($G764="","",IF($M764="Completed",1,IF(ISNUMBER($N764),$N764,0)))</f>
        <v/>
      </c>
      <c r="AF764" s="70" t="str">
        <f>IF(AND(ISNUMBER($Q764),ISNUMBER($R764)),IF($R764&lt;&gt;0,$Q764/$R764,""),"")</f>
        <v/>
      </c>
      <c r="AG764" s="71" t="str">
        <f>IF($G764="","",IF($AL764=1,"OVERDUE",IF($AM764=1,"BLOCKED",IF($AN764=1,"DUE TODAY",IF($AO764=1,"DUE TOMORROW",IF($AQ764=1,"HIGH PRIORITY",IF($AR764=1,"NO RECENT UPDATE",""))))))) </f>
        <v/>
      </c>
      <c r="AH764" s="71" t="str">
        <f>IF($G764="","",IF(ISNUMBER($A764),IF(ISNUMBER($A764),YEAR($A764)&amp;"-"&amp;TEXT(MONTH($A764),"00"),""),IF(ISNUMBER($L764),IF(ISNUMBER($L764),YEAR($L764)&amp;"-"&amp;TEXT(MONTH($L764),"00"),""),"")))</f>
        <v/>
      </c>
      <c r="AI764" s="71">
        <f>IF($G764="",0,IF(AND(OR(fClient="All",$C764=fClient),OR(fCampaign="All",$D764=fCampaign),OR(fTeam="All",$B764=fTeam),OR(fChannel="All",$F764=fChannel),OR(fMonth="All",$AH764=fMonth),OR(fTStatus="All",$M764=fTStatus)),1,0))</f>
        <v>0</v>
      </c>
      <c r="AJ764" s="71">
        <f>IF($G764="",0,IF(AND(OR(fClient="All",$C764=fClient),OR(fCampaign="All",$D764=fCampaign),OR(fTeam="All",$B764=fTeam),OR(fChannel="All",$F764=fChannel)),1,0))</f>
        <v>0</v>
      </c>
      <c r="AK764" s="71">
        <f>IF($G764="",0,IF(OR($M764="Completed",$M764="Cancelled"),0,1))</f>
        <v>0</v>
      </c>
      <c r="AL764" s="71">
        <f>IF(AND($AK764=1,ISNUMBER($L764)),IF($L764&lt;ReportDate,1,0),0)</f>
        <v>0</v>
      </c>
      <c r="AM764" s="71">
        <f>IF(AND($G764&lt;&gt;"",$M764="Blocked"),1,0)</f>
        <v>0</v>
      </c>
      <c r="AN764" s="71">
        <f>IF(AND($AK764=1,ISNUMBER($L764)),IF($L764=ReportDate,1,0),0)</f>
        <v>0</v>
      </c>
      <c r="AO764" s="71">
        <f>IF(AND($AK764=1,ISNUMBER($L764)),IF($L764=ReportDate+1,1,0),0)</f>
        <v>0</v>
      </c>
      <c r="AP764" s="71">
        <f>IF(AND($AK764=1,ISNUMBER($L764)),IF(AND($L764&gt;=ReportDate,$L764&lt;=ReportDate+DueSoonDays),1,0),0)</f>
        <v>0</v>
      </c>
      <c r="AQ764" s="71">
        <f>IF(AND($AK764=1,OR($I764="Critical",$I764="High")),1,0)</f>
        <v>0</v>
      </c>
      <c r="AR764" s="71">
        <f>IF($AK764=1,IF(ISNUMBER($Y764),IF(ReportDate-$Y764&gt;StaleDays,1,0),1),0)</f>
        <v>0</v>
      </c>
      <c r="AS764" s="71">
        <f>IF(AND($G764&lt;&gt;"",ISNUMBER($Q764),ISNUMBER($R764)),IF(AND($Q764&lt;$R764,OR($M764="Completed",AND(ISNUMBER($L764),$L764&lt;ReportDate))),1,0),0)</f>
        <v>0</v>
      </c>
      <c r="AT764" s="71">
        <f>IF($AK764=1,IF(OR($L764=ReportDate,$W764=ReportDate,$K764=ReportDate,$A764=ReportDate),1,0),0)</f>
        <v>0</v>
      </c>
      <c r="AU764" s="71">
        <f>IF($AK764=1,IF(OR($L764=ReportDate+1,$W764=ReportDate+1,$K764=ReportDate+1,$A764=ReportDate+1),1,0),0)</f>
        <v>0</v>
      </c>
      <c r="AV764" s="71">
        <f>IF(AND($G764&lt;&gt;"",$M764="Completed"),IF(OR($Y764=ReportDate-1,$A764=ReportDate-1),1,0),0)</f>
        <v>0</v>
      </c>
      <c r="AW764" s="71">
        <f>IF(AND($AK764=1,$Z764="Yes"),1,0)</f>
        <v>0</v>
      </c>
      <c r="AX764" s="71">
        <f>IF(AND($AK764=1,$AA764="Yes"),1,0)</f>
        <v>0</v>
      </c>
      <c r="AY764" s="71">
        <f>IF(AND($AM764=1,OR($I764="Critical",$I764="High")),1,0)</f>
        <v>0</v>
      </c>
      <c r="AZ764" s="71">
        <f>IF(AND($AK764=1,OR($C764=TCL_Client,$C764=MECCA_Client)),1,0)</f>
        <v>0</v>
      </c>
      <c r="BA764" s="71" t="str">
        <f>IF($G764="","",IFERROR(MATCH($I764,lst_Priority,0),5))</f>
        <v/>
      </c>
      <c r="BB764" s="71" t="str">
        <f>IF(AND($AL764=1,$AJ764=1),$BA764*100000+ROW(),"")</f>
        <v/>
      </c>
      <c r="BC764" s="71" t="str">
        <f>IF(AND($AM764=1,$AJ764=1),$BA764*100000+ROW(),"")</f>
        <v/>
      </c>
      <c r="BD764" s="71" t="str">
        <f>IF(AND($AP764=1,$AJ764=1),$BA764*100000+ROW(),"")</f>
        <v/>
      </c>
      <c r="BE764" s="71" t="str">
        <f>IF(AND($AT764=1,$AJ764=1),$BA764*100000+ROW(),"")</f>
        <v/>
      </c>
      <c r="BF764" s="71" t="str">
        <f>IF(AND($AU764=1,$AJ764=1),$BA764*100000+ROW(),"")</f>
        <v/>
      </c>
      <c r="BG764" s="71" t="str">
        <f>IF(AND($AV764=1,$AJ764=1),$BA764*100000+ROW(),"")</f>
        <v/>
      </c>
      <c r="BH764" s="71" t="str">
        <f>IF(AND($AW764=1,$AJ764=1),$BA764*100000+ROW(),"")</f>
        <v/>
      </c>
      <c r="BI764" s="71" t="str">
        <f>IF(AND($AX764=1,$AJ764=1),$BA764*100000+ROW(),"")</f>
        <v/>
      </c>
      <c r="BJ764" s="71" t="str">
        <f>IF(AND($AS764=1,$AJ764=1),$BA764*100000+ROW(),"")</f>
        <v/>
      </c>
      <c r="BK764" s="71" t="str">
        <f>IF(AND($AY764=1,$AJ764=1),$BA764*100000+ROW(),"")</f>
        <v/>
      </c>
      <c r="BL764" s="71" t="str">
        <f>IF(AND($AZ764=1),$BA764*100000+ROW(),"")</f>
        <v/>
      </c>
    </row>
    <row r="765">
      <c r="A765" s="63" t="n"/>
      <c r="B765" s="64" t="n"/>
      <c r="C765" s="64" t="n"/>
      <c r="D765" s="64" t="n"/>
      <c r="E765" s="64" t="n"/>
      <c r="F765" s="64" t="n"/>
      <c r="G765" s="65" t="n"/>
      <c r="H765" s="65" t="n"/>
      <c r="I765" s="64" t="n"/>
      <c r="J765" s="64" t="n"/>
      <c r="K765" s="63" t="n"/>
      <c r="L765" s="63" t="n"/>
      <c r="M765" s="64" t="n"/>
      <c r="N765" s="66" t="n"/>
      <c r="O765" s="65" t="n"/>
      <c r="P765" s="64" t="n"/>
      <c r="Q765" s="67" t="n"/>
      <c r="R765" s="67" t="n"/>
      <c r="S765" s="68" t="str">
        <f>IF(AND(ISNUMBER($Q765),ISNUMBER($R765)),$Q765-$R765,"")</f>
        <v/>
      </c>
      <c r="T765" s="65" t="n"/>
      <c r="U765" s="64" t="n"/>
      <c r="V765" s="65" t="n"/>
      <c r="W765" s="63" t="n"/>
      <c r="X765" s="65" t="n"/>
      <c r="Y765" s="63" t="n"/>
      <c r="Z765" s="64" t="n"/>
      <c r="AA765" s="64" t="n"/>
      <c r="AB765" s="65" t="n"/>
      <c r="AC765" s="69" t="str">
        <f>IF(OR($G765="",NOT(ISNUMBER($K765)),$AK765=0),"",MAX(0,ReportDate-$K765))</f>
        <v/>
      </c>
      <c r="AD765" s="69" t="str">
        <f>IF($G765="","",IF($AL765=1,ReportDate-$L765,0))</f>
        <v/>
      </c>
      <c r="AE765" s="70" t="str">
        <f>IF($G765="","",IF($M765="Completed",1,IF(ISNUMBER($N765),$N765,0)))</f>
        <v/>
      </c>
      <c r="AF765" s="70" t="str">
        <f>IF(AND(ISNUMBER($Q765),ISNUMBER($R765)),IF($R765&lt;&gt;0,$Q765/$R765,""),"")</f>
        <v/>
      </c>
      <c r="AG765" s="71" t="str">
        <f>IF($G765="","",IF($AL765=1,"OVERDUE",IF($AM765=1,"BLOCKED",IF($AN765=1,"DUE TODAY",IF($AO765=1,"DUE TOMORROW",IF($AQ765=1,"HIGH PRIORITY",IF($AR765=1,"NO RECENT UPDATE",""))))))) </f>
        <v/>
      </c>
      <c r="AH765" s="71" t="str">
        <f>IF($G765="","",IF(ISNUMBER($A765),IF(ISNUMBER($A765),YEAR($A765)&amp;"-"&amp;TEXT(MONTH($A765),"00"),""),IF(ISNUMBER($L765),IF(ISNUMBER($L765),YEAR($L765)&amp;"-"&amp;TEXT(MONTH($L765),"00"),""),"")))</f>
        <v/>
      </c>
      <c r="AI765" s="71">
        <f>IF($G765="",0,IF(AND(OR(fClient="All",$C765=fClient),OR(fCampaign="All",$D765=fCampaign),OR(fTeam="All",$B765=fTeam),OR(fChannel="All",$F765=fChannel),OR(fMonth="All",$AH765=fMonth),OR(fTStatus="All",$M765=fTStatus)),1,0))</f>
        <v>0</v>
      </c>
      <c r="AJ765" s="71">
        <f>IF($G765="",0,IF(AND(OR(fClient="All",$C765=fClient),OR(fCampaign="All",$D765=fCampaign),OR(fTeam="All",$B765=fTeam),OR(fChannel="All",$F765=fChannel)),1,0))</f>
        <v>0</v>
      </c>
      <c r="AK765" s="71">
        <f>IF($G765="",0,IF(OR($M765="Completed",$M765="Cancelled"),0,1))</f>
        <v>0</v>
      </c>
      <c r="AL765" s="71">
        <f>IF(AND($AK765=1,ISNUMBER($L765)),IF($L765&lt;ReportDate,1,0),0)</f>
        <v>0</v>
      </c>
      <c r="AM765" s="71">
        <f>IF(AND($G765&lt;&gt;"",$M765="Blocked"),1,0)</f>
        <v>0</v>
      </c>
      <c r="AN765" s="71">
        <f>IF(AND($AK765=1,ISNUMBER($L765)),IF($L765=ReportDate,1,0),0)</f>
        <v>0</v>
      </c>
      <c r="AO765" s="71">
        <f>IF(AND($AK765=1,ISNUMBER($L765)),IF($L765=ReportDate+1,1,0),0)</f>
        <v>0</v>
      </c>
      <c r="AP765" s="71">
        <f>IF(AND($AK765=1,ISNUMBER($L765)),IF(AND($L765&gt;=ReportDate,$L765&lt;=ReportDate+DueSoonDays),1,0),0)</f>
        <v>0</v>
      </c>
      <c r="AQ765" s="71">
        <f>IF(AND($AK765=1,OR($I765="Critical",$I765="High")),1,0)</f>
        <v>0</v>
      </c>
      <c r="AR765" s="71">
        <f>IF($AK765=1,IF(ISNUMBER($Y765),IF(ReportDate-$Y765&gt;StaleDays,1,0),1),0)</f>
        <v>0</v>
      </c>
      <c r="AS765" s="71">
        <f>IF(AND($G765&lt;&gt;"",ISNUMBER($Q765),ISNUMBER($R765)),IF(AND($Q765&lt;$R765,OR($M765="Completed",AND(ISNUMBER($L765),$L765&lt;ReportDate))),1,0),0)</f>
        <v>0</v>
      </c>
      <c r="AT765" s="71">
        <f>IF($AK765=1,IF(OR($L765=ReportDate,$W765=ReportDate,$K765=ReportDate,$A765=ReportDate),1,0),0)</f>
        <v>0</v>
      </c>
      <c r="AU765" s="71">
        <f>IF($AK765=1,IF(OR($L765=ReportDate+1,$W765=ReportDate+1,$K765=ReportDate+1,$A765=ReportDate+1),1,0),0)</f>
        <v>0</v>
      </c>
      <c r="AV765" s="71">
        <f>IF(AND($G765&lt;&gt;"",$M765="Completed"),IF(OR($Y765=ReportDate-1,$A765=ReportDate-1),1,0),0)</f>
        <v>0</v>
      </c>
      <c r="AW765" s="71">
        <f>IF(AND($AK765=1,$Z765="Yes"),1,0)</f>
        <v>0</v>
      </c>
      <c r="AX765" s="71">
        <f>IF(AND($AK765=1,$AA765="Yes"),1,0)</f>
        <v>0</v>
      </c>
      <c r="AY765" s="71">
        <f>IF(AND($AM765=1,OR($I765="Critical",$I765="High")),1,0)</f>
        <v>0</v>
      </c>
      <c r="AZ765" s="71">
        <f>IF(AND($AK765=1,OR($C765=TCL_Client,$C765=MECCA_Client)),1,0)</f>
        <v>0</v>
      </c>
      <c r="BA765" s="71" t="str">
        <f>IF($G765="","",IFERROR(MATCH($I765,lst_Priority,0),5))</f>
        <v/>
      </c>
      <c r="BB765" s="71" t="str">
        <f>IF(AND($AL765=1,$AJ765=1),$BA765*100000+ROW(),"")</f>
        <v/>
      </c>
      <c r="BC765" s="71" t="str">
        <f>IF(AND($AM765=1,$AJ765=1),$BA765*100000+ROW(),"")</f>
        <v/>
      </c>
      <c r="BD765" s="71" t="str">
        <f>IF(AND($AP765=1,$AJ765=1),$BA765*100000+ROW(),"")</f>
        <v/>
      </c>
      <c r="BE765" s="71" t="str">
        <f>IF(AND($AT765=1,$AJ765=1),$BA765*100000+ROW(),"")</f>
        <v/>
      </c>
      <c r="BF765" s="71" t="str">
        <f>IF(AND($AU765=1,$AJ765=1),$BA765*100000+ROW(),"")</f>
        <v/>
      </c>
      <c r="BG765" s="71" t="str">
        <f>IF(AND($AV765=1,$AJ765=1),$BA765*100000+ROW(),"")</f>
        <v/>
      </c>
      <c r="BH765" s="71" t="str">
        <f>IF(AND($AW765=1,$AJ765=1),$BA765*100000+ROW(),"")</f>
        <v/>
      </c>
      <c r="BI765" s="71" t="str">
        <f>IF(AND($AX765=1,$AJ765=1),$BA765*100000+ROW(),"")</f>
        <v/>
      </c>
      <c r="BJ765" s="71" t="str">
        <f>IF(AND($AS765=1,$AJ765=1),$BA765*100000+ROW(),"")</f>
        <v/>
      </c>
      <c r="BK765" s="71" t="str">
        <f>IF(AND($AY765=1,$AJ765=1),$BA765*100000+ROW(),"")</f>
        <v/>
      </c>
      <c r="BL765" s="71" t="str">
        <f>IF(AND($AZ765=1),$BA765*100000+ROW(),"")</f>
        <v/>
      </c>
    </row>
    <row r="766">
      <c r="A766" s="63" t="n"/>
      <c r="B766" s="64" t="n"/>
      <c r="C766" s="64" t="n"/>
      <c r="D766" s="64" t="n"/>
      <c r="E766" s="64" t="n"/>
      <c r="F766" s="64" t="n"/>
      <c r="G766" s="65" t="n"/>
      <c r="H766" s="65" t="n"/>
      <c r="I766" s="64" t="n"/>
      <c r="J766" s="64" t="n"/>
      <c r="K766" s="63" t="n"/>
      <c r="L766" s="63" t="n"/>
      <c r="M766" s="64" t="n"/>
      <c r="N766" s="66" t="n"/>
      <c r="O766" s="65" t="n"/>
      <c r="P766" s="64" t="n"/>
      <c r="Q766" s="67" t="n"/>
      <c r="R766" s="67" t="n"/>
      <c r="S766" s="68" t="str">
        <f>IF(AND(ISNUMBER($Q766),ISNUMBER($R766)),$Q766-$R766,"")</f>
        <v/>
      </c>
      <c r="T766" s="65" t="n"/>
      <c r="U766" s="64" t="n"/>
      <c r="V766" s="65" t="n"/>
      <c r="W766" s="63" t="n"/>
      <c r="X766" s="65" t="n"/>
      <c r="Y766" s="63" t="n"/>
      <c r="Z766" s="64" t="n"/>
      <c r="AA766" s="64" t="n"/>
      <c r="AB766" s="65" t="n"/>
      <c r="AC766" s="69" t="str">
        <f>IF(OR($G766="",NOT(ISNUMBER($K766)),$AK766=0),"",MAX(0,ReportDate-$K766))</f>
        <v/>
      </c>
      <c r="AD766" s="69" t="str">
        <f>IF($G766="","",IF($AL766=1,ReportDate-$L766,0))</f>
        <v/>
      </c>
      <c r="AE766" s="70" t="str">
        <f>IF($G766="","",IF($M766="Completed",1,IF(ISNUMBER($N766),$N766,0)))</f>
        <v/>
      </c>
      <c r="AF766" s="70" t="str">
        <f>IF(AND(ISNUMBER($Q766),ISNUMBER($R766)),IF($R766&lt;&gt;0,$Q766/$R766,""),"")</f>
        <v/>
      </c>
      <c r="AG766" s="71" t="str">
        <f>IF($G766="","",IF($AL766=1,"OVERDUE",IF($AM766=1,"BLOCKED",IF($AN766=1,"DUE TODAY",IF($AO766=1,"DUE TOMORROW",IF($AQ766=1,"HIGH PRIORITY",IF($AR766=1,"NO RECENT UPDATE",""))))))) </f>
        <v/>
      </c>
      <c r="AH766" s="71" t="str">
        <f>IF($G766="","",IF(ISNUMBER($A766),IF(ISNUMBER($A766),YEAR($A766)&amp;"-"&amp;TEXT(MONTH($A766),"00"),""),IF(ISNUMBER($L766),IF(ISNUMBER($L766),YEAR($L766)&amp;"-"&amp;TEXT(MONTH($L766),"00"),""),"")))</f>
        <v/>
      </c>
      <c r="AI766" s="71">
        <f>IF($G766="",0,IF(AND(OR(fClient="All",$C766=fClient),OR(fCampaign="All",$D766=fCampaign),OR(fTeam="All",$B766=fTeam),OR(fChannel="All",$F766=fChannel),OR(fMonth="All",$AH766=fMonth),OR(fTStatus="All",$M766=fTStatus)),1,0))</f>
        <v>0</v>
      </c>
      <c r="AJ766" s="71">
        <f>IF($G766="",0,IF(AND(OR(fClient="All",$C766=fClient),OR(fCampaign="All",$D766=fCampaign),OR(fTeam="All",$B766=fTeam),OR(fChannel="All",$F766=fChannel)),1,0))</f>
        <v>0</v>
      </c>
      <c r="AK766" s="71">
        <f>IF($G766="",0,IF(OR($M766="Completed",$M766="Cancelled"),0,1))</f>
        <v>0</v>
      </c>
      <c r="AL766" s="71">
        <f>IF(AND($AK766=1,ISNUMBER($L766)),IF($L766&lt;ReportDate,1,0),0)</f>
        <v>0</v>
      </c>
      <c r="AM766" s="71">
        <f>IF(AND($G766&lt;&gt;"",$M766="Blocked"),1,0)</f>
        <v>0</v>
      </c>
      <c r="AN766" s="71">
        <f>IF(AND($AK766=1,ISNUMBER($L766)),IF($L766=ReportDate,1,0),0)</f>
        <v>0</v>
      </c>
      <c r="AO766" s="71">
        <f>IF(AND($AK766=1,ISNUMBER($L766)),IF($L766=ReportDate+1,1,0),0)</f>
        <v>0</v>
      </c>
      <c r="AP766" s="71">
        <f>IF(AND($AK766=1,ISNUMBER($L766)),IF(AND($L766&gt;=ReportDate,$L766&lt;=ReportDate+DueSoonDays),1,0),0)</f>
        <v>0</v>
      </c>
      <c r="AQ766" s="71">
        <f>IF(AND($AK766=1,OR($I766="Critical",$I766="High")),1,0)</f>
        <v>0</v>
      </c>
      <c r="AR766" s="71">
        <f>IF($AK766=1,IF(ISNUMBER($Y766),IF(ReportDate-$Y766&gt;StaleDays,1,0),1),0)</f>
        <v>0</v>
      </c>
      <c r="AS766" s="71">
        <f>IF(AND($G766&lt;&gt;"",ISNUMBER($Q766),ISNUMBER($R766)),IF(AND($Q766&lt;$R766,OR($M766="Completed",AND(ISNUMBER($L766),$L766&lt;ReportDate))),1,0),0)</f>
        <v>0</v>
      </c>
      <c r="AT766" s="71">
        <f>IF($AK766=1,IF(OR($L766=ReportDate,$W766=ReportDate,$K766=ReportDate,$A766=ReportDate),1,0),0)</f>
        <v>0</v>
      </c>
      <c r="AU766" s="71">
        <f>IF($AK766=1,IF(OR($L766=ReportDate+1,$W766=ReportDate+1,$K766=ReportDate+1,$A766=ReportDate+1),1,0),0)</f>
        <v>0</v>
      </c>
      <c r="AV766" s="71">
        <f>IF(AND($G766&lt;&gt;"",$M766="Completed"),IF(OR($Y766=ReportDate-1,$A766=ReportDate-1),1,0),0)</f>
        <v>0</v>
      </c>
      <c r="AW766" s="71">
        <f>IF(AND($AK766=1,$Z766="Yes"),1,0)</f>
        <v>0</v>
      </c>
      <c r="AX766" s="71">
        <f>IF(AND($AK766=1,$AA766="Yes"),1,0)</f>
        <v>0</v>
      </c>
      <c r="AY766" s="71">
        <f>IF(AND($AM766=1,OR($I766="Critical",$I766="High")),1,0)</f>
        <v>0</v>
      </c>
      <c r="AZ766" s="71">
        <f>IF(AND($AK766=1,OR($C766=TCL_Client,$C766=MECCA_Client)),1,0)</f>
        <v>0</v>
      </c>
      <c r="BA766" s="71" t="str">
        <f>IF($G766="","",IFERROR(MATCH($I766,lst_Priority,0),5))</f>
        <v/>
      </c>
      <c r="BB766" s="71" t="str">
        <f>IF(AND($AL766=1,$AJ766=1),$BA766*100000+ROW(),"")</f>
        <v/>
      </c>
      <c r="BC766" s="71" t="str">
        <f>IF(AND($AM766=1,$AJ766=1),$BA766*100000+ROW(),"")</f>
        <v/>
      </c>
      <c r="BD766" s="71" t="str">
        <f>IF(AND($AP766=1,$AJ766=1),$BA766*100000+ROW(),"")</f>
        <v/>
      </c>
      <c r="BE766" s="71" t="str">
        <f>IF(AND($AT766=1,$AJ766=1),$BA766*100000+ROW(),"")</f>
        <v/>
      </c>
      <c r="BF766" s="71" t="str">
        <f>IF(AND($AU766=1,$AJ766=1),$BA766*100000+ROW(),"")</f>
        <v/>
      </c>
      <c r="BG766" s="71" t="str">
        <f>IF(AND($AV766=1,$AJ766=1),$BA766*100000+ROW(),"")</f>
        <v/>
      </c>
      <c r="BH766" s="71" t="str">
        <f>IF(AND($AW766=1,$AJ766=1),$BA766*100000+ROW(),"")</f>
        <v/>
      </c>
      <c r="BI766" s="71" t="str">
        <f>IF(AND($AX766=1,$AJ766=1),$BA766*100000+ROW(),"")</f>
        <v/>
      </c>
      <c r="BJ766" s="71" t="str">
        <f>IF(AND($AS766=1,$AJ766=1),$BA766*100000+ROW(),"")</f>
        <v/>
      </c>
      <c r="BK766" s="71" t="str">
        <f>IF(AND($AY766=1,$AJ766=1),$BA766*100000+ROW(),"")</f>
        <v/>
      </c>
      <c r="BL766" s="71" t="str">
        <f>IF(AND($AZ766=1),$BA766*100000+ROW(),"")</f>
        <v/>
      </c>
    </row>
    <row r="767">
      <c r="A767" s="63" t="n"/>
      <c r="B767" s="64" t="n"/>
      <c r="C767" s="64" t="n"/>
      <c r="D767" s="64" t="n"/>
      <c r="E767" s="64" t="n"/>
      <c r="F767" s="64" t="n"/>
      <c r="G767" s="65" t="n"/>
      <c r="H767" s="65" t="n"/>
      <c r="I767" s="64" t="n"/>
      <c r="J767" s="64" t="n"/>
      <c r="K767" s="63" t="n"/>
      <c r="L767" s="63" t="n"/>
      <c r="M767" s="64" t="n"/>
      <c r="N767" s="66" t="n"/>
      <c r="O767" s="65" t="n"/>
      <c r="P767" s="64" t="n"/>
      <c r="Q767" s="67" t="n"/>
      <c r="R767" s="67" t="n"/>
      <c r="S767" s="68" t="str">
        <f>IF(AND(ISNUMBER($Q767),ISNUMBER($R767)),$Q767-$R767,"")</f>
        <v/>
      </c>
      <c r="T767" s="65" t="n"/>
      <c r="U767" s="64" t="n"/>
      <c r="V767" s="65" t="n"/>
      <c r="W767" s="63" t="n"/>
      <c r="X767" s="65" t="n"/>
      <c r="Y767" s="63" t="n"/>
      <c r="Z767" s="64" t="n"/>
      <c r="AA767" s="64" t="n"/>
      <c r="AB767" s="65" t="n"/>
      <c r="AC767" s="69" t="str">
        <f>IF(OR($G767="",NOT(ISNUMBER($K767)),$AK767=0),"",MAX(0,ReportDate-$K767))</f>
        <v/>
      </c>
      <c r="AD767" s="69" t="str">
        <f>IF($G767="","",IF($AL767=1,ReportDate-$L767,0))</f>
        <v/>
      </c>
      <c r="AE767" s="70" t="str">
        <f>IF($G767="","",IF($M767="Completed",1,IF(ISNUMBER($N767),$N767,0)))</f>
        <v/>
      </c>
      <c r="AF767" s="70" t="str">
        <f>IF(AND(ISNUMBER($Q767),ISNUMBER($R767)),IF($R767&lt;&gt;0,$Q767/$R767,""),"")</f>
        <v/>
      </c>
      <c r="AG767" s="71" t="str">
        <f>IF($G767="","",IF($AL767=1,"OVERDUE",IF($AM767=1,"BLOCKED",IF($AN767=1,"DUE TODAY",IF($AO767=1,"DUE TOMORROW",IF($AQ767=1,"HIGH PRIORITY",IF($AR767=1,"NO RECENT UPDATE",""))))))) </f>
        <v/>
      </c>
      <c r="AH767" s="71" t="str">
        <f>IF($G767="","",IF(ISNUMBER($A767),IF(ISNUMBER($A767),YEAR($A767)&amp;"-"&amp;TEXT(MONTH($A767),"00"),""),IF(ISNUMBER($L767),IF(ISNUMBER($L767),YEAR($L767)&amp;"-"&amp;TEXT(MONTH($L767),"00"),""),"")))</f>
        <v/>
      </c>
      <c r="AI767" s="71">
        <f>IF($G767="",0,IF(AND(OR(fClient="All",$C767=fClient),OR(fCampaign="All",$D767=fCampaign),OR(fTeam="All",$B767=fTeam),OR(fChannel="All",$F767=fChannel),OR(fMonth="All",$AH767=fMonth),OR(fTStatus="All",$M767=fTStatus)),1,0))</f>
        <v>0</v>
      </c>
      <c r="AJ767" s="71">
        <f>IF($G767="",0,IF(AND(OR(fClient="All",$C767=fClient),OR(fCampaign="All",$D767=fCampaign),OR(fTeam="All",$B767=fTeam),OR(fChannel="All",$F767=fChannel)),1,0))</f>
        <v>0</v>
      </c>
      <c r="AK767" s="71">
        <f>IF($G767="",0,IF(OR($M767="Completed",$M767="Cancelled"),0,1))</f>
        <v>0</v>
      </c>
      <c r="AL767" s="71">
        <f>IF(AND($AK767=1,ISNUMBER($L767)),IF($L767&lt;ReportDate,1,0),0)</f>
        <v>0</v>
      </c>
      <c r="AM767" s="71">
        <f>IF(AND($G767&lt;&gt;"",$M767="Blocked"),1,0)</f>
        <v>0</v>
      </c>
      <c r="AN767" s="71">
        <f>IF(AND($AK767=1,ISNUMBER($L767)),IF($L767=ReportDate,1,0),0)</f>
        <v>0</v>
      </c>
      <c r="AO767" s="71">
        <f>IF(AND($AK767=1,ISNUMBER($L767)),IF($L767=ReportDate+1,1,0),0)</f>
        <v>0</v>
      </c>
      <c r="AP767" s="71">
        <f>IF(AND($AK767=1,ISNUMBER($L767)),IF(AND($L767&gt;=ReportDate,$L767&lt;=ReportDate+DueSoonDays),1,0),0)</f>
        <v>0</v>
      </c>
      <c r="AQ767" s="71">
        <f>IF(AND($AK767=1,OR($I767="Critical",$I767="High")),1,0)</f>
        <v>0</v>
      </c>
      <c r="AR767" s="71">
        <f>IF($AK767=1,IF(ISNUMBER($Y767),IF(ReportDate-$Y767&gt;StaleDays,1,0),1),0)</f>
        <v>0</v>
      </c>
      <c r="AS767" s="71">
        <f>IF(AND($G767&lt;&gt;"",ISNUMBER($Q767),ISNUMBER($R767)),IF(AND($Q767&lt;$R767,OR($M767="Completed",AND(ISNUMBER($L767),$L767&lt;ReportDate))),1,0),0)</f>
        <v>0</v>
      </c>
      <c r="AT767" s="71">
        <f>IF($AK767=1,IF(OR($L767=ReportDate,$W767=ReportDate,$K767=ReportDate,$A767=ReportDate),1,0),0)</f>
        <v>0</v>
      </c>
      <c r="AU767" s="71">
        <f>IF($AK767=1,IF(OR($L767=ReportDate+1,$W767=ReportDate+1,$K767=ReportDate+1,$A767=ReportDate+1),1,0),0)</f>
        <v>0</v>
      </c>
      <c r="AV767" s="71">
        <f>IF(AND($G767&lt;&gt;"",$M767="Completed"),IF(OR($Y767=ReportDate-1,$A767=ReportDate-1),1,0),0)</f>
        <v>0</v>
      </c>
      <c r="AW767" s="71">
        <f>IF(AND($AK767=1,$Z767="Yes"),1,0)</f>
        <v>0</v>
      </c>
      <c r="AX767" s="71">
        <f>IF(AND($AK767=1,$AA767="Yes"),1,0)</f>
        <v>0</v>
      </c>
      <c r="AY767" s="71">
        <f>IF(AND($AM767=1,OR($I767="Critical",$I767="High")),1,0)</f>
        <v>0</v>
      </c>
      <c r="AZ767" s="71">
        <f>IF(AND($AK767=1,OR($C767=TCL_Client,$C767=MECCA_Client)),1,0)</f>
        <v>0</v>
      </c>
      <c r="BA767" s="71" t="str">
        <f>IF($G767="","",IFERROR(MATCH($I767,lst_Priority,0),5))</f>
        <v/>
      </c>
      <c r="BB767" s="71" t="str">
        <f>IF(AND($AL767=1,$AJ767=1),$BA767*100000+ROW(),"")</f>
        <v/>
      </c>
      <c r="BC767" s="71" t="str">
        <f>IF(AND($AM767=1,$AJ767=1),$BA767*100000+ROW(),"")</f>
        <v/>
      </c>
      <c r="BD767" s="71" t="str">
        <f>IF(AND($AP767=1,$AJ767=1),$BA767*100000+ROW(),"")</f>
        <v/>
      </c>
      <c r="BE767" s="71" t="str">
        <f>IF(AND($AT767=1,$AJ767=1),$BA767*100000+ROW(),"")</f>
        <v/>
      </c>
      <c r="BF767" s="71" t="str">
        <f>IF(AND($AU767=1,$AJ767=1),$BA767*100000+ROW(),"")</f>
        <v/>
      </c>
      <c r="BG767" s="71" t="str">
        <f>IF(AND($AV767=1,$AJ767=1),$BA767*100000+ROW(),"")</f>
        <v/>
      </c>
      <c r="BH767" s="71" t="str">
        <f>IF(AND($AW767=1,$AJ767=1),$BA767*100000+ROW(),"")</f>
        <v/>
      </c>
      <c r="BI767" s="71" t="str">
        <f>IF(AND($AX767=1,$AJ767=1),$BA767*100000+ROW(),"")</f>
        <v/>
      </c>
      <c r="BJ767" s="71" t="str">
        <f>IF(AND($AS767=1,$AJ767=1),$BA767*100000+ROW(),"")</f>
        <v/>
      </c>
      <c r="BK767" s="71" t="str">
        <f>IF(AND($AY767=1,$AJ767=1),$BA767*100000+ROW(),"")</f>
        <v/>
      </c>
      <c r="BL767" s="71" t="str">
        <f>IF(AND($AZ767=1),$BA767*100000+ROW(),"")</f>
        <v/>
      </c>
    </row>
    <row r="768">
      <c r="A768" s="63" t="n"/>
      <c r="B768" s="64" t="n"/>
      <c r="C768" s="64" t="n"/>
      <c r="D768" s="64" t="n"/>
      <c r="E768" s="64" t="n"/>
      <c r="F768" s="64" t="n"/>
      <c r="G768" s="65" t="n"/>
      <c r="H768" s="65" t="n"/>
      <c r="I768" s="64" t="n"/>
      <c r="J768" s="64" t="n"/>
      <c r="K768" s="63" t="n"/>
      <c r="L768" s="63" t="n"/>
      <c r="M768" s="64" t="n"/>
      <c r="N768" s="66" t="n"/>
      <c r="O768" s="65" t="n"/>
      <c r="P768" s="64" t="n"/>
      <c r="Q768" s="67" t="n"/>
      <c r="R768" s="67" t="n"/>
      <c r="S768" s="68" t="str">
        <f>IF(AND(ISNUMBER($Q768),ISNUMBER($R768)),$Q768-$R768,"")</f>
        <v/>
      </c>
      <c r="T768" s="65" t="n"/>
      <c r="U768" s="64" t="n"/>
      <c r="V768" s="65" t="n"/>
      <c r="W768" s="63" t="n"/>
      <c r="X768" s="65" t="n"/>
      <c r="Y768" s="63" t="n"/>
      <c r="Z768" s="64" t="n"/>
      <c r="AA768" s="64" t="n"/>
      <c r="AB768" s="65" t="n"/>
      <c r="AC768" s="69" t="str">
        <f>IF(OR($G768="",NOT(ISNUMBER($K768)),$AK768=0),"",MAX(0,ReportDate-$K768))</f>
        <v/>
      </c>
      <c r="AD768" s="69" t="str">
        <f>IF($G768="","",IF($AL768=1,ReportDate-$L768,0))</f>
        <v/>
      </c>
      <c r="AE768" s="70" t="str">
        <f>IF($G768="","",IF($M768="Completed",1,IF(ISNUMBER($N768),$N768,0)))</f>
        <v/>
      </c>
      <c r="AF768" s="70" t="str">
        <f>IF(AND(ISNUMBER($Q768),ISNUMBER($R768)),IF($R768&lt;&gt;0,$Q768/$R768,""),"")</f>
        <v/>
      </c>
      <c r="AG768" s="71" t="str">
        <f>IF($G768="","",IF($AL768=1,"OVERDUE",IF($AM768=1,"BLOCKED",IF($AN768=1,"DUE TODAY",IF($AO768=1,"DUE TOMORROW",IF($AQ768=1,"HIGH PRIORITY",IF($AR768=1,"NO RECENT UPDATE",""))))))) </f>
        <v/>
      </c>
      <c r="AH768" s="71" t="str">
        <f>IF($G768="","",IF(ISNUMBER($A768),IF(ISNUMBER($A768),YEAR($A768)&amp;"-"&amp;TEXT(MONTH($A768),"00"),""),IF(ISNUMBER($L768),IF(ISNUMBER($L768),YEAR($L768)&amp;"-"&amp;TEXT(MONTH($L768),"00"),""),"")))</f>
        <v/>
      </c>
      <c r="AI768" s="71">
        <f>IF($G768="",0,IF(AND(OR(fClient="All",$C768=fClient),OR(fCampaign="All",$D768=fCampaign),OR(fTeam="All",$B768=fTeam),OR(fChannel="All",$F768=fChannel),OR(fMonth="All",$AH768=fMonth),OR(fTStatus="All",$M768=fTStatus)),1,0))</f>
        <v>0</v>
      </c>
      <c r="AJ768" s="71">
        <f>IF($G768="",0,IF(AND(OR(fClient="All",$C768=fClient),OR(fCampaign="All",$D768=fCampaign),OR(fTeam="All",$B768=fTeam),OR(fChannel="All",$F768=fChannel)),1,0))</f>
        <v>0</v>
      </c>
      <c r="AK768" s="71">
        <f>IF($G768="",0,IF(OR($M768="Completed",$M768="Cancelled"),0,1))</f>
        <v>0</v>
      </c>
      <c r="AL768" s="71">
        <f>IF(AND($AK768=1,ISNUMBER($L768)),IF($L768&lt;ReportDate,1,0),0)</f>
        <v>0</v>
      </c>
      <c r="AM768" s="71">
        <f>IF(AND($G768&lt;&gt;"",$M768="Blocked"),1,0)</f>
        <v>0</v>
      </c>
      <c r="AN768" s="71">
        <f>IF(AND($AK768=1,ISNUMBER($L768)),IF($L768=ReportDate,1,0),0)</f>
        <v>0</v>
      </c>
      <c r="AO768" s="71">
        <f>IF(AND($AK768=1,ISNUMBER($L768)),IF($L768=ReportDate+1,1,0),0)</f>
        <v>0</v>
      </c>
      <c r="AP768" s="71">
        <f>IF(AND($AK768=1,ISNUMBER($L768)),IF(AND($L768&gt;=ReportDate,$L768&lt;=ReportDate+DueSoonDays),1,0),0)</f>
        <v>0</v>
      </c>
      <c r="AQ768" s="71">
        <f>IF(AND($AK768=1,OR($I768="Critical",$I768="High")),1,0)</f>
        <v>0</v>
      </c>
      <c r="AR768" s="71">
        <f>IF($AK768=1,IF(ISNUMBER($Y768),IF(ReportDate-$Y768&gt;StaleDays,1,0),1),0)</f>
        <v>0</v>
      </c>
      <c r="AS768" s="71">
        <f>IF(AND($G768&lt;&gt;"",ISNUMBER($Q768),ISNUMBER($R768)),IF(AND($Q768&lt;$R768,OR($M768="Completed",AND(ISNUMBER($L768),$L768&lt;ReportDate))),1,0),0)</f>
        <v>0</v>
      </c>
      <c r="AT768" s="71">
        <f>IF($AK768=1,IF(OR($L768=ReportDate,$W768=ReportDate,$K768=ReportDate,$A768=ReportDate),1,0),0)</f>
        <v>0</v>
      </c>
      <c r="AU768" s="71">
        <f>IF($AK768=1,IF(OR($L768=ReportDate+1,$W768=ReportDate+1,$K768=ReportDate+1,$A768=ReportDate+1),1,0),0)</f>
        <v>0</v>
      </c>
      <c r="AV768" s="71">
        <f>IF(AND($G768&lt;&gt;"",$M768="Completed"),IF(OR($Y768=ReportDate-1,$A768=ReportDate-1),1,0),0)</f>
        <v>0</v>
      </c>
      <c r="AW768" s="71">
        <f>IF(AND($AK768=1,$Z768="Yes"),1,0)</f>
        <v>0</v>
      </c>
      <c r="AX768" s="71">
        <f>IF(AND($AK768=1,$AA768="Yes"),1,0)</f>
        <v>0</v>
      </c>
      <c r="AY768" s="71">
        <f>IF(AND($AM768=1,OR($I768="Critical",$I768="High")),1,0)</f>
        <v>0</v>
      </c>
      <c r="AZ768" s="71">
        <f>IF(AND($AK768=1,OR($C768=TCL_Client,$C768=MECCA_Client)),1,0)</f>
        <v>0</v>
      </c>
      <c r="BA768" s="71" t="str">
        <f>IF($G768="","",IFERROR(MATCH($I768,lst_Priority,0),5))</f>
        <v/>
      </c>
      <c r="BB768" s="71" t="str">
        <f>IF(AND($AL768=1,$AJ768=1),$BA768*100000+ROW(),"")</f>
        <v/>
      </c>
      <c r="BC768" s="71" t="str">
        <f>IF(AND($AM768=1,$AJ768=1),$BA768*100000+ROW(),"")</f>
        <v/>
      </c>
      <c r="BD768" s="71" t="str">
        <f>IF(AND($AP768=1,$AJ768=1),$BA768*100000+ROW(),"")</f>
        <v/>
      </c>
      <c r="BE768" s="71" t="str">
        <f>IF(AND($AT768=1,$AJ768=1),$BA768*100000+ROW(),"")</f>
        <v/>
      </c>
      <c r="BF768" s="71" t="str">
        <f>IF(AND($AU768=1,$AJ768=1),$BA768*100000+ROW(),"")</f>
        <v/>
      </c>
      <c r="BG768" s="71" t="str">
        <f>IF(AND($AV768=1,$AJ768=1),$BA768*100000+ROW(),"")</f>
        <v/>
      </c>
      <c r="BH768" s="71" t="str">
        <f>IF(AND($AW768=1,$AJ768=1),$BA768*100000+ROW(),"")</f>
        <v/>
      </c>
      <c r="BI768" s="71" t="str">
        <f>IF(AND($AX768=1,$AJ768=1),$BA768*100000+ROW(),"")</f>
        <v/>
      </c>
      <c r="BJ768" s="71" t="str">
        <f>IF(AND($AS768=1,$AJ768=1),$BA768*100000+ROW(),"")</f>
        <v/>
      </c>
      <c r="BK768" s="71" t="str">
        <f>IF(AND($AY768=1,$AJ768=1),$BA768*100000+ROW(),"")</f>
        <v/>
      </c>
      <c r="BL768" s="71" t="str">
        <f>IF(AND($AZ768=1),$BA768*100000+ROW(),"")</f>
        <v/>
      </c>
    </row>
    <row r="769">
      <c r="A769" s="63" t="n"/>
      <c r="B769" s="64" t="n"/>
      <c r="C769" s="64" t="n"/>
      <c r="D769" s="64" t="n"/>
      <c r="E769" s="64" t="n"/>
      <c r="F769" s="64" t="n"/>
      <c r="G769" s="65" t="n"/>
      <c r="H769" s="65" t="n"/>
      <c r="I769" s="64" t="n"/>
      <c r="J769" s="64" t="n"/>
      <c r="K769" s="63" t="n"/>
      <c r="L769" s="63" t="n"/>
      <c r="M769" s="64" t="n"/>
      <c r="N769" s="66" t="n"/>
      <c r="O769" s="65" t="n"/>
      <c r="P769" s="64" t="n"/>
      <c r="Q769" s="67" t="n"/>
      <c r="R769" s="67" t="n"/>
      <c r="S769" s="68" t="str">
        <f>IF(AND(ISNUMBER($Q769),ISNUMBER($R769)),$Q769-$R769,"")</f>
        <v/>
      </c>
      <c r="T769" s="65" t="n"/>
      <c r="U769" s="64" t="n"/>
      <c r="V769" s="65" t="n"/>
      <c r="W769" s="63" t="n"/>
      <c r="X769" s="65" t="n"/>
      <c r="Y769" s="63" t="n"/>
      <c r="Z769" s="64" t="n"/>
      <c r="AA769" s="64" t="n"/>
      <c r="AB769" s="65" t="n"/>
      <c r="AC769" s="69" t="str">
        <f>IF(OR($G769="",NOT(ISNUMBER($K769)),$AK769=0),"",MAX(0,ReportDate-$K769))</f>
        <v/>
      </c>
      <c r="AD769" s="69" t="str">
        <f>IF($G769="","",IF($AL769=1,ReportDate-$L769,0))</f>
        <v/>
      </c>
      <c r="AE769" s="70" t="str">
        <f>IF($G769="","",IF($M769="Completed",1,IF(ISNUMBER($N769),$N769,0)))</f>
        <v/>
      </c>
      <c r="AF769" s="70" t="str">
        <f>IF(AND(ISNUMBER($Q769),ISNUMBER($R769)),IF($R769&lt;&gt;0,$Q769/$R769,""),"")</f>
        <v/>
      </c>
      <c r="AG769" s="71" t="str">
        <f>IF($G769="","",IF($AL769=1,"OVERDUE",IF($AM769=1,"BLOCKED",IF($AN769=1,"DUE TODAY",IF($AO769=1,"DUE TOMORROW",IF($AQ769=1,"HIGH PRIORITY",IF($AR769=1,"NO RECENT UPDATE",""))))))) </f>
        <v/>
      </c>
      <c r="AH769" s="71" t="str">
        <f>IF($G769="","",IF(ISNUMBER($A769),IF(ISNUMBER($A769),YEAR($A769)&amp;"-"&amp;TEXT(MONTH($A769),"00"),""),IF(ISNUMBER($L769),IF(ISNUMBER($L769),YEAR($L769)&amp;"-"&amp;TEXT(MONTH($L769),"00"),""),"")))</f>
        <v/>
      </c>
      <c r="AI769" s="71">
        <f>IF($G769="",0,IF(AND(OR(fClient="All",$C769=fClient),OR(fCampaign="All",$D769=fCampaign),OR(fTeam="All",$B769=fTeam),OR(fChannel="All",$F769=fChannel),OR(fMonth="All",$AH769=fMonth),OR(fTStatus="All",$M769=fTStatus)),1,0))</f>
        <v>0</v>
      </c>
      <c r="AJ769" s="71">
        <f>IF($G769="",0,IF(AND(OR(fClient="All",$C769=fClient),OR(fCampaign="All",$D769=fCampaign),OR(fTeam="All",$B769=fTeam),OR(fChannel="All",$F769=fChannel)),1,0))</f>
        <v>0</v>
      </c>
      <c r="AK769" s="71">
        <f>IF($G769="",0,IF(OR($M769="Completed",$M769="Cancelled"),0,1))</f>
        <v>0</v>
      </c>
      <c r="AL769" s="71">
        <f>IF(AND($AK769=1,ISNUMBER($L769)),IF($L769&lt;ReportDate,1,0),0)</f>
        <v>0</v>
      </c>
      <c r="AM769" s="71">
        <f>IF(AND($G769&lt;&gt;"",$M769="Blocked"),1,0)</f>
        <v>0</v>
      </c>
      <c r="AN769" s="71">
        <f>IF(AND($AK769=1,ISNUMBER($L769)),IF($L769=ReportDate,1,0),0)</f>
        <v>0</v>
      </c>
      <c r="AO769" s="71">
        <f>IF(AND($AK769=1,ISNUMBER($L769)),IF($L769=ReportDate+1,1,0),0)</f>
        <v>0</v>
      </c>
      <c r="AP769" s="71">
        <f>IF(AND($AK769=1,ISNUMBER($L769)),IF(AND($L769&gt;=ReportDate,$L769&lt;=ReportDate+DueSoonDays),1,0),0)</f>
        <v>0</v>
      </c>
      <c r="AQ769" s="71">
        <f>IF(AND($AK769=1,OR($I769="Critical",$I769="High")),1,0)</f>
        <v>0</v>
      </c>
      <c r="AR769" s="71">
        <f>IF($AK769=1,IF(ISNUMBER($Y769),IF(ReportDate-$Y769&gt;StaleDays,1,0),1),0)</f>
        <v>0</v>
      </c>
      <c r="AS769" s="71">
        <f>IF(AND($G769&lt;&gt;"",ISNUMBER($Q769),ISNUMBER($R769)),IF(AND($Q769&lt;$R769,OR($M769="Completed",AND(ISNUMBER($L769),$L769&lt;ReportDate))),1,0),0)</f>
        <v>0</v>
      </c>
      <c r="AT769" s="71">
        <f>IF($AK769=1,IF(OR($L769=ReportDate,$W769=ReportDate,$K769=ReportDate,$A769=ReportDate),1,0),0)</f>
        <v>0</v>
      </c>
      <c r="AU769" s="71">
        <f>IF($AK769=1,IF(OR($L769=ReportDate+1,$W769=ReportDate+1,$K769=ReportDate+1,$A769=ReportDate+1),1,0),0)</f>
        <v>0</v>
      </c>
      <c r="AV769" s="71">
        <f>IF(AND($G769&lt;&gt;"",$M769="Completed"),IF(OR($Y769=ReportDate-1,$A769=ReportDate-1),1,0),0)</f>
        <v>0</v>
      </c>
      <c r="AW769" s="71">
        <f>IF(AND($AK769=1,$Z769="Yes"),1,0)</f>
        <v>0</v>
      </c>
      <c r="AX769" s="71">
        <f>IF(AND($AK769=1,$AA769="Yes"),1,0)</f>
        <v>0</v>
      </c>
      <c r="AY769" s="71">
        <f>IF(AND($AM769=1,OR($I769="Critical",$I769="High")),1,0)</f>
        <v>0</v>
      </c>
      <c r="AZ769" s="71">
        <f>IF(AND($AK769=1,OR($C769=TCL_Client,$C769=MECCA_Client)),1,0)</f>
        <v>0</v>
      </c>
      <c r="BA769" s="71" t="str">
        <f>IF($G769="","",IFERROR(MATCH($I769,lst_Priority,0),5))</f>
        <v/>
      </c>
      <c r="BB769" s="71" t="str">
        <f>IF(AND($AL769=1,$AJ769=1),$BA769*100000+ROW(),"")</f>
        <v/>
      </c>
      <c r="BC769" s="71" t="str">
        <f>IF(AND($AM769=1,$AJ769=1),$BA769*100000+ROW(),"")</f>
        <v/>
      </c>
      <c r="BD769" s="71" t="str">
        <f>IF(AND($AP769=1,$AJ769=1),$BA769*100000+ROW(),"")</f>
        <v/>
      </c>
      <c r="BE769" s="71" t="str">
        <f>IF(AND($AT769=1,$AJ769=1),$BA769*100000+ROW(),"")</f>
        <v/>
      </c>
      <c r="BF769" s="71" t="str">
        <f>IF(AND($AU769=1,$AJ769=1),$BA769*100000+ROW(),"")</f>
        <v/>
      </c>
      <c r="BG769" s="71" t="str">
        <f>IF(AND($AV769=1,$AJ769=1),$BA769*100000+ROW(),"")</f>
        <v/>
      </c>
      <c r="BH769" s="71" t="str">
        <f>IF(AND($AW769=1,$AJ769=1),$BA769*100000+ROW(),"")</f>
        <v/>
      </c>
      <c r="BI769" s="71" t="str">
        <f>IF(AND($AX769=1,$AJ769=1),$BA769*100000+ROW(),"")</f>
        <v/>
      </c>
      <c r="BJ769" s="71" t="str">
        <f>IF(AND($AS769=1,$AJ769=1),$BA769*100000+ROW(),"")</f>
        <v/>
      </c>
      <c r="BK769" s="71" t="str">
        <f>IF(AND($AY769=1,$AJ769=1),$BA769*100000+ROW(),"")</f>
        <v/>
      </c>
      <c r="BL769" s="71" t="str">
        <f>IF(AND($AZ769=1),$BA769*100000+ROW(),"")</f>
        <v/>
      </c>
    </row>
    <row r="770">
      <c r="A770" s="63" t="n"/>
      <c r="B770" s="64" t="n"/>
      <c r="C770" s="64" t="n"/>
      <c r="D770" s="64" t="n"/>
      <c r="E770" s="64" t="n"/>
      <c r="F770" s="64" t="n"/>
      <c r="G770" s="65" t="n"/>
      <c r="H770" s="65" t="n"/>
      <c r="I770" s="64" t="n"/>
      <c r="J770" s="64" t="n"/>
      <c r="K770" s="63" t="n"/>
      <c r="L770" s="63" t="n"/>
      <c r="M770" s="64" t="n"/>
      <c r="N770" s="66" t="n"/>
      <c r="O770" s="65" t="n"/>
      <c r="P770" s="64" t="n"/>
      <c r="Q770" s="67" t="n"/>
      <c r="R770" s="67" t="n"/>
      <c r="S770" s="68" t="str">
        <f>IF(AND(ISNUMBER($Q770),ISNUMBER($R770)),$Q770-$R770,"")</f>
        <v/>
      </c>
      <c r="T770" s="65" t="n"/>
      <c r="U770" s="64" t="n"/>
      <c r="V770" s="65" t="n"/>
      <c r="W770" s="63" t="n"/>
      <c r="X770" s="65" t="n"/>
      <c r="Y770" s="63" t="n"/>
      <c r="Z770" s="64" t="n"/>
      <c r="AA770" s="64" t="n"/>
      <c r="AB770" s="65" t="n"/>
      <c r="AC770" s="69" t="str">
        <f>IF(OR($G770="",NOT(ISNUMBER($K770)),$AK770=0),"",MAX(0,ReportDate-$K770))</f>
        <v/>
      </c>
      <c r="AD770" s="69" t="str">
        <f>IF($G770="","",IF($AL770=1,ReportDate-$L770,0))</f>
        <v/>
      </c>
      <c r="AE770" s="70" t="str">
        <f>IF($G770="","",IF($M770="Completed",1,IF(ISNUMBER($N770),$N770,0)))</f>
        <v/>
      </c>
      <c r="AF770" s="70" t="str">
        <f>IF(AND(ISNUMBER($Q770),ISNUMBER($R770)),IF($R770&lt;&gt;0,$Q770/$R770,""),"")</f>
        <v/>
      </c>
      <c r="AG770" s="71" t="str">
        <f>IF($G770="","",IF($AL770=1,"OVERDUE",IF($AM770=1,"BLOCKED",IF($AN770=1,"DUE TODAY",IF($AO770=1,"DUE TOMORROW",IF($AQ770=1,"HIGH PRIORITY",IF($AR770=1,"NO RECENT UPDATE",""))))))) </f>
        <v/>
      </c>
      <c r="AH770" s="71" t="str">
        <f>IF($G770="","",IF(ISNUMBER($A770),IF(ISNUMBER($A770),YEAR($A770)&amp;"-"&amp;TEXT(MONTH($A770),"00"),""),IF(ISNUMBER($L770),IF(ISNUMBER($L770),YEAR($L770)&amp;"-"&amp;TEXT(MONTH($L770),"00"),""),"")))</f>
        <v/>
      </c>
      <c r="AI770" s="71">
        <f>IF($G770="",0,IF(AND(OR(fClient="All",$C770=fClient),OR(fCampaign="All",$D770=fCampaign),OR(fTeam="All",$B770=fTeam),OR(fChannel="All",$F770=fChannel),OR(fMonth="All",$AH770=fMonth),OR(fTStatus="All",$M770=fTStatus)),1,0))</f>
        <v>0</v>
      </c>
      <c r="AJ770" s="71">
        <f>IF($G770="",0,IF(AND(OR(fClient="All",$C770=fClient),OR(fCampaign="All",$D770=fCampaign),OR(fTeam="All",$B770=fTeam),OR(fChannel="All",$F770=fChannel)),1,0))</f>
        <v>0</v>
      </c>
      <c r="AK770" s="71">
        <f>IF($G770="",0,IF(OR($M770="Completed",$M770="Cancelled"),0,1))</f>
        <v>0</v>
      </c>
      <c r="AL770" s="71">
        <f>IF(AND($AK770=1,ISNUMBER($L770)),IF($L770&lt;ReportDate,1,0),0)</f>
        <v>0</v>
      </c>
      <c r="AM770" s="71">
        <f>IF(AND($G770&lt;&gt;"",$M770="Blocked"),1,0)</f>
        <v>0</v>
      </c>
      <c r="AN770" s="71">
        <f>IF(AND($AK770=1,ISNUMBER($L770)),IF($L770=ReportDate,1,0),0)</f>
        <v>0</v>
      </c>
      <c r="AO770" s="71">
        <f>IF(AND($AK770=1,ISNUMBER($L770)),IF($L770=ReportDate+1,1,0),0)</f>
        <v>0</v>
      </c>
      <c r="AP770" s="71">
        <f>IF(AND($AK770=1,ISNUMBER($L770)),IF(AND($L770&gt;=ReportDate,$L770&lt;=ReportDate+DueSoonDays),1,0),0)</f>
        <v>0</v>
      </c>
      <c r="AQ770" s="71">
        <f>IF(AND($AK770=1,OR($I770="Critical",$I770="High")),1,0)</f>
        <v>0</v>
      </c>
      <c r="AR770" s="71">
        <f>IF($AK770=1,IF(ISNUMBER($Y770),IF(ReportDate-$Y770&gt;StaleDays,1,0),1),0)</f>
        <v>0</v>
      </c>
      <c r="AS770" s="71">
        <f>IF(AND($G770&lt;&gt;"",ISNUMBER($Q770),ISNUMBER($R770)),IF(AND($Q770&lt;$R770,OR($M770="Completed",AND(ISNUMBER($L770),$L770&lt;ReportDate))),1,0),0)</f>
        <v>0</v>
      </c>
      <c r="AT770" s="71">
        <f>IF($AK770=1,IF(OR($L770=ReportDate,$W770=ReportDate,$K770=ReportDate,$A770=ReportDate),1,0),0)</f>
        <v>0</v>
      </c>
      <c r="AU770" s="71">
        <f>IF($AK770=1,IF(OR($L770=ReportDate+1,$W770=ReportDate+1,$K770=ReportDate+1,$A770=ReportDate+1),1,0),0)</f>
        <v>0</v>
      </c>
      <c r="AV770" s="71">
        <f>IF(AND($G770&lt;&gt;"",$M770="Completed"),IF(OR($Y770=ReportDate-1,$A770=ReportDate-1),1,0),0)</f>
        <v>0</v>
      </c>
      <c r="AW770" s="71">
        <f>IF(AND($AK770=1,$Z770="Yes"),1,0)</f>
        <v>0</v>
      </c>
      <c r="AX770" s="71">
        <f>IF(AND($AK770=1,$AA770="Yes"),1,0)</f>
        <v>0</v>
      </c>
      <c r="AY770" s="71">
        <f>IF(AND($AM770=1,OR($I770="Critical",$I770="High")),1,0)</f>
        <v>0</v>
      </c>
      <c r="AZ770" s="71">
        <f>IF(AND($AK770=1,OR($C770=TCL_Client,$C770=MECCA_Client)),1,0)</f>
        <v>0</v>
      </c>
      <c r="BA770" s="71" t="str">
        <f>IF($G770="","",IFERROR(MATCH($I770,lst_Priority,0),5))</f>
        <v/>
      </c>
      <c r="BB770" s="71" t="str">
        <f>IF(AND($AL770=1,$AJ770=1),$BA770*100000+ROW(),"")</f>
        <v/>
      </c>
      <c r="BC770" s="71" t="str">
        <f>IF(AND($AM770=1,$AJ770=1),$BA770*100000+ROW(),"")</f>
        <v/>
      </c>
      <c r="BD770" s="71" t="str">
        <f>IF(AND($AP770=1,$AJ770=1),$BA770*100000+ROW(),"")</f>
        <v/>
      </c>
      <c r="BE770" s="71" t="str">
        <f>IF(AND($AT770=1,$AJ770=1),$BA770*100000+ROW(),"")</f>
        <v/>
      </c>
      <c r="BF770" s="71" t="str">
        <f>IF(AND($AU770=1,$AJ770=1),$BA770*100000+ROW(),"")</f>
        <v/>
      </c>
      <c r="BG770" s="71" t="str">
        <f>IF(AND($AV770=1,$AJ770=1),$BA770*100000+ROW(),"")</f>
        <v/>
      </c>
      <c r="BH770" s="71" t="str">
        <f>IF(AND($AW770=1,$AJ770=1),$BA770*100000+ROW(),"")</f>
        <v/>
      </c>
      <c r="BI770" s="71" t="str">
        <f>IF(AND($AX770=1,$AJ770=1),$BA770*100000+ROW(),"")</f>
        <v/>
      </c>
      <c r="BJ770" s="71" t="str">
        <f>IF(AND($AS770=1,$AJ770=1),$BA770*100000+ROW(),"")</f>
        <v/>
      </c>
      <c r="BK770" s="71" t="str">
        <f>IF(AND($AY770=1,$AJ770=1),$BA770*100000+ROW(),"")</f>
        <v/>
      </c>
      <c r="BL770" s="71" t="str">
        <f>IF(AND($AZ770=1),$BA770*100000+ROW(),"")</f>
        <v/>
      </c>
    </row>
    <row r="771">
      <c r="A771" s="63" t="n"/>
      <c r="B771" s="64" t="n"/>
      <c r="C771" s="64" t="n"/>
      <c r="D771" s="64" t="n"/>
      <c r="E771" s="64" t="n"/>
      <c r="F771" s="64" t="n"/>
      <c r="G771" s="65" t="n"/>
      <c r="H771" s="65" t="n"/>
      <c r="I771" s="64" t="n"/>
      <c r="J771" s="64" t="n"/>
      <c r="K771" s="63" t="n"/>
      <c r="L771" s="63" t="n"/>
      <c r="M771" s="64" t="n"/>
      <c r="N771" s="66" t="n"/>
      <c r="O771" s="65" t="n"/>
      <c r="P771" s="64" t="n"/>
      <c r="Q771" s="67" t="n"/>
      <c r="R771" s="67" t="n"/>
      <c r="S771" s="68" t="str">
        <f>IF(AND(ISNUMBER($Q771),ISNUMBER($R771)),$Q771-$R771,"")</f>
        <v/>
      </c>
      <c r="T771" s="65" t="n"/>
      <c r="U771" s="64" t="n"/>
      <c r="V771" s="65" t="n"/>
      <c r="W771" s="63" t="n"/>
      <c r="X771" s="65" t="n"/>
      <c r="Y771" s="63" t="n"/>
      <c r="Z771" s="64" t="n"/>
      <c r="AA771" s="64" t="n"/>
      <c r="AB771" s="65" t="n"/>
      <c r="AC771" s="69" t="str">
        <f>IF(OR($G771="",NOT(ISNUMBER($K771)),$AK771=0),"",MAX(0,ReportDate-$K771))</f>
        <v/>
      </c>
      <c r="AD771" s="69" t="str">
        <f>IF($G771="","",IF($AL771=1,ReportDate-$L771,0))</f>
        <v/>
      </c>
      <c r="AE771" s="70" t="str">
        <f>IF($G771="","",IF($M771="Completed",1,IF(ISNUMBER($N771),$N771,0)))</f>
        <v/>
      </c>
      <c r="AF771" s="70" t="str">
        <f>IF(AND(ISNUMBER($Q771),ISNUMBER($R771)),IF($R771&lt;&gt;0,$Q771/$R771,""),"")</f>
        <v/>
      </c>
      <c r="AG771" s="71" t="str">
        <f>IF($G771="","",IF($AL771=1,"OVERDUE",IF($AM771=1,"BLOCKED",IF($AN771=1,"DUE TODAY",IF($AO771=1,"DUE TOMORROW",IF($AQ771=1,"HIGH PRIORITY",IF($AR771=1,"NO RECENT UPDATE",""))))))) </f>
        <v/>
      </c>
      <c r="AH771" s="71" t="str">
        <f>IF($G771="","",IF(ISNUMBER($A771),IF(ISNUMBER($A771),YEAR($A771)&amp;"-"&amp;TEXT(MONTH($A771),"00"),""),IF(ISNUMBER($L771),IF(ISNUMBER($L771),YEAR($L771)&amp;"-"&amp;TEXT(MONTH($L771),"00"),""),"")))</f>
        <v/>
      </c>
      <c r="AI771" s="71">
        <f>IF($G771="",0,IF(AND(OR(fClient="All",$C771=fClient),OR(fCampaign="All",$D771=fCampaign),OR(fTeam="All",$B771=fTeam),OR(fChannel="All",$F771=fChannel),OR(fMonth="All",$AH771=fMonth),OR(fTStatus="All",$M771=fTStatus)),1,0))</f>
        <v>0</v>
      </c>
      <c r="AJ771" s="71">
        <f>IF($G771="",0,IF(AND(OR(fClient="All",$C771=fClient),OR(fCampaign="All",$D771=fCampaign),OR(fTeam="All",$B771=fTeam),OR(fChannel="All",$F771=fChannel)),1,0))</f>
        <v>0</v>
      </c>
      <c r="AK771" s="71">
        <f>IF($G771="",0,IF(OR($M771="Completed",$M771="Cancelled"),0,1))</f>
        <v>0</v>
      </c>
      <c r="AL771" s="71">
        <f>IF(AND($AK771=1,ISNUMBER($L771)),IF($L771&lt;ReportDate,1,0),0)</f>
        <v>0</v>
      </c>
      <c r="AM771" s="71">
        <f>IF(AND($G771&lt;&gt;"",$M771="Blocked"),1,0)</f>
        <v>0</v>
      </c>
      <c r="AN771" s="71">
        <f>IF(AND($AK771=1,ISNUMBER($L771)),IF($L771=ReportDate,1,0),0)</f>
        <v>0</v>
      </c>
      <c r="AO771" s="71">
        <f>IF(AND($AK771=1,ISNUMBER($L771)),IF($L771=ReportDate+1,1,0),0)</f>
        <v>0</v>
      </c>
      <c r="AP771" s="71">
        <f>IF(AND($AK771=1,ISNUMBER($L771)),IF(AND($L771&gt;=ReportDate,$L771&lt;=ReportDate+DueSoonDays),1,0),0)</f>
        <v>0</v>
      </c>
      <c r="AQ771" s="71">
        <f>IF(AND($AK771=1,OR($I771="Critical",$I771="High")),1,0)</f>
        <v>0</v>
      </c>
      <c r="AR771" s="71">
        <f>IF($AK771=1,IF(ISNUMBER($Y771),IF(ReportDate-$Y771&gt;StaleDays,1,0),1),0)</f>
        <v>0</v>
      </c>
      <c r="AS771" s="71">
        <f>IF(AND($G771&lt;&gt;"",ISNUMBER($Q771),ISNUMBER($R771)),IF(AND($Q771&lt;$R771,OR($M771="Completed",AND(ISNUMBER($L771),$L771&lt;ReportDate))),1,0),0)</f>
        <v>0</v>
      </c>
      <c r="AT771" s="71">
        <f>IF($AK771=1,IF(OR($L771=ReportDate,$W771=ReportDate,$K771=ReportDate,$A771=ReportDate),1,0),0)</f>
        <v>0</v>
      </c>
      <c r="AU771" s="71">
        <f>IF($AK771=1,IF(OR($L771=ReportDate+1,$W771=ReportDate+1,$K771=ReportDate+1,$A771=ReportDate+1),1,0),0)</f>
        <v>0</v>
      </c>
      <c r="AV771" s="71">
        <f>IF(AND($G771&lt;&gt;"",$M771="Completed"),IF(OR($Y771=ReportDate-1,$A771=ReportDate-1),1,0),0)</f>
        <v>0</v>
      </c>
      <c r="AW771" s="71">
        <f>IF(AND($AK771=1,$Z771="Yes"),1,0)</f>
        <v>0</v>
      </c>
      <c r="AX771" s="71">
        <f>IF(AND($AK771=1,$AA771="Yes"),1,0)</f>
        <v>0</v>
      </c>
      <c r="AY771" s="71">
        <f>IF(AND($AM771=1,OR($I771="Critical",$I771="High")),1,0)</f>
        <v>0</v>
      </c>
      <c r="AZ771" s="71">
        <f>IF(AND($AK771=1,OR($C771=TCL_Client,$C771=MECCA_Client)),1,0)</f>
        <v>0</v>
      </c>
      <c r="BA771" s="71" t="str">
        <f>IF($G771="","",IFERROR(MATCH($I771,lst_Priority,0),5))</f>
        <v/>
      </c>
      <c r="BB771" s="71" t="str">
        <f>IF(AND($AL771=1,$AJ771=1),$BA771*100000+ROW(),"")</f>
        <v/>
      </c>
      <c r="BC771" s="71" t="str">
        <f>IF(AND($AM771=1,$AJ771=1),$BA771*100000+ROW(),"")</f>
        <v/>
      </c>
      <c r="BD771" s="71" t="str">
        <f>IF(AND($AP771=1,$AJ771=1),$BA771*100000+ROW(),"")</f>
        <v/>
      </c>
      <c r="BE771" s="71" t="str">
        <f>IF(AND($AT771=1,$AJ771=1),$BA771*100000+ROW(),"")</f>
        <v/>
      </c>
      <c r="BF771" s="71" t="str">
        <f>IF(AND($AU771=1,$AJ771=1),$BA771*100000+ROW(),"")</f>
        <v/>
      </c>
      <c r="BG771" s="71" t="str">
        <f>IF(AND($AV771=1,$AJ771=1),$BA771*100000+ROW(),"")</f>
        <v/>
      </c>
      <c r="BH771" s="71" t="str">
        <f>IF(AND($AW771=1,$AJ771=1),$BA771*100000+ROW(),"")</f>
        <v/>
      </c>
      <c r="BI771" s="71" t="str">
        <f>IF(AND($AX771=1,$AJ771=1),$BA771*100000+ROW(),"")</f>
        <v/>
      </c>
      <c r="BJ771" s="71" t="str">
        <f>IF(AND($AS771=1,$AJ771=1),$BA771*100000+ROW(),"")</f>
        <v/>
      </c>
      <c r="BK771" s="71" t="str">
        <f>IF(AND($AY771=1,$AJ771=1),$BA771*100000+ROW(),"")</f>
        <v/>
      </c>
      <c r="BL771" s="71" t="str">
        <f>IF(AND($AZ771=1),$BA771*100000+ROW(),"")</f>
        <v/>
      </c>
    </row>
    <row r="772">
      <c r="A772" s="63" t="n"/>
      <c r="B772" s="64" t="n"/>
      <c r="C772" s="64" t="n"/>
      <c r="D772" s="64" t="n"/>
      <c r="E772" s="64" t="n"/>
      <c r="F772" s="64" t="n"/>
      <c r="G772" s="65" t="n"/>
      <c r="H772" s="65" t="n"/>
      <c r="I772" s="64" t="n"/>
      <c r="J772" s="64" t="n"/>
      <c r="K772" s="63" t="n"/>
      <c r="L772" s="63" t="n"/>
      <c r="M772" s="64" t="n"/>
      <c r="N772" s="66" t="n"/>
      <c r="O772" s="65" t="n"/>
      <c r="P772" s="64" t="n"/>
      <c r="Q772" s="67" t="n"/>
      <c r="R772" s="67" t="n"/>
      <c r="S772" s="68" t="str">
        <f>IF(AND(ISNUMBER($Q772),ISNUMBER($R772)),$Q772-$R772,"")</f>
        <v/>
      </c>
      <c r="T772" s="65" t="n"/>
      <c r="U772" s="64" t="n"/>
      <c r="V772" s="65" t="n"/>
      <c r="W772" s="63" t="n"/>
      <c r="X772" s="65" t="n"/>
      <c r="Y772" s="63" t="n"/>
      <c r="Z772" s="64" t="n"/>
      <c r="AA772" s="64" t="n"/>
      <c r="AB772" s="65" t="n"/>
      <c r="AC772" s="69" t="str">
        <f>IF(OR($G772="",NOT(ISNUMBER($K772)),$AK772=0),"",MAX(0,ReportDate-$K772))</f>
        <v/>
      </c>
      <c r="AD772" s="69" t="str">
        <f>IF($G772="","",IF($AL772=1,ReportDate-$L772,0))</f>
        <v/>
      </c>
      <c r="AE772" s="70" t="str">
        <f>IF($G772="","",IF($M772="Completed",1,IF(ISNUMBER($N772),$N772,0)))</f>
        <v/>
      </c>
      <c r="AF772" s="70" t="str">
        <f>IF(AND(ISNUMBER($Q772),ISNUMBER($R772)),IF($R772&lt;&gt;0,$Q772/$R772,""),"")</f>
        <v/>
      </c>
      <c r="AG772" s="71" t="str">
        <f>IF($G772="","",IF($AL772=1,"OVERDUE",IF($AM772=1,"BLOCKED",IF($AN772=1,"DUE TODAY",IF($AO772=1,"DUE TOMORROW",IF($AQ772=1,"HIGH PRIORITY",IF($AR772=1,"NO RECENT UPDATE",""))))))) </f>
        <v/>
      </c>
      <c r="AH772" s="71" t="str">
        <f>IF($G772="","",IF(ISNUMBER($A772),IF(ISNUMBER($A772),YEAR($A772)&amp;"-"&amp;TEXT(MONTH($A772),"00"),""),IF(ISNUMBER($L772),IF(ISNUMBER($L772),YEAR($L772)&amp;"-"&amp;TEXT(MONTH($L772),"00"),""),"")))</f>
        <v/>
      </c>
      <c r="AI772" s="71">
        <f>IF($G772="",0,IF(AND(OR(fClient="All",$C772=fClient),OR(fCampaign="All",$D772=fCampaign),OR(fTeam="All",$B772=fTeam),OR(fChannel="All",$F772=fChannel),OR(fMonth="All",$AH772=fMonth),OR(fTStatus="All",$M772=fTStatus)),1,0))</f>
        <v>0</v>
      </c>
      <c r="AJ772" s="71">
        <f>IF($G772="",0,IF(AND(OR(fClient="All",$C772=fClient),OR(fCampaign="All",$D772=fCampaign),OR(fTeam="All",$B772=fTeam),OR(fChannel="All",$F772=fChannel)),1,0))</f>
        <v>0</v>
      </c>
      <c r="AK772" s="71">
        <f>IF($G772="",0,IF(OR($M772="Completed",$M772="Cancelled"),0,1))</f>
        <v>0</v>
      </c>
      <c r="AL772" s="71">
        <f>IF(AND($AK772=1,ISNUMBER($L772)),IF($L772&lt;ReportDate,1,0),0)</f>
        <v>0</v>
      </c>
      <c r="AM772" s="71">
        <f>IF(AND($G772&lt;&gt;"",$M772="Blocked"),1,0)</f>
        <v>0</v>
      </c>
      <c r="AN772" s="71">
        <f>IF(AND($AK772=1,ISNUMBER($L772)),IF($L772=ReportDate,1,0),0)</f>
        <v>0</v>
      </c>
      <c r="AO772" s="71">
        <f>IF(AND($AK772=1,ISNUMBER($L772)),IF($L772=ReportDate+1,1,0),0)</f>
        <v>0</v>
      </c>
      <c r="AP772" s="71">
        <f>IF(AND($AK772=1,ISNUMBER($L772)),IF(AND($L772&gt;=ReportDate,$L772&lt;=ReportDate+DueSoonDays),1,0),0)</f>
        <v>0</v>
      </c>
      <c r="AQ772" s="71">
        <f>IF(AND($AK772=1,OR($I772="Critical",$I772="High")),1,0)</f>
        <v>0</v>
      </c>
      <c r="AR772" s="71">
        <f>IF($AK772=1,IF(ISNUMBER($Y772),IF(ReportDate-$Y772&gt;StaleDays,1,0),1),0)</f>
        <v>0</v>
      </c>
      <c r="AS772" s="71">
        <f>IF(AND($G772&lt;&gt;"",ISNUMBER($Q772),ISNUMBER($R772)),IF(AND($Q772&lt;$R772,OR($M772="Completed",AND(ISNUMBER($L772),$L772&lt;ReportDate))),1,0),0)</f>
        <v>0</v>
      </c>
      <c r="AT772" s="71">
        <f>IF($AK772=1,IF(OR($L772=ReportDate,$W772=ReportDate,$K772=ReportDate,$A772=ReportDate),1,0),0)</f>
        <v>0</v>
      </c>
      <c r="AU772" s="71">
        <f>IF($AK772=1,IF(OR($L772=ReportDate+1,$W772=ReportDate+1,$K772=ReportDate+1,$A772=ReportDate+1),1,0),0)</f>
        <v>0</v>
      </c>
      <c r="AV772" s="71">
        <f>IF(AND($G772&lt;&gt;"",$M772="Completed"),IF(OR($Y772=ReportDate-1,$A772=ReportDate-1),1,0),0)</f>
        <v>0</v>
      </c>
      <c r="AW772" s="71">
        <f>IF(AND($AK772=1,$Z772="Yes"),1,0)</f>
        <v>0</v>
      </c>
      <c r="AX772" s="71">
        <f>IF(AND($AK772=1,$AA772="Yes"),1,0)</f>
        <v>0</v>
      </c>
      <c r="AY772" s="71">
        <f>IF(AND($AM772=1,OR($I772="Critical",$I772="High")),1,0)</f>
        <v>0</v>
      </c>
      <c r="AZ772" s="71">
        <f>IF(AND($AK772=1,OR($C772=TCL_Client,$C772=MECCA_Client)),1,0)</f>
        <v>0</v>
      </c>
      <c r="BA772" s="71" t="str">
        <f>IF($G772="","",IFERROR(MATCH($I772,lst_Priority,0),5))</f>
        <v/>
      </c>
      <c r="BB772" s="71" t="str">
        <f>IF(AND($AL772=1,$AJ772=1),$BA772*100000+ROW(),"")</f>
        <v/>
      </c>
      <c r="BC772" s="71" t="str">
        <f>IF(AND($AM772=1,$AJ772=1),$BA772*100000+ROW(),"")</f>
        <v/>
      </c>
      <c r="BD772" s="71" t="str">
        <f>IF(AND($AP772=1,$AJ772=1),$BA772*100000+ROW(),"")</f>
        <v/>
      </c>
      <c r="BE772" s="71" t="str">
        <f>IF(AND($AT772=1,$AJ772=1),$BA772*100000+ROW(),"")</f>
        <v/>
      </c>
      <c r="BF772" s="71" t="str">
        <f>IF(AND($AU772=1,$AJ772=1),$BA772*100000+ROW(),"")</f>
        <v/>
      </c>
      <c r="BG772" s="71" t="str">
        <f>IF(AND($AV772=1,$AJ772=1),$BA772*100000+ROW(),"")</f>
        <v/>
      </c>
      <c r="BH772" s="71" t="str">
        <f>IF(AND($AW772=1,$AJ772=1),$BA772*100000+ROW(),"")</f>
        <v/>
      </c>
      <c r="BI772" s="71" t="str">
        <f>IF(AND($AX772=1,$AJ772=1),$BA772*100000+ROW(),"")</f>
        <v/>
      </c>
      <c r="BJ772" s="71" t="str">
        <f>IF(AND($AS772=1,$AJ772=1),$BA772*100000+ROW(),"")</f>
        <v/>
      </c>
      <c r="BK772" s="71" t="str">
        <f>IF(AND($AY772=1,$AJ772=1),$BA772*100000+ROW(),"")</f>
        <v/>
      </c>
      <c r="BL772" s="71" t="str">
        <f>IF(AND($AZ772=1),$BA772*100000+ROW(),"")</f>
        <v/>
      </c>
    </row>
    <row r="773">
      <c r="A773" s="63" t="n"/>
      <c r="B773" s="64" t="n"/>
      <c r="C773" s="64" t="n"/>
      <c r="D773" s="64" t="n"/>
      <c r="E773" s="64" t="n"/>
      <c r="F773" s="64" t="n"/>
      <c r="G773" s="65" t="n"/>
      <c r="H773" s="65" t="n"/>
      <c r="I773" s="64" t="n"/>
      <c r="J773" s="64" t="n"/>
      <c r="K773" s="63" t="n"/>
      <c r="L773" s="63" t="n"/>
      <c r="M773" s="64" t="n"/>
      <c r="N773" s="66" t="n"/>
      <c r="O773" s="65" t="n"/>
      <c r="P773" s="64" t="n"/>
      <c r="Q773" s="67" t="n"/>
      <c r="R773" s="67" t="n"/>
      <c r="S773" s="68" t="str">
        <f>IF(AND(ISNUMBER($Q773),ISNUMBER($R773)),$Q773-$R773,"")</f>
        <v/>
      </c>
      <c r="T773" s="65" t="n"/>
      <c r="U773" s="64" t="n"/>
      <c r="V773" s="65" t="n"/>
      <c r="W773" s="63" t="n"/>
      <c r="X773" s="65" t="n"/>
      <c r="Y773" s="63" t="n"/>
      <c r="Z773" s="64" t="n"/>
      <c r="AA773" s="64" t="n"/>
      <c r="AB773" s="65" t="n"/>
      <c r="AC773" s="69" t="str">
        <f>IF(OR($G773="",NOT(ISNUMBER($K773)),$AK773=0),"",MAX(0,ReportDate-$K773))</f>
        <v/>
      </c>
      <c r="AD773" s="69" t="str">
        <f>IF($G773="","",IF($AL773=1,ReportDate-$L773,0))</f>
        <v/>
      </c>
      <c r="AE773" s="70" t="str">
        <f>IF($G773="","",IF($M773="Completed",1,IF(ISNUMBER($N773),$N773,0)))</f>
        <v/>
      </c>
      <c r="AF773" s="70" t="str">
        <f>IF(AND(ISNUMBER($Q773),ISNUMBER($R773)),IF($R773&lt;&gt;0,$Q773/$R773,""),"")</f>
        <v/>
      </c>
      <c r="AG773" s="71" t="str">
        <f>IF($G773="","",IF($AL773=1,"OVERDUE",IF($AM773=1,"BLOCKED",IF($AN773=1,"DUE TODAY",IF($AO773=1,"DUE TOMORROW",IF($AQ773=1,"HIGH PRIORITY",IF($AR773=1,"NO RECENT UPDATE",""))))))) </f>
        <v/>
      </c>
      <c r="AH773" s="71" t="str">
        <f>IF($G773="","",IF(ISNUMBER($A773),IF(ISNUMBER($A773),YEAR($A773)&amp;"-"&amp;TEXT(MONTH($A773),"00"),""),IF(ISNUMBER($L773),IF(ISNUMBER($L773),YEAR($L773)&amp;"-"&amp;TEXT(MONTH($L773),"00"),""),"")))</f>
        <v/>
      </c>
      <c r="AI773" s="71">
        <f>IF($G773="",0,IF(AND(OR(fClient="All",$C773=fClient),OR(fCampaign="All",$D773=fCampaign),OR(fTeam="All",$B773=fTeam),OR(fChannel="All",$F773=fChannel),OR(fMonth="All",$AH773=fMonth),OR(fTStatus="All",$M773=fTStatus)),1,0))</f>
        <v>0</v>
      </c>
      <c r="AJ773" s="71">
        <f>IF($G773="",0,IF(AND(OR(fClient="All",$C773=fClient),OR(fCampaign="All",$D773=fCampaign),OR(fTeam="All",$B773=fTeam),OR(fChannel="All",$F773=fChannel)),1,0))</f>
        <v>0</v>
      </c>
      <c r="AK773" s="71">
        <f>IF($G773="",0,IF(OR($M773="Completed",$M773="Cancelled"),0,1))</f>
        <v>0</v>
      </c>
      <c r="AL773" s="71">
        <f>IF(AND($AK773=1,ISNUMBER($L773)),IF($L773&lt;ReportDate,1,0),0)</f>
        <v>0</v>
      </c>
      <c r="AM773" s="71">
        <f>IF(AND($G773&lt;&gt;"",$M773="Blocked"),1,0)</f>
        <v>0</v>
      </c>
      <c r="AN773" s="71">
        <f>IF(AND($AK773=1,ISNUMBER($L773)),IF($L773=ReportDate,1,0),0)</f>
        <v>0</v>
      </c>
      <c r="AO773" s="71">
        <f>IF(AND($AK773=1,ISNUMBER($L773)),IF($L773=ReportDate+1,1,0),0)</f>
        <v>0</v>
      </c>
      <c r="AP773" s="71">
        <f>IF(AND($AK773=1,ISNUMBER($L773)),IF(AND($L773&gt;=ReportDate,$L773&lt;=ReportDate+DueSoonDays),1,0),0)</f>
        <v>0</v>
      </c>
      <c r="AQ773" s="71">
        <f>IF(AND($AK773=1,OR($I773="Critical",$I773="High")),1,0)</f>
        <v>0</v>
      </c>
      <c r="AR773" s="71">
        <f>IF($AK773=1,IF(ISNUMBER($Y773),IF(ReportDate-$Y773&gt;StaleDays,1,0),1),0)</f>
        <v>0</v>
      </c>
      <c r="AS773" s="71">
        <f>IF(AND($G773&lt;&gt;"",ISNUMBER($Q773),ISNUMBER($R773)),IF(AND($Q773&lt;$R773,OR($M773="Completed",AND(ISNUMBER($L773),$L773&lt;ReportDate))),1,0),0)</f>
        <v>0</v>
      </c>
      <c r="AT773" s="71">
        <f>IF($AK773=1,IF(OR($L773=ReportDate,$W773=ReportDate,$K773=ReportDate,$A773=ReportDate),1,0),0)</f>
        <v>0</v>
      </c>
      <c r="AU773" s="71">
        <f>IF($AK773=1,IF(OR($L773=ReportDate+1,$W773=ReportDate+1,$K773=ReportDate+1,$A773=ReportDate+1),1,0),0)</f>
        <v>0</v>
      </c>
      <c r="AV773" s="71">
        <f>IF(AND($G773&lt;&gt;"",$M773="Completed"),IF(OR($Y773=ReportDate-1,$A773=ReportDate-1),1,0),0)</f>
        <v>0</v>
      </c>
      <c r="AW773" s="71">
        <f>IF(AND($AK773=1,$Z773="Yes"),1,0)</f>
        <v>0</v>
      </c>
      <c r="AX773" s="71">
        <f>IF(AND($AK773=1,$AA773="Yes"),1,0)</f>
        <v>0</v>
      </c>
      <c r="AY773" s="71">
        <f>IF(AND($AM773=1,OR($I773="Critical",$I773="High")),1,0)</f>
        <v>0</v>
      </c>
      <c r="AZ773" s="71">
        <f>IF(AND($AK773=1,OR($C773=TCL_Client,$C773=MECCA_Client)),1,0)</f>
        <v>0</v>
      </c>
      <c r="BA773" s="71" t="str">
        <f>IF($G773="","",IFERROR(MATCH($I773,lst_Priority,0),5))</f>
        <v/>
      </c>
      <c r="BB773" s="71" t="str">
        <f>IF(AND($AL773=1,$AJ773=1),$BA773*100000+ROW(),"")</f>
        <v/>
      </c>
      <c r="BC773" s="71" t="str">
        <f>IF(AND($AM773=1,$AJ773=1),$BA773*100000+ROW(),"")</f>
        <v/>
      </c>
      <c r="BD773" s="71" t="str">
        <f>IF(AND($AP773=1,$AJ773=1),$BA773*100000+ROW(),"")</f>
        <v/>
      </c>
      <c r="BE773" s="71" t="str">
        <f>IF(AND($AT773=1,$AJ773=1),$BA773*100000+ROW(),"")</f>
        <v/>
      </c>
      <c r="BF773" s="71" t="str">
        <f>IF(AND($AU773=1,$AJ773=1),$BA773*100000+ROW(),"")</f>
        <v/>
      </c>
      <c r="BG773" s="71" t="str">
        <f>IF(AND($AV773=1,$AJ773=1),$BA773*100000+ROW(),"")</f>
        <v/>
      </c>
      <c r="BH773" s="71" t="str">
        <f>IF(AND($AW773=1,$AJ773=1),$BA773*100000+ROW(),"")</f>
        <v/>
      </c>
      <c r="BI773" s="71" t="str">
        <f>IF(AND($AX773=1,$AJ773=1),$BA773*100000+ROW(),"")</f>
        <v/>
      </c>
      <c r="BJ773" s="71" t="str">
        <f>IF(AND($AS773=1,$AJ773=1),$BA773*100000+ROW(),"")</f>
        <v/>
      </c>
      <c r="BK773" s="71" t="str">
        <f>IF(AND($AY773=1,$AJ773=1),$BA773*100000+ROW(),"")</f>
        <v/>
      </c>
      <c r="BL773" s="71" t="str">
        <f>IF(AND($AZ773=1),$BA773*100000+ROW(),"")</f>
        <v/>
      </c>
    </row>
    <row r="774">
      <c r="A774" s="63" t="n"/>
      <c r="B774" s="64" t="n"/>
      <c r="C774" s="64" t="n"/>
      <c r="D774" s="64" t="n"/>
      <c r="E774" s="64" t="n"/>
      <c r="F774" s="64" t="n"/>
      <c r="G774" s="65" t="n"/>
      <c r="H774" s="65" t="n"/>
      <c r="I774" s="64" t="n"/>
      <c r="J774" s="64" t="n"/>
      <c r="K774" s="63" t="n"/>
      <c r="L774" s="63" t="n"/>
      <c r="M774" s="64" t="n"/>
      <c r="N774" s="66" t="n"/>
      <c r="O774" s="65" t="n"/>
      <c r="P774" s="64" t="n"/>
      <c r="Q774" s="67" t="n"/>
      <c r="R774" s="67" t="n"/>
      <c r="S774" s="68" t="str">
        <f>IF(AND(ISNUMBER($Q774),ISNUMBER($R774)),$Q774-$R774,"")</f>
        <v/>
      </c>
      <c r="T774" s="65" t="n"/>
      <c r="U774" s="64" t="n"/>
      <c r="V774" s="65" t="n"/>
      <c r="W774" s="63" t="n"/>
      <c r="X774" s="65" t="n"/>
      <c r="Y774" s="63" t="n"/>
      <c r="Z774" s="64" t="n"/>
      <c r="AA774" s="64" t="n"/>
      <c r="AB774" s="65" t="n"/>
      <c r="AC774" s="69" t="str">
        <f>IF(OR($G774="",NOT(ISNUMBER($K774)),$AK774=0),"",MAX(0,ReportDate-$K774))</f>
        <v/>
      </c>
      <c r="AD774" s="69" t="str">
        <f>IF($G774="","",IF($AL774=1,ReportDate-$L774,0))</f>
        <v/>
      </c>
      <c r="AE774" s="70" t="str">
        <f>IF($G774="","",IF($M774="Completed",1,IF(ISNUMBER($N774),$N774,0)))</f>
        <v/>
      </c>
      <c r="AF774" s="70" t="str">
        <f>IF(AND(ISNUMBER($Q774),ISNUMBER($R774)),IF($R774&lt;&gt;0,$Q774/$R774,""),"")</f>
        <v/>
      </c>
      <c r="AG774" s="71" t="str">
        <f>IF($G774="","",IF($AL774=1,"OVERDUE",IF($AM774=1,"BLOCKED",IF($AN774=1,"DUE TODAY",IF($AO774=1,"DUE TOMORROW",IF($AQ774=1,"HIGH PRIORITY",IF($AR774=1,"NO RECENT UPDATE",""))))))) </f>
        <v/>
      </c>
      <c r="AH774" s="71" t="str">
        <f>IF($G774="","",IF(ISNUMBER($A774),IF(ISNUMBER($A774),YEAR($A774)&amp;"-"&amp;TEXT(MONTH($A774),"00"),""),IF(ISNUMBER($L774),IF(ISNUMBER($L774),YEAR($L774)&amp;"-"&amp;TEXT(MONTH($L774),"00"),""),"")))</f>
        <v/>
      </c>
      <c r="AI774" s="71">
        <f>IF($G774="",0,IF(AND(OR(fClient="All",$C774=fClient),OR(fCampaign="All",$D774=fCampaign),OR(fTeam="All",$B774=fTeam),OR(fChannel="All",$F774=fChannel),OR(fMonth="All",$AH774=fMonth),OR(fTStatus="All",$M774=fTStatus)),1,0))</f>
        <v>0</v>
      </c>
      <c r="AJ774" s="71">
        <f>IF($G774="",0,IF(AND(OR(fClient="All",$C774=fClient),OR(fCampaign="All",$D774=fCampaign),OR(fTeam="All",$B774=fTeam),OR(fChannel="All",$F774=fChannel)),1,0))</f>
        <v>0</v>
      </c>
      <c r="AK774" s="71">
        <f>IF($G774="",0,IF(OR($M774="Completed",$M774="Cancelled"),0,1))</f>
        <v>0</v>
      </c>
      <c r="AL774" s="71">
        <f>IF(AND($AK774=1,ISNUMBER($L774)),IF($L774&lt;ReportDate,1,0),0)</f>
        <v>0</v>
      </c>
      <c r="AM774" s="71">
        <f>IF(AND($G774&lt;&gt;"",$M774="Blocked"),1,0)</f>
        <v>0</v>
      </c>
      <c r="AN774" s="71">
        <f>IF(AND($AK774=1,ISNUMBER($L774)),IF($L774=ReportDate,1,0),0)</f>
        <v>0</v>
      </c>
      <c r="AO774" s="71">
        <f>IF(AND($AK774=1,ISNUMBER($L774)),IF($L774=ReportDate+1,1,0),0)</f>
        <v>0</v>
      </c>
      <c r="AP774" s="71">
        <f>IF(AND($AK774=1,ISNUMBER($L774)),IF(AND($L774&gt;=ReportDate,$L774&lt;=ReportDate+DueSoonDays),1,0),0)</f>
        <v>0</v>
      </c>
      <c r="AQ774" s="71">
        <f>IF(AND($AK774=1,OR($I774="Critical",$I774="High")),1,0)</f>
        <v>0</v>
      </c>
      <c r="AR774" s="71">
        <f>IF($AK774=1,IF(ISNUMBER($Y774),IF(ReportDate-$Y774&gt;StaleDays,1,0),1),0)</f>
        <v>0</v>
      </c>
      <c r="AS774" s="71">
        <f>IF(AND($G774&lt;&gt;"",ISNUMBER($Q774),ISNUMBER($R774)),IF(AND($Q774&lt;$R774,OR($M774="Completed",AND(ISNUMBER($L774),$L774&lt;ReportDate))),1,0),0)</f>
        <v>0</v>
      </c>
      <c r="AT774" s="71">
        <f>IF($AK774=1,IF(OR($L774=ReportDate,$W774=ReportDate,$K774=ReportDate,$A774=ReportDate),1,0),0)</f>
        <v>0</v>
      </c>
      <c r="AU774" s="71">
        <f>IF($AK774=1,IF(OR($L774=ReportDate+1,$W774=ReportDate+1,$K774=ReportDate+1,$A774=ReportDate+1),1,0),0)</f>
        <v>0</v>
      </c>
      <c r="AV774" s="71">
        <f>IF(AND($G774&lt;&gt;"",$M774="Completed"),IF(OR($Y774=ReportDate-1,$A774=ReportDate-1),1,0),0)</f>
        <v>0</v>
      </c>
      <c r="AW774" s="71">
        <f>IF(AND($AK774=1,$Z774="Yes"),1,0)</f>
        <v>0</v>
      </c>
      <c r="AX774" s="71">
        <f>IF(AND($AK774=1,$AA774="Yes"),1,0)</f>
        <v>0</v>
      </c>
      <c r="AY774" s="71">
        <f>IF(AND($AM774=1,OR($I774="Critical",$I774="High")),1,0)</f>
        <v>0</v>
      </c>
      <c r="AZ774" s="71">
        <f>IF(AND($AK774=1,OR($C774=TCL_Client,$C774=MECCA_Client)),1,0)</f>
        <v>0</v>
      </c>
      <c r="BA774" s="71" t="str">
        <f>IF($G774="","",IFERROR(MATCH($I774,lst_Priority,0),5))</f>
        <v/>
      </c>
      <c r="BB774" s="71" t="str">
        <f>IF(AND($AL774=1,$AJ774=1),$BA774*100000+ROW(),"")</f>
        <v/>
      </c>
      <c r="BC774" s="71" t="str">
        <f>IF(AND($AM774=1,$AJ774=1),$BA774*100000+ROW(),"")</f>
        <v/>
      </c>
      <c r="BD774" s="71" t="str">
        <f>IF(AND($AP774=1,$AJ774=1),$BA774*100000+ROW(),"")</f>
        <v/>
      </c>
      <c r="BE774" s="71" t="str">
        <f>IF(AND($AT774=1,$AJ774=1),$BA774*100000+ROW(),"")</f>
        <v/>
      </c>
      <c r="BF774" s="71" t="str">
        <f>IF(AND($AU774=1,$AJ774=1),$BA774*100000+ROW(),"")</f>
        <v/>
      </c>
      <c r="BG774" s="71" t="str">
        <f>IF(AND($AV774=1,$AJ774=1),$BA774*100000+ROW(),"")</f>
        <v/>
      </c>
      <c r="BH774" s="71" t="str">
        <f>IF(AND($AW774=1,$AJ774=1),$BA774*100000+ROW(),"")</f>
        <v/>
      </c>
      <c r="BI774" s="71" t="str">
        <f>IF(AND($AX774=1,$AJ774=1),$BA774*100000+ROW(),"")</f>
        <v/>
      </c>
      <c r="BJ774" s="71" t="str">
        <f>IF(AND($AS774=1,$AJ774=1),$BA774*100000+ROW(),"")</f>
        <v/>
      </c>
      <c r="BK774" s="71" t="str">
        <f>IF(AND($AY774=1,$AJ774=1),$BA774*100000+ROW(),"")</f>
        <v/>
      </c>
      <c r="BL774" s="71" t="str">
        <f>IF(AND($AZ774=1),$BA774*100000+ROW(),"")</f>
        <v/>
      </c>
    </row>
    <row r="775">
      <c r="A775" s="63" t="n"/>
      <c r="B775" s="64" t="n"/>
      <c r="C775" s="64" t="n"/>
      <c r="D775" s="64" t="n"/>
      <c r="E775" s="64" t="n"/>
      <c r="F775" s="64" t="n"/>
      <c r="G775" s="65" t="n"/>
      <c r="H775" s="65" t="n"/>
      <c r="I775" s="64" t="n"/>
      <c r="J775" s="64" t="n"/>
      <c r="K775" s="63" t="n"/>
      <c r="L775" s="63" t="n"/>
      <c r="M775" s="64" t="n"/>
      <c r="N775" s="66" t="n"/>
      <c r="O775" s="65" t="n"/>
      <c r="P775" s="64" t="n"/>
      <c r="Q775" s="67" t="n"/>
      <c r="R775" s="67" t="n"/>
      <c r="S775" s="68" t="str">
        <f>IF(AND(ISNUMBER($Q775),ISNUMBER($R775)),$Q775-$R775,"")</f>
        <v/>
      </c>
      <c r="T775" s="65" t="n"/>
      <c r="U775" s="64" t="n"/>
      <c r="V775" s="65" t="n"/>
      <c r="W775" s="63" t="n"/>
      <c r="X775" s="65" t="n"/>
      <c r="Y775" s="63" t="n"/>
      <c r="Z775" s="64" t="n"/>
      <c r="AA775" s="64" t="n"/>
      <c r="AB775" s="65" t="n"/>
      <c r="AC775" s="69" t="str">
        <f>IF(OR($G775="",NOT(ISNUMBER($K775)),$AK775=0),"",MAX(0,ReportDate-$K775))</f>
        <v/>
      </c>
      <c r="AD775" s="69" t="str">
        <f>IF($G775="","",IF($AL775=1,ReportDate-$L775,0))</f>
        <v/>
      </c>
      <c r="AE775" s="70" t="str">
        <f>IF($G775="","",IF($M775="Completed",1,IF(ISNUMBER($N775),$N775,0)))</f>
        <v/>
      </c>
      <c r="AF775" s="70" t="str">
        <f>IF(AND(ISNUMBER($Q775),ISNUMBER($R775)),IF($R775&lt;&gt;0,$Q775/$R775,""),"")</f>
        <v/>
      </c>
      <c r="AG775" s="71" t="str">
        <f>IF($G775="","",IF($AL775=1,"OVERDUE",IF($AM775=1,"BLOCKED",IF($AN775=1,"DUE TODAY",IF($AO775=1,"DUE TOMORROW",IF($AQ775=1,"HIGH PRIORITY",IF($AR775=1,"NO RECENT UPDATE",""))))))) </f>
        <v/>
      </c>
      <c r="AH775" s="71" t="str">
        <f>IF($G775="","",IF(ISNUMBER($A775),IF(ISNUMBER($A775),YEAR($A775)&amp;"-"&amp;TEXT(MONTH($A775),"00"),""),IF(ISNUMBER($L775),IF(ISNUMBER($L775),YEAR($L775)&amp;"-"&amp;TEXT(MONTH($L775),"00"),""),"")))</f>
        <v/>
      </c>
      <c r="AI775" s="71">
        <f>IF($G775="",0,IF(AND(OR(fClient="All",$C775=fClient),OR(fCampaign="All",$D775=fCampaign),OR(fTeam="All",$B775=fTeam),OR(fChannel="All",$F775=fChannel),OR(fMonth="All",$AH775=fMonth),OR(fTStatus="All",$M775=fTStatus)),1,0))</f>
        <v>0</v>
      </c>
      <c r="AJ775" s="71">
        <f>IF($G775="",0,IF(AND(OR(fClient="All",$C775=fClient),OR(fCampaign="All",$D775=fCampaign),OR(fTeam="All",$B775=fTeam),OR(fChannel="All",$F775=fChannel)),1,0))</f>
        <v>0</v>
      </c>
      <c r="AK775" s="71">
        <f>IF($G775="",0,IF(OR($M775="Completed",$M775="Cancelled"),0,1))</f>
        <v>0</v>
      </c>
      <c r="AL775" s="71">
        <f>IF(AND($AK775=1,ISNUMBER($L775)),IF($L775&lt;ReportDate,1,0),0)</f>
        <v>0</v>
      </c>
      <c r="AM775" s="71">
        <f>IF(AND($G775&lt;&gt;"",$M775="Blocked"),1,0)</f>
        <v>0</v>
      </c>
      <c r="AN775" s="71">
        <f>IF(AND($AK775=1,ISNUMBER($L775)),IF($L775=ReportDate,1,0),0)</f>
        <v>0</v>
      </c>
      <c r="AO775" s="71">
        <f>IF(AND($AK775=1,ISNUMBER($L775)),IF($L775=ReportDate+1,1,0),0)</f>
        <v>0</v>
      </c>
      <c r="AP775" s="71">
        <f>IF(AND($AK775=1,ISNUMBER($L775)),IF(AND($L775&gt;=ReportDate,$L775&lt;=ReportDate+DueSoonDays),1,0),0)</f>
        <v>0</v>
      </c>
      <c r="AQ775" s="71">
        <f>IF(AND($AK775=1,OR($I775="Critical",$I775="High")),1,0)</f>
        <v>0</v>
      </c>
      <c r="AR775" s="71">
        <f>IF($AK775=1,IF(ISNUMBER($Y775),IF(ReportDate-$Y775&gt;StaleDays,1,0),1),0)</f>
        <v>0</v>
      </c>
      <c r="AS775" s="71">
        <f>IF(AND($G775&lt;&gt;"",ISNUMBER($Q775),ISNUMBER($R775)),IF(AND($Q775&lt;$R775,OR($M775="Completed",AND(ISNUMBER($L775),$L775&lt;ReportDate))),1,0),0)</f>
        <v>0</v>
      </c>
      <c r="AT775" s="71">
        <f>IF($AK775=1,IF(OR($L775=ReportDate,$W775=ReportDate,$K775=ReportDate,$A775=ReportDate),1,0),0)</f>
        <v>0</v>
      </c>
      <c r="AU775" s="71">
        <f>IF($AK775=1,IF(OR($L775=ReportDate+1,$W775=ReportDate+1,$K775=ReportDate+1,$A775=ReportDate+1),1,0),0)</f>
        <v>0</v>
      </c>
      <c r="AV775" s="71">
        <f>IF(AND($G775&lt;&gt;"",$M775="Completed"),IF(OR($Y775=ReportDate-1,$A775=ReportDate-1),1,0),0)</f>
        <v>0</v>
      </c>
      <c r="AW775" s="71">
        <f>IF(AND($AK775=1,$Z775="Yes"),1,0)</f>
        <v>0</v>
      </c>
      <c r="AX775" s="71">
        <f>IF(AND($AK775=1,$AA775="Yes"),1,0)</f>
        <v>0</v>
      </c>
      <c r="AY775" s="71">
        <f>IF(AND($AM775=1,OR($I775="Critical",$I775="High")),1,0)</f>
        <v>0</v>
      </c>
      <c r="AZ775" s="71">
        <f>IF(AND($AK775=1,OR($C775=TCL_Client,$C775=MECCA_Client)),1,0)</f>
        <v>0</v>
      </c>
      <c r="BA775" s="71" t="str">
        <f>IF($G775="","",IFERROR(MATCH($I775,lst_Priority,0),5))</f>
        <v/>
      </c>
      <c r="BB775" s="71" t="str">
        <f>IF(AND($AL775=1,$AJ775=1),$BA775*100000+ROW(),"")</f>
        <v/>
      </c>
      <c r="BC775" s="71" t="str">
        <f>IF(AND($AM775=1,$AJ775=1),$BA775*100000+ROW(),"")</f>
        <v/>
      </c>
      <c r="BD775" s="71" t="str">
        <f>IF(AND($AP775=1,$AJ775=1),$BA775*100000+ROW(),"")</f>
        <v/>
      </c>
      <c r="BE775" s="71" t="str">
        <f>IF(AND($AT775=1,$AJ775=1),$BA775*100000+ROW(),"")</f>
        <v/>
      </c>
      <c r="BF775" s="71" t="str">
        <f>IF(AND($AU775=1,$AJ775=1),$BA775*100000+ROW(),"")</f>
        <v/>
      </c>
      <c r="BG775" s="71" t="str">
        <f>IF(AND($AV775=1,$AJ775=1),$BA775*100000+ROW(),"")</f>
        <v/>
      </c>
      <c r="BH775" s="71" t="str">
        <f>IF(AND($AW775=1,$AJ775=1),$BA775*100000+ROW(),"")</f>
        <v/>
      </c>
      <c r="BI775" s="71" t="str">
        <f>IF(AND($AX775=1,$AJ775=1),$BA775*100000+ROW(),"")</f>
        <v/>
      </c>
      <c r="BJ775" s="71" t="str">
        <f>IF(AND($AS775=1,$AJ775=1),$BA775*100000+ROW(),"")</f>
        <v/>
      </c>
      <c r="BK775" s="71" t="str">
        <f>IF(AND($AY775=1,$AJ775=1),$BA775*100000+ROW(),"")</f>
        <v/>
      </c>
      <c r="BL775" s="71" t="str">
        <f>IF(AND($AZ775=1),$BA775*100000+ROW(),"")</f>
        <v/>
      </c>
    </row>
    <row r="776">
      <c r="A776" s="63" t="n"/>
      <c r="B776" s="64" t="n"/>
      <c r="C776" s="64" t="n"/>
      <c r="D776" s="64" t="n"/>
      <c r="E776" s="64" t="n"/>
      <c r="F776" s="64" t="n"/>
      <c r="G776" s="65" t="n"/>
      <c r="H776" s="65" t="n"/>
      <c r="I776" s="64" t="n"/>
      <c r="J776" s="64" t="n"/>
      <c r="K776" s="63" t="n"/>
      <c r="L776" s="63" t="n"/>
      <c r="M776" s="64" t="n"/>
      <c r="N776" s="66" t="n"/>
      <c r="O776" s="65" t="n"/>
      <c r="P776" s="64" t="n"/>
      <c r="Q776" s="67" t="n"/>
      <c r="R776" s="67" t="n"/>
      <c r="S776" s="68" t="str">
        <f>IF(AND(ISNUMBER($Q776),ISNUMBER($R776)),$Q776-$R776,"")</f>
        <v/>
      </c>
      <c r="T776" s="65" t="n"/>
      <c r="U776" s="64" t="n"/>
      <c r="V776" s="65" t="n"/>
      <c r="W776" s="63" t="n"/>
      <c r="X776" s="65" t="n"/>
      <c r="Y776" s="63" t="n"/>
      <c r="Z776" s="64" t="n"/>
      <c r="AA776" s="64" t="n"/>
      <c r="AB776" s="65" t="n"/>
      <c r="AC776" s="69" t="str">
        <f>IF(OR($G776="",NOT(ISNUMBER($K776)),$AK776=0),"",MAX(0,ReportDate-$K776))</f>
        <v/>
      </c>
      <c r="AD776" s="69" t="str">
        <f>IF($G776="","",IF($AL776=1,ReportDate-$L776,0))</f>
        <v/>
      </c>
      <c r="AE776" s="70" t="str">
        <f>IF($G776="","",IF($M776="Completed",1,IF(ISNUMBER($N776),$N776,0)))</f>
        <v/>
      </c>
      <c r="AF776" s="70" t="str">
        <f>IF(AND(ISNUMBER($Q776),ISNUMBER($R776)),IF($R776&lt;&gt;0,$Q776/$R776,""),"")</f>
        <v/>
      </c>
      <c r="AG776" s="71" t="str">
        <f>IF($G776="","",IF($AL776=1,"OVERDUE",IF($AM776=1,"BLOCKED",IF($AN776=1,"DUE TODAY",IF($AO776=1,"DUE TOMORROW",IF($AQ776=1,"HIGH PRIORITY",IF($AR776=1,"NO RECENT UPDATE",""))))))) </f>
        <v/>
      </c>
      <c r="AH776" s="71" t="str">
        <f>IF($G776="","",IF(ISNUMBER($A776),IF(ISNUMBER($A776),YEAR($A776)&amp;"-"&amp;TEXT(MONTH($A776),"00"),""),IF(ISNUMBER($L776),IF(ISNUMBER($L776),YEAR($L776)&amp;"-"&amp;TEXT(MONTH($L776),"00"),""),"")))</f>
        <v/>
      </c>
      <c r="AI776" s="71">
        <f>IF($G776="",0,IF(AND(OR(fClient="All",$C776=fClient),OR(fCampaign="All",$D776=fCampaign),OR(fTeam="All",$B776=fTeam),OR(fChannel="All",$F776=fChannel),OR(fMonth="All",$AH776=fMonth),OR(fTStatus="All",$M776=fTStatus)),1,0))</f>
        <v>0</v>
      </c>
      <c r="AJ776" s="71">
        <f>IF($G776="",0,IF(AND(OR(fClient="All",$C776=fClient),OR(fCampaign="All",$D776=fCampaign),OR(fTeam="All",$B776=fTeam),OR(fChannel="All",$F776=fChannel)),1,0))</f>
        <v>0</v>
      </c>
      <c r="AK776" s="71">
        <f>IF($G776="",0,IF(OR($M776="Completed",$M776="Cancelled"),0,1))</f>
        <v>0</v>
      </c>
      <c r="AL776" s="71">
        <f>IF(AND($AK776=1,ISNUMBER($L776)),IF($L776&lt;ReportDate,1,0),0)</f>
        <v>0</v>
      </c>
      <c r="AM776" s="71">
        <f>IF(AND($G776&lt;&gt;"",$M776="Blocked"),1,0)</f>
        <v>0</v>
      </c>
      <c r="AN776" s="71">
        <f>IF(AND($AK776=1,ISNUMBER($L776)),IF($L776=ReportDate,1,0),0)</f>
        <v>0</v>
      </c>
      <c r="AO776" s="71">
        <f>IF(AND($AK776=1,ISNUMBER($L776)),IF($L776=ReportDate+1,1,0),0)</f>
        <v>0</v>
      </c>
      <c r="AP776" s="71">
        <f>IF(AND($AK776=1,ISNUMBER($L776)),IF(AND($L776&gt;=ReportDate,$L776&lt;=ReportDate+DueSoonDays),1,0),0)</f>
        <v>0</v>
      </c>
      <c r="AQ776" s="71">
        <f>IF(AND($AK776=1,OR($I776="Critical",$I776="High")),1,0)</f>
        <v>0</v>
      </c>
      <c r="AR776" s="71">
        <f>IF($AK776=1,IF(ISNUMBER($Y776),IF(ReportDate-$Y776&gt;StaleDays,1,0),1),0)</f>
        <v>0</v>
      </c>
      <c r="AS776" s="71">
        <f>IF(AND($G776&lt;&gt;"",ISNUMBER($Q776),ISNUMBER($R776)),IF(AND($Q776&lt;$R776,OR($M776="Completed",AND(ISNUMBER($L776),$L776&lt;ReportDate))),1,0),0)</f>
        <v>0</v>
      </c>
      <c r="AT776" s="71">
        <f>IF($AK776=1,IF(OR($L776=ReportDate,$W776=ReportDate,$K776=ReportDate,$A776=ReportDate),1,0),0)</f>
        <v>0</v>
      </c>
      <c r="AU776" s="71">
        <f>IF($AK776=1,IF(OR($L776=ReportDate+1,$W776=ReportDate+1,$K776=ReportDate+1,$A776=ReportDate+1),1,0),0)</f>
        <v>0</v>
      </c>
      <c r="AV776" s="71">
        <f>IF(AND($G776&lt;&gt;"",$M776="Completed"),IF(OR($Y776=ReportDate-1,$A776=ReportDate-1),1,0),0)</f>
        <v>0</v>
      </c>
      <c r="AW776" s="71">
        <f>IF(AND($AK776=1,$Z776="Yes"),1,0)</f>
        <v>0</v>
      </c>
      <c r="AX776" s="71">
        <f>IF(AND($AK776=1,$AA776="Yes"),1,0)</f>
        <v>0</v>
      </c>
      <c r="AY776" s="71">
        <f>IF(AND($AM776=1,OR($I776="Critical",$I776="High")),1,0)</f>
        <v>0</v>
      </c>
      <c r="AZ776" s="71">
        <f>IF(AND($AK776=1,OR($C776=TCL_Client,$C776=MECCA_Client)),1,0)</f>
        <v>0</v>
      </c>
      <c r="BA776" s="71" t="str">
        <f>IF($G776="","",IFERROR(MATCH($I776,lst_Priority,0),5))</f>
        <v/>
      </c>
      <c r="BB776" s="71" t="str">
        <f>IF(AND($AL776=1,$AJ776=1),$BA776*100000+ROW(),"")</f>
        <v/>
      </c>
      <c r="BC776" s="71" t="str">
        <f>IF(AND($AM776=1,$AJ776=1),$BA776*100000+ROW(),"")</f>
        <v/>
      </c>
      <c r="BD776" s="71" t="str">
        <f>IF(AND($AP776=1,$AJ776=1),$BA776*100000+ROW(),"")</f>
        <v/>
      </c>
      <c r="BE776" s="71" t="str">
        <f>IF(AND($AT776=1,$AJ776=1),$BA776*100000+ROW(),"")</f>
        <v/>
      </c>
      <c r="BF776" s="71" t="str">
        <f>IF(AND($AU776=1,$AJ776=1),$BA776*100000+ROW(),"")</f>
        <v/>
      </c>
      <c r="BG776" s="71" t="str">
        <f>IF(AND($AV776=1,$AJ776=1),$BA776*100000+ROW(),"")</f>
        <v/>
      </c>
      <c r="BH776" s="71" t="str">
        <f>IF(AND($AW776=1,$AJ776=1),$BA776*100000+ROW(),"")</f>
        <v/>
      </c>
      <c r="BI776" s="71" t="str">
        <f>IF(AND($AX776=1,$AJ776=1),$BA776*100000+ROW(),"")</f>
        <v/>
      </c>
      <c r="BJ776" s="71" t="str">
        <f>IF(AND($AS776=1,$AJ776=1),$BA776*100000+ROW(),"")</f>
        <v/>
      </c>
      <c r="BK776" s="71" t="str">
        <f>IF(AND($AY776=1,$AJ776=1),$BA776*100000+ROW(),"")</f>
        <v/>
      </c>
      <c r="BL776" s="71" t="str">
        <f>IF(AND($AZ776=1),$BA776*100000+ROW(),"")</f>
        <v/>
      </c>
    </row>
    <row r="777">
      <c r="A777" s="63" t="n"/>
      <c r="B777" s="64" t="n"/>
      <c r="C777" s="64" t="n"/>
      <c r="D777" s="64" t="n"/>
      <c r="E777" s="64" t="n"/>
      <c r="F777" s="64" t="n"/>
      <c r="G777" s="65" t="n"/>
      <c r="H777" s="65" t="n"/>
      <c r="I777" s="64" t="n"/>
      <c r="J777" s="64" t="n"/>
      <c r="K777" s="63" t="n"/>
      <c r="L777" s="63" t="n"/>
      <c r="M777" s="64" t="n"/>
      <c r="N777" s="66" t="n"/>
      <c r="O777" s="65" t="n"/>
      <c r="P777" s="64" t="n"/>
      <c r="Q777" s="67" t="n"/>
      <c r="R777" s="67" t="n"/>
      <c r="S777" s="68" t="str">
        <f>IF(AND(ISNUMBER($Q777),ISNUMBER($R777)),$Q777-$R777,"")</f>
        <v/>
      </c>
      <c r="T777" s="65" t="n"/>
      <c r="U777" s="64" t="n"/>
      <c r="V777" s="65" t="n"/>
      <c r="W777" s="63" t="n"/>
      <c r="X777" s="65" t="n"/>
      <c r="Y777" s="63" t="n"/>
      <c r="Z777" s="64" t="n"/>
      <c r="AA777" s="64" t="n"/>
      <c r="AB777" s="65" t="n"/>
      <c r="AC777" s="69" t="str">
        <f>IF(OR($G777="",NOT(ISNUMBER($K777)),$AK777=0),"",MAX(0,ReportDate-$K777))</f>
        <v/>
      </c>
      <c r="AD777" s="69" t="str">
        <f>IF($G777="","",IF($AL777=1,ReportDate-$L777,0))</f>
        <v/>
      </c>
      <c r="AE777" s="70" t="str">
        <f>IF($G777="","",IF($M777="Completed",1,IF(ISNUMBER($N777),$N777,0)))</f>
        <v/>
      </c>
      <c r="AF777" s="70" t="str">
        <f>IF(AND(ISNUMBER($Q777),ISNUMBER($R777)),IF($R777&lt;&gt;0,$Q777/$R777,""),"")</f>
        <v/>
      </c>
      <c r="AG777" s="71" t="str">
        <f>IF($G777="","",IF($AL777=1,"OVERDUE",IF($AM777=1,"BLOCKED",IF($AN777=1,"DUE TODAY",IF($AO777=1,"DUE TOMORROW",IF($AQ777=1,"HIGH PRIORITY",IF($AR777=1,"NO RECENT UPDATE",""))))))) </f>
        <v/>
      </c>
      <c r="AH777" s="71" t="str">
        <f>IF($G777="","",IF(ISNUMBER($A777),IF(ISNUMBER($A777),YEAR($A777)&amp;"-"&amp;TEXT(MONTH($A777),"00"),""),IF(ISNUMBER($L777),IF(ISNUMBER($L777),YEAR($L777)&amp;"-"&amp;TEXT(MONTH($L777),"00"),""),"")))</f>
        <v/>
      </c>
      <c r="AI777" s="71">
        <f>IF($G777="",0,IF(AND(OR(fClient="All",$C777=fClient),OR(fCampaign="All",$D777=fCampaign),OR(fTeam="All",$B777=fTeam),OR(fChannel="All",$F777=fChannel),OR(fMonth="All",$AH777=fMonth),OR(fTStatus="All",$M777=fTStatus)),1,0))</f>
        <v>0</v>
      </c>
      <c r="AJ777" s="71">
        <f>IF($G777="",0,IF(AND(OR(fClient="All",$C777=fClient),OR(fCampaign="All",$D777=fCampaign),OR(fTeam="All",$B777=fTeam),OR(fChannel="All",$F777=fChannel)),1,0))</f>
        <v>0</v>
      </c>
      <c r="AK777" s="71">
        <f>IF($G777="",0,IF(OR($M777="Completed",$M777="Cancelled"),0,1))</f>
        <v>0</v>
      </c>
      <c r="AL777" s="71">
        <f>IF(AND($AK777=1,ISNUMBER($L777)),IF($L777&lt;ReportDate,1,0),0)</f>
        <v>0</v>
      </c>
      <c r="AM777" s="71">
        <f>IF(AND($G777&lt;&gt;"",$M777="Blocked"),1,0)</f>
        <v>0</v>
      </c>
      <c r="AN777" s="71">
        <f>IF(AND($AK777=1,ISNUMBER($L777)),IF($L777=ReportDate,1,0),0)</f>
        <v>0</v>
      </c>
      <c r="AO777" s="71">
        <f>IF(AND($AK777=1,ISNUMBER($L777)),IF($L777=ReportDate+1,1,0),0)</f>
        <v>0</v>
      </c>
      <c r="AP777" s="71">
        <f>IF(AND($AK777=1,ISNUMBER($L777)),IF(AND($L777&gt;=ReportDate,$L777&lt;=ReportDate+DueSoonDays),1,0),0)</f>
        <v>0</v>
      </c>
      <c r="AQ777" s="71">
        <f>IF(AND($AK777=1,OR($I777="Critical",$I777="High")),1,0)</f>
        <v>0</v>
      </c>
      <c r="AR777" s="71">
        <f>IF($AK777=1,IF(ISNUMBER($Y777),IF(ReportDate-$Y777&gt;StaleDays,1,0),1),0)</f>
        <v>0</v>
      </c>
      <c r="AS777" s="71">
        <f>IF(AND($G777&lt;&gt;"",ISNUMBER($Q777),ISNUMBER($R777)),IF(AND($Q777&lt;$R777,OR($M777="Completed",AND(ISNUMBER($L777),$L777&lt;ReportDate))),1,0),0)</f>
        <v>0</v>
      </c>
      <c r="AT777" s="71">
        <f>IF($AK777=1,IF(OR($L777=ReportDate,$W777=ReportDate,$K777=ReportDate,$A777=ReportDate),1,0),0)</f>
        <v>0</v>
      </c>
      <c r="AU777" s="71">
        <f>IF($AK777=1,IF(OR($L777=ReportDate+1,$W777=ReportDate+1,$K777=ReportDate+1,$A777=ReportDate+1),1,0),0)</f>
        <v>0</v>
      </c>
      <c r="AV777" s="71">
        <f>IF(AND($G777&lt;&gt;"",$M777="Completed"),IF(OR($Y777=ReportDate-1,$A777=ReportDate-1),1,0),0)</f>
        <v>0</v>
      </c>
      <c r="AW777" s="71">
        <f>IF(AND($AK777=1,$Z777="Yes"),1,0)</f>
        <v>0</v>
      </c>
      <c r="AX777" s="71">
        <f>IF(AND($AK777=1,$AA777="Yes"),1,0)</f>
        <v>0</v>
      </c>
      <c r="AY777" s="71">
        <f>IF(AND($AM777=1,OR($I777="Critical",$I777="High")),1,0)</f>
        <v>0</v>
      </c>
      <c r="AZ777" s="71">
        <f>IF(AND($AK777=1,OR($C777=TCL_Client,$C777=MECCA_Client)),1,0)</f>
        <v>0</v>
      </c>
      <c r="BA777" s="71" t="str">
        <f>IF($G777="","",IFERROR(MATCH($I777,lst_Priority,0),5))</f>
        <v/>
      </c>
      <c r="BB777" s="71" t="str">
        <f>IF(AND($AL777=1,$AJ777=1),$BA777*100000+ROW(),"")</f>
        <v/>
      </c>
      <c r="BC777" s="71" t="str">
        <f>IF(AND($AM777=1,$AJ777=1),$BA777*100000+ROW(),"")</f>
        <v/>
      </c>
      <c r="BD777" s="71" t="str">
        <f>IF(AND($AP777=1,$AJ777=1),$BA777*100000+ROW(),"")</f>
        <v/>
      </c>
      <c r="BE777" s="71" t="str">
        <f>IF(AND($AT777=1,$AJ777=1),$BA777*100000+ROW(),"")</f>
        <v/>
      </c>
      <c r="BF777" s="71" t="str">
        <f>IF(AND($AU777=1,$AJ777=1),$BA777*100000+ROW(),"")</f>
        <v/>
      </c>
      <c r="BG777" s="71" t="str">
        <f>IF(AND($AV777=1,$AJ777=1),$BA777*100000+ROW(),"")</f>
        <v/>
      </c>
      <c r="BH777" s="71" t="str">
        <f>IF(AND($AW777=1,$AJ777=1),$BA777*100000+ROW(),"")</f>
        <v/>
      </c>
      <c r="BI777" s="71" t="str">
        <f>IF(AND($AX777=1,$AJ777=1),$BA777*100000+ROW(),"")</f>
        <v/>
      </c>
      <c r="BJ777" s="71" t="str">
        <f>IF(AND($AS777=1,$AJ777=1),$BA777*100000+ROW(),"")</f>
        <v/>
      </c>
      <c r="BK777" s="71" t="str">
        <f>IF(AND($AY777=1,$AJ777=1),$BA777*100000+ROW(),"")</f>
        <v/>
      </c>
      <c r="BL777" s="71" t="str">
        <f>IF(AND($AZ777=1),$BA777*100000+ROW(),"")</f>
        <v/>
      </c>
    </row>
    <row r="778">
      <c r="A778" s="63" t="n"/>
      <c r="B778" s="64" t="n"/>
      <c r="C778" s="64" t="n"/>
      <c r="D778" s="64" t="n"/>
      <c r="E778" s="64" t="n"/>
      <c r="F778" s="64" t="n"/>
      <c r="G778" s="65" t="n"/>
      <c r="H778" s="65" t="n"/>
      <c r="I778" s="64" t="n"/>
      <c r="J778" s="64" t="n"/>
      <c r="K778" s="63" t="n"/>
      <c r="L778" s="63" t="n"/>
      <c r="M778" s="64" t="n"/>
      <c r="N778" s="66" t="n"/>
      <c r="O778" s="65" t="n"/>
      <c r="P778" s="64" t="n"/>
      <c r="Q778" s="67" t="n"/>
      <c r="R778" s="67" t="n"/>
      <c r="S778" s="68" t="str">
        <f>IF(AND(ISNUMBER($Q778),ISNUMBER($R778)),$Q778-$R778,"")</f>
        <v/>
      </c>
      <c r="T778" s="65" t="n"/>
      <c r="U778" s="64" t="n"/>
      <c r="V778" s="65" t="n"/>
      <c r="W778" s="63" t="n"/>
      <c r="X778" s="65" t="n"/>
      <c r="Y778" s="63" t="n"/>
      <c r="Z778" s="64" t="n"/>
      <c r="AA778" s="64" t="n"/>
      <c r="AB778" s="65" t="n"/>
      <c r="AC778" s="69" t="str">
        <f>IF(OR($G778="",NOT(ISNUMBER($K778)),$AK778=0),"",MAX(0,ReportDate-$K778))</f>
        <v/>
      </c>
      <c r="AD778" s="69" t="str">
        <f>IF($G778="","",IF($AL778=1,ReportDate-$L778,0))</f>
        <v/>
      </c>
      <c r="AE778" s="70" t="str">
        <f>IF($G778="","",IF($M778="Completed",1,IF(ISNUMBER($N778),$N778,0)))</f>
        <v/>
      </c>
      <c r="AF778" s="70" t="str">
        <f>IF(AND(ISNUMBER($Q778),ISNUMBER($R778)),IF($R778&lt;&gt;0,$Q778/$R778,""),"")</f>
        <v/>
      </c>
      <c r="AG778" s="71" t="str">
        <f>IF($G778="","",IF($AL778=1,"OVERDUE",IF($AM778=1,"BLOCKED",IF($AN778=1,"DUE TODAY",IF($AO778=1,"DUE TOMORROW",IF($AQ778=1,"HIGH PRIORITY",IF($AR778=1,"NO RECENT UPDATE",""))))))) </f>
        <v/>
      </c>
      <c r="AH778" s="71" t="str">
        <f>IF($G778="","",IF(ISNUMBER($A778),IF(ISNUMBER($A778),YEAR($A778)&amp;"-"&amp;TEXT(MONTH($A778),"00"),""),IF(ISNUMBER($L778),IF(ISNUMBER($L778),YEAR($L778)&amp;"-"&amp;TEXT(MONTH($L778),"00"),""),"")))</f>
        <v/>
      </c>
      <c r="AI778" s="71">
        <f>IF($G778="",0,IF(AND(OR(fClient="All",$C778=fClient),OR(fCampaign="All",$D778=fCampaign),OR(fTeam="All",$B778=fTeam),OR(fChannel="All",$F778=fChannel),OR(fMonth="All",$AH778=fMonth),OR(fTStatus="All",$M778=fTStatus)),1,0))</f>
        <v>0</v>
      </c>
      <c r="AJ778" s="71">
        <f>IF($G778="",0,IF(AND(OR(fClient="All",$C778=fClient),OR(fCampaign="All",$D778=fCampaign),OR(fTeam="All",$B778=fTeam),OR(fChannel="All",$F778=fChannel)),1,0))</f>
        <v>0</v>
      </c>
      <c r="AK778" s="71">
        <f>IF($G778="",0,IF(OR($M778="Completed",$M778="Cancelled"),0,1))</f>
        <v>0</v>
      </c>
      <c r="AL778" s="71">
        <f>IF(AND($AK778=1,ISNUMBER($L778)),IF($L778&lt;ReportDate,1,0),0)</f>
        <v>0</v>
      </c>
      <c r="AM778" s="71">
        <f>IF(AND($G778&lt;&gt;"",$M778="Blocked"),1,0)</f>
        <v>0</v>
      </c>
      <c r="AN778" s="71">
        <f>IF(AND($AK778=1,ISNUMBER($L778)),IF($L778=ReportDate,1,0),0)</f>
        <v>0</v>
      </c>
      <c r="AO778" s="71">
        <f>IF(AND($AK778=1,ISNUMBER($L778)),IF($L778=ReportDate+1,1,0),0)</f>
        <v>0</v>
      </c>
      <c r="AP778" s="71">
        <f>IF(AND($AK778=1,ISNUMBER($L778)),IF(AND($L778&gt;=ReportDate,$L778&lt;=ReportDate+DueSoonDays),1,0),0)</f>
        <v>0</v>
      </c>
      <c r="AQ778" s="71">
        <f>IF(AND($AK778=1,OR($I778="Critical",$I778="High")),1,0)</f>
        <v>0</v>
      </c>
      <c r="AR778" s="71">
        <f>IF($AK778=1,IF(ISNUMBER($Y778),IF(ReportDate-$Y778&gt;StaleDays,1,0),1),0)</f>
        <v>0</v>
      </c>
      <c r="AS778" s="71">
        <f>IF(AND($G778&lt;&gt;"",ISNUMBER($Q778),ISNUMBER($R778)),IF(AND($Q778&lt;$R778,OR($M778="Completed",AND(ISNUMBER($L778),$L778&lt;ReportDate))),1,0),0)</f>
        <v>0</v>
      </c>
      <c r="AT778" s="71">
        <f>IF($AK778=1,IF(OR($L778=ReportDate,$W778=ReportDate,$K778=ReportDate,$A778=ReportDate),1,0),0)</f>
        <v>0</v>
      </c>
      <c r="AU778" s="71">
        <f>IF($AK778=1,IF(OR($L778=ReportDate+1,$W778=ReportDate+1,$K778=ReportDate+1,$A778=ReportDate+1),1,0),0)</f>
        <v>0</v>
      </c>
      <c r="AV778" s="71">
        <f>IF(AND($G778&lt;&gt;"",$M778="Completed"),IF(OR($Y778=ReportDate-1,$A778=ReportDate-1),1,0),0)</f>
        <v>0</v>
      </c>
      <c r="AW778" s="71">
        <f>IF(AND($AK778=1,$Z778="Yes"),1,0)</f>
        <v>0</v>
      </c>
      <c r="AX778" s="71">
        <f>IF(AND($AK778=1,$AA778="Yes"),1,0)</f>
        <v>0</v>
      </c>
      <c r="AY778" s="71">
        <f>IF(AND($AM778=1,OR($I778="Critical",$I778="High")),1,0)</f>
        <v>0</v>
      </c>
      <c r="AZ778" s="71">
        <f>IF(AND($AK778=1,OR($C778=TCL_Client,$C778=MECCA_Client)),1,0)</f>
        <v>0</v>
      </c>
      <c r="BA778" s="71" t="str">
        <f>IF($G778="","",IFERROR(MATCH($I778,lst_Priority,0),5))</f>
        <v/>
      </c>
      <c r="BB778" s="71" t="str">
        <f>IF(AND($AL778=1,$AJ778=1),$BA778*100000+ROW(),"")</f>
        <v/>
      </c>
      <c r="BC778" s="71" t="str">
        <f>IF(AND($AM778=1,$AJ778=1),$BA778*100000+ROW(),"")</f>
        <v/>
      </c>
      <c r="BD778" s="71" t="str">
        <f>IF(AND($AP778=1,$AJ778=1),$BA778*100000+ROW(),"")</f>
        <v/>
      </c>
      <c r="BE778" s="71" t="str">
        <f>IF(AND($AT778=1,$AJ778=1),$BA778*100000+ROW(),"")</f>
        <v/>
      </c>
      <c r="BF778" s="71" t="str">
        <f>IF(AND($AU778=1,$AJ778=1),$BA778*100000+ROW(),"")</f>
        <v/>
      </c>
      <c r="BG778" s="71" t="str">
        <f>IF(AND($AV778=1,$AJ778=1),$BA778*100000+ROW(),"")</f>
        <v/>
      </c>
      <c r="BH778" s="71" t="str">
        <f>IF(AND($AW778=1,$AJ778=1),$BA778*100000+ROW(),"")</f>
        <v/>
      </c>
      <c r="BI778" s="71" t="str">
        <f>IF(AND($AX778=1,$AJ778=1),$BA778*100000+ROW(),"")</f>
        <v/>
      </c>
      <c r="BJ778" s="71" t="str">
        <f>IF(AND($AS778=1,$AJ778=1),$BA778*100000+ROW(),"")</f>
        <v/>
      </c>
      <c r="BK778" s="71" t="str">
        <f>IF(AND($AY778=1,$AJ778=1),$BA778*100000+ROW(),"")</f>
        <v/>
      </c>
      <c r="BL778" s="71" t="str">
        <f>IF(AND($AZ778=1),$BA778*100000+ROW(),"")</f>
        <v/>
      </c>
    </row>
    <row r="779">
      <c r="A779" s="63" t="n"/>
      <c r="B779" s="64" t="n"/>
      <c r="C779" s="64" t="n"/>
      <c r="D779" s="64" t="n"/>
      <c r="E779" s="64" t="n"/>
      <c r="F779" s="64" t="n"/>
      <c r="G779" s="65" t="n"/>
      <c r="H779" s="65" t="n"/>
      <c r="I779" s="64" t="n"/>
      <c r="J779" s="64" t="n"/>
      <c r="K779" s="63" t="n"/>
      <c r="L779" s="63" t="n"/>
      <c r="M779" s="64" t="n"/>
      <c r="N779" s="66" t="n"/>
      <c r="O779" s="65" t="n"/>
      <c r="P779" s="64" t="n"/>
      <c r="Q779" s="67" t="n"/>
      <c r="R779" s="67" t="n"/>
      <c r="S779" s="68" t="str">
        <f>IF(AND(ISNUMBER($Q779),ISNUMBER($R779)),$Q779-$R779,"")</f>
        <v/>
      </c>
      <c r="T779" s="65" t="n"/>
      <c r="U779" s="64" t="n"/>
      <c r="V779" s="65" t="n"/>
      <c r="W779" s="63" t="n"/>
      <c r="X779" s="65" t="n"/>
      <c r="Y779" s="63" t="n"/>
      <c r="Z779" s="64" t="n"/>
      <c r="AA779" s="64" t="n"/>
      <c r="AB779" s="65" t="n"/>
      <c r="AC779" s="69" t="str">
        <f>IF(OR($G779="",NOT(ISNUMBER($K779)),$AK779=0),"",MAX(0,ReportDate-$K779))</f>
        <v/>
      </c>
      <c r="AD779" s="69" t="str">
        <f>IF($G779="","",IF($AL779=1,ReportDate-$L779,0))</f>
        <v/>
      </c>
      <c r="AE779" s="70" t="str">
        <f>IF($G779="","",IF($M779="Completed",1,IF(ISNUMBER($N779),$N779,0)))</f>
        <v/>
      </c>
      <c r="AF779" s="70" t="str">
        <f>IF(AND(ISNUMBER($Q779),ISNUMBER($R779)),IF($R779&lt;&gt;0,$Q779/$R779,""),"")</f>
        <v/>
      </c>
      <c r="AG779" s="71" t="str">
        <f>IF($G779="","",IF($AL779=1,"OVERDUE",IF($AM779=1,"BLOCKED",IF($AN779=1,"DUE TODAY",IF($AO779=1,"DUE TOMORROW",IF($AQ779=1,"HIGH PRIORITY",IF($AR779=1,"NO RECENT UPDATE",""))))))) </f>
        <v/>
      </c>
      <c r="AH779" s="71" t="str">
        <f>IF($G779="","",IF(ISNUMBER($A779),IF(ISNUMBER($A779),YEAR($A779)&amp;"-"&amp;TEXT(MONTH($A779),"00"),""),IF(ISNUMBER($L779),IF(ISNUMBER($L779),YEAR($L779)&amp;"-"&amp;TEXT(MONTH($L779),"00"),""),"")))</f>
        <v/>
      </c>
      <c r="AI779" s="71">
        <f>IF($G779="",0,IF(AND(OR(fClient="All",$C779=fClient),OR(fCampaign="All",$D779=fCampaign),OR(fTeam="All",$B779=fTeam),OR(fChannel="All",$F779=fChannel),OR(fMonth="All",$AH779=fMonth),OR(fTStatus="All",$M779=fTStatus)),1,0))</f>
        <v>0</v>
      </c>
      <c r="AJ779" s="71">
        <f>IF($G779="",0,IF(AND(OR(fClient="All",$C779=fClient),OR(fCampaign="All",$D779=fCampaign),OR(fTeam="All",$B779=fTeam),OR(fChannel="All",$F779=fChannel)),1,0))</f>
        <v>0</v>
      </c>
      <c r="AK779" s="71">
        <f>IF($G779="",0,IF(OR($M779="Completed",$M779="Cancelled"),0,1))</f>
        <v>0</v>
      </c>
      <c r="AL779" s="71">
        <f>IF(AND($AK779=1,ISNUMBER($L779)),IF($L779&lt;ReportDate,1,0),0)</f>
        <v>0</v>
      </c>
      <c r="AM779" s="71">
        <f>IF(AND($G779&lt;&gt;"",$M779="Blocked"),1,0)</f>
        <v>0</v>
      </c>
      <c r="AN779" s="71">
        <f>IF(AND($AK779=1,ISNUMBER($L779)),IF($L779=ReportDate,1,0),0)</f>
        <v>0</v>
      </c>
      <c r="AO779" s="71">
        <f>IF(AND($AK779=1,ISNUMBER($L779)),IF($L779=ReportDate+1,1,0),0)</f>
        <v>0</v>
      </c>
      <c r="AP779" s="71">
        <f>IF(AND($AK779=1,ISNUMBER($L779)),IF(AND($L779&gt;=ReportDate,$L779&lt;=ReportDate+DueSoonDays),1,0),0)</f>
        <v>0</v>
      </c>
      <c r="AQ779" s="71">
        <f>IF(AND($AK779=1,OR($I779="Critical",$I779="High")),1,0)</f>
        <v>0</v>
      </c>
      <c r="AR779" s="71">
        <f>IF($AK779=1,IF(ISNUMBER($Y779),IF(ReportDate-$Y779&gt;StaleDays,1,0),1),0)</f>
        <v>0</v>
      </c>
      <c r="AS779" s="71">
        <f>IF(AND($G779&lt;&gt;"",ISNUMBER($Q779),ISNUMBER($R779)),IF(AND($Q779&lt;$R779,OR($M779="Completed",AND(ISNUMBER($L779),$L779&lt;ReportDate))),1,0),0)</f>
        <v>0</v>
      </c>
      <c r="AT779" s="71">
        <f>IF($AK779=1,IF(OR($L779=ReportDate,$W779=ReportDate,$K779=ReportDate,$A779=ReportDate),1,0),0)</f>
        <v>0</v>
      </c>
      <c r="AU779" s="71">
        <f>IF($AK779=1,IF(OR($L779=ReportDate+1,$W779=ReportDate+1,$K779=ReportDate+1,$A779=ReportDate+1),1,0),0)</f>
        <v>0</v>
      </c>
      <c r="AV779" s="71">
        <f>IF(AND($G779&lt;&gt;"",$M779="Completed"),IF(OR($Y779=ReportDate-1,$A779=ReportDate-1),1,0),0)</f>
        <v>0</v>
      </c>
      <c r="AW779" s="71">
        <f>IF(AND($AK779=1,$Z779="Yes"),1,0)</f>
        <v>0</v>
      </c>
      <c r="AX779" s="71">
        <f>IF(AND($AK779=1,$AA779="Yes"),1,0)</f>
        <v>0</v>
      </c>
      <c r="AY779" s="71">
        <f>IF(AND($AM779=1,OR($I779="Critical",$I779="High")),1,0)</f>
        <v>0</v>
      </c>
      <c r="AZ779" s="71">
        <f>IF(AND($AK779=1,OR($C779=TCL_Client,$C779=MECCA_Client)),1,0)</f>
        <v>0</v>
      </c>
      <c r="BA779" s="71" t="str">
        <f>IF($G779="","",IFERROR(MATCH($I779,lst_Priority,0),5))</f>
        <v/>
      </c>
      <c r="BB779" s="71" t="str">
        <f>IF(AND($AL779=1,$AJ779=1),$BA779*100000+ROW(),"")</f>
        <v/>
      </c>
      <c r="BC779" s="71" t="str">
        <f>IF(AND($AM779=1,$AJ779=1),$BA779*100000+ROW(),"")</f>
        <v/>
      </c>
      <c r="BD779" s="71" t="str">
        <f>IF(AND($AP779=1,$AJ779=1),$BA779*100000+ROW(),"")</f>
        <v/>
      </c>
      <c r="BE779" s="71" t="str">
        <f>IF(AND($AT779=1,$AJ779=1),$BA779*100000+ROW(),"")</f>
        <v/>
      </c>
      <c r="BF779" s="71" t="str">
        <f>IF(AND($AU779=1,$AJ779=1),$BA779*100000+ROW(),"")</f>
        <v/>
      </c>
      <c r="BG779" s="71" t="str">
        <f>IF(AND($AV779=1,$AJ779=1),$BA779*100000+ROW(),"")</f>
        <v/>
      </c>
      <c r="BH779" s="71" t="str">
        <f>IF(AND($AW779=1,$AJ779=1),$BA779*100000+ROW(),"")</f>
        <v/>
      </c>
      <c r="BI779" s="71" t="str">
        <f>IF(AND($AX779=1,$AJ779=1),$BA779*100000+ROW(),"")</f>
        <v/>
      </c>
      <c r="BJ779" s="71" t="str">
        <f>IF(AND($AS779=1,$AJ779=1),$BA779*100000+ROW(),"")</f>
        <v/>
      </c>
      <c r="BK779" s="71" t="str">
        <f>IF(AND($AY779=1,$AJ779=1),$BA779*100000+ROW(),"")</f>
        <v/>
      </c>
      <c r="BL779" s="71" t="str">
        <f>IF(AND($AZ779=1),$BA779*100000+ROW(),"")</f>
        <v/>
      </c>
    </row>
    <row r="780">
      <c r="A780" s="63" t="n"/>
      <c r="B780" s="64" t="n"/>
      <c r="C780" s="64" t="n"/>
      <c r="D780" s="64" t="n"/>
      <c r="E780" s="64" t="n"/>
      <c r="F780" s="64" t="n"/>
      <c r="G780" s="65" t="n"/>
      <c r="H780" s="65" t="n"/>
      <c r="I780" s="64" t="n"/>
      <c r="J780" s="64" t="n"/>
      <c r="K780" s="63" t="n"/>
      <c r="L780" s="63" t="n"/>
      <c r="M780" s="64" t="n"/>
      <c r="N780" s="66" t="n"/>
      <c r="O780" s="65" t="n"/>
      <c r="P780" s="64" t="n"/>
      <c r="Q780" s="67" t="n"/>
      <c r="R780" s="67" t="n"/>
      <c r="S780" s="68" t="str">
        <f>IF(AND(ISNUMBER($Q780),ISNUMBER($R780)),$Q780-$R780,"")</f>
        <v/>
      </c>
      <c r="T780" s="65" t="n"/>
      <c r="U780" s="64" t="n"/>
      <c r="V780" s="65" t="n"/>
      <c r="W780" s="63" t="n"/>
      <c r="X780" s="65" t="n"/>
      <c r="Y780" s="63" t="n"/>
      <c r="Z780" s="64" t="n"/>
      <c r="AA780" s="64" t="n"/>
      <c r="AB780" s="65" t="n"/>
      <c r="AC780" s="69" t="str">
        <f>IF(OR($G780="",NOT(ISNUMBER($K780)),$AK780=0),"",MAX(0,ReportDate-$K780))</f>
        <v/>
      </c>
      <c r="AD780" s="69" t="str">
        <f>IF($G780="","",IF($AL780=1,ReportDate-$L780,0))</f>
        <v/>
      </c>
      <c r="AE780" s="70" t="str">
        <f>IF($G780="","",IF($M780="Completed",1,IF(ISNUMBER($N780),$N780,0)))</f>
        <v/>
      </c>
      <c r="AF780" s="70" t="str">
        <f>IF(AND(ISNUMBER($Q780),ISNUMBER($R780)),IF($R780&lt;&gt;0,$Q780/$R780,""),"")</f>
        <v/>
      </c>
      <c r="AG780" s="71" t="str">
        <f>IF($G780="","",IF($AL780=1,"OVERDUE",IF($AM780=1,"BLOCKED",IF($AN780=1,"DUE TODAY",IF($AO780=1,"DUE TOMORROW",IF($AQ780=1,"HIGH PRIORITY",IF($AR780=1,"NO RECENT UPDATE",""))))))) </f>
        <v/>
      </c>
      <c r="AH780" s="71" t="str">
        <f>IF($G780="","",IF(ISNUMBER($A780),IF(ISNUMBER($A780),YEAR($A780)&amp;"-"&amp;TEXT(MONTH($A780),"00"),""),IF(ISNUMBER($L780),IF(ISNUMBER($L780),YEAR($L780)&amp;"-"&amp;TEXT(MONTH($L780),"00"),""),"")))</f>
        <v/>
      </c>
      <c r="AI780" s="71">
        <f>IF($G780="",0,IF(AND(OR(fClient="All",$C780=fClient),OR(fCampaign="All",$D780=fCampaign),OR(fTeam="All",$B780=fTeam),OR(fChannel="All",$F780=fChannel),OR(fMonth="All",$AH780=fMonth),OR(fTStatus="All",$M780=fTStatus)),1,0))</f>
        <v>0</v>
      </c>
      <c r="AJ780" s="71">
        <f>IF($G780="",0,IF(AND(OR(fClient="All",$C780=fClient),OR(fCampaign="All",$D780=fCampaign),OR(fTeam="All",$B780=fTeam),OR(fChannel="All",$F780=fChannel)),1,0))</f>
        <v>0</v>
      </c>
      <c r="AK780" s="71">
        <f>IF($G780="",0,IF(OR($M780="Completed",$M780="Cancelled"),0,1))</f>
        <v>0</v>
      </c>
      <c r="AL780" s="71">
        <f>IF(AND($AK780=1,ISNUMBER($L780)),IF($L780&lt;ReportDate,1,0),0)</f>
        <v>0</v>
      </c>
      <c r="AM780" s="71">
        <f>IF(AND($G780&lt;&gt;"",$M780="Blocked"),1,0)</f>
        <v>0</v>
      </c>
      <c r="AN780" s="71">
        <f>IF(AND($AK780=1,ISNUMBER($L780)),IF($L780=ReportDate,1,0),0)</f>
        <v>0</v>
      </c>
      <c r="AO780" s="71">
        <f>IF(AND($AK780=1,ISNUMBER($L780)),IF($L780=ReportDate+1,1,0),0)</f>
        <v>0</v>
      </c>
      <c r="AP780" s="71">
        <f>IF(AND($AK780=1,ISNUMBER($L780)),IF(AND($L780&gt;=ReportDate,$L780&lt;=ReportDate+DueSoonDays),1,0),0)</f>
        <v>0</v>
      </c>
      <c r="AQ780" s="71">
        <f>IF(AND($AK780=1,OR($I780="Critical",$I780="High")),1,0)</f>
        <v>0</v>
      </c>
      <c r="AR780" s="71">
        <f>IF($AK780=1,IF(ISNUMBER($Y780),IF(ReportDate-$Y780&gt;StaleDays,1,0),1),0)</f>
        <v>0</v>
      </c>
      <c r="AS780" s="71">
        <f>IF(AND($G780&lt;&gt;"",ISNUMBER($Q780),ISNUMBER($R780)),IF(AND($Q780&lt;$R780,OR($M780="Completed",AND(ISNUMBER($L780),$L780&lt;ReportDate))),1,0),0)</f>
        <v>0</v>
      </c>
      <c r="AT780" s="71">
        <f>IF($AK780=1,IF(OR($L780=ReportDate,$W780=ReportDate,$K780=ReportDate,$A780=ReportDate),1,0),0)</f>
        <v>0</v>
      </c>
      <c r="AU780" s="71">
        <f>IF($AK780=1,IF(OR($L780=ReportDate+1,$W780=ReportDate+1,$K780=ReportDate+1,$A780=ReportDate+1),1,0),0)</f>
        <v>0</v>
      </c>
      <c r="AV780" s="71">
        <f>IF(AND($G780&lt;&gt;"",$M780="Completed"),IF(OR($Y780=ReportDate-1,$A780=ReportDate-1),1,0),0)</f>
        <v>0</v>
      </c>
      <c r="AW780" s="71">
        <f>IF(AND($AK780=1,$Z780="Yes"),1,0)</f>
        <v>0</v>
      </c>
      <c r="AX780" s="71">
        <f>IF(AND($AK780=1,$AA780="Yes"),1,0)</f>
        <v>0</v>
      </c>
      <c r="AY780" s="71">
        <f>IF(AND($AM780=1,OR($I780="Critical",$I780="High")),1,0)</f>
        <v>0</v>
      </c>
      <c r="AZ780" s="71">
        <f>IF(AND($AK780=1,OR($C780=TCL_Client,$C780=MECCA_Client)),1,0)</f>
        <v>0</v>
      </c>
      <c r="BA780" s="71" t="str">
        <f>IF($G780="","",IFERROR(MATCH($I780,lst_Priority,0),5))</f>
        <v/>
      </c>
      <c r="BB780" s="71" t="str">
        <f>IF(AND($AL780=1,$AJ780=1),$BA780*100000+ROW(),"")</f>
        <v/>
      </c>
      <c r="BC780" s="71" t="str">
        <f>IF(AND($AM780=1,$AJ780=1),$BA780*100000+ROW(),"")</f>
        <v/>
      </c>
      <c r="BD780" s="71" t="str">
        <f>IF(AND($AP780=1,$AJ780=1),$BA780*100000+ROW(),"")</f>
        <v/>
      </c>
      <c r="BE780" s="71" t="str">
        <f>IF(AND($AT780=1,$AJ780=1),$BA780*100000+ROW(),"")</f>
        <v/>
      </c>
      <c r="BF780" s="71" t="str">
        <f>IF(AND($AU780=1,$AJ780=1),$BA780*100000+ROW(),"")</f>
        <v/>
      </c>
      <c r="BG780" s="71" t="str">
        <f>IF(AND($AV780=1,$AJ780=1),$BA780*100000+ROW(),"")</f>
        <v/>
      </c>
      <c r="BH780" s="71" t="str">
        <f>IF(AND($AW780=1,$AJ780=1),$BA780*100000+ROW(),"")</f>
        <v/>
      </c>
      <c r="BI780" s="71" t="str">
        <f>IF(AND($AX780=1,$AJ780=1),$BA780*100000+ROW(),"")</f>
        <v/>
      </c>
      <c r="BJ780" s="71" t="str">
        <f>IF(AND($AS780=1,$AJ780=1),$BA780*100000+ROW(),"")</f>
        <v/>
      </c>
      <c r="BK780" s="71" t="str">
        <f>IF(AND($AY780=1,$AJ780=1),$BA780*100000+ROW(),"")</f>
        <v/>
      </c>
      <c r="BL780" s="71" t="str">
        <f>IF(AND($AZ780=1),$BA780*100000+ROW(),"")</f>
        <v/>
      </c>
    </row>
    <row r="781">
      <c r="A781" s="63" t="n"/>
      <c r="B781" s="64" t="n"/>
      <c r="C781" s="64" t="n"/>
      <c r="D781" s="64" t="n"/>
      <c r="E781" s="64" t="n"/>
      <c r="F781" s="64" t="n"/>
      <c r="G781" s="65" t="n"/>
      <c r="H781" s="65" t="n"/>
      <c r="I781" s="64" t="n"/>
      <c r="J781" s="64" t="n"/>
      <c r="K781" s="63" t="n"/>
      <c r="L781" s="63" t="n"/>
      <c r="M781" s="64" t="n"/>
      <c r="N781" s="66" t="n"/>
      <c r="O781" s="65" t="n"/>
      <c r="P781" s="64" t="n"/>
      <c r="Q781" s="67" t="n"/>
      <c r="R781" s="67" t="n"/>
      <c r="S781" s="68" t="str">
        <f>IF(AND(ISNUMBER($Q781),ISNUMBER($R781)),$Q781-$R781,"")</f>
        <v/>
      </c>
      <c r="T781" s="65" t="n"/>
      <c r="U781" s="64" t="n"/>
      <c r="V781" s="65" t="n"/>
      <c r="W781" s="63" t="n"/>
      <c r="X781" s="65" t="n"/>
      <c r="Y781" s="63" t="n"/>
      <c r="Z781" s="64" t="n"/>
      <c r="AA781" s="64" t="n"/>
      <c r="AB781" s="65" t="n"/>
      <c r="AC781" s="69" t="str">
        <f>IF(OR($G781="",NOT(ISNUMBER($K781)),$AK781=0),"",MAX(0,ReportDate-$K781))</f>
        <v/>
      </c>
      <c r="AD781" s="69" t="str">
        <f>IF($G781="","",IF($AL781=1,ReportDate-$L781,0))</f>
        <v/>
      </c>
      <c r="AE781" s="70" t="str">
        <f>IF($G781="","",IF($M781="Completed",1,IF(ISNUMBER($N781),$N781,0)))</f>
        <v/>
      </c>
      <c r="AF781" s="70" t="str">
        <f>IF(AND(ISNUMBER($Q781),ISNUMBER($R781)),IF($R781&lt;&gt;0,$Q781/$R781,""),"")</f>
        <v/>
      </c>
      <c r="AG781" s="71" t="str">
        <f>IF($G781="","",IF($AL781=1,"OVERDUE",IF($AM781=1,"BLOCKED",IF($AN781=1,"DUE TODAY",IF($AO781=1,"DUE TOMORROW",IF($AQ781=1,"HIGH PRIORITY",IF($AR781=1,"NO RECENT UPDATE",""))))))) </f>
        <v/>
      </c>
      <c r="AH781" s="71" t="str">
        <f>IF($G781="","",IF(ISNUMBER($A781),IF(ISNUMBER($A781),YEAR($A781)&amp;"-"&amp;TEXT(MONTH($A781),"00"),""),IF(ISNUMBER($L781),IF(ISNUMBER($L781),YEAR($L781)&amp;"-"&amp;TEXT(MONTH($L781),"00"),""),"")))</f>
        <v/>
      </c>
      <c r="AI781" s="71">
        <f>IF($G781="",0,IF(AND(OR(fClient="All",$C781=fClient),OR(fCampaign="All",$D781=fCampaign),OR(fTeam="All",$B781=fTeam),OR(fChannel="All",$F781=fChannel),OR(fMonth="All",$AH781=fMonth),OR(fTStatus="All",$M781=fTStatus)),1,0))</f>
        <v>0</v>
      </c>
      <c r="AJ781" s="71">
        <f>IF($G781="",0,IF(AND(OR(fClient="All",$C781=fClient),OR(fCampaign="All",$D781=fCampaign),OR(fTeam="All",$B781=fTeam),OR(fChannel="All",$F781=fChannel)),1,0))</f>
        <v>0</v>
      </c>
      <c r="AK781" s="71">
        <f>IF($G781="",0,IF(OR($M781="Completed",$M781="Cancelled"),0,1))</f>
        <v>0</v>
      </c>
      <c r="AL781" s="71">
        <f>IF(AND($AK781=1,ISNUMBER($L781)),IF($L781&lt;ReportDate,1,0),0)</f>
        <v>0</v>
      </c>
      <c r="AM781" s="71">
        <f>IF(AND($G781&lt;&gt;"",$M781="Blocked"),1,0)</f>
        <v>0</v>
      </c>
      <c r="AN781" s="71">
        <f>IF(AND($AK781=1,ISNUMBER($L781)),IF($L781=ReportDate,1,0),0)</f>
        <v>0</v>
      </c>
      <c r="AO781" s="71">
        <f>IF(AND($AK781=1,ISNUMBER($L781)),IF($L781=ReportDate+1,1,0),0)</f>
        <v>0</v>
      </c>
      <c r="AP781" s="71">
        <f>IF(AND($AK781=1,ISNUMBER($L781)),IF(AND($L781&gt;=ReportDate,$L781&lt;=ReportDate+DueSoonDays),1,0),0)</f>
        <v>0</v>
      </c>
      <c r="AQ781" s="71">
        <f>IF(AND($AK781=1,OR($I781="Critical",$I781="High")),1,0)</f>
        <v>0</v>
      </c>
      <c r="AR781" s="71">
        <f>IF($AK781=1,IF(ISNUMBER($Y781),IF(ReportDate-$Y781&gt;StaleDays,1,0),1),0)</f>
        <v>0</v>
      </c>
      <c r="AS781" s="71">
        <f>IF(AND($G781&lt;&gt;"",ISNUMBER($Q781),ISNUMBER($R781)),IF(AND($Q781&lt;$R781,OR($M781="Completed",AND(ISNUMBER($L781),$L781&lt;ReportDate))),1,0),0)</f>
        <v>0</v>
      </c>
      <c r="AT781" s="71">
        <f>IF($AK781=1,IF(OR($L781=ReportDate,$W781=ReportDate,$K781=ReportDate,$A781=ReportDate),1,0),0)</f>
        <v>0</v>
      </c>
      <c r="AU781" s="71">
        <f>IF($AK781=1,IF(OR($L781=ReportDate+1,$W781=ReportDate+1,$K781=ReportDate+1,$A781=ReportDate+1),1,0),0)</f>
        <v>0</v>
      </c>
      <c r="AV781" s="71">
        <f>IF(AND($G781&lt;&gt;"",$M781="Completed"),IF(OR($Y781=ReportDate-1,$A781=ReportDate-1),1,0),0)</f>
        <v>0</v>
      </c>
      <c r="AW781" s="71">
        <f>IF(AND($AK781=1,$Z781="Yes"),1,0)</f>
        <v>0</v>
      </c>
      <c r="AX781" s="71">
        <f>IF(AND($AK781=1,$AA781="Yes"),1,0)</f>
        <v>0</v>
      </c>
      <c r="AY781" s="71">
        <f>IF(AND($AM781=1,OR($I781="Critical",$I781="High")),1,0)</f>
        <v>0</v>
      </c>
      <c r="AZ781" s="71">
        <f>IF(AND($AK781=1,OR($C781=TCL_Client,$C781=MECCA_Client)),1,0)</f>
        <v>0</v>
      </c>
      <c r="BA781" s="71" t="str">
        <f>IF($G781="","",IFERROR(MATCH($I781,lst_Priority,0),5))</f>
        <v/>
      </c>
      <c r="BB781" s="71" t="str">
        <f>IF(AND($AL781=1,$AJ781=1),$BA781*100000+ROW(),"")</f>
        <v/>
      </c>
      <c r="BC781" s="71" t="str">
        <f>IF(AND($AM781=1,$AJ781=1),$BA781*100000+ROW(),"")</f>
        <v/>
      </c>
      <c r="BD781" s="71" t="str">
        <f>IF(AND($AP781=1,$AJ781=1),$BA781*100000+ROW(),"")</f>
        <v/>
      </c>
      <c r="BE781" s="71" t="str">
        <f>IF(AND($AT781=1,$AJ781=1),$BA781*100000+ROW(),"")</f>
        <v/>
      </c>
      <c r="BF781" s="71" t="str">
        <f>IF(AND($AU781=1,$AJ781=1),$BA781*100000+ROW(),"")</f>
        <v/>
      </c>
      <c r="BG781" s="71" t="str">
        <f>IF(AND($AV781=1,$AJ781=1),$BA781*100000+ROW(),"")</f>
        <v/>
      </c>
      <c r="BH781" s="71" t="str">
        <f>IF(AND($AW781=1,$AJ781=1),$BA781*100000+ROW(),"")</f>
        <v/>
      </c>
      <c r="BI781" s="71" t="str">
        <f>IF(AND($AX781=1,$AJ781=1),$BA781*100000+ROW(),"")</f>
        <v/>
      </c>
      <c r="BJ781" s="71" t="str">
        <f>IF(AND($AS781=1,$AJ781=1),$BA781*100000+ROW(),"")</f>
        <v/>
      </c>
      <c r="BK781" s="71" t="str">
        <f>IF(AND($AY781=1,$AJ781=1),$BA781*100000+ROW(),"")</f>
        <v/>
      </c>
      <c r="BL781" s="71" t="str">
        <f>IF(AND($AZ781=1),$BA781*100000+ROW(),"")</f>
        <v/>
      </c>
    </row>
    <row r="782">
      <c r="A782" s="63" t="n"/>
      <c r="B782" s="64" t="n"/>
      <c r="C782" s="64" t="n"/>
      <c r="D782" s="64" t="n"/>
      <c r="E782" s="64" t="n"/>
      <c r="F782" s="64" t="n"/>
      <c r="G782" s="65" t="n"/>
      <c r="H782" s="65" t="n"/>
      <c r="I782" s="64" t="n"/>
      <c r="J782" s="64" t="n"/>
      <c r="K782" s="63" t="n"/>
      <c r="L782" s="63" t="n"/>
      <c r="M782" s="64" t="n"/>
      <c r="N782" s="66" t="n"/>
      <c r="O782" s="65" t="n"/>
      <c r="P782" s="64" t="n"/>
      <c r="Q782" s="67" t="n"/>
      <c r="R782" s="67" t="n"/>
      <c r="S782" s="68" t="str">
        <f>IF(AND(ISNUMBER($Q782),ISNUMBER($R782)),$Q782-$R782,"")</f>
        <v/>
      </c>
      <c r="T782" s="65" t="n"/>
      <c r="U782" s="64" t="n"/>
      <c r="V782" s="65" t="n"/>
      <c r="W782" s="63" t="n"/>
      <c r="X782" s="65" t="n"/>
      <c r="Y782" s="63" t="n"/>
      <c r="Z782" s="64" t="n"/>
      <c r="AA782" s="64" t="n"/>
      <c r="AB782" s="65" t="n"/>
      <c r="AC782" s="69" t="str">
        <f>IF(OR($G782="",NOT(ISNUMBER($K782)),$AK782=0),"",MAX(0,ReportDate-$K782))</f>
        <v/>
      </c>
      <c r="AD782" s="69" t="str">
        <f>IF($G782="","",IF($AL782=1,ReportDate-$L782,0))</f>
        <v/>
      </c>
      <c r="AE782" s="70" t="str">
        <f>IF($G782="","",IF($M782="Completed",1,IF(ISNUMBER($N782),$N782,0)))</f>
        <v/>
      </c>
      <c r="AF782" s="70" t="str">
        <f>IF(AND(ISNUMBER($Q782),ISNUMBER($R782)),IF($R782&lt;&gt;0,$Q782/$R782,""),"")</f>
        <v/>
      </c>
      <c r="AG782" s="71" t="str">
        <f>IF($G782="","",IF($AL782=1,"OVERDUE",IF($AM782=1,"BLOCKED",IF($AN782=1,"DUE TODAY",IF($AO782=1,"DUE TOMORROW",IF($AQ782=1,"HIGH PRIORITY",IF($AR782=1,"NO RECENT UPDATE",""))))))) </f>
        <v/>
      </c>
      <c r="AH782" s="71" t="str">
        <f>IF($G782="","",IF(ISNUMBER($A782),IF(ISNUMBER($A782),YEAR($A782)&amp;"-"&amp;TEXT(MONTH($A782),"00"),""),IF(ISNUMBER($L782),IF(ISNUMBER($L782),YEAR($L782)&amp;"-"&amp;TEXT(MONTH($L782),"00"),""),"")))</f>
        <v/>
      </c>
      <c r="AI782" s="71">
        <f>IF($G782="",0,IF(AND(OR(fClient="All",$C782=fClient),OR(fCampaign="All",$D782=fCampaign),OR(fTeam="All",$B782=fTeam),OR(fChannel="All",$F782=fChannel),OR(fMonth="All",$AH782=fMonth),OR(fTStatus="All",$M782=fTStatus)),1,0))</f>
        <v>0</v>
      </c>
      <c r="AJ782" s="71">
        <f>IF($G782="",0,IF(AND(OR(fClient="All",$C782=fClient),OR(fCampaign="All",$D782=fCampaign),OR(fTeam="All",$B782=fTeam),OR(fChannel="All",$F782=fChannel)),1,0))</f>
        <v>0</v>
      </c>
      <c r="AK782" s="71">
        <f>IF($G782="",0,IF(OR($M782="Completed",$M782="Cancelled"),0,1))</f>
        <v>0</v>
      </c>
      <c r="AL782" s="71">
        <f>IF(AND($AK782=1,ISNUMBER($L782)),IF($L782&lt;ReportDate,1,0),0)</f>
        <v>0</v>
      </c>
      <c r="AM782" s="71">
        <f>IF(AND($G782&lt;&gt;"",$M782="Blocked"),1,0)</f>
        <v>0</v>
      </c>
      <c r="AN782" s="71">
        <f>IF(AND($AK782=1,ISNUMBER($L782)),IF($L782=ReportDate,1,0),0)</f>
        <v>0</v>
      </c>
      <c r="AO782" s="71">
        <f>IF(AND($AK782=1,ISNUMBER($L782)),IF($L782=ReportDate+1,1,0),0)</f>
        <v>0</v>
      </c>
      <c r="AP782" s="71">
        <f>IF(AND($AK782=1,ISNUMBER($L782)),IF(AND($L782&gt;=ReportDate,$L782&lt;=ReportDate+DueSoonDays),1,0),0)</f>
        <v>0</v>
      </c>
      <c r="AQ782" s="71">
        <f>IF(AND($AK782=1,OR($I782="Critical",$I782="High")),1,0)</f>
        <v>0</v>
      </c>
      <c r="AR782" s="71">
        <f>IF($AK782=1,IF(ISNUMBER($Y782),IF(ReportDate-$Y782&gt;StaleDays,1,0),1),0)</f>
        <v>0</v>
      </c>
      <c r="AS782" s="71">
        <f>IF(AND($G782&lt;&gt;"",ISNUMBER($Q782),ISNUMBER($R782)),IF(AND($Q782&lt;$R782,OR($M782="Completed",AND(ISNUMBER($L782),$L782&lt;ReportDate))),1,0),0)</f>
        <v>0</v>
      </c>
      <c r="AT782" s="71">
        <f>IF($AK782=1,IF(OR($L782=ReportDate,$W782=ReportDate,$K782=ReportDate,$A782=ReportDate),1,0),0)</f>
        <v>0</v>
      </c>
      <c r="AU782" s="71">
        <f>IF($AK782=1,IF(OR($L782=ReportDate+1,$W782=ReportDate+1,$K782=ReportDate+1,$A782=ReportDate+1),1,0),0)</f>
        <v>0</v>
      </c>
      <c r="AV782" s="71">
        <f>IF(AND($G782&lt;&gt;"",$M782="Completed"),IF(OR($Y782=ReportDate-1,$A782=ReportDate-1),1,0),0)</f>
        <v>0</v>
      </c>
      <c r="AW782" s="71">
        <f>IF(AND($AK782=1,$Z782="Yes"),1,0)</f>
        <v>0</v>
      </c>
      <c r="AX782" s="71">
        <f>IF(AND($AK782=1,$AA782="Yes"),1,0)</f>
        <v>0</v>
      </c>
      <c r="AY782" s="71">
        <f>IF(AND($AM782=1,OR($I782="Critical",$I782="High")),1,0)</f>
        <v>0</v>
      </c>
      <c r="AZ782" s="71">
        <f>IF(AND($AK782=1,OR($C782=TCL_Client,$C782=MECCA_Client)),1,0)</f>
        <v>0</v>
      </c>
      <c r="BA782" s="71" t="str">
        <f>IF($G782="","",IFERROR(MATCH($I782,lst_Priority,0),5))</f>
        <v/>
      </c>
      <c r="BB782" s="71" t="str">
        <f>IF(AND($AL782=1,$AJ782=1),$BA782*100000+ROW(),"")</f>
        <v/>
      </c>
      <c r="BC782" s="71" t="str">
        <f>IF(AND($AM782=1,$AJ782=1),$BA782*100000+ROW(),"")</f>
        <v/>
      </c>
      <c r="BD782" s="71" t="str">
        <f>IF(AND($AP782=1,$AJ782=1),$BA782*100000+ROW(),"")</f>
        <v/>
      </c>
      <c r="BE782" s="71" t="str">
        <f>IF(AND($AT782=1,$AJ782=1),$BA782*100000+ROW(),"")</f>
        <v/>
      </c>
      <c r="BF782" s="71" t="str">
        <f>IF(AND($AU782=1,$AJ782=1),$BA782*100000+ROW(),"")</f>
        <v/>
      </c>
      <c r="BG782" s="71" t="str">
        <f>IF(AND($AV782=1,$AJ782=1),$BA782*100000+ROW(),"")</f>
        <v/>
      </c>
      <c r="BH782" s="71" t="str">
        <f>IF(AND($AW782=1,$AJ782=1),$BA782*100000+ROW(),"")</f>
        <v/>
      </c>
      <c r="BI782" s="71" t="str">
        <f>IF(AND($AX782=1,$AJ782=1),$BA782*100000+ROW(),"")</f>
        <v/>
      </c>
      <c r="BJ782" s="71" t="str">
        <f>IF(AND($AS782=1,$AJ782=1),$BA782*100000+ROW(),"")</f>
        <v/>
      </c>
      <c r="BK782" s="71" t="str">
        <f>IF(AND($AY782=1,$AJ782=1),$BA782*100000+ROW(),"")</f>
        <v/>
      </c>
      <c r="BL782" s="71" t="str">
        <f>IF(AND($AZ782=1),$BA782*100000+ROW(),"")</f>
        <v/>
      </c>
    </row>
    <row r="783">
      <c r="A783" s="63" t="n"/>
      <c r="B783" s="64" t="n"/>
      <c r="C783" s="64" t="n"/>
      <c r="D783" s="64" t="n"/>
      <c r="E783" s="64" t="n"/>
      <c r="F783" s="64" t="n"/>
      <c r="G783" s="65" t="n"/>
      <c r="H783" s="65" t="n"/>
      <c r="I783" s="64" t="n"/>
      <c r="J783" s="64" t="n"/>
      <c r="K783" s="63" t="n"/>
      <c r="L783" s="63" t="n"/>
      <c r="M783" s="64" t="n"/>
      <c r="N783" s="66" t="n"/>
      <c r="O783" s="65" t="n"/>
      <c r="P783" s="64" t="n"/>
      <c r="Q783" s="67" t="n"/>
      <c r="R783" s="67" t="n"/>
      <c r="S783" s="68" t="str">
        <f>IF(AND(ISNUMBER($Q783),ISNUMBER($R783)),$Q783-$R783,"")</f>
        <v/>
      </c>
      <c r="T783" s="65" t="n"/>
      <c r="U783" s="64" t="n"/>
      <c r="V783" s="65" t="n"/>
      <c r="W783" s="63" t="n"/>
      <c r="X783" s="65" t="n"/>
      <c r="Y783" s="63" t="n"/>
      <c r="Z783" s="64" t="n"/>
      <c r="AA783" s="64" t="n"/>
      <c r="AB783" s="65" t="n"/>
      <c r="AC783" s="69" t="str">
        <f>IF(OR($G783="",NOT(ISNUMBER($K783)),$AK783=0),"",MAX(0,ReportDate-$K783))</f>
        <v/>
      </c>
      <c r="AD783" s="69" t="str">
        <f>IF($G783="","",IF($AL783=1,ReportDate-$L783,0))</f>
        <v/>
      </c>
      <c r="AE783" s="70" t="str">
        <f>IF($G783="","",IF($M783="Completed",1,IF(ISNUMBER($N783),$N783,0)))</f>
        <v/>
      </c>
      <c r="AF783" s="70" t="str">
        <f>IF(AND(ISNUMBER($Q783),ISNUMBER($R783)),IF($R783&lt;&gt;0,$Q783/$R783,""),"")</f>
        <v/>
      </c>
      <c r="AG783" s="71" t="str">
        <f>IF($G783="","",IF($AL783=1,"OVERDUE",IF($AM783=1,"BLOCKED",IF($AN783=1,"DUE TODAY",IF($AO783=1,"DUE TOMORROW",IF($AQ783=1,"HIGH PRIORITY",IF($AR783=1,"NO RECENT UPDATE",""))))))) </f>
        <v/>
      </c>
      <c r="AH783" s="71" t="str">
        <f>IF($G783="","",IF(ISNUMBER($A783),IF(ISNUMBER($A783),YEAR($A783)&amp;"-"&amp;TEXT(MONTH($A783),"00"),""),IF(ISNUMBER($L783),IF(ISNUMBER($L783),YEAR($L783)&amp;"-"&amp;TEXT(MONTH($L783),"00"),""),"")))</f>
        <v/>
      </c>
      <c r="AI783" s="71">
        <f>IF($G783="",0,IF(AND(OR(fClient="All",$C783=fClient),OR(fCampaign="All",$D783=fCampaign),OR(fTeam="All",$B783=fTeam),OR(fChannel="All",$F783=fChannel),OR(fMonth="All",$AH783=fMonth),OR(fTStatus="All",$M783=fTStatus)),1,0))</f>
        <v>0</v>
      </c>
      <c r="AJ783" s="71">
        <f>IF($G783="",0,IF(AND(OR(fClient="All",$C783=fClient),OR(fCampaign="All",$D783=fCampaign),OR(fTeam="All",$B783=fTeam),OR(fChannel="All",$F783=fChannel)),1,0))</f>
        <v>0</v>
      </c>
      <c r="AK783" s="71">
        <f>IF($G783="",0,IF(OR($M783="Completed",$M783="Cancelled"),0,1))</f>
        <v>0</v>
      </c>
      <c r="AL783" s="71">
        <f>IF(AND($AK783=1,ISNUMBER($L783)),IF($L783&lt;ReportDate,1,0),0)</f>
        <v>0</v>
      </c>
      <c r="AM783" s="71">
        <f>IF(AND($G783&lt;&gt;"",$M783="Blocked"),1,0)</f>
        <v>0</v>
      </c>
      <c r="AN783" s="71">
        <f>IF(AND($AK783=1,ISNUMBER($L783)),IF($L783=ReportDate,1,0),0)</f>
        <v>0</v>
      </c>
      <c r="AO783" s="71">
        <f>IF(AND($AK783=1,ISNUMBER($L783)),IF($L783=ReportDate+1,1,0),0)</f>
        <v>0</v>
      </c>
      <c r="AP783" s="71">
        <f>IF(AND($AK783=1,ISNUMBER($L783)),IF(AND($L783&gt;=ReportDate,$L783&lt;=ReportDate+DueSoonDays),1,0),0)</f>
        <v>0</v>
      </c>
      <c r="AQ783" s="71">
        <f>IF(AND($AK783=1,OR($I783="Critical",$I783="High")),1,0)</f>
        <v>0</v>
      </c>
      <c r="AR783" s="71">
        <f>IF($AK783=1,IF(ISNUMBER($Y783),IF(ReportDate-$Y783&gt;StaleDays,1,0),1),0)</f>
        <v>0</v>
      </c>
      <c r="AS783" s="71">
        <f>IF(AND($G783&lt;&gt;"",ISNUMBER($Q783),ISNUMBER($R783)),IF(AND($Q783&lt;$R783,OR($M783="Completed",AND(ISNUMBER($L783),$L783&lt;ReportDate))),1,0),0)</f>
        <v>0</v>
      </c>
      <c r="AT783" s="71">
        <f>IF($AK783=1,IF(OR($L783=ReportDate,$W783=ReportDate,$K783=ReportDate,$A783=ReportDate),1,0),0)</f>
        <v>0</v>
      </c>
      <c r="AU783" s="71">
        <f>IF($AK783=1,IF(OR($L783=ReportDate+1,$W783=ReportDate+1,$K783=ReportDate+1,$A783=ReportDate+1),1,0),0)</f>
        <v>0</v>
      </c>
      <c r="AV783" s="71">
        <f>IF(AND($G783&lt;&gt;"",$M783="Completed"),IF(OR($Y783=ReportDate-1,$A783=ReportDate-1),1,0),0)</f>
        <v>0</v>
      </c>
      <c r="AW783" s="71">
        <f>IF(AND($AK783=1,$Z783="Yes"),1,0)</f>
        <v>0</v>
      </c>
      <c r="AX783" s="71">
        <f>IF(AND($AK783=1,$AA783="Yes"),1,0)</f>
        <v>0</v>
      </c>
      <c r="AY783" s="71">
        <f>IF(AND($AM783=1,OR($I783="Critical",$I783="High")),1,0)</f>
        <v>0</v>
      </c>
      <c r="AZ783" s="71">
        <f>IF(AND($AK783=1,OR($C783=TCL_Client,$C783=MECCA_Client)),1,0)</f>
        <v>0</v>
      </c>
      <c r="BA783" s="71" t="str">
        <f>IF($G783="","",IFERROR(MATCH($I783,lst_Priority,0),5))</f>
        <v/>
      </c>
      <c r="BB783" s="71" t="str">
        <f>IF(AND($AL783=1,$AJ783=1),$BA783*100000+ROW(),"")</f>
        <v/>
      </c>
      <c r="BC783" s="71" t="str">
        <f>IF(AND($AM783=1,$AJ783=1),$BA783*100000+ROW(),"")</f>
        <v/>
      </c>
      <c r="BD783" s="71" t="str">
        <f>IF(AND($AP783=1,$AJ783=1),$BA783*100000+ROW(),"")</f>
        <v/>
      </c>
      <c r="BE783" s="71" t="str">
        <f>IF(AND($AT783=1,$AJ783=1),$BA783*100000+ROW(),"")</f>
        <v/>
      </c>
      <c r="BF783" s="71" t="str">
        <f>IF(AND($AU783=1,$AJ783=1),$BA783*100000+ROW(),"")</f>
        <v/>
      </c>
      <c r="BG783" s="71" t="str">
        <f>IF(AND($AV783=1,$AJ783=1),$BA783*100000+ROW(),"")</f>
        <v/>
      </c>
      <c r="BH783" s="71" t="str">
        <f>IF(AND($AW783=1,$AJ783=1),$BA783*100000+ROW(),"")</f>
        <v/>
      </c>
      <c r="BI783" s="71" t="str">
        <f>IF(AND($AX783=1,$AJ783=1),$BA783*100000+ROW(),"")</f>
        <v/>
      </c>
      <c r="BJ783" s="71" t="str">
        <f>IF(AND($AS783=1,$AJ783=1),$BA783*100000+ROW(),"")</f>
        <v/>
      </c>
      <c r="BK783" s="71" t="str">
        <f>IF(AND($AY783=1,$AJ783=1),$BA783*100000+ROW(),"")</f>
        <v/>
      </c>
      <c r="BL783" s="71" t="str">
        <f>IF(AND($AZ783=1),$BA783*100000+ROW(),"")</f>
        <v/>
      </c>
    </row>
    <row r="784">
      <c r="A784" s="63" t="n"/>
      <c r="B784" s="64" t="n"/>
      <c r="C784" s="64" t="n"/>
      <c r="D784" s="64" t="n"/>
      <c r="E784" s="64" t="n"/>
      <c r="F784" s="64" t="n"/>
      <c r="G784" s="65" t="n"/>
      <c r="H784" s="65" t="n"/>
      <c r="I784" s="64" t="n"/>
      <c r="J784" s="64" t="n"/>
      <c r="K784" s="63" t="n"/>
      <c r="L784" s="63" t="n"/>
      <c r="M784" s="64" t="n"/>
      <c r="N784" s="66" t="n"/>
      <c r="O784" s="65" t="n"/>
      <c r="P784" s="64" t="n"/>
      <c r="Q784" s="67" t="n"/>
      <c r="R784" s="67" t="n"/>
      <c r="S784" s="68" t="str">
        <f>IF(AND(ISNUMBER($Q784),ISNUMBER($R784)),$Q784-$R784,"")</f>
        <v/>
      </c>
      <c r="T784" s="65" t="n"/>
      <c r="U784" s="64" t="n"/>
      <c r="V784" s="65" t="n"/>
      <c r="W784" s="63" t="n"/>
      <c r="X784" s="65" t="n"/>
      <c r="Y784" s="63" t="n"/>
      <c r="Z784" s="64" t="n"/>
      <c r="AA784" s="64" t="n"/>
      <c r="AB784" s="65" t="n"/>
      <c r="AC784" s="69" t="str">
        <f>IF(OR($G784="",NOT(ISNUMBER($K784)),$AK784=0),"",MAX(0,ReportDate-$K784))</f>
        <v/>
      </c>
      <c r="AD784" s="69" t="str">
        <f>IF($G784="","",IF($AL784=1,ReportDate-$L784,0))</f>
        <v/>
      </c>
      <c r="AE784" s="70" t="str">
        <f>IF($G784="","",IF($M784="Completed",1,IF(ISNUMBER($N784),$N784,0)))</f>
        <v/>
      </c>
      <c r="AF784" s="70" t="str">
        <f>IF(AND(ISNUMBER($Q784),ISNUMBER($R784)),IF($R784&lt;&gt;0,$Q784/$R784,""),"")</f>
        <v/>
      </c>
      <c r="AG784" s="71" t="str">
        <f>IF($G784="","",IF($AL784=1,"OVERDUE",IF($AM784=1,"BLOCKED",IF($AN784=1,"DUE TODAY",IF($AO784=1,"DUE TOMORROW",IF($AQ784=1,"HIGH PRIORITY",IF($AR784=1,"NO RECENT UPDATE",""))))))) </f>
        <v/>
      </c>
      <c r="AH784" s="71" t="str">
        <f>IF($G784="","",IF(ISNUMBER($A784),IF(ISNUMBER($A784),YEAR($A784)&amp;"-"&amp;TEXT(MONTH($A784),"00"),""),IF(ISNUMBER($L784),IF(ISNUMBER($L784),YEAR($L784)&amp;"-"&amp;TEXT(MONTH($L784),"00"),""),"")))</f>
        <v/>
      </c>
      <c r="AI784" s="71">
        <f>IF($G784="",0,IF(AND(OR(fClient="All",$C784=fClient),OR(fCampaign="All",$D784=fCampaign),OR(fTeam="All",$B784=fTeam),OR(fChannel="All",$F784=fChannel),OR(fMonth="All",$AH784=fMonth),OR(fTStatus="All",$M784=fTStatus)),1,0))</f>
        <v>0</v>
      </c>
      <c r="AJ784" s="71">
        <f>IF($G784="",0,IF(AND(OR(fClient="All",$C784=fClient),OR(fCampaign="All",$D784=fCampaign),OR(fTeam="All",$B784=fTeam),OR(fChannel="All",$F784=fChannel)),1,0))</f>
        <v>0</v>
      </c>
      <c r="AK784" s="71">
        <f>IF($G784="",0,IF(OR($M784="Completed",$M784="Cancelled"),0,1))</f>
        <v>0</v>
      </c>
      <c r="AL784" s="71">
        <f>IF(AND($AK784=1,ISNUMBER($L784)),IF($L784&lt;ReportDate,1,0),0)</f>
        <v>0</v>
      </c>
      <c r="AM784" s="71">
        <f>IF(AND($G784&lt;&gt;"",$M784="Blocked"),1,0)</f>
        <v>0</v>
      </c>
      <c r="AN784" s="71">
        <f>IF(AND($AK784=1,ISNUMBER($L784)),IF($L784=ReportDate,1,0),0)</f>
        <v>0</v>
      </c>
      <c r="AO784" s="71">
        <f>IF(AND($AK784=1,ISNUMBER($L784)),IF($L784=ReportDate+1,1,0),0)</f>
        <v>0</v>
      </c>
      <c r="AP784" s="71">
        <f>IF(AND($AK784=1,ISNUMBER($L784)),IF(AND($L784&gt;=ReportDate,$L784&lt;=ReportDate+DueSoonDays),1,0),0)</f>
        <v>0</v>
      </c>
      <c r="AQ784" s="71">
        <f>IF(AND($AK784=1,OR($I784="Critical",$I784="High")),1,0)</f>
        <v>0</v>
      </c>
      <c r="AR784" s="71">
        <f>IF($AK784=1,IF(ISNUMBER($Y784),IF(ReportDate-$Y784&gt;StaleDays,1,0),1),0)</f>
        <v>0</v>
      </c>
      <c r="AS784" s="71">
        <f>IF(AND($G784&lt;&gt;"",ISNUMBER($Q784),ISNUMBER($R784)),IF(AND($Q784&lt;$R784,OR($M784="Completed",AND(ISNUMBER($L784),$L784&lt;ReportDate))),1,0),0)</f>
        <v>0</v>
      </c>
      <c r="AT784" s="71">
        <f>IF($AK784=1,IF(OR($L784=ReportDate,$W784=ReportDate,$K784=ReportDate,$A784=ReportDate),1,0),0)</f>
        <v>0</v>
      </c>
      <c r="AU784" s="71">
        <f>IF($AK784=1,IF(OR($L784=ReportDate+1,$W784=ReportDate+1,$K784=ReportDate+1,$A784=ReportDate+1),1,0),0)</f>
        <v>0</v>
      </c>
      <c r="AV784" s="71">
        <f>IF(AND($G784&lt;&gt;"",$M784="Completed"),IF(OR($Y784=ReportDate-1,$A784=ReportDate-1),1,0),0)</f>
        <v>0</v>
      </c>
      <c r="AW784" s="71">
        <f>IF(AND($AK784=1,$Z784="Yes"),1,0)</f>
        <v>0</v>
      </c>
      <c r="AX784" s="71">
        <f>IF(AND($AK784=1,$AA784="Yes"),1,0)</f>
        <v>0</v>
      </c>
      <c r="AY784" s="71">
        <f>IF(AND($AM784=1,OR($I784="Critical",$I784="High")),1,0)</f>
        <v>0</v>
      </c>
      <c r="AZ784" s="71">
        <f>IF(AND($AK784=1,OR($C784=TCL_Client,$C784=MECCA_Client)),1,0)</f>
        <v>0</v>
      </c>
      <c r="BA784" s="71" t="str">
        <f>IF($G784="","",IFERROR(MATCH($I784,lst_Priority,0),5))</f>
        <v/>
      </c>
      <c r="BB784" s="71" t="str">
        <f>IF(AND($AL784=1,$AJ784=1),$BA784*100000+ROW(),"")</f>
        <v/>
      </c>
      <c r="BC784" s="71" t="str">
        <f>IF(AND($AM784=1,$AJ784=1),$BA784*100000+ROW(),"")</f>
        <v/>
      </c>
      <c r="BD784" s="71" t="str">
        <f>IF(AND($AP784=1,$AJ784=1),$BA784*100000+ROW(),"")</f>
        <v/>
      </c>
      <c r="BE784" s="71" t="str">
        <f>IF(AND($AT784=1,$AJ784=1),$BA784*100000+ROW(),"")</f>
        <v/>
      </c>
      <c r="BF784" s="71" t="str">
        <f>IF(AND($AU784=1,$AJ784=1),$BA784*100000+ROW(),"")</f>
        <v/>
      </c>
      <c r="BG784" s="71" t="str">
        <f>IF(AND($AV784=1,$AJ784=1),$BA784*100000+ROW(),"")</f>
        <v/>
      </c>
      <c r="BH784" s="71" t="str">
        <f>IF(AND($AW784=1,$AJ784=1),$BA784*100000+ROW(),"")</f>
        <v/>
      </c>
      <c r="BI784" s="71" t="str">
        <f>IF(AND($AX784=1,$AJ784=1),$BA784*100000+ROW(),"")</f>
        <v/>
      </c>
      <c r="BJ784" s="71" t="str">
        <f>IF(AND($AS784=1,$AJ784=1),$BA784*100000+ROW(),"")</f>
        <v/>
      </c>
      <c r="BK784" s="71" t="str">
        <f>IF(AND($AY784=1,$AJ784=1),$BA784*100000+ROW(),"")</f>
        <v/>
      </c>
      <c r="BL784" s="71" t="str">
        <f>IF(AND($AZ784=1),$BA784*100000+ROW(),"")</f>
        <v/>
      </c>
    </row>
    <row r="785">
      <c r="A785" s="63" t="n"/>
      <c r="B785" s="64" t="n"/>
      <c r="C785" s="64" t="n"/>
      <c r="D785" s="64" t="n"/>
      <c r="E785" s="64" t="n"/>
      <c r="F785" s="64" t="n"/>
      <c r="G785" s="65" t="n"/>
      <c r="H785" s="65" t="n"/>
      <c r="I785" s="64" t="n"/>
      <c r="J785" s="64" t="n"/>
      <c r="K785" s="63" t="n"/>
      <c r="L785" s="63" t="n"/>
      <c r="M785" s="64" t="n"/>
      <c r="N785" s="66" t="n"/>
      <c r="O785" s="65" t="n"/>
      <c r="P785" s="64" t="n"/>
      <c r="Q785" s="67" t="n"/>
      <c r="R785" s="67" t="n"/>
      <c r="S785" s="68" t="str">
        <f>IF(AND(ISNUMBER($Q785),ISNUMBER($R785)),$Q785-$R785,"")</f>
        <v/>
      </c>
      <c r="T785" s="65" t="n"/>
      <c r="U785" s="64" t="n"/>
      <c r="V785" s="65" t="n"/>
      <c r="W785" s="63" t="n"/>
      <c r="X785" s="65" t="n"/>
      <c r="Y785" s="63" t="n"/>
      <c r="Z785" s="64" t="n"/>
      <c r="AA785" s="64" t="n"/>
      <c r="AB785" s="65" t="n"/>
      <c r="AC785" s="69" t="str">
        <f>IF(OR($G785="",NOT(ISNUMBER($K785)),$AK785=0),"",MAX(0,ReportDate-$K785))</f>
        <v/>
      </c>
      <c r="AD785" s="69" t="str">
        <f>IF($G785="","",IF($AL785=1,ReportDate-$L785,0))</f>
        <v/>
      </c>
      <c r="AE785" s="70" t="str">
        <f>IF($G785="","",IF($M785="Completed",1,IF(ISNUMBER($N785),$N785,0)))</f>
        <v/>
      </c>
      <c r="AF785" s="70" t="str">
        <f>IF(AND(ISNUMBER($Q785),ISNUMBER($R785)),IF($R785&lt;&gt;0,$Q785/$R785,""),"")</f>
        <v/>
      </c>
      <c r="AG785" s="71" t="str">
        <f>IF($G785="","",IF($AL785=1,"OVERDUE",IF($AM785=1,"BLOCKED",IF($AN785=1,"DUE TODAY",IF($AO785=1,"DUE TOMORROW",IF($AQ785=1,"HIGH PRIORITY",IF($AR785=1,"NO RECENT UPDATE",""))))))) </f>
        <v/>
      </c>
      <c r="AH785" s="71" t="str">
        <f>IF($G785="","",IF(ISNUMBER($A785),IF(ISNUMBER($A785),YEAR($A785)&amp;"-"&amp;TEXT(MONTH($A785),"00"),""),IF(ISNUMBER($L785),IF(ISNUMBER($L785),YEAR($L785)&amp;"-"&amp;TEXT(MONTH($L785),"00"),""),"")))</f>
        <v/>
      </c>
      <c r="AI785" s="71">
        <f>IF($G785="",0,IF(AND(OR(fClient="All",$C785=fClient),OR(fCampaign="All",$D785=fCampaign),OR(fTeam="All",$B785=fTeam),OR(fChannel="All",$F785=fChannel),OR(fMonth="All",$AH785=fMonth),OR(fTStatus="All",$M785=fTStatus)),1,0))</f>
        <v>0</v>
      </c>
      <c r="AJ785" s="71">
        <f>IF($G785="",0,IF(AND(OR(fClient="All",$C785=fClient),OR(fCampaign="All",$D785=fCampaign),OR(fTeam="All",$B785=fTeam),OR(fChannel="All",$F785=fChannel)),1,0))</f>
        <v>0</v>
      </c>
      <c r="AK785" s="71">
        <f>IF($G785="",0,IF(OR($M785="Completed",$M785="Cancelled"),0,1))</f>
        <v>0</v>
      </c>
      <c r="AL785" s="71">
        <f>IF(AND($AK785=1,ISNUMBER($L785)),IF($L785&lt;ReportDate,1,0),0)</f>
        <v>0</v>
      </c>
      <c r="AM785" s="71">
        <f>IF(AND($G785&lt;&gt;"",$M785="Blocked"),1,0)</f>
        <v>0</v>
      </c>
      <c r="AN785" s="71">
        <f>IF(AND($AK785=1,ISNUMBER($L785)),IF($L785=ReportDate,1,0),0)</f>
        <v>0</v>
      </c>
      <c r="AO785" s="71">
        <f>IF(AND($AK785=1,ISNUMBER($L785)),IF($L785=ReportDate+1,1,0),0)</f>
        <v>0</v>
      </c>
      <c r="AP785" s="71">
        <f>IF(AND($AK785=1,ISNUMBER($L785)),IF(AND($L785&gt;=ReportDate,$L785&lt;=ReportDate+DueSoonDays),1,0),0)</f>
        <v>0</v>
      </c>
      <c r="AQ785" s="71">
        <f>IF(AND($AK785=1,OR($I785="Critical",$I785="High")),1,0)</f>
        <v>0</v>
      </c>
      <c r="AR785" s="71">
        <f>IF($AK785=1,IF(ISNUMBER($Y785),IF(ReportDate-$Y785&gt;StaleDays,1,0),1),0)</f>
        <v>0</v>
      </c>
      <c r="AS785" s="71">
        <f>IF(AND($G785&lt;&gt;"",ISNUMBER($Q785),ISNUMBER($R785)),IF(AND($Q785&lt;$R785,OR($M785="Completed",AND(ISNUMBER($L785),$L785&lt;ReportDate))),1,0),0)</f>
        <v>0</v>
      </c>
      <c r="AT785" s="71">
        <f>IF($AK785=1,IF(OR($L785=ReportDate,$W785=ReportDate,$K785=ReportDate,$A785=ReportDate),1,0),0)</f>
        <v>0</v>
      </c>
      <c r="AU785" s="71">
        <f>IF($AK785=1,IF(OR($L785=ReportDate+1,$W785=ReportDate+1,$K785=ReportDate+1,$A785=ReportDate+1),1,0),0)</f>
        <v>0</v>
      </c>
      <c r="AV785" s="71">
        <f>IF(AND($G785&lt;&gt;"",$M785="Completed"),IF(OR($Y785=ReportDate-1,$A785=ReportDate-1),1,0),0)</f>
        <v>0</v>
      </c>
      <c r="AW785" s="71">
        <f>IF(AND($AK785=1,$Z785="Yes"),1,0)</f>
        <v>0</v>
      </c>
      <c r="AX785" s="71">
        <f>IF(AND($AK785=1,$AA785="Yes"),1,0)</f>
        <v>0</v>
      </c>
      <c r="AY785" s="71">
        <f>IF(AND($AM785=1,OR($I785="Critical",$I785="High")),1,0)</f>
        <v>0</v>
      </c>
      <c r="AZ785" s="71">
        <f>IF(AND($AK785=1,OR($C785=TCL_Client,$C785=MECCA_Client)),1,0)</f>
        <v>0</v>
      </c>
      <c r="BA785" s="71" t="str">
        <f>IF($G785="","",IFERROR(MATCH($I785,lst_Priority,0),5))</f>
        <v/>
      </c>
      <c r="BB785" s="71" t="str">
        <f>IF(AND($AL785=1,$AJ785=1),$BA785*100000+ROW(),"")</f>
        <v/>
      </c>
      <c r="BC785" s="71" t="str">
        <f>IF(AND($AM785=1,$AJ785=1),$BA785*100000+ROW(),"")</f>
        <v/>
      </c>
      <c r="BD785" s="71" t="str">
        <f>IF(AND($AP785=1,$AJ785=1),$BA785*100000+ROW(),"")</f>
        <v/>
      </c>
      <c r="BE785" s="71" t="str">
        <f>IF(AND($AT785=1,$AJ785=1),$BA785*100000+ROW(),"")</f>
        <v/>
      </c>
      <c r="BF785" s="71" t="str">
        <f>IF(AND($AU785=1,$AJ785=1),$BA785*100000+ROW(),"")</f>
        <v/>
      </c>
      <c r="BG785" s="71" t="str">
        <f>IF(AND($AV785=1,$AJ785=1),$BA785*100000+ROW(),"")</f>
        <v/>
      </c>
      <c r="BH785" s="71" t="str">
        <f>IF(AND($AW785=1,$AJ785=1),$BA785*100000+ROW(),"")</f>
        <v/>
      </c>
      <c r="BI785" s="71" t="str">
        <f>IF(AND($AX785=1,$AJ785=1),$BA785*100000+ROW(),"")</f>
        <v/>
      </c>
      <c r="BJ785" s="71" t="str">
        <f>IF(AND($AS785=1,$AJ785=1),$BA785*100000+ROW(),"")</f>
        <v/>
      </c>
      <c r="BK785" s="71" t="str">
        <f>IF(AND($AY785=1,$AJ785=1),$BA785*100000+ROW(),"")</f>
        <v/>
      </c>
      <c r="BL785" s="71" t="str">
        <f>IF(AND($AZ785=1),$BA785*100000+ROW(),"")</f>
        <v/>
      </c>
    </row>
    <row r="786">
      <c r="A786" s="63" t="n"/>
      <c r="B786" s="64" t="n"/>
      <c r="C786" s="64" t="n"/>
      <c r="D786" s="64" t="n"/>
      <c r="E786" s="64" t="n"/>
      <c r="F786" s="64" t="n"/>
      <c r="G786" s="65" t="n"/>
      <c r="H786" s="65" t="n"/>
      <c r="I786" s="64" t="n"/>
      <c r="J786" s="64" t="n"/>
      <c r="K786" s="63" t="n"/>
      <c r="L786" s="63" t="n"/>
      <c r="M786" s="64" t="n"/>
      <c r="N786" s="66" t="n"/>
      <c r="O786" s="65" t="n"/>
      <c r="P786" s="64" t="n"/>
      <c r="Q786" s="67" t="n"/>
      <c r="R786" s="67" t="n"/>
      <c r="S786" s="68" t="str">
        <f>IF(AND(ISNUMBER($Q786),ISNUMBER($R786)),$Q786-$R786,"")</f>
        <v/>
      </c>
      <c r="T786" s="65" t="n"/>
      <c r="U786" s="64" t="n"/>
      <c r="V786" s="65" t="n"/>
      <c r="W786" s="63" t="n"/>
      <c r="X786" s="65" t="n"/>
      <c r="Y786" s="63" t="n"/>
      <c r="Z786" s="64" t="n"/>
      <c r="AA786" s="64" t="n"/>
      <c r="AB786" s="65" t="n"/>
      <c r="AC786" s="69" t="str">
        <f>IF(OR($G786="",NOT(ISNUMBER($K786)),$AK786=0),"",MAX(0,ReportDate-$K786))</f>
        <v/>
      </c>
      <c r="AD786" s="69" t="str">
        <f>IF($G786="","",IF($AL786=1,ReportDate-$L786,0))</f>
        <v/>
      </c>
      <c r="AE786" s="70" t="str">
        <f>IF($G786="","",IF($M786="Completed",1,IF(ISNUMBER($N786),$N786,0)))</f>
        <v/>
      </c>
      <c r="AF786" s="70" t="str">
        <f>IF(AND(ISNUMBER($Q786),ISNUMBER($R786)),IF($R786&lt;&gt;0,$Q786/$R786,""),"")</f>
        <v/>
      </c>
      <c r="AG786" s="71" t="str">
        <f>IF($G786="","",IF($AL786=1,"OVERDUE",IF($AM786=1,"BLOCKED",IF($AN786=1,"DUE TODAY",IF($AO786=1,"DUE TOMORROW",IF($AQ786=1,"HIGH PRIORITY",IF($AR786=1,"NO RECENT UPDATE",""))))))) </f>
        <v/>
      </c>
      <c r="AH786" s="71" t="str">
        <f>IF($G786="","",IF(ISNUMBER($A786),IF(ISNUMBER($A786),YEAR($A786)&amp;"-"&amp;TEXT(MONTH($A786),"00"),""),IF(ISNUMBER($L786),IF(ISNUMBER($L786),YEAR($L786)&amp;"-"&amp;TEXT(MONTH($L786),"00"),""),"")))</f>
        <v/>
      </c>
      <c r="AI786" s="71">
        <f>IF($G786="",0,IF(AND(OR(fClient="All",$C786=fClient),OR(fCampaign="All",$D786=fCampaign),OR(fTeam="All",$B786=fTeam),OR(fChannel="All",$F786=fChannel),OR(fMonth="All",$AH786=fMonth),OR(fTStatus="All",$M786=fTStatus)),1,0))</f>
        <v>0</v>
      </c>
      <c r="AJ786" s="71">
        <f>IF($G786="",0,IF(AND(OR(fClient="All",$C786=fClient),OR(fCampaign="All",$D786=fCampaign),OR(fTeam="All",$B786=fTeam),OR(fChannel="All",$F786=fChannel)),1,0))</f>
        <v>0</v>
      </c>
      <c r="AK786" s="71">
        <f>IF($G786="",0,IF(OR($M786="Completed",$M786="Cancelled"),0,1))</f>
        <v>0</v>
      </c>
      <c r="AL786" s="71">
        <f>IF(AND($AK786=1,ISNUMBER($L786)),IF($L786&lt;ReportDate,1,0),0)</f>
        <v>0</v>
      </c>
      <c r="AM786" s="71">
        <f>IF(AND($G786&lt;&gt;"",$M786="Blocked"),1,0)</f>
        <v>0</v>
      </c>
      <c r="AN786" s="71">
        <f>IF(AND($AK786=1,ISNUMBER($L786)),IF($L786=ReportDate,1,0),0)</f>
        <v>0</v>
      </c>
      <c r="AO786" s="71">
        <f>IF(AND($AK786=1,ISNUMBER($L786)),IF($L786=ReportDate+1,1,0),0)</f>
        <v>0</v>
      </c>
      <c r="AP786" s="71">
        <f>IF(AND($AK786=1,ISNUMBER($L786)),IF(AND($L786&gt;=ReportDate,$L786&lt;=ReportDate+DueSoonDays),1,0),0)</f>
        <v>0</v>
      </c>
      <c r="AQ786" s="71">
        <f>IF(AND($AK786=1,OR($I786="Critical",$I786="High")),1,0)</f>
        <v>0</v>
      </c>
      <c r="AR786" s="71">
        <f>IF($AK786=1,IF(ISNUMBER($Y786),IF(ReportDate-$Y786&gt;StaleDays,1,0),1),0)</f>
        <v>0</v>
      </c>
      <c r="AS786" s="71">
        <f>IF(AND($G786&lt;&gt;"",ISNUMBER($Q786),ISNUMBER($R786)),IF(AND($Q786&lt;$R786,OR($M786="Completed",AND(ISNUMBER($L786),$L786&lt;ReportDate))),1,0),0)</f>
        <v>0</v>
      </c>
      <c r="AT786" s="71">
        <f>IF($AK786=1,IF(OR($L786=ReportDate,$W786=ReportDate,$K786=ReportDate,$A786=ReportDate),1,0),0)</f>
        <v>0</v>
      </c>
      <c r="AU786" s="71">
        <f>IF($AK786=1,IF(OR($L786=ReportDate+1,$W786=ReportDate+1,$K786=ReportDate+1,$A786=ReportDate+1),1,0),0)</f>
        <v>0</v>
      </c>
      <c r="AV786" s="71">
        <f>IF(AND($G786&lt;&gt;"",$M786="Completed"),IF(OR($Y786=ReportDate-1,$A786=ReportDate-1),1,0),0)</f>
        <v>0</v>
      </c>
      <c r="AW786" s="71">
        <f>IF(AND($AK786=1,$Z786="Yes"),1,0)</f>
        <v>0</v>
      </c>
      <c r="AX786" s="71">
        <f>IF(AND($AK786=1,$AA786="Yes"),1,0)</f>
        <v>0</v>
      </c>
      <c r="AY786" s="71">
        <f>IF(AND($AM786=1,OR($I786="Critical",$I786="High")),1,0)</f>
        <v>0</v>
      </c>
      <c r="AZ786" s="71">
        <f>IF(AND($AK786=1,OR($C786=TCL_Client,$C786=MECCA_Client)),1,0)</f>
        <v>0</v>
      </c>
      <c r="BA786" s="71" t="str">
        <f>IF($G786="","",IFERROR(MATCH($I786,lst_Priority,0),5))</f>
        <v/>
      </c>
      <c r="BB786" s="71" t="str">
        <f>IF(AND($AL786=1,$AJ786=1),$BA786*100000+ROW(),"")</f>
        <v/>
      </c>
      <c r="BC786" s="71" t="str">
        <f>IF(AND($AM786=1,$AJ786=1),$BA786*100000+ROW(),"")</f>
        <v/>
      </c>
      <c r="BD786" s="71" t="str">
        <f>IF(AND($AP786=1,$AJ786=1),$BA786*100000+ROW(),"")</f>
        <v/>
      </c>
      <c r="BE786" s="71" t="str">
        <f>IF(AND($AT786=1,$AJ786=1),$BA786*100000+ROW(),"")</f>
        <v/>
      </c>
      <c r="BF786" s="71" t="str">
        <f>IF(AND($AU786=1,$AJ786=1),$BA786*100000+ROW(),"")</f>
        <v/>
      </c>
      <c r="BG786" s="71" t="str">
        <f>IF(AND($AV786=1,$AJ786=1),$BA786*100000+ROW(),"")</f>
        <v/>
      </c>
      <c r="BH786" s="71" t="str">
        <f>IF(AND($AW786=1,$AJ786=1),$BA786*100000+ROW(),"")</f>
        <v/>
      </c>
      <c r="BI786" s="71" t="str">
        <f>IF(AND($AX786=1,$AJ786=1),$BA786*100000+ROW(),"")</f>
        <v/>
      </c>
      <c r="BJ786" s="71" t="str">
        <f>IF(AND($AS786=1,$AJ786=1),$BA786*100000+ROW(),"")</f>
        <v/>
      </c>
      <c r="BK786" s="71" t="str">
        <f>IF(AND($AY786=1,$AJ786=1),$BA786*100000+ROW(),"")</f>
        <v/>
      </c>
      <c r="BL786" s="71" t="str">
        <f>IF(AND($AZ786=1),$BA786*100000+ROW(),"")</f>
        <v/>
      </c>
    </row>
    <row r="787">
      <c r="A787" s="63" t="n"/>
      <c r="B787" s="64" t="n"/>
      <c r="C787" s="64" t="n"/>
      <c r="D787" s="64" t="n"/>
      <c r="E787" s="64" t="n"/>
      <c r="F787" s="64" t="n"/>
      <c r="G787" s="65" t="n"/>
      <c r="H787" s="65" t="n"/>
      <c r="I787" s="64" t="n"/>
      <c r="J787" s="64" t="n"/>
      <c r="K787" s="63" t="n"/>
      <c r="L787" s="63" t="n"/>
      <c r="M787" s="64" t="n"/>
      <c r="N787" s="66" t="n"/>
      <c r="O787" s="65" t="n"/>
      <c r="P787" s="64" t="n"/>
      <c r="Q787" s="67" t="n"/>
      <c r="R787" s="67" t="n"/>
      <c r="S787" s="68" t="str">
        <f>IF(AND(ISNUMBER($Q787),ISNUMBER($R787)),$Q787-$R787,"")</f>
        <v/>
      </c>
      <c r="T787" s="65" t="n"/>
      <c r="U787" s="64" t="n"/>
      <c r="V787" s="65" t="n"/>
      <c r="W787" s="63" t="n"/>
      <c r="X787" s="65" t="n"/>
      <c r="Y787" s="63" t="n"/>
      <c r="Z787" s="64" t="n"/>
      <c r="AA787" s="64" t="n"/>
      <c r="AB787" s="65" t="n"/>
      <c r="AC787" s="69" t="str">
        <f>IF(OR($G787="",NOT(ISNUMBER($K787)),$AK787=0),"",MAX(0,ReportDate-$K787))</f>
        <v/>
      </c>
      <c r="AD787" s="69" t="str">
        <f>IF($G787="","",IF($AL787=1,ReportDate-$L787,0))</f>
        <v/>
      </c>
      <c r="AE787" s="70" t="str">
        <f>IF($G787="","",IF($M787="Completed",1,IF(ISNUMBER($N787),$N787,0)))</f>
        <v/>
      </c>
      <c r="AF787" s="70" t="str">
        <f>IF(AND(ISNUMBER($Q787),ISNUMBER($R787)),IF($R787&lt;&gt;0,$Q787/$R787,""),"")</f>
        <v/>
      </c>
      <c r="AG787" s="71" t="str">
        <f>IF($G787="","",IF($AL787=1,"OVERDUE",IF($AM787=1,"BLOCKED",IF($AN787=1,"DUE TODAY",IF($AO787=1,"DUE TOMORROW",IF($AQ787=1,"HIGH PRIORITY",IF($AR787=1,"NO RECENT UPDATE",""))))))) </f>
        <v/>
      </c>
      <c r="AH787" s="71" t="str">
        <f>IF($G787="","",IF(ISNUMBER($A787),IF(ISNUMBER($A787),YEAR($A787)&amp;"-"&amp;TEXT(MONTH($A787),"00"),""),IF(ISNUMBER($L787),IF(ISNUMBER($L787),YEAR($L787)&amp;"-"&amp;TEXT(MONTH($L787),"00"),""),"")))</f>
        <v/>
      </c>
      <c r="AI787" s="71">
        <f>IF($G787="",0,IF(AND(OR(fClient="All",$C787=fClient),OR(fCampaign="All",$D787=fCampaign),OR(fTeam="All",$B787=fTeam),OR(fChannel="All",$F787=fChannel),OR(fMonth="All",$AH787=fMonth),OR(fTStatus="All",$M787=fTStatus)),1,0))</f>
        <v>0</v>
      </c>
      <c r="AJ787" s="71">
        <f>IF($G787="",0,IF(AND(OR(fClient="All",$C787=fClient),OR(fCampaign="All",$D787=fCampaign),OR(fTeam="All",$B787=fTeam),OR(fChannel="All",$F787=fChannel)),1,0))</f>
        <v>0</v>
      </c>
      <c r="AK787" s="71">
        <f>IF($G787="",0,IF(OR($M787="Completed",$M787="Cancelled"),0,1))</f>
        <v>0</v>
      </c>
      <c r="AL787" s="71">
        <f>IF(AND($AK787=1,ISNUMBER($L787)),IF($L787&lt;ReportDate,1,0),0)</f>
        <v>0</v>
      </c>
      <c r="AM787" s="71">
        <f>IF(AND($G787&lt;&gt;"",$M787="Blocked"),1,0)</f>
        <v>0</v>
      </c>
      <c r="AN787" s="71">
        <f>IF(AND($AK787=1,ISNUMBER($L787)),IF($L787=ReportDate,1,0),0)</f>
        <v>0</v>
      </c>
      <c r="AO787" s="71">
        <f>IF(AND($AK787=1,ISNUMBER($L787)),IF($L787=ReportDate+1,1,0),0)</f>
        <v>0</v>
      </c>
      <c r="AP787" s="71">
        <f>IF(AND($AK787=1,ISNUMBER($L787)),IF(AND($L787&gt;=ReportDate,$L787&lt;=ReportDate+DueSoonDays),1,0),0)</f>
        <v>0</v>
      </c>
      <c r="AQ787" s="71">
        <f>IF(AND($AK787=1,OR($I787="Critical",$I787="High")),1,0)</f>
        <v>0</v>
      </c>
      <c r="AR787" s="71">
        <f>IF($AK787=1,IF(ISNUMBER($Y787),IF(ReportDate-$Y787&gt;StaleDays,1,0),1),0)</f>
        <v>0</v>
      </c>
      <c r="AS787" s="71">
        <f>IF(AND($G787&lt;&gt;"",ISNUMBER($Q787),ISNUMBER($R787)),IF(AND($Q787&lt;$R787,OR($M787="Completed",AND(ISNUMBER($L787),$L787&lt;ReportDate))),1,0),0)</f>
        <v>0</v>
      </c>
      <c r="AT787" s="71">
        <f>IF($AK787=1,IF(OR($L787=ReportDate,$W787=ReportDate,$K787=ReportDate,$A787=ReportDate),1,0),0)</f>
        <v>0</v>
      </c>
      <c r="AU787" s="71">
        <f>IF($AK787=1,IF(OR($L787=ReportDate+1,$W787=ReportDate+1,$K787=ReportDate+1,$A787=ReportDate+1),1,0),0)</f>
        <v>0</v>
      </c>
      <c r="AV787" s="71">
        <f>IF(AND($G787&lt;&gt;"",$M787="Completed"),IF(OR($Y787=ReportDate-1,$A787=ReportDate-1),1,0),0)</f>
        <v>0</v>
      </c>
      <c r="AW787" s="71">
        <f>IF(AND($AK787=1,$Z787="Yes"),1,0)</f>
        <v>0</v>
      </c>
      <c r="AX787" s="71">
        <f>IF(AND($AK787=1,$AA787="Yes"),1,0)</f>
        <v>0</v>
      </c>
      <c r="AY787" s="71">
        <f>IF(AND($AM787=1,OR($I787="Critical",$I787="High")),1,0)</f>
        <v>0</v>
      </c>
      <c r="AZ787" s="71">
        <f>IF(AND($AK787=1,OR($C787=TCL_Client,$C787=MECCA_Client)),1,0)</f>
        <v>0</v>
      </c>
      <c r="BA787" s="71" t="str">
        <f>IF($G787="","",IFERROR(MATCH($I787,lst_Priority,0),5))</f>
        <v/>
      </c>
      <c r="BB787" s="71" t="str">
        <f>IF(AND($AL787=1,$AJ787=1),$BA787*100000+ROW(),"")</f>
        <v/>
      </c>
      <c r="BC787" s="71" t="str">
        <f>IF(AND($AM787=1,$AJ787=1),$BA787*100000+ROW(),"")</f>
        <v/>
      </c>
      <c r="BD787" s="71" t="str">
        <f>IF(AND($AP787=1,$AJ787=1),$BA787*100000+ROW(),"")</f>
        <v/>
      </c>
      <c r="BE787" s="71" t="str">
        <f>IF(AND($AT787=1,$AJ787=1),$BA787*100000+ROW(),"")</f>
        <v/>
      </c>
      <c r="BF787" s="71" t="str">
        <f>IF(AND($AU787=1,$AJ787=1),$BA787*100000+ROW(),"")</f>
        <v/>
      </c>
      <c r="BG787" s="71" t="str">
        <f>IF(AND($AV787=1,$AJ787=1),$BA787*100000+ROW(),"")</f>
        <v/>
      </c>
      <c r="BH787" s="71" t="str">
        <f>IF(AND($AW787=1,$AJ787=1),$BA787*100000+ROW(),"")</f>
        <v/>
      </c>
      <c r="BI787" s="71" t="str">
        <f>IF(AND($AX787=1,$AJ787=1),$BA787*100000+ROW(),"")</f>
        <v/>
      </c>
      <c r="BJ787" s="71" t="str">
        <f>IF(AND($AS787=1,$AJ787=1),$BA787*100000+ROW(),"")</f>
        <v/>
      </c>
      <c r="BK787" s="71" t="str">
        <f>IF(AND($AY787=1,$AJ787=1),$BA787*100000+ROW(),"")</f>
        <v/>
      </c>
      <c r="BL787" s="71" t="str">
        <f>IF(AND($AZ787=1),$BA787*100000+ROW(),"")</f>
        <v/>
      </c>
    </row>
    <row r="788">
      <c r="A788" s="63" t="n"/>
      <c r="B788" s="64" t="n"/>
      <c r="C788" s="64" t="n"/>
      <c r="D788" s="64" t="n"/>
      <c r="E788" s="64" t="n"/>
      <c r="F788" s="64" t="n"/>
      <c r="G788" s="65" t="n"/>
      <c r="H788" s="65" t="n"/>
      <c r="I788" s="64" t="n"/>
      <c r="J788" s="64" t="n"/>
      <c r="K788" s="63" t="n"/>
      <c r="L788" s="63" t="n"/>
      <c r="M788" s="64" t="n"/>
      <c r="N788" s="66" t="n"/>
      <c r="O788" s="65" t="n"/>
      <c r="P788" s="64" t="n"/>
      <c r="Q788" s="67" t="n"/>
      <c r="R788" s="67" t="n"/>
      <c r="S788" s="68" t="str">
        <f>IF(AND(ISNUMBER($Q788),ISNUMBER($R788)),$Q788-$R788,"")</f>
        <v/>
      </c>
      <c r="T788" s="65" t="n"/>
      <c r="U788" s="64" t="n"/>
      <c r="V788" s="65" t="n"/>
      <c r="W788" s="63" t="n"/>
      <c r="X788" s="65" t="n"/>
      <c r="Y788" s="63" t="n"/>
      <c r="Z788" s="64" t="n"/>
      <c r="AA788" s="64" t="n"/>
      <c r="AB788" s="65" t="n"/>
      <c r="AC788" s="69" t="str">
        <f>IF(OR($G788="",NOT(ISNUMBER($K788)),$AK788=0),"",MAX(0,ReportDate-$K788))</f>
        <v/>
      </c>
      <c r="AD788" s="69" t="str">
        <f>IF($G788="","",IF($AL788=1,ReportDate-$L788,0))</f>
        <v/>
      </c>
      <c r="AE788" s="70" t="str">
        <f>IF($G788="","",IF($M788="Completed",1,IF(ISNUMBER($N788),$N788,0)))</f>
        <v/>
      </c>
      <c r="AF788" s="70" t="str">
        <f>IF(AND(ISNUMBER($Q788),ISNUMBER($R788)),IF($R788&lt;&gt;0,$Q788/$R788,""),"")</f>
        <v/>
      </c>
      <c r="AG788" s="71" t="str">
        <f>IF($G788="","",IF($AL788=1,"OVERDUE",IF($AM788=1,"BLOCKED",IF($AN788=1,"DUE TODAY",IF($AO788=1,"DUE TOMORROW",IF($AQ788=1,"HIGH PRIORITY",IF($AR788=1,"NO RECENT UPDATE",""))))))) </f>
        <v/>
      </c>
      <c r="AH788" s="71" t="str">
        <f>IF($G788="","",IF(ISNUMBER($A788),IF(ISNUMBER($A788),YEAR($A788)&amp;"-"&amp;TEXT(MONTH($A788),"00"),""),IF(ISNUMBER($L788),IF(ISNUMBER($L788),YEAR($L788)&amp;"-"&amp;TEXT(MONTH($L788),"00"),""),"")))</f>
        <v/>
      </c>
      <c r="AI788" s="71">
        <f>IF($G788="",0,IF(AND(OR(fClient="All",$C788=fClient),OR(fCampaign="All",$D788=fCampaign),OR(fTeam="All",$B788=fTeam),OR(fChannel="All",$F788=fChannel),OR(fMonth="All",$AH788=fMonth),OR(fTStatus="All",$M788=fTStatus)),1,0))</f>
        <v>0</v>
      </c>
      <c r="AJ788" s="71">
        <f>IF($G788="",0,IF(AND(OR(fClient="All",$C788=fClient),OR(fCampaign="All",$D788=fCampaign),OR(fTeam="All",$B788=fTeam),OR(fChannel="All",$F788=fChannel)),1,0))</f>
        <v>0</v>
      </c>
      <c r="AK788" s="71">
        <f>IF($G788="",0,IF(OR($M788="Completed",$M788="Cancelled"),0,1))</f>
        <v>0</v>
      </c>
      <c r="AL788" s="71">
        <f>IF(AND($AK788=1,ISNUMBER($L788)),IF($L788&lt;ReportDate,1,0),0)</f>
        <v>0</v>
      </c>
      <c r="AM788" s="71">
        <f>IF(AND($G788&lt;&gt;"",$M788="Blocked"),1,0)</f>
        <v>0</v>
      </c>
      <c r="AN788" s="71">
        <f>IF(AND($AK788=1,ISNUMBER($L788)),IF($L788=ReportDate,1,0),0)</f>
        <v>0</v>
      </c>
      <c r="AO788" s="71">
        <f>IF(AND($AK788=1,ISNUMBER($L788)),IF($L788=ReportDate+1,1,0),0)</f>
        <v>0</v>
      </c>
      <c r="AP788" s="71">
        <f>IF(AND($AK788=1,ISNUMBER($L788)),IF(AND($L788&gt;=ReportDate,$L788&lt;=ReportDate+DueSoonDays),1,0),0)</f>
        <v>0</v>
      </c>
      <c r="AQ788" s="71">
        <f>IF(AND($AK788=1,OR($I788="Critical",$I788="High")),1,0)</f>
        <v>0</v>
      </c>
      <c r="AR788" s="71">
        <f>IF($AK788=1,IF(ISNUMBER($Y788),IF(ReportDate-$Y788&gt;StaleDays,1,0),1),0)</f>
        <v>0</v>
      </c>
      <c r="AS788" s="71">
        <f>IF(AND($G788&lt;&gt;"",ISNUMBER($Q788),ISNUMBER($R788)),IF(AND($Q788&lt;$R788,OR($M788="Completed",AND(ISNUMBER($L788),$L788&lt;ReportDate))),1,0),0)</f>
        <v>0</v>
      </c>
      <c r="AT788" s="71">
        <f>IF($AK788=1,IF(OR($L788=ReportDate,$W788=ReportDate,$K788=ReportDate,$A788=ReportDate),1,0),0)</f>
        <v>0</v>
      </c>
      <c r="AU788" s="71">
        <f>IF($AK788=1,IF(OR($L788=ReportDate+1,$W788=ReportDate+1,$K788=ReportDate+1,$A788=ReportDate+1),1,0),0)</f>
        <v>0</v>
      </c>
      <c r="AV788" s="71">
        <f>IF(AND($G788&lt;&gt;"",$M788="Completed"),IF(OR($Y788=ReportDate-1,$A788=ReportDate-1),1,0),0)</f>
        <v>0</v>
      </c>
      <c r="AW788" s="71">
        <f>IF(AND($AK788=1,$Z788="Yes"),1,0)</f>
        <v>0</v>
      </c>
      <c r="AX788" s="71">
        <f>IF(AND($AK788=1,$AA788="Yes"),1,0)</f>
        <v>0</v>
      </c>
      <c r="AY788" s="71">
        <f>IF(AND($AM788=1,OR($I788="Critical",$I788="High")),1,0)</f>
        <v>0</v>
      </c>
      <c r="AZ788" s="71">
        <f>IF(AND($AK788=1,OR($C788=TCL_Client,$C788=MECCA_Client)),1,0)</f>
        <v>0</v>
      </c>
      <c r="BA788" s="71" t="str">
        <f>IF($G788="","",IFERROR(MATCH($I788,lst_Priority,0),5))</f>
        <v/>
      </c>
      <c r="BB788" s="71" t="str">
        <f>IF(AND($AL788=1,$AJ788=1),$BA788*100000+ROW(),"")</f>
        <v/>
      </c>
      <c r="BC788" s="71" t="str">
        <f>IF(AND($AM788=1,$AJ788=1),$BA788*100000+ROW(),"")</f>
        <v/>
      </c>
      <c r="BD788" s="71" t="str">
        <f>IF(AND($AP788=1,$AJ788=1),$BA788*100000+ROW(),"")</f>
        <v/>
      </c>
      <c r="BE788" s="71" t="str">
        <f>IF(AND($AT788=1,$AJ788=1),$BA788*100000+ROW(),"")</f>
        <v/>
      </c>
      <c r="BF788" s="71" t="str">
        <f>IF(AND($AU788=1,$AJ788=1),$BA788*100000+ROW(),"")</f>
        <v/>
      </c>
      <c r="BG788" s="71" t="str">
        <f>IF(AND($AV788=1,$AJ788=1),$BA788*100000+ROW(),"")</f>
        <v/>
      </c>
      <c r="BH788" s="71" t="str">
        <f>IF(AND($AW788=1,$AJ788=1),$BA788*100000+ROW(),"")</f>
        <v/>
      </c>
      <c r="BI788" s="71" t="str">
        <f>IF(AND($AX788=1,$AJ788=1),$BA788*100000+ROW(),"")</f>
        <v/>
      </c>
      <c r="BJ788" s="71" t="str">
        <f>IF(AND($AS788=1,$AJ788=1),$BA788*100000+ROW(),"")</f>
        <v/>
      </c>
      <c r="BK788" s="71" t="str">
        <f>IF(AND($AY788=1,$AJ788=1),$BA788*100000+ROW(),"")</f>
        <v/>
      </c>
      <c r="BL788" s="71" t="str">
        <f>IF(AND($AZ788=1),$BA788*100000+ROW(),"")</f>
        <v/>
      </c>
    </row>
    <row r="789">
      <c r="A789" s="63" t="n"/>
      <c r="B789" s="64" t="n"/>
      <c r="C789" s="64" t="n"/>
      <c r="D789" s="64" t="n"/>
      <c r="E789" s="64" t="n"/>
      <c r="F789" s="64" t="n"/>
      <c r="G789" s="65" t="n"/>
      <c r="H789" s="65" t="n"/>
      <c r="I789" s="64" t="n"/>
      <c r="J789" s="64" t="n"/>
      <c r="K789" s="63" t="n"/>
      <c r="L789" s="63" t="n"/>
      <c r="M789" s="64" t="n"/>
      <c r="N789" s="66" t="n"/>
      <c r="O789" s="65" t="n"/>
      <c r="P789" s="64" t="n"/>
      <c r="Q789" s="67" t="n"/>
      <c r="R789" s="67" t="n"/>
      <c r="S789" s="68" t="str">
        <f>IF(AND(ISNUMBER($Q789),ISNUMBER($R789)),$Q789-$R789,"")</f>
        <v/>
      </c>
      <c r="T789" s="65" t="n"/>
      <c r="U789" s="64" t="n"/>
      <c r="V789" s="65" t="n"/>
      <c r="W789" s="63" t="n"/>
      <c r="X789" s="65" t="n"/>
      <c r="Y789" s="63" t="n"/>
      <c r="Z789" s="64" t="n"/>
      <c r="AA789" s="64" t="n"/>
      <c r="AB789" s="65" t="n"/>
      <c r="AC789" s="69" t="str">
        <f>IF(OR($G789="",NOT(ISNUMBER($K789)),$AK789=0),"",MAX(0,ReportDate-$K789))</f>
        <v/>
      </c>
      <c r="AD789" s="69" t="str">
        <f>IF($G789="","",IF($AL789=1,ReportDate-$L789,0))</f>
        <v/>
      </c>
      <c r="AE789" s="70" t="str">
        <f>IF($G789="","",IF($M789="Completed",1,IF(ISNUMBER($N789),$N789,0)))</f>
        <v/>
      </c>
      <c r="AF789" s="70" t="str">
        <f>IF(AND(ISNUMBER($Q789),ISNUMBER($R789)),IF($R789&lt;&gt;0,$Q789/$R789,""),"")</f>
        <v/>
      </c>
      <c r="AG789" s="71" t="str">
        <f>IF($G789="","",IF($AL789=1,"OVERDUE",IF($AM789=1,"BLOCKED",IF($AN789=1,"DUE TODAY",IF($AO789=1,"DUE TOMORROW",IF($AQ789=1,"HIGH PRIORITY",IF($AR789=1,"NO RECENT UPDATE",""))))))) </f>
        <v/>
      </c>
      <c r="AH789" s="71" t="str">
        <f>IF($G789="","",IF(ISNUMBER($A789),IF(ISNUMBER($A789),YEAR($A789)&amp;"-"&amp;TEXT(MONTH($A789),"00"),""),IF(ISNUMBER($L789),IF(ISNUMBER($L789),YEAR($L789)&amp;"-"&amp;TEXT(MONTH($L789),"00"),""),"")))</f>
        <v/>
      </c>
      <c r="AI789" s="71">
        <f>IF($G789="",0,IF(AND(OR(fClient="All",$C789=fClient),OR(fCampaign="All",$D789=fCampaign),OR(fTeam="All",$B789=fTeam),OR(fChannel="All",$F789=fChannel),OR(fMonth="All",$AH789=fMonth),OR(fTStatus="All",$M789=fTStatus)),1,0))</f>
        <v>0</v>
      </c>
      <c r="AJ789" s="71">
        <f>IF($G789="",0,IF(AND(OR(fClient="All",$C789=fClient),OR(fCampaign="All",$D789=fCampaign),OR(fTeam="All",$B789=fTeam),OR(fChannel="All",$F789=fChannel)),1,0))</f>
        <v>0</v>
      </c>
      <c r="AK789" s="71">
        <f>IF($G789="",0,IF(OR($M789="Completed",$M789="Cancelled"),0,1))</f>
        <v>0</v>
      </c>
      <c r="AL789" s="71">
        <f>IF(AND($AK789=1,ISNUMBER($L789)),IF($L789&lt;ReportDate,1,0),0)</f>
        <v>0</v>
      </c>
      <c r="AM789" s="71">
        <f>IF(AND($G789&lt;&gt;"",$M789="Blocked"),1,0)</f>
        <v>0</v>
      </c>
      <c r="AN789" s="71">
        <f>IF(AND($AK789=1,ISNUMBER($L789)),IF($L789=ReportDate,1,0),0)</f>
        <v>0</v>
      </c>
      <c r="AO789" s="71">
        <f>IF(AND($AK789=1,ISNUMBER($L789)),IF($L789=ReportDate+1,1,0),0)</f>
        <v>0</v>
      </c>
      <c r="AP789" s="71">
        <f>IF(AND($AK789=1,ISNUMBER($L789)),IF(AND($L789&gt;=ReportDate,$L789&lt;=ReportDate+DueSoonDays),1,0),0)</f>
        <v>0</v>
      </c>
      <c r="AQ789" s="71">
        <f>IF(AND($AK789=1,OR($I789="Critical",$I789="High")),1,0)</f>
        <v>0</v>
      </c>
      <c r="AR789" s="71">
        <f>IF($AK789=1,IF(ISNUMBER($Y789),IF(ReportDate-$Y789&gt;StaleDays,1,0),1),0)</f>
        <v>0</v>
      </c>
      <c r="AS789" s="71">
        <f>IF(AND($G789&lt;&gt;"",ISNUMBER($Q789),ISNUMBER($R789)),IF(AND($Q789&lt;$R789,OR($M789="Completed",AND(ISNUMBER($L789),$L789&lt;ReportDate))),1,0),0)</f>
        <v>0</v>
      </c>
      <c r="AT789" s="71">
        <f>IF($AK789=1,IF(OR($L789=ReportDate,$W789=ReportDate,$K789=ReportDate,$A789=ReportDate),1,0),0)</f>
        <v>0</v>
      </c>
      <c r="AU789" s="71">
        <f>IF($AK789=1,IF(OR($L789=ReportDate+1,$W789=ReportDate+1,$K789=ReportDate+1,$A789=ReportDate+1),1,0),0)</f>
        <v>0</v>
      </c>
      <c r="AV789" s="71">
        <f>IF(AND($G789&lt;&gt;"",$M789="Completed"),IF(OR($Y789=ReportDate-1,$A789=ReportDate-1),1,0),0)</f>
        <v>0</v>
      </c>
      <c r="AW789" s="71">
        <f>IF(AND($AK789=1,$Z789="Yes"),1,0)</f>
        <v>0</v>
      </c>
      <c r="AX789" s="71">
        <f>IF(AND($AK789=1,$AA789="Yes"),1,0)</f>
        <v>0</v>
      </c>
      <c r="AY789" s="71">
        <f>IF(AND($AM789=1,OR($I789="Critical",$I789="High")),1,0)</f>
        <v>0</v>
      </c>
      <c r="AZ789" s="71">
        <f>IF(AND($AK789=1,OR($C789=TCL_Client,$C789=MECCA_Client)),1,0)</f>
        <v>0</v>
      </c>
      <c r="BA789" s="71" t="str">
        <f>IF($G789="","",IFERROR(MATCH($I789,lst_Priority,0),5))</f>
        <v/>
      </c>
      <c r="BB789" s="71" t="str">
        <f>IF(AND($AL789=1,$AJ789=1),$BA789*100000+ROW(),"")</f>
        <v/>
      </c>
      <c r="BC789" s="71" t="str">
        <f>IF(AND($AM789=1,$AJ789=1),$BA789*100000+ROW(),"")</f>
        <v/>
      </c>
      <c r="BD789" s="71" t="str">
        <f>IF(AND($AP789=1,$AJ789=1),$BA789*100000+ROW(),"")</f>
        <v/>
      </c>
      <c r="BE789" s="71" t="str">
        <f>IF(AND($AT789=1,$AJ789=1),$BA789*100000+ROW(),"")</f>
        <v/>
      </c>
      <c r="BF789" s="71" t="str">
        <f>IF(AND($AU789=1,$AJ789=1),$BA789*100000+ROW(),"")</f>
        <v/>
      </c>
      <c r="BG789" s="71" t="str">
        <f>IF(AND($AV789=1,$AJ789=1),$BA789*100000+ROW(),"")</f>
        <v/>
      </c>
      <c r="BH789" s="71" t="str">
        <f>IF(AND($AW789=1,$AJ789=1),$BA789*100000+ROW(),"")</f>
        <v/>
      </c>
      <c r="BI789" s="71" t="str">
        <f>IF(AND($AX789=1,$AJ789=1),$BA789*100000+ROW(),"")</f>
        <v/>
      </c>
      <c r="BJ789" s="71" t="str">
        <f>IF(AND($AS789=1,$AJ789=1),$BA789*100000+ROW(),"")</f>
        <v/>
      </c>
      <c r="BK789" s="71" t="str">
        <f>IF(AND($AY789=1,$AJ789=1),$BA789*100000+ROW(),"")</f>
        <v/>
      </c>
      <c r="BL789" s="71" t="str">
        <f>IF(AND($AZ789=1),$BA789*100000+ROW(),"")</f>
        <v/>
      </c>
    </row>
    <row r="790">
      <c r="A790" s="63" t="n"/>
      <c r="B790" s="64" t="n"/>
      <c r="C790" s="64" t="n"/>
      <c r="D790" s="64" t="n"/>
      <c r="E790" s="64" t="n"/>
      <c r="F790" s="64" t="n"/>
      <c r="G790" s="65" t="n"/>
      <c r="H790" s="65" t="n"/>
      <c r="I790" s="64" t="n"/>
      <c r="J790" s="64" t="n"/>
      <c r="K790" s="63" t="n"/>
      <c r="L790" s="63" t="n"/>
      <c r="M790" s="64" t="n"/>
      <c r="N790" s="66" t="n"/>
      <c r="O790" s="65" t="n"/>
      <c r="P790" s="64" t="n"/>
      <c r="Q790" s="67" t="n"/>
      <c r="R790" s="67" t="n"/>
      <c r="S790" s="68" t="str">
        <f>IF(AND(ISNUMBER($Q790),ISNUMBER($R790)),$Q790-$R790,"")</f>
        <v/>
      </c>
      <c r="T790" s="65" t="n"/>
      <c r="U790" s="64" t="n"/>
      <c r="V790" s="65" t="n"/>
      <c r="W790" s="63" t="n"/>
      <c r="X790" s="65" t="n"/>
      <c r="Y790" s="63" t="n"/>
      <c r="Z790" s="64" t="n"/>
      <c r="AA790" s="64" t="n"/>
      <c r="AB790" s="65" t="n"/>
      <c r="AC790" s="69" t="str">
        <f>IF(OR($G790="",NOT(ISNUMBER($K790)),$AK790=0),"",MAX(0,ReportDate-$K790))</f>
        <v/>
      </c>
      <c r="AD790" s="69" t="str">
        <f>IF($G790="","",IF($AL790=1,ReportDate-$L790,0))</f>
        <v/>
      </c>
      <c r="AE790" s="70" t="str">
        <f>IF($G790="","",IF($M790="Completed",1,IF(ISNUMBER($N790),$N790,0)))</f>
        <v/>
      </c>
      <c r="AF790" s="70" t="str">
        <f>IF(AND(ISNUMBER($Q790),ISNUMBER($R790)),IF($R790&lt;&gt;0,$Q790/$R790,""),"")</f>
        <v/>
      </c>
      <c r="AG790" s="71" t="str">
        <f>IF($G790="","",IF($AL790=1,"OVERDUE",IF($AM790=1,"BLOCKED",IF($AN790=1,"DUE TODAY",IF($AO790=1,"DUE TOMORROW",IF($AQ790=1,"HIGH PRIORITY",IF($AR790=1,"NO RECENT UPDATE",""))))))) </f>
        <v/>
      </c>
      <c r="AH790" s="71" t="str">
        <f>IF($G790="","",IF(ISNUMBER($A790),IF(ISNUMBER($A790),YEAR($A790)&amp;"-"&amp;TEXT(MONTH($A790),"00"),""),IF(ISNUMBER($L790),IF(ISNUMBER($L790),YEAR($L790)&amp;"-"&amp;TEXT(MONTH($L790),"00"),""),"")))</f>
        <v/>
      </c>
      <c r="AI790" s="71">
        <f>IF($G790="",0,IF(AND(OR(fClient="All",$C790=fClient),OR(fCampaign="All",$D790=fCampaign),OR(fTeam="All",$B790=fTeam),OR(fChannel="All",$F790=fChannel),OR(fMonth="All",$AH790=fMonth),OR(fTStatus="All",$M790=fTStatus)),1,0))</f>
        <v>0</v>
      </c>
      <c r="AJ790" s="71">
        <f>IF($G790="",0,IF(AND(OR(fClient="All",$C790=fClient),OR(fCampaign="All",$D790=fCampaign),OR(fTeam="All",$B790=fTeam),OR(fChannel="All",$F790=fChannel)),1,0))</f>
        <v>0</v>
      </c>
      <c r="AK790" s="71">
        <f>IF($G790="",0,IF(OR($M790="Completed",$M790="Cancelled"),0,1))</f>
        <v>0</v>
      </c>
      <c r="AL790" s="71">
        <f>IF(AND($AK790=1,ISNUMBER($L790)),IF($L790&lt;ReportDate,1,0),0)</f>
        <v>0</v>
      </c>
      <c r="AM790" s="71">
        <f>IF(AND($G790&lt;&gt;"",$M790="Blocked"),1,0)</f>
        <v>0</v>
      </c>
      <c r="AN790" s="71">
        <f>IF(AND($AK790=1,ISNUMBER($L790)),IF($L790=ReportDate,1,0),0)</f>
        <v>0</v>
      </c>
      <c r="AO790" s="71">
        <f>IF(AND($AK790=1,ISNUMBER($L790)),IF($L790=ReportDate+1,1,0),0)</f>
        <v>0</v>
      </c>
      <c r="AP790" s="71">
        <f>IF(AND($AK790=1,ISNUMBER($L790)),IF(AND($L790&gt;=ReportDate,$L790&lt;=ReportDate+DueSoonDays),1,0),0)</f>
        <v>0</v>
      </c>
      <c r="AQ790" s="71">
        <f>IF(AND($AK790=1,OR($I790="Critical",$I790="High")),1,0)</f>
        <v>0</v>
      </c>
      <c r="AR790" s="71">
        <f>IF($AK790=1,IF(ISNUMBER($Y790),IF(ReportDate-$Y790&gt;StaleDays,1,0),1),0)</f>
        <v>0</v>
      </c>
      <c r="AS790" s="71">
        <f>IF(AND($G790&lt;&gt;"",ISNUMBER($Q790),ISNUMBER($R790)),IF(AND($Q790&lt;$R790,OR($M790="Completed",AND(ISNUMBER($L790),$L790&lt;ReportDate))),1,0),0)</f>
        <v>0</v>
      </c>
      <c r="AT790" s="71">
        <f>IF($AK790=1,IF(OR($L790=ReportDate,$W790=ReportDate,$K790=ReportDate,$A790=ReportDate),1,0),0)</f>
        <v>0</v>
      </c>
      <c r="AU790" s="71">
        <f>IF($AK790=1,IF(OR($L790=ReportDate+1,$W790=ReportDate+1,$K790=ReportDate+1,$A790=ReportDate+1),1,0),0)</f>
        <v>0</v>
      </c>
      <c r="AV790" s="71">
        <f>IF(AND($G790&lt;&gt;"",$M790="Completed"),IF(OR($Y790=ReportDate-1,$A790=ReportDate-1),1,0),0)</f>
        <v>0</v>
      </c>
      <c r="AW790" s="71">
        <f>IF(AND($AK790=1,$Z790="Yes"),1,0)</f>
        <v>0</v>
      </c>
      <c r="AX790" s="71">
        <f>IF(AND($AK790=1,$AA790="Yes"),1,0)</f>
        <v>0</v>
      </c>
      <c r="AY790" s="71">
        <f>IF(AND($AM790=1,OR($I790="Critical",$I790="High")),1,0)</f>
        <v>0</v>
      </c>
      <c r="AZ790" s="71">
        <f>IF(AND($AK790=1,OR($C790=TCL_Client,$C790=MECCA_Client)),1,0)</f>
        <v>0</v>
      </c>
      <c r="BA790" s="71" t="str">
        <f>IF($G790="","",IFERROR(MATCH($I790,lst_Priority,0),5))</f>
        <v/>
      </c>
      <c r="BB790" s="71" t="str">
        <f>IF(AND($AL790=1,$AJ790=1),$BA790*100000+ROW(),"")</f>
        <v/>
      </c>
      <c r="BC790" s="71" t="str">
        <f>IF(AND($AM790=1,$AJ790=1),$BA790*100000+ROW(),"")</f>
        <v/>
      </c>
      <c r="BD790" s="71" t="str">
        <f>IF(AND($AP790=1,$AJ790=1),$BA790*100000+ROW(),"")</f>
        <v/>
      </c>
      <c r="BE790" s="71" t="str">
        <f>IF(AND($AT790=1,$AJ790=1),$BA790*100000+ROW(),"")</f>
        <v/>
      </c>
      <c r="BF790" s="71" t="str">
        <f>IF(AND($AU790=1,$AJ790=1),$BA790*100000+ROW(),"")</f>
        <v/>
      </c>
      <c r="BG790" s="71" t="str">
        <f>IF(AND($AV790=1,$AJ790=1),$BA790*100000+ROW(),"")</f>
        <v/>
      </c>
      <c r="BH790" s="71" t="str">
        <f>IF(AND($AW790=1,$AJ790=1),$BA790*100000+ROW(),"")</f>
        <v/>
      </c>
      <c r="BI790" s="71" t="str">
        <f>IF(AND($AX790=1,$AJ790=1),$BA790*100000+ROW(),"")</f>
        <v/>
      </c>
      <c r="BJ790" s="71" t="str">
        <f>IF(AND($AS790=1,$AJ790=1),$BA790*100000+ROW(),"")</f>
        <v/>
      </c>
      <c r="BK790" s="71" t="str">
        <f>IF(AND($AY790=1,$AJ790=1),$BA790*100000+ROW(),"")</f>
        <v/>
      </c>
      <c r="BL790" s="71" t="str">
        <f>IF(AND($AZ790=1),$BA790*100000+ROW(),"")</f>
        <v/>
      </c>
    </row>
    <row r="791">
      <c r="A791" s="63" t="n"/>
      <c r="B791" s="64" t="n"/>
      <c r="C791" s="64" t="n"/>
      <c r="D791" s="64" t="n"/>
      <c r="E791" s="64" t="n"/>
      <c r="F791" s="64" t="n"/>
      <c r="G791" s="65" t="n"/>
      <c r="H791" s="65" t="n"/>
      <c r="I791" s="64" t="n"/>
      <c r="J791" s="64" t="n"/>
      <c r="K791" s="63" t="n"/>
      <c r="L791" s="63" t="n"/>
      <c r="M791" s="64" t="n"/>
      <c r="N791" s="66" t="n"/>
      <c r="O791" s="65" t="n"/>
      <c r="P791" s="64" t="n"/>
      <c r="Q791" s="67" t="n"/>
      <c r="R791" s="67" t="n"/>
      <c r="S791" s="68" t="str">
        <f>IF(AND(ISNUMBER($Q791),ISNUMBER($R791)),$Q791-$R791,"")</f>
        <v/>
      </c>
      <c r="T791" s="65" t="n"/>
      <c r="U791" s="64" t="n"/>
      <c r="V791" s="65" t="n"/>
      <c r="W791" s="63" t="n"/>
      <c r="X791" s="65" t="n"/>
      <c r="Y791" s="63" t="n"/>
      <c r="Z791" s="64" t="n"/>
      <c r="AA791" s="64" t="n"/>
      <c r="AB791" s="65" t="n"/>
      <c r="AC791" s="69" t="str">
        <f>IF(OR($G791="",NOT(ISNUMBER($K791)),$AK791=0),"",MAX(0,ReportDate-$K791))</f>
        <v/>
      </c>
      <c r="AD791" s="69" t="str">
        <f>IF($G791="","",IF($AL791=1,ReportDate-$L791,0))</f>
        <v/>
      </c>
      <c r="AE791" s="70" t="str">
        <f>IF($G791="","",IF($M791="Completed",1,IF(ISNUMBER($N791),$N791,0)))</f>
        <v/>
      </c>
      <c r="AF791" s="70" t="str">
        <f>IF(AND(ISNUMBER($Q791),ISNUMBER($R791)),IF($R791&lt;&gt;0,$Q791/$R791,""),"")</f>
        <v/>
      </c>
      <c r="AG791" s="71" t="str">
        <f>IF($G791="","",IF($AL791=1,"OVERDUE",IF($AM791=1,"BLOCKED",IF($AN791=1,"DUE TODAY",IF($AO791=1,"DUE TOMORROW",IF($AQ791=1,"HIGH PRIORITY",IF($AR791=1,"NO RECENT UPDATE",""))))))) </f>
        <v/>
      </c>
      <c r="AH791" s="71" t="str">
        <f>IF($G791="","",IF(ISNUMBER($A791),IF(ISNUMBER($A791),YEAR($A791)&amp;"-"&amp;TEXT(MONTH($A791),"00"),""),IF(ISNUMBER($L791),IF(ISNUMBER($L791),YEAR($L791)&amp;"-"&amp;TEXT(MONTH($L791),"00"),""),"")))</f>
        <v/>
      </c>
      <c r="AI791" s="71">
        <f>IF($G791="",0,IF(AND(OR(fClient="All",$C791=fClient),OR(fCampaign="All",$D791=fCampaign),OR(fTeam="All",$B791=fTeam),OR(fChannel="All",$F791=fChannel),OR(fMonth="All",$AH791=fMonth),OR(fTStatus="All",$M791=fTStatus)),1,0))</f>
        <v>0</v>
      </c>
      <c r="AJ791" s="71">
        <f>IF($G791="",0,IF(AND(OR(fClient="All",$C791=fClient),OR(fCampaign="All",$D791=fCampaign),OR(fTeam="All",$B791=fTeam),OR(fChannel="All",$F791=fChannel)),1,0))</f>
        <v>0</v>
      </c>
      <c r="AK791" s="71">
        <f>IF($G791="",0,IF(OR($M791="Completed",$M791="Cancelled"),0,1))</f>
        <v>0</v>
      </c>
      <c r="AL791" s="71">
        <f>IF(AND($AK791=1,ISNUMBER($L791)),IF($L791&lt;ReportDate,1,0),0)</f>
        <v>0</v>
      </c>
      <c r="AM791" s="71">
        <f>IF(AND($G791&lt;&gt;"",$M791="Blocked"),1,0)</f>
        <v>0</v>
      </c>
      <c r="AN791" s="71">
        <f>IF(AND($AK791=1,ISNUMBER($L791)),IF($L791=ReportDate,1,0),0)</f>
        <v>0</v>
      </c>
      <c r="AO791" s="71">
        <f>IF(AND($AK791=1,ISNUMBER($L791)),IF($L791=ReportDate+1,1,0),0)</f>
        <v>0</v>
      </c>
      <c r="AP791" s="71">
        <f>IF(AND($AK791=1,ISNUMBER($L791)),IF(AND($L791&gt;=ReportDate,$L791&lt;=ReportDate+DueSoonDays),1,0),0)</f>
        <v>0</v>
      </c>
      <c r="AQ791" s="71">
        <f>IF(AND($AK791=1,OR($I791="Critical",$I791="High")),1,0)</f>
        <v>0</v>
      </c>
      <c r="AR791" s="71">
        <f>IF($AK791=1,IF(ISNUMBER($Y791),IF(ReportDate-$Y791&gt;StaleDays,1,0),1),0)</f>
        <v>0</v>
      </c>
      <c r="AS791" s="71">
        <f>IF(AND($G791&lt;&gt;"",ISNUMBER($Q791),ISNUMBER($R791)),IF(AND($Q791&lt;$R791,OR($M791="Completed",AND(ISNUMBER($L791),$L791&lt;ReportDate))),1,0),0)</f>
        <v>0</v>
      </c>
      <c r="AT791" s="71">
        <f>IF($AK791=1,IF(OR($L791=ReportDate,$W791=ReportDate,$K791=ReportDate,$A791=ReportDate),1,0),0)</f>
        <v>0</v>
      </c>
      <c r="AU791" s="71">
        <f>IF($AK791=1,IF(OR($L791=ReportDate+1,$W791=ReportDate+1,$K791=ReportDate+1,$A791=ReportDate+1),1,0),0)</f>
        <v>0</v>
      </c>
      <c r="AV791" s="71">
        <f>IF(AND($G791&lt;&gt;"",$M791="Completed"),IF(OR($Y791=ReportDate-1,$A791=ReportDate-1),1,0),0)</f>
        <v>0</v>
      </c>
      <c r="AW791" s="71">
        <f>IF(AND($AK791=1,$Z791="Yes"),1,0)</f>
        <v>0</v>
      </c>
      <c r="AX791" s="71">
        <f>IF(AND($AK791=1,$AA791="Yes"),1,0)</f>
        <v>0</v>
      </c>
      <c r="AY791" s="71">
        <f>IF(AND($AM791=1,OR($I791="Critical",$I791="High")),1,0)</f>
        <v>0</v>
      </c>
      <c r="AZ791" s="71">
        <f>IF(AND($AK791=1,OR($C791=TCL_Client,$C791=MECCA_Client)),1,0)</f>
        <v>0</v>
      </c>
      <c r="BA791" s="71" t="str">
        <f>IF($G791="","",IFERROR(MATCH($I791,lst_Priority,0),5))</f>
        <v/>
      </c>
      <c r="BB791" s="71" t="str">
        <f>IF(AND($AL791=1,$AJ791=1),$BA791*100000+ROW(),"")</f>
        <v/>
      </c>
      <c r="BC791" s="71" t="str">
        <f>IF(AND($AM791=1,$AJ791=1),$BA791*100000+ROW(),"")</f>
        <v/>
      </c>
      <c r="BD791" s="71" t="str">
        <f>IF(AND($AP791=1,$AJ791=1),$BA791*100000+ROW(),"")</f>
        <v/>
      </c>
      <c r="BE791" s="71" t="str">
        <f>IF(AND($AT791=1,$AJ791=1),$BA791*100000+ROW(),"")</f>
        <v/>
      </c>
      <c r="BF791" s="71" t="str">
        <f>IF(AND($AU791=1,$AJ791=1),$BA791*100000+ROW(),"")</f>
        <v/>
      </c>
      <c r="BG791" s="71" t="str">
        <f>IF(AND($AV791=1,$AJ791=1),$BA791*100000+ROW(),"")</f>
        <v/>
      </c>
      <c r="BH791" s="71" t="str">
        <f>IF(AND($AW791=1,$AJ791=1),$BA791*100000+ROW(),"")</f>
        <v/>
      </c>
      <c r="BI791" s="71" t="str">
        <f>IF(AND($AX791=1,$AJ791=1),$BA791*100000+ROW(),"")</f>
        <v/>
      </c>
      <c r="BJ791" s="71" t="str">
        <f>IF(AND($AS791=1,$AJ791=1),$BA791*100000+ROW(),"")</f>
        <v/>
      </c>
      <c r="BK791" s="71" t="str">
        <f>IF(AND($AY791=1,$AJ791=1),$BA791*100000+ROW(),"")</f>
        <v/>
      </c>
      <c r="BL791" s="71" t="str">
        <f>IF(AND($AZ791=1),$BA791*100000+ROW(),"")</f>
        <v/>
      </c>
    </row>
    <row r="792">
      <c r="A792" s="63" t="n"/>
      <c r="B792" s="64" t="n"/>
      <c r="C792" s="64" t="n"/>
      <c r="D792" s="64" t="n"/>
      <c r="E792" s="64" t="n"/>
      <c r="F792" s="64" t="n"/>
      <c r="G792" s="65" t="n"/>
      <c r="H792" s="65" t="n"/>
      <c r="I792" s="64" t="n"/>
      <c r="J792" s="64" t="n"/>
      <c r="K792" s="63" t="n"/>
      <c r="L792" s="63" t="n"/>
      <c r="M792" s="64" t="n"/>
      <c r="N792" s="66" t="n"/>
      <c r="O792" s="65" t="n"/>
      <c r="P792" s="64" t="n"/>
      <c r="Q792" s="67" t="n"/>
      <c r="R792" s="67" t="n"/>
      <c r="S792" s="68" t="str">
        <f>IF(AND(ISNUMBER($Q792),ISNUMBER($R792)),$Q792-$R792,"")</f>
        <v/>
      </c>
      <c r="T792" s="65" t="n"/>
      <c r="U792" s="64" t="n"/>
      <c r="V792" s="65" t="n"/>
      <c r="W792" s="63" t="n"/>
      <c r="X792" s="65" t="n"/>
      <c r="Y792" s="63" t="n"/>
      <c r="Z792" s="64" t="n"/>
      <c r="AA792" s="64" t="n"/>
      <c r="AB792" s="65" t="n"/>
      <c r="AC792" s="69" t="str">
        <f>IF(OR($G792="",NOT(ISNUMBER($K792)),$AK792=0),"",MAX(0,ReportDate-$K792))</f>
        <v/>
      </c>
      <c r="AD792" s="69" t="str">
        <f>IF($G792="","",IF($AL792=1,ReportDate-$L792,0))</f>
        <v/>
      </c>
      <c r="AE792" s="70" t="str">
        <f>IF($G792="","",IF($M792="Completed",1,IF(ISNUMBER($N792),$N792,0)))</f>
        <v/>
      </c>
      <c r="AF792" s="70" t="str">
        <f>IF(AND(ISNUMBER($Q792),ISNUMBER($R792)),IF($R792&lt;&gt;0,$Q792/$R792,""),"")</f>
        <v/>
      </c>
      <c r="AG792" s="71" t="str">
        <f>IF($G792="","",IF($AL792=1,"OVERDUE",IF($AM792=1,"BLOCKED",IF($AN792=1,"DUE TODAY",IF($AO792=1,"DUE TOMORROW",IF($AQ792=1,"HIGH PRIORITY",IF($AR792=1,"NO RECENT UPDATE",""))))))) </f>
        <v/>
      </c>
      <c r="AH792" s="71" t="str">
        <f>IF($G792="","",IF(ISNUMBER($A792),IF(ISNUMBER($A792),YEAR($A792)&amp;"-"&amp;TEXT(MONTH($A792),"00"),""),IF(ISNUMBER($L792),IF(ISNUMBER($L792),YEAR($L792)&amp;"-"&amp;TEXT(MONTH($L792),"00"),""),"")))</f>
        <v/>
      </c>
      <c r="AI792" s="71">
        <f>IF($G792="",0,IF(AND(OR(fClient="All",$C792=fClient),OR(fCampaign="All",$D792=fCampaign),OR(fTeam="All",$B792=fTeam),OR(fChannel="All",$F792=fChannel),OR(fMonth="All",$AH792=fMonth),OR(fTStatus="All",$M792=fTStatus)),1,0))</f>
        <v>0</v>
      </c>
      <c r="AJ792" s="71">
        <f>IF($G792="",0,IF(AND(OR(fClient="All",$C792=fClient),OR(fCampaign="All",$D792=fCampaign),OR(fTeam="All",$B792=fTeam),OR(fChannel="All",$F792=fChannel)),1,0))</f>
        <v>0</v>
      </c>
      <c r="AK792" s="71">
        <f>IF($G792="",0,IF(OR($M792="Completed",$M792="Cancelled"),0,1))</f>
        <v>0</v>
      </c>
      <c r="AL792" s="71">
        <f>IF(AND($AK792=1,ISNUMBER($L792)),IF($L792&lt;ReportDate,1,0),0)</f>
        <v>0</v>
      </c>
      <c r="AM792" s="71">
        <f>IF(AND($G792&lt;&gt;"",$M792="Blocked"),1,0)</f>
        <v>0</v>
      </c>
      <c r="AN792" s="71">
        <f>IF(AND($AK792=1,ISNUMBER($L792)),IF($L792=ReportDate,1,0),0)</f>
        <v>0</v>
      </c>
      <c r="AO792" s="71">
        <f>IF(AND($AK792=1,ISNUMBER($L792)),IF($L792=ReportDate+1,1,0),0)</f>
        <v>0</v>
      </c>
      <c r="AP792" s="71">
        <f>IF(AND($AK792=1,ISNUMBER($L792)),IF(AND($L792&gt;=ReportDate,$L792&lt;=ReportDate+DueSoonDays),1,0),0)</f>
        <v>0</v>
      </c>
      <c r="AQ792" s="71">
        <f>IF(AND($AK792=1,OR($I792="Critical",$I792="High")),1,0)</f>
        <v>0</v>
      </c>
      <c r="AR792" s="71">
        <f>IF($AK792=1,IF(ISNUMBER($Y792),IF(ReportDate-$Y792&gt;StaleDays,1,0),1),0)</f>
        <v>0</v>
      </c>
      <c r="AS792" s="71">
        <f>IF(AND($G792&lt;&gt;"",ISNUMBER($Q792),ISNUMBER($R792)),IF(AND($Q792&lt;$R792,OR($M792="Completed",AND(ISNUMBER($L792),$L792&lt;ReportDate))),1,0),0)</f>
        <v>0</v>
      </c>
      <c r="AT792" s="71">
        <f>IF($AK792=1,IF(OR($L792=ReportDate,$W792=ReportDate,$K792=ReportDate,$A792=ReportDate),1,0),0)</f>
        <v>0</v>
      </c>
      <c r="AU792" s="71">
        <f>IF($AK792=1,IF(OR($L792=ReportDate+1,$W792=ReportDate+1,$K792=ReportDate+1,$A792=ReportDate+1),1,0),0)</f>
        <v>0</v>
      </c>
      <c r="AV792" s="71">
        <f>IF(AND($G792&lt;&gt;"",$M792="Completed"),IF(OR($Y792=ReportDate-1,$A792=ReportDate-1),1,0),0)</f>
        <v>0</v>
      </c>
      <c r="AW792" s="71">
        <f>IF(AND($AK792=1,$Z792="Yes"),1,0)</f>
        <v>0</v>
      </c>
      <c r="AX792" s="71">
        <f>IF(AND($AK792=1,$AA792="Yes"),1,0)</f>
        <v>0</v>
      </c>
      <c r="AY792" s="71">
        <f>IF(AND($AM792=1,OR($I792="Critical",$I792="High")),1,0)</f>
        <v>0</v>
      </c>
      <c r="AZ792" s="71">
        <f>IF(AND($AK792=1,OR($C792=TCL_Client,$C792=MECCA_Client)),1,0)</f>
        <v>0</v>
      </c>
      <c r="BA792" s="71" t="str">
        <f>IF($G792="","",IFERROR(MATCH($I792,lst_Priority,0),5))</f>
        <v/>
      </c>
      <c r="BB792" s="71" t="str">
        <f>IF(AND($AL792=1,$AJ792=1),$BA792*100000+ROW(),"")</f>
        <v/>
      </c>
      <c r="BC792" s="71" t="str">
        <f>IF(AND($AM792=1,$AJ792=1),$BA792*100000+ROW(),"")</f>
        <v/>
      </c>
      <c r="BD792" s="71" t="str">
        <f>IF(AND($AP792=1,$AJ792=1),$BA792*100000+ROW(),"")</f>
        <v/>
      </c>
      <c r="BE792" s="71" t="str">
        <f>IF(AND($AT792=1,$AJ792=1),$BA792*100000+ROW(),"")</f>
        <v/>
      </c>
      <c r="BF792" s="71" t="str">
        <f>IF(AND($AU792=1,$AJ792=1),$BA792*100000+ROW(),"")</f>
        <v/>
      </c>
      <c r="BG792" s="71" t="str">
        <f>IF(AND($AV792=1,$AJ792=1),$BA792*100000+ROW(),"")</f>
        <v/>
      </c>
      <c r="BH792" s="71" t="str">
        <f>IF(AND($AW792=1,$AJ792=1),$BA792*100000+ROW(),"")</f>
        <v/>
      </c>
      <c r="BI792" s="71" t="str">
        <f>IF(AND($AX792=1,$AJ792=1),$BA792*100000+ROW(),"")</f>
        <v/>
      </c>
      <c r="BJ792" s="71" t="str">
        <f>IF(AND($AS792=1,$AJ792=1),$BA792*100000+ROW(),"")</f>
        <v/>
      </c>
      <c r="BK792" s="71" t="str">
        <f>IF(AND($AY792=1,$AJ792=1),$BA792*100000+ROW(),"")</f>
        <v/>
      </c>
      <c r="BL792" s="71" t="str">
        <f>IF(AND($AZ792=1),$BA792*100000+ROW(),"")</f>
        <v/>
      </c>
    </row>
    <row r="793">
      <c r="A793" s="63" t="n"/>
      <c r="B793" s="64" t="n"/>
      <c r="C793" s="64" t="n"/>
      <c r="D793" s="64" t="n"/>
      <c r="E793" s="64" t="n"/>
      <c r="F793" s="64" t="n"/>
      <c r="G793" s="65" t="n"/>
      <c r="H793" s="65" t="n"/>
      <c r="I793" s="64" t="n"/>
      <c r="J793" s="64" t="n"/>
      <c r="K793" s="63" t="n"/>
      <c r="L793" s="63" t="n"/>
      <c r="M793" s="64" t="n"/>
      <c r="N793" s="66" t="n"/>
      <c r="O793" s="65" t="n"/>
      <c r="P793" s="64" t="n"/>
      <c r="Q793" s="67" t="n"/>
      <c r="R793" s="67" t="n"/>
      <c r="S793" s="68" t="str">
        <f>IF(AND(ISNUMBER($Q793),ISNUMBER($R793)),$Q793-$R793,"")</f>
        <v/>
      </c>
      <c r="T793" s="65" t="n"/>
      <c r="U793" s="64" t="n"/>
      <c r="V793" s="65" t="n"/>
      <c r="W793" s="63" t="n"/>
      <c r="X793" s="65" t="n"/>
      <c r="Y793" s="63" t="n"/>
      <c r="Z793" s="64" t="n"/>
      <c r="AA793" s="64" t="n"/>
      <c r="AB793" s="65" t="n"/>
      <c r="AC793" s="69" t="str">
        <f>IF(OR($G793="",NOT(ISNUMBER($K793)),$AK793=0),"",MAX(0,ReportDate-$K793))</f>
        <v/>
      </c>
      <c r="AD793" s="69" t="str">
        <f>IF($G793="","",IF($AL793=1,ReportDate-$L793,0))</f>
        <v/>
      </c>
      <c r="AE793" s="70" t="str">
        <f>IF($G793="","",IF($M793="Completed",1,IF(ISNUMBER($N793),$N793,0)))</f>
        <v/>
      </c>
      <c r="AF793" s="70" t="str">
        <f>IF(AND(ISNUMBER($Q793),ISNUMBER($R793)),IF($R793&lt;&gt;0,$Q793/$R793,""),"")</f>
        <v/>
      </c>
      <c r="AG793" s="71" t="str">
        <f>IF($G793="","",IF($AL793=1,"OVERDUE",IF($AM793=1,"BLOCKED",IF($AN793=1,"DUE TODAY",IF($AO793=1,"DUE TOMORROW",IF($AQ793=1,"HIGH PRIORITY",IF($AR793=1,"NO RECENT UPDATE",""))))))) </f>
        <v/>
      </c>
      <c r="AH793" s="71" t="str">
        <f>IF($G793="","",IF(ISNUMBER($A793),IF(ISNUMBER($A793),YEAR($A793)&amp;"-"&amp;TEXT(MONTH($A793),"00"),""),IF(ISNUMBER($L793),IF(ISNUMBER($L793),YEAR($L793)&amp;"-"&amp;TEXT(MONTH($L793),"00"),""),"")))</f>
        <v/>
      </c>
      <c r="AI793" s="71">
        <f>IF($G793="",0,IF(AND(OR(fClient="All",$C793=fClient),OR(fCampaign="All",$D793=fCampaign),OR(fTeam="All",$B793=fTeam),OR(fChannel="All",$F793=fChannel),OR(fMonth="All",$AH793=fMonth),OR(fTStatus="All",$M793=fTStatus)),1,0))</f>
        <v>0</v>
      </c>
      <c r="AJ793" s="71">
        <f>IF($G793="",0,IF(AND(OR(fClient="All",$C793=fClient),OR(fCampaign="All",$D793=fCampaign),OR(fTeam="All",$B793=fTeam),OR(fChannel="All",$F793=fChannel)),1,0))</f>
        <v>0</v>
      </c>
      <c r="AK793" s="71">
        <f>IF($G793="",0,IF(OR($M793="Completed",$M793="Cancelled"),0,1))</f>
        <v>0</v>
      </c>
      <c r="AL793" s="71">
        <f>IF(AND($AK793=1,ISNUMBER($L793)),IF($L793&lt;ReportDate,1,0),0)</f>
        <v>0</v>
      </c>
      <c r="AM793" s="71">
        <f>IF(AND($G793&lt;&gt;"",$M793="Blocked"),1,0)</f>
        <v>0</v>
      </c>
      <c r="AN793" s="71">
        <f>IF(AND($AK793=1,ISNUMBER($L793)),IF($L793=ReportDate,1,0),0)</f>
        <v>0</v>
      </c>
      <c r="AO793" s="71">
        <f>IF(AND($AK793=1,ISNUMBER($L793)),IF($L793=ReportDate+1,1,0),0)</f>
        <v>0</v>
      </c>
      <c r="AP793" s="71">
        <f>IF(AND($AK793=1,ISNUMBER($L793)),IF(AND($L793&gt;=ReportDate,$L793&lt;=ReportDate+DueSoonDays),1,0),0)</f>
        <v>0</v>
      </c>
      <c r="AQ793" s="71">
        <f>IF(AND($AK793=1,OR($I793="Critical",$I793="High")),1,0)</f>
        <v>0</v>
      </c>
      <c r="AR793" s="71">
        <f>IF($AK793=1,IF(ISNUMBER($Y793),IF(ReportDate-$Y793&gt;StaleDays,1,0),1),0)</f>
        <v>0</v>
      </c>
      <c r="AS793" s="71">
        <f>IF(AND($G793&lt;&gt;"",ISNUMBER($Q793),ISNUMBER($R793)),IF(AND($Q793&lt;$R793,OR($M793="Completed",AND(ISNUMBER($L793),$L793&lt;ReportDate))),1,0),0)</f>
        <v>0</v>
      </c>
      <c r="AT793" s="71">
        <f>IF($AK793=1,IF(OR($L793=ReportDate,$W793=ReportDate,$K793=ReportDate,$A793=ReportDate),1,0),0)</f>
        <v>0</v>
      </c>
      <c r="AU793" s="71">
        <f>IF($AK793=1,IF(OR($L793=ReportDate+1,$W793=ReportDate+1,$K793=ReportDate+1,$A793=ReportDate+1),1,0),0)</f>
        <v>0</v>
      </c>
      <c r="AV793" s="71">
        <f>IF(AND($G793&lt;&gt;"",$M793="Completed"),IF(OR($Y793=ReportDate-1,$A793=ReportDate-1),1,0),0)</f>
        <v>0</v>
      </c>
      <c r="AW793" s="71">
        <f>IF(AND($AK793=1,$Z793="Yes"),1,0)</f>
        <v>0</v>
      </c>
      <c r="AX793" s="71">
        <f>IF(AND($AK793=1,$AA793="Yes"),1,0)</f>
        <v>0</v>
      </c>
      <c r="AY793" s="71">
        <f>IF(AND($AM793=1,OR($I793="Critical",$I793="High")),1,0)</f>
        <v>0</v>
      </c>
      <c r="AZ793" s="71">
        <f>IF(AND($AK793=1,OR($C793=TCL_Client,$C793=MECCA_Client)),1,0)</f>
        <v>0</v>
      </c>
      <c r="BA793" s="71" t="str">
        <f>IF($G793="","",IFERROR(MATCH($I793,lst_Priority,0),5))</f>
        <v/>
      </c>
      <c r="BB793" s="71" t="str">
        <f>IF(AND($AL793=1,$AJ793=1),$BA793*100000+ROW(),"")</f>
        <v/>
      </c>
      <c r="BC793" s="71" t="str">
        <f>IF(AND($AM793=1,$AJ793=1),$BA793*100000+ROW(),"")</f>
        <v/>
      </c>
      <c r="BD793" s="71" t="str">
        <f>IF(AND($AP793=1,$AJ793=1),$BA793*100000+ROW(),"")</f>
        <v/>
      </c>
      <c r="BE793" s="71" t="str">
        <f>IF(AND($AT793=1,$AJ793=1),$BA793*100000+ROW(),"")</f>
        <v/>
      </c>
      <c r="BF793" s="71" t="str">
        <f>IF(AND($AU793=1,$AJ793=1),$BA793*100000+ROW(),"")</f>
        <v/>
      </c>
      <c r="BG793" s="71" t="str">
        <f>IF(AND($AV793=1,$AJ793=1),$BA793*100000+ROW(),"")</f>
        <v/>
      </c>
      <c r="BH793" s="71" t="str">
        <f>IF(AND($AW793=1,$AJ793=1),$BA793*100000+ROW(),"")</f>
        <v/>
      </c>
      <c r="BI793" s="71" t="str">
        <f>IF(AND($AX793=1,$AJ793=1),$BA793*100000+ROW(),"")</f>
        <v/>
      </c>
      <c r="BJ793" s="71" t="str">
        <f>IF(AND($AS793=1,$AJ793=1),$BA793*100000+ROW(),"")</f>
        <v/>
      </c>
      <c r="BK793" s="71" t="str">
        <f>IF(AND($AY793=1,$AJ793=1),$BA793*100000+ROW(),"")</f>
        <v/>
      </c>
      <c r="BL793" s="71" t="str">
        <f>IF(AND($AZ793=1),$BA793*100000+ROW(),"")</f>
        <v/>
      </c>
    </row>
    <row r="794">
      <c r="A794" s="63" t="n"/>
      <c r="B794" s="64" t="n"/>
      <c r="C794" s="64" t="n"/>
      <c r="D794" s="64" t="n"/>
      <c r="E794" s="64" t="n"/>
      <c r="F794" s="64" t="n"/>
      <c r="G794" s="65" t="n"/>
      <c r="H794" s="65" t="n"/>
      <c r="I794" s="64" t="n"/>
      <c r="J794" s="64" t="n"/>
      <c r="K794" s="63" t="n"/>
      <c r="L794" s="63" t="n"/>
      <c r="M794" s="64" t="n"/>
      <c r="N794" s="66" t="n"/>
      <c r="O794" s="65" t="n"/>
      <c r="P794" s="64" t="n"/>
      <c r="Q794" s="67" t="n"/>
      <c r="R794" s="67" t="n"/>
      <c r="S794" s="68" t="str">
        <f>IF(AND(ISNUMBER($Q794),ISNUMBER($R794)),$Q794-$R794,"")</f>
        <v/>
      </c>
      <c r="T794" s="65" t="n"/>
      <c r="U794" s="64" t="n"/>
      <c r="V794" s="65" t="n"/>
      <c r="W794" s="63" t="n"/>
      <c r="X794" s="65" t="n"/>
      <c r="Y794" s="63" t="n"/>
      <c r="Z794" s="64" t="n"/>
      <c r="AA794" s="64" t="n"/>
      <c r="AB794" s="65" t="n"/>
      <c r="AC794" s="69" t="str">
        <f>IF(OR($G794="",NOT(ISNUMBER($K794)),$AK794=0),"",MAX(0,ReportDate-$K794))</f>
        <v/>
      </c>
      <c r="AD794" s="69" t="str">
        <f>IF($G794="","",IF($AL794=1,ReportDate-$L794,0))</f>
        <v/>
      </c>
      <c r="AE794" s="70" t="str">
        <f>IF($G794="","",IF($M794="Completed",1,IF(ISNUMBER($N794),$N794,0)))</f>
        <v/>
      </c>
      <c r="AF794" s="70" t="str">
        <f>IF(AND(ISNUMBER($Q794),ISNUMBER($R794)),IF($R794&lt;&gt;0,$Q794/$R794,""),"")</f>
        <v/>
      </c>
      <c r="AG794" s="71" t="str">
        <f>IF($G794="","",IF($AL794=1,"OVERDUE",IF($AM794=1,"BLOCKED",IF($AN794=1,"DUE TODAY",IF($AO794=1,"DUE TOMORROW",IF($AQ794=1,"HIGH PRIORITY",IF($AR794=1,"NO RECENT UPDATE",""))))))) </f>
        <v/>
      </c>
      <c r="AH794" s="71" t="str">
        <f>IF($G794="","",IF(ISNUMBER($A794),IF(ISNUMBER($A794),YEAR($A794)&amp;"-"&amp;TEXT(MONTH($A794),"00"),""),IF(ISNUMBER($L794),IF(ISNUMBER($L794),YEAR($L794)&amp;"-"&amp;TEXT(MONTH($L794),"00"),""),"")))</f>
        <v/>
      </c>
      <c r="AI794" s="71">
        <f>IF($G794="",0,IF(AND(OR(fClient="All",$C794=fClient),OR(fCampaign="All",$D794=fCampaign),OR(fTeam="All",$B794=fTeam),OR(fChannel="All",$F794=fChannel),OR(fMonth="All",$AH794=fMonth),OR(fTStatus="All",$M794=fTStatus)),1,0))</f>
        <v>0</v>
      </c>
      <c r="AJ794" s="71">
        <f>IF($G794="",0,IF(AND(OR(fClient="All",$C794=fClient),OR(fCampaign="All",$D794=fCampaign),OR(fTeam="All",$B794=fTeam),OR(fChannel="All",$F794=fChannel)),1,0))</f>
        <v>0</v>
      </c>
      <c r="AK794" s="71">
        <f>IF($G794="",0,IF(OR($M794="Completed",$M794="Cancelled"),0,1))</f>
        <v>0</v>
      </c>
      <c r="AL794" s="71">
        <f>IF(AND($AK794=1,ISNUMBER($L794)),IF($L794&lt;ReportDate,1,0),0)</f>
        <v>0</v>
      </c>
      <c r="AM794" s="71">
        <f>IF(AND($G794&lt;&gt;"",$M794="Blocked"),1,0)</f>
        <v>0</v>
      </c>
      <c r="AN794" s="71">
        <f>IF(AND($AK794=1,ISNUMBER($L794)),IF($L794=ReportDate,1,0),0)</f>
        <v>0</v>
      </c>
      <c r="AO794" s="71">
        <f>IF(AND($AK794=1,ISNUMBER($L794)),IF($L794=ReportDate+1,1,0),0)</f>
        <v>0</v>
      </c>
      <c r="AP794" s="71">
        <f>IF(AND($AK794=1,ISNUMBER($L794)),IF(AND($L794&gt;=ReportDate,$L794&lt;=ReportDate+DueSoonDays),1,0),0)</f>
        <v>0</v>
      </c>
      <c r="AQ794" s="71">
        <f>IF(AND($AK794=1,OR($I794="Critical",$I794="High")),1,0)</f>
        <v>0</v>
      </c>
      <c r="AR794" s="71">
        <f>IF($AK794=1,IF(ISNUMBER($Y794),IF(ReportDate-$Y794&gt;StaleDays,1,0),1),0)</f>
        <v>0</v>
      </c>
      <c r="AS794" s="71">
        <f>IF(AND($G794&lt;&gt;"",ISNUMBER($Q794),ISNUMBER($R794)),IF(AND($Q794&lt;$R794,OR($M794="Completed",AND(ISNUMBER($L794),$L794&lt;ReportDate))),1,0),0)</f>
        <v>0</v>
      </c>
      <c r="AT794" s="71">
        <f>IF($AK794=1,IF(OR($L794=ReportDate,$W794=ReportDate,$K794=ReportDate,$A794=ReportDate),1,0),0)</f>
        <v>0</v>
      </c>
      <c r="AU794" s="71">
        <f>IF($AK794=1,IF(OR($L794=ReportDate+1,$W794=ReportDate+1,$K794=ReportDate+1,$A794=ReportDate+1),1,0),0)</f>
        <v>0</v>
      </c>
      <c r="AV794" s="71">
        <f>IF(AND($G794&lt;&gt;"",$M794="Completed"),IF(OR($Y794=ReportDate-1,$A794=ReportDate-1),1,0),0)</f>
        <v>0</v>
      </c>
      <c r="AW794" s="71">
        <f>IF(AND($AK794=1,$Z794="Yes"),1,0)</f>
        <v>0</v>
      </c>
      <c r="AX794" s="71">
        <f>IF(AND($AK794=1,$AA794="Yes"),1,0)</f>
        <v>0</v>
      </c>
      <c r="AY794" s="71">
        <f>IF(AND($AM794=1,OR($I794="Critical",$I794="High")),1,0)</f>
        <v>0</v>
      </c>
      <c r="AZ794" s="71">
        <f>IF(AND($AK794=1,OR($C794=TCL_Client,$C794=MECCA_Client)),1,0)</f>
        <v>0</v>
      </c>
      <c r="BA794" s="71" t="str">
        <f>IF($G794="","",IFERROR(MATCH($I794,lst_Priority,0),5))</f>
        <v/>
      </c>
      <c r="BB794" s="71" t="str">
        <f>IF(AND($AL794=1,$AJ794=1),$BA794*100000+ROW(),"")</f>
        <v/>
      </c>
      <c r="BC794" s="71" t="str">
        <f>IF(AND($AM794=1,$AJ794=1),$BA794*100000+ROW(),"")</f>
        <v/>
      </c>
      <c r="BD794" s="71" t="str">
        <f>IF(AND($AP794=1,$AJ794=1),$BA794*100000+ROW(),"")</f>
        <v/>
      </c>
      <c r="BE794" s="71" t="str">
        <f>IF(AND($AT794=1,$AJ794=1),$BA794*100000+ROW(),"")</f>
        <v/>
      </c>
      <c r="BF794" s="71" t="str">
        <f>IF(AND($AU794=1,$AJ794=1),$BA794*100000+ROW(),"")</f>
        <v/>
      </c>
      <c r="BG794" s="71" t="str">
        <f>IF(AND($AV794=1,$AJ794=1),$BA794*100000+ROW(),"")</f>
        <v/>
      </c>
      <c r="BH794" s="71" t="str">
        <f>IF(AND($AW794=1,$AJ794=1),$BA794*100000+ROW(),"")</f>
        <v/>
      </c>
      <c r="BI794" s="71" t="str">
        <f>IF(AND($AX794=1,$AJ794=1),$BA794*100000+ROW(),"")</f>
        <v/>
      </c>
      <c r="BJ794" s="71" t="str">
        <f>IF(AND($AS794=1,$AJ794=1),$BA794*100000+ROW(),"")</f>
        <v/>
      </c>
      <c r="BK794" s="71" t="str">
        <f>IF(AND($AY794=1,$AJ794=1),$BA794*100000+ROW(),"")</f>
        <v/>
      </c>
      <c r="BL794" s="71" t="str">
        <f>IF(AND($AZ794=1),$BA794*100000+ROW(),"")</f>
        <v/>
      </c>
    </row>
    <row r="795">
      <c r="A795" s="63" t="n"/>
      <c r="B795" s="64" t="n"/>
      <c r="C795" s="64" t="n"/>
      <c r="D795" s="64" t="n"/>
      <c r="E795" s="64" t="n"/>
      <c r="F795" s="64" t="n"/>
      <c r="G795" s="65" t="n"/>
      <c r="H795" s="65" t="n"/>
      <c r="I795" s="64" t="n"/>
      <c r="J795" s="64" t="n"/>
      <c r="K795" s="63" t="n"/>
      <c r="L795" s="63" t="n"/>
      <c r="M795" s="64" t="n"/>
      <c r="N795" s="66" t="n"/>
      <c r="O795" s="65" t="n"/>
      <c r="P795" s="64" t="n"/>
      <c r="Q795" s="67" t="n"/>
      <c r="R795" s="67" t="n"/>
      <c r="S795" s="68" t="str">
        <f>IF(AND(ISNUMBER($Q795),ISNUMBER($R795)),$Q795-$R795,"")</f>
        <v/>
      </c>
      <c r="T795" s="65" t="n"/>
      <c r="U795" s="64" t="n"/>
      <c r="V795" s="65" t="n"/>
      <c r="W795" s="63" t="n"/>
      <c r="X795" s="65" t="n"/>
      <c r="Y795" s="63" t="n"/>
      <c r="Z795" s="64" t="n"/>
      <c r="AA795" s="64" t="n"/>
      <c r="AB795" s="65" t="n"/>
      <c r="AC795" s="69" t="str">
        <f>IF(OR($G795="",NOT(ISNUMBER($K795)),$AK795=0),"",MAX(0,ReportDate-$K795))</f>
        <v/>
      </c>
      <c r="AD795" s="69" t="str">
        <f>IF($G795="","",IF($AL795=1,ReportDate-$L795,0))</f>
        <v/>
      </c>
      <c r="AE795" s="70" t="str">
        <f>IF($G795="","",IF($M795="Completed",1,IF(ISNUMBER($N795),$N795,0)))</f>
        <v/>
      </c>
      <c r="AF795" s="70" t="str">
        <f>IF(AND(ISNUMBER($Q795),ISNUMBER($R795)),IF($R795&lt;&gt;0,$Q795/$R795,""),"")</f>
        <v/>
      </c>
      <c r="AG795" s="71" t="str">
        <f>IF($G795="","",IF($AL795=1,"OVERDUE",IF($AM795=1,"BLOCKED",IF($AN795=1,"DUE TODAY",IF($AO795=1,"DUE TOMORROW",IF($AQ795=1,"HIGH PRIORITY",IF($AR795=1,"NO RECENT UPDATE",""))))))) </f>
        <v/>
      </c>
      <c r="AH795" s="71" t="str">
        <f>IF($G795="","",IF(ISNUMBER($A795),IF(ISNUMBER($A795),YEAR($A795)&amp;"-"&amp;TEXT(MONTH($A795),"00"),""),IF(ISNUMBER($L795),IF(ISNUMBER($L795),YEAR($L795)&amp;"-"&amp;TEXT(MONTH($L795),"00"),""),"")))</f>
        <v/>
      </c>
      <c r="AI795" s="71">
        <f>IF($G795="",0,IF(AND(OR(fClient="All",$C795=fClient),OR(fCampaign="All",$D795=fCampaign),OR(fTeam="All",$B795=fTeam),OR(fChannel="All",$F795=fChannel),OR(fMonth="All",$AH795=fMonth),OR(fTStatus="All",$M795=fTStatus)),1,0))</f>
        <v>0</v>
      </c>
      <c r="AJ795" s="71">
        <f>IF($G795="",0,IF(AND(OR(fClient="All",$C795=fClient),OR(fCampaign="All",$D795=fCampaign),OR(fTeam="All",$B795=fTeam),OR(fChannel="All",$F795=fChannel)),1,0))</f>
        <v>0</v>
      </c>
      <c r="AK795" s="71">
        <f>IF($G795="",0,IF(OR($M795="Completed",$M795="Cancelled"),0,1))</f>
        <v>0</v>
      </c>
      <c r="AL795" s="71">
        <f>IF(AND($AK795=1,ISNUMBER($L795)),IF($L795&lt;ReportDate,1,0),0)</f>
        <v>0</v>
      </c>
      <c r="AM795" s="71">
        <f>IF(AND($G795&lt;&gt;"",$M795="Blocked"),1,0)</f>
        <v>0</v>
      </c>
      <c r="AN795" s="71">
        <f>IF(AND($AK795=1,ISNUMBER($L795)),IF($L795=ReportDate,1,0),0)</f>
        <v>0</v>
      </c>
      <c r="AO795" s="71">
        <f>IF(AND($AK795=1,ISNUMBER($L795)),IF($L795=ReportDate+1,1,0),0)</f>
        <v>0</v>
      </c>
      <c r="AP795" s="71">
        <f>IF(AND($AK795=1,ISNUMBER($L795)),IF(AND($L795&gt;=ReportDate,$L795&lt;=ReportDate+DueSoonDays),1,0),0)</f>
        <v>0</v>
      </c>
      <c r="AQ795" s="71">
        <f>IF(AND($AK795=1,OR($I795="Critical",$I795="High")),1,0)</f>
        <v>0</v>
      </c>
      <c r="AR795" s="71">
        <f>IF($AK795=1,IF(ISNUMBER($Y795),IF(ReportDate-$Y795&gt;StaleDays,1,0),1),0)</f>
        <v>0</v>
      </c>
      <c r="AS795" s="71">
        <f>IF(AND($G795&lt;&gt;"",ISNUMBER($Q795),ISNUMBER($R795)),IF(AND($Q795&lt;$R795,OR($M795="Completed",AND(ISNUMBER($L795),$L795&lt;ReportDate))),1,0),0)</f>
        <v>0</v>
      </c>
      <c r="AT795" s="71">
        <f>IF($AK795=1,IF(OR($L795=ReportDate,$W795=ReportDate,$K795=ReportDate,$A795=ReportDate),1,0),0)</f>
        <v>0</v>
      </c>
      <c r="AU795" s="71">
        <f>IF($AK795=1,IF(OR($L795=ReportDate+1,$W795=ReportDate+1,$K795=ReportDate+1,$A795=ReportDate+1),1,0),0)</f>
        <v>0</v>
      </c>
      <c r="AV795" s="71">
        <f>IF(AND($G795&lt;&gt;"",$M795="Completed"),IF(OR($Y795=ReportDate-1,$A795=ReportDate-1),1,0),0)</f>
        <v>0</v>
      </c>
      <c r="AW795" s="71">
        <f>IF(AND($AK795=1,$Z795="Yes"),1,0)</f>
        <v>0</v>
      </c>
      <c r="AX795" s="71">
        <f>IF(AND($AK795=1,$AA795="Yes"),1,0)</f>
        <v>0</v>
      </c>
      <c r="AY795" s="71">
        <f>IF(AND($AM795=1,OR($I795="Critical",$I795="High")),1,0)</f>
        <v>0</v>
      </c>
      <c r="AZ795" s="71">
        <f>IF(AND($AK795=1,OR($C795=TCL_Client,$C795=MECCA_Client)),1,0)</f>
        <v>0</v>
      </c>
      <c r="BA795" s="71" t="str">
        <f>IF($G795="","",IFERROR(MATCH($I795,lst_Priority,0),5))</f>
        <v/>
      </c>
      <c r="BB795" s="71" t="str">
        <f>IF(AND($AL795=1,$AJ795=1),$BA795*100000+ROW(),"")</f>
        <v/>
      </c>
      <c r="BC795" s="71" t="str">
        <f>IF(AND($AM795=1,$AJ795=1),$BA795*100000+ROW(),"")</f>
        <v/>
      </c>
      <c r="BD795" s="71" t="str">
        <f>IF(AND($AP795=1,$AJ795=1),$BA795*100000+ROW(),"")</f>
        <v/>
      </c>
      <c r="BE795" s="71" t="str">
        <f>IF(AND($AT795=1,$AJ795=1),$BA795*100000+ROW(),"")</f>
        <v/>
      </c>
      <c r="BF795" s="71" t="str">
        <f>IF(AND($AU795=1,$AJ795=1),$BA795*100000+ROW(),"")</f>
        <v/>
      </c>
      <c r="BG795" s="71" t="str">
        <f>IF(AND($AV795=1,$AJ795=1),$BA795*100000+ROW(),"")</f>
        <v/>
      </c>
      <c r="BH795" s="71" t="str">
        <f>IF(AND($AW795=1,$AJ795=1),$BA795*100000+ROW(),"")</f>
        <v/>
      </c>
      <c r="BI795" s="71" t="str">
        <f>IF(AND($AX795=1,$AJ795=1),$BA795*100000+ROW(),"")</f>
        <v/>
      </c>
      <c r="BJ795" s="71" t="str">
        <f>IF(AND($AS795=1,$AJ795=1),$BA795*100000+ROW(),"")</f>
        <v/>
      </c>
      <c r="BK795" s="71" t="str">
        <f>IF(AND($AY795=1,$AJ795=1),$BA795*100000+ROW(),"")</f>
        <v/>
      </c>
      <c r="BL795" s="71" t="str">
        <f>IF(AND($AZ795=1),$BA795*100000+ROW(),"")</f>
        <v/>
      </c>
    </row>
    <row r="796">
      <c r="A796" s="63" t="n"/>
      <c r="B796" s="64" t="n"/>
      <c r="C796" s="64" t="n"/>
      <c r="D796" s="64" t="n"/>
      <c r="E796" s="64" t="n"/>
      <c r="F796" s="64" t="n"/>
      <c r="G796" s="65" t="n"/>
      <c r="H796" s="65" t="n"/>
      <c r="I796" s="64" t="n"/>
      <c r="J796" s="64" t="n"/>
      <c r="K796" s="63" t="n"/>
      <c r="L796" s="63" t="n"/>
      <c r="M796" s="64" t="n"/>
      <c r="N796" s="66" t="n"/>
      <c r="O796" s="65" t="n"/>
      <c r="P796" s="64" t="n"/>
      <c r="Q796" s="67" t="n"/>
      <c r="R796" s="67" t="n"/>
      <c r="S796" s="68" t="str">
        <f>IF(AND(ISNUMBER($Q796),ISNUMBER($R796)),$Q796-$R796,"")</f>
        <v/>
      </c>
      <c r="T796" s="65" t="n"/>
      <c r="U796" s="64" t="n"/>
      <c r="V796" s="65" t="n"/>
      <c r="W796" s="63" t="n"/>
      <c r="X796" s="65" t="n"/>
      <c r="Y796" s="63" t="n"/>
      <c r="Z796" s="64" t="n"/>
      <c r="AA796" s="64" t="n"/>
      <c r="AB796" s="65" t="n"/>
      <c r="AC796" s="69" t="str">
        <f>IF(OR($G796="",NOT(ISNUMBER($K796)),$AK796=0),"",MAX(0,ReportDate-$K796))</f>
        <v/>
      </c>
      <c r="AD796" s="69" t="str">
        <f>IF($G796="","",IF($AL796=1,ReportDate-$L796,0))</f>
        <v/>
      </c>
      <c r="AE796" s="70" t="str">
        <f>IF($G796="","",IF($M796="Completed",1,IF(ISNUMBER($N796),$N796,0)))</f>
        <v/>
      </c>
      <c r="AF796" s="70" t="str">
        <f>IF(AND(ISNUMBER($Q796),ISNUMBER($R796)),IF($R796&lt;&gt;0,$Q796/$R796,""),"")</f>
        <v/>
      </c>
      <c r="AG796" s="71" t="str">
        <f>IF($G796="","",IF($AL796=1,"OVERDUE",IF($AM796=1,"BLOCKED",IF($AN796=1,"DUE TODAY",IF($AO796=1,"DUE TOMORROW",IF($AQ796=1,"HIGH PRIORITY",IF($AR796=1,"NO RECENT UPDATE",""))))))) </f>
        <v/>
      </c>
      <c r="AH796" s="71" t="str">
        <f>IF($G796="","",IF(ISNUMBER($A796),IF(ISNUMBER($A796),YEAR($A796)&amp;"-"&amp;TEXT(MONTH($A796),"00"),""),IF(ISNUMBER($L796),IF(ISNUMBER($L796),YEAR($L796)&amp;"-"&amp;TEXT(MONTH($L796),"00"),""),"")))</f>
        <v/>
      </c>
      <c r="AI796" s="71">
        <f>IF($G796="",0,IF(AND(OR(fClient="All",$C796=fClient),OR(fCampaign="All",$D796=fCampaign),OR(fTeam="All",$B796=fTeam),OR(fChannel="All",$F796=fChannel),OR(fMonth="All",$AH796=fMonth),OR(fTStatus="All",$M796=fTStatus)),1,0))</f>
        <v>0</v>
      </c>
      <c r="AJ796" s="71">
        <f>IF($G796="",0,IF(AND(OR(fClient="All",$C796=fClient),OR(fCampaign="All",$D796=fCampaign),OR(fTeam="All",$B796=fTeam),OR(fChannel="All",$F796=fChannel)),1,0))</f>
        <v>0</v>
      </c>
      <c r="AK796" s="71">
        <f>IF($G796="",0,IF(OR($M796="Completed",$M796="Cancelled"),0,1))</f>
        <v>0</v>
      </c>
      <c r="AL796" s="71">
        <f>IF(AND($AK796=1,ISNUMBER($L796)),IF($L796&lt;ReportDate,1,0),0)</f>
        <v>0</v>
      </c>
      <c r="AM796" s="71">
        <f>IF(AND($G796&lt;&gt;"",$M796="Blocked"),1,0)</f>
        <v>0</v>
      </c>
      <c r="AN796" s="71">
        <f>IF(AND($AK796=1,ISNUMBER($L796)),IF($L796=ReportDate,1,0),0)</f>
        <v>0</v>
      </c>
      <c r="AO796" s="71">
        <f>IF(AND($AK796=1,ISNUMBER($L796)),IF($L796=ReportDate+1,1,0),0)</f>
        <v>0</v>
      </c>
      <c r="AP796" s="71">
        <f>IF(AND($AK796=1,ISNUMBER($L796)),IF(AND($L796&gt;=ReportDate,$L796&lt;=ReportDate+DueSoonDays),1,0),0)</f>
        <v>0</v>
      </c>
      <c r="AQ796" s="71">
        <f>IF(AND($AK796=1,OR($I796="Critical",$I796="High")),1,0)</f>
        <v>0</v>
      </c>
      <c r="AR796" s="71">
        <f>IF($AK796=1,IF(ISNUMBER($Y796),IF(ReportDate-$Y796&gt;StaleDays,1,0),1),0)</f>
        <v>0</v>
      </c>
      <c r="AS796" s="71">
        <f>IF(AND($G796&lt;&gt;"",ISNUMBER($Q796),ISNUMBER($R796)),IF(AND($Q796&lt;$R796,OR($M796="Completed",AND(ISNUMBER($L796),$L796&lt;ReportDate))),1,0),0)</f>
        <v>0</v>
      </c>
      <c r="AT796" s="71">
        <f>IF($AK796=1,IF(OR($L796=ReportDate,$W796=ReportDate,$K796=ReportDate,$A796=ReportDate),1,0),0)</f>
        <v>0</v>
      </c>
      <c r="AU796" s="71">
        <f>IF($AK796=1,IF(OR($L796=ReportDate+1,$W796=ReportDate+1,$K796=ReportDate+1,$A796=ReportDate+1),1,0),0)</f>
        <v>0</v>
      </c>
      <c r="AV796" s="71">
        <f>IF(AND($G796&lt;&gt;"",$M796="Completed"),IF(OR($Y796=ReportDate-1,$A796=ReportDate-1),1,0),0)</f>
        <v>0</v>
      </c>
      <c r="AW796" s="71">
        <f>IF(AND($AK796=1,$Z796="Yes"),1,0)</f>
        <v>0</v>
      </c>
      <c r="AX796" s="71">
        <f>IF(AND($AK796=1,$AA796="Yes"),1,0)</f>
        <v>0</v>
      </c>
      <c r="AY796" s="71">
        <f>IF(AND($AM796=1,OR($I796="Critical",$I796="High")),1,0)</f>
        <v>0</v>
      </c>
      <c r="AZ796" s="71">
        <f>IF(AND($AK796=1,OR($C796=TCL_Client,$C796=MECCA_Client)),1,0)</f>
        <v>0</v>
      </c>
      <c r="BA796" s="71" t="str">
        <f>IF($G796="","",IFERROR(MATCH($I796,lst_Priority,0),5))</f>
        <v/>
      </c>
      <c r="BB796" s="71" t="str">
        <f>IF(AND($AL796=1,$AJ796=1),$BA796*100000+ROW(),"")</f>
        <v/>
      </c>
      <c r="BC796" s="71" t="str">
        <f>IF(AND($AM796=1,$AJ796=1),$BA796*100000+ROW(),"")</f>
        <v/>
      </c>
      <c r="BD796" s="71" t="str">
        <f>IF(AND($AP796=1,$AJ796=1),$BA796*100000+ROW(),"")</f>
        <v/>
      </c>
      <c r="BE796" s="71" t="str">
        <f>IF(AND($AT796=1,$AJ796=1),$BA796*100000+ROW(),"")</f>
        <v/>
      </c>
      <c r="BF796" s="71" t="str">
        <f>IF(AND($AU796=1,$AJ796=1),$BA796*100000+ROW(),"")</f>
        <v/>
      </c>
      <c r="BG796" s="71" t="str">
        <f>IF(AND($AV796=1,$AJ796=1),$BA796*100000+ROW(),"")</f>
        <v/>
      </c>
      <c r="BH796" s="71" t="str">
        <f>IF(AND($AW796=1,$AJ796=1),$BA796*100000+ROW(),"")</f>
        <v/>
      </c>
      <c r="BI796" s="71" t="str">
        <f>IF(AND($AX796=1,$AJ796=1),$BA796*100000+ROW(),"")</f>
        <v/>
      </c>
      <c r="BJ796" s="71" t="str">
        <f>IF(AND($AS796=1,$AJ796=1),$BA796*100000+ROW(),"")</f>
        <v/>
      </c>
      <c r="BK796" s="71" t="str">
        <f>IF(AND($AY796=1,$AJ796=1),$BA796*100000+ROW(),"")</f>
        <v/>
      </c>
      <c r="BL796" s="71" t="str">
        <f>IF(AND($AZ796=1),$BA796*100000+ROW(),"")</f>
        <v/>
      </c>
    </row>
    <row r="797">
      <c r="A797" s="63" t="n"/>
      <c r="B797" s="64" t="n"/>
      <c r="C797" s="64" t="n"/>
      <c r="D797" s="64" t="n"/>
      <c r="E797" s="64" t="n"/>
      <c r="F797" s="64" t="n"/>
      <c r="G797" s="65" t="n"/>
      <c r="H797" s="65" t="n"/>
      <c r="I797" s="64" t="n"/>
      <c r="J797" s="64" t="n"/>
      <c r="K797" s="63" t="n"/>
      <c r="L797" s="63" t="n"/>
      <c r="M797" s="64" t="n"/>
      <c r="N797" s="66" t="n"/>
      <c r="O797" s="65" t="n"/>
      <c r="P797" s="64" t="n"/>
      <c r="Q797" s="67" t="n"/>
      <c r="R797" s="67" t="n"/>
      <c r="S797" s="68" t="str">
        <f>IF(AND(ISNUMBER($Q797),ISNUMBER($R797)),$Q797-$R797,"")</f>
        <v/>
      </c>
      <c r="T797" s="65" t="n"/>
      <c r="U797" s="64" t="n"/>
      <c r="V797" s="65" t="n"/>
      <c r="W797" s="63" t="n"/>
      <c r="X797" s="65" t="n"/>
      <c r="Y797" s="63" t="n"/>
      <c r="Z797" s="64" t="n"/>
      <c r="AA797" s="64" t="n"/>
      <c r="AB797" s="65" t="n"/>
      <c r="AC797" s="69" t="str">
        <f>IF(OR($G797="",NOT(ISNUMBER($K797)),$AK797=0),"",MAX(0,ReportDate-$K797))</f>
        <v/>
      </c>
      <c r="AD797" s="69" t="str">
        <f>IF($G797="","",IF($AL797=1,ReportDate-$L797,0))</f>
        <v/>
      </c>
      <c r="AE797" s="70" t="str">
        <f>IF($G797="","",IF($M797="Completed",1,IF(ISNUMBER($N797),$N797,0)))</f>
        <v/>
      </c>
      <c r="AF797" s="70" t="str">
        <f>IF(AND(ISNUMBER($Q797),ISNUMBER($R797)),IF($R797&lt;&gt;0,$Q797/$R797,""),"")</f>
        <v/>
      </c>
      <c r="AG797" s="71" t="str">
        <f>IF($G797="","",IF($AL797=1,"OVERDUE",IF($AM797=1,"BLOCKED",IF($AN797=1,"DUE TODAY",IF($AO797=1,"DUE TOMORROW",IF($AQ797=1,"HIGH PRIORITY",IF($AR797=1,"NO RECENT UPDATE",""))))))) </f>
        <v/>
      </c>
      <c r="AH797" s="71" t="str">
        <f>IF($G797="","",IF(ISNUMBER($A797),IF(ISNUMBER($A797),YEAR($A797)&amp;"-"&amp;TEXT(MONTH($A797),"00"),""),IF(ISNUMBER($L797),IF(ISNUMBER($L797),YEAR($L797)&amp;"-"&amp;TEXT(MONTH($L797),"00"),""),"")))</f>
        <v/>
      </c>
      <c r="AI797" s="71">
        <f>IF($G797="",0,IF(AND(OR(fClient="All",$C797=fClient),OR(fCampaign="All",$D797=fCampaign),OR(fTeam="All",$B797=fTeam),OR(fChannel="All",$F797=fChannel),OR(fMonth="All",$AH797=fMonth),OR(fTStatus="All",$M797=fTStatus)),1,0))</f>
        <v>0</v>
      </c>
      <c r="AJ797" s="71">
        <f>IF($G797="",0,IF(AND(OR(fClient="All",$C797=fClient),OR(fCampaign="All",$D797=fCampaign),OR(fTeam="All",$B797=fTeam),OR(fChannel="All",$F797=fChannel)),1,0))</f>
        <v>0</v>
      </c>
      <c r="AK797" s="71">
        <f>IF($G797="",0,IF(OR($M797="Completed",$M797="Cancelled"),0,1))</f>
        <v>0</v>
      </c>
      <c r="AL797" s="71">
        <f>IF(AND($AK797=1,ISNUMBER($L797)),IF($L797&lt;ReportDate,1,0),0)</f>
        <v>0</v>
      </c>
      <c r="AM797" s="71">
        <f>IF(AND($G797&lt;&gt;"",$M797="Blocked"),1,0)</f>
        <v>0</v>
      </c>
      <c r="AN797" s="71">
        <f>IF(AND($AK797=1,ISNUMBER($L797)),IF($L797=ReportDate,1,0),0)</f>
        <v>0</v>
      </c>
      <c r="AO797" s="71">
        <f>IF(AND($AK797=1,ISNUMBER($L797)),IF($L797=ReportDate+1,1,0),0)</f>
        <v>0</v>
      </c>
      <c r="AP797" s="71">
        <f>IF(AND($AK797=1,ISNUMBER($L797)),IF(AND($L797&gt;=ReportDate,$L797&lt;=ReportDate+DueSoonDays),1,0),0)</f>
        <v>0</v>
      </c>
      <c r="AQ797" s="71">
        <f>IF(AND($AK797=1,OR($I797="Critical",$I797="High")),1,0)</f>
        <v>0</v>
      </c>
      <c r="AR797" s="71">
        <f>IF($AK797=1,IF(ISNUMBER($Y797),IF(ReportDate-$Y797&gt;StaleDays,1,0),1),0)</f>
        <v>0</v>
      </c>
      <c r="AS797" s="71">
        <f>IF(AND($G797&lt;&gt;"",ISNUMBER($Q797),ISNUMBER($R797)),IF(AND($Q797&lt;$R797,OR($M797="Completed",AND(ISNUMBER($L797),$L797&lt;ReportDate))),1,0),0)</f>
        <v>0</v>
      </c>
      <c r="AT797" s="71">
        <f>IF($AK797=1,IF(OR($L797=ReportDate,$W797=ReportDate,$K797=ReportDate,$A797=ReportDate),1,0),0)</f>
        <v>0</v>
      </c>
      <c r="AU797" s="71">
        <f>IF($AK797=1,IF(OR($L797=ReportDate+1,$W797=ReportDate+1,$K797=ReportDate+1,$A797=ReportDate+1),1,0),0)</f>
        <v>0</v>
      </c>
      <c r="AV797" s="71">
        <f>IF(AND($G797&lt;&gt;"",$M797="Completed"),IF(OR($Y797=ReportDate-1,$A797=ReportDate-1),1,0),0)</f>
        <v>0</v>
      </c>
      <c r="AW797" s="71">
        <f>IF(AND($AK797=1,$Z797="Yes"),1,0)</f>
        <v>0</v>
      </c>
      <c r="AX797" s="71">
        <f>IF(AND($AK797=1,$AA797="Yes"),1,0)</f>
        <v>0</v>
      </c>
      <c r="AY797" s="71">
        <f>IF(AND($AM797=1,OR($I797="Critical",$I797="High")),1,0)</f>
        <v>0</v>
      </c>
      <c r="AZ797" s="71">
        <f>IF(AND($AK797=1,OR($C797=TCL_Client,$C797=MECCA_Client)),1,0)</f>
        <v>0</v>
      </c>
      <c r="BA797" s="71" t="str">
        <f>IF($G797="","",IFERROR(MATCH($I797,lst_Priority,0),5))</f>
        <v/>
      </c>
      <c r="BB797" s="71" t="str">
        <f>IF(AND($AL797=1,$AJ797=1),$BA797*100000+ROW(),"")</f>
        <v/>
      </c>
      <c r="BC797" s="71" t="str">
        <f>IF(AND($AM797=1,$AJ797=1),$BA797*100000+ROW(),"")</f>
        <v/>
      </c>
      <c r="BD797" s="71" t="str">
        <f>IF(AND($AP797=1,$AJ797=1),$BA797*100000+ROW(),"")</f>
        <v/>
      </c>
      <c r="BE797" s="71" t="str">
        <f>IF(AND($AT797=1,$AJ797=1),$BA797*100000+ROW(),"")</f>
        <v/>
      </c>
      <c r="BF797" s="71" t="str">
        <f>IF(AND($AU797=1,$AJ797=1),$BA797*100000+ROW(),"")</f>
        <v/>
      </c>
      <c r="BG797" s="71" t="str">
        <f>IF(AND($AV797=1,$AJ797=1),$BA797*100000+ROW(),"")</f>
        <v/>
      </c>
      <c r="BH797" s="71" t="str">
        <f>IF(AND($AW797=1,$AJ797=1),$BA797*100000+ROW(),"")</f>
        <v/>
      </c>
      <c r="BI797" s="71" t="str">
        <f>IF(AND($AX797=1,$AJ797=1),$BA797*100000+ROW(),"")</f>
        <v/>
      </c>
      <c r="BJ797" s="71" t="str">
        <f>IF(AND($AS797=1,$AJ797=1),$BA797*100000+ROW(),"")</f>
        <v/>
      </c>
      <c r="BK797" s="71" t="str">
        <f>IF(AND($AY797=1,$AJ797=1),$BA797*100000+ROW(),"")</f>
        <v/>
      </c>
      <c r="BL797" s="71" t="str">
        <f>IF(AND($AZ797=1),$BA797*100000+ROW(),"")</f>
        <v/>
      </c>
    </row>
    <row r="798">
      <c r="A798" s="63" t="n"/>
      <c r="B798" s="64" t="n"/>
      <c r="C798" s="64" t="n"/>
      <c r="D798" s="64" t="n"/>
      <c r="E798" s="64" t="n"/>
      <c r="F798" s="64" t="n"/>
      <c r="G798" s="65" t="n"/>
      <c r="H798" s="65" t="n"/>
      <c r="I798" s="64" t="n"/>
      <c r="J798" s="64" t="n"/>
      <c r="K798" s="63" t="n"/>
      <c r="L798" s="63" t="n"/>
      <c r="M798" s="64" t="n"/>
      <c r="N798" s="66" t="n"/>
      <c r="O798" s="65" t="n"/>
      <c r="P798" s="64" t="n"/>
      <c r="Q798" s="67" t="n"/>
      <c r="R798" s="67" t="n"/>
      <c r="S798" s="68" t="str">
        <f>IF(AND(ISNUMBER($Q798),ISNUMBER($R798)),$Q798-$R798,"")</f>
        <v/>
      </c>
      <c r="T798" s="65" t="n"/>
      <c r="U798" s="64" t="n"/>
      <c r="V798" s="65" t="n"/>
      <c r="W798" s="63" t="n"/>
      <c r="X798" s="65" t="n"/>
      <c r="Y798" s="63" t="n"/>
      <c r="Z798" s="64" t="n"/>
      <c r="AA798" s="64" t="n"/>
      <c r="AB798" s="65" t="n"/>
      <c r="AC798" s="69" t="str">
        <f>IF(OR($G798="",NOT(ISNUMBER($K798)),$AK798=0),"",MAX(0,ReportDate-$K798))</f>
        <v/>
      </c>
      <c r="AD798" s="69" t="str">
        <f>IF($G798="","",IF($AL798=1,ReportDate-$L798,0))</f>
        <v/>
      </c>
      <c r="AE798" s="70" t="str">
        <f>IF($G798="","",IF($M798="Completed",1,IF(ISNUMBER($N798),$N798,0)))</f>
        <v/>
      </c>
      <c r="AF798" s="70" t="str">
        <f>IF(AND(ISNUMBER($Q798),ISNUMBER($R798)),IF($R798&lt;&gt;0,$Q798/$R798,""),"")</f>
        <v/>
      </c>
      <c r="AG798" s="71" t="str">
        <f>IF($G798="","",IF($AL798=1,"OVERDUE",IF($AM798=1,"BLOCKED",IF($AN798=1,"DUE TODAY",IF($AO798=1,"DUE TOMORROW",IF($AQ798=1,"HIGH PRIORITY",IF($AR798=1,"NO RECENT UPDATE",""))))))) </f>
        <v/>
      </c>
      <c r="AH798" s="71" t="str">
        <f>IF($G798="","",IF(ISNUMBER($A798),IF(ISNUMBER($A798),YEAR($A798)&amp;"-"&amp;TEXT(MONTH($A798),"00"),""),IF(ISNUMBER($L798),IF(ISNUMBER($L798),YEAR($L798)&amp;"-"&amp;TEXT(MONTH($L798),"00"),""),"")))</f>
        <v/>
      </c>
      <c r="AI798" s="71">
        <f>IF($G798="",0,IF(AND(OR(fClient="All",$C798=fClient),OR(fCampaign="All",$D798=fCampaign),OR(fTeam="All",$B798=fTeam),OR(fChannel="All",$F798=fChannel),OR(fMonth="All",$AH798=fMonth),OR(fTStatus="All",$M798=fTStatus)),1,0))</f>
        <v>0</v>
      </c>
      <c r="AJ798" s="71">
        <f>IF($G798="",0,IF(AND(OR(fClient="All",$C798=fClient),OR(fCampaign="All",$D798=fCampaign),OR(fTeam="All",$B798=fTeam),OR(fChannel="All",$F798=fChannel)),1,0))</f>
        <v>0</v>
      </c>
      <c r="AK798" s="71">
        <f>IF($G798="",0,IF(OR($M798="Completed",$M798="Cancelled"),0,1))</f>
        <v>0</v>
      </c>
      <c r="AL798" s="71">
        <f>IF(AND($AK798=1,ISNUMBER($L798)),IF($L798&lt;ReportDate,1,0),0)</f>
        <v>0</v>
      </c>
      <c r="AM798" s="71">
        <f>IF(AND($G798&lt;&gt;"",$M798="Blocked"),1,0)</f>
        <v>0</v>
      </c>
      <c r="AN798" s="71">
        <f>IF(AND($AK798=1,ISNUMBER($L798)),IF($L798=ReportDate,1,0),0)</f>
        <v>0</v>
      </c>
      <c r="AO798" s="71">
        <f>IF(AND($AK798=1,ISNUMBER($L798)),IF($L798=ReportDate+1,1,0),0)</f>
        <v>0</v>
      </c>
      <c r="AP798" s="71">
        <f>IF(AND($AK798=1,ISNUMBER($L798)),IF(AND($L798&gt;=ReportDate,$L798&lt;=ReportDate+DueSoonDays),1,0),0)</f>
        <v>0</v>
      </c>
      <c r="AQ798" s="71">
        <f>IF(AND($AK798=1,OR($I798="Critical",$I798="High")),1,0)</f>
        <v>0</v>
      </c>
      <c r="AR798" s="71">
        <f>IF($AK798=1,IF(ISNUMBER($Y798),IF(ReportDate-$Y798&gt;StaleDays,1,0),1),0)</f>
        <v>0</v>
      </c>
      <c r="AS798" s="71">
        <f>IF(AND($G798&lt;&gt;"",ISNUMBER($Q798),ISNUMBER($R798)),IF(AND($Q798&lt;$R798,OR($M798="Completed",AND(ISNUMBER($L798),$L798&lt;ReportDate))),1,0),0)</f>
        <v>0</v>
      </c>
      <c r="AT798" s="71">
        <f>IF($AK798=1,IF(OR($L798=ReportDate,$W798=ReportDate,$K798=ReportDate,$A798=ReportDate),1,0),0)</f>
        <v>0</v>
      </c>
      <c r="AU798" s="71">
        <f>IF($AK798=1,IF(OR($L798=ReportDate+1,$W798=ReportDate+1,$K798=ReportDate+1,$A798=ReportDate+1),1,0),0)</f>
        <v>0</v>
      </c>
      <c r="AV798" s="71">
        <f>IF(AND($G798&lt;&gt;"",$M798="Completed"),IF(OR($Y798=ReportDate-1,$A798=ReportDate-1),1,0),0)</f>
        <v>0</v>
      </c>
      <c r="AW798" s="71">
        <f>IF(AND($AK798=1,$Z798="Yes"),1,0)</f>
        <v>0</v>
      </c>
      <c r="AX798" s="71">
        <f>IF(AND($AK798=1,$AA798="Yes"),1,0)</f>
        <v>0</v>
      </c>
      <c r="AY798" s="71">
        <f>IF(AND($AM798=1,OR($I798="Critical",$I798="High")),1,0)</f>
        <v>0</v>
      </c>
      <c r="AZ798" s="71">
        <f>IF(AND($AK798=1,OR($C798=TCL_Client,$C798=MECCA_Client)),1,0)</f>
        <v>0</v>
      </c>
      <c r="BA798" s="71" t="str">
        <f>IF($G798="","",IFERROR(MATCH($I798,lst_Priority,0),5))</f>
        <v/>
      </c>
      <c r="BB798" s="71" t="str">
        <f>IF(AND($AL798=1,$AJ798=1),$BA798*100000+ROW(),"")</f>
        <v/>
      </c>
      <c r="BC798" s="71" t="str">
        <f>IF(AND($AM798=1,$AJ798=1),$BA798*100000+ROW(),"")</f>
        <v/>
      </c>
      <c r="BD798" s="71" t="str">
        <f>IF(AND($AP798=1,$AJ798=1),$BA798*100000+ROW(),"")</f>
        <v/>
      </c>
      <c r="BE798" s="71" t="str">
        <f>IF(AND($AT798=1,$AJ798=1),$BA798*100000+ROW(),"")</f>
        <v/>
      </c>
      <c r="BF798" s="71" t="str">
        <f>IF(AND($AU798=1,$AJ798=1),$BA798*100000+ROW(),"")</f>
        <v/>
      </c>
      <c r="BG798" s="71" t="str">
        <f>IF(AND($AV798=1,$AJ798=1),$BA798*100000+ROW(),"")</f>
        <v/>
      </c>
      <c r="BH798" s="71" t="str">
        <f>IF(AND($AW798=1,$AJ798=1),$BA798*100000+ROW(),"")</f>
        <v/>
      </c>
      <c r="BI798" s="71" t="str">
        <f>IF(AND($AX798=1,$AJ798=1),$BA798*100000+ROW(),"")</f>
        <v/>
      </c>
      <c r="BJ798" s="71" t="str">
        <f>IF(AND($AS798=1,$AJ798=1),$BA798*100000+ROW(),"")</f>
        <v/>
      </c>
      <c r="BK798" s="71" t="str">
        <f>IF(AND($AY798=1,$AJ798=1),$BA798*100000+ROW(),"")</f>
        <v/>
      </c>
      <c r="BL798" s="71" t="str">
        <f>IF(AND($AZ798=1),$BA798*100000+ROW(),"")</f>
        <v/>
      </c>
    </row>
    <row r="799">
      <c r="A799" s="63" t="n"/>
      <c r="B799" s="64" t="n"/>
      <c r="C799" s="64" t="n"/>
      <c r="D799" s="64" t="n"/>
      <c r="E799" s="64" t="n"/>
      <c r="F799" s="64" t="n"/>
      <c r="G799" s="65" t="n"/>
      <c r="H799" s="65" t="n"/>
      <c r="I799" s="64" t="n"/>
      <c r="J799" s="64" t="n"/>
      <c r="K799" s="63" t="n"/>
      <c r="L799" s="63" t="n"/>
      <c r="M799" s="64" t="n"/>
      <c r="N799" s="66" t="n"/>
      <c r="O799" s="65" t="n"/>
      <c r="P799" s="64" t="n"/>
      <c r="Q799" s="67" t="n"/>
      <c r="R799" s="67" t="n"/>
      <c r="S799" s="68" t="str">
        <f>IF(AND(ISNUMBER($Q799),ISNUMBER($R799)),$Q799-$R799,"")</f>
        <v/>
      </c>
      <c r="T799" s="65" t="n"/>
      <c r="U799" s="64" t="n"/>
      <c r="V799" s="65" t="n"/>
      <c r="W799" s="63" t="n"/>
      <c r="X799" s="65" t="n"/>
      <c r="Y799" s="63" t="n"/>
      <c r="Z799" s="64" t="n"/>
      <c r="AA799" s="64" t="n"/>
      <c r="AB799" s="65" t="n"/>
      <c r="AC799" s="69" t="str">
        <f>IF(OR($G799="",NOT(ISNUMBER($K799)),$AK799=0),"",MAX(0,ReportDate-$K799))</f>
        <v/>
      </c>
      <c r="AD799" s="69" t="str">
        <f>IF($G799="","",IF($AL799=1,ReportDate-$L799,0))</f>
        <v/>
      </c>
      <c r="AE799" s="70" t="str">
        <f>IF($G799="","",IF($M799="Completed",1,IF(ISNUMBER($N799),$N799,0)))</f>
        <v/>
      </c>
      <c r="AF799" s="70" t="str">
        <f>IF(AND(ISNUMBER($Q799),ISNUMBER($R799)),IF($R799&lt;&gt;0,$Q799/$R799,""),"")</f>
        <v/>
      </c>
      <c r="AG799" s="71" t="str">
        <f>IF($G799="","",IF($AL799=1,"OVERDUE",IF($AM799=1,"BLOCKED",IF($AN799=1,"DUE TODAY",IF($AO799=1,"DUE TOMORROW",IF($AQ799=1,"HIGH PRIORITY",IF($AR799=1,"NO RECENT UPDATE",""))))))) </f>
        <v/>
      </c>
      <c r="AH799" s="71" t="str">
        <f>IF($G799="","",IF(ISNUMBER($A799),IF(ISNUMBER($A799),YEAR($A799)&amp;"-"&amp;TEXT(MONTH($A799),"00"),""),IF(ISNUMBER($L799),IF(ISNUMBER($L799),YEAR($L799)&amp;"-"&amp;TEXT(MONTH($L799),"00"),""),"")))</f>
        <v/>
      </c>
      <c r="AI799" s="71">
        <f>IF($G799="",0,IF(AND(OR(fClient="All",$C799=fClient),OR(fCampaign="All",$D799=fCampaign),OR(fTeam="All",$B799=fTeam),OR(fChannel="All",$F799=fChannel),OR(fMonth="All",$AH799=fMonth),OR(fTStatus="All",$M799=fTStatus)),1,0))</f>
        <v>0</v>
      </c>
      <c r="AJ799" s="71">
        <f>IF($G799="",0,IF(AND(OR(fClient="All",$C799=fClient),OR(fCampaign="All",$D799=fCampaign),OR(fTeam="All",$B799=fTeam),OR(fChannel="All",$F799=fChannel)),1,0))</f>
        <v>0</v>
      </c>
      <c r="AK799" s="71">
        <f>IF($G799="",0,IF(OR($M799="Completed",$M799="Cancelled"),0,1))</f>
        <v>0</v>
      </c>
      <c r="AL799" s="71">
        <f>IF(AND($AK799=1,ISNUMBER($L799)),IF($L799&lt;ReportDate,1,0),0)</f>
        <v>0</v>
      </c>
      <c r="AM799" s="71">
        <f>IF(AND($G799&lt;&gt;"",$M799="Blocked"),1,0)</f>
        <v>0</v>
      </c>
      <c r="AN799" s="71">
        <f>IF(AND($AK799=1,ISNUMBER($L799)),IF($L799=ReportDate,1,0),0)</f>
        <v>0</v>
      </c>
      <c r="AO799" s="71">
        <f>IF(AND($AK799=1,ISNUMBER($L799)),IF($L799=ReportDate+1,1,0),0)</f>
        <v>0</v>
      </c>
      <c r="AP799" s="71">
        <f>IF(AND($AK799=1,ISNUMBER($L799)),IF(AND($L799&gt;=ReportDate,$L799&lt;=ReportDate+DueSoonDays),1,0),0)</f>
        <v>0</v>
      </c>
      <c r="AQ799" s="71">
        <f>IF(AND($AK799=1,OR($I799="Critical",$I799="High")),1,0)</f>
        <v>0</v>
      </c>
      <c r="AR799" s="71">
        <f>IF($AK799=1,IF(ISNUMBER($Y799),IF(ReportDate-$Y799&gt;StaleDays,1,0),1),0)</f>
        <v>0</v>
      </c>
      <c r="AS799" s="71">
        <f>IF(AND($G799&lt;&gt;"",ISNUMBER($Q799),ISNUMBER($R799)),IF(AND($Q799&lt;$R799,OR($M799="Completed",AND(ISNUMBER($L799),$L799&lt;ReportDate))),1,0),0)</f>
        <v>0</v>
      </c>
      <c r="AT799" s="71">
        <f>IF($AK799=1,IF(OR($L799=ReportDate,$W799=ReportDate,$K799=ReportDate,$A799=ReportDate),1,0),0)</f>
        <v>0</v>
      </c>
      <c r="AU799" s="71">
        <f>IF($AK799=1,IF(OR($L799=ReportDate+1,$W799=ReportDate+1,$K799=ReportDate+1,$A799=ReportDate+1),1,0),0)</f>
        <v>0</v>
      </c>
      <c r="AV799" s="71">
        <f>IF(AND($G799&lt;&gt;"",$M799="Completed"),IF(OR($Y799=ReportDate-1,$A799=ReportDate-1),1,0),0)</f>
        <v>0</v>
      </c>
      <c r="AW799" s="71">
        <f>IF(AND($AK799=1,$Z799="Yes"),1,0)</f>
        <v>0</v>
      </c>
      <c r="AX799" s="71">
        <f>IF(AND($AK799=1,$AA799="Yes"),1,0)</f>
        <v>0</v>
      </c>
      <c r="AY799" s="71">
        <f>IF(AND($AM799=1,OR($I799="Critical",$I799="High")),1,0)</f>
        <v>0</v>
      </c>
      <c r="AZ799" s="71">
        <f>IF(AND($AK799=1,OR($C799=TCL_Client,$C799=MECCA_Client)),1,0)</f>
        <v>0</v>
      </c>
      <c r="BA799" s="71" t="str">
        <f>IF($G799="","",IFERROR(MATCH($I799,lst_Priority,0),5))</f>
        <v/>
      </c>
      <c r="BB799" s="71" t="str">
        <f>IF(AND($AL799=1,$AJ799=1),$BA799*100000+ROW(),"")</f>
        <v/>
      </c>
      <c r="BC799" s="71" t="str">
        <f>IF(AND($AM799=1,$AJ799=1),$BA799*100000+ROW(),"")</f>
        <v/>
      </c>
      <c r="BD799" s="71" t="str">
        <f>IF(AND($AP799=1,$AJ799=1),$BA799*100000+ROW(),"")</f>
        <v/>
      </c>
      <c r="BE799" s="71" t="str">
        <f>IF(AND($AT799=1,$AJ799=1),$BA799*100000+ROW(),"")</f>
        <v/>
      </c>
      <c r="BF799" s="71" t="str">
        <f>IF(AND($AU799=1,$AJ799=1),$BA799*100000+ROW(),"")</f>
        <v/>
      </c>
      <c r="BG799" s="71" t="str">
        <f>IF(AND($AV799=1,$AJ799=1),$BA799*100000+ROW(),"")</f>
        <v/>
      </c>
      <c r="BH799" s="71" t="str">
        <f>IF(AND($AW799=1,$AJ799=1),$BA799*100000+ROW(),"")</f>
        <v/>
      </c>
      <c r="BI799" s="71" t="str">
        <f>IF(AND($AX799=1,$AJ799=1),$BA799*100000+ROW(),"")</f>
        <v/>
      </c>
      <c r="BJ799" s="71" t="str">
        <f>IF(AND($AS799=1,$AJ799=1),$BA799*100000+ROW(),"")</f>
        <v/>
      </c>
      <c r="BK799" s="71" t="str">
        <f>IF(AND($AY799=1,$AJ799=1),$BA799*100000+ROW(),"")</f>
        <v/>
      </c>
      <c r="BL799" s="71" t="str">
        <f>IF(AND($AZ799=1),$BA799*100000+ROW(),"")</f>
        <v/>
      </c>
    </row>
    <row r="800">
      <c r="A800" s="63" t="n"/>
      <c r="B800" s="64" t="n"/>
      <c r="C800" s="64" t="n"/>
      <c r="D800" s="64" t="n"/>
      <c r="E800" s="64" t="n"/>
      <c r="F800" s="64" t="n"/>
      <c r="G800" s="65" t="n"/>
      <c r="H800" s="65" t="n"/>
      <c r="I800" s="64" t="n"/>
      <c r="J800" s="64" t="n"/>
      <c r="K800" s="63" t="n"/>
      <c r="L800" s="63" t="n"/>
      <c r="M800" s="64" t="n"/>
      <c r="N800" s="66" t="n"/>
      <c r="O800" s="65" t="n"/>
      <c r="P800" s="64" t="n"/>
      <c r="Q800" s="67" t="n"/>
      <c r="R800" s="67" t="n"/>
      <c r="S800" s="68" t="str">
        <f>IF(AND(ISNUMBER($Q800),ISNUMBER($R800)),$Q800-$R800,"")</f>
        <v/>
      </c>
      <c r="T800" s="65" t="n"/>
      <c r="U800" s="64" t="n"/>
      <c r="V800" s="65" t="n"/>
      <c r="W800" s="63" t="n"/>
      <c r="X800" s="65" t="n"/>
      <c r="Y800" s="63" t="n"/>
      <c r="Z800" s="64" t="n"/>
      <c r="AA800" s="64" t="n"/>
      <c r="AB800" s="65" t="n"/>
      <c r="AC800" s="69" t="str">
        <f>IF(OR($G800="",NOT(ISNUMBER($K800)),$AK800=0),"",MAX(0,ReportDate-$K800))</f>
        <v/>
      </c>
      <c r="AD800" s="69" t="str">
        <f>IF($G800="","",IF($AL800=1,ReportDate-$L800,0))</f>
        <v/>
      </c>
      <c r="AE800" s="70" t="str">
        <f>IF($G800="","",IF($M800="Completed",1,IF(ISNUMBER($N800),$N800,0)))</f>
        <v/>
      </c>
      <c r="AF800" s="70" t="str">
        <f>IF(AND(ISNUMBER($Q800),ISNUMBER($R800)),IF($R800&lt;&gt;0,$Q800/$R800,""),"")</f>
        <v/>
      </c>
      <c r="AG800" s="71" t="str">
        <f>IF($G800="","",IF($AL800=1,"OVERDUE",IF($AM800=1,"BLOCKED",IF($AN800=1,"DUE TODAY",IF($AO800=1,"DUE TOMORROW",IF($AQ800=1,"HIGH PRIORITY",IF($AR800=1,"NO RECENT UPDATE",""))))))) </f>
        <v/>
      </c>
      <c r="AH800" s="71" t="str">
        <f>IF($G800="","",IF(ISNUMBER($A800),IF(ISNUMBER($A800),YEAR($A800)&amp;"-"&amp;TEXT(MONTH($A800),"00"),""),IF(ISNUMBER($L800),IF(ISNUMBER($L800),YEAR($L800)&amp;"-"&amp;TEXT(MONTH($L800),"00"),""),"")))</f>
        <v/>
      </c>
      <c r="AI800" s="71">
        <f>IF($G800="",0,IF(AND(OR(fClient="All",$C800=fClient),OR(fCampaign="All",$D800=fCampaign),OR(fTeam="All",$B800=fTeam),OR(fChannel="All",$F800=fChannel),OR(fMonth="All",$AH800=fMonth),OR(fTStatus="All",$M800=fTStatus)),1,0))</f>
        <v>0</v>
      </c>
      <c r="AJ800" s="71">
        <f>IF($G800="",0,IF(AND(OR(fClient="All",$C800=fClient),OR(fCampaign="All",$D800=fCampaign),OR(fTeam="All",$B800=fTeam),OR(fChannel="All",$F800=fChannel)),1,0))</f>
        <v>0</v>
      </c>
      <c r="AK800" s="71">
        <f>IF($G800="",0,IF(OR($M800="Completed",$M800="Cancelled"),0,1))</f>
        <v>0</v>
      </c>
      <c r="AL800" s="71">
        <f>IF(AND($AK800=1,ISNUMBER($L800)),IF($L800&lt;ReportDate,1,0),0)</f>
        <v>0</v>
      </c>
      <c r="AM800" s="71">
        <f>IF(AND($G800&lt;&gt;"",$M800="Blocked"),1,0)</f>
        <v>0</v>
      </c>
      <c r="AN800" s="71">
        <f>IF(AND($AK800=1,ISNUMBER($L800)),IF($L800=ReportDate,1,0),0)</f>
        <v>0</v>
      </c>
      <c r="AO800" s="71">
        <f>IF(AND($AK800=1,ISNUMBER($L800)),IF($L800=ReportDate+1,1,0),0)</f>
        <v>0</v>
      </c>
      <c r="AP800" s="71">
        <f>IF(AND($AK800=1,ISNUMBER($L800)),IF(AND($L800&gt;=ReportDate,$L800&lt;=ReportDate+DueSoonDays),1,0),0)</f>
        <v>0</v>
      </c>
      <c r="AQ800" s="71">
        <f>IF(AND($AK800=1,OR($I800="Critical",$I800="High")),1,0)</f>
        <v>0</v>
      </c>
      <c r="AR800" s="71">
        <f>IF($AK800=1,IF(ISNUMBER($Y800),IF(ReportDate-$Y800&gt;StaleDays,1,0),1),0)</f>
        <v>0</v>
      </c>
      <c r="AS800" s="71">
        <f>IF(AND($G800&lt;&gt;"",ISNUMBER($Q800),ISNUMBER($R800)),IF(AND($Q800&lt;$R800,OR($M800="Completed",AND(ISNUMBER($L800),$L800&lt;ReportDate))),1,0),0)</f>
        <v>0</v>
      </c>
      <c r="AT800" s="71">
        <f>IF($AK800=1,IF(OR($L800=ReportDate,$W800=ReportDate,$K800=ReportDate,$A800=ReportDate),1,0),0)</f>
        <v>0</v>
      </c>
      <c r="AU800" s="71">
        <f>IF($AK800=1,IF(OR($L800=ReportDate+1,$W800=ReportDate+1,$K800=ReportDate+1,$A800=ReportDate+1),1,0),0)</f>
        <v>0</v>
      </c>
      <c r="AV800" s="71">
        <f>IF(AND($G800&lt;&gt;"",$M800="Completed"),IF(OR($Y800=ReportDate-1,$A800=ReportDate-1),1,0),0)</f>
        <v>0</v>
      </c>
      <c r="AW800" s="71">
        <f>IF(AND($AK800=1,$Z800="Yes"),1,0)</f>
        <v>0</v>
      </c>
      <c r="AX800" s="71">
        <f>IF(AND($AK800=1,$AA800="Yes"),1,0)</f>
        <v>0</v>
      </c>
      <c r="AY800" s="71">
        <f>IF(AND($AM800=1,OR($I800="Critical",$I800="High")),1,0)</f>
        <v>0</v>
      </c>
      <c r="AZ800" s="71">
        <f>IF(AND($AK800=1,OR($C800=TCL_Client,$C800=MECCA_Client)),1,0)</f>
        <v>0</v>
      </c>
      <c r="BA800" s="71" t="str">
        <f>IF($G800="","",IFERROR(MATCH($I800,lst_Priority,0),5))</f>
        <v/>
      </c>
      <c r="BB800" s="71" t="str">
        <f>IF(AND($AL800=1,$AJ800=1),$BA800*100000+ROW(),"")</f>
        <v/>
      </c>
      <c r="BC800" s="71" t="str">
        <f>IF(AND($AM800=1,$AJ800=1),$BA800*100000+ROW(),"")</f>
        <v/>
      </c>
      <c r="BD800" s="71" t="str">
        <f>IF(AND($AP800=1,$AJ800=1),$BA800*100000+ROW(),"")</f>
        <v/>
      </c>
      <c r="BE800" s="71" t="str">
        <f>IF(AND($AT800=1,$AJ800=1),$BA800*100000+ROW(),"")</f>
        <v/>
      </c>
      <c r="BF800" s="71" t="str">
        <f>IF(AND($AU800=1,$AJ800=1),$BA800*100000+ROW(),"")</f>
        <v/>
      </c>
      <c r="BG800" s="71" t="str">
        <f>IF(AND($AV800=1,$AJ800=1),$BA800*100000+ROW(),"")</f>
        <v/>
      </c>
      <c r="BH800" s="71" t="str">
        <f>IF(AND($AW800=1,$AJ800=1),$BA800*100000+ROW(),"")</f>
        <v/>
      </c>
      <c r="BI800" s="71" t="str">
        <f>IF(AND($AX800=1,$AJ800=1),$BA800*100000+ROW(),"")</f>
        <v/>
      </c>
      <c r="BJ800" s="71" t="str">
        <f>IF(AND($AS800=1,$AJ800=1),$BA800*100000+ROW(),"")</f>
        <v/>
      </c>
      <c r="BK800" s="71" t="str">
        <f>IF(AND($AY800=1,$AJ800=1),$BA800*100000+ROW(),"")</f>
        <v/>
      </c>
      <c r="BL800" s="71" t="str">
        <f>IF(AND($AZ800=1),$BA800*100000+ROW(),"")</f>
        <v/>
      </c>
    </row>
    <row r="801">
      <c r="A801" s="63" t="n"/>
      <c r="B801" s="64" t="n"/>
      <c r="C801" s="64" t="n"/>
      <c r="D801" s="64" t="n"/>
      <c r="E801" s="64" t="n"/>
      <c r="F801" s="64" t="n"/>
      <c r="G801" s="65" t="n"/>
      <c r="H801" s="65" t="n"/>
      <c r="I801" s="64" t="n"/>
      <c r="J801" s="64" t="n"/>
      <c r="K801" s="63" t="n"/>
      <c r="L801" s="63" t="n"/>
      <c r="M801" s="64" t="n"/>
      <c r="N801" s="66" t="n"/>
      <c r="O801" s="65" t="n"/>
      <c r="P801" s="64" t="n"/>
      <c r="Q801" s="67" t="n"/>
      <c r="R801" s="67" t="n"/>
      <c r="S801" s="68" t="str">
        <f>IF(AND(ISNUMBER($Q801),ISNUMBER($R801)),$Q801-$R801,"")</f>
        <v/>
      </c>
      <c r="T801" s="65" t="n"/>
      <c r="U801" s="64" t="n"/>
      <c r="V801" s="65" t="n"/>
      <c r="W801" s="63" t="n"/>
      <c r="X801" s="65" t="n"/>
      <c r="Y801" s="63" t="n"/>
      <c r="Z801" s="64" t="n"/>
      <c r="AA801" s="64" t="n"/>
      <c r="AB801" s="65" t="n"/>
      <c r="AC801" s="69" t="str">
        <f>IF(OR($G801="",NOT(ISNUMBER($K801)),$AK801=0),"",MAX(0,ReportDate-$K801))</f>
        <v/>
      </c>
      <c r="AD801" s="69" t="str">
        <f>IF($G801="","",IF($AL801=1,ReportDate-$L801,0))</f>
        <v/>
      </c>
      <c r="AE801" s="70" t="str">
        <f>IF($G801="","",IF($M801="Completed",1,IF(ISNUMBER($N801),$N801,0)))</f>
        <v/>
      </c>
      <c r="AF801" s="70" t="str">
        <f>IF(AND(ISNUMBER($Q801),ISNUMBER($R801)),IF($R801&lt;&gt;0,$Q801/$R801,""),"")</f>
        <v/>
      </c>
      <c r="AG801" s="71" t="str">
        <f>IF($G801="","",IF($AL801=1,"OVERDUE",IF($AM801=1,"BLOCKED",IF($AN801=1,"DUE TODAY",IF($AO801=1,"DUE TOMORROW",IF($AQ801=1,"HIGH PRIORITY",IF($AR801=1,"NO RECENT UPDATE",""))))))) </f>
        <v/>
      </c>
      <c r="AH801" s="71" t="str">
        <f>IF($G801="","",IF(ISNUMBER($A801),IF(ISNUMBER($A801),YEAR($A801)&amp;"-"&amp;TEXT(MONTH($A801),"00"),""),IF(ISNUMBER($L801),IF(ISNUMBER($L801),YEAR($L801)&amp;"-"&amp;TEXT(MONTH($L801),"00"),""),"")))</f>
        <v/>
      </c>
      <c r="AI801" s="71">
        <f>IF($G801="",0,IF(AND(OR(fClient="All",$C801=fClient),OR(fCampaign="All",$D801=fCampaign),OR(fTeam="All",$B801=fTeam),OR(fChannel="All",$F801=fChannel),OR(fMonth="All",$AH801=fMonth),OR(fTStatus="All",$M801=fTStatus)),1,0))</f>
        <v>0</v>
      </c>
      <c r="AJ801" s="71">
        <f>IF($G801="",0,IF(AND(OR(fClient="All",$C801=fClient),OR(fCampaign="All",$D801=fCampaign),OR(fTeam="All",$B801=fTeam),OR(fChannel="All",$F801=fChannel)),1,0))</f>
        <v>0</v>
      </c>
      <c r="AK801" s="71">
        <f>IF($G801="",0,IF(OR($M801="Completed",$M801="Cancelled"),0,1))</f>
        <v>0</v>
      </c>
      <c r="AL801" s="71">
        <f>IF(AND($AK801=1,ISNUMBER($L801)),IF($L801&lt;ReportDate,1,0),0)</f>
        <v>0</v>
      </c>
      <c r="AM801" s="71">
        <f>IF(AND($G801&lt;&gt;"",$M801="Blocked"),1,0)</f>
        <v>0</v>
      </c>
      <c r="AN801" s="71">
        <f>IF(AND($AK801=1,ISNUMBER($L801)),IF($L801=ReportDate,1,0),0)</f>
        <v>0</v>
      </c>
      <c r="AO801" s="71">
        <f>IF(AND($AK801=1,ISNUMBER($L801)),IF($L801=ReportDate+1,1,0),0)</f>
        <v>0</v>
      </c>
      <c r="AP801" s="71">
        <f>IF(AND($AK801=1,ISNUMBER($L801)),IF(AND($L801&gt;=ReportDate,$L801&lt;=ReportDate+DueSoonDays),1,0),0)</f>
        <v>0</v>
      </c>
      <c r="AQ801" s="71">
        <f>IF(AND($AK801=1,OR($I801="Critical",$I801="High")),1,0)</f>
        <v>0</v>
      </c>
      <c r="AR801" s="71">
        <f>IF($AK801=1,IF(ISNUMBER($Y801),IF(ReportDate-$Y801&gt;StaleDays,1,0),1),0)</f>
        <v>0</v>
      </c>
      <c r="AS801" s="71">
        <f>IF(AND($G801&lt;&gt;"",ISNUMBER($Q801),ISNUMBER($R801)),IF(AND($Q801&lt;$R801,OR($M801="Completed",AND(ISNUMBER($L801),$L801&lt;ReportDate))),1,0),0)</f>
        <v>0</v>
      </c>
      <c r="AT801" s="71">
        <f>IF($AK801=1,IF(OR($L801=ReportDate,$W801=ReportDate,$K801=ReportDate,$A801=ReportDate),1,0),0)</f>
        <v>0</v>
      </c>
      <c r="AU801" s="71">
        <f>IF($AK801=1,IF(OR($L801=ReportDate+1,$W801=ReportDate+1,$K801=ReportDate+1,$A801=ReportDate+1),1,0),0)</f>
        <v>0</v>
      </c>
      <c r="AV801" s="71">
        <f>IF(AND($G801&lt;&gt;"",$M801="Completed"),IF(OR($Y801=ReportDate-1,$A801=ReportDate-1),1,0),0)</f>
        <v>0</v>
      </c>
      <c r="AW801" s="71">
        <f>IF(AND($AK801=1,$Z801="Yes"),1,0)</f>
        <v>0</v>
      </c>
      <c r="AX801" s="71">
        <f>IF(AND($AK801=1,$AA801="Yes"),1,0)</f>
        <v>0</v>
      </c>
      <c r="AY801" s="71">
        <f>IF(AND($AM801=1,OR($I801="Critical",$I801="High")),1,0)</f>
        <v>0</v>
      </c>
      <c r="AZ801" s="71">
        <f>IF(AND($AK801=1,OR($C801=TCL_Client,$C801=MECCA_Client)),1,0)</f>
        <v>0</v>
      </c>
      <c r="BA801" s="71" t="str">
        <f>IF($G801="","",IFERROR(MATCH($I801,lst_Priority,0),5))</f>
        <v/>
      </c>
      <c r="BB801" s="71" t="str">
        <f>IF(AND($AL801=1,$AJ801=1),$BA801*100000+ROW(),"")</f>
        <v/>
      </c>
      <c r="BC801" s="71" t="str">
        <f>IF(AND($AM801=1,$AJ801=1),$BA801*100000+ROW(),"")</f>
        <v/>
      </c>
      <c r="BD801" s="71" t="str">
        <f>IF(AND($AP801=1,$AJ801=1),$BA801*100000+ROW(),"")</f>
        <v/>
      </c>
      <c r="BE801" s="71" t="str">
        <f>IF(AND($AT801=1,$AJ801=1),$BA801*100000+ROW(),"")</f>
        <v/>
      </c>
      <c r="BF801" s="71" t="str">
        <f>IF(AND($AU801=1,$AJ801=1),$BA801*100000+ROW(),"")</f>
        <v/>
      </c>
      <c r="BG801" s="71" t="str">
        <f>IF(AND($AV801=1,$AJ801=1),$BA801*100000+ROW(),"")</f>
        <v/>
      </c>
      <c r="BH801" s="71" t="str">
        <f>IF(AND($AW801=1,$AJ801=1),$BA801*100000+ROW(),"")</f>
        <v/>
      </c>
      <c r="BI801" s="71" t="str">
        <f>IF(AND($AX801=1,$AJ801=1),$BA801*100000+ROW(),"")</f>
        <v/>
      </c>
      <c r="BJ801" s="71" t="str">
        <f>IF(AND($AS801=1,$AJ801=1),$BA801*100000+ROW(),"")</f>
        <v/>
      </c>
      <c r="BK801" s="71" t="str">
        <f>IF(AND($AY801=1,$AJ801=1),$BA801*100000+ROW(),"")</f>
        <v/>
      </c>
      <c r="BL801" s="71" t="str">
        <f>IF(AND($AZ801=1),$BA801*100000+ROW(),"")</f>
        <v/>
      </c>
    </row>
    <row r="802">
      <c r="A802" s="63" t="n"/>
      <c r="B802" s="64" t="n"/>
      <c r="C802" s="64" t="n"/>
      <c r="D802" s="64" t="n"/>
      <c r="E802" s="64" t="n"/>
      <c r="F802" s="64" t="n"/>
      <c r="G802" s="65" t="n"/>
      <c r="H802" s="65" t="n"/>
      <c r="I802" s="64" t="n"/>
      <c r="J802" s="64" t="n"/>
      <c r="K802" s="63" t="n"/>
      <c r="L802" s="63" t="n"/>
      <c r="M802" s="64" t="n"/>
      <c r="N802" s="66" t="n"/>
      <c r="O802" s="65" t="n"/>
      <c r="P802" s="64" t="n"/>
      <c r="Q802" s="67" t="n"/>
      <c r="R802" s="67" t="n"/>
      <c r="S802" s="68" t="str">
        <f>IF(AND(ISNUMBER($Q802),ISNUMBER($R802)),$Q802-$R802,"")</f>
        <v/>
      </c>
      <c r="T802" s="65" t="n"/>
      <c r="U802" s="64" t="n"/>
      <c r="V802" s="65" t="n"/>
      <c r="W802" s="63" t="n"/>
      <c r="X802" s="65" t="n"/>
      <c r="Y802" s="63" t="n"/>
      <c r="Z802" s="64" t="n"/>
      <c r="AA802" s="64" t="n"/>
      <c r="AB802" s="65" t="n"/>
      <c r="AC802" s="69" t="str">
        <f>IF(OR($G802="",NOT(ISNUMBER($K802)),$AK802=0),"",MAX(0,ReportDate-$K802))</f>
        <v/>
      </c>
      <c r="AD802" s="69" t="str">
        <f>IF($G802="","",IF($AL802=1,ReportDate-$L802,0))</f>
        <v/>
      </c>
      <c r="AE802" s="70" t="str">
        <f>IF($G802="","",IF($M802="Completed",1,IF(ISNUMBER($N802),$N802,0)))</f>
        <v/>
      </c>
      <c r="AF802" s="70" t="str">
        <f>IF(AND(ISNUMBER($Q802),ISNUMBER($R802)),IF($R802&lt;&gt;0,$Q802/$R802,""),"")</f>
        <v/>
      </c>
      <c r="AG802" s="71" t="str">
        <f>IF($G802="","",IF($AL802=1,"OVERDUE",IF($AM802=1,"BLOCKED",IF($AN802=1,"DUE TODAY",IF($AO802=1,"DUE TOMORROW",IF($AQ802=1,"HIGH PRIORITY",IF($AR802=1,"NO RECENT UPDATE",""))))))) </f>
        <v/>
      </c>
      <c r="AH802" s="71" t="str">
        <f>IF($G802="","",IF(ISNUMBER($A802),IF(ISNUMBER($A802),YEAR($A802)&amp;"-"&amp;TEXT(MONTH($A802),"00"),""),IF(ISNUMBER($L802),IF(ISNUMBER($L802),YEAR($L802)&amp;"-"&amp;TEXT(MONTH($L802),"00"),""),"")))</f>
        <v/>
      </c>
      <c r="AI802" s="71">
        <f>IF($G802="",0,IF(AND(OR(fClient="All",$C802=fClient),OR(fCampaign="All",$D802=fCampaign),OR(fTeam="All",$B802=fTeam),OR(fChannel="All",$F802=fChannel),OR(fMonth="All",$AH802=fMonth),OR(fTStatus="All",$M802=fTStatus)),1,0))</f>
        <v>0</v>
      </c>
      <c r="AJ802" s="71">
        <f>IF($G802="",0,IF(AND(OR(fClient="All",$C802=fClient),OR(fCampaign="All",$D802=fCampaign),OR(fTeam="All",$B802=fTeam),OR(fChannel="All",$F802=fChannel)),1,0))</f>
        <v>0</v>
      </c>
      <c r="AK802" s="71">
        <f>IF($G802="",0,IF(OR($M802="Completed",$M802="Cancelled"),0,1))</f>
        <v>0</v>
      </c>
      <c r="AL802" s="71">
        <f>IF(AND($AK802=1,ISNUMBER($L802)),IF($L802&lt;ReportDate,1,0),0)</f>
        <v>0</v>
      </c>
      <c r="AM802" s="71">
        <f>IF(AND($G802&lt;&gt;"",$M802="Blocked"),1,0)</f>
        <v>0</v>
      </c>
      <c r="AN802" s="71">
        <f>IF(AND($AK802=1,ISNUMBER($L802)),IF($L802=ReportDate,1,0),0)</f>
        <v>0</v>
      </c>
      <c r="AO802" s="71">
        <f>IF(AND($AK802=1,ISNUMBER($L802)),IF($L802=ReportDate+1,1,0),0)</f>
        <v>0</v>
      </c>
      <c r="AP802" s="71">
        <f>IF(AND($AK802=1,ISNUMBER($L802)),IF(AND($L802&gt;=ReportDate,$L802&lt;=ReportDate+DueSoonDays),1,0),0)</f>
        <v>0</v>
      </c>
      <c r="AQ802" s="71">
        <f>IF(AND($AK802=1,OR($I802="Critical",$I802="High")),1,0)</f>
        <v>0</v>
      </c>
      <c r="AR802" s="71">
        <f>IF($AK802=1,IF(ISNUMBER($Y802),IF(ReportDate-$Y802&gt;StaleDays,1,0),1),0)</f>
        <v>0</v>
      </c>
      <c r="AS802" s="71">
        <f>IF(AND($G802&lt;&gt;"",ISNUMBER($Q802),ISNUMBER($R802)),IF(AND($Q802&lt;$R802,OR($M802="Completed",AND(ISNUMBER($L802),$L802&lt;ReportDate))),1,0),0)</f>
        <v>0</v>
      </c>
      <c r="AT802" s="71">
        <f>IF($AK802=1,IF(OR($L802=ReportDate,$W802=ReportDate,$K802=ReportDate,$A802=ReportDate),1,0),0)</f>
        <v>0</v>
      </c>
      <c r="AU802" s="71">
        <f>IF($AK802=1,IF(OR($L802=ReportDate+1,$W802=ReportDate+1,$K802=ReportDate+1,$A802=ReportDate+1),1,0),0)</f>
        <v>0</v>
      </c>
      <c r="AV802" s="71">
        <f>IF(AND($G802&lt;&gt;"",$M802="Completed"),IF(OR($Y802=ReportDate-1,$A802=ReportDate-1),1,0),0)</f>
        <v>0</v>
      </c>
      <c r="AW802" s="71">
        <f>IF(AND($AK802=1,$Z802="Yes"),1,0)</f>
        <v>0</v>
      </c>
      <c r="AX802" s="71">
        <f>IF(AND($AK802=1,$AA802="Yes"),1,0)</f>
        <v>0</v>
      </c>
      <c r="AY802" s="71">
        <f>IF(AND($AM802=1,OR($I802="Critical",$I802="High")),1,0)</f>
        <v>0</v>
      </c>
      <c r="AZ802" s="71">
        <f>IF(AND($AK802=1,OR($C802=TCL_Client,$C802=MECCA_Client)),1,0)</f>
        <v>0</v>
      </c>
      <c r="BA802" s="71" t="str">
        <f>IF($G802="","",IFERROR(MATCH($I802,lst_Priority,0),5))</f>
        <v/>
      </c>
      <c r="BB802" s="71" t="str">
        <f>IF(AND($AL802=1,$AJ802=1),$BA802*100000+ROW(),"")</f>
        <v/>
      </c>
      <c r="BC802" s="71" t="str">
        <f>IF(AND($AM802=1,$AJ802=1),$BA802*100000+ROW(),"")</f>
        <v/>
      </c>
      <c r="BD802" s="71" t="str">
        <f>IF(AND($AP802=1,$AJ802=1),$BA802*100000+ROW(),"")</f>
        <v/>
      </c>
      <c r="BE802" s="71" t="str">
        <f>IF(AND($AT802=1,$AJ802=1),$BA802*100000+ROW(),"")</f>
        <v/>
      </c>
      <c r="BF802" s="71" t="str">
        <f>IF(AND($AU802=1,$AJ802=1),$BA802*100000+ROW(),"")</f>
        <v/>
      </c>
      <c r="BG802" s="71" t="str">
        <f>IF(AND($AV802=1,$AJ802=1),$BA802*100000+ROW(),"")</f>
        <v/>
      </c>
      <c r="BH802" s="71" t="str">
        <f>IF(AND($AW802=1,$AJ802=1),$BA802*100000+ROW(),"")</f>
        <v/>
      </c>
      <c r="BI802" s="71" t="str">
        <f>IF(AND($AX802=1,$AJ802=1),$BA802*100000+ROW(),"")</f>
        <v/>
      </c>
      <c r="BJ802" s="71" t="str">
        <f>IF(AND($AS802=1,$AJ802=1),$BA802*100000+ROW(),"")</f>
        <v/>
      </c>
      <c r="BK802" s="71" t="str">
        <f>IF(AND($AY802=1,$AJ802=1),$BA802*100000+ROW(),"")</f>
        <v/>
      </c>
      <c r="BL802" s="71" t="str">
        <f>IF(AND($AZ802=1),$BA802*100000+ROW(),"")</f>
        <v/>
      </c>
    </row>
    <row r="803">
      <c r="A803" s="63" t="n"/>
      <c r="B803" s="64" t="n"/>
      <c r="C803" s="64" t="n"/>
      <c r="D803" s="64" t="n"/>
      <c r="E803" s="64" t="n"/>
      <c r="F803" s="64" t="n"/>
      <c r="G803" s="65" t="n"/>
      <c r="H803" s="65" t="n"/>
      <c r="I803" s="64" t="n"/>
      <c r="J803" s="64" t="n"/>
      <c r="K803" s="63" t="n"/>
      <c r="L803" s="63" t="n"/>
      <c r="M803" s="64" t="n"/>
      <c r="N803" s="66" t="n"/>
      <c r="O803" s="65" t="n"/>
      <c r="P803" s="64" t="n"/>
      <c r="Q803" s="67" t="n"/>
      <c r="R803" s="67" t="n"/>
      <c r="S803" s="68" t="str">
        <f>IF(AND(ISNUMBER($Q803),ISNUMBER($R803)),$Q803-$R803,"")</f>
        <v/>
      </c>
      <c r="T803" s="65" t="n"/>
      <c r="U803" s="64" t="n"/>
      <c r="V803" s="65" t="n"/>
      <c r="W803" s="63" t="n"/>
      <c r="X803" s="65" t="n"/>
      <c r="Y803" s="63" t="n"/>
      <c r="Z803" s="64" t="n"/>
      <c r="AA803" s="64" t="n"/>
      <c r="AB803" s="65" t="n"/>
      <c r="AC803" s="69" t="str">
        <f>IF(OR($G803="",NOT(ISNUMBER($K803)),$AK803=0),"",MAX(0,ReportDate-$K803))</f>
        <v/>
      </c>
      <c r="AD803" s="69" t="str">
        <f>IF($G803="","",IF($AL803=1,ReportDate-$L803,0))</f>
        <v/>
      </c>
      <c r="AE803" s="70" t="str">
        <f>IF($G803="","",IF($M803="Completed",1,IF(ISNUMBER($N803),$N803,0)))</f>
        <v/>
      </c>
      <c r="AF803" s="70" t="str">
        <f>IF(AND(ISNUMBER($Q803),ISNUMBER($R803)),IF($R803&lt;&gt;0,$Q803/$R803,""),"")</f>
        <v/>
      </c>
      <c r="AG803" s="71" t="str">
        <f>IF($G803="","",IF($AL803=1,"OVERDUE",IF($AM803=1,"BLOCKED",IF($AN803=1,"DUE TODAY",IF($AO803=1,"DUE TOMORROW",IF($AQ803=1,"HIGH PRIORITY",IF($AR803=1,"NO RECENT UPDATE",""))))))) </f>
        <v/>
      </c>
      <c r="AH803" s="71" t="str">
        <f>IF($G803="","",IF(ISNUMBER($A803),IF(ISNUMBER($A803),YEAR($A803)&amp;"-"&amp;TEXT(MONTH($A803),"00"),""),IF(ISNUMBER($L803),IF(ISNUMBER($L803),YEAR($L803)&amp;"-"&amp;TEXT(MONTH($L803),"00"),""),"")))</f>
        <v/>
      </c>
      <c r="AI803" s="71">
        <f>IF($G803="",0,IF(AND(OR(fClient="All",$C803=fClient),OR(fCampaign="All",$D803=fCampaign),OR(fTeam="All",$B803=fTeam),OR(fChannel="All",$F803=fChannel),OR(fMonth="All",$AH803=fMonth),OR(fTStatus="All",$M803=fTStatus)),1,0))</f>
        <v>0</v>
      </c>
      <c r="AJ803" s="71">
        <f>IF($G803="",0,IF(AND(OR(fClient="All",$C803=fClient),OR(fCampaign="All",$D803=fCampaign),OR(fTeam="All",$B803=fTeam),OR(fChannel="All",$F803=fChannel)),1,0))</f>
        <v>0</v>
      </c>
      <c r="AK803" s="71">
        <f>IF($G803="",0,IF(OR($M803="Completed",$M803="Cancelled"),0,1))</f>
        <v>0</v>
      </c>
      <c r="AL803" s="71">
        <f>IF(AND($AK803=1,ISNUMBER($L803)),IF($L803&lt;ReportDate,1,0),0)</f>
        <v>0</v>
      </c>
      <c r="AM803" s="71">
        <f>IF(AND($G803&lt;&gt;"",$M803="Blocked"),1,0)</f>
        <v>0</v>
      </c>
      <c r="AN803" s="71">
        <f>IF(AND($AK803=1,ISNUMBER($L803)),IF($L803=ReportDate,1,0),0)</f>
        <v>0</v>
      </c>
      <c r="AO803" s="71">
        <f>IF(AND($AK803=1,ISNUMBER($L803)),IF($L803=ReportDate+1,1,0),0)</f>
        <v>0</v>
      </c>
      <c r="AP803" s="71">
        <f>IF(AND($AK803=1,ISNUMBER($L803)),IF(AND($L803&gt;=ReportDate,$L803&lt;=ReportDate+DueSoonDays),1,0),0)</f>
        <v>0</v>
      </c>
      <c r="AQ803" s="71">
        <f>IF(AND($AK803=1,OR($I803="Critical",$I803="High")),1,0)</f>
        <v>0</v>
      </c>
      <c r="AR803" s="71">
        <f>IF($AK803=1,IF(ISNUMBER($Y803),IF(ReportDate-$Y803&gt;StaleDays,1,0),1),0)</f>
        <v>0</v>
      </c>
      <c r="AS803" s="71">
        <f>IF(AND($G803&lt;&gt;"",ISNUMBER($Q803),ISNUMBER($R803)),IF(AND($Q803&lt;$R803,OR($M803="Completed",AND(ISNUMBER($L803),$L803&lt;ReportDate))),1,0),0)</f>
        <v>0</v>
      </c>
      <c r="AT803" s="71">
        <f>IF($AK803=1,IF(OR($L803=ReportDate,$W803=ReportDate,$K803=ReportDate,$A803=ReportDate),1,0),0)</f>
        <v>0</v>
      </c>
      <c r="AU803" s="71">
        <f>IF($AK803=1,IF(OR($L803=ReportDate+1,$W803=ReportDate+1,$K803=ReportDate+1,$A803=ReportDate+1),1,0),0)</f>
        <v>0</v>
      </c>
      <c r="AV803" s="71">
        <f>IF(AND($G803&lt;&gt;"",$M803="Completed"),IF(OR($Y803=ReportDate-1,$A803=ReportDate-1),1,0),0)</f>
        <v>0</v>
      </c>
      <c r="AW803" s="71">
        <f>IF(AND($AK803=1,$Z803="Yes"),1,0)</f>
        <v>0</v>
      </c>
      <c r="AX803" s="71">
        <f>IF(AND($AK803=1,$AA803="Yes"),1,0)</f>
        <v>0</v>
      </c>
      <c r="AY803" s="71">
        <f>IF(AND($AM803=1,OR($I803="Critical",$I803="High")),1,0)</f>
        <v>0</v>
      </c>
      <c r="AZ803" s="71">
        <f>IF(AND($AK803=1,OR($C803=TCL_Client,$C803=MECCA_Client)),1,0)</f>
        <v>0</v>
      </c>
      <c r="BA803" s="71" t="str">
        <f>IF($G803="","",IFERROR(MATCH($I803,lst_Priority,0),5))</f>
        <v/>
      </c>
      <c r="BB803" s="71" t="str">
        <f>IF(AND($AL803=1,$AJ803=1),$BA803*100000+ROW(),"")</f>
        <v/>
      </c>
      <c r="BC803" s="71" t="str">
        <f>IF(AND($AM803=1,$AJ803=1),$BA803*100000+ROW(),"")</f>
        <v/>
      </c>
      <c r="BD803" s="71" t="str">
        <f>IF(AND($AP803=1,$AJ803=1),$BA803*100000+ROW(),"")</f>
        <v/>
      </c>
      <c r="BE803" s="71" t="str">
        <f>IF(AND($AT803=1,$AJ803=1),$BA803*100000+ROW(),"")</f>
        <v/>
      </c>
      <c r="BF803" s="71" t="str">
        <f>IF(AND($AU803=1,$AJ803=1),$BA803*100000+ROW(),"")</f>
        <v/>
      </c>
      <c r="BG803" s="71" t="str">
        <f>IF(AND($AV803=1,$AJ803=1),$BA803*100000+ROW(),"")</f>
        <v/>
      </c>
      <c r="BH803" s="71" t="str">
        <f>IF(AND($AW803=1,$AJ803=1),$BA803*100000+ROW(),"")</f>
        <v/>
      </c>
      <c r="BI803" s="71" t="str">
        <f>IF(AND($AX803=1,$AJ803=1),$BA803*100000+ROW(),"")</f>
        <v/>
      </c>
      <c r="BJ803" s="71" t="str">
        <f>IF(AND($AS803=1,$AJ803=1),$BA803*100000+ROW(),"")</f>
        <v/>
      </c>
      <c r="BK803" s="71" t="str">
        <f>IF(AND($AY803=1,$AJ803=1),$BA803*100000+ROW(),"")</f>
        <v/>
      </c>
      <c r="BL803" s="71" t="str">
        <f>IF(AND($AZ803=1),$BA803*100000+ROW(),"")</f>
        <v/>
      </c>
    </row>
    <row r="804">
      <c r="A804" s="63" t="n"/>
      <c r="B804" s="64" t="n"/>
      <c r="C804" s="64" t="n"/>
      <c r="D804" s="64" t="n"/>
      <c r="E804" s="64" t="n"/>
      <c r="F804" s="64" t="n"/>
      <c r="G804" s="65" t="n"/>
      <c r="H804" s="65" t="n"/>
      <c r="I804" s="64" t="n"/>
      <c r="J804" s="64" t="n"/>
      <c r="K804" s="63" t="n"/>
      <c r="L804" s="63" t="n"/>
      <c r="M804" s="64" t="n"/>
      <c r="N804" s="66" t="n"/>
      <c r="O804" s="65" t="n"/>
      <c r="P804" s="64" t="n"/>
      <c r="Q804" s="67" t="n"/>
      <c r="R804" s="67" t="n"/>
      <c r="S804" s="68" t="str">
        <f>IF(AND(ISNUMBER($Q804),ISNUMBER($R804)),$Q804-$R804,"")</f>
        <v/>
      </c>
      <c r="T804" s="65" t="n"/>
      <c r="U804" s="64" t="n"/>
      <c r="V804" s="65" t="n"/>
      <c r="W804" s="63" t="n"/>
      <c r="X804" s="65" t="n"/>
      <c r="Y804" s="63" t="n"/>
      <c r="Z804" s="64" t="n"/>
      <c r="AA804" s="64" t="n"/>
      <c r="AB804" s="65" t="n"/>
      <c r="AC804" s="69" t="str">
        <f>IF(OR($G804="",NOT(ISNUMBER($K804)),$AK804=0),"",MAX(0,ReportDate-$K804))</f>
        <v/>
      </c>
      <c r="AD804" s="69" t="str">
        <f>IF($G804="","",IF($AL804=1,ReportDate-$L804,0))</f>
        <v/>
      </c>
      <c r="AE804" s="70" t="str">
        <f>IF($G804="","",IF($M804="Completed",1,IF(ISNUMBER($N804),$N804,0)))</f>
        <v/>
      </c>
      <c r="AF804" s="70" t="str">
        <f>IF(AND(ISNUMBER($Q804),ISNUMBER($R804)),IF($R804&lt;&gt;0,$Q804/$R804,""),"")</f>
        <v/>
      </c>
      <c r="AG804" s="71" t="str">
        <f>IF($G804="","",IF($AL804=1,"OVERDUE",IF($AM804=1,"BLOCKED",IF($AN804=1,"DUE TODAY",IF($AO804=1,"DUE TOMORROW",IF($AQ804=1,"HIGH PRIORITY",IF($AR804=1,"NO RECENT UPDATE",""))))))) </f>
        <v/>
      </c>
      <c r="AH804" s="71" t="str">
        <f>IF($G804="","",IF(ISNUMBER($A804),IF(ISNUMBER($A804),YEAR($A804)&amp;"-"&amp;TEXT(MONTH($A804),"00"),""),IF(ISNUMBER($L804),IF(ISNUMBER($L804),YEAR($L804)&amp;"-"&amp;TEXT(MONTH($L804),"00"),""),"")))</f>
        <v/>
      </c>
      <c r="AI804" s="71">
        <f>IF($G804="",0,IF(AND(OR(fClient="All",$C804=fClient),OR(fCampaign="All",$D804=fCampaign),OR(fTeam="All",$B804=fTeam),OR(fChannel="All",$F804=fChannel),OR(fMonth="All",$AH804=fMonth),OR(fTStatus="All",$M804=fTStatus)),1,0))</f>
        <v>0</v>
      </c>
      <c r="AJ804" s="71">
        <f>IF($G804="",0,IF(AND(OR(fClient="All",$C804=fClient),OR(fCampaign="All",$D804=fCampaign),OR(fTeam="All",$B804=fTeam),OR(fChannel="All",$F804=fChannel)),1,0))</f>
        <v>0</v>
      </c>
      <c r="AK804" s="71">
        <f>IF($G804="",0,IF(OR($M804="Completed",$M804="Cancelled"),0,1))</f>
        <v>0</v>
      </c>
      <c r="AL804" s="71">
        <f>IF(AND($AK804=1,ISNUMBER($L804)),IF($L804&lt;ReportDate,1,0),0)</f>
        <v>0</v>
      </c>
      <c r="AM804" s="71">
        <f>IF(AND($G804&lt;&gt;"",$M804="Blocked"),1,0)</f>
        <v>0</v>
      </c>
      <c r="AN804" s="71">
        <f>IF(AND($AK804=1,ISNUMBER($L804)),IF($L804=ReportDate,1,0),0)</f>
        <v>0</v>
      </c>
      <c r="AO804" s="71">
        <f>IF(AND($AK804=1,ISNUMBER($L804)),IF($L804=ReportDate+1,1,0),0)</f>
        <v>0</v>
      </c>
      <c r="AP804" s="71">
        <f>IF(AND($AK804=1,ISNUMBER($L804)),IF(AND($L804&gt;=ReportDate,$L804&lt;=ReportDate+DueSoonDays),1,0),0)</f>
        <v>0</v>
      </c>
      <c r="AQ804" s="71">
        <f>IF(AND($AK804=1,OR($I804="Critical",$I804="High")),1,0)</f>
        <v>0</v>
      </c>
      <c r="AR804" s="71">
        <f>IF($AK804=1,IF(ISNUMBER($Y804),IF(ReportDate-$Y804&gt;StaleDays,1,0),1),0)</f>
        <v>0</v>
      </c>
      <c r="AS804" s="71">
        <f>IF(AND($G804&lt;&gt;"",ISNUMBER($Q804),ISNUMBER($R804)),IF(AND($Q804&lt;$R804,OR($M804="Completed",AND(ISNUMBER($L804),$L804&lt;ReportDate))),1,0),0)</f>
        <v>0</v>
      </c>
      <c r="AT804" s="71">
        <f>IF($AK804=1,IF(OR($L804=ReportDate,$W804=ReportDate,$K804=ReportDate,$A804=ReportDate),1,0),0)</f>
        <v>0</v>
      </c>
      <c r="AU804" s="71">
        <f>IF($AK804=1,IF(OR($L804=ReportDate+1,$W804=ReportDate+1,$K804=ReportDate+1,$A804=ReportDate+1),1,0),0)</f>
        <v>0</v>
      </c>
      <c r="AV804" s="71">
        <f>IF(AND($G804&lt;&gt;"",$M804="Completed"),IF(OR($Y804=ReportDate-1,$A804=ReportDate-1),1,0),0)</f>
        <v>0</v>
      </c>
      <c r="AW804" s="71">
        <f>IF(AND($AK804=1,$Z804="Yes"),1,0)</f>
        <v>0</v>
      </c>
      <c r="AX804" s="71">
        <f>IF(AND($AK804=1,$AA804="Yes"),1,0)</f>
        <v>0</v>
      </c>
      <c r="AY804" s="71">
        <f>IF(AND($AM804=1,OR($I804="Critical",$I804="High")),1,0)</f>
        <v>0</v>
      </c>
      <c r="AZ804" s="71">
        <f>IF(AND($AK804=1,OR($C804=TCL_Client,$C804=MECCA_Client)),1,0)</f>
        <v>0</v>
      </c>
      <c r="BA804" s="71" t="str">
        <f>IF($G804="","",IFERROR(MATCH($I804,lst_Priority,0),5))</f>
        <v/>
      </c>
      <c r="BB804" s="71" t="str">
        <f>IF(AND($AL804=1,$AJ804=1),$BA804*100000+ROW(),"")</f>
        <v/>
      </c>
      <c r="BC804" s="71" t="str">
        <f>IF(AND($AM804=1,$AJ804=1),$BA804*100000+ROW(),"")</f>
        <v/>
      </c>
      <c r="BD804" s="71" t="str">
        <f>IF(AND($AP804=1,$AJ804=1),$BA804*100000+ROW(),"")</f>
        <v/>
      </c>
      <c r="BE804" s="71" t="str">
        <f>IF(AND($AT804=1,$AJ804=1),$BA804*100000+ROW(),"")</f>
        <v/>
      </c>
      <c r="BF804" s="71" t="str">
        <f>IF(AND($AU804=1,$AJ804=1),$BA804*100000+ROW(),"")</f>
        <v/>
      </c>
      <c r="BG804" s="71" t="str">
        <f>IF(AND($AV804=1,$AJ804=1),$BA804*100000+ROW(),"")</f>
        <v/>
      </c>
      <c r="BH804" s="71" t="str">
        <f>IF(AND($AW804=1,$AJ804=1),$BA804*100000+ROW(),"")</f>
        <v/>
      </c>
      <c r="BI804" s="71" t="str">
        <f>IF(AND($AX804=1,$AJ804=1),$BA804*100000+ROW(),"")</f>
        <v/>
      </c>
      <c r="BJ804" s="71" t="str">
        <f>IF(AND($AS804=1,$AJ804=1),$BA804*100000+ROW(),"")</f>
        <v/>
      </c>
      <c r="BK804" s="71" t="str">
        <f>IF(AND($AY804=1,$AJ804=1),$BA804*100000+ROW(),"")</f>
        <v/>
      </c>
      <c r="BL804" s="71" t="str">
        <f>IF(AND($AZ804=1),$BA804*100000+ROW(),"")</f>
        <v/>
      </c>
    </row>
    <row r="805">
      <c r="A805" s="63" t="n"/>
      <c r="B805" s="64" t="n"/>
      <c r="C805" s="64" t="n"/>
      <c r="D805" s="64" t="n"/>
      <c r="E805" s="64" t="n"/>
      <c r="F805" s="64" t="n"/>
      <c r="G805" s="65" t="n"/>
      <c r="H805" s="65" t="n"/>
      <c r="I805" s="64" t="n"/>
      <c r="J805" s="64" t="n"/>
      <c r="K805" s="63" t="n"/>
      <c r="L805" s="63" t="n"/>
      <c r="M805" s="64" t="n"/>
      <c r="N805" s="66" t="n"/>
      <c r="O805" s="65" t="n"/>
      <c r="P805" s="64" t="n"/>
      <c r="Q805" s="67" t="n"/>
      <c r="R805" s="67" t="n"/>
      <c r="S805" s="68" t="str">
        <f>IF(AND(ISNUMBER($Q805),ISNUMBER($R805)),$Q805-$R805,"")</f>
        <v/>
      </c>
      <c r="T805" s="65" t="n"/>
      <c r="U805" s="64" t="n"/>
      <c r="V805" s="65" t="n"/>
      <c r="W805" s="63" t="n"/>
      <c r="X805" s="65" t="n"/>
      <c r="Y805" s="63" t="n"/>
      <c r="Z805" s="64" t="n"/>
      <c r="AA805" s="64" t="n"/>
      <c r="AB805" s="65" t="n"/>
      <c r="AC805" s="69" t="str">
        <f>IF(OR($G805="",NOT(ISNUMBER($K805)),$AK805=0),"",MAX(0,ReportDate-$K805))</f>
        <v/>
      </c>
      <c r="AD805" s="69" t="str">
        <f>IF($G805="","",IF($AL805=1,ReportDate-$L805,0))</f>
        <v/>
      </c>
      <c r="AE805" s="70" t="str">
        <f>IF($G805="","",IF($M805="Completed",1,IF(ISNUMBER($N805),$N805,0)))</f>
        <v/>
      </c>
      <c r="AF805" s="70" t="str">
        <f>IF(AND(ISNUMBER($Q805),ISNUMBER($R805)),IF($R805&lt;&gt;0,$Q805/$R805,""),"")</f>
        <v/>
      </c>
      <c r="AG805" s="71" t="str">
        <f>IF($G805="","",IF($AL805=1,"OVERDUE",IF($AM805=1,"BLOCKED",IF($AN805=1,"DUE TODAY",IF($AO805=1,"DUE TOMORROW",IF($AQ805=1,"HIGH PRIORITY",IF($AR805=1,"NO RECENT UPDATE",""))))))) </f>
        <v/>
      </c>
      <c r="AH805" s="71" t="str">
        <f>IF($G805="","",IF(ISNUMBER($A805),IF(ISNUMBER($A805),YEAR($A805)&amp;"-"&amp;TEXT(MONTH($A805),"00"),""),IF(ISNUMBER($L805),IF(ISNUMBER($L805),YEAR($L805)&amp;"-"&amp;TEXT(MONTH($L805),"00"),""),"")))</f>
        <v/>
      </c>
      <c r="AI805" s="71">
        <f>IF($G805="",0,IF(AND(OR(fClient="All",$C805=fClient),OR(fCampaign="All",$D805=fCampaign),OR(fTeam="All",$B805=fTeam),OR(fChannel="All",$F805=fChannel),OR(fMonth="All",$AH805=fMonth),OR(fTStatus="All",$M805=fTStatus)),1,0))</f>
        <v>0</v>
      </c>
      <c r="AJ805" s="71">
        <f>IF($G805="",0,IF(AND(OR(fClient="All",$C805=fClient),OR(fCampaign="All",$D805=fCampaign),OR(fTeam="All",$B805=fTeam),OR(fChannel="All",$F805=fChannel)),1,0))</f>
        <v>0</v>
      </c>
      <c r="AK805" s="71">
        <f>IF($G805="",0,IF(OR($M805="Completed",$M805="Cancelled"),0,1))</f>
        <v>0</v>
      </c>
      <c r="AL805" s="71">
        <f>IF(AND($AK805=1,ISNUMBER($L805)),IF($L805&lt;ReportDate,1,0),0)</f>
        <v>0</v>
      </c>
      <c r="AM805" s="71">
        <f>IF(AND($G805&lt;&gt;"",$M805="Blocked"),1,0)</f>
        <v>0</v>
      </c>
      <c r="AN805" s="71">
        <f>IF(AND($AK805=1,ISNUMBER($L805)),IF($L805=ReportDate,1,0),0)</f>
        <v>0</v>
      </c>
      <c r="AO805" s="71">
        <f>IF(AND($AK805=1,ISNUMBER($L805)),IF($L805=ReportDate+1,1,0),0)</f>
        <v>0</v>
      </c>
      <c r="AP805" s="71">
        <f>IF(AND($AK805=1,ISNUMBER($L805)),IF(AND($L805&gt;=ReportDate,$L805&lt;=ReportDate+DueSoonDays),1,0),0)</f>
        <v>0</v>
      </c>
      <c r="AQ805" s="71">
        <f>IF(AND($AK805=1,OR($I805="Critical",$I805="High")),1,0)</f>
        <v>0</v>
      </c>
      <c r="AR805" s="71">
        <f>IF($AK805=1,IF(ISNUMBER($Y805),IF(ReportDate-$Y805&gt;StaleDays,1,0),1),0)</f>
        <v>0</v>
      </c>
      <c r="AS805" s="71">
        <f>IF(AND($G805&lt;&gt;"",ISNUMBER($Q805),ISNUMBER($R805)),IF(AND($Q805&lt;$R805,OR($M805="Completed",AND(ISNUMBER($L805),$L805&lt;ReportDate))),1,0),0)</f>
        <v>0</v>
      </c>
      <c r="AT805" s="71">
        <f>IF($AK805=1,IF(OR($L805=ReportDate,$W805=ReportDate,$K805=ReportDate,$A805=ReportDate),1,0),0)</f>
        <v>0</v>
      </c>
      <c r="AU805" s="71">
        <f>IF($AK805=1,IF(OR($L805=ReportDate+1,$W805=ReportDate+1,$K805=ReportDate+1,$A805=ReportDate+1),1,0),0)</f>
        <v>0</v>
      </c>
      <c r="AV805" s="71">
        <f>IF(AND($G805&lt;&gt;"",$M805="Completed"),IF(OR($Y805=ReportDate-1,$A805=ReportDate-1),1,0),0)</f>
        <v>0</v>
      </c>
      <c r="AW805" s="71">
        <f>IF(AND($AK805=1,$Z805="Yes"),1,0)</f>
        <v>0</v>
      </c>
      <c r="AX805" s="71">
        <f>IF(AND($AK805=1,$AA805="Yes"),1,0)</f>
        <v>0</v>
      </c>
      <c r="AY805" s="71">
        <f>IF(AND($AM805=1,OR($I805="Critical",$I805="High")),1,0)</f>
        <v>0</v>
      </c>
      <c r="AZ805" s="71">
        <f>IF(AND($AK805=1,OR($C805=TCL_Client,$C805=MECCA_Client)),1,0)</f>
        <v>0</v>
      </c>
      <c r="BA805" s="71" t="str">
        <f>IF($G805="","",IFERROR(MATCH($I805,lst_Priority,0),5))</f>
        <v/>
      </c>
      <c r="BB805" s="71" t="str">
        <f>IF(AND($AL805=1,$AJ805=1),$BA805*100000+ROW(),"")</f>
        <v/>
      </c>
      <c r="BC805" s="71" t="str">
        <f>IF(AND($AM805=1,$AJ805=1),$BA805*100000+ROW(),"")</f>
        <v/>
      </c>
      <c r="BD805" s="71" t="str">
        <f>IF(AND($AP805=1,$AJ805=1),$BA805*100000+ROW(),"")</f>
        <v/>
      </c>
      <c r="BE805" s="71" t="str">
        <f>IF(AND($AT805=1,$AJ805=1),$BA805*100000+ROW(),"")</f>
        <v/>
      </c>
      <c r="BF805" s="71" t="str">
        <f>IF(AND($AU805=1,$AJ805=1),$BA805*100000+ROW(),"")</f>
        <v/>
      </c>
      <c r="BG805" s="71" t="str">
        <f>IF(AND($AV805=1,$AJ805=1),$BA805*100000+ROW(),"")</f>
        <v/>
      </c>
      <c r="BH805" s="71" t="str">
        <f>IF(AND($AW805=1,$AJ805=1),$BA805*100000+ROW(),"")</f>
        <v/>
      </c>
      <c r="BI805" s="71" t="str">
        <f>IF(AND($AX805=1,$AJ805=1),$BA805*100000+ROW(),"")</f>
        <v/>
      </c>
      <c r="BJ805" s="71" t="str">
        <f>IF(AND($AS805=1,$AJ805=1),$BA805*100000+ROW(),"")</f>
        <v/>
      </c>
      <c r="BK805" s="71" t="str">
        <f>IF(AND($AY805=1,$AJ805=1),$BA805*100000+ROW(),"")</f>
        <v/>
      </c>
      <c r="BL805" s="71" t="str">
        <f>IF(AND($AZ805=1),$BA805*100000+ROW(),"")</f>
        <v/>
      </c>
    </row>
    <row r="806">
      <c r="A806" s="63" t="n"/>
      <c r="B806" s="64" t="n"/>
      <c r="C806" s="64" t="n"/>
      <c r="D806" s="64" t="n"/>
      <c r="E806" s="64" t="n"/>
      <c r="F806" s="64" t="n"/>
      <c r="G806" s="65" t="n"/>
      <c r="H806" s="65" t="n"/>
      <c r="I806" s="64" t="n"/>
      <c r="J806" s="64" t="n"/>
      <c r="K806" s="63" t="n"/>
      <c r="L806" s="63" t="n"/>
      <c r="M806" s="64" t="n"/>
      <c r="N806" s="66" t="n"/>
      <c r="O806" s="65" t="n"/>
      <c r="P806" s="64" t="n"/>
      <c r="Q806" s="67" t="n"/>
      <c r="R806" s="67" t="n"/>
      <c r="S806" s="68" t="str">
        <f>IF(AND(ISNUMBER($Q806),ISNUMBER($R806)),$Q806-$R806,"")</f>
        <v/>
      </c>
      <c r="T806" s="65" t="n"/>
      <c r="U806" s="64" t="n"/>
      <c r="V806" s="65" t="n"/>
      <c r="W806" s="63" t="n"/>
      <c r="X806" s="65" t="n"/>
      <c r="Y806" s="63" t="n"/>
      <c r="Z806" s="64" t="n"/>
      <c r="AA806" s="64" t="n"/>
      <c r="AB806" s="65" t="n"/>
      <c r="AC806" s="69" t="str">
        <f>IF(OR($G806="",NOT(ISNUMBER($K806)),$AK806=0),"",MAX(0,ReportDate-$K806))</f>
        <v/>
      </c>
      <c r="AD806" s="69" t="str">
        <f>IF($G806="","",IF($AL806=1,ReportDate-$L806,0))</f>
        <v/>
      </c>
      <c r="AE806" s="70" t="str">
        <f>IF($G806="","",IF($M806="Completed",1,IF(ISNUMBER($N806),$N806,0)))</f>
        <v/>
      </c>
      <c r="AF806" s="70" t="str">
        <f>IF(AND(ISNUMBER($Q806),ISNUMBER($R806)),IF($R806&lt;&gt;0,$Q806/$R806,""),"")</f>
        <v/>
      </c>
      <c r="AG806" s="71" t="str">
        <f>IF($G806="","",IF($AL806=1,"OVERDUE",IF($AM806=1,"BLOCKED",IF($AN806=1,"DUE TODAY",IF($AO806=1,"DUE TOMORROW",IF($AQ806=1,"HIGH PRIORITY",IF($AR806=1,"NO RECENT UPDATE",""))))))) </f>
        <v/>
      </c>
      <c r="AH806" s="71" t="str">
        <f>IF($G806="","",IF(ISNUMBER($A806),IF(ISNUMBER($A806),YEAR($A806)&amp;"-"&amp;TEXT(MONTH($A806),"00"),""),IF(ISNUMBER($L806),IF(ISNUMBER($L806),YEAR($L806)&amp;"-"&amp;TEXT(MONTH($L806),"00"),""),"")))</f>
        <v/>
      </c>
      <c r="AI806" s="71">
        <f>IF($G806="",0,IF(AND(OR(fClient="All",$C806=fClient),OR(fCampaign="All",$D806=fCampaign),OR(fTeam="All",$B806=fTeam),OR(fChannel="All",$F806=fChannel),OR(fMonth="All",$AH806=fMonth),OR(fTStatus="All",$M806=fTStatus)),1,0))</f>
        <v>0</v>
      </c>
      <c r="AJ806" s="71">
        <f>IF($G806="",0,IF(AND(OR(fClient="All",$C806=fClient),OR(fCampaign="All",$D806=fCampaign),OR(fTeam="All",$B806=fTeam),OR(fChannel="All",$F806=fChannel)),1,0))</f>
        <v>0</v>
      </c>
      <c r="AK806" s="71">
        <f>IF($G806="",0,IF(OR($M806="Completed",$M806="Cancelled"),0,1))</f>
        <v>0</v>
      </c>
      <c r="AL806" s="71">
        <f>IF(AND($AK806=1,ISNUMBER($L806)),IF($L806&lt;ReportDate,1,0),0)</f>
        <v>0</v>
      </c>
      <c r="AM806" s="71">
        <f>IF(AND($G806&lt;&gt;"",$M806="Blocked"),1,0)</f>
        <v>0</v>
      </c>
      <c r="AN806" s="71">
        <f>IF(AND($AK806=1,ISNUMBER($L806)),IF($L806=ReportDate,1,0),0)</f>
        <v>0</v>
      </c>
      <c r="AO806" s="71">
        <f>IF(AND($AK806=1,ISNUMBER($L806)),IF($L806=ReportDate+1,1,0),0)</f>
        <v>0</v>
      </c>
      <c r="AP806" s="71">
        <f>IF(AND($AK806=1,ISNUMBER($L806)),IF(AND($L806&gt;=ReportDate,$L806&lt;=ReportDate+DueSoonDays),1,0),0)</f>
        <v>0</v>
      </c>
      <c r="AQ806" s="71">
        <f>IF(AND($AK806=1,OR($I806="Critical",$I806="High")),1,0)</f>
        <v>0</v>
      </c>
      <c r="AR806" s="71">
        <f>IF($AK806=1,IF(ISNUMBER($Y806),IF(ReportDate-$Y806&gt;StaleDays,1,0),1),0)</f>
        <v>0</v>
      </c>
      <c r="AS806" s="71">
        <f>IF(AND($G806&lt;&gt;"",ISNUMBER($Q806),ISNUMBER($R806)),IF(AND($Q806&lt;$R806,OR($M806="Completed",AND(ISNUMBER($L806),$L806&lt;ReportDate))),1,0),0)</f>
        <v>0</v>
      </c>
      <c r="AT806" s="71">
        <f>IF($AK806=1,IF(OR($L806=ReportDate,$W806=ReportDate,$K806=ReportDate,$A806=ReportDate),1,0),0)</f>
        <v>0</v>
      </c>
      <c r="AU806" s="71">
        <f>IF($AK806=1,IF(OR($L806=ReportDate+1,$W806=ReportDate+1,$K806=ReportDate+1,$A806=ReportDate+1),1,0),0)</f>
        <v>0</v>
      </c>
      <c r="AV806" s="71">
        <f>IF(AND($G806&lt;&gt;"",$M806="Completed"),IF(OR($Y806=ReportDate-1,$A806=ReportDate-1),1,0),0)</f>
        <v>0</v>
      </c>
      <c r="AW806" s="71">
        <f>IF(AND($AK806=1,$Z806="Yes"),1,0)</f>
        <v>0</v>
      </c>
      <c r="AX806" s="71">
        <f>IF(AND($AK806=1,$AA806="Yes"),1,0)</f>
        <v>0</v>
      </c>
      <c r="AY806" s="71">
        <f>IF(AND($AM806=1,OR($I806="Critical",$I806="High")),1,0)</f>
        <v>0</v>
      </c>
      <c r="AZ806" s="71">
        <f>IF(AND($AK806=1,OR($C806=TCL_Client,$C806=MECCA_Client)),1,0)</f>
        <v>0</v>
      </c>
      <c r="BA806" s="71" t="str">
        <f>IF($G806="","",IFERROR(MATCH($I806,lst_Priority,0),5))</f>
        <v/>
      </c>
      <c r="BB806" s="71" t="str">
        <f>IF(AND($AL806=1,$AJ806=1),$BA806*100000+ROW(),"")</f>
        <v/>
      </c>
      <c r="BC806" s="71" t="str">
        <f>IF(AND($AM806=1,$AJ806=1),$BA806*100000+ROW(),"")</f>
        <v/>
      </c>
      <c r="BD806" s="71" t="str">
        <f>IF(AND($AP806=1,$AJ806=1),$BA806*100000+ROW(),"")</f>
        <v/>
      </c>
      <c r="BE806" s="71" t="str">
        <f>IF(AND($AT806=1,$AJ806=1),$BA806*100000+ROW(),"")</f>
        <v/>
      </c>
      <c r="BF806" s="71" t="str">
        <f>IF(AND($AU806=1,$AJ806=1),$BA806*100000+ROW(),"")</f>
        <v/>
      </c>
      <c r="BG806" s="71" t="str">
        <f>IF(AND($AV806=1,$AJ806=1),$BA806*100000+ROW(),"")</f>
        <v/>
      </c>
      <c r="BH806" s="71" t="str">
        <f>IF(AND($AW806=1,$AJ806=1),$BA806*100000+ROW(),"")</f>
        <v/>
      </c>
      <c r="BI806" s="71" t="str">
        <f>IF(AND($AX806=1,$AJ806=1),$BA806*100000+ROW(),"")</f>
        <v/>
      </c>
      <c r="BJ806" s="71" t="str">
        <f>IF(AND($AS806=1,$AJ806=1),$BA806*100000+ROW(),"")</f>
        <v/>
      </c>
      <c r="BK806" s="71" t="str">
        <f>IF(AND($AY806=1,$AJ806=1),$BA806*100000+ROW(),"")</f>
        <v/>
      </c>
      <c r="BL806" s="71" t="str">
        <f>IF(AND($AZ806=1),$BA806*100000+ROW(),"")</f>
        <v/>
      </c>
    </row>
    <row r="807">
      <c r="A807" s="63" t="n"/>
      <c r="B807" s="64" t="n"/>
      <c r="C807" s="64" t="n"/>
      <c r="D807" s="64" t="n"/>
      <c r="E807" s="64" t="n"/>
      <c r="F807" s="64" t="n"/>
      <c r="G807" s="65" t="n"/>
      <c r="H807" s="65" t="n"/>
      <c r="I807" s="64" t="n"/>
      <c r="J807" s="64" t="n"/>
      <c r="K807" s="63" t="n"/>
      <c r="L807" s="63" t="n"/>
      <c r="M807" s="64" t="n"/>
      <c r="N807" s="66" t="n"/>
      <c r="O807" s="65" t="n"/>
      <c r="P807" s="64" t="n"/>
      <c r="Q807" s="67" t="n"/>
      <c r="R807" s="67" t="n"/>
      <c r="S807" s="68" t="str">
        <f>IF(AND(ISNUMBER($Q807),ISNUMBER($R807)),$Q807-$R807,"")</f>
        <v/>
      </c>
      <c r="T807" s="65" t="n"/>
      <c r="U807" s="64" t="n"/>
      <c r="V807" s="65" t="n"/>
      <c r="W807" s="63" t="n"/>
      <c r="X807" s="65" t="n"/>
      <c r="Y807" s="63" t="n"/>
      <c r="Z807" s="64" t="n"/>
      <c r="AA807" s="64" t="n"/>
      <c r="AB807" s="65" t="n"/>
      <c r="AC807" s="69" t="str">
        <f>IF(OR($G807="",NOT(ISNUMBER($K807)),$AK807=0),"",MAX(0,ReportDate-$K807))</f>
        <v/>
      </c>
      <c r="AD807" s="69" t="str">
        <f>IF($G807="","",IF($AL807=1,ReportDate-$L807,0))</f>
        <v/>
      </c>
      <c r="AE807" s="70" t="str">
        <f>IF($G807="","",IF($M807="Completed",1,IF(ISNUMBER($N807),$N807,0)))</f>
        <v/>
      </c>
      <c r="AF807" s="70" t="str">
        <f>IF(AND(ISNUMBER($Q807),ISNUMBER($R807)),IF($R807&lt;&gt;0,$Q807/$R807,""),"")</f>
        <v/>
      </c>
      <c r="AG807" s="71" t="str">
        <f>IF($G807="","",IF($AL807=1,"OVERDUE",IF($AM807=1,"BLOCKED",IF($AN807=1,"DUE TODAY",IF($AO807=1,"DUE TOMORROW",IF($AQ807=1,"HIGH PRIORITY",IF($AR807=1,"NO RECENT UPDATE",""))))))) </f>
        <v/>
      </c>
      <c r="AH807" s="71" t="str">
        <f>IF($G807="","",IF(ISNUMBER($A807),IF(ISNUMBER($A807),YEAR($A807)&amp;"-"&amp;TEXT(MONTH($A807),"00"),""),IF(ISNUMBER($L807),IF(ISNUMBER($L807),YEAR($L807)&amp;"-"&amp;TEXT(MONTH($L807),"00"),""),"")))</f>
        <v/>
      </c>
      <c r="AI807" s="71">
        <f>IF($G807="",0,IF(AND(OR(fClient="All",$C807=fClient),OR(fCampaign="All",$D807=fCampaign),OR(fTeam="All",$B807=fTeam),OR(fChannel="All",$F807=fChannel),OR(fMonth="All",$AH807=fMonth),OR(fTStatus="All",$M807=fTStatus)),1,0))</f>
        <v>0</v>
      </c>
      <c r="AJ807" s="71">
        <f>IF($G807="",0,IF(AND(OR(fClient="All",$C807=fClient),OR(fCampaign="All",$D807=fCampaign),OR(fTeam="All",$B807=fTeam),OR(fChannel="All",$F807=fChannel)),1,0))</f>
        <v>0</v>
      </c>
      <c r="AK807" s="71">
        <f>IF($G807="",0,IF(OR($M807="Completed",$M807="Cancelled"),0,1))</f>
        <v>0</v>
      </c>
      <c r="AL807" s="71">
        <f>IF(AND($AK807=1,ISNUMBER($L807)),IF($L807&lt;ReportDate,1,0),0)</f>
        <v>0</v>
      </c>
      <c r="AM807" s="71">
        <f>IF(AND($G807&lt;&gt;"",$M807="Blocked"),1,0)</f>
        <v>0</v>
      </c>
      <c r="AN807" s="71">
        <f>IF(AND($AK807=1,ISNUMBER($L807)),IF($L807=ReportDate,1,0),0)</f>
        <v>0</v>
      </c>
      <c r="AO807" s="71">
        <f>IF(AND($AK807=1,ISNUMBER($L807)),IF($L807=ReportDate+1,1,0),0)</f>
        <v>0</v>
      </c>
      <c r="AP807" s="71">
        <f>IF(AND($AK807=1,ISNUMBER($L807)),IF(AND($L807&gt;=ReportDate,$L807&lt;=ReportDate+DueSoonDays),1,0),0)</f>
        <v>0</v>
      </c>
      <c r="AQ807" s="71">
        <f>IF(AND($AK807=1,OR($I807="Critical",$I807="High")),1,0)</f>
        <v>0</v>
      </c>
      <c r="AR807" s="71">
        <f>IF($AK807=1,IF(ISNUMBER($Y807),IF(ReportDate-$Y807&gt;StaleDays,1,0),1),0)</f>
        <v>0</v>
      </c>
      <c r="AS807" s="71">
        <f>IF(AND($G807&lt;&gt;"",ISNUMBER($Q807),ISNUMBER($R807)),IF(AND($Q807&lt;$R807,OR($M807="Completed",AND(ISNUMBER($L807),$L807&lt;ReportDate))),1,0),0)</f>
        <v>0</v>
      </c>
      <c r="AT807" s="71">
        <f>IF($AK807=1,IF(OR($L807=ReportDate,$W807=ReportDate,$K807=ReportDate,$A807=ReportDate),1,0),0)</f>
        <v>0</v>
      </c>
      <c r="AU807" s="71">
        <f>IF($AK807=1,IF(OR($L807=ReportDate+1,$W807=ReportDate+1,$K807=ReportDate+1,$A807=ReportDate+1),1,0),0)</f>
        <v>0</v>
      </c>
      <c r="AV807" s="71">
        <f>IF(AND($G807&lt;&gt;"",$M807="Completed"),IF(OR($Y807=ReportDate-1,$A807=ReportDate-1),1,0),0)</f>
        <v>0</v>
      </c>
      <c r="AW807" s="71">
        <f>IF(AND($AK807=1,$Z807="Yes"),1,0)</f>
        <v>0</v>
      </c>
      <c r="AX807" s="71">
        <f>IF(AND($AK807=1,$AA807="Yes"),1,0)</f>
        <v>0</v>
      </c>
      <c r="AY807" s="71">
        <f>IF(AND($AM807=1,OR($I807="Critical",$I807="High")),1,0)</f>
        <v>0</v>
      </c>
      <c r="AZ807" s="71">
        <f>IF(AND($AK807=1,OR($C807=TCL_Client,$C807=MECCA_Client)),1,0)</f>
        <v>0</v>
      </c>
      <c r="BA807" s="71" t="str">
        <f>IF($G807="","",IFERROR(MATCH($I807,lst_Priority,0),5))</f>
        <v/>
      </c>
      <c r="BB807" s="71" t="str">
        <f>IF(AND($AL807=1,$AJ807=1),$BA807*100000+ROW(),"")</f>
        <v/>
      </c>
      <c r="BC807" s="71" t="str">
        <f>IF(AND($AM807=1,$AJ807=1),$BA807*100000+ROW(),"")</f>
        <v/>
      </c>
      <c r="BD807" s="71" t="str">
        <f>IF(AND($AP807=1,$AJ807=1),$BA807*100000+ROW(),"")</f>
        <v/>
      </c>
      <c r="BE807" s="71" t="str">
        <f>IF(AND($AT807=1,$AJ807=1),$BA807*100000+ROW(),"")</f>
        <v/>
      </c>
      <c r="BF807" s="71" t="str">
        <f>IF(AND($AU807=1,$AJ807=1),$BA807*100000+ROW(),"")</f>
        <v/>
      </c>
      <c r="BG807" s="71" t="str">
        <f>IF(AND($AV807=1,$AJ807=1),$BA807*100000+ROW(),"")</f>
        <v/>
      </c>
      <c r="BH807" s="71" t="str">
        <f>IF(AND($AW807=1,$AJ807=1),$BA807*100000+ROW(),"")</f>
        <v/>
      </c>
      <c r="BI807" s="71" t="str">
        <f>IF(AND($AX807=1,$AJ807=1),$BA807*100000+ROW(),"")</f>
        <v/>
      </c>
      <c r="BJ807" s="71" t="str">
        <f>IF(AND($AS807=1,$AJ807=1),$BA807*100000+ROW(),"")</f>
        <v/>
      </c>
      <c r="BK807" s="71" t="str">
        <f>IF(AND($AY807=1,$AJ807=1),$BA807*100000+ROW(),"")</f>
        <v/>
      </c>
      <c r="BL807" s="71" t="str">
        <f>IF(AND($AZ807=1),$BA807*100000+ROW(),"")</f>
        <v/>
      </c>
    </row>
    <row r="808">
      <c r="A808" s="63" t="n"/>
      <c r="B808" s="64" t="n"/>
      <c r="C808" s="64" t="n"/>
      <c r="D808" s="64" t="n"/>
      <c r="E808" s="64" t="n"/>
      <c r="F808" s="64" t="n"/>
      <c r="G808" s="65" t="n"/>
      <c r="H808" s="65" t="n"/>
      <c r="I808" s="64" t="n"/>
      <c r="J808" s="64" t="n"/>
      <c r="K808" s="63" t="n"/>
      <c r="L808" s="63" t="n"/>
      <c r="M808" s="64" t="n"/>
      <c r="N808" s="66" t="n"/>
      <c r="O808" s="65" t="n"/>
      <c r="P808" s="64" t="n"/>
      <c r="Q808" s="67" t="n"/>
      <c r="R808" s="67" t="n"/>
      <c r="S808" s="68" t="str">
        <f>IF(AND(ISNUMBER($Q808),ISNUMBER($R808)),$Q808-$R808,"")</f>
        <v/>
      </c>
      <c r="T808" s="65" t="n"/>
      <c r="U808" s="64" t="n"/>
      <c r="V808" s="65" t="n"/>
      <c r="W808" s="63" t="n"/>
      <c r="X808" s="65" t="n"/>
      <c r="Y808" s="63" t="n"/>
      <c r="Z808" s="64" t="n"/>
      <c r="AA808" s="64" t="n"/>
      <c r="AB808" s="65" t="n"/>
      <c r="AC808" s="69" t="str">
        <f>IF(OR($G808="",NOT(ISNUMBER($K808)),$AK808=0),"",MAX(0,ReportDate-$K808))</f>
        <v/>
      </c>
      <c r="AD808" s="69" t="str">
        <f>IF($G808="","",IF($AL808=1,ReportDate-$L808,0))</f>
        <v/>
      </c>
      <c r="AE808" s="70" t="str">
        <f>IF($G808="","",IF($M808="Completed",1,IF(ISNUMBER($N808),$N808,0)))</f>
        <v/>
      </c>
      <c r="AF808" s="70" t="str">
        <f>IF(AND(ISNUMBER($Q808),ISNUMBER($R808)),IF($R808&lt;&gt;0,$Q808/$R808,""),"")</f>
        <v/>
      </c>
      <c r="AG808" s="71" t="str">
        <f>IF($G808="","",IF($AL808=1,"OVERDUE",IF($AM808=1,"BLOCKED",IF($AN808=1,"DUE TODAY",IF($AO808=1,"DUE TOMORROW",IF($AQ808=1,"HIGH PRIORITY",IF($AR808=1,"NO RECENT UPDATE",""))))))) </f>
        <v/>
      </c>
      <c r="AH808" s="71" t="str">
        <f>IF($G808="","",IF(ISNUMBER($A808),IF(ISNUMBER($A808),YEAR($A808)&amp;"-"&amp;TEXT(MONTH($A808),"00"),""),IF(ISNUMBER($L808),IF(ISNUMBER($L808),YEAR($L808)&amp;"-"&amp;TEXT(MONTH($L808),"00"),""),"")))</f>
        <v/>
      </c>
      <c r="AI808" s="71">
        <f>IF($G808="",0,IF(AND(OR(fClient="All",$C808=fClient),OR(fCampaign="All",$D808=fCampaign),OR(fTeam="All",$B808=fTeam),OR(fChannel="All",$F808=fChannel),OR(fMonth="All",$AH808=fMonth),OR(fTStatus="All",$M808=fTStatus)),1,0))</f>
        <v>0</v>
      </c>
      <c r="AJ808" s="71">
        <f>IF($G808="",0,IF(AND(OR(fClient="All",$C808=fClient),OR(fCampaign="All",$D808=fCampaign),OR(fTeam="All",$B808=fTeam),OR(fChannel="All",$F808=fChannel)),1,0))</f>
        <v>0</v>
      </c>
      <c r="AK808" s="71">
        <f>IF($G808="",0,IF(OR($M808="Completed",$M808="Cancelled"),0,1))</f>
        <v>0</v>
      </c>
      <c r="AL808" s="71">
        <f>IF(AND($AK808=1,ISNUMBER($L808)),IF($L808&lt;ReportDate,1,0),0)</f>
        <v>0</v>
      </c>
      <c r="AM808" s="71">
        <f>IF(AND($G808&lt;&gt;"",$M808="Blocked"),1,0)</f>
        <v>0</v>
      </c>
      <c r="AN808" s="71">
        <f>IF(AND($AK808=1,ISNUMBER($L808)),IF($L808=ReportDate,1,0),0)</f>
        <v>0</v>
      </c>
      <c r="AO808" s="71">
        <f>IF(AND($AK808=1,ISNUMBER($L808)),IF($L808=ReportDate+1,1,0),0)</f>
        <v>0</v>
      </c>
      <c r="AP808" s="71">
        <f>IF(AND($AK808=1,ISNUMBER($L808)),IF(AND($L808&gt;=ReportDate,$L808&lt;=ReportDate+DueSoonDays),1,0),0)</f>
        <v>0</v>
      </c>
      <c r="AQ808" s="71">
        <f>IF(AND($AK808=1,OR($I808="Critical",$I808="High")),1,0)</f>
        <v>0</v>
      </c>
      <c r="AR808" s="71">
        <f>IF($AK808=1,IF(ISNUMBER($Y808),IF(ReportDate-$Y808&gt;StaleDays,1,0),1),0)</f>
        <v>0</v>
      </c>
      <c r="AS808" s="71">
        <f>IF(AND($G808&lt;&gt;"",ISNUMBER($Q808),ISNUMBER($R808)),IF(AND($Q808&lt;$R808,OR($M808="Completed",AND(ISNUMBER($L808),$L808&lt;ReportDate))),1,0),0)</f>
        <v>0</v>
      </c>
      <c r="AT808" s="71">
        <f>IF($AK808=1,IF(OR($L808=ReportDate,$W808=ReportDate,$K808=ReportDate,$A808=ReportDate),1,0),0)</f>
        <v>0</v>
      </c>
      <c r="AU808" s="71">
        <f>IF($AK808=1,IF(OR($L808=ReportDate+1,$W808=ReportDate+1,$K808=ReportDate+1,$A808=ReportDate+1),1,0),0)</f>
        <v>0</v>
      </c>
      <c r="AV808" s="71">
        <f>IF(AND($G808&lt;&gt;"",$M808="Completed"),IF(OR($Y808=ReportDate-1,$A808=ReportDate-1),1,0),0)</f>
        <v>0</v>
      </c>
      <c r="AW808" s="71">
        <f>IF(AND($AK808=1,$Z808="Yes"),1,0)</f>
        <v>0</v>
      </c>
      <c r="AX808" s="71">
        <f>IF(AND($AK808=1,$AA808="Yes"),1,0)</f>
        <v>0</v>
      </c>
      <c r="AY808" s="71">
        <f>IF(AND($AM808=1,OR($I808="Critical",$I808="High")),1,0)</f>
        <v>0</v>
      </c>
      <c r="AZ808" s="71">
        <f>IF(AND($AK808=1,OR($C808=TCL_Client,$C808=MECCA_Client)),1,0)</f>
        <v>0</v>
      </c>
      <c r="BA808" s="71" t="str">
        <f>IF($G808="","",IFERROR(MATCH($I808,lst_Priority,0),5))</f>
        <v/>
      </c>
      <c r="BB808" s="71" t="str">
        <f>IF(AND($AL808=1,$AJ808=1),$BA808*100000+ROW(),"")</f>
        <v/>
      </c>
      <c r="BC808" s="71" t="str">
        <f>IF(AND($AM808=1,$AJ808=1),$BA808*100000+ROW(),"")</f>
        <v/>
      </c>
      <c r="BD808" s="71" t="str">
        <f>IF(AND($AP808=1,$AJ808=1),$BA808*100000+ROW(),"")</f>
        <v/>
      </c>
      <c r="BE808" s="71" t="str">
        <f>IF(AND($AT808=1,$AJ808=1),$BA808*100000+ROW(),"")</f>
        <v/>
      </c>
      <c r="BF808" s="71" t="str">
        <f>IF(AND($AU808=1,$AJ808=1),$BA808*100000+ROW(),"")</f>
        <v/>
      </c>
      <c r="BG808" s="71" t="str">
        <f>IF(AND($AV808=1,$AJ808=1),$BA808*100000+ROW(),"")</f>
        <v/>
      </c>
      <c r="BH808" s="71" t="str">
        <f>IF(AND($AW808=1,$AJ808=1),$BA808*100000+ROW(),"")</f>
        <v/>
      </c>
      <c r="BI808" s="71" t="str">
        <f>IF(AND($AX808=1,$AJ808=1),$BA808*100000+ROW(),"")</f>
        <v/>
      </c>
      <c r="BJ808" s="71" t="str">
        <f>IF(AND($AS808=1,$AJ808=1),$BA808*100000+ROW(),"")</f>
        <v/>
      </c>
      <c r="BK808" s="71" t="str">
        <f>IF(AND($AY808=1,$AJ808=1),$BA808*100000+ROW(),"")</f>
        <v/>
      </c>
      <c r="BL808" s="71" t="str">
        <f>IF(AND($AZ808=1),$BA808*100000+ROW(),"")</f>
        <v/>
      </c>
    </row>
    <row r="809">
      <c r="A809" s="63" t="n"/>
      <c r="B809" s="64" t="n"/>
      <c r="C809" s="64" t="n"/>
      <c r="D809" s="64" t="n"/>
      <c r="E809" s="64" t="n"/>
      <c r="F809" s="64" t="n"/>
      <c r="G809" s="65" t="n"/>
      <c r="H809" s="65" t="n"/>
      <c r="I809" s="64" t="n"/>
      <c r="J809" s="64" t="n"/>
      <c r="K809" s="63" t="n"/>
      <c r="L809" s="63" t="n"/>
      <c r="M809" s="64" t="n"/>
      <c r="N809" s="66" t="n"/>
      <c r="O809" s="65" t="n"/>
      <c r="P809" s="64" t="n"/>
      <c r="Q809" s="67" t="n"/>
      <c r="R809" s="67" t="n"/>
      <c r="S809" s="68" t="str">
        <f>IF(AND(ISNUMBER($Q809),ISNUMBER($R809)),$Q809-$R809,"")</f>
        <v/>
      </c>
      <c r="T809" s="65" t="n"/>
      <c r="U809" s="64" t="n"/>
      <c r="V809" s="65" t="n"/>
      <c r="W809" s="63" t="n"/>
      <c r="X809" s="65" t="n"/>
      <c r="Y809" s="63" t="n"/>
      <c r="Z809" s="64" t="n"/>
      <c r="AA809" s="64" t="n"/>
      <c r="AB809" s="65" t="n"/>
      <c r="AC809" s="69" t="str">
        <f>IF(OR($G809="",NOT(ISNUMBER($K809)),$AK809=0),"",MAX(0,ReportDate-$K809))</f>
        <v/>
      </c>
      <c r="AD809" s="69" t="str">
        <f>IF($G809="","",IF($AL809=1,ReportDate-$L809,0))</f>
        <v/>
      </c>
      <c r="AE809" s="70" t="str">
        <f>IF($G809="","",IF($M809="Completed",1,IF(ISNUMBER($N809),$N809,0)))</f>
        <v/>
      </c>
      <c r="AF809" s="70" t="str">
        <f>IF(AND(ISNUMBER($Q809),ISNUMBER($R809)),IF($R809&lt;&gt;0,$Q809/$R809,""),"")</f>
        <v/>
      </c>
      <c r="AG809" s="71" t="str">
        <f>IF($G809="","",IF($AL809=1,"OVERDUE",IF($AM809=1,"BLOCKED",IF($AN809=1,"DUE TODAY",IF($AO809=1,"DUE TOMORROW",IF($AQ809=1,"HIGH PRIORITY",IF($AR809=1,"NO RECENT UPDATE",""))))))) </f>
        <v/>
      </c>
      <c r="AH809" s="71" t="str">
        <f>IF($G809="","",IF(ISNUMBER($A809),IF(ISNUMBER($A809),YEAR($A809)&amp;"-"&amp;TEXT(MONTH($A809),"00"),""),IF(ISNUMBER($L809),IF(ISNUMBER($L809),YEAR($L809)&amp;"-"&amp;TEXT(MONTH($L809),"00"),""),"")))</f>
        <v/>
      </c>
      <c r="AI809" s="71">
        <f>IF($G809="",0,IF(AND(OR(fClient="All",$C809=fClient),OR(fCampaign="All",$D809=fCampaign),OR(fTeam="All",$B809=fTeam),OR(fChannel="All",$F809=fChannel),OR(fMonth="All",$AH809=fMonth),OR(fTStatus="All",$M809=fTStatus)),1,0))</f>
        <v>0</v>
      </c>
      <c r="AJ809" s="71">
        <f>IF($G809="",0,IF(AND(OR(fClient="All",$C809=fClient),OR(fCampaign="All",$D809=fCampaign),OR(fTeam="All",$B809=fTeam),OR(fChannel="All",$F809=fChannel)),1,0))</f>
        <v>0</v>
      </c>
      <c r="AK809" s="71">
        <f>IF($G809="",0,IF(OR($M809="Completed",$M809="Cancelled"),0,1))</f>
        <v>0</v>
      </c>
      <c r="AL809" s="71">
        <f>IF(AND($AK809=1,ISNUMBER($L809)),IF($L809&lt;ReportDate,1,0),0)</f>
        <v>0</v>
      </c>
      <c r="AM809" s="71">
        <f>IF(AND($G809&lt;&gt;"",$M809="Blocked"),1,0)</f>
        <v>0</v>
      </c>
      <c r="AN809" s="71">
        <f>IF(AND($AK809=1,ISNUMBER($L809)),IF($L809=ReportDate,1,0),0)</f>
        <v>0</v>
      </c>
      <c r="AO809" s="71">
        <f>IF(AND($AK809=1,ISNUMBER($L809)),IF($L809=ReportDate+1,1,0),0)</f>
        <v>0</v>
      </c>
      <c r="AP809" s="71">
        <f>IF(AND($AK809=1,ISNUMBER($L809)),IF(AND($L809&gt;=ReportDate,$L809&lt;=ReportDate+DueSoonDays),1,0),0)</f>
        <v>0</v>
      </c>
      <c r="AQ809" s="71">
        <f>IF(AND($AK809=1,OR($I809="Critical",$I809="High")),1,0)</f>
        <v>0</v>
      </c>
      <c r="AR809" s="71">
        <f>IF($AK809=1,IF(ISNUMBER($Y809),IF(ReportDate-$Y809&gt;StaleDays,1,0),1),0)</f>
        <v>0</v>
      </c>
      <c r="AS809" s="71">
        <f>IF(AND($G809&lt;&gt;"",ISNUMBER($Q809),ISNUMBER($R809)),IF(AND($Q809&lt;$R809,OR($M809="Completed",AND(ISNUMBER($L809),$L809&lt;ReportDate))),1,0),0)</f>
        <v>0</v>
      </c>
      <c r="AT809" s="71">
        <f>IF($AK809=1,IF(OR($L809=ReportDate,$W809=ReportDate,$K809=ReportDate,$A809=ReportDate),1,0),0)</f>
        <v>0</v>
      </c>
      <c r="AU809" s="71">
        <f>IF($AK809=1,IF(OR($L809=ReportDate+1,$W809=ReportDate+1,$K809=ReportDate+1,$A809=ReportDate+1),1,0),0)</f>
        <v>0</v>
      </c>
      <c r="AV809" s="71">
        <f>IF(AND($G809&lt;&gt;"",$M809="Completed"),IF(OR($Y809=ReportDate-1,$A809=ReportDate-1),1,0),0)</f>
        <v>0</v>
      </c>
      <c r="AW809" s="71">
        <f>IF(AND($AK809=1,$Z809="Yes"),1,0)</f>
        <v>0</v>
      </c>
      <c r="AX809" s="71">
        <f>IF(AND($AK809=1,$AA809="Yes"),1,0)</f>
        <v>0</v>
      </c>
      <c r="AY809" s="71">
        <f>IF(AND($AM809=1,OR($I809="Critical",$I809="High")),1,0)</f>
        <v>0</v>
      </c>
      <c r="AZ809" s="71">
        <f>IF(AND($AK809=1,OR($C809=TCL_Client,$C809=MECCA_Client)),1,0)</f>
        <v>0</v>
      </c>
      <c r="BA809" s="71" t="str">
        <f>IF($G809="","",IFERROR(MATCH($I809,lst_Priority,0),5))</f>
        <v/>
      </c>
      <c r="BB809" s="71" t="str">
        <f>IF(AND($AL809=1,$AJ809=1),$BA809*100000+ROW(),"")</f>
        <v/>
      </c>
      <c r="BC809" s="71" t="str">
        <f>IF(AND($AM809=1,$AJ809=1),$BA809*100000+ROW(),"")</f>
        <v/>
      </c>
      <c r="BD809" s="71" t="str">
        <f>IF(AND($AP809=1,$AJ809=1),$BA809*100000+ROW(),"")</f>
        <v/>
      </c>
      <c r="BE809" s="71" t="str">
        <f>IF(AND($AT809=1,$AJ809=1),$BA809*100000+ROW(),"")</f>
        <v/>
      </c>
      <c r="BF809" s="71" t="str">
        <f>IF(AND($AU809=1,$AJ809=1),$BA809*100000+ROW(),"")</f>
        <v/>
      </c>
      <c r="BG809" s="71" t="str">
        <f>IF(AND($AV809=1,$AJ809=1),$BA809*100000+ROW(),"")</f>
        <v/>
      </c>
      <c r="BH809" s="71" t="str">
        <f>IF(AND($AW809=1,$AJ809=1),$BA809*100000+ROW(),"")</f>
        <v/>
      </c>
      <c r="BI809" s="71" t="str">
        <f>IF(AND($AX809=1,$AJ809=1),$BA809*100000+ROW(),"")</f>
        <v/>
      </c>
      <c r="BJ809" s="71" t="str">
        <f>IF(AND($AS809=1,$AJ809=1),$BA809*100000+ROW(),"")</f>
        <v/>
      </c>
      <c r="BK809" s="71" t="str">
        <f>IF(AND($AY809=1,$AJ809=1),$BA809*100000+ROW(),"")</f>
        <v/>
      </c>
      <c r="BL809" s="71" t="str">
        <f>IF(AND($AZ809=1),$BA809*100000+ROW(),"")</f>
        <v/>
      </c>
    </row>
    <row r="810">
      <c r="A810" s="63" t="n"/>
      <c r="B810" s="64" t="n"/>
      <c r="C810" s="64" t="n"/>
      <c r="D810" s="64" t="n"/>
      <c r="E810" s="64" t="n"/>
      <c r="F810" s="64" t="n"/>
      <c r="G810" s="65" t="n"/>
      <c r="H810" s="65" t="n"/>
      <c r="I810" s="64" t="n"/>
      <c r="J810" s="64" t="n"/>
      <c r="K810" s="63" t="n"/>
      <c r="L810" s="63" t="n"/>
      <c r="M810" s="64" t="n"/>
      <c r="N810" s="66" t="n"/>
      <c r="O810" s="65" t="n"/>
      <c r="P810" s="64" t="n"/>
      <c r="Q810" s="67" t="n"/>
      <c r="R810" s="67" t="n"/>
      <c r="S810" s="68" t="str">
        <f>IF(AND(ISNUMBER($Q810),ISNUMBER($R810)),$Q810-$R810,"")</f>
        <v/>
      </c>
      <c r="T810" s="65" t="n"/>
      <c r="U810" s="64" t="n"/>
      <c r="V810" s="65" t="n"/>
      <c r="W810" s="63" t="n"/>
      <c r="X810" s="65" t="n"/>
      <c r="Y810" s="63" t="n"/>
      <c r="Z810" s="64" t="n"/>
      <c r="AA810" s="64" t="n"/>
      <c r="AB810" s="65" t="n"/>
      <c r="AC810" s="69" t="str">
        <f>IF(OR($G810="",NOT(ISNUMBER($K810)),$AK810=0),"",MAX(0,ReportDate-$K810))</f>
        <v/>
      </c>
      <c r="AD810" s="69" t="str">
        <f>IF($G810="","",IF($AL810=1,ReportDate-$L810,0))</f>
        <v/>
      </c>
      <c r="AE810" s="70" t="str">
        <f>IF($G810="","",IF($M810="Completed",1,IF(ISNUMBER($N810),$N810,0)))</f>
        <v/>
      </c>
      <c r="AF810" s="70" t="str">
        <f>IF(AND(ISNUMBER($Q810),ISNUMBER($R810)),IF($R810&lt;&gt;0,$Q810/$R810,""),"")</f>
        <v/>
      </c>
      <c r="AG810" s="71" t="str">
        <f>IF($G810="","",IF($AL810=1,"OVERDUE",IF($AM810=1,"BLOCKED",IF($AN810=1,"DUE TODAY",IF($AO810=1,"DUE TOMORROW",IF($AQ810=1,"HIGH PRIORITY",IF($AR810=1,"NO RECENT UPDATE",""))))))) </f>
        <v/>
      </c>
      <c r="AH810" s="71" t="str">
        <f>IF($G810="","",IF(ISNUMBER($A810),IF(ISNUMBER($A810),YEAR($A810)&amp;"-"&amp;TEXT(MONTH($A810),"00"),""),IF(ISNUMBER($L810),IF(ISNUMBER($L810),YEAR($L810)&amp;"-"&amp;TEXT(MONTH($L810),"00"),""),"")))</f>
        <v/>
      </c>
      <c r="AI810" s="71">
        <f>IF($G810="",0,IF(AND(OR(fClient="All",$C810=fClient),OR(fCampaign="All",$D810=fCampaign),OR(fTeam="All",$B810=fTeam),OR(fChannel="All",$F810=fChannel),OR(fMonth="All",$AH810=fMonth),OR(fTStatus="All",$M810=fTStatus)),1,0))</f>
        <v>0</v>
      </c>
      <c r="AJ810" s="71">
        <f>IF($G810="",0,IF(AND(OR(fClient="All",$C810=fClient),OR(fCampaign="All",$D810=fCampaign),OR(fTeam="All",$B810=fTeam),OR(fChannel="All",$F810=fChannel)),1,0))</f>
        <v>0</v>
      </c>
      <c r="AK810" s="71">
        <f>IF($G810="",0,IF(OR($M810="Completed",$M810="Cancelled"),0,1))</f>
        <v>0</v>
      </c>
      <c r="AL810" s="71">
        <f>IF(AND($AK810=1,ISNUMBER($L810)),IF($L810&lt;ReportDate,1,0),0)</f>
        <v>0</v>
      </c>
      <c r="AM810" s="71">
        <f>IF(AND($G810&lt;&gt;"",$M810="Blocked"),1,0)</f>
        <v>0</v>
      </c>
      <c r="AN810" s="71">
        <f>IF(AND($AK810=1,ISNUMBER($L810)),IF($L810=ReportDate,1,0),0)</f>
        <v>0</v>
      </c>
      <c r="AO810" s="71">
        <f>IF(AND($AK810=1,ISNUMBER($L810)),IF($L810=ReportDate+1,1,0),0)</f>
        <v>0</v>
      </c>
      <c r="AP810" s="71">
        <f>IF(AND($AK810=1,ISNUMBER($L810)),IF(AND($L810&gt;=ReportDate,$L810&lt;=ReportDate+DueSoonDays),1,0),0)</f>
        <v>0</v>
      </c>
      <c r="AQ810" s="71">
        <f>IF(AND($AK810=1,OR($I810="Critical",$I810="High")),1,0)</f>
        <v>0</v>
      </c>
      <c r="AR810" s="71">
        <f>IF($AK810=1,IF(ISNUMBER($Y810),IF(ReportDate-$Y810&gt;StaleDays,1,0),1),0)</f>
        <v>0</v>
      </c>
      <c r="AS810" s="71">
        <f>IF(AND($G810&lt;&gt;"",ISNUMBER($Q810),ISNUMBER($R810)),IF(AND($Q810&lt;$R810,OR($M810="Completed",AND(ISNUMBER($L810),$L810&lt;ReportDate))),1,0),0)</f>
        <v>0</v>
      </c>
      <c r="AT810" s="71">
        <f>IF($AK810=1,IF(OR($L810=ReportDate,$W810=ReportDate,$K810=ReportDate,$A810=ReportDate),1,0),0)</f>
        <v>0</v>
      </c>
      <c r="AU810" s="71">
        <f>IF($AK810=1,IF(OR($L810=ReportDate+1,$W810=ReportDate+1,$K810=ReportDate+1,$A810=ReportDate+1),1,0),0)</f>
        <v>0</v>
      </c>
      <c r="AV810" s="71">
        <f>IF(AND($G810&lt;&gt;"",$M810="Completed"),IF(OR($Y810=ReportDate-1,$A810=ReportDate-1),1,0),0)</f>
        <v>0</v>
      </c>
      <c r="AW810" s="71">
        <f>IF(AND($AK810=1,$Z810="Yes"),1,0)</f>
        <v>0</v>
      </c>
      <c r="AX810" s="71">
        <f>IF(AND($AK810=1,$AA810="Yes"),1,0)</f>
        <v>0</v>
      </c>
      <c r="AY810" s="71">
        <f>IF(AND($AM810=1,OR($I810="Critical",$I810="High")),1,0)</f>
        <v>0</v>
      </c>
      <c r="AZ810" s="71">
        <f>IF(AND($AK810=1,OR($C810=TCL_Client,$C810=MECCA_Client)),1,0)</f>
        <v>0</v>
      </c>
      <c r="BA810" s="71" t="str">
        <f>IF($G810="","",IFERROR(MATCH($I810,lst_Priority,0),5))</f>
        <v/>
      </c>
      <c r="BB810" s="71" t="str">
        <f>IF(AND($AL810=1,$AJ810=1),$BA810*100000+ROW(),"")</f>
        <v/>
      </c>
      <c r="BC810" s="71" t="str">
        <f>IF(AND($AM810=1,$AJ810=1),$BA810*100000+ROW(),"")</f>
        <v/>
      </c>
      <c r="BD810" s="71" t="str">
        <f>IF(AND($AP810=1,$AJ810=1),$BA810*100000+ROW(),"")</f>
        <v/>
      </c>
      <c r="BE810" s="71" t="str">
        <f>IF(AND($AT810=1,$AJ810=1),$BA810*100000+ROW(),"")</f>
        <v/>
      </c>
      <c r="BF810" s="71" t="str">
        <f>IF(AND($AU810=1,$AJ810=1),$BA810*100000+ROW(),"")</f>
        <v/>
      </c>
      <c r="BG810" s="71" t="str">
        <f>IF(AND($AV810=1,$AJ810=1),$BA810*100000+ROW(),"")</f>
        <v/>
      </c>
      <c r="BH810" s="71" t="str">
        <f>IF(AND($AW810=1,$AJ810=1),$BA810*100000+ROW(),"")</f>
        <v/>
      </c>
      <c r="BI810" s="71" t="str">
        <f>IF(AND($AX810=1,$AJ810=1),$BA810*100000+ROW(),"")</f>
        <v/>
      </c>
      <c r="BJ810" s="71" t="str">
        <f>IF(AND($AS810=1,$AJ810=1),$BA810*100000+ROW(),"")</f>
        <v/>
      </c>
      <c r="BK810" s="71" t="str">
        <f>IF(AND($AY810=1,$AJ810=1),$BA810*100000+ROW(),"")</f>
        <v/>
      </c>
      <c r="BL810" s="71" t="str">
        <f>IF(AND($AZ810=1),$BA810*100000+ROW(),"")</f>
        <v/>
      </c>
    </row>
    <row r="811">
      <c r="A811" s="63" t="n"/>
      <c r="B811" s="64" t="n"/>
      <c r="C811" s="64" t="n"/>
      <c r="D811" s="64" t="n"/>
      <c r="E811" s="64" t="n"/>
      <c r="F811" s="64" t="n"/>
      <c r="G811" s="65" t="n"/>
      <c r="H811" s="65" t="n"/>
      <c r="I811" s="64" t="n"/>
      <c r="J811" s="64" t="n"/>
      <c r="K811" s="63" t="n"/>
      <c r="L811" s="63" t="n"/>
      <c r="M811" s="64" t="n"/>
      <c r="N811" s="66" t="n"/>
      <c r="O811" s="65" t="n"/>
      <c r="P811" s="64" t="n"/>
      <c r="Q811" s="67" t="n"/>
      <c r="R811" s="67" t="n"/>
      <c r="S811" s="68" t="str">
        <f>IF(AND(ISNUMBER($Q811),ISNUMBER($R811)),$Q811-$R811,"")</f>
        <v/>
      </c>
      <c r="T811" s="65" t="n"/>
      <c r="U811" s="64" t="n"/>
      <c r="V811" s="65" t="n"/>
      <c r="W811" s="63" t="n"/>
      <c r="X811" s="65" t="n"/>
      <c r="Y811" s="63" t="n"/>
      <c r="Z811" s="64" t="n"/>
      <c r="AA811" s="64" t="n"/>
      <c r="AB811" s="65" t="n"/>
      <c r="AC811" s="69" t="str">
        <f>IF(OR($G811="",NOT(ISNUMBER($K811)),$AK811=0),"",MAX(0,ReportDate-$K811))</f>
        <v/>
      </c>
      <c r="AD811" s="69" t="str">
        <f>IF($G811="","",IF($AL811=1,ReportDate-$L811,0))</f>
        <v/>
      </c>
      <c r="AE811" s="70" t="str">
        <f>IF($G811="","",IF($M811="Completed",1,IF(ISNUMBER($N811),$N811,0)))</f>
        <v/>
      </c>
      <c r="AF811" s="70" t="str">
        <f>IF(AND(ISNUMBER($Q811),ISNUMBER($R811)),IF($R811&lt;&gt;0,$Q811/$R811,""),"")</f>
        <v/>
      </c>
      <c r="AG811" s="71" t="str">
        <f>IF($G811="","",IF($AL811=1,"OVERDUE",IF($AM811=1,"BLOCKED",IF($AN811=1,"DUE TODAY",IF($AO811=1,"DUE TOMORROW",IF($AQ811=1,"HIGH PRIORITY",IF($AR811=1,"NO RECENT UPDATE",""))))))) </f>
        <v/>
      </c>
      <c r="AH811" s="71" t="str">
        <f>IF($G811="","",IF(ISNUMBER($A811),IF(ISNUMBER($A811),YEAR($A811)&amp;"-"&amp;TEXT(MONTH($A811),"00"),""),IF(ISNUMBER($L811),IF(ISNUMBER($L811),YEAR($L811)&amp;"-"&amp;TEXT(MONTH($L811),"00"),""),"")))</f>
        <v/>
      </c>
      <c r="AI811" s="71">
        <f>IF($G811="",0,IF(AND(OR(fClient="All",$C811=fClient),OR(fCampaign="All",$D811=fCampaign),OR(fTeam="All",$B811=fTeam),OR(fChannel="All",$F811=fChannel),OR(fMonth="All",$AH811=fMonth),OR(fTStatus="All",$M811=fTStatus)),1,0))</f>
        <v>0</v>
      </c>
      <c r="AJ811" s="71">
        <f>IF($G811="",0,IF(AND(OR(fClient="All",$C811=fClient),OR(fCampaign="All",$D811=fCampaign),OR(fTeam="All",$B811=fTeam),OR(fChannel="All",$F811=fChannel)),1,0))</f>
        <v>0</v>
      </c>
      <c r="AK811" s="71">
        <f>IF($G811="",0,IF(OR($M811="Completed",$M811="Cancelled"),0,1))</f>
        <v>0</v>
      </c>
      <c r="AL811" s="71">
        <f>IF(AND($AK811=1,ISNUMBER($L811)),IF($L811&lt;ReportDate,1,0),0)</f>
        <v>0</v>
      </c>
      <c r="AM811" s="71">
        <f>IF(AND($G811&lt;&gt;"",$M811="Blocked"),1,0)</f>
        <v>0</v>
      </c>
      <c r="AN811" s="71">
        <f>IF(AND($AK811=1,ISNUMBER($L811)),IF($L811=ReportDate,1,0),0)</f>
        <v>0</v>
      </c>
      <c r="AO811" s="71">
        <f>IF(AND($AK811=1,ISNUMBER($L811)),IF($L811=ReportDate+1,1,0),0)</f>
        <v>0</v>
      </c>
      <c r="AP811" s="71">
        <f>IF(AND($AK811=1,ISNUMBER($L811)),IF(AND($L811&gt;=ReportDate,$L811&lt;=ReportDate+DueSoonDays),1,0),0)</f>
        <v>0</v>
      </c>
      <c r="AQ811" s="71">
        <f>IF(AND($AK811=1,OR($I811="Critical",$I811="High")),1,0)</f>
        <v>0</v>
      </c>
      <c r="AR811" s="71">
        <f>IF($AK811=1,IF(ISNUMBER($Y811),IF(ReportDate-$Y811&gt;StaleDays,1,0),1),0)</f>
        <v>0</v>
      </c>
      <c r="AS811" s="71">
        <f>IF(AND($G811&lt;&gt;"",ISNUMBER($Q811),ISNUMBER($R811)),IF(AND($Q811&lt;$R811,OR($M811="Completed",AND(ISNUMBER($L811),$L811&lt;ReportDate))),1,0),0)</f>
        <v>0</v>
      </c>
      <c r="AT811" s="71">
        <f>IF($AK811=1,IF(OR($L811=ReportDate,$W811=ReportDate,$K811=ReportDate,$A811=ReportDate),1,0),0)</f>
        <v>0</v>
      </c>
      <c r="AU811" s="71">
        <f>IF($AK811=1,IF(OR($L811=ReportDate+1,$W811=ReportDate+1,$K811=ReportDate+1,$A811=ReportDate+1),1,0),0)</f>
        <v>0</v>
      </c>
      <c r="AV811" s="71">
        <f>IF(AND($G811&lt;&gt;"",$M811="Completed"),IF(OR($Y811=ReportDate-1,$A811=ReportDate-1),1,0),0)</f>
        <v>0</v>
      </c>
      <c r="AW811" s="71">
        <f>IF(AND($AK811=1,$Z811="Yes"),1,0)</f>
        <v>0</v>
      </c>
      <c r="AX811" s="71">
        <f>IF(AND($AK811=1,$AA811="Yes"),1,0)</f>
        <v>0</v>
      </c>
      <c r="AY811" s="71">
        <f>IF(AND($AM811=1,OR($I811="Critical",$I811="High")),1,0)</f>
        <v>0</v>
      </c>
      <c r="AZ811" s="71">
        <f>IF(AND($AK811=1,OR($C811=TCL_Client,$C811=MECCA_Client)),1,0)</f>
        <v>0</v>
      </c>
      <c r="BA811" s="71" t="str">
        <f>IF($G811="","",IFERROR(MATCH($I811,lst_Priority,0),5))</f>
        <v/>
      </c>
      <c r="BB811" s="71" t="str">
        <f>IF(AND($AL811=1,$AJ811=1),$BA811*100000+ROW(),"")</f>
        <v/>
      </c>
      <c r="BC811" s="71" t="str">
        <f>IF(AND($AM811=1,$AJ811=1),$BA811*100000+ROW(),"")</f>
        <v/>
      </c>
      <c r="BD811" s="71" t="str">
        <f>IF(AND($AP811=1,$AJ811=1),$BA811*100000+ROW(),"")</f>
        <v/>
      </c>
      <c r="BE811" s="71" t="str">
        <f>IF(AND($AT811=1,$AJ811=1),$BA811*100000+ROW(),"")</f>
        <v/>
      </c>
      <c r="BF811" s="71" t="str">
        <f>IF(AND($AU811=1,$AJ811=1),$BA811*100000+ROW(),"")</f>
        <v/>
      </c>
      <c r="BG811" s="71" t="str">
        <f>IF(AND($AV811=1,$AJ811=1),$BA811*100000+ROW(),"")</f>
        <v/>
      </c>
      <c r="BH811" s="71" t="str">
        <f>IF(AND($AW811=1,$AJ811=1),$BA811*100000+ROW(),"")</f>
        <v/>
      </c>
      <c r="BI811" s="71" t="str">
        <f>IF(AND($AX811=1,$AJ811=1),$BA811*100000+ROW(),"")</f>
        <v/>
      </c>
      <c r="BJ811" s="71" t="str">
        <f>IF(AND($AS811=1,$AJ811=1),$BA811*100000+ROW(),"")</f>
        <v/>
      </c>
      <c r="BK811" s="71" t="str">
        <f>IF(AND($AY811=1,$AJ811=1),$BA811*100000+ROW(),"")</f>
        <v/>
      </c>
      <c r="BL811" s="71" t="str">
        <f>IF(AND($AZ811=1),$BA811*100000+ROW(),"")</f>
        <v/>
      </c>
    </row>
    <row r="812">
      <c r="A812" s="63" t="n"/>
      <c r="B812" s="64" t="n"/>
      <c r="C812" s="64" t="n"/>
      <c r="D812" s="64" t="n"/>
      <c r="E812" s="64" t="n"/>
      <c r="F812" s="64" t="n"/>
      <c r="G812" s="65" t="n"/>
      <c r="H812" s="65" t="n"/>
      <c r="I812" s="64" t="n"/>
      <c r="J812" s="64" t="n"/>
      <c r="K812" s="63" t="n"/>
      <c r="L812" s="63" t="n"/>
      <c r="M812" s="64" t="n"/>
      <c r="N812" s="66" t="n"/>
      <c r="O812" s="65" t="n"/>
      <c r="P812" s="64" t="n"/>
      <c r="Q812" s="67" t="n"/>
      <c r="R812" s="67" t="n"/>
      <c r="S812" s="68" t="str">
        <f>IF(AND(ISNUMBER($Q812),ISNUMBER($R812)),$Q812-$R812,"")</f>
        <v/>
      </c>
      <c r="T812" s="65" t="n"/>
      <c r="U812" s="64" t="n"/>
      <c r="V812" s="65" t="n"/>
      <c r="W812" s="63" t="n"/>
      <c r="X812" s="65" t="n"/>
      <c r="Y812" s="63" t="n"/>
      <c r="Z812" s="64" t="n"/>
      <c r="AA812" s="64" t="n"/>
      <c r="AB812" s="65" t="n"/>
      <c r="AC812" s="69" t="str">
        <f>IF(OR($G812="",NOT(ISNUMBER($K812)),$AK812=0),"",MAX(0,ReportDate-$K812))</f>
        <v/>
      </c>
      <c r="AD812" s="69" t="str">
        <f>IF($G812="","",IF($AL812=1,ReportDate-$L812,0))</f>
        <v/>
      </c>
      <c r="AE812" s="70" t="str">
        <f>IF($G812="","",IF($M812="Completed",1,IF(ISNUMBER($N812),$N812,0)))</f>
        <v/>
      </c>
      <c r="AF812" s="70" t="str">
        <f>IF(AND(ISNUMBER($Q812),ISNUMBER($R812)),IF($R812&lt;&gt;0,$Q812/$R812,""),"")</f>
        <v/>
      </c>
      <c r="AG812" s="71" t="str">
        <f>IF($G812="","",IF($AL812=1,"OVERDUE",IF($AM812=1,"BLOCKED",IF($AN812=1,"DUE TODAY",IF($AO812=1,"DUE TOMORROW",IF($AQ812=1,"HIGH PRIORITY",IF($AR812=1,"NO RECENT UPDATE",""))))))) </f>
        <v/>
      </c>
      <c r="AH812" s="71" t="str">
        <f>IF($G812="","",IF(ISNUMBER($A812),IF(ISNUMBER($A812),YEAR($A812)&amp;"-"&amp;TEXT(MONTH($A812),"00"),""),IF(ISNUMBER($L812),IF(ISNUMBER($L812),YEAR($L812)&amp;"-"&amp;TEXT(MONTH($L812),"00"),""),"")))</f>
        <v/>
      </c>
      <c r="AI812" s="71">
        <f>IF($G812="",0,IF(AND(OR(fClient="All",$C812=fClient),OR(fCampaign="All",$D812=fCampaign),OR(fTeam="All",$B812=fTeam),OR(fChannel="All",$F812=fChannel),OR(fMonth="All",$AH812=fMonth),OR(fTStatus="All",$M812=fTStatus)),1,0))</f>
        <v>0</v>
      </c>
      <c r="AJ812" s="71">
        <f>IF($G812="",0,IF(AND(OR(fClient="All",$C812=fClient),OR(fCampaign="All",$D812=fCampaign),OR(fTeam="All",$B812=fTeam),OR(fChannel="All",$F812=fChannel)),1,0))</f>
        <v>0</v>
      </c>
      <c r="AK812" s="71">
        <f>IF($G812="",0,IF(OR($M812="Completed",$M812="Cancelled"),0,1))</f>
        <v>0</v>
      </c>
      <c r="AL812" s="71">
        <f>IF(AND($AK812=1,ISNUMBER($L812)),IF($L812&lt;ReportDate,1,0),0)</f>
        <v>0</v>
      </c>
      <c r="AM812" s="71">
        <f>IF(AND($G812&lt;&gt;"",$M812="Blocked"),1,0)</f>
        <v>0</v>
      </c>
      <c r="AN812" s="71">
        <f>IF(AND($AK812=1,ISNUMBER($L812)),IF($L812=ReportDate,1,0),0)</f>
        <v>0</v>
      </c>
      <c r="AO812" s="71">
        <f>IF(AND($AK812=1,ISNUMBER($L812)),IF($L812=ReportDate+1,1,0),0)</f>
        <v>0</v>
      </c>
      <c r="AP812" s="71">
        <f>IF(AND($AK812=1,ISNUMBER($L812)),IF(AND($L812&gt;=ReportDate,$L812&lt;=ReportDate+DueSoonDays),1,0),0)</f>
        <v>0</v>
      </c>
      <c r="AQ812" s="71">
        <f>IF(AND($AK812=1,OR($I812="Critical",$I812="High")),1,0)</f>
        <v>0</v>
      </c>
      <c r="AR812" s="71">
        <f>IF($AK812=1,IF(ISNUMBER($Y812),IF(ReportDate-$Y812&gt;StaleDays,1,0),1),0)</f>
        <v>0</v>
      </c>
      <c r="AS812" s="71">
        <f>IF(AND($G812&lt;&gt;"",ISNUMBER($Q812),ISNUMBER($R812)),IF(AND($Q812&lt;$R812,OR($M812="Completed",AND(ISNUMBER($L812),$L812&lt;ReportDate))),1,0),0)</f>
        <v>0</v>
      </c>
      <c r="AT812" s="71">
        <f>IF($AK812=1,IF(OR($L812=ReportDate,$W812=ReportDate,$K812=ReportDate,$A812=ReportDate),1,0),0)</f>
        <v>0</v>
      </c>
      <c r="AU812" s="71">
        <f>IF($AK812=1,IF(OR($L812=ReportDate+1,$W812=ReportDate+1,$K812=ReportDate+1,$A812=ReportDate+1),1,0),0)</f>
        <v>0</v>
      </c>
      <c r="AV812" s="71">
        <f>IF(AND($G812&lt;&gt;"",$M812="Completed"),IF(OR($Y812=ReportDate-1,$A812=ReportDate-1),1,0),0)</f>
        <v>0</v>
      </c>
      <c r="AW812" s="71">
        <f>IF(AND($AK812=1,$Z812="Yes"),1,0)</f>
        <v>0</v>
      </c>
      <c r="AX812" s="71">
        <f>IF(AND($AK812=1,$AA812="Yes"),1,0)</f>
        <v>0</v>
      </c>
      <c r="AY812" s="71">
        <f>IF(AND($AM812=1,OR($I812="Critical",$I812="High")),1,0)</f>
        <v>0</v>
      </c>
      <c r="AZ812" s="71">
        <f>IF(AND($AK812=1,OR($C812=TCL_Client,$C812=MECCA_Client)),1,0)</f>
        <v>0</v>
      </c>
      <c r="BA812" s="71" t="str">
        <f>IF($G812="","",IFERROR(MATCH($I812,lst_Priority,0),5))</f>
        <v/>
      </c>
      <c r="BB812" s="71" t="str">
        <f>IF(AND($AL812=1,$AJ812=1),$BA812*100000+ROW(),"")</f>
        <v/>
      </c>
      <c r="BC812" s="71" t="str">
        <f>IF(AND($AM812=1,$AJ812=1),$BA812*100000+ROW(),"")</f>
        <v/>
      </c>
      <c r="BD812" s="71" t="str">
        <f>IF(AND($AP812=1,$AJ812=1),$BA812*100000+ROW(),"")</f>
        <v/>
      </c>
      <c r="BE812" s="71" t="str">
        <f>IF(AND($AT812=1,$AJ812=1),$BA812*100000+ROW(),"")</f>
        <v/>
      </c>
      <c r="BF812" s="71" t="str">
        <f>IF(AND($AU812=1,$AJ812=1),$BA812*100000+ROW(),"")</f>
        <v/>
      </c>
      <c r="BG812" s="71" t="str">
        <f>IF(AND($AV812=1,$AJ812=1),$BA812*100000+ROW(),"")</f>
        <v/>
      </c>
      <c r="BH812" s="71" t="str">
        <f>IF(AND($AW812=1,$AJ812=1),$BA812*100000+ROW(),"")</f>
        <v/>
      </c>
      <c r="BI812" s="71" t="str">
        <f>IF(AND($AX812=1,$AJ812=1),$BA812*100000+ROW(),"")</f>
        <v/>
      </c>
      <c r="BJ812" s="71" t="str">
        <f>IF(AND($AS812=1,$AJ812=1),$BA812*100000+ROW(),"")</f>
        <v/>
      </c>
      <c r="BK812" s="71" t="str">
        <f>IF(AND($AY812=1,$AJ812=1),$BA812*100000+ROW(),"")</f>
        <v/>
      </c>
      <c r="BL812" s="71" t="str">
        <f>IF(AND($AZ812=1),$BA812*100000+ROW(),"")</f>
        <v/>
      </c>
    </row>
    <row r="813">
      <c r="A813" s="63" t="n"/>
      <c r="B813" s="64" t="n"/>
      <c r="C813" s="64" t="n"/>
      <c r="D813" s="64" t="n"/>
      <c r="E813" s="64" t="n"/>
      <c r="F813" s="64" t="n"/>
      <c r="G813" s="65" t="n"/>
      <c r="H813" s="65" t="n"/>
      <c r="I813" s="64" t="n"/>
      <c r="J813" s="64" t="n"/>
      <c r="K813" s="63" t="n"/>
      <c r="L813" s="63" t="n"/>
      <c r="M813" s="64" t="n"/>
      <c r="N813" s="66" t="n"/>
      <c r="O813" s="65" t="n"/>
      <c r="P813" s="64" t="n"/>
      <c r="Q813" s="67" t="n"/>
      <c r="R813" s="67" t="n"/>
      <c r="S813" s="68" t="str">
        <f>IF(AND(ISNUMBER($Q813),ISNUMBER($R813)),$Q813-$R813,"")</f>
        <v/>
      </c>
      <c r="T813" s="65" t="n"/>
      <c r="U813" s="64" t="n"/>
      <c r="V813" s="65" t="n"/>
      <c r="W813" s="63" t="n"/>
      <c r="X813" s="65" t="n"/>
      <c r="Y813" s="63" t="n"/>
      <c r="Z813" s="64" t="n"/>
      <c r="AA813" s="64" t="n"/>
      <c r="AB813" s="65" t="n"/>
      <c r="AC813" s="69" t="str">
        <f>IF(OR($G813="",NOT(ISNUMBER($K813)),$AK813=0),"",MAX(0,ReportDate-$K813))</f>
        <v/>
      </c>
      <c r="AD813" s="69" t="str">
        <f>IF($G813="","",IF($AL813=1,ReportDate-$L813,0))</f>
        <v/>
      </c>
      <c r="AE813" s="70" t="str">
        <f>IF($G813="","",IF($M813="Completed",1,IF(ISNUMBER($N813),$N813,0)))</f>
        <v/>
      </c>
      <c r="AF813" s="70" t="str">
        <f>IF(AND(ISNUMBER($Q813),ISNUMBER($R813)),IF($R813&lt;&gt;0,$Q813/$R813,""),"")</f>
        <v/>
      </c>
      <c r="AG813" s="71" t="str">
        <f>IF($G813="","",IF($AL813=1,"OVERDUE",IF($AM813=1,"BLOCKED",IF($AN813=1,"DUE TODAY",IF($AO813=1,"DUE TOMORROW",IF($AQ813=1,"HIGH PRIORITY",IF($AR813=1,"NO RECENT UPDATE",""))))))) </f>
        <v/>
      </c>
      <c r="AH813" s="71" t="str">
        <f>IF($G813="","",IF(ISNUMBER($A813),IF(ISNUMBER($A813),YEAR($A813)&amp;"-"&amp;TEXT(MONTH($A813),"00"),""),IF(ISNUMBER($L813),IF(ISNUMBER($L813),YEAR($L813)&amp;"-"&amp;TEXT(MONTH($L813),"00"),""),"")))</f>
        <v/>
      </c>
      <c r="AI813" s="71">
        <f>IF($G813="",0,IF(AND(OR(fClient="All",$C813=fClient),OR(fCampaign="All",$D813=fCampaign),OR(fTeam="All",$B813=fTeam),OR(fChannel="All",$F813=fChannel),OR(fMonth="All",$AH813=fMonth),OR(fTStatus="All",$M813=fTStatus)),1,0))</f>
        <v>0</v>
      </c>
      <c r="AJ813" s="71">
        <f>IF($G813="",0,IF(AND(OR(fClient="All",$C813=fClient),OR(fCampaign="All",$D813=fCampaign),OR(fTeam="All",$B813=fTeam),OR(fChannel="All",$F813=fChannel)),1,0))</f>
        <v>0</v>
      </c>
      <c r="AK813" s="71">
        <f>IF($G813="",0,IF(OR($M813="Completed",$M813="Cancelled"),0,1))</f>
        <v>0</v>
      </c>
      <c r="AL813" s="71">
        <f>IF(AND($AK813=1,ISNUMBER($L813)),IF($L813&lt;ReportDate,1,0),0)</f>
        <v>0</v>
      </c>
      <c r="AM813" s="71">
        <f>IF(AND($G813&lt;&gt;"",$M813="Blocked"),1,0)</f>
        <v>0</v>
      </c>
      <c r="AN813" s="71">
        <f>IF(AND($AK813=1,ISNUMBER($L813)),IF($L813=ReportDate,1,0),0)</f>
        <v>0</v>
      </c>
      <c r="AO813" s="71">
        <f>IF(AND($AK813=1,ISNUMBER($L813)),IF($L813=ReportDate+1,1,0),0)</f>
        <v>0</v>
      </c>
      <c r="AP813" s="71">
        <f>IF(AND($AK813=1,ISNUMBER($L813)),IF(AND($L813&gt;=ReportDate,$L813&lt;=ReportDate+DueSoonDays),1,0),0)</f>
        <v>0</v>
      </c>
      <c r="AQ813" s="71">
        <f>IF(AND($AK813=1,OR($I813="Critical",$I813="High")),1,0)</f>
        <v>0</v>
      </c>
      <c r="AR813" s="71">
        <f>IF($AK813=1,IF(ISNUMBER($Y813),IF(ReportDate-$Y813&gt;StaleDays,1,0),1),0)</f>
        <v>0</v>
      </c>
      <c r="AS813" s="71">
        <f>IF(AND($G813&lt;&gt;"",ISNUMBER($Q813),ISNUMBER($R813)),IF(AND($Q813&lt;$R813,OR($M813="Completed",AND(ISNUMBER($L813),$L813&lt;ReportDate))),1,0),0)</f>
        <v>0</v>
      </c>
      <c r="AT813" s="71">
        <f>IF($AK813=1,IF(OR($L813=ReportDate,$W813=ReportDate,$K813=ReportDate,$A813=ReportDate),1,0),0)</f>
        <v>0</v>
      </c>
      <c r="AU813" s="71">
        <f>IF($AK813=1,IF(OR($L813=ReportDate+1,$W813=ReportDate+1,$K813=ReportDate+1,$A813=ReportDate+1),1,0),0)</f>
        <v>0</v>
      </c>
      <c r="AV813" s="71">
        <f>IF(AND($G813&lt;&gt;"",$M813="Completed"),IF(OR($Y813=ReportDate-1,$A813=ReportDate-1),1,0),0)</f>
        <v>0</v>
      </c>
      <c r="AW813" s="71">
        <f>IF(AND($AK813=1,$Z813="Yes"),1,0)</f>
        <v>0</v>
      </c>
      <c r="AX813" s="71">
        <f>IF(AND($AK813=1,$AA813="Yes"),1,0)</f>
        <v>0</v>
      </c>
      <c r="AY813" s="71">
        <f>IF(AND($AM813=1,OR($I813="Critical",$I813="High")),1,0)</f>
        <v>0</v>
      </c>
      <c r="AZ813" s="71">
        <f>IF(AND($AK813=1,OR($C813=TCL_Client,$C813=MECCA_Client)),1,0)</f>
        <v>0</v>
      </c>
      <c r="BA813" s="71" t="str">
        <f>IF($G813="","",IFERROR(MATCH($I813,lst_Priority,0),5))</f>
        <v/>
      </c>
      <c r="BB813" s="71" t="str">
        <f>IF(AND($AL813=1,$AJ813=1),$BA813*100000+ROW(),"")</f>
        <v/>
      </c>
      <c r="BC813" s="71" t="str">
        <f>IF(AND($AM813=1,$AJ813=1),$BA813*100000+ROW(),"")</f>
        <v/>
      </c>
      <c r="BD813" s="71" t="str">
        <f>IF(AND($AP813=1,$AJ813=1),$BA813*100000+ROW(),"")</f>
        <v/>
      </c>
      <c r="BE813" s="71" t="str">
        <f>IF(AND($AT813=1,$AJ813=1),$BA813*100000+ROW(),"")</f>
        <v/>
      </c>
      <c r="BF813" s="71" t="str">
        <f>IF(AND($AU813=1,$AJ813=1),$BA813*100000+ROW(),"")</f>
        <v/>
      </c>
      <c r="BG813" s="71" t="str">
        <f>IF(AND($AV813=1,$AJ813=1),$BA813*100000+ROW(),"")</f>
        <v/>
      </c>
      <c r="BH813" s="71" t="str">
        <f>IF(AND($AW813=1,$AJ813=1),$BA813*100000+ROW(),"")</f>
        <v/>
      </c>
      <c r="BI813" s="71" t="str">
        <f>IF(AND($AX813=1,$AJ813=1),$BA813*100000+ROW(),"")</f>
        <v/>
      </c>
      <c r="BJ813" s="71" t="str">
        <f>IF(AND($AS813=1,$AJ813=1),$BA813*100000+ROW(),"")</f>
        <v/>
      </c>
      <c r="BK813" s="71" t="str">
        <f>IF(AND($AY813=1,$AJ813=1),$BA813*100000+ROW(),"")</f>
        <v/>
      </c>
      <c r="BL813" s="71" t="str">
        <f>IF(AND($AZ813=1),$BA813*100000+ROW(),"")</f>
        <v/>
      </c>
    </row>
    <row r="814">
      <c r="A814" s="63" t="n"/>
      <c r="B814" s="64" t="n"/>
      <c r="C814" s="64" t="n"/>
      <c r="D814" s="64" t="n"/>
      <c r="E814" s="64" t="n"/>
      <c r="F814" s="64" t="n"/>
      <c r="G814" s="65" t="n"/>
      <c r="H814" s="65" t="n"/>
      <c r="I814" s="64" t="n"/>
      <c r="J814" s="64" t="n"/>
      <c r="K814" s="63" t="n"/>
      <c r="L814" s="63" t="n"/>
      <c r="M814" s="64" t="n"/>
      <c r="N814" s="66" t="n"/>
      <c r="O814" s="65" t="n"/>
      <c r="P814" s="64" t="n"/>
      <c r="Q814" s="67" t="n"/>
      <c r="R814" s="67" t="n"/>
      <c r="S814" s="68" t="str">
        <f>IF(AND(ISNUMBER($Q814),ISNUMBER($R814)),$Q814-$R814,"")</f>
        <v/>
      </c>
      <c r="T814" s="65" t="n"/>
      <c r="U814" s="64" t="n"/>
      <c r="V814" s="65" t="n"/>
      <c r="W814" s="63" t="n"/>
      <c r="X814" s="65" t="n"/>
      <c r="Y814" s="63" t="n"/>
      <c r="Z814" s="64" t="n"/>
      <c r="AA814" s="64" t="n"/>
      <c r="AB814" s="65" t="n"/>
      <c r="AC814" s="69" t="str">
        <f>IF(OR($G814="",NOT(ISNUMBER($K814)),$AK814=0),"",MAX(0,ReportDate-$K814))</f>
        <v/>
      </c>
      <c r="AD814" s="69" t="str">
        <f>IF($G814="","",IF($AL814=1,ReportDate-$L814,0))</f>
        <v/>
      </c>
      <c r="AE814" s="70" t="str">
        <f>IF($G814="","",IF($M814="Completed",1,IF(ISNUMBER($N814),$N814,0)))</f>
        <v/>
      </c>
      <c r="AF814" s="70" t="str">
        <f>IF(AND(ISNUMBER($Q814),ISNUMBER($R814)),IF($R814&lt;&gt;0,$Q814/$R814,""),"")</f>
        <v/>
      </c>
      <c r="AG814" s="71" t="str">
        <f>IF($G814="","",IF($AL814=1,"OVERDUE",IF($AM814=1,"BLOCKED",IF($AN814=1,"DUE TODAY",IF($AO814=1,"DUE TOMORROW",IF($AQ814=1,"HIGH PRIORITY",IF($AR814=1,"NO RECENT UPDATE",""))))))) </f>
        <v/>
      </c>
      <c r="AH814" s="71" t="str">
        <f>IF($G814="","",IF(ISNUMBER($A814),IF(ISNUMBER($A814),YEAR($A814)&amp;"-"&amp;TEXT(MONTH($A814),"00"),""),IF(ISNUMBER($L814),IF(ISNUMBER($L814),YEAR($L814)&amp;"-"&amp;TEXT(MONTH($L814),"00"),""),"")))</f>
        <v/>
      </c>
      <c r="AI814" s="71">
        <f>IF($G814="",0,IF(AND(OR(fClient="All",$C814=fClient),OR(fCampaign="All",$D814=fCampaign),OR(fTeam="All",$B814=fTeam),OR(fChannel="All",$F814=fChannel),OR(fMonth="All",$AH814=fMonth),OR(fTStatus="All",$M814=fTStatus)),1,0))</f>
        <v>0</v>
      </c>
      <c r="AJ814" s="71">
        <f>IF($G814="",0,IF(AND(OR(fClient="All",$C814=fClient),OR(fCampaign="All",$D814=fCampaign),OR(fTeam="All",$B814=fTeam),OR(fChannel="All",$F814=fChannel)),1,0))</f>
        <v>0</v>
      </c>
      <c r="AK814" s="71">
        <f>IF($G814="",0,IF(OR($M814="Completed",$M814="Cancelled"),0,1))</f>
        <v>0</v>
      </c>
      <c r="AL814" s="71">
        <f>IF(AND($AK814=1,ISNUMBER($L814)),IF($L814&lt;ReportDate,1,0),0)</f>
        <v>0</v>
      </c>
      <c r="AM814" s="71">
        <f>IF(AND($G814&lt;&gt;"",$M814="Blocked"),1,0)</f>
        <v>0</v>
      </c>
      <c r="AN814" s="71">
        <f>IF(AND($AK814=1,ISNUMBER($L814)),IF($L814=ReportDate,1,0),0)</f>
        <v>0</v>
      </c>
      <c r="AO814" s="71">
        <f>IF(AND($AK814=1,ISNUMBER($L814)),IF($L814=ReportDate+1,1,0),0)</f>
        <v>0</v>
      </c>
      <c r="AP814" s="71">
        <f>IF(AND($AK814=1,ISNUMBER($L814)),IF(AND($L814&gt;=ReportDate,$L814&lt;=ReportDate+DueSoonDays),1,0),0)</f>
        <v>0</v>
      </c>
      <c r="AQ814" s="71">
        <f>IF(AND($AK814=1,OR($I814="Critical",$I814="High")),1,0)</f>
        <v>0</v>
      </c>
      <c r="AR814" s="71">
        <f>IF($AK814=1,IF(ISNUMBER($Y814),IF(ReportDate-$Y814&gt;StaleDays,1,0),1),0)</f>
        <v>0</v>
      </c>
      <c r="AS814" s="71">
        <f>IF(AND($G814&lt;&gt;"",ISNUMBER($Q814),ISNUMBER($R814)),IF(AND($Q814&lt;$R814,OR($M814="Completed",AND(ISNUMBER($L814),$L814&lt;ReportDate))),1,0),0)</f>
        <v>0</v>
      </c>
      <c r="AT814" s="71">
        <f>IF($AK814=1,IF(OR($L814=ReportDate,$W814=ReportDate,$K814=ReportDate,$A814=ReportDate),1,0),0)</f>
        <v>0</v>
      </c>
      <c r="AU814" s="71">
        <f>IF($AK814=1,IF(OR($L814=ReportDate+1,$W814=ReportDate+1,$K814=ReportDate+1,$A814=ReportDate+1),1,0),0)</f>
        <v>0</v>
      </c>
      <c r="AV814" s="71">
        <f>IF(AND($G814&lt;&gt;"",$M814="Completed"),IF(OR($Y814=ReportDate-1,$A814=ReportDate-1),1,0),0)</f>
        <v>0</v>
      </c>
      <c r="AW814" s="71">
        <f>IF(AND($AK814=1,$Z814="Yes"),1,0)</f>
        <v>0</v>
      </c>
      <c r="AX814" s="71">
        <f>IF(AND($AK814=1,$AA814="Yes"),1,0)</f>
        <v>0</v>
      </c>
      <c r="AY814" s="71">
        <f>IF(AND($AM814=1,OR($I814="Critical",$I814="High")),1,0)</f>
        <v>0</v>
      </c>
      <c r="AZ814" s="71">
        <f>IF(AND($AK814=1,OR($C814=TCL_Client,$C814=MECCA_Client)),1,0)</f>
        <v>0</v>
      </c>
      <c r="BA814" s="71" t="str">
        <f>IF($G814="","",IFERROR(MATCH($I814,lst_Priority,0),5))</f>
        <v/>
      </c>
      <c r="BB814" s="71" t="str">
        <f>IF(AND($AL814=1,$AJ814=1),$BA814*100000+ROW(),"")</f>
        <v/>
      </c>
      <c r="BC814" s="71" t="str">
        <f>IF(AND($AM814=1,$AJ814=1),$BA814*100000+ROW(),"")</f>
        <v/>
      </c>
      <c r="BD814" s="71" t="str">
        <f>IF(AND($AP814=1,$AJ814=1),$BA814*100000+ROW(),"")</f>
        <v/>
      </c>
      <c r="BE814" s="71" t="str">
        <f>IF(AND($AT814=1,$AJ814=1),$BA814*100000+ROW(),"")</f>
        <v/>
      </c>
      <c r="BF814" s="71" t="str">
        <f>IF(AND($AU814=1,$AJ814=1),$BA814*100000+ROW(),"")</f>
        <v/>
      </c>
      <c r="BG814" s="71" t="str">
        <f>IF(AND($AV814=1,$AJ814=1),$BA814*100000+ROW(),"")</f>
        <v/>
      </c>
      <c r="BH814" s="71" t="str">
        <f>IF(AND($AW814=1,$AJ814=1),$BA814*100000+ROW(),"")</f>
        <v/>
      </c>
      <c r="BI814" s="71" t="str">
        <f>IF(AND($AX814=1,$AJ814=1),$BA814*100000+ROW(),"")</f>
        <v/>
      </c>
      <c r="BJ814" s="71" t="str">
        <f>IF(AND($AS814=1,$AJ814=1),$BA814*100000+ROW(),"")</f>
        <v/>
      </c>
      <c r="BK814" s="71" t="str">
        <f>IF(AND($AY814=1,$AJ814=1),$BA814*100000+ROW(),"")</f>
        <v/>
      </c>
      <c r="BL814" s="71" t="str">
        <f>IF(AND($AZ814=1),$BA814*100000+ROW(),"")</f>
        <v/>
      </c>
    </row>
    <row r="815">
      <c r="A815" s="63" t="n"/>
      <c r="B815" s="64" t="n"/>
      <c r="C815" s="64" t="n"/>
      <c r="D815" s="64" t="n"/>
      <c r="E815" s="64" t="n"/>
      <c r="F815" s="64" t="n"/>
      <c r="G815" s="65" t="n"/>
      <c r="H815" s="65" t="n"/>
      <c r="I815" s="64" t="n"/>
      <c r="J815" s="64" t="n"/>
      <c r="K815" s="63" t="n"/>
      <c r="L815" s="63" t="n"/>
      <c r="M815" s="64" t="n"/>
      <c r="N815" s="66" t="n"/>
      <c r="O815" s="65" t="n"/>
      <c r="P815" s="64" t="n"/>
      <c r="Q815" s="67" t="n"/>
      <c r="R815" s="67" t="n"/>
      <c r="S815" s="68" t="str">
        <f>IF(AND(ISNUMBER($Q815),ISNUMBER($R815)),$Q815-$R815,"")</f>
        <v/>
      </c>
      <c r="T815" s="65" t="n"/>
      <c r="U815" s="64" t="n"/>
      <c r="V815" s="65" t="n"/>
      <c r="W815" s="63" t="n"/>
      <c r="X815" s="65" t="n"/>
      <c r="Y815" s="63" t="n"/>
      <c r="Z815" s="64" t="n"/>
      <c r="AA815" s="64" t="n"/>
      <c r="AB815" s="65" t="n"/>
      <c r="AC815" s="69" t="str">
        <f>IF(OR($G815="",NOT(ISNUMBER($K815)),$AK815=0),"",MAX(0,ReportDate-$K815))</f>
        <v/>
      </c>
      <c r="AD815" s="69" t="str">
        <f>IF($G815="","",IF($AL815=1,ReportDate-$L815,0))</f>
        <v/>
      </c>
      <c r="AE815" s="70" t="str">
        <f>IF($G815="","",IF($M815="Completed",1,IF(ISNUMBER($N815),$N815,0)))</f>
        <v/>
      </c>
      <c r="AF815" s="70" t="str">
        <f>IF(AND(ISNUMBER($Q815),ISNUMBER($R815)),IF($R815&lt;&gt;0,$Q815/$R815,""),"")</f>
        <v/>
      </c>
      <c r="AG815" s="71" t="str">
        <f>IF($G815="","",IF($AL815=1,"OVERDUE",IF($AM815=1,"BLOCKED",IF($AN815=1,"DUE TODAY",IF($AO815=1,"DUE TOMORROW",IF($AQ815=1,"HIGH PRIORITY",IF($AR815=1,"NO RECENT UPDATE",""))))))) </f>
        <v/>
      </c>
      <c r="AH815" s="71" t="str">
        <f>IF($G815="","",IF(ISNUMBER($A815),IF(ISNUMBER($A815),YEAR($A815)&amp;"-"&amp;TEXT(MONTH($A815),"00"),""),IF(ISNUMBER($L815),IF(ISNUMBER($L815),YEAR($L815)&amp;"-"&amp;TEXT(MONTH($L815),"00"),""),"")))</f>
        <v/>
      </c>
      <c r="AI815" s="71">
        <f>IF($G815="",0,IF(AND(OR(fClient="All",$C815=fClient),OR(fCampaign="All",$D815=fCampaign),OR(fTeam="All",$B815=fTeam),OR(fChannel="All",$F815=fChannel),OR(fMonth="All",$AH815=fMonth),OR(fTStatus="All",$M815=fTStatus)),1,0))</f>
        <v>0</v>
      </c>
      <c r="AJ815" s="71">
        <f>IF($G815="",0,IF(AND(OR(fClient="All",$C815=fClient),OR(fCampaign="All",$D815=fCampaign),OR(fTeam="All",$B815=fTeam),OR(fChannel="All",$F815=fChannel)),1,0))</f>
        <v>0</v>
      </c>
      <c r="AK815" s="71">
        <f>IF($G815="",0,IF(OR($M815="Completed",$M815="Cancelled"),0,1))</f>
        <v>0</v>
      </c>
      <c r="AL815" s="71">
        <f>IF(AND($AK815=1,ISNUMBER($L815)),IF($L815&lt;ReportDate,1,0),0)</f>
        <v>0</v>
      </c>
      <c r="AM815" s="71">
        <f>IF(AND($G815&lt;&gt;"",$M815="Blocked"),1,0)</f>
        <v>0</v>
      </c>
      <c r="AN815" s="71">
        <f>IF(AND($AK815=1,ISNUMBER($L815)),IF($L815=ReportDate,1,0),0)</f>
        <v>0</v>
      </c>
      <c r="AO815" s="71">
        <f>IF(AND($AK815=1,ISNUMBER($L815)),IF($L815=ReportDate+1,1,0),0)</f>
        <v>0</v>
      </c>
      <c r="AP815" s="71">
        <f>IF(AND($AK815=1,ISNUMBER($L815)),IF(AND($L815&gt;=ReportDate,$L815&lt;=ReportDate+DueSoonDays),1,0),0)</f>
        <v>0</v>
      </c>
      <c r="AQ815" s="71">
        <f>IF(AND($AK815=1,OR($I815="Critical",$I815="High")),1,0)</f>
        <v>0</v>
      </c>
      <c r="AR815" s="71">
        <f>IF($AK815=1,IF(ISNUMBER($Y815),IF(ReportDate-$Y815&gt;StaleDays,1,0),1),0)</f>
        <v>0</v>
      </c>
      <c r="AS815" s="71">
        <f>IF(AND($G815&lt;&gt;"",ISNUMBER($Q815),ISNUMBER($R815)),IF(AND($Q815&lt;$R815,OR($M815="Completed",AND(ISNUMBER($L815),$L815&lt;ReportDate))),1,0),0)</f>
        <v>0</v>
      </c>
      <c r="AT815" s="71">
        <f>IF($AK815=1,IF(OR($L815=ReportDate,$W815=ReportDate,$K815=ReportDate,$A815=ReportDate),1,0),0)</f>
        <v>0</v>
      </c>
      <c r="AU815" s="71">
        <f>IF($AK815=1,IF(OR($L815=ReportDate+1,$W815=ReportDate+1,$K815=ReportDate+1,$A815=ReportDate+1),1,0),0)</f>
        <v>0</v>
      </c>
      <c r="AV815" s="71">
        <f>IF(AND($G815&lt;&gt;"",$M815="Completed"),IF(OR($Y815=ReportDate-1,$A815=ReportDate-1),1,0),0)</f>
        <v>0</v>
      </c>
      <c r="AW815" s="71">
        <f>IF(AND($AK815=1,$Z815="Yes"),1,0)</f>
        <v>0</v>
      </c>
      <c r="AX815" s="71">
        <f>IF(AND($AK815=1,$AA815="Yes"),1,0)</f>
        <v>0</v>
      </c>
      <c r="AY815" s="71">
        <f>IF(AND($AM815=1,OR($I815="Critical",$I815="High")),1,0)</f>
        <v>0</v>
      </c>
      <c r="AZ815" s="71">
        <f>IF(AND($AK815=1,OR($C815=TCL_Client,$C815=MECCA_Client)),1,0)</f>
        <v>0</v>
      </c>
      <c r="BA815" s="71" t="str">
        <f>IF($G815="","",IFERROR(MATCH($I815,lst_Priority,0),5))</f>
        <v/>
      </c>
      <c r="BB815" s="71" t="str">
        <f>IF(AND($AL815=1,$AJ815=1),$BA815*100000+ROW(),"")</f>
        <v/>
      </c>
      <c r="BC815" s="71" t="str">
        <f>IF(AND($AM815=1,$AJ815=1),$BA815*100000+ROW(),"")</f>
        <v/>
      </c>
      <c r="BD815" s="71" t="str">
        <f>IF(AND($AP815=1,$AJ815=1),$BA815*100000+ROW(),"")</f>
        <v/>
      </c>
      <c r="BE815" s="71" t="str">
        <f>IF(AND($AT815=1,$AJ815=1),$BA815*100000+ROW(),"")</f>
        <v/>
      </c>
      <c r="BF815" s="71" t="str">
        <f>IF(AND($AU815=1,$AJ815=1),$BA815*100000+ROW(),"")</f>
        <v/>
      </c>
      <c r="BG815" s="71" t="str">
        <f>IF(AND($AV815=1,$AJ815=1),$BA815*100000+ROW(),"")</f>
        <v/>
      </c>
      <c r="BH815" s="71" t="str">
        <f>IF(AND($AW815=1,$AJ815=1),$BA815*100000+ROW(),"")</f>
        <v/>
      </c>
      <c r="BI815" s="71" t="str">
        <f>IF(AND($AX815=1,$AJ815=1),$BA815*100000+ROW(),"")</f>
        <v/>
      </c>
      <c r="BJ815" s="71" t="str">
        <f>IF(AND($AS815=1,$AJ815=1),$BA815*100000+ROW(),"")</f>
        <v/>
      </c>
      <c r="BK815" s="71" t="str">
        <f>IF(AND($AY815=1,$AJ815=1),$BA815*100000+ROW(),"")</f>
        <v/>
      </c>
      <c r="BL815" s="71" t="str">
        <f>IF(AND($AZ815=1),$BA815*100000+ROW(),"")</f>
        <v/>
      </c>
    </row>
    <row r="816">
      <c r="A816" s="63" t="n"/>
      <c r="B816" s="64" t="n"/>
      <c r="C816" s="64" t="n"/>
      <c r="D816" s="64" t="n"/>
      <c r="E816" s="64" t="n"/>
      <c r="F816" s="64" t="n"/>
      <c r="G816" s="65" t="n"/>
      <c r="H816" s="65" t="n"/>
      <c r="I816" s="64" t="n"/>
      <c r="J816" s="64" t="n"/>
      <c r="K816" s="63" t="n"/>
      <c r="L816" s="63" t="n"/>
      <c r="M816" s="64" t="n"/>
      <c r="N816" s="66" t="n"/>
      <c r="O816" s="65" t="n"/>
      <c r="P816" s="64" t="n"/>
      <c r="Q816" s="67" t="n"/>
      <c r="R816" s="67" t="n"/>
      <c r="S816" s="68" t="str">
        <f>IF(AND(ISNUMBER($Q816),ISNUMBER($R816)),$Q816-$R816,"")</f>
        <v/>
      </c>
      <c r="T816" s="65" t="n"/>
      <c r="U816" s="64" t="n"/>
      <c r="V816" s="65" t="n"/>
      <c r="W816" s="63" t="n"/>
      <c r="X816" s="65" t="n"/>
      <c r="Y816" s="63" t="n"/>
      <c r="Z816" s="64" t="n"/>
      <c r="AA816" s="64" t="n"/>
      <c r="AB816" s="65" t="n"/>
      <c r="AC816" s="69" t="str">
        <f>IF(OR($G816="",NOT(ISNUMBER($K816)),$AK816=0),"",MAX(0,ReportDate-$K816))</f>
        <v/>
      </c>
      <c r="AD816" s="69" t="str">
        <f>IF($G816="","",IF($AL816=1,ReportDate-$L816,0))</f>
        <v/>
      </c>
      <c r="AE816" s="70" t="str">
        <f>IF($G816="","",IF($M816="Completed",1,IF(ISNUMBER($N816),$N816,0)))</f>
        <v/>
      </c>
      <c r="AF816" s="70" t="str">
        <f>IF(AND(ISNUMBER($Q816),ISNUMBER($R816)),IF($R816&lt;&gt;0,$Q816/$R816,""),"")</f>
        <v/>
      </c>
      <c r="AG816" s="71" t="str">
        <f>IF($G816="","",IF($AL816=1,"OVERDUE",IF($AM816=1,"BLOCKED",IF($AN816=1,"DUE TODAY",IF($AO816=1,"DUE TOMORROW",IF($AQ816=1,"HIGH PRIORITY",IF($AR816=1,"NO RECENT UPDATE",""))))))) </f>
        <v/>
      </c>
      <c r="AH816" s="71" t="str">
        <f>IF($G816="","",IF(ISNUMBER($A816),IF(ISNUMBER($A816),YEAR($A816)&amp;"-"&amp;TEXT(MONTH($A816),"00"),""),IF(ISNUMBER($L816),IF(ISNUMBER($L816),YEAR($L816)&amp;"-"&amp;TEXT(MONTH($L816),"00"),""),"")))</f>
        <v/>
      </c>
      <c r="AI816" s="71">
        <f>IF($G816="",0,IF(AND(OR(fClient="All",$C816=fClient),OR(fCampaign="All",$D816=fCampaign),OR(fTeam="All",$B816=fTeam),OR(fChannel="All",$F816=fChannel),OR(fMonth="All",$AH816=fMonth),OR(fTStatus="All",$M816=fTStatus)),1,0))</f>
        <v>0</v>
      </c>
      <c r="AJ816" s="71">
        <f>IF($G816="",0,IF(AND(OR(fClient="All",$C816=fClient),OR(fCampaign="All",$D816=fCampaign),OR(fTeam="All",$B816=fTeam),OR(fChannel="All",$F816=fChannel)),1,0))</f>
        <v>0</v>
      </c>
      <c r="AK816" s="71">
        <f>IF($G816="",0,IF(OR($M816="Completed",$M816="Cancelled"),0,1))</f>
        <v>0</v>
      </c>
      <c r="AL816" s="71">
        <f>IF(AND($AK816=1,ISNUMBER($L816)),IF($L816&lt;ReportDate,1,0),0)</f>
        <v>0</v>
      </c>
      <c r="AM816" s="71">
        <f>IF(AND($G816&lt;&gt;"",$M816="Blocked"),1,0)</f>
        <v>0</v>
      </c>
      <c r="AN816" s="71">
        <f>IF(AND($AK816=1,ISNUMBER($L816)),IF($L816=ReportDate,1,0),0)</f>
        <v>0</v>
      </c>
      <c r="AO816" s="71">
        <f>IF(AND($AK816=1,ISNUMBER($L816)),IF($L816=ReportDate+1,1,0),0)</f>
        <v>0</v>
      </c>
      <c r="AP816" s="71">
        <f>IF(AND($AK816=1,ISNUMBER($L816)),IF(AND($L816&gt;=ReportDate,$L816&lt;=ReportDate+DueSoonDays),1,0),0)</f>
        <v>0</v>
      </c>
      <c r="AQ816" s="71">
        <f>IF(AND($AK816=1,OR($I816="Critical",$I816="High")),1,0)</f>
        <v>0</v>
      </c>
      <c r="AR816" s="71">
        <f>IF($AK816=1,IF(ISNUMBER($Y816),IF(ReportDate-$Y816&gt;StaleDays,1,0),1),0)</f>
        <v>0</v>
      </c>
      <c r="AS816" s="71">
        <f>IF(AND($G816&lt;&gt;"",ISNUMBER($Q816),ISNUMBER($R816)),IF(AND($Q816&lt;$R816,OR($M816="Completed",AND(ISNUMBER($L816),$L816&lt;ReportDate))),1,0),0)</f>
        <v>0</v>
      </c>
      <c r="AT816" s="71">
        <f>IF($AK816=1,IF(OR($L816=ReportDate,$W816=ReportDate,$K816=ReportDate,$A816=ReportDate),1,0),0)</f>
        <v>0</v>
      </c>
      <c r="AU816" s="71">
        <f>IF($AK816=1,IF(OR($L816=ReportDate+1,$W816=ReportDate+1,$K816=ReportDate+1,$A816=ReportDate+1),1,0),0)</f>
        <v>0</v>
      </c>
      <c r="AV816" s="71">
        <f>IF(AND($G816&lt;&gt;"",$M816="Completed"),IF(OR($Y816=ReportDate-1,$A816=ReportDate-1),1,0),0)</f>
        <v>0</v>
      </c>
      <c r="AW816" s="71">
        <f>IF(AND($AK816=1,$Z816="Yes"),1,0)</f>
        <v>0</v>
      </c>
      <c r="AX816" s="71">
        <f>IF(AND($AK816=1,$AA816="Yes"),1,0)</f>
        <v>0</v>
      </c>
      <c r="AY816" s="71">
        <f>IF(AND($AM816=1,OR($I816="Critical",$I816="High")),1,0)</f>
        <v>0</v>
      </c>
      <c r="AZ816" s="71">
        <f>IF(AND($AK816=1,OR($C816=TCL_Client,$C816=MECCA_Client)),1,0)</f>
        <v>0</v>
      </c>
      <c r="BA816" s="71" t="str">
        <f>IF($G816="","",IFERROR(MATCH($I816,lst_Priority,0),5))</f>
        <v/>
      </c>
      <c r="BB816" s="71" t="str">
        <f>IF(AND($AL816=1,$AJ816=1),$BA816*100000+ROW(),"")</f>
        <v/>
      </c>
      <c r="BC816" s="71" t="str">
        <f>IF(AND($AM816=1,$AJ816=1),$BA816*100000+ROW(),"")</f>
        <v/>
      </c>
      <c r="BD816" s="71" t="str">
        <f>IF(AND($AP816=1,$AJ816=1),$BA816*100000+ROW(),"")</f>
        <v/>
      </c>
      <c r="BE816" s="71" t="str">
        <f>IF(AND($AT816=1,$AJ816=1),$BA816*100000+ROW(),"")</f>
        <v/>
      </c>
      <c r="BF816" s="71" t="str">
        <f>IF(AND($AU816=1,$AJ816=1),$BA816*100000+ROW(),"")</f>
        <v/>
      </c>
      <c r="BG816" s="71" t="str">
        <f>IF(AND($AV816=1,$AJ816=1),$BA816*100000+ROW(),"")</f>
        <v/>
      </c>
      <c r="BH816" s="71" t="str">
        <f>IF(AND($AW816=1,$AJ816=1),$BA816*100000+ROW(),"")</f>
        <v/>
      </c>
      <c r="BI816" s="71" t="str">
        <f>IF(AND($AX816=1,$AJ816=1),$BA816*100000+ROW(),"")</f>
        <v/>
      </c>
      <c r="BJ816" s="71" t="str">
        <f>IF(AND($AS816=1,$AJ816=1),$BA816*100000+ROW(),"")</f>
        <v/>
      </c>
      <c r="BK816" s="71" t="str">
        <f>IF(AND($AY816=1,$AJ816=1),$BA816*100000+ROW(),"")</f>
        <v/>
      </c>
      <c r="BL816" s="71" t="str">
        <f>IF(AND($AZ816=1),$BA816*100000+ROW(),"")</f>
        <v/>
      </c>
    </row>
    <row r="817">
      <c r="A817" s="63" t="n"/>
      <c r="B817" s="64" t="n"/>
      <c r="C817" s="64" t="n"/>
      <c r="D817" s="64" t="n"/>
      <c r="E817" s="64" t="n"/>
      <c r="F817" s="64" t="n"/>
      <c r="G817" s="65" t="n"/>
      <c r="H817" s="65" t="n"/>
      <c r="I817" s="64" t="n"/>
      <c r="J817" s="64" t="n"/>
      <c r="K817" s="63" t="n"/>
      <c r="L817" s="63" t="n"/>
      <c r="M817" s="64" t="n"/>
      <c r="N817" s="66" t="n"/>
      <c r="O817" s="65" t="n"/>
      <c r="P817" s="64" t="n"/>
      <c r="Q817" s="67" t="n"/>
      <c r="R817" s="67" t="n"/>
      <c r="S817" s="68" t="str">
        <f>IF(AND(ISNUMBER($Q817),ISNUMBER($R817)),$Q817-$R817,"")</f>
        <v/>
      </c>
      <c r="T817" s="65" t="n"/>
      <c r="U817" s="64" t="n"/>
      <c r="V817" s="65" t="n"/>
      <c r="W817" s="63" t="n"/>
      <c r="X817" s="65" t="n"/>
      <c r="Y817" s="63" t="n"/>
      <c r="Z817" s="64" t="n"/>
      <c r="AA817" s="64" t="n"/>
      <c r="AB817" s="65" t="n"/>
      <c r="AC817" s="69" t="str">
        <f>IF(OR($G817="",NOT(ISNUMBER($K817)),$AK817=0),"",MAX(0,ReportDate-$K817))</f>
        <v/>
      </c>
      <c r="AD817" s="69" t="str">
        <f>IF($G817="","",IF($AL817=1,ReportDate-$L817,0))</f>
        <v/>
      </c>
      <c r="AE817" s="70" t="str">
        <f>IF($G817="","",IF($M817="Completed",1,IF(ISNUMBER($N817),$N817,0)))</f>
        <v/>
      </c>
      <c r="AF817" s="70" t="str">
        <f>IF(AND(ISNUMBER($Q817),ISNUMBER($R817)),IF($R817&lt;&gt;0,$Q817/$R817,""),"")</f>
        <v/>
      </c>
      <c r="AG817" s="71" t="str">
        <f>IF($G817="","",IF($AL817=1,"OVERDUE",IF($AM817=1,"BLOCKED",IF($AN817=1,"DUE TODAY",IF($AO817=1,"DUE TOMORROW",IF($AQ817=1,"HIGH PRIORITY",IF($AR817=1,"NO RECENT UPDATE",""))))))) </f>
        <v/>
      </c>
      <c r="AH817" s="71" t="str">
        <f>IF($G817="","",IF(ISNUMBER($A817),IF(ISNUMBER($A817),YEAR($A817)&amp;"-"&amp;TEXT(MONTH($A817),"00"),""),IF(ISNUMBER($L817),IF(ISNUMBER($L817),YEAR($L817)&amp;"-"&amp;TEXT(MONTH($L817),"00"),""),"")))</f>
        <v/>
      </c>
      <c r="AI817" s="71">
        <f>IF($G817="",0,IF(AND(OR(fClient="All",$C817=fClient),OR(fCampaign="All",$D817=fCampaign),OR(fTeam="All",$B817=fTeam),OR(fChannel="All",$F817=fChannel),OR(fMonth="All",$AH817=fMonth),OR(fTStatus="All",$M817=fTStatus)),1,0))</f>
        <v>0</v>
      </c>
      <c r="AJ817" s="71">
        <f>IF($G817="",0,IF(AND(OR(fClient="All",$C817=fClient),OR(fCampaign="All",$D817=fCampaign),OR(fTeam="All",$B817=fTeam),OR(fChannel="All",$F817=fChannel)),1,0))</f>
        <v>0</v>
      </c>
      <c r="AK817" s="71">
        <f>IF($G817="",0,IF(OR($M817="Completed",$M817="Cancelled"),0,1))</f>
        <v>0</v>
      </c>
      <c r="AL817" s="71">
        <f>IF(AND($AK817=1,ISNUMBER($L817)),IF($L817&lt;ReportDate,1,0),0)</f>
        <v>0</v>
      </c>
      <c r="AM817" s="71">
        <f>IF(AND($G817&lt;&gt;"",$M817="Blocked"),1,0)</f>
        <v>0</v>
      </c>
      <c r="AN817" s="71">
        <f>IF(AND($AK817=1,ISNUMBER($L817)),IF($L817=ReportDate,1,0),0)</f>
        <v>0</v>
      </c>
      <c r="AO817" s="71">
        <f>IF(AND($AK817=1,ISNUMBER($L817)),IF($L817=ReportDate+1,1,0),0)</f>
        <v>0</v>
      </c>
      <c r="AP817" s="71">
        <f>IF(AND($AK817=1,ISNUMBER($L817)),IF(AND($L817&gt;=ReportDate,$L817&lt;=ReportDate+DueSoonDays),1,0),0)</f>
        <v>0</v>
      </c>
      <c r="AQ817" s="71">
        <f>IF(AND($AK817=1,OR($I817="Critical",$I817="High")),1,0)</f>
        <v>0</v>
      </c>
      <c r="AR817" s="71">
        <f>IF($AK817=1,IF(ISNUMBER($Y817),IF(ReportDate-$Y817&gt;StaleDays,1,0),1),0)</f>
        <v>0</v>
      </c>
      <c r="AS817" s="71">
        <f>IF(AND($G817&lt;&gt;"",ISNUMBER($Q817),ISNUMBER($R817)),IF(AND($Q817&lt;$R817,OR($M817="Completed",AND(ISNUMBER($L817),$L817&lt;ReportDate))),1,0),0)</f>
        <v>0</v>
      </c>
      <c r="AT817" s="71">
        <f>IF($AK817=1,IF(OR($L817=ReportDate,$W817=ReportDate,$K817=ReportDate,$A817=ReportDate),1,0),0)</f>
        <v>0</v>
      </c>
      <c r="AU817" s="71">
        <f>IF($AK817=1,IF(OR($L817=ReportDate+1,$W817=ReportDate+1,$K817=ReportDate+1,$A817=ReportDate+1),1,0),0)</f>
        <v>0</v>
      </c>
      <c r="AV817" s="71">
        <f>IF(AND($G817&lt;&gt;"",$M817="Completed"),IF(OR($Y817=ReportDate-1,$A817=ReportDate-1),1,0),0)</f>
        <v>0</v>
      </c>
      <c r="AW817" s="71">
        <f>IF(AND($AK817=1,$Z817="Yes"),1,0)</f>
        <v>0</v>
      </c>
      <c r="AX817" s="71">
        <f>IF(AND($AK817=1,$AA817="Yes"),1,0)</f>
        <v>0</v>
      </c>
      <c r="AY817" s="71">
        <f>IF(AND($AM817=1,OR($I817="Critical",$I817="High")),1,0)</f>
        <v>0</v>
      </c>
      <c r="AZ817" s="71">
        <f>IF(AND($AK817=1,OR($C817=TCL_Client,$C817=MECCA_Client)),1,0)</f>
        <v>0</v>
      </c>
      <c r="BA817" s="71" t="str">
        <f>IF($G817="","",IFERROR(MATCH($I817,lst_Priority,0),5))</f>
        <v/>
      </c>
      <c r="BB817" s="71" t="str">
        <f>IF(AND($AL817=1,$AJ817=1),$BA817*100000+ROW(),"")</f>
        <v/>
      </c>
      <c r="BC817" s="71" t="str">
        <f>IF(AND($AM817=1,$AJ817=1),$BA817*100000+ROW(),"")</f>
        <v/>
      </c>
      <c r="BD817" s="71" t="str">
        <f>IF(AND($AP817=1,$AJ817=1),$BA817*100000+ROW(),"")</f>
        <v/>
      </c>
      <c r="BE817" s="71" t="str">
        <f>IF(AND($AT817=1,$AJ817=1),$BA817*100000+ROW(),"")</f>
        <v/>
      </c>
      <c r="BF817" s="71" t="str">
        <f>IF(AND($AU817=1,$AJ817=1),$BA817*100000+ROW(),"")</f>
        <v/>
      </c>
      <c r="BG817" s="71" t="str">
        <f>IF(AND($AV817=1,$AJ817=1),$BA817*100000+ROW(),"")</f>
        <v/>
      </c>
      <c r="BH817" s="71" t="str">
        <f>IF(AND($AW817=1,$AJ817=1),$BA817*100000+ROW(),"")</f>
        <v/>
      </c>
      <c r="BI817" s="71" t="str">
        <f>IF(AND($AX817=1,$AJ817=1),$BA817*100000+ROW(),"")</f>
        <v/>
      </c>
      <c r="BJ817" s="71" t="str">
        <f>IF(AND($AS817=1,$AJ817=1),$BA817*100000+ROW(),"")</f>
        <v/>
      </c>
      <c r="BK817" s="71" t="str">
        <f>IF(AND($AY817=1,$AJ817=1),$BA817*100000+ROW(),"")</f>
        <v/>
      </c>
      <c r="BL817" s="71" t="str">
        <f>IF(AND($AZ817=1),$BA817*100000+ROW(),"")</f>
        <v/>
      </c>
    </row>
    <row r="818">
      <c r="A818" s="63" t="n"/>
      <c r="B818" s="64" t="n"/>
      <c r="C818" s="64" t="n"/>
      <c r="D818" s="64" t="n"/>
      <c r="E818" s="64" t="n"/>
      <c r="F818" s="64" t="n"/>
      <c r="G818" s="65" t="n"/>
      <c r="H818" s="65" t="n"/>
      <c r="I818" s="64" t="n"/>
      <c r="J818" s="64" t="n"/>
      <c r="K818" s="63" t="n"/>
      <c r="L818" s="63" t="n"/>
      <c r="M818" s="64" t="n"/>
      <c r="N818" s="66" t="n"/>
      <c r="O818" s="65" t="n"/>
      <c r="P818" s="64" t="n"/>
      <c r="Q818" s="67" t="n"/>
      <c r="R818" s="67" t="n"/>
      <c r="S818" s="68" t="str">
        <f>IF(AND(ISNUMBER($Q818),ISNUMBER($R818)),$Q818-$R818,"")</f>
        <v/>
      </c>
      <c r="T818" s="65" t="n"/>
      <c r="U818" s="64" t="n"/>
      <c r="V818" s="65" t="n"/>
      <c r="W818" s="63" t="n"/>
      <c r="X818" s="65" t="n"/>
      <c r="Y818" s="63" t="n"/>
      <c r="Z818" s="64" t="n"/>
      <c r="AA818" s="64" t="n"/>
      <c r="AB818" s="65" t="n"/>
      <c r="AC818" s="69" t="str">
        <f>IF(OR($G818="",NOT(ISNUMBER($K818)),$AK818=0),"",MAX(0,ReportDate-$K818))</f>
        <v/>
      </c>
      <c r="AD818" s="69" t="str">
        <f>IF($G818="","",IF($AL818=1,ReportDate-$L818,0))</f>
        <v/>
      </c>
      <c r="AE818" s="70" t="str">
        <f>IF($G818="","",IF($M818="Completed",1,IF(ISNUMBER($N818),$N818,0)))</f>
        <v/>
      </c>
      <c r="AF818" s="70" t="str">
        <f>IF(AND(ISNUMBER($Q818),ISNUMBER($R818)),IF($R818&lt;&gt;0,$Q818/$R818,""),"")</f>
        <v/>
      </c>
      <c r="AG818" s="71" t="str">
        <f>IF($G818="","",IF($AL818=1,"OVERDUE",IF($AM818=1,"BLOCKED",IF($AN818=1,"DUE TODAY",IF($AO818=1,"DUE TOMORROW",IF($AQ818=1,"HIGH PRIORITY",IF($AR818=1,"NO RECENT UPDATE",""))))))) </f>
        <v/>
      </c>
      <c r="AH818" s="71" t="str">
        <f>IF($G818="","",IF(ISNUMBER($A818),IF(ISNUMBER($A818),YEAR($A818)&amp;"-"&amp;TEXT(MONTH($A818),"00"),""),IF(ISNUMBER($L818),IF(ISNUMBER($L818),YEAR($L818)&amp;"-"&amp;TEXT(MONTH($L818),"00"),""),"")))</f>
        <v/>
      </c>
      <c r="AI818" s="71">
        <f>IF($G818="",0,IF(AND(OR(fClient="All",$C818=fClient),OR(fCampaign="All",$D818=fCampaign),OR(fTeam="All",$B818=fTeam),OR(fChannel="All",$F818=fChannel),OR(fMonth="All",$AH818=fMonth),OR(fTStatus="All",$M818=fTStatus)),1,0))</f>
        <v>0</v>
      </c>
      <c r="AJ818" s="71">
        <f>IF($G818="",0,IF(AND(OR(fClient="All",$C818=fClient),OR(fCampaign="All",$D818=fCampaign),OR(fTeam="All",$B818=fTeam),OR(fChannel="All",$F818=fChannel)),1,0))</f>
        <v>0</v>
      </c>
      <c r="AK818" s="71">
        <f>IF($G818="",0,IF(OR($M818="Completed",$M818="Cancelled"),0,1))</f>
        <v>0</v>
      </c>
      <c r="AL818" s="71">
        <f>IF(AND($AK818=1,ISNUMBER($L818)),IF($L818&lt;ReportDate,1,0),0)</f>
        <v>0</v>
      </c>
      <c r="AM818" s="71">
        <f>IF(AND($G818&lt;&gt;"",$M818="Blocked"),1,0)</f>
        <v>0</v>
      </c>
      <c r="AN818" s="71">
        <f>IF(AND($AK818=1,ISNUMBER($L818)),IF($L818=ReportDate,1,0),0)</f>
        <v>0</v>
      </c>
      <c r="AO818" s="71">
        <f>IF(AND($AK818=1,ISNUMBER($L818)),IF($L818=ReportDate+1,1,0),0)</f>
        <v>0</v>
      </c>
      <c r="AP818" s="71">
        <f>IF(AND($AK818=1,ISNUMBER($L818)),IF(AND($L818&gt;=ReportDate,$L818&lt;=ReportDate+DueSoonDays),1,0),0)</f>
        <v>0</v>
      </c>
      <c r="AQ818" s="71">
        <f>IF(AND($AK818=1,OR($I818="Critical",$I818="High")),1,0)</f>
        <v>0</v>
      </c>
      <c r="AR818" s="71">
        <f>IF($AK818=1,IF(ISNUMBER($Y818),IF(ReportDate-$Y818&gt;StaleDays,1,0),1),0)</f>
        <v>0</v>
      </c>
      <c r="AS818" s="71">
        <f>IF(AND($G818&lt;&gt;"",ISNUMBER($Q818),ISNUMBER($R818)),IF(AND($Q818&lt;$R818,OR($M818="Completed",AND(ISNUMBER($L818),$L818&lt;ReportDate))),1,0),0)</f>
        <v>0</v>
      </c>
      <c r="AT818" s="71">
        <f>IF($AK818=1,IF(OR($L818=ReportDate,$W818=ReportDate,$K818=ReportDate,$A818=ReportDate),1,0),0)</f>
        <v>0</v>
      </c>
      <c r="AU818" s="71">
        <f>IF($AK818=1,IF(OR($L818=ReportDate+1,$W818=ReportDate+1,$K818=ReportDate+1,$A818=ReportDate+1),1,0),0)</f>
        <v>0</v>
      </c>
      <c r="AV818" s="71">
        <f>IF(AND($G818&lt;&gt;"",$M818="Completed"),IF(OR($Y818=ReportDate-1,$A818=ReportDate-1),1,0),0)</f>
        <v>0</v>
      </c>
      <c r="AW818" s="71">
        <f>IF(AND($AK818=1,$Z818="Yes"),1,0)</f>
        <v>0</v>
      </c>
      <c r="AX818" s="71">
        <f>IF(AND($AK818=1,$AA818="Yes"),1,0)</f>
        <v>0</v>
      </c>
      <c r="AY818" s="71">
        <f>IF(AND($AM818=1,OR($I818="Critical",$I818="High")),1,0)</f>
        <v>0</v>
      </c>
      <c r="AZ818" s="71">
        <f>IF(AND($AK818=1,OR($C818=TCL_Client,$C818=MECCA_Client)),1,0)</f>
        <v>0</v>
      </c>
      <c r="BA818" s="71" t="str">
        <f>IF($G818="","",IFERROR(MATCH($I818,lst_Priority,0),5))</f>
        <v/>
      </c>
      <c r="BB818" s="71" t="str">
        <f>IF(AND($AL818=1,$AJ818=1),$BA818*100000+ROW(),"")</f>
        <v/>
      </c>
      <c r="BC818" s="71" t="str">
        <f>IF(AND($AM818=1,$AJ818=1),$BA818*100000+ROW(),"")</f>
        <v/>
      </c>
      <c r="BD818" s="71" t="str">
        <f>IF(AND($AP818=1,$AJ818=1),$BA818*100000+ROW(),"")</f>
        <v/>
      </c>
      <c r="BE818" s="71" t="str">
        <f>IF(AND($AT818=1,$AJ818=1),$BA818*100000+ROW(),"")</f>
        <v/>
      </c>
      <c r="BF818" s="71" t="str">
        <f>IF(AND($AU818=1,$AJ818=1),$BA818*100000+ROW(),"")</f>
        <v/>
      </c>
      <c r="BG818" s="71" t="str">
        <f>IF(AND($AV818=1,$AJ818=1),$BA818*100000+ROW(),"")</f>
        <v/>
      </c>
      <c r="BH818" s="71" t="str">
        <f>IF(AND($AW818=1,$AJ818=1),$BA818*100000+ROW(),"")</f>
        <v/>
      </c>
      <c r="BI818" s="71" t="str">
        <f>IF(AND($AX818=1,$AJ818=1),$BA818*100000+ROW(),"")</f>
        <v/>
      </c>
      <c r="BJ818" s="71" t="str">
        <f>IF(AND($AS818=1,$AJ818=1),$BA818*100000+ROW(),"")</f>
        <v/>
      </c>
      <c r="BK818" s="71" t="str">
        <f>IF(AND($AY818=1,$AJ818=1),$BA818*100000+ROW(),"")</f>
        <v/>
      </c>
      <c r="BL818" s="71" t="str">
        <f>IF(AND($AZ818=1),$BA818*100000+ROW(),"")</f>
        <v/>
      </c>
    </row>
    <row r="819">
      <c r="A819" s="63" t="n"/>
      <c r="B819" s="64" t="n"/>
      <c r="C819" s="64" t="n"/>
      <c r="D819" s="64" t="n"/>
      <c r="E819" s="64" t="n"/>
      <c r="F819" s="64" t="n"/>
      <c r="G819" s="65" t="n"/>
      <c r="H819" s="65" t="n"/>
      <c r="I819" s="64" t="n"/>
      <c r="J819" s="64" t="n"/>
      <c r="K819" s="63" t="n"/>
      <c r="L819" s="63" t="n"/>
      <c r="M819" s="64" t="n"/>
      <c r="N819" s="66" t="n"/>
      <c r="O819" s="65" t="n"/>
      <c r="P819" s="64" t="n"/>
      <c r="Q819" s="67" t="n"/>
      <c r="R819" s="67" t="n"/>
      <c r="S819" s="68" t="str">
        <f>IF(AND(ISNUMBER($Q819),ISNUMBER($R819)),$Q819-$R819,"")</f>
        <v/>
      </c>
      <c r="T819" s="65" t="n"/>
      <c r="U819" s="64" t="n"/>
      <c r="V819" s="65" t="n"/>
      <c r="W819" s="63" t="n"/>
      <c r="X819" s="65" t="n"/>
      <c r="Y819" s="63" t="n"/>
      <c r="Z819" s="64" t="n"/>
      <c r="AA819" s="64" t="n"/>
      <c r="AB819" s="65" t="n"/>
      <c r="AC819" s="69" t="str">
        <f>IF(OR($G819="",NOT(ISNUMBER($K819)),$AK819=0),"",MAX(0,ReportDate-$K819))</f>
        <v/>
      </c>
      <c r="AD819" s="69" t="str">
        <f>IF($G819="","",IF($AL819=1,ReportDate-$L819,0))</f>
        <v/>
      </c>
      <c r="AE819" s="70" t="str">
        <f>IF($G819="","",IF($M819="Completed",1,IF(ISNUMBER($N819),$N819,0)))</f>
        <v/>
      </c>
      <c r="AF819" s="70" t="str">
        <f>IF(AND(ISNUMBER($Q819),ISNUMBER($R819)),IF($R819&lt;&gt;0,$Q819/$R819,""),"")</f>
        <v/>
      </c>
      <c r="AG819" s="71" t="str">
        <f>IF($G819="","",IF($AL819=1,"OVERDUE",IF($AM819=1,"BLOCKED",IF($AN819=1,"DUE TODAY",IF($AO819=1,"DUE TOMORROW",IF($AQ819=1,"HIGH PRIORITY",IF($AR819=1,"NO RECENT UPDATE",""))))))) </f>
        <v/>
      </c>
      <c r="AH819" s="71" t="str">
        <f>IF($G819="","",IF(ISNUMBER($A819),IF(ISNUMBER($A819),YEAR($A819)&amp;"-"&amp;TEXT(MONTH($A819),"00"),""),IF(ISNUMBER($L819),IF(ISNUMBER($L819),YEAR($L819)&amp;"-"&amp;TEXT(MONTH($L819),"00"),""),"")))</f>
        <v/>
      </c>
      <c r="AI819" s="71">
        <f>IF($G819="",0,IF(AND(OR(fClient="All",$C819=fClient),OR(fCampaign="All",$D819=fCampaign),OR(fTeam="All",$B819=fTeam),OR(fChannel="All",$F819=fChannel),OR(fMonth="All",$AH819=fMonth),OR(fTStatus="All",$M819=fTStatus)),1,0))</f>
        <v>0</v>
      </c>
      <c r="AJ819" s="71">
        <f>IF($G819="",0,IF(AND(OR(fClient="All",$C819=fClient),OR(fCampaign="All",$D819=fCampaign),OR(fTeam="All",$B819=fTeam),OR(fChannel="All",$F819=fChannel)),1,0))</f>
        <v>0</v>
      </c>
      <c r="AK819" s="71">
        <f>IF($G819="",0,IF(OR($M819="Completed",$M819="Cancelled"),0,1))</f>
        <v>0</v>
      </c>
      <c r="AL819" s="71">
        <f>IF(AND($AK819=1,ISNUMBER($L819)),IF($L819&lt;ReportDate,1,0),0)</f>
        <v>0</v>
      </c>
      <c r="AM819" s="71">
        <f>IF(AND($G819&lt;&gt;"",$M819="Blocked"),1,0)</f>
        <v>0</v>
      </c>
      <c r="AN819" s="71">
        <f>IF(AND($AK819=1,ISNUMBER($L819)),IF($L819=ReportDate,1,0),0)</f>
        <v>0</v>
      </c>
      <c r="AO819" s="71">
        <f>IF(AND($AK819=1,ISNUMBER($L819)),IF($L819=ReportDate+1,1,0),0)</f>
        <v>0</v>
      </c>
      <c r="AP819" s="71">
        <f>IF(AND($AK819=1,ISNUMBER($L819)),IF(AND($L819&gt;=ReportDate,$L819&lt;=ReportDate+DueSoonDays),1,0),0)</f>
        <v>0</v>
      </c>
      <c r="AQ819" s="71">
        <f>IF(AND($AK819=1,OR($I819="Critical",$I819="High")),1,0)</f>
        <v>0</v>
      </c>
      <c r="AR819" s="71">
        <f>IF($AK819=1,IF(ISNUMBER($Y819),IF(ReportDate-$Y819&gt;StaleDays,1,0),1),0)</f>
        <v>0</v>
      </c>
      <c r="AS819" s="71">
        <f>IF(AND($G819&lt;&gt;"",ISNUMBER($Q819),ISNUMBER($R819)),IF(AND($Q819&lt;$R819,OR($M819="Completed",AND(ISNUMBER($L819),$L819&lt;ReportDate))),1,0),0)</f>
        <v>0</v>
      </c>
      <c r="AT819" s="71">
        <f>IF($AK819=1,IF(OR($L819=ReportDate,$W819=ReportDate,$K819=ReportDate,$A819=ReportDate),1,0),0)</f>
        <v>0</v>
      </c>
      <c r="AU819" s="71">
        <f>IF($AK819=1,IF(OR($L819=ReportDate+1,$W819=ReportDate+1,$K819=ReportDate+1,$A819=ReportDate+1),1,0),0)</f>
        <v>0</v>
      </c>
      <c r="AV819" s="71">
        <f>IF(AND($G819&lt;&gt;"",$M819="Completed"),IF(OR($Y819=ReportDate-1,$A819=ReportDate-1),1,0),0)</f>
        <v>0</v>
      </c>
      <c r="AW819" s="71">
        <f>IF(AND($AK819=1,$Z819="Yes"),1,0)</f>
        <v>0</v>
      </c>
      <c r="AX819" s="71">
        <f>IF(AND($AK819=1,$AA819="Yes"),1,0)</f>
        <v>0</v>
      </c>
      <c r="AY819" s="71">
        <f>IF(AND($AM819=1,OR($I819="Critical",$I819="High")),1,0)</f>
        <v>0</v>
      </c>
      <c r="AZ819" s="71">
        <f>IF(AND($AK819=1,OR($C819=TCL_Client,$C819=MECCA_Client)),1,0)</f>
        <v>0</v>
      </c>
      <c r="BA819" s="71" t="str">
        <f>IF($G819="","",IFERROR(MATCH($I819,lst_Priority,0),5))</f>
        <v/>
      </c>
      <c r="BB819" s="71" t="str">
        <f>IF(AND($AL819=1,$AJ819=1),$BA819*100000+ROW(),"")</f>
        <v/>
      </c>
      <c r="BC819" s="71" t="str">
        <f>IF(AND($AM819=1,$AJ819=1),$BA819*100000+ROW(),"")</f>
        <v/>
      </c>
      <c r="BD819" s="71" t="str">
        <f>IF(AND($AP819=1,$AJ819=1),$BA819*100000+ROW(),"")</f>
        <v/>
      </c>
      <c r="BE819" s="71" t="str">
        <f>IF(AND($AT819=1,$AJ819=1),$BA819*100000+ROW(),"")</f>
        <v/>
      </c>
      <c r="BF819" s="71" t="str">
        <f>IF(AND($AU819=1,$AJ819=1),$BA819*100000+ROW(),"")</f>
        <v/>
      </c>
      <c r="BG819" s="71" t="str">
        <f>IF(AND($AV819=1,$AJ819=1),$BA819*100000+ROW(),"")</f>
        <v/>
      </c>
      <c r="BH819" s="71" t="str">
        <f>IF(AND($AW819=1,$AJ819=1),$BA819*100000+ROW(),"")</f>
        <v/>
      </c>
      <c r="BI819" s="71" t="str">
        <f>IF(AND($AX819=1,$AJ819=1),$BA819*100000+ROW(),"")</f>
        <v/>
      </c>
      <c r="BJ819" s="71" t="str">
        <f>IF(AND($AS819=1,$AJ819=1),$BA819*100000+ROW(),"")</f>
        <v/>
      </c>
      <c r="BK819" s="71" t="str">
        <f>IF(AND($AY819=1,$AJ819=1),$BA819*100000+ROW(),"")</f>
        <v/>
      </c>
      <c r="BL819" s="71" t="str">
        <f>IF(AND($AZ819=1),$BA819*100000+ROW(),"")</f>
        <v/>
      </c>
    </row>
    <row r="820">
      <c r="A820" s="63" t="n"/>
      <c r="B820" s="64" t="n"/>
      <c r="C820" s="64" t="n"/>
      <c r="D820" s="64" t="n"/>
      <c r="E820" s="64" t="n"/>
      <c r="F820" s="64" t="n"/>
      <c r="G820" s="65" t="n"/>
      <c r="H820" s="65" t="n"/>
      <c r="I820" s="64" t="n"/>
      <c r="J820" s="64" t="n"/>
      <c r="K820" s="63" t="n"/>
      <c r="L820" s="63" t="n"/>
      <c r="M820" s="64" t="n"/>
      <c r="N820" s="66" t="n"/>
      <c r="O820" s="65" t="n"/>
      <c r="P820" s="64" t="n"/>
      <c r="Q820" s="67" t="n"/>
      <c r="R820" s="67" t="n"/>
      <c r="S820" s="68" t="str">
        <f>IF(AND(ISNUMBER($Q820),ISNUMBER($R820)),$Q820-$R820,"")</f>
        <v/>
      </c>
      <c r="T820" s="65" t="n"/>
      <c r="U820" s="64" t="n"/>
      <c r="V820" s="65" t="n"/>
      <c r="W820" s="63" t="n"/>
      <c r="X820" s="65" t="n"/>
      <c r="Y820" s="63" t="n"/>
      <c r="Z820" s="64" t="n"/>
      <c r="AA820" s="64" t="n"/>
      <c r="AB820" s="65" t="n"/>
      <c r="AC820" s="69" t="str">
        <f>IF(OR($G820="",NOT(ISNUMBER($K820)),$AK820=0),"",MAX(0,ReportDate-$K820))</f>
        <v/>
      </c>
      <c r="AD820" s="69" t="str">
        <f>IF($G820="","",IF($AL820=1,ReportDate-$L820,0))</f>
        <v/>
      </c>
      <c r="AE820" s="70" t="str">
        <f>IF($G820="","",IF($M820="Completed",1,IF(ISNUMBER($N820),$N820,0)))</f>
        <v/>
      </c>
      <c r="AF820" s="70" t="str">
        <f>IF(AND(ISNUMBER($Q820),ISNUMBER($R820)),IF($R820&lt;&gt;0,$Q820/$R820,""),"")</f>
        <v/>
      </c>
      <c r="AG820" s="71" t="str">
        <f>IF($G820="","",IF($AL820=1,"OVERDUE",IF($AM820=1,"BLOCKED",IF($AN820=1,"DUE TODAY",IF($AO820=1,"DUE TOMORROW",IF($AQ820=1,"HIGH PRIORITY",IF($AR820=1,"NO RECENT UPDATE",""))))))) </f>
        <v/>
      </c>
      <c r="AH820" s="71" t="str">
        <f>IF($G820="","",IF(ISNUMBER($A820),IF(ISNUMBER($A820),YEAR($A820)&amp;"-"&amp;TEXT(MONTH($A820),"00"),""),IF(ISNUMBER($L820),IF(ISNUMBER($L820),YEAR($L820)&amp;"-"&amp;TEXT(MONTH($L820),"00"),""),"")))</f>
        <v/>
      </c>
      <c r="AI820" s="71">
        <f>IF($G820="",0,IF(AND(OR(fClient="All",$C820=fClient),OR(fCampaign="All",$D820=fCampaign),OR(fTeam="All",$B820=fTeam),OR(fChannel="All",$F820=fChannel),OR(fMonth="All",$AH820=fMonth),OR(fTStatus="All",$M820=fTStatus)),1,0))</f>
        <v>0</v>
      </c>
      <c r="AJ820" s="71">
        <f>IF($G820="",0,IF(AND(OR(fClient="All",$C820=fClient),OR(fCampaign="All",$D820=fCampaign),OR(fTeam="All",$B820=fTeam),OR(fChannel="All",$F820=fChannel)),1,0))</f>
        <v>0</v>
      </c>
      <c r="AK820" s="71">
        <f>IF($G820="",0,IF(OR($M820="Completed",$M820="Cancelled"),0,1))</f>
        <v>0</v>
      </c>
      <c r="AL820" s="71">
        <f>IF(AND($AK820=1,ISNUMBER($L820)),IF($L820&lt;ReportDate,1,0),0)</f>
        <v>0</v>
      </c>
      <c r="AM820" s="71">
        <f>IF(AND($G820&lt;&gt;"",$M820="Blocked"),1,0)</f>
        <v>0</v>
      </c>
      <c r="AN820" s="71">
        <f>IF(AND($AK820=1,ISNUMBER($L820)),IF($L820=ReportDate,1,0),0)</f>
        <v>0</v>
      </c>
      <c r="AO820" s="71">
        <f>IF(AND($AK820=1,ISNUMBER($L820)),IF($L820=ReportDate+1,1,0),0)</f>
        <v>0</v>
      </c>
      <c r="AP820" s="71">
        <f>IF(AND($AK820=1,ISNUMBER($L820)),IF(AND($L820&gt;=ReportDate,$L820&lt;=ReportDate+DueSoonDays),1,0),0)</f>
        <v>0</v>
      </c>
      <c r="AQ820" s="71">
        <f>IF(AND($AK820=1,OR($I820="Critical",$I820="High")),1,0)</f>
        <v>0</v>
      </c>
      <c r="AR820" s="71">
        <f>IF($AK820=1,IF(ISNUMBER($Y820),IF(ReportDate-$Y820&gt;StaleDays,1,0),1),0)</f>
        <v>0</v>
      </c>
      <c r="AS820" s="71">
        <f>IF(AND($G820&lt;&gt;"",ISNUMBER($Q820),ISNUMBER($R820)),IF(AND($Q820&lt;$R820,OR($M820="Completed",AND(ISNUMBER($L820),$L820&lt;ReportDate))),1,0),0)</f>
        <v>0</v>
      </c>
      <c r="AT820" s="71">
        <f>IF($AK820=1,IF(OR($L820=ReportDate,$W820=ReportDate,$K820=ReportDate,$A820=ReportDate),1,0),0)</f>
        <v>0</v>
      </c>
      <c r="AU820" s="71">
        <f>IF($AK820=1,IF(OR($L820=ReportDate+1,$W820=ReportDate+1,$K820=ReportDate+1,$A820=ReportDate+1),1,0),0)</f>
        <v>0</v>
      </c>
      <c r="AV820" s="71">
        <f>IF(AND($G820&lt;&gt;"",$M820="Completed"),IF(OR($Y820=ReportDate-1,$A820=ReportDate-1),1,0),0)</f>
        <v>0</v>
      </c>
      <c r="AW820" s="71">
        <f>IF(AND($AK820=1,$Z820="Yes"),1,0)</f>
        <v>0</v>
      </c>
      <c r="AX820" s="71">
        <f>IF(AND($AK820=1,$AA820="Yes"),1,0)</f>
        <v>0</v>
      </c>
      <c r="AY820" s="71">
        <f>IF(AND($AM820=1,OR($I820="Critical",$I820="High")),1,0)</f>
        <v>0</v>
      </c>
      <c r="AZ820" s="71">
        <f>IF(AND($AK820=1,OR($C820=TCL_Client,$C820=MECCA_Client)),1,0)</f>
        <v>0</v>
      </c>
      <c r="BA820" s="71" t="str">
        <f>IF($G820="","",IFERROR(MATCH($I820,lst_Priority,0),5))</f>
        <v/>
      </c>
      <c r="BB820" s="71" t="str">
        <f>IF(AND($AL820=1,$AJ820=1),$BA820*100000+ROW(),"")</f>
        <v/>
      </c>
      <c r="BC820" s="71" t="str">
        <f>IF(AND($AM820=1,$AJ820=1),$BA820*100000+ROW(),"")</f>
        <v/>
      </c>
      <c r="BD820" s="71" t="str">
        <f>IF(AND($AP820=1,$AJ820=1),$BA820*100000+ROW(),"")</f>
        <v/>
      </c>
      <c r="BE820" s="71" t="str">
        <f>IF(AND($AT820=1,$AJ820=1),$BA820*100000+ROW(),"")</f>
        <v/>
      </c>
      <c r="BF820" s="71" t="str">
        <f>IF(AND($AU820=1,$AJ820=1),$BA820*100000+ROW(),"")</f>
        <v/>
      </c>
      <c r="BG820" s="71" t="str">
        <f>IF(AND($AV820=1,$AJ820=1),$BA820*100000+ROW(),"")</f>
        <v/>
      </c>
      <c r="BH820" s="71" t="str">
        <f>IF(AND($AW820=1,$AJ820=1),$BA820*100000+ROW(),"")</f>
        <v/>
      </c>
      <c r="BI820" s="71" t="str">
        <f>IF(AND($AX820=1,$AJ820=1),$BA820*100000+ROW(),"")</f>
        <v/>
      </c>
      <c r="BJ820" s="71" t="str">
        <f>IF(AND($AS820=1,$AJ820=1),$BA820*100000+ROW(),"")</f>
        <v/>
      </c>
      <c r="BK820" s="71" t="str">
        <f>IF(AND($AY820=1,$AJ820=1),$BA820*100000+ROW(),"")</f>
        <v/>
      </c>
      <c r="BL820" s="71" t="str">
        <f>IF(AND($AZ820=1),$BA820*100000+ROW(),"")</f>
        <v/>
      </c>
    </row>
    <row r="821">
      <c r="A821" s="63" t="n"/>
      <c r="B821" s="64" t="n"/>
      <c r="C821" s="64" t="n"/>
      <c r="D821" s="64" t="n"/>
      <c r="E821" s="64" t="n"/>
      <c r="F821" s="64" t="n"/>
      <c r="G821" s="65" t="n"/>
      <c r="H821" s="65" t="n"/>
      <c r="I821" s="64" t="n"/>
      <c r="J821" s="64" t="n"/>
      <c r="K821" s="63" t="n"/>
      <c r="L821" s="63" t="n"/>
      <c r="M821" s="64" t="n"/>
      <c r="N821" s="66" t="n"/>
      <c r="O821" s="65" t="n"/>
      <c r="P821" s="64" t="n"/>
      <c r="Q821" s="67" t="n"/>
      <c r="R821" s="67" t="n"/>
      <c r="S821" s="68" t="str">
        <f>IF(AND(ISNUMBER($Q821),ISNUMBER($R821)),$Q821-$R821,"")</f>
        <v/>
      </c>
      <c r="T821" s="65" t="n"/>
      <c r="U821" s="64" t="n"/>
      <c r="V821" s="65" t="n"/>
      <c r="W821" s="63" t="n"/>
      <c r="X821" s="65" t="n"/>
      <c r="Y821" s="63" t="n"/>
      <c r="Z821" s="64" t="n"/>
      <c r="AA821" s="64" t="n"/>
      <c r="AB821" s="65" t="n"/>
      <c r="AC821" s="69" t="str">
        <f>IF(OR($G821="",NOT(ISNUMBER($K821)),$AK821=0),"",MAX(0,ReportDate-$K821))</f>
        <v/>
      </c>
      <c r="AD821" s="69" t="str">
        <f>IF($G821="","",IF($AL821=1,ReportDate-$L821,0))</f>
        <v/>
      </c>
      <c r="AE821" s="70" t="str">
        <f>IF($G821="","",IF($M821="Completed",1,IF(ISNUMBER($N821),$N821,0)))</f>
        <v/>
      </c>
      <c r="AF821" s="70" t="str">
        <f>IF(AND(ISNUMBER($Q821),ISNUMBER($R821)),IF($R821&lt;&gt;0,$Q821/$R821,""),"")</f>
        <v/>
      </c>
      <c r="AG821" s="71" t="str">
        <f>IF($G821="","",IF($AL821=1,"OVERDUE",IF($AM821=1,"BLOCKED",IF($AN821=1,"DUE TODAY",IF($AO821=1,"DUE TOMORROW",IF($AQ821=1,"HIGH PRIORITY",IF($AR821=1,"NO RECENT UPDATE",""))))))) </f>
        <v/>
      </c>
      <c r="AH821" s="71" t="str">
        <f>IF($G821="","",IF(ISNUMBER($A821),IF(ISNUMBER($A821),YEAR($A821)&amp;"-"&amp;TEXT(MONTH($A821),"00"),""),IF(ISNUMBER($L821),IF(ISNUMBER($L821),YEAR($L821)&amp;"-"&amp;TEXT(MONTH($L821),"00"),""),"")))</f>
        <v/>
      </c>
      <c r="AI821" s="71">
        <f>IF($G821="",0,IF(AND(OR(fClient="All",$C821=fClient),OR(fCampaign="All",$D821=fCampaign),OR(fTeam="All",$B821=fTeam),OR(fChannel="All",$F821=fChannel),OR(fMonth="All",$AH821=fMonth),OR(fTStatus="All",$M821=fTStatus)),1,0))</f>
        <v>0</v>
      </c>
      <c r="AJ821" s="71">
        <f>IF($G821="",0,IF(AND(OR(fClient="All",$C821=fClient),OR(fCampaign="All",$D821=fCampaign),OR(fTeam="All",$B821=fTeam),OR(fChannel="All",$F821=fChannel)),1,0))</f>
        <v>0</v>
      </c>
      <c r="AK821" s="71">
        <f>IF($G821="",0,IF(OR($M821="Completed",$M821="Cancelled"),0,1))</f>
        <v>0</v>
      </c>
      <c r="AL821" s="71">
        <f>IF(AND($AK821=1,ISNUMBER($L821)),IF($L821&lt;ReportDate,1,0),0)</f>
        <v>0</v>
      </c>
      <c r="AM821" s="71">
        <f>IF(AND($G821&lt;&gt;"",$M821="Blocked"),1,0)</f>
        <v>0</v>
      </c>
      <c r="AN821" s="71">
        <f>IF(AND($AK821=1,ISNUMBER($L821)),IF($L821=ReportDate,1,0),0)</f>
        <v>0</v>
      </c>
      <c r="AO821" s="71">
        <f>IF(AND($AK821=1,ISNUMBER($L821)),IF($L821=ReportDate+1,1,0),0)</f>
        <v>0</v>
      </c>
      <c r="AP821" s="71">
        <f>IF(AND($AK821=1,ISNUMBER($L821)),IF(AND($L821&gt;=ReportDate,$L821&lt;=ReportDate+DueSoonDays),1,0),0)</f>
        <v>0</v>
      </c>
      <c r="AQ821" s="71">
        <f>IF(AND($AK821=1,OR($I821="Critical",$I821="High")),1,0)</f>
        <v>0</v>
      </c>
      <c r="AR821" s="71">
        <f>IF($AK821=1,IF(ISNUMBER($Y821),IF(ReportDate-$Y821&gt;StaleDays,1,0),1),0)</f>
        <v>0</v>
      </c>
      <c r="AS821" s="71">
        <f>IF(AND($G821&lt;&gt;"",ISNUMBER($Q821),ISNUMBER($R821)),IF(AND($Q821&lt;$R821,OR($M821="Completed",AND(ISNUMBER($L821),$L821&lt;ReportDate))),1,0),0)</f>
        <v>0</v>
      </c>
      <c r="AT821" s="71">
        <f>IF($AK821=1,IF(OR($L821=ReportDate,$W821=ReportDate,$K821=ReportDate,$A821=ReportDate),1,0),0)</f>
        <v>0</v>
      </c>
      <c r="AU821" s="71">
        <f>IF($AK821=1,IF(OR($L821=ReportDate+1,$W821=ReportDate+1,$K821=ReportDate+1,$A821=ReportDate+1),1,0),0)</f>
        <v>0</v>
      </c>
      <c r="AV821" s="71">
        <f>IF(AND($G821&lt;&gt;"",$M821="Completed"),IF(OR($Y821=ReportDate-1,$A821=ReportDate-1),1,0),0)</f>
        <v>0</v>
      </c>
      <c r="AW821" s="71">
        <f>IF(AND($AK821=1,$Z821="Yes"),1,0)</f>
        <v>0</v>
      </c>
      <c r="AX821" s="71">
        <f>IF(AND($AK821=1,$AA821="Yes"),1,0)</f>
        <v>0</v>
      </c>
      <c r="AY821" s="71">
        <f>IF(AND($AM821=1,OR($I821="Critical",$I821="High")),1,0)</f>
        <v>0</v>
      </c>
      <c r="AZ821" s="71">
        <f>IF(AND($AK821=1,OR($C821=TCL_Client,$C821=MECCA_Client)),1,0)</f>
        <v>0</v>
      </c>
      <c r="BA821" s="71" t="str">
        <f>IF($G821="","",IFERROR(MATCH($I821,lst_Priority,0),5))</f>
        <v/>
      </c>
      <c r="BB821" s="71" t="str">
        <f>IF(AND($AL821=1,$AJ821=1),$BA821*100000+ROW(),"")</f>
        <v/>
      </c>
      <c r="BC821" s="71" t="str">
        <f>IF(AND($AM821=1,$AJ821=1),$BA821*100000+ROW(),"")</f>
        <v/>
      </c>
      <c r="BD821" s="71" t="str">
        <f>IF(AND($AP821=1,$AJ821=1),$BA821*100000+ROW(),"")</f>
        <v/>
      </c>
      <c r="BE821" s="71" t="str">
        <f>IF(AND($AT821=1,$AJ821=1),$BA821*100000+ROW(),"")</f>
        <v/>
      </c>
      <c r="BF821" s="71" t="str">
        <f>IF(AND($AU821=1,$AJ821=1),$BA821*100000+ROW(),"")</f>
        <v/>
      </c>
      <c r="BG821" s="71" t="str">
        <f>IF(AND($AV821=1,$AJ821=1),$BA821*100000+ROW(),"")</f>
        <v/>
      </c>
      <c r="BH821" s="71" t="str">
        <f>IF(AND($AW821=1,$AJ821=1),$BA821*100000+ROW(),"")</f>
        <v/>
      </c>
      <c r="BI821" s="71" t="str">
        <f>IF(AND($AX821=1,$AJ821=1),$BA821*100000+ROW(),"")</f>
        <v/>
      </c>
      <c r="BJ821" s="71" t="str">
        <f>IF(AND($AS821=1,$AJ821=1),$BA821*100000+ROW(),"")</f>
        <v/>
      </c>
      <c r="BK821" s="71" t="str">
        <f>IF(AND($AY821=1,$AJ821=1),$BA821*100000+ROW(),"")</f>
        <v/>
      </c>
      <c r="BL821" s="71" t="str">
        <f>IF(AND($AZ821=1),$BA821*100000+ROW(),"")</f>
        <v/>
      </c>
    </row>
    <row r="822">
      <c r="A822" s="63" t="n"/>
      <c r="B822" s="64" t="n"/>
      <c r="C822" s="64" t="n"/>
      <c r="D822" s="64" t="n"/>
      <c r="E822" s="64" t="n"/>
      <c r="F822" s="64" t="n"/>
      <c r="G822" s="65" t="n"/>
      <c r="H822" s="65" t="n"/>
      <c r="I822" s="64" t="n"/>
      <c r="J822" s="64" t="n"/>
      <c r="K822" s="63" t="n"/>
      <c r="L822" s="63" t="n"/>
      <c r="M822" s="64" t="n"/>
      <c r="N822" s="66" t="n"/>
      <c r="O822" s="65" t="n"/>
      <c r="P822" s="64" t="n"/>
      <c r="Q822" s="67" t="n"/>
      <c r="R822" s="67" t="n"/>
      <c r="S822" s="68" t="str">
        <f>IF(AND(ISNUMBER($Q822),ISNUMBER($R822)),$Q822-$R822,"")</f>
        <v/>
      </c>
      <c r="T822" s="65" t="n"/>
      <c r="U822" s="64" t="n"/>
      <c r="V822" s="65" t="n"/>
      <c r="W822" s="63" t="n"/>
      <c r="X822" s="65" t="n"/>
      <c r="Y822" s="63" t="n"/>
      <c r="Z822" s="64" t="n"/>
      <c r="AA822" s="64" t="n"/>
      <c r="AB822" s="65" t="n"/>
      <c r="AC822" s="69" t="str">
        <f>IF(OR($G822="",NOT(ISNUMBER($K822)),$AK822=0),"",MAX(0,ReportDate-$K822))</f>
        <v/>
      </c>
      <c r="AD822" s="69" t="str">
        <f>IF($G822="","",IF($AL822=1,ReportDate-$L822,0))</f>
        <v/>
      </c>
      <c r="AE822" s="70" t="str">
        <f>IF($G822="","",IF($M822="Completed",1,IF(ISNUMBER($N822),$N822,0)))</f>
        <v/>
      </c>
      <c r="AF822" s="70" t="str">
        <f>IF(AND(ISNUMBER($Q822),ISNUMBER($R822)),IF($R822&lt;&gt;0,$Q822/$R822,""),"")</f>
        <v/>
      </c>
      <c r="AG822" s="71" t="str">
        <f>IF($G822="","",IF($AL822=1,"OVERDUE",IF($AM822=1,"BLOCKED",IF($AN822=1,"DUE TODAY",IF($AO822=1,"DUE TOMORROW",IF($AQ822=1,"HIGH PRIORITY",IF($AR822=1,"NO RECENT UPDATE",""))))))) </f>
        <v/>
      </c>
      <c r="AH822" s="71" t="str">
        <f>IF($G822="","",IF(ISNUMBER($A822),IF(ISNUMBER($A822),YEAR($A822)&amp;"-"&amp;TEXT(MONTH($A822),"00"),""),IF(ISNUMBER($L822),IF(ISNUMBER($L822),YEAR($L822)&amp;"-"&amp;TEXT(MONTH($L822),"00"),""),"")))</f>
        <v/>
      </c>
      <c r="AI822" s="71">
        <f>IF($G822="",0,IF(AND(OR(fClient="All",$C822=fClient),OR(fCampaign="All",$D822=fCampaign),OR(fTeam="All",$B822=fTeam),OR(fChannel="All",$F822=fChannel),OR(fMonth="All",$AH822=fMonth),OR(fTStatus="All",$M822=fTStatus)),1,0))</f>
        <v>0</v>
      </c>
      <c r="AJ822" s="71">
        <f>IF($G822="",0,IF(AND(OR(fClient="All",$C822=fClient),OR(fCampaign="All",$D822=fCampaign),OR(fTeam="All",$B822=fTeam),OR(fChannel="All",$F822=fChannel)),1,0))</f>
        <v>0</v>
      </c>
      <c r="AK822" s="71">
        <f>IF($G822="",0,IF(OR($M822="Completed",$M822="Cancelled"),0,1))</f>
        <v>0</v>
      </c>
      <c r="AL822" s="71">
        <f>IF(AND($AK822=1,ISNUMBER($L822)),IF($L822&lt;ReportDate,1,0),0)</f>
        <v>0</v>
      </c>
      <c r="AM822" s="71">
        <f>IF(AND($G822&lt;&gt;"",$M822="Blocked"),1,0)</f>
        <v>0</v>
      </c>
      <c r="AN822" s="71">
        <f>IF(AND($AK822=1,ISNUMBER($L822)),IF($L822=ReportDate,1,0),0)</f>
        <v>0</v>
      </c>
      <c r="AO822" s="71">
        <f>IF(AND($AK822=1,ISNUMBER($L822)),IF($L822=ReportDate+1,1,0),0)</f>
        <v>0</v>
      </c>
      <c r="AP822" s="71">
        <f>IF(AND($AK822=1,ISNUMBER($L822)),IF(AND($L822&gt;=ReportDate,$L822&lt;=ReportDate+DueSoonDays),1,0),0)</f>
        <v>0</v>
      </c>
      <c r="AQ822" s="71">
        <f>IF(AND($AK822=1,OR($I822="Critical",$I822="High")),1,0)</f>
        <v>0</v>
      </c>
      <c r="AR822" s="71">
        <f>IF($AK822=1,IF(ISNUMBER($Y822),IF(ReportDate-$Y822&gt;StaleDays,1,0),1),0)</f>
        <v>0</v>
      </c>
      <c r="AS822" s="71">
        <f>IF(AND($G822&lt;&gt;"",ISNUMBER($Q822),ISNUMBER($R822)),IF(AND($Q822&lt;$R822,OR($M822="Completed",AND(ISNUMBER($L822),$L822&lt;ReportDate))),1,0),0)</f>
        <v>0</v>
      </c>
      <c r="AT822" s="71">
        <f>IF($AK822=1,IF(OR($L822=ReportDate,$W822=ReportDate,$K822=ReportDate,$A822=ReportDate),1,0),0)</f>
        <v>0</v>
      </c>
      <c r="AU822" s="71">
        <f>IF($AK822=1,IF(OR($L822=ReportDate+1,$W822=ReportDate+1,$K822=ReportDate+1,$A822=ReportDate+1),1,0),0)</f>
        <v>0</v>
      </c>
      <c r="AV822" s="71">
        <f>IF(AND($G822&lt;&gt;"",$M822="Completed"),IF(OR($Y822=ReportDate-1,$A822=ReportDate-1),1,0),0)</f>
        <v>0</v>
      </c>
      <c r="AW822" s="71">
        <f>IF(AND($AK822=1,$Z822="Yes"),1,0)</f>
        <v>0</v>
      </c>
      <c r="AX822" s="71">
        <f>IF(AND($AK822=1,$AA822="Yes"),1,0)</f>
        <v>0</v>
      </c>
      <c r="AY822" s="71">
        <f>IF(AND($AM822=1,OR($I822="Critical",$I822="High")),1,0)</f>
        <v>0</v>
      </c>
      <c r="AZ822" s="71">
        <f>IF(AND($AK822=1,OR($C822=TCL_Client,$C822=MECCA_Client)),1,0)</f>
        <v>0</v>
      </c>
      <c r="BA822" s="71" t="str">
        <f>IF($G822="","",IFERROR(MATCH($I822,lst_Priority,0),5))</f>
        <v/>
      </c>
      <c r="BB822" s="71" t="str">
        <f>IF(AND($AL822=1,$AJ822=1),$BA822*100000+ROW(),"")</f>
        <v/>
      </c>
      <c r="BC822" s="71" t="str">
        <f>IF(AND($AM822=1,$AJ822=1),$BA822*100000+ROW(),"")</f>
        <v/>
      </c>
      <c r="BD822" s="71" t="str">
        <f>IF(AND($AP822=1,$AJ822=1),$BA822*100000+ROW(),"")</f>
        <v/>
      </c>
      <c r="BE822" s="71" t="str">
        <f>IF(AND($AT822=1,$AJ822=1),$BA822*100000+ROW(),"")</f>
        <v/>
      </c>
      <c r="BF822" s="71" t="str">
        <f>IF(AND($AU822=1,$AJ822=1),$BA822*100000+ROW(),"")</f>
        <v/>
      </c>
      <c r="BG822" s="71" t="str">
        <f>IF(AND($AV822=1,$AJ822=1),$BA822*100000+ROW(),"")</f>
        <v/>
      </c>
      <c r="BH822" s="71" t="str">
        <f>IF(AND($AW822=1,$AJ822=1),$BA822*100000+ROW(),"")</f>
        <v/>
      </c>
      <c r="BI822" s="71" t="str">
        <f>IF(AND($AX822=1,$AJ822=1),$BA822*100000+ROW(),"")</f>
        <v/>
      </c>
      <c r="BJ822" s="71" t="str">
        <f>IF(AND($AS822=1,$AJ822=1),$BA822*100000+ROW(),"")</f>
        <v/>
      </c>
      <c r="BK822" s="71" t="str">
        <f>IF(AND($AY822=1,$AJ822=1),$BA822*100000+ROW(),"")</f>
        <v/>
      </c>
      <c r="BL822" s="71" t="str">
        <f>IF(AND($AZ822=1),$BA822*100000+ROW(),"")</f>
        <v/>
      </c>
    </row>
    <row r="823">
      <c r="A823" s="63" t="n"/>
      <c r="B823" s="64" t="n"/>
      <c r="C823" s="64" t="n"/>
      <c r="D823" s="64" t="n"/>
      <c r="E823" s="64" t="n"/>
      <c r="F823" s="64" t="n"/>
      <c r="G823" s="65" t="n"/>
      <c r="H823" s="65" t="n"/>
      <c r="I823" s="64" t="n"/>
      <c r="J823" s="64" t="n"/>
      <c r="K823" s="63" t="n"/>
      <c r="L823" s="63" t="n"/>
      <c r="M823" s="64" t="n"/>
      <c r="N823" s="66" t="n"/>
      <c r="O823" s="65" t="n"/>
      <c r="P823" s="64" t="n"/>
      <c r="Q823" s="67" t="n"/>
      <c r="R823" s="67" t="n"/>
      <c r="S823" s="68" t="str">
        <f>IF(AND(ISNUMBER($Q823),ISNUMBER($R823)),$Q823-$R823,"")</f>
        <v/>
      </c>
      <c r="T823" s="65" t="n"/>
      <c r="U823" s="64" t="n"/>
      <c r="V823" s="65" t="n"/>
      <c r="W823" s="63" t="n"/>
      <c r="X823" s="65" t="n"/>
      <c r="Y823" s="63" t="n"/>
      <c r="Z823" s="64" t="n"/>
      <c r="AA823" s="64" t="n"/>
      <c r="AB823" s="65" t="n"/>
      <c r="AC823" s="69" t="str">
        <f>IF(OR($G823="",NOT(ISNUMBER($K823)),$AK823=0),"",MAX(0,ReportDate-$K823))</f>
        <v/>
      </c>
      <c r="AD823" s="69" t="str">
        <f>IF($G823="","",IF($AL823=1,ReportDate-$L823,0))</f>
        <v/>
      </c>
      <c r="AE823" s="70" t="str">
        <f>IF($G823="","",IF($M823="Completed",1,IF(ISNUMBER($N823),$N823,0)))</f>
        <v/>
      </c>
      <c r="AF823" s="70" t="str">
        <f>IF(AND(ISNUMBER($Q823),ISNUMBER($R823)),IF($R823&lt;&gt;0,$Q823/$R823,""),"")</f>
        <v/>
      </c>
      <c r="AG823" s="71" t="str">
        <f>IF($G823="","",IF($AL823=1,"OVERDUE",IF($AM823=1,"BLOCKED",IF($AN823=1,"DUE TODAY",IF($AO823=1,"DUE TOMORROW",IF($AQ823=1,"HIGH PRIORITY",IF($AR823=1,"NO RECENT UPDATE",""))))))) </f>
        <v/>
      </c>
      <c r="AH823" s="71" t="str">
        <f>IF($G823="","",IF(ISNUMBER($A823),IF(ISNUMBER($A823),YEAR($A823)&amp;"-"&amp;TEXT(MONTH($A823),"00"),""),IF(ISNUMBER($L823),IF(ISNUMBER($L823),YEAR($L823)&amp;"-"&amp;TEXT(MONTH($L823),"00"),""),"")))</f>
        <v/>
      </c>
      <c r="AI823" s="71">
        <f>IF($G823="",0,IF(AND(OR(fClient="All",$C823=fClient),OR(fCampaign="All",$D823=fCampaign),OR(fTeam="All",$B823=fTeam),OR(fChannel="All",$F823=fChannel),OR(fMonth="All",$AH823=fMonth),OR(fTStatus="All",$M823=fTStatus)),1,0))</f>
        <v>0</v>
      </c>
      <c r="AJ823" s="71">
        <f>IF($G823="",0,IF(AND(OR(fClient="All",$C823=fClient),OR(fCampaign="All",$D823=fCampaign),OR(fTeam="All",$B823=fTeam),OR(fChannel="All",$F823=fChannel)),1,0))</f>
        <v>0</v>
      </c>
      <c r="AK823" s="71">
        <f>IF($G823="",0,IF(OR($M823="Completed",$M823="Cancelled"),0,1))</f>
        <v>0</v>
      </c>
      <c r="AL823" s="71">
        <f>IF(AND($AK823=1,ISNUMBER($L823)),IF($L823&lt;ReportDate,1,0),0)</f>
        <v>0</v>
      </c>
      <c r="AM823" s="71">
        <f>IF(AND($G823&lt;&gt;"",$M823="Blocked"),1,0)</f>
        <v>0</v>
      </c>
      <c r="AN823" s="71">
        <f>IF(AND($AK823=1,ISNUMBER($L823)),IF($L823=ReportDate,1,0),0)</f>
        <v>0</v>
      </c>
      <c r="AO823" s="71">
        <f>IF(AND($AK823=1,ISNUMBER($L823)),IF($L823=ReportDate+1,1,0),0)</f>
        <v>0</v>
      </c>
      <c r="AP823" s="71">
        <f>IF(AND($AK823=1,ISNUMBER($L823)),IF(AND($L823&gt;=ReportDate,$L823&lt;=ReportDate+DueSoonDays),1,0),0)</f>
        <v>0</v>
      </c>
      <c r="AQ823" s="71">
        <f>IF(AND($AK823=1,OR($I823="Critical",$I823="High")),1,0)</f>
        <v>0</v>
      </c>
      <c r="AR823" s="71">
        <f>IF($AK823=1,IF(ISNUMBER($Y823),IF(ReportDate-$Y823&gt;StaleDays,1,0),1),0)</f>
        <v>0</v>
      </c>
      <c r="AS823" s="71">
        <f>IF(AND($G823&lt;&gt;"",ISNUMBER($Q823),ISNUMBER($R823)),IF(AND($Q823&lt;$R823,OR($M823="Completed",AND(ISNUMBER($L823),$L823&lt;ReportDate))),1,0),0)</f>
        <v>0</v>
      </c>
      <c r="AT823" s="71">
        <f>IF($AK823=1,IF(OR($L823=ReportDate,$W823=ReportDate,$K823=ReportDate,$A823=ReportDate),1,0),0)</f>
        <v>0</v>
      </c>
      <c r="AU823" s="71">
        <f>IF($AK823=1,IF(OR($L823=ReportDate+1,$W823=ReportDate+1,$K823=ReportDate+1,$A823=ReportDate+1),1,0),0)</f>
        <v>0</v>
      </c>
      <c r="AV823" s="71">
        <f>IF(AND($G823&lt;&gt;"",$M823="Completed"),IF(OR($Y823=ReportDate-1,$A823=ReportDate-1),1,0),0)</f>
        <v>0</v>
      </c>
      <c r="AW823" s="71">
        <f>IF(AND($AK823=1,$Z823="Yes"),1,0)</f>
        <v>0</v>
      </c>
      <c r="AX823" s="71">
        <f>IF(AND($AK823=1,$AA823="Yes"),1,0)</f>
        <v>0</v>
      </c>
      <c r="AY823" s="71">
        <f>IF(AND($AM823=1,OR($I823="Critical",$I823="High")),1,0)</f>
        <v>0</v>
      </c>
      <c r="AZ823" s="71">
        <f>IF(AND($AK823=1,OR($C823=TCL_Client,$C823=MECCA_Client)),1,0)</f>
        <v>0</v>
      </c>
      <c r="BA823" s="71" t="str">
        <f>IF($G823="","",IFERROR(MATCH($I823,lst_Priority,0),5))</f>
        <v/>
      </c>
      <c r="BB823" s="71" t="str">
        <f>IF(AND($AL823=1,$AJ823=1),$BA823*100000+ROW(),"")</f>
        <v/>
      </c>
      <c r="BC823" s="71" t="str">
        <f>IF(AND($AM823=1,$AJ823=1),$BA823*100000+ROW(),"")</f>
        <v/>
      </c>
      <c r="BD823" s="71" t="str">
        <f>IF(AND($AP823=1,$AJ823=1),$BA823*100000+ROW(),"")</f>
        <v/>
      </c>
      <c r="BE823" s="71" t="str">
        <f>IF(AND($AT823=1,$AJ823=1),$BA823*100000+ROW(),"")</f>
        <v/>
      </c>
      <c r="BF823" s="71" t="str">
        <f>IF(AND($AU823=1,$AJ823=1),$BA823*100000+ROW(),"")</f>
        <v/>
      </c>
      <c r="BG823" s="71" t="str">
        <f>IF(AND($AV823=1,$AJ823=1),$BA823*100000+ROW(),"")</f>
        <v/>
      </c>
      <c r="BH823" s="71" t="str">
        <f>IF(AND($AW823=1,$AJ823=1),$BA823*100000+ROW(),"")</f>
        <v/>
      </c>
      <c r="BI823" s="71" t="str">
        <f>IF(AND($AX823=1,$AJ823=1),$BA823*100000+ROW(),"")</f>
        <v/>
      </c>
      <c r="BJ823" s="71" t="str">
        <f>IF(AND($AS823=1,$AJ823=1),$BA823*100000+ROW(),"")</f>
        <v/>
      </c>
      <c r="BK823" s="71" t="str">
        <f>IF(AND($AY823=1,$AJ823=1),$BA823*100000+ROW(),"")</f>
        <v/>
      </c>
      <c r="BL823" s="71" t="str">
        <f>IF(AND($AZ823=1),$BA823*100000+ROW(),"")</f>
        <v/>
      </c>
    </row>
    <row r="824">
      <c r="A824" s="63" t="n"/>
      <c r="B824" s="64" t="n"/>
      <c r="C824" s="64" t="n"/>
      <c r="D824" s="64" t="n"/>
      <c r="E824" s="64" t="n"/>
      <c r="F824" s="64" t="n"/>
      <c r="G824" s="65" t="n"/>
      <c r="H824" s="65" t="n"/>
      <c r="I824" s="64" t="n"/>
      <c r="J824" s="64" t="n"/>
      <c r="K824" s="63" t="n"/>
      <c r="L824" s="63" t="n"/>
      <c r="M824" s="64" t="n"/>
      <c r="N824" s="66" t="n"/>
      <c r="O824" s="65" t="n"/>
      <c r="P824" s="64" t="n"/>
      <c r="Q824" s="67" t="n"/>
      <c r="R824" s="67" t="n"/>
      <c r="S824" s="68" t="str">
        <f>IF(AND(ISNUMBER($Q824),ISNUMBER($R824)),$Q824-$R824,"")</f>
        <v/>
      </c>
      <c r="T824" s="65" t="n"/>
      <c r="U824" s="64" t="n"/>
      <c r="V824" s="65" t="n"/>
      <c r="W824" s="63" t="n"/>
      <c r="X824" s="65" t="n"/>
      <c r="Y824" s="63" t="n"/>
      <c r="Z824" s="64" t="n"/>
      <c r="AA824" s="64" t="n"/>
      <c r="AB824" s="65" t="n"/>
      <c r="AC824" s="69" t="str">
        <f>IF(OR($G824="",NOT(ISNUMBER($K824)),$AK824=0),"",MAX(0,ReportDate-$K824))</f>
        <v/>
      </c>
      <c r="AD824" s="69" t="str">
        <f>IF($G824="","",IF($AL824=1,ReportDate-$L824,0))</f>
        <v/>
      </c>
      <c r="AE824" s="70" t="str">
        <f>IF($G824="","",IF($M824="Completed",1,IF(ISNUMBER($N824),$N824,0)))</f>
        <v/>
      </c>
      <c r="AF824" s="70" t="str">
        <f>IF(AND(ISNUMBER($Q824),ISNUMBER($R824)),IF($R824&lt;&gt;0,$Q824/$R824,""),"")</f>
        <v/>
      </c>
      <c r="AG824" s="71" t="str">
        <f>IF($G824="","",IF($AL824=1,"OVERDUE",IF($AM824=1,"BLOCKED",IF($AN824=1,"DUE TODAY",IF($AO824=1,"DUE TOMORROW",IF($AQ824=1,"HIGH PRIORITY",IF($AR824=1,"NO RECENT UPDATE",""))))))) </f>
        <v/>
      </c>
      <c r="AH824" s="71" t="str">
        <f>IF($G824="","",IF(ISNUMBER($A824),IF(ISNUMBER($A824),YEAR($A824)&amp;"-"&amp;TEXT(MONTH($A824),"00"),""),IF(ISNUMBER($L824),IF(ISNUMBER($L824),YEAR($L824)&amp;"-"&amp;TEXT(MONTH($L824),"00"),""),"")))</f>
        <v/>
      </c>
      <c r="AI824" s="71">
        <f>IF($G824="",0,IF(AND(OR(fClient="All",$C824=fClient),OR(fCampaign="All",$D824=fCampaign),OR(fTeam="All",$B824=fTeam),OR(fChannel="All",$F824=fChannel),OR(fMonth="All",$AH824=fMonth),OR(fTStatus="All",$M824=fTStatus)),1,0))</f>
        <v>0</v>
      </c>
      <c r="AJ824" s="71">
        <f>IF($G824="",0,IF(AND(OR(fClient="All",$C824=fClient),OR(fCampaign="All",$D824=fCampaign),OR(fTeam="All",$B824=fTeam),OR(fChannel="All",$F824=fChannel)),1,0))</f>
        <v>0</v>
      </c>
      <c r="AK824" s="71">
        <f>IF($G824="",0,IF(OR($M824="Completed",$M824="Cancelled"),0,1))</f>
        <v>0</v>
      </c>
      <c r="AL824" s="71">
        <f>IF(AND($AK824=1,ISNUMBER($L824)),IF($L824&lt;ReportDate,1,0),0)</f>
        <v>0</v>
      </c>
      <c r="AM824" s="71">
        <f>IF(AND($G824&lt;&gt;"",$M824="Blocked"),1,0)</f>
        <v>0</v>
      </c>
      <c r="AN824" s="71">
        <f>IF(AND($AK824=1,ISNUMBER($L824)),IF($L824=ReportDate,1,0),0)</f>
        <v>0</v>
      </c>
      <c r="AO824" s="71">
        <f>IF(AND($AK824=1,ISNUMBER($L824)),IF($L824=ReportDate+1,1,0),0)</f>
        <v>0</v>
      </c>
      <c r="AP824" s="71">
        <f>IF(AND($AK824=1,ISNUMBER($L824)),IF(AND($L824&gt;=ReportDate,$L824&lt;=ReportDate+DueSoonDays),1,0),0)</f>
        <v>0</v>
      </c>
      <c r="AQ824" s="71">
        <f>IF(AND($AK824=1,OR($I824="Critical",$I824="High")),1,0)</f>
        <v>0</v>
      </c>
      <c r="AR824" s="71">
        <f>IF($AK824=1,IF(ISNUMBER($Y824),IF(ReportDate-$Y824&gt;StaleDays,1,0),1),0)</f>
        <v>0</v>
      </c>
      <c r="AS824" s="71">
        <f>IF(AND($G824&lt;&gt;"",ISNUMBER($Q824),ISNUMBER($R824)),IF(AND($Q824&lt;$R824,OR($M824="Completed",AND(ISNUMBER($L824),$L824&lt;ReportDate))),1,0),0)</f>
        <v>0</v>
      </c>
      <c r="AT824" s="71">
        <f>IF($AK824=1,IF(OR($L824=ReportDate,$W824=ReportDate,$K824=ReportDate,$A824=ReportDate),1,0),0)</f>
        <v>0</v>
      </c>
      <c r="AU824" s="71">
        <f>IF($AK824=1,IF(OR($L824=ReportDate+1,$W824=ReportDate+1,$K824=ReportDate+1,$A824=ReportDate+1),1,0),0)</f>
        <v>0</v>
      </c>
      <c r="AV824" s="71">
        <f>IF(AND($G824&lt;&gt;"",$M824="Completed"),IF(OR($Y824=ReportDate-1,$A824=ReportDate-1),1,0),0)</f>
        <v>0</v>
      </c>
      <c r="AW824" s="71">
        <f>IF(AND($AK824=1,$Z824="Yes"),1,0)</f>
        <v>0</v>
      </c>
      <c r="AX824" s="71">
        <f>IF(AND($AK824=1,$AA824="Yes"),1,0)</f>
        <v>0</v>
      </c>
      <c r="AY824" s="71">
        <f>IF(AND($AM824=1,OR($I824="Critical",$I824="High")),1,0)</f>
        <v>0</v>
      </c>
      <c r="AZ824" s="71">
        <f>IF(AND($AK824=1,OR($C824=TCL_Client,$C824=MECCA_Client)),1,0)</f>
        <v>0</v>
      </c>
      <c r="BA824" s="71" t="str">
        <f>IF($G824="","",IFERROR(MATCH($I824,lst_Priority,0),5))</f>
        <v/>
      </c>
      <c r="BB824" s="71" t="str">
        <f>IF(AND($AL824=1,$AJ824=1),$BA824*100000+ROW(),"")</f>
        <v/>
      </c>
      <c r="BC824" s="71" t="str">
        <f>IF(AND($AM824=1,$AJ824=1),$BA824*100000+ROW(),"")</f>
        <v/>
      </c>
      <c r="BD824" s="71" t="str">
        <f>IF(AND($AP824=1,$AJ824=1),$BA824*100000+ROW(),"")</f>
        <v/>
      </c>
      <c r="BE824" s="71" t="str">
        <f>IF(AND($AT824=1,$AJ824=1),$BA824*100000+ROW(),"")</f>
        <v/>
      </c>
      <c r="BF824" s="71" t="str">
        <f>IF(AND($AU824=1,$AJ824=1),$BA824*100000+ROW(),"")</f>
        <v/>
      </c>
      <c r="BG824" s="71" t="str">
        <f>IF(AND($AV824=1,$AJ824=1),$BA824*100000+ROW(),"")</f>
        <v/>
      </c>
      <c r="BH824" s="71" t="str">
        <f>IF(AND($AW824=1,$AJ824=1),$BA824*100000+ROW(),"")</f>
        <v/>
      </c>
      <c r="BI824" s="71" t="str">
        <f>IF(AND($AX824=1,$AJ824=1),$BA824*100000+ROW(),"")</f>
        <v/>
      </c>
      <c r="BJ824" s="71" t="str">
        <f>IF(AND($AS824=1,$AJ824=1),$BA824*100000+ROW(),"")</f>
        <v/>
      </c>
      <c r="BK824" s="71" t="str">
        <f>IF(AND($AY824=1,$AJ824=1),$BA824*100000+ROW(),"")</f>
        <v/>
      </c>
      <c r="BL824" s="71" t="str">
        <f>IF(AND($AZ824=1),$BA824*100000+ROW(),"")</f>
        <v/>
      </c>
    </row>
    <row r="825">
      <c r="A825" s="63" t="n"/>
      <c r="B825" s="64" t="n"/>
      <c r="C825" s="64" t="n"/>
      <c r="D825" s="64" t="n"/>
      <c r="E825" s="64" t="n"/>
      <c r="F825" s="64" t="n"/>
      <c r="G825" s="65" t="n"/>
      <c r="H825" s="65" t="n"/>
      <c r="I825" s="64" t="n"/>
      <c r="J825" s="64" t="n"/>
      <c r="K825" s="63" t="n"/>
      <c r="L825" s="63" t="n"/>
      <c r="M825" s="64" t="n"/>
      <c r="N825" s="66" t="n"/>
      <c r="O825" s="65" t="n"/>
      <c r="P825" s="64" t="n"/>
      <c r="Q825" s="67" t="n"/>
      <c r="R825" s="67" t="n"/>
      <c r="S825" s="68" t="str">
        <f>IF(AND(ISNUMBER($Q825),ISNUMBER($R825)),$Q825-$R825,"")</f>
        <v/>
      </c>
      <c r="T825" s="65" t="n"/>
      <c r="U825" s="64" t="n"/>
      <c r="V825" s="65" t="n"/>
      <c r="W825" s="63" t="n"/>
      <c r="X825" s="65" t="n"/>
      <c r="Y825" s="63" t="n"/>
      <c r="Z825" s="64" t="n"/>
      <c r="AA825" s="64" t="n"/>
      <c r="AB825" s="65" t="n"/>
      <c r="AC825" s="69" t="str">
        <f>IF(OR($G825="",NOT(ISNUMBER($K825)),$AK825=0),"",MAX(0,ReportDate-$K825))</f>
        <v/>
      </c>
      <c r="AD825" s="69" t="str">
        <f>IF($G825="","",IF($AL825=1,ReportDate-$L825,0))</f>
        <v/>
      </c>
      <c r="AE825" s="70" t="str">
        <f>IF($G825="","",IF($M825="Completed",1,IF(ISNUMBER($N825),$N825,0)))</f>
        <v/>
      </c>
      <c r="AF825" s="70" t="str">
        <f>IF(AND(ISNUMBER($Q825),ISNUMBER($R825)),IF($R825&lt;&gt;0,$Q825/$R825,""),"")</f>
        <v/>
      </c>
      <c r="AG825" s="71" t="str">
        <f>IF($G825="","",IF($AL825=1,"OVERDUE",IF($AM825=1,"BLOCKED",IF($AN825=1,"DUE TODAY",IF($AO825=1,"DUE TOMORROW",IF($AQ825=1,"HIGH PRIORITY",IF($AR825=1,"NO RECENT UPDATE",""))))))) </f>
        <v/>
      </c>
      <c r="AH825" s="71" t="str">
        <f>IF($G825="","",IF(ISNUMBER($A825),IF(ISNUMBER($A825),YEAR($A825)&amp;"-"&amp;TEXT(MONTH($A825),"00"),""),IF(ISNUMBER($L825),IF(ISNUMBER($L825),YEAR($L825)&amp;"-"&amp;TEXT(MONTH($L825),"00"),""),"")))</f>
        <v/>
      </c>
      <c r="AI825" s="71">
        <f>IF($G825="",0,IF(AND(OR(fClient="All",$C825=fClient),OR(fCampaign="All",$D825=fCampaign),OR(fTeam="All",$B825=fTeam),OR(fChannel="All",$F825=fChannel),OR(fMonth="All",$AH825=fMonth),OR(fTStatus="All",$M825=fTStatus)),1,0))</f>
        <v>0</v>
      </c>
      <c r="AJ825" s="71">
        <f>IF($G825="",0,IF(AND(OR(fClient="All",$C825=fClient),OR(fCampaign="All",$D825=fCampaign),OR(fTeam="All",$B825=fTeam),OR(fChannel="All",$F825=fChannel)),1,0))</f>
        <v>0</v>
      </c>
      <c r="AK825" s="71">
        <f>IF($G825="",0,IF(OR($M825="Completed",$M825="Cancelled"),0,1))</f>
        <v>0</v>
      </c>
      <c r="AL825" s="71">
        <f>IF(AND($AK825=1,ISNUMBER($L825)),IF($L825&lt;ReportDate,1,0),0)</f>
        <v>0</v>
      </c>
      <c r="AM825" s="71">
        <f>IF(AND($G825&lt;&gt;"",$M825="Blocked"),1,0)</f>
        <v>0</v>
      </c>
      <c r="AN825" s="71">
        <f>IF(AND($AK825=1,ISNUMBER($L825)),IF($L825=ReportDate,1,0),0)</f>
        <v>0</v>
      </c>
      <c r="AO825" s="71">
        <f>IF(AND($AK825=1,ISNUMBER($L825)),IF($L825=ReportDate+1,1,0),0)</f>
        <v>0</v>
      </c>
      <c r="AP825" s="71">
        <f>IF(AND($AK825=1,ISNUMBER($L825)),IF(AND($L825&gt;=ReportDate,$L825&lt;=ReportDate+DueSoonDays),1,0),0)</f>
        <v>0</v>
      </c>
      <c r="AQ825" s="71">
        <f>IF(AND($AK825=1,OR($I825="Critical",$I825="High")),1,0)</f>
        <v>0</v>
      </c>
      <c r="AR825" s="71">
        <f>IF($AK825=1,IF(ISNUMBER($Y825),IF(ReportDate-$Y825&gt;StaleDays,1,0),1),0)</f>
        <v>0</v>
      </c>
      <c r="AS825" s="71">
        <f>IF(AND($G825&lt;&gt;"",ISNUMBER($Q825),ISNUMBER($R825)),IF(AND($Q825&lt;$R825,OR($M825="Completed",AND(ISNUMBER($L825),$L825&lt;ReportDate))),1,0),0)</f>
        <v>0</v>
      </c>
      <c r="AT825" s="71">
        <f>IF($AK825=1,IF(OR($L825=ReportDate,$W825=ReportDate,$K825=ReportDate,$A825=ReportDate),1,0),0)</f>
        <v>0</v>
      </c>
      <c r="AU825" s="71">
        <f>IF($AK825=1,IF(OR($L825=ReportDate+1,$W825=ReportDate+1,$K825=ReportDate+1,$A825=ReportDate+1),1,0),0)</f>
        <v>0</v>
      </c>
      <c r="AV825" s="71">
        <f>IF(AND($G825&lt;&gt;"",$M825="Completed"),IF(OR($Y825=ReportDate-1,$A825=ReportDate-1),1,0),0)</f>
        <v>0</v>
      </c>
      <c r="AW825" s="71">
        <f>IF(AND($AK825=1,$Z825="Yes"),1,0)</f>
        <v>0</v>
      </c>
      <c r="AX825" s="71">
        <f>IF(AND($AK825=1,$AA825="Yes"),1,0)</f>
        <v>0</v>
      </c>
      <c r="AY825" s="71">
        <f>IF(AND($AM825=1,OR($I825="Critical",$I825="High")),1,0)</f>
        <v>0</v>
      </c>
      <c r="AZ825" s="71">
        <f>IF(AND($AK825=1,OR($C825=TCL_Client,$C825=MECCA_Client)),1,0)</f>
        <v>0</v>
      </c>
      <c r="BA825" s="71" t="str">
        <f>IF($G825="","",IFERROR(MATCH($I825,lst_Priority,0),5))</f>
        <v/>
      </c>
      <c r="BB825" s="71" t="str">
        <f>IF(AND($AL825=1,$AJ825=1),$BA825*100000+ROW(),"")</f>
        <v/>
      </c>
      <c r="BC825" s="71" t="str">
        <f>IF(AND($AM825=1,$AJ825=1),$BA825*100000+ROW(),"")</f>
        <v/>
      </c>
      <c r="BD825" s="71" t="str">
        <f>IF(AND($AP825=1,$AJ825=1),$BA825*100000+ROW(),"")</f>
        <v/>
      </c>
      <c r="BE825" s="71" t="str">
        <f>IF(AND($AT825=1,$AJ825=1),$BA825*100000+ROW(),"")</f>
        <v/>
      </c>
      <c r="BF825" s="71" t="str">
        <f>IF(AND($AU825=1,$AJ825=1),$BA825*100000+ROW(),"")</f>
        <v/>
      </c>
      <c r="BG825" s="71" t="str">
        <f>IF(AND($AV825=1,$AJ825=1),$BA825*100000+ROW(),"")</f>
        <v/>
      </c>
      <c r="BH825" s="71" t="str">
        <f>IF(AND($AW825=1,$AJ825=1),$BA825*100000+ROW(),"")</f>
        <v/>
      </c>
      <c r="BI825" s="71" t="str">
        <f>IF(AND($AX825=1,$AJ825=1),$BA825*100000+ROW(),"")</f>
        <v/>
      </c>
      <c r="BJ825" s="71" t="str">
        <f>IF(AND($AS825=1,$AJ825=1),$BA825*100000+ROW(),"")</f>
        <v/>
      </c>
      <c r="BK825" s="71" t="str">
        <f>IF(AND($AY825=1,$AJ825=1),$BA825*100000+ROW(),"")</f>
        <v/>
      </c>
      <c r="BL825" s="71" t="str">
        <f>IF(AND($AZ825=1),$BA825*100000+ROW(),"")</f>
        <v/>
      </c>
    </row>
    <row r="826">
      <c r="A826" s="63" t="n"/>
      <c r="B826" s="64" t="n"/>
      <c r="C826" s="64" t="n"/>
      <c r="D826" s="64" t="n"/>
      <c r="E826" s="64" t="n"/>
      <c r="F826" s="64" t="n"/>
      <c r="G826" s="65" t="n"/>
      <c r="H826" s="65" t="n"/>
      <c r="I826" s="64" t="n"/>
      <c r="J826" s="64" t="n"/>
      <c r="K826" s="63" t="n"/>
      <c r="L826" s="63" t="n"/>
      <c r="M826" s="64" t="n"/>
      <c r="N826" s="66" t="n"/>
      <c r="O826" s="65" t="n"/>
      <c r="P826" s="64" t="n"/>
      <c r="Q826" s="67" t="n"/>
      <c r="R826" s="67" t="n"/>
      <c r="S826" s="68" t="str">
        <f>IF(AND(ISNUMBER($Q826),ISNUMBER($R826)),$Q826-$R826,"")</f>
        <v/>
      </c>
      <c r="T826" s="65" t="n"/>
      <c r="U826" s="64" t="n"/>
      <c r="V826" s="65" t="n"/>
      <c r="W826" s="63" t="n"/>
      <c r="X826" s="65" t="n"/>
      <c r="Y826" s="63" t="n"/>
      <c r="Z826" s="64" t="n"/>
      <c r="AA826" s="64" t="n"/>
      <c r="AB826" s="65" t="n"/>
      <c r="AC826" s="69" t="str">
        <f>IF(OR($G826="",NOT(ISNUMBER($K826)),$AK826=0),"",MAX(0,ReportDate-$K826))</f>
        <v/>
      </c>
      <c r="AD826" s="69" t="str">
        <f>IF($G826="","",IF($AL826=1,ReportDate-$L826,0))</f>
        <v/>
      </c>
      <c r="AE826" s="70" t="str">
        <f>IF($G826="","",IF($M826="Completed",1,IF(ISNUMBER($N826),$N826,0)))</f>
        <v/>
      </c>
      <c r="AF826" s="70" t="str">
        <f>IF(AND(ISNUMBER($Q826),ISNUMBER($R826)),IF($R826&lt;&gt;0,$Q826/$R826,""),"")</f>
        <v/>
      </c>
      <c r="AG826" s="71" t="str">
        <f>IF($G826="","",IF($AL826=1,"OVERDUE",IF($AM826=1,"BLOCKED",IF($AN826=1,"DUE TODAY",IF($AO826=1,"DUE TOMORROW",IF($AQ826=1,"HIGH PRIORITY",IF($AR826=1,"NO RECENT UPDATE",""))))))) </f>
        <v/>
      </c>
      <c r="AH826" s="71" t="str">
        <f>IF($G826="","",IF(ISNUMBER($A826),IF(ISNUMBER($A826),YEAR($A826)&amp;"-"&amp;TEXT(MONTH($A826),"00"),""),IF(ISNUMBER($L826),IF(ISNUMBER($L826),YEAR($L826)&amp;"-"&amp;TEXT(MONTH($L826),"00"),""),"")))</f>
        <v/>
      </c>
      <c r="AI826" s="71">
        <f>IF($G826="",0,IF(AND(OR(fClient="All",$C826=fClient),OR(fCampaign="All",$D826=fCampaign),OR(fTeam="All",$B826=fTeam),OR(fChannel="All",$F826=fChannel),OR(fMonth="All",$AH826=fMonth),OR(fTStatus="All",$M826=fTStatus)),1,0))</f>
        <v>0</v>
      </c>
      <c r="AJ826" s="71">
        <f>IF($G826="",0,IF(AND(OR(fClient="All",$C826=fClient),OR(fCampaign="All",$D826=fCampaign),OR(fTeam="All",$B826=fTeam),OR(fChannel="All",$F826=fChannel)),1,0))</f>
        <v>0</v>
      </c>
      <c r="AK826" s="71">
        <f>IF($G826="",0,IF(OR($M826="Completed",$M826="Cancelled"),0,1))</f>
        <v>0</v>
      </c>
      <c r="AL826" s="71">
        <f>IF(AND($AK826=1,ISNUMBER($L826)),IF($L826&lt;ReportDate,1,0),0)</f>
        <v>0</v>
      </c>
      <c r="AM826" s="71">
        <f>IF(AND($G826&lt;&gt;"",$M826="Blocked"),1,0)</f>
        <v>0</v>
      </c>
      <c r="AN826" s="71">
        <f>IF(AND($AK826=1,ISNUMBER($L826)),IF($L826=ReportDate,1,0),0)</f>
        <v>0</v>
      </c>
      <c r="AO826" s="71">
        <f>IF(AND($AK826=1,ISNUMBER($L826)),IF($L826=ReportDate+1,1,0),0)</f>
        <v>0</v>
      </c>
      <c r="AP826" s="71">
        <f>IF(AND($AK826=1,ISNUMBER($L826)),IF(AND($L826&gt;=ReportDate,$L826&lt;=ReportDate+DueSoonDays),1,0),0)</f>
        <v>0</v>
      </c>
      <c r="AQ826" s="71">
        <f>IF(AND($AK826=1,OR($I826="Critical",$I826="High")),1,0)</f>
        <v>0</v>
      </c>
      <c r="AR826" s="71">
        <f>IF($AK826=1,IF(ISNUMBER($Y826),IF(ReportDate-$Y826&gt;StaleDays,1,0),1),0)</f>
        <v>0</v>
      </c>
      <c r="AS826" s="71">
        <f>IF(AND($G826&lt;&gt;"",ISNUMBER($Q826),ISNUMBER($R826)),IF(AND($Q826&lt;$R826,OR($M826="Completed",AND(ISNUMBER($L826),$L826&lt;ReportDate))),1,0),0)</f>
        <v>0</v>
      </c>
      <c r="AT826" s="71">
        <f>IF($AK826=1,IF(OR($L826=ReportDate,$W826=ReportDate,$K826=ReportDate,$A826=ReportDate),1,0),0)</f>
        <v>0</v>
      </c>
      <c r="AU826" s="71">
        <f>IF($AK826=1,IF(OR($L826=ReportDate+1,$W826=ReportDate+1,$K826=ReportDate+1,$A826=ReportDate+1),1,0),0)</f>
        <v>0</v>
      </c>
      <c r="AV826" s="71">
        <f>IF(AND($G826&lt;&gt;"",$M826="Completed"),IF(OR($Y826=ReportDate-1,$A826=ReportDate-1),1,0),0)</f>
        <v>0</v>
      </c>
      <c r="AW826" s="71">
        <f>IF(AND($AK826=1,$Z826="Yes"),1,0)</f>
        <v>0</v>
      </c>
      <c r="AX826" s="71">
        <f>IF(AND($AK826=1,$AA826="Yes"),1,0)</f>
        <v>0</v>
      </c>
      <c r="AY826" s="71">
        <f>IF(AND($AM826=1,OR($I826="Critical",$I826="High")),1,0)</f>
        <v>0</v>
      </c>
      <c r="AZ826" s="71">
        <f>IF(AND($AK826=1,OR($C826=TCL_Client,$C826=MECCA_Client)),1,0)</f>
        <v>0</v>
      </c>
      <c r="BA826" s="71" t="str">
        <f>IF($G826="","",IFERROR(MATCH($I826,lst_Priority,0),5))</f>
        <v/>
      </c>
      <c r="BB826" s="71" t="str">
        <f>IF(AND($AL826=1,$AJ826=1),$BA826*100000+ROW(),"")</f>
        <v/>
      </c>
      <c r="BC826" s="71" t="str">
        <f>IF(AND($AM826=1,$AJ826=1),$BA826*100000+ROW(),"")</f>
        <v/>
      </c>
      <c r="BD826" s="71" t="str">
        <f>IF(AND($AP826=1,$AJ826=1),$BA826*100000+ROW(),"")</f>
        <v/>
      </c>
      <c r="BE826" s="71" t="str">
        <f>IF(AND($AT826=1,$AJ826=1),$BA826*100000+ROW(),"")</f>
        <v/>
      </c>
      <c r="BF826" s="71" t="str">
        <f>IF(AND($AU826=1,$AJ826=1),$BA826*100000+ROW(),"")</f>
        <v/>
      </c>
      <c r="BG826" s="71" t="str">
        <f>IF(AND($AV826=1,$AJ826=1),$BA826*100000+ROW(),"")</f>
        <v/>
      </c>
      <c r="BH826" s="71" t="str">
        <f>IF(AND($AW826=1,$AJ826=1),$BA826*100000+ROW(),"")</f>
        <v/>
      </c>
      <c r="BI826" s="71" t="str">
        <f>IF(AND($AX826=1,$AJ826=1),$BA826*100000+ROW(),"")</f>
        <v/>
      </c>
      <c r="BJ826" s="71" t="str">
        <f>IF(AND($AS826=1,$AJ826=1),$BA826*100000+ROW(),"")</f>
        <v/>
      </c>
      <c r="BK826" s="71" t="str">
        <f>IF(AND($AY826=1,$AJ826=1),$BA826*100000+ROW(),"")</f>
        <v/>
      </c>
      <c r="BL826" s="71" t="str">
        <f>IF(AND($AZ826=1),$BA826*100000+ROW(),"")</f>
        <v/>
      </c>
    </row>
    <row r="827">
      <c r="A827" s="63" t="n"/>
      <c r="B827" s="64" t="n"/>
      <c r="C827" s="64" t="n"/>
      <c r="D827" s="64" t="n"/>
      <c r="E827" s="64" t="n"/>
      <c r="F827" s="64" t="n"/>
      <c r="G827" s="65" t="n"/>
      <c r="H827" s="65" t="n"/>
      <c r="I827" s="64" t="n"/>
      <c r="J827" s="64" t="n"/>
      <c r="K827" s="63" t="n"/>
      <c r="L827" s="63" t="n"/>
      <c r="M827" s="64" t="n"/>
      <c r="N827" s="66" t="n"/>
      <c r="O827" s="65" t="n"/>
      <c r="P827" s="64" t="n"/>
      <c r="Q827" s="67" t="n"/>
      <c r="R827" s="67" t="n"/>
      <c r="S827" s="68" t="str">
        <f>IF(AND(ISNUMBER($Q827),ISNUMBER($R827)),$Q827-$R827,"")</f>
        <v/>
      </c>
      <c r="T827" s="65" t="n"/>
      <c r="U827" s="64" t="n"/>
      <c r="V827" s="65" t="n"/>
      <c r="W827" s="63" t="n"/>
      <c r="X827" s="65" t="n"/>
      <c r="Y827" s="63" t="n"/>
      <c r="Z827" s="64" t="n"/>
      <c r="AA827" s="64" t="n"/>
      <c r="AB827" s="65" t="n"/>
      <c r="AC827" s="69" t="str">
        <f>IF(OR($G827="",NOT(ISNUMBER($K827)),$AK827=0),"",MAX(0,ReportDate-$K827))</f>
        <v/>
      </c>
      <c r="AD827" s="69" t="str">
        <f>IF($G827="","",IF($AL827=1,ReportDate-$L827,0))</f>
        <v/>
      </c>
      <c r="AE827" s="70" t="str">
        <f>IF($G827="","",IF($M827="Completed",1,IF(ISNUMBER($N827),$N827,0)))</f>
        <v/>
      </c>
      <c r="AF827" s="70" t="str">
        <f>IF(AND(ISNUMBER($Q827),ISNUMBER($R827)),IF($R827&lt;&gt;0,$Q827/$R827,""),"")</f>
        <v/>
      </c>
      <c r="AG827" s="71" t="str">
        <f>IF($G827="","",IF($AL827=1,"OVERDUE",IF($AM827=1,"BLOCKED",IF($AN827=1,"DUE TODAY",IF($AO827=1,"DUE TOMORROW",IF($AQ827=1,"HIGH PRIORITY",IF($AR827=1,"NO RECENT UPDATE",""))))))) </f>
        <v/>
      </c>
      <c r="AH827" s="71" t="str">
        <f>IF($G827="","",IF(ISNUMBER($A827),IF(ISNUMBER($A827),YEAR($A827)&amp;"-"&amp;TEXT(MONTH($A827),"00"),""),IF(ISNUMBER($L827),IF(ISNUMBER($L827),YEAR($L827)&amp;"-"&amp;TEXT(MONTH($L827),"00"),""),"")))</f>
        <v/>
      </c>
      <c r="AI827" s="71">
        <f>IF($G827="",0,IF(AND(OR(fClient="All",$C827=fClient),OR(fCampaign="All",$D827=fCampaign),OR(fTeam="All",$B827=fTeam),OR(fChannel="All",$F827=fChannel),OR(fMonth="All",$AH827=fMonth),OR(fTStatus="All",$M827=fTStatus)),1,0))</f>
        <v>0</v>
      </c>
      <c r="AJ827" s="71">
        <f>IF($G827="",0,IF(AND(OR(fClient="All",$C827=fClient),OR(fCampaign="All",$D827=fCampaign),OR(fTeam="All",$B827=fTeam),OR(fChannel="All",$F827=fChannel)),1,0))</f>
        <v>0</v>
      </c>
      <c r="AK827" s="71">
        <f>IF($G827="",0,IF(OR($M827="Completed",$M827="Cancelled"),0,1))</f>
        <v>0</v>
      </c>
      <c r="AL827" s="71">
        <f>IF(AND($AK827=1,ISNUMBER($L827)),IF($L827&lt;ReportDate,1,0),0)</f>
        <v>0</v>
      </c>
      <c r="AM827" s="71">
        <f>IF(AND($G827&lt;&gt;"",$M827="Blocked"),1,0)</f>
        <v>0</v>
      </c>
      <c r="AN827" s="71">
        <f>IF(AND($AK827=1,ISNUMBER($L827)),IF($L827=ReportDate,1,0),0)</f>
        <v>0</v>
      </c>
      <c r="AO827" s="71">
        <f>IF(AND($AK827=1,ISNUMBER($L827)),IF($L827=ReportDate+1,1,0),0)</f>
        <v>0</v>
      </c>
      <c r="AP827" s="71">
        <f>IF(AND($AK827=1,ISNUMBER($L827)),IF(AND($L827&gt;=ReportDate,$L827&lt;=ReportDate+DueSoonDays),1,0),0)</f>
        <v>0</v>
      </c>
      <c r="AQ827" s="71">
        <f>IF(AND($AK827=1,OR($I827="Critical",$I827="High")),1,0)</f>
        <v>0</v>
      </c>
      <c r="AR827" s="71">
        <f>IF($AK827=1,IF(ISNUMBER($Y827),IF(ReportDate-$Y827&gt;StaleDays,1,0),1),0)</f>
        <v>0</v>
      </c>
      <c r="AS827" s="71">
        <f>IF(AND($G827&lt;&gt;"",ISNUMBER($Q827),ISNUMBER($R827)),IF(AND($Q827&lt;$R827,OR($M827="Completed",AND(ISNUMBER($L827),$L827&lt;ReportDate))),1,0),0)</f>
        <v>0</v>
      </c>
      <c r="AT827" s="71">
        <f>IF($AK827=1,IF(OR($L827=ReportDate,$W827=ReportDate,$K827=ReportDate,$A827=ReportDate),1,0),0)</f>
        <v>0</v>
      </c>
      <c r="AU827" s="71">
        <f>IF($AK827=1,IF(OR($L827=ReportDate+1,$W827=ReportDate+1,$K827=ReportDate+1,$A827=ReportDate+1),1,0),0)</f>
        <v>0</v>
      </c>
      <c r="AV827" s="71">
        <f>IF(AND($G827&lt;&gt;"",$M827="Completed"),IF(OR($Y827=ReportDate-1,$A827=ReportDate-1),1,0),0)</f>
        <v>0</v>
      </c>
      <c r="AW827" s="71">
        <f>IF(AND($AK827=1,$Z827="Yes"),1,0)</f>
        <v>0</v>
      </c>
      <c r="AX827" s="71">
        <f>IF(AND($AK827=1,$AA827="Yes"),1,0)</f>
        <v>0</v>
      </c>
      <c r="AY827" s="71">
        <f>IF(AND($AM827=1,OR($I827="Critical",$I827="High")),1,0)</f>
        <v>0</v>
      </c>
      <c r="AZ827" s="71">
        <f>IF(AND($AK827=1,OR($C827=TCL_Client,$C827=MECCA_Client)),1,0)</f>
        <v>0</v>
      </c>
      <c r="BA827" s="71" t="str">
        <f>IF($G827="","",IFERROR(MATCH($I827,lst_Priority,0),5))</f>
        <v/>
      </c>
      <c r="BB827" s="71" t="str">
        <f>IF(AND($AL827=1,$AJ827=1),$BA827*100000+ROW(),"")</f>
        <v/>
      </c>
      <c r="BC827" s="71" t="str">
        <f>IF(AND($AM827=1,$AJ827=1),$BA827*100000+ROW(),"")</f>
        <v/>
      </c>
      <c r="BD827" s="71" t="str">
        <f>IF(AND($AP827=1,$AJ827=1),$BA827*100000+ROW(),"")</f>
        <v/>
      </c>
      <c r="BE827" s="71" t="str">
        <f>IF(AND($AT827=1,$AJ827=1),$BA827*100000+ROW(),"")</f>
        <v/>
      </c>
      <c r="BF827" s="71" t="str">
        <f>IF(AND($AU827=1,$AJ827=1),$BA827*100000+ROW(),"")</f>
        <v/>
      </c>
      <c r="BG827" s="71" t="str">
        <f>IF(AND($AV827=1,$AJ827=1),$BA827*100000+ROW(),"")</f>
        <v/>
      </c>
      <c r="BH827" s="71" t="str">
        <f>IF(AND($AW827=1,$AJ827=1),$BA827*100000+ROW(),"")</f>
        <v/>
      </c>
      <c r="BI827" s="71" t="str">
        <f>IF(AND($AX827=1,$AJ827=1),$BA827*100000+ROW(),"")</f>
        <v/>
      </c>
      <c r="BJ827" s="71" t="str">
        <f>IF(AND($AS827=1,$AJ827=1),$BA827*100000+ROW(),"")</f>
        <v/>
      </c>
      <c r="BK827" s="71" t="str">
        <f>IF(AND($AY827=1,$AJ827=1),$BA827*100000+ROW(),"")</f>
        <v/>
      </c>
      <c r="BL827" s="71" t="str">
        <f>IF(AND($AZ827=1),$BA827*100000+ROW(),"")</f>
        <v/>
      </c>
    </row>
    <row r="828">
      <c r="A828" s="63" t="n"/>
      <c r="B828" s="64" t="n"/>
      <c r="C828" s="64" t="n"/>
      <c r="D828" s="64" t="n"/>
      <c r="E828" s="64" t="n"/>
      <c r="F828" s="64" t="n"/>
      <c r="G828" s="65" t="n"/>
      <c r="H828" s="65" t="n"/>
      <c r="I828" s="64" t="n"/>
      <c r="J828" s="64" t="n"/>
      <c r="K828" s="63" t="n"/>
      <c r="L828" s="63" t="n"/>
      <c r="M828" s="64" t="n"/>
      <c r="N828" s="66" t="n"/>
      <c r="O828" s="65" t="n"/>
      <c r="P828" s="64" t="n"/>
      <c r="Q828" s="67" t="n"/>
      <c r="R828" s="67" t="n"/>
      <c r="S828" s="68" t="str">
        <f>IF(AND(ISNUMBER($Q828),ISNUMBER($R828)),$Q828-$R828,"")</f>
        <v/>
      </c>
      <c r="T828" s="65" t="n"/>
      <c r="U828" s="64" t="n"/>
      <c r="V828" s="65" t="n"/>
      <c r="W828" s="63" t="n"/>
      <c r="X828" s="65" t="n"/>
      <c r="Y828" s="63" t="n"/>
      <c r="Z828" s="64" t="n"/>
      <c r="AA828" s="64" t="n"/>
      <c r="AB828" s="65" t="n"/>
      <c r="AC828" s="69" t="str">
        <f>IF(OR($G828="",NOT(ISNUMBER($K828)),$AK828=0),"",MAX(0,ReportDate-$K828))</f>
        <v/>
      </c>
      <c r="AD828" s="69" t="str">
        <f>IF($G828="","",IF($AL828=1,ReportDate-$L828,0))</f>
        <v/>
      </c>
      <c r="AE828" s="70" t="str">
        <f>IF($G828="","",IF($M828="Completed",1,IF(ISNUMBER($N828),$N828,0)))</f>
        <v/>
      </c>
      <c r="AF828" s="70" t="str">
        <f>IF(AND(ISNUMBER($Q828),ISNUMBER($R828)),IF($R828&lt;&gt;0,$Q828/$R828,""),"")</f>
        <v/>
      </c>
      <c r="AG828" s="71" t="str">
        <f>IF($G828="","",IF($AL828=1,"OVERDUE",IF($AM828=1,"BLOCKED",IF($AN828=1,"DUE TODAY",IF($AO828=1,"DUE TOMORROW",IF($AQ828=1,"HIGH PRIORITY",IF($AR828=1,"NO RECENT UPDATE",""))))))) </f>
        <v/>
      </c>
      <c r="AH828" s="71" t="str">
        <f>IF($G828="","",IF(ISNUMBER($A828),IF(ISNUMBER($A828),YEAR($A828)&amp;"-"&amp;TEXT(MONTH($A828),"00"),""),IF(ISNUMBER($L828),IF(ISNUMBER($L828),YEAR($L828)&amp;"-"&amp;TEXT(MONTH($L828),"00"),""),"")))</f>
        <v/>
      </c>
      <c r="AI828" s="71">
        <f>IF($G828="",0,IF(AND(OR(fClient="All",$C828=fClient),OR(fCampaign="All",$D828=fCampaign),OR(fTeam="All",$B828=fTeam),OR(fChannel="All",$F828=fChannel),OR(fMonth="All",$AH828=fMonth),OR(fTStatus="All",$M828=fTStatus)),1,0))</f>
        <v>0</v>
      </c>
      <c r="AJ828" s="71">
        <f>IF($G828="",0,IF(AND(OR(fClient="All",$C828=fClient),OR(fCampaign="All",$D828=fCampaign),OR(fTeam="All",$B828=fTeam),OR(fChannel="All",$F828=fChannel)),1,0))</f>
        <v>0</v>
      </c>
      <c r="AK828" s="71">
        <f>IF($G828="",0,IF(OR($M828="Completed",$M828="Cancelled"),0,1))</f>
        <v>0</v>
      </c>
      <c r="AL828" s="71">
        <f>IF(AND($AK828=1,ISNUMBER($L828)),IF($L828&lt;ReportDate,1,0),0)</f>
        <v>0</v>
      </c>
      <c r="AM828" s="71">
        <f>IF(AND($G828&lt;&gt;"",$M828="Blocked"),1,0)</f>
        <v>0</v>
      </c>
      <c r="AN828" s="71">
        <f>IF(AND($AK828=1,ISNUMBER($L828)),IF($L828=ReportDate,1,0),0)</f>
        <v>0</v>
      </c>
      <c r="AO828" s="71">
        <f>IF(AND($AK828=1,ISNUMBER($L828)),IF($L828=ReportDate+1,1,0),0)</f>
        <v>0</v>
      </c>
      <c r="AP828" s="71">
        <f>IF(AND($AK828=1,ISNUMBER($L828)),IF(AND($L828&gt;=ReportDate,$L828&lt;=ReportDate+DueSoonDays),1,0),0)</f>
        <v>0</v>
      </c>
      <c r="AQ828" s="71">
        <f>IF(AND($AK828=1,OR($I828="Critical",$I828="High")),1,0)</f>
        <v>0</v>
      </c>
      <c r="AR828" s="71">
        <f>IF($AK828=1,IF(ISNUMBER($Y828),IF(ReportDate-$Y828&gt;StaleDays,1,0),1),0)</f>
        <v>0</v>
      </c>
      <c r="AS828" s="71">
        <f>IF(AND($G828&lt;&gt;"",ISNUMBER($Q828),ISNUMBER($R828)),IF(AND($Q828&lt;$R828,OR($M828="Completed",AND(ISNUMBER($L828),$L828&lt;ReportDate))),1,0),0)</f>
        <v>0</v>
      </c>
      <c r="AT828" s="71">
        <f>IF($AK828=1,IF(OR($L828=ReportDate,$W828=ReportDate,$K828=ReportDate,$A828=ReportDate),1,0),0)</f>
        <v>0</v>
      </c>
      <c r="AU828" s="71">
        <f>IF($AK828=1,IF(OR($L828=ReportDate+1,$W828=ReportDate+1,$K828=ReportDate+1,$A828=ReportDate+1),1,0),0)</f>
        <v>0</v>
      </c>
      <c r="AV828" s="71">
        <f>IF(AND($G828&lt;&gt;"",$M828="Completed"),IF(OR($Y828=ReportDate-1,$A828=ReportDate-1),1,0),0)</f>
        <v>0</v>
      </c>
      <c r="AW828" s="71">
        <f>IF(AND($AK828=1,$Z828="Yes"),1,0)</f>
        <v>0</v>
      </c>
      <c r="AX828" s="71">
        <f>IF(AND($AK828=1,$AA828="Yes"),1,0)</f>
        <v>0</v>
      </c>
      <c r="AY828" s="71">
        <f>IF(AND($AM828=1,OR($I828="Critical",$I828="High")),1,0)</f>
        <v>0</v>
      </c>
      <c r="AZ828" s="71">
        <f>IF(AND($AK828=1,OR($C828=TCL_Client,$C828=MECCA_Client)),1,0)</f>
        <v>0</v>
      </c>
      <c r="BA828" s="71" t="str">
        <f>IF($G828="","",IFERROR(MATCH($I828,lst_Priority,0),5))</f>
        <v/>
      </c>
      <c r="BB828" s="71" t="str">
        <f>IF(AND($AL828=1,$AJ828=1),$BA828*100000+ROW(),"")</f>
        <v/>
      </c>
      <c r="BC828" s="71" t="str">
        <f>IF(AND($AM828=1,$AJ828=1),$BA828*100000+ROW(),"")</f>
        <v/>
      </c>
      <c r="BD828" s="71" t="str">
        <f>IF(AND($AP828=1,$AJ828=1),$BA828*100000+ROW(),"")</f>
        <v/>
      </c>
      <c r="BE828" s="71" t="str">
        <f>IF(AND($AT828=1,$AJ828=1),$BA828*100000+ROW(),"")</f>
        <v/>
      </c>
      <c r="BF828" s="71" t="str">
        <f>IF(AND($AU828=1,$AJ828=1),$BA828*100000+ROW(),"")</f>
        <v/>
      </c>
      <c r="BG828" s="71" t="str">
        <f>IF(AND($AV828=1,$AJ828=1),$BA828*100000+ROW(),"")</f>
        <v/>
      </c>
      <c r="BH828" s="71" t="str">
        <f>IF(AND($AW828=1,$AJ828=1),$BA828*100000+ROW(),"")</f>
        <v/>
      </c>
      <c r="BI828" s="71" t="str">
        <f>IF(AND($AX828=1,$AJ828=1),$BA828*100000+ROW(),"")</f>
        <v/>
      </c>
      <c r="BJ828" s="71" t="str">
        <f>IF(AND($AS828=1,$AJ828=1),$BA828*100000+ROW(),"")</f>
        <v/>
      </c>
      <c r="BK828" s="71" t="str">
        <f>IF(AND($AY828=1,$AJ828=1),$BA828*100000+ROW(),"")</f>
        <v/>
      </c>
      <c r="BL828" s="71" t="str">
        <f>IF(AND($AZ828=1),$BA828*100000+ROW(),"")</f>
        <v/>
      </c>
    </row>
    <row r="829">
      <c r="A829" s="63" t="n"/>
      <c r="B829" s="64" t="n"/>
      <c r="C829" s="64" t="n"/>
      <c r="D829" s="64" t="n"/>
      <c r="E829" s="64" t="n"/>
      <c r="F829" s="64" t="n"/>
      <c r="G829" s="65" t="n"/>
      <c r="H829" s="65" t="n"/>
      <c r="I829" s="64" t="n"/>
      <c r="J829" s="64" t="n"/>
      <c r="K829" s="63" t="n"/>
      <c r="L829" s="63" t="n"/>
      <c r="M829" s="64" t="n"/>
      <c r="N829" s="66" t="n"/>
      <c r="O829" s="65" t="n"/>
      <c r="P829" s="64" t="n"/>
      <c r="Q829" s="67" t="n"/>
      <c r="R829" s="67" t="n"/>
      <c r="S829" s="68" t="str">
        <f>IF(AND(ISNUMBER($Q829),ISNUMBER($R829)),$Q829-$R829,"")</f>
        <v/>
      </c>
      <c r="T829" s="65" t="n"/>
      <c r="U829" s="64" t="n"/>
      <c r="V829" s="65" t="n"/>
      <c r="W829" s="63" t="n"/>
      <c r="X829" s="65" t="n"/>
      <c r="Y829" s="63" t="n"/>
      <c r="Z829" s="64" t="n"/>
      <c r="AA829" s="64" t="n"/>
      <c r="AB829" s="65" t="n"/>
      <c r="AC829" s="69" t="str">
        <f>IF(OR($G829="",NOT(ISNUMBER($K829)),$AK829=0),"",MAX(0,ReportDate-$K829))</f>
        <v/>
      </c>
      <c r="AD829" s="69" t="str">
        <f>IF($G829="","",IF($AL829=1,ReportDate-$L829,0))</f>
        <v/>
      </c>
      <c r="AE829" s="70" t="str">
        <f>IF($G829="","",IF($M829="Completed",1,IF(ISNUMBER($N829),$N829,0)))</f>
        <v/>
      </c>
      <c r="AF829" s="70" t="str">
        <f>IF(AND(ISNUMBER($Q829),ISNUMBER($R829)),IF($R829&lt;&gt;0,$Q829/$R829,""),"")</f>
        <v/>
      </c>
      <c r="AG829" s="71" t="str">
        <f>IF($G829="","",IF($AL829=1,"OVERDUE",IF($AM829=1,"BLOCKED",IF($AN829=1,"DUE TODAY",IF($AO829=1,"DUE TOMORROW",IF($AQ829=1,"HIGH PRIORITY",IF($AR829=1,"NO RECENT UPDATE",""))))))) </f>
        <v/>
      </c>
      <c r="AH829" s="71" t="str">
        <f>IF($G829="","",IF(ISNUMBER($A829),IF(ISNUMBER($A829),YEAR($A829)&amp;"-"&amp;TEXT(MONTH($A829),"00"),""),IF(ISNUMBER($L829),IF(ISNUMBER($L829),YEAR($L829)&amp;"-"&amp;TEXT(MONTH($L829),"00"),""),"")))</f>
        <v/>
      </c>
      <c r="AI829" s="71">
        <f>IF($G829="",0,IF(AND(OR(fClient="All",$C829=fClient),OR(fCampaign="All",$D829=fCampaign),OR(fTeam="All",$B829=fTeam),OR(fChannel="All",$F829=fChannel),OR(fMonth="All",$AH829=fMonth),OR(fTStatus="All",$M829=fTStatus)),1,0))</f>
        <v>0</v>
      </c>
      <c r="AJ829" s="71">
        <f>IF($G829="",0,IF(AND(OR(fClient="All",$C829=fClient),OR(fCampaign="All",$D829=fCampaign),OR(fTeam="All",$B829=fTeam),OR(fChannel="All",$F829=fChannel)),1,0))</f>
        <v>0</v>
      </c>
      <c r="AK829" s="71">
        <f>IF($G829="",0,IF(OR($M829="Completed",$M829="Cancelled"),0,1))</f>
        <v>0</v>
      </c>
      <c r="AL829" s="71">
        <f>IF(AND($AK829=1,ISNUMBER($L829)),IF($L829&lt;ReportDate,1,0),0)</f>
        <v>0</v>
      </c>
      <c r="AM829" s="71">
        <f>IF(AND($G829&lt;&gt;"",$M829="Blocked"),1,0)</f>
        <v>0</v>
      </c>
      <c r="AN829" s="71">
        <f>IF(AND($AK829=1,ISNUMBER($L829)),IF($L829=ReportDate,1,0),0)</f>
        <v>0</v>
      </c>
      <c r="AO829" s="71">
        <f>IF(AND($AK829=1,ISNUMBER($L829)),IF($L829=ReportDate+1,1,0),0)</f>
        <v>0</v>
      </c>
      <c r="AP829" s="71">
        <f>IF(AND($AK829=1,ISNUMBER($L829)),IF(AND($L829&gt;=ReportDate,$L829&lt;=ReportDate+DueSoonDays),1,0),0)</f>
        <v>0</v>
      </c>
      <c r="AQ829" s="71">
        <f>IF(AND($AK829=1,OR($I829="Critical",$I829="High")),1,0)</f>
        <v>0</v>
      </c>
      <c r="AR829" s="71">
        <f>IF($AK829=1,IF(ISNUMBER($Y829),IF(ReportDate-$Y829&gt;StaleDays,1,0),1),0)</f>
        <v>0</v>
      </c>
      <c r="AS829" s="71">
        <f>IF(AND($G829&lt;&gt;"",ISNUMBER($Q829),ISNUMBER($R829)),IF(AND($Q829&lt;$R829,OR($M829="Completed",AND(ISNUMBER($L829),$L829&lt;ReportDate))),1,0),0)</f>
        <v>0</v>
      </c>
      <c r="AT829" s="71">
        <f>IF($AK829=1,IF(OR($L829=ReportDate,$W829=ReportDate,$K829=ReportDate,$A829=ReportDate),1,0),0)</f>
        <v>0</v>
      </c>
      <c r="AU829" s="71">
        <f>IF($AK829=1,IF(OR($L829=ReportDate+1,$W829=ReportDate+1,$K829=ReportDate+1,$A829=ReportDate+1),1,0),0)</f>
        <v>0</v>
      </c>
      <c r="AV829" s="71">
        <f>IF(AND($G829&lt;&gt;"",$M829="Completed"),IF(OR($Y829=ReportDate-1,$A829=ReportDate-1),1,0),0)</f>
        <v>0</v>
      </c>
      <c r="AW829" s="71">
        <f>IF(AND($AK829=1,$Z829="Yes"),1,0)</f>
        <v>0</v>
      </c>
      <c r="AX829" s="71">
        <f>IF(AND($AK829=1,$AA829="Yes"),1,0)</f>
        <v>0</v>
      </c>
      <c r="AY829" s="71">
        <f>IF(AND($AM829=1,OR($I829="Critical",$I829="High")),1,0)</f>
        <v>0</v>
      </c>
      <c r="AZ829" s="71">
        <f>IF(AND($AK829=1,OR($C829=TCL_Client,$C829=MECCA_Client)),1,0)</f>
        <v>0</v>
      </c>
      <c r="BA829" s="71" t="str">
        <f>IF($G829="","",IFERROR(MATCH($I829,lst_Priority,0),5))</f>
        <v/>
      </c>
      <c r="BB829" s="71" t="str">
        <f>IF(AND($AL829=1,$AJ829=1),$BA829*100000+ROW(),"")</f>
        <v/>
      </c>
      <c r="BC829" s="71" t="str">
        <f>IF(AND($AM829=1,$AJ829=1),$BA829*100000+ROW(),"")</f>
        <v/>
      </c>
      <c r="BD829" s="71" t="str">
        <f>IF(AND($AP829=1,$AJ829=1),$BA829*100000+ROW(),"")</f>
        <v/>
      </c>
      <c r="BE829" s="71" t="str">
        <f>IF(AND($AT829=1,$AJ829=1),$BA829*100000+ROW(),"")</f>
        <v/>
      </c>
      <c r="BF829" s="71" t="str">
        <f>IF(AND($AU829=1,$AJ829=1),$BA829*100000+ROW(),"")</f>
        <v/>
      </c>
      <c r="BG829" s="71" t="str">
        <f>IF(AND($AV829=1,$AJ829=1),$BA829*100000+ROW(),"")</f>
        <v/>
      </c>
      <c r="BH829" s="71" t="str">
        <f>IF(AND($AW829=1,$AJ829=1),$BA829*100000+ROW(),"")</f>
        <v/>
      </c>
      <c r="BI829" s="71" t="str">
        <f>IF(AND($AX829=1,$AJ829=1),$BA829*100000+ROW(),"")</f>
        <v/>
      </c>
      <c r="BJ829" s="71" t="str">
        <f>IF(AND($AS829=1,$AJ829=1),$BA829*100000+ROW(),"")</f>
        <v/>
      </c>
      <c r="BK829" s="71" t="str">
        <f>IF(AND($AY829=1,$AJ829=1),$BA829*100000+ROW(),"")</f>
        <v/>
      </c>
      <c r="BL829" s="71" t="str">
        <f>IF(AND($AZ829=1),$BA829*100000+ROW(),"")</f>
        <v/>
      </c>
    </row>
    <row r="830">
      <c r="A830" s="63" t="n"/>
      <c r="B830" s="64" t="n"/>
      <c r="C830" s="64" t="n"/>
      <c r="D830" s="64" t="n"/>
      <c r="E830" s="64" t="n"/>
      <c r="F830" s="64" t="n"/>
      <c r="G830" s="65" t="n"/>
      <c r="H830" s="65" t="n"/>
      <c r="I830" s="64" t="n"/>
      <c r="J830" s="64" t="n"/>
      <c r="K830" s="63" t="n"/>
      <c r="L830" s="63" t="n"/>
      <c r="M830" s="64" t="n"/>
      <c r="N830" s="66" t="n"/>
      <c r="O830" s="65" t="n"/>
      <c r="P830" s="64" t="n"/>
      <c r="Q830" s="67" t="n"/>
      <c r="R830" s="67" t="n"/>
      <c r="S830" s="68" t="str">
        <f>IF(AND(ISNUMBER($Q830),ISNUMBER($R830)),$Q830-$R830,"")</f>
        <v/>
      </c>
      <c r="T830" s="65" t="n"/>
      <c r="U830" s="64" t="n"/>
      <c r="V830" s="65" t="n"/>
      <c r="W830" s="63" t="n"/>
      <c r="X830" s="65" t="n"/>
      <c r="Y830" s="63" t="n"/>
      <c r="Z830" s="64" t="n"/>
      <c r="AA830" s="64" t="n"/>
      <c r="AB830" s="65" t="n"/>
      <c r="AC830" s="69" t="str">
        <f>IF(OR($G830="",NOT(ISNUMBER($K830)),$AK830=0),"",MAX(0,ReportDate-$K830))</f>
        <v/>
      </c>
      <c r="AD830" s="69" t="str">
        <f>IF($G830="","",IF($AL830=1,ReportDate-$L830,0))</f>
        <v/>
      </c>
      <c r="AE830" s="70" t="str">
        <f>IF($G830="","",IF($M830="Completed",1,IF(ISNUMBER($N830),$N830,0)))</f>
        <v/>
      </c>
      <c r="AF830" s="70" t="str">
        <f>IF(AND(ISNUMBER($Q830),ISNUMBER($R830)),IF($R830&lt;&gt;0,$Q830/$R830,""),"")</f>
        <v/>
      </c>
      <c r="AG830" s="71" t="str">
        <f>IF($G830="","",IF($AL830=1,"OVERDUE",IF($AM830=1,"BLOCKED",IF($AN830=1,"DUE TODAY",IF($AO830=1,"DUE TOMORROW",IF($AQ830=1,"HIGH PRIORITY",IF($AR830=1,"NO RECENT UPDATE",""))))))) </f>
        <v/>
      </c>
      <c r="AH830" s="71" t="str">
        <f>IF($G830="","",IF(ISNUMBER($A830),IF(ISNUMBER($A830),YEAR($A830)&amp;"-"&amp;TEXT(MONTH($A830),"00"),""),IF(ISNUMBER($L830),IF(ISNUMBER($L830),YEAR($L830)&amp;"-"&amp;TEXT(MONTH($L830),"00"),""),"")))</f>
        <v/>
      </c>
      <c r="AI830" s="71">
        <f>IF($G830="",0,IF(AND(OR(fClient="All",$C830=fClient),OR(fCampaign="All",$D830=fCampaign),OR(fTeam="All",$B830=fTeam),OR(fChannel="All",$F830=fChannel),OR(fMonth="All",$AH830=fMonth),OR(fTStatus="All",$M830=fTStatus)),1,0))</f>
        <v>0</v>
      </c>
      <c r="AJ830" s="71">
        <f>IF($G830="",0,IF(AND(OR(fClient="All",$C830=fClient),OR(fCampaign="All",$D830=fCampaign),OR(fTeam="All",$B830=fTeam),OR(fChannel="All",$F830=fChannel)),1,0))</f>
        <v>0</v>
      </c>
      <c r="AK830" s="71">
        <f>IF($G830="",0,IF(OR($M830="Completed",$M830="Cancelled"),0,1))</f>
        <v>0</v>
      </c>
      <c r="AL830" s="71">
        <f>IF(AND($AK830=1,ISNUMBER($L830)),IF($L830&lt;ReportDate,1,0),0)</f>
        <v>0</v>
      </c>
      <c r="AM830" s="71">
        <f>IF(AND($G830&lt;&gt;"",$M830="Blocked"),1,0)</f>
        <v>0</v>
      </c>
      <c r="AN830" s="71">
        <f>IF(AND($AK830=1,ISNUMBER($L830)),IF($L830=ReportDate,1,0),0)</f>
        <v>0</v>
      </c>
      <c r="AO830" s="71">
        <f>IF(AND($AK830=1,ISNUMBER($L830)),IF($L830=ReportDate+1,1,0),0)</f>
        <v>0</v>
      </c>
      <c r="AP830" s="71">
        <f>IF(AND($AK830=1,ISNUMBER($L830)),IF(AND($L830&gt;=ReportDate,$L830&lt;=ReportDate+DueSoonDays),1,0),0)</f>
        <v>0</v>
      </c>
      <c r="AQ830" s="71">
        <f>IF(AND($AK830=1,OR($I830="Critical",$I830="High")),1,0)</f>
        <v>0</v>
      </c>
      <c r="AR830" s="71">
        <f>IF($AK830=1,IF(ISNUMBER($Y830),IF(ReportDate-$Y830&gt;StaleDays,1,0),1),0)</f>
        <v>0</v>
      </c>
      <c r="AS830" s="71">
        <f>IF(AND($G830&lt;&gt;"",ISNUMBER($Q830),ISNUMBER($R830)),IF(AND($Q830&lt;$R830,OR($M830="Completed",AND(ISNUMBER($L830),$L830&lt;ReportDate))),1,0),0)</f>
        <v>0</v>
      </c>
      <c r="AT830" s="71">
        <f>IF($AK830=1,IF(OR($L830=ReportDate,$W830=ReportDate,$K830=ReportDate,$A830=ReportDate),1,0),0)</f>
        <v>0</v>
      </c>
      <c r="AU830" s="71">
        <f>IF($AK830=1,IF(OR($L830=ReportDate+1,$W830=ReportDate+1,$K830=ReportDate+1,$A830=ReportDate+1),1,0),0)</f>
        <v>0</v>
      </c>
      <c r="AV830" s="71">
        <f>IF(AND($G830&lt;&gt;"",$M830="Completed"),IF(OR($Y830=ReportDate-1,$A830=ReportDate-1),1,0),0)</f>
        <v>0</v>
      </c>
      <c r="AW830" s="71">
        <f>IF(AND($AK830=1,$Z830="Yes"),1,0)</f>
        <v>0</v>
      </c>
      <c r="AX830" s="71">
        <f>IF(AND($AK830=1,$AA830="Yes"),1,0)</f>
        <v>0</v>
      </c>
      <c r="AY830" s="71">
        <f>IF(AND($AM830=1,OR($I830="Critical",$I830="High")),1,0)</f>
        <v>0</v>
      </c>
      <c r="AZ830" s="71">
        <f>IF(AND($AK830=1,OR($C830=TCL_Client,$C830=MECCA_Client)),1,0)</f>
        <v>0</v>
      </c>
      <c r="BA830" s="71" t="str">
        <f>IF($G830="","",IFERROR(MATCH($I830,lst_Priority,0),5))</f>
        <v/>
      </c>
      <c r="BB830" s="71" t="str">
        <f>IF(AND($AL830=1,$AJ830=1),$BA830*100000+ROW(),"")</f>
        <v/>
      </c>
      <c r="BC830" s="71" t="str">
        <f>IF(AND($AM830=1,$AJ830=1),$BA830*100000+ROW(),"")</f>
        <v/>
      </c>
      <c r="BD830" s="71" t="str">
        <f>IF(AND($AP830=1,$AJ830=1),$BA830*100000+ROW(),"")</f>
        <v/>
      </c>
      <c r="BE830" s="71" t="str">
        <f>IF(AND($AT830=1,$AJ830=1),$BA830*100000+ROW(),"")</f>
        <v/>
      </c>
      <c r="BF830" s="71" t="str">
        <f>IF(AND($AU830=1,$AJ830=1),$BA830*100000+ROW(),"")</f>
        <v/>
      </c>
      <c r="BG830" s="71" t="str">
        <f>IF(AND($AV830=1,$AJ830=1),$BA830*100000+ROW(),"")</f>
        <v/>
      </c>
      <c r="BH830" s="71" t="str">
        <f>IF(AND($AW830=1,$AJ830=1),$BA830*100000+ROW(),"")</f>
        <v/>
      </c>
      <c r="BI830" s="71" t="str">
        <f>IF(AND($AX830=1,$AJ830=1),$BA830*100000+ROW(),"")</f>
        <v/>
      </c>
      <c r="BJ830" s="71" t="str">
        <f>IF(AND($AS830=1,$AJ830=1),$BA830*100000+ROW(),"")</f>
        <v/>
      </c>
      <c r="BK830" s="71" t="str">
        <f>IF(AND($AY830=1,$AJ830=1),$BA830*100000+ROW(),"")</f>
        <v/>
      </c>
      <c r="BL830" s="71" t="str">
        <f>IF(AND($AZ830=1),$BA830*100000+ROW(),"")</f>
        <v/>
      </c>
    </row>
    <row r="831">
      <c r="A831" s="63" t="n"/>
      <c r="B831" s="64" t="n"/>
      <c r="C831" s="64" t="n"/>
      <c r="D831" s="64" t="n"/>
      <c r="E831" s="64" t="n"/>
      <c r="F831" s="64" t="n"/>
      <c r="G831" s="65" t="n"/>
      <c r="H831" s="65" t="n"/>
      <c r="I831" s="64" t="n"/>
      <c r="J831" s="64" t="n"/>
      <c r="K831" s="63" t="n"/>
      <c r="L831" s="63" t="n"/>
      <c r="M831" s="64" t="n"/>
      <c r="N831" s="66" t="n"/>
      <c r="O831" s="65" t="n"/>
      <c r="P831" s="64" t="n"/>
      <c r="Q831" s="67" t="n"/>
      <c r="R831" s="67" t="n"/>
      <c r="S831" s="68" t="str">
        <f>IF(AND(ISNUMBER($Q831),ISNUMBER($R831)),$Q831-$R831,"")</f>
        <v/>
      </c>
      <c r="T831" s="65" t="n"/>
      <c r="U831" s="64" t="n"/>
      <c r="V831" s="65" t="n"/>
      <c r="W831" s="63" t="n"/>
      <c r="X831" s="65" t="n"/>
      <c r="Y831" s="63" t="n"/>
      <c r="Z831" s="64" t="n"/>
      <c r="AA831" s="64" t="n"/>
      <c r="AB831" s="65" t="n"/>
      <c r="AC831" s="69" t="str">
        <f>IF(OR($G831="",NOT(ISNUMBER($K831)),$AK831=0),"",MAX(0,ReportDate-$K831))</f>
        <v/>
      </c>
      <c r="AD831" s="69" t="str">
        <f>IF($G831="","",IF($AL831=1,ReportDate-$L831,0))</f>
        <v/>
      </c>
      <c r="AE831" s="70" t="str">
        <f>IF($G831="","",IF($M831="Completed",1,IF(ISNUMBER($N831),$N831,0)))</f>
        <v/>
      </c>
      <c r="AF831" s="70" t="str">
        <f>IF(AND(ISNUMBER($Q831),ISNUMBER($R831)),IF($R831&lt;&gt;0,$Q831/$R831,""),"")</f>
        <v/>
      </c>
      <c r="AG831" s="71" t="str">
        <f>IF($G831="","",IF($AL831=1,"OVERDUE",IF($AM831=1,"BLOCKED",IF($AN831=1,"DUE TODAY",IF($AO831=1,"DUE TOMORROW",IF($AQ831=1,"HIGH PRIORITY",IF($AR831=1,"NO RECENT UPDATE",""))))))) </f>
        <v/>
      </c>
      <c r="AH831" s="71" t="str">
        <f>IF($G831="","",IF(ISNUMBER($A831),IF(ISNUMBER($A831),YEAR($A831)&amp;"-"&amp;TEXT(MONTH($A831),"00"),""),IF(ISNUMBER($L831),IF(ISNUMBER($L831),YEAR($L831)&amp;"-"&amp;TEXT(MONTH($L831),"00"),""),"")))</f>
        <v/>
      </c>
      <c r="AI831" s="71">
        <f>IF($G831="",0,IF(AND(OR(fClient="All",$C831=fClient),OR(fCampaign="All",$D831=fCampaign),OR(fTeam="All",$B831=fTeam),OR(fChannel="All",$F831=fChannel),OR(fMonth="All",$AH831=fMonth),OR(fTStatus="All",$M831=fTStatus)),1,0))</f>
        <v>0</v>
      </c>
      <c r="AJ831" s="71">
        <f>IF($G831="",0,IF(AND(OR(fClient="All",$C831=fClient),OR(fCampaign="All",$D831=fCampaign),OR(fTeam="All",$B831=fTeam),OR(fChannel="All",$F831=fChannel)),1,0))</f>
        <v>0</v>
      </c>
      <c r="AK831" s="71">
        <f>IF($G831="",0,IF(OR($M831="Completed",$M831="Cancelled"),0,1))</f>
        <v>0</v>
      </c>
      <c r="AL831" s="71">
        <f>IF(AND($AK831=1,ISNUMBER($L831)),IF($L831&lt;ReportDate,1,0),0)</f>
        <v>0</v>
      </c>
      <c r="AM831" s="71">
        <f>IF(AND($G831&lt;&gt;"",$M831="Blocked"),1,0)</f>
        <v>0</v>
      </c>
      <c r="AN831" s="71">
        <f>IF(AND($AK831=1,ISNUMBER($L831)),IF($L831=ReportDate,1,0),0)</f>
        <v>0</v>
      </c>
      <c r="AO831" s="71">
        <f>IF(AND($AK831=1,ISNUMBER($L831)),IF($L831=ReportDate+1,1,0),0)</f>
        <v>0</v>
      </c>
      <c r="AP831" s="71">
        <f>IF(AND($AK831=1,ISNUMBER($L831)),IF(AND($L831&gt;=ReportDate,$L831&lt;=ReportDate+DueSoonDays),1,0),0)</f>
        <v>0</v>
      </c>
      <c r="AQ831" s="71">
        <f>IF(AND($AK831=1,OR($I831="Critical",$I831="High")),1,0)</f>
        <v>0</v>
      </c>
      <c r="AR831" s="71">
        <f>IF($AK831=1,IF(ISNUMBER($Y831),IF(ReportDate-$Y831&gt;StaleDays,1,0),1),0)</f>
        <v>0</v>
      </c>
      <c r="AS831" s="71">
        <f>IF(AND($G831&lt;&gt;"",ISNUMBER($Q831),ISNUMBER($R831)),IF(AND($Q831&lt;$R831,OR($M831="Completed",AND(ISNUMBER($L831),$L831&lt;ReportDate))),1,0),0)</f>
        <v>0</v>
      </c>
      <c r="AT831" s="71">
        <f>IF($AK831=1,IF(OR($L831=ReportDate,$W831=ReportDate,$K831=ReportDate,$A831=ReportDate),1,0),0)</f>
        <v>0</v>
      </c>
      <c r="AU831" s="71">
        <f>IF($AK831=1,IF(OR($L831=ReportDate+1,$W831=ReportDate+1,$K831=ReportDate+1,$A831=ReportDate+1),1,0),0)</f>
        <v>0</v>
      </c>
      <c r="AV831" s="71">
        <f>IF(AND($G831&lt;&gt;"",$M831="Completed"),IF(OR($Y831=ReportDate-1,$A831=ReportDate-1),1,0),0)</f>
        <v>0</v>
      </c>
      <c r="AW831" s="71">
        <f>IF(AND($AK831=1,$Z831="Yes"),1,0)</f>
        <v>0</v>
      </c>
      <c r="AX831" s="71">
        <f>IF(AND($AK831=1,$AA831="Yes"),1,0)</f>
        <v>0</v>
      </c>
      <c r="AY831" s="71">
        <f>IF(AND($AM831=1,OR($I831="Critical",$I831="High")),1,0)</f>
        <v>0</v>
      </c>
      <c r="AZ831" s="71">
        <f>IF(AND($AK831=1,OR($C831=TCL_Client,$C831=MECCA_Client)),1,0)</f>
        <v>0</v>
      </c>
      <c r="BA831" s="71" t="str">
        <f>IF($G831="","",IFERROR(MATCH($I831,lst_Priority,0),5))</f>
        <v/>
      </c>
      <c r="BB831" s="71" t="str">
        <f>IF(AND($AL831=1,$AJ831=1),$BA831*100000+ROW(),"")</f>
        <v/>
      </c>
      <c r="BC831" s="71" t="str">
        <f>IF(AND($AM831=1,$AJ831=1),$BA831*100000+ROW(),"")</f>
        <v/>
      </c>
      <c r="BD831" s="71" t="str">
        <f>IF(AND($AP831=1,$AJ831=1),$BA831*100000+ROW(),"")</f>
        <v/>
      </c>
      <c r="BE831" s="71" t="str">
        <f>IF(AND($AT831=1,$AJ831=1),$BA831*100000+ROW(),"")</f>
        <v/>
      </c>
      <c r="BF831" s="71" t="str">
        <f>IF(AND($AU831=1,$AJ831=1),$BA831*100000+ROW(),"")</f>
        <v/>
      </c>
      <c r="BG831" s="71" t="str">
        <f>IF(AND($AV831=1,$AJ831=1),$BA831*100000+ROW(),"")</f>
        <v/>
      </c>
      <c r="BH831" s="71" t="str">
        <f>IF(AND($AW831=1,$AJ831=1),$BA831*100000+ROW(),"")</f>
        <v/>
      </c>
      <c r="BI831" s="71" t="str">
        <f>IF(AND($AX831=1,$AJ831=1),$BA831*100000+ROW(),"")</f>
        <v/>
      </c>
      <c r="BJ831" s="71" t="str">
        <f>IF(AND($AS831=1,$AJ831=1),$BA831*100000+ROW(),"")</f>
        <v/>
      </c>
      <c r="BK831" s="71" t="str">
        <f>IF(AND($AY831=1,$AJ831=1),$BA831*100000+ROW(),"")</f>
        <v/>
      </c>
      <c r="BL831" s="71" t="str">
        <f>IF(AND($AZ831=1),$BA831*100000+ROW(),"")</f>
        <v/>
      </c>
    </row>
    <row r="832">
      <c r="A832" s="63" t="n"/>
      <c r="B832" s="64" t="n"/>
      <c r="C832" s="64" t="n"/>
      <c r="D832" s="64" t="n"/>
      <c r="E832" s="64" t="n"/>
      <c r="F832" s="64" t="n"/>
      <c r="G832" s="65" t="n"/>
      <c r="H832" s="65" t="n"/>
      <c r="I832" s="64" t="n"/>
      <c r="J832" s="64" t="n"/>
      <c r="K832" s="63" t="n"/>
      <c r="L832" s="63" t="n"/>
      <c r="M832" s="64" t="n"/>
      <c r="N832" s="66" t="n"/>
      <c r="O832" s="65" t="n"/>
      <c r="P832" s="64" t="n"/>
      <c r="Q832" s="67" t="n"/>
      <c r="R832" s="67" t="n"/>
      <c r="S832" s="68" t="str">
        <f>IF(AND(ISNUMBER($Q832),ISNUMBER($R832)),$Q832-$R832,"")</f>
        <v/>
      </c>
      <c r="T832" s="65" t="n"/>
      <c r="U832" s="64" t="n"/>
      <c r="V832" s="65" t="n"/>
      <c r="W832" s="63" t="n"/>
      <c r="X832" s="65" t="n"/>
      <c r="Y832" s="63" t="n"/>
      <c r="Z832" s="64" t="n"/>
      <c r="AA832" s="64" t="n"/>
      <c r="AB832" s="65" t="n"/>
      <c r="AC832" s="69" t="str">
        <f>IF(OR($G832="",NOT(ISNUMBER($K832)),$AK832=0),"",MAX(0,ReportDate-$K832))</f>
        <v/>
      </c>
      <c r="AD832" s="69" t="str">
        <f>IF($G832="","",IF($AL832=1,ReportDate-$L832,0))</f>
        <v/>
      </c>
      <c r="AE832" s="70" t="str">
        <f>IF($G832="","",IF($M832="Completed",1,IF(ISNUMBER($N832),$N832,0)))</f>
        <v/>
      </c>
      <c r="AF832" s="70" t="str">
        <f>IF(AND(ISNUMBER($Q832),ISNUMBER($R832)),IF($R832&lt;&gt;0,$Q832/$R832,""),"")</f>
        <v/>
      </c>
      <c r="AG832" s="71" t="str">
        <f>IF($G832="","",IF($AL832=1,"OVERDUE",IF($AM832=1,"BLOCKED",IF($AN832=1,"DUE TODAY",IF($AO832=1,"DUE TOMORROW",IF($AQ832=1,"HIGH PRIORITY",IF($AR832=1,"NO RECENT UPDATE",""))))))) </f>
        <v/>
      </c>
      <c r="AH832" s="71" t="str">
        <f>IF($G832="","",IF(ISNUMBER($A832),IF(ISNUMBER($A832),YEAR($A832)&amp;"-"&amp;TEXT(MONTH($A832),"00"),""),IF(ISNUMBER($L832),IF(ISNUMBER($L832),YEAR($L832)&amp;"-"&amp;TEXT(MONTH($L832),"00"),""),"")))</f>
        <v/>
      </c>
      <c r="AI832" s="71">
        <f>IF($G832="",0,IF(AND(OR(fClient="All",$C832=fClient),OR(fCampaign="All",$D832=fCampaign),OR(fTeam="All",$B832=fTeam),OR(fChannel="All",$F832=fChannel),OR(fMonth="All",$AH832=fMonth),OR(fTStatus="All",$M832=fTStatus)),1,0))</f>
        <v>0</v>
      </c>
      <c r="AJ832" s="71">
        <f>IF($G832="",0,IF(AND(OR(fClient="All",$C832=fClient),OR(fCampaign="All",$D832=fCampaign),OR(fTeam="All",$B832=fTeam),OR(fChannel="All",$F832=fChannel)),1,0))</f>
        <v>0</v>
      </c>
      <c r="AK832" s="71">
        <f>IF($G832="",0,IF(OR($M832="Completed",$M832="Cancelled"),0,1))</f>
        <v>0</v>
      </c>
      <c r="AL832" s="71">
        <f>IF(AND($AK832=1,ISNUMBER($L832)),IF($L832&lt;ReportDate,1,0),0)</f>
        <v>0</v>
      </c>
      <c r="AM832" s="71">
        <f>IF(AND($G832&lt;&gt;"",$M832="Blocked"),1,0)</f>
        <v>0</v>
      </c>
      <c r="AN832" s="71">
        <f>IF(AND($AK832=1,ISNUMBER($L832)),IF($L832=ReportDate,1,0),0)</f>
        <v>0</v>
      </c>
      <c r="AO832" s="71">
        <f>IF(AND($AK832=1,ISNUMBER($L832)),IF($L832=ReportDate+1,1,0),0)</f>
        <v>0</v>
      </c>
      <c r="AP832" s="71">
        <f>IF(AND($AK832=1,ISNUMBER($L832)),IF(AND($L832&gt;=ReportDate,$L832&lt;=ReportDate+DueSoonDays),1,0),0)</f>
        <v>0</v>
      </c>
      <c r="AQ832" s="71">
        <f>IF(AND($AK832=1,OR($I832="Critical",$I832="High")),1,0)</f>
        <v>0</v>
      </c>
      <c r="AR832" s="71">
        <f>IF($AK832=1,IF(ISNUMBER($Y832),IF(ReportDate-$Y832&gt;StaleDays,1,0),1),0)</f>
        <v>0</v>
      </c>
      <c r="AS832" s="71">
        <f>IF(AND($G832&lt;&gt;"",ISNUMBER($Q832),ISNUMBER($R832)),IF(AND($Q832&lt;$R832,OR($M832="Completed",AND(ISNUMBER($L832),$L832&lt;ReportDate))),1,0),0)</f>
        <v>0</v>
      </c>
      <c r="AT832" s="71">
        <f>IF($AK832=1,IF(OR($L832=ReportDate,$W832=ReportDate,$K832=ReportDate,$A832=ReportDate),1,0),0)</f>
        <v>0</v>
      </c>
      <c r="AU832" s="71">
        <f>IF($AK832=1,IF(OR($L832=ReportDate+1,$W832=ReportDate+1,$K832=ReportDate+1,$A832=ReportDate+1),1,0),0)</f>
        <v>0</v>
      </c>
      <c r="AV832" s="71">
        <f>IF(AND($G832&lt;&gt;"",$M832="Completed"),IF(OR($Y832=ReportDate-1,$A832=ReportDate-1),1,0),0)</f>
        <v>0</v>
      </c>
      <c r="AW832" s="71">
        <f>IF(AND($AK832=1,$Z832="Yes"),1,0)</f>
        <v>0</v>
      </c>
      <c r="AX832" s="71">
        <f>IF(AND($AK832=1,$AA832="Yes"),1,0)</f>
        <v>0</v>
      </c>
      <c r="AY832" s="71">
        <f>IF(AND($AM832=1,OR($I832="Critical",$I832="High")),1,0)</f>
        <v>0</v>
      </c>
      <c r="AZ832" s="71">
        <f>IF(AND($AK832=1,OR($C832=TCL_Client,$C832=MECCA_Client)),1,0)</f>
        <v>0</v>
      </c>
      <c r="BA832" s="71" t="str">
        <f>IF($G832="","",IFERROR(MATCH($I832,lst_Priority,0),5))</f>
        <v/>
      </c>
      <c r="BB832" s="71" t="str">
        <f>IF(AND($AL832=1,$AJ832=1),$BA832*100000+ROW(),"")</f>
        <v/>
      </c>
      <c r="BC832" s="71" t="str">
        <f>IF(AND($AM832=1,$AJ832=1),$BA832*100000+ROW(),"")</f>
        <v/>
      </c>
      <c r="BD832" s="71" t="str">
        <f>IF(AND($AP832=1,$AJ832=1),$BA832*100000+ROW(),"")</f>
        <v/>
      </c>
      <c r="BE832" s="71" t="str">
        <f>IF(AND($AT832=1,$AJ832=1),$BA832*100000+ROW(),"")</f>
        <v/>
      </c>
      <c r="BF832" s="71" t="str">
        <f>IF(AND($AU832=1,$AJ832=1),$BA832*100000+ROW(),"")</f>
        <v/>
      </c>
      <c r="BG832" s="71" t="str">
        <f>IF(AND($AV832=1,$AJ832=1),$BA832*100000+ROW(),"")</f>
        <v/>
      </c>
      <c r="BH832" s="71" t="str">
        <f>IF(AND($AW832=1,$AJ832=1),$BA832*100000+ROW(),"")</f>
        <v/>
      </c>
      <c r="BI832" s="71" t="str">
        <f>IF(AND($AX832=1,$AJ832=1),$BA832*100000+ROW(),"")</f>
        <v/>
      </c>
      <c r="BJ832" s="71" t="str">
        <f>IF(AND($AS832=1,$AJ832=1),$BA832*100000+ROW(),"")</f>
        <v/>
      </c>
      <c r="BK832" s="71" t="str">
        <f>IF(AND($AY832=1,$AJ832=1),$BA832*100000+ROW(),"")</f>
        <v/>
      </c>
      <c r="BL832" s="71" t="str">
        <f>IF(AND($AZ832=1),$BA832*100000+ROW(),"")</f>
        <v/>
      </c>
    </row>
    <row r="833">
      <c r="A833" s="63" t="n"/>
      <c r="B833" s="64" t="n"/>
      <c r="C833" s="64" t="n"/>
      <c r="D833" s="64" t="n"/>
      <c r="E833" s="64" t="n"/>
      <c r="F833" s="64" t="n"/>
      <c r="G833" s="65" t="n"/>
      <c r="H833" s="65" t="n"/>
      <c r="I833" s="64" t="n"/>
      <c r="J833" s="64" t="n"/>
      <c r="K833" s="63" t="n"/>
      <c r="L833" s="63" t="n"/>
      <c r="M833" s="64" t="n"/>
      <c r="N833" s="66" t="n"/>
      <c r="O833" s="65" t="n"/>
      <c r="P833" s="64" t="n"/>
      <c r="Q833" s="67" t="n"/>
      <c r="R833" s="67" t="n"/>
      <c r="S833" s="68" t="str">
        <f>IF(AND(ISNUMBER($Q833),ISNUMBER($R833)),$Q833-$R833,"")</f>
        <v/>
      </c>
      <c r="T833" s="65" t="n"/>
      <c r="U833" s="64" t="n"/>
      <c r="V833" s="65" t="n"/>
      <c r="W833" s="63" t="n"/>
      <c r="X833" s="65" t="n"/>
      <c r="Y833" s="63" t="n"/>
      <c r="Z833" s="64" t="n"/>
      <c r="AA833" s="64" t="n"/>
      <c r="AB833" s="65" t="n"/>
      <c r="AC833" s="69" t="str">
        <f>IF(OR($G833="",NOT(ISNUMBER($K833)),$AK833=0),"",MAX(0,ReportDate-$K833))</f>
        <v/>
      </c>
      <c r="AD833" s="69" t="str">
        <f>IF($G833="","",IF($AL833=1,ReportDate-$L833,0))</f>
        <v/>
      </c>
      <c r="AE833" s="70" t="str">
        <f>IF($G833="","",IF($M833="Completed",1,IF(ISNUMBER($N833),$N833,0)))</f>
        <v/>
      </c>
      <c r="AF833" s="70" t="str">
        <f>IF(AND(ISNUMBER($Q833),ISNUMBER($R833)),IF($R833&lt;&gt;0,$Q833/$R833,""),"")</f>
        <v/>
      </c>
      <c r="AG833" s="71" t="str">
        <f>IF($G833="","",IF($AL833=1,"OVERDUE",IF($AM833=1,"BLOCKED",IF($AN833=1,"DUE TODAY",IF($AO833=1,"DUE TOMORROW",IF($AQ833=1,"HIGH PRIORITY",IF($AR833=1,"NO RECENT UPDATE",""))))))) </f>
        <v/>
      </c>
      <c r="AH833" s="71" t="str">
        <f>IF($G833="","",IF(ISNUMBER($A833),IF(ISNUMBER($A833),YEAR($A833)&amp;"-"&amp;TEXT(MONTH($A833),"00"),""),IF(ISNUMBER($L833),IF(ISNUMBER($L833),YEAR($L833)&amp;"-"&amp;TEXT(MONTH($L833),"00"),""),"")))</f>
        <v/>
      </c>
      <c r="AI833" s="71">
        <f>IF($G833="",0,IF(AND(OR(fClient="All",$C833=fClient),OR(fCampaign="All",$D833=fCampaign),OR(fTeam="All",$B833=fTeam),OR(fChannel="All",$F833=fChannel),OR(fMonth="All",$AH833=fMonth),OR(fTStatus="All",$M833=fTStatus)),1,0))</f>
        <v>0</v>
      </c>
      <c r="AJ833" s="71">
        <f>IF($G833="",0,IF(AND(OR(fClient="All",$C833=fClient),OR(fCampaign="All",$D833=fCampaign),OR(fTeam="All",$B833=fTeam),OR(fChannel="All",$F833=fChannel)),1,0))</f>
        <v>0</v>
      </c>
      <c r="AK833" s="71">
        <f>IF($G833="",0,IF(OR($M833="Completed",$M833="Cancelled"),0,1))</f>
        <v>0</v>
      </c>
      <c r="AL833" s="71">
        <f>IF(AND($AK833=1,ISNUMBER($L833)),IF($L833&lt;ReportDate,1,0),0)</f>
        <v>0</v>
      </c>
      <c r="AM833" s="71">
        <f>IF(AND($G833&lt;&gt;"",$M833="Blocked"),1,0)</f>
        <v>0</v>
      </c>
      <c r="AN833" s="71">
        <f>IF(AND($AK833=1,ISNUMBER($L833)),IF($L833=ReportDate,1,0),0)</f>
        <v>0</v>
      </c>
      <c r="AO833" s="71">
        <f>IF(AND($AK833=1,ISNUMBER($L833)),IF($L833=ReportDate+1,1,0),0)</f>
        <v>0</v>
      </c>
      <c r="AP833" s="71">
        <f>IF(AND($AK833=1,ISNUMBER($L833)),IF(AND($L833&gt;=ReportDate,$L833&lt;=ReportDate+DueSoonDays),1,0),0)</f>
        <v>0</v>
      </c>
      <c r="AQ833" s="71">
        <f>IF(AND($AK833=1,OR($I833="Critical",$I833="High")),1,0)</f>
        <v>0</v>
      </c>
      <c r="AR833" s="71">
        <f>IF($AK833=1,IF(ISNUMBER($Y833),IF(ReportDate-$Y833&gt;StaleDays,1,0),1),0)</f>
        <v>0</v>
      </c>
      <c r="AS833" s="71">
        <f>IF(AND($G833&lt;&gt;"",ISNUMBER($Q833),ISNUMBER($R833)),IF(AND($Q833&lt;$R833,OR($M833="Completed",AND(ISNUMBER($L833),$L833&lt;ReportDate))),1,0),0)</f>
        <v>0</v>
      </c>
      <c r="AT833" s="71">
        <f>IF($AK833=1,IF(OR($L833=ReportDate,$W833=ReportDate,$K833=ReportDate,$A833=ReportDate),1,0),0)</f>
        <v>0</v>
      </c>
      <c r="AU833" s="71">
        <f>IF($AK833=1,IF(OR($L833=ReportDate+1,$W833=ReportDate+1,$K833=ReportDate+1,$A833=ReportDate+1),1,0),0)</f>
        <v>0</v>
      </c>
      <c r="AV833" s="71">
        <f>IF(AND($G833&lt;&gt;"",$M833="Completed"),IF(OR($Y833=ReportDate-1,$A833=ReportDate-1),1,0),0)</f>
        <v>0</v>
      </c>
      <c r="AW833" s="71">
        <f>IF(AND($AK833=1,$Z833="Yes"),1,0)</f>
        <v>0</v>
      </c>
      <c r="AX833" s="71">
        <f>IF(AND($AK833=1,$AA833="Yes"),1,0)</f>
        <v>0</v>
      </c>
      <c r="AY833" s="71">
        <f>IF(AND($AM833=1,OR($I833="Critical",$I833="High")),1,0)</f>
        <v>0</v>
      </c>
      <c r="AZ833" s="71">
        <f>IF(AND($AK833=1,OR($C833=TCL_Client,$C833=MECCA_Client)),1,0)</f>
        <v>0</v>
      </c>
      <c r="BA833" s="71" t="str">
        <f>IF($G833="","",IFERROR(MATCH($I833,lst_Priority,0),5))</f>
        <v/>
      </c>
      <c r="BB833" s="71" t="str">
        <f>IF(AND($AL833=1,$AJ833=1),$BA833*100000+ROW(),"")</f>
        <v/>
      </c>
      <c r="BC833" s="71" t="str">
        <f>IF(AND($AM833=1,$AJ833=1),$BA833*100000+ROW(),"")</f>
        <v/>
      </c>
      <c r="BD833" s="71" t="str">
        <f>IF(AND($AP833=1,$AJ833=1),$BA833*100000+ROW(),"")</f>
        <v/>
      </c>
      <c r="BE833" s="71" t="str">
        <f>IF(AND($AT833=1,$AJ833=1),$BA833*100000+ROW(),"")</f>
        <v/>
      </c>
      <c r="BF833" s="71" t="str">
        <f>IF(AND($AU833=1,$AJ833=1),$BA833*100000+ROW(),"")</f>
        <v/>
      </c>
      <c r="BG833" s="71" t="str">
        <f>IF(AND($AV833=1,$AJ833=1),$BA833*100000+ROW(),"")</f>
        <v/>
      </c>
      <c r="BH833" s="71" t="str">
        <f>IF(AND($AW833=1,$AJ833=1),$BA833*100000+ROW(),"")</f>
        <v/>
      </c>
      <c r="BI833" s="71" t="str">
        <f>IF(AND($AX833=1,$AJ833=1),$BA833*100000+ROW(),"")</f>
        <v/>
      </c>
      <c r="BJ833" s="71" t="str">
        <f>IF(AND($AS833=1,$AJ833=1),$BA833*100000+ROW(),"")</f>
        <v/>
      </c>
      <c r="BK833" s="71" t="str">
        <f>IF(AND($AY833=1,$AJ833=1),$BA833*100000+ROW(),"")</f>
        <v/>
      </c>
      <c r="BL833" s="71" t="str">
        <f>IF(AND($AZ833=1),$BA833*100000+ROW(),"")</f>
        <v/>
      </c>
    </row>
    <row r="834">
      <c r="A834" s="63" t="n"/>
      <c r="B834" s="64" t="n"/>
      <c r="C834" s="64" t="n"/>
      <c r="D834" s="64" t="n"/>
      <c r="E834" s="64" t="n"/>
      <c r="F834" s="64" t="n"/>
      <c r="G834" s="65" t="n"/>
      <c r="H834" s="65" t="n"/>
      <c r="I834" s="64" t="n"/>
      <c r="J834" s="64" t="n"/>
      <c r="K834" s="63" t="n"/>
      <c r="L834" s="63" t="n"/>
      <c r="M834" s="64" t="n"/>
      <c r="N834" s="66" t="n"/>
      <c r="O834" s="65" t="n"/>
      <c r="P834" s="64" t="n"/>
      <c r="Q834" s="67" t="n"/>
      <c r="R834" s="67" t="n"/>
      <c r="S834" s="68" t="str">
        <f>IF(AND(ISNUMBER($Q834),ISNUMBER($R834)),$Q834-$R834,"")</f>
        <v/>
      </c>
      <c r="T834" s="65" t="n"/>
      <c r="U834" s="64" t="n"/>
      <c r="V834" s="65" t="n"/>
      <c r="W834" s="63" t="n"/>
      <c r="X834" s="65" t="n"/>
      <c r="Y834" s="63" t="n"/>
      <c r="Z834" s="64" t="n"/>
      <c r="AA834" s="64" t="n"/>
      <c r="AB834" s="65" t="n"/>
      <c r="AC834" s="69" t="str">
        <f>IF(OR($G834="",NOT(ISNUMBER($K834)),$AK834=0),"",MAX(0,ReportDate-$K834))</f>
        <v/>
      </c>
      <c r="AD834" s="69" t="str">
        <f>IF($G834="","",IF($AL834=1,ReportDate-$L834,0))</f>
        <v/>
      </c>
      <c r="AE834" s="70" t="str">
        <f>IF($G834="","",IF($M834="Completed",1,IF(ISNUMBER($N834),$N834,0)))</f>
        <v/>
      </c>
      <c r="AF834" s="70" t="str">
        <f>IF(AND(ISNUMBER($Q834),ISNUMBER($R834)),IF($R834&lt;&gt;0,$Q834/$R834,""),"")</f>
        <v/>
      </c>
      <c r="AG834" s="71" t="str">
        <f>IF($G834="","",IF($AL834=1,"OVERDUE",IF($AM834=1,"BLOCKED",IF($AN834=1,"DUE TODAY",IF($AO834=1,"DUE TOMORROW",IF($AQ834=1,"HIGH PRIORITY",IF($AR834=1,"NO RECENT UPDATE",""))))))) </f>
        <v/>
      </c>
      <c r="AH834" s="71" t="str">
        <f>IF($G834="","",IF(ISNUMBER($A834),IF(ISNUMBER($A834),YEAR($A834)&amp;"-"&amp;TEXT(MONTH($A834),"00"),""),IF(ISNUMBER($L834),IF(ISNUMBER($L834),YEAR($L834)&amp;"-"&amp;TEXT(MONTH($L834),"00"),""),"")))</f>
        <v/>
      </c>
      <c r="AI834" s="71">
        <f>IF($G834="",0,IF(AND(OR(fClient="All",$C834=fClient),OR(fCampaign="All",$D834=fCampaign),OR(fTeam="All",$B834=fTeam),OR(fChannel="All",$F834=fChannel),OR(fMonth="All",$AH834=fMonth),OR(fTStatus="All",$M834=fTStatus)),1,0))</f>
        <v>0</v>
      </c>
      <c r="AJ834" s="71">
        <f>IF($G834="",0,IF(AND(OR(fClient="All",$C834=fClient),OR(fCampaign="All",$D834=fCampaign),OR(fTeam="All",$B834=fTeam),OR(fChannel="All",$F834=fChannel)),1,0))</f>
        <v>0</v>
      </c>
      <c r="AK834" s="71">
        <f>IF($G834="",0,IF(OR($M834="Completed",$M834="Cancelled"),0,1))</f>
        <v>0</v>
      </c>
      <c r="AL834" s="71">
        <f>IF(AND($AK834=1,ISNUMBER($L834)),IF($L834&lt;ReportDate,1,0),0)</f>
        <v>0</v>
      </c>
      <c r="AM834" s="71">
        <f>IF(AND($G834&lt;&gt;"",$M834="Blocked"),1,0)</f>
        <v>0</v>
      </c>
      <c r="AN834" s="71">
        <f>IF(AND($AK834=1,ISNUMBER($L834)),IF($L834=ReportDate,1,0),0)</f>
        <v>0</v>
      </c>
      <c r="AO834" s="71">
        <f>IF(AND($AK834=1,ISNUMBER($L834)),IF($L834=ReportDate+1,1,0),0)</f>
        <v>0</v>
      </c>
      <c r="AP834" s="71">
        <f>IF(AND($AK834=1,ISNUMBER($L834)),IF(AND($L834&gt;=ReportDate,$L834&lt;=ReportDate+DueSoonDays),1,0),0)</f>
        <v>0</v>
      </c>
      <c r="AQ834" s="71">
        <f>IF(AND($AK834=1,OR($I834="Critical",$I834="High")),1,0)</f>
        <v>0</v>
      </c>
      <c r="AR834" s="71">
        <f>IF($AK834=1,IF(ISNUMBER($Y834),IF(ReportDate-$Y834&gt;StaleDays,1,0),1),0)</f>
        <v>0</v>
      </c>
      <c r="AS834" s="71">
        <f>IF(AND($G834&lt;&gt;"",ISNUMBER($Q834),ISNUMBER($R834)),IF(AND($Q834&lt;$R834,OR($M834="Completed",AND(ISNUMBER($L834),$L834&lt;ReportDate))),1,0),0)</f>
        <v>0</v>
      </c>
      <c r="AT834" s="71">
        <f>IF($AK834=1,IF(OR($L834=ReportDate,$W834=ReportDate,$K834=ReportDate,$A834=ReportDate),1,0),0)</f>
        <v>0</v>
      </c>
      <c r="AU834" s="71">
        <f>IF($AK834=1,IF(OR($L834=ReportDate+1,$W834=ReportDate+1,$K834=ReportDate+1,$A834=ReportDate+1),1,0),0)</f>
        <v>0</v>
      </c>
      <c r="AV834" s="71">
        <f>IF(AND($G834&lt;&gt;"",$M834="Completed"),IF(OR($Y834=ReportDate-1,$A834=ReportDate-1),1,0),0)</f>
        <v>0</v>
      </c>
      <c r="AW834" s="71">
        <f>IF(AND($AK834=1,$Z834="Yes"),1,0)</f>
        <v>0</v>
      </c>
      <c r="AX834" s="71">
        <f>IF(AND($AK834=1,$AA834="Yes"),1,0)</f>
        <v>0</v>
      </c>
      <c r="AY834" s="71">
        <f>IF(AND($AM834=1,OR($I834="Critical",$I834="High")),1,0)</f>
        <v>0</v>
      </c>
      <c r="AZ834" s="71">
        <f>IF(AND($AK834=1,OR($C834=TCL_Client,$C834=MECCA_Client)),1,0)</f>
        <v>0</v>
      </c>
      <c r="BA834" s="71" t="str">
        <f>IF($G834="","",IFERROR(MATCH($I834,lst_Priority,0),5))</f>
        <v/>
      </c>
      <c r="BB834" s="71" t="str">
        <f>IF(AND($AL834=1,$AJ834=1),$BA834*100000+ROW(),"")</f>
        <v/>
      </c>
      <c r="BC834" s="71" t="str">
        <f>IF(AND($AM834=1,$AJ834=1),$BA834*100000+ROW(),"")</f>
        <v/>
      </c>
      <c r="BD834" s="71" t="str">
        <f>IF(AND($AP834=1,$AJ834=1),$BA834*100000+ROW(),"")</f>
        <v/>
      </c>
      <c r="BE834" s="71" t="str">
        <f>IF(AND($AT834=1,$AJ834=1),$BA834*100000+ROW(),"")</f>
        <v/>
      </c>
      <c r="BF834" s="71" t="str">
        <f>IF(AND($AU834=1,$AJ834=1),$BA834*100000+ROW(),"")</f>
        <v/>
      </c>
      <c r="BG834" s="71" t="str">
        <f>IF(AND($AV834=1,$AJ834=1),$BA834*100000+ROW(),"")</f>
        <v/>
      </c>
      <c r="BH834" s="71" t="str">
        <f>IF(AND($AW834=1,$AJ834=1),$BA834*100000+ROW(),"")</f>
        <v/>
      </c>
      <c r="BI834" s="71" t="str">
        <f>IF(AND($AX834=1,$AJ834=1),$BA834*100000+ROW(),"")</f>
        <v/>
      </c>
      <c r="BJ834" s="71" t="str">
        <f>IF(AND($AS834=1,$AJ834=1),$BA834*100000+ROW(),"")</f>
        <v/>
      </c>
      <c r="BK834" s="71" t="str">
        <f>IF(AND($AY834=1,$AJ834=1),$BA834*100000+ROW(),"")</f>
        <v/>
      </c>
      <c r="BL834" s="71" t="str">
        <f>IF(AND($AZ834=1),$BA834*100000+ROW(),"")</f>
        <v/>
      </c>
    </row>
    <row r="835">
      <c r="A835" s="63" t="n"/>
      <c r="B835" s="64" t="n"/>
      <c r="C835" s="64" t="n"/>
      <c r="D835" s="64" t="n"/>
      <c r="E835" s="64" t="n"/>
      <c r="F835" s="64" t="n"/>
      <c r="G835" s="65" t="n"/>
      <c r="H835" s="65" t="n"/>
      <c r="I835" s="64" t="n"/>
      <c r="J835" s="64" t="n"/>
      <c r="K835" s="63" t="n"/>
      <c r="L835" s="63" t="n"/>
      <c r="M835" s="64" t="n"/>
      <c r="N835" s="66" t="n"/>
      <c r="O835" s="65" t="n"/>
      <c r="P835" s="64" t="n"/>
      <c r="Q835" s="67" t="n"/>
      <c r="R835" s="67" t="n"/>
      <c r="S835" s="68" t="str">
        <f>IF(AND(ISNUMBER($Q835),ISNUMBER($R835)),$Q835-$R835,"")</f>
        <v/>
      </c>
      <c r="T835" s="65" t="n"/>
      <c r="U835" s="64" t="n"/>
      <c r="V835" s="65" t="n"/>
      <c r="W835" s="63" t="n"/>
      <c r="X835" s="65" t="n"/>
      <c r="Y835" s="63" t="n"/>
      <c r="Z835" s="64" t="n"/>
      <c r="AA835" s="64" t="n"/>
      <c r="AB835" s="65" t="n"/>
      <c r="AC835" s="69" t="str">
        <f>IF(OR($G835="",NOT(ISNUMBER($K835)),$AK835=0),"",MAX(0,ReportDate-$K835))</f>
        <v/>
      </c>
      <c r="AD835" s="69" t="str">
        <f>IF($G835="","",IF($AL835=1,ReportDate-$L835,0))</f>
        <v/>
      </c>
      <c r="AE835" s="70" t="str">
        <f>IF($G835="","",IF($M835="Completed",1,IF(ISNUMBER($N835),$N835,0)))</f>
        <v/>
      </c>
      <c r="AF835" s="70" t="str">
        <f>IF(AND(ISNUMBER($Q835),ISNUMBER($R835)),IF($R835&lt;&gt;0,$Q835/$R835,""),"")</f>
        <v/>
      </c>
      <c r="AG835" s="71" t="str">
        <f>IF($G835="","",IF($AL835=1,"OVERDUE",IF($AM835=1,"BLOCKED",IF($AN835=1,"DUE TODAY",IF($AO835=1,"DUE TOMORROW",IF($AQ835=1,"HIGH PRIORITY",IF($AR835=1,"NO RECENT UPDATE",""))))))) </f>
        <v/>
      </c>
      <c r="AH835" s="71" t="str">
        <f>IF($G835="","",IF(ISNUMBER($A835),IF(ISNUMBER($A835),YEAR($A835)&amp;"-"&amp;TEXT(MONTH($A835),"00"),""),IF(ISNUMBER($L835),IF(ISNUMBER($L835),YEAR($L835)&amp;"-"&amp;TEXT(MONTH($L835),"00"),""),"")))</f>
        <v/>
      </c>
      <c r="AI835" s="71">
        <f>IF($G835="",0,IF(AND(OR(fClient="All",$C835=fClient),OR(fCampaign="All",$D835=fCampaign),OR(fTeam="All",$B835=fTeam),OR(fChannel="All",$F835=fChannel),OR(fMonth="All",$AH835=fMonth),OR(fTStatus="All",$M835=fTStatus)),1,0))</f>
        <v>0</v>
      </c>
      <c r="AJ835" s="71">
        <f>IF($G835="",0,IF(AND(OR(fClient="All",$C835=fClient),OR(fCampaign="All",$D835=fCampaign),OR(fTeam="All",$B835=fTeam),OR(fChannel="All",$F835=fChannel)),1,0))</f>
        <v>0</v>
      </c>
      <c r="AK835" s="71">
        <f>IF($G835="",0,IF(OR($M835="Completed",$M835="Cancelled"),0,1))</f>
        <v>0</v>
      </c>
      <c r="AL835" s="71">
        <f>IF(AND($AK835=1,ISNUMBER($L835)),IF($L835&lt;ReportDate,1,0),0)</f>
        <v>0</v>
      </c>
      <c r="AM835" s="71">
        <f>IF(AND($G835&lt;&gt;"",$M835="Blocked"),1,0)</f>
        <v>0</v>
      </c>
      <c r="AN835" s="71">
        <f>IF(AND($AK835=1,ISNUMBER($L835)),IF($L835=ReportDate,1,0),0)</f>
        <v>0</v>
      </c>
      <c r="AO835" s="71">
        <f>IF(AND($AK835=1,ISNUMBER($L835)),IF($L835=ReportDate+1,1,0),0)</f>
        <v>0</v>
      </c>
      <c r="AP835" s="71">
        <f>IF(AND($AK835=1,ISNUMBER($L835)),IF(AND($L835&gt;=ReportDate,$L835&lt;=ReportDate+DueSoonDays),1,0),0)</f>
        <v>0</v>
      </c>
      <c r="AQ835" s="71">
        <f>IF(AND($AK835=1,OR($I835="Critical",$I835="High")),1,0)</f>
        <v>0</v>
      </c>
      <c r="AR835" s="71">
        <f>IF($AK835=1,IF(ISNUMBER($Y835),IF(ReportDate-$Y835&gt;StaleDays,1,0),1),0)</f>
        <v>0</v>
      </c>
      <c r="AS835" s="71">
        <f>IF(AND($G835&lt;&gt;"",ISNUMBER($Q835),ISNUMBER($R835)),IF(AND($Q835&lt;$R835,OR($M835="Completed",AND(ISNUMBER($L835),$L835&lt;ReportDate))),1,0),0)</f>
        <v>0</v>
      </c>
      <c r="AT835" s="71">
        <f>IF($AK835=1,IF(OR($L835=ReportDate,$W835=ReportDate,$K835=ReportDate,$A835=ReportDate),1,0),0)</f>
        <v>0</v>
      </c>
      <c r="AU835" s="71">
        <f>IF($AK835=1,IF(OR($L835=ReportDate+1,$W835=ReportDate+1,$K835=ReportDate+1,$A835=ReportDate+1),1,0),0)</f>
        <v>0</v>
      </c>
      <c r="AV835" s="71">
        <f>IF(AND($G835&lt;&gt;"",$M835="Completed"),IF(OR($Y835=ReportDate-1,$A835=ReportDate-1),1,0),0)</f>
        <v>0</v>
      </c>
      <c r="AW835" s="71">
        <f>IF(AND($AK835=1,$Z835="Yes"),1,0)</f>
        <v>0</v>
      </c>
      <c r="AX835" s="71">
        <f>IF(AND($AK835=1,$AA835="Yes"),1,0)</f>
        <v>0</v>
      </c>
      <c r="AY835" s="71">
        <f>IF(AND($AM835=1,OR($I835="Critical",$I835="High")),1,0)</f>
        <v>0</v>
      </c>
      <c r="AZ835" s="71">
        <f>IF(AND($AK835=1,OR($C835=TCL_Client,$C835=MECCA_Client)),1,0)</f>
        <v>0</v>
      </c>
      <c r="BA835" s="71" t="str">
        <f>IF($G835="","",IFERROR(MATCH($I835,lst_Priority,0),5))</f>
        <v/>
      </c>
      <c r="BB835" s="71" t="str">
        <f>IF(AND($AL835=1,$AJ835=1),$BA835*100000+ROW(),"")</f>
        <v/>
      </c>
      <c r="BC835" s="71" t="str">
        <f>IF(AND($AM835=1,$AJ835=1),$BA835*100000+ROW(),"")</f>
        <v/>
      </c>
      <c r="BD835" s="71" t="str">
        <f>IF(AND($AP835=1,$AJ835=1),$BA835*100000+ROW(),"")</f>
        <v/>
      </c>
      <c r="BE835" s="71" t="str">
        <f>IF(AND($AT835=1,$AJ835=1),$BA835*100000+ROW(),"")</f>
        <v/>
      </c>
      <c r="BF835" s="71" t="str">
        <f>IF(AND($AU835=1,$AJ835=1),$BA835*100000+ROW(),"")</f>
        <v/>
      </c>
      <c r="BG835" s="71" t="str">
        <f>IF(AND($AV835=1,$AJ835=1),$BA835*100000+ROW(),"")</f>
        <v/>
      </c>
      <c r="BH835" s="71" t="str">
        <f>IF(AND($AW835=1,$AJ835=1),$BA835*100000+ROW(),"")</f>
        <v/>
      </c>
      <c r="BI835" s="71" t="str">
        <f>IF(AND($AX835=1,$AJ835=1),$BA835*100000+ROW(),"")</f>
        <v/>
      </c>
      <c r="BJ835" s="71" t="str">
        <f>IF(AND($AS835=1,$AJ835=1),$BA835*100000+ROW(),"")</f>
        <v/>
      </c>
      <c r="BK835" s="71" t="str">
        <f>IF(AND($AY835=1,$AJ835=1),$BA835*100000+ROW(),"")</f>
        <v/>
      </c>
      <c r="BL835" s="71" t="str">
        <f>IF(AND($AZ835=1),$BA835*100000+ROW(),"")</f>
        <v/>
      </c>
    </row>
    <row r="836">
      <c r="A836" s="63" t="n"/>
      <c r="B836" s="64" t="n"/>
      <c r="C836" s="64" t="n"/>
      <c r="D836" s="64" t="n"/>
      <c r="E836" s="64" t="n"/>
      <c r="F836" s="64" t="n"/>
      <c r="G836" s="65" t="n"/>
      <c r="H836" s="65" t="n"/>
      <c r="I836" s="64" t="n"/>
      <c r="J836" s="64" t="n"/>
      <c r="K836" s="63" t="n"/>
      <c r="L836" s="63" t="n"/>
      <c r="M836" s="64" t="n"/>
      <c r="N836" s="66" t="n"/>
      <c r="O836" s="65" t="n"/>
      <c r="P836" s="64" t="n"/>
      <c r="Q836" s="67" t="n"/>
      <c r="R836" s="67" t="n"/>
      <c r="S836" s="68" t="str">
        <f>IF(AND(ISNUMBER($Q836),ISNUMBER($R836)),$Q836-$R836,"")</f>
        <v/>
      </c>
      <c r="T836" s="65" t="n"/>
      <c r="U836" s="64" t="n"/>
      <c r="V836" s="65" t="n"/>
      <c r="W836" s="63" t="n"/>
      <c r="X836" s="65" t="n"/>
      <c r="Y836" s="63" t="n"/>
      <c r="Z836" s="64" t="n"/>
      <c r="AA836" s="64" t="n"/>
      <c r="AB836" s="65" t="n"/>
      <c r="AC836" s="69" t="str">
        <f>IF(OR($G836="",NOT(ISNUMBER($K836)),$AK836=0),"",MAX(0,ReportDate-$K836))</f>
        <v/>
      </c>
      <c r="AD836" s="69" t="str">
        <f>IF($G836="","",IF($AL836=1,ReportDate-$L836,0))</f>
        <v/>
      </c>
      <c r="AE836" s="70" t="str">
        <f>IF($G836="","",IF($M836="Completed",1,IF(ISNUMBER($N836),$N836,0)))</f>
        <v/>
      </c>
      <c r="AF836" s="70" t="str">
        <f>IF(AND(ISNUMBER($Q836),ISNUMBER($R836)),IF($R836&lt;&gt;0,$Q836/$R836,""),"")</f>
        <v/>
      </c>
      <c r="AG836" s="71" t="str">
        <f>IF($G836="","",IF($AL836=1,"OVERDUE",IF($AM836=1,"BLOCKED",IF($AN836=1,"DUE TODAY",IF($AO836=1,"DUE TOMORROW",IF($AQ836=1,"HIGH PRIORITY",IF($AR836=1,"NO RECENT UPDATE",""))))))) </f>
        <v/>
      </c>
      <c r="AH836" s="71" t="str">
        <f>IF($G836="","",IF(ISNUMBER($A836),IF(ISNUMBER($A836),YEAR($A836)&amp;"-"&amp;TEXT(MONTH($A836),"00"),""),IF(ISNUMBER($L836),IF(ISNUMBER($L836),YEAR($L836)&amp;"-"&amp;TEXT(MONTH($L836),"00"),""),"")))</f>
        <v/>
      </c>
      <c r="AI836" s="71">
        <f>IF($G836="",0,IF(AND(OR(fClient="All",$C836=fClient),OR(fCampaign="All",$D836=fCampaign),OR(fTeam="All",$B836=fTeam),OR(fChannel="All",$F836=fChannel),OR(fMonth="All",$AH836=fMonth),OR(fTStatus="All",$M836=fTStatus)),1,0))</f>
        <v>0</v>
      </c>
      <c r="AJ836" s="71">
        <f>IF($G836="",0,IF(AND(OR(fClient="All",$C836=fClient),OR(fCampaign="All",$D836=fCampaign),OR(fTeam="All",$B836=fTeam),OR(fChannel="All",$F836=fChannel)),1,0))</f>
        <v>0</v>
      </c>
      <c r="AK836" s="71">
        <f>IF($G836="",0,IF(OR($M836="Completed",$M836="Cancelled"),0,1))</f>
        <v>0</v>
      </c>
      <c r="AL836" s="71">
        <f>IF(AND($AK836=1,ISNUMBER($L836)),IF($L836&lt;ReportDate,1,0),0)</f>
        <v>0</v>
      </c>
      <c r="AM836" s="71">
        <f>IF(AND($G836&lt;&gt;"",$M836="Blocked"),1,0)</f>
        <v>0</v>
      </c>
      <c r="AN836" s="71">
        <f>IF(AND($AK836=1,ISNUMBER($L836)),IF($L836=ReportDate,1,0),0)</f>
        <v>0</v>
      </c>
      <c r="AO836" s="71">
        <f>IF(AND($AK836=1,ISNUMBER($L836)),IF($L836=ReportDate+1,1,0),0)</f>
        <v>0</v>
      </c>
      <c r="AP836" s="71">
        <f>IF(AND($AK836=1,ISNUMBER($L836)),IF(AND($L836&gt;=ReportDate,$L836&lt;=ReportDate+DueSoonDays),1,0),0)</f>
        <v>0</v>
      </c>
      <c r="AQ836" s="71">
        <f>IF(AND($AK836=1,OR($I836="Critical",$I836="High")),1,0)</f>
        <v>0</v>
      </c>
      <c r="AR836" s="71">
        <f>IF($AK836=1,IF(ISNUMBER($Y836),IF(ReportDate-$Y836&gt;StaleDays,1,0),1),0)</f>
        <v>0</v>
      </c>
      <c r="AS836" s="71">
        <f>IF(AND($G836&lt;&gt;"",ISNUMBER($Q836),ISNUMBER($R836)),IF(AND($Q836&lt;$R836,OR($M836="Completed",AND(ISNUMBER($L836),$L836&lt;ReportDate))),1,0),0)</f>
        <v>0</v>
      </c>
      <c r="AT836" s="71">
        <f>IF($AK836=1,IF(OR($L836=ReportDate,$W836=ReportDate,$K836=ReportDate,$A836=ReportDate),1,0),0)</f>
        <v>0</v>
      </c>
      <c r="AU836" s="71">
        <f>IF($AK836=1,IF(OR($L836=ReportDate+1,$W836=ReportDate+1,$K836=ReportDate+1,$A836=ReportDate+1),1,0),0)</f>
        <v>0</v>
      </c>
      <c r="AV836" s="71">
        <f>IF(AND($G836&lt;&gt;"",$M836="Completed"),IF(OR($Y836=ReportDate-1,$A836=ReportDate-1),1,0),0)</f>
        <v>0</v>
      </c>
      <c r="AW836" s="71">
        <f>IF(AND($AK836=1,$Z836="Yes"),1,0)</f>
        <v>0</v>
      </c>
      <c r="AX836" s="71">
        <f>IF(AND($AK836=1,$AA836="Yes"),1,0)</f>
        <v>0</v>
      </c>
      <c r="AY836" s="71">
        <f>IF(AND($AM836=1,OR($I836="Critical",$I836="High")),1,0)</f>
        <v>0</v>
      </c>
      <c r="AZ836" s="71">
        <f>IF(AND($AK836=1,OR($C836=TCL_Client,$C836=MECCA_Client)),1,0)</f>
        <v>0</v>
      </c>
      <c r="BA836" s="71" t="str">
        <f>IF($G836="","",IFERROR(MATCH($I836,lst_Priority,0),5))</f>
        <v/>
      </c>
      <c r="BB836" s="71" t="str">
        <f>IF(AND($AL836=1,$AJ836=1),$BA836*100000+ROW(),"")</f>
        <v/>
      </c>
      <c r="BC836" s="71" t="str">
        <f>IF(AND($AM836=1,$AJ836=1),$BA836*100000+ROW(),"")</f>
        <v/>
      </c>
      <c r="BD836" s="71" t="str">
        <f>IF(AND($AP836=1,$AJ836=1),$BA836*100000+ROW(),"")</f>
        <v/>
      </c>
      <c r="BE836" s="71" t="str">
        <f>IF(AND($AT836=1,$AJ836=1),$BA836*100000+ROW(),"")</f>
        <v/>
      </c>
      <c r="BF836" s="71" t="str">
        <f>IF(AND($AU836=1,$AJ836=1),$BA836*100000+ROW(),"")</f>
        <v/>
      </c>
      <c r="BG836" s="71" t="str">
        <f>IF(AND($AV836=1,$AJ836=1),$BA836*100000+ROW(),"")</f>
        <v/>
      </c>
      <c r="BH836" s="71" t="str">
        <f>IF(AND($AW836=1,$AJ836=1),$BA836*100000+ROW(),"")</f>
        <v/>
      </c>
      <c r="BI836" s="71" t="str">
        <f>IF(AND($AX836=1,$AJ836=1),$BA836*100000+ROW(),"")</f>
        <v/>
      </c>
      <c r="BJ836" s="71" t="str">
        <f>IF(AND($AS836=1,$AJ836=1),$BA836*100000+ROW(),"")</f>
        <v/>
      </c>
      <c r="BK836" s="71" t="str">
        <f>IF(AND($AY836=1,$AJ836=1),$BA836*100000+ROW(),"")</f>
        <v/>
      </c>
      <c r="BL836" s="71" t="str">
        <f>IF(AND($AZ836=1),$BA836*100000+ROW(),"")</f>
        <v/>
      </c>
    </row>
    <row r="837">
      <c r="A837" s="63" t="n"/>
      <c r="B837" s="64" t="n"/>
      <c r="C837" s="64" t="n"/>
      <c r="D837" s="64" t="n"/>
      <c r="E837" s="64" t="n"/>
      <c r="F837" s="64" t="n"/>
      <c r="G837" s="65" t="n"/>
      <c r="H837" s="65" t="n"/>
      <c r="I837" s="64" t="n"/>
      <c r="J837" s="64" t="n"/>
      <c r="K837" s="63" t="n"/>
      <c r="L837" s="63" t="n"/>
      <c r="M837" s="64" t="n"/>
      <c r="N837" s="66" t="n"/>
      <c r="O837" s="65" t="n"/>
      <c r="P837" s="64" t="n"/>
      <c r="Q837" s="67" t="n"/>
      <c r="R837" s="67" t="n"/>
      <c r="S837" s="68" t="str">
        <f>IF(AND(ISNUMBER($Q837),ISNUMBER($R837)),$Q837-$R837,"")</f>
        <v/>
      </c>
      <c r="T837" s="65" t="n"/>
      <c r="U837" s="64" t="n"/>
      <c r="V837" s="65" t="n"/>
      <c r="W837" s="63" t="n"/>
      <c r="X837" s="65" t="n"/>
      <c r="Y837" s="63" t="n"/>
      <c r="Z837" s="64" t="n"/>
      <c r="AA837" s="64" t="n"/>
      <c r="AB837" s="65" t="n"/>
      <c r="AC837" s="69" t="str">
        <f>IF(OR($G837="",NOT(ISNUMBER($K837)),$AK837=0),"",MAX(0,ReportDate-$K837))</f>
        <v/>
      </c>
      <c r="AD837" s="69" t="str">
        <f>IF($G837="","",IF($AL837=1,ReportDate-$L837,0))</f>
        <v/>
      </c>
      <c r="AE837" s="70" t="str">
        <f>IF($G837="","",IF($M837="Completed",1,IF(ISNUMBER($N837),$N837,0)))</f>
        <v/>
      </c>
      <c r="AF837" s="70" t="str">
        <f>IF(AND(ISNUMBER($Q837),ISNUMBER($R837)),IF($R837&lt;&gt;0,$Q837/$R837,""),"")</f>
        <v/>
      </c>
      <c r="AG837" s="71" t="str">
        <f>IF($G837="","",IF($AL837=1,"OVERDUE",IF($AM837=1,"BLOCKED",IF($AN837=1,"DUE TODAY",IF($AO837=1,"DUE TOMORROW",IF($AQ837=1,"HIGH PRIORITY",IF($AR837=1,"NO RECENT UPDATE",""))))))) </f>
        <v/>
      </c>
      <c r="AH837" s="71" t="str">
        <f>IF($G837="","",IF(ISNUMBER($A837),IF(ISNUMBER($A837),YEAR($A837)&amp;"-"&amp;TEXT(MONTH($A837),"00"),""),IF(ISNUMBER($L837),IF(ISNUMBER($L837),YEAR($L837)&amp;"-"&amp;TEXT(MONTH($L837),"00"),""),"")))</f>
        <v/>
      </c>
      <c r="AI837" s="71">
        <f>IF($G837="",0,IF(AND(OR(fClient="All",$C837=fClient),OR(fCampaign="All",$D837=fCampaign),OR(fTeam="All",$B837=fTeam),OR(fChannel="All",$F837=fChannel),OR(fMonth="All",$AH837=fMonth),OR(fTStatus="All",$M837=fTStatus)),1,0))</f>
        <v>0</v>
      </c>
      <c r="AJ837" s="71">
        <f>IF($G837="",0,IF(AND(OR(fClient="All",$C837=fClient),OR(fCampaign="All",$D837=fCampaign),OR(fTeam="All",$B837=fTeam),OR(fChannel="All",$F837=fChannel)),1,0))</f>
        <v>0</v>
      </c>
      <c r="AK837" s="71">
        <f>IF($G837="",0,IF(OR($M837="Completed",$M837="Cancelled"),0,1))</f>
        <v>0</v>
      </c>
      <c r="AL837" s="71">
        <f>IF(AND($AK837=1,ISNUMBER($L837)),IF($L837&lt;ReportDate,1,0),0)</f>
        <v>0</v>
      </c>
      <c r="AM837" s="71">
        <f>IF(AND($G837&lt;&gt;"",$M837="Blocked"),1,0)</f>
        <v>0</v>
      </c>
      <c r="AN837" s="71">
        <f>IF(AND($AK837=1,ISNUMBER($L837)),IF($L837=ReportDate,1,0),0)</f>
        <v>0</v>
      </c>
      <c r="AO837" s="71">
        <f>IF(AND($AK837=1,ISNUMBER($L837)),IF($L837=ReportDate+1,1,0),0)</f>
        <v>0</v>
      </c>
      <c r="AP837" s="71">
        <f>IF(AND($AK837=1,ISNUMBER($L837)),IF(AND($L837&gt;=ReportDate,$L837&lt;=ReportDate+DueSoonDays),1,0),0)</f>
        <v>0</v>
      </c>
      <c r="AQ837" s="71">
        <f>IF(AND($AK837=1,OR($I837="Critical",$I837="High")),1,0)</f>
        <v>0</v>
      </c>
      <c r="AR837" s="71">
        <f>IF($AK837=1,IF(ISNUMBER($Y837),IF(ReportDate-$Y837&gt;StaleDays,1,0),1),0)</f>
        <v>0</v>
      </c>
      <c r="AS837" s="71">
        <f>IF(AND($G837&lt;&gt;"",ISNUMBER($Q837),ISNUMBER($R837)),IF(AND($Q837&lt;$R837,OR($M837="Completed",AND(ISNUMBER($L837),$L837&lt;ReportDate))),1,0),0)</f>
        <v>0</v>
      </c>
      <c r="AT837" s="71">
        <f>IF($AK837=1,IF(OR($L837=ReportDate,$W837=ReportDate,$K837=ReportDate,$A837=ReportDate),1,0),0)</f>
        <v>0</v>
      </c>
      <c r="AU837" s="71">
        <f>IF($AK837=1,IF(OR($L837=ReportDate+1,$W837=ReportDate+1,$K837=ReportDate+1,$A837=ReportDate+1),1,0),0)</f>
        <v>0</v>
      </c>
      <c r="AV837" s="71">
        <f>IF(AND($G837&lt;&gt;"",$M837="Completed"),IF(OR($Y837=ReportDate-1,$A837=ReportDate-1),1,0),0)</f>
        <v>0</v>
      </c>
      <c r="AW837" s="71">
        <f>IF(AND($AK837=1,$Z837="Yes"),1,0)</f>
        <v>0</v>
      </c>
      <c r="AX837" s="71">
        <f>IF(AND($AK837=1,$AA837="Yes"),1,0)</f>
        <v>0</v>
      </c>
      <c r="AY837" s="71">
        <f>IF(AND($AM837=1,OR($I837="Critical",$I837="High")),1,0)</f>
        <v>0</v>
      </c>
      <c r="AZ837" s="71">
        <f>IF(AND($AK837=1,OR($C837=TCL_Client,$C837=MECCA_Client)),1,0)</f>
        <v>0</v>
      </c>
      <c r="BA837" s="71" t="str">
        <f>IF($G837="","",IFERROR(MATCH($I837,lst_Priority,0),5))</f>
        <v/>
      </c>
      <c r="BB837" s="71" t="str">
        <f>IF(AND($AL837=1,$AJ837=1),$BA837*100000+ROW(),"")</f>
        <v/>
      </c>
      <c r="BC837" s="71" t="str">
        <f>IF(AND($AM837=1,$AJ837=1),$BA837*100000+ROW(),"")</f>
        <v/>
      </c>
      <c r="BD837" s="71" t="str">
        <f>IF(AND($AP837=1,$AJ837=1),$BA837*100000+ROW(),"")</f>
        <v/>
      </c>
      <c r="BE837" s="71" t="str">
        <f>IF(AND($AT837=1,$AJ837=1),$BA837*100000+ROW(),"")</f>
        <v/>
      </c>
      <c r="BF837" s="71" t="str">
        <f>IF(AND($AU837=1,$AJ837=1),$BA837*100000+ROW(),"")</f>
        <v/>
      </c>
      <c r="BG837" s="71" t="str">
        <f>IF(AND($AV837=1,$AJ837=1),$BA837*100000+ROW(),"")</f>
        <v/>
      </c>
      <c r="BH837" s="71" t="str">
        <f>IF(AND($AW837=1,$AJ837=1),$BA837*100000+ROW(),"")</f>
        <v/>
      </c>
      <c r="BI837" s="71" t="str">
        <f>IF(AND($AX837=1,$AJ837=1),$BA837*100000+ROW(),"")</f>
        <v/>
      </c>
      <c r="BJ837" s="71" t="str">
        <f>IF(AND($AS837=1,$AJ837=1),$BA837*100000+ROW(),"")</f>
        <v/>
      </c>
      <c r="BK837" s="71" t="str">
        <f>IF(AND($AY837=1,$AJ837=1),$BA837*100000+ROW(),"")</f>
        <v/>
      </c>
      <c r="BL837" s="71" t="str">
        <f>IF(AND($AZ837=1),$BA837*100000+ROW(),"")</f>
        <v/>
      </c>
    </row>
    <row r="838">
      <c r="A838" s="63" t="n"/>
      <c r="B838" s="64" t="n"/>
      <c r="C838" s="64" t="n"/>
      <c r="D838" s="64" t="n"/>
      <c r="E838" s="64" t="n"/>
      <c r="F838" s="64" t="n"/>
      <c r="G838" s="65" t="n"/>
      <c r="H838" s="65" t="n"/>
      <c r="I838" s="64" t="n"/>
      <c r="J838" s="64" t="n"/>
      <c r="K838" s="63" t="n"/>
      <c r="L838" s="63" t="n"/>
      <c r="M838" s="64" t="n"/>
      <c r="N838" s="66" t="n"/>
      <c r="O838" s="65" t="n"/>
      <c r="P838" s="64" t="n"/>
      <c r="Q838" s="67" t="n"/>
      <c r="R838" s="67" t="n"/>
      <c r="S838" s="68" t="str">
        <f>IF(AND(ISNUMBER($Q838),ISNUMBER($R838)),$Q838-$R838,"")</f>
        <v/>
      </c>
      <c r="T838" s="65" t="n"/>
      <c r="U838" s="64" t="n"/>
      <c r="V838" s="65" t="n"/>
      <c r="W838" s="63" t="n"/>
      <c r="X838" s="65" t="n"/>
      <c r="Y838" s="63" t="n"/>
      <c r="Z838" s="64" t="n"/>
      <c r="AA838" s="64" t="n"/>
      <c r="AB838" s="65" t="n"/>
      <c r="AC838" s="69" t="str">
        <f>IF(OR($G838="",NOT(ISNUMBER($K838)),$AK838=0),"",MAX(0,ReportDate-$K838))</f>
        <v/>
      </c>
      <c r="AD838" s="69" t="str">
        <f>IF($G838="","",IF($AL838=1,ReportDate-$L838,0))</f>
        <v/>
      </c>
      <c r="AE838" s="70" t="str">
        <f>IF($G838="","",IF($M838="Completed",1,IF(ISNUMBER($N838),$N838,0)))</f>
        <v/>
      </c>
      <c r="AF838" s="70" t="str">
        <f>IF(AND(ISNUMBER($Q838),ISNUMBER($R838)),IF($R838&lt;&gt;0,$Q838/$R838,""),"")</f>
        <v/>
      </c>
      <c r="AG838" s="71" t="str">
        <f>IF($G838="","",IF($AL838=1,"OVERDUE",IF($AM838=1,"BLOCKED",IF($AN838=1,"DUE TODAY",IF($AO838=1,"DUE TOMORROW",IF($AQ838=1,"HIGH PRIORITY",IF($AR838=1,"NO RECENT UPDATE",""))))))) </f>
        <v/>
      </c>
      <c r="AH838" s="71" t="str">
        <f>IF($G838="","",IF(ISNUMBER($A838),IF(ISNUMBER($A838),YEAR($A838)&amp;"-"&amp;TEXT(MONTH($A838),"00"),""),IF(ISNUMBER($L838),IF(ISNUMBER($L838),YEAR($L838)&amp;"-"&amp;TEXT(MONTH($L838),"00"),""),"")))</f>
        <v/>
      </c>
      <c r="AI838" s="71">
        <f>IF($G838="",0,IF(AND(OR(fClient="All",$C838=fClient),OR(fCampaign="All",$D838=fCampaign),OR(fTeam="All",$B838=fTeam),OR(fChannel="All",$F838=fChannel),OR(fMonth="All",$AH838=fMonth),OR(fTStatus="All",$M838=fTStatus)),1,0))</f>
        <v>0</v>
      </c>
      <c r="AJ838" s="71">
        <f>IF($G838="",0,IF(AND(OR(fClient="All",$C838=fClient),OR(fCampaign="All",$D838=fCampaign),OR(fTeam="All",$B838=fTeam),OR(fChannel="All",$F838=fChannel)),1,0))</f>
        <v>0</v>
      </c>
      <c r="AK838" s="71">
        <f>IF($G838="",0,IF(OR($M838="Completed",$M838="Cancelled"),0,1))</f>
        <v>0</v>
      </c>
      <c r="AL838" s="71">
        <f>IF(AND($AK838=1,ISNUMBER($L838)),IF($L838&lt;ReportDate,1,0),0)</f>
        <v>0</v>
      </c>
      <c r="AM838" s="71">
        <f>IF(AND($G838&lt;&gt;"",$M838="Blocked"),1,0)</f>
        <v>0</v>
      </c>
      <c r="AN838" s="71">
        <f>IF(AND($AK838=1,ISNUMBER($L838)),IF($L838=ReportDate,1,0),0)</f>
        <v>0</v>
      </c>
      <c r="AO838" s="71">
        <f>IF(AND($AK838=1,ISNUMBER($L838)),IF($L838=ReportDate+1,1,0),0)</f>
        <v>0</v>
      </c>
      <c r="AP838" s="71">
        <f>IF(AND($AK838=1,ISNUMBER($L838)),IF(AND($L838&gt;=ReportDate,$L838&lt;=ReportDate+DueSoonDays),1,0),0)</f>
        <v>0</v>
      </c>
      <c r="AQ838" s="71">
        <f>IF(AND($AK838=1,OR($I838="Critical",$I838="High")),1,0)</f>
        <v>0</v>
      </c>
      <c r="AR838" s="71">
        <f>IF($AK838=1,IF(ISNUMBER($Y838),IF(ReportDate-$Y838&gt;StaleDays,1,0),1),0)</f>
        <v>0</v>
      </c>
      <c r="AS838" s="71">
        <f>IF(AND($G838&lt;&gt;"",ISNUMBER($Q838),ISNUMBER($R838)),IF(AND($Q838&lt;$R838,OR($M838="Completed",AND(ISNUMBER($L838),$L838&lt;ReportDate))),1,0),0)</f>
        <v>0</v>
      </c>
      <c r="AT838" s="71">
        <f>IF($AK838=1,IF(OR($L838=ReportDate,$W838=ReportDate,$K838=ReportDate,$A838=ReportDate),1,0),0)</f>
        <v>0</v>
      </c>
      <c r="AU838" s="71">
        <f>IF($AK838=1,IF(OR($L838=ReportDate+1,$W838=ReportDate+1,$K838=ReportDate+1,$A838=ReportDate+1),1,0),0)</f>
        <v>0</v>
      </c>
      <c r="AV838" s="71">
        <f>IF(AND($G838&lt;&gt;"",$M838="Completed"),IF(OR($Y838=ReportDate-1,$A838=ReportDate-1),1,0),0)</f>
        <v>0</v>
      </c>
      <c r="AW838" s="71">
        <f>IF(AND($AK838=1,$Z838="Yes"),1,0)</f>
        <v>0</v>
      </c>
      <c r="AX838" s="71">
        <f>IF(AND($AK838=1,$AA838="Yes"),1,0)</f>
        <v>0</v>
      </c>
      <c r="AY838" s="71">
        <f>IF(AND($AM838=1,OR($I838="Critical",$I838="High")),1,0)</f>
        <v>0</v>
      </c>
      <c r="AZ838" s="71">
        <f>IF(AND($AK838=1,OR($C838=TCL_Client,$C838=MECCA_Client)),1,0)</f>
        <v>0</v>
      </c>
      <c r="BA838" s="71" t="str">
        <f>IF($G838="","",IFERROR(MATCH($I838,lst_Priority,0),5))</f>
        <v/>
      </c>
      <c r="BB838" s="71" t="str">
        <f>IF(AND($AL838=1,$AJ838=1),$BA838*100000+ROW(),"")</f>
        <v/>
      </c>
      <c r="BC838" s="71" t="str">
        <f>IF(AND($AM838=1,$AJ838=1),$BA838*100000+ROW(),"")</f>
        <v/>
      </c>
      <c r="BD838" s="71" t="str">
        <f>IF(AND($AP838=1,$AJ838=1),$BA838*100000+ROW(),"")</f>
        <v/>
      </c>
      <c r="BE838" s="71" t="str">
        <f>IF(AND($AT838=1,$AJ838=1),$BA838*100000+ROW(),"")</f>
        <v/>
      </c>
      <c r="BF838" s="71" t="str">
        <f>IF(AND($AU838=1,$AJ838=1),$BA838*100000+ROW(),"")</f>
        <v/>
      </c>
      <c r="BG838" s="71" t="str">
        <f>IF(AND($AV838=1,$AJ838=1),$BA838*100000+ROW(),"")</f>
        <v/>
      </c>
      <c r="BH838" s="71" t="str">
        <f>IF(AND($AW838=1,$AJ838=1),$BA838*100000+ROW(),"")</f>
        <v/>
      </c>
      <c r="BI838" s="71" t="str">
        <f>IF(AND($AX838=1,$AJ838=1),$BA838*100000+ROW(),"")</f>
        <v/>
      </c>
      <c r="BJ838" s="71" t="str">
        <f>IF(AND($AS838=1,$AJ838=1),$BA838*100000+ROW(),"")</f>
        <v/>
      </c>
      <c r="BK838" s="71" t="str">
        <f>IF(AND($AY838=1,$AJ838=1),$BA838*100000+ROW(),"")</f>
        <v/>
      </c>
      <c r="BL838" s="71" t="str">
        <f>IF(AND($AZ838=1),$BA838*100000+ROW(),"")</f>
        <v/>
      </c>
    </row>
    <row r="839">
      <c r="A839" s="63" t="n"/>
      <c r="B839" s="64" t="n"/>
      <c r="C839" s="64" t="n"/>
      <c r="D839" s="64" t="n"/>
      <c r="E839" s="64" t="n"/>
      <c r="F839" s="64" t="n"/>
      <c r="G839" s="65" t="n"/>
      <c r="H839" s="65" t="n"/>
      <c r="I839" s="64" t="n"/>
      <c r="J839" s="64" t="n"/>
      <c r="K839" s="63" t="n"/>
      <c r="L839" s="63" t="n"/>
      <c r="M839" s="64" t="n"/>
      <c r="N839" s="66" t="n"/>
      <c r="O839" s="65" t="n"/>
      <c r="P839" s="64" t="n"/>
      <c r="Q839" s="67" t="n"/>
      <c r="R839" s="67" t="n"/>
      <c r="S839" s="68" t="str">
        <f>IF(AND(ISNUMBER($Q839),ISNUMBER($R839)),$Q839-$R839,"")</f>
        <v/>
      </c>
      <c r="T839" s="65" t="n"/>
      <c r="U839" s="64" t="n"/>
      <c r="V839" s="65" t="n"/>
      <c r="W839" s="63" t="n"/>
      <c r="X839" s="65" t="n"/>
      <c r="Y839" s="63" t="n"/>
      <c r="Z839" s="64" t="n"/>
      <c r="AA839" s="64" t="n"/>
      <c r="AB839" s="65" t="n"/>
      <c r="AC839" s="69" t="str">
        <f>IF(OR($G839="",NOT(ISNUMBER($K839)),$AK839=0),"",MAX(0,ReportDate-$K839))</f>
        <v/>
      </c>
      <c r="AD839" s="69" t="str">
        <f>IF($G839="","",IF($AL839=1,ReportDate-$L839,0))</f>
        <v/>
      </c>
      <c r="AE839" s="70" t="str">
        <f>IF($G839="","",IF($M839="Completed",1,IF(ISNUMBER($N839),$N839,0)))</f>
        <v/>
      </c>
      <c r="AF839" s="70" t="str">
        <f>IF(AND(ISNUMBER($Q839),ISNUMBER($R839)),IF($R839&lt;&gt;0,$Q839/$R839,""),"")</f>
        <v/>
      </c>
      <c r="AG839" s="71" t="str">
        <f>IF($G839="","",IF($AL839=1,"OVERDUE",IF($AM839=1,"BLOCKED",IF($AN839=1,"DUE TODAY",IF($AO839=1,"DUE TOMORROW",IF($AQ839=1,"HIGH PRIORITY",IF($AR839=1,"NO RECENT UPDATE",""))))))) </f>
        <v/>
      </c>
      <c r="AH839" s="71" t="str">
        <f>IF($G839="","",IF(ISNUMBER($A839),IF(ISNUMBER($A839),YEAR($A839)&amp;"-"&amp;TEXT(MONTH($A839),"00"),""),IF(ISNUMBER($L839),IF(ISNUMBER($L839),YEAR($L839)&amp;"-"&amp;TEXT(MONTH($L839),"00"),""),"")))</f>
        <v/>
      </c>
      <c r="AI839" s="71">
        <f>IF($G839="",0,IF(AND(OR(fClient="All",$C839=fClient),OR(fCampaign="All",$D839=fCampaign),OR(fTeam="All",$B839=fTeam),OR(fChannel="All",$F839=fChannel),OR(fMonth="All",$AH839=fMonth),OR(fTStatus="All",$M839=fTStatus)),1,0))</f>
        <v>0</v>
      </c>
      <c r="AJ839" s="71">
        <f>IF($G839="",0,IF(AND(OR(fClient="All",$C839=fClient),OR(fCampaign="All",$D839=fCampaign),OR(fTeam="All",$B839=fTeam),OR(fChannel="All",$F839=fChannel)),1,0))</f>
        <v>0</v>
      </c>
      <c r="AK839" s="71">
        <f>IF($G839="",0,IF(OR($M839="Completed",$M839="Cancelled"),0,1))</f>
        <v>0</v>
      </c>
      <c r="AL839" s="71">
        <f>IF(AND($AK839=1,ISNUMBER($L839)),IF($L839&lt;ReportDate,1,0),0)</f>
        <v>0</v>
      </c>
      <c r="AM839" s="71">
        <f>IF(AND($G839&lt;&gt;"",$M839="Blocked"),1,0)</f>
        <v>0</v>
      </c>
      <c r="AN839" s="71">
        <f>IF(AND($AK839=1,ISNUMBER($L839)),IF($L839=ReportDate,1,0),0)</f>
        <v>0</v>
      </c>
      <c r="AO839" s="71">
        <f>IF(AND($AK839=1,ISNUMBER($L839)),IF($L839=ReportDate+1,1,0),0)</f>
        <v>0</v>
      </c>
      <c r="AP839" s="71">
        <f>IF(AND($AK839=1,ISNUMBER($L839)),IF(AND($L839&gt;=ReportDate,$L839&lt;=ReportDate+DueSoonDays),1,0),0)</f>
        <v>0</v>
      </c>
      <c r="AQ839" s="71">
        <f>IF(AND($AK839=1,OR($I839="Critical",$I839="High")),1,0)</f>
        <v>0</v>
      </c>
      <c r="AR839" s="71">
        <f>IF($AK839=1,IF(ISNUMBER($Y839),IF(ReportDate-$Y839&gt;StaleDays,1,0),1),0)</f>
        <v>0</v>
      </c>
      <c r="AS839" s="71">
        <f>IF(AND($G839&lt;&gt;"",ISNUMBER($Q839),ISNUMBER($R839)),IF(AND($Q839&lt;$R839,OR($M839="Completed",AND(ISNUMBER($L839),$L839&lt;ReportDate))),1,0),0)</f>
        <v>0</v>
      </c>
      <c r="AT839" s="71">
        <f>IF($AK839=1,IF(OR($L839=ReportDate,$W839=ReportDate,$K839=ReportDate,$A839=ReportDate),1,0),0)</f>
        <v>0</v>
      </c>
      <c r="AU839" s="71">
        <f>IF($AK839=1,IF(OR($L839=ReportDate+1,$W839=ReportDate+1,$K839=ReportDate+1,$A839=ReportDate+1),1,0),0)</f>
        <v>0</v>
      </c>
      <c r="AV839" s="71">
        <f>IF(AND($G839&lt;&gt;"",$M839="Completed"),IF(OR($Y839=ReportDate-1,$A839=ReportDate-1),1,0),0)</f>
        <v>0</v>
      </c>
      <c r="AW839" s="71">
        <f>IF(AND($AK839=1,$Z839="Yes"),1,0)</f>
        <v>0</v>
      </c>
      <c r="AX839" s="71">
        <f>IF(AND($AK839=1,$AA839="Yes"),1,0)</f>
        <v>0</v>
      </c>
      <c r="AY839" s="71">
        <f>IF(AND($AM839=1,OR($I839="Critical",$I839="High")),1,0)</f>
        <v>0</v>
      </c>
      <c r="AZ839" s="71">
        <f>IF(AND($AK839=1,OR($C839=TCL_Client,$C839=MECCA_Client)),1,0)</f>
        <v>0</v>
      </c>
      <c r="BA839" s="71" t="str">
        <f>IF($G839="","",IFERROR(MATCH($I839,lst_Priority,0),5))</f>
        <v/>
      </c>
      <c r="BB839" s="71" t="str">
        <f>IF(AND($AL839=1,$AJ839=1),$BA839*100000+ROW(),"")</f>
        <v/>
      </c>
      <c r="BC839" s="71" t="str">
        <f>IF(AND($AM839=1,$AJ839=1),$BA839*100000+ROW(),"")</f>
        <v/>
      </c>
      <c r="BD839" s="71" t="str">
        <f>IF(AND($AP839=1,$AJ839=1),$BA839*100000+ROW(),"")</f>
        <v/>
      </c>
      <c r="BE839" s="71" t="str">
        <f>IF(AND($AT839=1,$AJ839=1),$BA839*100000+ROW(),"")</f>
        <v/>
      </c>
      <c r="BF839" s="71" t="str">
        <f>IF(AND($AU839=1,$AJ839=1),$BA839*100000+ROW(),"")</f>
        <v/>
      </c>
      <c r="BG839" s="71" t="str">
        <f>IF(AND($AV839=1,$AJ839=1),$BA839*100000+ROW(),"")</f>
        <v/>
      </c>
      <c r="BH839" s="71" t="str">
        <f>IF(AND($AW839=1,$AJ839=1),$BA839*100000+ROW(),"")</f>
        <v/>
      </c>
      <c r="BI839" s="71" t="str">
        <f>IF(AND($AX839=1,$AJ839=1),$BA839*100000+ROW(),"")</f>
        <v/>
      </c>
      <c r="BJ839" s="71" t="str">
        <f>IF(AND($AS839=1,$AJ839=1),$BA839*100000+ROW(),"")</f>
        <v/>
      </c>
      <c r="BK839" s="71" t="str">
        <f>IF(AND($AY839=1,$AJ839=1),$BA839*100000+ROW(),"")</f>
        <v/>
      </c>
      <c r="BL839" s="71" t="str">
        <f>IF(AND($AZ839=1),$BA839*100000+ROW(),"")</f>
        <v/>
      </c>
    </row>
    <row r="840">
      <c r="A840" s="63" t="n"/>
      <c r="B840" s="64" t="n"/>
      <c r="C840" s="64" t="n"/>
      <c r="D840" s="64" t="n"/>
      <c r="E840" s="64" t="n"/>
      <c r="F840" s="64" t="n"/>
      <c r="G840" s="65" t="n"/>
      <c r="H840" s="65" t="n"/>
      <c r="I840" s="64" t="n"/>
      <c r="J840" s="64" t="n"/>
      <c r="K840" s="63" t="n"/>
      <c r="L840" s="63" t="n"/>
      <c r="M840" s="64" t="n"/>
      <c r="N840" s="66" t="n"/>
      <c r="O840" s="65" t="n"/>
      <c r="P840" s="64" t="n"/>
      <c r="Q840" s="67" t="n"/>
      <c r="R840" s="67" t="n"/>
      <c r="S840" s="68" t="str">
        <f>IF(AND(ISNUMBER($Q840),ISNUMBER($R840)),$Q840-$R840,"")</f>
        <v/>
      </c>
      <c r="T840" s="65" t="n"/>
      <c r="U840" s="64" t="n"/>
      <c r="V840" s="65" t="n"/>
      <c r="W840" s="63" t="n"/>
      <c r="X840" s="65" t="n"/>
      <c r="Y840" s="63" t="n"/>
      <c r="Z840" s="64" t="n"/>
      <c r="AA840" s="64" t="n"/>
      <c r="AB840" s="65" t="n"/>
      <c r="AC840" s="69" t="str">
        <f>IF(OR($G840="",NOT(ISNUMBER($K840)),$AK840=0),"",MAX(0,ReportDate-$K840))</f>
        <v/>
      </c>
      <c r="AD840" s="69" t="str">
        <f>IF($G840="","",IF($AL840=1,ReportDate-$L840,0))</f>
        <v/>
      </c>
      <c r="AE840" s="70" t="str">
        <f>IF($G840="","",IF($M840="Completed",1,IF(ISNUMBER($N840),$N840,0)))</f>
        <v/>
      </c>
      <c r="AF840" s="70" t="str">
        <f>IF(AND(ISNUMBER($Q840),ISNUMBER($R840)),IF($R840&lt;&gt;0,$Q840/$R840,""),"")</f>
        <v/>
      </c>
      <c r="AG840" s="71" t="str">
        <f>IF($G840="","",IF($AL840=1,"OVERDUE",IF($AM840=1,"BLOCKED",IF($AN840=1,"DUE TODAY",IF($AO840=1,"DUE TOMORROW",IF($AQ840=1,"HIGH PRIORITY",IF($AR840=1,"NO RECENT UPDATE",""))))))) </f>
        <v/>
      </c>
      <c r="AH840" s="71" t="str">
        <f>IF($G840="","",IF(ISNUMBER($A840),IF(ISNUMBER($A840),YEAR($A840)&amp;"-"&amp;TEXT(MONTH($A840),"00"),""),IF(ISNUMBER($L840),IF(ISNUMBER($L840),YEAR($L840)&amp;"-"&amp;TEXT(MONTH($L840),"00"),""),"")))</f>
        <v/>
      </c>
      <c r="AI840" s="71">
        <f>IF($G840="",0,IF(AND(OR(fClient="All",$C840=fClient),OR(fCampaign="All",$D840=fCampaign),OR(fTeam="All",$B840=fTeam),OR(fChannel="All",$F840=fChannel),OR(fMonth="All",$AH840=fMonth),OR(fTStatus="All",$M840=fTStatus)),1,0))</f>
        <v>0</v>
      </c>
      <c r="AJ840" s="71">
        <f>IF($G840="",0,IF(AND(OR(fClient="All",$C840=fClient),OR(fCampaign="All",$D840=fCampaign),OR(fTeam="All",$B840=fTeam),OR(fChannel="All",$F840=fChannel)),1,0))</f>
        <v>0</v>
      </c>
      <c r="AK840" s="71">
        <f>IF($G840="",0,IF(OR($M840="Completed",$M840="Cancelled"),0,1))</f>
        <v>0</v>
      </c>
      <c r="AL840" s="71">
        <f>IF(AND($AK840=1,ISNUMBER($L840)),IF($L840&lt;ReportDate,1,0),0)</f>
        <v>0</v>
      </c>
      <c r="AM840" s="71">
        <f>IF(AND($G840&lt;&gt;"",$M840="Blocked"),1,0)</f>
        <v>0</v>
      </c>
      <c r="AN840" s="71">
        <f>IF(AND($AK840=1,ISNUMBER($L840)),IF($L840=ReportDate,1,0),0)</f>
        <v>0</v>
      </c>
      <c r="AO840" s="71">
        <f>IF(AND($AK840=1,ISNUMBER($L840)),IF($L840=ReportDate+1,1,0),0)</f>
        <v>0</v>
      </c>
      <c r="AP840" s="71">
        <f>IF(AND($AK840=1,ISNUMBER($L840)),IF(AND($L840&gt;=ReportDate,$L840&lt;=ReportDate+DueSoonDays),1,0),0)</f>
        <v>0</v>
      </c>
      <c r="AQ840" s="71">
        <f>IF(AND($AK840=1,OR($I840="Critical",$I840="High")),1,0)</f>
        <v>0</v>
      </c>
      <c r="AR840" s="71">
        <f>IF($AK840=1,IF(ISNUMBER($Y840),IF(ReportDate-$Y840&gt;StaleDays,1,0),1),0)</f>
        <v>0</v>
      </c>
      <c r="AS840" s="71">
        <f>IF(AND($G840&lt;&gt;"",ISNUMBER($Q840),ISNUMBER($R840)),IF(AND($Q840&lt;$R840,OR($M840="Completed",AND(ISNUMBER($L840),$L840&lt;ReportDate))),1,0),0)</f>
        <v>0</v>
      </c>
      <c r="AT840" s="71">
        <f>IF($AK840=1,IF(OR($L840=ReportDate,$W840=ReportDate,$K840=ReportDate,$A840=ReportDate),1,0),0)</f>
        <v>0</v>
      </c>
      <c r="AU840" s="71">
        <f>IF($AK840=1,IF(OR($L840=ReportDate+1,$W840=ReportDate+1,$K840=ReportDate+1,$A840=ReportDate+1),1,0),0)</f>
        <v>0</v>
      </c>
      <c r="AV840" s="71">
        <f>IF(AND($G840&lt;&gt;"",$M840="Completed"),IF(OR($Y840=ReportDate-1,$A840=ReportDate-1),1,0),0)</f>
        <v>0</v>
      </c>
      <c r="AW840" s="71">
        <f>IF(AND($AK840=1,$Z840="Yes"),1,0)</f>
        <v>0</v>
      </c>
      <c r="AX840" s="71">
        <f>IF(AND($AK840=1,$AA840="Yes"),1,0)</f>
        <v>0</v>
      </c>
      <c r="AY840" s="71">
        <f>IF(AND($AM840=1,OR($I840="Critical",$I840="High")),1,0)</f>
        <v>0</v>
      </c>
      <c r="AZ840" s="71">
        <f>IF(AND($AK840=1,OR($C840=TCL_Client,$C840=MECCA_Client)),1,0)</f>
        <v>0</v>
      </c>
      <c r="BA840" s="71" t="str">
        <f>IF($G840="","",IFERROR(MATCH($I840,lst_Priority,0),5))</f>
        <v/>
      </c>
      <c r="BB840" s="71" t="str">
        <f>IF(AND($AL840=1,$AJ840=1),$BA840*100000+ROW(),"")</f>
        <v/>
      </c>
      <c r="BC840" s="71" t="str">
        <f>IF(AND($AM840=1,$AJ840=1),$BA840*100000+ROW(),"")</f>
        <v/>
      </c>
      <c r="BD840" s="71" t="str">
        <f>IF(AND($AP840=1,$AJ840=1),$BA840*100000+ROW(),"")</f>
        <v/>
      </c>
      <c r="BE840" s="71" t="str">
        <f>IF(AND($AT840=1,$AJ840=1),$BA840*100000+ROW(),"")</f>
        <v/>
      </c>
      <c r="BF840" s="71" t="str">
        <f>IF(AND($AU840=1,$AJ840=1),$BA840*100000+ROW(),"")</f>
        <v/>
      </c>
      <c r="BG840" s="71" t="str">
        <f>IF(AND($AV840=1,$AJ840=1),$BA840*100000+ROW(),"")</f>
        <v/>
      </c>
      <c r="BH840" s="71" t="str">
        <f>IF(AND($AW840=1,$AJ840=1),$BA840*100000+ROW(),"")</f>
        <v/>
      </c>
      <c r="BI840" s="71" t="str">
        <f>IF(AND($AX840=1,$AJ840=1),$BA840*100000+ROW(),"")</f>
        <v/>
      </c>
      <c r="BJ840" s="71" t="str">
        <f>IF(AND($AS840=1,$AJ840=1),$BA840*100000+ROW(),"")</f>
        <v/>
      </c>
      <c r="BK840" s="71" t="str">
        <f>IF(AND($AY840=1,$AJ840=1),$BA840*100000+ROW(),"")</f>
        <v/>
      </c>
      <c r="BL840" s="71" t="str">
        <f>IF(AND($AZ840=1),$BA840*100000+ROW(),"")</f>
        <v/>
      </c>
    </row>
    <row r="841">
      <c r="A841" s="63" t="n"/>
      <c r="B841" s="64" t="n"/>
      <c r="C841" s="64" t="n"/>
      <c r="D841" s="64" t="n"/>
      <c r="E841" s="64" t="n"/>
      <c r="F841" s="64" t="n"/>
      <c r="G841" s="65" t="n"/>
      <c r="H841" s="65" t="n"/>
      <c r="I841" s="64" t="n"/>
      <c r="J841" s="64" t="n"/>
      <c r="K841" s="63" t="n"/>
      <c r="L841" s="63" t="n"/>
      <c r="M841" s="64" t="n"/>
      <c r="N841" s="66" t="n"/>
      <c r="O841" s="65" t="n"/>
      <c r="P841" s="64" t="n"/>
      <c r="Q841" s="67" t="n"/>
      <c r="R841" s="67" t="n"/>
      <c r="S841" s="68" t="str">
        <f>IF(AND(ISNUMBER($Q841),ISNUMBER($R841)),$Q841-$R841,"")</f>
        <v/>
      </c>
      <c r="T841" s="65" t="n"/>
      <c r="U841" s="64" t="n"/>
      <c r="V841" s="65" t="n"/>
      <c r="W841" s="63" t="n"/>
      <c r="X841" s="65" t="n"/>
      <c r="Y841" s="63" t="n"/>
      <c r="Z841" s="64" t="n"/>
      <c r="AA841" s="64" t="n"/>
      <c r="AB841" s="65" t="n"/>
      <c r="AC841" s="69" t="str">
        <f>IF(OR($G841="",NOT(ISNUMBER($K841)),$AK841=0),"",MAX(0,ReportDate-$K841))</f>
        <v/>
      </c>
      <c r="AD841" s="69" t="str">
        <f>IF($G841="","",IF($AL841=1,ReportDate-$L841,0))</f>
        <v/>
      </c>
      <c r="AE841" s="70" t="str">
        <f>IF($G841="","",IF($M841="Completed",1,IF(ISNUMBER($N841),$N841,0)))</f>
        <v/>
      </c>
      <c r="AF841" s="70" t="str">
        <f>IF(AND(ISNUMBER($Q841),ISNUMBER($R841)),IF($R841&lt;&gt;0,$Q841/$R841,""),"")</f>
        <v/>
      </c>
      <c r="AG841" s="71" t="str">
        <f>IF($G841="","",IF($AL841=1,"OVERDUE",IF($AM841=1,"BLOCKED",IF($AN841=1,"DUE TODAY",IF($AO841=1,"DUE TOMORROW",IF($AQ841=1,"HIGH PRIORITY",IF($AR841=1,"NO RECENT UPDATE",""))))))) </f>
        <v/>
      </c>
      <c r="AH841" s="71" t="str">
        <f>IF($G841="","",IF(ISNUMBER($A841),IF(ISNUMBER($A841),YEAR($A841)&amp;"-"&amp;TEXT(MONTH($A841),"00"),""),IF(ISNUMBER($L841),IF(ISNUMBER($L841),YEAR($L841)&amp;"-"&amp;TEXT(MONTH($L841),"00"),""),"")))</f>
        <v/>
      </c>
      <c r="AI841" s="71">
        <f>IF($G841="",0,IF(AND(OR(fClient="All",$C841=fClient),OR(fCampaign="All",$D841=fCampaign),OR(fTeam="All",$B841=fTeam),OR(fChannel="All",$F841=fChannel),OR(fMonth="All",$AH841=fMonth),OR(fTStatus="All",$M841=fTStatus)),1,0))</f>
        <v>0</v>
      </c>
      <c r="AJ841" s="71">
        <f>IF($G841="",0,IF(AND(OR(fClient="All",$C841=fClient),OR(fCampaign="All",$D841=fCampaign),OR(fTeam="All",$B841=fTeam),OR(fChannel="All",$F841=fChannel)),1,0))</f>
        <v>0</v>
      </c>
      <c r="AK841" s="71">
        <f>IF($G841="",0,IF(OR($M841="Completed",$M841="Cancelled"),0,1))</f>
        <v>0</v>
      </c>
      <c r="AL841" s="71">
        <f>IF(AND($AK841=1,ISNUMBER($L841)),IF($L841&lt;ReportDate,1,0),0)</f>
        <v>0</v>
      </c>
      <c r="AM841" s="71">
        <f>IF(AND($G841&lt;&gt;"",$M841="Blocked"),1,0)</f>
        <v>0</v>
      </c>
      <c r="AN841" s="71">
        <f>IF(AND($AK841=1,ISNUMBER($L841)),IF($L841=ReportDate,1,0),0)</f>
        <v>0</v>
      </c>
      <c r="AO841" s="71">
        <f>IF(AND($AK841=1,ISNUMBER($L841)),IF($L841=ReportDate+1,1,0),0)</f>
        <v>0</v>
      </c>
      <c r="AP841" s="71">
        <f>IF(AND($AK841=1,ISNUMBER($L841)),IF(AND($L841&gt;=ReportDate,$L841&lt;=ReportDate+DueSoonDays),1,0),0)</f>
        <v>0</v>
      </c>
      <c r="AQ841" s="71">
        <f>IF(AND($AK841=1,OR($I841="Critical",$I841="High")),1,0)</f>
        <v>0</v>
      </c>
      <c r="AR841" s="71">
        <f>IF($AK841=1,IF(ISNUMBER($Y841),IF(ReportDate-$Y841&gt;StaleDays,1,0),1),0)</f>
        <v>0</v>
      </c>
      <c r="AS841" s="71">
        <f>IF(AND($G841&lt;&gt;"",ISNUMBER($Q841),ISNUMBER($R841)),IF(AND($Q841&lt;$R841,OR($M841="Completed",AND(ISNUMBER($L841),$L841&lt;ReportDate))),1,0),0)</f>
        <v>0</v>
      </c>
      <c r="AT841" s="71">
        <f>IF($AK841=1,IF(OR($L841=ReportDate,$W841=ReportDate,$K841=ReportDate,$A841=ReportDate),1,0),0)</f>
        <v>0</v>
      </c>
      <c r="AU841" s="71">
        <f>IF($AK841=1,IF(OR($L841=ReportDate+1,$W841=ReportDate+1,$K841=ReportDate+1,$A841=ReportDate+1),1,0),0)</f>
        <v>0</v>
      </c>
      <c r="AV841" s="71">
        <f>IF(AND($G841&lt;&gt;"",$M841="Completed"),IF(OR($Y841=ReportDate-1,$A841=ReportDate-1),1,0),0)</f>
        <v>0</v>
      </c>
      <c r="AW841" s="71">
        <f>IF(AND($AK841=1,$Z841="Yes"),1,0)</f>
        <v>0</v>
      </c>
      <c r="AX841" s="71">
        <f>IF(AND($AK841=1,$AA841="Yes"),1,0)</f>
        <v>0</v>
      </c>
      <c r="AY841" s="71">
        <f>IF(AND($AM841=1,OR($I841="Critical",$I841="High")),1,0)</f>
        <v>0</v>
      </c>
      <c r="AZ841" s="71">
        <f>IF(AND($AK841=1,OR($C841=TCL_Client,$C841=MECCA_Client)),1,0)</f>
        <v>0</v>
      </c>
      <c r="BA841" s="71" t="str">
        <f>IF($G841="","",IFERROR(MATCH($I841,lst_Priority,0),5))</f>
        <v/>
      </c>
      <c r="BB841" s="71" t="str">
        <f>IF(AND($AL841=1,$AJ841=1),$BA841*100000+ROW(),"")</f>
        <v/>
      </c>
      <c r="BC841" s="71" t="str">
        <f>IF(AND($AM841=1,$AJ841=1),$BA841*100000+ROW(),"")</f>
        <v/>
      </c>
      <c r="BD841" s="71" t="str">
        <f>IF(AND($AP841=1,$AJ841=1),$BA841*100000+ROW(),"")</f>
        <v/>
      </c>
      <c r="BE841" s="71" t="str">
        <f>IF(AND($AT841=1,$AJ841=1),$BA841*100000+ROW(),"")</f>
        <v/>
      </c>
      <c r="BF841" s="71" t="str">
        <f>IF(AND($AU841=1,$AJ841=1),$BA841*100000+ROW(),"")</f>
        <v/>
      </c>
      <c r="BG841" s="71" t="str">
        <f>IF(AND($AV841=1,$AJ841=1),$BA841*100000+ROW(),"")</f>
        <v/>
      </c>
      <c r="BH841" s="71" t="str">
        <f>IF(AND($AW841=1,$AJ841=1),$BA841*100000+ROW(),"")</f>
        <v/>
      </c>
      <c r="BI841" s="71" t="str">
        <f>IF(AND($AX841=1,$AJ841=1),$BA841*100000+ROW(),"")</f>
        <v/>
      </c>
      <c r="BJ841" s="71" t="str">
        <f>IF(AND($AS841=1,$AJ841=1),$BA841*100000+ROW(),"")</f>
        <v/>
      </c>
      <c r="BK841" s="71" t="str">
        <f>IF(AND($AY841=1,$AJ841=1),$BA841*100000+ROW(),"")</f>
        <v/>
      </c>
      <c r="BL841" s="71" t="str">
        <f>IF(AND($AZ841=1),$BA841*100000+ROW(),"")</f>
        <v/>
      </c>
    </row>
    <row r="842">
      <c r="A842" s="63" t="n"/>
      <c r="B842" s="64" t="n"/>
      <c r="C842" s="64" t="n"/>
      <c r="D842" s="64" t="n"/>
      <c r="E842" s="64" t="n"/>
      <c r="F842" s="64" t="n"/>
      <c r="G842" s="65" t="n"/>
      <c r="H842" s="65" t="n"/>
      <c r="I842" s="64" t="n"/>
      <c r="J842" s="64" t="n"/>
      <c r="K842" s="63" t="n"/>
      <c r="L842" s="63" t="n"/>
      <c r="M842" s="64" t="n"/>
      <c r="N842" s="66" t="n"/>
      <c r="O842" s="65" t="n"/>
      <c r="P842" s="64" t="n"/>
      <c r="Q842" s="67" t="n"/>
      <c r="R842" s="67" t="n"/>
      <c r="S842" s="68" t="str">
        <f>IF(AND(ISNUMBER($Q842),ISNUMBER($R842)),$Q842-$R842,"")</f>
        <v/>
      </c>
      <c r="T842" s="65" t="n"/>
      <c r="U842" s="64" t="n"/>
      <c r="V842" s="65" t="n"/>
      <c r="W842" s="63" t="n"/>
      <c r="X842" s="65" t="n"/>
      <c r="Y842" s="63" t="n"/>
      <c r="Z842" s="64" t="n"/>
      <c r="AA842" s="64" t="n"/>
      <c r="AB842" s="65" t="n"/>
      <c r="AC842" s="69" t="str">
        <f>IF(OR($G842="",NOT(ISNUMBER($K842)),$AK842=0),"",MAX(0,ReportDate-$K842))</f>
        <v/>
      </c>
      <c r="AD842" s="69" t="str">
        <f>IF($G842="","",IF($AL842=1,ReportDate-$L842,0))</f>
        <v/>
      </c>
      <c r="AE842" s="70" t="str">
        <f>IF($G842="","",IF($M842="Completed",1,IF(ISNUMBER($N842),$N842,0)))</f>
        <v/>
      </c>
      <c r="AF842" s="70" t="str">
        <f>IF(AND(ISNUMBER($Q842),ISNUMBER($R842)),IF($R842&lt;&gt;0,$Q842/$R842,""),"")</f>
        <v/>
      </c>
      <c r="AG842" s="71" t="str">
        <f>IF($G842="","",IF($AL842=1,"OVERDUE",IF($AM842=1,"BLOCKED",IF($AN842=1,"DUE TODAY",IF($AO842=1,"DUE TOMORROW",IF($AQ842=1,"HIGH PRIORITY",IF($AR842=1,"NO RECENT UPDATE",""))))))) </f>
        <v/>
      </c>
      <c r="AH842" s="71" t="str">
        <f>IF($G842="","",IF(ISNUMBER($A842),IF(ISNUMBER($A842),YEAR($A842)&amp;"-"&amp;TEXT(MONTH($A842),"00"),""),IF(ISNUMBER($L842),IF(ISNUMBER($L842),YEAR($L842)&amp;"-"&amp;TEXT(MONTH($L842),"00"),""),"")))</f>
        <v/>
      </c>
      <c r="AI842" s="71">
        <f>IF($G842="",0,IF(AND(OR(fClient="All",$C842=fClient),OR(fCampaign="All",$D842=fCampaign),OR(fTeam="All",$B842=fTeam),OR(fChannel="All",$F842=fChannel),OR(fMonth="All",$AH842=fMonth),OR(fTStatus="All",$M842=fTStatus)),1,0))</f>
        <v>0</v>
      </c>
      <c r="AJ842" s="71">
        <f>IF($G842="",0,IF(AND(OR(fClient="All",$C842=fClient),OR(fCampaign="All",$D842=fCampaign),OR(fTeam="All",$B842=fTeam),OR(fChannel="All",$F842=fChannel)),1,0))</f>
        <v>0</v>
      </c>
      <c r="AK842" s="71">
        <f>IF($G842="",0,IF(OR($M842="Completed",$M842="Cancelled"),0,1))</f>
        <v>0</v>
      </c>
      <c r="AL842" s="71">
        <f>IF(AND($AK842=1,ISNUMBER($L842)),IF($L842&lt;ReportDate,1,0),0)</f>
        <v>0</v>
      </c>
      <c r="AM842" s="71">
        <f>IF(AND($G842&lt;&gt;"",$M842="Blocked"),1,0)</f>
        <v>0</v>
      </c>
      <c r="AN842" s="71">
        <f>IF(AND($AK842=1,ISNUMBER($L842)),IF($L842=ReportDate,1,0),0)</f>
        <v>0</v>
      </c>
      <c r="AO842" s="71">
        <f>IF(AND($AK842=1,ISNUMBER($L842)),IF($L842=ReportDate+1,1,0),0)</f>
        <v>0</v>
      </c>
      <c r="AP842" s="71">
        <f>IF(AND($AK842=1,ISNUMBER($L842)),IF(AND($L842&gt;=ReportDate,$L842&lt;=ReportDate+DueSoonDays),1,0),0)</f>
        <v>0</v>
      </c>
      <c r="AQ842" s="71">
        <f>IF(AND($AK842=1,OR($I842="Critical",$I842="High")),1,0)</f>
        <v>0</v>
      </c>
      <c r="AR842" s="71">
        <f>IF($AK842=1,IF(ISNUMBER($Y842),IF(ReportDate-$Y842&gt;StaleDays,1,0),1),0)</f>
        <v>0</v>
      </c>
      <c r="AS842" s="71">
        <f>IF(AND($G842&lt;&gt;"",ISNUMBER($Q842),ISNUMBER($R842)),IF(AND($Q842&lt;$R842,OR($M842="Completed",AND(ISNUMBER($L842),$L842&lt;ReportDate))),1,0),0)</f>
        <v>0</v>
      </c>
      <c r="AT842" s="71">
        <f>IF($AK842=1,IF(OR($L842=ReportDate,$W842=ReportDate,$K842=ReportDate,$A842=ReportDate),1,0),0)</f>
        <v>0</v>
      </c>
      <c r="AU842" s="71">
        <f>IF($AK842=1,IF(OR($L842=ReportDate+1,$W842=ReportDate+1,$K842=ReportDate+1,$A842=ReportDate+1),1,0),0)</f>
        <v>0</v>
      </c>
      <c r="AV842" s="71">
        <f>IF(AND($G842&lt;&gt;"",$M842="Completed"),IF(OR($Y842=ReportDate-1,$A842=ReportDate-1),1,0),0)</f>
        <v>0</v>
      </c>
      <c r="AW842" s="71">
        <f>IF(AND($AK842=1,$Z842="Yes"),1,0)</f>
        <v>0</v>
      </c>
      <c r="AX842" s="71">
        <f>IF(AND($AK842=1,$AA842="Yes"),1,0)</f>
        <v>0</v>
      </c>
      <c r="AY842" s="71">
        <f>IF(AND($AM842=1,OR($I842="Critical",$I842="High")),1,0)</f>
        <v>0</v>
      </c>
      <c r="AZ842" s="71">
        <f>IF(AND($AK842=1,OR($C842=TCL_Client,$C842=MECCA_Client)),1,0)</f>
        <v>0</v>
      </c>
      <c r="BA842" s="71" t="str">
        <f>IF($G842="","",IFERROR(MATCH($I842,lst_Priority,0),5))</f>
        <v/>
      </c>
      <c r="BB842" s="71" t="str">
        <f>IF(AND($AL842=1,$AJ842=1),$BA842*100000+ROW(),"")</f>
        <v/>
      </c>
      <c r="BC842" s="71" t="str">
        <f>IF(AND($AM842=1,$AJ842=1),$BA842*100000+ROW(),"")</f>
        <v/>
      </c>
      <c r="BD842" s="71" t="str">
        <f>IF(AND($AP842=1,$AJ842=1),$BA842*100000+ROW(),"")</f>
        <v/>
      </c>
      <c r="BE842" s="71" t="str">
        <f>IF(AND($AT842=1,$AJ842=1),$BA842*100000+ROW(),"")</f>
        <v/>
      </c>
      <c r="BF842" s="71" t="str">
        <f>IF(AND($AU842=1,$AJ842=1),$BA842*100000+ROW(),"")</f>
        <v/>
      </c>
      <c r="BG842" s="71" t="str">
        <f>IF(AND($AV842=1,$AJ842=1),$BA842*100000+ROW(),"")</f>
        <v/>
      </c>
      <c r="BH842" s="71" t="str">
        <f>IF(AND($AW842=1,$AJ842=1),$BA842*100000+ROW(),"")</f>
        <v/>
      </c>
      <c r="BI842" s="71" t="str">
        <f>IF(AND($AX842=1,$AJ842=1),$BA842*100000+ROW(),"")</f>
        <v/>
      </c>
      <c r="BJ842" s="71" t="str">
        <f>IF(AND($AS842=1,$AJ842=1),$BA842*100000+ROW(),"")</f>
        <v/>
      </c>
      <c r="BK842" s="71" t="str">
        <f>IF(AND($AY842=1,$AJ842=1),$BA842*100000+ROW(),"")</f>
        <v/>
      </c>
      <c r="BL842" s="71" t="str">
        <f>IF(AND($AZ842=1),$BA842*100000+ROW(),"")</f>
        <v/>
      </c>
    </row>
    <row r="843">
      <c r="A843" s="63" t="n"/>
      <c r="B843" s="64" t="n"/>
      <c r="C843" s="64" t="n"/>
      <c r="D843" s="64" t="n"/>
      <c r="E843" s="64" t="n"/>
      <c r="F843" s="64" t="n"/>
      <c r="G843" s="65" t="n"/>
      <c r="H843" s="65" t="n"/>
      <c r="I843" s="64" t="n"/>
      <c r="J843" s="64" t="n"/>
      <c r="K843" s="63" t="n"/>
      <c r="L843" s="63" t="n"/>
      <c r="M843" s="64" t="n"/>
      <c r="N843" s="66" t="n"/>
      <c r="O843" s="65" t="n"/>
      <c r="P843" s="64" t="n"/>
      <c r="Q843" s="67" t="n"/>
      <c r="R843" s="67" t="n"/>
      <c r="S843" s="68" t="str">
        <f>IF(AND(ISNUMBER($Q843),ISNUMBER($R843)),$Q843-$R843,"")</f>
        <v/>
      </c>
      <c r="T843" s="65" t="n"/>
      <c r="U843" s="64" t="n"/>
      <c r="V843" s="65" t="n"/>
      <c r="W843" s="63" t="n"/>
      <c r="X843" s="65" t="n"/>
      <c r="Y843" s="63" t="n"/>
      <c r="Z843" s="64" t="n"/>
      <c r="AA843" s="64" t="n"/>
      <c r="AB843" s="65" t="n"/>
      <c r="AC843" s="69" t="str">
        <f>IF(OR($G843="",NOT(ISNUMBER($K843)),$AK843=0),"",MAX(0,ReportDate-$K843))</f>
        <v/>
      </c>
      <c r="AD843" s="69" t="str">
        <f>IF($G843="","",IF($AL843=1,ReportDate-$L843,0))</f>
        <v/>
      </c>
      <c r="AE843" s="70" t="str">
        <f>IF($G843="","",IF($M843="Completed",1,IF(ISNUMBER($N843),$N843,0)))</f>
        <v/>
      </c>
      <c r="AF843" s="70" t="str">
        <f>IF(AND(ISNUMBER($Q843),ISNUMBER($R843)),IF($R843&lt;&gt;0,$Q843/$R843,""),"")</f>
        <v/>
      </c>
      <c r="AG843" s="71" t="str">
        <f>IF($G843="","",IF($AL843=1,"OVERDUE",IF($AM843=1,"BLOCKED",IF($AN843=1,"DUE TODAY",IF($AO843=1,"DUE TOMORROW",IF($AQ843=1,"HIGH PRIORITY",IF($AR843=1,"NO RECENT UPDATE",""))))))) </f>
        <v/>
      </c>
      <c r="AH843" s="71" t="str">
        <f>IF($G843="","",IF(ISNUMBER($A843),IF(ISNUMBER($A843),YEAR($A843)&amp;"-"&amp;TEXT(MONTH($A843),"00"),""),IF(ISNUMBER($L843),IF(ISNUMBER($L843),YEAR($L843)&amp;"-"&amp;TEXT(MONTH($L843),"00"),""),"")))</f>
        <v/>
      </c>
      <c r="AI843" s="71">
        <f>IF($G843="",0,IF(AND(OR(fClient="All",$C843=fClient),OR(fCampaign="All",$D843=fCampaign),OR(fTeam="All",$B843=fTeam),OR(fChannel="All",$F843=fChannel),OR(fMonth="All",$AH843=fMonth),OR(fTStatus="All",$M843=fTStatus)),1,0))</f>
        <v>0</v>
      </c>
      <c r="AJ843" s="71">
        <f>IF($G843="",0,IF(AND(OR(fClient="All",$C843=fClient),OR(fCampaign="All",$D843=fCampaign),OR(fTeam="All",$B843=fTeam),OR(fChannel="All",$F843=fChannel)),1,0))</f>
        <v>0</v>
      </c>
      <c r="AK843" s="71">
        <f>IF($G843="",0,IF(OR($M843="Completed",$M843="Cancelled"),0,1))</f>
        <v>0</v>
      </c>
      <c r="AL843" s="71">
        <f>IF(AND($AK843=1,ISNUMBER($L843)),IF($L843&lt;ReportDate,1,0),0)</f>
        <v>0</v>
      </c>
      <c r="AM843" s="71">
        <f>IF(AND($G843&lt;&gt;"",$M843="Blocked"),1,0)</f>
        <v>0</v>
      </c>
      <c r="AN843" s="71">
        <f>IF(AND($AK843=1,ISNUMBER($L843)),IF($L843=ReportDate,1,0),0)</f>
        <v>0</v>
      </c>
      <c r="AO843" s="71">
        <f>IF(AND($AK843=1,ISNUMBER($L843)),IF($L843=ReportDate+1,1,0),0)</f>
        <v>0</v>
      </c>
      <c r="AP843" s="71">
        <f>IF(AND($AK843=1,ISNUMBER($L843)),IF(AND($L843&gt;=ReportDate,$L843&lt;=ReportDate+DueSoonDays),1,0),0)</f>
        <v>0</v>
      </c>
      <c r="AQ843" s="71">
        <f>IF(AND($AK843=1,OR($I843="Critical",$I843="High")),1,0)</f>
        <v>0</v>
      </c>
      <c r="AR843" s="71">
        <f>IF($AK843=1,IF(ISNUMBER($Y843),IF(ReportDate-$Y843&gt;StaleDays,1,0),1),0)</f>
        <v>0</v>
      </c>
      <c r="AS843" s="71">
        <f>IF(AND($G843&lt;&gt;"",ISNUMBER($Q843),ISNUMBER($R843)),IF(AND($Q843&lt;$R843,OR($M843="Completed",AND(ISNUMBER($L843),$L843&lt;ReportDate))),1,0),0)</f>
        <v>0</v>
      </c>
      <c r="AT843" s="71">
        <f>IF($AK843=1,IF(OR($L843=ReportDate,$W843=ReportDate,$K843=ReportDate,$A843=ReportDate),1,0),0)</f>
        <v>0</v>
      </c>
      <c r="AU843" s="71">
        <f>IF($AK843=1,IF(OR($L843=ReportDate+1,$W843=ReportDate+1,$K843=ReportDate+1,$A843=ReportDate+1),1,0),0)</f>
        <v>0</v>
      </c>
      <c r="AV843" s="71">
        <f>IF(AND($G843&lt;&gt;"",$M843="Completed"),IF(OR($Y843=ReportDate-1,$A843=ReportDate-1),1,0),0)</f>
        <v>0</v>
      </c>
      <c r="AW843" s="71">
        <f>IF(AND($AK843=1,$Z843="Yes"),1,0)</f>
        <v>0</v>
      </c>
      <c r="AX843" s="71">
        <f>IF(AND($AK843=1,$AA843="Yes"),1,0)</f>
        <v>0</v>
      </c>
      <c r="AY843" s="71">
        <f>IF(AND($AM843=1,OR($I843="Critical",$I843="High")),1,0)</f>
        <v>0</v>
      </c>
      <c r="AZ843" s="71">
        <f>IF(AND($AK843=1,OR($C843=TCL_Client,$C843=MECCA_Client)),1,0)</f>
        <v>0</v>
      </c>
      <c r="BA843" s="71" t="str">
        <f>IF($G843="","",IFERROR(MATCH($I843,lst_Priority,0),5))</f>
        <v/>
      </c>
      <c r="BB843" s="71" t="str">
        <f>IF(AND($AL843=1,$AJ843=1),$BA843*100000+ROW(),"")</f>
        <v/>
      </c>
      <c r="BC843" s="71" t="str">
        <f>IF(AND($AM843=1,$AJ843=1),$BA843*100000+ROW(),"")</f>
        <v/>
      </c>
      <c r="BD843" s="71" t="str">
        <f>IF(AND($AP843=1,$AJ843=1),$BA843*100000+ROW(),"")</f>
        <v/>
      </c>
      <c r="BE843" s="71" t="str">
        <f>IF(AND($AT843=1,$AJ843=1),$BA843*100000+ROW(),"")</f>
        <v/>
      </c>
      <c r="BF843" s="71" t="str">
        <f>IF(AND($AU843=1,$AJ843=1),$BA843*100000+ROW(),"")</f>
        <v/>
      </c>
      <c r="BG843" s="71" t="str">
        <f>IF(AND($AV843=1,$AJ843=1),$BA843*100000+ROW(),"")</f>
        <v/>
      </c>
      <c r="BH843" s="71" t="str">
        <f>IF(AND($AW843=1,$AJ843=1),$BA843*100000+ROW(),"")</f>
        <v/>
      </c>
      <c r="BI843" s="71" t="str">
        <f>IF(AND($AX843=1,$AJ843=1),$BA843*100000+ROW(),"")</f>
        <v/>
      </c>
      <c r="BJ843" s="71" t="str">
        <f>IF(AND($AS843=1,$AJ843=1),$BA843*100000+ROW(),"")</f>
        <v/>
      </c>
      <c r="BK843" s="71" t="str">
        <f>IF(AND($AY843=1,$AJ843=1),$BA843*100000+ROW(),"")</f>
        <v/>
      </c>
      <c r="BL843" s="71" t="str">
        <f>IF(AND($AZ843=1),$BA843*100000+ROW(),"")</f>
        <v/>
      </c>
    </row>
    <row r="844">
      <c r="A844" s="63" t="n"/>
      <c r="B844" s="64" t="n"/>
      <c r="C844" s="64" t="n"/>
      <c r="D844" s="64" t="n"/>
      <c r="E844" s="64" t="n"/>
      <c r="F844" s="64" t="n"/>
      <c r="G844" s="65" t="n"/>
      <c r="H844" s="65" t="n"/>
      <c r="I844" s="64" t="n"/>
      <c r="J844" s="64" t="n"/>
      <c r="K844" s="63" t="n"/>
      <c r="L844" s="63" t="n"/>
      <c r="M844" s="64" t="n"/>
      <c r="N844" s="66" t="n"/>
      <c r="O844" s="65" t="n"/>
      <c r="P844" s="64" t="n"/>
      <c r="Q844" s="67" t="n"/>
      <c r="R844" s="67" t="n"/>
      <c r="S844" s="68" t="str">
        <f>IF(AND(ISNUMBER($Q844),ISNUMBER($R844)),$Q844-$R844,"")</f>
        <v/>
      </c>
      <c r="T844" s="65" t="n"/>
      <c r="U844" s="64" t="n"/>
      <c r="V844" s="65" t="n"/>
      <c r="W844" s="63" t="n"/>
      <c r="X844" s="65" t="n"/>
      <c r="Y844" s="63" t="n"/>
      <c r="Z844" s="64" t="n"/>
      <c r="AA844" s="64" t="n"/>
      <c r="AB844" s="65" t="n"/>
      <c r="AC844" s="69" t="str">
        <f>IF(OR($G844="",NOT(ISNUMBER($K844)),$AK844=0),"",MAX(0,ReportDate-$K844))</f>
        <v/>
      </c>
      <c r="AD844" s="69" t="str">
        <f>IF($G844="","",IF($AL844=1,ReportDate-$L844,0))</f>
        <v/>
      </c>
      <c r="AE844" s="70" t="str">
        <f>IF($G844="","",IF($M844="Completed",1,IF(ISNUMBER($N844),$N844,0)))</f>
        <v/>
      </c>
      <c r="AF844" s="70" t="str">
        <f>IF(AND(ISNUMBER($Q844),ISNUMBER($R844)),IF($R844&lt;&gt;0,$Q844/$R844,""),"")</f>
        <v/>
      </c>
      <c r="AG844" s="71" t="str">
        <f>IF($G844="","",IF($AL844=1,"OVERDUE",IF($AM844=1,"BLOCKED",IF($AN844=1,"DUE TODAY",IF($AO844=1,"DUE TOMORROW",IF($AQ844=1,"HIGH PRIORITY",IF($AR844=1,"NO RECENT UPDATE",""))))))) </f>
        <v/>
      </c>
      <c r="AH844" s="71" t="str">
        <f>IF($G844="","",IF(ISNUMBER($A844),IF(ISNUMBER($A844),YEAR($A844)&amp;"-"&amp;TEXT(MONTH($A844),"00"),""),IF(ISNUMBER($L844),IF(ISNUMBER($L844),YEAR($L844)&amp;"-"&amp;TEXT(MONTH($L844),"00"),""),"")))</f>
        <v/>
      </c>
      <c r="AI844" s="71">
        <f>IF($G844="",0,IF(AND(OR(fClient="All",$C844=fClient),OR(fCampaign="All",$D844=fCampaign),OR(fTeam="All",$B844=fTeam),OR(fChannel="All",$F844=fChannel),OR(fMonth="All",$AH844=fMonth),OR(fTStatus="All",$M844=fTStatus)),1,0))</f>
        <v>0</v>
      </c>
      <c r="AJ844" s="71">
        <f>IF($G844="",0,IF(AND(OR(fClient="All",$C844=fClient),OR(fCampaign="All",$D844=fCampaign),OR(fTeam="All",$B844=fTeam),OR(fChannel="All",$F844=fChannel)),1,0))</f>
        <v>0</v>
      </c>
      <c r="AK844" s="71">
        <f>IF($G844="",0,IF(OR($M844="Completed",$M844="Cancelled"),0,1))</f>
        <v>0</v>
      </c>
      <c r="AL844" s="71">
        <f>IF(AND($AK844=1,ISNUMBER($L844)),IF($L844&lt;ReportDate,1,0),0)</f>
        <v>0</v>
      </c>
      <c r="AM844" s="71">
        <f>IF(AND($G844&lt;&gt;"",$M844="Blocked"),1,0)</f>
        <v>0</v>
      </c>
      <c r="AN844" s="71">
        <f>IF(AND($AK844=1,ISNUMBER($L844)),IF($L844=ReportDate,1,0),0)</f>
        <v>0</v>
      </c>
      <c r="AO844" s="71">
        <f>IF(AND($AK844=1,ISNUMBER($L844)),IF($L844=ReportDate+1,1,0),0)</f>
        <v>0</v>
      </c>
      <c r="AP844" s="71">
        <f>IF(AND($AK844=1,ISNUMBER($L844)),IF(AND($L844&gt;=ReportDate,$L844&lt;=ReportDate+DueSoonDays),1,0),0)</f>
        <v>0</v>
      </c>
      <c r="AQ844" s="71">
        <f>IF(AND($AK844=1,OR($I844="Critical",$I844="High")),1,0)</f>
        <v>0</v>
      </c>
      <c r="AR844" s="71">
        <f>IF($AK844=1,IF(ISNUMBER($Y844),IF(ReportDate-$Y844&gt;StaleDays,1,0),1),0)</f>
        <v>0</v>
      </c>
      <c r="AS844" s="71">
        <f>IF(AND($G844&lt;&gt;"",ISNUMBER($Q844),ISNUMBER($R844)),IF(AND($Q844&lt;$R844,OR($M844="Completed",AND(ISNUMBER($L844),$L844&lt;ReportDate))),1,0),0)</f>
        <v>0</v>
      </c>
      <c r="AT844" s="71">
        <f>IF($AK844=1,IF(OR($L844=ReportDate,$W844=ReportDate,$K844=ReportDate,$A844=ReportDate),1,0),0)</f>
        <v>0</v>
      </c>
      <c r="AU844" s="71">
        <f>IF($AK844=1,IF(OR($L844=ReportDate+1,$W844=ReportDate+1,$K844=ReportDate+1,$A844=ReportDate+1),1,0),0)</f>
        <v>0</v>
      </c>
      <c r="AV844" s="71">
        <f>IF(AND($G844&lt;&gt;"",$M844="Completed"),IF(OR($Y844=ReportDate-1,$A844=ReportDate-1),1,0),0)</f>
        <v>0</v>
      </c>
      <c r="AW844" s="71">
        <f>IF(AND($AK844=1,$Z844="Yes"),1,0)</f>
        <v>0</v>
      </c>
      <c r="AX844" s="71">
        <f>IF(AND($AK844=1,$AA844="Yes"),1,0)</f>
        <v>0</v>
      </c>
      <c r="AY844" s="71">
        <f>IF(AND($AM844=1,OR($I844="Critical",$I844="High")),1,0)</f>
        <v>0</v>
      </c>
      <c r="AZ844" s="71">
        <f>IF(AND($AK844=1,OR($C844=TCL_Client,$C844=MECCA_Client)),1,0)</f>
        <v>0</v>
      </c>
      <c r="BA844" s="71" t="str">
        <f>IF($G844="","",IFERROR(MATCH($I844,lst_Priority,0),5))</f>
        <v/>
      </c>
      <c r="BB844" s="71" t="str">
        <f>IF(AND($AL844=1,$AJ844=1),$BA844*100000+ROW(),"")</f>
        <v/>
      </c>
      <c r="BC844" s="71" t="str">
        <f>IF(AND($AM844=1,$AJ844=1),$BA844*100000+ROW(),"")</f>
        <v/>
      </c>
      <c r="BD844" s="71" t="str">
        <f>IF(AND($AP844=1,$AJ844=1),$BA844*100000+ROW(),"")</f>
        <v/>
      </c>
      <c r="BE844" s="71" t="str">
        <f>IF(AND($AT844=1,$AJ844=1),$BA844*100000+ROW(),"")</f>
        <v/>
      </c>
      <c r="BF844" s="71" t="str">
        <f>IF(AND($AU844=1,$AJ844=1),$BA844*100000+ROW(),"")</f>
        <v/>
      </c>
      <c r="BG844" s="71" t="str">
        <f>IF(AND($AV844=1,$AJ844=1),$BA844*100000+ROW(),"")</f>
        <v/>
      </c>
      <c r="BH844" s="71" t="str">
        <f>IF(AND($AW844=1,$AJ844=1),$BA844*100000+ROW(),"")</f>
        <v/>
      </c>
      <c r="BI844" s="71" t="str">
        <f>IF(AND($AX844=1,$AJ844=1),$BA844*100000+ROW(),"")</f>
        <v/>
      </c>
      <c r="BJ844" s="71" t="str">
        <f>IF(AND($AS844=1,$AJ844=1),$BA844*100000+ROW(),"")</f>
        <v/>
      </c>
      <c r="BK844" s="71" t="str">
        <f>IF(AND($AY844=1,$AJ844=1),$BA844*100000+ROW(),"")</f>
        <v/>
      </c>
      <c r="BL844" s="71" t="str">
        <f>IF(AND($AZ844=1),$BA844*100000+ROW(),"")</f>
        <v/>
      </c>
    </row>
    <row r="845">
      <c r="A845" s="63" t="n"/>
      <c r="B845" s="64" t="n"/>
      <c r="C845" s="64" t="n"/>
      <c r="D845" s="64" t="n"/>
      <c r="E845" s="64" t="n"/>
      <c r="F845" s="64" t="n"/>
      <c r="G845" s="65" t="n"/>
      <c r="H845" s="65" t="n"/>
      <c r="I845" s="64" t="n"/>
      <c r="J845" s="64" t="n"/>
      <c r="K845" s="63" t="n"/>
      <c r="L845" s="63" t="n"/>
      <c r="M845" s="64" t="n"/>
      <c r="N845" s="66" t="n"/>
      <c r="O845" s="65" t="n"/>
      <c r="P845" s="64" t="n"/>
      <c r="Q845" s="67" t="n"/>
      <c r="R845" s="67" t="n"/>
      <c r="S845" s="68" t="str">
        <f>IF(AND(ISNUMBER($Q845),ISNUMBER($R845)),$Q845-$R845,"")</f>
        <v/>
      </c>
      <c r="T845" s="65" t="n"/>
      <c r="U845" s="64" t="n"/>
      <c r="V845" s="65" t="n"/>
      <c r="W845" s="63" t="n"/>
      <c r="X845" s="65" t="n"/>
      <c r="Y845" s="63" t="n"/>
      <c r="Z845" s="64" t="n"/>
      <c r="AA845" s="64" t="n"/>
      <c r="AB845" s="65" t="n"/>
      <c r="AC845" s="69" t="str">
        <f>IF(OR($G845="",NOT(ISNUMBER($K845)),$AK845=0),"",MAX(0,ReportDate-$K845))</f>
        <v/>
      </c>
      <c r="AD845" s="69" t="str">
        <f>IF($G845="","",IF($AL845=1,ReportDate-$L845,0))</f>
        <v/>
      </c>
      <c r="AE845" s="70" t="str">
        <f>IF($G845="","",IF($M845="Completed",1,IF(ISNUMBER($N845),$N845,0)))</f>
        <v/>
      </c>
      <c r="AF845" s="70" t="str">
        <f>IF(AND(ISNUMBER($Q845),ISNUMBER($R845)),IF($R845&lt;&gt;0,$Q845/$R845,""),"")</f>
        <v/>
      </c>
      <c r="AG845" s="71" t="str">
        <f>IF($G845="","",IF($AL845=1,"OVERDUE",IF($AM845=1,"BLOCKED",IF($AN845=1,"DUE TODAY",IF($AO845=1,"DUE TOMORROW",IF($AQ845=1,"HIGH PRIORITY",IF($AR845=1,"NO RECENT UPDATE",""))))))) </f>
        <v/>
      </c>
      <c r="AH845" s="71" t="str">
        <f>IF($G845="","",IF(ISNUMBER($A845),IF(ISNUMBER($A845),YEAR($A845)&amp;"-"&amp;TEXT(MONTH($A845),"00"),""),IF(ISNUMBER($L845),IF(ISNUMBER($L845),YEAR($L845)&amp;"-"&amp;TEXT(MONTH($L845),"00"),""),"")))</f>
        <v/>
      </c>
      <c r="AI845" s="71">
        <f>IF($G845="",0,IF(AND(OR(fClient="All",$C845=fClient),OR(fCampaign="All",$D845=fCampaign),OR(fTeam="All",$B845=fTeam),OR(fChannel="All",$F845=fChannel),OR(fMonth="All",$AH845=fMonth),OR(fTStatus="All",$M845=fTStatus)),1,0))</f>
        <v>0</v>
      </c>
      <c r="AJ845" s="71">
        <f>IF($G845="",0,IF(AND(OR(fClient="All",$C845=fClient),OR(fCampaign="All",$D845=fCampaign),OR(fTeam="All",$B845=fTeam),OR(fChannel="All",$F845=fChannel)),1,0))</f>
        <v>0</v>
      </c>
      <c r="AK845" s="71">
        <f>IF($G845="",0,IF(OR($M845="Completed",$M845="Cancelled"),0,1))</f>
        <v>0</v>
      </c>
      <c r="AL845" s="71">
        <f>IF(AND($AK845=1,ISNUMBER($L845)),IF($L845&lt;ReportDate,1,0),0)</f>
        <v>0</v>
      </c>
      <c r="AM845" s="71">
        <f>IF(AND($G845&lt;&gt;"",$M845="Blocked"),1,0)</f>
        <v>0</v>
      </c>
      <c r="AN845" s="71">
        <f>IF(AND($AK845=1,ISNUMBER($L845)),IF($L845=ReportDate,1,0),0)</f>
        <v>0</v>
      </c>
      <c r="AO845" s="71">
        <f>IF(AND($AK845=1,ISNUMBER($L845)),IF($L845=ReportDate+1,1,0),0)</f>
        <v>0</v>
      </c>
      <c r="AP845" s="71">
        <f>IF(AND($AK845=1,ISNUMBER($L845)),IF(AND($L845&gt;=ReportDate,$L845&lt;=ReportDate+DueSoonDays),1,0),0)</f>
        <v>0</v>
      </c>
      <c r="AQ845" s="71">
        <f>IF(AND($AK845=1,OR($I845="Critical",$I845="High")),1,0)</f>
        <v>0</v>
      </c>
      <c r="AR845" s="71">
        <f>IF($AK845=1,IF(ISNUMBER($Y845),IF(ReportDate-$Y845&gt;StaleDays,1,0),1),0)</f>
        <v>0</v>
      </c>
      <c r="AS845" s="71">
        <f>IF(AND($G845&lt;&gt;"",ISNUMBER($Q845),ISNUMBER($R845)),IF(AND($Q845&lt;$R845,OR($M845="Completed",AND(ISNUMBER($L845),$L845&lt;ReportDate))),1,0),0)</f>
        <v>0</v>
      </c>
      <c r="AT845" s="71">
        <f>IF($AK845=1,IF(OR($L845=ReportDate,$W845=ReportDate,$K845=ReportDate,$A845=ReportDate),1,0),0)</f>
        <v>0</v>
      </c>
      <c r="AU845" s="71">
        <f>IF($AK845=1,IF(OR($L845=ReportDate+1,$W845=ReportDate+1,$K845=ReportDate+1,$A845=ReportDate+1),1,0),0)</f>
        <v>0</v>
      </c>
      <c r="AV845" s="71">
        <f>IF(AND($G845&lt;&gt;"",$M845="Completed"),IF(OR($Y845=ReportDate-1,$A845=ReportDate-1),1,0),0)</f>
        <v>0</v>
      </c>
      <c r="AW845" s="71">
        <f>IF(AND($AK845=1,$Z845="Yes"),1,0)</f>
        <v>0</v>
      </c>
      <c r="AX845" s="71">
        <f>IF(AND($AK845=1,$AA845="Yes"),1,0)</f>
        <v>0</v>
      </c>
      <c r="AY845" s="71">
        <f>IF(AND($AM845=1,OR($I845="Critical",$I845="High")),1,0)</f>
        <v>0</v>
      </c>
      <c r="AZ845" s="71">
        <f>IF(AND($AK845=1,OR($C845=TCL_Client,$C845=MECCA_Client)),1,0)</f>
        <v>0</v>
      </c>
      <c r="BA845" s="71" t="str">
        <f>IF($G845="","",IFERROR(MATCH($I845,lst_Priority,0),5))</f>
        <v/>
      </c>
      <c r="BB845" s="71" t="str">
        <f>IF(AND($AL845=1,$AJ845=1),$BA845*100000+ROW(),"")</f>
        <v/>
      </c>
      <c r="BC845" s="71" t="str">
        <f>IF(AND($AM845=1,$AJ845=1),$BA845*100000+ROW(),"")</f>
        <v/>
      </c>
      <c r="BD845" s="71" t="str">
        <f>IF(AND($AP845=1,$AJ845=1),$BA845*100000+ROW(),"")</f>
        <v/>
      </c>
      <c r="BE845" s="71" t="str">
        <f>IF(AND($AT845=1,$AJ845=1),$BA845*100000+ROW(),"")</f>
        <v/>
      </c>
      <c r="BF845" s="71" t="str">
        <f>IF(AND($AU845=1,$AJ845=1),$BA845*100000+ROW(),"")</f>
        <v/>
      </c>
      <c r="BG845" s="71" t="str">
        <f>IF(AND($AV845=1,$AJ845=1),$BA845*100000+ROW(),"")</f>
        <v/>
      </c>
      <c r="BH845" s="71" t="str">
        <f>IF(AND($AW845=1,$AJ845=1),$BA845*100000+ROW(),"")</f>
        <v/>
      </c>
      <c r="BI845" s="71" t="str">
        <f>IF(AND($AX845=1,$AJ845=1),$BA845*100000+ROW(),"")</f>
        <v/>
      </c>
      <c r="BJ845" s="71" t="str">
        <f>IF(AND($AS845=1,$AJ845=1),$BA845*100000+ROW(),"")</f>
        <v/>
      </c>
      <c r="BK845" s="71" t="str">
        <f>IF(AND($AY845=1,$AJ845=1),$BA845*100000+ROW(),"")</f>
        <v/>
      </c>
      <c r="BL845" s="71" t="str">
        <f>IF(AND($AZ845=1),$BA845*100000+ROW(),"")</f>
        <v/>
      </c>
    </row>
    <row r="846">
      <c r="A846" s="63" t="n"/>
      <c r="B846" s="64" t="n"/>
      <c r="C846" s="64" t="n"/>
      <c r="D846" s="64" t="n"/>
      <c r="E846" s="64" t="n"/>
      <c r="F846" s="64" t="n"/>
      <c r="G846" s="65" t="n"/>
      <c r="H846" s="65" t="n"/>
      <c r="I846" s="64" t="n"/>
      <c r="J846" s="64" t="n"/>
      <c r="K846" s="63" t="n"/>
      <c r="L846" s="63" t="n"/>
      <c r="M846" s="64" t="n"/>
      <c r="N846" s="66" t="n"/>
      <c r="O846" s="65" t="n"/>
      <c r="P846" s="64" t="n"/>
      <c r="Q846" s="67" t="n"/>
      <c r="R846" s="67" t="n"/>
      <c r="S846" s="68" t="str">
        <f>IF(AND(ISNUMBER($Q846),ISNUMBER($R846)),$Q846-$R846,"")</f>
        <v/>
      </c>
      <c r="T846" s="65" t="n"/>
      <c r="U846" s="64" t="n"/>
      <c r="V846" s="65" t="n"/>
      <c r="W846" s="63" t="n"/>
      <c r="X846" s="65" t="n"/>
      <c r="Y846" s="63" t="n"/>
      <c r="Z846" s="64" t="n"/>
      <c r="AA846" s="64" t="n"/>
      <c r="AB846" s="65" t="n"/>
      <c r="AC846" s="69" t="str">
        <f>IF(OR($G846="",NOT(ISNUMBER($K846)),$AK846=0),"",MAX(0,ReportDate-$K846))</f>
        <v/>
      </c>
      <c r="AD846" s="69" t="str">
        <f>IF($G846="","",IF($AL846=1,ReportDate-$L846,0))</f>
        <v/>
      </c>
      <c r="AE846" s="70" t="str">
        <f>IF($G846="","",IF($M846="Completed",1,IF(ISNUMBER($N846),$N846,0)))</f>
        <v/>
      </c>
      <c r="AF846" s="70" t="str">
        <f>IF(AND(ISNUMBER($Q846),ISNUMBER($R846)),IF($R846&lt;&gt;0,$Q846/$R846,""),"")</f>
        <v/>
      </c>
      <c r="AG846" s="71" t="str">
        <f>IF($G846="","",IF($AL846=1,"OVERDUE",IF($AM846=1,"BLOCKED",IF($AN846=1,"DUE TODAY",IF($AO846=1,"DUE TOMORROW",IF($AQ846=1,"HIGH PRIORITY",IF($AR846=1,"NO RECENT UPDATE",""))))))) </f>
        <v/>
      </c>
      <c r="AH846" s="71" t="str">
        <f>IF($G846="","",IF(ISNUMBER($A846),IF(ISNUMBER($A846),YEAR($A846)&amp;"-"&amp;TEXT(MONTH($A846),"00"),""),IF(ISNUMBER($L846),IF(ISNUMBER($L846),YEAR($L846)&amp;"-"&amp;TEXT(MONTH($L846),"00"),""),"")))</f>
        <v/>
      </c>
      <c r="AI846" s="71">
        <f>IF($G846="",0,IF(AND(OR(fClient="All",$C846=fClient),OR(fCampaign="All",$D846=fCampaign),OR(fTeam="All",$B846=fTeam),OR(fChannel="All",$F846=fChannel),OR(fMonth="All",$AH846=fMonth),OR(fTStatus="All",$M846=fTStatus)),1,0))</f>
        <v>0</v>
      </c>
      <c r="AJ846" s="71">
        <f>IF($G846="",0,IF(AND(OR(fClient="All",$C846=fClient),OR(fCampaign="All",$D846=fCampaign),OR(fTeam="All",$B846=fTeam),OR(fChannel="All",$F846=fChannel)),1,0))</f>
        <v>0</v>
      </c>
      <c r="AK846" s="71">
        <f>IF($G846="",0,IF(OR($M846="Completed",$M846="Cancelled"),0,1))</f>
        <v>0</v>
      </c>
      <c r="AL846" s="71">
        <f>IF(AND($AK846=1,ISNUMBER($L846)),IF($L846&lt;ReportDate,1,0),0)</f>
        <v>0</v>
      </c>
      <c r="AM846" s="71">
        <f>IF(AND($G846&lt;&gt;"",$M846="Blocked"),1,0)</f>
        <v>0</v>
      </c>
      <c r="AN846" s="71">
        <f>IF(AND($AK846=1,ISNUMBER($L846)),IF($L846=ReportDate,1,0),0)</f>
        <v>0</v>
      </c>
      <c r="AO846" s="71">
        <f>IF(AND($AK846=1,ISNUMBER($L846)),IF($L846=ReportDate+1,1,0),0)</f>
        <v>0</v>
      </c>
      <c r="AP846" s="71">
        <f>IF(AND($AK846=1,ISNUMBER($L846)),IF(AND($L846&gt;=ReportDate,$L846&lt;=ReportDate+DueSoonDays),1,0),0)</f>
        <v>0</v>
      </c>
      <c r="AQ846" s="71">
        <f>IF(AND($AK846=1,OR($I846="Critical",$I846="High")),1,0)</f>
        <v>0</v>
      </c>
      <c r="AR846" s="71">
        <f>IF($AK846=1,IF(ISNUMBER($Y846),IF(ReportDate-$Y846&gt;StaleDays,1,0),1),0)</f>
        <v>0</v>
      </c>
      <c r="AS846" s="71">
        <f>IF(AND($G846&lt;&gt;"",ISNUMBER($Q846),ISNUMBER($R846)),IF(AND($Q846&lt;$R846,OR($M846="Completed",AND(ISNUMBER($L846),$L846&lt;ReportDate))),1,0),0)</f>
        <v>0</v>
      </c>
      <c r="AT846" s="71">
        <f>IF($AK846=1,IF(OR($L846=ReportDate,$W846=ReportDate,$K846=ReportDate,$A846=ReportDate),1,0),0)</f>
        <v>0</v>
      </c>
      <c r="AU846" s="71">
        <f>IF($AK846=1,IF(OR($L846=ReportDate+1,$W846=ReportDate+1,$K846=ReportDate+1,$A846=ReportDate+1),1,0),0)</f>
        <v>0</v>
      </c>
      <c r="AV846" s="71">
        <f>IF(AND($G846&lt;&gt;"",$M846="Completed"),IF(OR($Y846=ReportDate-1,$A846=ReportDate-1),1,0),0)</f>
        <v>0</v>
      </c>
      <c r="AW846" s="71">
        <f>IF(AND($AK846=1,$Z846="Yes"),1,0)</f>
        <v>0</v>
      </c>
      <c r="AX846" s="71">
        <f>IF(AND($AK846=1,$AA846="Yes"),1,0)</f>
        <v>0</v>
      </c>
      <c r="AY846" s="71">
        <f>IF(AND($AM846=1,OR($I846="Critical",$I846="High")),1,0)</f>
        <v>0</v>
      </c>
      <c r="AZ846" s="71">
        <f>IF(AND($AK846=1,OR($C846=TCL_Client,$C846=MECCA_Client)),1,0)</f>
        <v>0</v>
      </c>
      <c r="BA846" s="71" t="str">
        <f>IF($G846="","",IFERROR(MATCH($I846,lst_Priority,0),5))</f>
        <v/>
      </c>
      <c r="BB846" s="71" t="str">
        <f>IF(AND($AL846=1,$AJ846=1),$BA846*100000+ROW(),"")</f>
        <v/>
      </c>
      <c r="BC846" s="71" t="str">
        <f>IF(AND($AM846=1,$AJ846=1),$BA846*100000+ROW(),"")</f>
        <v/>
      </c>
      <c r="BD846" s="71" t="str">
        <f>IF(AND($AP846=1,$AJ846=1),$BA846*100000+ROW(),"")</f>
        <v/>
      </c>
      <c r="BE846" s="71" t="str">
        <f>IF(AND($AT846=1,$AJ846=1),$BA846*100000+ROW(),"")</f>
        <v/>
      </c>
      <c r="BF846" s="71" t="str">
        <f>IF(AND($AU846=1,$AJ846=1),$BA846*100000+ROW(),"")</f>
        <v/>
      </c>
      <c r="BG846" s="71" t="str">
        <f>IF(AND($AV846=1,$AJ846=1),$BA846*100000+ROW(),"")</f>
        <v/>
      </c>
      <c r="BH846" s="71" t="str">
        <f>IF(AND($AW846=1,$AJ846=1),$BA846*100000+ROW(),"")</f>
        <v/>
      </c>
      <c r="BI846" s="71" t="str">
        <f>IF(AND($AX846=1,$AJ846=1),$BA846*100000+ROW(),"")</f>
        <v/>
      </c>
      <c r="BJ846" s="71" t="str">
        <f>IF(AND($AS846=1,$AJ846=1),$BA846*100000+ROW(),"")</f>
        <v/>
      </c>
      <c r="BK846" s="71" t="str">
        <f>IF(AND($AY846=1,$AJ846=1),$BA846*100000+ROW(),"")</f>
        <v/>
      </c>
      <c r="BL846" s="71" t="str">
        <f>IF(AND($AZ846=1),$BA846*100000+ROW(),"")</f>
        <v/>
      </c>
    </row>
    <row r="847">
      <c r="A847" s="63" t="n"/>
      <c r="B847" s="64" t="n"/>
      <c r="C847" s="64" t="n"/>
      <c r="D847" s="64" t="n"/>
      <c r="E847" s="64" t="n"/>
      <c r="F847" s="64" t="n"/>
      <c r="G847" s="65" t="n"/>
      <c r="H847" s="65" t="n"/>
      <c r="I847" s="64" t="n"/>
      <c r="J847" s="64" t="n"/>
      <c r="K847" s="63" t="n"/>
      <c r="L847" s="63" t="n"/>
      <c r="M847" s="64" t="n"/>
      <c r="N847" s="66" t="n"/>
      <c r="O847" s="65" t="n"/>
      <c r="P847" s="64" t="n"/>
      <c r="Q847" s="67" t="n"/>
      <c r="R847" s="67" t="n"/>
      <c r="S847" s="68" t="str">
        <f>IF(AND(ISNUMBER($Q847),ISNUMBER($R847)),$Q847-$R847,"")</f>
        <v/>
      </c>
      <c r="T847" s="65" t="n"/>
      <c r="U847" s="64" t="n"/>
      <c r="V847" s="65" t="n"/>
      <c r="W847" s="63" t="n"/>
      <c r="X847" s="65" t="n"/>
      <c r="Y847" s="63" t="n"/>
      <c r="Z847" s="64" t="n"/>
      <c r="AA847" s="64" t="n"/>
      <c r="AB847" s="65" t="n"/>
      <c r="AC847" s="69" t="str">
        <f>IF(OR($G847="",NOT(ISNUMBER($K847)),$AK847=0),"",MAX(0,ReportDate-$K847))</f>
        <v/>
      </c>
      <c r="AD847" s="69" t="str">
        <f>IF($G847="","",IF($AL847=1,ReportDate-$L847,0))</f>
        <v/>
      </c>
      <c r="AE847" s="70" t="str">
        <f>IF($G847="","",IF($M847="Completed",1,IF(ISNUMBER($N847),$N847,0)))</f>
        <v/>
      </c>
      <c r="AF847" s="70" t="str">
        <f>IF(AND(ISNUMBER($Q847),ISNUMBER($R847)),IF($R847&lt;&gt;0,$Q847/$R847,""),"")</f>
        <v/>
      </c>
      <c r="AG847" s="71" t="str">
        <f>IF($G847="","",IF($AL847=1,"OVERDUE",IF($AM847=1,"BLOCKED",IF($AN847=1,"DUE TODAY",IF($AO847=1,"DUE TOMORROW",IF($AQ847=1,"HIGH PRIORITY",IF($AR847=1,"NO RECENT UPDATE",""))))))) </f>
        <v/>
      </c>
      <c r="AH847" s="71" t="str">
        <f>IF($G847="","",IF(ISNUMBER($A847),IF(ISNUMBER($A847),YEAR($A847)&amp;"-"&amp;TEXT(MONTH($A847),"00"),""),IF(ISNUMBER($L847),IF(ISNUMBER($L847),YEAR($L847)&amp;"-"&amp;TEXT(MONTH($L847),"00"),""),"")))</f>
        <v/>
      </c>
      <c r="AI847" s="71">
        <f>IF($G847="",0,IF(AND(OR(fClient="All",$C847=fClient),OR(fCampaign="All",$D847=fCampaign),OR(fTeam="All",$B847=fTeam),OR(fChannel="All",$F847=fChannel),OR(fMonth="All",$AH847=fMonth),OR(fTStatus="All",$M847=fTStatus)),1,0))</f>
        <v>0</v>
      </c>
      <c r="AJ847" s="71">
        <f>IF($G847="",0,IF(AND(OR(fClient="All",$C847=fClient),OR(fCampaign="All",$D847=fCampaign),OR(fTeam="All",$B847=fTeam),OR(fChannel="All",$F847=fChannel)),1,0))</f>
        <v>0</v>
      </c>
      <c r="AK847" s="71">
        <f>IF($G847="",0,IF(OR($M847="Completed",$M847="Cancelled"),0,1))</f>
        <v>0</v>
      </c>
      <c r="AL847" s="71">
        <f>IF(AND($AK847=1,ISNUMBER($L847)),IF($L847&lt;ReportDate,1,0),0)</f>
        <v>0</v>
      </c>
      <c r="AM847" s="71">
        <f>IF(AND($G847&lt;&gt;"",$M847="Blocked"),1,0)</f>
        <v>0</v>
      </c>
      <c r="AN847" s="71">
        <f>IF(AND($AK847=1,ISNUMBER($L847)),IF($L847=ReportDate,1,0),0)</f>
        <v>0</v>
      </c>
      <c r="AO847" s="71">
        <f>IF(AND($AK847=1,ISNUMBER($L847)),IF($L847=ReportDate+1,1,0),0)</f>
        <v>0</v>
      </c>
      <c r="AP847" s="71">
        <f>IF(AND($AK847=1,ISNUMBER($L847)),IF(AND($L847&gt;=ReportDate,$L847&lt;=ReportDate+DueSoonDays),1,0),0)</f>
        <v>0</v>
      </c>
      <c r="AQ847" s="71">
        <f>IF(AND($AK847=1,OR($I847="Critical",$I847="High")),1,0)</f>
        <v>0</v>
      </c>
      <c r="AR847" s="71">
        <f>IF($AK847=1,IF(ISNUMBER($Y847),IF(ReportDate-$Y847&gt;StaleDays,1,0),1),0)</f>
        <v>0</v>
      </c>
      <c r="AS847" s="71">
        <f>IF(AND($G847&lt;&gt;"",ISNUMBER($Q847),ISNUMBER($R847)),IF(AND($Q847&lt;$R847,OR($M847="Completed",AND(ISNUMBER($L847),$L847&lt;ReportDate))),1,0),0)</f>
        <v>0</v>
      </c>
      <c r="AT847" s="71">
        <f>IF($AK847=1,IF(OR($L847=ReportDate,$W847=ReportDate,$K847=ReportDate,$A847=ReportDate),1,0),0)</f>
        <v>0</v>
      </c>
      <c r="AU847" s="71">
        <f>IF($AK847=1,IF(OR($L847=ReportDate+1,$W847=ReportDate+1,$K847=ReportDate+1,$A847=ReportDate+1),1,0),0)</f>
        <v>0</v>
      </c>
      <c r="AV847" s="71">
        <f>IF(AND($G847&lt;&gt;"",$M847="Completed"),IF(OR($Y847=ReportDate-1,$A847=ReportDate-1),1,0),0)</f>
        <v>0</v>
      </c>
      <c r="AW847" s="71">
        <f>IF(AND($AK847=1,$Z847="Yes"),1,0)</f>
        <v>0</v>
      </c>
      <c r="AX847" s="71">
        <f>IF(AND($AK847=1,$AA847="Yes"),1,0)</f>
        <v>0</v>
      </c>
      <c r="AY847" s="71">
        <f>IF(AND($AM847=1,OR($I847="Critical",$I847="High")),1,0)</f>
        <v>0</v>
      </c>
      <c r="AZ847" s="71">
        <f>IF(AND($AK847=1,OR($C847=TCL_Client,$C847=MECCA_Client)),1,0)</f>
        <v>0</v>
      </c>
      <c r="BA847" s="71" t="str">
        <f>IF($G847="","",IFERROR(MATCH($I847,lst_Priority,0),5))</f>
        <v/>
      </c>
      <c r="BB847" s="71" t="str">
        <f>IF(AND($AL847=1,$AJ847=1),$BA847*100000+ROW(),"")</f>
        <v/>
      </c>
      <c r="BC847" s="71" t="str">
        <f>IF(AND($AM847=1,$AJ847=1),$BA847*100000+ROW(),"")</f>
        <v/>
      </c>
      <c r="BD847" s="71" t="str">
        <f>IF(AND($AP847=1,$AJ847=1),$BA847*100000+ROW(),"")</f>
        <v/>
      </c>
      <c r="BE847" s="71" t="str">
        <f>IF(AND($AT847=1,$AJ847=1),$BA847*100000+ROW(),"")</f>
        <v/>
      </c>
      <c r="BF847" s="71" t="str">
        <f>IF(AND($AU847=1,$AJ847=1),$BA847*100000+ROW(),"")</f>
        <v/>
      </c>
      <c r="BG847" s="71" t="str">
        <f>IF(AND($AV847=1,$AJ847=1),$BA847*100000+ROW(),"")</f>
        <v/>
      </c>
      <c r="BH847" s="71" t="str">
        <f>IF(AND($AW847=1,$AJ847=1),$BA847*100000+ROW(),"")</f>
        <v/>
      </c>
      <c r="BI847" s="71" t="str">
        <f>IF(AND($AX847=1,$AJ847=1),$BA847*100000+ROW(),"")</f>
        <v/>
      </c>
      <c r="BJ847" s="71" t="str">
        <f>IF(AND($AS847=1,$AJ847=1),$BA847*100000+ROW(),"")</f>
        <v/>
      </c>
      <c r="BK847" s="71" t="str">
        <f>IF(AND($AY847=1,$AJ847=1),$BA847*100000+ROW(),"")</f>
        <v/>
      </c>
      <c r="BL847" s="71" t="str">
        <f>IF(AND($AZ847=1),$BA847*100000+ROW(),"")</f>
        <v/>
      </c>
    </row>
    <row r="848">
      <c r="A848" s="63" t="n"/>
      <c r="B848" s="64" t="n"/>
      <c r="C848" s="64" t="n"/>
      <c r="D848" s="64" t="n"/>
      <c r="E848" s="64" t="n"/>
      <c r="F848" s="64" t="n"/>
      <c r="G848" s="65" t="n"/>
      <c r="H848" s="65" t="n"/>
      <c r="I848" s="64" t="n"/>
      <c r="J848" s="64" t="n"/>
      <c r="K848" s="63" t="n"/>
      <c r="L848" s="63" t="n"/>
      <c r="M848" s="64" t="n"/>
      <c r="N848" s="66" t="n"/>
      <c r="O848" s="65" t="n"/>
      <c r="P848" s="64" t="n"/>
      <c r="Q848" s="67" t="n"/>
      <c r="R848" s="67" t="n"/>
      <c r="S848" s="68" t="str">
        <f>IF(AND(ISNUMBER($Q848),ISNUMBER($R848)),$Q848-$R848,"")</f>
        <v/>
      </c>
      <c r="T848" s="65" t="n"/>
      <c r="U848" s="64" t="n"/>
      <c r="V848" s="65" t="n"/>
      <c r="W848" s="63" t="n"/>
      <c r="X848" s="65" t="n"/>
      <c r="Y848" s="63" t="n"/>
      <c r="Z848" s="64" t="n"/>
      <c r="AA848" s="64" t="n"/>
      <c r="AB848" s="65" t="n"/>
      <c r="AC848" s="69" t="str">
        <f>IF(OR($G848="",NOT(ISNUMBER($K848)),$AK848=0),"",MAX(0,ReportDate-$K848))</f>
        <v/>
      </c>
      <c r="AD848" s="69" t="str">
        <f>IF($G848="","",IF($AL848=1,ReportDate-$L848,0))</f>
        <v/>
      </c>
      <c r="AE848" s="70" t="str">
        <f>IF($G848="","",IF($M848="Completed",1,IF(ISNUMBER($N848),$N848,0)))</f>
        <v/>
      </c>
      <c r="AF848" s="70" t="str">
        <f>IF(AND(ISNUMBER($Q848),ISNUMBER($R848)),IF($R848&lt;&gt;0,$Q848/$R848,""),"")</f>
        <v/>
      </c>
      <c r="AG848" s="71" t="str">
        <f>IF($G848="","",IF($AL848=1,"OVERDUE",IF($AM848=1,"BLOCKED",IF($AN848=1,"DUE TODAY",IF($AO848=1,"DUE TOMORROW",IF($AQ848=1,"HIGH PRIORITY",IF($AR848=1,"NO RECENT UPDATE",""))))))) </f>
        <v/>
      </c>
      <c r="AH848" s="71" t="str">
        <f>IF($G848="","",IF(ISNUMBER($A848),IF(ISNUMBER($A848),YEAR($A848)&amp;"-"&amp;TEXT(MONTH($A848),"00"),""),IF(ISNUMBER($L848),IF(ISNUMBER($L848),YEAR($L848)&amp;"-"&amp;TEXT(MONTH($L848),"00"),""),"")))</f>
        <v/>
      </c>
      <c r="AI848" s="71">
        <f>IF($G848="",0,IF(AND(OR(fClient="All",$C848=fClient),OR(fCampaign="All",$D848=fCampaign),OR(fTeam="All",$B848=fTeam),OR(fChannel="All",$F848=fChannel),OR(fMonth="All",$AH848=fMonth),OR(fTStatus="All",$M848=fTStatus)),1,0))</f>
        <v>0</v>
      </c>
      <c r="AJ848" s="71">
        <f>IF($G848="",0,IF(AND(OR(fClient="All",$C848=fClient),OR(fCampaign="All",$D848=fCampaign),OR(fTeam="All",$B848=fTeam),OR(fChannel="All",$F848=fChannel)),1,0))</f>
        <v>0</v>
      </c>
      <c r="AK848" s="71">
        <f>IF($G848="",0,IF(OR($M848="Completed",$M848="Cancelled"),0,1))</f>
        <v>0</v>
      </c>
      <c r="AL848" s="71">
        <f>IF(AND($AK848=1,ISNUMBER($L848)),IF($L848&lt;ReportDate,1,0),0)</f>
        <v>0</v>
      </c>
      <c r="AM848" s="71">
        <f>IF(AND($G848&lt;&gt;"",$M848="Blocked"),1,0)</f>
        <v>0</v>
      </c>
      <c r="AN848" s="71">
        <f>IF(AND($AK848=1,ISNUMBER($L848)),IF($L848=ReportDate,1,0),0)</f>
        <v>0</v>
      </c>
      <c r="AO848" s="71">
        <f>IF(AND($AK848=1,ISNUMBER($L848)),IF($L848=ReportDate+1,1,0),0)</f>
        <v>0</v>
      </c>
      <c r="AP848" s="71">
        <f>IF(AND($AK848=1,ISNUMBER($L848)),IF(AND($L848&gt;=ReportDate,$L848&lt;=ReportDate+DueSoonDays),1,0),0)</f>
        <v>0</v>
      </c>
      <c r="AQ848" s="71">
        <f>IF(AND($AK848=1,OR($I848="Critical",$I848="High")),1,0)</f>
        <v>0</v>
      </c>
      <c r="AR848" s="71">
        <f>IF($AK848=1,IF(ISNUMBER($Y848),IF(ReportDate-$Y848&gt;StaleDays,1,0),1),0)</f>
        <v>0</v>
      </c>
      <c r="AS848" s="71">
        <f>IF(AND($G848&lt;&gt;"",ISNUMBER($Q848),ISNUMBER($R848)),IF(AND($Q848&lt;$R848,OR($M848="Completed",AND(ISNUMBER($L848),$L848&lt;ReportDate))),1,0),0)</f>
        <v>0</v>
      </c>
      <c r="AT848" s="71">
        <f>IF($AK848=1,IF(OR($L848=ReportDate,$W848=ReportDate,$K848=ReportDate,$A848=ReportDate),1,0),0)</f>
        <v>0</v>
      </c>
      <c r="AU848" s="71">
        <f>IF($AK848=1,IF(OR($L848=ReportDate+1,$W848=ReportDate+1,$K848=ReportDate+1,$A848=ReportDate+1),1,0),0)</f>
        <v>0</v>
      </c>
      <c r="AV848" s="71">
        <f>IF(AND($G848&lt;&gt;"",$M848="Completed"),IF(OR($Y848=ReportDate-1,$A848=ReportDate-1),1,0),0)</f>
        <v>0</v>
      </c>
      <c r="AW848" s="71">
        <f>IF(AND($AK848=1,$Z848="Yes"),1,0)</f>
        <v>0</v>
      </c>
      <c r="AX848" s="71">
        <f>IF(AND($AK848=1,$AA848="Yes"),1,0)</f>
        <v>0</v>
      </c>
      <c r="AY848" s="71">
        <f>IF(AND($AM848=1,OR($I848="Critical",$I848="High")),1,0)</f>
        <v>0</v>
      </c>
      <c r="AZ848" s="71">
        <f>IF(AND($AK848=1,OR($C848=TCL_Client,$C848=MECCA_Client)),1,0)</f>
        <v>0</v>
      </c>
      <c r="BA848" s="71" t="str">
        <f>IF($G848="","",IFERROR(MATCH($I848,lst_Priority,0),5))</f>
        <v/>
      </c>
      <c r="BB848" s="71" t="str">
        <f>IF(AND($AL848=1,$AJ848=1),$BA848*100000+ROW(),"")</f>
        <v/>
      </c>
      <c r="BC848" s="71" t="str">
        <f>IF(AND($AM848=1,$AJ848=1),$BA848*100000+ROW(),"")</f>
        <v/>
      </c>
      <c r="BD848" s="71" t="str">
        <f>IF(AND($AP848=1,$AJ848=1),$BA848*100000+ROW(),"")</f>
        <v/>
      </c>
      <c r="BE848" s="71" t="str">
        <f>IF(AND($AT848=1,$AJ848=1),$BA848*100000+ROW(),"")</f>
        <v/>
      </c>
      <c r="BF848" s="71" t="str">
        <f>IF(AND($AU848=1,$AJ848=1),$BA848*100000+ROW(),"")</f>
        <v/>
      </c>
      <c r="BG848" s="71" t="str">
        <f>IF(AND($AV848=1,$AJ848=1),$BA848*100000+ROW(),"")</f>
        <v/>
      </c>
      <c r="BH848" s="71" t="str">
        <f>IF(AND($AW848=1,$AJ848=1),$BA848*100000+ROW(),"")</f>
        <v/>
      </c>
      <c r="BI848" s="71" t="str">
        <f>IF(AND($AX848=1,$AJ848=1),$BA848*100000+ROW(),"")</f>
        <v/>
      </c>
      <c r="BJ848" s="71" t="str">
        <f>IF(AND($AS848=1,$AJ848=1),$BA848*100000+ROW(),"")</f>
        <v/>
      </c>
      <c r="BK848" s="71" t="str">
        <f>IF(AND($AY848=1,$AJ848=1),$BA848*100000+ROW(),"")</f>
        <v/>
      </c>
      <c r="BL848" s="71" t="str">
        <f>IF(AND($AZ848=1),$BA848*100000+ROW(),"")</f>
        <v/>
      </c>
    </row>
    <row r="849">
      <c r="A849" s="63" t="n"/>
      <c r="B849" s="64" t="n"/>
      <c r="C849" s="64" t="n"/>
      <c r="D849" s="64" t="n"/>
      <c r="E849" s="64" t="n"/>
      <c r="F849" s="64" t="n"/>
      <c r="G849" s="65" t="n"/>
      <c r="H849" s="65" t="n"/>
      <c r="I849" s="64" t="n"/>
      <c r="J849" s="64" t="n"/>
      <c r="K849" s="63" t="n"/>
      <c r="L849" s="63" t="n"/>
      <c r="M849" s="64" t="n"/>
      <c r="N849" s="66" t="n"/>
      <c r="O849" s="65" t="n"/>
      <c r="P849" s="64" t="n"/>
      <c r="Q849" s="67" t="n"/>
      <c r="R849" s="67" t="n"/>
      <c r="S849" s="68" t="str">
        <f>IF(AND(ISNUMBER($Q849),ISNUMBER($R849)),$Q849-$R849,"")</f>
        <v/>
      </c>
      <c r="T849" s="65" t="n"/>
      <c r="U849" s="64" t="n"/>
      <c r="V849" s="65" t="n"/>
      <c r="W849" s="63" t="n"/>
      <c r="X849" s="65" t="n"/>
      <c r="Y849" s="63" t="n"/>
      <c r="Z849" s="64" t="n"/>
      <c r="AA849" s="64" t="n"/>
      <c r="AB849" s="65" t="n"/>
      <c r="AC849" s="69" t="str">
        <f>IF(OR($G849="",NOT(ISNUMBER($K849)),$AK849=0),"",MAX(0,ReportDate-$K849))</f>
        <v/>
      </c>
      <c r="AD849" s="69" t="str">
        <f>IF($G849="","",IF($AL849=1,ReportDate-$L849,0))</f>
        <v/>
      </c>
      <c r="AE849" s="70" t="str">
        <f>IF($G849="","",IF($M849="Completed",1,IF(ISNUMBER($N849),$N849,0)))</f>
        <v/>
      </c>
      <c r="AF849" s="70" t="str">
        <f>IF(AND(ISNUMBER($Q849),ISNUMBER($R849)),IF($R849&lt;&gt;0,$Q849/$R849,""),"")</f>
        <v/>
      </c>
      <c r="AG849" s="71" t="str">
        <f>IF($G849="","",IF($AL849=1,"OVERDUE",IF($AM849=1,"BLOCKED",IF($AN849=1,"DUE TODAY",IF($AO849=1,"DUE TOMORROW",IF($AQ849=1,"HIGH PRIORITY",IF($AR849=1,"NO RECENT UPDATE",""))))))) </f>
        <v/>
      </c>
      <c r="AH849" s="71" t="str">
        <f>IF($G849="","",IF(ISNUMBER($A849),IF(ISNUMBER($A849),YEAR($A849)&amp;"-"&amp;TEXT(MONTH($A849),"00"),""),IF(ISNUMBER($L849),IF(ISNUMBER($L849),YEAR($L849)&amp;"-"&amp;TEXT(MONTH($L849),"00"),""),"")))</f>
        <v/>
      </c>
      <c r="AI849" s="71">
        <f>IF($G849="",0,IF(AND(OR(fClient="All",$C849=fClient),OR(fCampaign="All",$D849=fCampaign),OR(fTeam="All",$B849=fTeam),OR(fChannel="All",$F849=fChannel),OR(fMonth="All",$AH849=fMonth),OR(fTStatus="All",$M849=fTStatus)),1,0))</f>
        <v>0</v>
      </c>
      <c r="AJ849" s="71">
        <f>IF($G849="",0,IF(AND(OR(fClient="All",$C849=fClient),OR(fCampaign="All",$D849=fCampaign),OR(fTeam="All",$B849=fTeam),OR(fChannel="All",$F849=fChannel)),1,0))</f>
        <v>0</v>
      </c>
      <c r="AK849" s="71">
        <f>IF($G849="",0,IF(OR($M849="Completed",$M849="Cancelled"),0,1))</f>
        <v>0</v>
      </c>
      <c r="AL849" s="71">
        <f>IF(AND($AK849=1,ISNUMBER($L849)),IF($L849&lt;ReportDate,1,0),0)</f>
        <v>0</v>
      </c>
      <c r="AM849" s="71">
        <f>IF(AND($G849&lt;&gt;"",$M849="Blocked"),1,0)</f>
        <v>0</v>
      </c>
      <c r="AN849" s="71">
        <f>IF(AND($AK849=1,ISNUMBER($L849)),IF($L849=ReportDate,1,0),0)</f>
        <v>0</v>
      </c>
      <c r="AO849" s="71">
        <f>IF(AND($AK849=1,ISNUMBER($L849)),IF($L849=ReportDate+1,1,0),0)</f>
        <v>0</v>
      </c>
      <c r="AP849" s="71">
        <f>IF(AND($AK849=1,ISNUMBER($L849)),IF(AND($L849&gt;=ReportDate,$L849&lt;=ReportDate+DueSoonDays),1,0),0)</f>
        <v>0</v>
      </c>
      <c r="AQ849" s="71">
        <f>IF(AND($AK849=1,OR($I849="Critical",$I849="High")),1,0)</f>
        <v>0</v>
      </c>
      <c r="AR849" s="71">
        <f>IF($AK849=1,IF(ISNUMBER($Y849),IF(ReportDate-$Y849&gt;StaleDays,1,0),1),0)</f>
        <v>0</v>
      </c>
      <c r="AS849" s="71">
        <f>IF(AND($G849&lt;&gt;"",ISNUMBER($Q849),ISNUMBER($R849)),IF(AND($Q849&lt;$R849,OR($M849="Completed",AND(ISNUMBER($L849),$L849&lt;ReportDate))),1,0),0)</f>
        <v>0</v>
      </c>
      <c r="AT849" s="71">
        <f>IF($AK849=1,IF(OR($L849=ReportDate,$W849=ReportDate,$K849=ReportDate,$A849=ReportDate),1,0),0)</f>
        <v>0</v>
      </c>
      <c r="AU849" s="71">
        <f>IF($AK849=1,IF(OR($L849=ReportDate+1,$W849=ReportDate+1,$K849=ReportDate+1,$A849=ReportDate+1),1,0),0)</f>
        <v>0</v>
      </c>
      <c r="AV849" s="71">
        <f>IF(AND($G849&lt;&gt;"",$M849="Completed"),IF(OR($Y849=ReportDate-1,$A849=ReportDate-1),1,0),0)</f>
        <v>0</v>
      </c>
      <c r="AW849" s="71">
        <f>IF(AND($AK849=1,$Z849="Yes"),1,0)</f>
        <v>0</v>
      </c>
      <c r="AX849" s="71">
        <f>IF(AND($AK849=1,$AA849="Yes"),1,0)</f>
        <v>0</v>
      </c>
      <c r="AY849" s="71">
        <f>IF(AND($AM849=1,OR($I849="Critical",$I849="High")),1,0)</f>
        <v>0</v>
      </c>
      <c r="AZ849" s="71">
        <f>IF(AND($AK849=1,OR($C849=TCL_Client,$C849=MECCA_Client)),1,0)</f>
        <v>0</v>
      </c>
      <c r="BA849" s="71" t="str">
        <f>IF($G849="","",IFERROR(MATCH($I849,lst_Priority,0),5))</f>
        <v/>
      </c>
      <c r="BB849" s="71" t="str">
        <f>IF(AND($AL849=1,$AJ849=1),$BA849*100000+ROW(),"")</f>
        <v/>
      </c>
      <c r="BC849" s="71" t="str">
        <f>IF(AND($AM849=1,$AJ849=1),$BA849*100000+ROW(),"")</f>
        <v/>
      </c>
      <c r="BD849" s="71" t="str">
        <f>IF(AND($AP849=1,$AJ849=1),$BA849*100000+ROW(),"")</f>
        <v/>
      </c>
      <c r="BE849" s="71" t="str">
        <f>IF(AND($AT849=1,$AJ849=1),$BA849*100000+ROW(),"")</f>
        <v/>
      </c>
      <c r="BF849" s="71" t="str">
        <f>IF(AND($AU849=1,$AJ849=1),$BA849*100000+ROW(),"")</f>
        <v/>
      </c>
      <c r="BG849" s="71" t="str">
        <f>IF(AND($AV849=1,$AJ849=1),$BA849*100000+ROW(),"")</f>
        <v/>
      </c>
      <c r="BH849" s="71" t="str">
        <f>IF(AND($AW849=1,$AJ849=1),$BA849*100000+ROW(),"")</f>
        <v/>
      </c>
      <c r="BI849" s="71" t="str">
        <f>IF(AND($AX849=1,$AJ849=1),$BA849*100000+ROW(),"")</f>
        <v/>
      </c>
      <c r="BJ849" s="71" t="str">
        <f>IF(AND($AS849=1,$AJ849=1),$BA849*100000+ROW(),"")</f>
        <v/>
      </c>
      <c r="BK849" s="71" t="str">
        <f>IF(AND($AY849=1,$AJ849=1),$BA849*100000+ROW(),"")</f>
        <v/>
      </c>
      <c r="BL849" s="71" t="str">
        <f>IF(AND($AZ849=1),$BA849*100000+ROW(),"")</f>
        <v/>
      </c>
    </row>
    <row r="850">
      <c r="A850" s="63" t="n"/>
      <c r="B850" s="64" t="n"/>
      <c r="C850" s="64" t="n"/>
      <c r="D850" s="64" t="n"/>
      <c r="E850" s="64" t="n"/>
      <c r="F850" s="64" t="n"/>
      <c r="G850" s="65" t="n"/>
      <c r="H850" s="65" t="n"/>
      <c r="I850" s="64" t="n"/>
      <c r="J850" s="64" t="n"/>
      <c r="K850" s="63" t="n"/>
      <c r="L850" s="63" t="n"/>
      <c r="M850" s="64" t="n"/>
      <c r="N850" s="66" t="n"/>
      <c r="O850" s="65" t="n"/>
      <c r="P850" s="64" t="n"/>
      <c r="Q850" s="67" t="n"/>
      <c r="R850" s="67" t="n"/>
      <c r="S850" s="68" t="str">
        <f>IF(AND(ISNUMBER($Q850),ISNUMBER($R850)),$Q850-$R850,"")</f>
        <v/>
      </c>
      <c r="T850" s="65" t="n"/>
      <c r="U850" s="64" t="n"/>
      <c r="V850" s="65" t="n"/>
      <c r="W850" s="63" t="n"/>
      <c r="X850" s="65" t="n"/>
      <c r="Y850" s="63" t="n"/>
      <c r="Z850" s="64" t="n"/>
      <c r="AA850" s="64" t="n"/>
      <c r="AB850" s="65" t="n"/>
      <c r="AC850" s="69" t="str">
        <f>IF(OR($G850="",NOT(ISNUMBER($K850)),$AK850=0),"",MAX(0,ReportDate-$K850))</f>
        <v/>
      </c>
      <c r="AD850" s="69" t="str">
        <f>IF($G850="","",IF($AL850=1,ReportDate-$L850,0))</f>
        <v/>
      </c>
      <c r="AE850" s="70" t="str">
        <f>IF($G850="","",IF($M850="Completed",1,IF(ISNUMBER($N850),$N850,0)))</f>
        <v/>
      </c>
      <c r="AF850" s="70" t="str">
        <f>IF(AND(ISNUMBER($Q850),ISNUMBER($R850)),IF($R850&lt;&gt;0,$Q850/$R850,""),"")</f>
        <v/>
      </c>
      <c r="AG850" s="71" t="str">
        <f>IF($G850="","",IF($AL850=1,"OVERDUE",IF($AM850=1,"BLOCKED",IF($AN850=1,"DUE TODAY",IF($AO850=1,"DUE TOMORROW",IF($AQ850=1,"HIGH PRIORITY",IF($AR850=1,"NO RECENT UPDATE",""))))))) </f>
        <v/>
      </c>
      <c r="AH850" s="71" t="str">
        <f>IF($G850="","",IF(ISNUMBER($A850),IF(ISNUMBER($A850),YEAR($A850)&amp;"-"&amp;TEXT(MONTH($A850),"00"),""),IF(ISNUMBER($L850),IF(ISNUMBER($L850),YEAR($L850)&amp;"-"&amp;TEXT(MONTH($L850),"00"),""),"")))</f>
        <v/>
      </c>
      <c r="AI850" s="71">
        <f>IF($G850="",0,IF(AND(OR(fClient="All",$C850=fClient),OR(fCampaign="All",$D850=fCampaign),OR(fTeam="All",$B850=fTeam),OR(fChannel="All",$F850=fChannel),OR(fMonth="All",$AH850=fMonth),OR(fTStatus="All",$M850=fTStatus)),1,0))</f>
        <v>0</v>
      </c>
      <c r="AJ850" s="71">
        <f>IF($G850="",0,IF(AND(OR(fClient="All",$C850=fClient),OR(fCampaign="All",$D850=fCampaign),OR(fTeam="All",$B850=fTeam),OR(fChannel="All",$F850=fChannel)),1,0))</f>
        <v>0</v>
      </c>
      <c r="AK850" s="71">
        <f>IF($G850="",0,IF(OR($M850="Completed",$M850="Cancelled"),0,1))</f>
        <v>0</v>
      </c>
      <c r="AL850" s="71">
        <f>IF(AND($AK850=1,ISNUMBER($L850)),IF($L850&lt;ReportDate,1,0),0)</f>
        <v>0</v>
      </c>
      <c r="AM850" s="71">
        <f>IF(AND($G850&lt;&gt;"",$M850="Blocked"),1,0)</f>
        <v>0</v>
      </c>
      <c r="AN850" s="71">
        <f>IF(AND($AK850=1,ISNUMBER($L850)),IF($L850=ReportDate,1,0),0)</f>
        <v>0</v>
      </c>
      <c r="AO850" s="71">
        <f>IF(AND($AK850=1,ISNUMBER($L850)),IF($L850=ReportDate+1,1,0),0)</f>
        <v>0</v>
      </c>
      <c r="AP850" s="71">
        <f>IF(AND($AK850=1,ISNUMBER($L850)),IF(AND($L850&gt;=ReportDate,$L850&lt;=ReportDate+DueSoonDays),1,0),0)</f>
        <v>0</v>
      </c>
      <c r="AQ850" s="71">
        <f>IF(AND($AK850=1,OR($I850="Critical",$I850="High")),1,0)</f>
        <v>0</v>
      </c>
      <c r="AR850" s="71">
        <f>IF($AK850=1,IF(ISNUMBER($Y850),IF(ReportDate-$Y850&gt;StaleDays,1,0),1),0)</f>
        <v>0</v>
      </c>
      <c r="AS850" s="71">
        <f>IF(AND($G850&lt;&gt;"",ISNUMBER($Q850),ISNUMBER($R850)),IF(AND($Q850&lt;$R850,OR($M850="Completed",AND(ISNUMBER($L850),$L850&lt;ReportDate))),1,0),0)</f>
        <v>0</v>
      </c>
      <c r="AT850" s="71">
        <f>IF($AK850=1,IF(OR($L850=ReportDate,$W850=ReportDate,$K850=ReportDate,$A850=ReportDate),1,0),0)</f>
        <v>0</v>
      </c>
      <c r="AU850" s="71">
        <f>IF($AK850=1,IF(OR($L850=ReportDate+1,$W850=ReportDate+1,$K850=ReportDate+1,$A850=ReportDate+1),1,0),0)</f>
        <v>0</v>
      </c>
      <c r="AV850" s="71">
        <f>IF(AND($G850&lt;&gt;"",$M850="Completed"),IF(OR($Y850=ReportDate-1,$A850=ReportDate-1),1,0),0)</f>
        <v>0</v>
      </c>
      <c r="AW850" s="71">
        <f>IF(AND($AK850=1,$Z850="Yes"),1,0)</f>
        <v>0</v>
      </c>
      <c r="AX850" s="71">
        <f>IF(AND($AK850=1,$AA850="Yes"),1,0)</f>
        <v>0</v>
      </c>
      <c r="AY850" s="71">
        <f>IF(AND($AM850=1,OR($I850="Critical",$I850="High")),1,0)</f>
        <v>0</v>
      </c>
      <c r="AZ850" s="71">
        <f>IF(AND($AK850=1,OR($C850=TCL_Client,$C850=MECCA_Client)),1,0)</f>
        <v>0</v>
      </c>
      <c r="BA850" s="71" t="str">
        <f>IF($G850="","",IFERROR(MATCH($I850,lst_Priority,0),5))</f>
        <v/>
      </c>
      <c r="BB850" s="71" t="str">
        <f>IF(AND($AL850=1,$AJ850=1),$BA850*100000+ROW(),"")</f>
        <v/>
      </c>
      <c r="BC850" s="71" t="str">
        <f>IF(AND($AM850=1,$AJ850=1),$BA850*100000+ROW(),"")</f>
        <v/>
      </c>
      <c r="BD850" s="71" t="str">
        <f>IF(AND($AP850=1,$AJ850=1),$BA850*100000+ROW(),"")</f>
        <v/>
      </c>
      <c r="BE850" s="71" t="str">
        <f>IF(AND($AT850=1,$AJ850=1),$BA850*100000+ROW(),"")</f>
        <v/>
      </c>
      <c r="BF850" s="71" t="str">
        <f>IF(AND($AU850=1,$AJ850=1),$BA850*100000+ROW(),"")</f>
        <v/>
      </c>
      <c r="BG850" s="71" t="str">
        <f>IF(AND($AV850=1,$AJ850=1),$BA850*100000+ROW(),"")</f>
        <v/>
      </c>
      <c r="BH850" s="71" t="str">
        <f>IF(AND($AW850=1,$AJ850=1),$BA850*100000+ROW(),"")</f>
        <v/>
      </c>
      <c r="BI850" s="71" t="str">
        <f>IF(AND($AX850=1,$AJ850=1),$BA850*100000+ROW(),"")</f>
        <v/>
      </c>
      <c r="BJ850" s="71" t="str">
        <f>IF(AND($AS850=1,$AJ850=1),$BA850*100000+ROW(),"")</f>
        <v/>
      </c>
      <c r="BK850" s="71" t="str">
        <f>IF(AND($AY850=1,$AJ850=1),$BA850*100000+ROW(),"")</f>
        <v/>
      </c>
      <c r="BL850" s="71" t="str">
        <f>IF(AND($AZ850=1),$BA850*100000+ROW(),"")</f>
        <v/>
      </c>
    </row>
    <row r="851">
      <c r="A851" s="63" t="n"/>
      <c r="B851" s="64" t="n"/>
      <c r="C851" s="64" t="n"/>
      <c r="D851" s="64" t="n"/>
      <c r="E851" s="64" t="n"/>
      <c r="F851" s="64" t="n"/>
      <c r="G851" s="65" t="n"/>
      <c r="H851" s="65" t="n"/>
      <c r="I851" s="64" t="n"/>
      <c r="J851" s="64" t="n"/>
      <c r="K851" s="63" t="n"/>
      <c r="L851" s="63" t="n"/>
      <c r="M851" s="64" t="n"/>
      <c r="N851" s="66" t="n"/>
      <c r="O851" s="65" t="n"/>
      <c r="P851" s="64" t="n"/>
      <c r="Q851" s="67" t="n"/>
      <c r="R851" s="67" t="n"/>
      <c r="S851" s="68" t="str">
        <f>IF(AND(ISNUMBER($Q851),ISNUMBER($R851)),$Q851-$R851,"")</f>
        <v/>
      </c>
      <c r="T851" s="65" t="n"/>
      <c r="U851" s="64" t="n"/>
      <c r="V851" s="65" t="n"/>
      <c r="W851" s="63" t="n"/>
      <c r="X851" s="65" t="n"/>
      <c r="Y851" s="63" t="n"/>
      <c r="Z851" s="64" t="n"/>
      <c r="AA851" s="64" t="n"/>
      <c r="AB851" s="65" t="n"/>
      <c r="AC851" s="69" t="str">
        <f>IF(OR($G851="",NOT(ISNUMBER($K851)),$AK851=0),"",MAX(0,ReportDate-$K851))</f>
        <v/>
      </c>
      <c r="AD851" s="69" t="str">
        <f>IF($G851="","",IF($AL851=1,ReportDate-$L851,0))</f>
        <v/>
      </c>
      <c r="AE851" s="70" t="str">
        <f>IF($G851="","",IF($M851="Completed",1,IF(ISNUMBER($N851),$N851,0)))</f>
        <v/>
      </c>
      <c r="AF851" s="70" t="str">
        <f>IF(AND(ISNUMBER($Q851),ISNUMBER($R851)),IF($R851&lt;&gt;0,$Q851/$R851,""),"")</f>
        <v/>
      </c>
      <c r="AG851" s="71" t="str">
        <f>IF($G851="","",IF($AL851=1,"OVERDUE",IF($AM851=1,"BLOCKED",IF($AN851=1,"DUE TODAY",IF($AO851=1,"DUE TOMORROW",IF($AQ851=1,"HIGH PRIORITY",IF($AR851=1,"NO RECENT UPDATE",""))))))) </f>
        <v/>
      </c>
      <c r="AH851" s="71" t="str">
        <f>IF($G851="","",IF(ISNUMBER($A851),IF(ISNUMBER($A851),YEAR($A851)&amp;"-"&amp;TEXT(MONTH($A851),"00"),""),IF(ISNUMBER($L851),IF(ISNUMBER($L851),YEAR($L851)&amp;"-"&amp;TEXT(MONTH($L851),"00"),""),"")))</f>
        <v/>
      </c>
      <c r="AI851" s="71">
        <f>IF($G851="",0,IF(AND(OR(fClient="All",$C851=fClient),OR(fCampaign="All",$D851=fCampaign),OR(fTeam="All",$B851=fTeam),OR(fChannel="All",$F851=fChannel),OR(fMonth="All",$AH851=fMonth),OR(fTStatus="All",$M851=fTStatus)),1,0))</f>
        <v>0</v>
      </c>
      <c r="AJ851" s="71">
        <f>IF($G851="",0,IF(AND(OR(fClient="All",$C851=fClient),OR(fCampaign="All",$D851=fCampaign),OR(fTeam="All",$B851=fTeam),OR(fChannel="All",$F851=fChannel)),1,0))</f>
        <v>0</v>
      </c>
      <c r="AK851" s="71">
        <f>IF($G851="",0,IF(OR($M851="Completed",$M851="Cancelled"),0,1))</f>
        <v>0</v>
      </c>
      <c r="AL851" s="71">
        <f>IF(AND($AK851=1,ISNUMBER($L851)),IF($L851&lt;ReportDate,1,0),0)</f>
        <v>0</v>
      </c>
      <c r="AM851" s="71">
        <f>IF(AND($G851&lt;&gt;"",$M851="Blocked"),1,0)</f>
        <v>0</v>
      </c>
      <c r="AN851" s="71">
        <f>IF(AND($AK851=1,ISNUMBER($L851)),IF($L851=ReportDate,1,0),0)</f>
        <v>0</v>
      </c>
      <c r="AO851" s="71">
        <f>IF(AND($AK851=1,ISNUMBER($L851)),IF($L851=ReportDate+1,1,0),0)</f>
        <v>0</v>
      </c>
      <c r="AP851" s="71">
        <f>IF(AND($AK851=1,ISNUMBER($L851)),IF(AND($L851&gt;=ReportDate,$L851&lt;=ReportDate+DueSoonDays),1,0),0)</f>
        <v>0</v>
      </c>
      <c r="AQ851" s="71">
        <f>IF(AND($AK851=1,OR($I851="Critical",$I851="High")),1,0)</f>
        <v>0</v>
      </c>
      <c r="AR851" s="71">
        <f>IF($AK851=1,IF(ISNUMBER($Y851),IF(ReportDate-$Y851&gt;StaleDays,1,0),1),0)</f>
        <v>0</v>
      </c>
      <c r="AS851" s="71">
        <f>IF(AND($G851&lt;&gt;"",ISNUMBER($Q851),ISNUMBER($R851)),IF(AND($Q851&lt;$R851,OR($M851="Completed",AND(ISNUMBER($L851),$L851&lt;ReportDate))),1,0),0)</f>
        <v>0</v>
      </c>
      <c r="AT851" s="71">
        <f>IF($AK851=1,IF(OR($L851=ReportDate,$W851=ReportDate,$K851=ReportDate,$A851=ReportDate),1,0),0)</f>
        <v>0</v>
      </c>
      <c r="AU851" s="71">
        <f>IF($AK851=1,IF(OR($L851=ReportDate+1,$W851=ReportDate+1,$K851=ReportDate+1,$A851=ReportDate+1),1,0),0)</f>
        <v>0</v>
      </c>
      <c r="AV851" s="71">
        <f>IF(AND($G851&lt;&gt;"",$M851="Completed"),IF(OR($Y851=ReportDate-1,$A851=ReportDate-1),1,0),0)</f>
        <v>0</v>
      </c>
      <c r="AW851" s="71">
        <f>IF(AND($AK851=1,$Z851="Yes"),1,0)</f>
        <v>0</v>
      </c>
      <c r="AX851" s="71">
        <f>IF(AND($AK851=1,$AA851="Yes"),1,0)</f>
        <v>0</v>
      </c>
      <c r="AY851" s="71">
        <f>IF(AND($AM851=1,OR($I851="Critical",$I851="High")),1,0)</f>
        <v>0</v>
      </c>
      <c r="AZ851" s="71">
        <f>IF(AND($AK851=1,OR($C851=TCL_Client,$C851=MECCA_Client)),1,0)</f>
        <v>0</v>
      </c>
      <c r="BA851" s="71" t="str">
        <f>IF($G851="","",IFERROR(MATCH($I851,lst_Priority,0),5))</f>
        <v/>
      </c>
      <c r="BB851" s="71" t="str">
        <f>IF(AND($AL851=1,$AJ851=1),$BA851*100000+ROW(),"")</f>
        <v/>
      </c>
      <c r="BC851" s="71" t="str">
        <f>IF(AND($AM851=1,$AJ851=1),$BA851*100000+ROW(),"")</f>
        <v/>
      </c>
      <c r="BD851" s="71" t="str">
        <f>IF(AND($AP851=1,$AJ851=1),$BA851*100000+ROW(),"")</f>
        <v/>
      </c>
      <c r="BE851" s="71" t="str">
        <f>IF(AND($AT851=1,$AJ851=1),$BA851*100000+ROW(),"")</f>
        <v/>
      </c>
      <c r="BF851" s="71" t="str">
        <f>IF(AND($AU851=1,$AJ851=1),$BA851*100000+ROW(),"")</f>
        <v/>
      </c>
      <c r="BG851" s="71" t="str">
        <f>IF(AND($AV851=1,$AJ851=1),$BA851*100000+ROW(),"")</f>
        <v/>
      </c>
      <c r="BH851" s="71" t="str">
        <f>IF(AND($AW851=1,$AJ851=1),$BA851*100000+ROW(),"")</f>
        <v/>
      </c>
      <c r="BI851" s="71" t="str">
        <f>IF(AND($AX851=1,$AJ851=1),$BA851*100000+ROW(),"")</f>
        <v/>
      </c>
      <c r="BJ851" s="71" t="str">
        <f>IF(AND($AS851=1,$AJ851=1),$BA851*100000+ROW(),"")</f>
        <v/>
      </c>
      <c r="BK851" s="71" t="str">
        <f>IF(AND($AY851=1,$AJ851=1),$BA851*100000+ROW(),"")</f>
        <v/>
      </c>
      <c r="BL851" s="71" t="str">
        <f>IF(AND($AZ851=1),$BA851*100000+ROW(),"")</f>
        <v/>
      </c>
    </row>
    <row r="852">
      <c r="A852" s="63" t="n"/>
      <c r="B852" s="64" t="n"/>
      <c r="C852" s="64" t="n"/>
      <c r="D852" s="64" t="n"/>
      <c r="E852" s="64" t="n"/>
      <c r="F852" s="64" t="n"/>
      <c r="G852" s="65" t="n"/>
      <c r="H852" s="65" t="n"/>
      <c r="I852" s="64" t="n"/>
      <c r="J852" s="64" t="n"/>
      <c r="K852" s="63" t="n"/>
      <c r="L852" s="63" t="n"/>
      <c r="M852" s="64" t="n"/>
      <c r="N852" s="66" t="n"/>
      <c r="O852" s="65" t="n"/>
      <c r="P852" s="64" t="n"/>
      <c r="Q852" s="67" t="n"/>
      <c r="R852" s="67" t="n"/>
      <c r="S852" s="68" t="str">
        <f>IF(AND(ISNUMBER($Q852),ISNUMBER($R852)),$Q852-$R852,"")</f>
        <v/>
      </c>
      <c r="T852" s="65" t="n"/>
      <c r="U852" s="64" t="n"/>
      <c r="V852" s="65" t="n"/>
      <c r="W852" s="63" t="n"/>
      <c r="X852" s="65" t="n"/>
      <c r="Y852" s="63" t="n"/>
      <c r="Z852" s="64" t="n"/>
      <c r="AA852" s="64" t="n"/>
      <c r="AB852" s="65" t="n"/>
      <c r="AC852" s="69" t="str">
        <f>IF(OR($G852="",NOT(ISNUMBER($K852)),$AK852=0),"",MAX(0,ReportDate-$K852))</f>
        <v/>
      </c>
      <c r="AD852" s="69" t="str">
        <f>IF($G852="","",IF($AL852=1,ReportDate-$L852,0))</f>
        <v/>
      </c>
      <c r="AE852" s="70" t="str">
        <f>IF($G852="","",IF($M852="Completed",1,IF(ISNUMBER($N852),$N852,0)))</f>
        <v/>
      </c>
      <c r="AF852" s="70" t="str">
        <f>IF(AND(ISNUMBER($Q852),ISNUMBER($R852)),IF($R852&lt;&gt;0,$Q852/$R852,""),"")</f>
        <v/>
      </c>
      <c r="AG852" s="71" t="str">
        <f>IF($G852="","",IF($AL852=1,"OVERDUE",IF($AM852=1,"BLOCKED",IF($AN852=1,"DUE TODAY",IF($AO852=1,"DUE TOMORROW",IF($AQ852=1,"HIGH PRIORITY",IF($AR852=1,"NO RECENT UPDATE",""))))))) </f>
        <v/>
      </c>
      <c r="AH852" s="71" t="str">
        <f>IF($G852="","",IF(ISNUMBER($A852),IF(ISNUMBER($A852),YEAR($A852)&amp;"-"&amp;TEXT(MONTH($A852),"00"),""),IF(ISNUMBER($L852),IF(ISNUMBER($L852),YEAR($L852)&amp;"-"&amp;TEXT(MONTH($L852),"00"),""),"")))</f>
        <v/>
      </c>
      <c r="AI852" s="71">
        <f>IF($G852="",0,IF(AND(OR(fClient="All",$C852=fClient),OR(fCampaign="All",$D852=fCampaign),OR(fTeam="All",$B852=fTeam),OR(fChannel="All",$F852=fChannel),OR(fMonth="All",$AH852=fMonth),OR(fTStatus="All",$M852=fTStatus)),1,0))</f>
        <v>0</v>
      </c>
      <c r="AJ852" s="71">
        <f>IF($G852="",0,IF(AND(OR(fClient="All",$C852=fClient),OR(fCampaign="All",$D852=fCampaign),OR(fTeam="All",$B852=fTeam),OR(fChannel="All",$F852=fChannel)),1,0))</f>
        <v>0</v>
      </c>
      <c r="AK852" s="71">
        <f>IF($G852="",0,IF(OR($M852="Completed",$M852="Cancelled"),0,1))</f>
        <v>0</v>
      </c>
      <c r="AL852" s="71">
        <f>IF(AND($AK852=1,ISNUMBER($L852)),IF($L852&lt;ReportDate,1,0),0)</f>
        <v>0</v>
      </c>
      <c r="AM852" s="71">
        <f>IF(AND($G852&lt;&gt;"",$M852="Blocked"),1,0)</f>
        <v>0</v>
      </c>
      <c r="AN852" s="71">
        <f>IF(AND($AK852=1,ISNUMBER($L852)),IF($L852=ReportDate,1,0),0)</f>
        <v>0</v>
      </c>
      <c r="AO852" s="71">
        <f>IF(AND($AK852=1,ISNUMBER($L852)),IF($L852=ReportDate+1,1,0),0)</f>
        <v>0</v>
      </c>
      <c r="AP852" s="71">
        <f>IF(AND($AK852=1,ISNUMBER($L852)),IF(AND($L852&gt;=ReportDate,$L852&lt;=ReportDate+DueSoonDays),1,0),0)</f>
        <v>0</v>
      </c>
      <c r="AQ852" s="71">
        <f>IF(AND($AK852=1,OR($I852="Critical",$I852="High")),1,0)</f>
        <v>0</v>
      </c>
      <c r="AR852" s="71">
        <f>IF($AK852=1,IF(ISNUMBER($Y852),IF(ReportDate-$Y852&gt;StaleDays,1,0),1),0)</f>
        <v>0</v>
      </c>
      <c r="AS852" s="71">
        <f>IF(AND($G852&lt;&gt;"",ISNUMBER($Q852),ISNUMBER($R852)),IF(AND($Q852&lt;$R852,OR($M852="Completed",AND(ISNUMBER($L852),$L852&lt;ReportDate))),1,0),0)</f>
        <v>0</v>
      </c>
      <c r="AT852" s="71">
        <f>IF($AK852=1,IF(OR($L852=ReportDate,$W852=ReportDate,$K852=ReportDate,$A852=ReportDate),1,0),0)</f>
        <v>0</v>
      </c>
      <c r="AU852" s="71">
        <f>IF($AK852=1,IF(OR($L852=ReportDate+1,$W852=ReportDate+1,$K852=ReportDate+1,$A852=ReportDate+1),1,0),0)</f>
        <v>0</v>
      </c>
      <c r="AV852" s="71">
        <f>IF(AND($G852&lt;&gt;"",$M852="Completed"),IF(OR($Y852=ReportDate-1,$A852=ReportDate-1),1,0),0)</f>
        <v>0</v>
      </c>
      <c r="AW852" s="71">
        <f>IF(AND($AK852=1,$Z852="Yes"),1,0)</f>
        <v>0</v>
      </c>
      <c r="AX852" s="71">
        <f>IF(AND($AK852=1,$AA852="Yes"),1,0)</f>
        <v>0</v>
      </c>
      <c r="AY852" s="71">
        <f>IF(AND($AM852=1,OR($I852="Critical",$I852="High")),1,0)</f>
        <v>0</v>
      </c>
      <c r="AZ852" s="71">
        <f>IF(AND($AK852=1,OR($C852=TCL_Client,$C852=MECCA_Client)),1,0)</f>
        <v>0</v>
      </c>
      <c r="BA852" s="71" t="str">
        <f>IF($G852="","",IFERROR(MATCH($I852,lst_Priority,0),5))</f>
        <v/>
      </c>
      <c r="BB852" s="71" t="str">
        <f>IF(AND($AL852=1,$AJ852=1),$BA852*100000+ROW(),"")</f>
        <v/>
      </c>
      <c r="BC852" s="71" t="str">
        <f>IF(AND($AM852=1,$AJ852=1),$BA852*100000+ROW(),"")</f>
        <v/>
      </c>
      <c r="BD852" s="71" t="str">
        <f>IF(AND($AP852=1,$AJ852=1),$BA852*100000+ROW(),"")</f>
        <v/>
      </c>
      <c r="BE852" s="71" t="str">
        <f>IF(AND($AT852=1,$AJ852=1),$BA852*100000+ROW(),"")</f>
        <v/>
      </c>
      <c r="BF852" s="71" t="str">
        <f>IF(AND($AU852=1,$AJ852=1),$BA852*100000+ROW(),"")</f>
        <v/>
      </c>
      <c r="BG852" s="71" t="str">
        <f>IF(AND($AV852=1,$AJ852=1),$BA852*100000+ROW(),"")</f>
        <v/>
      </c>
      <c r="BH852" s="71" t="str">
        <f>IF(AND($AW852=1,$AJ852=1),$BA852*100000+ROW(),"")</f>
        <v/>
      </c>
      <c r="BI852" s="71" t="str">
        <f>IF(AND($AX852=1,$AJ852=1),$BA852*100000+ROW(),"")</f>
        <v/>
      </c>
      <c r="BJ852" s="71" t="str">
        <f>IF(AND($AS852=1,$AJ852=1),$BA852*100000+ROW(),"")</f>
        <v/>
      </c>
      <c r="BK852" s="71" t="str">
        <f>IF(AND($AY852=1,$AJ852=1),$BA852*100000+ROW(),"")</f>
        <v/>
      </c>
      <c r="BL852" s="71" t="str">
        <f>IF(AND($AZ852=1),$BA852*100000+ROW(),"")</f>
        <v/>
      </c>
    </row>
    <row r="853">
      <c r="A853" s="63" t="n"/>
      <c r="B853" s="64" t="n"/>
      <c r="C853" s="64" t="n"/>
      <c r="D853" s="64" t="n"/>
      <c r="E853" s="64" t="n"/>
      <c r="F853" s="64" t="n"/>
      <c r="G853" s="65" t="n"/>
      <c r="H853" s="65" t="n"/>
      <c r="I853" s="64" t="n"/>
      <c r="J853" s="64" t="n"/>
      <c r="K853" s="63" t="n"/>
      <c r="L853" s="63" t="n"/>
      <c r="M853" s="64" t="n"/>
      <c r="N853" s="66" t="n"/>
      <c r="O853" s="65" t="n"/>
      <c r="P853" s="64" t="n"/>
      <c r="Q853" s="67" t="n"/>
      <c r="R853" s="67" t="n"/>
      <c r="S853" s="68" t="str">
        <f>IF(AND(ISNUMBER($Q853),ISNUMBER($R853)),$Q853-$R853,"")</f>
        <v/>
      </c>
      <c r="T853" s="65" t="n"/>
      <c r="U853" s="64" t="n"/>
      <c r="V853" s="65" t="n"/>
      <c r="W853" s="63" t="n"/>
      <c r="X853" s="65" t="n"/>
      <c r="Y853" s="63" t="n"/>
      <c r="Z853" s="64" t="n"/>
      <c r="AA853" s="64" t="n"/>
      <c r="AB853" s="65" t="n"/>
      <c r="AC853" s="69" t="str">
        <f>IF(OR($G853="",NOT(ISNUMBER($K853)),$AK853=0),"",MAX(0,ReportDate-$K853))</f>
        <v/>
      </c>
      <c r="AD853" s="69" t="str">
        <f>IF($G853="","",IF($AL853=1,ReportDate-$L853,0))</f>
        <v/>
      </c>
      <c r="AE853" s="70" t="str">
        <f>IF($G853="","",IF($M853="Completed",1,IF(ISNUMBER($N853),$N853,0)))</f>
        <v/>
      </c>
      <c r="AF853" s="70" t="str">
        <f>IF(AND(ISNUMBER($Q853),ISNUMBER($R853)),IF($R853&lt;&gt;0,$Q853/$R853,""),"")</f>
        <v/>
      </c>
      <c r="AG853" s="71" t="str">
        <f>IF($G853="","",IF($AL853=1,"OVERDUE",IF($AM853=1,"BLOCKED",IF($AN853=1,"DUE TODAY",IF($AO853=1,"DUE TOMORROW",IF($AQ853=1,"HIGH PRIORITY",IF($AR853=1,"NO RECENT UPDATE",""))))))) </f>
        <v/>
      </c>
      <c r="AH853" s="71" t="str">
        <f>IF($G853="","",IF(ISNUMBER($A853),IF(ISNUMBER($A853),YEAR($A853)&amp;"-"&amp;TEXT(MONTH($A853),"00"),""),IF(ISNUMBER($L853),IF(ISNUMBER($L853),YEAR($L853)&amp;"-"&amp;TEXT(MONTH($L853),"00"),""),"")))</f>
        <v/>
      </c>
      <c r="AI853" s="71">
        <f>IF($G853="",0,IF(AND(OR(fClient="All",$C853=fClient),OR(fCampaign="All",$D853=fCampaign),OR(fTeam="All",$B853=fTeam),OR(fChannel="All",$F853=fChannel),OR(fMonth="All",$AH853=fMonth),OR(fTStatus="All",$M853=fTStatus)),1,0))</f>
        <v>0</v>
      </c>
      <c r="AJ853" s="71">
        <f>IF($G853="",0,IF(AND(OR(fClient="All",$C853=fClient),OR(fCampaign="All",$D853=fCampaign),OR(fTeam="All",$B853=fTeam),OR(fChannel="All",$F853=fChannel)),1,0))</f>
        <v>0</v>
      </c>
      <c r="AK853" s="71">
        <f>IF($G853="",0,IF(OR($M853="Completed",$M853="Cancelled"),0,1))</f>
        <v>0</v>
      </c>
      <c r="AL853" s="71">
        <f>IF(AND($AK853=1,ISNUMBER($L853)),IF($L853&lt;ReportDate,1,0),0)</f>
        <v>0</v>
      </c>
      <c r="AM853" s="71">
        <f>IF(AND($G853&lt;&gt;"",$M853="Blocked"),1,0)</f>
        <v>0</v>
      </c>
      <c r="AN853" s="71">
        <f>IF(AND($AK853=1,ISNUMBER($L853)),IF($L853=ReportDate,1,0),0)</f>
        <v>0</v>
      </c>
      <c r="AO853" s="71">
        <f>IF(AND($AK853=1,ISNUMBER($L853)),IF($L853=ReportDate+1,1,0),0)</f>
        <v>0</v>
      </c>
      <c r="AP853" s="71">
        <f>IF(AND($AK853=1,ISNUMBER($L853)),IF(AND($L853&gt;=ReportDate,$L853&lt;=ReportDate+DueSoonDays),1,0),0)</f>
        <v>0</v>
      </c>
      <c r="AQ853" s="71">
        <f>IF(AND($AK853=1,OR($I853="Critical",$I853="High")),1,0)</f>
        <v>0</v>
      </c>
      <c r="AR853" s="71">
        <f>IF($AK853=1,IF(ISNUMBER($Y853),IF(ReportDate-$Y853&gt;StaleDays,1,0),1),0)</f>
        <v>0</v>
      </c>
      <c r="AS853" s="71">
        <f>IF(AND($G853&lt;&gt;"",ISNUMBER($Q853),ISNUMBER($R853)),IF(AND($Q853&lt;$R853,OR($M853="Completed",AND(ISNUMBER($L853),$L853&lt;ReportDate))),1,0),0)</f>
        <v>0</v>
      </c>
      <c r="AT853" s="71">
        <f>IF($AK853=1,IF(OR($L853=ReportDate,$W853=ReportDate,$K853=ReportDate,$A853=ReportDate),1,0),0)</f>
        <v>0</v>
      </c>
      <c r="AU853" s="71">
        <f>IF($AK853=1,IF(OR($L853=ReportDate+1,$W853=ReportDate+1,$K853=ReportDate+1,$A853=ReportDate+1),1,0),0)</f>
        <v>0</v>
      </c>
      <c r="AV853" s="71">
        <f>IF(AND($G853&lt;&gt;"",$M853="Completed"),IF(OR($Y853=ReportDate-1,$A853=ReportDate-1),1,0),0)</f>
        <v>0</v>
      </c>
      <c r="AW853" s="71">
        <f>IF(AND($AK853=1,$Z853="Yes"),1,0)</f>
        <v>0</v>
      </c>
      <c r="AX853" s="71">
        <f>IF(AND($AK853=1,$AA853="Yes"),1,0)</f>
        <v>0</v>
      </c>
      <c r="AY853" s="71">
        <f>IF(AND($AM853=1,OR($I853="Critical",$I853="High")),1,0)</f>
        <v>0</v>
      </c>
      <c r="AZ853" s="71">
        <f>IF(AND($AK853=1,OR($C853=TCL_Client,$C853=MECCA_Client)),1,0)</f>
        <v>0</v>
      </c>
      <c r="BA853" s="71" t="str">
        <f>IF($G853="","",IFERROR(MATCH($I853,lst_Priority,0),5))</f>
        <v/>
      </c>
      <c r="BB853" s="71" t="str">
        <f>IF(AND($AL853=1,$AJ853=1),$BA853*100000+ROW(),"")</f>
        <v/>
      </c>
      <c r="BC853" s="71" t="str">
        <f>IF(AND($AM853=1,$AJ853=1),$BA853*100000+ROW(),"")</f>
        <v/>
      </c>
      <c r="BD853" s="71" t="str">
        <f>IF(AND($AP853=1,$AJ853=1),$BA853*100000+ROW(),"")</f>
        <v/>
      </c>
      <c r="BE853" s="71" t="str">
        <f>IF(AND($AT853=1,$AJ853=1),$BA853*100000+ROW(),"")</f>
        <v/>
      </c>
      <c r="BF853" s="71" t="str">
        <f>IF(AND($AU853=1,$AJ853=1),$BA853*100000+ROW(),"")</f>
        <v/>
      </c>
      <c r="BG853" s="71" t="str">
        <f>IF(AND($AV853=1,$AJ853=1),$BA853*100000+ROW(),"")</f>
        <v/>
      </c>
      <c r="BH853" s="71" t="str">
        <f>IF(AND($AW853=1,$AJ853=1),$BA853*100000+ROW(),"")</f>
        <v/>
      </c>
      <c r="BI853" s="71" t="str">
        <f>IF(AND($AX853=1,$AJ853=1),$BA853*100000+ROW(),"")</f>
        <v/>
      </c>
      <c r="BJ853" s="71" t="str">
        <f>IF(AND($AS853=1,$AJ853=1),$BA853*100000+ROW(),"")</f>
        <v/>
      </c>
      <c r="BK853" s="71" t="str">
        <f>IF(AND($AY853=1,$AJ853=1),$BA853*100000+ROW(),"")</f>
        <v/>
      </c>
      <c r="BL853" s="71" t="str">
        <f>IF(AND($AZ853=1),$BA853*100000+ROW(),"")</f>
        <v/>
      </c>
    </row>
    <row r="854">
      <c r="A854" s="63" t="n"/>
      <c r="B854" s="64" t="n"/>
      <c r="C854" s="64" t="n"/>
      <c r="D854" s="64" t="n"/>
      <c r="E854" s="64" t="n"/>
      <c r="F854" s="64" t="n"/>
      <c r="G854" s="65" t="n"/>
      <c r="H854" s="65" t="n"/>
      <c r="I854" s="64" t="n"/>
      <c r="J854" s="64" t="n"/>
      <c r="K854" s="63" t="n"/>
      <c r="L854" s="63" t="n"/>
      <c r="M854" s="64" t="n"/>
      <c r="N854" s="66" t="n"/>
      <c r="O854" s="65" t="n"/>
      <c r="P854" s="64" t="n"/>
      <c r="Q854" s="67" t="n"/>
      <c r="R854" s="67" t="n"/>
      <c r="S854" s="68" t="str">
        <f>IF(AND(ISNUMBER($Q854),ISNUMBER($R854)),$Q854-$R854,"")</f>
        <v/>
      </c>
      <c r="T854" s="65" t="n"/>
      <c r="U854" s="64" t="n"/>
      <c r="V854" s="65" t="n"/>
      <c r="W854" s="63" t="n"/>
      <c r="X854" s="65" t="n"/>
      <c r="Y854" s="63" t="n"/>
      <c r="Z854" s="64" t="n"/>
      <c r="AA854" s="64" t="n"/>
      <c r="AB854" s="65" t="n"/>
      <c r="AC854" s="69" t="str">
        <f>IF(OR($G854="",NOT(ISNUMBER($K854)),$AK854=0),"",MAX(0,ReportDate-$K854))</f>
        <v/>
      </c>
      <c r="AD854" s="69" t="str">
        <f>IF($G854="","",IF($AL854=1,ReportDate-$L854,0))</f>
        <v/>
      </c>
      <c r="AE854" s="70" t="str">
        <f>IF($G854="","",IF($M854="Completed",1,IF(ISNUMBER($N854),$N854,0)))</f>
        <v/>
      </c>
      <c r="AF854" s="70" t="str">
        <f>IF(AND(ISNUMBER($Q854),ISNUMBER($R854)),IF($R854&lt;&gt;0,$Q854/$R854,""),"")</f>
        <v/>
      </c>
      <c r="AG854" s="71" t="str">
        <f>IF($G854="","",IF($AL854=1,"OVERDUE",IF($AM854=1,"BLOCKED",IF($AN854=1,"DUE TODAY",IF($AO854=1,"DUE TOMORROW",IF($AQ854=1,"HIGH PRIORITY",IF($AR854=1,"NO RECENT UPDATE",""))))))) </f>
        <v/>
      </c>
      <c r="AH854" s="71" t="str">
        <f>IF($G854="","",IF(ISNUMBER($A854),IF(ISNUMBER($A854),YEAR($A854)&amp;"-"&amp;TEXT(MONTH($A854),"00"),""),IF(ISNUMBER($L854),IF(ISNUMBER($L854),YEAR($L854)&amp;"-"&amp;TEXT(MONTH($L854),"00"),""),"")))</f>
        <v/>
      </c>
      <c r="AI854" s="71">
        <f>IF($G854="",0,IF(AND(OR(fClient="All",$C854=fClient),OR(fCampaign="All",$D854=fCampaign),OR(fTeam="All",$B854=fTeam),OR(fChannel="All",$F854=fChannel),OR(fMonth="All",$AH854=fMonth),OR(fTStatus="All",$M854=fTStatus)),1,0))</f>
        <v>0</v>
      </c>
      <c r="AJ854" s="71">
        <f>IF($G854="",0,IF(AND(OR(fClient="All",$C854=fClient),OR(fCampaign="All",$D854=fCampaign),OR(fTeam="All",$B854=fTeam),OR(fChannel="All",$F854=fChannel)),1,0))</f>
        <v>0</v>
      </c>
      <c r="AK854" s="71">
        <f>IF($G854="",0,IF(OR($M854="Completed",$M854="Cancelled"),0,1))</f>
        <v>0</v>
      </c>
      <c r="AL854" s="71">
        <f>IF(AND($AK854=1,ISNUMBER($L854)),IF($L854&lt;ReportDate,1,0),0)</f>
        <v>0</v>
      </c>
      <c r="AM854" s="71">
        <f>IF(AND($G854&lt;&gt;"",$M854="Blocked"),1,0)</f>
        <v>0</v>
      </c>
      <c r="AN854" s="71">
        <f>IF(AND($AK854=1,ISNUMBER($L854)),IF($L854=ReportDate,1,0),0)</f>
        <v>0</v>
      </c>
      <c r="AO854" s="71">
        <f>IF(AND($AK854=1,ISNUMBER($L854)),IF($L854=ReportDate+1,1,0),0)</f>
        <v>0</v>
      </c>
      <c r="AP854" s="71">
        <f>IF(AND($AK854=1,ISNUMBER($L854)),IF(AND($L854&gt;=ReportDate,$L854&lt;=ReportDate+DueSoonDays),1,0),0)</f>
        <v>0</v>
      </c>
      <c r="AQ854" s="71">
        <f>IF(AND($AK854=1,OR($I854="Critical",$I854="High")),1,0)</f>
        <v>0</v>
      </c>
      <c r="AR854" s="71">
        <f>IF($AK854=1,IF(ISNUMBER($Y854),IF(ReportDate-$Y854&gt;StaleDays,1,0),1),0)</f>
        <v>0</v>
      </c>
      <c r="AS854" s="71">
        <f>IF(AND($G854&lt;&gt;"",ISNUMBER($Q854),ISNUMBER($R854)),IF(AND($Q854&lt;$R854,OR($M854="Completed",AND(ISNUMBER($L854),$L854&lt;ReportDate))),1,0),0)</f>
        <v>0</v>
      </c>
      <c r="AT854" s="71">
        <f>IF($AK854=1,IF(OR($L854=ReportDate,$W854=ReportDate,$K854=ReportDate,$A854=ReportDate),1,0),0)</f>
        <v>0</v>
      </c>
      <c r="AU854" s="71">
        <f>IF($AK854=1,IF(OR($L854=ReportDate+1,$W854=ReportDate+1,$K854=ReportDate+1,$A854=ReportDate+1),1,0),0)</f>
        <v>0</v>
      </c>
      <c r="AV854" s="71">
        <f>IF(AND($G854&lt;&gt;"",$M854="Completed"),IF(OR($Y854=ReportDate-1,$A854=ReportDate-1),1,0),0)</f>
        <v>0</v>
      </c>
      <c r="AW854" s="71">
        <f>IF(AND($AK854=1,$Z854="Yes"),1,0)</f>
        <v>0</v>
      </c>
      <c r="AX854" s="71">
        <f>IF(AND($AK854=1,$AA854="Yes"),1,0)</f>
        <v>0</v>
      </c>
      <c r="AY854" s="71">
        <f>IF(AND($AM854=1,OR($I854="Critical",$I854="High")),1,0)</f>
        <v>0</v>
      </c>
      <c r="AZ854" s="71">
        <f>IF(AND($AK854=1,OR($C854=TCL_Client,$C854=MECCA_Client)),1,0)</f>
        <v>0</v>
      </c>
      <c r="BA854" s="71" t="str">
        <f>IF($G854="","",IFERROR(MATCH($I854,lst_Priority,0),5))</f>
        <v/>
      </c>
      <c r="BB854" s="71" t="str">
        <f>IF(AND($AL854=1,$AJ854=1),$BA854*100000+ROW(),"")</f>
        <v/>
      </c>
      <c r="BC854" s="71" t="str">
        <f>IF(AND($AM854=1,$AJ854=1),$BA854*100000+ROW(),"")</f>
        <v/>
      </c>
      <c r="BD854" s="71" t="str">
        <f>IF(AND($AP854=1,$AJ854=1),$BA854*100000+ROW(),"")</f>
        <v/>
      </c>
      <c r="BE854" s="71" t="str">
        <f>IF(AND($AT854=1,$AJ854=1),$BA854*100000+ROW(),"")</f>
        <v/>
      </c>
      <c r="BF854" s="71" t="str">
        <f>IF(AND($AU854=1,$AJ854=1),$BA854*100000+ROW(),"")</f>
        <v/>
      </c>
      <c r="BG854" s="71" t="str">
        <f>IF(AND($AV854=1,$AJ854=1),$BA854*100000+ROW(),"")</f>
        <v/>
      </c>
      <c r="BH854" s="71" t="str">
        <f>IF(AND($AW854=1,$AJ854=1),$BA854*100000+ROW(),"")</f>
        <v/>
      </c>
      <c r="BI854" s="71" t="str">
        <f>IF(AND($AX854=1,$AJ854=1),$BA854*100000+ROW(),"")</f>
        <v/>
      </c>
      <c r="BJ854" s="71" t="str">
        <f>IF(AND($AS854=1,$AJ854=1),$BA854*100000+ROW(),"")</f>
        <v/>
      </c>
      <c r="BK854" s="71" t="str">
        <f>IF(AND($AY854=1,$AJ854=1),$BA854*100000+ROW(),"")</f>
        <v/>
      </c>
      <c r="BL854" s="71" t="str">
        <f>IF(AND($AZ854=1),$BA854*100000+ROW(),"")</f>
        <v/>
      </c>
    </row>
    <row r="855">
      <c r="A855" s="63" t="n"/>
      <c r="B855" s="64" t="n"/>
      <c r="C855" s="64" t="n"/>
      <c r="D855" s="64" t="n"/>
      <c r="E855" s="64" t="n"/>
      <c r="F855" s="64" t="n"/>
      <c r="G855" s="65" t="n"/>
      <c r="H855" s="65" t="n"/>
      <c r="I855" s="64" t="n"/>
      <c r="J855" s="64" t="n"/>
      <c r="K855" s="63" t="n"/>
      <c r="L855" s="63" t="n"/>
      <c r="M855" s="64" t="n"/>
      <c r="N855" s="66" t="n"/>
      <c r="O855" s="65" t="n"/>
      <c r="P855" s="64" t="n"/>
      <c r="Q855" s="67" t="n"/>
      <c r="R855" s="67" t="n"/>
      <c r="S855" s="68" t="str">
        <f>IF(AND(ISNUMBER($Q855),ISNUMBER($R855)),$Q855-$R855,"")</f>
        <v/>
      </c>
      <c r="T855" s="65" t="n"/>
      <c r="U855" s="64" t="n"/>
      <c r="V855" s="65" t="n"/>
      <c r="W855" s="63" t="n"/>
      <c r="X855" s="65" t="n"/>
      <c r="Y855" s="63" t="n"/>
      <c r="Z855" s="64" t="n"/>
      <c r="AA855" s="64" t="n"/>
      <c r="AB855" s="65" t="n"/>
      <c r="AC855" s="69" t="str">
        <f>IF(OR($G855="",NOT(ISNUMBER($K855)),$AK855=0),"",MAX(0,ReportDate-$K855))</f>
        <v/>
      </c>
      <c r="AD855" s="69" t="str">
        <f>IF($G855="","",IF($AL855=1,ReportDate-$L855,0))</f>
        <v/>
      </c>
      <c r="AE855" s="70" t="str">
        <f>IF($G855="","",IF($M855="Completed",1,IF(ISNUMBER($N855),$N855,0)))</f>
        <v/>
      </c>
      <c r="AF855" s="70" t="str">
        <f>IF(AND(ISNUMBER($Q855),ISNUMBER($R855)),IF($R855&lt;&gt;0,$Q855/$R855,""),"")</f>
        <v/>
      </c>
      <c r="AG855" s="71" t="str">
        <f>IF($G855="","",IF($AL855=1,"OVERDUE",IF($AM855=1,"BLOCKED",IF($AN855=1,"DUE TODAY",IF($AO855=1,"DUE TOMORROW",IF($AQ855=1,"HIGH PRIORITY",IF($AR855=1,"NO RECENT UPDATE",""))))))) </f>
        <v/>
      </c>
      <c r="AH855" s="71" t="str">
        <f>IF($G855="","",IF(ISNUMBER($A855),IF(ISNUMBER($A855),YEAR($A855)&amp;"-"&amp;TEXT(MONTH($A855),"00"),""),IF(ISNUMBER($L855),IF(ISNUMBER($L855),YEAR($L855)&amp;"-"&amp;TEXT(MONTH($L855),"00"),""),"")))</f>
        <v/>
      </c>
      <c r="AI855" s="71">
        <f>IF($G855="",0,IF(AND(OR(fClient="All",$C855=fClient),OR(fCampaign="All",$D855=fCampaign),OR(fTeam="All",$B855=fTeam),OR(fChannel="All",$F855=fChannel),OR(fMonth="All",$AH855=fMonth),OR(fTStatus="All",$M855=fTStatus)),1,0))</f>
        <v>0</v>
      </c>
      <c r="AJ855" s="71">
        <f>IF($G855="",0,IF(AND(OR(fClient="All",$C855=fClient),OR(fCampaign="All",$D855=fCampaign),OR(fTeam="All",$B855=fTeam),OR(fChannel="All",$F855=fChannel)),1,0))</f>
        <v>0</v>
      </c>
      <c r="AK855" s="71">
        <f>IF($G855="",0,IF(OR($M855="Completed",$M855="Cancelled"),0,1))</f>
        <v>0</v>
      </c>
      <c r="AL855" s="71">
        <f>IF(AND($AK855=1,ISNUMBER($L855)),IF($L855&lt;ReportDate,1,0),0)</f>
        <v>0</v>
      </c>
      <c r="AM855" s="71">
        <f>IF(AND($G855&lt;&gt;"",$M855="Blocked"),1,0)</f>
        <v>0</v>
      </c>
      <c r="AN855" s="71">
        <f>IF(AND($AK855=1,ISNUMBER($L855)),IF($L855=ReportDate,1,0),0)</f>
        <v>0</v>
      </c>
      <c r="AO855" s="71">
        <f>IF(AND($AK855=1,ISNUMBER($L855)),IF($L855=ReportDate+1,1,0),0)</f>
        <v>0</v>
      </c>
      <c r="AP855" s="71">
        <f>IF(AND($AK855=1,ISNUMBER($L855)),IF(AND($L855&gt;=ReportDate,$L855&lt;=ReportDate+DueSoonDays),1,0),0)</f>
        <v>0</v>
      </c>
      <c r="AQ855" s="71">
        <f>IF(AND($AK855=1,OR($I855="Critical",$I855="High")),1,0)</f>
        <v>0</v>
      </c>
      <c r="AR855" s="71">
        <f>IF($AK855=1,IF(ISNUMBER($Y855),IF(ReportDate-$Y855&gt;StaleDays,1,0),1),0)</f>
        <v>0</v>
      </c>
      <c r="AS855" s="71">
        <f>IF(AND($G855&lt;&gt;"",ISNUMBER($Q855),ISNUMBER($R855)),IF(AND($Q855&lt;$R855,OR($M855="Completed",AND(ISNUMBER($L855),$L855&lt;ReportDate))),1,0),0)</f>
        <v>0</v>
      </c>
      <c r="AT855" s="71">
        <f>IF($AK855=1,IF(OR($L855=ReportDate,$W855=ReportDate,$K855=ReportDate,$A855=ReportDate),1,0),0)</f>
        <v>0</v>
      </c>
      <c r="AU855" s="71">
        <f>IF($AK855=1,IF(OR($L855=ReportDate+1,$W855=ReportDate+1,$K855=ReportDate+1,$A855=ReportDate+1),1,0),0)</f>
        <v>0</v>
      </c>
      <c r="AV855" s="71">
        <f>IF(AND($G855&lt;&gt;"",$M855="Completed"),IF(OR($Y855=ReportDate-1,$A855=ReportDate-1),1,0),0)</f>
        <v>0</v>
      </c>
      <c r="AW855" s="71">
        <f>IF(AND($AK855=1,$Z855="Yes"),1,0)</f>
        <v>0</v>
      </c>
      <c r="AX855" s="71">
        <f>IF(AND($AK855=1,$AA855="Yes"),1,0)</f>
        <v>0</v>
      </c>
      <c r="AY855" s="71">
        <f>IF(AND($AM855=1,OR($I855="Critical",$I855="High")),1,0)</f>
        <v>0</v>
      </c>
      <c r="AZ855" s="71">
        <f>IF(AND($AK855=1,OR($C855=TCL_Client,$C855=MECCA_Client)),1,0)</f>
        <v>0</v>
      </c>
      <c r="BA855" s="71" t="str">
        <f>IF($G855="","",IFERROR(MATCH($I855,lst_Priority,0),5))</f>
        <v/>
      </c>
      <c r="BB855" s="71" t="str">
        <f>IF(AND($AL855=1,$AJ855=1),$BA855*100000+ROW(),"")</f>
        <v/>
      </c>
      <c r="BC855" s="71" t="str">
        <f>IF(AND($AM855=1,$AJ855=1),$BA855*100000+ROW(),"")</f>
        <v/>
      </c>
      <c r="BD855" s="71" t="str">
        <f>IF(AND($AP855=1,$AJ855=1),$BA855*100000+ROW(),"")</f>
        <v/>
      </c>
      <c r="BE855" s="71" t="str">
        <f>IF(AND($AT855=1,$AJ855=1),$BA855*100000+ROW(),"")</f>
        <v/>
      </c>
      <c r="BF855" s="71" t="str">
        <f>IF(AND($AU855=1,$AJ855=1),$BA855*100000+ROW(),"")</f>
        <v/>
      </c>
      <c r="BG855" s="71" t="str">
        <f>IF(AND($AV855=1,$AJ855=1),$BA855*100000+ROW(),"")</f>
        <v/>
      </c>
      <c r="BH855" s="71" t="str">
        <f>IF(AND($AW855=1,$AJ855=1),$BA855*100000+ROW(),"")</f>
        <v/>
      </c>
      <c r="BI855" s="71" t="str">
        <f>IF(AND($AX855=1,$AJ855=1),$BA855*100000+ROW(),"")</f>
        <v/>
      </c>
      <c r="BJ855" s="71" t="str">
        <f>IF(AND($AS855=1,$AJ855=1),$BA855*100000+ROW(),"")</f>
        <v/>
      </c>
      <c r="BK855" s="71" t="str">
        <f>IF(AND($AY855=1,$AJ855=1),$BA855*100000+ROW(),"")</f>
        <v/>
      </c>
      <c r="BL855" s="71" t="str">
        <f>IF(AND($AZ855=1),$BA855*100000+ROW(),"")</f>
        <v/>
      </c>
    </row>
    <row r="856">
      <c r="A856" s="63" t="n"/>
      <c r="B856" s="64" t="n"/>
      <c r="C856" s="64" t="n"/>
      <c r="D856" s="64" t="n"/>
      <c r="E856" s="64" t="n"/>
      <c r="F856" s="64" t="n"/>
      <c r="G856" s="65" t="n"/>
      <c r="H856" s="65" t="n"/>
      <c r="I856" s="64" t="n"/>
      <c r="J856" s="64" t="n"/>
      <c r="K856" s="63" t="n"/>
      <c r="L856" s="63" t="n"/>
      <c r="M856" s="64" t="n"/>
      <c r="N856" s="66" t="n"/>
      <c r="O856" s="65" t="n"/>
      <c r="P856" s="64" t="n"/>
      <c r="Q856" s="67" t="n"/>
      <c r="R856" s="67" t="n"/>
      <c r="S856" s="68" t="str">
        <f>IF(AND(ISNUMBER($Q856),ISNUMBER($R856)),$Q856-$R856,"")</f>
        <v/>
      </c>
      <c r="T856" s="65" t="n"/>
      <c r="U856" s="64" t="n"/>
      <c r="V856" s="65" t="n"/>
      <c r="W856" s="63" t="n"/>
      <c r="X856" s="65" t="n"/>
      <c r="Y856" s="63" t="n"/>
      <c r="Z856" s="64" t="n"/>
      <c r="AA856" s="64" t="n"/>
      <c r="AB856" s="65" t="n"/>
      <c r="AC856" s="69" t="str">
        <f>IF(OR($G856="",NOT(ISNUMBER($K856)),$AK856=0),"",MAX(0,ReportDate-$K856))</f>
        <v/>
      </c>
      <c r="AD856" s="69" t="str">
        <f>IF($G856="","",IF($AL856=1,ReportDate-$L856,0))</f>
        <v/>
      </c>
      <c r="AE856" s="70" t="str">
        <f>IF($G856="","",IF($M856="Completed",1,IF(ISNUMBER($N856),$N856,0)))</f>
        <v/>
      </c>
      <c r="AF856" s="70" t="str">
        <f>IF(AND(ISNUMBER($Q856),ISNUMBER($R856)),IF($R856&lt;&gt;0,$Q856/$R856,""),"")</f>
        <v/>
      </c>
      <c r="AG856" s="71" t="str">
        <f>IF($G856="","",IF($AL856=1,"OVERDUE",IF($AM856=1,"BLOCKED",IF($AN856=1,"DUE TODAY",IF($AO856=1,"DUE TOMORROW",IF($AQ856=1,"HIGH PRIORITY",IF($AR856=1,"NO RECENT UPDATE",""))))))) </f>
        <v/>
      </c>
      <c r="AH856" s="71" t="str">
        <f>IF($G856="","",IF(ISNUMBER($A856),IF(ISNUMBER($A856),YEAR($A856)&amp;"-"&amp;TEXT(MONTH($A856),"00"),""),IF(ISNUMBER($L856),IF(ISNUMBER($L856),YEAR($L856)&amp;"-"&amp;TEXT(MONTH($L856),"00"),""),"")))</f>
        <v/>
      </c>
      <c r="AI856" s="71">
        <f>IF($G856="",0,IF(AND(OR(fClient="All",$C856=fClient),OR(fCampaign="All",$D856=fCampaign),OR(fTeam="All",$B856=fTeam),OR(fChannel="All",$F856=fChannel),OR(fMonth="All",$AH856=fMonth),OR(fTStatus="All",$M856=fTStatus)),1,0))</f>
        <v>0</v>
      </c>
      <c r="AJ856" s="71">
        <f>IF($G856="",0,IF(AND(OR(fClient="All",$C856=fClient),OR(fCampaign="All",$D856=fCampaign),OR(fTeam="All",$B856=fTeam),OR(fChannel="All",$F856=fChannel)),1,0))</f>
        <v>0</v>
      </c>
      <c r="AK856" s="71">
        <f>IF($G856="",0,IF(OR($M856="Completed",$M856="Cancelled"),0,1))</f>
        <v>0</v>
      </c>
      <c r="AL856" s="71">
        <f>IF(AND($AK856=1,ISNUMBER($L856)),IF($L856&lt;ReportDate,1,0),0)</f>
        <v>0</v>
      </c>
      <c r="AM856" s="71">
        <f>IF(AND($G856&lt;&gt;"",$M856="Blocked"),1,0)</f>
        <v>0</v>
      </c>
      <c r="AN856" s="71">
        <f>IF(AND($AK856=1,ISNUMBER($L856)),IF($L856=ReportDate,1,0),0)</f>
        <v>0</v>
      </c>
      <c r="AO856" s="71">
        <f>IF(AND($AK856=1,ISNUMBER($L856)),IF($L856=ReportDate+1,1,0),0)</f>
        <v>0</v>
      </c>
      <c r="AP856" s="71">
        <f>IF(AND($AK856=1,ISNUMBER($L856)),IF(AND($L856&gt;=ReportDate,$L856&lt;=ReportDate+DueSoonDays),1,0),0)</f>
        <v>0</v>
      </c>
      <c r="AQ856" s="71">
        <f>IF(AND($AK856=1,OR($I856="Critical",$I856="High")),1,0)</f>
        <v>0</v>
      </c>
      <c r="AR856" s="71">
        <f>IF($AK856=1,IF(ISNUMBER($Y856),IF(ReportDate-$Y856&gt;StaleDays,1,0),1),0)</f>
        <v>0</v>
      </c>
      <c r="AS856" s="71">
        <f>IF(AND($G856&lt;&gt;"",ISNUMBER($Q856),ISNUMBER($R856)),IF(AND($Q856&lt;$R856,OR($M856="Completed",AND(ISNUMBER($L856),$L856&lt;ReportDate))),1,0),0)</f>
        <v>0</v>
      </c>
      <c r="AT856" s="71">
        <f>IF($AK856=1,IF(OR($L856=ReportDate,$W856=ReportDate,$K856=ReportDate,$A856=ReportDate),1,0),0)</f>
        <v>0</v>
      </c>
      <c r="AU856" s="71">
        <f>IF($AK856=1,IF(OR($L856=ReportDate+1,$W856=ReportDate+1,$K856=ReportDate+1,$A856=ReportDate+1),1,0),0)</f>
        <v>0</v>
      </c>
      <c r="AV856" s="71">
        <f>IF(AND($G856&lt;&gt;"",$M856="Completed"),IF(OR($Y856=ReportDate-1,$A856=ReportDate-1),1,0),0)</f>
        <v>0</v>
      </c>
      <c r="AW856" s="71">
        <f>IF(AND($AK856=1,$Z856="Yes"),1,0)</f>
        <v>0</v>
      </c>
      <c r="AX856" s="71">
        <f>IF(AND($AK856=1,$AA856="Yes"),1,0)</f>
        <v>0</v>
      </c>
      <c r="AY856" s="71">
        <f>IF(AND($AM856=1,OR($I856="Critical",$I856="High")),1,0)</f>
        <v>0</v>
      </c>
      <c r="AZ856" s="71">
        <f>IF(AND($AK856=1,OR($C856=TCL_Client,$C856=MECCA_Client)),1,0)</f>
        <v>0</v>
      </c>
      <c r="BA856" s="71" t="str">
        <f>IF($G856="","",IFERROR(MATCH($I856,lst_Priority,0),5))</f>
        <v/>
      </c>
      <c r="BB856" s="71" t="str">
        <f>IF(AND($AL856=1,$AJ856=1),$BA856*100000+ROW(),"")</f>
        <v/>
      </c>
      <c r="BC856" s="71" t="str">
        <f>IF(AND($AM856=1,$AJ856=1),$BA856*100000+ROW(),"")</f>
        <v/>
      </c>
      <c r="BD856" s="71" t="str">
        <f>IF(AND($AP856=1,$AJ856=1),$BA856*100000+ROW(),"")</f>
        <v/>
      </c>
      <c r="BE856" s="71" t="str">
        <f>IF(AND($AT856=1,$AJ856=1),$BA856*100000+ROW(),"")</f>
        <v/>
      </c>
      <c r="BF856" s="71" t="str">
        <f>IF(AND($AU856=1,$AJ856=1),$BA856*100000+ROW(),"")</f>
        <v/>
      </c>
      <c r="BG856" s="71" t="str">
        <f>IF(AND($AV856=1,$AJ856=1),$BA856*100000+ROW(),"")</f>
        <v/>
      </c>
      <c r="BH856" s="71" t="str">
        <f>IF(AND($AW856=1,$AJ856=1),$BA856*100000+ROW(),"")</f>
        <v/>
      </c>
      <c r="BI856" s="71" t="str">
        <f>IF(AND($AX856=1,$AJ856=1),$BA856*100000+ROW(),"")</f>
        <v/>
      </c>
      <c r="BJ856" s="71" t="str">
        <f>IF(AND($AS856=1,$AJ856=1),$BA856*100000+ROW(),"")</f>
        <v/>
      </c>
      <c r="BK856" s="71" t="str">
        <f>IF(AND($AY856=1,$AJ856=1),$BA856*100000+ROW(),"")</f>
        <v/>
      </c>
      <c r="BL856" s="71" t="str">
        <f>IF(AND($AZ856=1),$BA856*100000+ROW(),"")</f>
        <v/>
      </c>
    </row>
    <row r="857">
      <c r="A857" s="63" t="n"/>
      <c r="B857" s="64" t="n"/>
      <c r="C857" s="64" t="n"/>
      <c r="D857" s="64" t="n"/>
      <c r="E857" s="64" t="n"/>
      <c r="F857" s="64" t="n"/>
      <c r="G857" s="65" t="n"/>
      <c r="H857" s="65" t="n"/>
      <c r="I857" s="64" t="n"/>
      <c r="J857" s="64" t="n"/>
      <c r="K857" s="63" t="n"/>
      <c r="L857" s="63" t="n"/>
      <c r="M857" s="64" t="n"/>
      <c r="N857" s="66" t="n"/>
      <c r="O857" s="65" t="n"/>
      <c r="P857" s="64" t="n"/>
      <c r="Q857" s="67" t="n"/>
      <c r="R857" s="67" t="n"/>
      <c r="S857" s="68" t="str">
        <f>IF(AND(ISNUMBER($Q857),ISNUMBER($R857)),$Q857-$R857,"")</f>
        <v/>
      </c>
      <c r="T857" s="65" t="n"/>
      <c r="U857" s="64" t="n"/>
      <c r="V857" s="65" t="n"/>
      <c r="W857" s="63" t="n"/>
      <c r="X857" s="65" t="n"/>
      <c r="Y857" s="63" t="n"/>
      <c r="Z857" s="64" t="n"/>
      <c r="AA857" s="64" t="n"/>
      <c r="AB857" s="65" t="n"/>
      <c r="AC857" s="69" t="str">
        <f>IF(OR($G857="",NOT(ISNUMBER($K857)),$AK857=0),"",MAX(0,ReportDate-$K857))</f>
        <v/>
      </c>
      <c r="AD857" s="69" t="str">
        <f>IF($G857="","",IF($AL857=1,ReportDate-$L857,0))</f>
        <v/>
      </c>
      <c r="AE857" s="70" t="str">
        <f>IF($G857="","",IF($M857="Completed",1,IF(ISNUMBER($N857),$N857,0)))</f>
        <v/>
      </c>
      <c r="AF857" s="70" t="str">
        <f>IF(AND(ISNUMBER($Q857),ISNUMBER($R857)),IF($R857&lt;&gt;0,$Q857/$R857,""),"")</f>
        <v/>
      </c>
      <c r="AG857" s="71" t="str">
        <f>IF($G857="","",IF($AL857=1,"OVERDUE",IF($AM857=1,"BLOCKED",IF($AN857=1,"DUE TODAY",IF($AO857=1,"DUE TOMORROW",IF($AQ857=1,"HIGH PRIORITY",IF($AR857=1,"NO RECENT UPDATE",""))))))) </f>
        <v/>
      </c>
      <c r="AH857" s="71" t="str">
        <f>IF($G857="","",IF(ISNUMBER($A857),IF(ISNUMBER($A857),YEAR($A857)&amp;"-"&amp;TEXT(MONTH($A857),"00"),""),IF(ISNUMBER($L857),IF(ISNUMBER($L857),YEAR($L857)&amp;"-"&amp;TEXT(MONTH($L857),"00"),""),"")))</f>
        <v/>
      </c>
      <c r="AI857" s="71">
        <f>IF($G857="",0,IF(AND(OR(fClient="All",$C857=fClient),OR(fCampaign="All",$D857=fCampaign),OR(fTeam="All",$B857=fTeam),OR(fChannel="All",$F857=fChannel),OR(fMonth="All",$AH857=fMonth),OR(fTStatus="All",$M857=fTStatus)),1,0))</f>
        <v>0</v>
      </c>
      <c r="AJ857" s="71">
        <f>IF($G857="",0,IF(AND(OR(fClient="All",$C857=fClient),OR(fCampaign="All",$D857=fCampaign),OR(fTeam="All",$B857=fTeam),OR(fChannel="All",$F857=fChannel)),1,0))</f>
        <v>0</v>
      </c>
      <c r="AK857" s="71">
        <f>IF($G857="",0,IF(OR($M857="Completed",$M857="Cancelled"),0,1))</f>
        <v>0</v>
      </c>
      <c r="AL857" s="71">
        <f>IF(AND($AK857=1,ISNUMBER($L857)),IF($L857&lt;ReportDate,1,0),0)</f>
        <v>0</v>
      </c>
      <c r="AM857" s="71">
        <f>IF(AND($G857&lt;&gt;"",$M857="Blocked"),1,0)</f>
        <v>0</v>
      </c>
      <c r="AN857" s="71">
        <f>IF(AND($AK857=1,ISNUMBER($L857)),IF($L857=ReportDate,1,0),0)</f>
        <v>0</v>
      </c>
      <c r="AO857" s="71">
        <f>IF(AND($AK857=1,ISNUMBER($L857)),IF($L857=ReportDate+1,1,0),0)</f>
        <v>0</v>
      </c>
      <c r="AP857" s="71">
        <f>IF(AND($AK857=1,ISNUMBER($L857)),IF(AND($L857&gt;=ReportDate,$L857&lt;=ReportDate+DueSoonDays),1,0),0)</f>
        <v>0</v>
      </c>
      <c r="AQ857" s="71">
        <f>IF(AND($AK857=1,OR($I857="Critical",$I857="High")),1,0)</f>
        <v>0</v>
      </c>
      <c r="AR857" s="71">
        <f>IF($AK857=1,IF(ISNUMBER($Y857),IF(ReportDate-$Y857&gt;StaleDays,1,0),1),0)</f>
        <v>0</v>
      </c>
      <c r="AS857" s="71">
        <f>IF(AND($G857&lt;&gt;"",ISNUMBER($Q857),ISNUMBER($R857)),IF(AND($Q857&lt;$R857,OR($M857="Completed",AND(ISNUMBER($L857),$L857&lt;ReportDate))),1,0),0)</f>
        <v>0</v>
      </c>
      <c r="AT857" s="71">
        <f>IF($AK857=1,IF(OR($L857=ReportDate,$W857=ReportDate,$K857=ReportDate,$A857=ReportDate),1,0),0)</f>
        <v>0</v>
      </c>
      <c r="AU857" s="71">
        <f>IF($AK857=1,IF(OR($L857=ReportDate+1,$W857=ReportDate+1,$K857=ReportDate+1,$A857=ReportDate+1),1,0),0)</f>
        <v>0</v>
      </c>
      <c r="AV857" s="71">
        <f>IF(AND($G857&lt;&gt;"",$M857="Completed"),IF(OR($Y857=ReportDate-1,$A857=ReportDate-1),1,0),0)</f>
        <v>0</v>
      </c>
      <c r="AW857" s="71">
        <f>IF(AND($AK857=1,$Z857="Yes"),1,0)</f>
        <v>0</v>
      </c>
      <c r="AX857" s="71">
        <f>IF(AND($AK857=1,$AA857="Yes"),1,0)</f>
        <v>0</v>
      </c>
      <c r="AY857" s="71">
        <f>IF(AND($AM857=1,OR($I857="Critical",$I857="High")),1,0)</f>
        <v>0</v>
      </c>
      <c r="AZ857" s="71">
        <f>IF(AND($AK857=1,OR($C857=TCL_Client,$C857=MECCA_Client)),1,0)</f>
        <v>0</v>
      </c>
      <c r="BA857" s="71" t="str">
        <f>IF($G857="","",IFERROR(MATCH($I857,lst_Priority,0),5))</f>
        <v/>
      </c>
      <c r="BB857" s="71" t="str">
        <f>IF(AND($AL857=1,$AJ857=1),$BA857*100000+ROW(),"")</f>
        <v/>
      </c>
      <c r="BC857" s="71" t="str">
        <f>IF(AND($AM857=1,$AJ857=1),$BA857*100000+ROW(),"")</f>
        <v/>
      </c>
      <c r="BD857" s="71" t="str">
        <f>IF(AND($AP857=1,$AJ857=1),$BA857*100000+ROW(),"")</f>
        <v/>
      </c>
      <c r="BE857" s="71" t="str">
        <f>IF(AND($AT857=1,$AJ857=1),$BA857*100000+ROW(),"")</f>
        <v/>
      </c>
      <c r="BF857" s="71" t="str">
        <f>IF(AND($AU857=1,$AJ857=1),$BA857*100000+ROW(),"")</f>
        <v/>
      </c>
      <c r="BG857" s="71" t="str">
        <f>IF(AND($AV857=1,$AJ857=1),$BA857*100000+ROW(),"")</f>
        <v/>
      </c>
      <c r="BH857" s="71" t="str">
        <f>IF(AND($AW857=1,$AJ857=1),$BA857*100000+ROW(),"")</f>
        <v/>
      </c>
      <c r="BI857" s="71" t="str">
        <f>IF(AND($AX857=1,$AJ857=1),$BA857*100000+ROW(),"")</f>
        <v/>
      </c>
      <c r="BJ857" s="71" t="str">
        <f>IF(AND($AS857=1,$AJ857=1),$BA857*100000+ROW(),"")</f>
        <v/>
      </c>
      <c r="BK857" s="71" t="str">
        <f>IF(AND($AY857=1,$AJ857=1),$BA857*100000+ROW(),"")</f>
        <v/>
      </c>
      <c r="BL857" s="71" t="str">
        <f>IF(AND($AZ857=1),$BA857*100000+ROW(),"")</f>
        <v/>
      </c>
    </row>
    <row r="858">
      <c r="A858" s="63" t="n"/>
      <c r="B858" s="64" t="n"/>
      <c r="C858" s="64" t="n"/>
      <c r="D858" s="64" t="n"/>
      <c r="E858" s="64" t="n"/>
      <c r="F858" s="64" t="n"/>
      <c r="G858" s="65" t="n"/>
      <c r="H858" s="65" t="n"/>
      <c r="I858" s="64" t="n"/>
      <c r="J858" s="64" t="n"/>
      <c r="K858" s="63" t="n"/>
      <c r="L858" s="63" t="n"/>
      <c r="M858" s="64" t="n"/>
      <c r="N858" s="66" t="n"/>
      <c r="O858" s="65" t="n"/>
      <c r="P858" s="64" t="n"/>
      <c r="Q858" s="67" t="n"/>
      <c r="R858" s="67" t="n"/>
      <c r="S858" s="68" t="str">
        <f>IF(AND(ISNUMBER($Q858),ISNUMBER($R858)),$Q858-$R858,"")</f>
        <v/>
      </c>
      <c r="T858" s="65" t="n"/>
      <c r="U858" s="64" t="n"/>
      <c r="V858" s="65" t="n"/>
      <c r="W858" s="63" t="n"/>
      <c r="X858" s="65" t="n"/>
      <c r="Y858" s="63" t="n"/>
      <c r="Z858" s="64" t="n"/>
      <c r="AA858" s="64" t="n"/>
      <c r="AB858" s="65" t="n"/>
      <c r="AC858" s="69" t="str">
        <f>IF(OR($G858="",NOT(ISNUMBER($K858)),$AK858=0),"",MAX(0,ReportDate-$K858))</f>
        <v/>
      </c>
      <c r="AD858" s="69" t="str">
        <f>IF($G858="","",IF($AL858=1,ReportDate-$L858,0))</f>
        <v/>
      </c>
      <c r="AE858" s="70" t="str">
        <f>IF($G858="","",IF($M858="Completed",1,IF(ISNUMBER($N858),$N858,0)))</f>
        <v/>
      </c>
      <c r="AF858" s="70" t="str">
        <f>IF(AND(ISNUMBER($Q858),ISNUMBER($R858)),IF($R858&lt;&gt;0,$Q858/$R858,""),"")</f>
        <v/>
      </c>
      <c r="AG858" s="71" t="str">
        <f>IF($G858="","",IF($AL858=1,"OVERDUE",IF($AM858=1,"BLOCKED",IF($AN858=1,"DUE TODAY",IF($AO858=1,"DUE TOMORROW",IF($AQ858=1,"HIGH PRIORITY",IF($AR858=1,"NO RECENT UPDATE",""))))))) </f>
        <v/>
      </c>
      <c r="AH858" s="71" t="str">
        <f>IF($G858="","",IF(ISNUMBER($A858),IF(ISNUMBER($A858),YEAR($A858)&amp;"-"&amp;TEXT(MONTH($A858),"00"),""),IF(ISNUMBER($L858),IF(ISNUMBER($L858),YEAR($L858)&amp;"-"&amp;TEXT(MONTH($L858),"00"),""),"")))</f>
        <v/>
      </c>
      <c r="AI858" s="71">
        <f>IF($G858="",0,IF(AND(OR(fClient="All",$C858=fClient),OR(fCampaign="All",$D858=fCampaign),OR(fTeam="All",$B858=fTeam),OR(fChannel="All",$F858=fChannel),OR(fMonth="All",$AH858=fMonth),OR(fTStatus="All",$M858=fTStatus)),1,0))</f>
        <v>0</v>
      </c>
      <c r="AJ858" s="71">
        <f>IF($G858="",0,IF(AND(OR(fClient="All",$C858=fClient),OR(fCampaign="All",$D858=fCampaign),OR(fTeam="All",$B858=fTeam),OR(fChannel="All",$F858=fChannel)),1,0))</f>
        <v>0</v>
      </c>
      <c r="AK858" s="71">
        <f>IF($G858="",0,IF(OR($M858="Completed",$M858="Cancelled"),0,1))</f>
        <v>0</v>
      </c>
      <c r="AL858" s="71">
        <f>IF(AND($AK858=1,ISNUMBER($L858)),IF($L858&lt;ReportDate,1,0),0)</f>
        <v>0</v>
      </c>
      <c r="AM858" s="71">
        <f>IF(AND($G858&lt;&gt;"",$M858="Blocked"),1,0)</f>
        <v>0</v>
      </c>
      <c r="AN858" s="71">
        <f>IF(AND($AK858=1,ISNUMBER($L858)),IF($L858=ReportDate,1,0),0)</f>
        <v>0</v>
      </c>
      <c r="AO858" s="71">
        <f>IF(AND($AK858=1,ISNUMBER($L858)),IF($L858=ReportDate+1,1,0),0)</f>
        <v>0</v>
      </c>
      <c r="AP858" s="71">
        <f>IF(AND($AK858=1,ISNUMBER($L858)),IF(AND($L858&gt;=ReportDate,$L858&lt;=ReportDate+DueSoonDays),1,0),0)</f>
        <v>0</v>
      </c>
      <c r="AQ858" s="71">
        <f>IF(AND($AK858=1,OR($I858="Critical",$I858="High")),1,0)</f>
        <v>0</v>
      </c>
      <c r="AR858" s="71">
        <f>IF($AK858=1,IF(ISNUMBER($Y858),IF(ReportDate-$Y858&gt;StaleDays,1,0),1),0)</f>
        <v>0</v>
      </c>
      <c r="AS858" s="71">
        <f>IF(AND($G858&lt;&gt;"",ISNUMBER($Q858),ISNUMBER($R858)),IF(AND($Q858&lt;$R858,OR($M858="Completed",AND(ISNUMBER($L858),$L858&lt;ReportDate))),1,0),0)</f>
        <v>0</v>
      </c>
      <c r="AT858" s="71">
        <f>IF($AK858=1,IF(OR($L858=ReportDate,$W858=ReportDate,$K858=ReportDate,$A858=ReportDate),1,0),0)</f>
        <v>0</v>
      </c>
      <c r="AU858" s="71">
        <f>IF($AK858=1,IF(OR($L858=ReportDate+1,$W858=ReportDate+1,$K858=ReportDate+1,$A858=ReportDate+1),1,0),0)</f>
        <v>0</v>
      </c>
      <c r="AV858" s="71">
        <f>IF(AND($G858&lt;&gt;"",$M858="Completed"),IF(OR($Y858=ReportDate-1,$A858=ReportDate-1),1,0),0)</f>
        <v>0</v>
      </c>
      <c r="AW858" s="71">
        <f>IF(AND($AK858=1,$Z858="Yes"),1,0)</f>
        <v>0</v>
      </c>
      <c r="AX858" s="71">
        <f>IF(AND($AK858=1,$AA858="Yes"),1,0)</f>
        <v>0</v>
      </c>
      <c r="AY858" s="71">
        <f>IF(AND($AM858=1,OR($I858="Critical",$I858="High")),1,0)</f>
        <v>0</v>
      </c>
      <c r="AZ858" s="71">
        <f>IF(AND($AK858=1,OR($C858=TCL_Client,$C858=MECCA_Client)),1,0)</f>
        <v>0</v>
      </c>
      <c r="BA858" s="71" t="str">
        <f>IF($G858="","",IFERROR(MATCH($I858,lst_Priority,0),5))</f>
        <v/>
      </c>
      <c r="BB858" s="71" t="str">
        <f>IF(AND($AL858=1,$AJ858=1),$BA858*100000+ROW(),"")</f>
        <v/>
      </c>
      <c r="BC858" s="71" t="str">
        <f>IF(AND($AM858=1,$AJ858=1),$BA858*100000+ROW(),"")</f>
        <v/>
      </c>
      <c r="BD858" s="71" t="str">
        <f>IF(AND($AP858=1,$AJ858=1),$BA858*100000+ROW(),"")</f>
        <v/>
      </c>
      <c r="BE858" s="71" t="str">
        <f>IF(AND($AT858=1,$AJ858=1),$BA858*100000+ROW(),"")</f>
        <v/>
      </c>
      <c r="BF858" s="71" t="str">
        <f>IF(AND($AU858=1,$AJ858=1),$BA858*100000+ROW(),"")</f>
        <v/>
      </c>
      <c r="BG858" s="71" t="str">
        <f>IF(AND($AV858=1,$AJ858=1),$BA858*100000+ROW(),"")</f>
        <v/>
      </c>
      <c r="BH858" s="71" t="str">
        <f>IF(AND($AW858=1,$AJ858=1),$BA858*100000+ROW(),"")</f>
        <v/>
      </c>
      <c r="BI858" s="71" t="str">
        <f>IF(AND($AX858=1,$AJ858=1),$BA858*100000+ROW(),"")</f>
        <v/>
      </c>
      <c r="BJ858" s="71" t="str">
        <f>IF(AND($AS858=1,$AJ858=1),$BA858*100000+ROW(),"")</f>
        <v/>
      </c>
      <c r="BK858" s="71" t="str">
        <f>IF(AND($AY858=1,$AJ858=1),$BA858*100000+ROW(),"")</f>
        <v/>
      </c>
      <c r="BL858" s="71" t="str">
        <f>IF(AND($AZ858=1),$BA858*100000+ROW(),"")</f>
        <v/>
      </c>
    </row>
    <row r="859">
      <c r="A859" s="63" t="n"/>
      <c r="B859" s="64" t="n"/>
      <c r="C859" s="64" t="n"/>
      <c r="D859" s="64" t="n"/>
      <c r="E859" s="64" t="n"/>
      <c r="F859" s="64" t="n"/>
      <c r="G859" s="65" t="n"/>
      <c r="H859" s="65" t="n"/>
      <c r="I859" s="64" t="n"/>
      <c r="J859" s="64" t="n"/>
      <c r="K859" s="63" t="n"/>
      <c r="L859" s="63" t="n"/>
      <c r="M859" s="64" t="n"/>
      <c r="N859" s="66" t="n"/>
      <c r="O859" s="65" t="n"/>
      <c r="P859" s="64" t="n"/>
      <c r="Q859" s="67" t="n"/>
      <c r="R859" s="67" t="n"/>
      <c r="S859" s="68" t="str">
        <f>IF(AND(ISNUMBER($Q859),ISNUMBER($R859)),$Q859-$R859,"")</f>
        <v/>
      </c>
      <c r="T859" s="65" t="n"/>
      <c r="U859" s="64" t="n"/>
      <c r="V859" s="65" t="n"/>
      <c r="W859" s="63" t="n"/>
      <c r="X859" s="65" t="n"/>
      <c r="Y859" s="63" t="n"/>
      <c r="Z859" s="64" t="n"/>
      <c r="AA859" s="64" t="n"/>
      <c r="AB859" s="65" t="n"/>
      <c r="AC859" s="69" t="str">
        <f>IF(OR($G859="",NOT(ISNUMBER($K859)),$AK859=0),"",MAX(0,ReportDate-$K859))</f>
        <v/>
      </c>
      <c r="AD859" s="69" t="str">
        <f>IF($G859="","",IF($AL859=1,ReportDate-$L859,0))</f>
        <v/>
      </c>
      <c r="AE859" s="70" t="str">
        <f>IF($G859="","",IF($M859="Completed",1,IF(ISNUMBER($N859),$N859,0)))</f>
        <v/>
      </c>
      <c r="AF859" s="70" t="str">
        <f>IF(AND(ISNUMBER($Q859),ISNUMBER($R859)),IF($R859&lt;&gt;0,$Q859/$R859,""),"")</f>
        <v/>
      </c>
      <c r="AG859" s="71" t="str">
        <f>IF($G859="","",IF($AL859=1,"OVERDUE",IF($AM859=1,"BLOCKED",IF($AN859=1,"DUE TODAY",IF($AO859=1,"DUE TOMORROW",IF($AQ859=1,"HIGH PRIORITY",IF($AR859=1,"NO RECENT UPDATE",""))))))) </f>
        <v/>
      </c>
      <c r="AH859" s="71" t="str">
        <f>IF($G859="","",IF(ISNUMBER($A859),IF(ISNUMBER($A859),YEAR($A859)&amp;"-"&amp;TEXT(MONTH($A859),"00"),""),IF(ISNUMBER($L859),IF(ISNUMBER($L859),YEAR($L859)&amp;"-"&amp;TEXT(MONTH($L859),"00"),""),"")))</f>
        <v/>
      </c>
      <c r="AI859" s="71">
        <f>IF($G859="",0,IF(AND(OR(fClient="All",$C859=fClient),OR(fCampaign="All",$D859=fCampaign),OR(fTeam="All",$B859=fTeam),OR(fChannel="All",$F859=fChannel),OR(fMonth="All",$AH859=fMonth),OR(fTStatus="All",$M859=fTStatus)),1,0))</f>
        <v>0</v>
      </c>
      <c r="AJ859" s="71">
        <f>IF($G859="",0,IF(AND(OR(fClient="All",$C859=fClient),OR(fCampaign="All",$D859=fCampaign),OR(fTeam="All",$B859=fTeam),OR(fChannel="All",$F859=fChannel)),1,0))</f>
        <v>0</v>
      </c>
      <c r="AK859" s="71">
        <f>IF($G859="",0,IF(OR($M859="Completed",$M859="Cancelled"),0,1))</f>
        <v>0</v>
      </c>
      <c r="AL859" s="71">
        <f>IF(AND($AK859=1,ISNUMBER($L859)),IF($L859&lt;ReportDate,1,0),0)</f>
        <v>0</v>
      </c>
      <c r="AM859" s="71">
        <f>IF(AND($G859&lt;&gt;"",$M859="Blocked"),1,0)</f>
        <v>0</v>
      </c>
      <c r="AN859" s="71">
        <f>IF(AND($AK859=1,ISNUMBER($L859)),IF($L859=ReportDate,1,0),0)</f>
        <v>0</v>
      </c>
      <c r="AO859" s="71">
        <f>IF(AND($AK859=1,ISNUMBER($L859)),IF($L859=ReportDate+1,1,0),0)</f>
        <v>0</v>
      </c>
      <c r="AP859" s="71">
        <f>IF(AND($AK859=1,ISNUMBER($L859)),IF(AND($L859&gt;=ReportDate,$L859&lt;=ReportDate+DueSoonDays),1,0),0)</f>
        <v>0</v>
      </c>
      <c r="AQ859" s="71">
        <f>IF(AND($AK859=1,OR($I859="Critical",$I859="High")),1,0)</f>
        <v>0</v>
      </c>
      <c r="AR859" s="71">
        <f>IF($AK859=1,IF(ISNUMBER($Y859),IF(ReportDate-$Y859&gt;StaleDays,1,0),1),0)</f>
        <v>0</v>
      </c>
      <c r="AS859" s="71">
        <f>IF(AND($G859&lt;&gt;"",ISNUMBER($Q859),ISNUMBER($R859)),IF(AND($Q859&lt;$R859,OR($M859="Completed",AND(ISNUMBER($L859),$L859&lt;ReportDate))),1,0),0)</f>
        <v>0</v>
      </c>
      <c r="AT859" s="71">
        <f>IF($AK859=1,IF(OR($L859=ReportDate,$W859=ReportDate,$K859=ReportDate,$A859=ReportDate),1,0),0)</f>
        <v>0</v>
      </c>
      <c r="AU859" s="71">
        <f>IF($AK859=1,IF(OR($L859=ReportDate+1,$W859=ReportDate+1,$K859=ReportDate+1,$A859=ReportDate+1),1,0),0)</f>
        <v>0</v>
      </c>
      <c r="AV859" s="71">
        <f>IF(AND($G859&lt;&gt;"",$M859="Completed"),IF(OR($Y859=ReportDate-1,$A859=ReportDate-1),1,0),0)</f>
        <v>0</v>
      </c>
      <c r="AW859" s="71">
        <f>IF(AND($AK859=1,$Z859="Yes"),1,0)</f>
        <v>0</v>
      </c>
      <c r="AX859" s="71">
        <f>IF(AND($AK859=1,$AA859="Yes"),1,0)</f>
        <v>0</v>
      </c>
      <c r="AY859" s="71">
        <f>IF(AND($AM859=1,OR($I859="Critical",$I859="High")),1,0)</f>
        <v>0</v>
      </c>
      <c r="AZ859" s="71">
        <f>IF(AND($AK859=1,OR($C859=TCL_Client,$C859=MECCA_Client)),1,0)</f>
        <v>0</v>
      </c>
      <c r="BA859" s="71" t="str">
        <f>IF($G859="","",IFERROR(MATCH($I859,lst_Priority,0),5))</f>
        <v/>
      </c>
      <c r="BB859" s="71" t="str">
        <f>IF(AND($AL859=1,$AJ859=1),$BA859*100000+ROW(),"")</f>
        <v/>
      </c>
      <c r="BC859" s="71" t="str">
        <f>IF(AND($AM859=1,$AJ859=1),$BA859*100000+ROW(),"")</f>
        <v/>
      </c>
      <c r="BD859" s="71" t="str">
        <f>IF(AND($AP859=1,$AJ859=1),$BA859*100000+ROW(),"")</f>
        <v/>
      </c>
      <c r="BE859" s="71" t="str">
        <f>IF(AND($AT859=1,$AJ859=1),$BA859*100000+ROW(),"")</f>
        <v/>
      </c>
      <c r="BF859" s="71" t="str">
        <f>IF(AND($AU859=1,$AJ859=1),$BA859*100000+ROW(),"")</f>
        <v/>
      </c>
      <c r="BG859" s="71" t="str">
        <f>IF(AND($AV859=1,$AJ859=1),$BA859*100000+ROW(),"")</f>
        <v/>
      </c>
      <c r="BH859" s="71" t="str">
        <f>IF(AND($AW859=1,$AJ859=1),$BA859*100000+ROW(),"")</f>
        <v/>
      </c>
      <c r="BI859" s="71" t="str">
        <f>IF(AND($AX859=1,$AJ859=1),$BA859*100000+ROW(),"")</f>
        <v/>
      </c>
      <c r="BJ859" s="71" t="str">
        <f>IF(AND($AS859=1,$AJ859=1),$BA859*100000+ROW(),"")</f>
        <v/>
      </c>
      <c r="BK859" s="71" t="str">
        <f>IF(AND($AY859=1,$AJ859=1),$BA859*100000+ROW(),"")</f>
        <v/>
      </c>
      <c r="BL859" s="71" t="str">
        <f>IF(AND($AZ859=1),$BA859*100000+ROW(),"")</f>
        <v/>
      </c>
    </row>
    <row r="860">
      <c r="A860" s="63" t="n"/>
      <c r="B860" s="64" t="n"/>
      <c r="C860" s="64" t="n"/>
      <c r="D860" s="64" t="n"/>
      <c r="E860" s="64" t="n"/>
      <c r="F860" s="64" t="n"/>
      <c r="G860" s="65" t="n"/>
      <c r="H860" s="65" t="n"/>
      <c r="I860" s="64" t="n"/>
      <c r="J860" s="64" t="n"/>
      <c r="K860" s="63" t="n"/>
      <c r="L860" s="63" t="n"/>
      <c r="M860" s="64" t="n"/>
      <c r="N860" s="66" t="n"/>
      <c r="O860" s="65" t="n"/>
      <c r="P860" s="64" t="n"/>
      <c r="Q860" s="67" t="n"/>
      <c r="R860" s="67" t="n"/>
      <c r="S860" s="68" t="str">
        <f>IF(AND(ISNUMBER($Q860),ISNUMBER($R860)),$Q860-$R860,"")</f>
        <v/>
      </c>
      <c r="T860" s="65" t="n"/>
      <c r="U860" s="64" t="n"/>
      <c r="V860" s="65" t="n"/>
      <c r="W860" s="63" t="n"/>
      <c r="X860" s="65" t="n"/>
      <c r="Y860" s="63" t="n"/>
      <c r="Z860" s="64" t="n"/>
      <c r="AA860" s="64" t="n"/>
      <c r="AB860" s="65" t="n"/>
      <c r="AC860" s="69" t="str">
        <f>IF(OR($G860="",NOT(ISNUMBER($K860)),$AK860=0),"",MAX(0,ReportDate-$K860))</f>
        <v/>
      </c>
      <c r="AD860" s="69" t="str">
        <f>IF($G860="","",IF($AL860=1,ReportDate-$L860,0))</f>
        <v/>
      </c>
      <c r="AE860" s="70" t="str">
        <f>IF($G860="","",IF($M860="Completed",1,IF(ISNUMBER($N860),$N860,0)))</f>
        <v/>
      </c>
      <c r="AF860" s="70" t="str">
        <f>IF(AND(ISNUMBER($Q860),ISNUMBER($R860)),IF($R860&lt;&gt;0,$Q860/$R860,""),"")</f>
        <v/>
      </c>
      <c r="AG860" s="71" t="str">
        <f>IF($G860="","",IF($AL860=1,"OVERDUE",IF($AM860=1,"BLOCKED",IF($AN860=1,"DUE TODAY",IF($AO860=1,"DUE TOMORROW",IF($AQ860=1,"HIGH PRIORITY",IF($AR860=1,"NO RECENT UPDATE",""))))))) </f>
        <v/>
      </c>
      <c r="AH860" s="71" t="str">
        <f>IF($G860="","",IF(ISNUMBER($A860),IF(ISNUMBER($A860),YEAR($A860)&amp;"-"&amp;TEXT(MONTH($A860),"00"),""),IF(ISNUMBER($L860),IF(ISNUMBER($L860),YEAR($L860)&amp;"-"&amp;TEXT(MONTH($L860),"00"),""),"")))</f>
        <v/>
      </c>
      <c r="AI860" s="71">
        <f>IF($G860="",0,IF(AND(OR(fClient="All",$C860=fClient),OR(fCampaign="All",$D860=fCampaign),OR(fTeam="All",$B860=fTeam),OR(fChannel="All",$F860=fChannel),OR(fMonth="All",$AH860=fMonth),OR(fTStatus="All",$M860=fTStatus)),1,0))</f>
        <v>0</v>
      </c>
      <c r="AJ860" s="71">
        <f>IF($G860="",0,IF(AND(OR(fClient="All",$C860=fClient),OR(fCampaign="All",$D860=fCampaign),OR(fTeam="All",$B860=fTeam),OR(fChannel="All",$F860=fChannel)),1,0))</f>
        <v>0</v>
      </c>
      <c r="AK860" s="71">
        <f>IF($G860="",0,IF(OR($M860="Completed",$M860="Cancelled"),0,1))</f>
        <v>0</v>
      </c>
      <c r="AL860" s="71">
        <f>IF(AND($AK860=1,ISNUMBER($L860)),IF($L860&lt;ReportDate,1,0),0)</f>
        <v>0</v>
      </c>
      <c r="AM860" s="71">
        <f>IF(AND($G860&lt;&gt;"",$M860="Blocked"),1,0)</f>
        <v>0</v>
      </c>
      <c r="AN860" s="71">
        <f>IF(AND($AK860=1,ISNUMBER($L860)),IF($L860=ReportDate,1,0),0)</f>
        <v>0</v>
      </c>
      <c r="AO860" s="71">
        <f>IF(AND($AK860=1,ISNUMBER($L860)),IF($L860=ReportDate+1,1,0),0)</f>
        <v>0</v>
      </c>
      <c r="AP860" s="71">
        <f>IF(AND($AK860=1,ISNUMBER($L860)),IF(AND($L860&gt;=ReportDate,$L860&lt;=ReportDate+DueSoonDays),1,0),0)</f>
        <v>0</v>
      </c>
      <c r="AQ860" s="71">
        <f>IF(AND($AK860=1,OR($I860="Critical",$I860="High")),1,0)</f>
        <v>0</v>
      </c>
      <c r="AR860" s="71">
        <f>IF($AK860=1,IF(ISNUMBER($Y860),IF(ReportDate-$Y860&gt;StaleDays,1,0),1),0)</f>
        <v>0</v>
      </c>
      <c r="AS860" s="71">
        <f>IF(AND($G860&lt;&gt;"",ISNUMBER($Q860),ISNUMBER($R860)),IF(AND($Q860&lt;$R860,OR($M860="Completed",AND(ISNUMBER($L860),$L860&lt;ReportDate))),1,0),0)</f>
        <v>0</v>
      </c>
      <c r="AT860" s="71">
        <f>IF($AK860=1,IF(OR($L860=ReportDate,$W860=ReportDate,$K860=ReportDate,$A860=ReportDate),1,0),0)</f>
        <v>0</v>
      </c>
      <c r="AU860" s="71">
        <f>IF($AK860=1,IF(OR($L860=ReportDate+1,$W860=ReportDate+1,$K860=ReportDate+1,$A860=ReportDate+1),1,0),0)</f>
        <v>0</v>
      </c>
      <c r="AV860" s="71">
        <f>IF(AND($G860&lt;&gt;"",$M860="Completed"),IF(OR($Y860=ReportDate-1,$A860=ReportDate-1),1,0),0)</f>
        <v>0</v>
      </c>
      <c r="AW860" s="71">
        <f>IF(AND($AK860=1,$Z860="Yes"),1,0)</f>
        <v>0</v>
      </c>
      <c r="AX860" s="71">
        <f>IF(AND($AK860=1,$AA860="Yes"),1,0)</f>
        <v>0</v>
      </c>
      <c r="AY860" s="71">
        <f>IF(AND($AM860=1,OR($I860="Critical",$I860="High")),1,0)</f>
        <v>0</v>
      </c>
      <c r="AZ860" s="71">
        <f>IF(AND($AK860=1,OR($C860=TCL_Client,$C860=MECCA_Client)),1,0)</f>
        <v>0</v>
      </c>
      <c r="BA860" s="71" t="str">
        <f>IF($G860="","",IFERROR(MATCH($I860,lst_Priority,0),5))</f>
        <v/>
      </c>
      <c r="BB860" s="71" t="str">
        <f>IF(AND($AL860=1,$AJ860=1),$BA860*100000+ROW(),"")</f>
        <v/>
      </c>
      <c r="BC860" s="71" t="str">
        <f>IF(AND($AM860=1,$AJ860=1),$BA860*100000+ROW(),"")</f>
        <v/>
      </c>
      <c r="BD860" s="71" t="str">
        <f>IF(AND($AP860=1,$AJ860=1),$BA860*100000+ROW(),"")</f>
        <v/>
      </c>
      <c r="BE860" s="71" t="str">
        <f>IF(AND($AT860=1,$AJ860=1),$BA860*100000+ROW(),"")</f>
        <v/>
      </c>
      <c r="BF860" s="71" t="str">
        <f>IF(AND($AU860=1,$AJ860=1),$BA860*100000+ROW(),"")</f>
        <v/>
      </c>
      <c r="BG860" s="71" t="str">
        <f>IF(AND($AV860=1,$AJ860=1),$BA860*100000+ROW(),"")</f>
        <v/>
      </c>
      <c r="BH860" s="71" t="str">
        <f>IF(AND($AW860=1,$AJ860=1),$BA860*100000+ROW(),"")</f>
        <v/>
      </c>
      <c r="BI860" s="71" t="str">
        <f>IF(AND($AX860=1,$AJ860=1),$BA860*100000+ROW(),"")</f>
        <v/>
      </c>
      <c r="BJ860" s="71" t="str">
        <f>IF(AND($AS860=1,$AJ860=1),$BA860*100000+ROW(),"")</f>
        <v/>
      </c>
      <c r="BK860" s="71" t="str">
        <f>IF(AND($AY860=1,$AJ860=1),$BA860*100000+ROW(),"")</f>
        <v/>
      </c>
      <c r="BL860" s="71" t="str">
        <f>IF(AND($AZ860=1),$BA860*100000+ROW(),"")</f>
        <v/>
      </c>
    </row>
    <row r="861">
      <c r="A861" s="63" t="n"/>
      <c r="B861" s="64" t="n"/>
      <c r="C861" s="64" t="n"/>
      <c r="D861" s="64" t="n"/>
      <c r="E861" s="64" t="n"/>
      <c r="F861" s="64" t="n"/>
      <c r="G861" s="65" t="n"/>
      <c r="H861" s="65" t="n"/>
      <c r="I861" s="64" t="n"/>
      <c r="J861" s="64" t="n"/>
      <c r="K861" s="63" t="n"/>
      <c r="L861" s="63" t="n"/>
      <c r="M861" s="64" t="n"/>
      <c r="N861" s="66" t="n"/>
      <c r="O861" s="65" t="n"/>
      <c r="P861" s="64" t="n"/>
      <c r="Q861" s="67" t="n"/>
      <c r="R861" s="67" t="n"/>
      <c r="S861" s="68" t="str">
        <f>IF(AND(ISNUMBER($Q861),ISNUMBER($R861)),$Q861-$R861,"")</f>
        <v/>
      </c>
      <c r="T861" s="65" t="n"/>
      <c r="U861" s="64" t="n"/>
      <c r="V861" s="65" t="n"/>
      <c r="W861" s="63" t="n"/>
      <c r="X861" s="65" t="n"/>
      <c r="Y861" s="63" t="n"/>
      <c r="Z861" s="64" t="n"/>
      <c r="AA861" s="64" t="n"/>
      <c r="AB861" s="65" t="n"/>
      <c r="AC861" s="69" t="str">
        <f>IF(OR($G861="",NOT(ISNUMBER($K861)),$AK861=0),"",MAX(0,ReportDate-$K861))</f>
        <v/>
      </c>
      <c r="AD861" s="69" t="str">
        <f>IF($G861="","",IF($AL861=1,ReportDate-$L861,0))</f>
        <v/>
      </c>
      <c r="AE861" s="70" t="str">
        <f>IF($G861="","",IF($M861="Completed",1,IF(ISNUMBER($N861),$N861,0)))</f>
        <v/>
      </c>
      <c r="AF861" s="70" t="str">
        <f>IF(AND(ISNUMBER($Q861),ISNUMBER($R861)),IF($R861&lt;&gt;0,$Q861/$R861,""),"")</f>
        <v/>
      </c>
      <c r="AG861" s="71" t="str">
        <f>IF($G861="","",IF($AL861=1,"OVERDUE",IF($AM861=1,"BLOCKED",IF($AN861=1,"DUE TODAY",IF($AO861=1,"DUE TOMORROW",IF($AQ861=1,"HIGH PRIORITY",IF($AR861=1,"NO RECENT UPDATE",""))))))) </f>
        <v/>
      </c>
      <c r="AH861" s="71" t="str">
        <f>IF($G861="","",IF(ISNUMBER($A861),IF(ISNUMBER($A861),YEAR($A861)&amp;"-"&amp;TEXT(MONTH($A861),"00"),""),IF(ISNUMBER($L861),IF(ISNUMBER($L861),YEAR($L861)&amp;"-"&amp;TEXT(MONTH($L861),"00"),""),"")))</f>
        <v/>
      </c>
      <c r="AI861" s="71">
        <f>IF($G861="",0,IF(AND(OR(fClient="All",$C861=fClient),OR(fCampaign="All",$D861=fCampaign),OR(fTeam="All",$B861=fTeam),OR(fChannel="All",$F861=fChannel),OR(fMonth="All",$AH861=fMonth),OR(fTStatus="All",$M861=fTStatus)),1,0))</f>
        <v>0</v>
      </c>
      <c r="AJ861" s="71">
        <f>IF($G861="",0,IF(AND(OR(fClient="All",$C861=fClient),OR(fCampaign="All",$D861=fCampaign),OR(fTeam="All",$B861=fTeam),OR(fChannel="All",$F861=fChannel)),1,0))</f>
        <v>0</v>
      </c>
      <c r="AK861" s="71">
        <f>IF($G861="",0,IF(OR($M861="Completed",$M861="Cancelled"),0,1))</f>
        <v>0</v>
      </c>
      <c r="AL861" s="71">
        <f>IF(AND($AK861=1,ISNUMBER($L861)),IF($L861&lt;ReportDate,1,0),0)</f>
        <v>0</v>
      </c>
      <c r="AM861" s="71">
        <f>IF(AND($G861&lt;&gt;"",$M861="Blocked"),1,0)</f>
        <v>0</v>
      </c>
      <c r="AN861" s="71">
        <f>IF(AND($AK861=1,ISNUMBER($L861)),IF($L861=ReportDate,1,0),0)</f>
        <v>0</v>
      </c>
      <c r="AO861" s="71">
        <f>IF(AND($AK861=1,ISNUMBER($L861)),IF($L861=ReportDate+1,1,0),0)</f>
        <v>0</v>
      </c>
      <c r="AP861" s="71">
        <f>IF(AND($AK861=1,ISNUMBER($L861)),IF(AND($L861&gt;=ReportDate,$L861&lt;=ReportDate+DueSoonDays),1,0),0)</f>
        <v>0</v>
      </c>
      <c r="AQ861" s="71">
        <f>IF(AND($AK861=1,OR($I861="Critical",$I861="High")),1,0)</f>
        <v>0</v>
      </c>
      <c r="AR861" s="71">
        <f>IF($AK861=1,IF(ISNUMBER($Y861),IF(ReportDate-$Y861&gt;StaleDays,1,0),1),0)</f>
        <v>0</v>
      </c>
      <c r="AS861" s="71">
        <f>IF(AND($G861&lt;&gt;"",ISNUMBER($Q861),ISNUMBER($R861)),IF(AND($Q861&lt;$R861,OR($M861="Completed",AND(ISNUMBER($L861),$L861&lt;ReportDate))),1,0),0)</f>
        <v>0</v>
      </c>
      <c r="AT861" s="71">
        <f>IF($AK861=1,IF(OR($L861=ReportDate,$W861=ReportDate,$K861=ReportDate,$A861=ReportDate),1,0),0)</f>
        <v>0</v>
      </c>
      <c r="AU861" s="71">
        <f>IF($AK861=1,IF(OR($L861=ReportDate+1,$W861=ReportDate+1,$K861=ReportDate+1,$A861=ReportDate+1),1,0),0)</f>
        <v>0</v>
      </c>
      <c r="AV861" s="71">
        <f>IF(AND($G861&lt;&gt;"",$M861="Completed"),IF(OR($Y861=ReportDate-1,$A861=ReportDate-1),1,0),0)</f>
        <v>0</v>
      </c>
      <c r="AW861" s="71">
        <f>IF(AND($AK861=1,$Z861="Yes"),1,0)</f>
        <v>0</v>
      </c>
      <c r="AX861" s="71">
        <f>IF(AND($AK861=1,$AA861="Yes"),1,0)</f>
        <v>0</v>
      </c>
      <c r="AY861" s="71">
        <f>IF(AND($AM861=1,OR($I861="Critical",$I861="High")),1,0)</f>
        <v>0</v>
      </c>
      <c r="AZ861" s="71">
        <f>IF(AND($AK861=1,OR($C861=TCL_Client,$C861=MECCA_Client)),1,0)</f>
        <v>0</v>
      </c>
      <c r="BA861" s="71" t="str">
        <f>IF($G861="","",IFERROR(MATCH($I861,lst_Priority,0),5))</f>
        <v/>
      </c>
      <c r="BB861" s="71" t="str">
        <f>IF(AND($AL861=1,$AJ861=1),$BA861*100000+ROW(),"")</f>
        <v/>
      </c>
      <c r="BC861" s="71" t="str">
        <f>IF(AND($AM861=1,$AJ861=1),$BA861*100000+ROW(),"")</f>
        <v/>
      </c>
      <c r="BD861" s="71" t="str">
        <f>IF(AND($AP861=1,$AJ861=1),$BA861*100000+ROW(),"")</f>
        <v/>
      </c>
      <c r="BE861" s="71" t="str">
        <f>IF(AND($AT861=1,$AJ861=1),$BA861*100000+ROW(),"")</f>
        <v/>
      </c>
      <c r="BF861" s="71" t="str">
        <f>IF(AND($AU861=1,$AJ861=1),$BA861*100000+ROW(),"")</f>
        <v/>
      </c>
      <c r="BG861" s="71" t="str">
        <f>IF(AND($AV861=1,$AJ861=1),$BA861*100000+ROW(),"")</f>
        <v/>
      </c>
      <c r="BH861" s="71" t="str">
        <f>IF(AND($AW861=1,$AJ861=1),$BA861*100000+ROW(),"")</f>
        <v/>
      </c>
      <c r="BI861" s="71" t="str">
        <f>IF(AND($AX861=1,$AJ861=1),$BA861*100000+ROW(),"")</f>
        <v/>
      </c>
      <c r="BJ861" s="71" t="str">
        <f>IF(AND($AS861=1,$AJ861=1),$BA861*100000+ROW(),"")</f>
        <v/>
      </c>
      <c r="BK861" s="71" t="str">
        <f>IF(AND($AY861=1,$AJ861=1),$BA861*100000+ROW(),"")</f>
        <v/>
      </c>
      <c r="BL861" s="71" t="str">
        <f>IF(AND($AZ861=1),$BA861*100000+ROW(),"")</f>
        <v/>
      </c>
    </row>
    <row r="862">
      <c r="A862" s="63" t="n"/>
      <c r="B862" s="64" t="n"/>
      <c r="C862" s="64" t="n"/>
      <c r="D862" s="64" t="n"/>
      <c r="E862" s="64" t="n"/>
      <c r="F862" s="64" t="n"/>
      <c r="G862" s="65" t="n"/>
      <c r="H862" s="65" t="n"/>
      <c r="I862" s="64" t="n"/>
      <c r="J862" s="64" t="n"/>
      <c r="K862" s="63" t="n"/>
      <c r="L862" s="63" t="n"/>
      <c r="M862" s="64" t="n"/>
      <c r="N862" s="66" t="n"/>
      <c r="O862" s="65" t="n"/>
      <c r="P862" s="64" t="n"/>
      <c r="Q862" s="67" t="n"/>
      <c r="R862" s="67" t="n"/>
      <c r="S862" s="68" t="str">
        <f>IF(AND(ISNUMBER($Q862),ISNUMBER($R862)),$Q862-$R862,"")</f>
        <v/>
      </c>
      <c r="T862" s="65" t="n"/>
      <c r="U862" s="64" t="n"/>
      <c r="V862" s="65" t="n"/>
      <c r="W862" s="63" t="n"/>
      <c r="X862" s="65" t="n"/>
      <c r="Y862" s="63" t="n"/>
      <c r="Z862" s="64" t="n"/>
      <c r="AA862" s="64" t="n"/>
      <c r="AB862" s="65" t="n"/>
      <c r="AC862" s="69" t="str">
        <f>IF(OR($G862="",NOT(ISNUMBER($K862)),$AK862=0),"",MAX(0,ReportDate-$K862))</f>
        <v/>
      </c>
      <c r="AD862" s="69" t="str">
        <f>IF($G862="","",IF($AL862=1,ReportDate-$L862,0))</f>
        <v/>
      </c>
      <c r="AE862" s="70" t="str">
        <f>IF($G862="","",IF($M862="Completed",1,IF(ISNUMBER($N862),$N862,0)))</f>
        <v/>
      </c>
      <c r="AF862" s="70" t="str">
        <f>IF(AND(ISNUMBER($Q862),ISNUMBER($R862)),IF($R862&lt;&gt;0,$Q862/$R862,""),"")</f>
        <v/>
      </c>
      <c r="AG862" s="71" t="str">
        <f>IF($G862="","",IF($AL862=1,"OVERDUE",IF($AM862=1,"BLOCKED",IF($AN862=1,"DUE TODAY",IF($AO862=1,"DUE TOMORROW",IF($AQ862=1,"HIGH PRIORITY",IF($AR862=1,"NO RECENT UPDATE",""))))))) </f>
        <v/>
      </c>
      <c r="AH862" s="71" t="str">
        <f>IF($G862="","",IF(ISNUMBER($A862),IF(ISNUMBER($A862),YEAR($A862)&amp;"-"&amp;TEXT(MONTH($A862),"00"),""),IF(ISNUMBER($L862),IF(ISNUMBER($L862),YEAR($L862)&amp;"-"&amp;TEXT(MONTH($L862),"00"),""),"")))</f>
        <v/>
      </c>
      <c r="AI862" s="71">
        <f>IF($G862="",0,IF(AND(OR(fClient="All",$C862=fClient),OR(fCampaign="All",$D862=fCampaign),OR(fTeam="All",$B862=fTeam),OR(fChannel="All",$F862=fChannel),OR(fMonth="All",$AH862=fMonth),OR(fTStatus="All",$M862=fTStatus)),1,0))</f>
        <v>0</v>
      </c>
      <c r="AJ862" s="71">
        <f>IF($G862="",0,IF(AND(OR(fClient="All",$C862=fClient),OR(fCampaign="All",$D862=fCampaign),OR(fTeam="All",$B862=fTeam),OR(fChannel="All",$F862=fChannel)),1,0))</f>
        <v>0</v>
      </c>
      <c r="AK862" s="71">
        <f>IF($G862="",0,IF(OR($M862="Completed",$M862="Cancelled"),0,1))</f>
        <v>0</v>
      </c>
      <c r="AL862" s="71">
        <f>IF(AND($AK862=1,ISNUMBER($L862)),IF($L862&lt;ReportDate,1,0),0)</f>
        <v>0</v>
      </c>
      <c r="AM862" s="71">
        <f>IF(AND($G862&lt;&gt;"",$M862="Blocked"),1,0)</f>
        <v>0</v>
      </c>
      <c r="AN862" s="71">
        <f>IF(AND($AK862=1,ISNUMBER($L862)),IF($L862=ReportDate,1,0),0)</f>
        <v>0</v>
      </c>
      <c r="AO862" s="71">
        <f>IF(AND($AK862=1,ISNUMBER($L862)),IF($L862=ReportDate+1,1,0),0)</f>
        <v>0</v>
      </c>
      <c r="AP862" s="71">
        <f>IF(AND($AK862=1,ISNUMBER($L862)),IF(AND($L862&gt;=ReportDate,$L862&lt;=ReportDate+DueSoonDays),1,0),0)</f>
        <v>0</v>
      </c>
      <c r="AQ862" s="71">
        <f>IF(AND($AK862=1,OR($I862="Critical",$I862="High")),1,0)</f>
        <v>0</v>
      </c>
      <c r="AR862" s="71">
        <f>IF($AK862=1,IF(ISNUMBER($Y862),IF(ReportDate-$Y862&gt;StaleDays,1,0),1),0)</f>
        <v>0</v>
      </c>
      <c r="AS862" s="71">
        <f>IF(AND($G862&lt;&gt;"",ISNUMBER($Q862),ISNUMBER($R862)),IF(AND($Q862&lt;$R862,OR($M862="Completed",AND(ISNUMBER($L862),$L862&lt;ReportDate))),1,0),0)</f>
        <v>0</v>
      </c>
      <c r="AT862" s="71">
        <f>IF($AK862=1,IF(OR($L862=ReportDate,$W862=ReportDate,$K862=ReportDate,$A862=ReportDate),1,0),0)</f>
        <v>0</v>
      </c>
      <c r="AU862" s="71">
        <f>IF($AK862=1,IF(OR($L862=ReportDate+1,$W862=ReportDate+1,$K862=ReportDate+1,$A862=ReportDate+1),1,0),0)</f>
        <v>0</v>
      </c>
      <c r="AV862" s="71">
        <f>IF(AND($G862&lt;&gt;"",$M862="Completed"),IF(OR($Y862=ReportDate-1,$A862=ReportDate-1),1,0),0)</f>
        <v>0</v>
      </c>
      <c r="AW862" s="71">
        <f>IF(AND($AK862=1,$Z862="Yes"),1,0)</f>
        <v>0</v>
      </c>
      <c r="AX862" s="71">
        <f>IF(AND($AK862=1,$AA862="Yes"),1,0)</f>
        <v>0</v>
      </c>
      <c r="AY862" s="71">
        <f>IF(AND($AM862=1,OR($I862="Critical",$I862="High")),1,0)</f>
        <v>0</v>
      </c>
      <c r="AZ862" s="71">
        <f>IF(AND($AK862=1,OR($C862=TCL_Client,$C862=MECCA_Client)),1,0)</f>
        <v>0</v>
      </c>
      <c r="BA862" s="71" t="str">
        <f>IF($G862="","",IFERROR(MATCH($I862,lst_Priority,0),5))</f>
        <v/>
      </c>
      <c r="BB862" s="71" t="str">
        <f>IF(AND($AL862=1,$AJ862=1),$BA862*100000+ROW(),"")</f>
        <v/>
      </c>
      <c r="BC862" s="71" t="str">
        <f>IF(AND($AM862=1,$AJ862=1),$BA862*100000+ROW(),"")</f>
        <v/>
      </c>
      <c r="BD862" s="71" t="str">
        <f>IF(AND($AP862=1,$AJ862=1),$BA862*100000+ROW(),"")</f>
        <v/>
      </c>
      <c r="BE862" s="71" t="str">
        <f>IF(AND($AT862=1,$AJ862=1),$BA862*100000+ROW(),"")</f>
        <v/>
      </c>
      <c r="BF862" s="71" t="str">
        <f>IF(AND($AU862=1,$AJ862=1),$BA862*100000+ROW(),"")</f>
        <v/>
      </c>
      <c r="BG862" s="71" t="str">
        <f>IF(AND($AV862=1,$AJ862=1),$BA862*100000+ROW(),"")</f>
        <v/>
      </c>
      <c r="BH862" s="71" t="str">
        <f>IF(AND($AW862=1,$AJ862=1),$BA862*100000+ROW(),"")</f>
        <v/>
      </c>
      <c r="BI862" s="71" t="str">
        <f>IF(AND($AX862=1,$AJ862=1),$BA862*100000+ROW(),"")</f>
        <v/>
      </c>
      <c r="BJ862" s="71" t="str">
        <f>IF(AND($AS862=1,$AJ862=1),$BA862*100000+ROW(),"")</f>
        <v/>
      </c>
      <c r="BK862" s="71" t="str">
        <f>IF(AND($AY862=1,$AJ862=1),$BA862*100000+ROW(),"")</f>
        <v/>
      </c>
      <c r="BL862" s="71" t="str">
        <f>IF(AND($AZ862=1),$BA862*100000+ROW(),"")</f>
        <v/>
      </c>
    </row>
    <row r="863">
      <c r="A863" s="63" t="n"/>
      <c r="B863" s="64" t="n"/>
      <c r="C863" s="64" t="n"/>
      <c r="D863" s="64" t="n"/>
      <c r="E863" s="64" t="n"/>
      <c r="F863" s="64" t="n"/>
      <c r="G863" s="65" t="n"/>
      <c r="H863" s="65" t="n"/>
      <c r="I863" s="64" t="n"/>
      <c r="J863" s="64" t="n"/>
      <c r="K863" s="63" t="n"/>
      <c r="L863" s="63" t="n"/>
      <c r="M863" s="64" t="n"/>
      <c r="N863" s="66" t="n"/>
      <c r="O863" s="65" t="n"/>
      <c r="P863" s="64" t="n"/>
      <c r="Q863" s="67" t="n"/>
      <c r="R863" s="67" t="n"/>
      <c r="S863" s="68" t="str">
        <f>IF(AND(ISNUMBER($Q863),ISNUMBER($R863)),$Q863-$R863,"")</f>
        <v/>
      </c>
      <c r="T863" s="65" t="n"/>
      <c r="U863" s="64" t="n"/>
      <c r="V863" s="65" t="n"/>
      <c r="W863" s="63" t="n"/>
      <c r="X863" s="65" t="n"/>
      <c r="Y863" s="63" t="n"/>
      <c r="Z863" s="64" t="n"/>
      <c r="AA863" s="64" t="n"/>
      <c r="AB863" s="65" t="n"/>
      <c r="AC863" s="69" t="str">
        <f>IF(OR($G863="",NOT(ISNUMBER($K863)),$AK863=0),"",MAX(0,ReportDate-$K863))</f>
        <v/>
      </c>
      <c r="AD863" s="69" t="str">
        <f>IF($G863="","",IF($AL863=1,ReportDate-$L863,0))</f>
        <v/>
      </c>
      <c r="AE863" s="70" t="str">
        <f>IF($G863="","",IF($M863="Completed",1,IF(ISNUMBER($N863),$N863,0)))</f>
        <v/>
      </c>
      <c r="AF863" s="70" t="str">
        <f>IF(AND(ISNUMBER($Q863),ISNUMBER($R863)),IF($R863&lt;&gt;0,$Q863/$R863,""),"")</f>
        <v/>
      </c>
      <c r="AG863" s="71" t="str">
        <f>IF($G863="","",IF($AL863=1,"OVERDUE",IF($AM863=1,"BLOCKED",IF($AN863=1,"DUE TODAY",IF($AO863=1,"DUE TOMORROW",IF($AQ863=1,"HIGH PRIORITY",IF($AR863=1,"NO RECENT UPDATE",""))))))) </f>
        <v/>
      </c>
      <c r="AH863" s="71" t="str">
        <f>IF($G863="","",IF(ISNUMBER($A863),IF(ISNUMBER($A863),YEAR($A863)&amp;"-"&amp;TEXT(MONTH($A863),"00"),""),IF(ISNUMBER($L863),IF(ISNUMBER($L863),YEAR($L863)&amp;"-"&amp;TEXT(MONTH($L863),"00"),""),"")))</f>
        <v/>
      </c>
      <c r="AI863" s="71">
        <f>IF($G863="",0,IF(AND(OR(fClient="All",$C863=fClient),OR(fCampaign="All",$D863=fCampaign),OR(fTeam="All",$B863=fTeam),OR(fChannel="All",$F863=fChannel),OR(fMonth="All",$AH863=fMonth),OR(fTStatus="All",$M863=fTStatus)),1,0))</f>
        <v>0</v>
      </c>
      <c r="AJ863" s="71">
        <f>IF($G863="",0,IF(AND(OR(fClient="All",$C863=fClient),OR(fCampaign="All",$D863=fCampaign),OR(fTeam="All",$B863=fTeam),OR(fChannel="All",$F863=fChannel)),1,0))</f>
        <v>0</v>
      </c>
      <c r="AK863" s="71">
        <f>IF($G863="",0,IF(OR($M863="Completed",$M863="Cancelled"),0,1))</f>
        <v>0</v>
      </c>
      <c r="AL863" s="71">
        <f>IF(AND($AK863=1,ISNUMBER($L863)),IF($L863&lt;ReportDate,1,0),0)</f>
        <v>0</v>
      </c>
      <c r="AM863" s="71">
        <f>IF(AND($G863&lt;&gt;"",$M863="Blocked"),1,0)</f>
        <v>0</v>
      </c>
      <c r="AN863" s="71">
        <f>IF(AND($AK863=1,ISNUMBER($L863)),IF($L863=ReportDate,1,0),0)</f>
        <v>0</v>
      </c>
      <c r="AO863" s="71">
        <f>IF(AND($AK863=1,ISNUMBER($L863)),IF($L863=ReportDate+1,1,0),0)</f>
        <v>0</v>
      </c>
      <c r="AP863" s="71">
        <f>IF(AND($AK863=1,ISNUMBER($L863)),IF(AND($L863&gt;=ReportDate,$L863&lt;=ReportDate+DueSoonDays),1,0),0)</f>
        <v>0</v>
      </c>
      <c r="AQ863" s="71">
        <f>IF(AND($AK863=1,OR($I863="Critical",$I863="High")),1,0)</f>
        <v>0</v>
      </c>
      <c r="AR863" s="71">
        <f>IF($AK863=1,IF(ISNUMBER($Y863),IF(ReportDate-$Y863&gt;StaleDays,1,0),1),0)</f>
        <v>0</v>
      </c>
      <c r="AS863" s="71">
        <f>IF(AND($G863&lt;&gt;"",ISNUMBER($Q863),ISNUMBER($R863)),IF(AND($Q863&lt;$R863,OR($M863="Completed",AND(ISNUMBER($L863),$L863&lt;ReportDate))),1,0),0)</f>
        <v>0</v>
      </c>
      <c r="AT863" s="71">
        <f>IF($AK863=1,IF(OR($L863=ReportDate,$W863=ReportDate,$K863=ReportDate,$A863=ReportDate),1,0),0)</f>
        <v>0</v>
      </c>
      <c r="AU863" s="71">
        <f>IF($AK863=1,IF(OR($L863=ReportDate+1,$W863=ReportDate+1,$K863=ReportDate+1,$A863=ReportDate+1),1,0),0)</f>
        <v>0</v>
      </c>
      <c r="AV863" s="71">
        <f>IF(AND($G863&lt;&gt;"",$M863="Completed"),IF(OR($Y863=ReportDate-1,$A863=ReportDate-1),1,0),0)</f>
        <v>0</v>
      </c>
      <c r="AW863" s="71">
        <f>IF(AND($AK863=1,$Z863="Yes"),1,0)</f>
        <v>0</v>
      </c>
      <c r="AX863" s="71">
        <f>IF(AND($AK863=1,$AA863="Yes"),1,0)</f>
        <v>0</v>
      </c>
      <c r="AY863" s="71">
        <f>IF(AND($AM863=1,OR($I863="Critical",$I863="High")),1,0)</f>
        <v>0</v>
      </c>
      <c r="AZ863" s="71">
        <f>IF(AND($AK863=1,OR($C863=TCL_Client,$C863=MECCA_Client)),1,0)</f>
        <v>0</v>
      </c>
      <c r="BA863" s="71" t="str">
        <f>IF($G863="","",IFERROR(MATCH($I863,lst_Priority,0),5))</f>
        <v/>
      </c>
      <c r="BB863" s="71" t="str">
        <f>IF(AND($AL863=1,$AJ863=1),$BA863*100000+ROW(),"")</f>
        <v/>
      </c>
      <c r="BC863" s="71" t="str">
        <f>IF(AND($AM863=1,$AJ863=1),$BA863*100000+ROW(),"")</f>
        <v/>
      </c>
      <c r="BD863" s="71" t="str">
        <f>IF(AND($AP863=1,$AJ863=1),$BA863*100000+ROW(),"")</f>
        <v/>
      </c>
      <c r="BE863" s="71" t="str">
        <f>IF(AND($AT863=1,$AJ863=1),$BA863*100000+ROW(),"")</f>
        <v/>
      </c>
      <c r="BF863" s="71" t="str">
        <f>IF(AND($AU863=1,$AJ863=1),$BA863*100000+ROW(),"")</f>
        <v/>
      </c>
      <c r="BG863" s="71" t="str">
        <f>IF(AND($AV863=1,$AJ863=1),$BA863*100000+ROW(),"")</f>
        <v/>
      </c>
      <c r="BH863" s="71" t="str">
        <f>IF(AND($AW863=1,$AJ863=1),$BA863*100000+ROW(),"")</f>
        <v/>
      </c>
      <c r="BI863" s="71" t="str">
        <f>IF(AND($AX863=1,$AJ863=1),$BA863*100000+ROW(),"")</f>
        <v/>
      </c>
      <c r="BJ863" s="71" t="str">
        <f>IF(AND($AS863=1,$AJ863=1),$BA863*100000+ROW(),"")</f>
        <v/>
      </c>
      <c r="BK863" s="71" t="str">
        <f>IF(AND($AY863=1,$AJ863=1),$BA863*100000+ROW(),"")</f>
        <v/>
      </c>
      <c r="BL863" s="71" t="str">
        <f>IF(AND($AZ863=1),$BA863*100000+ROW(),"")</f>
        <v/>
      </c>
    </row>
    <row r="864">
      <c r="A864" s="63" t="n"/>
      <c r="B864" s="64" t="n"/>
      <c r="C864" s="64" t="n"/>
      <c r="D864" s="64" t="n"/>
      <c r="E864" s="64" t="n"/>
      <c r="F864" s="64" t="n"/>
      <c r="G864" s="65" t="n"/>
      <c r="H864" s="65" t="n"/>
      <c r="I864" s="64" t="n"/>
      <c r="J864" s="64" t="n"/>
      <c r="K864" s="63" t="n"/>
      <c r="L864" s="63" t="n"/>
      <c r="M864" s="64" t="n"/>
      <c r="N864" s="66" t="n"/>
      <c r="O864" s="65" t="n"/>
      <c r="P864" s="64" t="n"/>
      <c r="Q864" s="67" t="n"/>
      <c r="R864" s="67" t="n"/>
      <c r="S864" s="68" t="str">
        <f>IF(AND(ISNUMBER($Q864),ISNUMBER($R864)),$Q864-$R864,"")</f>
        <v/>
      </c>
      <c r="T864" s="65" t="n"/>
      <c r="U864" s="64" t="n"/>
      <c r="V864" s="65" t="n"/>
      <c r="W864" s="63" t="n"/>
      <c r="X864" s="65" t="n"/>
      <c r="Y864" s="63" t="n"/>
      <c r="Z864" s="64" t="n"/>
      <c r="AA864" s="64" t="n"/>
      <c r="AB864" s="65" t="n"/>
      <c r="AC864" s="69" t="str">
        <f>IF(OR($G864="",NOT(ISNUMBER($K864)),$AK864=0),"",MAX(0,ReportDate-$K864))</f>
        <v/>
      </c>
      <c r="AD864" s="69" t="str">
        <f>IF($G864="","",IF($AL864=1,ReportDate-$L864,0))</f>
        <v/>
      </c>
      <c r="AE864" s="70" t="str">
        <f>IF($G864="","",IF($M864="Completed",1,IF(ISNUMBER($N864),$N864,0)))</f>
        <v/>
      </c>
      <c r="AF864" s="70" t="str">
        <f>IF(AND(ISNUMBER($Q864),ISNUMBER($R864)),IF($R864&lt;&gt;0,$Q864/$R864,""),"")</f>
        <v/>
      </c>
      <c r="AG864" s="71" t="str">
        <f>IF($G864="","",IF($AL864=1,"OVERDUE",IF($AM864=1,"BLOCKED",IF($AN864=1,"DUE TODAY",IF($AO864=1,"DUE TOMORROW",IF($AQ864=1,"HIGH PRIORITY",IF($AR864=1,"NO RECENT UPDATE",""))))))) </f>
        <v/>
      </c>
      <c r="AH864" s="71" t="str">
        <f>IF($G864="","",IF(ISNUMBER($A864),IF(ISNUMBER($A864),YEAR($A864)&amp;"-"&amp;TEXT(MONTH($A864),"00"),""),IF(ISNUMBER($L864),IF(ISNUMBER($L864),YEAR($L864)&amp;"-"&amp;TEXT(MONTH($L864),"00"),""),"")))</f>
        <v/>
      </c>
      <c r="AI864" s="71">
        <f>IF($G864="",0,IF(AND(OR(fClient="All",$C864=fClient),OR(fCampaign="All",$D864=fCampaign),OR(fTeam="All",$B864=fTeam),OR(fChannel="All",$F864=fChannel),OR(fMonth="All",$AH864=fMonth),OR(fTStatus="All",$M864=fTStatus)),1,0))</f>
        <v>0</v>
      </c>
      <c r="AJ864" s="71">
        <f>IF($G864="",0,IF(AND(OR(fClient="All",$C864=fClient),OR(fCampaign="All",$D864=fCampaign),OR(fTeam="All",$B864=fTeam),OR(fChannel="All",$F864=fChannel)),1,0))</f>
        <v>0</v>
      </c>
      <c r="AK864" s="71">
        <f>IF($G864="",0,IF(OR($M864="Completed",$M864="Cancelled"),0,1))</f>
        <v>0</v>
      </c>
      <c r="AL864" s="71">
        <f>IF(AND($AK864=1,ISNUMBER($L864)),IF($L864&lt;ReportDate,1,0),0)</f>
        <v>0</v>
      </c>
      <c r="AM864" s="71">
        <f>IF(AND($G864&lt;&gt;"",$M864="Blocked"),1,0)</f>
        <v>0</v>
      </c>
      <c r="AN864" s="71">
        <f>IF(AND($AK864=1,ISNUMBER($L864)),IF($L864=ReportDate,1,0),0)</f>
        <v>0</v>
      </c>
      <c r="AO864" s="71">
        <f>IF(AND($AK864=1,ISNUMBER($L864)),IF($L864=ReportDate+1,1,0),0)</f>
        <v>0</v>
      </c>
      <c r="AP864" s="71">
        <f>IF(AND($AK864=1,ISNUMBER($L864)),IF(AND($L864&gt;=ReportDate,$L864&lt;=ReportDate+DueSoonDays),1,0),0)</f>
        <v>0</v>
      </c>
      <c r="AQ864" s="71">
        <f>IF(AND($AK864=1,OR($I864="Critical",$I864="High")),1,0)</f>
        <v>0</v>
      </c>
      <c r="AR864" s="71">
        <f>IF($AK864=1,IF(ISNUMBER($Y864),IF(ReportDate-$Y864&gt;StaleDays,1,0),1),0)</f>
        <v>0</v>
      </c>
      <c r="AS864" s="71">
        <f>IF(AND($G864&lt;&gt;"",ISNUMBER($Q864),ISNUMBER($R864)),IF(AND($Q864&lt;$R864,OR($M864="Completed",AND(ISNUMBER($L864),$L864&lt;ReportDate))),1,0),0)</f>
        <v>0</v>
      </c>
      <c r="AT864" s="71">
        <f>IF($AK864=1,IF(OR($L864=ReportDate,$W864=ReportDate,$K864=ReportDate,$A864=ReportDate),1,0),0)</f>
        <v>0</v>
      </c>
      <c r="AU864" s="71">
        <f>IF($AK864=1,IF(OR($L864=ReportDate+1,$W864=ReportDate+1,$K864=ReportDate+1,$A864=ReportDate+1),1,0),0)</f>
        <v>0</v>
      </c>
      <c r="AV864" s="71">
        <f>IF(AND($G864&lt;&gt;"",$M864="Completed"),IF(OR($Y864=ReportDate-1,$A864=ReportDate-1),1,0),0)</f>
        <v>0</v>
      </c>
      <c r="AW864" s="71">
        <f>IF(AND($AK864=1,$Z864="Yes"),1,0)</f>
        <v>0</v>
      </c>
      <c r="AX864" s="71">
        <f>IF(AND($AK864=1,$AA864="Yes"),1,0)</f>
        <v>0</v>
      </c>
      <c r="AY864" s="71">
        <f>IF(AND($AM864=1,OR($I864="Critical",$I864="High")),1,0)</f>
        <v>0</v>
      </c>
      <c r="AZ864" s="71">
        <f>IF(AND($AK864=1,OR($C864=TCL_Client,$C864=MECCA_Client)),1,0)</f>
        <v>0</v>
      </c>
      <c r="BA864" s="71" t="str">
        <f>IF($G864="","",IFERROR(MATCH($I864,lst_Priority,0),5))</f>
        <v/>
      </c>
      <c r="BB864" s="71" t="str">
        <f>IF(AND($AL864=1,$AJ864=1),$BA864*100000+ROW(),"")</f>
        <v/>
      </c>
      <c r="BC864" s="71" t="str">
        <f>IF(AND($AM864=1,$AJ864=1),$BA864*100000+ROW(),"")</f>
        <v/>
      </c>
      <c r="BD864" s="71" t="str">
        <f>IF(AND($AP864=1,$AJ864=1),$BA864*100000+ROW(),"")</f>
        <v/>
      </c>
      <c r="BE864" s="71" t="str">
        <f>IF(AND($AT864=1,$AJ864=1),$BA864*100000+ROW(),"")</f>
        <v/>
      </c>
      <c r="BF864" s="71" t="str">
        <f>IF(AND($AU864=1,$AJ864=1),$BA864*100000+ROW(),"")</f>
        <v/>
      </c>
      <c r="BG864" s="71" t="str">
        <f>IF(AND($AV864=1,$AJ864=1),$BA864*100000+ROW(),"")</f>
        <v/>
      </c>
      <c r="BH864" s="71" t="str">
        <f>IF(AND($AW864=1,$AJ864=1),$BA864*100000+ROW(),"")</f>
        <v/>
      </c>
      <c r="BI864" s="71" t="str">
        <f>IF(AND($AX864=1,$AJ864=1),$BA864*100000+ROW(),"")</f>
        <v/>
      </c>
      <c r="BJ864" s="71" t="str">
        <f>IF(AND($AS864=1,$AJ864=1),$BA864*100000+ROW(),"")</f>
        <v/>
      </c>
      <c r="BK864" s="71" t="str">
        <f>IF(AND($AY864=1,$AJ864=1),$BA864*100000+ROW(),"")</f>
        <v/>
      </c>
      <c r="BL864" s="71" t="str">
        <f>IF(AND($AZ864=1),$BA864*100000+ROW(),"")</f>
        <v/>
      </c>
    </row>
    <row r="865">
      <c r="A865" s="63" t="n"/>
      <c r="B865" s="64" t="n"/>
      <c r="C865" s="64" t="n"/>
      <c r="D865" s="64" t="n"/>
      <c r="E865" s="64" t="n"/>
      <c r="F865" s="64" t="n"/>
      <c r="G865" s="65" t="n"/>
      <c r="H865" s="65" t="n"/>
      <c r="I865" s="64" t="n"/>
      <c r="J865" s="64" t="n"/>
      <c r="K865" s="63" t="n"/>
      <c r="L865" s="63" t="n"/>
      <c r="M865" s="64" t="n"/>
      <c r="N865" s="66" t="n"/>
      <c r="O865" s="65" t="n"/>
      <c r="P865" s="64" t="n"/>
      <c r="Q865" s="67" t="n"/>
      <c r="R865" s="67" t="n"/>
      <c r="S865" s="68" t="str">
        <f>IF(AND(ISNUMBER($Q865),ISNUMBER($R865)),$Q865-$R865,"")</f>
        <v/>
      </c>
      <c r="T865" s="65" t="n"/>
      <c r="U865" s="64" t="n"/>
      <c r="V865" s="65" t="n"/>
      <c r="W865" s="63" t="n"/>
      <c r="X865" s="65" t="n"/>
      <c r="Y865" s="63" t="n"/>
      <c r="Z865" s="64" t="n"/>
      <c r="AA865" s="64" t="n"/>
      <c r="AB865" s="65" t="n"/>
      <c r="AC865" s="69" t="str">
        <f>IF(OR($G865="",NOT(ISNUMBER($K865)),$AK865=0),"",MAX(0,ReportDate-$K865))</f>
        <v/>
      </c>
      <c r="AD865" s="69" t="str">
        <f>IF($G865="","",IF($AL865=1,ReportDate-$L865,0))</f>
        <v/>
      </c>
      <c r="AE865" s="70" t="str">
        <f>IF($G865="","",IF($M865="Completed",1,IF(ISNUMBER($N865),$N865,0)))</f>
        <v/>
      </c>
      <c r="AF865" s="70" t="str">
        <f>IF(AND(ISNUMBER($Q865),ISNUMBER($R865)),IF($R865&lt;&gt;0,$Q865/$R865,""),"")</f>
        <v/>
      </c>
      <c r="AG865" s="71" t="str">
        <f>IF($G865="","",IF($AL865=1,"OVERDUE",IF($AM865=1,"BLOCKED",IF($AN865=1,"DUE TODAY",IF($AO865=1,"DUE TOMORROW",IF($AQ865=1,"HIGH PRIORITY",IF($AR865=1,"NO RECENT UPDATE",""))))))) </f>
        <v/>
      </c>
      <c r="AH865" s="71" t="str">
        <f>IF($G865="","",IF(ISNUMBER($A865),IF(ISNUMBER($A865),YEAR($A865)&amp;"-"&amp;TEXT(MONTH($A865),"00"),""),IF(ISNUMBER($L865),IF(ISNUMBER($L865),YEAR($L865)&amp;"-"&amp;TEXT(MONTH($L865),"00"),""),"")))</f>
        <v/>
      </c>
      <c r="AI865" s="71">
        <f>IF($G865="",0,IF(AND(OR(fClient="All",$C865=fClient),OR(fCampaign="All",$D865=fCampaign),OR(fTeam="All",$B865=fTeam),OR(fChannel="All",$F865=fChannel),OR(fMonth="All",$AH865=fMonth),OR(fTStatus="All",$M865=fTStatus)),1,0))</f>
        <v>0</v>
      </c>
      <c r="AJ865" s="71">
        <f>IF($G865="",0,IF(AND(OR(fClient="All",$C865=fClient),OR(fCampaign="All",$D865=fCampaign),OR(fTeam="All",$B865=fTeam),OR(fChannel="All",$F865=fChannel)),1,0))</f>
        <v>0</v>
      </c>
      <c r="AK865" s="71">
        <f>IF($G865="",0,IF(OR($M865="Completed",$M865="Cancelled"),0,1))</f>
        <v>0</v>
      </c>
      <c r="AL865" s="71">
        <f>IF(AND($AK865=1,ISNUMBER($L865)),IF($L865&lt;ReportDate,1,0),0)</f>
        <v>0</v>
      </c>
      <c r="AM865" s="71">
        <f>IF(AND($G865&lt;&gt;"",$M865="Blocked"),1,0)</f>
        <v>0</v>
      </c>
      <c r="AN865" s="71">
        <f>IF(AND($AK865=1,ISNUMBER($L865)),IF($L865=ReportDate,1,0),0)</f>
        <v>0</v>
      </c>
      <c r="AO865" s="71">
        <f>IF(AND($AK865=1,ISNUMBER($L865)),IF($L865=ReportDate+1,1,0),0)</f>
        <v>0</v>
      </c>
      <c r="AP865" s="71">
        <f>IF(AND($AK865=1,ISNUMBER($L865)),IF(AND($L865&gt;=ReportDate,$L865&lt;=ReportDate+DueSoonDays),1,0),0)</f>
        <v>0</v>
      </c>
      <c r="AQ865" s="71">
        <f>IF(AND($AK865=1,OR($I865="Critical",$I865="High")),1,0)</f>
        <v>0</v>
      </c>
      <c r="AR865" s="71">
        <f>IF($AK865=1,IF(ISNUMBER($Y865),IF(ReportDate-$Y865&gt;StaleDays,1,0),1),0)</f>
        <v>0</v>
      </c>
      <c r="AS865" s="71">
        <f>IF(AND($G865&lt;&gt;"",ISNUMBER($Q865),ISNUMBER($R865)),IF(AND($Q865&lt;$R865,OR($M865="Completed",AND(ISNUMBER($L865),$L865&lt;ReportDate))),1,0),0)</f>
        <v>0</v>
      </c>
      <c r="AT865" s="71">
        <f>IF($AK865=1,IF(OR($L865=ReportDate,$W865=ReportDate,$K865=ReportDate,$A865=ReportDate),1,0),0)</f>
        <v>0</v>
      </c>
      <c r="AU865" s="71">
        <f>IF($AK865=1,IF(OR($L865=ReportDate+1,$W865=ReportDate+1,$K865=ReportDate+1,$A865=ReportDate+1),1,0),0)</f>
        <v>0</v>
      </c>
      <c r="AV865" s="71">
        <f>IF(AND($G865&lt;&gt;"",$M865="Completed"),IF(OR($Y865=ReportDate-1,$A865=ReportDate-1),1,0),0)</f>
        <v>0</v>
      </c>
      <c r="AW865" s="71">
        <f>IF(AND($AK865=1,$Z865="Yes"),1,0)</f>
        <v>0</v>
      </c>
      <c r="AX865" s="71">
        <f>IF(AND($AK865=1,$AA865="Yes"),1,0)</f>
        <v>0</v>
      </c>
      <c r="AY865" s="71">
        <f>IF(AND($AM865=1,OR($I865="Critical",$I865="High")),1,0)</f>
        <v>0</v>
      </c>
      <c r="AZ865" s="71">
        <f>IF(AND($AK865=1,OR($C865=TCL_Client,$C865=MECCA_Client)),1,0)</f>
        <v>0</v>
      </c>
      <c r="BA865" s="71" t="str">
        <f>IF($G865="","",IFERROR(MATCH($I865,lst_Priority,0),5))</f>
        <v/>
      </c>
      <c r="BB865" s="71" t="str">
        <f>IF(AND($AL865=1,$AJ865=1),$BA865*100000+ROW(),"")</f>
        <v/>
      </c>
      <c r="BC865" s="71" t="str">
        <f>IF(AND($AM865=1,$AJ865=1),$BA865*100000+ROW(),"")</f>
        <v/>
      </c>
      <c r="BD865" s="71" t="str">
        <f>IF(AND($AP865=1,$AJ865=1),$BA865*100000+ROW(),"")</f>
        <v/>
      </c>
      <c r="BE865" s="71" t="str">
        <f>IF(AND($AT865=1,$AJ865=1),$BA865*100000+ROW(),"")</f>
        <v/>
      </c>
      <c r="BF865" s="71" t="str">
        <f>IF(AND($AU865=1,$AJ865=1),$BA865*100000+ROW(),"")</f>
        <v/>
      </c>
      <c r="BG865" s="71" t="str">
        <f>IF(AND($AV865=1,$AJ865=1),$BA865*100000+ROW(),"")</f>
        <v/>
      </c>
      <c r="BH865" s="71" t="str">
        <f>IF(AND($AW865=1,$AJ865=1),$BA865*100000+ROW(),"")</f>
        <v/>
      </c>
      <c r="BI865" s="71" t="str">
        <f>IF(AND($AX865=1,$AJ865=1),$BA865*100000+ROW(),"")</f>
        <v/>
      </c>
      <c r="BJ865" s="71" t="str">
        <f>IF(AND($AS865=1,$AJ865=1),$BA865*100000+ROW(),"")</f>
        <v/>
      </c>
      <c r="BK865" s="71" t="str">
        <f>IF(AND($AY865=1,$AJ865=1),$BA865*100000+ROW(),"")</f>
        <v/>
      </c>
      <c r="BL865" s="71" t="str">
        <f>IF(AND($AZ865=1),$BA865*100000+ROW(),"")</f>
        <v/>
      </c>
    </row>
    <row r="866">
      <c r="A866" s="63" t="n"/>
      <c r="B866" s="64" t="n"/>
      <c r="C866" s="64" t="n"/>
      <c r="D866" s="64" t="n"/>
      <c r="E866" s="64" t="n"/>
      <c r="F866" s="64" t="n"/>
      <c r="G866" s="65" t="n"/>
      <c r="H866" s="65" t="n"/>
      <c r="I866" s="64" t="n"/>
      <c r="J866" s="64" t="n"/>
      <c r="K866" s="63" t="n"/>
      <c r="L866" s="63" t="n"/>
      <c r="M866" s="64" t="n"/>
      <c r="N866" s="66" t="n"/>
      <c r="O866" s="65" t="n"/>
      <c r="P866" s="64" t="n"/>
      <c r="Q866" s="67" t="n"/>
      <c r="R866" s="67" t="n"/>
      <c r="S866" s="68" t="str">
        <f>IF(AND(ISNUMBER($Q866),ISNUMBER($R866)),$Q866-$R866,"")</f>
        <v/>
      </c>
      <c r="T866" s="65" t="n"/>
      <c r="U866" s="64" t="n"/>
      <c r="V866" s="65" t="n"/>
      <c r="W866" s="63" t="n"/>
      <c r="X866" s="65" t="n"/>
      <c r="Y866" s="63" t="n"/>
      <c r="Z866" s="64" t="n"/>
      <c r="AA866" s="64" t="n"/>
      <c r="AB866" s="65" t="n"/>
      <c r="AC866" s="69" t="str">
        <f>IF(OR($G866="",NOT(ISNUMBER($K866)),$AK866=0),"",MAX(0,ReportDate-$K866))</f>
        <v/>
      </c>
      <c r="AD866" s="69" t="str">
        <f>IF($G866="","",IF($AL866=1,ReportDate-$L866,0))</f>
        <v/>
      </c>
      <c r="AE866" s="70" t="str">
        <f>IF($G866="","",IF($M866="Completed",1,IF(ISNUMBER($N866),$N866,0)))</f>
        <v/>
      </c>
      <c r="AF866" s="70" t="str">
        <f>IF(AND(ISNUMBER($Q866),ISNUMBER($R866)),IF($R866&lt;&gt;0,$Q866/$R866,""),"")</f>
        <v/>
      </c>
      <c r="AG866" s="71" t="str">
        <f>IF($G866="","",IF($AL866=1,"OVERDUE",IF($AM866=1,"BLOCKED",IF($AN866=1,"DUE TODAY",IF($AO866=1,"DUE TOMORROW",IF($AQ866=1,"HIGH PRIORITY",IF($AR866=1,"NO RECENT UPDATE",""))))))) </f>
        <v/>
      </c>
      <c r="AH866" s="71" t="str">
        <f>IF($G866="","",IF(ISNUMBER($A866),IF(ISNUMBER($A866),YEAR($A866)&amp;"-"&amp;TEXT(MONTH($A866),"00"),""),IF(ISNUMBER($L866),IF(ISNUMBER($L866),YEAR($L866)&amp;"-"&amp;TEXT(MONTH($L866),"00"),""),"")))</f>
        <v/>
      </c>
      <c r="AI866" s="71">
        <f>IF($G866="",0,IF(AND(OR(fClient="All",$C866=fClient),OR(fCampaign="All",$D866=fCampaign),OR(fTeam="All",$B866=fTeam),OR(fChannel="All",$F866=fChannel),OR(fMonth="All",$AH866=fMonth),OR(fTStatus="All",$M866=fTStatus)),1,0))</f>
        <v>0</v>
      </c>
      <c r="AJ866" s="71">
        <f>IF($G866="",0,IF(AND(OR(fClient="All",$C866=fClient),OR(fCampaign="All",$D866=fCampaign),OR(fTeam="All",$B866=fTeam),OR(fChannel="All",$F866=fChannel)),1,0))</f>
        <v>0</v>
      </c>
      <c r="AK866" s="71">
        <f>IF($G866="",0,IF(OR($M866="Completed",$M866="Cancelled"),0,1))</f>
        <v>0</v>
      </c>
      <c r="AL866" s="71">
        <f>IF(AND($AK866=1,ISNUMBER($L866)),IF($L866&lt;ReportDate,1,0),0)</f>
        <v>0</v>
      </c>
      <c r="AM866" s="71">
        <f>IF(AND($G866&lt;&gt;"",$M866="Blocked"),1,0)</f>
        <v>0</v>
      </c>
      <c r="AN866" s="71">
        <f>IF(AND($AK866=1,ISNUMBER($L866)),IF($L866=ReportDate,1,0),0)</f>
        <v>0</v>
      </c>
      <c r="AO866" s="71">
        <f>IF(AND($AK866=1,ISNUMBER($L866)),IF($L866=ReportDate+1,1,0),0)</f>
        <v>0</v>
      </c>
      <c r="AP866" s="71">
        <f>IF(AND($AK866=1,ISNUMBER($L866)),IF(AND($L866&gt;=ReportDate,$L866&lt;=ReportDate+DueSoonDays),1,0),0)</f>
        <v>0</v>
      </c>
      <c r="AQ866" s="71">
        <f>IF(AND($AK866=1,OR($I866="Critical",$I866="High")),1,0)</f>
        <v>0</v>
      </c>
      <c r="AR866" s="71">
        <f>IF($AK866=1,IF(ISNUMBER($Y866),IF(ReportDate-$Y866&gt;StaleDays,1,0),1),0)</f>
        <v>0</v>
      </c>
      <c r="AS866" s="71">
        <f>IF(AND($G866&lt;&gt;"",ISNUMBER($Q866),ISNUMBER($R866)),IF(AND($Q866&lt;$R866,OR($M866="Completed",AND(ISNUMBER($L866),$L866&lt;ReportDate))),1,0),0)</f>
        <v>0</v>
      </c>
      <c r="AT866" s="71">
        <f>IF($AK866=1,IF(OR($L866=ReportDate,$W866=ReportDate,$K866=ReportDate,$A866=ReportDate),1,0),0)</f>
        <v>0</v>
      </c>
      <c r="AU866" s="71">
        <f>IF($AK866=1,IF(OR($L866=ReportDate+1,$W866=ReportDate+1,$K866=ReportDate+1,$A866=ReportDate+1),1,0),0)</f>
        <v>0</v>
      </c>
      <c r="AV866" s="71">
        <f>IF(AND($G866&lt;&gt;"",$M866="Completed"),IF(OR($Y866=ReportDate-1,$A866=ReportDate-1),1,0),0)</f>
        <v>0</v>
      </c>
      <c r="AW866" s="71">
        <f>IF(AND($AK866=1,$Z866="Yes"),1,0)</f>
        <v>0</v>
      </c>
      <c r="AX866" s="71">
        <f>IF(AND($AK866=1,$AA866="Yes"),1,0)</f>
        <v>0</v>
      </c>
      <c r="AY866" s="71">
        <f>IF(AND($AM866=1,OR($I866="Critical",$I866="High")),1,0)</f>
        <v>0</v>
      </c>
      <c r="AZ866" s="71">
        <f>IF(AND($AK866=1,OR($C866=TCL_Client,$C866=MECCA_Client)),1,0)</f>
        <v>0</v>
      </c>
      <c r="BA866" s="71" t="str">
        <f>IF($G866="","",IFERROR(MATCH($I866,lst_Priority,0),5))</f>
        <v/>
      </c>
      <c r="BB866" s="71" t="str">
        <f>IF(AND($AL866=1,$AJ866=1),$BA866*100000+ROW(),"")</f>
        <v/>
      </c>
      <c r="BC866" s="71" t="str">
        <f>IF(AND($AM866=1,$AJ866=1),$BA866*100000+ROW(),"")</f>
        <v/>
      </c>
      <c r="BD866" s="71" t="str">
        <f>IF(AND($AP866=1,$AJ866=1),$BA866*100000+ROW(),"")</f>
        <v/>
      </c>
      <c r="BE866" s="71" t="str">
        <f>IF(AND($AT866=1,$AJ866=1),$BA866*100000+ROW(),"")</f>
        <v/>
      </c>
      <c r="BF866" s="71" t="str">
        <f>IF(AND($AU866=1,$AJ866=1),$BA866*100000+ROW(),"")</f>
        <v/>
      </c>
      <c r="BG866" s="71" t="str">
        <f>IF(AND($AV866=1,$AJ866=1),$BA866*100000+ROW(),"")</f>
        <v/>
      </c>
      <c r="BH866" s="71" t="str">
        <f>IF(AND($AW866=1,$AJ866=1),$BA866*100000+ROW(),"")</f>
        <v/>
      </c>
      <c r="BI866" s="71" t="str">
        <f>IF(AND($AX866=1,$AJ866=1),$BA866*100000+ROW(),"")</f>
        <v/>
      </c>
      <c r="BJ866" s="71" t="str">
        <f>IF(AND($AS866=1,$AJ866=1),$BA866*100000+ROW(),"")</f>
        <v/>
      </c>
      <c r="BK866" s="71" t="str">
        <f>IF(AND($AY866=1,$AJ866=1),$BA866*100000+ROW(),"")</f>
        <v/>
      </c>
      <c r="BL866" s="71" t="str">
        <f>IF(AND($AZ866=1),$BA866*100000+ROW(),"")</f>
        <v/>
      </c>
    </row>
    <row r="867">
      <c r="A867" s="63" t="n"/>
      <c r="B867" s="64" t="n"/>
      <c r="C867" s="64" t="n"/>
      <c r="D867" s="64" t="n"/>
      <c r="E867" s="64" t="n"/>
      <c r="F867" s="64" t="n"/>
      <c r="G867" s="65" t="n"/>
      <c r="H867" s="65" t="n"/>
      <c r="I867" s="64" t="n"/>
      <c r="J867" s="64" t="n"/>
      <c r="K867" s="63" t="n"/>
      <c r="L867" s="63" t="n"/>
      <c r="M867" s="64" t="n"/>
      <c r="N867" s="66" t="n"/>
      <c r="O867" s="65" t="n"/>
      <c r="P867" s="64" t="n"/>
      <c r="Q867" s="67" t="n"/>
      <c r="R867" s="67" t="n"/>
      <c r="S867" s="68" t="str">
        <f>IF(AND(ISNUMBER($Q867),ISNUMBER($R867)),$Q867-$R867,"")</f>
        <v/>
      </c>
      <c r="T867" s="65" t="n"/>
      <c r="U867" s="64" t="n"/>
      <c r="V867" s="65" t="n"/>
      <c r="W867" s="63" t="n"/>
      <c r="X867" s="65" t="n"/>
      <c r="Y867" s="63" t="n"/>
      <c r="Z867" s="64" t="n"/>
      <c r="AA867" s="64" t="n"/>
      <c r="AB867" s="65" t="n"/>
      <c r="AC867" s="69" t="str">
        <f>IF(OR($G867="",NOT(ISNUMBER($K867)),$AK867=0),"",MAX(0,ReportDate-$K867))</f>
        <v/>
      </c>
      <c r="AD867" s="69" t="str">
        <f>IF($G867="","",IF($AL867=1,ReportDate-$L867,0))</f>
        <v/>
      </c>
      <c r="AE867" s="70" t="str">
        <f>IF($G867="","",IF($M867="Completed",1,IF(ISNUMBER($N867),$N867,0)))</f>
        <v/>
      </c>
      <c r="AF867" s="70" t="str">
        <f>IF(AND(ISNUMBER($Q867),ISNUMBER($R867)),IF($R867&lt;&gt;0,$Q867/$R867,""),"")</f>
        <v/>
      </c>
      <c r="AG867" s="71" t="str">
        <f>IF($G867="","",IF($AL867=1,"OVERDUE",IF($AM867=1,"BLOCKED",IF($AN867=1,"DUE TODAY",IF($AO867=1,"DUE TOMORROW",IF($AQ867=1,"HIGH PRIORITY",IF($AR867=1,"NO RECENT UPDATE",""))))))) </f>
        <v/>
      </c>
      <c r="AH867" s="71" t="str">
        <f>IF($G867="","",IF(ISNUMBER($A867),IF(ISNUMBER($A867),YEAR($A867)&amp;"-"&amp;TEXT(MONTH($A867),"00"),""),IF(ISNUMBER($L867),IF(ISNUMBER($L867),YEAR($L867)&amp;"-"&amp;TEXT(MONTH($L867),"00"),""),"")))</f>
        <v/>
      </c>
      <c r="AI867" s="71">
        <f>IF($G867="",0,IF(AND(OR(fClient="All",$C867=fClient),OR(fCampaign="All",$D867=fCampaign),OR(fTeam="All",$B867=fTeam),OR(fChannel="All",$F867=fChannel),OR(fMonth="All",$AH867=fMonth),OR(fTStatus="All",$M867=fTStatus)),1,0))</f>
        <v>0</v>
      </c>
      <c r="AJ867" s="71">
        <f>IF($G867="",0,IF(AND(OR(fClient="All",$C867=fClient),OR(fCampaign="All",$D867=fCampaign),OR(fTeam="All",$B867=fTeam),OR(fChannel="All",$F867=fChannel)),1,0))</f>
        <v>0</v>
      </c>
      <c r="AK867" s="71">
        <f>IF($G867="",0,IF(OR($M867="Completed",$M867="Cancelled"),0,1))</f>
        <v>0</v>
      </c>
      <c r="AL867" s="71">
        <f>IF(AND($AK867=1,ISNUMBER($L867)),IF($L867&lt;ReportDate,1,0),0)</f>
        <v>0</v>
      </c>
      <c r="AM867" s="71">
        <f>IF(AND($G867&lt;&gt;"",$M867="Blocked"),1,0)</f>
        <v>0</v>
      </c>
      <c r="AN867" s="71">
        <f>IF(AND($AK867=1,ISNUMBER($L867)),IF($L867=ReportDate,1,0),0)</f>
        <v>0</v>
      </c>
      <c r="AO867" s="71">
        <f>IF(AND($AK867=1,ISNUMBER($L867)),IF($L867=ReportDate+1,1,0),0)</f>
        <v>0</v>
      </c>
      <c r="AP867" s="71">
        <f>IF(AND($AK867=1,ISNUMBER($L867)),IF(AND($L867&gt;=ReportDate,$L867&lt;=ReportDate+DueSoonDays),1,0),0)</f>
        <v>0</v>
      </c>
      <c r="AQ867" s="71">
        <f>IF(AND($AK867=1,OR($I867="Critical",$I867="High")),1,0)</f>
        <v>0</v>
      </c>
      <c r="AR867" s="71">
        <f>IF($AK867=1,IF(ISNUMBER($Y867),IF(ReportDate-$Y867&gt;StaleDays,1,0),1),0)</f>
        <v>0</v>
      </c>
      <c r="AS867" s="71">
        <f>IF(AND($G867&lt;&gt;"",ISNUMBER($Q867),ISNUMBER($R867)),IF(AND($Q867&lt;$R867,OR($M867="Completed",AND(ISNUMBER($L867),$L867&lt;ReportDate))),1,0),0)</f>
        <v>0</v>
      </c>
      <c r="AT867" s="71">
        <f>IF($AK867=1,IF(OR($L867=ReportDate,$W867=ReportDate,$K867=ReportDate,$A867=ReportDate),1,0),0)</f>
        <v>0</v>
      </c>
      <c r="AU867" s="71">
        <f>IF($AK867=1,IF(OR($L867=ReportDate+1,$W867=ReportDate+1,$K867=ReportDate+1,$A867=ReportDate+1),1,0),0)</f>
        <v>0</v>
      </c>
      <c r="AV867" s="71">
        <f>IF(AND($G867&lt;&gt;"",$M867="Completed"),IF(OR($Y867=ReportDate-1,$A867=ReportDate-1),1,0),0)</f>
        <v>0</v>
      </c>
      <c r="AW867" s="71">
        <f>IF(AND($AK867=1,$Z867="Yes"),1,0)</f>
        <v>0</v>
      </c>
      <c r="AX867" s="71">
        <f>IF(AND($AK867=1,$AA867="Yes"),1,0)</f>
        <v>0</v>
      </c>
      <c r="AY867" s="71">
        <f>IF(AND($AM867=1,OR($I867="Critical",$I867="High")),1,0)</f>
        <v>0</v>
      </c>
      <c r="AZ867" s="71">
        <f>IF(AND($AK867=1,OR($C867=TCL_Client,$C867=MECCA_Client)),1,0)</f>
        <v>0</v>
      </c>
      <c r="BA867" s="71" t="str">
        <f>IF($G867="","",IFERROR(MATCH($I867,lst_Priority,0),5))</f>
        <v/>
      </c>
      <c r="BB867" s="71" t="str">
        <f>IF(AND($AL867=1,$AJ867=1),$BA867*100000+ROW(),"")</f>
        <v/>
      </c>
      <c r="BC867" s="71" t="str">
        <f>IF(AND($AM867=1,$AJ867=1),$BA867*100000+ROW(),"")</f>
        <v/>
      </c>
      <c r="BD867" s="71" t="str">
        <f>IF(AND($AP867=1,$AJ867=1),$BA867*100000+ROW(),"")</f>
        <v/>
      </c>
      <c r="BE867" s="71" t="str">
        <f>IF(AND($AT867=1,$AJ867=1),$BA867*100000+ROW(),"")</f>
        <v/>
      </c>
      <c r="BF867" s="71" t="str">
        <f>IF(AND($AU867=1,$AJ867=1),$BA867*100000+ROW(),"")</f>
        <v/>
      </c>
      <c r="BG867" s="71" t="str">
        <f>IF(AND($AV867=1,$AJ867=1),$BA867*100000+ROW(),"")</f>
        <v/>
      </c>
      <c r="BH867" s="71" t="str">
        <f>IF(AND($AW867=1,$AJ867=1),$BA867*100000+ROW(),"")</f>
        <v/>
      </c>
      <c r="BI867" s="71" t="str">
        <f>IF(AND($AX867=1,$AJ867=1),$BA867*100000+ROW(),"")</f>
        <v/>
      </c>
      <c r="BJ867" s="71" t="str">
        <f>IF(AND($AS867=1,$AJ867=1),$BA867*100000+ROW(),"")</f>
        <v/>
      </c>
      <c r="BK867" s="71" t="str">
        <f>IF(AND($AY867=1,$AJ867=1),$BA867*100000+ROW(),"")</f>
        <v/>
      </c>
      <c r="BL867" s="71" t="str">
        <f>IF(AND($AZ867=1),$BA867*100000+ROW(),"")</f>
        <v/>
      </c>
    </row>
    <row r="868">
      <c r="A868" s="63" t="n"/>
      <c r="B868" s="64" t="n"/>
      <c r="C868" s="64" t="n"/>
      <c r="D868" s="64" t="n"/>
      <c r="E868" s="64" t="n"/>
      <c r="F868" s="64" t="n"/>
      <c r="G868" s="65" t="n"/>
      <c r="H868" s="65" t="n"/>
      <c r="I868" s="64" t="n"/>
      <c r="J868" s="64" t="n"/>
      <c r="K868" s="63" t="n"/>
      <c r="L868" s="63" t="n"/>
      <c r="M868" s="64" t="n"/>
      <c r="N868" s="66" t="n"/>
      <c r="O868" s="65" t="n"/>
      <c r="P868" s="64" t="n"/>
      <c r="Q868" s="67" t="n"/>
      <c r="R868" s="67" t="n"/>
      <c r="S868" s="68" t="str">
        <f>IF(AND(ISNUMBER($Q868),ISNUMBER($R868)),$Q868-$R868,"")</f>
        <v/>
      </c>
      <c r="T868" s="65" t="n"/>
      <c r="U868" s="64" t="n"/>
      <c r="V868" s="65" t="n"/>
      <c r="W868" s="63" t="n"/>
      <c r="X868" s="65" t="n"/>
      <c r="Y868" s="63" t="n"/>
      <c r="Z868" s="64" t="n"/>
      <c r="AA868" s="64" t="n"/>
      <c r="AB868" s="65" t="n"/>
      <c r="AC868" s="69" t="str">
        <f>IF(OR($G868="",NOT(ISNUMBER($K868)),$AK868=0),"",MAX(0,ReportDate-$K868))</f>
        <v/>
      </c>
      <c r="AD868" s="69" t="str">
        <f>IF($G868="","",IF($AL868=1,ReportDate-$L868,0))</f>
        <v/>
      </c>
      <c r="AE868" s="70" t="str">
        <f>IF($G868="","",IF($M868="Completed",1,IF(ISNUMBER($N868),$N868,0)))</f>
        <v/>
      </c>
      <c r="AF868" s="70" t="str">
        <f>IF(AND(ISNUMBER($Q868),ISNUMBER($R868)),IF($R868&lt;&gt;0,$Q868/$R868,""),"")</f>
        <v/>
      </c>
      <c r="AG868" s="71" t="str">
        <f>IF($G868="","",IF($AL868=1,"OVERDUE",IF($AM868=1,"BLOCKED",IF($AN868=1,"DUE TODAY",IF($AO868=1,"DUE TOMORROW",IF($AQ868=1,"HIGH PRIORITY",IF($AR868=1,"NO RECENT UPDATE",""))))))) </f>
        <v/>
      </c>
      <c r="AH868" s="71" t="str">
        <f>IF($G868="","",IF(ISNUMBER($A868),IF(ISNUMBER($A868),YEAR($A868)&amp;"-"&amp;TEXT(MONTH($A868),"00"),""),IF(ISNUMBER($L868),IF(ISNUMBER($L868),YEAR($L868)&amp;"-"&amp;TEXT(MONTH($L868),"00"),""),"")))</f>
        <v/>
      </c>
      <c r="AI868" s="71">
        <f>IF($G868="",0,IF(AND(OR(fClient="All",$C868=fClient),OR(fCampaign="All",$D868=fCampaign),OR(fTeam="All",$B868=fTeam),OR(fChannel="All",$F868=fChannel),OR(fMonth="All",$AH868=fMonth),OR(fTStatus="All",$M868=fTStatus)),1,0))</f>
        <v>0</v>
      </c>
      <c r="AJ868" s="71">
        <f>IF($G868="",0,IF(AND(OR(fClient="All",$C868=fClient),OR(fCampaign="All",$D868=fCampaign),OR(fTeam="All",$B868=fTeam),OR(fChannel="All",$F868=fChannel)),1,0))</f>
        <v>0</v>
      </c>
      <c r="AK868" s="71">
        <f>IF($G868="",0,IF(OR($M868="Completed",$M868="Cancelled"),0,1))</f>
        <v>0</v>
      </c>
      <c r="AL868" s="71">
        <f>IF(AND($AK868=1,ISNUMBER($L868)),IF($L868&lt;ReportDate,1,0),0)</f>
        <v>0</v>
      </c>
      <c r="AM868" s="71">
        <f>IF(AND($G868&lt;&gt;"",$M868="Blocked"),1,0)</f>
        <v>0</v>
      </c>
      <c r="AN868" s="71">
        <f>IF(AND($AK868=1,ISNUMBER($L868)),IF($L868=ReportDate,1,0),0)</f>
        <v>0</v>
      </c>
      <c r="AO868" s="71">
        <f>IF(AND($AK868=1,ISNUMBER($L868)),IF($L868=ReportDate+1,1,0),0)</f>
        <v>0</v>
      </c>
      <c r="AP868" s="71">
        <f>IF(AND($AK868=1,ISNUMBER($L868)),IF(AND($L868&gt;=ReportDate,$L868&lt;=ReportDate+DueSoonDays),1,0),0)</f>
        <v>0</v>
      </c>
      <c r="AQ868" s="71">
        <f>IF(AND($AK868=1,OR($I868="Critical",$I868="High")),1,0)</f>
        <v>0</v>
      </c>
      <c r="AR868" s="71">
        <f>IF($AK868=1,IF(ISNUMBER($Y868),IF(ReportDate-$Y868&gt;StaleDays,1,0),1),0)</f>
        <v>0</v>
      </c>
      <c r="AS868" s="71">
        <f>IF(AND($G868&lt;&gt;"",ISNUMBER($Q868),ISNUMBER($R868)),IF(AND($Q868&lt;$R868,OR($M868="Completed",AND(ISNUMBER($L868),$L868&lt;ReportDate))),1,0),0)</f>
        <v>0</v>
      </c>
      <c r="AT868" s="71">
        <f>IF($AK868=1,IF(OR($L868=ReportDate,$W868=ReportDate,$K868=ReportDate,$A868=ReportDate),1,0),0)</f>
        <v>0</v>
      </c>
      <c r="AU868" s="71">
        <f>IF($AK868=1,IF(OR($L868=ReportDate+1,$W868=ReportDate+1,$K868=ReportDate+1,$A868=ReportDate+1),1,0),0)</f>
        <v>0</v>
      </c>
      <c r="AV868" s="71">
        <f>IF(AND($G868&lt;&gt;"",$M868="Completed"),IF(OR($Y868=ReportDate-1,$A868=ReportDate-1),1,0),0)</f>
        <v>0</v>
      </c>
      <c r="AW868" s="71">
        <f>IF(AND($AK868=1,$Z868="Yes"),1,0)</f>
        <v>0</v>
      </c>
      <c r="AX868" s="71">
        <f>IF(AND($AK868=1,$AA868="Yes"),1,0)</f>
        <v>0</v>
      </c>
      <c r="AY868" s="71">
        <f>IF(AND($AM868=1,OR($I868="Critical",$I868="High")),1,0)</f>
        <v>0</v>
      </c>
      <c r="AZ868" s="71">
        <f>IF(AND($AK868=1,OR($C868=TCL_Client,$C868=MECCA_Client)),1,0)</f>
        <v>0</v>
      </c>
      <c r="BA868" s="71" t="str">
        <f>IF($G868="","",IFERROR(MATCH($I868,lst_Priority,0),5))</f>
        <v/>
      </c>
      <c r="BB868" s="71" t="str">
        <f>IF(AND($AL868=1,$AJ868=1),$BA868*100000+ROW(),"")</f>
        <v/>
      </c>
      <c r="BC868" s="71" t="str">
        <f>IF(AND($AM868=1,$AJ868=1),$BA868*100000+ROW(),"")</f>
        <v/>
      </c>
      <c r="BD868" s="71" t="str">
        <f>IF(AND($AP868=1,$AJ868=1),$BA868*100000+ROW(),"")</f>
        <v/>
      </c>
      <c r="BE868" s="71" t="str">
        <f>IF(AND($AT868=1,$AJ868=1),$BA868*100000+ROW(),"")</f>
        <v/>
      </c>
      <c r="BF868" s="71" t="str">
        <f>IF(AND($AU868=1,$AJ868=1),$BA868*100000+ROW(),"")</f>
        <v/>
      </c>
      <c r="BG868" s="71" t="str">
        <f>IF(AND($AV868=1,$AJ868=1),$BA868*100000+ROW(),"")</f>
        <v/>
      </c>
      <c r="BH868" s="71" t="str">
        <f>IF(AND($AW868=1,$AJ868=1),$BA868*100000+ROW(),"")</f>
        <v/>
      </c>
      <c r="BI868" s="71" t="str">
        <f>IF(AND($AX868=1,$AJ868=1),$BA868*100000+ROW(),"")</f>
        <v/>
      </c>
      <c r="BJ868" s="71" t="str">
        <f>IF(AND($AS868=1,$AJ868=1),$BA868*100000+ROW(),"")</f>
        <v/>
      </c>
      <c r="BK868" s="71" t="str">
        <f>IF(AND($AY868=1,$AJ868=1),$BA868*100000+ROW(),"")</f>
        <v/>
      </c>
      <c r="BL868" s="71" t="str">
        <f>IF(AND($AZ868=1),$BA868*100000+ROW(),"")</f>
        <v/>
      </c>
    </row>
    <row r="869">
      <c r="A869" s="63" t="n"/>
      <c r="B869" s="64" t="n"/>
      <c r="C869" s="64" t="n"/>
      <c r="D869" s="64" t="n"/>
      <c r="E869" s="64" t="n"/>
      <c r="F869" s="64" t="n"/>
      <c r="G869" s="65" t="n"/>
      <c r="H869" s="65" t="n"/>
      <c r="I869" s="64" t="n"/>
      <c r="J869" s="64" t="n"/>
      <c r="K869" s="63" t="n"/>
      <c r="L869" s="63" t="n"/>
      <c r="M869" s="64" t="n"/>
      <c r="N869" s="66" t="n"/>
      <c r="O869" s="65" t="n"/>
      <c r="P869" s="64" t="n"/>
      <c r="Q869" s="67" t="n"/>
      <c r="R869" s="67" t="n"/>
      <c r="S869" s="68" t="str">
        <f>IF(AND(ISNUMBER($Q869),ISNUMBER($R869)),$Q869-$R869,"")</f>
        <v/>
      </c>
      <c r="T869" s="65" t="n"/>
      <c r="U869" s="64" t="n"/>
      <c r="V869" s="65" t="n"/>
      <c r="W869" s="63" t="n"/>
      <c r="X869" s="65" t="n"/>
      <c r="Y869" s="63" t="n"/>
      <c r="Z869" s="64" t="n"/>
      <c r="AA869" s="64" t="n"/>
      <c r="AB869" s="65" t="n"/>
      <c r="AC869" s="69" t="str">
        <f>IF(OR($G869="",NOT(ISNUMBER($K869)),$AK869=0),"",MAX(0,ReportDate-$K869))</f>
        <v/>
      </c>
      <c r="AD869" s="69" t="str">
        <f>IF($G869="","",IF($AL869=1,ReportDate-$L869,0))</f>
        <v/>
      </c>
      <c r="AE869" s="70" t="str">
        <f>IF($G869="","",IF($M869="Completed",1,IF(ISNUMBER($N869),$N869,0)))</f>
        <v/>
      </c>
      <c r="AF869" s="70" t="str">
        <f>IF(AND(ISNUMBER($Q869),ISNUMBER($R869)),IF($R869&lt;&gt;0,$Q869/$R869,""),"")</f>
        <v/>
      </c>
      <c r="AG869" s="71" t="str">
        <f>IF($G869="","",IF($AL869=1,"OVERDUE",IF($AM869=1,"BLOCKED",IF($AN869=1,"DUE TODAY",IF($AO869=1,"DUE TOMORROW",IF($AQ869=1,"HIGH PRIORITY",IF($AR869=1,"NO RECENT UPDATE",""))))))) </f>
        <v/>
      </c>
      <c r="AH869" s="71" t="str">
        <f>IF($G869="","",IF(ISNUMBER($A869),IF(ISNUMBER($A869),YEAR($A869)&amp;"-"&amp;TEXT(MONTH($A869),"00"),""),IF(ISNUMBER($L869),IF(ISNUMBER($L869),YEAR($L869)&amp;"-"&amp;TEXT(MONTH($L869),"00"),""),"")))</f>
        <v/>
      </c>
      <c r="AI869" s="71">
        <f>IF($G869="",0,IF(AND(OR(fClient="All",$C869=fClient),OR(fCampaign="All",$D869=fCampaign),OR(fTeam="All",$B869=fTeam),OR(fChannel="All",$F869=fChannel),OR(fMonth="All",$AH869=fMonth),OR(fTStatus="All",$M869=fTStatus)),1,0))</f>
        <v>0</v>
      </c>
      <c r="AJ869" s="71">
        <f>IF($G869="",0,IF(AND(OR(fClient="All",$C869=fClient),OR(fCampaign="All",$D869=fCampaign),OR(fTeam="All",$B869=fTeam),OR(fChannel="All",$F869=fChannel)),1,0))</f>
        <v>0</v>
      </c>
      <c r="AK869" s="71">
        <f>IF($G869="",0,IF(OR($M869="Completed",$M869="Cancelled"),0,1))</f>
        <v>0</v>
      </c>
      <c r="AL869" s="71">
        <f>IF(AND($AK869=1,ISNUMBER($L869)),IF($L869&lt;ReportDate,1,0),0)</f>
        <v>0</v>
      </c>
      <c r="AM869" s="71">
        <f>IF(AND($G869&lt;&gt;"",$M869="Blocked"),1,0)</f>
        <v>0</v>
      </c>
      <c r="AN869" s="71">
        <f>IF(AND($AK869=1,ISNUMBER($L869)),IF($L869=ReportDate,1,0),0)</f>
        <v>0</v>
      </c>
      <c r="AO869" s="71">
        <f>IF(AND($AK869=1,ISNUMBER($L869)),IF($L869=ReportDate+1,1,0),0)</f>
        <v>0</v>
      </c>
      <c r="AP869" s="71">
        <f>IF(AND($AK869=1,ISNUMBER($L869)),IF(AND($L869&gt;=ReportDate,$L869&lt;=ReportDate+DueSoonDays),1,0),0)</f>
        <v>0</v>
      </c>
      <c r="AQ869" s="71">
        <f>IF(AND($AK869=1,OR($I869="Critical",$I869="High")),1,0)</f>
        <v>0</v>
      </c>
      <c r="AR869" s="71">
        <f>IF($AK869=1,IF(ISNUMBER($Y869),IF(ReportDate-$Y869&gt;StaleDays,1,0),1),0)</f>
        <v>0</v>
      </c>
      <c r="AS869" s="71">
        <f>IF(AND($G869&lt;&gt;"",ISNUMBER($Q869),ISNUMBER($R869)),IF(AND($Q869&lt;$R869,OR($M869="Completed",AND(ISNUMBER($L869),$L869&lt;ReportDate))),1,0),0)</f>
        <v>0</v>
      </c>
      <c r="AT869" s="71">
        <f>IF($AK869=1,IF(OR($L869=ReportDate,$W869=ReportDate,$K869=ReportDate,$A869=ReportDate),1,0),0)</f>
        <v>0</v>
      </c>
      <c r="AU869" s="71">
        <f>IF($AK869=1,IF(OR($L869=ReportDate+1,$W869=ReportDate+1,$K869=ReportDate+1,$A869=ReportDate+1),1,0),0)</f>
        <v>0</v>
      </c>
      <c r="AV869" s="71">
        <f>IF(AND($G869&lt;&gt;"",$M869="Completed"),IF(OR($Y869=ReportDate-1,$A869=ReportDate-1),1,0),0)</f>
        <v>0</v>
      </c>
      <c r="AW869" s="71">
        <f>IF(AND($AK869=1,$Z869="Yes"),1,0)</f>
        <v>0</v>
      </c>
      <c r="AX869" s="71">
        <f>IF(AND($AK869=1,$AA869="Yes"),1,0)</f>
        <v>0</v>
      </c>
      <c r="AY869" s="71">
        <f>IF(AND($AM869=1,OR($I869="Critical",$I869="High")),1,0)</f>
        <v>0</v>
      </c>
      <c r="AZ869" s="71">
        <f>IF(AND($AK869=1,OR($C869=TCL_Client,$C869=MECCA_Client)),1,0)</f>
        <v>0</v>
      </c>
      <c r="BA869" s="71" t="str">
        <f>IF($G869="","",IFERROR(MATCH($I869,lst_Priority,0),5))</f>
        <v/>
      </c>
      <c r="BB869" s="71" t="str">
        <f>IF(AND($AL869=1,$AJ869=1),$BA869*100000+ROW(),"")</f>
        <v/>
      </c>
      <c r="BC869" s="71" t="str">
        <f>IF(AND($AM869=1,$AJ869=1),$BA869*100000+ROW(),"")</f>
        <v/>
      </c>
      <c r="BD869" s="71" t="str">
        <f>IF(AND($AP869=1,$AJ869=1),$BA869*100000+ROW(),"")</f>
        <v/>
      </c>
      <c r="BE869" s="71" t="str">
        <f>IF(AND($AT869=1,$AJ869=1),$BA869*100000+ROW(),"")</f>
        <v/>
      </c>
      <c r="BF869" s="71" t="str">
        <f>IF(AND($AU869=1,$AJ869=1),$BA869*100000+ROW(),"")</f>
        <v/>
      </c>
      <c r="BG869" s="71" t="str">
        <f>IF(AND($AV869=1,$AJ869=1),$BA869*100000+ROW(),"")</f>
        <v/>
      </c>
      <c r="BH869" s="71" t="str">
        <f>IF(AND($AW869=1,$AJ869=1),$BA869*100000+ROW(),"")</f>
        <v/>
      </c>
      <c r="BI869" s="71" t="str">
        <f>IF(AND($AX869=1,$AJ869=1),$BA869*100000+ROW(),"")</f>
        <v/>
      </c>
      <c r="BJ869" s="71" t="str">
        <f>IF(AND($AS869=1,$AJ869=1),$BA869*100000+ROW(),"")</f>
        <v/>
      </c>
      <c r="BK869" s="71" t="str">
        <f>IF(AND($AY869=1,$AJ869=1),$BA869*100000+ROW(),"")</f>
        <v/>
      </c>
      <c r="BL869" s="71" t="str">
        <f>IF(AND($AZ869=1),$BA869*100000+ROW(),"")</f>
        <v/>
      </c>
    </row>
    <row r="870">
      <c r="A870" s="63" t="n"/>
      <c r="B870" s="64" t="n"/>
      <c r="C870" s="64" t="n"/>
      <c r="D870" s="64" t="n"/>
      <c r="E870" s="64" t="n"/>
      <c r="F870" s="64" t="n"/>
      <c r="G870" s="65" t="n"/>
      <c r="H870" s="65" t="n"/>
      <c r="I870" s="64" t="n"/>
      <c r="J870" s="64" t="n"/>
      <c r="K870" s="63" t="n"/>
      <c r="L870" s="63" t="n"/>
      <c r="M870" s="64" t="n"/>
      <c r="N870" s="66" t="n"/>
      <c r="O870" s="65" t="n"/>
      <c r="P870" s="64" t="n"/>
      <c r="Q870" s="67" t="n"/>
      <c r="R870" s="67" t="n"/>
      <c r="S870" s="68" t="str">
        <f>IF(AND(ISNUMBER($Q870),ISNUMBER($R870)),$Q870-$R870,"")</f>
        <v/>
      </c>
      <c r="T870" s="65" t="n"/>
      <c r="U870" s="64" t="n"/>
      <c r="V870" s="65" t="n"/>
      <c r="W870" s="63" t="n"/>
      <c r="X870" s="65" t="n"/>
      <c r="Y870" s="63" t="n"/>
      <c r="Z870" s="64" t="n"/>
      <c r="AA870" s="64" t="n"/>
      <c r="AB870" s="65" t="n"/>
      <c r="AC870" s="69" t="str">
        <f>IF(OR($G870="",NOT(ISNUMBER($K870)),$AK870=0),"",MAX(0,ReportDate-$K870))</f>
        <v/>
      </c>
      <c r="AD870" s="69" t="str">
        <f>IF($G870="","",IF($AL870=1,ReportDate-$L870,0))</f>
        <v/>
      </c>
      <c r="AE870" s="70" t="str">
        <f>IF($G870="","",IF($M870="Completed",1,IF(ISNUMBER($N870),$N870,0)))</f>
        <v/>
      </c>
      <c r="AF870" s="70" t="str">
        <f>IF(AND(ISNUMBER($Q870),ISNUMBER($R870)),IF($R870&lt;&gt;0,$Q870/$R870,""),"")</f>
        <v/>
      </c>
      <c r="AG870" s="71" t="str">
        <f>IF($G870="","",IF($AL870=1,"OVERDUE",IF($AM870=1,"BLOCKED",IF($AN870=1,"DUE TODAY",IF($AO870=1,"DUE TOMORROW",IF($AQ870=1,"HIGH PRIORITY",IF($AR870=1,"NO RECENT UPDATE",""))))))) </f>
        <v/>
      </c>
      <c r="AH870" s="71" t="str">
        <f>IF($G870="","",IF(ISNUMBER($A870),IF(ISNUMBER($A870),YEAR($A870)&amp;"-"&amp;TEXT(MONTH($A870),"00"),""),IF(ISNUMBER($L870),IF(ISNUMBER($L870),YEAR($L870)&amp;"-"&amp;TEXT(MONTH($L870),"00"),""),"")))</f>
        <v/>
      </c>
      <c r="AI870" s="71">
        <f>IF($G870="",0,IF(AND(OR(fClient="All",$C870=fClient),OR(fCampaign="All",$D870=fCampaign),OR(fTeam="All",$B870=fTeam),OR(fChannel="All",$F870=fChannel),OR(fMonth="All",$AH870=fMonth),OR(fTStatus="All",$M870=fTStatus)),1,0))</f>
        <v>0</v>
      </c>
      <c r="AJ870" s="71">
        <f>IF($G870="",0,IF(AND(OR(fClient="All",$C870=fClient),OR(fCampaign="All",$D870=fCampaign),OR(fTeam="All",$B870=fTeam),OR(fChannel="All",$F870=fChannel)),1,0))</f>
        <v>0</v>
      </c>
      <c r="AK870" s="71">
        <f>IF($G870="",0,IF(OR($M870="Completed",$M870="Cancelled"),0,1))</f>
        <v>0</v>
      </c>
      <c r="AL870" s="71">
        <f>IF(AND($AK870=1,ISNUMBER($L870)),IF($L870&lt;ReportDate,1,0),0)</f>
        <v>0</v>
      </c>
      <c r="AM870" s="71">
        <f>IF(AND($G870&lt;&gt;"",$M870="Blocked"),1,0)</f>
        <v>0</v>
      </c>
      <c r="AN870" s="71">
        <f>IF(AND($AK870=1,ISNUMBER($L870)),IF($L870=ReportDate,1,0),0)</f>
        <v>0</v>
      </c>
      <c r="AO870" s="71">
        <f>IF(AND($AK870=1,ISNUMBER($L870)),IF($L870=ReportDate+1,1,0),0)</f>
        <v>0</v>
      </c>
      <c r="AP870" s="71">
        <f>IF(AND($AK870=1,ISNUMBER($L870)),IF(AND($L870&gt;=ReportDate,$L870&lt;=ReportDate+DueSoonDays),1,0),0)</f>
        <v>0</v>
      </c>
      <c r="AQ870" s="71">
        <f>IF(AND($AK870=1,OR($I870="Critical",$I870="High")),1,0)</f>
        <v>0</v>
      </c>
      <c r="AR870" s="71">
        <f>IF($AK870=1,IF(ISNUMBER($Y870),IF(ReportDate-$Y870&gt;StaleDays,1,0),1),0)</f>
        <v>0</v>
      </c>
      <c r="AS870" s="71">
        <f>IF(AND($G870&lt;&gt;"",ISNUMBER($Q870),ISNUMBER($R870)),IF(AND($Q870&lt;$R870,OR($M870="Completed",AND(ISNUMBER($L870),$L870&lt;ReportDate))),1,0),0)</f>
        <v>0</v>
      </c>
      <c r="AT870" s="71">
        <f>IF($AK870=1,IF(OR($L870=ReportDate,$W870=ReportDate,$K870=ReportDate,$A870=ReportDate),1,0),0)</f>
        <v>0</v>
      </c>
      <c r="AU870" s="71">
        <f>IF($AK870=1,IF(OR($L870=ReportDate+1,$W870=ReportDate+1,$K870=ReportDate+1,$A870=ReportDate+1),1,0),0)</f>
        <v>0</v>
      </c>
      <c r="AV870" s="71">
        <f>IF(AND($G870&lt;&gt;"",$M870="Completed"),IF(OR($Y870=ReportDate-1,$A870=ReportDate-1),1,0),0)</f>
        <v>0</v>
      </c>
      <c r="AW870" s="71">
        <f>IF(AND($AK870=1,$Z870="Yes"),1,0)</f>
        <v>0</v>
      </c>
      <c r="AX870" s="71">
        <f>IF(AND($AK870=1,$AA870="Yes"),1,0)</f>
        <v>0</v>
      </c>
      <c r="AY870" s="71">
        <f>IF(AND($AM870=1,OR($I870="Critical",$I870="High")),1,0)</f>
        <v>0</v>
      </c>
      <c r="AZ870" s="71">
        <f>IF(AND($AK870=1,OR($C870=TCL_Client,$C870=MECCA_Client)),1,0)</f>
        <v>0</v>
      </c>
      <c r="BA870" s="71" t="str">
        <f>IF($G870="","",IFERROR(MATCH($I870,lst_Priority,0),5))</f>
        <v/>
      </c>
      <c r="BB870" s="71" t="str">
        <f>IF(AND($AL870=1,$AJ870=1),$BA870*100000+ROW(),"")</f>
        <v/>
      </c>
      <c r="BC870" s="71" t="str">
        <f>IF(AND($AM870=1,$AJ870=1),$BA870*100000+ROW(),"")</f>
        <v/>
      </c>
      <c r="BD870" s="71" t="str">
        <f>IF(AND($AP870=1,$AJ870=1),$BA870*100000+ROW(),"")</f>
        <v/>
      </c>
      <c r="BE870" s="71" t="str">
        <f>IF(AND($AT870=1,$AJ870=1),$BA870*100000+ROW(),"")</f>
        <v/>
      </c>
      <c r="BF870" s="71" t="str">
        <f>IF(AND($AU870=1,$AJ870=1),$BA870*100000+ROW(),"")</f>
        <v/>
      </c>
      <c r="BG870" s="71" t="str">
        <f>IF(AND($AV870=1,$AJ870=1),$BA870*100000+ROW(),"")</f>
        <v/>
      </c>
      <c r="BH870" s="71" t="str">
        <f>IF(AND($AW870=1,$AJ870=1),$BA870*100000+ROW(),"")</f>
        <v/>
      </c>
      <c r="BI870" s="71" t="str">
        <f>IF(AND($AX870=1,$AJ870=1),$BA870*100000+ROW(),"")</f>
        <v/>
      </c>
      <c r="BJ870" s="71" t="str">
        <f>IF(AND($AS870=1,$AJ870=1),$BA870*100000+ROW(),"")</f>
        <v/>
      </c>
      <c r="BK870" s="71" t="str">
        <f>IF(AND($AY870=1,$AJ870=1),$BA870*100000+ROW(),"")</f>
        <v/>
      </c>
      <c r="BL870" s="71" t="str">
        <f>IF(AND($AZ870=1),$BA870*100000+ROW(),"")</f>
        <v/>
      </c>
    </row>
    <row r="871">
      <c r="A871" s="63" t="n"/>
      <c r="B871" s="64" t="n"/>
      <c r="C871" s="64" t="n"/>
      <c r="D871" s="64" t="n"/>
      <c r="E871" s="64" t="n"/>
      <c r="F871" s="64" t="n"/>
      <c r="G871" s="65" t="n"/>
      <c r="H871" s="65" t="n"/>
      <c r="I871" s="64" t="n"/>
      <c r="J871" s="64" t="n"/>
      <c r="K871" s="63" t="n"/>
      <c r="L871" s="63" t="n"/>
      <c r="M871" s="64" t="n"/>
      <c r="N871" s="66" t="n"/>
      <c r="O871" s="65" t="n"/>
      <c r="P871" s="64" t="n"/>
      <c r="Q871" s="67" t="n"/>
      <c r="R871" s="67" t="n"/>
      <c r="S871" s="68" t="str">
        <f>IF(AND(ISNUMBER($Q871),ISNUMBER($R871)),$Q871-$R871,"")</f>
        <v/>
      </c>
      <c r="T871" s="65" t="n"/>
      <c r="U871" s="64" t="n"/>
      <c r="V871" s="65" t="n"/>
      <c r="W871" s="63" t="n"/>
      <c r="X871" s="65" t="n"/>
      <c r="Y871" s="63" t="n"/>
      <c r="Z871" s="64" t="n"/>
      <c r="AA871" s="64" t="n"/>
      <c r="AB871" s="65" t="n"/>
      <c r="AC871" s="69" t="str">
        <f>IF(OR($G871="",NOT(ISNUMBER($K871)),$AK871=0),"",MAX(0,ReportDate-$K871))</f>
        <v/>
      </c>
      <c r="AD871" s="69" t="str">
        <f>IF($G871="","",IF($AL871=1,ReportDate-$L871,0))</f>
        <v/>
      </c>
      <c r="AE871" s="70" t="str">
        <f>IF($G871="","",IF($M871="Completed",1,IF(ISNUMBER($N871),$N871,0)))</f>
        <v/>
      </c>
      <c r="AF871" s="70" t="str">
        <f>IF(AND(ISNUMBER($Q871),ISNUMBER($R871)),IF($R871&lt;&gt;0,$Q871/$R871,""),"")</f>
        <v/>
      </c>
      <c r="AG871" s="71" t="str">
        <f>IF($G871="","",IF($AL871=1,"OVERDUE",IF($AM871=1,"BLOCKED",IF($AN871=1,"DUE TODAY",IF($AO871=1,"DUE TOMORROW",IF($AQ871=1,"HIGH PRIORITY",IF($AR871=1,"NO RECENT UPDATE",""))))))) </f>
        <v/>
      </c>
      <c r="AH871" s="71" t="str">
        <f>IF($G871="","",IF(ISNUMBER($A871),IF(ISNUMBER($A871),YEAR($A871)&amp;"-"&amp;TEXT(MONTH($A871),"00"),""),IF(ISNUMBER($L871),IF(ISNUMBER($L871),YEAR($L871)&amp;"-"&amp;TEXT(MONTH($L871),"00"),""),"")))</f>
        <v/>
      </c>
      <c r="AI871" s="71">
        <f>IF($G871="",0,IF(AND(OR(fClient="All",$C871=fClient),OR(fCampaign="All",$D871=fCampaign),OR(fTeam="All",$B871=fTeam),OR(fChannel="All",$F871=fChannel),OR(fMonth="All",$AH871=fMonth),OR(fTStatus="All",$M871=fTStatus)),1,0))</f>
        <v>0</v>
      </c>
      <c r="AJ871" s="71">
        <f>IF($G871="",0,IF(AND(OR(fClient="All",$C871=fClient),OR(fCampaign="All",$D871=fCampaign),OR(fTeam="All",$B871=fTeam),OR(fChannel="All",$F871=fChannel)),1,0))</f>
        <v>0</v>
      </c>
      <c r="AK871" s="71">
        <f>IF($G871="",0,IF(OR($M871="Completed",$M871="Cancelled"),0,1))</f>
        <v>0</v>
      </c>
      <c r="AL871" s="71">
        <f>IF(AND($AK871=1,ISNUMBER($L871)),IF($L871&lt;ReportDate,1,0),0)</f>
        <v>0</v>
      </c>
      <c r="AM871" s="71">
        <f>IF(AND($G871&lt;&gt;"",$M871="Blocked"),1,0)</f>
        <v>0</v>
      </c>
      <c r="AN871" s="71">
        <f>IF(AND($AK871=1,ISNUMBER($L871)),IF($L871=ReportDate,1,0),0)</f>
        <v>0</v>
      </c>
      <c r="AO871" s="71">
        <f>IF(AND($AK871=1,ISNUMBER($L871)),IF($L871=ReportDate+1,1,0),0)</f>
        <v>0</v>
      </c>
      <c r="AP871" s="71">
        <f>IF(AND($AK871=1,ISNUMBER($L871)),IF(AND($L871&gt;=ReportDate,$L871&lt;=ReportDate+DueSoonDays),1,0),0)</f>
        <v>0</v>
      </c>
      <c r="AQ871" s="71">
        <f>IF(AND($AK871=1,OR($I871="Critical",$I871="High")),1,0)</f>
        <v>0</v>
      </c>
      <c r="AR871" s="71">
        <f>IF($AK871=1,IF(ISNUMBER($Y871),IF(ReportDate-$Y871&gt;StaleDays,1,0),1),0)</f>
        <v>0</v>
      </c>
      <c r="AS871" s="71">
        <f>IF(AND($G871&lt;&gt;"",ISNUMBER($Q871),ISNUMBER($R871)),IF(AND($Q871&lt;$R871,OR($M871="Completed",AND(ISNUMBER($L871),$L871&lt;ReportDate))),1,0),0)</f>
        <v>0</v>
      </c>
      <c r="AT871" s="71">
        <f>IF($AK871=1,IF(OR($L871=ReportDate,$W871=ReportDate,$K871=ReportDate,$A871=ReportDate),1,0),0)</f>
        <v>0</v>
      </c>
      <c r="AU871" s="71">
        <f>IF($AK871=1,IF(OR($L871=ReportDate+1,$W871=ReportDate+1,$K871=ReportDate+1,$A871=ReportDate+1),1,0),0)</f>
        <v>0</v>
      </c>
      <c r="AV871" s="71">
        <f>IF(AND($G871&lt;&gt;"",$M871="Completed"),IF(OR($Y871=ReportDate-1,$A871=ReportDate-1),1,0),0)</f>
        <v>0</v>
      </c>
      <c r="AW871" s="71">
        <f>IF(AND($AK871=1,$Z871="Yes"),1,0)</f>
        <v>0</v>
      </c>
      <c r="AX871" s="71">
        <f>IF(AND($AK871=1,$AA871="Yes"),1,0)</f>
        <v>0</v>
      </c>
      <c r="AY871" s="71">
        <f>IF(AND($AM871=1,OR($I871="Critical",$I871="High")),1,0)</f>
        <v>0</v>
      </c>
      <c r="AZ871" s="71">
        <f>IF(AND($AK871=1,OR($C871=TCL_Client,$C871=MECCA_Client)),1,0)</f>
        <v>0</v>
      </c>
      <c r="BA871" s="71" t="str">
        <f>IF($G871="","",IFERROR(MATCH($I871,lst_Priority,0),5))</f>
        <v/>
      </c>
      <c r="BB871" s="71" t="str">
        <f>IF(AND($AL871=1,$AJ871=1),$BA871*100000+ROW(),"")</f>
        <v/>
      </c>
      <c r="BC871" s="71" t="str">
        <f>IF(AND($AM871=1,$AJ871=1),$BA871*100000+ROW(),"")</f>
        <v/>
      </c>
      <c r="BD871" s="71" t="str">
        <f>IF(AND($AP871=1,$AJ871=1),$BA871*100000+ROW(),"")</f>
        <v/>
      </c>
      <c r="BE871" s="71" t="str">
        <f>IF(AND($AT871=1,$AJ871=1),$BA871*100000+ROW(),"")</f>
        <v/>
      </c>
      <c r="BF871" s="71" t="str">
        <f>IF(AND($AU871=1,$AJ871=1),$BA871*100000+ROW(),"")</f>
        <v/>
      </c>
      <c r="BG871" s="71" t="str">
        <f>IF(AND($AV871=1,$AJ871=1),$BA871*100000+ROW(),"")</f>
        <v/>
      </c>
      <c r="BH871" s="71" t="str">
        <f>IF(AND($AW871=1,$AJ871=1),$BA871*100000+ROW(),"")</f>
        <v/>
      </c>
      <c r="BI871" s="71" t="str">
        <f>IF(AND($AX871=1,$AJ871=1),$BA871*100000+ROW(),"")</f>
        <v/>
      </c>
      <c r="BJ871" s="71" t="str">
        <f>IF(AND($AS871=1,$AJ871=1),$BA871*100000+ROW(),"")</f>
        <v/>
      </c>
      <c r="BK871" s="71" t="str">
        <f>IF(AND($AY871=1,$AJ871=1),$BA871*100000+ROW(),"")</f>
        <v/>
      </c>
      <c r="BL871" s="71" t="str">
        <f>IF(AND($AZ871=1),$BA871*100000+ROW(),"")</f>
        <v/>
      </c>
    </row>
    <row r="872">
      <c r="A872" s="63" t="n"/>
      <c r="B872" s="64" t="n"/>
      <c r="C872" s="64" t="n"/>
      <c r="D872" s="64" t="n"/>
      <c r="E872" s="64" t="n"/>
      <c r="F872" s="64" t="n"/>
      <c r="G872" s="65" t="n"/>
      <c r="H872" s="65" t="n"/>
      <c r="I872" s="64" t="n"/>
      <c r="J872" s="64" t="n"/>
      <c r="K872" s="63" t="n"/>
      <c r="L872" s="63" t="n"/>
      <c r="M872" s="64" t="n"/>
      <c r="N872" s="66" t="n"/>
      <c r="O872" s="65" t="n"/>
      <c r="P872" s="64" t="n"/>
      <c r="Q872" s="67" t="n"/>
      <c r="R872" s="67" t="n"/>
      <c r="S872" s="68" t="str">
        <f>IF(AND(ISNUMBER($Q872),ISNUMBER($R872)),$Q872-$R872,"")</f>
        <v/>
      </c>
      <c r="T872" s="65" t="n"/>
      <c r="U872" s="64" t="n"/>
      <c r="V872" s="65" t="n"/>
      <c r="W872" s="63" t="n"/>
      <c r="X872" s="65" t="n"/>
      <c r="Y872" s="63" t="n"/>
      <c r="Z872" s="64" t="n"/>
      <c r="AA872" s="64" t="n"/>
      <c r="AB872" s="65" t="n"/>
      <c r="AC872" s="69" t="str">
        <f>IF(OR($G872="",NOT(ISNUMBER($K872)),$AK872=0),"",MAX(0,ReportDate-$K872))</f>
        <v/>
      </c>
      <c r="AD872" s="69" t="str">
        <f>IF($G872="","",IF($AL872=1,ReportDate-$L872,0))</f>
        <v/>
      </c>
      <c r="AE872" s="70" t="str">
        <f>IF($G872="","",IF($M872="Completed",1,IF(ISNUMBER($N872),$N872,0)))</f>
        <v/>
      </c>
      <c r="AF872" s="70" t="str">
        <f>IF(AND(ISNUMBER($Q872),ISNUMBER($R872)),IF($R872&lt;&gt;0,$Q872/$R872,""),"")</f>
        <v/>
      </c>
      <c r="AG872" s="71" t="str">
        <f>IF($G872="","",IF($AL872=1,"OVERDUE",IF($AM872=1,"BLOCKED",IF($AN872=1,"DUE TODAY",IF($AO872=1,"DUE TOMORROW",IF($AQ872=1,"HIGH PRIORITY",IF($AR872=1,"NO RECENT UPDATE",""))))))) </f>
        <v/>
      </c>
      <c r="AH872" s="71" t="str">
        <f>IF($G872="","",IF(ISNUMBER($A872),IF(ISNUMBER($A872),YEAR($A872)&amp;"-"&amp;TEXT(MONTH($A872),"00"),""),IF(ISNUMBER($L872),IF(ISNUMBER($L872),YEAR($L872)&amp;"-"&amp;TEXT(MONTH($L872),"00"),""),"")))</f>
        <v/>
      </c>
      <c r="AI872" s="71">
        <f>IF($G872="",0,IF(AND(OR(fClient="All",$C872=fClient),OR(fCampaign="All",$D872=fCampaign),OR(fTeam="All",$B872=fTeam),OR(fChannel="All",$F872=fChannel),OR(fMonth="All",$AH872=fMonth),OR(fTStatus="All",$M872=fTStatus)),1,0))</f>
        <v>0</v>
      </c>
      <c r="AJ872" s="71">
        <f>IF($G872="",0,IF(AND(OR(fClient="All",$C872=fClient),OR(fCampaign="All",$D872=fCampaign),OR(fTeam="All",$B872=fTeam),OR(fChannel="All",$F872=fChannel)),1,0))</f>
        <v>0</v>
      </c>
      <c r="AK872" s="71">
        <f>IF($G872="",0,IF(OR($M872="Completed",$M872="Cancelled"),0,1))</f>
        <v>0</v>
      </c>
      <c r="AL872" s="71">
        <f>IF(AND($AK872=1,ISNUMBER($L872)),IF($L872&lt;ReportDate,1,0),0)</f>
        <v>0</v>
      </c>
      <c r="AM872" s="71">
        <f>IF(AND($G872&lt;&gt;"",$M872="Blocked"),1,0)</f>
        <v>0</v>
      </c>
      <c r="AN872" s="71">
        <f>IF(AND($AK872=1,ISNUMBER($L872)),IF($L872=ReportDate,1,0),0)</f>
        <v>0</v>
      </c>
      <c r="AO872" s="71">
        <f>IF(AND($AK872=1,ISNUMBER($L872)),IF($L872=ReportDate+1,1,0),0)</f>
        <v>0</v>
      </c>
      <c r="AP872" s="71">
        <f>IF(AND($AK872=1,ISNUMBER($L872)),IF(AND($L872&gt;=ReportDate,$L872&lt;=ReportDate+DueSoonDays),1,0),0)</f>
        <v>0</v>
      </c>
      <c r="AQ872" s="71">
        <f>IF(AND($AK872=1,OR($I872="Critical",$I872="High")),1,0)</f>
        <v>0</v>
      </c>
      <c r="AR872" s="71">
        <f>IF($AK872=1,IF(ISNUMBER($Y872),IF(ReportDate-$Y872&gt;StaleDays,1,0),1),0)</f>
        <v>0</v>
      </c>
      <c r="AS872" s="71">
        <f>IF(AND($G872&lt;&gt;"",ISNUMBER($Q872),ISNUMBER($R872)),IF(AND($Q872&lt;$R872,OR($M872="Completed",AND(ISNUMBER($L872),$L872&lt;ReportDate))),1,0),0)</f>
        <v>0</v>
      </c>
      <c r="AT872" s="71">
        <f>IF($AK872=1,IF(OR($L872=ReportDate,$W872=ReportDate,$K872=ReportDate,$A872=ReportDate),1,0),0)</f>
        <v>0</v>
      </c>
      <c r="AU872" s="71">
        <f>IF($AK872=1,IF(OR($L872=ReportDate+1,$W872=ReportDate+1,$K872=ReportDate+1,$A872=ReportDate+1),1,0),0)</f>
        <v>0</v>
      </c>
      <c r="AV872" s="71">
        <f>IF(AND($G872&lt;&gt;"",$M872="Completed"),IF(OR($Y872=ReportDate-1,$A872=ReportDate-1),1,0),0)</f>
        <v>0</v>
      </c>
      <c r="AW872" s="71">
        <f>IF(AND($AK872=1,$Z872="Yes"),1,0)</f>
        <v>0</v>
      </c>
      <c r="AX872" s="71">
        <f>IF(AND($AK872=1,$AA872="Yes"),1,0)</f>
        <v>0</v>
      </c>
      <c r="AY872" s="71">
        <f>IF(AND($AM872=1,OR($I872="Critical",$I872="High")),1,0)</f>
        <v>0</v>
      </c>
      <c r="AZ872" s="71">
        <f>IF(AND($AK872=1,OR($C872=TCL_Client,$C872=MECCA_Client)),1,0)</f>
        <v>0</v>
      </c>
      <c r="BA872" s="71" t="str">
        <f>IF($G872="","",IFERROR(MATCH($I872,lst_Priority,0),5))</f>
        <v/>
      </c>
      <c r="BB872" s="71" t="str">
        <f>IF(AND($AL872=1,$AJ872=1),$BA872*100000+ROW(),"")</f>
        <v/>
      </c>
      <c r="BC872" s="71" t="str">
        <f>IF(AND($AM872=1,$AJ872=1),$BA872*100000+ROW(),"")</f>
        <v/>
      </c>
      <c r="BD872" s="71" t="str">
        <f>IF(AND($AP872=1,$AJ872=1),$BA872*100000+ROW(),"")</f>
        <v/>
      </c>
      <c r="BE872" s="71" t="str">
        <f>IF(AND($AT872=1,$AJ872=1),$BA872*100000+ROW(),"")</f>
        <v/>
      </c>
      <c r="BF872" s="71" t="str">
        <f>IF(AND($AU872=1,$AJ872=1),$BA872*100000+ROW(),"")</f>
        <v/>
      </c>
      <c r="BG872" s="71" t="str">
        <f>IF(AND($AV872=1,$AJ872=1),$BA872*100000+ROW(),"")</f>
        <v/>
      </c>
      <c r="BH872" s="71" t="str">
        <f>IF(AND($AW872=1,$AJ872=1),$BA872*100000+ROW(),"")</f>
        <v/>
      </c>
      <c r="BI872" s="71" t="str">
        <f>IF(AND($AX872=1,$AJ872=1),$BA872*100000+ROW(),"")</f>
        <v/>
      </c>
      <c r="BJ872" s="71" t="str">
        <f>IF(AND($AS872=1,$AJ872=1),$BA872*100000+ROW(),"")</f>
        <v/>
      </c>
      <c r="BK872" s="71" t="str">
        <f>IF(AND($AY872=1,$AJ872=1),$BA872*100000+ROW(),"")</f>
        <v/>
      </c>
      <c r="BL872" s="71" t="str">
        <f>IF(AND($AZ872=1),$BA872*100000+ROW(),"")</f>
        <v/>
      </c>
    </row>
    <row r="873">
      <c r="A873" s="63" t="n"/>
      <c r="B873" s="64" t="n"/>
      <c r="C873" s="64" t="n"/>
      <c r="D873" s="64" t="n"/>
      <c r="E873" s="64" t="n"/>
      <c r="F873" s="64" t="n"/>
      <c r="G873" s="65" t="n"/>
      <c r="H873" s="65" t="n"/>
      <c r="I873" s="64" t="n"/>
      <c r="J873" s="64" t="n"/>
      <c r="K873" s="63" t="n"/>
      <c r="L873" s="63" t="n"/>
      <c r="M873" s="64" t="n"/>
      <c r="N873" s="66" t="n"/>
      <c r="O873" s="65" t="n"/>
      <c r="P873" s="64" t="n"/>
      <c r="Q873" s="67" t="n"/>
      <c r="R873" s="67" t="n"/>
      <c r="S873" s="68" t="str">
        <f>IF(AND(ISNUMBER($Q873),ISNUMBER($R873)),$Q873-$R873,"")</f>
        <v/>
      </c>
      <c r="T873" s="65" t="n"/>
      <c r="U873" s="64" t="n"/>
      <c r="V873" s="65" t="n"/>
      <c r="W873" s="63" t="n"/>
      <c r="X873" s="65" t="n"/>
      <c r="Y873" s="63" t="n"/>
      <c r="Z873" s="64" t="n"/>
      <c r="AA873" s="64" t="n"/>
      <c r="AB873" s="65" t="n"/>
      <c r="AC873" s="69" t="str">
        <f>IF(OR($G873="",NOT(ISNUMBER($K873)),$AK873=0),"",MAX(0,ReportDate-$K873))</f>
        <v/>
      </c>
      <c r="AD873" s="69" t="str">
        <f>IF($G873="","",IF($AL873=1,ReportDate-$L873,0))</f>
        <v/>
      </c>
      <c r="AE873" s="70" t="str">
        <f>IF($G873="","",IF($M873="Completed",1,IF(ISNUMBER($N873),$N873,0)))</f>
        <v/>
      </c>
      <c r="AF873" s="70" t="str">
        <f>IF(AND(ISNUMBER($Q873),ISNUMBER($R873)),IF($R873&lt;&gt;0,$Q873/$R873,""),"")</f>
        <v/>
      </c>
      <c r="AG873" s="71" t="str">
        <f>IF($G873="","",IF($AL873=1,"OVERDUE",IF($AM873=1,"BLOCKED",IF($AN873=1,"DUE TODAY",IF($AO873=1,"DUE TOMORROW",IF($AQ873=1,"HIGH PRIORITY",IF($AR873=1,"NO RECENT UPDATE",""))))))) </f>
        <v/>
      </c>
      <c r="AH873" s="71" t="str">
        <f>IF($G873="","",IF(ISNUMBER($A873),IF(ISNUMBER($A873),YEAR($A873)&amp;"-"&amp;TEXT(MONTH($A873),"00"),""),IF(ISNUMBER($L873),IF(ISNUMBER($L873),YEAR($L873)&amp;"-"&amp;TEXT(MONTH($L873),"00"),""),"")))</f>
        <v/>
      </c>
      <c r="AI873" s="71">
        <f>IF($G873="",0,IF(AND(OR(fClient="All",$C873=fClient),OR(fCampaign="All",$D873=fCampaign),OR(fTeam="All",$B873=fTeam),OR(fChannel="All",$F873=fChannel),OR(fMonth="All",$AH873=fMonth),OR(fTStatus="All",$M873=fTStatus)),1,0))</f>
        <v>0</v>
      </c>
      <c r="AJ873" s="71">
        <f>IF($G873="",0,IF(AND(OR(fClient="All",$C873=fClient),OR(fCampaign="All",$D873=fCampaign),OR(fTeam="All",$B873=fTeam),OR(fChannel="All",$F873=fChannel)),1,0))</f>
        <v>0</v>
      </c>
      <c r="AK873" s="71">
        <f>IF($G873="",0,IF(OR($M873="Completed",$M873="Cancelled"),0,1))</f>
        <v>0</v>
      </c>
      <c r="AL873" s="71">
        <f>IF(AND($AK873=1,ISNUMBER($L873)),IF($L873&lt;ReportDate,1,0),0)</f>
        <v>0</v>
      </c>
      <c r="AM873" s="71">
        <f>IF(AND($G873&lt;&gt;"",$M873="Blocked"),1,0)</f>
        <v>0</v>
      </c>
      <c r="AN873" s="71">
        <f>IF(AND($AK873=1,ISNUMBER($L873)),IF($L873=ReportDate,1,0),0)</f>
        <v>0</v>
      </c>
      <c r="AO873" s="71">
        <f>IF(AND($AK873=1,ISNUMBER($L873)),IF($L873=ReportDate+1,1,0),0)</f>
        <v>0</v>
      </c>
      <c r="AP873" s="71">
        <f>IF(AND($AK873=1,ISNUMBER($L873)),IF(AND($L873&gt;=ReportDate,$L873&lt;=ReportDate+DueSoonDays),1,0),0)</f>
        <v>0</v>
      </c>
      <c r="AQ873" s="71">
        <f>IF(AND($AK873=1,OR($I873="Critical",$I873="High")),1,0)</f>
        <v>0</v>
      </c>
      <c r="AR873" s="71">
        <f>IF($AK873=1,IF(ISNUMBER($Y873),IF(ReportDate-$Y873&gt;StaleDays,1,0),1),0)</f>
        <v>0</v>
      </c>
      <c r="AS873" s="71">
        <f>IF(AND($G873&lt;&gt;"",ISNUMBER($Q873),ISNUMBER($R873)),IF(AND($Q873&lt;$R873,OR($M873="Completed",AND(ISNUMBER($L873),$L873&lt;ReportDate))),1,0),0)</f>
        <v>0</v>
      </c>
      <c r="AT873" s="71">
        <f>IF($AK873=1,IF(OR($L873=ReportDate,$W873=ReportDate,$K873=ReportDate,$A873=ReportDate),1,0),0)</f>
        <v>0</v>
      </c>
      <c r="AU873" s="71">
        <f>IF($AK873=1,IF(OR($L873=ReportDate+1,$W873=ReportDate+1,$K873=ReportDate+1,$A873=ReportDate+1),1,0),0)</f>
        <v>0</v>
      </c>
      <c r="AV873" s="71">
        <f>IF(AND($G873&lt;&gt;"",$M873="Completed"),IF(OR($Y873=ReportDate-1,$A873=ReportDate-1),1,0),0)</f>
        <v>0</v>
      </c>
      <c r="AW873" s="71">
        <f>IF(AND($AK873=1,$Z873="Yes"),1,0)</f>
        <v>0</v>
      </c>
      <c r="AX873" s="71">
        <f>IF(AND($AK873=1,$AA873="Yes"),1,0)</f>
        <v>0</v>
      </c>
      <c r="AY873" s="71">
        <f>IF(AND($AM873=1,OR($I873="Critical",$I873="High")),1,0)</f>
        <v>0</v>
      </c>
      <c r="AZ873" s="71">
        <f>IF(AND($AK873=1,OR($C873=TCL_Client,$C873=MECCA_Client)),1,0)</f>
        <v>0</v>
      </c>
      <c r="BA873" s="71" t="str">
        <f>IF($G873="","",IFERROR(MATCH($I873,lst_Priority,0),5))</f>
        <v/>
      </c>
      <c r="BB873" s="71" t="str">
        <f>IF(AND($AL873=1,$AJ873=1),$BA873*100000+ROW(),"")</f>
        <v/>
      </c>
      <c r="BC873" s="71" t="str">
        <f>IF(AND($AM873=1,$AJ873=1),$BA873*100000+ROW(),"")</f>
        <v/>
      </c>
      <c r="BD873" s="71" t="str">
        <f>IF(AND($AP873=1,$AJ873=1),$BA873*100000+ROW(),"")</f>
        <v/>
      </c>
      <c r="BE873" s="71" t="str">
        <f>IF(AND($AT873=1,$AJ873=1),$BA873*100000+ROW(),"")</f>
        <v/>
      </c>
      <c r="BF873" s="71" t="str">
        <f>IF(AND($AU873=1,$AJ873=1),$BA873*100000+ROW(),"")</f>
        <v/>
      </c>
      <c r="BG873" s="71" t="str">
        <f>IF(AND($AV873=1,$AJ873=1),$BA873*100000+ROW(),"")</f>
        <v/>
      </c>
      <c r="BH873" s="71" t="str">
        <f>IF(AND($AW873=1,$AJ873=1),$BA873*100000+ROW(),"")</f>
        <v/>
      </c>
      <c r="BI873" s="71" t="str">
        <f>IF(AND($AX873=1,$AJ873=1),$BA873*100000+ROW(),"")</f>
        <v/>
      </c>
      <c r="BJ873" s="71" t="str">
        <f>IF(AND($AS873=1,$AJ873=1),$BA873*100000+ROW(),"")</f>
        <v/>
      </c>
      <c r="BK873" s="71" t="str">
        <f>IF(AND($AY873=1,$AJ873=1),$BA873*100000+ROW(),"")</f>
        <v/>
      </c>
      <c r="BL873" s="71" t="str">
        <f>IF(AND($AZ873=1),$BA873*100000+ROW(),"")</f>
        <v/>
      </c>
    </row>
    <row r="874">
      <c r="A874" s="63" t="n"/>
      <c r="B874" s="64" t="n"/>
      <c r="C874" s="64" t="n"/>
      <c r="D874" s="64" t="n"/>
      <c r="E874" s="64" t="n"/>
      <c r="F874" s="64" t="n"/>
      <c r="G874" s="65" t="n"/>
      <c r="H874" s="65" t="n"/>
      <c r="I874" s="64" t="n"/>
      <c r="J874" s="64" t="n"/>
      <c r="K874" s="63" t="n"/>
      <c r="L874" s="63" t="n"/>
      <c r="M874" s="64" t="n"/>
      <c r="N874" s="66" t="n"/>
      <c r="O874" s="65" t="n"/>
      <c r="P874" s="64" t="n"/>
      <c r="Q874" s="67" t="n"/>
      <c r="R874" s="67" t="n"/>
      <c r="S874" s="68" t="str">
        <f>IF(AND(ISNUMBER($Q874),ISNUMBER($R874)),$Q874-$R874,"")</f>
        <v/>
      </c>
      <c r="T874" s="65" t="n"/>
      <c r="U874" s="64" t="n"/>
      <c r="V874" s="65" t="n"/>
      <c r="W874" s="63" t="n"/>
      <c r="X874" s="65" t="n"/>
      <c r="Y874" s="63" t="n"/>
      <c r="Z874" s="64" t="n"/>
      <c r="AA874" s="64" t="n"/>
      <c r="AB874" s="65" t="n"/>
      <c r="AC874" s="69" t="str">
        <f>IF(OR($G874="",NOT(ISNUMBER($K874)),$AK874=0),"",MAX(0,ReportDate-$K874))</f>
        <v/>
      </c>
      <c r="AD874" s="69" t="str">
        <f>IF($G874="","",IF($AL874=1,ReportDate-$L874,0))</f>
        <v/>
      </c>
      <c r="AE874" s="70" t="str">
        <f>IF($G874="","",IF($M874="Completed",1,IF(ISNUMBER($N874),$N874,0)))</f>
        <v/>
      </c>
      <c r="AF874" s="70" t="str">
        <f>IF(AND(ISNUMBER($Q874),ISNUMBER($R874)),IF($R874&lt;&gt;0,$Q874/$R874,""),"")</f>
        <v/>
      </c>
      <c r="AG874" s="71" t="str">
        <f>IF($G874="","",IF($AL874=1,"OVERDUE",IF($AM874=1,"BLOCKED",IF($AN874=1,"DUE TODAY",IF($AO874=1,"DUE TOMORROW",IF($AQ874=1,"HIGH PRIORITY",IF($AR874=1,"NO RECENT UPDATE",""))))))) </f>
        <v/>
      </c>
      <c r="AH874" s="71" t="str">
        <f>IF($G874="","",IF(ISNUMBER($A874),IF(ISNUMBER($A874),YEAR($A874)&amp;"-"&amp;TEXT(MONTH($A874),"00"),""),IF(ISNUMBER($L874),IF(ISNUMBER($L874),YEAR($L874)&amp;"-"&amp;TEXT(MONTH($L874),"00"),""),"")))</f>
        <v/>
      </c>
      <c r="AI874" s="71">
        <f>IF($G874="",0,IF(AND(OR(fClient="All",$C874=fClient),OR(fCampaign="All",$D874=fCampaign),OR(fTeam="All",$B874=fTeam),OR(fChannel="All",$F874=fChannel),OR(fMonth="All",$AH874=fMonth),OR(fTStatus="All",$M874=fTStatus)),1,0))</f>
        <v>0</v>
      </c>
      <c r="AJ874" s="71">
        <f>IF($G874="",0,IF(AND(OR(fClient="All",$C874=fClient),OR(fCampaign="All",$D874=fCampaign),OR(fTeam="All",$B874=fTeam),OR(fChannel="All",$F874=fChannel)),1,0))</f>
        <v>0</v>
      </c>
      <c r="AK874" s="71">
        <f>IF($G874="",0,IF(OR($M874="Completed",$M874="Cancelled"),0,1))</f>
        <v>0</v>
      </c>
      <c r="AL874" s="71">
        <f>IF(AND($AK874=1,ISNUMBER($L874)),IF($L874&lt;ReportDate,1,0),0)</f>
        <v>0</v>
      </c>
      <c r="AM874" s="71">
        <f>IF(AND($G874&lt;&gt;"",$M874="Blocked"),1,0)</f>
        <v>0</v>
      </c>
      <c r="AN874" s="71">
        <f>IF(AND($AK874=1,ISNUMBER($L874)),IF($L874=ReportDate,1,0),0)</f>
        <v>0</v>
      </c>
      <c r="AO874" s="71">
        <f>IF(AND($AK874=1,ISNUMBER($L874)),IF($L874=ReportDate+1,1,0),0)</f>
        <v>0</v>
      </c>
      <c r="AP874" s="71">
        <f>IF(AND($AK874=1,ISNUMBER($L874)),IF(AND($L874&gt;=ReportDate,$L874&lt;=ReportDate+DueSoonDays),1,0),0)</f>
        <v>0</v>
      </c>
      <c r="AQ874" s="71">
        <f>IF(AND($AK874=1,OR($I874="Critical",$I874="High")),1,0)</f>
        <v>0</v>
      </c>
      <c r="AR874" s="71">
        <f>IF($AK874=1,IF(ISNUMBER($Y874),IF(ReportDate-$Y874&gt;StaleDays,1,0),1),0)</f>
        <v>0</v>
      </c>
      <c r="AS874" s="71">
        <f>IF(AND($G874&lt;&gt;"",ISNUMBER($Q874),ISNUMBER($R874)),IF(AND($Q874&lt;$R874,OR($M874="Completed",AND(ISNUMBER($L874),$L874&lt;ReportDate))),1,0),0)</f>
        <v>0</v>
      </c>
      <c r="AT874" s="71">
        <f>IF($AK874=1,IF(OR($L874=ReportDate,$W874=ReportDate,$K874=ReportDate,$A874=ReportDate),1,0),0)</f>
        <v>0</v>
      </c>
      <c r="AU874" s="71">
        <f>IF($AK874=1,IF(OR($L874=ReportDate+1,$W874=ReportDate+1,$K874=ReportDate+1,$A874=ReportDate+1),1,0),0)</f>
        <v>0</v>
      </c>
      <c r="AV874" s="71">
        <f>IF(AND($G874&lt;&gt;"",$M874="Completed"),IF(OR($Y874=ReportDate-1,$A874=ReportDate-1),1,0),0)</f>
        <v>0</v>
      </c>
      <c r="AW874" s="71">
        <f>IF(AND($AK874=1,$Z874="Yes"),1,0)</f>
        <v>0</v>
      </c>
      <c r="AX874" s="71">
        <f>IF(AND($AK874=1,$AA874="Yes"),1,0)</f>
        <v>0</v>
      </c>
      <c r="AY874" s="71">
        <f>IF(AND($AM874=1,OR($I874="Critical",$I874="High")),1,0)</f>
        <v>0</v>
      </c>
      <c r="AZ874" s="71">
        <f>IF(AND($AK874=1,OR($C874=TCL_Client,$C874=MECCA_Client)),1,0)</f>
        <v>0</v>
      </c>
      <c r="BA874" s="71" t="str">
        <f>IF($G874="","",IFERROR(MATCH($I874,lst_Priority,0),5))</f>
        <v/>
      </c>
      <c r="BB874" s="71" t="str">
        <f>IF(AND($AL874=1,$AJ874=1),$BA874*100000+ROW(),"")</f>
        <v/>
      </c>
      <c r="BC874" s="71" t="str">
        <f>IF(AND($AM874=1,$AJ874=1),$BA874*100000+ROW(),"")</f>
        <v/>
      </c>
      <c r="BD874" s="71" t="str">
        <f>IF(AND($AP874=1,$AJ874=1),$BA874*100000+ROW(),"")</f>
        <v/>
      </c>
      <c r="BE874" s="71" t="str">
        <f>IF(AND($AT874=1,$AJ874=1),$BA874*100000+ROW(),"")</f>
        <v/>
      </c>
      <c r="BF874" s="71" t="str">
        <f>IF(AND($AU874=1,$AJ874=1),$BA874*100000+ROW(),"")</f>
        <v/>
      </c>
      <c r="BG874" s="71" t="str">
        <f>IF(AND($AV874=1,$AJ874=1),$BA874*100000+ROW(),"")</f>
        <v/>
      </c>
      <c r="BH874" s="71" t="str">
        <f>IF(AND($AW874=1,$AJ874=1),$BA874*100000+ROW(),"")</f>
        <v/>
      </c>
      <c r="BI874" s="71" t="str">
        <f>IF(AND($AX874=1,$AJ874=1),$BA874*100000+ROW(),"")</f>
        <v/>
      </c>
      <c r="BJ874" s="71" t="str">
        <f>IF(AND($AS874=1,$AJ874=1),$BA874*100000+ROW(),"")</f>
        <v/>
      </c>
      <c r="BK874" s="71" t="str">
        <f>IF(AND($AY874=1,$AJ874=1),$BA874*100000+ROW(),"")</f>
        <v/>
      </c>
      <c r="BL874" s="71" t="str">
        <f>IF(AND($AZ874=1),$BA874*100000+ROW(),"")</f>
        <v/>
      </c>
    </row>
    <row r="875">
      <c r="A875" s="63" t="n"/>
      <c r="B875" s="64" t="n"/>
      <c r="C875" s="64" t="n"/>
      <c r="D875" s="64" t="n"/>
      <c r="E875" s="64" t="n"/>
      <c r="F875" s="64" t="n"/>
      <c r="G875" s="65" t="n"/>
      <c r="H875" s="65" t="n"/>
      <c r="I875" s="64" t="n"/>
      <c r="J875" s="64" t="n"/>
      <c r="K875" s="63" t="n"/>
      <c r="L875" s="63" t="n"/>
      <c r="M875" s="64" t="n"/>
      <c r="N875" s="66" t="n"/>
      <c r="O875" s="65" t="n"/>
      <c r="P875" s="64" t="n"/>
      <c r="Q875" s="67" t="n"/>
      <c r="R875" s="67" t="n"/>
      <c r="S875" s="68" t="str">
        <f>IF(AND(ISNUMBER($Q875),ISNUMBER($R875)),$Q875-$R875,"")</f>
        <v/>
      </c>
      <c r="T875" s="65" t="n"/>
      <c r="U875" s="64" t="n"/>
      <c r="V875" s="65" t="n"/>
      <c r="W875" s="63" t="n"/>
      <c r="X875" s="65" t="n"/>
      <c r="Y875" s="63" t="n"/>
      <c r="Z875" s="64" t="n"/>
      <c r="AA875" s="64" t="n"/>
      <c r="AB875" s="65" t="n"/>
      <c r="AC875" s="69" t="str">
        <f>IF(OR($G875="",NOT(ISNUMBER($K875)),$AK875=0),"",MAX(0,ReportDate-$K875))</f>
        <v/>
      </c>
      <c r="AD875" s="69" t="str">
        <f>IF($G875="","",IF($AL875=1,ReportDate-$L875,0))</f>
        <v/>
      </c>
      <c r="AE875" s="70" t="str">
        <f>IF($G875="","",IF($M875="Completed",1,IF(ISNUMBER($N875),$N875,0)))</f>
        <v/>
      </c>
      <c r="AF875" s="70" t="str">
        <f>IF(AND(ISNUMBER($Q875),ISNUMBER($R875)),IF($R875&lt;&gt;0,$Q875/$R875,""),"")</f>
        <v/>
      </c>
      <c r="AG875" s="71" t="str">
        <f>IF($G875="","",IF($AL875=1,"OVERDUE",IF($AM875=1,"BLOCKED",IF($AN875=1,"DUE TODAY",IF($AO875=1,"DUE TOMORROW",IF($AQ875=1,"HIGH PRIORITY",IF($AR875=1,"NO RECENT UPDATE",""))))))) </f>
        <v/>
      </c>
      <c r="AH875" s="71" t="str">
        <f>IF($G875="","",IF(ISNUMBER($A875),IF(ISNUMBER($A875),YEAR($A875)&amp;"-"&amp;TEXT(MONTH($A875),"00"),""),IF(ISNUMBER($L875),IF(ISNUMBER($L875),YEAR($L875)&amp;"-"&amp;TEXT(MONTH($L875),"00"),""),"")))</f>
        <v/>
      </c>
      <c r="AI875" s="71">
        <f>IF($G875="",0,IF(AND(OR(fClient="All",$C875=fClient),OR(fCampaign="All",$D875=fCampaign),OR(fTeam="All",$B875=fTeam),OR(fChannel="All",$F875=fChannel),OR(fMonth="All",$AH875=fMonth),OR(fTStatus="All",$M875=fTStatus)),1,0))</f>
        <v>0</v>
      </c>
      <c r="AJ875" s="71">
        <f>IF($G875="",0,IF(AND(OR(fClient="All",$C875=fClient),OR(fCampaign="All",$D875=fCampaign),OR(fTeam="All",$B875=fTeam),OR(fChannel="All",$F875=fChannel)),1,0))</f>
        <v>0</v>
      </c>
      <c r="AK875" s="71">
        <f>IF($G875="",0,IF(OR($M875="Completed",$M875="Cancelled"),0,1))</f>
        <v>0</v>
      </c>
      <c r="AL875" s="71">
        <f>IF(AND($AK875=1,ISNUMBER($L875)),IF($L875&lt;ReportDate,1,0),0)</f>
        <v>0</v>
      </c>
      <c r="AM875" s="71">
        <f>IF(AND($G875&lt;&gt;"",$M875="Blocked"),1,0)</f>
        <v>0</v>
      </c>
      <c r="AN875" s="71">
        <f>IF(AND($AK875=1,ISNUMBER($L875)),IF($L875=ReportDate,1,0),0)</f>
        <v>0</v>
      </c>
      <c r="AO875" s="71">
        <f>IF(AND($AK875=1,ISNUMBER($L875)),IF($L875=ReportDate+1,1,0),0)</f>
        <v>0</v>
      </c>
      <c r="AP875" s="71">
        <f>IF(AND($AK875=1,ISNUMBER($L875)),IF(AND($L875&gt;=ReportDate,$L875&lt;=ReportDate+DueSoonDays),1,0),0)</f>
        <v>0</v>
      </c>
      <c r="AQ875" s="71">
        <f>IF(AND($AK875=1,OR($I875="Critical",$I875="High")),1,0)</f>
        <v>0</v>
      </c>
      <c r="AR875" s="71">
        <f>IF($AK875=1,IF(ISNUMBER($Y875),IF(ReportDate-$Y875&gt;StaleDays,1,0),1),0)</f>
        <v>0</v>
      </c>
      <c r="AS875" s="71">
        <f>IF(AND($G875&lt;&gt;"",ISNUMBER($Q875),ISNUMBER($R875)),IF(AND($Q875&lt;$R875,OR($M875="Completed",AND(ISNUMBER($L875),$L875&lt;ReportDate))),1,0),0)</f>
        <v>0</v>
      </c>
      <c r="AT875" s="71">
        <f>IF($AK875=1,IF(OR($L875=ReportDate,$W875=ReportDate,$K875=ReportDate,$A875=ReportDate),1,0),0)</f>
        <v>0</v>
      </c>
      <c r="AU875" s="71">
        <f>IF($AK875=1,IF(OR($L875=ReportDate+1,$W875=ReportDate+1,$K875=ReportDate+1,$A875=ReportDate+1),1,0),0)</f>
        <v>0</v>
      </c>
      <c r="AV875" s="71">
        <f>IF(AND($G875&lt;&gt;"",$M875="Completed"),IF(OR($Y875=ReportDate-1,$A875=ReportDate-1),1,0),0)</f>
        <v>0</v>
      </c>
      <c r="AW875" s="71">
        <f>IF(AND($AK875=1,$Z875="Yes"),1,0)</f>
        <v>0</v>
      </c>
      <c r="AX875" s="71">
        <f>IF(AND($AK875=1,$AA875="Yes"),1,0)</f>
        <v>0</v>
      </c>
      <c r="AY875" s="71">
        <f>IF(AND($AM875=1,OR($I875="Critical",$I875="High")),1,0)</f>
        <v>0</v>
      </c>
      <c r="AZ875" s="71">
        <f>IF(AND($AK875=1,OR($C875=TCL_Client,$C875=MECCA_Client)),1,0)</f>
        <v>0</v>
      </c>
      <c r="BA875" s="71" t="str">
        <f>IF($G875="","",IFERROR(MATCH($I875,lst_Priority,0),5))</f>
        <v/>
      </c>
      <c r="BB875" s="71" t="str">
        <f>IF(AND($AL875=1,$AJ875=1),$BA875*100000+ROW(),"")</f>
        <v/>
      </c>
      <c r="BC875" s="71" t="str">
        <f>IF(AND($AM875=1,$AJ875=1),$BA875*100000+ROW(),"")</f>
        <v/>
      </c>
      <c r="BD875" s="71" t="str">
        <f>IF(AND($AP875=1,$AJ875=1),$BA875*100000+ROW(),"")</f>
        <v/>
      </c>
      <c r="BE875" s="71" t="str">
        <f>IF(AND($AT875=1,$AJ875=1),$BA875*100000+ROW(),"")</f>
        <v/>
      </c>
      <c r="BF875" s="71" t="str">
        <f>IF(AND($AU875=1,$AJ875=1),$BA875*100000+ROW(),"")</f>
        <v/>
      </c>
      <c r="BG875" s="71" t="str">
        <f>IF(AND($AV875=1,$AJ875=1),$BA875*100000+ROW(),"")</f>
        <v/>
      </c>
      <c r="BH875" s="71" t="str">
        <f>IF(AND($AW875=1,$AJ875=1),$BA875*100000+ROW(),"")</f>
        <v/>
      </c>
      <c r="BI875" s="71" t="str">
        <f>IF(AND($AX875=1,$AJ875=1),$BA875*100000+ROW(),"")</f>
        <v/>
      </c>
      <c r="BJ875" s="71" t="str">
        <f>IF(AND($AS875=1,$AJ875=1),$BA875*100000+ROW(),"")</f>
        <v/>
      </c>
      <c r="BK875" s="71" t="str">
        <f>IF(AND($AY875=1,$AJ875=1),$BA875*100000+ROW(),"")</f>
        <v/>
      </c>
      <c r="BL875" s="71" t="str">
        <f>IF(AND($AZ875=1),$BA875*100000+ROW(),"")</f>
        <v/>
      </c>
    </row>
    <row r="876">
      <c r="A876" s="63" t="n"/>
      <c r="B876" s="64" t="n"/>
      <c r="C876" s="64" t="n"/>
      <c r="D876" s="64" t="n"/>
      <c r="E876" s="64" t="n"/>
      <c r="F876" s="64" t="n"/>
      <c r="G876" s="65" t="n"/>
      <c r="H876" s="65" t="n"/>
      <c r="I876" s="64" t="n"/>
      <c r="J876" s="64" t="n"/>
      <c r="K876" s="63" t="n"/>
      <c r="L876" s="63" t="n"/>
      <c r="M876" s="64" t="n"/>
      <c r="N876" s="66" t="n"/>
      <c r="O876" s="65" t="n"/>
      <c r="P876" s="64" t="n"/>
      <c r="Q876" s="67" t="n"/>
      <c r="R876" s="67" t="n"/>
      <c r="S876" s="68" t="str">
        <f>IF(AND(ISNUMBER($Q876),ISNUMBER($R876)),$Q876-$R876,"")</f>
        <v/>
      </c>
      <c r="T876" s="65" t="n"/>
      <c r="U876" s="64" t="n"/>
      <c r="V876" s="65" t="n"/>
      <c r="W876" s="63" t="n"/>
      <c r="X876" s="65" t="n"/>
      <c r="Y876" s="63" t="n"/>
      <c r="Z876" s="64" t="n"/>
      <c r="AA876" s="64" t="n"/>
      <c r="AB876" s="65" t="n"/>
      <c r="AC876" s="69" t="str">
        <f>IF(OR($G876="",NOT(ISNUMBER($K876)),$AK876=0),"",MAX(0,ReportDate-$K876))</f>
        <v/>
      </c>
      <c r="AD876" s="69" t="str">
        <f>IF($G876="","",IF($AL876=1,ReportDate-$L876,0))</f>
        <v/>
      </c>
      <c r="AE876" s="70" t="str">
        <f>IF($G876="","",IF($M876="Completed",1,IF(ISNUMBER($N876),$N876,0)))</f>
        <v/>
      </c>
      <c r="AF876" s="70" t="str">
        <f>IF(AND(ISNUMBER($Q876),ISNUMBER($R876)),IF($R876&lt;&gt;0,$Q876/$R876,""),"")</f>
        <v/>
      </c>
      <c r="AG876" s="71" t="str">
        <f>IF($G876="","",IF($AL876=1,"OVERDUE",IF($AM876=1,"BLOCKED",IF($AN876=1,"DUE TODAY",IF($AO876=1,"DUE TOMORROW",IF($AQ876=1,"HIGH PRIORITY",IF($AR876=1,"NO RECENT UPDATE",""))))))) </f>
        <v/>
      </c>
      <c r="AH876" s="71" t="str">
        <f>IF($G876="","",IF(ISNUMBER($A876),IF(ISNUMBER($A876),YEAR($A876)&amp;"-"&amp;TEXT(MONTH($A876),"00"),""),IF(ISNUMBER($L876),IF(ISNUMBER($L876),YEAR($L876)&amp;"-"&amp;TEXT(MONTH($L876),"00"),""),"")))</f>
        <v/>
      </c>
      <c r="AI876" s="71">
        <f>IF($G876="",0,IF(AND(OR(fClient="All",$C876=fClient),OR(fCampaign="All",$D876=fCampaign),OR(fTeam="All",$B876=fTeam),OR(fChannel="All",$F876=fChannel),OR(fMonth="All",$AH876=fMonth),OR(fTStatus="All",$M876=fTStatus)),1,0))</f>
        <v>0</v>
      </c>
      <c r="AJ876" s="71">
        <f>IF($G876="",0,IF(AND(OR(fClient="All",$C876=fClient),OR(fCampaign="All",$D876=fCampaign),OR(fTeam="All",$B876=fTeam),OR(fChannel="All",$F876=fChannel)),1,0))</f>
        <v>0</v>
      </c>
      <c r="AK876" s="71">
        <f>IF($G876="",0,IF(OR($M876="Completed",$M876="Cancelled"),0,1))</f>
        <v>0</v>
      </c>
      <c r="AL876" s="71">
        <f>IF(AND($AK876=1,ISNUMBER($L876)),IF($L876&lt;ReportDate,1,0),0)</f>
        <v>0</v>
      </c>
      <c r="AM876" s="71">
        <f>IF(AND($G876&lt;&gt;"",$M876="Blocked"),1,0)</f>
        <v>0</v>
      </c>
      <c r="AN876" s="71">
        <f>IF(AND($AK876=1,ISNUMBER($L876)),IF($L876=ReportDate,1,0),0)</f>
        <v>0</v>
      </c>
      <c r="AO876" s="71">
        <f>IF(AND($AK876=1,ISNUMBER($L876)),IF($L876=ReportDate+1,1,0),0)</f>
        <v>0</v>
      </c>
      <c r="AP876" s="71">
        <f>IF(AND($AK876=1,ISNUMBER($L876)),IF(AND($L876&gt;=ReportDate,$L876&lt;=ReportDate+DueSoonDays),1,0),0)</f>
        <v>0</v>
      </c>
      <c r="AQ876" s="71">
        <f>IF(AND($AK876=1,OR($I876="Critical",$I876="High")),1,0)</f>
        <v>0</v>
      </c>
      <c r="AR876" s="71">
        <f>IF($AK876=1,IF(ISNUMBER($Y876),IF(ReportDate-$Y876&gt;StaleDays,1,0),1),0)</f>
        <v>0</v>
      </c>
      <c r="AS876" s="71">
        <f>IF(AND($G876&lt;&gt;"",ISNUMBER($Q876),ISNUMBER($R876)),IF(AND($Q876&lt;$R876,OR($M876="Completed",AND(ISNUMBER($L876),$L876&lt;ReportDate))),1,0),0)</f>
        <v>0</v>
      </c>
      <c r="AT876" s="71">
        <f>IF($AK876=1,IF(OR($L876=ReportDate,$W876=ReportDate,$K876=ReportDate,$A876=ReportDate),1,0),0)</f>
        <v>0</v>
      </c>
      <c r="AU876" s="71">
        <f>IF($AK876=1,IF(OR($L876=ReportDate+1,$W876=ReportDate+1,$K876=ReportDate+1,$A876=ReportDate+1),1,0),0)</f>
        <v>0</v>
      </c>
      <c r="AV876" s="71">
        <f>IF(AND($G876&lt;&gt;"",$M876="Completed"),IF(OR($Y876=ReportDate-1,$A876=ReportDate-1),1,0),0)</f>
        <v>0</v>
      </c>
      <c r="AW876" s="71">
        <f>IF(AND($AK876=1,$Z876="Yes"),1,0)</f>
        <v>0</v>
      </c>
      <c r="AX876" s="71">
        <f>IF(AND($AK876=1,$AA876="Yes"),1,0)</f>
        <v>0</v>
      </c>
      <c r="AY876" s="71">
        <f>IF(AND($AM876=1,OR($I876="Critical",$I876="High")),1,0)</f>
        <v>0</v>
      </c>
      <c r="AZ876" s="71">
        <f>IF(AND($AK876=1,OR($C876=TCL_Client,$C876=MECCA_Client)),1,0)</f>
        <v>0</v>
      </c>
      <c r="BA876" s="71" t="str">
        <f>IF($G876="","",IFERROR(MATCH($I876,lst_Priority,0),5))</f>
        <v/>
      </c>
      <c r="BB876" s="71" t="str">
        <f>IF(AND($AL876=1,$AJ876=1),$BA876*100000+ROW(),"")</f>
        <v/>
      </c>
      <c r="BC876" s="71" t="str">
        <f>IF(AND($AM876=1,$AJ876=1),$BA876*100000+ROW(),"")</f>
        <v/>
      </c>
      <c r="BD876" s="71" t="str">
        <f>IF(AND($AP876=1,$AJ876=1),$BA876*100000+ROW(),"")</f>
        <v/>
      </c>
      <c r="BE876" s="71" t="str">
        <f>IF(AND($AT876=1,$AJ876=1),$BA876*100000+ROW(),"")</f>
        <v/>
      </c>
      <c r="BF876" s="71" t="str">
        <f>IF(AND($AU876=1,$AJ876=1),$BA876*100000+ROW(),"")</f>
        <v/>
      </c>
      <c r="BG876" s="71" t="str">
        <f>IF(AND($AV876=1,$AJ876=1),$BA876*100000+ROW(),"")</f>
        <v/>
      </c>
      <c r="BH876" s="71" t="str">
        <f>IF(AND($AW876=1,$AJ876=1),$BA876*100000+ROW(),"")</f>
        <v/>
      </c>
      <c r="BI876" s="71" t="str">
        <f>IF(AND($AX876=1,$AJ876=1),$BA876*100000+ROW(),"")</f>
        <v/>
      </c>
      <c r="BJ876" s="71" t="str">
        <f>IF(AND($AS876=1,$AJ876=1),$BA876*100000+ROW(),"")</f>
        <v/>
      </c>
      <c r="BK876" s="71" t="str">
        <f>IF(AND($AY876=1,$AJ876=1),$BA876*100000+ROW(),"")</f>
        <v/>
      </c>
      <c r="BL876" s="71" t="str">
        <f>IF(AND($AZ876=1),$BA876*100000+ROW(),"")</f>
        <v/>
      </c>
    </row>
    <row r="877">
      <c r="A877" s="63" t="n"/>
      <c r="B877" s="64" t="n"/>
      <c r="C877" s="64" t="n"/>
      <c r="D877" s="64" t="n"/>
      <c r="E877" s="64" t="n"/>
      <c r="F877" s="64" t="n"/>
      <c r="G877" s="65" t="n"/>
      <c r="H877" s="65" t="n"/>
      <c r="I877" s="64" t="n"/>
      <c r="J877" s="64" t="n"/>
      <c r="K877" s="63" t="n"/>
      <c r="L877" s="63" t="n"/>
      <c r="M877" s="64" t="n"/>
      <c r="N877" s="66" t="n"/>
      <c r="O877" s="65" t="n"/>
      <c r="P877" s="64" t="n"/>
      <c r="Q877" s="67" t="n"/>
      <c r="R877" s="67" t="n"/>
      <c r="S877" s="68" t="str">
        <f>IF(AND(ISNUMBER($Q877),ISNUMBER($R877)),$Q877-$R877,"")</f>
        <v/>
      </c>
      <c r="T877" s="65" t="n"/>
      <c r="U877" s="64" t="n"/>
      <c r="V877" s="65" t="n"/>
      <c r="W877" s="63" t="n"/>
      <c r="X877" s="65" t="n"/>
      <c r="Y877" s="63" t="n"/>
      <c r="Z877" s="64" t="n"/>
      <c r="AA877" s="64" t="n"/>
      <c r="AB877" s="65" t="n"/>
      <c r="AC877" s="69" t="str">
        <f>IF(OR($G877="",NOT(ISNUMBER($K877)),$AK877=0),"",MAX(0,ReportDate-$K877))</f>
        <v/>
      </c>
      <c r="AD877" s="69" t="str">
        <f>IF($G877="","",IF($AL877=1,ReportDate-$L877,0))</f>
        <v/>
      </c>
      <c r="AE877" s="70" t="str">
        <f>IF($G877="","",IF($M877="Completed",1,IF(ISNUMBER($N877),$N877,0)))</f>
        <v/>
      </c>
      <c r="AF877" s="70" t="str">
        <f>IF(AND(ISNUMBER($Q877),ISNUMBER($R877)),IF($R877&lt;&gt;0,$Q877/$R877,""),"")</f>
        <v/>
      </c>
      <c r="AG877" s="71" t="str">
        <f>IF($G877="","",IF($AL877=1,"OVERDUE",IF($AM877=1,"BLOCKED",IF($AN877=1,"DUE TODAY",IF($AO877=1,"DUE TOMORROW",IF($AQ877=1,"HIGH PRIORITY",IF($AR877=1,"NO RECENT UPDATE",""))))))) </f>
        <v/>
      </c>
      <c r="AH877" s="71" t="str">
        <f>IF($G877="","",IF(ISNUMBER($A877),IF(ISNUMBER($A877),YEAR($A877)&amp;"-"&amp;TEXT(MONTH($A877),"00"),""),IF(ISNUMBER($L877),IF(ISNUMBER($L877),YEAR($L877)&amp;"-"&amp;TEXT(MONTH($L877),"00"),""),"")))</f>
        <v/>
      </c>
      <c r="AI877" s="71">
        <f>IF($G877="",0,IF(AND(OR(fClient="All",$C877=fClient),OR(fCampaign="All",$D877=fCampaign),OR(fTeam="All",$B877=fTeam),OR(fChannel="All",$F877=fChannel),OR(fMonth="All",$AH877=fMonth),OR(fTStatus="All",$M877=fTStatus)),1,0))</f>
        <v>0</v>
      </c>
      <c r="AJ877" s="71">
        <f>IF($G877="",0,IF(AND(OR(fClient="All",$C877=fClient),OR(fCampaign="All",$D877=fCampaign),OR(fTeam="All",$B877=fTeam),OR(fChannel="All",$F877=fChannel)),1,0))</f>
        <v>0</v>
      </c>
      <c r="AK877" s="71">
        <f>IF($G877="",0,IF(OR($M877="Completed",$M877="Cancelled"),0,1))</f>
        <v>0</v>
      </c>
      <c r="AL877" s="71">
        <f>IF(AND($AK877=1,ISNUMBER($L877)),IF($L877&lt;ReportDate,1,0),0)</f>
        <v>0</v>
      </c>
      <c r="AM877" s="71">
        <f>IF(AND($G877&lt;&gt;"",$M877="Blocked"),1,0)</f>
        <v>0</v>
      </c>
      <c r="AN877" s="71">
        <f>IF(AND($AK877=1,ISNUMBER($L877)),IF($L877=ReportDate,1,0),0)</f>
        <v>0</v>
      </c>
      <c r="AO877" s="71">
        <f>IF(AND($AK877=1,ISNUMBER($L877)),IF($L877=ReportDate+1,1,0),0)</f>
        <v>0</v>
      </c>
      <c r="AP877" s="71">
        <f>IF(AND($AK877=1,ISNUMBER($L877)),IF(AND($L877&gt;=ReportDate,$L877&lt;=ReportDate+DueSoonDays),1,0),0)</f>
        <v>0</v>
      </c>
      <c r="AQ877" s="71">
        <f>IF(AND($AK877=1,OR($I877="Critical",$I877="High")),1,0)</f>
        <v>0</v>
      </c>
      <c r="AR877" s="71">
        <f>IF($AK877=1,IF(ISNUMBER($Y877),IF(ReportDate-$Y877&gt;StaleDays,1,0),1),0)</f>
        <v>0</v>
      </c>
      <c r="AS877" s="71">
        <f>IF(AND($G877&lt;&gt;"",ISNUMBER($Q877),ISNUMBER($R877)),IF(AND($Q877&lt;$R877,OR($M877="Completed",AND(ISNUMBER($L877),$L877&lt;ReportDate))),1,0),0)</f>
        <v>0</v>
      </c>
      <c r="AT877" s="71">
        <f>IF($AK877=1,IF(OR($L877=ReportDate,$W877=ReportDate,$K877=ReportDate,$A877=ReportDate),1,0),0)</f>
        <v>0</v>
      </c>
      <c r="AU877" s="71">
        <f>IF($AK877=1,IF(OR($L877=ReportDate+1,$W877=ReportDate+1,$K877=ReportDate+1,$A877=ReportDate+1),1,0),0)</f>
        <v>0</v>
      </c>
      <c r="AV877" s="71">
        <f>IF(AND($G877&lt;&gt;"",$M877="Completed"),IF(OR($Y877=ReportDate-1,$A877=ReportDate-1),1,0),0)</f>
        <v>0</v>
      </c>
      <c r="AW877" s="71">
        <f>IF(AND($AK877=1,$Z877="Yes"),1,0)</f>
        <v>0</v>
      </c>
      <c r="AX877" s="71">
        <f>IF(AND($AK877=1,$AA877="Yes"),1,0)</f>
        <v>0</v>
      </c>
      <c r="AY877" s="71">
        <f>IF(AND($AM877=1,OR($I877="Critical",$I877="High")),1,0)</f>
        <v>0</v>
      </c>
      <c r="AZ877" s="71">
        <f>IF(AND($AK877=1,OR($C877=TCL_Client,$C877=MECCA_Client)),1,0)</f>
        <v>0</v>
      </c>
      <c r="BA877" s="71" t="str">
        <f>IF($G877="","",IFERROR(MATCH($I877,lst_Priority,0),5))</f>
        <v/>
      </c>
      <c r="BB877" s="71" t="str">
        <f>IF(AND($AL877=1,$AJ877=1),$BA877*100000+ROW(),"")</f>
        <v/>
      </c>
      <c r="BC877" s="71" t="str">
        <f>IF(AND($AM877=1,$AJ877=1),$BA877*100000+ROW(),"")</f>
        <v/>
      </c>
      <c r="BD877" s="71" t="str">
        <f>IF(AND($AP877=1,$AJ877=1),$BA877*100000+ROW(),"")</f>
        <v/>
      </c>
      <c r="BE877" s="71" t="str">
        <f>IF(AND($AT877=1,$AJ877=1),$BA877*100000+ROW(),"")</f>
        <v/>
      </c>
      <c r="BF877" s="71" t="str">
        <f>IF(AND($AU877=1,$AJ877=1),$BA877*100000+ROW(),"")</f>
        <v/>
      </c>
      <c r="BG877" s="71" t="str">
        <f>IF(AND($AV877=1,$AJ877=1),$BA877*100000+ROW(),"")</f>
        <v/>
      </c>
      <c r="BH877" s="71" t="str">
        <f>IF(AND($AW877=1,$AJ877=1),$BA877*100000+ROW(),"")</f>
        <v/>
      </c>
      <c r="BI877" s="71" t="str">
        <f>IF(AND($AX877=1,$AJ877=1),$BA877*100000+ROW(),"")</f>
        <v/>
      </c>
      <c r="BJ877" s="71" t="str">
        <f>IF(AND($AS877=1,$AJ877=1),$BA877*100000+ROW(),"")</f>
        <v/>
      </c>
      <c r="BK877" s="71" t="str">
        <f>IF(AND($AY877=1,$AJ877=1),$BA877*100000+ROW(),"")</f>
        <v/>
      </c>
      <c r="BL877" s="71" t="str">
        <f>IF(AND($AZ877=1),$BA877*100000+ROW(),"")</f>
        <v/>
      </c>
    </row>
    <row r="878">
      <c r="A878" s="63" t="n"/>
      <c r="B878" s="64" t="n"/>
      <c r="C878" s="64" t="n"/>
      <c r="D878" s="64" t="n"/>
      <c r="E878" s="64" t="n"/>
      <c r="F878" s="64" t="n"/>
      <c r="G878" s="65" t="n"/>
      <c r="H878" s="65" t="n"/>
      <c r="I878" s="64" t="n"/>
      <c r="J878" s="64" t="n"/>
      <c r="K878" s="63" t="n"/>
      <c r="L878" s="63" t="n"/>
      <c r="M878" s="64" t="n"/>
      <c r="N878" s="66" t="n"/>
      <c r="O878" s="65" t="n"/>
      <c r="P878" s="64" t="n"/>
      <c r="Q878" s="67" t="n"/>
      <c r="R878" s="67" t="n"/>
      <c r="S878" s="68" t="str">
        <f>IF(AND(ISNUMBER($Q878),ISNUMBER($R878)),$Q878-$R878,"")</f>
        <v/>
      </c>
      <c r="T878" s="65" t="n"/>
      <c r="U878" s="64" t="n"/>
      <c r="V878" s="65" t="n"/>
      <c r="W878" s="63" t="n"/>
      <c r="X878" s="65" t="n"/>
      <c r="Y878" s="63" t="n"/>
      <c r="Z878" s="64" t="n"/>
      <c r="AA878" s="64" t="n"/>
      <c r="AB878" s="65" t="n"/>
      <c r="AC878" s="69" t="str">
        <f>IF(OR($G878="",NOT(ISNUMBER($K878)),$AK878=0),"",MAX(0,ReportDate-$K878))</f>
        <v/>
      </c>
      <c r="AD878" s="69" t="str">
        <f>IF($G878="","",IF($AL878=1,ReportDate-$L878,0))</f>
        <v/>
      </c>
      <c r="AE878" s="70" t="str">
        <f>IF($G878="","",IF($M878="Completed",1,IF(ISNUMBER($N878),$N878,0)))</f>
        <v/>
      </c>
      <c r="AF878" s="70" t="str">
        <f>IF(AND(ISNUMBER($Q878),ISNUMBER($R878)),IF($R878&lt;&gt;0,$Q878/$R878,""),"")</f>
        <v/>
      </c>
      <c r="AG878" s="71" t="str">
        <f>IF($G878="","",IF($AL878=1,"OVERDUE",IF($AM878=1,"BLOCKED",IF($AN878=1,"DUE TODAY",IF($AO878=1,"DUE TOMORROW",IF($AQ878=1,"HIGH PRIORITY",IF($AR878=1,"NO RECENT UPDATE",""))))))) </f>
        <v/>
      </c>
      <c r="AH878" s="71" t="str">
        <f>IF($G878="","",IF(ISNUMBER($A878),IF(ISNUMBER($A878),YEAR($A878)&amp;"-"&amp;TEXT(MONTH($A878),"00"),""),IF(ISNUMBER($L878),IF(ISNUMBER($L878),YEAR($L878)&amp;"-"&amp;TEXT(MONTH($L878),"00"),""),"")))</f>
        <v/>
      </c>
      <c r="AI878" s="71">
        <f>IF($G878="",0,IF(AND(OR(fClient="All",$C878=fClient),OR(fCampaign="All",$D878=fCampaign),OR(fTeam="All",$B878=fTeam),OR(fChannel="All",$F878=fChannel),OR(fMonth="All",$AH878=fMonth),OR(fTStatus="All",$M878=fTStatus)),1,0))</f>
        <v>0</v>
      </c>
      <c r="AJ878" s="71">
        <f>IF($G878="",0,IF(AND(OR(fClient="All",$C878=fClient),OR(fCampaign="All",$D878=fCampaign),OR(fTeam="All",$B878=fTeam),OR(fChannel="All",$F878=fChannel)),1,0))</f>
        <v>0</v>
      </c>
      <c r="AK878" s="71">
        <f>IF($G878="",0,IF(OR($M878="Completed",$M878="Cancelled"),0,1))</f>
        <v>0</v>
      </c>
      <c r="AL878" s="71">
        <f>IF(AND($AK878=1,ISNUMBER($L878)),IF($L878&lt;ReportDate,1,0),0)</f>
        <v>0</v>
      </c>
      <c r="AM878" s="71">
        <f>IF(AND($G878&lt;&gt;"",$M878="Blocked"),1,0)</f>
        <v>0</v>
      </c>
      <c r="AN878" s="71">
        <f>IF(AND($AK878=1,ISNUMBER($L878)),IF($L878=ReportDate,1,0),0)</f>
        <v>0</v>
      </c>
      <c r="AO878" s="71">
        <f>IF(AND($AK878=1,ISNUMBER($L878)),IF($L878=ReportDate+1,1,0),0)</f>
        <v>0</v>
      </c>
      <c r="AP878" s="71">
        <f>IF(AND($AK878=1,ISNUMBER($L878)),IF(AND($L878&gt;=ReportDate,$L878&lt;=ReportDate+DueSoonDays),1,0),0)</f>
        <v>0</v>
      </c>
      <c r="AQ878" s="71">
        <f>IF(AND($AK878=1,OR($I878="Critical",$I878="High")),1,0)</f>
        <v>0</v>
      </c>
      <c r="AR878" s="71">
        <f>IF($AK878=1,IF(ISNUMBER($Y878),IF(ReportDate-$Y878&gt;StaleDays,1,0),1),0)</f>
        <v>0</v>
      </c>
      <c r="AS878" s="71">
        <f>IF(AND($G878&lt;&gt;"",ISNUMBER($Q878),ISNUMBER($R878)),IF(AND($Q878&lt;$R878,OR($M878="Completed",AND(ISNUMBER($L878),$L878&lt;ReportDate))),1,0),0)</f>
        <v>0</v>
      </c>
      <c r="AT878" s="71">
        <f>IF($AK878=1,IF(OR($L878=ReportDate,$W878=ReportDate,$K878=ReportDate,$A878=ReportDate),1,0),0)</f>
        <v>0</v>
      </c>
      <c r="AU878" s="71">
        <f>IF($AK878=1,IF(OR($L878=ReportDate+1,$W878=ReportDate+1,$K878=ReportDate+1,$A878=ReportDate+1),1,0),0)</f>
        <v>0</v>
      </c>
      <c r="AV878" s="71">
        <f>IF(AND($G878&lt;&gt;"",$M878="Completed"),IF(OR($Y878=ReportDate-1,$A878=ReportDate-1),1,0),0)</f>
        <v>0</v>
      </c>
      <c r="AW878" s="71">
        <f>IF(AND($AK878=1,$Z878="Yes"),1,0)</f>
        <v>0</v>
      </c>
      <c r="AX878" s="71">
        <f>IF(AND($AK878=1,$AA878="Yes"),1,0)</f>
        <v>0</v>
      </c>
      <c r="AY878" s="71">
        <f>IF(AND($AM878=1,OR($I878="Critical",$I878="High")),1,0)</f>
        <v>0</v>
      </c>
      <c r="AZ878" s="71">
        <f>IF(AND($AK878=1,OR($C878=TCL_Client,$C878=MECCA_Client)),1,0)</f>
        <v>0</v>
      </c>
      <c r="BA878" s="71" t="str">
        <f>IF($G878="","",IFERROR(MATCH($I878,lst_Priority,0),5))</f>
        <v/>
      </c>
      <c r="BB878" s="71" t="str">
        <f>IF(AND($AL878=1,$AJ878=1),$BA878*100000+ROW(),"")</f>
        <v/>
      </c>
      <c r="BC878" s="71" t="str">
        <f>IF(AND($AM878=1,$AJ878=1),$BA878*100000+ROW(),"")</f>
        <v/>
      </c>
      <c r="BD878" s="71" t="str">
        <f>IF(AND($AP878=1,$AJ878=1),$BA878*100000+ROW(),"")</f>
        <v/>
      </c>
      <c r="BE878" s="71" t="str">
        <f>IF(AND($AT878=1,$AJ878=1),$BA878*100000+ROW(),"")</f>
        <v/>
      </c>
      <c r="BF878" s="71" t="str">
        <f>IF(AND($AU878=1,$AJ878=1),$BA878*100000+ROW(),"")</f>
        <v/>
      </c>
      <c r="BG878" s="71" t="str">
        <f>IF(AND($AV878=1,$AJ878=1),$BA878*100000+ROW(),"")</f>
        <v/>
      </c>
      <c r="BH878" s="71" t="str">
        <f>IF(AND($AW878=1,$AJ878=1),$BA878*100000+ROW(),"")</f>
        <v/>
      </c>
      <c r="BI878" s="71" t="str">
        <f>IF(AND($AX878=1,$AJ878=1),$BA878*100000+ROW(),"")</f>
        <v/>
      </c>
      <c r="BJ878" s="71" t="str">
        <f>IF(AND($AS878=1,$AJ878=1),$BA878*100000+ROW(),"")</f>
        <v/>
      </c>
      <c r="BK878" s="71" t="str">
        <f>IF(AND($AY878=1,$AJ878=1),$BA878*100000+ROW(),"")</f>
        <v/>
      </c>
      <c r="BL878" s="71" t="str">
        <f>IF(AND($AZ878=1),$BA878*100000+ROW(),"")</f>
        <v/>
      </c>
    </row>
    <row r="879">
      <c r="A879" s="63" t="n"/>
      <c r="B879" s="64" t="n"/>
      <c r="C879" s="64" t="n"/>
      <c r="D879" s="64" t="n"/>
      <c r="E879" s="64" t="n"/>
      <c r="F879" s="64" t="n"/>
      <c r="G879" s="65" t="n"/>
      <c r="H879" s="65" t="n"/>
      <c r="I879" s="64" t="n"/>
      <c r="J879" s="64" t="n"/>
      <c r="K879" s="63" t="n"/>
      <c r="L879" s="63" t="n"/>
      <c r="M879" s="64" t="n"/>
      <c r="N879" s="66" t="n"/>
      <c r="O879" s="65" t="n"/>
      <c r="P879" s="64" t="n"/>
      <c r="Q879" s="67" t="n"/>
      <c r="R879" s="67" t="n"/>
      <c r="S879" s="68" t="str">
        <f>IF(AND(ISNUMBER($Q879),ISNUMBER($R879)),$Q879-$R879,"")</f>
        <v/>
      </c>
      <c r="T879" s="65" t="n"/>
      <c r="U879" s="64" t="n"/>
      <c r="V879" s="65" t="n"/>
      <c r="W879" s="63" t="n"/>
      <c r="X879" s="65" t="n"/>
      <c r="Y879" s="63" t="n"/>
      <c r="Z879" s="64" t="n"/>
      <c r="AA879" s="64" t="n"/>
      <c r="AB879" s="65" t="n"/>
      <c r="AC879" s="69" t="str">
        <f>IF(OR($G879="",NOT(ISNUMBER($K879)),$AK879=0),"",MAX(0,ReportDate-$K879))</f>
        <v/>
      </c>
      <c r="AD879" s="69" t="str">
        <f>IF($G879="","",IF($AL879=1,ReportDate-$L879,0))</f>
        <v/>
      </c>
      <c r="AE879" s="70" t="str">
        <f>IF($G879="","",IF($M879="Completed",1,IF(ISNUMBER($N879),$N879,0)))</f>
        <v/>
      </c>
      <c r="AF879" s="70" t="str">
        <f>IF(AND(ISNUMBER($Q879),ISNUMBER($R879)),IF($R879&lt;&gt;0,$Q879/$R879,""),"")</f>
        <v/>
      </c>
      <c r="AG879" s="71" t="str">
        <f>IF($G879="","",IF($AL879=1,"OVERDUE",IF($AM879=1,"BLOCKED",IF($AN879=1,"DUE TODAY",IF($AO879=1,"DUE TOMORROW",IF($AQ879=1,"HIGH PRIORITY",IF($AR879=1,"NO RECENT UPDATE",""))))))) </f>
        <v/>
      </c>
      <c r="AH879" s="71" t="str">
        <f>IF($G879="","",IF(ISNUMBER($A879),IF(ISNUMBER($A879),YEAR($A879)&amp;"-"&amp;TEXT(MONTH($A879),"00"),""),IF(ISNUMBER($L879),IF(ISNUMBER($L879),YEAR($L879)&amp;"-"&amp;TEXT(MONTH($L879),"00"),""),"")))</f>
        <v/>
      </c>
      <c r="AI879" s="71">
        <f>IF($G879="",0,IF(AND(OR(fClient="All",$C879=fClient),OR(fCampaign="All",$D879=fCampaign),OR(fTeam="All",$B879=fTeam),OR(fChannel="All",$F879=fChannel),OR(fMonth="All",$AH879=fMonth),OR(fTStatus="All",$M879=fTStatus)),1,0))</f>
        <v>0</v>
      </c>
      <c r="AJ879" s="71">
        <f>IF($G879="",0,IF(AND(OR(fClient="All",$C879=fClient),OR(fCampaign="All",$D879=fCampaign),OR(fTeam="All",$B879=fTeam),OR(fChannel="All",$F879=fChannel)),1,0))</f>
        <v>0</v>
      </c>
      <c r="AK879" s="71">
        <f>IF($G879="",0,IF(OR($M879="Completed",$M879="Cancelled"),0,1))</f>
        <v>0</v>
      </c>
      <c r="AL879" s="71">
        <f>IF(AND($AK879=1,ISNUMBER($L879)),IF($L879&lt;ReportDate,1,0),0)</f>
        <v>0</v>
      </c>
      <c r="AM879" s="71">
        <f>IF(AND($G879&lt;&gt;"",$M879="Blocked"),1,0)</f>
        <v>0</v>
      </c>
      <c r="AN879" s="71">
        <f>IF(AND($AK879=1,ISNUMBER($L879)),IF($L879=ReportDate,1,0),0)</f>
        <v>0</v>
      </c>
      <c r="AO879" s="71">
        <f>IF(AND($AK879=1,ISNUMBER($L879)),IF($L879=ReportDate+1,1,0),0)</f>
        <v>0</v>
      </c>
      <c r="AP879" s="71">
        <f>IF(AND($AK879=1,ISNUMBER($L879)),IF(AND($L879&gt;=ReportDate,$L879&lt;=ReportDate+DueSoonDays),1,0),0)</f>
        <v>0</v>
      </c>
      <c r="AQ879" s="71">
        <f>IF(AND($AK879=1,OR($I879="Critical",$I879="High")),1,0)</f>
        <v>0</v>
      </c>
      <c r="AR879" s="71">
        <f>IF($AK879=1,IF(ISNUMBER($Y879),IF(ReportDate-$Y879&gt;StaleDays,1,0),1),0)</f>
        <v>0</v>
      </c>
      <c r="AS879" s="71">
        <f>IF(AND($G879&lt;&gt;"",ISNUMBER($Q879),ISNUMBER($R879)),IF(AND($Q879&lt;$R879,OR($M879="Completed",AND(ISNUMBER($L879),$L879&lt;ReportDate))),1,0),0)</f>
        <v>0</v>
      </c>
      <c r="AT879" s="71">
        <f>IF($AK879=1,IF(OR($L879=ReportDate,$W879=ReportDate,$K879=ReportDate,$A879=ReportDate),1,0),0)</f>
        <v>0</v>
      </c>
      <c r="AU879" s="71">
        <f>IF($AK879=1,IF(OR($L879=ReportDate+1,$W879=ReportDate+1,$K879=ReportDate+1,$A879=ReportDate+1),1,0),0)</f>
        <v>0</v>
      </c>
      <c r="AV879" s="71">
        <f>IF(AND($G879&lt;&gt;"",$M879="Completed"),IF(OR($Y879=ReportDate-1,$A879=ReportDate-1),1,0),0)</f>
        <v>0</v>
      </c>
      <c r="AW879" s="71">
        <f>IF(AND($AK879=1,$Z879="Yes"),1,0)</f>
        <v>0</v>
      </c>
      <c r="AX879" s="71">
        <f>IF(AND($AK879=1,$AA879="Yes"),1,0)</f>
        <v>0</v>
      </c>
      <c r="AY879" s="71">
        <f>IF(AND($AM879=1,OR($I879="Critical",$I879="High")),1,0)</f>
        <v>0</v>
      </c>
      <c r="AZ879" s="71">
        <f>IF(AND($AK879=1,OR($C879=TCL_Client,$C879=MECCA_Client)),1,0)</f>
        <v>0</v>
      </c>
      <c r="BA879" s="71" t="str">
        <f>IF($G879="","",IFERROR(MATCH($I879,lst_Priority,0),5))</f>
        <v/>
      </c>
      <c r="BB879" s="71" t="str">
        <f>IF(AND($AL879=1,$AJ879=1),$BA879*100000+ROW(),"")</f>
        <v/>
      </c>
      <c r="BC879" s="71" t="str">
        <f>IF(AND($AM879=1,$AJ879=1),$BA879*100000+ROW(),"")</f>
        <v/>
      </c>
      <c r="BD879" s="71" t="str">
        <f>IF(AND($AP879=1,$AJ879=1),$BA879*100000+ROW(),"")</f>
        <v/>
      </c>
      <c r="BE879" s="71" t="str">
        <f>IF(AND($AT879=1,$AJ879=1),$BA879*100000+ROW(),"")</f>
        <v/>
      </c>
      <c r="BF879" s="71" t="str">
        <f>IF(AND($AU879=1,$AJ879=1),$BA879*100000+ROW(),"")</f>
        <v/>
      </c>
      <c r="BG879" s="71" t="str">
        <f>IF(AND($AV879=1,$AJ879=1),$BA879*100000+ROW(),"")</f>
        <v/>
      </c>
      <c r="BH879" s="71" t="str">
        <f>IF(AND($AW879=1,$AJ879=1),$BA879*100000+ROW(),"")</f>
        <v/>
      </c>
      <c r="BI879" s="71" t="str">
        <f>IF(AND($AX879=1,$AJ879=1),$BA879*100000+ROW(),"")</f>
        <v/>
      </c>
      <c r="BJ879" s="71" t="str">
        <f>IF(AND($AS879=1,$AJ879=1),$BA879*100000+ROW(),"")</f>
        <v/>
      </c>
      <c r="BK879" s="71" t="str">
        <f>IF(AND($AY879=1,$AJ879=1),$BA879*100000+ROW(),"")</f>
        <v/>
      </c>
      <c r="BL879" s="71" t="str">
        <f>IF(AND($AZ879=1),$BA879*100000+ROW(),"")</f>
        <v/>
      </c>
    </row>
    <row r="880">
      <c r="A880" s="63" t="n"/>
      <c r="B880" s="64" t="n"/>
      <c r="C880" s="64" t="n"/>
      <c r="D880" s="64" t="n"/>
      <c r="E880" s="64" t="n"/>
      <c r="F880" s="64" t="n"/>
      <c r="G880" s="65" t="n"/>
      <c r="H880" s="65" t="n"/>
      <c r="I880" s="64" t="n"/>
      <c r="J880" s="64" t="n"/>
      <c r="K880" s="63" t="n"/>
      <c r="L880" s="63" t="n"/>
      <c r="M880" s="64" t="n"/>
      <c r="N880" s="66" t="n"/>
      <c r="O880" s="65" t="n"/>
      <c r="P880" s="64" t="n"/>
      <c r="Q880" s="67" t="n"/>
      <c r="R880" s="67" t="n"/>
      <c r="S880" s="68" t="str">
        <f>IF(AND(ISNUMBER($Q880),ISNUMBER($R880)),$Q880-$R880,"")</f>
        <v/>
      </c>
      <c r="T880" s="65" t="n"/>
      <c r="U880" s="64" t="n"/>
      <c r="V880" s="65" t="n"/>
      <c r="W880" s="63" t="n"/>
      <c r="X880" s="65" t="n"/>
      <c r="Y880" s="63" t="n"/>
      <c r="Z880" s="64" t="n"/>
      <c r="AA880" s="64" t="n"/>
      <c r="AB880" s="65" t="n"/>
      <c r="AC880" s="69" t="str">
        <f>IF(OR($G880="",NOT(ISNUMBER($K880)),$AK880=0),"",MAX(0,ReportDate-$K880))</f>
        <v/>
      </c>
      <c r="AD880" s="69" t="str">
        <f>IF($G880="","",IF($AL880=1,ReportDate-$L880,0))</f>
        <v/>
      </c>
      <c r="AE880" s="70" t="str">
        <f>IF($G880="","",IF($M880="Completed",1,IF(ISNUMBER($N880),$N880,0)))</f>
        <v/>
      </c>
      <c r="AF880" s="70" t="str">
        <f>IF(AND(ISNUMBER($Q880),ISNUMBER($R880)),IF($R880&lt;&gt;0,$Q880/$R880,""),"")</f>
        <v/>
      </c>
      <c r="AG880" s="71" t="str">
        <f>IF($G880="","",IF($AL880=1,"OVERDUE",IF($AM880=1,"BLOCKED",IF($AN880=1,"DUE TODAY",IF($AO880=1,"DUE TOMORROW",IF($AQ880=1,"HIGH PRIORITY",IF($AR880=1,"NO RECENT UPDATE",""))))))) </f>
        <v/>
      </c>
      <c r="AH880" s="71" t="str">
        <f>IF($G880="","",IF(ISNUMBER($A880),IF(ISNUMBER($A880),YEAR($A880)&amp;"-"&amp;TEXT(MONTH($A880),"00"),""),IF(ISNUMBER($L880),IF(ISNUMBER($L880),YEAR($L880)&amp;"-"&amp;TEXT(MONTH($L880),"00"),""),"")))</f>
        <v/>
      </c>
      <c r="AI880" s="71">
        <f>IF($G880="",0,IF(AND(OR(fClient="All",$C880=fClient),OR(fCampaign="All",$D880=fCampaign),OR(fTeam="All",$B880=fTeam),OR(fChannel="All",$F880=fChannel),OR(fMonth="All",$AH880=fMonth),OR(fTStatus="All",$M880=fTStatus)),1,0))</f>
        <v>0</v>
      </c>
      <c r="AJ880" s="71">
        <f>IF($G880="",0,IF(AND(OR(fClient="All",$C880=fClient),OR(fCampaign="All",$D880=fCampaign),OR(fTeam="All",$B880=fTeam),OR(fChannel="All",$F880=fChannel)),1,0))</f>
        <v>0</v>
      </c>
      <c r="AK880" s="71">
        <f>IF($G880="",0,IF(OR($M880="Completed",$M880="Cancelled"),0,1))</f>
        <v>0</v>
      </c>
      <c r="AL880" s="71">
        <f>IF(AND($AK880=1,ISNUMBER($L880)),IF($L880&lt;ReportDate,1,0),0)</f>
        <v>0</v>
      </c>
      <c r="AM880" s="71">
        <f>IF(AND($G880&lt;&gt;"",$M880="Blocked"),1,0)</f>
        <v>0</v>
      </c>
      <c r="AN880" s="71">
        <f>IF(AND($AK880=1,ISNUMBER($L880)),IF($L880=ReportDate,1,0),0)</f>
        <v>0</v>
      </c>
      <c r="AO880" s="71">
        <f>IF(AND($AK880=1,ISNUMBER($L880)),IF($L880=ReportDate+1,1,0),0)</f>
        <v>0</v>
      </c>
      <c r="AP880" s="71">
        <f>IF(AND($AK880=1,ISNUMBER($L880)),IF(AND($L880&gt;=ReportDate,$L880&lt;=ReportDate+DueSoonDays),1,0),0)</f>
        <v>0</v>
      </c>
      <c r="AQ880" s="71">
        <f>IF(AND($AK880=1,OR($I880="Critical",$I880="High")),1,0)</f>
        <v>0</v>
      </c>
      <c r="AR880" s="71">
        <f>IF($AK880=1,IF(ISNUMBER($Y880),IF(ReportDate-$Y880&gt;StaleDays,1,0),1),0)</f>
        <v>0</v>
      </c>
      <c r="AS880" s="71">
        <f>IF(AND($G880&lt;&gt;"",ISNUMBER($Q880),ISNUMBER($R880)),IF(AND($Q880&lt;$R880,OR($M880="Completed",AND(ISNUMBER($L880),$L880&lt;ReportDate))),1,0),0)</f>
        <v>0</v>
      </c>
      <c r="AT880" s="71">
        <f>IF($AK880=1,IF(OR($L880=ReportDate,$W880=ReportDate,$K880=ReportDate,$A880=ReportDate),1,0),0)</f>
        <v>0</v>
      </c>
      <c r="AU880" s="71">
        <f>IF($AK880=1,IF(OR($L880=ReportDate+1,$W880=ReportDate+1,$K880=ReportDate+1,$A880=ReportDate+1),1,0),0)</f>
        <v>0</v>
      </c>
      <c r="AV880" s="71">
        <f>IF(AND($G880&lt;&gt;"",$M880="Completed"),IF(OR($Y880=ReportDate-1,$A880=ReportDate-1),1,0),0)</f>
        <v>0</v>
      </c>
      <c r="AW880" s="71">
        <f>IF(AND($AK880=1,$Z880="Yes"),1,0)</f>
        <v>0</v>
      </c>
      <c r="AX880" s="71">
        <f>IF(AND($AK880=1,$AA880="Yes"),1,0)</f>
        <v>0</v>
      </c>
      <c r="AY880" s="71">
        <f>IF(AND($AM880=1,OR($I880="Critical",$I880="High")),1,0)</f>
        <v>0</v>
      </c>
      <c r="AZ880" s="71">
        <f>IF(AND($AK880=1,OR($C880=TCL_Client,$C880=MECCA_Client)),1,0)</f>
        <v>0</v>
      </c>
      <c r="BA880" s="71" t="str">
        <f>IF($G880="","",IFERROR(MATCH($I880,lst_Priority,0),5))</f>
        <v/>
      </c>
      <c r="BB880" s="71" t="str">
        <f>IF(AND($AL880=1,$AJ880=1),$BA880*100000+ROW(),"")</f>
        <v/>
      </c>
      <c r="BC880" s="71" t="str">
        <f>IF(AND($AM880=1,$AJ880=1),$BA880*100000+ROW(),"")</f>
        <v/>
      </c>
      <c r="BD880" s="71" t="str">
        <f>IF(AND($AP880=1,$AJ880=1),$BA880*100000+ROW(),"")</f>
        <v/>
      </c>
      <c r="BE880" s="71" t="str">
        <f>IF(AND($AT880=1,$AJ880=1),$BA880*100000+ROW(),"")</f>
        <v/>
      </c>
      <c r="BF880" s="71" t="str">
        <f>IF(AND($AU880=1,$AJ880=1),$BA880*100000+ROW(),"")</f>
        <v/>
      </c>
      <c r="BG880" s="71" t="str">
        <f>IF(AND($AV880=1,$AJ880=1),$BA880*100000+ROW(),"")</f>
        <v/>
      </c>
      <c r="BH880" s="71" t="str">
        <f>IF(AND($AW880=1,$AJ880=1),$BA880*100000+ROW(),"")</f>
        <v/>
      </c>
      <c r="BI880" s="71" t="str">
        <f>IF(AND($AX880=1,$AJ880=1),$BA880*100000+ROW(),"")</f>
        <v/>
      </c>
      <c r="BJ880" s="71" t="str">
        <f>IF(AND($AS880=1,$AJ880=1),$BA880*100000+ROW(),"")</f>
        <v/>
      </c>
      <c r="BK880" s="71" t="str">
        <f>IF(AND($AY880=1,$AJ880=1),$BA880*100000+ROW(),"")</f>
        <v/>
      </c>
      <c r="BL880" s="71" t="str">
        <f>IF(AND($AZ880=1),$BA880*100000+ROW(),"")</f>
        <v/>
      </c>
    </row>
    <row r="881">
      <c r="A881" s="63" t="n"/>
      <c r="B881" s="64" t="n"/>
      <c r="C881" s="64" t="n"/>
      <c r="D881" s="64" t="n"/>
      <c r="E881" s="64" t="n"/>
      <c r="F881" s="64" t="n"/>
      <c r="G881" s="65" t="n"/>
      <c r="H881" s="65" t="n"/>
      <c r="I881" s="64" t="n"/>
      <c r="J881" s="64" t="n"/>
      <c r="K881" s="63" t="n"/>
      <c r="L881" s="63" t="n"/>
      <c r="M881" s="64" t="n"/>
      <c r="N881" s="66" t="n"/>
      <c r="O881" s="65" t="n"/>
      <c r="P881" s="64" t="n"/>
      <c r="Q881" s="67" t="n"/>
      <c r="R881" s="67" t="n"/>
      <c r="S881" s="68" t="str">
        <f>IF(AND(ISNUMBER($Q881),ISNUMBER($R881)),$Q881-$R881,"")</f>
        <v/>
      </c>
      <c r="T881" s="65" t="n"/>
      <c r="U881" s="64" t="n"/>
      <c r="V881" s="65" t="n"/>
      <c r="W881" s="63" t="n"/>
      <c r="X881" s="65" t="n"/>
      <c r="Y881" s="63" t="n"/>
      <c r="Z881" s="64" t="n"/>
      <c r="AA881" s="64" t="n"/>
      <c r="AB881" s="65" t="n"/>
      <c r="AC881" s="69" t="str">
        <f>IF(OR($G881="",NOT(ISNUMBER($K881)),$AK881=0),"",MAX(0,ReportDate-$K881))</f>
        <v/>
      </c>
      <c r="AD881" s="69" t="str">
        <f>IF($G881="","",IF($AL881=1,ReportDate-$L881,0))</f>
        <v/>
      </c>
      <c r="AE881" s="70" t="str">
        <f>IF($G881="","",IF($M881="Completed",1,IF(ISNUMBER($N881),$N881,0)))</f>
        <v/>
      </c>
      <c r="AF881" s="70" t="str">
        <f>IF(AND(ISNUMBER($Q881),ISNUMBER($R881)),IF($R881&lt;&gt;0,$Q881/$R881,""),"")</f>
        <v/>
      </c>
      <c r="AG881" s="71" t="str">
        <f>IF($G881="","",IF($AL881=1,"OVERDUE",IF($AM881=1,"BLOCKED",IF($AN881=1,"DUE TODAY",IF($AO881=1,"DUE TOMORROW",IF($AQ881=1,"HIGH PRIORITY",IF($AR881=1,"NO RECENT UPDATE",""))))))) </f>
        <v/>
      </c>
      <c r="AH881" s="71" t="str">
        <f>IF($G881="","",IF(ISNUMBER($A881),IF(ISNUMBER($A881),YEAR($A881)&amp;"-"&amp;TEXT(MONTH($A881),"00"),""),IF(ISNUMBER($L881),IF(ISNUMBER($L881),YEAR($L881)&amp;"-"&amp;TEXT(MONTH($L881),"00"),""),"")))</f>
        <v/>
      </c>
      <c r="AI881" s="71">
        <f>IF($G881="",0,IF(AND(OR(fClient="All",$C881=fClient),OR(fCampaign="All",$D881=fCampaign),OR(fTeam="All",$B881=fTeam),OR(fChannel="All",$F881=fChannel),OR(fMonth="All",$AH881=fMonth),OR(fTStatus="All",$M881=fTStatus)),1,0))</f>
        <v>0</v>
      </c>
      <c r="AJ881" s="71">
        <f>IF($G881="",0,IF(AND(OR(fClient="All",$C881=fClient),OR(fCampaign="All",$D881=fCampaign),OR(fTeam="All",$B881=fTeam),OR(fChannel="All",$F881=fChannel)),1,0))</f>
        <v>0</v>
      </c>
      <c r="AK881" s="71">
        <f>IF($G881="",0,IF(OR($M881="Completed",$M881="Cancelled"),0,1))</f>
        <v>0</v>
      </c>
      <c r="AL881" s="71">
        <f>IF(AND($AK881=1,ISNUMBER($L881)),IF($L881&lt;ReportDate,1,0),0)</f>
        <v>0</v>
      </c>
      <c r="AM881" s="71">
        <f>IF(AND($G881&lt;&gt;"",$M881="Blocked"),1,0)</f>
        <v>0</v>
      </c>
      <c r="AN881" s="71">
        <f>IF(AND($AK881=1,ISNUMBER($L881)),IF($L881=ReportDate,1,0),0)</f>
        <v>0</v>
      </c>
      <c r="AO881" s="71">
        <f>IF(AND($AK881=1,ISNUMBER($L881)),IF($L881=ReportDate+1,1,0),0)</f>
        <v>0</v>
      </c>
      <c r="AP881" s="71">
        <f>IF(AND($AK881=1,ISNUMBER($L881)),IF(AND($L881&gt;=ReportDate,$L881&lt;=ReportDate+DueSoonDays),1,0),0)</f>
        <v>0</v>
      </c>
      <c r="AQ881" s="71">
        <f>IF(AND($AK881=1,OR($I881="Critical",$I881="High")),1,0)</f>
        <v>0</v>
      </c>
      <c r="AR881" s="71">
        <f>IF($AK881=1,IF(ISNUMBER($Y881),IF(ReportDate-$Y881&gt;StaleDays,1,0),1),0)</f>
        <v>0</v>
      </c>
      <c r="AS881" s="71">
        <f>IF(AND($G881&lt;&gt;"",ISNUMBER($Q881),ISNUMBER($R881)),IF(AND($Q881&lt;$R881,OR($M881="Completed",AND(ISNUMBER($L881),$L881&lt;ReportDate))),1,0),0)</f>
        <v>0</v>
      </c>
      <c r="AT881" s="71">
        <f>IF($AK881=1,IF(OR($L881=ReportDate,$W881=ReportDate,$K881=ReportDate,$A881=ReportDate),1,0),0)</f>
        <v>0</v>
      </c>
      <c r="AU881" s="71">
        <f>IF($AK881=1,IF(OR($L881=ReportDate+1,$W881=ReportDate+1,$K881=ReportDate+1,$A881=ReportDate+1),1,0),0)</f>
        <v>0</v>
      </c>
      <c r="AV881" s="71">
        <f>IF(AND($G881&lt;&gt;"",$M881="Completed"),IF(OR($Y881=ReportDate-1,$A881=ReportDate-1),1,0),0)</f>
        <v>0</v>
      </c>
      <c r="AW881" s="71">
        <f>IF(AND($AK881=1,$Z881="Yes"),1,0)</f>
        <v>0</v>
      </c>
      <c r="AX881" s="71">
        <f>IF(AND($AK881=1,$AA881="Yes"),1,0)</f>
        <v>0</v>
      </c>
      <c r="AY881" s="71">
        <f>IF(AND($AM881=1,OR($I881="Critical",$I881="High")),1,0)</f>
        <v>0</v>
      </c>
      <c r="AZ881" s="71">
        <f>IF(AND($AK881=1,OR($C881=TCL_Client,$C881=MECCA_Client)),1,0)</f>
        <v>0</v>
      </c>
      <c r="BA881" s="71" t="str">
        <f>IF($G881="","",IFERROR(MATCH($I881,lst_Priority,0),5))</f>
        <v/>
      </c>
      <c r="BB881" s="71" t="str">
        <f>IF(AND($AL881=1,$AJ881=1),$BA881*100000+ROW(),"")</f>
        <v/>
      </c>
      <c r="BC881" s="71" t="str">
        <f>IF(AND($AM881=1,$AJ881=1),$BA881*100000+ROW(),"")</f>
        <v/>
      </c>
      <c r="BD881" s="71" t="str">
        <f>IF(AND($AP881=1,$AJ881=1),$BA881*100000+ROW(),"")</f>
        <v/>
      </c>
      <c r="BE881" s="71" t="str">
        <f>IF(AND($AT881=1,$AJ881=1),$BA881*100000+ROW(),"")</f>
        <v/>
      </c>
      <c r="BF881" s="71" t="str">
        <f>IF(AND($AU881=1,$AJ881=1),$BA881*100000+ROW(),"")</f>
        <v/>
      </c>
      <c r="BG881" s="71" t="str">
        <f>IF(AND($AV881=1,$AJ881=1),$BA881*100000+ROW(),"")</f>
        <v/>
      </c>
      <c r="BH881" s="71" t="str">
        <f>IF(AND($AW881=1,$AJ881=1),$BA881*100000+ROW(),"")</f>
        <v/>
      </c>
      <c r="BI881" s="71" t="str">
        <f>IF(AND($AX881=1,$AJ881=1),$BA881*100000+ROW(),"")</f>
        <v/>
      </c>
      <c r="BJ881" s="71" t="str">
        <f>IF(AND($AS881=1,$AJ881=1),$BA881*100000+ROW(),"")</f>
        <v/>
      </c>
      <c r="BK881" s="71" t="str">
        <f>IF(AND($AY881=1,$AJ881=1),$BA881*100000+ROW(),"")</f>
        <v/>
      </c>
      <c r="BL881" s="71" t="str">
        <f>IF(AND($AZ881=1),$BA881*100000+ROW(),"")</f>
        <v/>
      </c>
    </row>
    <row r="882">
      <c r="A882" s="63" t="n"/>
      <c r="B882" s="64" t="n"/>
      <c r="C882" s="64" t="n"/>
      <c r="D882" s="64" t="n"/>
      <c r="E882" s="64" t="n"/>
      <c r="F882" s="64" t="n"/>
      <c r="G882" s="65" t="n"/>
      <c r="H882" s="65" t="n"/>
      <c r="I882" s="64" t="n"/>
      <c r="J882" s="64" t="n"/>
      <c r="K882" s="63" t="n"/>
      <c r="L882" s="63" t="n"/>
      <c r="M882" s="64" t="n"/>
      <c r="N882" s="66" t="n"/>
      <c r="O882" s="65" t="n"/>
      <c r="P882" s="64" t="n"/>
      <c r="Q882" s="67" t="n"/>
      <c r="R882" s="67" t="n"/>
      <c r="S882" s="68" t="str">
        <f>IF(AND(ISNUMBER($Q882),ISNUMBER($R882)),$Q882-$R882,"")</f>
        <v/>
      </c>
      <c r="T882" s="65" t="n"/>
      <c r="U882" s="64" t="n"/>
      <c r="V882" s="65" t="n"/>
      <c r="W882" s="63" t="n"/>
      <c r="X882" s="65" t="n"/>
      <c r="Y882" s="63" t="n"/>
      <c r="Z882" s="64" t="n"/>
      <c r="AA882" s="64" t="n"/>
      <c r="AB882" s="65" t="n"/>
      <c r="AC882" s="69" t="str">
        <f>IF(OR($G882="",NOT(ISNUMBER($K882)),$AK882=0),"",MAX(0,ReportDate-$K882))</f>
        <v/>
      </c>
      <c r="AD882" s="69" t="str">
        <f>IF($G882="","",IF($AL882=1,ReportDate-$L882,0))</f>
        <v/>
      </c>
      <c r="AE882" s="70" t="str">
        <f>IF($G882="","",IF($M882="Completed",1,IF(ISNUMBER($N882),$N882,0)))</f>
        <v/>
      </c>
      <c r="AF882" s="70" t="str">
        <f>IF(AND(ISNUMBER($Q882),ISNUMBER($R882)),IF($R882&lt;&gt;0,$Q882/$R882,""),"")</f>
        <v/>
      </c>
      <c r="AG882" s="71" t="str">
        <f>IF($G882="","",IF($AL882=1,"OVERDUE",IF($AM882=1,"BLOCKED",IF($AN882=1,"DUE TODAY",IF($AO882=1,"DUE TOMORROW",IF($AQ882=1,"HIGH PRIORITY",IF($AR882=1,"NO RECENT UPDATE",""))))))) </f>
        <v/>
      </c>
      <c r="AH882" s="71" t="str">
        <f>IF($G882="","",IF(ISNUMBER($A882),IF(ISNUMBER($A882),YEAR($A882)&amp;"-"&amp;TEXT(MONTH($A882),"00"),""),IF(ISNUMBER($L882),IF(ISNUMBER($L882),YEAR($L882)&amp;"-"&amp;TEXT(MONTH($L882),"00"),""),"")))</f>
        <v/>
      </c>
      <c r="AI882" s="71">
        <f>IF($G882="",0,IF(AND(OR(fClient="All",$C882=fClient),OR(fCampaign="All",$D882=fCampaign),OR(fTeam="All",$B882=fTeam),OR(fChannel="All",$F882=fChannel),OR(fMonth="All",$AH882=fMonth),OR(fTStatus="All",$M882=fTStatus)),1,0))</f>
        <v>0</v>
      </c>
      <c r="AJ882" s="71">
        <f>IF($G882="",0,IF(AND(OR(fClient="All",$C882=fClient),OR(fCampaign="All",$D882=fCampaign),OR(fTeam="All",$B882=fTeam),OR(fChannel="All",$F882=fChannel)),1,0))</f>
        <v>0</v>
      </c>
      <c r="AK882" s="71">
        <f>IF($G882="",0,IF(OR($M882="Completed",$M882="Cancelled"),0,1))</f>
        <v>0</v>
      </c>
      <c r="AL882" s="71">
        <f>IF(AND($AK882=1,ISNUMBER($L882)),IF($L882&lt;ReportDate,1,0),0)</f>
        <v>0</v>
      </c>
      <c r="AM882" s="71">
        <f>IF(AND($G882&lt;&gt;"",$M882="Blocked"),1,0)</f>
        <v>0</v>
      </c>
      <c r="AN882" s="71">
        <f>IF(AND($AK882=1,ISNUMBER($L882)),IF($L882=ReportDate,1,0),0)</f>
        <v>0</v>
      </c>
      <c r="AO882" s="71">
        <f>IF(AND($AK882=1,ISNUMBER($L882)),IF($L882=ReportDate+1,1,0),0)</f>
        <v>0</v>
      </c>
      <c r="AP882" s="71">
        <f>IF(AND($AK882=1,ISNUMBER($L882)),IF(AND($L882&gt;=ReportDate,$L882&lt;=ReportDate+DueSoonDays),1,0),0)</f>
        <v>0</v>
      </c>
      <c r="AQ882" s="71">
        <f>IF(AND($AK882=1,OR($I882="Critical",$I882="High")),1,0)</f>
        <v>0</v>
      </c>
      <c r="AR882" s="71">
        <f>IF($AK882=1,IF(ISNUMBER($Y882),IF(ReportDate-$Y882&gt;StaleDays,1,0),1),0)</f>
        <v>0</v>
      </c>
      <c r="AS882" s="71">
        <f>IF(AND($G882&lt;&gt;"",ISNUMBER($Q882),ISNUMBER($R882)),IF(AND($Q882&lt;$R882,OR($M882="Completed",AND(ISNUMBER($L882),$L882&lt;ReportDate))),1,0),0)</f>
        <v>0</v>
      </c>
      <c r="AT882" s="71">
        <f>IF($AK882=1,IF(OR($L882=ReportDate,$W882=ReportDate,$K882=ReportDate,$A882=ReportDate),1,0),0)</f>
        <v>0</v>
      </c>
      <c r="AU882" s="71">
        <f>IF($AK882=1,IF(OR($L882=ReportDate+1,$W882=ReportDate+1,$K882=ReportDate+1,$A882=ReportDate+1),1,0),0)</f>
        <v>0</v>
      </c>
      <c r="AV882" s="71">
        <f>IF(AND($G882&lt;&gt;"",$M882="Completed"),IF(OR($Y882=ReportDate-1,$A882=ReportDate-1),1,0),0)</f>
        <v>0</v>
      </c>
      <c r="AW882" s="71">
        <f>IF(AND($AK882=1,$Z882="Yes"),1,0)</f>
        <v>0</v>
      </c>
      <c r="AX882" s="71">
        <f>IF(AND($AK882=1,$AA882="Yes"),1,0)</f>
        <v>0</v>
      </c>
      <c r="AY882" s="71">
        <f>IF(AND($AM882=1,OR($I882="Critical",$I882="High")),1,0)</f>
        <v>0</v>
      </c>
      <c r="AZ882" s="71">
        <f>IF(AND($AK882=1,OR($C882=TCL_Client,$C882=MECCA_Client)),1,0)</f>
        <v>0</v>
      </c>
      <c r="BA882" s="71" t="str">
        <f>IF($G882="","",IFERROR(MATCH($I882,lst_Priority,0),5))</f>
        <v/>
      </c>
      <c r="BB882" s="71" t="str">
        <f>IF(AND($AL882=1,$AJ882=1),$BA882*100000+ROW(),"")</f>
        <v/>
      </c>
      <c r="BC882" s="71" t="str">
        <f>IF(AND($AM882=1,$AJ882=1),$BA882*100000+ROW(),"")</f>
        <v/>
      </c>
      <c r="BD882" s="71" t="str">
        <f>IF(AND($AP882=1,$AJ882=1),$BA882*100000+ROW(),"")</f>
        <v/>
      </c>
      <c r="BE882" s="71" t="str">
        <f>IF(AND($AT882=1,$AJ882=1),$BA882*100000+ROW(),"")</f>
        <v/>
      </c>
      <c r="BF882" s="71" t="str">
        <f>IF(AND($AU882=1,$AJ882=1),$BA882*100000+ROW(),"")</f>
        <v/>
      </c>
      <c r="BG882" s="71" t="str">
        <f>IF(AND($AV882=1,$AJ882=1),$BA882*100000+ROW(),"")</f>
        <v/>
      </c>
      <c r="BH882" s="71" t="str">
        <f>IF(AND($AW882=1,$AJ882=1),$BA882*100000+ROW(),"")</f>
        <v/>
      </c>
      <c r="BI882" s="71" t="str">
        <f>IF(AND($AX882=1,$AJ882=1),$BA882*100000+ROW(),"")</f>
        <v/>
      </c>
      <c r="BJ882" s="71" t="str">
        <f>IF(AND($AS882=1,$AJ882=1),$BA882*100000+ROW(),"")</f>
        <v/>
      </c>
      <c r="BK882" s="71" t="str">
        <f>IF(AND($AY882=1,$AJ882=1),$BA882*100000+ROW(),"")</f>
        <v/>
      </c>
      <c r="BL882" s="71" t="str">
        <f>IF(AND($AZ882=1),$BA882*100000+ROW(),"")</f>
        <v/>
      </c>
    </row>
    <row r="883">
      <c r="A883" s="63" t="n"/>
      <c r="B883" s="64" t="n"/>
      <c r="C883" s="64" t="n"/>
      <c r="D883" s="64" t="n"/>
      <c r="E883" s="64" t="n"/>
      <c r="F883" s="64" t="n"/>
      <c r="G883" s="65" t="n"/>
      <c r="H883" s="65" t="n"/>
      <c r="I883" s="64" t="n"/>
      <c r="J883" s="64" t="n"/>
      <c r="K883" s="63" t="n"/>
      <c r="L883" s="63" t="n"/>
      <c r="M883" s="64" t="n"/>
      <c r="N883" s="66" t="n"/>
      <c r="O883" s="65" t="n"/>
      <c r="P883" s="64" t="n"/>
      <c r="Q883" s="67" t="n"/>
      <c r="R883" s="67" t="n"/>
      <c r="S883" s="68" t="str">
        <f>IF(AND(ISNUMBER($Q883),ISNUMBER($R883)),$Q883-$R883,"")</f>
        <v/>
      </c>
      <c r="T883" s="65" t="n"/>
      <c r="U883" s="64" t="n"/>
      <c r="V883" s="65" t="n"/>
      <c r="W883" s="63" t="n"/>
      <c r="X883" s="65" t="n"/>
      <c r="Y883" s="63" t="n"/>
      <c r="Z883" s="64" t="n"/>
      <c r="AA883" s="64" t="n"/>
      <c r="AB883" s="65" t="n"/>
      <c r="AC883" s="69" t="str">
        <f>IF(OR($G883="",NOT(ISNUMBER($K883)),$AK883=0),"",MAX(0,ReportDate-$K883))</f>
        <v/>
      </c>
      <c r="AD883" s="69" t="str">
        <f>IF($G883="","",IF($AL883=1,ReportDate-$L883,0))</f>
        <v/>
      </c>
      <c r="AE883" s="70" t="str">
        <f>IF($G883="","",IF($M883="Completed",1,IF(ISNUMBER($N883),$N883,0)))</f>
        <v/>
      </c>
      <c r="AF883" s="70" t="str">
        <f>IF(AND(ISNUMBER($Q883),ISNUMBER($R883)),IF($R883&lt;&gt;0,$Q883/$R883,""),"")</f>
        <v/>
      </c>
      <c r="AG883" s="71" t="str">
        <f>IF($G883="","",IF($AL883=1,"OVERDUE",IF($AM883=1,"BLOCKED",IF($AN883=1,"DUE TODAY",IF($AO883=1,"DUE TOMORROW",IF($AQ883=1,"HIGH PRIORITY",IF($AR883=1,"NO RECENT UPDATE",""))))))) </f>
        <v/>
      </c>
      <c r="AH883" s="71" t="str">
        <f>IF($G883="","",IF(ISNUMBER($A883),IF(ISNUMBER($A883),YEAR($A883)&amp;"-"&amp;TEXT(MONTH($A883),"00"),""),IF(ISNUMBER($L883),IF(ISNUMBER($L883),YEAR($L883)&amp;"-"&amp;TEXT(MONTH($L883),"00"),""),"")))</f>
        <v/>
      </c>
      <c r="AI883" s="71">
        <f>IF($G883="",0,IF(AND(OR(fClient="All",$C883=fClient),OR(fCampaign="All",$D883=fCampaign),OR(fTeam="All",$B883=fTeam),OR(fChannel="All",$F883=fChannel),OR(fMonth="All",$AH883=fMonth),OR(fTStatus="All",$M883=fTStatus)),1,0))</f>
        <v>0</v>
      </c>
      <c r="AJ883" s="71">
        <f>IF($G883="",0,IF(AND(OR(fClient="All",$C883=fClient),OR(fCampaign="All",$D883=fCampaign),OR(fTeam="All",$B883=fTeam),OR(fChannel="All",$F883=fChannel)),1,0))</f>
        <v>0</v>
      </c>
      <c r="AK883" s="71">
        <f>IF($G883="",0,IF(OR($M883="Completed",$M883="Cancelled"),0,1))</f>
        <v>0</v>
      </c>
      <c r="AL883" s="71">
        <f>IF(AND($AK883=1,ISNUMBER($L883)),IF($L883&lt;ReportDate,1,0),0)</f>
        <v>0</v>
      </c>
      <c r="AM883" s="71">
        <f>IF(AND($G883&lt;&gt;"",$M883="Blocked"),1,0)</f>
        <v>0</v>
      </c>
      <c r="AN883" s="71">
        <f>IF(AND($AK883=1,ISNUMBER($L883)),IF($L883=ReportDate,1,0),0)</f>
        <v>0</v>
      </c>
      <c r="AO883" s="71">
        <f>IF(AND($AK883=1,ISNUMBER($L883)),IF($L883=ReportDate+1,1,0),0)</f>
        <v>0</v>
      </c>
      <c r="AP883" s="71">
        <f>IF(AND($AK883=1,ISNUMBER($L883)),IF(AND($L883&gt;=ReportDate,$L883&lt;=ReportDate+DueSoonDays),1,0),0)</f>
        <v>0</v>
      </c>
      <c r="AQ883" s="71">
        <f>IF(AND($AK883=1,OR($I883="Critical",$I883="High")),1,0)</f>
        <v>0</v>
      </c>
      <c r="AR883" s="71">
        <f>IF($AK883=1,IF(ISNUMBER($Y883),IF(ReportDate-$Y883&gt;StaleDays,1,0),1),0)</f>
        <v>0</v>
      </c>
      <c r="AS883" s="71">
        <f>IF(AND($G883&lt;&gt;"",ISNUMBER($Q883),ISNUMBER($R883)),IF(AND($Q883&lt;$R883,OR($M883="Completed",AND(ISNUMBER($L883),$L883&lt;ReportDate))),1,0),0)</f>
        <v>0</v>
      </c>
      <c r="AT883" s="71">
        <f>IF($AK883=1,IF(OR($L883=ReportDate,$W883=ReportDate,$K883=ReportDate,$A883=ReportDate),1,0),0)</f>
        <v>0</v>
      </c>
      <c r="AU883" s="71">
        <f>IF($AK883=1,IF(OR($L883=ReportDate+1,$W883=ReportDate+1,$K883=ReportDate+1,$A883=ReportDate+1),1,0),0)</f>
        <v>0</v>
      </c>
      <c r="AV883" s="71">
        <f>IF(AND($G883&lt;&gt;"",$M883="Completed"),IF(OR($Y883=ReportDate-1,$A883=ReportDate-1),1,0),0)</f>
        <v>0</v>
      </c>
      <c r="AW883" s="71">
        <f>IF(AND($AK883=1,$Z883="Yes"),1,0)</f>
        <v>0</v>
      </c>
      <c r="AX883" s="71">
        <f>IF(AND($AK883=1,$AA883="Yes"),1,0)</f>
        <v>0</v>
      </c>
      <c r="AY883" s="71">
        <f>IF(AND($AM883=1,OR($I883="Critical",$I883="High")),1,0)</f>
        <v>0</v>
      </c>
      <c r="AZ883" s="71">
        <f>IF(AND($AK883=1,OR($C883=TCL_Client,$C883=MECCA_Client)),1,0)</f>
        <v>0</v>
      </c>
      <c r="BA883" s="71" t="str">
        <f>IF($G883="","",IFERROR(MATCH($I883,lst_Priority,0),5))</f>
        <v/>
      </c>
      <c r="BB883" s="71" t="str">
        <f>IF(AND($AL883=1,$AJ883=1),$BA883*100000+ROW(),"")</f>
        <v/>
      </c>
      <c r="BC883" s="71" t="str">
        <f>IF(AND($AM883=1,$AJ883=1),$BA883*100000+ROW(),"")</f>
        <v/>
      </c>
      <c r="BD883" s="71" t="str">
        <f>IF(AND($AP883=1,$AJ883=1),$BA883*100000+ROW(),"")</f>
        <v/>
      </c>
      <c r="BE883" s="71" t="str">
        <f>IF(AND($AT883=1,$AJ883=1),$BA883*100000+ROW(),"")</f>
        <v/>
      </c>
      <c r="BF883" s="71" t="str">
        <f>IF(AND($AU883=1,$AJ883=1),$BA883*100000+ROW(),"")</f>
        <v/>
      </c>
      <c r="BG883" s="71" t="str">
        <f>IF(AND($AV883=1,$AJ883=1),$BA883*100000+ROW(),"")</f>
        <v/>
      </c>
      <c r="BH883" s="71" t="str">
        <f>IF(AND($AW883=1,$AJ883=1),$BA883*100000+ROW(),"")</f>
        <v/>
      </c>
      <c r="BI883" s="71" t="str">
        <f>IF(AND($AX883=1,$AJ883=1),$BA883*100000+ROW(),"")</f>
        <v/>
      </c>
      <c r="BJ883" s="71" t="str">
        <f>IF(AND($AS883=1,$AJ883=1),$BA883*100000+ROW(),"")</f>
        <v/>
      </c>
      <c r="BK883" s="71" t="str">
        <f>IF(AND($AY883=1,$AJ883=1),$BA883*100000+ROW(),"")</f>
        <v/>
      </c>
      <c r="BL883" s="71" t="str">
        <f>IF(AND($AZ883=1),$BA883*100000+ROW(),"")</f>
        <v/>
      </c>
    </row>
    <row r="884">
      <c r="A884" s="63" t="n"/>
      <c r="B884" s="64" t="n"/>
      <c r="C884" s="64" t="n"/>
      <c r="D884" s="64" t="n"/>
      <c r="E884" s="64" t="n"/>
      <c r="F884" s="64" t="n"/>
      <c r="G884" s="65" t="n"/>
      <c r="H884" s="65" t="n"/>
      <c r="I884" s="64" t="n"/>
      <c r="J884" s="64" t="n"/>
      <c r="K884" s="63" t="n"/>
      <c r="L884" s="63" t="n"/>
      <c r="M884" s="64" t="n"/>
      <c r="N884" s="66" t="n"/>
      <c r="O884" s="65" t="n"/>
      <c r="P884" s="64" t="n"/>
      <c r="Q884" s="67" t="n"/>
      <c r="R884" s="67" t="n"/>
      <c r="S884" s="68" t="str">
        <f>IF(AND(ISNUMBER($Q884),ISNUMBER($R884)),$Q884-$R884,"")</f>
        <v/>
      </c>
      <c r="T884" s="65" t="n"/>
      <c r="U884" s="64" t="n"/>
      <c r="V884" s="65" t="n"/>
      <c r="W884" s="63" t="n"/>
      <c r="X884" s="65" t="n"/>
      <c r="Y884" s="63" t="n"/>
      <c r="Z884" s="64" t="n"/>
      <c r="AA884" s="64" t="n"/>
      <c r="AB884" s="65" t="n"/>
      <c r="AC884" s="69" t="str">
        <f>IF(OR($G884="",NOT(ISNUMBER($K884)),$AK884=0),"",MAX(0,ReportDate-$K884))</f>
        <v/>
      </c>
      <c r="AD884" s="69" t="str">
        <f>IF($G884="","",IF($AL884=1,ReportDate-$L884,0))</f>
        <v/>
      </c>
      <c r="AE884" s="70" t="str">
        <f>IF($G884="","",IF($M884="Completed",1,IF(ISNUMBER($N884),$N884,0)))</f>
        <v/>
      </c>
      <c r="AF884" s="70" t="str">
        <f>IF(AND(ISNUMBER($Q884),ISNUMBER($R884)),IF($R884&lt;&gt;0,$Q884/$R884,""),"")</f>
        <v/>
      </c>
      <c r="AG884" s="71" t="str">
        <f>IF($G884="","",IF($AL884=1,"OVERDUE",IF($AM884=1,"BLOCKED",IF($AN884=1,"DUE TODAY",IF($AO884=1,"DUE TOMORROW",IF($AQ884=1,"HIGH PRIORITY",IF($AR884=1,"NO RECENT UPDATE",""))))))) </f>
        <v/>
      </c>
      <c r="AH884" s="71" t="str">
        <f>IF($G884="","",IF(ISNUMBER($A884),IF(ISNUMBER($A884),YEAR($A884)&amp;"-"&amp;TEXT(MONTH($A884),"00"),""),IF(ISNUMBER($L884),IF(ISNUMBER($L884),YEAR($L884)&amp;"-"&amp;TEXT(MONTH($L884),"00"),""),"")))</f>
        <v/>
      </c>
      <c r="AI884" s="71">
        <f>IF($G884="",0,IF(AND(OR(fClient="All",$C884=fClient),OR(fCampaign="All",$D884=fCampaign),OR(fTeam="All",$B884=fTeam),OR(fChannel="All",$F884=fChannel),OR(fMonth="All",$AH884=fMonth),OR(fTStatus="All",$M884=fTStatus)),1,0))</f>
        <v>0</v>
      </c>
      <c r="AJ884" s="71">
        <f>IF($G884="",0,IF(AND(OR(fClient="All",$C884=fClient),OR(fCampaign="All",$D884=fCampaign),OR(fTeam="All",$B884=fTeam),OR(fChannel="All",$F884=fChannel)),1,0))</f>
        <v>0</v>
      </c>
      <c r="AK884" s="71">
        <f>IF($G884="",0,IF(OR($M884="Completed",$M884="Cancelled"),0,1))</f>
        <v>0</v>
      </c>
      <c r="AL884" s="71">
        <f>IF(AND($AK884=1,ISNUMBER($L884)),IF($L884&lt;ReportDate,1,0),0)</f>
        <v>0</v>
      </c>
      <c r="AM884" s="71">
        <f>IF(AND($G884&lt;&gt;"",$M884="Blocked"),1,0)</f>
        <v>0</v>
      </c>
      <c r="AN884" s="71">
        <f>IF(AND($AK884=1,ISNUMBER($L884)),IF($L884=ReportDate,1,0),0)</f>
        <v>0</v>
      </c>
      <c r="AO884" s="71">
        <f>IF(AND($AK884=1,ISNUMBER($L884)),IF($L884=ReportDate+1,1,0),0)</f>
        <v>0</v>
      </c>
      <c r="AP884" s="71">
        <f>IF(AND($AK884=1,ISNUMBER($L884)),IF(AND($L884&gt;=ReportDate,$L884&lt;=ReportDate+DueSoonDays),1,0),0)</f>
        <v>0</v>
      </c>
      <c r="AQ884" s="71">
        <f>IF(AND($AK884=1,OR($I884="Critical",$I884="High")),1,0)</f>
        <v>0</v>
      </c>
      <c r="AR884" s="71">
        <f>IF($AK884=1,IF(ISNUMBER($Y884),IF(ReportDate-$Y884&gt;StaleDays,1,0),1),0)</f>
        <v>0</v>
      </c>
      <c r="AS884" s="71">
        <f>IF(AND($G884&lt;&gt;"",ISNUMBER($Q884),ISNUMBER($R884)),IF(AND($Q884&lt;$R884,OR($M884="Completed",AND(ISNUMBER($L884),$L884&lt;ReportDate))),1,0),0)</f>
        <v>0</v>
      </c>
      <c r="AT884" s="71">
        <f>IF($AK884=1,IF(OR($L884=ReportDate,$W884=ReportDate,$K884=ReportDate,$A884=ReportDate),1,0),0)</f>
        <v>0</v>
      </c>
      <c r="AU884" s="71">
        <f>IF($AK884=1,IF(OR($L884=ReportDate+1,$W884=ReportDate+1,$K884=ReportDate+1,$A884=ReportDate+1),1,0),0)</f>
        <v>0</v>
      </c>
      <c r="AV884" s="71">
        <f>IF(AND($G884&lt;&gt;"",$M884="Completed"),IF(OR($Y884=ReportDate-1,$A884=ReportDate-1),1,0),0)</f>
        <v>0</v>
      </c>
      <c r="AW884" s="71">
        <f>IF(AND($AK884=1,$Z884="Yes"),1,0)</f>
        <v>0</v>
      </c>
      <c r="AX884" s="71">
        <f>IF(AND($AK884=1,$AA884="Yes"),1,0)</f>
        <v>0</v>
      </c>
      <c r="AY884" s="71">
        <f>IF(AND($AM884=1,OR($I884="Critical",$I884="High")),1,0)</f>
        <v>0</v>
      </c>
      <c r="AZ884" s="71">
        <f>IF(AND($AK884=1,OR($C884=TCL_Client,$C884=MECCA_Client)),1,0)</f>
        <v>0</v>
      </c>
      <c r="BA884" s="71" t="str">
        <f>IF($G884="","",IFERROR(MATCH($I884,lst_Priority,0),5))</f>
        <v/>
      </c>
      <c r="BB884" s="71" t="str">
        <f>IF(AND($AL884=1,$AJ884=1),$BA884*100000+ROW(),"")</f>
        <v/>
      </c>
      <c r="BC884" s="71" t="str">
        <f>IF(AND($AM884=1,$AJ884=1),$BA884*100000+ROW(),"")</f>
        <v/>
      </c>
      <c r="BD884" s="71" t="str">
        <f>IF(AND($AP884=1,$AJ884=1),$BA884*100000+ROW(),"")</f>
        <v/>
      </c>
      <c r="BE884" s="71" t="str">
        <f>IF(AND($AT884=1,$AJ884=1),$BA884*100000+ROW(),"")</f>
        <v/>
      </c>
      <c r="BF884" s="71" t="str">
        <f>IF(AND($AU884=1,$AJ884=1),$BA884*100000+ROW(),"")</f>
        <v/>
      </c>
      <c r="BG884" s="71" t="str">
        <f>IF(AND($AV884=1,$AJ884=1),$BA884*100000+ROW(),"")</f>
        <v/>
      </c>
      <c r="BH884" s="71" t="str">
        <f>IF(AND($AW884=1,$AJ884=1),$BA884*100000+ROW(),"")</f>
        <v/>
      </c>
      <c r="BI884" s="71" t="str">
        <f>IF(AND($AX884=1,$AJ884=1),$BA884*100000+ROW(),"")</f>
        <v/>
      </c>
      <c r="BJ884" s="71" t="str">
        <f>IF(AND($AS884=1,$AJ884=1),$BA884*100000+ROW(),"")</f>
        <v/>
      </c>
      <c r="BK884" s="71" t="str">
        <f>IF(AND($AY884=1,$AJ884=1),$BA884*100000+ROW(),"")</f>
        <v/>
      </c>
      <c r="BL884" s="71" t="str">
        <f>IF(AND($AZ884=1),$BA884*100000+ROW(),"")</f>
        <v/>
      </c>
    </row>
    <row r="885">
      <c r="A885" s="63" t="n"/>
      <c r="B885" s="64" t="n"/>
      <c r="C885" s="64" t="n"/>
      <c r="D885" s="64" t="n"/>
      <c r="E885" s="64" t="n"/>
      <c r="F885" s="64" t="n"/>
      <c r="G885" s="65" t="n"/>
      <c r="H885" s="65" t="n"/>
      <c r="I885" s="64" t="n"/>
      <c r="J885" s="64" t="n"/>
      <c r="K885" s="63" t="n"/>
      <c r="L885" s="63" t="n"/>
      <c r="M885" s="64" t="n"/>
      <c r="N885" s="66" t="n"/>
      <c r="O885" s="65" t="n"/>
      <c r="P885" s="64" t="n"/>
      <c r="Q885" s="67" t="n"/>
      <c r="R885" s="67" t="n"/>
      <c r="S885" s="68" t="str">
        <f>IF(AND(ISNUMBER($Q885),ISNUMBER($R885)),$Q885-$R885,"")</f>
        <v/>
      </c>
      <c r="T885" s="65" t="n"/>
      <c r="U885" s="64" t="n"/>
      <c r="V885" s="65" t="n"/>
      <c r="W885" s="63" t="n"/>
      <c r="X885" s="65" t="n"/>
      <c r="Y885" s="63" t="n"/>
      <c r="Z885" s="64" t="n"/>
      <c r="AA885" s="64" t="n"/>
      <c r="AB885" s="65" t="n"/>
      <c r="AC885" s="69" t="str">
        <f>IF(OR($G885="",NOT(ISNUMBER($K885)),$AK885=0),"",MAX(0,ReportDate-$K885))</f>
        <v/>
      </c>
      <c r="AD885" s="69" t="str">
        <f>IF($G885="","",IF($AL885=1,ReportDate-$L885,0))</f>
        <v/>
      </c>
      <c r="AE885" s="70" t="str">
        <f>IF($G885="","",IF($M885="Completed",1,IF(ISNUMBER($N885),$N885,0)))</f>
        <v/>
      </c>
      <c r="AF885" s="70" t="str">
        <f>IF(AND(ISNUMBER($Q885),ISNUMBER($R885)),IF($R885&lt;&gt;0,$Q885/$R885,""),"")</f>
        <v/>
      </c>
      <c r="AG885" s="71" t="str">
        <f>IF($G885="","",IF($AL885=1,"OVERDUE",IF($AM885=1,"BLOCKED",IF($AN885=1,"DUE TODAY",IF($AO885=1,"DUE TOMORROW",IF($AQ885=1,"HIGH PRIORITY",IF($AR885=1,"NO RECENT UPDATE",""))))))) </f>
        <v/>
      </c>
      <c r="AH885" s="71" t="str">
        <f>IF($G885="","",IF(ISNUMBER($A885),IF(ISNUMBER($A885),YEAR($A885)&amp;"-"&amp;TEXT(MONTH($A885),"00"),""),IF(ISNUMBER($L885),IF(ISNUMBER($L885),YEAR($L885)&amp;"-"&amp;TEXT(MONTH($L885),"00"),""),"")))</f>
        <v/>
      </c>
      <c r="AI885" s="71">
        <f>IF($G885="",0,IF(AND(OR(fClient="All",$C885=fClient),OR(fCampaign="All",$D885=fCampaign),OR(fTeam="All",$B885=fTeam),OR(fChannel="All",$F885=fChannel),OR(fMonth="All",$AH885=fMonth),OR(fTStatus="All",$M885=fTStatus)),1,0))</f>
        <v>0</v>
      </c>
      <c r="AJ885" s="71">
        <f>IF($G885="",0,IF(AND(OR(fClient="All",$C885=fClient),OR(fCampaign="All",$D885=fCampaign),OR(fTeam="All",$B885=fTeam),OR(fChannel="All",$F885=fChannel)),1,0))</f>
        <v>0</v>
      </c>
      <c r="AK885" s="71">
        <f>IF($G885="",0,IF(OR($M885="Completed",$M885="Cancelled"),0,1))</f>
        <v>0</v>
      </c>
      <c r="AL885" s="71">
        <f>IF(AND($AK885=1,ISNUMBER($L885)),IF($L885&lt;ReportDate,1,0),0)</f>
        <v>0</v>
      </c>
      <c r="AM885" s="71">
        <f>IF(AND($G885&lt;&gt;"",$M885="Blocked"),1,0)</f>
        <v>0</v>
      </c>
      <c r="AN885" s="71">
        <f>IF(AND($AK885=1,ISNUMBER($L885)),IF($L885=ReportDate,1,0),0)</f>
        <v>0</v>
      </c>
      <c r="AO885" s="71">
        <f>IF(AND($AK885=1,ISNUMBER($L885)),IF($L885=ReportDate+1,1,0),0)</f>
        <v>0</v>
      </c>
      <c r="AP885" s="71">
        <f>IF(AND($AK885=1,ISNUMBER($L885)),IF(AND($L885&gt;=ReportDate,$L885&lt;=ReportDate+DueSoonDays),1,0),0)</f>
        <v>0</v>
      </c>
      <c r="AQ885" s="71">
        <f>IF(AND($AK885=1,OR($I885="Critical",$I885="High")),1,0)</f>
        <v>0</v>
      </c>
      <c r="AR885" s="71">
        <f>IF($AK885=1,IF(ISNUMBER($Y885),IF(ReportDate-$Y885&gt;StaleDays,1,0),1),0)</f>
        <v>0</v>
      </c>
      <c r="AS885" s="71">
        <f>IF(AND($G885&lt;&gt;"",ISNUMBER($Q885),ISNUMBER($R885)),IF(AND($Q885&lt;$R885,OR($M885="Completed",AND(ISNUMBER($L885),$L885&lt;ReportDate))),1,0),0)</f>
        <v>0</v>
      </c>
      <c r="AT885" s="71">
        <f>IF($AK885=1,IF(OR($L885=ReportDate,$W885=ReportDate,$K885=ReportDate,$A885=ReportDate),1,0),0)</f>
        <v>0</v>
      </c>
      <c r="AU885" s="71">
        <f>IF($AK885=1,IF(OR($L885=ReportDate+1,$W885=ReportDate+1,$K885=ReportDate+1,$A885=ReportDate+1),1,0),0)</f>
        <v>0</v>
      </c>
      <c r="AV885" s="71">
        <f>IF(AND($G885&lt;&gt;"",$M885="Completed"),IF(OR($Y885=ReportDate-1,$A885=ReportDate-1),1,0),0)</f>
        <v>0</v>
      </c>
      <c r="AW885" s="71">
        <f>IF(AND($AK885=1,$Z885="Yes"),1,0)</f>
        <v>0</v>
      </c>
      <c r="AX885" s="71">
        <f>IF(AND($AK885=1,$AA885="Yes"),1,0)</f>
        <v>0</v>
      </c>
      <c r="AY885" s="71">
        <f>IF(AND($AM885=1,OR($I885="Critical",$I885="High")),1,0)</f>
        <v>0</v>
      </c>
      <c r="AZ885" s="71">
        <f>IF(AND($AK885=1,OR($C885=TCL_Client,$C885=MECCA_Client)),1,0)</f>
        <v>0</v>
      </c>
      <c r="BA885" s="71" t="str">
        <f>IF($G885="","",IFERROR(MATCH($I885,lst_Priority,0),5))</f>
        <v/>
      </c>
      <c r="BB885" s="71" t="str">
        <f>IF(AND($AL885=1,$AJ885=1),$BA885*100000+ROW(),"")</f>
        <v/>
      </c>
      <c r="BC885" s="71" t="str">
        <f>IF(AND($AM885=1,$AJ885=1),$BA885*100000+ROW(),"")</f>
        <v/>
      </c>
      <c r="BD885" s="71" t="str">
        <f>IF(AND($AP885=1,$AJ885=1),$BA885*100000+ROW(),"")</f>
        <v/>
      </c>
      <c r="BE885" s="71" t="str">
        <f>IF(AND($AT885=1,$AJ885=1),$BA885*100000+ROW(),"")</f>
        <v/>
      </c>
      <c r="BF885" s="71" t="str">
        <f>IF(AND($AU885=1,$AJ885=1),$BA885*100000+ROW(),"")</f>
        <v/>
      </c>
      <c r="BG885" s="71" t="str">
        <f>IF(AND($AV885=1,$AJ885=1),$BA885*100000+ROW(),"")</f>
        <v/>
      </c>
      <c r="BH885" s="71" t="str">
        <f>IF(AND($AW885=1,$AJ885=1),$BA885*100000+ROW(),"")</f>
        <v/>
      </c>
      <c r="BI885" s="71" t="str">
        <f>IF(AND($AX885=1,$AJ885=1),$BA885*100000+ROW(),"")</f>
        <v/>
      </c>
      <c r="BJ885" s="71" t="str">
        <f>IF(AND($AS885=1,$AJ885=1),$BA885*100000+ROW(),"")</f>
        <v/>
      </c>
      <c r="BK885" s="71" t="str">
        <f>IF(AND($AY885=1,$AJ885=1),$BA885*100000+ROW(),"")</f>
        <v/>
      </c>
      <c r="BL885" s="71" t="str">
        <f>IF(AND($AZ885=1),$BA885*100000+ROW(),"")</f>
        <v/>
      </c>
    </row>
    <row r="886">
      <c r="A886" s="63" t="n"/>
      <c r="B886" s="64" t="n"/>
      <c r="C886" s="64" t="n"/>
      <c r="D886" s="64" t="n"/>
      <c r="E886" s="64" t="n"/>
      <c r="F886" s="64" t="n"/>
      <c r="G886" s="65" t="n"/>
      <c r="H886" s="65" t="n"/>
      <c r="I886" s="64" t="n"/>
      <c r="J886" s="64" t="n"/>
      <c r="K886" s="63" t="n"/>
      <c r="L886" s="63" t="n"/>
      <c r="M886" s="64" t="n"/>
      <c r="N886" s="66" t="n"/>
      <c r="O886" s="65" t="n"/>
      <c r="P886" s="64" t="n"/>
      <c r="Q886" s="67" t="n"/>
      <c r="R886" s="67" t="n"/>
      <c r="S886" s="68" t="str">
        <f>IF(AND(ISNUMBER($Q886),ISNUMBER($R886)),$Q886-$R886,"")</f>
        <v/>
      </c>
      <c r="T886" s="65" t="n"/>
      <c r="U886" s="64" t="n"/>
      <c r="V886" s="65" t="n"/>
      <c r="W886" s="63" t="n"/>
      <c r="X886" s="65" t="n"/>
      <c r="Y886" s="63" t="n"/>
      <c r="Z886" s="64" t="n"/>
      <c r="AA886" s="64" t="n"/>
      <c r="AB886" s="65" t="n"/>
      <c r="AC886" s="69" t="str">
        <f>IF(OR($G886="",NOT(ISNUMBER($K886)),$AK886=0),"",MAX(0,ReportDate-$K886))</f>
        <v/>
      </c>
      <c r="AD886" s="69" t="str">
        <f>IF($G886="","",IF($AL886=1,ReportDate-$L886,0))</f>
        <v/>
      </c>
      <c r="AE886" s="70" t="str">
        <f>IF($G886="","",IF($M886="Completed",1,IF(ISNUMBER($N886),$N886,0)))</f>
        <v/>
      </c>
      <c r="AF886" s="70" t="str">
        <f>IF(AND(ISNUMBER($Q886),ISNUMBER($R886)),IF($R886&lt;&gt;0,$Q886/$R886,""),"")</f>
        <v/>
      </c>
      <c r="AG886" s="71" t="str">
        <f>IF($G886="","",IF($AL886=1,"OVERDUE",IF($AM886=1,"BLOCKED",IF($AN886=1,"DUE TODAY",IF($AO886=1,"DUE TOMORROW",IF($AQ886=1,"HIGH PRIORITY",IF($AR886=1,"NO RECENT UPDATE",""))))))) </f>
        <v/>
      </c>
      <c r="AH886" s="71" t="str">
        <f>IF($G886="","",IF(ISNUMBER($A886),IF(ISNUMBER($A886),YEAR($A886)&amp;"-"&amp;TEXT(MONTH($A886),"00"),""),IF(ISNUMBER($L886),IF(ISNUMBER($L886),YEAR($L886)&amp;"-"&amp;TEXT(MONTH($L886),"00"),""),"")))</f>
        <v/>
      </c>
      <c r="AI886" s="71">
        <f>IF($G886="",0,IF(AND(OR(fClient="All",$C886=fClient),OR(fCampaign="All",$D886=fCampaign),OR(fTeam="All",$B886=fTeam),OR(fChannel="All",$F886=fChannel),OR(fMonth="All",$AH886=fMonth),OR(fTStatus="All",$M886=fTStatus)),1,0))</f>
        <v>0</v>
      </c>
      <c r="AJ886" s="71">
        <f>IF($G886="",0,IF(AND(OR(fClient="All",$C886=fClient),OR(fCampaign="All",$D886=fCampaign),OR(fTeam="All",$B886=fTeam),OR(fChannel="All",$F886=fChannel)),1,0))</f>
        <v>0</v>
      </c>
      <c r="AK886" s="71">
        <f>IF($G886="",0,IF(OR($M886="Completed",$M886="Cancelled"),0,1))</f>
        <v>0</v>
      </c>
      <c r="AL886" s="71">
        <f>IF(AND($AK886=1,ISNUMBER($L886)),IF($L886&lt;ReportDate,1,0),0)</f>
        <v>0</v>
      </c>
      <c r="AM886" s="71">
        <f>IF(AND($G886&lt;&gt;"",$M886="Blocked"),1,0)</f>
        <v>0</v>
      </c>
      <c r="AN886" s="71">
        <f>IF(AND($AK886=1,ISNUMBER($L886)),IF($L886=ReportDate,1,0),0)</f>
        <v>0</v>
      </c>
      <c r="AO886" s="71">
        <f>IF(AND($AK886=1,ISNUMBER($L886)),IF($L886=ReportDate+1,1,0),0)</f>
        <v>0</v>
      </c>
      <c r="AP886" s="71">
        <f>IF(AND($AK886=1,ISNUMBER($L886)),IF(AND($L886&gt;=ReportDate,$L886&lt;=ReportDate+DueSoonDays),1,0),0)</f>
        <v>0</v>
      </c>
      <c r="AQ886" s="71">
        <f>IF(AND($AK886=1,OR($I886="Critical",$I886="High")),1,0)</f>
        <v>0</v>
      </c>
      <c r="AR886" s="71">
        <f>IF($AK886=1,IF(ISNUMBER($Y886),IF(ReportDate-$Y886&gt;StaleDays,1,0),1),0)</f>
        <v>0</v>
      </c>
      <c r="AS886" s="71">
        <f>IF(AND($G886&lt;&gt;"",ISNUMBER($Q886),ISNUMBER($R886)),IF(AND($Q886&lt;$R886,OR($M886="Completed",AND(ISNUMBER($L886),$L886&lt;ReportDate))),1,0),0)</f>
        <v>0</v>
      </c>
      <c r="AT886" s="71">
        <f>IF($AK886=1,IF(OR($L886=ReportDate,$W886=ReportDate,$K886=ReportDate,$A886=ReportDate),1,0),0)</f>
        <v>0</v>
      </c>
      <c r="AU886" s="71">
        <f>IF($AK886=1,IF(OR($L886=ReportDate+1,$W886=ReportDate+1,$K886=ReportDate+1,$A886=ReportDate+1),1,0),0)</f>
        <v>0</v>
      </c>
      <c r="AV886" s="71">
        <f>IF(AND($G886&lt;&gt;"",$M886="Completed"),IF(OR($Y886=ReportDate-1,$A886=ReportDate-1),1,0),0)</f>
        <v>0</v>
      </c>
      <c r="AW886" s="71">
        <f>IF(AND($AK886=1,$Z886="Yes"),1,0)</f>
        <v>0</v>
      </c>
      <c r="AX886" s="71">
        <f>IF(AND($AK886=1,$AA886="Yes"),1,0)</f>
        <v>0</v>
      </c>
      <c r="AY886" s="71">
        <f>IF(AND($AM886=1,OR($I886="Critical",$I886="High")),1,0)</f>
        <v>0</v>
      </c>
      <c r="AZ886" s="71">
        <f>IF(AND($AK886=1,OR($C886=TCL_Client,$C886=MECCA_Client)),1,0)</f>
        <v>0</v>
      </c>
      <c r="BA886" s="71" t="str">
        <f>IF($G886="","",IFERROR(MATCH($I886,lst_Priority,0),5))</f>
        <v/>
      </c>
      <c r="BB886" s="71" t="str">
        <f>IF(AND($AL886=1,$AJ886=1),$BA886*100000+ROW(),"")</f>
        <v/>
      </c>
      <c r="BC886" s="71" t="str">
        <f>IF(AND($AM886=1,$AJ886=1),$BA886*100000+ROW(),"")</f>
        <v/>
      </c>
      <c r="BD886" s="71" t="str">
        <f>IF(AND($AP886=1,$AJ886=1),$BA886*100000+ROW(),"")</f>
        <v/>
      </c>
      <c r="BE886" s="71" t="str">
        <f>IF(AND($AT886=1,$AJ886=1),$BA886*100000+ROW(),"")</f>
        <v/>
      </c>
      <c r="BF886" s="71" t="str">
        <f>IF(AND($AU886=1,$AJ886=1),$BA886*100000+ROW(),"")</f>
        <v/>
      </c>
      <c r="BG886" s="71" t="str">
        <f>IF(AND($AV886=1,$AJ886=1),$BA886*100000+ROW(),"")</f>
        <v/>
      </c>
      <c r="BH886" s="71" t="str">
        <f>IF(AND($AW886=1,$AJ886=1),$BA886*100000+ROW(),"")</f>
        <v/>
      </c>
      <c r="BI886" s="71" t="str">
        <f>IF(AND($AX886=1,$AJ886=1),$BA886*100000+ROW(),"")</f>
        <v/>
      </c>
      <c r="BJ886" s="71" t="str">
        <f>IF(AND($AS886=1,$AJ886=1),$BA886*100000+ROW(),"")</f>
        <v/>
      </c>
      <c r="BK886" s="71" t="str">
        <f>IF(AND($AY886=1,$AJ886=1),$BA886*100000+ROW(),"")</f>
        <v/>
      </c>
      <c r="BL886" s="71" t="str">
        <f>IF(AND($AZ886=1),$BA886*100000+ROW(),"")</f>
        <v/>
      </c>
    </row>
    <row r="887">
      <c r="A887" s="63" t="n"/>
      <c r="B887" s="64" t="n"/>
      <c r="C887" s="64" t="n"/>
      <c r="D887" s="64" t="n"/>
      <c r="E887" s="64" t="n"/>
      <c r="F887" s="64" t="n"/>
      <c r="G887" s="65" t="n"/>
      <c r="H887" s="65" t="n"/>
      <c r="I887" s="64" t="n"/>
      <c r="J887" s="64" t="n"/>
      <c r="K887" s="63" t="n"/>
      <c r="L887" s="63" t="n"/>
      <c r="M887" s="64" t="n"/>
      <c r="N887" s="66" t="n"/>
      <c r="O887" s="65" t="n"/>
      <c r="P887" s="64" t="n"/>
      <c r="Q887" s="67" t="n"/>
      <c r="R887" s="67" t="n"/>
      <c r="S887" s="68" t="str">
        <f>IF(AND(ISNUMBER($Q887),ISNUMBER($R887)),$Q887-$R887,"")</f>
        <v/>
      </c>
      <c r="T887" s="65" t="n"/>
      <c r="U887" s="64" t="n"/>
      <c r="V887" s="65" t="n"/>
      <c r="W887" s="63" t="n"/>
      <c r="X887" s="65" t="n"/>
      <c r="Y887" s="63" t="n"/>
      <c r="Z887" s="64" t="n"/>
      <c r="AA887" s="64" t="n"/>
      <c r="AB887" s="65" t="n"/>
      <c r="AC887" s="69" t="str">
        <f>IF(OR($G887="",NOT(ISNUMBER($K887)),$AK887=0),"",MAX(0,ReportDate-$K887))</f>
        <v/>
      </c>
      <c r="AD887" s="69" t="str">
        <f>IF($G887="","",IF($AL887=1,ReportDate-$L887,0))</f>
        <v/>
      </c>
      <c r="AE887" s="70" t="str">
        <f>IF($G887="","",IF($M887="Completed",1,IF(ISNUMBER($N887),$N887,0)))</f>
        <v/>
      </c>
      <c r="AF887" s="70" t="str">
        <f>IF(AND(ISNUMBER($Q887),ISNUMBER($R887)),IF($R887&lt;&gt;0,$Q887/$R887,""),"")</f>
        <v/>
      </c>
      <c r="AG887" s="71" t="str">
        <f>IF($G887="","",IF($AL887=1,"OVERDUE",IF($AM887=1,"BLOCKED",IF($AN887=1,"DUE TODAY",IF($AO887=1,"DUE TOMORROW",IF($AQ887=1,"HIGH PRIORITY",IF($AR887=1,"NO RECENT UPDATE",""))))))) </f>
        <v/>
      </c>
      <c r="AH887" s="71" t="str">
        <f>IF($G887="","",IF(ISNUMBER($A887),IF(ISNUMBER($A887),YEAR($A887)&amp;"-"&amp;TEXT(MONTH($A887),"00"),""),IF(ISNUMBER($L887),IF(ISNUMBER($L887),YEAR($L887)&amp;"-"&amp;TEXT(MONTH($L887),"00"),""),"")))</f>
        <v/>
      </c>
      <c r="AI887" s="71">
        <f>IF($G887="",0,IF(AND(OR(fClient="All",$C887=fClient),OR(fCampaign="All",$D887=fCampaign),OR(fTeam="All",$B887=fTeam),OR(fChannel="All",$F887=fChannel),OR(fMonth="All",$AH887=fMonth),OR(fTStatus="All",$M887=fTStatus)),1,0))</f>
        <v>0</v>
      </c>
      <c r="AJ887" s="71">
        <f>IF($G887="",0,IF(AND(OR(fClient="All",$C887=fClient),OR(fCampaign="All",$D887=fCampaign),OR(fTeam="All",$B887=fTeam),OR(fChannel="All",$F887=fChannel)),1,0))</f>
        <v>0</v>
      </c>
      <c r="AK887" s="71">
        <f>IF($G887="",0,IF(OR($M887="Completed",$M887="Cancelled"),0,1))</f>
        <v>0</v>
      </c>
      <c r="AL887" s="71">
        <f>IF(AND($AK887=1,ISNUMBER($L887)),IF($L887&lt;ReportDate,1,0),0)</f>
        <v>0</v>
      </c>
      <c r="AM887" s="71">
        <f>IF(AND($G887&lt;&gt;"",$M887="Blocked"),1,0)</f>
        <v>0</v>
      </c>
      <c r="AN887" s="71">
        <f>IF(AND($AK887=1,ISNUMBER($L887)),IF($L887=ReportDate,1,0),0)</f>
        <v>0</v>
      </c>
      <c r="AO887" s="71">
        <f>IF(AND($AK887=1,ISNUMBER($L887)),IF($L887=ReportDate+1,1,0),0)</f>
        <v>0</v>
      </c>
      <c r="AP887" s="71">
        <f>IF(AND($AK887=1,ISNUMBER($L887)),IF(AND($L887&gt;=ReportDate,$L887&lt;=ReportDate+DueSoonDays),1,0),0)</f>
        <v>0</v>
      </c>
      <c r="AQ887" s="71">
        <f>IF(AND($AK887=1,OR($I887="Critical",$I887="High")),1,0)</f>
        <v>0</v>
      </c>
      <c r="AR887" s="71">
        <f>IF($AK887=1,IF(ISNUMBER($Y887),IF(ReportDate-$Y887&gt;StaleDays,1,0),1),0)</f>
        <v>0</v>
      </c>
      <c r="AS887" s="71">
        <f>IF(AND($G887&lt;&gt;"",ISNUMBER($Q887),ISNUMBER($R887)),IF(AND($Q887&lt;$R887,OR($M887="Completed",AND(ISNUMBER($L887),$L887&lt;ReportDate))),1,0),0)</f>
        <v>0</v>
      </c>
      <c r="AT887" s="71">
        <f>IF($AK887=1,IF(OR($L887=ReportDate,$W887=ReportDate,$K887=ReportDate,$A887=ReportDate),1,0),0)</f>
        <v>0</v>
      </c>
      <c r="AU887" s="71">
        <f>IF($AK887=1,IF(OR($L887=ReportDate+1,$W887=ReportDate+1,$K887=ReportDate+1,$A887=ReportDate+1),1,0),0)</f>
        <v>0</v>
      </c>
      <c r="AV887" s="71">
        <f>IF(AND($G887&lt;&gt;"",$M887="Completed"),IF(OR($Y887=ReportDate-1,$A887=ReportDate-1),1,0),0)</f>
        <v>0</v>
      </c>
      <c r="AW887" s="71">
        <f>IF(AND($AK887=1,$Z887="Yes"),1,0)</f>
        <v>0</v>
      </c>
      <c r="AX887" s="71">
        <f>IF(AND($AK887=1,$AA887="Yes"),1,0)</f>
        <v>0</v>
      </c>
      <c r="AY887" s="71">
        <f>IF(AND($AM887=1,OR($I887="Critical",$I887="High")),1,0)</f>
        <v>0</v>
      </c>
      <c r="AZ887" s="71">
        <f>IF(AND($AK887=1,OR($C887=TCL_Client,$C887=MECCA_Client)),1,0)</f>
        <v>0</v>
      </c>
      <c r="BA887" s="71" t="str">
        <f>IF($G887="","",IFERROR(MATCH($I887,lst_Priority,0),5))</f>
        <v/>
      </c>
      <c r="BB887" s="71" t="str">
        <f>IF(AND($AL887=1,$AJ887=1),$BA887*100000+ROW(),"")</f>
        <v/>
      </c>
      <c r="BC887" s="71" t="str">
        <f>IF(AND($AM887=1,$AJ887=1),$BA887*100000+ROW(),"")</f>
        <v/>
      </c>
      <c r="BD887" s="71" t="str">
        <f>IF(AND($AP887=1,$AJ887=1),$BA887*100000+ROW(),"")</f>
        <v/>
      </c>
      <c r="BE887" s="71" t="str">
        <f>IF(AND($AT887=1,$AJ887=1),$BA887*100000+ROW(),"")</f>
        <v/>
      </c>
      <c r="BF887" s="71" t="str">
        <f>IF(AND($AU887=1,$AJ887=1),$BA887*100000+ROW(),"")</f>
        <v/>
      </c>
      <c r="BG887" s="71" t="str">
        <f>IF(AND($AV887=1,$AJ887=1),$BA887*100000+ROW(),"")</f>
        <v/>
      </c>
      <c r="BH887" s="71" t="str">
        <f>IF(AND($AW887=1,$AJ887=1),$BA887*100000+ROW(),"")</f>
        <v/>
      </c>
      <c r="BI887" s="71" t="str">
        <f>IF(AND($AX887=1,$AJ887=1),$BA887*100000+ROW(),"")</f>
        <v/>
      </c>
      <c r="BJ887" s="71" t="str">
        <f>IF(AND($AS887=1,$AJ887=1),$BA887*100000+ROW(),"")</f>
        <v/>
      </c>
      <c r="BK887" s="71" t="str">
        <f>IF(AND($AY887=1,$AJ887=1),$BA887*100000+ROW(),"")</f>
        <v/>
      </c>
      <c r="BL887" s="71" t="str">
        <f>IF(AND($AZ887=1),$BA887*100000+ROW(),"")</f>
        <v/>
      </c>
    </row>
    <row r="888">
      <c r="A888" s="63" t="n"/>
      <c r="B888" s="64" t="n"/>
      <c r="C888" s="64" t="n"/>
      <c r="D888" s="64" t="n"/>
      <c r="E888" s="64" t="n"/>
      <c r="F888" s="64" t="n"/>
      <c r="G888" s="65" t="n"/>
      <c r="H888" s="65" t="n"/>
      <c r="I888" s="64" t="n"/>
      <c r="J888" s="64" t="n"/>
      <c r="K888" s="63" t="n"/>
      <c r="L888" s="63" t="n"/>
      <c r="M888" s="64" t="n"/>
      <c r="N888" s="66" t="n"/>
      <c r="O888" s="65" t="n"/>
      <c r="P888" s="64" t="n"/>
      <c r="Q888" s="67" t="n"/>
      <c r="R888" s="67" t="n"/>
      <c r="S888" s="68" t="str">
        <f>IF(AND(ISNUMBER($Q888),ISNUMBER($R888)),$Q888-$R888,"")</f>
        <v/>
      </c>
      <c r="T888" s="65" t="n"/>
      <c r="U888" s="64" t="n"/>
      <c r="V888" s="65" t="n"/>
      <c r="W888" s="63" t="n"/>
      <c r="X888" s="65" t="n"/>
      <c r="Y888" s="63" t="n"/>
      <c r="Z888" s="64" t="n"/>
      <c r="AA888" s="64" t="n"/>
      <c r="AB888" s="65" t="n"/>
      <c r="AC888" s="69" t="str">
        <f>IF(OR($G888="",NOT(ISNUMBER($K888)),$AK888=0),"",MAX(0,ReportDate-$K888))</f>
        <v/>
      </c>
      <c r="AD888" s="69" t="str">
        <f>IF($G888="","",IF($AL888=1,ReportDate-$L888,0))</f>
        <v/>
      </c>
      <c r="AE888" s="70" t="str">
        <f>IF($G888="","",IF($M888="Completed",1,IF(ISNUMBER($N888),$N888,0)))</f>
        <v/>
      </c>
      <c r="AF888" s="70" t="str">
        <f>IF(AND(ISNUMBER($Q888),ISNUMBER($R888)),IF($R888&lt;&gt;0,$Q888/$R888,""),"")</f>
        <v/>
      </c>
      <c r="AG888" s="71" t="str">
        <f>IF($G888="","",IF($AL888=1,"OVERDUE",IF($AM888=1,"BLOCKED",IF($AN888=1,"DUE TODAY",IF($AO888=1,"DUE TOMORROW",IF($AQ888=1,"HIGH PRIORITY",IF($AR888=1,"NO RECENT UPDATE",""))))))) </f>
        <v/>
      </c>
      <c r="AH888" s="71" t="str">
        <f>IF($G888="","",IF(ISNUMBER($A888),IF(ISNUMBER($A888),YEAR($A888)&amp;"-"&amp;TEXT(MONTH($A888),"00"),""),IF(ISNUMBER($L888),IF(ISNUMBER($L888),YEAR($L888)&amp;"-"&amp;TEXT(MONTH($L888),"00"),""),"")))</f>
        <v/>
      </c>
      <c r="AI888" s="71">
        <f>IF($G888="",0,IF(AND(OR(fClient="All",$C888=fClient),OR(fCampaign="All",$D888=fCampaign),OR(fTeam="All",$B888=fTeam),OR(fChannel="All",$F888=fChannel),OR(fMonth="All",$AH888=fMonth),OR(fTStatus="All",$M888=fTStatus)),1,0))</f>
        <v>0</v>
      </c>
      <c r="AJ888" s="71">
        <f>IF($G888="",0,IF(AND(OR(fClient="All",$C888=fClient),OR(fCampaign="All",$D888=fCampaign),OR(fTeam="All",$B888=fTeam),OR(fChannel="All",$F888=fChannel)),1,0))</f>
        <v>0</v>
      </c>
      <c r="AK888" s="71">
        <f>IF($G888="",0,IF(OR($M888="Completed",$M888="Cancelled"),0,1))</f>
        <v>0</v>
      </c>
      <c r="AL888" s="71">
        <f>IF(AND($AK888=1,ISNUMBER($L888)),IF($L888&lt;ReportDate,1,0),0)</f>
        <v>0</v>
      </c>
      <c r="AM888" s="71">
        <f>IF(AND($G888&lt;&gt;"",$M888="Blocked"),1,0)</f>
        <v>0</v>
      </c>
      <c r="AN888" s="71">
        <f>IF(AND($AK888=1,ISNUMBER($L888)),IF($L888=ReportDate,1,0),0)</f>
        <v>0</v>
      </c>
      <c r="AO888" s="71">
        <f>IF(AND($AK888=1,ISNUMBER($L888)),IF($L888=ReportDate+1,1,0),0)</f>
        <v>0</v>
      </c>
      <c r="AP888" s="71">
        <f>IF(AND($AK888=1,ISNUMBER($L888)),IF(AND($L888&gt;=ReportDate,$L888&lt;=ReportDate+DueSoonDays),1,0),0)</f>
        <v>0</v>
      </c>
      <c r="AQ888" s="71">
        <f>IF(AND($AK888=1,OR($I888="Critical",$I888="High")),1,0)</f>
        <v>0</v>
      </c>
      <c r="AR888" s="71">
        <f>IF($AK888=1,IF(ISNUMBER($Y888),IF(ReportDate-$Y888&gt;StaleDays,1,0),1),0)</f>
        <v>0</v>
      </c>
      <c r="AS888" s="71">
        <f>IF(AND($G888&lt;&gt;"",ISNUMBER($Q888),ISNUMBER($R888)),IF(AND($Q888&lt;$R888,OR($M888="Completed",AND(ISNUMBER($L888),$L888&lt;ReportDate))),1,0),0)</f>
        <v>0</v>
      </c>
      <c r="AT888" s="71">
        <f>IF($AK888=1,IF(OR($L888=ReportDate,$W888=ReportDate,$K888=ReportDate,$A888=ReportDate),1,0),0)</f>
        <v>0</v>
      </c>
      <c r="AU888" s="71">
        <f>IF($AK888=1,IF(OR($L888=ReportDate+1,$W888=ReportDate+1,$K888=ReportDate+1,$A888=ReportDate+1),1,0),0)</f>
        <v>0</v>
      </c>
      <c r="AV888" s="71">
        <f>IF(AND($G888&lt;&gt;"",$M888="Completed"),IF(OR($Y888=ReportDate-1,$A888=ReportDate-1),1,0),0)</f>
        <v>0</v>
      </c>
      <c r="AW888" s="71">
        <f>IF(AND($AK888=1,$Z888="Yes"),1,0)</f>
        <v>0</v>
      </c>
      <c r="AX888" s="71">
        <f>IF(AND($AK888=1,$AA888="Yes"),1,0)</f>
        <v>0</v>
      </c>
      <c r="AY888" s="71">
        <f>IF(AND($AM888=1,OR($I888="Critical",$I888="High")),1,0)</f>
        <v>0</v>
      </c>
      <c r="AZ888" s="71">
        <f>IF(AND($AK888=1,OR($C888=TCL_Client,$C888=MECCA_Client)),1,0)</f>
        <v>0</v>
      </c>
      <c r="BA888" s="71" t="str">
        <f>IF($G888="","",IFERROR(MATCH($I888,lst_Priority,0),5))</f>
        <v/>
      </c>
      <c r="BB888" s="71" t="str">
        <f>IF(AND($AL888=1,$AJ888=1),$BA888*100000+ROW(),"")</f>
        <v/>
      </c>
      <c r="BC888" s="71" t="str">
        <f>IF(AND($AM888=1,$AJ888=1),$BA888*100000+ROW(),"")</f>
        <v/>
      </c>
      <c r="BD888" s="71" t="str">
        <f>IF(AND($AP888=1,$AJ888=1),$BA888*100000+ROW(),"")</f>
        <v/>
      </c>
      <c r="BE888" s="71" t="str">
        <f>IF(AND($AT888=1,$AJ888=1),$BA888*100000+ROW(),"")</f>
        <v/>
      </c>
      <c r="BF888" s="71" t="str">
        <f>IF(AND($AU888=1,$AJ888=1),$BA888*100000+ROW(),"")</f>
        <v/>
      </c>
      <c r="BG888" s="71" t="str">
        <f>IF(AND($AV888=1,$AJ888=1),$BA888*100000+ROW(),"")</f>
        <v/>
      </c>
      <c r="BH888" s="71" t="str">
        <f>IF(AND($AW888=1,$AJ888=1),$BA888*100000+ROW(),"")</f>
        <v/>
      </c>
      <c r="BI888" s="71" t="str">
        <f>IF(AND($AX888=1,$AJ888=1),$BA888*100000+ROW(),"")</f>
        <v/>
      </c>
      <c r="BJ888" s="71" t="str">
        <f>IF(AND($AS888=1,$AJ888=1),$BA888*100000+ROW(),"")</f>
        <v/>
      </c>
      <c r="BK888" s="71" t="str">
        <f>IF(AND($AY888=1,$AJ888=1),$BA888*100000+ROW(),"")</f>
        <v/>
      </c>
      <c r="BL888" s="71" t="str">
        <f>IF(AND($AZ888=1),$BA888*100000+ROW(),"")</f>
        <v/>
      </c>
    </row>
    <row r="889">
      <c r="A889" s="63" t="n"/>
      <c r="B889" s="64" t="n"/>
      <c r="C889" s="64" t="n"/>
      <c r="D889" s="64" t="n"/>
      <c r="E889" s="64" t="n"/>
      <c r="F889" s="64" t="n"/>
      <c r="G889" s="65" t="n"/>
      <c r="H889" s="65" t="n"/>
      <c r="I889" s="64" t="n"/>
      <c r="J889" s="64" t="n"/>
      <c r="K889" s="63" t="n"/>
      <c r="L889" s="63" t="n"/>
      <c r="M889" s="64" t="n"/>
      <c r="N889" s="66" t="n"/>
      <c r="O889" s="65" t="n"/>
      <c r="P889" s="64" t="n"/>
      <c r="Q889" s="67" t="n"/>
      <c r="R889" s="67" t="n"/>
      <c r="S889" s="68" t="str">
        <f>IF(AND(ISNUMBER($Q889),ISNUMBER($R889)),$Q889-$R889,"")</f>
        <v/>
      </c>
      <c r="T889" s="65" t="n"/>
      <c r="U889" s="64" t="n"/>
      <c r="V889" s="65" t="n"/>
      <c r="W889" s="63" t="n"/>
      <c r="X889" s="65" t="n"/>
      <c r="Y889" s="63" t="n"/>
      <c r="Z889" s="64" t="n"/>
      <c r="AA889" s="64" t="n"/>
      <c r="AB889" s="65" t="n"/>
      <c r="AC889" s="69" t="str">
        <f>IF(OR($G889="",NOT(ISNUMBER($K889)),$AK889=0),"",MAX(0,ReportDate-$K889))</f>
        <v/>
      </c>
      <c r="AD889" s="69" t="str">
        <f>IF($G889="","",IF($AL889=1,ReportDate-$L889,0))</f>
        <v/>
      </c>
      <c r="AE889" s="70" t="str">
        <f>IF($G889="","",IF($M889="Completed",1,IF(ISNUMBER($N889),$N889,0)))</f>
        <v/>
      </c>
      <c r="AF889" s="70" t="str">
        <f>IF(AND(ISNUMBER($Q889),ISNUMBER($R889)),IF($R889&lt;&gt;0,$Q889/$R889,""),"")</f>
        <v/>
      </c>
      <c r="AG889" s="71" t="str">
        <f>IF($G889="","",IF($AL889=1,"OVERDUE",IF($AM889=1,"BLOCKED",IF($AN889=1,"DUE TODAY",IF($AO889=1,"DUE TOMORROW",IF($AQ889=1,"HIGH PRIORITY",IF($AR889=1,"NO RECENT UPDATE",""))))))) </f>
        <v/>
      </c>
      <c r="AH889" s="71" t="str">
        <f>IF($G889="","",IF(ISNUMBER($A889),IF(ISNUMBER($A889),YEAR($A889)&amp;"-"&amp;TEXT(MONTH($A889),"00"),""),IF(ISNUMBER($L889),IF(ISNUMBER($L889),YEAR($L889)&amp;"-"&amp;TEXT(MONTH($L889),"00"),""),"")))</f>
        <v/>
      </c>
      <c r="AI889" s="71">
        <f>IF($G889="",0,IF(AND(OR(fClient="All",$C889=fClient),OR(fCampaign="All",$D889=fCampaign),OR(fTeam="All",$B889=fTeam),OR(fChannel="All",$F889=fChannel),OR(fMonth="All",$AH889=fMonth),OR(fTStatus="All",$M889=fTStatus)),1,0))</f>
        <v>0</v>
      </c>
      <c r="AJ889" s="71">
        <f>IF($G889="",0,IF(AND(OR(fClient="All",$C889=fClient),OR(fCampaign="All",$D889=fCampaign),OR(fTeam="All",$B889=fTeam),OR(fChannel="All",$F889=fChannel)),1,0))</f>
        <v>0</v>
      </c>
      <c r="AK889" s="71">
        <f>IF($G889="",0,IF(OR($M889="Completed",$M889="Cancelled"),0,1))</f>
        <v>0</v>
      </c>
      <c r="AL889" s="71">
        <f>IF(AND($AK889=1,ISNUMBER($L889)),IF($L889&lt;ReportDate,1,0),0)</f>
        <v>0</v>
      </c>
      <c r="AM889" s="71">
        <f>IF(AND($G889&lt;&gt;"",$M889="Blocked"),1,0)</f>
        <v>0</v>
      </c>
      <c r="AN889" s="71">
        <f>IF(AND($AK889=1,ISNUMBER($L889)),IF($L889=ReportDate,1,0),0)</f>
        <v>0</v>
      </c>
      <c r="AO889" s="71">
        <f>IF(AND($AK889=1,ISNUMBER($L889)),IF($L889=ReportDate+1,1,0),0)</f>
        <v>0</v>
      </c>
      <c r="AP889" s="71">
        <f>IF(AND($AK889=1,ISNUMBER($L889)),IF(AND($L889&gt;=ReportDate,$L889&lt;=ReportDate+DueSoonDays),1,0),0)</f>
        <v>0</v>
      </c>
      <c r="AQ889" s="71">
        <f>IF(AND($AK889=1,OR($I889="Critical",$I889="High")),1,0)</f>
        <v>0</v>
      </c>
      <c r="AR889" s="71">
        <f>IF($AK889=1,IF(ISNUMBER($Y889),IF(ReportDate-$Y889&gt;StaleDays,1,0),1),0)</f>
        <v>0</v>
      </c>
      <c r="AS889" s="71">
        <f>IF(AND($G889&lt;&gt;"",ISNUMBER($Q889),ISNUMBER($R889)),IF(AND($Q889&lt;$R889,OR($M889="Completed",AND(ISNUMBER($L889),$L889&lt;ReportDate))),1,0),0)</f>
        <v>0</v>
      </c>
      <c r="AT889" s="71">
        <f>IF($AK889=1,IF(OR($L889=ReportDate,$W889=ReportDate,$K889=ReportDate,$A889=ReportDate),1,0),0)</f>
        <v>0</v>
      </c>
      <c r="AU889" s="71">
        <f>IF($AK889=1,IF(OR($L889=ReportDate+1,$W889=ReportDate+1,$K889=ReportDate+1,$A889=ReportDate+1),1,0),0)</f>
        <v>0</v>
      </c>
      <c r="AV889" s="71">
        <f>IF(AND($G889&lt;&gt;"",$M889="Completed"),IF(OR($Y889=ReportDate-1,$A889=ReportDate-1),1,0),0)</f>
        <v>0</v>
      </c>
      <c r="AW889" s="71">
        <f>IF(AND($AK889=1,$Z889="Yes"),1,0)</f>
        <v>0</v>
      </c>
      <c r="AX889" s="71">
        <f>IF(AND($AK889=1,$AA889="Yes"),1,0)</f>
        <v>0</v>
      </c>
      <c r="AY889" s="71">
        <f>IF(AND($AM889=1,OR($I889="Critical",$I889="High")),1,0)</f>
        <v>0</v>
      </c>
      <c r="AZ889" s="71">
        <f>IF(AND($AK889=1,OR($C889=TCL_Client,$C889=MECCA_Client)),1,0)</f>
        <v>0</v>
      </c>
      <c r="BA889" s="71" t="str">
        <f>IF($G889="","",IFERROR(MATCH($I889,lst_Priority,0),5))</f>
        <v/>
      </c>
      <c r="BB889" s="71" t="str">
        <f>IF(AND($AL889=1,$AJ889=1),$BA889*100000+ROW(),"")</f>
        <v/>
      </c>
      <c r="BC889" s="71" t="str">
        <f>IF(AND($AM889=1,$AJ889=1),$BA889*100000+ROW(),"")</f>
        <v/>
      </c>
      <c r="BD889" s="71" t="str">
        <f>IF(AND($AP889=1,$AJ889=1),$BA889*100000+ROW(),"")</f>
        <v/>
      </c>
      <c r="BE889" s="71" t="str">
        <f>IF(AND($AT889=1,$AJ889=1),$BA889*100000+ROW(),"")</f>
        <v/>
      </c>
      <c r="BF889" s="71" t="str">
        <f>IF(AND($AU889=1,$AJ889=1),$BA889*100000+ROW(),"")</f>
        <v/>
      </c>
      <c r="BG889" s="71" t="str">
        <f>IF(AND($AV889=1,$AJ889=1),$BA889*100000+ROW(),"")</f>
        <v/>
      </c>
      <c r="BH889" s="71" t="str">
        <f>IF(AND($AW889=1,$AJ889=1),$BA889*100000+ROW(),"")</f>
        <v/>
      </c>
      <c r="BI889" s="71" t="str">
        <f>IF(AND($AX889=1,$AJ889=1),$BA889*100000+ROW(),"")</f>
        <v/>
      </c>
      <c r="BJ889" s="71" t="str">
        <f>IF(AND($AS889=1,$AJ889=1),$BA889*100000+ROW(),"")</f>
        <v/>
      </c>
      <c r="BK889" s="71" t="str">
        <f>IF(AND($AY889=1,$AJ889=1),$BA889*100000+ROW(),"")</f>
        <v/>
      </c>
      <c r="BL889" s="71" t="str">
        <f>IF(AND($AZ889=1),$BA889*100000+ROW(),"")</f>
        <v/>
      </c>
    </row>
    <row r="890">
      <c r="A890" s="63" t="n"/>
      <c r="B890" s="64" t="n"/>
      <c r="C890" s="64" t="n"/>
      <c r="D890" s="64" t="n"/>
      <c r="E890" s="64" t="n"/>
      <c r="F890" s="64" t="n"/>
      <c r="G890" s="65" t="n"/>
      <c r="H890" s="65" t="n"/>
      <c r="I890" s="64" t="n"/>
      <c r="J890" s="64" t="n"/>
      <c r="K890" s="63" t="n"/>
      <c r="L890" s="63" t="n"/>
      <c r="M890" s="64" t="n"/>
      <c r="N890" s="66" t="n"/>
      <c r="O890" s="65" t="n"/>
      <c r="P890" s="64" t="n"/>
      <c r="Q890" s="67" t="n"/>
      <c r="R890" s="67" t="n"/>
      <c r="S890" s="68" t="str">
        <f>IF(AND(ISNUMBER($Q890),ISNUMBER($R890)),$Q890-$R890,"")</f>
        <v/>
      </c>
      <c r="T890" s="65" t="n"/>
      <c r="U890" s="64" t="n"/>
      <c r="V890" s="65" t="n"/>
      <c r="W890" s="63" t="n"/>
      <c r="X890" s="65" t="n"/>
      <c r="Y890" s="63" t="n"/>
      <c r="Z890" s="64" t="n"/>
      <c r="AA890" s="64" t="n"/>
      <c r="AB890" s="65" t="n"/>
      <c r="AC890" s="69" t="str">
        <f>IF(OR($G890="",NOT(ISNUMBER($K890)),$AK890=0),"",MAX(0,ReportDate-$K890))</f>
        <v/>
      </c>
      <c r="AD890" s="69" t="str">
        <f>IF($G890="","",IF($AL890=1,ReportDate-$L890,0))</f>
        <v/>
      </c>
      <c r="AE890" s="70" t="str">
        <f>IF($G890="","",IF($M890="Completed",1,IF(ISNUMBER($N890),$N890,0)))</f>
        <v/>
      </c>
      <c r="AF890" s="70" t="str">
        <f>IF(AND(ISNUMBER($Q890),ISNUMBER($R890)),IF($R890&lt;&gt;0,$Q890/$R890,""),"")</f>
        <v/>
      </c>
      <c r="AG890" s="71" t="str">
        <f>IF($G890="","",IF($AL890=1,"OVERDUE",IF($AM890=1,"BLOCKED",IF($AN890=1,"DUE TODAY",IF($AO890=1,"DUE TOMORROW",IF($AQ890=1,"HIGH PRIORITY",IF($AR890=1,"NO RECENT UPDATE",""))))))) </f>
        <v/>
      </c>
      <c r="AH890" s="71" t="str">
        <f>IF($G890="","",IF(ISNUMBER($A890),IF(ISNUMBER($A890),YEAR($A890)&amp;"-"&amp;TEXT(MONTH($A890),"00"),""),IF(ISNUMBER($L890),IF(ISNUMBER($L890),YEAR($L890)&amp;"-"&amp;TEXT(MONTH($L890),"00"),""),"")))</f>
        <v/>
      </c>
      <c r="AI890" s="71">
        <f>IF($G890="",0,IF(AND(OR(fClient="All",$C890=fClient),OR(fCampaign="All",$D890=fCampaign),OR(fTeam="All",$B890=fTeam),OR(fChannel="All",$F890=fChannel),OR(fMonth="All",$AH890=fMonth),OR(fTStatus="All",$M890=fTStatus)),1,0))</f>
        <v>0</v>
      </c>
      <c r="AJ890" s="71">
        <f>IF($G890="",0,IF(AND(OR(fClient="All",$C890=fClient),OR(fCampaign="All",$D890=fCampaign),OR(fTeam="All",$B890=fTeam),OR(fChannel="All",$F890=fChannel)),1,0))</f>
        <v>0</v>
      </c>
      <c r="AK890" s="71">
        <f>IF($G890="",0,IF(OR($M890="Completed",$M890="Cancelled"),0,1))</f>
        <v>0</v>
      </c>
      <c r="AL890" s="71">
        <f>IF(AND($AK890=1,ISNUMBER($L890)),IF($L890&lt;ReportDate,1,0),0)</f>
        <v>0</v>
      </c>
      <c r="AM890" s="71">
        <f>IF(AND($G890&lt;&gt;"",$M890="Blocked"),1,0)</f>
        <v>0</v>
      </c>
      <c r="AN890" s="71">
        <f>IF(AND($AK890=1,ISNUMBER($L890)),IF($L890=ReportDate,1,0),0)</f>
        <v>0</v>
      </c>
      <c r="AO890" s="71">
        <f>IF(AND($AK890=1,ISNUMBER($L890)),IF($L890=ReportDate+1,1,0),0)</f>
        <v>0</v>
      </c>
      <c r="AP890" s="71">
        <f>IF(AND($AK890=1,ISNUMBER($L890)),IF(AND($L890&gt;=ReportDate,$L890&lt;=ReportDate+DueSoonDays),1,0),0)</f>
        <v>0</v>
      </c>
      <c r="AQ890" s="71">
        <f>IF(AND($AK890=1,OR($I890="Critical",$I890="High")),1,0)</f>
        <v>0</v>
      </c>
      <c r="AR890" s="71">
        <f>IF($AK890=1,IF(ISNUMBER($Y890),IF(ReportDate-$Y890&gt;StaleDays,1,0),1),0)</f>
        <v>0</v>
      </c>
      <c r="AS890" s="71">
        <f>IF(AND($G890&lt;&gt;"",ISNUMBER($Q890),ISNUMBER($R890)),IF(AND($Q890&lt;$R890,OR($M890="Completed",AND(ISNUMBER($L890),$L890&lt;ReportDate))),1,0),0)</f>
        <v>0</v>
      </c>
      <c r="AT890" s="71">
        <f>IF($AK890=1,IF(OR($L890=ReportDate,$W890=ReportDate,$K890=ReportDate,$A890=ReportDate),1,0),0)</f>
        <v>0</v>
      </c>
      <c r="AU890" s="71">
        <f>IF($AK890=1,IF(OR($L890=ReportDate+1,$W890=ReportDate+1,$K890=ReportDate+1,$A890=ReportDate+1),1,0),0)</f>
        <v>0</v>
      </c>
      <c r="AV890" s="71">
        <f>IF(AND($G890&lt;&gt;"",$M890="Completed"),IF(OR($Y890=ReportDate-1,$A890=ReportDate-1),1,0),0)</f>
        <v>0</v>
      </c>
      <c r="AW890" s="71">
        <f>IF(AND($AK890=1,$Z890="Yes"),1,0)</f>
        <v>0</v>
      </c>
      <c r="AX890" s="71">
        <f>IF(AND($AK890=1,$AA890="Yes"),1,0)</f>
        <v>0</v>
      </c>
      <c r="AY890" s="71">
        <f>IF(AND($AM890=1,OR($I890="Critical",$I890="High")),1,0)</f>
        <v>0</v>
      </c>
      <c r="AZ890" s="71">
        <f>IF(AND($AK890=1,OR($C890=TCL_Client,$C890=MECCA_Client)),1,0)</f>
        <v>0</v>
      </c>
      <c r="BA890" s="71" t="str">
        <f>IF($G890="","",IFERROR(MATCH($I890,lst_Priority,0),5))</f>
        <v/>
      </c>
      <c r="BB890" s="71" t="str">
        <f>IF(AND($AL890=1,$AJ890=1),$BA890*100000+ROW(),"")</f>
        <v/>
      </c>
      <c r="BC890" s="71" t="str">
        <f>IF(AND($AM890=1,$AJ890=1),$BA890*100000+ROW(),"")</f>
        <v/>
      </c>
      <c r="BD890" s="71" t="str">
        <f>IF(AND($AP890=1,$AJ890=1),$BA890*100000+ROW(),"")</f>
        <v/>
      </c>
      <c r="BE890" s="71" t="str">
        <f>IF(AND($AT890=1,$AJ890=1),$BA890*100000+ROW(),"")</f>
        <v/>
      </c>
      <c r="BF890" s="71" t="str">
        <f>IF(AND($AU890=1,$AJ890=1),$BA890*100000+ROW(),"")</f>
        <v/>
      </c>
      <c r="BG890" s="71" t="str">
        <f>IF(AND($AV890=1,$AJ890=1),$BA890*100000+ROW(),"")</f>
        <v/>
      </c>
      <c r="BH890" s="71" t="str">
        <f>IF(AND($AW890=1,$AJ890=1),$BA890*100000+ROW(),"")</f>
        <v/>
      </c>
      <c r="BI890" s="71" t="str">
        <f>IF(AND($AX890=1,$AJ890=1),$BA890*100000+ROW(),"")</f>
        <v/>
      </c>
      <c r="BJ890" s="71" t="str">
        <f>IF(AND($AS890=1,$AJ890=1),$BA890*100000+ROW(),"")</f>
        <v/>
      </c>
      <c r="BK890" s="71" t="str">
        <f>IF(AND($AY890=1,$AJ890=1),$BA890*100000+ROW(),"")</f>
        <v/>
      </c>
      <c r="BL890" s="71" t="str">
        <f>IF(AND($AZ890=1),$BA890*100000+ROW(),"")</f>
        <v/>
      </c>
    </row>
    <row r="891">
      <c r="A891" s="63" t="n"/>
      <c r="B891" s="64" t="n"/>
      <c r="C891" s="64" t="n"/>
      <c r="D891" s="64" t="n"/>
      <c r="E891" s="64" t="n"/>
      <c r="F891" s="64" t="n"/>
      <c r="G891" s="65" t="n"/>
      <c r="H891" s="65" t="n"/>
      <c r="I891" s="64" t="n"/>
      <c r="J891" s="64" t="n"/>
      <c r="K891" s="63" t="n"/>
      <c r="L891" s="63" t="n"/>
      <c r="M891" s="64" t="n"/>
      <c r="N891" s="66" t="n"/>
      <c r="O891" s="65" t="n"/>
      <c r="P891" s="64" t="n"/>
      <c r="Q891" s="67" t="n"/>
      <c r="R891" s="67" t="n"/>
      <c r="S891" s="68" t="str">
        <f>IF(AND(ISNUMBER($Q891),ISNUMBER($R891)),$Q891-$R891,"")</f>
        <v/>
      </c>
      <c r="T891" s="65" t="n"/>
      <c r="U891" s="64" t="n"/>
      <c r="V891" s="65" t="n"/>
      <c r="W891" s="63" t="n"/>
      <c r="X891" s="65" t="n"/>
      <c r="Y891" s="63" t="n"/>
      <c r="Z891" s="64" t="n"/>
      <c r="AA891" s="64" t="n"/>
      <c r="AB891" s="65" t="n"/>
      <c r="AC891" s="69" t="str">
        <f>IF(OR($G891="",NOT(ISNUMBER($K891)),$AK891=0),"",MAX(0,ReportDate-$K891))</f>
        <v/>
      </c>
      <c r="AD891" s="69" t="str">
        <f>IF($G891="","",IF($AL891=1,ReportDate-$L891,0))</f>
        <v/>
      </c>
      <c r="AE891" s="70" t="str">
        <f>IF($G891="","",IF($M891="Completed",1,IF(ISNUMBER($N891),$N891,0)))</f>
        <v/>
      </c>
      <c r="AF891" s="70" t="str">
        <f>IF(AND(ISNUMBER($Q891),ISNUMBER($R891)),IF($R891&lt;&gt;0,$Q891/$R891,""),"")</f>
        <v/>
      </c>
      <c r="AG891" s="71" t="str">
        <f>IF($G891="","",IF($AL891=1,"OVERDUE",IF($AM891=1,"BLOCKED",IF($AN891=1,"DUE TODAY",IF($AO891=1,"DUE TOMORROW",IF($AQ891=1,"HIGH PRIORITY",IF($AR891=1,"NO RECENT UPDATE",""))))))) </f>
        <v/>
      </c>
      <c r="AH891" s="71" t="str">
        <f>IF($G891="","",IF(ISNUMBER($A891),IF(ISNUMBER($A891),YEAR($A891)&amp;"-"&amp;TEXT(MONTH($A891),"00"),""),IF(ISNUMBER($L891),IF(ISNUMBER($L891),YEAR($L891)&amp;"-"&amp;TEXT(MONTH($L891),"00"),""),"")))</f>
        <v/>
      </c>
      <c r="AI891" s="71">
        <f>IF($G891="",0,IF(AND(OR(fClient="All",$C891=fClient),OR(fCampaign="All",$D891=fCampaign),OR(fTeam="All",$B891=fTeam),OR(fChannel="All",$F891=fChannel),OR(fMonth="All",$AH891=fMonth),OR(fTStatus="All",$M891=fTStatus)),1,0))</f>
        <v>0</v>
      </c>
      <c r="AJ891" s="71">
        <f>IF($G891="",0,IF(AND(OR(fClient="All",$C891=fClient),OR(fCampaign="All",$D891=fCampaign),OR(fTeam="All",$B891=fTeam),OR(fChannel="All",$F891=fChannel)),1,0))</f>
        <v>0</v>
      </c>
      <c r="AK891" s="71">
        <f>IF($G891="",0,IF(OR($M891="Completed",$M891="Cancelled"),0,1))</f>
        <v>0</v>
      </c>
      <c r="AL891" s="71">
        <f>IF(AND($AK891=1,ISNUMBER($L891)),IF($L891&lt;ReportDate,1,0),0)</f>
        <v>0</v>
      </c>
      <c r="AM891" s="71">
        <f>IF(AND($G891&lt;&gt;"",$M891="Blocked"),1,0)</f>
        <v>0</v>
      </c>
      <c r="AN891" s="71">
        <f>IF(AND($AK891=1,ISNUMBER($L891)),IF($L891=ReportDate,1,0),0)</f>
        <v>0</v>
      </c>
      <c r="AO891" s="71">
        <f>IF(AND($AK891=1,ISNUMBER($L891)),IF($L891=ReportDate+1,1,0),0)</f>
        <v>0</v>
      </c>
      <c r="AP891" s="71">
        <f>IF(AND($AK891=1,ISNUMBER($L891)),IF(AND($L891&gt;=ReportDate,$L891&lt;=ReportDate+DueSoonDays),1,0),0)</f>
        <v>0</v>
      </c>
      <c r="AQ891" s="71">
        <f>IF(AND($AK891=1,OR($I891="Critical",$I891="High")),1,0)</f>
        <v>0</v>
      </c>
      <c r="AR891" s="71">
        <f>IF($AK891=1,IF(ISNUMBER($Y891),IF(ReportDate-$Y891&gt;StaleDays,1,0),1),0)</f>
        <v>0</v>
      </c>
      <c r="AS891" s="71">
        <f>IF(AND($G891&lt;&gt;"",ISNUMBER($Q891),ISNUMBER($R891)),IF(AND($Q891&lt;$R891,OR($M891="Completed",AND(ISNUMBER($L891),$L891&lt;ReportDate))),1,0),0)</f>
        <v>0</v>
      </c>
      <c r="AT891" s="71">
        <f>IF($AK891=1,IF(OR($L891=ReportDate,$W891=ReportDate,$K891=ReportDate,$A891=ReportDate),1,0),0)</f>
        <v>0</v>
      </c>
      <c r="AU891" s="71">
        <f>IF($AK891=1,IF(OR($L891=ReportDate+1,$W891=ReportDate+1,$K891=ReportDate+1,$A891=ReportDate+1),1,0),0)</f>
        <v>0</v>
      </c>
      <c r="AV891" s="71">
        <f>IF(AND($G891&lt;&gt;"",$M891="Completed"),IF(OR($Y891=ReportDate-1,$A891=ReportDate-1),1,0),0)</f>
        <v>0</v>
      </c>
      <c r="AW891" s="71">
        <f>IF(AND($AK891=1,$Z891="Yes"),1,0)</f>
        <v>0</v>
      </c>
      <c r="AX891" s="71">
        <f>IF(AND($AK891=1,$AA891="Yes"),1,0)</f>
        <v>0</v>
      </c>
      <c r="AY891" s="71">
        <f>IF(AND($AM891=1,OR($I891="Critical",$I891="High")),1,0)</f>
        <v>0</v>
      </c>
      <c r="AZ891" s="71">
        <f>IF(AND($AK891=1,OR($C891=TCL_Client,$C891=MECCA_Client)),1,0)</f>
        <v>0</v>
      </c>
      <c r="BA891" s="71" t="str">
        <f>IF($G891="","",IFERROR(MATCH($I891,lst_Priority,0),5))</f>
        <v/>
      </c>
      <c r="BB891" s="71" t="str">
        <f>IF(AND($AL891=1,$AJ891=1),$BA891*100000+ROW(),"")</f>
        <v/>
      </c>
      <c r="BC891" s="71" t="str">
        <f>IF(AND($AM891=1,$AJ891=1),$BA891*100000+ROW(),"")</f>
        <v/>
      </c>
      <c r="BD891" s="71" t="str">
        <f>IF(AND($AP891=1,$AJ891=1),$BA891*100000+ROW(),"")</f>
        <v/>
      </c>
      <c r="BE891" s="71" t="str">
        <f>IF(AND($AT891=1,$AJ891=1),$BA891*100000+ROW(),"")</f>
        <v/>
      </c>
      <c r="BF891" s="71" t="str">
        <f>IF(AND($AU891=1,$AJ891=1),$BA891*100000+ROW(),"")</f>
        <v/>
      </c>
      <c r="BG891" s="71" t="str">
        <f>IF(AND($AV891=1,$AJ891=1),$BA891*100000+ROW(),"")</f>
        <v/>
      </c>
      <c r="BH891" s="71" t="str">
        <f>IF(AND($AW891=1,$AJ891=1),$BA891*100000+ROW(),"")</f>
        <v/>
      </c>
      <c r="BI891" s="71" t="str">
        <f>IF(AND($AX891=1,$AJ891=1),$BA891*100000+ROW(),"")</f>
        <v/>
      </c>
      <c r="BJ891" s="71" t="str">
        <f>IF(AND($AS891=1,$AJ891=1),$BA891*100000+ROW(),"")</f>
        <v/>
      </c>
      <c r="BK891" s="71" t="str">
        <f>IF(AND($AY891=1,$AJ891=1),$BA891*100000+ROW(),"")</f>
        <v/>
      </c>
      <c r="BL891" s="71" t="str">
        <f>IF(AND($AZ891=1),$BA891*100000+ROW(),"")</f>
        <v/>
      </c>
    </row>
    <row r="892">
      <c r="A892" s="63" t="n"/>
      <c r="B892" s="64" t="n"/>
      <c r="C892" s="64" t="n"/>
      <c r="D892" s="64" t="n"/>
      <c r="E892" s="64" t="n"/>
      <c r="F892" s="64" t="n"/>
      <c r="G892" s="65" t="n"/>
      <c r="H892" s="65" t="n"/>
      <c r="I892" s="64" t="n"/>
      <c r="J892" s="64" t="n"/>
      <c r="K892" s="63" t="n"/>
      <c r="L892" s="63" t="n"/>
      <c r="M892" s="64" t="n"/>
      <c r="N892" s="66" t="n"/>
      <c r="O892" s="65" t="n"/>
      <c r="P892" s="64" t="n"/>
      <c r="Q892" s="67" t="n"/>
      <c r="R892" s="67" t="n"/>
      <c r="S892" s="68" t="str">
        <f>IF(AND(ISNUMBER($Q892),ISNUMBER($R892)),$Q892-$R892,"")</f>
        <v/>
      </c>
      <c r="T892" s="65" t="n"/>
      <c r="U892" s="64" t="n"/>
      <c r="V892" s="65" t="n"/>
      <c r="W892" s="63" t="n"/>
      <c r="X892" s="65" t="n"/>
      <c r="Y892" s="63" t="n"/>
      <c r="Z892" s="64" t="n"/>
      <c r="AA892" s="64" t="n"/>
      <c r="AB892" s="65" t="n"/>
      <c r="AC892" s="69" t="str">
        <f>IF(OR($G892="",NOT(ISNUMBER($K892)),$AK892=0),"",MAX(0,ReportDate-$K892))</f>
        <v/>
      </c>
      <c r="AD892" s="69" t="str">
        <f>IF($G892="","",IF($AL892=1,ReportDate-$L892,0))</f>
        <v/>
      </c>
      <c r="AE892" s="70" t="str">
        <f>IF($G892="","",IF($M892="Completed",1,IF(ISNUMBER($N892),$N892,0)))</f>
        <v/>
      </c>
      <c r="AF892" s="70" t="str">
        <f>IF(AND(ISNUMBER($Q892),ISNUMBER($R892)),IF($R892&lt;&gt;0,$Q892/$R892,""),"")</f>
        <v/>
      </c>
      <c r="AG892" s="71" t="str">
        <f>IF($G892="","",IF($AL892=1,"OVERDUE",IF($AM892=1,"BLOCKED",IF($AN892=1,"DUE TODAY",IF($AO892=1,"DUE TOMORROW",IF($AQ892=1,"HIGH PRIORITY",IF($AR892=1,"NO RECENT UPDATE",""))))))) </f>
        <v/>
      </c>
      <c r="AH892" s="71" t="str">
        <f>IF($G892="","",IF(ISNUMBER($A892),IF(ISNUMBER($A892),YEAR($A892)&amp;"-"&amp;TEXT(MONTH($A892),"00"),""),IF(ISNUMBER($L892),IF(ISNUMBER($L892),YEAR($L892)&amp;"-"&amp;TEXT(MONTH($L892),"00"),""),"")))</f>
        <v/>
      </c>
      <c r="AI892" s="71">
        <f>IF($G892="",0,IF(AND(OR(fClient="All",$C892=fClient),OR(fCampaign="All",$D892=fCampaign),OR(fTeam="All",$B892=fTeam),OR(fChannel="All",$F892=fChannel),OR(fMonth="All",$AH892=fMonth),OR(fTStatus="All",$M892=fTStatus)),1,0))</f>
        <v>0</v>
      </c>
      <c r="AJ892" s="71">
        <f>IF($G892="",0,IF(AND(OR(fClient="All",$C892=fClient),OR(fCampaign="All",$D892=fCampaign),OR(fTeam="All",$B892=fTeam),OR(fChannel="All",$F892=fChannel)),1,0))</f>
        <v>0</v>
      </c>
      <c r="AK892" s="71">
        <f>IF($G892="",0,IF(OR($M892="Completed",$M892="Cancelled"),0,1))</f>
        <v>0</v>
      </c>
      <c r="AL892" s="71">
        <f>IF(AND($AK892=1,ISNUMBER($L892)),IF($L892&lt;ReportDate,1,0),0)</f>
        <v>0</v>
      </c>
      <c r="AM892" s="71">
        <f>IF(AND($G892&lt;&gt;"",$M892="Blocked"),1,0)</f>
        <v>0</v>
      </c>
      <c r="AN892" s="71">
        <f>IF(AND($AK892=1,ISNUMBER($L892)),IF($L892=ReportDate,1,0),0)</f>
        <v>0</v>
      </c>
      <c r="AO892" s="71">
        <f>IF(AND($AK892=1,ISNUMBER($L892)),IF($L892=ReportDate+1,1,0),0)</f>
        <v>0</v>
      </c>
      <c r="AP892" s="71">
        <f>IF(AND($AK892=1,ISNUMBER($L892)),IF(AND($L892&gt;=ReportDate,$L892&lt;=ReportDate+DueSoonDays),1,0),0)</f>
        <v>0</v>
      </c>
      <c r="AQ892" s="71">
        <f>IF(AND($AK892=1,OR($I892="Critical",$I892="High")),1,0)</f>
        <v>0</v>
      </c>
      <c r="AR892" s="71">
        <f>IF($AK892=1,IF(ISNUMBER($Y892),IF(ReportDate-$Y892&gt;StaleDays,1,0),1),0)</f>
        <v>0</v>
      </c>
      <c r="AS892" s="71">
        <f>IF(AND($G892&lt;&gt;"",ISNUMBER($Q892),ISNUMBER($R892)),IF(AND($Q892&lt;$R892,OR($M892="Completed",AND(ISNUMBER($L892),$L892&lt;ReportDate))),1,0),0)</f>
        <v>0</v>
      </c>
      <c r="AT892" s="71">
        <f>IF($AK892=1,IF(OR($L892=ReportDate,$W892=ReportDate,$K892=ReportDate,$A892=ReportDate),1,0),0)</f>
        <v>0</v>
      </c>
      <c r="AU892" s="71">
        <f>IF($AK892=1,IF(OR($L892=ReportDate+1,$W892=ReportDate+1,$K892=ReportDate+1,$A892=ReportDate+1),1,0),0)</f>
        <v>0</v>
      </c>
      <c r="AV892" s="71">
        <f>IF(AND($G892&lt;&gt;"",$M892="Completed"),IF(OR($Y892=ReportDate-1,$A892=ReportDate-1),1,0),0)</f>
        <v>0</v>
      </c>
      <c r="AW892" s="71">
        <f>IF(AND($AK892=1,$Z892="Yes"),1,0)</f>
        <v>0</v>
      </c>
      <c r="AX892" s="71">
        <f>IF(AND($AK892=1,$AA892="Yes"),1,0)</f>
        <v>0</v>
      </c>
      <c r="AY892" s="71">
        <f>IF(AND($AM892=1,OR($I892="Critical",$I892="High")),1,0)</f>
        <v>0</v>
      </c>
      <c r="AZ892" s="71">
        <f>IF(AND($AK892=1,OR($C892=TCL_Client,$C892=MECCA_Client)),1,0)</f>
        <v>0</v>
      </c>
      <c r="BA892" s="71" t="str">
        <f>IF($G892="","",IFERROR(MATCH($I892,lst_Priority,0),5))</f>
        <v/>
      </c>
      <c r="BB892" s="71" t="str">
        <f>IF(AND($AL892=1,$AJ892=1),$BA892*100000+ROW(),"")</f>
        <v/>
      </c>
      <c r="BC892" s="71" t="str">
        <f>IF(AND($AM892=1,$AJ892=1),$BA892*100000+ROW(),"")</f>
        <v/>
      </c>
      <c r="BD892" s="71" t="str">
        <f>IF(AND($AP892=1,$AJ892=1),$BA892*100000+ROW(),"")</f>
        <v/>
      </c>
      <c r="BE892" s="71" t="str">
        <f>IF(AND($AT892=1,$AJ892=1),$BA892*100000+ROW(),"")</f>
        <v/>
      </c>
      <c r="BF892" s="71" t="str">
        <f>IF(AND($AU892=1,$AJ892=1),$BA892*100000+ROW(),"")</f>
        <v/>
      </c>
      <c r="BG892" s="71" t="str">
        <f>IF(AND($AV892=1,$AJ892=1),$BA892*100000+ROW(),"")</f>
        <v/>
      </c>
      <c r="BH892" s="71" t="str">
        <f>IF(AND($AW892=1,$AJ892=1),$BA892*100000+ROW(),"")</f>
        <v/>
      </c>
      <c r="BI892" s="71" t="str">
        <f>IF(AND($AX892=1,$AJ892=1),$BA892*100000+ROW(),"")</f>
        <v/>
      </c>
      <c r="BJ892" s="71" t="str">
        <f>IF(AND($AS892=1,$AJ892=1),$BA892*100000+ROW(),"")</f>
        <v/>
      </c>
      <c r="BK892" s="71" t="str">
        <f>IF(AND($AY892=1,$AJ892=1),$BA892*100000+ROW(),"")</f>
        <v/>
      </c>
      <c r="BL892" s="71" t="str">
        <f>IF(AND($AZ892=1),$BA892*100000+ROW(),"")</f>
        <v/>
      </c>
    </row>
    <row r="893">
      <c r="A893" s="63" t="n"/>
      <c r="B893" s="64" t="n"/>
      <c r="C893" s="64" t="n"/>
      <c r="D893" s="64" t="n"/>
      <c r="E893" s="64" t="n"/>
      <c r="F893" s="64" t="n"/>
      <c r="G893" s="65" t="n"/>
      <c r="H893" s="65" t="n"/>
      <c r="I893" s="64" t="n"/>
      <c r="J893" s="64" t="n"/>
      <c r="K893" s="63" t="n"/>
      <c r="L893" s="63" t="n"/>
      <c r="M893" s="64" t="n"/>
      <c r="N893" s="66" t="n"/>
      <c r="O893" s="65" t="n"/>
      <c r="P893" s="64" t="n"/>
      <c r="Q893" s="67" t="n"/>
      <c r="R893" s="67" t="n"/>
      <c r="S893" s="68" t="str">
        <f>IF(AND(ISNUMBER($Q893),ISNUMBER($R893)),$Q893-$R893,"")</f>
        <v/>
      </c>
      <c r="T893" s="65" t="n"/>
      <c r="U893" s="64" t="n"/>
      <c r="V893" s="65" t="n"/>
      <c r="W893" s="63" t="n"/>
      <c r="X893" s="65" t="n"/>
      <c r="Y893" s="63" t="n"/>
      <c r="Z893" s="64" t="n"/>
      <c r="AA893" s="64" t="n"/>
      <c r="AB893" s="65" t="n"/>
      <c r="AC893" s="69" t="str">
        <f>IF(OR($G893="",NOT(ISNUMBER($K893)),$AK893=0),"",MAX(0,ReportDate-$K893))</f>
        <v/>
      </c>
      <c r="AD893" s="69" t="str">
        <f>IF($G893="","",IF($AL893=1,ReportDate-$L893,0))</f>
        <v/>
      </c>
      <c r="AE893" s="70" t="str">
        <f>IF($G893="","",IF($M893="Completed",1,IF(ISNUMBER($N893),$N893,0)))</f>
        <v/>
      </c>
      <c r="AF893" s="70" t="str">
        <f>IF(AND(ISNUMBER($Q893),ISNUMBER($R893)),IF($R893&lt;&gt;0,$Q893/$R893,""),"")</f>
        <v/>
      </c>
      <c r="AG893" s="71" t="str">
        <f>IF($G893="","",IF($AL893=1,"OVERDUE",IF($AM893=1,"BLOCKED",IF($AN893=1,"DUE TODAY",IF($AO893=1,"DUE TOMORROW",IF($AQ893=1,"HIGH PRIORITY",IF($AR893=1,"NO RECENT UPDATE",""))))))) </f>
        <v/>
      </c>
      <c r="AH893" s="71" t="str">
        <f>IF($G893="","",IF(ISNUMBER($A893),IF(ISNUMBER($A893),YEAR($A893)&amp;"-"&amp;TEXT(MONTH($A893),"00"),""),IF(ISNUMBER($L893),IF(ISNUMBER($L893),YEAR($L893)&amp;"-"&amp;TEXT(MONTH($L893),"00"),""),"")))</f>
        <v/>
      </c>
      <c r="AI893" s="71">
        <f>IF($G893="",0,IF(AND(OR(fClient="All",$C893=fClient),OR(fCampaign="All",$D893=fCampaign),OR(fTeam="All",$B893=fTeam),OR(fChannel="All",$F893=fChannel),OR(fMonth="All",$AH893=fMonth),OR(fTStatus="All",$M893=fTStatus)),1,0))</f>
        <v>0</v>
      </c>
      <c r="AJ893" s="71">
        <f>IF($G893="",0,IF(AND(OR(fClient="All",$C893=fClient),OR(fCampaign="All",$D893=fCampaign),OR(fTeam="All",$B893=fTeam),OR(fChannel="All",$F893=fChannel)),1,0))</f>
        <v>0</v>
      </c>
      <c r="AK893" s="71">
        <f>IF($G893="",0,IF(OR($M893="Completed",$M893="Cancelled"),0,1))</f>
        <v>0</v>
      </c>
      <c r="AL893" s="71">
        <f>IF(AND($AK893=1,ISNUMBER($L893)),IF($L893&lt;ReportDate,1,0),0)</f>
        <v>0</v>
      </c>
      <c r="AM893" s="71">
        <f>IF(AND($G893&lt;&gt;"",$M893="Blocked"),1,0)</f>
        <v>0</v>
      </c>
      <c r="AN893" s="71">
        <f>IF(AND($AK893=1,ISNUMBER($L893)),IF($L893=ReportDate,1,0),0)</f>
        <v>0</v>
      </c>
      <c r="AO893" s="71">
        <f>IF(AND($AK893=1,ISNUMBER($L893)),IF($L893=ReportDate+1,1,0),0)</f>
        <v>0</v>
      </c>
      <c r="AP893" s="71">
        <f>IF(AND($AK893=1,ISNUMBER($L893)),IF(AND($L893&gt;=ReportDate,$L893&lt;=ReportDate+DueSoonDays),1,0),0)</f>
        <v>0</v>
      </c>
      <c r="AQ893" s="71">
        <f>IF(AND($AK893=1,OR($I893="Critical",$I893="High")),1,0)</f>
        <v>0</v>
      </c>
      <c r="AR893" s="71">
        <f>IF($AK893=1,IF(ISNUMBER($Y893),IF(ReportDate-$Y893&gt;StaleDays,1,0),1),0)</f>
        <v>0</v>
      </c>
      <c r="AS893" s="71">
        <f>IF(AND($G893&lt;&gt;"",ISNUMBER($Q893),ISNUMBER($R893)),IF(AND($Q893&lt;$R893,OR($M893="Completed",AND(ISNUMBER($L893),$L893&lt;ReportDate))),1,0),0)</f>
        <v>0</v>
      </c>
      <c r="AT893" s="71">
        <f>IF($AK893=1,IF(OR($L893=ReportDate,$W893=ReportDate,$K893=ReportDate,$A893=ReportDate),1,0),0)</f>
        <v>0</v>
      </c>
      <c r="AU893" s="71">
        <f>IF($AK893=1,IF(OR($L893=ReportDate+1,$W893=ReportDate+1,$K893=ReportDate+1,$A893=ReportDate+1),1,0),0)</f>
        <v>0</v>
      </c>
      <c r="AV893" s="71">
        <f>IF(AND($G893&lt;&gt;"",$M893="Completed"),IF(OR($Y893=ReportDate-1,$A893=ReportDate-1),1,0),0)</f>
        <v>0</v>
      </c>
      <c r="AW893" s="71">
        <f>IF(AND($AK893=1,$Z893="Yes"),1,0)</f>
        <v>0</v>
      </c>
      <c r="AX893" s="71">
        <f>IF(AND($AK893=1,$AA893="Yes"),1,0)</f>
        <v>0</v>
      </c>
      <c r="AY893" s="71">
        <f>IF(AND($AM893=1,OR($I893="Critical",$I893="High")),1,0)</f>
        <v>0</v>
      </c>
      <c r="AZ893" s="71">
        <f>IF(AND($AK893=1,OR($C893=TCL_Client,$C893=MECCA_Client)),1,0)</f>
        <v>0</v>
      </c>
      <c r="BA893" s="71" t="str">
        <f>IF($G893="","",IFERROR(MATCH($I893,lst_Priority,0),5))</f>
        <v/>
      </c>
      <c r="BB893" s="71" t="str">
        <f>IF(AND($AL893=1,$AJ893=1),$BA893*100000+ROW(),"")</f>
        <v/>
      </c>
      <c r="BC893" s="71" t="str">
        <f>IF(AND($AM893=1,$AJ893=1),$BA893*100000+ROW(),"")</f>
        <v/>
      </c>
      <c r="BD893" s="71" t="str">
        <f>IF(AND($AP893=1,$AJ893=1),$BA893*100000+ROW(),"")</f>
        <v/>
      </c>
      <c r="BE893" s="71" t="str">
        <f>IF(AND($AT893=1,$AJ893=1),$BA893*100000+ROW(),"")</f>
        <v/>
      </c>
      <c r="BF893" s="71" t="str">
        <f>IF(AND($AU893=1,$AJ893=1),$BA893*100000+ROW(),"")</f>
        <v/>
      </c>
      <c r="BG893" s="71" t="str">
        <f>IF(AND($AV893=1,$AJ893=1),$BA893*100000+ROW(),"")</f>
        <v/>
      </c>
      <c r="BH893" s="71" t="str">
        <f>IF(AND($AW893=1,$AJ893=1),$BA893*100000+ROW(),"")</f>
        <v/>
      </c>
      <c r="BI893" s="71" t="str">
        <f>IF(AND($AX893=1,$AJ893=1),$BA893*100000+ROW(),"")</f>
        <v/>
      </c>
      <c r="BJ893" s="71" t="str">
        <f>IF(AND($AS893=1,$AJ893=1),$BA893*100000+ROW(),"")</f>
        <v/>
      </c>
      <c r="BK893" s="71" t="str">
        <f>IF(AND($AY893=1,$AJ893=1),$BA893*100000+ROW(),"")</f>
        <v/>
      </c>
      <c r="BL893" s="71" t="str">
        <f>IF(AND($AZ893=1),$BA893*100000+ROW(),"")</f>
        <v/>
      </c>
    </row>
    <row r="894">
      <c r="A894" s="63" t="n"/>
      <c r="B894" s="64" t="n"/>
      <c r="C894" s="64" t="n"/>
      <c r="D894" s="64" t="n"/>
      <c r="E894" s="64" t="n"/>
      <c r="F894" s="64" t="n"/>
      <c r="G894" s="65" t="n"/>
      <c r="H894" s="65" t="n"/>
      <c r="I894" s="64" t="n"/>
      <c r="J894" s="64" t="n"/>
      <c r="K894" s="63" t="n"/>
      <c r="L894" s="63" t="n"/>
      <c r="M894" s="64" t="n"/>
      <c r="N894" s="66" t="n"/>
      <c r="O894" s="65" t="n"/>
      <c r="P894" s="64" t="n"/>
      <c r="Q894" s="67" t="n"/>
      <c r="R894" s="67" t="n"/>
      <c r="S894" s="68" t="str">
        <f>IF(AND(ISNUMBER($Q894),ISNUMBER($R894)),$Q894-$R894,"")</f>
        <v/>
      </c>
      <c r="T894" s="65" t="n"/>
      <c r="U894" s="64" t="n"/>
      <c r="V894" s="65" t="n"/>
      <c r="W894" s="63" t="n"/>
      <c r="X894" s="65" t="n"/>
      <c r="Y894" s="63" t="n"/>
      <c r="Z894" s="64" t="n"/>
      <c r="AA894" s="64" t="n"/>
      <c r="AB894" s="65" t="n"/>
      <c r="AC894" s="69" t="str">
        <f>IF(OR($G894="",NOT(ISNUMBER($K894)),$AK894=0),"",MAX(0,ReportDate-$K894))</f>
        <v/>
      </c>
      <c r="AD894" s="69" t="str">
        <f>IF($G894="","",IF($AL894=1,ReportDate-$L894,0))</f>
        <v/>
      </c>
      <c r="AE894" s="70" t="str">
        <f>IF($G894="","",IF($M894="Completed",1,IF(ISNUMBER($N894),$N894,0)))</f>
        <v/>
      </c>
      <c r="AF894" s="70" t="str">
        <f>IF(AND(ISNUMBER($Q894),ISNUMBER($R894)),IF($R894&lt;&gt;0,$Q894/$R894,""),"")</f>
        <v/>
      </c>
      <c r="AG894" s="71" t="str">
        <f>IF($G894="","",IF($AL894=1,"OVERDUE",IF($AM894=1,"BLOCKED",IF($AN894=1,"DUE TODAY",IF($AO894=1,"DUE TOMORROW",IF($AQ894=1,"HIGH PRIORITY",IF($AR894=1,"NO RECENT UPDATE",""))))))) </f>
        <v/>
      </c>
      <c r="AH894" s="71" t="str">
        <f>IF($G894="","",IF(ISNUMBER($A894),IF(ISNUMBER($A894),YEAR($A894)&amp;"-"&amp;TEXT(MONTH($A894),"00"),""),IF(ISNUMBER($L894),IF(ISNUMBER($L894),YEAR($L894)&amp;"-"&amp;TEXT(MONTH($L894),"00"),""),"")))</f>
        <v/>
      </c>
      <c r="AI894" s="71">
        <f>IF($G894="",0,IF(AND(OR(fClient="All",$C894=fClient),OR(fCampaign="All",$D894=fCampaign),OR(fTeam="All",$B894=fTeam),OR(fChannel="All",$F894=fChannel),OR(fMonth="All",$AH894=fMonth),OR(fTStatus="All",$M894=fTStatus)),1,0))</f>
        <v>0</v>
      </c>
      <c r="AJ894" s="71">
        <f>IF($G894="",0,IF(AND(OR(fClient="All",$C894=fClient),OR(fCampaign="All",$D894=fCampaign),OR(fTeam="All",$B894=fTeam),OR(fChannel="All",$F894=fChannel)),1,0))</f>
        <v>0</v>
      </c>
      <c r="AK894" s="71">
        <f>IF($G894="",0,IF(OR($M894="Completed",$M894="Cancelled"),0,1))</f>
        <v>0</v>
      </c>
      <c r="AL894" s="71">
        <f>IF(AND($AK894=1,ISNUMBER($L894)),IF($L894&lt;ReportDate,1,0),0)</f>
        <v>0</v>
      </c>
      <c r="AM894" s="71">
        <f>IF(AND($G894&lt;&gt;"",$M894="Blocked"),1,0)</f>
        <v>0</v>
      </c>
      <c r="AN894" s="71">
        <f>IF(AND($AK894=1,ISNUMBER($L894)),IF($L894=ReportDate,1,0),0)</f>
        <v>0</v>
      </c>
      <c r="AO894" s="71">
        <f>IF(AND($AK894=1,ISNUMBER($L894)),IF($L894=ReportDate+1,1,0),0)</f>
        <v>0</v>
      </c>
      <c r="AP894" s="71">
        <f>IF(AND($AK894=1,ISNUMBER($L894)),IF(AND($L894&gt;=ReportDate,$L894&lt;=ReportDate+DueSoonDays),1,0),0)</f>
        <v>0</v>
      </c>
      <c r="AQ894" s="71">
        <f>IF(AND($AK894=1,OR($I894="Critical",$I894="High")),1,0)</f>
        <v>0</v>
      </c>
      <c r="AR894" s="71">
        <f>IF($AK894=1,IF(ISNUMBER($Y894),IF(ReportDate-$Y894&gt;StaleDays,1,0),1),0)</f>
        <v>0</v>
      </c>
      <c r="AS894" s="71">
        <f>IF(AND($G894&lt;&gt;"",ISNUMBER($Q894),ISNUMBER($R894)),IF(AND($Q894&lt;$R894,OR($M894="Completed",AND(ISNUMBER($L894),$L894&lt;ReportDate))),1,0),0)</f>
        <v>0</v>
      </c>
      <c r="AT894" s="71">
        <f>IF($AK894=1,IF(OR($L894=ReportDate,$W894=ReportDate,$K894=ReportDate,$A894=ReportDate),1,0),0)</f>
        <v>0</v>
      </c>
      <c r="AU894" s="71">
        <f>IF($AK894=1,IF(OR($L894=ReportDate+1,$W894=ReportDate+1,$K894=ReportDate+1,$A894=ReportDate+1),1,0),0)</f>
        <v>0</v>
      </c>
      <c r="AV894" s="71">
        <f>IF(AND($G894&lt;&gt;"",$M894="Completed"),IF(OR($Y894=ReportDate-1,$A894=ReportDate-1),1,0),0)</f>
        <v>0</v>
      </c>
      <c r="AW894" s="71">
        <f>IF(AND($AK894=1,$Z894="Yes"),1,0)</f>
        <v>0</v>
      </c>
      <c r="AX894" s="71">
        <f>IF(AND($AK894=1,$AA894="Yes"),1,0)</f>
        <v>0</v>
      </c>
      <c r="AY894" s="71">
        <f>IF(AND($AM894=1,OR($I894="Critical",$I894="High")),1,0)</f>
        <v>0</v>
      </c>
      <c r="AZ894" s="71">
        <f>IF(AND($AK894=1,OR($C894=TCL_Client,$C894=MECCA_Client)),1,0)</f>
        <v>0</v>
      </c>
      <c r="BA894" s="71" t="str">
        <f>IF($G894="","",IFERROR(MATCH($I894,lst_Priority,0),5))</f>
        <v/>
      </c>
      <c r="BB894" s="71" t="str">
        <f>IF(AND($AL894=1,$AJ894=1),$BA894*100000+ROW(),"")</f>
        <v/>
      </c>
      <c r="BC894" s="71" t="str">
        <f>IF(AND($AM894=1,$AJ894=1),$BA894*100000+ROW(),"")</f>
        <v/>
      </c>
      <c r="BD894" s="71" t="str">
        <f>IF(AND($AP894=1,$AJ894=1),$BA894*100000+ROW(),"")</f>
        <v/>
      </c>
      <c r="BE894" s="71" t="str">
        <f>IF(AND($AT894=1,$AJ894=1),$BA894*100000+ROW(),"")</f>
        <v/>
      </c>
      <c r="BF894" s="71" t="str">
        <f>IF(AND($AU894=1,$AJ894=1),$BA894*100000+ROW(),"")</f>
        <v/>
      </c>
      <c r="BG894" s="71" t="str">
        <f>IF(AND($AV894=1,$AJ894=1),$BA894*100000+ROW(),"")</f>
        <v/>
      </c>
      <c r="BH894" s="71" t="str">
        <f>IF(AND($AW894=1,$AJ894=1),$BA894*100000+ROW(),"")</f>
        <v/>
      </c>
      <c r="BI894" s="71" t="str">
        <f>IF(AND($AX894=1,$AJ894=1),$BA894*100000+ROW(),"")</f>
        <v/>
      </c>
      <c r="BJ894" s="71" t="str">
        <f>IF(AND($AS894=1,$AJ894=1),$BA894*100000+ROW(),"")</f>
        <v/>
      </c>
      <c r="BK894" s="71" t="str">
        <f>IF(AND($AY894=1,$AJ894=1),$BA894*100000+ROW(),"")</f>
        <v/>
      </c>
      <c r="BL894" s="71" t="str">
        <f>IF(AND($AZ894=1),$BA894*100000+ROW(),"")</f>
        <v/>
      </c>
    </row>
    <row r="895">
      <c r="A895" s="63" t="n"/>
      <c r="B895" s="64" t="n"/>
      <c r="C895" s="64" t="n"/>
      <c r="D895" s="64" t="n"/>
      <c r="E895" s="64" t="n"/>
      <c r="F895" s="64" t="n"/>
      <c r="G895" s="65" t="n"/>
      <c r="H895" s="65" t="n"/>
      <c r="I895" s="64" t="n"/>
      <c r="J895" s="64" t="n"/>
      <c r="K895" s="63" t="n"/>
      <c r="L895" s="63" t="n"/>
      <c r="M895" s="64" t="n"/>
      <c r="N895" s="66" t="n"/>
      <c r="O895" s="65" t="n"/>
      <c r="P895" s="64" t="n"/>
      <c r="Q895" s="67" t="n"/>
      <c r="R895" s="67" t="n"/>
      <c r="S895" s="68" t="str">
        <f>IF(AND(ISNUMBER($Q895),ISNUMBER($R895)),$Q895-$R895,"")</f>
        <v/>
      </c>
      <c r="T895" s="65" t="n"/>
      <c r="U895" s="64" t="n"/>
      <c r="V895" s="65" t="n"/>
      <c r="W895" s="63" t="n"/>
      <c r="X895" s="65" t="n"/>
      <c r="Y895" s="63" t="n"/>
      <c r="Z895" s="64" t="n"/>
      <c r="AA895" s="64" t="n"/>
      <c r="AB895" s="65" t="n"/>
      <c r="AC895" s="69" t="str">
        <f>IF(OR($G895="",NOT(ISNUMBER($K895)),$AK895=0),"",MAX(0,ReportDate-$K895))</f>
        <v/>
      </c>
      <c r="AD895" s="69" t="str">
        <f>IF($G895="","",IF($AL895=1,ReportDate-$L895,0))</f>
        <v/>
      </c>
      <c r="AE895" s="70" t="str">
        <f>IF($G895="","",IF($M895="Completed",1,IF(ISNUMBER($N895),$N895,0)))</f>
        <v/>
      </c>
      <c r="AF895" s="70" t="str">
        <f>IF(AND(ISNUMBER($Q895),ISNUMBER($R895)),IF($R895&lt;&gt;0,$Q895/$R895,""),"")</f>
        <v/>
      </c>
      <c r="AG895" s="71" t="str">
        <f>IF($G895="","",IF($AL895=1,"OVERDUE",IF($AM895=1,"BLOCKED",IF($AN895=1,"DUE TODAY",IF($AO895=1,"DUE TOMORROW",IF($AQ895=1,"HIGH PRIORITY",IF($AR895=1,"NO RECENT UPDATE",""))))))) </f>
        <v/>
      </c>
      <c r="AH895" s="71" t="str">
        <f>IF($G895="","",IF(ISNUMBER($A895),IF(ISNUMBER($A895),YEAR($A895)&amp;"-"&amp;TEXT(MONTH($A895),"00"),""),IF(ISNUMBER($L895),IF(ISNUMBER($L895),YEAR($L895)&amp;"-"&amp;TEXT(MONTH($L895),"00"),""),"")))</f>
        <v/>
      </c>
      <c r="AI895" s="71">
        <f>IF($G895="",0,IF(AND(OR(fClient="All",$C895=fClient),OR(fCampaign="All",$D895=fCampaign),OR(fTeam="All",$B895=fTeam),OR(fChannel="All",$F895=fChannel),OR(fMonth="All",$AH895=fMonth),OR(fTStatus="All",$M895=fTStatus)),1,0))</f>
        <v>0</v>
      </c>
      <c r="AJ895" s="71">
        <f>IF($G895="",0,IF(AND(OR(fClient="All",$C895=fClient),OR(fCampaign="All",$D895=fCampaign),OR(fTeam="All",$B895=fTeam),OR(fChannel="All",$F895=fChannel)),1,0))</f>
        <v>0</v>
      </c>
      <c r="AK895" s="71">
        <f>IF($G895="",0,IF(OR($M895="Completed",$M895="Cancelled"),0,1))</f>
        <v>0</v>
      </c>
      <c r="AL895" s="71">
        <f>IF(AND($AK895=1,ISNUMBER($L895)),IF($L895&lt;ReportDate,1,0),0)</f>
        <v>0</v>
      </c>
      <c r="AM895" s="71">
        <f>IF(AND($G895&lt;&gt;"",$M895="Blocked"),1,0)</f>
        <v>0</v>
      </c>
      <c r="AN895" s="71">
        <f>IF(AND($AK895=1,ISNUMBER($L895)),IF($L895=ReportDate,1,0),0)</f>
        <v>0</v>
      </c>
      <c r="AO895" s="71">
        <f>IF(AND($AK895=1,ISNUMBER($L895)),IF($L895=ReportDate+1,1,0),0)</f>
        <v>0</v>
      </c>
      <c r="AP895" s="71">
        <f>IF(AND($AK895=1,ISNUMBER($L895)),IF(AND($L895&gt;=ReportDate,$L895&lt;=ReportDate+DueSoonDays),1,0),0)</f>
        <v>0</v>
      </c>
      <c r="AQ895" s="71">
        <f>IF(AND($AK895=1,OR($I895="Critical",$I895="High")),1,0)</f>
        <v>0</v>
      </c>
      <c r="AR895" s="71">
        <f>IF($AK895=1,IF(ISNUMBER($Y895),IF(ReportDate-$Y895&gt;StaleDays,1,0),1),0)</f>
        <v>0</v>
      </c>
      <c r="AS895" s="71">
        <f>IF(AND($G895&lt;&gt;"",ISNUMBER($Q895),ISNUMBER($R895)),IF(AND($Q895&lt;$R895,OR($M895="Completed",AND(ISNUMBER($L895),$L895&lt;ReportDate))),1,0),0)</f>
        <v>0</v>
      </c>
      <c r="AT895" s="71">
        <f>IF($AK895=1,IF(OR($L895=ReportDate,$W895=ReportDate,$K895=ReportDate,$A895=ReportDate),1,0),0)</f>
        <v>0</v>
      </c>
      <c r="AU895" s="71">
        <f>IF($AK895=1,IF(OR($L895=ReportDate+1,$W895=ReportDate+1,$K895=ReportDate+1,$A895=ReportDate+1),1,0),0)</f>
        <v>0</v>
      </c>
      <c r="AV895" s="71">
        <f>IF(AND($G895&lt;&gt;"",$M895="Completed"),IF(OR($Y895=ReportDate-1,$A895=ReportDate-1),1,0),0)</f>
        <v>0</v>
      </c>
      <c r="AW895" s="71">
        <f>IF(AND($AK895=1,$Z895="Yes"),1,0)</f>
        <v>0</v>
      </c>
      <c r="AX895" s="71">
        <f>IF(AND($AK895=1,$AA895="Yes"),1,0)</f>
        <v>0</v>
      </c>
      <c r="AY895" s="71">
        <f>IF(AND($AM895=1,OR($I895="Critical",$I895="High")),1,0)</f>
        <v>0</v>
      </c>
      <c r="AZ895" s="71">
        <f>IF(AND($AK895=1,OR($C895=TCL_Client,$C895=MECCA_Client)),1,0)</f>
        <v>0</v>
      </c>
      <c r="BA895" s="71" t="str">
        <f>IF($G895="","",IFERROR(MATCH($I895,lst_Priority,0),5))</f>
        <v/>
      </c>
      <c r="BB895" s="71" t="str">
        <f>IF(AND($AL895=1,$AJ895=1),$BA895*100000+ROW(),"")</f>
        <v/>
      </c>
      <c r="BC895" s="71" t="str">
        <f>IF(AND($AM895=1,$AJ895=1),$BA895*100000+ROW(),"")</f>
        <v/>
      </c>
      <c r="BD895" s="71" t="str">
        <f>IF(AND($AP895=1,$AJ895=1),$BA895*100000+ROW(),"")</f>
        <v/>
      </c>
      <c r="BE895" s="71" t="str">
        <f>IF(AND($AT895=1,$AJ895=1),$BA895*100000+ROW(),"")</f>
        <v/>
      </c>
      <c r="BF895" s="71" t="str">
        <f>IF(AND($AU895=1,$AJ895=1),$BA895*100000+ROW(),"")</f>
        <v/>
      </c>
      <c r="BG895" s="71" t="str">
        <f>IF(AND($AV895=1,$AJ895=1),$BA895*100000+ROW(),"")</f>
        <v/>
      </c>
      <c r="BH895" s="71" t="str">
        <f>IF(AND($AW895=1,$AJ895=1),$BA895*100000+ROW(),"")</f>
        <v/>
      </c>
      <c r="BI895" s="71" t="str">
        <f>IF(AND($AX895=1,$AJ895=1),$BA895*100000+ROW(),"")</f>
        <v/>
      </c>
      <c r="BJ895" s="71" t="str">
        <f>IF(AND($AS895=1,$AJ895=1),$BA895*100000+ROW(),"")</f>
        <v/>
      </c>
      <c r="BK895" s="71" t="str">
        <f>IF(AND($AY895=1,$AJ895=1),$BA895*100000+ROW(),"")</f>
        <v/>
      </c>
      <c r="BL895" s="71" t="str">
        <f>IF(AND($AZ895=1),$BA895*100000+ROW(),"")</f>
        <v/>
      </c>
    </row>
    <row r="896">
      <c r="A896" s="63" t="n"/>
      <c r="B896" s="64" t="n"/>
      <c r="C896" s="64" t="n"/>
      <c r="D896" s="64" t="n"/>
      <c r="E896" s="64" t="n"/>
      <c r="F896" s="64" t="n"/>
      <c r="G896" s="65" t="n"/>
      <c r="H896" s="65" t="n"/>
      <c r="I896" s="64" t="n"/>
      <c r="J896" s="64" t="n"/>
      <c r="K896" s="63" t="n"/>
      <c r="L896" s="63" t="n"/>
      <c r="M896" s="64" t="n"/>
      <c r="N896" s="66" t="n"/>
      <c r="O896" s="65" t="n"/>
      <c r="P896" s="64" t="n"/>
      <c r="Q896" s="67" t="n"/>
      <c r="R896" s="67" t="n"/>
      <c r="S896" s="68" t="str">
        <f>IF(AND(ISNUMBER($Q896),ISNUMBER($R896)),$Q896-$R896,"")</f>
        <v/>
      </c>
      <c r="T896" s="65" t="n"/>
      <c r="U896" s="64" t="n"/>
      <c r="V896" s="65" t="n"/>
      <c r="W896" s="63" t="n"/>
      <c r="X896" s="65" t="n"/>
      <c r="Y896" s="63" t="n"/>
      <c r="Z896" s="64" t="n"/>
      <c r="AA896" s="64" t="n"/>
      <c r="AB896" s="65" t="n"/>
      <c r="AC896" s="69" t="str">
        <f>IF(OR($G896="",NOT(ISNUMBER($K896)),$AK896=0),"",MAX(0,ReportDate-$K896))</f>
        <v/>
      </c>
      <c r="AD896" s="69" t="str">
        <f>IF($G896="","",IF($AL896=1,ReportDate-$L896,0))</f>
        <v/>
      </c>
      <c r="AE896" s="70" t="str">
        <f>IF($G896="","",IF($M896="Completed",1,IF(ISNUMBER($N896),$N896,0)))</f>
        <v/>
      </c>
      <c r="AF896" s="70" t="str">
        <f>IF(AND(ISNUMBER($Q896),ISNUMBER($R896)),IF($R896&lt;&gt;0,$Q896/$R896,""),"")</f>
        <v/>
      </c>
      <c r="AG896" s="71" t="str">
        <f>IF($G896="","",IF($AL896=1,"OVERDUE",IF($AM896=1,"BLOCKED",IF($AN896=1,"DUE TODAY",IF($AO896=1,"DUE TOMORROW",IF($AQ896=1,"HIGH PRIORITY",IF($AR896=1,"NO RECENT UPDATE",""))))))) </f>
        <v/>
      </c>
      <c r="AH896" s="71" t="str">
        <f>IF($G896="","",IF(ISNUMBER($A896),IF(ISNUMBER($A896),YEAR($A896)&amp;"-"&amp;TEXT(MONTH($A896),"00"),""),IF(ISNUMBER($L896),IF(ISNUMBER($L896),YEAR($L896)&amp;"-"&amp;TEXT(MONTH($L896),"00"),""),"")))</f>
        <v/>
      </c>
      <c r="AI896" s="71">
        <f>IF($G896="",0,IF(AND(OR(fClient="All",$C896=fClient),OR(fCampaign="All",$D896=fCampaign),OR(fTeam="All",$B896=fTeam),OR(fChannel="All",$F896=fChannel),OR(fMonth="All",$AH896=fMonth),OR(fTStatus="All",$M896=fTStatus)),1,0))</f>
        <v>0</v>
      </c>
      <c r="AJ896" s="71">
        <f>IF($G896="",0,IF(AND(OR(fClient="All",$C896=fClient),OR(fCampaign="All",$D896=fCampaign),OR(fTeam="All",$B896=fTeam),OR(fChannel="All",$F896=fChannel)),1,0))</f>
        <v>0</v>
      </c>
      <c r="AK896" s="71">
        <f>IF($G896="",0,IF(OR($M896="Completed",$M896="Cancelled"),0,1))</f>
        <v>0</v>
      </c>
      <c r="AL896" s="71">
        <f>IF(AND($AK896=1,ISNUMBER($L896)),IF($L896&lt;ReportDate,1,0),0)</f>
        <v>0</v>
      </c>
      <c r="AM896" s="71">
        <f>IF(AND($G896&lt;&gt;"",$M896="Blocked"),1,0)</f>
        <v>0</v>
      </c>
      <c r="AN896" s="71">
        <f>IF(AND($AK896=1,ISNUMBER($L896)),IF($L896=ReportDate,1,0),0)</f>
        <v>0</v>
      </c>
      <c r="AO896" s="71">
        <f>IF(AND($AK896=1,ISNUMBER($L896)),IF($L896=ReportDate+1,1,0),0)</f>
        <v>0</v>
      </c>
      <c r="AP896" s="71">
        <f>IF(AND($AK896=1,ISNUMBER($L896)),IF(AND($L896&gt;=ReportDate,$L896&lt;=ReportDate+DueSoonDays),1,0),0)</f>
        <v>0</v>
      </c>
      <c r="AQ896" s="71">
        <f>IF(AND($AK896=1,OR($I896="Critical",$I896="High")),1,0)</f>
        <v>0</v>
      </c>
      <c r="AR896" s="71">
        <f>IF($AK896=1,IF(ISNUMBER($Y896),IF(ReportDate-$Y896&gt;StaleDays,1,0),1),0)</f>
        <v>0</v>
      </c>
      <c r="AS896" s="71">
        <f>IF(AND($G896&lt;&gt;"",ISNUMBER($Q896),ISNUMBER($R896)),IF(AND($Q896&lt;$R896,OR($M896="Completed",AND(ISNUMBER($L896),$L896&lt;ReportDate))),1,0),0)</f>
        <v>0</v>
      </c>
      <c r="AT896" s="71">
        <f>IF($AK896=1,IF(OR($L896=ReportDate,$W896=ReportDate,$K896=ReportDate,$A896=ReportDate),1,0),0)</f>
        <v>0</v>
      </c>
      <c r="AU896" s="71">
        <f>IF($AK896=1,IF(OR($L896=ReportDate+1,$W896=ReportDate+1,$K896=ReportDate+1,$A896=ReportDate+1),1,0),0)</f>
        <v>0</v>
      </c>
      <c r="AV896" s="71">
        <f>IF(AND($G896&lt;&gt;"",$M896="Completed"),IF(OR($Y896=ReportDate-1,$A896=ReportDate-1),1,0),0)</f>
        <v>0</v>
      </c>
      <c r="AW896" s="71">
        <f>IF(AND($AK896=1,$Z896="Yes"),1,0)</f>
        <v>0</v>
      </c>
      <c r="AX896" s="71">
        <f>IF(AND($AK896=1,$AA896="Yes"),1,0)</f>
        <v>0</v>
      </c>
      <c r="AY896" s="71">
        <f>IF(AND($AM896=1,OR($I896="Critical",$I896="High")),1,0)</f>
        <v>0</v>
      </c>
      <c r="AZ896" s="71">
        <f>IF(AND($AK896=1,OR($C896=TCL_Client,$C896=MECCA_Client)),1,0)</f>
        <v>0</v>
      </c>
      <c r="BA896" s="71" t="str">
        <f>IF($G896="","",IFERROR(MATCH($I896,lst_Priority,0),5))</f>
        <v/>
      </c>
      <c r="BB896" s="71" t="str">
        <f>IF(AND($AL896=1,$AJ896=1),$BA896*100000+ROW(),"")</f>
        <v/>
      </c>
      <c r="BC896" s="71" t="str">
        <f>IF(AND($AM896=1,$AJ896=1),$BA896*100000+ROW(),"")</f>
        <v/>
      </c>
      <c r="BD896" s="71" t="str">
        <f>IF(AND($AP896=1,$AJ896=1),$BA896*100000+ROW(),"")</f>
        <v/>
      </c>
      <c r="BE896" s="71" t="str">
        <f>IF(AND($AT896=1,$AJ896=1),$BA896*100000+ROW(),"")</f>
        <v/>
      </c>
      <c r="BF896" s="71" t="str">
        <f>IF(AND($AU896=1,$AJ896=1),$BA896*100000+ROW(),"")</f>
        <v/>
      </c>
      <c r="BG896" s="71" t="str">
        <f>IF(AND($AV896=1,$AJ896=1),$BA896*100000+ROW(),"")</f>
        <v/>
      </c>
      <c r="BH896" s="71" t="str">
        <f>IF(AND($AW896=1,$AJ896=1),$BA896*100000+ROW(),"")</f>
        <v/>
      </c>
      <c r="BI896" s="71" t="str">
        <f>IF(AND($AX896=1,$AJ896=1),$BA896*100000+ROW(),"")</f>
        <v/>
      </c>
      <c r="BJ896" s="71" t="str">
        <f>IF(AND($AS896=1,$AJ896=1),$BA896*100000+ROW(),"")</f>
        <v/>
      </c>
      <c r="BK896" s="71" t="str">
        <f>IF(AND($AY896=1,$AJ896=1),$BA896*100000+ROW(),"")</f>
        <v/>
      </c>
      <c r="BL896" s="71" t="str">
        <f>IF(AND($AZ896=1),$BA896*100000+ROW(),"")</f>
        <v/>
      </c>
    </row>
    <row r="897">
      <c r="A897" s="63" t="n"/>
      <c r="B897" s="64" t="n"/>
      <c r="C897" s="64" t="n"/>
      <c r="D897" s="64" t="n"/>
      <c r="E897" s="64" t="n"/>
      <c r="F897" s="64" t="n"/>
      <c r="G897" s="65" t="n"/>
      <c r="H897" s="65" t="n"/>
      <c r="I897" s="64" t="n"/>
      <c r="J897" s="64" t="n"/>
      <c r="K897" s="63" t="n"/>
      <c r="L897" s="63" t="n"/>
      <c r="M897" s="64" t="n"/>
      <c r="N897" s="66" t="n"/>
      <c r="O897" s="65" t="n"/>
      <c r="P897" s="64" t="n"/>
      <c r="Q897" s="67" t="n"/>
      <c r="R897" s="67" t="n"/>
      <c r="S897" s="68" t="str">
        <f>IF(AND(ISNUMBER($Q897),ISNUMBER($R897)),$Q897-$R897,"")</f>
        <v/>
      </c>
      <c r="T897" s="65" t="n"/>
      <c r="U897" s="64" t="n"/>
      <c r="V897" s="65" t="n"/>
      <c r="W897" s="63" t="n"/>
      <c r="X897" s="65" t="n"/>
      <c r="Y897" s="63" t="n"/>
      <c r="Z897" s="64" t="n"/>
      <c r="AA897" s="64" t="n"/>
      <c r="AB897" s="65" t="n"/>
      <c r="AC897" s="69" t="str">
        <f>IF(OR($G897="",NOT(ISNUMBER($K897)),$AK897=0),"",MAX(0,ReportDate-$K897))</f>
        <v/>
      </c>
      <c r="AD897" s="69" t="str">
        <f>IF($G897="","",IF($AL897=1,ReportDate-$L897,0))</f>
        <v/>
      </c>
      <c r="AE897" s="70" t="str">
        <f>IF($G897="","",IF($M897="Completed",1,IF(ISNUMBER($N897),$N897,0)))</f>
        <v/>
      </c>
      <c r="AF897" s="70" t="str">
        <f>IF(AND(ISNUMBER($Q897),ISNUMBER($R897)),IF($R897&lt;&gt;0,$Q897/$R897,""),"")</f>
        <v/>
      </c>
      <c r="AG897" s="71" t="str">
        <f>IF($G897="","",IF($AL897=1,"OVERDUE",IF($AM897=1,"BLOCKED",IF($AN897=1,"DUE TODAY",IF($AO897=1,"DUE TOMORROW",IF($AQ897=1,"HIGH PRIORITY",IF($AR897=1,"NO RECENT UPDATE",""))))))) </f>
        <v/>
      </c>
      <c r="AH897" s="71" t="str">
        <f>IF($G897="","",IF(ISNUMBER($A897),IF(ISNUMBER($A897),YEAR($A897)&amp;"-"&amp;TEXT(MONTH($A897),"00"),""),IF(ISNUMBER($L897),IF(ISNUMBER($L897),YEAR($L897)&amp;"-"&amp;TEXT(MONTH($L897),"00"),""),"")))</f>
        <v/>
      </c>
      <c r="AI897" s="71">
        <f>IF($G897="",0,IF(AND(OR(fClient="All",$C897=fClient),OR(fCampaign="All",$D897=fCampaign),OR(fTeam="All",$B897=fTeam),OR(fChannel="All",$F897=fChannel),OR(fMonth="All",$AH897=fMonth),OR(fTStatus="All",$M897=fTStatus)),1,0))</f>
        <v>0</v>
      </c>
      <c r="AJ897" s="71">
        <f>IF($G897="",0,IF(AND(OR(fClient="All",$C897=fClient),OR(fCampaign="All",$D897=fCampaign),OR(fTeam="All",$B897=fTeam),OR(fChannel="All",$F897=fChannel)),1,0))</f>
        <v>0</v>
      </c>
      <c r="AK897" s="71">
        <f>IF($G897="",0,IF(OR($M897="Completed",$M897="Cancelled"),0,1))</f>
        <v>0</v>
      </c>
      <c r="AL897" s="71">
        <f>IF(AND($AK897=1,ISNUMBER($L897)),IF($L897&lt;ReportDate,1,0),0)</f>
        <v>0</v>
      </c>
      <c r="AM897" s="71">
        <f>IF(AND($G897&lt;&gt;"",$M897="Blocked"),1,0)</f>
        <v>0</v>
      </c>
      <c r="AN897" s="71">
        <f>IF(AND($AK897=1,ISNUMBER($L897)),IF($L897=ReportDate,1,0),0)</f>
        <v>0</v>
      </c>
      <c r="AO897" s="71">
        <f>IF(AND($AK897=1,ISNUMBER($L897)),IF($L897=ReportDate+1,1,0),0)</f>
        <v>0</v>
      </c>
      <c r="AP897" s="71">
        <f>IF(AND($AK897=1,ISNUMBER($L897)),IF(AND($L897&gt;=ReportDate,$L897&lt;=ReportDate+DueSoonDays),1,0),0)</f>
        <v>0</v>
      </c>
      <c r="AQ897" s="71">
        <f>IF(AND($AK897=1,OR($I897="Critical",$I897="High")),1,0)</f>
        <v>0</v>
      </c>
      <c r="AR897" s="71">
        <f>IF($AK897=1,IF(ISNUMBER($Y897),IF(ReportDate-$Y897&gt;StaleDays,1,0),1),0)</f>
        <v>0</v>
      </c>
      <c r="AS897" s="71">
        <f>IF(AND($G897&lt;&gt;"",ISNUMBER($Q897),ISNUMBER($R897)),IF(AND($Q897&lt;$R897,OR($M897="Completed",AND(ISNUMBER($L897),$L897&lt;ReportDate))),1,0),0)</f>
        <v>0</v>
      </c>
      <c r="AT897" s="71">
        <f>IF($AK897=1,IF(OR($L897=ReportDate,$W897=ReportDate,$K897=ReportDate,$A897=ReportDate),1,0),0)</f>
        <v>0</v>
      </c>
      <c r="AU897" s="71">
        <f>IF($AK897=1,IF(OR($L897=ReportDate+1,$W897=ReportDate+1,$K897=ReportDate+1,$A897=ReportDate+1),1,0),0)</f>
        <v>0</v>
      </c>
      <c r="AV897" s="71">
        <f>IF(AND($G897&lt;&gt;"",$M897="Completed"),IF(OR($Y897=ReportDate-1,$A897=ReportDate-1),1,0),0)</f>
        <v>0</v>
      </c>
      <c r="AW897" s="71">
        <f>IF(AND($AK897=1,$Z897="Yes"),1,0)</f>
        <v>0</v>
      </c>
      <c r="AX897" s="71">
        <f>IF(AND($AK897=1,$AA897="Yes"),1,0)</f>
        <v>0</v>
      </c>
      <c r="AY897" s="71">
        <f>IF(AND($AM897=1,OR($I897="Critical",$I897="High")),1,0)</f>
        <v>0</v>
      </c>
      <c r="AZ897" s="71">
        <f>IF(AND($AK897=1,OR($C897=TCL_Client,$C897=MECCA_Client)),1,0)</f>
        <v>0</v>
      </c>
      <c r="BA897" s="71" t="str">
        <f>IF($G897="","",IFERROR(MATCH($I897,lst_Priority,0),5))</f>
        <v/>
      </c>
      <c r="BB897" s="71" t="str">
        <f>IF(AND($AL897=1,$AJ897=1),$BA897*100000+ROW(),"")</f>
        <v/>
      </c>
      <c r="BC897" s="71" t="str">
        <f>IF(AND($AM897=1,$AJ897=1),$BA897*100000+ROW(),"")</f>
        <v/>
      </c>
      <c r="BD897" s="71" t="str">
        <f>IF(AND($AP897=1,$AJ897=1),$BA897*100000+ROW(),"")</f>
        <v/>
      </c>
      <c r="BE897" s="71" t="str">
        <f>IF(AND($AT897=1,$AJ897=1),$BA897*100000+ROW(),"")</f>
        <v/>
      </c>
      <c r="BF897" s="71" t="str">
        <f>IF(AND($AU897=1,$AJ897=1),$BA897*100000+ROW(),"")</f>
        <v/>
      </c>
      <c r="BG897" s="71" t="str">
        <f>IF(AND($AV897=1,$AJ897=1),$BA897*100000+ROW(),"")</f>
        <v/>
      </c>
      <c r="BH897" s="71" t="str">
        <f>IF(AND($AW897=1,$AJ897=1),$BA897*100000+ROW(),"")</f>
        <v/>
      </c>
      <c r="BI897" s="71" t="str">
        <f>IF(AND($AX897=1,$AJ897=1),$BA897*100000+ROW(),"")</f>
        <v/>
      </c>
      <c r="BJ897" s="71" t="str">
        <f>IF(AND($AS897=1,$AJ897=1),$BA897*100000+ROW(),"")</f>
        <v/>
      </c>
      <c r="BK897" s="71" t="str">
        <f>IF(AND($AY897=1,$AJ897=1),$BA897*100000+ROW(),"")</f>
        <v/>
      </c>
      <c r="BL897" s="71" t="str">
        <f>IF(AND($AZ897=1),$BA897*100000+ROW(),"")</f>
        <v/>
      </c>
    </row>
    <row r="898">
      <c r="A898" s="63" t="n"/>
      <c r="B898" s="64" t="n"/>
      <c r="C898" s="64" t="n"/>
      <c r="D898" s="64" t="n"/>
      <c r="E898" s="64" t="n"/>
      <c r="F898" s="64" t="n"/>
      <c r="G898" s="65" t="n"/>
      <c r="H898" s="65" t="n"/>
      <c r="I898" s="64" t="n"/>
      <c r="J898" s="64" t="n"/>
      <c r="K898" s="63" t="n"/>
      <c r="L898" s="63" t="n"/>
      <c r="M898" s="64" t="n"/>
      <c r="N898" s="66" t="n"/>
      <c r="O898" s="65" t="n"/>
      <c r="P898" s="64" t="n"/>
      <c r="Q898" s="67" t="n"/>
      <c r="R898" s="67" t="n"/>
      <c r="S898" s="68" t="str">
        <f>IF(AND(ISNUMBER($Q898),ISNUMBER($R898)),$Q898-$R898,"")</f>
        <v/>
      </c>
      <c r="T898" s="65" t="n"/>
      <c r="U898" s="64" t="n"/>
      <c r="V898" s="65" t="n"/>
      <c r="W898" s="63" t="n"/>
      <c r="X898" s="65" t="n"/>
      <c r="Y898" s="63" t="n"/>
      <c r="Z898" s="64" t="n"/>
      <c r="AA898" s="64" t="n"/>
      <c r="AB898" s="65" t="n"/>
      <c r="AC898" s="69" t="str">
        <f>IF(OR($G898="",NOT(ISNUMBER($K898)),$AK898=0),"",MAX(0,ReportDate-$K898))</f>
        <v/>
      </c>
      <c r="AD898" s="69" t="str">
        <f>IF($G898="","",IF($AL898=1,ReportDate-$L898,0))</f>
        <v/>
      </c>
      <c r="AE898" s="70" t="str">
        <f>IF($G898="","",IF($M898="Completed",1,IF(ISNUMBER($N898),$N898,0)))</f>
        <v/>
      </c>
      <c r="AF898" s="70" t="str">
        <f>IF(AND(ISNUMBER($Q898),ISNUMBER($R898)),IF($R898&lt;&gt;0,$Q898/$R898,""),"")</f>
        <v/>
      </c>
      <c r="AG898" s="71" t="str">
        <f>IF($G898="","",IF($AL898=1,"OVERDUE",IF($AM898=1,"BLOCKED",IF($AN898=1,"DUE TODAY",IF($AO898=1,"DUE TOMORROW",IF($AQ898=1,"HIGH PRIORITY",IF($AR898=1,"NO RECENT UPDATE",""))))))) </f>
        <v/>
      </c>
      <c r="AH898" s="71" t="str">
        <f>IF($G898="","",IF(ISNUMBER($A898),IF(ISNUMBER($A898),YEAR($A898)&amp;"-"&amp;TEXT(MONTH($A898),"00"),""),IF(ISNUMBER($L898),IF(ISNUMBER($L898),YEAR($L898)&amp;"-"&amp;TEXT(MONTH($L898),"00"),""),"")))</f>
        <v/>
      </c>
      <c r="AI898" s="71">
        <f>IF($G898="",0,IF(AND(OR(fClient="All",$C898=fClient),OR(fCampaign="All",$D898=fCampaign),OR(fTeam="All",$B898=fTeam),OR(fChannel="All",$F898=fChannel),OR(fMonth="All",$AH898=fMonth),OR(fTStatus="All",$M898=fTStatus)),1,0))</f>
        <v>0</v>
      </c>
      <c r="AJ898" s="71">
        <f>IF($G898="",0,IF(AND(OR(fClient="All",$C898=fClient),OR(fCampaign="All",$D898=fCampaign),OR(fTeam="All",$B898=fTeam),OR(fChannel="All",$F898=fChannel)),1,0))</f>
        <v>0</v>
      </c>
      <c r="AK898" s="71">
        <f>IF($G898="",0,IF(OR($M898="Completed",$M898="Cancelled"),0,1))</f>
        <v>0</v>
      </c>
      <c r="AL898" s="71">
        <f>IF(AND($AK898=1,ISNUMBER($L898)),IF($L898&lt;ReportDate,1,0),0)</f>
        <v>0</v>
      </c>
      <c r="AM898" s="71">
        <f>IF(AND($G898&lt;&gt;"",$M898="Blocked"),1,0)</f>
        <v>0</v>
      </c>
      <c r="AN898" s="71">
        <f>IF(AND($AK898=1,ISNUMBER($L898)),IF($L898=ReportDate,1,0),0)</f>
        <v>0</v>
      </c>
      <c r="AO898" s="71">
        <f>IF(AND($AK898=1,ISNUMBER($L898)),IF($L898=ReportDate+1,1,0),0)</f>
        <v>0</v>
      </c>
      <c r="AP898" s="71">
        <f>IF(AND($AK898=1,ISNUMBER($L898)),IF(AND($L898&gt;=ReportDate,$L898&lt;=ReportDate+DueSoonDays),1,0),0)</f>
        <v>0</v>
      </c>
      <c r="AQ898" s="71">
        <f>IF(AND($AK898=1,OR($I898="Critical",$I898="High")),1,0)</f>
        <v>0</v>
      </c>
      <c r="AR898" s="71">
        <f>IF($AK898=1,IF(ISNUMBER($Y898),IF(ReportDate-$Y898&gt;StaleDays,1,0),1),0)</f>
        <v>0</v>
      </c>
      <c r="AS898" s="71">
        <f>IF(AND($G898&lt;&gt;"",ISNUMBER($Q898),ISNUMBER($R898)),IF(AND($Q898&lt;$R898,OR($M898="Completed",AND(ISNUMBER($L898),$L898&lt;ReportDate))),1,0),0)</f>
        <v>0</v>
      </c>
      <c r="AT898" s="71">
        <f>IF($AK898=1,IF(OR($L898=ReportDate,$W898=ReportDate,$K898=ReportDate,$A898=ReportDate),1,0),0)</f>
        <v>0</v>
      </c>
      <c r="AU898" s="71">
        <f>IF($AK898=1,IF(OR($L898=ReportDate+1,$W898=ReportDate+1,$K898=ReportDate+1,$A898=ReportDate+1),1,0),0)</f>
        <v>0</v>
      </c>
      <c r="AV898" s="71">
        <f>IF(AND($G898&lt;&gt;"",$M898="Completed"),IF(OR($Y898=ReportDate-1,$A898=ReportDate-1),1,0),0)</f>
        <v>0</v>
      </c>
      <c r="AW898" s="71">
        <f>IF(AND($AK898=1,$Z898="Yes"),1,0)</f>
        <v>0</v>
      </c>
      <c r="AX898" s="71">
        <f>IF(AND($AK898=1,$AA898="Yes"),1,0)</f>
        <v>0</v>
      </c>
      <c r="AY898" s="71">
        <f>IF(AND($AM898=1,OR($I898="Critical",$I898="High")),1,0)</f>
        <v>0</v>
      </c>
      <c r="AZ898" s="71">
        <f>IF(AND($AK898=1,OR($C898=TCL_Client,$C898=MECCA_Client)),1,0)</f>
        <v>0</v>
      </c>
      <c r="BA898" s="71" t="str">
        <f>IF($G898="","",IFERROR(MATCH($I898,lst_Priority,0),5))</f>
        <v/>
      </c>
      <c r="BB898" s="71" t="str">
        <f>IF(AND($AL898=1,$AJ898=1),$BA898*100000+ROW(),"")</f>
        <v/>
      </c>
      <c r="BC898" s="71" t="str">
        <f>IF(AND($AM898=1,$AJ898=1),$BA898*100000+ROW(),"")</f>
        <v/>
      </c>
      <c r="BD898" s="71" t="str">
        <f>IF(AND($AP898=1,$AJ898=1),$BA898*100000+ROW(),"")</f>
        <v/>
      </c>
      <c r="BE898" s="71" t="str">
        <f>IF(AND($AT898=1,$AJ898=1),$BA898*100000+ROW(),"")</f>
        <v/>
      </c>
      <c r="BF898" s="71" t="str">
        <f>IF(AND($AU898=1,$AJ898=1),$BA898*100000+ROW(),"")</f>
        <v/>
      </c>
      <c r="BG898" s="71" t="str">
        <f>IF(AND($AV898=1,$AJ898=1),$BA898*100000+ROW(),"")</f>
        <v/>
      </c>
      <c r="BH898" s="71" t="str">
        <f>IF(AND($AW898=1,$AJ898=1),$BA898*100000+ROW(),"")</f>
        <v/>
      </c>
      <c r="BI898" s="71" t="str">
        <f>IF(AND($AX898=1,$AJ898=1),$BA898*100000+ROW(),"")</f>
        <v/>
      </c>
      <c r="BJ898" s="71" t="str">
        <f>IF(AND($AS898=1,$AJ898=1),$BA898*100000+ROW(),"")</f>
        <v/>
      </c>
      <c r="BK898" s="71" t="str">
        <f>IF(AND($AY898=1,$AJ898=1),$BA898*100000+ROW(),"")</f>
        <v/>
      </c>
      <c r="BL898" s="71" t="str">
        <f>IF(AND($AZ898=1),$BA898*100000+ROW(),"")</f>
        <v/>
      </c>
    </row>
    <row r="899">
      <c r="A899" s="63" t="n"/>
      <c r="B899" s="64" t="n"/>
      <c r="C899" s="64" t="n"/>
      <c r="D899" s="64" t="n"/>
      <c r="E899" s="64" t="n"/>
      <c r="F899" s="64" t="n"/>
      <c r="G899" s="65" t="n"/>
      <c r="H899" s="65" t="n"/>
      <c r="I899" s="64" t="n"/>
      <c r="J899" s="64" t="n"/>
      <c r="K899" s="63" t="n"/>
      <c r="L899" s="63" t="n"/>
      <c r="M899" s="64" t="n"/>
      <c r="N899" s="66" t="n"/>
      <c r="O899" s="65" t="n"/>
      <c r="P899" s="64" t="n"/>
      <c r="Q899" s="67" t="n"/>
      <c r="R899" s="67" t="n"/>
      <c r="S899" s="68" t="str">
        <f>IF(AND(ISNUMBER($Q899),ISNUMBER($R899)),$Q899-$R899,"")</f>
        <v/>
      </c>
      <c r="T899" s="65" t="n"/>
      <c r="U899" s="64" t="n"/>
      <c r="V899" s="65" t="n"/>
      <c r="W899" s="63" t="n"/>
      <c r="X899" s="65" t="n"/>
      <c r="Y899" s="63" t="n"/>
      <c r="Z899" s="64" t="n"/>
      <c r="AA899" s="64" t="n"/>
      <c r="AB899" s="65" t="n"/>
      <c r="AC899" s="69" t="str">
        <f>IF(OR($G899="",NOT(ISNUMBER($K899)),$AK899=0),"",MAX(0,ReportDate-$K899))</f>
        <v/>
      </c>
      <c r="AD899" s="69" t="str">
        <f>IF($G899="","",IF($AL899=1,ReportDate-$L899,0))</f>
        <v/>
      </c>
      <c r="AE899" s="70" t="str">
        <f>IF($G899="","",IF($M899="Completed",1,IF(ISNUMBER($N899),$N899,0)))</f>
        <v/>
      </c>
      <c r="AF899" s="70" t="str">
        <f>IF(AND(ISNUMBER($Q899),ISNUMBER($R899)),IF($R899&lt;&gt;0,$Q899/$R899,""),"")</f>
        <v/>
      </c>
      <c r="AG899" s="71" t="str">
        <f>IF($G899="","",IF($AL899=1,"OVERDUE",IF($AM899=1,"BLOCKED",IF($AN899=1,"DUE TODAY",IF($AO899=1,"DUE TOMORROW",IF($AQ899=1,"HIGH PRIORITY",IF($AR899=1,"NO RECENT UPDATE",""))))))) </f>
        <v/>
      </c>
      <c r="AH899" s="71" t="str">
        <f>IF($G899="","",IF(ISNUMBER($A899),IF(ISNUMBER($A899),YEAR($A899)&amp;"-"&amp;TEXT(MONTH($A899),"00"),""),IF(ISNUMBER($L899),IF(ISNUMBER($L899),YEAR($L899)&amp;"-"&amp;TEXT(MONTH($L899),"00"),""),"")))</f>
        <v/>
      </c>
      <c r="AI899" s="71">
        <f>IF($G899="",0,IF(AND(OR(fClient="All",$C899=fClient),OR(fCampaign="All",$D899=fCampaign),OR(fTeam="All",$B899=fTeam),OR(fChannel="All",$F899=fChannel),OR(fMonth="All",$AH899=fMonth),OR(fTStatus="All",$M899=fTStatus)),1,0))</f>
        <v>0</v>
      </c>
      <c r="AJ899" s="71">
        <f>IF($G899="",0,IF(AND(OR(fClient="All",$C899=fClient),OR(fCampaign="All",$D899=fCampaign),OR(fTeam="All",$B899=fTeam),OR(fChannel="All",$F899=fChannel)),1,0))</f>
        <v>0</v>
      </c>
      <c r="AK899" s="71">
        <f>IF($G899="",0,IF(OR($M899="Completed",$M899="Cancelled"),0,1))</f>
        <v>0</v>
      </c>
      <c r="AL899" s="71">
        <f>IF(AND($AK899=1,ISNUMBER($L899)),IF($L899&lt;ReportDate,1,0),0)</f>
        <v>0</v>
      </c>
      <c r="AM899" s="71">
        <f>IF(AND($G899&lt;&gt;"",$M899="Blocked"),1,0)</f>
        <v>0</v>
      </c>
      <c r="AN899" s="71">
        <f>IF(AND($AK899=1,ISNUMBER($L899)),IF($L899=ReportDate,1,0),0)</f>
        <v>0</v>
      </c>
      <c r="AO899" s="71">
        <f>IF(AND($AK899=1,ISNUMBER($L899)),IF($L899=ReportDate+1,1,0),0)</f>
        <v>0</v>
      </c>
      <c r="AP899" s="71">
        <f>IF(AND($AK899=1,ISNUMBER($L899)),IF(AND($L899&gt;=ReportDate,$L899&lt;=ReportDate+DueSoonDays),1,0),0)</f>
        <v>0</v>
      </c>
      <c r="AQ899" s="71">
        <f>IF(AND($AK899=1,OR($I899="Critical",$I899="High")),1,0)</f>
        <v>0</v>
      </c>
      <c r="AR899" s="71">
        <f>IF($AK899=1,IF(ISNUMBER($Y899),IF(ReportDate-$Y899&gt;StaleDays,1,0),1),0)</f>
        <v>0</v>
      </c>
      <c r="AS899" s="71">
        <f>IF(AND($G899&lt;&gt;"",ISNUMBER($Q899),ISNUMBER($R899)),IF(AND($Q899&lt;$R899,OR($M899="Completed",AND(ISNUMBER($L899),$L899&lt;ReportDate))),1,0),0)</f>
        <v>0</v>
      </c>
      <c r="AT899" s="71">
        <f>IF($AK899=1,IF(OR($L899=ReportDate,$W899=ReportDate,$K899=ReportDate,$A899=ReportDate),1,0),0)</f>
        <v>0</v>
      </c>
      <c r="AU899" s="71">
        <f>IF($AK899=1,IF(OR($L899=ReportDate+1,$W899=ReportDate+1,$K899=ReportDate+1,$A899=ReportDate+1),1,0),0)</f>
        <v>0</v>
      </c>
      <c r="AV899" s="71">
        <f>IF(AND($G899&lt;&gt;"",$M899="Completed"),IF(OR($Y899=ReportDate-1,$A899=ReportDate-1),1,0),0)</f>
        <v>0</v>
      </c>
      <c r="AW899" s="71">
        <f>IF(AND($AK899=1,$Z899="Yes"),1,0)</f>
        <v>0</v>
      </c>
      <c r="AX899" s="71">
        <f>IF(AND($AK899=1,$AA899="Yes"),1,0)</f>
        <v>0</v>
      </c>
      <c r="AY899" s="71">
        <f>IF(AND($AM899=1,OR($I899="Critical",$I899="High")),1,0)</f>
        <v>0</v>
      </c>
      <c r="AZ899" s="71">
        <f>IF(AND($AK899=1,OR($C899=TCL_Client,$C899=MECCA_Client)),1,0)</f>
        <v>0</v>
      </c>
      <c r="BA899" s="71" t="str">
        <f>IF($G899="","",IFERROR(MATCH($I899,lst_Priority,0),5))</f>
        <v/>
      </c>
      <c r="BB899" s="71" t="str">
        <f>IF(AND($AL899=1,$AJ899=1),$BA899*100000+ROW(),"")</f>
        <v/>
      </c>
      <c r="BC899" s="71" t="str">
        <f>IF(AND($AM899=1,$AJ899=1),$BA899*100000+ROW(),"")</f>
        <v/>
      </c>
      <c r="BD899" s="71" t="str">
        <f>IF(AND($AP899=1,$AJ899=1),$BA899*100000+ROW(),"")</f>
        <v/>
      </c>
      <c r="BE899" s="71" t="str">
        <f>IF(AND($AT899=1,$AJ899=1),$BA899*100000+ROW(),"")</f>
        <v/>
      </c>
      <c r="BF899" s="71" t="str">
        <f>IF(AND($AU899=1,$AJ899=1),$BA899*100000+ROW(),"")</f>
        <v/>
      </c>
      <c r="BG899" s="71" t="str">
        <f>IF(AND($AV899=1,$AJ899=1),$BA899*100000+ROW(),"")</f>
        <v/>
      </c>
      <c r="BH899" s="71" t="str">
        <f>IF(AND($AW899=1,$AJ899=1),$BA899*100000+ROW(),"")</f>
        <v/>
      </c>
      <c r="BI899" s="71" t="str">
        <f>IF(AND($AX899=1,$AJ899=1),$BA899*100000+ROW(),"")</f>
        <v/>
      </c>
      <c r="BJ899" s="71" t="str">
        <f>IF(AND($AS899=1,$AJ899=1),$BA899*100000+ROW(),"")</f>
        <v/>
      </c>
      <c r="BK899" s="71" t="str">
        <f>IF(AND($AY899=1,$AJ899=1),$BA899*100000+ROW(),"")</f>
        <v/>
      </c>
      <c r="BL899" s="71" t="str">
        <f>IF(AND($AZ899=1),$BA899*100000+ROW(),"")</f>
        <v/>
      </c>
    </row>
    <row r="900">
      <c r="A900" s="63" t="n"/>
      <c r="B900" s="64" t="n"/>
      <c r="C900" s="64" t="n"/>
      <c r="D900" s="64" t="n"/>
      <c r="E900" s="64" t="n"/>
      <c r="F900" s="64" t="n"/>
      <c r="G900" s="65" t="n"/>
      <c r="H900" s="65" t="n"/>
      <c r="I900" s="64" t="n"/>
      <c r="J900" s="64" t="n"/>
      <c r="K900" s="63" t="n"/>
      <c r="L900" s="63" t="n"/>
      <c r="M900" s="64" t="n"/>
      <c r="N900" s="66" t="n"/>
      <c r="O900" s="65" t="n"/>
      <c r="P900" s="64" t="n"/>
      <c r="Q900" s="67" t="n"/>
      <c r="R900" s="67" t="n"/>
      <c r="S900" s="68" t="str">
        <f>IF(AND(ISNUMBER($Q900),ISNUMBER($R900)),$Q900-$R900,"")</f>
        <v/>
      </c>
      <c r="T900" s="65" t="n"/>
      <c r="U900" s="64" t="n"/>
      <c r="V900" s="65" t="n"/>
      <c r="W900" s="63" t="n"/>
      <c r="X900" s="65" t="n"/>
      <c r="Y900" s="63" t="n"/>
      <c r="Z900" s="64" t="n"/>
      <c r="AA900" s="64" t="n"/>
      <c r="AB900" s="65" t="n"/>
      <c r="AC900" s="69" t="str">
        <f>IF(OR($G900="",NOT(ISNUMBER($K900)),$AK900=0),"",MAX(0,ReportDate-$K900))</f>
        <v/>
      </c>
      <c r="AD900" s="69" t="str">
        <f>IF($G900="","",IF($AL900=1,ReportDate-$L900,0))</f>
        <v/>
      </c>
      <c r="AE900" s="70" t="str">
        <f>IF($G900="","",IF($M900="Completed",1,IF(ISNUMBER($N900),$N900,0)))</f>
        <v/>
      </c>
      <c r="AF900" s="70" t="str">
        <f>IF(AND(ISNUMBER($Q900),ISNUMBER($R900)),IF($R900&lt;&gt;0,$Q900/$R900,""),"")</f>
        <v/>
      </c>
      <c r="AG900" s="71" t="str">
        <f>IF($G900="","",IF($AL900=1,"OVERDUE",IF($AM900=1,"BLOCKED",IF($AN900=1,"DUE TODAY",IF($AO900=1,"DUE TOMORROW",IF($AQ900=1,"HIGH PRIORITY",IF($AR900=1,"NO RECENT UPDATE",""))))))) </f>
        <v/>
      </c>
      <c r="AH900" s="71" t="str">
        <f>IF($G900="","",IF(ISNUMBER($A900),IF(ISNUMBER($A900),YEAR($A900)&amp;"-"&amp;TEXT(MONTH($A900),"00"),""),IF(ISNUMBER($L900),IF(ISNUMBER($L900),YEAR($L900)&amp;"-"&amp;TEXT(MONTH($L900),"00"),""),"")))</f>
        <v/>
      </c>
      <c r="AI900" s="71">
        <f>IF($G900="",0,IF(AND(OR(fClient="All",$C900=fClient),OR(fCampaign="All",$D900=fCampaign),OR(fTeam="All",$B900=fTeam),OR(fChannel="All",$F900=fChannel),OR(fMonth="All",$AH900=fMonth),OR(fTStatus="All",$M900=fTStatus)),1,0))</f>
        <v>0</v>
      </c>
      <c r="AJ900" s="71">
        <f>IF($G900="",0,IF(AND(OR(fClient="All",$C900=fClient),OR(fCampaign="All",$D900=fCampaign),OR(fTeam="All",$B900=fTeam),OR(fChannel="All",$F900=fChannel)),1,0))</f>
        <v>0</v>
      </c>
      <c r="AK900" s="71">
        <f>IF($G900="",0,IF(OR($M900="Completed",$M900="Cancelled"),0,1))</f>
        <v>0</v>
      </c>
      <c r="AL900" s="71">
        <f>IF(AND($AK900=1,ISNUMBER($L900)),IF($L900&lt;ReportDate,1,0),0)</f>
        <v>0</v>
      </c>
      <c r="AM900" s="71">
        <f>IF(AND($G900&lt;&gt;"",$M900="Blocked"),1,0)</f>
        <v>0</v>
      </c>
      <c r="AN900" s="71">
        <f>IF(AND($AK900=1,ISNUMBER($L900)),IF($L900=ReportDate,1,0),0)</f>
        <v>0</v>
      </c>
      <c r="AO900" s="71">
        <f>IF(AND($AK900=1,ISNUMBER($L900)),IF($L900=ReportDate+1,1,0),0)</f>
        <v>0</v>
      </c>
      <c r="AP900" s="71">
        <f>IF(AND($AK900=1,ISNUMBER($L900)),IF(AND($L900&gt;=ReportDate,$L900&lt;=ReportDate+DueSoonDays),1,0),0)</f>
        <v>0</v>
      </c>
      <c r="AQ900" s="71">
        <f>IF(AND($AK900=1,OR($I900="Critical",$I900="High")),1,0)</f>
        <v>0</v>
      </c>
      <c r="AR900" s="71">
        <f>IF($AK900=1,IF(ISNUMBER($Y900),IF(ReportDate-$Y900&gt;StaleDays,1,0),1),0)</f>
        <v>0</v>
      </c>
      <c r="AS900" s="71">
        <f>IF(AND($G900&lt;&gt;"",ISNUMBER($Q900),ISNUMBER($R900)),IF(AND($Q900&lt;$R900,OR($M900="Completed",AND(ISNUMBER($L900),$L900&lt;ReportDate))),1,0),0)</f>
        <v>0</v>
      </c>
      <c r="AT900" s="71">
        <f>IF($AK900=1,IF(OR($L900=ReportDate,$W900=ReportDate,$K900=ReportDate,$A900=ReportDate),1,0),0)</f>
        <v>0</v>
      </c>
      <c r="AU900" s="71">
        <f>IF($AK900=1,IF(OR($L900=ReportDate+1,$W900=ReportDate+1,$K900=ReportDate+1,$A900=ReportDate+1),1,0),0)</f>
        <v>0</v>
      </c>
      <c r="AV900" s="71">
        <f>IF(AND($G900&lt;&gt;"",$M900="Completed"),IF(OR($Y900=ReportDate-1,$A900=ReportDate-1),1,0),0)</f>
        <v>0</v>
      </c>
      <c r="AW900" s="71">
        <f>IF(AND($AK900=1,$Z900="Yes"),1,0)</f>
        <v>0</v>
      </c>
      <c r="AX900" s="71">
        <f>IF(AND($AK900=1,$AA900="Yes"),1,0)</f>
        <v>0</v>
      </c>
      <c r="AY900" s="71">
        <f>IF(AND($AM900=1,OR($I900="Critical",$I900="High")),1,0)</f>
        <v>0</v>
      </c>
      <c r="AZ900" s="71">
        <f>IF(AND($AK900=1,OR($C900=TCL_Client,$C900=MECCA_Client)),1,0)</f>
        <v>0</v>
      </c>
      <c r="BA900" s="71" t="str">
        <f>IF($G900="","",IFERROR(MATCH($I900,lst_Priority,0),5))</f>
        <v/>
      </c>
      <c r="BB900" s="71" t="str">
        <f>IF(AND($AL900=1,$AJ900=1),$BA900*100000+ROW(),"")</f>
        <v/>
      </c>
      <c r="BC900" s="71" t="str">
        <f>IF(AND($AM900=1,$AJ900=1),$BA900*100000+ROW(),"")</f>
        <v/>
      </c>
      <c r="BD900" s="71" t="str">
        <f>IF(AND($AP900=1,$AJ900=1),$BA900*100000+ROW(),"")</f>
        <v/>
      </c>
      <c r="BE900" s="71" t="str">
        <f>IF(AND($AT900=1,$AJ900=1),$BA900*100000+ROW(),"")</f>
        <v/>
      </c>
      <c r="BF900" s="71" t="str">
        <f>IF(AND($AU900=1,$AJ900=1),$BA900*100000+ROW(),"")</f>
        <v/>
      </c>
      <c r="BG900" s="71" t="str">
        <f>IF(AND($AV900=1,$AJ900=1),$BA900*100000+ROW(),"")</f>
        <v/>
      </c>
      <c r="BH900" s="71" t="str">
        <f>IF(AND($AW900=1,$AJ900=1),$BA900*100000+ROW(),"")</f>
        <v/>
      </c>
      <c r="BI900" s="71" t="str">
        <f>IF(AND($AX900=1,$AJ900=1),$BA900*100000+ROW(),"")</f>
        <v/>
      </c>
      <c r="BJ900" s="71" t="str">
        <f>IF(AND($AS900=1,$AJ900=1),$BA900*100000+ROW(),"")</f>
        <v/>
      </c>
      <c r="BK900" s="71" t="str">
        <f>IF(AND($AY900=1,$AJ900=1),$BA900*100000+ROW(),"")</f>
        <v/>
      </c>
      <c r="BL900" s="71" t="str">
        <f>IF(AND($AZ900=1),$BA900*100000+ROW(),"")</f>
        <v/>
      </c>
    </row>
    <row r="901">
      <c r="A901" s="63" t="n"/>
      <c r="B901" s="64" t="n"/>
      <c r="C901" s="64" t="n"/>
      <c r="D901" s="64" t="n"/>
      <c r="E901" s="64" t="n"/>
      <c r="F901" s="64" t="n"/>
      <c r="G901" s="65" t="n"/>
      <c r="H901" s="65" t="n"/>
      <c r="I901" s="64" t="n"/>
      <c r="J901" s="64" t="n"/>
      <c r="K901" s="63" t="n"/>
      <c r="L901" s="63" t="n"/>
      <c r="M901" s="64" t="n"/>
      <c r="N901" s="66" t="n"/>
      <c r="O901" s="65" t="n"/>
      <c r="P901" s="64" t="n"/>
      <c r="Q901" s="67" t="n"/>
      <c r="R901" s="67" t="n"/>
      <c r="S901" s="68" t="str">
        <f>IF(AND(ISNUMBER($Q901),ISNUMBER($R901)),$Q901-$R901,"")</f>
        <v/>
      </c>
      <c r="T901" s="65" t="n"/>
      <c r="U901" s="64" t="n"/>
      <c r="V901" s="65" t="n"/>
      <c r="W901" s="63" t="n"/>
      <c r="X901" s="65" t="n"/>
      <c r="Y901" s="63" t="n"/>
      <c r="Z901" s="64" t="n"/>
      <c r="AA901" s="64" t="n"/>
      <c r="AB901" s="65" t="n"/>
      <c r="AC901" s="69" t="str">
        <f>IF(OR($G901="",NOT(ISNUMBER($K901)),$AK901=0),"",MAX(0,ReportDate-$K901))</f>
        <v/>
      </c>
      <c r="AD901" s="69" t="str">
        <f>IF($G901="","",IF($AL901=1,ReportDate-$L901,0))</f>
        <v/>
      </c>
      <c r="AE901" s="70" t="str">
        <f>IF($G901="","",IF($M901="Completed",1,IF(ISNUMBER($N901),$N901,0)))</f>
        <v/>
      </c>
      <c r="AF901" s="70" t="str">
        <f>IF(AND(ISNUMBER($Q901),ISNUMBER($R901)),IF($R901&lt;&gt;0,$Q901/$R901,""),"")</f>
        <v/>
      </c>
      <c r="AG901" s="71" t="str">
        <f>IF($G901="","",IF($AL901=1,"OVERDUE",IF($AM901=1,"BLOCKED",IF($AN901=1,"DUE TODAY",IF($AO901=1,"DUE TOMORROW",IF($AQ901=1,"HIGH PRIORITY",IF($AR901=1,"NO RECENT UPDATE",""))))))) </f>
        <v/>
      </c>
      <c r="AH901" s="71" t="str">
        <f>IF($G901="","",IF(ISNUMBER($A901),IF(ISNUMBER($A901),YEAR($A901)&amp;"-"&amp;TEXT(MONTH($A901),"00"),""),IF(ISNUMBER($L901),IF(ISNUMBER($L901),YEAR($L901)&amp;"-"&amp;TEXT(MONTH($L901),"00"),""),"")))</f>
        <v/>
      </c>
      <c r="AI901" s="71">
        <f>IF($G901="",0,IF(AND(OR(fClient="All",$C901=fClient),OR(fCampaign="All",$D901=fCampaign),OR(fTeam="All",$B901=fTeam),OR(fChannel="All",$F901=fChannel),OR(fMonth="All",$AH901=fMonth),OR(fTStatus="All",$M901=fTStatus)),1,0))</f>
        <v>0</v>
      </c>
      <c r="AJ901" s="71">
        <f>IF($G901="",0,IF(AND(OR(fClient="All",$C901=fClient),OR(fCampaign="All",$D901=fCampaign),OR(fTeam="All",$B901=fTeam),OR(fChannel="All",$F901=fChannel)),1,0))</f>
        <v>0</v>
      </c>
      <c r="AK901" s="71">
        <f>IF($G901="",0,IF(OR($M901="Completed",$M901="Cancelled"),0,1))</f>
        <v>0</v>
      </c>
      <c r="AL901" s="71">
        <f>IF(AND($AK901=1,ISNUMBER($L901)),IF($L901&lt;ReportDate,1,0),0)</f>
        <v>0</v>
      </c>
      <c r="AM901" s="71">
        <f>IF(AND($G901&lt;&gt;"",$M901="Blocked"),1,0)</f>
        <v>0</v>
      </c>
      <c r="AN901" s="71">
        <f>IF(AND($AK901=1,ISNUMBER($L901)),IF($L901=ReportDate,1,0),0)</f>
        <v>0</v>
      </c>
      <c r="AO901" s="71">
        <f>IF(AND($AK901=1,ISNUMBER($L901)),IF($L901=ReportDate+1,1,0),0)</f>
        <v>0</v>
      </c>
      <c r="AP901" s="71">
        <f>IF(AND($AK901=1,ISNUMBER($L901)),IF(AND($L901&gt;=ReportDate,$L901&lt;=ReportDate+DueSoonDays),1,0),0)</f>
        <v>0</v>
      </c>
      <c r="AQ901" s="71">
        <f>IF(AND($AK901=1,OR($I901="Critical",$I901="High")),1,0)</f>
        <v>0</v>
      </c>
      <c r="AR901" s="71">
        <f>IF($AK901=1,IF(ISNUMBER($Y901),IF(ReportDate-$Y901&gt;StaleDays,1,0),1),0)</f>
        <v>0</v>
      </c>
      <c r="AS901" s="71">
        <f>IF(AND($G901&lt;&gt;"",ISNUMBER($Q901),ISNUMBER($R901)),IF(AND($Q901&lt;$R901,OR($M901="Completed",AND(ISNUMBER($L901),$L901&lt;ReportDate))),1,0),0)</f>
        <v>0</v>
      </c>
      <c r="AT901" s="71">
        <f>IF($AK901=1,IF(OR($L901=ReportDate,$W901=ReportDate,$K901=ReportDate,$A901=ReportDate),1,0),0)</f>
        <v>0</v>
      </c>
      <c r="AU901" s="71">
        <f>IF($AK901=1,IF(OR($L901=ReportDate+1,$W901=ReportDate+1,$K901=ReportDate+1,$A901=ReportDate+1),1,0),0)</f>
        <v>0</v>
      </c>
      <c r="AV901" s="71">
        <f>IF(AND($G901&lt;&gt;"",$M901="Completed"),IF(OR($Y901=ReportDate-1,$A901=ReportDate-1),1,0),0)</f>
        <v>0</v>
      </c>
      <c r="AW901" s="71">
        <f>IF(AND($AK901=1,$Z901="Yes"),1,0)</f>
        <v>0</v>
      </c>
      <c r="AX901" s="71">
        <f>IF(AND($AK901=1,$AA901="Yes"),1,0)</f>
        <v>0</v>
      </c>
      <c r="AY901" s="71">
        <f>IF(AND($AM901=1,OR($I901="Critical",$I901="High")),1,0)</f>
        <v>0</v>
      </c>
      <c r="AZ901" s="71">
        <f>IF(AND($AK901=1,OR($C901=TCL_Client,$C901=MECCA_Client)),1,0)</f>
        <v>0</v>
      </c>
      <c r="BA901" s="71" t="str">
        <f>IF($G901="","",IFERROR(MATCH($I901,lst_Priority,0),5))</f>
        <v/>
      </c>
      <c r="BB901" s="71" t="str">
        <f>IF(AND($AL901=1,$AJ901=1),$BA901*100000+ROW(),"")</f>
        <v/>
      </c>
      <c r="BC901" s="71" t="str">
        <f>IF(AND($AM901=1,$AJ901=1),$BA901*100000+ROW(),"")</f>
        <v/>
      </c>
      <c r="BD901" s="71" t="str">
        <f>IF(AND($AP901=1,$AJ901=1),$BA901*100000+ROW(),"")</f>
        <v/>
      </c>
      <c r="BE901" s="71" t="str">
        <f>IF(AND($AT901=1,$AJ901=1),$BA901*100000+ROW(),"")</f>
        <v/>
      </c>
      <c r="BF901" s="71" t="str">
        <f>IF(AND($AU901=1,$AJ901=1),$BA901*100000+ROW(),"")</f>
        <v/>
      </c>
      <c r="BG901" s="71" t="str">
        <f>IF(AND($AV901=1,$AJ901=1),$BA901*100000+ROW(),"")</f>
        <v/>
      </c>
      <c r="BH901" s="71" t="str">
        <f>IF(AND($AW901=1,$AJ901=1),$BA901*100000+ROW(),"")</f>
        <v/>
      </c>
      <c r="BI901" s="71" t="str">
        <f>IF(AND($AX901=1,$AJ901=1),$BA901*100000+ROW(),"")</f>
        <v/>
      </c>
      <c r="BJ901" s="71" t="str">
        <f>IF(AND($AS901=1,$AJ901=1),$BA901*100000+ROW(),"")</f>
        <v/>
      </c>
      <c r="BK901" s="71" t="str">
        <f>IF(AND($AY901=1,$AJ901=1),$BA901*100000+ROW(),"")</f>
        <v/>
      </c>
      <c r="BL901" s="71" t="str">
        <f>IF(AND($AZ901=1),$BA901*100000+ROW(),"")</f>
        <v/>
      </c>
    </row>
    <row r="902">
      <c r="A902" s="63" t="n"/>
      <c r="B902" s="64" t="n"/>
      <c r="C902" s="64" t="n"/>
      <c r="D902" s="64" t="n"/>
      <c r="E902" s="64" t="n"/>
      <c r="F902" s="64" t="n"/>
      <c r="G902" s="65" t="n"/>
      <c r="H902" s="65" t="n"/>
      <c r="I902" s="64" t="n"/>
      <c r="J902" s="64" t="n"/>
      <c r="K902" s="63" t="n"/>
      <c r="L902" s="63" t="n"/>
      <c r="M902" s="64" t="n"/>
      <c r="N902" s="66" t="n"/>
      <c r="O902" s="65" t="n"/>
      <c r="P902" s="64" t="n"/>
      <c r="Q902" s="67" t="n"/>
      <c r="R902" s="67" t="n"/>
      <c r="S902" s="68" t="str">
        <f>IF(AND(ISNUMBER($Q902),ISNUMBER($R902)),$Q902-$R902,"")</f>
        <v/>
      </c>
      <c r="T902" s="65" t="n"/>
      <c r="U902" s="64" t="n"/>
      <c r="V902" s="65" t="n"/>
      <c r="W902" s="63" t="n"/>
      <c r="X902" s="65" t="n"/>
      <c r="Y902" s="63" t="n"/>
      <c r="Z902" s="64" t="n"/>
      <c r="AA902" s="64" t="n"/>
      <c r="AB902" s="65" t="n"/>
      <c r="AC902" s="69" t="str">
        <f>IF(OR($G902="",NOT(ISNUMBER($K902)),$AK902=0),"",MAX(0,ReportDate-$K902))</f>
        <v/>
      </c>
      <c r="AD902" s="69" t="str">
        <f>IF($G902="","",IF($AL902=1,ReportDate-$L902,0))</f>
        <v/>
      </c>
      <c r="AE902" s="70" t="str">
        <f>IF($G902="","",IF($M902="Completed",1,IF(ISNUMBER($N902),$N902,0)))</f>
        <v/>
      </c>
      <c r="AF902" s="70" t="str">
        <f>IF(AND(ISNUMBER($Q902),ISNUMBER($R902)),IF($R902&lt;&gt;0,$Q902/$R902,""),"")</f>
        <v/>
      </c>
      <c r="AG902" s="71" t="str">
        <f>IF($G902="","",IF($AL902=1,"OVERDUE",IF($AM902=1,"BLOCKED",IF($AN902=1,"DUE TODAY",IF($AO902=1,"DUE TOMORROW",IF($AQ902=1,"HIGH PRIORITY",IF($AR902=1,"NO RECENT UPDATE",""))))))) </f>
        <v/>
      </c>
      <c r="AH902" s="71" t="str">
        <f>IF($G902="","",IF(ISNUMBER($A902),IF(ISNUMBER($A902),YEAR($A902)&amp;"-"&amp;TEXT(MONTH($A902),"00"),""),IF(ISNUMBER($L902),IF(ISNUMBER($L902),YEAR($L902)&amp;"-"&amp;TEXT(MONTH($L902),"00"),""),"")))</f>
        <v/>
      </c>
      <c r="AI902" s="71">
        <f>IF($G902="",0,IF(AND(OR(fClient="All",$C902=fClient),OR(fCampaign="All",$D902=fCampaign),OR(fTeam="All",$B902=fTeam),OR(fChannel="All",$F902=fChannel),OR(fMonth="All",$AH902=fMonth),OR(fTStatus="All",$M902=fTStatus)),1,0))</f>
        <v>0</v>
      </c>
      <c r="AJ902" s="71">
        <f>IF($G902="",0,IF(AND(OR(fClient="All",$C902=fClient),OR(fCampaign="All",$D902=fCampaign),OR(fTeam="All",$B902=fTeam),OR(fChannel="All",$F902=fChannel)),1,0))</f>
        <v>0</v>
      </c>
      <c r="AK902" s="71">
        <f>IF($G902="",0,IF(OR($M902="Completed",$M902="Cancelled"),0,1))</f>
        <v>0</v>
      </c>
      <c r="AL902" s="71">
        <f>IF(AND($AK902=1,ISNUMBER($L902)),IF($L902&lt;ReportDate,1,0),0)</f>
        <v>0</v>
      </c>
      <c r="AM902" s="71">
        <f>IF(AND($G902&lt;&gt;"",$M902="Blocked"),1,0)</f>
        <v>0</v>
      </c>
      <c r="AN902" s="71">
        <f>IF(AND($AK902=1,ISNUMBER($L902)),IF($L902=ReportDate,1,0),0)</f>
        <v>0</v>
      </c>
      <c r="AO902" s="71">
        <f>IF(AND($AK902=1,ISNUMBER($L902)),IF($L902=ReportDate+1,1,0),0)</f>
        <v>0</v>
      </c>
      <c r="AP902" s="71">
        <f>IF(AND($AK902=1,ISNUMBER($L902)),IF(AND($L902&gt;=ReportDate,$L902&lt;=ReportDate+DueSoonDays),1,0),0)</f>
        <v>0</v>
      </c>
      <c r="AQ902" s="71">
        <f>IF(AND($AK902=1,OR($I902="Critical",$I902="High")),1,0)</f>
        <v>0</v>
      </c>
      <c r="AR902" s="71">
        <f>IF($AK902=1,IF(ISNUMBER($Y902),IF(ReportDate-$Y902&gt;StaleDays,1,0),1),0)</f>
        <v>0</v>
      </c>
      <c r="AS902" s="71">
        <f>IF(AND($G902&lt;&gt;"",ISNUMBER($Q902),ISNUMBER($R902)),IF(AND($Q902&lt;$R902,OR($M902="Completed",AND(ISNUMBER($L902),$L902&lt;ReportDate))),1,0),0)</f>
        <v>0</v>
      </c>
      <c r="AT902" s="71">
        <f>IF($AK902=1,IF(OR($L902=ReportDate,$W902=ReportDate,$K902=ReportDate,$A902=ReportDate),1,0),0)</f>
        <v>0</v>
      </c>
      <c r="AU902" s="71">
        <f>IF($AK902=1,IF(OR($L902=ReportDate+1,$W902=ReportDate+1,$K902=ReportDate+1,$A902=ReportDate+1),1,0),0)</f>
        <v>0</v>
      </c>
      <c r="AV902" s="71">
        <f>IF(AND($G902&lt;&gt;"",$M902="Completed"),IF(OR($Y902=ReportDate-1,$A902=ReportDate-1),1,0),0)</f>
        <v>0</v>
      </c>
      <c r="AW902" s="71">
        <f>IF(AND($AK902=1,$Z902="Yes"),1,0)</f>
        <v>0</v>
      </c>
      <c r="AX902" s="71">
        <f>IF(AND($AK902=1,$AA902="Yes"),1,0)</f>
        <v>0</v>
      </c>
      <c r="AY902" s="71">
        <f>IF(AND($AM902=1,OR($I902="Critical",$I902="High")),1,0)</f>
        <v>0</v>
      </c>
      <c r="AZ902" s="71">
        <f>IF(AND($AK902=1,OR($C902=TCL_Client,$C902=MECCA_Client)),1,0)</f>
        <v>0</v>
      </c>
      <c r="BA902" s="71" t="str">
        <f>IF($G902="","",IFERROR(MATCH($I902,lst_Priority,0),5))</f>
        <v/>
      </c>
      <c r="BB902" s="71" t="str">
        <f>IF(AND($AL902=1,$AJ902=1),$BA902*100000+ROW(),"")</f>
        <v/>
      </c>
      <c r="BC902" s="71" t="str">
        <f>IF(AND($AM902=1,$AJ902=1),$BA902*100000+ROW(),"")</f>
        <v/>
      </c>
      <c r="BD902" s="71" t="str">
        <f>IF(AND($AP902=1,$AJ902=1),$BA902*100000+ROW(),"")</f>
        <v/>
      </c>
      <c r="BE902" s="71" t="str">
        <f>IF(AND($AT902=1,$AJ902=1),$BA902*100000+ROW(),"")</f>
        <v/>
      </c>
      <c r="BF902" s="71" t="str">
        <f>IF(AND($AU902=1,$AJ902=1),$BA902*100000+ROW(),"")</f>
        <v/>
      </c>
      <c r="BG902" s="71" t="str">
        <f>IF(AND($AV902=1,$AJ902=1),$BA902*100000+ROW(),"")</f>
        <v/>
      </c>
      <c r="BH902" s="71" t="str">
        <f>IF(AND($AW902=1,$AJ902=1),$BA902*100000+ROW(),"")</f>
        <v/>
      </c>
      <c r="BI902" s="71" t="str">
        <f>IF(AND($AX902=1,$AJ902=1),$BA902*100000+ROW(),"")</f>
        <v/>
      </c>
      <c r="BJ902" s="71" t="str">
        <f>IF(AND($AS902=1,$AJ902=1),$BA902*100000+ROW(),"")</f>
        <v/>
      </c>
      <c r="BK902" s="71" t="str">
        <f>IF(AND($AY902=1,$AJ902=1),$BA902*100000+ROW(),"")</f>
        <v/>
      </c>
      <c r="BL902" s="71" t="str">
        <f>IF(AND($AZ902=1),$BA902*100000+ROW(),"")</f>
        <v/>
      </c>
    </row>
    <row r="903">
      <c r="A903" s="63" t="n"/>
      <c r="B903" s="64" t="n"/>
      <c r="C903" s="64" t="n"/>
      <c r="D903" s="64" t="n"/>
      <c r="E903" s="64" t="n"/>
      <c r="F903" s="64" t="n"/>
      <c r="G903" s="65" t="n"/>
      <c r="H903" s="65" t="n"/>
      <c r="I903" s="64" t="n"/>
      <c r="J903" s="64" t="n"/>
      <c r="K903" s="63" t="n"/>
      <c r="L903" s="63" t="n"/>
      <c r="M903" s="64" t="n"/>
      <c r="N903" s="66" t="n"/>
      <c r="O903" s="65" t="n"/>
      <c r="P903" s="64" t="n"/>
      <c r="Q903" s="67" t="n"/>
      <c r="R903" s="67" t="n"/>
      <c r="S903" s="68" t="str">
        <f>IF(AND(ISNUMBER($Q903),ISNUMBER($R903)),$Q903-$R903,"")</f>
        <v/>
      </c>
      <c r="T903" s="65" t="n"/>
      <c r="U903" s="64" t="n"/>
      <c r="V903" s="65" t="n"/>
      <c r="W903" s="63" t="n"/>
      <c r="X903" s="65" t="n"/>
      <c r="Y903" s="63" t="n"/>
      <c r="Z903" s="64" t="n"/>
      <c r="AA903" s="64" t="n"/>
      <c r="AB903" s="65" t="n"/>
      <c r="AC903" s="69" t="str">
        <f>IF(OR($G903="",NOT(ISNUMBER($K903)),$AK903=0),"",MAX(0,ReportDate-$K903))</f>
        <v/>
      </c>
      <c r="AD903" s="69" t="str">
        <f>IF($G903="","",IF($AL903=1,ReportDate-$L903,0))</f>
        <v/>
      </c>
      <c r="AE903" s="70" t="str">
        <f>IF($G903="","",IF($M903="Completed",1,IF(ISNUMBER($N903),$N903,0)))</f>
        <v/>
      </c>
      <c r="AF903" s="70" t="str">
        <f>IF(AND(ISNUMBER($Q903),ISNUMBER($R903)),IF($R903&lt;&gt;0,$Q903/$R903,""),"")</f>
        <v/>
      </c>
      <c r="AG903" s="71" t="str">
        <f>IF($G903="","",IF($AL903=1,"OVERDUE",IF($AM903=1,"BLOCKED",IF($AN903=1,"DUE TODAY",IF($AO903=1,"DUE TOMORROW",IF($AQ903=1,"HIGH PRIORITY",IF($AR903=1,"NO RECENT UPDATE",""))))))) </f>
        <v/>
      </c>
      <c r="AH903" s="71" t="str">
        <f>IF($G903="","",IF(ISNUMBER($A903),IF(ISNUMBER($A903),YEAR($A903)&amp;"-"&amp;TEXT(MONTH($A903),"00"),""),IF(ISNUMBER($L903),IF(ISNUMBER($L903),YEAR($L903)&amp;"-"&amp;TEXT(MONTH($L903),"00"),""),"")))</f>
        <v/>
      </c>
      <c r="AI903" s="71">
        <f>IF($G903="",0,IF(AND(OR(fClient="All",$C903=fClient),OR(fCampaign="All",$D903=fCampaign),OR(fTeam="All",$B903=fTeam),OR(fChannel="All",$F903=fChannel),OR(fMonth="All",$AH903=fMonth),OR(fTStatus="All",$M903=fTStatus)),1,0))</f>
        <v>0</v>
      </c>
      <c r="AJ903" s="71">
        <f>IF($G903="",0,IF(AND(OR(fClient="All",$C903=fClient),OR(fCampaign="All",$D903=fCampaign),OR(fTeam="All",$B903=fTeam),OR(fChannel="All",$F903=fChannel)),1,0))</f>
        <v>0</v>
      </c>
      <c r="AK903" s="71">
        <f>IF($G903="",0,IF(OR($M903="Completed",$M903="Cancelled"),0,1))</f>
        <v>0</v>
      </c>
      <c r="AL903" s="71">
        <f>IF(AND($AK903=1,ISNUMBER($L903)),IF($L903&lt;ReportDate,1,0),0)</f>
        <v>0</v>
      </c>
      <c r="AM903" s="71">
        <f>IF(AND($G903&lt;&gt;"",$M903="Blocked"),1,0)</f>
        <v>0</v>
      </c>
      <c r="AN903" s="71">
        <f>IF(AND($AK903=1,ISNUMBER($L903)),IF($L903=ReportDate,1,0),0)</f>
        <v>0</v>
      </c>
      <c r="AO903" s="71">
        <f>IF(AND($AK903=1,ISNUMBER($L903)),IF($L903=ReportDate+1,1,0),0)</f>
        <v>0</v>
      </c>
      <c r="AP903" s="71">
        <f>IF(AND($AK903=1,ISNUMBER($L903)),IF(AND($L903&gt;=ReportDate,$L903&lt;=ReportDate+DueSoonDays),1,0),0)</f>
        <v>0</v>
      </c>
      <c r="AQ903" s="71">
        <f>IF(AND($AK903=1,OR($I903="Critical",$I903="High")),1,0)</f>
        <v>0</v>
      </c>
      <c r="AR903" s="71">
        <f>IF($AK903=1,IF(ISNUMBER($Y903),IF(ReportDate-$Y903&gt;StaleDays,1,0),1),0)</f>
        <v>0</v>
      </c>
      <c r="AS903" s="71">
        <f>IF(AND($G903&lt;&gt;"",ISNUMBER($Q903),ISNUMBER($R903)),IF(AND($Q903&lt;$R903,OR($M903="Completed",AND(ISNUMBER($L903),$L903&lt;ReportDate))),1,0),0)</f>
        <v>0</v>
      </c>
      <c r="AT903" s="71">
        <f>IF($AK903=1,IF(OR($L903=ReportDate,$W903=ReportDate,$K903=ReportDate,$A903=ReportDate),1,0),0)</f>
        <v>0</v>
      </c>
      <c r="AU903" s="71">
        <f>IF($AK903=1,IF(OR($L903=ReportDate+1,$W903=ReportDate+1,$K903=ReportDate+1,$A903=ReportDate+1),1,0),0)</f>
        <v>0</v>
      </c>
      <c r="AV903" s="71">
        <f>IF(AND($G903&lt;&gt;"",$M903="Completed"),IF(OR($Y903=ReportDate-1,$A903=ReportDate-1),1,0),0)</f>
        <v>0</v>
      </c>
      <c r="AW903" s="71">
        <f>IF(AND($AK903=1,$Z903="Yes"),1,0)</f>
        <v>0</v>
      </c>
      <c r="AX903" s="71">
        <f>IF(AND($AK903=1,$AA903="Yes"),1,0)</f>
        <v>0</v>
      </c>
      <c r="AY903" s="71">
        <f>IF(AND($AM903=1,OR($I903="Critical",$I903="High")),1,0)</f>
        <v>0</v>
      </c>
      <c r="AZ903" s="71">
        <f>IF(AND($AK903=1,OR($C903=TCL_Client,$C903=MECCA_Client)),1,0)</f>
        <v>0</v>
      </c>
      <c r="BA903" s="71" t="str">
        <f>IF($G903="","",IFERROR(MATCH($I903,lst_Priority,0),5))</f>
        <v/>
      </c>
      <c r="BB903" s="71" t="str">
        <f>IF(AND($AL903=1,$AJ903=1),$BA903*100000+ROW(),"")</f>
        <v/>
      </c>
      <c r="BC903" s="71" t="str">
        <f>IF(AND($AM903=1,$AJ903=1),$BA903*100000+ROW(),"")</f>
        <v/>
      </c>
      <c r="BD903" s="71" t="str">
        <f>IF(AND($AP903=1,$AJ903=1),$BA903*100000+ROW(),"")</f>
        <v/>
      </c>
      <c r="BE903" s="71" t="str">
        <f>IF(AND($AT903=1,$AJ903=1),$BA903*100000+ROW(),"")</f>
        <v/>
      </c>
      <c r="BF903" s="71" t="str">
        <f>IF(AND($AU903=1,$AJ903=1),$BA903*100000+ROW(),"")</f>
        <v/>
      </c>
      <c r="BG903" s="71" t="str">
        <f>IF(AND($AV903=1,$AJ903=1),$BA903*100000+ROW(),"")</f>
        <v/>
      </c>
      <c r="BH903" s="71" t="str">
        <f>IF(AND($AW903=1,$AJ903=1),$BA903*100000+ROW(),"")</f>
        <v/>
      </c>
      <c r="BI903" s="71" t="str">
        <f>IF(AND($AX903=1,$AJ903=1),$BA903*100000+ROW(),"")</f>
        <v/>
      </c>
      <c r="BJ903" s="71" t="str">
        <f>IF(AND($AS903=1,$AJ903=1),$BA903*100000+ROW(),"")</f>
        <v/>
      </c>
      <c r="BK903" s="71" t="str">
        <f>IF(AND($AY903=1,$AJ903=1),$BA903*100000+ROW(),"")</f>
        <v/>
      </c>
      <c r="BL903" s="71" t="str">
        <f>IF(AND($AZ903=1),$BA903*100000+ROW(),"")</f>
        <v/>
      </c>
    </row>
    <row r="904">
      <c r="A904" s="63" t="n"/>
      <c r="B904" s="64" t="n"/>
      <c r="C904" s="64" t="n"/>
      <c r="D904" s="64" t="n"/>
      <c r="E904" s="64" t="n"/>
      <c r="F904" s="64" t="n"/>
      <c r="G904" s="65" t="n"/>
      <c r="H904" s="65" t="n"/>
      <c r="I904" s="64" t="n"/>
      <c r="J904" s="64" t="n"/>
      <c r="K904" s="63" t="n"/>
      <c r="L904" s="63" t="n"/>
      <c r="M904" s="64" t="n"/>
      <c r="N904" s="66" t="n"/>
      <c r="O904" s="65" t="n"/>
      <c r="P904" s="64" t="n"/>
      <c r="Q904" s="67" t="n"/>
      <c r="R904" s="67" t="n"/>
      <c r="S904" s="68" t="str">
        <f>IF(AND(ISNUMBER($Q904),ISNUMBER($R904)),$Q904-$R904,"")</f>
        <v/>
      </c>
      <c r="T904" s="65" t="n"/>
      <c r="U904" s="64" t="n"/>
      <c r="V904" s="65" t="n"/>
      <c r="W904" s="63" t="n"/>
      <c r="X904" s="65" t="n"/>
      <c r="Y904" s="63" t="n"/>
      <c r="Z904" s="64" t="n"/>
      <c r="AA904" s="64" t="n"/>
      <c r="AB904" s="65" t="n"/>
      <c r="AC904" s="69" t="str">
        <f>IF(OR($G904="",NOT(ISNUMBER($K904)),$AK904=0),"",MAX(0,ReportDate-$K904))</f>
        <v/>
      </c>
      <c r="AD904" s="69" t="str">
        <f>IF($G904="","",IF($AL904=1,ReportDate-$L904,0))</f>
        <v/>
      </c>
      <c r="AE904" s="70" t="str">
        <f>IF($G904="","",IF($M904="Completed",1,IF(ISNUMBER($N904),$N904,0)))</f>
        <v/>
      </c>
      <c r="AF904" s="70" t="str">
        <f>IF(AND(ISNUMBER($Q904),ISNUMBER($R904)),IF($R904&lt;&gt;0,$Q904/$R904,""),"")</f>
        <v/>
      </c>
      <c r="AG904" s="71" t="str">
        <f>IF($G904="","",IF($AL904=1,"OVERDUE",IF($AM904=1,"BLOCKED",IF($AN904=1,"DUE TODAY",IF($AO904=1,"DUE TOMORROW",IF($AQ904=1,"HIGH PRIORITY",IF($AR904=1,"NO RECENT UPDATE",""))))))) </f>
        <v/>
      </c>
      <c r="AH904" s="71" t="str">
        <f>IF($G904="","",IF(ISNUMBER($A904),IF(ISNUMBER($A904),YEAR($A904)&amp;"-"&amp;TEXT(MONTH($A904),"00"),""),IF(ISNUMBER($L904),IF(ISNUMBER($L904),YEAR($L904)&amp;"-"&amp;TEXT(MONTH($L904),"00"),""),"")))</f>
        <v/>
      </c>
      <c r="AI904" s="71">
        <f>IF($G904="",0,IF(AND(OR(fClient="All",$C904=fClient),OR(fCampaign="All",$D904=fCampaign),OR(fTeam="All",$B904=fTeam),OR(fChannel="All",$F904=fChannel),OR(fMonth="All",$AH904=fMonth),OR(fTStatus="All",$M904=fTStatus)),1,0))</f>
        <v>0</v>
      </c>
      <c r="AJ904" s="71">
        <f>IF($G904="",0,IF(AND(OR(fClient="All",$C904=fClient),OR(fCampaign="All",$D904=fCampaign),OR(fTeam="All",$B904=fTeam),OR(fChannel="All",$F904=fChannel)),1,0))</f>
        <v>0</v>
      </c>
      <c r="AK904" s="71">
        <f>IF($G904="",0,IF(OR($M904="Completed",$M904="Cancelled"),0,1))</f>
        <v>0</v>
      </c>
      <c r="AL904" s="71">
        <f>IF(AND($AK904=1,ISNUMBER($L904)),IF($L904&lt;ReportDate,1,0),0)</f>
        <v>0</v>
      </c>
      <c r="AM904" s="71">
        <f>IF(AND($G904&lt;&gt;"",$M904="Blocked"),1,0)</f>
        <v>0</v>
      </c>
      <c r="AN904" s="71">
        <f>IF(AND($AK904=1,ISNUMBER($L904)),IF($L904=ReportDate,1,0),0)</f>
        <v>0</v>
      </c>
      <c r="AO904" s="71">
        <f>IF(AND($AK904=1,ISNUMBER($L904)),IF($L904=ReportDate+1,1,0),0)</f>
        <v>0</v>
      </c>
      <c r="AP904" s="71">
        <f>IF(AND($AK904=1,ISNUMBER($L904)),IF(AND($L904&gt;=ReportDate,$L904&lt;=ReportDate+DueSoonDays),1,0),0)</f>
        <v>0</v>
      </c>
      <c r="AQ904" s="71">
        <f>IF(AND($AK904=1,OR($I904="Critical",$I904="High")),1,0)</f>
        <v>0</v>
      </c>
      <c r="AR904" s="71">
        <f>IF($AK904=1,IF(ISNUMBER($Y904),IF(ReportDate-$Y904&gt;StaleDays,1,0),1),0)</f>
        <v>0</v>
      </c>
      <c r="AS904" s="71">
        <f>IF(AND($G904&lt;&gt;"",ISNUMBER($Q904),ISNUMBER($R904)),IF(AND($Q904&lt;$R904,OR($M904="Completed",AND(ISNUMBER($L904),$L904&lt;ReportDate))),1,0),0)</f>
        <v>0</v>
      </c>
      <c r="AT904" s="71">
        <f>IF($AK904=1,IF(OR($L904=ReportDate,$W904=ReportDate,$K904=ReportDate,$A904=ReportDate),1,0),0)</f>
        <v>0</v>
      </c>
      <c r="AU904" s="71">
        <f>IF($AK904=1,IF(OR($L904=ReportDate+1,$W904=ReportDate+1,$K904=ReportDate+1,$A904=ReportDate+1),1,0),0)</f>
        <v>0</v>
      </c>
      <c r="AV904" s="71">
        <f>IF(AND($G904&lt;&gt;"",$M904="Completed"),IF(OR($Y904=ReportDate-1,$A904=ReportDate-1),1,0),0)</f>
        <v>0</v>
      </c>
      <c r="AW904" s="71">
        <f>IF(AND($AK904=1,$Z904="Yes"),1,0)</f>
        <v>0</v>
      </c>
      <c r="AX904" s="71">
        <f>IF(AND($AK904=1,$AA904="Yes"),1,0)</f>
        <v>0</v>
      </c>
      <c r="AY904" s="71">
        <f>IF(AND($AM904=1,OR($I904="Critical",$I904="High")),1,0)</f>
        <v>0</v>
      </c>
      <c r="AZ904" s="71">
        <f>IF(AND($AK904=1,OR($C904=TCL_Client,$C904=MECCA_Client)),1,0)</f>
        <v>0</v>
      </c>
      <c r="BA904" s="71" t="str">
        <f>IF($G904="","",IFERROR(MATCH($I904,lst_Priority,0),5))</f>
        <v/>
      </c>
      <c r="BB904" s="71" t="str">
        <f>IF(AND($AL904=1,$AJ904=1),$BA904*100000+ROW(),"")</f>
        <v/>
      </c>
      <c r="BC904" s="71" t="str">
        <f>IF(AND($AM904=1,$AJ904=1),$BA904*100000+ROW(),"")</f>
        <v/>
      </c>
      <c r="BD904" s="71" t="str">
        <f>IF(AND($AP904=1,$AJ904=1),$BA904*100000+ROW(),"")</f>
        <v/>
      </c>
      <c r="BE904" s="71" t="str">
        <f>IF(AND($AT904=1,$AJ904=1),$BA904*100000+ROW(),"")</f>
        <v/>
      </c>
      <c r="BF904" s="71" t="str">
        <f>IF(AND($AU904=1,$AJ904=1),$BA904*100000+ROW(),"")</f>
        <v/>
      </c>
      <c r="BG904" s="71" t="str">
        <f>IF(AND($AV904=1,$AJ904=1),$BA904*100000+ROW(),"")</f>
        <v/>
      </c>
      <c r="BH904" s="71" t="str">
        <f>IF(AND($AW904=1,$AJ904=1),$BA904*100000+ROW(),"")</f>
        <v/>
      </c>
      <c r="BI904" s="71" t="str">
        <f>IF(AND($AX904=1,$AJ904=1),$BA904*100000+ROW(),"")</f>
        <v/>
      </c>
      <c r="BJ904" s="71" t="str">
        <f>IF(AND($AS904=1,$AJ904=1),$BA904*100000+ROW(),"")</f>
        <v/>
      </c>
      <c r="BK904" s="71" t="str">
        <f>IF(AND($AY904=1,$AJ904=1),$BA904*100000+ROW(),"")</f>
        <v/>
      </c>
      <c r="BL904" s="71" t="str">
        <f>IF(AND($AZ904=1),$BA904*100000+ROW(),"")</f>
        <v/>
      </c>
    </row>
    <row r="905">
      <c r="A905" s="63" t="n"/>
      <c r="B905" s="64" t="n"/>
      <c r="C905" s="64" t="n"/>
      <c r="D905" s="64" t="n"/>
      <c r="E905" s="64" t="n"/>
      <c r="F905" s="64" t="n"/>
      <c r="G905" s="65" t="n"/>
      <c r="H905" s="65" t="n"/>
      <c r="I905" s="64" t="n"/>
      <c r="J905" s="64" t="n"/>
      <c r="K905" s="63" t="n"/>
      <c r="L905" s="63" t="n"/>
      <c r="M905" s="64" t="n"/>
      <c r="N905" s="66" t="n"/>
      <c r="O905" s="65" t="n"/>
      <c r="P905" s="64" t="n"/>
      <c r="Q905" s="67" t="n"/>
      <c r="R905" s="67" t="n"/>
      <c r="S905" s="68" t="str">
        <f>IF(AND(ISNUMBER($Q905),ISNUMBER($R905)),$Q905-$R905,"")</f>
        <v/>
      </c>
      <c r="T905" s="65" t="n"/>
      <c r="U905" s="64" t="n"/>
      <c r="V905" s="65" t="n"/>
      <c r="W905" s="63" t="n"/>
      <c r="X905" s="65" t="n"/>
      <c r="Y905" s="63" t="n"/>
      <c r="Z905" s="64" t="n"/>
      <c r="AA905" s="64" t="n"/>
      <c r="AB905" s="65" t="n"/>
      <c r="AC905" s="69" t="str">
        <f>IF(OR($G905="",NOT(ISNUMBER($K905)),$AK905=0),"",MAX(0,ReportDate-$K905))</f>
        <v/>
      </c>
      <c r="AD905" s="69" t="str">
        <f>IF($G905="","",IF($AL905=1,ReportDate-$L905,0))</f>
        <v/>
      </c>
      <c r="AE905" s="70" t="str">
        <f>IF($G905="","",IF($M905="Completed",1,IF(ISNUMBER($N905),$N905,0)))</f>
        <v/>
      </c>
      <c r="AF905" s="70" t="str">
        <f>IF(AND(ISNUMBER($Q905),ISNUMBER($R905)),IF($R905&lt;&gt;0,$Q905/$R905,""),"")</f>
        <v/>
      </c>
      <c r="AG905" s="71" t="str">
        <f>IF($G905="","",IF($AL905=1,"OVERDUE",IF($AM905=1,"BLOCKED",IF($AN905=1,"DUE TODAY",IF($AO905=1,"DUE TOMORROW",IF($AQ905=1,"HIGH PRIORITY",IF($AR905=1,"NO RECENT UPDATE",""))))))) </f>
        <v/>
      </c>
      <c r="AH905" s="71" t="str">
        <f>IF($G905="","",IF(ISNUMBER($A905),IF(ISNUMBER($A905),YEAR($A905)&amp;"-"&amp;TEXT(MONTH($A905),"00"),""),IF(ISNUMBER($L905),IF(ISNUMBER($L905),YEAR($L905)&amp;"-"&amp;TEXT(MONTH($L905),"00"),""),"")))</f>
        <v/>
      </c>
      <c r="AI905" s="71">
        <f>IF($G905="",0,IF(AND(OR(fClient="All",$C905=fClient),OR(fCampaign="All",$D905=fCampaign),OR(fTeam="All",$B905=fTeam),OR(fChannel="All",$F905=fChannel),OR(fMonth="All",$AH905=fMonth),OR(fTStatus="All",$M905=fTStatus)),1,0))</f>
        <v>0</v>
      </c>
      <c r="AJ905" s="71">
        <f>IF($G905="",0,IF(AND(OR(fClient="All",$C905=fClient),OR(fCampaign="All",$D905=fCampaign),OR(fTeam="All",$B905=fTeam),OR(fChannel="All",$F905=fChannel)),1,0))</f>
        <v>0</v>
      </c>
      <c r="AK905" s="71">
        <f>IF($G905="",0,IF(OR($M905="Completed",$M905="Cancelled"),0,1))</f>
        <v>0</v>
      </c>
      <c r="AL905" s="71">
        <f>IF(AND($AK905=1,ISNUMBER($L905)),IF($L905&lt;ReportDate,1,0),0)</f>
        <v>0</v>
      </c>
      <c r="AM905" s="71">
        <f>IF(AND($G905&lt;&gt;"",$M905="Blocked"),1,0)</f>
        <v>0</v>
      </c>
      <c r="AN905" s="71">
        <f>IF(AND($AK905=1,ISNUMBER($L905)),IF($L905=ReportDate,1,0),0)</f>
        <v>0</v>
      </c>
      <c r="AO905" s="71">
        <f>IF(AND($AK905=1,ISNUMBER($L905)),IF($L905=ReportDate+1,1,0),0)</f>
        <v>0</v>
      </c>
      <c r="AP905" s="71">
        <f>IF(AND($AK905=1,ISNUMBER($L905)),IF(AND($L905&gt;=ReportDate,$L905&lt;=ReportDate+DueSoonDays),1,0),0)</f>
        <v>0</v>
      </c>
      <c r="AQ905" s="71">
        <f>IF(AND($AK905=1,OR($I905="Critical",$I905="High")),1,0)</f>
        <v>0</v>
      </c>
      <c r="AR905" s="71">
        <f>IF($AK905=1,IF(ISNUMBER($Y905),IF(ReportDate-$Y905&gt;StaleDays,1,0),1),0)</f>
        <v>0</v>
      </c>
      <c r="AS905" s="71">
        <f>IF(AND($G905&lt;&gt;"",ISNUMBER($Q905),ISNUMBER($R905)),IF(AND($Q905&lt;$R905,OR($M905="Completed",AND(ISNUMBER($L905),$L905&lt;ReportDate))),1,0),0)</f>
        <v>0</v>
      </c>
      <c r="AT905" s="71">
        <f>IF($AK905=1,IF(OR($L905=ReportDate,$W905=ReportDate,$K905=ReportDate,$A905=ReportDate),1,0),0)</f>
        <v>0</v>
      </c>
      <c r="AU905" s="71">
        <f>IF($AK905=1,IF(OR($L905=ReportDate+1,$W905=ReportDate+1,$K905=ReportDate+1,$A905=ReportDate+1),1,0),0)</f>
        <v>0</v>
      </c>
      <c r="AV905" s="71">
        <f>IF(AND($G905&lt;&gt;"",$M905="Completed"),IF(OR($Y905=ReportDate-1,$A905=ReportDate-1),1,0),0)</f>
        <v>0</v>
      </c>
      <c r="AW905" s="71">
        <f>IF(AND($AK905=1,$Z905="Yes"),1,0)</f>
        <v>0</v>
      </c>
      <c r="AX905" s="71">
        <f>IF(AND($AK905=1,$AA905="Yes"),1,0)</f>
        <v>0</v>
      </c>
      <c r="AY905" s="71">
        <f>IF(AND($AM905=1,OR($I905="Critical",$I905="High")),1,0)</f>
        <v>0</v>
      </c>
      <c r="AZ905" s="71">
        <f>IF(AND($AK905=1,OR($C905=TCL_Client,$C905=MECCA_Client)),1,0)</f>
        <v>0</v>
      </c>
      <c r="BA905" s="71" t="str">
        <f>IF($G905="","",IFERROR(MATCH($I905,lst_Priority,0),5))</f>
        <v/>
      </c>
      <c r="BB905" s="71" t="str">
        <f>IF(AND($AL905=1,$AJ905=1),$BA905*100000+ROW(),"")</f>
        <v/>
      </c>
      <c r="BC905" s="71" t="str">
        <f>IF(AND($AM905=1,$AJ905=1),$BA905*100000+ROW(),"")</f>
        <v/>
      </c>
      <c r="BD905" s="71" t="str">
        <f>IF(AND($AP905=1,$AJ905=1),$BA905*100000+ROW(),"")</f>
        <v/>
      </c>
      <c r="BE905" s="71" t="str">
        <f>IF(AND($AT905=1,$AJ905=1),$BA905*100000+ROW(),"")</f>
        <v/>
      </c>
      <c r="BF905" s="71" t="str">
        <f>IF(AND($AU905=1,$AJ905=1),$BA905*100000+ROW(),"")</f>
        <v/>
      </c>
      <c r="BG905" s="71" t="str">
        <f>IF(AND($AV905=1,$AJ905=1),$BA905*100000+ROW(),"")</f>
        <v/>
      </c>
      <c r="BH905" s="71" t="str">
        <f>IF(AND($AW905=1,$AJ905=1),$BA905*100000+ROW(),"")</f>
        <v/>
      </c>
      <c r="BI905" s="71" t="str">
        <f>IF(AND($AX905=1,$AJ905=1),$BA905*100000+ROW(),"")</f>
        <v/>
      </c>
      <c r="BJ905" s="71" t="str">
        <f>IF(AND($AS905=1,$AJ905=1),$BA905*100000+ROW(),"")</f>
        <v/>
      </c>
      <c r="BK905" s="71" t="str">
        <f>IF(AND($AY905=1,$AJ905=1),$BA905*100000+ROW(),"")</f>
        <v/>
      </c>
      <c r="BL905" s="71" t="str">
        <f>IF(AND($AZ905=1),$BA905*100000+ROW(),"")</f>
        <v/>
      </c>
    </row>
    <row r="906">
      <c r="A906" s="63" t="n"/>
      <c r="B906" s="64" t="n"/>
      <c r="C906" s="64" t="n"/>
      <c r="D906" s="64" t="n"/>
      <c r="E906" s="64" t="n"/>
      <c r="F906" s="64" t="n"/>
      <c r="G906" s="65" t="n"/>
      <c r="H906" s="65" t="n"/>
      <c r="I906" s="64" t="n"/>
      <c r="J906" s="64" t="n"/>
      <c r="K906" s="63" t="n"/>
      <c r="L906" s="63" t="n"/>
      <c r="M906" s="64" t="n"/>
      <c r="N906" s="66" t="n"/>
      <c r="O906" s="65" t="n"/>
      <c r="P906" s="64" t="n"/>
      <c r="Q906" s="67" t="n"/>
      <c r="R906" s="67" t="n"/>
      <c r="S906" s="68" t="str">
        <f>IF(AND(ISNUMBER($Q906),ISNUMBER($R906)),$Q906-$R906,"")</f>
        <v/>
      </c>
      <c r="T906" s="65" t="n"/>
      <c r="U906" s="64" t="n"/>
      <c r="V906" s="65" t="n"/>
      <c r="W906" s="63" t="n"/>
      <c r="X906" s="65" t="n"/>
      <c r="Y906" s="63" t="n"/>
      <c r="Z906" s="64" t="n"/>
      <c r="AA906" s="64" t="n"/>
      <c r="AB906" s="65" t="n"/>
      <c r="AC906" s="69" t="str">
        <f>IF(OR($G906="",NOT(ISNUMBER($K906)),$AK906=0),"",MAX(0,ReportDate-$K906))</f>
        <v/>
      </c>
      <c r="AD906" s="69" t="str">
        <f>IF($G906="","",IF($AL906=1,ReportDate-$L906,0))</f>
        <v/>
      </c>
      <c r="AE906" s="70" t="str">
        <f>IF($G906="","",IF($M906="Completed",1,IF(ISNUMBER($N906),$N906,0)))</f>
        <v/>
      </c>
      <c r="AF906" s="70" t="str">
        <f>IF(AND(ISNUMBER($Q906),ISNUMBER($R906)),IF($R906&lt;&gt;0,$Q906/$R906,""),"")</f>
        <v/>
      </c>
      <c r="AG906" s="71" t="str">
        <f>IF($G906="","",IF($AL906=1,"OVERDUE",IF($AM906=1,"BLOCKED",IF($AN906=1,"DUE TODAY",IF($AO906=1,"DUE TOMORROW",IF($AQ906=1,"HIGH PRIORITY",IF($AR906=1,"NO RECENT UPDATE",""))))))) </f>
        <v/>
      </c>
      <c r="AH906" s="71" t="str">
        <f>IF($G906="","",IF(ISNUMBER($A906),IF(ISNUMBER($A906),YEAR($A906)&amp;"-"&amp;TEXT(MONTH($A906),"00"),""),IF(ISNUMBER($L906),IF(ISNUMBER($L906),YEAR($L906)&amp;"-"&amp;TEXT(MONTH($L906),"00"),""),"")))</f>
        <v/>
      </c>
      <c r="AI906" s="71">
        <f>IF($G906="",0,IF(AND(OR(fClient="All",$C906=fClient),OR(fCampaign="All",$D906=fCampaign),OR(fTeam="All",$B906=fTeam),OR(fChannel="All",$F906=fChannel),OR(fMonth="All",$AH906=fMonth),OR(fTStatus="All",$M906=fTStatus)),1,0))</f>
        <v>0</v>
      </c>
      <c r="AJ906" s="71">
        <f>IF($G906="",0,IF(AND(OR(fClient="All",$C906=fClient),OR(fCampaign="All",$D906=fCampaign),OR(fTeam="All",$B906=fTeam),OR(fChannel="All",$F906=fChannel)),1,0))</f>
        <v>0</v>
      </c>
      <c r="AK906" s="71">
        <f>IF($G906="",0,IF(OR($M906="Completed",$M906="Cancelled"),0,1))</f>
        <v>0</v>
      </c>
      <c r="AL906" s="71">
        <f>IF(AND($AK906=1,ISNUMBER($L906)),IF($L906&lt;ReportDate,1,0),0)</f>
        <v>0</v>
      </c>
      <c r="AM906" s="71">
        <f>IF(AND($G906&lt;&gt;"",$M906="Blocked"),1,0)</f>
        <v>0</v>
      </c>
      <c r="AN906" s="71">
        <f>IF(AND($AK906=1,ISNUMBER($L906)),IF($L906=ReportDate,1,0),0)</f>
        <v>0</v>
      </c>
      <c r="AO906" s="71">
        <f>IF(AND($AK906=1,ISNUMBER($L906)),IF($L906=ReportDate+1,1,0),0)</f>
        <v>0</v>
      </c>
      <c r="AP906" s="71">
        <f>IF(AND($AK906=1,ISNUMBER($L906)),IF(AND($L906&gt;=ReportDate,$L906&lt;=ReportDate+DueSoonDays),1,0),0)</f>
        <v>0</v>
      </c>
      <c r="AQ906" s="71">
        <f>IF(AND($AK906=1,OR($I906="Critical",$I906="High")),1,0)</f>
        <v>0</v>
      </c>
      <c r="AR906" s="71">
        <f>IF($AK906=1,IF(ISNUMBER($Y906),IF(ReportDate-$Y906&gt;StaleDays,1,0),1),0)</f>
        <v>0</v>
      </c>
      <c r="AS906" s="71">
        <f>IF(AND($G906&lt;&gt;"",ISNUMBER($Q906),ISNUMBER($R906)),IF(AND($Q906&lt;$R906,OR($M906="Completed",AND(ISNUMBER($L906),$L906&lt;ReportDate))),1,0),0)</f>
        <v>0</v>
      </c>
      <c r="AT906" s="71">
        <f>IF($AK906=1,IF(OR($L906=ReportDate,$W906=ReportDate,$K906=ReportDate,$A906=ReportDate),1,0),0)</f>
        <v>0</v>
      </c>
      <c r="AU906" s="71">
        <f>IF($AK906=1,IF(OR($L906=ReportDate+1,$W906=ReportDate+1,$K906=ReportDate+1,$A906=ReportDate+1),1,0),0)</f>
        <v>0</v>
      </c>
      <c r="AV906" s="71">
        <f>IF(AND($G906&lt;&gt;"",$M906="Completed"),IF(OR($Y906=ReportDate-1,$A906=ReportDate-1),1,0),0)</f>
        <v>0</v>
      </c>
      <c r="AW906" s="71">
        <f>IF(AND($AK906=1,$Z906="Yes"),1,0)</f>
        <v>0</v>
      </c>
      <c r="AX906" s="71">
        <f>IF(AND($AK906=1,$AA906="Yes"),1,0)</f>
        <v>0</v>
      </c>
      <c r="AY906" s="71">
        <f>IF(AND($AM906=1,OR($I906="Critical",$I906="High")),1,0)</f>
        <v>0</v>
      </c>
      <c r="AZ906" s="71">
        <f>IF(AND($AK906=1,OR($C906=TCL_Client,$C906=MECCA_Client)),1,0)</f>
        <v>0</v>
      </c>
      <c r="BA906" s="71" t="str">
        <f>IF($G906="","",IFERROR(MATCH($I906,lst_Priority,0),5))</f>
        <v/>
      </c>
      <c r="BB906" s="71" t="str">
        <f>IF(AND($AL906=1,$AJ906=1),$BA906*100000+ROW(),"")</f>
        <v/>
      </c>
      <c r="BC906" s="71" t="str">
        <f>IF(AND($AM906=1,$AJ906=1),$BA906*100000+ROW(),"")</f>
        <v/>
      </c>
      <c r="BD906" s="71" t="str">
        <f>IF(AND($AP906=1,$AJ906=1),$BA906*100000+ROW(),"")</f>
        <v/>
      </c>
      <c r="BE906" s="71" t="str">
        <f>IF(AND($AT906=1,$AJ906=1),$BA906*100000+ROW(),"")</f>
        <v/>
      </c>
      <c r="BF906" s="71" t="str">
        <f>IF(AND($AU906=1,$AJ906=1),$BA906*100000+ROW(),"")</f>
        <v/>
      </c>
      <c r="BG906" s="71" t="str">
        <f>IF(AND($AV906=1,$AJ906=1),$BA906*100000+ROW(),"")</f>
        <v/>
      </c>
      <c r="BH906" s="71" t="str">
        <f>IF(AND($AW906=1,$AJ906=1),$BA906*100000+ROW(),"")</f>
        <v/>
      </c>
      <c r="BI906" s="71" t="str">
        <f>IF(AND($AX906=1,$AJ906=1),$BA906*100000+ROW(),"")</f>
        <v/>
      </c>
      <c r="BJ906" s="71" t="str">
        <f>IF(AND($AS906=1,$AJ906=1),$BA906*100000+ROW(),"")</f>
        <v/>
      </c>
      <c r="BK906" s="71" t="str">
        <f>IF(AND($AY906=1,$AJ906=1),$BA906*100000+ROW(),"")</f>
        <v/>
      </c>
      <c r="BL906" s="71" t="str">
        <f>IF(AND($AZ906=1),$BA906*100000+ROW(),"")</f>
        <v/>
      </c>
    </row>
    <row r="907">
      <c r="A907" s="63" t="n"/>
      <c r="B907" s="64" t="n"/>
      <c r="C907" s="64" t="n"/>
      <c r="D907" s="64" t="n"/>
      <c r="E907" s="64" t="n"/>
      <c r="F907" s="64" t="n"/>
      <c r="G907" s="65" t="n"/>
      <c r="H907" s="65" t="n"/>
      <c r="I907" s="64" t="n"/>
      <c r="J907" s="64" t="n"/>
      <c r="K907" s="63" t="n"/>
      <c r="L907" s="63" t="n"/>
      <c r="M907" s="64" t="n"/>
      <c r="N907" s="66" t="n"/>
      <c r="O907" s="65" t="n"/>
      <c r="P907" s="64" t="n"/>
      <c r="Q907" s="67" t="n"/>
      <c r="R907" s="67" t="n"/>
      <c r="S907" s="68" t="str">
        <f>IF(AND(ISNUMBER($Q907),ISNUMBER($R907)),$Q907-$R907,"")</f>
        <v/>
      </c>
      <c r="T907" s="65" t="n"/>
      <c r="U907" s="64" t="n"/>
      <c r="V907" s="65" t="n"/>
      <c r="W907" s="63" t="n"/>
      <c r="X907" s="65" t="n"/>
      <c r="Y907" s="63" t="n"/>
      <c r="Z907" s="64" t="n"/>
      <c r="AA907" s="64" t="n"/>
      <c r="AB907" s="65" t="n"/>
      <c r="AC907" s="69" t="str">
        <f>IF(OR($G907="",NOT(ISNUMBER($K907)),$AK907=0),"",MAX(0,ReportDate-$K907))</f>
        <v/>
      </c>
      <c r="AD907" s="69" t="str">
        <f>IF($G907="","",IF($AL907=1,ReportDate-$L907,0))</f>
        <v/>
      </c>
      <c r="AE907" s="70" t="str">
        <f>IF($G907="","",IF($M907="Completed",1,IF(ISNUMBER($N907),$N907,0)))</f>
        <v/>
      </c>
      <c r="AF907" s="70" t="str">
        <f>IF(AND(ISNUMBER($Q907),ISNUMBER($R907)),IF($R907&lt;&gt;0,$Q907/$R907,""),"")</f>
        <v/>
      </c>
      <c r="AG907" s="71" t="str">
        <f>IF($G907="","",IF($AL907=1,"OVERDUE",IF($AM907=1,"BLOCKED",IF($AN907=1,"DUE TODAY",IF($AO907=1,"DUE TOMORROW",IF($AQ907=1,"HIGH PRIORITY",IF($AR907=1,"NO RECENT UPDATE",""))))))) </f>
        <v/>
      </c>
      <c r="AH907" s="71" t="str">
        <f>IF($G907="","",IF(ISNUMBER($A907),IF(ISNUMBER($A907),YEAR($A907)&amp;"-"&amp;TEXT(MONTH($A907),"00"),""),IF(ISNUMBER($L907),IF(ISNUMBER($L907),YEAR($L907)&amp;"-"&amp;TEXT(MONTH($L907),"00"),""),"")))</f>
        <v/>
      </c>
      <c r="AI907" s="71">
        <f>IF($G907="",0,IF(AND(OR(fClient="All",$C907=fClient),OR(fCampaign="All",$D907=fCampaign),OR(fTeam="All",$B907=fTeam),OR(fChannel="All",$F907=fChannel),OR(fMonth="All",$AH907=fMonth),OR(fTStatus="All",$M907=fTStatus)),1,0))</f>
        <v>0</v>
      </c>
      <c r="AJ907" s="71">
        <f>IF($G907="",0,IF(AND(OR(fClient="All",$C907=fClient),OR(fCampaign="All",$D907=fCampaign),OR(fTeam="All",$B907=fTeam),OR(fChannel="All",$F907=fChannel)),1,0))</f>
        <v>0</v>
      </c>
      <c r="AK907" s="71">
        <f>IF($G907="",0,IF(OR($M907="Completed",$M907="Cancelled"),0,1))</f>
        <v>0</v>
      </c>
      <c r="AL907" s="71">
        <f>IF(AND($AK907=1,ISNUMBER($L907)),IF($L907&lt;ReportDate,1,0),0)</f>
        <v>0</v>
      </c>
      <c r="AM907" s="71">
        <f>IF(AND($G907&lt;&gt;"",$M907="Blocked"),1,0)</f>
        <v>0</v>
      </c>
      <c r="AN907" s="71">
        <f>IF(AND($AK907=1,ISNUMBER($L907)),IF($L907=ReportDate,1,0),0)</f>
        <v>0</v>
      </c>
      <c r="AO907" s="71">
        <f>IF(AND($AK907=1,ISNUMBER($L907)),IF($L907=ReportDate+1,1,0),0)</f>
        <v>0</v>
      </c>
      <c r="AP907" s="71">
        <f>IF(AND($AK907=1,ISNUMBER($L907)),IF(AND($L907&gt;=ReportDate,$L907&lt;=ReportDate+DueSoonDays),1,0),0)</f>
        <v>0</v>
      </c>
      <c r="AQ907" s="71">
        <f>IF(AND($AK907=1,OR($I907="Critical",$I907="High")),1,0)</f>
        <v>0</v>
      </c>
      <c r="AR907" s="71">
        <f>IF($AK907=1,IF(ISNUMBER($Y907),IF(ReportDate-$Y907&gt;StaleDays,1,0),1),0)</f>
        <v>0</v>
      </c>
      <c r="AS907" s="71">
        <f>IF(AND($G907&lt;&gt;"",ISNUMBER($Q907),ISNUMBER($R907)),IF(AND($Q907&lt;$R907,OR($M907="Completed",AND(ISNUMBER($L907),$L907&lt;ReportDate))),1,0),0)</f>
        <v>0</v>
      </c>
      <c r="AT907" s="71">
        <f>IF($AK907=1,IF(OR($L907=ReportDate,$W907=ReportDate,$K907=ReportDate,$A907=ReportDate),1,0),0)</f>
        <v>0</v>
      </c>
      <c r="AU907" s="71">
        <f>IF($AK907=1,IF(OR($L907=ReportDate+1,$W907=ReportDate+1,$K907=ReportDate+1,$A907=ReportDate+1),1,0),0)</f>
        <v>0</v>
      </c>
      <c r="AV907" s="71">
        <f>IF(AND($G907&lt;&gt;"",$M907="Completed"),IF(OR($Y907=ReportDate-1,$A907=ReportDate-1),1,0),0)</f>
        <v>0</v>
      </c>
      <c r="AW907" s="71">
        <f>IF(AND($AK907=1,$Z907="Yes"),1,0)</f>
        <v>0</v>
      </c>
      <c r="AX907" s="71">
        <f>IF(AND($AK907=1,$AA907="Yes"),1,0)</f>
        <v>0</v>
      </c>
      <c r="AY907" s="71">
        <f>IF(AND($AM907=1,OR($I907="Critical",$I907="High")),1,0)</f>
        <v>0</v>
      </c>
      <c r="AZ907" s="71">
        <f>IF(AND($AK907=1,OR($C907=TCL_Client,$C907=MECCA_Client)),1,0)</f>
        <v>0</v>
      </c>
      <c r="BA907" s="71" t="str">
        <f>IF($G907="","",IFERROR(MATCH($I907,lst_Priority,0),5))</f>
        <v/>
      </c>
      <c r="BB907" s="71" t="str">
        <f>IF(AND($AL907=1,$AJ907=1),$BA907*100000+ROW(),"")</f>
        <v/>
      </c>
      <c r="BC907" s="71" t="str">
        <f>IF(AND($AM907=1,$AJ907=1),$BA907*100000+ROW(),"")</f>
        <v/>
      </c>
      <c r="BD907" s="71" t="str">
        <f>IF(AND($AP907=1,$AJ907=1),$BA907*100000+ROW(),"")</f>
        <v/>
      </c>
      <c r="BE907" s="71" t="str">
        <f>IF(AND($AT907=1,$AJ907=1),$BA907*100000+ROW(),"")</f>
        <v/>
      </c>
      <c r="BF907" s="71" t="str">
        <f>IF(AND($AU907=1,$AJ907=1),$BA907*100000+ROW(),"")</f>
        <v/>
      </c>
      <c r="BG907" s="71" t="str">
        <f>IF(AND($AV907=1,$AJ907=1),$BA907*100000+ROW(),"")</f>
        <v/>
      </c>
      <c r="BH907" s="71" t="str">
        <f>IF(AND($AW907=1,$AJ907=1),$BA907*100000+ROW(),"")</f>
        <v/>
      </c>
      <c r="BI907" s="71" t="str">
        <f>IF(AND($AX907=1,$AJ907=1),$BA907*100000+ROW(),"")</f>
        <v/>
      </c>
      <c r="BJ907" s="71" t="str">
        <f>IF(AND($AS907=1,$AJ907=1),$BA907*100000+ROW(),"")</f>
        <v/>
      </c>
      <c r="BK907" s="71" t="str">
        <f>IF(AND($AY907=1,$AJ907=1),$BA907*100000+ROW(),"")</f>
        <v/>
      </c>
      <c r="BL907" s="71" t="str">
        <f>IF(AND($AZ907=1),$BA907*100000+ROW(),"")</f>
        <v/>
      </c>
    </row>
    <row r="908">
      <c r="A908" s="63" t="n"/>
      <c r="B908" s="64" t="n"/>
      <c r="C908" s="64" t="n"/>
      <c r="D908" s="64" t="n"/>
      <c r="E908" s="64" t="n"/>
      <c r="F908" s="64" t="n"/>
      <c r="G908" s="65" t="n"/>
      <c r="H908" s="65" t="n"/>
      <c r="I908" s="64" t="n"/>
      <c r="J908" s="64" t="n"/>
      <c r="K908" s="63" t="n"/>
      <c r="L908" s="63" t="n"/>
      <c r="M908" s="64" t="n"/>
      <c r="N908" s="66" t="n"/>
      <c r="O908" s="65" t="n"/>
      <c r="P908" s="64" t="n"/>
      <c r="Q908" s="67" t="n"/>
      <c r="R908" s="67" t="n"/>
      <c r="S908" s="68" t="str">
        <f>IF(AND(ISNUMBER($Q908),ISNUMBER($R908)),$Q908-$R908,"")</f>
        <v/>
      </c>
      <c r="T908" s="65" t="n"/>
      <c r="U908" s="64" t="n"/>
      <c r="V908" s="65" t="n"/>
      <c r="W908" s="63" t="n"/>
      <c r="X908" s="65" t="n"/>
      <c r="Y908" s="63" t="n"/>
      <c r="Z908" s="64" t="n"/>
      <c r="AA908" s="64" t="n"/>
      <c r="AB908" s="65" t="n"/>
      <c r="AC908" s="69" t="str">
        <f>IF(OR($G908="",NOT(ISNUMBER($K908)),$AK908=0),"",MAX(0,ReportDate-$K908))</f>
        <v/>
      </c>
      <c r="AD908" s="69" t="str">
        <f>IF($G908="","",IF($AL908=1,ReportDate-$L908,0))</f>
        <v/>
      </c>
      <c r="AE908" s="70" t="str">
        <f>IF($G908="","",IF($M908="Completed",1,IF(ISNUMBER($N908),$N908,0)))</f>
        <v/>
      </c>
      <c r="AF908" s="70" t="str">
        <f>IF(AND(ISNUMBER($Q908),ISNUMBER($R908)),IF($R908&lt;&gt;0,$Q908/$R908,""),"")</f>
        <v/>
      </c>
      <c r="AG908" s="71" t="str">
        <f>IF($G908="","",IF($AL908=1,"OVERDUE",IF($AM908=1,"BLOCKED",IF($AN908=1,"DUE TODAY",IF($AO908=1,"DUE TOMORROW",IF($AQ908=1,"HIGH PRIORITY",IF($AR908=1,"NO RECENT UPDATE",""))))))) </f>
        <v/>
      </c>
      <c r="AH908" s="71" t="str">
        <f>IF($G908="","",IF(ISNUMBER($A908),IF(ISNUMBER($A908),YEAR($A908)&amp;"-"&amp;TEXT(MONTH($A908),"00"),""),IF(ISNUMBER($L908),IF(ISNUMBER($L908),YEAR($L908)&amp;"-"&amp;TEXT(MONTH($L908),"00"),""),"")))</f>
        <v/>
      </c>
      <c r="AI908" s="71">
        <f>IF($G908="",0,IF(AND(OR(fClient="All",$C908=fClient),OR(fCampaign="All",$D908=fCampaign),OR(fTeam="All",$B908=fTeam),OR(fChannel="All",$F908=fChannel),OR(fMonth="All",$AH908=fMonth),OR(fTStatus="All",$M908=fTStatus)),1,0))</f>
        <v>0</v>
      </c>
      <c r="AJ908" s="71">
        <f>IF($G908="",0,IF(AND(OR(fClient="All",$C908=fClient),OR(fCampaign="All",$D908=fCampaign),OR(fTeam="All",$B908=fTeam),OR(fChannel="All",$F908=fChannel)),1,0))</f>
        <v>0</v>
      </c>
      <c r="AK908" s="71">
        <f>IF($G908="",0,IF(OR($M908="Completed",$M908="Cancelled"),0,1))</f>
        <v>0</v>
      </c>
      <c r="AL908" s="71">
        <f>IF(AND($AK908=1,ISNUMBER($L908)),IF($L908&lt;ReportDate,1,0),0)</f>
        <v>0</v>
      </c>
      <c r="AM908" s="71">
        <f>IF(AND($G908&lt;&gt;"",$M908="Blocked"),1,0)</f>
        <v>0</v>
      </c>
      <c r="AN908" s="71">
        <f>IF(AND($AK908=1,ISNUMBER($L908)),IF($L908=ReportDate,1,0),0)</f>
        <v>0</v>
      </c>
      <c r="AO908" s="71">
        <f>IF(AND($AK908=1,ISNUMBER($L908)),IF($L908=ReportDate+1,1,0),0)</f>
        <v>0</v>
      </c>
      <c r="AP908" s="71">
        <f>IF(AND($AK908=1,ISNUMBER($L908)),IF(AND($L908&gt;=ReportDate,$L908&lt;=ReportDate+DueSoonDays),1,0),0)</f>
        <v>0</v>
      </c>
      <c r="AQ908" s="71">
        <f>IF(AND($AK908=1,OR($I908="Critical",$I908="High")),1,0)</f>
        <v>0</v>
      </c>
      <c r="AR908" s="71">
        <f>IF($AK908=1,IF(ISNUMBER($Y908),IF(ReportDate-$Y908&gt;StaleDays,1,0),1),0)</f>
        <v>0</v>
      </c>
      <c r="AS908" s="71">
        <f>IF(AND($G908&lt;&gt;"",ISNUMBER($Q908),ISNUMBER($R908)),IF(AND($Q908&lt;$R908,OR($M908="Completed",AND(ISNUMBER($L908),$L908&lt;ReportDate))),1,0),0)</f>
        <v>0</v>
      </c>
      <c r="AT908" s="71">
        <f>IF($AK908=1,IF(OR($L908=ReportDate,$W908=ReportDate,$K908=ReportDate,$A908=ReportDate),1,0),0)</f>
        <v>0</v>
      </c>
      <c r="AU908" s="71">
        <f>IF($AK908=1,IF(OR($L908=ReportDate+1,$W908=ReportDate+1,$K908=ReportDate+1,$A908=ReportDate+1),1,0),0)</f>
        <v>0</v>
      </c>
      <c r="AV908" s="71">
        <f>IF(AND($G908&lt;&gt;"",$M908="Completed"),IF(OR($Y908=ReportDate-1,$A908=ReportDate-1),1,0),0)</f>
        <v>0</v>
      </c>
      <c r="AW908" s="71">
        <f>IF(AND($AK908=1,$Z908="Yes"),1,0)</f>
        <v>0</v>
      </c>
      <c r="AX908" s="71">
        <f>IF(AND($AK908=1,$AA908="Yes"),1,0)</f>
        <v>0</v>
      </c>
      <c r="AY908" s="71">
        <f>IF(AND($AM908=1,OR($I908="Critical",$I908="High")),1,0)</f>
        <v>0</v>
      </c>
      <c r="AZ908" s="71">
        <f>IF(AND($AK908=1,OR($C908=TCL_Client,$C908=MECCA_Client)),1,0)</f>
        <v>0</v>
      </c>
      <c r="BA908" s="71" t="str">
        <f>IF($G908="","",IFERROR(MATCH($I908,lst_Priority,0),5))</f>
        <v/>
      </c>
      <c r="BB908" s="71" t="str">
        <f>IF(AND($AL908=1,$AJ908=1),$BA908*100000+ROW(),"")</f>
        <v/>
      </c>
      <c r="BC908" s="71" t="str">
        <f>IF(AND($AM908=1,$AJ908=1),$BA908*100000+ROW(),"")</f>
        <v/>
      </c>
      <c r="BD908" s="71" t="str">
        <f>IF(AND($AP908=1,$AJ908=1),$BA908*100000+ROW(),"")</f>
        <v/>
      </c>
      <c r="BE908" s="71" t="str">
        <f>IF(AND($AT908=1,$AJ908=1),$BA908*100000+ROW(),"")</f>
        <v/>
      </c>
      <c r="BF908" s="71" t="str">
        <f>IF(AND($AU908=1,$AJ908=1),$BA908*100000+ROW(),"")</f>
        <v/>
      </c>
      <c r="BG908" s="71" t="str">
        <f>IF(AND($AV908=1,$AJ908=1),$BA908*100000+ROW(),"")</f>
        <v/>
      </c>
      <c r="BH908" s="71" t="str">
        <f>IF(AND($AW908=1,$AJ908=1),$BA908*100000+ROW(),"")</f>
        <v/>
      </c>
      <c r="BI908" s="71" t="str">
        <f>IF(AND($AX908=1,$AJ908=1),$BA908*100000+ROW(),"")</f>
        <v/>
      </c>
      <c r="BJ908" s="71" t="str">
        <f>IF(AND($AS908=1,$AJ908=1),$BA908*100000+ROW(),"")</f>
        <v/>
      </c>
      <c r="BK908" s="71" t="str">
        <f>IF(AND($AY908=1,$AJ908=1),$BA908*100000+ROW(),"")</f>
        <v/>
      </c>
      <c r="BL908" s="71" t="str">
        <f>IF(AND($AZ908=1),$BA908*100000+ROW(),"")</f>
        <v/>
      </c>
    </row>
    <row r="909">
      <c r="A909" s="63" t="n"/>
      <c r="B909" s="64" t="n"/>
      <c r="C909" s="64" t="n"/>
      <c r="D909" s="64" t="n"/>
      <c r="E909" s="64" t="n"/>
      <c r="F909" s="64" t="n"/>
      <c r="G909" s="65" t="n"/>
      <c r="H909" s="65" t="n"/>
      <c r="I909" s="64" t="n"/>
      <c r="J909" s="64" t="n"/>
      <c r="K909" s="63" t="n"/>
      <c r="L909" s="63" t="n"/>
      <c r="M909" s="64" t="n"/>
      <c r="N909" s="66" t="n"/>
      <c r="O909" s="65" t="n"/>
      <c r="P909" s="64" t="n"/>
      <c r="Q909" s="67" t="n"/>
      <c r="R909" s="67" t="n"/>
      <c r="S909" s="68" t="str">
        <f>IF(AND(ISNUMBER($Q909),ISNUMBER($R909)),$Q909-$R909,"")</f>
        <v/>
      </c>
      <c r="T909" s="65" t="n"/>
      <c r="U909" s="64" t="n"/>
      <c r="V909" s="65" t="n"/>
      <c r="W909" s="63" t="n"/>
      <c r="X909" s="65" t="n"/>
      <c r="Y909" s="63" t="n"/>
      <c r="Z909" s="64" t="n"/>
      <c r="AA909" s="64" t="n"/>
      <c r="AB909" s="65" t="n"/>
      <c r="AC909" s="69" t="str">
        <f>IF(OR($G909="",NOT(ISNUMBER($K909)),$AK909=0),"",MAX(0,ReportDate-$K909))</f>
        <v/>
      </c>
      <c r="AD909" s="69" t="str">
        <f>IF($G909="","",IF($AL909=1,ReportDate-$L909,0))</f>
        <v/>
      </c>
      <c r="AE909" s="70" t="str">
        <f>IF($G909="","",IF($M909="Completed",1,IF(ISNUMBER($N909),$N909,0)))</f>
        <v/>
      </c>
      <c r="AF909" s="70" t="str">
        <f>IF(AND(ISNUMBER($Q909),ISNUMBER($R909)),IF($R909&lt;&gt;0,$Q909/$R909,""),"")</f>
        <v/>
      </c>
      <c r="AG909" s="71" t="str">
        <f>IF($G909="","",IF($AL909=1,"OVERDUE",IF($AM909=1,"BLOCKED",IF($AN909=1,"DUE TODAY",IF($AO909=1,"DUE TOMORROW",IF($AQ909=1,"HIGH PRIORITY",IF($AR909=1,"NO RECENT UPDATE",""))))))) </f>
        <v/>
      </c>
      <c r="AH909" s="71" t="str">
        <f>IF($G909="","",IF(ISNUMBER($A909),IF(ISNUMBER($A909),YEAR($A909)&amp;"-"&amp;TEXT(MONTH($A909),"00"),""),IF(ISNUMBER($L909),IF(ISNUMBER($L909),YEAR($L909)&amp;"-"&amp;TEXT(MONTH($L909),"00"),""),"")))</f>
        <v/>
      </c>
      <c r="AI909" s="71">
        <f>IF($G909="",0,IF(AND(OR(fClient="All",$C909=fClient),OR(fCampaign="All",$D909=fCampaign),OR(fTeam="All",$B909=fTeam),OR(fChannel="All",$F909=fChannel),OR(fMonth="All",$AH909=fMonth),OR(fTStatus="All",$M909=fTStatus)),1,0))</f>
        <v>0</v>
      </c>
      <c r="AJ909" s="71">
        <f>IF($G909="",0,IF(AND(OR(fClient="All",$C909=fClient),OR(fCampaign="All",$D909=fCampaign),OR(fTeam="All",$B909=fTeam),OR(fChannel="All",$F909=fChannel)),1,0))</f>
        <v>0</v>
      </c>
      <c r="AK909" s="71">
        <f>IF($G909="",0,IF(OR($M909="Completed",$M909="Cancelled"),0,1))</f>
        <v>0</v>
      </c>
      <c r="AL909" s="71">
        <f>IF(AND($AK909=1,ISNUMBER($L909)),IF($L909&lt;ReportDate,1,0),0)</f>
        <v>0</v>
      </c>
      <c r="AM909" s="71">
        <f>IF(AND($G909&lt;&gt;"",$M909="Blocked"),1,0)</f>
        <v>0</v>
      </c>
      <c r="AN909" s="71">
        <f>IF(AND($AK909=1,ISNUMBER($L909)),IF($L909=ReportDate,1,0),0)</f>
        <v>0</v>
      </c>
      <c r="AO909" s="71">
        <f>IF(AND($AK909=1,ISNUMBER($L909)),IF($L909=ReportDate+1,1,0),0)</f>
        <v>0</v>
      </c>
      <c r="AP909" s="71">
        <f>IF(AND($AK909=1,ISNUMBER($L909)),IF(AND($L909&gt;=ReportDate,$L909&lt;=ReportDate+DueSoonDays),1,0),0)</f>
        <v>0</v>
      </c>
      <c r="AQ909" s="71">
        <f>IF(AND($AK909=1,OR($I909="Critical",$I909="High")),1,0)</f>
        <v>0</v>
      </c>
      <c r="AR909" s="71">
        <f>IF($AK909=1,IF(ISNUMBER($Y909),IF(ReportDate-$Y909&gt;StaleDays,1,0),1),0)</f>
        <v>0</v>
      </c>
      <c r="AS909" s="71">
        <f>IF(AND($G909&lt;&gt;"",ISNUMBER($Q909),ISNUMBER($R909)),IF(AND($Q909&lt;$R909,OR($M909="Completed",AND(ISNUMBER($L909),$L909&lt;ReportDate))),1,0),0)</f>
        <v>0</v>
      </c>
      <c r="AT909" s="71">
        <f>IF($AK909=1,IF(OR($L909=ReportDate,$W909=ReportDate,$K909=ReportDate,$A909=ReportDate),1,0),0)</f>
        <v>0</v>
      </c>
      <c r="AU909" s="71">
        <f>IF($AK909=1,IF(OR($L909=ReportDate+1,$W909=ReportDate+1,$K909=ReportDate+1,$A909=ReportDate+1),1,0),0)</f>
        <v>0</v>
      </c>
      <c r="AV909" s="71">
        <f>IF(AND($G909&lt;&gt;"",$M909="Completed"),IF(OR($Y909=ReportDate-1,$A909=ReportDate-1),1,0),0)</f>
        <v>0</v>
      </c>
      <c r="AW909" s="71">
        <f>IF(AND($AK909=1,$Z909="Yes"),1,0)</f>
        <v>0</v>
      </c>
      <c r="AX909" s="71">
        <f>IF(AND($AK909=1,$AA909="Yes"),1,0)</f>
        <v>0</v>
      </c>
      <c r="AY909" s="71">
        <f>IF(AND($AM909=1,OR($I909="Critical",$I909="High")),1,0)</f>
        <v>0</v>
      </c>
      <c r="AZ909" s="71">
        <f>IF(AND($AK909=1,OR($C909=TCL_Client,$C909=MECCA_Client)),1,0)</f>
        <v>0</v>
      </c>
      <c r="BA909" s="71" t="str">
        <f>IF($G909="","",IFERROR(MATCH($I909,lst_Priority,0),5))</f>
        <v/>
      </c>
      <c r="BB909" s="71" t="str">
        <f>IF(AND($AL909=1,$AJ909=1),$BA909*100000+ROW(),"")</f>
        <v/>
      </c>
      <c r="BC909" s="71" t="str">
        <f>IF(AND($AM909=1,$AJ909=1),$BA909*100000+ROW(),"")</f>
        <v/>
      </c>
      <c r="BD909" s="71" t="str">
        <f>IF(AND($AP909=1,$AJ909=1),$BA909*100000+ROW(),"")</f>
        <v/>
      </c>
      <c r="BE909" s="71" t="str">
        <f>IF(AND($AT909=1,$AJ909=1),$BA909*100000+ROW(),"")</f>
        <v/>
      </c>
      <c r="BF909" s="71" t="str">
        <f>IF(AND($AU909=1,$AJ909=1),$BA909*100000+ROW(),"")</f>
        <v/>
      </c>
      <c r="BG909" s="71" t="str">
        <f>IF(AND($AV909=1,$AJ909=1),$BA909*100000+ROW(),"")</f>
        <v/>
      </c>
      <c r="BH909" s="71" t="str">
        <f>IF(AND($AW909=1,$AJ909=1),$BA909*100000+ROW(),"")</f>
        <v/>
      </c>
      <c r="BI909" s="71" t="str">
        <f>IF(AND($AX909=1,$AJ909=1),$BA909*100000+ROW(),"")</f>
        <v/>
      </c>
      <c r="BJ909" s="71" t="str">
        <f>IF(AND($AS909=1,$AJ909=1),$BA909*100000+ROW(),"")</f>
        <v/>
      </c>
      <c r="BK909" s="71" t="str">
        <f>IF(AND($AY909=1,$AJ909=1),$BA909*100000+ROW(),"")</f>
        <v/>
      </c>
      <c r="BL909" s="71" t="str">
        <f>IF(AND($AZ909=1),$BA909*100000+ROW(),"")</f>
        <v/>
      </c>
    </row>
    <row r="910">
      <c r="A910" s="63" t="n"/>
      <c r="B910" s="64" t="n"/>
      <c r="C910" s="64" t="n"/>
      <c r="D910" s="64" t="n"/>
      <c r="E910" s="64" t="n"/>
      <c r="F910" s="64" t="n"/>
      <c r="G910" s="65" t="n"/>
      <c r="H910" s="65" t="n"/>
      <c r="I910" s="64" t="n"/>
      <c r="J910" s="64" t="n"/>
      <c r="K910" s="63" t="n"/>
      <c r="L910" s="63" t="n"/>
      <c r="M910" s="64" t="n"/>
      <c r="N910" s="66" t="n"/>
      <c r="O910" s="65" t="n"/>
      <c r="P910" s="64" t="n"/>
      <c r="Q910" s="67" t="n"/>
      <c r="R910" s="67" t="n"/>
      <c r="S910" s="68" t="str">
        <f>IF(AND(ISNUMBER($Q910),ISNUMBER($R910)),$Q910-$R910,"")</f>
        <v/>
      </c>
      <c r="T910" s="65" t="n"/>
      <c r="U910" s="64" t="n"/>
      <c r="V910" s="65" t="n"/>
      <c r="W910" s="63" t="n"/>
      <c r="X910" s="65" t="n"/>
      <c r="Y910" s="63" t="n"/>
      <c r="Z910" s="64" t="n"/>
      <c r="AA910" s="64" t="n"/>
      <c r="AB910" s="65" t="n"/>
      <c r="AC910" s="69" t="str">
        <f>IF(OR($G910="",NOT(ISNUMBER($K910)),$AK910=0),"",MAX(0,ReportDate-$K910))</f>
        <v/>
      </c>
      <c r="AD910" s="69" t="str">
        <f>IF($G910="","",IF($AL910=1,ReportDate-$L910,0))</f>
        <v/>
      </c>
      <c r="AE910" s="70" t="str">
        <f>IF($G910="","",IF($M910="Completed",1,IF(ISNUMBER($N910),$N910,0)))</f>
        <v/>
      </c>
      <c r="AF910" s="70" t="str">
        <f>IF(AND(ISNUMBER($Q910),ISNUMBER($R910)),IF($R910&lt;&gt;0,$Q910/$R910,""),"")</f>
        <v/>
      </c>
      <c r="AG910" s="71" t="str">
        <f>IF($G910="","",IF($AL910=1,"OVERDUE",IF($AM910=1,"BLOCKED",IF($AN910=1,"DUE TODAY",IF($AO910=1,"DUE TOMORROW",IF($AQ910=1,"HIGH PRIORITY",IF($AR910=1,"NO RECENT UPDATE",""))))))) </f>
        <v/>
      </c>
      <c r="AH910" s="71" t="str">
        <f>IF($G910="","",IF(ISNUMBER($A910),IF(ISNUMBER($A910),YEAR($A910)&amp;"-"&amp;TEXT(MONTH($A910),"00"),""),IF(ISNUMBER($L910),IF(ISNUMBER($L910),YEAR($L910)&amp;"-"&amp;TEXT(MONTH($L910),"00"),""),"")))</f>
        <v/>
      </c>
      <c r="AI910" s="71">
        <f>IF($G910="",0,IF(AND(OR(fClient="All",$C910=fClient),OR(fCampaign="All",$D910=fCampaign),OR(fTeam="All",$B910=fTeam),OR(fChannel="All",$F910=fChannel),OR(fMonth="All",$AH910=fMonth),OR(fTStatus="All",$M910=fTStatus)),1,0))</f>
        <v>0</v>
      </c>
      <c r="AJ910" s="71">
        <f>IF($G910="",0,IF(AND(OR(fClient="All",$C910=fClient),OR(fCampaign="All",$D910=fCampaign),OR(fTeam="All",$B910=fTeam),OR(fChannel="All",$F910=fChannel)),1,0))</f>
        <v>0</v>
      </c>
      <c r="AK910" s="71">
        <f>IF($G910="",0,IF(OR($M910="Completed",$M910="Cancelled"),0,1))</f>
        <v>0</v>
      </c>
      <c r="AL910" s="71">
        <f>IF(AND($AK910=1,ISNUMBER($L910)),IF($L910&lt;ReportDate,1,0),0)</f>
        <v>0</v>
      </c>
      <c r="AM910" s="71">
        <f>IF(AND($G910&lt;&gt;"",$M910="Blocked"),1,0)</f>
        <v>0</v>
      </c>
      <c r="AN910" s="71">
        <f>IF(AND($AK910=1,ISNUMBER($L910)),IF($L910=ReportDate,1,0),0)</f>
        <v>0</v>
      </c>
      <c r="AO910" s="71">
        <f>IF(AND($AK910=1,ISNUMBER($L910)),IF($L910=ReportDate+1,1,0),0)</f>
        <v>0</v>
      </c>
      <c r="AP910" s="71">
        <f>IF(AND($AK910=1,ISNUMBER($L910)),IF(AND($L910&gt;=ReportDate,$L910&lt;=ReportDate+DueSoonDays),1,0),0)</f>
        <v>0</v>
      </c>
      <c r="AQ910" s="71">
        <f>IF(AND($AK910=1,OR($I910="Critical",$I910="High")),1,0)</f>
        <v>0</v>
      </c>
      <c r="AR910" s="71">
        <f>IF($AK910=1,IF(ISNUMBER($Y910),IF(ReportDate-$Y910&gt;StaleDays,1,0),1),0)</f>
        <v>0</v>
      </c>
      <c r="AS910" s="71">
        <f>IF(AND($G910&lt;&gt;"",ISNUMBER($Q910),ISNUMBER($R910)),IF(AND($Q910&lt;$R910,OR($M910="Completed",AND(ISNUMBER($L910),$L910&lt;ReportDate))),1,0),0)</f>
        <v>0</v>
      </c>
      <c r="AT910" s="71">
        <f>IF($AK910=1,IF(OR($L910=ReportDate,$W910=ReportDate,$K910=ReportDate,$A910=ReportDate),1,0),0)</f>
        <v>0</v>
      </c>
      <c r="AU910" s="71">
        <f>IF($AK910=1,IF(OR($L910=ReportDate+1,$W910=ReportDate+1,$K910=ReportDate+1,$A910=ReportDate+1),1,0),0)</f>
        <v>0</v>
      </c>
      <c r="AV910" s="71">
        <f>IF(AND($G910&lt;&gt;"",$M910="Completed"),IF(OR($Y910=ReportDate-1,$A910=ReportDate-1),1,0),0)</f>
        <v>0</v>
      </c>
      <c r="AW910" s="71">
        <f>IF(AND($AK910=1,$Z910="Yes"),1,0)</f>
        <v>0</v>
      </c>
      <c r="AX910" s="71">
        <f>IF(AND($AK910=1,$AA910="Yes"),1,0)</f>
        <v>0</v>
      </c>
      <c r="AY910" s="71">
        <f>IF(AND($AM910=1,OR($I910="Critical",$I910="High")),1,0)</f>
        <v>0</v>
      </c>
      <c r="AZ910" s="71">
        <f>IF(AND($AK910=1,OR($C910=TCL_Client,$C910=MECCA_Client)),1,0)</f>
        <v>0</v>
      </c>
      <c r="BA910" s="71" t="str">
        <f>IF($G910="","",IFERROR(MATCH($I910,lst_Priority,0),5))</f>
        <v/>
      </c>
      <c r="BB910" s="71" t="str">
        <f>IF(AND($AL910=1,$AJ910=1),$BA910*100000+ROW(),"")</f>
        <v/>
      </c>
      <c r="BC910" s="71" t="str">
        <f>IF(AND($AM910=1,$AJ910=1),$BA910*100000+ROW(),"")</f>
        <v/>
      </c>
      <c r="BD910" s="71" t="str">
        <f>IF(AND($AP910=1,$AJ910=1),$BA910*100000+ROW(),"")</f>
        <v/>
      </c>
      <c r="BE910" s="71" t="str">
        <f>IF(AND($AT910=1,$AJ910=1),$BA910*100000+ROW(),"")</f>
        <v/>
      </c>
      <c r="BF910" s="71" t="str">
        <f>IF(AND($AU910=1,$AJ910=1),$BA910*100000+ROW(),"")</f>
        <v/>
      </c>
      <c r="BG910" s="71" t="str">
        <f>IF(AND($AV910=1,$AJ910=1),$BA910*100000+ROW(),"")</f>
        <v/>
      </c>
      <c r="BH910" s="71" t="str">
        <f>IF(AND($AW910=1,$AJ910=1),$BA910*100000+ROW(),"")</f>
        <v/>
      </c>
      <c r="BI910" s="71" t="str">
        <f>IF(AND($AX910=1,$AJ910=1),$BA910*100000+ROW(),"")</f>
        <v/>
      </c>
      <c r="BJ910" s="71" t="str">
        <f>IF(AND($AS910=1,$AJ910=1),$BA910*100000+ROW(),"")</f>
        <v/>
      </c>
      <c r="BK910" s="71" t="str">
        <f>IF(AND($AY910=1,$AJ910=1),$BA910*100000+ROW(),"")</f>
        <v/>
      </c>
      <c r="BL910" s="71" t="str">
        <f>IF(AND($AZ910=1),$BA910*100000+ROW(),"")</f>
        <v/>
      </c>
    </row>
    <row r="911">
      <c r="A911" s="63" t="n"/>
      <c r="B911" s="64" t="n"/>
      <c r="C911" s="64" t="n"/>
      <c r="D911" s="64" t="n"/>
      <c r="E911" s="64" t="n"/>
      <c r="F911" s="64" t="n"/>
      <c r="G911" s="65" t="n"/>
      <c r="H911" s="65" t="n"/>
      <c r="I911" s="64" t="n"/>
      <c r="J911" s="64" t="n"/>
      <c r="K911" s="63" t="n"/>
      <c r="L911" s="63" t="n"/>
      <c r="M911" s="64" t="n"/>
      <c r="N911" s="66" t="n"/>
      <c r="O911" s="65" t="n"/>
      <c r="P911" s="64" t="n"/>
      <c r="Q911" s="67" t="n"/>
      <c r="R911" s="67" t="n"/>
      <c r="S911" s="68" t="str">
        <f>IF(AND(ISNUMBER($Q911),ISNUMBER($R911)),$Q911-$R911,"")</f>
        <v/>
      </c>
      <c r="T911" s="65" t="n"/>
      <c r="U911" s="64" t="n"/>
      <c r="V911" s="65" t="n"/>
      <c r="W911" s="63" t="n"/>
      <c r="X911" s="65" t="n"/>
      <c r="Y911" s="63" t="n"/>
      <c r="Z911" s="64" t="n"/>
      <c r="AA911" s="64" t="n"/>
      <c r="AB911" s="65" t="n"/>
      <c r="AC911" s="69" t="str">
        <f>IF(OR($G911="",NOT(ISNUMBER($K911)),$AK911=0),"",MAX(0,ReportDate-$K911))</f>
        <v/>
      </c>
      <c r="AD911" s="69" t="str">
        <f>IF($G911="","",IF($AL911=1,ReportDate-$L911,0))</f>
        <v/>
      </c>
      <c r="AE911" s="70" t="str">
        <f>IF($G911="","",IF($M911="Completed",1,IF(ISNUMBER($N911),$N911,0)))</f>
        <v/>
      </c>
      <c r="AF911" s="70" t="str">
        <f>IF(AND(ISNUMBER($Q911),ISNUMBER($R911)),IF($R911&lt;&gt;0,$Q911/$R911,""),"")</f>
        <v/>
      </c>
      <c r="AG911" s="71" t="str">
        <f>IF($G911="","",IF($AL911=1,"OVERDUE",IF($AM911=1,"BLOCKED",IF($AN911=1,"DUE TODAY",IF($AO911=1,"DUE TOMORROW",IF($AQ911=1,"HIGH PRIORITY",IF($AR911=1,"NO RECENT UPDATE",""))))))) </f>
        <v/>
      </c>
      <c r="AH911" s="71" t="str">
        <f>IF($G911="","",IF(ISNUMBER($A911),IF(ISNUMBER($A911),YEAR($A911)&amp;"-"&amp;TEXT(MONTH($A911),"00"),""),IF(ISNUMBER($L911),IF(ISNUMBER($L911),YEAR($L911)&amp;"-"&amp;TEXT(MONTH($L911),"00"),""),"")))</f>
        <v/>
      </c>
      <c r="AI911" s="71">
        <f>IF($G911="",0,IF(AND(OR(fClient="All",$C911=fClient),OR(fCampaign="All",$D911=fCampaign),OR(fTeam="All",$B911=fTeam),OR(fChannel="All",$F911=fChannel),OR(fMonth="All",$AH911=fMonth),OR(fTStatus="All",$M911=fTStatus)),1,0))</f>
        <v>0</v>
      </c>
      <c r="AJ911" s="71">
        <f>IF($G911="",0,IF(AND(OR(fClient="All",$C911=fClient),OR(fCampaign="All",$D911=fCampaign),OR(fTeam="All",$B911=fTeam),OR(fChannel="All",$F911=fChannel)),1,0))</f>
        <v>0</v>
      </c>
      <c r="AK911" s="71">
        <f>IF($G911="",0,IF(OR($M911="Completed",$M911="Cancelled"),0,1))</f>
        <v>0</v>
      </c>
      <c r="AL911" s="71">
        <f>IF(AND($AK911=1,ISNUMBER($L911)),IF($L911&lt;ReportDate,1,0),0)</f>
        <v>0</v>
      </c>
      <c r="AM911" s="71">
        <f>IF(AND($G911&lt;&gt;"",$M911="Blocked"),1,0)</f>
        <v>0</v>
      </c>
      <c r="AN911" s="71">
        <f>IF(AND($AK911=1,ISNUMBER($L911)),IF($L911=ReportDate,1,0),0)</f>
        <v>0</v>
      </c>
      <c r="AO911" s="71">
        <f>IF(AND($AK911=1,ISNUMBER($L911)),IF($L911=ReportDate+1,1,0),0)</f>
        <v>0</v>
      </c>
      <c r="AP911" s="71">
        <f>IF(AND($AK911=1,ISNUMBER($L911)),IF(AND($L911&gt;=ReportDate,$L911&lt;=ReportDate+DueSoonDays),1,0),0)</f>
        <v>0</v>
      </c>
      <c r="AQ911" s="71">
        <f>IF(AND($AK911=1,OR($I911="Critical",$I911="High")),1,0)</f>
        <v>0</v>
      </c>
      <c r="AR911" s="71">
        <f>IF($AK911=1,IF(ISNUMBER($Y911),IF(ReportDate-$Y911&gt;StaleDays,1,0),1),0)</f>
        <v>0</v>
      </c>
      <c r="AS911" s="71">
        <f>IF(AND($G911&lt;&gt;"",ISNUMBER($Q911),ISNUMBER($R911)),IF(AND($Q911&lt;$R911,OR($M911="Completed",AND(ISNUMBER($L911),$L911&lt;ReportDate))),1,0),0)</f>
        <v>0</v>
      </c>
      <c r="AT911" s="71">
        <f>IF($AK911=1,IF(OR($L911=ReportDate,$W911=ReportDate,$K911=ReportDate,$A911=ReportDate),1,0),0)</f>
        <v>0</v>
      </c>
      <c r="AU911" s="71">
        <f>IF($AK911=1,IF(OR($L911=ReportDate+1,$W911=ReportDate+1,$K911=ReportDate+1,$A911=ReportDate+1),1,0),0)</f>
        <v>0</v>
      </c>
      <c r="AV911" s="71">
        <f>IF(AND($G911&lt;&gt;"",$M911="Completed"),IF(OR($Y911=ReportDate-1,$A911=ReportDate-1),1,0),0)</f>
        <v>0</v>
      </c>
      <c r="AW911" s="71">
        <f>IF(AND($AK911=1,$Z911="Yes"),1,0)</f>
        <v>0</v>
      </c>
      <c r="AX911" s="71">
        <f>IF(AND($AK911=1,$AA911="Yes"),1,0)</f>
        <v>0</v>
      </c>
      <c r="AY911" s="71">
        <f>IF(AND($AM911=1,OR($I911="Critical",$I911="High")),1,0)</f>
        <v>0</v>
      </c>
      <c r="AZ911" s="71">
        <f>IF(AND($AK911=1,OR($C911=TCL_Client,$C911=MECCA_Client)),1,0)</f>
        <v>0</v>
      </c>
      <c r="BA911" s="71" t="str">
        <f>IF($G911="","",IFERROR(MATCH($I911,lst_Priority,0),5))</f>
        <v/>
      </c>
      <c r="BB911" s="71" t="str">
        <f>IF(AND($AL911=1,$AJ911=1),$BA911*100000+ROW(),"")</f>
        <v/>
      </c>
      <c r="BC911" s="71" t="str">
        <f>IF(AND($AM911=1,$AJ911=1),$BA911*100000+ROW(),"")</f>
        <v/>
      </c>
      <c r="BD911" s="71" t="str">
        <f>IF(AND($AP911=1,$AJ911=1),$BA911*100000+ROW(),"")</f>
        <v/>
      </c>
      <c r="BE911" s="71" t="str">
        <f>IF(AND($AT911=1,$AJ911=1),$BA911*100000+ROW(),"")</f>
        <v/>
      </c>
      <c r="BF911" s="71" t="str">
        <f>IF(AND($AU911=1,$AJ911=1),$BA911*100000+ROW(),"")</f>
        <v/>
      </c>
      <c r="BG911" s="71" t="str">
        <f>IF(AND($AV911=1,$AJ911=1),$BA911*100000+ROW(),"")</f>
        <v/>
      </c>
      <c r="BH911" s="71" t="str">
        <f>IF(AND($AW911=1,$AJ911=1),$BA911*100000+ROW(),"")</f>
        <v/>
      </c>
      <c r="BI911" s="71" t="str">
        <f>IF(AND($AX911=1,$AJ911=1),$BA911*100000+ROW(),"")</f>
        <v/>
      </c>
      <c r="BJ911" s="71" t="str">
        <f>IF(AND($AS911=1,$AJ911=1),$BA911*100000+ROW(),"")</f>
        <v/>
      </c>
      <c r="BK911" s="71" t="str">
        <f>IF(AND($AY911=1,$AJ911=1),$BA911*100000+ROW(),"")</f>
        <v/>
      </c>
      <c r="BL911" s="71" t="str">
        <f>IF(AND($AZ911=1),$BA911*100000+ROW(),"")</f>
        <v/>
      </c>
    </row>
    <row r="912">
      <c r="A912" s="63" t="n"/>
      <c r="B912" s="64" t="n"/>
      <c r="C912" s="64" t="n"/>
      <c r="D912" s="64" t="n"/>
      <c r="E912" s="64" t="n"/>
      <c r="F912" s="64" t="n"/>
      <c r="G912" s="65" t="n"/>
      <c r="H912" s="65" t="n"/>
      <c r="I912" s="64" t="n"/>
      <c r="J912" s="64" t="n"/>
      <c r="K912" s="63" t="n"/>
      <c r="L912" s="63" t="n"/>
      <c r="M912" s="64" t="n"/>
      <c r="N912" s="66" t="n"/>
      <c r="O912" s="65" t="n"/>
      <c r="P912" s="64" t="n"/>
      <c r="Q912" s="67" t="n"/>
      <c r="R912" s="67" t="n"/>
      <c r="S912" s="68" t="str">
        <f>IF(AND(ISNUMBER($Q912),ISNUMBER($R912)),$Q912-$R912,"")</f>
        <v/>
      </c>
      <c r="T912" s="65" t="n"/>
      <c r="U912" s="64" t="n"/>
      <c r="V912" s="65" t="n"/>
      <c r="W912" s="63" t="n"/>
      <c r="X912" s="65" t="n"/>
      <c r="Y912" s="63" t="n"/>
      <c r="Z912" s="64" t="n"/>
      <c r="AA912" s="64" t="n"/>
      <c r="AB912" s="65" t="n"/>
      <c r="AC912" s="69" t="str">
        <f>IF(OR($G912="",NOT(ISNUMBER($K912)),$AK912=0),"",MAX(0,ReportDate-$K912))</f>
        <v/>
      </c>
      <c r="AD912" s="69" t="str">
        <f>IF($G912="","",IF($AL912=1,ReportDate-$L912,0))</f>
        <v/>
      </c>
      <c r="AE912" s="70" t="str">
        <f>IF($G912="","",IF($M912="Completed",1,IF(ISNUMBER($N912),$N912,0)))</f>
        <v/>
      </c>
      <c r="AF912" s="70" t="str">
        <f>IF(AND(ISNUMBER($Q912),ISNUMBER($R912)),IF($R912&lt;&gt;0,$Q912/$R912,""),"")</f>
        <v/>
      </c>
      <c r="AG912" s="71" t="str">
        <f>IF($G912="","",IF($AL912=1,"OVERDUE",IF($AM912=1,"BLOCKED",IF($AN912=1,"DUE TODAY",IF($AO912=1,"DUE TOMORROW",IF($AQ912=1,"HIGH PRIORITY",IF($AR912=1,"NO RECENT UPDATE",""))))))) </f>
        <v/>
      </c>
      <c r="AH912" s="71" t="str">
        <f>IF($G912="","",IF(ISNUMBER($A912),IF(ISNUMBER($A912),YEAR($A912)&amp;"-"&amp;TEXT(MONTH($A912),"00"),""),IF(ISNUMBER($L912),IF(ISNUMBER($L912),YEAR($L912)&amp;"-"&amp;TEXT(MONTH($L912),"00"),""),"")))</f>
        <v/>
      </c>
      <c r="AI912" s="71">
        <f>IF($G912="",0,IF(AND(OR(fClient="All",$C912=fClient),OR(fCampaign="All",$D912=fCampaign),OR(fTeam="All",$B912=fTeam),OR(fChannel="All",$F912=fChannel),OR(fMonth="All",$AH912=fMonth),OR(fTStatus="All",$M912=fTStatus)),1,0))</f>
        <v>0</v>
      </c>
      <c r="AJ912" s="71">
        <f>IF($G912="",0,IF(AND(OR(fClient="All",$C912=fClient),OR(fCampaign="All",$D912=fCampaign),OR(fTeam="All",$B912=fTeam),OR(fChannel="All",$F912=fChannel)),1,0))</f>
        <v>0</v>
      </c>
      <c r="AK912" s="71">
        <f>IF($G912="",0,IF(OR($M912="Completed",$M912="Cancelled"),0,1))</f>
        <v>0</v>
      </c>
      <c r="AL912" s="71">
        <f>IF(AND($AK912=1,ISNUMBER($L912)),IF($L912&lt;ReportDate,1,0),0)</f>
        <v>0</v>
      </c>
      <c r="AM912" s="71">
        <f>IF(AND($G912&lt;&gt;"",$M912="Blocked"),1,0)</f>
        <v>0</v>
      </c>
      <c r="AN912" s="71">
        <f>IF(AND($AK912=1,ISNUMBER($L912)),IF($L912=ReportDate,1,0),0)</f>
        <v>0</v>
      </c>
      <c r="AO912" s="71">
        <f>IF(AND($AK912=1,ISNUMBER($L912)),IF($L912=ReportDate+1,1,0),0)</f>
        <v>0</v>
      </c>
      <c r="AP912" s="71">
        <f>IF(AND($AK912=1,ISNUMBER($L912)),IF(AND($L912&gt;=ReportDate,$L912&lt;=ReportDate+DueSoonDays),1,0),0)</f>
        <v>0</v>
      </c>
      <c r="AQ912" s="71">
        <f>IF(AND($AK912=1,OR($I912="Critical",$I912="High")),1,0)</f>
        <v>0</v>
      </c>
      <c r="AR912" s="71">
        <f>IF($AK912=1,IF(ISNUMBER($Y912),IF(ReportDate-$Y912&gt;StaleDays,1,0),1),0)</f>
        <v>0</v>
      </c>
      <c r="AS912" s="71">
        <f>IF(AND($G912&lt;&gt;"",ISNUMBER($Q912),ISNUMBER($R912)),IF(AND($Q912&lt;$R912,OR($M912="Completed",AND(ISNUMBER($L912),$L912&lt;ReportDate))),1,0),0)</f>
        <v>0</v>
      </c>
      <c r="AT912" s="71">
        <f>IF($AK912=1,IF(OR($L912=ReportDate,$W912=ReportDate,$K912=ReportDate,$A912=ReportDate),1,0),0)</f>
        <v>0</v>
      </c>
      <c r="AU912" s="71">
        <f>IF($AK912=1,IF(OR($L912=ReportDate+1,$W912=ReportDate+1,$K912=ReportDate+1,$A912=ReportDate+1),1,0),0)</f>
        <v>0</v>
      </c>
      <c r="AV912" s="71">
        <f>IF(AND($G912&lt;&gt;"",$M912="Completed"),IF(OR($Y912=ReportDate-1,$A912=ReportDate-1),1,0),0)</f>
        <v>0</v>
      </c>
      <c r="AW912" s="71">
        <f>IF(AND($AK912=1,$Z912="Yes"),1,0)</f>
        <v>0</v>
      </c>
      <c r="AX912" s="71">
        <f>IF(AND($AK912=1,$AA912="Yes"),1,0)</f>
        <v>0</v>
      </c>
      <c r="AY912" s="71">
        <f>IF(AND($AM912=1,OR($I912="Critical",$I912="High")),1,0)</f>
        <v>0</v>
      </c>
      <c r="AZ912" s="71">
        <f>IF(AND($AK912=1,OR($C912=TCL_Client,$C912=MECCA_Client)),1,0)</f>
        <v>0</v>
      </c>
      <c r="BA912" s="71" t="str">
        <f>IF($G912="","",IFERROR(MATCH($I912,lst_Priority,0),5))</f>
        <v/>
      </c>
      <c r="BB912" s="71" t="str">
        <f>IF(AND($AL912=1,$AJ912=1),$BA912*100000+ROW(),"")</f>
        <v/>
      </c>
      <c r="BC912" s="71" t="str">
        <f>IF(AND($AM912=1,$AJ912=1),$BA912*100000+ROW(),"")</f>
        <v/>
      </c>
      <c r="BD912" s="71" t="str">
        <f>IF(AND($AP912=1,$AJ912=1),$BA912*100000+ROW(),"")</f>
        <v/>
      </c>
      <c r="BE912" s="71" t="str">
        <f>IF(AND($AT912=1,$AJ912=1),$BA912*100000+ROW(),"")</f>
        <v/>
      </c>
      <c r="BF912" s="71" t="str">
        <f>IF(AND($AU912=1,$AJ912=1),$BA912*100000+ROW(),"")</f>
        <v/>
      </c>
      <c r="BG912" s="71" t="str">
        <f>IF(AND($AV912=1,$AJ912=1),$BA912*100000+ROW(),"")</f>
        <v/>
      </c>
      <c r="BH912" s="71" t="str">
        <f>IF(AND($AW912=1,$AJ912=1),$BA912*100000+ROW(),"")</f>
        <v/>
      </c>
      <c r="BI912" s="71" t="str">
        <f>IF(AND($AX912=1,$AJ912=1),$BA912*100000+ROW(),"")</f>
        <v/>
      </c>
      <c r="BJ912" s="71" t="str">
        <f>IF(AND($AS912=1,$AJ912=1),$BA912*100000+ROW(),"")</f>
        <v/>
      </c>
      <c r="BK912" s="71" t="str">
        <f>IF(AND($AY912=1,$AJ912=1),$BA912*100000+ROW(),"")</f>
        <v/>
      </c>
      <c r="BL912" s="71" t="str">
        <f>IF(AND($AZ912=1),$BA912*100000+ROW(),"")</f>
        <v/>
      </c>
    </row>
    <row r="913">
      <c r="A913" s="63" t="n"/>
      <c r="B913" s="64" t="n"/>
      <c r="C913" s="64" t="n"/>
      <c r="D913" s="64" t="n"/>
      <c r="E913" s="64" t="n"/>
      <c r="F913" s="64" t="n"/>
      <c r="G913" s="65" t="n"/>
      <c r="H913" s="65" t="n"/>
      <c r="I913" s="64" t="n"/>
      <c r="J913" s="64" t="n"/>
      <c r="K913" s="63" t="n"/>
      <c r="L913" s="63" t="n"/>
      <c r="M913" s="64" t="n"/>
      <c r="N913" s="66" t="n"/>
      <c r="O913" s="65" t="n"/>
      <c r="P913" s="64" t="n"/>
      <c r="Q913" s="67" t="n"/>
      <c r="R913" s="67" t="n"/>
      <c r="S913" s="68" t="str">
        <f>IF(AND(ISNUMBER($Q913),ISNUMBER($R913)),$Q913-$R913,"")</f>
        <v/>
      </c>
      <c r="T913" s="65" t="n"/>
      <c r="U913" s="64" t="n"/>
      <c r="V913" s="65" t="n"/>
      <c r="W913" s="63" t="n"/>
      <c r="X913" s="65" t="n"/>
      <c r="Y913" s="63" t="n"/>
      <c r="Z913" s="64" t="n"/>
      <c r="AA913" s="64" t="n"/>
      <c r="AB913" s="65" t="n"/>
      <c r="AC913" s="69" t="str">
        <f>IF(OR($G913="",NOT(ISNUMBER($K913)),$AK913=0),"",MAX(0,ReportDate-$K913))</f>
        <v/>
      </c>
      <c r="AD913" s="69" t="str">
        <f>IF($G913="","",IF($AL913=1,ReportDate-$L913,0))</f>
        <v/>
      </c>
      <c r="AE913" s="70" t="str">
        <f>IF($G913="","",IF($M913="Completed",1,IF(ISNUMBER($N913),$N913,0)))</f>
        <v/>
      </c>
      <c r="AF913" s="70" t="str">
        <f>IF(AND(ISNUMBER($Q913),ISNUMBER($R913)),IF($R913&lt;&gt;0,$Q913/$R913,""),"")</f>
        <v/>
      </c>
      <c r="AG913" s="71" t="str">
        <f>IF($G913="","",IF($AL913=1,"OVERDUE",IF($AM913=1,"BLOCKED",IF($AN913=1,"DUE TODAY",IF($AO913=1,"DUE TOMORROW",IF($AQ913=1,"HIGH PRIORITY",IF($AR913=1,"NO RECENT UPDATE",""))))))) </f>
        <v/>
      </c>
      <c r="AH913" s="71" t="str">
        <f>IF($G913="","",IF(ISNUMBER($A913),IF(ISNUMBER($A913),YEAR($A913)&amp;"-"&amp;TEXT(MONTH($A913),"00"),""),IF(ISNUMBER($L913),IF(ISNUMBER($L913),YEAR($L913)&amp;"-"&amp;TEXT(MONTH($L913),"00"),""),"")))</f>
        <v/>
      </c>
      <c r="AI913" s="71">
        <f>IF($G913="",0,IF(AND(OR(fClient="All",$C913=fClient),OR(fCampaign="All",$D913=fCampaign),OR(fTeam="All",$B913=fTeam),OR(fChannel="All",$F913=fChannel),OR(fMonth="All",$AH913=fMonth),OR(fTStatus="All",$M913=fTStatus)),1,0))</f>
        <v>0</v>
      </c>
      <c r="AJ913" s="71">
        <f>IF($G913="",0,IF(AND(OR(fClient="All",$C913=fClient),OR(fCampaign="All",$D913=fCampaign),OR(fTeam="All",$B913=fTeam),OR(fChannel="All",$F913=fChannel)),1,0))</f>
        <v>0</v>
      </c>
      <c r="AK913" s="71">
        <f>IF($G913="",0,IF(OR($M913="Completed",$M913="Cancelled"),0,1))</f>
        <v>0</v>
      </c>
      <c r="AL913" s="71">
        <f>IF(AND($AK913=1,ISNUMBER($L913)),IF($L913&lt;ReportDate,1,0),0)</f>
        <v>0</v>
      </c>
      <c r="AM913" s="71">
        <f>IF(AND($G913&lt;&gt;"",$M913="Blocked"),1,0)</f>
        <v>0</v>
      </c>
      <c r="AN913" s="71">
        <f>IF(AND($AK913=1,ISNUMBER($L913)),IF($L913=ReportDate,1,0),0)</f>
        <v>0</v>
      </c>
      <c r="AO913" s="71">
        <f>IF(AND($AK913=1,ISNUMBER($L913)),IF($L913=ReportDate+1,1,0),0)</f>
        <v>0</v>
      </c>
      <c r="AP913" s="71">
        <f>IF(AND($AK913=1,ISNUMBER($L913)),IF(AND($L913&gt;=ReportDate,$L913&lt;=ReportDate+DueSoonDays),1,0),0)</f>
        <v>0</v>
      </c>
      <c r="AQ913" s="71">
        <f>IF(AND($AK913=1,OR($I913="Critical",$I913="High")),1,0)</f>
        <v>0</v>
      </c>
      <c r="AR913" s="71">
        <f>IF($AK913=1,IF(ISNUMBER($Y913),IF(ReportDate-$Y913&gt;StaleDays,1,0),1),0)</f>
        <v>0</v>
      </c>
      <c r="AS913" s="71">
        <f>IF(AND($G913&lt;&gt;"",ISNUMBER($Q913),ISNUMBER($R913)),IF(AND($Q913&lt;$R913,OR($M913="Completed",AND(ISNUMBER($L913),$L913&lt;ReportDate))),1,0),0)</f>
        <v>0</v>
      </c>
      <c r="AT913" s="71">
        <f>IF($AK913=1,IF(OR($L913=ReportDate,$W913=ReportDate,$K913=ReportDate,$A913=ReportDate),1,0),0)</f>
        <v>0</v>
      </c>
      <c r="AU913" s="71">
        <f>IF($AK913=1,IF(OR($L913=ReportDate+1,$W913=ReportDate+1,$K913=ReportDate+1,$A913=ReportDate+1),1,0),0)</f>
        <v>0</v>
      </c>
      <c r="AV913" s="71">
        <f>IF(AND($G913&lt;&gt;"",$M913="Completed"),IF(OR($Y913=ReportDate-1,$A913=ReportDate-1),1,0),0)</f>
        <v>0</v>
      </c>
      <c r="AW913" s="71">
        <f>IF(AND($AK913=1,$Z913="Yes"),1,0)</f>
        <v>0</v>
      </c>
      <c r="AX913" s="71">
        <f>IF(AND($AK913=1,$AA913="Yes"),1,0)</f>
        <v>0</v>
      </c>
      <c r="AY913" s="71">
        <f>IF(AND($AM913=1,OR($I913="Critical",$I913="High")),1,0)</f>
        <v>0</v>
      </c>
      <c r="AZ913" s="71">
        <f>IF(AND($AK913=1,OR($C913=TCL_Client,$C913=MECCA_Client)),1,0)</f>
        <v>0</v>
      </c>
      <c r="BA913" s="71" t="str">
        <f>IF($G913="","",IFERROR(MATCH($I913,lst_Priority,0),5))</f>
        <v/>
      </c>
      <c r="BB913" s="71" t="str">
        <f>IF(AND($AL913=1,$AJ913=1),$BA913*100000+ROW(),"")</f>
        <v/>
      </c>
      <c r="BC913" s="71" t="str">
        <f>IF(AND($AM913=1,$AJ913=1),$BA913*100000+ROW(),"")</f>
        <v/>
      </c>
      <c r="BD913" s="71" t="str">
        <f>IF(AND($AP913=1,$AJ913=1),$BA913*100000+ROW(),"")</f>
        <v/>
      </c>
      <c r="BE913" s="71" t="str">
        <f>IF(AND($AT913=1,$AJ913=1),$BA913*100000+ROW(),"")</f>
        <v/>
      </c>
      <c r="BF913" s="71" t="str">
        <f>IF(AND($AU913=1,$AJ913=1),$BA913*100000+ROW(),"")</f>
        <v/>
      </c>
      <c r="BG913" s="71" t="str">
        <f>IF(AND($AV913=1,$AJ913=1),$BA913*100000+ROW(),"")</f>
        <v/>
      </c>
      <c r="BH913" s="71" t="str">
        <f>IF(AND($AW913=1,$AJ913=1),$BA913*100000+ROW(),"")</f>
        <v/>
      </c>
      <c r="BI913" s="71" t="str">
        <f>IF(AND($AX913=1,$AJ913=1),$BA913*100000+ROW(),"")</f>
        <v/>
      </c>
      <c r="BJ913" s="71" t="str">
        <f>IF(AND($AS913=1,$AJ913=1),$BA913*100000+ROW(),"")</f>
        <v/>
      </c>
      <c r="BK913" s="71" t="str">
        <f>IF(AND($AY913=1,$AJ913=1),$BA913*100000+ROW(),"")</f>
        <v/>
      </c>
      <c r="BL913" s="71" t="str">
        <f>IF(AND($AZ913=1),$BA913*100000+ROW(),"")</f>
        <v/>
      </c>
    </row>
    <row r="914">
      <c r="A914" s="63" t="n"/>
      <c r="B914" s="64" t="n"/>
      <c r="C914" s="64" t="n"/>
      <c r="D914" s="64" t="n"/>
      <c r="E914" s="64" t="n"/>
      <c r="F914" s="64" t="n"/>
      <c r="G914" s="65" t="n"/>
      <c r="H914" s="65" t="n"/>
      <c r="I914" s="64" t="n"/>
      <c r="J914" s="64" t="n"/>
      <c r="K914" s="63" t="n"/>
      <c r="L914" s="63" t="n"/>
      <c r="M914" s="64" t="n"/>
      <c r="N914" s="66" t="n"/>
      <c r="O914" s="65" t="n"/>
      <c r="P914" s="64" t="n"/>
      <c r="Q914" s="67" t="n"/>
      <c r="R914" s="67" t="n"/>
      <c r="S914" s="68" t="str">
        <f>IF(AND(ISNUMBER($Q914),ISNUMBER($R914)),$Q914-$R914,"")</f>
        <v/>
      </c>
      <c r="T914" s="65" t="n"/>
      <c r="U914" s="64" t="n"/>
      <c r="V914" s="65" t="n"/>
      <c r="W914" s="63" t="n"/>
      <c r="X914" s="65" t="n"/>
      <c r="Y914" s="63" t="n"/>
      <c r="Z914" s="64" t="n"/>
      <c r="AA914" s="64" t="n"/>
      <c r="AB914" s="65" t="n"/>
      <c r="AC914" s="69" t="str">
        <f>IF(OR($G914="",NOT(ISNUMBER($K914)),$AK914=0),"",MAX(0,ReportDate-$K914))</f>
        <v/>
      </c>
      <c r="AD914" s="69" t="str">
        <f>IF($G914="","",IF($AL914=1,ReportDate-$L914,0))</f>
        <v/>
      </c>
      <c r="AE914" s="70" t="str">
        <f>IF($G914="","",IF($M914="Completed",1,IF(ISNUMBER($N914),$N914,0)))</f>
        <v/>
      </c>
      <c r="AF914" s="70" t="str">
        <f>IF(AND(ISNUMBER($Q914),ISNUMBER($R914)),IF($R914&lt;&gt;0,$Q914/$R914,""),"")</f>
        <v/>
      </c>
      <c r="AG914" s="71" t="str">
        <f>IF($G914="","",IF($AL914=1,"OVERDUE",IF($AM914=1,"BLOCKED",IF($AN914=1,"DUE TODAY",IF($AO914=1,"DUE TOMORROW",IF($AQ914=1,"HIGH PRIORITY",IF($AR914=1,"NO RECENT UPDATE",""))))))) </f>
        <v/>
      </c>
      <c r="AH914" s="71" t="str">
        <f>IF($G914="","",IF(ISNUMBER($A914),IF(ISNUMBER($A914),YEAR($A914)&amp;"-"&amp;TEXT(MONTH($A914),"00"),""),IF(ISNUMBER($L914),IF(ISNUMBER($L914),YEAR($L914)&amp;"-"&amp;TEXT(MONTH($L914),"00"),""),"")))</f>
        <v/>
      </c>
      <c r="AI914" s="71">
        <f>IF($G914="",0,IF(AND(OR(fClient="All",$C914=fClient),OR(fCampaign="All",$D914=fCampaign),OR(fTeam="All",$B914=fTeam),OR(fChannel="All",$F914=fChannel),OR(fMonth="All",$AH914=fMonth),OR(fTStatus="All",$M914=fTStatus)),1,0))</f>
        <v>0</v>
      </c>
      <c r="AJ914" s="71">
        <f>IF($G914="",0,IF(AND(OR(fClient="All",$C914=fClient),OR(fCampaign="All",$D914=fCampaign),OR(fTeam="All",$B914=fTeam),OR(fChannel="All",$F914=fChannel)),1,0))</f>
        <v>0</v>
      </c>
      <c r="AK914" s="71">
        <f>IF($G914="",0,IF(OR($M914="Completed",$M914="Cancelled"),0,1))</f>
        <v>0</v>
      </c>
      <c r="AL914" s="71">
        <f>IF(AND($AK914=1,ISNUMBER($L914)),IF($L914&lt;ReportDate,1,0),0)</f>
        <v>0</v>
      </c>
      <c r="AM914" s="71">
        <f>IF(AND($G914&lt;&gt;"",$M914="Blocked"),1,0)</f>
        <v>0</v>
      </c>
      <c r="AN914" s="71">
        <f>IF(AND($AK914=1,ISNUMBER($L914)),IF($L914=ReportDate,1,0),0)</f>
        <v>0</v>
      </c>
      <c r="AO914" s="71">
        <f>IF(AND($AK914=1,ISNUMBER($L914)),IF($L914=ReportDate+1,1,0),0)</f>
        <v>0</v>
      </c>
      <c r="AP914" s="71">
        <f>IF(AND($AK914=1,ISNUMBER($L914)),IF(AND($L914&gt;=ReportDate,$L914&lt;=ReportDate+DueSoonDays),1,0),0)</f>
        <v>0</v>
      </c>
      <c r="AQ914" s="71">
        <f>IF(AND($AK914=1,OR($I914="Critical",$I914="High")),1,0)</f>
        <v>0</v>
      </c>
      <c r="AR914" s="71">
        <f>IF($AK914=1,IF(ISNUMBER($Y914),IF(ReportDate-$Y914&gt;StaleDays,1,0),1),0)</f>
        <v>0</v>
      </c>
      <c r="AS914" s="71">
        <f>IF(AND($G914&lt;&gt;"",ISNUMBER($Q914),ISNUMBER($R914)),IF(AND($Q914&lt;$R914,OR($M914="Completed",AND(ISNUMBER($L914),$L914&lt;ReportDate))),1,0),0)</f>
        <v>0</v>
      </c>
      <c r="AT914" s="71">
        <f>IF($AK914=1,IF(OR($L914=ReportDate,$W914=ReportDate,$K914=ReportDate,$A914=ReportDate),1,0),0)</f>
        <v>0</v>
      </c>
      <c r="AU914" s="71">
        <f>IF($AK914=1,IF(OR($L914=ReportDate+1,$W914=ReportDate+1,$K914=ReportDate+1,$A914=ReportDate+1),1,0),0)</f>
        <v>0</v>
      </c>
      <c r="AV914" s="71">
        <f>IF(AND($G914&lt;&gt;"",$M914="Completed"),IF(OR($Y914=ReportDate-1,$A914=ReportDate-1),1,0),0)</f>
        <v>0</v>
      </c>
      <c r="AW914" s="71">
        <f>IF(AND($AK914=1,$Z914="Yes"),1,0)</f>
        <v>0</v>
      </c>
      <c r="AX914" s="71">
        <f>IF(AND($AK914=1,$AA914="Yes"),1,0)</f>
        <v>0</v>
      </c>
      <c r="AY914" s="71">
        <f>IF(AND($AM914=1,OR($I914="Critical",$I914="High")),1,0)</f>
        <v>0</v>
      </c>
      <c r="AZ914" s="71">
        <f>IF(AND($AK914=1,OR($C914=TCL_Client,$C914=MECCA_Client)),1,0)</f>
        <v>0</v>
      </c>
      <c r="BA914" s="71" t="str">
        <f>IF($G914="","",IFERROR(MATCH($I914,lst_Priority,0),5))</f>
        <v/>
      </c>
      <c r="BB914" s="71" t="str">
        <f>IF(AND($AL914=1,$AJ914=1),$BA914*100000+ROW(),"")</f>
        <v/>
      </c>
      <c r="BC914" s="71" t="str">
        <f>IF(AND($AM914=1,$AJ914=1),$BA914*100000+ROW(),"")</f>
        <v/>
      </c>
      <c r="BD914" s="71" t="str">
        <f>IF(AND($AP914=1,$AJ914=1),$BA914*100000+ROW(),"")</f>
        <v/>
      </c>
      <c r="BE914" s="71" t="str">
        <f>IF(AND($AT914=1,$AJ914=1),$BA914*100000+ROW(),"")</f>
        <v/>
      </c>
      <c r="BF914" s="71" t="str">
        <f>IF(AND($AU914=1,$AJ914=1),$BA914*100000+ROW(),"")</f>
        <v/>
      </c>
      <c r="BG914" s="71" t="str">
        <f>IF(AND($AV914=1,$AJ914=1),$BA914*100000+ROW(),"")</f>
        <v/>
      </c>
      <c r="BH914" s="71" t="str">
        <f>IF(AND($AW914=1,$AJ914=1),$BA914*100000+ROW(),"")</f>
        <v/>
      </c>
      <c r="BI914" s="71" t="str">
        <f>IF(AND($AX914=1,$AJ914=1),$BA914*100000+ROW(),"")</f>
        <v/>
      </c>
      <c r="BJ914" s="71" t="str">
        <f>IF(AND($AS914=1,$AJ914=1),$BA914*100000+ROW(),"")</f>
        <v/>
      </c>
      <c r="BK914" s="71" t="str">
        <f>IF(AND($AY914=1,$AJ914=1),$BA914*100000+ROW(),"")</f>
        <v/>
      </c>
      <c r="BL914" s="71" t="str">
        <f>IF(AND($AZ914=1),$BA914*100000+ROW(),"")</f>
        <v/>
      </c>
    </row>
    <row r="915">
      <c r="A915" s="63" t="n"/>
      <c r="B915" s="64" t="n"/>
      <c r="C915" s="64" t="n"/>
      <c r="D915" s="64" t="n"/>
      <c r="E915" s="64" t="n"/>
      <c r="F915" s="64" t="n"/>
      <c r="G915" s="65" t="n"/>
      <c r="H915" s="65" t="n"/>
      <c r="I915" s="64" t="n"/>
      <c r="J915" s="64" t="n"/>
      <c r="K915" s="63" t="n"/>
      <c r="L915" s="63" t="n"/>
      <c r="M915" s="64" t="n"/>
      <c r="N915" s="66" t="n"/>
      <c r="O915" s="65" t="n"/>
      <c r="P915" s="64" t="n"/>
      <c r="Q915" s="67" t="n"/>
      <c r="R915" s="67" t="n"/>
      <c r="S915" s="68" t="str">
        <f>IF(AND(ISNUMBER($Q915),ISNUMBER($R915)),$Q915-$R915,"")</f>
        <v/>
      </c>
      <c r="T915" s="65" t="n"/>
      <c r="U915" s="64" t="n"/>
      <c r="V915" s="65" t="n"/>
      <c r="W915" s="63" t="n"/>
      <c r="X915" s="65" t="n"/>
      <c r="Y915" s="63" t="n"/>
      <c r="Z915" s="64" t="n"/>
      <c r="AA915" s="64" t="n"/>
      <c r="AB915" s="65" t="n"/>
      <c r="AC915" s="69" t="str">
        <f>IF(OR($G915="",NOT(ISNUMBER($K915)),$AK915=0),"",MAX(0,ReportDate-$K915))</f>
        <v/>
      </c>
      <c r="AD915" s="69" t="str">
        <f>IF($G915="","",IF($AL915=1,ReportDate-$L915,0))</f>
        <v/>
      </c>
      <c r="AE915" s="70" t="str">
        <f>IF($G915="","",IF($M915="Completed",1,IF(ISNUMBER($N915),$N915,0)))</f>
        <v/>
      </c>
      <c r="AF915" s="70" t="str">
        <f>IF(AND(ISNUMBER($Q915),ISNUMBER($R915)),IF($R915&lt;&gt;0,$Q915/$R915,""),"")</f>
        <v/>
      </c>
      <c r="AG915" s="71" t="str">
        <f>IF($G915="","",IF($AL915=1,"OVERDUE",IF($AM915=1,"BLOCKED",IF($AN915=1,"DUE TODAY",IF($AO915=1,"DUE TOMORROW",IF($AQ915=1,"HIGH PRIORITY",IF($AR915=1,"NO RECENT UPDATE",""))))))) </f>
        <v/>
      </c>
      <c r="AH915" s="71" t="str">
        <f>IF($G915="","",IF(ISNUMBER($A915),IF(ISNUMBER($A915),YEAR($A915)&amp;"-"&amp;TEXT(MONTH($A915),"00"),""),IF(ISNUMBER($L915),IF(ISNUMBER($L915),YEAR($L915)&amp;"-"&amp;TEXT(MONTH($L915),"00"),""),"")))</f>
        <v/>
      </c>
      <c r="AI915" s="71">
        <f>IF($G915="",0,IF(AND(OR(fClient="All",$C915=fClient),OR(fCampaign="All",$D915=fCampaign),OR(fTeam="All",$B915=fTeam),OR(fChannel="All",$F915=fChannel),OR(fMonth="All",$AH915=fMonth),OR(fTStatus="All",$M915=fTStatus)),1,0))</f>
        <v>0</v>
      </c>
      <c r="AJ915" s="71">
        <f>IF($G915="",0,IF(AND(OR(fClient="All",$C915=fClient),OR(fCampaign="All",$D915=fCampaign),OR(fTeam="All",$B915=fTeam),OR(fChannel="All",$F915=fChannel)),1,0))</f>
        <v>0</v>
      </c>
      <c r="AK915" s="71">
        <f>IF($G915="",0,IF(OR($M915="Completed",$M915="Cancelled"),0,1))</f>
        <v>0</v>
      </c>
      <c r="AL915" s="71">
        <f>IF(AND($AK915=1,ISNUMBER($L915)),IF($L915&lt;ReportDate,1,0),0)</f>
        <v>0</v>
      </c>
      <c r="AM915" s="71">
        <f>IF(AND($G915&lt;&gt;"",$M915="Blocked"),1,0)</f>
        <v>0</v>
      </c>
      <c r="AN915" s="71">
        <f>IF(AND($AK915=1,ISNUMBER($L915)),IF($L915=ReportDate,1,0),0)</f>
        <v>0</v>
      </c>
      <c r="AO915" s="71">
        <f>IF(AND($AK915=1,ISNUMBER($L915)),IF($L915=ReportDate+1,1,0),0)</f>
        <v>0</v>
      </c>
      <c r="AP915" s="71">
        <f>IF(AND($AK915=1,ISNUMBER($L915)),IF(AND($L915&gt;=ReportDate,$L915&lt;=ReportDate+DueSoonDays),1,0),0)</f>
        <v>0</v>
      </c>
      <c r="AQ915" s="71">
        <f>IF(AND($AK915=1,OR($I915="Critical",$I915="High")),1,0)</f>
        <v>0</v>
      </c>
      <c r="AR915" s="71">
        <f>IF($AK915=1,IF(ISNUMBER($Y915),IF(ReportDate-$Y915&gt;StaleDays,1,0),1),0)</f>
        <v>0</v>
      </c>
      <c r="AS915" s="71">
        <f>IF(AND($G915&lt;&gt;"",ISNUMBER($Q915),ISNUMBER($R915)),IF(AND($Q915&lt;$R915,OR($M915="Completed",AND(ISNUMBER($L915),$L915&lt;ReportDate))),1,0),0)</f>
        <v>0</v>
      </c>
      <c r="AT915" s="71">
        <f>IF($AK915=1,IF(OR($L915=ReportDate,$W915=ReportDate,$K915=ReportDate,$A915=ReportDate),1,0),0)</f>
        <v>0</v>
      </c>
      <c r="AU915" s="71">
        <f>IF($AK915=1,IF(OR($L915=ReportDate+1,$W915=ReportDate+1,$K915=ReportDate+1,$A915=ReportDate+1),1,0),0)</f>
        <v>0</v>
      </c>
      <c r="AV915" s="71">
        <f>IF(AND($G915&lt;&gt;"",$M915="Completed"),IF(OR($Y915=ReportDate-1,$A915=ReportDate-1),1,0),0)</f>
        <v>0</v>
      </c>
      <c r="AW915" s="71">
        <f>IF(AND($AK915=1,$Z915="Yes"),1,0)</f>
        <v>0</v>
      </c>
      <c r="AX915" s="71">
        <f>IF(AND($AK915=1,$AA915="Yes"),1,0)</f>
        <v>0</v>
      </c>
      <c r="AY915" s="71">
        <f>IF(AND($AM915=1,OR($I915="Critical",$I915="High")),1,0)</f>
        <v>0</v>
      </c>
      <c r="AZ915" s="71">
        <f>IF(AND($AK915=1,OR($C915=TCL_Client,$C915=MECCA_Client)),1,0)</f>
        <v>0</v>
      </c>
      <c r="BA915" s="71" t="str">
        <f>IF($G915="","",IFERROR(MATCH($I915,lst_Priority,0),5))</f>
        <v/>
      </c>
      <c r="BB915" s="71" t="str">
        <f>IF(AND($AL915=1,$AJ915=1),$BA915*100000+ROW(),"")</f>
        <v/>
      </c>
      <c r="BC915" s="71" t="str">
        <f>IF(AND($AM915=1,$AJ915=1),$BA915*100000+ROW(),"")</f>
        <v/>
      </c>
      <c r="BD915" s="71" t="str">
        <f>IF(AND($AP915=1,$AJ915=1),$BA915*100000+ROW(),"")</f>
        <v/>
      </c>
      <c r="BE915" s="71" t="str">
        <f>IF(AND($AT915=1,$AJ915=1),$BA915*100000+ROW(),"")</f>
        <v/>
      </c>
      <c r="BF915" s="71" t="str">
        <f>IF(AND($AU915=1,$AJ915=1),$BA915*100000+ROW(),"")</f>
        <v/>
      </c>
      <c r="BG915" s="71" t="str">
        <f>IF(AND($AV915=1,$AJ915=1),$BA915*100000+ROW(),"")</f>
        <v/>
      </c>
      <c r="BH915" s="71" t="str">
        <f>IF(AND($AW915=1,$AJ915=1),$BA915*100000+ROW(),"")</f>
        <v/>
      </c>
      <c r="BI915" s="71" t="str">
        <f>IF(AND($AX915=1,$AJ915=1),$BA915*100000+ROW(),"")</f>
        <v/>
      </c>
      <c r="BJ915" s="71" t="str">
        <f>IF(AND($AS915=1,$AJ915=1),$BA915*100000+ROW(),"")</f>
        <v/>
      </c>
      <c r="BK915" s="71" t="str">
        <f>IF(AND($AY915=1,$AJ915=1),$BA915*100000+ROW(),"")</f>
        <v/>
      </c>
      <c r="BL915" s="71" t="str">
        <f>IF(AND($AZ915=1),$BA915*100000+ROW(),"")</f>
        <v/>
      </c>
    </row>
    <row r="916">
      <c r="A916" s="63" t="n"/>
      <c r="B916" s="64" t="n"/>
      <c r="C916" s="64" t="n"/>
      <c r="D916" s="64" t="n"/>
      <c r="E916" s="64" t="n"/>
      <c r="F916" s="64" t="n"/>
      <c r="G916" s="65" t="n"/>
      <c r="H916" s="65" t="n"/>
      <c r="I916" s="64" t="n"/>
      <c r="J916" s="64" t="n"/>
      <c r="K916" s="63" t="n"/>
      <c r="L916" s="63" t="n"/>
      <c r="M916" s="64" t="n"/>
      <c r="N916" s="66" t="n"/>
      <c r="O916" s="65" t="n"/>
      <c r="P916" s="64" t="n"/>
      <c r="Q916" s="67" t="n"/>
      <c r="R916" s="67" t="n"/>
      <c r="S916" s="68" t="str">
        <f>IF(AND(ISNUMBER($Q916),ISNUMBER($R916)),$Q916-$R916,"")</f>
        <v/>
      </c>
      <c r="T916" s="65" t="n"/>
      <c r="U916" s="64" t="n"/>
      <c r="V916" s="65" t="n"/>
      <c r="W916" s="63" t="n"/>
      <c r="X916" s="65" t="n"/>
      <c r="Y916" s="63" t="n"/>
      <c r="Z916" s="64" t="n"/>
      <c r="AA916" s="64" t="n"/>
      <c r="AB916" s="65" t="n"/>
      <c r="AC916" s="69" t="str">
        <f>IF(OR($G916="",NOT(ISNUMBER($K916)),$AK916=0),"",MAX(0,ReportDate-$K916))</f>
        <v/>
      </c>
      <c r="AD916" s="69" t="str">
        <f>IF($G916="","",IF($AL916=1,ReportDate-$L916,0))</f>
        <v/>
      </c>
      <c r="AE916" s="70" t="str">
        <f>IF($G916="","",IF($M916="Completed",1,IF(ISNUMBER($N916),$N916,0)))</f>
        <v/>
      </c>
      <c r="AF916" s="70" t="str">
        <f>IF(AND(ISNUMBER($Q916),ISNUMBER($R916)),IF($R916&lt;&gt;0,$Q916/$R916,""),"")</f>
        <v/>
      </c>
      <c r="AG916" s="71" t="str">
        <f>IF($G916="","",IF($AL916=1,"OVERDUE",IF($AM916=1,"BLOCKED",IF($AN916=1,"DUE TODAY",IF($AO916=1,"DUE TOMORROW",IF($AQ916=1,"HIGH PRIORITY",IF($AR916=1,"NO RECENT UPDATE",""))))))) </f>
        <v/>
      </c>
      <c r="AH916" s="71" t="str">
        <f>IF($G916="","",IF(ISNUMBER($A916),IF(ISNUMBER($A916),YEAR($A916)&amp;"-"&amp;TEXT(MONTH($A916),"00"),""),IF(ISNUMBER($L916),IF(ISNUMBER($L916),YEAR($L916)&amp;"-"&amp;TEXT(MONTH($L916),"00"),""),"")))</f>
        <v/>
      </c>
      <c r="AI916" s="71">
        <f>IF($G916="",0,IF(AND(OR(fClient="All",$C916=fClient),OR(fCampaign="All",$D916=fCampaign),OR(fTeam="All",$B916=fTeam),OR(fChannel="All",$F916=fChannel),OR(fMonth="All",$AH916=fMonth),OR(fTStatus="All",$M916=fTStatus)),1,0))</f>
        <v>0</v>
      </c>
      <c r="AJ916" s="71">
        <f>IF($G916="",0,IF(AND(OR(fClient="All",$C916=fClient),OR(fCampaign="All",$D916=fCampaign),OR(fTeam="All",$B916=fTeam),OR(fChannel="All",$F916=fChannel)),1,0))</f>
        <v>0</v>
      </c>
      <c r="AK916" s="71">
        <f>IF($G916="",0,IF(OR($M916="Completed",$M916="Cancelled"),0,1))</f>
        <v>0</v>
      </c>
      <c r="AL916" s="71">
        <f>IF(AND($AK916=1,ISNUMBER($L916)),IF($L916&lt;ReportDate,1,0),0)</f>
        <v>0</v>
      </c>
      <c r="AM916" s="71">
        <f>IF(AND($G916&lt;&gt;"",$M916="Blocked"),1,0)</f>
        <v>0</v>
      </c>
      <c r="AN916" s="71">
        <f>IF(AND($AK916=1,ISNUMBER($L916)),IF($L916=ReportDate,1,0),0)</f>
        <v>0</v>
      </c>
      <c r="AO916" s="71">
        <f>IF(AND($AK916=1,ISNUMBER($L916)),IF($L916=ReportDate+1,1,0),0)</f>
        <v>0</v>
      </c>
      <c r="AP916" s="71">
        <f>IF(AND($AK916=1,ISNUMBER($L916)),IF(AND($L916&gt;=ReportDate,$L916&lt;=ReportDate+DueSoonDays),1,0),0)</f>
        <v>0</v>
      </c>
      <c r="AQ916" s="71">
        <f>IF(AND($AK916=1,OR($I916="Critical",$I916="High")),1,0)</f>
        <v>0</v>
      </c>
      <c r="AR916" s="71">
        <f>IF($AK916=1,IF(ISNUMBER($Y916),IF(ReportDate-$Y916&gt;StaleDays,1,0),1),0)</f>
        <v>0</v>
      </c>
      <c r="AS916" s="71">
        <f>IF(AND($G916&lt;&gt;"",ISNUMBER($Q916),ISNUMBER($R916)),IF(AND($Q916&lt;$R916,OR($M916="Completed",AND(ISNUMBER($L916),$L916&lt;ReportDate))),1,0),0)</f>
        <v>0</v>
      </c>
      <c r="AT916" s="71">
        <f>IF($AK916=1,IF(OR($L916=ReportDate,$W916=ReportDate,$K916=ReportDate,$A916=ReportDate),1,0),0)</f>
        <v>0</v>
      </c>
      <c r="AU916" s="71">
        <f>IF($AK916=1,IF(OR($L916=ReportDate+1,$W916=ReportDate+1,$K916=ReportDate+1,$A916=ReportDate+1),1,0),0)</f>
        <v>0</v>
      </c>
      <c r="AV916" s="71">
        <f>IF(AND($G916&lt;&gt;"",$M916="Completed"),IF(OR($Y916=ReportDate-1,$A916=ReportDate-1),1,0),0)</f>
        <v>0</v>
      </c>
      <c r="AW916" s="71">
        <f>IF(AND($AK916=1,$Z916="Yes"),1,0)</f>
        <v>0</v>
      </c>
      <c r="AX916" s="71">
        <f>IF(AND($AK916=1,$AA916="Yes"),1,0)</f>
        <v>0</v>
      </c>
      <c r="AY916" s="71">
        <f>IF(AND($AM916=1,OR($I916="Critical",$I916="High")),1,0)</f>
        <v>0</v>
      </c>
      <c r="AZ916" s="71">
        <f>IF(AND($AK916=1,OR($C916=TCL_Client,$C916=MECCA_Client)),1,0)</f>
        <v>0</v>
      </c>
      <c r="BA916" s="71" t="str">
        <f>IF($G916="","",IFERROR(MATCH($I916,lst_Priority,0),5))</f>
        <v/>
      </c>
      <c r="BB916" s="71" t="str">
        <f>IF(AND($AL916=1,$AJ916=1),$BA916*100000+ROW(),"")</f>
        <v/>
      </c>
      <c r="BC916" s="71" t="str">
        <f>IF(AND($AM916=1,$AJ916=1),$BA916*100000+ROW(),"")</f>
        <v/>
      </c>
      <c r="BD916" s="71" t="str">
        <f>IF(AND($AP916=1,$AJ916=1),$BA916*100000+ROW(),"")</f>
        <v/>
      </c>
      <c r="BE916" s="71" t="str">
        <f>IF(AND($AT916=1,$AJ916=1),$BA916*100000+ROW(),"")</f>
        <v/>
      </c>
      <c r="BF916" s="71" t="str">
        <f>IF(AND($AU916=1,$AJ916=1),$BA916*100000+ROW(),"")</f>
        <v/>
      </c>
      <c r="BG916" s="71" t="str">
        <f>IF(AND($AV916=1,$AJ916=1),$BA916*100000+ROW(),"")</f>
        <v/>
      </c>
      <c r="BH916" s="71" t="str">
        <f>IF(AND($AW916=1,$AJ916=1),$BA916*100000+ROW(),"")</f>
        <v/>
      </c>
      <c r="BI916" s="71" t="str">
        <f>IF(AND($AX916=1,$AJ916=1),$BA916*100000+ROW(),"")</f>
        <v/>
      </c>
      <c r="BJ916" s="71" t="str">
        <f>IF(AND($AS916=1,$AJ916=1),$BA916*100000+ROW(),"")</f>
        <v/>
      </c>
      <c r="BK916" s="71" t="str">
        <f>IF(AND($AY916=1,$AJ916=1),$BA916*100000+ROW(),"")</f>
        <v/>
      </c>
      <c r="BL916" s="71" t="str">
        <f>IF(AND($AZ916=1),$BA916*100000+ROW(),"")</f>
        <v/>
      </c>
    </row>
    <row r="917">
      <c r="A917" s="63" t="n"/>
      <c r="B917" s="64" t="n"/>
      <c r="C917" s="64" t="n"/>
      <c r="D917" s="64" t="n"/>
      <c r="E917" s="64" t="n"/>
      <c r="F917" s="64" t="n"/>
      <c r="G917" s="65" t="n"/>
      <c r="H917" s="65" t="n"/>
      <c r="I917" s="64" t="n"/>
      <c r="J917" s="64" t="n"/>
      <c r="K917" s="63" t="n"/>
      <c r="L917" s="63" t="n"/>
      <c r="M917" s="64" t="n"/>
      <c r="N917" s="66" t="n"/>
      <c r="O917" s="65" t="n"/>
      <c r="P917" s="64" t="n"/>
      <c r="Q917" s="67" t="n"/>
      <c r="R917" s="67" t="n"/>
      <c r="S917" s="68" t="str">
        <f>IF(AND(ISNUMBER($Q917),ISNUMBER($R917)),$Q917-$R917,"")</f>
        <v/>
      </c>
      <c r="T917" s="65" t="n"/>
      <c r="U917" s="64" t="n"/>
      <c r="V917" s="65" t="n"/>
      <c r="W917" s="63" t="n"/>
      <c r="X917" s="65" t="n"/>
      <c r="Y917" s="63" t="n"/>
      <c r="Z917" s="64" t="n"/>
      <c r="AA917" s="64" t="n"/>
      <c r="AB917" s="65" t="n"/>
      <c r="AC917" s="69" t="str">
        <f>IF(OR($G917="",NOT(ISNUMBER($K917)),$AK917=0),"",MAX(0,ReportDate-$K917))</f>
        <v/>
      </c>
      <c r="AD917" s="69" t="str">
        <f>IF($G917="","",IF($AL917=1,ReportDate-$L917,0))</f>
        <v/>
      </c>
      <c r="AE917" s="70" t="str">
        <f>IF($G917="","",IF($M917="Completed",1,IF(ISNUMBER($N917),$N917,0)))</f>
        <v/>
      </c>
      <c r="AF917" s="70" t="str">
        <f>IF(AND(ISNUMBER($Q917),ISNUMBER($R917)),IF($R917&lt;&gt;0,$Q917/$R917,""),"")</f>
        <v/>
      </c>
      <c r="AG917" s="71" t="str">
        <f>IF($G917="","",IF($AL917=1,"OVERDUE",IF($AM917=1,"BLOCKED",IF($AN917=1,"DUE TODAY",IF($AO917=1,"DUE TOMORROW",IF($AQ917=1,"HIGH PRIORITY",IF($AR917=1,"NO RECENT UPDATE",""))))))) </f>
        <v/>
      </c>
      <c r="AH917" s="71" t="str">
        <f>IF($G917="","",IF(ISNUMBER($A917),IF(ISNUMBER($A917),YEAR($A917)&amp;"-"&amp;TEXT(MONTH($A917),"00"),""),IF(ISNUMBER($L917),IF(ISNUMBER($L917),YEAR($L917)&amp;"-"&amp;TEXT(MONTH($L917),"00"),""),"")))</f>
        <v/>
      </c>
      <c r="AI917" s="71">
        <f>IF($G917="",0,IF(AND(OR(fClient="All",$C917=fClient),OR(fCampaign="All",$D917=fCampaign),OR(fTeam="All",$B917=fTeam),OR(fChannel="All",$F917=fChannel),OR(fMonth="All",$AH917=fMonth),OR(fTStatus="All",$M917=fTStatus)),1,0))</f>
        <v>0</v>
      </c>
      <c r="AJ917" s="71">
        <f>IF($G917="",0,IF(AND(OR(fClient="All",$C917=fClient),OR(fCampaign="All",$D917=fCampaign),OR(fTeam="All",$B917=fTeam),OR(fChannel="All",$F917=fChannel)),1,0))</f>
        <v>0</v>
      </c>
      <c r="AK917" s="71">
        <f>IF($G917="",0,IF(OR($M917="Completed",$M917="Cancelled"),0,1))</f>
        <v>0</v>
      </c>
      <c r="AL917" s="71">
        <f>IF(AND($AK917=1,ISNUMBER($L917)),IF($L917&lt;ReportDate,1,0),0)</f>
        <v>0</v>
      </c>
      <c r="AM917" s="71">
        <f>IF(AND($G917&lt;&gt;"",$M917="Blocked"),1,0)</f>
        <v>0</v>
      </c>
      <c r="AN917" s="71">
        <f>IF(AND($AK917=1,ISNUMBER($L917)),IF($L917=ReportDate,1,0),0)</f>
        <v>0</v>
      </c>
      <c r="AO917" s="71">
        <f>IF(AND($AK917=1,ISNUMBER($L917)),IF($L917=ReportDate+1,1,0),0)</f>
        <v>0</v>
      </c>
      <c r="AP917" s="71">
        <f>IF(AND($AK917=1,ISNUMBER($L917)),IF(AND($L917&gt;=ReportDate,$L917&lt;=ReportDate+DueSoonDays),1,0),0)</f>
        <v>0</v>
      </c>
      <c r="AQ917" s="71">
        <f>IF(AND($AK917=1,OR($I917="Critical",$I917="High")),1,0)</f>
        <v>0</v>
      </c>
      <c r="AR917" s="71">
        <f>IF($AK917=1,IF(ISNUMBER($Y917),IF(ReportDate-$Y917&gt;StaleDays,1,0),1),0)</f>
        <v>0</v>
      </c>
      <c r="AS917" s="71">
        <f>IF(AND($G917&lt;&gt;"",ISNUMBER($Q917),ISNUMBER($R917)),IF(AND($Q917&lt;$R917,OR($M917="Completed",AND(ISNUMBER($L917),$L917&lt;ReportDate))),1,0),0)</f>
        <v>0</v>
      </c>
      <c r="AT917" s="71">
        <f>IF($AK917=1,IF(OR($L917=ReportDate,$W917=ReportDate,$K917=ReportDate,$A917=ReportDate),1,0),0)</f>
        <v>0</v>
      </c>
      <c r="AU917" s="71">
        <f>IF($AK917=1,IF(OR($L917=ReportDate+1,$W917=ReportDate+1,$K917=ReportDate+1,$A917=ReportDate+1),1,0),0)</f>
        <v>0</v>
      </c>
      <c r="AV917" s="71">
        <f>IF(AND($G917&lt;&gt;"",$M917="Completed"),IF(OR($Y917=ReportDate-1,$A917=ReportDate-1),1,0),0)</f>
        <v>0</v>
      </c>
      <c r="AW917" s="71">
        <f>IF(AND($AK917=1,$Z917="Yes"),1,0)</f>
        <v>0</v>
      </c>
      <c r="AX917" s="71">
        <f>IF(AND($AK917=1,$AA917="Yes"),1,0)</f>
        <v>0</v>
      </c>
      <c r="AY917" s="71">
        <f>IF(AND($AM917=1,OR($I917="Critical",$I917="High")),1,0)</f>
        <v>0</v>
      </c>
      <c r="AZ917" s="71">
        <f>IF(AND($AK917=1,OR($C917=TCL_Client,$C917=MECCA_Client)),1,0)</f>
        <v>0</v>
      </c>
      <c r="BA917" s="71" t="str">
        <f>IF($G917="","",IFERROR(MATCH($I917,lst_Priority,0),5))</f>
        <v/>
      </c>
      <c r="BB917" s="71" t="str">
        <f>IF(AND($AL917=1,$AJ917=1),$BA917*100000+ROW(),"")</f>
        <v/>
      </c>
      <c r="BC917" s="71" t="str">
        <f>IF(AND($AM917=1,$AJ917=1),$BA917*100000+ROW(),"")</f>
        <v/>
      </c>
      <c r="BD917" s="71" t="str">
        <f>IF(AND($AP917=1,$AJ917=1),$BA917*100000+ROW(),"")</f>
        <v/>
      </c>
      <c r="BE917" s="71" t="str">
        <f>IF(AND($AT917=1,$AJ917=1),$BA917*100000+ROW(),"")</f>
        <v/>
      </c>
      <c r="BF917" s="71" t="str">
        <f>IF(AND($AU917=1,$AJ917=1),$BA917*100000+ROW(),"")</f>
        <v/>
      </c>
      <c r="BG917" s="71" t="str">
        <f>IF(AND($AV917=1,$AJ917=1),$BA917*100000+ROW(),"")</f>
        <v/>
      </c>
      <c r="BH917" s="71" t="str">
        <f>IF(AND($AW917=1,$AJ917=1),$BA917*100000+ROW(),"")</f>
        <v/>
      </c>
      <c r="BI917" s="71" t="str">
        <f>IF(AND($AX917=1,$AJ917=1),$BA917*100000+ROW(),"")</f>
        <v/>
      </c>
      <c r="BJ917" s="71" t="str">
        <f>IF(AND($AS917=1,$AJ917=1),$BA917*100000+ROW(),"")</f>
        <v/>
      </c>
      <c r="BK917" s="71" t="str">
        <f>IF(AND($AY917=1,$AJ917=1),$BA917*100000+ROW(),"")</f>
        <v/>
      </c>
      <c r="BL917" s="71" t="str">
        <f>IF(AND($AZ917=1),$BA917*100000+ROW(),"")</f>
        <v/>
      </c>
    </row>
    <row r="918">
      <c r="A918" s="63" t="n"/>
      <c r="B918" s="64" t="n"/>
      <c r="C918" s="64" t="n"/>
      <c r="D918" s="64" t="n"/>
      <c r="E918" s="64" t="n"/>
      <c r="F918" s="64" t="n"/>
      <c r="G918" s="65" t="n"/>
      <c r="H918" s="65" t="n"/>
      <c r="I918" s="64" t="n"/>
      <c r="J918" s="64" t="n"/>
      <c r="K918" s="63" t="n"/>
      <c r="L918" s="63" t="n"/>
      <c r="M918" s="64" t="n"/>
      <c r="N918" s="66" t="n"/>
      <c r="O918" s="65" t="n"/>
      <c r="P918" s="64" t="n"/>
      <c r="Q918" s="67" t="n"/>
      <c r="R918" s="67" t="n"/>
      <c r="S918" s="68" t="str">
        <f>IF(AND(ISNUMBER($Q918),ISNUMBER($R918)),$Q918-$R918,"")</f>
        <v/>
      </c>
      <c r="T918" s="65" t="n"/>
      <c r="U918" s="64" t="n"/>
      <c r="V918" s="65" t="n"/>
      <c r="W918" s="63" t="n"/>
      <c r="X918" s="65" t="n"/>
      <c r="Y918" s="63" t="n"/>
      <c r="Z918" s="64" t="n"/>
      <c r="AA918" s="64" t="n"/>
      <c r="AB918" s="65" t="n"/>
      <c r="AC918" s="69" t="str">
        <f>IF(OR($G918="",NOT(ISNUMBER($K918)),$AK918=0),"",MAX(0,ReportDate-$K918))</f>
        <v/>
      </c>
      <c r="AD918" s="69" t="str">
        <f>IF($G918="","",IF($AL918=1,ReportDate-$L918,0))</f>
        <v/>
      </c>
      <c r="AE918" s="70" t="str">
        <f>IF($G918="","",IF($M918="Completed",1,IF(ISNUMBER($N918),$N918,0)))</f>
        <v/>
      </c>
      <c r="AF918" s="70" t="str">
        <f>IF(AND(ISNUMBER($Q918),ISNUMBER($R918)),IF($R918&lt;&gt;0,$Q918/$R918,""),"")</f>
        <v/>
      </c>
      <c r="AG918" s="71" t="str">
        <f>IF($G918="","",IF($AL918=1,"OVERDUE",IF($AM918=1,"BLOCKED",IF($AN918=1,"DUE TODAY",IF($AO918=1,"DUE TOMORROW",IF($AQ918=1,"HIGH PRIORITY",IF($AR918=1,"NO RECENT UPDATE",""))))))) </f>
        <v/>
      </c>
      <c r="AH918" s="71" t="str">
        <f>IF($G918="","",IF(ISNUMBER($A918),IF(ISNUMBER($A918),YEAR($A918)&amp;"-"&amp;TEXT(MONTH($A918),"00"),""),IF(ISNUMBER($L918),IF(ISNUMBER($L918),YEAR($L918)&amp;"-"&amp;TEXT(MONTH($L918),"00"),""),"")))</f>
        <v/>
      </c>
      <c r="AI918" s="71">
        <f>IF($G918="",0,IF(AND(OR(fClient="All",$C918=fClient),OR(fCampaign="All",$D918=fCampaign),OR(fTeam="All",$B918=fTeam),OR(fChannel="All",$F918=fChannel),OR(fMonth="All",$AH918=fMonth),OR(fTStatus="All",$M918=fTStatus)),1,0))</f>
        <v>0</v>
      </c>
      <c r="AJ918" s="71">
        <f>IF($G918="",0,IF(AND(OR(fClient="All",$C918=fClient),OR(fCampaign="All",$D918=fCampaign),OR(fTeam="All",$B918=fTeam),OR(fChannel="All",$F918=fChannel)),1,0))</f>
        <v>0</v>
      </c>
      <c r="AK918" s="71">
        <f>IF($G918="",0,IF(OR($M918="Completed",$M918="Cancelled"),0,1))</f>
        <v>0</v>
      </c>
      <c r="AL918" s="71">
        <f>IF(AND($AK918=1,ISNUMBER($L918)),IF($L918&lt;ReportDate,1,0),0)</f>
        <v>0</v>
      </c>
      <c r="AM918" s="71">
        <f>IF(AND($G918&lt;&gt;"",$M918="Blocked"),1,0)</f>
        <v>0</v>
      </c>
      <c r="AN918" s="71">
        <f>IF(AND($AK918=1,ISNUMBER($L918)),IF($L918=ReportDate,1,0),0)</f>
        <v>0</v>
      </c>
      <c r="AO918" s="71">
        <f>IF(AND($AK918=1,ISNUMBER($L918)),IF($L918=ReportDate+1,1,0),0)</f>
        <v>0</v>
      </c>
      <c r="AP918" s="71">
        <f>IF(AND($AK918=1,ISNUMBER($L918)),IF(AND($L918&gt;=ReportDate,$L918&lt;=ReportDate+DueSoonDays),1,0),0)</f>
        <v>0</v>
      </c>
      <c r="AQ918" s="71">
        <f>IF(AND($AK918=1,OR($I918="Critical",$I918="High")),1,0)</f>
        <v>0</v>
      </c>
      <c r="AR918" s="71">
        <f>IF($AK918=1,IF(ISNUMBER($Y918),IF(ReportDate-$Y918&gt;StaleDays,1,0),1),0)</f>
        <v>0</v>
      </c>
      <c r="AS918" s="71">
        <f>IF(AND($G918&lt;&gt;"",ISNUMBER($Q918),ISNUMBER($R918)),IF(AND($Q918&lt;$R918,OR($M918="Completed",AND(ISNUMBER($L918),$L918&lt;ReportDate))),1,0),0)</f>
        <v>0</v>
      </c>
      <c r="AT918" s="71">
        <f>IF($AK918=1,IF(OR($L918=ReportDate,$W918=ReportDate,$K918=ReportDate,$A918=ReportDate),1,0),0)</f>
        <v>0</v>
      </c>
      <c r="AU918" s="71">
        <f>IF($AK918=1,IF(OR($L918=ReportDate+1,$W918=ReportDate+1,$K918=ReportDate+1,$A918=ReportDate+1),1,0),0)</f>
        <v>0</v>
      </c>
      <c r="AV918" s="71">
        <f>IF(AND($G918&lt;&gt;"",$M918="Completed"),IF(OR($Y918=ReportDate-1,$A918=ReportDate-1),1,0),0)</f>
        <v>0</v>
      </c>
      <c r="AW918" s="71">
        <f>IF(AND($AK918=1,$Z918="Yes"),1,0)</f>
        <v>0</v>
      </c>
      <c r="AX918" s="71">
        <f>IF(AND($AK918=1,$AA918="Yes"),1,0)</f>
        <v>0</v>
      </c>
      <c r="AY918" s="71">
        <f>IF(AND($AM918=1,OR($I918="Critical",$I918="High")),1,0)</f>
        <v>0</v>
      </c>
      <c r="AZ918" s="71">
        <f>IF(AND($AK918=1,OR($C918=TCL_Client,$C918=MECCA_Client)),1,0)</f>
        <v>0</v>
      </c>
      <c r="BA918" s="71" t="str">
        <f>IF($G918="","",IFERROR(MATCH($I918,lst_Priority,0),5))</f>
        <v/>
      </c>
      <c r="BB918" s="71" t="str">
        <f>IF(AND($AL918=1,$AJ918=1),$BA918*100000+ROW(),"")</f>
        <v/>
      </c>
      <c r="BC918" s="71" t="str">
        <f>IF(AND($AM918=1,$AJ918=1),$BA918*100000+ROW(),"")</f>
        <v/>
      </c>
      <c r="BD918" s="71" t="str">
        <f>IF(AND($AP918=1,$AJ918=1),$BA918*100000+ROW(),"")</f>
        <v/>
      </c>
      <c r="BE918" s="71" t="str">
        <f>IF(AND($AT918=1,$AJ918=1),$BA918*100000+ROW(),"")</f>
        <v/>
      </c>
      <c r="BF918" s="71" t="str">
        <f>IF(AND($AU918=1,$AJ918=1),$BA918*100000+ROW(),"")</f>
        <v/>
      </c>
      <c r="BG918" s="71" t="str">
        <f>IF(AND($AV918=1,$AJ918=1),$BA918*100000+ROW(),"")</f>
        <v/>
      </c>
      <c r="BH918" s="71" t="str">
        <f>IF(AND($AW918=1,$AJ918=1),$BA918*100000+ROW(),"")</f>
        <v/>
      </c>
      <c r="BI918" s="71" t="str">
        <f>IF(AND($AX918=1,$AJ918=1),$BA918*100000+ROW(),"")</f>
        <v/>
      </c>
      <c r="BJ918" s="71" t="str">
        <f>IF(AND($AS918=1,$AJ918=1),$BA918*100000+ROW(),"")</f>
        <v/>
      </c>
      <c r="BK918" s="71" t="str">
        <f>IF(AND($AY918=1,$AJ918=1),$BA918*100000+ROW(),"")</f>
        <v/>
      </c>
      <c r="BL918" s="71" t="str">
        <f>IF(AND($AZ918=1),$BA918*100000+ROW(),"")</f>
        <v/>
      </c>
    </row>
    <row r="919">
      <c r="A919" s="63" t="n"/>
      <c r="B919" s="64" t="n"/>
      <c r="C919" s="64" t="n"/>
      <c r="D919" s="64" t="n"/>
      <c r="E919" s="64" t="n"/>
      <c r="F919" s="64" t="n"/>
      <c r="G919" s="65" t="n"/>
      <c r="H919" s="65" t="n"/>
      <c r="I919" s="64" t="n"/>
      <c r="J919" s="64" t="n"/>
      <c r="K919" s="63" t="n"/>
      <c r="L919" s="63" t="n"/>
      <c r="M919" s="64" t="n"/>
      <c r="N919" s="66" t="n"/>
      <c r="O919" s="65" t="n"/>
      <c r="P919" s="64" t="n"/>
      <c r="Q919" s="67" t="n"/>
      <c r="R919" s="67" t="n"/>
      <c r="S919" s="68" t="str">
        <f>IF(AND(ISNUMBER($Q919),ISNUMBER($R919)),$Q919-$R919,"")</f>
        <v/>
      </c>
      <c r="T919" s="65" t="n"/>
      <c r="U919" s="64" t="n"/>
      <c r="V919" s="65" t="n"/>
      <c r="W919" s="63" t="n"/>
      <c r="X919" s="65" t="n"/>
      <c r="Y919" s="63" t="n"/>
      <c r="Z919" s="64" t="n"/>
      <c r="AA919" s="64" t="n"/>
      <c r="AB919" s="65" t="n"/>
      <c r="AC919" s="69" t="str">
        <f>IF(OR($G919="",NOT(ISNUMBER($K919)),$AK919=0),"",MAX(0,ReportDate-$K919))</f>
        <v/>
      </c>
      <c r="AD919" s="69" t="str">
        <f>IF($G919="","",IF($AL919=1,ReportDate-$L919,0))</f>
        <v/>
      </c>
      <c r="AE919" s="70" t="str">
        <f>IF($G919="","",IF($M919="Completed",1,IF(ISNUMBER($N919),$N919,0)))</f>
        <v/>
      </c>
      <c r="AF919" s="70" t="str">
        <f>IF(AND(ISNUMBER($Q919),ISNUMBER($R919)),IF($R919&lt;&gt;0,$Q919/$R919,""),"")</f>
        <v/>
      </c>
      <c r="AG919" s="71" t="str">
        <f>IF($G919="","",IF($AL919=1,"OVERDUE",IF($AM919=1,"BLOCKED",IF($AN919=1,"DUE TODAY",IF($AO919=1,"DUE TOMORROW",IF($AQ919=1,"HIGH PRIORITY",IF($AR919=1,"NO RECENT UPDATE",""))))))) </f>
        <v/>
      </c>
      <c r="AH919" s="71" t="str">
        <f>IF($G919="","",IF(ISNUMBER($A919),IF(ISNUMBER($A919),YEAR($A919)&amp;"-"&amp;TEXT(MONTH($A919),"00"),""),IF(ISNUMBER($L919),IF(ISNUMBER($L919),YEAR($L919)&amp;"-"&amp;TEXT(MONTH($L919),"00"),""),"")))</f>
        <v/>
      </c>
      <c r="AI919" s="71">
        <f>IF($G919="",0,IF(AND(OR(fClient="All",$C919=fClient),OR(fCampaign="All",$D919=fCampaign),OR(fTeam="All",$B919=fTeam),OR(fChannel="All",$F919=fChannel),OR(fMonth="All",$AH919=fMonth),OR(fTStatus="All",$M919=fTStatus)),1,0))</f>
        <v>0</v>
      </c>
      <c r="AJ919" s="71">
        <f>IF($G919="",0,IF(AND(OR(fClient="All",$C919=fClient),OR(fCampaign="All",$D919=fCampaign),OR(fTeam="All",$B919=fTeam),OR(fChannel="All",$F919=fChannel)),1,0))</f>
        <v>0</v>
      </c>
      <c r="AK919" s="71">
        <f>IF($G919="",0,IF(OR($M919="Completed",$M919="Cancelled"),0,1))</f>
        <v>0</v>
      </c>
      <c r="AL919" s="71">
        <f>IF(AND($AK919=1,ISNUMBER($L919)),IF($L919&lt;ReportDate,1,0),0)</f>
        <v>0</v>
      </c>
      <c r="AM919" s="71">
        <f>IF(AND($G919&lt;&gt;"",$M919="Blocked"),1,0)</f>
        <v>0</v>
      </c>
      <c r="AN919" s="71">
        <f>IF(AND($AK919=1,ISNUMBER($L919)),IF($L919=ReportDate,1,0),0)</f>
        <v>0</v>
      </c>
      <c r="AO919" s="71">
        <f>IF(AND($AK919=1,ISNUMBER($L919)),IF($L919=ReportDate+1,1,0),0)</f>
        <v>0</v>
      </c>
      <c r="AP919" s="71">
        <f>IF(AND($AK919=1,ISNUMBER($L919)),IF(AND($L919&gt;=ReportDate,$L919&lt;=ReportDate+DueSoonDays),1,0),0)</f>
        <v>0</v>
      </c>
      <c r="AQ919" s="71">
        <f>IF(AND($AK919=1,OR($I919="Critical",$I919="High")),1,0)</f>
        <v>0</v>
      </c>
      <c r="AR919" s="71">
        <f>IF($AK919=1,IF(ISNUMBER($Y919),IF(ReportDate-$Y919&gt;StaleDays,1,0),1),0)</f>
        <v>0</v>
      </c>
      <c r="AS919" s="71">
        <f>IF(AND($G919&lt;&gt;"",ISNUMBER($Q919),ISNUMBER($R919)),IF(AND($Q919&lt;$R919,OR($M919="Completed",AND(ISNUMBER($L919),$L919&lt;ReportDate))),1,0),0)</f>
        <v>0</v>
      </c>
      <c r="AT919" s="71">
        <f>IF($AK919=1,IF(OR($L919=ReportDate,$W919=ReportDate,$K919=ReportDate,$A919=ReportDate),1,0),0)</f>
        <v>0</v>
      </c>
      <c r="AU919" s="71">
        <f>IF($AK919=1,IF(OR($L919=ReportDate+1,$W919=ReportDate+1,$K919=ReportDate+1,$A919=ReportDate+1),1,0),0)</f>
        <v>0</v>
      </c>
      <c r="AV919" s="71">
        <f>IF(AND($G919&lt;&gt;"",$M919="Completed"),IF(OR($Y919=ReportDate-1,$A919=ReportDate-1),1,0),0)</f>
        <v>0</v>
      </c>
      <c r="AW919" s="71">
        <f>IF(AND($AK919=1,$Z919="Yes"),1,0)</f>
        <v>0</v>
      </c>
      <c r="AX919" s="71">
        <f>IF(AND($AK919=1,$AA919="Yes"),1,0)</f>
        <v>0</v>
      </c>
      <c r="AY919" s="71">
        <f>IF(AND($AM919=1,OR($I919="Critical",$I919="High")),1,0)</f>
        <v>0</v>
      </c>
      <c r="AZ919" s="71">
        <f>IF(AND($AK919=1,OR($C919=TCL_Client,$C919=MECCA_Client)),1,0)</f>
        <v>0</v>
      </c>
      <c r="BA919" s="71" t="str">
        <f>IF($G919="","",IFERROR(MATCH($I919,lst_Priority,0),5))</f>
        <v/>
      </c>
      <c r="BB919" s="71" t="str">
        <f>IF(AND($AL919=1,$AJ919=1),$BA919*100000+ROW(),"")</f>
        <v/>
      </c>
      <c r="BC919" s="71" t="str">
        <f>IF(AND($AM919=1,$AJ919=1),$BA919*100000+ROW(),"")</f>
        <v/>
      </c>
      <c r="BD919" s="71" t="str">
        <f>IF(AND($AP919=1,$AJ919=1),$BA919*100000+ROW(),"")</f>
        <v/>
      </c>
      <c r="BE919" s="71" t="str">
        <f>IF(AND($AT919=1,$AJ919=1),$BA919*100000+ROW(),"")</f>
        <v/>
      </c>
      <c r="BF919" s="71" t="str">
        <f>IF(AND($AU919=1,$AJ919=1),$BA919*100000+ROW(),"")</f>
        <v/>
      </c>
      <c r="BG919" s="71" t="str">
        <f>IF(AND($AV919=1,$AJ919=1),$BA919*100000+ROW(),"")</f>
        <v/>
      </c>
      <c r="BH919" s="71" t="str">
        <f>IF(AND($AW919=1,$AJ919=1),$BA919*100000+ROW(),"")</f>
        <v/>
      </c>
      <c r="BI919" s="71" t="str">
        <f>IF(AND($AX919=1,$AJ919=1),$BA919*100000+ROW(),"")</f>
        <v/>
      </c>
      <c r="BJ919" s="71" t="str">
        <f>IF(AND($AS919=1,$AJ919=1),$BA919*100000+ROW(),"")</f>
        <v/>
      </c>
      <c r="BK919" s="71" t="str">
        <f>IF(AND($AY919=1,$AJ919=1),$BA919*100000+ROW(),"")</f>
        <v/>
      </c>
      <c r="BL919" s="71" t="str">
        <f>IF(AND($AZ919=1),$BA919*100000+ROW(),"")</f>
        <v/>
      </c>
    </row>
    <row r="920">
      <c r="A920" s="63" t="n"/>
      <c r="B920" s="64" t="n"/>
      <c r="C920" s="64" t="n"/>
      <c r="D920" s="64" t="n"/>
      <c r="E920" s="64" t="n"/>
      <c r="F920" s="64" t="n"/>
      <c r="G920" s="65" t="n"/>
      <c r="H920" s="65" t="n"/>
      <c r="I920" s="64" t="n"/>
      <c r="J920" s="64" t="n"/>
      <c r="K920" s="63" t="n"/>
      <c r="L920" s="63" t="n"/>
      <c r="M920" s="64" t="n"/>
      <c r="N920" s="66" t="n"/>
      <c r="O920" s="65" t="n"/>
      <c r="P920" s="64" t="n"/>
      <c r="Q920" s="67" t="n"/>
      <c r="R920" s="67" t="n"/>
      <c r="S920" s="68" t="str">
        <f>IF(AND(ISNUMBER($Q920),ISNUMBER($R920)),$Q920-$R920,"")</f>
        <v/>
      </c>
      <c r="T920" s="65" t="n"/>
      <c r="U920" s="64" t="n"/>
      <c r="V920" s="65" t="n"/>
      <c r="W920" s="63" t="n"/>
      <c r="X920" s="65" t="n"/>
      <c r="Y920" s="63" t="n"/>
      <c r="Z920" s="64" t="n"/>
      <c r="AA920" s="64" t="n"/>
      <c r="AB920" s="65" t="n"/>
      <c r="AC920" s="69" t="str">
        <f>IF(OR($G920="",NOT(ISNUMBER($K920)),$AK920=0),"",MAX(0,ReportDate-$K920))</f>
        <v/>
      </c>
      <c r="AD920" s="69" t="str">
        <f>IF($G920="","",IF($AL920=1,ReportDate-$L920,0))</f>
        <v/>
      </c>
      <c r="AE920" s="70" t="str">
        <f>IF($G920="","",IF($M920="Completed",1,IF(ISNUMBER($N920),$N920,0)))</f>
        <v/>
      </c>
      <c r="AF920" s="70" t="str">
        <f>IF(AND(ISNUMBER($Q920),ISNUMBER($R920)),IF($R920&lt;&gt;0,$Q920/$R920,""),"")</f>
        <v/>
      </c>
      <c r="AG920" s="71" t="str">
        <f>IF($G920="","",IF($AL920=1,"OVERDUE",IF($AM920=1,"BLOCKED",IF($AN920=1,"DUE TODAY",IF($AO920=1,"DUE TOMORROW",IF($AQ920=1,"HIGH PRIORITY",IF($AR920=1,"NO RECENT UPDATE",""))))))) </f>
        <v/>
      </c>
      <c r="AH920" s="71" t="str">
        <f>IF($G920="","",IF(ISNUMBER($A920),IF(ISNUMBER($A920),YEAR($A920)&amp;"-"&amp;TEXT(MONTH($A920),"00"),""),IF(ISNUMBER($L920),IF(ISNUMBER($L920),YEAR($L920)&amp;"-"&amp;TEXT(MONTH($L920),"00"),""),"")))</f>
        <v/>
      </c>
      <c r="AI920" s="71">
        <f>IF($G920="",0,IF(AND(OR(fClient="All",$C920=fClient),OR(fCampaign="All",$D920=fCampaign),OR(fTeam="All",$B920=fTeam),OR(fChannel="All",$F920=fChannel),OR(fMonth="All",$AH920=fMonth),OR(fTStatus="All",$M920=fTStatus)),1,0))</f>
        <v>0</v>
      </c>
      <c r="AJ920" s="71">
        <f>IF($G920="",0,IF(AND(OR(fClient="All",$C920=fClient),OR(fCampaign="All",$D920=fCampaign),OR(fTeam="All",$B920=fTeam),OR(fChannel="All",$F920=fChannel)),1,0))</f>
        <v>0</v>
      </c>
      <c r="AK920" s="71">
        <f>IF($G920="",0,IF(OR($M920="Completed",$M920="Cancelled"),0,1))</f>
        <v>0</v>
      </c>
      <c r="AL920" s="71">
        <f>IF(AND($AK920=1,ISNUMBER($L920)),IF($L920&lt;ReportDate,1,0),0)</f>
        <v>0</v>
      </c>
      <c r="AM920" s="71">
        <f>IF(AND($G920&lt;&gt;"",$M920="Blocked"),1,0)</f>
        <v>0</v>
      </c>
      <c r="AN920" s="71">
        <f>IF(AND($AK920=1,ISNUMBER($L920)),IF($L920=ReportDate,1,0),0)</f>
        <v>0</v>
      </c>
      <c r="AO920" s="71">
        <f>IF(AND($AK920=1,ISNUMBER($L920)),IF($L920=ReportDate+1,1,0),0)</f>
        <v>0</v>
      </c>
      <c r="AP920" s="71">
        <f>IF(AND($AK920=1,ISNUMBER($L920)),IF(AND($L920&gt;=ReportDate,$L920&lt;=ReportDate+DueSoonDays),1,0),0)</f>
        <v>0</v>
      </c>
      <c r="AQ920" s="71">
        <f>IF(AND($AK920=1,OR($I920="Critical",$I920="High")),1,0)</f>
        <v>0</v>
      </c>
      <c r="AR920" s="71">
        <f>IF($AK920=1,IF(ISNUMBER($Y920),IF(ReportDate-$Y920&gt;StaleDays,1,0),1),0)</f>
        <v>0</v>
      </c>
      <c r="AS920" s="71">
        <f>IF(AND($G920&lt;&gt;"",ISNUMBER($Q920),ISNUMBER($R920)),IF(AND($Q920&lt;$R920,OR($M920="Completed",AND(ISNUMBER($L920),$L920&lt;ReportDate))),1,0),0)</f>
        <v>0</v>
      </c>
      <c r="AT920" s="71">
        <f>IF($AK920=1,IF(OR($L920=ReportDate,$W920=ReportDate,$K920=ReportDate,$A920=ReportDate),1,0),0)</f>
        <v>0</v>
      </c>
      <c r="AU920" s="71">
        <f>IF($AK920=1,IF(OR($L920=ReportDate+1,$W920=ReportDate+1,$K920=ReportDate+1,$A920=ReportDate+1),1,0),0)</f>
        <v>0</v>
      </c>
      <c r="AV920" s="71">
        <f>IF(AND($G920&lt;&gt;"",$M920="Completed"),IF(OR($Y920=ReportDate-1,$A920=ReportDate-1),1,0),0)</f>
        <v>0</v>
      </c>
      <c r="AW920" s="71">
        <f>IF(AND($AK920=1,$Z920="Yes"),1,0)</f>
        <v>0</v>
      </c>
      <c r="AX920" s="71">
        <f>IF(AND($AK920=1,$AA920="Yes"),1,0)</f>
        <v>0</v>
      </c>
      <c r="AY920" s="71">
        <f>IF(AND($AM920=1,OR($I920="Critical",$I920="High")),1,0)</f>
        <v>0</v>
      </c>
      <c r="AZ920" s="71">
        <f>IF(AND($AK920=1,OR($C920=TCL_Client,$C920=MECCA_Client)),1,0)</f>
        <v>0</v>
      </c>
      <c r="BA920" s="71" t="str">
        <f>IF($G920="","",IFERROR(MATCH($I920,lst_Priority,0),5))</f>
        <v/>
      </c>
      <c r="BB920" s="71" t="str">
        <f>IF(AND($AL920=1,$AJ920=1),$BA920*100000+ROW(),"")</f>
        <v/>
      </c>
      <c r="BC920" s="71" t="str">
        <f>IF(AND($AM920=1,$AJ920=1),$BA920*100000+ROW(),"")</f>
        <v/>
      </c>
      <c r="BD920" s="71" t="str">
        <f>IF(AND($AP920=1,$AJ920=1),$BA920*100000+ROW(),"")</f>
        <v/>
      </c>
      <c r="BE920" s="71" t="str">
        <f>IF(AND($AT920=1,$AJ920=1),$BA920*100000+ROW(),"")</f>
        <v/>
      </c>
      <c r="BF920" s="71" t="str">
        <f>IF(AND($AU920=1,$AJ920=1),$BA920*100000+ROW(),"")</f>
        <v/>
      </c>
      <c r="BG920" s="71" t="str">
        <f>IF(AND($AV920=1,$AJ920=1),$BA920*100000+ROW(),"")</f>
        <v/>
      </c>
      <c r="BH920" s="71" t="str">
        <f>IF(AND($AW920=1,$AJ920=1),$BA920*100000+ROW(),"")</f>
        <v/>
      </c>
      <c r="BI920" s="71" t="str">
        <f>IF(AND($AX920=1,$AJ920=1),$BA920*100000+ROW(),"")</f>
        <v/>
      </c>
      <c r="BJ920" s="71" t="str">
        <f>IF(AND($AS920=1,$AJ920=1),$BA920*100000+ROW(),"")</f>
        <v/>
      </c>
      <c r="BK920" s="71" t="str">
        <f>IF(AND($AY920=1,$AJ920=1),$BA920*100000+ROW(),"")</f>
        <v/>
      </c>
      <c r="BL920" s="71" t="str">
        <f>IF(AND($AZ920=1),$BA920*100000+ROW(),"")</f>
        <v/>
      </c>
    </row>
    <row r="921">
      <c r="A921" s="63" t="n"/>
      <c r="B921" s="64" t="n"/>
      <c r="C921" s="64" t="n"/>
      <c r="D921" s="64" t="n"/>
      <c r="E921" s="64" t="n"/>
      <c r="F921" s="64" t="n"/>
      <c r="G921" s="65" t="n"/>
      <c r="H921" s="65" t="n"/>
      <c r="I921" s="64" t="n"/>
      <c r="J921" s="64" t="n"/>
      <c r="K921" s="63" t="n"/>
      <c r="L921" s="63" t="n"/>
      <c r="M921" s="64" t="n"/>
      <c r="N921" s="66" t="n"/>
      <c r="O921" s="65" t="n"/>
      <c r="P921" s="64" t="n"/>
      <c r="Q921" s="67" t="n"/>
      <c r="R921" s="67" t="n"/>
      <c r="S921" s="68" t="str">
        <f>IF(AND(ISNUMBER($Q921),ISNUMBER($R921)),$Q921-$R921,"")</f>
        <v/>
      </c>
      <c r="T921" s="65" t="n"/>
      <c r="U921" s="64" t="n"/>
      <c r="V921" s="65" t="n"/>
      <c r="W921" s="63" t="n"/>
      <c r="X921" s="65" t="n"/>
      <c r="Y921" s="63" t="n"/>
      <c r="Z921" s="64" t="n"/>
      <c r="AA921" s="64" t="n"/>
      <c r="AB921" s="65" t="n"/>
      <c r="AC921" s="69" t="str">
        <f>IF(OR($G921="",NOT(ISNUMBER($K921)),$AK921=0),"",MAX(0,ReportDate-$K921))</f>
        <v/>
      </c>
      <c r="AD921" s="69" t="str">
        <f>IF($G921="","",IF($AL921=1,ReportDate-$L921,0))</f>
        <v/>
      </c>
      <c r="AE921" s="70" t="str">
        <f>IF($G921="","",IF($M921="Completed",1,IF(ISNUMBER($N921),$N921,0)))</f>
        <v/>
      </c>
      <c r="AF921" s="70" t="str">
        <f>IF(AND(ISNUMBER($Q921),ISNUMBER($R921)),IF($R921&lt;&gt;0,$Q921/$R921,""),"")</f>
        <v/>
      </c>
      <c r="AG921" s="71" t="str">
        <f>IF($G921="","",IF($AL921=1,"OVERDUE",IF($AM921=1,"BLOCKED",IF($AN921=1,"DUE TODAY",IF($AO921=1,"DUE TOMORROW",IF($AQ921=1,"HIGH PRIORITY",IF($AR921=1,"NO RECENT UPDATE",""))))))) </f>
        <v/>
      </c>
      <c r="AH921" s="71" t="str">
        <f>IF($G921="","",IF(ISNUMBER($A921),IF(ISNUMBER($A921),YEAR($A921)&amp;"-"&amp;TEXT(MONTH($A921),"00"),""),IF(ISNUMBER($L921),IF(ISNUMBER($L921),YEAR($L921)&amp;"-"&amp;TEXT(MONTH($L921),"00"),""),"")))</f>
        <v/>
      </c>
      <c r="AI921" s="71">
        <f>IF($G921="",0,IF(AND(OR(fClient="All",$C921=fClient),OR(fCampaign="All",$D921=fCampaign),OR(fTeam="All",$B921=fTeam),OR(fChannel="All",$F921=fChannel),OR(fMonth="All",$AH921=fMonth),OR(fTStatus="All",$M921=fTStatus)),1,0))</f>
        <v>0</v>
      </c>
      <c r="AJ921" s="71">
        <f>IF($G921="",0,IF(AND(OR(fClient="All",$C921=fClient),OR(fCampaign="All",$D921=fCampaign),OR(fTeam="All",$B921=fTeam),OR(fChannel="All",$F921=fChannel)),1,0))</f>
        <v>0</v>
      </c>
      <c r="AK921" s="71">
        <f>IF($G921="",0,IF(OR($M921="Completed",$M921="Cancelled"),0,1))</f>
        <v>0</v>
      </c>
      <c r="AL921" s="71">
        <f>IF(AND($AK921=1,ISNUMBER($L921)),IF($L921&lt;ReportDate,1,0),0)</f>
        <v>0</v>
      </c>
      <c r="AM921" s="71">
        <f>IF(AND($G921&lt;&gt;"",$M921="Blocked"),1,0)</f>
        <v>0</v>
      </c>
      <c r="AN921" s="71">
        <f>IF(AND($AK921=1,ISNUMBER($L921)),IF($L921=ReportDate,1,0),0)</f>
        <v>0</v>
      </c>
      <c r="AO921" s="71">
        <f>IF(AND($AK921=1,ISNUMBER($L921)),IF($L921=ReportDate+1,1,0),0)</f>
        <v>0</v>
      </c>
      <c r="AP921" s="71">
        <f>IF(AND($AK921=1,ISNUMBER($L921)),IF(AND($L921&gt;=ReportDate,$L921&lt;=ReportDate+DueSoonDays),1,0),0)</f>
        <v>0</v>
      </c>
      <c r="AQ921" s="71">
        <f>IF(AND($AK921=1,OR($I921="Critical",$I921="High")),1,0)</f>
        <v>0</v>
      </c>
      <c r="AR921" s="71">
        <f>IF($AK921=1,IF(ISNUMBER($Y921),IF(ReportDate-$Y921&gt;StaleDays,1,0),1),0)</f>
        <v>0</v>
      </c>
      <c r="AS921" s="71">
        <f>IF(AND($G921&lt;&gt;"",ISNUMBER($Q921),ISNUMBER($R921)),IF(AND($Q921&lt;$R921,OR($M921="Completed",AND(ISNUMBER($L921),$L921&lt;ReportDate))),1,0),0)</f>
        <v>0</v>
      </c>
      <c r="AT921" s="71">
        <f>IF($AK921=1,IF(OR($L921=ReportDate,$W921=ReportDate,$K921=ReportDate,$A921=ReportDate),1,0),0)</f>
        <v>0</v>
      </c>
      <c r="AU921" s="71">
        <f>IF($AK921=1,IF(OR($L921=ReportDate+1,$W921=ReportDate+1,$K921=ReportDate+1,$A921=ReportDate+1),1,0),0)</f>
        <v>0</v>
      </c>
      <c r="AV921" s="71">
        <f>IF(AND($G921&lt;&gt;"",$M921="Completed"),IF(OR($Y921=ReportDate-1,$A921=ReportDate-1),1,0),0)</f>
        <v>0</v>
      </c>
      <c r="AW921" s="71">
        <f>IF(AND($AK921=1,$Z921="Yes"),1,0)</f>
        <v>0</v>
      </c>
      <c r="AX921" s="71">
        <f>IF(AND($AK921=1,$AA921="Yes"),1,0)</f>
        <v>0</v>
      </c>
      <c r="AY921" s="71">
        <f>IF(AND($AM921=1,OR($I921="Critical",$I921="High")),1,0)</f>
        <v>0</v>
      </c>
      <c r="AZ921" s="71">
        <f>IF(AND($AK921=1,OR($C921=TCL_Client,$C921=MECCA_Client)),1,0)</f>
        <v>0</v>
      </c>
      <c r="BA921" s="71" t="str">
        <f>IF($G921="","",IFERROR(MATCH($I921,lst_Priority,0),5))</f>
        <v/>
      </c>
      <c r="BB921" s="71" t="str">
        <f>IF(AND($AL921=1,$AJ921=1),$BA921*100000+ROW(),"")</f>
        <v/>
      </c>
      <c r="BC921" s="71" t="str">
        <f>IF(AND($AM921=1,$AJ921=1),$BA921*100000+ROW(),"")</f>
        <v/>
      </c>
      <c r="BD921" s="71" t="str">
        <f>IF(AND($AP921=1,$AJ921=1),$BA921*100000+ROW(),"")</f>
        <v/>
      </c>
      <c r="BE921" s="71" t="str">
        <f>IF(AND($AT921=1,$AJ921=1),$BA921*100000+ROW(),"")</f>
        <v/>
      </c>
      <c r="BF921" s="71" t="str">
        <f>IF(AND($AU921=1,$AJ921=1),$BA921*100000+ROW(),"")</f>
        <v/>
      </c>
      <c r="BG921" s="71" t="str">
        <f>IF(AND($AV921=1,$AJ921=1),$BA921*100000+ROW(),"")</f>
        <v/>
      </c>
      <c r="BH921" s="71" t="str">
        <f>IF(AND($AW921=1,$AJ921=1),$BA921*100000+ROW(),"")</f>
        <v/>
      </c>
      <c r="BI921" s="71" t="str">
        <f>IF(AND($AX921=1,$AJ921=1),$BA921*100000+ROW(),"")</f>
        <v/>
      </c>
      <c r="BJ921" s="71" t="str">
        <f>IF(AND($AS921=1,$AJ921=1),$BA921*100000+ROW(),"")</f>
        <v/>
      </c>
      <c r="BK921" s="71" t="str">
        <f>IF(AND($AY921=1,$AJ921=1),$BA921*100000+ROW(),"")</f>
        <v/>
      </c>
      <c r="BL921" s="71" t="str">
        <f>IF(AND($AZ921=1),$BA921*100000+ROW(),"")</f>
        <v/>
      </c>
    </row>
    <row r="922">
      <c r="A922" s="63" t="n"/>
      <c r="B922" s="64" t="n"/>
      <c r="C922" s="64" t="n"/>
      <c r="D922" s="64" t="n"/>
      <c r="E922" s="64" t="n"/>
      <c r="F922" s="64" t="n"/>
      <c r="G922" s="65" t="n"/>
      <c r="H922" s="65" t="n"/>
      <c r="I922" s="64" t="n"/>
      <c r="J922" s="64" t="n"/>
      <c r="K922" s="63" t="n"/>
      <c r="L922" s="63" t="n"/>
      <c r="M922" s="64" t="n"/>
      <c r="N922" s="66" t="n"/>
      <c r="O922" s="65" t="n"/>
      <c r="P922" s="64" t="n"/>
      <c r="Q922" s="67" t="n"/>
      <c r="R922" s="67" t="n"/>
      <c r="S922" s="68" t="str">
        <f>IF(AND(ISNUMBER($Q922),ISNUMBER($R922)),$Q922-$R922,"")</f>
        <v/>
      </c>
      <c r="T922" s="65" t="n"/>
      <c r="U922" s="64" t="n"/>
      <c r="V922" s="65" t="n"/>
      <c r="W922" s="63" t="n"/>
      <c r="X922" s="65" t="n"/>
      <c r="Y922" s="63" t="n"/>
      <c r="Z922" s="64" t="n"/>
      <c r="AA922" s="64" t="n"/>
      <c r="AB922" s="65" t="n"/>
      <c r="AC922" s="69" t="str">
        <f>IF(OR($G922="",NOT(ISNUMBER($K922)),$AK922=0),"",MAX(0,ReportDate-$K922))</f>
        <v/>
      </c>
      <c r="AD922" s="69" t="str">
        <f>IF($G922="","",IF($AL922=1,ReportDate-$L922,0))</f>
        <v/>
      </c>
      <c r="AE922" s="70" t="str">
        <f>IF($G922="","",IF($M922="Completed",1,IF(ISNUMBER($N922),$N922,0)))</f>
        <v/>
      </c>
      <c r="AF922" s="70" t="str">
        <f>IF(AND(ISNUMBER($Q922),ISNUMBER($R922)),IF($R922&lt;&gt;0,$Q922/$R922,""),"")</f>
        <v/>
      </c>
      <c r="AG922" s="71" t="str">
        <f>IF($G922="","",IF($AL922=1,"OVERDUE",IF($AM922=1,"BLOCKED",IF($AN922=1,"DUE TODAY",IF($AO922=1,"DUE TOMORROW",IF($AQ922=1,"HIGH PRIORITY",IF($AR922=1,"NO RECENT UPDATE",""))))))) </f>
        <v/>
      </c>
      <c r="AH922" s="71" t="str">
        <f>IF($G922="","",IF(ISNUMBER($A922),IF(ISNUMBER($A922),YEAR($A922)&amp;"-"&amp;TEXT(MONTH($A922),"00"),""),IF(ISNUMBER($L922),IF(ISNUMBER($L922),YEAR($L922)&amp;"-"&amp;TEXT(MONTH($L922),"00"),""),"")))</f>
        <v/>
      </c>
      <c r="AI922" s="71">
        <f>IF($G922="",0,IF(AND(OR(fClient="All",$C922=fClient),OR(fCampaign="All",$D922=fCampaign),OR(fTeam="All",$B922=fTeam),OR(fChannel="All",$F922=fChannel),OR(fMonth="All",$AH922=fMonth),OR(fTStatus="All",$M922=fTStatus)),1,0))</f>
        <v>0</v>
      </c>
      <c r="AJ922" s="71">
        <f>IF($G922="",0,IF(AND(OR(fClient="All",$C922=fClient),OR(fCampaign="All",$D922=fCampaign),OR(fTeam="All",$B922=fTeam),OR(fChannel="All",$F922=fChannel)),1,0))</f>
        <v>0</v>
      </c>
      <c r="AK922" s="71">
        <f>IF($G922="",0,IF(OR($M922="Completed",$M922="Cancelled"),0,1))</f>
        <v>0</v>
      </c>
      <c r="AL922" s="71">
        <f>IF(AND($AK922=1,ISNUMBER($L922)),IF($L922&lt;ReportDate,1,0),0)</f>
        <v>0</v>
      </c>
      <c r="AM922" s="71">
        <f>IF(AND($G922&lt;&gt;"",$M922="Blocked"),1,0)</f>
        <v>0</v>
      </c>
      <c r="AN922" s="71">
        <f>IF(AND($AK922=1,ISNUMBER($L922)),IF($L922=ReportDate,1,0),0)</f>
        <v>0</v>
      </c>
      <c r="AO922" s="71">
        <f>IF(AND($AK922=1,ISNUMBER($L922)),IF($L922=ReportDate+1,1,0),0)</f>
        <v>0</v>
      </c>
      <c r="AP922" s="71">
        <f>IF(AND($AK922=1,ISNUMBER($L922)),IF(AND($L922&gt;=ReportDate,$L922&lt;=ReportDate+DueSoonDays),1,0),0)</f>
        <v>0</v>
      </c>
      <c r="AQ922" s="71">
        <f>IF(AND($AK922=1,OR($I922="Critical",$I922="High")),1,0)</f>
        <v>0</v>
      </c>
      <c r="AR922" s="71">
        <f>IF($AK922=1,IF(ISNUMBER($Y922),IF(ReportDate-$Y922&gt;StaleDays,1,0),1),0)</f>
        <v>0</v>
      </c>
      <c r="AS922" s="71">
        <f>IF(AND($G922&lt;&gt;"",ISNUMBER($Q922),ISNUMBER($R922)),IF(AND($Q922&lt;$R922,OR($M922="Completed",AND(ISNUMBER($L922),$L922&lt;ReportDate))),1,0),0)</f>
        <v>0</v>
      </c>
      <c r="AT922" s="71">
        <f>IF($AK922=1,IF(OR($L922=ReportDate,$W922=ReportDate,$K922=ReportDate,$A922=ReportDate),1,0),0)</f>
        <v>0</v>
      </c>
      <c r="AU922" s="71">
        <f>IF($AK922=1,IF(OR($L922=ReportDate+1,$W922=ReportDate+1,$K922=ReportDate+1,$A922=ReportDate+1),1,0),0)</f>
        <v>0</v>
      </c>
      <c r="AV922" s="71">
        <f>IF(AND($G922&lt;&gt;"",$M922="Completed"),IF(OR($Y922=ReportDate-1,$A922=ReportDate-1),1,0),0)</f>
        <v>0</v>
      </c>
      <c r="AW922" s="71">
        <f>IF(AND($AK922=1,$Z922="Yes"),1,0)</f>
        <v>0</v>
      </c>
      <c r="AX922" s="71">
        <f>IF(AND($AK922=1,$AA922="Yes"),1,0)</f>
        <v>0</v>
      </c>
      <c r="AY922" s="71">
        <f>IF(AND($AM922=1,OR($I922="Critical",$I922="High")),1,0)</f>
        <v>0</v>
      </c>
      <c r="AZ922" s="71">
        <f>IF(AND($AK922=1,OR($C922=TCL_Client,$C922=MECCA_Client)),1,0)</f>
        <v>0</v>
      </c>
      <c r="BA922" s="71" t="str">
        <f>IF($G922="","",IFERROR(MATCH($I922,lst_Priority,0),5))</f>
        <v/>
      </c>
      <c r="BB922" s="71" t="str">
        <f>IF(AND($AL922=1,$AJ922=1),$BA922*100000+ROW(),"")</f>
        <v/>
      </c>
      <c r="BC922" s="71" t="str">
        <f>IF(AND($AM922=1,$AJ922=1),$BA922*100000+ROW(),"")</f>
        <v/>
      </c>
      <c r="BD922" s="71" t="str">
        <f>IF(AND($AP922=1,$AJ922=1),$BA922*100000+ROW(),"")</f>
        <v/>
      </c>
      <c r="BE922" s="71" t="str">
        <f>IF(AND($AT922=1,$AJ922=1),$BA922*100000+ROW(),"")</f>
        <v/>
      </c>
      <c r="BF922" s="71" t="str">
        <f>IF(AND($AU922=1,$AJ922=1),$BA922*100000+ROW(),"")</f>
        <v/>
      </c>
      <c r="BG922" s="71" t="str">
        <f>IF(AND($AV922=1,$AJ922=1),$BA922*100000+ROW(),"")</f>
        <v/>
      </c>
      <c r="BH922" s="71" t="str">
        <f>IF(AND($AW922=1,$AJ922=1),$BA922*100000+ROW(),"")</f>
        <v/>
      </c>
      <c r="BI922" s="71" t="str">
        <f>IF(AND($AX922=1,$AJ922=1),$BA922*100000+ROW(),"")</f>
        <v/>
      </c>
      <c r="BJ922" s="71" t="str">
        <f>IF(AND($AS922=1,$AJ922=1),$BA922*100000+ROW(),"")</f>
        <v/>
      </c>
      <c r="BK922" s="71" t="str">
        <f>IF(AND($AY922=1,$AJ922=1),$BA922*100000+ROW(),"")</f>
        <v/>
      </c>
      <c r="BL922" s="71" t="str">
        <f>IF(AND($AZ922=1),$BA922*100000+ROW(),"")</f>
        <v/>
      </c>
    </row>
    <row r="923">
      <c r="A923" s="63" t="n"/>
      <c r="B923" s="64" t="n"/>
      <c r="C923" s="64" t="n"/>
      <c r="D923" s="64" t="n"/>
      <c r="E923" s="64" t="n"/>
      <c r="F923" s="64" t="n"/>
      <c r="G923" s="65" t="n"/>
      <c r="H923" s="65" t="n"/>
      <c r="I923" s="64" t="n"/>
      <c r="J923" s="64" t="n"/>
      <c r="K923" s="63" t="n"/>
      <c r="L923" s="63" t="n"/>
      <c r="M923" s="64" t="n"/>
      <c r="N923" s="66" t="n"/>
      <c r="O923" s="65" t="n"/>
      <c r="P923" s="64" t="n"/>
      <c r="Q923" s="67" t="n"/>
      <c r="R923" s="67" t="n"/>
      <c r="S923" s="68" t="str">
        <f>IF(AND(ISNUMBER($Q923),ISNUMBER($R923)),$Q923-$R923,"")</f>
        <v/>
      </c>
      <c r="T923" s="65" t="n"/>
      <c r="U923" s="64" t="n"/>
      <c r="V923" s="65" t="n"/>
      <c r="W923" s="63" t="n"/>
      <c r="X923" s="65" t="n"/>
      <c r="Y923" s="63" t="n"/>
      <c r="Z923" s="64" t="n"/>
      <c r="AA923" s="64" t="n"/>
      <c r="AB923" s="65" t="n"/>
      <c r="AC923" s="69" t="str">
        <f>IF(OR($G923="",NOT(ISNUMBER($K923)),$AK923=0),"",MAX(0,ReportDate-$K923))</f>
        <v/>
      </c>
      <c r="AD923" s="69" t="str">
        <f>IF($G923="","",IF($AL923=1,ReportDate-$L923,0))</f>
        <v/>
      </c>
      <c r="AE923" s="70" t="str">
        <f>IF($G923="","",IF($M923="Completed",1,IF(ISNUMBER($N923),$N923,0)))</f>
        <v/>
      </c>
      <c r="AF923" s="70" t="str">
        <f>IF(AND(ISNUMBER($Q923),ISNUMBER($R923)),IF($R923&lt;&gt;0,$Q923/$R923,""),"")</f>
        <v/>
      </c>
      <c r="AG923" s="71" t="str">
        <f>IF($G923="","",IF($AL923=1,"OVERDUE",IF($AM923=1,"BLOCKED",IF($AN923=1,"DUE TODAY",IF($AO923=1,"DUE TOMORROW",IF($AQ923=1,"HIGH PRIORITY",IF($AR923=1,"NO RECENT UPDATE",""))))))) </f>
        <v/>
      </c>
      <c r="AH923" s="71" t="str">
        <f>IF($G923="","",IF(ISNUMBER($A923),IF(ISNUMBER($A923),YEAR($A923)&amp;"-"&amp;TEXT(MONTH($A923),"00"),""),IF(ISNUMBER($L923),IF(ISNUMBER($L923),YEAR($L923)&amp;"-"&amp;TEXT(MONTH($L923),"00"),""),"")))</f>
        <v/>
      </c>
      <c r="AI923" s="71">
        <f>IF($G923="",0,IF(AND(OR(fClient="All",$C923=fClient),OR(fCampaign="All",$D923=fCampaign),OR(fTeam="All",$B923=fTeam),OR(fChannel="All",$F923=fChannel),OR(fMonth="All",$AH923=fMonth),OR(fTStatus="All",$M923=fTStatus)),1,0))</f>
        <v>0</v>
      </c>
      <c r="AJ923" s="71">
        <f>IF($G923="",0,IF(AND(OR(fClient="All",$C923=fClient),OR(fCampaign="All",$D923=fCampaign),OR(fTeam="All",$B923=fTeam),OR(fChannel="All",$F923=fChannel)),1,0))</f>
        <v>0</v>
      </c>
      <c r="AK923" s="71">
        <f>IF($G923="",0,IF(OR($M923="Completed",$M923="Cancelled"),0,1))</f>
        <v>0</v>
      </c>
      <c r="AL923" s="71">
        <f>IF(AND($AK923=1,ISNUMBER($L923)),IF($L923&lt;ReportDate,1,0),0)</f>
        <v>0</v>
      </c>
      <c r="AM923" s="71">
        <f>IF(AND($G923&lt;&gt;"",$M923="Blocked"),1,0)</f>
        <v>0</v>
      </c>
      <c r="AN923" s="71">
        <f>IF(AND($AK923=1,ISNUMBER($L923)),IF($L923=ReportDate,1,0),0)</f>
        <v>0</v>
      </c>
      <c r="AO923" s="71">
        <f>IF(AND($AK923=1,ISNUMBER($L923)),IF($L923=ReportDate+1,1,0),0)</f>
        <v>0</v>
      </c>
      <c r="AP923" s="71">
        <f>IF(AND($AK923=1,ISNUMBER($L923)),IF(AND($L923&gt;=ReportDate,$L923&lt;=ReportDate+DueSoonDays),1,0),0)</f>
        <v>0</v>
      </c>
      <c r="AQ923" s="71">
        <f>IF(AND($AK923=1,OR($I923="Critical",$I923="High")),1,0)</f>
        <v>0</v>
      </c>
      <c r="AR923" s="71">
        <f>IF($AK923=1,IF(ISNUMBER($Y923),IF(ReportDate-$Y923&gt;StaleDays,1,0),1),0)</f>
        <v>0</v>
      </c>
      <c r="AS923" s="71">
        <f>IF(AND($G923&lt;&gt;"",ISNUMBER($Q923),ISNUMBER($R923)),IF(AND($Q923&lt;$R923,OR($M923="Completed",AND(ISNUMBER($L923),$L923&lt;ReportDate))),1,0),0)</f>
        <v>0</v>
      </c>
      <c r="AT923" s="71">
        <f>IF($AK923=1,IF(OR($L923=ReportDate,$W923=ReportDate,$K923=ReportDate,$A923=ReportDate),1,0),0)</f>
        <v>0</v>
      </c>
      <c r="AU923" s="71">
        <f>IF($AK923=1,IF(OR($L923=ReportDate+1,$W923=ReportDate+1,$K923=ReportDate+1,$A923=ReportDate+1),1,0),0)</f>
        <v>0</v>
      </c>
      <c r="AV923" s="71">
        <f>IF(AND($G923&lt;&gt;"",$M923="Completed"),IF(OR($Y923=ReportDate-1,$A923=ReportDate-1),1,0),0)</f>
        <v>0</v>
      </c>
      <c r="AW923" s="71">
        <f>IF(AND($AK923=1,$Z923="Yes"),1,0)</f>
        <v>0</v>
      </c>
      <c r="AX923" s="71">
        <f>IF(AND($AK923=1,$AA923="Yes"),1,0)</f>
        <v>0</v>
      </c>
      <c r="AY923" s="71">
        <f>IF(AND($AM923=1,OR($I923="Critical",$I923="High")),1,0)</f>
        <v>0</v>
      </c>
      <c r="AZ923" s="71">
        <f>IF(AND($AK923=1,OR($C923=TCL_Client,$C923=MECCA_Client)),1,0)</f>
        <v>0</v>
      </c>
      <c r="BA923" s="71" t="str">
        <f>IF($G923="","",IFERROR(MATCH($I923,lst_Priority,0),5))</f>
        <v/>
      </c>
      <c r="BB923" s="71" t="str">
        <f>IF(AND($AL923=1,$AJ923=1),$BA923*100000+ROW(),"")</f>
        <v/>
      </c>
      <c r="BC923" s="71" t="str">
        <f>IF(AND($AM923=1,$AJ923=1),$BA923*100000+ROW(),"")</f>
        <v/>
      </c>
      <c r="BD923" s="71" t="str">
        <f>IF(AND($AP923=1,$AJ923=1),$BA923*100000+ROW(),"")</f>
        <v/>
      </c>
      <c r="BE923" s="71" t="str">
        <f>IF(AND($AT923=1,$AJ923=1),$BA923*100000+ROW(),"")</f>
        <v/>
      </c>
      <c r="BF923" s="71" t="str">
        <f>IF(AND($AU923=1,$AJ923=1),$BA923*100000+ROW(),"")</f>
        <v/>
      </c>
      <c r="BG923" s="71" t="str">
        <f>IF(AND($AV923=1,$AJ923=1),$BA923*100000+ROW(),"")</f>
        <v/>
      </c>
      <c r="BH923" s="71" t="str">
        <f>IF(AND($AW923=1,$AJ923=1),$BA923*100000+ROW(),"")</f>
        <v/>
      </c>
      <c r="BI923" s="71" t="str">
        <f>IF(AND($AX923=1,$AJ923=1),$BA923*100000+ROW(),"")</f>
        <v/>
      </c>
      <c r="BJ923" s="71" t="str">
        <f>IF(AND($AS923=1,$AJ923=1),$BA923*100000+ROW(),"")</f>
        <v/>
      </c>
      <c r="BK923" s="71" t="str">
        <f>IF(AND($AY923=1,$AJ923=1),$BA923*100000+ROW(),"")</f>
        <v/>
      </c>
      <c r="BL923" s="71" t="str">
        <f>IF(AND($AZ923=1),$BA923*100000+ROW(),"")</f>
        <v/>
      </c>
    </row>
    <row r="924">
      <c r="A924" s="63" t="n"/>
      <c r="B924" s="64" t="n"/>
      <c r="C924" s="64" t="n"/>
      <c r="D924" s="64" t="n"/>
      <c r="E924" s="64" t="n"/>
      <c r="F924" s="64" t="n"/>
      <c r="G924" s="65" t="n"/>
      <c r="H924" s="65" t="n"/>
      <c r="I924" s="64" t="n"/>
      <c r="J924" s="64" t="n"/>
      <c r="K924" s="63" t="n"/>
      <c r="L924" s="63" t="n"/>
      <c r="M924" s="64" t="n"/>
      <c r="N924" s="66" t="n"/>
      <c r="O924" s="65" t="n"/>
      <c r="P924" s="64" t="n"/>
      <c r="Q924" s="67" t="n"/>
      <c r="R924" s="67" t="n"/>
      <c r="S924" s="68" t="str">
        <f>IF(AND(ISNUMBER($Q924),ISNUMBER($R924)),$Q924-$R924,"")</f>
        <v/>
      </c>
      <c r="T924" s="65" t="n"/>
      <c r="U924" s="64" t="n"/>
      <c r="V924" s="65" t="n"/>
      <c r="W924" s="63" t="n"/>
      <c r="X924" s="65" t="n"/>
      <c r="Y924" s="63" t="n"/>
      <c r="Z924" s="64" t="n"/>
      <c r="AA924" s="64" t="n"/>
      <c r="AB924" s="65" t="n"/>
      <c r="AC924" s="69" t="str">
        <f>IF(OR($G924="",NOT(ISNUMBER($K924)),$AK924=0),"",MAX(0,ReportDate-$K924))</f>
        <v/>
      </c>
      <c r="AD924" s="69" t="str">
        <f>IF($G924="","",IF($AL924=1,ReportDate-$L924,0))</f>
        <v/>
      </c>
      <c r="AE924" s="70" t="str">
        <f>IF($G924="","",IF($M924="Completed",1,IF(ISNUMBER($N924),$N924,0)))</f>
        <v/>
      </c>
      <c r="AF924" s="70" t="str">
        <f>IF(AND(ISNUMBER($Q924),ISNUMBER($R924)),IF($R924&lt;&gt;0,$Q924/$R924,""),"")</f>
        <v/>
      </c>
      <c r="AG924" s="71" t="str">
        <f>IF($G924="","",IF($AL924=1,"OVERDUE",IF($AM924=1,"BLOCKED",IF($AN924=1,"DUE TODAY",IF($AO924=1,"DUE TOMORROW",IF($AQ924=1,"HIGH PRIORITY",IF($AR924=1,"NO RECENT UPDATE",""))))))) </f>
        <v/>
      </c>
      <c r="AH924" s="71" t="str">
        <f>IF($G924="","",IF(ISNUMBER($A924),IF(ISNUMBER($A924),YEAR($A924)&amp;"-"&amp;TEXT(MONTH($A924),"00"),""),IF(ISNUMBER($L924),IF(ISNUMBER($L924),YEAR($L924)&amp;"-"&amp;TEXT(MONTH($L924),"00"),""),"")))</f>
        <v/>
      </c>
      <c r="AI924" s="71">
        <f>IF($G924="",0,IF(AND(OR(fClient="All",$C924=fClient),OR(fCampaign="All",$D924=fCampaign),OR(fTeam="All",$B924=fTeam),OR(fChannel="All",$F924=fChannel),OR(fMonth="All",$AH924=fMonth),OR(fTStatus="All",$M924=fTStatus)),1,0))</f>
        <v>0</v>
      </c>
      <c r="AJ924" s="71">
        <f>IF($G924="",0,IF(AND(OR(fClient="All",$C924=fClient),OR(fCampaign="All",$D924=fCampaign),OR(fTeam="All",$B924=fTeam),OR(fChannel="All",$F924=fChannel)),1,0))</f>
        <v>0</v>
      </c>
      <c r="AK924" s="71">
        <f>IF($G924="",0,IF(OR($M924="Completed",$M924="Cancelled"),0,1))</f>
        <v>0</v>
      </c>
      <c r="AL924" s="71">
        <f>IF(AND($AK924=1,ISNUMBER($L924)),IF($L924&lt;ReportDate,1,0),0)</f>
        <v>0</v>
      </c>
      <c r="AM924" s="71">
        <f>IF(AND($G924&lt;&gt;"",$M924="Blocked"),1,0)</f>
        <v>0</v>
      </c>
      <c r="AN924" s="71">
        <f>IF(AND($AK924=1,ISNUMBER($L924)),IF($L924=ReportDate,1,0),0)</f>
        <v>0</v>
      </c>
      <c r="AO924" s="71">
        <f>IF(AND($AK924=1,ISNUMBER($L924)),IF($L924=ReportDate+1,1,0),0)</f>
        <v>0</v>
      </c>
      <c r="AP924" s="71">
        <f>IF(AND($AK924=1,ISNUMBER($L924)),IF(AND($L924&gt;=ReportDate,$L924&lt;=ReportDate+DueSoonDays),1,0),0)</f>
        <v>0</v>
      </c>
      <c r="AQ924" s="71">
        <f>IF(AND($AK924=1,OR($I924="Critical",$I924="High")),1,0)</f>
        <v>0</v>
      </c>
      <c r="AR924" s="71">
        <f>IF($AK924=1,IF(ISNUMBER($Y924),IF(ReportDate-$Y924&gt;StaleDays,1,0),1),0)</f>
        <v>0</v>
      </c>
      <c r="AS924" s="71">
        <f>IF(AND($G924&lt;&gt;"",ISNUMBER($Q924),ISNUMBER($R924)),IF(AND($Q924&lt;$R924,OR($M924="Completed",AND(ISNUMBER($L924),$L924&lt;ReportDate))),1,0),0)</f>
        <v>0</v>
      </c>
      <c r="AT924" s="71">
        <f>IF($AK924=1,IF(OR($L924=ReportDate,$W924=ReportDate,$K924=ReportDate,$A924=ReportDate),1,0),0)</f>
        <v>0</v>
      </c>
      <c r="AU924" s="71">
        <f>IF($AK924=1,IF(OR($L924=ReportDate+1,$W924=ReportDate+1,$K924=ReportDate+1,$A924=ReportDate+1),1,0),0)</f>
        <v>0</v>
      </c>
      <c r="AV924" s="71">
        <f>IF(AND($G924&lt;&gt;"",$M924="Completed"),IF(OR($Y924=ReportDate-1,$A924=ReportDate-1),1,0),0)</f>
        <v>0</v>
      </c>
      <c r="AW924" s="71">
        <f>IF(AND($AK924=1,$Z924="Yes"),1,0)</f>
        <v>0</v>
      </c>
      <c r="AX924" s="71">
        <f>IF(AND($AK924=1,$AA924="Yes"),1,0)</f>
        <v>0</v>
      </c>
      <c r="AY924" s="71">
        <f>IF(AND($AM924=1,OR($I924="Critical",$I924="High")),1,0)</f>
        <v>0</v>
      </c>
      <c r="AZ924" s="71">
        <f>IF(AND($AK924=1,OR($C924=TCL_Client,$C924=MECCA_Client)),1,0)</f>
        <v>0</v>
      </c>
      <c r="BA924" s="71" t="str">
        <f>IF($G924="","",IFERROR(MATCH($I924,lst_Priority,0),5))</f>
        <v/>
      </c>
      <c r="BB924" s="71" t="str">
        <f>IF(AND($AL924=1,$AJ924=1),$BA924*100000+ROW(),"")</f>
        <v/>
      </c>
      <c r="BC924" s="71" t="str">
        <f>IF(AND($AM924=1,$AJ924=1),$BA924*100000+ROW(),"")</f>
        <v/>
      </c>
      <c r="BD924" s="71" t="str">
        <f>IF(AND($AP924=1,$AJ924=1),$BA924*100000+ROW(),"")</f>
        <v/>
      </c>
      <c r="BE924" s="71" t="str">
        <f>IF(AND($AT924=1,$AJ924=1),$BA924*100000+ROW(),"")</f>
        <v/>
      </c>
      <c r="BF924" s="71" t="str">
        <f>IF(AND($AU924=1,$AJ924=1),$BA924*100000+ROW(),"")</f>
        <v/>
      </c>
      <c r="BG924" s="71" t="str">
        <f>IF(AND($AV924=1,$AJ924=1),$BA924*100000+ROW(),"")</f>
        <v/>
      </c>
      <c r="BH924" s="71" t="str">
        <f>IF(AND($AW924=1,$AJ924=1),$BA924*100000+ROW(),"")</f>
        <v/>
      </c>
      <c r="BI924" s="71" t="str">
        <f>IF(AND($AX924=1,$AJ924=1),$BA924*100000+ROW(),"")</f>
        <v/>
      </c>
      <c r="BJ924" s="71" t="str">
        <f>IF(AND($AS924=1,$AJ924=1),$BA924*100000+ROW(),"")</f>
        <v/>
      </c>
      <c r="BK924" s="71" t="str">
        <f>IF(AND($AY924=1,$AJ924=1),$BA924*100000+ROW(),"")</f>
        <v/>
      </c>
      <c r="BL924" s="71" t="str">
        <f>IF(AND($AZ924=1),$BA924*100000+ROW(),"")</f>
        <v/>
      </c>
    </row>
    <row r="925">
      <c r="A925" s="63" t="n"/>
      <c r="B925" s="64" t="n"/>
      <c r="C925" s="64" t="n"/>
      <c r="D925" s="64" t="n"/>
      <c r="E925" s="64" t="n"/>
      <c r="F925" s="64" t="n"/>
      <c r="G925" s="65" t="n"/>
      <c r="H925" s="65" t="n"/>
      <c r="I925" s="64" t="n"/>
      <c r="J925" s="64" t="n"/>
      <c r="K925" s="63" t="n"/>
      <c r="L925" s="63" t="n"/>
      <c r="M925" s="64" t="n"/>
      <c r="N925" s="66" t="n"/>
      <c r="O925" s="65" t="n"/>
      <c r="P925" s="64" t="n"/>
      <c r="Q925" s="67" t="n"/>
      <c r="R925" s="67" t="n"/>
      <c r="S925" s="68" t="str">
        <f>IF(AND(ISNUMBER($Q925),ISNUMBER($R925)),$Q925-$R925,"")</f>
        <v/>
      </c>
      <c r="T925" s="65" t="n"/>
      <c r="U925" s="64" t="n"/>
      <c r="V925" s="65" t="n"/>
      <c r="W925" s="63" t="n"/>
      <c r="X925" s="65" t="n"/>
      <c r="Y925" s="63" t="n"/>
      <c r="Z925" s="64" t="n"/>
      <c r="AA925" s="64" t="n"/>
      <c r="AB925" s="65" t="n"/>
      <c r="AC925" s="69" t="str">
        <f>IF(OR($G925="",NOT(ISNUMBER($K925)),$AK925=0),"",MAX(0,ReportDate-$K925))</f>
        <v/>
      </c>
      <c r="AD925" s="69" t="str">
        <f>IF($G925="","",IF($AL925=1,ReportDate-$L925,0))</f>
        <v/>
      </c>
      <c r="AE925" s="70" t="str">
        <f>IF($G925="","",IF($M925="Completed",1,IF(ISNUMBER($N925),$N925,0)))</f>
        <v/>
      </c>
      <c r="AF925" s="70" t="str">
        <f>IF(AND(ISNUMBER($Q925),ISNUMBER($R925)),IF($R925&lt;&gt;0,$Q925/$R925,""),"")</f>
        <v/>
      </c>
      <c r="AG925" s="71" t="str">
        <f>IF($G925="","",IF($AL925=1,"OVERDUE",IF($AM925=1,"BLOCKED",IF($AN925=1,"DUE TODAY",IF($AO925=1,"DUE TOMORROW",IF($AQ925=1,"HIGH PRIORITY",IF($AR925=1,"NO RECENT UPDATE",""))))))) </f>
        <v/>
      </c>
      <c r="AH925" s="71" t="str">
        <f>IF($G925="","",IF(ISNUMBER($A925),IF(ISNUMBER($A925),YEAR($A925)&amp;"-"&amp;TEXT(MONTH($A925),"00"),""),IF(ISNUMBER($L925),IF(ISNUMBER($L925),YEAR($L925)&amp;"-"&amp;TEXT(MONTH($L925),"00"),""),"")))</f>
        <v/>
      </c>
      <c r="AI925" s="71">
        <f>IF($G925="",0,IF(AND(OR(fClient="All",$C925=fClient),OR(fCampaign="All",$D925=fCampaign),OR(fTeam="All",$B925=fTeam),OR(fChannel="All",$F925=fChannel),OR(fMonth="All",$AH925=fMonth),OR(fTStatus="All",$M925=fTStatus)),1,0))</f>
        <v>0</v>
      </c>
      <c r="AJ925" s="71">
        <f>IF($G925="",0,IF(AND(OR(fClient="All",$C925=fClient),OR(fCampaign="All",$D925=fCampaign),OR(fTeam="All",$B925=fTeam),OR(fChannel="All",$F925=fChannel)),1,0))</f>
        <v>0</v>
      </c>
      <c r="AK925" s="71">
        <f>IF($G925="",0,IF(OR($M925="Completed",$M925="Cancelled"),0,1))</f>
        <v>0</v>
      </c>
      <c r="AL925" s="71">
        <f>IF(AND($AK925=1,ISNUMBER($L925)),IF($L925&lt;ReportDate,1,0),0)</f>
        <v>0</v>
      </c>
      <c r="AM925" s="71">
        <f>IF(AND($G925&lt;&gt;"",$M925="Blocked"),1,0)</f>
        <v>0</v>
      </c>
      <c r="AN925" s="71">
        <f>IF(AND($AK925=1,ISNUMBER($L925)),IF($L925=ReportDate,1,0),0)</f>
        <v>0</v>
      </c>
      <c r="AO925" s="71">
        <f>IF(AND($AK925=1,ISNUMBER($L925)),IF($L925=ReportDate+1,1,0),0)</f>
        <v>0</v>
      </c>
      <c r="AP925" s="71">
        <f>IF(AND($AK925=1,ISNUMBER($L925)),IF(AND($L925&gt;=ReportDate,$L925&lt;=ReportDate+DueSoonDays),1,0),0)</f>
        <v>0</v>
      </c>
      <c r="AQ925" s="71">
        <f>IF(AND($AK925=1,OR($I925="Critical",$I925="High")),1,0)</f>
        <v>0</v>
      </c>
      <c r="AR925" s="71">
        <f>IF($AK925=1,IF(ISNUMBER($Y925),IF(ReportDate-$Y925&gt;StaleDays,1,0),1),0)</f>
        <v>0</v>
      </c>
      <c r="AS925" s="71">
        <f>IF(AND($G925&lt;&gt;"",ISNUMBER($Q925),ISNUMBER($R925)),IF(AND($Q925&lt;$R925,OR($M925="Completed",AND(ISNUMBER($L925),$L925&lt;ReportDate))),1,0),0)</f>
        <v>0</v>
      </c>
      <c r="AT925" s="71">
        <f>IF($AK925=1,IF(OR($L925=ReportDate,$W925=ReportDate,$K925=ReportDate,$A925=ReportDate),1,0),0)</f>
        <v>0</v>
      </c>
      <c r="AU925" s="71">
        <f>IF($AK925=1,IF(OR($L925=ReportDate+1,$W925=ReportDate+1,$K925=ReportDate+1,$A925=ReportDate+1),1,0),0)</f>
        <v>0</v>
      </c>
      <c r="AV925" s="71">
        <f>IF(AND($G925&lt;&gt;"",$M925="Completed"),IF(OR($Y925=ReportDate-1,$A925=ReportDate-1),1,0),0)</f>
        <v>0</v>
      </c>
      <c r="AW925" s="71">
        <f>IF(AND($AK925=1,$Z925="Yes"),1,0)</f>
        <v>0</v>
      </c>
      <c r="AX925" s="71">
        <f>IF(AND($AK925=1,$AA925="Yes"),1,0)</f>
        <v>0</v>
      </c>
      <c r="AY925" s="71">
        <f>IF(AND($AM925=1,OR($I925="Critical",$I925="High")),1,0)</f>
        <v>0</v>
      </c>
      <c r="AZ925" s="71">
        <f>IF(AND($AK925=1,OR($C925=TCL_Client,$C925=MECCA_Client)),1,0)</f>
        <v>0</v>
      </c>
      <c r="BA925" s="71" t="str">
        <f>IF($G925="","",IFERROR(MATCH($I925,lst_Priority,0),5))</f>
        <v/>
      </c>
      <c r="BB925" s="71" t="str">
        <f>IF(AND($AL925=1,$AJ925=1),$BA925*100000+ROW(),"")</f>
        <v/>
      </c>
      <c r="BC925" s="71" t="str">
        <f>IF(AND($AM925=1,$AJ925=1),$BA925*100000+ROW(),"")</f>
        <v/>
      </c>
      <c r="BD925" s="71" t="str">
        <f>IF(AND($AP925=1,$AJ925=1),$BA925*100000+ROW(),"")</f>
        <v/>
      </c>
      <c r="BE925" s="71" t="str">
        <f>IF(AND($AT925=1,$AJ925=1),$BA925*100000+ROW(),"")</f>
        <v/>
      </c>
      <c r="BF925" s="71" t="str">
        <f>IF(AND($AU925=1,$AJ925=1),$BA925*100000+ROW(),"")</f>
        <v/>
      </c>
      <c r="BG925" s="71" t="str">
        <f>IF(AND($AV925=1,$AJ925=1),$BA925*100000+ROW(),"")</f>
        <v/>
      </c>
      <c r="BH925" s="71" t="str">
        <f>IF(AND($AW925=1,$AJ925=1),$BA925*100000+ROW(),"")</f>
        <v/>
      </c>
      <c r="BI925" s="71" t="str">
        <f>IF(AND($AX925=1,$AJ925=1),$BA925*100000+ROW(),"")</f>
        <v/>
      </c>
      <c r="BJ925" s="71" t="str">
        <f>IF(AND($AS925=1,$AJ925=1),$BA925*100000+ROW(),"")</f>
        <v/>
      </c>
      <c r="BK925" s="71" t="str">
        <f>IF(AND($AY925=1,$AJ925=1),$BA925*100000+ROW(),"")</f>
        <v/>
      </c>
      <c r="BL925" s="71" t="str">
        <f>IF(AND($AZ925=1),$BA925*100000+ROW(),"")</f>
        <v/>
      </c>
    </row>
    <row r="926">
      <c r="A926" s="63" t="n"/>
      <c r="B926" s="64" t="n"/>
      <c r="C926" s="64" t="n"/>
      <c r="D926" s="64" t="n"/>
      <c r="E926" s="64" t="n"/>
      <c r="F926" s="64" t="n"/>
      <c r="G926" s="65" t="n"/>
      <c r="H926" s="65" t="n"/>
      <c r="I926" s="64" t="n"/>
      <c r="J926" s="64" t="n"/>
      <c r="K926" s="63" t="n"/>
      <c r="L926" s="63" t="n"/>
      <c r="M926" s="64" t="n"/>
      <c r="N926" s="66" t="n"/>
      <c r="O926" s="65" t="n"/>
      <c r="P926" s="64" t="n"/>
      <c r="Q926" s="67" t="n"/>
      <c r="R926" s="67" t="n"/>
      <c r="S926" s="68" t="str">
        <f>IF(AND(ISNUMBER($Q926),ISNUMBER($R926)),$Q926-$R926,"")</f>
        <v/>
      </c>
      <c r="T926" s="65" t="n"/>
      <c r="U926" s="64" t="n"/>
      <c r="V926" s="65" t="n"/>
      <c r="W926" s="63" t="n"/>
      <c r="X926" s="65" t="n"/>
      <c r="Y926" s="63" t="n"/>
      <c r="Z926" s="64" t="n"/>
      <c r="AA926" s="64" t="n"/>
      <c r="AB926" s="65" t="n"/>
      <c r="AC926" s="69" t="str">
        <f>IF(OR($G926="",NOT(ISNUMBER($K926)),$AK926=0),"",MAX(0,ReportDate-$K926))</f>
        <v/>
      </c>
      <c r="AD926" s="69" t="str">
        <f>IF($G926="","",IF($AL926=1,ReportDate-$L926,0))</f>
        <v/>
      </c>
      <c r="AE926" s="70" t="str">
        <f>IF($G926="","",IF($M926="Completed",1,IF(ISNUMBER($N926),$N926,0)))</f>
        <v/>
      </c>
      <c r="AF926" s="70" t="str">
        <f>IF(AND(ISNUMBER($Q926),ISNUMBER($R926)),IF($R926&lt;&gt;0,$Q926/$R926,""),"")</f>
        <v/>
      </c>
      <c r="AG926" s="71" t="str">
        <f>IF($G926="","",IF($AL926=1,"OVERDUE",IF($AM926=1,"BLOCKED",IF($AN926=1,"DUE TODAY",IF($AO926=1,"DUE TOMORROW",IF($AQ926=1,"HIGH PRIORITY",IF($AR926=1,"NO RECENT UPDATE",""))))))) </f>
        <v/>
      </c>
      <c r="AH926" s="71" t="str">
        <f>IF($G926="","",IF(ISNUMBER($A926),IF(ISNUMBER($A926),YEAR($A926)&amp;"-"&amp;TEXT(MONTH($A926),"00"),""),IF(ISNUMBER($L926),IF(ISNUMBER($L926),YEAR($L926)&amp;"-"&amp;TEXT(MONTH($L926),"00"),""),"")))</f>
        <v/>
      </c>
      <c r="AI926" s="71">
        <f>IF($G926="",0,IF(AND(OR(fClient="All",$C926=fClient),OR(fCampaign="All",$D926=fCampaign),OR(fTeam="All",$B926=fTeam),OR(fChannel="All",$F926=fChannel),OR(fMonth="All",$AH926=fMonth),OR(fTStatus="All",$M926=fTStatus)),1,0))</f>
        <v>0</v>
      </c>
      <c r="AJ926" s="71">
        <f>IF($G926="",0,IF(AND(OR(fClient="All",$C926=fClient),OR(fCampaign="All",$D926=fCampaign),OR(fTeam="All",$B926=fTeam),OR(fChannel="All",$F926=fChannel)),1,0))</f>
        <v>0</v>
      </c>
      <c r="AK926" s="71">
        <f>IF($G926="",0,IF(OR($M926="Completed",$M926="Cancelled"),0,1))</f>
        <v>0</v>
      </c>
      <c r="AL926" s="71">
        <f>IF(AND($AK926=1,ISNUMBER($L926)),IF($L926&lt;ReportDate,1,0),0)</f>
        <v>0</v>
      </c>
      <c r="AM926" s="71">
        <f>IF(AND($G926&lt;&gt;"",$M926="Blocked"),1,0)</f>
        <v>0</v>
      </c>
      <c r="AN926" s="71">
        <f>IF(AND($AK926=1,ISNUMBER($L926)),IF($L926=ReportDate,1,0),0)</f>
        <v>0</v>
      </c>
      <c r="AO926" s="71">
        <f>IF(AND($AK926=1,ISNUMBER($L926)),IF($L926=ReportDate+1,1,0),0)</f>
        <v>0</v>
      </c>
      <c r="AP926" s="71">
        <f>IF(AND($AK926=1,ISNUMBER($L926)),IF(AND($L926&gt;=ReportDate,$L926&lt;=ReportDate+DueSoonDays),1,0),0)</f>
        <v>0</v>
      </c>
      <c r="AQ926" s="71">
        <f>IF(AND($AK926=1,OR($I926="Critical",$I926="High")),1,0)</f>
        <v>0</v>
      </c>
      <c r="AR926" s="71">
        <f>IF($AK926=1,IF(ISNUMBER($Y926),IF(ReportDate-$Y926&gt;StaleDays,1,0),1),0)</f>
        <v>0</v>
      </c>
      <c r="AS926" s="71">
        <f>IF(AND($G926&lt;&gt;"",ISNUMBER($Q926),ISNUMBER($R926)),IF(AND($Q926&lt;$R926,OR($M926="Completed",AND(ISNUMBER($L926),$L926&lt;ReportDate))),1,0),0)</f>
        <v>0</v>
      </c>
      <c r="AT926" s="71">
        <f>IF($AK926=1,IF(OR($L926=ReportDate,$W926=ReportDate,$K926=ReportDate,$A926=ReportDate),1,0),0)</f>
        <v>0</v>
      </c>
      <c r="AU926" s="71">
        <f>IF($AK926=1,IF(OR($L926=ReportDate+1,$W926=ReportDate+1,$K926=ReportDate+1,$A926=ReportDate+1),1,0),0)</f>
        <v>0</v>
      </c>
      <c r="AV926" s="71">
        <f>IF(AND($G926&lt;&gt;"",$M926="Completed"),IF(OR($Y926=ReportDate-1,$A926=ReportDate-1),1,0),0)</f>
        <v>0</v>
      </c>
      <c r="AW926" s="71">
        <f>IF(AND($AK926=1,$Z926="Yes"),1,0)</f>
        <v>0</v>
      </c>
      <c r="AX926" s="71">
        <f>IF(AND($AK926=1,$AA926="Yes"),1,0)</f>
        <v>0</v>
      </c>
      <c r="AY926" s="71">
        <f>IF(AND($AM926=1,OR($I926="Critical",$I926="High")),1,0)</f>
        <v>0</v>
      </c>
      <c r="AZ926" s="71">
        <f>IF(AND($AK926=1,OR($C926=TCL_Client,$C926=MECCA_Client)),1,0)</f>
        <v>0</v>
      </c>
      <c r="BA926" s="71" t="str">
        <f>IF($G926="","",IFERROR(MATCH($I926,lst_Priority,0),5))</f>
        <v/>
      </c>
      <c r="BB926" s="71" t="str">
        <f>IF(AND($AL926=1,$AJ926=1),$BA926*100000+ROW(),"")</f>
        <v/>
      </c>
      <c r="BC926" s="71" t="str">
        <f>IF(AND($AM926=1,$AJ926=1),$BA926*100000+ROW(),"")</f>
        <v/>
      </c>
      <c r="BD926" s="71" t="str">
        <f>IF(AND($AP926=1,$AJ926=1),$BA926*100000+ROW(),"")</f>
        <v/>
      </c>
      <c r="BE926" s="71" t="str">
        <f>IF(AND($AT926=1,$AJ926=1),$BA926*100000+ROW(),"")</f>
        <v/>
      </c>
      <c r="BF926" s="71" t="str">
        <f>IF(AND($AU926=1,$AJ926=1),$BA926*100000+ROW(),"")</f>
        <v/>
      </c>
      <c r="BG926" s="71" t="str">
        <f>IF(AND($AV926=1,$AJ926=1),$BA926*100000+ROW(),"")</f>
        <v/>
      </c>
      <c r="BH926" s="71" t="str">
        <f>IF(AND($AW926=1,$AJ926=1),$BA926*100000+ROW(),"")</f>
        <v/>
      </c>
      <c r="BI926" s="71" t="str">
        <f>IF(AND($AX926=1,$AJ926=1),$BA926*100000+ROW(),"")</f>
        <v/>
      </c>
      <c r="BJ926" s="71" t="str">
        <f>IF(AND($AS926=1,$AJ926=1),$BA926*100000+ROW(),"")</f>
        <v/>
      </c>
      <c r="BK926" s="71" t="str">
        <f>IF(AND($AY926=1,$AJ926=1),$BA926*100000+ROW(),"")</f>
        <v/>
      </c>
      <c r="BL926" s="71" t="str">
        <f>IF(AND($AZ926=1),$BA926*100000+ROW(),"")</f>
        <v/>
      </c>
    </row>
    <row r="927">
      <c r="A927" s="63" t="n"/>
      <c r="B927" s="64" t="n"/>
      <c r="C927" s="64" t="n"/>
      <c r="D927" s="64" t="n"/>
      <c r="E927" s="64" t="n"/>
      <c r="F927" s="64" t="n"/>
      <c r="G927" s="65" t="n"/>
      <c r="H927" s="65" t="n"/>
      <c r="I927" s="64" t="n"/>
      <c r="J927" s="64" t="n"/>
      <c r="K927" s="63" t="n"/>
      <c r="L927" s="63" t="n"/>
      <c r="M927" s="64" t="n"/>
      <c r="N927" s="66" t="n"/>
      <c r="O927" s="65" t="n"/>
      <c r="P927" s="64" t="n"/>
      <c r="Q927" s="67" t="n"/>
      <c r="R927" s="67" t="n"/>
      <c r="S927" s="68" t="str">
        <f>IF(AND(ISNUMBER($Q927),ISNUMBER($R927)),$Q927-$R927,"")</f>
        <v/>
      </c>
      <c r="T927" s="65" t="n"/>
      <c r="U927" s="64" t="n"/>
      <c r="V927" s="65" t="n"/>
      <c r="W927" s="63" t="n"/>
      <c r="X927" s="65" t="n"/>
      <c r="Y927" s="63" t="n"/>
      <c r="Z927" s="64" t="n"/>
      <c r="AA927" s="64" t="n"/>
      <c r="AB927" s="65" t="n"/>
      <c r="AC927" s="69" t="str">
        <f>IF(OR($G927="",NOT(ISNUMBER($K927)),$AK927=0),"",MAX(0,ReportDate-$K927))</f>
        <v/>
      </c>
      <c r="AD927" s="69" t="str">
        <f>IF($G927="","",IF($AL927=1,ReportDate-$L927,0))</f>
        <v/>
      </c>
      <c r="AE927" s="70" t="str">
        <f>IF($G927="","",IF($M927="Completed",1,IF(ISNUMBER($N927),$N927,0)))</f>
        <v/>
      </c>
      <c r="AF927" s="70" t="str">
        <f>IF(AND(ISNUMBER($Q927),ISNUMBER($R927)),IF($R927&lt;&gt;0,$Q927/$R927,""),"")</f>
        <v/>
      </c>
      <c r="AG927" s="71" t="str">
        <f>IF($G927="","",IF($AL927=1,"OVERDUE",IF($AM927=1,"BLOCKED",IF($AN927=1,"DUE TODAY",IF($AO927=1,"DUE TOMORROW",IF($AQ927=1,"HIGH PRIORITY",IF($AR927=1,"NO RECENT UPDATE",""))))))) </f>
        <v/>
      </c>
      <c r="AH927" s="71" t="str">
        <f>IF($G927="","",IF(ISNUMBER($A927),IF(ISNUMBER($A927),YEAR($A927)&amp;"-"&amp;TEXT(MONTH($A927),"00"),""),IF(ISNUMBER($L927),IF(ISNUMBER($L927),YEAR($L927)&amp;"-"&amp;TEXT(MONTH($L927),"00"),""),"")))</f>
        <v/>
      </c>
      <c r="AI927" s="71">
        <f>IF($G927="",0,IF(AND(OR(fClient="All",$C927=fClient),OR(fCampaign="All",$D927=fCampaign),OR(fTeam="All",$B927=fTeam),OR(fChannel="All",$F927=fChannel),OR(fMonth="All",$AH927=fMonth),OR(fTStatus="All",$M927=fTStatus)),1,0))</f>
        <v>0</v>
      </c>
      <c r="AJ927" s="71">
        <f>IF($G927="",0,IF(AND(OR(fClient="All",$C927=fClient),OR(fCampaign="All",$D927=fCampaign),OR(fTeam="All",$B927=fTeam),OR(fChannel="All",$F927=fChannel)),1,0))</f>
        <v>0</v>
      </c>
      <c r="AK927" s="71">
        <f>IF($G927="",0,IF(OR($M927="Completed",$M927="Cancelled"),0,1))</f>
        <v>0</v>
      </c>
      <c r="AL927" s="71">
        <f>IF(AND($AK927=1,ISNUMBER($L927)),IF($L927&lt;ReportDate,1,0),0)</f>
        <v>0</v>
      </c>
      <c r="AM927" s="71">
        <f>IF(AND($G927&lt;&gt;"",$M927="Blocked"),1,0)</f>
        <v>0</v>
      </c>
      <c r="AN927" s="71">
        <f>IF(AND($AK927=1,ISNUMBER($L927)),IF($L927=ReportDate,1,0),0)</f>
        <v>0</v>
      </c>
      <c r="AO927" s="71">
        <f>IF(AND($AK927=1,ISNUMBER($L927)),IF($L927=ReportDate+1,1,0),0)</f>
        <v>0</v>
      </c>
      <c r="AP927" s="71">
        <f>IF(AND($AK927=1,ISNUMBER($L927)),IF(AND($L927&gt;=ReportDate,$L927&lt;=ReportDate+DueSoonDays),1,0),0)</f>
        <v>0</v>
      </c>
      <c r="AQ927" s="71">
        <f>IF(AND($AK927=1,OR($I927="Critical",$I927="High")),1,0)</f>
        <v>0</v>
      </c>
      <c r="AR927" s="71">
        <f>IF($AK927=1,IF(ISNUMBER($Y927),IF(ReportDate-$Y927&gt;StaleDays,1,0),1),0)</f>
        <v>0</v>
      </c>
      <c r="AS927" s="71">
        <f>IF(AND($G927&lt;&gt;"",ISNUMBER($Q927),ISNUMBER($R927)),IF(AND($Q927&lt;$R927,OR($M927="Completed",AND(ISNUMBER($L927),$L927&lt;ReportDate))),1,0),0)</f>
        <v>0</v>
      </c>
      <c r="AT927" s="71">
        <f>IF($AK927=1,IF(OR($L927=ReportDate,$W927=ReportDate,$K927=ReportDate,$A927=ReportDate),1,0),0)</f>
        <v>0</v>
      </c>
      <c r="AU927" s="71">
        <f>IF($AK927=1,IF(OR($L927=ReportDate+1,$W927=ReportDate+1,$K927=ReportDate+1,$A927=ReportDate+1),1,0),0)</f>
        <v>0</v>
      </c>
      <c r="AV927" s="71">
        <f>IF(AND($G927&lt;&gt;"",$M927="Completed"),IF(OR($Y927=ReportDate-1,$A927=ReportDate-1),1,0),0)</f>
        <v>0</v>
      </c>
      <c r="AW927" s="71">
        <f>IF(AND($AK927=1,$Z927="Yes"),1,0)</f>
        <v>0</v>
      </c>
      <c r="AX927" s="71">
        <f>IF(AND($AK927=1,$AA927="Yes"),1,0)</f>
        <v>0</v>
      </c>
      <c r="AY927" s="71">
        <f>IF(AND($AM927=1,OR($I927="Critical",$I927="High")),1,0)</f>
        <v>0</v>
      </c>
      <c r="AZ927" s="71">
        <f>IF(AND($AK927=1,OR($C927=TCL_Client,$C927=MECCA_Client)),1,0)</f>
        <v>0</v>
      </c>
      <c r="BA927" s="71" t="str">
        <f>IF($G927="","",IFERROR(MATCH($I927,lst_Priority,0),5))</f>
        <v/>
      </c>
      <c r="BB927" s="71" t="str">
        <f>IF(AND($AL927=1,$AJ927=1),$BA927*100000+ROW(),"")</f>
        <v/>
      </c>
      <c r="BC927" s="71" t="str">
        <f>IF(AND($AM927=1,$AJ927=1),$BA927*100000+ROW(),"")</f>
        <v/>
      </c>
      <c r="BD927" s="71" t="str">
        <f>IF(AND($AP927=1,$AJ927=1),$BA927*100000+ROW(),"")</f>
        <v/>
      </c>
      <c r="BE927" s="71" t="str">
        <f>IF(AND($AT927=1,$AJ927=1),$BA927*100000+ROW(),"")</f>
        <v/>
      </c>
      <c r="BF927" s="71" t="str">
        <f>IF(AND($AU927=1,$AJ927=1),$BA927*100000+ROW(),"")</f>
        <v/>
      </c>
      <c r="BG927" s="71" t="str">
        <f>IF(AND($AV927=1,$AJ927=1),$BA927*100000+ROW(),"")</f>
        <v/>
      </c>
      <c r="BH927" s="71" t="str">
        <f>IF(AND($AW927=1,$AJ927=1),$BA927*100000+ROW(),"")</f>
        <v/>
      </c>
      <c r="BI927" s="71" t="str">
        <f>IF(AND($AX927=1,$AJ927=1),$BA927*100000+ROW(),"")</f>
        <v/>
      </c>
      <c r="BJ927" s="71" t="str">
        <f>IF(AND($AS927=1,$AJ927=1),$BA927*100000+ROW(),"")</f>
        <v/>
      </c>
      <c r="BK927" s="71" t="str">
        <f>IF(AND($AY927=1,$AJ927=1),$BA927*100000+ROW(),"")</f>
        <v/>
      </c>
      <c r="BL927" s="71" t="str">
        <f>IF(AND($AZ927=1),$BA927*100000+ROW(),"")</f>
        <v/>
      </c>
    </row>
    <row r="928">
      <c r="A928" s="63" t="n"/>
      <c r="B928" s="64" t="n"/>
      <c r="C928" s="64" t="n"/>
      <c r="D928" s="64" t="n"/>
      <c r="E928" s="64" t="n"/>
      <c r="F928" s="64" t="n"/>
      <c r="G928" s="65" t="n"/>
      <c r="H928" s="65" t="n"/>
      <c r="I928" s="64" t="n"/>
      <c r="J928" s="64" t="n"/>
      <c r="K928" s="63" t="n"/>
      <c r="L928" s="63" t="n"/>
      <c r="M928" s="64" t="n"/>
      <c r="N928" s="66" t="n"/>
      <c r="O928" s="65" t="n"/>
      <c r="P928" s="64" t="n"/>
      <c r="Q928" s="67" t="n"/>
      <c r="R928" s="67" t="n"/>
      <c r="S928" s="68" t="str">
        <f>IF(AND(ISNUMBER($Q928),ISNUMBER($R928)),$Q928-$R928,"")</f>
        <v/>
      </c>
      <c r="T928" s="65" t="n"/>
      <c r="U928" s="64" t="n"/>
      <c r="V928" s="65" t="n"/>
      <c r="W928" s="63" t="n"/>
      <c r="X928" s="65" t="n"/>
      <c r="Y928" s="63" t="n"/>
      <c r="Z928" s="64" t="n"/>
      <c r="AA928" s="64" t="n"/>
      <c r="AB928" s="65" t="n"/>
      <c r="AC928" s="69" t="str">
        <f>IF(OR($G928="",NOT(ISNUMBER($K928)),$AK928=0),"",MAX(0,ReportDate-$K928))</f>
        <v/>
      </c>
      <c r="AD928" s="69" t="str">
        <f>IF($G928="","",IF($AL928=1,ReportDate-$L928,0))</f>
        <v/>
      </c>
      <c r="AE928" s="70" t="str">
        <f>IF($G928="","",IF($M928="Completed",1,IF(ISNUMBER($N928),$N928,0)))</f>
        <v/>
      </c>
      <c r="AF928" s="70" t="str">
        <f>IF(AND(ISNUMBER($Q928),ISNUMBER($R928)),IF($R928&lt;&gt;0,$Q928/$R928,""),"")</f>
        <v/>
      </c>
      <c r="AG928" s="71" t="str">
        <f>IF($G928="","",IF($AL928=1,"OVERDUE",IF($AM928=1,"BLOCKED",IF($AN928=1,"DUE TODAY",IF($AO928=1,"DUE TOMORROW",IF($AQ928=1,"HIGH PRIORITY",IF($AR928=1,"NO RECENT UPDATE",""))))))) </f>
        <v/>
      </c>
      <c r="AH928" s="71" t="str">
        <f>IF($G928="","",IF(ISNUMBER($A928),IF(ISNUMBER($A928),YEAR($A928)&amp;"-"&amp;TEXT(MONTH($A928),"00"),""),IF(ISNUMBER($L928),IF(ISNUMBER($L928),YEAR($L928)&amp;"-"&amp;TEXT(MONTH($L928),"00"),""),"")))</f>
        <v/>
      </c>
      <c r="AI928" s="71">
        <f>IF($G928="",0,IF(AND(OR(fClient="All",$C928=fClient),OR(fCampaign="All",$D928=fCampaign),OR(fTeam="All",$B928=fTeam),OR(fChannel="All",$F928=fChannel),OR(fMonth="All",$AH928=fMonth),OR(fTStatus="All",$M928=fTStatus)),1,0))</f>
        <v>0</v>
      </c>
      <c r="AJ928" s="71">
        <f>IF($G928="",0,IF(AND(OR(fClient="All",$C928=fClient),OR(fCampaign="All",$D928=fCampaign),OR(fTeam="All",$B928=fTeam),OR(fChannel="All",$F928=fChannel)),1,0))</f>
        <v>0</v>
      </c>
      <c r="AK928" s="71">
        <f>IF($G928="",0,IF(OR($M928="Completed",$M928="Cancelled"),0,1))</f>
        <v>0</v>
      </c>
      <c r="AL928" s="71">
        <f>IF(AND($AK928=1,ISNUMBER($L928)),IF($L928&lt;ReportDate,1,0),0)</f>
        <v>0</v>
      </c>
      <c r="AM928" s="71">
        <f>IF(AND($G928&lt;&gt;"",$M928="Blocked"),1,0)</f>
        <v>0</v>
      </c>
      <c r="AN928" s="71">
        <f>IF(AND($AK928=1,ISNUMBER($L928)),IF($L928=ReportDate,1,0),0)</f>
        <v>0</v>
      </c>
      <c r="AO928" s="71">
        <f>IF(AND($AK928=1,ISNUMBER($L928)),IF($L928=ReportDate+1,1,0),0)</f>
        <v>0</v>
      </c>
      <c r="AP928" s="71">
        <f>IF(AND($AK928=1,ISNUMBER($L928)),IF(AND($L928&gt;=ReportDate,$L928&lt;=ReportDate+DueSoonDays),1,0),0)</f>
        <v>0</v>
      </c>
      <c r="AQ928" s="71">
        <f>IF(AND($AK928=1,OR($I928="Critical",$I928="High")),1,0)</f>
        <v>0</v>
      </c>
      <c r="AR928" s="71">
        <f>IF($AK928=1,IF(ISNUMBER($Y928),IF(ReportDate-$Y928&gt;StaleDays,1,0),1),0)</f>
        <v>0</v>
      </c>
      <c r="AS928" s="71">
        <f>IF(AND($G928&lt;&gt;"",ISNUMBER($Q928),ISNUMBER($R928)),IF(AND($Q928&lt;$R928,OR($M928="Completed",AND(ISNUMBER($L928),$L928&lt;ReportDate))),1,0),0)</f>
        <v>0</v>
      </c>
      <c r="AT928" s="71">
        <f>IF($AK928=1,IF(OR($L928=ReportDate,$W928=ReportDate,$K928=ReportDate,$A928=ReportDate),1,0),0)</f>
        <v>0</v>
      </c>
      <c r="AU928" s="71">
        <f>IF($AK928=1,IF(OR($L928=ReportDate+1,$W928=ReportDate+1,$K928=ReportDate+1,$A928=ReportDate+1),1,0),0)</f>
        <v>0</v>
      </c>
      <c r="AV928" s="71">
        <f>IF(AND($G928&lt;&gt;"",$M928="Completed"),IF(OR($Y928=ReportDate-1,$A928=ReportDate-1),1,0),0)</f>
        <v>0</v>
      </c>
      <c r="AW928" s="71">
        <f>IF(AND($AK928=1,$Z928="Yes"),1,0)</f>
        <v>0</v>
      </c>
      <c r="AX928" s="71">
        <f>IF(AND($AK928=1,$AA928="Yes"),1,0)</f>
        <v>0</v>
      </c>
      <c r="AY928" s="71">
        <f>IF(AND($AM928=1,OR($I928="Critical",$I928="High")),1,0)</f>
        <v>0</v>
      </c>
      <c r="AZ928" s="71">
        <f>IF(AND($AK928=1,OR($C928=TCL_Client,$C928=MECCA_Client)),1,0)</f>
        <v>0</v>
      </c>
      <c r="BA928" s="71" t="str">
        <f>IF($G928="","",IFERROR(MATCH($I928,lst_Priority,0),5))</f>
        <v/>
      </c>
      <c r="BB928" s="71" t="str">
        <f>IF(AND($AL928=1,$AJ928=1),$BA928*100000+ROW(),"")</f>
        <v/>
      </c>
      <c r="BC928" s="71" t="str">
        <f>IF(AND($AM928=1,$AJ928=1),$BA928*100000+ROW(),"")</f>
        <v/>
      </c>
      <c r="BD928" s="71" t="str">
        <f>IF(AND($AP928=1,$AJ928=1),$BA928*100000+ROW(),"")</f>
        <v/>
      </c>
      <c r="BE928" s="71" t="str">
        <f>IF(AND($AT928=1,$AJ928=1),$BA928*100000+ROW(),"")</f>
        <v/>
      </c>
      <c r="BF928" s="71" t="str">
        <f>IF(AND($AU928=1,$AJ928=1),$BA928*100000+ROW(),"")</f>
        <v/>
      </c>
      <c r="BG928" s="71" t="str">
        <f>IF(AND($AV928=1,$AJ928=1),$BA928*100000+ROW(),"")</f>
        <v/>
      </c>
      <c r="BH928" s="71" t="str">
        <f>IF(AND($AW928=1,$AJ928=1),$BA928*100000+ROW(),"")</f>
        <v/>
      </c>
      <c r="BI928" s="71" t="str">
        <f>IF(AND($AX928=1,$AJ928=1),$BA928*100000+ROW(),"")</f>
        <v/>
      </c>
      <c r="BJ928" s="71" t="str">
        <f>IF(AND($AS928=1,$AJ928=1),$BA928*100000+ROW(),"")</f>
        <v/>
      </c>
      <c r="BK928" s="71" t="str">
        <f>IF(AND($AY928=1,$AJ928=1),$BA928*100000+ROW(),"")</f>
        <v/>
      </c>
      <c r="BL928" s="71" t="str">
        <f>IF(AND($AZ928=1),$BA928*100000+ROW(),"")</f>
        <v/>
      </c>
    </row>
    <row r="929">
      <c r="A929" s="63" t="n"/>
      <c r="B929" s="64" t="n"/>
      <c r="C929" s="64" t="n"/>
      <c r="D929" s="64" t="n"/>
      <c r="E929" s="64" t="n"/>
      <c r="F929" s="64" t="n"/>
      <c r="G929" s="65" t="n"/>
      <c r="H929" s="65" t="n"/>
      <c r="I929" s="64" t="n"/>
      <c r="J929" s="64" t="n"/>
      <c r="K929" s="63" t="n"/>
      <c r="L929" s="63" t="n"/>
      <c r="M929" s="64" t="n"/>
      <c r="N929" s="66" t="n"/>
      <c r="O929" s="65" t="n"/>
      <c r="P929" s="64" t="n"/>
      <c r="Q929" s="67" t="n"/>
      <c r="R929" s="67" t="n"/>
      <c r="S929" s="68" t="str">
        <f>IF(AND(ISNUMBER($Q929),ISNUMBER($R929)),$Q929-$R929,"")</f>
        <v/>
      </c>
      <c r="T929" s="65" t="n"/>
      <c r="U929" s="64" t="n"/>
      <c r="V929" s="65" t="n"/>
      <c r="W929" s="63" t="n"/>
      <c r="X929" s="65" t="n"/>
      <c r="Y929" s="63" t="n"/>
      <c r="Z929" s="64" t="n"/>
      <c r="AA929" s="64" t="n"/>
      <c r="AB929" s="65" t="n"/>
      <c r="AC929" s="69" t="str">
        <f>IF(OR($G929="",NOT(ISNUMBER($K929)),$AK929=0),"",MAX(0,ReportDate-$K929))</f>
        <v/>
      </c>
      <c r="AD929" s="69" t="str">
        <f>IF($G929="","",IF($AL929=1,ReportDate-$L929,0))</f>
        <v/>
      </c>
      <c r="AE929" s="70" t="str">
        <f>IF($G929="","",IF($M929="Completed",1,IF(ISNUMBER($N929),$N929,0)))</f>
        <v/>
      </c>
      <c r="AF929" s="70" t="str">
        <f>IF(AND(ISNUMBER($Q929),ISNUMBER($R929)),IF($R929&lt;&gt;0,$Q929/$R929,""),"")</f>
        <v/>
      </c>
      <c r="AG929" s="71" t="str">
        <f>IF($G929="","",IF($AL929=1,"OVERDUE",IF($AM929=1,"BLOCKED",IF($AN929=1,"DUE TODAY",IF($AO929=1,"DUE TOMORROW",IF($AQ929=1,"HIGH PRIORITY",IF($AR929=1,"NO RECENT UPDATE",""))))))) </f>
        <v/>
      </c>
      <c r="AH929" s="71" t="str">
        <f>IF($G929="","",IF(ISNUMBER($A929),IF(ISNUMBER($A929),YEAR($A929)&amp;"-"&amp;TEXT(MONTH($A929),"00"),""),IF(ISNUMBER($L929),IF(ISNUMBER($L929),YEAR($L929)&amp;"-"&amp;TEXT(MONTH($L929),"00"),""),"")))</f>
        <v/>
      </c>
      <c r="AI929" s="71">
        <f>IF($G929="",0,IF(AND(OR(fClient="All",$C929=fClient),OR(fCampaign="All",$D929=fCampaign),OR(fTeam="All",$B929=fTeam),OR(fChannel="All",$F929=fChannel),OR(fMonth="All",$AH929=fMonth),OR(fTStatus="All",$M929=fTStatus)),1,0))</f>
        <v>0</v>
      </c>
      <c r="AJ929" s="71">
        <f>IF($G929="",0,IF(AND(OR(fClient="All",$C929=fClient),OR(fCampaign="All",$D929=fCampaign),OR(fTeam="All",$B929=fTeam),OR(fChannel="All",$F929=fChannel)),1,0))</f>
        <v>0</v>
      </c>
      <c r="AK929" s="71">
        <f>IF($G929="",0,IF(OR($M929="Completed",$M929="Cancelled"),0,1))</f>
        <v>0</v>
      </c>
      <c r="AL929" s="71">
        <f>IF(AND($AK929=1,ISNUMBER($L929)),IF($L929&lt;ReportDate,1,0),0)</f>
        <v>0</v>
      </c>
      <c r="AM929" s="71">
        <f>IF(AND($G929&lt;&gt;"",$M929="Blocked"),1,0)</f>
        <v>0</v>
      </c>
      <c r="AN929" s="71">
        <f>IF(AND($AK929=1,ISNUMBER($L929)),IF($L929=ReportDate,1,0),0)</f>
        <v>0</v>
      </c>
      <c r="AO929" s="71">
        <f>IF(AND($AK929=1,ISNUMBER($L929)),IF($L929=ReportDate+1,1,0),0)</f>
        <v>0</v>
      </c>
      <c r="AP929" s="71">
        <f>IF(AND($AK929=1,ISNUMBER($L929)),IF(AND($L929&gt;=ReportDate,$L929&lt;=ReportDate+DueSoonDays),1,0),0)</f>
        <v>0</v>
      </c>
      <c r="AQ929" s="71">
        <f>IF(AND($AK929=1,OR($I929="Critical",$I929="High")),1,0)</f>
        <v>0</v>
      </c>
      <c r="AR929" s="71">
        <f>IF($AK929=1,IF(ISNUMBER($Y929),IF(ReportDate-$Y929&gt;StaleDays,1,0),1),0)</f>
        <v>0</v>
      </c>
      <c r="AS929" s="71">
        <f>IF(AND($G929&lt;&gt;"",ISNUMBER($Q929),ISNUMBER($R929)),IF(AND($Q929&lt;$R929,OR($M929="Completed",AND(ISNUMBER($L929),$L929&lt;ReportDate))),1,0),0)</f>
        <v>0</v>
      </c>
      <c r="AT929" s="71">
        <f>IF($AK929=1,IF(OR($L929=ReportDate,$W929=ReportDate,$K929=ReportDate,$A929=ReportDate),1,0),0)</f>
        <v>0</v>
      </c>
      <c r="AU929" s="71">
        <f>IF($AK929=1,IF(OR($L929=ReportDate+1,$W929=ReportDate+1,$K929=ReportDate+1,$A929=ReportDate+1),1,0),0)</f>
        <v>0</v>
      </c>
      <c r="AV929" s="71">
        <f>IF(AND($G929&lt;&gt;"",$M929="Completed"),IF(OR($Y929=ReportDate-1,$A929=ReportDate-1),1,0),0)</f>
        <v>0</v>
      </c>
      <c r="AW929" s="71">
        <f>IF(AND($AK929=1,$Z929="Yes"),1,0)</f>
        <v>0</v>
      </c>
      <c r="AX929" s="71">
        <f>IF(AND($AK929=1,$AA929="Yes"),1,0)</f>
        <v>0</v>
      </c>
      <c r="AY929" s="71">
        <f>IF(AND($AM929=1,OR($I929="Critical",$I929="High")),1,0)</f>
        <v>0</v>
      </c>
      <c r="AZ929" s="71">
        <f>IF(AND($AK929=1,OR($C929=TCL_Client,$C929=MECCA_Client)),1,0)</f>
        <v>0</v>
      </c>
      <c r="BA929" s="71" t="str">
        <f>IF($G929="","",IFERROR(MATCH($I929,lst_Priority,0),5))</f>
        <v/>
      </c>
      <c r="BB929" s="71" t="str">
        <f>IF(AND($AL929=1,$AJ929=1),$BA929*100000+ROW(),"")</f>
        <v/>
      </c>
      <c r="BC929" s="71" t="str">
        <f>IF(AND($AM929=1,$AJ929=1),$BA929*100000+ROW(),"")</f>
        <v/>
      </c>
      <c r="BD929" s="71" t="str">
        <f>IF(AND($AP929=1,$AJ929=1),$BA929*100000+ROW(),"")</f>
        <v/>
      </c>
      <c r="BE929" s="71" t="str">
        <f>IF(AND($AT929=1,$AJ929=1),$BA929*100000+ROW(),"")</f>
        <v/>
      </c>
      <c r="BF929" s="71" t="str">
        <f>IF(AND($AU929=1,$AJ929=1),$BA929*100000+ROW(),"")</f>
        <v/>
      </c>
      <c r="BG929" s="71" t="str">
        <f>IF(AND($AV929=1,$AJ929=1),$BA929*100000+ROW(),"")</f>
        <v/>
      </c>
      <c r="BH929" s="71" t="str">
        <f>IF(AND($AW929=1,$AJ929=1),$BA929*100000+ROW(),"")</f>
        <v/>
      </c>
      <c r="BI929" s="71" t="str">
        <f>IF(AND($AX929=1,$AJ929=1),$BA929*100000+ROW(),"")</f>
        <v/>
      </c>
      <c r="BJ929" s="71" t="str">
        <f>IF(AND($AS929=1,$AJ929=1),$BA929*100000+ROW(),"")</f>
        <v/>
      </c>
      <c r="BK929" s="71" t="str">
        <f>IF(AND($AY929=1,$AJ929=1),$BA929*100000+ROW(),"")</f>
        <v/>
      </c>
      <c r="BL929" s="71" t="str">
        <f>IF(AND($AZ929=1),$BA929*100000+ROW(),"")</f>
        <v/>
      </c>
    </row>
    <row r="930">
      <c r="A930" s="63" t="n"/>
      <c r="B930" s="64" t="n"/>
      <c r="C930" s="64" t="n"/>
      <c r="D930" s="64" t="n"/>
      <c r="E930" s="64" t="n"/>
      <c r="F930" s="64" t="n"/>
      <c r="G930" s="65" t="n"/>
      <c r="H930" s="65" t="n"/>
      <c r="I930" s="64" t="n"/>
      <c r="J930" s="64" t="n"/>
      <c r="K930" s="63" t="n"/>
      <c r="L930" s="63" t="n"/>
      <c r="M930" s="64" t="n"/>
      <c r="N930" s="66" t="n"/>
      <c r="O930" s="65" t="n"/>
      <c r="P930" s="64" t="n"/>
      <c r="Q930" s="67" t="n"/>
      <c r="R930" s="67" t="n"/>
      <c r="S930" s="68" t="str">
        <f>IF(AND(ISNUMBER($Q930),ISNUMBER($R930)),$Q930-$R930,"")</f>
        <v/>
      </c>
      <c r="T930" s="65" t="n"/>
      <c r="U930" s="64" t="n"/>
      <c r="V930" s="65" t="n"/>
      <c r="W930" s="63" t="n"/>
      <c r="X930" s="65" t="n"/>
      <c r="Y930" s="63" t="n"/>
      <c r="Z930" s="64" t="n"/>
      <c r="AA930" s="64" t="n"/>
      <c r="AB930" s="65" t="n"/>
      <c r="AC930" s="69" t="str">
        <f>IF(OR($G930="",NOT(ISNUMBER($K930)),$AK930=0),"",MAX(0,ReportDate-$K930))</f>
        <v/>
      </c>
      <c r="AD930" s="69" t="str">
        <f>IF($G930="","",IF($AL930=1,ReportDate-$L930,0))</f>
        <v/>
      </c>
      <c r="AE930" s="70" t="str">
        <f>IF($G930="","",IF($M930="Completed",1,IF(ISNUMBER($N930),$N930,0)))</f>
        <v/>
      </c>
      <c r="AF930" s="70" t="str">
        <f>IF(AND(ISNUMBER($Q930),ISNUMBER($R930)),IF($R930&lt;&gt;0,$Q930/$R930,""),"")</f>
        <v/>
      </c>
      <c r="AG930" s="71" t="str">
        <f>IF($G930="","",IF($AL930=1,"OVERDUE",IF($AM930=1,"BLOCKED",IF($AN930=1,"DUE TODAY",IF($AO930=1,"DUE TOMORROW",IF($AQ930=1,"HIGH PRIORITY",IF($AR930=1,"NO RECENT UPDATE",""))))))) </f>
        <v/>
      </c>
      <c r="AH930" s="71" t="str">
        <f>IF($G930="","",IF(ISNUMBER($A930),IF(ISNUMBER($A930),YEAR($A930)&amp;"-"&amp;TEXT(MONTH($A930),"00"),""),IF(ISNUMBER($L930),IF(ISNUMBER($L930),YEAR($L930)&amp;"-"&amp;TEXT(MONTH($L930),"00"),""),"")))</f>
        <v/>
      </c>
      <c r="AI930" s="71">
        <f>IF($G930="",0,IF(AND(OR(fClient="All",$C930=fClient),OR(fCampaign="All",$D930=fCampaign),OR(fTeam="All",$B930=fTeam),OR(fChannel="All",$F930=fChannel),OR(fMonth="All",$AH930=fMonth),OR(fTStatus="All",$M930=fTStatus)),1,0))</f>
        <v>0</v>
      </c>
      <c r="AJ930" s="71">
        <f>IF($G930="",0,IF(AND(OR(fClient="All",$C930=fClient),OR(fCampaign="All",$D930=fCampaign),OR(fTeam="All",$B930=fTeam),OR(fChannel="All",$F930=fChannel)),1,0))</f>
        <v>0</v>
      </c>
      <c r="AK930" s="71">
        <f>IF($G930="",0,IF(OR($M930="Completed",$M930="Cancelled"),0,1))</f>
        <v>0</v>
      </c>
      <c r="AL930" s="71">
        <f>IF(AND($AK930=1,ISNUMBER($L930)),IF($L930&lt;ReportDate,1,0),0)</f>
        <v>0</v>
      </c>
      <c r="AM930" s="71">
        <f>IF(AND($G930&lt;&gt;"",$M930="Blocked"),1,0)</f>
        <v>0</v>
      </c>
      <c r="AN930" s="71">
        <f>IF(AND($AK930=1,ISNUMBER($L930)),IF($L930=ReportDate,1,0),0)</f>
        <v>0</v>
      </c>
      <c r="AO930" s="71">
        <f>IF(AND($AK930=1,ISNUMBER($L930)),IF($L930=ReportDate+1,1,0),0)</f>
        <v>0</v>
      </c>
      <c r="AP930" s="71">
        <f>IF(AND($AK930=1,ISNUMBER($L930)),IF(AND($L930&gt;=ReportDate,$L930&lt;=ReportDate+DueSoonDays),1,0),0)</f>
        <v>0</v>
      </c>
      <c r="AQ930" s="71">
        <f>IF(AND($AK930=1,OR($I930="Critical",$I930="High")),1,0)</f>
        <v>0</v>
      </c>
      <c r="AR930" s="71">
        <f>IF($AK930=1,IF(ISNUMBER($Y930),IF(ReportDate-$Y930&gt;StaleDays,1,0),1),0)</f>
        <v>0</v>
      </c>
      <c r="AS930" s="71">
        <f>IF(AND($G930&lt;&gt;"",ISNUMBER($Q930),ISNUMBER($R930)),IF(AND($Q930&lt;$R930,OR($M930="Completed",AND(ISNUMBER($L930),$L930&lt;ReportDate))),1,0),0)</f>
        <v>0</v>
      </c>
      <c r="AT930" s="71">
        <f>IF($AK930=1,IF(OR($L930=ReportDate,$W930=ReportDate,$K930=ReportDate,$A930=ReportDate),1,0),0)</f>
        <v>0</v>
      </c>
      <c r="AU930" s="71">
        <f>IF($AK930=1,IF(OR($L930=ReportDate+1,$W930=ReportDate+1,$K930=ReportDate+1,$A930=ReportDate+1),1,0),0)</f>
        <v>0</v>
      </c>
      <c r="AV930" s="71">
        <f>IF(AND($G930&lt;&gt;"",$M930="Completed"),IF(OR($Y930=ReportDate-1,$A930=ReportDate-1),1,0),0)</f>
        <v>0</v>
      </c>
      <c r="AW930" s="71">
        <f>IF(AND($AK930=1,$Z930="Yes"),1,0)</f>
        <v>0</v>
      </c>
      <c r="AX930" s="71">
        <f>IF(AND($AK930=1,$AA930="Yes"),1,0)</f>
        <v>0</v>
      </c>
      <c r="AY930" s="71">
        <f>IF(AND($AM930=1,OR($I930="Critical",$I930="High")),1,0)</f>
        <v>0</v>
      </c>
      <c r="AZ930" s="71">
        <f>IF(AND($AK930=1,OR($C930=TCL_Client,$C930=MECCA_Client)),1,0)</f>
        <v>0</v>
      </c>
      <c r="BA930" s="71" t="str">
        <f>IF($G930="","",IFERROR(MATCH($I930,lst_Priority,0),5))</f>
        <v/>
      </c>
      <c r="BB930" s="71" t="str">
        <f>IF(AND($AL930=1,$AJ930=1),$BA930*100000+ROW(),"")</f>
        <v/>
      </c>
      <c r="BC930" s="71" t="str">
        <f>IF(AND($AM930=1,$AJ930=1),$BA930*100000+ROW(),"")</f>
        <v/>
      </c>
      <c r="BD930" s="71" t="str">
        <f>IF(AND($AP930=1,$AJ930=1),$BA930*100000+ROW(),"")</f>
        <v/>
      </c>
      <c r="BE930" s="71" t="str">
        <f>IF(AND($AT930=1,$AJ930=1),$BA930*100000+ROW(),"")</f>
        <v/>
      </c>
      <c r="BF930" s="71" t="str">
        <f>IF(AND($AU930=1,$AJ930=1),$BA930*100000+ROW(),"")</f>
        <v/>
      </c>
      <c r="BG930" s="71" t="str">
        <f>IF(AND($AV930=1,$AJ930=1),$BA930*100000+ROW(),"")</f>
        <v/>
      </c>
      <c r="BH930" s="71" t="str">
        <f>IF(AND($AW930=1,$AJ930=1),$BA930*100000+ROW(),"")</f>
        <v/>
      </c>
      <c r="BI930" s="71" t="str">
        <f>IF(AND($AX930=1,$AJ930=1),$BA930*100000+ROW(),"")</f>
        <v/>
      </c>
      <c r="BJ930" s="71" t="str">
        <f>IF(AND($AS930=1,$AJ930=1),$BA930*100000+ROW(),"")</f>
        <v/>
      </c>
      <c r="BK930" s="71" t="str">
        <f>IF(AND($AY930=1,$AJ930=1),$BA930*100000+ROW(),"")</f>
        <v/>
      </c>
      <c r="BL930" s="71" t="str">
        <f>IF(AND($AZ930=1),$BA930*100000+ROW(),"")</f>
        <v/>
      </c>
    </row>
    <row r="931">
      <c r="A931" s="63" t="n"/>
      <c r="B931" s="64" t="n"/>
      <c r="C931" s="64" t="n"/>
      <c r="D931" s="64" t="n"/>
      <c r="E931" s="64" t="n"/>
      <c r="F931" s="64" t="n"/>
      <c r="G931" s="65" t="n"/>
      <c r="H931" s="65" t="n"/>
      <c r="I931" s="64" t="n"/>
      <c r="J931" s="64" t="n"/>
      <c r="K931" s="63" t="n"/>
      <c r="L931" s="63" t="n"/>
      <c r="M931" s="64" t="n"/>
      <c r="N931" s="66" t="n"/>
      <c r="O931" s="65" t="n"/>
      <c r="P931" s="64" t="n"/>
      <c r="Q931" s="67" t="n"/>
      <c r="R931" s="67" t="n"/>
      <c r="S931" s="68" t="str">
        <f>IF(AND(ISNUMBER($Q931),ISNUMBER($R931)),$Q931-$R931,"")</f>
        <v/>
      </c>
      <c r="T931" s="65" t="n"/>
      <c r="U931" s="64" t="n"/>
      <c r="V931" s="65" t="n"/>
      <c r="W931" s="63" t="n"/>
      <c r="X931" s="65" t="n"/>
      <c r="Y931" s="63" t="n"/>
      <c r="Z931" s="64" t="n"/>
      <c r="AA931" s="64" t="n"/>
      <c r="AB931" s="65" t="n"/>
      <c r="AC931" s="69" t="str">
        <f>IF(OR($G931="",NOT(ISNUMBER($K931)),$AK931=0),"",MAX(0,ReportDate-$K931))</f>
        <v/>
      </c>
      <c r="AD931" s="69" t="str">
        <f>IF($G931="","",IF($AL931=1,ReportDate-$L931,0))</f>
        <v/>
      </c>
      <c r="AE931" s="70" t="str">
        <f>IF($G931="","",IF($M931="Completed",1,IF(ISNUMBER($N931),$N931,0)))</f>
        <v/>
      </c>
      <c r="AF931" s="70" t="str">
        <f>IF(AND(ISNUMBER($Q931),ISNUMBER($R931)),IF($R931&lt;&gt;0,$Q931/$R931,""),"")</f>
        <v/>
      </c>
      <c r="AG931" s="71" t="str">
        <f>IF($G931="","",IF($AL931=1,"OVERDUE",IF($AM931=1,"BLOCKED",IF($AN931=1,"DUE TODAY",IF($AO931=1,"DUE TOMORROW",IF($AQ931=1,"HIGH PRIORITY",IF($AR931=1,"NO RECENT UPDATE",""))))))) </f>
        <v/>
      </c>
      <c r="AH931" s="71" t="str">
        <f>IF($G931="","",IF(ISNUMBER($A931),IF(ISNUMBER($A931),YEAR($A931)&amp;"-"&amp;TEXT(MONTH($A931),"00"),""),IF(ISNUMBER($L931),IF(ISNUMBER($L931),YEAR($L931)&amp;"-"&amp;TEXT(MONTH($L931),"00"),""),"")))</f>
        <v/>
      </c>
      <c r="AI931" s="71">
        <f>IF($G931="",0,IF(AND(OR(fClient="All",$C931=fClient),OR(fCampaign="All",$D931=fCampaign),OR(fTeam="All",$B931=fTeam),OR(fChannel="All",$F931=fChannel),OR(fMonth="All",$AH931=fMonth),OR(fTStatus="All",$M931=fTStatus)),1,0))</f>
        <v>0</v>
      </c>
      <c r="AJ931" s="71">
        <f>IF($G931="",0,IF(AND(OR(fClient="All",$C931=fClient),OR(fCampaign="All",$D931=fCampaign),OR(fTeam="All",$B931=fTeam),OR(fChannel="All",$F931=fChannel)),1,0))</f>
        <v>0</v>
      </c>
      <c r="AK931" s="71">
        <f>IF($G931="",0,IF(OR($M931="Completed",$M931="Cancelled"),0,1))</f>
        <v>0</v>
      </c>
      <c r="AL931" s="71">
        <f>IF(AND($AK931=1,ISNUMBER($L931)),IF($L931&lt;ReportDate,1,0),0)</f>
        <v>0</v>
      </c>
      <c r="AM931" s="71">
        <f>IF(AND($G931&lt;&gt;"",$M931="Blocked"),1,0)</f>
        <v>0</v>
      </c>
      <c r="AN931" s="71">
        <f>IF(AND($AK931=1,ISNUMBER($L931)),IF($L931=ReportDate,1,0),0)</f>
        <v>0</v>
      </c>
      <c r="AO931" s="71">
        <f>IF(AND($AK931=1,ISNUMBER($L931)),IF($L931=ReportDate+1,1,0),0)</f>
        <v>0</v>
      </c>
      <c r="AP931" s="71">
        <f>IF(AND($AK931=1,ISNUMBER($L931)),IF(AND($L931&gt;=ReportDate,$L931&lt;=ReportDate+DueSoonDays),1,0),0)</f>
        <v>0</v>
      </c>
      <c r="AQ931" s="71">
        <f>IF(AND($AK931=1,OR($I931="Critical",$I931="High")),1,0)</f>
        <v>0</v>
      </c>
      <c r="AR931" s="71">
        <f>IF($AK931=1,IF(ISNUMBER($Y931),IF(ReportDate-$Y931&gt;StaleDays,1,0),1),0)</f>
        <v>0</v>
      </c>
      <c r="AS931" s="71">
        <f>IF(AND($G931&lt;&gt;"",ISNUMBER($Q931),ISNUMBER($R931)),IF(AND($Q931&lt;$R931,OR($M931="Completed",AND(ISNUMBER($L931),$L931&lt;ReportDate))),1,0),0)</f>
        <v>0</v>
      </c>
      <c r="AT931" s="71">
        <f>IF($AK931=1,IF(OR($L931=ReportDate,$W931=ReportDate,$K931=ReportDate,$A931=ReportDate),1,0),0)</f>
        <v>0</v>
      </c>
      <c r="AU931" s="71">
        <f>IF($AK931=1,IF(OR($L931=ReportDate+1,$W931=ReportDate+1,$K931=ReportDate+1,$A931=ReportDate+1),1,0),0)</f>
        <v>0</v>
      </c>
      <c r="AV931" s="71">
        <f>IF(AND($G931&lt;&gt;"",$M931="Completed"),IF(OR($Y931=ReportDate-1,$A931=ReportDate-1),1,0),0)</f>
        <v>0</v>
      </c>
      <c r="AW931" s="71">
        <f>IF(AND($AK931=1,$Z931="Yes"),1,0)</f>
        <v>0</v>
      </c>
      <c r="AX931" s="71">
        <f>IF(AND($AK931=1,$AA931="Yes"),1,0)</f>
        <v>0</v>
      </c>
      <c r="AY931" s="71">
        <f>IF(AND($AM931=1,OR($I931="Critical",$I931="High")),1,0)</f>
        <v>0</v>
      </c>
      <c r="AZ931" s="71">
        <f>IF(AND($AK931=1,OR($C931=TCL_Client,$C931=MECCA_Client)),1,0)</f>
        <v>0</v>
      </c>
      <c r="BA931" s="71" t="str">
        <f>IF($G931="","",IFERROR(MATCH($I931,lst_Priority,0),5))</f>
        <v/>
      </c>
      <c r="BB931" s="71" t="str">
        <f>IF(AND($AL931=1,$AJ931=1),$BA931*100000+ROW(),"")</f>
        <v/>
      </c>
      <c r="BC931" s="71" t="str">
        <f>IF(AND($AM931=1,$AJ931=1),$BA931*100000+ROW(),"")</f>
        <v/>
      </c>
      <c r="BD931" s="71" t="str">
        <f>IF(AND($AP931=1,$AJ931=1),$BA931*100000+ROW(),"")</f>
        <v/>
      </c>
      <c r="BE931" s="71" t="str">
        <f>IF(AND($AT931=1,$AJ931=1),$BA931*100000+ROW(),"")</f>
        <v/>
      </c>
      <c r="BF931" s="71" t="str">
        <f>IF(AND($AU931=1,$AJ931=1),$BA931*100000+ROW(),"")</f>
        <v/>
      </c>
      <c r="BG931" s="71" t="str">
        <f>IF(AND($AV931=1,$AJ931=1),$BA931*100000+ROW(),"")</f>
        <v/>
      </c>
      <c r="BH931" s="71" t="str">
        <f>IF(AND($AW931=1,$AJ931=1),$BA931*100000+ROW(),"")</f>
        <v/>
      </c>
      <c r="BI931" s="71" t="str">
        <f>IF(AND($AX931=1,$AJ931=1),$BA931*100000+ROW(),"")</f>
        <v/>
      </c>
      <c r="BJ931" s="71" t="str">
        <f>IF(AND($AS931=1,$AJ931=1),$BA931*100000+ROW(),"")</f>
        <v/>
      </c>
      <c r="BK931" s="71" t="str">
        <f>IF(AND($AY931=1,$AJ931=1),$BA931*100000+ROW(),"")</f>
        <v/>
      </c>
      <c r="BL931" s="71" t="str">
        <f>IF(AND($AZ931=1),$BA931*100000+ROW(),"")</f>
        <v/>
      </c>
    </row>
    <row r="932">
      <c r="A932" s="63" t="n"/>
      <c r="B932" s="64" t="n"/>
      <c r="C932" s="64" t="n"/>
      <c r="D932" s="64" t="n"/>
      <c r="E932" s="64" t="n"/>
      <c r="F932" s="64" t="n"/>
      <c r="G932" s="65" t="n"/>
      <c r="H932" s="65" t="n"/>
      <c r="I932" s="64" t="n"/>
      <c r="J932" s="64" t="n"/>
      <c r="K932" s="63" t="n"/>
      <c r="L932" s="63" t="n"/>
      <c r="M932" s="64" t="n"/>
      <c r="N932" s="66" t="n"/>
      <c r="O932" s="65" t="n"/>
      <c r="P932" s="64" t="n"/>
      <c r="Q932" s="67" t="n"/>
      <c r="R932" s="67" t="n"/>
      <c r="S932" s="68" t="str">
        <f>IF(AND(ISNUMBER($Q932),ISNUMBER($R932)),$Q932-$R932,"")</f>
        <v/>
      </c>
      <c r="T932" s="65" t="n"/>
      <c r="U932" s="64" t="n"/>
      <c r="V932" s="65" t="n"/>
      <c r="W932" s="63" t="n"/>
      <c r="X932" s="65" t="n"/>
      <c r="Y932" s="63" t="n"/>
      <c r="Z932" s="64" t="n"/>
      <c r="AA932" s="64" t="n"/>
      <c r="AB932" s="65" t="n"/>
      <c r="AC932" s="69" t="str">
        <f>IF(OR($G932="",NOT(ISNUMBER($K932)),$AK932=0),"",MAX(0,ReportDate-$K932))</f>
        <v/>
      </c>
      <c r="AD932" s="69" t="str">
        <f>IF($G932="","",IF($AL932=1,ReportDate-$L932,0))</f>
        <v/>
      </c>
      <c r="AE932" s="70" t="str">
        <f>IF($G932="","",IF($M932="Completed",1,IF(ISNUMBER($N932),$N932,0)))</f>
        <v/>
      </c>
      <c r="AF932" s="70" t="str">
        <f>IF(AND(ISNUMBER($Q932),ISNUMBER($R932)),IF($R932&lt;&gt;0,$Q932/$R932,""),"")</f>
        <v/>
      </c>
      <c r="AG932" s="71" t="str">
        <f>IF($G932="","",IF($AL932=1,"OVERDUE",IF($AM932=1,"BLOCKED",IF($AN932=1,"DUE TODAY",IF($AO932=1,"DUE TOMORROW",IF($AQ932=1,"HIGH PRIORITY",IF($AR932=1,"NO RECENT UPDATE",""))))))) </f>
        <v/>
      </c>
      <c r="AH932" s="71" t="str">
        <f>IF($G932="","",IF(ISNUMBER($A932),IF(ISNUMBER($A932),YEAR($A932)&amp;"-"&amp;TEXT(MONTH($A932),"00"),""),IF(ISNUMBER($L932),IF(ISNUMBER($L932),YEAR($L932)&amp;"-"&amp;TEXT(MONTH($L932),"00"),""),"")))</f>
        <v/>
      </c>
      <c r="AI932" s="71">
        <f>IF($G932="",0,IF(AND(OR(fClient="All",$C932=fClient),OR(fCampaign="All",$D932=fCampaign),OR(fTeam="All",$B932=fTeam),OR(fChannel="All",$F932=fChannel),OR(fMonth="All",$AH932=fMonth),OR(fTStatus="All",$M932=fTStatus)),1,0))</f>
        <v>0</v>
      </c>
      <c r="AJ932" s="71">
        <f>IF($G932="",0,IF(AND(OR(fClient="All",$C932=fClient),OR(fCampaign="All",$D932=fCampaign),OR(fTeam="All",$B932=fTeam),OR(fChannel="All",$F932=fChannel)),1,0))</f>
        <v>0</v>
      </c>
      <c r="AK932" s="71">
        <f>IF($G932="",0,IF(OR($M932="Completed",$M932="Cancelled"),0,1))</f>
        <v>0</v>
      </c>
      <c r="AL932" s="71">
        <f>IF(AND($AK932=1,ISNUMBER($L932)),IF($L932&lt;ReportDate,1,0),0)</f>
        <v>0</v>
      </c>
      <c r="AM932" s="71">
        <f>IF(AND($G932&lt;&gt;"",$M932="Blocked"),1,0)</f>
        <v>0</v>
      </c>
      <c r="AN932" s="71">
        <f>IF(AND($AK932=1,ISNUMBER($L932)),IF($L932=ReportDate,1,0),0)</f>
        <v>0</v>
      </c>
      <c r="AO932" s="71">
        <f>IF(AND($AK932=1,ISNUMBER($L932)),IF($L932=ReportDate+1,1,0),0)</f>
        <v>0</v>
      </c>
      <c r="AP932" s="71">
        <f>IF(AND($AK932=1,ISNUMBER($L932)),IF(AND($L932&gt;=ReportDate,$L932&lt;=ReportDate+DueSoonDays),1,0),0)</f>
        <v>0</v>
      </c>
      <c r="AQ932" s="71">
        <f>IF(AND($AK932=1,OR($I932="Critical",$I932="High")),1,0)</f>
        <v>0</v>
      </c>
      <c r="AR932" s="71">
        <f>IF($AK932=1,IF(ISNUMBER($Y932),IF(ReportDate-$Y932&gt;StaleDays,1,0),1),0)</f>
        <v>0</v>
      </c>
      <c r="AS932" s="71">
        <f>IF(AND($G932&lt;&gt;"",ISNUMBER($Q932),ISNUMBER($R932)),IF(AND($Q932&lt;$R932,OR($M932="Completed",AND(ISNUMBER($L932),$L932&lt;ReportDate))),1,0),0)</f>
        <v>0</v>
      </c>
      <c r="AT932" s="71">
        <f>IF($AK932=1,IF(OR($L932=ReportDate,$W932=ReportDate,$K932=ReportDate,$A932=ReportDate),1,0),0)</f>
        <v>0</v>
      </c>
      <c r="AU932" s="71">
        <f>IF($AK932=1,IF(OR($L932=ReportDate+1,$W932=ReportDate+1,$K932=ReportDate+1,$A932=ReportDate+1),1,0),0)</f>
        <v>0</v>
      </c>
      <c r="AV932" s="71">
        <f>IF(AND($G932&lt;&gt;"",$M932="Completed"),IF(OR($Y932=ReportDate-1,$A932=ReportDate-1),1,0),0)</f>
        <v>0</v>
      </c>
      <c r="AW932" s="71">
        <f>IF(AND($AK932=1,$Z932="Yes"),1,0)</f>
        <v>0</v>
      </c>
      <c r="AX932" s="71">
        <f>IF(AND($AK932=1,$AA932="Yes"),1,0)</f>
        <v>0</v>
      </c>
      <c r="AY932" s="71">
        <f>IF(AND($AM932=1,OR($I932="Critical",$I932="High")),1,0)</f>
        <v>0</v>
      </c>
      <c r="AZ932" s="71">
        <f>IF(AND($AK932=1,OR($C932=TCL_Client,$C932=MECCA_Client)),1,0)</f>
        <v>0</v>
      </c>
      <c r="BA932" s="71" t="str">
        <f>IF($G932="","",IFERROR(MATCH($I932,lst_Priority,0),5))</f>
        <v/>
      </c>
      <c r="BB932" s="71" t="str">
        <f>IF(AND($AL932=1,$AJ932=1),$BA932*100000+ROW(),"")</f>
        <v/>
      </c>
      <c r="BC932" s="71" t="str">
        <f>IF(AND($AM932=1,$AJ932=1),$BA932*100000+ROW(),"")</f>
        <v/>
      </c>
      <c r="BD932" s="71" t="str">
        <f>IF(AND($AP932=1,$AJ932=1),$BA932*100000+ROW(),"")</f>
        <v/>
      </c>
      <c r="BE932" s="71" t="str">
        <f>IF(AND($AT932=1,$AJ932=1),$BA932*100000+ROW(),"")</f>
        <v/>
      </c>
      <c r="BF932" s="71" t="str">
        <f>IF(AND($AU932=1,$AJ932=1),$BA932*100000+ROW(),"")</f>
        <v/>
      </c>
      <c r="BG932" s="71" t="str">
        <f>IF(AND($AV932=1,$AJ932=1),$BA932*100000+ROW(),"")</f>
        <v/>
      </c>
      <c r="BH932" s="71" t="str">
        <f>IF(AND($AW932=1,$AJ932=1),$BA932*100000+ROW(),"")</f>
        <v/>
      </c>
      <c r="BI932" s="71" t="str">
        <f>IF(AND($AX932=1,$AJ932=1),$BA932*100000+ROW(),"")</f>
        <v/>
      </c>
      <c r="BJ932" s="71" t="str">
        <f>IF(AND($AS932=1,$AJ932=1),$BA932*100000+ROW(),"")</f>
        <v/>
      </c>
      <c r="BK932" s="71" t="str">
        <f>IF(AND($AY932=1,$AJ932=1),$BA932*100000+ROW(),"")</f>
        <v/>
      </c>
      <c r="BL932" s="71" t="str">
        <f>IF(AND($AZ932=1),$BA932*100000+ROW(),"")</f>
        <v/>
      </c>
    </row>
    <row r="933">
      <c r="A933" s="63" t="n"/>
      <c r="B933" s="64" t="n"/>
      <c r="C933" s="64" t="n"/>
      <c r="D933" s="64" t="n"/>
      <c r="E933" s="64" t="n"/>
      <c r="F933" s="64" t="n"/>
      <c r="G933" s="65" t="n"/>
      <c r="H933" s="65" t="n"/>
      <c r="I933" s="64" t="n"/>
      <c r="J933" s="64" t="n"/>
      <c r="K933" s="63" t="n"/>
      <c r="L933" s="63" t="n"/>
      <c r="M933" s="64" t="n"/>
      <c r="N933" s="66" t="n"/>
      <c r="O933" s="65" t="n"/>
      <c r="P933" s="64" t="n"/>
      <c r="Q933" s="67" t="n"/>
      <c r="R933" s="67" t="n"/>
      <c r="S933" s="68" t="str">
        <f>IF(AND(ISNUMBER($Q933),ISNUMBER($R933)),$Q933-$R933,"")</f>
        <v/>
      </c>
      <c r="T933" s="65" t="n"/>
      <c r="U933" s="64" t="n"/>
      <c r="V933" s="65" t="n"/>
      <c r="W933" s="63" t="n"/>
      <c r="X933" s="65" t="n"/>
      <c r="Y933" s="63" t="n"/>
      <c r="Z933" s="64" t="n"/>
      <c r="AA933" s="64" t="n"/>
      <c r="AB933" s="65" t="n"/>
      <c r="AC933" s="69" t="str">
        <f>IF(OR($G933="",NOT(ISNUMBER($K933)),$AK933=0),"",MAX(0,ReportDate-$K933))</f>
        <v/>
      </c>
      <c r="AD933" s="69" t="str">
        <f>IF($G933="","",IF($AL933=1,ReportDate-$L933,0))</f>
        <v/>
      </c>
      <c r="AE933" s="70" t="str">
        <f>IF($G933="","",IF($M933="Completed",1,IF(ISNUMBER($N933),$N933,0)))</f>
        <v/>
      </c>
      <c r="AF933" s="70" t="str">
        <f>IF(AND(ISNUMBER($Q933),ISNUMBER($R933)),IF($R933&lt;&gt;0,$Q933/$R933,""),"")</f>
        <v/>
      </c>
      <c r="AG933" s="71" t="str">
        <f>IF($G933="","",IF($AL933=1,"OVERDUE",IF($AM933=1,"BLOCKED",IF($AN933=1,"DUE TODAY",IF($AO933=1,"DUE TOMORROW",IF($AQ933=1,"HIGH PRIORITY",IF($AR933=1,"NO RECENT UPDATE",""))))))) </f>
        <v/>
      </c>
      <c r="AH933" s="71" t="str">
        <f>IF($G933="","",IF(ISNUMBER($A933),IF(ISNUMBER($A933),YEAR($A933)&amp;"-"&amp;TEXT(MONTH($A933),"00"),""),IF(ISNUMBER($L933),IF(ISNUMBER($L933),YEAR($L933)&amp;"-"&amp;TEXT(MONTH($L933),"00"),""),"")))</f>
        <v/>
      </c>
      <c r="AI933" s="71">
        <f>IF($G933="",0,IF(AND(OR(fClient="All",$C933=fClient),OR(fCampaign="All",$D933=fCampaign),OR(fTeam="All",$B933=fTeam),OR(fChannel="All",$F933=fChannel),OR(fMonth="All",$AH933=fMonth),OR(fTStatus="All",$M933=fTStatus)),1,0))</f>
        <v>0</v>
      </c>
      <c r="AJ933" s="71">
        <f>IF($G933="",0,IF(AND(OR(fClient="All",$C933=fClient),OR(fCampaign="All",$D933=fCampaign),OR(fTeam="All",$B933=fTeam),OR(fChannel="All",$F933=fChannel)),1,0))</f>
        <v>0</v>
      </c>
      <c r="AK933" s="71">
        <f>IF($G933="",0,IF(OR($M933="Completed",$M933="Cancelled"),0,1))</f>
        <v>0</v>
      </c>
      <c r="AL933" s="71">
        <f>IF(AND($AK933=1,ISNUMBER($L933)),IF($L933&lt;ReportDate,1,0),0)</f>
        <v>0</v>
      </c>
      <c r="AM933" s="71">
        <f>IF(AND($G933&lt;&gt;"",$M933="Blocked"),1,0)</f>
        <v>0</v>
      </c>
      <c r="AN933" s="71">
        <f>IF(AND($AK933=1,ISNUMBER($L933)),IF($L933=ReportDate,1,0),0)</f>
        <v>0</v>
      </c>
      <c r="AO933" s="71">
        <f>IF(AND($AK933=1,ISNUMBER($L933)),IF($L933=ReportDate+1,1,0),0)</f>
        <v>0</v>
      </c>
      <c r="AP933" s="71">
        <f>IF(AND($AK933=1,ISNUMBER($L933)),IF(AND($L933&gt;=ReportDate,$L933&lt;=ReportDate+DueSoonDays),1,0),0)</f>
        <v>0</v>
      </c>
      <c r="AQ933" s="71">
        <f>IF(AND($AK933=1,OR($I933="Critical",$I933="High")),1,0)</f>
        <v>0</v>
      </c>
      <c r="AR933" s="71">
        <f>IF($AK933=1,IF(ISNUMBER($Y933),IF(ReportDate-$Y933&gt;StaleDays,1,0),1),0)</f>
        <v>0</v>
      </c>
      <c r="AS933" s="71">
        <f>IF(AND($G933&lt;&gt;"",ISNUMBER($Q933),ISNUMBER($R933)),IF(AND($Q933&lt;$R933,OR($M933="Completed",AND(ISNUMBER($L933),$L933&lt;ReportDate))),1,0),0)</f>
        <v>0</v>
      </c>
      <c r="AT933" s="71">
        <f>IF($AK933=1,IF(OR($L933=ReportDate,$W933=ReportDate,$K933=ReportDate,$A933=ReportDate),1,0),0)</f>
        <v>0</v>
      </c>
      <c r="AU933" s="71">
        <f>IF($AK933=1,IF(OR($L933=ReportDate+1,$W933=ReportDate+1,$K933=ReportDate+1,$A933=ReportDate+1),1,0),0)</f>
        <v>0</v>
      </c>
      <c r="AV933" s="71">
        <f>IF(AND($G933&lt;&gt;"",$M933="Completed"),IF(OR($Y933=ReportDate-1,$A933=ReportDate-1),1,0),0)</f>
        <v>0</v>
      </c>
      <c r="AW933" s="71">
        <f>IF(AND($AK933=1,$Z933="Yes"),1,0)</f>
        <v>0</v>
      </c>
      <c r="AX933" s="71">
        <f>IF(AND($AK933=1,$AA933="Yes"),1,0)</f>
        <v>0</v>
      </c>
      <c r="AY933" s="71">
        <f>IF(AND($AM933=1,OR($I933="Critical",$I933="High")),1,0)</f>
        <v>0</v>
      </c>
      <c r="AZ933" s="71">
        <f>IF(AND($AK933=1,OR($C933=TCL_Client,$C933=MECCA_Client)),1,0)</f>
        <v>0</v>
      </c>
      <c r="BA933" s="71" t="str">
        <f>IF($G933="","",IFERROR(MATCH($I933,lst_Priority,0),5))</f>
        <v/>
      </c>
      <c r="BB933" s="71" t="str">
        <f>IF(AND($AL933=1,$AJ933=1),$BA933*100000+ROW(),"")</f>
        <v/>
      </c>
      <c r="BC933" s="71" t="str">
        <f>IF(AND($AM933=1,$AJ933=1),$BA933*100000+ROW(),"")</f>
        <v/>
      </c>
      <c r="BD933" s="71" t="str">
        <f>IF(AND($AP933=1,$AJ933=1),$BA933*100000+ROW(),"")</f>
        <v/>
      </c>
      <c r="BE933" s="71" t="str">
        <f>IF(AND($AT933=1,$AJ933=1),$BA933*100000+ROW(),"")</f>
        <v/>
      </c>
      <c r="BF933" s="71" t="str">
        <f>IF(AND($AU933=1,$AJ933=1),$BA933*100000+ROW(),"")</f>
        <v/>
      </c>
      <c r="BG933" s="71" t="str">
        <f>IF(AND($AV933=1,$AJ933=1),$BA933*100000+ROW(),"")</f>
        <v/>
      </c>
      <c r="BH933" s="71" t="str">
        <f>IF(AND($AW933=1,$AJ933=1),$BA933*100000+ROW(),"")</f>
        <v/>
      </c>
      <c r="BI933" s="71" t="str">
        <f>IF(AND($AX933=1,$AJ933=1),$BA933*100000+ROW(),"")</f>
        <v/>
      </c>
      <c r="BJ933" s="71" t="str">
        <f>IF(AND($AS933=1,$AJ933=1),$BA933*100000+ROW(),"")</f>
        <v/>
      </c>
      <c r="BK933" s="71" t="str">
        <f>IF(AND($AY933=1,$AJ933=1),$BA933*100000+ROW(),"")</f>
        <v/>
      </c>
      <c r="BL933" s="71" t="str">
        <f>IF(AND($AZ933=1),$BA933*100000+ROW(),"")</f>
        <v/>
      </c>
    </row>
    <row r="934">
      <c r="A934" s="63" t="n"/>
      <c r="B934" s="64" t="n"/>
      <c r="C934" s="64" t="n"/>
      <c r="D934" s="64" t="n"/>
      <c r="E934" s="64" t="n"/>
      <c r="F934" s="64" t="n"/>
      <c r="G934" s="65" t="n"/>
      <c r="H934" s="65" t="n"/>
      <c r="I934" s="64" t="n"/>
      <c r="J934" s="64" t="n"/>
      <c r="K934" s="63" t="n"/>
      <c r="L934" s="63" t="n"/>
      <c r="M934" s="64" t="n"/>
      <c r="N934" s="66" t="n"/>
      <c r="O934" s="65" t="n"/>
      <c r="P934" s="64" t="n"/>
      <c r="Q934" s="67" t="n"/>
      <c r="R934" s="67" t="n"/>
      <c r="S934" s="68" t="str">
        <f>IF(AND(ISNUMBER($Q934),ISNUMBER($R934)),$Q934-$R934,"")</f>
        <v/>
      </c>
      <c r="T934" s="65" t="n"/>
      <c r="U934" s="64" t="n"/>
      <c r="V934" s="65" t="n"/>
      <c r="W934" s="63" t="n"/>
      <c r="X934" s="65" t="n"/>
      <c r="Y934" s="63" t="n"/>
      <c r="Z934" s="64" t="n"/>
      <c r="AA934" s="64" t="n"/>
      <c r="AB934" s="65" t="n"/>
      <c r="AC934" s="69" t="str">
        <f>IF(OR($G934="",NOT(ISNUMBER($K934)),$AK934=0),"",MAX(0,ReportDate-$K934))</f>
        <v/>
      </c>
      <c r="AD934" s="69" t="str">
        <f>IF($G934="","",IF($AL934=1,ReportDate-$L934,0))</f>
        <v/>
      </c>
      <c r="AE934" s="70" t="str">
        <f>IF($G934="","",IF($M934="Completed",1,IF(ISNUMBER($N934),$N934,0)))</f>
        <v/>
      </c>
      <c r="AF934" s="70" t="str">
        <f>IF(AND(ISNUMBER($Q934),ISNUMBER($R934)),IF($R934&lt;&gt;0,$Q934/$R934,""),"")</f>
        <v/>
      </c>
      <c r="AG934" s="71" t="str">
        <f>IF($G934="","",IF($AL934=1,"OVERDUE",IF($AM934=1,"BLOCKED",IF($AN934=1,"DUE TODAY",IF($AO934=1,"DUE TOMORROW",IF($AQ934=1,"HIGH PRIORITY",IF($AR934=1,"NO RECENT UPDATE",""))))))) </f>
        <v/>
      </c>
      <c r="AH934" s="71" t="str">
        <f>IF($G934="","",IF(ISNUMBER($A934),IF(ISNUMBER($A934),YEAR($A934)&amp;"-"&amp;TEXT(MONTH($A934),"00"),""),IF(ISNUMBER($L934),IF(ISNUMBER($L934),YEAR($L934)&amp;"-"&amp;TEXT(MONTH($L934),"00"),""),"")))</f>
        <v/>
      </c>
      <c r="AI934" s="71">
        <f>IF($G934="",0,IF(AND(OR(fClient="All",$C934=fClient),OR(fCampaign="All",$D934=fCampaign),OR(fTeam="All",$B934=fTeam),OR(fChannel="All",$F934=fChannel),OR(fMonth="All",$AH934=fMonth),OR(fTStatus="All",$M934=fTStatus)),1,0))</f>
        <v>0</v>
      </c>
      <c r="AJ934" s="71">
        <f>IF($G934="",0,IF(AND(OR(fClient="All",$C934=fClient),OR(fCampaign="All",$D934=fCampaign),OR(fTeam="All",$B934=fTeam),OR(fChannel="All",$F934=fChannel)),1,0))</f>
        <v>0</v>
      </c>
      <c r="AK934" s="71">
        <f>IF($G934="",0,IF(OR($M934="Completed",$M934="Cancelled"),0,1))</f>
        <v>0</v>
      </c>
      <c r="AL934" s="71">
        <f>IF(AND($AK934=1,ISNUMBER($L934)),IF($L934&lt;ReportDate,1,0),0)</f>
        <v>0</v>
      </c>
      <c r="AM934" s="71">
        <f>IF(AND($G934&lt;&gt;"",$M934="Blocked"),1,0)</f>
        <v>0</v>
      </c>
      <c r="AN934" s="71">
        <f>IF(AND($AK934=1,ISNUMBER($L934)),IF($L934=ReportDate,1,0),0)</f>
        <v>0</v>
      </c>
      <c r="AO934" s="71">
        <f>IF(AND($AK934=1,ISNUMBER($L934)),IF($L934=ReportDate+1,1,0),0)</f>
        <v>0</v>
      </c>
      <c r="AP934" s="71">
        <f>IF(AND($AK934=1,ISNUMBER($L934)),IF(AND($L934&gt;=ReportDate,$L934&lt;=ReportDate+DueSoonDays),1,0),0)</f>
        <v>0</v>
      </c>
      <c r="AQ934" s="71">
        <f>IF(AND($AK934=1,OR($I934="Critical",$I934="High")),1,0)</f>
        <v>0</v>
      </c>
      <c r="AR934" s="71">
        <f>IF($AK934=1,IF(ISNUMBER($Y934),IF(ReportDate-$Y934&gt;StaleDays,1,0),1),0)</f>
        <v>0</v>
      </c>
      <c r="AS934" s="71">
        <f>IF(AND($G934&lt;&gt;"",ISNUMBER($Q934),ISNUMBER($R934)),IF(AND($Q934&lt;$R934,OR($M934="Completed",AND(ISNUMBER($L934),$L934&lt;ReportDate))),1,0),0)</f>
        <v>0</v>
      </c>
      <c r="AT934" s="71">
        <f>IF($AK934=1,IF(OR($L934=ReportDate,$W934=ReportDate,$K934=ReportDate,$A934=ReportDate),1,0),0)</f>
        <v>0</v>
      </c>
      <c r="AU934" s="71">
        <f>IF($AK934=1,IF(OR($L934=ReportDate+1,$W934=ReportDate+1,$K934=ReportDate+1,$A934=ReportDate+1),1,0),0)</f>
        <v>0</v>
      </c>
      <c r="AV934" s="71">
        <f>IF(AND($G934&lt;&gt;"",$M934="Completed"),IF(OR($Y934=ReportDate-1,$A934=ReportDate-1),1,0),0)</f>
        <v>0</v>
      </c>
      <c r="AW934" s="71">
        <f>IF(AND($AK934=1,$Z934="Yes"),1,0)</f>
        <v>0</v>
      </c>
      <c r="AX934" s="71">
        <f>IF(AND($AK934=1,$AA934="Yes"),1,0)</f>
        <v>0</v>
      </c>
      <c r="AY934" s="71">
        <f>IF(AND($AM934=1,OR($I934="Critical",$I934="High")),1,0)</f>
        <v>0</v>
      </c>
      <c r="AZ934" s="71">
        <f>IF(AND($AK934=1,OR($C934=TCL_Client,$C934=MECCA_Client)),1,0)</f>
        <v>0</v>
      </c>
      <c r="BA934" s="71" t="str">
        <f>IF($G934="","",IFERROR(MATCH($I934,lst_Priority,0),5))</f>
        <v/>
      </c>
      <c r="BB934" s="71" t="str">
        <f>IF(AND($AL934=1,$AJ934=1),$BA934*100000+ROW(),"")</f>
        <v/>
      </c>
      <c r="BC934" s="71" t="str">
        <f>IF(AND($AM934=1,$AJ934=1),$BA934*100000+ROW(),"")</f>
        <v/>
      </c>
      <c r="BD934" s="71" t="str">
        <f>IF(AND($AP934=1,$AJ934=1),$BA934*100000+ROW(),"")</f>
        <v/>
      </c>
      <c r="BE934" s="71" t="str">
        <f>IF(AND($AT934=1,$AJ934=1),$BA934*100000+ROW(),"")</f>
        <v/>
      </c>
      <c r="BF934" s="71" t="str">
        <f>IF(AND($AU934=1,$AJ934=1),$BA934*100000+ROW(),"")</f>
        <v/>
      </c>
      <c r="BG934" s="71" t="str">
        <f>IF(AND($AV934=1,$AJ934=1),$BA934*100000+ROW(),"")</f>
        <v/>
      </c>
      <c r="BH934" s="71" t="str">
        <f>IF(AND($AW934=1,$AJ934=1),$BA934*100000+ROW(),"")</f>
        <v/>
      </c>
      <c r="BI934" s="71" t="str">
        <f>IF(AND($AX934=1,$AJ934=1),$BA934*100000+ROW(),"")</f>
        <v/>
      </c>
      <c r="BJ934" s="71" t="str">
        <f>IF(AND($AS934=1,$AJ934=1),$BA934*100000+ROW(),"")</f>
        <v/>
      </c>
      <c r="BK934" s="71" t="str">
        <f>IF(AND($AY934=1,$AJ934=1),$BA934*100000+ROW(),"")</f>
        <v/>
      </c>
      <c r="BL934" s="71" t="str">
        <f>IF(AND($AZ934=1),$BA934*100000+ROW(),"")</f>
        <v/>
      </c>
    </row>
    <row r="935">
      <c r="A935" s="63" t="n"/>
      <c r="B935" s="64" t="n"/>
      <c r="C935" s="64" t="n"/>
      <c r="D935" s="64" t="n"/>
      <c r="E935" s="64" t="n"/>
      <c r="F935" s="64" t="n"/>
      <c r="G935" s="65" t="n"/>
      <c r="H935" s="65" t="n"/>
      <c r="I935" s="64" t="n"/>
      <c r="J935" s="64" t="n"/>
      <c r="K935" s="63" t="n"/>
      <c r="L935" s="63" t="n"/>
      <c r="M935" s="64" t="n"/>
      <c r="N935" s="66" t="n"/>
      <c r="O935" s="65" t="n"/>
      <c r="P935" s="64" t="n"/>
      <c r="Q935" s="67" t="n"/>
      <c r="R935" s="67" t="n"/>
      <c r="S935" s="68" t="str">
        <f>IF(AND(ISNUMBER($Q935),ISNUMBER($R935)),$Q935-$R935,"")</f>
        <v/>
      </c>
      <c r="T935" s="65" t="n"/>
      <c r="U935" s="64" t="n"/>
      <c r="V935" s="65" t="n"/>
      <c r="W935" s="63" t="n"/>
      <c r="X935" s="65" t="n"/>
      <c r="Y935" s="63" t="n"/>
      <c r="Z935" s="64" t="n"/>
      <c r="AA935" s="64" t="n"/>
      <c r="AB935" s="65" t="n"/>
      <c r="AC935" s="69" t="str">
        <f>IF(OR($G935="",NOT(ISNUMBER($K935)),$AK935=0),"",MAX(0,ReportDate-$K935))</f>
        <v/>
      </c>
      <c r="AD935" s="69" t="str">
        <f>IF($G935="","",IF($AL935=1,ReportDate-$L935,0))</f>
        <v/>
      </c>
      <c r="AE935" s="70" t="str">
        <f>IF($G935="","",IF($M935="Completed",1,IF(ISNUMBER($N935),$N935,0)))</f>
        <v/>
      </c>
      <c r="AF935" s="70" t="str">
        <f>IF(AND(ISNUMBER($Q935),ISNUMBER($R935)),IF($R935&lt;&gt;0,$Q935/$R935,""),"")</f>
        <v/>
      </c>
      <c r="AG935" s="71" t="str">
        <f>IF($G935="","",IF($AL935=1,"OVERDUE",IF($AM935=1,"BLOCKED",IF($AN935=1,"DUE TODAY",IF($AO935=1,"DUE TOMORROW",IF($AQ935=1,"HIGH PRIORITY",IF($AR935=1,"NO RECENT UPDATE",""))))))) </f>
        <v/>
      </c>
      <c r="AH935" s="71" t="str">
        <f>IF($G935="","",IF(ISNUMBER($A935),IF(ISNUMBER($A935),YEAR($A935)&amp;"-"&amp;TEXT(MONTH($A935),"00"),""),IF(ISNUMBER($L935),IF(ISNUMBER($L935),YEAR($L935)&amp;"-"&amp;TEXT(MONTH($L935),"00"),""),"")))</f>
        <v/>
      </c>
      <c r="AI935" s="71">
        <f>IF($G935="",0,IF(AND(OR(fClient="All",$C935=fClient),OR(fCampaign="All",$D935=fCampaign),OR(fTeam="All",$B935=fTeam),OR(fChannel="All",$F935=fChannel),OR(fMonth="All",$AH935=fMonth),OR(fTStatus="All",$M935=fTStatus)),1,0))</f>
        <v>0</v>
      </c>
      <c r="AJ935" s="71">
        <f>IF($G935="",0,IF(AND(OR(fClient="All",$C935=fClient),OR(fCampaign="All",$D935=fCampaign),OR(fTeam="All",$B935=fTeam),OR(fChannel="All",$F935=fChannel)),1,0))</f>
        <v>0</v>
      </c>
      <c r="AK935" s="71">
        <f>IF($G935="",0,IF(OR($M935="Completed",$M935="Cancelled"),0,1))</f>
        <v>0</v>
      </c>
      <c r="AL935" s="71">
        <f>IF(AND($AK935=1,ISNUMBER($L935)),IF($L935&lt;ReportDate,1,0),0)</f>
        <v>0</v>
      </c>
      <c r="AM935" s="71">
        <f>IF(AND($G935&lt;&gt;"",$M935="Blocked"),1,0)</f>
        <v>0</v>
      </c>
      <c r="AN935" s="71">
        <f>IF(AND($AK935=1,ISNUMBER($L935)),IF($L935=ReportDate,1,0),0)</f>
        <v>0</v>
      </c>
      <c r="AO935" s="71">
        <f>IF(AND($AK935=1,ISNUMBER($L935)),IF($L935=ReportDate+1,1,0),0)</f>
        <v>0</v>
      </c>
      <c r="AP935" s="71">
        <f>IF(AND($AK935=1,ISNUMBER($L935)),IF(AND($L935&gt;=ReportDate,$L935&lt;=ReportDate+DueSoonDays),1,0),0)</f>
        <v>0</v>
      </c>
      <c r="AQ935" s="71">
        <f>IF(AND($AK935=1,OR($I935="Critical",$I935="High")),1,0)</f>
        <v>0</v>
      </c>
      <c r="AR935" s="71">
        <f>IF($AK935=1,IF(ISNUMBER($Y935),IF(ReportDate-$Y935&gt;StaleDays,1,0),1),0)</f>
        <v>0</v>
      </c>
      <c r="AS935" s="71">
        <f>IF(AND($G935&lt;&gt;"",ISNUMBER($Q935),ISNUMBER($R935)),IF(AND($Q935&lt;$R935,OR($M935="Completed",AND(ISNUMBER($L935),$L935&lt;ReportDate))),1,0),0)</f>
        <v>0</v>
      </c>
      <c r="AT935" s="71">
        <f>IF($AK935=1,IF(OR($L935=ReportDate,$W935=ReportDate,$K935=ReportDate,$A935=ReportDate),1,0),0)</f>
        <v>0</v>
      </c>
      <c r="AU935" s="71">
        <f>IF($AK935=1,IF(OR($L935=ReportDate+1,$W935=ReportDate+1,$K935=ReportDate+1,$A935=ReportDate+1),1,0),0)</f>
        <v>0</v>
      </c>
      <c r="AV935" s="71">
        <f>IF(AND($G935&lt;&gt;"",$M935="Completed"),IF(OR($Y935=ReportDate-1,$A935=ReportDate-1),1,0),0)</f>
        <v>0</v>
      </c>
      <c r="AW935" s="71">
        <f>IF(AND($AK935=1,$Z935="Yes"),1,0)</f>
        <v>0</v>
      </c>
      <c r="AX935" s="71">
        <f>IF(AND($AK935=1,$AA935="Yes"),1,0)</f>
        <v>0</v>
      </c>
      <c r="AY935" s="71">
        <f>IF(AND($AM935=1,OR($I935="Critical",$I935="High")),1,0)</f>
        <v>0</v>
      </c>
      <c r="AZ935" s="71">
        <f>IF(AND($AK935=1,OR($C935=TCL_Client,$C935=MECCA_Client)),1,0)</f>
        <v>0</v>
      </c>
      <c r="BA935" s="71" t="str">
        <f>IF($G935="","",IFERROR(MATCH($I935,lst_Priority,0),5))</f>
        <v/>
      </c>
      <c r="BB935" s="71" t="str">
        <f>IF(AND($AL935=1,$AJ935=1),$BA935*100000+ROW(),"")</f>
        <v/>
      </c>
      <c r="BC935" s="71" t="str">
        <f>IF(AND($AM935=1,$AJ935=1),$BA935*100000+ROW(),"")</f>
        <v/>
      </c>
      <c r="BD935" s="71" t="str">
        <f>IF(AND($AP935=1,$AJ935=1),$BA935*100000+ROW(),"")</f>
        <v/>
      </c>
      <c r="BE935" s="71" t="str">
        <f>IF(AND($AT935=1,$AJ935=1),$BA935*100000+ROW(),"")</f>
        <v/>
      </c>
      <c r="BF935" s="71" t="str">
        <f>IF(AND($AU935=1,$AJ935=1),$BA935*100000+ROW(),"")</f>
        <v/>
      </c>
      <c r="BG935" s="71" t="str">
        <f>IF(AND($AV935=1,$AJ935=1),$BA935*100000+ROW(),"")</f>
        <v/>
      </c>
      <c r="BH935" s="71" t="str">
        <f>IF(AND($AW935=1,$AJ935=1),$BA935*100000+ROW(),"")</f>
        <v/>
      </c>
      <c r="BI935" s="71" t="str">
        <f>IF(AND($AX935=1,$AJ935=1),$BA935*100000+ROW(),"")</f>
        <v/>
      </c>
      <c r="BJ935" s="71" t="str">
        <f>IF(AND($AS935=1,$AJ935=1),$BA935*100000+ROW(),"")</f>
        <v/>
      </c>
      <c r="BK935" s="71" t="str">
        <f>IF(AND($AY935=1,$AJ935=1),$BA935*100000+ROW(),"")</f>
        <v/>
      </c>
      <c r="BL935" s="71" t="str">
        <f>IF(AND($AZ935=1),$BA935*100000+ROW(),"")</f>
        <v/>
      </c>
    </row>
    <row r="936">
      <c r="A936" s="63" t="n"/>
      <c r="B936" s="64" t="n"/>
      <c r="C936" s="64" t="n"/>
      <c r="D936" s="64" t="n"/>
      <c r="E936" s="64" t="n"/>
      <c r="F936" s="64" t="n"/>
      <c r="G936" s="65" t="n"/>
      <c r="H936" s="65" t="n"/>
      <c r="I936" s="64" t="n"/>
      <c r="J936" s="64" t="n"/>
      <c r="K936" s="63" t="n"/>
      <c r="L936" s="63" t="n"/>
      <c r="M936" s="64" t="n"/>
      <c r="N936" s="66" t="n"/>
      <c r="O936" s="65" t="n"/>
      <c r="P936" s="64" t="n"/>
      <c r="Q936" s="67" t="n"/>
      <c r="R936" s="67" t="n"/>
      <c r="S936" s="68" t="str">
        <f>IF(AND(ISNUMBER($Q936),ISNUMBER($R936)),$Q936-$R936,"")</f>
        <v/>
      </c>
      <c r="T936" s="65" t="n"/>
      <c r="U936" s="64" t="n"/>
      <c r="V936" s="65" t="n"/>
      <c r="W936" s="63" t="n"/>
      <c r="X936" s="65" t="n"/>
      <c r="Y936" s="63" t="n"/>
      <c r="Z936" s="64" t="n"/>
      <c r="AA936" s="64" t="n"/>
      <c r="AB936" s="65" t="n"/>
      <c r="AC936" s="69" t="str">
        <f>IF(OR($G936="",NOT(ISNUMBER($K936)),$AK936=0),"",MAX(0,ReportDate-$K936))</f>
        <v/>
      </c>
      <c r="AD936" s="69" t="str">
        <f>IF($G936="","",IF($AL936=1,ReportDate-$L936,0))</f>
        <v/>
      </c>
      <c r="AE936" s="70" t="str">
        <f>IF($G936="","",IF($M936="Completed",1,IF(ISNUMBER($N936),$N936,0)))</f>
        <v/>
      </c>
      <c r="AF936" s="70" t="str">
        <f>IF(AND(ISNUMBER($Q936),ISNUMBER($R936)),IF($R936&lt;&gt;0,$Q936/$R936,""),"")</f>
        <v/>
      </c>
      <c r="AG936" s="71" t="str">
        <f>IF($G936="","",IF($AL936=1,"OVERDUE",IF($AM936=1,"BLOCKED",IF($AN936=1,"DUE TODAY",IF($AO936=1,"DUE TOMORROW",IF($AQ936=1,"HIGH PRIORITY",IF($AR936=1,"NO RECENT UPDATE",""))))))) </f>
        <v/>
      </c>
      <c r="AH936" s="71" t="str">
        <f>IF($G936="","",IF(ISNUMBER($A936),IF(ISNUMBER($A936),YEAR($A936)&amp;"-"&amp;TEXT(MONTH($A936),"00"),""),IF(ISNUMBER($L936),IF(ISNUMBER($L936),YEAR($L936)&amp;"-"&amp;TEXT(MONTH($L936),"00"),""),"")))</f>
        <v/>
      </c>
      <c r="AI936" s="71">
        <f>IF($G936="",0,IF(AND(OR(fClient="All",$C936=fClient),OR(fCampaign="All",$D936=fCampaign),OR(fTeam="All",$B936=fTeam),OR(fChannel="All",$F936=fChannel),OR(fMonth="All",$AH936=fMonth),OR(fTStatus="All",$M936=fTStatus)),1,0))</f>
        <v>0</v>
      </c>
      <c r="AJ936" s="71">
        <f>IF($G936="",0,IF(AND(OR(fClient="All",$C936=fClient),OR(fCampaign="All",$D936=fCampaign),OR(fTeam="All",$B936=fTeam),OR(fChannel="All",$F936=fChannel)),1,0))</f>
        <v>0</v>
      </c>
      <c r="AK936" s="71">
        <f>IF($G936="",0,IF(OR($M936="Completed",$M936="Cancelled"),0,1))</f>
        <v>0</v>
      </c>
      <c r="AL936" s="71">
        <f>IF(AND($AK936=1,ISNUMBER($L936)),IF($L936&lt;ReportDate,1,0),0)</f>
        <v>0</v>
      </c>
      <c r="AM936" s="71">
        <f>IF(AND($G936&lt;&gt;"",$M936="Blocked"),1,0)</f>
        <v>0</v>
      </c>
      <c r="AN936" s="71">
        <f>IF(AND($AK936=1,ISNUMBER($L936)),IF($L936=ReportDate,1,0),0)</f>
        <v>0</v>
      </c>
      <c r="AO936" s="71">
        <f>IF(AND($AK936=1,ISNUMBER($L936)),IF($L936=ReportDate+1,1,0),0)</f>
        <v>0</v>
      </c>
      <c r="AP936" s="71">
        <f>IF(AND($AK936=1,ISNUMBER($L936)),IF(AND($L936&gt;=ReportDate,$L936&lt;=ReportDate+DueSoonDays),1,0),0)</f>
        <v>0</v>
      </c>
      <c r="AQ936" s="71">
        <f>IF(AND($AK936=1,OR($I936="Critical",$I936="High")),1,0)</f>
        <v>0</v>
      </c>
      <c r="AR936" s="71">
        <f>IF($AK936=1,IF(ISNUMBER($Y936),IF(ReportDate-$Y936&gt;StaleDays,1,0),1),0)</f>
        <v>0</v>
      </c>
      <c r="AS936" s="71">
        <f>IF(AND($G936&lt;&gt;"",ISNUMBER($Q936),ISNUMBER($R936)),IF(AND($Q936&lt;$R936,OR($M936="Completed",AND(ISNUMBER($L936),$L936&lt;ReportDate))),1,0),0)</f>
        <v>0</v>
      </c>
      <c r="AT936" s="71">
        <f>IF($AK936=1,IF(OR($L936=ReportDate,$W936=ReportDate,$K936=ReportDate,$A936=ReportDate),1,0),0)</f>
        <v>0</v>
      </c>
      <c r="AU936" s="71">
        <f>IF($AK936=1,IF(OR($L936=ReportDate+1,$W936=ReportDate+1,$K936=ReportDate+1,$A936=ReportDate+1),1,0),0)</f>
        <v>0</v>
      </c>
      <c r="AV936" s="71">
        <f>IF(AND($G936&lt;&gt;"",$M936="Completed"),IF(OR($Y936=ReportDate-1,$A936=ReportDate-1),1,0),0)</f>
        <v>0</v>
      </c>
      <c r="AW936" s="71">
        <f>IF(AND($AK936=1,$Z936="Yes"),1,0)</f>
        <v>0</v>
      </c>
      <c r="AX936" s="71">
        <f>IF(AND($AK936=1,$AA936="Yes"),1,0)</f>
        <v>0</v>
      </c>
      <c r="AY936" s="71">
        <f>IF(AND($AM936=1,OR($I936="Critical",$I936="High")),1,0)</f>
        <v>0</v>
      </c>
      <c r="AZ936" s="71">
        <f>IF(AND($AK936=1,OR($C936=TCL_Client,$C936=MECCA_Client)),1,0)</f>
        <v>0</v>
      </c>
      <c r="BA936" s="71" t="str">
        <f>IF($G936="","",IFERROR(MATCH($I936,lst_Priority,0),5))</f>
        <v/>
      </c>
      <c r="BB936" s="71" t="str">
        <f>IF(AND($AL936=1,$AJ936=1),$BA936*100000+ROW(),"")</f>
        <v/>
      </c>
      <c r="BC936" s="71" t="str">
        <f>IF(AND($AM936=1,$AJ936=1),$BA936*100000+ROW(),"")</f>
        <v/>
      </c>
      <c r="BD936" s="71" t="str">
        <f>IF(AND($AP936=1,$AJ936=1),$BA936*100000+ROW(),"")</f>
        <v/>
      </c>
      <c r="BE936" s="71" t="str">
        <f>IF(AND($AT936=1,$AJ936=1),$BA936*100000+ROW(),"")</f>
        <v/>
      </c>
      <c r="BF936" s="71" t="str">
        <f>IF(AND($AU936=1,$AJ936=1),$BA936*100000+ROW(),"")</f>
        <v/>
      </c>
      <c r="BG936" s="71" t="str">
        <f>IF(AND($AV936=1,$AJ936=1),$BA936*100000+ROW(),"")</f>
        <v/>
      </c>
      <c r="BH936" s="71" t="str">
        <f>IF(AND($AW936=1,$AJ936=1),$BA936*100000+ROW(),"")</f>
        <v/>
      </c>
      <c r="BI936" s="71" t="str">
        <f>IF(AND($AX936=1,$AJ936=1),$BA936*100000+ROW(),"")</f>
        <v/>
      </c>
      <c r="BJ936" s="71" t="str">
        <f>IF(AND($AS936=1,$AJ936=1),$BA936*100000+ROW(),"")</f>
        <v/>
      </c>
      <c r="BK936" s="71" t="str">
        <f>IF(AND($AY936=1,$AJ936=1),$BA936*100000+ROW(),"")</f>
        <v/>
      </c>
      <c r="BL936" s="71" t="str">
        <f>IF(AND($AZ936=1),$BA936*100000+ROW(),"")</f>
        <v/>
      </c>
    </row>
    <row r="937">
      <c r="A937" s="63" t="n"/>
      <c r="B937" s="64" t="n"/>
      <c r="C937" s="64" t="n"/>
      <c r="D937" s="64" t="n"/>
      <c r="E937" s="64" t="n"/>
      <c r="F937" s="64" t="n"/>
      <c r="G937" s="65" t="n"/>
      <c r="H937" s="65" t="n"/>
      <c r="I937" s="64" t="n"/>
      <c r="J937" s="64" t="n"/>
      <c r="K937" s="63" t="n"/>
      <c r="L937" s="63" t="n"/>
      <c r="M937" s="64" t="n"/>
      <c r="N937" s="66" t="n"/>
      <c r="O937" s="65" t="n"/>
      <c r="P937" s="64" t="n"/>
      <c r="Q937" s="67" t="n"/>
      <c r="R937" s="67" t="n"/>
      <c r="S937" s="68" t="str">
        <f>IF(AND(ISNUMBER($Q937),ISNUMBER($R937)),$Q937-$R937,"")</f>
        <v/>
      </c>
      <c r="T937" s="65" t="n"/>
      <c r="U937" s="64" t="n"/>
      <c r="V937" s="65" t="n"/>
      <c r="W937" s="63" t="n"/>
      <c r="X937" s="65" t="n"/>
      <c r="Y937" s="63" t="n"/>
      <c r="Z937" s="64" t="n"/>
      <c r="AA937" s="64" t="n"/>
      <c r="AB937" s="65" t="n"/>
      <c r="AC937" s="69" t="str">
        <f>IF(OR($G937="",NOT(ISNUMBER($K937)),$AK937=0),"",MAX(0,ReportDate-$K937))</f>
        <v/>
      </c>
      <c r="AD937" s="69" t="str">
        <f>IF($G937="","",IF($AL937=1,ReportDate-$L937,0))</f>
        <v/>
      </c>
      <c r="AE937" s="70" t="str">
        <f>IF($G937="","",IF($M937="Completed",1,IF(ISNUMBER($N937),$N937,0)))</f>
        <v/>
      </c>
      <c r="AF937" s="70" t="str">
        <f>IF(AND(ISNUMBER($Q937),ISNUMBER($R937)),IF($R937&lt;&gt;0,$Q937/$R937,""),"")</f>
        <v/>
      </c>
      <c r="AG937" s="71" t="str">
        <f>IF($G937="","",IF($AL937=1,"OVERDUE",IF($AM937=1,"BLOCKED",IF($AN937=1,"DUE TODAY",IF($AO937=1,"DUE TOMORROW",IF($AQ937=1,"HIGH PRIORITY",IF($AR937=1,"NO RECENT UPDATE",""))))))) </f>
        <v/>
      </c>
      <c r="AH937" s="71" t="str">
        <f>IF($G937="","",IF(ISNUMBER($A937),IF(ISNUMBER($A937),YEAR($A937)&amp;"-"&amp;TEXT(MONTH($A937),"00"),""),IF(ISNUMBER($L937),IF(ISNUMBER($L937),YEAR($L937)&amp;"-"&amp;TEXT(MONTH($L937),"00"),""),"")))</f>
        <v/>
      </c>
      <c r="AI937" s="71">
        <f>IF($G937="",0,IF(AND(OR(fClient="All",$C937=fClient),OR(fCampaign="All",$D937=fCampaign),OR(fTeam="All",$B937=fTeam),OR(fChannel="All",$F937=fChannel),OR(fMonth="All",$AH937=fMonth),OR(fTStatus="All",$M937=fTStatus)),1,0))</f>
        <v>0</v>
      </c>
      <c r="AJ937" s="71">
        <f>IF($G937="",0,IF(AND(OR(fClient="All",$C937=fClient),OR(fCampaign="All",$D937=fCampaign),OR(fTeam="All",$B937=fTeam),OR(fChannel="All",$F937=fChannel)),1,0))</f>
        <v>0</v>
      </c>
      <c r="AK937" s="71">
        <f>IF($G937="",0,IF(OR($M937="Completed",$M937="Cancelled"),0,1))</f>
        <v>0</v>
      </c>
      <c r="AL937" s="71">
        <f>IF(AND($AK937=1,ISNUMBER($L937)),IF($L937&lt;ReportDate,1,0),0)</f>
        <v>0</v>
      </c>
      <c r="AM937" s="71">
        <f>IF(AND($G937&lt;&gt;"",$M937="Blocked"),1,0)</f>
        <v>0</v>
      </c>
      <c r="AN937" s="71">
        <f>IF(AND($AK937=1,ISNUMBER($L937)),IF($L937=ReportDate,1,0),0)</f>
        <v>0</v>
      </c>
      <c r="AO937" s="71">
        <f>IF(AND($AK937=1,ISNUMBER($L937)),IF($L937=ReportDate+1,1,0),0)</f>
        <v>0</v>
      </c>
      <c r="AP937" s="71">
        <f>IF(AND($AK937=1,ISNUMBER($L937)),IF(AND($L937&gt;=ReportDate,$L937&lt;=ReportDate+DueSoonDays),1,0),0)</f>
        <v>0</v>
      </c>
      <c r="AQ937" s="71">
        <f>IF(AND($AK937=1,OR($I937="Critical",$I937="High")),1,0)</f>
        <v>0</v>
      </c>
      <c r="AR937" s="71">
        <f>IF($AK937=1,IF(ISNUMBER($Y937),IF(ReportDate-$Y937&gt;StaleDays,1,0),1),0)</f>
        <v>0</v>
      </c>
      <c r="AS937" s="71">
        <f>IF(AND($G937&lt;&gt;"",ISNUMBER($Q937),ISNUMBER($R937)),IF(AND($Q937&lt;$R937,OR($M937="Completed",AND(ISNUMBER($L937),$L937&lt;ReportDate))),1,0),0)</f>
        <v>0</v>
      </c>
      <c r="AT937" s="71">
        <f>IF($AK937=1,IF(OR($L937=ReportDate,$W937=ReportDate,$K937=ReportDate,$A937=ReportDate),1,0),0)</f>
        <v>0</v>
      </c>
      <c r="AU937" s="71">
        <f>IF($AK937=1,IF(OR($L937=ReportDate+1,$W937=ReportDate+1,$K937=ReportDate+1,$A937=ReportDate+1),1,0),0)</f>
        <v>0</v>
      </c>
      <c r="AV937" s="71">
        <f>IF(AND($G937&lt;&gt;"",$M937="Completed"),IF(OR($Y937=ReportDate-1,$A937=ReportDate-1),1,0),0)</f>
        <v>0</v>
      </c>
      <c r="AW937" s="71">
        <f>IF(AND($AK937=1,$Z937="Yes"),1,0)</f>
        <v>0</v>
      </c>
      <c r="AX937" s="71">
        <f>IF(AND($AK937=1,$AA937="Yes"),1,0)</f>
        <v>0</v>
      </c>
      <c r="AY937" s="71">
        <f>IF(AND($AM937=1,OR($I937="Critical",$I937="High")),1,0)</f>
        <v>0</v>
      </c>
      <c r="AZ937" s="71">
        <f>IF(AND($AK937=1,OR($C937=TCL_Client,$C937=MECCA_Client)),1,0)</f>
        <v>0</v>
      </c>
      <c r="BA937" s="71" t="str">
        <f>IF($G937="","",IFERROR(MATCH($I937,lst_Priority,0),5))</f>
        <v/>
      </c>
      <c r="BB937" s="71" t="str">
        <f>IF(AND($AL937=1,$AJ937=1),$BA937*100000+ROW(),"")</f>
        <v/>
      </c>
      <c r="BC937" s="71" t="str">
        <f>IF(AND($AM937=1,$AJ937=1),$BA937*100000+ROW(),"")</f>
        <v/>
      </c>
      <c r="BD937" s="71" t="str">
        <f>IF(AND($AP937=1,$AJ937=1),$BA937*100000+ROW(),"")</f>
        <v/>
      </c>
      <c r="BE937" s="71" t="str">
        <f>IF(AND($AT937=1,$AJ937=1),$BA937*100000+ROW(),"")</f>
        <v/>
      </c>
      <c r="BF937" s="71" t="str">
        <f>IF(AND($AU937=1,$AJ937=1),$BA937*100000+ROW(),"")</f>
        <v/>
      </c>
      <c r="BG937" s="71" t="str">
        <f>IF(AND($AV937=1,$AJ937=1),$BA937*100000+ROW(),"")</f>
        <v/>
      </c>
      <c r="BH937" s="71" t="str">
        <f>IF(AND($AW937=1,$AJ937=1),$BA937*100000+ROW(),"")</f>
        <v/>
      </c>
      <c r="BI937" s="71" t="str">
        <f>IF(AND($AX937=1,$AJ937=1),$BA937*100000+ROW(),"")</f>
        <v/>
      </c>
      <c r="BJ937" s="71" t="str">
        <f>IF(AND($AS937=1,$AJ937=1),$BA937*100000+ROW(),"")</f>
        <v/>
      </c>
      <c r="BK937" s="71" t="str">
        <f>IF(AND($AY937=1,$AJ937=1),$BA937*100000+ROW(),"")</f>
        <v/>
      </c>
      <c r="BL937" s="71" t="str">
        <f>IF(AND($AZ937=1),$BA937*100000+ROW(),"")</f>
        <v/>
      </c>
    </row>
    <row r="938">
      <c r="A938" s="63" t="n"/>
      <c r="B938" s="64" t="n"/>
      <c r="C938" s="64" t="n"/>
      <c r="D938" s="64" t="n"/>
      <c r="E938" s="64" t="n"/>
      <c r="F938" s="64" t="n"/>
      <c r="G938" s="65" t="n"/>
      <c r="H938" s="65" t="n"/>
      <c r="I938" s="64" t="n"/>
      <c r="J938" s="64" t="n"/>
      <c r="K938" s="63" t="n"/>
      <c r="L938" s="63" t="n"/>
      <c r="M938" s="64" t="n"/>
      <c r="N938" s="66" t="n"/>
      <c r="O938" s="65" t="n"/>
      <c r="P938" s="64" t="n"/>
      <c r="Q938" s="67" t="n"/>
      <c r="R938" s="67" t="n"/>
      <c r="S938" s="68" t="str">
        <f>IF(AND(ISNUMBER($Q938),ISNUMBER($R938)),$Q938-$R938,"")</f>
        <v/>
      </c>
      <c r="T938" s="65" t="n"/>
      <c r="U938" s="64" t="n"/>
      <c r="V938" s="65" t="n"/>
      <c r="W938" s="63" t="n"/>
      <c r="X938" s="65" t="n"/>
      <c r="Y938" s="63" t="n"/>
      <c r="Z938" s="64" t="n"/>
      <c r="AA938" s="64" t="n"/>
      <c r="AB938" s="65" t="n"/>
      <c r="AC938" s="69" t="str">
        <f>IF(OR($G938="",NOT(ISNUMBER($K938)),$AK938=0),"",MAX(0,ReportDate-$K938))</f>
        <v/>
      </c>
      <c r="AD938" s="69" t="str">
        <f>IF($G938="","",IF($AL938=1,ReportDate-$L938,0))</f>
        <v/>
      </c>
      <c r="AE938" s="70" t="str">
        <f>IF($G938="","",IF($M938="Completed",1,IF(ISNUMBER($N938),$N938,0)))</f>
        <v/>
      </c>
      <c r="AF938" s="70" t="str">
        <f>IF(AND(ISNUMBER($Q938),ISNUMBER($R938)),IF($R938&lt;&gt;0,$Q938/$R938,""),"")</f>
        <v/>
      </c>
      <c r="AG938" s="71" t="str">
        <f>IF($G938="","",IF($AL938=1,"OVERDUE",IF($AM938=1,"BLOCKED",IF($AN938=1,"DUE TODAY",IF($AO938=1,"DUE TOMORROW",IF($AQ938=1,"HIGH PRIORITY",IF($AR938=1,"NO RECENT UPDATE",""))))))) </f>
        <v/>
      </c>
      <c r="AH938" s="71" t="str">
        <f>IF($G938="","",IF(ISNUMBER($A938),IF(ISNUMBER($A938),YEAR($A938)&amp;"-"&amp;TEXT(MONTH($A938),"00"),""),IF(ISNUMBER($L938),IF(ISNUMBER($L938),YEAR($L938)&amp;"-"&amp;TEXT(MONTH($L938),"00"),""),"")))</f>
        <v/>
      </c>
      <c r="AI938" s="71">
        <f>IF($G938="",0,IF(AND(OR(fClient="All",$C938=fClient),OR(fCampaign="All",$D938=fCampaign),OR(fTeam="All",$B938=fTeam),OR(fChannel="All",$F938=fChannel),OR(fMonth="All",$AH938=fMonth),OR(fTStatus="All",$M938=fTStatus)),1,0))</f>
        <v>0</v>
      </c>
      <c r="AJ938" s="71">
        <f>IF($G938="",0,IF(AND(OR(fClient="All",$C938=fClient),OR(fCampaign="All",$D938=fCampaign),OR(fTeam="All",$B938=fTeam),OR(fChannel="All",$F938=fChannel)),1,0))</f>
        <v>0</v>
      </c>
      <c r="AK938" s="71">
        <f>IF($G938="",0,IF(OR($M938="Completed",$M938="Cancelled"),0,1))</f>
        <v>0</v>
      </c>
      <c r="AL938" s="71">
        <f>IF(AND($AK938=1,ISNUMBER($L938)),IF($L938&lt;ReportDate,1,0),0)</f>
        <v>0</v>
      </c>
      <c r="AM938" s="71">
        <f>IF(AND($G938&lt;&gt;"",$M938="Blocked"),1,0)</f>
        <v>0</v>
      </c>
      <c r="AN938" s="71">
        <f>IF(AND($AK938=1,ISNUMBER($L938)),IF($L938=ReportDate,1,0),0)</f>
        <v>0</v>
      </c>
      <c r="AO938" s="71">
        <f>IF(AND($AK938=1,ISNUMBER($L938)),IF($L938=ReportDate+1,1,0),0)</f>
        <v>0</v>
      </c>
      <c r="AP938" s="71">
        <f>IF(AND($AK938=1,ISNUMBER($L938)),IF(AND($L938&gt;=ReportDate,$L938&lt;=ReportDate+DueSoonDays),1,0),0)</f>
        <v>0</v>
      </c>
      <c r="AQ938" s="71">
        <f>IF(AND($AK938=1,OR($I938="Critical",$I938="High")),1,0)</f>
        <v>0</v>
      </c>
      <c r="AR938" s="71">
        <f>IF($AK938=1,IF(ISNUMBER($Y938),IF(ReportDate-$Y938&gt;StaleDays,1,0),1),0)</f>
        <v>0</v>
      </c>
      <c r="AS938" s="71">
        <f>IF(AND($G938&lt;&gt;"",ISNUMBER($Q938),ISNUMBER($R938)),IF(AND($Q938&lt;$R938,OR($M938="Completed",AND(ISNUMBER($L938),$L938&lt;ReportDate))),1,0),0)</f>
        <v>0</v>
      </c>
      <c r="AT938" s="71">
        <f>IF($AK938=1,IF(OR($L938=ReportDate,$W938=ReportDate,$K938=ReportDate,$A938=ReportDate),1,0),0)</f>
        <v>0</v>
      </c>
      <c r="AU938" s="71">
        <f>IF($AK938=1,IF(OR($L938=ReportDate+1,$W938=ReportDate+1,$K938=ReportDate+1,$A938=ReportDate+1),1,0),0)</f>
        <v>0</v>
      </c>
      <c r="AV938" s="71">
        <f>IF(AND($G938&lt;&gt;"",$M938="Completed"),IF(OR($Y938=ReportDate-1,$A938=ReportDate-1),1,0),0)</f>
        <v>0</v>
      </c>
      <c r="AW938" s="71">
        <f>IF(AND($AK938=1,$Z938="Yes"),1,0)</f>
        <v>0</v>
      </c>
      <c r="AX938" s="71">
        <f>IF(AND($AK938=1,$AA938="Yes"),1,0)</f>
        <v>0</v>
      </c>
      <c r="AY938" s="71">
        <f>IF(AND($AM938=1,OR($I938="Critical",$I938="High")),1,0)</f>
        <v>0</v>
      </c>
      <c r="AZ938" s="71">
        <f>IF(AND($AK938=1,OR($C938=TCL_Client,$C938=MECCA_Client)),1,0)</f>
        <v>0</v>
      </c>
      <c r="BA938" s="71" t="str">
        <f>IF($G938="","",IFERROR(MATCH($I938,lst_Priority,0),5))</f>
        <v/>
      </c>
      <c r="BB938" s="71" t="str">
        <f>IF(AND($AL938=1,$AJ938=1),$BA938*100000+ROW(),"")</f>
        <v/>
      </c>
      <c r="BC938" s="71" t="str">
        <f>IF(AND($AM938=1,$AJ938=1),$BA938*100000+ROW(),"")</f>
        <v/>
      </c>
      <c r="BD938" s="71" t="str">
        <f>IF(AND($AP938=1,$AJ938=1),$BA938*100000+ROW(),"")</f>
        <v/>
      </c>
      <c r="BE938" s="71" t="str">
        <f>IF(AND($AT938=1,$AJ938=1),$BA938*100000+ROW(),"")</f>
        <v/>
      </c>
      <c r="BF938" s="71" t="str">
        <f>IF(AND($AU938=1,$AJ938=1),$BA938*100000+ROW(),"")</f>
        <v/>
      </c>
      <c r="BG938" s="71" t="str">
        <f>IF(AND($AV938=1,$AJ938=1),$BA938*100000+ROW(),"")</f>
        <v/>
      </c>
      <c r="BH938" s="71" t="str">
        <f>IF(AND($AW938=1,$AJ938=1),$BA938*100000+ROW(),"")</f>
        <v/>
      </c>
      <c r="BI938" s="71" t="str">
        <f>IF(AND($AX938=1,$AJ938=1),$BA938*100000+ROW(),"")</f>
        <v/>
      </c>
      <c r="BJ938" s="71" t="str">
        <f>IF(AND($AS938=1,$AJ938=1),$BA938*100000+ROW(),"")</f>
        <v/>
      </c>
      <c r="BK938" s="71" t="str">
        <f>IF(AND($AY938=1,$AJ938=1),$BA938*100000+ROW(),"")</f>
        <v/>
      </c>
      <c r="BL938" s="71" t="str">
        <f>IF(AND($AZ938=1),$BA938*100000+ROW(),"")</f>
        <v/>
      </c>
    </row>
    <row r="939">
      <c r="A939" s="63" t="n"/>
      <c r="B939" s="64" t="n"/>
      <c r="C939" s="64" t="n"/>
      <c r="D939" s="64" t="n"/>
      <c r="E939" s="64" t="n"/>
      <c r="F939" s="64" t="n"/>
      <c r="G939" s="65" t="n"/>
      <c r="H939" s="65" t="n"/>
      <c r="I939" s="64" t="n"/>
      <c r="J939" s="64" t="n"/>
      <c r="K939" s="63" t="n"/>
      <c r="L939" s="63" t="n"/>
      <c r="M939" s="64" t="n"/>
      <c r="N939" s="66" t="n"/>
      <c r="O939" s="65" t="n"/>
      <c r="P939" s="64" t="n"/>
      <c r="Q939" s="67" t="n"/>
      <c r="R939" s="67" t="n"/>
      <c r="S939" s="68" t="str">
        <f>IF(AND(ISNUMBER($Q939),ISNUMBER($R939)),$Q939-$R939,"")</f>
        <v/>
      </c>
      <c r="T939" s="65" t="n"/>
      <c r="U939" s="64" t="n"/>
      <c r="V939" s="65" t="n"/>
      <c r="W939" s="63" t="n"/>
      <c r="X939" s="65" t="n"/>
      <c r="Y939" s="63" t="n"/>
      <c r="Z939" s="64" t="n"/>
      <c r="AA939" s="64" t="n"/>
      <c r="AB939" s="65" t="n"/>
      <c r="AC939" s="69" t="str">
        <f>IF(OR($G939="",NOT(ISNUMBER($K939)),$AK939=0),"",MAX(0,ReportDate-$K939))</f>
        <v/>
      </c>
      <c r="AD939" s="69" t="str">
        <f>IF($G939="","",IF($AL939=1,ReportDate-$L939,0))</f>
        <v/>
      </c>
      <c r="AE939" s="70" t="str">
        <f>IF($G939="","",IF($M939="Completed",1,IF(ISNUMBER($N939),$N939,0)))</f>
        <v/>
      </c>
      <c r="AF939" s="70" t="str">
        <f>IF(AND(ISNUMBER($Q939),ISNUMBER($R939)),IF($R939&lt;&gt;0,$Q939/$R939,""),"")</f>
        <v/>
      </c>
      <c r="AG939" s="71" t="str">
        <f>IF($G939="","",IF($AL939=1,"OVERDUE",IF($AM939=1,"BLOCKED",IF($AN939=1,"DUE TODAY",IF($AO939=1,"DUE TOMORROW",IF($AQ939=1,"HIGH PRIORITY",IF($AR939=1,"NO RECENT UPDATE",""))))))) </f>
        <v/>
      </c>
      <c r="AH939" s="71" t="str">
        <f>IF($G939="","",IF(ISNUMBER($A939),IF(ISNUMBER($A939),YEAR($A939)&amp;"-"&amp;TEXT(MONTH($A939),"00"),""),IF(ISNUMBER($L939),IF(ISNUMBER($L939),YEAR($L939)&amp;"-"&amp;TEXT(MONTH($L939),"00"),""),"")))</f>
        <v/>
      </c>
      <c r="AI939" s="71">
        <f>IF($G939="",0,IF(AND(OR(fClient="All",$C939=fClient),OR(fCampaign="All",$D939=fCampaign),OR(fTeam="All",$B939=fTeam),OR(fChannel="All",$F939=fChannel),OR(fMonth="All",$AH939=fMonth),OR(fTStatus="All",$M939=fTStatus)),1,0))</f>
        <v>0</v>
      </c>
      <c r="AJ939" s="71">
        <f>IF($G939="",0,IF(AND(OR(fClient="All",$C939=fClient),OR(fCampaign="All",$D939=fCampaign),OR(fTeam="All",$B939=fTeam),OR(fChannel="All",$F939=fChannel)),1,0))</f>
        <v>0</v>
      </c>
      <c r="AK939" s="71">
        <f>IF($G939="",0,IF(OR($M939="Completed",$M939="Cancelled"),0,1))</f>
        <v>0</v>
      </c>
      <c r="AL939" s="71">
        <f>IF(AND($AK939=1,ISNUMBER($L939)),IF($L939&lt;ReportDate,1,0),0)</f>
        <v>0</v>
      </c>
      <c r="AM939" s="71">
        <f>IF(AND($G939&lt;&gt;"",$M939="Blocked"),1,0)</f>
        <v>0</v>
      </c>
      <c r="AN939" s="71">
        <f>IF(AND($AK939=1,ISNUMBER($L939)),IF($L939=ReportDate,1,0),0)</f>
        <v>0</v>
      </c>
      <c r="AO939" s="71">
        <f>IF(AND($AK939=1,ISNUMBER($L939)),IF($L939=ReportDate+1,1,0),0)</f>
        <v>0</v>
      </c>
      <c r="AP939" s="71">
        <f>IF(AND($AK939=1,ISNUMBER($L939)),IF(AND($L939&gt;=ReportDate,$L939&lt;=ReportDate+DueSoonDays),1,0),0)</f>
        <v>0</v>
      </c>
      <c r="AQ939" s="71">
        <f>IF(AND($AK939=1,OR($I939="Critical",$I939="High")),1,0)</f>
        <v>0</v>
      </c>
      <c r="AR939" s="71">
        <f>IF($AK939=1,IF(ISNUMBER($Y939),IF(ReportDate-$Y939&gt;StaleDays,1,0),1),0)</f>
        <v>0</v>
      </c>
      <c r="AS939" s="71">
        <f>IF(AND($G939&lt;&gt;"",ISNUMBER($Q939),ISNUMBER($R939)),IF(AND($Q939&lt;$R939,OR($M939="Completed",AND(ISNUMBER($L939),$L939&lt;ReportDate))),1,0),0)</f>
        <v>0</v>
      </c>
      <c r="AT939" s="71">
        <f>IF($AK939=1,IF(OR($L939=ReportDate,$W939=ReportDate,$K939=ReportDate,$A939=ReportDate),1,0),0)</f>
        <v>0</v>
      </c>
      <c r="AU939" s="71">
        <f>IF($AK939=1,IF(OR($L939=ReportDate+1,$W939=ReportDate+1,$K939=ReportDate+1,$A939=ReportDate+1),1,0),0)</f>
        <v>0</v>
      </c>
      <c r="AV939" s="71">
        <f>IF(AND($G939&lt;&gt;"",$M939="Completed"),IF(OR($Y939=ReportDate-1,$A939=ReportDate-1),1,0),0)</f>
        <v>0</v>
      </c>
      <c r="AW939" s="71">
        <f>IF(AND($AK939=1,$Z939="Yes"),1,0)</f>
        <v>0</v>
      </c>
      <c r="AX939" s="71">
        <f>IF(AND($AK939=1,$AA939="Yes"),1,0)</f>
        <v>0</v>
      </c>
      <c r="AY939" s="71">
        <f>IF(AND($AM939=1,OR($I939="Critical",$I939="High")),1,0)</f>
        <v>0</v>
      </c>
      <c r="AZ939" s="71">
        <f>IF(AND($AK939=1,OR($C939=TCL_Client,$C939=MECCA_Client)),1,0)</f>
        <v>0</v>
      </c>
      <c r="BA939" s="71" t="str">
        <f>IF($G939="","",IFERROR(MATCH($I939,lst_Priority,0),5))</f>
        <v/>
      </c>
      <c r="BB939" s="71" t="str">
        <f>IF(AND($AL939=1,$AJ939=1),$BA939*100000+ROW(),"")</f>
        <v/>
      </c>
      <c r="BC939" s="71" t="str">
        <f>IF(AND($AM939=1,$AJ939=1),$BA939*100000+ROW(),"")</f>
        <v/>
      </c>
      <c r="BD939" s="71" t="str">
        <f>IF(AND($AP939=1,$AJ939=1),$BA939*100000+ROW(),"")</f>
        <v/>
      </c>
      <c r="BE939" s="71" t="str">
        <f>IF(AND($AT939=1,$AJ939=1),$BA939*100000+ROW(),"")</f>
        <v/>
      </c>
      <c r="BF939" s="71" t="str">
        <f>IF(AND($AU939=1,$AJ939=1),$BA939*100000+ROW(),"")</f>
        <v/>
      </c>
      <c r="BG939" s="71" t="str">
        <f>IF(AND($AV939=1,$AJ939=1),$BA939*100000+ROW(),"")</f>
        <v/>
      </c>
      <c r="BH939" s="71" t="str">
        <f>IF(AND($AW939=1,$AJ939=1),$BA939*100000+ROW(),"")</f>
        <v/>
      </c>
      <c r="BI939" s="71" t="str">
        <f>IF(AND($AX939=1,$AJ939=1),$BA939*100000+ROW(),"")</f>
        <v/>
      </c>
      <c r="BJ939" s="71" t="str">
        <f>IF(AND($AS939=1,$AJ939=1),$BA939*100000+ROW(),"")</f>
        <v/>
      </c>
      <c r="BK939" s="71" t="str">
        <f>IF(AND($AY939=1,$AJ939=1),$BA939*100000+ROW(),"")</f>
        <v/>
      </c>
      <c r="BL939" s="71" t="str">
        <f>IF(AND($AZ939=1),$BA939*100000+ROW(),"")</f>
        <v/>
      </c>
    </row>
    <row r="940">
      <c r="A940" s="63" t="n"/>
      <c r="B940" s="64" t="n"/>
      <c r="C940" s="64" t="n"/>
      <c r="D940" s="64" t="n"/>
      <c r="E940" s="64" t="n"/>
      <c r="F940" s="64" t="n"/>
      <c r="G940" s="65" t="n"/>
      <c r="H940" s="65" t="n"/>
      <c r="I940" s="64" t="n"/>
      <c r="J940" s="64" t="n"/>
      <c r="K940" s="63" t="n"/>
      <c r="L940" s="63" t="n"/>
      <c r="M940" s="64" t="n"/>
      <c r="N940" s="66" t="n"/>
      <c r="O940" s="65" t="n"/>
      <c r="P940" s="64" t="n"/>
      <c r="Q940" s="67" t="n"/>
      <c r="R940" s="67" t="n"/>
      <c r="S940" s="68" t="str">
        <f>IF(AND(ISNUMBER($Q940),ISNUMBER($R940)),$Q940-$R940,"")</f>
        <v/>
      </c>
      <c r="T940" s="65" t="n"/>
      <c r="U940" s="64" t="n"/>
      <c r="V940" s="65" t="n"/>
      <c r="W940" s="63" t="n"/>
      <c r="X940" s="65" t="n"/>
      <c r="Y940" s="63" t="n"/>
      <c r="Z940" s="64" t="n"/>
      <c r="AA940" s="64" t="n"/>
      <c r="AB940" s="65" t="n"/>
      <c r="AC940" s="69" t="str">
        <f>IF(OR($G940="",NOT(ISNUMBER($K940)),$AK940=0),"",MAX(0,ReportDate-$K940))</f>
        <v/>
      </c>
      <c r="AD940" s="69" t="str">
        <f>IF($G940="","",IF($AL940=1,ReportDate-$L940,0))</f>
        <v/>
      </c>
      <c r="AE940" s="70" t="str">
        <f>IF($G940="","",IF($M940="Completed",1,IF(ISNUMBER($N940),$N940,0)))</f>
        <v/>
      </c>
      <c r="AF940" s="70" t="str">
        <f>IF(AND(ISNUMBER($Q940),ISNUMBER($R940)),IF($R940&lt;&gt;0,$Q940/$R940,""),"")</f>
        <v/>
      </c>
      <c r="AG940" s="71" t="str">
        <f>IF($G940="","",IF($AL940=1,"OVERDUE",IF($AM940=1,"BLOCKED",IF($AN940=1,"DUE TODAY",IF($AO940=1,"DUE TOMORROW",IF($AQ940=1,"HIGH PRIORITY",IF($AR940=1,"NO RECENT UPDATE",""))))))) </f>
        <v/>
      </c>
      <c r="AH940" s="71" t="str">
        <f>IF($G940="","",IF(ISNUMBER($A940),IF(ISNUMBER($A940),YEAR($A940)&amp;"-"&amp;TEXT(MONTH($A940),"00"),""),IF(ISNUMBER($L940),IF(ISNUMBER($L940),YEAR($L940)&amp;"-"&amp;TEXT(MONTH($L940),"00"),""),"")))</f>
        <v/>
      </c>
      <c r="AI940" s="71">
        <f>IF($G940="",0,IF(AND(OR(fClient="All",$C940=fClient),OR(fCampaign="All",$D940=fCampaign),OR(fTeam="All",$B940=fTeam),OR(fChannel="All",$F940=fChannel),OR(fMonth="All",$AH940=fMonth),OR(fTStatus="All",$M940=fTStatus)),1,0))</f>
        <v>0</v>
      </c>
      <c r="AJ940" s="71">
        <f>IF($G940="",0,IF(AND(OR(fClient="All",$C940=fClient),OR(fCampaign="All",$D940=fCampaign),OR(fTeam="All",$B940=fTeam),OR(fChannel="All",$F940=fChannel)),1,0))</f>
        <v>0</v>
      </c>
      <c r="AK940" s="71">
        <f>IF($G940="",0,IF(OR($M940="Completed",$M940="Cancelled"),0,1))</f>
        <v>0</v>
      </c>
      <c r="AL940" s="71">
        <f>IF(AND($AK940=1,ISNUMBER($L940)),IF($L940&lt;ReportDate,1,0),0)</f>
        <v>0</v>
      </c>
      <c r="AM940" s="71">
        <f>IF(AND($G940&lt;&gt;"",$M940="Blocked"),1,0)</f>
        <v>0</v>
      </c>
      <c r="AN940" s="71">
        <f>IF(AND($AK940=1,ISNUMBER($L940)),IF($L940=ReportDate,1,0),0)</f>
        <v>0</v>
      </c>
      <c r="AO940" s="71">
        <f>IF(AND($AK940=1,ISNUMBER($L940)),IF($L940=ReportDate+1,1,0),0)</f>
        <v>0</v>
      </c>
      <c r="AP940" s="71">
        <f>IF(AND($AK940=1,ISNUMBER($L940)),IF(AND($L940&gt;=ReportDate,$L940&lt;=ReportDate+DueSoonDays),1,0),0)</f>
        <v>0</v>
      </c>
      <c r="AQ940" s="71">
        <f>IF(AND($AK940=1,OR($I940="Critical",$I940="High")),1,0)</f>
        <v>0</v>
      </c>
      <c r="AR940" s="71">
        <f>IF($AK940=1,IF(ISNUMBER($Y940),IF(ReportDate-$Y940&gt;StaleDays,1,0),1),0)</f>
        <v>0</v>
      </c>
      <c r="AS940" s="71">
        <f>IF(AND($G940&lt;&gt;"",ISNUMBER($Q940),ISNUMBER($R940)),IF(AND($Q940&lt;$R940,OR($M940="Completed",AND(ISNUMBER($L940),$L940&lt;ReportDate))),1,0),0)</f>
        <v>0</v>
      </c>
      <c r="AT940" s="71">
        <f>IF($AK940=1,IF(OR($L940=ReportDate,$W940=ReportDate,$K940=ReportDate,$A940=ReportDate),1,0),0)</f>
        <v>0</v>
      </c>
      <c r="AU940" s="71">
        <f>IF($AK940=1,IF(OR($L940=ReportDate+1,$W940=ReportDate+1,$K940=ReportDate+1,$A940=ReportDate+1),1,0),0)</f>
        <v>0</v>
      </c>
      <c r="AV940" s="71">
        <f>IF(AND($G940&lt;&gt;"",$M940="Completed"),IF(OR($Y940=ReportDate-1,$A940=ReportDate-1),1,0),0)</f>
        <v>0</v>
      </c>
      <c r="AW940" s="71">
        <f>IF(AND($AK940=1,$Z940="Yes"),1,0)</f>
        <v>0</v>
      </c>
      <c r="AX940" s="71">
        <f>IF(AND($AK940=1,$AA940="Yes"),1,0)</f>
        <v>0</v>
      </c>
      <c r="AY940" s="71">
        <f>IF(AND($AM940=1,OR($I940="Critical",$I940="High")),1,0)</f>
        <v>0</v>
      </c>
      <c r="AZ940" s="71">
        <f>IF(AND($AK940=1,OR($C940=TCL_Client,$C940=MECCA_Client)),1,0)</f>
        <v>0</v>
      </c>
      <c r="BA940" s="71" t="str">
        <f>IF($G940="","",IFERROR(MATCH($I940,lst_Priority,0),5))</f>
        <v/>
      </c>
      <c r="BB940" s="71" t="str">
        <f>IF(AND($AL940=1,$AJ940=1),$BA940*100000+ROW(),"")</f>
        <v/>
      </c>
      <c r="BC940" s="71" t="str">
        <f>IF(AND($AM940=1,$AJ940=1),$BA940*100000+ROW(),"")</f>
        <v/>
      </c>
      <c r="BD940" s="71" t="str">
        <f>IF(AND($AP940=1,$AJ940=1),$BA940*100000+ROW(),"")</f>
        <v/>
      </c>
      <c r="BE940" s="71" t="str">
        <f>IF(AND($AT940=1,$AJ940=1),$BA940*100000+ROW(),"")</f>
        <v/>
      </c>
      <c r="BF940" s="71" t="str">
        <f>IF(AND($AU940=1,$AJ940=1),$BA940*100000+ROW(),"")</f>
        <v/>
      </c>
      <c r="BG940" s="71" t="str">
        <f>IF(AND($AV940=1,$AJ940=1),$BA940*100000+ROW(),"")</f>
        <v/>
      </c>
      <c r="BH940" s="71" t="str">
        <f>IF(AND($AW940=1,$AJ940=1),$BA940*100000+ROW(),"")</f>
        <v/>
      </c>
      <c r="BI940" s="71" t="str">
        <f>IF(AND($AX940=1,$AJ940=1),$BA940*100000+ROW(),"")</f>
        <v/>
      </c>
      <c r="BJ940" s="71" t="str">
        <f>IF(AND($AS940=1,$AJ940=1),$BA940*100000+ROW(),"")</f>
        <v/>
      </c>
      <c r="BK940" s="71" t="str">
        <f>IF(AND($AY940=1,$AJ940=1),$BA940*100000+ROW(),"")</f>
        <v/>
      </c>
      <c r="BL940" s="71" t="str">
        <f>IF(AND($AZ940=1),$BA940*100000+ROW(),"")</f>
        <v/>
      </c>
    </row>
    <row r="941">
      <c r="A941" s="63" t="n"/>
      <c r="B941" s="64" t="n"/>
      <c r="C941" s="64" t="n"/>
      <c r="D941" s="64" t="n"/>
      <c r="E941" s="64" t="n"/>
      <c r="F941" s="64" t="n"/>
      <c r="G941" s="65" t="n"/>
      <c r="H941" s="65" t="n"/>
      <c r="I941" s="64" t="n"/>
      <c r="J941" s="64" t="n"/>
      <c r="K941" s="63" t="n"/>
      <c r="L941" s="63" t="n"/>
      <c r="M941" s="64" t="n"/>
      <c r="N941" s="66" t="n"/>
      <c r="O941" s="65" t="n"/>
      <c r="P941" s="64" t="n"/>
      <c r="Q941" s="67" t="n"/>
      <c r="R941" s="67" t="n"/>
      <c r="S941" s="68" t="str">
        <f>IF(AND(ISNUMBER($Q941),ISNUMBER($R941)),$Q941-$R941,"")</f>
        <v/>
      </c>
      <c r="T941" s="65" t="n"/>
      <c r="U941" s="64" t="n"/>
      <c r="V941" s="65" t="n"/>
      <c r="W941" s="63" t="n"/>
      <c r="X941" s="65" t="n"/>
      <c r="Y941" s="63" t="n"/>
      <c r="Z941" s="64" t="n"/>
      <c r="AA941" s="64" t="n"/>
      <c r="AB941" s="65" t="n"/>
      <c r="AC941" s="69" t="str">
        <f>IF(OR($G941="",NOT(ISNUMBER($K941)),$AK941=0),"",MAX(0,ReportDate-$K941))</f>
        <v/>
      </c>
      <c r="AD941" s="69" t="str">
        <f>IF($G941="","",IF($AL941=1,ReportDate-$L941,0))</f>
        <v/>
      </c>
      <c r="AE941" s="70" t="str">
        <f>IF($G941="","",IF($M941="Completed",1,IF(ISNUMBER($N941),$N941,0)))</f>
        <v/>
      </c>
      <c r="AF941" s="70" t="str">
        <f>IF(AND(ISNUMBER($Q941),ISNUMBER($R941)),IF($R941&lt;&gt;0,$Q941/$R941,""),"")</f>
        <v/>
      </c>
      <c r="AG941" s="71" t="str">
        <f>IF($G941="","",IF($AL941=1,"OVERDUE",IF($AM941=1,"BLOCKED",IF($AN941=1,"DUE TODAY",IF($AO941=1,"DUE TOMORROW",IF($AQ941=1,"HIGH PRIORITY",IF($AR941=1,"NO RECENT UPDATE",""))))))) </f>
        <v/>
      </c>
      <c r="AH941" s="71" t="str">
        <f>IF($G941="","",IF(ISNUMBER($A941),IF(ISNUMBER($A941),YEAR($A941)&amp;"-"&amp;TEXT(MONTH($A941),"00"),""),IF(ISNUMBER($L941),IF(ISNUMBER($L941),YEAR($L941)&amp;"-"&amp;TEXT(MONTH($L941),"00"),""),"")))</f>
        <v/>
      </c>
      <c r="AI941" s="71">
        <f>IF($G941="",0,IF(AND(OR(fClient="All",$C941=fClient),OR(fCampaign="All",$D941=fCampaign),OR(fTeam="All",$B941=fTeam),OR(fChannel="All",$F941=fChannel),OR(fMonth="All",$AH941=fMonth),OR(fTStatus="All",$M941=fTStatus)),1,0))</f>
        <v>0</v>
      </c>
      <c r="AJ941" s="71">
        <f>IF($G941="",0,IF(AND(OR(fClient="All",$C941=fClient),OR(fCampaign="All",$D941=fCampaign),OR(fTeam="All",$B941=fTeam),OR(fChannel="All",$F941=fChannel)),1,0))</f>
        <v>0</v>
      </c>
      <c r="AK941" s="71">
        <f>IF($G941="",0,IF(OR($M941="Completed",$M941="Cancelled"),0,1))</f>
        <v>0</v>
      </c>
      <c r="AL941" s="71">
        <f>IF(AND($AK941=1,ISNUMBER($L941)),IF($L941&lt;ReportDate,1,0),0)</f>
        <v>0</v>
      </c>
      <c r="AM941" s="71">
        <f>IF(AND($G941&lt;&gt;"",$M941="Blocked"),1,0)</f>
        <v>0</v>
      </c>
      <c r="AN941" s="71">
        <f>IF(AND($AK941=1,ISNUMBER($L941)),IF($L941=ReportDate,1,0),0)</f>
        <v>0</v>
      </c>
      <c r="AO941" s="71">
        <f>IF(AND($AK941=1,ISNUMBER($L941)),IF($L941=ReportDate+1,1,0),0)</f>
        <v>0</v>
      </c>
      <c r="AP941" s="71">
        <f>IF(AND($AK941=1,ISNUMBER($L941)),IF(AND($L941&gt;=ReportDate,$L941&lt;=ReportDate+DueSoonDays),1,0),0)</f>
        <v>0</v>
      </c>
      <c r="AQ941" s="71">
        <f>IF(AND($AK941=1,OR($I941="Critical",$I941="High")),1,0)</f>
        <v>0</v>
      </c>
      <c r="AR941" s="71">
        <f>IF($AK941=1,IF(ISNUMBER($Y941),IF(ReportDate-$Y941&gt;StaleDays,1,0),1),0)</f>
        <v>0</v>
      </c>
      <c r="AS941" s="71">
        <f>IF(AND($G941&lt;&gt;"",ISNUMBER($Q941),ISNUMBER($R941)),IF(AND($Q941&lt;$R941,OR($M941="Completed",AND(ISNUMBER($L941),$L941&lt;ReportDate))),1,0),0)</f>
        <v>0</v>
      </c>
      <c r="AT941" s="71">
        <f>IF($AK941=1,IF(OR($L941=ReportDate,$W941=ReportDate,$K941=ReportDate,$A941=ReportDate),1,0),0)</f>
        <v>0</v>
      </c>
      <c r="AU941" s="71">
        <f>IF($AK941=1,IF(OR($L941=ReportDate+1,$W941=ReportDate+1,$K941=ReportDate+1,$A941=ReportDate+1),1,0),0)</f>
        <v>0</v>
      </c>
      <c r="AV941" s="71">
        <f>IF(AND($G941&lt;&gt;"",$M941="Completed"),IF(OR($Y941=ReportDate-1,$A941=ReportDate-1),1,0),0)</f>
        <v>0</v>
      </c>
      <c r="AW941" s="71">
        <f>IF(AND($AK941=1,$Z941="Yes"),1,0)</f>
        <v>0</v>
      </c>
      <c r="AX941" s="71">
        <f>IF(AND($AK941=1,$AA941="Yes"),1,0)</f>
        <v>0</v>
      </c>
      <c r="AY941" s="71">
        <f>IF(AND($AM941=1,OR($I941="Critical",$I941="High")),1,0)</f>
        <v>0</v>
      </c>
      <c r="AZ941" s="71">
        <f>IF(AND($AK941=1,OR($C941=TCL_Client,$C941=MECCA_Client)),1,0)</f>
        <v>0</v>
      </c>
      <c r="BA941" s="71" t="str">
        <f>IF($G941="","",IFERROR(MATCH($I941,lst_Priority,0),5))</f>
        <v/>
      </c>
      <c r="BB941" s="71" t="str">
        <f>IF(AND($AL941=1,$AJ941=1),$BA941*100000+ROW(),"")</f>
        <v/>
      </c>
      <c r="BC941" s="71" t="str">
        <f>IF(AND($AM941=1,$AJ941=1),$BA941*100000+ROW(),"")</f>
        <v/>
      </c>
      <c r="BD941" s="71" t="str">
        <f>IF(AND($AP941=1,$AJ941=1),$BA941*100000+ROW(),"")</f>
        <v/>
      </c>
      <c r="BE941" s="71" t="str">
        <f>IF(AND($AT941=1,$AJ941=1),$BA941*100000+ROW(),"")</f>
        <v/>
      </c>
      <c r="BF941" s="71" t="str">
        <f>IF(AND($AU941=1,$AJ941=1),$BA941*100000+ROW(),"")</f>
        <v/>
      </c>
      <c r="BG941" s="71" t="str">
        <f>IF(AND($AV941=1,$AJ941=1),$BA941*100000+ROW(),"")</f>
        <v/>
      </c>
      <c r="BH941" s="71" t="str">
        <f>IF(AND($AW941=1,$AJ941=1),$BA941*100000+ROW(),"")</f>
        <v/>
      </c>
      <c r="BI941" s="71" t="str">
        <f>IF(AND($AX941=1,$AJ941=1),$BA941*100000+ROW(),"")</f>
        <v/>
      </c>
      <c r="BJ941" s="71" t="str">
        <f>IF(AND($AS941=1,$AJ941=1),$BA941*100000+ROW(),"")</f>
        <v/>
      </c>
      <c r="BK941" s="71" t="str">
        <f>IF(AND($AY941=1,$AJ941=1),$BA941*100000+ROW(),"")</f>
        <v/>
      </c>
      <c r="BL941" s="71" t="str">
        <f>IF(AND($AZ941=1),$BA941*100000+ROW(),"")</f>
        <v/>
      </c>
    </row>
    <row r="942">
      <c r="A942" s="63" t="n"/>
      <c r="B942" s="64" t="n"/>
      <c r="C942" s="64" t="n"/>
      <c r="D942" s="64" t="n"/>
      <c r="E942" s="64" t="n"/>
      <c r="F942" s="64" t="n"/>
      <c r="G942" s="65" t="n"/>
      <c r="H942" s="65" t="n"/>
      <c r="I942" s="64" t="n"/>
      <c r="J942" s="64" t="n"/>
      <c r="K942" s="63" t="n"/>
      <c r="L942" s="63" t="n"/>
      <c r="M942" s="64" t="n"/>
      <c r="N942" s="66" t="n"/>
      <c r="O942" s="65" t="n"/>
      <c r="P942" s="64" t="n"/>
      <c r="Q942" s="67" t="n"/>
      <c r="R942" s="67" t="n"/>
      <c r="S942" s="68" t="str">
        <f>IF(AND(ISNUMBER($Q942),ISNUMBER($R942)),$Q942-$R942,"")</f>
        <v/>
      </c>
      <c r="T942" s="65" t="n"/>
      <c r="U942" s="64" t="n"/>
      <c r="V942" s="65" t="n"/>
      <c r="W942" s="63" t="n"/>
      <c r="X942" s="65" t="n"/>
      <c r="Y942" s="63" t="n"/>
      <c r="Z942" s="64" t="n"/>
      <c r="AA942" s="64" t="n"/>
      <c r="AB942" s="65" t="n"/>
      <c r="AC942" s="69" t="str">
        <f>IF(OR($G942="",NOT(ISNUMBER($K942)),$AK942=0),"",MAX(0,ReportDate-$K942))</f>
        <v/>
      </c>
      <c r="AD942" s="69" t="str">
        <f>IF($G942="","",IF($AL942=1,ReportDate-$L942,0))</f>
        <v/>
      </c>
      <c r="AE942" s="70" t="str">
        <f>IF($G942="","",IF($M942="Completed",1,IF(ISNUMBER($N942),$N942,0)))</f>
        <v/>
      </c>
      <c r="AF942" s="70" t="str">
        <f>IF(AND(ISNUMBER($Q942),ISNUMBER($R942)),IF($R942&lt;&gt;0,$Q942/$R942,""),"")</f>
        <v/>
      </c>
      <c r="AG942" s="71" t="str">
        <f>IF($G942="","",IF($AL942=1,"OVERDUE",IF($AM942=1,"BLOCKED",IF($AN942=1,"DUE TODAY",IF($AO942=1,"DUE TOMORROW",IF($AQ942=1,"HIGH PRIORITY",IF($AR942=1,"NO RECENT UPDATE",""))))))) </f>
        <v/>
      </c>
      <c r="AH942" s="71" t="str">
        <f>IF($G942="","",IF(ISNUMBER($A942),IF(ISNUMBER($A942),YEAR($A942)&amp;"-"&amp;TEXT(MONTH($A942),"00"),""),IF(ISNUMBER($L942),IF(ISNUMBER($L942),YEAR($L942)&amp;"-"&amp;TEXT(MONTH($L942),"00"),""),"")))</f>
        <v/>
      </c>
      <c r="AI942" s="71">
        <f>IF($G942="",0,IF(AND(OR(fClient="All",$C942=fClient),OR(fCampaign="All",$D942=fCampaign),OR(fTeam="All",$B942=fTeam),OR(fChannel="All",$F942=fChannel),OR(fMonth="All",$AH942=fMonth),OR(fTStatus="All",$M942=fTStatus)),1,0))</f>
        <v>0</v>
      </c>
      <c r="AJ942" s="71">
        <f>IF($G942="",0,IF(AND(OR(fClient="All",$C942=fClient),OR(fCampaign="All",$D942=fCampaign),OR(fTeam="All",$B942=fTeam),OR(fChannel="All",$F942=fChannel)),1,0))</f>
        <v>0</v>
      </c>
      <c r="AK942" s="71">
        <f>IF($G942="",0,IF(OR($M942="Completed",$M942="Cancelled"),0,1))</f>
        <v>0</v>
      </c>
      <c r="AL942" s="71">
        <f>IF(AND($AK942=1,ISNUMBER($L942)),IF($L942&lt;ReportDate,1,0),0)</f>
        <v>0</v>
      </c>
      <c r="AM942" s="71">
        <f>IF(AND($G942&lt;&gt;"",$M942="Blocked"),1,0)</f>
        <v>0</v>
      </c>
      <c r="AN942" s="71">
        <f>IF(AND($AK942=1,ISNUMBER($L942)),IF($L942=ReportDate,1,0),0)</f>
        <v>0</v>
      </c>
      <c r="AO942" s="71">
        <f>IF(AND($AK942=1,ISNUMBER($L942)),IF($L942=ReportDate+1,1,0),0)</f>
        <v>0</v>
      </c>
      <c r="AP942" s="71">
        <f>IF(AND($AK942=1,ISNUMBER($L942)),IF(AND($L942&gt;=ReportDate,$L942&lt;=ReportDate+DueSoonDays),1,0),0)</f>
        <v>0</v>
      </c>
      <c r="AQ942" s="71">
        <f>IF(AND($AK942=1,OR($I942="Critical",$I942="High")),1,0)</f>
        <v>0</v>
      </c>
      <c r="AR942" s="71">
        <f>IF($AK942=1,IF(ISNUMBER($Y942),IF(ReportDate-$Y942&gt;StaleDays,1,0),1),0)</f>
        <v>0</v>
      </c>
      <c r="AS942" s="71">
        <f>IF(AND($G942&lt;&gt;"",ISNUMBER($Q942),ISNUMBER($R942)),IF(AND($Q942&lt;$R942,OR($M942="Completed",AND(ISNUMBER($L942),$L942&lt;ReportDate))),1,0),0)</f>
        <v>0</v>
      </c>
      <c r="AT942" s="71">
        <f>IF($AK942=1,IF(OR($L942=ReportDate,$W942=ReportDate,$K942=ReportDate,$A942=ReportDate),1,0),0)</f>
        <v>0</v>
      </c>
      <c r="AU942" s="71">
        <f>IF($AK942=1,IF(OR($L942=ReportDate+1,$W942=ReportDate+1,$K942=ReportDate+1,$A942=ReportDate+1),1,0),0)</f>
        <v>0</v>
      </c>
      <c r="AV942" s="71">
        <f>IF(AND($G942&lt;&gt;"",$M942="Completed"),IF(OR($Y942=ReportDate-1,$A942=ReportDate-1),1,0),0)</f>
        <v>0</v>
      </c>
      <c r="AW942" s="71">
        <f>IF(AND($AK942=1,$Z942="Yes"),1,0)</f>
        <v>0</v>
      </c>
      <c r="AX942" s="71">
        <f>IF(AND($AK942=1,$AA942="Yes"),1,0)</f>
        <v>0</v>
      </c>
      <c r="AY942" s="71">
        <f>IF(AND($AM942=1,OR($I942="Critical",$I942="High")),1,0)</f>
        <v>0</v>
      </c>
      <c r="AZ942" s="71">
        <f>IF(AND($AK942=1,OR($C942=TCL_Client,$C942=MECCA_Client)),1,0)</f>
        <v>0</v>
      </c>
      <c r="BA942" s="71" t="str">
        <f>IF($G942="","",IFERROR(MATCH($I942,lst_Priority,0),5))</f>
        <v/>
      </c>
      <c r="BB942" s="71" t="str">
        <f>IF(AND($AL942=1,$AJ942=1),$BA942*100000+ROW(),"")</f>
        <v/>
      </c>
      <c r="BC942" s="71" t="str">
        <f>IF(AND($AM942=1,$AJ942=1),$BA942*100000+ROW(),"")</f>
        <v/>
      </c>
      <c r="BD942" s="71" t="str">
        <f>IF(AND($AP942=1,$AJ942=1),$BA942*100000+ROW(),"")</f>
        <v/>
      </c>
      <c r="BE942" s="71" t="str">
        <f>IF(AND($AT942=1,$AJ942=1),$BA942*100000+ROW(),"")</f>
        <v/>
      </c>
      <c r="BF942" s="71" t="str">
        <f>IF(AND($AU942=1,$AJ942=1),$BA942*100000+ROW(),"")</f>
        <v/>
      </c>
      <c r="BG942" s="71" t="str">
        <f>IF(AND($AV942=1,$AJ942=1),$BA942*100000+ROW(),"")</f>
        <v/>
      </c>
      <c r="BH942" s="71" t="str">
        <f>IF(AND($AW942=1,$AJ942=1),$BA942*100000+ROW(),"")</f>
        <v/>
      </c>
      <c r="BI942" s="71" t="str">
        <f>IF(AND($AX942=1,$AJ942=1),$BA942*100000+ROW(),"")</f>
        <v/>
      </c>
      <c r="BJ942" s="71" t="str">
        <f>IF(AND($AS942=1,$AJ942=1),$BA942*100000+ROW(),"")</f>
        <v/>
      </c>
      <c r="BK942" s="71" t="str">
        <f>IF(AND($AY942=1,$AJ942=1),$BA942*100000+ROW(),"")</f>
        <v/>
      </c>
      <c r="BL942" s="71" t="str">
        <f>IF(AND($AZ942=1),$BA942*100000+ROW(),"")</f>
        <v/>
      </c>
    </row>
    <row r="943">
      <c r="A943" s="63" t="n"/>
      <c r="B943" s="64" t="n"/>
      <c r="C943" s="64" t="n"/>
      <c r="D943" s="64" t="n"/>
      <c r="E943" s="64" t="n"/>
      <c r="F943" s="64" t="n"/>
      <c r="G943" s="65" t="n"/>
      <c r="H943" s="65" t="n"/>
      <c r="I943" s="64" t="n"/>
      <c r="J943" s="64" t="n"/>
      <c r="K943" s="63" t="n"/>
      <c r="L943" s="63" t="n"/>
      <c r="M943" s="64" t="n"/>
      <c r="N943" s="66" t="n"/>
      <c r="O943" s="65" t="n"/>
      <c r="P943" s="64" t="n"/>
      <c r="Q943" s="67" t="n"/>
      <c r="R943" s="67" t="n"/>
      <c r="S943" s="68" t="str">
        <f>IF(AND(ISNUMBER($Q943),ISNUMBER($R943)),$Q943-$R943,"")</f>
        <v/>
      </c>
      <c r="T943" s="65" t="n"/>
      <c r="U943" s="64" t="n"/>
      <c r="V943" s="65" t="n"/>
      <c r="W943" s="63" t="n"/>
      <c r="X943" s="65" t="n"/>
      <c r="Y943" s="63" t="n"/>
      <c r="Z943" s="64" t="n"/>
      <c r="AA943" s="64" t="n"/>
      <c r="AB943" s="65" t="n"/>
      <c r="AC943" s="69" t="str">
        <f>IF(OR($G943="",NOT(ISNUMBER($K943)),$AK943=0),"",MAX(0,ReportDate-$K943))</f>
        <v/>
      </c>
      <c r="AD943" s="69" t="str">
        <f>IF($G943="","",IF($AL943=1,ReportDate-$L943,0))</f>
        <v/>
      </c>
      <c r="AE943" s="70" t="str">
        <f>IF($G943="","",IF($M943="Completed",1,IF(ISNUMBER($N943),$N943,0)))</f>
        <v/>
      </c>
      <c r="AF943" s="70" t="str">
        <f>IF(AND(ISNUMBER($Q943),ISNUMBER($R943)),IF($R943&lt;&gt;0,$Q943/$R943,""),"")</f>
        <v/>
      </c>
      <c r="AG943" s="71" t="str">
        <f>IF($G943="","",IF($AL943=1,"OVERDUE",IF($AM943=1,"BLOCKED",IF($AN943=1,"DUE TODAY",IF($AO943=1,"DUE TOMORROW",IF($AQ943=1,"HIGH PRIORITY",IF($AR943=1,"NO RECENT UPDATE",""))))))) </f>
        <v/>
      </c>
      <c r="AH943" s="71" t="str">
        <f>IF($G943="","",IF(ISNUMBER($A943),IF(ISNUMBER($A943),YEAR($A943)&amp;"-"&amp;TEXT(MONTH($A943),"00"),""),IF(ISNUMBER($L943),IF(ISNUMBER($L943),YEAR($L943)&amp;"-"&amp;TEXT(MONTH($L943),"00"),""),"")))</f>
        <v/>
      </c>
      <c r="AI943" s="71">
        <f>IF($G943="",0,IF(AND(OR(fClient="All",$C943=fClient),OR(fCampaign="All",$D943=fCampaign),OR(fTeam="All",$B943=fTeam),OR(fChannel="All",$F943=fChannel),OR(fMonth="All",$AH943=fMonth),OR(fTStatus="All",$M943=fTStatus)),1,0))</f>
        <v>0</v>
      </c>
      <c r="AJ943" s="71">
        <f>IF($G943="",0,IF(AND(OR(fClient="All",$C943=fClient),OR(fCampaign="All",$D943=fCampaign),OR(fTeam="All",$B943=fTeam),OR(fChannel="All",$F943=fChannel)),1,0))</f>
        <v>0</v>
      </c>
      <c r="AK943" s="71">
        <f>IF($G943="",0,IF(OR($M943="Completed",$M943="Cancelled"),0,1))</f>
        <v>0</v>
      </c>
      <c r="AL943" s="71">
        <f>IF(AND($AK943=1,ISNUMBER($L943)),IF($L943&lt;ReportDate,1,0),0)</f>
        <v>0</v>
      </c>
      <c r="AM943" s="71">
        <f>IF(AND($G943&lt;&gt;"",$M943="Blocked"),1,0)</f>
        <v>0</v>
      </c>
      <c r="AN943" s="71">
        <f>IF(AND($AK943=1,ISNUMBER($L943)),IF($L943=ReportDate,1,0),0)</f>
        <v>0</v>
      </c>
      <c r="AO943" s="71">
        <f>IF(AND($AK943=1,ISNUMBER($L943)),IF($L943=ReportDate+1,1,0),0)</f>
        <v>0</v>
      </c>
      <c r="AP943" s="71">
        <f>IF(AND($AK943=1,ISNUMBER($L943)),IF(AND($L943&gt;=ReportDate,$L943&lt;=ReportDate+DueSoonDays),1,0),0)</f>
        <v>0</v>
      </c>
      <c r="AQ943" s="71">
        <f>IF(AND($AK943=1,OR($I943="Critical",$I943="High")),1,0)</f>
        <v>0</v>
      </c>
      <c r="AR943" s="71">
        <f>IF($AK943=1,IF(ISNUMBER($Y943),IF(ReportDate-$Y943&gt;StaleDays,1,0),1),0)</f>
        <v>0</v>
      </c>
      <c r="AS943" s="71">
        <f>IF(AND($G943&lt;&gt;"",ISNUMBER($Q943),ISNUMBER($R943)),IF(AND($Q943&lt;$R943,OR($M943="Completed",AND(ISNUMBER($L943),$L943&lt;ReportDate))),1,0),0)</f>
        <v>0</v>
      </c>
      <c r="AT943" s="71">
        <f>IF($AK943=1,IF(OR($L943=ReportDate,$W943=ReportDate,$K943=ReportDate,$A943=ReportDate),1,0),0)</f>
        <v>0</v>
      </c>
      <c r="AU943" s="71">
        <f>IF($AK943=1,IF(OR($L943=ReportDate+1,$W943=ReportDate+1,$K943=ReportDate+1,$A943=ReportDate+1),1,0),0)</f>
        <v>0</v>
      </c>
      <c r="AV943" s="71">
        <f>IF(AND($G943&lt;&gt;"",$M943="Completed"),IF(OR($Y943=ReportDate-1,$A943=ReportDate-1),1,0),0)</f>
        <v>0</v>
      </c>
      <c r="AW943" s="71">
        <f>IF(AND($AK943=1,$Z943="Yes"),1,0)</f>
        <v>0</v>
      </c>
      <c r="AX943" s="71">
        <f>IF(AND($AK943=1,$AA943="Yes"),1,0)</f>
        <v>0</v>
      </c>
      <c r="AY943" s="71">
        <f>IF(AND($AM943=1,OR($I943="Critical",$I943="High")),1,0)</f>
        <v>0</v>
      </c>
      <c r="AZ943" s="71">
        <f>IF(AND($AK943=1,OR($C943=TCL_Client,$C943=MECCA_Client)),1,0)</f>
        <v>0</v>
      </c>
      <c r="BA943" s="71" t="str">
        <f>IF($G943="","",IFERROR(MATCH($I943,lst_Priority,0),5))</f>
        <v/>
      </c>
      <c r="BB943" s="71" t="str">
        <f>IF(AND($AL943=1,$AJ943=1),$BA943*100000+ROW(),"")</f>
        <v/>
      </c>
      <c r="BC943" s="71" t="str">
        <f>IF(AND($AM943=1,$AJ943=1),$BA943*100000+ROW(),"")</f>
        <v/>
      </c>
      <c r="BD943" s="71" t="str">
        <f>IF(AND($AP943=1,$AJ943=1),$BA943*100000+ROW(),"")</f>
        <v/>
      </c>
      <c r="BE943" s="71" t="str">
        <f>IF(AND($AT943=1,$AJ943=1),$BA943*100000+ROW(),"")</f>
        <v/>
      </c>
      <c r="BF943" s="71" t="str">
        <f>IF(AND($AU943=1,$AJ943=1),$BA943*100000+ROW(),"")</f>
        <v/>
      </c>
      <c r="BG943" s="71" t="str">
        <f>IF(AND($AV943=1,$AJ943=1),$BA943*100000+ROW(),"")</f>
        <v/>
      </c>
      <c r="BH943" s="71" t="str">
        <f>IF(AND($AW943=1,$AJ943=1),$BA943*100000+ROW(),"")</f>
        <v/>
      </c>
      <c r="BI943" s="71" t="str">
        <f>IF(AND($AX943=1,$AJ943=1),$BA943*100000+ROW(),"")</f>
        <v/>
      </c>
      <c r="BJ943" s="71" t="str">
        <f>IF(AND($AS943=1,$AJ943=1),$BA943*100000+ROW(),"")</f>
        <v/>
      </c>
      <c r="BK943" s="71" t="str">
        <f>IF(AND($AY943=1,$AJ943=1),$BA943*100000+ROW(),"")</f>
        <v/>
      </c>
      <c r="BL943" s="71" t="str">
        <f>IF(AND($AZ943=1),$BA943*100000+ROW(),"")</f>
        <v/>
      </c>
    </row>
    <row r="944">
      <c r="A944" s="63" t="n"/>
      <c r="B944" s="64" t="n"/>
      <c r="C944" s="64" t="n"/>
      <c r="D944" s="64" t="n"/>
      <c r="E944" s="64" t="n"/>
      <c r="F944" s="64" t="n"/>
      <c r="G944" s="65" t="n"/>
      <c r="H944" s="65" t="n"/>
      <c r="I944" s="64" t="n"/>
      <c r="J944" s="64" t="n"/>
      <c r="K944" s="63" t="n"/>
      <c r="L944" s="63" t="n"/>
      <c r="M944" s="64" t="n"/>
      <c r="N944" s="66" t="n"/>
      <c r="O944" s="65" t="n"/>
      <c r="P944" s="64" t="n"/>
      <c r="Q944" s="67" t="n"/>
      <c r="R944" s="67" t="n"/>
      <c r="S944" s="68" t="str">
        <f>IF(AND(ISNUMBER($Q944),ISNUMBER($R944)),$Q944-$R944,"")</f>
        <v/>
      </c>
      <c r="T944" s="65" t="n"/>
      <c r="U944" s="64" t="n"/>
      <c r="V944" s="65" t="n"/>
      <c r="W944" s="63" t="n"/>
      <c r="X944" s="65" t="n"/>
      <c r="Y944" s="63" t="n"/>
      <c r="Z944" s="64" t="n"/>
      <c r="AA944" s="64" t="n"/>
      <c r="AB944" s="65" t="n"/>
      <c r="AC944" s="69" t="str">
        <f>IF(OR($G944="",NOT(ISNUMBER($K944)),$AK944=0),"",MAX(0,ReportDate-$K944))</f>
        <v/>
      </c>
      <c r="AD944" s="69" t="str">
        <f>IF($G944="","",IF($AL944=1,ReportDate-$L944,0))</f>
        <v/>
      </c>
      <c r="AE944" s="70" t="str">
        <f>IF($G944="","",IF($M944="Completed",1,IF(ISNUMBER($N944),$N944,0)))</f>
        <v/>
      </c>
      <c r="AF944" s="70" t="str">
        <f>IF(AND(ISNUMBER($Q944),ISNUMBER($R944)),IF($R944&lt;&gt;0,$Q944/$R944,""),"")</f>
        <v/>
      </c>
      <c r="AG944" s="71" t="str">
        <f>IF($G944="","",IF($AL944=1,"OVERDUE",IF($AM944=1,"BLOCKED",IF($AN944=1,"DUE TODAY",IF($AO944=1,"DUE TOMORROW",IF($AQ944=1,"HIGH PRIORITY",IF($AR944=1,"NO RECENT UPDATE",""))))))) </f>
        <v/>
      </c>
      <c r="AH944" s="71" t="str">
        <f>IF($G944="","",IF(ISNUMBER($A944),IF(ISNUMBER($A944),YEAR($A944)&amp;"-"&amp;TEXT(MONTH($A944),"00"),""),IF(ISNUMBER($L944),IF(ISNUMBER($L944),YEAR($L944)&amp;"-"&amp;TEXT(MONTH($L944),"00"),""),"")))</f>
        <v/>
      </c>
      <c r="AI944" s="71">
        <f>IF($G944="",0,IF(AND(OR(fClient="All",$C944=fClient),OR(fCampaign="All",$D944=fCampaign),OR(fTeam="All",$B944=fTeam),OR(fChannel="All",$F944=fChannel),OR(fMonth="All",$AH944=fMonth),OR(fTStatus="All",$M944=fTStatus)),1,0))</f>
        <v>0</v>
      </c>
      <c r="AJ944" s="71">
        <f>IF($G944="",0,IF(AND(OR(fClient="All",$C944=fClient),OR(fCampaign="All",$D944=fCampaign),OR(fTeam="All",$B944=fTeam),OR(fChannel="All",$F944=fChannel)),1,0))</f>
        <v>0</v>
      </c>
      <c r="AK944" s="71">
        <f>IF($G944="",0,IF(OR($M944="Completed",$M944="Cancelled"),0,1))</f>
        <v>0</v>
      </c>
      <c r="AL944" s="71">
        <f>IF(AND($AK944=1,ISNUMBER($L944)),IF($L944&lt;ReportDate,1,0),0)</f>
        <v>0</v>
      </c>
      <c r="AM944" s="71">
        <f>IF(AND($G944&lt;&gt;"",$M944="Blocked"),1,0)</f>
        <v>0</v>
      </c>
      <c r="AN944" s="71">
        <f>IF(AND($AK944=1,ISNUMBER($L944)),IF($L944=ReportDate,1,0),0)</f>
        <v>0</v>
      </c>
      <c r="AO944" s="71">
        <f>IF(AND($AK944=1,ISNUMBER($L944)),IF($L944=ReportDate+1,1,0),0)</f>
        <v>0</v>
      </c>
      <c r="AP944" s="71">
        <f>IF(AND($AK944=1,ISNUMBER($L944)),IF(AND($L944&gt;=ReportDate,$L944&lt;=ReportDate+DueSoonDays),1,0),0)</f>
        <v>0</v>
      </c>
      <c r="AQ944" s="71">
        <f>IF(AND($AK944=1,OR($I944="Critical",$I944="High")),1,0)</f>
        <v>0</v>
      </c>
      <c r="AR944" s="71">
        <f>IF($AK944=1,IF(ISNUMBER($Y944),IF(ReportDate-$Y944&gt;StaleDays,1,0),1),0)</f>
        <v>0</v>
      </c>
      <c r="AS944" s="71">
        <f>IF(AND($G944&lt;&gt;"",ISNUMBER($Q944),ISNUMBER($R944)),IF(AND($Q944&lt;$R944,OR($M944="Completed",AND(ISNUMBER($L944),$L944&lt;ReportDate))),1,0),0)</f>
        <v>0</v>
      </c>
      <c r="AT944" s="71">
        <f>IF($AK944=1,IF(OR($L944=ReportDate,$W944=ReportDate,$K944=ReportDate,$A944=ReportDate),1,0),0)</f>
        <v>0</v>
      </c>
      <c r="AU944" s="71">
        <f>IF($AK944=1,IF(OR($L944=ReportDate+1,$W944=ReportDate+1,$K944=ReportDate+1,$A944=ReportDate+1),1,0),0)</f>
        <v>0</v>
      </c>
      <c r="AV944" s="71">
        <f>IF(AND($G944&lt;&gt;"",$M944="Completed"),IF(OR($Y944=ReportDate-1,$A944=ReportDate-1),1,0),0)</f>
        <v>0</v>
      </c>
      <c r="AW944" s="71">
        <f>IF(AND($AK944=1,$Z944="Yes"),1,0)</f>
        <v>0</v>
      </c>
      <c r="AX944" s="71">
        <f>IF(AND($AK944=1,$AA944="Yes"),1,0)</f>
        <v>0</v>
      </c>
      <c r="AY944" s="71">
        <f>IF(AND($AM944=1,OR($I944="Critical",$I944="High")),1,0)</f>
        <v>0</v>
      </c>
      <c r="AZ944" s="71">
        <f>IF(AND($AK944=1,OR($C944=TCL_Client,$C944=MECCA_Client)),1,0)</f>
        <v>0</v>
      </c>
      <c r="BA944" s="71" t="str">
        <f>IF($G944="","",IFERROR(MATCH($I944,lst_Priority,0),5))</f>
        <v/>
      </c>
      <c r="BB944" s="71" t="str">
        <f>IF(AND($AL944=1,$AJ944=1),$BA944*100000+ROW(),"")</f>
        <v/>
      </c>
      <c r="BC944" s="71" t="str">
        <f>IF(AND($AM944=1,$AJ944=1),$BA944*100000+ROW(),"")</f>
        <v/>
      </c>
      <c r="BD944" s="71" t="str">
        <f>IF(AND($AP944=1,$AJ944=1),$BA944*100000+ROW(),"")</f>
        <v/>
      </c>
      <c r="BE944" s="71" t="str">
        <f>IF(AND($AT944=1,$AJ944=1),$BA944*100000+ROW(),"")</f>
        <v/>
      </c>
      <c r="BF944" s="71" t="str">
        <f>IF(AND($AU944=1,$AJ944=1),$BA944*100000+ROW(),"")</f>
        <v/>
      </c>
      <c r="BG944" s="71" t="str">
        <f>IF(AND($AV944=1,$AJ944=1),$BA944*100000+ROW(),"")</f>
        <v/>
      </c>
      <c r="BH944" s="71" t="str">
        <f>IF(AND($AW944=1,$AJ944=1),$BA944*100000+ROW(),"")</f>
        <v/>
      </c>
      <c r="BI944" s="71" t="str">
        <f>IF(AND($AX944=1,$AJ944=1),$BA944*100000+ROW(),"")</f>
        <v/>
      </c>
      <c r="BJ944" s="71" t="str">
        <f>IF(AND($AS944=1,$AJ944=1),$BA944*100000+ROW(),"")</f>
        <v/>
      </c>
      <c r="BK944" s="71" t="str">
        <f>IF(AND($AY944=1,$AJ944=1),$BA944*100000+ROW(),"")</f>
        <v/>
      </c>
      <c r="BL944" s="71" t="str">
        <f>IF(AND($AZ944=1),$BA944*100000+ROW(),"")</f>
        <v/>
      </c>
    </row>
    <row r="945">
      <c r="A945" s="63" t="n"/>
      <c r="B945" s="64" t="n"/>
      <c r="C945" s="64" t="n"/>
      <c r="D945" s="64" t="n"/>
      <c r="E945" s="64" t="n"/>
      <c r="F945" s="64" t="n"/>
      <c r="G945" s="65" t="n"/>
      <c r="H945" s="65" t="n"/>
      <c r="I945" s="64" t="n"/>
      <c r="J945" s="64" t="n"/>
      <c r="K945" s="63" t="n"/>
      <c r="L945" s="63" t="n"/>
      <c r="M945" s="64" t="n"/>
      <c r="N945" s="66" t="n"/>
      <c r="O945" s="65" t="n"/>
      <c r="P945" s="64" t="n"/>
      <c r="Q945" s="67" t="n"/>
      <c r="R945" s="67" t="n"/>
      <c r="S945" s="68" t="str">
        <f>IF(AND(ISNUMBER($Q945),ISNUMBER($R945)),$Q945-$R945,"")</f>
        <v/>
      </c>
      <c r="T945" s="65" t="n"/>
      <c r="U945" s="64" t="n"/>
      <c r="V945" s="65" t="n"/>
      <c r="W945" s="63" t="n"/>
      <c r="X945" s="65" t="n"/>
      <c r="Y945" s="63" t="n"/>
      <c r="Z945" s="64" t="n"/>
      <c r="AA945" s="64" t="n"/>
      <c r="AB945" s="65" t="n"/>
      <c r="AC945" s="69" t="str">
        <f>IF(OR($G945="",NOT(ISNUMBER($K945)),$AK945=0),"",MAX(0,ReportDate-$K945))</f>
        <v/>
      </c>
      <c r="AD945" s="69" t="str">
        <f>IF($G945="","",IF($AL945=1,ReportDate-$L945,0))</f>
        <v/>
      </c>
      <c r="AE945" s="70" t="str">
        <f>IF($G945="","",IF($M945="Completed",1,IF(ISNUMBER($N945),$N945,0)))</f>
        <v/>
      </c>
      <c r="AF945" s="70" t="str">
        <f>IF(AND(ISNUMBER($Q945),ISNUMBER($R945)),IF($R945&lt;&gt;0,$Q945/$R945,""),"")</f>
        <v/>
      </c>
      <c r="AG945" s="71" t="str">
        <f>IF($G945="","",IF($AL945=1,"OVERDUE",IF($AM945=1,"BLOCKED",IF($AN945=1,"DUE TODAY",IF($AO945=1,"DUE TOMORROW",IF($AQ945=1,"HIGH PRIORITY",IF($AR945=1,"NO RECENT UPDATE",""))))))) </f>
        <v/>
      </c>
      <c r="AH945" s="71" t="str">
        <f>IF($G945="","",IF(ISNUMBER($A945),IF(ISNUMBER($A945),YEAR($A945)&amp;"-"&amp;TEXT(MONTH($A945),"00"),""),IF(ISNUMBER($L945),IF(ISNUMBER($L945),YEAR($L945)&amp;"-"&amp;TEXT(MONTH($L945),"00"),""),"")))</f>
        <v/>
      </c>
      <c r="AI945" s="71">
        <f>IF($G945="",0,IF(AND(OR(fClient="All",$C945=fClient),OR(fCampaign="All",$D945=fCampaign),OR(fTeam="All",$B945=fTeam),OR(fChannel="All",$F945=fChannel),OR(fMonth="All",$AH945=fMonth),OR(fTStatus="All",$M945=fTStatus)),1,0))</f>
        <v>0</v>
      </c>
      <c r="AJ945" s="71">
        <f>IF($G945="",0,IF(AND(OR(fClient="All",$C945=fClient),OR(fCampaign="All",$D945=fCampaign),OR(fTeam="All",$B945=fTeam),OR(fChannel="All",$F945=fChannel)),1,0))</f>
        <v>0</v>
      </c>
      <c r="AK945" s="71">
        <f>IF($G945="",0,IF(OR($M945="Completed",$M945="Cancelled"),0,1))</f>
        <v>0</v>
      </c>
      <c r="AL945" s="71">
        <f>IF(AND($AK945=1,ISNUMBER($L945)),IF($L945&lt;ReportDate,1,0),0)</f>
        <v>0</v>
      </c>
      <c r="AM945" s="71">
        <f>IF(AND($G945&lt;&gt;"",$M945="Blocked"),1,0)</f>
        <v>0</v>
      </c>
      <c r="AN945" s="71">
        <f>IF(AND($AK945=1,ISNUMBER($L945)),IF($L945=ReportDate,1,0),0)</f>
        <v>0</v>
      </c>
      <c r="AO945" s="71">
        <f>IF(AND($AK945=1,ISNUMBER($L945)),IF($L945=ReportDate+1,1,0),0)</f>
        <v>0</v>
      </c>
      <c r="AP945" s="71">
        <f>IF(AND($AK945=1,ISNUMBER($L945)),IF(AND($L945&gt;=ReportDate,$L945&lt;=ReportDate+DueSoonDays),1,0),0)</f>
        <v>0</v>
      </c>
      <c r="AQ945" s="71">
        <f>IF(AND($AK945=1,OR($I945="Critical",$I945="High")),1,0)</f>
        <v>0</v>
      </c>
      <c r="AR945" s="71">
        <f>IF($AK945=1,IF(ISNUMBER($Y945),IF(ReportDate-$Y945&gt;StaleDays,1,0),1),0)</f>
        <v>0</v>
      </c>
      <c r="AS945" s="71">
        <f>IF(AND($G945&lt;&gt;"",ISNUMBER($Q945),ISNUMBER($R945)),IF(AND($Q945&lt;$R945,OR($M945="Completed",AND(ISNUMBER($L945),$L945&lt;ReportDate))),1,0),0)</f>
        <v>0</v>
      </c>
      <c r="AT945" s="71">
        <f>IF($AK945=1,IF(OR($L945=ReportDate,$W945=ReportDate,$K945=ReportDate,$A945=ReportDate),1,0),0)</f>
        <v>0</v>
      </c>
      <c r="AU945" s="71">
        <f>IF($AK945=1,IF(OR($L945=ReportDate+1,$W945=ReportDate+1,$K945=ReportDate+1,$A945=ReportDate+1),1,0),0)</f>
        <v>0</v>
      </c>
      <c r="AV945" s="71">
        <f>IF(AND($G945&lt;&gt;"",$M945="Completed"),IF(OR($Y945=ReportDate-1,$A945=ReportDate-1),1,0),0)</f>
        <v>0</v>
      </c>
      <c r="AW945" s="71">
        <f>IF(AND($AK945=1,$Z945="Yes"),1,0)</f>
        <v>0</v>
      </c>
      <c r="AX945" s="71">
        <f>IF(AND($AK945=1,$AA945="Yes"),1,0)</f>
        <v>0</v>
      </c>
      <c r="AY945" s="71">
        <f>IF(AND($AM945=1,OR($I945="Critical",$I945="High")),1,0)</f>
        <v>0</v>
      </c>
      <c r="AZ945" s="71">
        <f>IF(AND($AK945=1,OR($C945=TCL_Client,$C945=MECCA_Client)),1,0)</f>
        <v>0</v>
      </c>
      <c r="BA945" s="71" t="str">
        <f>IF($G945="","",IFERROR(MATCH($I945,lst_Priority,0),5))</f>
        <v/>
      </c>
      <c r="BB945" s="71" t="str">
        <f>IF(AND($AL945=1,$AJ945=1),$BA945*100000+ROW(),"")</f>
        <v/>
      </c>
      <c r="BC945" s="71" t="str">
        <f>IF(AND($AM945=1,$AJ945=1),$BA945*100000+ROW(),"")</f>
        <v/>
      </c>
      <c r="BD945" s="71" t="str">
        <f>IF(AND($AP945=1,$AJ945=1),$BA945*100000+ROW(),"")</f>
        <v/>
      </c>
      <c r="BE945" s="71" t="str">
        <f>IF(AND($AT945=1,$AJ945=1),$BA945*100000+ROW(),"")</f>
        <v/>
      </c>
      <c r="BF945" s="71" t="str">
        <f>IF(AND($AU945=1,$AJ945=1),$BA945*100000+ROW(),"")</f>
        <v/>
      </c>
      <c r="BG945" s="71" t="str">
        <f>IF(AND($AV945=1,$AJ945=1),$BA945*100000+ROW(),"")</f>
        <v/>
      </c>
      <c r="BH945" s="71" t="str">
        <f>IF(AND($AW945=1,$AJ945=1),$BA945*100000+ROW(),"")</f>
        <v/>
      </c>
      <c r="BI945" s="71" t="str">
        <f>IF(AND($AX945=1,$AJ945=1),$BA945*100000+ROW(),"")</f>
        <v/>
      </c>
      <c r="BJ945" s="71" t="str">
        <f>IF(AND($AS945=1,$AJ945=1),$BA945*100000+ROW(),"")</f>
        <v/>
      </c>
      <c r="BK945" s="71" t="str">
        <f>IF(AND($AY945=1,$AJ945=1),$BA945*100000+ROW(),"")</f>
        <v/>
      </c>
      <c r="BL945" s="71" t="str">
        <f>IF(AND($AZ945=1),$BA945*100000+ROW(),"")</f>
        <v/>
      </c>
    </row>
    <row r="946">
      <c r="A946" s="63" t="n"/>
      <c r="B946" s="64" t="n"/>
      <c r="C946" s="64" t="n"/>
      <c r="D946" s="64" t="n"/>
      <c r="E946" s="64" t="n"/>
      <c r="F946" s="64" t="n"/>
      <c r="G946" s="65" t="n"/>
      <c r="H946" s="65" t="n"/>
      <c r="I946" s="64" t="n"/>
      <c r="J946" s="64" t="n"/>
      <c r="K946" s="63" t="n"/>
      <c r="L946" s="63" t="n"/>
      <c r="M946" s="64" t="n"/>
      <c r="N946" s="66" t="n"/>
      <c r="O946" s="65" t="n"/>
      <c r="P946" s="64" t="n"/>
      <c r="Q946" s="67" t="n"/>
      <c r="R946" s="67" t="n"/>
      <c r="S946" s="68" t="str">
        <f>IF(AND(ISNUMBER($Q946),ISNUMBER($R946)),$Q946-$R946,"")</f>
        <v/>
      </c>
      <c r="T946" s="65" t="n"/>
      <c r="U946" s="64" t="n"/>
      <c r="V946" s="65" t="n"/>
      <c r="W946" s="63" t="n"/>
      <c r="X946" s="65" t="n"/>
      <c r="Y946" s="63" t="n"/>
      <c r="Z946" s="64" t="n"/>
      <c r="AA946" s="64" t="n"/>
      <c r="AB946" s="65" t="n"/>
      <c r="AC946" s="69" t="str">
        <f>IF(OR($G946="",NOT(ISNUMBER($K946)),$AK946=0),"",MAX(0,ReportDate-$K946))</f>
        <v/>
      </c>
      <c r="AD946" s="69" t="str">
        <f>IF($G946="","",IF($AL946=1,ReportDate-$L946,0))</f>
        <v/>
      </c>
      <c r="AE946" s="70" t="str">
        <f>IF($G946="","",IF($M946="Completed",1,IF(ISNUMBER($N946),$N946,0)))</f>
        <v/>
      </c>
      <c r="AF946" s="70" t="str">
        <f>IF(AND(ISNUMBER($Q946),ISNUMBER($R946)),IF($R946&lt;&gt;0,$Q946/$R946,""),"")</f>
        <v/>
      </c>
      <c r="AG946" s="71" t="str">
        <f>IF($G946="","",IF($AL946=1,"OVERDUE",IF($AM946=1,"BLOCKED",IF($AN946=1,"DUE TODAY",IF($AO946=1,"DUE TOMORROW",IF($AQ946=1,"HIGH PRIORITY",IF($AR946=1,"NO RECENT UPDATE",""))))))) </f>
        <v/>
      </c>
      <c r="AH946" s="71" t="str">
        <f>IF($G946="","",IF(ISNUMBER($A946),IF(ISNUMBER($A946),YEAR($A946)&amp;"-"&amp;TEXT(MONTH($A946),"00"),""),IF(ISNUMBER($L946),IF(ISNUMBER($L946),YEAR($L946)&amp;"-"&amp;TEXT(MONTH($L946),"00"),""),"")))</f>
        <v/>
      </c>
      <c r="AI946" s="71">
        <f>IF($G946="",0,IF(AND(OR(fClient="All",$C946=fClient),OR(fCampaign="All",$D946=fCampaign),OR(fTeam="All",$B946=fTeam),OR(fChannel="All",$F946=fChannel),OR(fMonth="All",$AH946=fMonth),OR(fTStatus="All",$M946=fTStatus)),1,0))</f>
        <v>0</v>
      </c>
      <c r="AJ946" s="71">
        <f>IF($G946="",0,IF(AND(OR(fClient="All",$C946=fClient),OR(fCampaign="All",$D946=fCampaign),OR(fTeam="All",$B946=fTeam),OR(fChannel="All",$F946=fChannel)),1,0))</f>
        <v>0</v>
      </c>
      <c r="AK946" s="71">
        <f>IF($G946="",0,IF(OR($M946="Completed",$M946="Cancelled"),0,1))</f>
        <v>0</v>
      </c>
      <c r="AL946" s="71">
        <f>IF(AND($AK946=1,ISNUMBER($L946)),IF($L946&lt;ReportDate,1,0),0)</f>
        <v>0</v>
      </c>
      <c r="AM946" s="71">
        <f>IF(AND($G946&lt;&gt;"",$M946="Blocked"),1,0)</f>
        <v>0</v>
      </c>
      <c r="AN946" s="71">
        <f>IF(AND($AK946=1,ISNUMBER($L946)),IF($L946=ReportDate,1,0),0)</f>
        <v>0</v>
      </c>
      <c r="AO946" s="71">
        <f>IF(AND($AK946=1,ISNUMBER($L946)),IF($L946=ReportDate+1,1,0),0)</f>
        <v>0</v>
      </c>
      <c r="AP946" s="71">
        <f>IF(AND($AK946=1,ISNUMBER($L946)),IF(AND($L946&gt;=ReportDate,$L946&lt;=ReportDate+DueSoonDays),1,0),0)</f>
        <v>0</v>
      </c>
      <c r="AQ946" s="71">
        <f>IF(AND($AK946=1,OR($I946="Critical",$I946="High")),1,0)</f>
        <v>0</v>
      </c>
      <c r="AR946" s="71">
        <f>IF($AK946=1,IF(ISNUMBER($Y946),IF(ReportDate-$Y946&gt;StaleDays,1,0),1),0)</f>
        <v>0</v>
      </c>
      <c r="AS946" s="71">
        <f>IF(AND($G946&lt;&gt;"",ISNUMBER($Q946),ISNUMBER($R946)),IF(AND($Q946&lt;$R946,OR($M946="Completed",AND(ISNUMBER($L946),$L946&lt;ReportDate))),1,0),0)</f>
        <v>0</v>
      </c>
      <c r="AT946" s="71">
        <f>IF($AK946=1,IF(OR($L946=ReportDate,$W946=ReportDate,$K946=ReportDate,$A946=ReportDate),1,0),0)</f>
        <v>0</v>
      </c>
      <c r="AU946" s="71">
        <f>IF($AK946=1,IF(OR($L946=ReportDate+1,$W946=ReportDate+1,$K946=ReportDate+1,$A946=ReportDate+1),1,0),0)</f>
        <v>0</v>
      </c>
      <c r="AV946" s="71">
        <f>IF(AND($G946&lt;&gt;"",$M946="Completed"),IF(OR($Y946=ReportDate-1,$A946=ReportDate-1),1,0),0)</f>
        <v>0</v>
      </c>
      <c r="AW946" s="71">
        <f>IF(AND($AK946=1,$Z946="Yes"),1,0)</f>
        <v>0</v>
      </c>
      <c r="AX946" s="71">
        <f>IF(AND($AK946=1,$AA946="Yes"),1,0)</f>
        <v>0</v>
      </c>
      <c r="AY946" s="71">
        <f>IF(AND($AM946=1,OR($I946="Critical",$I946="High")),1,0)</f>
        <v>0</v>
      </c>
      <c r="AZ946" s="71">
        <f>IF(AND($AK946=1,OR($C946=TCL_Client,$C946=MECCA_Client)),1,0)</f>
        <v>0</v>
      </c>
      <c r="BA946" s="71" t="str">
        <f>IF($G946="","",IFERROR(MATCH($I946,lst_Priority,0),5))</f>
        <v/>
      </c>
      <c r="BB946" s="71" t="str">
        <f>IF(AND($AL946=1,$AJ946=1),$BA946*100000+ROW(),"")</f>
        <v/>
      </c>
      <c r="BC946" s="71" t="str">
        <f>IF(AND($AM946=1,$AJ946=1),$BA946*100000+ROW(),"")</f>
        <v/>
      </c>
      <c r="BD946" s="71" t="str">
        <f>IF(AND($AP946=1,$AJ946=1),$BA946*100000+ROW(),"")</f>
        <v/>
      </c>
      <c r="BE946" s="71" t="str">
        <f>IF(AND($AT946=1,$AJ946=1),$BA946*100000+ROW(),"")</f>
        <v/>
      </c>
      <c r="BF946" s="71" t="str">
        <f>IF(AND($AU946=1,$AJ946=1),$BA946*100000+ROW(),"")</f>
        <v/>
      </c>
      <c r="BG946" s="71" t="str">
        <f>IF(AND($AV946=1,$AJ946=1),$BA946*100000+ROW(),"")</f>
        <v/>
      </c>
      <c r="BH946" s="71" t="str">
        <f>IF(AND($AW946=1,$AJ946=1),$BA946*100000+ROW(),"")</f>
        <v/>
      </c>
      <c r="BI946" s="71" t="str">
        <f>IF(AND($AX946=1,$AJ946=1),$BA946*100000+ROW(),"")</f>
        <v/>
      </c>
      <c r="BJ946" s="71" t="str">
        <f>IF(AND($AS946=1,$AJ946=1),$BA946*100000+ROW(),"")</f>
        <v/>
      </c>
      <c r="BK946" s="71" t="str">
        <f>IF(AND($AY946=1,$AJ946=1),$BA946*100000+ROW(),"")</f>
        <v/>
      </c>
      <c r="BL946" s="71" t="str">
        <f>IF(AND($AZ946=1),$BA946*100000+ROW(),"")</f>
        <v/>
      </c>
    </row>
    <row r="947">
      <c r="A947" s="63" t="n"/>
      <c r="B947" s="64" t="n"/>
      <c r="C947" s="64" t="n"/>
      <c r="D947" s="64" t="n"/>
      <c r="E947" s="64" t="n"/>
      <c r="F947" s="64" t="n"/>
      <c r="G947" s="65" t="n"/>
      <c r="H947" s="65" t="n"/>
      <c r="I947" s="64" t="n"/>
      <c r="J947" s="64" t="n"/>
      <c r="K947" s="63" t="n"/>
      <c r="L947" s="63" t="n"/>
      <c r="M947" s="64" t="n"/>
      <c r="N947" s="66" t="n"/>
      <c r="O947" s="65" t="n"/>
      <c r="P947" s="64" t="n"/>
      <c r="Q947" s="67" t="n"/>
      <c r="R947" s="67" t="n"/>
      <c r="S947" s="68" t="str">
        <f>IF(AND(ISNUMBER($Q947),ISNUMBER($R947)),$Q947-$R947,"")</f>
        <v/>
      </c>
      <c r="T947" s="65" t="n"/>
      <c r="U947" s="64" t="n"/>
      <c r="V947" s="65" t="n"/>
      <c r="W947" s="63" t="n"/>
      <c r="X947" s="65" t="n"/>
      <c r="Y947" s="63" t="n"/>
      <c r="Z947" s="64" t="n"/>
      <c r="AA947" s="64" t="n"/>
      <c r="AB947" s="65" t="n"/>
      <c r="AC947" s="69" t="str">
        <f>IF(OR($G947="",NOT(ISNUMBER($K947)),$AK947=0),"",MAX(0,ReportDate-$K947))</f>
        <v/>
      </c>
      <c r="AD947" s="69" t="str">
        <f>IF($G947="","",IF($AL947=1,ReportDate-$L947,0))</f>
        <v/>
      </c>
      <c r="AE947" s="70" t="str">
        <f>IF($G947="","",IF($M947="Completed",1,IF(ISNUMBER($N947),$N947,0)))</f>
        <v/>
      </c>
      <c r="AF947" s="70" t="str">
        <f>IF(AND(ISNUMBER($Q947),ISNUMBER($R947)),IF($R947&lt;&gt;0,$Q947/$R947,""),"")</f>
        <v/>
      </c>
      <c r="AG947" s="71" t="str">
        <f>IF($G947="","",IF($AL947=1,"OVERDUE",IF($AM947=1,"BLOCKED",IF($AN947=1,"DUE TODAY",IF($AO947=1,"DUE TOMORROW",IF($AQ947=1,"HIGH PRIORITY",IF($AR947=1,"NO RECENT UPDATE",""))))))) </f>
        <v/>
      </c>
      <c r="AH947" s="71" t="str">
        <f>IF($G947="","",IF(ISNUMBER($A947),IF(ISNUMBER($A947),YEAR($A947)&amp;"-"&amp;TEXT(MONTH($A947),"00"),""),IF(ISNUMBER($L947),IF(ISNUMBER($L947),YEAR($L947)&amp;"-"&amp;TEXT(MONTH($L947),"00"),""),"")))</f>
        <v/>
      </c>
      <c r="AI947" s="71">
        <f>IF($G947="",0,IF(AND(OR(fClient="All",$C947=fClient),OR(fCampaign="All",$D947=fCampaign),OR(fTeam="All",$B947=fTeam),OR(fChannel="All",$F947=fChannel),OR(fMonth="All",$AH947=fMonth),OR(fTStatus="All",$M947=fTStatus)),1,0))</f>
        <v>0</v>
      </c>
      <c r="AJ947" s="71">
        <f>IF($G947="",0,IF(AND(OR(fClient="All",$C947=fClient),OR(fCampaign="All",$D947=fCampaign),OR(fTeam="All",$B947=fTeam),OR(fChannel="All",$F947=fChannel)),1,0))</f>
        <v>0</v>
      </c>
      <c r="AK947" s="71">
        <f>IF($G947="",0,IF(OR($M947="Completed",$M947="Cancelled"),0,1))</f>
        <v>0</v>
      </c>
      <c r="AL947" s="71">
        <f>IF(AND($AK947=1,ISNUMBER($L947)),IF($L947&lt;ReportDate,1,0),0)</f>
        <v>0</v>
      </c>
      <c r="AM947" s="71">
        <f>IF(AND($G947&lt;&gt;"",$M947="Blocked"),1,0)</f>
        <v>0</v>
      </c>
      <c r="AN947" s="71">
        <f>IF(AND($AK947=1,ISNUMBER($L947)),IF($L947=ReportDate,1,0),0)</f>
        <v>0</v>
      </c>
      <c r="AO947" s="71">
        <f>IF(AND($AK947=1,ISNUMBER($L947)),IF($L947=ReportDate+1,1,0),0)</f>
        <v>0</v>
      </c>
      <c r="AP947" s="71">
        <f>IF(AND($AK947=1,ISNUMBER($L947)),IF(AND($L947&gt;=ReportDate,$L947&lt;=ReportDate+DueSoonDays),1,0),0)</f>
        <v>0</v>
      </c>
      <c r="AQ947" s="71">
        <f>IF(AND($AK947=1,OR($I947="Critical",$I947="High")),1,0)</f>
        <v>0</v>
      </c>
      <c r="AR947" s="71">
        <f>IF($AK947=1,IF(ISNUMBER($Y947),IF(ReportDate-$Y947&gt;StaleDays,1,0),1),0)</f>
        <v>0</v>
      </c>
      <c r="AS947" s="71">
        <f>IF(AND($G947&lt;&gt;"",ISNUMBER($Q947),ISNUMBER($R947)),IF(AND($Q947&lt;$R947,OR($M947="Completed",AND(ISNUMBER($L947),$L947&lt;ReportDate))),1,0),0)</f>
        <v>0</v>
      </c>
      <c r="AT947" s="71">
        <f>IF($AK947=1,IF(OR($L947=ReportDate,$W947=ReportDate,$K947=ReportDate,$A947=ReportDate),1,0),0)</f>
        <v>0</v>
      </c>
      <c r="AU947" s="71">
        <f>IF($AK947=1,IF(OR($L947=ReportDate+1,$W947=ReportDate+1,$K947=ReportDate+1,$A947=ReportDate+1),1,0),0)</f>
        <v>0</v>
      </c>
      <c r="AV947" s="71">
        <f>IF(AND($G947&lt;&gt;"",$M947="Completed"),IF(OR($Y947=ReportDate-1,$A947=ReportDate-1),1,0),0)</f>
        <v>0</v>
      </c>
      <c r="AW947" s="71">
        <f>IF(AND($AK947=1,$Z947="Yes"),1,0)</f>
        <v>0</v>
      </c>
      <c r="AX947" s="71">
        <f>IF(AND($AK947=1,$AA947="Yes"),1,0)</f>
        <v>0</v>
      </c>
      <c r="AY947" s="71">
        <f>IF(AND($AM947=1,OR($I947="Critical",$I947="High")),1,0)</f>
        <v>0</v>
      </c>
      <c r="AZ947" s="71">
        <f>IF(AND($AK947=1,OR($C947=TCL_Client,$C947=MECCA_Client)),1,0)</f>
        <v>0</v>
      </c>
      <c r="BA947" s="71" t="str">
        <f>IF($G947="","",IFERROR(MATCH($I947,lst_Priority,0),5))</f>
        <v/>
      </c>
      <c r="BB947" s="71" t="str">
        <f>IF(AND($AL947=1,$AJ947=1),$BA947*100000+ROW(),"")</f>
        <v/>
      </c>
      <c r="BC947" s="71" t="str">
        <f>IF(AND($AM947=1,$AJ947=1),$BA947*100000+ROW(),"")</f>
        <v/>
      </c>
      <c r="BD947" s="71" t="str">
        <f>IF(AND($AP947=1,$AJ947=1),$BA947*100000+ROW(),"")</f>
        <v/>
      </c>
      <c r="BE947" s="71" t="str">
        <f>IF(AND($AT947=1,$AJ947=1),$BA947*100000+ROW(),"")</f>
        <v/>
      </c>
      <c r="BF947" s="71" t="str">
        <f>IF(AND($AU947=1,$AJ947=1),$BA947*100000+ROW(),"")</f>
        <v/>
      </c>
      <c r="BG947" s="71" t="str">
        <f>IF(AND($AV947=1,$AJ947=1),$BA947*100000+ROW(),"")</f>
        <v/>
      </c>
      <c r="BH947" s="71" t="str">
        <f>IF(AND($AW947=1,$AJ947=1),$BA947*100000+ROW(),"")</f>
        <v/>
      </c>
      <c r="BI947" s="71" t="str">
        <f>IF(AND($AX947=1,$AJ947=1),$BA947*100000+ROW(),"")</f>
        <v/>
      </c>
      <c r="BJ947" s="71" t="str">
        <f>IF(AND($AS947=1,$AJ947=1),$BA947*100000+ROW(),"")</f>
        <v/>
      </c>
      <c r="BK947" s="71" t="str">
        <f>IF(AND($AY947=1,$AJ947=1),$BA947*100000+ROW(),"")</f>
        <v/>
      </c>
      <c r="BL947" s="71" t="str">
        <f>IF(AND($AZ947=1),$BA947*100000+ROW(),"")</f>
        <v/>
      </c>
    </row>
    <row r="948">
      <c r="A948" s="63" t="n"/>
      <c r="B948" s="64" t="n"/>
      <c r="C948" s="64" t="n"/>
      <c r="D948" s="64" t="n"/>
      <c r="E948" s="64" t="n"/>
      <c r="F948" s="64" t="n"/>
      <c r="G948" s="65" t="n"/>
      <c r="H948" s="65" t="n"/>
      <c r="I948" s="64" t="n"/>
      <c r="J948" s="64" t="n"/>
      <c r="K948" s="63" t="n"/>
      <c r="L948" s="63" t="n"/>
      <c r="M948" s="64" t="n"/>
      <c r="N948" s="66" t="n"/>
      <c r="O948" s="65" t="n"/>
      <c r="P948" s="64" t="n"/>
      <c r="Q948" s="67" t="n"/>
      <c r="R948" s="67" t="n"/>
      <c r="S948" s="68" t="str">
        <f>IF(AND(ISNUMBER($Q948),ISNUMBER($R948)),$Q948-$R948,"")</f>
        <v/>
      </c>
      <c r="T948" s="65" t="n"/>
      <c r="U948" s="64" t="n"/>
      <c r="V948" s="65" t="n"/>
      <c r="W948" s="63" t="n"/>
      <c r="X948" s="65" t="n"/>
      <c r="Y948" s="63" t="n"/>
      <c r="Z948" s="64" t="n"/>
      <c r="AA948" s="64" t="n"/>
      <c r="AB948" s="65" t="n"/>
      <c r="AC948" s="69" t="str">
        <f>IF(OR($G948="",NOT(ISNUMBER($K948)),$AK948=0),"",MAX(0,ReportDate-$K948))</f>
        <v/>
      </c>
      <c r="AD948" s="69" t="str">
        <f>IF($G948="","",IF($AL948=1,ReportDate-$L948,0))</f>
        <v/>
      </c>
      <c r="AE948" s="70" t="str">
        <f>IF($G948="","",IF($M948="Completed",1,IF(ISNUMBER($N948),$N948,0)))</f>
        <v/>
      </c>
      <c r="AF948" s="70" t="str">
        <f>IF(AND(ISNUMBER($Q948),ISNUMBER($R948)),IF($R948&lt;&gt;0,$Q948/$R948,""),"")</f>
        <v/>
      </c>
      <c r="AG948" s="71" t="str">
        <f>IF($G948="","",IF($AL948=1,"OVERDUE",IF($AM948=1,"BLOCKED",IF($AN948=1,"DUE TODAY",IF($AO948=1,"DUE TOMORROW",IF($AQ948=1,"HIGH PRIORITY",IF($AR948=1,"NO RECENT UPDATE",""))))))) </f>
        <v/>
      </c>
      <c r="AH948" s="71" t="str">
        <f>IF($G948="","",IF(ISNUMBER($A948),IF(ISNUMBER($A948),YEAR($A948)&amp;"-"&amp;TEXT(MONTH($A948),"00"),""),IF(ISNUMBER($L948),IF(ISNUMBER($L948),YEAR($L948)&amp;"-"&amp;TEXT(MONTH($L948),"00"),""),"")))</f>
        <v/>
      </c>
      <c r="AI948" s="71">
        <f>IF($G948="",0,IF(AND(OR(fClient="All",$C948=fClient),OR(fCampaign="All",$D948=fCampaign),OR(fTeam="All",$B948=fTeam),OR(fChannel="All",$F948=fChannel),OR(fMonth="All",$AH948=fMonth),OR(fTStatus="All",$M948=fTStatus)),1,0))</f>
        <v>0</v>
      </c>
      <c r="AJ948" s="71">
        <f>IF($G948="",0,IF(AND(OR(fClient="All",$C948=fClient),OR(fCampaign="All",$D948=fCampaign),OR(fTeam="All",$B948=fTeam),OR(fChannel="All",$F948=fChannel)),1,0))</f>
        <v>0</v>
      </c>
      <c r="AK948" s="71">
        <f>IF($G948="",0,IF(OR($M948="Completed",$M948="Cancelled"),0,1))</f>
        <v>0</v>
      </c>
      <c r="AL948" s="71">
        <f>IF(AND($AK948=1,ISNUMBER($L948)),IF($L948&lt;ReportDate,1,0),0)</f>
        <v>0</v>
      </c>
      <c r="AM948" s="71">
        <f>IF(AND($G948&lt;&gt;"",$M948="Blocked"),1,0)</f>
        <v>0</v>
      </c>
      <c r="AN948" s="71">
        <f>IF(AND($AK948=1,ISNUMBER($L948)),IF($L948=ReportDate,1,0),0)</f>
        <v>0</v>
      </c>
      <c r="AO948" s="71">
        <f>IF(AND($AK948=1,ISNUMBER($L948)),IF($L948=ReportDate+1,1,0),0)</f>
        <v>0</v>
      </c>
      <c r="AP948" s="71">
        <f>IF(AND($AK948=1,ISNUMBER($L948)),IF(AND($L948&gt;=ReportDate,$L948&lt;=ReportDate+DueSoonDays),1,0),0)</f>
        <v>0</v>
      </c>
      <c r="AQ948" s="71">
        <f>IF(AND($AK948=1,OR($I948="Critical",$I948="High")),1,0)</f>
        <v>0</v>
      </c>
      <c r="AR948" s="71">
        <f>IF($AK948=1,IF(ISNUMBER($Y948),IF(ReportDate-$Y948&gt;StaleDays,1,0),1),0)</f>
        <v>0</v>
      </c>
      <c r="AS948" s="71">
        <f>IF(AND($G948&lt;&gt;"",ISNUMBER($Q948),ISNUMBER($R948)),IF(AND($Q948&lt;$R948,OR($M948="Completed",AND(ISNUMBER($L948),$L948&lt;ReportDate))),1,0),0)</f>
        <v>0</v>
      </c>
      <c r="AT948" s="71">
        <f>IF($AK948=1,IF(OR($L948=ReportDate,$W948=ReportDate,$K948=ReportDate,$A948=ReportDate),1,0),0)</f>
        <v>0</v>
      </c>
      <c r="AU948" s="71">
        <f>IF($AK948=1,IF(OR($L948=ReportDate+1,$W948=ReportDate+1,$K948=ReportDate+1,$A948=ReportDate+1),1,0),0)</f>
        <v>0</v>
      </c>
      <c r="AV948" s="71">
        <f>IF(AND($G948&lt;&gt;"",$M948="Completed"),IF(OR($Y948=ReportDate-1,$A948=ReportDate-1),1,0),0)</f>
        <v>0</v>
      </c>
      <c r="AW948" s="71">
        <f>IF(AND($AK948=1,$Z948="Yes"),1,0)</f>
        <v>0</v>
      </c>
      <c r="AX948" s="71">
        <f>IF(AND($AK948=1,$AA948="Yes"),1,0)</f>
        <v>0</v>
      </c>
      <c r="AY948" s="71">
        <f>IF(AND($AM948=1,OR($I948="Critical",$I948="High")),1,0)</f>
        <v>0</v>
      </c>
      <c r="AZ948" s="71">
        <f>IF(AND($AK948=1,OR($C948=TCL_Client,$C948=MECCA_Client)),1,0)</f>
        <v>0</v>
      </c>
      <c r="BA948" s="71" t="str">
        <f>IF($G948="","",IFERROR(MATCH($I948,lst_Priority,0),5))</f>
        <v/>
      </c>
      <c r="BB948" s="71" t="str">
        <f>IF(AND($AL948=1,$AJ948=1),$BA948*100000+ROW(),"")</f>
        <v/>
      </c>
      <c r="BC948" s="71" t="str">
        <f>IF(AND($AM948=1,$AJ948=1),$BA948*100000+ROW(),"")</f>
        <v/>
      </c>
      <c r="BD948" s="71" t="str">
        <f>IF(AND($AP948=1,$AJ948=1),$BA948*100000+ROW(),"")</f>
        <v/>
      </c>
      <c r="BE948" s="71" t="str">
        <f>IF(AND($AT948=1,$AJ948=1),$BA948*100000+ROW(),"")</f>
        <v/>
      </c>
      <c r="BF948" s="71" t="str">
        <f>IF(AND($AU948=1,$AJ948=1),$BA948*100000+ROW(),"")</f>
        <v/>
      </c>
      <c r="BG948" s="71" t="str">
        <f>IF(AND($AV948=1,$AJ948=1),$BA948*100000+ROW(),"")</f>
        <v/>
      </c>
      <c r="BH948" s="71" t="str">
        <f>IF(AND($AW948=1,$AJ948=1),$BA948*100000+ROW(),"")</f>
        <v/>
      </c>
      <c r="BI948" s="71" t="str">
        <f>IF(AND($AX948=1,$AJ948=1),$BA948*100000+ROW(),"")</f>
        <v/>
      </c>
      <c r="BJ948" s="71" t="str">
        <f>IF(AND($AS948=1,$AJ948=1),$BA948*100000+ROW(),"")</f>
        <v/>
      </c>
      <c r="BK948" s="71" t="str">
        <f>IF(AND($AY948=1,$AJ948=1),$BA948*100000+ROW(),"")</f>
        <v/>
      </c>
      <c r="BL948" s="71" t="str">
        <f>IF(AND($AZ948=1),$BA948*100000+ROW(),"")</f>
        <v/>
      </c>
    </row>
    <row r="949">
      <c r="A949" s="63" t="n"/>
      <c r="B949" s="64" t="n"/>
      <c r="C949" s="64" t="n"/>
      <c r="D949" s="64" t="n"/>
      <c r="E949" s="64" t="n"/>
      <c r="F949" s="64" t="n"/>
      <c r="G949" s="65" t="n"/>
      <c r="H949" s="65" t="n"/>
      <c r="I949" s="64" t="n"/>
      <c r="J949" s="64" t="n"/>
      <c r="K949" s="63" t="n"/>
      <c r="L949" s="63" t="n"/>
      <c r="M949" s="64" t="n"/>
      <c r="N949" s="66" t="n"/>
      <c r="O949" s="65" t="n"/>
      <c r="P949" s="64" t="n"/>
      <c r="Q949" s="67" t="n"/>
      <c r="R949" s="67" t="n"/>
      <c r="S949" s="68" t="str">
        <f>IF(AND(ISNUMBER($Q949),ISNUMBER($R949)),$Q949-$R949,"")</f>
        <v/>
      </c>
      <c r="T949" s="65" t="n"/>
      <c r="U949" s="64" t="n"/>
      <c r="V949" s="65" t="n"/>
      <c r="W949" s="63" t="n"/>
      <c r="X949" s="65" t="n"/>
      <c r="Y949" s="63" t="n"/>
      <c r="Z949" s="64" t="n"/>
      <c r="AA949" s="64" t="n"/>
      <c r="AB949" s="65" t="n"/>
      <c r="AC949" s="69" t="str">
        <f>IF(OR($G949="",NOT(ISNUMBER($K949)),$AK949=0),"",MAX(0,ReportDate-$K949))</f>
        <v/>
      </c>
      <c r="AD949" s="69" t="str">
        <f>IF($G949="","",IF($AL949=1,ReportDate-$L949,0))</f>
        <v/>
      </c>
      <c r="AE949" s="70" t="str">
        <f>IF($G949="","",IF($M949="Completed",1,IF(ISNUMBER($N949),$N949,0)))</f>
        <v/>
      </c>
      <c r="AF949" s="70" t="str">
        <f>IF(AND(ISNUMBER($Q949),ISNUMBER($R949)),IF($R949&lt;&gt;0,$Q949/$R949,""),"")</f>
        <v/>
      </c>
      <c r="AG949" s="71" t="str">
        <f>IF($G949="","",IF($AL949=1,"OVERDUE",IF($AM949=1,"BLOCKED",IF($AN949=1,"DUE TODAY",IF($AO949=1,"DUE TOMORROW",IF($AQ949=1,"HIGH PRIORITY",IF($AR949=1,"NO RECENT UPDATE",""))))))) </f>
        <v/>
      </c>
      <c r="AH949" s="71" t="str">
        <f>IF($G949="","",IF(ISNUMBER($A949),IF(ISNUMBER($A949),YEAR($A949)&amp;"-"&amp;TEXT(MONTH($A949),"00"),""),IF(ISNUMBER($L949),IF(ISNUMBER($L949),YEAR($L949)&amp;"-"&amp;TEXT(MONTH($L949),"00"),""),"")))</f>
        <v/>
      </c>
      <c r="AI949" s="71">
        <f>IF($G949="",0,IF(AND(OR(fClient="All",$C949=fClient),OR(fCampaign="All",$D949=fCampaign),OR(fTeam="All",$B949=fTeam),OR(fChannel="All",$F949=fChannel),OR(fMonth="All",$AH949=fMonth),OR(fTStatus="All",$M949=fTStatus)),1,0))</f>
        <v>0</v>
      </c>
      <c r="AJ949" s="71">
        <f>IF($G949="",0,IF(AND(OR(fClient="All",$C949=fClient),OR(fCampaign="All",$D949=fCampaign),OR(fTeam="All",$B949=fTeam),OR(fChannel="All",$F949=fChannel)),1,0))</f>
        <v>0</v>
      </c>
      <c r="AK949" s="71">
        <f>IF($G949="",0,IF(OR($M949="Completed",$M949="Cancelled"),0,1))</f>
        <v>0</v>
      </c>
      <c r="AL949" s="71">
        <f>IF(AND($AK949=1,ISNUMBER($L949)),IF($L949&lt;ReportDate,1,0),0)</f>
        <v>0</v>
      </c>
      <c r="AM949" s="71">
        <f>IF(AND($G949&lt;&gt;"",$M949="Blocked"),1,0)</f>
        <v>0</v>
      </c>
      <c r="AN949" s="71">
        <f>IF(AND($AK949=1,ISNUMBER($L949)),IF($L949=ReportDate,1,0),0)</f>
        <v>0</v>
      </c>
      <c r="AO949" s="71">
        <f>IF(AND($AK949=1,ISNUMBER($L949)),IF($L949=ReportDate+1,1,0),0)</f>
        <v>0</v>
      </c>
      <c r="AP949" s="71">
        <f>IF(AND($AK949=1,ISNUMBER($L949)),IF(AND($L949&gt;=ReportDate,$L949&lt;=ReportDate+DueSoonDays),1,0),0)</f>
        <v>0</v>
      </c>
      <c r="AQ949" s="71">
        <f>IF(AND($AK949=1,OR($I949="Critical",$I949="High")),1,0)</f>
        <v>0</v>
      </c>
      <c r="AR949" s="71">
        <f>IF($AK949=1,IF(ISNUMBER($Y949),IF(ReportDate-$Y949&gt;StaleDays,1,0),1),0)</f>
        <v>0</v>
      </c>
      <c r="AS949" s="71">
        <f>IF(AND($G949&lt;&gt;"",ISNUMBER($Q949),ISNUMBER($R949)),IF(AND($Q949&lt;$R949,OR($M949="Completed",AND(ISNUMBER($L949),$L949&lt;ReportDate))),1,0),0)</f>
        <v>0</v>
      </c>
      <c r="AT949" s="71">
        <f>IF($AK949=1,IF(OR($L949=ReportDate,$W949=ReportDate,$K949=ReportDate,$A949=ReportDate),1,0),0)</f>
        <v>0</v>
      </c>
      <c r="AU949" s="71">
        <f>IF($AK949=1,IF(OR($L949=ReportDate+1,$W949=ReportDate+1,$K949=ReportDate+1,$A949=ReportDate+1),1,0),0)</f>
        <v>0</v>
      </c>
      <c r="AV949" s="71">
        <f>IF(AND($G949&lt;&gt;"",$M949="Completed"),IF(OR($Y949=ReportDate-1,$A949=ReportDate-1),1,0),0)</f>
        <v>0</v>
      </c>
      <c r="AW949" s="71">
        <f>IF(AND($AK949=1,$Z949="Yes"),1,0)</f>
        <v>0</v>
      </c>
      <c r="AX949" s="71">
        <f>IF(AND($AK949=1,$AA949="Yes"),1,0)</f>
        <v>0</v>
      </c>
      <c r="AY949" s="71">
        <f>IF(AND($AM949=1,OR($I949="Critical",$I949="High")),1,0)</f>
        <v>0</v>
      </c>
      <c r="AZ949" s="71">
        <f>IF(AND($AK949=1,OR($C949=TCL_Client,$C949=MECCA_Client)),1,0)</f>
        <v>0</v>
      </c>
      <c r="BA949" s="71" t="str">
        <f>IF($G949="","",IFERROR(MATCH($I949,lst_Priority,0),5))</f>
        <v/>
      </c>
      <c r="BB949" s="71" t="str">
        <f>IF(AND($AL949=1,$AJ949=1),$BA949*100000+ROW(),"")</f>
        <v/>
      </c>
      <c r="BC949" s="71" t="str">
        <f>IF(AND($AM949=1,$AJ949=1),$BA949*100000+ROW(),"")</f>
        <v/>
      </c>
      <c r="BD949" s="71" t="str">
        <f>IF(AND($AP949=1,$AJ949=1),$BA949*100000+ROW(),"")</f>
        <v/>
      </c>
      <c r="BE949" s="71" t="str">
        <f>IF(AND($AT949=1,$AJ949=1),$BA949*100000+ROW(),"")</f>
        <v/>
      </c>
      <c r="BF949" s="71" t="str">
        <f>IF(AND($AU949=1,$AJ949=1),$BA949*100000+ROW(),"")</f>
        <v/>
      </c>
      <c r="BG949" s="71" t="str">
        <f>IF(AND($AV949=1,$AJ949=1),$BA949*100000+ROW(),"")</f>
        <v/>
      </c>
      <c r="BH949" s="71" t="str">
        <f>IF(AND($AW949=1,$AJ949=1),$BA949*100000+ROW(),"")</f>
        <v/>
      </c>
      <c r="BI949" s="71" t="str">
        <f>IF(AND($AX949=1,$AJ949=1),$BA949*100000+ROW(),"")</f>
        <v/>
      </c>
      <c r="BJ949" s="71" t="str">
        <f>IF(AND($AS949=1,$AJ949=1),$BA949*100000+ROW(),"")</f>
        <v/>
      </c>
      <c r="BK949" s="71" t="str">
        <f>IF(AND($AY949=1,$AJ949=1),$BA949*100000+ROW(),"")</f>
        <v/>
      </c>
      <c r="BL949" s="71" t="str">
        <f>IF(AND($AZ949=1),$BA949*100000+ROW(),"")</f>
        <v/>
      </c>
    </row>
    <row r="950">
      <c r="A950" s="63" t="n"/>
      <c r="B950" s="64" t="n"/>
      <c r="C950" s="64" t="n"/>
      <c r="D950" s="64" t="n"/>
      <c r="E950" s="64" t="n"/>
      <c r="F950" s="64" t="n"/>
      <c r="G950" s="65" t="n"/>
      <c r="H950" s="65" t="n"/>
      <c r="I950" s="64" t="n"/>
      <c r="J950" s="64" t="n"/>
      <c r="K950" s="63" t="n"/>
      <c r="L950" s="63" t="n"/>
      <c r="M950" s="64" t="n"/>
      <c r="N950" s="66" t="n"/>
      <c r="O950" s="65" t="n"/>
      <c r="P950" s="64" t="n"/>
      <c r="Q950" s="67" t="n"/>
      <c r="R950" s="67" t="n"/>
      <c r="S950" s="68" t="str">
        <f>IF(AND(ISNUMBER($Q950),ISNUMBER($R950)),$Q950-$R950,"")</f>
        <v/>
      </c>
      <c r="T950" s="65" t="n"/>
      <c r="U950" s="64" t="n"/>
      <c r="V950" s="65" t="n"/>
      <c r="W950" s="63" t="n"/>
      <c r="X950" s="65" t="n"/>
      <c r="Y950" s="63" t="n"/>
      <c r="Z950" s="64" t="n"/>
      <c r="AA950" s="64" t="n"/>
      <c r="AB950" s="65" t="n"/>
      <c r="AC950" s="69" t="str">
        <f>IF(OR($G950="",NOT(ISNUMBER($K950)),$AK950=0),"",MAX(0,ReportDate-$K950))</f>
        <v/>
      </c>
      <c r="AD950" s="69" t="str">
        <f>IF($G950="","",IF($AL950=1,ReportDate-$L950,0))</f>
        <v/>
      </c>
      <c r="AE950" s="70" t="str">
        <f>IF($G950="","",IF($M950="Completed",1,IF(ISNUMBER($N950),$N950,0)))</f>
        <v/>
      </c>
      <c r="AF950" s="70" t="str">
        <f>IF(AND(ISNUMBER($Q950),ISNUMBER($R950)),IF($R950&lt;&gt;0,$Q950/$R950,""),"")</f>
        <v/>
      </c>
      <c r="AG950" s="71" t="str">
        <f>IF($G950="","",IF($AL950=1,"OVERDUE",IF($AM950=1,"BLOCKED",IF($AN950=1,"DUE TODAY",IF($AO950=1,"DUE TOMORROW",IF($AQ950=1,"HIGH PRIORITY",IF($AR950=1,"NO RECENT UPDATE",""))))))) </f>
        <v/>
      </c>
      <c r="AH950" s="71" t="str">
        <f>IF($G950="","",IF(ISNUMBER($A950),IF(ISNUMBER($A950),YEAR($A950)&amp;"-"&amp;TEXT(MONTH($A950),"00"),""),IF(ISNUMBER($L950),IF(ISNUMBER($L950),YEAR($L950)&amp;"-"&amp;TEXT(MONTH($L950),"00"),""),"")))</f>
        <v/>
      </c>
      <c r="AI950" s="71">
        <f>IF($G950="",0,IF(AND(OR(fClient="All",$C950=fClient),OR(fCampaign="All",$D950=fCampaign),OR(fTeam="All",$B950=fTeam),OR(fChannel="All",$F950=fChannel),OR(fMonth="All",$AH950=fMonth),OR(fTStatus="All",$M950=fTStatus)),1,0))</f>
        <v>0</v>
      </c>
      <c r="AJ950" s="71">
        <f>IF($G950="",0,IF(AND(OR(fClient="All",$C950=fClient),OR(fCampaign="All",$D950=fCampaign),OR(fTeam="All",$B950=fTeam),OR(fChannel="All",$F950=fChannel)),1,0))</f>
        <v>0</v>
      </c>
      <c r="AK950" s="71">
        <f>IF($G950="",0,IF(OR($M950="Completed",$M950="Cancelled"),0,1))</f>
        <v>0</v>
      </c>
      <c r="AL950" s="71">
        <f>IF(AND($AK950=1,ISNUMBER($L950)),IF($L950&lt;ReportDate,1,0),0)</f>
        <v>0</v>
      </c>
      <c r="AM950" s="71">
        <f>IF(AND($G950&lt;&gt;"",$M950="Blocked"),1,0)</f>
        <v>0</v>
      </c>
      <c r="AN950" s="71">
        <f>IF(AND($AK950=1,ISNUMBER($L950)),IF($L950=ReportDate,1,0),0)</f>
        <v>0</v>
      </c>
      <c r="AO950" s="71">
        <f>IF(AND($AK950=1,ISNUMBER($L950)),IF($L950=ReportDate+1,1,0),0)</f>
        <v>0</v>
      </c>
      <c r="AP950" s="71">
        <f>IF(AND($AK950=1,ISNUMBER($L950)),IF(AND($L950&gt;=ReportDate,$L950&lt;=ReportDate+DueSoonDays),1,0),0)</f>
        <v>0</v>
      </c>
      <c r="AQ950" s="71">
        <f>IF(AND($AK950=1,OR($I950="Critical",$I950="High")),1,0)</f>
        <v>0</v>
      </c>
      <c r="AR950" s="71">
        <f>IF($AK950=1,IF(ISNUMBER($Y950),IF(ReportDate-$Y950&gt;StaleDays,1,0),1),0)</f>
        <v>0</v>
      </c>
      <c r="AS950" s="71">
        <f>IF(AND($G950&lt;&gt;"",ISNUMBER($Q950),ISNUMBER($R950)),IF(AND($Q950&lt;$R950,OR($M950="Completed",AND(ISNUMBER($L950),$L950&lt;ReportDate))),1,0),0)</f>
        <v>0</v>
      </c>
      <c r="AT950" s="71">
        <f>IF($AK950=1,IF(OR($L950=ReportDate,$W950=ReportDate,$K950=ReportDate,$A950=ReportDate),1,0),0)</f>
        <v>0</v>
      </c>
      <c r="AU950" s="71">
        <f>IF($AK950=1,IF(OR($L950=ReportDate+1,$W950=ReportDate+1,$K950=ReportDate+1,$A950=ReportDate+1),1,0),0)</f>
        <v>0</v>
      </c>
      <c r="AV950" s="71">
        <f>IF(AND($G950&lt;&gt;"",$M950="Completed"),IF(OR($Y950=ReportDate-1,$A950=ReportDate-1),1,0),0)</f>
        <v>0</v>
      </c>
      <c r="AW950" s="71">
        <f>IF(AND($AK950=1,$Z950="Yes"),1,0)</f>
        <v>0</v>
      </c>
      <c r="AX950" s="71">
        <f>IF(AND($AK950=1,$AA950="Yes"),1,0)</f>
        <v>0</v>
      </c>
      <c r="AY950" s="71">
        <f>IF(AND($AM950=1,OR($I950="Critical",$I950="High")),1,0)</f>
        <v>0</v>
      </c>
      <c r="AZ950" s="71">
        <f>IF(AND($AK950=1,OR($C950=TCL_Client,$C950=MECCA_Client)),1,0)</f>
        <v>0</v>
      </c>
      <c r="BA950" s="71" t="str">
        <f>IF($G950="","",IFERROR(MATCH($I950,lst_Priority,0),5))</f>
        <v/>
      </c>
      <c r="BB950" s="71" t="str">
        <f>IF(AND($AL950=1,$AJ950=1),$BA950*100000+ROW(),"")</f>
        <v/>
      </c>
      <c r="BC950" s="71" t="str">
        <f>IF(AND($AM950=1,$AJ950=1),$BA950*100000+ROW(),"")</f>
        <v/>
      </c>
      <c r="BD950" s="71" t="str">
        <f>IF(AND($AP950=1,$AJ950=1),$BA950*100000+ROW(),"")</f>
        <v/>
      </c>
      <c r="BE950" s="71" t="str">
        <f>IF(AND($AT950=1,$AJ950=1),$BA950*100000+ROW(),"")</f>
        <v/>
      </c>
      <c r="BF950" s="71" t="str">
        <f>IF(AND($AU950=1,$AJ950=1),$BA950*100000+ROW(),"")</f>
        <v/>
      </c>
      <c r="BG950" s="71" t="str">
        <f>IF(AND($AV950=1,$AJ950=1),$BA950*100000+ROW(),"")</f>
        <v/>
      </c>
      <c r="BH950" s="71" t="str">
        <f>IF(AND($AW950=1,$AJ950=1),$BA950*100000+ROW(),"")</f>
        <v/>
      </c>
      <c r="BI950" s="71" t="str">
        <f>IF(AND($AX950=1,$AJ950=1),$BA950*100000+ROW(),"")</f>
        <v/>
      </c>
      <c r="BJ950" s="71" t="str">
        <f>IF(AND($AS950=1,$AJ950=1),$BA950*100000+ROW(),"")</f>
        <v/>
      </c>
      <c r="BK950" s="71" t="str">
        <f>IF(AND($AY950=1,$AJ950=1),$BA950*100000+ROW(),"")</f>
        <v/>
      </c>
      <c r="BL950" s="71" t="str">
        <f>IF(AND($AZ950=1),$BA950*100000+ROW(),"")</f>
        <v/>
      </c>
    </row>
    <row r="951">
      <c r="A951" s="63" t="n"/>
      <c r="B951" s="64" t="n"/>
      <c r="C951" s="64" t="n"/>
      <c r="D951" s="64" t="n"/>
      <c r="E951" s="64" t="n"/>
      <c r="F951" s="64" t="n"/>
      <c r="G951" s="65" t="n"/>
      <c r="H951" s="65" t="n"/>
      <c r="I951" s="64" t="n"/>
      <c r="J951" s="64" t="n"/>
      <c r="K951" s="63" t="n"/>
      <c r="L951" s="63" t="n"/>
      <c r="M951" s="64" t="n"/>
      <c r="N951" s="66" t="n"/>
      <c r="O951" s="65" t="n"/>
      <c r="P951" s="64" t="n"/>
      <c r="Q951" s="67" t="n"/>
      <c r="R951" s="67" t="n"/>
      <c r="S951" s="68" t="str">
        <f>IF(AND(ISNUMBER($Q951),ISNUMBER($R951)),$Q951-$R951,"")</f>
        <v/>
      </c>
      <c r="T951" s="65" t="n"/>
      <c r="U951" s="64" t="n"/>
      <c r="V951" s="65" t="n"/>
      <c r="W951" s="63" t="n"/>
      <c r="X951" s="65" t="n"/>
      <c r="Y951" s="63" t="n"/>
      <c r="Z951" s="64" t="n"/>
      <c r="AA951" s="64" t="n"/>
      <c r="AB951" s="65" t="n"/>
      <c r="AC951" s="69" t="str">
        <f>IF(OR($G951="",NOT(ISNUMBER($K951)),$AK951=0),"",MAX(0,ReportDate-$K951))</f>
        <v/>
      </c>
      <c r="AD951" s="69" t="str">
        <f>IF($G951="","",IF($AL951=1,ReportDate-$L951,0))</f>
        <v/>
      </c>
      <c r="AE951" s="70" t="str">
        <f>IF($G951="","",IF($M951="Completed",1,IF(ISNUMBER($N951),$N951,0)))</f>
        <v/>
      </c>
      <c r="AF951" s="70" t="str">
        <f>IF(AND(ISNUMBER($Q951),ISNUMBER($R951)),IF($R951&lt;&gt;0,$Q951/$R951,""),"")</f>
        <v/>
      </c>
      <c r="AG951" s="71" t="str">
        <f>IF($G951="","",IF($AL951=1,"OVERDUE",IF($AM951=1,"BLOCKED",IF($AN951=1,"DUE TODAY",IF($AO951=1,"DUE TOMORROW",IF($AQ951=1,"HIGH PRIORITY",IF($AR951=1,"NO RECENT UPDATE",""))))))) </f>
        <v/>
      </c>
      <c r="AH951" s="71" t="str">
        <f>IF($G951="","",IF(ISNUMBER($A951),IF(ISNUMBER($A951),YEAR($A951)&amp;"-"&amp;TEXT(MONTH($A951),"00"),""),IF(ISNUMBER($L951),IF(ISNUMBER($L951),YEAR($L951)&amp;"-"&amp;TEXT(MONTH($L951),"00"),""),"")))</f>
        <v/>
      </c>
      <c r="AI951" s="71">
        <f>IF($G951="",0,IF(AND(OR(fClient="All",$C951=fClient),OR(fCampaign="All",$D951=fCampaign),OR(fTeam="All",$B951=fTeam),OR(fChannel="All",$F951=fChannel),OR(fMonth="All",$AH951=fMonth),OR(fTStatus="All",$M951=fTStatus)),1,0))</f>
        <v>0</v>
      </c>
      <c r="AJ951" s="71">
        <f>IF($G951="",0,IF(AND(OR(fClient="All",$C951=fClient),OR(fCampaign="All",$D951=fCampaign),OR(fTeam="All",$B951=fTeam),OR(fChannel="All",$F951=fChannel)),1,0))</f>
        <v>0</v>
      </c>
      <c r="AK951" s="71">
        <f>IF($G951="",0,IF(OR($M951="Completed",$M951="Cancelled"),0,1))</f>
        <v>0</v>
      </c>
      <c r="AL951" s="71">
        <f>IF(AND($AK951=1,ISNUMBER($L951)),IF($L951&lt;ReportDate,1,0),0)</f>
        <v>0</v>
      </c>
      <c r="AM951" s="71">
        <f>IF(AND($G951&lt;&gt;"",$M951="Blocked"),1,0)</f>
        <v>0</v>
      </c>
      <c r="AN951" s="71">
        <f>IF(AND($AK951=1,ISNUMBER($L951)),IF($L951=ReportDate,1,0),0)</f>
        <v>0</v>
      </c>
      <c r="AO951" s="71">
        <f>IF(AND($AK951=1,ISNUMBER($L951)),IF($L951=ReportDate+1,1,0),0)</f>
        <v>0</v>
      </c>
      <c r="AP951" s="71">
        <f>IF(AND($AK951=1,ISNUMBER($L951)),IF(AND($L951&gt;=ReportDate,$L951&lt;=ReportDate+DueSoonDays),1,0),0)</f>
        <v>0</v>
      </c>
      <c r="AQ951" s="71">
        <f>IF(AND($AK951=1,OR($I951="Critical",$I951="High")),1,0)</f>
        <v>0</v>
      </c>
      <c r="AR951" s="71">
        <f>IF($AK951=1,IF(ISNUMBER($Y951),IF(ReportDate-$Y951&gt;StaleDays,1,0),1),0)</f>
        <v>0</v>
      </c>
      <c r="AS951" s="71">
        <f>IF(AND($G951&lt;&gt;"",ISNUMBER($Q951),ISNUMBER($R951)),IF(AND($Q951&lt;$R951,OR($M951="Completed",AND(ISNUMBER($L951),$L951&lt;ReportDate))),1,0),0)</f>
        <v>0</v>
      </c>
      <c r="AT951" s="71">
        <f>IF($AK951=1,IF(OR($L951=ReportDate,$W951=ReportDate,$K951=ReportDate,$A951=ReportDate),1,0),0)</f>
        <v>0</v>
      </c>
      <c r="AU951" s="71">
        <f>IF($AK951=1,IF(OR($L951=ReportDate+1,$W951=ReportDate+1,$K951=ReportDate+1,$A951=ReportDate+1),1,0),0)</f>
        <v>0</v>
      </c>
      <c r="AV951" s="71">
        <f>IF(AND($G951&lt;&gt;"",$M951="Completed"),IF(OR($Y951=ReportDate-1,$A951=ReportDate-1),1,0),0)</f>
        <v>0</v>
      </c>
      <c r="AW951" s="71">
        <f>IF(AND($AK951=1,$Z951="Yes"),1,0)</f>
        <v>0</v>
      </c>
      <c r="AX951" s="71">
        <f>IF(AND($AK951=1,$AA951="Yes"),1,0)</f>
        <v>0</v>
      </c>
      <c r="AY951" s="71">
        <f>IF(AND($AM951=1,OR($I951="Critical",$I951="High")),1,0)</f>
        <v>0</v>
      </c>
      <c r="AZ951" s="71">
        <f>IF(AND($AK951=1,OR($C951=TCL_Client,$C951=MECCA_Client)),1,0)</f>
        <v>0</v>
      </c>
      <c r="BA951" s="71" t="str">
        <f>IF($G951="","",IFERROR(MATCH($I951,lst_Priority,0),5))</f>
        <v/>
      </c>
      <c r="BB951" s="71" t="str">
        <f>IF(AND($AL951=1,$AJ951=1),$BA951*100000+ROW(),"")</f>
        <v/>
      </c>
      <c r="BC951" s="71" t="str">
        <f>IF(AND($AM951=1,$AJ951=1),$BA951*100000+ROW(),"")</f>
        <v/>
      </c>
      <c r="BD951" s="71" t="str">
        <f>IF(AND($AP951=1,$AJ951=1),$BA951*100000+ROW(),"")</f>
        <v/>
      </c>
      <c r="BE951" s="71" t="str">
        <f>IF(AND($AT951=1,$AJ951=1),$BA951*100000+ROW(),"")</f>
        <v/>
      </c>
      <c r="BF951" s="71" t="str">
        <f>IF(AND($AU951=1,$AJ951=1),$BA951*100000+ROW(),"")</f>
        <v/>
      </c>
      <c r="BG951" s="71" t="str">
        <f>IF(AND($AV951=1,$AJ951=1),$BA951*100000+ROW(),"")</f>
        <v/>
      </c>
      <c r="BH951" s="71" t="str">
        <f>IF(AND($AW951=1,$AJ951=1),$BA951*100000+ROW(),"")</f>
        <v/>
      </c>
      <c r="BI951" s="71" t="str">
        <f>IF(AND($AX951=1,$AJ951=1),$BA951*100000+ROW(),"")</f>
        <v/>
      </c>
      <c r="BJ951" s="71" t="str">
        <f>IF(AND($AS951=1,$AJ951=1),$BA951*100000+ROW(),"")</f>
        <v/>
      </c>
      <c r="BK951" s="71" t="str">
        <f>IF(AND($AY951=1,$AJ951=1),$BA951*100000+ROW(),"")</f>
        <v/>
      </c>
      <c r="BL951" s="71" t="str">
        <f>IF(AND($AZ951=1),$BA951*100000+ROW(),"")</f>
        <v/>
      </c>
    </row>
    <row r="952">
      <c r="A952" s="63" t="n"/>
      <c r="B952" s="64" t="n"/>
      <c r="C952" s="64" t="n"/>
      <c r="D952" s="64" t="n"/>
      <c r="E952" s="64" t="n"/>
      <c r="F952" s="64" t="n"/>
      <c r="G952" s="65" t="n"/>
      <c r="H952" s="65" t="n"/>
      <c r="I952" s="64" t="n"/>
      <c r="J952" s="64" t="n"/>
      <c r="K952" s="63" t="n"/>
      <c r="L952" s="63" t="n"/>
      <c r="M952" s="64" t="n"/>
      <c r="N952" s="66" t="n"/>
      <c r="O952" s="65" t="n"/>
      <c r="P952" s="64" t="n"/>
      <c r="Q952" s="67" t="n"/>
      <c r="R952" s="67" t="n"/>
      <c r="S952" s="68" t="str">
        <f>IF(AND(ISNUMBER($Q952),ISNUMBER($R952)),$Q952-$R952,"")</f>
        <v/>
      </c>
      <c r="T952" s="65" t="n"/>
      <c r="U952" s="64" t="n"/>
      <c r="V952" s="65" t="n"/>
      <c r="W952" s="63" t="n"/>
      <c r="X952" s="65" t="n"/>
      <c r="Y952" s="63" t="n"/>
      <c r="Z952" s="64" t="n"/>
      <c r="AA952" s="64" t="n"/>
      <c r="AB952" s="65" t="n"/>
      <c r="AC952" s="69" t="str">
        <f>IF(OR($G952="",NOT(ISNUMBER($K952)),$AK952=0),"",MAX(0,ReportDate-$K952))</f>
        <v/>
      </c>
      <c r="AD952" s="69" t="str">
        <f>IF($G952="","",IF($AL952=1,ReportDate-$L952,0))</f>
        <v/>
      </c>
      <c r="AE952" s="70" t="str">
        <f>IF($G952="","",IF($M952="Completed",1,IF(ISNUMBER($N952),$N952,0)))</f>
        <v/>
      </c>
      <c r="AF952" s="70" t="str">
        <f>IF(AND(ISNUMBER($Q952),ISNUMBER($R952)),IF($R952&lt;&gt;0,$Q952/$R952,""),"")</f>
        <v/>
      </c>
      <c r="AG952" s="71" t="str">
        <f>IF($G952="","",IF($AL952=1,"OVERDUE",IF($AM952=1,"BLOCKED",IF($AN952=1,"DUE TODAY",IF($AO952=1,"DUE TOMORROW",IF($AQ952=1,"HIGH PRIORITY",IF($AR952=1,"NO RECENT UPDATE",""))))))) </f>
        <v/>
      </c>
      <c r="AH952" s="71" t="str">
        <f>IF($G952="","",IF(ISNUMBER($A952),IF(ISNUMBER($A952),YEAR($A952)&amp;"-"&amp;TEXT(MONTH($A952),"00"),""),IF(ISNUMBER($L952),IF(ISNUMBER($L952),YEAR($L952)&amp;"-"&amp;TEXT(MONTH($L952),"00"),""),"")))</f>
        <v/>
      </c>
      <c r="AI952" s="71">
        <f>IF($G952="",0,IF(AND(OR(fClient="All",$C952=fClient),OR(fCampaign="All",$D952=fCampaign),OR(fTeam="All",$B952=fTeam),OR(fChannel="All",$F952=fChannel),OR(fMonth="All",$AH952=fMonth),OR(fTStatus="All",$M952=fTStatus)),1,0))</f>
        <v>0</v>
      </c>
      <c r="AJ952" s="71">
        <f>IF($G952="",0,IF(AND(OR(fClient="All",$C952=fClient),OR(fCampaign="All",$D952=fCampaign),OR(fTeam="All",$B952=fTeam),OR(fChannel="All",$F952=fChannel)),1,0))</f>
        <v>0</v>
      </c>
      <c r="AK952" s="71">
        <f>IF($G952="",0,IF(OR($M952="Completed",$M952="Cancelled"),0,1))</f>
        <v>0</v>
      </c>
      <c r="AL952" s="71">
        <f>IF(AND($AK952=1,ISNUMBER($L952)),IF($L952&lt;ReportDate,1,0),0)</f>
        <v>0</v>
      </c>
      <c r="AM952" s="71">
        <f>IF(AND($G952&lt;&gt;"",$M952="Blocked"),1,0)</f>
        <v>0</v>
      </c>
      <c r="AN952" s="71">
        <f>IF(AND($AK952=1,ISNUMBER($L952)),IF($L952=ReportDate,1,0),0)</f>
        <v>0</v>
      </c>
      <c r="AO952" s="71">
        <f>IF(AND($AK952=1,ISNUMBER($L952)),IF($L952=ReportDate+1,1,0),0)</f>
        <v>0</v>
      </c>
      <c r="AP952" s="71">
        <f>IF(AND($AK952=1,ISNUMBER($L952)),IF(AND($L952&gt;=ReportDate,$L952&lt;=ReportDate+DueSoonDays),1,0),0)</f>
        <v>0</v>
      </c>
      <c r="AQ952" s="71">
        <f>IF(AND($AK952=1,OR($I952="Critical",$I952="High")),1,0)</f>
        <v>0</v>
      </c>
      <c r="AR952" s="71">
        <f>IF($AK952=1,IF(ISNUMBER($Y952),IF(ReportDate-$Y952&gt;StaleDays,1,0),1),0)</f>
        <v>0</v>
      </c>
      <c r="AS952" s="71">
        <f>IF(AND($G952&lt;&gt;"",ISNUMBER($Q952),ISNUMBER($R952)),IF(AND($Q952&lt;$R952,OR($M952="Completed",AND(ISNUMBER($L952),$L952&lt;ReportDate))),1,0),0)</f>
        <v>0</v>
      </c>
      <c r="AT952" s="71">
        <f>IF($AK952=1,IF(OR($L952=ReportDate,$W952=ReportDate,$K952=ReportDate,$A952=ReportDate),1,0),0)</f>
        <v>0</v>
      </c>
      <c r="AU952" s="71">
        <f>IF($AK952=1,IF(OR($L952=ReportDate+1,$W952=ReportDate+1,$K952=ReportDate+1,$A952=ReportDate+1),1,0),0)</f>
        <v>0</v>
      </c>
      <c r="AV952" s="71">
        <f>IF(AND($G952&lt;&gt;"",$M952="Completed"),IF(OR($Y952=ReportDate-1,$A952=ReportDate-1),1,0),0)</f>
        <v>0</v>
      </c>
      <c r="AW952" s="71">
        <f>IF(AND($AK952=1,$Z952="Yes"),1,0)</f>
        <v>0</v>
      </c>
      <c r="AX952" s="71">
        <f>IF(AND($AK952=1,$AA952="Yes"),1,0)</f>
        <v>0</v>
      </c>
      <c r="AY952" s="71">
        <f>IF(AND($AM952=1,OR($I952="Critical",$I952="High")),1,0)</f>
        <v>0</v>
      </c>
      <c r="AZ952" s="71">
        <f>IF(AND($AK952=1,OR($C952=TCL_Client,$C952=MECCA_Client)),1,0)</f>
        <v>0</v>
      </c>
      <c r="BA952" s="71" t="str">
        <f>IF($G952="","",IFERROR(MATCH($I952,lst_Priority,0),5))</f>
        <v/>
      </c>
      <c r="BB952" s="71" t="str">
        <f>IF(AND($AL952=1,$AJ952=1),$BA952*100000+ROW(),"")</f>
        <v/>
      </c>
      <c r="BC952" s="71" t="str">
        <f>IF(AND($AM952=1,$AJ952=1),$BA952*100000+ROW(),"")</f>
        <v/>
      </c>
      <c r="BD952" s="71" t="str">
        <f>IF(AND($AP952=1,$AJ952=1),$BA952*100000+ROW(),"")</f>
        <v/>
      </c>
      <c r="BE952" s="71" t="str">
        <f>IF(AND($AT952=1,$AJ952=1),$BA952*100000+ROW(),"")</f>
        <v/>
      </c>
      <c r="BF952" s="71" t="str">
        <f>IF(AND($AU952=1,$AJ952=1),$BA952*100000+ROW(),"")</f>
        <v/>
      </c>
      <c r="BG952" s="71" t="str">
        <f>IF(AND($AV952=1,$AJ952=1),$BA952*100000+ROW(),"")</f>
        <v/>
      </c>
      <c r="BH952" s="71" t="str">
        <f>IF(AND($AW952=1,$AJ952=1),$BA952*100000+ROW(),"")</f>
        <v/>
      </c>
      <c r="BI952" s="71" t="str">
        <f>IF(AND($AX952=1,$AJ952=1),$BA952*100000+ROW(),"")</f>
        <v/>
      </c>
      <c r="BJ952" s="71" t="str">
        <f>IF(AND($AS952=1,$AJ952=1),$BA952*100000+ROW(),"")</f>
        <v/>
      </c>
      <c r="BK952" s="71" t="str">
        <f>IF(AND($AY952=1,$AJ952=1),$BA952*100000+ROW(),"")</f>
        <v/>
      </c>
      <c r="BL952" s="71" t="str">
        <f>IF(AND($AZ952=1),$BA952*100000+ROW(),"")</f>
        <v/>
      </c>
    </row>
    <row r="953">
      <c r="A953" s="63" t="n"/>
      <c r="B953" s="64" t="n"/>
      <c r="C953" s="64" t="n"/>
      <c r="D953" s="64" t="n"/>
      <c r="E953" s="64" t="n"/>
      <c r="F953" s="64" t="n"/>
      <c r="G953" s="65" t="n"/>
      <c r="H953" s="65" t="n"/>
      <c r="I953" s="64" t="n"/>
      <c r="J953" s="64" t="n"/>
      <c r="K953" s="63" t="n"/>
      <c r="L953" s="63" t="n"/>
      <c r="M953" s="64" t="n"/>
      <c r="N953" s="66" t="n"/>
      <c r="O953" s="65" t="n"/>
      <c r="P953" s="64" t="n"/>
      <c r="Q953" s="67" t="n"/>
      <c r="R953" s="67" t="n"/>
      <c r="S953" s="68" t="str">
        <f>IF(AND(ISNUMBER($Q953),ISNUMBER($R953)),$Q953-$R953,"")</f>
        <v/>
      </c>
      <c r="T953" s="65" t="n"/>
      <c r="U953" s="64" t="n"/>
      <c r="V953" s="65" t="n"/>
      <c r="W953" s="63" t="n"/>
      <c r="X953" s="65" t="n"/>
      <c r="Y953" s="63" t="n"/>
      <c r="Z953" s="64" t="n"/>
      <c r="AA953" s="64" t="n"/>
      <c r="AB953" s="65" t="n"/>
      <c r="AC953" s="69" t="str">
        <f>IF(OR($G953="",NOT(ISNUMBER($K953)),$AK953=0),"",MAX(0,ReportDate-$K953))</f>
        <v/>
      </c>
      <c r="AD953" s="69" t="str">
        <f>IF($G953="","",IF($AL953=1,ReportDate-$L953,0))</f>
        <v/>
      </c>
      <c r="AE953" s="70" t="str">
        <f>IF($G953="","",IF($M953="Completed",1,IF(ISNUMBER($N953),$N953,0)))</f>
        <v/>
      </c>
      <c r="AF953" s="70" t="str">
        <f>IF(AND(ISNUMBER($Q953),ISNUMBER($R953)),IF($R953&lt;&gt;0,$Q953/$R953,""),"")</f>
        <v/>
      </c>
      <c r="AG953" s="71" t="str">
        <f>IF($G953="","",IF($AL953=1,"OVERDUE",IF($AM953=1,"BLOCKED",IF($AN953=1,"DUE TODAY",IF($AO953=1,"DUE TOMORROW",IF($AQ953=1,"HIGH PRIORITY",IF($AR953=1,"NO RECENT UPDATE",""))))))) </f>
        <v/>
      </c>
      <c r="AH953" s="71" t="str">
        <f>IF($G953="","",IF(ISNUMBER($A953),IF(ISNUMBER($A953),YEAR($A953)&amp;"-"&amp;TEXT(MONTH($A953),"00"),""),IF(ISNUMBER($L953),IF(ISNUMBER($L953),YEAR($L953)&amp;"-"&amp;TEXT(MONTH($L953),"00"),""),"")))</f>
        <v/>
      </c>
      <c r="AI953" s="71">
        <f>IF($G953="",0,IF(AND(OR(fClient="All",$C953=fClient),OR(fCampaign="All",$D953=fCampaign),OR(fTeam="All",$B953=fTeam),OR(fChannel="All",$F953=fChannel),OR(fMonth="All",$AH953=fMonth),OR(fTStatus="All",$M953=fTStatus)),1,0))</f>
        <v>0</v>
      </c>
      <c r="AJ953" s="71">
        <f>IF($G953="",0,IF(AND(OR(fClient="All",$C953=fClient),OR(fCampaign="All",$D953=fCampaign),OR(fTeam="All",$B953=fTeam),OR(fChannel="All",$F953=fChannel)),1,0))</f>
        <v>0</v>
      </c>
      <c r="AK953" s="71">
        <f>IF($G953="",0,IF(OR($M953="Completed",$M953="Cancelled"),0,1))</f>
        <v>0</v>
      </c>
      <c r="AL953" s="71">
        <f>IF(AND($AK953=1,ISNUMBER($L953)),IF($L953&lt;ReportDate,1,0),0)</f>
        <v>0</v>
      </c>
      <c r="AM953" s="71">
        <f>IF(AND($G953&lt;&gt;"",$M953="Blocked"),1,0)</f>
        <v>0</v>
      </c>
      <c r="AN953" s="71">
        <f>IF(AND($AK953=1,ISNUMBER($L953)),IF($L953=ReportDate,1,0),0)</f>
        <v>0</v>
      </c>
      <c r="AO953" s="71">
        <f>IF(AND($AK953=1,ISNUMBER($L953)),IF($L953=ReportDate+1,1,0),0)</f>
        <v>0</v>
      </c>
      <c r="AP953" s="71">
        <f>IF(AND($AK953=1,ISNUMBER($L953)),IF(AND($L953&gt;=ReportDate,$L953&lt;=ReportDate+DueSoonDays),1,0),0)</f>
        <v>0</v>
      </c>
      <c r="AQ953" s="71">
        <f>IF(AND($AK953=1,OR($I953="Critical",$I953="High")),1,0)</f>
        <v>0</v>
      </c>
      <c r="AR953" s="71">
        <f>IF($AK953=1,IF(ISNUMBER($Y953),IF(ReportDate-$Y953&gt;StaleDays,1,0),1),0)</f>
        <v>0</v>
      </c>
      <c r="AS953" s="71">
        <f>IF(AND($G953&lt;&gt;"",ISNUMBER($Q953),ISNUMBER($R953)),IF(AND($Q953&lt;$R953,OR($M953="Completed",AND(ISNUMBER($L953),$L953&lt;ReportDate))),1,0),0)</f>
        <v>0</v>
      </c>
      <c r="AT953" s="71">
        <f>IF($AK953=1,IF(OR($L953=ReportDate,$W953=ReportDate,$K953=ReportDate,$A953=ReportDate),1,0),0)</f>
        <v>0</v>
      </c>
      <c r="AU953" s="71">
        <f>IF($AK953=1,IF(OR($L953=ReportDate+1,$W953=ReportDate+1,$K953=ReportDate+1,$A953=ReportDate+1),1,0),0)</f>
        <v>0</v>
      </c>
      <c r="AV953" s="71">
        <f>IF(AND($G953&lt;&gt;"",$M953="Completed"),IF(OR($Y953=ReportDate-1,$A953=ReportDate-1),1,0),0)</f>
        <v>0</v>
      </c>
      <c r="AW953" s="71">
        <f>IF(AND($AK953=1,$Z953="Yes"),1,0)</f>
        <v>0</v>
      </c>
      <c r="AX953" s="71">
        <f>IF(AND($AK953=1,$AA953="Yes"),1,0)</f>
        <v>0</v>
      </c>
      <c r="AY953" s="71">
        <f>IF(AND($AM953=1,OR($I953="Critical",$I953="High")),1,0)</f>
        <v>0</v>
      </c>
      <c r="AZ953" s="71">
        <f>IF(AND($AK953=1,OR($C953=TCL_Client,$C953=MECCA_Client)),1,0)</f>
        <v>0</v>
      </c>
      <c r="BA953" s="71" t="str">
        <f>IF($G953="","",IFERROR(MATCH($I953,lst_Priority,0),5))</f>
        <v/>
      </c>
      <c r="BB953" s="71" t="str">
        <f>IF(AND($AL953=1,$AJ953=1),$BA953*100000+ROW(),"")</f>
        <v/>
      </c>
      <c r="BC953" s="71" t="str">
        <f>IF(AND($AM953=1,$AJ953=1),$BA953*100000+ROW(),"")</f>
        <v/>
      </c>
      <c r="BD953" s="71" t="str">
        <f>IF(AND($AP953=1,$AJ953=1),$BA953*100000+ROW(),"")</f>
        <v/>
      </c>
      <c r="BE953" s="71" t="str">
        <f>IF(AND($AT953=1,$AJ953=1),$BA953*100000+ROW(),"")</f>
        <v/>
      </c>
      <c r="BF953" s="71" t="str">
        <f>IF(AND($AU953=1,$AJ953=1),$BA953*100000+ROW(),"")</f>
        <v/>
      </c>
      <c r="BG953" s="71" t="str">
        <f>IF(AND($AV953=1,$AJ953=1),$BA953*100000+ROW(),"")</f>
        <v/>
      </c>
      <c r="BH953" s="71" t="str">
        <f>IF(AND($AW953=1,$AJ953=1),$BA953*100000+ROW(),"")</f>
        <v/>
      </c>
      <c r="BI953" s="71" t="str">
        <f>IF(AND($AX953=1,$AJ953=1),$BA953*100000+ROW(),"")</f>
        <v/>
      </c>
      <c r="BJ953" s="71" t="str">
        <f>IF(AND($AS953=1,$AJ953=1),$BA953*100000+ROW(),"")</f>
        <v/>
      </c>
      <c r="BK953" s="71" t="str">
        <f>IF(AND($AY953=1,$AJ953=1),$BA953*100000+ROW(),"")</f>
        <v/>
      </c>
      <c r="BL953" s="71" t="str">
        <f>IF(AND($AZ953=1),$BA953*100000+ROW(),"")</f>
        <v/>
      </c>
    </row>
    <row r="954">
      <c r="A954" s="63" t="n"/>
      <c r="B954" s="64" t="n"/>
      <c r="C954" s="64" t="n"/>
      <c r="D954" s="64" t="n"/>
      <c r="E954" s="64" t="n"/>
      <c r="F954" s="64" t="n"/>
      <c r="G954" s="65" t="n"/>
      <c r="H954" s="65" t="n"/>
      <c r="I954" s="64" t="n"/>
      <c r="J954" s="64" t="n"/>
      <c r="K954" s="63" t="n"/>
      <c r="L954" s="63" t="n"/>
      <c r="M954" s="64" t="n"/>
      <c r="N954" s="66" t="n"/>
      <c r="O954" s="65" t="n"/>
      <c r="P954" s="64" t="n"/>
      <c r="Q954" s="67" t="n"/>
      <c r="R954" s="67" t="n"/>
      <c r="S954" s="68" t="str">
        <f>IF(AND(ISNUMBER($Q954),ISNUMBER($R954)),$Q954-$R954,"")</f>
        <v/>
      </c>
      <c r="T954" s="65" t="n"/>
      <c r="U954" s="64" t="n"/>
      <c r="V954" s="65" t="n"/>
      <c r="W954" s="63" t="n"/>
      <c r="X954" s="65" t="n"/>
      <c r="Y954" s="63" t="n"/>
      <c r="Z954" s="64" t="n"/>
      <c r="AA954" s="64" t="n"/>
      <c r="AB954" s="65" t="n"/>
      <c r="AC954" s="69" t="str">
        <f>IF(OR($G954="",NOT(ISNUMBER($K954)),$AK954=0),"",MAX(0,ReportDate-$K954))</f>
        <v/>
      </c>
      <c r="AD954" s="69" t="str">
        <f>IF($G954="","",IF($AL954=1,ReportDate-$L954,0))</f>
        <v/>
      </c>
      <c r="AE954" s="70" t="str">
        <f>IF($G954="","",IF($M954="Completed",1,IF(ISNUMBER($N954),$N954,0)))</f>
        <v/>
      </c>
      <c r="AF954" s="70" t="str">
        <f>IF(AND(ISNUMBER($Q954),ISNUMBER($R954)),IF($R954&lt;&gt;0,$Q954/$R954,""),"")</f>
        <v/>
      </c>
      <c r="AG954" s="71" t="str">
        <f>IF($G954="","",IF($AL954=1,"OVERDUE",IF($AM954=1,"BLOCKED",IF($AN954=1,"DUE TODAY",IF($AO954=1,"DUE TOMORROW",IF($AQ954=1,"HIGH PRIORITY",IF($AR954=1,"NO RECENT UPDATE",""))))))) </f>
        <v/>
      </c>
      <c r="AH954" s="71" t="str">
        <f>IF($G954="","",IF(ISNUMBER($A954),IF(ISNUMBER($A954),YEAR($A954)&amp;"-"&amp;TEXT(MONTH($A954),"00"),""),IF(ISNUMBER($L954),IF(ISNUMBER($L954),YEAR($L954)&amp;"-"&amp;TEXT(MONTH($L954),"00"),""),"")))</f>
        <v/>
      </c>
      <c r="AI954" s="71">
        <f>IF($G954="",0,IF(AND(OR(fClient="All",$C954=fClient),OR(fCampaign="All",$D954=fCampaign),OR(fTeam="All",$B954=fTeam),OR(fChannel="All",$F954=fChannel),OR(fMonth="All",$AH954=fMonth),OR(fTStatus="All",$M954=fTStatus)),1,0))</f>
        <v>0</v>
      </c>
      <c r="AJ954" s="71">
        <f>IF($G954="",0,IF(AND(OR(fClient="All",$C954=fClient),OR(fCampaign="All",$D954=fCampaign),OR(fTeam="All",$B954=fTeam),OR(fChannel="All",$F954=fChannel)),1,0))</f>
        <v>0</v>
      </c>
      <c r="AK954" s="71">
        <f>IF($G954="",0,IF(OR($M954="Completed",$M954="Cancelled"),0,1))</f>
        <v>0</v>
      </c>
      <c r="AL954" s="71">
        <f>IF(AND($AK954=1,ISNUMBER($L954)),IF($L954&lt;ReportDate,1,0),0)</f>
        <v>0</v>
      </c>
      <c r="AM954" s="71">
        <f>IF(AND($G954&lt;&gt;"",$M954="Blocked"),1,0)</f>
        <v>0</v>
      </c>
      <c r="AN954" s="71">
        <f>IF(AND($AK954=1,ISNUMBER($L954)),IF($L954=ReportDate,1,0),0)</f>
        <v>0</v>
      </c>
      <c r="AO954" s="71">
        <f>IF(AND($AK954=1,ISNUMBER($L954)),IF($L954=ReportDate+1,1,0),0)</f>
        <v>0</v>
      </c>
      <c r="AP954" s="71">
        <f>IF(AND($AK954=1,ISNUMBER($L954)),IF(AND($L954&gt;=ReportDate,$L954&lt;=ReportDate+DueSoonDays),1,0),0)</f>
        <v>0</v>
      </c>
      <c r="AQ954" s="71">
        <f>IF(AND($AK954=1,OR($I954="Critical",$I954="High")),1,0)</f>
        <v>0</v>
      </c>
      <c r="AR954" s="71">
        <f>IF($AK954=1,IF(ISNUMBER($Y954),IF(ReportDate-$Y954&gt;StaleDays,1,0),1),0)</f>
        <v>0</v>
      </c>
      <c r="AS954" s="71">
        <f>IF(AND($G954&lt;&gt;"",ISNUMBER($Q954),ISNUMBER($R954)),IF(AND($Q954&lt;$R954,OR($M954="Completed",AND(ISNUMBER($L954),$L954&lt;ReportDate))),1,0),0)</f>
        <v>0</v>
      </c>
      <c r="AT954" s="71">
        <f>IF($AK954=1,IF(OR($L954=ReportDate,$W954=ReportDate,$K954=ReportDate,$A954=ReportDate),1,0),0)</f>
        <v>0</v>
      </c>
      <c r="AU954" s="71">
        <f>IF($AK954=1,IF(OR($L954=ReportDate+1,$W954=ReportDate+1,$K954=ReportDate+1,$A954=ReportDate+1),1,0),0)</f>
        <v>0</v>
      </c>
      <c r="AV954" s="71">
        <f>IF(AND($G954&lt;&gt;"",$M954="Completed"),IF(OR($Y954=ReportDate-1,$A954=ReportDate-1),1,0),0)</f>
        <v>0</v>
      </c>
      <c r="AW954" s="71">
        <f>IF(AND($AK954=1,$Z954="Yes"),1,0)</f>
        <v>0</v>
      </c>
      <c r="AX954" s="71">
        <f>IF(AND($AK954=1,$AA954="Yes"),1,0)</f>
        <v>0</v>
      </c>
      <c r="AY954" s="71">
        <f>IF(AND($AM954=1,OR($I954="Critical",$I954="High")),1,0)</f>
        <v>0</v>
      </c>
      <c r="AZ954" s="71">
        <f>IF(AND($AK954=1,OR($C954=TCL_Client,$C954=MECCA_Client)),1,0)</f>
        <v>0</v>
      </c>
      <c r="BA954" s="71" t="str">
        <f>IF($G954="","",IFERROR(MATCH($I954,lst_Priority,0),5))</f>
        <v/>
      </c>
      <c r="BB954" s="71" t="str">
        <f>IF(AND($AL954=1,$AJ954=1),$BA954*100000+ROW(),"")</f>
        <v/>
      </c>
      <c r="BC954" s="71" t="str">
        <f>IF(AND($AM954=1,$AJ954=1),$BA954*100000+ROW(),"")</f>
        <v/>
      </c>
      <c r="BD954" s="71" t="str">
        <f>IF(AND($AP954=1,$AJ954=1),$BA954*100000+ROW(),"")</f>
        <v/>
      </c>
      <c r="BE954" s="71" t="str">
        <f>IF(AND($AT954=1,$AJ954=1),$BA954*100000+ROW(),"")</f>
        <v/>
      </c>
      <c r="BF954" s="71" t="str">
        <f>IF(AND($AU954=1,$AJ954=1),$BA954*100000+ROW(),"")</f>
        <v/>
      </c>
      <c r="BG954" s="71" t="str">
        <f>IF(AND($AV954=1,$AJ954=1),$BA954*100000+ROW(),"")</f>
        <v/>
      </c>
      <c r="BH954" s="71" t="str">
        <f>IF(AND($AW954=1,$AJ954=1),$BA954*100000+ROW(),"")</f>
        <v/>
      </c>
      <c r="BI954" s="71" t="str">
        <f>IF(AND($AX954=1,$AJ954=1),$BA954*100000+ROW(),"")</f>
        <v/>
      </c>
      <c r="BJ954" s="71" t="str">
        <f>IF(AND($AS954=1,$AJ954=1),$BA954*100000+ROW(),"")</f>
        <v/>
      </c>
      <c r="BK954" s="71" t="str">
        <f>IF(AND($AY954=1,$AJ954=1),$BA954*100000+ROW(),"")</f>
        <v/>
      </c>
      <c r="BL954" s="71" t="str">
        <f>IF(AND($AZ954=1),$BA954*100000+ROW(),"")</f>
        <v/>
      </c>
    </row>
    <row r="955">
      <c r="A955" s="63" t="n"/>
      <c r="B955" s="64" t="n"/>
      <c r="C955" s="64" t="n"/>
      <c r="D955" s="64" t="n"/>
      <c r="E955" s="64" t="n"/>
      <c r="F955" s="64" t="n"/>
      <c r="G955" s="65" t="n"/>
      <c r="H955" s="65" t="n"/>
      <c r="I955" s="64" t="n"/>
      <c r="J955" s="64" t="n"/>
      <c r="K955" s="63" t="n"/>
      <c r="L955" s="63" t="n"/>
      <c r="M955" s="64" t="n"/>
      <c r="N955" s="66" t="n"/>
      <c r="O955" s="65" t="n"/>
      <c r="P955" s="64" t="n"/>
      <c r="Q955" s="67" t="n"/>
      <c r="R955" s="67" t="n"/>
      <c r="S955" s="68" t="str">
        <f>IF(AND(ISNUMBER($Q955),ISNUMBER($R955)),$Q955-$R955,"")</f>
        <v/>
      </c>
      <c r="T955" s="65" t="n"/>
      <c r="U955" s="64" t="n"/>
      <c r="V955" s="65" t="n"/>
      <c r="W955" s="63" t="n"/>
      <c r="X955" s="65" t="n"/>
      <c r="Y955" s="63" t="n"/>
      <c r="Z955" s="64" t="n"/>
      <c r="AA955" s="64" t="n"/>
      <c r="AB955" s="65" t="n"/>
      <c r="AC955" s="69" t="str">
        <f>IF(OR($G955="",NOT(ISNUMBER($K955)),$AK955=0),"",MAX(0,ReportDate-$K955))</f>
        <v/>
      </c>
      <c r="AD955" s="69" t="str">
        <f>IF($G955="","",IF($AL955=1,ReportDate-$L955,0))</f>
        <v/>
      </c>
      <c r="AE955" s="70" t="str">
        <f>IF($G955="","",IF($M955="Completed",1,IF(ISNUMBER($N955),$N955,0)))</f>
        <v/>
      </c>
      <c r="AF955" s="70" t="str">
        <f>IF(AND(ISNUMBER($Q955),ISNUMBER($R955)),IF($R955&lt;&gt;0,$Q955/$R955,""),"")</f>
        <v/>
      </c>
      <c r="AG955" s="71" t="str">
        <f>IF($G955="","",IF($AL955=1,"OVERDUE",IF($AM955=1,"BLOCKED",IF($AN955=1,"DUE TODAY",IF($AO955=1,"DUE TOMORROW",IF($AQ955=1,"HIGH PRIORITY",IF($AR955=1,"NO RECENT UPDATE",""))))))) </f>
        <v/>
      </c>
      <c r="AH955" s="71" t="str">
        <f>IF($G955="","",IF(ISNUMBER($A955),IF(ISNUMBER($A955),YEAR($A955)&amp;"-"&amp;TEXT(MONTH($A955),"00"),""),IF(ISNUMBER($L955),IF(ISNUMBER($L955),YEAR($L955)&amp;"-"&amp;TEXT(MONTH($L955),"00"),""),"")))</f>
        <v/>
      </c>
      <c r="AI955" s="71">
        <f>IF($G955="",0,IF(AND(OR(fClient="All",$C955=fClient),OR(fCampaign="All",$D955=fCampaign),OR(fTeam="All",$B955=fTeam),OR(fChannel="All",$F955=fChannel),OR(fMonth="All",$AH955=fMonth),OR(fTStatus="All",$M955=fTStatus)),1,0))</f>
        <v>0</v>
      </c>
      <c r="AJ955" s="71">
        <f>IF($G955="",0,IF(AND(OR(fClient="All",$C955=fClient),OR(fCampaign="All",$D955=fCampaign),OR(fTeam="All",$B955=fTeam),OR(fChannel="All",$F955=fChannel)),1,0))</f>
        <v>0</v>
      </c>
      <c r="AK955" s="71">
        <f>IF($G955="",0,IF(OR($M955="Completed",$M955="Cancelled"),0,1))</f>
        <v>0</v>
      </c>
      <c r="AL955" s="71">
        <f>IF(AND($AK955=1,ISNUMBER($L955)),IF($L955&lt;ReportDate,1,0),0)</f>
        <v>0</v>
      </c>
      <c r="AM955" s="71">
        <f>IF(AND($G955&lt;&gt;"",$M955="Blocked"),1,0)</f>
        <v>0</v>
      </c>
      <c r="AN955" s="71">
        <f>IF(AND($AK955=1,ISNUMBER($L955)),IF($L955=ReportDate,1,0),0)</f>
        <v>0</v>
      </c>
      <c r="AO955" s="71">
        <f>IF(AND($AK955=1,ISNUMBER($L955)),IF($L955=ReportDate+1,1,0),0)</f>
        <v>0</v>
      </c>
      <c r="AP955" s="71">
        <f>IF(AND($AK955=1,ISNUMBER($L955)),IF(AND($L955&gt;=ReportDate,$L955&lt;=ReportDate+DueSoonDays),1,0),0)</f>
        <v>0</v>
      </c>
      <c r="AQ955" s="71">
        <f>IF(AND($AK955=1,OR($I955="Critical",$I955="High")),1,0)</f>
        <v>0</v>
      </c>
      <c r="AR955" s="71">
        <f>IF($AK955=1,IF(ISNUMBER($Y955),IF(ReportDate-$Y955&gt;StaleDays,1,0),1),0)</f>
        <v>0</v>
      </c>
      <c r="AS955" s="71">
        <f>IF(AND($G955&lt;&gt;"",ISNUMBER($Q955),ISNUMBER($R955)),IF(AND($Q955&lt;$R955,OR($M955="Completed",AND(ISNUMBER($L955),$L955&lt;ReportDate))),1,0),0)</f>
        <v>0</v>
      </c>
      <c r="AT955" s="71">
        <f>IF($AK955=1,IF(OR($L955=ReportDate,$W955=ReportDate,$K955=ReportDate,$A955=ReportDate),1,0),0)</f>
        <v>0</v>
      </c>
      <c r="AU955" s="71">
        <f>IF($AK955=1,IF(OR($L955=ReportDate+1,$W955=ReportDate+1,$K955=ReportDate+1,$A955=ReportDate+1),1,0),0)</f>
        <v>0</v>
      </c>
      <c r="AV955" s="71">
        <f>IF(AND($G955&lt;&gt;"",$M955="Completed"),IF(OR($Y955=ReportDate-1,$A955=ReportDate-1),1,0),0)</f>
        <v>0</v>
      </c>
      <c r="AW955" s="71">
        <f>IF(AND($AK955=1,$Z955="Yes"),1,0)</f>
        <v>0</v>
      </c>
      <c r="AX955" s="71">
        <f>IF(AND($AK955=1,$AA955="Yes"),1,0)</f>
        <v>0</v>
      </c>
      <c r="AY955" s="71">
        <f>IF(AND($AM955=1,OR($I955="Critical",$I955="High")),1,0)</f>
        <v>0</v>
      </c>
      <c r="AZ955" s="71">
        <f>IF(AND($AK955=1,OR($C955=TCL_Client,$C955=MECCA_Client)),1,0)</f>
        <v>0</v>
      </c>
      <c r="BA955" s="71" t="str">
        <f>IF($G955="","",IFERROR(MATCH($I955,lst_Priority,0),5))</f>
        <v/>
      </c>
      <c r="BB955" s="71" t="str">
        <f>IF(AND($AL955=1,$AJ955=1),$BA955*100000+ROW(),"")</f>
        <v/>
      </c>
      <c r="BC955" s="71" t="str">
        <f>IF(AND($AM955=1,$AJ955=1),$BA955*100000+ROW(),"")</f>
        <v/>
      </c>
      <c r="BD955" s="71" t="str">
        <f>IF(AND($AP955=1,$AJ955=1),$BA955*100000+ROW(),"")</f>
        <v/>
      </c>
      <c r="BE955" s="71" t="str">
        <f>IF(AND($AT955=1,$AJ955=1),$BA955*100000+ROW(),"")</f>
        <v/>
      </c>
      <c r="BF955" s="71" t="str">
        <f>IF(AND($AU955=1,$AJ955=1),$BA955*100000+ROW(),"")</f>
        <v/>
      </c>
      <c r="BG955" s="71" t="str">
        <f>IF(AND($AV955=1,$AJ955=1),$BA955*100000+ROW(),"")</f>
        <v/>
      </c>
      <c r="BH955" s="71" t="str">
        <f>IF(AND($AW955=1,$AJ955=1),$BA955*100000+ROW(),"")</f>
        <v/>
      </c>
      <c r="BI955" s="71" t="str">
        <f>IF(AND($AX955=1,$AJ955=1),$BA955*100000+ROW(),"")</f>
        <v/>
      </c>
      <c r="BJ955" s="71" t="str">
        <f>IF(AND($AS955=1,$AJ955=1),$BA955*100000+ROW(),"")</f>
        <v/>
      </c>
      <c r="BK955" s="71" t="str">
        <f>IF(AND($AY955=1,$AJ955=1),$BA955*100000+ROW(),"")</f>
        <v/>
      </c>
      <c r="BL955" s="71" t="str">
        <f>IF(AND($AZ955=1),$BA955*100000+ROW(),"")</f>
        <v/>
      </c>
    </row>
    <row r="956">
      <c r="A956" s="63" t="n"/>
      <c r="B956" s="64" t="n"/>
      <c r="C956" s="64" t="n"/>
      <c r="D956" s="64" t="n"/>
      <c r="E956" s="64" t="n"/>
      <c r="F956" s="64" t="n"/>
      <c r="G956" s="65" t="n"/>
      <c r="H956" s="65" t="n"/>
      <c r="I956" s="64" t="n"/>
      <c r="J956" s="64" t="n"/>
      <c r="K956" s="63" t="n"/>
      <c r="L956" s="63" t="n"/>
      <c r="M956" s="64" t="n"/>
      <c r="N956" s="66" t="n"/>
      <c r="O956" s="65" t="n"/>
      <c r="P956" s="64" t="n"/>
      <c r="Q956" s="67" t="n"/>
      <c r="R956" s="67" t="n"/>
      <c r="S956" s="68" t="str">
        <f>IF(AND(ISNUMBER($Q956),ISNUMBER($R956)),$Q956-$R956,"")</f>
        <v/>
      </c>
      <c r="T956" s="65" t="n"/>
      <c r="U956" s="64" t="n"/>
      <c r="V956" s="65" t="n"/>
      <c r="W956" s="63" t="n"/>
      <c r="X956" s="65" t="n"/>
      <c r="Y956" s="63" t="n"/>
      <c r="Z956" s="64" t="n"/>
      <c r="AA956" s="64" t="n"/>
      <c r="AB956" s="65" t="n"/>
      <c r="AC956" s="69" t="str">
        <f>IF(OR($G956="",NOT(ISNUMBER($K956)),$AK956=0),"",MAX(0,ReportDate-$K956))</f>
        <v/>
      </c>
      <c r="AD956" s="69" t="str">
        <f>IF($G956="","",IF($AL956=1,ReportDate-$L956,0))</f>
        <v/>
      </c>
      <c r="AE956" s="70" t="str">
        <f>IF($G956="","",IF($M956="Completed",1,IF(ISNUMBER($N956),$N956,0)))</f>
        <v/>
      </c>
      <c r="AF956" s="70" t="str">
        <f>IF(AND(ISNUMBER($Q956),ISNUMBER($R956)),IF($R956&lt;&gt;0,$Q956/$R956,""),"")</f>
        <v/>
      </c>
      <c r="AG956" s="71" t="str">
        <f>IF($G956="","",IF($AL956=1,"OVERDUE",IF($AM956=1,"BLOCKED",IF($AN956=1,"DUE TODAY",IF($AO956=1,"DUE TOMORROW",IF($AQ956=1,"HIGH PRIORITY",IF($AR956=1,"NO RECENT UPDATE",""))))))) </f>
        <v/>
      </c>
      <c r="AH956" s="71" t="str">
        <f>IF($G956="","",IF(ISNUMBER($A956),IF(ISNUMBER($A956),YEAR($A956)&amp;"-"&amp;TEXT(MONTH($A956),"00"),""),IF(ISNUMBER($L956),IF(ISNUMBER($L956),YEAR($L956)&amp;"-"&amp;TEXT(MONTH($L956),"00"),""),"")))</f>
        <v/>
      </c>
      <c r="AI956" s="71">
        <f>IF($G956="",0,IF(AND(OR(fClient="All",$C956=fClient),OR(fCampaign="All",$D956=fCampaign),OR(fTeam="All",$B956=fTeam),OR(fChannel="All",$F956=fChannel),OR(fMonth="All",$AH956=fMonth),OR(fTStatus="All",$M956=fTStatus)),1,0))</f>
        <v>0</v>
      </c>
      <c r="AJ956" s="71">
        <f>IF($G956="",0,IF(AND(OR(fClient="All",$C956=fClient),OR(fCampaign="All",$D956=fCampaign),OR(fTeam="All",$B956=fTeam),OR(fChannel="All",$F956=fChannel)),1,0))</f>
        <v>0</v>
      </c>
      <c r="AK956" s="71">
        <f>IF($G956="",0,IF(OR($M956="Completed",$M956="Cancelled"),0,1))</f>
        <v>0</v>
      </c>
      <c r="AL956" s="71">
        <f>IF(AND($AK956=1,ISNUMBER($L956)),IF($L956&lt;ReportDate,1,0),0)</f>
        <v>0</v>
      </c>
      <c r="AM956" s="71">
        <f>IF(AND($G956&lt;&gt;"",$M956="Blocked"),1,0)</f>
        <v>0</v>
      </c>
      <c r="AN956" s="71">
        <f>IF(AND($AK956=1,ISNUMBER($L956)),IF($L956=ReportDate,1,0),0)</f>
        <v>0</v>
      </c>
      <c r="AO956" s="71">
        <f>IF(AND($AK956=1,ISNUMBER($L956)),IF($L956=ReportDate+1,1,0),0)</f>
        <v>0</v>
      </c>
      <c r="AP956" s="71">
        <f>IF(AND($AK956=1,ISNUMBER($L956)),IF(AND($L956&gt;=ReportDate,$L956&lt;=ReportDate+DueSoonDays),1,0),0)</f>
        <v>0</v>
      </c>
      <c r="AQ956" s="71">
        <f>IF(AND($AK956=1,OR($I956="Critical",$I956="High")),1,0)</f>
        <v>0</v>
      </c>
      <c r="AR956" s="71">
        <f>IF($AK956=1,IF(ISNUMBER($Y956),IF(ReportDate-$Y956&gt;StaleDays,1,0),1),0)</f>
        <v>0</v>
      </c>
      <c r="AS956" s="71">
        <f>IF(AND($G956&lt;&gt;"",ISNUMBER($Q956),ISNUMBER($R956)),IF(AND($Q956&lt;$R956,OR($M956="Completed",AND(ISNUMBER($L956),$L956&lt;ReportDate))),1,0),0)</f>
        <v>0</v>
      </c>
      <c r="AT956" s="71">
        <f>IF($AK956=1,IF(OR($L956=ReportDate,$W956=ReportDate,$K956=ReportDate,$A956=ReportDate),1,0),0)</f>
        <v>0</v>
      </c>
      <c r="AU956" s="71">
        <f>IF($AK956=1,IF(OR($L956=ReportDate+1,$W956=ReportDate+1,$K956=ReportDate+1,$A956=ReportDate+1),1,0),0)</f>
        <v>0</v>
      </c>
      <c r="AV956" s="71">
        <f>IF(AND($G956&lt;&gt;"",$M956="Completed"),IF(OR($Y956=ReportDate-1,$A956=ReportDate-1),1,0),0)</f>
        <v>0</v>
      </c>
      <c r="AW956" s="71">
        <f>IF(AND($AK956=1,$Z956="Yes"),1,0)</f>
        <v>0</v>
      </c>
      <c r="AX956" s="71">
        <f>IF(AND($AK956=1,$AA956="Yes"),1,0)</f>
        <v>0</v>
      </c>
      <c r="AY956" s="71">
        <f>IF(AND($AM956=1,OR($I956="Critical",$I956="High")),1,0)</f>
        <v>0</v>
      </c>
      <c r="AZ956" s="71">
        <f>IF(AND($AK956=1,OR($C956=TCL_Client,$C956=MECCA_Client)),1,0)</f>
        <v>0</v>
      </c>
      <c r="BA956" s="71" t="str">
        <f>IF($G956="","",IFERROR(MATCH($I956,lst_Priority,0),5))</f>
        <v/>
      </c>
      <c r="BB956" s="71" t="str">
        <f>IF(AND($AL956=1,$AJ956=1),$BA956*100000+ROW(),"")</f>
        <v/>
      </c>
      <c r="BC956" s="71" t="str">
        <f>IF(AND($AM956=1,$AJ956=1),$BA956*100000+ROW(),"")</f>
        <v/>
      </c>
      <c r="BD956" s="71" t="str">
        <f>IF(AND($AP956=1,$AJ956=1),$BA956*100000+ROW(),"")</f>
        <v/>
      </c>
      <c r="BE956" s="71" t="str">
        <f>IF(AND($AT956=1,$AJ956=1),$BA956*100000+ROW(),"")</f>
        <v/>
      </c>
      <c r="BF956" s="71" t="str">
        <f>IF(AND($AU956=1,$AJ956=1),$BA956*100000+ROW(),"")</f>
        <v/>
      </c>
      <c r="BG956" s="71" t="str">
        <f>IF(AND($AV956=1,$AJ956=1),$BA956*100000+ROW(),"")</f>
        <v/>
      </c>
      <c r="BH956" s="71" t="str">
        <f>IF(AND($AW956=1,$AJ956=1),$BA956*100000+ROW(),"")</f>
        <v/>
      </c>
      <c r="BI956" s="71" t="str">
        <f>IF(AND($AX956=1,$AJ956=1),$BA956*100000+ROW(),"")</f>
        <v/>
      </c>
      <c r="BJ956" s="71" t="str">
        <f>IF(AND($AS956=1,$AJ956=1),$BA956*100000+ROW(),"")</f>
        <v/>
      </c>
      <c r="BK956" s="71" t="str">
        <f>IF(AND($AY956=1,$AJ956=1),$BA956*100000+ROW(),"")</f>
        <v/>
      </c>
      <c r="BL956" s="71" t="str">
        <f>IF(AND($AZ956=1),$BA956*100000+ROW(),"")</f>
        <v/>
      </c>
    </row>
    <row r="957">
      <c r="A957" s="63" t="n"/>
      <c r="B957" s="64" t="n"/>
      <c r="C957" s="64" t="n"/>
      <c r="D957" s="64" t="n"/>
      <c r="E957" s="64" t="n"/>
      <c r="F957" s="64" t="n"/>
      <c r="G957" s="65" t="n"/>
      <c r="H957" s="65" t="n"/>
      <c r="I957" s="64" t="n"/>
      <c r="J957" s="64" t="n"/>
      <c r="K957" s="63" t="n"/>
      <c r="L957" s="63" t="n"/>
      <c r="M957" s="64" t="n"/>
      <c r="N957" s="66" t="n"/>
      <c r="O957" s="65" t="n"/>
      <c r="P957" s="64" t="n"/>
      <c r="Q957" s="67" t="n"/>
      <c r="R957" s="67" t="n"/>
      <c r="S957" s="68" t="str">
        <f>IF(AND(ISNUMBER($Q957),ISNUMBER($R957)),$Q957-$R957,"")</f>
        <v/>
      </c>
      <c r="T957" s="65" t="n"/>
      <c r="U957" s="64" t="n"/>
      <c r="V957" s="65" t="n"/>
      <c r="W957" s="63" t="n"/>
      <c r="X957" s="65" t="n"/>
      <c r="Y957" s="63" t="n"/>
      <c r="Z957" s="64" t="n"/>
      <c r="AA957" s="64" t="n"/>
      <c r="AB957" s="65" t="n"/>
      <c r="AC957" s="69" t="str">
        <f>IF(OR($G957="",NOT(ISNUMBER($K957)),$AK957=0),"",MAX(0,ReportDate-$K957))</f>
        <v/>
      </c>
      <c r="AD957" s="69" t="str">
        <f>IF($G957="","",IF($AL957=1,ReportDate-$L957,0))</f>
        <v/>
      </c>
      <c r="AE957" s="70" t="str">
        <f>IF($G957="","",IF($M957="Completed",1,IF(ISNUMBER($N957),$N957,0)))</f>
        <v/>
      </c>
      <c r="AF957" s="70" t="str">
        <f>IF(AND(ISNUMBER($Q957),ISNUMBER($R957)),IF($R957&lt;&gt;0,$Q957/$R957,""),"")</f>
        <v/>
      </c>
      <c r="AG957" s="71" t="str">
        <f>IF($G957="","",IF($AL957=1,"OVERDUE",IF($AM957=1,"BLOCKED",IF($AN957=1,"DUE TODAY",IF($AO957=1,"DUE TOMORROW",IF($AQ957=1,"HIGH PRIORITY",IF($AR957=1,"NO RECENT UPDATE",""))))))) </f>
        <v/>
      </c>
      <c r="AH957" s="71" t="str">
        <f>IF($G957="","",IF(ISNUMBER($A957),IF(ISNUMBER($A957),YEAR($A957)&amp;"-"&amp;TEXT(MONTH($A957),"00"),""),IF(ISNUMBER($L957),IF(ISNUMBER($L957),YEAR($L957)&amp;"-"&amp;TEXT(MONTH($L957),"00"),""),"")))</f>
        <v/>
      </c>
      <c r="AI957" s="71">
        <f>IF($G957="",0,IF(AND(OR(fClient="All",$C957=fClient),OR(fCampaign="All",$D957=fCampaign),OR(fTeam="All",$B957=fTeam),OR(fChannel="All",$F957=fChannel),OR(fMonth="All",$AH957=fMonth),OR(fTStatus="All",$M957=fTStatus)),1,0))</f>
        <v>0</v>
      </c>
      <c r="AJ957" s="71">
        <f>IF($G957="",0,IF(AND(OR(fClient="All",$C957=fClient),OR(fCampaign="All",$D957=fCampaign),OR(fTeam="All",$B957=fTeam),OR(fChannel="All",$F957=fChannel)),1,0))</f>
        <v>0</v>
      </c>
      <c r="AK957" s="71">
        <f>IF($G957="",0,IF(OR($M957="Completed",$M957="Cancelled"),0,1))</f>
        <v>0</v>
      </c>
      <c r="AL957" s="71">
        <f>IF(AND($AK957=1,ISNUMBER($L957)),IF($L957&lt;ReportDate,1,0),0)</f>
        <v>0</v>
      </c>
      <c r="AM957" s="71">
        <f>IF(AND($G957&lt;&gt;"",$M957="Blocked"),1,0)</f>
        <v>0</v>
      </c>
      <c r="AN957" s="71">
        <f>IF(AND($AK957=1,ISNUMBER($L957)),IF($L957=ReportDate,1,0),0)</f>
        <v>0</v>
      </c>
      <c r="AO957" s="71">
        <f>IF(AND($AK957=1,ISNUMBER($L957)),IF($L957=ReportDate+1,1,0),0)</f>
        <v>0</v>
      </c>
      <c r="AP957" s="71">
        <f>IF(AND($AK957=1,ISNUMBER($L957)),IF(AND($L957&gt;=ReportDate,$L957&lt;=ReportDate+DueSoonDays),1,0),0)</f>
        <v>0</v>
      </c>
      <c r="AQ957" s="71">
        <f>IF(AND($AK957=1,OR($I957="Critical",$I957="High")),1,0)</f>
        <v>0</v>
      </c>
      <c r="AR957" s="71">
        <f>IF($AK957=1,IF(ISNUMBER($Y957),IF(ReportDate-$Y957&gt;StaleDays,1,0),1),0)</f>
        <v>0</v>
      </c>
      <c r="AS957" s="71">
        <f>IF(AND($G957&lt;&gt;"",ISNUMBER($Q957),ISNUMBER($R957)),IF(AND($Q957&lt;$R957,OR($M957="Completed",AND(ISNUMBER($L957),$L957&lt;ReportDate))),1,0),0)</f>
        <v>0</v>
      </c>
      <c r="AT957" s="71">
        <f>IF($AK957=1,IF(OR($L957=ReportDate,$W957=ReportDate,$K957=ReportDate,$A957=ReportDate),1,0),0)</f>
        <v>0</v>
      </c>
      <c r="AU957" s="71">
        <f>IF($AK957=1,IF(OR($L957=ReportDate+1,$W957=ReportDate+1,$K957=ReportDate+1,$A957=ReportDate+1),1,0),0)</f>
        <v>0</v>
      </c>
      <c r="AV957" s="71">
        <f>IF(AND($G957&lt;&gt;"",$M957="Completed"),IF(OR($Y957=ReportDate-1,$A957=ReportDate-1),1,0),0)</f>
        <v>0</v>
      </c>
      <c r="AW957" s="71">
        <f>IF(AND($AK957=1,$Z957="Yes"),1,0)</f>
        <v>0</v>
      </c>
      <c r="AX957" s="71">
        <f>IF(AND($AK957=1,$AA957="Yes"),1,0)</f>
        <v>0</v>
      </c>
      <c r="AY957" s="71">
        <f>IF(AND($AM957=1,OR($I957="Critical",$I957="High")),1,0)</f>
        <v>0</v>
      </c>
      <c r="AZ957" s="71">
        <f>IF(AND($AK957=1,OR($C957=TCL_Client,$C957=MECCA_Client)),1,0)</f>
        <v>0</v>
      </c>
      <c r="BA957" s="71" t="str">
        <f>IF($G957="","",IFERROR(MATCH($I957,lst_Priority,0),5))</f>
        <v/>
      </c>
      <c r="BB957" s="71" t="str">
        <f>IF(AND($AL957=1,$AJ957=1),$BA957*100000+ROW(),"")</f>
        <v/>
      </c>
      <c r="BC957" s="71" t="str">
        <f>IF(AND($AM957=1,$AJ957=1),$BA957*100000+ROW(),"")</f>
        <v/>
      </c>
      <c r="BD957" s="71" t="str">
        <f>IF(AND($AP957=1,$AJ957=1),$BA957*100000+ROW(),"")</f>
        <v/>
      </c>
      <c r="BE957" s="71" t="str">
        <f>IF(AND($AT957=1,$AJ957=1),$BA957*100000+ROW(),"")</f>
        <v/>
      </c>
      <c r="BF957" s="71" t="str">
        <f>IF(AND($AU957=1,$AJ957=1),$BA957*100000+ROW(),"")</f>
        <v/>
      </c>
      <c r="BG957" s="71" t="str">
        <f>IF(AND($AV957=1,$AJ957=1),$BA957*100000+ROW(),"")</f>
        <v/>
      </c>
      <c r="BH957" s="71" t="str">
        <f>IF(AND($AW957=1,$AJ957=1),$BA957*100000+ROW(),"")</f>
        <v/>
      </c>
      <c r="BI957" s="71" t="str">
        <f>IF(AND($AX957=1,$AJ957=1),$BA957*100000+ROW(),"")</f>
        <v/>
      </c>
      <c r="BJ957" s="71" t="str">
        <f>IF(AND($AS957=1,$AJ957=1),$BA957*100000+ROW(),"")</f>
        <v/>
      </c>
      <c r="BK957" s="71" t="str">
        <f>IF(AND($AY957=1,$AJ957=1),$BA957*100000+ROW(),"")</f>
        <v/>
      </c>
      <c r="BL957" s="71" t="str">
        <f>IF(AND($AZ957=1),$BA957*100000+ROW(),"")</f>
        <v/>
      </c>
    </row>
    <row r="958">
      <c r="A958" s="63" t="n"/>
      <c r="B958" s="64" t="n"/>
      <c r="C958" s="64" t="n"/>
      <c r="D958" s="64" t="n"/>
      <c r="E958" s="64" t="n"/>
      <c r="F958" s="64" t="n"/>
      <c r="G958" s="65" t="n"/>
      <c r="H958" s="65" t="n"/>
      <c r="I958" s="64" t="n"/>
      <c r="J958" s="64" t="n"/>
      <c r="K958" s="63" t="n"/>
      <c r="L958" s="63" t="n"/>
      <c r="M958" s="64" t="n"/>
      <c r="N958" s="66" t="n"/>
      <c r="O958" s="65" t="n"/>
      <c r="P958" s="64" t="n"/>
      <c r="Q958" s="67" t="n"/>
      <c r="R958" s="67" t="n"/>
      <c r="S958" s="68" t="str">
        <f>IF(AND(ISNUMBER($Q958),ISNUMBER($R958)),$Q958-$R958,"")</f>
        <v/>
      </c>
      <c r="T958" s="65" t="n"/>
      <c r="U958" s="64" t="n"/>
      <c r="V958" s="65" t="n"/>
      <c r="W958" s="63" t="n"/>
      <c r="X958" s="65" t="n"/>
      <c r="Y958" s="63" t="n"/>
      <c r="Z958" s="64" t="n"/>
      <c r="AA958" s="64" t="n"/>
      <c r="AB958" s="65" t="n"/>
      <c r="AC958" s="69" t="str">
        <f>IF(OR($G958="",NOT(ISNUMBER($K958)),$AK958=0),"",MAX(0,ReportDate-$K958))</f>
        <v/>
      </c>
      <c r="AD958" s="69" t="str">
        <f>IF($G958="","",IF($AL958=1,ReportDate-$L958,0))</f>
        <v/>
      </c>
      <c r="AE958" s="70" t="str">
        <f>IF($G958="","",IF($M958="Completed",1,IF(ISNUMBER($N958),$N958,0)))</f>
        <v/>
      </c>
      <c r="AF958" s="70" t="str">
        <f>IF(AND(ISNUMBER($Q958),ISNUMBER($R958)),IF($R958&lt;&gt;0,$Q958/$R958,""),"")</f>
        <v/>
      </c>
      <c r="AG958" s="71" t="str">
        <f>IF($G958="","",IF($AL958=1,"OVERDUE",IF($AM958=1,"BLOCKED",IF($AN958=1,"DUE TODAY",IF($AO958=1,"DUE TOMORROW",IF($AQ958=1,"HIGH PRIORITY",IF($AR958=1,"NO RECENT UPDATE",""))))))) </f>
        <v/>
      </c>
      <c r="AH958" s="71" t="str">
        <f>IF($G958="","",IF(ISNUMBER($A958),IF(ISNUMBER($A958),YEAR($A958)&amp;"-"&amp;TEXT(MONTH($A958),"00"),""),IF(ISNUMBER($L958),IF(ISNUMBER($L958),YEAR($L958)&amp;"-"&amp;TEXT(MONTH($L958),"00"),""),"")))</f>
        <v/>
      </c>
      <c r="AI958" s="71">
        <f>IF($G958="",0,IF(AND(OR(fClient="All",$C958=fClient),OR(fCampaign="All",$D958=fCampaign),OR(fTeam="All",$B958=fTeam),OR(fChannel="All",$F958=fChannel),OR(fMonth="All",$AH958=fMonth),OR(fTStatus="All",$M958=fTStatus)),1,0))</f>
        <v>0</v>
      </c>
      <c r="AJ958" s="71">
        <f>IF($G958="",0,IF(AND(OR(fClient="All",$C958=fClient),OR(fCampaign="All",$D958=fCampaign),OR(fTeam="All",$B958=fTeam),OR(fChannel="All",$F958=fChannel)),1,0))</f>
        <v>0</v>
      </c>
      <c r="AK958" s="71">
        <f>IF($G958="",0,IF(OR($M958="Completed",$M958="Cancelled"),0,1))</f>
        <v>0</v>
      </c>
      <c r="AL958" s="71">
        <f>IF(AND($AK958=1,ISNUMBER($L958)),IF($L958&lt;ReportDate,1,0),0)</f>
        <v>0</v>
      </c>
      <c r="AM958" s="71">
        <f>IF(AND($G958&lt;&gt;"",$M958="Blocked"),1,0)</f>
        <v>0</v>
      </c>
      <c r="AN958" s="71">
        <f>IF(AND($AK958=1,ISNUMBER($L958)),IF($L958=ReportDate,1,0),0)</f>
        <v>0</v>
      </c>
      <c r="AO958" s="71">
        <f>IF(AND($AK958=1,ISNUMBER($L958)),IF($L958=ReportDate+1,1,0),0)</f>
        <v>0</v>
      </c>
      <c r="AP958" s="71">
        <f>IF(AND($AK958=1,ISNUMBER($L958)),IF(AND($L958&gt;=ReportDate,$L958&lt;=ReportDate+DueSoonDays),1,0),0)</f>
        <v>0</v>
      </c>
      <c r="AQ958" s="71">
        <f>IF(AND($AK958=1,OR($I958="Critical",$I958="High")),1,0)</f>
        <v>0</v>
      </c>
      <c r="AR958" s="71">
        <f>IF($AK958=1,IF(ISNUMBER($Y958),IF(ReportDate-$Y958&gt;StaleDays,1,0),1),0)</f>
        <v>0</v>
      </c>
      <c r="AS958" s="71">
        <f>IF(AND($G958&lt;&gt;"",ISNUMBER($Q958),ISNUMBER($R958)),IF(AND($Q958&lt;$R958,OR($M958="Completed",AND(ISNUMBER($L958),$L958&lt;ReportDate))),1,0),0)</f>
        <v>0</v>
      </c>
      <c r="AT958" s="71">
        <f>IF($AK958=1,IF(OR($L958=ReportDate,$W958=ReportDate,$K958=ReportDate,$A958=ReportDate),1,0),0)</f>
        <v>0</v>
      </c>
      <c r="AU958" s="71">
        <f>IF($AK958=1,IF(OR($L958=ReportDate+1,$W958=ReportDate+1,$K958=ReportDate+1,$A958=ReportDate+1),1,0),0)</f>
        <v>0</v>
      </c>
      <c r="AV958" s="71">
        <f>IF(AND($G958&lt;&gt;"",$M958="Completed"),IF(OR($Y958=ReportDate-1,$A958=ReportDate-1),1,0),0)</f>
        <v>0</v>
      </c>
      <c r="AW958" s="71">
        <f>IF(AND($AK958=1,$Z958="Yes"),1,0)</f>
        <v>0</v>
      </c>
      <c r="AX958" s="71">
        <f>IF(AND($AK958=1,$AA958="Yes"),1,0)</f>
        <v>0</v>
      </c>
      <c r="AY958" s="71">
        <f>IF(AND($AM958=1,OR($I958="Critical",$I958="High")),1,0)</f>
        <v>0</v>
      </c>
      <c r="AZ958" s="71">
        <f>IF(AND($AK958=1,OR($C958=TCL_Client,$C958=MECCA_Client)),1,0)</f>
        <v>0</v>
      </c>
      <c r="BA958" s="71" t="str">
        <f>IF($G958="","",IFERROR(MATCH($I958,lst_Priority,0),5))</f>
        <v/>
      </c>
      <c r="BB958" s="71" t="str">
        <f>IF(AND($AL958=1,$AJ958=1),$BA958*100000+ROW(),"")</f>
        <v/>
      </c>
      <c r="BC958" s="71" t="str">
        <f>IF(AND($AM958=1,$AJ958=1),$BA958*100000+ROW(),"")</f>
        <v/>
      </c>
      <c r="BD958" s="71" t="str">
        <f>IF(AND($AP958=1,$AJ958=1),$BA958*100000+ROW(),"")</f>
        <v/>
      </c>
      <c r="BE958" s="71" t="str">
        <f>IF(AND($AT958=1,$AJ958=1),$BA958*100000+ROW(),"")</f>
        <v/>
      </c>
      <c r="BF958" s="71" t="str">
        <f>IF(AND($AU958=1,$AJ958=1),$BA958*100000+ROW(),"")</f>
        <v/>
      </c>
      <c r="BG958" s="71" t="str">
        <f>IF(AND($AV958=1,$AJ958=1),$BA958*100000+ROW(),"")</f>
        <v/>
      </c>
      <c r="BH958" s="71" t="str">
        <f>IF(AND($AW958=1,$AJ958=1),$BA958*100000+ROW(),"")</f>
        <v/>
      </c>
      <c r="BI958" s="71" t="str">
        <f>IF(AND($AX958=1,$AJ958=1),$BA958*100000+ROW(),"")</f>
        <v/>
      </c>
      <c r="BJ958" s="71" t="str">
        <f>IF(AND($AS958=1,$AJ958=1),$BA958*100000+ROW(),"")</f>
        <v/>
      </c>
      <c r="BK958" s="71" t="str">
        <f>IF(AND($AY958=1,$AJ958=1),$BA958*100000+ROW(),"")</f>
        <v/>
      </c>
      <c r="BL958" s="71" t="str">
        <f>IF(AND($AZ958=1),$BA958*100000+ROW(),"")</f>
        <v/>
      </c>
    </row>
    <row r="959">
      <c r="A959" s="63" t="n"/>
      <c r="B959" s="64" t="n"/>
      <c r="C959" s="64" t="n"/>
      <c r="D959" s="64" t="n"/>
      <c r="E959" s="64" t="n"/>
      <c r="F959" s="64" t="n"/>
      <c r="G959" s="65" t="n"/>
      <c r="H959" s="65" t="n"/>
      <c r="I959" s="64" t="n"/>
      <c r="J959" s="64" t="n"/>
      <c r="K959" s="63" t="n"/>
      <c r="L959" s="63" t="n"/>
      <c r="M959" s="64" t="n"/>
      <c r="N959" s="66" t="n"/>
      <c r="O959" s="65" t="n"/>
      <c r="P959" s="64" t="n"/>
      <c r="Q959" s="67" t="n"/>
      <c r="R959" s="67" t="n"/>
      <c r="S959" s="68" t="str">
        <f>IF(AND(ISNUMBER($Q959),ISNUMBER($R959)),$Q959-$R959,"")</f>
        <v/>
      </c>
      <c r="T959" s="65" t="n"/>
      <c r="U959" s="64" t="n"/>
      <c r="V959" s="65" t="n"/>
      <c r="W959" s="63" t="n"/>
      <c r="X959" s="65" t="n"/>
      <c r="Y959" s="63" t="n"/>
      <c r="Z959" s="64" t="n"/>
      <c r="AA959" s="64" t="n"/>
      <c r="AB959" s="65" t="n"/>
      <c r="AC959" s="69" t="str">
        <f>IF(OR($G959="",NOT(ISNUMBER($K959)),$AK959=0),"",MAX(0,ReportDate-$K959))</f>
        <v/>
      </c>
      <c r="AD959" s="69" t="str">
        <f>IF($G959="","",IF($AL959=1,ReportDate-$L959,0))</f>
        <v/>
      </c>
      <c r="AE959" s="70" t="str">
        <f>IF($G959="","",IF($M959="Completed",1,IF(ISNUMBER($N959),$N959,0)))</f>
        <v/>
      </c>
      <c r="AF959" s="70" t="str">
        <f>IF(AND(ISNUMBER($Q959),ISNUMBER($R959)),IF($R959&lt;&gt;0,$Q959/$R959,""),"")</f>
        <v/>
      </c>
      <c r="AG959" s="71" t="str">
        <f>IF($G959="","",IF($AL959=1,"OVERDUE",IF($AM959=1,"BLOCKED",IF($AN959=1,"DUE TODAY",IF($AO959=1,"DUE TOMORROW",IF($AQ959=1,"HIGH PRIORITY",IF($AR959=1,"NO RECENT UPDATE",""))))))) </f>
        <v/>
      </c>
      <c r="AH959" s="71" t="str">
        <f>IF($G959="","",IF(ISNUMBER($A959),IF(ISNUMBER($A959),YEAR($A959)&amp;"-"&amp;TEXT(MONTH($A959),"00"),""),IF(ISNUMBER($L959),IF(ISNUMBER($L959),YEAR($L959)&amp;"-"&amp;TEXT(MONTH($L959),"00"),""),"")))</f>
        <v/>
      </c>
      <c r="AI959" s="71">
        <f>IF($G959="",0,IF(AND(OR(fClient="All",$C959=fClient),OR(fCampaign="All",$D959=fCampaign),OR(fTeam="All",$B959=fTeam),OR(fChannel="All",$F959=fChannel),OR(fMonth="All",$AH959=fMonth),OR(fTStatus="All",$M959=fTStatus)),1,0))</f>
        <v>0</v>
      </c>
      <c r="AJ959" s="71">
        <f>IF($G959="",0,IF(AND(OR(fClient="All",$C959=fClient),OR(fCampaign="All",$D959=fCampaign),OR(fTeam="All",$B959=fTeam),OR(fChannel="All",$F959=fChannel)),1,0))</f>
        <v>0</v>
      </c>
      <c r="AK959" s="71">
        <f>IF($G959="",0,IF(OR($M959="Completed",$M959="Cancelled"),0,1))</f>
        <v>0</v>
      </c>
      <c r="AL959" s="71">
        <f>IF(AND($AK959=1,ISNUMBER($L959)),IF($L959&lt;ReportDate,1,0),0)</f>
        <v>0</v>
      </c>
      <c r="AM959" s="71">
        <f>IF(AND($G959&lt;&gt;"",$M959="Blocked"),1,0)</f>
        <v>0</v>
      </c>
      <c r="AN959" s="71">
        <f>IF(AND($AK959=1,ISNUMBER($L959)),IF($L959=ReportDate,1,0),0)</f>
        <v>0</v>
      </c>
      <c r="AO959" s="71">
        <f>IF(AND($AK959=1,ISNUMBER($L959)),IF($L959=ReportDate+1,1,0),0)</f>
        <v>0</v>
      </c>
      <c r="AP959" s="71">
        <f>IF(AND($AK959=1,ISNUMBER($L959)),IF(AND($L959&gt;=ReportDate,$L959&lt;=ReportDate+DueSoonDays),1,0),0)</f>
        <v>0</v>
      </c>
      <c r="AQ959" s="71">
        <f>IF(AND($AK959=1,OR($I959="Critical",$I959="High")),1,0)</f>
        <v>0</v>
      </c>
      <c r="AR959" s="71">
        <f>IF($AK959=1,IF(ISNUMBER($Y959),IF(ReportDate-$Y959&gt;StaleDays,1,0),1),0)</f>
        <v>0</v>
      </c>
      <c r="AS959" s="71">
        <f>IF(AND($G959&lt;&gt;"",ISNUMBER($Q959),ISNUMBER($R959)),IF(AND($Q959&lt;$R959,OR($M959="Completed",AND(ISNUMBER($L959),$L959&lt;ReportDate))),1,0),0)</f>
        <v>0</v>
      </c>
      <c r="AT959" s="71">
        <f>IF($AK959=1,IF(OR($L959=ReportDate,$W959=ReportDate,$K959=ReportDate,$A959=ReportDate),1,0),0)</f>
        <v>0</v>
      </c>
      <c r="AU959" s="71">
        <f>IF($AK959=1,IF(OR($L959=ReportDate+1,$W959=ReportDate+1,$K959=ReportDate+1,$A959=ReportDate+1),1,0),0)</f>
        <v>0</v>
      </c>
      <c r="AV959" s="71">
        <f>IF(AND($G959&lt;&gt;"",$M959="Completed"),IF(OR($Y959=ReportDate-1,$A959=ReportDate-1),1,0),0)</f>
        <v>0</v>
      </c>
      <c r="AW959" s="71">
        <f>IF(AND($AK959=1,$Z959="Yes"),1,0)</f>
        <v>0</v>
      </c>
      <c r="AX959" s="71">
        <f>IF(AND($AK959=1,$AA959="Yes"),1,0)</f>
        <v>0</v>
      </c>
      <c r="AY959" s="71">
        <f>IF(AND($AM959=1,OR($I959="Critical",$I959="High")),1,0)</f>
        <v>0</v>
      </c>
      <c r="AZ959" s="71">
        <f>IF(AND($AK959=1,OR($C959=TCL_Client,$C959=MECCA_Client)),1,0)</f>
        <v>0</v>
      </c>
      <c r="BA959" s="71" t="str">
        <f>IF($G959="","",IFERROR(MATCH($I959,lst_Priority,0),5))</f>
        <v/>
      </c>
      <c r="BB959" s="71" t="str">
        <f>IF(AND($AL959=1,$AJ959=1),$BA959*100000+ROW(),"")</f>
        <v/>
      </c>
      <c r="BC959" s="71" t="str">
        <f>IF(AND($AM959=1,$AJ959=1),$BA959*100000+ROW(),"")</f>
        <v/>
      </c>
      <c r="BD959" s="71" t="str">
        <f>IF(AND($AP959=1,$AJ959=1),$BA959*100000+ROW(),"")</f>
        <v/>
      </c>
      <c r="BE959" s="71" t="str">
        <f>IF(AND($AT959=1,$AJ959=1),$BA959*100000+ROW(),"")</f>
        <v/>
      </c>
      <c r="BF959" s="71" t="str">
        <f>IF(AND($AU959=1,$AJ959=1),$BA959*100000+ROW(),"")</f>
        <v/>
      </c>
      <c r="BG959" s="71" t="str">
        <f>IF(AND($AV959=1,$AJ959=1),$BA959*100000+ROW(),"")</f>
        <v/>
      </c>
      <c r="BH959" s="71" t="str">
        <f>IF(AND($AW959=1,$AJ959=1),$BA959*100000+ROW(),"")</f>
        <v/>
      </c>
      <c r="BI959" s="71" t="str">
        <f>IF(AND($AX959=1,$AJ959=1),$BA959*100000+ROW(),"")</f>
        <v/>
      </c>
      <c r="BJ959" s="71" t="str">
        <f>IF(AND($AS959=1,$AJ959=1),$BA959*100000+ROW(),"")</f>
        <v/>
      </c>
      <c r="BK959" s="71" t="str">
        <f>IF(AND($AY959=1,$AJ959=1),$BA959*100000+ROW(),"")</f>
        <v/>
      </c>
      <c r="BL959" s="71" t="str">
        <f>IF(AND($AZ959=1),$BA959*100000+ROW(),"")</f>
        <v/>
      </c>
    </row>
    <row r="960">
      <c r="A960" s="63" t="n"/>
      <c r="B960" s="64" t="n"/>
      <c r="C960" s="64" t="n"/>
      <c r="D960" s="64" t="n"/>
      <c r="E960" s="64" t="n"/>
      <c r="F960" s="64" t="n"/>
      <c r="G960" s="65" t="n"/>
      <c r="H960" s="65" t="n"/>
      <c r="I960" s="64" t="n"/>
      <c r="J960" s="64" t="n"/>
      <c r="K960" s="63" t="n"/>
      <c r="L960" s="63" t="n"/>
      <c r="M960" s="64" t="n"/>
      <c r="N960" s="66" t="n"/>
      <c r="O960" s="65" t="n"/>
      <c r="P960" s="64" t="n"/>
      <c r="Q960" s="67" t="n"/>
      <c r="R960" s="67" t="n"/>
      <c r="S960" s="68" t="str">
        <f>IF(AND(ISNUMBER($Q960),ISNUMBER($R960)),$Q960-$R960,"")</f>
        <v/>
      </c>
      <c r="T960" s="65" t="n"/>
      <c r="U960" s="64" t="n"/>
      <c r="V960" s="65" t="n"/>
      <c r="W960" s="63" t="n"/>
      <c r="X960" s="65" t="n"/>
      <c r="Y960" s="63" t="n"/>
      <c r="Z960" s="64" t="n"/>
      <c r="AA960" s="64" t="n"/>
      <c r="AB960" s="65" t="n"/>
      <c r="AC960" s="69" t="str">
        <f>IF(OR($G960="",NOT(ISNUMBER($K960)),$AK960=0),"",MAX(0,ReportDate-$K960))</f>
        <v/>
      </c>
      <c r="AD960" s="69" t="str">
        <f>IF($G960="","",IF($AL960=1,ReportDate-$L960,0))</f>
        <v/>
      </c>
      <c r="AE960" s="70" t="str">
        <f>IF($G960="","",IF($M960="Completed",1,IF(ISNUMBER($N960),$N960,0)))</f>
        <v/>
      </c>
      <c r="AF960" s="70" t="str">
        <f>IF(AND(ISNUMBER($Q960),ISNUMBER($R960)),IF($R960&lt;&gt;0,$Q960/$R960,""),"")</f>
        <v/>
      </c>
      <c r="AG960" s="71" t="str">
        <f>IF($G960="","",IF($AL960=1,"OVERDUE",IF($AM960=1,"BLOCKED",IF($AN960=1,"DUE TODAY",IF($AO960=1,"DUE TOMORROW",IF($AQ960=1,"HIGH PRIORITY",IF($AR960=1,"NO RECENT UPDATE",""))))))) </f>
        <v/>
      </c>
      <c r="AH960" s="71" t="str">
        <f>IF($G960="","",IF(ISNUMBER($A960),IF(ISNUMBER($A960),YEAR($A960)&amp;"-"&amp;TEXT(MONTH($A960),"00"),""),IF(ISNUMBER($L960),IF(ISNUMBER($L960),YEAR($L960)&amp;"-"&amp;TEXT(MONTH($L960),"00"),""),"")))</f>
        <v/>
      </c>
      <c r="AI960" s="71">
        <f>IF($G960="",0,IF(AND(OR(fClient="All",$C960=fClient),OR(fCampaign="All",$D960=fCampaign),OR(fTeam="All",$B960=fTeam),OR(fChannel="All",$F960=fChannel),OR(fMonth="All",$AH960=fMonth),OR(fTStatus="All",$M960=fTStatus)),1,0))</f>
        <v>0</v>
      </c>
      <c r="AJ960" s="71">
        <f>IF($G960="",0,IF(AND(OR(fClient="All",$C960=fClient),OR(fCampaign="All",$D960=fCampaign),OR(fTeam="All",$B960=fTeam),OR(fChannel="All",$F960=fChannel)),1,0))</f>
        <v>0</v>
      </c>
      <c r="AK960" s="71">
        <f>IF($G960="",0,IF(OR($M960="Completed",$M960="Cancelled"),0,1))</f>
        <v>0</v>
      </c>
      <c r="AL960" s="71">
        <f>IF(AND($AK960=1,ISNUMBER($L960)),IF($L960&lt;ReportDate,1,0),0)</f>
        <v>0</v>
      </c>
      <c r="AM960" s="71">
        <f>IF(AND($G960&lt;&gt;"",$M960="Blocked"),1,0)</f>
        <v>0</v>
      </c>
      <c r="AN960" s="71">
        <f>IF(AND($AK960=1,ISNUMBER($L960)),IF($L960=ReportDate,1,0),0)</f>
        <v>0</v>
      </c>
      <c r="AO960" s="71">
        <f>IF(AND($AK960=1,ISNUMBER($L960)),IF($L960=ReportDate+1,1,0),0)</f>
        <v>0</v>
      </c>
      <c r="AP960" s="71">
        <f>IF(AND($AK960=1,ISNUMBER($L960)),IF(AND($L960&gt;=ReportDate,$L960&lt;=ReportDate+DueSoonDays),1,0),0)</f>
        <v>0</v>
      </c>
      <c r="AQ960" s="71">
        <f>IF(AND($AK960=1,OR($I960="Critical",$I960="High")),1,0)</f>
        <v>0</v>
      </c>
      <c r="AR960" s="71">
        <f>IF($AK960=1,IF(ISNUMBER($Y960),IF(ReportDate-$Y960&gt;StaleDays,1,0),1),0)</f>
        <v>0</v>
      </c>
      <c r="AS960" s="71">
        <f>IF(AND($G960&lt;&gt;"",ISNUMBER($Q960),ISNUMBER($R960)),IF(AND($Q960&lt;$R960,OR($M960="Completed",AND(ISNUMBER($L960),$L960&lt;ReportDate))),1,0),0)</f>
        <v>0</v>
      </c>
      <c r="AT960" s="71">
        <f>IF($AK960=1,IF(OR($L960=ReportDate,$W960=ReportDate,$K960=ReportDate,$A960=ReportDate),1,0),0)</f>
        <v>0</v>
      </c>
      <c r="AU960" s="71">
        <f>IF($AK960=1,IF(OR($L960=ReportDate+1,$W960=ReportDate+1,$K960=ReportDate+1,$A960=ReportDate+1),1,0),0)</f>
        <v>0</v>
      </c>
      <c r="AV960" s="71">
        <f>IF(AND($G960&lt;&gt;"",$M960="Completed"),IF(OR($Y960=ReportDate-1,$A960=ReportDate-1),1,0),0)</f>
        <v>0</v>
      </c>
      <c r="AW960" s="71">
        <f>IF(AND($AK960=1,$Z960="Yes"),1,0)</f>
        <v>0</v>
      </c>
      <c r="AX960" s="71">
        <f>IF(AND($AK960=1,$AA960="Yes"),1,0)</f>
        <v>0</v>
      </c>
      <c r="AY960" s="71">
        <f>IF(AND($AM960=1,OR($I960="Critical",$I960="High")),1,0)</f>
        <v>0</v>
      </c>
      <c r="AZ960" s="71">
        <f>IF(AND($AK960=1,OR($C960=TCL_Client,$C960=MECCA_Client)),1,0)</f>
        <v>0</v>
      </c>
      <c r="BA960" s="71" t="str">
        <f>IF($G960="","",IFERROR(MATCH($I960,lst_Priority,0),5))</f>
        <v/>
      </c>
      <c r="BB960" s="71" t="str">
        <f>IF(AND($AL960=1,$AJ960=1),$BA960*100000+ROW(),"")</f>
        <v/>
      </c>
      <c r="BC960" s="71" t="str">
        <f>IF(AND($AM960=1,$AJ960=1),$BA960*100000+ROW(),"")</f>
        <v/>
      </c>
      <c r="BD960" s="71" t="str">
        <f>IF(AND($AP960=1,$AJ960=1),$BA960*100000+ROW(),"")</f>
        <v/>
      </c>
      <c r="BE960" s="71" t="str">
        <f>IF(AND($AT960=1,$AJ960=1),$BA960*100000+ROW(),"")</f>
        <v/>
      </c>
      <c r="BF960" s="71" t="str">
        <f>IF(AND($AU960=1,$AJ960=1),$BA960*100000+ROW(),"")</f>
        <v/>
      </c>
      <c r="BG960" s="71" t="str">
        <f>IF(AND($AV960=1,$AJ960=1),$BA960*100000+ROW(),"")</f>
        <v/>
      </c>
      <c r="BH960" s="71" t="str">
        <f>IF(AND($AW960=1,$AJ960=1),$BA960*100000+ROW(),"")</f>
        <v/>
      </c>
      <c r="BI960" s="71" t="str">
        <f>IF(AND($AX960=1,$AJ960=1),$BA960*100000+ROW(),"")</f>
        <v/>
      </c>
      <c r="BJ960" s="71" t="str">
        <f>IF(AND($AS960=1,$AJ960=1),$BA960*100000+ROW(),"")</f>
        <v/>
      </c>
      <c r="BK960" s="71" t="str">
        <f>IF(AND($AY960=1,$AJ960=1),$BA960*100000+ROW(),"")</f>
        <v/>
      </c>
      <c r="BL960" s="71" t="str">
        <f>IF(AND($AZ960=1),$BA960*100000+ROW(),"")</f>
        <v/>
      </c>
    </row>
    <row r="961">
      <c r="A961" s="63" t="n"/>
      <c r="B961" s="64" t="n"/>
      <c r="C961" s="64" t="n"/>
      <c r="D961" s="64" t="n"/>
      <c r="E961" s="64" t="n"/>
      <c r="F961" s="64" t="n"/>
      <c r="G961" s="65" t="n"/>
      <c r="H961" s="65" t="n"/>
      <c r="I961" s="64" t="n"/>
      <c r="J961" s="64" t="n"/>
      <c r="K961" s="63" t="n"/>
      <c r="L961" s="63" t="n"/>
      <c r="M961" s="64" t="n"/>
      <c r="N961" s="66" t="n"/>
      <c r="O961" s="65" t="n"/>
      <c r="P961" s="64" t="n"/>
      <c r="Q961" s="67" t="n"/>
      <c r="R961" s="67" t="n"/>
      <c r="S961" s="68" t="str">
        <f>IF(AND(ISNUMBER($Q961),ISNUMBER($R961)),$Q961-$R961,"")</f>
        <v/>
      </c>
      <c r="T961" s="65" t="n"/>
      <c r="U961" s="64" t="n"/>
      <c r="V961" s="65" t="n"/>
      <c r="W961" s="63" t="n"/>
      <c r="X961" s="65" t="n"/>
      <c r="Y961" s="63" t="n"/>
      <c r="Z961" s="64" t="n"/>
      <c r="AA961" s="64" t="n"/>
      <c r="AB961" s="65" t="n"/>
      <c r="AC961" s="69" t="str">
        <f>IF(OR($G961="",NOT(ISNUMBER($K961)),$AK961=0),"",MAX(0,ReportDate-$K961))</f>
        <v/>
      </c>
      <c r="AD961" s="69" t="str">
        <f>IF($G961="","",IF($AL961=1,ReportDate-$L961,0))</f>
        <v/>
      </c>
      <c r="AE961" s="70" t="str">
        <f>IF($G961="","",IF($M961="Completed",1,IF(ISNUMBER($N961),$N961,0)))</f>
        <v/>
      </c>
      <c r="AF961" s="70" t="str">
        <f>IF(AND(ISNUMBER($Q961),ISNUMBER($R961)),IF($R961&lt;&gt;0,$Q961/$R961,""),"")</f>
        <v/>
      </c>
      <c r="AG961" s="71" t="str">
        <f>IF($G961="","",IF($AL961=1,"OVERDUE",IF($AM961=1,"BLOCKED",IF($AN961=1,"DUE TODAY",IF($AO961=1,"DUE TOMORROW",IF($AQ961=1,"HIGH PRIORITY",IF($AR961=1,"NO RECENT UPDATE",""))))))) </f>
        <v/>
      </c>
      <c r="AH961" s="71" t="str">
        <f>IF($G961="","",IF(ISNUMBER($A961),IF(ISNUMBER($A961),YEAR($A961)&amp;"-"&amp;TEXT(MONTH($A961),"00"),""),IF(ISNUMBER($L961),IF(ISNUMBER($L961),YEAR($L961)&amp;"-"&amp;TEXT(MONTH($L961),"00"),""),"")))</f>
        <v/>
      </c>
      <c r="AI961" s="71">
        <f>IF($G961="",0,IF(AND(OR(fClient="All",$C961=fClient),OR(fCampaign="All",$D961=fCampaign),OR(fTeam="All",$B961=fTeam),OR(fChannel="All",$F961=fChannel),OR(fMonth="All",$AH961=fMonth),OR(fTStatus="All",$M961=fTStatus)),1,0))</f>
        <v>0</v>
      </c>
      <c r="AJ961" s="71">
        <f>IF($G961="",0,IF(AND(OR(fClient="All",$C961=fClient),OR(fCampaign="All",$D961=fCampaign),OR(fTeam="All",$B961=fTeam),OR(fChannel="All",$F961=fChannel)),1,0))</f>
        <v>0</v>
      </c>
      <c r="AK961" s="71">
        <f>IF($G961="",0,IF(OR($M961="Completed",$M961="Cancelled"),0,1))</f>
        <v>0</v>
      </c>
      <c r="AL961" s="71">
        <f>IF(AND($AK961=1,ISNUMBER($L961)),IF($L961&lt;ReportDate,1,0),0)</f>
        <v>0</v>
      </c>
      <c r="AM961" s="71">
        <f>IF(AND($G961&lt;&gt;"",$M961="Blocked"),1,0)</f>
        <v>0</v>
      </c>
      <c r="AN961" s="71">
        <f>IF(AND($AK961=1,ISNUMBER($L961)),IF($L961=ReportDate,1,0),0)</f>
        <v>0</v>
      </c>
      <c r="AO961" s="71">
        <f>IF(AND($AK961=1,ISNUMBER($L961)),IF($L961=ReportDate+1,1,0),0)</f>
        <v>0</v>
      </c>
      <c r="AP961" s="71">
        <f>IF(AND($AK961=1,ISNUMBER($L961)),IF(AND($L961&gt;=ReportDate,$L961&lt;=ReportDate+DueSoonDays),1,0),0)</f>
        <v>0</v>
      </c>
      <c r="AQ961" s="71">
        <f>IF(AND($AK961=1,OR($I961="Critical",$I961="High")),1,0)</f>
        <v>0</v>
      </c>
      <c r="AR961" s="71">
        <f>IF($AK961=1,IF(ISNUMBER($Y961),IF(ReportDate-$Y961&gt;StaleDays,1,0),1),0)</f>
        <v>0</v>
      </c>
      <c r="AS961" s="71">
        <f>IF(AND($G961&lt;&gt;"",ISNUMBER($Q961),ISNUMBER($R961)),IF(AND($Q961&lt;$R961,OR($M961="Completed",AND(ISNUMBER($L961),$L961&lt;ReportDate))),1,0),0)</f>
        <v>0</v>
      </c>
      <c r="AT961" s="71">
        <f>IF($AK961=1,IF(OR($L961=ReportDate,$W961=ReportDate,$K961=ReportDate,$A961=ReportDate),1,0),0)</f>
        <v>0</v>
      </c>
      <c r="AU961" s="71">
        <f>IF($AK961=1,IF(OR($L961=ReportDate+1,$W961=ReportDate+1,$K961=ReportDate+1,$A961=ReportDate+1),1,0),0)</f>
        <v>0</v>
      </c>
      <c r="AV961" s="71">
        <f>IF(AND($G961&lt;&gt;"",$M961="Completed"),IF(OR($Y961=ReportDate-1,$A961=ReportDate-1),1,0),0)</f>
        <v>0</v>
      </c>
      <c r="AW961" s="71">
        <f>IF(AND($AK961=1,$Z961="Yes"),1,0)</f>
        <v>0</v>
      </c>
      <c r="AX961" s="71">
        <f>IF(AND($AK961=1,$AA961="Yes"),1,0)</f>
        <v>0</v>
      </c>
      <c r="AY961" s="71">
        <f>IF(AND($AM961=1,OR($I961="Critical",$I961="High")),1,0)</f>
        <v>0</v>
      </c>
      <c r="AZ961" s="71">
        <f>IF(AND($AK961=1,OR($C961=TCL_Client,$C961=MECCA_Client)),1,0)</f>
        <v>0</v>
      </c>
      <c r="BA961" s="71" t="str">
        <f>IF($G961="","",IFERROR(MATCH($I961,lst_Priority,0),5))</f>
        <v/>
      </c>
      <c r="BB961" s="71" t="str">
        <f>IF(AND($AL961=1,$AJ961=1),$BA961*100000+ROW(),"")</f>
        <v/>
      </c>
      <c r="BC961" s="71" t="str">
        <f>IF(AND($AM961=1,$AJ961=1),$BA961*100000+ROW(),"")</f>
        <v/>
      </c>
      <c r="BD961" s="71" t="str">
        <f>IF(AND($AP961=1,$AJ961=1),$BA961*100000+ROW(),"")</f>
        <v/>
      </c>
      <c r="BE961" s="71" t="str">
        <f>IF(AND($AT961=1,$AJ961=1),$BA961*100000+ROW(),"")</f>
        <v/>
      </c>
      <c r="BF961" s="71" t="str">
        <f>IF(AND($AU961=1,$AJ961=1),$BA961*100000+ROW(),"")</f>
        <v/>
      </c>
      <c r="BG961" s="71" t="str">
        <f>IF(AND($AV961=1,$AJ961=1),$BA961*100000+ROW(),"")</f>
        <v/>
      </c>
      <c r="BH961" s="71" t="str">
        <f>IF(AND($AW961=1,$AJ961=1),$BA961*100000+ROW(),"")</f>
        <v/>
      </c>
      <c r="BI961" s="71" t="str">
        <f>IF(AND($AX961=1,$AJ961=1),$BA961*100000+ROW(),"")</f>
        <v/>
      </c>
      <c r="BJ961" s="71" t="str">
        <f>IF(AND($AS961=1,$AJ961=1),$BA961*100000+ROW(),"")</f>
        <v/>
      </c>
      <c r="BK961" s="71" t="str">
        <f>IF(AND($AY961=1,$AJ961=1),$BA961*100000+ROW(),"")</f>
        <v/>
      </c>
      <c r="BL961" s="71" t="str">
        <f>IF(AND($AZ961=1),$BA961*100000+ROW(),"")</f>
        <v/>
      </c>
    </row>
    <row r="962">
      <c r="A962" s="63" t="n"/>
      <c r="B962" s="64" t="n"/>
      <c r="C962" s="64" t="n"/>
      <c r="D962" s="64" t="n"/>
      <c r="E962" s="64" t="n"/>
      <c r="F962" s="64" t="n"/>
      <c r="G962" s="65" t="n"/>
      <c r="H962" s="65" t="n"/>
      <c r="I962" s="64" t="n"/>
      <c r="J962" s="64" t="n"/>
      <c r="K962" s="63" t="n"/>
      <c r="L962" s="63" t="n"/>
      <c r="M962" s="64" t="n"/>
      <c r="N962" s="66" t="n"/>
      <c r="O962" s="65" t="n"/>
      <c r="P962" s="64" t="n"/>
      <c r="Q962" s="67" t="n"/>
      <c r="R962" s="67" t="n"/>
      <c r="S962" s="68" t="str">
        <f>IF(AND(ISNUMBER($Q962),ISNUMBER($R962)),$Q962-$R962,"")</f>
        <v/>
      </c>
      <c r="T962" s="65" t="n"/>
      <c r="U962" s="64" t="n"/>
      <c r="V962" s="65" t="n"/>
      <c r="W962" s="63" t="n"/>
      <c r="X962" s="65" t="n"/>
      <c r="Y962" s="63" t="n"/>
      <c r="Z962" s="64" t="n"/>
      <c r="AA962" s="64" t="n"/>
      <c r="AB962" s="65" t="n"/>
      <c r="AC962" s="69" t="str">
        <f>IF(OR($G962="",NOT(ISNUMBER($K962)),$AK962=0),"",MAX(0,ReportDate-$K962))</f>
        <v/>
      </c>
      <c r="AD962" s="69" t="str">
        <f>IF($G962="","",IF($AL962=1,ReportDate-$L962,0))</f>
        <v/>
      </c>
      <c r="AE962" s="70" t="str">
        <f>IF($G962="","",IF($M962="Completed",1,IF(ISNUMBER($N962),$N962,0)))</f>
        <v/>
      </c>
      <c r="AF962" s="70" t="str">
        <f>IF(AND(ISNUMBER($Q962),ISNUMBER($R962)),IF($R962&lt;&gt;0,$Q962/$R962,""),"")</f>
        <v/>
      </c>
      <c r="AG962" s="71" t="str">
        <f>IF($G962="","",IF($AL962=1,"OVERDUE",IF($AM962=1,"BLOCKED",IF($AN962=1,"DUE TODAY",IF($AO962=1,"DUE TOMORROW",IF($AQ962=1,"HIGH PRIORITY",IF($AR962=1,"NO RECENT UPDATE",""))))))) </f>
        <v/>
      </c>
      <c r="AH962" s="71" t="str">
        <f>IF($G962="","",IF(ISNUMBER($A962),IF(ISNUMBER($A962),YEAR($A962)&amp;"-"&amp;TEXT(MONTH($A962),"00"),""),IF(ISNUMBER($L962),IF(ISNUMBER($L962),YEAR($L962)&amp;"-"&amp;TEXT(MONTH($L962),"00"),""),"")))</f>
        <v/>
      </c>
      <c r="AI962" s="71">
        <f>IF($G962="",0,IF(AND(OR(fClient="All",$C962=fClient),OR(fCampaign="All",$D962=fCampaign),OR(fTeam="All",$B962=fTeam),OR(fChannel="All",$F962=fChannel),OR(fMonth="All",$AH962=fMonth),OR(fTStatus="All",$M962=fTStatus)),1,0))</f>
        <v>0</v>
      </c>
      <c r="AJ962" s="71">
        <f>IF($G962="",0,IF(AND(OR(fClient="All",$C962=fClient),OR(fCampaign="All",$D962=fCampaign),OR(fTeam="All",$B962=fTeam),OR(fChannel="All",$F962=fChannel)),1,0))</f>
        <v>0</v>
      </c>
      <c r="AK962" s="71">
        <f>IF($G962="",0,IF(OR($M962="Completed",$M962="Cancelled"),0,1))</f>
        <v>0</v>
      </c>
      <c r="AL962" s="71">
        <f>IF(AND($AK962=1,ISNUMBER($L962)),IF($L962&lt;ReportDate,1,0),0)</f>
        <v>0</v>
      </c>
      <c r="AM962" s="71">
        <f>IF(AND($G962&lt;&gt;"",$M962="Blocked"),1,0)</f>
        <v>0</v>
      </c>
      <c r="AN962" s="71">
        <f>IF(AND($AK962=1,ISNUMBER($L962)),IF($L962=ReportDate,1,0),0)</f>
        <v>0</v>
      </c>
      <c r="AO962" s="71">
        <f>IF(AND($AK962=1,ISNUMBER($L962)),IF($L962=ReportDate+1,1,0),0)</f>
        <v>0</v>
      </c>
      <c r="AP962" s="71">
        <f>IF(AND($AK962=1,ISNUMBER($L962)),IF(AND($L962&gt;=ReportDate,$L962&lt;=ReportDate+DueSoonDays),1,0),0)</f>
        <v>0</v>
      </c>
      <c r="AQ962" s="71">
        <f>IF(AND($AK962=1,OR($I962="Critical",$I962="High")),1,0)</f>
        <v>0</v>
      </c>
      <c r="AR962" s="71">
        <f>IF($AK962=1,IF(ISNUMBER($Y962),IF(ReportDate-$Y962&gt;StaleDays,1,0),1),0)</f>
        <v>0</v>
      </c>
      <c r="AS962" s="71">
        <f>IF(AND($G962&lt;&gt;"",ISNUMBER($Q962),ISNUMBER($R962)),IF(AND($Q962&lt;$R962,OR($M962="Completed",AND(ISNUMBER($L962),$L962&lt;ReportDate))),1,0),0)</f>
        <v>0</v>
      </c>
      <c r="AT962" s="71">
        <f>IF($AK962=1,IF(OR($L962=ReportDate,$W962=ReportDate,$K962=ReportDate,$A962=ReportDate),1,0),0)</f>
        <v>0</v>
      </c>
      <c r="AU962" s="71">
        <f>IF($AK962=1,IF(OR($L962=ReportDate+1,$W962=ReportDate+1,$K962=ReportDate+1,$A962=ReportDate+1),1,0),0)</f>
        <v>0</v>
      </c>
      <c r="AV962" s="71">
        <f>IF(AND($G962&lt;&gt;"",$M962="Completed"),IF(OR($Y962=ReportDate-1,$A962=ReportDate-1),1,0),0)</f>
        <v>0</v>
      </c>
      <c r="AW962" s="71">
        <f>IF(AND($AK962=1,$Z962="Yes"),1,0)</f>
        <v>0</v>
      </c>
      <c r="AX962" s="71">
        <f>IF(AND($AK962=1,$AA962="Yes"),1,0)</f>
        <v>0</v>
      </c>
      <c r="AY962" s="71">
        <f>IF(AND($AM962=1,OR($I962="Critical",$I962="High")),1,0)</f>
        <v>0</v>
      </c>
      <c r="AZ962" s="71">
        <f>IF(AND($AK962=1,OR($C962=TCL_Client,$C962=MECCA_Client)),1,0)</f>
        <v>0</v>
      </c>
      <c r="BA962" s="71" t="str">
        <f>IF($G962="","",IFERROR(MATCH($I962,lst_Priority,0),5))</f>
        <v/>
      </c>
      <c r="BB962" s="71" t="str">
        <f>IF(AND($AL962=1,$AJ962=1),$BA962*100000+ROW(),"")</f>
        <v/>
      </c>
      <c r="BC962" s="71" t="str">
        <f>IF(AND($AM962=1,$AJ962=1),$BA962*100000+ROW(),"")</f>
        <v/>
      </c>
      <c r="BD962" s="71" t="str">
        <f>IF(AND($AP962=1,$AJ962=1),$BA962*100000+ROW(),"")</f>
        <v/>
      </c>
      <c r="BE962" s="71" t="str">
        <f>IF(AND($AT962=1,$AJ962=1),$BA962*100000+ROW(),"")</f>
        <v/>
      </c>
      <c r="BF962" s="71" t="str">
        <f>IF(AND($AU962=1,$AJ962=1),$BA962*100000+ROW(),"")</f>
        <v/>
      </c>
      <c r="BG962" s="71" t="str">
        <f>IF(AND($AV962=1,$AJ962=1),$BA962*100000+ROW(),"")</f>
        <v/>
      </c>
      <c r="BH962" s="71" t="str">
        <f>IF(AND($AW962=1,$AJ962=1),$BA962*100000+ROW(),"")</f>
        <v/>
      </c>
      <c r="BI962" s="71" t="str">
        <f>IF(AND($AX962=1,$AJ962=1),$BA962*100000+ROW(),"")</f>
        <v/>
      </c>
      <c r="BJ962" s="71" t="str">
        <f>IF(AND($AS962=1,$AJ962=1),$BA962*100000+ROW(),"")</f>
        <v/>
      </c>
      <c r="BK962" s="71" t="str">
        <f>IF(AND($AY962=1,$AJ962=1),$BA962*100000+ROW(),"")</f>
        <v/>
      </c>
      <c r="BL962" s="71" t="str">
        <f>IF(AND($AZ962=1),$BA962*100000+ROW(),"")</f>
        <v/>
      </c>
    </row>
    <row r="963">
      <c r="A963" s="63" t="n"/>
      <c r="B963" s="64" t="n"/>
      <c r="C963" s="64" t="n"/>
      <c r="D963" s="64" t="n"/>
      <c r="E963" s="64" t="n"/>
      <c r="F963" s="64" t="n"/>
      <c r="G963" s="65" t="n"/>
      <c r="H963" s="65" t="n"/>
      <c r="I963" s="64" t="n"/>
      <c r="J963" s="64" t="n"/>
      <c r="K963" s="63" t="n"/>
      <c r="L963" s="63" t="n"/>
      <c r="M963" s="64" t="n"/>
      <c r="N963" s="66" t="n"/>
      <c r="O963" s="65" t="n"/>
      <c r="P963" s="64" t="n"/>
      <c r="Q963" s="67" t="n"/>
      <c r="R963" s="67" t="n"/>
      <c r="S963" s="68" t="str">
        <f>IF(AND(ISNUMBER($Q963),ISNUMBER($R963)),$Q963-$R963,"")</f>
        <v/>
      </c>
      <c r="T963" s="65" t="n"/>
      <c r="U963" s="64" t="n"/>
      <c r="V963" s="65" t="n"/>
      <c r="W963" s="63" t="n"/>
      <c r="X963" s="65" t="n"/>
      <c r="Y963" s="63" t="n"/>
      <c r="Z963" s="64" t="n"/>
      <c r="AA963" s="64" t="n"/>
      <c r="AB963" s="65" t="n"/>
      <c r="AC963" s="69" t="str">
        <f>IF(OR($G963="",NOT(ISNUMBER($K963)),$AK963=0),"",MAX(0,ReportDate-$K963))</f>
        <v/>
      </c>
      <c r="AD963" s="69" t="str">
        <f>IF($G963="","",IF($AL963=1,ReportDate-$L963,0))</f>
        <v/>
      </c>
      <c r="AE963" s="70" t="str">
        <f>IF($G963="","",IF($M963="Completed",1,IF(ISNUMBER($N963),$N963,0)))</f>
        <v/>
      </c>
      <c r="AF963" s="70" t="str">
        <f>IF(AND(ISNUMBER($Q963),ISNUMBER($R963)),IF($R963&lt;&gt;0,$Q963/$R963,""),"")</f>
        <v/>
      </c>
      <c r="AG963" s="71" t="str">
        <f>IF($G963="","",IF($AL963=1,"OVERDUE",IF($AM963=1,"BLOCKED",IF($AN963=1,"DUE TODAY",IF($AO963=1,"DUE TOMORROW",IF($AQ963=1,"HIGH PRIORITY",IF($AR963=1,"NO RECENT UPDATE",""))))))) </f>
        <v/>
      </c>
      <c r="AH963" s="71" t="str">
        <f>IF($G963="","",IF(ISNUMBER($A963),IF(ISNUMBER($A963),YEAR($A963)&amp;"-"&amp;TEXT(MONTH($A963),"00"),""),IF(ISNUMBER($L963),IF(ISNUMBER($L963),YEAR($L963)&amp;"-"&amp;TEXT(MONTH($L963),"00"),""),"")))</f>
        <v/>
      </c>
      <c r="AI963" s="71">
        <f>IF($G963="",0,IF(AND(OR(fClient="All",$C963=fClient),OR(fCampaign="All",$D963=fCampaign),OR(fTeam="All",$B963=fTeam),OR(fChannel="All",$F963=fChannel),OR(fMonth="All",$AH963=fMonth),OR(fTStatus="All",$M963=fTStatus)),1,0))</f>
        <v>0</v>
      </c>
      <c r="AJ963" s="71">
        <f>IF($G963="",0,IF(AND(OR(fClient="All",$C963=fClient),OR(fCampaign="All",$D963=fCampaign),OR(fTeam="All",$B963=fTeam),OR(fChannel="All",$F963=fChannel)),1,0))</f>
        <v>0</v>
      </c>
      <c r="AK963" s="71">
        <f>IF($G963="",0,IF(OR($M963="Completed",$M963="Cancelled"),0,1))</f>
        <v>0</v>
      </c>
      <c r="AL963" s="71">
        <f>IF(AND($AK963=1,ISNUMBER($L963)),IF($L963&lt;ReportDate,1,0),0)</f>
        <v>0</v>
      </c>
      <c r="AM963" s="71">
        <f>IF(AND($G963&lt;&gt;"",$M963="Blocked"),1,0)</f>
        <v>0</v>
      </c>
      <c r="AN963" s="71">
        <f>IF(AND($AK963=1,ISNUMBER($L963)),IF($L963=ReportDate,1,0),0)</f>
        <v>0</v>
      </c>
      <c r="AO963" s="71">
        <f>IF(AND($AK963=1,ISNUMBER($L963)),IF($L963=ReportDate+1,1,0),0)</f>
        <v>0</v>
      </c>
      <c r="AP963" s="71">
        <f>IF(AND($AK963=1,ISNUMBER($L963)),IF(AND($L963&gt;=ReportDate,$L963&lt;=ReportDate+DueSoonDays),1,0),0)</f>
        <v>0</v>
      </c>
      <c r="AQ963" s="71">
        <f>IF(AND($AK963=1,OR($I963="Critical",$I963="High")),1,0)</f>
        <v>0</v>
      </c>
      <c r="AR963" s="71">
        <f>IF($AK963=1,IF(ISNUMBER($Y963),IF(ReportDate-$Y963&gt;StaleDays,1,0),1),0)</f>
        <v>0</v>
      </c>
      <c r="AS963" s="71">
        <f>IF(AND($G963&lt;&gt;"",ISNUMBER($Q963),ISNUMBER($R963)),IF(AND($Q963&lt;$R963,OR($M963="Completed",AND(ISNUMBER($L963),$L963&lt;ReportDate))),1,0),0)</f>
        <v>0</v>
      </c>
      <c r="AT963" s="71">
        <f>IF($AK963=1,IF(OR($L963=ReportDate,$W963=ReportDate,$K963=ReportDate,$A963=ReportDate),1,0),0)</f>
        <v>0</v>
      </c>
      <c r="AU963" s="71">
        <f>IF($AK963=1,IF(OR($L963=ReportDate+1,$W963=ReportDate+1,$K963=ReportDate+1,$A963=ReportDate+1),1,0),0)</f>
        <v>0</v>
      </c>
      <c r="AV963" s="71">
        <f>IF(AND($G963&lt;&gt;"",$M963="Completed"),IF(OR($Y963=ReportDate-1,$A963=ReportDate-1),1,0),0)</f>
        <v>0</v>
      </c>
      <c r="AW963" s="71">
        <f>IF(AND($AK963=1,$Z963="Yes"),1,0)</f>
        <v>0</v>
      </c>
      <c r="AX963" s="71">
        <f>IF(AND($AK963=1,$AA963="Yes"),1,0)</f>
        <v>0</v>
      </c>
      <c r="AY963" s="71">
        <f>IF(AND($AM963=1,OR($I963="Critical",$I963="High")),1,0)</f>
        <v>0</v>
      </c>
      <c r="AZ963" s="71">
        <f>IF(AND($AK963=1,OR($C963=TCL_Client,$C963=MECCA_Client)),1,0)</f>
        <v>0</v>
      </c>
      <c r="BA963" s="71" t="str">
        <f>IF($G963="","",IFERROR(MATCH($I963,lst_Priority,0),5))</f>
        <v/>
      </c>
      <c r="BB963" s="71" t="str">
        <f>IF(AND($AL963=1,$AJ963=1),$BA963*100000+ROW(),"")</f>
        <v/>
      </c>
      <c r="BC963" s="71" t="str">
        <f>IF(AND($AM963=1,$AJ963=1),$BA963*100000+ROW(),"")</f>
        <v/>
      </c>
      <c r="BD963" s="71" t="str">
        <f>IF(AND($AP963=1,$AJ963=1),$BA963*100000+ROW(),"")</f>
        <v/>
      </c>
      <c r="BE963" s="71" t="str">
        <f>IF(AND($AT963=1,$AJ963=1),$BA963*100000+ROW(),"")</f>
        <v/>
      </c>
      <c r="BF963" s="71" t="str">
        <f>IF(AND($AU963=1,$AJ963=1),$BA963*100000+ROW(),"")</f>
        <v/>
      </c>
      <c r="BG963" s="71" t="str">
        <f>IF(AND($AV963=1,$AJ963=1),$BA963*100000+ROW(),"")</f>
        <v/>
      </c>
      <c r="BH963" s="71" t="str">
        <f>IF(AND($AW963=1,$AJ963=1),$BA963*100000+ROW(),"")</f>
        <v/>
      </c>
      <c r="BI963" s="71" t="str">
        <f>IF(AND($AX963=1,$AJ963=1),$BA963*100000+ROW(),"")</f>
        <v/>
      </c>
      <c r="BJ963" s="71" t="str">
        <f>IF(AND($AS963=1,$AJ963=1),$BA963*100000+ROW(),"")</f>
        <v/>
      </c>
      <c r="BK963" s="71" t="str">
        <f>IF(AND($AY963=1,$AJ963=1),$BA963*100000+ROW(),"")</f>
        <v/>
      </c>
      <c r="BL963" s="71" t="str">
        <f>IF(AND($AZ963=1),$BA963*100000+ROW(),"")</f>
        <v/>
      </c>
    </row>
    <row r="964">
      <c r="A964" s="63" t="n"/>
      <c r="B964" s="64" t="n"/>
      <c r="C964" s="64" t="n"/>
      <c r="D964" s="64" t="n"/>
      <c r="E964" s="64" t="n"/>
      <c r="F964" s="64" t="n"/>
      <c r="G964" s="65" t="n"/>
      <c r="H964" s="65" t="n"/>
      <c r="I964" s="64" t="n"/>
      <c r="J964" s="64" t="n"/>
      <c r="K964" s="63" t="n"/>
      <c r="L964" s="63" t="n"/>
      <c r="M964" s="64" t="n"/>
      <c r="N964" s="66" t="n"/>
      <c r="O964" s="65" t="n"/>
      <c r="P964" s="64" t="n"/>
      <c r="Q964" s="67" t="n"/>
      <c r="R964" s="67" t="n"/>
      <c r="S964" s="68" t="str">
        <f>IF(AND(ISNUMBER($Q964),ISNUMBER($R964)),$Q964-$R964,"")</f>
        <v/>
      </c>
      <c r="T964" s="65" t="n"/>
      <c r="U964" s="64" t="n"/>
      <c r="V964" s="65" t="n"/>
      <c r="W964" s="63" t="n"/>
      <c r="X964" s="65" t="n"/>
      <c r="Y964" s="63" t="n"/>
      <c r="Z964" s="64" t="n"/>
      <c r="AA964" s="64" t="n"/>
      <c r="AB964" s="65" t="n"/>
      <c r="AC964" s="69" t="str">
        <f>IF(OR($G964="",NOT(ISNUMBER($K964)),$AK964=0),"",MAX(0,ReportDate-$K964))</f>
        <v/>
      </c>
      <c r="AD964" s="69" t="str">
        <f>IF($G964="","",IF($AL964=1,ReportDate-$L964,0))</f>
        <v/>
      </c>
      <c r="AE964" s="70" t="str">
        <f>IF($G964="","",IF($M964="Completed",1,IF(ISNUMBER($N964),$N964,0)))</f>
        <v/>
      </c>
      <c r="AF964" s="70" t="str">
        <f>IF(AND(ISNUMBER($Q964),ISNUMBER($R964)),IF($R964&lt;&gt;0,$Q964/$R964,""),"")</f>
        <v/>
      </c>
      <c r="AG964" s="71" t="str">
        <f>IF($G964="","",IF($AL964=1,"OVERDUE",IF($AM964=1,"BLOCKED",IF($AN964=1,"DUE TODAY",IF($AO964=1,"DUE TOMORROW",IF($AQ964=1,"HIGH PRIORITY",IF($AR964=1,"NO RECENT UPDATE",""))))))) </f>
        <v/>
      </c>
      <c r="AH964" s="71" t="str">
        <f>IF($G964="","",IF(ISNUMBER($A964),IF(ISNUMBER($A964),YEAR($A964)&amp;"-"&amp;TEXT(MONTH($A964),"00"),""),IF(ISNUMBER($L964),IF(ISNUMBER($L964),YEAR($L964)&amp;"-"&amp;TEXT(MONTH($L964),"00"),""),"")))</f>
        <v/>
      </c>
      <c r="AI964" s="71">
        <f>IF($G964="",0,IF(AND(OR(fClient="All",$C964=fClient),OR(fCampaign="All",$D964=fCampaign),OR(fTeam="All",$B964=fTeam),OR(fChannel="All",$F964=fChannel),OR(fMonth="All",$AH964=fMonth),OR(fTStatus="All",$M964=fTStatus)),1,0))</f>
        <v>0</v>
      </c>
      <c r="AJ964" s="71">
        <f>IF($G964="",0,IF(AND(OR(fClient="All",$C964=fClient),OR(fCampaign="All",$D964=fCampaign),OR(fTeam="All",$B964=fTeam),OR(fChannel="All",$F964=fChannel)),1,0))</f>
        <v>0</v>
      </c>
      <c r="AK964" s="71">
        <f>IF($G964="",0,IF(OR($M964="Completed",$M964="Cancelled"),0,1))</f>
        <v>0</v>
      </c>
      <c r="AL964" s="71">
        <f>IF(AND($AK964=1,ISNUMBER($L964)),IF($L964&lt;ReportDate,1,0),0)</f>
        <v>0</v>
      </c>
      <c r="AM964" s="71">
        <f>IF(AND($G964&lt;&gt;"",$M964="Blocked"),1,0)</f>
        <v>0</v>
      </c>
      <c r="AN964" s="71">
        <f>IF(AND($AK964=1,ISNUMBER($L964)),IF($L964=ReportDate,1,0),0)</f>
        <v>0</v>
      </c>
      <c r="AO964" s="71">
        <f>IF(AND($AK964=1,ISNUMBER($L964)),IF($L964=ReportDate+1,1,0),0)</f>
        <v>0</v>
      </c>
      <c r="AP964" s="71">
        <f>IF(AND($AK964=1,ISNUMBER($L964)),IF(AND($L964&gt;=ReportDate,$L964&lt;=ReportDate+DueSoonDays),1,0),0)</f>
        <v>0</v>
      </c>
      <c r="AQ964" s="71">
        <f>IF(AND($AK964=1,OR($I964="Critical",$I964="High")),1,0)</f>
        <v>0</v>
      </c>
      <c r="AR964" s="71">
        <f>IF($AK964=1,IF(ISNUMBER($Y964),IF(ReportDate-$Y964&gt;StaleDays,1,0),1),0)</f>
        <v>0</v>
      </c>
      <c r="AS964" s="71">
        <f>IF(AND($G964&lt;&gt;"",ISNUMBER($Q964),ISNUMBER($R964)),IF(AND($Q964&lt;$R964,OR($M964="Completed",AND(ISNUMBER($L964),$L964&lt;ReportDate))),1,0),0)</f>
        <v>0</v>
      </c>
      <c r="AT964" s="71">
        <f>IF($AK964=1,IF(OR($L964=ReportDate,$W964=ReportDate,$K964=ReportDate,$A964=ReportDate),1,0),0)</f>
        <v>0</v>
      </c>
      <c r="AU964" s="71">
        <f>IF($AK964=1,IF(OR($L964=ReportDate+1,$W964=ReportDate+1,$K964=ReportDate+1,$A964=ReportDate+1),1,0),0)</f>
        <v>0</v>
      </c>
      <c r="AV964" s="71">
        <f>IF(AND($G964&lt;&gt;"",$M964="Completed"),IF(OR($Y964=ReportDate-1,$A964=ReportDate-1),1,0),0)</f>
        <v>0</v>
      </c>
      <c r="AW964" s="71">
        <f>IF(AND($AK964=1,$Z964="Yes"),1,0)</f>
        <v>0</v>
      </c>
      <c r="AX964" s="71">
        <f>IF(AND($AK964=1,$AA964="Yes"),1,0)</f>
        <v>0</v>
      </c>
      <c r="AY964" s="71">
        <f>IF(AND($AM964=1,OR($I964="Critical",$I964="High")),1,0)</f>
        <v>0</v>
      </c>
      <c r="AZ964" s="71">
        <f>IF(AND($AK964=1,OR($C964=TCL_Client,$C964=MECCA_Client)),1,0)</f>
        <v>0</v>
      </c>
      <c r="BA964" s="71" t="str">
        <f>IF($G964="","",IFERROR(MATCH($I964,lst_Priority,0),5))</f>
        <v/>
      </c>
      <c r="BB964" s="71" t="str">
        <f>IF(AND($AL964=1,$AJ964=1),$BA964*100000+ROW(),"")</f>
        <v/>
      </c>
      <c r="BC964" s="71" t="str">
        <f>IF(AND($AM964=1,$AJ964=1),$BA964*100000+ROW(),"")</f>
        <v/>
      </c>
      <c r="BD964" s="71" t="str">
        <f>IF(AND($AP964=1,$AJ964=1),$BA964*100000+ROW(),"")</f>
        <v/>
      </c>
      <c r="BE964" s="71" t="str">
        <f>IF(AND($AT964=1,$AJ964=1),$BA964*100000+ROW(),"")</f>
        <v/>
      </c>
      <c r="BF964" s="71" t="str">
        <f>IF(AND($AU964=1,$AJ964=1),$BA964*100000+ROW(),"")</f>
        <v/>
      </c>
      <c r="BG964" s="71" t="str">
        <f>IF(AND($AV964=1,$AJ964=1),$BA964*100000+ROW(),"")</f>
        <v/>
      </c>
      <c r="BH964" s="71" t="str">
        <f>IF(AND($AW964=1,$AJ964=1),$BA964*100000+ROW(),"")</f>
        <v/>
      </c>
      <c r="BI964" s="71" t="str">
        <f>IF(AND($AX964=1,$AJ964=1),$BA964*100000+ROW(),"")</f>
        <v/>
      </c>
      <c r="BJ964" s="71" t="str">
        <f>IF(AND($AS964=1,$AJ964=1),$BA964*100000+ROW(),"")</f>
        <v/>
      </c>
      <c r="BK964" s="71" t="str">
        <f>IF(AND($AY964=1,$AJ964=1),$BA964*100000+ROW(),"")</f>
        <v/>
      </c>
      <c r="BL964" s="71" t="str">
        <f>IF(AND($AZ964=1),$BA964*100000+ROW(),"")</f>
        <v/>
      </c>
    </row>
    <row r="965">
      <c r="A965" s="63" t="n"/>
      <c r="B965" s="64" t="n"/>
      <c r="C965" s="64" t="n"/>
      <c r="D965" s="64" t="n"/>
      <c r="E965" s="64" t="n"/>
      <c r="F965" s="64" t="n"/>
      <c r="G965" s="65" t="n"/>
      <c r="H965" s="65" t="n"/>
      <c r="I965" s="64" t="n"/>
      <c r="J965" s="64" t="n"/>
      <c r="K965" s="63" t="n"/>
      <c r="L965" s="63" t="n"/>
      <c r="M965" s="64" t="n"/>
      <c r="N965" s="66" t="n"/>
      <c r="O965" s="65" t="n"/>
      <c r="P965" s="64" t="n"/>
      <c r="Q965" s="67" t="n"/>
      <c r="R965" s="67" t="n"/>
      <c r="S965" s="68" t="str">
        <f>IF(AND(ISNUMBER($Q965),ISNUMBER($R965)),$Q965-$R965,"")</f>
        <v/>
      </c>
      <c r="T965" s="65" t="n"/>
      <c r="U965" s="64" t="n"/>
      <c r="V965" s="65" t="n"/>
      <c r="W965" s="63" t="n"/>
      <c r="X965" s="65" t="n"/>
      <c r="Y965" s="63" t="n"/>
      <c r="Z965" s="64" t="n"/>
      <c r="AA965" s="64" t="n"/>
      <c r="AB965" s="65" t="n"/>
      <c r="AC965" s="69" t="str">
        <f>IF(OR($G965="",NOT(ISNUMBER($K965)),$AK965=0),"",MAX(0,ReportDate-$K965))</f>
        <v/>
      </c>
      <c r="AD965" s="69" t="str">
        <f>IF($G965="","",IF($AL965=1,ReportDate-$L965,0))</f>
        <v/>
      </c>
      <c r="AE965" s="70" t="str">
        <f>IF($G965="","",IF($M965="Completed",1,IF(ISNUMBER($N965),$N965,0)))</f>
        <v/>
      </c>
      <c r="AF965" s="70" t="str">
        <f>IF(AND(ISNUMBER($Q965),ISNUMBER($R965)),IF($R965&lt;&gt;0,$Q965/$R965,""),"")</f>
        <v/>
      </c>
      <c r="AG965" s="71" t="str">
        <f>IF($G965="","",IF($AL965=1,"OVERDUE",IF($AM965=1,"BLOCKED",IF($AN965=1,"DUE TODAY",IF($AO965=1,"DUE TOMORROW",IF($AQ965=1,"HIGH PRIORITY",IF($AR965=1,"NO RECENT UPDATE",""))))))) </f>
        <v/>
      </c>
      <c r="AH965" s="71" t="str">
        <f>IF($G965="","",IF(ISNUMBER($A965),IF(ISNUMBER($A965),YEAR($A965)&amp;"-"&amp;TEXT(MONTH($A965),"00"),""),IF(ISNUMBER($L965),IF(ISNUMBER($L965),YEAR($L965)&amp;"-"&amp;TEXT(MONTH($L965),"00"),""),"")))</f>
        <v/>
      </c>
      <c r="AI965" s="71">
        <f>IF($G965="",0,IF(AND(OR(fClient="All",$C965=fClient),OR(fCampaign="All",$D965=fCampaign),OR(fTeam="All",$B965=fTeam),OR(fChannel="All",$F965=fChannel),OR(fMonth="All",$AH965=fMonth),OR(fTStatus="All",$M965=fTStatus)),1,0))</f>
        <v>0</v>
      </c>
      <c r="AJ965" s="71">
        <f>IF($G965="",0,IF(AND(OR(fClient="All",$C965=fClient),OR(fCampaign="All",$D965=fCampaign),OR(fTeam="All",$B965=fTeam),OR(fChannel="All",$F965=fChannel)),1,0))</f>
        <v>0</v>
      </c>
      <c r="AK965" s="71">
        <f>IF($G965="",0,IF(OR($M965="Completed",$M965="Cancelled"),0,1))</f>
        <v>0</v>
      </c>
      <c r="AL965" s="71">
        <f>IF(AND($AK965=1,ISNUMBER($L965)),IF($L965&lt;ReportDate,1,0),0)</f>
        <v>0</v>
      </c>
      <c r="AM965" s="71">
        <f>IF(AND($G965&lt;&gt;"",$M965="Blocked"),1,0)</f>
        <v>0</v>
      </c>
      <c r="AN965" s="71">
        <f>IF(AND($AK965=1,ISNUMBER($L965)),IF($L965=ReportDate,1,0),0)</f>
        <v>0</v>
      </c>
      <c r="AO965" s="71">
        <f>IF(AND($AK965=1,ISNUMBER($L965)),IF($L965=ReportDate+1,1,0),0)</f>
        <v>0</v>
      </c>
      <c r="AP965" s="71">
        <f>IF(AND($AK965=1,ISNUMBER($L965)),IF(AND($L965&gt;=ReportDate,$L965&lt;=ReportDate+DueSoonDays),1,0),0)</f>
        <v>0</v>
      </c>
      <c r="AQ965" s="71">
        <f>IF(AND($AK965=1,OR($I965="Critical",$I965="High")),1,0)</f>
        <v>0</v>
      </c>
      <c r="AR965" s="71">
        <f>IF($AK965=1,IF(ISNUMBER($Y965),IF(ReportDate-$Y965&gt;StaleDays,1,0),1),0)</f>
        <v>0</v>
      </c>
      <c r="AS965" s="71">
        <f>IF(AND($G965&lt;&gt;"",ISNUMBER($Q965),ISNUMBER($R965)),IF(AND($Q965&lt;$R965,OR($M965="Completed",AND(ISNUMBER($L965),$L965&lt;ReportDate))),1,0),0)</f>
        <v>0</v>
      </c>
      <c r="AT965" s="71">
        <f>IF($AK965=1,IF(OR($L965=ReportDate,$W965=ReportDate,$K965=ReportDate,$A965=ReportDate),1,0),0)</f>
        <v>0</v>
      </c>
      <c r="AU965" s="71">
        <f>IF($AK965=1,IF(OR($L965=ReportDate+1,$W965=ReportDate+1,$K965=ReportDate+1,$A965=ReportDate+1),1,0),0)</f>
        <v>0</v>
      </c>
      <c r="AV965" s="71">
        <f>IF(AND($G965&lt;&gt;"",$M965="Completed"),IF(OR($Y965=ReportDate-1,$A965=ReportDate-1),1,0),0)</f>
        <v>0</v>
      </c>
      <c r="AW965" s="71">
        <f>IF(AND($AK965=1,$Z965="Yes"),1,0)</f>
        <v>0</v>
      </c>
      <c r="AX965" s="71">
        <f>IF(AND($AK965=1,$AA965="Yes"),1,0)</f>
        <v>0</v>
      </c>
      <c r="AY965" s="71">
        <f>IF(AND($AM965=1,OR($I965="Critical",$I965="High")),1,0)</f>
        <v>0</v>
      </c>
      <c r="AZ965" s="71">
        <f>IF(AND($AK965=1,OR($C965=TCL_Client,$C965=MECCA_Client)),1,0)</f>
        <v>0</v>
      </c>
      <c r="BA965" s="71" t="str">
        <f>IF($G965="","",IFERROR(MATCH($I965,lst_Priority,0),5))</f>
        <v/>
      </c>
      <c r="BB965" s="71" t="str">
        <f>IF(AND($AL965=1,$AJ965=1),$BA965*100000+ROW(),"")</f>
        <v/>
      </c>
      <c r="BC965" s="71" t="str">
        <f>IF(AND($AM965=1,$AJ965=1),$BA965*100000+ROW(),"")</f>
        <v/>
      </c>
      <c r="BD965" s="71" t="str">
        <f>IF(AND($AP965=1,$AJ965=1),$BA965*100000+ROW(),"")</f>
        <v/>
      </c>
      <c r="BE965" s="71" t="str">
        <f>IF(AND($AT965=1,$AJ965=1),$BA965*100000+ROW(),"")</f>
        <v/>
      </c>
      <c r="BF965" s="71" t="str">
        <f>IF(AND($AU965=1,$AJ965=1),$BA965*100000+ROW(),"")</f>
        <v/>
      </c>
      <c r="BG965" s="71" t="str">
        <f>IF(AND($AV965=1,$AJ965=1),$BA965*100000+ROW(),"")</f>
        <v/>
      </c>
      <c r="BH965" s="71" t="str">
        <f>IF(AND($AW965=1,$AJ965=1),$BA965*100000+ROW(),"")</f>
        <v/>
      </c>
      <c r="BI965" s="71" t="str">
        <f>IF(AND($AX965=1,$AJ965=1),$BA965*100000+ROW(),"")</f>
        <v/>
      </c>
      <c r="BJ965" s="71" t="str">
        <f>IF(AND($AS965=1,$AJ965=1),$BA965*100000+ROW(),"")</f>
        <v/>
      </c>
      <c r="BK965" s="71" t="str">
        <f>IF(AND($AY965=1,$AJ965=1),$BA965*100000+ROW(),"")</f>
        <v/>
      </c>
      <c r="BL965" s="71" t="str">
        <f>IF(AND($AZ965=1),$BA965*100000+ROW(),"")</f>
        <v/>
      </c>
    </row>
    <row r="966">
      <c r="A966" s="63" t="n"/>
      <c r="B966" s="64" t="n"/>
      <c r="C966" s="64" t="n"/>
      <c r="D966" s="64" t="n"/>
      <c r="E966" s="64" t="n"/>
      <c r="F966" s="64" t="n"/>
      <c r="G966" s="65" t="n"/>
      <c r="H966" s="65" t="n"/>
      <c r="I966" s="64" t="n"/>
      <c r="J966" s="64" t="n"/>
      <c r="K966" s="63" t="n"/>
      <c r="L966" s="63" t="n"/>
      <c r="M966" s="64" t="n"/>
      <c r="N966" s="66" t="n"/>
      <c r="O966" s="65" t="n"/>
      <c r="P966" s="64" t="n"/>
      <c r="Q966" s="67" t="n"/>
      <c r="R966" s="67" t="n"/>
      <c r="S966" s="68" t="str">
        <f>IF(AND(ISNUMBER($Q966),ISNUMBER($R966)),$Q966-$R966,"")</f>
        <v/>
      </c>
      <c r="T966" s="65" t="n"/>
      <c r="U966" s="64" t="n"/>
      <c r="V966" s="65" t="n"/>
      <c r="W966" s="63" t="n"/>
      <c r="X966" s="65" t="n"/>
      <c r="Y966" s="63" t="n"/>
      <c r="Z966" s="64" t="n"/>
      <c r="AA966" s="64" t="n"/>
      <c r="AB966" s="65" t="n"/>
      <c r="AC966" s="69" t="str">
        <f>IF(OR($G966="",NOT(ISNUMBER($K966)),$AK966=0),"",MAX(0,ReportDate-$K966))</f>
        <v/>
      </c>
      <c r="AD966" s="69" t="str">
        <f>IF($G966="","",IF($AL966=1,ReportDate-$L966,0))</f>
        <v/>
      </c>
      <c r="AE966" s="70" t="str">
        <f>IF($G966="","",IF($M966="Completed",1,IF(ISNUMBER($N966),$N966,0)))</f>
        <v/>
      </c>
      <c r="AF966" s="70" t="str">
        <f>IF(AND(ISNUMBER($Q966),ISNUMBER($R966)),IF($R966&lt;&gt;0,$Q966/$R966,""),"")</f>
        <v/>
      </c>
      <c r="AG966" s="71" t="str">
        <f>IF($G966="","",IF($AL966=1,"OVERDUE",IF($AM966=1,"BLOCKED",IF($AN966=1,"DUE TODAY",IF($AO966=1,"DUE TOMORROW",IF($AQ966=1,"HIGH PRIORITY",IF($AR966=1,"NO RECENT UPDATE",""))))))) </f>
        <v/>
      </c>
      <c r="AH966" s="71" t="str">
        <f>IF($G966="","",IF(ISNUMBER($A966),IF(ISNUMBER($A966),YEAR($A966)&amp;"-"&amp;TEXT(MONTH($A966),"00"),""),IF(ISNUMBER($L966),IF(ISNUMBER($L966),YEAR($L966)&amp;"-"&amp;TEXT(MONTH($L966),"00"),""),"")))</f>
        <v/>
      </c>
      <c r="AI966" s="71">
        <f>IF($G966="",0,IF(AND(OR(fClient="All",$C966=fClient),OR(fCampaign="All",$D966=fCampaign),OR(fTeam="All",$B966=fTeam),OR(fChannel="All",$F966=fChannel),OR(fMonth="All",$AH966=fMonth),OR(fTStatus="All",$M966=fTStatus)),1,0))</f>
        <v>0</v>
      </c>
      <c r="AJ966" s="71">
        <f>IF($G966="",0,IF(AND(OR(fClient="All",$C966=fClient),OR(fCampaign="All",$D966=fCampaign),OR(fTeam="All",$B966=fTeam),OR(fChannel="All",$F966=fChannel)),1,0))</f>
        <v>0</v>
      </c>
      <c r="AK966" s="71">
        <f>IF($G966="",0,IF(OR($M966="Completed",$M966="Cancelled"),0,1))</f>
        <v>0</v>
      </c>
      <c r="AL966" s="71">
        <f>IF(AND($AK966=1,ISNUMBER($L966)),IF($L966&lt;ReportDate,1,0),0)</f>
        <v>0</v>
      </c>
      <c r="AM966" s="71">
        <f>IF(AND($G966&lt;&gt;"",$M966="Blocked"),1,0)</f>
        <v>0</v>
      </c>
      <c r="AN966" s="71">
        <f>IF(AND($AK966=1,ISNUMBER($L966)),IF($L966=ReportDate,1,0),0)</f>
        <v>0</v>
      </c>
      <c r="AO966" s="71">
        <f>IF(AND($AK966=1,ISNUMBER($L966)),IF($L966=ReportDate+1,1,0),0)</f>
        <v>0</v>
      </c>
      <c r="AP966" s="71">
        <f>IF(AND($AK966=1,ISNUMBER($L966)),IF(AND($L966&gt;=ReportDate,$L966&lt;=ReportDate+DueSoonDays),1,0),0)</f>
        <v>0</v>
      </c>
      <c r="AQ966" s="71">
        <f>IF(AND($AK966=1,OR($I966="Critical",$I966="High")),1,0)</f>
        <v>0</v>
      </c>
      <c r="AR966" s="71">
        <f>IF($AK966=1,IF(ISNUMBER($Y966),IF(ReportDate-$Y966&gt;StaleDays,1,0),1),0)</f>
        <v>0</v>
      </c>
      <c r="AS966" s="71">
        <f>IF(AND($G966&lt;&gt;"",ISNUMBER($Q966),ISNUMBER($R966)),IF(AND($Q966&lt;$R966,OR($M966="Completed",AND(ISNUMBER($L966),$L966&lt;ReportDate))),1,0),0)</f>
        <v>0</v>
      </c>
      <c r="AT966" s="71">
        <f>IF($AK966=1,IF(OR($L966=ReportDate,$W966=ReportDate,$K966=ReportDate,$A966=ReportDate),1,0),0)</f>
        <v>0</v>
      </c>
      <c r="AU966" s="71">
        <f>IF($AK966=1,IF(OR($L966=ReportDate+1,$W966=ReportDate+1,$K966=ReportDate+1,$A966=ReportDate+1),1,0),0)</f>
        <v>0</v>
      </c>
      <c r="AV966" s="71">
        <f>IF(AND($G966&lt;&gt;"",$M966="Completed"),IF(OR($Y966=ReportDate-1,$A966=ReportDate-1),1,0),0)</f>
        <v>0</v>
      </c>
      <c r="AW966" s="71">
        <f>IF(AND($AK966=1,$Z966="Yes"),1,0)</f>
        <v>0</v>
      </c>
      <c r="AX966" s="71">
        <f>IF(AND($AK966=1,$AA966="Yes"),1,0)</f>
        <v>0</v>
      </c>
      <c r="AY966" s="71">
        <f>IF(AND($AM966=1,OR($I966="Critical",$I966="High")),1,0)</f>
        <v>0</v>
      </c>
      <c r="AZ966" s="71">
        <f>IF(AND($AK966=1,OR($C966=TCL_Client,$C966=MECCA_Client)),1,0)</f>
        <v>0</v>
      </c>
      <c r="BA966" s="71" t="str">
        <f>IF($G966="","",IFERROR(MATCH($I966,lst_Priority,0),5))</f>
        <v/>
      </c>
      <c r="BB966" s="71" t="str">
        <f>IF(AND($AL966=1,$AJ966=1),$BA966*100000+ROW(),"")</f>
        <v/>
      </c>
      <c r="BC966" s="71" t="str">
        <f>IF(AND($AM966=1,$AJ966=1),$BA966*100000+ROW(),"")</f>
        <v/>
      </c>
      <c r="BD966" s="71" t="str">
        <f>IF(AND($AP966=1,$AJ966=1),$BA966*100000+ROW(),"")</f>
        <v/>
      </c>
      <c r="BE966" s="71" t="str">
        <f>IF(AND($AT966=1,$AJ966=1),$BA966*100000+ROW(),"")</f>
        <v/>
      </c>
      <c r="BF966" s="71" t="str">
        <f>IF(AND($AU966=1,$AJ966=1),$BA966*100000+ROW(),"")</f>
        <v/>
      </c>
      <c r="BG966" s="71" t="str">
        <f>IF(AND($AV966=1,$AJ966=1),$BA966*100000+ROW(),"")</f>
        <v/>
      </c>
      <c r="BH966" s="71" t="str">
        <f>IF(AND($AW966=1,$AJ966=1),$BA966*100000+ROW(),"")</f>
        <v/>
      </c>
      <c r="BI966" s="71" t="str">
        <f>IF(AND($AX966=1,$AJ966=1),$BA966*100000+ROW(),"")</f>
        <v/>
      </c>
      <c r="BJ966" s="71" t="str">
        <f>IF(AND($AS966=1,$AJ966=1),$BA966*100000+ROW(),"")</f>
        <v/>
      </c>
      <c r="BK966" s="71" t="str">
        <f>IF(AND($AY966=1,$AJ966=1),$BA966*100000+ROW(),"")</f>
        <v/>
      </c>
      <c r="BL966" s="71" t="str">
        <f>IF(AND($AZ966=1),$BA966*100000+ROW(),"")</f>
        <v/>
      </c>
    </row>
    <row r="967">
      <c r="A967" s="63" t="n"/>
      <c r="B967" s="64" t="n"/>
      <c r="C967" s="64" t="n"/>
      <c r="D967" s="64" t="n"/>
      <c r="E967" s="64" t="n"/>
      <c r="F967" s="64" t="n"/>
      <c r="G967" s="65" t="n"/>
      <c r="H967" s="65" t="n"/>
      <c r="I967" s="64" t="n"/>
      <c r="J967" s="64" t="n"/>
      <c r="K967" s="63" t="n"/>
      <c r="L967" s="63" t="n"/>
      <c r="M967" s="64" t="n"/>
      <c r="N967" s="66" t="n"/>
      <c r="O967" s="65" t="n"/>
      <c r="P967" s="64" t="n"/>
      <c r="Q967" s="67" t="n"/>
      <c r="R967" s="67" t="n"/>
      <c r="S967" s="68" t="str">
        <f>IF(AND(ISNUMBER($Q967),ISNUMBER($R967)),$Q967-$R967,"")</f>
        <v/>
      </c>
      <c r="T967" s="65" t="n"/>
      <c r="U967" s="64" t="n"/>
      <c r="V967" s="65" t="n"/>
      <c r="W967" s="63" t="n"/>
      <c r="X967" s="65" t="n"/>
      <c r="Y967" s="63" t="n"/>
      <c r="Z967" s="64" t="n"/>
      <c r="AA967" s="64" t="n"/>
      <c r="AB967" s="65" t="n"/>
      <c r="AC967" s="69" t="str">
        <f>IF(OR($G967="",NOT(ISNUMBER($K967)),$AK967=0),"",MAX(0,ReportDate-$K967))</f>
        <v/>
      </c>
      <c r="AD967" s="69" t="str">
        <f>IF($G967="","",IF($AL967=1,ReportDate-$L967,0))</f>
        <v/>
      </c>
      <c r="AE967" s="70" t="str">
        <f>IF($G967="","",IF($M967="Completed",1,IF(ISNUMBER($N967),$N967,0)))</f>
        <v/>
      </c>
      <c r="AF967" s="70" t="str">
        <f>IF(AND(ISNUMBER($Q967),ISNUMBER($R967)),IF($R967&lt;&gt;0,$Q967/$R967,""),"")</f>
        <v/>
      </c>
      <c r="AG967" s="71" t="str">
        <f>IF($G967="","",IF($AL967=1,"OVERDUE",IF($AM967=1,"BLOCKED",IF($AN967=1,"DUE TODAY",IF($AO967=1,"DUE TOMORROW",IF($AQ967=1,"HIGH PRIORITY",IF($AR967=1,"NO RECENT UPDATE",""))))))) </f>
        <v/>
      </c>
      <c r="AH967" s="71" t="str">
        <f>IF($G967="","",IF(ISNUMBER($A967),IF(ISNUMBER($A967),YEAR($A967)&amp;"-"&amp;TEXT(MONTH($A967),"00"),""),IF(ISNUMBER($L967),IF(ISNUMBER($L967),YEAR($L967)&amp;"-"&amp;TEXT(MONTH($L967),"00"),""),"")))</f>
        <v/>
      </c>
      <c r="AI967" s="71">
        <f>IF($G967="",0,IF(AND(OR(fClient="All",$C967=fClient),OR(fCampaign="All",$D967=fCampaign),OR(fTeam="All",$B967=fTeam),OR(fChannel="All",$F967=fChannel),OR(fMonth="All",$AH967=fMonth),OR(fTStatus="All",$M967=fTStatus)),1,0))</f>
        <v>0</v>
      </c>
      <c r="AJ967" s="71">
        <f>IF($G967="",0,IF(AND(OR(fClient="All",$C967=fClient),OR(fCampaign="All",$D967=fCampaign),OR(fTeam="All",$B967=fTeam),OR(fChannel="All",$F967=fChannel)),1,0))</f>
        <v>0</v>
      </c>
      <c r="AK967" s="71">
        <f>IF($G967="",0,IF(OR($M967="Completed",$M967="Cancelled"),0,1))</f>
        <v>0</v>
      </c>
      <c r="AL967" s="71">
        <f>IF(AND($AK967=1,ISNUMBER($L967)),IF($L967&lt;ReportDate,1,0),0)</f>
        <v>0</v>
      </c>
      <c r="AM967" s="71">
        <f>IF(AND($G967&lt;&gt;"",$M967="Blocked"),1,0)</f>
        <v>0</v>
      </c>
      <c r="AN967" s="71">
        <f>IF(AND($AK967=1,ISNUMBER($L967)),IF($L967=ReportDate,1,0),0)</f>
        <v>0</v>
      </c>
      <c r="AO967" s="71">
        <f>IF(AND($AK967=1,ISNUMBER($L967)),IF($L967=ReportDate+1,1,0),0)</f>
        <v>0</v>
      </c>
      <c r="AP967" s="71">
        <f>IF(AND($AK967=1,ISNUMBER($L967)),IF(AND($L967&gt;=ReportDate,$L967&lt;=ReportDate+DueSoonDays),1,0),0)</f>
        <v>0</v>
      </c>
      <c r="AQ967" s="71">
        <f>IF(AND($AK967=1,OR($I967="Critical",$I967="High")),1,0)</f>
        <v>0</v>
      </c>
      <c r="AR967" s="71">
        <f>IF($AK967=1,IF(ISNUMBER($Y967),IF(ReportDate-$Y967&gt;StaleDays,1,0),1),0)</f>
        <v>0</v>
      </c>
      <c r="AS967" s="71">
        <f>IF(AND($G967&lt;&gt;"",ISNUMBER($Q967),ISNUMBER($R967)),IF(AND($Q967&lt;$R967,OR($M967="Completed",AND(ISNUMBER($L967),$L967&lt;ReportDate))),1,0),0)</f>
        <v>0</v>
      </c>
      <c r="AT967" s="71">
        <f>IF($AK967=1,IF(OR($L967=ReportDate,$W967=ReportDate,$K967=ReportDate,$A967=ReportDate),1,0),0)</f>
        <v>0</v>
      </c>
      <c r="AU967" s="71">
        <f>IF($AK967=1,IF(OR($L967=ReportDate+1,$W967=ReportDate+1,$K967=ReportDate+1,$A967=ReportDate+1),1,0),0)</f>
        <v>0</v>
      </c>
      <c r="AV967" s="71">
        <f>IF(AND($G967&lt;&gt;"",$M967="Completed"),IF(OR($Y967=ReportDate-1,$A967=ReportDate-1),1,0),0)</f>
        <v>0</v>
      </c>
      <c r="AW967" s="71">
        <f>IF(AND($AK967=1,$Z967="Yes"),1,0)</f>
        <v>0</v>
      </c>
      <c r="AX967" s="71">
        <f>IF(AND($AK967=1,$AA967="Yes"),1,0)</f>
        <v>0</v>
      </c>
      <c r="AY967" s="71">
        <f>IF(AND($AM967=1,OR($I967="Critical",$I967="High")),1,0)</f>
        <v>0</v>
      </c>
      <c r="AZ967" s="71">
        <f>IF(AND($AK967=1,OR($C967=TCL_Client,$C967=MECCA_Client)),1,0)</f>
        <v>0</v>
      </c>
      <c r="BA967" s="71" t="str">
        <f>IF($G967="","",IFERROR(MATCH($I967,lst_Priority,0),5))</f>
        <v/>
      </c>
      <c r="BB967" s="71" t="str">
        <f>IF(AND($AL967=1,$AJ967=1),$BA967*100000+ROW(),"")</f>
        <v/>
      </c>
      <c r="BC967" s="71" t="str">
        <f>IF(AND($AM967=1,$AJ967=1),$BA967*100000+ROW(),"")</f>
        <v/>
      </c>
      <c r="BD967" s="71" t="str">
        <f>IF(AND($AP967=1,$AJ967=1),$BA967*100000+ROW(),"")</f>
        <v/>
      </c>
      <c r="BE967" s="71" t="str">
        <f>IF(AND($AT967=1,$AJ967=1),$BA967*100000+ROW(),"")</f>
        <v/>
      </c>
      <c r="BF967" s="71" t="str">
        <f>IF(AND($AU967=1,$AJ967=1),$BA967*100000+ROW(),"")</f>
        <v/>
      </c>
      <c r="BG967" s="71" t="str">
        <f>IF(AND($AV967=1,$AJ967=1),$BA967*100000+ROW(),"")</f>
        <v/>
      </c>
      <c r="BH967" s="71" t="str">
        <f>IF(AND($AW967=1,$AJ967=1),$BA967*100000+ROW(),"")</f>
        <v/>
      </c>
      <c r="BI967" s="71" t="str">
        <f>IF(AND($AX967=1,$AJ967=1),$BA967*100000+ROW(),"")</f>
        <v/>
      </c>
      <c r="BJ967" s="71" t="str">
        <f>IF(AND($AS967=1,$AJ967=1),$BA967*100000+ROW(),"")</f>
        <v/>
      </c>
      <c r="BK967" s="71" t="str">
        <f>IF(AND($AY967=1,$AJ967=1),$BA967*100000+ROW(),"")</f>
        <v/>
      </c>
      <c r="BL967" s="71" t="str">
        <f>IF(AND($AZ967=1),$BA967*100000+ROW(),"")</f>
        <v/>
      </c>
    </row>
    <row r="968">
      <c r="A968" s="63" t="n"/>
      <c r="B968" s="64" t="n"/>
      <c r="C968" s="64" t="n"/>
      <c r="D968" s="64" t="n"/>
      <c r="E968" s="64" t="n"/>
      <c r="F968" s="64" t="n"/>
      <c r="G968" s="65" t="n"/>
      <c r="H968" s="65" t="n"/>
      <c r="I968" s="64" t="n"/>
      <c r="J968" s="64" t="n"/>
      <c r="K968" s="63" t="n"/>
      <c r="L968" s="63" t="n"/>
      <c r="M968" s="64" t="n"/>
      <c r="N968" s="66" t="n"/>
      <c r="O968" s="65" t="n"/>
      <c r="P968" s="64" t="n"/>
      <c r="Q968" s="67" t="n"/>
      <c r="R968" s="67" t="n"/>
      <c r="S968" s="68" t="str">
        <f>IF(AND(ISNUMBER($Q968),ISNUMBER($R968)),$Q968-$R968,"")</f>
        <v/>
      </c>
      <c r="T968" s="65" t="n"/>
      <c r="U968" s="64" t="n"/>
      <c r="V968" s="65" t="n"/>
      <c r="W968" s="63" t="n"/>
      <c r="X968" s="65" t="n"/>
      <c r="Y968" s="63" t="n"/>
      <c r="Z968" s="64" t="n"/>
      <c r="AA968" s="64" t="n"/>
      <c r="AB968" s="65" t="n"/>
      <c r="AC968" s="69" t="str">
        <f>IF(OR($G968="",NOT(ISNUMBER($K968)),$AK968=0),"",MAX(0,ReportDate-$K968))</f>
        <v/>
      </c>
      <c r="AD968" s="69" t="str">
        <f>IF($G968="","",IF($AL968=1,ReportDate-$L968,0))</f>
        <v/>
      </c>
      <c r="AE968" s="70" t="str">
        <f>IF($G968="","",IF($M968="Completed",1,IF(ISNUMBER($N968),$N968,0)))</f>
        <v/>
      </c>
      <c r="AF968" s="70" t="str">
        <f>IF(AND(ISNUMBER($Q968),ISNUMBER($R968)),IF($R968&lt;&gt;0,$Q968/$R968,""),"")</f>
        <v/>
      </c>
      <c r="AG968" s="71" t="str">
        <f>IF($G968="","",IF($AL968=1,"OVERDUE",IF($AM968=1,"BLOCKED",IF($AN968=1,"DUE TODAY",IF($AO968=1,"DUE TOMORROW",IF($AQ968=1,"HIGH PRIORITY",IF($AR968=1,"NO RECENT UPDATE",""))))))) </f>
        <v/>
      </c>
      <c r="AH968" s="71" t="str">
        <f>IF($G968="","",IF(ISNUMBER($A968),IF(ISNUMBER($A968),YEAR($A968)&amp;"-"&amp;TEXT(MONTH($A968),"00"),""),IF(ISNUMBER($L968),IF(ISNUMBER($L968),YEAR($L968)&amp;"-"&amp;TEXT(MONTH($L968),"00"),""),"")))</f>
        <v/>
      </c>
      <c r="AI968" s="71">
        <f>IF($G968="",0,IF(AND(OR(fClient="All",$C968=fClient),OR(fCampaign="All",$D968=fCampaign),OR(fTeam="All",$B968=fTeam),OR(fChannel="All",$F968=fChannel),OR(fMonth="All",$AH968=fMonth),OR(fTStatus="All",$M968=fTStatus)),1,0))</f>
        <v>0</v>
      </c>
      <c r="AJ968" s="71">
        <f>IF($G968="",0,IF(AND(OR(fClient="All",$C968=fClient),OR(fCampaign="All",$D968=fCampaign),OR(fTeam="All",$B968=fTeam),OR(fChannel="All",$F968=fChannel)),1,0))</f>
        <v>0</v>
      </c>
      <c r="AK968" s="71">
        <f>IF($G968="",0,IF(OR($M968="Completed",$M968="Cancelled"),0,1))</f>
        <v>0</v>
      </c>
      <c r="AL968" s="71">
        <f>IF(AND($AK968=1,ISNUMBER($L968)),IF($L968&lt;ReportDate,1,0),0)</f>
        <v>0</v>
      </c>
      <c r="AM968" s="71">
        <f>IF(AND($G968&lt;&gt;"",$M968="Blocked"),1,0)</f>
        <v>0</v>
      </c>
      <c r="AN968" s="71">
        <f>IF(AND($AK968=1,ISNUMBER($L968)),IF($L968=ReportDate,1,0),0)</f>
        <v>0</v>
      </c>
      <c r="AO968" s="71">
        <f>IF(AND($AK968=1,ISNUMBER($L968)),IF($L968=ReportDate+1,1,0),0)</f>
        <v>0</v>
      </c>
      <c r="AP968" s="71">
        <f>IF(AND($AK968=1,ISNUMBER($L968)),IF(AND($L968&gt;=ReportDate,$L968&lt;=ReportDate+DueSoonDays),1,0),0)</f>
        <v>0</v>
      </c>
      <c r="AQ968" s="71">
        <f>IF(AND($AK968=1,OR($I968="Critical",$I968="High")),1,0)</f>
        <v>0</v>
      </c>
      <c r="AR968" s="71">
        <f>IF($AK968=1,IF(ISNUMBER($Y968),IF(ReportDate-$Y968&gt;StaleDays,1,0),1),0)</f>
        <v>0</v>
      </c>
      <c r="AS968" s="71">
        <f>IF(AND($G968&lt;&gt;"",ISNUMBER($Q968),ISNUMBER($R968)),IF(AND($Q968&lt;$R968,OR($M968="Completed",AND(ISNUMBER($L968),$L968&lt;ReportDate))),1,0),0)</f>
        <v>0</v>
      </c>
      <c r="AT968" s="71">
        <f>IF($AK968=1,IF(OR($L968=ReportDate,$W968=ReportDate,$K968=ReportDate,$A968=ReportDate),1,0),0)</f>
        <v>0</v>
      </c>
      <c r="AU968" s="71">
        <f>IF($AK968=1,IF(OR($L968=ReportDate+1,$W968=ReportDate+1,$K968=ReportDate+1,$A968=ReportDate+1),1,0),0)</f>
        <v>0</v>
      </c>
      <c r="AV968" s="71">
        <f>IF(AND($G968&lt;&gt;"",$M968="Completed"),IF(OR($Y968=ReportDate-1,$A968=ReportDate-1),1,0),0)</f>
        <v>0</v>
      </c>
      <c r="AW968" s="71">
        <f>IF(AND($AK968=1,$Z968="Yes"),1,0)</f>
        <v>0</v>
      </c>
      <c r="AX968" s="71">
        <f>IF(AND($AK968=1,$AA968="Yes"),1,0)</f>
        <v>0</v>
      </c>
      <c r="AY968" s="71">
        <f>IF(AND($AM968=1,OR($I968="Critical",$I968="High")),1,0)</f>
        <v>0</v>
      </c>
      <c r="AZ968" s="71">
        <f>IF(AND($AK968=1,OR($C968=TCL_Client,$C968=MECCA_Client)),1,0)</f>
        <v>0</v>
      </c>
      <c r="BA968" s="71" t="str">
        <f>IF($G968="","",IFERROR(MATCH($I968,lst_Priority,0),5))</f>
        <v/>
      </c>
      <c r="BB968" s="71" t="str">
        <f>IF(AND($AL968=1,$AJ968=1),$BA968*100000+ROW(),"")</f>
        <v/>
      </c>
      <c r="BC968" s="71" t="str">
        <f>IF(AND($AM968=1,$AJ968=1),$BA968*100000+ROW(),"")</f>
        <v/>
      </c>
      <c r="BD968" s="71" t="str">
        <f>IF(AND($AP968=1,$AJ968=1),$BA968*100000+ROW(),"")</f>
        <v/>
      </c>
      <c r="BE968" s="71" t="str">
        <f>IF(AND($AT968=1,$AJ968=1),$BA968*100000+ROW(),"")</f>
        <v/>
      </c>
      <c r="BF968" s="71" t="str">
        <f>IF(AND($AU968=1,$AJ968=1),$BA968*100000+ROW(),"")</f>
        <v/>
      </c>
      <c r="BG968" s="71" t="str">
        <f>IF(AND($AV968=1,$AJ968=1),$BA968*100000+ROW(),"")</f>
        <v/>
      </c>
      <c r="BH968" s="71" t="str">
        <f>IF(AND($AW968=1,$AJ968=1),$BA968*100000+ROW(),"")</f>
        <v/>
      </c>
      <c r="BI968" s="71" t="str">
        <f>IF(AND($AX968=1,$AJ968=1),$BA968*100000+ROW(),"")</f>
        <v/>
      </c>
      <c r="BJ968" s="71" t="str">
        <f>IF(AND($AS968=1,$AJ968=1),$BA968*100000+ROW(),"")</f>
        <v/>
      </c>
      <c r="BK968" s="71" t="str">
        <f>IF(AND($AY968=1,$AJ968=1),$BA968*100000+ROW(),"")</f>
        <v/>
      </c>
      <c r="BL968" s="71" t="str">
        <f>IF(AND($AZ968=1),$BA968*100000+ROW(),"")</f>
        <v/>
      </c>
    </row>
    <row r="969">
      <c r="A969" s="63" t="n"/>
      <c r="B969" s="64" t="n"/>
      <c r="C969" s="64" t="n"/>
      <c r="D969" s="64" t="n"/>
      <c r="E969" s="64" t="n"/>
      <c r="F969" s="64" t="n"/>
      <c r="G969" s="65" t="n"/>
      <c r="H969" s="65" t="n"/>
      <c r="I969" s="64" t="n"/>
      <c r="J969" s="64" t="n"/>
      <c r="K969" s="63" t="n"/>
      <c r="L969" s="63" t="n"/>
      <c r="M969" s="64" t="n"/>
      <c r="N969" s="66" t="n"/>
      <c r="O969" s="65" t="n"/>
      <c r="P969" s="64" t="n"/>
      <c r="Q969" s="67" t="n"/>
      <c r="R969" s="67" t="n"/>
      <c r="S969" s="68" t="str">
        <f>IF(AND(ISNUMBER($Q969),ISNUMBER($R969)),$Q969-$R969,"")</f>
        <v/>
      </c>
      <c r="T969" s="65" t="n"/>
      <c r="U969" s="64" t="n"/>
      <c r="V969" s="65" t="n"/>
      <c r="W969" s="63" t="n"/>
      <c r="X969" s="65" t="n"/>
      <c r="Y969" s="63" t="n"/>
      <c r="Z969" s="64" t="n"/>
      <c r="AA969" s="64" t="n"/>
      <c r="AB969" s="65" t="n"/>
      <c r="AC969" s="69" t="str">
        <f>IF(OR($G969="",NOT(ISNUMBER($K969)),$AK969=0),"",MAX(0,ReportDate-$K969))</f>
        <v/>
      </c>
      <c r="AD969" s="69" t="str">
        <f>IF($G969="","",IF($AL969=1,ReportDate-$L969,0))</f>
        <v/>
      </c>
      <c r="AE969" s="70" t="str">
        <f>IF($G969="","",IF($M969="Completed",1,IF(ISNUMBER($N969),$N969,0)))</f>
        <v/>
      </c>
      <c r="AF969" s="70" t="str">
        <f>IF(AND(ISNUMBER($Q969),ISNUMBER($R969)),IF($R969&lt;&gt;0,$Q969/$R969,""),"")</f>
        <v/>
      </c>
      <c r="AG969" s="71" t="str">
        <f>IF($G969="","",IF($AL969=1,"OVERDUE",IF($AM969=1,"BLOCKED",IF($AN969=1,"DUE TODAY",IF($AO969=1,"DUE TOMORROW",IF($AQ969=1,"HIGH PRIORITY",IF($AR969=1,"NO RECENT UPDATE",""))))))) </f>
        <v/>
      </c>
      <c r="AH969" s="71" t="str">
        <f>IF($G969="","",IF(ISNUMBER($A969),IF(ISNUMBER($A969),YEAR($A969)&amp;"-"&amp;TEXT(MONTH($A969),"00"),""),IF(ISNUMBER($L969),IF(ISNUMBER($L969),YEAR($L969)&amp;"-"&amp;TEXT(MONTH($L969),"00"),""),"")))</f>
        <v/>
      </c>
      <c r="AI969" s="71">
        <f>IF($G969="",0,IF(AND(OR(fClient="All",$C969=fClient),OR(fCampaign="All",$D969=fCampaign),OR(fTeam="All",$B969=fTeam),OR(fChannel="All",$F969=fChannel),OR(fMonth="All",$AH969=fMonth),OR(fTStatus="All",$M969=fTStatus)),1,0))</f>
        <v>0</v>
      </c>
      <c r="AJ969" s="71">
        <f>IF($G969="",0,IF(AND(OR(fClient="All",$C969=fClient),OR(fCampaign="All",$D969=fCampaign),OR(fTeam="All",$B969=fTeam),OR(fChannel="All",$F969=fChannel)),1,0))</f>
        <v>0</v>
      </c>
      <c r="AK969" s="71">
        <f>IF($G969="",0,IF(OR($M969="Completed",$M969="Cancelled"),0,1))</f>
        <v>0</v>
      </c>
      <c r="AL969" s="71">
        <f>IF(AND($AK969=1,ISNUMBER($L969)),IF($L969&lt;ReportDate,1,0),0)</f>
        <v>0</v>
      </c>
      <c r="AM969" s="71">
        <f>IF(AND($G969&lt;&gt;"",$M969="Blocked"),1,0)</f>
        <v>0</v>
      </c>
      <c r="AN969" s="71">
        <f>IF(AND($AK969=1,ISNUMBER($L969)),IF($L969=ReportDate,1,0),0)</f>
        <v>0</v>
      </c>
      <c r="AO969" s="71">
        <f>IF(AND($AK969=1,ISNUMBER($L969)),IF($L969=ReportDate+1,1,0),0)</f>
        <v>0</v>
      </c>
      <c r="AP969" s="71">
        <f>IF(AND($AK969=1,ISNUMBER($L969)),IF(AND($L969&gt;=ReportDate,$L969&lt;=ReportDate+DueSoonDays),1,0),0)</f>
        <v>0</v>
      </c>
      <c r="AQ969" s="71">
        <f>IF(AND($AK969=1,OR($I969="Critical",$I969="High")),1,0)</f>
        <v>0</v>
      </c>
      <c r="AR969" s="71">
        <f>IF($AK969=1,IF(ISNUMBER($Y969),IF(ReportDate-$Y969&gt;StaleDays,1,0),1),0)</f>
        <v>0</v>
      </c>
      <c r="AS969" s="71">
        <f>IF(AND($G969&lt;&gt;"",ISNUMBER($Q969),ISNUMBER($R969)),IF(AND($Q969&lt;$R969,OR($M969="Completed",AND(ISNUMBER($L969),$L969&lt;ReportDate))),1,0),0)</f>
        <v>0</v>
      </c>
      <c r="AT969" s="71">
        <f>IF($AK969=1,IF(OR($L969=ReportDate,$W969=ReportDate,$K969=ReportDate,$A969=ReportDate),1,0),0)</f>
        <v>0</v>
      </c>
      <c r="AU969" s="71">
        <f>IF($AK969=1,IF(OR($L969=ReportDate+1,$W969=ReportDate+1,$K969=ReportDate+1,$A969=ReportDate+1),1,0),0)</f>
        <v>0</v>
      </c>
      <c r="AV969" s="71">
        <f>IF(AND($G969&lt;&gt;"",$M969="Completed"),IF(OR($Y969=ReportDate-1,$A969=ReportDate-1),1,0),0)</f>
        <v>0</v>
      </c>
      <c r="AW969" s="71">
        <f>IF(AND($AK969=1,$Z969="Yes"),1,0)</f>
        <v>0</v>
      </c>
      <c r="AX969" s="71">
        <f>IF(AND($AK969=1,$AA969="Yes"),1,0)</f>
        <v>0</v>
      </c>
      <c r="AY969" s="71">
        <f>IF(AND($AM969=1,OR($I969="Critical",$I969="High")),1,0)</f>
        <v>0</v>
      </c>
      <c r="AZ969" s="71">
        <f>IF(AND($AK969=1,OR($C969=TCL_Client,$C969=MECCA_Client)),1,0)</f>
        <v>0</v>
      </c>
      <c r="BA969" s="71" t="str">
        <f>IF($G969="","",IFERROR(MATCH($I969,lst_Priority,0),5))</f>
        <v/>
      </c>
      <c r="BB969" s="71" t="str">
        <f>IF(AND($AL969=1,$AJ969=1),$BA969*100000+ROW(),"")</f>
        <v/>
      </c>
      <c r="BC969" s="71" t="str">
        <f>IF(AND($AM969=1,$AJ969=1),$BA969*100000+ROW(),"")</f>
        <v/>
      </c>
      <c r="BD969" s="71" t="str">
        <f>IF(AND($AP969=1,$AJ969=1),$BA969*100000+ROW(),"")</f>
        <v/>
      </c>
      <c r="BE969" s="71" t="str">
        <f>IF(AND($AT969=1,$AJ969=1),$BA969*100000+ROW(),"")</f>
        <v/>
      </c>
      <c r="BF969" s="71" t="str">
        <f>IF(AND($AU969=1,$AJ969=1),$BA969*100000+ROW(),"")</f>
        <v/>
      </c>
      <c r="BG969" s="71" t="str">
        <f>IF(AND($AV969=1,$AJ969=1),$BA969*100000+ROW(),"")</f>
        <v/>
      </c>
      <c r="BH969" s="71" t="str">
        <f>IF(AND($AW969=1,$AJ969=1),$BA969*100000+ROW(),"")</f>
        <v/>
      </c>
      <c r="BI969" s="71" t="str">
        <f>IF(AND($AX969=1,$AJ969=1),$BA969*100000+ROW(),"")</f>
        <v/>
      </c>
      <c r="BJ969" s="71" t="str">
        <f>IF(AND($AS969=1,$AJ969=1),$BA969*100000+ROW(),"")</f>
        <v/>
      </c>
      <c r="BK969" s="71" t="str">
        <f>IF(AND($AY969=1,$AJ969=1),$BA969*100000+ROW(),"")</f>
        <v/>
      </c>
      <c r="BL969" s="71" t="str">
        <f>IF(AND($AZ969=1),$BA969*100000+ROW(),"")</f>
        <v/>
      </c>
    </row>
    <row r="970">
      <c r="A970" s="63" t="n"/>
      <c r="B970" s="64" t="n"/>
      <c r="C970" s="64" t="n"/>
      <c r="D970" s="64" t="n"/>
      <c r="E970" s="64" t="n"/>
      <c r="F970" s="64" t="n"/>
      <c r="G970" s="65" t="n"/>
      <c r="H970" s="65" t="n"/>
      <c r="I970" s="64" t="n"/>
      <c r="J970" s="64" t="n"/>
      <c r="K970" s="63" t="n"/>
      <c r="L970" s="63" t="n"/>
      <c r="M970" s="64" t="n"/>
      <c r="N970" s="66" t="n"/>
      <c r="O970" s="65" t="n"/>
      <c r="P970" s="64" t="n"/>
      <c r="Q970" s="67" t="n"/>
      <c r="R970" s="67" t="n"/>
      <c r="S970" s="68" t="str">
        <f>IF(AND(ISNUMBER($Q970),ISNUMBER($R970)),$Q970-$R970,"")</f>
        <v/>
      </c>
      <c r="T970" s="65" t="n"/>
      <c r="U970" s="64" t="n"/>
      <c r="V970" s="65" t="n"/>
      <c r="W970" s="63" t="n"/>
      <c r="X970" s="65" t="n"/>
      <c r="Y970" s="63" t="n"/>
      <c r="Z970" s="64" t="n"/>
      <c r="AA970" s="64" t="n"/>
      <c r="AB970" s="65" t="n"/>
      <c r="AC970" s="69" t="str">
        <f>IF(OR($G970="",NOT(ISNUMBER($K970)),$AK970=0),"",MAX(0,ReportDate-$K970))</f>
        <v/>
      </c>
      <c r="AD970" s="69" t="str">
        <f>IF($G970="","",IF($AL970=1,ReportDate-$L970,0))</f>
        <v/>
      </c>
      <c r="AE970" s="70" t="str">
        <f>IF($G970="","",IF($M970="Completed",1,IF(ISNUMBER($N970),$N970,0)))</f>
        <v/>
      </c>
      <c r="AF970" s="70" t="str">
        <f>IF(AND(ISNUMBER($Q970),ISNUMBER($R970)),IF($R970&lt;&gt;0,$Q970/$R970,""),"")</f>
        <v/>
      </c>
      <c r="AG970" s="71" t="str">
        <f>IF($G970="","",IF($AL970=1,"OVERDUE",IF($AM970=1,"BLOCKED",IF($AN970=1,"DUE TODAY",IF($AO970=1,"DUE TOMORROW",IF($AQ970=1,"HIGH PRIORITY",IF($AR970=1,"NO RECENT UPDATE",""))))))) </f>
        <v/>
      </c>
      <c r="AH970" s="71" t="str">
        <f>IF($G970="","",IF(ISNUMBER($A970),IF(ISNUMBER($A970),YEAR($A970)&amp;"-"&amp;TEXT(MONTH($A970),"00"),""),IF(ISNUMBER($L970),IF(ISNUMBER($L970),YEAR($L970)&amp;"-"&amp;TEXT(MONTH($L970),"00"),""),"")))</f>
        <v/>
      </c>
      <c r="AI970" s="71">
        <f>IF($G970="",0,IF(AND(OR(fClient="All",$C970=fClient),OR(fCampaign="All",$D970=fCampaign),OR(fTeam="All",$B970=fTeam),OR(fChannel="All",$F970=fChannel),OR(fMonth="All",$AH970=fMonth),OR(fTStatus="All",$M970=fTStatus)),1,0))</f>
        <v>0</v>
      </c>
      <c r="AJ970" s="71">
        <f>IF($G970="",0,IF(AND(OR(fClient="All",$C970=fClient),OR(fCampaign="All",$D970=fCampaign),OR(fTeam="All",$B970=fTeam),OR(fChannel="All",$F970=fChannel)),1,0))</f>
        <v>0</v>
      </c>
      <c r="AK970" s="71">
        <f>IF($G970="",0,IF(OR($M970="Completed",$M970="Cancelled"),0,1))</f>
        <v>0</v>
      </c>
      <c r="AL970" s="71">
        <f>IF(AND($AK970=1,ISNUMBER($L970)),IF($L970&lt;ReportDate,1,0),0)</f>
        <v>0</v>
      </c>
      <c r="AM970" s="71">
        <f>IF(AND($G970&lt;&gt;"",$M970="Blocked"),1,0)</f>
        <v>0</v>
      </c>
      <c r="AN970" s="71">
        <f>IF(AND($AK970=1,ISNUMBER($L970)),IF($L970=ReportDate,1,0),0)</f>
        <v>0</v>
      </c>
      <c r="AO970" s="71">
        <f>IF(AND($AK970=1,ISNUMBER($L970)),IF($L970=ReportDate+1,1,0),0)</f>
        <v>0</v>
      </c>
      <c r="AP970" s="71">
        <f>IF(AND($AK970=1,ISNUMBER($L970)),IF(AND($L970&gt;=ReportDate,$L970&lt;=ReportDate+DueSoonDays),1,0),0)</f>
        <v>0</v>
      </c>
      <c r="AQ970" s="71">
        <f>IF(AND($AK970=1,OR($I970="Critical",$I970="High")),1,0)</f>
        <v>0</v>
      </c>
      <c r="AR970" s="71">
        <f>IF($AK970=1,IF(ISNUMBER($Y970),IF(ReportDate-$Y970&gt;StaleDays,1,0),1),0)</f>
        <v>0</v>
      </c>
      <c r="AS970" s="71">
        <f>IF(AND($G970&lt;&gt;"",ISNUMBER($Q970),ISNUMBER($R970)),IF(AND($Q970&lt;$R970,OR($M970="Completed",AND(ISNUMBER($L970),$L970&lt;ReportDate))),1,0),0)</f>
        <v>0</v>
      </c>
      <c r="AT970" s="71">
        <f>IF($AK970=1,IF(OR($L970=ReportDate,$W970=ReportDate,$K970=ReportDate,$A970=ReportDate),1,0),0)</f>
        <v>0</v>
      </c>
      <c r="AU970" s="71">
        <f>IF($AK970=1,IF(OR($L970=ReportDate+1,$W970=ReportDate+1,$K970=ReportDate+1,$A970=ReportDate+1),1,0),0)</f>
        <v>0</v>
      </c>
      <c r="AV970" s="71">
        <f>IF(AND($G970&lt;&gt;"",$M970="Completed"),IF(OR($Y970=ReportDate-1,$A970=ReportDate-1),1,0),0)</f>
        <v>0</v>
      </c>
      <c r="AW970" s="71">
        <f>IF(AND($AK970=1,$Z970="Yes"),1,0)</f>
        <v>0</v>
      </c>
      <c r="AX970" s="71">
        <f>IF(AND($AK970=1,$AA970="Yes"),1,0)</f>
        <v>0</v>
      </c>
      <c r="AY970" s="71">
        <f>IF(AND($AM970=1,OR($I970="Critical",$I970="High")),1,0)</f>
        <v>0</v>
      </c>
      <c r="AZ970" s="71">
        <f>IF(AND($AK970=1,OR($C970=TCL_Client,$C970=MECCA_Client)),1,0)</f>
        <v>0</v>
      </c>
      <c r="BA970" s="71" t="str">
        <f>IF($G970="","",IFERROR(MATCH($I970,lst_Priority,0),5))</f>
        <v/>
      </c>
      <c r="BB970" s="71" t="str">
        <f>IF(AND($AL970=1,$AJ970=1),$BA970*100000+ROW(),"")</f>
        <v/>
      </c>
      <c r="BC970" s="71" t="str">
        <f>IF(AND($AM970=1,$AJ970=1),$BA970*100000+ROW(),"")</f>
        <v/>
      </c>
      <c r="BD970" s="71" t="str">
        <f>IF(AND($AP970=1,$AJ970=1),$BA970*100000+ROW(),"")</f>
        <v/>
      </c>
      <c r="BE970" s="71" t="str">
        <f>IF(AND($AT970=1,$AJ970=1),$BA970*100000+ROW(),"")</f>
        <v/>
      </c>
      <c r="BF970" s="71" t="str">
        <f>IF(AND($AU970=1,$AJ970=1),$BA970*100000+ROW(),"")</f>
        <v/>
      </c>
      <c r="BG970" s="71" t="str">
        <f>IF(AND($AV970=1,$AJ970=1),$BA970*100000+ROW(),"")</f>
        <v/>
      </c>
      <c r="BH970" s="71" t="str">
        <f>IF(AND($AW970=1,$AJ970=1),$BA970*100000+ROW(),"")</f>
        <v/>
      </c>
      <c r="BI970" s="71" t="str">
        <f>IF(AND($AX970=1,$AJ970=1),$BA970*100000+ROW(),"")</f>
        <v/>
      </c>
      <c r="BJ970" s="71" t="str">
        <f>IF(AND($AS970=1,$AJ970=1),$BA970*100000+ROW(),"")</f>
        <v/>
      </c>
      <c r="BK970" s="71" t="str">
        <f>IF(AND($AY970=1,$AJ970=1),$BA970*100000+ROW(),"")</f>
        <v/>
      </c>
      <c r="BL970" s="71" t="str">
        <f>IF(AND($AZ970=1),$BA970*100000+ROW(),"")</f>
        <v/>
      </c>
    </row>
    <row r="971">
      <c r="A971" s="63" t="n"/>
      <c r="B971" s="64" t="n"/>
      <c r="C971" s="64" t="n"/>
      <c r="D971" s="64" t="n"/>
      <c r="E971" s="64" t="n"/>
      <c r="F971" s="64" t="n"/>
      <c r="G971" s="65" t="n"/>
      <c r="H971" s="65" t="n"/>
      <c r="I971" s="64" t="n"/>
      <c r="J971" s="64" t="n"/>
      <c r="K971" s="63" t="n"/>
      <c r="L971" s="63" t="n"/>
      <c r="M971" s="64" t="n"/>
      <c r="N971" s="66" t="n"/>
      <c r="O971" s="65" t="n"/>
      <c r="P971" s="64" t="n"/>
      <c r="Q971" s="67" t="n"/>
      <c r="R971" s="67" t="n"/>
      <c r="S971" s="68" t="str">
        <f>IF(AND(ISNUMBER($Q971),ISNUMBER($R971)),$Q971-$R971,"")</f>
        <v/>
      </c>
      <c r="T971" s="65" t="n"/>
      <c r="U971" s="64" t="n"/>
      <c r="V971" s="65" t="n"/>
      <c r="W971" s="63" t="n"/>
      <c r="X971" s="65" t="n"/>
      <c r="Y971" s="63" t="n"/>
      <c r="Z971" s="64" t="n"/>
      <c r="AA971" s="64" t="n"/>
      <c r="AB971" s="65" t="n"/>
      <c r="AC971" s="69" t="str">
        <f>IF(OR($G971="",NOT(ISNUMBER($K971)),$AK971=0),"",MAX(0,ReportDate-$K971))</f>
        <v/>
      </c>
      <c r="AD971" s="69" t="str">
        <f>IF($G971="","",IF($AL971=1,ReportDate-$L971,0))</f>
        <v/>
      </c>
      <c r="AE971" s="70" t="str">
        <f>IF($G971="","",IF($M971="Completed",1,IF(ISNUMBER($N971),$N971,0)))</f>
        <v/>
      </c>
      <c r="AF971" s="70" t="str">
        <f>IF(AND(ISNUMBER($Q971),ISNUMBER($R971)),IF($R971&lt;&gt;0,$Q971/$R971,""),"")</f>
        <v/>
      </c>
      <c r="AG971" s="71" t="str">
        <f>IF($G971="","",IF($AL971=1,"OVERDUE",IF($AM971=1,"BLOCKED",IF($AN971=1,"DUE TODAY",IF($AO971=1,"DUE TOMORROW",IF($AQ971=1,"HIGH PRIORITY",IF($AR971=1,"NO RECENT UPDATE",""))))))) </f>
        <v/>
      </c>
      <c r="AH971" s="71" t="str">
        <f>IF($G971="","",IF(ISNUMBER($A971),IF(ISNUMBER($A971),YEAR($A971)&amp;"-"&amp;TEXT(MONTH($A971),"00"),""),IF(ISNUMBER($L971),IF(ISNUMBER($L971),YEAR($L971)&amp;"-"&amp;TEXT(MONTH($L971),"00"),""),"")))</f>
        <v/>
      </c>
      <c r="AI971" s="71">
        <f>IF($G971="",0,IF(AND(OR(fClient="All",$C971=fClient),OR(fCampaign="All",$D971=fCampaign),OR(fTeam="All",$B971=fTeam),OR(fChannel="All",$F971=fChannel),OR(fMonth="All",$AH971=fMonth),OR(fTStatus="All",$M971=fTStatus)),1,0))</f>
        <v>0</v>
      </c>
      <c r="AJ971" s="71">
        <f>IF($G971="",0,IF(AND(OR(fClient="All",$C971=fClient),OR(fCampaign="All",$D971=fCampaign),OR(fTeam="All",$B971=fTeam),OR(fChannel="All",$F971=fChannel)),1,0))</f>
        <v>0</v>
      </c>
      <c r="AK971" s="71">
        <f>IF($G971="",0,IF(OR($M971="Completed",$M971="Cancelled"),0,1))</f>
        <v>0</v>
      </c>
      <c r="AL971" s="71">
        <f>IF(AND($AK971=1,ISNUMBER($L971)),IF($L971&lt;ReportDate,1,0),0)</f>
        <v>0</v>
      </c>
      <c r="AM971" s="71">
        <f>IF(AND($G971&lt;&gt;"",$M971="Blocked"),1,0)</f>
        <v>0</v>
      </c>
      <c r="AN971" s="71">
        <f>IF(AND($AK971=1,ISNUMBER($L971)),IF($L971=ReportDate,1,0),0)</f>
        <v>0</v>
      </c>
      <c r="AO971" s="71">
        <f>IF(AND($AK971=1,ISNUMBER($L971)),IF($L971=ReportDate+1,1,0),0)</f>
        <v>0</v>
      </c>
      <c r="AP971" s="71">
        <f>IF(AND($AK971=1,ISNUMBER($L971)),IF(AND($L971&gt;=ReportDate,$L971&lt;=ReportDate+DueSoonDays),1,0),0)</f>
        <v>0</v>
      </c>
      <c r="AQ971" s="71">
        <f>IF(AND($AK971=1,OR($I971="Critical",$I971="High")),1,0)</f>
        <v>0</v>
      </c>
      <c r="AR971" s="71">
        <f>IF($AK971=1,IF(ISNUMBER($Y971),IF(ReportDate-$Y971&gt;StaleDays,1,0),1),0)</f>
        <v>0</v>
      </c>
      <c r="AS971" s="71">
        <f>IF(AND($G971&lt;&gt;"",ISNUMBER($Q971),ISNUMBER($R971)),IF(AND($Q971&lt;$R971,OR($M971="Completed",AND(ISNUMBER($L971),$L971&lt;ReportDate))),1,0),0)</f>
        <v>0</v>
      </c>
      <c r="AT971" s="71">
        <f>IF($AK971=1,IF(OR($L971=ReportDate,$W971=ReportDate,$K971=ReportDate,$A971=ReportDate),1,0),0)</f>
        <v>0</v>
      </c>
      <c r="AU971" s="71">
        <f>IF($AK971=1,IF(OR($L971=ReportDate+1,$W971=ReportDate+1,$K971=ReportDate+1,$A971=ReportDate+1),1,0),0)</f>
        <v>0</v>
      </c>
      <c r="AV971" s="71">
        <f>IF(AND($G971&lt;&gt;"",$M971="Completed"),IF(OR($Y971=ReportDate-1,$A971=ReportDate-1),1,0),0)</f>
        <v>0</v>
      </c>
      <c r="AW971" s="71">
        <f>IF(AND($AK971=1,$Z971="Yes"),1,0)</f>
        <v>0</v>
      </c>
      <c r="AX971" s="71">
        <f>IF(AND($AK971=1,$AA971="Yes"),1,0)</f>
        <v>0</v>
      </c>
      <c r="AY971" s="71">
        <f>IF(AND($AM971=1,OR($I971="Critical",$I971="High")),1,0)</f>
        <v>0</v>
      </c>
      <c r="AZ971" s="71">
        <f>IF(AND($AK971=1,OR($C971=TCL_Client,$C971=MECCA_Client)),1,0)</f>
        <v>0</v>
      </c>
      <c r="BA971" s="71" t="str">
        <f>IF($G971="","",IFERROR(MATCH($I971,lst_Priority,0),5))</f>
        <v/>
      </c>
      <c r="BB971" s="71" t="str">
        <f>IF(AND($AL971=1,$AJ971=1),$BA971*100000+ROW(),"")</f>
        <v/>
      </c>
      <c r="BC971" s="71" t="str">
        <f>IF(AND($AM971=1,$AJ971=1),$BA971*100000+ROW(),"")</f>
        <v/>
      </c>
      <c r="BD971" s="71" t="str">
        <f>IF(AND($AP971=1,$AJ971=1),$BA971*100000+ROW(),"")</f>
        <v/>
      </c>
      <c r="BE971" s="71" t="str">
        <f>IF(AND($AT971=1,$AJ971=1),$BA971*100000+ROW(),"")</f>
        <v/>
      </c>
      <c r="BF971" s="71" t="str">
        <f>IF(AND($AU971=1,$AJ971=1),$BA971*100000+ROW(),"")</f>
        <v/>
      </c>
      <c r="BG971" s="71" t="str">
        <f>IF(AND($AV971=1,$AJ971=1),$BA971*100000+ROW(),"")</f>
        <v/>
      </c>
      <c r="BH971" s="71" t="str">
        <f>IF(AND($AW971=1,$AJ971=1),$BA971*100000+ROW(),"")</f>
        <v/>
      </c>
      <c r="BI971" s="71" t="str">
        <f>IF(AND($AX971=1,$AJ971=1),$BA971*100000+ROW(),"")</f>
        <v/>
      </c>
      <c r="BJ971" s="71" t="str">
        <f>IF(AND($AS971=1,$AJ971=1),$BA971*100000+ROW(),"")</f>
        <v/>
      </c>
      <c r="BK971" s="71" t="str">
        <f>IF(AND($AY971=1,$AJ971=1),$BA971*100000+ROW(),"")</f>
        <v/>
      </c>
      <c r="BL971" s="71" t="str">
        <f>IF(AND($AZ971=1),$BA971*100000+ROW(),"")</f>
        <v/>
      </c>
    </row>
    <row r="972">
      <c r="A972" s="63" t="n"/>
      <c r="B972" s="64" t="n"/>
      <c r="C972" s="64" t="n"/>
      <c r="D972" s="64" t="n"/>
      <c r="E972" s="64" t="n"/>
      <c r="F972" s="64" t="n"/>
      <c r="G972" s="65" t="n"/>
      <c r="H972" s="65" t="n"/>
      <c r="I972" s="64" t="n"/>
      <c r="J972" s="64" t="n"/>
      <c r="K972" s="63" t="n"/>
      <c r="L972" s="63" t="n"/>
      <c r="M972" s="64" t="n"/>
      <c r="N972" s="66" t="n"/>
      <c r="O972" s="65" t="n"/>
      <c r="P972" s="64" t="n"/>
      <c r="Q972" s="67" t="n"/>
      <c r="R972" s="67" t="n"/>
      <c r="S972" s="68" t="str">
        <f>IF(AND(ISNUMBER($Q972),ISNUMBER($R972)),$Q972-$R972,"")</f>
        <v/>
      </c>
      <c r="T972" s="65" t="n"/>
      <c r="U972" s="64" t="n"/>
      <c r="V972" s="65" t="n"/>
      <c r="W972" s="63" t="n"/>
      <c r="X972" s="65" t="n"/>
      <c r="Y972" s="63" t="n"/>
      <c r="Z972" s="64" t="n"/>
      <c r="AA972" s="64" t="n"/>
      <c r="AB972" s="65" t="n"/>
      <c r="AC972" s="69" t="str">
        <f>IF(OR($G972="",NOT(ISNUMBER($K972)),$AK972=0),"",MAX(0,ReportDate-$K972))</f>
        <v/>
      </c>
      <c r="AD972" s="69" t="str">
        <f>IF($G972="","",IF($AL972=1,ReportDate-$L972,0))</f>
        <v/>
      </c>
      <c r="AE972" s="70" t="str">
        <f>IF($G972="","",IF($M972="Completed",1,IF(ISNUMBER($N972),$N972,0)))</f>
        <v/>
      </c>
      <c r="AF972" s="70" t="str">
        <f>IF(AND(ISNUMBER($Q972),ISNUMBER($R972)),IF($R972&lt;&gt;0,$Q972/$R972,""),"")</f>
        <v/>
      </c>
      <c r="AG972" s="71" t="str">
        <f>IF($G972="","",IF($AL972=1,"OVERDUE",IF($AM972=1,"BLOCKED",IF($AN972=1,"DUE TODAY",IF($AO972=1,"DUE TOMORROW",IF($AQ972=1,"HIGH PRIORITY",IF($AR972=1,"NO RECENT UPDATE",""))))))) </f>
        <v/>
      </c>
      <c r="AH972" s="71" t="str">
        <f>IF($G972="","",IF(ISNUMBER($A972),IF(ISNUMBER($A972),YEAR($A972)&amp;"-"&amp;TEXT(MONTH($A972),"00"),""),IF(ISNUMBER($L972),IF(ISNUMBER($L972),YEAR($L972)&amp;"-"&amp;TEXT(MONTH($L972),"00"),""),"")))</f>
        <v/>
      </c>
      <c r="AI972" s="71">
        <f>IF($G972="",0,IF(AND(OR(fClient="All",$C972=fClient),OR(fCampaign="All",$D972=fCampaign),OR(fTeam="All",$B972=fTeam),OR(fChannel="All",$F972=fChannel),OR(fMonth="All",$AH972=fMonth),OR(fTStatus="All",$M972=fTStatus)),1,0))</f>
        <v>0</v>
      </c>
      <c r="AJ972" s="71">
        <f>IF($G972="",0,IF(AND(OR(fClient="All",$C972=fClient),OR(fCampaign="All",$D972=fCampaign),OR(fTeam="All",$B972=fTeam),OR(fChannel="All",$F972=fChannel)),1,0))</f>
        <v>0</v>
      </c>
      <c r="AK972" s="71">
        <f>IF($G972="",0,IF(OR($M972="Completed",$M972="Cancelled"),0,1))</f>
        <v>0</v>
      </c>
      <c r="AL972" s="71">
        <f>IF(AND($AK972=1,ISNUMBER($L972)),IF($L972&lt;ReportDate,1,0),0)</f>
        <v>0</v>
      </c>
      <c r="AM972" s="71">
        <f>IF(AND($G972&lt;&gt;"",$M972="Blocked"),1,0)</f>
        <v>0</v>
      </c>
      <c r="AN972" s="71">
        <f>IF(AND($AK972=1,ISNUMBER($L972)),IF($L972=ReportDate,1,0),0)</f>
        <v>0</v>
      </c>
      <c r="AO972" s="71">
        <f>IF(AND($AK972=1,ISNUMBER($L972)),IF($L972=ReportDate+1,1,0),0)</f>
        <v>0</v>
      </c>
      <c r="AP972" s="71">
        <f>IF(AND($AK972=1,ISNUMBER($L972)),IF(AND($L972&gt;=ReportDate,$L972&lt;=ReportDate+DueSoonDays),1,0),0)</f>
        <v>0</v>
      </c>
      <c r="AQ972" s="71">
        <f>IF(AND($AK972=1,OR($I972="Critical",$I972="High")),1,0)</f>
        <v>0</v>
      </c>
      <c r="AR972" s="71">
        <f>IF($AK972=1,IF(ISNUMBER($Y972),IF(ReportDate-$Y972&gt;StaleDays,1,0),1),0)</f>
        <v>0</v>
      </c>
      <c r="AS972" s="71">
        <f>IF(AND($G972&lt;&gt;"",ISNUMBER($Q972),ISNUMBER($R972)),IF(AND($Q972&lt;$R972,OR($M972="Completed",AND(ISNUMBER($L972),$L972&lt;ReportDate))),1,0),0)</f>
        <v>0</v>
      </c>
      <c r="AT972" s="71">
        <f>IF($AK972=1,IF(OR($L972=ReportDate,$W972=ReportDate,$K972=ReportDate,$A972=ReportDate),1,0),0)</f>
        <v>0</v>
      </c>
      <c r="AU972" s="71">
        <f>IF($AK972=1,IF(OR($L972=ReportDate+1,$W972=ReportDate+1,$K972=ReportDate+1,$A972=ReportDate+1),1,0),0)</f>
        <v>0</v>
      </c>
      <c r="AV972" s="71">
        <f>IF(AND($G972&lt;&gt;"",$M972="Completed"),IF(OR($Y972=ReportDate-1,$A972=ReportDate-1),1,0),0)</f>
        <v>0</v>
      </c>
      <c r="AW972" s="71">
        <f>IF(AND($AK972=1,$Z972="Yes"),1,0)</f>
        <v>0</v>
      </c>
      <c r="AX972" s="71">
        <f>IF(AND($AK972=1,$AA972="Yes"),1,0)</f>
        <v>0</v>
      </c>
      <c r="AY972" s="71">
        <f>IF(AND($AM972=1,OR($I972="Critical",$I972="High")),1,0)</f>
        <v>0</v>
      </c>
      <c r="AZ972" s="71">
        <f>IF(AND($AK972=1,OR($C972=TCL_Client,$C972=MECCA_Client)),1,0)</f>
        <v>0</v>
      </c>
      <c r="BA972" s="71" t="str">
        <f>IF($G972="","",IFERROR(MATCH($I972,lst_Priority,0),5))</f>
        <v/>
      </c>
      <c r="BB972" s="71" t="str">
        <f>IF(AND($AL972=1,$AJ972=1),$BA972*100000+ROW(),"")</f>
        <v/>
      </c>
      <c r="BC972" s="71" t="str">
        <f>IF(AND($AM972=1,$AJ972=1),$BA972*100000+ROW(),"")</f>
        <v/>
      </c>
      <c r="BD972" s="71" t="str">
        <f>IF(AND($AP972=1,$AJ972=1),$BA972*100000+ROW(),"")</f>
        <v/>
      </c>
      <c r="BE972" s="71" t="str">
        <f>IF(AND($AT972=1,$AJ972=1),$BA972*100000+ROW(),"")</f>
        <v/>
      </c>
      <c r="BF972" s="71" t="str">
        <f>IF(AND($AU972=1,$AJ972=1),$BA972*100000+ROW(),"")</f>
        <v/>
      </c>
      <c r="BG972" s="71" t="str">
        <f>IF(AND($AV972=1,$AJ972=1),$BA972*100000+ROW(),"")</f>
        <v/>
      </c>
      <c r="BH972" s="71" t="str">
        <f>IF(AND($AW972=1,$AJ972=1),$BA972*100000+ROW(),"")</f>
        <v/>
      </c>
      <c r="BI972" s="71" t="str">
        <f>IF(AND($AX972=1,$AJ972=1),$BA972*100000+ROW(),"")</f>
        <v/>
      </c>
      <c r="BJ972" s="71" t="str">
        <f>IF(AND($AS972=1,$AJ972=1),$BA972*100000+ROW(),"")</f>
        <v/>
      </c>
      <c r="BK972" s="71" t="str">
        <f>IF(AND($AY972=1,$AJ972=1),$BA972*100000+ROW(),"")</f>
        <v/>
      </c>
      <c r="BL972" s="71" t="str">
        <f>IF(AND($AZ972=1),$BA972*100000+ROW(),"")</f>
        <v/>
      </c>
    </row>
    <row r="973">
      <c r="A973" s="63" t="n"/>
      <c r="B973" s="64" t="n"/>
      <c r="C973" s="64" t="n"/>
      <c r="D973" s="64" t="n"/>
      <c r="E973" s="64" t="n"/>
      <c r="F973" s="64" t="n"/>
      <c r="G973" s="65" t="n"/>
      <c r="H973" s="65" t="n"/>
      <c r="I973" s="64" t="n"/>
      <c r="J973" s="64" t="n"/>
      <c r="K973" s="63" t="n"/>
      <c r="L973" s="63" t="n"/>
      <c r="M973" s="64" t="n"/>
      <c r="N973" s="66" t="n"/>
      <c r="O973" s="65" t="n"/>
      <c r="P973" s="64" t="n"/>
      <c r="Q973" s="67" t="n"/>
      <c r="R973" s="67" t="n"/>
      <c r="S973" s="68" t="str">
        <f>IF(AND(ISNUMBER($Q973),ISNUMBER($R973)),$Q973-$R973,"")</f>
        <v/>
      </c>
      <c r="T973" s="65" t="n"/>
      <c r="U973" s="64" t="n"/>
      <c r="V973" s="65" t="n"/>
      <c r="W973" s="63" t="n"/>
      <c r="X973" s="65" t="n"/>
      <c r="Y973" s="63" t="n"/>
      <c r="Z973" s="64" t="n"/>
      <c r="AA973" s="64" t="n"/>
      <c r="AB973" s="65" t="n"/>
      <c r="AC973" s="69" t="str">
        <f>IF(OR($G973="",NOT(ISNUMBER($K973)),$AK973=0),"",MAX(0,ReportDate-$K973))</f>
        <v/>
      </c>
      <c r="AD973" s="69" t="str">
        <f>IF($G973="","",IF($AL973=1,ReportDate-$L973,0))</f>
        <v/>
      </c>
      <c r="AE973" s="70" t="str">
        <f>IF($G973="","",IF($M973="Completed",1,IF(ISNUMBER($N973),$N973,0)))</f>
        <v/>
      </c>
      <c r="AF973" s="70" t="str">
        <f>IF(AND(ISNUMBER($Q973),ISNUMBER($R973)),IF($R973&lt;&gt;0,$Q973/$R973,""),"")</f>
        <v/>
      </c>
      <c r="AG973" s="71" t="str">
        <f>IF($G973="","",IF($AL973=1,"OVERDUE",IF($AM973=1,"BLOCKED",IF($AN973=1,"DUE TODAY",IF($AO973=1,"DUE TOMORROW",IF($AQ973=1,"HIGH PRIORITY",IF($AR973=1,"NO RECENT UPDATE",""))))))) </f>
        <v/>
      </c>
      <c r="AH973" s="71" t="str">
        <f>IF($G973="","",IF(ISNUMBER($A973),IF(ISNUMBER($A973),YEAR($A973)&amp;"-"&amp;TEXT(MONTH($A973),"00"),""),IF(ISNUMBER($L973),IF(ISNUMBER($L973),YEAR($L973)&amp;"-"&amp;TEXT(MONTH($L973),"00"),""),"")))</f>
        <v/>
      </c>
      <c r="AI973" s="71">
        <f>IF($G973="",0,IF(AND(OR(fClient="All",$C973=fClient),OR(fCampaign="All",$D973=fCampaign),OR(fTeam="All",$B973=fTeam),OR(fChannel="All",$F973=fChannel),OR(fMonth="All",$AH973=fMonth),OR(fTStatus="All",$M973=fTStatus)),1,0))</f>
        <v>0</v>
      </c>
      <c r="AJ973" s="71">
        <f>IF($G973="",0,IF(AND(OR(fClient="All",$C973=fClient),OR(fCampaign="All",$D973=fCampaign),OR(fTeam="All",$B973=fTeam),OR(fChannel="All",$F973=fChannel)),1,0))</f>
        <v>0</v>
      </c>
      <c r="AK973" s="71">
        <f>IF($G973="",0,IF(OR($M973="Completed",$M973="Cancelled"),0,1))</f>
        <v>0</v>
      </c>
      <c r="AL973" s="71">
        <f>IF(AND($AK973=1,ISNUMBER($L973)),IF($L973&lt;ReportDate,1,0),0)</f>
        <v>0</v>
      </c>
      <c r="AM973" s="71">
        <f>IF(AND($G973&lt;&gt;"",$M973="Blocked"),1,0)</f>
        <v>0</v>
      </c>
      <c r="AN973" s="71">
        <f>IF(AND($AK973=1,ISNUMBER($L973)),IF($L973=ReportDate,1,0),0)</f>
        <v>0</v>
      </c>
      <c r="AO973" s="71">
        <f>IF(AND($AK973=1,ISNUMBER($L973)),IF($L973=ReportDate+1,1,0),0)</f>
        <v>0</v>
      </c>
      <c r="AP973" s="71">
        <f>IF(AND($AK973=1,ISNUMBER($L973)),IF(AND($L973&gt;=ReportDate,$L973&lt;=ReportDate+DueSoonDays),1,0),0)</f>
        <v>0</v>
      </c>
      <c r="AQ973" s="71">
        <f>IF(AND($AK973=1,OR($I973="Critical",$I973="High")),1,0)</f>
        <v>0</v>
      </c>
      <c r="AR973" s="71">
        <f>IF($AK973=1,IF(ISNUMBER($Y973),IF(ReportDate-$Y973&gt;StaleDays,1,0),1),0)</f>
        <v>0</v>
      </c>
      <c r="AS973" s="71">
        <f>IF(AND($G973&lt;&gt;"",ISNUMBER($Q973),ISNUMBER($R973)),IF(AND($Q973&lt;$R973,OR($M973="Completed",AND(ISNUMBER($L973),$L973&lt;ReportDate))),1,0),0)</f>
        <v>0</v>
      </c>
      <c r="AT973" s="71">
        <f>IF($AK973=1,IF(OR($L973=ReportDate,$W973=ReportDate,$K973=ReportDate,$A973=ReportDate),1,0),0)</f>
        <v>0</v>
      </c>
      <c r="AU973" s="71">
        <f>IF($AK973=1,IF(OR($L973=ReportDate+1,$W973=ReportDate+1,$K973=ReportDate+1,$A973=ReportDate+1),1,0),0)</f>
        <v>0</v>
      </c>
      <c r="AV973" s="71">
        <f>IF(AND($G973&lt;&gt;"",$M973="Completed"),IF(OR($Y973=ReportDate-1,$A973=ReportDate-1),1,0),0)</f>
        <v>0</v>
      </c>
      <c r="AW973" s="71">
        <f>IF(AND($AK973=1,$Z973="Yes"),1,0)</f>
        <v>0</v>
      </c>
      <c r="AX973" s="71">
        <f>IF(AND($AK973=1,$AA973="Yes"),1,0)</f>
        <v>0</v>
      </c>
      <c r="AY973" s="71">
        <f>IF(AND($AM973=1,OR($I973="Critical",$I973="High")),1,0)</f>
        <v>0</v>
      </c>
      <c r="AZ973" s="71">
        <f>IF(AND($AK973=1,OR($C973=TCL_Client,$C973=MECCA_Client)),1,0)</f>
        <v>0</v>
      </c>
      <c r="BA973" s="71" t="str">
        <f>IF($G973="","",IFERROR(MATCH($I973,lst_Priority,0),5))</f>
        <v/>
      </c>
      <c r="BB973" s="71" t="str">
        <f>IF(AND($AL973=1,$AJ973=1),$BA973*100000+ROW(),"")</f>
        <v/>
      </c>
      <c r="BC973" s="71" t="str">
        <f>IF(AND($AM973=1,$AJ973=1),$BA973*100000+ROW(),"")</f>
        <v/>
      </c>
      <c r="BD973" s="71" t="str">
        <f>IF(AND($AP973=1,$AJ973=1),$BA973*100000+ROW(),"")</f>
        <v/>
      </c>
      <c r="BE973" s="71" t="str">
        <f>IF(AND($AT973=1,$AJ973=1),$BA973*100000+ROW(),"")</f>
        <v/>
      </c>
      <c r="BF973" s="71" t="str">
        <f>IF(AND($AU973=1,$AJ973=1),$BA973*100000+ROW(),"")</f>
        <v/>
      </c>
      <c r="BG973" s="71" t="str">
        <f>IF(AND($AV973=1,$AJ973=1),$BA973*100000+ROW(),"")</f>
        <v/>
      </c>
      <c r="BH973" s="71" t="str">
        <f>IF(AND($AW973=1,$AJ973=1),$BA973*100000+ROW(),"")</f>
        <v/>
      </c>
      <c r="BI973" s="71" t="str">
        <f>IF(AND($AX973=1,$AJ973=1),$BA973*100000+ROW(),"")</f>
        <v/>
      </c>
      <c r="BJ973" s="71" t="str">
        <f>IF(AND($AS973=1,$AJ973=1),$BA973*100000+ROW(),"")</f>
        <v/>
      </c>
      <c r="BK973" s="71" t="str">
        <f>IF(AND($AY973=1,$AJ973=1),$BA973*100000+ROW(),"")</f>
        <v/>
      </c>
      <c r="BL973" s="71" t="str">
        <f>IF(AND($AZ973=1),$BA973*100000+ROW(),"")</f>
        <v/>
      </c>
    </row>
    <row r="974">
      <c r="A974" s="63" t="n"/>
      <c r="B974" s="64" t="n"/>
      <c r="C974" s="64" t="n"/>
      <c r="D974" s="64" t="n"/>
      <c r="E974" s="64" t="n"/>
      <c r="F974" s="64" t="n"/>
      <c r="G974" s="65" t="n"/>
      <c r="H974" s="65" t="n"/>
      <c r="I974" s="64" t="n"/>
      <c r="J974" s="64" t="n"/>
      <c r="K974" s="63" t="n"/>
      <c r="L974" s="63" t="n"/>
      <c r="M974" s="64" t="n"/>
      <c r="N974" s="66" t="n"/>
      <c r="O974" s="65" t="n"/>
      <c r="P974" s="64" t="n"/>
      <c r="Q974" s="67" t="n"/>
      <c r="R974" s="67" t="n"/>
      <c r="S974" s="68" t="str">
        <f>IF(AND(ISNUMBER($Q974),ISNUMBER($R974)),$Q974-$R974,"")</f>
        <v/>
      </c>
      <c r="T974" s="65" t="n"/>
      <c r="U974" s="64" t="n"/>
      <c r="V974" s="65" t="n"/>
      <c r="W974" s="63" t="n"/>
      <c r="X974" s="65" t="n"/>
      <c r="Y974" s="63" t="n"/>
      <c r="Z974" s="64" t="n"/>
      <c r="AA974" s="64" t="n"/>
      <c r="AB974" s="65" t="n"/>
      <c r="AC974" s="69" t="str">
        <f>IF(OR($G974="",NOT(ISNUMBER($K974)),$AK974=0),"",MAX(0,ReportDate-$K974))</f>
        <v/>
      </c>
      <c r="AD974" s="69" t="str">
        <f>IF($G974="","",IF($AL974=1,ReportDate-$L974,0))</f>
        <v/>
      </c>
      <c r="AE974" s="70" t="str">
        <f>IF($G974="","",IF($M974="Completed",1,IF(ISNUMBER($N974),$N974,0)))</f>
        <v/>
      </c>
      <c r="AF974" s="70" t="str">
        <f>IF(AND(ISNUMBER($Q974),ISNUMBER($R974)),IF($R974&lt;&gt;0,$Q974/$R974,""),"")</f>
        <v/>
      </c>
      <c r="AG974" s="71" t="str">
        <f>IF($G974="","",IF($AL974=1,"OVERDUE",IF($AM974=1,"BLOCKED",IF($AN974=1,"DUE TODAY",IF($AO974=1,"DUE TOMORROW",IF($AQ974=1,"HIGH PRIORITY",IF($AR974=1,"NO RECENT UPDATE",""))))))) </f>
        <v/>
      </c>
      <c r="AH974" s="71" t="str">
        <f>IF($G974="","",IF(ISNUMBER($A974),IF(ISNUMBER($A974),YEAR($A974)&amp;"-"&amp;TEXT(MONTH($A974),"00"),""),IF(ISNUMBER($L974),IF(ISNUMBER($L974),YEAR($L974)&amp;"-"&amp;TEXT(MONTH($L974),"00"),""),"")))</f>
        <v/>
      </c>
      <c r="AI974" s="71">
        <f>IF($G974="",0,IF(AND(OR(fClient="All",$C974=fClient),OR(fCampaign="All",$D974=fCampaign),OR(fTeam="All",$B974=fTeam),OR(fChannel="All",$F974=fChannel),OR(fMonth="All",$AH974=fMonth),OR(fTStatus="All",$M974=fTStatus)),1,0))</f>
        <v>0</v>
      </c>
      <c r="AJ974" s="71">
        <f>IF($G974="",0,IF(AND(OR(fClient="All",$C974=fClient),OR(fCampaign="All",$D974=fCampaign),OR(fTeam="All",$B974=fTeam),OR(fChannel="All",$F974=fChannel)),1,0))</f>
        <v>0</v>
      </c>
      <c r="AK974" s="71">
        <f>IF($G974="",0,IF(OR($M974="Completed",$M974="Cancelled"),0,1))</f>
        <v>0</v>
      </c>
      <c r="AL974" s="71">
        <f>IF(AND($AK974=1,ISNUMBER($L974)),IF($L974&lt;ReportDate,1,0),0)</f>
        <v>0</v>
      </c>
      <c r="AM974" s="71">
        <f>IF(AND($G974&lt;&gt;"",$M974="Blocked"),1,0)</f>
        <v>0</v>
      </c>
      <c r="AN974" s="71">
        <f>IF(AND($AK974=1,ISNUMBER($L974)),IF($L974=ReportDate,1,0),0)</f>
        <v>0</v>
      </c>
      <c r="AO974" s="71">
        <f>IF(AND($AK974=1,ISNUMBER($L974)),IF($L974=ReportDate+1,1,0),0)</f>
        <v>0</v>
      </c>
      <c r="AP974" s="71">
        <f>IF(AND($AK974=1,ISNUMBER($L974)),IF(AND($L974&gt;=ReportDate,$L974&lt;=ReportDate+DueSoonDays),1,0),0)</f>
        <v>0</v>
      </c>
      <c r="AQ974" s="71">
        <f>IF(AND($AK974=1,OR($I974="Critical",$I974="High")),1,0)</f>
        <v>0</v>
      </c>
      <c r="AR974" s="71">
        <f>IF($AK974=1,IF(ISNUMBER($Y974),IF(ReportDate-$Y974&gt;StaleDays,1,0),1),0)</f>
        <v>0</v>
      </c>
      <c r="AS974" s="71">
        <f>IF(AND($G974&lt;&gt;"",ISNUMBER($Q974),ISNUMBER($R974)),IF(AND($Q974&lt;$R974,OR($M974="Completed",AND(ISNUMBER($L974),$L974&lt;ReportDate))),1,0),0)</f>
        <v>0</v>
      </c>
      <c r="AT974" s="71">
        <f>IF($AK974=1,IF(OR($L974=ReportDate,$W974=ReportDate,$K974=ReportDate,$A974=ReportDate),1,0),0)</f>
        <v>0</v>
      </c>
      <c r="AU974" s="71">
        <f>IF($AK974=1,IF(OR($L974=ReportDate+1,$W974=ReportDate+1,$K974=ReportDate+1,$A974=ReportDate+1),1,0),0)</f>
        <v>0</v>
      </c>
      <c r="AV974" s="71">
        <f>IF(AND($G974&lt;&gt;"",$M974="Completed"),IF(OR($Y974=ReportDate-1,$A974=ReportDate-1),1,0),0)</f>
        <v>0</v>
      </c>
      <c r="AW974" s="71">
        <f>IF(AND($AK974=1,$Z974="Yes"),1,0)</f>
        <v>0</v>
      </c>
      <c r="AX974" s="71">
        <f>IF(AND($AK974=1,$AA974="Yes"),1,0)</f>
        <v>0</v>
      </c>
      <c r="AY974" s="71">
        <f>IF(AND($AM974=1,OR($I974="Critical",$I974="High")),1,0)</f>
        <v>0</v>
      </c>
      <c r="AZ974" s="71">
        <f>IF(AND($AK974=1,OR($C974=TCL_Client,$C974=MECCA_Client)),1,0)</f>
        <v>0</v>
      </c>
      <c r="BA974" s="71" t="str">
        <f>IF($G974="","",IFERROR(MATCH($I974,lst_Priority,0),5))</f>
        <v/>
      </c>
      <c r="BB974" s="71" t="str">
        <f>IF(AND($AL974=1,$AJ974=1),$BA974*100000+ROW(),"")</f>
        <v/>
      </c>
      <c r="BC974" s="71" t="str">
        <f>IF(AND($AM974=1,$AJ974=1),$BA974*100000+ROW(),"")</f>
        <v/>
      </c>
      <c r="BD974" s="71" t="str">
        <f>IF(AND($AP974=1,$AJ974=1),$BA974*100000+ROW(),"")</f>
        <v/>
      </c>
      <c r="BE974" s="71" t="str">
        <f>IF(AND($AT974=1,$AJ974=1),$BA974*100000+ROW(),"")</f>
        <v/>
      </c>
      <c r="BF974" s="71" t="str">
        <f>IF(AND($AU974=1,$AJ974=1),$BA974*100000+ROW(),"")</f>
        <v/>
      </c>
      <c r="BG974" s="71" t="str">
        <f>IF(AND($AV974=1,$AJ974=1),$BA974*100000+ROW(),"")</f>
        <v/>
      </c>
      <c r="BH974" s="71" t="str">
        <f>IF(AND($AW974=1,$AJ974=1),$BA974*100000+ROW(),"")</f>
        <v/>
      </c>
      <c r="BI974" s="71" t="str">
        <f>IF(AND($AX974=1,$AJ974=1),$BA974*100000+ROW(),"")</f>
        <v/>
      </c>
      <c r="BJ974" s="71" t="str">
        <f>IF(AND($AS974=1,$AJ974=1),$BA974*100000+ROW(),"")</f>
        <v/>
      </c>
      <c r="BK974" s="71" t="str">
        <f>IF(AND($AY974=1,$AJ974=1),$BA974*100000+ROW(),"")</f>
        <v/>
      </c>
      <c r="BL974" s="71" t="str">
        <f>IF(AND($AZ974=1),$BA974*100000+ROW(),"")</f>
        <v/>
      </c>
    </row>
    <row r="975">
      <c r="A975" s="63" t="n"/>
      <c r="B975" s="64" t="n"/>
      <c r="C975" s="64" t="n"/>
      <c r="D975" s="64" t="n"/>
      <c r="E975" s="64" t="n"/>
      <c r="F975" s="64" t="n"/>
      <c r="G975" s="65" t="n"/>
      <c r="H975" s="65" t="n"/>
      <c r="I975" s="64" t="n"/>
      <c r="J975" s="64" t="n"/>
      <c r="K975" s="63" t="n"/>
      <c r="L975" s="63" t="n"/>
      <c r="M975" s="64" t="n"/>
      <c r="N975" s="66" t="n"/>
      <c r="O975" s="65" t="n"/>
      <c r="P975" s="64" t="n"/>
      <c r="Q975" s="67" t="n"/>
      <c r="R975" s="67" t="n"/>
      <c r="S975" s="68" t="str">
        <f>IF(AND(ISNUMBER($Q975),ISNUMBER($R975)),$Q975-$R975,"")</f>
        <v/>
      </c>
      <c r="T975" s="65" t="n"/>
      <c r="U975" s="64" t="n"/>
      <c r="V975" s="65" t="n"/>
      <c r="W975" s="63" t="n"/>
      <c r="X975" s="65" t="n"/>
      <c r="Y975" s="63" t="n"/>
      <c r="Z975" s="64" t="n"/>
      <c r="AA975" s="64" t="n"/>
      <c r="AB975" s="65" t="n"/>
      <c r="AC975" s="69" t="str">
        <f>IF(OR($G975="",NOT(ISNUMBER($K975)),$AK975=0),"",MAX(0,ReportDate-$K975))</f>
        <v/>
      </c>
      <c r="AD975" s="69" t="str">
        <f>IF($G975="","",IF($AL975=1,ReportDate-$L975,0))</f>
        <v/>
      </c>
      <c r="AE975" s="70" t="str">
        <f>IF($G975="","",IF($M975="Completed",1,IF(ISNUMBER($N975),$N975,0)))</f>
        <v/>
      </c>
      <c r="AF975" s="70" t="str">
        <f>IF(AND(ISNUMBER($Q975),ISNUMBER($R975)),IF($R975&lt;&gt;0,$Q975/$R975,""),"")</f>
        <v/>
      </c>
      <c r="AG975" s="71" t="str">
        <f>IF($G975="","",IF($AL975=1,"OVERDUE",IF($AM975=1,"BLOCKED",IF($AN975=1,"DUE TODAY",IF($AO975=1,"DUE TOMORROW",IF($AQ975=1,"HIGH PRIORITY",IF($AR975=1,"NO RECENT UPDATE",""))))))) </f>
        <v/>
      </c>
      <c r="AH975" s="71" t="str">
        <f>IF($G975="","",IF(ISNUMBER($A975),IF(ISNUMBER($A975),YEAR($A975)&amp;"-"&amp;TEXT(MONTH($A975),"00"),""),IF(ISNUMBER($L975),IF(ISNUMBER($L975),YEAR($L975)&amp;"-"&amp;TEXT(MONTH($L975),"00"),""),"")))</f>
        <v/>
      </c>
      <c r="AI975" s="71">
        <f>IF($G975="",0,IF(AND(OR(fClient="All",$C975=fClient),OR(fCampaign="All",$D975=fCampaign),OR(fTeam="All",$B975=fTeam),OR(fChannel="All",$F975=fChannel),OR(fMonth="All",$AH975=fMonth),OR(fTStatus="All",$M975=fTStatus)),1,0))</f>
        <v>0</v>
      </c>
      <c r="AJ975" s="71">
        <f>IF($G975="",0,IF(AND(OR(fClient="All",$C975=fClient),OR(fCampaign="All",$D975=fCampaign),OR(fTeam="All",$B975=fTeam),OR(fChannel="All",$F975=fChannel)),1,0))</f>
        <v>0</v>
      </c>
      <c r="AK975" s="71">
        <f>IF($G975="",0,IF(OR($M975="Completed",$M975="Cancelled"),0,1))</f>
        <v>0</v>
      </c>
      <c r="AL975" s="71">
        <f>IF(AND($AK975=1,ISNUMBER($L975)),IF($L975&lt;ReportDate,1,0),0)</f>
        <v>0</v>
      </c>
      <c r="AM975" s="71">
        <f>IF(AND($G975&lt;&gt;"",$M975="Blocked"),1,0)</f>
        <v>0</v>
      </c>
      <c r="AN975" s="71">
        <f>IF(AND($AK975=1,ISNUMBER($L975)),IF($L975=ReportDate,1,0),0)</f>
        <v>0</v>
      </c>
      <c r="AO975" s="71">
        <f>IF(AND($AK975=1,ISNUMBER($L975)),IF($L975=ReportDate+1,1,0),0)</f>
        <v>0</v>
      </c>
      <c r="AP975" s="71">
        <f>IF(AND($AK975=1,ISNUMBER($L975)),IF(AND($L975&gt;=ReportDate,$L975&lt;=ReportDate+DueSoonDays),1,0),0)</f>
        <v>0</v>
      </c>
      <c r="AQ975" s="71">
        <f>IF(AND($AK975=1,OR($I975="Critical",$I975="High")),1,0)</f>
        <v>0</v>
      </c>
      <c r="AR975" s="71">
        <f>IF($AK975=1,IF(ISNUMBER($Y975),IF(ReportDate-$Y975&gt;StaleDays,1,0),1),0)</f>
        <v>0</v>
      </c>
      <c r="AS975" s="71">
        <f>IF(AND($G975&lt;&gt;"",ISNUMBER($Q975),ISNUMBER($R975)),IF(AND($Q975&lt;$R975,OR($M975="Completed",AND(ISNUMBER($L975),$L975&lt;ReportDate))),1,0),0)</f>
        <v>0</v>
      </c>
      <c r="AT975" s="71">
        <f>IF($AK975=1,IF(OR($L975=ReportDate,$W975=ReportDate,$K975=ReportDate,$A975=ReportDate),1,0),0)</f>
        <v>0</v>
      </c>
      <c r="AU975" s="71">
        <f>IF($AK975=1,IF(OR($L975=ReportDate+1,$W975=ReportDate+1,$K975=ReportDate+1,$A975=ReportDate+1),1,0),0)</f>
        <v>0</v>
      </c>
      <c r="AV975" s="71">
        <f>IF(AND($G975&lt;&gt;"",$M975="Completed"),IF(OR($Y975=ReportDate-1,$A975=ReportDate-1),1,0),0)</f>
        <v>0</v>
      </c>
      <c r="AW975" s="71">
        <f>IF(AND($AK975=1,$Z975="Yes"),1,0)</f>
        <v>0</v>
      </c>
      <c r="AX975" s="71">
        <f>IF(AND($AK975=1,$AA975="Yes"),1,0)</f>
        <v>0</v>
      </c>
      <c r="AY975" s="71">
        <f>IF(AND($AM975=1,OR($I975="Critical",$I975="High")),1,0)</f>
        <v>0</v>
      </c>
      <c r="AZ975" s="71">
        <f>IF(AND($AK975=1,OR($C975=TCL_Client,$C975=MECCA_Client)),1,0)</f>
        <v>0</v>
      </c>
      <c r="BA975" s="71" t="str">
        <f>IF($G975="","",IFERROR(MATCH($I975,lst_Priority,0),5))</f>
        <v/>
      </c>
      <c r="BB975" s="71" t="str">
        <f>IF(AND($AL975=1,$AJ975=1),$BA975*100000+ROW(),"")</f>
        <v/>
      </c>
      <c r="BC975" s="71" t="str">
        <f>IF(AND($AM975=1,$AJ975=1),$BA975*100000+ROW(),"")</f>
        <v/>
      </c>
      <c r="BD975" s="71" t="str">
        <f>IF(AND($AP975=1,$AJ975=1),$BA975*100000+ROW(),"")</f>
        <v/>
      </c>
      <c r="BE975" s="71" t="str">
        <f>IF(AND($AT975=1,$AJ975=1),$BA975*100000+ROW(),"")</f>
        <v/>
      </c>
      <c r="BF975" s="71" t="str">
        <f>IF(AND($AU975=1,$AJ975=1),$BA975*100000+ROW(),"")</f>
        <v/>
      </c>
      <c r="BG975" s="71" t="str">
        <f>IF(AND($AV975=1,$AJ975=1),$BA975*100000+ROW(),"")</f>
        <v/>
      </c>
      <c r="BH975" s="71" t="str">
        <f>IF(AND($AW975=1,$AJ975=1),$BA975*100000+ROW(),"")</f>
        <v/>
      </c>
      <c r="BI975" s="71" t="str">
        <f>IF(AND($AX975=1,$AJ975=1),$BA975*100000+ROW(),"")</f>
        <v/>
      </c>
      <c r="BJ975" s="71" t="str">
        <f>IF(AND($AS975=1,$AJ975=1),$BA975*100000+ROW(),"")</f>
        <v/>
      </c>
      <c r="BK975" s="71" t="str">
        <f>IF(AND($AY975=1,$AJ975=1),$BA975*100000+ROW(),"")</f>
        <v/>
      </c>
      <c r="BL975" s="71" t="str">
        <f>IF(AND($AZ975=1),$BA975*100000+ROW(),"")</f>
        <v/>
      </c>
    </row>
    <row r="976">
      <c r="A976" s="63" t="n"/>
      <c r="B976" s="64" t="n"/>
      <c r="C976" s="64" t="n"/>
      <c r="D976" s="64" t="n"/>
      <c r="E976" s="64" t="n"/>
      <c r="F976" s="64" t="n"/>
      <c r="G976" s="65" t="n"/>
      <c r="H976" s="65" t="n"/>
      <c r="I976" s="64" t="n"/>
      <c r="J976" s="64" t="n"/>
      <c r="K976" s="63" t="n"/>
      <c r="L976" s="63" t="n"/>
      <c r="M976" s="64" t="n"/>
      <c r="N976" s="66" t="n"/>
      <c r="O976" s="65" t="n"/>
      <c r="P976" s="64" t="n"/>
      <c r="Q976" s="67" t="n"/>
      <c r="R976" s="67" t="n"/>
      <c r="S976" s="68" t="str">
        <f>IF(AND(ISNUMBER($Q976),ISNUMBER($R976)),$Q976-$R976,"")</f>
        <v/>
      </c>
      <c r="T976" s="65" t="n"/>
      <c r="U976" s="64" t="n"/>
      <c r="V976" s="65" t="n"/>
      <c r="W976" s="63" t="n"/>
      <c r="X976" s="65" t="n"/>
      <c r="Y976" s="63" t="n"/>
      <c r="Z976" s="64" t="n"/>
      <c r="AA976" s="64" t="n"/>
      <c r="AB976" s="65" t="n"/>
      <c r="AC976" s="69" t="str">
        <f>IF(OR($G976="",NOT(ISNUMBER($K976)),$AK976=0),"",MAX(0,ReportDate-$K976))</f>
        <v/>
      </c>
      <c r="AD976" s="69" t="str">
        <f>IF($G976="","",IF($AL976=1,ReportDate-$L976,0))</f>
        <v/>
      </c>
      <c r="AE976" s="70" t="str">
        <f>IF($G976="","",IF($M976="Completed",1,IF(ISNUMBER($N976),$N976,0)))</f>
        <v/>
      </c>
      <c r="AF976" s="70" t="str">
        <f>IF(AND(ISNUMBER($Q976),ISNUMBER($R976)),IF($R976&lt;&gt;0,$Q976/$R976,""),"")</f>
        <v/>
      </c>
      <c r="AG976" s="71" t="str">
        <f>IF($G976="","",IF($AL976=1,"OVERDUE",IF($AM976=1,"BLOCKED",IF($AN976=1,"DUE TODAY",IF($AO976=1,"DUE TOMORROW",IF($AQ976=1,"HIGH PRIORITY",IF($AR976=1,"NO RECENT UPDATE",""))))))) </f>
        <v/>
      </c>
      <c r="AH976" s="71" t="str">
        <f>IF($G976="","",IF(ISNUMBER($A976),IF(ISNUMBER($A976),YEAR($A976)&amp;"-"&amp;TEXT(MONTH($A976),"00"),""),IF(ISNUMBER($L976),IF(ISNUMBER($L976),YEAR($L976)&amp;"-"&amp;TEXT(MONTH($L976),"00"),""),"")))</f>
        <v/>
      </c>
      <c r="AI976" s="71">
        <f>IF($G976="",0,IF(AND(OR(fClient="All",$C976=fClient),OR(fCampaign="All",$D976=fCampaign),OR(fTeam="All",$B976=fTeam),OR(fChannel="All",$F976=fChannel),OR(fMonth="All",$AH976=fMonth),OR(fTStatus="All",$M976=fTStatus)),1,0))</f>
        <v>0</v>
      </c>
      <c r="AJ976" s="71">
        <f>IF($G976="",0,IF(AND(OR(fClient="All",$C976=fClient),OR(fCampaign="All",$D976=fCampaign),OR(fTeam="All",$B976=fTeam),OR(fChannel="All",$F976=fChannel)),1,0))</f>
        <v>0</v>
      </c>
      <c r="AK976" s="71">
        <f>IF($G976="",0,IF(OR($M976="Completed",$M976="Cancelled"),0,1))</f>
        <v>0</v>
      </c>
      <c r="AL976" s="71">
        <f>IF(AND($AK976=1,ISNUMBER($L976)),IF($L976&lt;ReportDate,1,0),0)</f>
        <v>0</v>
      </c>
      <c r="AM976" s="71">
        <f>IF(AND($G976&lt;&gt;"",$M976="Blocked"),1,0)</f>
        <v>0</v>
      </c>
      <c r="AN976" s="71">
        <f>IF(AND($AK976=1,ISNUMBER($L976)),IF($L976=ReportDate,1,0),0)</f>
        <v>0</v>
      </c>
      <c r="AO976" s="71">
        <f>IF(AND($AK976=1,ISNUMBER($L976)),IF($L976=ReportDate+1,1,0),0)</f>
        <v>0</v>
      </c>
      <c r="AP976" s="71">
        <f>IF(AND($AK976=1,ISNUMBER($L976)),IF(AND($L976&gt;=ReportDate,$L976&lt;=ReportDate+DueSoonDays),1,0),0)</f>
        <v>0</v>
      </c>
      <c r="AQ976" s="71">
        <f>IF(AND($AK976=1,OR($I976="Critical",$I976="High")),1,0)</f>
        <v>0</v>
      </c>
      <c r="AR976" s="71">
        <f>IF($AK976=1,IF(ISNUMBER($Y976),IF(ReportDate-$Y976&gt;StaleDays,1,0),1),0)</f>
        <v>0</v>
      </c>
      <c r="AS976" s="71">
        <f>IF(AND($G976&lt;&gt;"",ISNUMBER($Q976),ISNUMBER($R976)),IF(AND($Q976&lt;$R976,OR($M976="Completed",AND(ISNUMBER($L976),$L976&lt;ReportDate))),1,0),0)</f>
        <v>0</v>
      </c>
      <c r="AT976" s="71">
        <f>IF($AK976=1,IF(OR($L976=ReportDate,$W976=ReportDate,$K976=ReportDate,$A976=ReportDate),1,0),0)</f>
        <v>0</v>
      </c>
      <c r="AU976" s="71">
        <f>IF($AK976=1,IF(OR($L976=ReportDate+1,$W976=ReportDate+1,$K976=ReportDate+1,$A976=ReportDate+1),1,0),0)</f>
        <v>0</v>
      </c>
      <c r="AV976" s="71">
        <f>IF(AND($G976&lt;&gt;"",$M976="Completed"),IF(OR($Y976=ReportDate-1,$A976=ReportDate-1),1,0),0)</f>
        <v>0</v>
      </c>
      <c r="AW976" s="71">
        <f>IF(AND($AK976=1,$Z976="Yes"),1,0)</f>
        <v>0</v>
      </c>
      <c r="AX976" s="71">
        <f>IF(AND($AK976=1,$AA976="Yes"),1,0)</f>
        <v>0</v>
      </c>
      <c r="AY976" s="71">
        <f>IF(AND($AM976=1,OR($I976="Critical",$I976="High")),1,0)</f>
        <v>0</v>
      </c>
      <c r="AZ976" s="71">
        <f>IF(AND($AK976=1,OR($C976=TCL_Client,$C976=MECCA_Client)),1,0)</f>
        <v>0</v>
      </c>
      <c r="BA976" s="71" t="str">
        <f>IF($G976="","",IFERROR(MATCH($I976,lst_Priority,0),5))</f>
        <v/>
      </c>
      <c r="BB976" s="71" t="str">
        <f>IF(AND($AL976=1,$AJ976=1),$BA976*100000+ROW(),"")</f>
        <v/>
      </c>
      <c r="BC976" s="71" t="str">
        <f>IF(AND($AM976=1,$AJ976=1),$BA976*100000+ROW(),"")</f>
        <v/>
      </c>
      <c r="BD976" s="71" t="str">
        <f>IF(AND($AP976=1,$AJ976=1),$BA976*100000+ROW(),"")</f>
        <v/>
      </c>
      <c r="BE976" s="71" t="str">
        <f>IF(AND($AT976=1,$AJ976=1),$BA976*100000+ROW(),"")</f>
        <v/>
      </c>
      <c r="BF976" s="71" t="str">
        <f>IF(AND($AU976=1,$AJ976=1),$BA976*100000+ROW(),"")</f>
        <v/>
      </c>
      <c r="BG976" s="71" t="str">
        <f>IF(AND($AV976=1,$AJ976=1),$BA976*100000+ROW(),"")</f>
        <v/>
      </c>
      <c r="BH976" s="71" t="str">
        <f>IF(AND($AW976=1,$AJ976=1),$BA976*100000+ROW(),"")</f>
        <v/>
      </c>
      <c r="BI976" s="71" t="str">
        <f>IF(AND($AX976=1,$AJ976=1),$BA976*100000+ROW(),"")</f>
        <v/>
      </c>
      <c r="BJ976" s="71" t="str">
        <f>IF(AND($AS976=1,$AJ976=1),$BA976*100000+ROW(),"")</f>
        <v/>
      </c>
      <c r="BK976" s="71" t="str">
        <f>IF(AND($AY976=1,$AJ976=1),$BA976*100000+ROW(),"")</f>
        <v/>
      </c>
      <c r="BL976" s="71" t="str">
        <f>IF(AND($AZ976=1),$BA976*100000+ROW(),"")</f>
        <v/>
      </c>
    </row>
    <row r="977">
      <c r="A977" s="63" t="n"/>
      <c r="B977" s="64" t="n"/>
      <c r="C977" s="64" t="n"/>
      <c r="D977" s="64" t="n"/>
      <c r="E977" s="64" t="n"/>
      <c r="F977" s="64" t="n"/>
      <c r="G977" s="65" t="n"/>
      <c r="H977" s="65" t="n"/>
      <c r="I977" s="64" t="n"/>
      <c r="J977" s="64" t="n"/>
      <c r="K977" s="63" t="n"/>
      <c r="L977" s="63" t="n"/>
      <c r="M977" s="64" t="n"/>
      <c r="N977" s="66" t="n"/>
      <c r="O977" s="65" t="n"/>
      <c r="P977" s="64" t="n"/>
      <c r="Q977" s="67" t="n"/>
      <c r="R977" s="67" t="n"/>
      <c r="S977" s="68" t="str">
        <f>IF(AND(ISNUMBER($Q977),ISNUMBER($R977)),$Q977-$R977,"")</f>
        <v/>
      </c>
      <c r="T977" s="65" t="n"/>
      <c r="U977" s="64" t="n"/>
      <c r="V977" s="65" t="n"/>
      <c r="W977" s="63" t="n"/>
      <c r="X977" s="65" t="n"/>
      <c r="Y977" s="63" t="n"/>
      <c r="Z977" s="64" t="n"/>
      <c r="AA977" s="64" t="n"/>
      <c r="AB977" s="65" t="n"/>
      <c r="AC977" s="69" t="str">
        <f>IF(OR($G977="",NOT(ISNUMBER($K977)),$AK977=0),"",MAX(0,ReportDate-$K977))</f>
        <v/>
      </c>
      <c r="AD977" s="69" t="str">
        <f>IF($G977="","",IF($AL977=1,ReportDate-$L977,0))</f>
        <v/>
      </c>
      <c r="AE977" s="70" t="str">
        <f>IF($G977="","",IF($M977="Completed",1,IF(ISNUMBER($N977),$N977,0)))</f>
        <v/>
      </c>
      <c r="AF977" s="70" t="str">
        <f>IF(AND(ISNUMBER($Q977),ISNUMBER($R977)),IF($R977&lt;&gt;0,$Q977/$R977,""),"")</f>
        <v/>
      </c>
      <c r="AG977" s="71" t="str">
        <f>IF($G977="","",IF($AL977=1,"OVERDUE",IF($AM977=1,"BLOCKED",IF($AN977=1,"DUE TODAY",IF($AO977=1,"DUE TOMORROW",IF($AQ977=1,"HIGH PRIORITY",IF($AR977=1,"NO RECENT UPDATE",""))))))) </f>
        <v/>
      </c>
      <c r="AH977" s="71" t="str">
        <f>IF($G977="","",IF(ISNUMBER($A977),IF(ISNUMBER($A977),YEAR($A977)&amp;"-"&amp;TEXT(MONTH($A977),"00"),""),IF(ISNUMBER($L977),IF(ISNUMBER($L977),YEAR($L977)&amp;"-"&amp;TEXT(MONTH($L977),"00"),""),"")))</f>
        <v/>
      </c>
      <c r="AI977" s="71">
        <f>IF($G977="",0,IF(AND(OR(fClient="All",$C977=fClient),OR(fCampaign="All",$D977=fCampaign),OR(fTeam="All",$B977=fTeam),OR(fChannel="All",$F977=fChannel),OR(fMonth="All",$AH977=fMonth),OR(fTStatus="All",$M977=fTStatus)),1,0))</f>
        <v>0</v>
      </c>
      <c r="AJ977" s="71">
        <f>IF($G977="",0,IF(AND(OR(fClient="All",$C977=fClient),OR(fCampaign="All",$D977=fCampaign),OR(fTeam="All",$B977=fTeam),OR(fChannel="All",$F977=fChannel)),1,0))</f>
        <v>0</v>
      </c>
      <c r="AK977" s="71">
        <f>IF($G977="",0,IF(OR($M977="Completed",$M977="Cancelled"),0,1))</f>
        <v>0</v>
      </c>
      <c r="AL977" s="71">
        <f>IF(AND($AK977=1,ISNUMBER($L977)),IF($L977&lt;ReportDate,1,0),0)</f>
        <v>0</v>
      </c>
      <c r="AM977" s="71">
        <f>IF(AND($G977&lt;&gt;"",$M977="Blocked"),1,0)</f>
        <v>0</v>
      </c>
      <c r="AN977" s="71">
        <f>IF(AND($AK977=1,ISNUMBER($L977)),IF($L977=ReportDate,1,0),0)</f>
        <v>0</v>
      </c>
      <c r="AO977" s="71">
        <f>IF(AND($AK977=1,ISNUMBER($L977)),IF($L977=ReportDate+1,1,0),0)</f>
        <v>0</v>
      </c>
      <c r="AP977" s="71">
        <f>IF(AND($AK977=1,ISNUMBER($L977)),IF(AND($L977&gt;=ReportDate,$L977&lt;=ReportDate+DueSoonDays),1,0),0)</f>
        <v>0</v>
      </c>
      <c r="AQ977" s="71">
        <f>IF(AND($AK977=1,OR($I977="Critical",$I977="High")),1,0)</f>
        <v>0</v>
      </c>
      <c r="AR977" s="71">
        <f>IF($AK977=1,IF(ISNUMBER($Y977),IF(ReportDate-$Y977&gt;StaleDays,1,0),1),0)</f>
        <v>0</v>
      </c>
      <c r="AS977" s="71">
        <f>IF(AND($G977&lt;&gt;"",ISNUMBER($Q977),ISNUMBER($R977)),IF(AND($Q977&lt;$R977,OR($M977="Completed",AND(ISNUMBER($L977),$L977&lt;ReportDate))),1,0),0)</f>
        <v>0</v>
      </c>
      <c r="AT977" s="71">
        <f>IF($AK977=1,IF(OR($L977=ReportDate,$W977=ReportDate,$K977=ReportDate,$A977=ReportDate),1,0),0)</f>
        <v>0</v>
      </c>
      <c r="AU977" s="71">
        <f>IF($AK977=1,IF(OR($L977=ReportDate+1,$W977=ReportDate+1,$K977=ReportDate+1,$A977=ReportDate+1),1,0),0)</f>
        <v>0</v>
      </c>
      <c r="AV977" s="71">
        <f>IF(AND($G977&lt;&gt;"",$M977="Completed"),IF(OR($Y977=ReportDate-1,$A977=ReportDate-1),1,0),0)</f>
        <v>0</v>
      </c>
      <c r="AW977" s="71">
        <f>IF(AND($AK977=1,$Z977="Yes"),1,0)</f>
        <v>0</v>
      </c>
      <c r="AX977" s="71">
        <f>IF(AND($AK977=1,$AA977="Yes"),1,0)</f>
        <v>0</v>
      </c>
      <c r="AY977" s="71">
        <f>IF(AND($AM977=1,OR($I977="Critical",$I977="High")),1,0)</f>
        <v>0</v>
      </c>
      <c r="AZ977" s="71">
        <f>IF(AND($AK977=1,OR($C977=TCL_Client,$C977=MECCA_Client)),1,0)</f>
        <v>0</v>
      </c>
      <c r="BA977" s="71" t="str">
        <f>IF($G977="","",IFERROR(MATCH($I977,lst_Priority,0),5))</f>
        <v/>
      </c>
      <c r="BB977" s="71" t="str">
        <f>IF(AND($AL977=1,$AJ977=1),$BA977*100000+ROW(),"")</f>
        <v/>
      </c>
      <c r="BC977" s="71" t="str">
        <f>IF(AND($AM977=1,$AJ977=1),$BA977*100000+ROW(),"")</f>
        <v/>
      </c>
      <c r="BD977" s="71" t="str">
        <f>IF(AND($AP977=1,$AJ977=1),$BA977*100000+ROW(),"")</f>
        <v/>
      </c>
      <c r="BE977" s="71" t="str">
        <f>IF(AND($AT977=1,$AJ977=1),$BA977*100000+ROW(),"")</f>
        <v/>
      </c>
      <c r="BF977" s="71" t="str">
        <f>IF(AND($AU977=1,$AJ977=1),$BA977*100000+ROW(),"")</f>
        <v/>
      </c>
      <c r="BG977" s="71" t="str">
        <f>IF(AND($AV977=1,$AJ977=1),$BA977*100000+ROW(),"")</f>
        <v/>
      </c>
      <c r="BH977" s="71" t="str">
        <f>IF(AND($AW977=1,$AJ977=1),$BA977*100000+ROW(),"")</f>
        <v/>
      </c>
      <c r="BI977" s="71" t="str">
        <f>IF(AND($AX977=1,$AJ977=1),$BA977*100000+ROW(),"")</f>
        <v/>
      </c>
      <c r="BJ977" s="71" t="str">
        <f>IF(AND($AS977=1,$AJ977=1),$BA977*100000+ROW(),"")</f>
        <v/>
      </c>
      <c r="BK977" s="71" t="str">
        <f>IF(AND($AY977=1,$AJ977=1),$BA977*100000+ROW(),"")</f>
        <v/>
      </c>
      <c r="BL977" s="71" t="str">
        <f>IF(AND($AZ977=1),$BA977*100000+ROW(),"")</f>
        <v/>
      </c>
    </row>
    <row r="978">
      <c r="A978" s="63" t="n"/>
      <c r="B978" s="64" t="n"/>
      <c r="C978" s="64" t="n"/>
      <c r="D978" s="64" t="n"/>
      <c r="E978" s="64" t="n"/>
      <c r="F978" s="64" t="n"/>
      <c r="G978" s="65" t="n"/>
      <c r="H978" s="65" t="n"/>
      <c r="I978" s="64" t="n"/>
      <c r="J978" s="64" t="n"/>
      <c r="K978" s="63" t="n"/>
      <c r="L978" s="63" t="n"/>
      <c r="M978" s="64" t="n"/>
      <c r="N978" s="66" t="n"/>
      <c r="O978" s="65" t="n"/>
      <c r="P978" s="64" t="n"/>
      <c r="Q978" s="67" t="n"/>
      <c r="R978" s="67" t="n"/>
      <c r="S978" s="68" t="str">
        <f>IF(AND(ISNUMBER($Q978),ISNUMBER($R978)),$Q978-$R978,"")</f>
        <v/>
      </c>
      <c r="T978" s="65" t="n"/>
      <c r="U978" s="64" t="n"/>
      <c r="V978" s="65" t="n"/>
      <c r="W978" s="63" t="n"/>
      <c r="X978" s="65" t="n"/>
      <c r="Y978" s="63" t="n"/>
      <c r="Z978" s="64" t="n"/>
      <c r="AA978" s="64" t="n"/>
      <c r="AB978" s="65" t="n"/>
      <c r="AC978" s="69" t="str">
        <f>IF(OR($G978="",NOT(ISNUMBER($K978)),$AK978=0),"",MAX(0,ReportDate-$K978))</f>
        <v/>
      </c>
      <c r="AD978" s="69" t="str">
        <f>IF($G978="","",IF($AL978=1,ReportDate-$L978,0))</f>
        <v/>
      </c>
      <c r="AE978" s="70" t="str">
        <f>IF($G978="","",IF($M978="Completed",1,IF(ISNUMBER($N978),$N978,0)))</f>
        <v/>
      </c>
      <c r="AF978" s="70" t="str">
        <f>IF(AND(ISNUMBER($Q978),ISNUMBER($R978)),IF($R978&lt;&gt;0,$Q978/$R978,""),"")</f>
        <v/>
      </c>
      <c r="AG978" s="71" t="str">
        <f>IF($G978="","",IF($AL978=1,"OVERDUE",IF($AM978=1,"BLOCKED",IF($AN978=1,"DUE TODAY",IF($AO978=1,"DUE TOMORROW",IF($AQ978=1,"HIGH PRIORITY",IF($AR978=1,"NO RECENT UPDATE",""))))))) </f>
        <v/>
      </c>
      <c r="AH978" s="71" t="str">
        <f>IF($G978="","",IF(ISNUMBER($A978),IF(ISNUMBER($A978),YEAR($A978)&amp;"-"&amp;TEXT(MONTH($A978),"00"),""),IF(ISNUMBER($L978),IF(ISNUMBER($L978),YEAR($L978)&amp;"-"&amp;TEXT(MONTH($L978),"00"),""),"")))</f>
        <v/>
      </c>
      <c r="AI978" s="71">
        <f>IF($G978="",0,IF(AND(OR(fClient="All",$C978=fClient),OR(fCampaign="All",$D978=fCampaign),OR(fTeam="All",$B978=fTeam),OR(fChannel="All",$F978=fChannel),OR(fMonth="All",$AH978=fMonth),OR(fTStatus="All",$M978=fTStatus)),1,0))</f>
        <v>0</v>
      </c>
      <c r="AJ978" s="71">
        <f>IF($G978="",0,IF(AND(OR(fClient="All",$C978=fClient),OR(fCampaign="All",$D978=fCampaign),OR(fTeam="All",$B978=fTeam),OR(fChannel="All",$F978=fChannel)),1,0))</f>
        <v>0</v>
      </c>
      <c r="AK978" s="71">
        <f>IF($G978="",0,IF(OR($M978="Completed",$M978="Cancelled"),0,1))</f>
        <v>0</v>
      </c>
      <c r="AL978" s="71">
        <f>IF(AND($AK978=1,ISNUMBER($L978)),IF($L978&lt;ReportDate,1,0),0)</f>
        <v>0</v>
      </c>
      <c r="AM978" s="71">
        <f>IF(AND($G978&lt;&gt;"",$M978="Blocked"),1,0)</f>
        <v>0</v>
      </c>
      <c r="AN978" s="71">
        <f>IF(AND($AK978=1,ISNUMBER($L978)),IF($L978=ReportDate,1,0),0)</f>
        <v>0</v>
      </c>
      <c r="AO978" s="71">
        <f>IF(AND($AK978=1,ISNUMBER($L978)),IF($L978=ReportDate+1,1,0),0)</f>
        <v>0</v>
      </c>
      <c r="AP978" s="71">
        <f>IF(AND($AK978=1,ISNUMBER($L978)),IF(AND($L978&gt;=ReportDate,$L978&lt;=ReportDate+DueSoonDays),1,0),0)</f>
        <v>0</v>
      </c>
      <c r="AQ978" s="71">
        <f>IF(AND($AK978=1,OR($I978="Critical",$I978="High")),1,0)</f>
        <v>0</v>
      </c>
      <c r="AR978" s="71">
        <f>IF($AK978=1,IF(ISNUMBER($Y978),IF(ReportDate-$Y978&gt;StaleDays,1,0),1),0)</f>
        <v>0</v>
      </c>
      <c r="AS978" s="71">
        <f>IF(AND($G978&lt;&gt;"",ISNUMBER($Q978),ISNUMBER($R978)),IF(AND($Q978&lt;$R978,OR($M978="Completed",AND(ISNUMBER($L978),$L978&lt;ReportDate))),1,0),0)</f>
        <v>0</v>
      </c>
      <c r="AT978" s="71">
        <f>IF($AK978=1,IF(OR($L978=ReportDate,$W978=ReportDate,$K978=ReportDate,$A978=ReportDate),1,0),0)</f>
        <v>0</v>
      </c>
      <c r="AU978" s="71">
        <f>IF($AK978=1,IF(OR($L978=ReportDate+1,$W978=ReportDate+1,$K978=ReportDate+1,$A978=ReportDate+1),1,0),0)</f>
        <v>0</v>
      </c>
      <c r="AV978" s="71">
        <f>IF(AND($G978&lt;&gt;"",$M978="Completed"),IF(OR($Y978=ReportDate-1,$A978=ReportDate-1),1,0),0)</f>
        <v>0</v>
      </c>
      <c r="AW978" s="71">
        <f>IF(AND($AK978=1,$Z978="Yes"),1,0)</f>
        <v>0</v>
      </c>
      <c r="AX978" s="71">
        <f>IF(AND($AK978=1,$AA978="Yes"),1,0)</f>
        <v>0</v>
      </c>
      <c r="AY978" s="71">
        <f>IF(AND($AM978=1,OR($I978="Critical",$I978="High")),1,0)</f>
        <v>0</v>
      </c>
      <c r="AZ978" s="71">
        <f>IF(AND($AK978=1,OR($C978=TCL_Client,$C978=MECCA_Client)),1,0)</f>
        <v>0</v>
      </c>
      <c r="BA978" s="71" t="str">
        <f>IF($G978="","",IFERROR(MATCH($I978,lst_Priority,0),5))</f>
        <v/>
      </c>
      <c r="BB978" s="71" t="str">
        <f>IF(AND($AL978=1,$AJ978=1),$BA978*100000+ROW(),"")</f>
        <v/>
      </c>
      <c r="BC978" s="71" t="str">
        <f>IF(AND($AM978=1,$AJ978=1),$BA978*100000+ROW(),"")</f>
        <v/>
      </c>
      <c r="BD978" s="71" t="str">
        <f>IF(AND($AP978=1,$AJ978=1),$BA978*100000+ROW(),"")</f>
        <v/>
      </c>
      <c r="BE978" s="71" t="str">
        <f>IF(AND($AT978=1,$AJ978=1),$BA978*100000+ROW(),"")</f>
        <v/>
      </c>
      <c r="BF978" s="71" t="str">
        <f>IF(AND($AU978=1,$AJ978=1),$BA978*100000+ROW(),"")</f>
        <v/>
      </c>
      <c r="BG978" s="71" t="str">
        <f>IF(AND($AV978=1,$AJ978=1),$BA978*100000+ROW(),"")</f>
        <v/>
      </c>
      <c r="BH978" s="71" t="str">
        <f>IF(AND($AW978=1,$AJ978=1),$BA978*100000+ROW(),"")</f>
        <v/>
      </c>
      <c r="BI978" s="71" t="str">
        <f>IF(AND($AX978=1,$AJ978=1),$BA978*100000+ROW(),"")</f>
        <v/>
      </c>
      <c r="BJ978" s="71" t="str">
        <f>IF(AND($AS978=1,$AJ978=1),$BA978*100000+ROW(),"")</f>
        <v/>
      </c>
      <c r="BK978" s="71" t="str">
        <f>IF(AND($AY978=1,$AJ978=1),$BA978*100000+ROW(),"")</f>
        <v/>
      </c>
      <c r="BL978" s="71" t="str">
        <f>IF(AND($AZ978=1),$BA978*100000+ROW(),"")</f>
        <v/>
      </c>
    </row>
    <row r="979">
      <c r="A979" s="63" t="n"/>
      <c r="B979" s="64" t="n"/>
      <c r="C979" s="64" t="n"/>
      <c r="D979" s="64" t="n"/>
      <c r="E979" s="64" t="n"/>
      <c r="F979" s="64" t="n"/>
      <c r="G979" s="65" t="n"/>
      <c r="H979" s="65" t="n"/>
      <c r="I979" s="64" t="n"/>
      <c r="J979" s="64" t="n"/>
      <c r="K979" s="63" t="n"/>
      <c r="L979" s="63" t="n"/>
      <c r="M979" s="64" t="n"/>
      <c r="N979" s="66" t="n"/>
      <c r="O979" s="65" t="n"/>
      <c r="P979" s="64" t="n"/>
      <c r="Q979" s="67" t="n"/>
      <c r="R979" s="67" t="n"/>
      <c r="S979" s="68" t="str">
        <f>IF(AND(ISNUMBER($Q979),ISNUMBER($R979)),$Q979-$R979,"")</f>
        <v/>
      </c>
      <c r="T979" s="65" t="n"/>
      <c r="U979" s="64" t="n"/>
      <c r="V979" s="65" t="n"/>
      <c r="W979" s="63" t="n"/>
      <c r="X979" s="65" t="n"/>
      <c r="Y979" s="63" t="n"/>
      <c r="Z979" s="64" t="n"/>
      <c r="AA979" s="64" t="n"/>
      <c r="AB979" s="65" t="n"/>
      <c r="AC979" s="69" t="str">
        <f>IF(OR($G979="",NOT(ISNUMBER($K979)),$AK979=0),"",MAX(0,ReportDate-$K979))</f>
        <v/>
      </c>
      <c r="AD979" s="69" t="str">
        <f>IF($G979="","",IF($AL979=1,ReportDate-$L979,0))</f>
        <v/>
      </c>
      <c r="AE979" s="70" t="str">
        <f>IF($G979="","",IF($M979="Completed",1,IF(ISNUMBER($N979),$N979,0)))</f>
        <v/>
      </c>
      <c r="AF979" s="70" t="str">
        <f>IF(AND(ISNUMBER($Q979),ISNUMBER($R979)),IF($R979&lt;&gt;0,$Q979/$R979,""),"")</f>
        <v/>
      </c>
      <c r="AG979" s="71" t="str">
        <f>IF($G979="","",IF($AL979=1,"OVERDUE",IF($AM979=1,"BLOCKED",IF($AN979=1,"DUE TODAY",IF($AO979=1,"DUE TOMORROW",IF($AQ979=1,"HIGH PRIORITY",IF($AR979=1,"NO RECENT UPDATE",""))))))) </f>
        <v/>
      </c>
      <c r="AH979" s="71" t="str">
        <f>IF($G979="","",IF(ISNUMBER($A979),IF(ISNUMBER($A979),YEAR($A979)&amp;"-"&amp;TEXT(MONTH($A979),"00"),""),IF(ISNUMBER($L979),IF(ISNUMBER($L979),YEAR($L979)&amp;"-"&amp;TEXT(MONTH($L979),"00"),""),"")))</f>
        <v/>
      </c>
      <c r="AI979" s="71">
        <f>IF($G979="",0,IF(AND(OR(fClient="All",$C979=fClient),OR(fCampaign="All",$D979=fCampaign),OR(fTeam="All",$B979=fTeam),OR(fChannel="All",$F979=fChannel),OR(fMonth="All",$AH979=fMonth),OR(fTStatus="All",$M979=fTStatus)),1,0))</f>
        <v>0</v>
      </c>
      <c r="AJ979" s="71">
        <f>IF($G979="",0,IF(AND(OR(fClient="All",$C979=fClient),OR(fCampaign="All",$D979=fCampaign),OR(fTeam="All",$B979=fTeam),OR(fChannel="All",$F979=fChannel)),1,0))</f>
        <v>0</v>
      </c>
      <c r="AK979" s="71">
        <f>IF($G979="",0,IF(OR($M979="Completed",$M979="Cancelled"),0,1))</f>
        <v>0</v>
      </c>
      <c r="AL979" s="71">
        <f>IF(AND($AK979=1,ISNUMBER($L979)),IF($L979&lt;ReportDate,1,0),0)</f>
        <v>0</v>
      </c>
      <c r="AM979" s="71">
        <f>IF(AND($G979&lt;&gt;"",$M979="Blocked"),1,0)</f>
        <v>0</v>
      </c>
      <c r="AN979" s="71">
        <f>IF(AND($AK979=1,ISNUMBER($L979)),IF($L979=ReportDate,1,0),0)</f>
        <v>0</v>
      </c>
      <c r="AO979" s="71">
        <f>IF(AND($AK979=1,ISNUMBER($L979)),IF($L979=ReportDate+1,1,0),0)</f>
        <v>0</v>
      </c>
      <c r="AP979" s="71">
        <f>IF(AND($AK979=1,ISNUMBER($L979)),IF(AND($L979&gt;=ReportDate,$L979&lt;=ReportDate+DueSoonDays),1,0),0)</f>
        <v>0</v>
      </c>
      <c r="AQ979" s="71">
        <f>IF(AND($AK979=1,OR($I979="Critical",$I979="High")),1,0)</f>
        <v>0</v>
      </c>
      <c r="AR979" s="71">
        <f>IF($AK979=1,IF(ISNUMBER($Y979),IF(ReportDate-$Y979&gt;StaleDays,1,0),1),0)</f>
        <v>0</v>
      </c>
      <c r="AS979" s="71">
        <f>IF(AND($G979&lt;&gt;"",ISNUMBER($Q979),ISNUMBER($R979)),IF(AND($Q979&lt;$R979,OR($M979="Completed",AND(ISNUMBER($L979),$L979&lt;ReportDate))),1,0),0)</f>
        <v>0</v>
      </c>
      <c r="AT979" s="71">
        <f>IF($AK979=1,IF(OR($L979=ReportDate,$W979=ReportDate,$K979=ReportDate,$A979=ReportDate),1,0),0)</f>
        <v>0</v>
      </c>
      <c r="AU979" s="71">
        <f>IF($AK979=1,IF(OR($L979=ReportDate+1,$W979=ReportDate+1,$K979=ReportDate+1,$A979=ReportDate+1),1,0),0)</f>
        <v>0</v>
      </c>
      <c r="AV979" s="71">
        <f>IF(AND($G979&lt;&gt;"",$M979="Completed"),IF(OR($Y979=ReportDate-1,$A979=ReportDate-1),1,0),0)</f>
        <v>0</v>
      </c>
      <c r="AW979" s="71">
        <f>IF(AND($AK979=1,$Z979="Yes"),1,0)</f>
        <v>0</v>
      </c>
      <c r="AX979" s="71">
        <f>IF(AND($AK979=1,$AA979="Yes"),1,0)</f>
        <v>0</v>
      </c>
      <c r="AY979" s="71">
        <f>IF(AND($AM979=1,OR($I979="Critical",$I979="High")),1,0)</f>
        <v>0</v>
      </c>
      <c r="AZ979" s="71">
        <f>IF(AND($AK979=1,OR($C979=TCL_Client,$C979=MECCA_Client)),1,0)</f>
        <v>0</v>
      </c>
      <c r="BA979" s="71" t="str">
        <f>IF($G979="","",IFERROR(MATCH($I979,lst_Priority,0),5))</f>
        <v/>
      </c>
      <c r="BB979" s="71" t="str">
        <f>IF(AND($AL979=1,$AJ979=1),$BA979*100000+ROW(),"")</f>
        <v/>
      </c>
      <c r="BC979" s="71" t="str">
        <f>IF(AND($AM979=1,$AJ979=1),$BA979*100000+ROW(),"")</f>
        <v/>
      </c>
      <c r="BD979" s="71" t="str">
        <f>IF(AND($AP979=1,$AJ979=1),$BA979*100000+ROW(),"")</f>
        <v/>
      </c>
      <c r="BE979" s="71" t="str">
        <f>IF(AND($AT979=1,$AJ979=1),$BA979*100000+ROW(),"")</f>
        <v/>
      </c>
      <c r="BF979" s="71" t="str">
        <f>IF(AND($AU979=1,$AJ979=1),$BA979*100000+ROW(),"")</f>
        <v/>
      </c>
      <c r="BG979" s="71" t="str">
        <f>IF(AND($AV979=1,$AJ979=1),$BA979*100000+ROW(),"")</f>
        <v/>
      </c>
      <c r="BH979" s="71" t="str">
        <f>IF(AND($AW979=1,$AJ979=1),$BA979*100000+ROW(),"")</f>
        <v/>
      </c>
      <c r="BI979" s="71" t="str">
        <f>IF(AND($AX979=1,$AJ979=1),$BA979*100000+ROW(),"")</f>
        <v/>
      </c>
      <c r="BJ979" s="71" t="str">
        <f>IF(AND($AS979=1,$AJ979=1),$BA979*100000+ROW(),"")</f>
        <v/>
      </c>
      <c r="BK979" s="71" t="str">
        <f>IF(AND($AY979=1,$AJ979=1),$BA979*100000+ROW(),"")</f>
        <v/>
      </c>
      <c r="BL979" s="71" t="str">
        <f>IF(AND($AZ979=1),$BA979*100000+ROW(),"")</f>
        <v/>
      </c>
    </row>
    <row r="980">
      <c r="A980" s="63" t="n"/>
      <c r="B980" s="64" t="n"/>
      <c r="C980" s="64" t="n"/>
      <c r="D980" s="64" t="n"/>
      <c r="E980" s="64" t="n"/>
      <c r="F980" s="64" t="n"/>
      <c r="G980" s="65" t="n"/>
      <c r="H980" s="65" t="n"/>
      <c r="I980" s="64" t="n"/>
      <c r="J980" s="64" t="n"/>
      <c r="K980" s="63" t="n"/>
      <c r="L980" s="63" t="n"/>
      <c r="M980" s="64" t="n"/>
      <c r="N980" s="66" t="n"/>
      <c r="O980" s="65" t="n"/>
      <c r="P980" s="64" t="n"/>
      <c r="Q980" s="67" t="n"/>
      <c r="R980" s="67" t="n"/>
      <c r="S980" s="68" t="str">
        <f>IF(AND(ISNUMBER($Q980),ISNUMBER($R980)),$Q980-$R980,"")</f>
        <v/>
      </c>
      <c r="T980" s="65" t="n"/>
      <c r="U980" s="64" t="n"/>
      <c r="V980" s="65" t="n"/>
      <c r="W980" s="63" t="n"/>
      <c r="X980" s="65" t="n"/>
      <c r="Y980" s="63" t="n"/>
      <c r="Z980" s="64" t="n"/>
      <c r="AA980" s="64" t="n"/>
      <c r="AB980" s="65" t="n"/>
      <c r="AC980" s="69" t="str">
        <f>IF(OR($G980="",NOT(ISNUMBER($K980)),$AK980=0),"",MAX(0,ReportDate-$K980))</f>
        <v/>
      </c>
      <c r="AD980" s="69" t="str">
        <f>IF($G980="","",IF($AL980=1,ReportDate-$L980,0))</f>
        <v/>
      </c>
      <c r="AE980" s="70" t="str">
        <f>IF($G980="","",IF($M980="Completed",1,IF(ISNUMBER($N980),$N980,0)))</f>
        <v/>
      </c>
      <c r="AF980" s="70" t="str">
        <f>IF(AND(ISNUMBER($Q980),ISNUMBER($R980)),IF($R980&lt;&gt;0,$Q980/$R980,""),"")</f>
        <v/>
      </c>
      <c r="AG980" s="71" t="str">
        <f>IF($G980="","",IF($AL980=1,"OVERDUE",IF($AM980=1,"BLOCKED",IF($AN980=1,"DUE TODAY",IF($AO980=1,"DUE TOMORROW",IF($AQ980=1,"HIGH PRIORITY",IF($AR980=1,"NO RECENT UPDATE",""))))))) </f>
        <v/>
      </c>
      <c r="AH980" s="71" t="str">
        <f>IF($G980="","",IF(ISNUMBER($A980),IF(ISNUMBER($A980),YEAR($A980)&amp;"-"&amp;TEXT(MONTH($A980),"00"),""),IF(ISNUMBER($L980),IF(ISNUMBER($L980),YEAR($L980)&amp;"-"&amp;TEXT(MONTH($L980),"00"),""),"")))</f>
        <v/>
      </c>
      <c r="AI980" s="71">
        <f>IF($G980="",0,IF(AND(OR(fClient="All",$C980=fClient),OR(fCampaign="All",$D980=fCampaign),OR(fTeam="All",$B980=fTeam),OR(fChannel="All",$F980=fChannel),OR(fMonth="All",$AH980=fMonth),OR(fTStatus="All",$M980=fTStatus)),1,0))</f>
        <v>0</v>
      </c>
      <c r="AJ980" s="71">
        <f>IF($G980="",0,IF(AND(OR(fClient="All",$C980=fClient),OR(fCampaign="All",$D980=fCampaign),OR(fTeam="All",$B980=fTeam),OR(fChannel="All",$F980=fChannel)),1,0))</f>
        <v>0</v>
      </c>
      <c r="AK980" s="71">
        <f>IF($G980="",0,IF(OR($M980="Completed",$M980="Cancelled"),0,1))</f>
        <v>0</v>
      </c>
      <c r="AL980" s="71">
        <f>IF(AND($AK980=1,ISNUMBER($L980)),IF($L980&lt;ReportDate,1,0),0)</f>
        <v>0</v>
      </c>
      <c r="AM980" s="71">
        <f>IF(AND($G980&lt;&gt;"",$M980="Blocked"),1,0)</f>
        <v>0</v>
      </c>
      <c r="AN980" s="71">
        <f>IF(AND($AK980=1,ISNUMBER($L980)),IF($L980=ReportDate,1,0),0)</f>
        <v>0</v>
      </c>
      <c r="AO980" s="71">
        <f>IF(AND($AK980=1,ISNUMBER($L980)),IF($L980=ReportDate+1,1,0),0)</f>
        <v>0</v>
      </c>
      <c r="AP980" s="71">
        <f>IF(AND($AK980=1,ISNUMBER($L980)),IF(AND($L980&gt;=ReportDate,$L980&lt;=ReportDate+DueSoonDays),1,0),0)</f>
        <v>0</v>
      </c>
      <c r="AQ980" s="71">
        <f>IF(AND($AK980=1,OR($I980="Critical",$I980="High")),1,0)</f>
        <v>0</v>
      </c>
      <c r="AR980" s="71">
        <f>IF($AK980=1,IF(ISNUMBER($Y980),IF(ReportDate-$Y980&gt;StaleDays,1,0),1),0)</f>
        <v>0</v>
      </c>
      <c r="AS980" s="71">
        <f>IF(AND($G980&lt;&gt;"",ISNUMBER($Q980),ISNUMBER($R980)),IF(AND($Q980&lt;$R980,OR($M980="Completed",AND(ISNUMBER($L980),$L980&lt;ReportDate))),1,0),0)</f>
        <v>0</v>
      </c>
      <c r="AT980" s="71">
        <f>IF($AK980=1,IF(OR($L980=ReportDate,$W980=ReportDate,$K980=ReportDate,$A980=ReportDate),1,0),0)</f>
        <v>0</v>
      </c>
      <c r="AU980" s="71">
        <f>IF($AK980=1,IF(OR($L980=ReportDate+1,$W980=ReportDate+1,$K980=ReportDate+1,$A980=ReportDate+1),1,0),0)</f>
        <v>0</v>
      </c>
      <c r="AV980" s="71">
        <f>IF(AND($G980&lt;&gt;"",$M980="Completed"),IF(OR($Y980=ReportDate-1,$A980=ReportDate-1),1,0),0)</f>
        <v>0</v>
      </c>
      <c r="AW980" s="71">
        <f>IF(AND($AK980=1,$Z980="Yes"),1,0)</f>
        <v>0</v>
      </c>
      <c r="AX980" s="71">
        <f>IF(AND($AK980=1,$AA980="Yes"),1,0)</f>
        <v>0</v>
      </c>
      <c r="AY980" s="71">
        <f>IF(AND($AM980=1,OR($I980="Critical",$I980="High")),1,0)</f>
        <v>0</v>
      </c>
      <c r="AZ980" s="71">
        <f>IF(AND($AK980=1,OR($C980=TCL_Client,$C980=MECCA_Client)),1,0)</f>
        <v>0</v>
      </c>
      <c r="BA980" s="71" t="str">
        <f>IF($G980="","",IFERROR(MATCH($I980,lst_Priority,0),5))</f>
        <v/>
      </c>
      <c r="BB980" s="71" t="str">
        <f>IF(AND($AL980=1,$AJ980=1),$BA980*100000+ROW(),"")</f>
        <v/>
      </c>
      <c r="BC980" s="71" t="str">
        <f>IF(AND($AM980=1,$AJ980=1),$BA980*100000+ROW(),"")</f>
        <v/>
      </c>
      <c r="BD980" s="71" t="str">
        <f>IF(AND($AP980=1,$AJ980=1),$BA980*100000+ROW(),"")</f>
        <v/>
      </c>
      <c r="BE980" s="71" t="str">
        <f>IF(AND($AT980=1,$AJ980=1),$BA980*100000+ROW(),"")</f>
        <v/>
      </c>
      <c r="BF980" s="71" t="str">
        <f>IF(AND($AU980=1,$AJ980=1),$BA980*100000+ROW(),"")</f>
        <v/>
      </c>
      <c r="BG980" s="71" t="str">
        <f>IF(AND($AV980=1,$AJ980=1),$BA980*100000+ROW(),"")</f>
        <v/>
      </c>
      <c r="BH980" s="71" t="str">
        <f>IF(AND($AW980=1,$AJ980=1),$BA980*100000+ROW(),"")</f>
        <v/>
      </c>
      <c r="BI980" s="71" t="str">
        <f>IF(AND($AX980=1,$AJ980=1),$BA980*100000+ROW(),"")</f>
        <v/>
      </c>
      <c r="BJ980" s="71" t="str">
        <f>IF(AND($AS980=1,$AJ980=1),$BA980*100000+ROW(),"")</f>
        <v/>
      </c>
      <c r="BK980" s="71" t="str">
        <f>IF(AND($AY980=1,$AJ980=1),$BA980*100000+ROW(),"")</f>
        <v/>
      </c>
      <c r="BL980" s="71" t="str">
        <f>IF(AND($AZ980=1),$BA980*100000+ROW(),"")</f>
        <v/>
      </c>
    </row>
    <row r="981">
      <c r="A981" s="63" t="n"/>
      <c r="B981" s="64" t="n"/>
      <c r="C981" s="64" t="n"/>
      <c r="D981" s="64" t="n"/>
      <c r="E981" s="64" t="n"/>
      <c r="F981" s="64" t="n"/>
      <c r="G981" s="65" t="n"/>
      <c r="H981" s="65" t="n"/>
      <c r="I981" s="64" t="n"/>
      <c r="J981" s="64" t="n"/>
      <c r="K981" s="63" t="n"/>
      <c r="L981" s="63" t="n"/>
      <c r="M981" s="64" t="n"/>
      <c r="N981" s="66" t="n"/>
      <c r="O981" s="65" t="n"/>
      <c r="P981" s="64" t="n"/>
      <c r="Q981" s="67" t="n"/>
      <c r="R981" s="67" t="n"/>
      <c r="S981" s="68" t="str">
        <f>IF(AND(ISNUMBER($Q981),ISNUMBER($R981)),$Q981-$R981,"")</f>
        <v/>
      </c>
      <c r="T981" s="65" t="n"/>
      <c r="U981" s="64" t="n"/>
      <c r="V981" s="65" t="n"/>
      <c r="W981" s="63" t="n"/>
      <c r="X981" s="65" t="n"/>
      <c r="Y981" s="63" t="n"/>
      <c r="Z981" s="64" t="n"/>
      <c r="AA981" s="64" t="n"/>
      <c r="AB981" s="65" t="n"/>
      <c r="AC981" s="69" t="str">
        <f>IF(OR($G981="",NOT(ISNUMBER($K981)),$AK981=0),"",MAX(0,ReportDate-$K981))</f>
        <v/>
      </c>
      <c r="AD981" s="69" t="str">
        <f>IF($G981="","",IF($AL981=1,ReportDate-$L981,0))</f>
        <v/>
      </c>
      <c r="AE981" s="70" t="str">
        <f>IF($G981="","",IF($M981="Completed",1,IF(ISNUMBER($N981),$N981,0)))</f>
        <v/>
      </c>
      <c r="AF981" s="70" t="str">
        <f>IF(AND(ISNUMBER($Q981),ISNUMBER($R981)),IF($R981&lt;&gt;0,$Q981/$R981,""),"")</f>
        <v/>
      </c>
      <c r="AG981" s="71" t="str">
        <f>IF($G981="","",IF($AL981=1,"OVERDUE",IF($AM981=1,"BLOCKED",IF($AN981=1,"DUE TODAY",IF($AO981=1,"DUE TOMORROW",IF($AQ981=1,"HIGH PRIORITY",IF($AR981=1,"NO RECENT UPDATE",""))))))) </f>
        <v/>
      </c>
      <c r="AH981" s="71" t="str">
        <f>IF($G981="","",IF(ISNUMBER($A981),IF(ISNUMBER($A981),YEAR($A981)&amp;"-"&amp;TEXT(MONTH($A981),"00"),""),IF(ISNUMBER($L981),IF(ISNUMBER($L981),YEAR($L981)&amp;"-"&amp;TEXT(MONTH($L981),"00"),""),"")))</f>
        <v/>
      </c>
      <c r="AI981" s="71">
        <f>IF($G981="",0,IF(AND(OR(fClient="All",$C981=fClient),OR(fCampaign="All",$D981=fCampaign),OR(fTeam="All",$B981=fTeam),OR(fChannel="All",$F981=fChannel),OR(fMonth="All",$AH981=fMonth),OR(fTStatus="All",$M981=fTStatus)),1,0))</f>
        <v>0</v>
      </c>
      <c r="AJ981" s="71">
        <f>IF($G981="",0,IF(AND(OR(fClient="All",$C981=fClient),OR(fCampaign="All",$D981=fCampaign),OR(fTeam="All",$B981=fTeam),OR(fChannel="All",$F981=fChannel)),1,0))</f>
        <v>0</v>
      </c>
      <c r="AK981" s="71">
        <f>IF($G981="",0,IF(OR($M981="Completed",$M981="Cancelled"),0,1))</f>
        <v>0</v>
      </c>
      <c r="AL981" s="71">
        <f>IF(AND($AK981=1,ISNUMBER($L981)),IF($L981&lt;ReportDate,1,0),0)</f>
        <v>0</v>
      </c>
      <c r="AM981" s="71">
        <f>IF(AND($G981&lt;&gt;"",$M981="Blocked"),1,0)</f>
        <v>0</v>
      </c>
      <c r="AN981" s="71">
        <f>IF(AND($AK981=1,ISNUMBER($L981)),IF($L981=ReportDate,1,0),0)</f>
        <v>0</v>
      </c>
      <c r="AO981" s="71">
        <f>IF(AND($AK981=1,ISNUMBER($L981)),IF($L981=ReportDate+1,1,0),0)</f>
        <v>0</v>
      </c>
      <c r="AP981" s="71">
        <f>IF(AND($AK981=1,ISNUMBER($L981)),IF(AND($L981&gt;=ReportDate,$L981&lt;=ReportDate+DueSoonDays),1,0),0)</f>
        <v>0</v>
      </c>
      <c r="AQ981" s="71">
        <f>IF(AND($AK981=1,OR($I981="Critical",$I981="High")),1,0)</f>
        <v>0</v>
      </c>
      <c r="AR981" s="71">
        <f>IF($AK981=1,IF(ISNUMBER($Y981),IF(ReportDate-$Y981&gt;StaleDays,1,0),1),0)</f>
        <v>0</v>
      </c>
      <c r="AS981" s="71">
        <f>IF(AND($G981&lt;&gt;"",ISNUMBER($Q981),ISNUMBER($R981)),IF(AND($Q981&lt;$R981,OR($M981="Completed",AND(ISNUMBER($L981),$L981&lt;ReportDate))),1,0),0)</f>
        <v>0</v>
      </c>
      <c r="AT981" s="71">
        <f>IF($AK981=1,IF(OR($L981=ReportDate,$W981=ReportDate,$K981=ReportDate,$A981=ReportDate),1,0),0)</f>
        <v>0</v>
      </c>
      <c r="AU981" s="71">
        <f>IF($AK981=1,IF(OR($L981=ReportDate+1,$W981=ReportDate+1,$K981=ReportDate+1,$A981=ReportDate+1),1,0),0)</f>
        <v>0</v>
      </c>
      <c r="AV981" s="71">
        <f>IF(AND($G981&lt;&gt;"",$M981="Completed"),IF(OR($Y981=ReportDate-1,$A981=ReportDate-1),1,0),0)</f>
        <v>0</v>
      </c>
      <c r="AW981" s="71">
        <f>IF(AND($AK981=1,$Z981="Yes"),1,0)</f>
        <v>0</v>
      </c>
      <c r="AX981" s="71">
        <f>IF(AND($AK981=1,$AA981="Yes"),1,0)</f>
        <v>0</v>
      </c>
      <c r="AY981" s="71">
        <f>IF(AND($AM981=1,OR($I981="Critical",$I981="High")),1,0)</f>
        <v>0</v>
      </c>
      <c r="AZ981" s="71">
        <f>IF(AND($AK981=1,OR($C981=TCL_Client,$C981=MECCA_Client)),1,0)</f>
        <v>0</v>
      </c>
      <c r="BA981" s="71" t="str">
        <f>IF($G981="","",IFERROR(MATCH($I981,lst_Priority,0),5))</f>
        <v/>
      </c>
      <c r="BB981" s="71" t="str">
        <f>IF(AND($AL981=1,$AJ981=1),$BA981*100000+ROW(),"")</f>
        <v/>
      </c>
      <c r="BC981" s="71" t="str">
        <f>IF(AND($AM981=1,$AJ981=1),$BA981*100000+ROW(),"")</f>
        <v/>
      </c>
      <c r="BD981" s="71" t="str">
        <f>IF(AND($AP981=1,$AJ981=1),$BA981*100000+ROW(),"")</f>
        <v/>
      </c>
      <c r="BE981" s="71" t="str">
        <f>IF(AND($AT981=1,$AJ981=1),$BA981*100000+ROW(),"")</f>
        <v/>
      </c>
      <c r="BF981" s="71" t="str">
        <f>IF(AND($AU981=1,$AJ981=1),$BA981*100000+ROW(),"")</f>
        <v/>
      </c>
      <c r="BG981" s="71" t="str">
        <f>IF(AND($AV981=1,$AJ981=1),$BA981*100000+ROW(),"")</f>
        <v/>
      </c>
      <c r="BH981" s="71" t="str">
        <f>IF(AND($AW981=1,$AJ981=1),$BA981*100000+ROW(),"")</f>
        <v/>
      </c>
      <c r="BI981" s="71" t="str">
        <f>IF(AND($AX981=1,$AJ981=1),$BA981*100000+ROW(),"")</f>
        <v/>
      </c>
      <c r="BJ981" s="71" t="str">
        <f>IF(AND($AS981=1,$AJ981=1),$BA981*100000+ROW(),"")</f>
        <v/>
      </c>
      <c r="BK981" s="71" t="str">
        <f>IF(AND($AY981=1,$AJ981=1),$BA981*100000+ROW(),"")</f>
        <v/>
      </c>
      <c r="BL981" s="71" t="str">
        <f>IF(AND($AZ981=1),$BA981*100000+ROW(),"")</f>
        <v/>
      </c>
    </row>
    <row r="982">
      <c r="A982" s="63" t="n"/>
      <c r="B982" s="64" t="n"/>
      <c r="C982" s="64" t="n"/>
      <c r="D982" s="64" t="n"/>
      <c r="E982" s="64" t="n"/>
      <c r="F982" s="64" t="n"/>
      <c r="G982" s="65" t="n"/>
      <c r="H982" s="65" t="n"/>
      <c r="I982" s="64" t="n"/>
      <c r="J982" s="64" t="n"/>
      <c r="K982" s="63" t="n"/>
      <c r="L982" s="63" t="n"/>
      <c r="M982" s="64" t="n"/>
      <c r="N982" s="66" t="n"/>
      <c r="O982" s="65" t="n"/>
      <c r="P982" s="64" t="n"/>
      <c r="Q982" s="67" t="n"/>
      <c r="R982" s="67" t="n"/>
      <c r="S982" s="68" t="str">
        <f>IF(AND(ISNUMBER($Q982),ISNUMBER($R982)),$Q982-$R982,"")</f>
        <v/>
      </c>
      <c r="T982" s="65" t="n"/>
      <c r="U982" s="64" t="n"/>
      <c r="V982" s="65" t="n"/>
      <c r="W982" s="63" t="n"/>
      <c r="X982" s="65" t="n"/>
      <c r="Y982" s="63" t="n"/>
      <c r="Z982" s="64" t="n"/>
      <c r="AA982" s="64" t="n"/>
      <c r="AB982" s="65" t="n"/>
      <c r="AC982" s="69" t="str">
        <f>IF(OR($G982="",NOT(ISNUMBER($K982)),$AK982=0),"",MAX(0,ReportDate-$K982))</f>
        <v/>
      </c>
      <c r="AD982" s="69" t="str">
        <f>IF($G982="","",IF($AL982=1,ReportDate-$L982,0))</f>
        <v/>
      </c>
      <c r="AE982" s="70" t="str">
        <f>IF($G982="","",IF($M982="Completed",1,IF(ISNUMBER($N982),$N982,0)))</f>
        <v/>
      </c>
      <c r="AF982" s="70" t="str">
        <f>IF(AND(ISNUMBER($Q982),ISNUMBER($R982)),IF($R982&lt;&gt;0,$Q982/$R982,""),"")</f>
        <v/>
      </c>
      <c r="AG982" s="71" t="str">
        <f>IF($G982="","",IF($AL982=1,"OVERDUE",IF($AM982=1,"BLOCKED",IF($AN982=1,"DUE TODAY",IF($AO982=1,"DUE TOMORROW",IF($AQ982=1,"HIGH PRIORITY",IF($AR982=1,"NO RECENT UPDATE",""))))))) </f>
        <v/>
      </c>
      <c r="AH982" s="71" t="str">
        <f>IF($G982="","",IF(ISNUMBER($A982),IF(ISNUMBER($A982),YEAR($A982)&amp;"-"&amp;TEXT(MONTH($A982),"00"),""),IF(ISNUMBER($L982),IF(ISNUMBER($L982),YEAR($L982)&amp;"-"&amp;TEXT(MONTH($L982),"00"),""),"")))</f>
        <v/>
      </c>
      <c r="AI982" s="71">
        <f>IF($G982="",0,IF(AND(OR(fClient="All",$C982=fClient),OR(fCampaign="All",$D982=fCampaign),OR(fTeam="All",$B982=fTeam),OR(fChannel="All",$F982=fChannel),OR(fMonth="All",$AH982=fMonth),OR(fTStatus="All",$M982=fTStatus)),1,0))</f>
        <v>0</v>
      </c>
      <c r="AJ982" s="71">
        <f>IF($G982="",0,IF(AND(OR(fClient="All",$C982=fClient),OR(fCampaign="All",$D982=fCampaign),OR(fTeam="All",$B982=fTeam),OR(fChannel="All",$F982=fChannel)),1,0))</f>
        <v>0</v>
      </c>
      <c r="AK982" s="71">
        <f>IF($G982="",0,IF(OR($M982="Completed",$M982="Cancelled"),0,1))</f>
        <v>0</v>
      </c>
      <c r="AL982" s="71">
        <f>IF(AND($AK982=1,ISNUMBER($L982)),IF($L982&lt;ReportDate,1,0),0)</f>
        <v>0</v>
      </c>
      <c r="AM982" s="71">
        <f>IF(AND($G982&lt;&gt;"",$M982="Blocked"),1,0)</f>
        <v>0</v>
      </c>
      <c r="AN982" s="71">
        <f>IF(AND($AK982=1,ISNUMBER($L982)),IF($L982=ReportDate,1,0),0)</f>
        <v>0</v>
      </c>
      <c r="AO982" s="71">
        <f>IF(AND($AK982=1,ISNUMBER($L982)),IF($L982=ReportDate+1,1,0),0)</f>
        <v>0</v>
      </c>
      <c r="AP982" s="71">
        <f>IF(AND($AK982=1,ISNUMBER($L982)),IF(AND($L982&gt;=ReportDate,$L982&lt;=ReportDate+DueSoonDays),1,0),0)</f>
        <v>0</v>
      </c>
      <c r="AQ982" s="71">
        <f>IF(AND($AK982=1,OR($I982="Critical",$I982="High")),1,0)</f>
        <v>0</v>
      </c>
      <c r="AR982" s="71">
        <f>IF($AK982=1,IF(ISNUMBER($Y982),IF(ReportDate-$Y982&gt;StaleDays,1,0),1),0)</f>
        <v>0</v>
      </c>
      <c r="AS982" s="71">
        <f>IF(AND($G982&lt;&gt;"",ISNUMBER($Q982),ISNUMBER($R982)),IF(AND($Q982&lt;$R982,OR($M982="Completed",AND(ISNUMBER($L982),$L982&lt;ReportDate))),1,0),0)</f>
        <v>0</v>
      </c>
      <c r="AT982" s="71">
        <f>IF($AK982=1,IF(OR($L982=ReportDate,$W982=ReportDate,$K982=ReportDate,$A982=ReportDate),1,0),0)</f>
        <v>0</v>
      </c>
      <c r="AU982" s="71">
        <f>IF($AK982=1,IF(OR($L982=ReportDate+1,$W982=ReportDate+1,$K982=ReportDate+1,$A982=ReportDate+1),1,0),0)</f>
        <v>0</v>
      </c>
      <c r="AV982" s="71">
        <f>IF(AND($G982&lt;&gt;"",$M982="Completed"),IF(OR($Y982=ReportDate-1,$A982=ReportDate-1),1,0),0)</f>
        <v>0</v>
      </c>
      <c r="AW982" s="71">
        <f>IF(AND($AK982=1,$Z982="Yes"),1,0)</f>
        <v>0</v>
      </c>
      <c r="AX982" s="71">
        <f>IF(AND($AK982=1,$AA982="Yes"),1,0)</f>
        <v>0</v>
      </c>
      <c r="AY982" s="71">
        <f>IF(AND($AM982=1,OR($I982="Critical",$I982="High")),1,0)</f>
        <v>0</v>
      </c>
      <c r="AZ982" s="71">
        <f>IF(AND($AK982=1,OR($C982=TCL_Client,$C982=MECCA_Client)),1,0)</f>
        <v>0</v>
      </c>
      <c r="BA982" s="71" t="str">
        <f>IF($G982="","",IFERROR(MATCH($I982,lst_Priority,0),5))</f>
        <v/>
      </c>
      <c r="BB982" s="71" t="str">
        <f>IF(AND($AL982=1,$AJ982=1),$BA982*100000+ROW(),"")</f>
        <v/>
      </c>
      <c r="BC982" s="71" t="str">
        <f>IF(AND($AM982=1,$AJ982=1),$BA982*100000+ROW(),"")</f>
        <v/>
      </c>
      <c r="BD982" s="71" t="str">
        <f>IF(AND($AP982=1,$AJ982=1),$BA982*100000+ROW(),"")</f>
        <v/>
      </c>
      <c r="BE982" s="71" t="str">
        <f>IF(AND($AT982=1,$AJ982=1),$BA982*100000+ROW(),"")</f>
        <v/>
      </c>
      <c r="BF982" s="71" t="str">
        <f>IF(AND($AU982=1,$AJ982=1),$BA982*100000+ROW(),"")</f>
        <v/>
      </c>
      <c r="BG982" s="71" t="str">
        <f>IF(AND($AV982=1,$AJ982=1),$BA982*100000+ROW(),"")</f>
        <v/>
      </c>
      <c r="BH982" s="71" t="str">
        <f>IF(AND($AW982=1,$AJ982=1),$BA982*100000+ROW(),"")</f>
        <v/>
      </c>
      <c r="BI982" s="71" t="str">
        <f>IF(AND($AX982=1,$AJ982=1),$BA982*100000+ROW(),"")</f>
        <v/>
      </c>
      <c r="BJ982" s="71" t="str">
        <f>IF(AND($AS982=1,$AJ982=1),$BA982*100000+ROW(),"")</f>
        <v/>
      </c>
      <c r="BK982" s="71" t="str">
        <f>IF(AND($AY982=1,$AJ982=1),$BA982*100000+ROW(),"")</f>
        <v/>
      </c>
      <c r="BL982" s="71" t="str">
        <f>IF(AND($AZ982=1),$BA982*100000+ROW(),"")</f>
        <v/>
      </c>
    </row>
    <row r="983">
      <c r="A983" s="63" t="n"/>
      <c r="B983" s="64" t="n"/>
      <c r="C983" s="64" t="n"/>
      <c r="D983" s="64" t="n"/>
      <c r="E983" s="64" t="n"/>
      <c r="F983" s="64" t="n"/>
      <c r="G983" s="65" t="n"/>
      <c r="H983" s="65" t="n"/>
      <c r="I983" s="64" t="n"/>
      <c r="J983" s="64" t="n"/>
      <c r="K983" s="63" t="n"/>
      <c r="L983" s="63" t="n"/>
      <c r="M983" s="64" t="n"/>
      <c r="N983" s="66" t="n"/>
      <c r="O983" s="65" t="n"/>
      <c r="P983" s="64" t="n"/>
      <c r="Q983" s="67" t="n"/>
      <c r="R983" s="67" t="n"/>
      <c r="S983" s="68" t="str">
        <f>IF(AND(ISNUMBER($Q983),ISNUMBER($R983)),$Q983-$R983,"")</f>
        <v/>
      </c>
      <c r="T983" s="65" t="n"/>
      <c r="U983" s="64" t="n"/>
      <c r="V983" s="65" t="n"/>
      <c r="W983" s="63" t="n"/>
      <c r="X983" s="65" t="n"/>
      <c r="Y983" s="63" t="n"/>
      <c r="Z983" s="64" t="n"/>
      <c r="AA983" s="64" t="n"/>
      <c r="AB983" s="65" t="n"/>
      <c r="AC983" s="69" t="str">
        <f>IF(OR($G983="",NOT(ISNUMBER($K983)),$AK983=0),"",MAX(0,ReportDate-$K983))</f>
        <v/>
      </c>
      <c r="AD983" s="69" t="str">
        <f>IF($G983="","",IF($AL983=1,ReportDate-$L983,0))</f>
        <v/>
      </c>
      <c r="AE983" s="70" t="str">
        <f>IF($G983="","",IF($M983="Completed",1,IF(ISNUMBER($N983),$N983,0)))</f>
        <v/>
      </c>
      <c r="AF983" s="70" t="str">
        <f>IF(AND(ISNUMBER($Q983),ISNUMBER($R983)),IF($R983&lt;&gt;0,$Q983/$R983,""),"")</f>
        <v/>
      </c>
      <c r="AG983" s="71" t="str">
        <f>IF($G983="","",IF($AL983=1,"OVERDUE",IF($AM983=1,"BLOCKED",IF($AN983=1,"DUE TODAY",IF($AO983=1,"DUE TOMORROW",IF($AQ983=1,"HIGH PRIORITY",IF($AR983=1,"NO RECENT UPDATE",""))))))) </f>
        <v/>
      </c>
      <c r="AH983" s="71" t="str">
        <f>IF($G983="","",IF(ISNUMBER($A983),IF(ISNUMBER($A983),YEAR($A983)&amp;"-"&amp;TEXT(MONTH($A983),"00"),""),IF(ISNUMBER($L983),IF(ISNUMBER($L983),YEAR($L983)&amp;"-"&amp;TEXT(MONTH($L983),"00"),""),"")))</f>
        <v/>
      </c>
      <c r="AI983" s="71">
        <f>IF($G983="",0,IF(AND(OR(fClient="All",$C983=fClient),OR(fCampaign="All",$D983=fCampaign),OR(fTeam="All",$B983=fTeam),OR(fChannel="All",$F983=fChannel),OR(fMonth="All",$AH983=fMonth),OR(fTStatus="All",$M983=fTStatus)),1,0))</f>
        <v>0</v>
      </c>
      <c r="AJ983" s="71">
        <f>IF($G983="",0,IF(AND(OR(fClient="All",$C983=fClient),OR(fCampaign="All",$D983=fCampaign),OR(fTeam="All",$B983=fTeam),OR(fChannel="All",$F983=fChannel)),1,0))</f>
        <v>0</v>
      </c>
      <c r="AK983" s="71">
        <f>IF($G983="",0,IF(OR($M983="Completed",$M983="Cancelled"),0,1))</f>
        <v>0</v>
      </c>
      <c r="AL983" s="71">
        <f>IF(AND($AK983=1,ISNUMBER($L983)),IF($L983&lt;ReportDate,1,0),0)</f>
        <v>0</v>
      </c>
      <c r="AM983" s="71">
        <f>IF(AND($G983&lt;&gt;"",$M983="Blocked"),1,0)</f>
        <v>0</v>
      </c>
      <c r="AN983" s="71">
        <f>IF(AND($AK983=1,ISNUMBER($L983)),IF($L983=ReportDate,1,0),0)</f>
        <v>0</v>
      </c>
      <c r="AO983" s="71">
        <f>IF(AND($AK983=1,ISNUMBER($L983)),IF($L983=ReportDate+1,1,0),0)</f>
        <v>0</v>
      </c>
      <c r="AP983" s="71">
        <f>IF(AND($AK983=1,ISNUMBER($L983)),IF(AND($L983&gt;=ReportDate,$L983&lt;=ReportDate+DueSoonDays),1,0),0)</f>
        <v>0</v>
      </c>
      <c r="AQ983" s="71">
        <f>IF(AND($AK983=1,OR($I983="Critical",$I983="High")),1,0)</f>
        <v>0</v>
      </c>
      <c r="AR983" s="71">
        <f>IF($AK983=1,IF(ISNUMBER($Y983),IF(ReportDate-$Y983&gt;StaleDays,1,0),1),0)</f>
        <v>0</v>
      </c>
      <c r="AS983" s="71">
        <f>IF(AND($G983&lt;&gt;"",ISNUMBER($Q983),ISNUMBER($R983)),IF(AND($Q983&lt;$R983,OR($M983="Completed",AND(ISNUMBER($L983),$L983&lt;ReportDate))),1,0),0)</f>
        <v>0</v>
      </c>
      <c r="AT983" s="71">
        <f>IF($AK983=1,IF(OR($L983=ReportDate,$W983=ReportDate,$K983=ReportDate,$A983=ReportDate),1,0),0)</f>
        <v>0</v>
      </c>
      <c r="AU983" s="71">
        <f>IF($AK983=1,IF(OR($L983=ReportDate+1,$W983=ReportDate+1,$K983=ReportDate+1,$A983=ReportDate+1),1,0),0)</f>
        <v>0</v>
      </c>
      <c r="AV983" s="71">
        <f>IF(AND($G983&lt;&gt;"",$M983="Completed"),IF(OR($Y983=ReportDate-1,$A983=ReportDate-1),1,0),0)</f>
        <v>0</v>
      </c>
      <c r="AW983" s="71">
        <f>IF(AND($AK983=1,$Z983="Yes"),1,0)</f>
        <v>0</v>
      </c>
      <c r="AX983" s="71">
        <f>IF(AND($AK983=1,$AA983="Yes"),1,0)</f>
        <v>0</v>
      </c>
      <c r="AY983" s="71">
        <f>IF(AND($AM983=1,OR($I983="Critical",$I983="High")),1,0)</f>
        <v>0</v>
      </c>
      <c r="AZ983" s="71">
        <f>IF(AND($AK983=1,OR($C983=TCL_Client,$C983=MECCA_Client)),1,0)</f>
        <v>0</v>
      </c>
      <c r="BA983" s="71" t="str">
        <f>IF($G983="","",IFERROR(MATCH($I983,lst_Priority,0),5))</f>
        <v/>
      </c>
      <c r="BB983" s="71" t="str">
        <f>IF(AND($AL983=1,$AJ983=1),$BA983*100000+ROW(),"")</f>
        <v/>
      </c>
      <c r="BC983" s="71" t="str">
        <f>IF(AND($AM983=1,$AJ983=1),$BA983*100000+ROW(),"")</f>
        <v/>
      </c>
      <c r="BD983" s="71" t="str">
        <f>IF(AND($AP983=1,$AJ983=1),$BA983*100000+ROW(),"")</f>
        <v/>
      </c>
      <c r="BE983" s="71" t="str">
        <f>IF(AND($AT983=1,$AJ983=1),$BA983*100000+ROW(),"")</f>
        <v/>
      </c>
      <c r="BF983" s="71" t="str">
        <f>IF(AND($AU983=1,$AJ983=1),$BA983*100000+ROW(),"")</f>
        <v/>
      </c>
      <c r="BG983" s="71" t="str">
        <f>IF(AND($AV983=1,$AJ983=1),$BA983*100000+ROW(),"")</f>
        <v/>
      </c>
      <c r="BH983" s="71" t="str">
        <f>IF(AND($AW983=1,$AJ983=1),$BA983*100000+ROW(),"")</f>
        <v/>
      </c>
      <c r="BI983" s="71" t="str">
        <f>IF(AND($AX983=1,$AJ983=1),$BA983*100000+ROW(),"")</f>
        <v/>
      </c>
      <c r="BJ983" s="71" t="str">
        <f>IF(AND($AS983=1,$AJ983=1),$BA983*100000+ROW(),"")</f>
        <v/>
      </c>
      <c r="BK983" s="71" t="str">
        <f>IF(AND($AY983=1,$AJ983=1),$BA983*100000+ROW(),"")</f>
        <v/>
      </c>
      <c r="BL983" s="71" t="str">
        <f>IF(AND($AZ983=1),$BA983*100000+ROW(),"")</f>
        <v/>
      </c>
    </row>
    <row r="984">
      <c r="A984" s="63" t="n"/>
      <c r="B984" s="64" t="n"/>
      <c r="C984" s="64" t="n"/>
      <c r="D984" s="64" t="n"/>
      <c r="E984" s="64" t="n"/>
      <c r="F984" s="64" t="n"/>
      <c r="G984" s="65" t="n"/>
      <c r="H984" s="65" t="n"/>
      <c r="I984" s="64" t="n"/>
      <c r="J984" s="64" t="n"/>
      <c r="K984" s="63" t="n"/>
      <c r="L984" s="63" t="n"/>
      <c r="M984" s="64" t="n"/>
      <c r="N984" s="66" t="n"/>
      <c r="O984" s="65" t="n"/>
      <c r="P984" s="64" t="n"/>
      <c r="Q984" s="67" t="n"/>
      <c r="R984" s="67" t="n"/>
      <c r="S984" s="68" t="str">
        <f>IF(AND(ISNUMBER($Q984),ISNUMBER($R984)),$Q984-$R984,"")</f>
        <v/>
      </c>
      <c r="T984" s="65" t="n"/>
      <c r="U984" s="64" t="n"/>
      <c r="V984" s="65" t="n"/>
      <c r="W984" s="63" t="n"/>
      <c r="X984" s="65" t="n"/>
      <c r="Y984" s="63" t="n"/>
      <c r="Z984" s="64" t="n"/>
      <c r="AA984" s="64" t="n"/>
      <c r="AB984" s="65" t="n"/>
      <c r="AC984" s="69" t="str">
        <f>IF(OR($G984="",NOT(ISNUMBER($K984)),$AK984=0),"",MAX(0,ReportDate-$K984))</f>
        <v/>
      </c>
      <c r="AD984" s="69" t="str">
        <f>IF($G984="","",IF($AL984=1,ReportDate-$L984,0))</f>
        <v/>
      </c>
      <c r="AE984" s="70" t="str">
        <f>IF($G984="","",IF($M984="Completed",1,IF(ISNUMBER($N984),$N984,0)))</f>
        <v/>
      </c>
      <c r="AF984" s="70" t="str">
        <f>IF(AND(ISNUMBER($Q984),ISNUMBER($R984)),IF($R984&lt;&gt;0,$Q984/$R984,""),"")</f>
        <v/>
      </c>
      <c r="AG984" s="71" t="str">
        <f>IF($G984="","",IF($AL984=1,"OVERDUE",IF($AM984=1,"BLOCKED",IF($AN984=1,"DUE TODAY",IF($AO984=1,"DUE TOMORROW",IF($AQ984=1,"HIGH PRIORITY",IF($AR984=1,"NO RECENT UPDATE",""))))))) </f>
        <v/>
      </c>
      <c r="AH984" s="71" t="str">
        <f>IF($G984="","",IF(ISNUMBER($A984),IF(ISNUMBER($A984),YEAR($A984)&amp;"-"&amp;TEXT(MONTH($A984),"00"),""),IF(ISNUMBER($L984),IF(ISNUMBER($L984),YEAR($L984)&amp;"-"&amp;TEXT(MONTH($L984),"00"),""),"")))</f>
        <v/>
      </c>
      <c r="AI984" s="71">
        <f>IF($G984="",0,IF(AND(OR(fClient="All",$C984=fClient),OR(fCampaign="All",$D984=fCampaign),OR(fTeam="All",$B984=fTeam),OR(fChannel="All",$F984=fChannel),OR(fMonth="All",$AH984=fMonth),OR(fTStatus="All",$M984=fTStatus)),1,0))</f>
        <v>0</v>
      </c>
      <c r="AJ984" s="71">
        <f>IF($G984="",0,IF(AND(OR(fClient="All",$C984=fClient),OR(fCampaign="All",$D984=fCampaign),OR(fTeam="All",$B984=fTeam),OR(fChannel="All",$F984=fChannel)),1,0))</f>
        <v>0</v>
      </c>
      <c r="AK984" s="71">
        <f>IF($G984="",0,IF(OR($M984="Completed",$M984="Cancelled"),0,1))</f>
        <v>0</v>
      </c>
      <c r="AL984" s="71">
        <f>IF(AND($AK984=1,ISNUMBER($L984)),IF($L984&lt;ReportDate,1,0),0)</f>
        <v>0</v>
      </c>
      <c r="AM984" s="71">
        <f>IF(AND($G984&lt;&gt;"",$M984="Blocked"),1,0)</f>
        <v>0</v>
      </c>
      <c r="AN984" s="71">
        <f>IF(AND($AK984=1,ISNUMBER($L984)),IF($L984=ReportDate,1,0),0)</f>
        <v>0</v>
      </c>
      <c r="AO984" s="71">
        <f>IF(AND($AK984=1,ISNUMBER($L984)),IF($L984=ReportDate+1,1,0),0)</f>
        <v>0</v>
      </c>
      <c r="AP984" s="71">
        <f>IF(AND($AK984=1,ISNUMBER($L984)),IF(AND($L984&gt;=ReportDate,$L984&lt;=ReportDate+DueSoonDays),1,0),0)</f>
        <v>0</v>
      </c>
      <c r="AQ984" s="71">
        <f>IF(AND($AK984=1,OR($I984="Critical",$I984="High")),1,0)</f>
        <v>0</v>
      </c>
      <c r="AR984" s="71">
        <f>IF($AK984=1,IF(ISNUMBER($Y984),IF(ReportDate-$Y984&gt;StaleDays,1,0),1),0)</f>
        <v>0</v>
      </c>
      <c r="AS984" s="71">
        <f>IF(AND($G984&lt;&gt;"",ISNUMBER($Q984),ISNUMBER($R984)),IF(AND($Q984&lt;$R984,OR($M984="Completed",AND(ISNUMBER($L984),$L984&lt;ReportDate))),1,0),0)</f>
        <v>0</v>
      </c>
      <c r="AT984" s="71">
        <f>IF($AK984=1,IF(OR($L984=ReportDate,$W984=ReportDate,$K984=ReportDate,$A984=ReportDate),1,0),0)</f>
        <v>0</v>
      </c>
      <c r="AU984" s="71">
        <f>IF($AK984=1,IF(OR($L984=ReportDate+1,$W984=ReportDate+1,$K984=ReportDate+1,$A984=ReportDate+1),1,0),0)</f>
        <v>0</v>
      </c>
      <c r="AV984" s="71">
        <f>IF(AND($G984&lt;&gt;"",$M984="Completed"),IF(OR($Y984=ReportDate-1,$A984=ReportDate-1),1,0),0)</f>
        <v>0</v>
      </c>
      <c r="AW984" s="71">
        <f>IF(AND($AK984=1,$Z984="Yes"),1,0)</f>
        <v>0</v>
      </c>
      <c r="AX984" s="71">
        <f>IF(AND($AK984=1,$AA984="Yes"),1,0)</f>
        <v>0</v>
      </c>
      <c r="AY984" s="71">
        <f>IF(AND($AM984=1,OR($I984="Critical",$I984="High")),1,0)</f>
        <v>0</v>
      </c>
      <c r="AZ984" s="71">
        <f>IF(AND($AK984=1,OR($C984=TCL_Client,$C984=MECCA_Client)),1,0)</f>
        <v>0</v>
      </c>
      <c r="BA984" s="71" t="str">
        <f>IF($G984="","",IFERROR(MATCH($I984,lst_Priority,0),5))</f>
        <v/>
      </c>
      <c r="BB984" s="71" t="str">
        <f>IF(AND($AL984=1,$AJ984=1),$BA984*100000+ROW(),"")</f>
        <v/>
      </c>
      <c r="BC984" s="71" t="str">
        <f>IF(AND($AM984=1,$AJ984=1),$BA984*100000+ROW(),"")</f>
        <v/>
      </c>
      <c r="BD984" s="71" t="str">
        <f>IF(AND($AP984=1,$AJ984=1),$BA984*100000+ROW(),"")</f>
        <v/>
      </c>
      <c r="BE984" s="71" t="str">
        <f>IF(AND($AT984=1,$AJ984=1),$BA984*100000+ROW(),"")</f>
        <v/>
      </c>
      <c r="BF984" s="71" t="str">
        <f>IF(AND($AU984=1,$AJ984=1),$BA984*100000+ROW(),"")</f>
        <v/>
      </c>
      <c r="BG984" s="71" t="str">
        <f>IF(AND($AV984=1,$AJ984=1),$BA984*100000+ROW(),"")</f>
        <v/>
      </c>
      <c r="BH984" s="71" t="str">
        <f>IF(AND($AW984=1,$AJ984=1),$BA984*100000+ROW(),"")</f>
        <v/>
      </c>
      <c r="BI984" s="71" t="str">
        <f>IF(AND($AX984=1,$AJ984=1),$BA984*100000+ROW(),"")</f>
        <v/>
      </c>
      <c r="BJ984" s="71" t="str">
        <f>IF(AND($AS984=1,$AJ984=1),$BA984*100000+ROW(),"")</f>
        <v/>
      </c>
      <c r="BK984" s="71" t="str">
        <f>IF(AND($AY984=1,$AJ984=1),$BA984*100000+ROW(),"")</f>
        <v/>
      </c>
      <c r="BL984" s="71" t="str">
        <f>IF(AND($AZ984=1),$BA984*100000+ROW(),"")</f>
        <v/>
      </c>
    </row>
    <row r="985">
      <c r="A985" s="63" t="n"/>
      <c r="B985" s="64" t="n"/>
      <c r="C985" s="64" t="n"/>
      <c r="D985" s="64" t="n"/>
      <c r="E985" s="64" t="n"/>
      <c r="F985" s="64" t="n"/>
      <c r="G985" s="65" t="n"/>
      <c r="H985" s="65" t="n"/>
      <c r="I985" s="64" t="n"/>
      <c r="J985" s="64" t="n"/>
      <c r="K985" s="63" t="n"/>
      <c r="L985" s="63" t="n"/>
      <c r="M985" s="64" t="n"/>
      <c r="N985" s="66" t="n"/>
      <c r="O985" s="65" t="n"/>
      <c r="P985" s="64" t="n"/>
      <c r="Q985" s="67" t="n"/>
      <c r="R985" s="67" t="n"/>
      <c r="S985" s="68" t="str">
        <f>IF(AND(ISNUMBER($Q985),ISNUMBER($R985)),$Q985-$R985,"")</f>
        <v/>
      </c>
      <c r="T985" s="65" t="n"/>
      <c r="U985" s="64" t="n"/>
      <c r="V985" s="65" t="n"/>
      <c r="W985" s="63" t="n"/>
      <c r="X985" s="65" t="n"/>
      <c r="Y985" s="63" t="n"/>
      <c r="Z985" s="64" t="n"/>
      <c r="AA985" s="64" t="n"/>
      <c r="AB985" s="65" t="n"/>
      <c r="AC985" s="69" t="str">
        <f>IF(OR($G985="",NOT(ISNUMBER($K985)),$AK985=0),"",MAX(0,ReportDate-$K985))</f>
        <v/>
      </c>
      <c r="AD985" s="69" t="str">
        <f>IF($G985="","",IF($AL985=1,ReportDate-$L985,0))</f>
        <v/>
      </c>
      <c r="AE985" s="70" t="str">
        <f>IF($G985="","",IF($M985="Completed",1,IF(ISNUMBER($N985),$N985,0)))</f>
        <v/>
      </c>
      <c r="AF985" s="70" t="str">
        <f>IF(AND(ISNUMBER($Q985),ISNUMBER($R985)),IF($R985&lt;&gt;0,$Q985/$R985,""),"")</f>
        <v/>
      </c>
      <c r="AG985" s="71" t="str">
        <f>IF($G985="","",IF($AL985=1,"OVERDUE",IF($AM985=1,"BLOCKED",IF($AN985=1,"DUE TODAY",IF($AO985=1,"DUE TOMORROW",IF($AQ985=1,"HIGH PRIORITY",IF($AR985=1,"NO RECENT UPDATE",""))))))) </f>
        <v/>
      </c>
      <c r="AH985" s="71" t="str">
        <f>IF($G985="","",IF(ISNUMBER($A985),IF(ISNUMBER($A985),YEAR($A985)&amp;"-"&amp;TEXT(MONTH($A985),"00"),""),IF(ISNUMBER($L985),IF(ISNUMBER($L985),YEAR($L985)&amp;"-"&amp;TEXT(MONTH($L985),"00"),""),"")))</f>
        <v/>
      </c>
      <c r="AI985" s="71">
        <f>IF($G985="",0,IF(AND(OR(fClient="All",$C985=fClient),OR(fCampaign="All",$D985=fCampaign),OR(fTeam="All",$B985=fTeam),OR(fChannel="All",$F985=fChannel),OR(fMonth="All",$AH985=fMonth),OR(fTStatus="All",$M985=fTStatus)),1,0))</f>
        <v>0</v>
      </c>
      <c r="AJ985" s="71">
        <f>IF($G985="",0,IF(AND(OR(fClient="All",$C985=fClient),OR(fCampaign="All",$D985=fCampaign),OR(fTeam="All",$B985=fTeam),OR(fChannel="All",$F985=fChannel)),1,0))</f>
        <v>0</v>
      </c>
      <c r="AK985" s="71">
        <f>IF($G985="",0,IF(OR($M985="Completed",$M985="Cancelled"),0,1))</f>
        <v>0</v>
      </c>
      <c r="AL985" s="71">
        <f>IF(AND($AK985=1,ISNUMBER($L985)),IF($L985&lt;ReportDate,1,0),0)</f>
        <v>0</v>
      </c>
      <c r="AM985" s="71">
        <f>IF(AND($G985&lt;&gt;"",$M985="Blocked"),1,0)</f>
        <v>0</v>
      </c>
      <c r="AN985" s="71">
        <f>IF(AND($AK985=1,ISNUMBER($L985)),IF($L985=ReportDate,1,0),0)</f>
        <v>0</v>
      </c>
      <c r="AO985" s="71">
        <f>IF(AND($AK985=1,ISNUMBER($L985)),IF($L985=ReportDate+1,1,0),0)</f>
        <v>0</v>
      </c>
      <c r="AP985" s="71">
        <f>IF(AND($AK985=1,ISNUMBER($L985)),IF(AND($L985&gt;=ReportDate,$L985&lt;=ReportDate+DueSoonDays),1,0),0)</f>
        <v>0</v>
      </c>
      <c r="AQ985" s="71">
        <f>IF(AND($AK985=1,OR($I985="Critical",$I985="High")),1,0)</f>
        <v>0</v>
      </c>
      <c r="AR985" s="71">
        <f>IF($AK985=1,IF(ISNUMBER($Y985),IF(ReportDate-$Y985&gt;StaleDays,1,0),1),0)</f>
        <v>0</v>
      </c>
      <c r="AS985" s="71">
        <f>IF(AND($G985&lt;&gt;"",ISNUMBER($Q985),ISNUMBER($R985)),IF(AND($Q985&lt;$R985,OR($M985="Completed",AND(ISNUMBER($L985),$L985&lt;ReportDate))),1,0),0)</f>
        <v>0</v>
      </c>
      <c r="AT985" s="71">
        <f>IF($AK985=1,IF(OR($L985=ReportDate,$W985=ReportDate,$K985=ReportDate,$A985=ReportDate),1,0),0)</f>
        <v>0</v>
      </c>
      <c r="AU985" s="71">
        <f>IF($AK985=1,IF(OR($L985=ReportDate+1,$W985=ReportDate+1,$K985=ReportDate+1,$A985=ReportDate+1),1,0),0)</f>
        <v>0</v>
      </c>
      <c r="AV985" s="71">
        <f>IF(AND($G985&lt;&gt;"",$M985="Completed"),IF(OR($Y985=ReportDate-1,$A985=ReportDate-1),1,0),0)</f>
        <v>0</v>
      </c>
      <c r="AW985" s="71">
        <f>IF(AND($AK985=1,$Z985="Yes"),1,0)</f>
        <v>0</v>
      </c>
      <c r="AX985" s="71">
        <f>IF(AND($AK985=1,$AA985="Yes"),1,0)</f>
        <v>0</v>
      </c>
      <c r="AY985" s="71">
        <f>IF(AND($AM985=1,OR($I985="Critical",$I985="High")),1,0)</f>
        <v>0</v>
      </c>
      <c r="AZ985" s="71">
        <f>IF(AND($AK985=1,OR($C985=TCL_Client,$C985=MECCA_Client)),1,0)</f>
        <v>0</v>
      </c>
      <c r="BA985" s="71" t="str">
        <f>IF($G985="","",IFERROR(MATCH($I985,lst_Priority,0),5))</f>
        <v/>
      </c>
      <c r="BB985" s="71" t="str">
        <f>IF(AND($AL985=1,$AJ985=1),$BA985*100000+ROW(),"")</f>
        <v/>
      </c>
      <c r="BC985" s="71" t="str">
        <f>IF(AND($AM985=1,$AJ985=1),$BA985*100000+ROW(),"")</f>
        <v/>
      </c>
      <c r="BD985" s="71" t="str">
        <f>IF(AND($AP985=1,$AJ985=1),$BA985*100000+ROW(),"")</f>
        <v/>
      </c>
      <c r="BE985" s="71" t="str">
        <f>IF(AND($AT985=1,$AJ985=1),$BA985*100000+ROW(),"")</f>
        <v/>
      </c>
      <c r="BF985" s="71" t="str">
        <f>IF(AND($AU985=1,$AJ985=1),$BA985*100000+ROW(),"")</f>
        <v/>
      </c>
      <c r="BG985" s="71" t="str">
        <f>IF(AND($AV985=1,$AJ985=1),$BA985*100000+ROW(),"")</f>
        <v/>
      </c>
      <c r="BH985" s="71" t="str">
        <f>IF(AND($AW985=1,$AJ985=1),$BA985*100000+ROW(),"")</f>
        <v/>
      </c>
      <c r="BI985" s="71" t="str">
        <f>IF(AND($AX985=1,$AJ985=1),$BA985*100000+ROW(),"")</f>
        <v/>
      </c>
      <c r="BJ985" s="71" t="str">
        <f>IF(AND($AS985=1,$AJ985=1),$BA985*100000+ROW(),"")</f>
        <v/>
      </c>
      <c r="BK985" s="71" t="str">
        <f>IF(AND($AY985=1,$AJ985=1),$BA985*100000+ROW(),"")</f>
        <v/>
      </c>
      <c r="BL985" s="71" t="str">
        <f>IF(AND($AZ985=1),$BA985*100000+ROW(),"")</f>
        <v/>
      </c>
    </row>
    <row r="986">
      <c r="A986" s="63" t="n"/>
      <c r="B986" s="64" t="n"/>
      <c r="C986" s="64" t="n"/>
      <c r="D986" s="64" t="n"/>
      <c r="E986" s="64" t="n"/>
      <c r="F986" s="64" t="n"/>
      <c r="G986" s="65" t="n"/>
      <c r="H986" s="65" t="n"/>
      <c r="I986" s="64" t="n"/>
      <c r="J986" s="64" t="n"/>
      <c r="K986" s="63" t="n"/>
      <c r="L986" s="63" t="n"/>
      <c r="M986" s="64" t="n"/>
      <c r="N986" s="66" t="n"/>
      <c r="O986" s="65" t="n"/>
      <c r="P986" s="64" t="n"/>
      <c r="Q986" s="67" t="n"/>
      <c r="R986" s="67" t="n"/>
      <c r="S986" s="68" t="str">
        <f>IF(AND(ISNUMBER($Q986),ISNUMBER($R986)),$Q986-$R986,"")</f>
        <v/>
      </c>
      <c r="T986" s="65" t="n"/>
      <c r="U986" s="64" t="n"/>
      <c r="V986" s="65" t="n"/>
      <c r="W986" s="63" t="n"/>
      <c r="X986" s="65" t="n"/>
      <c r="Y986" s="63" t="n"/>
      <c r="Z986" s="64" t="n"/>
      <c r="AA986" s="64" t="n"/>
      <c r="AB986" s="65" t="n"/>
      <c r="AC986" s="69" t="str">
        <f>IF(OR($G986="",NOT(ISNUMBER($K986)),$AK986=0),"",MAX(0,ReportDate-$K986))</f>
        <v/>
      </c>
      <c r="AD986" s="69" t="str">
        <f>IF($G986="","",IF($AL986=1,ReportDate-$L986,0))</f>
        <v/>
      </c>
      <c r="AE986" s="70" t="str">
        <f>IF($G986="","",IF($M986="Completed",1,IF(ISNUMBER($N986),$N986,0)))</f>
        <v/>
      </c>
      <c r="AF986" s="70" t="str">
        <f>IF(AND(ISNUMBER($Q986),ISNUMBER($R986)),IF($R986&lt;&gt;0,$Q986/$R986,""),"")</f>
        <v/>
      </c>
      <c r="AG986" s="71" t="str">
        <f>IF($G986="","",IF($AL986=1,"OVERDUE",IF($AM986=1,"BLOCKED",IF($AN986=1,"DUE TODAY",IF($AO986=1,"DUE TOMORROW",IF($AQ986=1,"HIGH PRIORITY",IF($AR986=1,"NO RECENT UPDATE",""))))))) </f>
        <v/>
      </c>
      <c r="AH986" s="71" t="str">
        <f>IF($G986="","",IF(ISNUMBER($A986),IF(ISNUMBER($A986),YEAR($A986)&amp;"-"&amp;TEXT(MONTH($A986),"00"),""),IF(ISNUMBER($L986),IF(ISNUMBER($L986),YEAR($L986)&amp;"-"&amp;TEXT(MONTH($L986),"00"),""),"")))</f>
        <v/>
      </c>
      <c r="AI986" s="71">
        <f>IF($G986="",0,IF(AND(OR(fClient="All",$C986=fClient),OR(fCampaign="All",$D986=fCampaign),OR(fTeam="All",$B986=fTeam),OR(fChannel="All",$F986=fChannel),OR(fMonth="All",$AH986=fMonth),OR(fTStatus="All",$M986=fTStatus)),1,0))</f>
        <v>0</v>
      </c>
      <c r="AJ986" s="71">
        <f>IF($G986="",0,IF(AND(OR(fClient="All",$C986=fClient),OR(fCampaign="All",$D986=fCampaign),OR(fTeam="All",$B986=fTeam),OR(fChannel="All",$F986=fChannel)),1,0))</f>
        <v>0</v>
      </c>
      <c r="AK986" s="71">
        <f>IF($G986="",0,IF(OR($M986="Completed",$M986="Cancelled"),0,1))</f>
        <v>0</v>
      </c>
      <c r="AL986" s="71">
        <f>IF(AND($AK986=1,ISNUMBER($L986)),IF($L986&lt;ReportDate,1,0),0)</f>
        <v>0</v>
      </c>
      <c r="AM986" s="71">
        <f>IF(AND($G986&lt;&gt;"",$M986="Blocked"),1,0)</f>
        <v>0</v>
      </c>
      <c r="AN986" s="71">
        <f>IF(AND($AK986=1,ISNUMBER($L986)),IF($L986=ReportDate,1,0),0)</f>
        <v>0</v>
      </c>
      <c r="AO986" s="71">
        <f>IF(AND($AK986=1,ISNUMBER($L986)),IF($L986=ReportDate+1,1,0),0)</f>
        <v>0</v>
      </c>
      <c r="AP986" s="71">
        <f>IF(AND($AK986=1,ISNUMBER($L986)),IF(AND($L986&gt;=ReportDate,$L986&lt;=ReportDate+DueSoonDays),1,0),0)</f>
        <v>0</v>
      </c>
      <c r="AQ986" s="71">
        <f>IF(AND($AK986=1,OR($I986="Critical",$I986="High")),1,0)</f>
        <v>0</v>
      </c>
      <c r="AR986" s="71">
        <f>IF($AK986=1,IF(ISNUMBER($Y986),IF(ReportDate-$Y986&gt;StaleDays,1,0),1),0)</f>
        <v>0</v>
      </c>
      <c r="AS986" s="71">
        <f>IF(AND($G986&lt;&gt;"",ISNUMBER($Q986),ISNUMBER($R986)),IF(AND($Q986&lt;$R986,OR($M986="Completed",AND(ISNUMBER($L986),$L986&lt;ReportDate))),1,0),0)</f>
        <v>0</v>
      </c>
      <c r="AT986" s="71">
        <f>IF($AK986=1,IF(OR($L986=ReportDate,$W986=ReportDate,$K986=ReportDate,$A986=ReportDate),1,0),0)</f>
        <v>0</v>
      </c>
      <c r="AU986" s="71">
        <f>IF($AK986=1,IF(OR($L986=ReportDate+1,$W986=ReportDate+1,$K986=ReportDate+1,$A986=ReportDate+1),1,0),0)</f>
        <v>0</v>
      </c>
      <c r="AV986" s="71">
        <f>IF(AND($G986&lt;&gt;"",$M986="Completed"),IF(OR($Y986=ReportDate-1,$A986=ReportDate-1),1,0),0)</f>
        <v>0</v>
      </c>
      <c r="AW986" s="71">
        <f>IF(AND($AK986=1,$Z986="Yes"),1,0)</f>
        <v>0</v>
      </c>
      <c r="AX986" s="71">
        <f>IF(AND($AK986=1,$AA986="Yes"),1,0)</f>
        <v>0</v>
      </c>
      <c r="AY986" s="71">
        <f>IF(AND($AM986=1,OR($I986="Critical",$I986="High")),1,0)</f>
        <v>0</v>
      </c>
      <c r="AZ986" s="71">
        <f>IF(AND($AK986=1,OR($C986=TCL_Client,$C986=MECCA_Client)),1,0)</f>
        <v>0</v>
      </c>
      <c r="BA986" s="71" t="str">
        <f>IF($G986="","",IFERROR(MATCH($I986,lst_Priority,0),5))</f>
        <v/>
      </c>
      <c r="BB986" s="71" t="str">
        <f>IF(AND($AL986=1,$AJ986=1),$BA986*100000+ROW(),"")</f>
        <v/>
      </c>
      <c r="BC986" s="71" t="str">
        <f>IF(AND($AM986=1,$AJ986=1),$BA986*100000+ROW(),"")</f>
        <v/>
      </c>
      <c r="BD986" s="71" t="str">
        <f>IF(AND($AP986=1,$AJ986=1),$BA986*100000+ROW(),"")</f>
        <v/>
      </c>
      <c r="BE986" s="71" t="str">
        <f>IF(AND($AT986=1,$AJ986=1),$BA986*100000+ROW(),"")</f>
        <v/>
      </c>
      <c r="BF986" s="71" t="str">
        <f>IF(AND($AU986=1,$AJ986=1),$BA986*100000+ROW(),"")</f>
        <v/>
      </c>
      <c r="BG986" s="71" t="str">
        <f>IF(AND($AV986=1,$AJ986=1),$BA986*100000+ROW(),"")</f>
        <v/>
      </c>
      <c r="BH986" s="71" t="str">
        <f>IF(AND($AW986=1,$AJ986=1),$BA986*100000+ROW(),"")</f>
        <v/>
      </c>
      <c r="BI986" s="71" t="str">
        <f>IF(AND($AX986=1,$AJ986=1),$BA986*100000+ROW(),"")</f>
        <v/>
      </c>
      <c r="BJ986" s="71" t="str">
        <f>IF(AND($AS986=1,$AJ986=1),$BA986*100000+ROW(),"")</f>
        <v/>
      </c>
      <c r="BK986" s="71" t="str">
        <f>IF(AND($AY986=1,$AJ986=1),$BA986*100000+ROW(),"")</f>
        <v/>
      </c>
      <c r="BL986" s="71" t="str">
        <f>IF(AND($AZ986=1),$BA986*100000+ROW(),"")</f>
        <v/>
      </c>
    </row>
    <row r="987">
      <c r="A987" s="63" t="n"/>
      <c r="B987" s="64" t="n"/>
      <c r="C987" s="64" t="n"/>
      <c r="D987" s="64" t="n"/>
      <c r="E987" s="64" t="n"/>
      <c r="F987" s="64" t="n"/>
      <c r="G987" s="65" t="n"/>
      <c r="H987" s="65" t="n"/>
      <c r="I987" s="64" t="n"/>
      <c r="J987" s="64" t="n"/>
      <c r="K987" s="63" t="n"/>
      <c r="L987" s="63" t="n"/>
      <c r="M987" s="64" t="n"/>
      <c r="N987" s="66" t="n"/>
      <c r="O987" s="65" t="n"/>
      <c r="P987" s="64" t="n"/>
      <c r="Q987" s="67" t="n"/>
      <c r="R987" s="67" t="n"/>
      <c r="S987" s="68" t="str">
        <f>IF(AND(ISNUMBER($Q987),ISNUMBER($R987)),$Q987-$R987,"")</f>
        <v/>
      </c>
      <c r="T987" s="65" t="n"/>
      <c r="U987" s="64" t="n"/>
      <c r="V987" s="65" t="n"/>
      <c r="W987" s="63" t="n"/>
      <c r="X987" s="65" t="n"/>
      <c r="Y987" s="63" t="n"/>
      <c r="Z987" s="64" t="n"/>
      <c r="AA987" s="64" t="n"/>
      <c r="AB987" s="65" t="n"/>
      <c r="AC987" s="69" t="str">
        <f>IF(OR($G987="",NOT(ISNUMBER($K987)),$AK987=0),"",MAX(0,ReportDate-$K987))</f>
        <v/>
      </c>
      <c r="AD987" s="69" t="str">
        <f>IF($G987="","",IF($AL987=1,ReportDate-$L987,0))</f>
        <v/>
      </c>
      <c r="AE987" s="70" t="str">
        <f>IF($G987="","",IF($M987="Completed",1,IF(ISNUMBER($N987),$N987,0)))</f>
        <v/>
      </c>
      <c r="AF987" s="70" t="str">
        <f>IF(AND(ISNUMBER($Q987),ISNUMBER($R987)),IF($R987&lt;&gt;0,$Q987/$R987,""),"")</f>
        <v/>
      </c>
      <c r="AG987" s="71" t="str">
        <f>IF($G987="","",IF($AL987=1,"OVERDUE",IF($AM987=1,"BLOCKED",IF($AN987=1,"DUE TODAY",IF($AO987=1,"DUE TOMORROW",IF($AQ987=1,"HIGH PRIORITY",IF($AR987=1,"NO RECENT UPDATE",""))))))) </f>
        <v/>
      </c>
      <c r="AH987" s="71" t="str">
        <f>IF($G987="","",IF(ISNUMBER($A987),IF(ISNUMBER($A987),YEAR($A987)&amp;"-"&amp;TEXT(MONTH($A987),"00"),""),IF(ISNUMBER($L987),IF(ISNUMBER($L987),YEAR($L987)&amp;"-"&amp;TEXT(MONTH($L987),"00"),""),"")))</f>
        <v/>
      </c>
      <c r="AI987" s="71">
        <f>IF($G987="",0,IF(AND(OR(fClient="All",$C987=fClient),OR(fCampaign="All",$D987=fCampaign),OR(fTeam="All",$B987=fTeam),OR(fChannel="All",$F987=fChannel),OR(fMonth="All",$AH987=fMonth),OR(fTStatus="All",$M987=fTStatus)),1,0))</f>
        <v>0</v>
      </c>
      <c r="AJ987" s="71">
        <f>IF($G987="",0,IF(AND(OR(fClient="All",$C987=fClient),OR(fCampaign="All",$D987=fCampaign),OR(fTeam="All",$B987=fTeam),OR(fChannel="All",$F987=fChannel)),1,0))</f>
        <v>0</v>
      </c>
      <c r="AK987" s="71">
        <f>IF($G987="",0,IF(OR($M987="Completed",$M987="Cancelled"),0,1))</f>
        <v>0</v>
      </c>
      <c r="AL987" s="71">
        <f>IF(AND($AK987=1,ISNUMBER($L987)),IF($L987&lt;ReportDate,1,0),0)</f>
        <v>0</v>
      </c>
      <c r="AM987" s="71">
        <f>IF(AND($G987&lt;&gt;"",$M987="Blocked"),1,0)</f>
        <v>0</v>
      </c>
      <c r="AN987" s="71">
        <f>IF(AND($AK987=1,ISNUMBER($L987)),IF($L987=ReportDate,1,0),0)</f>
        <v>0</v>
      </c>
      <c r="AO987" s="71">
        <f>IF(AND($AK987=1,ISNUMBER($L987)),IF($L987=ReportDate+1,1,0),0)</f>
        <v>0</v>
      </c>
      <c r="AP987" s="71">
        <f>IF(AND($AK987=1,ISNUMBER($L987)),IF(AND($L987&gt;=ReportDate,$L987&lt;=ReportDate+DueSoonDays),1,0),0)</f>
        <v>0</v>
      </c>
      <c r="AQ987" s="71">
        <f>IF(AND($AK987=1,OR($I987="Critical",$I987="High")),1,0)</f>
        <v>0</v>
      </c>
      <c r="AR987" s="71">
        <f>IF($AK987=1,IF(ISNUMBER($Y987),IF(ReportDate-$Y987&gt;StaleDays,1,0),1),0)</f>
        <v>0</v>
      </c>
      <c r="AS987" s="71">
        <f>IF(AND($G987&lt;&gt;"",ISNUMBER($Q987),ISNUMBER($R987)),IF(AND($Q987&lt;$R987,OR($M987="Completed",AND(ISNUMBER($L987),$L987&lt;ReportDate))),1,0),0)</f>
        <v>0</v>
      </c>
      <c r="AT987" s="71">
        <f>IF($AK987=1,IF(OR($L987=ReportDate,$W987=ReportDate,$K987=ReportDate,$A987=ReportDate),1,0),0)</f>
        <v>0</v>
      </c>
      <c r="AU987" s="71">
        <f>IF($AK987=1,IF(OR($L987=ReportDate+1,$W987=ReportDate+1,$K987=ReportDate+1,$A987=ReportDate+1),1,0),0)</f>
        <v>0</v>
      </c>
      <c r="AV987" s="71">
        <f>IF(AND($G987&lt;&gt;"",$M987="Completed"),IF(OR($Y987=ReportDate-1,$A987=ReportDate-1),1,0),0)</f>
        <v>0</v>
      </c>
      <c r="AW987" s="71">
        <f>IF(AND($AK987=1,$Z987="Yes"),1,0)</f>
        <v>0</v>
      </c>
      <c r="AX987" s="71">
        <f>IF(AND($AK987=1,$AA987="Yes"),1,0)</f>
        <v>0</v>
      </c>
      <c r="AY987" s="71">
        <f>IF(AND($AM987=1,OR($I987="Critical",$I987="High")),1,0)</f>
        <v>0</v>
      </c>
      <c r="AZ987" s="71">
        <f>IF(AND($AK987=1,OR($C987=TCL_Client,$C987=MECCA_Client)),1,0)</f>
        <v>0</v>
      </c>
      <c r="BA987" s="71" t="str">
        <f>IF($G987="","",IFERROR(MATCH($I987,lst_Priority,0),5))</f>
        <v/>
      </c>
      <c r="BB987" s="71" t="str">
        <f>IF(AND($AL987=1,$AJ987=1),$BA987*100000+ROW(),"")</f>
        <v/>
      </c>
      <c r="BC987" s="71" t="str">
        <f>IF(AND($AM987=1,$AJ987=1),$BA987*100000+ROW(),"")</f>
        <v/>
      </c>
      <c r="BD987" s="71" t="str">
        <f>IF(AND($AP987=1,$AJ987=1),$BA987*100000+ROW(),"")</f>
        <v/>
      </c>
      <c r="BE987" s="71" t="str">
        <f>IF(AND($AT987=1,$AJ987=1),$BA987*100000+ROW(),"")</f>
        <v/>
      </c>
      <c r="BF987" s="71" t="str">
        <f>IF(AND($AU987=1,$AJ987=1),$BA987*100000+ROW(),"")</f>
        <v/>
      </c>
      <c r="BG987" s="71" t="str">
        <f>IF(AND($AV987=1,$AJ987=1),$BA987*100000+ROW(),"")</f>
        <v/>
      </c>
      <c r="BH987" s="71" t="str">
        <f>IF(AND($AW987=1,$AJ987=1),$BA987*100000+ROW(),"")</f>
        <v/>
      </c>
      <c r="BI987" s="71" t="str">
        <f>IF(AND($AX987=1,$AJ987=1),$BA987*100000+ROW(),"")</f>
        <v/>
      </c>
      <c r="BJ987" s="71" t="str">
        <f>IF(AND($AS987=1,$AJ987=1),$BA987*100000+ROW(),"")</f>
        <v/>
      </c>
      <c r="BK987" s="71" t="str">
        <f>IF(AND($AY987=1,$AJ987=1),$BA987*100000+ROW(),"")</f>
        <v/>
      </c>
      <c r="BL987" s="71" t="str">
        <f>IF(AND($AZ987=1),$BA987*100000+ROW(),"")</f>
        <v/>
      </c>
    </row>
    <row r="988">
      <c r="A988" s="63" t="n"/>
      <c r="B988" s="64" t="n"/>
      <c r="C988" s="64" t="n"/>
      <c r="D988" s="64" t="n"/>
      <c r="E988" s="64" t="n"/>
      <c r="F988" s="64" t="n"/>
      <c r="G988" s="65" t="n"/>
      <c r="H988" s="65" t="n"/>
      <c r="I988" s="64" t="n"/>
      <c r="J988" s="64" t="n"/>
      <c r="K988" s="63" t="n"/>
      <c r="L988" s="63" t="n"/>
      <c r="M988" s="64" t="n"/>
      <c r="N988" s="66" t="n"/>
      <c r="O988" s="65" t="n"/>
      <c r="P988" s="64" t="n"/>
      <c r="Q988" s="67" t="n"/>
      <c r="R988" s="67" t="n"/>
      <c r="S988" s="68" t="str">
        <f>IF(AND(ISNUMBER($Q988),ISNUMBER($R988)),$Q988-$R988,"")</f>
        <v/>
      </c>
      <c r="T988" s="65" t="n"/>
      <c r="U988" s="64" t="n"/>
      <c r="V988" s="65" t="n"/>
      <c r="W988" s="63" t="n"/>
      <c r="X988" s="65" t="n"/>
      <c r="Y988" s="63" t="n"/>
      <c r="Z988" s="64" t="n"/>
      <c r="AA988" s="64" t="n"/>
      <c r="AB988" s="65" t="n"/>
      <c r="AC988" s="69" t="str">
        <f>IF(OR($G988="",NOT(ISNUMBER($K988)),$AK988=0),"",MAX(0,ReportDate-$K988))</f>
        <v/>
      </c>
      <c r="AD988" s="69" t="str">
        <f>IF($G988="","",IF($AL988=1,ReportDate-$L988,0))</f>
        <v/>
      </c>
      <c r="AE988" s="70" t="str">
        <f>IF($G988="","",IF($M988="Completed",1,IF(ISNUMBER($N988),$N988,0)))</f>
        <v/>
      </c>
      <c r="AF988" s="70" t="str">
        <f>IF(AND(ISNUMBER($Q988),ISNUMBER($R988)),IF($R988&lt;&gt;0,$Q988/$R988,""),"")</f>
        <v/>
      </c>
      <c r="AG988" s="71" t="str">
        <f>IF($G988="","",IF($AL988=1,"OVERDUE",IF($AM988=1,"BLOCKED",IF($AN988=1,"DUE TODAY",IF($AO988=1,"DUE TOMORROW",IF($AQ988=1,"HIGH PRIORITY",IF($AR988=1,"NO RECENT UPDATE",""))))))) </f>
        <v/>
      </c>
      <c r="AH988" s="71" t="str">
        <f>IF($G988="","",IF(ISNUMBER($A988),IF(ISNUMBER($A988),YEAR($A988)&amp;"-"&amp;TEXT(MONTH($A988),"00"),""),IF(ISNUMBER($L988),IF(ISNUMBER($L988),YEAR($L988)&amp;"-"&amp;TEXT(MONTH($L988),"00"),""),"")))</f>
        <v/>
      </c>
      <c r="AI988" s="71">
        <f>IF($G988="",0,IF(AND(OR(fClient="All",$C988=fClient),OR(fCampaign="All",$D988=fCampaign),OR(fTeam="All",$B988=fTeam),OR(fChannel="All",$F988=fChannel),OR(fMonth="All",$AH988=fMonth),OR(fTStatus="All",$M988=fTStatus)),1,0))</f>
        <v>0</v>
      </c>
      <c r="AJ988" s="71">
        <f>IF($G988="",0,IF(AND(OR(fClient="All",$C988=fClient),OR(fCampaign="All",$D988=fCampaign),OR(fTeam="All",$B988=fTeam),OR(fChannel="All",$F988=fChannel)),1,0))</f>
        <v>0</v>
      </c>
      <c r="AK988" s="71">
        <f>IF($G988="",0,IF(OR($M988="Completed",$M988="Cancelled"),0,1))</f>
        <v>0</v>
      </c>
      <c r="AL988" s="71">
        <f>IF(AND($AK988=1,ISNUMBER($L988)),IF($L988&lt;ReportDate,1,0),0)</f>
        <v>0</v>
      </c>
      <c r="AM988" s="71">
        <f>IF(AND($G988&lt;&gt;"",$M988="Blocked"),1,0)</f>
        <v>0</v>
      </c>
      <c r="AN988" s="71">
        <f>IF(AND($AK988=1,ISNUMBER($L988)),IF($L988=ReportDate,1,0),0)</f>
        <v>0</v>
      </c>
      <c r="AO988" s="71">
        <f>IF(AND($AK988=1,ISNUMBER($L988)),IF($L988=ReportDate+1,1,0),0)</f>
        <v>0</v>
      </c>
      <c r="AP988" s="71">
        <f>IF(AND($AK988=1,ISNUMBER($L988)),IF(AND($L988&gt;=ReportDate,$L988&lt;=ReportDate+DueSoonDays),1,0),0)</f>
        <v>0</v>
      </c>
      <c r="AQ988" s="71">
        <f>IF(AND($AK988=1,OR($I988="Critical",$I988="High")),1,0)</f>
        <v>0</v>
      </c>
      <c r="AR988" s="71">
        <f>IF($AK988=1,IF(ISNUMBER($Y988),IF(ReportDate-$Y988&gt;StaleDays,1,0),1),0)</f>
        <v>0</v>
      </c>
      <c r="AS988" s="71">
        <f>IF(AND($G988&lt;&gt;"",ISNUMBER($Q988),ISNUMBER($R988)),IF(AND($Q988&lt;$R988,OR($M988="Completed",AND(ISNUMBER($L988),$L988&lt;ReportDate))),1,0),0)</f>
        <v>0</v>
      </c>
      <c r="AT988" s="71">
        <f>IF($AK988=1,IF(OR($L988=ReportDate,$W988=ReportDate,$K988=ReportDate,$A988=ReportDate),1,0),0)</f>
        <v>0</v>
      </c>
      <c r="AU988" s="71">
        <f>IF($AK988=1,IF(OR($L988=ReportDate+1,$W988=ReportDate+1,$K988=ReportDate+1,$A988=ReportDate+1),1,0),0)</f>
        <v>0</v>
      </c>
      <c r="AV988" s="71">
        <f>IF(AND($G988&lt;&gt;"",$M988="Completed"),IF(OR($Y988=ReportDate-1,$A988=ReportDate-1),1,0),0)</f>
        <v>0</v>
      </c>
      <c r="AW988" s="71">
        <f>IF(AND($AK988=1,$Z988="Yes"),1,0)</f>
        <v>0</v>
      </c>
      <c r="AX988" s="71">
        <f>IF(AND($AK988=1,$AA988="Yes"),1,0)</f>
        <v>0</v>
      </c>
      <c r="AY988" s="71">
        <f>IF(AND($AM988=1,OR($I988="Critical",$I988="High")),1,0)</f>
        <v>0</v>
      </c>
      <c r="AZ988" s="71">
        <f>IF(AND($AK988=1,OR($C988=TCL_Client,$C988=MECCA_Client)),1,0)</f>
        <v>0</v>
      </c>
      <c r="BA988" s="71" t="str">
        <f>IF($G988="","",IFERROR(MATCH($I988,lst_Priority,0),5))</f>
        <v/>
      </c>
      <c r="BB988" s="71" t="str">
        <f>IF(AND($AL988=1,$AJ988=1),$BA988*100000+ROW(),"")</f>
        <v/>
      </c>
      <c r="BC988" s="71" t="str">
        <f>IF(AND($AM988=1,$AJ988=1),$BA988*100000+ROW(),"")</f>
        <v/>
      </c>
      <c r="BD988" s="71" t="str">
        <f>IF(AND($AP988=1,$AJ988=1),$BA988*100000+ROW(),"")</f>
        <v/>
      </c>
      <c r="BE988" s="71" t="str">
        <f>IF(AND($AT988=1,$AJ988=1),$BA988*100000+ROW(),"")</f>
        <v/>
      </c>
      <c r="BF988" s="71" t="str">
        <f>IF(AND($AU988=1,$AJ988=1),$BA988*100000+ROW(),"")</f>
        <v/>
      </c>
      <c r="BG988" s="71" t="str">
        <f>IF(AND($AV988=1,$AJ988=1),$BA988*100000+ROW(),"")</f>
        <v/>
      </c>
      <c r="BH988" s="71" t="str">
        <f>IF(AND($AW988=1,$AJ988=1),$BA988*100000+ROW(),"")</f>
        <v/>
      </c>
      <c r="BI988" s="71" t="str">
        <f>IF(AND($AX988=1,$AJ988=1),$BA988*100000+ROW(),"")</f>
        <v/>
      </c>
      <c r="BJ988" s="71" t="str">
        <f>IF(AND($AS988=1,$AJ988=1),$BA988*100000+ROW(),"")</f>
        <v/>
      </c>
      <c r="BK988" s="71" t="str">
        <f>IF(AND($AY988=1,$AJ988=1),$BA988*100000+ROW(),"")</f>
        <v/>
      </c>
      <c r="BL988" s="71" t="str">
        <f>IF(AND($AZ988=1),$BA988*100000+ROW(),"")</f>
        <v/>
      </c>
    </row>
    <row r="989">
      <c r="A989" s="63" t="n"/>
      <c r="B989" s="64" t="n"/>
      <c r="C989" s="64" t="n"/>
      <c r="D989" s="64" t="n"/>
      <c r="E989" s="64" t="n"/>
      <c r="F989" s="64" t="n"/>
      <c r="G989" s="65" t="n"/>
      <c r="H989" s="65" t="n"/>
      <c r="I989" s="64" t="n"/>
      <c r="J989" s="64" t="n"/>
      <c r="K989" s="63" t="n"/>
      <c r="L989" s="63" t="n"/>
      <c r="M989" s="64" t="n"/>
      <c r="N989" s="66" t="n"/>
      <c r="O989" s="65" t="n"/>
      <c r="P989" s="64" t="n"/>
      <c r="Q989" s="67" t="n"/>
      <c r="R989" s="67" t="n"/>
      <c r="S989" s="68" t="str">
        <f>IF(AND(ISNUMBER($Q989),ISNUMBER($R989)),$Q989-$R989,"")</f>
        <v/>
      </c>
      <c r="T989" s="65" t="n"/>
      <c r="U989" s="64" t="n"/>
      <c r="V989" s="65" t="n"/>
      <c r="W989" s="63" t="n"/>
      <c r="X989" s="65" t="n"/>
      <c r="Y989" s="63" t="n"/>
      <c r="Z989" s="64" t="n"/>
      <c r="AA989" s="64" t="n"/>
      <c r="AB989" s="65" t="n"/>
      <c r="AC989" s="69" t="str">
        <f>IF(OR($G989="",NOT(ISNUMBER($K989)),$AK989=0),"",MAX(0,ReportDate-$K989))</f>
        <v/>
      </c>
      <c r="AD989" s="69" t="str">
        <f>IF($G989="","",IF($AL989=1,ReportDate-$L989,0))</f>
        <v/>
      </c>
      <c r="AE989" s="70" t="str">
        <f>IF($G989="","",IF($M989="Completed",1,IF(ISNUMBER($N989),$N989,0)))</f>
        <v/>
      </c>
      <c r="AF989" s="70" t="str">
        <f>IF(AND(ISNUMBER($Q989),ISNUMBER($R989)),IF($R989&lt;&gt;0,$Q989/$R989,""),"")</f>
        <v/>
      </c>
      <c r="AG989" s="71" t="str">
        <f>IF($G989="","",IF($AL989=1,"OVERDUE",IF($AM989=1,"BLOCKED",IF($AN989=1,"DUE TODAY",IF($AO989=1,"DUE TOMORROW",IF($AQ989=1,"HIGH PRIORITY",IF($AR989=1,"NO RECENT UPDATE",""))))))) </f>
        <v/>
      </c>
      <c r="AH989" s="71" t="str">
        <f>IF($G989="","",IF(ISNUMBER($A989),IF(ISNUMBER($A989),YEAR($A989)&amp;"-"&amp;TEXT(MONTH($A989),"00"),""),IF(ISNUMBER($L989),IF(ISNUMBER($L989),YEAR($L989)&amp;"-"&amp;TEXT(MONTH($L989),"00"),""),"")))</f>
        <v/>
      </c>
      <c r="AI989" s="71">
        <f>IF($G989="",0,IF(AND(OR(fClient="All",$C989=fClient),OR(fCampaign="All",$D989=fCampaign),OR(fTeam="All",$B989=fTeam),OR(fChannel="All",$F989=fChannel),OR(fMonth="All",$AH989=fMonth),OR(fTStatus="All",$M989=fTStatus)),1,0))</f>
        <v>0</v>
      </c>
      <c r="AJ989" s="71">
        <f>IF($G989="",0,IF(AND(OR(fClient="All",$C989=fClient),OR(fCampaign="All",$D989=fCampaign),OR(fTeam="All",$B989=fTeam),OR(fChannel="All",$F989=fChannel)),1,0))</f>
        <v>0</v>
      </c>
      <c r="AK989" s="71">
        <f>IF($G989="",0,IF(OR($M989="Completed",$M989="Cancelled"),0,1))</f>
        <v>0</v>
      </c>
      <c r="AL989" s="71">
        <f>IF(AND($AK989=1,ISNUMBER($L989)),IF($L989&lt;ReportDate,1,0),0)</f>
        <v>0</v>
      </c>
      <c r="AM989" s="71">
        <f>IF(AND($G989&lt;&gt;"",$M989="Blocked"),1,0)</f>
        <v>0</v>
      </c>
      <c r="AN989" s="71">
        <f>IF(AND($AK989=1,ISNUMBER($L989)),IF($L989=ReportDate,1,0),0)</f>
        <v>0</v>
      </c>
      <c r="AO989" s="71">
        <f>IF(AND($AK989=1,ISNUMBER($L989)),IF($L989=ReportDate+1,1,0),0)</f>
        <v>0</v>
      </c>
      <c r="AP989" s="71">
        <f>IF(AND($AK989=1,ISNUMBER($L989)),IF(AND($L989&gt;=ReportDate,$L989&lt;=ReportDate+DueSoonDays),1,0),0)</f>
        <v>0</v>
      </c>
      <c r="AQ989" s="71">
        <f>IF(AND($AK989=1,OR($I989="Critical",$I989="High")),1,0)</f>
        <v>0</v>
      </c>
      <c r="AR989" s="71">
        <f>IF($AK989=1,IF(ISNUMBER($Y989),IF(ReportDate-$Y989&gt;StaleDays,1,0),1),0)</f>
        <v>0</v>
      </c>
      <c r="AS989" s="71">
        <f>IF(AND($G989&lt;&gt;"",ISNUMBER($Q989),ISNUMBER($R989)),IF(AND($Q989&lt;$R989,OR($M989="Completed",AND(ISNUMBER($L989),$L989&lt;ReportDate))),1,0),0)</f>
        <v>0</v>
      </c>
      <c r="AT989" s="71">
        <f>IF($AK989=1,IF(OR($L989=ReportDate,$W989=ReportDate,$K989=ReportDate,$A989=ReportDate),1,0),0)</f>
        <v>0</v>
      </c>
      <c r="AU989" s="71">
        <f>IF($AK989=1,IF(OR($L989=ReportDate+1,$W989=ReportDate+1,$K989=ReportDate+1,$A989=ReportDate+1),1,0),0)</f>
        <v>0</v>
      </c>
      <c r="AV989" s="71">
        <f>IF(AND($G989&lt;&gt;"",$M989="Completed"),IF(OR($Y989=ReportDate-1,$A989=ReportDate-1),1,0),0)</f>
        <v>0</v>
      </c>
      <c r="AW989" s="71">
        <f>IF(AND($AK989=1,$Z989="Yes"),1,0)</f>
        <v>0</v>
      </c>
      <c r="AX989" s="71">
        <f>IF(AND($AK989=1,$AA989="Yes"),1,0)</f>
        <v>0</v>
      </c>
      <c r="AY989" s="71">
        <f>IF(AND($AM989=1,OR($I989="Critical",$I989="High")),1,0)</f>
        <v>0</v>
      </c>
      <c r="AZ989" s="71">
        <f>IF(AND($AK989=1,OR($C989=TCL_Client,$C989=MECCA_Client)),1,0)</f>
        <v>0</v>
      </c>
      <c r="BA989" s="71" t="str">
        <f>IF($G989="","",IFERROR(MATCH($I989,lst_Priority,0),5))</f>
        <v/>
      </c>
      <c r="BB989" s="71" t="str">
        <f>IF(AND($AL989=1,$AJ989=1),$BA989*100000+ROW(),"")</f>
        <v/>
      </c>
      <c r="BC989" s="71" t="str">
        <f>IF(AND($AM989=1,$AJ989=1),$BA989*100000+ROW(),"")</f>
        <v/>
      </c>
      <c r="BD989" s="71" t="str">
        <f>IF(AND($AP989=1,$AJ989=1),$BA989*100000+ROW(),"")</f>
        <v/>
      </c>
      <c r="BE989" s="71" t="str">
        <f>IF(AND($AT989=1,$AJ989=1),$BA989*100000+ROW(),"")</f>
        <v/>
      </c>
      <c r="BF989" s="71" t="str">
        <f>IF(AND($AU989=1,$AJ989=1),$BA989*100000+ROW(),"")</f>
        <v/>
      </c>
      <c r="BG989" s="71" t="str">
        <f>IF(AND($AV989=1,$AJ989=1),$BA989*100000+ROW(),"")</f>
        <v/>
      </c>
      <c r="BH989" s="71" t="str">
        <f>IF(AND($AW989=1,$AJ989=1),$BA989*100000+ROW(),"")</f>
        <v/>
      </c>
      <c r="BI989" s="71" t="str">
        <f>IF(AND($AX989=1,$AJ989=1),$BA989*100000+ROW(),"")</f>
        <v/>
      </c>
      <c r="BJ989" s="71" t="str">
        <f>IF(AND($AS989=1,$AJ989=1),$BA989*100000+ROW(),"")</f>
        <v/>
      </c>
      <c r="BK989" s="71" t="str">
        <f>IF(AND($AY989=1,$AJ989=1),$BA989*100000+ROW(),"")</f>
        <v/>
      </c>
      <c r="BL989" s="71" t="str">
        <f>IF(AND($AZ989=1),$BA989*100000+ROW(),"")</f>
        <v/>
      </c>
    </row>
    <row r="990">
      <c r="A990" s="63" t="n"/>
      <c r="B990" s="64" t="n"/>
      <c r="C990" s="64" t="n"/>
      <c r="D990" s="64" t="n"/>
      <c r="E990" s="64" t="n"/>
      <c r="F990" s="64" t="n"/>
      <c r="G990" s="65" t="n"/>
      <c r="H990" s="65" t="n"/>
      <c r="I990" s="64" t="n"/>
      <c r="J990" s="64" t="n"/>
      <c r="K990" s="63" t="n"/>
      <c r="L990" s="63" t="n"/>
      <c r="M990" s="64" t="n"/>
      <c r="N990" s="66" t="n"/>
      <c r="O990" s="65" t="n"/>
      <c r="P990" s="64" t="n"/>
      <c r="Q990" s="67" t="n"/>
      <c r="R990" s="67" t="n"/>
      <c r="S990" s="68" t="str">
        <f>IF(AND(ISNUMBER($Q990),ISNUMBER($R990)),$Q990-$R990,"")</f>
        <v/>
      </c>
      <c r="T990" s="65" t="n"/>
      <c r="U990" s="64" t="n"/>
      <c r="V990" s="65" t="n"/>
      <c r="W990" s="63" t="n"/>
      <c r="X990" s="65" t="n"/>
      <c r="Y990" s="63" t="n"/>
      <c r="Z990" s="64" t="n"/>
      <c r="AA990" s="64" t="n"/>
      <c r="AB990" s="65" t="n"/>
      <c r="AC990" s="69" t="str">
        <f>IF(OR($G990="",NOT(ISNUMBER($K990)),$AK990=0),"",MAX(0,ReportDate-$K990))</f>
        <v/>
      </c>
      <c r="AD990" s="69" t="str">
        <f>IF($G990="","",IF($AL990=1,ReportDate-$L990,0))</f>
        <v/>
      </c>
      <c r="AE990" s="70" t="str">
        <f>IF($G990="","",IF($M990="Completed",1,IF(ISNUMBER($N990),$N990,0)))</f>
        <v/>
      </c>
      <c r="AF990" s="70" t="str">
        <f>IF(AND(ISNUMBER($Q990),ISNUMBER($R990)),IF($R990&lt;&gt;0,$Q990/$R990,""),"")</f>
        <v/>
      </c>
      <c r="AG990" s="71" t="str">
        <f>IF($G990="","",IF($AL990=1,"OVERDUE",IF($AM990=1,"BLOCKED",IF($AN990=1,"DUE TODAY",IF($AO990=1,"DUE TOMORROW",IF($AQ990=1,"HIGH PRIORITY",IF($AR990=1,"NO RECENT UPDATE",""))))))) </f>
        <v/>
      </c>
      <c r="AH990" s="71" t="str">
        <f>IF($G990="","",IF(ISNUMBER($A990),IF(ISNUMBER($A990),YEAR($A990)&amp;"-"&amp;TEXT(MONTH($A990),"00"),""),IF(ISNUMBER($L990),IF(ISNUMBER($L990),YEAR($L990)&amp;"-"&amp;TEXT(MONTH($L990),"00"),""),"")))</f>
        <v/>
      </c>
      <c r="AI990" s="71">
        <f>IF($G990="",0,IF(AND(OR(fClient="All",$C990=fClient),OR(fCampaign="All",$D990=fCampaign),OR(fTeam="All",$B990=fTeam),OR(fChannel="All",$F990=fChannel),OR(fMonth="All",$AH990=fMonth),OR(fTStatus="All",$M990=fTStatus)),1,0))</f>
        <v>0</v>
      </c>
      <c r="AJ990" s="71">
        <f>IF($G990="",0,IF(AND(OR(fClient="All",$C990=fClient),OR(fCampaign="All",$D990=fCampaign),OR(fTeam="All",$B990=fTeam),OR(fChannel="All",$F990=fChannel)),1,0))</f>
        <v>0</v>
      </c>
      <c r="AK990" s="71">
        <f>IF($G990="",0,IF(OR($M990="Completed",$M990="Cancelled"),0,1))</f>
        <v>0</v>
      </c>
      <c r="AL990" s="71">
        <f>IF(AND($AK990=1,ISNUMBER($L990)),IF($L990&lt;ReportDate,1,0),0)</f>
        <v>0</v>
      </c>
      <c r="AM990" s="71">
        <f>IF(AND($G990&lt;&gt;"",$M990="Blocked"),1,0)</f>
        <v>0</v>
      </c>
      <c r="AN990" s="71">
        <f>IF(AND($AK990=1,ISNUMBER($L990)),IF($L990=ReportDate,1,0),0)</f>
        <v>0</v>
      </c>
      <c r="AO990" s="71">
        <f>IF(AND($AK990=1,ISNUMBER($L990)),IF($L990=ReportDate+1,1,0),0)</f>
        <v>0</v>
      </c>
      <c r="AP990" s="71">
        <f>IF(AND($AK990=1,ISNUMBER($L990)),IF(AND($L990&gt;=ReportDate,$L990&lt;=ReportDate+DueSoonDays),1,0),0)</f>
        <v>0</v>
      </c>
      <c r="AQ990" s="71">
        <f>IF(AND($AK990=1,OR($I990="Critical",$I990="High")),1,0)</f>
        <v>0</v>
      </c>
      <c r="AR990" s="71">
        <f>IF($AK990=1,IF(ISNUMBER($Y990),IF(ReportDate-$Y990&gt;StaleDays,1,0),1),0)</f>
        <v>0</v>
      </c>
      <c r="AS990" s="71">
        <f>IF(AND($G990&lt;&gt;"",ISNUMBER($Q990),ISNUMBER($R990)),IF(AND($Q990&lt;$R990,OR($M990="Completed",AND(ISNUMBER($L990),$L990&lt;ReportDate))),1,0),0)</f>
        <v>0</v>
      </c>
      <c r="AT990" s="71">
        <f>IF($AK990=1,IF(OR($L990=ReportDate,$W990=ReportDate,$K990=ReportDate,$A990=ReportDate),1,0),0)</f>
        <v>0</v>
      </c>
      <c r="AU990" s="71">
        <f>IF($AK990=1,IF(OR($L990=ReportDate+1,$W990=ReportDate+1,$K990=ReportDate+1,$A990=ReportDate+1),1,0),0)</f>
        <v>0</v>
      </c>
      <c r="AV990" s="71">
        <f>IF(AND($G990&lt;&gt;"",$M990="Completed"),IF(OR($Y990=ReportDate-1,$A990=ReportDate-1),1,0),0)</f>
        <v>0</v>
      </c>
      <c r="AW990" s="71">
        <f>IF(AND($AK990=1,$Z990="Yes"),1,0)</f>
        <v>0</v>
      </c>
      <c r="AX990" s="71">
        <f>IF(AND($AK990=1,$AA990="Yes"),1,0)</f>
        <v>0</v>
      </c>
      <c r="AY990" s="71">
        <f>IF(AND($AM990=1,OR($I990="Critical",$I990="High")),1,0)</f>
        <v>0</v>
      </c>
      <c r="AZ990" s="71">
        <f>IF(AND($AK990=1,OR($C990=TCL_Client,$C990=MECCA_Client)),1,0)</f>
        <v>0</v>
      </c>
      <c r="BA990" s="71" t="str">
        <f>IF($G990="","",IFERROR(MATCH($I990,lst_Priority,0),5))</f>
        <v/>
      </c>
      <c r="BB990" s="71" t="str">
        <f>IF(AND($AL990=1,$AJ990=1),$BA990*100000+ROW(),"")</f>
        <v/>
      </c>
      <c r="BC990" s="71" t="str">
        <f>IF(AND($AM990=1,$AJ990=1),$BA990*100000+ROW(),"")</f>
        <v/>
      </c>
      <c r="BD990" s="71" t="str">
        <f>IF(AND($AP990=1,$AJ990=1),$BA990*100000+ROW(),"")</f>
        <v/>
      </c>
      <c r="BE990" s="71" t="str">
        <f>IF(AND($AT990=1,$AJ990=1),$BA990*100000+ROW(),"")</f>
        <v/>
      </c>
      <c r="BF990" s="71" t="str">
        <f>IF(AND($AU990=1,$AJ990=1),$BA990*100000+ROW(),"")</f>
        <v/>
      </c>
      <c r="BG990" s="71" t="str">
        <f>IF(AND($AV990=1,$AJ990=1),$BA990*100000+ROW(),"")</f>
        <v/>
      </c>
      <c r="BH990" s="71" t="str">
        <f>IF(AND($AW990=1,$AJ990=1),$BA990*100000+ROW(),"")</f>
        <v/>
      </c>
      <c r="BI990" s="71" t="str">
        <f>IF(AND($AX990=1,$AJ990=1),$BA990*100000+ROW(),"")</f>
        <v/>
      </c>
      <c r="BJ990" s="71" t="str">
        <f>IF(AND($AS990=1,$AJ990=1),$BA990*100000+ROW(),"")</f>
        <v/>
      </c>
      <c r="BK990" s="71" t="str">
        <f>IF(AND($AY990=1,$AJ990=1),$BA990*100000+ROW(),"")</f>
        <v/>
      </c>
      <c r="BL990" s="71" t="str">
        <f>IF(AND($AZ990=1),$BA990*100000+ROW(),"")</f>
        <v/>
      </c>
    </row>
    <row r="991">
      <c r="A991" s="63" t="n"/>
      <c r="B991" s="64" t="n"/>
      <c r="C991" s="64" t="n"/>
      <c r="D991" s="64" t="n"/>
      <c r="E991" s="64" t="n"/>
      <c r="F991" s="64" t="n"/>
      <c r="G991" s="65" t="n"/>
      <c r="H991" s="65" t="n"/>
      <c r="I991" s="64" t="n"/>
      <c r="J991" s="64" t="n"/>
      <c r="K991" s="63" t="n"/>
      <c r="L991" s="63" t="n"/>
      <c r="M991" s="64" t="n"/>
      <c r="N991" s="66" t="n"/>
      <c r="O991" s="65" t="n"/>
      <c r="P991" s="64" t="n"/>
      <c r="Q991" s="67" t="n"/>
      <c r="R991" s="67" t="n"/>
      <c r="S991" s="68" t="str">
        <f>IF(AND(ISNUMBER($Q991),ISNUMBER($R991)),$Q991-$R991,"")</f>
        <v/>
      </c>
      <c r="T991" s="65" t="n"/>
      <c r="U991" s="64" t="n"/>
      <c r="V991" s="65" t="n"/>
      <c r="W991" s="63" t="n"/>
      <c r="X991" s="65" t="n"/>
      <c r="Y991" s="63" t="n"/>
      <c r="Z991" s="64" t="n"/>
      <c r="AA991" s="64" t="n"/>
      <c r="AB991" s="65" t="n"/>
      <c r="AC991" s="69" t="str">
        <f>IF(OR($G991="",NOT(ISNUMBER($K991)),$AK991=0),"",MAX(0,ReportDate-$K991))</f>
        <v/>
      </c>
      <c r="AD991" s="69" t="str">
        <f>IF($G991="","",IF($AL991=1,ReportDate-$L991,0))</f>
        <v/>
      </c>
      <c r="AE991" s="70" t="str">
        <f>IF($G991="","",IF($M991="Completed",1,IF(ISNUMBER($N991),$N991,0)))</f>
        <v/>
      </c>
      <c r="AF991" s="70" t="str">
        <f>IF(AND(ISNUMBER($Q991),ISNUMBER($R991)),IF($R991&lt;&gt;0,$Q991/$R991,""),"")</f>
        <v/>
      </c>
      <c r="AG991" s="71" t="str">
        <f>IF($G991="","",IF($AL991=1,"OVERDUE",IF($AM991=1,"BLOCKED",IF($AN991=1,"DUE TODAY",IF($AO991=1,"DUE TOMORROW",IF($AQ991=1,"HIGH PRIORITY",IF($AR991=1,"NO RECENT UPDATE",""))))))) </f>
        <v/>
      </c>
      <c r="AH991" s="71" t="str">
        <f>IF($G991="","",IF(ISNUMBER($A991),IF(ISNUMBER($A991),YEAR($A991)&amp;"-"&amp;TEXT(MONTH($A991),"00"),""),IF(ISNUMBER($L991),IF(ISNUMBER($L991),YEAR($L991)&amp;"-"&amp;TEXT(MONTH($L991),"00"),""),"")))</f>
        <v/>
      </c>
      <c r="AI991" s="71">
        <f>IF($G991="",0,IF(AND(OR(fClient="All",$C991=fClient),OR(fCampaign="All",$D991=fCampaign),OR(fTeam="All",$B991=fTeam),OR(fChannel="All",$F991=fChannel),OR(fMonth="All",$AH991=fMonth),OR(fTStatus="All",$M991=fTStatus)),1,0))</f>
        <v>0</v>
      </c>
      <c r="AJ991" s="71">
        <f>IF($G991="",0,IF(AND(OR(fClient="All",$C991=fClient),OR(fCampaign="All",$D991=fCampaign),OR(fTeam="All",$B991=fTeam),OR(fChannel="All",$F991=fChannel)),1,0))</f>
        <v>0</v>
      </c>
      <c r="AK991" s="71">
        <f>IF($G991="",0,IF(OR($M991="Completed",$M991="Cancelled"),0,1))</f>
        <v>0</v>
      </c>
      <c r="AL991" s="71">
        <f>IF(AND($AK991=1,ISNUMBER($L991)),IF($L991&lt;ReportDate,1,0),0)</f>
        <v>0</v>
      </c>
      <c r="AM991" s="71">
        <f>IF(AND($G991&lt;&gt;"",$M991="Blocked"),1,0)</f>
        <v>0</v>
      </c>
      <c r="AN991" s="71">
        <f>IF(AND($AK991=1,ISNUMBER($L991)),IF($L991=ReportDate,1,0),0)</f>
        <v>0</v>
      </c>
      <c r="AO991" s="71">
        <f>IF(AND($AK991=1,ISNUMBER($L991)),IF($L991=ReportDate+1,1,0),0)</f>
        <v>0</v>
      </c>
      <c r="AP991" s="71">
        <f>IF(AND($AK991=1,ISNUMBER($L991)),IF(AND($L991&gt;=ReportDate,$L991&lt;=ReportDate+DueSoonDays),1,0),0)</f>
        <v>0</v>
      </c>
      <c r="AQ991" s="71">
        <f>IF(AND($AK991=1,OR($I991="Critical",$I991="High")),1,0)</f>
        <v>0</v>
      </c>
      <c r="AR991" s="71">
        <f>IF($AK991=1,IF(ISNUMBER($Y991),IF(ReportDate-$Y991&gt;StaleDays,1,0),1),0)</f>
        <v>0</v>
      </c>
      <c r="AS991" s="71">
        <f>IF(AND($G991&lt;&gt;"",ISNUMBER($Q991),ISNUMBER($R991)),IF(AND($Q991&lt;$R991,OR($M991="Completed",AND(ISNUMBER($L991),$L991&lt;ReportDate))),1,0),0)</f>
        <v>0</v>
      </c>
      <c r="AT991" s="71">
        <f>IF($AK991=1,IF(OR($L991=ReportDate,$W991=ReportDate,$K991=ReportDate,$A991=ReportDate),1,0),0)</f>
        <v>0</v>
      </c>
      <c r="AU991" s="71">
        <f>IF($AK991=1,IF(OR($L991=ReportDate+1,$W991=ReportDate+1,$K991=ReportDate+1,$A991=ReportDate+1),1,0),0)</f>
        <v>0</v>
      </c>
      <c r="AV991" s="71">
        <f>IF(AND($G991&lt;&gt;"",$M991="Completed"),IF(OR($Y991=ReportDate-1,$A991=ReportDate-1),1,0),0)</f>
        <v>0</v>
      </c>
      <c r="AW991" s="71">
        <f>IF(AND($AK991=1,$Z991="Yes"),1,0)</f>
        <v>0</v>
      </c>
      <c r="AX991" s="71">
        <f>IF(AND($AK991=1,$AA991="Yes"),1,0)</f>
        <v>0</v>
      </c>
      <c r="AY991" s="71">
        <f>IF(AND($AM991=1,OR($I991="Critical",$I991="High")),1,0)</f>
        <v>0</v>
      </c>
      <c r="AZ991" s="71">
        <f>IF(AND($AK991=1,OR($C991=TCL_Client,$C991=MECCA_Client)),1,0)</f>
        <v>0</v>
      </c>
      <c r="BA991" s="71" t="str">
        <f>IF($G991="","",IFERROR(MATCH($I991,lst_Priority,0),5))</f>
        <v/>
      </c>
      <c r="BB991" s="71" t="str">
        <f>IF(AND($AL991=1,$AJ991=1),$BA991*100000+ROW(),"")</f>
        <v/>
      </c>
      <c r="BC991" s="71" t="str">
        <f>IF(AND($AM991=1,$AJ991=1),$BA991*100000+ROW(),"")</f>
        <v/>
      </c>
      <c r="BD991" s="71" t="str">
        <f>IF(AND($AP991=1,$AJ991=1),$BA991*100000+ROW(),"")</f>
        <v/>
      </c>
      <c r="BE991" s="71" t="str">
        <f>IF(AND($AT991=1,$AJ991=1),$BA991*100000+ROW(),"")</f>
        <v/>
      </c>
      <c r="BF991" s="71" t="str">
        <f>IF(AND($AU991=1,$AJ991=1),$BA991*100000+ROW(),"")</f>
        <v/>
      </c>
      <c r="BG991" s="71" t="str">
        <f>IF(AND($AV991=1,$AJ991=1),$BA991*100000+ROW(),"")</f>
        <v/>
      </c>
      <c r="BH991" s="71" t="str">
        <f>IF(AND($AW991=1,$AJ991=1),$BA991*100000+ROW(),"")</f>
        <v/>
      </c>
      <c r="BI991" s="71" t="str">
        <f>IF(AND($AX991=1,$AJ991=1),$BA991*100000+ROW(),"")</f>
        <v/>
      </c>
      <c r="BJ991" s="71" t="str">
        <f>IF(AND($AS991=1,$AJ991=1),$BA991*100000+ROW(),"")</f>
        <v/>
      </c>
      <c r="BK991" s="71" t="str">
        <f>IF(AND($AY991=1,$AJ991=1),$BA991*100000+ROW(),"")</f>
        <v/>
      </c>
      <c r="BL991" s="71" t="str">
        <f>IF(AND($AZ991=1),$BA991*100000+ROW(),"")</f>
        <v/>
      </c>
    </row>
    <row r="992">
      <c r="A992" s="63" t="n"/>
      <c r="B992" s="64" t="n"/>
      <c r="C992" s="64" t="n"/>
      <c r="D992" s="64" t="n"/>
      <c r="E992" s="64" t="n"/>
      <c r="F992" s="64" t="n"/>
      <c r="G992" s="65" t="n"/>
      <c r="H992" s="65" t="n"/>
      <c r="I992" s="64" t="n"/>
      <c r="J992" s="64" t="n"/>
      <c r="K992" s="63" t="n"/>
      <c r="L992" s="63" t="n"/>
      <c r="M992" s="64" t="n"/>
      <c r="N992" s="66" t="n"/>
      <c r="O992" s="65" t="n"/>
      <c r="P992" s="64" t="n"/>
      <c r="Q992" s="67" t="n"/>
      <c r="R992" s="67" t="n"/>
      <c r="S992" s="68" t="str">
        <f>IF(AND(ISNUMBER($Q992),ISNUMBER($R992)),$Q992-$R992,"")</f>
        <v/>
      </c>
      <c r="T992" s="65" t="n"/>
      <c r="U992" s="64" t="n"/>
      <c r="V992" s="65" t="n"/>
      <c r="W992" s="63" t="n"/>
      <c r="X992" s="65" t="n"/>
      <c r="Y992" s="63" t="n"/>
      <c r="Z992" s="64" t="n"/>
      <c r="AA992" s="64" t="n"/>
      <c r="AB992" s="65" t="n"/>
      <c r="AC992" s="69" t="str">
        <f>IF(OR($G992="",NOT(ISNUMBER($K992)),$AK992=0),"",MAX(0,ReportDate-$K992))</f>
        <v/>
      </c>
      <c r="AD992" s="69" t="str">
        <f>IF($G992="","",IF($AL992=1,ReportDate-$L992,0))</f>
        <v/>
      </c>
      <c r="AE992" s="70" t="str">
        <f>IF($G992="","",IF($M992="Completed",1,IF(ISNUMBER($N992),$N992,0)))</f>
        <v/>
      </c>
      <c r="AF992" s="70" t="str">
        <f>IF(AND(ISNUMBER($Q992),ISNUMBER($R992)),IF($R992&lt;&gt;0,$Q992/$R992,""),"")</f>
        <v/>
      </c>
      <c r="AG992" s="71" t="str">
        <f>IF($G992="","",IF($AL992=1,"OVERDUE",IF($AM992=1,"BLOCKED",IF($AN992=1,"DUE TODAY",IF($AO992=1,"DUE TOMORROW",IF($AQ992=1,"HIGH PRIORITY",IF($AR992=1,"NO RECENT UPDATE",""))))))) </f>
        <v/>
      </c>
      <c r="AH992" s="71" t="str">
        <f>IF($G992="","",IF(ISNUMBER($A992),IF(ISNUMBER($A992),YEAR($A992)&amp;"-"&amp;TEXT(MONTH($A992),"00"),""),IF(ISNUMBER($L992),IF(ISNUMBER($L992),YEAR($L992)&amp;"-"&amp;TEXT(MONTH($L992),"00"),""),"")))</f>
        <v/>
      </c>
      <c r="AI992" s="71">
        <f>IF($G992="",0,IF(AND(OR(fClient="All",$C992=fClient),OR(fCampaign="All",$D992=fCampaign),OR(fTeam="All",$B992=fTeam),OR(fChannel="All",$F992=fChannel),OR(fMonth="All",$AH992=fMonth),OR(fTStatus="All",$M992=fTStatus)),1,0))</f>
        <v>0</v>
      </c>
      <c r="AJ992" s="71">
        <f>IF($G992="",0,IF(AND(OR(fClient="All",$C992=fClient),OR(fCampaign="All",$D992=fCampaign),OR(fTeam="All",$B992=fTeam),OR(fChannel="All",$F992=fChannel)),1,0))</f>
        <v>0</v>
      </c>
      <c r="AK992" s="71">
        <f>IF($G992="",0,IF(OR($M992="Completed",$M992="Cancelled"),0,1))</f>
        <v>0</v>
      </c>
      <c r="AL992" s="71">
        <f>IF(AND($AK992=1,ISNUMBER($L992)),IF($L992&lt;ReportDate,1,0),0)</f>
        <v>0</v>
      </c>
      <c r="AM992" s="71">
        <f>IF(AND($G992&lt;&gt;"",$M992="Blocked"),1,0)</f>
        <v>0</v>
      </c>
      <c r="AN992" s="71">
        <f>IF(AND($AK992=1,ISNUMBER($L992)),IF($L992=ReportDate,1,0),0)</f>
        <v>0</v>
      </c>
      <c r="AO992" s="71">
        <f>IF(AND($AK992=1,ISNUMBER($L992)),IF($L992=ReportDate+1,1,0),0)</f>
        <v>0</v>
      </c>
      <c r="AP992" s="71">
        <f>IF(AND($AK992=1,ISNUMBER($L992)),IF(AND($L992&gt;=ReportDate,$L992&lt;=ReportDate+DueSoonDays),1,0),0)</f>
        <v>0</v>
      </c>
      <c r="AQ992" s="71">
        <f>IF(AND($AK992=1,OR($I992="Critical",$I992="High")),1,0)</f>
        <v>0</v>
      </c>
      <c r="AR992" s="71">
        <f>IF($AK992=1,IF(ISNUMBER($Y992),IF(ReportDate-$Y992&gt;StaleDays,1,0),1),0)</f>
        <v>0</v>
      </c>
      <c r="AS992" s="71">
        <f>IF(AND($G992&lt;&gt;"",ISNUMBER($Q992),ISNUMBER($R992)),IF(AND($Q992&lt;$R992,OR($M992="Completed",AND(ISNUMBER($L992),$L992&lt;ReportDate))),1,0),0)</f>
        <v>0</v>
      </c>
      <c r="AT992" s="71">
        <f>IF($AK992=1,IF(OR($L992=ReportDate,$W992=ReportDate,$K992=ReportDate,$A992=ReportDate),1,0),0)</f>
        <v>0</v>
      </c>
      <c r="AU992" s="71">
        <f>IF($AK992=1,IF(OR($L992=ReportDate+1,$W992=ReportDate+1,$K992=ReportDate+1,$A992=ReportDate+1),1,0),0)</f>
        <v>0</v>
      </c>
      <c r="AV992" s="71">
        <f>IF(AND($G992&lt;&gt;"",$M992="Completed"),IF(OR($Y992=ReportDate-1,$A992=ReportDate-1),1,0),0)</f>
        <v>0</v>
      </c>
      <c r="AW992" s="71">
        <f>IF(AND($AK992=1,$Z992="Yes"),1,0)</f>
        <v>0</v>
      </c>
      <c r="AX992" s="71">
        <f>IF(AND($AK992=1,$AA992="Yes"),1,0)</f>
        <v>0</v>
      </c>
      <c r="AY992" s="71">
        <f>IF(AND($AM992=1,OR($I992="Critical",$I992="High")),1,0)</f>
        <v>0</v>
      </c>
      <c r="AZ992" s="71">
        <f>IF(AND($AK992=1,OR($C992=TCL_Client,$C992=MECCA_Client)),1,0)</f>
        <v>0</v>
      </c>
      <c r="BA992" s="71" t="str">
        <f>IF($G992="","",IFERROR(MATCH($I992,lst_Priority,0),5))</f>
        <v/>
      </c>
      <c r="BB992" s="71" t="str">
        <f>IF(AND($AL992=1,$AJ992=1),$BA992*100000+ROW(),"")</f>
        <v/>
      </c>
      <c r="BC992" s="71" t="str">
        <f>IF(AND($AM992=1,$AJ992=1),$BA992*100000+ROW(),"")</f>
        <v/>
      </c>
      <c r="BD992" s="71" t="str">
        <f>IF(AND($AP992=1,$AJ992=1),$BA992*100000+ROW(),"")</f>
        <v/>
      </c>
      <c r="BE992" s="71" t="str">
        <f>IF(AND($AT992=1,$AJ992=1),$BA992*100000+ROW(),"")</f>
        <v/>
      </c>
      <c r="BF992" s="71" t="str">
        <f>IF(AND($AU992=1,$AJ992=1),$BA992*100000+ROW(),"")</f>
        <v/>
      </c>
      <c r="BG992" s="71" t="str">
        <f>IF(AND($AV992=1,$AJ992=1),$BA992*100000+ROW(),"")</f>
        <v/>
      </c>
      <c r="BH992" s="71" t="str">
        <f>IF(AND($AW992=1,$AJ992=1),$BA992*100000+ROW(),"")</f>
        <v/>
      </c>
      <c r="BI992" s="71" t="str">
        <f>IF(AND($AX992=1,$AJ992=1),$BA992*100000+ROW(),"")</f>
        <v/>
      </c>
      <c r="BJ992" s="71" t="str">
        <f>IF(AND($AS992=1,$AJ992=1),$BA992*100000+ROW(),"")</f>
        <v/>
      </c>
      <c r="BK992" s="71" t="str">
        <f>IF(AND($AY992=1,$AJ992=1),$BA992*100000+ROW(),"")</f>
        <v/>
      </c>
      <c r="BL992" s="71" t="str">
        <f>IF(AND($AZ992=1),$BA992*100000+ROW(),"")</f>
        <v/>
      </c>
    </row>
    <row r="993">
      <c r="A993" s="63" t="n"/>
      <c r="B993" s="64" t="n"/>
      <c r="C993" s="64" t="n"/>
      <c r="D993" s="64" t="n"/>
      <c r="E993" s="64" t="n"/>
      <c r="F993" s="64" t="n"/>
      <c r="G993" s="65" t="n"/>
      <c r="H993" s="65" t="n"/>
      <c r="I993" s="64" t="n"/>
      <c r="J993" s="64" t="n"/>
      <c r="K993" s="63" t="n"/>
      <c r="L993" s="63" t="n"/>
      <c r="M993" s="64" t="n"/>
      <c r="N993" s="66" t="n"/>
      <c r="O993" s="65" t="n"/>
      <c r="P993" s="64" t="n"/>
      <c r="Q993" s="67" t="n"/>
      <c r="R993" s="67" t="n"/>
      <c r="S993" s="68" t="str">
        <f>IF(AND(ISNUMBER($Q993),ISNUMBER($R993)),$Q993-$R993,"")</f>
        <v/>
      </c>
      <c r="T993" s="65" t="n"/>
      <c r="U993" s="64" t="n"/>
      <c r="V993" s="65" t="n"/>
      <c r="W993" s="63" t="n"/>
      <c r="X993" s="65" t="n"/>
      <c r="Y993" s="63" t="n"/>
      <c r="Z993" s="64" t="n"/>
      <c r="AA993" s="64" t="n"/>
      <c r="AB993" s="65" t="n"/>
      <c r="AC993" s="69" t="str">
        <f>IF(OR($G993="",NOT(ISNUMBER($K993)),$AK993=0),"",MAX(0,ReportDate-$K993))</f>
        <v/>
      </c>
      <c r="AD993" s="69" t="str">
        <f>IF($G993="","",IF($AL993=1,ReportDate-$L993,0))</f>
        <v/>
      </c>
      <c r="AE993" s="70" t="str">
        <f>IF($G993="","",IF($M993="Completed",1,IF(ISNUMBER($N993),$N993,0)))</f>
        <v/>
      </c>
      <c r="AF993" s="70" t="str">
        <f>IF(AND(ISNUMBER($Q993),ISNUMBER($R993)),IF($R993&lt;&gt;0,$Q993/$R993,""),"")</f>
        <v/>
      </c>
      <c r="AG993" s="71" t="str">
        <f>IF($G993="","",IF($AL993=1,"OVERDUE",IF($AM993=1,"BLOCKED",IF($AN993=1,"DUE TODAY",IF($AO993=1,"DUE TOMORROW",IF($AQ993=1,"HIGH PRIORITY",IF($AR993=1,"NO RECENT UPDATE",""))))))) </f>
        <v/>
      </c>
      <c r="AH993" s="71" t="str">
        <f>IF($G993="","",IF(ISNUMBER($A993),IF(ISNUMBER($A993),YEAR($A993)&amp;"-"&amp;TEXT(MONTH($A993),"00"),""),IF(ISNUMBER($L993),IF(ISNUMBER($L993),YEAR($L993)&amp;"-"&amp;TEXT(MONTH($L993),"00"),""),"")))</f>
        <v/>
      </c>
      <c r="AI993" s="71">
        <f>IF($G993="",0,IF(AND(OR(fClient="All",$C993=fClient),OR(fCampaign="All",$D993=fCampaign),OR(fTeam="All",$B993=fTeam),OR(fChannel="All",$F993=fChannel),OR(fMonth="All",$AH993=fMonth),OR(fTStatus="All",$M993=fTStatus)),1,0))</f>
        <v>0</v>
      </c>
      <c r="AJ993" s="71">
        <f>IF($G993="",0,IF(AND(OR(fClient="All",$C993=fClient),OR(fCampaign="All",$D993=fCampaign),OR(fTeam="All",$B993=fTeam),OR(fChannel="All",$F993=fChannel)),1,0))</f>
        <v>0</v>
      </c>
      <c r="AK993" s="71">
        <f>IF($G993="",0,IF(OR($M993="Completed",$M993="Cancelled"),0,1))</f>
        <v>0</v>
      </c>
      <c r="AL993" s="71">
        <f>IF(AND($AK993=1,ISNUMBER($L993)),IF($L993&lt;ReportDate,1,0),0)</f>
        <v>0</v>
      </c>
      <c r="AM993" s="71">
        <f>IF(AND($G993&lt;&gt;"",$M993="Blocked"),1,0)</f>
        <v>0</v>
      </c>
      <c r="AN993" s="71">
        <f>IF(AND($AK993=1,ISNUMBER($L993)),IF($L993=ReportDate,1,0),0)</f>
        <v>0</v>
      </c>
      <c r="AO993" s="71">
        <f>IF(AND($AK993=1,ISNUMBER($L993)),IF($L993=ReportDate+1,1,0),0)</f>
        <v>0</v>
      </c>
      <c r="AP993" s="71">
        <f>IF(AND($AK993=1,ISNUMBER($L993)),IF(AND($L993&gt;=ReportDate,$L993&lt;=ReportDate+DueSoonDays),1,0),0)</f>
        <v>0</v>
      </c>
      <c r="AQ993" s="71">
        <f>IF(AND($AK993=1,OR($I993="Critical",$I993="High")),1,0)</f>
        <v>0</v>
      </c>
      <c r="AR993" s="71">
        <f>IF($AK993=1,IF(ISNUMBER($Y993),IF(ReportDate-$Y993&gt;StaleDays,1,0),1),0)</f>
        <v>0</v>
      </c>
      <c r="AS993" s="71">
        <f>IF(AND($G993&lt;&gt;"",ISNUMBER($Q993),ISNUMBER($R993)),IF(AND($Q993&lt;$R993,OR($M993="Completed",AND(ISNUMBER($L993),$L993&lt;ReportDate))),1,0),0)</f>
        <v>0</v>
      </c>
      <c r="AT993" s="71">
        <f>IF($AK993=1,IF(OR($L993=ReportDate,$W993=ReportDate,$K993=ReportDate,$A993=ReportDate),1,0),0)</f>
        <v>0</v>
      </c>
      <c r="AU993" s="71">
        <f>IF($AK993=1,IF(OR($L993=ReportDate+1,$W993=ReportDate+1,$K993=ReportDate+1,$A993=ReportDate+1),1,0),0)</f>
        <v>0</v>
      </c>
      <c r="AV993" s="71">
        <f>IF(AND($G993&lt;&gt;"",$M993="Completed"),IF(OR($Y993=ReportDate-1,$A993=ReportDate-1),1,0),0)</f>
        <v>0</v>
      </c>
      <c r="AW993" s="71">
        <f>IF(AND($AK993=1,$Z993="Yes"),1,0)</f>
        <v>0</v>
      </c>
      <c r="AX993" s="71">
        <f>IF(AND($AK993=1,$AA993="Yes"),1,0)</f>
        <v>0</v>
      </c>
      <c r="AY993" s="71">
        <f>IF(AND($AM993=1,OR($I993="Critical",$I993="High")),1,0)</f>
        <v>0</v>
      </c>
      <c r="AZ993" s="71">
        <f>IF(AND($AK993=1,OR($C993=TCL_Client,$C993=MECCA_Client)),1,0)</f>
        <v>0</v>
      </c>
      <c r="BA993" s="71" t="str">
        <f>IF($G993="","",IFERROR(MATCH($I993,lst_Priority,0),5))</f>
        <v/>
      </c>
      <c r="BB993" s="71" t="str">
        <f>IF(AND($AL993=1,$AJ993=1),$BA993*100000+ROW(),"")</f>
        <v/>
      </c>
      <c r="BC993" s="71" t="str">
        <f>IF(AND($AM993=1,$AJ993=1),$BA993*100000+ROW(),"")</f>
        <v/>
      </c>
      <c r="BD993" s="71" t="str">
        <f>IF(AND($AP993=1,$AJ993=1),$BA993*100000+ROW(),"")</f>
        <v/>
      </c>
      <c r="BE993" s="71" t="str">
        <f>IF(AND($AT993=1,$AJ993=1),$BA993*100000+ROW(),"")</f>
        <v/>
      </c>
      <c r="BF993" s="71" t="str">
        <f>IF(AND($AU993=1,$AJ993=1),$BA993*100000+ROW(),"")</f>
        <v/>
      </c>
      <c r="BG993" s="71" t="str">
        <f>IF(AND($AV993=1,$AJ993=1),$BA993*100000+ROW(),"")</f>
        <v/>
      </c>
      <c r="BH993" s="71" t="str">
        <f>IF(AND($AW993=1,$AJ993=1),$BA993*100000+ROW(),"")</f>
        <v/>
      </c>
      <c r="BI993" s="71" t="str">
        <f>IF(AND($AX993=1,$AJ993=1),$BA993*100000+ROW(),"")</f>
        <v/>
      </c>
      <c r="BJ993" s="71" t="str">
        <f>IF(AND($AS993=1,$AJ993=1),$BA993*100000+ROW(),"")</f>
        <v/>
      </c>
      <c r="BK993" s="71" t="str">
        <f>IF(AND($AY993=1,$AJ993=1),$BA993*100000+ROW(),"")</f>
        <v/>
      </c>
      <c r="BL993" s="71" t="str">
        <f>IF(AND($AZ993=1),$BA993*100000+ROW(),"")</f>
        <v/>
      </c>
    </row>
    <row r="994">
      <c r="A994" s="63" t="n"/>
      <c r="B994" s="64" t="n"/>
      <c r="C994" s="64" t="n"/>
      <c r="D994" s="64" t="n"/>
      <c r="E994" s="64" t="n"/>
      <c r="F994" s="64" t="n"/>
      <c r="G994" s="65" t="n"/>
      <c r="H994" s="65" t="n"/>
      <c r="I994" s="64" t="n"/>
      <c r="J994" s="64" t="n"/>
      <c r="K994" s="63" t="n"/>
      <c r="L994" s="63" t="n"/>
      <c r="M994" s="64" t="n"/>
      <c r="N994" s="66" t="n"/>
      <c r="O994" s="65" t="n"/>
      <c r="P994" s="64" t="n"/>
      <c r="Q994" s="67" t="n"/>
      <c r="R994" s="67" t="n"/>
      <c r="S994" s="68" t="str">
        <f>IF(AND(ISNUMBER($Q994),ISNUMBER($R994)),$Q994-$R994,"")</f>
        <v/>
      </c>
      <c r="T994" s="65" t="n"/>
      <c r="U994" s="64" t="n"/>
      <c r="V994" s="65" t="n"/>
      <c r="W994" s="63" t="n"/>
      <c r="X994" s="65" t="n"/>
      <c r="Y994" s="63" t="n"/>
      <c r="Z994" s="64" t="n"/>
      <c r="AA994" s="64" t="n"/>
      <c r="AB994" s="65" t="n"/>
      <c r="AC994" s="69" t="str">
        <f>IF(OR($G994="",NOT(ISNUMBER($K994)),$AK994=0),"",MAX(0,ReportDate-$K994))</f>
        <v/>
      </c>
      <c r="AD994" s="69" t="str">
        <f>IF($G994="","",IF($AL994=1,ReportDate-$L994,0))</f>
        <v/>
      </c>
      <c r="AE994" s="70" t="str">
        <f>IF($G994="","",IF($M994="Completed",1,IF(ISNUMBER($N994),$N994,0)))</f>
        <v/>
      </c>
      <c r="AF994" s="70" t="str">
        <f>IF(AND(ISNUMBER($Q994),ISNUMBER($R994)),IF($R994&lt;&gt;0,$Q994/$R994,""),"")</f>
        <v/>
      </c>
      <c r="AG994" s="71" t="str">
        <f>IF($G994="","",IF($AL994=1,"OVERDUE",IF($AM994=1,"BLOCKED",IF($AN994=1,"DUE TODAY",IF($AO994=1,"DUE TOMORROW",IF($AQ994=1,"HIGH PRIORITY",IF($AR994=1,"NO RECENT UPDATE",""))))))) </f>
        <v/>
      </c>
      <c r="AH994" s="71" t="str">
        <f>IF($G994="","",IF(ISNUMBER($A994),IF(ISNUMBER($A994),YEAR($A994)&amp;"-"&amp;TEXT(MONTH($A994),"00"),""),IF(ISNUMBER($L994),IF(ISNUMBER($L994),YEAR($L994)&amp;"-"&amp;TEXT(MONTH($L994),"00"),""),"")))</f>
        <v/>
      </c>
      <c r="AI994" s="71">
        <f>IF($G994="",0,IF(AND(OR(fClient="All",$C994=fClient),OR(fCampaign="All",$D994=fCampaign),OR(fTeam="All",$B994=fTeam),OR(fChannel="All",$F994=fChannel),OR(fMonth="All",$AH994=fMonth),OR(fTStatus="All",$M994=fTStatus)),1,0))</f>
        <v>0</v>
      </c>
      <c r="AJ994" s="71">
        <f>IF($G994="",0,IF(AND(OR(fClient="All",$C994=fClient),OR(fCampaign="All",$D994=fCampaign),OR(fTeam="All",$B994=fTeam),OR(fChannel="All",$F994=fChannel)),1,0))</f>
        <v>0</v>
      </c>
      <c r="AK994" s="71">
        <f>IF($G994="",0,IF(OR($M994="Completed",$M994="Cancelled"),0,1))</f>
        <v>0</v>
      </c>
      <c r="AL994" s="71">
        <f>IF(AND($AK994=1,ISNUMBER($L994)),IF($L994&lt;ReportDate,1,0),0)</f>
        <v>0</v>
      </c>
      <c r="AM994" s="71">
        <f>IF(AND($G994&lt;&gt;"",$M994="Blocked"),1,0)</f>
        <v>0</v>
      </c>
      <c r="AN994" s="71">
        <f>IF(AND($AK994=1,ISNUMBER($L994)),IF($L994=ReportDate,1,0),0)</f>
        <v>0</v>
      </c>
      <c r="AO994" s="71">
        <f>IF(AND($AK994=1,ISNUMBER($L994)),IF($L994=ReportDate+1,1,0),0)</f>
        <v>0</v>
      </c>
      <c r="AP994" s="71">
        <f>IF(AND($AK994=1,ISNUMBER($L994)),IF(AND($L994&gt;=ReportDate,$L994&lt;=ReportDate+DueSoonDays),1,0),0)</f>
        <v>0</v>
      </c>
      <c r="AQ994" s="71">
        <f>IF(AND($AK994=1,OR($I994="Critical",$I994="High")),1,0)</f>
        <v>0</v>
      </c>
      <c r="AR994" s="71">
        <f>IF($AK994=1,IF(ISNUMBER($Y994),IF(ReportDate-$Y994&gt;StaleDays,1,0),1),0)</f>
        <v>0</v>
      </c>
      <c r="AS994" s="71">
        <f>IF(AND($G994&lt;&gt;"",ISNUMBER($Q994),ISNUMBER($R994)),IF(AND($Q994&lt;$R994,OR($M994="Completed",AND(ISNUMBER($L994),$L994&lt;ReportDate))),1,0),0)</f>
        <v>0</v>
      </c>
      <c r="AT994" s="71">
        <f>IF($AK994=1,IF(OR($L994=ReportDate,$W994=ReportDate,$K994=ReportDate,$A994=ReportDate),1,0),0)</f>
        <v>0</v>
      </c>
      <c r="AU994" s="71">
        <f>IF($AK994=1,IF(OR($L994=ReportDate+1,$W994=ReportDate+1,$K994=ReportDate+1,$A994=ReportDate+1),1,0),0)</f>
        <v>0</v>
      </c>
      <c r="AV994" s="71">
        <f>IF(AND($G994&lt;&gt;"",$M994="Completed"),IF(OR($Y994=ReportDate-1,$A994=ReportDate-1),1,0),0)</f>
        <v>0</v>
      </c>
      <c r="AW994" s="71">
        <f>IF(AND($AK994=1,$Z994="Yes"),1,0)</f>
        <v>0</v>
      </c>
      <c r="AX994" s="71">
        <f>IF(AND($AK994=1,$AA994="Yes"),1,0)</f>
        <v>0</v>
      </c>
      <c r="AY994" s="71">
        <f>IF(AND($AM994=1,OR($I994="Critical",$I994="High")),1,0)</f>
        <v>0</v>
      </c>
      <c r="AZ994" s="71">
        <f>IF(AND($AK994=1,OR($C994=TCL_Client,$C994=MECCA_Client)),1,0)</f>
        <v>0</v>
      </c>
      <c r="BA994" s="71" t="str">
        <f>IF($G994="","",IFERROR(MATCH($I994,lst_Priority,0),5))</f>
        <v/>
      </c>
      <c r="BB994" s="71" t="str">
        <f>IF(AND($AL994=1,$AJ994=1),$BA994*100000+ROW(),"")</f>
        <v/>
      </c>
      <c r="BC994" s="71" t="str">
        <f>IF(AND($AM994=1,$AJ994=1),$BA994*100000+ROW(),"")</f>
        <v/>
      </c>
      <c r="BD994" s="71" t="str">
        <f>IF(AND($AP994=1,$AJ994=1),$BA994*100000+ROW(),"")</f>
        <v/>
      </c>
      <c r="BE994" s="71" t="str">
        <f>IF(AND($AT994=1,$AJ994=1),$BA994*100000+ROW(),"")</f>
        <v/>
      </c>
      <c r="BF994" s="71" t="str">
        <f>IF(AND($AU994=1,$AJ994=1),$BA994*100000+ROW(),"")</f>
        <v/>
      </c>
      <c r="BG994" s="71" t="str">
        <f>IF(AND($AV994=1,$AJ994=1),$BA994*100000+ROW(),"")</f>
        <v/>
      </c>
      <c r="BH994" s="71" t="str">
        <f>IF(AND($AW994=1,$AJ994=1),$BA994*100000+ROW(),"")</f>
        <v/>
      </c>
      <c r="BI994" s="71" t="str">
        <f>IF(AND($AX994=1,$AJ994=1),$BA994*100000+ROW(),"")</f>
        <v/>
      </c>
      <c r="BJ994" s="71" t="str">
        <f>IF(AND($AS994=1,$AJ994=1),$BA994*100000+ROW(),"")</f>
        <v/>
      </c>
      <c r="BK994" s="71" t="str">
        <f>IF(AND($AY994=1,$AJ994=1),$BA994*100000+ROW(),"")</f>
        <v/>
      </c>
      <c r="BL994" s="71" t="str">
        <f>IF(AND($AZ994=1),$BA994*100000+ROW(),"")</f>
        <v/>
      </c>
    </row>
    <row r="995">
      <c r="A995" s="63" t="n"/>
      <c r="B995" s="64" t="n"/>
      <c r="C995" s="64" t="n"/>
      <c r="D995" s="64" t="n"/>
      <c r="E995" s="64" t="n"/>
      <c r="F995" s="64" t="n"/>
      <c r="G995" s="65" t="n"/>
      <c r="H995" s="65" t="n"/>
      <c r="I995" s="64" t="n"/>
      <c r="J995" s="64" t="n"/>
      <c r="K995" s="63" t="n"/>
      <c r="L995" s="63" t="n"/>
      <c r="M995" s="64" t="n"/>
      <c r="N995" s="66" t="n"/>
      <c r="O995" s="65" t="n"/>
      <c r="P995" s="64" t="n"/>
      <c r="Q995" s="67" t="n"/>
      <c r="R995" s="67" t="n"/>
      <c r="S995" s="68" t="str">
        <f>IF(AND(ISNUMBER($Q995),ISNUMBER($R995)),$Q995-$R995,"")</f>
        <v/>
      </c>
      <c r="T995" s="65" t="n"/>
      <c r="U995" s="64" t="n"/>
      <c r="V995" s="65" t="n"/>
      <c r="W995" s="63" t="n"/>
      <c r="X995" s="65" t="n"/>
      <c r="Y995" s="63" t="n"/>
      <c r="Z995" s="64" t="n"/>
      <c r="AA995" s="64" t="n"/>
      <c r="AB995" s="65" t="n"/>
      <c r="AC995" s="69" t="str">
        <f>IF(OR($G995="",NOT(ISNUMBER($K995)),$AK995=0),"",MAX(0,ReportDate-$K995))</f>
        <v/>
      </c>
      <c r="AD995" s="69" t="str">
        <f>IF($G995="","",IF($AL995=1,ReportDate-$L995,0))</f>
        <v/>
      </c>
      <c r="AE995" s="70" t="str">
        <f>IF($G995="","",IF($M995="Completed",1,IF(ISNUMBER($N995),$N995,0)))</f>
        <v/>
      </c>
      <c r="AF995" s="70" t="str">
        <f>IF(AND(ISNUMBER($Q995),ISNUMBER($R995)),IF($R995&lt;&gt;0,$Q995/$R995,""),"")</f>
        <v/>
      </c>
      <c r="AG995" s="71" t="str">
        <f>IF($G995="","",IF($AL995=1,"OVERDUE",IF($AM995=1,"BLOCKED",IF($AN995=1,"DUE TODAY",IF($AO995=1,"DUE TOMORROW",IF($AQ995=1,"HIGH PRIORITY",IF($AR995=1,"NO RECENT UPDATE",""))))))) </f>
        <v/>
      </c>
      <c r="AH995" s="71" t="str">
        <f>IF($G995="","",IF(ISNUMBER($A995),IF(ISNUMBER($A995),YEAR($A995)&amp;"-"&amp;TEXT(MONTH($A995),"00"),""),IF(ISNUMBER($L995),IF(ISNUMBER($L995),YEAR($L995)&amp;"-"&amp;TEXT(MONTH($L995),"00"),""),"")))</f>
        <v/>
      </c>
      <c r="AI995" s="71">
        <f>IF($G995="",0,IF(AND(OR(fClient="All",$C995=fClient),OR(fCampaign="All",$D995=fCampaign),OR(fTeam="All",$B995=fTeam),OR(fChannel="All",$F995=fChannel),OR(fMonth="All",$AH995=fMonth),OR(fTStatus="All",$M995=fTStatus)),1,0))</f>
        <v>0</v>
      </c>
      <c r="AJ995" s="71">
        <f>IF($G995="",0,IF(AND(OR(fClient="All",$C995=fClient),OR(fCampaign="All",$D995=fCampaign),OR(fTeam="All",$B995=fTeam),OR(fChannel="All",$F995=fChannel)),1,0))</f>
        <v>0</v>
      </c>
      <c r="AK995" s="71">
        <f>IF($G995="",0,IF(OR($M995="Completed",$M995="Cancelled"),0,1))</f>
        <v>0</v>
      </c>
      <c r="AL995" s="71">
        <f>IF(AND($AK995=1,ISNUMBER($L995)),IF($L995&lt;ReportDate,1,0),0)</f>
        <v>0</v>
      </c>
      <c r="AM995" s="71">
        <f>IF(AND($G995&lt;&gt;"",$M995="Blocked"),1,0)</f>
        <v>0</v>
      </c>
      <c r="AN995" s="71">
        <f>IF(AND($AK995=1,ISNUMBER($L995)),IF($L995=ReportDate,1,0),0)</f>
        <v>0</v>
      </c>
      <c r="AO995" s="71">
        <f>IF(AND($AK995=1,ISNUMBER($L995)),IF($L995=ReportDate+1,1,0),0)</f>
        <v>0</v>
      </c>
      <c r="AP995" s="71">
        <f>IF(AND($AK995=1,ISNUMBER($L995)),IF(AND($L995&gt;=ReportDate,$L995&lt;=ReportDate+DueSoonDays),1,0),0)</f>
        <v>0</v>
      </c>
      <c r="AQ995" s="71">
        <f>IF(AND($AK995=1,OR($I995="Critical",$I995="High")),1,0)</f>
        <v>0</v>
      </c>
      <c r="AR995" s="71">
        <f>IF($AK995=1,IF(ISNUMBER($Y995),IF(ReportDate-$Y995&gt;StaleDays,1,0),1),0)</f>
        <v>0</v>
      </c>
      <c r="AS995" s="71">
        <f>IF(AND($G995&lt;&gt;"",ISNUMBER($Q995),ISNUMBER($R995)),IF(AND($Q995&lt;$R995,OR($M995="Completed",AND(ISNUMBER($L995),$L995&lt;ReportDate))),1,0),0)</f>
        <v>0</v>
      </c>
      <c r="AT995" s="71">
        <f>IF($AK995=1,IF(OR($L995=ReportDate,$W995=ReportDate,$K995=ReportDate,$A995=ReportDate),1,0),0)</f>
        <v>0</v>
      </c>
      <c r="AU995" s="71">
        <f>IF($AK995=1,IF(OR($L995=ReportDate+1,$W995=ReportDate+1,$K995=ReportDate+1,$A995=ReportDate+1),1,0),0)</f>
        <v>0</v>
      </c>
      <c r="AV995" s="71">
        <f>IF(AND($G995&lt;&gt;"",$M995="Completed"),IF(OR($Y995=ReportDate-1,$A995=ReportDate-1),1,0),0)</f>
        <v>0</v>
      </c>
      <c r="AW995" s="71">
        <f>IF(AND($AK995=1,$Z995="Yes"),1,0)</f>
        <v>0</v>
      </c>
      <c r="AX995" s="71">
        <f>IF(AND($AK995=1,$AA995="Yes"),1,0)</f>
        <v>0</v>
      </c>
      <c r="AY995" s="71">
        <f>IF(AND($AM995=1,OR($I995="Critical",$I995="High")),1,0)</f>
        <v>0</v>
      </c>
      <c r="AZ995" s="71">
        <f>IF(AND($AK995=1,OR($C995=TCL_Client,$C995=MECCA_Client)),1,0)</f>
        <v>0</v>
      </c>
      <c r="BA995" s="71" t="str">
        <f>IF($G995="","",IFERROR(MATCH($I995,lst_Priority,0),5))</f>
        <v/>
      </c>
      <c r="BB995" s="71" t="str">
        <f>IF(AND($AL995=1,$AJ995=1),$BA995*100000+ROW(),"")</f>
        <v/>
      </c>
      <c r="BC995" s="71" t="str">
        <f>IF(AND($AM995=1,$AJ995=1),$BA995*100000+ROW(),"")</f>
        <v/>
      </c>
      <c r="BD995" s="71" t="str">
        <f>IF(AND($AP995=1,$AJ995=1),$BA995*100000+ROW(),"")</f>
        <v/>
      </c>
      <c r="BE995" s="71" t="str">
        <f>IF(AND($AT995=1,$AJ995=1),$BA995*100000+ROW(),"")</f>
        <v/>
      </c>
      <c r="BF995" s="71" t="str">
        <f>IF(AND($AU995=1,$AJ995=1),$BA995*100000+ROW(),"")</f>
        <v/>
      </c>
      <c r="BG995" s="71" t="str">
        <f>IF(AND($AV995=1,$AJ995=1),$BA995*100000+ROW(),"")</f>
        <v/>
      </c>
      <c r="BH995" s="71" t="str">
        <f>IF(AND($AW995=1,$AJ995=1),$BA995*100000+ROW(),"")</f>
        <v/>
      </c>
      <c r="BI995" s="71" t="str">
        <f>IF(AND($AX995=1,$AJ995=1),$BA995*100000+ROW(),"")</f>
        <v/>
      </c>
      <c r="BJ995" s="71" t="str">
        <f>IF(AND($AS995=1,$AJ995=1),$BA995*100000+ROW(),"")</f>
        <v/>
      </c>
      <c r="BK995" s="71" t="str">
        <f>IF(AND($AY995=1,$AJ995=1),$BA995*100000+ROW(),"")</f>
        <v/>
      </c>
      <c r="BL995" s="71" t="str">
        <f>IF(AND($AZ995=1),$BA995*100000+ROW(),"")</f>
        <v/>
      </c>
    </row>
    <row r="996">
      <c r="A996" s="63" t="n"/>
      <c r="B996" s="64" t="n"/>
      <c r="C996" s="64" t="n"/>
      <c r="D996" s="64" t="n"/>
      <c r="E996" s="64" t="n"/>
      <c r="F996" s="64" t="n"/>
      <c r="G996" s="65" t="n"/>
      <c r="H996" s="65" t="n"/>
      <c r="I996" s="64" t="n"/>
      <c r="J996" s="64" t="n"/>
      <c r="K996" s="63" t="n"/>
      <c r="L996" s="63" t="n"/>
      <c r="M996" s="64" t="n"/>
      <c r="N996" s="66" t="n"/>
      <c r="O996" s="65" t="n"/>
      <c r="P996" s="64" t="n"/>
      <c r="Q996" s="67" t="n"/>
      <c r="R996" s="67" t="n"/>
      <c r="S996" s="68" t="str">
        <f>IF(AND(ISNUMBER($Q996),ISNUMBER($R996)),$Q996-$R996,"")</f>
        <v/>
      </c>
      <c r="T996" s="65" t="n"/>
      <c r="U996" s="64" t="n"/>
      <c r="V996" s="65" t="n"/>
      <c r="W996" s="63" t="n"/>
      <c r="X996" s="65" t="n"/>
      <c r="Y996" s="63" t="n"/>
      <c r="Z996" s="64" t="n"/>
      <c r="AA996" s="64" t="n"/>
      <c r="AB996" s="65" t="n"/>
      <c r="AC996" s="69" t="str">
        <f>IF(OR($G996="",NOT(ISNUMBER($K996)),$AK996=0),"",MAX(0,ReportDate-$K996))</f>
        <v/>
      </c>
      <c r="AD996" s="69" t="str">
        <f>IF($G996="","",IF($AL996=1,ReportDate-$L996,0))</f>
        <v/>
      </c>
      <c r="AE996" s="70" t="str">
        <f>IF($G996="","",IF($M996="Completed",1,IF(ISNUMBER($N996),$N996,0)))</f>
        <v/>
      </c>
      <c r="AF996" s="70" t="str">
        <f>IF(AND(ISNUMBER($Q996),ISNUMBER($R996)),IF($R996&lt;&gt;0,$Q996/$R996,""),"")</f>
        <v/>
      </c>
      <c r="AG996" s="71" t="str">
        <f>IF($G996="","",IF($AL996=1,"OVERDUE",IF($AM996=1,"BLOCKED",IF($AN996=1,"DUE TODAY",IF($AO996=1,"DUE TOMORROW",IF($AQ996=1,"HIGH PRIORITY",IF($AR996=1,"NO RECENT UPDATE",""))))))) </f>
        <v/>
      </c>
      <c r="AH996" s="71" t="str">
        <f>IF($G996="","",IF(ISNUMBER($A996),IF(ISNUMBER($A996),YEAR($A996)&amp;"-"&amp;TEXT(MONTH($A996),"00"),""),IF(ISNUMBER($L996),IF(ISNUMBER($L996),YEAR($L996)&amp;"-"&amp;TEXT(MONTH($L996),"00"),""),"")))</f>
        <v/>
      </c>
      <c r="AI996" s="71">
        <f>IF($G996="",0,IF(AND(OR(fClient="All",$C996=fClient),OR(fCampaign="All",$D996=fCampaign),OR(fTeam="All",$B996=fTeam),OR(fChannel="All",$F996=fChannel),OR(fMonth="All",$AH996=fMonth),OR(fTStatus="All",$M996=fTStatus)),1,0))</f>
        <v>0</v>
      </c>
      <c r="AJ996" s="71">
        <f>IF($G996="",0,IF(AND(OR(fClient="All",$C996=fClient),OR(fCampaign="All",$D996=fCampaign),OR(fTeam="All",$B996=fTeam),OR(fChannel="All",$F996=fChannel)),1,0))</f>
        <v>0</v>
      </c>
      <c r="AK996" s="71">
        <f>IF($G996="",0,IF(OR($M996="Completed",$M996="Cancelled"),0,1))</f>
        <v>0</v>
      </c>
      <c r="AL996" s="71">
        <f>IF(AND($AK996=1,ISNUMBER($L996)),IF($L996&lt;ReportDate,1,0),0)</f>
        <v>0</v>
      </c>
      <c r="AM996" s="71">
        <f>IF(AND($G996&lt;&gt;"",$M996="Blocked"),1,0)</f>
        <v>0</v>
      </c>
      <c r="AN996" s="71">
        <f>IF(AND($AK996=1,ISNUMBER($L996)),IF($L996=ReportDate,1,0),0)</f>
        <v>0</v>
      </c>
      <c r="AO996" s="71">
        <f>IF(AND($AK996=1,ISNUMBER($L996)),IF($L996=ReportDate+1,1,0),0)</f>
        <v>0</v>
      </c>
      <c r="AP996" s="71">
        <f>IF(AND($AK996=1,ISNUMBER($L996)),IF(AND($L996&gt;=ReportDate,$L996&lt;=ReportDate+DueSoonDays),1,0),0)</f>
        <v>0</v>
      </c>
      <c r="AQ996" s="71">
        <f>IF(AND($AK996=1,OR($I996="Critical",$I996="High")),1,0)</f>
        <v>0</v>
      </c>
      <c r="AR996" s="71">
        <f>IF($AK996=1,IF(ISNUMBER($Y996),IF(ReportDate-$Y996&gt;StaleDays,1,0),1),0)</f>
        <v>0</v>
      </c>
      <c r="AS996" s="71">
        <f>IF(AND($G996&lt;&gt;"",ISNUMBER($Q996),ISNUMBER($R996)),IF(AND($Q996&lt;$R996,OR($M996="Completed",AND(ISNUMBER($L996),$L996&lt;ReportDate))),1,0),0)</f>
        <v>0</v>
      </c>
      <c r="AT996" s="71">
        <f>IF($AK996=1,IF(OR($L996=ReportDate,$W996=ReportDate,$K996=ReportDate,$A996=ReportDate),1,0),0)</f>
        <v>0</v>
      </c>
      <c r="AU996" s="71">
        <f>IF($AK996=1,IF(OR($L996=ReportDate+1,$W996=ReportDate+1,$K996=ReportDate+1,$A996=ReportDate+1),1,0),0)</f>
        <v>0</v>
      </c>
      <c r="AV996" s="71">
        <f>IF(AND($G996&lt;&gt;"",$M996="Completed"),IF(OR($Y996=ReportDate-1,$A996=ReportDate-1),1,0),0)</f>
        <v>0</v>
      </c>
      <c r="AW996" s="71">
        <f>IF(AND($AK996=1,$Z996="Yes"),1,0)</f>
        <v>0</v>
      </c>
      <c r="AX996" s="71">
        <f>IF(AND($AK996=1,$AA996="Yes"),1,0)</f>
        <v>0</v>
      </c>
      <c r="AY996" s="71">
        <f>IF(AND($AM996=1,OR($I996="Critical",$I996="High")),1,0)</f>
        <v>0</v>
      </c>
      <c r="AZ996" s="71">
        <f>IF(AND($AK996=1,OR($C996=TCL_Client,$C996=MECCA_Client)),1,0)</f>
        <v>0</v>
      </c>
      <c r="BA996" s="71" t="str">
        <f>IF($G996="","",IFERROR(MATCH($I996,lst_Priority,0),5))</f>
        <v/>
      </c>
      <c r="BB996" s="71" t="str">
        <f>IF(AND($AL996=1,$AJ996=1),$BA996*100000+ROW(),"")</f>
        <v/>
      </c>
      <c r="BC996" s="71" t="str">
        <f>IF(AND($AM996=1,$AJ996=1),$BA996*100000+ROW(),"")</f>
        <v/>
      </c>
      <c r="BD996" s="71" t="str">
        <f>IF(AND($AP996=1,$AJ996=1),$BA996*100000+ROW(),"")</f>
        <v/>
      </c>
      <c r="BE996" s="71" t="str">
        <f>IF(AND($AT996=1,$AJ996=1),$BA996*100000+ROW(),"")</f>
        <v/>
      </c>
      <c r="BF996" s="71" t="str">
        <f>IF(AND($AU996=1,$AJ996=1),$BA996*100000+ROW(),"")</f>
        <v/>
      </c>
      <c r="BG996" s="71" t="str">
        <f>IF(AND($AV996=1,$AJ996=1),$BA996*100000+ROW(),"")</f>
        <v/>
      </c>
      <c r="BH996" s="71" t="str">
        <f>IF(AND($AW996=1,$AJ996=1),$BA996*100000+ROW(),"")</f>
        <v/>
      </c>
      <c r="BI996" s="71" t="str">
        <f>IF(AND($AX996=1,$AJ996=1),$BA996*100000+ROW(),"")</f>
        <v/>
      </c>
      <c r="BJ996" s="71" t="str">
        <f>IF(AND($AS996=1,$AJ996=1),$BA996*100000+ROW(),"")</f>
        <v/>
      </c>
      <c r="BK996" s="71" t="str">
        <f>IF(AND($AY996=1,$AJ996=1),$BA996*100000+ROW(),"")</f>
        <v/>
      </c>
      <c r="BL996" s="71" t="str">
        <f>IF(AND($AZ996=1),$BA996*100000+ROW(),"")</f>
        <v/>
      </c>
    </row>
    <row r="997">
      <c r="A997" s="63" t="n"/>
      <c r="B997" s="64" t="n"/>
      <c r="C997" s="64" t="n"/>
      <c r="D997" s="64" t="n"/>
      <c r="E997" s="64" t="n"/>
      <c r="F997" s="64" t="n"/>
      <c r="G997" s="65" t="n"/>
      <c r="H997" s="65" t="n"/>
      <c r="I997" s="64" t="n"/>
      <c r="J997" s="64" t="n"/>
      <c r="K997" s="63" t="n"/>
      <c r="L997" s="63" t="n"/>
      <c r="M997" s="64" t="n"/>
      <c r="N997" s="66" t="n"/>
      <c r="O997" s="65" t="n"/>
      <c r="P997" s="64" t="n"/>
      <c r="Q997" s="67" t="n"/>
      <c r="R997" s="67" t="n"/>
      <c r="S997" s="68" t="str">
        <f>IF(AND(ISNUMBER($Q997),ISNUMBER($R997)),$Q997-$R997,"")</f>
        <v/>
      </c>
      <c r="T997" s="65" t="n"/>
      <c r="U997" s="64" t="n"/>
      <c r="V997" s="65" t="n"/>
      <c r="W997" s="63" t="n"/>
      <c r="X997" s="65" t="n"/>
      <c r="Y997" s="63" t="n"/>
      <c r="Z997" s="64" t="n"/>
      <c r="AA997" s="64" t="n"/>
      <c r="AB997" s="65" t="n"/>
      <c r="AC997" s="69" t="str">
        <f>IF(OR($G997="",NOT(ISNUMBER($K997)),$AK997=0),"",MAX(0,ReportDate-$K997))</f>
        <v/>
      </c>
      <c r="AD997" s="69" t="str">
        <f>IF($G997="","",IF($AL997=1,ReportDate-$L997,0))</f>
        <v/>
      </c>
      <c r="AE997" s="70" t="str">
        <f>IF($G997="","",IF($M997="Completed",1,IF(ISNUMBER($N997),$N997,0)))</f>
        <v/>
      </c>
      <c r="AF997" s="70" t="str">
        <f>IF(AND(ISNUMBER($Q997),ISNUMBER($R997)),IF($R997&lt;&gt;0,$Q997/$R997,""),"")</f>
        <v/>
      </c>
      <c r="AG997" s="71" t="str">
        <f>IF($G997="","",IF($AL997=1,"OVERDUE",IF($AM997=1,"BLOCKED",IF($AN997=1,"DUE TODAY",IF($AO997=1,"DUE TOMORROW",IF($AQ997=1,"HIGH PRIORITY",IF($AR997=1,"NO RECENT UPDATE",""))))))) </f>
        <v/>
      </c>
      <c r="AH997" s="71" t="str">
        <f>IF($G997="","",IF(ISNUMBER($A997),IF(ISNUMBER($A997),YEAR($A997)&amp;"-"&amp;TEXT(MONTH($A997),"00"),""),IF(ISNUMBER($L997),IF(ISNUMBER($L997),YEAR($L997)&amp;"-"&amp;TEXT(MONTH($L997),"00"),""),"")))</f>
        <v/>
      </c>
      <c r="AI997" s="71">
        <f>IF($G997="",0,IF(AND(OR(fClient="All",$C997=fClient),OR(fCampaign="All",$D997=fCampaign),OR(fTeam="All",$B997=fTeam),OR(fChannel="All",$F997=fChannel),OR(fMonth="All",$AH997=fMonth),OR(fTStatus="All",$M997=fTStatus)),1,0))</f>
        <v>0</v>
      </c>
      <c r="AJ997" s="71">
        <f>IF($G997="",0,IF(AND(OR(fClient="All",$C997=fClient),OR(fCampaign="All",$D997=fCampaign),OR(fTeam="All",$B997=fTeam),OR(fChannel="All",$F997=fChannel)),1,0))</f>
        <v>0</v>
      </c>
      <c r="AK997" s="71">
        <f>IF($G997="",0,IF(OR($M997="Completed",$M997="Cancelled"),0,1))</f>
        <v>0</v>
      </c>
      <c r="AL997" s="71">
        <f>IF(AND($AK997=1,ISNUMBER($L997)),IF($L997&lt;ReportDate,1,0),0)</f>
        <v>0</v>
      </c>
      <c r="AM997" s="71">
        <f>IF(AND($G997&lt;&gt;"",$M997="Blocked"),1,0)</f>
        <v>0</v>
      </c>
      <c r="AN997" s="71">
        <f>IF(AND($AK997=1,ISNUMBER($L997)),IF($L997=ReportDate,1,0),0)</f>
        <v>0</v>
      </c>
      <c r="AO997" s="71">
        <f>IF(AND($AK997=1,ISNUMBER($L997)),IF($L997=ReportDate+1,1,0),0)</f>
        <v>0</v>
      </c>
      <c r="AP997" s="71">
        <f>IF(AND($AK997=1,ISNUMBER($L997)),IF(AND($L997&gt;=ReportDate,$L997&lt;=ReportDate+DueSoonDays),1,0),0)</f>
        <v>0</v>
      </c>
      <c r="AQ997" s="71">
        <f>IF(AND($AK997=1,OR($I997="Critical",$I997="High")),1,0)</f>
        <v>0</v>
      </c>
      <c r="AR997" s="71">
        <f>IF($AK997=1,IF(ISNUMBER($Y997),IF(ReportDate-$Y997&gt;StaleDays,1,0),1),0)</f>
        <v>0</v>
      </c>
      <c r="AS997" s="71">
        <f>IF(AND($G997&lt;&gt;"",ISNUMBER($Q997),ISNUMBER($R997)),IF(AND($Q997&lt;$R997,OR($M997="Completed",AND(ISNUMBER($L997),$L997&lt;ReportDate))),1,0),0)</f>
        <v>0</v>
      </c>
      <c r="AT997" s="71">
        <f>IF($AK997=1,IF(OR($L997=ReportDate,$W997=ReportDate,$K997=ReportDate,$A997=ReportDate),1,0),0)</f>
        <v>0</v>
      </c>
      <c r="AU997" s="71">
        <f>IF($AK997=1,IF(OR($L997=ReportDate+1,$W997=ReportDate+1,$K997=ReportDate+1,$A997=ReportDate+1),1,0),0)</f>
        <v>0</v>
      </c>
      <c r="AV997" s="71">
        <f>IF(AND($G997&lt;&gt;"",$M997="Completed"),IF(OR($Y997=ReportDate-1,$A997=ReportDate-1),1,0),0)</f>
        <v>0</v>
      </c>
      <c r="AW997" s="71">
        <f>IF(AND($AK997=1,$Z997="Yes"),1,0)</f>
        <v>0</v>
      </c>
      <c r="AX997" s="71">
        <f>IF(AND($AK997=1,$AA997="Yes"),1,0)</f>
        <v>0</v>
      </c>
      <c r="AY997" s="71">
        <f>IF(AND($AM997=1,OR($I997="Critical",$I997="High")),1,0)</f>
        <v>0</v>
      </c>
      <c r="AZ997" s="71">
        <f>IF(AND($AK997=1,OR($C997=TCL_Client,$C997=MECCA_Client)),1,0)</f>
        <v>0</v>
      </c>
      <c r="BA997" s="71" t="str">
        <f>IF($G997="","",IFERROR(MATCH($I997,lst_Priority,0),5))</f>
        <v/>
      </c>
      <c r="BB997" s="71" t="str">
        <f>IF(AND($AL997=1,$AJ997=1),$BA997*100000+ROW(),"")</f>
        <v/>
      </c>
      <c r="BC997" s="71" t="str">
        <f>IF(AND($AM997=1,$AJ997=1),$BA997*100000+ROW(),"")</f>
        <v/>
      </c>
      <c r="BD997" s="71" t="str">
        <f>IF(AND($AP997=1,$AJ997=1),$BA997*100000+ROW(),"")</f>
        <v/>
      </c>
      <c r="BE997" s="71" t="str">
        <f>IF(AND($AT997=1,$AJ997=1),$BA997*100000+ROW(),"")</f>
        <v/>
      </c>
      <c r="BF997" s="71" t="str">
        <f>IF(AND($AU997=1,$AJ997=1),$BA997*100000+ROW(),"")</f>
        <v/>
      </c>
      <c r="BG997" s="71" t="str">
        <f>IF(AND($AV997=1,$AJ997=1),$BA997*100000+ROW(),"")</f>
        <v/>
      </c>
      <c r="BH997" s="71" t="str">
        <f>IF(AND($AW997=1,$AJ997=1),$BA997*100000+ROW(),"")</f>
        <v/>
      </c>
      <c r="BI997" s="71" t="str">
        <f>IF(AND($AX997=1,$AJ997=1),$BA997*100000+ROW(),"")</f>
        <v/>
      </c>
      <c r="BJ997" s="71" t="str">
        <f>IF(AND($AS997=1,$AJ997=1),$BA997*100000+ROW(),"")</f>
        <v/>
      </c>
      <c r="BK997" s="71" t="str">
        <f>IF(AND($AY997=1,$AJ997=1),$BA997*100000+ROW(),"")</f>
        <v/>
      </c>
      <c r="BL997" s="71" t="str">
        <f>IF(AND($AZ997=1),$BA997*100000+ROW(),"")</f>
        <v/>
      </c>
    </row>
    <row r="998">
      <c r="A998" s="63" t="n"/>
      <c r="B998" s="64" t="n"/>
      <c r="C998" s="64" t="n"/>
      <c r="D998" s="64" t="n"/>
      <c r="E998" s="64" t="n"/>
      <c r="F998" s="64" t="n"/>
      <c r="G998" s="65" t="n"/>
      <c r="H998" s="65" t="n"/>
      <c r="I998" s="64" t="n"/>
      <c r="J998" s="64" t="n"/>
      <c r="K998" s="63" t="n"/>
      <c r="L998" s="63" t="n"/>
      <c r="M998" s="64" t="n"/>
      <c r="N998" s="66" t="n"/>
      <c r="O998" s="65" t="n"/>
      <c r="P998" s="64" t="n"/>
      <c r="Q998" s="67" t="n"/>
      <c r="R998" s="67" t="n"/>
      <c r="S998" s="68" t="str">
        <f>IF(AND(ISNUMBER($Q998),ISNUMBER($R998)),$Q998-$R998,"")</f>
        <v/>
      </c>
      <c r="T998" s="65" t="n"/>
      <c r="U998" s="64" t="n"/>
      <c r="V998" s="65" t="n"/>
      <c r="W998" s="63" t="n"/>
      <c r="X998" s="65" t="n"/>
      <c r="Y998" s="63" t="n"/>
      <c r="Z998" s="64" t="n"/>
      <c r="AA998" s="64" t="n"/>
      <c r="AB998" s="65" t="n"/>
      <c r="AC998" s="69" t="str">
        <f>IF(OR($G998="",NOT(ISNUMBER($K998)),$AK998=0),"",MAX(0,ReportDate-$K998))</f>
        <v/>
      </c>
      <c r="AD998" s="69" t="str">
        <f>IF($G998="","",IF($AL998=1,ReportDate-$L998,0))</f>
        <v/>
      </c>
      <c r="AE998" s="70" t="str">
        <f>IF($G998="","",IF($M998="Completed",1,IF(ISNUMBER($N998),$N998,0)))</f>
        <v/>
      </c>
      <c r="AF998" s="70" t="str">
        <f>IF(AND(ISNUMBER($Q998),ISNUMBER($R998)),IF($R998&lt;&gt;0,$Q998/$R998,""),"")</f>
        <v/>
      </c>
      <c r="AG998" s="71" t="str">
        <f>IF($G998="","",IF($AL998=1,"OVERDUE",IF($AM998=1,"BLOCKED",IF($AN998=1,"DUE TODAY",IF($AO998=1,"DUE TOMORROW",IF($AQ998=1,"HIGH PRIORITY",IF($AR998=1,"NO RECENT UPDATE",""))))))) </f>
        <v/>
      </c>
      <c r="AH998" s="71" t="str">
        <f>IF($G998="","",IF(ISNUMBER($A998),IF(ISNUMBER($A998),YEAR($A998)&amp;"-"&amp;TEXT(MONTH($A998),"00"),""),IF(ISNUMBER($L998),IF(ISNUMBER($L998),YEAR($L998)&amp;"-"&amp;TEXT(MONTH($L998),"00"),""),"")))</f>
        <v/>
      </c>
      <c r="AI998" s="71">
        <f>IF($G998="",0,IF(AND(OR(fClient="All",$C998=fClient),OR(fCampaign="All",$D998=fCampaign),OR(fTeam="All",$B998=fTeam),OR(fChannel="All",$F998=fChannel),OR(fMonth="All",$AH998=fMonth),OR(fTStatus="All",$M998=fTStatus)),1,0))</f>
        <v>0</v>
      </c>
      <c r="AJ998" s="71">
        <f>IF($G998="",0,IF(AND(OR(fClient="All",$C998=fClient),OR(fCampaign="All",$D998=fCampaign),OR(fTeam="All",$B998=fTeam),OR(fChannel="All",$F998=fChannel)),1,0))</f>
        <v>0</v>
      </c>
      <c r="AK998" s="71">
        <f>IF($G998="",0,IF(OR($M998="Completed",$M998="Cancelled"),0,1))</f>
        <v>0</v>
      </c>
      <c r="AL998" s="71">
        <f>IF(AND($AK998=1,ISNUMBER($L998)),IF($L998&lt;ReportDate,1,0),0)</f>
        <v>0</v>
      </c>
      <c r="AM998" s="71">
        <f>IF(AND($G998&lt;&gt;"",$M998="Blocked"),1,0)</f>
        <v>0</v>
      </c>
      <c r="AN998" s="71">
        <f>IF(AND($AK998=1,ISNUMBER($L998)),IF($L998=ReportDate,1,0),0)</f>
        <v>0</v>
      </c>
      <c r="AO998" s="71">
        <f>IF(AND($AK998=1,ISNUMBER($L998)),IF($L998=ReportDate+1,1,0),0)</f>
        <v>0</v>
      </c>
      <c r="AP998" s="71">
        <f>IF(AND($AK998=1,ISNUMBER($L998)),IF(AND($L998&gt;=ReportDate,$L998&lt;=ReportDate+DueSoonDays),1,0),0)</f>
        <v>0</v>
      </c>
      <c r="AQ998" s="71">
        <f>IF(AND($AK998=1,OR($I998="Critical",$I998="High")),1,0)</f>
        <v>0</v>
      </c>
      <c r="AR998" s="71">
        <f>IF($AK998=1,IF(ISNUMBER($Y998),IF(ReportDate-$Y998&gt;StaleDays,1,0),1),0)</f>
        <v>0</v>
      </c>
      <c r="AS998" s="71">
        <f>IF(AND($G998&lt;&gt;"",ISNUMBER($Q998),ISNUMBER($R998)),IF(AND($Q998&lt;$R998,OR($M998="Completed",AND(ISNUMBER($L998),$L998&lt;ReportDate))),1,0),0)</f>
        <v>0</v>
      </c>
      <c r="AT998" s="71">
        <f>IF($AK998=1,IF(OR($L998=ReportDate,$W998=ReportDate,$K998=ReportDate,$A998=ReportDate),1,0),0)</f>
        <v>0</v>
      </c>
      <c r="AU998" s="71">
        <f>IF($AK998=1,IF(OR($L998=ReportDate+1,$W998=ReportDate+1,$K998=ReportDate+1,$A998=ReportDate+1),1,0),0)</f>
        <v>0</v>
      </c>
      <c r="AV998" s="71">
        <f>IF(AND($G998&lt;&gt;"",$M998="Completed"),IF(OR($Y998=ReportDate-1,$A998=ReportDate-1),1,0),0)</f>
        <v>0</v>
      </c>
      <c r="AW998" s="71">
        <f>IF(AND($AK998=1,$Z998="Yes"),1,0)</f>
        <v>0</v>
      </c>
      <c r="AX998" s="71">
        <f>IF(AND($AK998=1,$AA998="Yes"),1,0)</f>
        <v>0</v>
      </c>
      <c r="AY998" s="71">
        <f>IF(AND($AM998=1,OR($I998="Critical",$I998="High")),1,0)</f>
        <v>0</v>
      </c>
      <c r="AZ998" s="71">
        <f>IF(AND($AK998=1,OR($C998=TCL_Client,$C998=MECCA_Client)),1,0)</f>
        <v>0</v>
      </c>
      <c r="BA998" s="71" t="str">
        <f>IF($G998="","",IFERROR(MATCH($I998,lst_Priority,0),5))</f>
        <v/>
      </c>
      <c r="BB998" s="71" t="str">
        <f>IF(AND($AL998=1,$AJ998=1),$BA998*100000+ROW(),"")</f>
        <v/>
      </c>
      <c r="BC998" s="71" t="str">
        <f>IF(AND($AM998=1,$AJ998=1),$BA998*100000+ROW(),"")</f>
        <v/>
      </c>
      <c r="BD998" s="71" t="str">
        <f>IF(AND($AP998=1,$AJ998=1),$BA998*100000+ROW(),"")</f>
        <v/>
      </c>
      <c r="BE998" s="71" t="str">
        <f>IF(AND($AT998=1,$AJ998=1),$BA998*100000+ROW(),"")</f>
        <v/>
      </c>
      <c r="BF998" s="71" t="str">
        <f>IF(AND($AU998=1,$AJ998=1),$BA998*100000+ROW(),"")</f>
        <v/>
      </c>
      <c r="BG998" s="71" t="str">
        <f>IF(AND($AV998=1,$AJ998=1),$BA998*100000+ROW(),"")</f>
        <v/>
      </c>
      <c r="BH998" s="71" t="str">
        <f>IF(AND($AW998=1,$AJ998=1),$BA998*100000+ROW(),"")</f>
        <v/>
      </c>
      <c r="BI998" s="71" t="str">
        <f>IF(AND($AX998=1,$AJ998=1),$BA998*100000+ROW(),"")</f>
        <v/>
      </c>
      <c r="BJ998" s="71" t="str">
        <f>IF(AND($AS998=1,$AJ998=1),$BA998*100000+ROW(),"")</f>
        <v/>
      </c>
      <c r="BK998" s="71" t="str">
        <f>IF(AND($AY998=1,$AJ998=1),$BA998*100000+ROW(),"")</f>
        <v/>
      </c>
      <c r="BL998" s="71" t="str">
        <f>IF(AND($AZ998=1),$BA998*100000+ROW(),"")</f>
        <v/>
      </c>
    </row>
    <row r="999">
      <c r="A999" s="63" t="n"/>
      <c r="B999" s="64" t="n"/>
      <c r="C999" s="64" t="n"/>
      <c r="D999" s="64" t="n"/>
      <c r="E999" s="64" t="n"/>
      <c r="F999" s="64" t="n"/>
      <c r="G999" s="65" t="n"/>
      <c r="H999" s="65" t="n"/>
      <c r="I999" s="64" t="n"/>
      <c r="J999" s="64" t="n"/>
      <c r="K999" s="63" t="n"/>
      <c r="L999" s="63" t="n"/>
      <c r="M999" s="64" t="n"/>
      <c r="N999" s="66" t="n"/>
      <c r="O999" s="65" t="n"/>
      <c r="P999" s="64" t="n"/>
      <c r="Q999" s="67" t="n"/>
      <c r="R999" s="67" t="n"/>
      <c r="S999" s="68" t="str">
        <f>IF(AND(ISNUMBER($Q999),ISNUMBER($R999)),$Q999-$R999,"")</f>
        <v/>
      </c>
      <c r="T999" s="65" t="n"/>
      <c r="U999" s="64" t="n"/>
      <c r="V999" s="65" t="n"/>
      <c r="W999" s="63" t="n"/>
      <c r="X999" s="65" t="n"/>
      <c r="Y999" s="63" t="n"/>
      <c r="Z999" s="64" t="n"/>
      <c r="AA999" s="64" t="n"/>
      <c r="AB999" s="65" t="n"/>
      <c r="AC999" s="69" t="str">
        <f>IF(OR($G999="",NOT(ISNUMBER($K999)),$AK999=0),"",MAX(0,ReportDate-$K999))</f>
        <v/>
      </c>
      <c r="AD999" s="69" t="str">
        <f>IF($G999="","",IF($AL999=1,ReportDate-$L999,0))</f>
        <v/>
      </c>
      <c r="AE999" s="70" t="str">
        <f>IF($G999="","",IF($M999="Completed",1,IF(ISNUMBER($N999),$N999,0)))</f>
        <v/>
      </c>
      <c r="AF999" s="70" t="str">
        <f>IF(AND(ISNUMBER($Q999),ISNUMBER($R999)),IF($R999&lt;&gt;0,$Q999/$R999,""),"")</f>
        <v/>
      </c>
      <c r="AG999" s="71" t="str">
        <f>IF($G999="","",IF($AL999=1,"OVERDUE",IF($AM999=1,"BLOCKED",IF($AN999=1,"DUE TODAY",IF($AO999=1,"DUE TOMORROW",IF($AQ999=1,"HIGH PRIORITY",IF($AR999=1,"NO RECENT UPDATE",""))))))) </f>
        <v/>
      </c>
      <c r="AH999" s="71" t="str">
        <f>IF($G999="","",IF(ISNUMBER($A999),IF(ISNUMBER($A999),YEAR($A999)&amp;"-"&amp;TEXT(MONTH($A999),"00"),""),IF(ISNUMBER($L999),IF(ISNUMBER($L999),YEAR($L999)&amp;"-"&amp;TEXT(MONTH($L999),"00"),""),"")))</f>
        <v/>
      </c>
      <c r="AI999" s="71">
        <f>IF($G999="",0,IF(AND(OR(fClient="All",$C999=fClient),OR(fCampaign="All",$D999=fCampaign),OR(fTeam="All",$B999=fTeam),OR(fChannel="All",$F999=fChannel),OR(fMonth="All",$AH999=fMonth),OR(fTStatus="All",$M999=fTStatus)),1,0))</f>
        <v>0</v>
      </c>
      <c r="AJ999" s="71">
        <f>IF($G999="",0,IF(AND(OR(fClient="All",$C999=fClient),OR(fCampaign="All",$D999=fCampaign),OR(fTeam="All",$B999=fTeam),OR(fChannel="All",$F999=fChannel)),1,0))</f>
        <v>0</v>
      </c>
      <c r="AK999" s="71">
        <f>IF($G999="",0,IF(OR($M999="Completed",$M999="Cancelled"),0,1))</f>
        <v>0</v>
      </c>
      <c r="AL999" s="71">
        <f>IF(AND($AK999=1,ISNUMBER($L999)),IF($L999&lt;ReportDate,1,0),0)</f>
        <v>0</v>
      </c>
      <c r="AM999" s="71">
        <f>IF(AND($G999&lt;&gt;"",$M999="Blocked"),1,0)</f>
        <v>0</v>
      </c>
      <c r="AN999" s="71">
        <f>IF(AND($AK999=1,ISNUMBER($L999)),IF($L999=ReportDate,1,0),0)</f>
        <v>0</v>
      </c>
      <c r="AO999" s="71">
        <f>IF(AND($AK999=1,ISNUMBER($L999)),IF($L999=ReportDate+1,1,0),0)</f>
        <v>0</v>
      </c>
      <c r="AP999" s="71">
        <f>IF(AND($AK999=1,ISNUMBER($L999)),IF(AND($L999&gt;=ReportDate,$L999&lt;=ReportDate+DueSoonDays),1,0),0)</f>
        <v>0</v>
      </c>
      <c r="AQ999" s="71">
        <f>IF(AND($AK999=1,OR($I999="Critical",$I999="High")),1,0)</f>
        <v>0</v>
      </c>
      <c r="AR999" s="71">
        <f>IF($AK999=1,IF(ISNUMBER($Y999),IF(ReportDate-$Y999&gt;StaleDays,1,0),1),0)</f>
        <v>0</v>
      </c>
      <c r="AS999" s="71">
        <f>IF(AND($G999&lt;&gt;"",ISNUMBER($Q999),ISNUMBER($R999)),IF(AND($Q999&lt;$R999,OR($M999="Completed",AND(ISNUMBER($L999),$L999&lt;ReportDate))),1,0),0)</f>
        <v>0</v>
      </c>
      <c r="AT999" s="71">
        <f>IF($AK999=1,IF(OR($L999=ReportDate,$W999=ReportDate,$K999=ReportDate,$A999=ReportDate),1,0),0)</f>
        <v>0</v>
      </c>
      <c r="AU999" s="71">
        <f>IF($AK999=1,IF(OR($L999=ReportDate+1,$W999=ReportDate+1,$K999=ReportDate+1,$A999=ReportDate+1),1,0),0)</f>
        <v>0</v>
      </c>
      <c r="AV999" s="71">
        <f>IF(AND($G999&lt;&gt;"",$M999="Completed"),IF(OR($Y999=ReportDate-1,$A999=ReportDate-1),1,0),0)</f>
        <v>0</v>
      </c>
      <c r="AW999" s="71">
        <f>IF(AND($AK999=1,$Z999="Yes"),1,0)</f>
        <v>0</v>
      </c>
      <c r="AX999" s="71">
        <f>IF(AND($AK999=1,$AA999="Yes"),1,0)</f>
        <v>0</v>
      </c>
      <c r="AY999" s="71">
        <f>IF(AND($AM999=1,OR($I999="Critical",$I999="High")),1,0)</f>
        <v>0</v>
      </c>
      <c r="AZ999" s="71">
        <f>IF(AND($AK999=1,OR($C999=TCL_Client,$C999=MECCA_Client)),1,0)</f>
        <v>0</v>
      </c>
      <c r="BA999" s="71" t="str">
        <f>IF($G999="","",IFERROR(MATCH($I999,lst_Priority,0),5))</f>
        <v/>
      </c>
      <c r="BB999" s="71" t="str">
        <f>IF(AND($AL999=1,$AJ999=1),$BA999*100000+ROW(),"")</f>
        <v/>
      </c>
      <c r="BC999" s="71" t="str">
        <f>IF(AND($AM999=1,$AJ999=1),$BA999*100000+ROW(),"")</f>
        <v/>
      </c>
      <c r="BD999" s="71" t="str">
        <f>IF(AND($AP999=1,$AJ999=1),$BA999*100000+ROW(),"")</f>
        <v/>
      </c>
      <c r="BE999" s="71" t="str">
        <f>IF(AND($AT999=1,$AJ999=1),$BA999*100000+ROW(),"")</f>
        <v/>
      </c>
      <c r="BF999" s="71" t="str">
        <f>IF(AND($AU999=1,$AJ999=1),$BA999*100000+ROW(),"")</f>
        <v/>
      </c>
      <c r="BG999" s="71" t="str">
        <f>IF(AND($AV999=1,$AJ999=1),$BA999*100000+ROW(),"")</f>
        <v/>
      </c>
      <c r="BH999" s="71" t="str">
        <f>IF(AND($AW999=1,$AJ999=1),$BA999*100000+ROW(),"")</f>
        <v/>
      </c>
      <c r="BI999" s="71" t="str">
        <f>IF(AND($AX999=1,$AJ999=1),$BA999*100000+ROW(),"")</f>
        <v/>
      </c>
      <c r="BJ999" s="71" t="str">
        <f>IF(AND($AS999=1,$AJ999=1),$BA999*100000+ROW(),"")</f>
        <v/>
      </c>
      <c r="BK999" s="71" t="str">
        <f>IF(AND($AY999=1,$AJ999=1),$BA999*100000+ROW(),"")</f>
        <v/>
      </c>
      <c r="BL999" s="71" t="str">
        <f>IF(AND($AZ999=1),$BA999*100000+ROW(),"")</f>
        <v/>
      </c>
    </row>
    <row r="1000">
      <c r="A1000" s="63" t="n"/>
      <c r="B1000" s="64" t="n"/>
      <c r="C1000" s="64" t="n"/>
      <c r="D1000" s="64" t="n"/>
      <c r="E1000" s="64" t="n"/>
      <c r="F1000" s="64" t="n"/>
      <c r="G1000" s="65" t="n"/>
      <c r="H1000" s="65" t="n"/>
      <c r="I1000" s="64" t="n"/>
      <c r="J1000" s="64" t="n"/>
      <c r="K1000" s="63" t="n"/>
      <c r="L1000" s="63" t="n"/>
      <c r="M1000" s="64" t="n"/>
      <c r="N1000" s="66" t="n"/>
      <c r="O1000" s="65" t="n"/>
      <c r="P1000" s="64" t="n"/>
      <c r="Q1000" s="67" t="n"/>
      <c r="R1000" s="67" t="n"/>
      <c r="S1000" s="68" t="str">
        <f>IF(AND(ISNUMBER($Q1000),ISNUMBER($R1000)),$Q1000-$R1000,"")</f>
        <v/>
      </c>
      <c r="T1000" s="65" t="n"/>
      <c r="U1000" s="64" t="n"/>
      <c r="V1000" s="65" t="n"/>
      <c r="W1000" s="63" t="n"/>
      <c r="X1000" s="65" t="n"/>
      <c r="Y1000" s="63" t="n"/>
      <c r="Z1000" s="64" t="n"/>
      <c r="AA1000" s="64" t="n"/>
      <c r="AB1000" s="65" t="n"/>
      <c r="AC1000" s="69" t="str">
        <f>IF(OR($G1000="",NOT(ISNUMBER($K1000)),$AK1000=0),"",MAX(0,ReportDate-$K1000))</f>
        <v/>
      </c>
      <c r="AD1000" s="69" t="str">
        <f>IF($G1000="","",IF($AL1000=1,ReportDate-$L1000,0))</f>
        <v/>
      </c>
      <c r="AE1000" s="70" t="str">
        <f>IF($G1000="","",IF($M1000="Completed",1,IF(ISNUMBER($N1000),$N1000,0)))</f>
        <v/>
      </c>
      <c r="AF1000" s="70" t="str">
        <f>IF(AND(ISNUMBER($Q1000),ISNUMBER($R1000)),IF($R1000&lt;&gt;0,$Q1000/$R1000,""),"")</f>
        <v/>
      </c>
      <c r="AG1000" s="71" t="str">
        <f>IF($G1000="","",IF($AL1000=1,"OVERDUE",IF($AM1000=1,"BLOCKED",IF($AN1000=1,"DUE TODAY",IF($AO1000=1,"DUE TOMORROW",IF($AQ1000=1,"HIGH PRIORITY",IF($AR1000=1,"NO RECENT UPDATE",""))))))) </f>
        <v/>
      </c>
      <c r="AH1000" s="71" t="str">
        <f>IF($G1000="","",IF(ISNUMBER($A1000),IF(ISNUMBER($A1000),YEAR($A1000)&amp;"-"&amp;TEXT(MONTH($A1000),"00"),""),IF(ISNUMBER($L1000),IF(ISNUMBER($L1000),YEAR($L1000)&amp;"-"&amp;TEXT(MONTH($L1000),"00"),""),"")))</f>
        <v/>
      </c>
      <c r="AI1000" s="71">
        <f>IF($G1000="",0,IF(AND(OR(fClient="All",$C1000=fClient),OR(fCampaign="All",$D1000=fCampaign),OR(fTeam="All",$B1000=fTeam),OR(fChannel="All",$F1000=fChannel),OR(fMonth="All",$AH1000=fMonth),OR(fTStatus="All",$M1000=fTStatus)),1,0))</f>
        <v>0</v>
      </c>
      <c r="AJ1000" s="71">
        <f>IF($G1000="",0,IF(AND(OR(fClient="All",$C1000=fClient),OR(fCampaign="All",$D1000=fCampaign),OR(fTeam="All",$B1000=fTeam),OR(fChannel="All",$F1000=fChannel)),1,0))</f>
        <v>0</v>
      </c>
      <c r="AK1000" s="71">
        <f>IF($G1000="",0,IF(OR($M1000="Completed",$M1000="Cancelled"),0,1))</f>
        <v>0</v>
      </c>
      <c r="AL1000" s="71">
        <f>IF(AND($AK1000=1,ISNUMBER($L1000)),IF($L1000&lt;ReportDate,1,0),0)</f>
        <v>0</v>
      </c>
      <c r="AM1000" s="71">
        <f>IF(AND($G1000&lt;&gt;"",$M1000="Blocked"),1,0)</f>
        <v>0</v>
      </c>
      <c r="AN1000" s="71">
        <f>IF(AND($AK1000=1,ISNUMBER($L1000)),IF($L1000=ReportDate,1,0),0)</f>
        <v>0</v>
      </c>
      <c r="AO1000" s="71">
        <f>IF(AND($AK1000=1,ISNUMBER($L1000)),IF($L1000=ReportDate+1,1,0),0)</f>
        <v>0</v>
      </c>
      <c r="AP1000" s="71">
        <f>IF(AND($AK1000=1,ISNUMBER($L1000)),IF(AND($L1000&gt;=ReportDate,$L1000&lt;=ReportDate+DueSoonDays),1,0),0)</f>
        <v>0</v>
      </c>
      <c r="AQ1000" s="71">
        <f>IF(AND($AK1000=1,OR($I1000="Critical",$I1000="High")),1,0)</f>
        <v>0</v>
      </c>
      <c r="AR1000" s="71">
        <f>IF($AK1000=1,IF(ISNUMBER($Y1000),IF(ReportDate-$Y1000&gt;StaleDays,1,0),1),0)</f>
        <v>0</v>
      </c>
      <c r="AS1000" s="71">
        <f>IF(AND($G1000&lt;&gt;"",ISNUMBER($Q1000),ISNUMBER($R1000)),IF(AND($Q1000&lt;$R1000,OR($M1000="Completed",AND(ISNUMBER($L1000),$L1000&lt;ReportDate))),1,0),0)</f>
        <v>0</v>
      </c>
      <c r="AT1000" s="71">
        <f>IF($AK1000=1,IF(OR($L1000=ReportDate,$W1000=ReportDate,$K1000=ReportDate,$A1000=ReportDate),1,0),0)</f>
        <v>0</v>
      </c>
      <c r="AU1000" s="71">
        <f>IF($AK1000=1,IF(OR($L1000=ReportDate+1,$W1000=ReportDate+1,$K1000=ReportDate+1,$A1000=ReportDate+1),1,0),0)</f>
        <v>0</v>
      </c>
      <c r="AV1000" s="71">
        <f>IF(AND($G1000&lt;&gt;"",$M1000="Completed"),IF(OR($Y1000=ReportDate-1,$A1000=ReportDate-1),1,0),0)</f>
        <v>0</v>
      </c>
      <c r="AW1000" s="71">
        <f>IF(AND($AK1000=1,$Z1000="Yes"),1,0)</f>
        <v>0</v>
      </c>
      <c r="AX1000" s="71">
        <f>IF(AND($AK1000=1,$AA1000="Yes"),1,0)</f>
        <v>0</v>
      </c>
      <c r="AY1000" s="71">
        <f>IF(AND($AM1000=1,OR($I1000="Critical",$I1000="High")),1,0)</f>
        <v>0</v>
      </c>
      <c r="AZ1000" s="71">
        <f>IF(AND($AK1000=1,OR($C1000=TCL_Client,$C1000=MECCA_Client)),1,0)</f>
        <v>0</v>
      </c>
      <c r="BA1000" s="71" t="str">
        <f>IF($G1000="","",IFERROR(MATCH($I1000,lst_Priority,0),5))</f>
        <v/>
      </c>
      <c r="BB1000" s="71" t="str">
        <f>IF(AND($AL1000=1,$AJ1000=1),$BA1000*100000+ROW(),"")</f>
        <v/>
      </c>
      <c r="BC1000" s="71" t="str">
        <f>IF(AND($AM1000=1,$AJ1000=1),$BA1000*100000+ROW(),"")</f>
        <v/>
      </c>
      <c r="BD1000" s="71" t="str">
        <f>IF(AND($AP1000=1,$AJ1000=1),$BA1000*100000+ROW(),"")</f>
        <v/>
      </c>
      <c r="BE1000" s="71" t="str">
        <f>IF(AND($AT1000=1,$AJ1000=1),$BA1000*100000+ROW(),"")</f>
        <v/>
      </c>
      <c r="BF1000" s="71" t="str">
        <f>IF(AND($AU1000=1,$AJ1000=1),$BA1000*100000+ROW(),"")</f>
        <v/>
      </c>
      <c r="BG1000" s="71" t="str">
        <f>IF(AND($AV1000=1,$AJ1000=1),$BA1000*100000+ROW(),"")</f>
        <v/>
      </c>
      <c r="BH1000" s="71" t="str">
        <f>IF(AND($AW1000=1,$AJ1000=1),$BA1000*100000+ROW(),"")</f>
        <v/>
      </c>
      <c r="BI1000" s="71" t="str">
        <f>IF(AND($AX1000=1,$AJ1000=1),$BA1000*100000+ROW(),"")</f>
        <v/>
      </c>
      <c r="BJ1000" s="71" t="str">
        <f>IF(AND($AS1000=1,$AJ1000=1),$BA1000*100000+ROW(),"")</f>
        <v/>
      </c>
      <c r="BK1000" s="71" t="str">
        <f>IF(AND($AY1000=1,$AJ1000=1),$BA1000*100000+ROW(),"")</f>
        <v/>
      </c>
      <c r="BL1000" s="71" t="str">
        <f>IF(AND($AZ1000=1),$BA1000*100000+ROW(),"")</f>
        <v/>
      </c>
    </row>
    <row r="1001">
      <c r="A1001" s="63" t="n"/>
      <c r="B1001" s="64" t="n"/>
      <c r="C1001" s="64" t="n"/>
      <c r="D1001" s="64" t="n"/>
      <c r="E1001" s="64" t="n"/>
      <c r="F1001" s="64" t="n"/>
      <c r="G1001" s="65" t="n"/>
      <c r="H1001" s="65" t="n"/>
      <c r="I1001" s="64" t="n"/>
      <c r="J1001" s="64" t="n"/>
      <c r="K1001" s="63" t="n"/>
      <c r="L1001" s="63" t="n"/>
      <c r="M1001" s="64" t="n"/>
      <c r="N1001" s="66" t="n"/>
      <c r="O1001" s="65" t="n"/>
      <c r="P1001" s="64" t="n"/>
      <c r="Q1001" s="67" t="n"/>
      <c r="R1001" s="67" t="n"/>
      <c r="S1001" s="68" t="str">
        <f>IF(AND(ISNUMBER($Q1001),ISNUMBER($R1001)),$Q1001-$R1001,"")</f>
        <v/>
      </c>
      <c r="T1001" s="65" t="n"/>
      <c r="U1001" s="64" t="n"/>
      <c r="V1001" s="65" t="n"/>
      <c r="W1001" s="63" t="n"/>
      <c r="X1001" s="65" t="n"/>
      <c r="Y1001" s="63" t="n"/>
      <c r="Z1001" s="64" t="n"/>
      <c r="AA1001" s="64" t="n"/>
      <c r="AB1001" s="65" t="n"/>
      <c r="AC1001" s="69" t="str">
        <f>IF(OR($G1001="",NOT(ISNUMBER($K1001)),$AK1001=0),"",MAX(0,ReportDate-$K1001))</f>
        <v/>
      </c>
      <c r="AD1001" s="69" t="str">
        <f>IF($G1001="","",IF($AL1001=1,ReportDate-$L1001,0))</f>
        <v/>
      </c>
      <c r="AE1001" s="70" t="str">
        <f>IF($G1001="","",IF($M1001="Completed",1,IF(ISNUMBER($N1001),$N1001,0)))</f>
        <v/>
      </c>
      <c r="AF1001" s="70" t="str">
        <f>IF(AND(ISNUMBER($Q1001),ISNUMBER($R1001)),IF($R1001&lt;&gt;0,$Q1001/$R1001,""),"")</f>
        <v/>
      </c>
      <c r="AG1001" s="71" t="str">
        <f>IF($G1001="","",IF($AL1001=1,"OVERDUE",IF($AM1001=1,"BLOCKED",IF($AN1001=1,"DUE TODAY",IF($AO1001=1,"DUE TOMORROW",IF($AQ1001=1,"HIGH PRIORITY",IF($AR1001=1,"NO RECENT UPDATE",""))))))) </f>
        <v/>
      </c>
      <c r="AH1001" s="71" t="str">
        <f>IF($G1001="","",IF(ISNUMBER($A1001),IF(ISNUMBER($A1001),YEAR($A1001)&amp;"-"&amp;TEXT(MONTH($A1001),"00"),""),IF(ISNUMBER($L1001),IF(ISNUMBER($L1001),YEAR($L1001)&amp;"-"&amp;TEXT(MONTH($L1001),"00"),""),"")))</f>
        <v/>
      </c>
      <c r="AI1001" s="71">
        <f>IF($G1001="",0,IF(AND(OR(fClient="All",$C1001=fClient),OR(fCampaign="All",$D1001=fCampaign),OR(fTeam="All",$B1001=fTeam),OR(fChannel="All",$F1001=fChannel),OR(fMonth="All",$AH1001=fMonth),OR(fTStatus="All",$M1001=fTStatus)),1,0))</f>
        <v>0</v>
      </c>
      <c r="AJ1001" s="71">
        <f>IF($G1001="",0,IF(AND(OR(fClient="All",$C1001=fClient),OR(fCampaign="All",$D1001=fCampaign),OR(fTeam="All",$B1001=fTeam),OR(fChannel="All",$F1001=fChannel)),1,0))</f>
        <v>0</v>
      </c>
      <c r="AK1001" s="71">
        <f>IF($G1001="",0,IF(OR($M1001="Completed",$M1001="Cancelled"),0,1))</f>
        <v>0</v>
      </c>
      <c r="AL1001" s="71">
        <f>IF(AND($AK1001=1,ISNUMBER($L1001)),IF($L1001&lt;ReportDate,1,0),0)</f>
        <v>0</v>
      </c>
      <c r="AM1001" s="71">
        <f>IF(AND($G1001&lt;&gt;"",$M1001="Blocked"),1,0)</f>
        <v>0</v>
      </c>
      <c r="AN1001" s="71">
        <f>IF(AND($AK1001=1,ISNUMBER($L1001)),IF($L1001=ReportDate,1,0),0)</f>
        <v>0</v>
      </c>
      <c r="AO1001" s="71">
        <f>IF(AND($AK1001=1,ISNUMBER($L1001)),IF($L1001=ReportDate+1,1,0),0)</f>
        <v>0</v>
      </c>
      <c r="AP1001" s="71">
        <f>IF(AND($AK1001=1,ISNUMBER($L1001)),IF(AND($L1001&gt;=ReportDate,$L1001&lt;=ReportDate+DueSoonDays),1,0),0)</f>
        <v>0</v>
      </c>
      <c r="AQ1001" s="71">
        <f>IF(AND($AK1001=1,OR($I1001="Critical",$I1001="High")),1,0)</f>
        <v>0</v>
      </c>
      <c r="AR1001" s="71">
        <f>IF($AK1001=1,IF(ISNUMBER($Y1001),IF(ReportDate-$Y1001&gt;StaleDays,1,0),1),0)</f>
        <v>0</v>
      </c>
      <c r="AS1001" s="71">
        <f>IF(AND($G1001&lt;&gt;"",ISNUMBER($Q1001),ISNUMBER($R1001)),IF(AND($Q1001&lt;$R1001,OR($M1001="Completed",AND(ISNUMBER($L1001),$L1001&lt;ReportDate))),1,0),0)</f>
        <v>0</v>
      </c>
      <c r="AT1001" s="71">
        <f>IF($AK1001=1,IF(OR($L1001=ReportDate,$W1001=ReportDate,$K1001=ReportDate,$A1001=ReportDate),1,0),0)</f>
        <v>0</v>
      </c>
      <c r="AU1001" s="71">
        <f>IF($AK1001=1,IF(OR($L1001=ReportDate+1,$W1001=ReportDate+1,$K1001=ReportDate+1,$A1001=ReportDate+1),1,0),0)</f>
        <v>0</v>
      </c>
      <c r="AV1001" s="71">
        <f>IF(AND($G1001&lt;&gt;"",$M1001="Completed"),IF(OR($Y1001=ReportDate-1,$A1001=ReportDate-1),1,0),0)</f>
        <v>0</v>
      </c>
      <c r="AW1001" s="71">
        <f>IF(AND($AK1001=1,$Z1001="Yes"),1,0)</f>
        <v>0</v>
      </c>
      <c r="AX1001" s="71">
        <f>IF(AND($AK1001=1,$AA1001="Yes"),1,0)</f>
        <v>0</v>
      </c>
      <c r="AY1001" s="71">
        <f>IF(AND($AM1001=1,OR($I1001="Critical",$I1001="High")),1,0)</f>
        <v>0</v>
      </c>
      <c r="AZ1001" s="71">
        <f>IF(AND($AK1001=1,OR($C1001=TCL_Client,$C1001=MECCA_Client)),1,0)</f>
        <v>0</v>
      </c>
      <c r="BA1001" s="71" t="str">
        <f>IF($G1001="","",IFERROR(MATCH($I1001,lst_Priority,0),5))</f>
        <v/>
      </c>
      <c r="BB1001" s="71" t="str">
        <f>IF(AND($AL1001=1,$AJ1001=1),$BA1001*100000+ROW(),"")</f>
        <v/>
      </c>
      <c r="BC1001" s="71" t="str">
        <f>IF(AND($AM1001=1,$AJ1001=1),$BA1001*100000+ROW(),"")</f>
        <v/>
      </c>
      <c r="BD1001" s="71" t="str">
        <f>IF(AND($AP1001=1,$AJ1001=1),$BA1001*100000+ROW(),"")</f>
        <v/>
      </c>
      <c r="BE1001" s="71" t="str">
        <f>IF(AND($AT1001=1,$AJ1001=1),$BA1001*100000+ROW(),"")</f>
        <v/>
      </c>
      <c r="BF1001" s="71" t="str">
        <f>IF(AND($AU1001=1,$AJ1001=1),$BA1001*100000+ROW(),"")</f>
        <v/>
      </c>
      <c r="BG1001" s="71" t="str">
        <f>IF(AND($AV1001=1,$AJ1001=1),$BA1001*100000+ROW(),"")</f>
        <v/>
      </c>
      <c r="BH1001" s="71" t="str">
        <f>IF(AND($AW1001=1,$AJ1001=1),$BA1001*100000+ROW(),"")</f>
        <v/>
      </c>
      <c r="BI1001" s="71" t="str">
        <f>IF(AND($AX1001=1,$AJ1001=1),$BA1001*100000+ROW(),"")</f>
        <v/>
      </c>
      <c r="BJ1001" s="71" t="str">
        <f>IF(AND($AS1001=1,$AJ1001=1),$BA1001*100000+ROW(),"")</f>
        <v/>
      </c>
      <c r="BK1001" s="71" t="str">
        <f>IF(AND($AY1001=1,$AJ1001=1),$BA1001*100000+ROW(),"")</f>
        <v/>
      </c>
      <c r="BL1001" s="71" t="str">
        <f>IF(AND($AZ1001=1),$BA1001*100000+ROW(),"")</f>
        <v/>
      </c>
    </row>
    <row r="1002">
      <c r="A1002" s="63" t="n"/>
      <c r="B1002" s="64" t="n"/>
      <c r="C1002" s="64" t="n"/>
      <c r="D1002" s="64" t="n"/>
      <c r="E1002" s="64" t="n"/>
      <c r="F1002" s="64" t="n"/>
      <c r="G1002" s="65" t="n"/>
      <c r="H1002" s="65" t="n"/>
      <c r="I1002" s="64" t="n"/>
      <c r="J1002" s="64" t="n"/>
      <c r="K1002" s="63" t="n"/>
      <c r="L1002" s="63" t="n"/>
      <c r="M1002" s="64" t="n"/>
      <c r="N1002" s="66" t="n"/>
      <c r="O1002" s="65" t="n"/>
      <c r="P1002" s="64" t="n"/>
      <c r="Q1002" s="67" t="n"/>
      <c r="R1002" s="67" t="n"/>
      <c r="S1002" s="68" t="str">
        <f>IF(AND(ISNUMBER($Q1002),ISNUMBER($R1002)),$Q1002-$R1002,"")</f>
        <v/>
      </c>
      <c r="T1002" s="65" t="n"/>
      <c r="U1002" s="64" t="n"/>
      <c r="V1002" s="65" t="n"/>
      <c r="W1002" s="63" t="n"/>
      <c r="X1002" s="65" t="n"/>
      <c r="Y1002" s="63" t="n"/>
      <c r="Z1002" s="64" t="n"/>
      <c r="AA1002" s="64" t="n"/>
      <c r="AB1002" s="65" t="n"/>
      <c r="AC1002" s="69" t="str">
        <f>IF(OR($G1002="",NOT(ISNUMBER($K1002)),$AK1002=0),"",MAX(0,ReportDate-$K1002))</f>
        <v/>
      </c>
      <c r="AD1002" s="69" t="str">
        <f>IF($G1002="","",IF($AL1002=1,ReportDate-$L1002,0))</f>
        <v/>
      </c>
      <c r="AE1002" s="70" t="str">
        <f>IF($G1002="","",IF($M1002="Completed",1,IF(ISNUMBER($N1002),$N1002,0)))</f>
        <v/>
      </c>
      <c r="AF1002" s="70" t="str">
        <f>IF(AND(ISNUMBER($Q1002),ISNUMBER($R1002)),IF($R1002&lt;&gt;0,$Q1002/$R1002,""),"")</f>
        <v/>
      </c>
      <c r="AG1002" s="71" t="str">
        <f>IF($G1002="","",IF($AL1002=1,"OVERDUE",IF($AM1002=1,"BLOCKED",IF($AN1002=1,"DUE TODAY",IF($AO1002=1,"DUE TOMORROW",IF($AQ1002=1,"HIGH PRIORITY",IF($AR1002=1,"NO RECENT UPDATE",""))))))) </f>
        <v/>
      </c>
      <c r="AH1002" s="71" t="str">
        <f>IF($G1002="","",IF(ISNUMBER($A1002),IF(ISNUMBER($A1002),YEAR($A1002)&amp;"-"&amp;TEXT(MONTH($A1002),"00"),""),IF(ISNUMBER($L1002),IF(ISNUMBER($L1002),YEAR($L1002)&amp;"-"&amp;TEXT(MONTH($L1002),"00"),""),"")))</f>
        <v/>
      </c>
      <c r="AI1002" s="71">
        <f>IF($G1002="",0,IF(AND(OR(fClient="All",$C1002=fClient),OR(fCampaign="All",$D1002=fCampaign),OR(fTeam="All",$B1002=fTeam),OR(fChannel="All",$F1002=fChannel),OR(fMonth="All",$AH1002=fMonth),OR(fTStatus="All",$M1002=fTStatus)),1,0))</f>
        <v>0</v>
      </c>
      <c r="AJ1002" s="71">
        <f>IF($G1002="",0,IF(AND(OR(fClient="All",$C1002=fClient),OR(fCampaign="All",$D1002=fCampaign),OR(fTeam="All",$B1002=fTeam),OR(fChannel="All",$F1002=fChannel)),1,0))</f>
        <v>0</v>
      </c>
      <c r="AK1002" s="71">
        <f>IF($G1002="",0,IF(OR($M1002="Completed",$M1002="Cancelled"),0,1))</f>
        <v>0</v>
      </c>
      <c r="AL1002" s="71">
        <f>IF(AND($AK1002=1,ISNUMBER($L1002)),IF($L1002&lt;ReportDate,1,0),0)</f>
        <v>0</v>
      </c>
      <c r="AM1002" s="71">
        <f>IF(AND($G1002&lt;&gt;"",$M1002="Blocked"),1,0)</f>
        <v>0</v>
      </c>
      <c r="AN1002" s="71">
        <f>IF(AND($AK1002=1,ISNUMBER($L1002)),IF($L1002=ReportDate,1,0),0)</f>
        <v>0</v>
      </c>
      <c r="AO1002" s="71">
        <f>IF(AND($AK1002=1,ISNUMBER($L1002)),IF($L1002=ReportDate+1,1,0),0)</f>
        <v>0</v>
      </c>
      <c r="AP1002" s="71">
        <f>IF(AND($AK1002=1,ISNUMBER($L1002)),IF(AND($L1002&gt;=ReportDate,$L1002&lt;=ReportDate+DueSoonDays),1,0),0)</f>
        <v>0</v>
      </c>
      <c r="AQ1002" s="71">
        <f>IF(AND($AK1002=1,OR($I1002="Critical",$I1002="High")),1,0)</f>
        <v>0</v>
      </c>
      <c r="AR1002" s="71">
        <f>IF($AK1002=1,IF(ISNUMBER($Y1002),IF(ReportDate-$Y1002&gt;StaleDays,1,0),1),0)</f>
        <v>0</v>
      </c>
      <c r="AS1002" s="71">
        <f>IF(AND($G1002&lt;&gt;"",ISNUMBER($Q1002),ISNUMBER($R1002)),IF(AND($Q1002&lt;$R1002,OR($M1002="Completed",AND(ISNUMBER($L1002),$L1002&lt;ReportDate))),1,0),0)</f>
        <v>0</v>
      </c>
      <c r="AT1002" s="71">
        <f>IF($AK1002=1,IF(OR($L1002=ReportDate,$W1002=ReportDate,$K1002=ReportDate,$A1002=ReportDate),1,0),0)</f>
        <v>0</v>
      </c>
      <c r="AU1002" s="71">
        <f>IF($AK1002=1,IF(OR($L1002=ReportDate+1,$W1002=ReportDate+1,$K1002=ReportDate+1,$A1002=ReportDate+1),1,0),0)</f>
        <v>0</v>
      </c>
      <c r="AV1002" s="71">
        <f>IF(AND($G1002&lt;&gt;"",$M1002="Completed"),IF(OR($Y1002=ReportDate-1,$A1002=ReportDate-1),1,0),0)</f>
        <v>0</v>
      </c>
      <c r="AW1002" s="71">
        <f>IF(AND($AK1002=1,$Z1002="Yes"),1,0)</f>
        <v>0</v>
      </c>
      <c r="AX1002" s="71">
        <f>IF(AND($AK1002=1,$AA1002="Yes"),1,0)</f>
        <v>0</v>
      </c>
      <c r="AY1002" s="71">
        <f>IF(AND($AM1002=1,OR($I1002="Critical",$I1002="High")),1,0)</f>
        <v>0</v>
      </c>
      <c r="AZ1002" s="71">
        <f>IF(AND($AK1002=1,OR($C1002=TCL_Client,$C1002=MECCA_Client)),1,0)</f>
        <v>0</v>
      </c>
      <c r="BA1002" s="71" t="str">
        <f>IF($G1002="","",IFERROR(MATCH($I1002,lst_Priority,0),5))</f>
        <v/>
      </c>
      <c r="BB1002" s="71" t="str">
        <f>IF(AND($AL1002=1,$AJ1002=1),$BA1002*100000+ROW(),"")</f>
        <v/>
      </c>
      <c r="BC1002" s="71" t="str">
        <f>IF(AND($AM1002=1,$AJ1002=1),$BA1002*100000+ROW(),"")</f>
        <v/>
      </c>
      <c r="BD1002" s="71" t="str">
        <f>IF(AND($AP1002=1,$AJ1002=1),$BA1002*100000+ROW(),"")</f>
        <v/>
      </c>
      <c r="BE1002" s="71" t="str">
        <f>IF(AND($AT1002=1,$AJ1002=1),$BA1002*100000+ROW(),"")</f>
        <v/>
      </c>
      <c r="BF1002" s="71" t="str">
        <f>IF(AND($AU1002=1,$AJ1002=1),$BA1002*100000+ROW(),"")</f>
        <v/>
      </c>
      <c r="BG1002" s="71" t="str">
        <f>IF(AND($AV1002=1,$AJ1002=1),$BA1002*100000+ROW(),"")</f>
        <v/>
      </c>
      <c r="BH1002" s="71" t="str">
        <f>IF(AND($AW1002=1,$AJ1002=1),$BA1002*100000+ROW(),"")</f>
        <v/>
      </c>
      <c r="BI1002" s="71" t="str">
        <f>IF(AND($AX1002=1,$AJ1002=1),$BA1002*100000+ROW(),"")</f>
        <v/>
      </c>
      <c r="BJ1002" s="71" t="str">
        <f>IF(AND($AS1002=1,$AJ1002=1),$BA1002*100000+ROW(),"")</f>
        <v/>
      </c>
      <c r="BK1002" s="71" t="str">
        <f>IF(AND($AY1002=1,$AJ1002=1),$BA1002*100000+ROW(),"")</f>
        <v/>
      </c>
      <c r="BL1002" s="71" t="str">
        <f>IF(AND($AZ1002=1),$BA1002*100000+ROW(),"")</f>
        <v/>
      </c>
    </row>
    <row r="1003">
      <c r="A1003" s="63" t="n"/>
      <c r="B1003" s="64" t="n"/>
      <c r="C1003" s="64" t="n"/>
      <c r="D1003" s="64" t="n"/>
      <c r="E1003" s="64" t="n"/>
      <c r="F1003" s="64" t="n"/>
      <c r="G1003" s="65" t="n"/>
      <c r="H1003" s="65" t="n"/>
      <c r="I1003" s="64" t="n"/>
      <c r="J1003" s="64" t="n"/>
      <c r="K1003" s="63" t="n"/>
      <c r="L1003" s="63" t="n"/>
      <c r="M1003" s="64" t="n"/>
      <c r="N1003" s="66" t="n"/>
      <c r="O1003" s="65" t="n"/>
      <c r="P1003" s="64" t="n"/>
      <c r="Q1003" s="67" t="n"/>
      <c r="R1003" s="67" t="n"/>
      <c r="S1003" s="68" t="str">
        <f>IF(AND(ISNUMBER($Q1003),ISNUMBER($R1003)),$Q1003-$R1003,"")</f>
        <v/>
      </c>
      <c r="T1003" s="65" t="n"/>
      <c r="U1003" s="64" t="n"/>
      <c r="V1003" s="65" t="n"/>
      <c r="W1003" s="63" t="n"/>
      <c r="X1003" s="65" t="n"/>
      <c r="Y1003" s="63" t="n"/>
      <c r="Z1003" s="64" t="n"/>
      <c r="AA1003" s="64" t="n"/>
      <c r="AB1003" s="65" t="n"/>
      <c r="AC1003" s="69" t="str">
        <f>IF(OR($G1003="",NOT(ISNUMBER($K1003)),$AK1003=0),"",MAX(0,ReportDate-$K1003))</f>
        <v/>
      </c>
      <c r="AD1003" s="69" t="str">
        <f>IF($G1003="","",IF($AL1003=1,ReportDate-$L1003,0))</f>
        <v/>
      </c>
      <c r="AE1003" s="70" t="str">
        <f>IF($G1003="","",IF($M1003="Completed",1,IF(ISNUMBER($N1003),$N1003,0)))</f>
        <v/>
      </c>
      <c r="AF1003" s="70" t="str">
        <f>IF(AND(ISNUMBER($Q1003),ISNUMBER($R1003)),IF($R1003&lt;&gt;0,$Q1003/$R1003,""),"")</f>
        <v/>
      </c>
      <c r="AG1003" s="71" t="str">
        <f>IF($G1003="","",IF($AL1003=1,"OVERDUE",IF($AM1003=1,"BLOCKED",IF($AN1003=1,"DUE TODAY",IF($AO1003=1,"DUE TOMORROW",IF($AQ1003=1,"HIGH PRIORITY",IF($AR1003=1,"NO RECENT UPDATE",""))))))) </f>
        <v/>
      </c>
      <c r="AH1003" s="71" t="str">
        <f>IF($G1003="","",IF(ISNUMBER($A1003),IF(ISNUMBER($A1003),YEAR($A1003)&amp;"-"&amp;TEXT(MONTH($A1003),"00"),""),IF(ISNUMBER($L1003),IF(ISNUMBER($L1003),YEAR($L1003)&amp;"-"&amp;TEXT(MONTH($L1003),"00"),""),"")))</f>
        <v/>
      </c>
      <c r="AI1003" s="71">
        <f>IF($G1003="",0,IF(AND(OR(fClient="All",$C1003=fClient),OR(fCampaign="All",$D1003=fCampaign),OR(fTeam="All",$B1003=fTeam),OR(fChannel="All",$F1003=fChannel),OR(fMonth="All",$AH1003=fMonth),OR(fTStatus="All",$M1003=fTStatus)),1,0))</f>
        <v>0</v>
      </c>
      <c r="AJ1003" s="71">
        <f>IF($G1003="",0,IF(AND(OR(fClient="All",$C1003=fClient),OR(fCampaign="All",$D1003=fCampaign),OR(fTeam="All",$B1003=fTeam),OR(fChannel="All",$F1003=fChannel)),1,0))</f>
        <v>0</v>
      </c>
      <c r="AK1003" s="71">
        <f>IF($G1003="",0,IF(OR($M1003="Completed",$M1003="Cancelled"),0,1))</f>
        <v>0</v>
      </c>
      <c r="AL1003" s="71">
        <f>IF(AND($AK1003=1,ISNUMBER($L1003)),IF($L1003&lt;ReportDate,1,0),0)</f>
        <v>0</v>
      </c>
      <c r="AM1003" s="71">
        <f>IF(AND($G1003&lt;&gt;"",$M1003="Blocked"),1,0)</f>
        <v>0</v>
      </c>
      <c r="AN1003" s="71">
        <f>IF(AND($AK1003=1,ISNUMBER($L1003)),IF($L1003=ReportDate,1,0),0)</f>
        <v>0</v>
      </c>
      <c r="AO1003" s="71">
        <f>IF(AND($AK1003=1,ISNUMBER($L1003)),IF($L1003=ReportDate+1,1,0),0)</f>
        <v>0</v>
      </c>
      <c r="AP1003" s="71">
        <f>IF(AND($AK1003=1,ISNUMBER($L1003)),IF(AND($L1003&gt;=ReportDate,$L1003&lt;=ReportDate+DueSoonDays),1,0),0)</f>
        <v>0</v>
      </c>
      <c r="AQ1003" s="71">
        <f>IF(AND($AK1003=1,OR($I1003="Critical",$I1003="High")),1,0)</f>
        <v>0</v>
      </c>
      <c r="AR1003" s="71">
        <f>IF($AK1003=1,IF(ISNUMBER($Y1003),IF(ReportDate-$Y1003&gt;StaleDays,1,0),1),0)</f>
        <v>0</v>
      </c>
      <c r="AS1003" s="71">
        <f>IF(AND($G1003&lt;&gt;"",ISNUMBER($Q1003),ISNUMBER($R1003)),IF(AND($Q1003&lt;$R1003,OR($M1003="Completed",AND(ISNUMBER($L1003),$L1003&lt;ReportDate))),1,0),0)</f>
        <v>0</v>
      </c>
      <c r="AT1003" s="71">
        <f>IF($AK1003=1,IF(OR($L1003=ReportDate,$W1003=ReportDate,$K1003=ReportDate,$A1003=ReportDate),1,0),0)</f>
        <v>0</v>
      </c>
      <c r="AU1003" s="71">
        <f>IF($AK1003=1,IF(OR($L1003=ReportDate+1,$W1003=ReportDate+1,$K1003=ReportDate+1,$A1003=ReportDate+1),1,0),0)</f>
        <v>0</v>
      </c>
      <c r="AV1003" s="71">
        <f>IF(AND($G1003&lt;&gt;"",$M1003="Completed"),IF(OR($Y1003=ReportDate-1,$A1003=ReportDate-1),1,0),0)</f>
        <v>0</v>
      </c>
      <c r="AW1003" s="71">
        <f>IF(AND($AK1003=1,$Z1003="Yes"),1,0)</f>
        <v>0</v>
      </c>
      <c r="AX1003" s="71">
        <f>IF(AND($AK1003=1,$AA1003="Yes"),1,0)</f>
        <v>0</v>
      </c>
      <c r="AY1003" s="71">
        <f>IF(AND($AM1003=1,OR($I1003="Critical",$I1003="High")),1,0)</f>
        <v>0</v>
      </c>
      <c r="AZ1003" s="71">
        <f>IF(AND($AK1003=1,OR($C1003=TCL_Client,$C1003=MECCA_Client)),1,0)</f>
        <v>0</v>
      </c>
      <c r="BA1003" s="71" t="str">
        <f>IF($G1003="","",IFERROR(MATCH($I1003,lst_Priority,0),5))</f>
        <v/>
      </c>
      <c r="BB1003" s="71" t="str">
        <f>IF(AND($AL1003=1,$AJ1003=1),$BA1003*100000+ROW(),"")</f>
        <v/>
      </c>
      <c r="BC1003" s="71" t="str">
        <f>IF(AND($AM1003=1,$AJ1003=1),$BA1003*100000+ROW(),"")</f>
        <v/>
      </c>
      <c r="BD1003" s="71" t="str">
        <f>IF(AND($AP1003=1,$AJ1003=1),$BA1003*100000+ROW(),"")</f>
        <v/>
      </c>
      <c r="BE1003" s="71" t="str">
        <f>IF(AND($AT1003=1,$AJ1003=1),$BA1003*100000+ROW(),"")</f>
        <v/>
      </c>
      <c r="BF1003" s="71" t="str">
        <f>IF(AND($AU1003=1,$AJ1003=1),$BA1003*100000+ROW(),"")</f>
        <v/>
      </c>
      <c r="BG1003" s="71" t="str">
        <f>IF(AND($AV1003=1,$AJ1003=1),$BA1003*100000+ROW(),"")</f>
        <v/>
      </c>
      <c r="BH1003" s="71" t="str">
        <f>IF(AND($AW1003=1,$AJ1003=1),$BA1003*100000+ROW(),"")</f>
        <v/>
      </c>
      <c r="BI1003" s="71" t="str">
        <f>IF(AND($AX1003=1,$AJ1003=1),$BA1003*100000+ROW(),"")</f>
        <v/>
      </c>
      <c r="BJ1003" s="71" t="str">
        <f>IF(AND($AS1003=1,$AJ1003=1),$BA1003*100000+ROW(),"")</f>
        <v/>
      </c>
      <c r="BK1003" s="71" t="str">
        <f>IF(AND($AY1003=1,$AJ1003=1),$BA1003*100000+ROW(),"")</f>
        <v/>
      </c>
      <c r="BL1003" s="71" t="str">
        <f>IF(AND($AZ1003=1),$BA1003*100000+ROW(),"")</f>
        <v/>
      </c>
    </row>
    <row r="1004">
      <c r="A1004" s="63" t="n"/>
      <c r="B1004" s="64" t="n"/>
      <c r="C1004" s="64" t="n"/>
      <c r="D1004" s="64" t="n"/>
      <c r="E1004" s="64" t="n"/>
      <c r="F1004" s="64" t="n"/>
      <c r="G1004" s="65" t="n"/>
      <c r="H1004" s="65" t="n"/>
      <c r="I1004" s="64" t="n"/>
      <c r="J1004" s="64" t="n"/>
      <c r="K1004" s="63" t="n"/>
      <c r="L1004" s="63" t="n"/>
      <c r="M1004" s="64" t="n"/>
      <c r="N1004" s="66" t="n"/>
      <c r="O1004" s="65" t="n"/>
      <c r="P1004" s="64" t="n"/>
      <c r="Q1004" s="67" t="n"/>
      <c r="R1004" s="67" t="n"/>
      <c r="S1004" s="68" t="str">
        <f>IF(AND(ISNUMBER($Q1004),ISNUMBER($R1004)),$Q1004-$R1004,"")</f>
        <v/>
      </c>
      <c r="T1004" s="65" t="n"/>
      <c r="U1004" s="64" t="n"/>
      <c r="V1004" s="65" t="n"/>
      <c r="W1004" s="63" t="n"/>
      <c r="X1004" s="65" t="n"/>
      <c r="Y1004" s="63" t="n"/>
      <c r="Z1004" s="64" t="n"/>
      <c r="AA1004" s="64" t="n"/>
      <c r="AB1004" s="65" t="n"/>
      <c r="AC1004" s="69" t="str">
        <f>IF(OR($G1004="",NOT(ISNUMBER($K1004)),$AK1004=0),"",MAX(0,ReportDate-$K1004))</f>
        <v/>
      </c>
      <c r="AD1004" s="69" t="str">
        <f>IF($G1004="","",IF($AL1004=1,ReportDate-$L1004,0))</f>
        <v/>
      </c>
      <c r="AE1004" s="70" t="str">
        <f>IF($G1004="","",IF($M1004="Completed",1,IF(ISNUMBER($N1004),$N1004,0)))</f>
        <v/>
      </c>
      <c r="AF1004" s="70" t="str">
        <f>IF(AND(ISNUMBER($Q1004),ISNUMBER($R1004)),IF($R1004&lt;&gt;0,$Q1004/$R1004,""),"")</f>
        <v/>
      </c>
      <c r="AG1004" s="71" t="str">
        <f>IF($G1004="","",IF($AL1004=1,"OVERDUE",IF($AM1004=1,"BLOCKED",IF($AN1004=1,"DUE TODAY",IF($AO1004=1,"DUE TOMORROW",IF($AQ1004=1,"HIGH PRIORITY",IF($AR1004=1,"NO RECENT UPDATE",""))))))) </f>
        <v/>
      </c>
      <c r="AH1004" s="71" t="str">
        <f>IF($G1004="","",IF(ISNUMBER($A1004),IF(ISNUMBER($A1004),YEAR($A1004)&amp;"-"&amp;TEXT(MONTH($A1004),"00"),""),IF(ISNUMBER($L1004),IF(ISNUMBER($L1004),YEAR($L1004)&amp;"-"&amp;TEXT(MONTH($L1004),"00"),""),"")))</f>
        <v/>
      </c>
      <c r="AI1004" s="71">
        <f>IF($G1004="",0,IF(AND(OR(fClient="All",$C1004=fClient),OR(fCampaign="All",$D1004=fCampaign),OR(fTeam="All",$B1004=fTeam),OR(fChannel="All",$F1004=fChannel),OR(fMonth="All",$AH1004=fMonth),OR(fTStatus="All",$M1004=fTStatus)),1,0))</f>
        <v>0</v>
      </c>
      <c r="AJ1004" s="71">
        <f>IF($G1004="",0,IF(AND(OR(fClient="All",$C1004=fClient),OR(fCampaign="All",$D1004=fCampaign),OR(fTeam="All",$B1004=fTeam),OR(fChannel="All",$F1004=fChannel)),1,0))</f>
        <v>0</v>
      </c>
      <c r="AK1004" s="71">
        <f>IF($G1004="",0,IF(OR($M1004="Completed",$M1004="Cancelled"),0,1))</f>
        <v>0</v>
      </c>
      <c r="AL1004" s="71">
        <f>IF(AND($AK1004=1,ISNUMBER($L1004)),IF($L1004&lt;ReportDate,1,0),0)</f>
        <v>0</v>
      </c>
      <c r="AM1004" s="71">
        <f>IF(AND($G1004&lt;&gt;"",$M1004="Blocked"),1,0)</f>
        <v>0</v>
      </c>
      <c r="AN1004" s="71">
        <f>IF(AND($AK1004=1,ISNUMBER($L1004)),IF($L1004=ReportDate,1,0),0)</f>
        <v>0</v>
      </c>
      <c r="AO1004" s="71">
        <f>IF(AND($AK1004=1,ISNUMBER($L1004)),IF($L1004=ReportDate+1,1,0),0)</f>
        <v>0</v>
      </c>
      <c r="AP1004" s="71">
        <f>IF(AND($AK1004=1,ISNUMBER($L1004)),IF(AND($L1004&gt;=ReportDate,$L1004&lt;=ReportDate+DueSoonDays),1,0),0)</f>
        <v>0</v>
      </c>
      <c r="AQ1004" s="71">
        <f>IF(AND($AK1004=1,OR($I1004="Critical",$I1004="High")),1,0)</f>
        <v>0</v>
      </c>
      <c r="AR1004" s="71">
        <f>IF($AK1004=1,IF(ISNUMBER($Y1004),IF(ReportDate-$Y1004&gt;StaleDays,1,0),1),0)</f>
        <v>0</v>
      </c>
      <c r="AS1004" s="71">
        <f>IF(AND($G1004&lt;&gt;"",ISNUMBER($Q1004),ISNUMBER($R1004)),IF(AND($Q1004&lt;$R1004,OR($M1004="Completed",AND(ISNUMBER($L1004),$L1004&lt;ReportDate))),1,0),0)</f>
        <v>0</v>
      </c>
      <c r="AT1004" s="71">
        <f>IF($AK1004=1,IF(OR($L1004=ReportDate,$W1004=ReportDate,$K1004=ReportDate,$A1004=ReportDate),1,0),0)</f>
        <v>0</v>
      </c>
      <c r="AU1004" s="71">
        <f>IF($AK1004=1,IF(OR($L1004=ReportDate+1,$W1004=ReportDate+1,$K1004=ReportDate+1,$A1004=ReportDate+1),1,0),0)</f>
        <v>0</v>
      </c>
      <c r="AV1004" s="71">
        <f>IF(AND($G1004&lt;&gt;"",$M1004="Completed"),IF(OR($Y1004=ReportDate-1,$A1004=ReportDate-1),1,0),0)</f>
        <v>0</v>
      </c>
      <c r="AW1004" s="71">
        <f>IF(AND($AK1004=1,$Z1004="Yes"),1,0)</f>
        <v>0</v>
      </c>
      <c r="AX1004" s="71">
        <f>IF(AND($AK1004=1,$AA1004="Yes"),1,0)</f>
        <v>0</v>
      </c>
      <c r="AY1004" s="71">
        <f>IF(AND($AM1004=1,OR($I1004="Critical",$I1004="High")),1,0)</f>
        <v>0</v>
      </c>
      <c r="AZ1004" s="71">
        <f>IF(AND($AK1004=1,OR($C1004=TCL_Client,$C1004=MECCA_Client)),1,0)</f>
        <v>0</v>
      </c>
      <c r="BA1004" s="71" t="str">
        <f>IF($G1004="","",IFERROR(MATCH($I1004,lst_Priority,0),5))</f>
        <v/>
      </c>
      <c r="BB1004" s="71" t="str">
        <f>IF(AND($AL1004=1,$AJ1004=1),$BA1004*100000+ROW(),"")</f>
        <v/>
      </c>
      <c r="BC1004" s="71" t="str">
        <f>IF(AND($AM1004=1,$AJ1004=1),$BA1004*100000+ROW(),"")</f>
        <v/>
      </c>
      <c r="BD1004" s="71" t="str">
        <f>IF(AND($AP1004=1,$AJ1004=1),$BA1004*100000+ROW(),"")</f>
        <v/>
      </c>
      <c r="BE1004" s="71" t="str">
        <f>IF(AND($AT1004=1,$AJ1004=1),$BA1004*100000+ROW(),"")</f>
        <v/>
      </c>
      <c r="BF1004" s="71" t="str">
        <f>IF(AND($AU1004=1,$AJ1004=1),$BA1004*100000+ROW(),"")</f>
        <v/>
      </c>
      <c r="BG1004" s="71" t="str">
        <f>IF(AND($AV1004=1,$AJ1004=1),$BA1004*100000+ROW(),"")</f>
        <v/>
      </c>
      <c r="BH1004" s="71" t="str">
        <f>IF(AND($AW1004=1,$AJ1004=1),$BA1004*100000+ROW(),"")</f>
        <v/>
      </c>
      <c r="BI1004" s="71" t="str">
        <f>IF(AND($AX1004=1,$AJ1004=1),$BA1004*100000+ROW(),"")</f>
        <v/>
      </c>
      <c r="BJ1004" s="71" t="str">
        <f>IF(AND($AS1004=1,$AJ1004=1),$BA1004*100000+ROW(),"")</f>
        <v/>
      </c>
      <c r="BK1004" s="71" t="str">
        <f>IF(AND($AY1004=1,$AJ1004=1),$BA1004*100000+ROW(),"")</f>
        <v/>
      </c>
      <c r="BL1004" s="71" t="str">
        <f>IF(AND($AZ1004=1),$BA1004*100000+ROW(),"")</f>
        <v/>
      </c>
    </row>
  </sheetData>
  <mergeCells count="1">
    <mergeCell ref="A1:N1"/>
  </mergeCells>
  <conditionalFormatting sqref="A5:AB1004">
    <cfRule type="expression" priority="1" dxfId="3" stopIfTrue="1">
      <formula>$AL5=1</formula>
    </cfRule>
    <cfRule type="expression" priority="2" dxfId="4" stopIfTrue="1">
      <formula>$AM5=1</formula>
    </cfRule>
    <cfRule type="expression" priority="3" dxfId="5" stopIfTrue="1">
      <formula>$AN5=1</formula>
    </cfRule>
    <cfRule type="expression" priority="4" dxfId="6" stopIfTrue="1">
      <formula>$AO5=1</formula>
    </cfRule>
    <cfRule type="expression" priority="5" dxfId="7" stopIfTrue="1">
      <formula>$M5="Completed"</formula>
    </cfRule>
  </conditionalFormatting>
  <conditionalFormatting sqref="I5:I1004">
    <cfRule type="expression" priority="6" dxfId="8">
      <formula>$AQ5=1</formula>
    </cfRule>
  </conditionalFormatting>
  <conditionalFormatting sqref="Y5:Y1004">
    <cfRule type="expression" priority="7" dxfId="5">
      <formula>$AR5=1</formula>
    </cfRule>
  </conditionalFormatting>
  <conditionalFormatting sqref="AG5:AG1004">
    <cfRule type="expression" priority="8" dxfId="9">
      <formula>$AG5="OVERDUE"</formula>
    </cfRule>
    <cfRule type="expression" priority="9" dxfId="10">
      <formula>$AG5="BLOCKED"</formula>
    </cfRule>
    <cfRule type="expression" priority="10" dxfId="11">
      <formula>$AG5="DUE TODAY"</formula>
    </cfRule>
    <cfRule type="expression" priority="11" dxfId="12">
      <formula>$AG5="DUE TOMORROW"</formula>
    </cfRule>
    <cfRule type="expression" priority="12" dxfId="8">
      <formula>$AG5="HIGH PRIORITY"</formula>
    </cfRule>
    <cfRule type="expression" priority="13" dxfId="13">
      <formula>$AG5="NO RECENT UPDATE"</formula>
    </cfRule>
  </conditionalFormatting>
  <conditionalFormatting sqref="S5:S1004">
    <cfRule type="expression" priority="14" dxfId="8">
      <formula>AND(ISNUMBER($S5),$S5&lt;0)</formula>
    </cfRule>
  </conditionalFormatting>
  <dataValidations count="18">
    <dataValidation sqref="A5:A1004" showDropDown="0" showInputMessage="0" showErrorMessage="1" allowBlank="1" errorTitle="Invalid date" error="Enter a valid date, e.g. 05-Oct-2026." type="date" operator="greaterThan">
      <formula1>36526</formula1>
    </dataValidation>
    <dataValidation sqref="B5:B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C5:C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D5:D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=lst_Campaign</formula1>
    </dataValidation>
    <dataValidation sqref="E5:E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=lst_Workstream</formula1>
    </dataValidation>
    <dataValidation sqref="F5:F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=lst_Channel</formula1>
    </dataValidation>
    <dataValidation sqref="I5:I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=lst_Priority</formula1>
    </dataValidation>
    <dataValidation sqref="J5:J1004" showDropDown="0" showInputMessage="0" showErrorMessage="1" allowBlank="1" errorTitle="Pick from list" error="Please choose a value from the dropdown (lists are maintained in MASTER DATA / CLIENT MASTER / CAMPAIGN MASTER)." type="list" errorStyle="warning">
      <formula1>=lst_AssignedBy</formula1>
    </dataValidation>
    <dataValidation sqref="K5:K1004" showDropDown="0" showInputMessage="0" showErrorMessage="1" allowBlank="1" errorTitle="Invalid date" error="Enter a valid date, e.g. 05-Oct-2026." type="date" operator="greaterThan">
      <formula1>36526</formula1>
    </dataValidation>
    <dataValidation sqref="L5:L1004" showDropDown="0" showInputMessage="0" showErrorMessage="1" allowBlank="1" errorTitle="Invalid date" error="Enter a valid date, e.g. 05-Oct-2026." type="date" operator="greaterThan">
      <formula1>36526</formula1>
    </dataValidation>
    <dataValidation sqref="M5:M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=lst_TaskStatus</formula1>
    </dataValidation>
    <dataValidation sqref="N5:N1004" showDropDown="0" showInputMessage="0" showErrorMessage="1" allowBlank="1" errorTitle="Invalid %" error="Enter a percentage between 0% and 100%." type="decimal" operator="between">
      <formula1>0</formula1>
      <formula2>1</formula2>
    </dataValidation>
    <dataValidation sqref="Q5:Q1004" showDropDown="0" showInputMessage="0" showErrorMessage="1" allowBlank="1" errorTitle="Invalid number" error="Enter a number (0 or more)." type="decimal" operator="greaterThanOrEqual">
      <formula1>0</formula1>
    </dataValidation>
    <dataValidation sqref="R5:R1004" showDropDown="0" showInputMessage="0" showErrorMessage="1" allowBlank="1" errorTitle="Invalid number" error="Enter a number (0 or more)." type="decimal" operator="greaterThanOrEqual">
      <formula1>0</formula1>
    </dataValidation>
    <dataValidation sqref="W5:W1004" showDropDown="0" showInputMessage="0" showErrorMessage="1" allowBlank="1" errorTitle="Invalid date" error="Enter a valid date, e.g. 05-Oct-2026." type="date" operator="greaterThan">
      <formula1>36526</formula1>
    </dataValidation>
    <dataValidation sqref="Y5:Y1004" showDropDown="0" showInputMessage="0" showErrorMessage="1" allowBlank="1" errorTitle="Invalid date" error="Enter a valid date, e.g. 05-Oct-2026." type="date" operator="greaterThan">
      <formula1>36526</formula1>
    </dataValidation>
    <dataValidation sqref="Z5:Z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=lst_YesNo</formula1>
    </dataValidation>
    <dataValidation sqref="AA5:AA1004" showDropDown="0" showInputMessage="0" showErrorMessage="1" allowBlank="1" errorTitle="Pick from list" error="Please choose a value from the dropdown (lists are maintained in MASTER DATA / CLIENT MASTER / CAMPAIGN MASTER)." type="list" errorStyle="stop">
      <formula1>=lst_YesNo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BB204"/>
  <sheetViews>
    <sheetView showGridLines="0" tabSelected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1" customWidth="1" min="3" max="3"/>
    <col width="20" customWidth="1" min="4" max="4"/>
    <col width="14" customWidth="1" min="5" max="5"/>
    <col width="24" customWidth="1" min="6" max="6"/>
    <col width="22" customWidth="1" min="7" max="7"/>
    <col width="18" customWidth="1" min="8" max="8"/>
    <col width="16" customWidth="1" min="9" max="9"/>
    <col width="22" customWidth="1" min="10" max="10"/>
    <col width="11" customWidth="1" min="11" max="11"/>
    <col width="11" customWidth="1" min="12" max="12"/>
    <col width="11" customWidth="1" min="13" max="13"/>
    <col width="13" customWidth="1" min="14" max="14"/>
    <col width="11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0" customWidth="1" min="25" max="25"/>
    <col width="10" customWidth="1" min="26" max="26"/>
    <col width="14" customWidth="1" min="27" max="27"/>
    <col width="26" customWidth="1" min="28" max="28"/>
    <col width="26" customWidth="1" min="29" max="29"/>
    <col width="34" customWidth="1" min="30" max="30"/>
    <col width="11" customWidth="1" min="31" max="31"/>
    <col width="11" customWidth="1" min="32" max="32"/>
    <col width="11" customWidth="1" min="33" max="33"/>
    <col hidden="1" outlineLevel="1" width="8" customWidth="1" min="34" max="54"/>
  </cols>
  <sheetData>
    <row r="1" ht="30" customHeight="1">
      <c r="A1" s="57" t="inlineStr">
        <is>
          <t>CAMPAIGN MASTER - centralised campaign database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8" t="inlineStr">
        <is>
          <t>BLUE cells = team enters data   |   GREY cells = automatic formulas (do not edit)   |   Spend, leads, MQL, SQL, handraisers, positive responses, conversion &amp; CPL are pulled automatically from the tracker sheets by Campaign Name.</t>
        </is>
      </c>
    </row>
    <row r="4" ht="34" customHeight="1">
      <c r="A4" s="60" t="inlineStr">
        <is>
          <t>Client</t>
        </is>
      </c>
      <c r="B4" s="60" t="inlineStr">
        <is>
          <t>Campaign Name</t>
        </is>
      </c>
      <c r="C4" s="60" t="inlineStr">
        <is>
          <t>Campaign ID</t>
        </is>
      </c>
      <c r="D4" s="60" t="inlineStr">
        <is>
          <t>Product / Service</t>
        </is>
      </c>
      <c r="E4" s="60" t="inlineStr">
        <is>
          <t>Market / Region</t>
        </is>
      </c>
      <c r="F4" s="60" t="inlineStr">
        <is>
          <t>Campaign Objective</t>
        </is>
      </c>
      <c r="G4" s="60" t="inlineStr">
        <is>
          <t>Target Audience</t>
        </is>
      </c>
      <c r="H4" s="60" t="inlineStr">
        <is>
          <t>Channel</t>
        </is>
      </c>
      <c r="I4" s="60" t="inlineStr">
        <is>
          <t>Campaign Owner</t>
        </is>
      </c>
      <c r="J4" s="60" t="inlineStr">
        <is>
          <t>Supporting Team</t>
        </is>
      </c>
      <c r="K4" s="60" t="inlineStr">
        <is>
          <t>Start Date</t>
        </is>
      </c>
      <c r="L4" s="60" t="inlineStr">
        <is>
          <t>Planned End Date</t>
        </is>
      </c>
      <c r="M4" s="60" t="inlineStr">
        <is>
          <t>Actual End Date</t>
        </is>
      </c>
      <c r="N4" s="60" t="inlineStr">
        <is>
          <t>Status</t>
        </is>
      </c>
      <c r="O4" s="60" t="inlineStr">
        <is>
          <t>Budget</t>
        </is>
      </c>
      <c r="P4" s="61" t="inlineStr">
        <is>
          <t>Spend</t>
        </is>
      </c>
      <c r="Q4" s="60" t="inlineStr">
        <is>
          <t>Leads Target</t>
        </is>
      </c>
      <c r="R4" s="61" t="inlineStr">
        <is>
          <t>Leads Generated</t>
        </is>
      </c>
      <c r="S4" s="60" t="inlineStr">
        <is>
          <t>MQL Target</t>
        </is>
      </c>
      <c r="T4" s="61" t="inlineStr">
        <is>
          <t>MQL Generated</t>
        </is>
      </c>
      <c r="U4" s="60" t="inlineStr">
        <is>
          <t>SQL Target</t>
        </is>
      </c>
      <c r="V4" s="61" t="inlineStr">
        <is>
          <t>SQL Generated</t>
        </is>
      </c>
      <c r="W4" s="61" t="inlineStr">
        <is>
          <t>Digital Handraisers</t>
        </is>
      </c>
      <c r="X4" s="61" t="inlineStr">
        <is>
          <t>Positive Responses</t>
        </is>
      </c>
      <c r="Y4" s="61" t="inlineStr">
        <is>
          <t>Conversion Rate</t>
        </is>
      </c>
      <c r="Z4" s="61" t="inlineStr">
        <is>
          <t>CPL</t>
        </is>
      </c>
      <c r="AA4" s="61" t="inlineStr">
        <is>
          <t>Current Performance</t>
        </is>
      </c>
      <c r="AB4" s="60" t="inlineStr">
        <is>
          <t>Key Challenge</t>
        </is>
      </c>
      <c r="AC4" s="60" t="inlineStr">
        <is>
          <t>Next Action</t>
        </is>
      </c>
      <c r="AD4" s="60" t="inlineStr">
        <is>
          <t>Remarks</t>
        </is>
      </c>
      <c r="AE4" s="60" t="inlineStr">
        <is>
          <t>Accounts Targeted</t>
        </is>
      </c>
      <c r="AF4" s="60" t="inlineStr">
        <is>
          <t>Contacts Reached</t>
        </is>
      </c>
      <c r="AG4" s="60" t="inlineStr">
        <is>
          <t>Last Updated</t>
        </is>
      </c>
      <c r="AH4" s="62" t="inlineStr">
        <is>
          <t>Pacing Factor</t>
        </is>
      </c>
      <c r="AI4" s="62" t="inlineStr">
        <is>
          <t>Attainment vs Pacing</t>
        </is>
      </c>
      <c r="AJ4" s="62" t="inlineStr">
        <is>
          <t>Start Month Key</t>
        </is>
      </c>
      <c r="AK4" s="62" t="inlineStr">
        <is>
          <t>In Filter</t>
        </is>
      </c>
      <c r="AL4" s="62" t="inlineStr">
        <is>
          <t>In List</t>
        </is>
      </c>
      <c r="AM4" s="62" t="inlineStr">
        <is>
          <t>Live</t>
        </is>
      </c>
      <c r="AN4" s="62" t="inlineStr">
        <is>
          <t>Launched</t>
        </is>
      </c>
      <c r="AO4" s="62" t="inlineStr">
        <is>
          <t>Past Planned End</t>
        </is>
      </c>
      <c r="AP4" s="62" t="inlineStr">
        <is>
          <t>No Recent Update</t>
        </is>
      </c>
      <c r="AQ4" s="62" t="inlineStr">
        <is>
          <t>Low Performing</t>
        </is>
      </c>
      <c r="AR4" s="62" t="inlineStr">
        <is>
          <t>Performing Well</t>
        </is>
      </c>
      <c r="AS4" s="62" t="inlineStr">
        <is>
          <t>Needs Attention</t>
        </is>
      </c>
      <c r="AT4" s="62" t="inlineStr">
        <is>
          <t>Attention Reason</t>
        </is>
      </c>
      <c r="AU4" s="62" t="inlineStr">
        <is>
          <t>Key Attn</t>
        </is>
      </c>
      <c r="AV4" s="62" t="inlineStr">
        <is>
          <t>Key Low</t>
        </is>
      </c>
      <c r="AW4" s="62" t="inlineStr">
        <is>
          <t>Key Stale</t>
        </is>
      </c>
      <c r="AX4" s="62" t="inlineStr">
        <is>
          <t>Key Good</t>
        </is>
      </c>
      <c r="AY4" s="62" t="inlineStr">
        <is>
          <t>TCL</t>
        </is>
      </c>
      <c r="AZ4" s="62" t="inlineStr">
        <is>
          <t>Key TCL</t>
        </is>
      </c>
      <c r="BA4" s="62" t="inlineStr">
        <is>
          <t>MECCA</t>
        </is>
      </c>
      <c r="BB4" s="62" t="inlineStr">
        <is>
          <t>Key MECCA</t>
        </is>
      </c>
    </row>
    <row r="5">
      <c r="A5" s="64" t="inlineStr">
        <is>
          <t>SAP</t>
        </is>
      </c>
      <c r="B5" s="65" t="inlineStr">
        <is>
          <t>SAP Partner Campaign - Citek</t>
        </is>
      </c>
      <c r="C5" s="64" t="inlineStr">
        <is>
          <t>CMP-001</t>
        </is>
      </c>
      <c r="D5" s="64" t="inlineStr">
        <is>
          <t>SAP Partner Campaign</t>
        </is>
      </c>
      <c r="E5" s="64" t="n"/>
      <c r="F5" s="65" t="n"/>
      <c r="G5" s="65" t="n"/>
      <c r="H5" s="64" t="inlineStr">
        <is>
          <t>Content Syndication</t>
        </is>
      </c>
      <c r="I5" s="64" t="inlineStr">
        <is>
          <t>Surbhi Pandey</t>
        </is>
      </c>
      <c r="J5" s="65" t="n"/>
      <c r="K5" s="63" t="n"/>
      <c r="L5" s="63" t="n"/>
      <c r="M5" s="63" t="n"/>
      <c r="N5" s="64" t="n"/>
      <c r="O5" s="67" t="n"/>
      <c r="P5" s="72">
        <f>IF($B5="","",SUMIFS('PAID MEDIA ADS'!$G$5:$G$804,'PAID MEDIA ADS'!$C$5:$C$804,$B5))</f>
        <v>0</v>
      </c>
      <c r="Q5" s="67" t="n"/>
      <c r="R5" s="72">
        <f>IF($B5="","",COUNTIFS('LEAD MQL TRACKER'!$C$5:$C$1004,$B5,'LEAD MQL TRACKER'!$AB$5:$AB$1004,1)+SUMIFS('EMAIL MARKETING'!$Q$5:$Q$804,'EMAIL MARKETING'!$C$5:$C$804,$B5)+SUMIFS('PAID MEDIA ADS'!$M$5:$M$804,'PAID MEDIA ADS'!$C$5:$C$804,$B5)+SUMIFS('LINKEDIN OUTREACH'!$N$5:$N$704,'LINKEDIN OUTREACH'!$C$5:$C$704,$B5))</f>
        <v>0</v>
      </c>
      <c r="S5" s="67" t="n"/>
      <c r="T5" s="72">
        <f>IF($B5="","",COUNTIFS('LEAD MQL TRACKER'!$C$5:$C$1004,$B5,'LEAD MQL TRACKER'!$AD$5:$AD$1004,1)+SUMIFS('EMAIL MARKETING'!$R$5:$R$804,'EMAIL MARKETING'!$C$5:$C$804,$B5)+SUMIFS('PAID MEDIA ADS'!$N$5:$N$804,'PAID MEDIA ADS'!$C$5:$C$804,$B5)+SUMIFS('LINKEDIN OUTREACH'!$O$5:$O$704,'LINKEDIN OUTREACH'!$C$5:$C$704,$B5))</f>
        <v>0</v>
      </c>
      <c r="U5" s="67" t="n"/>
      <c r="V5" s="72">
        <f>IF($B5="","",COUNTIFS('LEAD MQL TRACKER'!$C$5:$C$1004,$B5,'LEAD MQL TRACKER'!$AE$5:$AE$1004,1))</f>
        <v>0</v>
      </c>
      <c r="W5" s="72">
        <f>IF($B5="","",COUNTIFS('LEAD MQL TRACKER'!$C$5:$C$1004,$B5,'LEAD MQL TRACKER'!$AC$5:$AC$1004,1)+SUMIFS('LINKEDIN OUTREACH'!$M$5:$M$704,'LINKEDIN OUTREACH'!$C$5:$C$704,$B5))</f>
        <v>0</v>
      </c>
      <c r="X5" s="72">
        <f>IF($B5="","",SUMIFS('EMAIL MARKETING'!$O$5:$O$804,'EMAIL MARKETING'!$C$5:$C$804,$B5)+SUMIFS('LINKEDIN OUTREACH'!$K$5:$K$704,'LINKEDIN OUTREACH'!$C$5:$C$704,$B5))</f>
        <v>0</v>
      </c>
      <c r="Y5" s="73" t="str">
        <f>IF(ISNUMBER($R5),IF($R5&gt;0,$T5/$R5,""),"")</f>
        <v/>
      </c>
      <c r="Z5" s="72" t="str">
        <f>IF(AND(ISNUMBER($P5),ISNUMBER($R5)),IF(AND($P5&gt;0,$R5&gt;0),$P5/$R5,""),"")</f>
        <v/>
      </c>
      <c r="AA5" s="71" t="str">
        <f>IF($B5="","",IF(OR($N5="Live",$N5="Optimizing",$N5="Paused",$N5="Completed"),IF(ISNUMBER($AI5),IF($AI5&gt;=1,"Ahead",IF($AI5&gt;=OnTrackPct,"On Track",IF($AI5&gt;=WatchPct,"Behind","At Risk"))),"No Target Set"),"Not Live"))</f>
        <v>Not Live</v>
      </c>
      <c r="AB5" s="65" t="n"/>
      <c r="AC5" s="65" t="n"/>
      <c r="AD5" s="65" t="inlineStr">
        <is>
          <t>Content Syndication - Email. Status/dates not provided in baseline.</t>
        </is>
      </c>
      <c r="AE5" s="67" t="n"/>
      <c r="AF5" s="67" t="n"/>
      <c r="AG5" s="63" t="n"/>
      <c r="AH5" s="74">
        <f>IF($N5="Completed",1,IF(AND(ISNUMBER($K5),ISNUMBER($L5)),IF($L5&gt;$K5,MIN(1,MAX(0.05,(ReportDate-$K5)/($L5-$K5))),1),1))</f>
        <v>1</v>
      </c>
      <c r="AI5" s="70" t="str">
        <f>IF($B5="","",IF(AND(ISNUMBER($Q5),$Q5&gt;0),$R5/($Q5*$AH5),""))</f>
        <v/>
      </c>
      <c r="AJ5" s="71" t="str">
        <f>IF(ISNUMBER($K5),YEAR($K5)&amp;"-"&amp;TEXT(MONTH($K5),"00"),"")</f>
        <v/>
      </c>
      <c r="AK5" s="71">
        <f>IF($B5="",0,IF(AND(OR(fClient="All",$A5=fClient),OR(fCampaign="All",$B5=fCampaign),OR(fTeam="All",$I5=fTeam),OR(fChannel="All",$H5=fChannel),OR(fCStatus="All",$N5=fCStatus)),1,0))</f>
        <v>1</v>
      </c>
      <c r="AL5" s="71">
        <f>IF($B5="",0,IF(AND(OR(fClient="All",$A5=fClient),OR(fCampaign="All",$B5=fCampaign),OR(fTeam="All",$I5=fTeam),OR(fChannel="All",$H5=fChannel)),1,0))</f>
        <v>1</v>
      </c>
      <c r="AM5" s="71">
        <f>IF(OR($N5="Live",$N5="Optimizing"),1,0)</f>
        <v>0</v>
      </c>
      <c r="AN5" s="71">
        <f>IF(OR($N5="Live",$N5="Optimizing",$N5="Paused",$N5="Completed"),1,0)</f>
        <v>0</v>
      </c>
      <c r="AO5" s="71">
        <f>IF(AND($AM5=1,ISNUMBER($L5),NOT(ISNUMBER($M5))),IF($L5&lt;ReportDate,1,0),0)</f>
        <v>0</v>
      </c>
      <c r="AP5" s="71">
        <f>IF($AM5=1,IF(ISNUMBER($AG5),IF(ReportDate-$AG5&gt;CampStaleDays,1,0),1),0)</f>
        <v>0</v>
      </c>
      <c r="AQ5" s="71">
        <f>IF(AND($AM5=1,OR($AA5="Behind",$AA5="At Risk")),1,0)</f>
        <v>0</v>
      </c>
      <c r="AR5" s="71">
        <f>IF(AND($AM5=1,OR($AA5="Ahead",$AA5="On Track")),1,0)</f>
        <v>0</v>
      </c>
      <c r="AS5" s="71">
        <f>IF(OR($AQ5=1,$AP5=1,$AO5=1),1,0)</f>
        <v>0</v>
      </c>
      <c r="AT5" s="71" t="str">
        <f>IF($AS5=1,TRIM(IF($AQ5=1,"Low performance. ","")&amp;IF($AP5=1,"No recent update. ","")&amp;IF($AO5=1,"Past planned end. ","")),"")</f>
        <v/>
      </c>
      <c r="AU5" s="71" t="str">
        <f>IF(AND($AS5=1,$AL5=1),ROW(),"")</f>
        <v/>
      </c>
      <c r="AV5" s="71" t="str">
        <f>IF(AND($AQ5=1,$AL5=1),ROW(),"")</f>
        <v/>
      </c>
      <c r="AW5" s="71" t="str">
        <f>IF(AND($AP5=1,$AL5=1),ROW(),"")</f>
        <v/>
      </c>
      <c r="AX5" s="71" t="str">
        <f>IF(AND($AR5=1,$AL5=1),ROW(),"")</f>
        <v/>
      </c>
      <c r="AY5" s="71">
        <f>IF(AND($B5&lt;&gt;"",$A5=TCL_Client),1,0)</f>
        <v>0</v>
      </c>
      <c r="AZ5" s="71" t="str">
        <f>IF($AY5=1,ROW(),"")</f>
        <v/>
      </c>
      <c r="BA5" s="71">
        <f>IF(AND($B5&lt;&gt;"",$A5=MECCA_Client),1,0)</f>
        <v>0</v>
      </c>
      <c r="BB5" s="71" t="str">
        <f>IF($BA5=1,ROW(),"")</f>
        <v/>
      </c>
    </row>
    <row r="6">
      <c r="A6" s="64" t="inlineStr">
        <is>
          <t>SAP</t>
        </is>
      </c>
      <c r="B6" s="65" t="inlineStr">
        <is>
          <t>SAP Partner Campaign - Apptech</t>
        </is>
      </c>
      <c r="C6" s="64" t="inlineStr">
        <is>
          <t>CMP-002</t>
        </is>
      </c>
      <c r="D6" s="64" t="inlineStr">
        <is>
          <t>SAP Partner Campaign</t>
        </is>
      </c>
      <c r="E6" s="64" t="n"/>
      <c r="F6" s="65" t="n"/>
      <c r="G6" s="65" t="n"/>
      <c r="H6" s="64" t="inlineStr">
        <is>
          <t>Content Syndication</t>
        </is>
      </c>
      <c r="I6" s="64" t="inlineStr">
        <is>
          <t>Surbhi Pandey</t>
        </is>
      </c>
      <c r="J6" s="65" t="n"/>
      <c r="K6" s="63" t="n"/>
      <c r="L6" s="63" t="n"/>
      <c r="M6" s="63" t="n"/>
      <c r="N6" s="64" t="n"/>
      <c r="O6" s="67" t="n"/>
      <c r="P6" s="72">
        <f>IF($B6="","",SUMIFS('PAID MEDIA ADS'!$G$5:$G$804,'PAID MEDIA ADS'!$C$5:$C$804,$B6))</f>
        <v>0</v>
      </c>
      <c r="Q6" s="67" t="n"/>
      <c r="R6" s="72">
        <f>IF($B6="","",COUNTIFS('LEAD MQL TRACKER'!$C$5:$C$1004,$B6,'LEAD MQL TRACKER'!$AB$5:$AB$1004,1)+SUMIFS('EMAIL MARKETING'!$Q$5:$Q$804,'EMAIL MARKETING'!$C$5:$C$804,$B6)+SUMIFS('PAID MEDIA ADS'!$M$5:$M$804,'PAID MEDIA ADS'!$C$5:$C$804,$B6)+SUMIFS('LINKEDIN OUTREACH'!$N$5:$N$704,'LINKEDIN OUTREACH'!$C$5:$C$704,$B6))</f>
        <v>0</v>
      </c>
      <c r="S6" s="67" t="n"/>
      <c r="T6" s="72">
        <f>IF($B6="","",COUNTIFS('LEAD MQL TRACKER'!$C$5:$C$1004,$B6,'LEAD MQL TRACKER'!$AD$5:$AD$1004,1)+SUMIFS('EMAIL MARKETING'!$R$5:$R$804,'EMAIL MARKETING'!$C$5:$C$804,$B6)+SUMIFS('PAID MEDIA ADS'!$N$5:$N$804,'PAID MEDIA ADS'!$C$5:$C$804,$B6)+SUMIFS('LINKEDIN OUTREACH'!$O$5:$O$704,'LINKEDIN OUTREACH'!$C$5:$C$704,$B6))</f>
        <v>0</v>
      </c>
      <c r="U6" s="67" t="n"/>
      <c r="V6" s="72">
        <f>IF($B6="","",COUNTIFS('LEAD MQL TRACKER'!$C$5:$C$1004,$B6,'LEAD MQL TRACKER'!$AE$5:$AE$1004,1))</f>
        <v>0</v>
      </c>
      <c r="W6" s="72">
        <f>IF($B6="","",COUNTIFS('LEAD MQL TRACKER'!$C$5:$C$1004,$B6,'LEAD MQL TRACKER'!$AC$5:$AC$1004,1)+SUMIFS('LINKEDIN OUTREACH'!$M$5:$M$704,'LINKEDIN OUTREACH'!$C$5:$C$704,$B6))</f>
        <v>0</v>
      </c>
      <c r="X6" s="72">
        <f>IF($B6="","",SUMIFS('EMAIL MARKETING'!$O$5:$O$804,'EMAIL MARKETING'!$C$5:$C$804,$B6)+SUMIFS('LINKEDIN OUTREACH'!$K$5:$K$704,'LINKEDIN OUTREACH'!$C$5:$C$704,$B6))</f>
        <v>0</v>
      </c>
      <c r="Y6" s="73" t="str">
        <f>IF(ISNUMBER($R6),IF($R6&gt;0,$T6/$R6,""),"")</f>
        <v/>
      </c>
      <c r="Z6" s="72" t="str">
        <f>IF(AND(ISNUMBER($P6),ISNUMBER($R6)),IF(AND($P6&gt;0,$R6&gt;0),$P6/$R6,""),"")</f>
        <v/>
      </c>
      <c r="AA6" s="71" t="str">
        <f>IF($B6="","",IF(OR($N6="Live",$N6="Optimizing",$N6="Paused",$N6="Completed"),IF(ISNUMBER($AI6),IF($AI6&gt;=1,"Ahead",IF($AI6&gt;=OnTrackPct,"On Track",IF($AI6&gt;=WatchPct,"Behind","At Risk"))),"No Target Set"),"Not Live"))</f>
        <v>Not Live</v>
      </c>
      <c r="AB6" s="65" t="n"/>
      <c r="AC6" s="65" t="n"/>
      <c r="AD6" s="65" t="inlineStr">
        <is>
          <t>Content Syndication - Email. Status/dates not provided in baseline.</t>
        </is>
      </c>
      <c r="AE6" s="67" t="n"/>
      <c r="AF6" s="67" t="n"/>
      <c r="AG6" s="63" t="n"/>
      <c r="AH6" s="74">
        <f>IF($N6="Completed",1,IF(AND(ISNUMBER($K6),ISNUMBER($L6)),IF($L6&gt;$K6,MIN(1,MAX(0.05,(ReportDate-$K6)/($L6-$K6))),1),1))</f>
        <v>1</v>
      </c>
      <c r="AI6" s="70" t="str">
        <f>IF($B6="","",IF(AND(ISNUMBER($Q6),$Q6&gt;0),$R6/($Q6*$AH6),""))</f>
        <v/>
      </c>
      <c r="AJ6" s="71" t="str">
        <f>IF(ISNUMBER($K6),YEAR($K6)&amp;"-"&amp;TEXT(MONTH($K6),"00"),"")</f>
        <v/>
      </c>
      <c r="AK6" s="71">
        <f>IF($B6="",0,IF(AND(OR(fClient="All",$A6=fClient),OR(fCampaign="All",$B6=fCampaign),OR(fTeam="All",$I6=fTeam),OR(fChannel="All",$H6=fChannel),OR(fCStatus="All",$N6=fCStatus)),1,0))</f>
        <v>1</v>
      </c>
      <c r="AL6" s="71">
        <f>IF($B6="",0,IF(AND(OR(fClient="All",$A6=fClient),OR(fCampaign="All",$B6=fCampaign),OR(fTeam="All",$I6=fTeam),OR(fChannel="All",$H6=fChannel)),1,0))</f>
        <v>1</v>
      </c>
      <c r="AM6" s="71">
        <f>IF(OR($N6="Live",$N6="Optimizing"),1,0)</f>
        <v>0</v>
      </c>
      <c r="AN6" s="71">
        <f>IF(OR($N6="Live",$N6="Optimizing",$N6="Paused",$N6="Completed"),1,0)</f>
        <v>0</v>
      </c>
      <c r="AO6" s="71">
        <f>IF(AND($AM6=1,ISNUMBER($L6),NOT(ISNUMBER($M6))),IF($L6&lt;ReportDate,1,0),0)</f>
        <v>0</v>
      </c>
      <c r="AP6" s="71">
        <f>IF($AM6=1,IF(ISNUMBER($AG6),IF(ReportDate-$AG6&gt;CampStaleDays,1,0),1),0)</f>
        <v>0</v>
      </c>
      <c r="AQ6" s="71">
        <f>IF(AND($AM6=1,OR($AA6="Behind",$AA6="At Risk")),1,0)</f>
        <v>0</v>
      </c>
      <c r="AR6" s="71">
        <f>IF(AND($AM6=1,OR($AA6="Ahead",$AA6="On Track")),1,0)</f>
        <v>0</v>
      </c>
      <c r="AS6" s="71">
        <f>IF(OR($AQ6=1,$AP6=1,$AO6=1),1,0)</f>
        <v>0</v>
      </c>
      <c r="AT6" s="71" t="str">
        <f>IF($AS6=1,TRIM(IF($AQ6=1,"Low performance. ","")&amp;IF($AP6=1,"No recent update. ","")&amp;IF($AO6=1,"Past planned end. ","")),"")</f>
        <v/>
      </c>
      <c r="AU6" s="71" t="str">
        <f>IF(AND($AS6=1,$AL6=1),ROW(),"")</f>
        <v/>
      </c>
      <c r="AV6" s="71" t="str">
        <f>IF(AND($AQ6=1,$AL6=1),ROW(),"")</f>
        <v/>
      </c>
      <c r="AW6" s="71" t="str">
        <f>IF(AND($AP6=1,$AL6=1),ROW(),"")</f>
        <v/>
      </c>
      <c r="AX6" s="71" t="str">
        <f>IF(AND($AR6=1,$AL6=1),ROW(),"")</f>
        <v/>
      </c>
      <c r="AY6" s="71">
        <f>IF(AND($B6&lt;&gt;"",$A6=TCL_Client),1,0)</f>
        <v>0</v>
      </c>
      <c r="AZ6" s="71" t="str">
        <f>IF($AY6=1,ROW(),"")</f>
        <v/>
      </c>
      <c r="BA6" s="71">
        <f>IF(AND($B6&lt;&gt;"",$A6=MECCA_Client),1,0)</f>
        <v>0</v>
      </c>
      <c r="BB6" s="71" t="str">
        <f>IF($BA6=1,ROW(),"")</f>
        <v/>
      </c>
    </row>
    <row r="7">
      <c r="A7" s="64" t="inlineStr">
        <is>
          <t>SAP</t>
        </is>
      </c>
      <c r="B7" s="65" t="inlineStr">
        <is>
          <t>SAP Partner Campaign - Netizen</t>
        </is>
      </c>
      <c r="C7" s="64" t="inlineStr">
        <is>
          <t>CMP-003</t>
        </is>
      </c>
      <c r="D7" s="64" t="inlineStr">
        <is>
          <t>SAP Partner Campaign</t>
        </is>
      </c>
      <c r="E7" s="64" t="n"/>
      <c r="F7" s="65" t="n"/>
      <c r="G7" s="65" t="n"/>
      <c r="H7" s="64" t="inlineStr">
        <is>
          <t>Content Syndication</t>
        </is>
      </c>
      <c r="I7" s="64" t="inlineStr">
        <is>
          <t>Surbhi Pandey</t>
        </is>
      </c>
      <c r="J7" s="65" t="n"/>
      <c r="K7" s="63" t="n"/>
      <c r="L7" s="63" t="n"/>
      <c r="M7" s="63" t="n"/>
      <c r="N7" s="64" t="n"/>
      <c r="O7" s="67" t="n"/>
      <c r="P7" s="72">
        <f>IF($B7="","",SUMIFS('PAID MEDIA ADS'!$G$5:$G$804,'PAID MEDIA ADS'!$C$5:$C$804,$B7))</f>
        <v>0</v>
      </c>
      <c r="Q7" s="67" t="n"/>
      <c r="R7" s="72">
        <f>IF($B7="","",COUNTIFS('LEAD MQL TRACKER'!$C$5:$C$1004,$B7,'LEAD MQL TRACKER'!$AB$5:$AB$1004,1)+SUMIFS('EMAIL MARKETING'!$Q$5:$Q$804,'EMAIL MARKETING'!$C$5:$C$804,$B7)+SUMIFS('PAID MEDIA ADS'!$M$5:$M$804,'PAID MEDIA ADS'!$C$5:$C$804,$B7)+SUMIFS('LINKEDIN OUTREACH'!$N$5:$N$704,'LINKEDIN OUTREACH'!$C$5:$C$704,$B7))</f>
        <v>0</v>
      </c>
      <c r="S7" s="67" t="n"/>
      <c r="T7" s="72">
        <f>IF($B7="","",COUNTIFS('LEAD MQL TRACKER'!$C$5:$C$1004,$B7,'LEAD MQL TRACKER'!$AD$5:$AD$1004,1)+SUMIFS('EMAIL MARKETING'!$R$5:$R$804,'EMAIL MARKETING'!$C$5:$C$804,$B7)+SUMIFS('PAID MEDIA ADS'!$N$5:$N$804,'PAID MEDIA ADS'!$C$5:$C$804,$B7)+SUMIFS('LINKEDIN OUTREACH'!$O$5:$O$704,'LINKEDIN OUTREACH'!$C$5:$C$704,$B7))</f>
        <v>0</v>
      </c>
      <c r="U7" s="67" t="n"/>
      <c r="V7" s="72">
        <f>IF($B7="","",COUNTIFS('LEAD MQL TRACKER'!$C$5:$C$1004,$B7,'LEAD MQL TRACKER'!$AE$5:$AE$1004,1))</f>
        <v>0</v>
      </c>
      <c r="W7" s="72">
        <f>IF($B7="","",COUNTIFS('LEAD MQL TRACKER'!$C$5:$C$1004,$B7,'LEAD MQL TRACKER'!$AC$5:$AC$1004,1)+SUMIFS('LINKEDIN OUTREACH'!$M$5:$M$704,'LINKEDIN OUTREACH'!$C$5:$C$704,$B7))</f>
        <v>0</v>
      </c>
      <c r="X7" s="72">
        <f>IF($B7="","",SUMIFS('EMAIL MARKETING'!$O$5:$O$804,'EMAIL MARKETING'!$C$5:$C$804,$B7)+SUMIFS('LINKEDIN OUTREACH'!$K$5:$K$704,'LINKEDIN OUTREACH'!$C$5:$C$704,$B7))</f>
        <v>0</v>
      </c>
      <c r="Y7" s="73" t="str">
        <f>IF(ISNUMBER($R7),IF($R7&gt;0,$T7/$R7,""),"")</f>
        <v/>
      </c>
      <c r="Z7" s="72" t="str">
        <f>IF(AND(ISNUMBER($P7),ISNUMBER($R7)),IF(AND($P7&gt;0,$R7&gt;0),$P7/$R7,""),"")</f>
        <v/>
      </c>
      <c r="AA7" s="71" t="str">
        <f>IF($B7="","",IF(OR($N7="Live",$N7="Optimizing",$N7="Paused",$N7="Completed"),IF(ISNUMBER($AI7),IF($AI7&gt;=1,"Ahead",IF($AI7&gt;=OnTrackPct,"On Track",IF($AI7&gt;=WatchPct,"Behind","At Risk"))),"No Target Set"),"Not Live"))</f>
        <v>Not Live</v>
      </c>
      <c r="AB7" s="65" t="n"/>
      <c r="AC7" s="65" t="n"/>
      <c r="AD7" s="65" t="inlineStr">
        <is>
          <t>Content Syndication - Email. Status/dates not provided in baseline.</t>
        </is>
      </c>
      <c r="AE7" s="67" t="n"/>
      <c r="AF7" s="67" t="n"/>
      <c r="AG7" s="63" t="n"/>
      <c r="AH7" s="74">
        <f>IF($N7="Completed",1,IF(AND(ISNUMBER($K7),ISNUMBER($L7)),IF($L7&gt;$K7,MIN(1,MAX(0.05,(ReportDate-$K7)/($L7-$K7))),1),1))</f>
        <v>1</v>
      </c>
      <c r="AI7" s="70" t="str">
        <f>IF($B7="","",IF(AND(ISNUMBER($Q7),$Q7&gt;0),$R7/($Q7*$AH7),""))</f>
        <v/>
      </c>
      <c r="AJ7" s="71" t="str">
        <f>IF(ISNUMBER($K7),YEAR($K7)&amp;"-"&amp;TEXT(MONTH($K7),"00"),"")</f>
        <v/>
      </c>
      <c r="AK7" s="71">
        <f>IF($B7="",0,IF(AND(OR(fClient="All",$A7=fClient),OR(fCampaign="All",$B7=fCampaign),OR(fTeam="All",$I7=fTeam),OR(fChannel="All",$H7=fChannel),OR(fCStatus="All",$N7=fCStatus)),1,0))</f>
        <v>1</v>
      </c>
      <c r="AL7" s="71">
        <f>IF($B7="",0,IF(AND(OR(fClient="All",$A7=fClient),OR(fCampaign="All",$B7=fCampaign),OR(fTeam="All",$I7=fTeam),OR(fChannel="All",$H7=fChannel)),1,0))</f>
        <v>1</v>
      </c>
      <c r="AM7" s="71">
        <f>IF(OR($N7="Live",$N7="Optimizing"),1,0)</f>
        <v>0</v>
      </c>
      <c r="AN7" s="71">
        <f>IF(OR($N7="Live",$N7="Optimizing",$N7="Paused",$N7="Completed"),1,0)</f>
        <v>0</v>
      </c>
      <c r="AO7" s="71">
        <f>IF(AND($AM7=1,ISNUMBER($L7),NOT(ISNUMBER($M7))),IF($L7&lt;ReportDate,1,0),0)</f>
        <v>0</v>
      </c>
      <c r="AP7" s="71">
        <f>IF($AM7=1,IF(ISNUMBER($AG7),IF(ReportDate-$AG7&gt;CampStaleDays,1,0),1),0)</f>
        <v>0</v>
      </c>
      <c r="AQ7" s="71">
        <f>IF(AND($AM7=1,OR($AA7="Behind",$AA7="At Risk")),1,0)</f>
        <v>0</v>
      </c>
      <c r="AR7" s="71">
        <f>IF(AND($AM7=1,OR($AA7="Ahead",$AA7="On Track")),1,0)</f>
        <v>0</v>
      </c>
      <c r="AS7" s="71">
        <f>IF(OR($AQ7=1,$AP7=1,$AO7=1),1,0)</f>
        <v>0</v>
      </c>
      <c r="AT7" s="71" t="str">
        <f>IF($AS7=1,TRIM(IF($AQ7=1,"Low performance. ","")&amp;IF($AP7=1,"No recent update. ","")&amp;IF($AO7=1,"Past planned end. ","")),"")</f>
        <v/>
      </c>
      <c r="AU7" s="71" t="str">
        <f>IF(AND($AS7=1,$AL7=1),ROW(),"")</f>
        <v/>
      </c>
      <c r="AV7" s="71" t="str">
        <f>IF(AND($AQ7=1,$AL7=1),ROW(),"")</f>
        <v/>
      </c>
      <c r="AW7" s="71" t="str">
        <f>IF(AND($AP7=1,$AL7=1),ROW(),"")</f>
        <v/>
      </c>
      <c r="AX7" s="71" t="str">
        <f>IF(AND($AR7=1,$AL7=1),ROW(),"")</f>
        <v/>
      </c>
      <c r="AY7" s="71">
        <f>IF(AND($B7&lt;&gt;"",$A7=TCL_Client),1,0)</f>
        <v>0</v>
      </c>
      <c r="AZ7" s="71" t="str">
        <f>IF($AY7=1,ROW(),"")</f>
        <v/>
      </c>
      <c r="BA7" s="71">
        <f>IF(AND($B7&lt;&gt;"",$A7=MECCA_Client),1,0)</f>
        <v>0</v>
      </c>
      <c r="BB7" s="71" t="str">
        <f>IF($BA7=1,ROW(),"")</f>
        <v/>
      </c>
    </row>
    <row r="8">
      <c r="A8" s="64" t="inlineStr">
        <is>
          <t>SAP</t>
        </is>
      </c>
      <c r="B8" s="65" t="inlineStr">
        <is>
          <t>SAP Partner Campaign - Ikyam</t>
        </is>
      </c>
      <c r="C8" s="64" t="inlineStr">
        <is>
          <t>CMP-004</t>
        </is>
      </c>
      <c r="D8" s="64" t="inlineStr">
        <is>
          <t>SAP Partner Campaign</t>
        </is>
      </c>
      <c r="E8" s="64" t="n"/>
      <c r="F8" s="65" t="n"/>
      <c r="G8" s="65" t="n"/>
      <c r="H8" s="64" t="inlineStr">
        <is>
          <t>Content Syndication</t>
        </is>
      </c>
      <c r="I8" s="64" t="inlineStr">
        <is>
          <t>Surbhi Pandey</t>
        </is>
      </c>
      <c r="J8" s="65" t="n"/>
      <c r="K8" s="63" t="n"/>
      <c r="L8" s="63" t="n"/>
      <c r="M8" s="63" t="n"/>
      <c r="N8" s="64" t="n"/>
      <c r="O8" s="67" t="n"/>
      <c r="P8" s="72">
        <f>IF($B8="","",SUMIFS('PAID MEDIA ADS'!$G$5:$G$804,'PAID MEDIA ADS'!$C$5:$C$804,$B8))</f>
        <v>0</v>
      </c>
      <c r="Q8" s="67" t="n"/>
      <c r="R8" s="72">
        <f>IF($B8="","",COUNTIFS('LEAD MQL TRACKER'!$C$5:$C$1004,$B8,'LEAD MQL TRACKER'!$AB$5:$AB$1004,1)+SUMIFS('EMAIL MARKETING'!$Q$5:$Q$804,'EMAIL MARKETING'!$C$5:$C$804,$B8)+SUMIFS('PAID MEDIA ADS'!$M$5:$M$804,'PAID MEDIA ADS'!$C$5:$C$804,$B8)+SUMIFS('LINKEDIN OUTREACH'!$N$5:$N$704,'LINKEDIN OUTREACH'!$C$5:$C$704,$B8))</f>
        <v>0</v>
      </c>
      <c r="S8" s="67" t="n"/>
      <c r="T8" s="72">
        <f>IF($B8="","",COUNTIFS('LEAD MQL TRACKER'!$C$5:$C$1004,$B8,'LEAD MQL TRACKER'!$AD$5:$AD$1004,1)+SUMIFS('EMAIL MARKETING'!$R$5:$R$804,'EMAIL MARKETING'!$C$5:$C$804,$B8)+SUMIFS('PAID MEDIA ADS'!$N$5:$N$804,'PAID MEDIA ADS'!$C$5:$C$804,$B8)+SUMIFS('LINKEDIN OUTREACH'!$O$5:$O$704,'LINKEDIN OUTREACH'!$C$5:$C$704,$B8))</f>
        <v>0</v>
      </c>
      <c r="U8" s="67" t="n"/>
      <c r="V8" s="72">
        <f>IF($B8="","",COUNTIFS('LEAD MQL TRACKER'!$C$5:$C$1004,$B8,'LEAD MQL TRACKER'!$AE$5:$AE$1004,1))</f>
        <v>0</v>
      </c>
      <c r="W8" s="72">
        <f>IF($B8="","",COUNTIFS('LEAD MQL TRACKER'!$C$5:$C$1004,$B8,'LEAD MQL TRACKER'!$AC$5:$AC$1004,1)+SUMIFS('LINKEDIN OUTREACH'!$M$5:$M$704,'LINKEDIN OUTREACH'!$C$5:$C$704,$B8))</f>
        <v>0</v>
      </c>
      <c r="X8" s="72">
        <f>IF($B8="","",SUMIFS('EMAIL MARKETING'!$O$5:$O$804,'EMAIL MARKETING'!$C$5:$C$804,$B8)+SUMIFS('LINKEDIN OUTREACH'!$K$5:$K$704,'LINKEDIN OUTREACH'!$C$5:$C$704,$B8))</f>
        <v>0</v>
      </c>
      <c r="Y8" s="73" t="str">
        <f>IF(ISNUMBER($R8),IF($R8&gt;0,$T8/$R8,""),"")</f>
        <v/>
      </c>
      <c r="Z8" s="72" t="str">
        <f>IF(AND(ISNUMBER($P8),ISNUMBER($R8)),IF(AND($P8&gt;0,$R8&gt;0),$P8/$R8,""),"")</f>
        <v/>
      </c>
      <c r="AA8" s="71" t="str">
        <f>IF($B8="","",IF(OR($N8="Live",$N8="Optimizing",$N8="Paused",$N8="Completed"),IF(ISNUMBER($AI8),IF($AI8&gt;=1,"Ahead",IF($AI8&gt;=OnTrackPct,"On Track",IF($AI8&gt;=WatchPct,"Behind","At Risk"))),"No Target Set"),"Not Live"))</f>
        <v>Not Live</v>
      </c>
      <c r="AB8" s="65" t="n"/>
      <c r="AC8" s="65" t="n"/>
      <c r="AD8" s="65" t="inlineStr">
        <is>
          <t>Content Syndication - Email. Status/dates not provided in baseline.</t>
        </is>
      </c>
      <c r="AE8" s="67" t="n"/>
      <c r="AF8" s="67" t="n"/>
      <c r="AG8" s="63" t="n"/>
      <c r="AH8" s="74">
        <f>IF($N8="Completed",1,IF(AND(ISNUMBER($K8),ISNUMBER($L8)),IF($L8&gt;$K8,MIN(1,MAX(0.05,(ReportDate-$K8)/($L8-$K8))),1),1))</f>
        <v>1</v>
      </c>
      <c r="AI8" s="70" t="str">
        <f>IF($B8="","",IF(AND(ISNUMBER($Q8),$Q8&gt;0),$R8/($Q8*$AH8),""))</f>
        <v/>
      </c>
      <c r="AJ8" s="71" t="str">
        <f>IF(ISNUMBER($K8),YEAR($K8)&amp;"-"&amp;TEXT(MONTH($K8),"00"),"")</f>
        <v/>
      </c>
      <c r="AK8" s="71">
        <f>IF($B8="",0,IF(AND(OR(fClient="All",$A8=fClient),OR(fCampaign="All",$B8=fCampaign),OR(fTeam="All",$I8=fTeam),OR(fChannel="All",$H8=fChannel),OR(fCStatus="All",$N8=fCStatus)),1,0))</f>
        <v>1</v>
      </c>
      <c r="AL8" s="71">
        <f>IF($B8="",0,IF(AND(OR(fClient="All",$A8=fClient),OR(fCampaign="All",$B8=fCampaign),OR(fTeam="All",$I8=fTeam),OR(fChannel="All",$H8=fChannel)),1,0))</f>
        <v>1</v>
      </c>
      <c r="AM8" s="71">
        <f>IF(OR($N8="Live",$N8="Optimizing"),1,0)</f>
        <v>0</v>
      </c>
      <c r="AN8" s="71">
        <f>IF(OR($N8="Live",$N8="Optimizing",$N8="Paused",$N8="Completed"),1,0)</f>
        <v>0</v>
      </c>
      <c r="AO8" s="71">
        <f>IF(AND($AM8=1,ISNUMBER($L8),NOT(ISNUMBER($M8))),IF($L8&lt;ReportDate,1,0),0)</f>
        <v>0</v>
      </c>
      <c r="AP8" s="71">
        <f>IF($AM8=1,IF(ISNUMBER($AG8),IF(ReportDate-$AG8&gt;CampStaleDays,1,0),1),0)</f>
        <v>0</v>
      </c>
      <c r="AQ8" s="71">
        <f>IF(AND($AM8=1,OR($AA8="Behind",$AA8="At Risk")),1,0)</f>
        <v>0</v>
      </c>
      <c r="AR8" s="71">
        <f>IF(AND($AM8=1,OR($AA8="Ahead",$AA8="On Track")),1,0)</f>
        <v>0</v>
      </c>
      <c r="AS8" s="71">
        <f>IF(OR($AQ8=1,$AP8=1,$AO8=1),1,0)</f>
        <v>0</v>
      </c>
      <c r="AT8" s="71" t="str">
        <f>IF($AS8=1,TRIM(IF($AQ8=1,"Low performance. ","")&amp;IF($AP8=1,"No recent update. ","")&amp;IF($AO8=1,"Past planned end. ","")),"")</f>
        <v/>
      </c>
      <c r="AU8" s="71" t="str">
        <f>IF(AND($AS8=1,$AL8=1),ROW(),"")</f>
        <v/>
      </c>
      <c r="AV8" s="71" t="str">
        <f>IF(AND($AQ8=1,$AL8=1),ROW(),"")</f>
        <v/>
      </c>
      <c r="AW8" s="71" t="str">
        <f>IF(AND($AP8=1,$AL8=1),ROW(),"")</f>
        <v/>
      </c>
      <c r="AX8" s="71" t="str">
        <f>IF(AND($AR8=1,$AL8=1),ROW(),"")</f>
        <v/>
      </c>
      <c r="AY8" s="71">
        <f>IF(AND($B8&lt;&gt;"",$A8=TCL_Client),1,0)</f>
        <v>0</v>
      </c>
      <c r="AZ8" s="71" t="str">
        <f>IF($AY8=1,ROW(),"")</f>
        <v/>
      </c>
      <c r="BA8" s="71">
        <f>IF(AND($B8&lt;&gt;"",$A8=MECCA_Client),1,0)</f>
        <v>0</v>
      </c>
      <c r="BB8" s="71" t="str">
        <f>IF($BA8=1,ROW(),"")</f>
        <v/>
      </c>
    </row>
    <row r="9">
      <c r="A9" s="64" t="inlineStr">
        <is>
          <t>SAP</t>
        </is>
      </c>
      <c r="B9" s="65" t="inlineStr">
        <is>
          <t>SAP Partner Campaign - Castaliaz</t>
        </is>
      </c>
      <c r="C9" s="64" t="inlineStr">
        <is>
          <t>CMP-005</t>
        </is>
      </c>
      <c r="D9" s="64" t="inlineStr">
        <is>
          <t>SAP Partner Campaign</t>
        </is>
      </c>
      <c r="E9" s="64" t="n"/>
      <c r="F9" s="65" t="n"/>
      <c r="G9" s="65" t="n"/>
      <c r="H9" s="64" t="inlineStr">
        <is>
          <t>Content Syndication</t>
        </is>
      </c>
      <c r="I9" s="64" t="inlineStr">
        <is>
          <t>Surbhi Pandey</t>
        </is>
      </c>
      <c r="J9" s="65" t="n"/>
      <c r="K9" s="63" t="n"/>
      <c r="L9" s="63" t="n"/>
      <c r="M9" s="63" t="n"/>
      <c r="N9" s="64" t="n"/>
      <c r="O9" s="67" t="n"/>
      <c r="P9" s="72">
        <f>IF($B9="","",SUMIFS('PAID MEDIA ADS'!$G$5:$G$804,'PAID MEDIA ADS'!$C$5:$C$804,$B9))</f>
        <v>0</v>
      </c>
      <c r="Q9" s="67" t="n"/>
      <c r="R9" s="72">
        <f>IF($B9="","",COUNTIFS('LEAD MQL TRACKER'!$C$5:$C$1004,$B9,'LEAD MQL TRACKER'!$AB$5:$AB$1004,1)+SUMIFS('EMAIL MARKETING'!$Q$5:$Q$804,'EMAIL MARKETING'!$C$5:$C$804,$B9)+SUMIFS('PAID MEDIA ADS'!$M$5:$M$804,'PAID MEDIA ADS'!$C$5:$C$804,$B9)+SUMIFS('LINKEDIN OUTREACH'!$N$5:$N$704,'LINKEDIN OUTREACH'!$C$5:$C$704,$B9))</f>
        <v>0</v>
      </c>
      <c r="S9" s="67" t="n"/>
      <c r="T9" s="72">
        <f>IF($B9="","",COUNTIFS('LEAD MQL TRACKER'!$C$5:$C$1004,$B9,'LEAD MQL TRACKER'!$AD$5:$AD$1004,1)+SUMIFS('EMAIL MARKETING'!$R$5:$R$804,'EMAIL MARKETING'!$C$5:$C$804,$B9)+SUMIFS('PAID MEDIA ADS'!$N$5:$N$804,'PAID MEDIA ADS'!$C$5:$C$804,$B9)+SUMIFS('LINKEDIN OUTREACH'!$O$5:$O$704,'LINKEDIN OUTREACH'!$C$5:$C$704,$B9))</f>
        <v>0</v>
      </c>
      <c r="U9" s="67" t="n"/>
      <c r="V9" s="72">
        <f>IF($B9="","",COUNTIFS('LEAD MQL TRACKER'!$C$5:$C$1004,$B9,'LEAD MQL TRACKER'!$AE$5:$AE$1004,1))</f>
        <v>0</v>
      </c>
      <c r="W9" s="72">
        <f>IF($B9="","",COUNTIFS('LEAD MQL TRACKER'!$C$5:$C$1004,$B9,'LEAD MQL TRACKER'!$AC$5:$AC$1004,1)+SUMIFS('LINKEDIN OUTREACH'!$M$5:$M$704,'LINKEDIN OUTREACH'!$C$5:$C$704,$B9))</f>
        <v>0</v>
      </c>
      <c r="X9" s="72">
        <f>IF($B9="","",SUMIFS('EMAIL MARKETING'!$O$5:$O$804,'EMAIL MARKETING'!$C$5:$C$804,$B9)+SUMIFS('LINKEDIN OUTREACH'!$K$5:$K$704,'LINKEDIN OUTREACH'!$C$5:$C$704,$B9))</f>
        <v>0</v>
      </c>
      <c r="Y9" s="73" t="str">
        <f>IF(ISNUMBER($R9),IF($R9&gt;0,$T9/$R9,""),"")</f>
        <v/>
      </c>
      <c r="Z9" s="72" t="str">
        <f>IF(AND(ISNUMBER($P9),ISNUMBER($R9)),IF(AND($P9&gt;0,$R9&gt;0),$P9/$R9,""),"")</f>
        <v/>
      </c>
      <c r="AA9" s="71" t="str">
        <f>IF($B9="","",IF(OR($N9="Live",$N9="Optimizing",$N9="Paused",$N9="Completed"),IF(ISNUMBER($AI9),IF($AI9&gt;=1,"Ahead",IF($AI9&gt;=OnTrackPct,"On Track",IF($AI9&gt;=WatchPct,"Behind","At Risk"))),"No Target Set"),"Not Live"))</f>
        <v>Not Live</v>
      </c>
      <c r="AB9" s="65" t="n"/>
      <c r="AC9" s="65" t="n"/>
      <c r="AD9" s="65" t="inlineStr">
        <is>
          <t>Content Syndication - Email. Status/dates not provided in baseline.</t>
        </is>
      </c>
      <c r="AE9" s="67" t="n"/>
      <c r="AF9" s="67" t="n"/>
      <c r="AG9" s="63" t="n"/>
      <c r="AH9" s="74">
        <f>IF($N9="Completed",1,IF(AND(ISNUMBER($K9),ISNUMBER($L9)),IF($L9&gt;$K9,MIN(1,MAX(0.05,(ReportDate-$K9)/($L9-$K9))),1),1))</f>
        <v>1</v>
      </c>
      <c r="AI9" s="70" t="str">
        <f>IF($B9="","",IF(AND(ISNUMBER($Q9),$Q9&gt;0),$R9/($Q9*$AH9),""))</f>
        <v/>
      </c>
      <c r="AJ9" s="71" t="str">
        <f>IF(ISNUMBER($K9),YEAR($K9)&amp;"-"&amp;TEXT(MONTH($K9),"00"),"")</f>
        <v/>
      </c>
      <c r="AK9" s="71">
        <f>IF($B9="",0,IF(AND(OR(fClient="All",$A9=fClient),OR(fCampaign="All",$B9=fCampaign),OR(fTeam="All",$I9=fTeam),OR(fChannel="All",$H9=fChannel),OR(fCStatus="All",$N9=fCStatus)),1,0))</f>
        <v>1</v>
      </c>
      <c r="AL9" s="71">
        <f>IF($B9="",0,IF(AND(OR(fClient="All",$A9=fClient),OR(fCampaign="All",$B9=fCampaign),OR(fTeam="All",$I9=fTeam),OR(fChannel="All",$H9=fChannel)),1,0))</f>
        <v>1</v>
      </c>
      <c r="AM9" s="71">
        <f>IF(OR($N9="Live",$N9="Optimizing"),1,0)</f>
        <v>0</v>
      </c>
      <c r="AN9" s="71">
        <f>IF(OR($N9="Live",$N9="Optimizing",$N9="Paused",$N9="Completed"),1,0)</f>
        <v>0</v>
      </c>
      <c r="AO9" s="71">
        <f>IF(AND($AM9=1,ISNUMBER($L9),NOT(ISNUMBER($M9))),IF($L9&lt;ReportDate,1,0),0)</f>
        <v>0</v>
      </c>
      <c r="AP9" s="71">
        <f>IF($AM9=1,IF(ISNUMBER($AG9),IF(ReportDate-$AG9&gt;CampStaleDays,1,0),1),0)</f>
        <v>0</v>
      </c>
      <c r="AQ9" s="71">
        <f>IF(AND($AM9=1,OR($AA9="Behind",$AA9="At Risk")),1,0)</f>
        <v>0</v>
      </c>
      <c r="AR9" s="71">
        <f>IF(AND($AM9=1,OR($AA9="Ahead",$AA9="On Track")),1,0)</f>
        <v>0</v>
      </c>
      <c r="AS9" s="71">
        <f>IF(OR($AQ9=1,$AP9=1,$AO9=1),1,0)</f>
        <v>0</v>
      </c>
      <c r="AT9" s="71" t="str">
        <f>IF($AS9=1,TRIM(IF($AQ9=1,"Low performance. ","")&amp;IF($AP9=1,"No recent update. ","")&amp;IF($AO9=1,"Past planned end. ","")),"")</f>
        <v/>
      </c>
      <c r="AU9" s="71" t="str">
        <f>IF(AND($AS9=1,$AL9=1),ROW(),"")</f>
        <v/>
      </c>
      <c r="AV9" s="71" t="str">
        <f>IF(AND($AQ9=1,$AL9=1),ROW(),"")</f>
        <v/>
      </c>
      <c r="AW9" s="71" t="str">
        <f>IF(AND($AP9=1,$AL9=1),ROW(),"")</f>
        <v/>
      </c>
      <c r="AX9" s="71" t="str">
        <f>IF(AND($AR9=1,$AL9=1),ROW(),"")</f>
        <v/>
      </c>
      <c r="AY9" s="71">
        <f>IF(AND($B9&lt;&gt;"",$A9=TCL_Client),1,0)</f>
        <v>0</v>
      </c>
      <c r="AZ9" s="71" t="str">
        <f>IF($AY9=1,ROW(),"")</f>
        <v/>
      </c>
      <c r="BA9" s="71">
        <f>IF(AND($B9&lt;&gt;"",$A9=MECCA_Client),1,0)</f>
        <v>0</v>
      </c>
      <c r="BB9" s="71" t="str">
        <f>IF($BA9=1,ROW(),"")</f>
        <v/>
      </c>
    </row>
    <row r="10">
      <c r="A10" s="64" t="inlineStr">
        <is>
          <t>SAP</t>
        </is>
      </c>
      <c r="B10" s="65" t="inlineStr">
        <is>
          <t>SAP Partner Campaign - Truspeq</t>
        </is>
      </c>
      <c r="C10" s="64" t="inlineStr">
        <is>
          <t>CMP-006</t>
        </is>
      </c>
      <c r="D10" s="64" t="inlineStr">
        <is>
          <t>SAP Partner Campaign</t>
        </is>
      </c>
      <c r="E10" s="64" t="n"/>
      <c r="F10" s="65" t="n"/>
      <c r="G10" s="65" t="n"/>
      <c r="H10" s="64" t="inlineStr">
        <is>
          <t>Content Syndication</t>
        </is>
      </c>
      <c r="I10" s="64" t="inlineStr">
        <is>
          <t>Surbhi Pandey</t>
        </is>
      </c>
      <c r="J10" s="65" t="n"/>
      <c r="K10" s="63" t="n"/>
      <c r="L10" s="63" t="n"/>
      <c r="M10" s="63" t="n"/>
      <c r="N10" s="64" t="n"/>
      <c r="O10" s="67" t="n"/>
      <c r="P10" s="72">
        <f>IF($B10="","",SUMIFS('PAID MEDIA ADS'!$G$5:$G$804,'PAID MEDIA ADS'!$C$5:$C$804,$B10))</f>
        <v>0</v>
      </c>
      <c r="Q10" s="67" t="n"/>
      <c r="R10" s="72">
        <f>IF($B10="","",COUNTIFS('LEAD MQL TRACKER'!$C$5:$C$1004,$B10,'LEAD MQL TRACKER'!$AB$5:$AB$1004,1)+SUMIFS('EMAIL MARKETING'!$Q$5:$Q$804,'EMAIL MARKETING'!$C$5:$C$804,$B10)+SUMIFS('PAID MEDIA ADS'!$M$5:$M$804,'PAID MEDIA ADS'!$C$5:$C$804,$B10)+SUMIFS('LINKEDIN OUTREACH'!$N$5:$N$704,'LINKEDIN OUTREACH'!$C$5:$C$704,$B10))</f>
        <v>0</v>
      </c>
      <c r="S10" s="67" t="n"/>
      <c r="T10" s="72">
        <f>IF($B10="","",COUNTIFS('LEAD MQL TRACKER'!$C$5:$C$1004,$B10,'LEAD MQL TRACKER'!$AD$5:$AD$1004,1)+SUMIFS('EMAIL MARKETING'!$R$5:$R$804,'EMAIL MARKETING'!$C$5:$C$804,$B10)+SUMIFS('PAID MEDIA ADS'!$N$5:$N$804,'PAID MEDIA ADS'!$C$5:$C$804,$B10)+SUMIFS('LINKEDIN OUTREACH'!$O$5:$O$704,'LINKEDIN OUTREACH'!$C$5:$C$704,$B10))</f>
        <v>0</v>
      </c>
      <c r="U10" s="67" t="n"/>
      <c r="V10" s="72">
        <f>IF($B10="","",COUNTIFS('LEAD MQL TRACKER'!$C$5:$C$1004,$B10,'LEAD MQL TRACKER'!$AE$5:$AE$1004,1))</f>
        <v>0</v>
      </c>
      <c r="W10" s="72">
        <f>IF($B10="","",COUNTIFS('LEAD MQL TRACKER'!$C$5:$C$1004,$B10,'LEAD MQL TRACKER'!$AC$5:$AC$1004,1)+SUMIFS('LINKEDIN OUTREACH'!$M$5:$M$704,'LINKEDIN OUTREACH'!$C$5:$C$704,$B10))</f>
        <v>0</v>
      </c>
      <c r="X10" s="72">
        <f>IF($B10="","",SUMIFS('EMAIL MARKETING'!$O$5:$O$804,'EMAIL MARKETING'!$C$5:$C$804,$B10)+SUMIFS('LINKEDIN OUTREACH'!$K$5:$K$704,'LINKEDIN OUTREACH'!$C$5:$C$704,$B10))</f>
        <v>0</v>
      </c>
      <c r="Y10" s="73" t="str">
        <f>IF(ISNUMBER($R10),IF($R10&gt;0,$T10/$R10,""),"")</f>
        <v/>
      </c>
      <c r="Z10" s="72" t="str">
        <f>IF(AND(ISNUMBER($P10),ISNUMBER($R10)),IF(AND($P10&gt;0,$R10&gt;0),$P10/$R10,""),"")</f>
        <v/>
      </c>
      <c r="AA10" s="71" t="str">
        <f>IF($B10="","",IF(OR($N10="Live",$N10="Optimizing",$N10="Paused",$N10="Completed"),IF(ISNUMBER($AI10),IF($AI10&gt;=1,"Ahead",IF($AI10&gt;=OnTrackPct,"On Track",IF($AI10&gt;=WatchPct,"Behind","At Risk"))),"No Target Set"),"Not Live"))</f>
        <v>Not Live</v>
      </c>
      <c r="AB10" s="65" t="n"/>
      <c r="AC10" s="65" t="n"/>
      <c r="AD10" s="65" t="inlineStr">
        <is>
          <t>Content Syndication - Email. Status/dates not provided in baseline.</t>
        </is>
      </c>
      <c r="AE10" s="67" t="n"/>
      <c r="AF10" s="67" t="n"/>
      <c r="AG10" s="63" t="n"/>
      <c r="AH10" s="74">
        <f>IF($N10="Completed",1,IF(AND(ISNUMBER($K10),ISNUMBER($L10)),IF($L10&gt;$K10,MIN(1,MAX(0.05,(ReportDate-$K10)/($L10-$K10))),1),1))</f>
        <v>1</v>
      </c>
      <c r="AI10" s="70" t="str">
        <f>IF($B10="","",IF(AND(ISNUMBER($Q10),$Q10&gt;0),$R10/($Q10*$AH10),""))</f>
        <v/>
      </c>
      <c r="AJ10" s="71" t="str">
        <f>IF(ISNUMBER($K10),YEAR($K10)&amp;"-"&amp;TEXT(MONTH($K10),"00"),"")</f>
        <v/>
      </c>
      <c r="AK10" s="71">
        <f>IF($B10="",0,IF(AND(OR(fClient="All",$A10=fClient),OR(fCampaign="All",$B10=fCampaign),OR(fTeam="All",$I10=fTeam),OR(fChannel="All",$H10=fChannel),OR(fCStatus="All",$N10=fCStatus)),1,0))</f>
        <v>1</v>
      </c>
      <c r="AL10" s="71">
        <f>IF($B10="",0,IF(AND(OR(fClient="All",$A10=fClient),OR(fCampaign="All",$B10=fCampaign),OR(fTeam="All",$I10=fTeam),OR(fChannel="All",$H10=fChannel)),1,0))</f>
        <v>1</v>
      </c>
      <c r="AM10" s="71">
        <f>IF(OR($N10="Live",$N10="Optimizing"),1,0)</f>
        <v>0</v>
      </c>
      <c r="AN10" s="71">
        <f>IF(OR($N10="Live",$N10="Optimizing",$N10="Paused",$N10="Completed"),1,0)</f>
        <v>0</v>
      </c>
      <c r="AO10" s="71">
        <f>IF(AND($AM10=1,ISNUMBER($L10),NOT(ISNUMBER($M10))),IF($L10&lt;ReportDate,1,0),0)</f>
        <v>0</v>
      </c>
      <c r="AP10" s="71">
        <f>IF($AM10=1,IF(ISNUMBER($AG10),IF(ReportDate-$AG10&gt;CampStaleDays,1,0),1),0)</f>
        <v>0</v>
      </c>
      <c r="AQ10" s="71">
        <f>IF(AND($AM10=1,OR($AA10="Behind",$AA10="At Risk")),1,0)</f>
        <v>0</v>
      </c>
      <c r="AR10" s="71">
        <f>IF(AND($AM10=1,OR($AA10="Ahead",$AA10="On Track")),1,0)</f>
        <v>0</v>
      </c>
      <c r="AS10" s="71">
        <f>IF(OR($AQ10=1,$AP10=1,$AO10=1),1,0)</f>
        <v>0</v>
      </c>
      <c r="AT10" s="71" t="str">
        <f>IF($AS10=1,TRIM(IF($AQ10=1,"Low performance. ","")&amp;IF($AP10=1,"No recent update. ","")&amp;IF($AO10=1,"Past planned end. ","")),"")</f>
        <v/>
      </c>
      <c r="AU10" s="71" t="str">
        <f>IF(AND($AS10=1,$AL10=1),ROW(),"")</f>
        <v/>
      </c>
      <c r="AV10" s="71" t="str">
        <f>IF(AND($AQ10=1,$AL10=1),ROW(),"")</f>
        <v/>
      </c>
      <c r="AW10" s="71" t="str">
        <f>IF(AND($AP10=1,$AL10=1),ROW(),"")</f>
        <v/>
      </c>
      <c r="AX10" s="71" t="str">
        <f>IF(AND($AR10=1,$AL10=1),ROW(),"")</f>
        <v/>
      </c>
      <c r="AY10" s="71">
        <f>IF(AND($B10&lt;&gt;"",$A10=TCL_Client),1,0)</f>
        <v>0</v>
      </c>
      <c r="AZ10" s="71" t="str">
        <f>IF($AY10=1,ROW(),"")</f>
        <v/>
      </c>
      <c r="BA10" s="71">
        <f>IF(AND($B10&lt;&gt;"",$A10=MECCA_Client),1,0)</f>
        <v>0</v>
      </c>
      <c r="BB10" s="71" t="str">
        <f>IF($BA10=1,ROW(),"")</f>
        <v/>
      </c>
    </row>
    <row r="11">
      <c r="A11" s="64" t="inlineStr">
        <is>
          <t>SAP</t>
        </is>
      </c>
      <c r="B11" s="65" t="inlineStr">
        <is>
          <t>SAP Partner Campaign - NTT Data</t>
        </is>
      </c>
      <c r="C11" s="64" t="inlineStr">
        <is>
          <t>CMP-007</t>
        </is>
      </c>
      <c r="D11" s="64" t="inlineStr">
        <is>
          <t>SAP Partner Campaign</t>
        </is>
      </c>
      <c r="E11" s="64" t="n"/>
      <c r="F11" s="65" t="n"/>
      <c r="G11" s="65" t="n"/>
      <c r="H11" s="64" t="inlineStr">
        <is>
          <t>Content Syndication</t>
        </is>
      </c>
      <c r="I11" s="64" t="inlineStr">
        <is>
          <t>Surbhi Pandey</t>
        </is>
      </c>
      <c r="J11" s="65" t="n"/>
      <c r="K11" s="63" t="n"/>
      <c r="L11" s="63" t="n"/>
      <c r="M11" s="63" t="n"/>
      <c r="N11" s="64" t="n"/>
      <c r="O11" s="67" t="n"/>
      <c r="P11" s="72">
        <f>IF($B11="","",SUMIFS('PAID MEDIA ADS'!$G$5:$G$804,'PAID MEDIA ADS'!$C$5:$C$804,$B11))</f>
        <v>0</v>
      </c>
      <c r="Q11" s="67" t="n"/>
      <c r="R11" s="72">
        <f>IF($B11="","",COUNTIFS('LEAD MQL TRACKER'!$C$5:$C$1004,$B11,'LEAD MQL TRACKER'!$AB$5:$AB$1004,1)+SUMIFS('EMAIL MARKETING'!$Q$5:$Q$804,'EMAIL MARKETING'!$C$5:$C$804,$B11)+SUMIFS('PAID MEDIA ADS'!$M$5:$M$804,'PAID MEDIA ADS'!$C$5:$C$804,$B11)+SUMIFS('LINKEDIN OUTREACH'!$N$5:$N$704,'LINKEDIN OUTREACH'!$C$5:$C$704,$B11))</f>
        <v>0</v>
      </c>
      <c r="S11" s="67" t="n"/>
      <c r="T11" s="72">
        <f>IF($B11="","",COUNTIFS('LEAD MQL TRACKER'!$C$5:$C$1004,$B11,'LEAD MQL TRACKER'!$AD$5:$AD$1004,1)+SUMIFS('EMAIL MARKETING'!$R$5:$R$804,'EMAIL MARKETING'!$C$5:$C$804,$B11)+SUMIFS('PAID MEDIA ADS'!$N$5:$N$804,'PAID MEDIA ADS'!$C$5:$C$804,$B11)+SUMIFS('LINKEDIN OUTREACH'!$O$5:$O$704,'LINKEDIN OUTREACH'!$C$5:$C$704,$B11))</f>
        <v>0</v>
      </c>
      <c r="U11" s="67" t="n"/>
      <c r="V11" s="72">
        <f>IF($B11="","",COUNTIFS('LEAD MQL TRACKER'!$C$5:$C$1004,$B11,'LEAD MQL TRACKER'!$AE$5:$AE$1004,1))</f>
        <v>0</v>
      </c>
      <c r="W11" s="72">
        <f>IF($B11="","",COUNTIFS('LEAD MQL TRACKER'!$C$5:$C$1004,$B11,'LEAD MQL TRACKER'!$AC$5:$AC$1004,1)+SUMIFS('LINKEDIN OUTREACH'!$M$5:$M$704,'LINKEDIN OUTREACH'!$C$5:$C$704,$B11))</f>
        <v>0</v>
      </c>
      <c r="X11" s="72">
        <f>IF($B11="","",SUMIFS('EMAIL MARKETING'!$O$5:$O$804,'EMAIL MARKETING'!$C$5:$C$804,$B11)+SUMIFS('LINKEDIN OUTREACH'!$K$5:$K$704,'LINKEDIN OUTREACH'!$C$5:$C$704,$B11))</f>
        <v>0</v>
      </c>
      <c r="Y11" s="73" t="str">
        <f>IF(ISNUMBER($R11),IF($R11&gt;0,$T11/$R11,""),"")</f>
        <v/>
      </c>
      <c r="Z11" s="72" t="str">
        <f>IF(AND(ISNUMBER($P11),ISNUMBER($R11)),IF(AND($P11&gt;0,$R11&gt;0),$P11/$R11,""),"")</f>
        <v/>
      </c>
      <c r="AA11" s="71" t="str">
        <f>IF($B11="","",IF(OR($N11="Live",$N11="Optimizing",$N11="Paused",$N11="Completed"),IF(ISNUMBER($AI11),IF($AI11&gt;=1,"Ahead",IF($AI11&gt;=OnTrackPct,"On Track",IF($AI11&gt;=WatchPct,"Behind","At Risk"))),"No Target Set"),"Not Live"))</f>
        <v>Not Live</v>
      </c>
      <c r="AB11" s="65" t="n"/>
      <c r="AC11" s="65" t="n"/>
      <c r="AD11" s="65" t="inlineStr">
        <is>
          <t>Content Syndication - Email. Status/dates not provided in baseline.</t>
        </is>
      </c>
      <c r="AE11" s="67" t="n"/>
      <c r="AF11" s="67" t="n"/>
      <c r="AG11" s="63" t="n"/>
      <c r="AH11" s="74">
        <f>IF($N11="Completed",1,IF(AND(ISNUMBER($K11),ISNUMBER($L11)),IF($L11&gt;$K11,MIN(1,MAX(0.05,(ReportDate-$K11)/($L11-$K11))),1),1))</f>
        <v>1</v>
      </c>
      <c r="AI11" s="70" t="str">
        <f>IF($B11="","",IF(AND(ISNUMBER($Q11),$Q11&gt;0),$R11/($Q11*$AH11),""))</f>
        <v/>
      </c>
      <c r="AJ11" s="71" t="str">
        <f>IF(ISNUMBER($K11),YEAR($K11)&amp;"-"&amp;TEXT(MONTH($K11),"00"),"")</f>
        <v/>
      </c>
      <c r="AK11" s="71">
        <f>IF($B11="",0,IF(AND(OR(fClient="All",$A11=fClient),OR(fCampaign="All",$B11=fCampaign),OR(fTeam="All",$I11=fTeam),OR(fChannel="All",$H11=fChannel),OR(fCStatus="All",$N11=fCStatus)),1,0))</f>
        <v>1</v>
      </c>
      <c r="AL11" s="71">
        <f>IF($B11="",0,IF(AND(OR(fClient="All",$A11=fClient),OR(fCampaign="All",$B11=fCampaign),OR(fTeam="All",$I11=fTeam),OR(fChannel="All",$H11=fChannel)),1,0))</f>
        <v>1</v>
      </c>
      <c r="AM11" s="71">
        <f>IF(OR($N11="Live",$N11="Optimizing"),1,0)</f>
        <v>0</v>
      </c>
      <c r="AN11" s="71">
        <f>IF(OR($N11="Live",$N11="Optimizing",$N11="Paused",$N11="Completed"),1,0)</f>
        <v>0</v>
      </c>
      <c r="AO11" s="71">
        <f>IF(AND($AM11=1,ISNUMBER($L11),NOT(ISNUMBER($M11))),IF($L11&lt;ReportDate,1,0),0)</f>
        <v>0</v>
      </c>
      <c r="AP11" s="71">
        <f>IF($AM11=1,IF(ISNUMBER($AG11),IF(ReportDate-$AG11&gt;CampStaleDays,1,0),1),0)</f>
        <v>0</v>
      </c>
      <c r="AQ11" s="71">
        <f>IF(AND($AM11=1,OR($AA11="Behind",$AA11="At Risk")),1,0)</f>
        <v>0</v>
      </c>
      <c r="AR11" s="71">
        <f>IF(AND($AM11=1,OR($AA11="Ahead",$AA11="On Track")),1,0)</f>
        <v>0</v>
      </c>
      <c r="AS11" s="71">
        <f>IF(OR($AQ11=1,$AP11=1,$AO11=1),1,0)</f>
        <v>0</v>
      </c>
      <c r="AT11" s="71" t="str">
        <f>IF($AS11=1,TRIM(IF($AQ11=1,"Low performance. ","")&amp;IF($AP11=1,"No recent update. ","")&amp;IF($AO11=1,"Past planned end. ","")),"")</f>
        <v/>
      </c>
      <c r="AU11" s="71" t="str">
        <f>IF(AND($AS11=1,$AL11=1),ROW(),"")</f>
        <v/>
      </c>
      <c r="AV11" s="71" t="str">
        <f>IF(AND($AQ11=1,$AL11=1),ROW(),"")</f>
        <v/>
      </c>
      <c r="AW11" s="71" t="str">
        <f>IF(AND($AP11=1,$AL11=1),ROW(),"")</f>
        <v/>
      </c>
      <c r="AX11" s="71" t="str">
        <f>IF(AND($AR11=1,$AL11=1),ROW(),"")</f>
        <v/>
      </c>
      <c r="AY11" s="71">
        <f>IF(AND($B11&lt;&gt;"",$A11=TCL_Client),1,0)</f>
        <v>0</v>
      </c>
      <c r="AZ11" s="71" t="str">
        <f>IF($AY11=1,ROW(),"")</f>
        <v/>
      </c>
      <c r="BA11" s="71">
        <f>IF(AND($B11&lt;&gt;"",$A11=MECCA_Client),1,0)</f>
        <v>0</v>
      </c>
      <c r="BB11" s="71" t="str">
        <f>IF($BA11=1,ROW(),"")</f>
        <v/>
      </c>
    </row>
    <row r="12">
      <c r="A12" s="64" t="inlineStr">
        <is>
          <t>SAP</t>
        </is>
      </c>
      <c r="B12" s="65" t="inlineStr">
        <is>
          <t>SAP Partner Campaign - Abeam TH</t>
        </is>
      </c>
      <c r="C12" s="64" t="inlineStr">
        <is>
          <t>CMP-008</t>
        </is>
      </c>
      <c r="D12" s="64" t="inlineStr">
        <is>
          <t>SAP Partner Campaign</t>
        </is>
      </c>
      <c r="E12" s="64" t="n"/>
      <c r="F12" s="65" t="n"/>
      <c r="G12" s="65" t="n"/>
      <c r="H12" s="64" t="inlineStr">
        <is>
          <t>Content Syndication</t>
        </is>
      </c>
      <c r="I12" s="64" t="inlineStr">
        <is>
          <t>Surbhi Pandey</t>
        </is>
      </c>
      <c r="J12" s="65" t="n"/>
      <c r="K12" s="63" t="n"/>
      <c r="L12" s="63" t="n"/>
      <c r="M12" s="63" t="n"/>
      <c r="N12" s="64" t="n"/>
      <c r="O12" s="67" t="n"/>
      <c r="P12" s="72">
        <f>IF($B12="","",SUMIFS('PAID MEDIA ADS'!$G$5:$G$804,'PAID MEDIA ADS'!$C$5:$C$804,$B12))</f>
        <v>0</v>
      </c>
      <c r="Q12" s="67" t="n"/>
      <c r="R12" s="72">
        <f>IF($B12="","",COUNTIFS('LEAD MQL TRACKER'!$C$5:$C$1004,$B12,'LEAD MQL TRACKER'!$AB$5:$AB$1004,1)+SUMIFS('EMAIL MARKETING'!$Q$5:$Q$804,'EMAIL MARKETING'!$C$5:$C$804,$B12)+SUMIFS('PAID MEDIA ADS'!$M$5:$M$804,'PAID MEDIA ADS'!$C$5:$C$804,$B12)+SUMIFS('LINKEDIN OUTREACH'!$N$5:$N$704,'LINKEDIN OUTREACH'!$C$5:$C$704,$B12))</f>
        <v>0</v>
      </c>
      <c r="S12" s="67" t="n"/>
      <c r="T12" s="72">
        <f>IF($B12="","",COUNTIFS('LEAD MQL TRACKER'!$C$5:$C$1004,$B12,'LEAD MQL TRACKER'!$AD$5:$AD$1004,1)+SUMIFS('EMAIL MARKETING'!$R$5:$R$804,'EMAIL MARKETING'!$C$5:$C$804,$B12)+SUMIFS('PAID MEDIA ADS'!$N$5:$N$804,'PAID MEDIA ADS'!$C$5:$C$804,$B12)+SUMIFS('LINKEDIN OUTREACH'!$O$5:$O$704,'LINKEDIN OUTREACH'!$C$5:$C$704,$B12))</f>
        <v>0</v>
      </c>
      <c r="U12" s="67" t="n"/>
      <c r="V12" s="72">
        <f>IF($B12="","",COUNTIFS('LEAD MQL TRACKER'!$C$5:$C$1004,$B12,'LEAD MQL TRACKER'!$AE$5:$AE$1004,1))</f>
        <v>0</v>
      </c>
      <c r="W12" s="72">
        <f>IF($B12="","",COUNTIFS('LEAD MQL TRACKER'!$C$5:$C$1004,$B12,'LEAD MQL TRACKER'!$AC$5:$AC$1004,1)+SUMIFS('LINKEDIN OUTREACH'!$M$5:$M$704,'LINKEDIN OUTREACH'!$C$5:$C$704,$B12))</f>
        <v>0</v>
      </c>
      <c r="X12" s="72">
        <f>IF($B12="","",SUMIFS('EMAIL MARKETING'!$O$5:$O$804,'EMAIL MARKETING'!$C$5:$C$804,$B12)+SUMIFS('LINKEDIN OUTREACH'!$K$5:$K$704,'LINKEDIN OUTREACH'!$C$5:$C$704,$B12))</f>
        <v>0</v>
      </c>
      <c r="Y12" s="73" t="str">
        <f>IF(ISNUMBER($R12),IF($R12&gt;0,$T12/$R12,""),"")</f>
        <v/>
      </c>
      <c r="Z12" s="72" t="str">
        <f>IF(AND(ISNUMBER($P12),ISNUMBER($R12)),IF(AND($P12&gt;0,$R12&gt;0),$P12/$R12,""),"")</f>
        <v/>
      </c>
      <c r="AA12" s="71" t="str">
        <f>IF($B12="","",IF(OR($N12="Live",$N12="Optimizing",$N12="Paused",$N12="Completed"),IF(ISNUMBER($AI12),IF($AI12&gt;=1,"Ahead",IF($AI12&gt;=OnTrackPct,"On Track",IF($AI12&gt;=WatchPct,"Behind","At Risk"))),"No Target Set"),"Not Live"))</f>
        <v>Not Live</v>
      </c>
      <c r="AB12" s="65" t="n"/>
      <c r="AC12" s="65" t="n"/>
      <c r="AD12" s="65" t="inlineStr">
        <is>
          <t>Content Syndication - Email. Status/dates not provided in baseline.</t>
        </is>
      </c>
      <c r="AE12" s="67" t="n"/>
      <c r="AF12" s="67" t="n"/>
      <c r="AG12" s="63" t="n"/>
      <c r="AH12" s="74">
        <f>IF($N12="Completed",1,IF(AND(ISNUMBER($K12),ISNUMBER($L12)),IF($L12&gt;$K12,MIN(1,MAX(0.05,(ReportDate-$K12)/($L12-$K12))),1),1))</f>
        <v>1</v>
      </c>
      <c r="AI12" s="70" t="str">
        <f>IF($B12="","",IF(AND(ISNUMBER($Q12),$Q12&gt;0),$R12/($Q12*$AH12),""))</f>
        <v/>
      </c>
      <c r="AJ12" s="71" t="str">
        <f>IF(ISNUMBER($K12),YEAR($K12)&amp;"-"&amp;TEXT(MONTH($K12),"00"),"")</f>
        <v/>
      </c>
      <c r="AK12" s="71">
        <f>IF($B12="",0,IF(AND(OR(fClient="All",$A12=fClient),OR(fCampaign="All",$B12=fCampaign),OR(fTeam="All",$I12=fTeam),OR(fChannel="All",$H12=fChannel),OR(fCStatus="All",$N12=fCStatus)),1,0))</f>
        <v>1</v>
      </c>
      <c r="AL12" s="71">
        <f>IF($B12="",0,IF(AND(OR(fClient="All",$A12=fClient),OR(fCampaign="All",$B12=fCampaign),OR(fTeam="All",$I12=fTeam),OR(fChannel="All",$H12=fChannel)),1,0))</f>
        <v>1</v>
      </c>
      <c r="AM12" s="71">
        <f>IF(OR($N12="Live",$N12="Optimizing"),1,0)</f>
        <v>0</v>
      </c>
      <c r="AN12" s="71">
        <f>IF(OR($N12="Live",$N12="Optimizing",$N12="Paused",$N12="Completed"),1,0)</f>
        <v>0</v>
      </c>
      <c r="AO12" s="71">
        <f>IF(AND($AM12=1,ISNUMBER($L12),NOT(ISNUMBER($M12))),IF($L12&lt;ReportDate,1,0),0)</f>
        <v>0</v>
      </c>
      <c r="AP12" s="71">
        <f>IF($AM12=1,IF(ISNUMBER($AG12),IF(ReportDate-$AG12&gt;CampStaleDays,1,0),1),0)</f>
        <v>0</v>
      </c>
      <c r="AQ12" s="71">
        <f>IF(AND($AM12=1,OR($AA12="Behind",$AA12="At Risk")),1,0)</f>
        <v>0</v>
      </c>
      <c r="AR12" s="71">
        <f>IF(AND($AM12=1,OR($AA12="Ahead",$AA12="On Track")),1,0)</f>
        <v>0</v>
      </c>
      <c r="AS12" s="71">
        <f>IF(OR($AQ12=1,$AP12=1,$AO12=1),1,0)</f>
        <v>0</v>
      </c>
      <c r="AT12" s="71" t="str">
        <f>IF($AS12=1,TRIM(IF($AQ12=1,"Low performance. ","")&amp;IF($AP12=1,"No recent update. ","")&amp;IF($AO12=1,"Past planned end. ","")),"")</f>
        <v/>
      </c>
      <c r="AU12" s="71" t="str">
        <f>IF(AND($AS12=1,$AL12=1),ROW(),"")</f>
        <v/>
      </c>
      <c r="AV12" s="71" t="str">
        <f>IF(AND($AQ12=1,$AL12=1),ROW(),"")</f>
        <v/>
      </c>
      <c r="AW12" s="71" t="str">
        <f>IF(AND($AP12=1,$AL12=1),ROW(),"")</f>
        <v/>
      </c>
      <c r="AX12" s="71" t="str">
        <f>IF(AND($AR12=1,$AL12=1),ROW(),"")</f>
        <v/>
      </c>
      <c r="AY12" s="71">
        <f>IF(AND($B12&lt;&gt;"",$A12=TCL_Client),1,0)</f>
        <v>0</v>
      </c>
      <c r="AZ12" s="71" t="str">
        <f>IF($AY12=1,ROW(),"")</f>
        <v/>
      </c>
      <c r="BA12" s="71">
        <f>IF(AND($B12&lt;&gt;"",$A12=MECCA_Client),1,0)</f>
        <v>0</v>
      </c>
      <c r="BB12" s="71" t="str">
        <f>IF($BA12=1,ROW(),"")</f>
        <v/>
      </c>
    </row>
    <row r="13">
      <c r="A13" s="64" t="inlineStr">
        <is>
          <t>Utimaco Singapore</t>
        </is>
      </c>
      <c r="B13" s="65" t="inlineStr">
        <is>
          <t>Utimaco Singapore</t>
        </is>
      </c>
      <c r="C13" s="64" t="inlineStr">
        <is>
          <t>CMP-009</t>
        </is>
      </c>
      <c r="D13" s="64" t="n"/>
      <c r="E13" s="64" t="inlineStr">
        <is>
          <t>Singapore</t>
        </is>
      </c>
      <c r="F13" s="65" t="n"/>
      <c r="G13" s="65" t="n"/>
      <c r="H13" s="64" t="inlineStr">
        <is>
          <t>Content Syndication</t>
        </is>
      </c>
      <c r="I13" s="64" t="inlineStr">
        <is>
          <t>Surbhi Pandey</t>
        </is>
      </c>
      <c r="J13" s="65" t="n"/>
      <c r="K13" s="63" t="n"/>
      <c r="L13" s="63" t="n"/>
      <c r="M13" s="63" t="n"/>
      <c r="N13" s="64" t="n"/>
      <c r="O13" s="67" t="n"/>
      <c r="P13" s="72">
        <f>IF($B13="","",SUMIFS('PAID MEDIA ADS'!$G$5:$G$804,'PAID MEDIA ADS'!$C$5:$C$804,$B13))</f>
        <v>0</v>
      </c>
      <c r="Q13" s="67" t="n"/>
      <c r="R13" s="72">
        <f>IF($B13="","",COUNTIFS('LEAD MQL TRACKER'!$C$5:$C$1004,$B13,'LEAD MQL TRACKER'!$AB$5:$AB$1004,1)+SUMIFS('EMAIL MARKETING'!$Q$5:$Q$804,'EMAIL MARKETING'!$C$5:$C$804,$B13)+SUMIFS('PAID MEDIA ADS'!$M$5:$M$804,'PAID MEDIA ADS'!$C$5:$C$804,$B13)+SUMIFS('LINKEDIN OUTREACH'!$N$5:$N$704,'LINKEDIN OUTREACH'!$C$5:$C$704,$B13))</f>
        <v>0</v>
      </c>
      <c r="S13" s="67" t="n"/>
      <c r="T13" s="72">
        <f>IF($B13="","",COUNTIFS('LEAD MQL TRACKER'!$C$5:$C$1004,$B13,'LEAD MQL TRACKER'!$AD$5:$AD$1004,1)+SUMIFS('EMAIL MARKETING'!$R$5:$R$804,'EMAIL MARKETING'!$C$5:$C$804,$B13)+SUMIFS('PAID MEDIA ADS'!$N$5:$N$804,'PAID MEDIA ADS'!$C$5:$C$804,$B13)+SUMIFS('LINKEDIN OUTREACH'!$O$5:$O$704,'LINKEDIN OUTREACH'!$C$5:$C$704,$B13))</f>
        <v>0</v>
      </c>
      <c r="U13" s="67" t="n"/>
      <c r="V13" s="72">
        <f>IF($B13="","",COUNTIFS('LEAD MQL TRACKER'!$C$5:$C$1004,$B13,'LEAD MQL TRACKER'!$AE$5:$AE$1004,1))</f>
        <v>0</v>
      </c>
      <c r="W13" s="72">
        <f>IF($B13="","",COUNTIFS('LEAD MQL TRACKER'!$C$5:$C$1004,$B13,'LEAD MQL TRACKER'!$AC$5:$AC$1004,1)+SUMIFS('LINKEDIN OUTREACH'!$M$5:$M$704,'LINKEDIN OUTREACH'!$C$5:$C$704,$B13))</f>
        <v>0</v>
      </c>
      <c r="X13" s="72">
        <f>IF($B13="","",SUMIFS('EMAIL MARKETING'!$O$5:$O$804,'EMAIL MARKETING'!$C$5:$C$804,$B13)+SUMIFS('LINKEDIN OUTREACH'!$K$5:$K$704,'LINKEDIN OUTREACH'!$C$5:$C$704,$B13))</f>
        <v>0</v>
      </c>
      <c r="Y13" s="73" t="str">
        <f>IF(ISNUMBER($R13),IF($R13&gt;0,$T13/$R13,""),"")</f>
        <v/>
      </c>
      <c r="Z13" s="72" t="str">
        <f>IF(AND(ISNUMBER($P13),ISNUMBER($R13)),IF(AND($P13&gt;0,$R13&gt;0),$P13/$R13,""),"")</f>
        <v/>
      </c>
      <c r="AA13" s="71" t="str">
        <f>IF($B13="","",IF(OR($N13="Live",$N13="Optimizing",$N13="Paused",$N13="Completed"),IF(ISNUMBER($AI13),IF($AI13&gt;=1,"Ahead",IF($AI13&gt;=OnTrackPct,"On Track",IF($AI13&gt;=WatchPct,"Behind","At Risk"))),"No Target Set"),"Not Live"))</f>
        <v>Not Live</v>
      </c>
      <c r="AB13" s="65" t="n"/>
      <c r="AC13" s="65" t="n"/>
      <c r="AD13" s="65" t="inlineStr">
        <is>
          <t>Content Syndication - Email.</t>
        </is>
      </c>
      <c r="AE13" s="67" t="n"/>
      <c r="AF13" s="67" t="n"/>
      <c r="AG13" s="63" t="n"/>
      <c r="AH13" s="74">
        <f>IF($N13="Completed",1,IF(AND(ISNUMBER($K13),ISNUMBER($L13)),IF($L13&gt;$K13,MIN(1,MAX(0.05,(ReportDate-$K13)/($L13-$K13))),1),1))</f>
        <v>1</v>
      </c>
      <c r="AI13" s="70" t="str">
        <f>IF($B13="","",IF(AND(ISNUMBER($Q13),$Q13&gt;0),$R13/($Q13*$AH13),""))</f>
        <v/>
      </c>
      <c r="AJ13" s="71" t="str">
        <f>IF(ISNUMBER($K13),YEAR($K13)&amp;"-"&amp;TEXT(MONTH($K13),"00"),"")</f>
        <v/>
      </c>
      <c r="AK13" s="71">
        <f>IF($B13="",0,IF(AND(OR(fClient="All",$A13=fClient),OR(fCampaign="All",$B13=fCampaign),OR(fTeam="All",$I13=fTeam),OR(fChannel="All",$H13=fChannel),OR(fCStatus="All",$N13=fCStatus)),1,0))</f>
        <v>1</v>
      </c>
      <c r="AL13" s="71">
        <f>IF($B13="",0,IF(AND(OR(fClient="All",$A13=fClient),OR(fCampaign="All",$B13=fCampaign),OR(fTeam="All",$I13=fTeam),OR(fChannel="All",$H13=fChannel)),1,0))</f>
        <v>1</v>
      </c>
      <c r="AM13" s="71">
        <f>IF(OR($N13="Live",$N13="Optimizing"),1,0)</f>
        <v>0</v>
      </c>
      <c r="AN13" s="71">
        <f>IF(OR($N13="Live",$N13="Optimizing",$N13="Paused",$N13="Completed"),1,0)</f>
        <v>0</v>
      </c>
      <c r="AO13" s="71">
        <f>IF(AND($AM13=1,ISNUMBER($L13),NOT(ISNUMBER($M13))),IF($L13&lt;ReportDate,1,0),0)</f>
        <v>0</v>
      </c>
      <c r="AP13" s="71">
        <f>IF($AM13=1,IF(ISNUMBER($AG13),IF(ReportDate-$AG13&gt;CampStaleDays,1,0),1),0)</f>
        <v>0</v>
      </c>
      <c r="AQ13" s="71">
        <f>IF(AND($AM13=1,OR($AA13="Behind",$AA13="At Risk")),1,0)</f>
        <v>0</v>
      </c>
      <c r="AR13" s="71">
        <f>IF(AND($AM13=1,OR($AA13="Ahead",$AA13="On Track")),1,0)</f>
        <v>0</v>
      </c>
      <c r="AS13" s="71">
        <f>IF(OR($AQ13=1,$AP13=1,$AO13=1),1,0)</f>
        <v>0</v>
      </c>
      <c r="AT13" s="71" t="str">
        <f>IF($AS13=1,TRIM(IF($AQ13=1,"Low performance. ","")&amp;IF($AP13=1,"No recent update. ","")&amp;IF($AO13=1,"Past planned end. ","")),"")</f>
        <v/>
      </c>
      <c r="AU13" s="71" t="str">
        <f>IF(AND($AS13=1,$AL13=1),ROW(),"")</f>
        <v/>
      </c>
      <c r="AV13" s="71" t="str">
        <f>IF(AND($AQ13=1,$AL13=1),ROW(),"")</f>
        <v/>
      </c>
      <c r="AW13" s="71" t="str">
        <f>IF(AND($AP13=1,$AL13=1),ROW(),"")</f>
        <v/>
      </c>
      <c r="AX13" s="71" t="str">
        <f>IF(AND($AR13=1,$AL13=1),ROW(),"")</f>
        <v/>
      </c>
      <c r="AY13" s="71">
        <f>IF(AND($B13&lt;&gt;"",$A13=TCL_Client),1,0)</f>
        <v>0</v>
      </c>
      <c r="AZ13" s="71" t="str">
        <f>IF($AY13=1,ROW(),"")</f>
        <v/>
      </c>
      <c r="BA13" s="71">
        <f>IF(AND($B13&lt;&gt;"",$A13=MECCA_Client),1,0)</f>
        <v>0</v>
      </c>
      <c r="BB13" s="71" t="str">
        <f>IF($BA13=1,ROW(),"")</f>
        <v/>
      </c>
    </row>
    <row r="14">
      <c r="A14" s="64" t="inlineStr">
        <is>
          <t>SAP</t>
        </is>
      </c>
      <c r="B14" s="65" t="inlineStr">
        <is>
          <t>SAP Success Factor HR Bengaluru</t>
        </is>
      </c>
      <c r="C14" s="64" t="inlineStr">
        <is>
          <t>CMP-010</t>
        </is>
      </c>
      <c r="D14" s="64" t="inlineStr">
        <is>
          <t>SAP Success Factor</t>
        </is>
      </c>
      <c r="E14" s="64" t="inlineStr">
        <is>
          <t>Bengaluru</t>
        </is>
      </c>
      <c r="F14" s="65" t="n"/>
      <c r="G14" s="65" t="n"/>
      <c r="H14" s="64" t="inlineStr">
        <is>
          <t>Content Syndication</t>
        </is>
      </c>
      <c r="I14" s="64" t="inlineStr">
        <is>
          <t>Surbhi Pandey</t>
        </is>
      </c>
      <c r="J14" s="65" t="n"/>
      <c r="K14" s="63" t="n"/>
      <c r="L14" s="63" t="n"/>
      <c r="M14" s="63" t="n"/>
      <c r="N14" s="64" t="n"/>
      <c r="O14" s="67" t="n"/>
      <c r="P14" s="72">
        <f>IF($B14="","",SUMIFS('PAID MEDIA ADS'!$G$5:$G$804,'PAID MEDIA ADS'!$C$5:$C$804,$B14))</f>
        <v>0</v>
      </c>
      <c r="Q14" s="67" t="n"/>
      <c r="R14" s="72">
        <f>IF($B14="","",COUNTIFS('LEAD MQL TRACKER'!$C$5:$C$1004,$B14,'LEAD MQL TRACKER'!$AB$5:$AB$1004,1)+SUMIFS('EMAIL MARKETING'!$Q$5:$Q$804,'EMAIL MARKETING'!$C$5:$C$804,$B14)+SUMIFS('PAID MEDIA ADS'!$M$5:$M$804,'PAID MEDIA ADS'!$C$5:$C$804,$B14)+SUMIFS('LINKEDIN OUTREACH'!$N$5:$N$704,'LINKEDIN OUTREACH'!$C$5:$C$704,$B14))</f>
        <v>0</v>
      </c>
      <c r="S14" s="67" t="n"/>
      <c r="T14" s="72">
        <f>IF($B14="","",COUNTIFS('LEAD MQL TRACKER'!$C$5:$C$1004,$B14,'LEAD MQL TRACKER'!$AD$5:$AD$1004,1)+SUMIFS('EMAIL MARKETING'!$R$5:$R$804,'EMAIL MARKETING'!$C$5:$C$804,$B14)+SUMIFS('PAID MEDIA ADS'!$N$5:$N$804,'PAID MEDIA ADS'!$C$5:$C$804,$B14)+SUMIFS('LINKEDIN OUTREACH'!$O$5:$O$704,'LINKEDIN OUTREACH'!$C$5:$C$704,$B14))</f>
        <v>0</v>
      </c>
      <c r="U14" s="67" t="n"/>
      <c r="V14" s="72">
        <f>IF($B14="","",COUNTIFS('LEAD MQL TRACKER'!$C$5:$C$1004,$B14,'LEAD MQL TRACKER'!$AE$5:$AE$1004,1))</f>
        <v>0</v>
      </c>
      <c r="W14" s="72">
        <f>IF($B14="","",COUNTIFS('LEAD MQL TRACKER'!$C$5:$C$1004,$B14,'LEAD MQL TRACKER'!$AC$5:$AC$1004,1)+SUMIFS('LINKEDIN OUTREACH'!$M$5:$M$704,'LINKEDIN OUTREACH'!$C$5:$C$704,$B14))</f>
        <v>0</v>
      </c>
      <c r="X14" s="72">
        <f>IF($B14="","",SUMIFS('EMAIL MARKETING'!$O$5:$O$804,'EMAIL MARKETING'!$C$5:$C$804,$B14)+SUMIFS('LINKEDIN OUTREACH'!$K$5:$K$704,'LINKEDIN OUTREACH'!$C$5:$C$704,$B14))</f>
        <v>0</v>
      </c>
      <c r="Y14" s="73" t="str">
        <f>IF(ISNUMBER($R14),IF($R14&gt;0,$T14/$R14,""),"")</f>
        <v/>
      </c>
      <c r="Z14" s="72" t="str">
        <f>IF(AND(ISNUMBER($P14),ISNUMBER($R14)),IF(AND($P14&gt;0,$R14&gt;0),$P14/$R14,""),"")</f>
        <v/>
      </c>
      <c r="AA14" s="71" t="str">
        <f>IF($B14="","",IF(OR($N14="Live",$N14="Optimizing",$N14="Paused",$N14="Completed"),IF(ISNUMBER($AI14),IF($AI14&gt;=1,"Ahead",IF($AI14&gt;=OnTrackPct,"On Track",IF($AI14&gt;=WatchPct,"Behind","At Risk"))),"No Target Set"),"Not Live"))</f>
        <v>Not Live</v>
      </c>
      <c r="AB14" s="65" t="n"/>
      <c r="AC14" s="65" t="n"/>
      <c r="AD14" s="65" t="inlineStr">
        <is>
          <t>Email + WhatsApp. Deployments: 25th Sep and 9th Oct (year assumed 2026).</t>
        </is>
      </c>
      <c r="AE14" s="67" t="n"/>
      <c r="AF14" s="67" t="n"/>
      <c r="AG14" s="63" t="n"/>
      <c r="AH14" s="74">
        <f>IF($N14="Completed",1,IF(AND(ISNUMBER($K14),ISNUMBER($L14)),IF($L14&gt;$K14,MIN(1,MAX(0.05,(ReportDate-$K14)/($L14-$K14))),1),1))</f>
        <v>1</v>
      </c>
      <c r="AI14" s="70" t="str">
        <f>IF($B14="","",IF(AND(ISNUMBER($Q14),$Q14&gt;0),$R14/($Q14*$AH14),""))</f>
        <v/>
      </c>
      <c r="AJ14" s="71" t="str">
        <f>IF(ISNUMBER($K14),YEAR($K14)&amp;"-"&amp;TEXT(MONTH($K14),"00"),"")</f>
        <v/>
      </c>
      <c r="AK14" s="71">
        <f>IF($B14="",0,IF(AND(OR(fClient="All",$A14=fClient),OR(fCampaign="All",$B14=fCampaign),OR(fTeam="All",$I14=fTeam),OR(fChannel="All",$H14=fChannel),OR(fCStatus="All",$N14=fCStatus)),1,0))</f>
        <v>1</v>
      </c>
      <c r="AL14" s="71">
        <f>IF($B14="",0,IF(AND(OR(fClient="All",$A14=fClient),OR(fCampaign="All",$B14=fCampaign),OR(fTeam="All",$I14=fTeam),OR(fChannel="All",$H14=fChannel)),1,0))</f>
        <v>1</v>
      </c>
      <c r="AM14" s="71">
        <f>IF(OR($N14="Live",$N14="Optimizing"),1,0)</f>
        <v>0</v>
      </c>
      <c r="AN14" s="71">
        <f>IF(OR($N14="Live",$N14="Optimizing",$N14="Paused",$N14="Completed"),1,0)</f>
        <v>0</v>
      </c>
      <c r="AO14" s="71">
        <f>IF(AND($AM14=1,ISNUMBER($L14),NOT(ISNUMBER($M14))),IF($L14&lt;ReportDate,1,0),0)</f>
        <v>0</v>
      </c>
      <c r="AP14" s="71">
        <f>IF($AM14=1,IF(ISNUMBER($AG14),IF(ReportDate-$AG14&gt;CampStaleDays,1,0),1),0)</f>
        <v>0</v>
      </c>
      <c r="AQ14" s="71">
        <f>IF(AND($AM14=1,OR($AA14="Behind",$AA14="At Risk")),1,0)</f>
        <v>0</v>
      </c>
      <c r="AR14" s="71">
        <f>IF(AND($AM14=1,OR($AA14="Ahead",$AA14="On Track")),1,0)</f>
        <v>0</v>
      </c>
      <c r="AS14" s="71">
        <f>IF(OR($AQ14=1,$AP14=1,$AO14=1),1,0)</f>
        <v>0</v>
      </c>
      <c r="AT14" s="71" t="str">
        <f>IF($AS14=1,TRIM(IF($AQ14=1,"Low performance. ","")&amp;IF($AP14=1,"No recent update. ","")&amp;IF($AO14=1,"Past planned end. ","")),"")</f>
        <v/>
      </c>
      <c r="AU14" s="71" t="str">
        <f>IF(AND($AS14=1,$AL14=1),ROW(),"")</f>
        <v/>
      </c>
      <c r="AV14" s="71" t="str">
        <f>IF(AND($AQ14=1,$AL14=1),ROW(),"")</f>
        <v/>
      </c>
      <c r="AW14" s="71" t="str">
        <f>IF(AND($AP14=1,$AL14=1),ROW(),"")</f>
        <v/>
      </c>
      <c r="AX14" s="71" t="str">
        <f>IF(AND($AR14=1,$AL14=1),ROW(),"")</f>
        <v/>
      </c>
      <c r="AY14" s="71">
        <f>IF(AND($B14&lt;&gt;"",$A14=TCL_Client),1,0)</f>
        <v>0</v>
      </c>
      <c r="AZ14" s="71" t="str">
        <f>IF($AY14=1,ROW(),"")</f>
        <v/>
      </c>
      <c r="BA14" s="71">
        <f>IF(AND($B14&lt;&gt;"",$A14=MECCA_Client),1,0)</f>
        <v>0</v>
      </c>
      <c r="BB14" s="71" t="str">
        <f>IF($BA14=1,ROW(),"")</f>
        <v/>
      </c>
    </row>
    <row r="15">
      <c r="A15" s="64" t="inlineStr">
        <is>
          <t>SAP</t>
        </is>
      </c>
      <c r="B15" s="65" t="inlineStr">
        <is>
          <t>SAP Viksit Bharat</t>
        </is>
      </c>
      <c r="C15" s="64" t="inlineStr">
        <is>
          <t>CMP-011</t>
        </is>
      </c>
      <c r="D15" s="64" t="n"/>
      <c r="E15" s="64" t="n"/>
      <c r="F15" s="65" t="n"/>
      <c r="G15" s="65" t="n"/>
      <c r="H15" s="64" t="inlineStr">
        <is>
          <t>Content Syndication</t>
        </is>
      </c>
      <c r="I15" s="64" t="inlineStr">
        <is>
          <t>Surbhi Pandey</t>
        </is>
      </c>
      <c r="J15" s="65" t="n"/>
      <c r="K15" s="63" t="n"/>
      <c r="L15" s="63" t="n"/>
      <c r="M15" s="63" t="n"/>
      <c r="N15" s="64" t="n"/>
      <c r="O15" s="67" t="n"/>
      <c r="P15" s="72">
        <f>IF($B15="","",SUMIFS('PAID MEDIA ADS'!$G$5:$G$804,'PAID MEDIA ADS'!$C$5:$C$804,$B15))</f>
        <v>0</v>
      </c>
      <c r="Q15" s="67" t="n"/>
      <c r="R15" s="72">
        <f>IF($B15="","",COUNTIFS('LEAD MQL TRACKER'!$C$5:$C$1004,$B15,'LEAD MQL TRACKER'!$AB$5:$AB$1004,1)+SUMIFS('EMAIL MARKETING'!$Q$5:$Q$804,'EMAIL MARKETING'!$C$5:$C$804,$B15)+SUMIFS('PAID MEDIA ADS'!$M$5:$M$804,'PAID MEDIA ADS'!$C$5:$C$804,$B15)+SUMIFS('LINKEDIN OUTREACH'!$N$5:$N$704,'LINKEDIN OUTREACH'!$C$5:$C$704,$B15))</f>
        <v>0</v>
      </c>
      <c r="S15" s="67" t="n"/>
      <c r="T15" s="72">
        <f>IF($B15="","",COUNTIFS('LEAD MQL TRACKER'!$C$5:$C$1004,$B15,'LEAD MQL TRACKER'!$AD$5:$AD$1004,1)+SUMIFS('EMAIL MARKETING'!$R$5:$R$804,'EMAIL MARKETING'!$C$5:$C$804,$B15)+SUMIFS('PAID MEDIA ADS'!$N$5:$N$804,'PAID MEDIA ADS'!$C$5:$C$804,$B15)+SUMIFS('LINKEDIN OUTREACH'!$O$5:$O$704,'LINKEDIN OUTREACH'!$C$5:$C$704,$B15))</f>
        <v>0</v>
      </c>
      <c r="U15" s="67" t="n"/>
      <c r="V15" s="72">
        <f>IF($B15="","",COUNTIFS('LEAD MQL TRACKER'!$C$5:$C$1004,$B15,'LEAD MQL TRACKER'!$AE$5:$AE$1004,1))</f>
        <v>0</v>
      </c>
      <c r="W15" s="72">
        <f>IF($B15="","",COUNTIFS('LEAD MQL TRACKER'!$C$5:$C$1004,$B15,'LEAD MQL TRACKER'!$AC$5:$AC$1004,1)+SUMIFS('LINKEDIN OUTREACH'!$M$5:$M$704,'LINKEDIN OUTREACH'!$C$5:$C$704,$B15))</f>
        <v>0</v>
      </c>
      <c r="X15" s="72">
        <f>IF($B15="","",SUMIFS('EMAIL MARKETING'!$O$5:$O$804,'EMAIL MARKETING'!$C$5:$C$804,$B15)+SUMIFS('LINKEDIN OUTREACH'!$K$5:$K$704,'LINKEDIN OUTREACH'!$C$5:$C$704,$B15))</f>
        <v>0</v>
      </c>
      <c r="Y15" s="73" t="str">
        <f>IF(ISNUMBER($R15),IF($R15&gt;0,$T15/$R15,""),"")</f>
        <v/>
      </c>
      <c r="Z15" s="72" t="str">
        <f>IF(AND(ISNUMBER($P15),ISNUMBER($R15)),IF(AND($P15&gt;0,$R15&gt;0),$P15/$R15,""),"")</f>
        <v/>
      </c>
      <c r="AA15" s="71" t="str">
        <f>IF($B15="","",IF(OR($N15="Live",$N15="Optimizing",$N15="Paused",$N15="Completed"),IF(ISNUMBER($AI15),IF($AI15&gt;=1,"Ahead",IF($AI15&gt;=OnTrackPct,"On Track",IF($AI15&gt;=WatchPct,"Behind","At Risk"))),"No Target Set"),"Not Live"))</f>
        <v>Not Live</v>
      </c>
      <c r="AB15" s="65" t="n"/>
      <c r="AC15" s="65" t="n"/>
      <c r="AD15" s="65" t="inlineStr">
        <is>
          <t>Email + WhatsApp. Deployments: 25th Sep and 6th Oct (year assumed 2026).</t>
        </is>
      </c>
      <c r="AE15" s="67" t="n"/>
      <c r="AF15" s="67" t="n"/>
      <c r="AG15" s="63" t="n"/>
      <c r="AH15" s="74">
        <f>IF($N15="Completed",1,IF(AND(ISNUMBER($K15),ISNUMBER($L15)),IF($L15&gt;$K15,MIN(1,MAX(0.05,(ReportDate-$K15)/($L15-$K15))),1),1))</f>
        <v>1</v>
      </c>
      <c r="AI15" s="70" t="str">
        <f>IF($B15="","",IF(AND(ISNUMBER($Q15),$Q15&gt;0),$R15/($Q15*$AH15),""))</f>
        <v/>
      </c>
      <c r="AJ15" s="71" t="str">
        <f>IF(ISNUMBER($K15),YEAR($K15)&amp;"-"&amp;TEXT(MONTH($K15),"00"),"")</f>
        <v/>
      </c>
      <c r="AK15" s="71">
        <f>IF($B15="",0,IF(AND(OR(fClient="All",$A15=fClient),OR(fCampaign="All",$B15=fCampaign),OR(fTeam="All",$I15=fTeam),OR(fChannel="All",$H15=fChannel),OR(fCStatus="All",$N15=fCStatus)),1,0))</f>
        <v>1</v>
      </c>
      <c r="AL15" s="71">
        <f>IF($B15="",0,IF(AND(OR(fClient="All",$A15=fClient),OR(fCampaign="All",$B15=fCampaign),OR(fTeam="All",$I15=fTeam),OR(fChannel="All",$H15=fChannel)),1,0))</f>
        <v>1</v>
      </c>
      <c r="AM15" s="71">
        <f>IF(OR($N15="Live",$N15="Optimizing"),1,0)</f>
        <v>0</v>
      </c>
      <c r="AN15" s="71">
        <f>IF(OR($N15="Live",$N15="Optimizing",$N15="Paused",$N15="Completed"),1,0)</f>
        <v>0</v>
      </c>
      <c r="AO15" s="71">
        <f>IF(AND($AM15=1,ISNUMBER($L15),NOT(ISNUMBER($M15))),IF($L15&lt;ReportDate,1,0),0)</f>
        <v>0</v>
      </c>
      <c r="AP15" s="71">
        <f>IF($AM15=1,IF(ISNUMBER($AG15),IF(ReportDate-$AG15&gt;CampStaleDays,1,0),1),0)</f>
        <v>0</v>
      </c>
      <c r="AQ15" s="71">
        <f>IF(AND($AM15=1,OR($AA15="Behind",$AA15="At Risk")),1,0)</f>
        <v>0</v>
      </c>
      <c r="AR15" s="71">
        <f>IF(AND($AM15=1,OR($AA15="Ahead",$AA15="On Track")),1,0)</f>
        <v>0</v>
      </c>
      <c r="AS15" s="71">
        <f>IF(OR($AQ15=1,$AP15=1,$AO15=1),1,0)</f>
        <v>0</v>
      </c>
      <c r="AT15" s="71" t="str">
        <f>IF($AS15=1,TRIM(IF($AQ15=1,"Low performance. ","")&amp;IF($AP15=1,"No recent update. ","")&amp;IF($AO15=1,"Past planned end. ","")),"")</f>
        <v/>
      </c>
      <c r="AU15" s="71" t="str">
        <f>IF(AND($AS15=1,$AL15=1),ROW(),"")</f>
        <v/>
      </c>
      <c r="AV15" s="71" t="str">
        <f>IF(AND($AQ15=1,$AL15=1),ROW(),"")</f>
        <v/>
      </c>
      <c r="AW15" s="71" t="str">
        <f>IF(AND($AP15=1,$AL15=1),ROW(),"")</f>
        <v/>
      </c>
      <c r="AX15" s="71" t="str">
        <f>IF(AND($AR15=1,$AL15=1),ROW(),"")</f>
        <v/>
      </c>
      <c r="AY15" s="71">
        <f>IF(AND($B15&lt;&gt;"",$A15=TCL_Client),1,0)</f>
        <v>0</v>
      </c>
      <c r="AZ15" s="71" t="str">
        <f>IF($AY15=1,ROW(),"")</f>
        <v/>
      </c>
      <c r="BA15" s="71">
        <f>IF(AND($B15&lt;&gt;"",$A15=MECCA_Client),1,0)</f>
        <v>0</v>
      </c>
      <c r="BB15" s="71" t="str">
        <f>IF($BA15=1,ROW(),"")</f>
        <v/>
      </c>
    </row>
    <row r="16">
      <c r="A16" s="64" t="inlineStr">
        <is>
          <t>SAP</t>
        </is>
      </c>
      <c r="B16" s="65" t="inlineStr">
        <is>
          <t>SAP Success Factor Delhi</t>
        </is>
      </c>
      <c r="C16" s="64" t="inlineStr">
        <is>
          <t>CMP-012</t>
        </is>
      </c>
      <c r="D16" s="64" t="inlineStr">
        <is>
          <t>SAP Success Factor</t>
        </is>
      </c>
      <c r="E16" s="64" t="inlineStr">
        <is>
          <t>Delhi</t>
        </is>
      </c>
      <c r="F16" s="65" t="n"/>
      <c r="G16" s="65" t="n"/>
      <c r="H16" s="64" t="inlineStr">
        <is>
          <t>Content Syndication</t>
        </is>
      </c>
      <c r="I16" s="64" t="inlineStr">
        <is>
          <t>Surbhi Pandey</t>
        </is>
      </c>
      <c r="J16" s="65" t="n"/>
      <c r="K16" s="63" t="n"/>
      <c r="L16" s="63" t="n"/>
      <c r="M16" s="63" t="n"/>
      <c r="N16" s="64" t="n"/>
      <c r="O16" s="67" t="n"/>
      <c r="P16" s="72">
        <f>IF($B16="","",SUMIFS('PAID MEDIA ADS'!$G$5:$G$804,'PAID MEDIA ADS'!$C$5:$C$804,$B16))</f>
        <v>0</v>
      </c>
      <c r="Q16" s="67" t="n"/>
      <c r="R16" s="72">
        <f>IF($B16="","",COUNTIFS('LEAD MQL TRACKER'!$C$5:$C$1004,$B16,'LEAD MQL TRACKER'!$AB$5:$AB$1004,1)+SUMIFS('EMAIL MARKETING'!$Q$5:$Q$804,'EMAIL MARKETING'!$C$5:$C$804,$B16)+SUMIFS('PAID MEDIA ADS'!$M$5:$M$804,'PAID MEDIA ADS'!$C$5:$C$804,$B16)+SUMIFS('LINKEDIN OUTREACH'!$N$5:$N$704,'LINKEDIN OUTREACH'!$C$5:$C$704,$B16))</f>
        <v>0</v>
      </c>
      <c r="S16" s="67" t="n"/>
      <c r="T16" s="72">
        <f>IF($B16="","",COUNTIFS('LEAD MQL TRACKER'!$C$5:$C$1004,$B16,'LEAD MQL TRACKER'!$AD$5:$AD$1004,1)+SUMIFS('EMAIL MARKETING'!$R$5:$R$804,'EMAIL MARKETING'!$C$5:$C$804,$B16)+SUMIFS('PAID MEDIA ADS'!$N$5:$N$804,'PAID MEDIA ADS'!$C$5:$C$804,$B16)+SUMIFS('LINKEDIN OUTREACH'!$O$5:$O$704,'LINKEDIN OUTREACH'!$C$5:$C$704,$B16))</f>
        <v>0</v>
      </c>
      <c r="U16" s="67" t="n"/>
      <c r="V16" s="72">
        <f>IF($B16="","",COUNTIFS('LEAD MQL TRACKER'!$C$5:$C$1004,$B16,'LEAD MQL TRACKER'!$AE$5:$AE$1004,1))</f>
        <v>0</v>
      </c>
      <c r="W16" s="72">
        <f>IF($B16="","",COUNTIFS('LEAD MQL TRACKER'!$C$5:$C$1004,$B16,'LEAD MQL TRACKER'!$AC$5:$AC$1004,1)+SUMIFS('LINKEDIN OUTREACH'!$M$5:$M$704,'LINKEDIN OUTREACH'!$C$5:$C$704,$B16))</f>
        <v>0</v>
      </c>
      <c r="X16" s="72">
        <f>IF($B16="","",SUMIFS('EMAIL MARKETING'!$O$5:$O$804,'EMAIL MARKETING'!$C$5:$C$804,$B16)+SUMIFS('LINKEDIN OUTREACH'!$K$5:$K$704,'LINKEDIN OUTREACH'!$C$5:$C$704,$B16))</f>
        <v>0</v>
      </c>
      <c r="Y16" s="73" t="str">
        <f>IF(ISNUMBER($R16),IF($R16&gt;0,$T16/$R16,""),"")</f>
        <v/>
      </c>
      <c r="Z16" s="72" t="str">
        <f>IF(AND(ISNUMBER($P16),ISNUMBER($R16)),IF(AND($P16&gt;0,$R16&gt;0),$P16/$R16,""),"")</f>
        <v/>
      </c>
      <c r="AA16" s="71" t="str">
        <f>IF($B16="","",IF(OR($N16="Live",$N16="Optimizing",$N16="Paused",$N16="Completed"),IF(ISNUMBER($AI16),IF($AI16&gt;=1,"Ahead",IF($AI16&gt;=OnTrackPct,"On Track",IF($AI16&gt;=WatchPct,"Behind","At Risk"))),"No Target Set"),"Not Live"))</f>
        <v>Not Live</v>
      </c>
      <c r="AB16" s="65" t="n"/>
      <c r="AC16" s="65" t="n"/>
      <c r="AD16" s="65" t="inlineStr">
        <is>
          <t>Email + WhatsApp. Deployment: 30th Sep (year assumed 2026).</t>
        </is>
      </c>
      <c r="AE16" s="67" t="n"/>
      <c r="AF16" s="67" t="n"/>
      <c r="AG16" s="63" t="n"/>
      <c r="AH16" s="74">
        <f>IF($N16="Completed",1,IF(AND(ISNUMBER($K16),ISNUMBER($L16)),IF($L16&gt;$K16,MIN(1,MAX(0.05,(ReportDate-$K16)/($L16-$K16))),1),1))</f>
        <v>1</v>
      </c>
      <c r="AI16" s="70" t="str">
        <f>IF($B16="","",IF(AND(ISNUMBER($Q16),$Q16&gt;0),$R16/($Q16*$AH16),""))</f>
        <v/>
      </c>
      <c r="AJ16" s="71" t="str">
        <f>IF(ISNUMBER($K16),YEAR($K16)&amp;"-"&amp;TEXT(MONTH($K16),"00"),"")</f>
        <v/>
      </c>
      <c r="AK16" s="71">
        <f>IF($B16="",0,IF(AND(OR(fClient="All",$A16=fClient),OR(fCampaign="All",$B16=fCampaign),OR(fTeam="All",$I16=fTeam),OR(fChannel="All",$H16=fChannel),OR(fCStatus="All",$N16=fCStatus)),1,0))</f>
        <v>1</v>
      </c>
      <c r="AL16" s="71">
        <f>IF($B16="",0,IF(AND(OR(fClient="All",$A16=fClient),OR(fCampaign="All",$B16=fCampaign),OR(fTeam="All",$I16=fTeam),OR(fChannel="All",$H16=fChannel)),1,0))</f>
        <v>1</v>
      </c>
      <c r="AM16" s="71">
        <f>IF(OR($N16="Live",$N16="Optimizing"),1,0)</f>
        <v>0</v>
      </c>
      <c r="AN16" s="71">
        <f>IF(OR($N16="Live",$N16="Optimizing",$N16="Paused",$N16="Completed"),1,0)</f>
        <v>0</v>
      </c>
      <c r="AO16" s="71">
        <f>IF(AND($AM16=1,ISNUMBER($L16),NOT(ISNUMBER($M16))),IF($L16&lt;ReportDate,1,0),0)</f>
        <v>0</v>
      </c>
      <c r="AP16" s="71">
        <f>IF($AM16=1,IF(ISNUMBER($AG16),IF(ReportDate-$AG16&gt;CampStaleDays,1,0),1),0)</f>
        <v>0</v>
      </c>
      <c r="AQ16" s="71">
        <f>IF(AND($AM16=1,OR($AA16="Behind",$AA16="At Risk")),1,0)</f>
        <v>0</v>
      </c>
      <c r="AR16" s="71">
        <f>IF(AND($AM16=1,OR($AA16="Ahead",$AA16="On Track")),1,0)</f>
        <v>0</v>
      </c>
      <c r="AS16" s="71">
        <f>IF(OR($AQ16=1,$AP16=1,$AO16=1),1,0)</f>
        <v>0</v>
      </c>
      <c r="AT16" s="71" t="str">
        <f>IF($AS16=1,TRIM(IF($AQ16=1,"Low performance. ","")&amp;IF($AP16=1,"No recent update. ","")&amp;IF($AO16=1,"Past planned end. ","")),"")</f>
        <v/>
      </c>
      <c r="AU16" s="71" t="str">
        <f>IF(AND($AS16=1,$AL16=1),ROW(),"")</f>
        <v/>
      </c>
      <c r="AV16" s="71" t="str">
        <f>IF(AND($AQ16=1,$AL16=1),ROW(),"")</f>
        <v/>
      </c>
      <c r="AW16" s="71" t="str">
        <f>IF(AND($AP16=1,$AL16=1),ROW(),"")</f>
        <v/>
      </c>
      <c r="AX16" s="71" t="str">
        <f>IF(AND($AR16=1,$AL16=1),ROW(),"")</f>
        <v/>
      </c>
      <c r="AY16" s="71">
        <f>IF(AND($B16&lt;&gt;"",$A16=TCL_Client),1,0)</f>
        <v>0</v>
      </c>
      <c r="AZ16" s="71" t="str">
        <f>IF($AY16=1,ROW(),"")</f>
        <v/>
      </c>
      <c r="BA16" s="71">
        <f>IF(AND($B16&lt;&gt;"",$A16=MECCA_Client),1,0)</f>
        <v>0</v>
      </c>
      <c r="BB16" s="71" t="str">
        <f>IF($BA16=1,ROW(),"")</f>
        <v/>
      </c>
    </row>
    <row r="17">
      <c r="A17" s="64" t="inlineStr">
        <is>
          <t>SAP</t>
        </is>
      </c>
      <c r="B17" s="65" t="inlineStr">
        <is>
          <t>SAP HRMS</t>
        </is>
      </c>
      <c r="C17" s="64" t="inlineStr">
        <is>
          <t>CMP-013</t>
        </is>
      </c>
      <c r="D17" s="64" t="n"/>
      <c r="E17" s="64" t="n"/>
      <c r="F17" s="65" t="n"/>
      <c r="G17" s="65" t="n"/>
      <c r="H17" s="64" t="inlineStr">
        <is>
          <t>LinkedIn Outreach</t>
        </is>
      </c>
      <c r="I17" s="64" t="inlineStr">
        <is>
          <t>Surbhi Pandey</t>
        </is>
      </c>
      <c r="J17" s="65" t="n"/>
      <c r="K17" s="63" t="n"/>
      <c r="L17" s="63" t="n"/>
      <c r="M17" s="63" t="n"/>
      <c r="N17" s="64" t="n"/>
      <c r="O17" s="67" t="n"/>
      <c r="P17" s="72">
        <f>IF($B17="","",SUMIFS('PAID MEDIA ADS'!$G$5:$G$804,'PAID MEDIA ADS'!$C$5:$C$804,$B17))</f>
        <v>0</v>
      </c>
      <c r="Q17" s="67" t="n"/>
      <c r="R17" s="72">
        <f>IF($B17="","",COUNTIFS('LEAD MQL TRACKER'!$C$5:$C$1004,$B17,'LEAD MQL TRACKER'!$AB$5:$AB$1004,1)+SUMIFS('EMAIL MARKETING'!$Q$5:$Q$804,'EMAIL MARKETING'!$C$5:$C$804,$B17)+SUMIFS('PAID MEDIA ADS'!$M$5:$M$804,'PAID MEDIA ADS'!$C$5:$C$804,$B17)+SUMIFS('LINKEDIN OUTREACH'!$N$5:$N$704,'LINKEDIN OUTREACH'!$C$5:$C$704,$B17))</f>
        <v>0</v>
      </c>
      <c r="S17" s="67" t="n"/>
      <c r="T17" s="72">
        <f>IF($B17="","",COUNTIFS('LEAD MQL TRACKER'!$C$5:$C$1004,$B17,'LEAD MQL TRACKER'!$AD$5:$AD$1004,1)+SUMIFS('EMAIL MARKETING'!$R$5:$R$804,'EMAIL MARKETING'!$C$5:$C$804,$B17)+SUMIFS('PAID MEDIA ADS'!$N$5:$N$804,'PAID MEDIA ADS'!$C$5:$C$804,$B17)+SUMIFS('LINKEDIN OUTREACH'!$O$5:$O$704,'LINKEDIN OUTREACH'!$C$5:$C$704,$B17))</f>
        <v>0</v>
      </c>
      <c r="U17" s="67" t="n"/>
      <c r="V17" s="72">
        <f>IF($B17="","",COUNTIFS('LEAD MQL TRACKER'!$C$5:$C$1004,$B17,'LEAD MQL TRACKER'!$AE$5:$AE$1004,1))</f>
        <v>0</v>
      </c>
      <c r="W17" s="72">
        <f>IF($B17="","",COUNTIFS('LEAD MQL TRACKER'!$C$5:$C$1004,$B17,'LEAD MQL TRACKER'!$AC$5:$AC$1004,1)+SUMIFS('LINKEDIN OUTREACH'!$M$5:$M$704,'LINKEDIN OUTREACH'!$C$5:$C$704,$B17))</f>
        <v>0</v>
      </c>
      <c r="X17" s="72">
        <f>IF($B17="","",SUMIFS('EMAIL MARKETING'!$O$5:$O$804,'EMAIL MARKETING'!$C$5:$C$804,$B17)+SUMIFS('LINKEDIN OUTREACH'!$K$5:$K$704,'LINKEDIN OUTREACH'!$C$5:$C$704,$B17))</f>
        <v>0</v>
      </c>
      <c r="Y17" s="73" t="str">
        <f>IF(ISNUMBER($R17),IF($R17&gt;0,$T17/$R17,""),"")</f>
        <v/>
      </c>
      <c r="Z17" s="72" t="str">
        <f>IF(AND(ISNUMBER($P17),ISNUMBER($R17)),IF(AND($P17&gt;0,$R17&gt;0),$P17/$R17,""),"")</f>
        <v/>
      </c>
      <c r="AA17" s="71" t="str">
        <f>IF($B17="","",IF(OR($N17="Live",$N17="Optimizing",$N17="Paused",$N17="Completed"),IF(ISNUMBER($AI17),IF($AI17&gt;=1,"Ahead",IF($AI17&gt;=OnTrackPct,"On Track",IF($AI17&gt;=WatchPct,"Behind","At Risk"))),"No Target Set"),"Not Live"))</f>
        <v>Not Live</v>
      </c>
      <c r="AB17" s="65" t="n"/>
      <c r="AC17" s="65" t="n"/>
      <c r="AD17" s="65" t="inlineStr">
        <is>
          <t>Dripify &amp; Sales Navigator.</t>
        </is>
      </c>
      <c r="AE17" s="67" t="n"/>
      <c r="AF17" s="67" t="n"/>
      <c r="AG17" s="63" t="n"/>
      <c r="AH17" s="74">
        <f>IF($N17="Completed",1,IF(AND(ISNUMBER($K17),ISNUMBER($L17)),IF($L17&gt;$K17,MIN(1,MAX(0.05,(ReportDate-$K17)/($L17-$K17))),1),1))</f>
        <v>1</v>
      </c>
      <c r="AI17" s="70" t="str">
        <f>IF($B17="","",IF(AND(ISNUMBER($Q17),$Q17&gt;0),$R17/($Q17*$AH17),""))</f>
        <v/>
      </c>
      <c r="AJ17" s="71" t="str">
        <f>IF(ISNUMBER($K17),YEAR($K17)&amp;"-"&amp;TEXT(MONTH($K17),"00"),"")</f>
        <v/>
      </c>
      <c r="AK17" s="71">
        <f>IF($B17="",0,IF(AND(OR(fClient="All",$A17=fClient),OR(fCampaign="All",$B17=fCampaign),OR(fTeam="All",$I17=fTeam),OR(fChannel="All",$H17=fChannel),OR(fCStatus="All",$N17=fCStatus)),1,0))</f>
        <v>1</v>
      </c>
      <c r="AL17" s="71">
        <f>IF($B17="",0,IF(AND(OR(fClient="All",$A17=fClient),OR(fCampaign="All",$B17=fCampaign),OR(fTeam="All",$I17=fTeam),OR(fChannel="All",$H17=fChannel)),1,0))</f>
        <v>1</v>
      </c>
      <c r="AM17" s="71">
        <f>IF(OR($N17="Live",$N17="Optimizing"),1,0)</f>
        <v>0</v>
      </c>
      <c r="AN17" s="71">
        <f>IF(OR($N17="Live",$N17="Optimizing",$N17="Paused",$N17="Completed"),1,0)</f>
        <v>0</v>
      </c>
      <c r="AO17" s="71">
        <f>IF(AND($AM17=1,ISNUMBER($L17),NOT(ISNUMBER($M17))),IF($L17&lt;ReportDate,1,0),0)</f>
        <v>0</v>
      </c>
      <c r="AP17" s="71">
        <f>IF($AM17=1,IF(ISNUMBER($AG17),IF(ReportDate-$AG17&gt;CampStaleDays,1,0),1),0)</f>
        <v>0</v>
      </c>
      <c r="AQ17" s="71">
        <f>IF(AND($AM17=1,OR($AA17="Behind",$AA17="At Risk")),1,0)</f>
        <v>0</v>
      </c>
      <c r="AR17" s="71">
        <f>IF(AND($AM17=1,OR($AA17="Ahead",$AA17="On Track")),1,0)</f>
        <v>0</v>
      </c>
      <c r="AS17" s="71">
        <f>IF(OR($AQ17=1,$AP17=1,$AO17=1),1,0)</f>
        <v>0</v>
      </c>
      <c r="AT17" s="71" t="str">
        <f>IF($AS17=1,TRIM(IF($AQ17=1,"Low performance. ","")&amp;IF($AP17=1,"No recent update. ","")&amp;IF($AO17=1,"Past planned end. ","")),"")</f>
        <v/>
      </c>
      <c r="AU17" s="71" t="str">
        <f>IF(AND($AS17=1,$AL17=1),ROW(),"")</f>
        <v/>
      </c>
      <c r="AV17" s="71" t="str">
        <f>IF(AND($AQ17=1,$AL17=1),ROW(),"")</f>
        <v/>
      </c>
      <c r="AW17" s="71" t="str">
        <f>IF(AND($AP17=1,$AL17=1),ROW(),"")</f>
        <v/>
      </c>
      <c r="AX17" s="71" t="str">
        <f>IF(AND($AR17=1,$AL17=1),ROW(),"")</f>
        <v/>
      </c>
      <c r="AY17" s="71">
        <f>IF(AND($B17&lt;&gt;"",$A17=TCL_Client),1,0)</f>
        <v>0</v>
      </c>
      <c r="AZ17" s="71" t="str">
        <f>IF($AY17=1,ROW(),"")</f>
        <v/>
      </c>
      <c r="BA17" s="71">
        <f>IF(AND($B17&lt;&gt;"",$A17=MECCA_Client),1,0)</f>
        <v>0</v>
      </c>
      <c r="BB17" s="71" t="str">
        <f>IF($BA17=1,ROW(),"")</f>
        <v/>
      </c>
    </row>
    <row r="18">
      <c r="A18" s="64" t="inlineStr">
        <is>
          <t>Vestrics</t>
        </is>
      </c>
      <c r="B18" s="65" t="inlineStr">
        <is>
          <t>Vestrics - Google Ads</t>
        </is>
      </c>
      <c r="C18" s="64" t="inlineStr">
        <is>
          <t>CMP-014</t>
        </is>
      </c>
      <c r="D18" s="64" t="n"/>
      <c r="E18" s="64" t="n"/>
      <c r="F18" s="65" t="n"/>
      <c r="G18" s="65" t="n"/>
      <c r="H18" s="64" t="inlineStr">
        <is>
          <t>Google Ads</t>
        </is>
      </c>
      <c r="I18" s="64" t="inlineStr">
        <is>
          <t>Richi Bagla</t>
        </is>
      </c>
      <c r="J18" s="65" t="inlineStr">
        <is>
          <t>Ayush Jain</t>
        </is>
      </c>
      <c r="K18" s="63" t="n"/>
      <c r="L18" s="63" t="n"/>
      <c r="M18" s="63" t="n"/>
      <c r="N18" s="64" t="n"/>
      <c r="O18" s="67" t="n"/>
      <c r="P18" s="72">
        <f>IF($B18="","",SUMIFS('PAID MEDIA ADS'!$G$5:$G$804,'PAID MEDIA ADS'!$C$5:$C$804,$B18))</f>
        <v>0</v>
      </c>
      <c r="Q18" s="67" t="n"/>
      <c r="R18" s="72">
        <f>IF($B18="","",COUNTIFS('LEAD MQL TRACKER'!$C$5:$C$1004,$B18,'LEAD MQL TRACKER'!$AB$5:$AB$1004,1)+SUMIFS('EMAIL MARKETING'!$Q$5:$Q$804,'EMAIL MARKETING'!$C$5:$C$804,$B18)+SUMIFS('PAID MEDIA ADS'!$M$5:$M$804,'PAID MEDIA ADS'!$C$5:$C$804,$B18)+SUMIFS('LINKEDIN OUTREACH'!$N$5:$N$704,'LINKEDIN OUTREACH'!$C$5:$C$704,$B18))</f>
        <v>0</v>
      </c>
      <c r="S18" s="67" t="n"/>
      <c r="T18" s="72">
        <f>IF($B18="","",COUNTIFS('LEAD MQL TRACKER'!$C$5:$C$1004,$B18,'LEAD MQL TRACKER'!$AD$5:$AD$1004,1)+SUMIFS('EMAIL MARKETING'!$R$5:$R$804,'EMAIL MARKETING'!$C$5:$C$804,$B18)+SUMIFS('PAID MEDIA ADS'!$N$5:$N$804,'PAID MEDIA ADS'!$C$5:$C$804,$B18)+SUMIFS('LINKEDIN OUTREACH'!$O$5:$O$704,'LINKEDIN OUTREACH'!$C$5:$C$704,$B18))</f>
        <v>0</v>
      </c>
      <c r="U18" s="67" t="n"/>
      <c r="V18" s="72">
        <f>IF($B18="","",COUNTIFS('LEAD MQL TRACKER'!$C$5:$C$1004,$B18,'LEAD MQL TRACKER'!$AE$5:$AE$1004,1))</f>
        <v>0</v>
      </c>
      <c r="W18" s="72">
        <f>IF($B18="","",COUNTIFS('LEAD MQL TRACKER'!$C$5:$C$1004,$B18,'LEAD MQL TRACKER'!$AC$5:$AC$1004,1)+SUMIFS('LINKEDIN OUTREACH'!$M$5:$M$704,'LINKEDIN OUTREACH'!$C$5:$C$704,$B18))</f>
        <v>0</v>
      </c>
      <c r="X18" s="72">
        <f>IF($B18="","",SUMIFS('EMAIL MARKETING'!$O$5:$O$804,'EMAIL MARKETING'!$C$5:$C$804,$B18)+SUMIFS('LINKEDIN OUTREACH'!$K$5:$K$704,'LINKEDIN OUTREACH'!$C$5:$C$704,$B18))</f>
        <v>0</v>
      </c>
      <c r="Y18" s="73" t="str">
        <f>IF(ISNUMBER($R18),IF($R18&gt;0,$T18/$R18,""),"")</f>
        <v/>
      </c>
      <c r="Z18" s="72" t="str">
        <f>IF(AND(ISNUMBER($P18),ISNUMBER($R18)),IF(AND($P18&gt;0,$R18&gt;0),$P18/$R18,""),"")</f>
        <v/>
      </c>
      <c r="AA18" s="71" t="str">
        <f>IF($B18="","",IF(OR($N18="Live",$N18="Optimizing",$N18="Paused",$N18="Completed"),IF(ISNUMBER($AI18),IF($AI18&gt;=1,"Ahead",IF($AI18&gt;=OnTrackPct,"On Track",IF($AI18&gt;=WatchPct,"Behind","At Risk"))),"No Target Set"),"Not Live"))</f>
        <v>Not Live</v>
      </c>
      <c r="AB18" s="65" t="n"/>
      <c r="AC18" s="65" t="n"/>
      <c r="AD18" s="65" t="inlineStr">
        <is>
          <t>Target as provided: 10-15 leads in a month.</t>
        </is>
      </c>
      <c r="AE18" s="67" t="n"/>
      <c r="AF18" s="67" t="n"/>
      <c r="AG18" s="63" t="n"/>
      <c r="AH18" s="74">
        <f>IF($N18="Completed",1,IF(AND(ISNUMBER($K18),ISNUMBER($L18)),IF($L18&gt;$K18,MIN(1,MAX(0.05,(ReportDate-$K18)/($L18-$K18))),1),1))</f>
        <v>1</v>
      </c>
      <c r="AI18" s="70" t="str">
        <f>IF($B18="","",IF(AND(ISNUMBER($Q18),$Q18&gt;0),$R18/($Q18*$AH18),""))</f>
        <v/>
      </c>
      <c r="AJ18" s="71" t="str">
        <f>IF(ISNUMBER($K18),YEAR($K18)&amp;"-"&amp;TEXT(MONTH($K18),"00"),"")</f>
        <v/>
      </c>
      <c r="AK18" s="71">
        <f>IF($B18="",0,IF(AND(OR(fClient="All",$A18=fClient),OR(fCampaign="All",$B18=fCampaign),OR(fTeam="All",$I18=fTeam),OR(fChannel="All",$H18=fChannel),OR(fCStatus="All",$N18=fCStatus)),1,0))</f>
        <v>1</v>
      </c>
      <c r="AL18" s="71">
        <f>IF($B18="",0,IF(AND(OR(fClient="All",$A18=fClient),OR(fCampaign="All",$B18=fCampaign),OR(fTeam="All",$I18=fTeam),OR(fChannel="All",$H18=fChannel)),1,0))</f>
        <v>1</v>
      </c>
      <c r="AM18" s="71">
        <f>IF(OR($N18="Live",$N18="Optimizing"),1,0)</f>
        <v>0</v>
      </c>
      <c r="AN18" s="71">
        <f>IF(OR($N18="Live",$N18="Optimizing",$N18="Paused",$N18="Completed"),1,0)</f>
        <v>0</v>
      </c>
      <c r="AO18" s="71">
        <f>IF(AND($AM18=1,ISNUMBER($L18),NOT(ISNUMBER($M18))),IF($L18&lt;ReportDate,1,0),0)</f>
        <v>0</v>
      </c>
      <c r="AP18" s="71">
        <f>IF($AM18=1,IF(ISNUMBER($AG18),IF(ReportDate-$AG18&gt;CampStaleDays,1,0),1),0)</f>
        <v>0</v>
      </c>
      <c r="AQ18" s="71">
        <f>IF(AND($AM18=1,OR($AA18="Behind",$AA18="At Risk")),1,0)</f>
        <v>0</v>
      </c>
      <c r="AR18" s="71">
        <f>IF(AND($AM18=1,OR($AA18="Ahead",$AA18="On Track")),1,0)</f>
        <v>0</v>
      </c>
      <c r="AS18" s="71">
        <f>IF(OR($AQ18=1,$AP18=1,$AO18=1),1,0)</f>
        <v>0</v>
      </c>
      <c r="AT18" s="71" t="str">
        <f>IF($AS18=1,TRIM(IF($AQ18=1,"Low performance. ","")&amp;IF($AP18=1,"No recent update. ","")&amp;IF($AO18=1,"Past planned end. ","")),"")</f>
        <v/>
      </c>
      <c r="AU18" s="71" t="str">
        <f>IF(AND($AS18=1,$AL18=1),ROW(),"")</f>
        <v/>
      </c>
      <c r="AV18" s="71" t="str">
        <f>IF(AND($AQ18=1,$AL18=1),ROW(),"")</f>
        <v/>
      </c>
      <c r="AW18" s="71" t="str">
        <f>IF(AND($AP18=1,$AL18=1),ROW(),"")</f>
        <v/>
      </c>
      <c r="AX18" s="71" t="str">
        <f>IF(AND($AR18=1,$AL18=1),ROW(),"")</f>
        <v/>
      </c>
      <c r="AY18" s="71">
        <f>IF(AND($B18&lt;&gt;"",$A18=TCL_Client),1,0)</f>
        <v>0</v>
      </c>
      <c r="AZ18" s="71" t="str">
        <f>IF($AY18=1,ROW(),"")</f>
        <v/>
      </c>
      <c r="BA18" s="71">
        <f>IF(AND($B18&lt;&gt;"",$A18=MECCA_Client),1,0)</f>
        <v>0</v>
      </c>
      <c r="BB18" s="71" t="str">
        <f>IF($BA18=1,ROW(),"")</f>
        <v/>
      </c>
    </row>
    <row r="19">
      <c r="A19" s="64" t="inlineStr">
        <is>
          <t>Eternelle</t>
        </is>
      </c>
      <c r="B19" s="65" t="inlineStr">
        <is>
          <t>Eternelle - Google Ads</t>
        </is>
      </c>
      <c r="C19" s="64" t="inlineStr">
        <is>
          <t>CMP-015</t>
        </is>
      </c>
      <c r="D19" s="64" t="n"/>
      <c r="E19" s="64" t="n"/>
      <c r="F19" s="65" t="n"/>
      <c r="G19" s="65" t="n"/>
      <c r="H19" s="64" t="inlineStr">
        <is>
          <t>Google Ads</t>
        </is>
      </c>
      <c r="I19" s="64" t="inlineStr">
        <is>
          <t>Richi Bagla</t>
        </is>
      </c>
      <c r="J19" s="65" t="inlineStr">
        <is>
          <t>Ayush Jain</t>
        </is>
      </c>
      <c r="K19" s="63" t="n"/>
      <c r="L19" s="63" t="n"/>
      <c r="M19" s="63" t="n"/>
      <c r="N19" s="64" t="n"/>
      <c r="O19" s="67" t="n"/>
      <c r="P19" s="72">
        <f>IF($B19="","",SUMIFS('PAID MEDIA ADS'!$G$5:$G$804,'PAID MEDIA ADS'!$C$5:$C$804,$B19))</f>
        <v>0</v>
      </c>
      <c r="Q19" s="67" t="n"/>
      <c r="R19" s="72">
        <f>IF($B19="","",COUNTIFS('LEAD MQL TRACKER'!$C$5:$C$1004,$B19,'LEAD MQL TRACKER'!$AB$5:$AB$1004,1)+SUMIFS('EMAIL MARKETING'!$Q$5:$Q$804,'EMAIL MARKETING'!$C$5:$C$804,$B19)+SUMIFS('PAID MEDIA ADS'!$M$5:$M$804,'PAID MEDIA ADS'!$C$5:$C$804,$B19)+SUMIFS('LINKEDIN OUTREACH'!$N$5:$N$704,'LINKEDIN OUTREACH'!$C$5:$C$704,$B19))</f>
        <v>0</v>
      </c>
      <c r="S19" s="67" t="n"/>
      <c r="T19" s="72">
        <f>IF($B19="","",COUNTIFS('LEAD MQL TRACKER'!$C$5:$C$1004,$B19,'LEAD MQL TRACKER'!$AD$5:$AD$1004,1)+SUMIFS('EMAIL MARKETING'!$R$5:$R$804,'EMAIL MARKETING'!$C$5:$C$804,$B19)+SUMIFS('PAID MEDIA ADS'!$N$5:$N$804,'PAID MEDIA ADS'!$C$5:$C$804,$B19)+SUMIFS('LINKEDIN OUTREACH'!$O$5:$O$704,'LINKEDIN OUTREACH'!$C$5:$C$704,$B19))</f>
        <v>0</v>
      </c>
      <c r="U19" s="67" t="n"/>
      <c r="V19" s="72">
        <f>IF($B19="","",COUNTIFS('LEAD MQL TRACKER'!$C$5:$C$1004,$B19,'LEAD MQL TRACKER'!$AE$5:$AE$1004,1))</f>
        <v>0</v>
      </c>
      <c r="W19" s="72">
        <f>IF($B19="","",COUNTIFS('LEAD MQL TRACKER'!$C$5:$C$1004,$B19,'LEAD MQL TRACKER'!$AC$5:$AC$1004,1)+SUMIFS('LINKEDIN OUTREACH'!$M$5:$M$704,'LINKEDIN OUTREACH'!$C$5:$C$704,$B19))</f>
        <v>0</v>
      </c>
      <c r="X19" s="72">
        <f>IF($B19="","",SUMIFS('EMAIL MARKETING'!$O$5:$O$804,'EMAIL MARKETING'!$C$5:$C$804,$B19)+SUMIFS('LINKEDIN OUTREACH'!$K$5:$K$704,'LINKEDIN OUTREACH'!$C$5:$C$704,$B19))</f>
        <v>0</v>
      </c>
      <c r="Y19" s="73" t="str">
        <f>IF(ISNUMBER($R19),IF($R19&gt;0,$T19/$R19,""),"")</f>
        <v/>
      </c>
      <c r="Z19" s="72" t="str">
        <f>IF(AND(ISNUMBER($P19),ISNUMBER($R19)),IF(AND($P19&gt;0,$R19&gt;0),$P19/$R19,""),"")</f>
        <v/>
      </c>
      <c r="AA19" s="71" t="str">
        <f>IF($B19="","",IF(OR($N19="Live",$N19="Optimizing",$N19="Paused",$N19="Completed"),IF(ISNUMBER($AI19),IF($AI19&gt;=1,"Ahead",IF($AI19&gt;=OnTrackPct,"On Track",IF($AI19&gt;=WatchPct,"Behind","At Risk"))),"No Target Set"),"Not Live"))</f>
        <v>Not Live</v>
      </c>
      <c r="AB19" s="65" t="n"/>
      <c r="AC19" s="65" t="n"/>
      <c r="AD19" s="65" t="inlineStr">
        <is>
          <t>Target as provided: 8-10 leads daily.</t>
        </is>
      </c>
      <c r="AE19" s="67" t="n"/>
      <c r="AF19" s="67" t="n"/>
      <c r="AG19" s="63" t="n"/>
      <c r="AH19" s="74">
        <f>IF($N19="Completed",1,IF(AND(ISNUMBER($K19),ISNUMBER($L19)),IF($L19&gt;$K19,MIN(1,MAX(0.05,(ReportDate-$K19)/($L19-$K19))),1),1))</f>
        <v>1</v>
      </c>
      <c r="AI19" s="70" t="str">
        <f>IF($B19="","",IF(AND(ISNUMBER($Q19),$Q19&gt;0),$R19/($Q19*$AH19),""))</f>
        <v/>
      </c>
      <c r="AJ19" s="71" t="str">
        <f>IF(ISNUMBER($K19),YEAR($K19)&amp;"-"&amp;TEXT(MONTH($K19),"00"),"")</f>
        <v/>
      </c>
      <c r="AK19" s="71">
        <f>IF($B19="",0,IF(AND(OR(fClient="All",$A19=fClient),OR(fCampaign="All",$B19=fCampaign),OR(fTeam="All",$I19=fTeam),OR(fChannel="All",$H19=fChannel),OR(fCStatus="All",$N19=fCStatus)),1,0))</f>
        <v>1</v>
      </c>
      <c r="AL19" s="71">
        <f>IF($B19="",0,IF(AND(OR(fClient="All",$A19=fClient),OR(fCampaign="All",$B19=fCampaign),OR(fTeam="All",$I19=fTeam),OR(fChannel="All",$H19=fChannel)),1,0))</f>
        <v>1</v>
      </c>
      <c r="AM19" s="71">
        <f>IF(OR($N19="Live",$N19="Optimizing"),1,0)</f>
        <v>0</v>
      </c>
      <c r="AN19" s="71">
        <f>IF(OR($N19="Live",$N19="Optimizing",$N19="Paused",$N19="Completed"),1,0)</f>
        <v>0</v>
      </c>
      <c r="AO19" s="71">
        <f>IF(AND($AM19=1,ISNUMBER($L19),NOT(ISNUMBER($M19))),IF($L19&lt;ReportDate,1,0),0)</f>
        <v>0</v>
      </c>
      <c r="AP19" s="71">
        <f>IF($AM19=1,IF(ISNUMBER($AG19),IF(ReportDate-$AG19&gt;CampStaleDays,1,0),1),0)</f>
        <v>0</v>
      </c>
      <c r="AQ19" s="71">
        <f>IF(AND($AM19=1,OR($AA19="Behind",$AA19="At Risk")),1,0)</f>
        <v>0</v>
      </c>
      <c r="AR19" s="71">
        <f>IF(AND($AM19=1,OR($AA19="Ahead",$AA19="On Track")),1,0)</f>
        <v>0</v>
      </c>
      <c r="AS19" s="71">
        <f>IF(OR($AQ19=1,$AP19=1,$AO19=1),1,0)</f>
        <v>0</v>
      </c>
      <c r="AT19" s="71" t="str">
        <f>IF($AS19=1,TRIM(IF($AQ19=1,"Low performance. ","")&amp;IF($AP19=1,"No recent update. ","")&amp;IF($AO19=1,"Past planned end. ","")),"")</f>
        <v/>
      </c>
      <c r="AU19" s="71" t="str">
        <f>IF(AND($AS19=1,$AL19=1),ROW(),"")</f>
        <v/>
      </c>
      <c r="AV19" s="71" t="str">
        <f>IF(AND($AQ19=1,$AL19=1),ROW(),"")</f>
        <v/>
      </c>
      <c r="AW19" s="71" t="str">
        <f>IF(AND($AP19=1,$AL19=1),ROW(),"")</f>
        <v/>
      </c>
      <c r="AX19" s="71" t="str">
        <f>IF(AND($AR19=1,$AL19=1),ROW(),"")</f>
        <v/>
      </c>
      <c r="AY19" s="71">
        <f>IF(AND($B19&lt;&gt;"",$A19=TCL_Client),1,0)</f>
        <v>0</v>
      </c>
      <c r="AZ19" s="71" t="str">
        <f>IF($AY19=1,ROW(),"")</f>
        <v/>
      </c>
      <c r="BA19" s="71">
        <f>IF(AND($B19&lt;&gt;"",$A19=MECCA_Client),1,0)</f>
        <v>0</v>
      </c>
      <c r="BB19" s="71" t="str">
        <f>IF($BA19=1,ROW(),"")</f>
        <v/>
      </c>
    </row>
    <row r="20">
      <c r="A20" s="64" t="inlineStr">
        <is>
          <t>Magnasoft</t>
        </is>
      </c>
      <c r="B20" s="65" t="inlineStr">
        <is>
          <t>Magnasoft - Google Ads</t>
        </is>
      </c>
      <c r="C20" s="64" t="inlineStr">
        <is>
          <t>CMP-016</t>
        </is>
      </c>
      <c r="D20" s="64" t="n"/>
      <c r="E20" s="64" t="n"/>
      <c r="F20" s="65" t="n"/>
      <c r="G20" s="65" t="n"/>
      <c r="H20" s="64" t="inlineStr">
        <is>
          <t>Google Ads</t>
        </is>
      </c>
      <c r="I20" s="64" t="inlineStr">
        <is>
          <t>Richi Bagla</t>
        </is>
      </c>
      <c r="J20" s="65" t="n"/>
      <c r="K20" s="63" t="n"/>
      <c r="L20" s="63" t="n"/>
      <c r="M20" s="63" t="n"/>
      <c r="N20" s="64" t="n"/>
      <c r="O20" s="67" t="n"/>
      <c r="P20" s="72">
        <f>IF($B20="","",SUMIFS('PAID MEDIA ADS'!$G$5:$G$804,'PAID MEDIA ADS'!$C$5:$C$804,$B20))</f>
        <v>0</v>
      </c>
      <c r="Q20" s="67" t="n"/>
      <c r="R20" s="72">
        <f>IF($B20="","",COUNTIFS('LEAD MQL TRACKER'!$C$5:$C$1004,$B20,'LEAD MQL TRACKER'!$AB$5:$AB$1004,1)+SUMIFS('EMAIL MARKETING'!$Q$5:$Q$804,'EMAIL MARKETING'!$C$5:$C$804,$B20)+SUMIFS('PAID MEDIA ADS'!$M$5:$M$804,'PAID MEDIA ADS'!$C$5:$C$804,$B20)+SUMIFS('LINKEDIN OUTREACH'!$N$5:$N$704,'LINKEDIN OUTREACH'!$C$5:$C$704,$B20))</f>
        <v>0</v>
      </c>
      <c r="S20" s="67" t="n"/>
      <c r="T20" s="72">
        <f>IF($B20="","",COUNTIFS('LEAD MQL TRACKER'!$C$5:$C$1004,$B20,'LEAD MQL TRACKER'!$AD$5:$AD$1004,1)+SUMIFS('EMAIL MARKETING'!$R$5:$R$804,'EMAIL MARKETING'!$C$5:$C$804,$B20)+SUMIFS('PAID MEDIA ADS'!$N$5:$N$804,'PAID MEDIA ADS'!$C$5:$C$804,$B20)+SUMIFS('LINKEDIN OUTREACH'!$O$5:$O$704,'LINKEDIN OUTREACH'!$C$5:$C$704,$B20))</f>
        <v>0</v>
      </c>
      <c r="U20" s="67" t="n"/>
      <c r="V20" s="72">
        <f>IF($B20="","",COUNTIFS('LEAD MQL TRACKER'!$C$5:$C$1004,$B20,'LEAD MQL TRACKER'!$AE$5:$AE$1004,1))</f>
        <v>0</v>
      </c>
      <c r="W20" s="72">
        <f>IF($B20="","",COUNTIFS('LEAD MQL TRACKER'!$C$5:$C$1004,$B20,'LEAD MQL TRACKER'!$AC$5:$AC$1004,1)+SUMIFS('LINKEDIN OUTREACH'!$M$5:$M$704,'LINKEDIN OUTREACH'!$C$5:$C$704,$B20))</f>
        <v>0</v>
      </c>
      <c r="X20" s="72">
        <f>IF($B20="","",SUMIFS('EMAIL MARKETING'!$O$5:$O$804,'EMAIL MARKETING'!$C$5:$C$804,$B20)+SUMIFS('LINKEDIN OUTREACH'!$K$5:$K$704,'LINKEDIN OUTREACH'!$C$5:$C$704,$B20))</f>
        <v>0</v>
      </c>
      <c r="Y20" s="73" t="str">
        <f>IF(ISNUMBER($R20),IF($R20&gt;0,$T20/$R20,""),"")</f>
        <v/>
      </c>
      <c r="Z20" s="72" t="str">
        <f>IF(AND(ISNUMBER($P20),ISNUMBER($R20)),IF(AND($P20&gt;0,$R20&gt;0),$P20/$R20,""),"")</f>
        <v/>
      </c>
      <c r="AA20" s="71" t="str">
        <f>IF($B20="","",IF(OR($N20="Live",$N20="Optimizing",$N20="Paused",$N20="Completed"),IF(ISNUMBER($AI20),IF($AI20&gt;=1,"Ahead",IF($AI20&gt;=OnTrackPct,"On Track",IF($AI20&gt;=WatchPct,"Behind","At Risk"))),"No Target Set"),"Not Live"))</f>
        <v>Not Live</v>
      </c>
      <c r="AB20" s="65" t="n"/>
      <c r="AC20" s="65" t="n"/>
      <c r="AD20" s="65" t="inlineStr">
        <is>
          <t>Target: 'No update' in Project Updates.</t>
        </is>
      </c>
      <c r="AE20" s="67" t="n"/>
      <c r="AF20" s="67" t="n"/>
      <c r="AG20" s="63" t="n"/>
      <c r="AH20" s="74">
        <f>IF($N20="Completed",1,IF(AND(ISNUMBER($K20),ISNUMBER($L20)),IF($L20&gt;$K20,MIN(1,MAX(0.05,(ReportDate-$K20)/($L20-$K20))),1),1))</f>
        <v>1</v>
      </c>
      <c r="AI20" s="70" t="str">
        <f>IF($B20="","",IF(AND(ISNUMBER($Q20),$Q20&gt;0),$R20/($Q20*$AH20),""))</f>
        <v/>
      </c>
      <c r="AJ20" s="71" t="str">
        <f>IF(ISNUMBER($K20),YEAR($K20)&amp;"-"&amp;TEXT(MONTH($K20),"00"),"")</f>
        <v/>
      </c>
      <c r="AK20" s="71">
        <f>IF($B20="",0,IF(AND(OR(fClient="All",$A20=fClient),OR(fCampaign="All",$B20=fCampaign),OR(fTeam="All",$I20=fTeam),OR(fChannel="All",$H20=fChannel),OR(fCStatus="All",$N20=fCStatus)),1,0))</f>
        <v>1</v>
      </c>
      <c r="AL20" s="71">
        <f>IF($B20="",0,IF(AND(OR(fClient="All",$A20=fClient),OR(fCampaign="All",$B20=fCampaign),OR(fTeam="All",$I20=fTeam),OR(fChannel="All",$H20=fChannel)),1,0))</f>
        <v>1</v>
      </c>
      <c r="AM20" s="71">
        <f>IF(OR($N20="Live",$N20="Optimizing"),1,0)</f>
        <v>0</v>
      </c>
      <c r="AN20" s="71">
        <f>IF(OR($N20="Live",$N20="Optimizing",$N20="Paused",$N20="Completed"),1,0)</f>
        <v>0</v>
      </c>
      <c r="AO20" s="71">
        <f>IF(AND($AM20=1,ISNUMBER($L20),NOT(ISNUMBER($M20))),IF($L20&lt;ReportDate,1,0),0)</f>
        <v>0</v>
      </c>
      <c r="AP20" s="71">
        <f>IF($AM20=1,IF(ISNUMBER($AG20),IF(ReportDate-$AG20&gt;CampStaleDays,1,0),1),0)</f>
        <v>0</v>
      </c>
      <c r="AQ20" s="71">
        <f>IF(AND($AM20=1,OR($AA20="Behind",$AA20="At Risk")),1,0)</f>
        <v>0</v>
      </c>
      <c r="AR20" s="71">
        <f>IF(AND($AM20=1,OR($AA20="Ahead",$AA20="On Track")),1,0)</f>
        <v>0</v>
      </c>
      <c r="AS20" s="71">
        <f>IF(OR($AQ20=1,$AP20=1,$AO20=1),1,0)</f>
        <v>0</v>
      </c>
      <c r="AT20" s="71" t="str">
        <f>IF($AS20=1,TRIM(IF($AQ20=1,"Low performance. ","")&amp;IF($AP20=1,"No recent update. ","")&amp;IF($AO20=1,"Past planned end. ","")),"")</f>
        <v/>
      </c>
      <c r="AU20" s="71" t="str">
        <f>IF(AND($AS20=1,$AL20=1),ROW(),"")</f>
        <v/>
      </c>
      <c r="AV20" s="71" t="str">
        <f>IF(AND($AQ20=1,$AL20=1),ROW(),"")</f>
        <v/>
      </c>
      <c r="AW20" s="71" t="str">
        <f>IF(AND($AP20=1,$AL20=1),ROW(),"")</f>
        <v/>
      </c>
      <c r="AX20" s="71" t="str">
        <f>IF(AND($AR20=1,$AL20=1),ROW(),"")</f>
        <v/>
      </c>
      <c r="AY20" s="71">
        <f>IF(AND($B20&lt;&gt;"",$A20=TCL_Client),1,0)</f>
        <v>0</v>
      </c>
      <c r="AZ20" s="71" t="str">
        <f>IF($AY20=1,ROW(),"")</f>
        <v/>
      </c>
      <c r="BA20" s="71">
        <f>IF(AND($B20&lt;&gt;"",$A20=MECCA_Client),1,0)</f>
        <v>0</v>
      </c>
      <c r="BB20" s="71" t="str">
        <f>IF($BA20=1,ROW(),"")</f>
        <v/>
      </c>
    </row>
    <row r="21">
      <c r="A21" s="64" t="inlineStr">
        <is>
          <t>Ruckus Networks</t>
        </is>
      </c>
      <c r="B21" s="65" t="inlineStr">
        <is>
          <t>Ruckus - Content Syndication (Email)</t>
        </is>
      </c>
      <c r="C21" s="64" t="inlineStr">
        <is>
          <t>CMP-017</t>
        </is>
      </c>
      <c r="D21" s="64" t="n"/>
      <c r="E21" s="64" t="n"/>
      <c r="F21" s="65" t="n"/>
      <c r="G21" s="65" t="n"/>
      <c r="H21" s="64" t="inlineStr">
        <is>
          <t>Content Syndication</t>
        </is>
      </c>
      <c r="I21" s="64" t="inlineStr">
        <is>
          <t>Richi Bagla</t>
        </is>
      </c>
      <c r="J21" s="65" t="n"/>
      <c r="K21" s="63" t="n"/>
      <c r="L21" s="63" t="n"/>
      <c r="M21" s="63" t="n"/>
      <c r="N21" s="64" t="n"/>
      <c r="O21" s="67" t="n"/>
      <c r="P21" s="72">
        <f>IF($B21="","",SUMIFS('PAID MEDIA ADS'!$G$5:$G$804,'PAID MEDIA ADS'!$C$5:$C$804,$B21))</f>
        <v>0</v>
      </c>
      <c r="Q21" s="67" t="n">
        <v>50</v>
      </c>
      <c r="R21" s="72">
        <f>IF($B21="","",COUNTIFS('LEAD MQL TRACKER'!$C$5:$C$1004,$B21,'LEAD MQL TRACKER'!$AB$5:$AB$1004,1)+SUMIFS('EMAIL MARKETING'!$Q$5:$Q$804,'EMAIL MARKETING'!$C$5:$C$804,$B21)+SUMIFS('PAID MEDIA ADS'!$M$5:$M$804,'PAID MEDIA ADS'!$C$5:$C$804,$B21)+SUMIFS('LINKEDIN OUTREACH'!$N$5:$N$704,'LINKEDIN OUTREACH'!$C$5:$C$704,$B21))</f>
        <v>0</v>
      </c>
      <c r="S21" s="67" t="n"/>
      <c r="T21" s="72">
        <f>IF($B21="","",COUNTIFS('LEAD MQL TRACKER'!$C$5:$C$1004,$B21,'LEAD MQL TRACKER'!$AD$5:$AD$1004,1)+SUMIFS('EMAIL MARKETING'!$R$5:$R$804,'EMAIL MARKETING'!$C$5:$C$804,$B21)+SUMIFS('PAID MEDIA ADS'!$N$5:$N$804,'PAID MEDIA ADS'!$C$5:$C$804,$B21)+SUMIFS('LINKEDIN OUTREACH'!$O$5:$O$704,'LINKEDIN OUTREACH'!$C$5:$C$704,$B21))</f>
        <v>0</v>
      </c>
      <c r="U21" s="67" t="n"/>
      <c r="V21" s="72">
        <f>IF($B21="","",COUNTIFS('LEAD MQL TRACKER'!$C$5:$C$1004,$B21,'LEAD MQL TRACKER'!$AE$5:$AE$1004,1))</f>
        <v>0</v>
      </c>
      <c r="W21" s="72">
        <f>IF($B21="","",COUNTIFS('LEAD MQL TRACKER'!$C$5:$C$1004,$B21,'LEAD MQL TRACKER'!$AC$5:$AC$1004,1)+SUMIFS('LINKEDIN OUTREACH'!$M$5:$M$704,'LINKEDIN OUTREACH'!$C$5:$C$704,$B21))</f>
        <v>0</v>
      </c>
      <c r="X21" s="72">
        <f>IF($B21="","",SUMIFS('EMAIL MARKETING'!$O$5:$O$804,'EMAIL MARKETING'!$C$5:$C$804,$B21)+SUMIFS('LINKEDIN OUTREACH'!$K$5:$K$704,'LINKEDIN OUTREACH'!$C$5:$C$704,$B21))</f>
        <v>0</v>
      </c>
      <c r="Y21" s="73" t="str">
        <f>IF(ISNUMBER($R21),IF($R21&gt;0,$T21/$R21,""),"")</f>
        <v/>
      </c>
      <c r="Z21" s="72" t="str">
        <f>IF(AND(ISNUMBER($P21),ISNUMBER($R21)),IF(AND($P21&gt;0,$R21&gt;0),$P21/$R21,""),"")</f>
        <v/>
      </c>
      <c r="AA21" s="71" t="str">
        <f>IF($B21="","",IF(OR($N21="Live",$N21="Optimizing",$N21="Paused",$N21="Completed"),IF(ISNUMBER($AI21),IF($AI21&gt;=1,"Ahead",IF($AI21&gt;=OnTrackPct,"On Track",IF($AI21&gt;=WatchPct,"Behind","At Risk"))),"No Target Set"),"Not Live"))</f>
        <v>Not Live</v>
      </c>
      <c r="AB21" s="65" t="n"/>
      <c r="AC21" s="65" t="n"/>
      <c r="AD21" s="65" t="inlineStr">
        <is>
          <t>Target: 50 form fills (Project Updates); 50 leads over 3 months (billing sheet).</t>
        </is>
      </c>
      <c r="AE21" s="67" t="n"/>
      <c r="AF21" s="67" t="n"/>
      <c r="AG21" s="63" t="n"/>
      <c r="AH21" s="74">
        <f>IF($N21="Completed",1,IF(AND(ISNUMBER($K21),ISNUMBER($L21)),IF($L21&gt;$K21,MIN(1,MAX(0.05,(ReportDate-$K21)/($L21-$K21))),1),1))</f>
        <v>1</v>
      </c>
      <c r="AI21" s="70">
        <f>IF($B21="","",IF(AND(ISNUMBER($Q21),$Q21&gt;0),$R21/($Q21*$AH21),""))</f>
        <v>0</v>
      </c>
      <c r="AJ21" s="71" t="str">
        <f>IF(ISNUMBER($K21),YEAR($K21)&amp;"-"&amp;TEXT(MONTH($K21),"00"),"")</f>
        <v/>
      </c>
      <c r="AK21" s="71">
        <f>IF($B21="",0,IF(AND(OR(fClient="All",$A21=fClient),OR(fCampaign="All",$B21=fCampaign),OR(fTeam="All",$I21=fTeam),OR(fChannel="All",$H21=fChannel),OR(fCStatus="All",$N21=fCStatus)),1,0))</f>
        <v>1</v>
      </c>
      <c r="AL21" s="71">
        <f>IF($B21="",0,IF(AND(OR(fClient="All",$A21=fClient),OR(fCampaign="All",$B21=fCampaign),OR(fTeam="All",$I21=fTeam),OR(fChannel="All",$H21=fChannel)),1,0))</f>
        <v>1</v>
      </c>
      <c r="AM21" s="71">
        <f>IF(OR($N21="Live",$N21="Optimizing"),1,0)</f>
        <v>0</v>
      </c>
      <c r="AN21" s="71">
        <f>IF(OR($N21="Live",$N21="Optimizing",$N21="Paused",$N21="Completed"),1,0)</f>
        <v>0</v>
      </c>
      <c r="AO21" s="71">
        <f>IF(AND($AM21=1,ISNUMBER($L21),NOT(ISNUMBER($M21))),IF($L21&lt;ReportDate,1,0),0)</f>
        <v>0</v>
      </c>
      <c r="AP21" s="71">
        <f>IF($AM21=1,IF(ISNUMBER($AG21),IF(ReportDate-$AG21&gt;CampStaleDays,1,0),1),0)</f>
        <v>0</v>
      </c>
      <c r="AQ21" s="71">
        <f>IF(AND($AM21=1,OR($AA21="Behind",$AA21="At Risk")),1,0)</f>
        <v>0</v>
      </c>
      <c r="AR21" s="71">
        <f>IF(AND($AM21=1,OR($AA21="Ahead",$AA21="On Track")),1,0)</f>
        <v>0</v>
      </c>
      <c r="AS21" s="71">
        <f>IF(OR($AQ21=1,$AP21=1,$AO21=1),1,0)</f>
        <v>0</v>
      </c>
      <c r="AT21" s="71" t="str">
        <f>IF($AS21=1,TRIM(IF($AQ21=1,"Low performance. ","")&amp;IF($AP21=1,"No recent update. ","")&amp;IF($AO21=1,"Past planned end. ","")),"")</f>
        <v/>
      </c>
      <c r="AU21" s="71" t="str">
        <f>IF(AND($AS21=1,$AL21=1),ROW(),"")</f>
        <v/>
      </c>
      <c r="AV21" s="71" t="str">
        <f>IF(AND($AQ21=1,$AL21=1),ROW(),"")</f>
        <v/>
      </c>
      <c r="AW21" s="71" t="str">
        <f>IF(AND($AP21=1,$AL21=1),ROW(),"")</f>
        <v/>
      </c>
      <c r="AX21" s="71" t="str">
        <f>IF(AND($AR21=1,$AL21=1),ROW(),"")</f>
        <v/>
      </c>
      <c r="AY21" s="71">
        <f>IF(AND($B21&lt;&gt;"",$A21=TCL_Client),1,0)</f>
        <v>0</v>
      </c>
      <c r="AZ21" s="71" t="str">
        <f>IF($AY21=1,ROW(),"")</f>
        <v/>
      </c>
      <c r="BA21" s="71">
        <f>IF(AND($B21&lt;&gt;"",$A21=MECCA_Client),1,0)</f>
        <v>0</v>
      </c>
      <c r="BB21" s="71" t="str">
        <f>IF($BA21=1,ROW(),"")</f>
        <v/>
      </c>
    </row>
    <row r="22">
      <c r="A22" s="64" t="inlineStr">
        <is>
          <t>Equinix</t>
        </is>
      </c>
      <c r="B22" s="65" t="inlineStr">
        <is>
          <t>Equinix - Content Syndication (Email)</t>
        </is>
      </c>
      <c r="C22" s="64" t="inlineStr">
        <is>
          <t>CMP-018</t>
        </is>
      </c>
      <c r="D22" s="64" t="n"/>
      <c r="E22" s="64" t="n"/>
      <c r="F22" s="65" t="n"/>
      <c r="G22" s="65" t="n"/>
      <c r="H22" s="64" t="inlineStr">
        <is>
          <t>Content Syndication</t>
        </is>
      </c>
      <c r="I22" s="64" t="inlineStr">
        <is>
          <t>Richi Bagla</t>
        </is>
      </c>
      <c r="J22" s="65" t="n"/>
      <c r="K22" s="63" t="n"/>
      <c r="L22" s="63" t="n"/>
      <c r="M22" s="63" t="n"/>
      <c r="N22" s="64" t="n"/>
      <c r="O22" s="67" t="n"/>
      <c r="P22" s="72">
        <f>IF($B22="","",SUMIFS('PAID MEDIA ADS'!$G$5:$G$804,'PAID MEDIA ADS'!$C$5:$C$804,$B22))</f>
        <v>0</v>
      </c>
      <c r="Q22" s="67" t="n">
        <v>150</v>
      </c>
      <c r="R22" s="72">
        <f>IF($B22="","",COUNTIFS('LEAD MQL TRACKER'!$C$5:$C$1004,$B22,'LEAD MQL TRACKER'!$AB$5:$AB$1004,1)+SUMIFS('EMAIL MARKETING'!$Q$5:$Q$804,'EMAIL MARKETING'!$C$5:$C$804,$B22)+SUMIFS('PAID MEDIA ADS'!$M$5:$M$804,'PAID MEDIA ADS'!$C$5:$C$804,$B22)+SUMIFS('LINKEDIN OUTREACH'!$N$5:$N$704,'LINKEDIN OUTREACH'!$C$5:$C$704,$B22))</f>
        <v>0</v>
      </c>
      <c r="S22" s="67" t="n"/>
      <c r="T22" s="72">
        <f>IF($B22="","",COUNTIFS('LEAD MQL TRACKER'!$C$5:$C$1004,$B22,'LEAD MQL TRACKER'!$AD$5:$AD$1004,1)+SUMIFS('EMAIL MARKETING'!$R$5:$R$804,'EMAIL MARKETING'!$C$5:$C$804,$B22)+SUMIFS('PAID MEDIA ADS'!$N$5:$N$804,'PAID MEDIA ADS'!$C$5:$C$804,$B22)+SUMIFS('LINKEDIN OUTREACH'!$O$5:$O$704,'LINKEDIN OUTREACH'!$C$5:$C$704,$B22))</f>
        <v>0</v>
      </c>
      <c r="U22" s="67" t="n"/>
      <c r="V22" s="72">
        <f>IF($B22="","",COUNTIFS('LEAD MQL TRACKER'!$C$5:$C$1004,$B22,'LEAD MQL TRACKER'!$AE$5:$AE$1004,1))</f>
        <v>0</v>
      </c>
      <c r="W22" s="72">
        <f>IF($B22="","",COUNTIFS('LEAD MQL TRACKER'!$C$5:$C$1004,$B22,'LEAD MQL TRACKER'!$AC$5:$AC$1004,1)+SUMIFS('LINKEDIN OUTREACH'!$M$5:$M$704,'LINKEDIN OUTREACH'!$C$5:$C$704,$B22))</f>
        <v>0</v>
      </c>
      <c r="X22" s="72">
        <f>IF($B22="","",SUMIFS('EMAIL MARKETING'!$O$5:$O$804,'EMAIL MARKETING'!$C$5:$C$804,$B22)+SUMIFS('LINKEDIN OUTREACH'!$K$5:$K$704,'LINKEDIN OUTREACH'!$C$5:$C$704,$B22))</f>
        <v>0</v>
      </c>
      <c r="Y22" s="73" t="str">
        <f>IF(ISNUMBER($R22),IF($R22&gt;0,$T22/$R22,""),"")</f>
        <v/>
      </c>
      <c r="Z22" s="72" t="str">
        <f>IF(AND(ISNUMBER($P22),ISNUMBER($R22)),IF(AND($P22&gt;0,$R22&gt;0),$P22/$R22,""),"")</f>
        <v/>
      </c>
      <c r="AA22" s="71" t="str">
        <f>IF($B22="","",IF(OR($N22="Live",$N22="Optimizing",$N22="Paused",$N22="Completed"),IF(ISNUMBER($AI22),IF($AI22&gt;=1,"Ahead",IF($AI22&gt;=OnTrackPct,"On Track",IF($AI22&gt;=WatchPct,"Behind","At Risk"))),"No Target Set"),"Not Live"))</f>
        <v>Not Live</v>
      </c>
      <c r="AB22" s="65" t="n"/>
      <c r="AC22" s="65" t="n"/>
      <c r="AD22" s="65" t="inlineStr">
        <is>
          <t>Target: 150 form fills (Project Updates); 150 leads by Dec'26 (billing sheet).</t>
        </is>
      </c>
      <c r="AE22" s="67" t="n"/>
      <c r="AF22" s="67" t="n"/>
      <c r="AG22" s="63" t="n"/>
      <c r="AH22" s="74">
        <f>IF($N22="Completed",1,IF(AND(ISNUMBER($K22),ISNUMBER($L22)),IF($L22&gt;$K22,MIN(1,MAX(0.05,(ReportDate-$K22)/($L22-$K22))),1),1))</f>
        <v>1</v>
      </c>
      <c r="AI22" s="70">
        <f>IF($B22="","",IF(AND(ISNUMBER($Q22),$Q22&gt;0),$R22/($Q22*$AH22),""))</f>
        <v>0</v>
      </c>
      <c r="AJ22" s="71" t="str">
        <f>IF(ISNUMBER($K22),YEAR($K22)&amp;"-"&amp;TEXT(MONTH($K22),"00"),"")</f>
        <v/>
      </c>
      <c r="AK22" s="71">
        <f>IF($B22="",0,IF(AND(OR(fClient="All",$A22=fClient),OR(fCampaign="All",$B22=fCampaign),OR(fTeam="All",$I22=fTeam),OR(fChannel="All",$H22=fChannel),OR(fCStatus="All",$N22=fCStatus)),1,0))</f>
        <v>1</v>
      </c>
      <c r="AL22" s="71">
        <f>IF($B22="",0,IF(AND(OR(fClient="All",$A22=fClient),OR(fCampaign="All",$B22=fCampaign),OR(fTeam="All",$I22=fTeam),OR(fChannel="All",$H22=fChannel)),1,0))</f>
        <v>1</v>
      </c>
      <c r="AM22" s="71">
        <f>IF(OR($N22="Live",$N22="Optimizing"),1,0)</f>
        <v>0</v>
      </c>
      <c r="AN22" s="71">
        <f>IF(OR($N22="Live",$N22="Optimizing",$N22="Paused",$N22="Completed"),1,0)</f>
        <v>0</v>
      </c>
      <c r="AO22" s="71">
        <f>IF(AND($AM22=1,ISNUMBER($L22),NOT(ISNUMBER($M22))),IF($L22&lt;ReportDate,1,0),0)</f>
        <v>0</v>
      </c>
      <c r="AP22" s="71">
        <f>IF($AM22=1,IF(ISNUMBER($AG22),IF(ReportDate-$AG22&gt;CampStaleDays,1,0),1),0)</f>
        <v>0</v>
      </c>
      <c r="AQ22" s="71">
        <f>IF(AND($AM22=1,OR($AA22="Behind",$AA22="At Risk")),1,0)</f>
        <v>0</v>
      </c>
      <c r="AR22" s="71">
        <f>IF(AND($AM22=1,OR($AA22="Ahead",$AA22="On Track")),1,0)</f>
        <v>0</v>
      </c>
      <c r="AS22" s="71">
        <f>IF(OR($AQ22=1,$AP22=1,$AO22=1),1,0)</f>
        <v>0</v>
      </c>
      <c r="AT22" s="71" t="str">
        <f>IF($AS22=1,TRIM(IF($AQ22=1,"Low performance. ","")&amp;IF($AP22=1,"No recent update. ","")&amp;IF($AO22=1,"Past planned end. ","")),"")</f>
        <v/>
      </c>
      <c r="AU22" s="71" t="str">
        <f>IF(AND($AS22=1,$AL22=1),ROW(),"")</f>
        <v/>
      </c>
      <c r="AV22" s="71" t="str">
        <f>IF(AND($AQ22=1,$AL22=1),ROW(),"")</f>
        <v/>
      </c>
      <c r="AW22" s="71" t="str">
        <f>IF(AND($AP22=1,$AL22=1),ROW(),"")</f>
        <v/>
      </c>
      <c r="AX22" s="71" t="str">
        <f>IF(AND($AR22=1,$AL22=1),ROW(),"")</f>
        <v/>
      </c>
      <c r="AY22" s="71">
        <f>IF(AND($B22&lt;&gt;"",$A22=TCL_Client),1,0)</f>
        <v>0</v>
      </c>
      <c r="AZ22" s="71" t="str">
        <f>IF($AY22=1,ROW(),"")</f>
        <v/>
      </c>
      <c r="BA22" s="71">
        <f>IF(AND($B22&lt;&gt;"",$A22=MECCA_Client),1,0)</f>
        <v>0</v>
      </c>
      <c r="BB22" s="71" t="str">
        <f>IF($BA22=1,ROW(),"")</f>
        <v/>
      </c>
    </row>
    <row r="23">
      <c r="A23" s="64" t="inlineStr">
        <is>
          <t>Google Chrome Enterprise</t>
        </is>
      </c>
      <c r="B23" s="65" t="inlineStr">
        <is>
          <t>Google Chrome - Content Syndication (Email)</t>
        </is>
      </c>
      <c r="C23" s="64" t="inlineStr">
        <is>
          <t>CMP-019</t>
        </is>
      </c>
      <c r="D23" s="64" t="n"/>
      <c r="E23" s="64" t="n"/>
      <c r="F23" s="65" t="n"/>
      <c r="G23" s="65" t="n"/>
      <c r="H23" s="64" t="inlineStr">
        <is>
          <t>Content Syndication</t>
        </is>
      </c>
      <c r="I23" s="64" t="inlineStr">
        <is>
          <t>Riya Diwan</t>
        </is>
      </c>
      <c r="J23" s="65" t="inlineStr">
        <is>
          <t>Ayush Jain</t>
        </is>
      </c>
      <c r="K23" s="63" t="n"/>
      <c r="L23" s="63" t="n"/>
      <c r="M23" s="63" t="n"/>
      <c r="N23" s="64" t="n"/>
      <c r="O23" s="67" t="n"/>
      <c r="P23" s="72">
        <f>IF($B23="","",SUMIFS('PAID MEDIA ADS'!$G$5:$G$804,'PAID MEDIA ADS'!$C$5:$C$804,$B23))</f>
        <v>0</v>
      </c>
      <c r="Q23" s="67" t="n"/>
      <c r="R23" s="72">
        <f>IF($B23="","",COUNTIFS('LEAD MQL TRACKER'!$C$5:$C$1004,$B23,'LEAD MQL TRACKER'!$AB$5:$AB$1004,1)+SUMIFS('EMAIL MARKETING'!$Q$5:$Q$804,'EMAIL MARKETING'!$C$5:$C$804,$B23)+SUMIFS('PAID MEDIA ADS'!$M$5:$M$804,'PAID MEDIA ADS'!$C$5:$C$804,$B23)+SUMIFS('LINKEDIN OUTREACH'!$N$5:$N$704,'LINKEDIN OUTREACH'!$C$5:$C$704,$B23))</f>
        <v>0</v>
      </c>
      <c r="S23" s="67" t="n"/>
      <c r="T23" s="72">
        <f>IF($B23="","",COUNTIFS('LEAD MQL TRACKER'!$C$5:$C$1004,$B23,'LEAD MQL TRACKER'!$AD$5:$AD$1004,1)+SUMIFS('EMAIL MARKETING'!$R$5:$R$804,'EMAIL MARKETING'!$C$5:$C$804,$B23)+SUMIFS('PAID MEDIA ADS'!$N$5:$N$804,'PAID MEDIA ADS'!$C$5:$C$804,$B23)+SUMIFS('LINKEDIN OUTREACH'!$O$5:$O$704,'LINKEDIN OUTREACH'!$C$5:$C$704,$B23))</f>
        <v>0</v>
      </c>
      <c r="U23" s="67" t="n"/>
      <c r="V23" s="72">
        <f>IF($B23="","",COUNTIFS('LEAD MQL TRACKER'!$C$5:$C$1004,$B23,'LEAD MQL TRACKER'!$AE$5:$AE$1004,1))</f>
        <v>0</v>
      </c>
      <c r="W23" s="72">
        <f>IF($B23="","",COUNTIFS('LEAD MQL TRACKER'!$C$5:$C$1004,$B23,'LEAD MQL TRACKER'!$AC$5:$AC$1004,1)+SUMIFS('LINKEDIN OUTREACH'!$M$5:$M$704,'LINKEDIN OUTREACH'!$C$5:$C$704,$B23))</f>
        <v>0</v>
      </c>
      <c r="X23" s="72">
        <f>IF($B23="","",SUMIFS('EMAIL MARKETING'!$O$5:$O$804,'EMAIL MARKETING'!$C$5:$C$804,$B23)+SUMIFS('LINKEDIN OUTREACH'!$K$5:$K$704,'LINKEDIN OUTREACH'!$C$5:$C$704,$B23))</f>
        <v>0</v>
      </c>
      <c r="Y23" s="73" t="str">
        <f>IF(ISNUMBER($R23),IF($R23&gt;0,$T23/$R23,""),"")</f>
        <v/>
      </c>
      <c r="Z23" s="72" t="str">
        <f>IF(AND(ISNUMBER($P23),ISNUMBER($R23)),IF(AND($P23&gt;0,$R23&gt;0),$P23/$R23,""),"")</f>
        <v/>
      </c>
      <c r="AA23" s="71" t="str">
        <f>IF($B23="","",IF(OR($N23="Live",$N23="Optimizing",$N23="Paused",$N23="Completed"),IF(ISNUMBER($AI23),IF($AI23&gt;=1,"Ahead",IF($AI23&gt;=OnTrackPct,"On Track",IF($AI23&gt;=WatchPct,"Behind","At Risk"))),"No Target Set"),"Not Live"))</f>
        <v>Not Live</v>
      </c>
      <c r="AB23" s="65" t="n"/>
      <c r="AC23" s="65" t="n"/>
      <c r="AD23" s="65" t="inlineStr">
        <is>
          <t>Reporting needs: form fills, opens/clicks data.</t>
        </is>
      </c>
      <c r="AE23" s="67" t="n"/>
      <c r="AF23" s="67" t="n"/>
      <c r="AG23" s="63" t="n"/>
      <c r="AH23" s="74">
        <f>IF($N23="Completed",1,IF(AND(ISNUMBER($K23),ISNUMBER($L23)),IF($L23&gt;$K23,MIN(1,MAX(0.05,(ReportDate-$K23)/($L23-$K23))),1),1))</f>
        <v>1</v>
      </c>
      <c r="AI23" s="70" t="str">
        <f>IF($B23="","",IF(AND(ISNUMBER($Q23),$Q23&gt;0),$R23/($Q23*$AH23),""))</f>
        <v/>
      </c>
      <c r="AJ23" s="71" t="str">
        <f>IF(ISNUMBER($K23),YEAR($K23)&amp;"-"&amp;TEXT(MONTH($K23),"00"),"")</f>
        <v/>
      </c>
      <c r="AK23" s="71">
        <f>IF($B23="",0,IF(AND(OR(fClient="All",$A23=fClient),OR(fCampaign="All",$B23=fCampaign),OR(fTeam="All",$I23=fTeam),OR(fChannel="All",$H23=fChannel),OR(fCStatus="All",$N23=fCStatus)),1,0))</f>
        <v>1</v>
      </c>
      <c r="AL23" s="71">
        <f>IF($B23="",0,IF(AND(OR(fClient="All",$A23=fClient),OR(fCampaign="All",$B23=fCampaign),OR(fTeam="All",$I23=fTeam),OR(fChannel="All",$H23=fChannel)),1,0))</f>
        <v>1</v>
      </c>
      <c r="AM23" s="71">
        <f>IF(OR($N23="Live",$N23="Optimizing"),1,0)</f>
        <v>0</v>
      </c>
      <c r="AN23" s="71">
        <f>IF(OR($N23="Live",$N23="Optimizing",$N23="Paused",$N23="Completed"),1,0)</f>
        <v>0</v>
      </c>
      <c r="AO23" s="71">
        <f>IF(AND($AM23=1,ISNUMBER($L23),NOT(ISNUMBER($M23))),IF($L23&lt;ReportDate,1,0),0)</f>
        <v>0</v>
      </c>
      <c r="AP23" s="71">
        <f>IF($AM23=1,IF(ISNUMBER($AG23),IF(ReportDate-$AG23&gt;CampStaleDays,1,0),1),0)</f>
        <v>0</v>
      </c>
      <c r="AQ23" s="71">
        <f>IF(AND($AM23=1,OR($AA23="Behind",$AA23="At Risk")),1,0)</f>
        <v>0</v>
      </c>
      <c r="AR23" s="71">
        <f>IF(AND($AM23=1,OR($AA23="Ahead",$AA23="On Track")),1,0)</f>
        <v>0</v>
      </c>
      <c r="AS23" s="71">
        <f>IF(OR($AQ23=1,$AP23=1,$AO23=1),1,0)</f>
        <v>0</v>
      </c>
      <c r="AT23" s="71" t="str">
        <f>IF($AS23=1,TRIM(IF($AQ23=1,"Low performance. ","")&amp;IF($AP23=1,"No recent update. ","")&amp;IF($AO23=1,"Past planned end. ","")),"")</f>
        <v/>
      </c>
      <c r="AU23" s="71" t="str">
        <f>IF(AND($AS23=1,$AL23=1),ROW(),"")</f>
        <v/>
      </c>
      <c r="AV23" s="71" t="str">
        <f>IF(AND($AQ23=1,$AL23=1),ROW(),"")</f>
        <v/>
      </c>
      <c r="AW23" s="71" t="str">
        <f>IF(AND($AP23=1,$AL23=1),ROW(),"")</f>
        <v/>
      </c>
      <c r="AX23" s="71" t="str">
        <f>IF(AND($AR23=1,$AL23=1),ROW(),"")</f>
        <v/>
      </c>
      <c r="AY23" s="71">
        <f>IF(AND($B23&lt;&gt;"",$A23=TCL_Client),1,0)</f>
        <v>0</v>
      </c>
      <c r="AZ23" s="71" t="str">
        <f>IF($AY23=1,ROW(),"")</f>
        <v/>
      </c>
      <c r="BA23" s="71">
        <f>IF(AND($B23&lt;&gt;"",$A23=MECCA_Client),1,0)</f>
        <v>0</v>
      </c>
      <c r="BB23" s="71" t="str">
        <f>IF($BA23=1,ROW(),"")</f>
        <v/>
      </c>
    </row>
    <row r="24">
      <c r="A24" s="64" t="inlineStr">
        <is>
          <t>Chola MS</t>
        </is>
      </c>
      <c r="B24" s="65" t="inlineStr">
        <is>
          <t>Chola MS - SEO &amp; Social Media</t>
        </is>
      </c>
      <c r="C24" s="64" t="inlineStr">
        <is>
          <t>CMP-020</t>
        </is>
      </c>
      <c r="D24" s="64" t="n"/>
      <c r="E24" s="64" t="n"/>
      <c r="F24" s="65" t="n"/>
      <c r="G24" s="65" t="n"/>
      <c r="H24" s="64" t="inlineStr">
        <is>
          <t>Multi-channel</t>
        </is>
      </c>
      <c r="I24" s="64" t="inlineStr">
        <is>
          <t>Ayush Jain</t>
        </is>
      </c>
      <c r="J24" s="65" t="inlineStr">
        <is>
          <t>Riya Diwan | Kapil Chadha | Priyanshu</t>
        </is>
      </c>
      <c r="K24" s="63" t="n"/>
      <c r="L24" s="63" t="n"/>
      <c r="M24" s="63" t="n"/>
      <c r="N24" s="64" t="n"/>
      <c r="O24" s="67" t="n"/>
      <c r="P24" s="72">
        <f>IF($B24="","",SUMIFS('PAID MEDIA ADS'!$G$5:$G$804,'PAID MEDIA ADS'!$C$5:$C$804,$B24))</f>
        <v>0</v>
      </c>
      <c r="Q24" s="67" t="n"/>
      <c r="R24" s="72">
        <f>IF($B24="","",COUNTIFS('LEAD MQL TRACKER'!$C$5:$C$1004,$B24,'LEAD MQL TRACKER'!$AB$5:$AB$1004,1)+SUMIFS('EMAIL MARKETING'!$Q$5:$Q$804,'EMAIL MARKETING'!$C$5:$C$804,$B24)+SUMIFS('PAID MEDIA ADS'!$M$5:$M$804,'PAID MEDIA ADS'!$C$5:$C$804,$B24)+SUMIFS('LINKEDIN OUTREACH'!$N$5:$N$704,'LINKEDIN OUTREACH'!$C$5:$C$704,$B24))</f>
        <v>0</v>
      </c>
      <c r="S24" s="67" t="n"/>
      <c r="T24" s="72">
        <f>IF($B24="","",COUNTIFS('LEAD MQL TRACKER'!$C$5:$C$1004,$B24,'LEAD MQL TRACKER'!$AD$5:$AD$1004,1)+SUMIFS('EMAIL MARKETING'!$R$5:$R$804,'EMAIL MARKETING'!$C$5:$C$804,$B24)+SUMIFS('PAID MEDIA ADS'!$N$5:$N$804,'PAID MEDIA ADS'!$C$5:$C$804,$B24)+SUMIFS('LINKEDIN OUTREACH'!$O$5:$O$704,'LINKEDIN OUTREACH'!$C$5:$C$704,$B24))</f>
        <v>0</v>
      </c>
      <c r="U24" s="67" t="n"/>
      <c r="V24" s="72">
        <f>IF($B24="","",COUNTIFS('LEAD MQL TRACKER'!$C$5:$C$1004,$B24,'LEAD MQL TRACKER'!$AE$5:$AE$1004,1))</f>
        <v>0</v>
      </c>
      <c r="W24" s="72">
        <f>IF($B24="","",COUNTIFS('LEAD MQL TRACKER'!$C$5:$C$1004,$B24,'LEAD MQL TRACKER'!$AC$5:$AC$1004,1)+SUMIFS('LINKEDIN OUTREACH'!$M$5:$M$704,'LINKEDIN OUTREACH'!$C$5:$C$704,$B24))</f>
        <v>0</v>
      </c>
      <c r="X24" s="72">
        <f>IF($B24="","",SUMIFS('EMAIL MARKETING'!$O$5:$O$804,'EMAIL MARKETING'!$C$5:$C$804,$B24)+SUMIFS('LINKEDIN OUTREACH'!$K$5:$K$704,'LINKEDIN OUTREACH'!$C$5:$C$704,$B24))</f>
        <v>0</v>
      </c>
      <c r="Y24" s="73" t="str">
        <f>IF(ISNUMBER($R24),IF($R24&gt;0,$T24/$R24,""),"")</f>
        <v/>
      </c>
      <c r="Z24" s="72" t="str">
        <f>IF(AND(ISNUMBER($P24),ISNUMBER($R24)),IF(AND($P24&gt;0,$R24&gt;0),$P24/$R24,""),"")</f>
        <v/>
      </c>
      <c r="AA24" s="71" t="str">
        <f>IF($B24="","",IF(OR($N24="Live",$N24="Optimizing",$N24="Paused",$N24="Completed"),IF(ISNUMBER($AI24),IF($AI24&gt;=1,"Ahead",IF($AI24&gt;=OnTrackPct,"On Track",IF($AI24&gt;=WatchPct,"Behind","At Risk"))),"No Target Set"),"Not Live"))</f>
        <v>Not Live</v>
      </c>
      <c r="AB24" s="65" t="n"/>
      <c r="AC24" s="65" t="n"/>
      <c r="AD24" s="65" t="inlineStr">
        <is>
          <t>Ongoing retainer programme. Target as provided: 38-40 leads and 22 posts (Riya's sheet).</t>
        </is>
      </c>
      <c r="AE24" s="67" t="n"/>
      <c r="AF24" s="67" t="n"/>
      <c r="AG24" s="63" t="n"/>
      <c r="AH24" s="74">
        <f>IF($N24="Completed",1,IF(AND(ISNUMBER($K24),ISNUMBER($L24)),IF($L24&gt;$K24,MIN(1,MAX(0.05,(ReportDate-$K24)/($L24-$K24))),1),1))</f>
        <v>1</v>
      </c>
      <c r="AI24" s="70" t="str">
        <f>IF($B24="","",IF(AND(ISNUMBER($Q24),$Q24&gt;0),$R24/($Q24*$AH24),""))</f>
        <v/>
      </c>
      <c r="AJ24" s="71" t="str">
        <f>IF(ISNUMBER($K24),YEAR($K24)&amp;"-"&amp;TEXT(MONTH($K24),"00"),"")</f>
        <v/>
      </c>
      <c r="AK24" s="71">
        <f>IF($B24="",0,IF(AND(OR(fClient="All",$A24=fClient),OR(fCampaign="All",$B24=fCampaign),OR(fTeam="All",$I24=fTeam),OR(fChannel="All",$H24=fChannel),OR(fCStatus="All",$N24=fCStatus)),1,0))</f>
        <v>1</v>
      </c>
      <c r="AL24" s="71">
        <f>IF($B24="",0,IF(AND(OR(fClient="All",$A24=fClient),OR(fCampaign="All",$B24=fCampaign),OR(fTeam="All",$I24=fTeam),OR(fChannel="All",$H24=fChannel)),1,0))</f>
        <v>1</v>
      </c>
      <c r="AM24" s="71">
        <f>IF(OR($N24="Live",$N24="Optimizing"),1,0)</f>
        <v>0</v>
      </c>
      <c r="AN24" s="71">
        <f>IF(OR($N24="Live",$N24="Optimizing",$N24="Paused",$N24="Completed"),1,0)</f>
        <v>0</v>
      </c>
      <c r="AO24" s="71">
        <f>IF(AND($AM24=1,ISNUMBER($L24),NOT(ISNUMBER($M24))),IF($L24&lt;ReportDate,1,0),0)</f>
        <v>0</v>
      </c>
      <c r="AP24" s="71">
        <f>IF($AM24=1,IF(ISNUMBER($AG24),IF(ReportDate-$AG24&gt;CampStaleDays,1,0),1),0)</f>
        <v>0</v>
      </c>
      <c r="AQ24" s="71">
        <f>IF(AND($AM24=1,OR($AA24="Behind",$AA24="At Risk")),1,0)</f>
        <v>0</v>
      </c>
      <c r="AR24" s="71">
        <f>IF(AND($AM24=1,OR($AA24="Ahead",$AA24="On Track")),1,0)</f>
        <v>0</v>
      </c>
      <c r="AS24" s="71">
        <f>IF(OR($AQ24=1,$AP24=1,$AO24=1),1,0)</f>
        <v>0</v>
      </c>
      <c r="AT24" s="71" t="str">
        <f>IF($AS24=1,TRIM(IF($AQ24=1,"Low performance. ","")&amp;IF($AP24=1,"No recent update. ","")&amp;IF($AO24=1,"Past planned end. ","")),"")</f>
        <v/>
      </c>
      <c r="AU24" s="71" t="str">
        <f>IF(AND($AS24=1,$AL24=1),ROW(),"")</f>
        <v/>
      </c>
      <c r="AV24" s="71" t="str">
        <f>IF(AND($AQ24=1,$AL24=1),ROW(),"")</f>
        <v/>
      </c>
      <c r="AW24" s="71" t="str">
        <f>IF(AND($AP24=1,$AL24=1),ROW(),"")</f>
        <v/>
      </c>
      <c r="AX24" s="71" t="str">
        <f>IF(AND($AR24=1,$AL24=1),ROW(),"")</f>
        <v/>
      </c>
      <c r="AY24" s="71">
        <f>IF(AND($B24&lt;&gt;"",$A24=TCL_Client),1,0)</f>
        <v>0</v>
      </c>
      <c r="AZ24" s="71" t="str">
        <f>IF($AY24=1,ROW(),"")</f>
        <v/>
      </c>
      <c r="BA24" s="71">
        <f>IF(AND($B24&lt;&gt;"",$A24=MECCA_Client),1,0)</f>
        <v>0</v>
      </c>
      <c r="BB24" s="71" t="str">
        <f>IF($BA24=1,ROW(),"")</f>
        <v/>
      </c>
    </row>
    <row r="25">
      <c r="A25" s="64" t="inlineStr">
        <is>
          <t>Vestrics</t>
        </is>
      </c>
      <c r="B25" s="65" t="inlineStr">
        <is>
          <t>Vestrics - SEO &amp; Social Media</t>
        </is>
      </c>
      <c r="C25" s="64" t="inlineStr">
        <is>
          <t>CMP-021</t>
        </is>
      </c>
      <c r="D25" s="64" t="n"/>
      <c r="E25" s="64" t="n"/>
      <c r="F25" s="65" t="n"/>
      <c r="G25" s="65" t="n"/>
      <c r="H25" s="64" t="inlineStr">
        <is>
          <t>Multi-channel</t>
        </is>
      </c>
      <c r="I25" s="64" t="inlineStr">
        <is>
          <t>Ayush Jain</t>
        </is>
      </c>
      <c r="J25" s="65" t="inlineStr">
        <is>
          <t>Riya Diwan | Priyanshu</t>
        </is>
      </c>
      <c r="K25" s="63" t="n"/>
      <c r="L25" s="63" t="n"/>
      <c r="M25" s="63" t="n"/>
      <c r="N25" s="64" t="n"/>
      <c r="O25" s="67" t="n"/>
      <c r="P25" s="72">
        <f>IF($B25="","",SUMIFS('PAID MEDIA ADS'!$G$5:$G$804,'PAID MEDIA ADS'!$C$5:$C$804,$B25))</f>
        <v>0</v>
      </c>
      <c r="Q25" s="67" t="n"/>
      <c r="R25" s="72">
        <f>IF($B25="","",COUNTIFS('LEAD MQL TRACKER'!$C$5:$C$1004,$B25,'LEAD MQL TRACKER'!$AB$5:$AB$1004,1)+SUMIFS('EMAIL MARKETING'!$Q$5:$Q$804,'EMAIL MARKETING'!$C$5:$C$804,$B25)+SUMIFS('PAID MEDIA ADS'!$M$5:$M$804,'PAID MEDIA ADS'!$C$5:$C$804,$B25)+SUMIFS('LINKEDIN OUTREACH'!$N$5:$N$704,'LINKEDIN OUTREACH'!$C$5:$C$704,$B25))</f>
        <v>0</v>
      </c>
      <c r="S25" s="67" t="n"/>
      <c r="T25" s="72">
        <f>IF($B25="","",COUNTIFS('LEAD MQL TRACKER'!$C$5:$C$1004,$B25,'LEAD MQL TRACKER'!$AD$5:$AD$1004,1)+SUMIFS('EMAIL MARKETING'!$R$5:$R$804,'EMAIL MARKETING'!$C$5:$C$804,$B25)+SUMIFS('PAID MEDIA ADS'!$N$5:$N$804,'PAID MEDIA ADS'!$C$5:$C$804,$B25)+SUMIFS('LINKEDIN OUTREACH'!$O$5:$O$704,'LINKEDIN OUTREACH'!$C$5:$C$704,$B25))</f>
        <v>0</v>
      </c>
      <c r="U25" s="67" t="n"/>
      <c r="V25" s="72">
        <f>IF($B25="","",COUNTIFS('LEAD MQL TRACKER'!$C$5:$C$1004,$B25,'LEAD MQL TRACKER'!$AE$5:$AE$1004,1))</f>
        <v>0</v>
      </c>
      <c r="W25" s="72">
        <f>IF($B25="","",COUNTIFS('LEAD MQL TRACKER'!$C$5:$C$1004,$B25,'LEAD MQL TRACKER'!$AC$5:$AC$1004,1)+SUMIFS('LINKEDIN OUTREACH'!$M$5:$M$704,'LINKEDIN OUTREACH'!$C$5:$C$704,$B25))</f>
        <v>0</v>
      </c>
      <c r="X25" s="72">
        <f>IF($B25="","",SUMIFS('EMAIL MARKETING'!$O$5:$O$804,'EMAIL MARKETING'!$C$5:$C$804,$B25)+SUMIFS('LINKEDIN OUTREACH'!$K$5:$K$704,'LINKEDIN OUTREACH'!$C$5:$C$704,$B25))</f>
        <v>0</v>
      </c>
      <c r="Y25" s="73" t="str">
        <f>IF(ISNUMBER($R25),IF($R25&gt;0,$T25/$R25,""),"")</f>
        <v/>
      </c>
      <c r="Z25" s="72" t="str">
        <f>IF(AND(ISNUMBER($P25),ISNUMBER($R25)),IF(AND($P25&gt;0,$R25&gt;0),$P25/$R25,""),"")</f>
        <v/>
      </c>
      <c r="AA25" s="71" t="str">
        <f>IF($B25="","",IF(OR($N25="Live",$N25="Optimizing",$N25="Paused",$N25="Completed"),IF(ISNUMBER($AI25),IF($AI25&gt;=1,"Ahead",IF($AI25&gt;=OnTrackPct,"On Track",IF($AI25&gt;=WatchPct,"Behind","At Risk"))),"No Target Set"),"Not Live"))</f>
        <v>Not Live</v>
      </c>
      <c r="AB25" s="65" t="n"/>
      <c r="AC25" s="65" t="n"/>
      <c r="AD25" s="65" t="inlineStr">
        <is>
          <t>Ongoing retainer programme.</t>
        </is>
      </c>
      <c r="AE25" s="67" t="n"/>
      <c r="AF25" s="67" t="n"/>
      <c r="AG25" s="63" t="n"/>
      <c r="AH25" s="74">
        <f>IF($N25="Completed",1,IF(AND(ISNUMBER($K25),ISNUMBER($L25)),IF($L25&gt;$K25,MIN(1,MAX(0.05,(ReportDate-$K25)/($L25-$K25))),1),1))</f>
        <v>1</v>
      </c>
      <c r="AI25" s="70" t="str">
        <f>IF($B25="","",IF(AND(ISNUMBER($Q25),$Q25&gt;0),$R25/($Q25*$AH25),""))</f>
        <v/>
      </c>
      <c r="AJ25" s="71" t="str">
        <f>IF(ISNUMBER($K25),YEAR($K25)&amp;"-"&amp;TEXT(MONTH($K25),"00"),"")</f>
        <v/>
      </c>
      <c r="AK25" s="71">
        <f>IF($B25="",0,IF(AND(OR(fClient="All",$A25=fClient),OR(fCampaign="All",$B25=fCampaign),OR(fTeam="All",$I25=fTeam),OR(fChannel="All",$H25=fChannel),OR(fCStatus="All",$N25=fCStatus)),1,0))</f>
        <v>1</v>
      </c>
      <c r="AL25" s="71">
        <f>IF($B25="",0,IF(AND(OR(fClient="All",$A25=fClient),OR(fCampaign="All",$B25=fCampaign),OR(fTeam="All",$I25=fTeam),OR(fChannel="All",$H25=fChannel)),1,0))</f>
        <v>1</v>
      </c>
      <c r="AM25" s="71">
        <f>IF(OR($N25="Live",$N25="Optimizing"),1,0)</f>
        <v>0</v>
      </c>
      <c r="AN25" s="71">
        <f>IF(OR($N25="Live",$N25="Optimizing",$N25="Paused",$N25="Completed"),1,0)</f>
        <v>0</v>
      </c>
      <c r="AO25" s="71">
        <f>IF(AND($AM25=1,ISNUMBER($L25),NOT(ISNUMBER($M25))),IF($L25&lt;ReportDate,1,0),0)</f>
        <v>0</v>
      </c>
      <c r="AP25" s="71">
        <f>IF($AM25=1,IF(ISNUMBER($AG25),IF(ReportDate-$AG25&gt;CampStaleDays,1,0),1),0)</f>
        <v>0</v>
      </c>
      <c r="AQ25" s="71">
        <f>IF(AND($AM25=1,OR($AA25="Behind",$AA25="At Risk")),1,0)</f>
        <v>0</v>
      </c>
      <c r="AR25" s="71">
        <f>IF(AND($AM25=1,OR($AA25="Ahead",$AA25="On Track")),1,0)</f>
        <v>0</v>
      </c>
      <c r="AS25" s="71">
        <f>IF(OR($AQ25=1,$AP25=1,$AO25=1),1,0)</f>
        <v>0</v>
      </c>
      <c r="AT25" s="71" t="str">
        <f>IF($AS25=1,TRIM(IF($AQ25=1,"Low performance. ","")&amp;IF($AP25=1,"No recent update. ","")&amp;IF($AO25=1,"Past planned end. ","")),"")</f>
        <v/>
      </c>
      <c r="AU25" s="71" t="str">
        <f>IF(AND($AS25=1,$AL25=1),ROW(),"")</f>
        <v/>
      </c>
      <c r="AV25" s="71" t="str">
        <f>IF(AND($AQ25=1,$AL25=1),ROW(),"")</f>
        <v/>
      </c>
      <c r="AW25" s="71" t="str">
        <f>IF(AND($AP25=1,$AL25=1),ROW(),"")</f>
        <v/>
      </c>
      <c r="AX25" s="71" t="str">
        <f>IF(AND($AR25=1,$AL25=1),ROW(),"")</f>
        <v/>
      </c>
      <c r="AY25" s="71">
        <f>IF(AND($B25&lt;&gt;"",$A25=TCL_Client),1,0)</f>
        <v>0</v>
      </c>
      <c r="AZ25" s="71" t="str">
        <f>IF($AY25=1,ROW(),"")</f>
        <v/>
      </c>
      <c r="BA25" s="71">
        <f>IF(AND($B25&lt;&gt;"",$A25=MECCA_Client),1,0)</f>
        <v>0</v>
      </c>
      <c r="BB25" s="71" t="str">
        <f>IF($BA25=1,ROW(),"")</f>
        <v/>
      </c>
    </row>
    <row r="26">
      <c r="A26" s="64" t="inlineStr">
        <is>
          <t>Magnasoft</t>
        </is>
      </c>
      <c r="B26" s="65" t="inlineStr">
        <is>
          <t>Magnasoft - SEO &amp; Social Media</t>
        </is>
      </c>
      <c r="C26" s="64" t="inlineStr">
        <is>
          <t>CMP-022</t>
        </is>
      </c>
      <c r="D26" s="64" t="n"/>
      <c r="E26" s="64" t="n"/>
      <c r="F26" s="65" t="n"/>
      <c r="G26" s="65" t="n"/>
      <c r="H26" s="64" t="inlineStr">
        <is>
          <t>Multi-channel</t>
        </is>
      </c>
      <c r="I26" s="64" t="inlineStr">
        <is>
          <t>Ayush Jain</t>
        </is>
      </c>
      <c r="J26" s="65" t="inlineStr">
        <is>
          <t>Riya Diwan | Priyanshu</t>
        </is>
      </c>
      <c r="K26" s="63" t="n"/>
      <c r="L26" s="63" t="n"/>
      <c r="M26" s="63" t="n"/>
      <c r="N26" s="64" t="n"/>
      <c r="O26" s="67" t="n"/>
      <c r="P26" s="72">
        <f>IF($B26="","",SUMIFS('PAID MEDIA ADS'!$G$5:$G$804,'PAID MEDIA ADS'!$C$5:$C$804,$B26))</f>
        <v>0</v>
      </c>
      <c r="Q26" s="67" t="n"/>
      <c r="R26" s="72">
        <f>IF($B26="","",COUNTIFS('LEAD MQL TRACKER'!$C$5:$C$1004,$B26,'LEAD MQL TRACKER'!$AB$5:$AB$1004,1)+SUMIFS('EMAIL MARKETING'!$Q$5:$Q$804,'EMAIL MARKETING'!$C$5:$C$804,$B26)+SUMIFS('PAID MEDIA ADS'!$M$5:$M$804,'PAID MEDIA ADS'!$C$5:$C$804,$B26)+SUMIFS('LINKEDIN OUTREACH'!$N$5:$N$704,'LINKEDIN OUTREACH'!$C$5:$C$704,$B26))</f>
        <v>0</v>
      </c>
      <c r="S26" s="67" t="n"/>
      <c r="T26" s="72">
        <f>IF($B26="","",COUNTIFS('LEAD MQL TRACKER'!$C$5:$C$1004,$B26,'LEAD MQL TRACKER'!$AD$5:$AD$1004,1)+SUMIFS('EMAIL MARKETING'!$R$5:$R$804,'EMAIL MARKETING'!$C$5:$C$804,$B26)+SUMIFS('PAID MEDIA ADS'!$N$5:$N$804,'PAID MEDIA ADS'!$C$5:$C$804,$B26)+SUMIFS('LINKEDIN OUTREACH'!$O$5:$O$704,'LINKEDIN OUTREACH'!$C$5:$C$704,$B26))</f>
        <v>0</v>
      </c>
      <c r="U26" s="67" t="n"/>
      <c r="V26" s="72">
        <f>IF($B26="","",COUNTIFS('LEAD MQL TRACKER'!$C$5:$C$1004,$B26,'LEAD MQL TRACKER'!$AE$5:$AE$1004,1))</f>
        <v>0</v>
      </c>
      <c r="W26" s="72">
        <f>IF($B26="","",COUNTIFS('LEAD MQL TRACKER'!$C$5:$C$1004,$B26,'LEAD MQL TRACKER'!$AC$5:$AC$1004,1)+SUMIFS('LINKEDIN OUTREACH'!$M$5:$M$704,'LINKEDIN OUTREACH'!$C$5:$C$704,$B26))</f>
        <v>0</v>
      </c>
      <c r="X26" s="72">
        <f>IF($B26="","",SUMIFS('EMAIL MARKETING'!$O$5:$O$804,'EMAIL MARKETING'!$C$5:$C$804,$B26)+SUMIFS('LINKEDIN OUTREACH'!$K$5:$K$704,'LINKEDIN OUTREACH'!$C$5:$C$704,$B26))</f>
        <v>0</v>
      </c>
      <c r="Y26" s="73" t="str">
        <f>IF(ISNUMBER($R26),IF($R26&gt;0,$T26/$R26,""),"")</f>
        <v/>
      </c>
      <c r="Z26" s="72" t="str">
        <f>IF(AND(ISNUMBER($P26),ISNUMBER($R26)),IF(AND($P26&gt;0,$R26&gt;0),$P26/$R26,""),"")</f>
        <v/>
      </c>
      <c r="AA26" s="71" t="str">
        <f>IF($B26="","",IF(OR($N26="Live",$N26="Optimizing",$N26="Paused",$N26="Completed"),IF(ISNUMBER($AI26),IF($AI26&gt;=1,"Ahead",IF($AI26&gt;=OnTrackPct,"On Track",IF($AI26&gt;=WatchPct,"Behind","At Risk"))),"No Target Set"),"Not Live"))</f>
        <v>Not Live</v>
      </c>
      <c r="AB26" s="65" t="n"/>
      <c r="AC26" s="65" t="n"/>
      <c r="AD26" s="65" t="inlineStr">
        <is>
          <t>Ongoing retainer programme.</t>
        </is>
      </c>
      <c r="AE26" s="67" t="n"/>
      <c r="AF26" s="67" t="n"/>
      <c r="AG26" s="63" t="n"/>
      <c r="AH26" s="74">
        <f>IF($N26="Completed",1,IF(AND(ISNUMBER($K26),ISNUMBER($L26)),IF($L26&gt;$K26,MIN(1,MAX(0.05,(ReportDate-$K26)/($L26-$K26))),1),1))</f>
        <v>1</v>
      </c>
      <c r="AI26" s="70" t="str">
        <f>IF($B26="","",IF(AND(ISNUMBER($Q26),$Q26&gt;0),$R26/($Q26*$AH26),""))</f>
        <v/>
      </c>
      <c r="AJ26" s="71" t="str">
        <f>IF(ISNUMBER($K26),YEAR($K26)&amp;"-"&amp;TEXT(MONTH($K26),"00"),"")</f>
        <v/>
      </c>
      <c r="AK26" s="71">
        <f>IF($B26="",0,IF(AND(OR(fClient="All",$A26=fClient),OR(fCampaign="All",$B26=fCampaign),OR(fTeam="All",$I26=fTeam),OR(fChannel="All",$H26=fChannel),OR(fCStatus="All",$N26=fCStatus)),1,0))</f>
        <v>1</v>
      </c>
      <c r="AL26" s="71">
        <f>IF($B26="",0,IF(AND(OR(fClient="All",$A26=fClient),OR(fCampaign="All",$B26=fCampaign),OR(fTeam="All",$I26=fTeam),OR(fChannel="All",$H26=fChannel)),1,0))</f>
        <v>1</v>
      </c>
      <c r="AM26" s="71">
        <f>IF(OR($N26="Live",$N26="Optimizing"),1,0)</f>
        <v>0</v>
      </c>
      <c r="AN26" s="71">
        <f>IF(OR($N26="Live",$N26="Optimizing",$N26="Paused",$N26="Completed"),1,0)</f>
        <v>0</v>
      </c>
      <c r="AO26" s="71">
        <f>IF(AND($AM26=1,ISNUMBER($L26),NOT(ISNUMBER($M26))),IF($L26&lt;ReportDate,1,0),0)</f>
        <v>0</v>
      </c>
      <c r="AP26" s="71">
        <f>IF($AM26=1,IF(ISNUMBER($AG26),IF(ReportDate-$AG26&gt;CampStaleDays,1,0),1),0)</f>
        <v>0</v>
      </c>
      <c r="AQ26" s="71">
        <f>IF(AND($AM26=1,OR($AA26="Behind",$AA26="At Risk")),1,0)</f>
        <v>0</v>
      </c>
      <c r="AR26" s="71">
        <f>IF(AND($AM26=1,OR($AA26="Ahead",$AA26="On Track")),1,0)</f>
        <v>0</v>
      </c>
      <c r="AS26" s="71">
        <f>IF(OR($AQ26=1,$AP26=1,$AO26=1),1,0)</f>
        <v>0</v>
      </c>
      <c r="AT26" s="71" t="str">
        <f>IF($AS26=1,TRIM(IF($AQ26=1,"Low performance. ","")&amp;IF($AP26=1,"No recent update. ","")&amp;IF($AO26=1,"Past planned end. ","")),"")</f>
        <v/>
      </c>
      <c r="AU26" s="71" t="str">
        <f>IF(AND($AS26=1,$AL26=1),ROW(),"")</f>
        <v/>
      </c>
      <c r="AV26" s="71" t="str">
        <f>IF(AND($AQ26=1,$AL26=1),ROW(),"")</f>
        <v/>
      </c>
      <c r="AW26" s="71" t="str">
        <f>IF(AND($AP26=1,$AL26=1),ROW(),"")</f>
        <v/>
      </c>
      <c r="AX26" s="71" t="str">
        <f>IF(AND($AR26=1,$AL26=1),ROW(),"")</f>
        <v/>
      </c>
      <c r="AY26" s="71">
        <f>IF(AND($B26&lt;&gt;"",$A26=TCL_Client),1,0)</f>
        <v>0</v>
      </c>
      <c r="AZ26" s="71" t="str">
        <f>IF($AY26=1,ROW(),"")</f>
        <v/>
      </c>
      <c r="BA26" s="71">
        <f>IF(AND($B26&lt;&gt;"",$A26=MECCA_Client),1,0)</f>
        <v>0</v>
      </c>
      <c r="BB26" s="71" t="str">
        <f>IF($BA26=1,ROW(),"")</f>
        <v/>
      </c>
    </row>
    <row r="27">
      <c r="A27" s="64" t="inlineStr">
        <is>
          <t>Eternelle</t>
        </is>
      </c>
      <c r="B27" s="65" t="inlineStr">
        <is>
          <t>Eternelle - SEO &amp; Blogs</t>
        </is>
      </c>
      <c r="C27" s="64" t="inlineStr">
        <is>
          <t>CMP-023</t>
        </is>
      </c>
      <c r="D27" s="64" t="n"/>
      <c r="E27" s="64" t="n"/>
      <c r="F27" s="65" t="n"/>
      <c r="G27" s="65" t="n"/>
      <c r="H27" s="64" t="inlineStr">
        <is>
          <t>Multi-channel</t>
        </is>
      </c>
      <c r="I27" s="64" t="inlineStr">
        <is>
          <t>Richi Bagla</t>
        </is>
      </c>
      <c r="J27" s="65" t="inlineStr">
        <is>
          <t>Riya Diwan | Ayush Jain</t>
        </is>
      </c>
      <c r="K27" s="63" t="n"/>
      <c r="L27" s="63" t="n"/>
      <c r="M27" s="63" t="n"/>
      <c r="N27" s="64" t="n"/>
      <c r="O27" s="67" t="n"/>
      <c r="P27" s="72">
        <f>IF($B27="","",SUMIFS('PAID MEDIA ADS'!$G$5:$G$804,'PAID MEDIA ADS'!$C$5:$C$804,$B27))</f>
        <v>0</v>
      </c>
      <c r="Q27" s="67" t="n"/>
      <c r="R27" s="72">
        <f>IF($B27="","",COUNTIFS('LEAD MQL TRACKER'!$C$5:$C$1004,$B27,'LEAD MQL TRACKER'!$AB$5:$AB$1004,1)+SUMIFS('EMAIL MARKETING'!$Q$5:$Q$804,'EMAIL MARKETING'!$C$5:$C$804,$B27)+SUMIFS('PAID MEDIA ADS'!$M$5:$M$804,'PAID MEDIA ADS'!$C$5:$C$804,$B27)+SUMIFS('LINKEDIN OUTREACH'!$N$5:$N$704,'LINKEDIN OUTREACH'!$C$5:$C$704,$B27))</f>
        <v>0</v>
      </c>
      <c r="S27" s="67" t="n"/>
      <c r="T27" s="72">
        <f>IF($B27="","",COUNTIFS('LEAD MQL TRACKER'!$C$5:$C$1004,$B27,'LEAD MQL TRACKER'!$AD$5:$AD$1004,1)+SUMIFS('EMAIL MARKETING'!$R$5:$R$804,'EMAIL MARKETING'!$C$5:$C$804,$B27)+SUMIFS('PAID MEDIA ADS'!$N$5:$N$804,'PAID MEDIA ADS'!$C$5:$C$804,$B27)+SUMIFS('LINKEDIN OUTREACH'!$O$5:$O$704,'LINKEDIN OUTREACH'!$C$5:$C$704,$B27))</f>
        <v>0</v>
      </c>
      <c r="U27" s="67" t="n"/>
      <c r="V27" s="72">
        <f>IF($B27="","",COUNTIFS('LEAD MQL TRACKER'!$C$5:$C$1004,$B27,'LEAD MQL TRACKER'!$AE$5:$AE$1004,1))</f>
        <v>0</v>
      </c>
      <c r="W27" s="72">
        <f>IF($B27="","",COUNTIFS('LEAD MQL TRACKER'!$C$5:$C$1004,$B27,'LEAD MQL TRACKER'!$AC$5:$AC$1004,1)+SUMIFS('LINKEDIN OUTREACH'!$M$5:$M$704,'LINKEDIN OUTREACH'!$C$5:$C$704,$B27))</f>
        <v>0</v>
      </c>
      <c r="X27" s="72">
        <f>IF($B27="","",SUMIFS('EMAIL MARKETING'!$O$5:$O$804,'EMAIL MARKETING'!$C$5:$C$804,$B27)+SUMIFS('LINKEDIN OUTREACH'!$K$5:$K$704,'LINKEDIN OUTREACH'!$C$5:$C$704,$B27))</f>
        <v>0</v>
      </c>
      <c r="Y27" s="73" t="str">
        <f>IF(ISNUMBER($R27),IF($R27&gt;0,$T27/$R27,""),"")</f>
        <v/>
      </c>
      <c r="Z27" s="72" t="str">
        <f>IF(AND(ISNUMBER($P27),ISNUMBER($R27)),IF(AND($P27&gt;0,$R27&gt;0),$P27/$R27,""),"")</f>
        <v/>
      </c>
      <c r="AA27" s="71" t="str">
        <f>IF($B27="","",IF(OR($N27="Live",$N27="Optimizing",$N27="Paused",$N27="Completed"),IF(ISNUMBER($AI27),IF($AI27&gt;=1,"Ahead",IF($AI27&gt;=OnTrackPct,"On Track",IF($AI27&gt;=WatchPct,"Behind","At Risk"))),"No Target Set"),"Not Live"))</f>
        <v>Not Live</v>
      </c>
      <c r="AB27" s="65" t="n"/>
      <c r="AC27" s="65" t="n"/>
      <c r="AD27" s="65" t="inlineStr">
        <is>
          <t>Ongoing retainer programme. Target as provided: 6 blogs a month.</t>
        </is>
      </c>
      <c r="AE27" s="67" t="n"/>
      <c r="AF27" s="67" t="n"/>
      <c r="AG27" s="63" t="n"/>
      <c r="AH27" s="74">
        <f>IF($N27="Completed",1,IF(AND(ISNUMBER($K27),ISNUMBER($L27)),IF($L27&gt;$K27,MIN(1,MAX(0.05,(ReportDate-$K27)/($L27-$K27))),1),1))</f>
        <v>1</v>
      </c>
      <c r="AI27" s="70" t="str">
        <f>IF($B27="","",IF(AND(ISNUMBER($Q27),$Q27&gt;0),$R27/($Q27*$AH27),""))</f>
        <v/>
      </c>
      <c r="AJ27" s="71" t="str">
        <f>IF(ISNUMBER($K27),YEAR($K27)&amp;"-"&amp;TEXT(MONTH($K27),"00"),"")</f>
        <v/>
      </c>
      <c r="AK27" s="71">
        <f>IF($B27="",0,IF(AND(OR(fClient="All",$A27=fClient),OR(fCampaign="All",$B27=fCampaign),OR(fTeam="All",$I27=fTeam),OR(fChannel="All",$H27=fChannel),OR(fCStatus="All",$N27=fCStatus)),1,0))</f>
        <v>1</v>
      </c>
      <c r="AL27" s="71">
        <f>IF($B27="",0,IF(AND(OR(fClient="All",$A27=fClient),OR(fCampaign="All",$B27=fCampaign),OR(fTeam="All",$I27=fTeam),OR(fChannel="All",$H27=fChannel)),1,0))</f>
        <v>1</v>
      </c>
      <c r="AM27" s="71">
        <f>IF(OR($N27="Live",$N27="Optimizing"),1,0)</f>
        <v>0</v>
      </c>
      <c r="AN27" s="71">
        <f>IF(OR($N27="Live",$N27="Optimizing",$N27="Paused",$N27="Completed"),1,0)</f>
        <v>0</v>
      </c>
      <c r="AO27" s="71">
        <f>IF(AND($AM27=1,ISNUMBER($L27),NOT(ISNUMBER($M27))),IF($L27&lt;ReportDate,1,0),0)</f>
        <v>0</v>
      </c>
      <c r="AP27" s="71">
        <f>IF($AM27=1,IF(ISNUMBER($AG27),IF(ReportDate-$AG27&gt;CampStaleDays,1,0),1),0)</f>
        <v>0</v>
      </c>
      <c r="AQ27" s="71">
        <f>IF(AND($AM27=1,OR($AA27="Behind",$AA27="At Risk")),1,0)</f>
        <v>0</v>
      </c>
      <c r="AR27" s="71">
        <f>IF(AND($AM27=1,OR($AA27="Ahead",$AA27="On Track")),1,0)</f>
        <v>0</v>
      </c>
      <c r="AS27" s="71">
        <f>IF(OR($AQ27=1,$AP27=1,$AO27=1),1,0)</f>
        <v>0</v>
      </c>
      <c r="AT27" s="71" t="str">
        <f>IF($AS27=1,TRIM(IF($AQ27=1,"Low performance. ","")&amp;IF($AP27=1,"No recent update. ","")&amp;IF($AO27=1,"Past planned end. ","")),"")</f>
        <v/>
      </c>
      <c r="AU27" s="71" t="str">
        <f>IF(AND($AS27=1,$AL27=1),ROW(),"")</f>
        <v/>
      </c>
      <c r="AV27" s="71" t="str">
        <f>IF(AND($AQ27=1,$AL27=1),ROW(),"")</f>
        <v/>
      </c>
      <c r="AW27" s="71" t="str">
        <f>IF(AND($AP27=1,$AL27=1),ROW(),"")</f>
        <v/>
      </c>
      <c r="AX27" s="71" t="str">
        <f>IF(AND($AR27=1,$AL27=1),ROW(),"")</f>
        <v/>
      </c>
      <c r="AY27" s="71">
        <f>IF(AND($B27&lt;&gt;"",$A27=TCL_Client),1,0)</f>
        <v>0</v>
      </c>
      <c r="AZ27" s="71" t="str">
        <f>IF($AY27=1,ROW(),"")</f>
        <v/>
      </c>
      <c r="BA27" s="71">
        <f>IF(AND($B27&lt;&gt;"",$A27=MECCA_Client),1,0)</f>
        <v>0</v>
      </c>
      <c r="BB27" s="71" t="str">
        <f>IF($BA27=1,ROW(),"")</f>
        <v/>
      </c>
    </row>
    <row r="28">
      <c r="A28" s="64" t="inlineStr">
        <is>
          <t>Lenovo</t>
        </is>
      </c>
      <c r="B28" s="65" t="inlineStr">
        <is>
          <t>Lenovo - Email Deployment</t>
        </is>
      </c>
      <c r="C28" s="64" t="inlineStr">
        <is>
          <t>CMP-024</t>
        </is>
      </c>
      <c r="D28" s="64" t="n"/>
      <c r="E28" s="64" t="n"/>
      <c r="F28" s="65" t="n"/>
      <c r="G28" s="65" t="n"/>
      <c r="H28" s="64" t="inlineStr">
        <is>
          <t>Email</t>
        </is>
      </c>
      <c r="I28" s="64" t="n"/>
      <c r="J28" s="65" t="n"/>
      <c r="K28" s="63" t="n"/>
      <c r="L28" s="63" t="n"/>
      <c r="M28" s="63" t="n"/>
      <c r="N28" s="64" t="n"/>
      <c r="O28" s="67" t="n"/>
      <c r="P28" s="72">
        <f>IF($B28="","",SUMIFS('PAID MEDIA ADS'!$G$5:$G$804,'PAID MEDIA ADS'!$C$5:$C$804,$B28))</f>
        <v>0</v>
      </c>
      <c r="Q28" s="67" t="n"/>
      <c r="R28" s="72">
        <f>IF($B28="","",COUNTIFS('LEAD MQL TRACKER'!$C$5:$C$1004,$B28,'LEAD MQL TRACKER'!$AB$5:$AB$1004,1)+SUMIFS('EMAIL MARKETING'!$Q$5:$Q$804,'EMAIL MARKETING'!$C$5:$C$804,$B28)+SUMIFS('PAID MEDIA ADS'!$M$5:$M$804,'PAID MEDIA ADS'!$C$5:$C$804,$B28)+SUMIFS('LINKEDIN OUTREACH'!$N$5:$N$704,'LINKEDIN OUTREACH'!$C$5:$C$704,$B28))</f>
        <v>0</v>
      </c>
      <c r="S28" s="67" t="n"/>
      <c r="T28" s="72">
        <f>IF($B28="","",COUNTIFS('LEAD MQL TRACKER'!$C$5:$C$1004,$B28,'LEAD MQL TRACKER'!$AD$5:$AD$1004,1)+SUMIFS('EMAIL MARKETING'!$R$5:$R$804,'EMAIL MARKETING'!$C$5:$C$804,$B28)+SUMIFS('PAID MEDIA ADS'!$N$5:$N$804,'PAID MEDIA ADS'!$C$5:$C$804,$B28)+SUMIFS('LINKEDIN OUTREACH'!$O$5:$O$704,'LINKEDIN OUTREACH'!$C$5:$C$704,$B28))</f>
        <v>0</v>
      </c>
      <c r="U28" s="67" t="n"/>
      <c r="V28" s="72">
        <f>IF($B28="","",COUNTIFS('LEAD MQL TRACKER'!$C$5:$C$1004,$B28,'LEAD MQL TRACKER'!$AE$5:$AE$1004,1))</f>
        <v>0</v>
      </c>
      <c r="W28" s="72">
        <f>IF($B28="","",COUNTIFS('LEAD MQL TRACKER'!$C$5:$C$1004,$B28,'LEAD MQL TRACKER'!$AC$5:$AC$1004,1)+SUMIFS('LINKEDIN OUTREACH'!$M$5:$M$704,'LINKEDIN OUTREACH'!$C$5:$C$704,$B28))</f>
        <v>0</v>
      </c>
      <c r="X28" s="72">
        <f>IF($B28="","",SUMIFS('EMAIL MARKETING'!$O$5:$O$804,'EMAIL MARKETING'!$C$5:$C$804,$B28)+SUMIFS('LINKEDIN OUTREACH'!$K$5:$K$704,'LINKEDIN OUTREACH'!$C$5:$C$704,$B28))</f>
        <v>0</v>
      </c>
      <c r="Y28" s="73" t="str">
        <f>IF(ISNUMBER($R28),IF($R28&gt;0,$T28/$R28,""),"")</f>
        <v/>
      </c>
      <c r="Z28" s="72" t="str">
        <f>IF(AND(ISNUMBER($P28),ISNUMBER($R28)),IF(AND($P28&gt;0,$R28&gt;0),$P28/$R28,""),"")</f>
        <v/>
      </c>
      <c r="AA28" s="71" t="str">
        <f>IF($B28="","",IF(OR($N28="Live",$N28="Optimizing",$N28="Paused",$N28="Completed"),IF(ISNUMBER($AI28),IF($AI28&gt;=1,"Ahead",IF($AI28&gt;=OnTrackPct,"On Track",IF($AI28&gt;=WatchPct,"Behind","At Risk"))),"No Target Set"),"Not Live"))</f>
        <v>Not Live</v>
      </c>
      <c r="AB28" s="65" t="n"/>
      <c r="AC28" s="65" t="n"/>
      <c r="AD28" s="65" t="inlineStr">
        <is>
          <t>No update provided by team.</t>
        </is>
      </c>
      <c r="AE28" s="67" t="n"/>
      <c r="AF28" s="67" t="n"/>
      <c r="AG28" s="63" t="n"/>
      <c r="AH28" s="74">
        <f>IF($N28="Completed",1,IF(AND(ISNUMBER($K28),ISNUMBER($L28)),IF($L28&gt;$K28,MIN(1,MAX(0.05,(ReportDate-$K28)/($L28-$K28))),1),1))</f>
        <v>1</v>
      </c>
      <c r="AI28" s="70" t="str">
        <f>IF($B28="","",IF(AND(ISNUMBER($Q28),$Q28&gt;0),$R28/($Q28*$AH28),""))</f>
        <v/>
      </c>
      <c r="AJ28" s="71" t="str">
        <f>IF(ISNUMBER($K28),YEAR($K28)&amp;"-"&amp;TEXT(MONTH($K28),"00"),"")</f>
        <v/>
      </c>
      <c r="AK28" s="71">
        <f>IF($B28="",0,IF(AND(OR(fClient="All",$A28=fClient),OR(fCampaign="All",$B28=fCampaign),OR(fTeam="All",$I28=fTeam),OR(fChannel="All",$H28=fChannel),OR(fCStatus="All",$N28=fCStatus)),1,0))</f>
        <v>1</v>
      </c>
      <c r="AL28" s="71">
        <f>IF($B28="",0,IF(AND(OR(fClient="All",$A28=fClient),OR(fCampaign="All",$B28=fCampaign),OR(fTeam="All",$I28=fTeam),OR(fChannel="All",$H28=fChannel)),1,0))</f>
        <v>1</v>
      </c>
      <c r="AM28" s="71">
        <f>IF(OR($N28="Live",$N28="Optimizing"),1,0)</f>
        <v>0</v>
      </c>
      <c r="AN28" s="71">
        <f>IF(OR($N28="Live",$N28="Optimizing",$N28="Paused",$N28="Completed"),1,0)</f>
        <v>0</v>
      </c>
      <c r="AO28" s="71">
        <f>IF(AND($AM28=1,ISNUMBER($L28),NOT(ISNUMBER($M28))),IF($L28&lt;ReportDate,1,0),0)</f>
        <v>0</v>
      </c>
      <c r="AP28" s="71">
        <f>IF($AM28=1,IF(ISNUMBER($AG28),IF(ReportDate-$AG28&gt;CampStaleDays,1,0),1),0)</f>
        <v>0</v>
      </c>
      <c r="AQ28" s="71">
        <f>IF(AND($AM28=1,OR($AA28="Behind",$AA28="At Risk")),1,0)</f>
        <v>0</v>
      </c>
      <c r="AR28" s="71">
        <f>IF(AND($AM28=1,OR($AA28="Ahead",$AA28="On Track")),1,0)</f>
        <v>0</v>
      </c>
      <c r="AS28" s="71">
        <f>IF(OR($AQ28=1,$AP28=1,$AO28=1),1,0)</f>
        <v>0</v>
      </c>
      <c r="AT28" s="71" t="str">
        <f>IF($AS28=1,TRIM(IF($AQ28=1,"Low performance. ","")&amp;IF($AP28=1,"No recent update. ","")&amp;IF($AO28=1,"Past planned end. ","")),"")</f>
        <v/>
      </c>
      <c r="AU28" s="71" t="str">
        <f>IF(AND($AS28=1,$AL28=1),ROW(),"")</f>
        <v/>
      </c>
      <c r="AV28" s="71" t="str">
        <f>IF(AND($AQ28=1,$AL28=1),ROW(),"")</f>
        <v/>
      </c>
      <c r="AW28" s="71" t="str">
        <f>IF(AND($AP28=1,$AL28=1),ROW(),"")</f>
        <v/>
      </c>
      <c r="AX28" s="71" t="str">
        <f>IF(AND($AR28=1,$AL28=1),ROW(),"")</f>
        <v/>
      </c>
      <c r="AY28" s="71">
        <f>IF(AND($B28&lt;&gt;"",$A28=TCL_Client),1,0)</f>
        <v>0</v>
      </c>
      <c r="AZ28" s="71" t="str">
        <f>IF($AY28=1,ROW(),"")</f>
        <v/>
      </c>
      <c r="BA28" s="71">
        <f>IF(AND($B28&lt;&gt;"",$A28=MECCA_Client),1,0)</f>
        <v>0</v>
      </c>
      <c r="BB28" s="71" t="str">
        <f>IF($BA28=1,ROW(),"")</f>
        <v/>
      </c>
    </row>
    <row r="29">
      <c r="A29" s="64" t="inlineStr">
        <is>
          <t>Sonalika Tractors</t>
        </is>
      </c>
      <c r="B29" s="65" t="inlineStr">
        <is>
          <t>Sonalika Tractors - Meta Automation</t>
        </is>
      </c>
      <c r="C29" s="64" t="inlineStr">
        <is>
          <t>CMP-025</t>
        </is>
      </c>
      <c r="D29" s="64" t="n"/>
      <c r="E29" s="64" t="n"/>
      <c r="F29" s="65" t="n"/>
      <c r="G29" s="65" t="n"/>
      <c r="H29" s="64" t="inlineStr">
        <is>
          <t>Meta Ads</t>
        </is>
      </c>
      <c r="I29" s="64" t="n"/>
      <c r="J29" s="65" t="n"/>
      <c r="K29" s="63" t="n"/>
      <c r="L29" s="63" t="n"/>
      <c r="M29" s="63" t="n"/>
      <c r="N29" s="64" t="n"/>
      <c r="O29" s="67" t="n"/>
      <c r="P29" s="72">
        <f>IF($B29="","",SUMIFS('PAID MEDIA ADS'!$G$5:$G$804,'PAID MEDIA ADS'!$C$5:$C$804,$B29))</f>
        <v>0</v>
      </c>
      <c r="Q29" s="67" t="n"/>
      <c r="R29" s="72">
        <f>IF($B29="","",COUNTIFS('LEAD MQL TRACKER'!$C$5:$C$1004,$B29,'LEAD MQL TRACKER'!$AB$5:$AB$1004,1)+SUMIFS('EMAIL MARKETING'!$Q$5:$Q$804,'EMAIL MARKETING'!$C$5:$C$804,$B29)+SUMIFS('PAID MEDIA ADS'!$M$5:$M$804,'PAID MEDIA ADS'!$C$5:$C$804,$B29)+SUMIFS('LINKEDIN OUTREACH'!$N$5:$N$704,'LINKEDIN OUTREACH'!$C$5:$C$704,$B29))</f>
        <v>0</v>
      </c>
      <c r="S29" s="67" t="n"/>
      <c r="T29" s="72">
        <f>IF($B29="","",COUNTIFS('LEAD MQL TRACKER'!$C$5:$C$1004,$B29,'LEAD MQL TRACKER'!$AD$5:$AD$1004,1)+SUMIFS('EMAIL MARKETING'!$R$5:$R$804,'EMAIL MARKETING'!$C$5:$C$804,$B29)+SUMIFS('PAID MEDIA ADS'!$N$5:$N$804,'PAID MEDIA ADS'!$C$5:$C$804,$B29)+SUMIFS('LINKEDIN OUTREACH'!$O$5:$O$704,'LINKEDIN OUTREACH'!$C$5:$C$704,$B29))</f>
        <v>0</v>
      </c>
      <c r="U29" s="67" t="n"/>
      <c r="V29" s="72">
        <f>IF($B29="","",COUNTIFS('LEAD MQL TRACKER'!$C$5:$C$1004,$B29,'LEAD MQL TRACKER'!$AE$5:$AE$1004,1))</f>
        <v>0</v>
      </c>
      <c r="W29" s="72">
        <f>IF($B29="","",COUNTIFS('LEAD MQL TRACKER'!$C$5:$C$1004,$B29,'LEAD MQL TRACKER'!$AC$5:$AC$1004,1)+SUMIFS('LINKEDIN OUTREACH'!$M$5:$M$704,'LINKEDIN OUTREACH'!$C$5:$C$704,$B29))</f>
        <v>0</v>
      </c>
      <c r="X29" s="72">
        <f>IF($B29="","",SUMIFS('EMAIL MARKETING'!$O$5:$O$804,'EMAIL MARKETING'!$C$5:$C$804,$B29)+SUMIFS('LINKEDIN OUTREACH'!$K$5:$K$704,'LINKEDIN OUTREACH'!$C$5:$C$704,$B29))</f>
        <v>0</v>
      </c>
      <c r="Y29" s="73" t="str">
        <f>IF(ISNUMBER($R29),IF($R29&gt;0,$T29/$R29,""),"")</f>
        <v/>
      </c>
      <c r="Z29" s="72" t="str">
        <f>IF(AND(ISNUMBER($P29),ISNUMBER($R29)),IF(AND($P29&gt;0,$R29&gt;0),$P29/$R29,""),"")</f>
        <v/>
      </c>
      <c r="AA29" s="71" t="str">
        <f>IF($B29="","",IF(OR($N29="Live",$N29="Optimizing",$N29="Paused",$N29="Completed"),IF(ISNUMBER($AI29),IF($AI29&gt;=1,"Ahead",IF($AI29&gt;=OnTrackPct,"On Track",IF($AI29&gt;=WatchPct,"Behind","At Risk"))),"No Target Set"),"Not Live"))</f>
        <v>Not Live</v>
      </c>
      <c r="AB29" s="65" t="n"/>
      <c r="AC29" s="65" t="n"/>
      <c r="AD29" s="65" t="inlineStr">
        <is>
          <t>Proposal stage. No update provided yet.</t>
        </is>
      </c>
      <c r="AE29" s="67" t="n"/>
      <c r="AF29" s="67" t="n"/>
      <c r="AG29" s="63" t="n"/>
      <c r="AH29" s="74">
        <f>IF($N29="Completed",1,IF(AND(ISNUMBER($K29),ISNUMBER($L29)),IF($L29&gt;$K29,MIN(1,MAX(0.05,(ReportDate-$K29)/($L29-$K29))),1),1))</f>
        <v>1</v>
      </c>
      <c r="AI29" s="70" t="str">
        <f>IF($B29="","",IF(AND(ISNUMBER($Q29),$Q29&gt;0),$R29/($Q29*$AH29),""))</f>
        <v/>
      </c>
      <c r="AJ29" s="71" t="str">
        <f>IF(ISNUMBER($K29),YEAR($K29)&amp;"-"&amp;TEXT(MONTH($K29),"00"),"")</f>
        <v/>
      </c>
      <c r="AK29" s="71">
        <f>IF($B29="",0,IF(AND(OR(fClient="All",$A29=fClient),OR(fCampaign="All",$B29=fCampaign),OR(fTeam="All",$I29=fTeam),OR(fChannel="All",$H29=fChannel),OR(fCStatus="All",$N29=fCStatus)),1,0))</f>
        <v>1</v>
      </c>
      <c r="AL29" s="71">
        <f>IF($B29="",0,IF(AND(OR(fClient="All",$A29=fClient),OR(fCampaign="All",$B29=fCampaign),OR(fTeam="All",$I29=fTeam),OR(fChannel="All",$H29=fChannel)),1,0))</f>
        <v>1</v>
      </c>
      <c r="AM29" s="71">
        <f>IF(OR($N29="Live",$N29="Optimizing"),1,0)</f>
        <v>0</v>
      </c>
      <c r="AN29" s="71">
        <f>IF(OR($N29="Live",$N29="Optimizing",$N29="Paused",$N29="Completed"),1,0)</f>
        <v>0</v>
      </c>
      <c r="AO29" s="71">
        <f>IF(AND($AM29=1,ISNUMBER($L29),NOT(ISNUMBER($M29))),IF($L29&lt;ReportDate,1,0),0)</f>
        <v>0</v>
      </c>
      <c r="AP29" s="71">
        <f>IF($AM29=1,IF(ISNUMBER($AG29),IF(ReportDate-$AG29&gt;CampStaleDays,1,0),1),0)</f>
        <v>0</v>
      </c>
      <c r="AQ29" s="71">
        <f>IF(AND($AM29=1,OR($AA29="Behind",$AA29="At Risk")),1,0)</f>
        <v>0</v>
      </c>
      <c r="AR29" s="71">
        <f>IF(AND($AM29=1,OR($AA29="Ahead",$AA29="On Track")),1,0)</f>
        <v>0</v>
      </c>
      <c r="AS29" s="71">
        <f>IF(OR($AQ29=1,$AP29=1,$AO29=1),1,0)</f>
        <v>0</v>
      </c>
      <c r="AT29" s="71" t="str">
        <f>IF($AS29=1,TRIM(IF($AQ29=1,"Low performance. ","")&amp;IF($AP29=1,"No recent update. ","")&amp;IF($AO29=1,"Past planned end. ","")),"")</f>
        <v/>
      </c>
      <c r="AU29" s="71" t="str">
        <f>IF(AND($AS29=1,$AL29=1),ROW(),"")</f>
        <v/>
      </c>
      <c r="AV29" s="71" t="str">
        <f>IF(AND($AQ29=1,$AL29=1),ROW(),"")</f>
        <v/>
      </c>
      <c r="AW29" s="71" t="str">
        <f>IF(AND($AP29=1,$AL29=1),ROW(),"")</f>
        <v/>
      </c>
      <c r="AX29" s="71" t="str">
        <f>IF(AND($AR29=1,$AL29=1),ROW(),"")</f>
        <v/>
      </c>
      <c r="AY29" s="71">
        <f>IF(AND($B29&lt;&gt;"",$A29=TCL_Client),1,0)</f>
        <v>0</v>
      </c>
      <c r="AZ29" s="71" t="str">
        <f>IF($AY29=1,ROW(),"")</f>
        <v/>
      </c>
      <c r="BA29" s="71">
        <f>IF(AND($B29&lt;&gt;"",$A29=MECCA_Client),1,0)</f>
        <v>0</v>
      </c>
      <c r="BB29" s="71" t="str">
        <f>IF($BA29=1,ROW(),"")</f>
        <v/>
      </c>
    </row>
    <row r="30">
      <c r="A30" s="64" t="inlineStr">
        <is>
          <t>Tata Communications MECCA</t>
        </is>
      </c>
      <c r="B30" s="65" t="inlineStr">
        <is>
          <t>Tata MECCA Campaign</t>
        </is>
      </c>
      <c r="C30" s="64" t="inlineStr">
        <is>
          <t>CMP-026</t>
        </is>
      </c>
      <c r="D30" s="64" t="n"/>
      <c r="E30" s="64" t="n"/>
      <c r="F30" s="65" t="n"/>
      <c r="G30" s="65" t="n"/>
      <c r="H30" s="64" t="inlineStr">
        <is>
          <t>Multi-channel</t>
        </is>
      </c>
      <c r="I30" s="64" t="n"/>
      <c r="J30" s="65" t="inlineStr">
        <is>
          <t>Priyanshu</t>
        </is>
      </c>
      <c r="K30" s="63" t="n"/>
      <c r="L30" s="63" t="n"/>
      <c r="M30" s="63" t="n"/>
      <c r="N30" s="64" t="n"/>
      <c r="O30" s="67" t="n"/>
      <c r="P30" s="72">
        <f>IF($B30="","",SUMIFS('PAID MEDIA ADS'!$G$5:$G$804,'PAID MEDIA ADS'!$C$5:$C$804,$B30))</f>
        <v>0</v>
      </c>
      <c r="Q30" s="67" t="n"/>
      <c r="R30" s="72">
        <f>IF($B30="","",COUNTIFS('LEAD MQL TRACKER'!$C$5:$C$1004,$B30,'LEAD MQL TRACKER'!$AB$5:$AB$1004,1)+SUMIFS('EMAIL MARKETING'!$Q$5:$Q$804,'EMAIL MARKETING'!$C$5:$C$804,$B30)+SUMIFS('PAID MEDIA ADS'!$M$5:$M$804,'PAID MEDIA ADS'!$C$5:$C$804,$B30)+SUMIFS('LINKEDIN OUTREACH'!$N$5:$N$704,'LINKEDIN OUTREACH'!$C$5:$C$704,$B30))</f>
        <v>0</v>
      </c>
      <c r="S30" s="67" t="n"/>
      <c r="T30" s="72">
        <f>IF($B30="","",COUNTIFS('LEAD MQL TRACKER'!$C$5:$C$1004,$B30,'LEAD MQL TRACKER'!$AD$5:$AD$1004,1)+SUMIFS('EMAIL MARKETING'!$R$5:$R$804,'EMAIL MARKETING'!$C$5:$C$804,$B30)+SUMIFS('PAID MEDIA ADS'!$N$5:$N$804,'PAID MEDIA ADS'!$C$5:$C$804,$B30)+SUMIFS('LINKEDIN OUTREACH'!$O$5:$O$704,'LINKEDIN OUTREACH'!$C$5:$C$704,$B30))</f>
        <v>0</v>
      </c>
      <c r="U30" s="67" t="n"/>
      <c r="V30" s="72">
        <f>IF($B30="","",COUNTIFS('LEAD MQL TRACKER'!$C$5:$C$1004,$B30,'LEAD MQL TRACKER'!$AE$5:$AE$1004,1))</f>
        <v>0</v>
      </c>
      <c r="W30" s="72">
        <f>IF($B30="","",COUNTIFS('LEAD MQL TRACKER'!$C$5:$C$1004,$B30,'LEAD MQL TRACKER'!$AC$5:$AC$1004,1)+SUMIFS('LINKEDIN OUTREACH'!$M$5:$M$704,'LINKEDIN OUTREACH'!$C$5:$C$704,$B30))</f>
        <v>0</v>
      </c>
      <c r="X30" s="72">
        <f>IF($B30="","",SUMIFS('EMAIL MARKETING'!$O$5:$O$804,'EMAIL MARKETING'!$C$5:$C$804,$B30)+SUMIFS('LINKEDIN OUTREACH'!$K$5:$K$704,'LINKEDIN OUTREACH'!$C$5:$C$704,$B30))</f>
        <v>0</v>
      </c>
      <c r="Y30" s="73" t="str">
        <f>IF(ISNUMBER($R30),IF($R30&gt;0,$T30/$R30,""),"")</f>
        <v/>
      </c>
      <c r="Z30" s="72" t="str">
        <f>IF(AND(ISNUMBER($P30),ISNUMBER($R30)),IF(AND($P30&gt;0,$R30&gt;0),$P30/$R30,""),"")</f>
        <v/>
      </c>
      <c r="AA30" s="71" t="str">
        <f>IF($B30="","",IF(OR($N30="Live",$N30="Optimizing",$N30="Paused",$N30="Completed"),IF(ISNUMBER($AI30),IF($AI30&gt;=1,"Ahead",IF($AI30&gt;=OnTrackPct,"On Track",IF($AI30&gt;=WatchPct,"Behind","At Risk"))),"No Target Set"),"Not Live"))</f>
        <v>Not Live</v>
      </c>
      <c r="AB30" s="65" t="n"/>
      <c r="AC30" s="65" t="n"/>
      <c r="AD30" s="65" t="inlineStr">
        <is>
          <t>Campaign listed in Team Details (Priyanshu). No other details provided.</t>
        </is>
      </c>
      <c r="AE30" s="67" t="n"/>
      <c r="AF30" s="67" t="n"/>
      <c r="AG30" s="63" t="n"/>
      <c r="AH30" s="74">
        <f>IF($N30="Completed",1,IF(AND(ISNUMBER($K30),ISNUMBER($L30)),IF($L30&gt;$K30,MIN(1,MAX(0.05,(ReportDate-$K30)/($L30-$K30))),1),1))</f>
        <v>1</v>
      </c>
      <c r="AI30" s="70" t="str">
        <f>IF($B30="","",IF(AND(ISNUMBER($Q30),$Q30&gt;0),$R30/($Q30*$AH30),""))</f>
        <v/>
      </c>
      <c r="AJ30" s="71" t="str">
        <f>IF(ISNUMBER($K30),YEAR($K30)&amp;"-"&amp;TEXT(MONTH($K30),"00"),"")</f>
        <v/>
      </c>
      <c r="AK30" s="71">
        <f>IF($B30="",0,IF(AND(OR(fClient="All",$A30=fClient),OR(fCampaign="All",$B30=fCampaign),OR(fTeam="All",$I30=fTeam),OR(fChannel="All",$H30=fChannel),OR(fCStatus="All",$N30=fCStatus)),1,0))</f>
        <v>1</v>
      </c>
      <c r="AL30" s="71">
        <f>IF($B30="",0,IF(AND(OR(fClient="All",$A30=fClient),OR(fCampaign="All",$B30=fCampaign),OR(fTeam="All",$I30=fTeam),OR(fChannel="All",$H30=fChannel)),1,0))</f>
        <v>1</v>
      </c>
      <c r="AM30" s="71">
        <f>IF(OR($N30="Live",$N30="Optimizing"),1,0)</f>
        <v>0</v>
      </c>
      <c r="AN30" s="71">
        <f>IF(OR($N30="Live",$N30="Optimizing",$N30="Paused",$N30="Completed"),1,0)</f>
        <v>0</v>
      </c>
      <c r="AO30" s="71">
        <f>IF(AND($AM30=1,ISNUMBER($L30),NOT(ISNUMBER($M30))),IF($L30&lt;ReportDate,1,0),0)</f>
        <v>0</v>
      </c>
      <c r="AP30" s="71">
        <f>IF($AM30=1,IF(ISNUMBER($AG30),IF(ReportDate-$AG30&gt;CampStaleDays,1,0),1),0)</f>
        <v>0</v>
      </c>
      <c r="AQ30" s="71">
        <f>IF(AND($AM30=1,OR($AA30="Behind",$AA30="At Risk")),1,0)</f>
        <v>0</v>
      </c>
      <c r="AR30" s="71">
        <f>IF(AND($AM30=1,OR($AA30="Ahead",$AA30="On Track")),1,0)</f>
        <v>0</v>
      </c>
      <c r="AS30" s="71">
        <f>IF(OR($AQ30=1,$AP30=1,$AO30=1),1,0)</f>
        <v>0</v>
      </c>
      <c r="AT30" s="71" t="str">
        <f>IF($AS30=1,TRIM(IF($AQ30=1,"Low performance. ","")&amp;IF($AP30=1,"No recent update. ","")&amp;IF($AO30=1,"Past planned end. ","")),"")</f>
        <v/>
      </c>
      <c r="AU30" s="71" t="str">
        <f>IF(AND($AS30=1,$AL30=1),ROW(),"")</f>
        <v/>
      </c>
      <c r="AV30" s="71" t="str">
        <f>IF(AND($AQ30=1,$AL30=1),ROW(),"")</f>
        <v/>
      </c>
      <c r="AW30" s="71" t="str">
        <f>IF(AND($AP30=1,$AL30=1),ROW(),"")</f>
        <v/>
      </c>
      <c r="AX30" s="71" t="str">
        <f>IF(AND($AR30=1,$AL30=1),ROW(),"")</f>
        <v/>
      </c>
      <c r="AY30" s="71">
        <f>IF(AND($B30&lt;&gt;"",$A30=TCL_Client),1,0)</f>
        <v>0</v>
      </c>
      <c r="AZ30" s="71" t="str">
        <f>IF($AY30=1,ROW(),"")</f>
        <v/>
      </c>
      <c r="BA30" s="71">
        <f>IF(AND($B30&lt;&gt;"",$A30=MECCA_Client),1,0)</f>
        <v>1</v>
      </c>
      <c r="BB30" s="71">
        <f>IF($BA30=1,ROW(),"")</f>
        <v>30</v>
      </c>
    </row>
    <row r="31">
      <c r="A31" s="64" t="n"/>
      <c r="B31" s="65" t="n"/>
      <c r="C31" s="64" t="n"/>
      <c r="D31" s="64" t="n"/>
      <c r="E31" s="64" t="n"/>
      <c r="F31" s="65" t="n"/>
      <c r="G31" s="65" t="n"/>
      <c r="H31" s="64" t="n"/>
      <c r="I31" s="64" t="n"/>
      <c r="J31" s="65" t="n"/>
      <c r="K31" s="63" t="n"/>
      <c r="L31" s="63" t="n"/>
      <c r="M31" s="63" t="n"/>
      <c r="N31" s="64" t="n"/>
      <c r="O31" s="67" t="n"/>
      <c r="P31" s="72" t="str">
        <f>IF($B31="","",SUMIFS('PAID MEDIA ADS'!$G$5:$G$804,'PAID MEDIA ADS'!$C$5:$C$804,$B31))</f>
        <v/>
      </c>
      <c r="Q31" s="67" t="n"/>
      <c r="R31" s="72" t="str">
        <f>IF($B31="","",COUNTIFS('LEAD MQL TRACKER'!$C$5:$C$1004,$B31,'LEAD MQL TRACKER'!$AB$5:$AB$1004,1)+SUMIFS('EMAIL MARKETING'!$Q$5:$Q$804,'EMAIL MARKETING'!$C$5:$C$804,$B31)+SUMIFS('PAID MEDIA ADS'!$M$5:$M$804,'PAID MEDIA ADS'!$C$5:$C$804,$B31)+SUMIFS('LINKEDIN OUTREACH'!$N$5:$N$704,'LINKEDIN OUTREACH'!$C$5:$C$704,$B31))</f>
        <v/>
      </c>
      <c r="S31" s="67" t="n"/>
      <c r="T31" s="72" t="str">
        <f>IF($B31="","",COUNTIFS('LEAD MQL TRACKER'!$C$5:$C$1004,$B31,'LEAD MQL TRACKER'!$AD$5:$AD$1004,1)+SUMIFS('EMAIL MARKETING'!$R$5:$R$804,'EMAIL MARKETING'!$C$5:$C$804,$B31)+SUMIFS('PAID MEDIA ADS'!$N$5:$N$804,'PAID MEDIA ADS'!$C$5:$C$804,$B31)+SUMIFS('LINKEDIN OUTREACH'!$O$5:$O$704,'LINKEDIN OUTREACH'!$C$5:$C$704,$B31))</f>
        <v/>
      </c>
      <c r="U31" s="67" t="n"/>
      <c r="V31" s="72" t="str">
        <f>IF($B31="","",COUNTIFS('LEAD MQL TRACKER'!$C$5:$C$1004,$B31,'LEAD MQL TRACKER'!$AE$5:$AE$1004,1))</f>
        <v/>
      </c>
      <c r="W31" s="72" t="str">
        <f>IF($B31="","",COUNTIFS('LEAD MQL TRACKER'!$C$5:$C$1004,$B31,'LEAD MQL TRACKER'!$AC$5:$AC$1004,1)+SUMIFS('LINKEDIN OUTREACH'!$M$5:$M$704,'LINKEDIN OUTREACH'!$C$5:$C$704,$B31))</f>
        <v/>
      </c>
      <c r="X31" s="72" t="str">
        <f>IF($B31="","",SUMIFS('EMAIL MARKETING'!$O$5:$O$804,'EMAIL MARKETING'!$C$5:$C$804,$B31)+SUMIFS('LINKEDIN OUTREACH'!$K$5:$K$704,'LINKEDIN OUTREACH'!$C$5:$C$704,$B31))</f>
        <v/>
      </c>
      <c r="Y31" s="73" t="str">
        <f>IF(ISNUMBER($R31),IF($R31&gt;0,$T31/$R31,""),"")</f>
        <v/>
      </c>
      <c r="Z31" s="72" t="str">
        <f>IF(AND(ISNUMBER($P31),ISNUMBER($R31)),IF(AND($P31&gt;0,$R31&gt;0),$P31/$R31,""),"")</f>
        <v/>
      </c>
      <c r="AA31" s="71" t="str">
        <f>IF($B31="","",IF(OR($N31="Live",$N31="Optimizing",$N31="Paused",$N31="Completed"),IF(ISNUMBER($AI31),IF($AI31&gt;=1,"Ahead",IF($AI31&gt;=OnTrackPct,"On Track",IF($AI31&gt;=WatchPct,"Behind","At Risk"))),"No Target Set"),"Not Live"))</f>
        <v/>
      </c>
      <c r="AB31" s="65" t="n"/>
      <c r="AC31" s="65" t="n"/>
      <c r="AD31" s="65" t="n"/>
      <c r="AE31" s="67" t="n"/>
      <c r="AF31" s="67" t="n"/>
      <c r="AG31" s="63" t="n"/>
      <c r="AH31" s="74">
        <f>IF($N31="Completed",1,IF(AND(ISNUMBER($K31),ISNUMBER($L31)),IF($L31&gt;$K31,MIN(1,MAX(0.05,(ReportDate-$K31)/($L31-$K31))),1),1))</f>
        <v>1</v>
      </c>
      <c r="AI31" s="70" t="str">
        <f>IF($B31="","",IF(AND(ISNUMBER($Q31),$Q31&gt;0),$R31/($Q31*$AH31),""))</f>
        <v/>
      </c>
      <c r="AJ31" s="71" t="str">
        <f>IF(ISNUMBER($K31),YEAR($K31)&amp;"-"&amp;TEXT(MONTH($K31),"00"),"")</f>
        <v/>
      </c>
      <c r="AK31" s="71">
        <f>IF($B31="",0,IF(AND(OR(fClient="All",$A31=fClient),OR(fCampaign="All",$B31=fCampaign),OR(fTeam="All",$I31=fTeam),OR(fChannel="All",$H31=fChannel),OR(fCStatus="All",$N31=fCStatus)),1,0))</f>
        <v>0</v>
      </c>
      <c r="AL31" s="71">
        <f>IF($B31="",0,IF(AND(OR(fClient="All",$A31=fClient),OR(fCampaign="All",$B31=fCampaign),OR(fTeam="All",$I31=fTeam),OR(fChannel="All",$H31=fChannel)),1,0))</f>
        <v>0</v>
      </c>
      <c r="AM31" s="71">
        <f>IF(OR($N31="Live",$N31="Optimizing"),1,0)</f>
        <v>0</v>
      </c>
      <c r="AN31" s="71">
        <f>IF(OR($N31="Live",$N31="Optimizing",$N31="Paused",$N31="Completed"),1,0)</f>
        <v>0</v>
      </c>
      <c r="AO31" s="71">
        <f>IF(AND($AM31=1,ISNUMBER($L31),NOT(ISNUMBER($M31))),IF($L31&lt;ReportDate,1,0),0)</f>
        <v>0</v>
      </c>
      <c r="AP31" s="71">
        <f>IF($AM31=1,IF(ISNUMBER($AG31),IF(ReportDate-$AG31&gt;CampStaleDays,1,0),1),0)</f>
        <v>0</v>
      </c>
      <c r="AQ31" s="71">
        <f>IF(AND($AM31=1,OR($AA31="Behind",$AA31="At Risk")),1,0)</f>
        <v>0</v>
      </c>
      <c r="AR31" s="71">
        <f>IF(AND($AM31=1,OR($AA31="Ahead",$AA31="On Track")),1,0)</f>
        <v>0</v>
      </c>
      <c r="AS31" s="71">
        <f>IF(OR($AQ31=1,$AP31=1,$AO31=1),1,0)</f>
        <v>0</v>
      </c>
      <c r="AT31" s="71" t="str">
        <f>IF($AS31=1,TRIM(IF($AQ31=1,"Low performance. ","")&amp;IF($AP31=1,"No recent update. ","")&amp;IF($AO31=1,"Past planned end. ","")),"")</f>
        <v/>
      </c>
      <c r="AU31" s="71" t="str">
        <f>IF(AND($AS31=1,$AL31=1),ROW(),"")</f>
        <v/>
      </c>
      <c r="AV31" s="71" t="str">
        <f>IF(AND($AQ31=1,$AL31=1),ROW(),"")</f>
        <v/>
      </c>
      <c r="AW31" s="71" t="str">
        <f>IF(AND($AP31=1,$AL31=1),ROW(),"")</f>
        <v/>
      </c>
      <c r="AX31" s="71" t="str">
        <f>IF(AND($AR31=1,$AL31=1),ROW(),"")</f>
        <v/>
      </c>
      <c r="AY31" s="71">
        <f>IF(AND($B31&lt;&gt;"",$A31=TCL_Client),1,0)</f>
        <v>0</v>
      </c>
      <c r="AZ31" s="71" t="str">
        <f>IF($AY31=1,ROW(),"")</f>
        <v/>
      </c>
      <c r="BA31" s="71">
        <f>IF(AND($B31&lt;&gt;"",$A31=MECCA_Client),1,0)</f>
        <v>0</v>
      </c>
      <c r="BB31" s="71" t="str">
        <f>IF($BA31=1,ROW(),"")</f>
        <v/>
      </c>
    </row>
    <row r="32">
      <c r="A32" s="64" t="n"/>
      <c r="B32" s="65" t="n"/>
      <c r="C32" s="64" t="n"/>
      <c r="D32" s="64" t="n"/>
      <c r="E32" s="64" t="n"/>
      <c r="F32" s="65" t="n"/>
      <c r="G32" s="65" t="n"/>
      <c r="H32" s="64" t="n"/>
      <c r="I32" s="64" t="n"/>
      <c r="J32" s="65" t="n"/>
      <c r="K32" s="63" t="n"/>
      <c r="L32" s="63" t="n"/>
      <c r="M32" s="63" t="n"/>
      <c r="N32" s="64" t="n"/>
      <c r="O32" s="67" t="n"/>
      <c r="P32" s="72" t="str">
        <f>IF($B32="","",SUMIFS('PAID MEDIA ADS'!$G$5:$G$804,'PAID MEDIA ADS'!$C$5:$C$804,$B32))</f>
        <v/>
      </c>
      <c r="Q32" s="67" t="n"/>
      <c r="R32" s="72" t="str">
        <f>IF($B32="","",COUNTIFS('LEAD MQL TRACKER'!$C$5:$C$1004,$B32,'LEAD MQL TRACKER'!$AB$5:$AB$1004,1)+SUMIFS('EMAIL MARKETING'!$Q$5:$Q$804,'EMAIL MARKETING'!$C$5:$C$804,$B32)+SUMIFS('PAID MEDIA ADS'!$M$5:$M$804,'PAID MEDIA ADS'!$C$5:$C$804,$B32)+SUMIFS('LINKEDIN OUTREACH'!$N$5:$N$704,'LINKEDIN OUTREACH'!$C$5:$C$704,$B32))</f>
        <v/>
      </c>
      <c r="S32" s="67" t="n"/>
      <c r="T32" s="72" t="str">
        <f>IF($B32="","",COUNTIFS('LEAD MQL TRACKER'!$C$5:$C$1004,$B32,'LEAD MQL TRACKER'!$AD$5:$AD$1004,1)+SUMIFS('EMAIL MARKETING'!$R$5:$R$804,'EMAIL MARKETING'!$C$5:$C$804,$B32)+SUMIFS('PAID MEDIA ADS'!$N$5:$N$804,'PAID MEDIA ADS'!$C$5:$C$804,$B32)+SUMIFS('LINKEDIN OUTREACH'!$O$5:$O$704,'LINKEDIN OUTREACH'!$C$5:$C$704,$B32))</f>
        <v/>
      </c>
      <c r="U32" s="67" t="n"/>
      <c r="V32" s="72" t="str">
        <f>IF($B32="","",COUNTIFS('LEAD MQL TRACKER'!$C$5:$C$1004,$B32,'LEAD MQL TRACKER'!$AE$5:$AE$1004,1))</f>
        <v/>
      </c>
      <c r="W32" s="72" t="str">
        <f>IF($B32="","",COUNTIFS('LEAD MQL TRACKER'!$C$5:$C$1004,$B32,'LEAD MQL TRACKER'!$AC$5:$AC$1004,1)+SUMIFS('LINKEDIN OUTREACH'!$M$5:$M$704,'LINKEDIN OUTREACH'!$C$5:$C$704,$B32))</f>
        <v/>
      </c>
      <c r="X32" s="72" t="str">
        <f>IF($B32="","",SUMIFS('EMAIL MARKETING'!$O$5:$O$804,'EMAIL MARKETING'!$C$5:$C$804,$B32)+SUMIFS('LINKEDIN OUTREACH'!$K$5:$K$704,'LINKEDIN OUTREACH'!$C$5:$C$704,$B32))</f>
        <v/>
      </c>
      <c r="Y32" s="73" t="str">
        <f>IF(ISNUMBER($R32),IF($R32&gt;0,$T32/$R32,""),"")</f>
        <v/>
      </c>
      <c r="Z32" s="72" t="str">
        <f>IF(AND(ISNUMBER($P32),ISNUMBER($R32)),IF(AND($P32&gt;0,$R32&gt;0),$P32/$R32,""),"")</f>
        <v/>
      </c>
      <c r="AA32" s="71" t="str">
        <f>IF($B32="","",IF(OR($N32="Live",$N32="Optimizing",$N32="Paused",$N32="Completed"),IF(ISNUMBER($AI32),IF($AI32&gt;=1,"Ahead",IF($AI32&gt;=OnTrackPct,"On Track",IF($AI32&gt;=WatchPct,"Behind","At Risk"))),"No Target Set"),"Not Live"))</f>
        <v/>
      </c>
      <c r="AB32" s="65" t="n"/>
      <c r="AC32" s="65" t="n"/>
      <c r="AD32" s="65" t="n"/>
      <c r="AE32" s="67" t="n"/>
      <c r="AF32" s="67" t="n"/>
      <c r="AG32" s="63" t="n"/>
      <c r="AH32" s="74">
        <f>IF($N32="Completed",1,IF(AND(ISNUMBER($K32),ISNUMBER($L32)),IF($L32&gt;$K32,MIN(1,MAX(0.05,(ReportDate-$K32)/($L32-$K32))),1),1))</f>
        <v>1</v>
      </c>
      <c r="AI32" s="70" t="str">
        <f>IF($B32="","",IF(AND(ISNUMBER($Q32),$Q32&gt;0),$R32/($Q32*$AH32),""))</f>
        <v/>
      </c>
      <c r="AJ32" s="71" t="str">
        <f>IF(ISNUMBER($K32),YEAR($K32)&amp;"-"&amp;TEXT(MONTH($K32),"00"),"")</f>
        <v/>
      </c>
      <c r="AK32" s="71">
        <f>IF($B32="",0,IF(AND(OR(fClient="All",$A32=fClient),OR(fCampaign="All",$B32=fCampaign),OR(fTeam="All",$I32=fTeam),OR(fChannel="All",$H32=fChannel),OR(fCStatus="All",$N32=fCStatus)),1,0))</f>
        <v>0</v>
      </c>
      <c r="AL32" s="71">
        <f>IF($B32="",0,IF(AND(OR(fClient="All",$A32=fClient),OR(fCampaign="All",$B32=fCampaign),OR(fTeam="All",$I32=fTeam),OR(fChannel="All",$H32=fChannel)),1,0))</f>
        <v>0</v>
      </c>
      <c r="AM32" s="71">
        <f>IF(OR($N32="Live",$N32="Optimizing"),1,0)</f>
        <v>0</v>
      </c>
      <c r="AN32" s="71">
        <f>IF(OR($N32="Live",$N32="Optimizing",$N32="Paused",$N32="Completed"),1,0)</f>
        <v>0</v>
      </c>
      <c r="AO32" s="71">
        <f>IF(AND($AM32=1,ISNUMBER($L32),NOT(ISNUMBER($M32))),IF($L32&lt;ReportDate,1,0),0)</f>
        <v>0</v>
      </c>
      <c r="AP32" s="71">
        <f>IF($AM32=1,IF(ISNUMBER($AG32),IF(ReportDate-$AG32&gt;CampStaleDays,1,0),1),0)</f>
        <v>0</v>
      </c>
      <c r="AQ32" s="71">
        <f>IF(AND($AM32=1,OR($AA32="Behind",$AA32="At Risk")),1,0)</f>
        <v>0</v>
      </c>
      <c r="AR32" s="71">
        <f>IF(AND($AM32=1,OR($AA32="Ahead",$AA32="On Track")),1,0)</f>
        <v>0</v>
      </c>
      <c r="AS32" s="71">
        <f>IF(OR($AQ32=1,$AP32=1,$AO32=1),1,0)</f>
        <v>0</v>
      </c>
      <c r="AT32" s="71" t="str">
        <f>IF($AS32=1,TRIM(IF($AQ32=1,"Low performance. ","")&amp;IF($AP32=1,"No recent update. ","")&amp;IF($AO32=1,"Past planned end. ","")),"")</f>
        <v/>
      </c>
      <c r="AU32" s="71" t="str">
        <f>IF(AND($AS32=1,$AL32=1),ROW(),"")</f>
        <v/>
      </c>
      <c r="AV32" s="71" t="str">
        <f>IF(AND($AQ32=1,$AL32=1),ROW(),"")</f>
        <v/>
      </c>
      <c r="AW32" s="71" t="str">
        <f>IF(AND($AP32=1,$AL32=1),ROW(),"")</f>
        <v/>
      </c>
      <c r="AX32" s="71" t="str">
        <f>IF(AND($AR32=1,$AL32=1),ROW(),"")</f>
        <v/>
      </c>
      <c r="AY32" s="71">
        <f>IF(AND($B32&lt;&gt;"",$A32=TCL_Client),1,0)</f>
        <v>0</v>
      </c>
      <c r="AZ32" s="71" t="str">
        <f>IF($AY32=1,ROW(),"")</f>
        <v/>
      </c>
      <c r="BA32" s="71">
        <f>IF(AND($B32&lt;&gt;"",$A32=MECCA_Client),1,0)</f>
        <v>0</v>
      </c>
      <c r="BB32" s="71" t="str">
        <f>IF($BA32=1,ROW(),"")</f>
        <v/>
      </c>
    </row>
    <row r="33">
      <c r="A33" s="64" t="n"/>
      <c r="B33" s="65" t="n"/>
      <c r="C33" s="64" t="n"/>
      <c r="D33" s="64" t="n"/>
      <c r="E33" s="64" t="n"/>
      <c r="F33" s="65" t="n"/>
      <c r="G33" s="65" t="n"/>
      <c r="H33" s="64" t="n"/>
      <c r="I33" s="64" t="n"/>
      <c r="J33" s="65" t="n"/>
      <c r="K33" s="63" t="n"/>
      <c r="L33" s="63" t="n"/>
      <c r="M33" s="63" t="n"/>
      <c r="N33" s="64" t="n"/>
      <c r="O33" s="67" t="n"/>
      <c r="P33" s="72" t="str">
        <f>IF($B33="","",SUMIFS('PAID MEDIA ADS'!$G$5:$G$804,'PAID MEDIA ADS'!$C$5:$C$804,$B33))</f>
        <v/>
      </c>
      <c r="Q33" s="67" t="n"/>
      <c r="R33" s="72" t="str">
        <f>IF($B33="","",COUNTIFS('LEAD MQL TRACKER'!$C$5:$C$1004,$B33,'LEAD MQL TRACKER'!$AB$5:$AB$1004,1)+SUMIFS('EMAIL MARKETING'!$Q$5:$Q$804,'EMAIL MARKETING'!$C$5:$C$804,$B33)+SUMIFS('PAID MEDIA ADS'!$M$5:$M$804,'PAID MEDIA ADS'!$C$5:$C$804,$B33)+SUMIFS('LINKEDIN OUTREACH'!$N$5:$N$704,'LINKEDIN OUTREACH'!$C$5:$C$704,$B33))</f>
        <v/>
      </c>
      <c r="S33" s="67" t="n"/>
      <c r="T33" s="72" t="str">
        <f>IF($B33="","",COUNTIFS('LEAD MQL TRACKER'!$C$5:$C$1004,$B33,'LEAD MQL TRACKER'!$AD$5:$AD$1004,1)+SUMIFS('EMAIL MARKETING'!$R$5:$R$804,'EMAIL MARKETING'!$C$5:$C$804,$B33)+SUMIFS('PAID MEDIA ADS'!$N$5:$N$804,'PAID MEDIA ADS'!$C$5:$C$804,$B33)+SUMIFS('LINKEDIN OUTREACH'!$O$5:$O$704,'LINKEDIN OUTREACH'!$C$5:$C$704,$B33))</f>
        <v/>
      </c>
      <c r="U33" s="67" t="n"/>
      <c r="V33" s="72" t="str">
        <f>IF($B33="","",COUNTIFS('LEAD MQL TRACKER'!$C$5:$C$1004,$B33,'LEAD MQL TRACKER'!$AE$5:$AE$1004,1))</f>
        <v/>
      </c>
      <c r="W33" s="72" t="str">
        <f>IF($B33="","",COUNTIFS('LEAD MQL TRACKER'!$C$5:$C$1004,$B33,'LEAD MQL TRACKER'!$AC$5:$AC$1004,1)+SUMIFS('LINKEDIN OUTREACH'!$M$5:$M$704,'LINKEDIN OUTREACH'!$C$5:$C$704,$B33))</f>
        <v/>
      </c>
      <c r="X33" s="72" t="str">
        <f>IF($B33="","",SUMIFS('EMAIL MARKETING'!$O$5:$O$804,'EMAIL MARKETING'!$C$5:$C$804,$B33)+SUMIFS('LINKEDIN OUTREACH'!$K$5:$K$704,'LINKEDIN OUTREACH'!$C$5:$C$704,$B33))</f>
        <v/>
      </c>
      <c r="Y33" s="73" t="str">
        <f>IF(ISNUMBER($R33),IF($R33&gt;0,$T33/$R33,""),"")</f>
        <v/>
      </c>
      <c r="Z33" s="72" t="str">
        <f>IF(AND(ISNUMBER($P33),ISNUMBER($R33)),IF(AND($P33&gt;0,$R33&gt;0),$P33/$R33,""),"")</f>
        <v/>
      </c>
      <c r="AA33" s="71" t="str">
        <f>IF($B33="","",IF(OR($N33="Live",$N33="Optimizing",$N33="Paused",$N33="Completed"),IF(ISNUMBER($AI33),IF($AI33&gt;=1,"Ahead",IF($AI33&gt;=OnTrackPct,"On Track",IF($AI33&gt;=WatchPct,"Behind","At Risk"))),"No Target Set"),"Not Live"))</f>
        <v/>
      </c>
      <c r="AB33" s="65" t="n"/>
      <c r="AC33" s="65" t="n"/>
      <c r="AD33" s="65" t="n"/>
      <c r="AE33" s="67" t="n"/>
      <c r="AF33" s="67" t="n"/>
      <c r="AG33" s="63" t="n"/>
      <c r="AH33" s="74">
        <f>IF($N33="Completed",1,IF(AND(ISNUMBER($K33),ISNUMBER($L33)),IF($L33&gt;$K33,MIN(1,MAX(0.05,(ReportDate-$K33)/($L33-$K33))),1),1))</f>
        <v>1</v>
      </c>
      <c r="AI33" s="70" t="str">
        <f>IF($B33="","",IF(AND(ISNUMBER($Q33),$Q33&gt;0),$R33/($Q33*$AH33),""))</f>
        <v/>
      </c>
      <c r="AJ33" s="71" t="str">
        <f>IF(ISNUMBER($K33),YEAR($K33)&amp;"-"&amp;TEXT(MONTH($K33),"00"),"")</f>
        <v/>
      </c>
      <c r="AK33" s="71">
        <f>IF($B33="",0,IF(AND(OR(fClient="All",$A33=fClient),OR(fCampaign="All",$B33=fCampaign),OR(fTeam="All",$I33=fTeam),OR(fChannel="All",$H33=fChannel),OR(fCStatus="All",$N33=fCStatus)),1,0))</f>
        <v>0</v>
      </c>
      <c r="AL33" s="71">
        <f>IF($B33="",0,IF(AND(OR(fClient="All",$A33=fClient),OR(fCampaign="All",$B33=fCampaign),OR(fTeam="All",$I33=fTeam),OR(fChannel="All",$H33=fChannel)),1,0))</f>
        <v>0</v>
      </c>
      <c r="AM33" s="71">
        <f>IF(OR($N33="Live",$N33="Optimizing"),1,0)</f>
        <v>0</v>
      </c>
      <c r="AN33" s="71">
        <f>IF(OR($N33="Live",$N33="Optimizing",$N33="Paused",$N33="Completed"),1,0)</f>
        <v>0</v>
      </c>
      <c r="AO33" s="71">
        <f>IF(AND($AM33=1,ISNUMBER($L33),NOT(ISNUMBER($M33))),IF($L33&lt;ReportDate,1,0),0)</f>
        <v>0</v>
      </c>
      <c r="AP33" s="71">
        <f>IF($AM33=1,IF(ISNUMBER($AG33),IF(ReportDate-$AG33&gt;CampStaleDays,1,0),1),0)</f>
        <v>0</v>
      </c>
      <c r="AQ33" s="71">
        <f>IF(AND($AM33=1,OR($AA33="Behind",$AA33="At Risk")),1,0)</f>
        <v>0</v>
      </c>
      <c r="AR33" s="71">
        <f>IF(AND($AM33=1,OR($AA33="Ahead",$AA33="On Track")),1,0)</f>
        <v>0</v>
      </c>
      <c r="AS33" s="71">
        <f>IF(OR($AQ33=1,$AP33=1,$AO33=1),1,0)</f>
        <v>0</v>
      </c>
      <c r="AT33" s="71" t="str">
        <f>IF($AS33=1,TRIM(IF($AQ33=1,"Low performance. ","")&amp;IF($AP33=1,"No recent update. ","")&amp;IF($AO33=1,"Past planned end. ","")),"")</f>
        <v/>
      </c>
      <c r="AU33" s="71" t="str">
        <f>IF(AND($AS33=1,$AL33=1),ROW(),"")</f>
        <v/>
      </c>
      <c r="AV33" s="71" t="str">
        <f>IF(AND($AQ33=1,$AL33=1),ROW(),"")</f>
        <v/>
      </c>
      <c r="AW33" s="71" t="str">
        <f>IF(AND($AP33=1,$AL33=1),ROW(),"")</f>
        <v/>
      </c>
      <c r="AX33" s="71" t="str">
        <f>IF(AND($AR33=1,$AL33=1),ROW(),"")</f>
        <v/>
      </c>
      <c r="AY33" s="71">
        <f>IF(AND($B33&lt;&gt;"",$A33=TCL_Client),1,0)</f>
        <v>0</v>
      </c>
      <c r="AZ33" s="71" t="str">
        <f>IF($AY33=1,ROW(),"")</f>
        <v/>
      </c>
      <c r="BA33" s="71">
        <f>IF(AND($B33&lt;&gt;"",$A33=MECCA_Client),1,0)</f>
        <v>0</v>
      </c>
      <c r="BB33" s="71" t="str">
        <f>IF($BA33=1,ROW(),"")</f>
        <v/>
      </c>
    </row>
    <row r="34">
      <c r="A34" s="64" t="n"/>
      <c r="B34" s="65" t="n"/>
      <c r="C34" s="64" t="n"/>
      <c r="D34" s="64" t="n"/>
      <c r="E34" s="64" t="n"/>
      <c r="F34" s="65" t="n"/>
      <c r="G34" s="65" t="n"/>
      <c r="H34" s="64" t="n"/>
      <c r="I34" s="64" t="n"/>
      <c r="J34" s="65" t="n"/>
      <c r="K34" s="63" t="n"/>
      <c r="L34" s="63" t="n"/>
      <c r="M34" s="63" t="n"/>
      <c r="N34" s="64" t="n"/>
      <c r="O34" s="67" t="n"/>
      <c r="P34" s="72" t="str">
        <f>IF($B34="","",SUMIFS('PAID MEDIA ADS'!$G$5:$G$804,'PAID MEDIA ADS'!$C$5:$C$804,$B34))</f>
        <v/>
      </c>
      <c r="Q34" s="67" t="n"/>
      <c r="R34" s="72" t="str">
        <f>IF($B34="","",COUNTIFS('LEAD MQL TRACKER'!$C$5:$C$1004,$B34,'LEAD MQL TRACKER'!$AB$5:$AB$1004,1)+SUMIFS('EMAIL MARKETING'!$Q$5:$Q$804,'EMAIL MARKETING'!$C$5:$C$804,$B34)+SUMIFS('PAID MEDIA ADS'!$M$5:$M$804,'PAID MEDIA ADS'!$C$5:$C$804,$B34)+SUMIFS('LINKEDIN OUTREACH'!$N$5:$N$704,'LINKEDIN OUTREACH'!$C$5:$C$704,$B34))</f>
        <v/>
      </c>
      <c r="S34" s="67" t="n"/>
      <c r="T34" s="72" t="str">
        <f>IF($B34="","",COUNTIFS('LEAD MQL TRACKER'!$C$5:$C$1004,$B34,'LEAD MQL TRACKER'!$AD$5:$AD$1004,1)+SUMIFS('EMAIL MARKETING'!$R$5:$R$804,'EMAIL MARKETING'!$C$5:$C$804,$B34)+SUMIFS('PAID MEDIA ADS'!$N$5:$N$804,'PAID MEDIA ADS'!$C$5:$C$804,$B34)+SUMIFS('LINKEDIN OUTREACH'!$O$5:$O$704,'LINKEDIN OUTREACH'!$C$5:$C$704,$B34))</f>
        <v/>
      </c>
      <c r="U34" s="67" t="n"/>
      <c r="V34" s="72" t="str">
        <f>IF($B34="","",COUNTIFS('LEAD MQL TRACKER'!$C$5:$C$1004,$B34,'LEAD MQL TRACKER'!$AE$5:$AE$1004,1))</f>
        <v/>
      </c>
      <c r="W34" s="72" t="str">
        <f>IF($B34="","",COUNTIFS('LEAD MQL TRACKER'!$C$5:$C$1004,$B34,'LEAD MQL TRACKER'!$AC$5:$AC$1004,1)+SUMIFS('LINKEDIN OUTREACH'!$M$5:$M$704,'LINKEDIN OUTREACH'!$C$5:$C$704,$B34))</f>
        <v/>
      </c>
      <c r="X34" s="72" t="str">
        <f>IF($B34="","",SUMIFS('EMAIL MARKETING'!$O$5:$O$804,'EMAIL MARKETING'!$C$5:$C$804,$B34)+SUMIFS('LINKEDIN OUTREACH'!$K$5:$K$704,'LINKEDIN OUTREACH'!$C$5:$C$704,$B34))</f>
        <v/>
      </c>
      <c r="Y34" s="73" t="str">
        <f>IF(ISNUMBER($R34),IF($R34&gt;0,$T34/$R34,""),"")</f>
        <v/>
      </c>
      <c r="Z34" s="72" t="str">
        <f>IF(AND(ISNUMBER($P34),ISNUMBER($R34)),IF(AND($P34&gt;0,$R34&gt;0),$P34/$R34,""),"")</f>
        <v/>
      </c>
      <c r="AA34" s="71" t="str">
        <f>IF($B34="","",IF(OR($N34="Live",$N34="Optimizing",$N34="Paused",$N34="Completed"),IF(ISNUMBER($AI34),IF($AI34&gt;=1,"Ahead",IF($AI34&gt;=OnTrackPct,"On Track",IF($AI34&gt;=WatchPct,"Behind","At Risk"))),"No Target Set"),"Not Live"))</f>
        <v/>
      </c>
      <c r="AB34" s="65" t="n"/>
      <c r="AC34" s="65" t="n"/>
      <c r="AD34" s="65" t="n"/>
      <c r="AE34" s="67" t="n"/>
      <c r="AF34" s="67" t="n"/>
      <c r="AG34" s="63" t="n"/>
      <c r="AH34" s="74">
        <f>IF($N34="Completed",1,IF(AND(ISNUMBER($K34),ISNUMBER($L34)),IF($L34&gt;$K34,MIN(1,MAX(0.05,(ReportDate-$K34)/($L34-$K34))),1),1))</f>
        <v>1</v>
      </c>
      <c r="AI34" s="70" t="str">
        <f>IF($B34="","",IF(AND(ISNUMBER($Q34),$Q34&gt;0),$R34/($Q34*$AH34),""))</f>
        <v/>
      </c>
      <c r="AJ34" s="71" t="str">
        <f>IF(ISNUMBER($K34),YEAR($K34)&amp;"-"&amp;TEXT(MONTH($K34),"00"),"")</f>
        <v/>
      </c>
      <c r="AK34" s="71">
        <f>IF($B34="",0,IF(AND(OR(fClient="All",$A34=fClient),OR(fCampaign="All",$B34=fCampaign),OR(fTeam="All",$I34=fTeam),OR(fChannel="All",$H34=fChannel),OR(fCStatus="All",$N34=fCStatus)),1,0))</f>
        <v>0</v>
      </c>
      <c r="AL34" s="71">
        <f>IF($B34="",0,IF(AND(OR(fClient="All",$A34=fClient),OR(fCampaign="All",$B34=fCampaign),OR(fTeam="All",$I34=fTeam),OR(fChannel="All",$H34=fChannel)),1,0))</f>
        <v>0</v>
      </c>
      <c r="AM34" s="71">
        <f>IF(OR($N34="Live",$N34="Optimizing"),1,0)</f>
        <v>0</v>
      </c>
      <c r="AN34" s="71">
        <f>IF(OR($N34="Live",$N34="Optimizing",$N34="Paused",$N34="Completed"),1,0)</f>
        <v>0</v>
      </c>
      <c r="AO34" s="71">
        <f>IF(AND($AM34=1,ISNUMBER($L34),NOT(ISNUMBER($M34))),IF($L34&lt;ReportDate,1,0),0)</f>
        <v>0</v>
      </c>
      <c r="AP34" s="71">
        <f>IF($AM34=1,IF(ISNUMBER($AG34),IF(ReportDate-$AG34&gt;CampStaleDays,1,0),1),0)</f>
        <v>0</v>
      </c>
      <c r="AQ34" s="71">
        <f>IF(AND($AM34=1,OR($AA34="Behind",$AA34="At Risk")),1,0)</f>
        <v>0</v>
      </c>
      <c r="AR34" s="71">
        <f>IF(AND($AM34=1,OR($AA34="Ahead",$AA34="On Track")),1,0)</f>
        <v>0</v>
      </c>
      <c r="AS34" s="71">
        <f>IF(OR($AQ34=1,$AP34=1,$AO34=1),1,0)</f>
        <v>0</v>
      </c>
      <c r="AT34" s="71" t="str">
        <f>IF($AS34=1,TRIM(IF($AQ34=1,"Low performance. ","")&amp;IF($AP34=1,"No recent update. ","")&amp;IF($AO34=1,"Past planned end. ","")),"")</f>
        <v/>
      </c>
      <c r="AU34" s="71" t="str">
        <f>IF(AND($AS34=1,$AL34=1),ROW(),"")</f>
        <v/>
      </c>
      <c r="AV34" s="71" t="str">
        <f>IF(AND($AQ34=1,$AL34=1),ROW(),"")</f>
        <v/>
      </c>
      <c r="AW34" s="71" t="str">
        <f>IF(AND($AP34=1,$AL34=1),ROW(),"")</f>
        <v/>
      </c>
      <c r="AX34" s="71" t="str">
        <f>IF(AND($AR34=1,$AL34=1),ROW(),"")</f>
        <v/>
      </c>
      <c r="AY34" s="71">
        <f>IF(AND($B34&lt;&gt;"",$A34=TCL_Client),1,0)</f>
        <v>0</v>
      </c>
      <c r="AZ34" s="71" t="str">
        <f>IF($AY34=1,ROW(),"")</f>
        <v/>
      </c>
      <c r="BA34" s="71">
        <f>IF(AND($B34&lt;&gt;"",$A34=MECCA_Client),1,0)</f>
        <v>0</v>
      </c>
      <c r="BB34" s="71" t="str">
        <f>IF($BA34=1,ROW(),"")</f>
        <v/>
      </c>
    </row>
    <row r="35">
      <c r="A35" s="64" t="n"/>
      <c r="B35" s="65" t="n"/>
      <c r="C35" s="64" t="n"/>
      <c r="D35" s="64" t="n"/>
      <c r="E35" s="64" t="n"/>
      <c r="F35" s="65" t="n"/>
      <c r="G35" s="65" t="n"/>
      <c r="H35" s="64" t="n"/>
      <c r="I35" s="64" t="n"/>
      <c r="J35" s="65" t="n"/>
      <c r="K35" s="63" t="n"/>
      <c r="L35" s="63" t="n"/>
      <c r="M35" s="63" t="n"/>
      <c r="N35" s="64" t="n"/>
      <c r="O35" s="67" t="n"/>
      <c r="P35" s="72" t="str">
        <f>IF($B35="","",SUMIFS('PAID MEDIA ADS'!$G$5:$G$804,'PAID MEDIA ADS'!$C$5:$C$804,$B35))</f>
        <v/>
      </c>
      <c r="Q35" s="67" t="n"/>
      <c r="R35" s="72" t="str">
        <f>IF($B35="","",COUNTIFS('LEAD MQL TRACKER'!$C$5:$C$1004,$B35,'LEAD MQL TRACKER'!$AB$5:$AB$1004,1)+SUMIFS('EMAIL MARKETING'!$Q$5:$Q$804,'EMAIL MARKETING'!$C$5:$C$804,$B35)+SUMIFS('PAID MEDIA ADS'!$M$5:$M$804,'PAID MEDIA ADS'!$C$5:$C$804,$B35)+SUMIFS('LINKEDIN OUTREACH'!$N$5:$N$704,'LINKEDIN OUTREACH'!$C$5:$C$704,$B35))</f>
        <v/>
      </c>
      <c r="S35" s="67" t="n"/>
      <c r="T35" s="72" t="str">
        <f>IF($B35="","",COUNTIFS('LEAD MQL TRACKER'!$C$5:$C$1004,$B35,'LEAD MQL TRACKER'!$AD$5:$AD$1004,1)+SUMIFS('EMAIL MARKETING'!$R$5:$R$804,'EMAIL MARKETING'!$C$5:$C$804,$B35)+SUMIFS('PAID MEDIA ADS'!$N$5:$N$804,'PAID MEDIA ADS'!$C$5:$C$804,$B35)+SUMIFS('LINKEDIN OUTREACH'!$O$5:$O$704,'LINKEDIN OUTREACH'!$C$5:$C$704,$B35))</f>
        <v/>
      </c>
      <c r="U35" s="67" t="n"/>
      <c r="V35" s="72" t="str">
        <f>IF($B35="","",COUNTIFS('LEAD MQL TRACKER'!$C$5:$C$1004,$B35,'LEAD MQL TRACKER'!$AE$5:$AE$1004,1))</f>
        <v/>
      </c>
      <c r="W35" s="72" t="str">
        <f>IF($B35="","",COUNTIFS('LEAD MQL TRACKER'!$C$5:$C$1004,$B35,'LEAD MQL TRACKER'!$AC$5:$AC$1004,1)+SUMIFS('LINKEDIN OUTREACH'!$M$5:$M$704,'LINKEDIN OUTREACH'!$C$5:$C$704,$B35))</f>
        <v/>
      </c>
      <c r="X35" s="72" t="str">
        <f>IF($B35="","",SUMIFS('EMAIL MARKETING'!$O$5:$O$804,'EMAIL MARKETING'!$C$5:$C$804,$B35)+SUMIFS('LINKEDIN OUTREACH'!$K$5:$K$704,'LINKEDIN OUTREACH'!$C$5:$C$704,$B35))</f>
        <v/>
      </c>
      <c r="Y35" s="73" t="str">
        <f>IF(ISNUMBER($R35),IF($R35&gt;0,$T35/$R35,""),"")</f>
        <v/>
      </c>
      <c r="Z35" s="72" t="str">
        <f>IF(AND(ISNUMBER($P35),ISNUMBER($R35)),IF(AND($P35&gt;0,$R35&gt;0),$P35/$R35,""),"")</f>
        <v/>
      </c>
      <c r="AA35" s="71" t="str">
        <f>IF($B35="","",IF(OR($N35="Live",$N35="Optimizing",$N35="Paused",$N35="Completed"),IF(ISNUMBER($AI35),IF($AI35&gt;=1,"Ahead",IF($AI35&gt;=OnTrackPct,"On Track",IF($AI35&gt;=WatchPct,"Behind","At Risk"))),"No Target Set"),"Not Live"))</f>
        <v/>
      </c>
      <c r="AB35" s="65" t="n"/>
      <c r="AC35" s="65" t="n"/>
      <c r="AD35" s="65" t="n"/>
      <c r="AE35" s="67" t="n"/>
      <c r="AF35" s="67" t="n"/>
      <c r="AG35" s="63" t="n"/>
      <c r="AH35" s="74">
        <f>IF($N35="Completed",1,IF(AND(ISNUMBER($K35),ISNUMBER($L35)),IF($L35&gt;$K35,MIN(1,MAX(0.05,(ReportDate-$K35)/($L35-$K35))),1),1))</f>
        <v>1</v>
      </c>
      <c r="AI35" s="70" t="str">
        <f>IF($B35="","",IF(AND(ISNUMBER($Q35),$Q35&gt;0),$R35/($Q35*$AH35),""))</f>
        <v/>
      </c>
      <c r="AJ35" s="71" t="str">
        <f>IF(ISNUMBER($K35),YEAR($K35)&amp;"-"&amp;TEXT(MONTH($K35),"00"),"")</f>
        <v/>
      </c>
      <c r="AK35" s="71">
        <f>IF($B35="",0,IF(AND(OR(fClient="All",$A35=fClient),OR(fCampaign="All",$B35=fCampaign),OR(fTeam="All",$I35=fTeam),OR(fChannel="All",$H35=fChannel),OR(fCStatus="All",$N35=fCStatus)),1,0))</f>
        <v>0</v>
      </c>
      <c r="AL35" s="71">
        <f>IF($B35="",0,IF(AND(OR(fClient="All",$A35=fClient),OR(fCampaign="All",$B35=fCampaign),OR(fTeam="All",$I35=fTeam),OR(fChannel="All",$H35=fChannel)),1,0))</f>
        <v>0</v>
      </c>
      <c r="AM35" s="71">
        <f>IF(OR($N35="Live",$N35="Optimizing"),1,0)</f>
        <v>0</v>
      </c>
      <c r="AN35" s="71">
        <f>IF(OR($N35="Live",$N35="Optimizing",$N35="Paused",$N35="Completed"),1,0)</f>
        <v>0</v>
      </c>
      <c r="AO35" s="71">
        <f>IF(AND($AM35=1,ISNUMBER($L35),NOT(ISNUMBER($M35))),IF($L35&lt;ReportDate,1,0),0)</f>
        <v>0</v>
      </c>
      <c r="AP35" s="71">
        <f>IF($AM35=1,IF(ISNUMBER($AG35),IF(ReportDate-$AG35&gt;CampStaleDays,1,0),1),0)</f>
        <v>0</v>
      </c>
      <c r="AQ35" s="71">
        <f>IF(AND($AM35=1,OR($AA35="Behind",$AA35="At Risk")),1,0)</f>
        <v>0</v>
      </c>
      <c r="AR35" s="71">
        <f>IF(AND($AM35=1,OR($AA35="Ahead",$AA35="On Track")),1,0)</f>
        <v>0</v>
      </c>
      <c r="AS35" s="71">
        <f>IF(OR($AQ35=1,$AP35=1,$AO35=1),1,0)</f>
        <v>0</v>
      </c>
      <c r="AT35" s="71" t="str">
        <f>IF($AS35=1,TRIM(IF($AQ35=1,"Low performance. ","")&amp;IF($AP35=1,"No recent update. ","")&amp;IF($AO35=1,"Past planned end. ","")),"")</f>
        <v/>
      </c>
      <c r="AU35" s="71" t="str">
        <f>IF(AND($AS35=1,$AL35=1),ROW(),"")</f>
        <v/>
      </c>
      <c r="AV35" s="71" t="str">
        <f>IF(AND($AQ35=1,$AL35=1),ROW(),"")</f>
        <v/>
      </c>
      <c r="AW35" s="71" t="str">
        <f>IF(AND($AP35=1,$AL35=1),ROW(),"")</f>
        <v/>
      </c>
      <c r="AX35" s="71" t="str">
        <f>IF(AND($AR35=1,$AL35=1),ROW(),"")</f>
        <v/>
      </c>
      <c r="AY35" s="71">
        <f>IF(AND($B35&lt;&gt;"",$A35=TCL_Client),1,0)</f>
        <v>0</v>
      </c>
      <c r="AZ35" s="71" t="str">
        <f>IF($AY35=1,ROW(),"")</f>
        <v/>
      </c>
      <c r="BA35" s="71">
        <f>IF(AND($B35&lt;&gt;"",$A35=MECCA_Client),1,0)</f>
        <v>0</v>
      </c>
      <c r="BB35" s="71" t="str">
        <f>IF($BA35=1,ROW(),"")</f>
        <v/>
      </c>
    </row>
    <row r="36">
      <c r="A36" s="64" t="n"/>
      <c r="B36" s="65" t="n"/>
      <c r="C36" s="64" t="n"/>
      <c r="D36" s="64" t="n"/>
      <c r="E36" s="64" t="n"/>
      <c r="F36" s="65" t="n"/>
      <c r="G36" s="65" t="n"/>
      <c r="H36" s="64" t="n"/>
      <c r="I36" s="64" t="n"/>
      <c r="J36" s="65" t="n"/>
      <c r="K36" s="63" t="n"/>
      <c r="L36" s="63" t="n"/>
      <c r="M36" s="63" t="n"/>
      <c r="N36" s="64" t="n"/>
      <c r="O36" s="67" t="n"/>
      <c r="P36" s="72" t="str">
        <f>IF($B36="","",SUMIFS('PAID MEDIA ADS'!$G$5:$G$804,'PAID MEDIA ADS'!$C$5:$C$804,$B36))</f>
        <v/>
      </c>
      <c r="Q36" s="67" t="n"/>
      <c r="R36" s="72" t="str">
        <f>IF($B36="","",COUNTIFS('LEAD MQL TRACKER'!$C$5:$C$1004,$B36,'LEAD MQL TRACKER'!$AB$5:$AB$1004,1)+SUMIFS('EMAIL MARKETING'!$Q$5:$Q$804,'EMAIL MARKETING'!$C$5:$C$804,$B36)+SUMIFS('PAID MEDIA ADS'!$M$5:$M$804,'PAID MEDIA ADS'!$C$5:$C$804,$B36)+SUMIFS('LINKEDIN OUTREACH'!$N$5:$N$704,'LINKEDIN OUTREACH'!$C$5:$C$704,$B36))</f>
        <v/>
      </c>
      <c r="S36" s="67" t="n"/>
      <c r="T36" s="72" t="str">
        <f>IF($B36="","",COUNTIFS('LEAD MQL TRACKER'!$C$5:$C$1004,$B36,'LEAD MQL TRACKER'!$AD$5:$AD$1004,1)+SUMIFS('EMAIL MARKETING'!$R$5:$R$804,'EMAIL MARKETING'!$C$5:$C$804,$B36)+SUMIFS('PAID MEDIA ADS'!$N$5:$N$804,'PAID MEDIA ADS'!$C$5:$C$804,$B36)+SUMIFS('LINKEDIN OUTREACH'!$O$5:$O$704,'LINKEDIN OUTREACH'!$C$5:$C$704,$B36))</f>
        <v/>
      </c>
      <c r="U36" s="67" t="n"/>
      <c r="V36" s="72" t="str">
        <f>IF($B36="","",COUNTIFS('LEAD MQL TRACKER'!$C$5:$C$1004,$B36,'LEAD MQL TRACKER'!$AE$5:$AE$1004,1))</f>
        <v/>
      </c>
      <c r="W36" s="72" t="str">
        <f>IF($B36="","",COUNTIFS('LEAD MQL TRACKER'!$C$5:$C$1004,$B36,'LEAD MQL TRACKER'!$AC$5:$AC$1004,1)+SUMIFS('LINKEDIN OUTREACH'!$M$5:$M$704,'LINKEDIN OUTREACH'!$C$5:$C$704,$B36))</f>
        <v/>
      </c>
      <c r="X36" s="72" t="str">
        <f>IF($B36="","",SUMIFS('EMAIL MARKETING'!$O$5:$O$804,'EMAIL MARKETING'!$C$5:$C$804,$B36)+SUMIFS('LINKEDIN OUTREACH'!$K$5:$K$704,'LINKEDIN OUTREACH'!$C$5:$C$704,$B36))</f>
        <v/>
      </c>
      <c r="Y36" s="73" t="str">
        <f>IF(ISNUMBER($R36),IF($R36&gt;0,$T36/$R36,""),"")</f>
        <v/>
      </c>
      <c r="Z36" s="72" t="str">
        <f>IF(AND(ISNUMBER($P36),ISNUMBER($R36)),IF(AND($P36&gt;0,$R36&gt;0),$P36/$R36,""),"")</f>
        <v/>
      </c>
      <c r="AA36" s="71" t="str">
        <f>IF($B36="","",IF(OR($N36="Live",$N36="Optimizing",$N36="Paused",$N36="Completed"),IF(ISNUMBER($AI36),IF($AI36&gt;=1,"Ahead",IF($AI36&gt;=OnTrackPct,"On Track",IF($AI36&gt;=WatchPct,"Behind","At Risk"))),"No Target Set"),"Not Live"))</f>
        <v/>
      </c>
      <c r="AB36" s="65" t="n"/>
      <c r="AC36" s="65" t="n"/>
      <c r="AD36" s="65" t="n"/>
      <c r="AE36" s="67" t="n"/>
      <c r="AF36" s="67" t="n"/>
      <c r="AG36" s="63" t="n"/>
      <c r="AH36" s="74">
        <f>IF($N36="Completed",1,IF(AND(ISNUMBER($K36),ISNUMBER($L36)),IF($L36&gt;$K36,MIN(1,MAX(0.05,(ReportDate-$K36)/($L36-$K36))),1),1))</f>
        <v>1</v>
      </c>
      <c r="AI36" s="70" t="str">
        <f>IF($B36="","",IF(AND(ISNUMBER($Q36),$Q36&gt;0),$R36/($Q36*$AH36),""))</f>
        <v/>
      </c>
      <c r="AJ36" s="71" t="str">
        <f>IF(ISNUMBER($K36),YEAR($K36)&amp;"-"&amp;TEXT(MONTH($K36),"00"),"")</f>
        <v/>
      </c>
      <c r="AK36" s="71">
        <f>IF($B36="",0,IF(AND(OR(fClient="All",$A36=fClient),OR(fCampaign="All",$B36=fCampaign),OR(fTeam="All",$I36=fTeam),OR(fChannel="All",$H36=fChannel),OR(fCStatus="All",$N36=fCStatus)),1,0))</f>
        <v>0</v>
      </c>
      <c r="AL36" s="71">
        <f>IF($B36="",0,IF(AND(OR(fClient="All",$A36=fClient),OR(fCampaign="All",$B36=fCampaign),OR(fTeam="All",$I36=fTeam),OR(fChannel="All",$H36=fChannel)),1,0))</f>
        <v>0</v>
      </c>
      <c r="AM36" s="71">
        <f>IF(OR($N36="Live",$N36="Optimizing"),1,0)</f>
        <v>0</v>
      </c>
      <c r="AN36" s="71">
        <f>IF(OR($N36="Live",$N36="Optimizing",$N36="Paused",$N36="Completed"),1,0)</f>
        <v>0</v>
      </c>
      <c r="AO36" s="71">
        <f>IF(AND($AM36=1,ISNUMBER($L36),NOT(ISNUMBER($M36))),IF($L36&lt;ReportDate,1,0),0)</f>
        <v>0</v>
      </c>
      <c r="AP36" s="71">
        <f>IF($AM36=1,IF(ISNUMBER($AG36),IF(ReportDate-$AG36&gt;CampStaleDays,1,0),1),0)</f>
        <v>0</v>
      </c>
      <c r="AQ36" s="71">
        <f>IF(AND($AM36=1,OR($AA36="Behind",$AA36="At Risk")),1,0)</f>
        <v>0</v>
      </c>
      <c r="AR36" s="71">
        <f>IF(AND($AM36=1,OR($AA36="Ahead",$AA36="On Track")),1,0)</f>
        <v>0</v>
      </c>
      <c r="AS36" s="71">
        <f>IF(OR($AQ36=1,$AP36=1,$AO36=1),1,0)</f>
        <v>0</v>
      </c>
      <c r="AT36" s="71" t="str">
        <f>IF($AS36=1,TRIM(IF($AQ36=1,"Low performance. ","")&amp;IF($AP36=1,"No recent update. ","")&amp;IF($AO36=1,"Past planned end. ","")),"")</f>
        <v/>
      </c>
      <c r="AU36" s="71" t="str">
        <f>IF(AND($AS36=1,$AL36=1),ROW(),"")</f>
        <v/>
      </c>
      <c r="AV36" s="71" t="str">
        <f>IF(AND($AQ36=1,$AL36=1),ROW(),"")</f>
        <v/>
      </c>
      <c r="AW36" s="71" t="str">
        <f>IF(AND($AP36=1,$AL36=1),ROW(),"")</f>
        <v/>
      </c>
      <c r="AX36" s="71" t="str">
        <f>IF(AND($AR36=1,$AL36=1),ROW(),"")</f>
        <v/>
      </c>
      <c r="AY36" s="71">
        <f>IF(AND($B36&lt;&gt;"",$A36=TCL_Client),1,0)</f>
        <v>0</v>
      </c>
      <c r="AZ36" s="71" t="str">
        <f>IF($AY36=1,ROW(),"")</f>
        <v/>
      </c>
      <c r="BA36" s="71">
        <f>IF(AND($B36&lt;&gt;"",$A36=MECCA_Client),1,0)</f>
        <v>0</v>
      </c>
      <c r="BB36" s="71" t="str">
        <f>IF($BA36=1,ROW(),"")</f>
        <v/>
      </c>
    </row>
    <row r="37">
      <c r="A37" s="64" t="n"/>
      <c r="B37" s="65" t="n"/>
      <c r="C37" s="64" t="n"/>
      <c r="D37" s="64" t="n"/>
      <c r="E37" s="64" t="n"/>
      <c r="F37" s="65" t="n"/>
      <c r="G37" s="65" t="n"/>
      <c r="H37" s="64" t="n"/>
      <c r="I37" s="64" t="n"/>
      <c r="J37" s="65" t="n"/>
      <c r="K37" s="63" t="n"/>
      <c r="L37" s="63" t="n"/>
      <c r="M37" s="63" t="n"/>
      <c r="N37" s="64" t="n"/>
      <c r="O37" s="67" t="n"/>
      <c r="P37" s="72" t="str">
        <f>IF($B37="","",SUMIFS('PAID MEDIA ADS'!$G$5:$G$804,'PAID MEDIA ADS'!$C$5:$C$804,$B37))</f>
        <v/>
      </c>
      <c r="Q37" s="67" t="n"/>
      <c r="R37" s="72" t="str">
        <f>IF($B37="","",COUNTIFS('LEAD MQL TRACKER'!$C$5:$C$1004,$B37,'LEAD MQL TRACKER'!$AB$5:$AB$1004,1)+SUMIFS('EMAIL MARKETING'!$Q$5:$Q$804,'EMAIL MARKETING'!$C$5:$C$804,$B37)+SUMIFS('PAID MEDIA ADS'!$M$5:$M$804,'PAID MEDIA ADS'!$C$5:$C$804,$B37)+SUMIFS('LINKEDIN OUTREACH'!$N$5:$N$704,'LINKEDIN OUTREACH'!$C$5:$C$704,$B37))</f>
        <v/>
      </c>
      <c r="S37" s="67" t="n"/>
      <c r="T37" s="72" t="str">
        <f>IF($B37="","",COUNTIFS('LEAD MQL TRACKER'!$C$5:$C$1004,$B37,'LEAD MQL TRACKER'!$AD$5:$AD$1004,1)+SUMIFS('EMAIL MARKETING'!$R$5:$R$804,'EMAIL MARKETING'!$C$5:$C$804,$B37)+SUMIFS('PAID MEDIA ADS'!$N$5:$N$804,'PAID MEDIA ADS'!$C$5:$C$804,$B37)+SUMIFS('LINKEDIN OUTREACH'!$O$5:$O$704,'LINKEDIN OUTREACH'!$C$5:$C$704,$B37))</f>
        <v/>
      </c>
      <c r="U37" s="67" t="n"/>
      <c r="V37" s="72" t="str">
        <f>IF($B37="","",COUNTIFS('LEAD MQL TRACKER'!$C$5:$C$1004,$B37,'LEAD MQL TRACKER'!$AE$5:$AE$1004,1))</f>
        <v/>
      </c>
      <c r="W37" s="72" t="str">
        <f>IF($B37="","",COUNTIFS('LEAD MQL TRACKER'!$C$5:$C$1004,$B37,'LEAD MQL TRACKER'!$AC$5:$AC$1004,1)+SUMIFS('LINKEDIN OUTREACH'!$M$5:$M$704,'LINKEDIN OUTREACH'!$C$5:$C$704,$B37))</f>
        <v/>
      </c>
      <c r="X37" s="72" t="str">
        <f>IF($B37="","",SUMIFS('EMAIL MARKETING'!$O$5:$O$804,'EMAIL MARKETING'!$C$5:$C$804,$B37)+SUMIFS('LINKEDIN OUTREACH'!$K$5:$K$704,'LINKEDIN OUTREACH'!$C$5:$C$704,$B37))</f>
        <v/>
      </c>
      <c r="Y37" s="73" t="str">
        <f>IF(ISNUMBER($R37),IF($R37&gt;0,$T37/$R37,""),"")</f>
        <v/>
      </c>
      <c r="Z37" s="72" t="str">
        <f>IF(AND(ISNUMBER($P37),ISNUMBER($R37)),IF(AND($P37&gt;0,$R37&gt;0),$P37/$R37,""),"")</f>
        <v/>
      </c>
      <c r="AA37" s="71" t="str">
        <f>IF($B37="","",IF(OR($N37="Live",$N37="Optimizing",$N37="Paused",$N37="Completed"),IF(ISNUMBER($AI37),IF($AI37&gt;=1,"Ahead",IF($AI37&gt;=OnTrackPct,"On Track",IF($AI37&gt;=WatchPct,"Behind","At Risk"))),"No Target Set"),"Not Live"))</f>
        <v/>
      </c>
      <c r="AB37" s="65" t="n"/>
      <c r="AC37" s="65" t="n"/>
      <c r="AD37" s="65" t="n"/>
      <c r="AE37" s="67" t="n"/>
      <c r="AF37" s="67" t="n"/>
      <c r="AG37" s="63" t="n"/>
      <c r="AH37" s="74">
        <f>IF($N37="Completed",1,IF(AND(ISNUMBER($K37),ISNUMBER($L37)),IF($L37&gt;$K37,MIN(1,MAX(0.05,(ReportDate-$K37)/($L37-$K37))),1),1))</f>
        <v>1</v>
      </c>
      <c r="AI37" s="70" t="str">
        <f>IF($B37="","",IF(AND(ISNUMBER($Q37),$Q37&gt;0),$R37/($Q37*$AH37),""))</f>
        <v/>
      </c>
      <c r="AJ37" s="71" t="str">
        <f>IF(ISNUMBER($K37),YEAR($K37)&amp;"-"&amp;TEXT(MONTH($K37),"00"),"")</f>
        <v/>
      </c>
      <c r="AK37" s="71">
        <f>IF($B37="",0,IF(AND(OR(fClient="All",$A37=fClient),OR(fCampaign="All",$B37=fCampaign),OR(fTeam="All",$I37=fTeam),OR(fChannel="All",$H37=fChannel),OR(fCStatus="All",$N37=fCStatus)),1,0))</f>
        <v>0</v>
      </c>
      <c r="AL37" s="71">
        <f>IF($B37="",0,IF(AND(OR(fClient="All",$A37=fClient),OR(fCampaign="All",$B37=fCampaign),OR(fTeam="All",$I37=fTeam),OR(fChannel="All",$H37=fChannel)),1,0))</f>
        <v>0</v>
      </c>
      <c r="AM37" s="71">
        <f>IF(OR($N37="Live",$N37="Optimizing"),1,0)</f>
        <v>0</v>
      </c>
      <c r="AN37" s="71">
        <f>IF(OR($N37="Live",$N37="Optimizing",$N37="Paused",$N37="Completed"),1,0)</f>
        <v>0</v>
      </c>
      <c r="AO37" s="71">
        <f>IF(AND($AM37=1,ISNUMBER($L37),NOT(ISNUMBER($M37))),IF($L37&lt;ReportDate,1,0),0)</f>
        <v>0</v>
      </c>
      <c r="AP37" s="71">
        <f>IF($AM37=1,IF(ISNUMBER($AG37),IF(ReportDate-$AG37&gt;CampStaleDays,1,0),1),0)</f>
        <v>0</v>
      </c>
      <c r="AQ37" s="71">
        <f>IF(AND($AM37=1,OR($AA37="Behind",$AA37="At Risk")),1,0)</f>
        <v>0</v>
      </c>
      <c r="AR37" s="71">
        <f>IF(AND($AM37=1,OR($AA37="Ahead",$AA37="On Track")),1,0)</f>
        <v>0</v>
      </c>
      <c r="AS37" s="71">
        <f>IF(OR($AQ37=1,$AP37=1,$AO37=1),1,0)</f>
        <v>0</v>
      </c>
      <c r="AT37" s="71" t="str">
        <f>IF($AS37=1,TRIM(IF($AQ37=1,"Low performance. ","")&amp;IF($AP37=1,"No recent update. ","")&amp;IF($AO37=1,"Past planned end. ","")),"")</f>
        <v/>
      </c>
      <c r="AU37" s="71" t="str">
        <f>IF(AND($AS37=1,$AL37=1),ROW(),"")</f>
        <v/>
      </c>
      <c r="AV37" s="71" t="str">
        <f>IF(AND($AQ37=1,$AL37=1),ROW(),"")</f>
        <v/>
      </c>
      <c r="AW37" s="71" t="str">
        <f>IF(AND($AP37=1,$AL37=1),ROW(),"")</f>
        <v/>
      </c>
      <c r="AX37" s="71" t="str">
        <f>IF(AND($AR37=1,$AL37=1),ROW(),"")</f>
        <v/>
      </c>
      <c r="AY37" s="71">
        <f>IF(AND($B37&lt;&gt;"",$A37=TCL_Client),1,0)</f>
        <v>0</v>
      </c>
      <c r="AZ37" s="71" t="str">
        <f>IF($AY37=1,ROW(),"")</f>
        <v/>
      </c>
      <c r="BA37" s="71">
        <f>IF(AND($B37&lt;&gt;"",$A37=MECCA_Client),1,0)</f>
        <v>0</v>
      </c>
      <c r="BB37" s="71" t="str">
        <f>IF($BA37=1,ROW(),"")</f>
        <v/>
      </c>
    </row>
    <row r="38">
      <c r="A38" s="64" t="n"/>
      <c r="B38" s="65" t="n"/>
      <c r="C38" s="64" t="n"/>
      <c r="D38" s="64" t="n"/>
      <c r="E38" s="64" t="n"/>
      <c r="F38" s="65" t="n"/>
      <c r="G38" s="65" t="n"/>
      <c r="H38" s="64" t="n"/>
      <c r="I38" s="64" t="n"/>
      <c r="J38" s="65" t="n"/>
      <c r="K38" s="63" t="n"/>
      <c r="L38" s="63" t="n"/>
      <c r="M38" s="63" t="n"/>
      <c r="N38" s="64" t="n"/>
      <c r="O38" s="67" t="n"/>
      <c r="P38" s="72" t="str">
        <f>IF($B38="","",SUMIFS('PAID MEDIA ADS'!$G$5:$G$804,'PAID MEDIA ADS'!$C$5:$C$804,$B38))</f>
        <v/>
      </c>
      <c r="Q38" s="67" t="n"/>
      <c r="R38" s="72" t="str">
        <f>IF($B38="","",COUNTIFS('LEAD MQL TRACKER'!$C$5:$C$1004,$B38,'LEAD MQL TRACKER'!$AB$5:$AB$1004,1)+SUMIFS('EMAIL MARKETING'!$Q$5:$Q$804,'EMAIL MARKETING'!$C$5:$C$804,$B38)+SUMIFS('PAID MEDIA ADS'!$M$5:$M$804,'PAID MEDIA ADS'!$C$5:$C$804,$B38)+SUMIFS('LINKEDIN OUTREACH'!$N$5:$N$704,'LINKEDIN OUTREACH'!$C$5:$C$704,$B38))</f>
        <v/>
      </c>
      <c r="S38" s="67" t="n"/>
      <c r="T38" s="72" t="str">
        <f>IF($B38="","",COUNTIFS('LEAD MQL TRACKER'!$C$5:$C$1004,$B38,'LEAD MQL TRACKER'!$AD$5:$AD$1004,1)+SUMIFS('EMAIL MARKETING'!$R$5:$R$804,'EMAIL MARKETING'!$C$5:$C$804,$B38)+SUMIFS('PAID MEDIA ADS'!$N$5:$N$804,'PAID MEDIA ADS'!$C$5:$C$804,$B38)+SUMIFS('LINKEDIN OUTREACH'!$O$5:$O$704,'LINKEDIN OUTREACH'!$C$5:$C$704,$B38))</f>
        <v/>
      </c>
      <c r="U38" s="67" t="n"/>
      <c r="V38" s="72" t="str">
        <f>IF($B38="","",COUNTIFS('LEAD MQL TRACKER'!$C$5:$C$1004,$B38,'LEAD MQL TRACKER'!$AE$5:$AE$1004,1))</f>
        <v/>
      </c>
      <c r="W38" s="72" t="str">
        <f>IF($B38="","",COUNTIFS('LEAD MQL TRACKER'!$C$5:$C$1004,$B38,'LEAD MQL TRACKER'!$AC$5:$AC$1004,1)+SUMIFS('LINKEDIN OUTREACH'!$M$5:$M$704,'LINKEDIN OUTREACH'!$C$5:$C$704,$B38))</f>
        <v/>
      </c>
      <c r="X38" s="72" t="str">
        <f>IF($B38="","",SUMIFS('EMAIL MARKETING'!$O$5:$O$804,'EMAIL MARKETING'!$C$5:$C$804,$B38)+SUMIFS('LINKEDIN OUTREACH'!$K$5:$K$704,'LINKEDIN OUTREACH'!$C$5:$C$704,$B38))</f>
        <v/>
      </c>
      <c r="Y38" s="73" t="str">
        <f>IF(ISNUMBER($R38),IF($R38&gt;0,$T38/$R38,""),"")</f>
        <v/>
      </c>
      <c r="Z38" s="72" t="str">
        <f>IF(AND(ISNUMBER($P38),ISNUMBER($R38)),IF(AND($P38&gt;0,$R38&gt;0),$P38/$R38,""),"")</f>
        <v/>
      </c>
      <c r="AA38" s="71" t="str">
        <f>IF($B38="","",IF(OR($N38="Live",$N38="Optimizing",$N38="Paused",$N38="Completed"),IF(ISNUMBER($AI38),IF($AI38&gt;=1,"Ahead",IF($AI38&gt;=OnTrackPct,"On Track",IF($AI38&gt;=WatchPct,"Behind","At Risk"))),"No Target Set"),"Not Live"))</f>
        <v/>
      </c>
      <c r="AB38" s="65" t="n"/>
      <c r="AC38" s="65" t="n"/>
      <c r="AD38" s="65" t="n"/>
      <c r="AE38" s="67" t="n"/>
      <c r="AF38" s="67" t="n"/>
      <c r="AG38" s="63" t="n"/>
      <c r="AH38" s="74">
        <f>IF($N38="Completed",1,IF(AND(ISNUMBER($K38),ISNUMBER($L38)),IF($L38&gt;$K38,MIN(1,MAX(0.05,(ReportDate-$K38)/($L38-$K38))),1),1))</f>
        <v>1</v>
      </c>
      <c r="AI38" s="70" t="str">
        <f>IF($B38="","",IF(AND(ISNUMBER($Q38),$Q38&gt;0),$R38/($Q38*$AH38),""))</f>
        <v/>
      </c>
      <c r="AJ38" s="71" t="str">
        <f>IF(ISNUMBER($K38),YEAR($K38)&amp;"-"&amp;TEXT(MONTH($K38),"00"),"")</f>
        <v/>
      </c>
      <c r="AK38" s="71">
        <f>IF($B38="",0,IF(AND(OR(fClient="All",$A38=fClient),OR(fCampaign="All",$B38=fCampaign),OR(fTeam="All",$I38=fTeam),OR(fChannel="All",$H38=fChannel),OR(fCStatus="All",$N38=fCStatus)),1,0))</f>
        <v>0</v>
      </c>
      <c r="AL38" s="71">
        <f>IF($B38="",0,IF(AND(OR(fClient="All",$A38=fClient),OR(fCampaign="All",$B38=fCampaign),OR(fTeam="All",$I38=fTeam),OR(fChannel="All",$H38=fChannel)),1,0))</f>
        <v>0</v>
      </c>
      <c r="AM38" s="71">
        <f>IF(OR($N38="Live",$N38="Optimizing"),1,0)</f>
        <v>0</v>
      </c>
      <c r="AN38" s="71">
        <f>IF(OR($N38="Live",$N38="Optimizing",$N38="Paused",$N38="Completed"),1,0)</f>
        <v>0</v>
      </c>
      <c r="AO38" s="71">
        <f>IF(AND($AM38=1,ISNUMBER($L38),NOT(ISNUMBER($M38))),IF($L38&lt;ReportDate,1,0),0)</f>
        <v>0</v>
      </c>
      <c r="AP38" s="71">
        <f>IF($AM38=1,IF(ISNUMBER($AG38),IF(ReportDate-$AG38&gt;CampStaleDays,1,0),1),0)</f>
        <v>0</v>
      </c>
      <c r="AQ38" s="71">
        <f>IF(AND($AM38=1,OR($AA38="Behind",$AA38="At Risk")),1,0)</f>
        <v>0</v>
      </c>
      <c r="AR38" s="71">
        <f>IF(AND($AM38=1,OR($AA38="Ahead",$AA38="On Track")),1,0)</f>
        <v>0</v>
      </c>
      <c r="AS38" s="71">
        <f>IF(OR($AQ38=1,$AP38=1,$AO38=1),1,0)</f>
        <v>0</v>
      </c>
      <c r="AT38" s="71" t="str">
        <f>IF($AS38=1,TRIM(IF($AQ38=1,"Low performance. ","")&amp;IF($AP38=1,"No recent update. ","")&amp;IF($AO38=1,"Past planned end. ","")),"")</f>
        <v/>
      </c>
      <c r="AU38" s="71" t="str">
        <f>IF(AND($AS38=1,$AL38=1),ROW(),"")</f>
        <v/>
      </c>
      <c r="AV38" s="71" t="str">
        <f>IF(AND($AQ38=1,$AL38=1),ROW(),"")</f>
        <v/>
      </c>
      <c r="AW38" s="71" t="str">
        <f>IF(AND($AP38=1,$AL38=1),ROW(),"")</f>
        <v/>
      </c>
      <c r="AX38" s="71" t="str">
        <f>IF(AND($AR38=1,$AL38=1),ROW(),"")</f>
        <v/>
      </c>
      <c r="AY38" s="71">
        <f>IF(AND($B38&lt;&gt;"",$A38=TCL_Client),1,0)</f>
        <v>0</v>
      </c>
      <c r="AZ38" s="71" t="str">
        <f>IF($AY38=1,ROW(),"")</f>
        <v/>
      </c>
      <c r="BA38" s="71">
        <f>IF(AND($B38&lt;&gt;"",$A38=MECCA_Client),1,0)</f>
        <v>0</v>
      </c>
      <c r="BB38" s="71" t="str">
        <f>IF($BA38=1,ROW(),"")</f>
        <v/>
      </c>
    </row>
    <row r="39">
      <c r="A39" s="64" t="n"/>
      <c r="B39" s="65" t="n"/>
      <c r="C39" s="64" t="n"/>
      <c r="D39" s="64" t="n"/>
      <c r="E39" s="64" t="n"/>
      <c r="F39" s="65" t="n"/>
      <c r="G39" s="65" t="n"/>
      <c r="H39" s="64" t="n"/>
      <c r="I39" s="64" t="n"/>
      <c r="J39" s="65" t="n"/>
      <c r="K39" s="63" t="n"/>
      <c r="L39" s="63" t="n"/>
      <c r="M39" s="63" t="n"/>
      <c r="N39" s="64" t="n"/>
      <c r="O39" s="67" t="n"/>
      <c r="P39" s="72" t="str">
        <f>IF($B39="","",SUMIFS('PAID MEDIA ADS'!$G$5:$G$804,'PAID MEDIA ADS'!$C$5:$C$804,$B39))</f>
        <v/>
      </c>
      <c r="Q39" s="67" t="n"/>
      <c r="R39" s="72" t="str">
        <f>IF($B39="","",COUNTIFS('LEAD MQL TRACKER'!$C$5:$C$1004,$B39,'LEAD MQL TRACKER'!$AB$5:$AB$1004,1)+SUMIFS('EMAIL MARKETING'!$Q$5:$Q$804,'EMAIL MARKETING'!$C$5:$C$804,$B39)+SUMIFS('PAID MEDIA ADS'!$M$5:$M$804,'PAID MEDIA ADS'!$C$5:$C$804,$B39)+SUMIFS('LINKEDIN OUTREACH'!$N$5:$N$704,'LINKEDIN OUTREACH'!$C$5:$C$704,$B39))</f>
        <v/>
      </c>
      <c r="S39" s="67" t="n"/>
      <c r="T39" s="72" t="str">
        <f>IF($B39="","",COUNTIFS('LEAD MQL TRACKER'!$C$5:$C$1004,$B39,'LEAD MQL TRACKER'!$AD$5:$AD$1004,1)+SUMIFS('EMAIL MARKETING'!$R$5:$R$804,'EMAIL MARKETING'!$C$5:$C$804,$B39)+SUMIFS('PAID MEDIA ADS'!$N$5:$N$804,'PAID MEDIA ADS'!$C$5:$C$804,$B39)+SUMIFS('LINKEDIN OUTREACH'!$O$5:$O$704,'LINKEDIN OUTREACH'!$C$5:$C$704,$B39))</f>
        <v/>
      </c>
      <c r="U39" s="67" t="n"/>
      <c r="V39" s="72" t="str">
        <f>IF($B39="","",COUNTIFS('LEAD MQL TRACKER'!$C$5:$C$1004,$B39,'LEAD MQL TRACKER'!$AE$5:$AE$1004,1))</f>
        <v/>
      </c>
      <c r="W39" s="72" t="str">
        <f>IF($B39="","",COUNTIFS('LEAD MQL TRACKER'!$C$5:$C$1004,$B39,'LEAD MQL TRACKER'!$AC$5:$AC$1004,1)+SUMIFS('LINKEDIN OUTREACH'!$M$5:$M$704,'LINKEDIN OUTREACH'!$C$5:$C$704,$B39))</f>
        <v/>
      </c>
      <c r="X39" s="72" t="str">
        <f>IF($B39="","",SUMIFS('EMAIL MARKETING'!$O$5:$O$804,'EMAIL MARKETING'!$C$5:$C$804,$B39)+SUMIFS('LINKEDIN OUTREACH'!$K$5:$K$704,'LINKEDIN OUTREACH'!$C$5:$C$704,$B39))</f>
        <v/>
      </c>
      <c r="Y39" s="73" t="str">
        <f>IF(ISNUMBER($R39),IF($R39&gt;0,$T39/$R39,""),"")</f>
        <v/>
      </c>
      <c r="Z39" s="72" t="str">
        <f>IF(AND(ISNUMBER($P39),ISNUMBER($R39)),IF(AND($P39&gt;0,$R39&gt;0),$P39/$R39,""),"")</f>
        <v/>
      </c>
      <c r="AA39" s="71" t="str">
        <f>IF($B39="","",IF(OR($N39="Live",$N39="Optimizing",$N39="Paused",$N39="Completed"),IF(ISNUMBER($AI39),IF($AI39&gt;=1,"Ahead",IF($AI39&gt;=OnTrackPct,"On Track",IF($AI39&gt;=WatchPct,"Behind","At Risk"))),"No Target Set"),"Not Live"))</f>
        <v/>
      </c>
      <c r="AB39" s="65" t="n"/>
      <c r="AC39" s="65" t="n"/>
      <c r="AD39" s="65" t="n"/>
      <c r="AE39" s="67" t="n"/>
      <c r="AF39" s="67" t="n"/>
      <c r="AG39" s="63" t="n"/>
      <c r="AH39" s="74">
        <f>IF($N39="Completed",1,IF(AND(ISNUMBER($K39),ISNUMBER($L39)),IF($L39&gt;$K39,MIN(1,MAX(0.05,(ReportDate-$K39)/($L39-$K39))),1),1))</f>
        <v>1</v>
      </c>
      <c r="AI39" s="70" t="str">
        <f>IF($B39="","",IF(AND(ISNUMBER($Q39),$Q39&gt;0),$R39/($Q39*$AH39),""))</f>
        <v/>
      </c>
      <c r="AJ39" s="71" t="str">
        <f>IF(ISNUMBER($K39),YEAR($K39)&amp;"-"&amp;TEXT(MONTH($K39),"00"),"")</f>
        <v/>
      </c>
      <c r="AK39" s="71">
        <f>IF($B39="",0,IF(AND(OR(fClient="All",$A39=fClient),OR(fCampaign="All",$B39=fCampaign),OR(fTeam="All",$I39=fTeam),OR(fChannel="All",$H39=fChannel),OR(fCStatus="All",$N39=fCStatus)),1,0))</f>
        <v>0</v>
      </c>
      <c r="AL39" s="71">
        <f>IF($B39="",0,IF(AND(OR(fClient="All",$A39=fClient),OR(fCampaign="All",$B39=fCampaign),OR(fTeam="All",$I39=fTeam),OR(fChannel="All",$H39=fChannel)),1,0))</f>
        <v>0</v>
      </c>
      <c r="AM39" s="71">
        <f>IF(OR($N39="Live",$N39="Optimizing"),1,0)</f>
        <v>0</v>
      </c>
      <c r="AN39" s="71">
        <f>IF(OR($N39="Live",$N39="Optimizing",$N39="Paused",$N39="Completed"),1,0)</f>
        <v>0</v>
      </c>
      <c r="AO39" s="71">
        <f>IF(AND($AM39=1,ISNUMBER($L39),NOT(ISNUMBER($M39))),IF($L39&lt;ReportDate,1,0),0)</f>
        <v>0</v>
      </c>
      <c r="AP39" s="71">
        <f>IF($AM39=1,IF(ISNUMBER($AG39),IF(ReportDate-$AG39&gt;CampStaleDays,1,0),1),0)</f>
        <v>0</v>
      </c>
      <c r="AQ39" s="71">
        <f>IF(AND($AM39=1,OR($AA39="Behind",$AA39="At Risk")),1,0)</f>
        <v>0</v>
      </c>
      <c r="AR39" s="71">
        <f>IF(AND($AM39=1,OR($AA39="Ahead",$AA39="On Track")),1,0)</f>
        <v>0</v>
      </c>
      <c r="AS39" s="71">
        <f>IF(OR($AQ39=1,$AP39=1,$AO39=1),1,0)</f>
        <v>0</v>
      </c>
      <c r="AT39" s="71" t="str">
        <f>IF($AS39=1,TRIM(IF($AQ39=1,"Low performance. ","")&amp;IF($AP39=1,"No recent update. ","")&amp;IF($AO39=1,"Past planned end. ","")),"")</f>
        <v/>
      </c>
      <c r="AU39" s="71" t="str">
        <f>IF(AND($AS39=1,$AL39=1),ROW(),"")</f>
        <v/>
      </c>
      <c r="AV39" s="71" t="str">
        <f>IF(AND($AQ39=1,$AL39=1),ROW(),"")</f>
        <v/>
      </c>
      <c r="AW39" s="71" t="str">
        <f>IF(AND($AP39=1,$AL39=1),ROW(),"")</f>
        <v/>
      </c>
      <c r="AX39" s="71" t="str">
        <f>IF(AND($AR39=1,$AL39=1),ROW(),"")</f>
        <v/>
      </c>
      <c r="AY39" s="71">
        <f>IF(AND($B39&lt;&gt;"",$A39=TCL_Client),1,0)</f>
        <v>0</v>
      </c>
      <c r="AZ39" s="71" t="str">
        <f>IF($AY39=1,ROW(),"")</f>
        <v/>
      </c>
      <c r="BA39" s="71">
        <f>IF(AND($B39&lt;&gt;"",$A39=MECCA_Client),1,0)</f>
        <v>0</v>
      </c>
      <c r="BB39" s="71" t="str">
        <f>IF($BA39=1,ROW(),"")</f>
        <v/>
      </c>
    </row>
    <row r="40">
      <c r="A40" s="64" t="n"/>
      <c r="B40" s="65" t="n"/>
      <c r="C40" s="64" t="n"/>
      <c r="D40" s="64" t="n"/>
      <c r="E40" s="64" t="n"/>
      <c r="F40" s="65" t="n"/>
      <c r="G40" s="65" t="n"/>
      <c r="H40" s="64" t="n"/>
      <c r="I40" s="64" t="n"/>
      <c r="J40" s="65" t="n"/>
      <c r="K40" s="63" t="n"/>
      <c r="L40" s="63" t="n"/>
      <c r="M40" s="63" t="n"/>
      <c r="N40" s="64" t="n"/>
      <c r="O40" s="67" t="n"/>
      <c r="P40" s="72" t="str">
        <f>IF($B40="","",SUMIFS('PAID MEDIA ADS'!$G$5:$G$804,'PAID MEDIA ADS'!$C$5:$C$804,$B40))</f>
        <v/>
      </c>
      <c r="Q40" s="67" t="n"/>
      <c r="R40" s="72" t="str">
        <f>IF($B40="","",COUNTIFS('LEAD MQL TRACKER'!$C$5:$C$1004,$B40,'LEAD MQL TRACKER'!$AB$5:$AB$1004,1)+SUMIFS('EMAIL MARKETING'!$Q$5:$Q$804,'EMAIL MARKETING'!$C$5:$C$804,$B40)+SUMIFS('PAID MEDIA ADS'!$M$5:$M$804,'PAID MEDIA ADS'!$C$5:$C$804,$B40)+SUMIFS('LINKEDIN OUTREACH'!$N$5:$N$704,'LINKEDIN OUTREACH'!$C$5:$C$704,$B40))</f>
        <v/>
      </c>
      <c r="S40" s="67" t="n"/>
      <c r="T40" s="72" t="str">
        <f>IF($B40="","",COUNTIFS('LEAD MQL TRACKER'!$C$5:$C$1004,$B40,'LEAD MQL TRACKER'!$AD$5:$AD$1004,1)+SUMIFS('EMAIL MARKETING'!$R$5:$R$804,'EMAIL MARKETING'!$C$5:$C$804,$B40)+SUMIFS('PAID MEDIA ADS'!$N$5:$N$804,'PAID MEDIA ADS'!$C$5:$C$804,$B40)+SUMIFS('LINKEDIN OUTREACH'!$O$5:$O$704,'LINKEDIN OUTREACH'!$C$5:$C$704,$B40))</f>
        <v/>
      </c>
      <c r="U40" s="67" t="n"/>
      <c r="V40" s="72" t="str">
        <f>IF($B40="","",COUNTIFS('LEAD MQL TRACKER'!$C$5:$C$1004,$B40,'LEAD MQL TRACKER'!$AE$5:$AE$1004,1))</f>
        <v/>
      </c>
      <c r="W40" s="72" t="str">
        <f>IF($B40="","",COUNTIFS('LEAD MQL TRACKER'!$C$5:$C$1004,$B40,'LEAD MQL TRACKER'!$AC$5:$AC$1004,1)+SUMIFS('LINKEDIN OUTREACH'!$M$5:$M$704,'LINKEDIN OUTREACH'!$C$5:$C$704,$B40))</f>
        <v/>
      </c>
      <c r="X40" s="72" t="str">
        <f>IF($B40="","",SUMIFS('EMAIL MARKETING'!$O$5:$O$804,'EMAIL MARKETING'!$C$5:$C$804,$B40)+SUMIFS('LINKEDIN OUTREACH'!$K$5:$K$704,'LINKEDIN OUTREACH'!$C$5:$C$704,$B40))</f>
        <v/>
      </c>
      <c r="Y40" s="73" t="str">
        <f>IF(ISNUMBER($R40),IF($R40&gt;0,$T40/$R40,""),"")</f>
        <v/>
      </c>
      <c r="Z40" s="72" t="str">
        <f>IF(AND(ISNUMBER($P40),ISNUMBER($R40)),IF(AND($P40&gt;0,$R40&gt;0),$P40/$R40,""),"")</f>
        <v/>
      </c>
      <c r="AA40" s="71" t="str">
        <f>IF($B40="","",IF(OR($N40="Live",$N40="Optimizing",$N40="Paused",$N40="Completed"),IF(ISNUMBER($AI40),IF($AI40&gt;=1,"Ahead",IF($AI40&gt;=OnTrackPct,"On Track",IF($AI40&gt;=WatchPct,"Behind","At Risk"))),"No Target Set"),"Not Live"))</f>
        <v/>
      </c>
      <c r="AB40" s="65" t="n"/>
      <c r="AC40" s="65" t="n"/>
      <c r="AD40" s="65" t="n"/>
      <c r="AE40" s="67" t="n"/>
      <c r="AF40" s="67" t="n"/>
      <c r="AG40" s="63" t="n"/>
      <c r="AH40" s="74">
        <f>IF($N40="Completed",1,IF(AND(ISNUMBER($K40),ISNUMBER($L40)),IF($L40&gt;$K40,MIN(1,MAX(0.05,(ReportDate-$K40)/($L40-$K40))),1),1))</f>
        <v>1</v>
      </c>
      <c r="AI40" s="70" t="str">
        <f>IF($B40="","",IF(AND(ISNUMBER($Q40),$Q40&gt;0),$R40/($Q40*$AH40),""))</f>
        <v/>
      </c>
      <c r="AJ40" s="71" t="str">
        <f>IF(ISNUMBER($K40),YEAR($K40)&amp;"-"&amp;TEXT(MONTH($K40),"00"),"")</f>
        <v/>
      </c>
      <c r="AK40" s="71">
        <f>IF($B40="",0,IF(AND(OR(fClient="All",$A40=fClient),OR(fCampaign="All",$B40=fCampaign),OR(fTeam="All",$I40=fTeam),OR(fChannel="All",$H40=fChannel),OR(fCStatus="All",$N40=fCStatus)),1,0))</f>
        <v>0</v>
      </c>
      <c r="AL40" s="71">
        <f>IF($B40="",0,IF(AND(OR(fClient="All",$A40=fClient),OR(fCampaign="All",$B40=fCampaign),OR(fTeam="All",$I40=fTeam),OR(fChannel="All",$H40=fChannel)),1,0))</f>
        <v>0</v>
      </c>
      <c r="AM40" s="71">
        <f>IF(OR($N40="Live",$N40="Optimizing"),1,0)</f>
        <v>0</v>
      </c>
      <c r="AN40" s="71">
        <f>IF(OR($N40="Live",$N40="Optimizing",$N40="Paused",$N40="Completed"),1,0)</f>
        <v>0</v>
      </c>
      <c r="AO40" s="71">
        <f>IF(AND($AM40=1,ISNUMBER($L40),NOT(ISNUMBER($M40))),IF($L40&lt;ReportDate,1,0),0)</f>
        <v>0</v>
      </c>
      <c r="AP40" s="71">
        <f>IF($AM40=1,IF(ISNUMBER($AG40),IF(ReportDate-$AG40&gt;CampStaleDays,1,0),1),0)</f>
        <v>0</v>
      </c>
      <c r="AQ40" s="71">
        <f>IF(AND($AM40=1,OR($AA40="Behind",$AA40="At Risk")),1,0)</f>
        <v>0</v>
      </c>
      <c r="AR40" s="71">
        <f>IF(AND($AM40=1,OR($AA40="Ahead",$AA40="On Track")),1,0)</f>
        <v>0</v>
      </c>
      <c r="AS40" s="71">
        <f>IF(OR($AQ40=1,$AP40=1,$AO40=1),1,0)</f>
        <v>0</v>
      </c>
      <c r="AT40" s="71" t="str">
        <f>IF($AS40=1,TRIM(IF($AQ40=1,"Low performance. ","")&amp;IF($AP40=1,"No recent update. ","")&amp;IF($AO40=1,"Past planned end. ","")),"")</f>
        <v/>
      </c>
      <c r="AU40" s="71" t="str">
        <f>IF(AND($AS40=1,$AL40=1),ROW(),"")</f>
        <v/>
      </c>
      <c r="AV40" s="71" t="str">
        <f>IF(AND($AQ40=1,$AL40=1),ROW(),"")</f>
        <v/>
      </c>
      <c r="AW40" s="71" t="str">
        <f>IF(AND($AP40=1,$AL40=1),ROW(),"")</f>
        <v/>
      </c>
      <c r="AX40" s="71" t="str">
        <f>IF(AND($AR40=1,$AL40=1),ROW(),"")</f>
        <v/>
      </c>
      <c r="AY40" s="71">
        <f>IF(AND($B40&lt;&gt;"",$A40=TCL_Client),1,0)</f>
        <v>0</v>
      </c>
      <c r="AZ40" s="71" t="str">
        <f>IF($AY40=1,ROW(),"")</f>
        <v/>
      </c>
      <c r="BA40" s="71">
        <f>IF(AND($B40&lt;&gt;"",$A40=MECCA_Client),1,0)</f>
        <v>0</v>
      </c>
      <c r="BB40" s="71" t="str">
        <f>IF($BA40=1,ROW(),"")</f>
        <v/>
      </c>
    </row>
    <row r="41">
      <c r="A41" s="64" t="n"/>
      <c r="B41" s="65" t="n"/>
      <c r="C41" s="64" t="n"/>
      <c r="D41" s="64" t="n"/>
      <c r="E41" s="64" t="n"/>
      <c r="F41" s="65" t="n"/>
      <c r="G41" s="65" t="n"/>
      <c r="H41" s="64" t="n"/>
      <c r="I41" s="64" t="n"/>
      <c r="J41" s="65" t="n"/>
      <c r="K41" s="63" t="n"/>
      <c r="L41" s="63" t="n"/>
      <c r="M41" s="63" t="n"/>
      <c r="N41" s="64" t="n"/>
      <c r="O41" s="67" t="n"/>
      <c r="P41" s="72" t="str">
        <f>IF($B41="","",SUMIFS('PAID MEDIA ADS'!$G$5:$G$804,'PAID MEDIA ADS'!$C$5:$C$804,$B41))</f>
        <v/>
      </c>
      <c r="Q41" s="67" t="n"/>
      <c r="R41" s="72" t="str">
        <f>IF($B41="","",COUNTIFS('LEAD MQL TRACKER'!$C$5:$C$1004,$B41,'LEAD MQL TRACKER'!$AB$5:$AB$1004,1)+SUMIFS('EMAIL MARKETING'!$Q$5:$Q$804,'EMAIL MARKETING'!$C$5:$C$804,$B41)+SUMIFS('PAID MEDIA ADS'!$M$5:$M$804,'PAID MEDIA ADS'!$C$5:$C$804,$B41)+SUMIFS('LINKEDIN OUTREACH'!$N$5:$N$704,'LINKEDIN OUTREACH'!$C$5:$C$704,$B41))</f>
        <v/>
      </c>
      <c r="S41" s="67" t="n"/>
      <c r="T41" s="72" t="str">
        <f>IF($B41="","",COUNTIFS('LEAD MQL TRACKER'!$C$5:$C$1004,$B41,'LEAD MQL TRACKER'!$AD$5:$AD$1004,1)+SUMIFS('EMAIL MARKETING'!$R$5:$R$804,'EMAIL MARKETING'!$C$5:$C$804,$B41)+SUMIFS('PAID MEDIA ADS'!$N$5:$N$804,'PAID MEDIA ADS'!$C$5:$C$804,$B41)+SUMIFS('LINKEDIN OUTREACH'!$O$5:$O$704,'LINKEDIN OUTREACH'!$C$5:$C$704,$B41))</f>
        <v/>
      </c>
      <c r="U41" s="67" t="n"/>
      <c r="V41" s="72" t="str">
        <f>IF($B41="","",COUNTIFS('LEAD MQL TRACKER'!$C$5:$C$1004,$B41,'LEAD MQL TRACKER'!$AE$5:$AE$1004,1))</f>
        <v/>
      </c>
      <c r="W41" s="72" t="str">
        <f>IF($B41="","",COUNTIFS('LEAD MQL TRACKER'!$C$5:$C$1004,$B41,'LEAD MQL TRACKER'!$AC$5:$AC$1004,1)+SUMIFS('LINKEDIN OUTREACH'!$M$5:$M$704,'LINKEDIN OUTREACH'!$C$5:$C$704,$B41))</f>
        <v/>
      </c>
      <c r="X41" s="72" t="str">
        <f>IF($B41="","",SUMIFS('EMAIL MARKETING'!$O$5:$O$804,'EMAIL MARKETING'!$C$5:$C$804,$B41)+SUMIFS('LINKEDIN OUTREACH'!$K$5:$K$704,'LINKEDIN OUTREACH'!$C$5:$C$704,$B41))</f>
        <v/>
      </c>
      <c r="Y41" s="73" t="str">
        <f>IF(ISNUMBER($R41),IF($R41&gt;0,$T41/$R41,""),"")</f>
        <v/>
      </c>
      <c r="Z41" s="72" t="str">
        <f>IF(AND(ISNUMBER($P41),ISNUMBER($R41)),IF(AND($P41&gt;0,$R41&gt;0),$P41/$R41,""),"")</f>
        <v/>
      </c>
      <c r="AA41" s="71" t="str">
        <f>IF($B41="","",IF(OR($N41="Live",$N41="Optimizing",$N41="Paused",$N41="Completed"),IF(ISNUMBER($AI41),IF($AI41&gt;=1,"Ahead",IF($AI41&gt;=OnTrackPct,"On Track",IF($AI41&gt;=WatchPct,"Behind","At Risk"))),"No Target Set"),"Not Live"))</f>
        <v/>
      </c>
      <c r="AB41" s="65" t="n"/>
      <c r="AC41" s="65" t="n"/>
      <c r="AD41" s="65" t="n"/>
      <c r="AE41" s="67" t="n"/>
      <c r="AF41" s="67" t="n"/>
      <c r="AG41" s="63" t="n"/>
      <c r="AH41" s="74">
        <f>IF($N41="Completed",1,IF(AND(ISNUMBER($K41),ISNUMBER($L41)),IF($L41&gt;$K41,MIN(1,MAX(0.05,(ReportDate-$K41)/($L41-$K41))),1),1))</f>
        <v>1</v>
      </c>
      <c r="AI41" s="70" t="str">
        <f>IF($B41="","",IF(AND(ISNUMBER($Q41),$Q41&gt;0),$R41/($Q41*$AH41),""))</f>
        <v/>
      </c>
      <c r="AJ41" s="71" t="str">
        <f>IF(ISNUMBER($K41),YEAR($K41)&amp;"-"&amp;TEXT(MONTH($K41),"00"),"")</f>
        <v/>
      </c>
      <c r="AK41" s="71">
        <f>IF($B41="",0,IF(AND(OR(fClient="All",$A41=fClient),OR(fCampaign="All",$B41=fCampaign),OR(fTeam="All",$I41=fTeam),OR(fChannel="All",$H41=fChannel),OR(fCStatus="All",$N41=fCStatus)),1,0))</f>
        <v>0</v>
      </c>
      <c r="AL41" s="71">
        <f>IF($B41="",0,IF(AND(OR(fClient="All",$A41=fClient),OR(fCampaign="All",$B41=fCampaign),OR(fTeam="All",$I41=fTeam),OR(fChannel="All",$H41=fChannel)),1,0))</f>
        <v>0</v>
      </c>
      <c r="AM41" s="71">
        <f>IF(OR($N41="Live",$N41="Optimizing"),1,0)</f>
        <v>0</v>
      </c>
      <c r="AN41" s="71">
        <f>IF(OR($N41="Live",$N41="Optimizing",$N41="Paused",$N41="Completed"),1,0)</f>
        <v>0</v>
      </c>
      <c r="AO41" s="71">
        <f>IF(AND($AM41=1,ISNUMBER($L41),NOT(ISNUMBER($M41))),IF($L41&lt;ReportDate,1,0),0)</f>
        <v>0</v>
      </c>
      <c r="AP41" s="71">
        <f>IF($AM41=1,IF(ISNUMBER($AG41),IF(ReportDate-$AG41&gt;CampStaleDays,1,0),1),0)</f>
        <v>0</v>
      </c>
      <c r="AQ41" s="71">
        <f>IF(AND($AM41=1,OR($AA41="Behind",$AA41="At Risk")),1,0)</f>
        <v>0</v>
      </c>
      <c r="AR41" s="71">
        <f>IF(AND($AM41=1,OR($AA41="Ahead",$AA41="On Track")),1,0)</f>
        <v>0</v>
      </c>
      <c r="AS41" s="71">
        <f>IF(OR($AQ41=1,$AP41=1,$AO41=1),1,0)</f>
        <v>0</v>
      </c>
      <c r="AT41" s="71" t="str">
        <f>IF($AS41=1,TRIM(IF($AQ41=1,"Low performance. ","")&amp;IF($AP41=1,"No recent update. ","")&amp;IF($AO41=1,"Past planned end. ","")),"")</f>
        <v/>
      </c>
      <c r="AU41" s="71" t="str">
        <f>IF(AND($AS41=1,$AL41=1),ROW(),"")</f>
        <v/>
      </c>
      <c r="AV41" s="71" t="str">
        <f>IF(AND($AQ41=1,$AL41=1),ROW(),"")</f>
        <v/>
      </c>
      <c r="AW41" s="71" t="str">
        <f>IF(AND($AP41=1,$AL41=1),ROW(),"")</f>
        <v/>
      </c>
      <c r="AX41" s="71" t="str">
        <f>IF(AND($AR41=1,$AL41=1),ROW(),"")</f>
        <v/>
      </c>
      <c r="AY41" s="71">
        <f>IF(AND($B41&lt;&gt;"",$A41=TCL_Client),1,0)</f>
        <v>0</v>
      </c>
      <c r="AZ41" s="71" t="str">
        <f>IF($AY41=1,ROW(),"")</f>
        <v/>
      </c>
      <c r="BA41" s="71">
        <f>IF(AND($B41&lt;&gt;"",$A41=MECCA_Client),1,0)</f>
        <v>0</v>
      </c>
      <c r="BB41" s="71" t="str">
        <f>IF($BA41=1,ROW(),"")</f>
        <v/>
      </c>
    </row>
    <row r="42">
      <c r="A42" s="64" t="n"/>
      <c r="B42" s="65" t="n"/>
      <c r="C42" s="64" t="n"/>
      <c r="D42" s="64" t="n"/>
      <c r="E42" s="64" t="n"/>
      <c r="F42" s="65" t="n"/>
      <c r="G42" s="65" t="n"/>
      <c r="H42" s="64" t="n"/>
      <c r="I42" s="64" t="n"/>
      <c r="J42" s="65" t="n"/>
      <c r="K42" s="63" t="n"/>
      <c r="L42" s="63" t="n"/>
      <c r="M42" s="63" t="n"/>
      <c r="N42" s="64" t="n"/>
      <c r="O42" s="67" t="n"/>
      <c r="P42" s="72" t="str">
        <f>IF($B42="","",SUMIFS('PAID MEDIA ADS'!$G$5:$G$804,'PAID MEDIA ADS'!$C$5:$C$804,$B42))</f>
        <v/>
      </c>
      <c r="Q42" s="67" t="n"/>
      <c r="R42" s="72" t="str">
        <f>IF($B42="","",COUNTIFS('LEAD MQL TRACKER'!$C$5:$C$1004,$B42,'LEAD MQL TRACKER'!$AB$5:$AB$1004,1)+SUMIFS('EMAIL MARKETING'!$Q$5:$Q$804,'EMAIL MARKETING'!$C$5:$C$804,$B42)+SUMIFS('PAID MEDIA ADS'!$M$5:$M$804,'PAID MEDIA ADS'!$C$5:$C$804,$B42)+SUMIFS('LINKEDIN OUTREACH'!$N$5:$N$704,'LINKEDIN OUTREACH'!$C$5:$C$704,$B42))</f>
        <v/>
      </c>
      <c r="S42" s="67" t="n"/>
      <c r="T42" s="72" t="str">
        <f>IF($B42="","",COUNTIFS('LEAD MQL TRACKER'!$C$5:$C$1004,$B42,'LEAD MQL TRACKER'!$AD$5:$AD$1004,1)+SUMIFS('EMAIL MARKETING'!$R$5:$R$804,'EMAIL MARKETING'!$C$5:$C$804,$B42)+SUMIFS('PAID MEDIA ADS'!$N$5:$N$804,'PAID MEDIA ADS'!$C$5:$C$804,$B42)+SUMIFS('LINKEDIN OUTREACH'!$O$5:$O$704,'LINKEDIN OUTREACH'!$C$5:$C$704,$B42))</f>
        <v/>
      </c>
      <c r="U42" s="67" t="n"/>
      <c r="V42" s="72" t="str">
        <f>IF($B42="","",COUNTIFS('LEAD MQL TRACKER'!$C$5:$C$1004,$B42,'LEAD MQL TRACKER'!$AE$5:$AE$1004,1))</f>
        <v/>
      </c>
      <c r="W42" s="72" t="str">
        <f>IF($B42="","",COUNTIFS('LEAD MQL TRACKER'!$C$5:$C$1004,$B42,'LEAD MQL TRACKER'!$AC$5:$AC$1004,1)+SUMIFS('LINKEDIN OUTREACH'!$M$5:$M$704,'LINKEDIN OUTREACH'!$C$5:$C$704,$B42))</f>
        <v/>
      </c>
      <c r="X42" s="72" t="str">
        <f>IF($B42="","",SUMIFS('EMAIL MARKETING'!$O$5:$O$804,'EMAIL MARKETING'!$C$5:$C$804,$B42)+SUMIFS('LINKEDIN OUTREACH'!$K$5:$K$704,'LINKEDIN OUTREACH'!$C$5:$C$704,$B42))</f>
        <v/>
      </c>
      <c r="Y42" s="73" t="str">
        <f>IF(ISNUMBER($R42),IF($R42&gt;0,$T42/$R42,""),"")</f>
        <v/>
      </c>
      <c r="Z42" s="72" t="str">
        <f>IF(AND(ISNUMBER($P42),ISNUMBER($R42)),IF(AND($P42&gt;0,$R42&gt;0),$P42/$R42,""),"")</f>
        <v/>
      </c>
      <c r="AA42" s="71" t="str">
        <f>IF($B42="","",IF(OR($N42="Live",$N42="Optimizing",$N42="Paused",$N42="Completed"),IF(ISNUMBER($AI42),IF($AI42&gt;=1,"Ahead",IF($AI42&gt;=OnTrackPct,"On Track",IF($AI42&gt;=WatchPct,"Behind","At Risk"))),"No Target Set"),"Not Live"))</f>
        <v/>
      </c>
      <c r="AB42" s="65" t="n"/>
      <c r="AC42" s="65" t="n"/>
      <c r="AD42" s="65" t="n"/>
      <c r="AE42" s="67" t="n"/>
      <c r="AF42" s="67" t="n"/>
      <c r="AG42" s="63" t="n"/>
      <c r="AH42" s="74">
        <f>IF($N42="Completed",1,IF(AND(ISNUMBER($K42),ISNUMBER($L42)),IF($L42&gt;$K42,MIN(1,MAX(0.05,(ReportDate-$K42)/($L42-$K42))),1),1))</f>
        <v>1</v>
      </c>
      <c r="AI42" s="70" t="str">
        <f>IF($B42="","",IF(AND(ISNUMBER($Q42),$Q42&gt;0),$R42/($Q42*$AH42),""))</f>
        <v/>
      </c>
      <c r="AJ42" s="71" t="str">
        <f>IF(ISNUMBER($K42),YEAR($K42)&amp;"-"&amp;TEXT(MONTH($K42),"00"),"")</f>
        <v/>
      </c>
      <c r="AK42" s="71">
        <f>IF($B42="",0,IF(AND(OR(fClient="All",$A42=fClient),OR(fCampaign="All",$B42=fCampaign),OR(fTeam="All",$I42=fTeam),OR(fChannel="All",$H42=fChannel),OR(fCStatus="All",$N42=fCStatus)),1,0))</f>
        <v>0</v>
      </c>
      <c r="AL42" s="71">
        <f>IF($B42="",0,IF(AND(OR(fClient="All",$A42=fClient),OR(fCampaign="All",$B42=fCampaign),OR(fTeam="All",$I42=fTeam),OR(fChannel="All",$H42=fChannel)),1,0))</f>
        <v>0</v>
      </c>
      <c r="AM42" s="71">
        <f>IF(OR($N42="Live",$N42="Optimizing"),1,0)</f>
        <v>0</v>
      </c>
      <c r="AN42" s="71">
        <f>IF(OR($N42="Live",$N42="Optimizing",$N42="Paused",$N42="Completed"),1,0)</f>
        <v>0</v>
      </c>
      <c r="AO42" s="71">
        <f>IF(AND($AM42=1,ISNUMBER($L42),NOT(ISNUMBER($M42))),IF($L42&lt;ReportDate,1,0),0)</f>
        <v>0</v>
      </c>
      <c r="AP42" s="71">
        <f>IF($AM42=1,IF(ISNUMBER($AG42),IF(ReportDate-$AG42&gt;CampStaleDays,1,0),1),0)</f>
        <v>0</v>
      </c>
      <c r="AQ42" s="71">
        <f>IF(AND($AM42=1,OR($AA42="Behind",$AA42="At Risk")),1,0)</f>
        <v>0</v>
      </c>
      <c r="AR42" s="71">
        <f>IF(AND($AM42=1,OR($AA42="Ahead",$AA42="On Track")),1,0)</f>
        <v>0</v>
      </c>
      <c r="AS42" s="71">
        <f>IF(OR($AQ42=1,$AP42=1,$AO42=1),1,0)</f>
        <v>0</v>
      </c>
      <c r="AT42" s="71" t="str">
        <f>IF($AS42=1,TRIM(IF($AQ42=1,"Low performance. ","")&amp;IF($AP42=1,"No recent update. ","")&amp;IF($AO42=1,"Past planned end. ","")),"")</f>
        <v/>
      </c>
      <c r="AU42" s="71" t="str">
        <f>IF(AND($AS42=1,$AL42=1),ROW(),"")</f>
        <v/>
      </c>
      <c r="AV42" s="71" t="str">
        <f>IF(AND($AQ42=1,$AL42=1),ROW(),"")</f>
        <v/>
      </c>
      <c r="AW42" s="71" t="str">
        <f>IF(AND($AP42=1,$AL42=1),ROW(),"")</f>
        <v/>
      </c>
      <c r="AX42" s="71" t="str">
        <f>IF(AND($AR42=1,$AL42=1),ROW(),"")</f>
        <v/>
      </c>
      <c r="AY42" s="71">
        <f>IF(AND($B42&lt;&gt;"",$A42=TCL_Client),1,0)</f>
        <v>0</v>
      </c>
      <c r="AZ42" s="71" t="str">
        <f>IF($AY42=1,ROW(),"")</f>
        <v/>
      </c>
      <c r="BA42" s="71">
        <f>IF(AND($B42&lt;&gt;"",$A42=MECCA_Client),1,0)</f>
        <v>0</v>
      </c>
      <c r="BB42" s="71" t="str">
        <f>IF($BA42=1,ROW(),"")</f>
        <v/>
      </c>
    </row>
    <row r="43">
      <c r="A43" s="64" t="n"/>
      <c r="B43" s="65" t="n"/>
      <c r="C43" s="64" t="n"/>
      <c r="D43" s="64" t="n"/>
      <c r="E43" s="64" t="n"/>
      <c r="F43" s="65" t="n"/>
      <c r="G43" s="65" t="n"/>
      <c r="H43" s="64" t="n"/>
      <c r="I43" s="64" t="n"/>
      <c r="J43" s="65" t="n"/>
      <c r="K43" s="63" t="n"/>
      <c r="L43" s="63" t="n"/>
      <c r="M43" s="63" t="n"/>
      <c r="N43" s="64" t="n"/>
      <c r="O43" s="67" t="n"/>
      <c r="P43" s="72" t="str">
        <f>IF($B43="","",SUMIFS('PAID MEDIA ADS'!$G$5:$G$804,'PAID MEDIA ADS'!$C$5:$C$804,$B43))</f>
        <v/>
      </c>
      <c r="Q43" s="67" t="n"/>
      <c r="R43" s="72" t="str">
        <f>IF($B43="","",COUNTIFS('LEAD MQL TRACKER'!$C$5:$C$1004,$B43,'LEAD MQL TRACKER'!$AB$5:$AB$1004,1)+SUMIFS('EMAIL MARKETING'!$Q$5:$Q$804,'EMAIL MARKETING'!$C$5:$C$804,$B43)+SUMIFS('PAID MEDIA ADS'!$M$5:$M$804,'PAID MEDIA ADS'!$C$5:$C$804,$B43)+SUMIFS('LINKEDIN OUTREACH'!$N$5:$N$704,'LINKEDIN OUTREACH'!$C$5:$C$704,$B43))</f>
        <v/>
      </c>
      <c r="S43" s="67" t="n"/>
      <c r="T43" s="72" t="str">
        <f>IF($B43="","",COUNTIFS('LEAD MQL TRACKER'!$C$5:$C$1004,$B43,'LEAD MQL TRACKER'!$AD$5:$AD$1004,1)+SUMIFS('EMAIL MARKETING'!$R$5:$R$804,'EMAIL MARKETING'!$C$5:$C$804,$B43)+SUMIFS('PAID MEDIA ADS'!$N$5:$N$804,'PAID MEDIA ADS'!$C$5:$C$804,$B43)+SUMIFS('LINKEDIN OUTREACH'!$O$5:$O$704,'LINKEDIN OUTREACH'!$C$5:$C$704,$B43))</f>
        <v/>
      </c>
      <c r="U43" s="67" t="n"/>
      <c r="V43" s="72" t="str">
        <f>IF($B43="","",COUNTIFS('LEAD MQL TRACKER'!$C$5:$C$1004,$B43,'LEAD MQL TRACKER'!$AE$5:$AE$1004,1))</f>
        <v/>
      </c>
      <c r="W43" s="72" t="str">
        <f>IF($B43="","",COUNTIFS('LEAD MQL TRACKER'!$C$5:$C$1004,$B43,'LEAD MQL TRACKER'!$AC$5:$AC$1004,1)+SUMIFS('LINKEDIN OUTREACH'!$M$5:$M$704,'LINKEDIN OUTREACH'!$C$5:$C$704,$B43))</f>
        <v/>
      </c>
      <c r="X43" s="72" t="str">
        <f>IF($B43="","",SUMIFS('EMAIL MARKETING'!$O$5:$O$804,'EMAIL MARKETING'!$C$5:$C$804,$B43)+SUMIFS('LINKEDIN OUTREACH'!$K$5:$K$704,'LINKEDIN OUTREACH'!$C$5:$C$704,$B43))</f>
        <v/>
      </c>
      <c r="Y43" s="73" t="str">
        <f>IF(ISNUMBER($R43),IF($R43&gt;0,$T43/$R43,""),"")</f>
        <v/>
      </c>
      <c r="Z43" s="72" t="str">
        <f>IF(AND(ISNUMBER($P43),ISNUMBER($R43)),IF(AND($P43&gt;0,$R43&gt;0),$P43/$R43,""),"")</f>
        <v/>
      </c>
      <c r="AA43" s="71" t="str">
        <f>IF($B43="","",IF(OR($N43="Live",$N43="Optimizing",$N43="Paused",$N43="Completed"),IF(ISNUMBER($AI43),IF($AI43&gt;=1,"Ahead",IF($AI43&gt;=OnTrackPct,"On Track",IF($AI43&gt;=WatchPct,"Behind","At Risk"))),"No Target Set"),"Not Live"))</f>
        <v/>
      </c>
      <c r="AB43" s="65" t="n"/>
      <c r="AC43" s="65" t="n"/>
      <c r="AD43" s="65" t="n"/>
      <c r="AE43" s="67" t="n"/>
      <c r="AF43" s="67" t="n"/>
      <c r="AG43" s="63" t="n"/>
      <c r="AH43" s="74">
        <f>IF($N43="Completed",1,IF(AND(ISNUMBER($K43),ISNUMBER($L43)),IF($L43&gt;$K43,MIN(1,MAX(0.05,(ReportDate-$K43)/($L43-$K43))),1),1))</f>
        <v>1</v>
      </c>
      <c r="AI43" s="70" t="str">
        <f>IF($B43="","",IF(AND(ISNUMBER($Q43),$Q43&gt;0),$R43/($Q43*$AH43),""))</f>
        <v/>
      </c>
      <c r="AJ43" s="71" t="str">
        <f>IF(ISNUMBER($K43),YEAR($K43)&amp;"-"&amp;TEXT(MONTH($K43),"00"),"")</f>
        <v/>
      </c>
      <c r="AK43" s="71">
        <f>IF($B43="",0,IF(AND(OR(fClient="All",$A43=fClient),OR(fCampaign="All",$B43=fCampaign),OR(fTeam="All",$I43=fTeam),OR(fChannel="All",$H43=fChannel),OR(fCStatus="All",$N43=fCStatus)),1,0))</f>
        <v>0</v>
      </c>
      <c r="AL43" s="71">
        <f>IF($B43="",0,IF(AND(OR(fClient="All",$A43=fClient),OR(fCampaign="All",$B43=fCampaign),OR(fTeam="All",$I43=fTeam),OR(fChannel="All",$H43=fChannel)),1,0))</f>
        <v>0</v>
      </c>
      <c r="AM43" s="71">
        <f>IF(OR($N43="Live",$N43="Optimizing"),1,0)</f>
        <v>0</v>
      </c>
      <c r="AN43" s="71">
        <f>IF(OR($N43="Live",$N43="Optimizing",$N43="Paused",$N43="Completed"),1,0)</f>
        <v>0</v>
      </c>
      <c r="AO43" s="71">
        <f>IF(AND($AM43=1,ISNUMBER($L43),NOT(ISNUMBER($M43))),IF($L43&lt;ReportDate,1,0),0)</f>
        <v>0</v>
      </c>
      <c r="AP43" s="71">
        <f>IF($AM43=1,IF(ISNUMBER($AG43),IF(ReportDate-$AG43&gt;CampStaleDays,1,0),1),0)</f>
        <v>0</v>
      </c>
      <c r="AQ43" s="71">
        <f>IF(AND($AM43=1,OR($AA43="Behind",$AA43="At Risk")),1,0)</f>
        <v>0</v>
      </c>
      <c r="AR43" s="71">
        <f>IF(AND($AM43=1,OR($AA43="Ahead",$AA43="On Track")),1,0)</f>
        <v>0</v>
      </c>
      <c r="AS43" s="71">
        <f>IF(OR($AQ43=1,$AP43=1,$AO43=1),1,0)</f>
        <v>0</v>
      </c>
      <c r="AT43" s="71" t="str">
        <f>IF($AS43=1,TRIM(IF($AQ43=1,"Low performance. ","")&amp;IF($AP43=1,"No recent update. ","")&amp;IF($AO43=1,"Past planned end. ","")),"")</f>
        <v/>
      </c>
      <c r="AU43" s="71" t="str">
        <f>IF(AND($AS43=1,$AL43=1),ROW(),"")</f>
        <v/>
      </c>
      <c r="AV43" s="71" t="str">
        <f>IF(AND($AQ43=1,$AL43=1),ROW(),"")</f>
        <v/>
      </c>
      <c r="AW43" s="71" t="str">
        <f>IF(AND($AP43=1,$AL43=1),ROW(),"")</f>
        <v/>
      </c>
      <c r="AX43" s="71" t="str">
        <f>IF(AND($AR43=1,$AL43=1),ROW(),"")</f>
        <v/>
      </c>
      <c r="AY43" s="71">
        <f>IF(AND($B43&lt;&gt;"",$A43=TCL_Client),1,0)</f>
        <v>0</v>
      </c>
      <c r="AZ43" s="71" t="str">
        <f>IF($AY43=1,ROW(),"")</f>
        <v/>
      </c>
      <c r="BA43" s="71">
        <f>IF(AND($B43&lt;&gt;"",$A43=MECCA_Client),1,0)</f>
        <v>0</v>
      </c>
      <c r="BB43" s="71" t="str">
        <f>IF($BA43=1,ROW(),"")</f>
        <v/>
      </c>
    </row>
    <row r="44">
      <c r="A44" s="64" t="n"/>
      <c r="B44" s="65" t="n"/>
      <c r="C44" s="64" t="n"/>
      <c r="D44" s="64" t="n"/>
      <c r="E44" s="64" t="n"/>
      <c r="F44" s="65" t="n"/>
      <c r="G44" s="65" t="n"/>
      <c r="H44" s="64" t="n"/>
      <c r="I44" s="64" t="n"/>
      <c r="J44" s="65" t="n"/>
      <c r="K44" s="63" t="n"/>
      <c r="L44" s="63" t="n"/>
      <c r="M44" s="63" t="n"/>
      <c r="N44" s="64" t="n"/>
      <c r="O44" s="67" t="n"/>
      <c r="P44" s="72" t="str">
        <f>IF($B44="","",SUMIFS('PAID MEDIA ADS'!$G$5:$G$804,'PAID MEDIA ADS'!$C$5:$C$804,$B44))</f>
        <v/>
      </c>
      <c r="Q44" s="67" t="n"/>
      <c r="R44" s="72" t="str">
        <f>IF($B44="","",COUNTIFS('LEAD MQL TRACKER'!$C$5:$C$1004,$B44,'LEAD MQL TRACKER'!$AB$5:$AB$1004,1)+SUMIFS('EMAIL MARKETING'!$Q$5:$Q$804,'EMAIL MARKETING'!$C$5:$C$804,$B44)+SUMIFS('PAID MEDIA ADS'!$M$5:$M$804,'PAID MEDIA ADS'!$C$5:$C$804,$B44)+SUMIFS('LINKEDIN OUTREACH'!$N$5:$N$704,'LINKEDIN OUTREACH'!$C$5:$C$704,$B44))</f>
        <v/>
      </c>
      <c r="S44" s="67" t="n"/>
      <c r="T44" s="72" t="str">
        <f>IF($B44="","",COUNTIFS('LEAD MQL TRACKER'!$C$5:$C$1004,$B44,'LEAD MQL TRACKER'!$AD$5:$AD$1004,1)+SUMIFS('EMAIL MARKETING'!$R$5:$R$804,'EMAIL MARKETING'!$C$5:$C$804,$B44)+SUMIFS('PAID MEDIA ADS'!$N$5:$N$804,'PAID MEDIA ADS'!$C$5:$C$804,$B44)+SUMIFS('LINKEDIN OUTREACH'!$O$5:$O$704,'LINKEDIN OUTREACH'!$C$5:$C$704,$B44))</f>
        <v/>
      </c>
      <c r="U44" s="67" t="n"/>
      <c r="V44" s="72" t="str">
        <f>IF($B44="","",COUNTIFS('LEAD MQL TRACKER'!$C$5:$C$1004,$B44,'LEAD MQL TRACKER'!$AE$5:$AE$1004,1))</f>
        <v/>
      </c>
      <c r="W44" s="72" t="str">
        <f>IF($B44="","",COUNTIFS('LEAD MQL TRACKER'!$C$5:$C$1004,$B44,'LEAD MQL TRACKER'!$AC$5:$AC$1004,1)+SUMIFS('LINKEDIN OUTREACH'!$M$5:$M$704,'LINKEDIN OUTREACH'!$C$5:$C$704,$B44))</f>
        <v/>
      </c>
      <c r="X44" s="72" t="str">
        <f>IF($B44="","",SUMIFS('EMAIL MARKETING'!$O$5:$O$804,'EMAIL MARKETING'!$C$5:$C$804,$B44)+SUMIFS('LINKEDIN OUTREACH'!$K$5:$K$704,'LINKEDIN OUTREACH'!$C$5:$C$704,$B44))</f>
        <v/>
      </c>
      <c r="Y44" s="73" t="str">
        <f>IF(ISNUMBER($R44),IF($R44&gt;0,$T44/$R44,""),"")</f>
        <v/>
      </c>
      <c r="Z44" s="72" t="str">
        <f>IF(AND(ISNUMBER($P44),ISNUMBER($R44)),IF(AND($P44&gt;0,$R44&gt;0),$P44/$R44,""),"")</f>
        <v/>
      </c>
      <c r="AA44" s="71" t="str">
        <f>IF($B44="","",IF(OR($N44="Live",$N44="Optimizing",$N44="Paused",$N44="Completed"),IF(ISNUMBER($AI44),IF($AI44&gt;=1,"Ahead",IF($AI44&gt;=OnTrackPct,"On Track",IF($AI44&gt;=WatchPct,"Behind","At Risk"))),"No Target Set"),"Not Live"))</f>
        <v/>
      </c>
      <c r="AB44" s="65" t="n"/>
      <c r="AC44" s="65" t="n"/>
      <c r="AD44" s="65" t="n"/>
      <c r="AE44" s="67" t="n"/>
      <c r="AF44" s="67" t="n"/>
      <c r="AG44" s="63" t="n"/>
      <c r="AH44" s="74">
        <f>IF($N44="Completed",1,IF(AND(ISNUMBER($K44),ISNUMBER($L44)),IF($L44&gt;$K44,MIN(1,MAX(0.05,(ReportDate-$K44)/($L44-$K44))),1),1))</f>
        <v>1</v>
      </c>
      <c r="AI44" s="70" t="str">
        <f>IF($B44="","",IF(AND(ISNUMBER($Q44),$Q44&gt;0),$R44/($Q44*$AH44),""))</f>
        <v/>
      </c>
      <c r="AJ44" s="71" t="str">
        <f>IF(ISNUMBER($K44),YEAR($K44)&amp;"-"&amp;TEXT(MONTH($K44),"00"),"")</f>
        <v/>
      </c>
      <c r="AK44" s="71">
        <f>IF($B44="",0,IF(AND(OR(fClient="All",$A44=fClient),OR(fCampaign="All",$B44=fCampaign),OR(fTeam="All",$I44=fTeam),OR(fChannel="All",$H44=fChannel),OR(fCStatus="All",$N44=fCStatus)),1,0))</f>
        <v>0</v>
      </c>
      <c r="AL44" s="71">
        <f>IF($B44="",0,IF(AND(OR(fClient="All",$A44=fClient),OR(fCampaign="All",$B44=fCampaign),OR(fTeam="All",$I44=fTeam),OR(fChannel="All",$H44=fChannel)),1,0))</f>
        <v>0</v>
      </c>
      <c r="AM44" s="71">
        <f>IF(OR($N44="Live",$N44="Optimizing"),1,0)</f>
        <v>0</v>
      </c>
      <c r="AN44" s="71">
        <f>IF(OR($N44="Live",$N44="Optimizing",$N44="Paused",$N44="Completed"),1,0)</f>
        <v>0</v>
      </c>
      <c r="AO44" s="71">
        <f>IF(AND($AM44=1,ISNUMBER($L44),NOT(ISNUMBER($M44))),IF($L44&lt;ReportDate,1,0),0)</f>
        <v>0</v>
      </c>
      <c r="AP44" s="71">
        <f>IF($AM44=1,IF(ISNUMBER($AG44),IF(ReportDate-$AG44&gt;CampStaleDays,1,0),1),0)</f>
        <v>0</v>
      </c>
      <c r="AQ44" s="71">
        <f>IF(AND($AM44=1,OR($AA44="Behind",$AA44="At Risk")),1,0)</f>
        <v>0</v>
      </c>
      <c r="AR44" s="71">
        <f>IF(AND($AM44=1,OR($AA44="Ahead",$AA44="On Track")),1,0)</f>
        <v>0</v>
      </c>
      <c r="AS44" s="71">
        <f>IF(OR($AQ44=1,$AP44=1,$AO44=1),1,0)</f>
        <v>0</v>
      </c>
      <c r="AT44" s="71" t="str">
        <f>IF($AS44=1,TRIM(IF($AQ44=1,"Low performance. ","")&amp;IF($AP44=1,"No recent update. ","")&amp;IF($AO44=1,"Past planned end. ","")),"")</f>
        <v/>
      </c>
      <c r="AU44" s="71" t="str">
        <f>IF(AND($AS44=1,$AL44=1),ROW(),"")</f>
        <v/>
      </c>
      <c r="AV44" s="71" t="str">
        <f>IF(AND($AQ44=1,$AL44=1),ROW(),"")</f>
        <v/>
      </c>
      <c r="AW44" s="71" t="str">
        <f>IF(AND($AP44=1,$AL44=1),ROW(),"")</f>
        <v/>
      </c>
      <c r="AX44" s="71" t="str">
        <f>IF(AND($AR44=1,$AL44=1),ROW(),"")</f>
        <v/>
      </c>
      <c r="AY44" s="71">
        <f>IF(AND($B44&lt;&gt;"",$A44=TCL_Client),1,0)</f>
        <v>0</v>
      </c>
      <c r="AZ44" s="71" t="str">
        <f>IF($AY44=1,ROW(),"")</f>
        <v/>
      </c>
      <c r="BA44" s="71">
        <f>IF(AND($B44&lt;&gt;"",$A44=MECCA_Client),1,0)</f>
        <v>0</v>
      </c>
      <c r="BB44" s="71" t="str">
        <f>IF($BA44=1,ROW(),"")</f>
        <v/>
      </c>
    </row>
    <row r="45">
      <c r="A45" s="64" t="n"/>
      <c r="B45" s="65" t="n"/>
      <c r="C45" s="64" t="n"/>
      <c r="D45" s="64" t="n"/>
      <c r="E45" s="64" t="n"/>
      <c r="F45" s="65" t="n"/>
      <c r="G45" s="65" t="n"/>
      <c r="H45" s="64" t="n"/>
      <c r="I45" s="64" t="n"/>
      <c r="J45" s="65" t="n"/>
      <c r="K45" s="63" t="n"/>
      <c r="L45" s="63" t="n"/>
      <c r="M45" s="63" t="n"/>
      <c r="N45" s="64" t="n"/>
      <c r="O45" s="67" t="n"/>
      <c r="P45" s="72" t="str">
        <f>IF($B45="","",SUMIFS('PAID MEDIA ADS'!$G$5:$G$804,'PAID MEDIA ADS'!$C$5:$C$804,$B45))</f>
        <v/>
      </c>
      <c r="Q45" s="67" t="n"/>
      <c r="R45" s="72" t="str">
        <f>IF($B45="","",COUNTIFS('LEAD MQL TRACKER'!$C$5:$C$1004,$B45,'LEAD MQL TRACKER'!$AB$5:$AB$1004,1)+SUMIFS('EMAIL MARKETING'!$Q$5:$Q$804,'EMAIL MARKETING'!$C$5:$C$804,$B45)+SUMIFS('PAID MEDIA ADS'!$M$5:$M$804,'PAID MEDIA ADS'!$C$5:$C$804,$B45)+SUMIFS('LINKEDIN OUTREACH'!$N$5:$N$704,'LINKEDIN OUTREACH'!$C$5:$C$704,$B45))</f>
        <v/>
      </c>
      <c r="S45" s="67" t="n"/>
      <c r="T45" s="72" t="str">
        <f>IF($B45="","",COUNTIFS('LEAD MQL TRACKER'!$C$5:$C$1004,$B45,'LEAD MQL TRACKER'!$AD$5:$AD$1004,1)+SUMIFS('EMAIL MARKETING'!$R$5:$R$804,'EMAIL MARKETING'!$C$5:$C$804,$B45)+SUMIFS('PAID MEDIA ADS'!$N$5:$N$804,'PAID MEDIA ADS'!$C$5:$C$804,$B45)+SUMIFS('LINKEDIN OUTREACH'!$O$5:$O$704,'LINKEDIN OUTREACH'!$C$5:$C$704,$B45))</f>
        <v/>
      </c>
      <c r="U45" s="67" t="n"/>
      <c r="V45" s="72" t="str">
        <f>IF($B45="","",COUNTIFS('LEAD MQL TRACKER'!$C$5:$C$1004,$B45,'LEAD MQL TRACKER'!$AE$5:$AE$1004,1))</f>
        <v/>
      </c>
      <c r="W45" s="72" t="str">
        <f>IF($B45="","",COUNTIFS('LEAD MQL TRACKER'!$C$5:$C$1004,$B45,'LEAD MQL TRACKER'!$AC$5:$AC$1004,1)+SUMIFS('LINKEDIN OUTREACH'!$M$5:$M$704,'LINKEDIN OUTREACH'!$C$5:$C$704,$B45))</f>
        <v/>
      </c>
      <c r="X45" s="72" t="str">
        <f>IF($B45="","",SUMIFS('EMAIL MARKETING'!$O$5:$O$804,'EMAIL MARKETING'!$C$5:$C$804,$B45)+SUMIFS('LINKEDIN OUTREACH'!$K$5:$K$704,'LINKEDIN OUTREACH'!$C$5:$C$704,$B45))</f>
        <v/>
      </c>
      <c r="Y45" s="73" t="str">
        <f>IF(ISNUMBER($R45),IF($R45&gt;0,$T45/$R45,""),"")</f>
        <v/>
      </c>
      <c r="Z45" s="72" t="str">
        <f>IF(AND(ISNUMBER($P45),ISNUMBER($R45)),IF(AND($P45&gt;0,$R45&gt;0),$P45/$R45,""),"")</f>
        <v/>
      </c>
      <c r="AA45" s="71" t="str">
        <f>IF($B45="","",IF(OR($N45="Live",$N45="Optimizing",$N45="Paused",$N45="Completed"),IF(ISNUMBER($AI45),IF($AI45&gt;=1,"Ahead",IF($AI45&gt;=OnTrackPct,"On Track",IF($AI45&gt;=WatchPct,"Behind","At Risk"))),"No Target Set"),"Not Live"))</f>
        <v/>
      </c>
      <c r="AB45" s="65" t="n"/>
      <c r="AC45" s="65" t="n"/>
      <c r="AD45" s="65" t="n"/>
      <c r="AE45" s="67" t="n"/>
      <c r="AF45" s="67" t="n"/>
      <c r="AG45" s="63" t="n"/>
      <c r="AH45" s="74">
        <f>IF($N45="Completed",1,IF(AND(ISNUMBER($K45),ISNUMBER($L45)),IF($L45&gt;$K45,MIN(1,MAX(0.05,(ReportDate-$K45)/($L45-$K45))),1),1))</f>
        <v>1</v>
      </c>
      <c r="AI45" s="70" t="str">
        <f>IF($B45="","",IF(AND(ISNUMBER($Q45),$Q45&gt;0),$R45/($Q45*$AH45),""))</f>
        <v/>
      </c>
      <c r="AJ45" s="71" t="str">
        <f>IF(ISNUMBER($K45),YEAR($K45)&amp;"-"&amp;TEXT(MONTH($K45),"00"),"")</f>
        <v/>
      </c>
      <c r="AK45" s="71">
        <f>IF($B45="",0,IF(AND(OR(fClient="All",$A45=fClient),OR(fCampaign="All",$B45=fCampaign),OR(fTeam="All",$I45=fTeam),OR(fChannel="All",$H45=fChannel),OR(fCStatus="All",$N45=fCStatus)),1,0))</f>
        <v>0</v>
      </c>
      <c r="AL45" s="71">
        <f>IF($B45="",0,IF(AND(OR(fClient="All",$A45=fClient),OR(fCampaign="All",$B45=fCampaign),OR(fTeam="All",$I45=fTeam),OR(fChannel="All",$H45=fChannel)),1,0))</f>
        <v>0</v>
      </c>
      <c r="AM45" s="71">
        <f>IF(OR($N45="Live",$N45="Optimizing"),1,0)</f>
        <v>0</v>
      </c>
      <c r="AN45" s="71">
        <f>IF(OR($N45="Live",$N45="Optimizing",$N45="Paused",$N45="Completed"),1,0)</f>
        <v>0</v>
      </c>
      <c r="AO45" s="71">
        <f>IF(AND($AM45=1,ISNUMBER($L45),NOT(ISNUMBER($M45))),IF($L45&lt;ReportDate,1,0),0)</f>
        <v>0</v>
      </c>
      <c r="AP45" s="71">
        <f>IF($AM45=1,IF(ISNUMBER($AG45),IF(ReportDate-$AG45&gt;CampStaleDays,1,0),1),0)</f>
        <v>0</v>
      </c>
      <c r="AQ45" s="71">
        <f>IF(AND($AM45=1,OR($AA45="Behind",$AA45="At Risk")),1,0)</f>
        <v>0</v>
      </c>
      <c r="AR45" s="71">
        <f>IF(AND($AM45=1,OR($AA45="Ahead",$AA45="On Track")),1,0)</f>
        <v>0</v>
      </c>
      <c r="AS45" s="71">
        <f>IF(OR($AQ45=1,$AP45=1,$AO45=1),1,0)</f>
        <v>0</v>
      </c>
      <c r="AT45" s="71" t="str">
        <f>IF($AS45=1,TRIM(IF($AQ45=1,"Low performance. ","")&amp;IF($AP45=1,"No recent update. ","")&amp;IF($AO45=1,"Past planned end. ","")),"")</f>
        <v/>
      </c>
      <c r="AU45" s="71" t="str">
        <f>IF(AND($AS45=1,$AL45=1),ROW(),"")</f>
        <v/>
      </c>
      <c r="AV45" s="71" t="str">
        <f>IF(AND($AQ45=1,$AL45=1),ROW(),"")</f>
        <v/>
      </c>
      <c r="AW45" s="71" t="str">
        <f>IF(AND($AP45=1,$AL45=1),ROW(),"")</f>
        <v/>
      </c>
      <c r="AX45" s="71" t="str">
        <f>IF(AND($AR45=1,$AL45=1),ROW(),"")</f>
        <v/>
      </c>
      <c r="AY45" s="71">
        <f>IF(AND($B45&lt;&gt;"",$A45=TCL_Client),1,0)</f>
        <v>0</v>
      </c>
      <c r="AZ45" s="71" t="str">
        <f>IF($AY45=1,ROW(),"")</f>
        <v/>
      </c>
      <c r="BA45" s="71">
        <f>IF(AND($B45&lt;&gt;"",$A45=MECCA_Client),1,0)</f>
        <v>0</v>
      </c>
      <c r="BB45" s="71" t="str">
        <f>IF($BA45=1,ROW(),"")</f>
        <v/>
      </c>
    </row>
    <row r="46">
      <c r="A46" s="64" t="n"/>
      <c r="B46" s="65" t="n"/>
      <c r="C46" s="64" t="n"/>
      <c r="D46" s="64" t="n"/>
      <c r="E46" s="64" t="n"/>
      <c r="F46" s="65" t="n"/>
      <c r="G46" s="65" t="n"/>
      <c r="H46" s="64" t="n"/>
      <c r="I46" s="64" t="n"/>
      <c r="J46" s="65" t="n"/>
      <c r="K46" s="63" t="n"/>
      <c r="L46" s="63" t="n"/>
      <c r="M46" s="63" t="n"/>
      <c r="N46" s="64" t="n"/>
      <c r="O46" s="67" t="n"/>
      <c r="P46" s="72" t="str">
        <f>IF($B46="","",SUMIFS('PAID MEDIA ADS'!$G$5:$G$804,'PAID MEDIA ADS'!$C$5:$C$804,$B46))</f>
        <v/>
      </c>
      <c r="Q46" s="67" t="n"/>
      <c r="R46" s="72" t="str">
        <f>IF($B46="","",COUNTIFS('LEAD MQL TRACKER'!$C$5:$C$1004,$B46,'LEAD MQL TRACKER'!$AB$5:$AB$1004,1)+SUMIFS('EMAIL MARKETING'!$Q$5:$Q$804,'EMAIL MARKETING'!$C$5:$C$804,$B46)+SUMIFS('PAID MEDIA ADS'!$M$5:$M$804,'PAID MEDIA ADS'!$C$5:$C$804,$B46)+SUMIFS('LINKEDIN OUTREACH'!$N$5:$N$704,'LINKEDIN OUTREACH'!$C$5:$C$704,$B46))</f>
        <v/>
      </c>
      <c r="S46" s="67" t="n"/>
      <c r="T46" s="72" t="str">
        <f>IF($B46="","",COUNTIFS('LEAD MQL TRACKER'!$C$5:$C$1004,$B46,'LEAD MQL TRACKER'!$AD$5:$AD$1004,1)+SUMIFS('EMAIL MARKETING'!$R$5:$R$804,'EMAIL MARKETING'!$C$5:$C$804,$B46)+SUMIFS('PAID MEDIA ADS'!$N$5:$N$804,'PAID MEDIA ADS'!$C$5:$C$804,$B46)+SUMIFS('LINKEDIN OUTREACH'!$O$5:$O$704,'LINKEDIN OUTREACH'!$C$5:$C$704,$B46))</f>
        <v/>
      </c>
      <c r="U46" s="67" t="n"/>
      <c r="V46" s="72" t="str">
        <f>IF($B46="","",COUNTIFS('LEAD MQL TRACKER'!$C$5:$C$1004,$B46,'LEAD MQL TRACKER'!$AE$5:$AE$1004,1))</f>
        <v/>
      </c>
      <c r="W46" s="72" t="str">
        <f>IF($B46="","",COUNTIFS('LEAD MQL TRACKER'!$C$5:$C$1004,$B46,'LEAD MQL TRACKER'!$AC$5:$AC$1004,1)+SUMIFS('LINKEDIN OUTREACH'!$M$5:$M$704,'LINKEDIN OUTREACH'!$C$5:$C$704,$B46))</f>
        <v/>
      </c>
      <c r="X46" s="72" t="str">
        <f>IF($B46="","",SUMIFS('EMAIL MARKETING'!$O$5:$O$804,'EMAIL MARKETING'!$C$5:$C$804,$B46)+SUMIFS('LINKEDIN OUTREACH'!$K$5:$K$704,'LINKEDIN OUTREACH'!$C$5:$C$704,$B46))</f>
        <v/>
      </c>
      <c r="Y46" s="73" t="str">
        <f>IF(ISNUMBER($R46),IF($R46&gt;0,$T46/$R46,""),"")</f>
        <v/>
      </c>
      <c r="Z46" s="72" t="str">
        <f>IF(AND(ISNUMBER($P46),ISNUMBER($R46)),IF(AND($P46&gt;0,$R46&gt;0),$P46/$R46,""),"")</f>
        <v/>
      </c>
      <c r="AA46" s="71" t="str">
        <f>IF($B46="","",IF(OR($N46="Live",$N46="Optimizing",$N46="Paused",$N46="Completed"),IF(ISNUMBER($AI46),IF($AI46&gt;=1,"Ahead",IF($AI46&gt;=OnTrackPct,"On Track",IF($AI46&gt;=WatchPct,"Behind","At Risk"))),"No Target Set"),"Not Live"))</f>
        <v/>
      </c>
      <c r="AB46" s="65" t="n"/>
      <c r="AC46" s="65" t="n"/>
      <c r="AD46" s="65" t="n"/>
      <c r="AE46" s="67" t="n"/>
      <c r="AF46" s="67" t="n"/>
      <c r="AG46" s="63" t="n"/>
      <c r="AH46" s="74">
        <f>IF($N46="Completed",1,IF(AND(ISNUMBER($K46),ISNUMBER($L46)),IF($L46&gt;$K46,MIN(1,MAX(0.05,(ReportDate-$K46)/($L46-$K46))),1),1))</f>
        <v>1</v>
      </c>
      <c r="AI46" s="70" t="str">
        <f>IF($B46="","",IF(AND(ISNUMBER($Q46),$Q46&gt;0),$R46/($Q46*$AH46),""))</f>
        <v/>
      </c>
      <c r="AJ46" s="71" t="str">
        <f>IF(ISNUMBER($K46),YEAR($K46)&amp;"-"&amp;TEXT(MONTH($K46),"00"),"")</f>
        <v/>
      </c>
      <c r="AK46" s="71">
        <f>IF($B46="",0,IF(AND(OR(fClient="All",$A46=fClient),OR(fCampaign="All",$B46=fCampaign),OR(fTeam="All",$I46=fTeam),OR(fChannel="All",$H46=fChannel),OR(fCStatus="All",$N46=fCStatus)),1,0))</f>
        <v>0</v>
      </c>
      <c r="AL46" s="71">
        <f>IF($B46="",0,IF(AND(OR(fClient="All",$A46=fClient),OR(fCampaign="All",$B46=fCampaign),OR(fTeam="All",$I46=fTeam),OR(fChannel="All",$H46=fChannel)),1,0))</f>
        <v>0</v>
      </c>
      <c r="AM46" s="71">
        <f>IF(OR($N46="Live",$N46="Optimizing"),1,0)</f>
        <v>0</v>
      </c>
      <c r="AN46" s="71">
        <f>IF(OR($N46="Live",$N46="Optimizing",$N46="Paused",$N46="Completed"),1,0)</f>
        <v>0</v>
      </c>
      <c r="AO46" s="71">
        <f>IF(AND($AM46=1,ISNUMBER($L46),NOT(ISNUMBER($M46))),IF($L46&lt;ReportDate,1,0),0)</f>
        <v>0</v>
      </c>
      <c r="AP46" s="71">
        <f>IF($AM46=1,IF(ISNUMBER($AG46),IF(ReportDate-$AG46&gt;CampStaleDays,1,0),1),0)</f>
        <v>0</v>
      </c>
      <c r="AQ46" s="71">
        <f>IF(AND($AM46=1,OR($AA46="Behind",$AA46="At Risk")),1,0)</f>
        <v>0</v>
      </c>
      <c r="AR46" s="71">
        <f>IF(AND($AM46=1,OR($AA46="Ahead",$AA46="On Track")),1,0)</f>
        <v>0</v>
      </c>
      <c r="AS46" s="71">
        <f>IF(OR($AQ46=1,$AP46=1,$AO46=1),1,0)</f>
        <v>0</v>
      </c>
      <c r="AT46" s="71" t="str">
        <f>IF($AS46=1,TRIM(IF($AQ46=1,"Low performance. ","")&amp;IF($AP46=1,"No recent update. ","")&amp;IF($AO46=1,"Past planned end. ","")),"")</f>
        <v/>
      </c>
      <c r="AU46" s="71" t="str">
        <f>IF(AND($AS46=1,$AL46=1),ROW(),"")</f>
        <v/>
      </c>
      <c r="AV46" s="71" t="str">
        <f>IF(AND($AQ46=1,$AL46=1),ROW(),"")</f>
        <v/>
      </c>
      <c r="AW46" s="71" t="str">
        <f>IF(AND($AP46=1,$AL46=1),ROW(),"")</f>
        <v/>
      </c>
      <c r="AX46" s="71" t="str">
        <f>IF(AND($AR46=1,$AL46=1),ROW(),"")</f>
        <v/>
      </c>
      <c r="AY46" s="71">
        <f>IF(AND($B46&lt;&gt;"",$A46=TCL_Client),1,0)</f>
        <v>0</v>
      </c>
      <c r="AZ46" s="71" t="str">
        <f>IF($AY46=1,ROW(),"")</f>
        <v/>
      </c>
      <c r="BA46" s="71">
        <f>IF(AND($B46&lt;&gt;"",$A46=MECCA_Client),1,0)</f>
        <v>0</v>
      </c>
      <c r="BB46" s="71" t="str">
        <f>IF($BA46=1,ROW(),"")</f>
        <v/>
      </c>
    </row>
    <row r="47">
      <c r="A47" s="64" t="n"/>
      <c r="B47" s="65" t="n"/>
      <c r="C47" s="64" t="n"/>
      <c r="D47" s="64" t="n"/>
      <c r="E47" s="64" t="n"/>
      <c r="F47" s="65" t="n"/>
      <c r="G47" s="65" t="n"/>
      <c r="H47" s="64" t="n"/>
      <c r="I47" s="64" t="n"/>
      <c r="J47" s="65" t="n"/>
      <c r="K47" s="63" t="n"/>
      <c r="L47" s="63" t="n"/>
      <c r="M47" s="63" t="n"/>
      <c r="N47" s="64" t="n"/>
      <c r="O47" s="67" t="n"/>
      <c r="P47" s="72" t="str">
        <f>IF($B47="","",SUMIFS('PAID MEDIA ADS'!$G$5:$G$804,'PAID MEDIA ADS'!$C$5:$C$804,$B47))</f>
        <v/>
      </c>
      <c r="Q47" s="67" t="n"/>
      <c r="R47" s="72" t="str">
        <f>IF($B47="","",COUNTIFS('LEAD MQL TRACKER'!$C$5:$C$1004,$B47,'LEAD MQL TRACKER'!$AB$5:$AB$1004,1)+SUMIFS('EMAIL MARKETING'!$Q$5:$Q$804,'EMAIL MARKETING'!$C$5:$C$804,$B47)+SUMIFS('PAID MEDIA ADS'!$M$5:$M$804,'PAID MEDIA ADS'!$C$5:$C$804,$B47)+SUMIFS('LINKEDIN OUTREACH'!$N$5:$N$704,'LINKEDIN OUTREACH'!$C$5:$C$704,$B47))</f>
        <v/>
      </c>
      <c r="S47" s="67" t="n"/>
      <c r="T47" s="72" t="str">
        <f>IF($B47="","",COUNTIFS('LEAD MQL TRACKER'!$C$5:$C$1004,$B47,'LEAD MQL TRACKER'!$AD$5:$AD$1004,1)+SUMIFS('EMAIL MARKETING'!$R$5:$R$804,'EMAIL MARKETING'!$C$5:$C$804,$B47)+SUMIFS('PAID MEDIA ADS'!$N$5:$N$804,'PAID MEDIA ADS'!$C$5:$C$804,$B47)+SUMIFS('LINKEDIN OUTREACH'!$O$5:$O$704,'LINKEDIN OUTREACH'!$C$5:$C$704,$B47))</f>
        <v/>
      </c>
      <c r="U47" s="67" t="n"/>
      <c r="V47" s="72" t="str">
        <f>IF($B47="","",COUNTIFS('LEAD MQL TRACKER'!$C$5:$C$1004,$B47,'LEAD MQL TRACKER'!$AE$5:$AE$1004,1))</f>
        <v/>
      </c>
      <c r="W47" s="72" t="str">
        <f>IF($B47="","",COUNTIFS('LEAD MQL TRACKER'!$C$5:$C$1004,$B47,'LEAD MQL TRACKER'!$AC$5:$AC$1004,1)+SUMIFS('LINKEDIN OUTREACH'!$M$5:$M$704,'LINKEDIN OUTREACH'!$C$5:$C$704,$B47))</f>
        <v/>
      </c>
      <c r="X47" s="72" t="str">
        <f>IF($B47="","",SUMIFS('EMAIL MARKETING'!$O$5:$O$804,'EMAIL MARKETING'!$C$5:$C$804,$B47)+SUMIFS('LINKEDIN OUTREACH'!$K$5:$K$704,'LINKEDIN OUTREACH'!$C$5:$C$704,$B47))</f>
        <v/>
      </c>
      <c r="Y47" s="73" t="str">
        <f>IF(ISNUMBER($R47),IF($R47&gt;0,$T47/$R47,""),"")</f>
        <v/>
      </c>
      <c r="Z47" s="72" t="str">
        <f>IF(AND(ISNUMBER($P47),ISNUMBER($R47)),IF(AND($P47&gt;0,$R47&gt;0),$P47/$R47,""),"")</f>
        <v/>
      </c>
      <c r="AA47" s="71" t="str">
        <f>IF($B47="","",IF(OR($N47="Live",$N47="Optimizing",$N47="Paused",$N47="Completed"),IF(ISNUMBER($AI47),IF($AI47&gt;=1,"Ahead",IF($AI47&gt;=OnTrackPct,"On Track",IF($AI47&gt;=WatchPct,"Behind","At Risk"))),"No Target Set"),"Not Live"))</f>
        <v/>
      </c>
      <c r="AB47" s="65" t="n"/>
      <c r="AC47" s="65" t="n"/>
      <c r="AD47" s="65" t="n"/>
      <c r="AE47" s="67" t="n"/>
      <c r="AF47" s="67" t="n"/>
      <c r="AG47" s="63" t="n"/>
      <c r="AH47" s="74">
        <f>IF($N47="Completed",1,IF(AND(ISNUMBER($K47),ISNUMBER($L47)),IF($L47&gt;$K47,MIN(1,MAX(0.05,(ReportDate-$K47)/($L47-$K47))),1),1))</f>
        <v>1</v>
      </c>
      <c r="AI47" s="70" t="str">
        <f>IF($B47="","",IF(AND(ISNUMBER($Q47),$Q47&gt;0),$R47/($Q47*$AH47),""))</f>
        <v/>
      </c>
      <c r="AJ47" s="71" t="str">
        <f>IF(ISNUMBER($K47),YEAR($K47)&amp;"-"&amp;TEXT(MONTH($K47),"00"),"")</f>
        <v/>
      </c>
      <c r="AK47" s="71">
        <f>IF($B47="",0,IF(AND(OR(fClient="All",$A47=fClient),OR(fCampaign="All",$B47=fCampaign),OR(fTeam="All",$I47=fTeam),OR(fChannel="All",$H47=fChannel),OR(fCStatus="All",$N47=fCStatus)),1,0))</f>
        <v>0</v>
      </c>
      <c r="AL47" s="71">
        <f>IF($B47="",0,IF(AND(OR(fClient="All",$A47=fClient),OR(fCampaign="All",$B47=fCampaign),OR(fTeam="All",$I47=fTeam),OR(fChannel="All",$H47=fChannel)),1,0))</f>
        <v>0</v>
      </c>
      <c r="AM47" s="71">
        <f>IF(OR($N47="Live",$N47="Optimizing"),1,0)</f>
        <v>0</v>
      </c>
      <c r="AN47" s="71">
        <f>IF(OR($N47="Live",$N47="Optimizing",$N47="Paused",$N47="Completed"),1,0)</f>
        <v>0</v>
      </c>
      <c r="AO47" s="71">
        <f>IF(AND($AM47=1,ISNUMBER($L47),NOT(ISNUMBER($M47))),IF($L47&lt;ReportDate,1,0),0)</f>
        <v>0</v>
      </c>
      <c r="AP47" s="71">
        <f>IF($AM47=1,IF(ISNUMBER($AG47),IF(ReportDate-$AG47&gt;CampStaleDays,1,0),1),0)</f>
        <v>0</v>
      </c>
      <c r="AQ47" s="71">
        <f>IF(AND($AM47=1,OR($AA47="Behind",$AA47="At Risk")),1,0)</f>
        <v>0</v>
      </c>
      <c r="AR47" s="71">
        <f>IF(AND($AM47=1,OR($AA47="Ahead",$AA47="On Track")),1,0)</f>
        <v>0</v>
      </c>
      <c r="AS47" s="71">
        <f>IF(OR($AQ47=1,$AP47=1,$AO47=1),1,0)</f>
        <v>0</v>
      </c>
      <c r="AT47" s="71" t="str">
        <f>IF($AS47=1,TRIM(IF($AQ47=1,"Low performance. ","")&amp;IF($AP47=1,"No recent update. ","")&amp;IF($AO47=1,"Past planned end. ","")),"")</f>
        <v/>
      </c>
      <c r="AU47" s="71" t="str">
        <f>IF(AND($AS47=1,$AL47=1),ROW(),"")</f>
        <v/>
      </c>
      <c r="AV47" s="71" t="str">
        <f>IF(AND($AQ47=1,$AL47=1),ROW(),"")</f>
        <v/>
      </c>
      <c r="AW47" s="71" t="str">
        <f>IF(AND($AP47=1,$AL47=1),ROW(),"")</f>
        <v/>
      </c>
      <c r="AX47" s="71" t="str">
        <f>IF(AND($AR47=1,$AL47=1),ROW(),"")</f>
        <v/>
      </c>
      <c r="AY47" s="71">
        <f>IF(AND($B47&lt;&gt;"",$A47=TCL_Client),1,0)</f>
        <v>0</v>
      </c>
      <c r="AZ47" s="71" t="str">
        <f>IF($AY47=1,ROW(),"")</f>
        <v/>
      </c>
      <c r="BA47" s="71">
        <f>IF(AND($B47&lt;&gt;"",$A47=MECCA_Client),1,0)</f>
        <v>0</v>
      </c>
      <c r="BB47" s="71" t="str">
        <f>IF($BA47=1,ROW(),"")</f>
        <v/>
      </c>
    </row>
    <row r="48">
      <c r="A48" s="64" t="n"/>
      <c r="B48" s="65" t="n"/>
      <c r="C48" s="64" t="n"/>
      <c r="D48" s="64" t="n"/>
      <c r="E48" s="64" t="n"/>
      <c r="F48" s="65" t="n"/>
      <c r="G48" s="65" t="n"/>
      <c r="H48" s="64" t="n"/>
      <c r="I48" s="64" t="n"/>
      <c r="J48" s="65" t="n"/>
      <c r="K48" s="63" t="n"/>
      <c r="L48" s="63" t="n"/>
      <c r="M48" s="63" t="n"/>
      <c r="N48" s="64" t="n"/>
      <c r="O48" s="67" t="n"/>
      <c r="P48" s="72" t="str">
        <f>IF($B48="","",SUMIFS('PAID MEDIA ADS'!$G$5:$G$804,'PAID MEDIA ADS'!$C$5:$C$804,$B48))</f>
        <v/>
      </c>
      <c r="Q48" s="67" t="n"/>
      <c r="R48" s="72" t="str">
        <f>IF($B48="","",COUNTIFS('LEAD MQL TRACKER'!$C$5:$C$1004,$B48,'LEAD MQL TRACKER'!$AB$5:$AB$1004,1)+SUMIFS('EMAIL MARKETING'!$Q$5:$Q$804,'EMAIL MARKETING'!$C$5:$C$804,$B48)+SUMIFS('PAID MEDIA ADS'!$M$5:$M$804,'PAID MEDIA ADS'!$C$5:$C$804,$B48)+SUMIFS('LINKEDIN OUTREACH'!$N$5:$N$704,'LINKEDIN OUTREACH'!$C$5:$C$704,$B48))</f>
        <v/>
      </c>
      <c r="S48" s="67" t="n"/>
      <c r="T48" s="72" t="str">
        <f>IF($B48="","",COUNTIFS('LEAD MQL TRACKER'!$C$5:$C$1004,$B48,'LEAD MQL TRACKER'!$AD$5:$AD$1004,1)+SUMIFS('EMAIL MARKETING'!$R$5:$R$804,'EMAIL MARKETING'!$C$5:$C$804,$B48)+SUMIFS('PAID MEDIA ADS'!$N$5:$N$804,'PAID MEDIA ADS'!$C$5:$C$804,$B48)+SUMIFS('LINKEDIN OUTREACH'!$O$5:$O$704,'LINKEDIN OUTREACH'!$C$5:$C$704,$B48))</f>
        <v/>
      </c>
      <c r="U48" s="67" t="n"/>
      <c r="V48" s="72" t="str">
        <f>IF($B48="","",COUNTIFS('LEAD MQL TRACKER'!$C$5:$C$1004,$B48,'LEAD MQL TRACKER'!$AE$5:$AE$1004,1))</f>
        <v/>
      </c>
      <c r="W48" s="72" t="str">
        <f>IF($B48="","",COUNTIFS('LEAD MQL TRACKER'!$C$5:$C$1004,$B48,'LEAD MQL TRACKER'!$AC$5:$AC$1004,1)+SUMIFS('LINKEDIN OUTREACH'!$M$5:$M$704,'LINKEDIN OUTREACH'!$C$5:$C$704,$B48))</f>
        <v/>
      </c>
      <c r="X48" s="72" t="str">
        <f>IF($B48="","",SUMIFS('EMAIL MARKETING'!$O$5:$O$804,'EMAIL MARKETING'!$C$5:$C$804,$B48)+SUMIFS('LINKEDIN OUTREACH'!$K$5:$K$704,'LINKEDIN OUTREACH'!$C$5:$C$704,$B48))</f>
        <v/>
      </c>
      <c r="Y48" s="73" t="str">
        <f>IF(ISNUMBER($R48),IF($R48&gt;0,$T48/$R48,""),"")</f>
        <v/>
      </c>
      <c r="Z48" s="72" t="str">
        <f>IF(AND(ISNUMBER($P48),ISNUMBER($R48)),IF(AND($P48&gt;0,$R48&gt;0),$P48/$R48,""),"")</f>
        <v/>
      </c>
      <c r="AA48" s="71" t="str">
        <f>IF($B48="","",IF(OR($N48="Live",$N48="Optimizing",$N48="Paused",$N48="Completed"),IF(ISNUMBER($AI48),IF($AI48&gt;=1,"Ahead",IF($AI48&gt;=OnTrackPct,"On Track",IF($AI48&gt;=WatchPct,"Behind","At Risk"))),"No Target Set"),"Not Live"))</f>
        <v/>
      </c>
      <c r="AB48" s="65" t="n"/>
      <c r="AC48" s="65" t="n"/>
      <c r="AD48" s="65" t="n"/>
      <c r="AE48" s="67" t="n"/>
      <c r="AF48" s="67" t="n"/>
      <c r="AG48" s="63" t="n"/>
      <c r="AH48" s="74">
        <f>IF($N48="Completed",1,IF(AND(ISNUMBER($K48),ISNUMBER($L48)),IF($L48&gt;$K48,MIN(1,MAX(0.05,(ReportDate-$K48)/($L48-$K48))),1),1))</f>
        <v>1</v>
      </c>
      <c r="AI48" s="70" t="str">
        <f>IF($B48="","",IF(AND(ISNUMBER($Q48),$Q48&gt;0),$R48/($Q48*$AH48),""))</f>
        <v/>
      </c>
      <c r="AJ48" s="71" t="str">
        <f>IF(ISNUMBER($K48),YEAR($K48)&amp;"-"&amp;TEXT(MONTH($K48),"00"),"")</f>
        <v/>
      </c>
      <c r="AK48" s="71">
        <f>IF($B48="",0,IF(AND(OR(fClient="All",$A48=fClient),OR(fCampaign="All",$B48=fCampaign),OR(fTeam="All",$I48=fTeam),OR(fChannel="All",$H48=fChannel),OR(fCStatus="All",$N48=fCStatus)),1,0))</f>
        <v>0</v>
      </c>
      <c r="AL48" s="71">
        <f>IF($B48="",0,IF(AND(OR(fClient="All",$A48=fClient),OR(fCampaign="All",$B48=fCampaign),OR(fTeam="All",$I48=fTeam),OR(fChannel="All",$H48=fChannel)),1,0))</f>
        <v>0</v>
      </c>
      <c r="AM48" s="71">
        <f>IF(OR($N48="Live",$N48="Optimizing"),1,0)</f>
        <v>0</v>
      </c>
      <c r="AN48" s="71">
        <f>IF(OR($N48="Live",$N48="Optimizing",$N48="Paused",$N48="Completed"),1,0)</f>
        <v>0</v>
      </c>
      <c r="AO48" s="71">
        <f>IF(AND($AM48=1,ISNUMBER($L48),NOT(ISNUMBER($M48))),IF($L48&lt;ReportDate,1,0),0)</f>
        <v>0</v>
      </c>
      <c r="AP48" s="71">
        <f>IF($AM48=1,IF(ISNUMBER($AG48),IF(ReportDate-$AG48&gt;CampStaleDays,1,0),1),0)</f>
        <v>0</v>
      </c>
      <c r="AQ48" s="71">
        <f>IF(AND($AM48=1,OR($AA48="Behind",$AA48="At Risk")),1,0)</f>
        <v>0</v>
      </c>
      <c r="AR48" s="71">
        <f>IF(AND($AM48=1,OR($AA48="Ahead",$AA48="On Track")),1,0)</f>
        <v>0</v>
      </c>
      <c r="AS48" s="71">
        <f>IF(OR($AQ48=1,$AP48=1,$AO48=1),1,0)</f>
        <v>0</v>
      </c>
      <c r="AT48" s="71" t="str">
        <f>IF($AS48=1,TRIM(IF($AQ48=1,"Low performance. ","")&amp;IF($AP48=1,"No recent update. ","")&amp;IF($AO48=1,"Past planned end. ","")),"")</f>
        <v/>
      </c>
      <c r="AU48" s="71" t="str">
        <f>IF(AND($AS48=1,$AL48=1),ROW(),"")</f>
        <v/>
      </c>
      <c r="AV48" s="71" t="str">
        <f>IF(AND($AQ48=1,$AL48=1),ROW(),"")</f>
        <v/>
      </c>
      <c r="AW48" s="71" t="str">
        <f>IF(AND($AP48=1,$AL48=1),ROW(),"")</f>
        <v/>
      </c>
      <c r="AX48" s="71" t="str">
        <f>IF(AND($AR48=1,$AL48=1),ROW(),"")</f>
        <v/>
      </c>
      <c r="AY48" s="71">
        <f>IF(AND($B48&lt;&gt;"",$A48=TCL_Client),1,0)</f>
        <v>0</v>
      </c>
      <c r="AZ48" s="71" t="str">
        <f>IF($AY48=1,ROW(),"")</f>
        <v/>
      </c>
      <c r="BA48" s="71">
        <f>IF(AND($B48&lt;&gt;"",$A48=MECCA_Client),1,0)</f>
        <v>0</v>
      </c>
      <c r="BB48" s="71" t="str">
        <f>IF($BA48=1,ROW(),"")</f>
        <v/>
      </c>
    </row>
    <row r="49">
      <c r="A49" s="64" t="n"/>
      <c r="B49" s="65" t="n"/>
      <c r="C49" s="64" t="n"/>
      <c r="D49" s="64" t="n"/>
      <c r="E49" s="64" t="n"/>
      <c r="F49" s="65" t="n"/>
      <c r="G49" s="65" t="n"/>
      <c r="H49" s="64" t="n"/>
      <c r="I49" s="64" t="n"/>
      <c r="J49" s="65" t="n"/>
      <c r="K49" s="63" t="n"/>
      <c r="L49" s="63" t="n"/>
      <c r="M49" s="63" t="n"/>
      <c r="N49" s="64" t="n"/>
      <c r="O49" s="67" t="n"/>
      <c r="P49" s="72" t="str">
        <f>IF($B49="","",SUMIFS('PAID MEDIA ADS'!$G$5:$G$804,'PAID MEDIA ADS'!$C$5:$C$804,$B49))</f>
        <v/>
      </c>
      <c r="Q49" s="67" t="n"/>
      <c r="R49" s="72" t="str">
        <f>IF($B49="","",COUNTIFS('LEAD MQL TRACKER'!$C$5:$C$1004,$B49,'LEAD MQL TRACKER'!$AB$5:$AB$1004,1)+SUMIFS('EMAIL MARKETING'!$Q$5:$Q$804,'EMAIL MARKETING'!$C$5:$C$804,$B49)+SUMIFS('PAID MEDIA ADS'!$M$5:$M$804,'PAID MEDIA ADS'!$C$5:$C$804,$B49)+SUMIFS('LINKEDIN OUTREACH'!$N$5:$N$704,'LINKEDIN OUTREACH'!$C$5:$C$704,$B49))</f>
        <v/>
      </c>
      <c r="S49" s="67" t="n"/>
      <c r="T49" s="72" t="str">
        <f>IF($B49="","",COUNTIFS('LEAD MQL TRACKER'!$C$5:$C$1004,$B49,'LEAD MQL TRACKER'!$AD$5:$AD$1004,1)+SUMIFS('EMAIL MARKETING'!$R$5:$R$804,'EMAIL MARKETING'!$C$5:$C$804,$B49)+SUMIFS('PAID MEDIA ADS'!$N$5:$N$804,'PAID MEDIA ADS'!$C$5:$C$804,$B49)+SUMIFS('LINKEDIN OUTREACH'!$O$5:$O$704,'LINKEDIN OUTREACH'!$C$5:$C$704,$B49))</f>
        <v/>
      </c>
      <c r="U49" s="67" t="n"/>
      <c r="V49" s="72" t="str">
        <f>IF($B49="","",COUNTIFS('LEAD MQL TRACKER'!$C$5:$C$1004,$B49,'LEAD MQL TRACKER'!$AE$5:$AE$1004,1))</f>
        <v/>
      </c>
      <c r="W49" s="72" t="str">
        <f>IF($B49="","",COUNTIFS('LEAD MQL TRACKER'!$C$5:$C$1004,$B49,'LEAD MQL TRACKER'!$AC$5:$AC$1004,1)+SUMIFS('LINKEDIN OUTREACH'!$M$5:$M$704,'LINKEDIN OUTREACH'!$C$5:$C$704,$B49))</f>
        <v/>
      </c>
      <c r="X49" s="72" t="str">
        <f>IF($B49="","",SUMIFS('EMAIL MARKETING'!$O$5:$O$804,'EMAIL MARKETING'!$C$5:$C$804,$B49)+SUMIFS('LINKEDIN OUTREACH'!$K$5:$K$704,'LINKEDIN OUTREACH'!$C$5:$C$704,$B49))</f>
        <v/>
      </c>
      <c r="Y49" s="73" t="str">
        <f>IF(ISNUMBER($R49),IF($R49&gt;0,$T49/$R49,""),"")</f>
        <v/>
      </c>
      <c r="Z49" s="72" t="str">
        <f>IF(AND(ISNUMBER($P49),ISNUMBER($R49)),IF(AND($P49&gt;0,$R49&gt;0),$P49/$R49,""),"")</f>
        <v/>
      </c>
      <c r="AA49" s="71" t="str">
        <f>IF($B49="","",IF(OR($N49="Live",$N49="Optimizing",$N49="Paused",$N49="Completed"),IF(ISNUMBER($AI49),IF($AI49&gt;=1,"Ahead",IF($AI49&gt;=OnTrackPct,"On Track",IF($AI49&gt;=WatchPct,"Behind","At Risk"))),"No Target Set"),"Not Live"))</f>
        <v/>
      </c>
      <c r="AB49" s="65" t="n"/>
      <c r="AC49" s="65" t="n"/>
      <c r="AD49" s="65" t="n"/>
      <c r="AE49" s="67" t="n"/>
      <c r="AF49" s="67" t="n"/>
      <c r="AG49" s="63" t="n"/>
      <c r="AH49" s="74">
        <f>IF($N49="Completed",1,IF(AND(ISNUMBER($K49),ISNUMBER($L49)),IF($L49&gt;$K49,MIN(1,MAX(0.05,(ReportDate-$K49)/($L49-$K49))),1),1))</f>
        <v>1</v>
      </c>
      <c r="AI49" s="70" t="str">
        <f>IF($B49="","",IF(AND(ISNUMBER($Q49),$Q49&gt;0),$R49/($Q49*$AH49),""))</f>
        <v/>
      </c>
      <c r="AJ49" s="71" t="str">
        <f>IF(ISNUMBER($K49),YEAR($K49)&amp;"-"&amp;TEXT(MONTH($K49),"00"),"")</f>
        <v/>
      </c>
      <c r="AK49" s="71">
        <f>IF($B49="",0,IF(AND(OR(fClient="All",$A49=fClient),OR(fCampaign="All",$B49=fCampaign),OR(fTeam="All",$I49=fTeam),OR(fChannel="All",$H49=fChannel),OR(fCStatus="All",$N49=fCStatus)),1,0))</f>
        <v>0</v>
      </c>
      <c r="AL49" s="71">
        <f>IF($B49="",0,IF(AND(OR(fClient="All",$A49=fClient),OR(fCampaign="All",$B49=fCampaign),OR(fTeam="All",$I49=fTeam),OR(fChannel="All",$H49=fChannel)),1,0))</f>
        <v>0</v>
      </c>
      <c r="AM49" s="71">
        <f>IF(OR($N49="Live",$N49="Optimizing"),1,0)</f>
        <v>0</v>
      </c>
      <c r="AN49" s="71">
        <f>IF(OR($N49="Live",$N49="Optimizing",$N49="Paused",$N49="Completed"),1,0)</f>
        <v>0</v>
      </c>
      <c r="AO49" s="71">
        <f>IF(AND($AM49=1,ISNUMBER($L49),NOT(ISNUMBER($M49))),IF($L49&lt;ReportDate,1,0),0)</f>
        <v>0</v>
      </c>
      <c r="AP49" s="71">
        <f>IF($AM49=1,IF(ISNUMBER($AG49),IF(ReportDate-$AG49&gt;CampStaleDays,1,0),1),0)</f>
        <v>0</v>
      </c>
      <c r="AQ49" s="71">
        <f>IF(AND($AM49=1,OR($AA49="Behind",$AA49="At Risk")),1,0)</f>
        <v>0</v>
      </c>
      <c r="AR49" s="71">
        <f>IF(AND($AM49=1,OR($AA49="Ahead",$AA49="On Track")),1,0)</f>
        <v>0</v>
      </c>
      <c r="AS49" s="71">
        <f>IF(OR($AQ49=1,$AP49=1,$AO49=1),1,0)</f>
        <v>0</v>
      </c>
      <c r="AT49" s="71" t="str">
        <f>IF($AS49=1,TRIM(IF($AQ49=1,"Low performance. ","")&amp;IF($AP49=1,"No recent update. ","")&amp;IF($AO49=1,"Past planned end. ","")),"")</f>
        <v/>
      </c>
      <c r="AU49" s="71" t="str">
        <f>IF(AND($AS49=1,$AL49=1),ROW(),"")</f>
        <v/>
      </c>
      <c r="AV49" s="71" t="str">
        <f>IF(AND($AQ49=1,$AL49=1),ROW(),"")</f>
        <v/>
      </c>
      <c r="AW49" s="71" t="str">
        <f>IF(AND($AP49=1,$AL49=1),ROW(),"")</f>
        <v/>
      </c>
      <c r="AX49" s="71" t="str">
        <f>IF(AND($AR49=1,$AL49=1),ROW(),"")</f>
        <v/>
      </c>
      <c r="AY49" s="71">
        <f>IF(AND($B49&lt;&gt;"",$A49=TCL_Client),1,0)</f>
        <v>0</v>
      </c>
      <c r="AZ49" s="71" t="str">
        <f>IF($AY49=1,ROW(),"")</f>
        <v/>
      </c>
      <c r="BA49" s="71">
        <f>IF(AND($B49&lt;&gt;"",$A49=MECCA_Client),1,0)</f>
        <v>0</v>
      </c>
      <c r="BB49" s="71" t="str">
        <f>IF($BA49=1,ROW(),"")</f>
        <v/>
      </c>
    </row>
    <row r="50">
      <c r="A50" s="64" t="n"/>
      <c r="B50" s="65" t="n"/>
      <c r="C50" s="64" t="n"/>
      <c r="D50" s="64" t="n"/>
      <c r="E50" s="64" t="n"/>
      <c r="F50" s="65" t="n"/>
      <c r="G50" s="65" t="n"/>
      <c r="H50" s="64" t="n"/>
      <c r="I50" s="64" t="n"/>
      <c r="J50" s="65" t="n"/>
      <c r="K50" s="63" t="n"/>
      <c r="L50" s="63" t="n"/>
      <c r="M50" s="63" t="n"/>
      <c r="N50" s="64" t="n"/>
      <c r="O50" s="67" t="n"/>
      <c r="P50" s="72" t="str">
        <f>IF($B50="","",SUMIFS('PAID MEDIA ADS'!$G$5:$G$804,'PAID MEDIA ADS'!$C$5:$C$804,$B50))</f>
        <v/>
      </c>
      <c r="Q50" s="67" t="n"/>
      <c r="R50" s="72" t="str">
        <f>IF($B50="","",COUNTIFS('LEAD MQL TRACKER'!$C$5:$C$1004,$B50,'LEAD MQL TRACKER'!$AB$5:$AB$1004,1)+SUMIFS('EMAIL MARKETING'!$Q$5:$Q$804,'EMAIL MARKETING'!$C$5:$C$804,$B50)+SUMIFS('PAID MEDIA ADS'!$M$5:$M$804,'PAID MEDIA ADS'!$C$5:$C$804,$B50)+SUMIFS('LINKEDIN OUTREACH'!$N$5:$N$704,'LINKEDIN OUTREACH'!$C$5:$C$704,$B50))</f>
        <v/>
      </c>
      <c r="S50" s="67" t="n"/>
      <c r="T50" s="72" t="str">
        <f>IF($B50="","",COUNTIFS('LEAD MQL TRACKER'!$C$5:$C$1004,$B50,'LEAD MQL TRACKER'!$AD$5:$AD$1004,1)+SUMIFS('EMAIL MARKETING'!$R$5:$R$804,'EMAIL MARKETING'!$C$5:$C$804,$B50)+SUMIFS('PAID MEDIA ADS'!$N$5:$N$804,'PAID MEDIA ADS'!$C$5:$C$804,$B50)+SUMIFS('LINKEDIN OUTREACH'!$O$5:$O$704,'LINKEDIN OUTREACH'!$C$5:$C$704,$B50))</f>
        <v/>
      </c>
      <c r="U50" s="67" t="n"/>
      <c r="V50" s="72" t="str">
        <f>IF($B50="","",COUNTIFS('LEAD MQL TRACKER'!$C$5:$C$1004,$B50,'LEAD MQL TRACKER'!$AE$5:$AE$1004,1))</f>
        <v/>
      </c>
      <c r="W50" s="72" t="str">
        <f>IF($B50="","",COUNTIFS('LEAD MQL TRACKER'!$C$5:$C$1004,$B50,'LEAD MQL TRACKER'!$AC$5:$AC$1004,1)+SUMIFS('LINKEDIN OUTREACH'!$M$5:$M$704,'LINKEDIN OUTREACH'!$C$5:$C$704,$B50))</f>
        <v/>
      </c>
      <c r="X50" s="72" t="str">
        <f>IF($B50="","",SUMIFS('EMAIL MARKETING'!$O$5:$O$804,'EMAIL MARKETING'!$C$5:$C$804,$B50)+SUMIFS('LINKEDIN OUTREACH'!$K$5:$K$704,'LINKEDIN OUTREACH'!$C$5:$C$704,$B50))</f>
        <v/>
      </c>
      <c r="Y50" s="73" t="str">
        <f>IF(ISNUMBER($R50),IF($R50&gt;0,$T50/$R50,""),"")</f>
        <v/>
      </c>
      <c r="Z50" s="72" t="str">
        <f>IF(AND(ISNUMBER($P50),ISNUMBER($R50)),IF(AND($P50&gt;0,$R50&gt;0),$P50/$R50,""),"")</f>
        <v/>
      </c>
      <c r="AA50" s="71" t="str">
        <f>IF($B50="","",IF(OR($N50="Live",$N50="Optimizing",$N50="Paused",$N50="Completed"),IF(ISNUMBER($AI50),IF($AI50&gt;=1,"Ahead",IF($AI50&gt;=OnTrackPct,"On Track",IF($AI50&gt;=WatchPct,"Behind","At Risk"))),"No Target Set"),"Not Live"))</f>
        <v/>
      </c>
      <c r="AB50" s="65" t="n"/>
      <c r="AC50" s="65" t="n"/>
      <c r="AD50" s="65" t="n"/>
      <c r="AE50" s="67" t="n"/>
      <c r="AF50" s="67" t="n"/>
      <c r="AG50" s="63" t="n"/>
      <c r="AH50" s="74">
        <f>IF($N50="Completed",1,IF(AND(ISNUMBER($K50),ISNUMBER($L50)),IF($L50&gt;$K50,MIN(1,MAX(0.05,(ReportDate-$K50)/($L50-$K50))),1),1))</f>
        <v>1</v>
      </c>
      <c r="AI50" s="70" t="str">
        <f>IF($B50="","",IF(AND(ISNUMBER($Q50),$Q50&gt;0),$R50/($Q50*$AH50),""))</f>
        <v/>
      </c>
      <c r="AJ50" s="71" t="str">
        <f>IF(ISNUMBER($K50),YEAR($K50)&amp;"-"&amp;TEXT(MONTH($K50),"00"),"")</f>
        <v/>
      </c>
      <c r="AK50" s="71">
        <f>IF($B50="",0,IF(AND(OR(fClient="All",$A50=fClient),OR(fCampaign="All",$B50=fCampaign),OR(fTeam="All",$I50=fTeam),OR(fChannel="All",$H50=fChannel),OR(fCStatus="All",$N50=fCStatus)),1,0))</f>
        <v>0</v>
      </c>
      <c r="AL50" s="71">
        <f>IF($B50="",0,IF(AND(OR(fClient="All",$A50=fClient),OR(fCampaign="All",$B50=fCampaign),OR(fTeam="All",$I50=fTeam),OR(fChannel="All",$H50=fChannel)),1,0))</f>
        <v>0</v>
      </c>
      <c r="AM50" s="71">
        <f>IF(OR($N50="Live",$N50="Optimizing"),1,0)</f>
        <v>0</v>
      </c>
      <c r="AN50" s="71">
        <f>IF(OR($N50="Live",$N50="Optimizing",$N50="Paused",$N50="Completed"),1,0)</f>
        <v>0</v>
      </c>
      <c r="AO50" s="71">
        <f>IF(AND($AM50=1,ISNUMBER($L50),NOT(ISNUMBER($M50))),IF($L50&lt;ReportDate,1,0),0)</f>
        <v>0</v>
      </c>
      <c r="AP50" s="71">
        <f>IF($AM50=1,IF(ISNUMBER($AG50),IF(ReportDate-$AG50&gt;CampStaleDays,1,0),1),0)</f>
        <v>0</v>
      </c>
      <c r="AQ50" s="71">
        <f>IF(AND($AM50=1,OR($AA50="Behind",$AA50="At Risk")),1,0)</f>
        <v>0</v>
      </c>
      <c r="AR50" s="71">
        <f>IF(AND($AM50=1,OR($AA50="Ahead",$AA50="On Track")),1,0)</f>
        <v>0</v>
      </c>
      <c r="AS50" s="71">
        <f>IF(OR($AQ50=1,$AP50=1,$AO50=1),1,0)</f>
        <v>0</v>
      </c>
      <c r="AT50" s="71" t="str">
        <f>IF($AS50=1,TRIM(IF($AQ50=1,"Low performance. ","")&amp;IF($AP50=1,"No recent update. ","")&amp;IF($AO50=1,"Past planned end. ","")),"")</f>
        <v/>
      </c>
      <c r="AU50" s="71" t="str">
        <f>IF(AND($AS50=1,$AL50=1),ROW(),"")</f>
        <v/>
      </c>
      <c r="AV50" s="71" t="str">
        <f>IF(AND($AQ50=1,$AL50=1),ROW(),"")</f>
        <v/>
      </c>
      <c r="AW50" s="71" t="str">
        <f>IF(AND($AP50=1,$AL50=1),ROW(),"")</f>
        <v/>
      </c>
      <c r="AX50" s="71" t="str">
        <f>IF(AND($AR50=1,$AL50=1),ROW(),"")</f>
        <v/>
      </c>
      <c r="AY50" s="71">
        <f>IF(AND($B50&lt;&gt;"",$A50=TCL_Client),1,0)</f>
        <v>0</v>
      </c>
      <c r="AZ50" s="71" t="str">
        <f>IF($AY50=1,ROW(),"")</f>
        <v/>
      </c>
      <c r="BA50" s="71">
        <f>IF(AND($B50&lt;&gt;"",$A50=MECCA_Client),1,0)</f>
        <v>0</v>
      </c>
      <c r="BB50" s="71" t="str">
        <f>IF($BA50=1,ROW(),"")</f>
        <v/>
      </c>
    </row>
    <row r="51">
      <c r="A51" s="64" t="n"/>
      <c r="B51" s="65" t="n"/>
      <c r="C51" s="64" t="n"/>
      <c r="D51" s="64" t="n"/>
      <c r="E51" s="64" t="n"/>
      <c r="F51" s="65" t="n"/>
      <c r="G51" s="65" t="n"/>
      <c r="H51" s="64" t="n"/>
      <c r="I51" s="64" t="n"/>
      <c r="J51" s="65" t="n"/>
      <c r="K51" s="63" t="n"/>
      <c r="L51" s="63" t="n"/>
      <c r="M51" s="63" t="n"/>
      <c r="N51" s="64" t="n"/>
      <c r="O51" s="67" t="n"/>
      <c r="P51" s="72" t="str">
        <f>IF($B51="","",SUMIFS('PAID MEDIA ADS'!$G$5:$G$804,'PAID MEDIA ADS'!$C$5:$C$804,$B51))</f>
        <v/>
      </c>
      <c r="Q51" s="67" t="n"/>
      <c r="R51" s="72" t="str">
        <f>IF($B51="","",COUNTIFS('LEAD MQL TRACKER'!$C$5:$C$1004,$B51,'LEAD MQL TRACKER'!$AB$5:$AB$1004,1)+SUMIFS('EMAIL MARKETING'!$Q$5:$Q$804,'EMAIL MARKETING'!$C$5:$C$804,$B51)+SUMIFS('PAID MEDIA ADS'!$M$5:$M$804,'PAID MEDIA ADS'!$C$5:$C$804,$B51)+SUMIFS('LINKEDIN OUTREACH'!$N$5:$N$704,'LINKEDIN OUTREACH'!$C$5:$C$704,$B51))</f>
        <v/>
      </c>
      <c r="S51" s="67" t="n"/>
      <c r="T51" s="72" t="str">
        <f>IF($B51="","",COUNTIFS('LEAD MQL TRACKER'!$C$5:$C$1004,$B51,'LEAD MQL TRACKER'!$AD$5:$AD$1004,1)+SUMIFS('EMAIL MARKETING'!$R$5:$R$804,'EMAIL MARKETING'!$C$5:$C$804,$B51)+SUMIFS('PAID MEDIA ADS'!$N$5:$N$804,'PAID MEDIA ADS'!$C$5:$C$804,$B51)+SUMIFS('LINKEDIN OUTREACH'!$O$5:$O$704,'LINKEDIN OUTREACH'!$C$5:$C$704,$B51))</f>
        <v/>
      </c>
      <c r="U51" s="67" t="n"/>
      <c r="V51" s="72" t="str">
        <f>IF($B51="","",COUNTIFS('LEAD MQL TRACKER'!$C$5:$C$1004,$B51,'LEAD MQL TRACKER'!$AE$5:$AE$1004,1))</f>
        <v/>
      </c>
      <c r="W51" s="72" t="str">
        <f>IF($B51="","",COUNTIFS('LEAD MQL TRACKER'!$C$5:$C$1004,$B51,'LEAD MQL TRACKER'!$AC$5:$AC$1004,1)+SUMIFS('LINKEDIN OUTREACH'!$M$5:$M$704,'LINKEDIN OUTREACH'!$C$5:$C$704,$B51))</f>
        <v/>
      </c>
      <c r="X51" s="72" t="str">
        <f>IF($B51="","",SUMIFS('EMAIL MARKETING'!$O$5:$O$804,'EMAIL MARKETING'!$C$5:$C$804,$B51)+SUMIFS('LINKEDIN OUTREACH'!$K$5:$K$704,'LINKEDIN OUTREACH'!$C$5:$C$704,$B51))</f>
        <v/>
      </c>
      <c r="Y51" s="73" t="str">
        <f>IF(ISNUMBER($R51),IF($R51&gt;0,$T51/$R51,""),"")</f>
        <v/>
      </c>
      <c r="Z51" s="72" t="str">
        <f>IF(AND(ISNUMBER($P51),ISNUMBER($R51)),IF(AND($P51&gt;0,$R51&gt;0),$P51/$R51,""),"")</f>
        <v/>
      </c>
      <c r="AA51" s="71" t="str">
        <f>IF($B51="","",IF(OR($N51="Live",$N51="Optimizing",$N51="Paused",$N51="Completed"),IF(ISNUMBER($AI51),IF($AI51&gt;=1,"Ahead",IF($AI51&gt;=OnTrackPct,"On Track",IF($AI51&gt;=WatchPct,"Behind","At Risk"))),"No Target Set"),"Not Live"))</f>
        <v/>
      </c>
      <c r="AB51" s="65" t="n"/>
      <c r="AC51" s="65" t="n"/>
      <c r="AD51" s="65" t="n"/>
      <c r="AE51" s="67" t="n"/>
      <c r="AF51" s="67" t="n"/>
      <c r="AG51" s="63" t="n"/>
      <c r="AH51" s="74">
        <f>IF($N51="Completed",1,IF(AND(ISNUMBER($K51),ISNUMBER($L51)),IF($L51&gt;$K51,MIN(1,MAX(0.05,(ReportDate-$K51)/($L51-$K51))),1),1))</f>
        <v>1</v>
      </c>
      <c r="AI51" s="70" t="str">
        <f>IF($B51="","",IF(AND(ISNUMBER($Q51),$Q51&gt;0),$R51/($Q51*$AH51),""))</f>
        <v/>
      </c>
      <c r="AJ51" s="71" t="str">
        <f>IF(ISNUMBER($K51),YEAR($K51)&amp;"-"&amp;TEXT(MONTH($K51),"00"),"")</f>
        <v/>
      </c>
      <c r="AK51" s="71">
        <f>IF($B51="",0,IF(AND(OR(fClient="All",$A51=fClient),OR(fCampaign="All",$B51=fCampaign),OR(fTeam="All",$I51=fTeam),OR(fChannel="All",$H51=fChannel),OR(fCStatus="All",$N51=fCStatus)),1,0))</f>
        <v>0</v>
      </c>
      <c r="AL51" s="71">
        <f>IF($B51="",0,IF(AND(OR(fClient="All",$A51=fClient),OR(fCampaign="All",$B51=fCampaign),OR(fTeam="All",$I51=fTeam),OR(fChannel="All",$H51=fChannel)),1,0))</f>
        <v>0</v>
      </c>
      <c r="AM51" s="71">
        <f>IF(OR($N51="Live",$N51="Optimizing"),1,0)</f>
        <v>0</v>
      </c>
      <c r="AN51" s="71">
        <f>IF(OR($N51="Live",$N51="Optimizing",$N51="Paused",$N51="Completed"),1,0)</f>
        <v>0</v>
      </c>
      <c r="AO51" s="71">
        <f>IF(AND($AM51=1,ISNUMBER($L51),NOT(ISNUMBER($M51))),IF($L51&lt;ReportDate,1,0),0)</f>
        <v>0</v>
      </c>
      <c r="AP51" s="71">
        <f>IF($AM51=1,IF(ISNUMBER($AG51),IF(ReportDate-$AG51&gt;CampStaleDays,1,0),1),0)</f>
        <v>0</v>
      </c>
      <c r="AQ51" s="71">
        <f>IF(AND($AM51=1,OR($AA51="Behind",$AA51="At Risk")),1,0)</f>
        <v>0</v>
      </c>
      <c r="AR51" s="71">
        <f>IF(AND($AM51=1,OR($AA51="Ahead",$AA51="On Track")),1,0)</f>
        <v>0</v>
      </c>
      <c r="AS51" s="71">
        <f>IF(OR($AQ51=1,$AP51=1,$AO51=1),1,0)</f>
        <v>0</v>
      </c>
      <c r="AT51" s="71" t="str">
        <f>IF($AS51=1,TRIM(IF($AQ51=1,"Low performance. ","")&amp;IF($AP51=1,"No recent update. ","")&amp;IF($AO51=1,"Past planned end. ","")),"")</f>
        <v/>
      </c>
      <c r="AU51" s="71" t="str">
        <f>IF(AND($AS51=1,$AL51=1),ROW(),"")</f>
        <v/>
      </c>
      <c r="AV51" s="71" t="str">
        <f>IF(AND($AQ51=1,$AL51=1),ROW(),"")</f>
        <v/>
      </c>
      <c r="AW51" s="71" t="str">
        <f>IF(AND($AP51=1,$AL51=1),ROW(),"")</f>
        <v/>
      </c>
      <c r="AX51" s="71" t="str">
        <f>IF(AND($AR51=1,$AL51=1),ROW(),"")</f>
        <v/>
      </c>
      <c r="AY51" s="71">
        <f>IF(AND($B51&lt;&gt;"",$A51=TCL_Client),1,0)</f>
        <v>0</v>
      </c>
      <c r="AZ51" s="71" t="str">
        <f>IF($AY51=1,ROW(),"")</f>
        <v/>
      </c>
      <c r="BA51" s="71">
        <f>IF(AND($B51&lt;&gt;"",$A51=MECCA_Client),1,0)</f>
        <v>0</v>
      </c>
      <c r="BB51" s="71" t="str">
        <f>IF($BA51=1,ROW(),"")</f>
        <v/>
      </c>
    </row>
    <row r="52">
      <c r="A52" s="64" t="n"/>
      <c r="B52" s="65" t="n"/>
      <c r="C52" s="64" t="n"/>
      <c r="D52" s="64" t="n"/>
      <c r="E52" s="64" t="n"/>
      <c r="F52" s="65" t="n"/>
      <c r="G52" s="65" t="n"/>
      <c r="H52" s="64" t="n"/>
      <c r="I52" s="64" t="n"/>
      <c r="J52" s="65" t="n"/>
      <c r="K52" s="63" t="n"/>
      <c r="L52" s="63" t="n"/>
      <c r="M52" s="63" t="n"/>
      <c r="N52" s="64" t="n"/>
      <c r="O52" s="67" t="n"/>
      <c r="P52" s="72" t="str">
        <f>IF($B52="","",SUMIFS('PAID MEDIA ADS'!$G$5:$G$804,'PAID MEDIA ADS'!$C$5:$C$804,$B52))</f>
        <v/>
      </c>
      <c r="Q52" s="67" t="n"/>
      <c r="R52" s="72" t="str">
        <f>IF($B52="","",COUNTIFS('LEAD MQL TRACKER'!$C$5:$C$1004,$B52,'LEAD MQL TRACKER'!$AB$5:$AB$1004,1)+SUMIFS('EMAIL MARKETING'!$Q$5:$Q$804,'EMAIL MARKETING'!$C$5:$C$804,$B52)+SUMIFS('PAID MEDIA ADS'!$M$5:$M$804,'PAID MEDIA ADS'!$C$5:$C$804,$B52)+SUMIFS('LINKEDIN OUTREACH'!$N$5:$N$704,'LINKEDIN OUTREACH'!$C$5:$C$704,$B52))</f>
        <v/>
      </c>
      <c r="S52" s="67" t="n"/>
      <c r="T52" s="72" t="str">
        <f>IF($B52="","",COUNTIFS('LEAD MQL TRACKER'!$C$5:$C$1004,$B52,'LEAD MQL TRACKER'!$AD$5:$AD$1004,1)+SUMIFS('EMAIL MARKETING'!$R$5:$R$804,'EMAIL MARKETING'!$C$5:$C$804,$B52)+SUMIFS('PAID MEDIA ADS'!$N$5:$N$804,'PAID MEDIA ADS'!$C$5:$C$804,$B52)+SUMIFS('LINKEDIN OUTREACH'!$O$5:$O$704,'LINKEDIN OUTREACH'!$C$5:$C$704,$B52))</f>
        <v/>
      </c>
      <c r="U52" s="67" t="n"/>
      <c r="V52" s="72" t="str">
        <f>IF($B52="","",COUNTIFS('LEAD MQL TRACKER'!$C$5:$C$1004,$B52,'LEAD MQL TRACKER'!$AE$5:$AE$1004,1))</f>
        <v/>
      </c>
      <c r="W52" s="72" t="str">
        <f>IF($B52="","",COUNTIFS('LEAD MQL TRACKER'!$C$5:$C$1004,$B52,'LEAD MQL TRACKER'!$AC$5:$AC$1004,1)+SUMIFS('LINKEDIN OUTREACH'!$M$5:$M$704,'LINKEDIN OUTREACH'!$C$5:$C$704,$B52))</f>
        <v/>
      </c>
      <c r="X52" s="72" t="str">
        <f>IF($B52="","",SUMIFS('EMAIL MARKETING'!$O$5:$O$804,'EMAIL MARKETING'!$C$5:$C$804,$B52)+SUMIFS('LINKEDIN OUTREACH'!$K$5:$K$704,'LINKEDIN OUTREACH'!$C$5:$C$704,$B52))</f>
        <v/>
      </c>
      <c r="Y52" s="73" t="str">
        <f>IF(ISNUMBER($R52),IF($R52&gt;0,$T52/$R52,""),"")</f>
        <v/>
      </c>
      <c r="Z52" s="72" t="str">
        <f>IF(AND(ISNUMBER($P52),ISNUMBER($R52)),IF(AND($P52&gt;0,$R52&gt;0),$P52/$R52,""),"")</f>
        <v/>
      </c>
      <c r="AA52" s="71" t="str">
        <f>IF($B52="","",IF(OR($N52="Live",$N52="Optimizing",$N52="Paused",$N52="Completed"),IF(ISNUMBER($AI52),IF($AI52&gt;=1,"Ahead",IF($AI52&gt;=OnTrackPct,"On Track",IF($AI52&gt;=WatchPct,"Behind","At Risk"))),"No Target Set"),"Not Live"))</f>
        <v/>
      </c>
      <c r="AB52" s="65" t="n"/>
      <c r="AC52" s="65" t="n"/>
      <c r="AD52" s="65" t="n"/>
      <c r="AE52" s="67" t="n"/>
      <c r="AF52" s="67" t="n"/>
      <c r="AG52" s="63" t="n"/>
      <c r="AH52" s="74">
        <f>IF($N52="Completed",1,IF(AND(ISNUMBER($K52),ISNUMBER($L52)),IF($L52&gt;$K52,MIN(1,MAX(0.05,(ReportDate-$K52)/($L52-$K52))),1),1))</f>
        <v>1</v>
      </c>
      <c r="AI52" s="70" t="str">
        <f>IF($B52="","",IF(AND(ISNUMBER($Q52),$Q52&gt;0),$R52/($Q52*$AH52),""))</f>
        <v/>
      </c>
      <c r="AJ52" s="71" t="str">
        <f>IF(ISNUMBER($K52),YEAR($K52)&amp;"-"&amp;TEXT(MONTH($K52),"00"),"")</f>
        <v/>
      </c>
      <c r="AK52" s="71">
        <f>IF($B52="",0,IF(AND(OR(fClient="All",$A52=fClient),OR(fCampaign="All",$B52=fCampaign),OR(fTeam="All",$I52=fTeam),OR(fChannel="All",$H52=fChannel),OR(fCStatus="All",$N52=fCStatus)),1,0))</f>
        <v>0</v>
      </c>
      <c r="AL52" s="71">
        <f>IF($B52="",0,IF(AND(OR(fClient="All",$A52=fClient),OR(fCampaign="All",$B52=fCampaign),OR(fTeam="All",$I52=fTeam),OR(fChannel="All",$H52=fChannel)),1,0))</f>
        <v>0</v>
      </c>
      <c r="AM52" s="71">
        <f>IF(OR($N52="Live",$N52="Optimizing"),1,0)</f>
        <v>0</v>
      </c>
      <c r="AN52" s="71">
        <f>IF(OR($N52="Live",$N52="Optimizing",$N52="Paused",$N52="Completed"),1,0)</f>
        <v>0</v>
      </c>
      <c r="AO52" s="71">
        <f>IF(AND($AM52=1,ISNUMBER($L52),NOT(ISNUMBER($M52))),IF($L52&lt;ReportDate,1,0),0)</f>
        <v>0</v>
      </c>
      <c r="AP52" s="71">
        <f>IF($AM52=1,IF(ISNUMBER($AG52),IF(ReportDate-$AG52&gt;CampStaleDays,1,0),1),0)</f>
        <v>0</v>
      </c>
      <c r="AQ52" s="71">
        <f>IF(AND($AM52=1,OR($AA52="Behind",$AA52="At Risk")),1,0)</f>
        <v>0</v>
      </c>
      <c r="AR52" s="71">
        <f>IF(AND($AM52=1,OR($AA52="Ahead",$AA52="On Track")),1,0)</f>
        <v>0</v>
      </c>
      <c r="AS52" s="71">
        <f>IF(OR($AQ52=1,$AP52=1,$AO52=1),1,0)</f>
        <v>0</v>
      </c>
      <c r="AT52" s="71" t="str">
        <f>IF($AS52=1,TRIM(IF($AQ52=1,"Low performance. ","")&amp;IF($AP52=1,"No recent update. ","")&amp;IF($AO52=1,"Past planned end. ","")),"")</f>
        <v/>
      </c>
      <c r="AU52" s="71" t="str">
        <f>IF(AND($AS52=1,$AL52=1),ROW(),"")</f>
        <v/>
      </c>
      <c r="AV52" s="71" t="str">
        <f>IF(AND($AQ52=1,$AL52=1),ROW(),"")</f>
        <v/>
      </c>
      <c r="AW52" s="71" t="str">
        <f>IF(AND($AP52=1,$AL52=1),ROW(),"")</f>
        <v/>
      </c>
      <c r="AX52" s="71" t="str">
        <f>IF(AND($AR52=1,$AL52=1),ROW(),"")</f>
        <v/>
      </c>
      <c r="AY52" s="71">
        <f>IF(AND($B52&lt;&gt;"",$A52=TCL_Client),1,0)</f>
        <v>0</v>
      </c>
      <c r="AZ52" s="71" t="str">
        <f>IF($AY52=1,ROW(),"")</f>
        <v/>
      </c>
      <c r="BA52" s="71">
        <f>IF(AND($B52&lt;&gt;"",$A52=MECCA_Client),1,0)</f>
        <v>0</v>
      </c>
      <c r="BB52" s="71" t="str">
        <f>IF($BA52=1,ROW(),"")</f>
        <v/>
      </c>
    </row>
    <row r="53">
      <c r="A53" s="64" t="n"/>
      <c r="B53" s="65" t="n"/>
      <c r="C53" s="64" t="n"/>
      <c r="D53" s="64" t="n"/>
      <c r="E53" s="64" t="n"/>
      <c r="F53" s="65" t="n"/>
      <c r="G53" s="65" t="n"/>
      <c r="H53" s="64" t="n"/>
      <c r="I53" s="64" t="n"/>
      <c r="J53" s="65" t="n"/>
      <c r="K53" s="63" t="n"/>
      <c r="L53" s="63" t="n"/>
      <c r="M53" s="63" t="n"/>
      <c r="N53" s="64" t="n"/>
      <c r="O53" s="67" t="n"/>
      <c r="P53" s="72" t="str">
        <f>IF($B53="","",SUMIFS('PAID MEDIA ADS'!$G$5:$G$804,'PAID MEDIA ADS'!$C$5:$C$804,$B53))</f>
        <v/>
      </c>
      <c r="Q53" s="67" t="n"/>
      <c r="R53" s="72" t="str">
        <f>IF($B53="","",COUNTIFS('LEAD MQL TRACKER'!$C$5:$C$1004,$B53,'LEAD MQL TRACKER'!$AB$5:$AB$1004,1)+SUMIFS('EMAIL MARKETING'!$Q$5:$Q$804,'EMAIL MARKETING'!$C$5:$C$804,$B53)+SUMIFS('PAID MEDIA ADS'!$M$5:$M$804,'PAID MEDIA ADS'!$C$5:$C$804,$B53)+SUMIFS('LINKEDIN OUTREACH'!$N$5:$N$704,'LINKEDIN OUTREACH'!$C$5:$C$704,$B53))</f>
        <v/>
      </c>
      <c r="S53" s="67" t="n"/>
      <c r="T53" s="72" t="str">
        <f>IF($B53="","",COUNTIFS('LEAD MQL TRACKER'!$C$5:$C$1004,$B53,'LEAD MQL TRACKER'!$AD$5:$AD$1004,1)+SUMIFS('EMAIL MARKETING'!$R$5:$R$804,'EMAIL MARKETING'!$C$5:$C$804,$B53)+SUMIFS('PAID MEDIA ADS'!$N$5:$N$804,'PAID MEDIA ADS'!$C$5:$C$804,$B53)+SUMIFS('LINKEDIN OUTREACH'!$O$5:$O$704,'LINKEDIN OUTREACH'!$C$5:$C$704,$B53))</f>
        <v/>
      </c>
      <c r="U53" s="67" t="n"/>
      <c r="V53" s="72" t="str">
        <f>IF($B53="","",COUNTIFS('LEAD MQL TRACKER'!$C$5:$C$1004,$B53,'LEAD MQL TRACKER'!$AE$5:$AE$1004,1))</f>
        <v/>
      </c>
      <c r="W53" s="72" t="str">
        <f>IF($B53="","",COUNTIFS('LEAD MQL TRACKER'!$C$5:$C$1004,$B53,'LEAD MQL TRACKER'!$AC$5:$AC$1004,1)+SUMIFS('LINKEDIN OUTREACH'!$M$5:$M$704,'LINKEDIN OUTREACH'!$C$5:$C$704,$B53))</f>
        <v/>
      </c>
      <c r="X53" s="72" t="str">
        <f>IF($B53="","",SUMIFS('EMAIL MARKETING'!$O$5:$O$804,'EMAIL MARKETING'!$C$5:$C$804,$B53)+SUMIFS('LINKEDIN OUTREACH'!$K$5:$K$704,'LINKEDIN OUTREACH'!$C$5:$C$704,$B53))</f>
        <v/>
      </c>
      <c r="Y53" s="73" t="str">
        <f>IF(ISNUMBER($R53),IF($R53&gt;0,$T53/$R53,""),"")</f>
        <v/>
      </c>
      <c r="Z53" s="72" t="str">
        <f>IF(AND(ISNUMBER($P53),ISNUMBER($R53)),IF(AND($P53&gt;0,$R53&gt;0),$P53/$R53,""),"")</f>
        <v/>
      </c>
      <c r="AA53" s="71" t="str">
        <f>IF($B53="","",IF(OR($N53="Live",$N53="Optimizing",$N53="Paused",$N53="Completed"),IF(ISNUMBER($AI53),IF($AI53&gt;=1,"Ahead",IF($AI53&gt;=OnTrackPct,"On Track",IF($AI53&gt;=WatchPct,"Behind","At Risk"))),"No Target Set"),"Not Live"))</f>
        <v/>
      </c>
      <c r="AB53" s="65" t="n"/>
      <c r="AC53" s="65" t="n"/>
      <c r="AD53" s="65" t="n"/>
      <c r="AE53" s="67" t="n"/>
      <c r="AF53" s="67" t="n"/>
      <c r="AG53" s="63" t="n"/>
      <c r="AH53" s="74">
        <f>IF($N53="Completed",1,IF(AND(ISNUMBER($K53),ISNUMBER($L53)),IF($L53&gt;$K53,MIN(1,MAX(0.05,(ReportDate-$K53)/($L53-$K53))),1),1))</f>
        <v>1</v>
      </c>
      <c r="AI53" s="70" t="str">
        <f>IF($B53="","",IF(AND(ISNUMBER($Q53),$Q53&gt;0),$R53/($Q53*$AH53),""))</f>
        <v/>
      </c>
      <c r="AJ53" s="71" t="str">
        <f>IF(ISNUMBER($K53),YEAR($K53)&amp;"-"&amp;TEXT(MONTH($K53),"00"),"")</f>
        <v/>
      </c>
      <c r="AK53" s="71">
        <f>IF($B53="",0,IF(AND(OR(fClient="All",$A53=fClient),OR(fCampaign="All",$B53=fCampaign),OR(fTeam="All",$I53=fTeam),OR(fChannel="All",$H53=fChannel),OR(fCStatus="All",$N53=fCStatus)),1,0))</f>
        <v>0</v>
      </c>
      <c r="AL53" s="71">
        <f>IF($B53="",0,IF(AND(OR(fClient="All",$A53=fClient),OR(fCampaign="All",$B53=fCampaign),OR(fTeam="All",$I53=fTeam),OR(fChannel="All",$H53=fChannel)),1,0))</f>
        <v>0</v>
      </c>
      <c r="AM53" s="71">
        <f>IF(OR($N53="Live",$N53="Optimizing"),1,0)</f>
        <v>0</v>
      </c>
      <c r="AN53" s="71">
        <f>IF(OR($N53="Live",$N53="Optimizing",$N53="Paused",$N53="Completed"),1,0)</f>
        <v>0</v>
      </c>
      <c r="AO53" s="71">
        <f>IF(AND($AM53=1,ISNUMBER($L53),NOT(ISNUMBER($M53))),IF($L53&lt;ReportDate,1,0),0)</f>
        <v>0</v>
      </c>
      <c r="AP53" s="71">
        <f>IF($AM53=1,IF(ISNUMBER($AG53),IF(ReportDate-$AG53&gt;CampStaleDays,1,0),1),0)</f>
        <v>0</v>
      </c>
      <c r="AQ53" s="71">
        <f>IF(AND($AM53=1,OR($AA53="Behind",$AA53="At Risk")),1,0)</f>
        <v>0</v>
      </c>
      <c r="AR53" s="71">
        <f>IF(AND($AM53=1,OR($AA53="Ahead",$AA53="On Track")),1,0)</f>
        <v>0</v>
      </c>
      <c r="AS53" s="71">
        <f>IF(OR($AQ53=1,$AP53=1,$AO53=1),1,0)</f>
        <v>0</v>
      </c>
      <c r="AT53" s="71" t="str">
        <f>IF($AS53=1,TRIM(IF($AQ53=1,"Low performance. ","")&amp;IF($AP53=1,"No recent update. ","")&amp;IF($AO53=1,"Past planned end. ","")),"")</f>
        <v/>
      </c>
      <c r="AU53" s="71" t="str">
        <f>IF(AND($AS53=1,$AL53=1),ROW(),"")</f>
        <v/>
      </c>
      <c r="AV53" s="71" t="str">
        <f>IF(AND($AQ53=1,$AL53=1),ROW(),"")</f>
        <v/>
      </c>
      <c r="AW53" s="71" t="str">
        <f>IF(AND($AP53=1,$AL53=1),ROW(),"")</f>
        <v/>
      </c>
      <c r="AX53" s="71" t="str">
        <f>IF(AND($AR53=1,$AL53=1),ROW(),"")</f>
        <v/>
      </c>
      <c r="AY53" s="71">
        <f>IF(AND($B53&lt;&gt;"",$A53=TCL_Client),1,0)</f>
        <v>0</v>
      </c>
      <c r="AZ53" s="71" t="str">
        <f>IF($AY53=1,ROW(),"")</f>
        <v/>
      </c>
      <c r="BA53" s="71">
        <f>IF(AND($B53&lt;&gt;"",$A53=MECCA_Client),1,0)</f>
        <v>0</v>
      </c>
      <c r="BB53" s="71" t="str">
        <f>IF($BA53=1,ROW(),"")</f>
        <v/>
      </c>
    </row>
    <row r="54">
      <c r="A54" s="64" t="n"/>
      <c r="B54" s="65" t="n"/>
      <c r="C54" s="64" t="n"/>
      <c r="D54" s="64" t="n"/>
      <c r="E54" s="64" t="n"/>
      <c r="F54" s="65" t="n"/>
      <c r="G54" s="65" t="n"/>
      <c r="H54" s="64" t="n"/>
      <c r="I54" s="64" t="n"/>
      <c r="J54" s="65" t="n"/>
      <c r="K54" s="63" t="n"/>
      <c r="L54" s="63" t="n"/>
      <c r="M54" s="63" t="n"/>
      <c r="N54" s="64" t="n"/>
      <c r="O54" s="67" t="n"/>
      <c r="P54" s="72" t="str">
        <f>IF($B54="","",SUMIFS('PAID MEDIA ADS'!$G$5:$G$804,'PAID MEDIA ADS'!$C$5:$C$804,$B54))</f>
        <v/>
      </c>
      <c r="Q54" s="67" t="n"/>
      <c r="R54" s="72" t="str">
        <f>IF($B54="","",COUNTIFS('LEAD MQL TRACKER'!$C$5:$C$1004,$B54,'LEAD MQL TRACKER'!$AB$5:$AB$1004,1)+SUMIFS('EMAIL MARKETING'!$Q$5:$Q$804,'EMAIL MARKETING'!$C$5:$C$804,$B54)+SUMIFS('PAID MEDIA ADS'!$M$5:$M$804,'PAID MEDIA ADS'!$C$5:$C$804,$B54)+SUMIFS('LINKEDIN OUTREACH'!$N$5:$N$704,'LINKEDIN OUTREACH'!$C$5:$C$704,$B54))</f>
        <v/>
      </c>
      <c r="S54" s="67" t="n"/>
      <c r="T54" s="72" t="str">
        <f>IF($B54="","",COUNTIFS('LEAD MQL TRACKER'!$C$5:$C$1004,$B54,'LEAD MQL TRACKER'!$AD$5:$AD$1004,1)+SUMIFS('EMAIL MARKETING'!$R$5:$R$804,'EMAIL MARKETING'!$C$5:$C$804,$B54)+SUMIFS('PAID MEDIA ADS'!$N$5:$N$804,'PAID MEDIA ADS'!$C$5:$C$804,$B54)+SUMIFS('LINKEDIN OUTREACH'!$O$5:$O$704,'LINKEDIN OUTREACH'!$C$5:$C$704,$B54))</f>
        <v/>
      </c>
      <c r="U54" s="67" t="n"/>
      <c r="V54" s="72" t="str">
        <f>IF($B54="","",COUNTIFS('LEAD MQL TRACKER'!$C$5:$C$1004,$B54,'LEAD MQL TRACKER'!$AE$5:$AE$1004,1))</f>
        <v/>
      </c>
      <c r="W54" s="72" t="str">
        <f>IF($B54="","",COUNTIFS('LEAD MQL TRACKER'!$C$5:$C$1004,$B54,'LEAD MQL TRACKER'!$AC$5:$AC$1004,1)+SUMIFS('LINKEDIN OUTREACH'!$M$5:$M$704,'LINKEDIN OUTREACH'!$C$5:$C$704,$B54))</f>
        <v/>
      </c>
      <c r="X54" s="72" t="str">
        <f>IF($B54="","",SUMIFS('EMAIL MARKETING'!$O$5:$O$804,'EMAIL MARKETING'!$C$5:$C$804,$B54)+SUMIFS('LINKEDIN OUTREACH'!$K$5:$K$704,'LINKEDIN OUTREACH'!$C$5:$C$704,$B54))</f>
        <v/>
      </c>
      <c r="Y54" s="73" t="str">
        <f>IF(ISNUMBER($R54),IF($R54&gt;0,$T54/$R54,""),"")</f>
        <v/>
      </c>
      <c r="Z54" s="72" t="str">
        <f>IF(AND(ISNUMBER($P54),ISNUMBER($R54)),IF(AND($P54&gt;0,$R54&gt;0),$P54/$R54,""),"")</f>
        <v/>
      </c>
      <c r="AA54" s="71" t="str">
        <f>IF($B54="","",IF(OR($N54="Live",$N54="Optimizing",$N54="Paused",$N54="Completed"),IF(ISNUMBER($AI54),IF($AI54&gt;=1,"Ahead",IF($AI54&gt;=OnTrackPct,"On Track",IF($AI54&gt;=WatchPct,"Behind","At Risk"))),"No Target Set"),"Not Live"))</f>
        <v/>
      </c>
      <c r="AB54" s="65" t="n"/>
      <c r="AC54" s="65" t="n"/>
      <c r="AD54" s="65" t="n"/>
      <c r="AE54" s="67" t="n"/>
      <c r="AF54" s="67" t="n"/>
      <c r="AG54" s="63" t="n"/>
      <c r="AH54" s="74">
        <f>IF($N54="Completed",1,IF(AND(ISNUMBER($K54),ISNUMBER($L54)),IF($L54&gt;$K54,MIN(1,MAX(0.05,(ReportDate-$K54)/($L54-$K54))),1),1))</f>
        <v>1</v>
      </c>
      <c r="AI54" s="70" t="str">
        <f>IF($B54="","",IF(AND(ISNUMBER($Q54),$Q54&gt;0),$R54/($Q54*$AH54),""))</f>
        <v/>
      </c>
      <c r="AJ54" s="71" t="str">
        <f>IF(ISNUMBER($K54),YEAR($K54)&amp;"-"&amp;TEXT(MONTH($K54),"00"),"")</f>
        <v/>
      </c>
      <c r="AK54" s="71">
        <f>IF($B54="",0,IF(AND(OR(fClient="All",$A54=fClient),OR(fCampaign="All",$B54=fCampaign),OR(fTeam="All",$I54=fTeam),OR(fChannel="All",$H54=fChannel),OR(fCStatus="All",$N54=fCStatus)),1,0))</f>
        <v>0</v>
      </c>
      <c r="AL54" s="71">
        <f>IF($B54="",0,IF(AND(OR(fClient="All",$A54=fClient),OR(fCampaign="All",$B54=fCampaign),OR(fTeam="All",$I54=fTeam),OR(fChannel="All",$H54=fChannel)),1,0))</f>
        <v>0</v>
      </c>
      <c r="AM54" s="71">
        <f>IF(OR($N54="Live",$N54="Optimizing"),1,0)</f>
        <v>0</v>
      </c>
      <c r="AN54" s="71">
        <f>IF(OR($N54="Live",$N54="Optimizing",$N54="Paused",$N54="Completed"),1,0)</f>
        <v>0</v>
      </c>
      <c r="AO54" s="71">
        <f>IF(AND($AM54=1,ISNUMBER($L54),NOT(ISNUMBER($M54))),IF($L54&lt;ReportDate,1,0),0)</f>
        <v>0</v>
      </c>
      <c r="AP54" s="71">
        <f>IF($AM54=1,IF(ISNUMBER($AG54),IF(ReportDate-$AG54&gt;CampStaleDays,1,0),1),0)</f>
        <v>0</v>
      </c>
      <c r="AQ54" s="71">
        <f>IF(AND($AM54=1,OR($AA54="Behind",$AA54="At Risk")),1,0)</f>
        <v>0</v>
      </c>
      <c r="AR54" s="71">
        <f>IF(AND($AM54=1,OR($AA54="Ahead",$AA54="On Track")),1,0)</f>
        <v>0</v>
      </c>
      <c r="AS54" s="71">
        <f>IF(OR($AQ54=1,$AP54=1,$AO54=1),1,0)</f>
        <v>0</v>
      </c>
      <c r="AT54" s="71" t="str">
        <f>IF($AS54=1,TRIM(IF($AQ54=1,"Low performance. ","")&amp;IF($AP54=1,"No recent update. ","")&amp;IF($AO54=1,"Past planned end. ","")),"")</f>
        <v/>
      </c>
      <c r="AU54" s="71" t="str">
        <f>IF(AND($AS54=1,$AL54=1),ROW(),"")</f>
        <v/>
      </c>
      <c r="AV54" s="71" t="str">
        <f>IF(AND($AQ54=1,$AL54=1),ROW(),"")</f>
        <v/>
      </c>
      <c r="AW54" s="71" t="str">
        <f>IF(AND($AP54=1,$AL54=1),ROW(),"")</f>
        <v/>
      </c>
      <c r="AX54" s="71" t="str">
        <f>IF(AND($AR54=1,$AL54=1),ROW(),"")</f>
        <v/>
      </c>
      <c r="AY54" s="71">
        <f>IF(AND($B54&lt;&gt;"",$A54=TCL_Client),1,0)</f>
        <v>0</v>
      </c>
      <c r="AZ54" s="71" t="str">
        <f>IF($AY54=1,ROW(),"")</f>
        <v/>
      </c>
      <c r="BA54" s="71">
        <f>IF(AND($B54&lt;&gt;"",$A54=MECCA_Client),1,0)</f>
        <v>0</v>
      </c>
      <c r="BB54" s="71" t="str">
        <f>IF($BA54=1,ROW(),"")</f>
        <v/>
      </c>
    </row>
    <row r="55">
      <c r="A55" s="64" t="n"/>
      <c r="B55" s="65" t="n"/>
      <c r="C55" s="64" t="n"/>
      <c r="D55" s="64" t="n"/>
      <c r="E55" s="64" t="n"/>
      <c r="F55" s="65" t="n"/>
      <c r="G55" s="65" t="n"/>
      <c r="H55" s="64" t="n"/>
      <c r="I55" s="64" t="n"/>
      <c r="J55" s="65" t="n"/>
      <c r="K55" s="63" t="n"/>
      <c r="L55" s="63" t="n"/>
      <c r="M55" s="63" t="n"/>
      <c r="N55" s="64" t="n"/>
      <c r="O55" s="67" t="n"/>
      <c r="P55" s="72" t="str">
        <f>IF($B55="","",SUMIFS('PAID MEDIA ADS'!$G$5:$G$804,'PAID MEDIA ADS'!$C$5:$C$804,$B55))</f>
        <v/>
      </c>
      <c r="Q55" s="67" t="n"/>
      <c r="R55" s="72" t="str">
        <f>IF($B55="","",COUNTIFS('LEAD MQL TRACKER'!$C$5:$C$1004,$B55,'LEAD MQL TRACKER'!$AB$5:$AB$1004,1)+SUMIFS('EMAIL MARKETING'!$Q$5:$Q$804,'EMAIL MARKETING'!$C$5:$C$804,$B55)+SUMIFS('PAID MEDIA ADS'!$M$5:$M$804,'PAID MEDIA ADS'!$C$5:$C$804,$B55)+SUMIFS('LINKEDIN OUTREACH'!$N$5:$N$704,'LINKEDIN OUTREACH'!$C$5:$C$704,$B55))</f>
        <v/>
      </c>
      <c r="S55" s="67" t="n"/>
      <c r="T55" s="72" t="str">
        <f>IF($B55="","",COUNTIFS('LEAD MQL TRACKER'!$C$5:$C$1004,$B55,'LEAD MQL TRACKER'!$AD$5:$AD$1004,1)+SUMIFS('EMAIL MARKETING'!$R$5:$R$804,'EMAIL MARKETING'!$C$5:$C$804,$B55)+SUMIFS('PAID MEDIA ADS'!$N$5:$N$804,'PAID MEDIA ADS'!$C$5:$C$804,$B55)+SUMIFS('LINKEDIN OUTREACH'!$O$5:$O$704,'LINKEDIN OUTREACH'!$C$5:$C$704,$B55))</f>
        <v/>
      </c>
      <c r="U55" s="67" t="n"/>
      <c r="V55" s="72" t="str">
        <f>IF($B55="","",COUNTIFS('LEAD MQL TRACKER'!$C$5:$C$1004,$B55,'LEAD MQL TRACKER'!$AE$5:$AE$1004,1))</f>
        <v/>
      </c>
      <c r="W55" s="72" t="str">
        <f>IF($B55="","",COUNTIFS('LEAD MQL TRACKER'!$C$5:$C$1004,$B55,'LEAD MQL TRACKER'!$AC$5:$AC$1004,1)+SUMIFS('LINKEDIN OUTREACH'!$M$5:$M$704,'LINKEDIN OUTREACH'!$C$5:$C$704,$B55))</f>
        <v/>
      </c>
      <c r="X55" s="72" t="str">
        <f>IF($B55="","",SUMIFS('EMAIL MARKETING'!$O$5:$O$804,'EMAIL MARKETING'!$C$5:$C$804,$B55)+SUMIFS('LINKEDIN OUTREACH'!$K$5:$K$704,'LINKEDIN OUTREACH'!$C$5:$C$704,$B55))</f>
        <v/>
      </c>
      <c r="Y55" s="73" t="str">
        <f>IF(ISNUMBER($R55),IF($R55&gt;0,$T55/$R55,""),"")</f>
        <v/>
      </c>
      <c r="Z55" s="72" t="str">
        <f>IF(AND(ISNUMBER($P55),ISNUMBER($R55)),IF(AND($P55&gt;0,$R55&gt;0),$P55/$R55,""),"")</f>
        <v/>
      </c>
      <c r="AA55" s="71" t="str">
        <f>IF($B55="","",IF(OR($N55="Live",$N55="Optimizing",$N55="Paused",$N55="Completed"),IF(ISNUMBER($AI55),IF($AI55&gt;=1,"Ahead",IF($AI55&gt;=OnTrackPct,"On Track",IF($AI55&gt;=WatchPct,"Behind","At Risk"))),"No Target Set"),"Not Live"))</f>
        <v/>
      </c>
      <c r="AB55" s="65" t="n"/>
      <c r="AC55" s="65" t="n"/>
      <c r="AD55" s="65" t="n"/>
      <c r="AE55" s="67" t="n"/>
      <c r="AF55" s="67" t="n"/>
      <c r="AG55" s="63" t="n"/>
      <c r="AH55" s="74">
        <f>IF($N55="Completed",1,IF(AND(ISNUMBER($K55),ISNUMBER($L55)),IF($L55&gt;$K55,MIN(1,MAX(0.05,(ReportDate-$K55)/($L55-$K55))),1),1))</f>
        <v>1</v>
      </c>
      <c r="AI55" s="70" t="str">
        <f>IF($B55="","",IF(AND(ISNUMBER($Q55),$Q55&gt;0),$R55/($Q55*$AH55),""))</f>
        <v/>
      </c>
      <c r="AJ55" s="71" t="str">
        <f>IF(ISNUMBER($K55),YEAR($K55)&amp;"-"&amp;TEXT(MONTH($K55),"00"),"")</f>
        <v/>
      </c>
      <c r="AK55" s="71">
        <f>IF($B55="",0,IF(AND(OR(fClient="All",$A55=fClient),OR(fCampaign="All",$B55=fCampaign),OR(fTeam="All",$I55=fTeam),OR(fChannel="All",$H55=fChannel),OR(fCStatus="All",$N55=fCStatus)),1,0))</f>
        <v>0</v>
      </c>
      <c r="AL55" s="71">
        <f>IF($B55="",0,IF(AND(OR(fClient="All",$A55=fClient),OR(fCampaign="All",$B55=fCampaign),OR(fTeam="All",$I55=fTeam),OR(fChannel="All",$H55=fChannel)),1,0))</f>
        <v>0</v>
      </c>
      <c r="AM55" s="71">
        <f>IF(OR($N55="Live",$N55="Optimizing"),1,0)</f>
        <v>0</v>
      </c>
      <c r="AN55" s="71">
        <f>IF(OR($N55="Live",$N55="Optimizing",$N55="Paused",$N55="Completed"),1,0)</f>
        <v>0</v>
      </c>
      <c r="AO55" s="71">
        <f>IF(AND($AM55=1,ISNUMBER($L55),NOT(ISNUMBER($M55))),IF($L55&lt;ReportDate,1,0),0)</f>
        <v>0</v>
      </c>
      <c r="AP55" s="71">
        <f>IF($AM55=1,IF(ISNUMBER($AG55),IF(ReportDate-$AG55&gt;CampStaleDays,1,0),1),0)</f>
        <v>0</v>
      </c>
      <c r="AQ55" s="71">
        <f>IF(AND($AM55=1,OR($AA55="Behind",$AA55="At Risk")),1,0)</f>
        <v>0</v>
      </c>
      <c r="AR55" s="71">
        <f>IF(AND($AM55=1,OR($AA55="Ahead",$AA55="On Track")),1,0)</f>
        <v>0</v>
      </c>
      <c r="AS55" s="71">
        <f>IF(OR($AQ55=1,$AP55=1,$AO55=1),1,0)</f>
        <v>0</v>
      </c>
      <c r="AT55" s="71" t="str">
        <f>IF($AS55=1,TRIM(IF($AQ55=1,"Low performance. ","")&amp;IF($AP55=1,"No recent update. ","")&amp;IF($AO55=1,"Past planned end. ","")),"")</f>
        <v/>
      </c>
      <c r="AU55" s="71" t="str">
        <f>IF(AND($AS55=1,$AL55=1),ROW(),"")</f>
        <v/>
      </c>
      <c r="AV55" s="71" t="str">
        <f>IF(AND($AQ55=1,$AL55=1),ROW(),"")</f>
        <v/>
      </c>
      <c r="AW55" s="71" t="str">
        <f>IF(AND($AP55=1,$AL55=1),ROW(),"")</f>
        <v/>
      </c>
      <c r="AX55" s="71" t="str">
        <f>IF(AND($AR55=1,$AL55=1),ROW(),"")</f>
        <v/>
      </c>
      <c r="AY55" s="71">
        <f>IF(AND($B55&lt;&gt;"",$A55=TCL_Client),1,0)</f>
        <v>0</v>
      </c>
      <c r="AZ55" s="71" t="str">
        <f>IF($AY55=1,ROW(),"")</f>
        <v/>
      </c>
      <c r="BA55" s="71">
        <f>IF(AND($B55&lt;&gt;"",$A55=MECCA_Client),1,0)</f>
        <v>0</v>
      </c>
      <c r="BB55" s="71" t="str">
        <f>IF($BA55=1,ROW(),"")</f>
        <v/>
      </c>
    </row>
    <row r="56">
      <c r="A56" s="64" t="n"/>
      <c r="B56" s="65" t="n"/>
      <c r="C56" s="64" t="n"/>
      <c r="D56" s="64" t="n"/>
      <c r="E56" s="64" t="n"/>
      <c r="F56" s="65" t="n"/>
      <c r="G56" s="65" t="n"/>
      <c r="H56" s="64" t="n"/>
      <c r="I56" s="64" t="n"/>
      <c r="J56" s="65" t="n"/>
      <c r="K56" s="63" t="n"/>
      <c r="L56" s="63" t="n"/>
      <c r="M56" s="63" t="n"/>
      <c r="N56" s="64" t="n"/>
      <c r="O56" s="67" t="n"/>
      <c r="P56" s="72" t="str">
        <f>IF($B56="","",SUMIFS('PAID MEDIA ADS'!$G$5:$G$804,'PAID MEDIA ADS'!$C$5:$C$804,$B56))</f>
        <v/>
      </c>
      <c r="Q56" s="67" t="n"/>
      <c r="R56" s="72" t="str">
        <f>IF($B56="","",COUNTIFS('LEAD MQL TRACKER'!$C$5:$C$1004,$B56,'LEAD MQL TRACKER'!$AB$5:$AB$1004,1)+SUMIFS('EMAIL MARKETING'!$Q$5:$Q$804,'EMAIL MARKETING'!$C$5:$C$804,$B56)+SUMIFS('PAID MEDIA ADS'!$M$5:$M$804,'PAID MEDIA ADS'!$C$5:$C$804,$B56)+SUMIFS('LINKEDIN OUTREACH'!$N$5:$N$704,'LINKEDIN OUTREACH'!$C$5:$C$704,$B56))</f>
        <v/>
      </c>
      <c r="S56" s="67" t="n"/>
      <c r="T56" s="72" t="str">
        <f>IF($B56="","",COUNTIFS('LEAD MQL TRACKER'!$C$5:$C$1004,$B56,'LEAD MQL TRACKER'!$AD$5:$AD$1004,1)+SUMIFS('EMAIL MARKETING'!$R$5:$R$804,'EMAIL MARKETING'!$C$5:$C$804,$B56)+SUMIFS('PAID MEDIA ADS'!$N$5:$N$804,'PAID MEDIA ADS'!$C$5:$C$804,$B56)+SUMIFS('LINKEDIN OUTREACH'!$O$5:$O$704,'LINKEDIN OUTREACH'!$C$5:$C$704,$B56))</f>
        <v/>
      </c>
      <c r="U56" s="67" t="n"/>
      <c r="V56" s="72" t="str">
        <f>IF($B56="","",COUNTIFS('LEAD MQL TRACKER'!$C$5:$C$1004,$B56,'LEAD MQL TRACKER'!$AE$5:$AE$1004,1))</f>
        <v/>
      </c>
      <c r="W56" s="72" t="str">
        <f>IF($B56="","",COUNTIFS('LEAD MQL TRACKER'!$C$5:$C$1004,$B56,'LEAD MQL TRACKER'!$AC$5:$AC$1004,1)+SUMIFS('LINKEDIN OUTREACH'!$M$5:$M$704,'LINKEDIN OUTREACH'!$C$5:$C$704,$B56))</f>
        <v/>
      </c>
      <c r="X56" s="72" t="str">
        <f>IF($B56="","",SUMIFS('EMAIL MARKETING'!$O$5:$O$804,'EMAIL MARKETING'!$C$5:$C$804,$B56)+SUMIFS('LINKEDIN OUTREACH'!$K$5:$K$704,'LINKEDIN OUTREACH'!$C$5:$C$704,$B56))</f>
        <v/>
      </c>
      <c r="Y56" s="73" t="str">
        <f>IF(ISNUMBER($R56),IF($R56&gt;0,$T56/$R56,""),"")</f>
        <v/>
      </c>
      <c r="Z56" s="72" t="str">
        <f>IF(AND(ISNUMBER($P56),ISNUMBER($R56)),IF(AND($P56&gt;0,$R56&gt;0),$P56/$R56,""),"")</f>
        <v/>
      </c>
      <c r="AA56" s="71" t="str">
        <f>IF($B56="","",IF(OR($N56="Live",$N56="Optimizing",$N56="Paused",$N56="Completed"),IF(ISNUMBER($AI56),IF($AI56&gt;=1,"Ahead",IF($AI56&gt;=OnTrackPct,"On Track",IF($AI56&gt;=WatchPct,"Behind","At Risk"))),"No Target Set"),"Not Live"))</f>
        <v/>
      </c>
      <c r="AB56" s="65" t="n"/>
      <c r="AC56" s="65" t="n"/>
      <c r="AD56" s="65" t="n"/>
      <c r="AE56" s="67" t="n"/>
      <c r="AF56" s="67" t="n"/>
      <c r="AG56" s="63" t="n"/>
      <c r="AH56" s="74">
        <f>IF($N56="Completed",1,IF(AND(ISNUMBER($K56),ISNUMBER($L56)),IF($L56&gt;$K56,MIN(1,MAX(0.05,(ReportDate-$K56)/($L56-$K56))),1),1))</f>
        <v>1</v>
      </c>
      <c r="AI56" s="70" t="str">
        <f>IF($B56="","",IF(AND(ISNUMBER($Q56),$Q56&gt;0),$R56/($Q56*$AH56),""))</f>
        <v/>
      </c>
      <c r="AJ56" s="71" t="str">
        <f>IF(ISNUMBER($K56),YEAR($K56)&amp;"-"&amp;TEXT(MONTH($K56),"00"),"")</f>
        <v/>
      </c>
      <c r="AK56" s="71">
        <f>IF($B56="",0,IF(AND(OR(fClient="All",$A56=fClient),OR(fCampaign="All",$B56=fCampaign),OR(fTeam="All",$I56=fTeam),OR(fChannel="All",$H56=fChannel),OR(fCStatus="All",$N56=fCStatus)),1,0))</f>
        <v>0</v>
      </c>
      <c r="AL56" s="71">
        <f>IF($B56="",0,IF(AND(OR(fClient="All",$A56=fClient),OR(fCampaign="All",$B56=fCampaign),OR(fTeam="All",$I56=fTeam),OR(fChannel="All",$H56=fChannel)),1,0))</f>
        <v>0</v>
      </c>
      <c r="AM56" s="71">
        <f>IF(OR($N56="Live",$N56="Optimizing"),1,0)</f>
        <v>0</v>
      </c>
      <c r="AN56" s="71">
        <f>IF(OR($N56="Live",$N56="Optimizing",$N56="Paused",$N56="Completed"),1,0)</f>
        <v>0</v>
      </c>
      <c r="AO56" s="71">
        <f>IF(AND($AM56=1,ISNUMBER($L56),NOT(ISNUMBER($M56))),IF($L56&lt;ReportDate,1,0),0)</f>
        <v>0</v>
      </c>
      <c r="AP56" s="71">
        <f>IF($AM56=1,IF(ISNUMBER($AG56),IF(ReportDate-$AG56&gt;CampStaleDays,1,0),1),0)</f>
        <v>0</v>
      </c>
      <c r="AQ56" s="71">
        <f>IF(AND($AM56=1,OR($AA56="Behind",$AA56="At Risk")),1,0)</f>
        <v>0</v>
      </c>
      <c r="AR56" s="71">
        <f>IF(AND($AM56=1,OR($AA56="Ahead",$AA56="On Track")),1,0)</f>
        <v>0</v>
      </c>
      <c r="AS56" s="71">
        <f>IF(OR($AQ56=1,$AP56=1,$AO56=1),1,0)</f>
        <v>0</v>
      </c>
      <c r="AT56" s="71" t="str">
        <f>IF($AS56=1,TRIM(IF($AQ56=1,"Low performance. ","")&amp;IF($AP56=1,"No recent update. ","")&amp;IF($AO56=1,"Past planned end. ","")),"")</f>
        <v/>
      </c>
      <c r="AU56" s="71" t="str">
        <f>IF(AND($AS56=1,$AL56=1),ROW(),"")</f>
        <v/>
      </c>
      <c r="AV56" s="71" t="str">
        <f>IF(AND($AQ56=1,$AL56=1),ROW(),"")</f>
        <v/>
      </c>
      <c r="AW56" s="71" t="str">
        <f>IF(AND($AP56=1,$AL56=1),ROW(),"")</f>
        <v/>
      </c>
      <c r="AX56" s="71" t="str">
        <f>IF(AND($AR56=1,$AL56=1),ROW(),"")</f>
        <v/>
      </c>
      <c r="AY56" s="71">
        <f>IF(AND($B56&lt;&gt;"",$A56=TCL_Client),1,0)</f>
        <v>0</v>
      </c>
      <c r="AZ56" s="71" t="str">
        <f>IF($AY56=1,ROW(),"")</f>
        <v/>
      </c>
      <c r="BA56" s="71">
        <f>IF(AND($B56&lt;&gt;"",$A56=MECCA_Client),1,0)</f>
        <v>0</v>
      </c>
      <c r="BB56" s="71" t="str">
        <f>IF($BA56=1,ROW(),"")</f>
        <v/>
      </c>
    </row>
    <row r="57">
      <c r="A57" s="64" t="n"/>
      <c r="B57" s="65" t="n"/>
      <c r="C57" s="64" t="n"/>
      <c r="D57" s="64" t="n"/>
      <c r="E57" s="64" t="n"/>
      <c r="F57" s="65" t="n"/>
      <c r="G57" s="65" t="n"/>
      <c r="H57" s="64" t="n"/>
      <c r="I57" s="64" t="n"/>
      <c r="J57" s="65" t="n"/>
      <c r="K57" s="63" t="n"/>
      <c r="L57" s="63" t="n"/>
      <c r="M57" s="63" t="n"/>
      <c r="N57" s="64" t="n"/>
      <c r="O57" s="67" t="n"/>
      <c r="P57" s="72" t="str">
        <f>IF($B57="","",SUMIFS('PAID MEDIA ADS'!$G$5:$G$804,'PAID MEDIA ADS'!$C$5:$C$804,$B57))</f>
        <v/>
      </c>
      <c r="Q57" s="67" t="n"/>
      <c r="R57" s="72" t="str">
        <f>IF($B57="","",COUNTIFS('LEAD MQL TRACKER'!$C$5:$C$1004,$B57,'LEAD MQL TRACKER'!$AB$5:$AB$1004,1)+SUMIFS('EMAIL MARKETING'!$Q$5:$Q$804,'EMAIL MARKETING'!$C$5:$C$804,$B57)+SUMIFS('PAID MEDIA ADS'!$M$5:$M$804,'PAID MEDIA ADS'!$C$5:$C$804,$B57)+SUMIFS('LINKEDIN OUTREACH'!$N$5:$N$704,'LINKEDIN OUTREACH'!$C$5:$C$704,$B57))</f>
        <v/>
      </c>
      <c r="S57" s="67" t="n"/>
      <c r="T57" s="72" t="str">
        <f>IF($B57="","",COUNTIFS('LEAD MQL TRACKER'!$C$5:$C$1004,$B57,'LEAD MQL TRACKER'!$AD$5:$AD$1004,1)+SUMIFS('EMAIL MARKETING'!$R$5:$R$804,'EMAIL MARKETING'!$C$5:$C$804,$B57)+SUMIFS('PAID MEDIA ADS'!$N$5:$N$804,'PAID MEDIA ADS'!$C$5:$C$804,$B57)+SUMIFS('LINKEDIN OUTREACH'!$O$5:$O$704,'LINKEDIN OUTREACH'!$C$5:$C$704,$B57))</f>
        <v/>
      </c>
      <c r="U57" s="67" t="n"/>
      <c r="V57" s="72" t="str">
        <f>IF($B57="","",COUNTIFS('LEAD MQL TRACKER'!$C$5:$C$1004,$B57,'LEAD MQL TRACKER'!$AE$5:$AE$1004,1))</f>
        <v/>
      </c>
      <c r="W57" s="72" t="str">
        <f>IF($B57="","",COUNTIFS('LEAD MQL TRACKER'!$C$5:$C$1004,$B57,'LEAD MQL TRACKER'!$AC$5:$AC$1004,1)+SUMIFS('LINKEDIN OUTREACH'!$M$5:$M$704,'LINKEDIN OUTREACH'!$C$5:$C$704,$B57))</f>
        <v/>
      </c>
      <c r="X57" s="72" t="str">
        <f>IF($B57="","",SUMIFS('EMAIL MARKETING'!$O$5:$O$804,'EMAIL MARKETING'!$C$5:$C$804,$B57)+SUMIFS('LINKEDIN OUTREACH'!$K$5:$K$704,'LINKEDIN OUTREACH'!$C$5:$C$704,$B57))</f>
        <v/>
      </c>
      <c r="Y57" s="73" t="str">
        <f>IF(ISNUMBER($R57),IF($R57&gt;0,$T57/$R57,""),"")</f>
        <v/>
      </c>
      <c r="Z57" s="72" t="str">
        <f>IF(AND(ISNUMBER($P57),ISNUMBER($R57)),IF(AND($P57&gt;0,$R57&gt;0),$P57/$R57,""),"")</f>
        <v/>
      </c>
      <c r="AA57" s="71" t="str">
        <f>IF($B57="","",IF(OR($N57="Live",$N57="Optimizing",$N57="Paused",$N57="Completed"),IF(ISNUMBER($AI57),IF($AI57&gt;=1,"Ahead",IF($AI57&gt;=OnTrackPct,"On Track",IF($AI57&gt;=WatchPct,"Behind","At Risk"))),"No Target Set"),"Not Live"))</f>
        <v/>
      </c>
      <c r="AB57" s="65" t="n"/>
      <c r="AC57" s="65" t="n"/>
      <c r="AD57" s="65" t="n"/>
      <c r="AE57" s="67" t="n"/>
      <c r="AF57" s="67" t="n"/>
      <c r="AG57" s="63" t="n"/>
      <c r="AH57" s="74">
        <f>IF($N57="Completed",1,IF(AND(ISNUMBER($K57),ISNUMBER($L57)),IF($L57&gt;$K57,MIN(1,MAX(0.05,(ReportDate-$K57)/($L57-$K57))),1),1))</f>
        <v>1</v>
      </c>
      <c r="AI57" s="70" t="str">
        <f>IF($B57="","",IF(AND(ISNUMBER($Q57),$Q57&gt;0),$R57/($Q57*$AH57),""))</f>
        <v/>
      </c>
      <c r="AJ57" s="71" t="str">
        <f>IF(ISNUMBER($K57),YEAR($K57)&amp;"-"&amp;TEXT(MONTH($K57),"00"),"")</f>
        <v/>
      </c>
      <c r="AK57" s="71">
        <f>IF($B57="",0,IF(AND(OR(fClient="All",$A57=fClient),OR(fCampaign="All",$B57=fCampaign),OR(fTeam="All",$I57=fTeam),OR(fChannel="All",$H57=fChannel),OR(fCStatus="All",$N57=fCStatus)),1,0))</f>
        <v>0</v>
      </c>
      <c r="AL57" s="71">
        <f>IF($B57="",0,IF(AND(OR(fClient="All",$A57=fClient),OR(fCampaign="All",$B57=fCampaign),OR(fTeam="All",$I57=fTeam),OR(fChannel="All",$H57=fChannel)),1,0))</f>
        <v>0</v>
      </c>
      <c r="AM57" s="71">
        <f>IF(OR($N57="Live",$N57="Optimizing"),1,0)</f>
        <v>0</v>
      </c>
      <c r="AN57" s="71">
        <f>IF(OR($N57="Live",$N57="Optimizing",$N57="Paused",$N57="Completed"),1,0)</f>
        <v>0</v>
      </c>
      <c r="AO57" s="71">
        <f>IF(AND($AM57=1,ISNUMBER($L57),NOT(ISNUMBER($M57))),IF($L57&lt;ReportDate,1,0),0)</f>
        <v>0</v>
      </c>
      <c r="AP57" s="71">
        <f>IF($AM57=1,IF(ISNUMBER($AG57),IF(ReportDate-$AG57&gt;CampStaleDays,1,0),1),0)</f>
        <v>0</v>
      </c>
      <c r="AQ57" s="71">
        <f>IF(AND($AM57=1,OR($AA57="Behind",$AA57="At Risk")),1,0)</f>
        <v>0</v>
      </c>
      <c r="AR57" s="71">
        <f>IF(AND($AM57=1,OR($AA57="Ahead",$AA57="On Track")),1,0)</f>
        <v>0</v>
      </c>
      <c r="AS57" s="71">
        <f>IF(OR($AQ57=1,$AP57=1,$AO57=1),1,0)</f>
        <v>0</v>
      </c>
      <c r="AT57" s="71" t="str">
        <f>IF($AS57=1,TRIM(IF($AQ57=1,"Low performance. ","")&amp;IF($AP57=1,"No recent update. ","")&amp;IF($AO57=1,"Past planned end. ","")),"")</f>
        <v/>
      </c>
      <c r="AU57" s="71" t="str">
        <f>IF(AND($AS57=1,$AL57=1),ROW(),"")</f>
        <v/>
      </c>
      <c r="AV57" s="71" t="str">
        <f>IF(AND($AQ57=1,$AL57=1),ROW(),"")</f>
        <v/>
      </c>
      <c r="AW57" s="71" t="str">
        <f>IF(AND($AP57=1,$AL57=1),ROW(),"")</f>
        <v/>
      </c>
      <c r="AX57" s="71" t="str">
        <f>IF(AND($AR57=1,$AL57=1),ROW(),"")</f>
        <v/>
      </c>
      <c r="AY57" s="71">
        <f>IF(AND($B57&lt;&gt;"",$A57=TCL_Client),1,0)</f>
        <v>0</v>
      </c>
      <c r="AZ57" s="71" t="str">
        <f>IF($AY57=1,ROW(),"")</f>
        <v/>
      </c>
      <c r="BA57" s="71">
        <f>IF(AND($B57&lt;&gt;"",$A57=MECCA_Client),1,0)</f>
        <v>0</v>
      </c>
      <c r="BB57" s="71" t="str">
        <f>IF($BA57=1,ROW(),"")</f>
        <v/>
      </c>
    </row>
    <row r="58">
      <c r="A58" s="64" t="n"/>
      <c r="B58" s="65" t="n"/>
      <c r="C58" s="64" t="n"/>
      <c r="D58" s="64" t="n"/>
      <c r="E58" s="64" t="n"/>
      <c r="F58" s="65" t="n"/>
      <c r="G58" s="65" t="n"/>
      <c r="H58" s="64" t="n"/>
      <c r="I58" s="64" t="n"/>
      <c r="J58" s="65" t="n"/>
      <c r="K58" s="63" t="n"/>
      <c r="L58" s="63" t="n"/>
      <c r="M58" s="63" t="n"/>
      <c r="N58" s="64" t="n"/>
      <c r="O58" s="67" t="n"/>
      <c r="P58" s="72" t="str">
        <f>IF($B58="","",SUMIFS('PAID MEDIA ADS'!$G$5:$G$804,'PAID MEDIA ADS'!$C$5:$C$804,$B58))</f>
        <v/>
      </c>
      <c r="Q58" s="67" t="n"/>
      <c r="R58" s="72" t="str">
        <f>IF($B58="","",COUNTIFS('LEAD MQL TRACKER'!$C$5:$C$1004,$B58,'LEAD MQL TRACKER'!$AB$5:$AB$1004,1)+SUMIFS('EMAIL MARKETING'!$Q$5:$Q$804,'EMAIL MARKETING'!$C$5:$C$804,$B58)+SUMIFS('PAID MEDIA ADS'!$M$5:$M$804,'PAID MEDIA ADS'!$C$5:$C$804,$B58)+SUMIFS('LINKEDIN OUTREACH'!$N$5:$N$704,'LINKEDIN OUTREACH'!$C$5:$C$704,$B58))</f>
        <v/>
      </c>
      <c r="S58" s="67" t="n"/>
      <c r="T58" s="72" t="str">
        <f>IF($B58="","",COUNTIFS('LEAD MQL TRACKER'!$C$5:$C$1004,$B58,'LEAD MQL TRACKER'!$AD$5:$AD$1004,1)+SUMIFS('EMAIL MARKETING'!$R$5:$R$804,'EMAIL MARKETING'!$C$5:$C$804,$B58)+SUMIFS('PAID MEDIA ADS'!$N$5:$N$804,'PAID MEDIA ADS'!$C$5:$C$804,$B58)+SUMIFS('LINKEDIN OUTREACH'!$O$5:$O$704,'LINKEDIN OUTREACH'!$C$5:$C$704,$B58))</f>
        <v/>
      </c>
      <c r="U58" s="67" t="n"/>
      <c r="V58" s="72" t="str">
        <f>IF($B58="","",COUNTIFS('LEAD MQL TRACKER'!$C$5:$C$1004,$B58,'LEAD MQL TRACKER'!$AE$5:$AE$1004,1))</f>
        <v/>
      </c>
      <c r="W58" s="72" t="str">
        <f>IF($B58="","",COUNTIFS('LEAD MQL TRACKER'!$C$5:$C$1004,$B58,'LEAD MQL TRACKER'!$AC$5:$AC$1004,1)+SUMIFS('LINKEDIN OUTREACH'!$M$5:$M$704,'LINKEDIN OUTREACH'!$C$5:$C$704,$B58))</f>
        <v/>
      </c>
      <c r="X58" s="72" t="str">
        <f>IF($B58="","",SUMIFS('EMAIL MARKETING'!$O$5:$O$804,'EMAIL MARKETING'!$C$5:$C$804,$B58)+SUMIFS('LINKEDIN OUTREACH'!$K$5:$K$704,'LINKEDIN OUTREACH'!$C$5:$C$704,$B58))</f>
        <v/>
      </c>
      <c r="Y58" s="73" t="str">
        <f>IF(ISNUMBER($R58),IF($R58&gt;0,$T58/$R58,""),"")</f>
        <v/>
      </c>
      <c r="Z58" s="72" t="str">
        <f>IF(AND(ISNUMBER($P58),ISNUMBER($R58)),IF(AND($P58&gt;0,$R58&gt;0),$P58/$R58,""),"")</f>
        <v/>
      </c>
      <c r="AA58" s="71" t="str">
        <f>IF($B58="","",IF(OR($N58="Live",$N58="Optimizing",$N58="Paused",$N58="Completed"),IF(ISNUMBER($AI58),IF($AI58&gt;=1,"Ahead",IF($AI58&gt;=OnTrackPct,"On Track",IF($AI58&gt;=WatchPct,"Behind","At Risk"))),"No Target Set"),"Not Live"))</f>
        <v/>
      </c>
      <c r="AB58" s="65" t="n"/>
      <c r="AC58" s="65" t="n"/>
      <c r="AD58" s="65" t="n"/>
      <c r="AE58" s="67" t="n"/>
      <c r="AF58" s="67" t="n"/>
      <c r="AG58" s="63" t="n"/>
      <c r="AH58" s="74">
        <f>IF($N58="Completed",1,IF(AND(ISNUMBER($K58),ISNUMBER($L58)),IF($L58&gt;$K58,MIN(1,MAX(0.05,(ReportDate-$K58)/($L58-$K58))),1),1))</f>
        <v>1</v>
      </c>
      <c r="AI58" s="70" t="str">
        <f>IF($B58="","",IF(AND(ISNUMBER($Q58),$Q58&gt;0),$R58/($Q58*$AH58),""))</f>
        <v/>
      </c>
      <c r="AJ58" s="71" t="str">
        <f>IF(ISNUMBER($K58),YEAR($K58)&amp;"-"&amp;TEXT(MONTH($K58),"00"),"")</f>
        <v/>
      </c>
      <c r="AK58" s="71">
        <f>IF($B58="",0,IF(AND(OR(fClient="All",$A58=fClient),OR(fCampaign="All",$B58=fCampaign),OR(fTeam="All",$I58=fTeam),OR(fChannel="All",$H58=fChannel),OR(fCStatus="All",$N58=fCStatus)),1,0))</f>
        <v>0</v>
      </c>
      <c r="AL58" s="71">
        <f>IF($B58="",0,IF(AND(OR(fClient="All",$A58=fClient),OR(fCampaign="All",$B58=fCampaign),OR(fTeam="All",$I58=fTeam),OR(fChannel="All",$H58=fChannel)),1,0))</f>
        <v>0</v>
      </c>
      <c r="AM58" s="71">
        <f>IF(OR($N58="Live",$N58="Optimizing"),1,0)</f>
        <v>0</v>
      </c>
      <c r="AN58" s="71">
        <f>IF(OR($N58="Live",$N58="Optimizing",$N58="Paused",$N58="Completed"),1,0)</f>
        <v>0</v>
      </c>
      <c r="AO58" s="71">
        <f>IF(AND($AM58=1,ISNUMBER($L58),NOT(ISNUMBER($M58))),IF($L58&lt;ReportDate,1,0),0)</f>
        <v>0</v>
      </c>
      <c r="AP58" s="71">
        <f>IF($AM58=1,IF(ISNUMBER($AG58),IF(ReportDate-$AG58&gt;CampStaleDays,1,0),1),0)</f>
        <v>0</v>
      </c>
      <c r="AQ58" s="71">
        <f>IF(AND($AM58=1,OR($AA58="Behind",$AA58="At Risk")),1,0)</f>
        <v>0</v>
      </c>
      <c r="AR58" s="71">
        <f>IF(AND($AM58=1,OR($AA58="Ahead",$AA58="On Track")),1,0)</f>
        <v>0</v>
      </c>
      <c r="AS58" s="71">
        <f>IF(OR($AQ58=1,$AP58=1,$AO58=1),1,0)</f>
        <v>0</v>
      </c>
      <c r="AT58" s="71" t="str">
        <f>IF($AS58=1,TRIM(IF($AQ58=1,"Low performance. ","")&amp;IF($AP58=1,"No recent update. ","")&amp;IF($AO58=1,"Past planned end. ","")),"")</f>
        <v/>
      </c>
      <c r="AU58" s="71" t="str">
        <f>IF(AND($AS58=1,$AL58=1),ROW(),"")</f>
        <v/>
      </c>
      <c r="AV58" s="71" t="str">
        <f>IF(AND($AQ58=1,$AL58=1),ROW(),"")</f>
        <v/>
      </c>
      <c r="AW58" s="71" t="str">
        <f>IF(AND($AP58=1,$AL58=1),ROW(),"")</f>
        <v/>
      </c>
      <c r="AX58" s="71" t="str">
        <f>IF(AND($AR58=1,$AL58=1),ROW(),"")</f>
        <v/>
      </c>
      <c r="AY58" s="71">
        <f>IF(AND($B58&lt;&gt;"",$A58=TCL_Client),1,0)</f>
        <v>0</v>
      </c>
      <c r="AZ58" s="71" t="str">
        <f>IF($AY58=1,ROW(),"")</f>
        <v/>
      </c>
      <c r="BA58" s="71">
        <f>IF(AND($B58&lt;&gt;"",$A58=MECCA_Client),1,0)</f>
        <v>0</v>
      </c>
      <c r="BB58" s="71" t="str">
        <f>IF($BA58=1,ROW(),"")</f>
        <v/>
      </c>
    </row>
    <row r="59">
      <c r="A59" s="64" t="n"/>
      <c r="B59" s="65" t="n"/>
      <c r="C59" s="64" t="n"/>
      <c r="D59" s="64" t="n"/>
      <c r="E59" s="64" t="n"/>
      <c r="F59" s="65" t="n"/>
      <c r="G59" s="65" t="n"/>
      <c r="H59" s="64" t="n"/>
      <c r="I59" s="64" t="n"/>
      <c r="J59" s="65" t="n"/>
      <c r="K59" s="63" t="n"/>
      <c r="L59" s="63" t="n"/>
      <c r="M59" s="63" t="n"/>
      <c r="N59" s="64" t="n"/>
      <c r="O59" s="67" t="n"/>
      <c r="P59" s="72" t="str">
        <f>IF($B59="","",SUMIFS('PAID MEDIA ADS'!$G$5:$G$804,'PAID MEDIA ADS'!$C$5:$C$804,$B59))</f>
        <v/>
      </c>
      <c r="Q59" s="67" t="n"/>
      <c r="R59" s="72" t="str">
        <f>IF($B59="","",COUNTIFS('LEAD MQL TRACKER'!$C$5:$C$1004,$B59,'LEAD MQL TRACKER'!$AB$5:$AB$1004,1)+SUMIFS('EMAIL MARKETING'!$Q$5:$Q$804,'EMAIL MARKETING'!$C$5:$C$804,$B59)+SUMIFS('PAID MEDIA ADS'!$M$5:$M$804,'PAID MEDIA ADS'!$C$5:$C$804,$B59)+SUMIFS('LINKEDIN OUTREACH'!$N$5:$N$704,'LINKEDIN OUTREACH'!$C$5:$C$704,$B59))</f>
        <v/>
      </c>
      <c r="S59" s="67" t="n"/>
      <c r="T59" s="72" t="str">
        <f>IF($B59="","",COUNTIFS('LEAD MQL TRACKER'!$C$5:$C$1004,$B59,'LEAD MQL TRACKER'!$AD$5:$AD$1004,1)+SUMIFS('EMAIL MARKETING'!$R$5:$R$804,'EMAIL MARKETING'!$C$5:$C$804,$B59)+SUMIFS('PAID MEDIA ADS'!$N$5:$N$804,'PAID MEDIA ADS'!$C$5:$C$804,$B59)+SUMIFS('LINKEDIN OUTREACH'!$O$5:$O$704,'LINKEDIN OUTREACH'!$C$5:$C$704,$B59))</f>
        <v/>
      </c>
      <c r="U59" s="67" t="n"/>
      <c r="V59" s="72" t="str">
        <f>IF($B59="","",COUNTIFS('LEAD MQL TRACKER'!$C$5:$C$1004,$B59,'LEAD MQL TRACKER'!$AE$5:$AE$1004,1))</f>
        <v/>
      </c>
      <c r="W59" s="72" t="str">
        <f>IF($B59="","",COUNTIFS('LEAD MQL TRACKER'!$C$5:$C$1004,$B59,'LEAD MQL TRACKER'!$AC$5:$AC$1004,1)+SUMIFS('LINKEDIN OUTREACH'!$M$5:$M$704,'LINKEDIN OUTREACH'!$C$5:$C$704,$B59))</f>
        <v/>
      </c>
      <c r="X59" s="72" t="str">
        <f>IF($B59="","",SUMIFS('EMAIL MARKETING'!$O$5:$O$804,'EMAIL MARKETING'!$C$5:$C$804,$B59)+SUMIFS('LINKEDIN OUTREACH'!$K$5:$K$704,'LINKEDIN OUTREACH'!$C$5:$C$704,$B59))</f>
        <v/>
      </c>
      <c r="Y59" s="73" t="str">
        <f>IF(ISNUMBER($R59),IF($R59&gt;0,$T59/$R59,""),"")</f>
        <v/>
      </c>
      <c r="Z59" s="72" t="str">
        <f>IF(AND(ISNUMBER($P59),ISNUMBER($R59)),IF(AND($P59&gt;0,$R59&gt;0),$P59/$R59,""),"")</f>
        <v/>
      </c>
      <c r="AA59" s="71" t="str">
        <f>IF($B59="","",IF(OR($N59="Live",$N59="Optimizing",$N59="Paused",$N59="Completed"),IF(ISNUMBER($AI59),IF($AI59&gt;=1,"Ahead",IF($AI59&gt;=OnTrackPct,"On Track",IF($AI59&gt;=WatchPct,"Behind","At Risk"))),"No Target Set"),"Not Live"))</f>
        <v/>
      </c>
      <c r="AB59" s="65" t="n"/>
      <c r="AC59" s="65" t="n"/>
      <c r="AD59" s="65" t="n"/>
      <c r="AE59" s="67" t="n"/>
      <c r="AF59" s="67" t="n"/>
      <c r="AG59" s="63" t="n"/>
      <c r="AH59" s="74">
        <f>IF($N59="Completed",1,IF(AND(ISNUMBER($K59),ISNUMBER($L59)),IF($L59&gt;$K59,MIN(1,MAX(0.05,(ReportDate-$K59)/($L59-$K59))),1),1))</f>
        <v>1</v>
      </c>
      <c r="AI59" s="70" t="str">
        <f>IF($B59="","",IF(AND(ISNUMBER($Q59),$Q59&gt;0),$R59/($Q59*$AH59),""))</f>
        <v/>
      </c>
      <c r="AJ59" s="71" t="str">
        <f>IF(ISNUMBER($K59),YEAR($K59)&amp;"-"&amp;TEXT(MONTH($K59),"00"),"")</f>
        <v/>
      </c>
      <c r="AK59" s="71">
        <f>IF($B59="",0,IF(AND(OR(fClient="All",$A59=fClient),OR(fCampaign="All",$B59=fCampaign),OR(fTeam="All",$I59=fTeam),OR(fChannel="All",$H59=fChannel),OR(fCStatus="All",$N59=fCStatus)),1,0))</f>
        <v>0</v>
      </c>
      <c r="AL59" s="71">
        <f>IF($B59="",0,IF(AND(OR(fClient="All",$A59=fClient),OR(fCampaign="All",$B59=fCampaign),OR(fTeam="All",$I59=fTeam),OR(fChannel="All",$H59=fChannel)),1,0))</f>
        <v>0</v>
      </c>
      <c r="AM59" s="71">
        <f>IF(OR($N59="Live",$N59="Optimizing"),1,0)</f>
        <v>0</v>
      </c>
      <c r="AN59" s="71">
        <f>IF(OR($N59="Live",$N59="Optimizing",$N59="Paused",$N59="Completed"),1,0)</f>
        <v>0</v>
      </c>
      <c r="AO59" s="71">
        <f>IF(AND($AM59=1,ISNUMBER($L59),NOT(ISNUMBER($M59))),IF($L59&lt;ReportDate,1,0),0)</f>
        <v>0</v>
      </c>
      <c r="AP59" s="71">
        <f>IF($AM59=1,IF(ISNUMBER($AG59),IF(ReportDate-$AG59&gt;CampStaleDays,1,0),1),0)</f>
        <v>0</v>
      </c>
      <c r="AQ59" s="71">
        <f>IF(AND($AM59=1,OR($AA59="Behind",$AA59="At Risk")),1,0)</f>
        <v>0</v>
      </c>
      <c r="AR59" s="71">
        <f>IF(AND($AM59=1,OR($AA59="Ahead",$AA59="On Track")),1,0)</f>
        <v>0</v>
      </c>
      <c r="AS59" s="71">
        <f>IF(OR($AQ59=1,$AP59=1,$AO59=1),1,0)</f>
        <v>0</v>
      </c>
      <c r="AT59" s="71" t="str">
        <f>IF($AS59=1,TRIM(IF($AQ59=1,"Low performance. ","")&amp;IF($AP59=1,"No recent update. ","")&amp;IF($AO59=1,"Past planned end. ","")),"")</f>
        <v/>
      </c>
      <c r="AU59" s="71" t="str">
        <f>IF(AND($AS59=1,$AL59=1),ROW(),"")</f>
        <v/>
      </c>
      <c r="AV59" s="71" t="str">
        <f>IF(AND($AQ59=1,$AL59=1),ROW(),"")</f>
        <v/>
      </c>
      <c r="AW59" s="71" t="str">
        <f>IF(AND($AP59=1,$AL59=1),ROW(),"")</f>
        <v/>
      </c>
      <c r="AX59" s="71" t="str">
        <f>IF(AND($AR59=1,$AL59=1),ROW(),"")</f>
        <v/>
      </c>
      <c r="AY59" s="71">
        <f>IF(AND($B59&lt;&gt;"",$A59=TCL_Client),1,0)</f>
        <v>0</v>
      </c>
      <c r="AZ59" s="71" t="str">
        <f>IF($AY59=1,ROW(),"")</f>
        <v/>
      </c>
      <c r="BA59" s="71">
        <f>IF(AND($B59&lt;&gt;"",$A59=MECCA_Client),1,0)</f>
        <v>0</v>
      </c>
      <c r="BB59" s="71" t="str">
        <f>IF($BA59=1,ROW(),"")</f>
        <v/>
      </c>
    </row>
    <row r="60">
      <c r="A60" s="64" t="n"/>
      <c r="B60" s="65" t="n"/>
      <c r="C60" s="64" t="n"/>
      <c r="D60" s="64" t="n"/>
      <c r="E60" s="64" t="n"/>
      <c r="F60" s="65" t="n"/>
      <c r="G60" s="65" t="n"/>
      <c r="H60" s="64" t="n"/>
      <c r="I60" s="64" t="n"/>
      <c r="J60" s="65" t="n"/>
      <c r="K60" s="63" t="n"/>
      <c r="L60" s="63" t="n"/>
      <c r="M60" s="63" t="n"/>
      <c r="N60" s="64" t="n"/>
      <c r="O60" s="67" t="n"/>
      <c r="P60" s="72" t="str">
        <f>IF($B60="","",SUMIFS('PAID MEDIA ADS'!$G$5:$G$804,'PAID MEDIA ADS'!$C$5:$C$804,$B60))</f>
        <v/>
      </c>
      <c r="Q60" s="67" t="n"/>
      <c r="R60" s="72" t="str">
        <f>IF($B60="","",COUNTIFS('LEAD MQL TRACKER'!$C$5:$C$1004,$B60,'LEAD MQL TRACKER'!$AB$5:$AB$1004,1)+SUMIFS('EMAIL MARKETING'!$Q$5:$Q$804,'EMAIL MARKETING'!$C$5:$C$804,$B60)+SUMIFS('PAID MEDIA ADS'!$M$5:$M$804,'PAID MEDIA ADS'!$C$5:$C$804,$B60)+SUMIFS('LINKEDIN OUTREACH'!$N$5:$N$704,'LINKEDIN OUTREACH'!$C$5:$C$704,$B60))</f>
        <v/>
      </c>
      <c r="S60" s="67" t="n"/>
      <c r="T60" s="72" t="str">
        <f>IF($B60="","",COUNTIFS('LEAD MQL TRACKER'!$C$5:$C$1004,$B60,'LEAD MQL TRACKER'!$AD$5:$AD$1004,1)+SUMIFS('EMAIL MARKETING'!$R$5:$R$804,'EMAIL MARKETING'!$C$5:$C$804,$B60)+SUMIFS('PAID MEDIA ADS'!$N$5:$N$804,'PAID MEDIA ADS'!$C$5:$C$804,$B60)+SUMIFS('LINKEDIN OUTREACH'!$O$5:$O$704,'LINKEDIN OUTREACH'!$C$5:$C$704,$B60))</f>
        <v/>
      </c>
      <c r="U60" s="67" t="n"/>
      <c r="V60" s="72" t="str">
        <f>IF($B60="","",COUNTIFS('LEAD MQL TRACKER'!$C$5:$C$1004,$B60,'LEAD MQL TRACKER'!$AE$5:$AE$1004,1))</f>
        <v/>
      </c>
      <c r="W60" s="72" t="str">
        <f>IF($B60="","",COUNTIFS('LEAD MQL TRACKER'!$C$5:$C$1004,$B60,'LEAD MQL TRACKER'!$AC$5:$AC$1004,1)+SUMIFS('LINKEDIN OUTREACH'!$M$5:$M$704,'LINKEDIN OUTREACH'!$C$5:$C$704,$B60))</f>
        <v/>
      </c>
      <c r="X60" s="72" t="str">
        <f>IF($B60="","",SUMIFS('EMAIL MARKETING'!$O$5:$O$804,'EMAIL MARKETING'!$C$5:$C$804,$B60)+SUMIFS('LINKEDIN OUTREACH'!$K$5:$K$704,'LINKEDIN OUTREACH'!$C$5:$C$704,$B60))</f>
        <v/>
      </c>
      <c r="Y60" s="73" t="str">
        <f>IF(ISNUMBER($R60),IF($R60&gt;0,$T60/$R60,""),"")</f>
        <v/>
      </c>
      <c r="Z60" s="72" t="str">
        <f>IF(AND(ISNUMBER($P60),ISNUMBER($R60)),IF(AND($P60&gt;0,$R60&gt;0),$P60/$R60,""),"")</f>
        <v/>
      </c>
      <c r="AA60" s="71" t="str">
        <f>IF($B60="","",IF(OR($N60="Live",$N60="Optimizing",$N60="Paused",$N60="Completed"),IF(ISNUMBER($AI60),IF($AI60&gt;=1,"Ahead",IF($AI60&gt;=OnTrackPct,"On Track",IF($AI60&gt;=WatchPct,"Behind","At Risk"))),"No Target Set"),"Not Live"))</f>
        <v/>
      </c>
      <c r="AB60" s="65" t="n"/>
      <c r="AC60" s="65" t="n"/>
      <c r="AD60" s="65" t="n"/>
      <c r="AE60" s="67" t="n"/>
      <c r="AF60" s="67" t="n"/>
      <c r="AG60" s="63" t="n"/>
      <c r="AH60" s="74">
        <f>IF($N60="Completed",1,IF(AND(ISNUMBER($K60),ISNUMBER($L60)),IF($L60&gt;$K60,MIN(1,MAX(0.05,(ReportDate-$K60)/($L60-$K60))),1),1))</f>
        <v>1</v>
      </c>
      <c r="AI60" s="70" t="str">
        <f>IF($B60="","",IF(AND(ISNUMBER($Q60),$Q60&gt;0),$R60/($Q60*$AH60),""))</f>
        <v/>
      </c>
      <c r="AJ60" s="71" t="str">
        <f>IF(ISNUMBER($K60),YEAR($K60)&amp;"-"&amp;TEXT(MONTH($K60),"00"),"")</f>
        <v/>
      </c>
      <c r="AK60" s="71">
        <f>IF($B60="",0,IF(AND(OR(fClient="All",$A60=fClient),OR(fCampaign="All",$B60=fCampaign),OR(fTeam="All",$I60=fTeam),OR(fChannel="All",$H60=fChannel),OR(fCStatus="All",$N60=fCStatus)),1,0))</f>
        <v>0</v>
      </c>
      <c r="AL60" s="71">
        <f>IF($B60="",0,IF(AND(OR(fClient="All",$A60=fClient),OR(fCampaign="All",$B60=fCampaign),OR(fTeam="All",$I60=fTeam),OR(fChannel="All",$H60=fChannel)),1,0))</f>
        <v>0</v>
      </c>
      <c r="AM60" s="71">
        <f>IF(OR($N60="Live",$N60="Optimizing"),1,0)</f>
        <v>0</v>
      </c>
      <c r="AN60" s="71">
        <f>IF(OR($N60="Live",$N60="Optimizing",$N60="Paused",$N60="Completed"),1,0)</f>
        <v>0</v>
      </c>
      <c r="AO60" s="71">
        <f>IF(AND($AM60=1,ISNUMBER($L60),NOT(ISNUMBER($M60))),IF($L60&lt;ReportDate,1,0),0)</f>
        <v>0</v>
      </c>
      <c r="AP60" s="71">
        <f>IF($AM60=1,IF(ISNUMBER($AG60),IF(ReportDate-$AG60&gt;CampStaleDays,1,0),1),0)</f>
        <v>0</v>
      </c>
      <c r="AQ60" s="71">
        <f>IF(AND($AM60=1,OR($AA60="Behind",$AA60="At Risk")),1,0)</f>
        <v>0</v>
      </c>
      <c r="AR60" s="71">
        <f>IF(AND($AM60=1,OR($AA60="Ahead",$AA60="On Track")),1,0)</f>
        <v>0</v>
      </c>
      <c r="AS60" s="71">
        <f>IF(OR($AQ60=1,$AP60=1,$AO60=1),1,0)</f>
        <v>0</v>
      </c>
      <c r="AT60" s="71" t="str">
        <f>IF($AS60=1,TRIM(IF($AQ60=1,"Low performance. ","")&amp;IF($AP60=1,"No recent update. ","")&amp;IF($AO60=1,"Past planned end. ","")),"")</f>
        <v/>
      </c>
      <c r="AU60" s="71" t="str">
        <f>IF(AND($AS60=1,$AL60=1),ROW(),"")</f>
        <v/>
      </c>
      <c r="AV60" s="71" t="str">
        <f>IF(AND($AQ60=1,$AL60=1),ROW(),"")</f>
        <v/>
      </c>
      <c r="AW60" s="71" t="str">
        <f>IF(AND($AP60=1,$AL60=1),ROW(),"")</f>
        <v/>
      </c>
      <c r="AX60" s="71" t="str">
        <f>IF(AND($AR60=1,$AL60=1),ROW(),"")</f>
        <v/>
      </c>
      <c r="AY60" s="71">
        <f>IF(AND($B60&lt;&gt;"",$A60=TCL_Client),1,0)</f>
        <v>0</v>
      </c>
      <c r="AZ60" s="71" t="str">
        <f>IF($AY60=1,ROW(),"")</f>
        <v/>
      </c>
      <c r="BA60" s="71">
        <f>IF(AND($B60&lt;&gt;"",$A60=MECCA_Client),1,0)</f>
        <v>0</v>
      </c>
      <c r="BB60" s="71" t="str">
        <f>IF($BA60=1,ROW(),"")</f>
        <v/>
      </c>
    </row>
    <row r="61">
      <c r="A61" s="64" t="n"/>
      <c r="B61" s="65" t="n"/>
      <c r="C61" s="64" t="n"/>
      <c r="D61" s="64" t="n"/>
      <c r="E61" s="64" t="n"/>
      <c r="F61" s="65" t="n"/>
      <c r="G61" s="65" t="n"/>
      <c r="H61" s="64" t="n"/>
      <c r="I61" s="64" t="n"/>
      <c r="J61" s="65" t="n"/>
      <c r="K61" s="63" t="n"/>
      <c r="L61" s="63" t="n"/>
      <c r="M61" s="63" t="n"/>
      <c r="N61" s="64" t="n"/>
      <c r="O61" s="67" t="n"/>
      <c r="P61" s="72" t="str">
        <f>IF($B61="","",SUMIFS('PAID MEDIA ADS'!$G$5:$G$804,'PAID MEDIA ADS'!$C$5:$C$804,$B61))</f>
        <v/>
      </c>
      <c r="Q61" s="67" t="n"/>
      <c r="R61" s="72" t="str">
        <f>IF($B61="","",COUNTIFS('LEAD MQL TRACKER'!$C$5:$C$1004,$B61,'LEAD MQL TRACKER'!$AB$5:$AB$1004,1)+SUMIFS('EMAIL MARKETING'!$Q$5:$Q$804,'EMAIL MARKETING'!$C$5:$C$804,$B61)+SUMIFS('PAID MEDIA ADS'!$M$5:$M$804,'PAID MEDIA ADS'!$C$5:$C$804,$B61)+SUMIFS('LINKEDIN OUTREACH'!$N$5:$N$704,'LINKEDIN OUTREACH'!$C$5:$C$704,$B61))</f>
        <v/>
      </c>
      <c r="S61" s="67" t="n"/>
      <c r="T61" s="72" t="str">
        <f>IF($B61="","",COUNTIFS('LEAD MQL TRACKER'!$C$5:$C$1004,$B61,'LEAD MQL TRACKER'!$AD$5:$AD$1004,1)+SUMIFS('EMAIL MARKETING'!$R$5:$R$804,'EMAIL MARKETING'!$C$5:$C$804,$B61)+SUMIFS('PAID MEDIA ADS'!$N$5:$N$804,'PAID MEDIA ADS'!$C$5:$C$804,$B61)+SUMIFS('LINKEDIN OUTREACH'!$O$5:$O$704,'LINKEDIN OUTREACH'!$C$5:$C$704,$B61))</f>
        <v/>
      </c>
      <c r="U61" s="67" t="n"/>
      <c r="V61" s="72" t="str">
        <f>IF($B61="","",COUNTIFS('LEAD MQL TRACKER'!$C$5:$C$1004,$B61,'LEAD MQL TRACKER'!$AE$5:$AE$1004,1))</f>
        <v/>
      </c>
      <c r="W61" s="72" t="str">
        <f>IF($B61="","",COUNTIFS('LEAD MQL TRACKER'!$C$5:$C$1004,$B61,'LEAD MQL TRACKER'!$AC$5:$AC$1004,1)+SUMIFS('LINKEDIN OUTREACH'!$M$5:$M$704,'LINKEDIN OUTREACH'!$C$5:$C$704,$B61))</f>
        <v/>
      </c>
      <c r="X61" s="72" t="str">
        <f>IF($B61="","",SUMIFS('EMAIL MARKETING'!$O$5:$O$804,'EMAIL MARKETING'!$C$5:$C$804,$B61)+SUMIFS('LINKEDIN OUTREACH'!$K$5:$K$704,'LINKEDIN OUTREACH'!$C$5:$C$704,$B61))</f>
        <v/>
      </c>
      <c r="Y61" s="73" t="str">
        <f>IF(ISNUMBER($R61),IF($R61&gt;0,$T61/$R61,""),"")</f>
        <v/>
      </c>
      <c r="Z61" s="72" t="str">
        <f>IF(AND(ISNUMBER($P61),ISNUMBER($R61)),IF(AND($P61&gt;0,$R61&gt;0),$P61/$R61,""),"")</f>
        <v/>
      </c>
      <c r="AA61" s="71" t="str">
        <f>IF($B61="","",IF(OR($N61="Live",$N61="Optimizing",$N61="Paused",$N61="Completed"),IF(ISNUMBER($AI61),IF($AI61&gt;=1,"Ahead",IF($AI61&gt;=OnTrackPct,"On Track",IF($AI61&gt;=WatchPct,"Behind","At Risk"))),"No Target Set"),"Not Live"))</f>
        <v/>
      </c>
      <c r="AB61" s="65" t="n"/>
      <c r="AC61" s="65" t="n"/>
      <c r="AD61" s="65" t="n"/>
      <c r="AE61" s="67" t="n"/>
      <c r="AF61" s="67" t="n"/>
      <c r="AG61" s="63" t="n"/>
      <c r="AH61" s="74">
        <f>IF($N61="Completed",1,IF(AND(ISNUMBER($K61),ISNUMBER($L61)),IF($L61&gt;$K61,MIN(1,MAX(0.05,(ReportDate-$K61)/($L61-$K61))),1),1))</f>
        <v>1</v>
      </c>
      <c r="AI61" s="70" t="str">
        <f>IF($B61="","",IF(AND(ISNUMBER($Q61),$Q61&gt;0),$R61/($Q61*$AH61),""))</f>
        <v/>
      </c>
      <c r="AJ61" s="71" t="str">
        <f>IF(ISNUMBER($K61),YEAR($K61)&amp;"-"&amp;TEXT(MONTH($K61),"00"),"")</f>
        <v/>
      </c>
      <c r="AK61" s="71">
        <f>IF($B61="",0,IF(AND(OR(fClient="All",$A61=fClient),OR(fCampaign="All",$B61=fCampaign),OR(fTeam="All",$I61=fTeam),OR(fChannel="All",$H61=fChannel),OR(fCStatus="All",$N61=fCStatus)),1,0))</f>
        <v>0</v>
      </c>
      <c r="AL61" s="71">
        <f>IF($B61="",0,IF(AND(OR(fClient="All",$A61=fClient),OR(fCampaign="All",$B61=fCampaign),OR(fTeam="All",$I61=fTeam),OR(fChannel="All",$H61=fChannel)),1,0))</f>
        <v>0</v>
      </c>
      <c r="AM61" s="71">
        <f>IF(OR($N61="Live",$N61="Optimizing"),1,0)</f>
        <v>0</v>
      </c>
      <c r="AN61" s="71">
        <f>IF(OR($N61="Live",$N61="Optimizing",$N61="Paused",$N61="Completed"),1,0)</f>
        <v>0</v>
      </c>
      <c r="AO61" s="71">
        <f>IF(AND($AM61=1,ISNUMBER($L61),NOT(ISNUMBER($M61))),IF($L61&lt;ReportDate,1,0),0)</f>
        <v>0</v>
      </c>
      <c r="AP61" s="71">
        <f>IF($AM61=1,IF(ISNUMBER($AG61),IF(ReportDate-$AG61&gt;CampStaleDays,1,0),1),0)</f>
        <v>0</v>
      </c>
      <c r="AQ61" s="71">
        <f>IF(AND($AM61=1,OR($AA61="Behind",$AA61="At Risk")),1,0)</f>
        <v>0</v>
      </c>
      <c r="AR61" s="71">
        <f>IF(AND($AM61=1,OR($AA61="Ahead",$AA61="On Track")),1,0)</f>
        <v>0</v>
      </c>
      <c r="AS61" s="71">
        <f>IF(OR($AQ61=1,$AP61=1,$AO61=1),1,0)</f>
        <v>0</v>
      </c>
      <c r="AT61" s="71" t="str">
        <f>IF($AS61=1,TRIM(IF($AQ61=1,"Low performance. ","")&amp;IF($AP61=1,"No recent update. ","")&amp;IF($AO61=1,"Past planned end. ","")),"")</f>
        <v/>
      </c>
      <c r="AU61" s="71" t="str">
        <f>IF(AND($AS61=1,$AL61=1),ROW(),"")</f>
        <v/>
      </c>
      <c r="AV61" s="71" t="str">
        <f>IF(AND($AQ61=1,$AL61=1),ROW(),"")</f>
        <v/>
      </c>
      <c r="AW61" s="71" t="str">
        <f>IF(AND($AP61=1,$AL61=1),ROW(),"")</f>
        <v/>
      </c>
      <c r="AX61" s="71" t="str">
        <f>IF(AND($AR61=1,$AL61=1),ROW(),"")</f>
        <v/>
      </c>
      <c r="AY61" s="71">
        <f>IF(AND($B61&lt;&gt;"",$A61=TCL_Client),1,0)</f>
        <v>0</v>
      </c>
      <c r="AZ61" s="71" t="str">
        <f>IF($AY61=1,ROW(),"")</f>
        <v/>
      </c>
      <c r="BA61" s="71">
        <f>IF(AND($B61&lt;&gt;"",$A61=MECCA_Client),1,0)</f>
        <v>0</v>
      </c>
      <c r="BB61" s="71" t="str">
        <f>IF($BA61=1,ROW(),"")</f>
        <v/>
      </c>
    </row>
    <row r="62">
      <c r="A62" s="64" t="n"/>
      <c r="B62" s="65" t="n"/>
      <c r="C62" s="64" t="n"/>
      <c r="D62" s="64" t="n"/>
      <c r="E62" s="64" t="n"/>
      <c r="F62" s="65" t="n"/>
      <c r="G62" s="65" t="n"/>
      <c r="H62" s="64" t="n"/>
      <c r="I62" s="64" t="n"/>
      <c r="J62" s="65" t="n"/>
      <c r="K62" s="63" t="n"/>
      <c r="L62" s="63" t="n"/>
      <c r="M62" s="63" t="n"/>
      <c r="N62" s="64" t="n"/>
      <c r="O62" s="67" t="n"/>
      <c r="P62" s="72" t="str">
        <f>IF($B62="","",SUMIFS('PAID MEDIA ADS'!$G$5:$G$804,'PAID MEDIA ADS'!$C$5:$C$804,$B62))</f>
        <v/>
      </c>
      <c r="Q62" s="67" t="n"/>
      <c r="R62" s="72" t="str">
        <f>IF($B62="","",COUNTIFS('LEAD MQL TRACKER'!$C$5:$C$1004,$B62,'LEAD MQL TRACKER'!$AB$5:$AB$1004,1)+SUMIFS('EMAIL MARKETING'!$Q$5:$Q$804,'EMAIL MARKETING'!$C$5:$C$804,$B62)+SUMIFS('PAID MEDIA ADS'!$M$5:$M$804,'PAID MEDIA ADS'!$C$5:$C$804,$B62)+SUMIFS('LINKEDIN OUTREACH'!$N$5:$N$704,'LINKEDIN OUTREACH'!$C$5:$C$704,$B62))</f>
        <v/>
      </c>
      <c r="S62" s="67" t="n"/>
      <c r="T62" s="72" t="str">
        <f>IF($B62="","",COUNTIFS('LEAD MQL TRACKER'!$C$5:$C$1004,$B62,'LEAD MQL TRACKER'!$AD$5:$AD$1004,1)+SUMIFS('EMAIL MARKETING'!$R$5:$R$804,'EMAIL MARKETING'!$C$5:$C$804,$B62)+SUMIFS('PAID MEDIA ADS'!$N$5:$N$804,'PAID MEDIA ADS'!$C$5:$C$804,$B62)+SUMIFS('LINKEDIN OUTREACH'!$O$5:$O$704,'LINKEDIN OUTREACH'!$C$5:$C$704,$B62))</f>
        <v/>
      </c>
      <c r="U62" s="67" t="n"/>
      <c r="V62" s="72" t="str">
        <f>IF($B62="","",COUNTIFS('LEAD MQL TRACKER'!$C$5:$C$1004,$B62,'LEAD MQL TRACKER'!$AE$5:$AE$1004,1))</f>
        <v/>
      </c>
      <c r="W62" s="72" t="str">
        <f>IF($B62="","",COUNTIFS('LEAD MQL TRACKER'!$C$5:$C$1004,$B62,'LEAD MQL TRACKER'!$AC$5:$AC$1004,1)+SUMIFS('LINKEDIN OUTREACH'!$M$5:$M$704,'LINKEDIN OUTREACH'!$C$5:$C$704,$B62))</f>
        <v/>
      </c>
      <c r="X62" s="72" t="str">
        <f>IF($B62="","",SUMIFS('EMAIL MARKETING'!$O$5:$O$804,'EMAIL MARKETING'!$C$5:$C$804,$B62)+SUMIFS('LINKEDIN OUTREACH'!$K$5:$K$704,'LINKEDIN OUTREACH'!$C$5:$C$704,$B62))</f>
        <v/>
      </c>
      <c r="Y62" s="73" t="str">
        <f>IF(ISNUMBER($R62),IF($R62&gt;0,$T62/$R62,""),"")</f>
        <v/>
      </c>
      <c r="Z62" s="72" t="str">
        <f>IF(AND(ISNUMBER($P62),ISNUMBER($R62)),IF(AND($P62&gt;0,$R62&gt;0),$P62/$R62,""),"")</f>
        <v/>
      </c>
      <c r="AA62" s="71" t="str">
        <f>IF($B62="","",IF(OR($N62="Live",$N62="Optimizing",$N62="Paused",$N62="Completed"),IF(ISNUMBER($AI62),IF($AI62&gt;=1,"Ahead",IF($AI62&gt;=OnTrackPct,"On Track",IF($AI62&gt;=WatchPct,"Behind","At Risk"))),"No Target Set"),"Not Live"))</f>
        <v/>
      </c>
      <c r="AB62" s="65" t="n"/>
      <c r="AC62" s="65" t="n"/>
      <c r="AD62" s="65" t="n"/>
      <c r="AE62" s="67" t="n"/>
      <c r="AF62" s="67" t="n"/>
      <c r="AG62" s="63" t="n"/>
      <c r="AH62" s="74">
        <f>IF($N62="Completed",1,IF(AND(ISNUMBER($K62),ISNUMBER($L62)),IF($L62&gt;$K62,MIN(1,MAX(0.05,(ReportDate-$K62)/($L62-$K62))),1),1))</f>
        <v>1</v>
      </c>
      <c r="AI62" s="70" t="str">
        <f>IF($B62="","",IF(AND(ISNUMBER($Q62),$Q62&gt;0),$R62/($Q62*$AH62),""))</f>
        <v/>
      </c>
      <c r="AJ62" s="71" t="str">
        <f>IF(ISNUMBER($K62),YEAR($K62)&amp;"-"&amp;TEXT(MONTH($K62),"00"),"")</f>
        <v/>
      </c>
      <c r="AK62" s="71">
        <f>IF($B62="",0,IF(AND(OR(fClient="All",$A62=fClient),OR(fCampaign="All",$B62=fCampaign),OR(fTeam="All",$I62=fTeam),OR(fChannel="All",$H62=fChannel),OR(fCStatus="All",$N62=fCStatus)),1,0))</f>
        <v>0</v>
      </c>
      <c r="AL62" s="71">
        <f>IF($B62="",0,IF(AND(OR(fClient="All",$A62=fClient),OR(fCampaign="All",$B62=fCampaign),OR(fTeam="All",$I62=fTeam),OR(fChannel="All",$H62=fChannel)),1,0))</f>
        <v>0</v>
      </c>
      <c r="AM62" s="71">
        <f>IF(OR($N62="Live",$N62="Optimizing"),1,0)</f>
        <v>0</v>
      </c>
      <c r="AN62" s="71">
        <f>IF(OR($N62="Live",$N62="Optimizing",$N62="Paused",$N62="Completed"),1,0)</f>
        <v>0</v>
      </c>
      <c r="AO62" s="71">
        <f>IF(AND($AM62=1,ISNUMBER($L62),NOT(ISNUMBER($M62))),IF($L62&lt;ReportDate,1,0),0)</f>
        <v>0</v>
      </c>
      <c r="AP62" s="71">
        <f>IF($AM62=1,IF(ISNUMBER($AG62),IF(ReportDate-$AG62&gt;CampStaleDays,1,0),1),0)</f>
        <v>0</v>
      </c>
      <c r="AQ62" s="71">
        <f>IF(AND($AM62=1,OR($AA62="Behind",$AA62="At Risk")),1,0)</f>
        <v>0</v>
      </c>
      <c r="AR62" s="71">
        <f>IF(AND($AM62=1,OR($AA62="Ahead",$AA62="On Track")),1,0)</f>
        <v>0</v>
      </c>
      <c r="AS62" s="71">
        <f>IF(OR($AQ62=1,$AP62=1,$AO62=1),1,0)</f>
        <v>0</v>
      </c>
      <c r="AT62" s="71" t="str">
        <f>IF($AS62=1,TRIM(IF($AQ62=1,"Low performance. ","")&amp;IF($AP62=1,"No recent update. ","")&amp;IF($AO62=1,"Past planned end. ","")),"")</f>
        <v/>
      </c>
      <c r="AU62" s="71" t="str">
        <f>IF(AND($AS62=1,$AL62=1),ROW(),"")</f>
        <v/>
      </c>
      <c r="AV62" s="71" t="str">
        <f>IF(AND($AQ62=1,$AL62=1),ROW(),"")</f>
        <v/>
      </c>
      <c r="AW62" s="71" t="str">
        <f>IF(AND($AP62=1,$AL62=1),ROW(),"")</f>
        <v/>
      </c>
      <c r="AX62" s="71" t="str">
        <f>IF(AND($AR62=1,$AL62=1),ROW(),"")</f>
        <v/>
      </c>
      <c r="AY62" s="71">
        <f>IF(AND($B62&lt;&gt;"",$A62=TCL_Client),1,0)</f>
        <v>0</v>
      </c>
      <c r="AZ62" s="71" t="str">
        <f>IF($AY62=1,ROW(),"")</f>
        <v/>
      </c>
      <c r="BA62" s="71">
        <f>IF(AND($B62&lt;&gt;"",$A62=MECCA_Client),1,0)</f>
        <v>0</v>
      </c>
      <c r="BB62" s="71" t="str">
        <f>IF($BA62=1,ROW(),"")</f>
        <v/>
      </c>
    </row>
    <row r="63">
      <c r="A63" s="64" t="n"/>
      <c r="B63" s="65" t="n"/>
      <c r="C63" s="64" t="n"/>
      <c r="D63" s="64" t="n"/>
      <c r="E63" s="64" t="n"/>
      <c r="F63" s="65" t="n"/>
      <c r="G63" s="65" t="n"/>
      <c r="H63" s="64" t="n"/>
      <c r="I63" s="64" t="n"/>
      <c r="J63" s="65" t="n"/>
      <c r="K63" s="63" t="n"/>
      <c r="L63" s="63" t="n"/>
      <c r="M63" s="63" t="n"/>
      <c r="N63" s="64" t="n"/>
      <c r="O63" s="67" t="n"/>
      <c r="P63" s="72" t="str">
        <f>IF($B63="","",SUMIFS('PAID MEDIA ADS'!$G$5:$G$804,'PAID MEDIA ADS'!$C$5:$C$804,$B63))</f>
        <v/>
      </c>
      <c r="Q63" s="67" t="n"/>
      <c r="R63" s="72" t="str">
        <f>IF($B63="","",COUNTIFS('LEAD MQL TRACKER'!$C$5:$C$1004,$B63,'LEAD MQL TRACKER'!$AB$5:$AB$1004,1)+SUMIFS('EMAIL MARKETING'!$Q$5:$Q$804,'EMAIL MARKETING'!$C$5:$C$804,$B63)+SUMIFS('PAID MEDIA ADS'!$M$5:$M$804,'PAID MEDIA ADS'!$C$5:$C$804,$B63)+SUMIFS('LINKEDIN OUTREACH'!$N$5:$N$704,'LINKEDIN OUTREACH'!$C$5:$C$704,$B63))</f>
        <v/>
      </c>
      <c r="S63" s="67" t="n"/>
      <c r="T63" s="72" t="str">
        <f>IF($B63="","",COUNTIFS('LEAD MQL TRACKER'!$C$5:$C$1004,$B63,'LEAD MQL TRACKER'!$AD$5:$AD$1004,1)+SUMIFS('EMAIL MARKETING'!$R$5:$R$804,'EMAIL MARKETING'!$C$5:$C$804,$B63)+SUMIFS('PAID MEDIA ADS'!$N$5:$N$804,'PAID MEDIA ADS'!$C$5:$C$804,$B63)+SUMIFS('LINKEDIN OUTREACH'!$O$5:$O$704,'LINKEDIN OUTREACH'!$C$5:$C$704,$B63))</f>
        <v/>
      </c>
      <c r="U63" s="67" t="n"/>
      <c r="V63" s="72" t="str">
        <f>IF($B63="","",COUNTIFS('LEAD MQL TRACKER'!$C$5:$C$1004,$B63,'LEAD MQL TRACKER'!$AE$5:$AE$1004,1))</f>
        <v/>
      </c>
      <c r="W63" s="72" t="str">
        <f>IF($B63="","",COUNTIFS('LEAD MQL TRACKER'!$C$5:$C$1004,$B63,'LEAD MQL TRACKER'!$AC$5:$AC$1004,1)+SUMIFS('LINKEDIN OUTREACH'!$M$5:$M$704,'LINKEDIN OUTREACH'!$C$5:$C$704,$B63))</f>
        <v/>
      </c>
      <c r="X63" s="72" t="str">
        <f>IF($B63="","",SUMIFS('EMAIL MARKETING'!$O$5:$O$804,'EMAIL MARKETING'!$C$5:$C$804,$B63)+SUMIFS('LINKEDIN OUTREACH'!$K$5:$K$704,'LINKEDIN OUTREACH'!$C$5:$C$704,$B63))</f>
        <v/>
      </c>
      <c r="Y63" s="73" t="str">
        <f>IF(ISNUMBER($R63),IF($R63&gt;0,$T63/$R63,""),"")</f>
        <v/>
      </c>
      <c r="Z63" s="72" t="str">
        <f>IF(AND(ISNUMBER($P63),ISNUMBER($R63)),IF(AND($P63&gt;0,$R63&gt;0),$P63/$R63,""),"")</f>
        <v/>
      </c>
      <c r="AA63" s="71" t="str">
        <f>IF($B63="","",IF(OR($N63="Live",$N63="Optimizing",$N63="Paused",$N63="Completed"),IF(ISNUMBER($AI63),IF($AI63&gt;=1,"Ahead",IF($AI63&gt;=OnTrackPct,"On Track",IF($AI63&gt;=WatchPct,"Behind","At Risk"))),"No Target Set"),"Not Live"))</f>
        <v/>
      </c>
      <c r="AB63" s="65" t="n"/>
      <c r="AC63" s="65" t="n"/>
      <c r="AD63" s="65" t="n"/>
      <c r="AE63" s="67" t="n"/>
      <c r="AF63" s="67" t="n"/>
      <c r="AG63" s="63" t="n"/>
      <c r="AH63" s="74">
        <f>IF($N63="Completed",1,IF(AND(ISNUMBER($K63),ISNUMBER($L63)),IF($L63&gt;$K63,MIN(1,MAX(0.05,(ReportDate-$K63)/($L63-$K63))),1),1))</f>
        <v>1</v>
      </c>
      <c r="AI63" s="70" t="str">
        <f>IF($B63="","",IF(AND(ISNUMBER($Q63),$Q63&gt;0),$R63/($Q63*$AH63),""))</f>
        <v/>
      </c>
      <c r="AJ63" s="71" t="str">
        <f>IF(ISNUMBER($K63),YEAR($K63)&amp;"-"&amp;TEXT(MONTH($K63),"00"),"")</f>
        <v/>
      </c>
      <c r="AK63" s="71">
        <f>IF($B63="",0,IF(AND(OR(fClient="All",$A63=fClient),OR(fCampaign="All",$B63=fCampaign),OR(fTeam="All",$I63=fTeam),OR(fChannel="All",$H63=fChannel),OR(fCStatus="All",$N63=fCStatus)),1,0))</f>
        <v>0</v>
      </c>
      <c r="AL63" s="71">
        <f>IF($B63="",0,IF(AND(OR(fClient="All",$A63=fClient),OR(fCampaign="All",$B63=fCampaign),OR(fTeam="All",$I63=fTeam),OR(fChannel="All",$H63=fChannel)),1,0))</f>
        <v>0</v>
      </c>
      <c r="AM63" s="71">
        <f>IF(OR($N63="Live",$N63="Optimizing"),1,0)</f>
        <v>0</v>
      </c>
      <c r="AN63" s="71">
        <f>IF(OR($N63="Live",$N63="Optimizing",$N63="Paused",$N63="Completed"),1,0)</f>
        <v>0</v>
      </c>
      <c r="AO63" s="71">
        <f>IF(AND($AM63=1,ISNUMBER($L63),NOT(ISNUMBER($M63))),IF($L63&lt;ReportDate,1,0),0)</f>
        <v>0</v>
      </c>
      <c r="AP63" s="71">
        <f>IF($AM63=1,IF(ISNUMBER($AG63),IF(ReportDate-$AG63&gt;CampStaleDays,1,0),1),0)</f>
        <v>0</v>
      </c>
      <c r="AQ63" s="71">
        <f>IF(AND($AM63=1,OR($AA63="Behind",$AA63="At Risk")),1,0)</f>
        <v>0</v>
      </c>
      <c r="AR63" s="71">
        <f>IF(AND($AM63=1,OR($AA63="Ahead",$AA63="On Track")),1,0)</f>
        <v>0</v>
      </c>
      <c r="AS63" s="71">
        <f>IF(OR($AQ63=1,$AP63=1,$AO63=1),1,0)</f>
        <v>0</v>
      </c>
      <c r="AT63" s="71" t="str">
        <f>IF($AS63=1,TRIM(IF($AQ63=1,"Low performance. ","")&amp;IF($AP63=1,"No recent update. ","")&amp;IF($AO63=1,"Past planned end. ","")),"")</f>
        <v/>
      </c>
      <c r="AU63" s="71" t="str">
        <f>IF(AND($AS63=1,$AL63=1),ROW(),"")</f>
        <v/>
      </c>
      <c r="AV63" s="71" t="str">
        <f>IF(AND($AQ63=1,$AL63=1),ROW(),"")</f>
        <v/>
      </c>
      <c r="AW63" s="71" t="str">
        <f>IF(AND($AP63=1,$AL63=1),ROW(),"")</f>
        <v/>
      </c>
      <c r="AX63" s="71" t="str">
        <f>IF(AND($AR63=1,$AL63=1),ROW(),"")</f>
        <v/>
      </c>
      <c r="AY63" s="71">
        <f>IF(AND($B63&lt;&gt;"",$A63=TCL_Client),1,0)</f>
        <v>0</v>
      </c>
      <c r="AZ63" s="71" t="str">
        <f>IF($AY63=1,ROW(),"")</f>
        <v/>
      </c>
      <c r="BA63" s="71">
        <f>IF(AND($B63&lt;&gt;"",$A63=MECCA_Client),1,0)</f>
        <v>0</v>
      </c>
      <c r="BB63" s="71" t="str">
        <f>IF($BA63=1,ROW(),"")</f>
        <v/>
      </c>
    </row>
    <row r="64">
      <c r="A64" s="64" t="n"/>
      <c r="B64" s="65" t="n"/>
      <c r="C64" s="64" t="n"/>
      <c r="D64" s="64" t="n"/>
      <c r="E64" s="64" t="n"/>
      <c r="F64" s="65" t="n"/>
      <c r="G64" s="65" t="n"/>
      <c r="H64" s="64" t="n"/>
      <c r="I64" s="64" t="n"/>
      <c r="J64" s="65" t="n"/>
      <c r="K64" s="63" t="n"/>
      <c r="L64" s="63" t="n"/>
      <c r="M64" s="63" t="n"/>
      <c r="N64" s="64" t="n"/>
      <c r="O64" s="67" t="n"/>
      <c r="P64" s="72" t="str">
        <f>IF($B64="","",SUMIFS('PAID MEDIA ADS'!$G$5:$G$804,'PAID MEDIA ADS'!$C$5:$C$804,$B64))</f>
        <v/>
      </c>
      <c r="Q64" s="67" t="n"/>
      <c r="R64" s="72" t="str">
        <f>IF($B64="","",COUNTIFS('LEAD MQL TRACKER'!$C$5:$C$1004,$B64,'LEAD MQL TRACKER'!$AB$5:$AB$1004,1)+SUMIFS('EMAIL MARKETING'!$Q$5:$Q$804,'EMAIL MARKETING'!$C$5:$C$804,$B64)+SUMIFS('PAID MEDIA ADS'!$M$5:$M$804,'PAID MEDIA ADS'!$C$5:$C$804,$B64)+SUMIFS('LINKEDIN OUTREACH'!$N$5:$N$704,'LINKEDIN OUTREACH'!$C$5:$C$704,$B64))</f>
        <v/>
      </c>
      <c r="S64" s="67" t="n"/>
      <c r="T64" s="72" t="str">
        <f>IF($B64="","",COUNTIFS('LEAD MQL TRACKER'!$C$5:$C$1004,$B64,'LEAD MQL TRACKER'!$AD$5:$AD$1004,1)+SUMIFS('EMAIL MARKETING'!$R$5:$R$804,'EMAIL MARKETING'!$C$5:$C$804,$B64)+SUMIFS('PAID MEDIA ADS'!$N$5:$N$804,'PAID MEDIA ADS'!$C$5:$C$804,$B64)+SUMIFS('LINKEDIN OUTREACH'!$O$5:$O$704,'LINKEDIN OUTREACH'!$C$5:$C$704,$B64))</f>
        <v/>
      </c>
      <c r="U64" s="67" t="n"/>
      <c r="V64" s="72" t="str">
        <f>IF($B64="","",COUNTIFS('LEAD MQL TRACKER'!$C$5:$C$1004,$B64,'LEAD MQL TRACKER'!$AE$5:$AE$1004,1))</f>
        <v/>
      </c>
      <c r="W64" s="72" t="str">
        <f>IF($B64="","",COUNTIFS('LEAD MQL TRACKER'!$C$5:$C$1004,$B64,'LEAD MQL TRACKER'!$AC$5:$AC$1004,1)+SUMIFS('LINKEDIN OUTREACH'!$M$5:$M$704,'LINKEDIN OUTREACH'!$C$5:$C$704,$B64))</f>
        <v/>
      </c>
      <c r="X64" s="72" t="str">
        <f>IF($B64="","",SUMIFS('EMAIL MARKETING'!$O$5:$O$804,'EMAIL MARKETING'!$C$5:$C$804,$B64)+SUMIFS('LINKEDIN OUTREACH'!$K$5:$K$704,'LINKEDIN OUTREACH'!$C$5:$C$704,$B64))</f>
        <v/>
      </c>
      <c r="Y64" s="73" t="str">
        <f>IF(ISNUMBER($R64),IF($R64&gt;0,$T64/$R64,""),"")</f>
        <v/>
      </c>
      <c r="Z64" s="72" t="str">
        <f>IF(AND(ISNUMBER($P64),ISNUMBER($R64)),IF(AND($P64&gt;0,$R64&gt;0),$P64/$R64,""),"")</f>
        <v/>
      </c>
      <c r="AA64" s="71" t="str">
        <f>IF($B64="","",IF(OR($N64="Live",$N64="Optimizing",$N64="Paused",$N64="Completed"),IF(ISNUMBER($AI64),IF($AI64&gt;=1,"Ahead",IF($AI64&gt;=OnTrackPct,"On Track",IF($AI64&gt;=WatchPct,"Behind","At Risk"))),"No Target Set"),"Not Live"))</f>
        <v/>
      </c>
      <c r="AB64" s="65" t="n"/>
      <c r="AC64" s="65" t="n"/>
      <c r="AD64" s="65" t="n"/>
      <c r="AE64" s="67" t="n"/>
      <c r="AF64" s="67" t="n"/>
      <c r="AG64" s="63" t="n"/>
      <c r="AH64" s="74">
        <f>IF($N64="Completed",1,IF(AND(ISNUMBER($K64),ISNUMBER($L64)),IF($L64&gt;$K64,MIN(1,MAX(0.05,(ReportDate-$K64)/($L64-$K64))),1),1))</f>
        <v>1</v>
      </c>
      <c r="AI64" s="70" t="str">
        <f>IF($B64="","",IF(AND(ISNUMBER($Q64),$Q64&gt;0),$R64/($Q64*$AH64),""))</f>
        <v/>
      </c>
      <c r="AJ64" s="71" t="str">
        <f>IF(ISNUMBER($K64),YEAR($K64)&amp;"-"&amp;TEXT(MONTH($K64),"00"),"")</f>
        <v/>
      </c>
      <c r="AK64" s="71">
        <f>IF($B64="",0,IF(AND(OR(fClient="All",$A64=fClient),OR(fCampaign="All",$B64=fCampaign),OR(fTeam="All",$I64=fTeam),OR(fChannel="All",$H64=fChannel),OR(fCStatus="All",$N64=fCStatus)),1,0))</f>
        <v>0</v>
      </c>
      <c r="AL64" s="71">
        <f>IF($B64="",0,IF(AND(OR(fClient="All",$A64=fClient),OR(fCampaign="All",$B64=fCampaign),OR(fTeam="All",$I64=fTeam),OR(fChannel="All",$H64=fChannel)),1,0))</f>
        <v>0</v>
      </c>
      <c r="AM64" s="71">
        <f>IF(OR($N64="Live",$N64="Optimizing"),1,0)</f>
        <v>0</v>
      </c>
      <c r="AN64" s="71">
        <f>IF(OR($N64="Live",$N64="Optimizing",$N64="Paused",$N64="Completed"),1,0)</f>
        <v>0</v>
      </c>
      <c r="AO64" s="71">
        <f>IF(AND($AM64=1,ISNUMBER($L64),NOT(ISNUMBER($M64))),IF($L64&lt;ReportDate,1,0),0)</f>
        <v>0</v>
      </c>
      <c r="AP64" s="71">
        <f>IF($AM64=1,IF(ISNUMBER($AG64),IF(ReportDate-$AG64&gt;CampStaleDays,1,0),1),0)</f>
        <v>0</v>
      </c>
      <c r="AQ64" s="71">
        <f>IF(AND($AM64=1,OR($AA64="Behind",$AA64="At Risk")),1,0)</f>
        <v>0</v>
      </c>
      <c r="AR64" s="71">
        <f>IF(AND($AM64=1,OR($AA64="Ahead",$AA64="On Track")),1,0)</f>
        <v>0</v>
      </c>
      <c r="AS64" s="71">
        <f>IF(OR($AQ64=1,$AP64=1,$AO64=1),1,0)</f>
        <v>0</v>
      </c>
      <c r="AT64" s="71" t="str">
        <f>IF($AS64=1,TRIM(IF($AQ64=1,"Low performance. ","")&amp;IF($AP64=1,"No recent update. ","")&amp;IF($AO64=1,"Past planned end. ","")),"")</f>
        <v/>
      </c>
      <c r="AU64" s="71" t="str">
        <f>IF(AND($AS64=1,$AL64=1),ROW(),"")</f>
        <v/>
      </c>
      <c r="AV64" s="71" t="str">
        <f>IF(AND($AQ64=1,$AL64=1),ROW(),"")</f>
        <v/>
      </c>
      <c r="AW64" s="71" t="str">
        <f>IF(AND($AP64=1,$AL64=1),ROW(),"")</f>
        <v/>
      </c>
      <c r="AX64" s="71" t="str">
        <f>IF(AND($AR64=1,$AL64=1),ROW(),"")</f>
        <v/>
      </c>
      <c r="AY64" s="71">
        <f>IF(AND($B64&lt;&gt;"",$A64=TCL_Client),1,0)</f>
        <v>0</v>
      </c>
      <c r="AZ64" s="71" t="str">
        <f>IF($AY64=1,ROW(),"")</f>
        <v/>
      </c>
      <c r="BA64" s="71">
        <f>IF(AND($B64&lt;&gt;"",$A64=MECCA_Client),1,0)</f>
        <v>0</v>
      </c>
      <c r="BB64" s="71" t="str">
        <f>IF($BA64=1,ROW(),"")</f>
        <v/>
      </c>
    </row>
    <row r="65">
      <c r="A65" s="64" t="n"/>
      <c r="B65" s="65" t="n"/>
      <c r="C65" s="64" t="n"/>
      <c r="D65" s="64" t="n"/>
      <c r="E65" s="64" t="n"/>
      <c r="F65" s="65" t="n"/>
      <c r="G65" s="65" t="n"/>
      <c r="H65" s="64" t="n"/>
      <c r="I65" s="64" t="n"/>
      <c r="J65" s="65" t="n"/>
      <c r="K65" s="63" t="n"/>
      <c r="L65" s="63" t="n"/>
      <c r="M65" s="63" t="n"/>
      <c r="N65" s="64" t="n"/>
      <c r="O65" s="67" t="n"/>
      <c r="P65" s="72" t="str">
        <f>IF($B65="","",SUMIFS('PAID MEDIA ADS'!$G$5:$G$804,'PAID MEDIA ADS'!$C$5:$C$804,$B65))</f>
        <v/>
      </c>
      <c r="Q65" s="67" t="n"/>
      <c r="R65" s="72" t="str">
        <f>IF($B65="","",COUNTIFS('LEAD MQL TRACKER'!$C$5:$C$1004,$B65,'LEAD MQL TRACKER'!$AB$5:$AB$1004,1)+SUMIFS('EMAIL MARKETING'!$Q$5:$Q$804,'EMAIL MARKETING'!$C$5:$C$804,$B65)+SUMIFS('PAID MEDIA ADS'!$M$5:$M$804,'PAID MEDIA ADS'!$C$5:$C$804,$B65)+SUMIFS('LINKEDIN OUTREACH'!$N$5:$N$704,'LINKEDIN OUTREACH'!$C$5:$C$704,$B65))</f>
        <v/>
      </c>
      <c r="S65" s="67" t="n"/>
      <c r="T65" s="72" t="str">
        <f>IF($B65="","",COUNTIFS('LEAD MQL TRACKER'!$C$5:$C$1004,$B65,'LEAD MQL TRACKER'!$AD$5:$AD$1004,1)+SUMIFS('EMAIL MARKETING'!$R$5:$R$804,'EMAIL MARKETING'!$C$5:$C$804,$B65)+SUMIFS('PAID MEDIA ADS'!$N$5:$N$804,'PAID MEDIA ADS'!$C$5:$C$804,$B65)+SUMIFS('LINKEDIN OUTREACH'!$O$5:$O$704,'LINKEDIN OUTREACH'!$C$5:$C$704,$B65))</f>
        <v/>
      </c>
      <c r="U65" s="67" t="n"/>
      <c r="V65" s="72" t="str">
        <f>IF($B65="","",COUNTIFS('LEAD MQL TRACKER'!$C$5:$C$1004,$B65,'LEAD MQL TRACKER'!$AE$5:$AE$1004,1))</f>
        <v/>
      </c>
      <c r="W65" s="72" t="str">
        <f>IF($B65="","",COUNTIFS('LEAD MQL TRACKER'!$C$5:$C$1004,$B65,'LEAD MQL TRACKER'!$AC$5:$AC$1004,1)+SUMIFS('LINKEDIN OUTREACH'!$M$5:$M$704,'LINKEDIN OUTREACH'!$C$5:$C$704,$B65))</f>
        <v/>
      </c>
      <c r="X65" s="72" t="str">
        <f>IF($B65="","",SUMIFS('EMAIL MARKETING'!$O$5:$O$804,'EMAIL MARKETING'!$C$5:$C$804,$B65)+SUMIFS('LINKEDIN OUTREACH'!$K$5:$K$704,'LINKEDIN OUTREACH'!$C$5:$C$704,$B65))</f>
        <v/>
      </c>
      <c r="Y65" s="73" t="str">
        <f>IF(ISNUMBER($R65),IF($R65&gt;0,$T65/$R65,""),"")</f>
        <v/>
      </c>
      <c r="Z65" s="72" t="str">
        <f>IF(AND(ISNUMBER($P65),ISNUMBER($R65)),IF(AND($P65&gt;0,$R65&gt;0),$P65/$R65,""),"")</f>
        <v/>
      </c>
      <c r="AA65" s="71" t="str">
        <f>IF($B65="","",IF(OR($N65="Live",$N65="Optimizing",$N65="Paused",$N65="Completed"),IF(ISNUMBER($AI65),IF($AI65&gt;=1,"Ahead",IF($AI65&gt;=OnTrackPct,"On Track",IF($AI65&gt;=WatchPct,"Behind","At Risk"))),"No Target Set"),"Not Live"))</f>
        <v/>
      </c>
      <c r="AB65" s="65" t="n"/>
      <c r="AC65" s="65" t="n"/>
      <c r="AD65" s="65" t="n"/>
      <c r="AE65" s="67" t="n"/>
      <c r="AF65" s="67" t="n"/>
      <c r="AG65" s="63" t="n"/>
      <c r="AH65" s="74">
        <f>IF($N65="Completed",1,IF(AND(ISNUMBER($K65),ISNUMBER($L65)),IF($L65&gt;$K65,MIN(1,MAX(0.05,(ReportDate-$K65)/($L65-$K65))),1),1))</f>
        <v>1</v>
      </c>
      <c r="AI65" s="70" t="str">
        <f>IF($B65="","",IF(AND(ISNUMBER($Q65),$Q65&gt;0),$R65/($Q65*$AH65),""))</f>
        <v/>
      </c>
      <c r="AJ65" s="71" t="str">
        <f>IF(ISNUMBER($K65),YEAR($K65)&amp;"-"&amp;TEXT(MONTH($K65),"00"),"")</f>
        <v/>
      </c>
      <c r="AK65" s="71">
        <f>IF($B65="",0,IF(AND(OR(fClient="All",$A65=fClient),OR(fCampaign="All",$B65=fCampaign),OR(fTeam="All",$I65=fTeam),OR(fChannel="All",$H65=fChannel),OR(fCStatus="All",$N65=fCStatus)),1,0))</f>
        <v>0</v>
      </c>
      <c r="AL65" s="71">
        <f>IF($B65="",0,IF(AND(OR(fClient="All",$A65=fClient),OR(fCampaign="All",$B65=fCampaign),OR(fTeam="All",$I65=fTeam),OR(fChannel="All",$H65=fChannel)),1,0))</f>
        <v>0</v>
      </c>
      <c r="AM65" s="71">
        <f>IF(OR($N65="Live",$N65="Optimizing"),1,0)</f>
        <v>0</v>
      </c>
      <c r="AN65" s="71">
        <f>IF(OR($N65="Live",$N65="Optimizing",$N65="Paused",$N65="Completed"),1,0)</f>
        <v>0</v>
      </c>
      <c r="AO65" s="71">
        <f>IF(AND($AM65=1,ISNUMBER($L65),NOT(ISNUMBER($M65))),IF($L65&lt;ReportDate,1,0),0)</f>
        <v>0</v>
      </c>
      <c r="AP65" s="71">
        <f>IF($AM65=1,IF(ISNUMBER($AG65),IF(ReportDate-$AG65&gt;CampStaleDays,1,0),1),0)</f>
        <v>0</v>
      </c>
      <c r="AQ65" s="71">
        <f>IF(AND($AM65=1,OR($AA65="Behind",$AA65="At Risk")),1,0)</f>
        <v>0</v>
      </c>
      <c r="AR65" s="71">
        <f>IF(AND($AM65=1,OR($AA65="Ahead",$AA65="On Track")),1,0)</f>
        <v>0</v>
      </c>
      <c r="AS65" s="71">
        <f>IF(OR($AQ65=1,$AP65=1,$AO65=1),1,0)</f>
        <v>0</v>
      </c>
      <c r="AT65" s="71" t="str">
        <f>IF($AS65=1,TRIM(IF($AQ65=1,"Low performance. ","")&amp;IF($AP65=1,"No recent update. ","")&amp;IF($AO65=1,"Past planned end. ","")),"")</f>
        <v/>
      </c>
      <c r="AU65" s="71" t="str">
        <f>IF(AND($AS65=1,$AL65=1),ROW(),"")</f>
        <v/>
      </c>
      <c r="AV65" s="71" t="str">
        <f>IF(AND($AQ65=1,$AL65=1),ROW(),"")</f>
        <v/>
      </c>
      <c r="AW65" s="71" t="str">
        <f>IF(AND($AP65=1,$AL65=1),ROW(),"")</f>
        <v/>
      </c>
      <c r="AX65" s="71" t="str">
        <f>IF(AND($AR65=1,$AL65=1),ROW(),"")</f>
        <v/>
      </c>
      <c r="AY65" s="71">
        <f>IF(AND($B65&lt;&gt;"",$A65=TCL_Client),1,0)</f>
        <v>0</v>
      </c>
      <c r="AZ65" s="71" t="str">
        <f>IF($AY65=1,ROW(),"")</f>
        <v/>
      </c>
      <c r="BA65" s="71">
        <f>IF(AND($B65&lt;&gt;"",$A65=MECCA_Client),1,0)</f>
        <v>0</v>
      </c>
      <c r="BB65" s="71" t="str">
        <f>IF($BA65=1,ROW(),"")</f>
        <v/>
      </c>
    </row>
    <row r="66">
      <c r="A66" s="64" t="n"/>
      <c r="B66" s="65" t="n"/>
      <c r="C66" s="64" t="n"/>
      <c r="D66" s="64" t="n"/>
      <c r="E66" s="64" t="n"/>
      <c r="F66" s="65" t="n"/>
      <c r="G66" s="65" t="n"/>
      <c r="H66" s="64" t="n"/>
      <c r="I66" s="64" t="n"/>
      <c r="J66" s="65" t="n"/>
      <c r="K66" s="63" t="n"/>
      <c r="L66" s="63" t="n"/>
      <c r="M66" s="63" t="n"/>
      <c r="N66" s="64" t="n"/>
      <c r="O66" s="67" t="n"/>
      <c r="P66" s="72" t="str">
        <f>IF($B66="","",SUMIFS('PAID MEDIA ADS'!$G$5:$G$804,'PAID MEDIA ADS'!$C$5:$C$804,$B66))</f>
        <v/>
      </c>
      <c r="Q66" s="67" t="n"/>
      <c r="R66" s="72" t="str">
        <f>IF($B66="","",COUNTIFS('LEAD MQL TRACKER'!$C$5:$C$1004,$B66,'LEAD MQL TRACKER'!$AB$5:$AB$1004,1)+SUMIFS('EMAIL MARKETING'!$Q$5:$Q$804,'EMAIL MARKETING'!$C$5:$C$804,$B66)+SUMIFS('PAID MEDIA ADS'!$M$5:$M$804,'PAID MEDIA ADS'!$C$5:$C$804,$B66)+SUMIFS('LINKEDIN OUTREACH'!$N$5:$N$704,'LINKEDIN OUTREACH'!$C$5:$C$704,$B66))</f>
        <v/>
      </c>
      <c r="S66" s="67" t="n"/>
      <c r="T66" s="72" t="str">
        <f>IF($B66="","",COUNTIFS('LEAD MQL TRACKER'!$C$5:$C$1004,$B66,'LEAD MQL TRACKER'!$AD$5:$AD$1004,1)+SUMIFS('EMAIL MARKETING'!$R$5:$R$804,'EMAIL MARKETING'!$C$5:$C$804,$B66)+SUMIFS('PAID MEDIA ADS'!$N$5:$N$804,'PAID MEDIA ADS'!$C$5:$C$804,$B66)+SUMIFS('LINKEDIN OUTREACH'!$O$5:$O$704,'LINKEDIN OUTREACH'!$C$5:$C$704,$B66))</f>
        <v/>
      </c>
      <c r="U66" s="67" t="n"/>
      <c r="V66" s="72" t="str">
        <f>IF($B66="","",COUNTIFS('LEAD MQL TRACKER'!$C$5:$C$1004,$B66,'LEAD MQL TRACKER'!$AE$5:$AE$1004,1))</f>
        <v/>
      </c>
      <c r="W66" s="72" t="str">
        <f>IF($B66="","",COUNTIFS('LEAD MQL TRACKER'!$C$5:$C$1004,$B66,'LEAD MQL TRACKER'!$AC$5:$AC$1004,1)+SUMIFS('LINKEDIN OUTREACH'!$M$5:$M$704,'LINKEDIN OUTREACH'!$C$5:$C$704,$B66))</f>
        <v/>
      </c>
      <c r="X66" s="72" t="str">
        <f>IF($B66="","",SUMIFS('EMAIL MARKETING'!$O$5:$O$804,'EMAIL MARKETING'!$C$5:$C$804,$B66)+SUMIFS('LINKEDIN OUTREACH'!$K$5:$K$704,'LINKEDIN OUTREACH'!$C$5:$C$704,$B66))</f>
        <v/>
      </c>
      <c r="Y66" s="73" t="str">
        <f>IF(ISNUMBER($R66),IF($R66&gt;0,$T66/$R66,""),"")</f>
        <v/>
      </c>
      <c r="Z66" s="72" t="str">
        <f>IF(AND(ISNUMBER($P66),ISNUMBER($R66)),IF(AND($P66&gt;0,$R66&gt;0),$P66/$R66,""),"")</f>
        <v/>
      </c>
      <c r="AA66" s="71" t="str">
        <f>IF($B66="","",IF(OR($N66="Live",$N66="Optimizing",$N66="Paused",$N66="Completed"),IF(ISNUMBER($AI66),IF($AI66&gt;=1,"Ahead",IF($AI66&gt;=OnTrackPct,"On Track",IF($AI66&gt;=WatchPct,"Behind","At Risk"))),"No Target Set"),"Not Live"))</f>
        <v/>
      </c>
      <c r="AB66" s="65" t="n"/>
      <c r="AC66" s="65" t="n"/>
      <c r="AD66" s="65" t="n"/>
      <c r="AE66" s="67" t="n"/>
      <c r="AF66" s="67" t="n"/>
      <c r="AG66" s="63" t="n"/>
      <c r="AH66" s="74">
        <f>IF($N66="Completed",1,IF(AND(ISNUMBER($K66),ISNUMBER($L66)),IF($L66&gt;$K66,MIN(1,MAX(0.05,(ReportDate-$K66)/($L66-$K66))),1),1))</f>
        <v>1</v>
      </c>
      <c r="AI66" s="70" t="str">
        <f>IF($B66="","",IF(AND(ISNUMBER($Q66),$Q66&gt;0),$R66/($Q66*$AH66),""))</f>
        <v/>
      </c>
      <c r="AJ66" s="71" t="str">
        <f>IF(ISNUMBER($K66),YEAR($K66)&amp;"-"&amp;TEXT(MONTH($K66),"00"),"")</f>
        <v/>
      </c>
      <c r="AK66" s="71">
        <f>IF($B66="",0,IF(AND(OR(fClient="All",$A66=fClient),OR(fCampaign="All",$B66=fCampaign),OR(fTeam="All",$I66=fTeam),OR(fChannel="All",$H66=fChannel),OR(fCStatus="All",$N66=fCStatus)),1,0))</f>
        <v>0</v>
      </c>
      <c r="AL66" s="71">
        <f>IF($B66="",0,IF(AND(OR(fClient="All",$A66=fClient),OR(fCampaign="All",$B66=fCampaign),OR(fTeam="All",$I66=fTeam),OR(fChannel="All",$H66=fChannel)),1,0))</f>
        <v>0</v>
      </c>
      <c r="AM66" s="71">
        <f>IF(OR($N66="Live",$N66="Optimizing"),1,0)</f>
        <v>0</v>
      </c>
      <c r="AN66" s="71">
        <f>IF(OR($N66="Live",$N66="Optimizing",$N66="Paused",$N66="Completed"),1,0)</f>
        <v>0</v>
      </c>
      <c r="AO66" s="71">
        <f>IF(AND($AM66=1,ISNUMBER($L66),NOT(ISNUMBER($M66))),IF($L66&lt;ReportDate,1,0),0)</f>
        <v>0</v>
      </c>
      <c r="AP66" s="71">
        <f>IF($AM66=1,IF(ISNUMBER($AG66),IF(ReportDate-$AG66&gt;CampStaleDays,1,0),1),0)</f>
        <v>0</v>
      </c>
      <c r="AQ66" s="71">
        <f>IF(AND($AM66=1,OR($AA66="Behind",$AA66="At Risk")),1,0)</f>
        <v>0</v>
      </c>
      <c r="AR66" s="71">
        <f>IF(AND($AM66=1,OR($AA66="Ahead",$AA66="On Track")),1,0)</f>
        <v>0</v>
      </c>
      <c r="AS66" s="71">
        <f>IF(OR($AQ66=1,$AP66=1,$AO66=1),1,0)</f>
        <v>0</v>
      </c>
      <c r="AT66" s="71" t="str">
        <f>IF($AS66=1,TRIM(IF($AQ66=1,"Low performance. ","")&amp;IF($AP66=1,"No recent update. ","")&amp;IF($AO66=1,"Past planned end. ","")),"")</f>
        <v/>
      </c>
      <c r="AU66" s="71" t="str">
        <f>IF(AND($AS66=1,$AL66=1),ROW(),"")</f>
        <v/>
      </c>
      <c r="AV66" s="71" t="str">
        <f>IF(AND($AQ66=1,$AL66=1),ROW(),"")</f>
        <v/>
      </c>
      <c r="AW66" s="71" t="str">
        <f>IF(AND($AP66=1,$AL66=1),ROW(),"")</f>
        <v/>
      </c>
      <c r="AX66" s="71" t="str">
        <f>IF(AND($AR66=1,$AL66=1),ROW(),"")</f>
        <v/>
      </c>
      <c r="AY66" s="71">
        <f>IF(AND($B66&lt;&gt;"",$A66=TCL_Client),1,0)</f>
        <v>0</v>
      </c>
      <c r="AZ66" s="71" t="str">
        <f>IF($AY66=1,ROW(),"")</f>
        <v/>
      </c>
      <c r="BA66" s="71">
        <f>IF(AND($B66&lt;&gt;"",$A66=MECCA_Client),1,0)</f>
        <v>0</v>
      </c>
      <c r="BB66" s="71" t="str">
        <f>IF($BA66=1,ROW(),"")</f>
        <v/>
      </c>
    </row>
    <row r="67">
      <c r="A67" s="64" t="n"/>
      <c r="B67" s="65" t="n"/>
      <c r="C67" s="64" t="n"/>
      <c r="D67" s="64" t="n"/>
      <c r="E67" s="64" t="n"/>
      <c r="F67" s="65" t="n"/>
      <c r="G67" s="65" t="n"/>
      <c r="H67" s="64" t="n"/>
      <c r="I67" s="64" t="n"/>
      <c r="J67" s="65" t="n"/>
      <c r="K67" s="63" t="n"/>
      <c r="L67" s="63" t="n"/>
      <c r="M67" s="63" t="n"/>
      <c r="N67" s="64" t="n"/>
      <c r="O67" s="67" t="n"/>
      <c r="P67" s="72" t="str">
        <f>IF($B67="","",SUMIFS('PAID MEDIA ADS'!$G$5:$G$804,'PAID MEDIA ADS'!$C$5:$C$804,$B67))</f>
        <v/>
      </c>
      <c r="Q67" s="67" t="n"/>
      <c r="R67" s="72" t="str">
        <f>IF($B67="","",COUNTIFS('LEAD MQL TRACKER'!$C$5:$C$1004,$B67,'LEAD MQL TRACKER'!$AB$5:$AB$1004,1)+SUMIFS('EMAIL MARKETING'!$Q$5:$Q$804,'EMAIL MARKETING'!$C$5:$C$804,$B67)+SUMIFS('PAID MEDIA ADS'!$M$5:$M$804,'PAID MEDIA ADS'!$C$5:$C$804,$B67)+SUMIFS('LINKEDIN OUTREACH'!$N$5:$N$704,'LINKEDIN OUTREACH'!$C$5:$C$704,$B67))</f>
        <v/>
      </c>
      <c r="S67" s="67" t="n"/>
      <c r="T67" s="72" t="str">
        <f>IF($B67="","",COUNTIFS('LEAD MQL TRACKER'!$C$5:$C$1004,$B67,'LEAD MQL TRACKER'!$AD$5:$AD$1004,1)+SUMIFS('EMAIL MARKETING'!$R$5:$R$804,'EMAIL MARKETING'!$C$5:$C$804,$B67)+SUMIFS('PAID MEDIA ADS'!$N$5:$N$804,'PAID MEDIA ADS'!$C$5:$C$804,$B67)+SUMIFS('LINKEDIN OUTREACH'!$O$5:$O$704,'LINKEDIN OUTREACH'!$C$5:$C$704,$B67))</f>
        <v/>
      </c>
      <c r="U67" s="67" t="n"/>
      <c r="V67" s="72" t="str">
        <f>IF($B67="","",COUNTIFS('LEAD MQL TRACKER'!$C$5:$C$1004,$B67,'LEAD MQL TRACKER'!$AE$5:$AE$1004,1))</f>
        <v/>
      </c>
      <c r="W67" s="72" t="str">
        <f>IF($B67="","",COUNTIFS('LEAD MQL TRACKER'!$C$5:$C$1004,$B67,'LEAD MQL TRACKER'!$AC$5:$AC$1004,1)+SUMIFS('LINKEDIN OUTREACH'!$M$5:$M$704,'LINKEDIN OUTREACH'!$C$5:$C$704,$B67))</f>
        <v/>
      </c>
      <c r="X67" s="72" t="str">
        <f>IF($B67="","",SUMIFS('EMAIL MARKETING'!$O$5:$O$804,'EMAIL MARKETING'!$C$5:$C$804,$B67)+SUMIFS('LINKEDIN OUTREACH'!$K$5:$K$704,'LINKEDIN OUTREACH'!$C$5:$C$704,$B67))</f>
        <v/>
      </c>
      <c r="Y67" s="73" t="str">
        <f>IF(ISNUMBER($R67),IF($R67&gt;0,$T67/$R67,""),"")</f>
        <v/>
      </c>
      <c r="Z67" s="72" t="str">
        <f>IF(AND(ISNUMBER($P67),ISNUMBER($R67)),IF(AND($P67&gt;0,$R67&gt;0),$P67/$R67,""),"")</f>
        <v/>
      </c>
      <c r="AA67" s="71" t="str">
        <f>IF($B67="","",IF(OR($N67="Live",$N67="Optimizing",$N67="Paused",$N67="Completed"),IF(ISNUMBER($AI67),IF($AI67&gt;=1,"Ahead",IF($AI67&gt;=OnTrackPct,"On Track",IF($AI67&gt;=WatchPct,"Behind","At Risk"))),"No Target Set"),"Not Live"))</f>
        <v/>
      </c>
      <c r="AB67" s="65" t="n"/>
      <c r="AC67" s="65" t="n"/>
      <c r="AD67" s="65" t="n"/>
      <c r="AE67" s="67" t="n"/>
      <c r="AF67" s="67" t="n"/>
      <c r="AG67" s="63" t="n"/>
      <c r="AH67" s="74">
        <f>IF($N67="Completed",1,IF(AND(ISNUMBER($K67),ISNUMBER($L67)),IF($L67&gt;$K67,MIN(1,MAX(0.05,(ReportDate-$K67)/($L67-$K67))),1),1))</f>
        <v>1</v>
      </c>
      <c r="AI67" s="70" t="str">
        <f>IF($B67="","",IF(AND(ISNUMBER($Q67),$Q67&gt;0),$R67/($Q67*$AH67),""))</f>
        <v/>
      </c>
      <c r="AJ67" s="71" t="str">
        <f>IF(ISNUMBER($K67),YEAR($K67)&amp;"-"&amp;TEXT(MONTH($K67),"00"),"")</f>
        <v/>
      </c>
      <c r="AK67" s="71">
        <f>IF($B67="",0,IF(AND(OR(fClient="All",$A67=fClient),OR(fCampaign="All",$B67=fCampaign),OR(fTeam="All",$I67=fTeam),OR(fChannel="All",$H67=fChannel),OR(fCStatus="All",$N67=fCStatus)),1,0))</f>
        <v>0</v>
      </c>
      <c r="AL67" s="71">
        <f>IF($B67="",0,IF(AND(OR(fClient="All",$A67=fClient),OR(fCampaign="All",$B67=fCampaign),OR(fTeam="All",$I67=fTeam),OR(fChannel="All",$H67=fChannel)),1,0))</f>
        <v>0</v>
      </c>
      <c r="AM67" s="71">
        <f>IF(OR($N67="Live",$N67="Optimizing"),1,0)</f>
        <v>0</v>
      </c>
      <c r="AN67" s="71">
        <f>IF(OR($N67="Live",$N67="Optimizing",$N67="Paused",$N67="Completed"),1,0)</f>
        <v>0</v>
      </c>
      <c r="AO67" s="71">
        <f>IF(AND($AM67=1,ISNUMBER($L67),NOT(ISNUMBER($M67))),IF($L67&lt;ReportDate,1,0),0)</f>
        <v>0</v>
      </c>
      <c r="AP67" s="71">
        <f>IF($AM67=1,IF(ISNUMBER($AG67),IF(ReportDate-$AG67&gt;CampStaleDays,1,0),1),0)</f>
        <v>0</v>
      </c>
      <c r="AQ67" s="71">
        <f>IF(AND($AM67=1,OR($AA67="Behind",$AA67="At Risk")),1,0)</f>
        <v>0</v>
      </c>
      <c r="AR67" s="71">
        <f>IF(AND($AM67=1,OR($AA67="Ahead",$AA67="On Track")),1,0)</f>
        <v>0</v>
      </c>
      <c r="AS67" s="71">
        <f>IF(OR($AQ67=1,$AP67=1,$AO67=1),1,0)</f>
        <v>0</v>
      </c>
      <c r="AT67" s="71" t="str">
        <f>IF($AS67=1,TRIM(IF($AQ67=1,"Low performance. ","")&amp;IF($AP67=1,"No recent update. ","")&amp;IF($AO67=1,"Past planned end. ","")),"")</f>
        <v/>
      </c>
      <c r="AU67" s="71" t="str">
        <f>IF(AND($AS67=1,$AL67=1),ROW(),"")</f>
        <v/>
      </c>
      <c r="AV67" s="71" t="str">
        <f>IF(AND($AQ67=1,$AL67=1),ROW(),"")</f>
        <v/>
      </c>
      <c r="AW67" s="71" t="str">
        <f>IF(AND($AP67=1,$AL67=1),ROW(),"")</f>
        <v/>
      </c>
      <c r="AX67" s="71" t="str">
        <f>IF(AND($AR67=1,$AL67=1),ROW(),"")</f>
        <v/>
      </c>
      <c r="AY67" s="71">
        <f>IF(AND($B67&lt;&gt;"",$A67=TCL_Client),1,0)</f>
        <v>0</v>
      </c>
      <c r="AZ67" s="71" t="str">
        <f>IF($AY67=1,ROW(),"")</f>
        <v/>
      </c>
      <c r="BA67" s="71">
        <f>IF(AND($B67&lt;&gt;"",$A67=MECCA_Client),1,0)</f>
        <v>0</v>
      </c>
      <c r="BB67" s="71" t="str">
        <f>IF($BA67=1,ROW(),"")</f>
        <v/>
      </c>
    </row>
    <row r="68">
      <c r="A68" s="64" t="n"/>
      <c r="B68" s="65" t="n"/>
      <c r="C68" s="64" t="n"/>
      <c r="D68" s="64" t="n"/>
      <c r="E68" s="64" t="n"/>
      <c r="F68" s="65" t="n"/>
      <c r="G68" s="65" t="n"/>
      <c r="H68" s="64" t="n"/>
      <c r="I68" s="64" t="n"/>
      <c r="J68" s="65" t="n"/>
      <c r="K68" s="63" t="n"/>
      <c r="L68" s="63" t="n"/>
      <c r="M68" s="63" t="n"/>
      <c r="N68" s="64" t="n"/>
      <c r="O68" s="67" t="n"/>
      <c r="P68" s="72" t="str">
        <f>IF($B68="","",SUMIFS('PAID MEDIA ADS'!$G$5:$G$804,'PAID MEDIA ADS'!$C$5:$C$804,$B68))</f>
        <v/>
      </c>
      <c r="Q68" s="67" t="n"/>
      <c r="R68" s="72" t="str">
        <f>IF($B68="","",COUNTIFS('LEAD MQL TRACKER'!$C$5:$C$1004,$B68,'LEAD MQL TRACKER'!$AB$5:$AB$1004,1)+SUMIFS('EMAIL MARKETING'!$Q$5:$Q$804,'EMAIL MARKETING'!$C$5:$C$804,$B68)+SUMIFS('PAID MEDIA ADS'!$M$5:$M$804,'PAID MEDIA ADS'!$C$5:$C$804,$B68)+SUMIFS('LINKEDIN OUTREACH'!$N$5:$N$704,'LINKEDIN OUTREACH'!$C$5:$C$704,$B68))</f>
        <v/>
      </c>
      <c r="S68" s="67" t="n"/>
      <c r="T68" s="72" t="str">
        <f>IF($B68="","",COUNTIFS('LEAD MQL TRACKER'!$C$5:$C$1004,$B68,'LEAD MQL TRACKER'!$AD$5:$AD$1004,1)+SUMIFS('EMAIL MARKETING'!$R$5:$R$804,'EMAIL MARKETING'!$C$5:$C$804,$B68)+SUMIFS('PAID MEDIA ADS'!$N$5:$N$804,'PAID MEDIA ADS'!$C$5:$C$804,$B68)+SUMIFS('LINKEDIN OUTREACH'!$O$5:$O$704,'LINKEDIN OUTREACH'!$C$5:$C$704,$B68))</f>
        <v/>
      </c>
      <c r="U68" s="67" t="n"/>
      <c r="V68" s="72" t="str">
        <f>IF($B68="","",COUNTIFS('LEAD MQL TRACKER'!$C$5:$C$1004,$B68,'LEAD MQL TRACKER'!$AE$5:$AE$1004,1))</f>
        <v/>
      </c>
      <c r="W68" s="72" t="str">
        <f>IF($B68="","",COUNTIFS('LEAD MQL TRACKER'!$C$5:$C$1004,$B68,'LEAD MQL TRACKER'!$AC$5:$AC$1004,1)+SUMIFS('LINKEDIN OUTREACH'!$M$5:$M$704,'LINKEDIN OUTREACH'!$C$5:$C$704,$B68))</f>
        <v/>
      </c>
      <c r="X68" s="72" t="str">
        <f>IF($B68="","",SUMIFS('EMAIL MARKETING'!$O$5:$O$804,'EMAIL MARKETING'!$C$5:$C$804,$B68)+SUMIFS('LINKEDIN OUTREACH'!$K$5:$K$704,'LINKEDIN OUTREACH'!$C$5:$C$704,$B68))</f>
        <v/>
      </c>
      <c r="Y68" s="73" t="str">
        <f>IF(ISNUMBER($R68),IF($R68&gt;0,$T68/$R68,""),"")</f>
        <v/>
      </c>
      <c r="Z68" s="72" t="str">
        <f>IF(AND(ISNUMBER($P68),ISNUMBER($R68)),IF(AND($P68&gt;0,$R68&gt;0),$P68/$R68,""),"")</f>
        <v/>
      </c>
      <c r="AA68" s="71" t="str">
        <f>IF($B68="","",IF(OR($N68="Live",$N68="Optimizing",$N68="Paused",$N68="Completed"),IF(ISNUMBER($AI68),IF($AI68&gt;=1,"Ahead",IF($AI68&gt;=OnTrackPct,"On Track",IF($AI68&gt;=WatchPct,"Behind","At Risk"))),"No Target Set"),"Not Live"))</f>
        <v/>
      </c>
      <c r="AB68" s="65" t="n"/>
      <c r="AC68" s="65" t="n"/>
      <c r="AD68" s="65" t="n"/>
      <c r="AE68" s="67" t="n"/>
      <c r="AF68" s="67" t="n"/>
      <c r="AG68" s="63" t="n"/>
      <c r="AH68" s="74">
        <f>IF($N68="Completed",1,IF(AND(ISNUMBER($K68),ISNUMBER($L68)),IF($L68&gt;$K68,MIN(1,MAX(0.05,(ReportDate-$K68)/($L68-$K68))),1),1))</f>
        <v>1</v>
      </c>
      <c r="AI68" s="70" t="str">
        <f>IF($B68="","",IF(AND(ISNUMBER($Q68),$Q68&gt;0),$R68/($Q68*$AH68),""))</f>
        <v/>
      </c>
      <c r="AJ68" s="71" t="str">
        <f>IF(ISNUMBER($K68),YEAR($K68)&amp;"-"&amp;TEXT(MONTH($K68),"00"),"")</f>
        <v/>
      </c>
      <c r="AK68" s="71">
        <f>IF($B68="",0,IF(AND(OR(fClient="All",$A68=fClient),OR(fCampaign="All",$B68=fCampaign),OR(fTeam="All",$I68=fTeam),OR(fChannel="All",$H68=fChannel),OR(fCStatus="All",$N68=fCStatus)),1,0))</f>
        <v>0</v>
      </c>
      <c r="AL68" s="71">
        <f>IF($B68="",0,IF(AND(OR(fClient="All",$A68=fClient),OR(fCampaign="All",$B68=fCampaign),OR(fTeam="All",$I68=fTeam),OR(fChannel="All",$H68=fChannel)),1,0))</f>
        <v>0</v>
      </c>
      <c r="AM68" s="71">
        <f>IF(OR($N68="Live",$N68="Optimizing"),1,0)</f>
        <v>0</v>
      </c>
      <c r="AN68" s="71">
        <f>IF(OR($N68="Live",$N68="Optimizing",$N68="Paused",$N68="Completed"),1,0)</f>
        <v>0</v>
      </c>
      <c r="AO68" s="71">
        <f>IF(AND($AM68=1,ISNUMBER($L68),NOT(ISNUMBER($M68))),IF($L68&lt;ReportDate,1,0),0)</f>
        <v>0</v>
      </c>
      <c r="AP68" s="71">
        <f>IF($AM68=1,IF(ISNUMBER($AG68),IF(ReportDate-$AG68&gt;CampStaleDays,1,0),1),0)</f>
        <v>0</v>
      </c>
      <c r="AQ68" s="71">
        <f>IF(AND($AM68=1,OR($AA68="Behind",$AA68="At Risk")),1,0)</f>
        <v>0</v>
      </c>
      <c r="AR68" s="71">
        <f>IF(AND($AM68=1,OR($AA68="Ahead",$AA68="On Track")),1,0)</f>
        <v>0</v>
      </c>
      <c r="AS68" s="71">
        <f>IF(OR($AQ68=1,$AP68=1,$AO68=1),1,0)</f>
        <v>0</v>
      </c>
      <c r="AT68" s="71" t="str">
        <f>IF($AS68=1,TRIM(IF($AQ68=1,"Low performance. ","")&amp;IF($AP68=1,"No recent update. ","")&amp;IF($AO68=1,"Past planned end. ","")),"")</f>
        <v/>
      </c>
      <c r="AU68" s="71" t="str">
        <f>IF(AND($AS68=1,$AL68=1),ROW(),"")</f>
        <v/>
      </c>
      <c r="AV68" s="71" t="str">
        <f>IF(AND($AQ68=1,$AL68=1),ROW(),"")</f>
        <v/>
      </c>
      <c r="AW68" s="71" t="str">
        <f>IF(AND($AP68=1,$AL68=1),ROW(),"")</f>
        <v/>
      </c>
      <c r="AX68" s="71" t="str">
        <f>IF(AND($AR68=1,$AL68=1),ROW(),"")</f>
        <v/>
      </c>
      <c r="AY68" s="71">
        <f>IF(AND($B68&lt;&gt;"",$A68=TCL_Client),1,0)</f>
        <v>0</v>
      </c>
      <c r="AZ68" s="71" t="str">
        <f>IF($AY68=1,ROW(),"")</f>
        <v/>
      </c>
      <c r="BA68" s="71">
        <f>IF(AND($B68&lt;&gt;"",$A68=MECCA_Client),1,0)</f>
        <v>0</v>
      </c>
      <c r="BB68" s="71" t="str">
        <f>IF($BA68=1,ROW(),"")</f>
        <v/>
      </c>
    </row>
    <row r="69">
      <c r="A69" s="64" t="n"/>
      <c r="B69" s="65" t="n"/>
      <c r="C69" s="64" t="n"/>
      <c r="D69" s="64" t="n"/>
      <c r="E69" s="64" t="n"/>
      <c r="F69" s="65" t="n"/>
      <c r="G69" s="65" t="n"/>
      <c r="H69" s="64" t="n"/>
      <c r="I69" s="64" t="n"/>
      <c r="J69" s="65" t="n"/>
      <c r="K69" s="63" t="n"/>
      <c r="L69" s="63" t="n"/>
      <c r="M69" s="63" t="n"/>
      <c r="N69" s="64" t="n"/>
      <c r="O69" s="67" t="n"/>
      <c r="P69" s="72" t="str">
        <f>IF($B69="","",SUMIFS('PAID MEDIA ADS'!$G$5:$G$804,'PAID MEDIA ADS'!$C$5:$C$804,$B69))</f>
        <v/>
      </c>
      <c r="Q69" s="67" t="n"/>
      <c r="R69" s="72" t="str">
        <f>IF($B69="","",COUNTIFS('LEAD MQL TRACKER'!$C$5:$C$1004,$B69,'LEAD MQL TRACKER'!$AB$5:$AB$1004,1)+SUMIFS('EMAIL MARKETING'!$Q$5:$Q$804,'EMAIL MARKETING'!$C$5:$C$804,$B69)+SUMIFS('PAID MEDIA ADS'!$M$5:$M$804,'PAID MEDIA ADS'!$C$5:$C$804,$B69)+SUMIFS('LINKEDIN OUTREACH'!$N$5:$N$704,'LINKEDIN OUTREACH'!$C$5:$C$704,$B69))</f>
        <v/>
      </c>
      <c r="S69" s="67" t="n"/>
      <c r="T69" s="72" t="str">
        <f>IF($B69="","",COUNTIFS('LEAD MQL TRACKER'!$C$5:$C$1004,$B69,'LEAD MQL TRACKER'!$AD$5:$AD$1004,1)+SUMIFS('EMAIL MARKETING'!$R$5:$R$804,'EMAIL MARKETING'!$C$5:$C$804,$B69)+SUMIFS('PAID MEDIA ADS'!$N$5:$N$804,'PAID MEDIA ADS'!$C$5:$C$804,$B69)+SUMIFS('LINKEDIN OUTREACH'!$O$5:$O$704,'LINKEDIN OUTREACH'!$C$5:$C$704,$B69))</f>
        <v/>
      </c>
      <c r="U69" s="67" t="n"/>
      <c r="V69" s="72" t="str">
        <f>IF($B69="","",COUNTIFS('LEAD MQL TRACKER'!$C$5:$C$1004,$B69,'LEAD MQL TRACKER'!$AE$5:$AE$1004,1))</f>
        <v/>
      </c>
      <c r="W69" s="72" t="str">
        <f>IF($B69="","",COUNTIFS('LEAD MQL TRACKER'!$C$5:$C$1004,$B69,'LEAD MQL TRACKER'!$AC$5:$AC$1004,1)+SUMIFS('LINKEDIN OUTREACH'!$M$5:$M$704,'LINKEDIN OUTREACH'!$C$5:$C$704,$B69))</f>
        <v/>
      </c>
      <c r="X69" s="72" t="str">
        <f>IF($B69="","",SUMIFS('EMAIL MARKETING'!$O$5:$O$804,'EMAIL MARKETING'!$C$5:$C$804,$B69)+SUMIFS('LINKEDIN OUTREACH'!$K$5:$K$704,'LINKEDIN OUTREACH'!$C$5:$C$704,$B69))</f>
        <v/>
      </c>
      <c r="Y69" s="73" t="str">
        <f>IF(ISNUMBER($R69),IF($R69&gt;0,$T69/$R69,""),"")</f>
        <v/>
      </c>
      <c r="Z69" s="72" t="str">
        <f>IF(AND(ISNUMBER($P69),ISNUMBER($R69)),IF(AND($P69&gt;0,$R69&gt;0),$P69/$R69,""),"")</f>
        <v/>
      </c>
      <c r="AA69" s="71" t="str">
        <f>IF($B69="","",IF(OR($N69="Live",$N69="Optimizing",$N69="Paused",$N69="Completed"),IF(ISNUMBER($AI69),IF($AI69&gt;=1,"Ahead",IF($AI69&gt;=OnTrackPct,"On Track",IF($AI69&gt;=WatchPct,"Behind","At Risk"))),"No Target Set"),"Not Live"))</f>
        <v/>
      </c>
      <c r="AB69" s="65" t="n"/>
      <c r="AC69" s="65" t="n"/>
      <c r="AD69" s="65" t="n"/>
      <c r="AE69" s="67" t="n"/>
      <c r="AF69" s="67" t="n"/>
      <c r="AG69" s="63" t="n"/>
      <c r="AH69" s="74">
        <f>IF($N69="Completed",1,IF(AND(ISNUMBER($K69),ISNUMBER($L69)),IF($L69&gt;$K69,MIN(1,MAX(0.05,(ReportDate-$K69)/($L69-$K69))),1),1))</f>
        <v>1</v>
      </c>
      <c r="AI69" s="70" t="str">
        <f>IF($B69="","",IF(AND(ISNUMBER($Q69),$Q69&gt;0),$R69/($Q69*$AH69),""))</f>
        <v/>
      </c>
      <c r="AJ69" s="71" t="str">
        <f>IF(ISNUMBER($K69),YEAR($K69)&amp;"-"&amp;TEXT(MONTH($K69),"00"),"")</f>
        <v/>
      </c>
      <c r="AK69" s="71">
        <f>IF($B69="",0,IF(AND(OR(fClient="All",$A69=fClient),OR(fCampaign="All",$B69=fCampaign),OR(fTeam="All",$I69=fTeam),OR(fChannel="All",$H69=fChannel),OR(fCStatus="All",$N69=fCStatus)),1,0))</f>
        <v>0</v>
      </c>
      <c r="AL69" s="71">
        <f>IF($B69="",0,IF(AND(OR(fClient="All",$A69=fClient),OR(fCampaign="All",$B69=fCampaign),OR(fTeam="All",$I69=fTeam),OR(fChannel="All",$H69=fChannel)),1,0))</f>
        <v>0</v>
      </c>
      <c r="AM69" s="71">
        <f>IF(OR($N69="Live",$N69="Optimizing"),1,0)</f>
        <v>0</v>
      </c>
      <c r="AN69" s="71">
        <f>IF(OR($N69="Live",$N69="Optimizing",$N69="Paused",$N69="Completed"),1,0)</f>
        <v>0</v>
      </c>
      <c r="AO69" s="71">
        <f>IF(AND($AM69=1,ISNUMBER($L69),NOT(ISNUMBER($M69))),IF($L69&lt;ReportDate,1,0),0)</f>
        <v>0</v>
      </c>
      <c r="AP69" s="71">
        <f>IF($AM69=1,IF(ISNUMBER($AG69),IF(ReportDate-$AG69&gt;CampStaleDays,1,0),1),0)</f>
        <v>0</v>
      </c>
      <c r="AQ69" s="71">
        <f>IF(AND($AM69=1,OR($AA69="Behind",$AA69="At Risk")),1,0)</f>
        <v>0</v>
      </c>
      <c r="AR69" s="71">
        <f>IF(AND($AM69=1,OR($AA69="Ahead",$AA69="On Track")),1,0)</f>
        <v>0</v>
      </c>
      <c r="AS69" s="71">
        <f>IF(OR($AQ69=1,$AP69=1,$AO69=1),1,0)</f>
        <v>0</v>
      </c>
      <c r="AT69" s="71" t="str">
        <f>IF($AS69=1,TRIM(IF($AQ69=1,"Low performance. ","")&amp;IF($AP69=1,"No recent update. ","")&amp;IF($AO69=1,"Past planned end. ","")),"")</f>
        <v/>
      </c>
      <c r="AU69" s="71" t="str">
        <f>IF(AND($AS69=1,$AL69=1),ROW(),"")</f>
        <v/>
      </c>
      <c r="AV69" s="71" t="str">
        <f>IF(AND($AQ69=1,$AL69=1),ROW(),"")</f>
        <v/>
      </c>
      <c r="AW69" s="71" t="str">
        <f>IF(AND($AP69=1,$AL69=1),ROW(),"")</f>
        <v/>
      </c>
      <c r="AX69" s="71" t="str">
        <f>IF(AND($AR69=1,$AL69=1),ROW(),"")</f>
        <v/>
      </c>
      <c r="AY69" s="71">
        <f>IF(AND($B69&lt;&gt;"",$A69=TCL_Client),1,0)</f>
        <v>0</v>
      </c>
      <c r="AZ69" s="71" t="str">
        <f>IF($AY69=1,ROW(),"")</f>
        <v/>
      </c>
      <c r="BA69" s="71">
        <f>IF(AND($B69&lt;&gt;"",$A69=MECCA_Client),1,0)</f>
        <v>0</v>
      </c>
      <c r="BB69" s="71" t="str">
        <f>IF($BA69=1,ROW(),"")</f>
        <v/>
      </c>
    </row>
    <row r="70">
      <c r="A70" s="64" t="n"/>
      <c r="B70" s="65" t="n"/>
      <c r="C70" s="64" t="n"/>
      <c r="D70" s="64" t="n"/>
      <c r="E70" s="64" t="n"/>
      <c r="F70" s="65" t="n"/>
      <c r="G70" s="65" t="n"/>
      <c r="H70" s="64" t="n"/>
      <c r="I70" s="64" t="n"/>
      <c r="J70" s="65" t="n"/>
      <c r="K70" s="63" t="n"/>
      <c r="L70" s="63" t="n"/>
      <c r="M70" s="63" t="n"/>
      <c r="N70" s="64" t="n"/>
      <c r="O70" s="67" t="n"/>
      <c r="P70" s="72" t="str">
        <f>IF($B70="","",SUMIFS('PAID MEDIA ADS'!$G$5:$G$804,'PAID MEDIA ADS'!$C$5:$C$804,$B70))</f>
        <v/>
      </c>
      <c r="Q70" s="67" t="n"/>
      <c r="R70" s="72" t="str">
        <f>IF($B70="","",COUNTIFS('LEAD MQL TRACKER'!$C$5:$C$1004,$B70,'LEAD MQL TRACKER'!$AB$5:$AB$1004,1)+SUMIFS('EMAIL MARKETING'!$Q$5:$Q$804,'EMAIL MARKETING'!$C$5:$C$804,$B70)+SUMIFS('PAID MEDIA ADS'!$M$5:$M$804,'PAID MEDIA ADS'!$C$5:$C$804,$B70)+SUMIFS('LINKEDIN OUTREACH'!$N$5:$N$704,'LINKEDIN OUTREACH'!$C$5:$C$704,$B70))</f>
        <v/>
      </c>
      <c r="S70" s="67" t="n"/>
      <c r="T70" s="72" t="str">
        <f>IF($B70="","",COUNTIFS('LEAD MQL TRACKER'!$C$5:$C$1004,$B70,'LEAD MQL TRACKER'!$AD$5:$AD$1004,1)+SUMIFS('EMAIL MARKETING'!$R$5:$R$804,'EMAIL MARKETING'!$C$5:$C$804,$B70)+SUMIFS('PAID MEDIA ADS'!$N$5:$N$804,'PAID MEDIA ADS'!$C$5:$C$804,$B70)+SUMIFS('LINKEDIN OUTREACH'!$O$5:$O$704,'LINKEDIN OUTREACH'!$C$5:$C$704,$B70))</f>
        <v/>
      </c>
      <c r="U70" s="67" t="n"/>
      <c r="V70" s="72" t="str">
        <f>IF($B70="","",COUNTIFS('LEAD MQL TRACKER'!$C$5:$C$1004,$B70,'LEAD MQL TRACKER'!$AE$5:$AE$1004,1))</f>
        <v/>
      </c>
      <c r="W70" s="72" t="str">
        <f>IF($B70="","",COUNTIFS('LEAD MQL TRACKER'!$C$5:$C$1004,$B70,'LEAD MQL TRACKER'!$AC$5:$AC$1004,1)+SUMIFS('LINKEDIN OUTREACH'!$M$5:$M$704,'LINKEDIN OUTREACH'!$C$5:$C$704,$B70))</f>
        <v/>
      </c>
      <c r="X70" s="72" t="str">
        <f>IF($B70="","",SUMIFS('EMAIL MARKETING'!$O$5:$O$804,'EMAIL MARKETING'!$C$5:$C$804,$B70)+SUMIFS('LINKEDIN OUTREACH'!$K$5:$K$704,'LINKEDIN OUTREACH'!$C$5:$C$704,$B70))</f>
        <v/>
      </c>
      <c r="Y70" s="73" t="str">
        <f>IF(ISNUMBER($R70),IF($R70&gt;0,$T70/$R70,""),"")</f>
        <v/>
      </c>
      <c r="Z70" s="72" t="str">
        <f>IF(AND(ISNUMBER($P70),ISNUMBER($R70)),IF(AND($P70&gt;0,$R70&gt;0),$P70/$R70,""),"")</f>
        <v/>
      </c>
      <c r="AA70" s="71" t="str">
        <f>IF($B70="","",IF(OR($N70="Live",$N70="Optimizing",$N70="Paused",$N70="Completed"),IF(ISNUMBER($AI70),IF($AI70&gt;=1,"Ahead",IF($AI70&gt;=OnTrackPct,"On Track",IF($AI70&gt;=WatchPct,"Behind","At Risk"))),"No Target Set"),"Not Live"))</f>
        <v/>
      </c>
      <c r="AB70" s="65" t="n"/>
      <c r="AC70" s="65" t="n"/>
      <c r="AD70" s="65" t="n"/>
      <c r="AE70" s="67" t="n"/>
      <c r="AF70" s="67" t="n"/>
      <c r="AG70" s="63" t="n"/>
      <c r="AH70" s="74">
        <f>IF($N70="Completed",1,IF(AND(ISNUMBER($K70),ISNUMBER($L70)),IF($L70&gt;$K70,MIN(1,MAX(0.05,(ReportDate-$K70)/($L70-$K70))),1),1))</f>
        <v>1</v>
      </c>
      <c r="AI70" s="70" t="str">
        <f>IF($B70="","",IF(AND(ISNUMBER($Q70),$Q70&gt;0),$R70/($Q70*$AH70),""))</f>
        <v/>
      </c>
      <c r="AJ70" s="71" t="str">
        <f>IF(ISNUMBER($K70),YEAR($K70)&amp;"-"&amp;TEXT(MONTH($K70),"00"),"")</f>
        <v/>
      </c>
      <c r="AK70" s="71">
        <f>IF($B70="",0,IF(AND(OR(fClient="All",$A70=fClient),OR(fCampaign="All",$B70=fCampaign),OR(fTeam="All",$I70=fTeam),OR(fChannel="All",$H70=fChannel),OR(fCStatus="All",$N70=fCStatus)),1,0))</f>
        <v>0</v>
      </c>
      <c r="AL70" s="71">
        <f>IF($B70="",0,IF(AND(OR(fClient="All",$A70=fClient),OR(fCampaign="All",$B70=fCampaign),OR(fTeam="All",$I70=fTeam),OR(fChannel="All",$H70=fChannel)),1,0))</f>
        <v>0</v>
      </c>
      <c r="AM70" s="71">
        <f>IF(OR($N70="Live",$N70="Optimizing"),1,0)</f>
        <v>0</v>
      </c>
      <c r="AN70" s="71">
        <f>IF(OR($N70="Live",$N70="Optimizing",$N70="Paused",$N70="Completed"),1,0)</f>
        <v>0</v>
      </c>
      <c r="AO70" s="71">
        <f>IF(AND($AM70=1,ISNUMBER($L70),NOT(ISNUMBER($M70))),IF($L70&lt;ReportDate,1,0),0)</f>
        <v>0</v>
      </c>
      <c r="AP70" s="71">
        <f>IF($AM70=1,IF(ISNUMBER($AG70),IF(ReportDate-$AG70&gt;CampStaleDays,1,0),1),0)</f>
        <v>0</v>
      </c>
      <c r="AQ70" s="71">
        <f>IF(AND($AM70=1,OR($AA70="Behind",$AA70="At Risk")),1,0)</f>
        <v>0</v>
      </c>
      <c r="AR70" s="71">
        <f>IF(AND($AM70=1,OR($AA70="Ahead",$AA70="On Track")),1,0)</f>
        <v>0</v>
      </c>
      <c r="AS70" s="71">
        <f>IF(OR($AQ70=1,$AP70=1,$AO70=1),1,0)</f>
        <v>0</v>
      </c>
      <c r="AT70" s="71" t="str">
        <f>IF($AS70=1,TRIM(IF($AQ70=1,"Low performance. ","")&amp;IF($AP70=1,"No recent update. ","")&amp;IF($AO70=1,"Past planned end. ","")),"")</f>
        <v/>
      </c>
      <c r="AU70" s="71" t="str">
        <f>IF(AND($AS70=1,$AL70=1),ROW(),"")</f>
        <v/>
      </c>
      <c r="AV70" s="71" t="str">
        <f>IF(AND($AQ70=1,$AL70=1),ROW(),"")</f>
        <v/>
      </c>
      <c r="AW70" s="71" t="str">
        <f>IF(AND($AP70=1,$AL70=1),ROW(),"")</f>
        <v/>
      </c>
      <c r="AX70" s="71" t="str">
        <f>IF(AND($AR70=1,$AL70=1),ROW(),"")</f>
        <v/>
      </c>
      <c r="AY70" s="71">
        <f>IF(AND($B70&lt;&gt;"",$A70=TCL_Client),1,0)</f>
        <v>0</v>
      </c>
      <c r="AZ70" s="71" t="str">
        <f>IF($AY70=1,ROW(),"")</f>
        <v/>
      </c>
      <c r="BA70" s="71">
        <f>IF(AND($B70&lt;&gt;"",$A70=MECCA_Client),1,0)</f>
        <v>0</v>
      </c>
      <c r="BB70" s="71" t="str">
        <f>IF($BA70=1,ROW(),"")</f>
        <v/>
      </c>
    </row>
    <row r="71">
      <c r="A71" s="64" t="n"/>
      <c r="B71" s="65" t="n"/>
      <c r="C71" s="64" t="n"/>
      <c r="D71" s="64" t="n"/>
      <c r="E71" s="64" t="n"/>
      <c r="F71" s="65" t="n"/>
      <c r="G71" s="65" t="n"/>
      <c r="H71" s="64" t="n"/>
      <c r="I71" s="64" t="n"/>
      <c r="J71" s="65" t="n"/>
      <c r="K71" s="63" t="n"/>
      <c r="L71" s="63" t="n"/>
      <c r="M71" s="63" t="n"/>
      <c r="N71" s="64" t="n"/>
      <c r="O71" s="67" t="n"/>
      <c r="P71" s="72" t="str">
        <f>IF($B71="","",SUMIFS('PAID MEDIA ADS'!$G$5:$G$804,'PAID MEDIA ADS'!$C$5:$C$804,$B71))</f>
        <v/>
      </c>
      <c r="Q71" s="67" t="n"/>
      <c r="R71" s="72" t="str">
        <f>IF($B71="","",COUNTIFS('LEAD MQL TRACKER'!$C$5:$C$1004,$B71,'LEAD MQL TRACKER'!$AB$5:$AB$1004,1)+SUMIFS('EMAIL MARKETING'!$Q$5:$Q$804,'EMAIL MARKETING'!$C$5:$C$804,$B71)+SUMIFS('PAID MEDIA ADS'!$M$5:$M$804,'PAID MEDIA ADS'!$C$5:$C$804,$B71)+SUMIFS('LINKEDIN OUTREACH'!$N$5:$N$704,'LINKEDIN OUTREACH'!$C$5:$C$704,$B71))</f>
        <v/>
      </c>
      <c r="S71" s="67" t="n"/>
      <c r="T71" s="72" t="str">
        <f>IF($B71="","",COUNTIFS('LEAD MQL TRACKER'!$C$5:$C$1004,$B71,'LEAD MQL TRACKER'!$AD$5:$AD$1004,1)+SUMIFS('EMAIL MARKETING'!$R$5:$R$804,'EMAIL MARKETING'!$C$5:$C$804,$B71)+SUMIFS('PAID MEDIA ADS'!$N$5:$N$804,'PAID MEDIA ADS'!$C$5:$C$804,$B71)+SUMIFS('LINKEDIN OUTREACH'!$O$5:$O$704,'LINKEDIN OUTREACH'!$C$5:$C$704,$B71))</f>
        <v/>
      </c>
      <c r="U71" s="67" t="n"/>
      <c r="V71" s="72" t="str">
        <f>IF($B71="","",COUNTIFS('LEAD MQL TRACKER'!$C$5:$C$1004,$B71,'LEAD MQL TRACKER'!$AE$5:$AE$1004,1))</f>
        <v/>
      </c>
      <c r="W71" s="72" t="str">
        <f>IF($B71="","",COUNTIFS('LEAD MQL TRACKER'!$C$5:$C$1004,$B71,'LEAD MQL TRACKER'!$AC$5:$AC$1004,1)+SUMIFS('LINKEDIN OUTREACH'!$M$5:$M$704,'LINKEDIN OUTREACH'!$C$5:$C$704,$B71))</f>
        <v/>
      </c>
      <c r="X71" s="72" t="str">
        <f>IF($B71="","",SUMIFS('EMAIL MARKETING'!$O$5:$O$804,'EMAIL MARKETING'!$C$5:$C$804,$B71)+SUMIFS('LINKEDIN OUTREACH'!$K$5:$K$704,'LINKEDIN OUTREACH'!$C$5:$C$704,$B71))</f>
        <v/>
      </c>
      <c r="Y71" s="73" t="str">
        <f>IF(ISNUMBER($R71),IF($R71&gt;0,$T71/$R71,""),"")</f>
        <v/>
      </c>
      <c r="Z71" s="72" t="str">
        <f>IF(AND(ISNUMBER($P71),ISNUMBER($R71)),IF(AND($P71&gt;0,$R71&gt;0),$P71/$R71,""),"")</f>
        <v/>
      </c>
      <c r="AA71" s="71" t="str">
        <f>IF($B71="","",IF(OR($N71="Live",$N71="Optimizing",$N71="Paused",$N71="Completed"),IF(ISNUMBER($AI71),IF($AI71&gt;=1,"Ahead",IF($AI71&gt;=OnTrackPct,"On Track",IF($AI71&gt;=WatchPct,"Behind","At Risk"))),"No Target Set"),"Not Live"))</f>
        <v/>
      </c>
      <c r="AB71" s="65" t="n"/>
      <c r="AC71" s="65" t="n"/>
      <c r="AD71" s="65" t="n"/>
      <c r="AE71" s="67" t="n"/>
      <c r="AF71" s="67" t="n"/>
      <c r="AG71" s="63" t="n"/>
      <c r="AH71" s="74">
        <f>IF($N71="Completed",1,IF(AND(ISNUMBER($K71),ISNUMBER($L71)),IF($L71&gt;$K71,MIN(1,MAX(0.05,(ReportDate-$K71)/($L71-$K71))),1),1))</f>
        <v>1</v>
      </c>
      <c r="AI71" s="70" t="str">
        <f>IF($B71="","",IF(AND(ISNUMBER($Q71),$Q71&gt;0),$R71/($Q71*$AH71),""))</f>
        <v/>
      </c>
      <c r="AJ71" s="71" t="str">
        <f>IF(ISNUMBER($K71),YEAR($K71)&amp;"-"&amp;TEXT(MONTH($K71),"00"),"")</f>
        <v/>
      </c>
      <c r="AK71" s="71">
        <f>IF($B71="",0,IF(AND(OR(fClient="All",$A71=fClient),OR(fCampaign="All",$B71=fCampaign),OR(fTeam="All",$I71=fTeam),OR(fChannel="All",$H71=fChannel),OR(fCStatus="All",$N71=fCStatus)),1,0))</f>
        <v>0</v>
      </c>
      <c r="AL71" s="71">
        <f>IF($B71="",0,IF(AND(OR(fClient="All",$A71=fClient),OR(fCampaign="All",$B71=fCampaign),OR(fTeam="All",$I71=fTeam),OR(fChannel="All",$H71=fChannel)),1,0))</f>
        <v>0</v>
      </c>
      <c r="AM71" s="71">
        <f>IF(OR($N71="Live",$N71="Optimizing"),1,0)</f>
        <v>0</v>
      </c>
      <c r="AN71" s="71">
        <f>IF(OR($N71="Live",$N71="Optimizing",$N71="Paused",$N71="Completed"),1,0)</f>
        <v>0</v>
      </c>
      <c r="AO71" s="71">
        <f>IF(AND($AM71=1,ISNUMBER($L71),NOT(ISNUMBER($M71))),IF($L71&lt;ReportDate,1,0),0)</f>
        <v>0</v>
      </c>
      <c r="AP71" s="71">
        <f>IF($AM71=1,IF(ISNUMBER($AG71),IF(ReportDate-$AG71&gt;CampStaleDays,1,0),1),0)</f>
        <v>0</v>
      </c>
      <c r="AQ71" s="71">
        <f>IF(AND($AM71=1,OR($AA71="Behind",$AA71="At Risk")),1,0)</f>
        <v>0</v>
      </c>
      <c r="AR71" s="71">
        <f>IF(AND($AM71=1,OR($AA71="Ahead",$AA71="On Track")),1,0)</f>
        <v>0</v>
      </c>
      <c r="AS71" s="71">
        <f>IF(OR($AQ71=1,$AP71=1,$AO71=1),1,0)</f>
        <v>0</v>
      </c>
      <c r="AT71" s="71" t="str">
        <f>IF($AS71=1,TRIM(IF($AQ71=1,"Low performance. ","")&amp;IF($AP71=1,"No recent update. ","")&amp;IF($AO71=1,"Past planned end. ","")),"")</f>
        <v/>
      </c>
      <c r="AU71" s="71" t="str">
        <f>IF(AND($AS71=1,$AL71=1),ROW(),"")</f>
        <v/>
      </c>
      <c r="AV71" s="71" t="str">
        <f>IF(AND($AQ71=1,$AL71=1),ROW(),"")</f>
        <v/>
      </c>
      <c r="AW71" s="71" t="str">
        <f>IF(AND($AP71=1,$AL71=1),ROW(),"")</f>
        <v/>
      </c>
      <c r="AX71" s="71" t="str">
        <f>IF(AND($AR71=1,$AL71=1),ROW(),"")</f>
        <v/>
      </c>
      <c r="AY71" s="71">
        <f>IF(AND($B71&lt;&gt;"",$A71=TCL_Client),1,0)</f>
        <v>0</v>
      </c>
      <c r="AZ71" s="71" t="str">
        <f>IF($AY71=1,ROW(),"")</f>
        <v/>
      </c>
      <c r="BA71" s="71">
        <f>IF(AND($B71&lt;&gt;"",$A71=MECCA_Client),1,0)</f>
        <v>0</v>
      </c>
      <c r="BB71" s="71" t="str">
        <f>IF($BA71=1,ROW(),"")</f>
        <v/>
      </c>
    </row>
    <row r="72">
      <c r="A72" s="64" t="n"/>
      <c r="B72" s="65" t="n"/>
      <c r="C72" s="64" t="n"/>
      <c r="D72" s="64" t="n"/>
      <c r="E72" s="64" t="n"/>
      <c r="F72" s="65" t="n"/>
      <c r="G72" s="65" t="n"/>
      <c r="H72" s="64" t="n"/>
      <c r="I72" s="64" t="n"/>
      <c r="J72" s="65" t="n"/>
      <c r="K72" s="63" t="n"/>
      <c r="L72" s="63" t="n"/>
      <c r="M72" s="63" t="n"/>
      <c r="N72" s="64" t="n"/>
      <c r="O72" s="67" t="n"/>
      <c r="P72" s="72" t="str">
        <f>IF($B72="","",SUMIFS('PAID MEDIA ADS'!$G$5:$G$804,'PAID MEDIA ADS'!$C$5:$C$804,$B72))</f>
        <v/>
      </c>
      <c r="Q72" s="67" t="n"/>
      <c r="R72" s="72" t="str">
        <f>IF($B72="","",COUNTIFS('LEAD MQL TRACKER'!$C$5:$C$1004,$B72,'LEAD MQL TRACKER'!$AB$5:$AB$1004,1)+SUMIFS('EMAIL MARKETING'!$Q$5:$Q$804,'EMAIL MARKETING'!$C$5:$C$804,$B72)+SUMIFS('PAID MEDIA ADS'!$M$5:$M$804,'PAID MEDIA ADS'!$C$5:$C$804,$B72)+SUMIFS('LINKEDIN OUTREACH'!$N$5:$N$704,'LINKEDIN OUTREACH'!$C$5:$C$704,$B72))</f>
        <v/>
      </c>
      <c r="S72" s="67" t="n"/>
      <c r="T72" s="72" t="str">
        <f>IF($B72="","",COUNTIFS('LEAD MQL TRACKER'!$C$5:$C$1004,$B72,'LEAD MQL TRACKER'!$AD$5:$AD$1004,1)+SUMIFS('EMAIL MARKETING'!$R$5:$R$804,'EMAIL MARKETING'!$C$5:$C$804,$B72)+SUMIFS('PAID MEDIA ADS'!$N$5:$N$804,'PAID MEDIA ADS'!$C$5:$C$804,$B72)+SUMIFS('LINKEDIN OUTREACH'!$O$5:$O$704,'LINKEDIN OUTREACH'!$C$5:$C$704,$B72))</f>
        <v/>
      </c>
      <c r="U72" s="67" t="n"/>
      <c r="V72" s="72" t="str">
        <f>IF($B72="","",COUNTIFS('LEAD MQL TRACKER'!$C$5:$C$1004,$B72,'LEAD MQL TRACKER'!$AE$5:$AE$1004,1))</f>
        <v/>
      </c>
      <c r="W72" s="72" t="str">
        <f>IF($B72="","",COUNTIFS('LEAD MQL TRACKER'!$C$5:$C$1004,$B72,'LEAD MQL TRACKER'!$AC$5:$AC$1004,1)+SUMIFS('LINKEDIN OUTREACH'!$M$5:$M$704,'LINKEDIN OUTREACH'!$C$5:$C$704,$B72))</f>
        <v/>
      </c>
      <c r="X72" s="72" t="str">
        <f>IF($B72="","",SUMIFS('EMAIL MARKETING'!$O$5:$O$804,'EMAIL MARKETING'!$C$5:$C$804,$B72)+SUMIFS('LINKEDIN OUTREACH'!$K$5:$K$704,'LINKEDIN OUTREACH'!$C$5:$C$704,$B72))</f>
        <v/>
      </c>
      <c r="Y72" s="73" t="str">
        <f>IF(ISNUMBER($R72),IF($R72&gt;0,$T72/$R72,""),"")</f>
        <v/>
      </c>
      <c r="Z72" s="72" t="str">
        <f>IF(AND(ISNUMBER($P72),ISNUMBER($R72)),IF(AND($P72&gt;0,$R72&gt;0),$P72/$R72,""),"")</f>
        <v/>
      </c>
      <c r="AA72" s="71" t="str">
        <f>IF($B72="","",IF(OR($N72="Live",$N72="Optimizing",$N72="Paused",$N72="Completed"),IF(ISNUMBER($AI72),IF($AI72&gt;=1,"Ahead",IF($AI72&gt;=OnTrackPct,"On Track",IF($AI72&gt;=WatchPct,"Behind","At Risk"))),"No Target Set"),"Not Live"))</f>
        <v/>
      </c>
      <c r="AB72" s="65" t="n"/>
      <c r="AC72" s="65" t="n"/>
      <c r="AD72" s="65" t="n"/>
      <c r="AE72" s="67" t="n"/>
      <c r="AF72" s="67" t="n"/>
      <c r="AG72" s="63" t="n"/>
      <c r="AH72" s="74">
        <f>IF($N72="Completed",1,IF(AND(ISNUMBER($K72),ISNUMBER($L72)),IF($L72&gt;$K72,MIN(1,MAX(0.05,(ReportDate-$K72)/($L72-$K72))),1),1))</f>
        <v>1</v>
      </c>
      <c r="AI72" s="70" t="str">
        <f>IF($B72="","",IF(AND(ISNUMBER($Q72),$Q72&gt;0),$R72/($Q72*$AH72),""))</f>
        <v/>
      </c>
      <c r="AJ72" s="71" t="str">
        <f>IF(ISNUMBER($K72),YEAR($K72)&amp;"-"&amp;TEXT(MONTH($K72),"00"),"")</f>
        <v/>
      </c>
      <c r="AK72" s="71">
        <f>IF($B72="",0,IF(AND(OR(fClient="All",$A72=fClient),OR(fCampaign="All",$B72=fCampaign),OR(fTeam="All",$I72=fTeam),OR(fChannel="All",$H72=fChannel),OR(fCStatus="All",$N72=fCStatus)),1,0))</f>
        <v>0</v>
      </c>
      <c r="AL72" s="71">
        <f>IF($B72="",0,IF(AND(OR(fClient="All",$A72=fClient),OR(fCampaign="All",$B72=fCampaign),OR(fTeam="All",$I72=fTeam),OR(fChannel="All",$H72=fChannel)),1,0))</f>
        <v>0</v>
      </c>
      <c r="AM72" s="71">
        <f>IF(OR($N72="Live",$N72="Optimizing"),1,0)</f>
        <v>0</v>
      </c>
      <c r="AN72" s="71">
        <f>IF(OR($N72="Live",$N72="Optimizing",$N72="Paused",$N72="Completed"),1,0)</f>
        <v>0</v>
      </c>
      <c r="AO72" s="71">
        <f>IF(AND($AM72=1,ISNUMBER($L72),NOT(ISNUMBER($M72))),IF($L72&lt;ReportDate,1,0),0)</f>
        <v>0</v>
      </c>
      <c r="AP72" s="71">
        <f>IF($AM72=1,IF(ISNUMBER($AG72),IF(ReportDate-$AG72&gt;CampStaleDays,1,0),1),0)</f>
        <v>0</v>
      </c>
      <c r="AQ72" s="71">
        <f>IF(AND($AM72=1,OR($AA72="Behind",$AA72="At Risk")),1,0)</f>
        <v>0</v>
      </c>
      <c r="AR72" s="71">
        <f>IF(AND($AM72=1,OR($AA72="Ahead",$AA72="On Track")),1,0)</f>
        <v>0</v>
      </c>
      <c r="AS72" s="71">
        <f>IF(OR($AQ72=1,$AP72=1,$AO72=1),1,0)</f>
        <v>0</v>
      </c>
      <c r="AT72" s="71" t="str">
        <f>IF($AS72=1,TRIM(IF($AQ72=1,"Low performance. ","")&amp;IF($AP72=1,"No recent update. ","")&amp;IF($AO72=1,"Past planned end. ","")),"")</f>
        <v/>
      </c>
      <c r="AU72" s="71" t="str">
        <f>IF(AND($AS72=1,$AL72=1),ROW(),"")</f>
        <v/>
      </c>
      <c r="AV72" s="71" t="str">
        <f>IF(AND($AQ72=1,$AL72=1),ROW(),"")</f>
        <v/>
      </c>
      <c r="AW72" s="71" t="str">
        <f>IF(AND($AP72=1,$AL72=1),ROW(),"")</f>
        <v/>
      </c>
      <c r="AX72" s="71" t="str">
        <f>IF(AND($AR72=1,$AL72=1),ROW(),"")</f>
        <v/>
      </c>
      <c r="AY72" s="71">
        <f>IF(AND($B72&lt;&gt;"",$A72=TCL_Client),1,0)</f>
        <v>0</v>
      </c>
      <c r="AZ72" s="71" t="str">
        <f>IF($AY72=1,ROW(),"")</f>
        <v/>
      </c>
      <c r="BA72" s="71">
        <f>IF(AND($B72&lt;&gt;"",$A72=MECCA_Client),1,0)</f>
        <v>0</v>
      </c>
      <c r="BB72" s="71" t="str">
        <f>IF($BA72=1,ROW(),"")</f>
        <v/>
      </c>
    </row>
    <row r="73">
      <c r="A73" s="64" t="n"/>
      <c r="B73" s="65" t="n"/>
      <c r="C73" s="64" t="n"/>
      <c r="D73" s="64" t="n"/>
      <c r="E73" s="64" t="n"/>
      <c r="F73" s="65" t="n"/>
      <c r="G73" s="65" t="n"/>
      <c r="H73" s="64" t="n"/>
      <c r="I73" s="64" t="n"/>
      <c r="J73" s="65" t="n"/>
      <c r="K73" s="63" t="n"/>
      <c r="L73" s="63" t="n"/>
      <c r="M73" s="63" t="n"/>
      <c r="N73" s="64" t="n"/>
      <c r="O73" s="67" t="n"/>
      <c r="P73" s="72" t="str">
        <f>IF($B73="","",SUMIFS('PAID MEDIA ADS'!$G$5:$G$804,'PAID MEDIA ADS'!$C$5:$C$804,$B73))</f>
        <v/>
      </c>
      <c r="Q73" s="67" t="n"/>
      <c r="R73" s="72" t="str">
        <f>IF($B73="","",COUNTIFS('LEAD MQL TRACKER'!$C$5:$C$1004,$B73,'LEAD MQL TRACKER'!$AB$5:$AB$1004,1)+SUMIFS('EMAIL MARKETING'!$Q$5:$Q$804,'EMAIL MARKETING'!$C$5:$C$804,$B73)+SUMIFS('PAID MEDIA ADS'!$M$5:$M$804,'PAID MEDIA ADS'!$C$5:$C$804,$B73)+SUMIFS('LINKEDIN OUTREACH'!$N$5:$N$704,'LINKEDIN OUTREACH'!$C$5:$C$704,$B73))</f>
        <v/>
      </c>
      <c r="S73" s="67" t="n"/>
      <c r="T73" s="72" t="str">
        <f>IF($B73="","",COUNTIFS('LEAD MQL TRACKER'!$C$5:$C$1004,$B73,'LEAD MQL TRACKER'!$AD$5:$AD$1004,1)+SUMIFS('EMAIL MARKETING'!$R$5:$R$804,'EMAIL MARKETING'!$C$5:$C$804,$B73)+SUMIFS('PAID MEDIA ADS'!$N$5:$N$804,'PAID MEDIA ADS'!$C$5:$C$804,$B73)+SUMIFS('LINKEDIN OUTREACH'!$O$5:$O$704,'LINKEDIN OUTREACH'!$C$5:$C$704,$B73))</f>
        <v/>
      </c>
      <c r="U73" s="67" t="n"/>
      <c r="V73" s="72" t="str">
        <f>IF($B73="","",COUNTIFS('LEAD MQL TRACKER'!$C$5:$C$1004,$B73,'LEAD MQL TRACKER'!$AE$5:$AE$1004,1))</f>
        <v/>
      </c>
      <c r="W73" s="72" t="str">
        <f>IF($B73="","",COUNTIFS('LEAD MQL TRACKER'!$C$5:$C$1004,$B73,'LEAD MQL TRACKER'!$AC$5:$AC$1004,1)+SUMIFS('LINKEDIN OUTREACH'!$M$5:$M$704,'LINKEDIN OUTREACH'!$C$5:$C$704,$B73))</f>
        <v/>
      </c>
      <c r="X73" s="72" t="str">
        <f>IF($B73="","",SUMIFS('EMAIL MARKETING'!$O$5:$O$804,'EMAIL MARKETING'!$C$5:$C$804,$B73)+SUMIFS('LINKEDIN OUTREACH'!$K$5:$K$704,'LINKEDIN OUTREACH'!$C$5:$C$704,$B73))</f>
        <v/>
      </c>
      <c r="Y73" s="73" t="str">
        <f>IF(ISNUMBER($R73),IF($R73&gt;0,$T73/$R73,""),"")</f>
        <v/>
      </c>
      <c r="Z73" s="72" t="str">
        <f>IF(AND(ISNUMBER($P73),ISNUMBER($R73)),IF(AND($P73&gt;0,$R73&gt;0),$P73/$R73,""),"")</f>
        <v/>
      </c>
      <c r="AA73" s="71" t="str">
        <f>IF($B73="","",IF(OR($N73="Live",$N73="Optimizing",$N73="Paused",$N73="Completed"),IF(ISNUMBER($AI73),IF($AI73&gt;=1,"Ahead",IF($AI73&gt;=OnTrackPct,"On Track",IF($AI73&gt;=WatchPct,"Behind","At Risk"))),"No Target Set"),"Not Live"))</f>
        <v/>
      </c>
      <c r="AB73" s="65" t="n"/>
      <c r="AC73" s="65" t="n"/>
      <c r="AD73" s="65" t="n"/>
      <c r="AE73" s="67" t="n"/>
      <c r="AF73" s="67" t="n"/>
      <c r="AG73" s="63" t="n"/>
      <c r="AH73" s="74">
        <f>IF($N73="Completed",1,IF(AND(ISNUMBER($K73),ISNUMBER($L73)),IF($L73&gt;$K73,MIN(1,MAX(0.05,(ReportDate-$K73)/($L73-$K73))),1),1))</f>
        <v>1</v>
      </c>
      <c r="AI73" s="70" t="str">
        <f>IF($B73="","",IF(AND(ISNUMBER($Q73),$Q73&gt;0),$R73/($Q73*$AH73),""))</f>
        <v/>
      </c>
      <c r="AJ73" s="71" t="str">
        <f>IF(ISNUMBER($K73),YEAR($K73)&amp;"-"&amp;TEXT(MONTH($K73),"00"),"")</f>
        <v/>
      </c>
      <c r="AK73" s="71">
        <f>IF($B73="",0,IF(AND(OR(fClient="All",$A73=fClient),OR(fCampaign="All",$B73=fCampaign),OR(fTeam="All",$I73=fTeam),OR(fChannel="All",$H73=fChannel),OR(fCStatus="All",$N73=fCStatus)),1,0))</f>
        <v>0</v>
      </c>
      <c r="AL73" s="71">
        <f>IF($B73="",0,IF(AND(OR(fClient="All",$A73=fClient),OR(fCampaign="All",$B73=fCampaign),OR(fTeam="All",$I73=fTeam),OR(fChannel="All",$H73=fChannel)),1,0))</f>
        <v>0</v>
      </c>
      <c r="AM73" s="71">
        <f>IF(OR($N73="Live",$N73="Optimizing"),1,0)</f>
        <v>0</v>
      </c>
      <c r="AN73" s="71">
        <f>IF(OR($N73="Live",$N73="Optimizing",$N73="Paused",$N73="Completed"),1,0)</f>
        <v>0</v>
      </c>
      <c r="AO73" s="71">
        <f>IF(AND($AM73=1,ISNUMBER($L73),NOT(ISNUMBER($M73))),IF($L73&lt;ReportDate,1,0),0)</f>
        <v>0</v>
      </c>
      <c r="AP73" s="71">
        <f>IF($AM73=1,IF(ISNUMBER($AG73),IF(ReportDate-$AG73&gt;CampStaleDays,1,0),1),0)</f>
        <v>0</v>
      </c>
      <c r="AQ73" s="71">
        <f>IF(AND($AM73=1,OR($AA73="Behind",$AA73="At Risk")),1,0)</f>
        <v>0</v>
      </c>
      <c r="AR73" s="71">
        <f>IF(AND($AM73=1,OR($AA73="Ahead",$AA73="On Track")),1,0)</f>
        <v>0</v>
      </c>
      <c r="AS73" s="71">
        <f>IF(OR($AQ73=1,$AP73=1,$AO73=1),1,0)</f>
        <v>0</v>
      </c>
      <c r="AT73" s="71" t="str">
        <f>IF($AS73=1,TRIM(IF($AQ73=1,"Low performance. ","")&amp;IF($AP73=1,"No recent update. ","")&amp;IF($AO73=1,"Past planned end. ","")),"")</f>
        <v/>
      </c>
      <c r="AU73" s="71" t="str">
        <f>IF(AND($AS73=1,$AL73=1),ROW(),"")</f>
        <v/>
      </c>
      <c r="AV73" s="71" t="str">
        <f>IF(AND($AQ73=1,$AL73=1),ROW(),"")</f>
        <v/>
      </c>
      <c r="AW73" s="71" t="str">
        <f>IF(AND($AP73=1,$AL73=1),ROW(),"")</f>
        <v/>
      </c>
      <c r="AX73" s="71" t="str">
        <f>IF(AND($AR73=1,$AL73=1),ROW(),"")</f>
        <v/>
      </c>
      <c r="AY73" s="71">
        <f>IF(AND($B73&lt;&gt;"",$A73=TCL_Client),1,0)</f>
        <v>0</v>
      </c>
      <c r="AZ73" s="71" t="str">
        <f>IF($AY73=1,ROW(),"")</f>
        <v/>
      </c>
      <c r="BA73" s="71">
        <f>IF(AND($B73&lt;&gt;"",$A73=MECCA_Client),1,0)</f>
        <v>0</v>
      </c>
      <c r="BB73" s="71" t="str">
        <f>IF($BA73=1,ROW(),"")</f>
        <v/>
      </c>
    </row>
    <row r="74">
      <c r="A74" s="64" t="n"/>
      <c r="B74" s="65" t="n"/>
      <c r="C74" s="64" t="n"/>
      <c r="D74" s="64" t="n"/>
      <c r="E74" s="64" t="n"/>
      <c r="F74" s="65" t="n"/>
      <c r="G74" s="65" t="n"/>
      <c r="H74" s="64" t="n"/>
      <c r="I74" s="64" t="n"/>
      <c r="J74" s="65" t="n"/>
      <c r="K74" s="63" t="n"/>
      <c r="L74" s="63" t="n"/>
      <c r="M74" s="63" t="n"/>
      <c r="N74" s="64" t="n"/>
      <c r="O74" s="67" t="n"/>
      <c r="P74" s="72" t="str">
        <f>IF($B74="","",SUMIFS('PAID MEDIA ADS'!$G$5:$G$804,'PAID MEDIA ADS'!$C$5:$C$804,$B74))</f>
        <v/>
      </c>
      <c r="Q74" s="67" t="n"/>
      <c r="R74" s="72" t="str">
        <f>IF($B74="","",COUNTIFS('LEAD MQL TRACKER'!$C$5:$C$1004,$B74,'LEAD MQL TRACKER'!$AB$5:$AB$1004,1)+SUMIFS('EMAIL MARKETING'!$Q$5:$Q$804,'EMAIL MARKETING'!$C$5:$C$804,$B74)+SUMIFS('PAID MEDIA ADS'!$M$5:$M$804,'PAID MEDIA ADS'!$C$5:$C$804,$B74)+SUMIFS('LINKEDIN OUTREACH'!$N$5:$N$704,'LINKEDIN OUTREACH'!$C$5:$C$704,$B74))</f>
        <v/>
      </c>
      <c r="S74" s="67" t="n"/>
      <c r="T74" s="72" t="str">
        <f>IF($B74="","",COUNTIFS('LEAD MQL TRACKER'!$C$5:$C$1004,$B74,'LEAD MQL TRACKER'!$AD$5:$AD$1004,1)+SUMIFS('EMAIL MARKETING'!$R$5:$R$804,'EMAIL MARKETING'!$C$5:$C$804,$B74)+SUMIFS('PAID MEDIA ADS'!$N$5:$N$804,'PAID MEDIA ADS'!$C$5:$C$804,$B74)+SUMIFS('LINKEDIN OUTREACH'!$O$5:$O$704,'LINKEDIN OUTREACH'!$C$5:$C$704,$B74))</f>
        <v/>
      </c>
      <c r="U74" s="67" t="n"/>
      <c r="V74" s="72" t="str">
        <f>IF($B74="","",COUNTIFS('LEAD MQL TRACKER'!$C$5:$C$1004,$B74,'LEAD MQL TRACKER'!$AE$5:$AE$1004,1))</f>
        <v/>
      </c>
      <c r="W74" s="72" t="str">
        <f>IF($B74="","",COUNTIFS('LEAD MQL TRACKER'!$C$5:$C$1004,$B74,'LEAD MQL TRACKER'!$AC$5:$AC$1004,1)+SUMIFS('LINKEDIN OUTREACH'!$M$5:$M$704,'LINKEDIN OUTREACH'!$C$5:$C$704,$B74))</f>
        <v/>
      </c>
      <c r="X74" s="72" t="str">
        <f>IF($B74="","",SUMIFS('EMAIL MARKETING'!$O$5:$O$804,'EMAIL MARKETING'!$C$5:$C$804,$B74)+SUMIFS('LINKEDIN OUTREACH'!$K$5:$K$704,'LINKEDIN OUTREACH'!$C$5:$C$704,$B74))</f>
        <v/>
      </c>
      <c r="Y74" s="73" t="str">
        <f>IF(ISNUMBER($R74),IF($R74&gt;0,$T74/$R74,""),"")</f>
        <v/>
      </c>
      <c r="Z74" s="72" t="str">
        <f>IF(AND(ISNUMBER($P74),ISNUMBER($R74)),IF(AND($P74&gt;0,$R74&gt;0),$P74/$R74,""),"")</f>
        <v/>
      </c>
      <c r="AA74" s="71" t="str">
        <f>IF($B74="","",IF(OR($N74="Live",$N74="Optimizing",$N74="Paused",$N74="Completed"),IF(ISNUMBER($AI74),IF($AI74&gt;=1,"Ahead",IF($AI74&gt;=OnTrackPct,"On Track",IF($AI74&gt;=WatchPct,"Behind","At Risk"))),"No Target Set"),"Not Live"))</f>
        <v/>
      </c>
      <c r="AB74" s="65" t="n"/>
      <c r="AC74" s="65" t="n"/>
      <c r="AD74" s="65" t="n"/>
      <c r="AE74" s="67" t="n"/>
      <c r="AF74" s="67" t="n"/>
      <c r="AG74" s="63" t="n"/>
      <c r="AH74" s="74">
        <f>IF($N74="Completed",1,IF(AND(ISNUMBER($K74),ISNUMBER($L74)),IF($L74&gt;$K74,MIN(1,MAX(0.05,(ReportDate-$K74)/($L74-$K74))),1),1))</f>
        <v>1</v>
      </c>
      <c r="AI74" s="70" t="str">
        <f>IF($B74="","",IF(AND(ISNUMBER($Q74),$Q74&gt;0),$R74/($Q74*$AH74),""))</f>
        <v/>
      </c>
      <c r="AJ74" s="71" t="str">
        <f>IF(ISNUMBER($K74),YEAR($K74)&amp;"-"&amp;TEXT(MONTH($K74),"00"),"")</f>
        <v/>
      </c>
      <c r="AK74" s="71">
        <f>IF($B74="",0,IF(AND(OR(fClient="All",$A74=fClient),OR(fCampaign="All",$B74=fCampaign),OR(fTeam="All",$I74=fTeam),OR(fChannel="All",$H74=fChannel),OR(fCStatus="All",$N74=fCStatus)),1,0))</f>
        <v>0</v>
      </c>
      <c r="AL74" s="71">
        <f>IF($B74="",0,IF(AND(OR(fClient="All",$A74=fClient),OR(fCampaign="All",$B74=fCampaign),OR(fTeam="All",$I74=fTeam),OR(fChannel="All",$H74=fChannel)),1,0))</f>
        <v>0</v>
      </c>
      <c r="AM74" s="71">
        <f>IF(OR($N74="Live",$N74="Optimizing"),1,0)</f>
        <v>0</v>
      </c>
      <c r="AN74" s="71">
        <f>IF(OR($N74="Live",$N74="Optimizing",$N74="Paused",$N74="Completed"),1,0)</f>
        <v>0</v>
      </c>
      <c r="AO74" s="71">
        <f>IF(AND($AM74=1,ISNUMBER($L74),NOT(ISNUMBER($M74))),IF($L74&lt;ReportDate,1,0),0)</f>
        <v>0</v>
      </c>
      <c r="AP74" s="71">
        <f>IF($AM74=1,IF(ISNUMBER($AG74),IF(ReportDate-$AG74&gt;CampStaleDays,1,0),1),0)</f>
        <v>0</v>
      </c>
      <c r="AQ74" s="71">
        <f>IF(AND($AM74=1,OR($AA74="Behind",$AA74="At Risk")),1,0)</f>
        <v>0</v>
      </c>
      <c r="AR74" s="71">
        <f>IF(AND($AM74=1,OR($AA74="Ahead",$AA74="On Track")),1,0)</f>
        <v>0</v>
      </c>
      <c r="AS74" s="71">
        <f>IF(OR($AQ74=1,$AP74=1,$AO74=1),1,0)</f>
        <v>0</v>
      </c>
      <c r="AT74" s="71" t="str">
        <f>IF($AS74=1,TRIM(IF($AQ74=1,"Low performance. ","")&amp;IF($AP74=1,"No recent update. ","")&amp;IF($AO74=1,"Past planned end. ","")),"")</f>
        <v/>
      </c>
      <c r="AU74" s="71" t="str">
        <f>IF(AND($AS74=1,$AL74=1),ROW(),"")</f>
        <v/>
      </c>
      <c r="AV74" s="71" t="str">
        <f>IF(AND($AQ74=1,$AL74=1),ROW(),"")</f>
        <v/>
      </c>
      <c r="AW74" s="71" t="str">
        <f>IF(AND($AP74=1,$AL74=1),ROW(),"")</f>
        <v/>
      </c>
      <c r="AX74" s="71" t="str">
        <f>IF(AND($AR74=1,$AL74=1),ROW(),"")</f>
        <v/>
      </c>
      <c r="AY74" s="71">
        <f>IF(AND($B74&lt;&gt;"",$A74=TCL_Client),1,0)</f>
        <v>0</v>
      </c>
      <c r="AZ74" s="71" t="str">
        <f>IF($AY74=1,ROW(),"")</f>
        <v/>
      </c>
      <c r="BA74" s="71">
        <f>IF(AND($B74&lt;&gt;"",$A74=MECCA_Client),1,0)</f>
        <v>0</v>
      </c>
      <c r="BB74" s="71" t="str">
        <f>IF($BA74=1,ROW(),"")</f>
        <v/>
      </c>
    </row>
    <row r="75">
      <c r="A75" s="64" t="n"/>
      <c r="B75" s="65" t="n"/>
      <c r="C75" s="64" t="n"/>
      <c r="D75" s="64" t="n"/>
      <c r="E75" s="64" t="n"/>
      <c r="F75" s="65" t="n"/>
      <c r="G75" s="65" t="n"/>
      <c r="H75" s="64" t="n"/>
      <c r="I75" s="64" t="n"/>
      <c r="J75" s="65" t="n"/>
      <c r="K75" s="63" t="n"/>
      <c r="L75" s="63" t="n"/>
      <c r="M75" s="63" t="n"/>
      <c r="N75" s="64" t="n"/>
      <c r="O75" s="67" t="n"/>
      <c r="P75" s="72" t="str">
        <f>IF($B75="","",SUMIFS('PAID MEDIA ADS'!$G$5:$G$804,'PAID MEDIA ADS'!$C$5:$C$804,$B75))</f>
        <v/>
      </c>
      <c r="Q75" s="67" t="n"/>
      <c r="R75" s="72" t="str">
        <f>IF($B75="","",COUNTIFS('LEAD MQL TRACKER'!$C$5:$C$1004,$B75,'LEAD MQL TRACKER'!$AB$5:$AB$1004,1)+SUMIFS('EMAIL MARKETING'!$Q$5:$Q$804,'EMAIL MARKETING'!$C$5:$C$804,$B75)+SUMIFS('PAID MEDIA ADS'!$M$5:$M$804,'PAID MEDIA ADS'!$C$5:$C$804,$B75)+SUMIFS('LINKEDIN OUTREACH'!$N$5:$N$704,'LINKEDIN OUTREACH'!$C$5:$C$704,$B75))</f>
        <v/>
      </c>
      <c r="S75" s="67" t="n"/>
      <c r="T75" s="72" t="str">
        <f>IF($B75="","",COUNTIFS('LEAD MQL TRACKER'!$C$5:$C$1004,$B75,'LEAD MQL TRACKER'!$AD$5:$AD$1004,1)+SUMIFS('EMAIL MARKETING'!$R$5:$R$804,'EMAIL MARKETING'!$C$5:$C$804,$B75)+SUMIFS('PAID MEDIA ADS'!$N$5:$N$804,'PAID MEDIA ADS'!$C$5:$C$804,$B75)+SUMIFS('LINKEDIN OUTREACH'!$O$5:$O$704,'LINKEDIN OUTREACH'!$C$5:$C$704,$B75))</f>
        <v/>
      </c>
      <c r="U75" s="67" t="n"/>
      <c r="V75" s="72" t="str">
        <f>IF($B75="","",COUNTIFS('LEAD MQL TRACKER'!$C$5:$C$1004,$B75,'LEAD MQL TRACKER'!$AE$5:$AE$1004,1))</f>
        <v/>
      </c>
      <c r="W75" s="72" t="str">
        <f>IF($B75="","",COUNTIFS('LEAD MQL TRACKER'!$C$5:$C$1004,$B75,'LEAD MQL TRACKER'!$AC$5:$AC$1004,1)+SUMIFS('LINKEDIN OUTREACH'!$M$5:$M$704,'LINKEDIN OUTREACH'!$C$5:$C$704,$B75))</f>
        <v/>
      </c>
      <c r="X75" s="72" t="str">
        <f>IF($B75="","",SUMIFS('EMAIL MARKETING'!$O$5:$O$804,'EMAIL MARKETING'!$C$5:$C$804,$B75)+SUMIFS('LINKEDIN OUTREACH'!$K$5:$K$704,'LINKEDIN OUTREACH'!$C$5:$C$704,$B75))</f>
        <v/>
      </c>
      <c r="Y75" s="73" t="str">
        <f>IF(ISNUMBER($R75),IF($R75&gt;0,$T75/$R75,""),"")</f>
        <v/>
      </c>
      <c r="Z75" s="72" t="str">
        <f>IF(AND(ISNUMBER($P75),ISNUMBER($R75)),IF(AND($P75&gt;0,$R75&gt;0),$P75/$R75,""),"")</f>
        <v/>
      </c>
      <c r="AA75" s="71" t="str">
        <f>IF($B75="","",IF(OR($N75="Live",$N75="Optimizing",$N75="Paused",$N75="Completed"),IF(ISNUMBER($AI75),IF($AI75&gt;=1,"Ahead",IF($AI75&gt;=OnTrackPct,"On Track",IF($AI75&gt;=WatchPct,"Behind","At Risk"))),"No Target Set"),"Not Live"))</f>
        <v/>
      </c>
      <c r="AB75" s="65" t="n"/>
      <c r="AC75" s="65" t="n"/>
      <c r="AD75" s="65" t="n"/>
      <c r="AE75" s="67" t="n"/>
      <c r="AF75" s="67" t="n"/>
      <c r="AG75" s="63" t="n"/>
      <c r="AH75" s="74">
        <f>IF($N75="Completed",1,IF(AND(ISNUMBER($K75),ISNUMBER($L75)),IF($L75&gt;$K75,MIN(1,MAX(0.05,(ReportDate-$K75)/($L75-$K75))),1),1))</f>
        <v>1</v>
      </c>
      <c r="AI75" s="70" t="str">
        <f>IF($B75="","",IF(AND(ISNUMBER($Q75),$Q75&gt;0),$R75/($Q75*$AH75),""))</f>
        <v/>
      </c>
      <c r="AJ75" s="71" t="str">
        <f>IF(ISNUMBER($K75),YEAR($K75)&amp;"-"&amp;TEXT(MONTH($K75),"00"),"")</f>
        <v/>
      </c>
      <c r="AK75" s="71">
        <f>IF($B75="",0,IF(AND(OR(fClient="All",$A75=fClient),OR(fCampaign="All",$B75=fCampaign),OR(fTeam="All",$I75=fTeam),OR(fChannel="All",$H75=fChannel),OR(fCStatus="All",$N75=fCStatus)),1,0))</f>
        <v>0</v>
      </c>
      <c r="AL75" s="71">
        <f>IF($B75="",0,IF(AND(OR(fClient="All",$A75=fClient),OR(fCampaign="All",$B75=fCampaign),OR(fTeam="All",$I75=fTeam),OR(fChannel="All",$H75=fChannel)),1,0))</f>
        <v>0</v>
      </c>
      <c r="AM75" s="71">
        <f>IF(OR($N75="Live",$N75="Optimizing"),1,0)</f>
        <v>0</v>
      </c>
      <c r="AN75" s="71">
        <f>IF(OR($N75="Live",$N75="Optimizing",$N75="Paused",$N75="Completed"),1,0)</f>
        <v>0</v>
      </c>
      <c r="AO75" s="71">
        <f>IF(AND($AM75=1,ISNUMBER($L75),NOT(ISNUMBER($M75))),IF($L75&lt;ReportDate,1,0),0)</f>
        <v>0</v>
      </c>
      <c r="AP75" s="71">
        <f>IF($AM75=1,IF(ISNUMBER($AG75),IF(ReportDate-$AG75&gt;CampStaleDays,1,0),1),0)</f>
        <v>0</v>
      </c>
      <c r="AQ75" s="71">
        <f>IF(AND($AM75=1,OR($AA75="Behind",$AA75="At Risk")),1,0)</f>
        <v>0</v>
      </c>
      <c r="AR75" s="71">
        <f>IF(AND($AM75=1,OR($AA75="Ahead",$AA75="On Track")),1,0)</f>
        <v>0</v>
      </c>
      <c r="AS75" s="71">
        <f>IF(OR($AQ75=1,$AP75=1,$AO75=1),1,0)</f>
        <v>0</v>
      </c>
      <c r="AT75" s="71" t="str">
        <f>IF($AS75=1,TRIM(IF($AQ75=1,"Low performance. ","")&amp;IF($AP75=1,"No recent update. ","")&amp;IF($AO75=1,"Past planned end. ","")),"")</f>
        <v/>
      </c>
      <c r="AU75" s="71" t="str">
        <f>IF(AND($AS75=1,$AL75=1),ROW(),"")</f>
        <v/>
      </c>
      <c r="AV75" s="71" t="str">
        <f>IF(AND($AQ75=1,$AL75=1),ROW(),"")</f>
        <v/>
      </c>
      <c r="AW75" s="71" t="str">
        <f>IF(AND($AP75=1,$AL75=1),ROW(),"")</f>
        <v/>
      </c>
      <c r="AX75" s="71" t="str">
        <f>IF(AND($AR75=1,$AL75=1),ROW(),"")</f>
        <v/>
      </c>
      <c r="AY75" s="71">
        <f>IF(AND($B75&lt;&gt;"",$A75=TCL_Client),1,0)</f>
        <v>0</v>
      </c>
      <c r="AZ75" s="71" t="str">
        <f>IF($AY75=1,ROW(),"")</f>
        <v/>
      </c>
      <c r="BA75" s="71">
        <f>IF(AND($B75&lt;&gt;"",$A75=MECCA_Client),1,0)</f>
        <v>0</v>
      </c>
      <c r="BB75" s="71" t="str">
        <f>IF($BA75=1,ROW(),"")</f>
        <v/>
      </c>
    </row>
    <row r="76">
      <c r="A76" s="64" t="n"/>
      <c r="B76" s="65" t="n"/>
      <c r="C76" s="64" t="n"/>
      <c r="D76" s="64" t="n"/>
      <c r="E76" s="64" t="n"/>
      <c r="F76" s="65" t="n"/>
      <c r="G76" s="65" t="n"/>
      <c r="H76" s="64" t="n"/>
      <c r="I76" s="64" t="n"/>
      <c r="J76" s="65" t="n"/>
      <c r="K76" s="63" t="n"/>
      <c r="L76" s="63" t="n"/>
      <c r="M76" s="63" t="n"/>
      <c r="N76" s="64" t="n"/>
      <c r="O76" s="67" t="n"/>
      <c r="P76" s="72" t="str">
        <f>IF($B76="","",SUMIFS('PAID MEDIA ADS'!$G$5:$G$804,'PAID MEDIA ADS'!$C$5:$C$804,$B76))</f>
        <v/>
      </c>
      <c r="Q76" s="67" t="n"/>
      <c r="R76" s="72" t="str">
        <f>IF($B76="","",COUNTIFS('LEAD MQL TRACKER'!$C$5:$C$1004,$B76,'LEAD MQL TRACKER'!$AB$5:$AB$1004,1)+SUMIFS('EMAIL MARKETING'!$Q$5:$Q$804,'EMAIL MARKETING'!$C$5:$C$804,$B76)+SUMIFS('PAID MEDIA ADS'!$M$5:$M$804,'PAID MEDIA ADS'!$C$5:$C$804,$B76)+SUMIFS('LINKEDIN OUTREACH'!$N$5:$N$704,'LINKEDIN OUTREACH'!$C$5:$C$704,$B76))</f>
        <v/>
      </c>
      <c r="S76" s="67" t="n"/>
      <c r="T76" s="72" t="str">
        <f>IF($B76="","",COUNTIFS('LEAD MQL TRACKER'!$C$5:$C$1004,$B76,'LEAD MQL TRACKER'!$AD$5:$AD$1004,1)+SUMIFS('EMAIL MARKETING'!$R$5:$R$804,'EMAIL MARKETING'!$C$5:$C$804,$B76)+SUMIFS('PAID MEDIA ADS'!$N$5:$N$804,'PAID MEDIA ADS'!$C$5:$C$804,$B76)+SUMIFS('LINKEDIN OUTREACH'!$O$5:$O$704,'LINKEDIN OUTREACH'!$C$5:$C$704,$B76))</f>
        <v/>
      </c>
      <c r="U76" s="67" t="n"/>
      <c r="V76" s="72" t="str">
        <f>IF($B76="","",COUNTIFS('LEAD MQL TRACKER'!$C$5:$C$1004,$B76,'LEAD MQL TRACKER'!$AE$5:$AE$1004,1))</f>
        <v/>
      </c>
      <c r="W76" s="72" t="str">
        <f>IF($B76="","",COUNTIFS('LEAD MQL TRACKER'!$C$5:$C$1004,$B76,'LEAD MQL TRACKER'!$AC$5:$AC$1004,1)+SUMIFS('LINKEDIN OUTREACH'!$M$5:$M$704,'LINKEDIN OUTREACH'!$C$5:$C$704,$B76))</f>
        <v/>
      </c>
      <c r="X76" s="72" t="str">
        <f>IF($B76="","",SUMIFS('EMAIL MARKETING'!$O$5:$O$804,'EMAIL MARKETING'!$C$5:$C$804,$B76)+SUMIFS('LINKEDIN OUTREACH'!$K$5:$K$704,'LINKEDIN OUTREACH'!$C$5:$C$704,$B76))</f>
        <v/>
      </c>
      <c r="Y76" s="73" t="str">
        <f>IF(ISNUMBER($R76),IF($R76&gt;0,$T76/$R76,""),"")</f>
        <v/>
      </c>
      <c r="Z76" s="72" t="str">
        <f>IF(AND(ISNUMBER($P76),ISNUMBER($R76)),IF(AND($P76&gt;0,$R76&gt;0),$P76/$R76,""),"")</f>
        <v/>
      </c>
      <c r="AA76" s="71" t="str">
        <f>IF($B76="","",IF(OR($N76="Live",$N76="Optimizing",$N76="Paused",$N76="Completed"),IF(ISNUMBER($AI76),IF($AI76&gt;=1,"Ahead",IF($AI76&gt;=OnTrackPct,"On Track",IF($AI76&gt;=WatchPct,"Behind","At Risk"))),"No Target Set"),"Not Live"))</f>
        <v/>
      </c>
      <c r="AB76" s="65" t="n"/>
      <c r="AC76" s="65" t="n"/>
      <c r="AD76" s="65" t="n"/>
      <c r="AE76" s="67" t="n"/>
      <c r="AF76" s="67" t="n"/>
      <c r="AG76" s="63" t="n"/>
      <c r="AH76" s="74">
        <f>IF($N76="Completed",1,IF(AND(ISNUMBER($K76),ISNUMBER($L76)),IF($L76&gt;$K76,MIN(1,MAX(0.05,(ReportDate-$K76)/($L76-$K76))),1),1))</f>
        <v>1</v>
      </c>
      <c r="AI76" s="70" t="str">
        <f>IF($B76="","",IF(AND(ISNUMBER($Q76),$Q76&gt;0),$R76/($Q76*$AH76),""))</f>
        <v/>
      </c>
      <c r="AJ76" s="71" t="str">
        <f>IF(ISNUMBER($K76),YEAR($K76)&amp;"-"&amp;TEXT(MONTH($K76),"00"),"")</f>
        <v/>
      </c>
      <c r="AK76" s="71">
        <f>IF($B76="",0,IF(AND(OR(fClient="All",$A76=fClient),OR(fCampaign="All",$B76=fCampaign),OR(fTeam="All",$I76=fTeam),OR(fChannel="All",$H76=fChannel),OR(fCStatus="All",$N76=fCStatus)),1,0))</f>
        <v>0</v>
      </c>
      <c r="AL76" s="71">
        <f>IF($B76="",0,IF(AND(OR(fClient="All",$A76=fClient),OR(fCampaign="All",$B76=fCampaign),OR(fTeam="All",$I76=fTeam),OR(fChannel="All",$H76=fChannel)),1,0))</f>
        <v>0</v>
      </c>
      <c r="AM76" s="71">
        <f>IF(OR($N76="Live",$N76="Optimizing"),1,0)</f>
        <v>0</v>
      </c>
      <c r="AN76" s="71">
        <f>IF(OR($N76="Live",$N76="Optimizing",$N76="Paused",$N76="Completed"),1,0)</f>
        <v>0</v>
      </c>
      <c r="AO76" s="71">
        <f>IF(AND($AM76=1,ISNUMBER($L76),NOT(ISNUMBER($M76))),IF($L76&lt;ReportDate,1,0),0)</f>
        <v>0</v>
      </c>
      <c r="AP76" s="71">
        <f>IF($AM76=1,IF(ISNUMBER($AG76),IF(ReportDate-$AG76&gt;CampStaleDays,1,0),1),0)</f>
        <v>0</v>
      </c>
      <c r="AQ76" s="71">
        <f>IF(AND($AM76=1,OR($AA76="Behind",$AA76="At Risk")),1,0)</f>
        <v>0</v>
      </c>
      <c r="AR76" s="71">
        <f>IF(AND($AM76=1,OR($AA76="Ahead",$AA76="On Track")),1,0)</f>
        <v>0</v>
      </c>
      <c r="AS76" s="71">
        <f>IF(OR($AQ76=1,$AP76=1,$AO76=1),1,0)</f>
        <v>0</v>
      </c>
      <c r="AT76" s="71" t="str">
        <f>IF($AS76=1,TRIM(IF($AQ76=1,"Low performance. ","")&amp;IF($AP76=1,"No recent update. ","")&amp;IF($AO76=1,"Past planned end. ","")),"")</f>
        <v/>
      </c>
      <c r="AU76" s="71" t="str">
        <f>IF(AND($AS76=1,$AL76=1),ROW(),"")</f>
        <v/>
      </c>
      <c r="AV76" s="71" t="str">
        <f>IF(AND($AQ76=1,$AL76=1),ROW(),"")</f>
        <v/>
      </c>
      <c r="AW76" s="71" t="str">
        <f>IF(AND($AP76=1,$AL76=1),ROW(),"")</f>
        <v/>
      </c>
      <c r="AX76" s="71" t="str">
        <f>IF(AND($AR76=1,$AL76=1),ROW(),"")</f>
        <v/>
      </c>
      <c r="AY76" s="71">
        <f>IF(AND($B76&lt;&gt;"",$A76=TCL_Client),1,0)</f>
        <v>0</v>
      </c>
      <c r="AZ76" s="71" t="str">
        <f>IF($AY76=1,ROW(),"")</f>
        <v/>
      </c>
      <c r="BA76" s="71">
        <f>IF(AND($B76&lt;&gt;"",$A76=MECCA_Client),1,0)</f>
        <v>0</v>
      </c>
      <c r="BB76" s="71" t="str">
        <f>IF($BA76=1,ROW(),"")</f>
        <v/>
      </c>
    </row>
    <row r="77">
      <c r="A77" s="64" t="n"/>
      <c r="B77" s="65" t="n"/>
      <c r="C77" s="64" t="n"/>
      <c r="D77" s="64" t="n"/>
      <c r="E77" s="64" t="n"/>
      <c r="F77" s="65" t="n"/>
      <c r="G77" s="65" t="n"/>
      <c r="H77" s="64" t="n"/>
      <c r="I77" s="64" t="n"/>
      <c r="J77" s="65" t="n"/>
      <c r="K77" s="63" t="n"/>
      <c r="L77" s="63" t="n"/>
      <c r="M77" s="63" t="n"/>
      <c r="N77" s="64" t="n"/>
      <c r="O77" s="67" t="n"/>
      <c r="P77" s="72" t="str">
        <f>IF($B77="","",SUMIFS('PAID MEDIA ADS'!$G$5:$G$804,'PAID MEDIA ADS'!$C$5:$C$804,$B77))</f>
        <v/>
      </c>
      <c r="Q77" s="67" t="n"/>
      <c r="R77" s="72" t="str">
        <f>IF($B77="","",COUNTIFS('LEAD MQL TRACKER'!$C$5:$C$1004,$B77,'LEAD MQL TRACKER'!$AB$5:$AB$1004,1)+SUMIFS('EMAIL MARKETING'!$Q$5:$Q$804,'EMAIL MARKETING'!$C$5:$C$804,$B77)+SUMIFS('PAID MEDIA ADS'!$M$5:$M$804,'PAID MEDIA ADS'!$C$5:$C$804,$B77)+SUMIFS('LINKEDIN OUTREACH'!$N$5:$N$704,'LINKEDIN OUTREACH'!$C$5:$C$704,$B77))</f>
        <v/>
      </c>
      <c r="S77" s="67" t="n"/>
      <c r="T77" s="72" t="str">
        <f>IF($B77="","",COUNTIFS('LEAD MQL TRACKER'!$C$5:$C$1004,$B77,'LEAD MQL TRACKER'!$AD$5:$AD$1004,1)+SUMIFS('EMAIL MARKETING'!$R$5:$R$804,'EMAIL MARKETING'!$C$5:$C$804,$B77)+SUMIFS('PAID MEDIA ADS'!$N$5:$N$804,'PAID MEDIA ADS'!$C$5:$C$804,$B77)+SUMIFS('LINKEDIN OUTREACH'!$O$5:$O$704,'LINKEDIN OUTREACH'!$C$5:$C$704,$B77))</f>
        <v/>
      </c>
      <c r="U77" s="67" t="n"/>
      <c r="V77" s="72" t="str">
        <f>IF($B77="","",COUNTIFS('LEAD MQL TRACKER'!$C$5:$C$1004,$B77,'LEAD MQL TRACKER'!$AE$5:$AE$1004,1))</f>
        <v/>
      </c>
      <c r="W77" s="72" t="str">
        <f>IF($B77="","",COUNTIFS('LEAD MQL TRACKER'!$C$5:$C$1004,$B77,'LEAD MQL TRACKER'!$AC$5:$AC$1004,1)+SUMIFS('LINKEDIN OUTREACH'!$M$5:$M$704,'LINKEDIN OUTREACH'!$C$5:$C$704,$B77))</f>
        <v/>
      </c>
      <c r="X77" s="72" t="str">
        <f>IF($B77="","",SUMIFS('EMAIL MARKETING'!$O$5:$O$804,'EMAIL MARKETING'!$C$5:$C$804,$B77)+SUMIFS('LINKEDIN OUTREACH'!$K$5:$K$704,'LINKEDIN OUTREACH'!$C$5:$C$704,$B77))</f>
        <v/>
      </c>
      <c r="Y77" s="73" t="str">
        <f>IF(ISNUMBER($R77),IF($R77&gt;0,$T77/$R77,""),"")</f>
        <v/>
      </c>
      <c r="Z77" s="72" t="str">
        <f>IF(AND(ISNUMBER($P77),ISNUMBER($R77)),IF(AND($P77&gt;0,$R77&gt;0),$P77/$R77,""),"")</f>
        <v/>
      </c>
      <c r="AA77" s="71" t="str">
        <f>IF($B77="","",IF(OR($N77="Live",$N77="Optimizing",$N77="Paused",$N77="Completed"),IF(ISNUMBER($AI77),IF($AI77&gt;=1,"Ahead",IF($AI77&gt;=OnTrackPct,"On Track",IF($AI77&gt;=WatchPct,"Behind","At Risk"))),"No Target Set"),"Not Live"))</f>
        <v/>
      </c>
      <c r="AB77" s="65" t="n"/>
      <c r="AC77" s="65" t="n"/>
      <c r="AD77" s="65" t="n"/>
      <c r="AE77" s="67" t="n"/>
      <c r="AF77" s="67" t="n"/>
      <c r="AG77" s="63" t="n"/>
      <c r="AH77" s="74">
        <f>IF($N77="Completed",1,IF(AND(ISNUMBER($K77),ISNUMBER($L77)),IF($L77&gt;$K77,MIN(1,MAX(0.05,(ReportDate-$K77)/($L77-$K77))),1),1))</f>
        <v>1</v>
      </c>
      <c r="AI77" s="70" t="str">
        <f>IF($B77="","",IF(AND(ISNUMBER($Q77),$Q77&gt;0),$R77/($Q77*$AH77),""))</f>
        <v/>
      </c>
      <c r="AJ77" s="71" t="str">
        <f>IF(ISNUMBER($K77),YEAR($K77)&amp;"-"&amp;TEXT(MONTH($K77),"00"),"")</f>
        <v/>
      </c>
      <c r="AK77" s="71">
        <f>IF($B77="",0,IF(AND(OR(fClient="All",$A77=fClient),OR(fCampaign="All",$B77=fCampaign),OR(fTeam="All",$I77=fTeam),OR(fChannel="All",$H77=fChannel),OR(fCStatus="All",$N77=fCStatus)),1,0))</f>
        <v>0</v>
      </c>
      <c r="AL77" s="71">
        <f>IF($B77="",0,IF(AND(OR(fClient="All",$A77=fClient),OR(fCampaign="All",$B77=fCampaign),OR(fTeam="All",$I77=fTeam),OR(fChannel="All",$H77=fChannel)),1,0))</f>
        <v>0</v>
      </c>
      <c r="AM77" s="71">
        <f>IF(OR($N77="Live",$N77="Optimizing"),1,0)</f>
        <v>0</v>
      </c>
      <c r="AN77" s="71">
        <f>IF(OR($N77="Live",$N77="Optimizing",$N77="Paused",$N77="Completed"),1,0)</f>
        <v>0</v>
      </c>
      <c r="AO77" s="71">
        <f>IF(AND($AM77=1,ISNUMBER($L77),NOT(ISNUMBER($M77))),IF($L77&lt;ReportDate,1,0),0)</f>
        <v>0</v>
      </c>
      <c r="AP77" s="71">
        <f>IF($AM77=1,IF(ISNUMBER($AG77),IF(ReportDate-$AG77&gt;CampStaleDays,1,0),1),0)</f>
        <v>0</v>
      </c>
      <c r="AQ77" s="71">
        <f>IF(AND($AM77=1,OR($AA77="Behind",$AA77="At Risk")),1,0)</f>
        <v>0</v>
      </c>
      <c r="AR77" s="71">
        <f>IF(AND($AM77=1,OR($AA77="Ahead",$AA77="On Track")),1,0)</f>
        <v>0</v>
      </c>
      <c r="AS77" s="71">
        <f>IF(OR($AQ77=1,$AP77=1,$AO77=1),1,0)</f>
        <v>0</v>
      </c>
      <c r="AT77" s="71" t="str">
        <f>IF($AS77=1,TRIM(IF($AQ77=1,"Low performance. ","")&amp;IF($AP77=1,"No recent update. ","")&amp;IF($AO77=1,"Past planned end. ","")),"")</f>
        <v/>
      </c>
      <c r="AU77" s="71" t="str">
        <f>IF(AND($AS77=1,$AL77=1),ROW(),"")</f>
        <v/>
      </c>
      <c r="AV77" s="71" t="str">
        <f>IF(AND($AQ77=1,$AL77=1),ROW(),"")</f>
        <v/>
      </c>
      <c r="AW77" s="71" t="str">
        <f>IF(AND($AP77=1,$AL77=1),ROW(),"")</f>
        <v/>
      </c>
      <c r="AX77" s="71" t="str">
        <f>IF(AND($AR77=1,$AL77=1),ROW(),"")</f>
        <v/>
      </c>
      <c r="AY77" s="71">
        <f>IF(AND($B77&lt;&gt;"",$A77=TCL_Client),1,0)</f>
        <v>0</v>
      </c>
      <c r="AZ77" s="71" t="str">
        <f>IF($AY77=1,ROW(),"")</f>
        <v/>
      </c>
      <c r="BA77" s="71">
        <f>IF(AND($B77&lt;&gt;"",$A77=MECCA_Client),1,0)</f>
        <v>0</v>
      </c>
      <c r="BB77" s="71" t="str">
        <f>IF($BA77=1,ROW(),"")</f>
        <v/>
      </c>
    </row>
    <row r="78">
      <c r="A78" s="64" t="n"/>
      <c r="B78" s="65" t="n"/>
      <c r="C78" s="64" t="n"/>
      <c r="D78" s="64" t="n"/>
      <c r="E78" s="64" t="n"/>
      <c r="F78" s="65" t="n"/>
      <c r="G78" s="65" t="n"/>
      <c r="H78" s="64" t="n"/>
      <c r="I78" s="64" t="n"/>
      <c r="J78" s="65" t="n"/>
      <c r="K78" s="63" t="n"/>
      <c r="L78" s="63" t="n"/>
      <c r="M78" s="63" t="n"/>
      <c r="N78" s="64" t="n"/>
      <c r="O78" s="67" t="n"/>
      <c r="P78" s="72" t="str">
        <f>IF($B78="","",SUMIFS('PAID MEDIA ADS'!$G$5:$G$804,'PAID MEDIA ADS'!$C$5:$C$804,$B78))</f>
        <v/>
      </c>
      <c r="Q78" s="67" t="n"/>
      <c r="R78" s="72" t="str">
        <f>IF($B78="","",COUNTIFS('LEAD MQL TRACKER'!$C$5:$C$1004,$B78,'LEAD MQL TRACKER'!$AB$5:$AB$1004,1)+SUMIFS('EMAIL MARKETING'!$Q$5:$Q$804,'EMAIL MARKETING'!$C$5:$C$804,$B78)+SUMIFS('PAID MEDIA ADS'!$M$5:$M$804,'PAID MEDIA ADS'!$C$5:$C$804,$B78)+SUMIFS('LINKEDIN OUTREACH'!$N$5:$N$704,'LINKEDIN OUTREACH'!$C$5:$C$704,$B78))</f>
        <v/>
      </c>
      <c r="S78" s="67" t="n"/>
      <c r="T78" s="72" t="str">
        <f>IF($B78="","",COUNTIFS('LEAD MQL TRACKER'!$C$5:$C$1004,$B78,'LEAD MQL TRACKER'!$AD$5:$AD$1004,1)+SUMIFS('EMAIL MARKETING'!$R$5:$R$804,'EMAIL MARKETING'!$C$5:$C$804,$B78)+SUMIFS('PAID MEDIA ADS'!$N$5:$N$804,'PAID MEDIA ADS'!$C$5:$C$804,$B78)+SUMIFS('LINKEDIN OUTREACH'!$O$5:$O$704,'LINKEDIN OUTREACH'!$C$5:$C$704,$B78))</f>
        <v/>
      </c>
      <c r="U78" s="67" t="n"/>
      <c r="V78" s="72" t="str">
        <f>IF($B78="","",COUNTIFS('LEAD MQL TRACKER'!$C$5:$C$1004,$B78,'LEAD MQL TRACKER'!$AE$5:$AE$1004,1))</f>
        <v/>
      </c>
      <c r="W78" s="72" t="str">
        <f>IF($B78="","",COUNTIFS('LEAD MQL TRACKER'!$C$5:$C$1004,$B78,'LEAD MQL TRACKER'!$AC$5:$AC$1004,1)+SUMIFS('LINKEDIN OUTREACH'!$M$5:$M$704,'LINKEDIN OUTREACH'!$C$5:$C$704,$B78))</f>
        <v/>
      </c>
      <c r="X78" s="72" t="str">
        <f>IF($B78="","",SUMIFS('EMAIL MARKETING'!$O$5:$O$804,'EMAIL MARKETING'!$C$5:$C$804,$B78)+SUMIFS('LINKEDIN OUTREACH'!$K$5:$K$704,'LINKEDIN OUTREACH'!$C$5:$C$704,$B78))</f>
        <v/>
      </c>
      <c r="Y78" s="73" t="str">
        <f>IF(ISNUMBER($R78),IF($R78&gt;0,$T78/$R78,""),"")</f>
        <v/>
      </c>
      <c r="Z78" s="72" t="str">
        <f>IF(AND(ISNUMBER($P78),ISNUMBER($R78)),IF(AND($P78&gt;0,$R78&gt;0),$P78/$R78,""),"")</f>
        <v/>
      </c>
      <c r="AA78" s="71" t="str">
        <f>IF($B78="","",IF(OR($N78="Live",$N78="Optimizing",$N78="Paused",$N78="Completed"),IF(ISNUMBER($AI78),IF($AI78&gt;=1,"Ahead",IF($AI78&gt;=OnTrackPct,"On Track",IF($AI78&gt;=WatchPct,"Behind","At Risk"))),"No Target Set"),"Not Live"))</f>
        <v/>
      </c>
      <c r="AB78" s="65" t="n"/>
      <c r="AC78" s="65" t="n"/>
      <c r="AD78" s="65" t="n"/>
      <c r="AE78" s="67" t="n"/>
      <c r="AF78" s="67" t="n"/>
      <c r="AG78" s="63" t="n"/>
      <c r="AH78" s="74">
        <f>IF($N78="Completed",1,IF(AND(ISNUMBER($K78),ISNUMBER($L78)),IF($L78&gt;$K78,MIN(1,MAX(0.05,(ReportDate-$K78)/($L78-$K78))),1),1))</f>
        <v>1</v>
      </c>
      <c r="AI78" s="70" t="str">
        <f>IF($B78="","",IF(AND(ISNUMBER($Q78),$Q78&gt;0),$R78/($Q78*$AH78),""))</f>
        <v/>
      </c>
      <c r="AJ78" s="71" t="str">
        <f>IF(ISNUMBER($K78),YEAR($K78)&amp;"-"&amp;TEXT(MONTH($K78),"00"),"")</f>
        <v/>
      </c>
      <c r="AK78" s="71">
        <f>IF($B78="",0,IF(AND(OR(fClient="All",$A78=fClient),OR(fCampaign="All",$B78=fCampaign),OR(fTeam="All",$I78=fTeam),OR(fChannel="All",$H78=fChannel),OR(fCStatus="All",$N78=fCStatus)),1,0))</f>
        <v>0</v>
      </c>
      <c r="AL78" s="71">
        <f>IF($B78="",0,IF(AND(OR(fClient="All",$A78=fClient),OR(fCampaign="All",$B78=fCampaign),OR(fTeam="All",$I78=fTeam),OR(fChannel="All",$H78=fChannel)),1,0))</f>
        <v>0</v>
      </c>
      <c r="AM78" s="71">
        <f>IF(OR($N78="Live",$N78="Optimizing"),1,0)</f>
        <v>0</v>
      </c>
      <c r="AN78" s="71">
        <f>IF(OR($N78="Live",$N78="Optimizing",$N78="Paused",$N78="Completed"),1,0)</f>
        <v>0</v>
      </c>
      <c r="AO78" s="71">
        <f>IF(AND($AM78=1,ISNUMBER($L78),NOT(ISNUMBER($M78))),IF($L78&lt;ReportDate,1,0),0)</f>
        <v>0</v>
      </c>
      <c r="AP78" s="71">
        <f>IF($AM78=1,IF(ISNUMBER($AG78),IF(ReportDate-$AG78&gt;CampStaleDays,1,0),1),0)</f>
        <v>0</v>
      </c>
      <c r="AQ78" s="71">
        <f>IF(AND($AM78=1,OR($AA78="Behind",$AA78="At Risk")),1,0)</f>
        <v>0</v>
      </c>
      <c r="AR78" s="71">
        <f>IF(AND($AM78=1,OR($AA78="Ahead",$AA78="On Track")),1,0)</f>
        <v>0</v>
      </c>
      <c r="AS78" s="71">
        <f>IF(OR($AQ78=1,$AP78=1,$AO78=1),1,0)</f>
        <v>0</v>
      </c>
      <c r="AT78" s="71" t="str">
        <f>IF($AS78=1,TRIM(IF($AQ78=1,"Low performance. ","")&amp;IF($AP78=1,"No recent update. ","")&amp;IF($AO78=1,"Past planned end. ","")),"")</f>
        <v/>
      </c>
      <c r="AU78" s="71" t="str">
        <f>IF(AND($AS78=1,$AL78=1),ROW(),"")</f>
        <v/>
      </c>
      <c r="AV78" s="71" t="str">
        <f>IF(AND($AQ78=1,$AL78=1),ROW(),"")</f>
        <v/>
      </c>
      <c r="AW78" s="71" t="str">
        <f>IF(AND($AP78=1,$AL78=1),ROW(),"")</f>
        <v/>
      </c>
      <c r="AX78" s="71" t="str">
        <f>IF(AND($AR78=1,$AL78=1),ROW(),"")</f>
        <v/>
      </c>
      <c r="AY78" s="71">
        <f>IF(AND($B78&lt;&gt;"",$A78=TCL_Client),1,0)</f>
        <v>0</v>
      </c>
      <c r="AZ78" s="71" t="str">
        <f>IF($AY78=1,ROW(),"")</f>
        <v/>
      </c>
      <c r="BA78" s="71">
        <f>IF(AND($B78&lt;&gt;"",$A78=MECCA_Client),1,0)</f>
        <v>0</v>
      </c>
      <c r="BB78" s="71" t="str">
        <f>IF($BA78=1,ROW(),"")</f>
        <v/>
      </c>
    </row>
    <row r="79">
      <c r="A79" s="64" t="n"/>
      <c r="B79" s="65" t="n"/>
      <c r="C79" s="64" t="n"/>
      <c r="D79" s="64" t="n"/>
      <c r="E79" s="64" t="n"/>
      <c r="F79" s="65" t="n"/>
      <c r="G79" s="65" t="n"/>
      <c r="H79" s="64" t="n"/>
      <c r="I79" s="64" t="n"/>
      <c r="J79" s="65" t="n"/>
      <c r="K79" s="63" t="n"/>
      <c r="L79" s="63" t="n"/>
      <c r="M79" s="63" t="n"/>
      <c r="N79" s="64" t="n"/>
      <c r="O79" s="67" t="n"/>
      <c r="P79" s="72" t="str">
        <f>IF($B79="","",SUMIFS('PAID MEDIA ADS'!$G$5:$G$804,'PAID MEDIA ADS'!$C$5:$C$804,$B79))</f>
        <v/>
      </c>
      <c r="Q79" s="67" t="n"/>
      <c r="R79" s="72" t="str">
        <f>IF($B79="","",COUNTIFS('LEAD MQL TRACKER'!$C$5:$C$1004,$B79,'LEAD MQL TRACKER'!$AB$5:$AB$1004,1)+SUMIFS('EMAIL MARKETING'!$Q$5:$Q$804,'EMAIL MARKETING'!$C$5:$C$804,$B79)+SUMIFS('PAID MEDIA ADS'!$M$5:$M$804,'PAID MEDIA ADS'!$C$5:$C$804,$B79)+SUMIFS('LINKEDIN OUTREACH'!$N$5:$N$704,'LINKEDIN OUTREACH'!$C$5:$C$704,$B79))</f>
        <v/>
      </c>
      <c r="S79" s="67" t="n"/>
      <c r="T79" s="72" t="str">
        <f>IF($B79="","",COUNTIFS('LEAD MQL TRACKER'!$C$5:$C$1004,$B79,'LEAD MQL TRACKER'!$AD$5:$AD$1004,1)+SUMIFS('EMAIL MARKETING'!$R$5:$R$804,'EMAIL MARKETING'!$C$5:$C$804,$B79)+SUMIFS('PAID MEDIA ADS'!$N$5:$N$804,'PAID MEDIA ADS'!$C$5:$C$804,$B79)+SUMIFS('LINKEDIN OUTREACH'!$O$5:$O$704,'LINKEDIN OUTREACH'!$C$5:$C$704,$B79))</f>
        <v/>
      </c>
      <c r="U79" s="67" t="n"/>
      <c r="V79" s="72" t="str">
        <f>IF($B79="","",COUNTIFS('LEAD MQL TRACKER'!$C$5:$C$1004,$B79,'LEAD MQL TRACKER'!$AE$5:$AE$1004,1))</f>
        <v/>
      </c>
      <c r="W79" s="72" t="str">
        <f>IF($B79="","",COUNTIFS('LEAD MQL TRACKER'!$C$5:$C$1004,$B79,'LEAD MQL TRACKER'!$AC$5:$AC$1004,1)+SUMIFS('LINKEDIN OUTREACH'!$M$5:$M$704,'LINKEDIN OUTREACH'!$C$5:$C$704,$B79))</f>
        <v/>
      </c>
      <c r="X79" s="72" t="str">
        <f>IF($B79="","",SUMIFS('EMAIL MARKETING'!$O$5:$O$804,'EMAIL MARKETING'!$C$5:$C$804,$B79)+SUMIFS('LINKEDIN OUTREACH'!$K$5:$K$704,'LINKEDIN OUTREACH'!$C$5:$C$704,$B79))</f>
        <v/>
      </c>
      <c r="Y79" s="73" t="str">
        <f>IF(ISNUMBER($R79),IF($R79&gt;0,$T79/$R79,""),"")</f>
        <v/>
      </c>
      <c r="Z79" s="72" t="str">
        <f>IF(AND(ISNUMBER($P79),ISNUMBER($R79)),IF(AND($P79&gt;0,$R79&gt;0),$P79/$R79,""),"")</f>
        <v/>
      </c>
      <c r="AA79" s="71" t="str">
        <f>IF($B79="","",IF(OR($N79="Live",$N79="Optimizing",$N79="Paused",$N79="Completed"),IF(ISNUMBER($AI79),IF($AI79&gt;=1,"Ahead",IF($AI79&gt;=OnTrackPct,"On Track",IF($AI79&gt;=WatchPct,"Behind","At Risk"))),"No Target Set"),"Not Live"))</f>
        <v/>
      </c>
      <c r="AB79" s="65" t="n"/>
      <c r="AC79" s="65" t="n"/>
      <c r="AD79" s="65" t="n"/>
      <c r="AE79" s="67" t="n"/>
      <c r="AF79" s="67" t="n"/>
      <c r="AG79" s="63" t="n"/>
      <c r="AH79" s="74">
        <f>IF($N79="Completed",1,IF(AND(ISNUMBER($K79),ISNUMBER($L79)),IF($L79&gt;$K79,MIN(1,MAX(0.05,(ReportDate-$K79)/($L79-$K79))),1),1))</f>
        <v>1</v>
      </c>
      <c r="AI79" s="70" t="str">
        <f>IF($B79="","",IF(AND(ISNUMBER($Q79),$Q79&gt;0),$R79/($Q79*$AH79),""))</f>
        <v/>
      </c>
      <c r="AJ79" s="71" t="str">
        <f>IF(ISNUMBER($K79),YEAR($K79)&amp;"-"&amp;TEXT(MONTH($K79),"00"),"")</f>
        <v/>
      </c>
      <c r="AK79" s="71">
        <f>IF($B79="",0,IF(AND(OR(fClient="All",$A79=fClient),OR(fCampaign="All",$B79=fCampaign),OR(fTeam="All",$I79=fTeam),OR(fChannel="All",$H79=fChannel),OR(fCStatus="All",$N79=fCStatus)),1,0))</f>
        <v>0</v>
      </c>
      <c r="AL79" s="71">
        <f>IF($B79="",0,IF(AND(OR(fClient="All",$A79=fClient),OR(fCampaign="All",$B79=fCampaign),OR(fTeam="All",$I79=fTeam),OR(fChannel="All",$H79=fChannel)),1,0))</f>
        <v>0</v>
      </c>
      <c r="AM79" s="71">
        <f>IF(OR($N79="Live",$N79="Optimizing"),1,0)</f>
        <v>0</v>
      </c>
      <c r="AN79" s="71">
        <f>IF(OR($N79="Live",$N79="Optimizing",$N79="Paused",$N79="Completed"),1,0)</f>
        <v>0</v>
      </c>
      <c r="AO79" s="71">
        <f>IF(AND($AM79=1,ISNUMBER($L79),NOT(ISNUMBER($M79))),IF($L79&lt;ReportDate,1,0),0)</f>
        <v>0</v>
      </c>
      <c r="AP79" s="71">
        <f>IF($AM79=1,IF(ISNUMBER($AG79),IF(ReportDate-$AG79&gt;CampStaleDays,1,0),1),0)</f>
        <v>0</v>
      </c>
      <c r="AQ79" s="71">
        <f>IF(AND($AM79=1,OR($AA79="Behind",$AA79="At Risk")),1,0)</f>
        <v>0</v>
      </c>
      <c r="AR79" s="71">
        <f>IF(AND($AM79=1,OR($AA79="Ahead",$AA79="On Track")),1,0)</f>
        <v>0</v>
      </c>
      <c r="AS79" s="71">
        <f>IF(OR($AQ79=1,$AP79=1,$AO79=1),1,0)</f>
        <v>0</v>
      </c>
      <c r="AT79" s="71" t="str">
        <f>IF($AS79=1,TRIM(IF($AQ79=1,"Low performance. ","")&amp;IF($AP79=1,"No recent update. ","")&amp;IF($AO79=1,"Past planned end. ","")),"")</f>
        <v/>
      </c>
      <c r="AU79" s="71" t="str">
        <f>IF(AND($AS79=1,$AL79=1),ROW(),"")</f>
        <v/>
      </c>
      <c r="AV79" s="71" t="str">
        <f>IF(AND($AQ79=1,$AL79=1),ROW(),"")</f>
        <v/>
      </c>
      <c r="AW79" s="71" t="str">
        <f>IF(AND($AP79=1,$AL79=1),ROW(),"")</f>
        <v/>
      </c>
      <c r="AX79" s="71" t="str">
        <f>IF(AND($AR79=1,$AL79=1),ROW(),"")</f>
        <v/>
      </c>
      <c r="AY79" s="71">
        <f>IF(AND($B79&lt;&gt;"",$A79=TCL_Client),1,0)</f>
        <v>0</v>
      </c>
      <c r="AZ79" s="71" t="str">
        <f>IF($AY79=1,ROW(),"")</f>
        <v/>
      </c>
      <c r="BA79" s="71">
        <f>IF(AND($B79&lt;&gt;"",$A79=MECCA_Client),1,0)</f>
        <v>0</v>
      </c>
      <c r="BB79" s="71" t="str">
        <f>IF($BA79=1,ROW(),"")</f>
        <v/>
      </c>
    </row>
    <row r="80">
      <c r="A80" s="64" t="n"/>
      <c r="B80" s="65" t="n"/>
      <c r="C80" s="64" t="n"/>
      <c r="D80" s="64" t="n"/>
      <c r="E80" s="64" t="n"/>
      <c r="F80" s="65" t="n"/>
      <c r="G80" s="65" t="n"/>
      <c r="H80" s="64" t="n"/>
      <c r="I80" s="64" t="n"/>
      <c r="J80" s="65" t="n"/>
      <c r="K80" s="63" t="n"/>
      <c r="L80" s="63" t="n"/>
      <c r="M80" s="63" t="n"/>
      <c r="N80" s="64" t="n"/>
      <c r="O80" s="67" t="n"/>
      <c r="P80" s="72" t="str">
        <f>IF($B80="","",SUMIFS('PAID MEDIA ADS'!$G$5:$G$804,'PAID MEDIA ADS'!$C$5:$C$804,$B80))</f>
        <v/>
      </c>
      <c r="Q80" s="67" t="n"/>
      <c r="R80" s="72" t="str">
        <f>IF($B80="","",COUNTIFS('LEAD MQL TRACKER'!$C$5:$C$1004,$B80,'LEAD MQL TRACKER'!$AB$5:$AB$1004,1)+SUMIFS('EMAIL MARKETING'!$Q$5:$Q$804,'EMAIL MARKETING'!$C$5:$C$804,$B80)+SUMIFS('PAID MEDIA ADS'!$M$5:$M$804,'PAID MEDIA ADS'!$C$5:$C$804,$B80)+SUMIFS('LINKEDIN OUTREACH'!$N$5:$N$704,'LINKEDIN OUTREACH'!$C$5:$C$704,$B80))</f>
        <v/>
      </c>
      <c r="S80" s="67" t="n"/>
      <c r="T80" s="72" t="str">
        <f>IF($B80="","",COUNTIFS('LEAD MQL TRACKER'!$C$5:$C$1004,$B80,'LEAD MQL TRACKER'!$AD$5:$AD$1004,1)+SUMIFS('EMAIL MARKETING'!$R$5:$R$804,'EMAIL MARKETING'!$C$5:$C$804,$B80)+SUMIFS('PAID MEDIA ADS'!$N$5:$N$804,'PAID MEDIA ADS'!$C$5:$C$804,$B80)+SUMIFS('LINKEDIN OUTREACH'!$O$5:$O$704,'LINKEDIN OUTREACH'!$C$5:$C$704,$B80))</f>
        <v/>
      </c>
      <c r="U80" s="67" t="n"/>
      <c r="V80" s="72" t="str">
        <f>IF($B80="","",COUNTIFS('LEAD MQL TRACKER'!$C$5:$C$1004,$B80,'LEAD MQL TRACKER'!$AE$5:$AE$1004,1))</f>
        <v/>
      </c>
      <c r="W80" s="72" t="str">
        <f>IF($B80="","",COUNTIFS('LEAD MQL TRACKER'!$C$5:$C$1004,$B80,'LEAD MQL TRACKER'!$AC$5:$AC$1004,1)+SUMIFS('LINKEDIN OUTREACH'!$M$5:$M$704,'LINKEDIN OUTREACH'!$C$5:$C$704,$B80))</f>
        <v/>
      </c>
      <c r="X80" s="72" t="str">
        <f>IF($B80="","",SUMIFS('EMAIL MARKETING'!$O$5:$O$804,'EMAIL MARKETING'!$C$5:$C$804,$B80)+SUMIFS('LINKEDIN OUTREACH'!$K$5:$K$704,'LINKEDIN OUTREACH'!$C$5:$C$704,$B80))</f>
        <v/>
      </c>
      <c r="Y80" s="73" t="str">
        <f>IF(ISNUMBER($R80),IF($R80&gt;0,$T80/$R80,""),"")</f>
        <v/>
      </c>
      <c r="Z80" s="72" t="str">
        <f>IF(AND(ISNUMBER($P80),ISNUMBER($R80)),IF(AND($P80&gt;0,$R80&gt;0),$P80/$R80,""),"")</f>
        <v/>
      </c>
      <c r="AA80" s="71" t="str">
        <f>IF($B80="","",IF(OR($N80="Live",$N80="Optimizing",$N80="Paused",$N80="Completed"),IF(ISNUMBER($AI80),IF($AI80&gt;=1,"Ahead",IF($AI80&gt;=OnTrackPct,"On Track",IF($AI80&gt;=WatchPct,"Behind","At Risk"))),"No Target Set"),"Not Live"))</f>
        <v/>
      </c>
      <c r="AB80" s="65" t="n"/>
      <c r="AC80" s="65" t="n"/>
      <c r="AD80" s="65" t="n"/>
      <c r="AE80" s="67" t="n"/>
      <c r="AF80" s="67" t="n"/>
      <c r="AG80" s="63" t="n"/>
      <c r="AH80" s="74">
        <f>IF($N80="Completed",1,IF(AND(ISNUMBER($K80),ISNUMBER($L80)),IF($L80&gt;$K80,MIN(1,MAX(0.05,(ReportDate-$K80)/($L80-$K80))),1),1))</f>
        <v>1</v>
      </c>
      <c r="AI80" s="70" t="str">
        <f>IF($B80="","",IF(AND(ISNUMBER($Q80),$Q80&gt;0),$R80/($Q80*$AH80),""))</f>
        <v/>
      </c>
      <c r="AJ80" s="71" t="str">
        <f>IF(ISNUMBER($K80),YEAR($K80)&amp;"-"&amp;TEXT(MONTH($K80),"00"),"")</f>
        <v/>
      </c>
      <c r="AK80" s="71">
        <f>IF($B80="",0,IF(AND(OR(fClient="All",$A80=fClient),OR(fCampaign="All",$B80=fCampaign),OR(fTeam="All",$I80=fTeam),OR(fChannel="All",$H80=fChannel),OR(fCStatus="All",$N80=fCStatus)),1,0))</f>
        <v>0</v>
      </c>
      <c r="AL80" s="71">
        <f>IF($B80="",0,IF(AND(OR(fClient="All",$A80=fClient),OR(fCampaign="All",$B80=fCampaign),OR(fTeam="All",$I80=fTeam),OR(fChannel="All",$H80=fChannel)),1,0))</f>
        <v>0</v>
      </c>
      <c r="AM80" s="71">
        <f>IF(OR($N80="Live",$N80="Optimizing"),1,0)</f>
        <v>0</v>
      </c>
      <c r="AN80" s="71">
        <f>IF(OR($N80="Live",$N80="Optimizing",$N80="Paused",$N80="Completed"),1,0)</f>
        <v>0</v>
      </c>
      <c r="AO80" s="71">
        <f>IF(AND($AM80=1,ISNUMBER($L80),NOT(ISNUMBER($M80))),IF($L80&lt;ReportDate,1,0),0)</f>
        <v>0</v>
      </c>
      <c r="AP80" s="71">
        <f>IF($AM80=1,IF(ISNUMBER($AG80),IF(ReportDate-$AG80&gt;CampStaleDays,1,0),1),0)</f>
        <v>0</v>
      </c>
      <c r="AQ80" s="71">
        <f>IF(AND($AM80=1,OR($AA80="Behind",$AA80="At Risk")),1,0)</f>
        <v>0</v>
      </c>
      <c r="AR80" s="71">
        <f>IF(AND($AM80=1,OR($AA80="Ahead",$AA80="On Track")),1,0)</f>
        <v>0</v>
      </c>
      <c r="AS80" s="71">
        <f>IF(OR($AQ80=1,$AP80=1,$AO80=1),1,0)</f>
        <v>0</v>
      </c>
      <c r="AT80" s="71" t="str">
        <f>IF($AS80=1,TRIM(IF($AQ80=1,"Low performance. ","")&amp;IF($AP80=1,"No recent update. ","")&amp;IF($AO80=1,"Past planned end. ","")),"")</f>
        <v/>
      </c>
      <c r="AU80" s="71" t="str">
        <f>IF(AND($AS80=1,$AL80=1),ROW(),"")</f>
        <v/>
      </c>
      <c r="AV80" s="71" t="str">
        <f>IF(AND($AQ80=1,$AL80=1),ROW(),"")</f>
        <v/>
      </c>
      <c r="AW80" s="71" t="str">
        <f>IF(AND($AP80=1,$AL80=1),ROW(),"")</f>
        <v/>
      </c>
      <c r="AX80" s="71" t="str">
        <f>IF(AND($AR80=1,$AL80=1),ROW(),"")</f>
        <v/>
      </c>
      <c r="AY80" s="71">
        <f>IF(AND($B80&lt;&gt;"",$A80=TCL_Client),1,0)</f>
        <v>0</v>
      </c>
      <c r="AZ80" s="71" t="str">
        <f>IF($AY80=1,ROW(),"")</f>
        <v/>
      </c>
      <c r="BA80" s="71">
        <f>IF(AND($B80&lt;&gt;"",$A80=MECCA_Client),1,0)</f>
        <v>0</v>
      </c>
      <c r="BB80" s="71" t="str">
        <f>IF($BA80=1,ROW(),"")</f>
        <v/>
      </c>
    </row>
    <row r="81">
      <c r="A81" s="64" t="n"/>
      <c r="B81" s="65" t="n"/>
      <c r="C81" s="64" t="n"/>
      <c r="D81" s="64" t="n"/>
      <c r="E81" s="64" t="n"/>
      <c r="F81" s="65" t="n"/>
      <c r="G81" s="65" t="n"/>
      <c r="H81" s="64" t="n"/>
      <c r="I81" s="64" t="n"/>
      <c r="J81" s="65" t="n"/>
      <c r="K81" s="63" t="n"/>
      <c r="L81" s="63" t="n"/>
      <c r="M81" s="63" t="n"/>
      <c r="N81" s="64" t="n"/>
      <c r="O81" s="67" t="n"/>
      <c r="P81" s="72" t="str">
        <f>IF($B81="","",SUMIFS('PAID MEDIA ADS'!$G$5:$G$804,'PAID MEDIA ADS'!$C$5:$C$804,$B81))</f>
        <v/>
      </c>
      <c r="Q81" s="67" t="n"/>
      <c r="R81" s="72" t="str">
        <f>IF($B81="","",COUNTIFS('LEAD MQL TRACKER'!$C$5:$C$1004,$B81,'LEAD MQL TRACKER'!$AB$5:$AB$1004,1)+SUMIFS('EMAIL MARKETING'!$Q$5:$Q$804,'EMAIL MARKETING'!$C$5:$C$804,$B81)+SUMIFS('PAID MEDIA ADS'!$M$5:$M$804,'PAID MEDIA ADS'!$C$5:$C$804,$B81)+SUMIFS('LINKEDIN OUTREACH'!$N$5:$N$704,'LINKEDIN OUTREACH'!$C$5:$C$704,$B81))</f>
        <v/>
      </c>
      <c r="S81" s="67" t="n"/>
      <c r="T81" s="72" t="str">
        <f>IF($B81="","",COUNTIFS('LEAD MQL TRACKER'!$C$5:$C$1004,$B81,'LEAD MQL TRACKER'!$AD$5:$AD$1004,1)+SUMIFS('EMAIL MARKETING'!$R$5:$R$804,'EMAIL MARKETING'!$C$5:$C$804,$B81)+SUMIFS('PAID MEDIA ADS'!$N$5:$N$804,'PAID MEDIA ADS'!$C$5:$C$804,$B81)+SUMIFS('LINKEDIN OUTREACH'!$O$5:$O$704,'LINKEDIN OUTREACH'!$C$5:$C$704,$B81))</f>
        <v/>
      </c>
      <c r="U81" s="67" t="n"/>
      <c r="V81" s="72" t="str">
        <f>IF($B81="","",COUNTIFS('LEAD MQL TRACKER'!$C$5:$C$1004,$B81,'LEAD MQL TRACKER'!$AE$5:$AE$1004,1))</f>
        <v/>
      </c>
      <c r="W81" s="72" t="str">
        <f>IF($B81="","",COUNTIFS('LEAD MQL TRACKER'!$C$5:$C$1004,$B81,'LEAD MQL TRACKER'!$AC$5:$AC$1004,1)+SUMIFS('LINKEDIN OUTREACH'!$M$5:$M$704,'LINKEDIN OUTREACH'!$C$5:$C$704,$B81))</f>
        <v/>
      </c>
      <c r="X81" s="72" t="str">
        <f>IF($B81="","",SUMIFS('EMAIL MARKETING'!$O$5:$O$804,'EMAIL MARKETING'!$C$5:$C$804,$B81)+SUMIFS('LINKEDIN OUTREACH'!$K$5:$K$704,'LINKEDIN OUTREACH'!$C$5:$C$704,$B81))</f>
        <v/>
      </c>
      <c r="Y81" s="73" t="str">
        <f>IF(ISNUMBER($R81),IF($R81&gt;0,$T81/$R81,""),"")</f>
        <v/>
      </c>
      <c r="Z81" s="72" t="str">
        <f>IF(AND(ISNUMBER($P81),ISNUMBER($R81)),IF(AND($P81&gt;0,$R81&gt;0),$P81/$R81,""),"")</f>
        <v/>
      </c>
      <c r="AA81" s="71" t="str">
        <f>IF($B81="","",IF(OR($N81="Live",$N81="Optimizing",$N81="Paused",$N81="Completed"),IF(ISNUMBER($AI81),IF($AI81&gt;=1,"Ahead",IF($AI81&gt;=OnTrackPct,"On Track",IF($AI81&gt;=WatchPct,"Behind","At Risk"))),"No Target Set"),"Not Live"))</f>
        <v/>
      </c>
      <c r="AB81" s="65" t="n"/>
      <c r="AC81" s="65" t="n"/>
      <c r="AD81" s="65" t="n"/>
      <c r="AE81" s="67" t="n"/>
      <c r="AF81" s="67" t="n"/>
      <c r="AG81" s="63" t="n"/>
      <c r="AH81" s="74">
        <f>IF($N81="Completed",1,IF(AND(ISNUMBER($K81),ISNUMBER($L81)),IF($L81&gt;$K81,MIN(1,MAX(0.05,(ReportDate-$K81)/($L81-$K81))),1),1))</f>
        <v>1</v>
      </c>
      <c r="AI81" s="70" t="str">
        <f>IF($B81="","",IF(AND(ISNUMBER($Q81),$Q81&gt;0),$R81/($Q81*$AH81),""))</f>
        <v/>
      </c>
      <c r="AJ81" s="71" t="str">
        <f>IF(ISNUMBER($K81),YEAR($K81)&amp;"-"&amp;TEXT(MONTH($K81),"00"),"")</f>
        <v/>
      </c>
      <c r="AK81" s="71">
        <f>IF($B81="",0,IF(AND(OR(fClient="All",$A81=fClient),OR(fCampaign="All",$B81=fCampaign),OR(fTeam="All",$I81=fTeam),OR(fChannel="All",$H81=fChannel),OR(fCStatus="All",$N81=fCStatus)),1,0))</f>
        <v>0</v>
      </c>
      <c r="AL81" s="71">
        <f>IF($B81="",0,IF(AND(OR(fClient="All",$A81=fClient),OR(fCampaign="All",$B81=fCampaign),OR(fTeam="All",$I81=fTeam),OR(fChannel="All",$H81=fChannel)),1,0))</f>
        <v>0</v>
      </c>
      <c r="AM81" s="71">
        <f>IF(OR($N81="Live",$N81="Optimizing"),1,0)</f>
        <v>0</v>
      </c>
      <c r="AN81" s="71">
        <f>IF(OR($N81="Live",$N81="Optimizing",$N81="Paused",$N81="Completed"),1,0)</f>
        <v>0</v>
      </c>
      <c r="AO81" s="71">
        <f>IF(AND($AM81=1,ISNUMBER($L81),NOT(ISNUMBER($M81))),IF($L81&lt;ReportDate,1,0),0)</f>
        <v>0</v>
      </c>
      <c r="AP81" s="71">
        <f>IF($AM81=1,IF(ISNUMBER($AG81),IF(ReportDate-$AG81&gt;CampStaleDays,1,0),1),0)</f>
        <v>0</v>
      </c>
      <c r="AQ81" s="71">
        <f>IF(AND($AM81=1,OR($AA81="Behind",$AA81="At Risk")),1,0)</f>
        <v>0</v>
      </c>
      <c r="AR81" s="71">
        <f>IF(AND($AM81=1,OR($AA81="Ahead",$AA81="On Track")),1,0)</f>
        <v>0</v>
      </c>
      <c r="AS81" s="71">
        <f>IF(OR($AQ81=1,$AP81=1,$AO81=1),1,0)</f>
        <v>0</v>
      </c>
      <c r="AT81" s="71" t="str">
        <f>IF($AS81=1,TRIM(IF($AQ81=1,"Low performance. ","")&amp;IF($AP81=1,"No recent update. ","")&amp;IF($AO81=1,"Past planned end. ","")),"")</f>
        <v/>
      </c>
      <c r="AU81" s="71" t="str">
        <f>IF(AND($AS81=1,$AL81=1),ROW(),"")</f>
        <v/>
      </c>
      <c r="AV81" s="71" t="str">
        <f>IF(AND($AQ81=1,$AL81=1),ROW(),"")</f>
        <v/>
      </c>
      <c r="AW81" s="71" t="str">
        <f>IF(AND($AP81=1,$AL81=1),ROW(),"")</f>
        <v/>
      </c>
      <c r="AX81" s="71" t="str">
        <f>IF(AND($AR81=1,$AL81=1),ROW(),"")</f>
        <v/>
      </c>
      <c r="AY81" s="71">
        <f>IF(AND($B81&lt;&gt;"",$A81=TCL_Client),1,0)</f>
        <v>0</v>
      </c>
      <c r="AZ81" s="71" t="str">
        <f>IF($AY81=1,ROW(),"")</f>
        <v/>
      </c>
      <c r="BA81" s="71">
        <f>IF(AND($B81&lt;&gt;"",$A81=MECCA_Client),1,0)</f>
        <v>0</v>
      </c>
      <c r="BB81" s="71" t="str">
        <f>IF($BA81=1,ROW(),"")</f>
        <v/>
      </c>
    </row>
    <row r="82">
      <c r="A82" s="64" t="n"/>
      <c r="B82" s="65" t="n"/>
      <c r="C82" s="64" t="n"/>
      <c r="D82" s="64" t="n"/>
      <c r="E82" s="64" t="n"/>
      <c r="F82" s="65" t="n"/>
      <c r="G82" s="65" t="n"/>
      <c r="H82" s="64" t="n"/>
      <c r="I82" s="64" t="n"/>
      <c r="J82" s="65" t="n"/>
      <c r="K82" s="63" t="n"/>
      <c r="L82" s="63" t="n"/>
      <c r="M82" s="63" t="n"/>
      <c r="N82" s="64" t="n"/>
      <c r="O82" s="67" t="n"/>
      <c r="P82" s="72" t="str">
        <f>IF($B82="","",SUMIFS('PAID MEDIA ADS'!$G$5:$G$804,'PAID MEDIA ADS'!$C$5:$C$804,$B82))</f>
        <v/>
      </c>
      <c r="Q82" s="67" t="n"/>
      <c r="R82" s="72" t="str">
        <f>IF($B82="","",COUNTIFS('LEAD MQL TRACKER'!$C$5:$C$1004,$B82,'LEAD MQL TRACKER'!$AB$5:$AB$1004,1)+SUMIFS('EMAIL MARKETING'!$Q$5:$Q$804,'EMAIL MARKETING'!$C$5:$C$804,$B82)+SUMIFS('PAID MEDIA ADS'!$M$5:$M$804,'PAID MEDIA ADS'!$C$5:$C$804,$B82)+SUMIFS('LINKEDIN OUTREACH'!$N$5:$N$704,'LINKEDIN OUTREACH'!$C$5:$C$704,$B82))</f>
        <v/>
      </c>
      <c r="S82" s="67" t="n"/>
      <c r="T82" s="72" t="str">
        <f>IF($B82="","",COUNTIFS('LEAD MQL TRACKER'!$C$5:$C$1004,$B82,'LEAD MQL TRACKER'!$AD$5:$AD$1004,1)+SUMIFS('EMAIL MARKETING'!$R$5:$R$804,'EMAIL MARKETING'!$C$5:$C$804,$B82)+SUMIFS('PAID MEDIA ADS'!$N$5:$N$804,'PAID MEDIA ADS'!$C$5:$C$804,$B82)+SUMIFS('LINKEDIN OUTREACH'!$O$5:$O$704,'LINKEDIN OUTREACH'!$C$5:$C$704,$B82))</f>
        <v/>
      </c>
      <c r="U82" s="67" t="n"/>
      <c r="V82" s="72" t="str">
        <f>IF($B82="","",COUNTIFS('LEAD MQL TRACKER'!$C$5:$C$1004,$B82,'LEAD MQL TRACKER'!$AE$5:$AE$1004,1))</f>
        <v/>
      </c>
      <c r="W82" s="72" t="str">
        <f>IF($B82="","",COUNTIFS('LEAD MQL TRACKER'!$C$5:$C$1004,$B82,'LEAD MQL TRACKER'!$AC$5:$AC$1004,1)+SUMIFS('LINKEDIN OUTREACH'!$M$5:$M$704,'LINKEDIN OUTREACH'!$C$5:$C$704,$B82))</f>
        <v/>
      </c>
      <c r="X82" s="72" t="str">
        <f>IF($B82="","",SUMIFS('EMAIL MARKETING'!$O$5:$O$804,'EMAIL MARKETING'!$C$5:$C$804,$B82)+SUMIFS('LINKEDIN OUTREACH'!$K$5:$K$704,'LINKEDIN OUTREACH'!$C$5:$C$704,$B82))</f>
        <v/>
      </c>
      <c r="Y82" s="73" t="str">
        <f>IF(ISNUMBER($R82),IF($R82&gt;0,$T82/$R82,""),"")</f>
        <v/>
      </c>
      <c r="Z82" s="72" t="str">
        <f>IF(AND(ISNUMBER($P82),ISNUMBER($R82)),IF(AND($P82&gt;0,$R82&gt;0),$P82/$R82,""),"")</f>
        <v/>
      </c>
      <c r="AA82" s="71" t="str">
        <f>IF($B82="","",IF(OR($N82="Live",$N82="Optimizing",$N82="Paused",$N82="Completed"),IF(ISNUMBER($AI82),IF($AI82&gt;=1,"Ahead",IF($AI82&gt;=OnTrackPct,"On Track",IF($AI82&gt;=WatchPct,"Behind","At Risk"))),"No Target Set"),"Not Live"))</f>
        <v/>
      </c>
      <c r="AB82" s="65" t="n"/>
      <c r="AC82" s="65" t="n"/>
      <c r="AD82" s="65" t="n"/>
      <c r="AE82" s="67" t="n"/>
      <c r="AF82" s="67" t="n"/>
      <c r="AG82" s="63" t="n"/>
      <c r="AH82" s="74">
        <f>IF($N82="Completed",1,IF(AND(ISNUMBER($K82),ISNUMBER($L82)),IF($L82&gt;$K82,MIN(1,MAX(0.05,(ReportDate-$K82)/($L82-$K82))),1),1))</f>
        <v>1</v>
      </c>
      <c r="AI82" s="70" t="str">
        <f>IF($B82="","",IF(AND(ISNUMBER($Q82),$Q82&gt;0),$R82/($Q82*$AH82),""))</f>
        <v/>
      </c>
      <c r="AJ82" s="71" t="str">
        <f>IF(ISNUMBER($K82),YEAR($K82)&amp;"-"&amp;TEXT(MONTH($K82),"00"),"")</f>
        <v/>
      </c>
      <c r="AK82" s="71">
        <f>IF($B82="",0,IF(AND(OR(fClient="All",$A82=fClient),OR(fCampaign="All",$B82=fCampaign),OR(fTeam="All",$I82=fTeam),OR(fChannel="All",$H82=fChannel),OR(fCStatus="All",$N82=fCStatus)),1,0))</f>
        <v>0</v>
      </c>
      <c r="AL82" s="71">
        <f>IF($B82="",0,IF(AND(OR(fClient="All",$A82=fClient),OR(fCampaign="All",$B82=fCampaign),OR(fTeam="All",$I82=fTeam),OR(fChannel="All",$H82=fChannel)),1,0))</f>
        <v>0</v>
      </c>
      <c r="AM82" s="71">
        <f>IF(OR($N82="Live",$N82="Optimizing"),1,0)</f>
        <v>0</v>
      </c>
      <c r="AN82" s="71">
        <f>IF(OR($N82="Live",$N82="Optimizing",$N82="Paused",$N82="Completed"),1,0)</f>
        <v>0</v>
      </c>
      <c r="AO82" s="71">
        <f>IF(AND($AM82=1,ISNUMBER($L82),NOT(ISNUMBER($M82))),IF($L82&lt;ReportDate,1,0),0)</f>
        <v>0</v>
      </c>
      <c r="AP82" s="71">
        <f>IF($AM82=1,IF(ISNUMBER($AG82),IF(ReportDate-$AG82&gt;CampStaleDays,1,0),1),0)</f>
        <v>0</v>
      </c>
      <c r="AQ82" s="71">
        <f>IF(AND($AM82=1,OR($AA82="Behind",$AA82="At Risk")),1,0)</f>
        <v>0</v>
      </c>
      <c r="AR82" s="71">
        <f>IF(AND($AM82=1,OR($AA82="Ahead",$AA82="On Track")),1,0)</f>
        <v>0</v>
      </c>
      <c r="AS82" s="71">
        <f>IF(OR($AQ82=1,$AP82=1,$AO82=1),1,0)</f>
        <v>0</v>
      </c>
      <c r="AT82" s="71" t="str">
        <f>IF($AS82=1,TRIM(IF($AQ82=1,"Low performance. ","")&amp;IF($AP82=1,"No recent update. ","")&amp;IF($AO82=1,"Past planned end. ","")),"")</f>
        <v/>
      </c>
      <c r="AU82" s="71" t="str">
        <f>IF(AND($AS82=1,$AL82=1),ROW(),"")</f>
        <v/>
      </c>
      <c r="AV82" s="71" t="str">
        <f>IF(AND($AQ82=1,$AL82=1),ROW(),"")</f>
        <v/>
      </c>
      <c r="AW82" s="71" t="str">
        <f>IF(AND($AP82=1,$AL82=1),ROW(),"")</f>
        <v/>
      </c>
      <c r="AX82" s="71" t="str">
        <f>IF(AND($AR82=1,$AL82=1),ROW(),"")</f>
        <v/>
      </c>
      <c r="AY82" s="71">
        <f>IF(AND($B82&lt;&gt;"",$A82=TCL_Client),1,0)</f>
        <v>0</v>
      </c>
      <c r="AZ82" s="71" t="str">
        <f>IF($AY82=1,ROW(),"")</f>
        <v/>
      </c>
      <c r="BA82" s="71">
        <f>IF(AND($B82&lt;&gt;"",$A82=MECCA_Client),1,0)</f>
        <v>0</v>
      </c>
      <c r="BB82" s="71" t="str">
        <f>IF($BA82=1,ROW(),"")</f>
        <v/>
      </c>
    </row>
    <row r="83">
      <c r="A83" s="64" t="n"/>
      <c r="B83" s="65" t="n"/>
      <c r="C83" s="64" t="n"/>
      <c r="D83" s="64" t="n"/>
      <c r="E83" s="64" t="n"/>
      <c r="F83" s="65" t="n"/>
      <c r="G83" s="65" t="n"/>
      <c r="H83" s="64" t="n"/>
      <c r="I83" s="64" t="n"/>
      <c r="J83" s="65" t="n"/>
      <c r="K83" s="63" t="n"/>
      <c r="L83" s="63" t="n"/>
      <c r="M83" s="63" t="n"/>
      <c r="N83" s="64" t="n"/>
      <c r="O83" s="67" t="n"/>
      <c r="P83" s="72" t="str">
        <f>IF($B83="","",SUMIFS('PAID MEDIA ADS'!$G$5:$G$804,'PAID MEDIA ADS'!$C$5:$C$804,$B83))</f>
        <v/>
      </c>
      <c r="Q83" s="67" t="n"/>
      <c r="R83" s="72" t="str">
        <f>IF($B83="","",COUNTIFS('LEAD MQL TRACKER'!$C$5:$C$1004,$B83,'LEAD MQL TRACKER'!$AB$5:$AB$1004,1)+SUMIFS('EMAIL MARKETING'!$Q$5:$Q$804,'EMAIL MARKETING'!$C$5:$C$804,$B83)+SUMIFS('PAID MEDIA ADS'!$M$5:$M$804,'PAID MEDIA ADS'!$C$5:$C$804,$B83)+SUMIFS('LINKEDIN OUTREACH'!$N$5:$N$704,'LINKEDIN OUTREACH'!$C$5:$C$704,$B83))</f>
        <v/>
      </c>
      <c r="S83" s="67" t="n"/>
      <c r="T83" s="72" t="str">
        <f>IF($B83="","",COUNTIFS('LEAD MQL TRACKER'!$C$5:$C$1004,$B83,'LEAD MQL TRACKER'!$AD$5:$AD$1004,1)+SUMIFS('EMAIL MARKETING'!$R$5:$R$804,'EMAIL MARKETING'!$C$5:$C$804,$B83)+SUMIFS('PAID MEDIA ADS'!$N$5:$N$804,'PAID MEDIA ADS'!$C$5:$C$804,$B83)+SUMIFS('LINKEDIN OUTREACH'!$O$5:$O$704,'LINKEDIN OUTREACH'!$C$5:$C$704,$B83))</f>
        <v/>
      </c>
      <c r="U83" s="67" t="n"/>
      <c r="V83" s="72" t="str">
        <f>IF($B83="","",COUNTIFS('LEAD MQL TRACKER'!$C$5:$C$1004,$B83,'LEAD MQL TRACKER'!$AE$5:$AE$1004,1))</f>
        <v/>
      </c>
      <c r="W83" s="72" t="str">
        <f>IF($B83="","",COUNTIFS('LEAD MQL TRACKER'!$C$5:$C$1004,$B83,'LEAD MQL TRACKER'!$AC$5:$AC$1004,1)+SUMIFS('LINKEDIN OUTREACH'!$M$5:$M$704,'LINKEDIN OUTREACH'!$C$5:$C$704,$B83))</f>
        <v/>
      </c>
      <c r="X83" s="72" t="str">
        <f>IF($B83="","",SUMIFS('EMAIL MARKETING'!$O$5:$O$804,'EMAIL MARKETING'!$C$5:$C$804,$B83)+SUMIFS('LINKEDIN OUTREACH'!$K$5:$K$704,'LINKEDIN OUTREACH'!$C$5:$C$704,$B83))</f>
        <v/>
      </c>
      <c r="Y83" s="73" t="str">
        <f>IF(ISNUMBER($R83),IF($R83&gt;0,$T83/$R83,""),"")</f>
        <v/>
      </c>
      <c r="Z83" s="72" t="str">
        <f>IF(AND(ISNUMBER($P83),ISNUMBER($R83)),IF(AND($P83&gt;0,$R83&gt;0),$P83/$R83,""),"")</f>
        <v/>
      </c>
      <c r="AA83" s="71" t="str">
        <f>IF($B83="","",IF(OR($N83="Live",$N83="Optimizing",$N83="Paused",$N83="Completed"),IF(ISNUMBER($AI83),IF($AI83&gt;=1,"Ahead",IF($AI83&gt;=OnTrackPct,"On Track",IF($AI83&gt;=WatchPct,"Behind","At Risk"))),"No Target Set"),"Not Live"))</f>
        <v/>
      </c>
      <c r="AB83" s="65" t="n"/>
      <c r="AC83" s="65" t="n"/>
      <c r="AD83" s="65" t="n"/>
      <c r="AE83" s="67" t="n"/>
      <c r="AF83" s="67" t="n"/>
      <c r="AG83" s="63" t="n"/>
      <c r="AH83" s="74">
        <f>IF($N83="Completed",1,IF(AND(ISNUMBER($K83),ISNUMBER($L83)),IF($L83&gt;$K83,MIN(1,MAX(0.05,(ReportDate-$K83)/($L83-$K83))),1),1))</f>
        <v>1</v>
      </c>
      <c r="AI83" s="70" t="str">
        <f>IF($B83="","",IF(AND(ISNUMBER($Q83),$Q83&gt;0),$R83/($Q83*$AH83),""))</f>
        <v/>
      </c>
      <c r="AJ83" s="71" t="str">
        <f>IF(ISNUMBER($K83),YEAR($K83)&amp;"-"&amp;TEXT(MONTH($K83),"00"),"")</f>
        <v/>
      </c>
      <c r="AK83" s="71">
        <f>IF($B83="",0,IF(AND(OR(fClient="All",$A83=fClient),OR(fCampaign="All",$B83=fCampaign),OR(fTeam="All",$I83=fTeam),OR(fChannel="All",$H83=fChannel),OR(fCStatus="All",$N83=fCStatus)),1,0))</f>
        <v>0</v>
      </c>
      <c r="AL83" s="71">
        <f>IF($B83="",0,IF(AND(OR(fClient="All",$A83=fClient),OR(fCampaign="All",$B83=fCampaign),OR(fTeam="All",$I83=fTeam),OR(fChannel="All",$H83=fChannel)),1,0))</f>
        <v>0</v>
      </c>
      <c r="AM83" s="71">
        <f>IF(OR($N83="Live",$N83="Optimizing"),1,0)</f>
        <v>0</v>
      </c>
      <c r="AN83" s="71">
        <f>IF(OR($N83="Live",$N83="Optimizing",$N83="Paused",$N83="Completed"),1,0)</f>
        <v>0</v>
      </c>
      <c r="AO83" s="71">
        <f>IF(AND($AM83=1,ISNUMBER($L83),NOT(ISNUMBER($M83))),IF($L83&lt;ReportDate,1,0),0)</f>
        <v>0</v>
      </c>
      <c r="AP83" s="71">
        <f>IF($AM83=1,IF(ISNUMBER($AG83),IF(ReportDate-$AG83&gt;CampStaleDays,1,0),1),0)</f>
        <v>0</v>
      </c>
      <c r="AQ83" s="71">
        <f>IF(AND($AM83=1,OR($AA83="Behind",$AA83="At Risk")),1,0)</f>
        <v>0</v>
      </c>
      <c r="AR83" s="71">
        <f>IF(AND($AM83=1,OR($AA83="Ahead",$AA83="On Track")),1,0)</f>
        <v>0</v>
      </c>
      <c r="AS83" s="71">
        <f>IF(OR($AQ83=1,$AP83=1,$AO83=1),1,0)</f>
        <v>0</v>
      </c>
      <c r="AT83" s="71" t="str">
        <f>IF($AS83=1,TRIM(IF($AQ83=1,"Low performance. ","")&amp;IF($AP83=1,"No recent update. ","")&amp;IF($AO83=1,"Past planned end. ","")),"")</f>
        <v/>
      </c>
      <c r="AU83" s="71" t="str">
        <f>IF(AND($AS83=1,$AL83=1),ROW(),"")</f>
        <v/>
      </c>
      <c r="AV83" s="71" t="str">
        <f>IF(AND($AQ83=1,$AL83=1),ROW(),"")</f>
        <v/>
      </c>
      <c r="AW83" s="71" t="str">
        <f>IF(AND($AP83=1,$AL83=1),ROW(),"")</f>
        <v/>
      </c>
      <c r="AX83" s="71" t="str">
        <f>IF(AND($AR83=1,$AL83=1),ROW(),"")</f>
        <v/>
      </c>
      <c r="AY83" s="71">
        <f>IF(AND($B83&lt;&gt;"",$A83=TCL_Client),1,0)</f>
        <v>0</v>
      </c>
      <c r="AZ83" s="71" t="str">
        <f>IF($AY83=1,ROW(),"")</f>
        <v/>
      </c>
      <c r="BA83" s="71">
        <f>IF(AND($B83&lt;&gt;"",$A83=MECCA_Client),1,0)</f>
        <v>0</v>
      </c>
      <c r="BB83" s="71" t="str">
        <f>IF($BA83=1,ROW(),"")</f>
        <v/>
      </c>
    </row>
    <row r="84">
      <c r="A84" s="64" t="n"/>
      <c r="B84" s="65" t="n"/>
      <c r="C84" s="64" t="n"/>
      <c r="D84" s="64" t="n"/>
      <c r="E84" s="64" t="n"/>
      <c r="F84" s="65" t="n"/>
      <c r="G84" s="65" t="n"/>
      <c r="H84" s="64" t="n"/>
      <c r="I84" s="64" t="n"/>
      <c r="J84" s="65" t="n"/>
      <c r="K84" s="63" t="n"/>
      <c r="L84" s="63" t="n"/>
      <c r="M84" s="63" t="n"/>
      <c r="N84" s="64" t="n"/>
      <c r="O84" s="67" t="n"/>
      <c r="P84" s="72" t="str">
        <f>IF($B84="","",SUMIFS('PAID MEDIA ADS'!$G$5:$G$804,'PAID MEDIA ADS'!$C$5:$C$804,$B84))</f>
        <v/>
      </c>
      <c r="Q84" s="67" t="n"/>
      <c r="R84" s="72" t="str">
        <f>IF($B84="","",COUNTIFS('LEAD MQL TRACKER'!$C$5:$C$1004,$B84,'LEAD MQL TRACKER'!$AB$5:$AB$1004,1)+SUMIFS('EMAIL MARKETING'!$Q$5:$Q$804,'EMAIL MARKETING'!$C$5:$C$804,$B84)+SUMIFS('PAID MEDIA ADS'!$M$5:$M$804,'PAID MEDIA ADS'!$C$5:$C$804,$B84)+SUMIFS('LINKEDIN OUTREACH'!$N$5:$N$704,'LINKEDIN OUTREACH'!$C$5:$C$704,$B84))</f>
        <v/>
      </c>
      <c r="S84" s="67" t="n"/>
      <c r="T84" s="72" t="str">
        <f>IF($B84="","",COUNTIFS('LEAD MQL TRACKER'!$C$5:$C$1004,$B84,'LEAD MQL TRACKER'!$AD$5:$AD$1004,1)+SUMIFS('EMAIL MARKETING'!$R$5:$R$804,'EMAIL MARKETING'!$C$5:$C$804,$B84)+SUMIFS('PAID MEDIA ADS'!$N$5:$N$804,'PAID MEDIA ADS'!$C$5:$C$804,$B84)+SUMIFS('LINKEDIN OUTREACH'!$O$5:$O$704,'LINKEDIN OUTREACH'!$C$5:$C$704,$B84))</f>
        <v/>
      </c>
      <c r="U84" s="67" t="n"/>
      <c r="V84" s="72" t="str">
        <f>IF($B84="","",COUNTIFS('LEAD MQL TRACKER'!$C$5:$C$1004,$B84,'LEAD MQL TRACKER'!$AE$5:$AE$1004,1))</f>
        <v/>
      </c>
      <c r="W84" s="72" t="str">
        <f>IF($B84="","",COUNTIFS('LEAD MQL TRACKER'!$C$5:$C$1004,$B84,'LEAD MQL TRACKER'!$AC$5:$AC$1004,1)+SUMIFS('LINKEDIN OUTREACH'!$M$5:$M$704,'LINKEDIN OUTREACH'!$C$5:$C$704,$B84))</f>
        <v/>
      </c>
      <c r="X84" s="72" t="str">
        <f>IF($B84="","",SUMIFS('EMAIL MARKETING'!$O$5:$O$804,'EMAIL MARKETING'!$C$5:$C$804,$B84)+SUMIFS('LINKEDIN OUTREACH'!$K$5:$K$704,'LINKEDIN OUTREACH'!$C$5:$C$704,$B84))</f>
        <v/>
      </c>
      <c r="Y84" s="73" t="str">
        <f>IF(ISNUMBER($R84),IF($R84&gt;0,$T84/$R84,""),"")</f>
        <v/>
      </c>
      <c r="Z84" s="72" t="str">
        <f>IF(AND(ISNUMBER($P84),ISNUMBER($R84)),IF(AND($P84&gt;0,$R84&gt;0),$P84/$R84,""),"")</f>
        <v/>
      </c>
      <c r="AA84" s="71" t="str">
        <f>IF($B84="","",IF(OR($N84="Live",$N84="Optimizing",$N84="Paused",$N84="Completed"),IF(ISNUMBER($AI84),IF($AI84&gt;=1,"Ahead",IF($AI84&gt;=OnTrackPct,"On Track",IF($AI84&gt;=WatchPct,"Behind","At Risk"))),"No Target Set"),"Not Live"))</f>
        <v/>
      </c>
      <c r="AB84" s="65" t="n"/>
      <c r="AC84" s="65" t="n"/>
      <c r="AD84" s="65" t="n"/>
      <c r="AE84" s="67" t="n"/>
      <c r="AF84" s="67" t="n"/>
      <c r="AG84" s="63" t="n"/>
      <c r="AH84" s="74">
        <f>IF($N84="Completed",1,IF(AND(ISNUMBER($K84),ISNUMBER($L84)),IF($L84&gt;$K84,MIN(1,MAX(0.05,(ReportDate-$K84)/($L84-$K84))),1),1))</f>
        <v>1</v>
      </c>
      <c r="AI84" s="70" t="str">
        <f>IF($B84="","",IF(AND(ISNUMBER($Q84),$Q84&gt;0),$R84/($Q84*$AH84),""))</f>
        <v/>
      </c>
      <c r="AJ84" s="71" t="str">
        <f>IF(ISNUMBER($K84),YEAR($K84)&amp;"-"&amp;TEXT(MONTH($K84),"00"),"")</f>
        <v/>
      </c>
      <c r="AK84" s="71">
        <f>IF($B84="",0,IF(AND(OR(fClient="All",$A84=fClient),OR(fCampaign="All",$B84=fCampaign),OR(fTeam="All",$I84=fTeam),OR(fChannel="All",$H84=fChannel),OR(fCStatus="All",$N84=fCStatus)),1,0))</f>
        <v>0</v>
      </c>
      <c r="AL84" s="71">
        <f>IF($B84="",0,IF(AND(OR(fClient="All",$A84=fClient),OR(fCampaign="All",$B84=fCampaign),OR(fTeam="All",$I84=fTeam),OR(fChannel="All",$H84=fChannel)),1,0))</f>
        <v>0</v>
      </c>
      <c r="AM84" s="71">
        <f>IF(OR($N84="Live",$N84="Optimizing"),1,0)</f>
        <v>0</v>
      </c>
      <c r="AN84" s="71">
        <f>IF(OR($N84="Live",$N84="Optimizing",$N84="Paused",$N84="Completed"),1,0)</f>
        <v>0</v>
      </c>
      <c r="AO84" s="71">
        <f>IF(AND($AM84=1,ISNUMBER($L84),NOT(ISNUMBER($M84))),IF($L84&lt;ReportDate,1,0),0)</f>
        <v>0</v>
      </c>
      <c r="AP84" s="71">
        <f>IF($AM84=1,IF(ISNUMBER($AG84),IF(ReportDate-$AG84&gt;CampStaleDays,1,0),1),0)</f>
        <v>0</v>
      </c>
      <c r="AQ84" s="71">
        <f>IF(AND($AM84=1,OR($AA84="Behind",$AA84="At Risk")),1,0)</f>
        <v>0</v>
      </c>
      <c r="AR84" s="71">
        <f>IF(AND($AM84=1,OR($AA84="Ahead",$AA84="On Track")),1,0)</f>
        <v>0</v>
      </c>
      <c r="AS84" s="71">
        <f>IF(OR($AQ84=1,$AP84=1,$AO84=1),1,0)</f>
        <v>0</v>
      </c>
      <c r="AT84" s="71" t="str">
        <f>IF($AS84=1,TRIM(IF($AQ84=1,"Low performance. ","")&amp;IF($AP84=1,"No recent update. ","")&amp;IF($AO84=1,"Past planned end. ","")),"")</f>
        <v/>
      </c>
      <c r="AU84" s="71" t="str">
        <f>IF(AND($AS84=1,$AL84=1),ROW(),"")</f>
        <v/>
      </c>
      <c r="AV84" s="71" t="str">
        <f>IF(AND($AQ84=1,$AL84=1),ROW(),"")</f>
        <v/>
      </c>
      <c r="AW84" s="71" t="str">
        <f>IF(AND($AP84=1,$AL84=1),ROW(),"")</f>
        <v/>
      </c>
      <c r="AX84" s="71" t="str">
        <f>IF(AND($AR84=1,$AL84=1),ROW(),"")</f>
        <v/>
      </c>
      <c r="AY84" s="71">
        <f>IF(AND($B84&lt;&gt;"",$A84=TCL_Client),1,0)</f>
        <v>0</v>
      </c>
      <c r="AZ84" s="71" t="str">
        <f>IF($AY84=1,ROW(),"")</f>
        <v/>
      </c>
      <c r="BA84" s="71">
        <f>IF(AND($B84&lt;&gt;"",$A84=MECCA_Client),1,0)</f>
        <v>0</v>
      </c>
      <c r="BB84" s="71" t="str">
        <f>IF($BA84=1,ROW(),"")</f>
        <v/>
      </c>
    </row>
    <row r="85">
      <c r="A85" s="64" t="n"/>
      <c r="B85" s="65" t="n"/>
      <c r="C85" s="64" t="n"/>
      <c r="D85" s="64" t="n"/>
      <c r="E85" s="64" t="n"/>
      <c r="F85" s="65" t="n"/>
      <c r="G85" s="65" t="n"/>
      <c r="H85" s="64" t="n"/>
      <c r="I85" s="64" t="n"/>
      <c r="J85" s="65" t="n"/>
      <c r="K85" s="63" t="n"/>
      <c r="L85" s="63" t="n"/>
      <c r="M85" s="63" t="n"/>
      <c r="N85" s="64" t="n"/>
      <c r="O85" s="67" t="n"/>
      <c r="P85" s="72" t="str">
        <f>IF($B85="","",SUMIFS('PAID MEDIA ADS'!$G$5:$G$804,'PAID MEDIA ADS'!$C$5:$C$804,$B85))</f>
        <v/>
      </c>
      <c r="Q85" s="67" t="n"/>
      <c r="R85" s="72" t="str">
        <f>IF($B85="","",COUNTIFS('LEAD MQL TRACKER'!$C$5:$C$1004,$B85,'LEAD MQL TRACKER'!$AB$5:$AB$1004,1)+SUMIFS('EMAIL MARKETING'!$Q$5:$Q$804,'EMAIL MARKETING'!$C$5:$C$804,$B85)+SUMIFS('PAID MEDIA ADS'!$M$5:$M$804,'PAID MEDIA ADS'!$C$5:$C$804,$B85)+SUMIFS('LINKEDIN OUTREACH'!$N$5:$N$704,'LINKEDIN OUTREACH'!$C$5:$C$704,$B85))</f>
        <v/>
      </c>
      <c r="S85" s="67" t="n"/>
      <c r="T85" s="72" t="str">
        <f>IF($B85="","",COUNTIFS('LEAD MQL TRACKER'!$C$5:$C$1004,$B85,'LEAD MQL TRACKER'!$AD$5:$AD$1004,1)+SUMIFS('EMAIL MARKETING'!$R$5:$R$804,'EMAIL MARKETING'!$C$5:$C$804,$B85)+SUMIFS('PAID MEDIA ADS'!$N$5:$N$804,'PAID MEDIA ADS'!$C$5:$C$804,$B85)+SUMIFS('LINKEDIN OUTREACH'!$O$5:$O$704,'LINKEDIN OUTREACH'!$C$5:$C$704,$B85))</f>
        <v/>
      </c>
      <c r="U85" s="67" t="n"/>
      <c r="V85" s="72" t="str">
        <f>IF($B85="","",COUNTIFS('LEAD MQL TRACKER'!$C$5:$C$1004,$B85,'LEAD MQL TRACKER'!$AE$5:$AE$1004,1))</f>
        <v/>
      </c>
      <c r="W85" s="72" t="str">
        <f>IF($B85="","",COUNTIFS('LEAD MQL TRACKER'!$C$5:$C$1004,$B85,'LEAD MQL TRACKER'!$AC$5:$AC$1004,1)+SUMIFS('LINKEDIN OUTREACH'!$M$5:$M$704,'LINKEDIN OUTREACH'!$C$5:$C$704,$B85))</f>
        <v/>
      </c>
      <c r="X85" s="72" t="str">
        <f>IF($B85="","",SUMIFS('EMAIL MARKETING'!$O$5:$O$804,'EMAIL MARKETING'!$C$5:$C$804,$B85)+SUMIFS('LINKEDIN OUTREACH'!$K$5:$K$704,'LINKEDIN OUTREACH'!$C$5:$C$704,$B85))</f>
        <v/>
      </c>
      <c r="Y85" s="73" t="str">
        <f>IF(ISNUMBER($R85),IF($R85&gt;0,$T85/$R85,""),"")</f>
        <v/>
      </c>
      <c r="Z85" s="72" t="str">
        <f>IF(AND(ISNUMBER($P85),ISNUMBER($R85)),IF(AND($P85&gt;0,$R85&gt;0),$P85/$R85,""),"")</f>
        <v/>
      </c>
      <c r="AA85" s="71" t="str">
        <f>IF($B85="","",IF(OR($N85="Live",$N85="Optimizing",$N85="Paused",$N85="Completed"),IF(ISNUMBER($AI85),IF($AI85&gt;=1,"Ahead",IF($AI85&gt;=OnTrackPct,"On Track",IF($AI85&gt;=WatchPct,"Behind","At Risk"))),"No Target Set"),"Not Live"))</f>
        <v/>
      </c>
      <c r="AB85" s="65" t="n"/>
      <c r="AC85" s="65" t="n"/>
      <c r="AD85" s="65" t="n"/>
      <c r="AE85" s="67" t="n"/>
      <c r="AF85" s="67" t="n"/>
      <c r="AG85" s="63" t="n"/>
      <c r="AH85" s="74">
        <f>IF($N85="Completed",1,IF(AND(ISNUMBER($K85),ISNUMBER($L85)),IF($L85&gt;$K85,MIN(1,MAX(0.05,(ReportDate-$K85)/($L85-$K85))),1),1))</f>
        <v>1</v>
      </c>
      <c r="AI85" s="70" t="str">
        <f>IF($B85="","",IF(AND(ISNUMBER($Q85),$Q85&gt;0),$R85/($Q85*$AH85),""))</f>
        <v/>
      </c>
      <c r="AJ85" s="71" t="str">
        <f>IF(ISNUMBER($K85),YEAR($K85)&amp;"-"&amp;TEXT(MONTH($K85),"00"),"")</f>
        <v/>
      </c>
      <c r="AK85" s="71">
        <f>IF($B85="",0,IF(AND(OR(fClient="All",$A85=fClient),OR(fCampaign="All",$B85=fCampaign),OR(fTeam="All",$I85=fTeam),OR(fChannel="All",$H85=fChannel),OR(fCStatus="All",$N85=fCStatus)),1,0))</f>
        <v>0</v>
      </c>
      <c r="AL85" s="71">
        <f>IF($B85="",0,IF(AND(OR(fClient="All",$A85=fClient),OR(fCampaign="All",$B85=fCampaign),OR(fTeam="All",$I85=fTeam),OR(fChannel="All",$H85=fChannel)),1,0))</f>
        <v>0</v>
      </c>
      <c r="AM85" s="71">
        <f>IF(OR($N85="Live",$N85="Optimizing"),1,0)</f>
        <v>0</v>
      </c>
      <c r="AN85" s="71">
        <f>IF(OR($N85="Live",$N85="Optimizing",$N85="Paused",$N85="Completed"),1,0)</f>
        <v>0</v>
      </c>
      <c r="AO85" s="71">
        <f>IF(AND($AM85=1,ISNUMBER($L85),NOT(ISNUMBER($M85))),IF($L85&lt;ReportDate,1,0),0)</f>
        <v>0</v>
      </c>
      <c r="AP85" s="71">
        <f>IF($AM85=1,IF(ISNUMBER($AG85),IF(ReportDate-$AG85&gt;CampStaleDays,1,0),1),0)</f>
        <v>0</v>
      </c>
      <c r="AQ85" s="71">
        <f>IF(AND($AM85=1,OR($AA85="Behind",$AA85="At Risk")),1,0)</f>
        <v>0</v>
      </c>
      <c r="AR85" s="71">
        <f>IF(AND($AM85=1,OR($AA85="Ahead",$AA85="On Track")),1,0)</f>
        <v>0</v>
      </c>
      <c r="AS85" s="71">
        <f>IF(OR($AQ85=1,$AP85=1,$AO85=1),1,0)</f>
        <v>0</v>
      </c>
      <c r="AT85" s="71" t="str">
        <f>IF($AS85=1,TRIM(IF($AQ85=1,"Low performance. ","")&amp;IF($AP85=1,"No recent update. ","")&amp;IF($AO85=1,"Past planned end. ","")),"")</f>
        <v/>
      </c>
      <c r="AU85" s="71" t="str">
        <f>IF(AND($AS85=1,$AL85=1),ROW(),"")</f>
        <v/>
      </c>
      <c r="AV85" s="71" t="str">
        <f>IF(AND($AQ85=1,$AL85=1),ROW(),"")</f>
        <v/>
      </c>
      <c r="AW85" s="71" t="str">
        <f>IF(AND($AP85=1,$AL85=1),ROW(),"")</f>
        <v/>
      </c>
      <c r="AX85" s="71" t="str">
        <f>IF(AND($AR85=1,$AL85=1),ROW(),"")</f>
        <v/>
      </c>
      <c r="AY85" s="71">
        <f>IF(AND($B85&lt;&gt;"",$A85=TCL_Client),1,0)</f>
        <v>0</v>
      </c>
      <c r="AZ85" s="71" t="str">
        <f>IF($AY85=1,ROW(),"")</f>
        <v/>
      </c>
      <c r="BA85" s="71">
        <f>IF(AND($B85&lt;&gt;"",$A85=MECCA_Client),1,0)</f>
        <v>0</v>
      </c>
      <c r="BB85" s="71" t="str">
        <f>IF($BA85=1,ROW(),"")</f>
        <v/>
      </c>
    </row>
    <row r="86">
      <c r="A86" s="64" t="n"/>
      <c r="B86" s="65" t="n"/>
      <c r="C86" s="64" t="n"/>
      <c r="D86" s="64" t="n"/>
      <c r="E86" s="64" t="n"/>
      <c r="F86" s="65" t="n"/>
      <c r="G86" s="65" t="n"/>
      <c r="H86" s="64" t="n"/>
      <c r="I86" s="64" t="n"/>
      <c r="J86" s="65" t="n"/>
      <c r="K86" s="63" t="n"/>
      <c r="L86" s="63" t="n"/>
      <c r="M86" s="63" t="n"/>
      <c r="N86" s="64" t="n"/>
      <c r="O86" s="67" t="n"/>
      <c r="P86" s="72" t="str">
        <f>IF($B86="","",SUMIFS('PAID MEDIA ADS'!$G$5:$G$804,'PAID MEDIA ADS'!$C$5:$C$804,$B86))</f>
        <v/>
      </c>
      <c r="Q86" s="67" t="n"/>
      <c r="R86" s="72" t="str">
        <f>IF($B86="","",COUNTIFS('LEAD MQL TRACKER'!$C$5:$C$1004,$B86,'LEAD MQL TRACKER'!$AB$5:$AB$1004,1)+SUMIFS('EMAIL MARKETING'!$Q$5:$Q$804,'EMAIL MARKETING'!$C$5:$C$804,$B86)+SUMIFS('PAID MEDIA ADS'!$M$5:$M$804,'PAID MEDIA ADS'!$C$5:$C$804,$B86)+SUMIFS('LINKEDIN OUTREACH'!$N$5:$N$704,'LINKEDIN OUTREACH'!$C$5:$C$704,$B86))</f>
        <v/>
      </c>
      <c r="S86" s="67" t="n"/>
      <c r="T86" s="72" t="str">
        <f>IF($B86="","",COUNTIFS('LEAD MQL TRACKER'!$C$5:$C$1004,$B86,'LEAD MQL TRACKER'!$AD$5:$AD$1004,1)+SUMIFS('EMAIL MARKETING'!$R$5:$R$804,'EMAIL MARKETING'!$C$5:$C$804,$B86)+SUMIFS('PAID MEDIA ADS'!$N$5:$N$804,'PAID MEDIA ADS'!$C$5:$C$804,$B86)+SUMIFS('LINKEDIN OUTREACH'!$O$5:$O$704,'LINKEDIN OUTREACH'!$C$5:$C$704,$B86))</f>
        <v/>
      </c>
      <c r="U86" s="67" t="n"/>
      <c r="V86" s="72" t="str">
        <f>IF($B86="","",COUNTIFS('LEAD MQL TRACKER'!$C$5:$C$1004,$B86,'LEAD MQL TRACKER'!$AE$5:$AE$1004,1))</f>
        <v/>
      </c>
      <c r="W86" s="72" t="str">
        <f>IF($B86="","",COUNTIFS('LEAD MQL TRACKER'!$C$5:$C$1004,$B86,'LEAD MQL TRACKER'!$AC$5:$AC$1004,1)+SUMIFS('LINKEDIN OUTREACH'!$M$5:$M$704,'LINKEDIN OUTREACH'!$C$5:$C$704,$B86))</f>
        <v/>
      </c>
      <c r="X86" s="72" t="str">
        <f>IF($B86="","",SUMIFS('EMAIL MARKETING'!$O$5:$O$804,'EMAIL MARKETING'!$C$5:$C$804,$B86)+SUMIFS('LINKEDIN OUTREACH'!$K$5:$K$704,'LINKEDIN OUTREACH'!$C$5:$C$704,$B86))</f>
        <v/>
      </c>
      <c r="Y86" s="73" t="str">
        <f>IF(ISNUMBER($R86),IF($R86&gt;0,$T86/$R86,""),"")</f>
        <v/>
      </c>
      <c r="Z86" s="72" t="str">
        <f>IF(AND(ISNUMBER($P86),ISNUMBER($R86)),IF(AND($P86&gt;0,$R86&gt;0),$P86/$R86,""),"")</f>
        <v/>
      </c>
      <c r="AA86" s="71" t="str">
        <f>IF($B86="","",IF(OR($N86="Live",$N86="Optimizing",$N86="Paused",$N86="Completed"),IF(ISNUMBER($AI86),IF($AI86&gt;=1,"Ahead",IF($AI86&gt;=OnTrackPct,"On Track",IF($AI86&gt;=WatchPct,"Behind","At Risk"))),"No Target Set"),"Not Live"))</f>
        <v/>
      </c>
      <c r="AB86" s="65" t="n"/>
      <c r="AC86" s="65" t="n"/>
      <c r="AD86" s="65" t="n"/>
      <c r="AE86" s="67" t="n"/>
      <c r="AF86" s="67" t="n"/>
      <c r="AG86" s="63" t="n"/>
      <c r="AH86" s="74">
        <f>IF($N86="Completed",1,IF(AND(ISNUMBER($K86),ISNUMBER($L86)),IF($L86&gt;$K86,MIN(1,MAX(0.05,(ReportDate-$K86)/($L86-$K86))),1),1))</f>
        <v>1</v>
      </c>
      <c r="AI86" s="70" t="str">
        <f>IF($B86="","",IF(AND(ISNUMBER($Q86),$Q86&gt;0),$R86/($Q86*$AH86),""))</f>
        <v/>
      </c>
      <c r="AJ86" s="71" t="str">
        <f>IF(ISNUMBER($K86),YEAR($K86)&amp;"-"&amp;TEXT(MONTH($K86),"00"),"")</f>
        <v/>
      </c>
      <c r="AK86" s="71">
        <f>IF($B86="",0,IF(AND(OR(fClient="All",$A86=fClient),OR(fCampaign="All",$B86=fCampaign),OR(fTeam="All",$I86=fTeam),OR(fChannel="All",$H86=fChannel),OR(fCStatus="All",$N86=fCStatus)),1,0))</f>
        <v>0</v>
      </c>
      <c r="AL86" s="71">
        <f>IF($B86="",0,IF(AND(OR(fClient="All",$A86=fClient),OR(fCampaign="All",$B86=fCampaign),OR(fTeam="All",$I86=fTeam),OR(fChannel="All",$H86=fChannel)),1,0))</f>
        <v>0</v>
      </c>
      <c r="AM86" s="71">
        <f>IF(OR($N86="Live",$N86="Optimizing"),1,0)</f>
        <v>0</v>
      </c>
      <c r="AN86" s="71">
        <f>IF(OR($N86="Live",$N86="Optimizing",$N86="Paused",$N86="Completed"),1,0)</f>
        <v>0</v>
      </c>
      <c r="AO86" s="71">
        <f>IF(AND($AM86=1,ISNUMBER($L86),NOT(ISNUMBER($M86))),IF($L86&lt;ReportDate,1,0),0)</f>
        <v>0</v>
      </c>
      <c r="AP86" s="71">
        <f>IF($AM86=1,IF(ISNUMBER($AG86),IF(ReportDate-$AG86&gt;CampStaleDays,1,0),1),0)</f>
        <v>0</v>
      </c>
      <c r="AQ86" s="71">
        <f>IF(AND($AM86=1,OR($AA86="Behind",$AA86="At Risk")),1,0)</f>
        <v>0</v>
      </c>
      <c r="AR86" s="71">
        <f>IF(AND($AM86=1,OR($AA86="Ahead",$AA86="On Track")),1,0)</f>
        <v>0</v>
      </c>
      <c r="AS86" s="71">
        <f>IF(OR($AQ86=1,$AP86=1,$AO86=1),1,0)</f>
        <v>0</v>
      </c>
      <c r="AT86" s="71" t="str">
        <f>IF($AS86=1,TRIM(IF($AQ86=1,"Low performance. ","")&amp;IF($AP86=1,"No recent update. ","")&amp;IF($AO86=1,"Past planned end. ","")),"")</f>
        <v/>
      </c>
      <c r="AU86" s="71" t="str">
        <f>IF(AND($AS86=1,$AL86=1),ROW(),"")</f>
        <v/>
      </c>
      <c r="AV86" s="71" t="str">
        <f>IF(AND($AQ86=1,$AL86=1),ROW(),"")</f>
        <v/>
      </c>
      <c r="AW86" s="71" t="str">
        <f>IF(AND($AP86=1,$AL86=1),ROW(),"")</f>
        <v/>
      </c>
      <c r="AX86" s="71" t="str">
        <f>IF(AND($AR86=1,$AL86=1),ROW(),"")</f>
        <v/>
      </c>
      <c r="AY86" s="71">
        <f>IF(AND($B86&lt;&gt;"",$A86=TCL_Client),1,0)</f>
        <v>0</v>
      </c>
      <c r="AZ86" s="71" t="str">
        <f>IF($AY86=1,ROW(),"")</f>
        <v/>
      </c>
      <c r="BA86" s="71">
        <f>IF(AND($B86&lt;&gt;"",$A86=MECCA_Client),1,0)</f>
        <v>0</v>
      </c>
      <c r="BB86" s="71" t="str">
        <f>IF($BA86=1,ROW(),"")</f>
        <v/>
      </c>
    </row>
    <row r="87">
      <c r="A87" s="64" t="n"/>
      <c r="B87" s="65" t="n"/>
      <c r="C87" s="64" t="n"/>
      <c r="D87" s="64" t="n"/>
      <c r="E87" s="64" t="n"/>
      <c r="F87" s="65" t="n"/>
      <c r="G87" s="65" t="n"/>
      <c r="H87" s="64" t="n"/>
      <c r="I87" s="64" t="n"/>
      <c r="J87" s="65" t="n"/>
      <c r="K87" s="63" t="n"/>
      <c r="L87" s="63" t="n"/>
      <c r="M87" s="63" t="n"/>
      <c r="N87" s="64" t="n"/>
      <c r="O87" s="67" t="n"/>
      <c r="P87" s="72" t="str">
        <f>IF($B87="","",SUMIFS('PAID MEDIA ADS'!$G$5:$G$804,'PAID MEDIA ADS'!$C$5:$C$804,$B87))</f>
        <v/>
      </c>
      <c r="Q87" s="67" t="n"/>
      <c r="R87" s="72" t="str">
        <f>IF($B87="","",COUNTIFS('LEAD MQL TRACKER'!$C$5:$C$1004,$B87,'LEAD MQL TRACKER'!$AB$5:$AB$1004,1)+SUMIFS('EMAIL MARKETING'!$Q$5:$Q$804,'EMAIL MARKETING'!$C$5:$C$804,$B87)+SUMIFS('PAID MEDIA ADS'!$M$5:$M$804,'PAID MEDIA ADS'!$C$5:$C$804,$B87)+SUMIFS('LINKEDIN OUTREACH'!$N$5:$N$704,'LINKEDIN OUTREACH'!$C$5:$C$704,$B87))</f>
        <v/>
      </c>
      <c r="S87" s="67" t="n"/>
      <c r="T87" s="72" t="str">
        <f>IF($B87="","",COUNTIFS('LEAD MQL TRACKER'!$C$5:$C$1004,$B87,'LEAD MQL TRACKER'!$AD$5:$AD$1004,1)+SUMIFS('EMAIL MARKETING'!$R$5:$R$804,'EMAIL MARKETING'!$C$5:$C$804,$B87)+SUMIFS('PAID MEDIA ADS'!$N$5:$N$804,'PAID MEDIA ADS'!$C$5:$C$804,$B87)+SUMIFS('LINKEDIN OUTREACH'!$O$5:$O$704,'LINKEDIN OUTREACH'!$C$5:$C$704,$B87))</f>
        <v/>
      </c>
      <c r="U87" s="67" t="n"/>
      <c r="V87" s="72" t="str">
        <f>IF($B87="","",COUNTIFS('LEAD MQL TRACKER'!$C$5:$C$1004,$B87,'LEAD MQL TRACKER'!$AE$5:$AE$1004,1))</f>
        <v/>
      </c>
      <c r="W87" s="72" t="str">
        <f>IF($B87="","",COUNTIFS('LEAD MQL TRACKER'!$C$5:$C$1004,$B87,'LEAD MQL TRACKER'!$AC$5:$AC$1004,1)+SUMIFS('LINKEDIN OUTREACH'!$M$5:$M$704,'LINKEDIN OUTREACH'!$C$5:$C$704,$B87))</f>
        <v/>
      </c>
      <c r="X87" s="72" t="str">
        <f>IF($B87="","",SUMIFS('EMAIL MARKETING'!$O$5:$O$804,'EMAIL MARKETING'!$C$5:$C$804,$B87)+SUMIFS('LINKEDIN OUTREACH'!$K$5:$K$704,'LINKEDIN OUTREACH'!$C$5:$C$704,$B87))</f>
        <v/>
      </c>
      <c r="Y87" s="73" t="str">
        <f>IF(ISNUMBER($R87),IF($R87&gt;0,$T87/$R87,""),"")</f>
        <v/>
      </c>
      <c r="Z87" s="72" t="str">
        <f>IF(AND(ISNUMBER($P87),ISNUMBER($R87)),IF(AND($P87&gt;0,$R87&gt;0),$P87/$R87,""),"")</f>
        <v/>
      </c>
      <c r="AA87" s="71" t="str">
        <f>IF($B87="","",IF(OR($N87="Live",$N87="Optimizing",$N87="Paused",$N87="Completed"),IF(ISNUMBER($AI87),IF($AI87&gt;=1,"Ahead",IF($AI87&gt;=OnTrackPct,"On Track",IF($AI87&gt;=WatchPct,"Behind","At Risk"))),"No Target Set"),"Not Live"))</f>
        <v/>
      </c>
      <c r="AB87" s="65" t="n"/>
      <c r="AC87" s="65" t="n"/>
      <c r="AD87" s="65" t="n"/>
      <c r="AE87" s="67" t="n"/>
      <c r="AF87" s="67" t="n"/>
      <c r="AG87" s="63" t="n"/>
      <c r="AH87" s="74">
        <f>IF($N87="Completed",1,IF(AND(ISNUMBER($K87),ISNUMBER($L87)),IF($L87&gt;$K87,MIN(1,MAX(0.05,(ReportDate-$K87)/($L87-$K87))),1),1))</f>
        <v>1</v>
      </c>
      <c r="AI87" s="70" t="str">
        <f>IF($B87="","",IF(AND(ISNUMBER($Q87),$Q87&gt;0),$R87/($Q87*$AH87),""))</f>
        <v/>
      </c>
      <c r="AJ87" s="71" t="str">
        <f>IF(ISNUMBER($K87),YEAR($K87)&amp;"-"&amp;TEXT(MONTH($K87),"00"),"")</f>
        <v/>
      </c>
      <c r="AK87" s="71">
        <f>IF($B87="",0,IF(AND(OR(fClient="All",$A87=fClient),OR(fCampaign="All",$B87=fCampaign),OR(fTeam="All",$I87=fTeam),OR(fChannel="All",$H87=fChannel),OR(fCStatus="All",$N87=fCStatus)),1,0))</f>
        <v>0</v>
      </c>
      <c r="AL87" s="71">
        <f>IF($B87="",0,IF(AND(OR(fClient="All",$A87=fClient),OR(fCampaign="All",$B87=fCampaign),OR(fTeam="All",$I87=fTeam),OR(fChannel="All",$H87=fChannel)),1,0))</f>
        <v>0</v>
      </c>
      <c r="AM87" s="71">
        <f>IF(OR($N87="Live",$N87="Optimizing"),1,0)</f>
        <v>0</v>
      </c>
      <c r="AN87" s="71">
        <f>IF(OR($N87="Live",$N87="Optimizing",$N87="Paused",$N87="Completed"),1,0)</f>
        <v>0</v>
      </c>
      <c r="AO87" s="71">
        <f>IF(AND($AM87=1,ISNUMBER($L87),NOT(ISNUMBER($M87))),IF($L87&lt;ReportDate,1,0),0)</f>
        <v>0</v>
      </c>
      <c r="AP87" s="71">
        <f>IF($AM87=1,IF(ISNUMBER($AG87),IF(ReportDate-$AG87&gt;CampStaleDays,1,0),1),0)</f>
        <v>0</v>
      </c>
      <c r="AQ87" s="71">
        <f>IF(AND($AM87=1,OR($AA87="Behind",$AA87="At Risk")),1,0)</f>
        <v>0</v>
      </c>
      <c r="AR87" s="71">
        <f>IF(AND($AM87=1,OR($AA87="Ahead",$AA87="On Track")),1,0)</f>
        <v>0</v>
      </c>
      <c r="AS87" s="71">
        <f>IF(OR($AQ87=1,$AP87=1,$AO87=1),1,0)</f>
        <v>0</v>
      </c>
      <c r="AT87" s="71" t="str">
        <f>IF($AS87=1,TRIM(IF($AQ87=1,"Low performance. ","")&amp;IF($AP87=1,"No recent update. ","")&amp;IF($AO87=1,"Past planned end. ","")),"")</f>
        <v/>
      </c>
      <c r="AU87" s="71" t="str">
        <f>IF(AND($AS87=1,$AL87=1),ROW(),"")</f>
        <v/>
      </c>
      <c r="AV87" s="71" t="str">
        <f>IF(AND($AQ87=1,$AL87=1),ROW(),"")</f>
        <v/>
      </c>
      <c r="AW87" s="71" t="str">
        <f>IF(AND($AP87=1,$AL87=1),ROW(),"")</f>
        <v/>
      </c>
      <c r="AX87" s="71" t="str">
        <f>IF(AND($AR87=1,$AL87=1),ROW(),"")</f>
        <v/>
      </c>
      <c r="AY87" s="71">
        <f>IF(AND($B87&lt;&gt;"",$A87=TCL_Client),1,0)</f>
        <v>0</v>
      </c>
      <c r="AZ87" s="71" t="str">
        <f>IF($AY87=1,ROW(),"")</f>
        <v/>
      </c>
      <c r="BA87" s="71">
        <f>IF(AND($B87&lt;&gt;"",$A87=MECCA_Client),1,0)</f>
        <v>0</v>
      </c>
      <c r="BB87" s="71" t="str">
        <f>IF($BA87=1,ROW(),"")</f>
        <v/>
      </c>
    </row>
    <row r="88">
      <c r="A88" s="64" t="n"/>
      <c r="B88" s="65" t="n"/>
      <c r="C88" s="64" t="n"/>
      <c r="D88" s="64" t="n"/>
      <c r="E88" s="64" t="n"/>
      <c r="F88" s="65" t="n"/>
      <c r="G88" s="65" t="n"/>
      <c r="H88" s="64" t="n"/>
      <c r="I88" s="64" t="n"/>
      <c r="J88" s="65" t="n"/>
      <c r="K88" s="63" t="n"/>
      <c r="L88" s="63" t="n"/>
      <c r="M88" s="63" t="n"/>
      <c r="N88" s="64" t="n"/>
      <c r="O88" s="67" t="n"/>
      <c r="P88" s="72" t="str">
        <f>IF($B88="","",SUMIFS('PAID MEDIA ADS'!$G$5:$G$804,'PAID MEDIA ADS'!$C$5:$C$804,$B88))</f>
        <v/>
      </c>
      <c r="Q88" s="67" t="n"/>
      <c r="R88" s="72" t="str">
        <f>IF($B88="","",COUNTIFS('LEAD MQL TRACKER'!$C$5:$C$1004,$B88,'LEAD MQL TRACKER'!$AB$5:$AB$1004,1)+SUMIFS('EMAIL MARKETING'!$Q$5:$Q$804,'EMAIL MARKETING'!$C$5:$C$804,$B88)+SUMIFS('PAID MEDIA ADS'!$M$5:$M$804,'PAID MEDIA ADS'!$C$5:$C$804,$B88)+SUMIFS('LINKEDIN OUTREACH'!$N$5:$N$704,'LINKEDIN OUTREACH'!$C$5:$C$704,$B88))</f>
        <v/>
      </c>
      <c r="S88" s="67" t="n"/>
      <c r="T88" s="72" t="str">
        <f>IF($B88="","",COUNTIFS('LEAD MQL TRACKER'!$C$5:$C$1004,$B88,'LEAD MQL TRACKER'!$AD$5:$AD$1004,1)+SUMIFS('EMAIL MARKETING'!$R$5:$R$804,'EMAIL MARKETING'!$C$5:$C$804,$B88)+SUMIFS('PAID MEDIA ADS'!$N$5:$N$804,'PAID MEDIA ADS'!$C$5:$C$804,$B88)+SUMIFS('LINKEDIN OUTREACH'!$O$5:$O$704,'LINKEDIN OUTREACH'!$C$5:$C$704,$B88))</f>
        <v/>
      </c>
      <c r="U88" s="67" t="n"/>
      <c r="V88" s="72" t="str">
        <f>IF($B88="","",COUNTIFS('LEAD MQL TRACKER'!$C$5:$C$1004,$B88,'LEAD MQL TRACKER'!$AE$5:$AE$1004,1))</f>
        <v/>
      </c>
      <c r="W88" s="72" t="str">
        <f>IF($B88="","",COUNTIFS('LEAD MQL TRACKER'!$C$5:$C$1004,$B88,'LEAD MQL TRACKER'!$AC$5:$AC$1004,1)+SUMIFS('LINKEDIN OUTREACH'!$M$5:$M$704,'LINKEDIN OUTREACH'!$C$5:$C$704,$B88))</f>
        <v/>
      </c>
      <c r="X88" s="72" t="str">
        <f>IF($B88="","",SUMIFS('EMAIL MARKETING'!$O$5:$O$804,'EMAIL MARKETING'!$C$5:$C$804,$B88)+SUMIFS('LINKEDIN OUTREACH'!$K$5:$K$704,'LINKEDIN OUTREACH'!$C$5:$C$704,$B88))</f>
        <v/>
      </c>
      <c r="Y88" s="73" t="str">
        <f>IF(ISNUMBER($R88),IF($R88&gt;0,$T88/$R88,""),"")</f>
        <v/>
      </c>
      <c r="Z88" s="72" t="str">
        <f>IF(AND(ISNUMBER($P88),ISNUMBER($R88)),IF(AND($P88&gt;0,$R88&gt;0),$P88/$R88,""),"")</f>
        <v/>
      </c>
      <c r="AA88" s="71" t="str">
        <f>IF($B88="","",IF(OR($N88="Live",$N88="Optimizing",$N88="Paused",$N88="Completed"),IF(ISNUMBER($AI88),IF($AI88&gt;=1,"Ahead",IF($AI88&gt;=OnTrackPct,"On Track",IF($AI88&gt;=WatchPct,"Behind","At Risk"))),"No Target Set"),"Not Live"))</f>
        <v/>
      </c>
      <c r="AB88" s="65" t="n"/>
      <c r="AC88" s="65" t="n"/>
      <c r="AD88" s="65" t="n"/>
      <c r="AE88" s="67" t="n"/>
      <c r="AF88" s="67" t="n"/>
      <c r="AG88" s="63" t="n"/>
      <c r="AH88" s="74">
        <f>IF($N88="Completed",1,IF(AND(ISNUMBER($K88),ISNUMBER($L88)),IF($L88&gt;$K88,MIN(1,MAX(0.05,(ReportDate-$K88)/($L88-$K88))),1),1))</f>
        <v>1</v>
      </c>
      <c r="AI88" s="70" t="str">
        <f>IF($B88="","",IF(AND(ISNUMBER($Q88),$Q88&gt;0),$R88/($Q88*$AH88),""))</f>
        <v/>
      </c>
      <c r="AJ88" s="71" t="str">
        <f>IF(ISNUMBER($K88),YEAR($K88)&amp;"-"&amp;TEXT(MONTH($K88),"00"),"")</f>
        <v/>
      </c>
      <c r="AK88" s="71">
        <f>IF($B88="",0,IF(AND(OR(fClient="All",$A88=fClient),OR(fCampaign="All",$B88=fCampaign),OR(fTeam="All",$I88=fTeam),OR(fChannel="All",$H88=fChannel),OR(fCStatus="All",$N88=fCStatus)),1,0))</f>
        <v>0</v>
      </c>
      <c r="AL88" s="71">
        <f>IF($B88="",0,IF(AND(OR(fClient="All",$A88=fClient),OR(fCampaign="All",$B88=fCampaign),OR(fTeam="All",$I88=fTeam),OR(fChannel="All",$H88=fChannel)),1,0))</f>
        <v>0</v>
      </c>
      <c r="AM88" s="71">
        <f>IF(OR($N88="Live",$N88="Optimizing"),1,0)</f>
        <v>0</v>
      </c>
      <c r="AN88" s="71">
        <f>IF(OR($N88="Live",$N88="Optimizing",$N88="Paused",$N88="Completed"),1,0)</f>
        <v>0</v>
      </c>
      <c r="AO88" s="71">
        <f>IF(AND($AM88=1,ISNUMBER($L88),NOT(ISNUMBER($M88))),IF($L88&lt;ReportDate,1,0),0)</f>
        <v>0</v>
      </c>
      <c r="AP88" s="71">
        <f>IF($AM88=1,IF(ISNUMBER($AG88),IF(ReportDate-$AG88&gt;CampStaleDays,1,0),1),0)</f>
        <v>0</v>
      </c>
      <c r="AQ88" s="71">
        <f>IF(AND($AM88=1,OR($AA88="Behind",$AA88="At Risk")),1,0)</f>
        <v>0</v>
      </c>
      <c r="AR88" s="71">
        <f>IF(AND($AM88=1,OR($AA88="Ahead",$AA88="On Track")),1,0)</f>
        <v>0</v>
      </c>
      <c r="AS88" s="71">
        <f>IF(OR($AQ88=1,$AP88=1,$AO88=1),1,0)</f>
        <v>0</v>
      </c>
      <c r="AT88" s="71" t="str">
        <f>IF($AS88=1,TRIM(IF($AQ88=1,"Low performance. ","")&amp;IF($AP88=1,"No recent update. ","")&amp;IF($AO88=1,"Past planned end. ","")),"")</f>
        <v/>
      </c>
      <c r="AU88" s="71" t="str">
        <f>IF(AND($AS88=1,$AL88=1),ROW(),"")</f>
        <v/>
      </c>
      <c r="AV88" s="71" t="str">
        <f>IF(AND($AQ88=1,$AL88=1),ROW(),"")</f>
        <v/>
      </c>
      <c r="AW88" s="71" t="str">
        <f>IF(AND($AP88=1,$AL88=1),ROW(),"")</f>
        <v/>
      </c>
      <c r="AX88" s="71" t="str">
        <f>IF(AND($AR88=1,$AL88=1),ROW(),"")</f>
        <v/>
      </c>
      <c r="AY88" s="71">
        <f>IF(AND($B88&lt;&gt;"",$A88=TCL_Client),1,0)</f>
        <v>0</v>
      </c>
      <c r="AZ88" s="71" t="str">
        <f>IF($AY88=1,ROW(),"")</f>
        <v/>
      </c>
      <c r="BA88" s="71">
        <f>IF(AND($B88&lt;&gt;"",$A88=MECCA_Client),1,0)</f>
        <v>0</v>
      </c>
      <c r="BB88" s="71" t="str">
        <f>IF($BA88=1,ROW(),"")</f>
        <v/>
      </c>
    </row>
    <row r="89">
      <c r="A89" s="64" t="n"/>
      <c r="B89" s="65" t="n"/>
      <c r="C89" s="64" t="n"/>
      <c r="D89" s="64" t="n"/>
      <c r="E89" s="64" t="n"/>
      <c r="F89" s="65" t="n"/>
      <c r="G89" s="65" t="n"/>
      <c r="H89" s="64" t="n"/>
      <c r="I89" s="64" t="n"/>
      <c r="J89" s="65" t="n"/>
      <c r="K89" s="63" t="n"/>
      <c r="L89" s="63" t="n"/>
      <c r="M89" s="63" t="n"/>
      <c r="N89" s="64" t="n"/>
      <c r="O89" s="67" t="n"/>
      <c r="P89" s="72" t="str">
        <f>IF($B89="","",SUMIFS('PAID MEDIA ADS'!$G$5:$G$804,'PAID MEDIA ADS'!$C$5:$C$804,$B89))</f>
        <v/>
      </c>
      <c r="Q89" s="67" t="n"/>
      <c r="R89" s="72" t="str">
        <f>IF($B89="","",COUNTIFS('LEAD MQL TRACKER'!$C$5:$C$1004,$B89,'LEAD MQL TRACKER'!$AB$5:$AB$1004,1)+SUMIFS('EMAIL MARKETING'!$Q$5:$Q$804,'EMAIL MARKETING'!$C$5:$C$804,$B89)+SUMIFS('PAID MEDIA ADS'!$M$5:$M$804,'PAID MEDIA ADS'!$C$5:$C$804,$B89)+SUMIFS('LINKEDIN OUTREACH'!$N$5:$N$704,'LINKEDIN OUTREACH'!$C$5:$C$704,$B89))</f>
        <v/>
      </c>
      <c r="S89" s="67" t="n"/>
      <c r="T89" s="72" t="str">
        <f>IF($B89="","",COUNTIFS('LEAD MQL TRACKER'!$C$5:$C$1004,$B89,'LEAD MQL TRACKER'!$AD$5:$AD$1004,1)+SUMIFS('EMAIL MARKETING'!$R$5:$R$804,'EMAIL MARKETING'!$C$5:$C$804,$B89)+SUMIFS('PAID MEDIA ADS'!$N$5:$N$804,'PAID MEDIA ADS'!$C$5:$C$804,$B89)+SUMIFS('LINKEDIN OUTREACH'!$O$5:$O$704,'LINKEDIN OUTREACH'!$C$5:$C$704,$B89))</f>
        <v/>
      </c>
      <c r="U89" s="67" t="n"/>
      <c r="V89" s="72" t="str">
        <f>IF($B89="","",COUNTIFS('LEAD MQL TRACKER'!$C$5:$C$1004,$B89,'LEAD MQL TRACKER'!$AE$5:$AE$1004,1))</f>
        <v/>
      </c>
      <c r="W89" s="72" t="str">
        <f>IF($B89="","",COUNTIFS('LEAD MQL TRACKER'!$C$5:$C$1004,$B89,'LEAD MQL TRACKER'!$AC$5:$AC$1004,1)+SUMIFS('LINKEDIN OUTREACH'!$M$5:$M$704,'LINKEDIN OUTREACH'!$C$5:$C$704,$B89))</f>
        <v/>
      </c>
      <c r="X89" s="72" t="str">
        <f>IF($B89="","",SUMIFS('EMAIL MARKETING'!$O$5:$O$804,'EMAIL MARKETING'!$C$5:$C$804,$B89)+SUMIFS('LINKEDIN OUTREACH'!$K$5:$K$704,'LINKEDIN OUTREACH'!$C$5:$C$704,$B89))</f>
        <v/>
      </c>
      <c r="Y89" s="73" t="str">
        <f>IF(ISNUMBER($R89),IF($R89&gt;0,$T89/$R89,""),"")</f>
        <v/>
      </c>
      <c r="Z89" s="72" t="str">
        <f>IF(AND(ISNUMBER($P89),ISNUMBER($R89)),IF(AND($P89&gt;0,$R89&gt;0),$P89/$R89,""),"")</f>
        <v/>
      </c>
      <c r="AA89" s="71" t="str">
        <f>IF($B89="","",IF(OR($N89="Live",$N89="Optimizing",$N89="Paused",$N89="Completed"),IF(ISNUMBER($AI89),IF($AI89&gt;=1,"Ahead",IF($AI89&gt;=OnTrackPct,"On Track",IF($AI89&gt;=WatchPct,"Behind","At Risk"))),"No Target Set"),"Not Live"))</f>
        <v/>
      </c>
      <c r="AB89" s="65" t="n"/>
      <c r="AC89" s="65" t="n"/>
      <c r="AD89" s="65" t="n"/>
      <c r="AE89" s="67" t="n"/>
      <c r="AF89" s="67" t="n"/>
      <c r="AG89" s="63" t="n"/>
      <c r="AH89" s="74">
        <f>IF($N89="Completed",1,IF(AND(ISNUMBER($K89),ISNUMBER($L89)),IF($L89&gt;$K89,MIN(1,MAX(0.05,(ReportDate-$K89)/($L89-$K89))),1),1))</f>
        <v>1</v>
      </c>
      <c r="AI89" s="70" t="str">
        <f>IF($B89="","",IF(AND(ISNUMBER($Q89),$Q89&gt;0),$R89/($Q89*$AH89),""))</f>
        <v/>
      </c>
      <c r="AJ89" s="71" t="str">
        <f>IF(ISNUMBER($K89),YEAR($K89)&amp;"-"&amp;TEXT(MONTH($K89),"00"),"")</f>
        <v/>
      </c>
      <c r="AK89" s="71">
        <f>IF($B89="",0,IF(AND(OR(fClient="All",$A89=fClient),OR(fCampaign="All",$B89=fCampaign),OR(fTeam="All",$I89=fTeam),OR(fChannel="All",$H89=fChannel),OR(fCStatus="All",$N89=fCStatus)),1,0))</f>
        <v>0</v>
      </c>
      <c r="AL89" s="71">
        <f>IF($B89="",0,IF(AND(OR(fClient="All",$A89=fClient),OR(fCampaign="All",$B89=fCampaign),OR(fTeam="All",$I89=fTeam),OR(fChannel="All",$H89=fChannel)),1,0))</f>
        <v>0</v>
      </c>
      <c r="AM89" s="71">
        <f>IF(OR($N89="Live",$N89="Optimizing"),1,0)</f>
        <v>0</v>
      </c>
      <c r="AN89" s="71">
        <f>IF(OR($N89="Live",$N89="Optimizing",$N89="Paused",$N89="Completed"),1,0)</f>
        <v>0</v>
      </c>
      <c r="AO89" s="71">
        <f>IF(AND($AM89=1,ISNUMBER($L89),NOT(ISNUMBER($M89))),IF($L89&lt;ReportDate,1,0),0)</f>
        <v>0</v>
      </c>
      <c r="AP89" s="71">
        <f>IF($AM89=1,IF(ISNUMBER($AG89),IF(ReportDate-$AG89&gt;CampStaleDays,1,0),1),0)</f>
        <v>0</v>
      </c>
      <c r="AQ89" s="71">
        <f>IF(AND($AM89=1,OR($AA89="Behind",$AA89="At Risk")),1,0)</f>
        <v>0</v>
      </c>
      <c r="AR89" s="71">
        <f>IF(AND($AM89=1,OR($AA89="Ahead",$AA89="On Track")),1,0)</f>
        <v>0</v>
      </c>
      <c r="AS89" s="71">
        <f>IF(OR($AQ89=1,$AP89=1,$AO89=1),1,0)</f>
        <v>0</v>
      </c>
      <c r="AT89" s="71" t="str">
        <f>IF($AS89=1,TRIM(IF($AQ89=1,"Low performance. ","")&amp;IF($AP89=1,"No recent update. ","")&amp;IF($AO89=1,"Past planned end. ","")),"")</f>
        <v/>
      </c>
      <c r="AU89" s="71" t="str">
        <f>IF(AND($AS89=1,$AL89=1),ROW(),"")</f>
        <v/>
      </c>
      <c r="AV89" s="71" t="str">
        <f>IF(AND($AQ89=1,$AL89=1),ROW(),"")</f>
        <v/>
      </c>
      <c r="AW89" s="71" t="str">
        <f>IF(AND($AP89=1,$AL89=1),ROW(),"")</f>
        <v/>
      </c>
      <c r="AX89" s="71" t="str">
        <f>IF(AND($AR89=1,$AL89=1),ROW(),"")</f>
        <v/>
      </c>
      <c r="AY89" s="71">
        <f>IF(AND($B89&lt;&gt;"",$A89=TCL_Client),1,0)</f>
        <v>0</v>
      </c>
      <c r="AZ89" s="71" t="str">
        <f>IF($AY89=1,ROW(),"")</f>
        <v/>
      </c>
      <c r="BA89" s="71">
        <f>IF(AND($B89&lt;&gt;"",$A89=MECCA_Client),1,0)</f>
        <v>0</v>
      </c>
      <c r="BB89" s="71" t="str">
        <f>IF($BA89=1,ROW(),"")</f>
        <v/>
      </c>
    </row>
    <row r="90">
      <c r="A90" s="64" t="n"/>
      <c r="B90" s="65" t="n"/>
      <c r="C90" s="64" t="n"/>
      <c r="D90" s="64" t="n"/>
      <c r="E90" s="64" t="n"/>
      <c r="F90" s="65" t="n"/>
      <c r="G90" s="65" t="n"/>
      <c r="H90" s="64" t="n"/>
      <c r="I90" s="64" t="n"/>
      <c r="J90" s="65" t="n"/>
      <c r="K90" s="63" t="n"/>
      <c r="L90" s="63" t="n"/>
      <c r="M90" s="63" t="n"/>
      <c r="N90" s="64" t="n"/>
      <c r="O90" s="67" t="n"/>
      <c r="P90" s="72" t="str">
        <f>IF($B90="","",SUMIFS('PAID MEDIA ADS'!$G$5:$G$804,'PAID MEDIA ADS'!$C$5:$C$804,$B90))</f>
        <v/>
      </c>
      <c r="Q90" s="67" t="n"/>
      <c r="R90" s="72" t="str">
        <f>IF($B90="","",COUNTIFS('LEAD MQL TRACKER'!$C$5:$C$1004,$B90,'LEAD MQL TRACKER'!$AB$5:$AB$1004,1)+SUMIFS('EMAIL MARKETING'!$Q$5:$Q$804,'EMAIL MARKETING'!$C$5:$C$804,$B90)+SUMIFS('PAID MEDIA ADS'!$M$5:$M$804,'PAID MEDIA ADS'!$C$5:$C$804,$B90)+SUMIFS('LINKEDIN OUTREACH'!$N$5:$N$704,'LINKEDIN OUTREACH'!$C$5:$C$704,$B90))</f>
        <v/>
      </c>
      <c r="S90" s="67" t="n"/>
      <c r="T90" s="72" t="str">
        <f>IF($B90="","",COUNTIFS('LEAD MQL TRACKER'!$C$5:$C$1004,$B90,'LEAD MQL TRACKER'!$AD$5:$AD$1004,1)+SUMIFS('EMAIL MARKETING'!$R$5:$R$804,'EMAIL MARKETING'!$C$5:$C$804,$B90)+SUMIFS('PAID MEDIA ADS'!$N$5:$N$804,'PAID MEDIA ADS'!$C$5:$C$804,$B90)+SUMIFS('LINKEDIN OUTREACH'!$O$5:$O$704,'LINKEDIN OUTREACH'!$C$5:$C$704,$B90))</f>
        <v/>
      </c>
      <c r="U90" s="67" t="n"/>
      <c r="V90" s="72" t="str">
        <f>IF($B90="","",COUNTIFS('LEAD MQL TRACKER'!$C$5:$C$1004,$B90,'LEAD MQL TRACKER'!$AE$5:$AE$1004,1))</f>
        <v/>
      </c>
      <c r="W90" s="72" t="str">
        <f>IF($B90="","",COUNTIFS('LEAD MQL TRACKER'!$C$5:$C$1004,$B90,'LEAD MQL TRACKER'!$AC$5:$AC$1004,1)+SUMIFS('LINKEDIN OUTREACH'!$M$5:$M$704,'LINKEDIN OUTREACH'!$C$5:$C$704,$B90))</f>
        <v/>
      </c>
      <c r="X90" s="72" t="str">
        <f>IF($B90="","",SUMIFS('EMAIL MARKETING'!$O$5:$O$804,'EMAIL MARKETING'!$C$5:$C$804,$B90)+SUMIFS('LINKEDIN OUTREACH'!$K$5:$K$704,'LINKEDIN OUTREACH'!$C$5:$C$704,$B90))</f>
        <v/>
      </c>
      <c r="Y90" s="73" t="str">
        <f>IF(ISNUMBER($R90),IF($R90&gt;0,$T90/$R90,""),"")</f>
        <v/>
      </c>
      <c r="Z90" s="72" t="str">
        <f>IF(AND(ISNUMBER($P90),ISNUMBER($R90)),IF(AND($P90&gt;0,$R90&gt;0),$P90/$R90,""),"")</f>
        <v/>
      </c>
      <c r="AA90" s="71" t="str">
        <f>IF($B90="","",IF(OR($N90="Live",$N90="Optimizing",$N90="Paused",$N90="Completed"),IF(ISNUMBER($AI90),IF($AI90&gt;=1,"Ahead",IF($AI90&gt;=OnTrackPct,"On Track",IF($AI90&gt;=WatchPct,"Behind","At Risk"))),"No Target Set"),"Not Live"))</f>
        <v/>
      </c>
      <c r="AB90" s="65" t="n"/>
      <c r="AC90" s="65" t="n"/>
      <c r="AD90" s="65" t="n"/>
      <c r="AE90" s="67" t="n"/>
      <c r="AF90" s="67" t="n"/>
      <c r="AG90" s="63" t="n"/>
      <c r="AH90" s="74">
        <f>IF($N90="Completed",1,IF(AND(ISNUMBER($K90),ISNUMBER($L90)),IF($L90&gt;$K90,MIN(1,MAX(0.05,(ReportDate-$K90)/($L90-$K90))),1),1))</f>
        <v>1</v>
      </c>
      <c r="AI90" s="70" t="str">
        <f>IF($B90="","",IF(AND(ISNUMBER($Q90),$Q90&gt;0),$R90/($Q90*$AH90),""))</f>
        <v/>
      </c>
      <c r="AJ90" s="71" t="str">
        <f>IF(ISNUMBER($K90),YEAR($K90)&amp;"-"&amp;TEXT(MONTH($K90),"00"),"")</f>
        <v/>
      </c>
      <c r="AK90" s="71">
        <f>IF($B90="",0,IF(AND(OR(fClient="All",$A90=fClient),OR(fCampaign="All",$B90=fCampaign),OR(fTeam="All",$I90=fTeam),OR(fChannel="All",$H90=fChannel),OR(fCStatus="All",$N90=fCStatus)),1,0))</f>
        <v>0</v>
      </c>
      <c r="AL90" s="71">
        <f>IF($B90="",0,IF(AND(OR(fClient="All",$A90=fClient),OR(fCampaign="All",$B90=fCampaign),OR(fTeam="All",$I90=fTeam),OR(fChannel="All",$H90=fChannel)),1,0))</f>
        <v>0</v>
      </c>
      <c r="AM90" s="71">
        <f>IF(OR($N90="Live",$N90="Optimizing"),1,0)</f>
        <v>0</v>
      </c>
      <c r="AN90" s="71">
        <f>IF(OR($N90="Live",$N90="Optimizing",$N90="Paused",$N90="Completed"),1,0)</f>
        <v>0</v>
      </c>
      <c r="AO90" s="71">
        <f>IF(AND($AM90=1,ISNUMBER($L90),NOT(ISNUMBER($M90))),IF($L90&lt;ReportDate,1,0),0)</f>
        <v>0</v>
      </c>
      <c r="AP90" s="71">
        <f>IF($AM90=1,IF(ISNUMBER($AG90),IF(ReportDate-$AG90&gt;CampStaleDays,1,0),1),0)</f>
        <v>0</v>
      </c>
      <c r="AQ90" s="71">
        <f>IF(AND($AM90=1,OR($AA90="Behind",$AA90="At Risk")),1,0)</f>
        <v>0</v>
      </c>
      <c r="AR90" s="71">
        <f>IF(AND($AM90=1,OR($AA90="Ahead",$AA90="On Track")),1,0)</f>
        <v>0</v>
      </c>
      <c r="AS90" s="71">
        <f>IF(OR($AQ90=1,$AP90=1,$AO90=1),1,0)</f>
        <v>0</v>
      </c>
      <c r="AT90" s="71" t="str">
        <f>IF($AS90=1,TRIM(IF($AQ90=1,"Low performance. ","")&amp;IF($AP90=1,"No recent update. ","")&amp;IF($AO90=1,"Past planned end. ","")),"")</f>
        <v/>
      </c>
      <c r="AU90" s="71" t="str">
        <f>IF(AND($AS90=1,$AL90=1),ROW(),"")</f>
        <v/>
      </c>
      <c r="AV90" s="71" t="str">
        <f>IF(AND($AQ90=1,$AL90=1),ROW(),"")</f>
        <v/>
      </c>
      <c r="AW90" s="71" t="str">
        <f>IF(AND($AP90=1,$AL90=1),ROW(),"")</f>
        <v/>
      </c>
      <c r="AX90" s="71" t="str">
        <f>IF(AND($AR90=1,$AL90=1),ROW(),"")</f>
        <v/>
      </c>
      <c r="AY90" s="71">
        <f>IF(AND($B90&lt;&gt;"",$A90=TCL_Client),1,0)</f>
        <v>0</v>
      </c>
      <c r="AZ90" s="71" t="str">
        <f>IF($AY90=1,ROW(),"")</f>
        <v/>
      </c>
      <c r="BA90" s="71">
        <f>IF(AND($B90&lt;&gt;"",$A90=MECCA_Client),1,0)</f>
        <v>0</v>
      </c>
      <c r="BB90" s="71" t="str">
        <f>IF($BA90=1,ROW(),"")</f>
        <v/>
      </c>
    </row>
    <row r="91">
      <c r="A91" s="64" t="n"/>
      <c r="B91" s="65" t="n"/>
      <c r="C91" s="64" t="n"/>
      <c r="D91" s="64" t="n"/>
      <c r="E91" s="64" t="n"/>
      <c r="F91" s="65" t="n"/>
      <c r="G91" s="65" t="n"/>
      <c r="H91" s="64" t="n"/>
      <c r="I91" s="64" t="n"/>
      <c r="J91" s="65" t="n"/>
      <c r="K91" s="63" t="n"/>
      <c r="L91" s="63" t="n"/>
      <c r="M91" s="63" t="n"/>
      <c r="N91" s="64" t="n"/>
      <c r="O91" s="67" t="n"/>
      <c r="P91" s="72" t="str">
        <f>IF($B91="","",SUMIFS('PAID MEDIA ADS'!$G$5:$G$804,'PAID MEDIA ADS'!$C$5:$C$804,$B91))</f>
        <v/>
      </c>
      <c r="Q91" s="67" t="n"/>
      <c r="R91" s="72" t="str">
        <f>IF($B91="","",COUNTIFS('LEAD MQL TRACKER'!$C$5:$C$1004,$B91,'LEAD MQL TRACKER'!$AB$5:$AB$1004,1)+SUMIFS('EMAIL MARKETING'!$Q$5:$Q$804,'EMAIL MARKETING'!$C$5:$C$804,$B91)+SUMIFS('PAID MEDIA ADS'!$M$5:$M$804,'PAID MEDIA ADS'!$C$5:$C$804,$B91)+SUMIFS('LINKEDIN OUTREACH'!$N$5:$N$704,'LINKEDIN OUTREACH'!$C$5:$C$704,$B91))</f>
        <v/>
      </c>
      <c r="S91" s="67" t="n"/>
      <c r="T91" s="72" t="str">
        <f>IF($B91="","",COUNTIFS('LEAD MQL TRACKER'!$C$5:$C$1004,$B91,'LEAD MQL TRACKER'!$AD$5:$AD$1004,1)+SUMIFS('EMAIL MARKETING'!$R$5:$R$804,'EMAIL MARKETING'!$C$5:$C$804,$B91)+SUMIFS('PAID MEDIA ADS'!$N$5:$N$804,'PAID MEDIA ADS'!$C$5:$C$804,$B91)+SUMIFS('LINKEDIN OUTREACH'!$O$5:$O$704,'LINKEDIN OUTREACH'!$C$5:$C$704,$B91))</f>
        <v/>
      </c>
      <c r="U91" s="67" t="n"/>
      <c r="V91" s="72" t="str">
        <f>IF($B91="","",COUNTIFS('LEAD MQL TRACKER'!$C$5:$C$1004,$B91,'LEAD MQL TRACKER'!$AE$5:$AE$1004,1))</f>
        <v/>
      </c>
      <c r="W91" s="72" t="str">
        <f>IF($B91="","",COUNTIFS('LEAD MQL TRACKER'!$C$5:$C$1004,$B91,'LEAD MQL TRACKER'!$AC$5:$AC$1004,1)+SUMIFS('LINKEDIN OUTREACH'!$M$5:$M$704,'LINKEDIN OUTREACH'!$C$5:$C$704,$B91))</f>
        <v/>
      </c>
      <c r="X91" s="72" t="str">
        <f>IF($B91="","",SUMIFS('EMAIL MARKETING'!$O$5:$O$804,'EMAIL MARKETING'!$C$5:$C$804,$B91)+SUMIFS('LINKEDIN OUTREACH'!$K$5:$K$704,'LINKEDIN OUTREACH'!$C$5:$C$704,$B91))</f>
        <v/>
      </c>
      <c r="Y91" s="73" t="str">
        <f>IF(ISNUMBER($R91),IF($R91&gt;0,$T91/$R91,""),"")</f>
        <v/>
      </c>
      <c r="Z91" s="72" t="str">
        <f>IF(AND(ISNUMBER($P91),ISNUMBER($R91)),IF(AND($P91&gt;0,$R91&gt;0),$P91/$R91,""),"")</f>
        <v/>
      </c>
      <c r="AA91" s="71" t="str">
        <f>IF($B91="","",IF(OR($N91="Live",$N91="Optimizing",$N91="Paused",$N91="Completed"),IF(ISNUMBER($AI91),IF($AI91&gt;=1,"Ahead",IF($AI91&gt;=OnTrackPct,"On Track",IF($AI91&gt;=WatchPct,"Behind","At Risk"))),"No Target Set"),"Not Live"))</f>
        <v/>
      </c>
      <c r="AB91" s="65" t="n"/>
      <c r="AC91" s="65" t="n"/>
      <c r="AD91" s="65" t="n"/>
      <c r="AE91" s="67" t="n"/>
      <c r="AF91" s="67" t="n"/>
      <c r="AG91" s="63" t="n"/>
      <c r="AH91" s="74">
        <f>IF($N91="Completed",1,IF(AND(ISNUMBER($K91),ISNUMBER($L91)),IF($L91&gt;$K91,MIN(1,MAX(0.05,(ReportDate-$K91)/($L91-$K91))),1),1))</f>
        <v>1</v>
      </c>
      <c r="AI91" s="70" t="str">
        <f>IF($B91="","",IF(AND(ISNUMBER($Q91),$Q91&gt;0),$R91/($Q91*$AH91),""))</f>
        <v/>
      </c>
      <c r="AJ91" s="71" t="str">
        <f>IF(ISNUMBER($K91),YEAR($K91)&amp;"-"&amp;TEXT(MONTH($K91),"00"),"")</f>
        <v/>
      </c>
      <c r="AK91" s="71">
        <f>IF($B91="",0,IF(AND(OR(fClient="All",$A91=fClient),OR(fCampaign="All",$B91=fCampaign),OR(fTeam="All",$I91=fTeam),OR(fChannel="All",$H91=fChannel),OR(fCStatus="All",$N91=fCStatus)),1,0))</f>
        <v>0</v>
      </c>
      <c r="AL91" s="71">
        <f>IF($B91="",0,IF(AND(OR(fClient="All",$A91=fClient),OR(fCampaign="All",$B91=fCampaign),OR(fTeam="All",$I91=fTeam),OR(fChannel="All",$H91=fChannel)),1,0))</f>
        <v>0</v>
      </c>
      <c r="AM91" s="71">
        <f>IF(OR($N91="Live",$N91="Optimizing"),1,0)</f>
        <v>0</v>
      </c>
      <c r="AN91" s="71">
        <f>IF(OR($N91="Live",$N91="Optimizing",$N91="Paused",$N91="Completed"),1,0)</f>
        <v>0</v>
      </c>
      <c r="AO91" s="71">
        <f>IF(AND($AM91=1,ISNUMBER($L91),NOT(ISNUMBER($M91))),IF($L91&lt;ReportDate,1,0),0)</f>
        <v>0</v>
      </c>
      <c r="AP91" s="71">
        <f>IF($AM91=1,IF(ISNUMBER($AG91),IF(ReportDate-$AG91&gt;CampStaleDays,1,0),1),0)</f>
        <v>0</v>
      </c>
      <c r="AQ91" s="71">
        <f>IF(AND($AM91=1,OR($AA91="Behind",$AA91="At Risk")),1,0)</f>
        <v>0</v>
      </c>
      <c r="AR91" s="71">
        <f>IF(AND($AM91=1,OR($AA91="Ahead",$AA91="On Track")),1,0)</f>
        <v>0</v>
      </c>
      <c r="AS91" s="71">
        <f>IF(OR($AQ91=1,$AP91=1,$AO91=1),1,0)</f>
        <v>0</v>
      </c>
      <c r="AT91" s="71" t="str">
        <f>IF($AS91=1,TRIM(IF($AQ91=1,"Low performance. ","")&amp;IF($AP91=1,"No recent update. ","")&amp;IF($AO91=1,"Past planned end. ","")),"")</f>
        <v/>
      </c>
      <c r="AU91" s="71" t="str">
        <f>IF(AND($AS91=1,$AL91=1),ROW(),"")</f>
        <v/>
      </c>
      <c r="AV91" s="71" t="str">
        <f>IF(AND($AQ91=1,$AL91=1),ROW(),"")</f>
        <v/>
      </c>
      <c r="AW91" s="71" t="str">
        <f>IF(AND($AP91=1,$AL91=1),ROW(),"")</f>
        <v/>
      </c>
      <c r="AX91" s="71" t="str">
        <f>IF(AND($AR91=1,$AL91=1),ROW(),"")</f>
        <v/>
      </c>
      <c r="AY91" s="71">
        <f>IF(AND($B91&lt;&gt;"",$A91=TCL_Client),1,0)</f>
        <v>0</v>
      </c>
      <c r="AZ91" s="71" t="str">
        <f>IF($AY91=1,ROW(),"")</f>
        <v/>
      </c>
      <c r="BA91" s="71">
        <f>IF(AND($B91&lt;&gt;"",$A91=MECCA_Client),1,0)</f>
        <v>0</v>
      </c>
      <c r="BB91" s="71" t="str">
        <f>IF($BA91=1,ROW(),"")</f>
        <v/>
      </c>
    </row>
    <row r="92">
      <c r="A92" s="64" t="n"/>
      <c r="B92" s="65" t="n"/>
      <c r="C92" s="64" t="n"/>
      <c r="D92" s="64" t="n"/>
      <c r="E92" s="64" t="n"/>
      <c r="F92" s="65" t="n"/>
      <c r="G92" s="65" t="n"/>
      <c r="H92" s="64" t="n"/>
      <c r="I92" s="64" t="n"/>
      <c r="J92" s="65" t="n"/>
      <c r="K92" s="63" t="n"/>
      <c r="L92" s="63" t="n"/>
      <c r="M92" s="63" t="n"/>
      <c r="N92" s="64" t="n"/>
      <c r="O92" s="67" t="n"/>
      <c r="P92" s="72" t="str">
        <f>IF($B92="","",SUMIFS('PAID MEDIA ADS'!$G$5:$G$804,'PAID MEDIA ADS'!$C$5:$C$804,$B92))</f>
        <v/>
      </c>
      <c r="Q92" s="67" t="n"/>
      <c r="R92" s="72" t="str">
        <f>IF($B92="","",COUNTIFS('LEAD MQL TRACKER'!$C$5:$C$1004,$B92,'LEAD MQL TRACKER'!$AB$5:$AB$1004,1)+SUMIFS('EMAIL MARKETING'!$Q$5:$Q$804,'EMAIL MARKETING'!$C$5:$C$804,$B92)+SUMIFS('PAID MEDIA ADS'!$M$5:$M$804,'PAID MEDIA ADS'!$C$5:$C$804,$B92)+SUMIFS('LINKEDIN OUTREACH'!$N$5:$N$704,'LINKEDIN OUTREACH'!$C$5:$C$704,$B92))</f>
        <v/>
      </c>
      <c r="S92" s="67" t="n"/>
      <c r="T92" s="72" t="str">
        <f>IF($B92="","",COUNTIFS('LEAD MQL TRACKER'!$C$5:$C$1004,$B92,'LEAD MQL TRACKER'!$AD$5:$AD$1004,1)+SUMIFS('EMAIL MARKETING'!$R$5:$R$804,'EMAIL MARKETING'!$C$5:$C$804,$B92)+SUMIFS('PAID MEDIA ADS'!$N$5:$N$804,'PAID MEDIA ADS'!$C$5:$C$804,$B92)+SUMIFS('LINKEDIN OUTREACH'!$O$5:$O$704,'LINKEDIN OUTREACH'!$C$5:$C$704,$B92))</f>
        <v/>
      </c>
      <c r="U92" s="67" t="n"/>
      <c r="V92" s="72" t="str">
        <f>IF($B92="","",COUNTIFS('LEAD MQL TRACKER'!$C$5:$C$1004,$B92,'LEAD MQL TRACKER'!$AE$5:$AE$1004,1))</f>
        <v/>
      </c>
      <c r="W92" s="72" t="str">
        <f>IF($B92="","",COUNTIFS('LEAD MQL TRACKER'!$C$5:$C$1004,$B92,'LEAD MQL TRACKER'!$AC$5:$AC$1004,1)+SUMIFS('LINKEDIN OUTREACH'!$M$5:$M$704,'LINKEDIN OUTREACH'!$C$5:$C$704,$B92))</f>
        <v/>
      </c>
      <c r="X92" s="72" t="str">
        <f>IF($B92="","",SUMIFS('EMAIL MARKETING'!$O$5:$O$804,'EMAIL MARKETING'!$C$5:$C$804,$B92)+SUMIFS('LINKEDIN OUTREACH'!$K$5:$K$704,'LINKEDIN OUTREACH'!$C$5:$C$704,$B92))</f>
        <v/>
      </c>
      <c r="Y92" s="73" t="str">
        <f>IF(ISNUMBER($R92),IF($R92&gt;0,$T92/$R92,""),"")</f>
        <v/>
      </c>
      <c r="Z92" s="72" t="str">
        <f>IF(AND(ISNUMBER($P92),ISNUMBER($R92)),IF(AND($P92&gt;0,$R92&gt;0),$P92/$R92,""),"")</f>
        <v/>
      </c>
      <c r="AA92" s="71" t="str">
        <f>IF($B92="","",IF(OR($N92="Live",$N92="Optimizing",$N92="Paused",$N92="Completed"),IF(ISNUMBER($AI92),IF($AI92&gt;=1,"Ahead",IF($AI92&gt;=OnTrackPct,"On Track",IF($AI92&gt;=WatchPct,"Behind","At Risk"))),"No Target Set"),"Not Live"))</f>
        <v/>
      </c>
      <c r="AB92" s="65" t="n"/>
      <c r="AC92" s="65" t="n"/>
      <c r="AD92" s="65" t="n"/>
      <c r="AE92" s="67" t="n"/>
      <c r="AF92" s="67" t="n"/>
      <c r="AG92" s="63" t="n"/>
      <c r="AH92" s="74">
        <f>IF($N92="Completed",1,IF(AND(ISNUMBER($K92),ISNUMBER($L92)),IF($L92&gt;$K92,MIN(1,MAX(0.05,(ReportDate-$K92)/($L92-$K92))),1),1))</f>
        <v>1</v>
      </c>
      <c r="AI92" s="70" t="str">
        <f>IF($B92="","",IF(AND(ISNUMBER($Q92),$Q92&gt;0),$R92/($Q92*$AH92),""))</f>
        <v/>
      </c>
      <c r="AJ92" s="71" t="str">
        <f>IF(ISNUMBER($K92),YEAR($K92)&amp;"-"&amp;TEXT(MONTH($K92),"00"),"")</f>
        <v/>
      </c>
      <c r="AK92" s="71">
        <f>IF($B92="",0,IF(AND(OR(fClient="All",$A92=fClient),OR(fCampaign="All",$B92=fCampaign),OR(fTeam="All",$I92=fTeam),OR(fChannel="All",$H92=fChannel),OR(fCStatus="All",$N92=fCStatus)),1,0))</f>
        <v>0</v>
      </c>
      <c r="AL92" s="71">
        <f>IF($B92="",0,IF(AND(OR(fClient="All",$A92=fClient),OR(fCampaign="All",$B92=fCampaign),OR(fTeam="All",$I92=fTeam),OR(fChannel="All",$H92=fChannel)),1,0))</f>
        <v>0</v>
      </c>
      <c r="AM92" s="71">
        <f>IF(OR($N92="Live",$N92="Optimizing"),1,0)</f>
        <v>0</v>
      </c>
      <c r="AN92" s="71">
        <f>IF(OR($N92="Live",$N92="Optimizing",$N92="Paused",$N92="Completed"),1,0)</f>
        <v>0</v>
      </c>
      <c r="AO92" s="71">
        <f>IF(AND($AM92=1,ISNUMBER($L92),NOT(ISNUMBER($M92))),IF($L92&lt;ReportDate,1,0),0)</f>
        <v>0</v>
      </c>
      <c r="AP92" s="71">
        <f>IF($AM92=1,IF(ISNUMBER($AG92),IF(ReportDate-$AG92&gt;CampStaleDays,1,0),1),0)</f>
        <v>0</v>
      </c>
      <c r="AQ92" s="71">
        <f>IF(AND($AM92=1,OR($AA92="Behind",$AA92="At Risk")),1,0)</f>
        <v>0</v>
      </c>
      <c r="AR92" s="71">
        <f>IF(AND($AM92=1,OR($AA92="Ahead",$AA92="On Track")),1,0)</f>
        <v>0</v>
      </c>
      <c r="AS92" s="71">
        <f>IF(OR($AQ92=1,$AP92=1,$AO92=1),1,0)</f>
        <v>0</v>
      </c>
      <c r="AT92" s="71" t="str">
        <f>IF($AS92=1,TRIM(IF($AQ92=1,"Low performance. ","")&amp;IF($AP92=1,"No recent update. ","")&amp;IF($AO92=1,"Past planned end. ","")),"")</f>
        <v/>
      </c>
      <c r="AU92" s="71" t="str">
        <f>IF(AND($AS92=1,$AL92=1),ROW(),"")</f>
        <v/>
      </c>
      <c r="AV92" s="71" t="str">
        <f>IF(AND($AQ92=1,$AL92=1),ROW(),"")</f>
        <v/>
      </c>
      <c r="AW92" s="71" t="str">
        <f>IF(AND($AP92=1,$AL92=1),ROW(),"")</f>
        <v/>
      </c>
      <c r="AX92" s="71" t="str">
        <f>IF(AND($AR92=1,$AL92=1),ROW(),"")</f>
        <v/>
      </c>
      <c r="AY92" s="71">
        <f>IF(AND($B92&lt;&gt;"",$A92=TCL_Client),1,0)</f>
        <v>0</v>
      </c>
      <c r="AZ92" s="71" t="str">
        <f>IF($AY92=1,ROW(),"")</f>
        <v/>
      </c>
      <c r="BA92" s="71">
        <f>IF(AND($B92&lt;&gt;"",$A92=MECCA_Client),1,0)</f>
        <v>0</v>
      </c>
      <c r="BB92" s="71" t="str">
        <f>IF($BA92=1,ROW(),"")</f>
        <v/>
      </c>
    </row>
    <row r="93">
      <c r="A93" s="64" t="n"/>
      <c r="B93" s="65" t="n"/>
      <c r="C93" s="64" t="n"/>
      <c r="D93" s="64" t="n"/>
      <c r="E93" s="64" t="n"/>
      <c r="F93" s="65" t="n"/>
      <c r="G93" s="65" t="n"/>
      <c r="H93" s="64" t="n"/>
      <c r="I93" s="64" t="n"/>
      <c r="J93" s="65" t="n"/>
      <c r="K93" s="63" t="n"/>
      <c r="L93" s="63" t="n"/>
      <c r="M93" s="63" t="n"/>
      <c r="N93" s="64" t="n"/>
      <c r="O93" s="67" t="n"/>
      <c r="P93" s="72" t="str">
        <f>IF($B93="","",SUMIFS('PAID MEDIA ADS'!$G$5:$G$804,'PAID MEDIA ADS'!$C$5:$C$804,$B93))</f>
        <v/>
      </c>
      <c r="Q93" s="67" t="n"/>
      <c r="R93" s="72" t="str">
        <f>IF($B93="","",COUNTIFS('LEAD MQL TRACKER'!$C$5:$C$1004,$B93,'LEAD MQL TRACKER'!$AB$5:$AB$1004,1)+SUMIFS('EMAIL MARKETING'!$Q$5:$Q$804,'EMAIL MARKETING'!$C$5:$C$804,$B93)+SUMIFS('PAID MEDIA ADS'!$M$5:$M$804,'PAID MEDIA ADS'!$C$5:$C$804,$B93)+SUMIFS('LINKEDIN OUTREACH'!$N$5:$N$704,'LINKEDIN OUTREACH'!$C$5:$C$704,$B93))</f>
        <v/>
      </c>
      <c r="S93" s="67" t="n"/>
      <c r="T93" s="72" t="str">
        <f>IF($B93="","",COUNTIFS('LEAD MQL TRACKER'!$C$5:$C$1004,$B93,'LEAD MQL TRACKER'!$AD$5:$AD$1004,1)+SUMIFS('EMAIL MARKETING'!$R$5:$R$804,'EMAIL MARKETING'!$C$5:$C$804,$B93)+SUMIFS('PAID MEDIA ADS'!$N$5:$N$804,'PAID MEDIA ADS'!$C$5:$C$804,$B93)+SUMIFS('LINKEDIN OUTREACH'!$O$5:$O$704,'LINKEDIN OUTREACH'!$C$5:$C$704,$B93))</f>
        <v/>
      </c>
      <c r="U93" s="67" t="n"/>
      <c r="V93" s="72" t="str">
        <f>IF($B93="","",COUNTIFS('LEAD MQL TRACKER'!$C$5:$C$1004,$B93,'LEAD MQL TRACKER'!$AE$5:$AE$1004,1))</f>
        <v/>
      </c>
      <c r="W93" s="72" t="str">
        <f>IF($B93="","",COUNTIFS('LEAD MQL TRACKER'!$C$5:$C$1004,$B93,'LEAD MQL TRACKER'!$AC$5:$AC$1004,1)+SUMIFS('LINKEDIN OUTREACH'!$M$5:$M$704,'LINKEDIN OUTREACH'!$C$5:$C$704,$B93))</f>
        <v/>
      </c>
      <c r="X93" s="72" t="str">
        <f>IF($B93="","",SUMIFS('EMAIL MARKETING'!$O$5:$O$804,'EMAIL MARKETING'!$C$5:$C$804,$B93)+SUMIFS('LINKEDIN OUTREACH'!$K$5:$K$704,'LINKEDIN OUTREACH'!$C$5:$C$704,$B93))</f>
        <v/>
      </c>
      <c r="Y93" s="73" t="str">
        <f>IF(ISNUMBER($R93),IF($R93&gt;0,$T93/$R93,""),"")</f>
        <v/>
      </c>
      <c r="Z93" s="72" t="str">
        <f>IF(AND(ISNUMBER($P93),ISNUMBER($R93)),IF(AND($P93&gt;0,$R93&gt;0),$P93/$R93,""),"")</f>
        <v/>
      </c>
      <c r="AA93" s="71" t="str">
        <f>IF($B93="","",IF(OR($N93="Live",$N93="Optimizing",$N93="Paused",$N93="Completed"),IF(ISNUMBER($AI93),IF($AI93&gt;=1,"Ahead",IF($AI93&gt;=OnTrackPct,"On Track",IF($AI93&gt;=WatchPct,"Behind","At Risk"))),"No Target Set"),"Not Live"))</f>
        <v/>
      </c>
      <c r="AB93" s="65" t="n"/>
      <c r="AC93" s="65" t="n"/>
      <c r="AD93" s="65" t="n"/>
      <c r="AE93" s="67" t="n"/>
      <c r="AF93" s="67" t="n"/>
      <c r="AG93" s="63" t="n"/>
      <c r="AH93" s="74">
        <f>IF($N93="Completed",1,IF(AND(ISNUMBER($K93),ISNUMBER($L93)),IF($L93&gt;$K93,MIN(1,MAX(0.05,(ReportDate-$K93)/($L93-$K93))),1),1))</f>
        <v>1</v>
      </c>
      <c r="AI93" s="70" t="str">
        <f>IF($B93="","",IF(AND(ISNUMBER($Q93),$Q93&gt;0),$R93/($Q93*$AH93),""))</f>
        <v/>
      </c>
      <c r="AJ93" s="71" t="str">
        <f>IF(ISNUMBER($K93),YEAR($K93)&amp;"-"&amp;TEXT(MONTH($K93),"00"),"")</f>
        <v/>
      </c>
      <c r="AK93" s="71">
        <f>IF($B93="",0,IF(AND(OR(fClient="All",$A93=fClient),OR(fCampaign="All",$B93=fCampaign),OR(fTeam="All",$I93=fTeam),OR(fChannel="All",$H93=fChannel),OR(fCStatus="All",$N93=fCStatus)),1,0))</f>
        <v>0</v>
      </c>
      <c r="AL93" s="71">
        <f>IF($B93="",0,IF(AND(OR(fClient="All",$A93=fClient),OR(fCampaign="All",$B93=fCampaign),OR(fTeam="All",$I93=fTeam),OR(fChannel="All",$H93=fChannel)),1,0))</f>
        <v>0</v>
      </c>
      <c r="AM93" s="71">
        <f>IF(OR($N93="Live",$N93="Optimizing"),1,0)</f>
        <v>0</v>
      </c>
      <c r="AN93" s="71">
        <f>IF(OR($N93="Live",$N93="Optimizing",$N93="Paused",$N93="Completed"),1,0)</f>
        <v>0</v>
      </c>
      <c r="AO93" s="71">
        <f>IF(AND($AM93=1,ISNUMBER($L93),NOT(ISNUMBER($M93))),IF($L93&lt;ReportDate,1,0),0)</f>
        <v>0</v>
      </c>
      <c r="AP93" s="71">
        <f>IF($AM93=1,IF(ISNUMBER($AG93),IF(ReportDate-$AG93&gt;CampStaleDays,1,0),1),0)</f>
        <v>0</v>
      </c>
      <c r="AQ93" s="71">
        <f>IF(AND($AM93=1,OR($AA93="Behind",$AA93="At Risk")),1,0)</f>
        <v>0</v>
      </c>
      <c r="AR93" s="71">
        <f>IF(AND($AM93=1,OR($AA93="Ahead",$AA93="On Track")),1,0)</f>
        <v>0</v>
      </c>
      <c r="AS93" s="71">
        <f>IF(OR($AQ93=1,$AP93=1,$AO93=1),1,0)</f>
        <v>0</v>
      </c>
      <c r="AT93" s="71" t="str">
        <f>IF($AS93=1,TRIM(IF($AQ93=1,"Low performance. ","")&amp;IF($AP93=1,"No recent update. ","")&amp;IF($AO93=1,"Past planned end. ","")),"")</f>
        <v/>
      </c>
      <c r="AU93" s="71" t="str">
        <f>IF(AND($AS93=1,$AL93=1),ROW(),"")</f>
        <v/>
      </c>
      <c r="AV93" s="71" t="str">
        <f>IF(AND($AQ93=1,$AL93=1),ROW(),"")</f>
        <v/>
      </c>
      <c r="AW93" s="71" t="str">
        <f>IF(AND($AP93=1,$AL93=1),ROW(),"")</f>
        <v/>
      </c>
      <c r="AX93" s="71" t="str">
        <f>IF(AND($AR93=1,$AL93=1),ROW(),"")</f>
        <v/>
      </c>
      <c r="AY93" s="71">
        <f>IF(AND($B93&lt;&gt;"",$A93=TCL_Client),1,0)</f>
        <v>0</v>
      </c>
      <c r="AZ93" s="71" t="str">
        <f>IF($AY93=1,ROW(),"")</f>
        <v/>
      </c>
      <c r="BA93" s="71">
        <f>IF(AND($B93&lt;&gt;"",$A93=MECCA_Client),1,0)</f>
        <v>0</v>
      </c>
      <c r="BB93" s="71" t="str">
        <f>IF($BA93=1,ROW(),"")</f>
        <v/>
      </c>
    </row>
    <row r="94">
      <c r="A94" s="64" t="n"/>
      <c r="B94" s="65" t="n"/>
      <c r="C94" s="64" t="n"/>
      <c r="D94" s="64" t="n"/>
      <c r="E94" s="64" t="n"/>
      <c r="F94" s="65" t="n"/>
      <c r="G94" s="65" t="n"/>
      <c r="H94" s="64" t="n"/>
      <c r="I94" s="64" t="n"/>
      <c r="J94" s="65" t="n"/>
      <c r="K94" s="63" t="n"/>
      <c r="L94" s="63" t="n"/>
      <c r="M94" s="63" t="n"/>
      <c r="N94" s="64" t="n"/>
      <c r="O94" s="67" t="n"/>
      <c r="P94" s="72" t="str">
        <f>IF($B94="","",SUMIFS('PAID MEDIA ADS'!$G$5:$G$804,'PAID MEDIA ADS'!$C$5:$C$804,$B94))</f>
        <v/>
      </c>
      <c r="Q94" s="67" t="n"/>
      <c r="R94" s="72" t="str">
        <f>IF($B94="","",COUNTIFS('LEAD MQL TRACKER'!$C$5:$C$1004,$B94,'LEAD MQL TRACKER'!$AB$5:$AB$1004,1)+SUMIFS('EMAIL MARKETING'!$Q$5:$Q$804,'EMAIL MARKETING'!$C$5:$C$804,$B94)+SUMIFS('PAID MEDIA ADS'!$M$5:$M$804,'PAID MEDIA ADS'!$C$5:$C$804,$B94)+SUMIFS('LINKEDIN OUTREACH'!$N$5:$N$704,'LINKEDIN OUTREACH'!$C$5:$C$704,$B94))</f>
        <v/>
      </c>
      <c r="S94" s="67" t="n"/>
      <c r="T94" s="72" t="str">
        <f>IF($B94="","",COUNTIFS('LEAD MQL TRACKER'!$C$5:$C$1004,$B94,'LEAD MQL TRACKER'!$AD$5:$AD$1004,1)+SUMIFS('EMAIL MARKETING'!$R$5:$R$804,'EMAIL MARKETING'!$C$5:$C$804,$B94)+SUMIFS('PAID MEDIA ADS'!$N$5:$N$804,'PAID MEDIA ADS'!$C$5:$C$804,$B94)+SUMIFS('LINKEDIN OUTREACH'!$O$5:$O$704,'LINKEDIN OUTREACH'!$C$5:$C$704,$B94))</f>
        <v/>
      </c>
      <c r="U94" s="67" t="n"/>
      <c r="V94" s="72" t="str">
        <f>IF($B94="","",COUNTIFS('LEAD MQL TRACKER'!$C$5:$C$1004,$B94,'LEAD MQL TRACKER'!$AE$5:$AE$1004,1))</f>
        <v/>
      </c>
      <c r="W94" s="72" t="str">
        <f>IF($B94="","",COUNTIFS('LEAD MQL TRACKER'!$C$5:$C$1004,$B94,'LEAD MQL TRACKER'!$AC$5:$AC$1004,1)+SUMIFS('LINKEDIN OUTREACH'!$M$5:$M$704,'LINKEDIN OUTREACH'!$C$5:$C$704,$B94))</f>
        <v/>
      </c>
      <c r="X94" s="72" t="str">
        <f>IF($B94="","",SUMIFS('EMAIL MARKETING'!$O$5:$O$804,'EMAIL MARKETING'!$C$5:$C$804,$B94)+SUMIFS('LINKEDIN OUTREACH'!$K$5:$K$704,'LINKEDIN OUTREACH'!$C$5:$C$704,$B94))</f>
        <v/>
      </c>
      <c r="Y94" s="73" t="str">
        <f>IF(ISNUMBER($R94),IF($R94&gt;0,$T94/$R94,""),"")</f>
        <v/>
      </c>
      <c r="Z94" s="72" t="str">
        <f>IF(AND(ISNUMBER($P94),ISNUMBER($R94)),IF(AND($P94&gt;0,$R94&gt;0),$P94/$R94,""),"")</f>
        <v/>
      </c>
      <c r="AA94" s="71" t="str">
        <f>IF($B94="","",IF(OR($N94="Live",$N94="Optimizing",$N94="Paused",$N94="Completed"),IF(ISNUMBER($AI94),IF($AI94&gt;=1,"Ahead",IF($AI94&gt;=OnTrackPct,"On Track",IF($AI94&gt;=WatchPct,"Behind","At Risk"))),"No Target Set"),"Not Live"))</f>
        <v/>
      </c>
      <c r="AB94" s="65" t="n"/>
      <c r="AC94" s="65" t="n"/>
      <c r="AD94" s="65" t="n"/>
      <c r="AE94" s="67" t="n"/>
      <c r="AF94" s="67" t="n"/>
      <c r="AG94" s="63" t="n"/>
      <c r="AH94" s="74">
        <f>IF($N94="Completed",1,IF(AND(ISNUMBER($K94),ISNUMBER($L94)),IF($L94&gt;$K94,MIN(1,MAX(0.05,(ReportDate-$K94)/($L94-$K94))),1),1))</f>
        <v>1</v>
      </c>
      <c r="AI94" s="70" t="str">
        <f>IF($B94="","",IF(AND(ISNUMBER($Q94),$Q94&gt;0),$R94/($Q94*$AH94),""))</f>
        <v/>
      </c>
      <c r="AJ94" s="71" t="str">
        <f>IF(ISNUMBER($K94),YEAR($K94)&amp;"-"&amp;TEXT(MONTH($K94),"00"),"")</f>
        <v/>
      </c>
      <c r="AK94" s="71">
        <f>IF($B94="",0,IF(AND(OR(fClient="All",$A94=fClient),OR(fCampaign="All",$B94=fCampaign),OR(fTeam="All",$I94=fTeam),OR(fChannel="All",$H94=fChannel),OR(fCStatus="All",$N94=fCStatus)),1,0))</f>
        <v>0</v>
      </c>
      <c r="AL94" s="71">
        <f>IF($B94="",0,IF(AND(OR(fClient="All",$A94=fClient),OR(fCampaign="All",$B94=fCampaign),OR(fTeam="All",$I94=fTeam),OR(fChannel="All",$H94=fChannel)),1,0))</f>
        <v>0</v>
      </c>
      <c r="AM94" s="71">
        <f>IF(OR($N94="Live",$N94="Optimizing"),1,0)</f>
        <v>0</v>
      </c>
      <c r="AN94" s="71">
        <f>IF(OR($N94="Live",$N94="Optimizing",$N94="Paused",$N94="Completed"),1,0)</f>
        <v>0</v>
      </c>
      <c r="AO94" s="71">
        <f>IF(AND($AM94=1,ISNUMBER($L94),NOT(ISNUMBER($M94))),IF($L94&lt;ReportDate,1,0),0)</f>
        <v>0</v>
      </c>
      <c r="AP94" s="71">
        <f>IF($AM94=1,IF(ISNUMBER($AG94),IF(ReportDate-$AG94&gt;CampStaleDays,1,0),1),0)</f>
        <v>0</v>
      </c>
      <c r="AQ94" s="71">
        <f>IF(AND($AM94=1,OR($AA94="Behind",$AA94="At Risk")),1,0)</f>
        <v>0</v>
      </c>
      <c r="AR94" s="71">
        <f>IF(AND($AM94=1,OR($AA94="Ahead",$AA94="On Track")),1,0)</f>
        <v>0</v>
      </c>
      <c r="AS94" s="71">
        <f>IF(OR($AQ94=1,$AP94=1,$AO94=1),1,0)</f>
        <v>0</v>
      </c>
      <c r="AT94" s="71" t="str">
        <f>IF($AS94=1,TRIM(IF($AQ94=1,"Low performance. ","")&amp;IF($AP94=1,"No recent update. ","")&amp;IF($AO94=1,"Past planned end. ","")),"")</f>
        <v/>
      </c>
      <c r="AU94" s="71" t="str">
        <f>IF(AND($AS94=1,$AL94=1),ROW(),"")</f>
        <v/>
      </c>
      <c r="AV94" s="71" t="str">
        <f>IF(AND($AQ94=1,$AL94=1),ROW(),"")</f>
        <v/>
      </c>
      <c r="AW94" s="71" t="str">
        <f>IF(AND($AP94=1,$AL94=1),ROW(),"")</f>
        <v/>
      </c>
      <c r="AX94" s="71" t="str">
        <f>IF(AND($AR94=1,$AL94=1),ROW(),"")</f>
        <v/>
      </c>
      <c r="AY94" s="71">
        <f>IF(AND($B94&lt;&gt;"",$A94=TCL_Client),1,0)</f>
        <v>0</v>
      </c>
      <c r="AZ94" s="71" t="str">
        <f>IF($AY94=1,ROW(),"")</f>
        <v/>
      </c>
      <c r="BA94" s="71">
        <f>IF(AND($B94&lt;&gt;"",$A94=MECCA_Client),1,0)</f>
        <v>0</v>
      </c>
      <c r="BB94" s="71" t="str">
        <f>IF($BA94=1,ROW(),"")</f>
        <v/>
      </c>
    </row>
    <row r="95">
      <c r="A95" s="64" t="n"/>
      <c r="B95" s="65" t="n"/>
      <c r="C95" s="64" t="n"/>
      <c r="D95" s="64" t="n"/>
      <c r="E95" s="64" t="n"/>
      <c r="F95" s="65" t="n"/>
      <c r="G95" s="65" t="n"/>
      <c r="H95" s="64" t="n"/>
      <c r="I95" s="64" t="n"/>
      <c r="J95" s="65" t="n"/>
      <c r="K95" s="63" t="n"/>
      <c r="L95" s="63" t="n"/>
      <c r="M95" s="63" t="n"/>
      <c r="N95" s="64" t="n"/>
      <c r="O95" s="67" t="n"/>
      <c r="P95" s="72" t="str">
        <f>IF($B95="","",SUMIFS('PAID MEDIA ADS'!$G$5:$G$804,'PAID MEDIA ADS'!$C$5:$C$804,$B95))</f>
        <v/>
      </c>
      <c r="Q95" s="67" t="n"/>
      <c r="R95" s="72" t="str">
        <f>IF($B95="","",COUNTIFS('LEAD MQL TRACKER'!$C$5:$C$1004,$B95,'LEAD MQL TRACKER'!$AB$5:$AB$1004,1)+SUMIFS('EMAIL MARKETING'!$Q$5:$Q$804,'EMAIL MARKETING'!$C$5:$C$804,$B95)+SUMIFS('PAID MEDIA ADS'!$M$5:$M$804,'PAID MEDIA ADS'!$C$5:$C$804,$B95)+SUMIFS('LINKEDIN OUTREACH'!$N$5:$N$704,'LINKEDIN OUTREACH'!$C$5:$C$704,$B95))</f>
        <v/>
      </c>
      <c r="S95" s="67" t="n"/>
      <c r="T95" s="72" t="str">
        <f>IF($B95="","",COUNTIFS('LEAD MQL TRACKER'!$C$5:$C$1004,$B95,'LEAD MQL TRACKER'!$AD$5:$AD$1004,1)+SUMIFS('EMAIL MARKETING'!$R$5:$R$804,'EMAIL MARKETING'!$C$5:$C$804,$B95)+SUMIFS('PAID MEDIA ADS'!$N$5:$N$804,'PAID MEDIA ADS'!$C$5:$C$804,$B95)+SUMIFS('LINKEDIN OUTREACH'!$O$5:$O$704,'LINKEDIN OUTREACH'!$C$5:$C$704,$B95))</f>
        <v/>
      </c>
      <c r="U95" s="67" t="n"/>
      <c r="V95" s="72" t="str">
        <f>IF($B95="","",COUNTIFS('LEAD MQL TRACKER'!$C$5:$C$1004,$B95,'LEAD MQL TRACKER'!$AE$5:$AE$1004,1))</f>
        <v/>
      </c>
      <c r="W95" s="72" t="str">
        <f>IF($B95="","",COUNTIFS('LEAD MQL TRACKER'!$C$5:$C$1004,$B95,'LEAD MQL TRACKER'!$AC$5:$AC$1004,1)+SUMIFS('LINKEDIN OUTREACH'!$M$5:$M$704,'LINKEDIN OUTREACH'!$C$5:$C$704,$B95))</f>
        <v/>
      </c>
      <c r="X95" s="72" t="str">
        <f>IF($B95="","",SUMIFS('EMAIL MARKETING'!$O$5:$O$804,'EMAIL MARKETING'!$C$5:$C$804,$B95)+SUMIFS('LINKEDIN OUTREACH'!$K$5:$K$704,'LINKEDIN OUTREACH'!$C$5:$C$704,$B95))</f>
        <v/>
      </c>
      <c r="Y95" s="73" t="str">
        <f>IF(ISNUMBER($R95),IF($R95&gt;0,$T95/$R95,""),"")</f>
        <v/>
      </c>
      <c r="Z95" s="72" t="str">
        <f>IF(AND(ISNUMBER($P95),ISNUMBER($R95)),IF(AND($P95&gt;0,$R95&gt;0),$P95/$R95,""),"")</f>
        <v/>
      </c>
      <c r="AA95" s="71" t="str">
        <f>IF($B95="","",IF(OR($N95="Live",$N95="Optimizing",$N95="Paused",$N95="Completed"),IF(ISNUMBER($AI95),IF($AI95&gt;=1,"Ahead",IF($AI95&gt;=OnTrackPct,"On Track",IF($AI95&gt;=WatchPct,"Behind","At Risk"))),"No Target Set"),"Not Live"))</f>
        <v/>
      </c>
      <c r="AB95" s="65" t="n"/>
      <c r="AC95" s="65" t="n"/>
      <c r="AD95" s="65" t="n"/>
      <c r="AE95" s="67" t="n"/>
      <c r="AF95" s="67" t="n"/>
      <c r="AG95" s="63" t="n"/>
      <c r="AH95" s="74">
        <f>IF($N95="Completed",1,IF(AND(ISNUMBER($K95),ISNUMBER($L95)),IF($L95&gt;$K95,MIN(1,MAX(0.05,(ReportDate-$K95)/($L95-$K95))),1),1))</f>
        <v>1</v>
      </c>
      <c r="AI95" s="70" t="str">
        <f>IF($B95="","",IF(AND(ISNUMBER($Q95),$Q95&gt;0),$R95/($Q95*$AH95),""))</f>
        <v/>
      </c>
      <c r="AJ95" s="71" t="str">
        <f>IF(ISNUMBER($K95),YEAR($K95)&amp;"-"&amp;TEXT(MONTH($K95),"00"),"")</f>
        <v/>
      </c>
      <c r="AK95" s="71">
        <f>IF($B95="",0,IF(AND(OR(fClient="All",$A95=fClient),OR(fCampaign="All",$B95=fCampaign),OR(fTeam="All",$I95=fTeam),OR(fChannel="All",$H95=fChannel),OR(fCStatus="All",$N95=fCStatus)),1,0))</f>
        <v>0</v>
      </c>
      <c r="AL95" s="71">
        <f>IF($B95="",0,IF(AND(OR(fClient="All",$A95=fClient),OR(fCampaign="All",$B95=fCampaign),OR(fTeam="All",$I95=fTeam),OR(fChannel="All",$H95=fChannel)),1,0))</f>
        <v>0</v>
      </c>
      <c r="AM95" s="71">
        <f>IF(OR($N95="Live",$N95="Optimizing"),1,0)</f>
        <v>0</v>
      </c>
      <c r="AN95" s="71">
        <f>IF(OR($N95="Live",$N95="Optimizing",$N95="Paused",$N95="Completed"),1,0)</f>
        <v>0</v>
      </c>
      <c r="AO95" s="71">
        <f>IF(AND($AM95=1,ISNUMBER($L95),NOT(ISNUMBER($M95))),IF($L95&lt;ReportDate,1,0),0)</f>
        <v>0</v>
      </c>
      <c r="AP95" s="71">
        <f>IF($AM95=1,IF(ISNUMBER($AG95),IF(ReportDate-$AG95&gt;CampStaleDays,1,0),1),0)</f>
        <v>0</v>
      </c>
      <c r="AQ95" s="71">
        <f>IF(AND($AM95=1,OR($AA95="Behind",$AA95="At Risk")),1,0)</f>
        <v>0</v>
      </c>
      <c r="AR95" s="71">
        <f>IF(AND($AM95=1,OR($AA95="Ahead",$AA95="On Track")),1,0)</f>
        <v>0</v>
      </c>
      <c r="AS95" s="71">
        <f>IF(OR($AQ95=1,$AP95=1,$AO95=1),1,0)</f>
        <v>0</v>
      </c>
      <c r="AT95" s="71" t="str">
        <f>IF($AS95=1,TRIM(IF($AQ95=1,"Low performance. ","")&amp;IF($AP95=1,"No recent update. ","")&amp;IF($AO95=1,"Past planned end. ","")),"")</f>
        <v/>
      </c>
      <c r="AU95" s="71" t="str">
        <f>IF(AND($AS95=1,$AL95=1),ROW(),"")</f>
        <v/>
      </c>
      <c r="AV95" s="71" t="str">
        <f>IF(AND($AQ95=1,$AL95=1),ROW(),"")</f>
        <v/>
      </c>
      <c r="AW95" s="71" t="str">
        <f>IF(AND($AP95=1,$AL95=1),ROW(),"")</f>
        <v/>
      </c>
      <c r="AX95" s="71" t="str">
        <f>IF(AND($AR95=1,$AL95=1),ROW(),"")</f>
        <v/>
      </c>
      <c r="AY95" s="71">
        <f>IF(AND($B95&lt;&gt;"",$A95=TCL_Client),1,0)</f>
        <v>0</v>
      </c>
      <c r="AZ95" s="71" t="str">
        <f>IF($AY95=1,ROW(),"")</f>
        <v/>
      </c>
      <c r="BA95" s="71">
        <f>IF(AND($B95&lt;&gt;"",$A95=MECCA_Client),1,0)</f>
        <v>0</v>
      </c>
      <c r="BB95" s="71" t="str">
        <f>IF($BA95=1,ROW(),"")</f>
        <v/>
      </c>
    </row>
    <row r="96">
      <c r="A96" s="64" t="n"/>
      <c r="B96" s="65" t="n"/>
      <c r="C96" s="64" t="n"/>
      <c r="D96" s="64" t="n"/>
      <c r="E96" s="64" t="n"/>
      <c r="F96" s="65" t="n"/>
      <c r="G96" s="65" t="n"/>
      <c r="H96" s="64" t="n"/>
      <c r="I96" s="64" t="n"/>
      <c r="J96" s="65" t="n"/>
      <c r="K96" s="63" t="n"/>
      <c r="L96" s="63" t="n"/>
      <c r="M96" s="63" t="n"/>
      <c r="N96" s="64" t="n"/>
      <c r="O96" s="67" t="n"/>
      <c r="P96" s="72" t="str">
        <f>IF($B96="","",SUMIFS('PAID MEDIA ADS'!$G$5:$G$804,'PAID MEDIA ADS'!$C$5:$C$804,$B96))</f>
        <v/>
      </c>
      <c r="Q96" s="67" t="n"/>
      <c r="R96" s="72" t="str">
        <f>IF($B96="","",COUNTIFS('LEAD MQL TRACKER'!$C$5:$C$1004,$B96,'LEAD MQL TRACKER'!$AB$5:$AB$1004,1)+SUMIFS('EMAIL MARKETING'!$Q$5:$Q$804,'EMAIL MARKETING'!$C$5:$C$804,$B96)+SUMIFS('PAID MEDIA ADS'!$M$5:$M$804,'PAID MEDIA ADS'!$C$5:$C$804,$B96)+SUMIFS('LINKEDIN OUTREACH'!$N$5:$N$704,'LINKEDIN OUTREACH'!$C$5:$C$704,$B96))</f>
        <v/>
      </c>
      <c r="S96" s="67" t="n"/>
      <c r="T96" s="72" t="str">
        <f>IF($B96="","",COUNTIFS('LEAD MQL TRACKER'!$C$5:$C$1004,$B96,'LEAD MQL TRACKER'!$AD$5:$AD$1004,1)+SUMIFS('EMAIL MARKETING'!$R$5:$R$804,'EMAIL MARKETING'!$C$5:$C$804,$B96)+SUMIFS('PAID MEDIA ADS'!$N$5:$N$804,'PAID MEDIA ADS'!$C$5:$C$804,$B96)+SUMIFS('LINKEDIN OUTREACH'!$O$5:$O$704,'LINKEDIN OUTREACH'!$C$5:$C$704,$B96))</f>
        <v/>
      </c>
      <c r="U96" s="67" t="n"/>
      <c r="V96" s="72" t="str">
        <f>IF($B96="","",COUNTIFS('LEAD MQL TRACKER'!$C$5:$C$1004,$B96,'LEAD MQL TRACKER'!$AE$5:$AE$1004,1))</f>
        <v/>
      </c>
      <c r="W96" s="72" t="str">
        <f>IF($B96="","",COUNTIFS('LEAD MQL TRACKER'!$C$5:$C$1004,$B96,'LEAD MQL TRACKER'!$AC$5:$AC$1004,1)+SUMIFS('LINKEDIN OUTREACH'!$M$5:$M$704,'LINKEDIN OUTREACH'!$C$5:$C$704,$B96))</f>
        <v/>
      </c>
      <c r="X96" s="72" t="str">
        <f>IF($B96="","",SUMIFS('EMAIL MARKETING'!$O$5:$O$804,'EMAIL MARKETING'!$C$5:$C$804,$B96)+SUMIFS('LINKEDIN OUTREACH'!$K$5:$K$704,'LINKEDIN OUTREACH'!$C$5:$C$704,$B96))</f>
        <v/>
      </c>
      <c r="Y96" s="73" t="str">
        <f>IF(ISNUMBER($R96),IF($R96&gt;0,$T96/$R96,""),"")</f>
        <v/>
      </c>
      <c r="Z96" s="72" t="str">
        <f>IF(AND(ISNUMBER($P96),ISNUMBER($R96)),IF(AND($P96&gt;0,$R96&gt;0),$P96/$R96,""),"")</f>
        <v/>
      </c>
      <c r="AA96" s="71" t="str">
        <f>IF($B96="","",IF(OR($N96="Live",$N96="Optimizing",$N96="Paused",$N96="Completed"),IF(ISNUMBER($AI96),IF($AI96&gt;=1,"Ahead",IF($AI96&gt;=OnTrackPct,"On Track",IF($AI96&gt;=WatchPct,"Behind","At Risk"))),"No Target Set"),"Not Live"))</f>
        <v/>
      </c>
      <c r="AB96" s="65" t="n"/>
      <c r="AC96" s="65" t="n"/>
      <c r="AD96" s="65" t="n"/>
      <c r="AE96" s="67" t="n"/>
      <c r="AF96" s="67" t="n"/>
      <c r="AG96" s="63" t="n"/>
      <c r="AH96" s="74">
        <f>IF($N96="Completed",1,IF(AND(ISNUMBER($K96),ISNUMBER($L96)),IF($L96&gt;$K96,MIN(1,MAX(0.05,(ReportDate-$K96)/($L96-$K96))),1),1))</f>
        <v>1</v>
      </c>
      <c r="AI96" s="70" t="str">
        <f>IF($B96="","",IF(AND(ISNUMBER($Q96),$Q96&gt;0),$R96/($Q96*$AH96),""))</f>
        <v/>
      </c>
      <c r="AJ96" s="71" t="str">
        <f>IF(ISNUMBER($K96),YEAR($K96)&amp;"-"&amp;TEXT(MONTH($K96),"00"),"")</f>
        <v/>
      </c>
      <c r="AK96" s="71">
        <f>IF($B96="",0,IF(AND(OR(fClient="All",$A96=fClient),OR(fCampaign="All",$B96=fCampaign),OR(fTeam="All",$I96=fTeam),OR(fChannel="All",$H96=fChannel),OR(fCStatus="All",$N96=fCStatus)),1,0))</f>
        <v>0</v>
      </c>
      <c r="AL96" s="71">
        <f>IF($B96="",0,IF(AND(OR(fClient="All",$A96=fClient),OR(fCampaign="All",$B96=fCampaign),OR(fTeam="All",$I96=fTeam),OR(fChannel="All",$H96=fChannel)),1,0))</f>
        <v>0</v>
      </c>
      <c r="AM96" s="71">
        <f>IF(OR($N96="Live",$N96="Optimizing"),1,0)</f>
        <v>0</v>
      </c>
      <c r="AN96" s="71">
        <f>IF(OR($N96="Live",$N96="Optimizing",$N96="Paused",$N96="Completed"),1,0)</f>
        <v>0</v>
      </c>
      <c r="AO96" s="71">
        <f>IF(AND($AM96=1,ISNUMBER($L96),NOT(ISNUMBER($M96))),IF($L96&lt;ReportDate,1,0),0)</f>
        <v>0</v>
      </c>
      <c r="AP96" s="71">
        <f>IF($AM96=1,IF(ISNUMBER($AG96),IF(ReportDate-$AG96&gt;CampStaleDays,1,0),1),0)</f>
        <v>0</v>
      </c>
      <c r="AQ96" s="71">
        <f>IF(AND($AM96=1,OR($AA96="Behind",$AA96="At Risk")),1,0)</f>
        <v>0</v>
      </c>
      <c r="AR96" s="71">
        <f>IF(AND($AM96=1,OR($AA96="Ahead",$AA96="On Track")),1,0)</f>
        <v>0</v>
      </c>
      <c r="AS96" s="71">
        <f>IF(OR($AQ96=1,$AP96=1,$AO96=1),1,0)</f>
        <v>0</v>
      </c>
      <c r="AT96" s="71" t="str">
        <f>IF($AS96=1,TRIM(IF($AQ96=1,"Low performance. ","")&amp;IF($AP96=1,"No recent update. ","")&amp;IF($AO96=1,"Past planned end. ","")),"")</f>
        <v/>
      </c>
      <c r="AU96" s="71" t="str">
        <f>IF(AND($AS96=1,$AL96=1),ROW(),"")</f>
        <v/>
      </c>
      <c r="AV96" s="71" t="str">
        <f>IF(AND($AQ96=1,$AL96=1),ROW(),"")</f>
        <v/>
      </c>
      <c r="AW96" s="71" t="str">
        <f>IF(AND($AP96=1,$AL96=1),ROW(),"")</f>
        <v/>
      </c>
      <c r="AX96" s="71" t="str">
        <f>IF(AND($AR96=1,$AL96=1),ROW(),"")</f>
        <v/>
      </c>
      <c r="AY96" s="71">
        <f>IF(AND($B96&lt;&gt;"",$A96=TCL_Client),1,0)</f>
        <v>0</v>
      </c>
      <c r="AZ96" s="71" t="str">
        <f>IF($AY96=1,ROW(),"")</f>
        <v/>
      </c>
      <c r="BA96" s="71">
        <f>IF(AND($B96&lt;&gt;"",$A96=MECCA_Client),1,0)</f>
        <v>0</v>
      </c>
      <c r="BB96" s="71" t="str">
        <f>IF($BA96=1,ROW(),"")</f>
        <v/>
      </c>
    </row>
    <row r="97">
      <c r="A97" s="64" t="n"/>
      <c r="B97" s="65" t="n"/>
      <c r="C97" s="64" t="n"/>
      <c r="D97" s="64" t="n"/>
      <c r="E97" s="64" t="n"/>
      <c r="F97" s="65" t="n"/>
      <c r="G97" s="65" t="n"/>
      <c r="H97" s="64" t="n"/>
      <c r="I97" s="64" t="n"/>
      <c r="J97" s="65" t="n"/>
      <c r="K97" s="63" t="n"/>
      <c r="L97" s="63" t="n"/>
      <c r="M97" s="63" t="n"/>
      <c r="N97" s="64" t="n"/>
      <c r="O97" s="67" t="n"/>
      <c r="P97" s="72" t="str">
        <f>IF($B97="","",SUMIFS('PAID MEDIA ADS'!$G$5:$G$804,'PAID MEDIA ADS'!$C$5:$C$804,$B97))</f>
        <v/>
      </c>
      <c r="Q97" s="67" t="n"/>
      <c r="R97" s="72" t="str">
        <f>IF($B97="","",COUNTIFS('LEAD MQL TRACKER'!$C$5:$C$1004,$B97,'LEAD MQL TRACKER'!$AB$5:$AB$1004,1)+SUMIFS('EMAIL MARKETING'!$Q$5:$Q$804,'EMAIL MARKETING'!$C$5:$C$804,$B97)+SUMIFS('PAID MEDIA ADS'!$M$5:$M$804,'PAID MEDIA ADS'!$C$5:$C$804,$B97)+SUMIFS('LINKEDIN OUTREACH'!$N$5:$N$704,'LINKEDIN OUTREACH'!$C$5:$C$704,$B97))</f>
        <v/>
      </c>
      <c r="S97" s="67" t="n"/>
      <c r="T97" s="72" t="str">
        <f>IF($B97="","",COUNTIFS('LEAD MQL TRACKER'!$C$5:$C$1004,$B97,'LEAD MQL TRACKER'!$AD$5:$AD$1004,1)+SUMIFS('EMAIL MARKETING'!$R$5:$R$804,'EMAIL MARKETING'!$C$5:$C$804,$B97)+SUMIFS('PAID MEDIA ADS'!$N$5:$N$804,'PAID MEDIA ADS'!$C$5:$C$804,$B97)+SUMIFS('LINKEDIN OUTREACH'!$O$5:$O$704,'LINKEDIN OUTREACH'!$C$5:$C$704,$B97))</f>
        <v/>
      </c>
      <c r="U97" s="67" t="n"/>
      <c r="V97" s="72" t="str">
        <f>IF($B97="","",COUNTIFS('LEAD MQL TRACKER'!$C$5:$C$1004,$B97,'LEAD MQL TRACKER'!$AE$5:$AE$1004,1))</f>
        <v/>
      </c>
      <c r="W97" s="72" t="str">
        <f>IF($B97="","",COUNTIFS('LEAD MQL TRACKER'!$C$5:$C$1004,$B97,'LEAD MQL TRACKER'!$AC$5:$AC$1004,1)+SUMIFS('LINKEDIN OUTREACH'!$M$5:$M$704,'LINKEDIN OUTREACH'!$C$5:$C$704,$B97))</f>
        <v/>
      </c>
      <c r="X97" s="72" t="str">
        <f>IF($B97="","",SUMIFS('EMAIL MARKETING'!$O$5:$O$804,'EMAIL MARKETING'!$C$5:$C$804,$B97)+SUMIFS('LINKEDIN OUTREACH'!$K$5:$K$704,'LINKEDIN OUTREACH'!$C$5:$C$704,$B97))</f>
        <v/>
      </c>
      <c r="Y97" s="73" t="str">
        <f>IF(ISNUMBER($R97),IF($R97&gt;0,$T97/$R97,""),"")</f>
        <v/>
      </c>
      <c r="Z97" s="72" t="str">
        <f>IF(AND(ISNUMBER($P97),ISNUMBER($R97)),IF(AND($P97&gt;0,$R97&gt;0),$P97/$R97,""),"")</f>
        <v/>
      </c>
      <c r="AA97" s="71" t="str">
        <f>IF($B97="","",IF(OR($N97="Live",$N97="Optimizing",$N97="Paused",$N97="Completed"),IF(ISNUMBER($AI97),IF($AI97&gt;=1,"Ahead",IF($AI97&gt;=OnTrackPct,"On Track",IF($AI97&gt;=WatchPct,"Behind","At Risk"))),"No Target Set"),"Not Live"))</f>
        <v/>
      </c>
      <c r="AB97" s="65" t="n"/>
      <c r="AC97" s="65" t="n"/>
      <c r="AD97" s="65" t="n"/>
      <c r="AE97" s="67" t="n"/>
      <c r="AF97" s="67" t="n"/>
      <c r="AG97" s="63" t="n"/>
      <c r="AH97" s="74">
        <f>IF($N97="Completed",1,IF(AND(ISNUMBER($K97),ISNUMBER($L97)),IF($L97&gt;$K97,MIN(1,MAX(0.05,(ReportDate-$K97)/($L97-$K97))),1),1))</f>
        <v>1</v>
      </c>
      <c r="AI97" s="70" t="str">
        <f>IF($B97="","",IF(AND(ISNUMBER($Q97),$Q97&gt;0),$R97/($Q97*$AH97),""))</f>
        <v/>
      </c>
      <c r="AJ97" s="71" t="str">
        <f>IF(ISNUMBER($K97),YEAR($K97)&amp;"-"&amp;TEXT(MONTH($K97),"00"),"")</f>
        <v/>
      </c>
      <c r="AK97" s="71">
        <f>IF($B97="",0,IF(AND(OR(fClient="All",$A97=fClient),OR(fCampaign="All",$B97=fCampaign),OR(fTeam="All",$I97=fTeam),OR(fChannel="All",$H97=fChannel),OR(fCStatus="All",$N97=fCStatus)),1,0))</f>
        <v>0</v>
      </c>
      <c r="AL97" s="71">
        <f>IF($B97="",0,IF(AND(OR(fClient="All",$A97=fClient),OR(fCampaign="All",$B97=fCampaign),OR(fTeam="All",$I97=fTeam),OR(fChannel="All",$H97=fChannel)),1,0))</f>
        <v>0</v>
      </c>
      <c r="AM97" s="71">
        <f>IF(OR($N97="Live",$N97="Optimizing"),1,0)</f>
        <v>0</v>
      </c>
      <c r="AN97" s="71">
        <f>IF(OR($N97="Live",$N97="Optimizing",$N97="Paused",$N97="Completed"),1,0)</f>
        <v>0</v>
      </c>
      <c r="AO97" s="71">
        <f>IF(AND($AM97=1,ISNUMBER($L97),NOT(ISNUMBER($M97))),IF($L97&lt;ReportDate,1,0),0)</f>
        <v>0</v>
      </c>
      <c r="AP97" s="71">
        <f>IF($AM97=1,IF(ISNUMBER($AG97),IF(ReportDate-$AG97&gt;CampStaleDays,1,0),1),0)</f>
        <v>0</v>
      </c>
      <c r="AQ97" s="71">
        <f>IF(AND($AM97=1,OR($AA97="Behind",$AA97="At Risk")),1,0)</f>
        <v>0</v>
      </c>
      <c r="AR97" s="71">
        <f>IF(AND($AM97=1,OR($AA97="Ahead",$AA97="On Track")),1,0)</f>
        <v>0</v>
      </c>
      <c r="AS97" s="71">
        <f>IF(OR($AQ97=1,$AP97=1,$AO97=1),1,0)</f>
        <v>0</v>
      </c>
      <c r="AT97" s="71" t="str">
        <f>IF($AS97=1,TRIM(IF($AQ97=1,"Low performance. ","")&amp;IF($AP97=1,"No recent update. ","")&amp;IF($AO97=1,"Past planned end. ","")),"")</f>
        <v/>
      </c>
      <c r="AU97" s="71" t="str">
        <f>IF(AND($AS97=1,$AL97=1),ROW(),"")</f>
        <v/>
      </c>
      <c r="AV97" s="71" t="str">
        <f>IF(AND($AQ97=1,$AL97=1),ROW(),"")</f>
        <v/>
      </c>
      <c r="AW97" s="71" t="str">
        <f>IF(AND($AP97=1,$AL97=1),ROW(),"")</f>
        <v/>
      </c>
      <c r="AX97" s="71" t="str">
        <f>IF(AND($AR97=1,$AL97=1),ROW(),"")</f>
        <v/>
      </c>
      <c r="AY97" s="71">
        <f>IF(AND($B97&lt;&gt;"",$A97=TCL_Client),1,0)</f>
        <v>0</v>
      </c>
      <c r="AZ97" s="71" t="str">
        <f>IF($AY97=1,ROW(),"")</f>
        <v/>
      </c>
      <c r="BA97" s="71">
        <f>IF(AND($B97&lt;&gt;"",$A97=MECCA_Client),1,0)</f>
        <v>0</v>
      </c>
      <c r="BB97" s="71" t="str">
        <f>IF($BA97=1,ROW(),"")</f>
        <v/>
      </c>
    </row>
    <row r="98">
      <c r="A98" s="64" t="n"/>
      <c r="B98" s="65" t="n"/>
      <c r="C98" s="64" t="n"/>
      <c r="D98" s="64" t="n"/>
      <c r="E98" s="64" t="n"/>
      <c r="F98" s="65" t="n"/>
      <c r="G98" s="65" t="n"/>
      <c r="H98" s="64" t="n"/>
      <c r="I98" s="64" t="n"/>
      <c r="J98" s="65" t="n"/>
      <c r="K98" s="63" t="n"/>
      <c r="L98" s="63" t="n"/>
      <c r="M98" s="63" t="n"/>
      <c r="N98" s="64" t="n"/>
      <c r="O98" s="67" t="n"/>
      <c r="P98" s="72" t="str">
        <f>IF($B98="","",SUMIFS('PAID MEDIA ADS'!$G$5:$G$804,'PAID MEDIA ADS'!$C$5:$C$804,$B98))</f>
        <v/>
      </c>
      <c r="Q98" s="67" t="n"/>
      <c r="R98" s="72" t="str">
        <f>IF($B98="","",COUNTIFS('LEAD MQL TRACKER'!$C$5:$C$1004,$B98,'LEAD MQL TRACKER'!$AB$5:$AB$1004,1)+SUMIFS('EMAIL MARKETING'!$Q$5:$Q$804,'EMAIL MARKETING'!$C$5:$C$804,$B98)+SUMIFS('PAID MEDIA ADS'!$M$5:$M$804,'PAID MEDIA ADS'!$C$5:$C$804,$B98)+SUMIFS('LINKEDIN OUTREACH'!$N$5:$N$704,'LINKEDIN OUTREACH'!$C$5:$C$704,$B98))</f>
        <v/>
      </c>
      <c r="S98" s="67" t="n"/>
      <c r="T98" s="72" t="str">
        <f>IF($B98="","",COUNTIFS('LEAD MQL TRACKER'!$C$5:$C$1004,$B98,'LEAD MQL TRACKER'!$AD$5:$AD$1004,1)+SUMIFS('EMAIL MARKETING'!$R$5:$R$804,'EMAIL MARKETING'!$C$5:$C$804,$B98)+SUMIFS('PAID MEDIA ADS'!$N$5:$N$804,'PAID MEDIA ADS'!$C$5:$C$804,$B98)+SUMIFS('LINKEDIN OUTREACH'!$O$5:$O$704,'LINKEDIN OUTREACH'!$C$5:$C$704,$B98))</f>
        <v/>
      </c>
      <c r="U98" s="67" t="n"/>
      <c r="V98" s="72" t="str">
        <f>IF($B98="","",COUNTIFS('LEAD MQL TRACKER'!$C$5:$C$1004,$B98,'LEAD MQL TRACKER'!$AE$5:$AE$1004,1))</f>
        <v/>
      </c>
      <c r="W98" s="72" t="str">
        <f>IF($B98="","",COUNTIFS('LEAD MQL TRACKER'!$C$5:$C$1004,$B98,'LEAD MQL TRACKER'!$AC$5:$AC$1004,1)+SUMIFS('LINKEDIN OUTREACH'!$M$5:$M$704,'LINKEDIN OUTREACH'!$C$5:$C$704,$B98))</f>
        <v/>
      </c>
      <c r="X98" s="72" t="str">
        <f>IF($B98="","",SUMIFS('EMAIL MARKETING'!$O$5:$O$804,'EMAIL MARKETING'!$C$5:$C$804,$B98)+SUMIFS('LINKEDIN OUTREACH'!$K$5:$K$704,'LINKEDIN OUTREACH'!$C$5:$C$704,$B98))</f>
        <v/>
      </c>
      <c r="Y98" s="73" t="str">
        <f>IF(ISNUMBER($R98),IF($R98&gt;0,$T98/$R98,""),"")</f>
        <v/>
      </c>
      <c r="Z98" s="72" t="str">
        <f>IF(AND(ISNUMBER($P98),ISNUMBER($R98)),IF(AND($P98&gt;0,$R98&gt;0),$P98/$R98,""),"")</f>
        <v/>
      </c>
      <c r="AA98" s="71" t="str">
        <f>IF($B98="","",IF(OR($N98="Live",$N98="Optimizing",$N98="Paused",$N98="Completed"),IF(ISNUMBER($AI98),IF($AI98&gt;=1,"Ahead",IF($AI98&gt;=OnTrackPct,"On Track",IF($AI98&gt;=WatchPct,"Behind","At Risk"))),"No Target Set"),"Not Live"))</f>
        <v/>
      </c>
      <c r="AB98" s="65" t="n"/>
      <c r="AC98" s="65" t="n"/>
      <c r="AD98" s="65" t="n"/>
      <c r="AE98" s="67" t="n"/>
      <c r="AF98" s="67" t="n"/>
      <c r="AG98" s="63" t="n"/>
      <c r="AH98" s="74">
        <f>IF($N98="Completed",1,IF(AND(ISNUMBER($K98),ISNUMBER($L98)),IF($L98&gt;$K98,MIN(1,MAX(0.05,(ReportDate-$K98)/($L98-$K98))),1),1))</f>
        <v>1</v>
      </c>
      <c r="AI98" s="70" t="str">
        <f>IF($B98="","",IF(AND(ISNUMBER($Q98),$Q98&gt;0),$R98/($Q98*$AH98),""))</f>
        <v/>
      </c>
      <c r="AJ98" s="71" t="str">
        <f>IF(ISNUMBER($K98),YEAR($K98)&amp;"-"&amp;TEXT(MONTH($K98),"00"),"")</f>
        <v/>
      </c>
      <c r="AK98" s="71">
        <f>IF($B98="",0,IF(AND(OR(fClient="All",$A98=fClient),OR(fCampaign="All",$B98=fCampaign),OR(fTeam="All",$I98=fTeam),OR(fChannel="All",$H98=fChannel),OR(fCStatus="All",$N98=fCStatus)),1,0))</f>
        <v>0</v>
      </c>
      <c r="AL98" s="71">
        <f>IF($B98="",0,IF(AND(OR(fClient="All",$A98=fClient),OR(fCampaign="All",$B98=fCampaign),OR(fTeam="All",$I98=fTeam),OR(fChannel="All",$H98=fChannel)),1,0))</f>
        <v>0</v>
      </c>
      <c r="AM98" s="71">
        <f>IF(OR($N98="Live",$N98="Optimizing"),1,0)</f>
        <v>0</v>
      </c>
      <c r="AN98" s="71">
        <f>IF(OR($N98="Live",$N98="Optimizing",$N98="Paused",$N98="Completed"),1,0)</f>
        <v>0</v>
      </c>
      <c r="AO98" s="71">
        <f>IF(AND($AM98=1,ISNUMBER($L98),NOT(ISNUMBER($M98))),IF($L98&lt;ReportDate,1,0),0)</f>
        <v>0</v>
      </c>
      <c r="AP98" s="71">
        <f>IF($AM98=1,IF(ISNUMBER($AG98),IF(ReportDate-$AG98&gt;CampStaleDays,1,0),1),0)</f>
        <v>0</v>
      </c>
      <c r="AQ98" s="71">
        <f>IF(AND($AM98=1,OR($AA98="Behind",$AA98="At Risk")),1,0)</f>
        <v>0</v>
      </c>
      <c r="AR98" s="71">
        <f>IF(AND($AM98=1,OR($AA98="Ahead",$AA98="On Track")),1,0)</f>
        <v>0</v>
      </c>
      <c r="AS98" s="71">
        <f>IF(OR($AQ98=1,$AP98=1,$AO98=1),1,0)</f>
        <v>0</v>
      </c>
      <c r="AT98" s="71" t="str">
        <f>IF($AS98=1,TRIM(IF($AQ98=1,"Low performance. ","")&amp;IF($AP98=1,"No recent update. ","")&amp;IF($AO98=1,"Past planned end. ","")),"")</f>
        <v/>
      </c>
      <c r="AU98" s="71" t="str">
        <f>IF(AND($AS98=1,$AL98=1),ROW(),"")</f>
        <v/>
      </c>
      <c r="AV98" s="71" t="str">
        <f>IF(AND($AQ98=1,$AL98=1),ROW(),"")</f>
        <v/>
      </c>
      <c r="AW98" s="71" t="str">
        <f>IF(AND($AP98=1,$AL98=1),ROW(),"")</f>
        <v/>
      </c>
      <c r="AX98" s="71" t="str">
        <f>IF(AND($AR98=1,$AL98=1),ROW(),"")</f>
        <v/>
      </c>
      <c r="AY98" s="71">
        <f>IF(AND($B98&lt;&gt;"",$A98=TCL_Client),1,0)</f>
        <v>0</v>
      </c>
      <c r="AZ98" s="71" t="str">
        <f>IF($AY98=1,ROW(),"")</f>
        <v/>
      </c>
      <c r="BA98" s="71">
        <f>IF(AND($B98&lt;&gt;"",$A98=MECCA_Client),1,0)</f>
        <v>0</v>
      </c>
      <c r="BB98" s="71" t="str">
        <f>IF($BA98=1,ROW(),"")</f>
        <v/>
      </c>
    </row>
    <row r="99">
      <c r="A99" s="64" t="n"/>
      <c r="B99" s="65" t="n"/>
      <c r="C99" s="64" t="n"/>
      <c r="D99" s="64" t="n"/>
      <c r="E99" s="64" t="n"/>
      <c r="F99" s="65" t="n"/>
      <c r="G99" s="65" t="n"/>
      <c r="H99" s="64" t="n"/>
      <c r="I99" s="64" t="n"/>
      <c r="J99" s="65" t="n"/>
      <c r="K99" s="63" t="n"/>
      <c r="L99" s="63" t="n"/>
      <c r="M99" s="63" t="n"/>
      <c r="N99" s="64" t="n"/>
      <c r="O99" s="67" t="n"/>
      <c r="P99" s="72" t="str">
        <f>IF($B99="","",SUMIFS('PAID MEDIA ADS'!$G$5:$G$804,'PAID MEDIA ADS'!$C$5:$C$804,$B99))</f>
        <v/>
      </c>
      <c r="Q99" s="67" t="n"/>
      <c r="R99" s="72" t="str">
        <f>IF($B99="","",COUNTIFS('LEAD MQL TRACKER'!$C$5:$C$1004,$B99,'LEAD MQL TRACKER'!$AB$5:$AB$1004,1)+SUMIFS('EMAIL MARKETING'!$Q$5:$Q$804,'EMAIL MARKETING'!$C$5:$C$804,$B99)+SUMIFS('PAID MEDIA ADS'!$M$5:$M$804,'PAID MEDIA ADS'!$C$5:$C$804,$B99)+SUMIFS('LINKEDIN OUTREACH'!$N$5:$N$704,'LINKEDIN OUTREACH'!$C$5:$C$704,$B99))</f>
        <v/>
      </c>
      <c r="S99" s="67" t="n"/>
      <c r="T99" s="72" t="str">
        <f>IF($B99="","",COUNTIFS('LEAD MQL TRACKER'!$C$5:$C$1004,$B99,'LEAD MQL TRACKER'!$AD$5:$AD$1004,1)+SUMIFS('EMAIL MARKETING'!$R$5:$R$804,'EMAIL MARKETING'!$C$5:$C$804,$B99)+SUMIFS('PAID MEDIA ADS'!$N$5:$N$804,'PAID MEDIA ADS'!$C$5:$C$804,$B99)+SUMIFS('LINKEDIN OUTREACH'!$O$5:$O$704,'LINKEDIN OUTREACH'!$C$5:$C$704,$B99))</f>
        <v/>
      </c>
      <c r="U99" s="67" t="n"/>
      <c r="V99" s="72" t="str">
        <f>IF($B99="","",COUNTIFS('LEAD MQL TRACKER'!$C$5:$C$1004,$B99,'LEAD MQL TRACKER'!$AE$5:$AE$1004,1))</f>
        <v/>
      </c>
      <c r="W99" s="72" t="str">
        <f>IF($B99="","",COUNTIFS('LEAD MQL TRACKER'!$C$5:$C$1004,$B99,'LEAD MQL TRACKER'!$AC$5:$AC$1004,1)+SUMIFS('LINKEDIN OUTREACH'!$M$5:$M$704,'LINKEDIN OUTREACH'!$C$5:$C$704,$B99))</f>
        <v/>
      </c>
      <c r="X99" s="72" t="str">
        <f>IF($B99="","",SUMIFS('EMAIL MARKETING'!$O$5:$O$804,'EMAIL MARKETING'!$C$5:$C$804,$B99)+SUMIFS('LINKEDIN OUTREACH'!$K$5:$K$704,'LINKEDIN OUTREACH'!$C$5:$C$704,$B99))</f>
        <v/>
      </c>
      <c r="Y99" s="73" t="str">
        <f>IF(ISNUMBER($R99),IF($R99&gt;0,$T99/$R99,""),"")</f>
        <v/>
      </c>
      <c r="Z99" s="72" t="str">
        <f>IF(AND(ISNUMBER($P99),ISNUMBER($R99)),IF(AND($P99&gt;0,$R99&gt;0),$P99/$R99,""),"")</f>
        <v/>
      </c>
      <c r="AA99" s="71" t="str">
        <f>IF($B99="","",IF(OR($N99="Live",$N99="Optimizing",$N99="Paused",$N99="Completed"),IF(ISNUMBER($AI99),IF($AI99&gt;=1,"Ahead",IF($AI99&gt;=OnTrackPct,"On Track",IF($AI99&gt;=WatchPct,"Behind","At Risk"))),"No Target Set"),"Not Live"))</f>
        <v/>
      </c>
      <c r="AB99" s="65" t="n"/>
      <c r="AC99" s="65" t="n"/>
      <c r="AD99" s="65" t="n"/>
      <c r="AE99" s="67" t="n"/>
      <c r="AF99" s="67" t="n"/>
      <c r="AG99" s="63" t="n"/>
      <c r="AH99" s="74">
        <f>IF($N99="Completed",1,IF(AND(ISNUMBER($K99),ISNUMBER($L99)),IF($L99&gt;$K99,MIN(1,MAX(0.05,(ReportDate-$K99)/($L99-$K99))),1),1))</f>
        <v>1</v>
      </c>
      <c r="AI99" s="70" t="str">
        <f>IF($B99="","",IF(AND(ISNUMBER($Q99),$Q99&gt;0),$R99/($Q99*$AH99),""))</f>
        <v/>
      </c>
      <c r="AJ99" s="71" t="str">
        <f>IF(ISNUMBER($K99),YEAR($K99)&amp;"-"&amp;TEXT(MONTH($K99),"00"),"")</f>
        <v/>
      </c>
      <c r="AK99" s="71">
        <f>IF($B99="",0,IF(AND(OR(fClient="All",$A99=fClient),OR(fCampaign="All",$B99=fCampaign),OR(fTeam="All",$I99=fTeam),OR(fChannel="All",$H99=fChannel),OR(fCStatus="All",$N99=fCStatus)),1,0))</f>
        <v>0</v>
      </c>
      <c r="AL99" s="71">
        <f>IF($B99="",0,IF(AND(OR(fClient="All",$A99=fClient),OR(fCampaign="All",$B99=fCampaign),OR(fTeam="All",$I99=fTeam),OR(fChannel="All",$H99=fChannel)),1,0))</f>
        <v>0</v>
      </c>
      <c r="AM99" s="71">
        <f>IF(OR($N99="Live",$N99="Optimizing"),1,0)</f>
        <v>0</v>
      </c>
      <c r="AN99" s="71">
        <f>IF(OR($N99="Live",$N99="Optimizing",$N99="Paused",$N99="Completed"),1,0)</f>
        <v>0</v>
      </c>
      <c r="AO99" s="71">
        <f>IF(AND($AM99=1,ISNUMBER($L99),NOT(ISNUMBER($M99))),IF($L99&lt;ReportDate,1,0),0)</f>
        <v>0</v>
      </c>
      <c r="AP99" s="71">
        <f>IF($AM99=1,IF(ISNUMBER($AG99),IF(ReportDate-$AG99&gt;CampStaleDays,1,0),1),0)</f>
        <v>0</v>
      </c>
      <c r="AQ99" s="71">
        <f>IF(AND($AM99=1,OR($AA99="Behind",$AA99="At Risk")),1,0)</f>
        <v>0</v>
      </c>
      <c r="AR99" s="71">
        <f>IF(AND($AM99=1,OR($AA99="Ahead",$AA99="On Track")),1,0)</f>
        <v>0</v>
      </c>
      <c r="AS99" s="71">
        <f>IF(OR($AQ99=1,$AP99=1,$AO99=1),1,0)</f>
        <v>0</v>
      </c>
      <c r="AT99" s="71" t="str">
        <f>IF($AS99=1,TRIM(IF($AQ99=1,"Low performance. ","")&amp;IF($AP99=1,"No recent update. ","")&amp;IF($AO99=1,"Past planned end. ","")),"")</f>
        <v/>
      </c>
      <c r="AU99" s="71" t="str">
        <f>IF(AND($AS99=1,$AL99=1),ROW(),"")</f>
        <v/>
      </c>
      <c r="AV99" s="71" t="str">
        <f>IF(AND($AQ99=1,$AL99=1),ROW(),"")</f>
        <v/>
      </c>
      <c r="AW99" s="71" t="str">
        <f>IF(AND($AP99=1,$AL99=1),ROW(),"")</f>
        <v/>
      </c>
      <c r="AX99" s="71" t="str">
        <f>IF(AND($AR99=1,$AL99=1),ROW(),"")</f>
        <v/>
      </c>
      <c r="AY99" s="71">
        <f>IF(AND($B99&lt;&gt;"",$A99=TCL_Client),1,0)</f>
        <v>0</v>
      </c>
      <c r="AZ99" s="71" t="str">
        <f>IF($AY99=1,ROW(),"")</f>
        <v/>
      </c>
      <c r="BA99" s="71">
        <f>IF(AND($B99&lt;&gt;"",$A99=MECCA_Client),1,0)</f>
        <v>0</v>
      </c>
      <c r="BB99" s="71" t="str">
        <f>IF($BA99=1,ROW(),"")</f>
        <v/>
      </c>
    </row>
    <row r="100">
      <c r="A100" s="64" t="n"/>
      <c r="B100" s="65" t="n"/>
      <c r="C100" s="64" t="n"/>
      <c r="D100" s="64" t="n"/>
      <c r="E100" s="64" t="n"/>
      <c r="F100" s="65" t="n"/>
      <c r="G100" s="65" t="n"/>
      <c r="H100" s="64" t="n"/>
      <c r="I100" s="64" t="n"/>
      <c r="J100" s="65" t="n"/>
      <c r="K100" s="63" t="n"/>
      <c r="L100" s="63" t="n"/>
      <c r="M100" s="63" t="n"/>
      <c r="N100" s="64" t="n"/>
      <c r="O100" s="67" t="n"/>
      <c r="P100" s="72" t="str">
        <f>IF($B100="","",SUMIFS('PAID MEDIA ADS'!$G$5:$G$804,'PAID MEDIA ADS'!$C$5:$C$804,$B100))</f>
        <v/>
      </c>
      <c r="Q100" s="67" t="n"/>
      <c r="R100" s="72" t="str">
        <f>IF($B100="","",COUNTIFS('LEAD MQL TRACKER'!$C$5:$C$1004,$B100,'LEAD MQL TRACKER'!$AB$5:$AB$1004,1)+SUMIFS('EMAIL MARKETING'!$Q$5:$Q$804,'EMAIL MARKETING'!$C$5:$C$804,$B100)+SUMIFS('PAID MEDIA ADS'!$M$5:$M$804,'PAID MEDIA ADS'!$C$5:$C$804,$B100)+SUMIFS('LINKEDIN OUTREACH'!$N$5:$N$704,'LINKEDIN OUTREACH'!$C$5:$C$704,$B100))</f>
        <v/>
      </c>
      <c r="S100" s="67" t="n"/>
      <c r="T100" s="72" t="str">
        <f>IF($B100="","",COUNTIFS('LEAD MQL TRACKER'!$C$5:$C$1004,$B100,'LEAD MQL TRACKER'!$AD$5:$AD$1004,1)+SUMIFS('EMAIL MARKETING'!$R$5:$R$804,'EMAIL MARKETING'!$C$5:$C$804,$B100)+SUMIFS('PAID MEDIA ADS'!$N$5:$N$804,'PAID MEDIA ADS'!$C$5:$C$804,$B100)+SUMIFS('LINKEDIN OUTREACH'!$O$5:$O$704,'LINKEDIN OUTREACH'!$C$5:$C$704,$B100))</f>
        <v/>
      </c>
      <c r="U100" s="67" t="n"/>
      <c r="V100" s="72" t="str">
        <f>IF($B100="","",COUNTIFS('LEAD MQL TRACKER'!$C$5:$C$1004,$B100,'LEAD MQL TRACKER'!$AE$5:$AE$1004,1))</f>
        <v/>
      </c>
      <c r="W100" s="72" t="str">
        <f>IF($B100="","",COUNTIFS('LEAD MQL TRACKER'!$C$5:$C$1004,$B100,'LEAD MQL TRACKER'!$AC$5:$AC$1004,1)+SUMIFS('LINKEDIN OUTREACH'!$M$5:$M$704,'LINKEDIN OUTREACH'!$C$5:$C$704,$B100))</f>
        <v/>
      </c>
      <c r="X100" s="72" t="str">
        <f>IF($B100="","",SUMIFS('EMAIL MARKETING'!$O$5:$O$804,'EMAIL MARKETING'!$C$5:$C$804,$B100)+SUMIFS('LINKEDIN OUTREACH'!$K$5:$K$704,'LINKEDIN OUTREACH'!$C$5:$C$704,$B100))</f>
        <v/>
      </c>
      <c r="Y100" s="73" t="str">
        <f>IF(ISNUMBER($R100),IF($R100&gt;0,$T100/$R100,""),"")</f>
        <v/>
      </c>
      <c r="Z100" s="72" t="str">
        <f>IF(AND(ISNUMBER($P100),ISNUMBER($R100)),IF(AND($P100&gt;0,$R100&gt;0),$P100/$R100,""),"")</f>
        <v/>
      </c>
      <c r="AA100" s="71" t="str">
        <f>IF($B100="","",IF(OR($N100="Live",$N100="Optimizing",$N100="Paused",$N100="Completed"),IF(ISNUMBER($AI100),IF($AI100&gt;=1,"Ahead",IF($AI100&gt;=OnTrackPct,"On Track",IF($AI100&gt;=WatchPct,"Behind","At Risk"))),"No Target Set"),"Not Live"))</f>
        <v/>
      </c>
      <c r="AB100" s="65" t="n"/>
      <c r="AC100" s="65" t="n"/>
      <c r="AD100" s="65" t="n"/>
      <c r="AE100" s="67" t="n"/>
      <c r="AF100" s="67" t="n"/>
      <c r="AG100" s="63" t="n"/>
      <c r="AH100" s="74">
        <f>IF($N100="Completed",1,IF(AND(ISNUMBER($K100),ISNUMBER($L100)),IF($L100&gt;$K100,MIN(1,MAX(0.05,(ReportDate-$K100)/($L100-$K100))),1),1))</f>
        <v>1</v>
      </c>
      <c r="AI100" s="70" t="str">
        <f>IF($B100="","",IF(AND(ISNUMBER($Q100),$Q100&gt;0),$R100/($Q100*$AH100),""))</f>
        <v/>
      </c>
      <c r="AJ100" s="71" t="str">
        <f>IF(ISNUMBER($K100),YEAR($K100)&amp;"-"&amp;TEXT(MONTH($K100),"00"),"")</f>
        <v/>
      </c>
      <c r="AK100" s="71">
        <f>IF($B100="",0,IF(AND(OR(fClient="All",$A100=fClient),OR(fCampaign="All",$B100=fCampaign),OR(fTeam="All",$I100=fTeam),OR(fChannel="All",$H100=fChannel),OR(fCStatus="All",$N100=fCStatus)),1,0))</f>
        <v>0</v>
      </c>
      <c r="AL100" s="71">
        <f>IF($B100="",0,IF(AND(OR(fClient="All",$A100=fClient),OR(fCampaign="All",$B100=fCampaign),OR(fTeam="All",$I100=fTeam),OR(fChannel="All",$H100=fChannel)),1,0))</f>
        <v>0</v>
      </c>
      <c r="AM100" s="71">
        <f>IF(OR($N100="Live",$N100="Optimizing"),1,0)</f>
        <v>0</v>
      </c>
      <c r="AN100" s="71">
        <f>IF(OR($N100="Live",$N100="Optimizing",$N100="Paused",$N100="Completed"),1,0)</f>
        <v>0</v>
      </c>
      <c r="AO100" s="71">
        <f>IF(AND($AM100=1,ISNUMBER($L100),NOT(ISNUMBER($M100))),IF($L100&lt;ReportDate,1,0),0)</f>
        <v>0</v>
      </c>
      <c r="AP100" s="71">
        <f>IF($AM100=1,IF(ISNUMBER($AG100),IF(ReportDate-$AG100&gt;CampStaleDays,1,0),1),0)</f>
        <v>0</v>
      </c>
      <c r="AQ100" s="71">
        <f>IF(AND($AM100=1,OR($AA100="Behind",$AA100="At Risk")),1,0)</f>
        <v>0</v>
      </c>
      <c r="AR100" s="71">
        <f>IF(AND($AM100=1,OR($AA100="Ahead",$AA100="On Track")),1,0)</f>
        <v>0</v>
      </c>
      <c r="AS100" s="71">
        <f>IF(OR($AQ100=1,$AP100=1,$AO100=1),1,0)</f>
        <v>0</v>
      </c>
      <c r="AT100" s="71" t="str">
        <f>IF($AS100=1,TRIM(IF($AQ100=1,"Low performance. ","")&amp;IF($AP100=1,"No recent update. ","")&amp;IF($AO100=1,"Past planned end. ","")),"")</f>
        <v/>
      </c>
      <c r="AU100" s="71" t="str">
        <f>IF(AND($AS100=1,$AL100=1),ROW(),"")</f>
        <v/>
      </c>
      <c r="AV100" s="71" t="str">
        <f>IF(AND($AQ100=1,$AL100=1),ROW(),"")</f>
        <v/>
      </c>
      <c r="AW100" s="71" t="str">
        <f>IF(AND($AP100=1,$AL100=1),ROW(),"")</f>
        <v/>
      </c>
      <c r="AX100" s="71" t="str">
        <f>IF(AND($AR100=1,$AL100=1),ROW(),"")</f>
        <v/>
      </c>
      <c r="AY100" s="71">
        <f>IF(AND($B100&lt;&gt;"",$A100=TCL_Client),1,0)</f>
        <v>0</v>
      </c>
      <c r="AZ100" s="71" t="str">
        <f>IF($AY100=1,ROW(),"")</f>
        <v/>
      </c>
      <c r="BA100" s="71">
        <f>IF(AND($B100&lt;&gt;"",$A100=MECCA_Client),1,0)</f>
        <v>0</v>
      </c>
      <c r="BB100" s="71" t="str">
        <f>IF($BA100=1,ROW(),"")</f>
        <v/>
      </c>
    </row>
    <row r="101">
      <c r="A101" s="64" t="n"/>
      <c r="B101" s="65" t="n"/>
      <c r="C101" s="64" t="n"/>
      <c r="D101" s="64" t="n"/>
      <c r="E101" s="64" t="n"/>
      <c r="F101" s="65" t="n"/>
      <c r="G101" s="65" t="n"/>
      <c r="H101" s="64" t="n"/>
      <c r="I101" s="64" t="n"/>
      <c r="J101" s="65" t="n"/>
      <c r="K101" s="63" t="n"/>
      <c r="L101" s="63" t="n"/>
      <c r="M101" s="63" t="n"/>
      <c r="N101" s="64" t="n"/>
      <c r="O101" s="67" t="n"/>
      <c r="P101" s="72" t="str">
        <f>IF($B101="","",SUMIFS('PAID MEDIA ADS'!$G$5:$G$804,'PAID MEDIA ADS'!$C$5:$C$804,$B101))</f>
        <v/>
      </c>
      <c r="Q101" s="67" t="n"/>
      <c r="R101" s="72" t="str">
        <f>IF($B101="","",COUNTIFS('LEAD MQL TRACKER'!$C$5:$C$1004,$B101,'LEAD MQL TRACKER'!$AB$5:$AB$1004,1)+SUMIFS('EMAIL MARKETING'!$Q$5:$Q$804,'EMAIL MARKETING'!$C$5:$C$804,$B101)+SUMIFS('PAID MEDIA ADS'!$M$5:$M$804,'PAID MEDIA ADS'!$C$5:$C$804,$B101)+SUMIFS('LINKEDIN OUTREACH'!$N$5:$N$704,'LINKEDIN OUTREACH'!$C$5:$C$704,$B101))</f>
        <v/>
      </c>
      <c r="S101" s="67" t="n"/>
      <c r="T101" s="72" t="str">
        <f>IF($B101="","",COUNTIFS('LEAD MQL TRACKER'!$C$5:$C$1004,$B101,'LEAD MQL TRACKER'!$AD$5:$AD$1004,1)+SUMIFS('EMAIL MARKETING'!$R$5:$R$804,'EMAIL MARKETING'!$C$5:$C$804,$B101)+SUMIFS('PAID MEDIA ADS'!$N$5:$N$804,'PAID MEDIA ADS'!$C$5:$C$804,$B101)+SUMIFS('LINKEDIN OUTREACH'!$O$5:$O$704,'LINKEDIN OUTREACH'!$C$5:$C$704,$B101))</f>
        <v/>
      </c>
      <c r="U101" s="67" t="n"/>
      <c r="V101" s="72" t="str">
        <f>IF($B101="","",COUNTIFS('LEAD MQL TRACKER'!$C$5:$C$1004,$B101,'LEAD MQL TRACKER'!$AE$5:$AE$1004,1))</f>
        <v/>
      </c>
      <c r="W101" s="72" t="str">
        <f>IF($B101="","",COUNTIFS('LEAD MQL TRACKER'!$C$5:$C$1004,$B101,'LEAD MQL TRACKER'!$AC$5:$AC$1004,1)+SUMIFS('LINKEDIN OUTREACH'!$M$5:$M$704,'LINKEDIN OUTREACH'!$C$5:$C$704,$B101))</f>
        <v/>
      </c>
      <c r="X101" s="72" t="str">
        <f>IF($B101="","",SUMIFS('EMAIL MARKETING'!$O$5:$O$804,'EMAIL MARKETING'!$C$5:$C$804,$B101)+SUMIFS('LINKEDIN OUTREACH'!$K$5:$K$704,'LINKEDIN OUTREACH'!$C$5:$C$704,$B101))</f>
        <v/>
      </c>
      <c r="Y101" s="73" t="str">
        <f>IF(ISNUMBER($R101),IF($R101&gt;0,$T101/$R101,""),"")</f>
        <v/>
      </c>
      <c r="Z101" s="72" t="str">
        <f>IF(AND(ISNUMBER($P101),ISNUMBER($R101)),IF(AND($P101&gt;0,$R101&gt;0),$P101/$R101,""),"")</f>
        <v/>
      </c>
      <c r="AA101" s="71" t="str">
        <f>IF($B101="","",IF(OR($N101="Live",$N101="Optimizing",$N101="Paused",$N101="Completed"),IF(ISNUMBER($AI101),IF($AI101&gt;=1,"Ahead",IF($AI101&gt;=OnTrackPct,"On Track",IF($AI101&gt;=WatchPct,"Behind","At Risk"))),"No Target Set"),"Not Live"))</f>
        <v/>
      </c>
      <c r="AB101" s="65" t="n"/>
      <c r="AC101" s="65" t="n"/>
      <c r="AD101" s="65" t="n"/>
      <c r="AE101" s="67" t="n"/>
      <c r="AF101" s="67" t="n"/>
      <c r="AG101" s="63" t="n"/>
      <c r="AH101" s="74">
        <f>IF($N101="Completed",1,IF(AND(ISNUMBER($K101),ISNUMBER($L101)),IF($L101&gt;$K101,MIN(1,MAX(0.05,(ReportDate-$K101)/($L101-$K101))),1),1))</f>
        <v>1</v>
      </c>
      <c r="AI101" s="70" t="str">
        <f>IF($B101="","",IF(AND(ISNUMBER($Q101),$Q101&gt;0),$R101/($Q101*$AH101),""))</f>
        <v/>
      </c>
      <c r="AJ101" s="71" t="str">
        <f>IF(ISNUMBER($K101),YEAR($K101)&amp;"-"&amp;TEXT(MONTH($K101),"00"),"")</f>
        <v/>
      </c>
      <c r="AK101" s="71">
        <f>IF($B101="",0,IF(AND(OR(fClient="All",$A101=fClient),OR(fCampaign="All",$B101=fCampaign),OR(fTeam="All",$I101=fTeam),OR(fChannel="All",$H101=fChannel),OR(fCStatus="All",$N101=fCStatus)),1,0))</f>
        <v>0</v>
      </c>
      <c r="AL101" s="71">
        <f>IF($B101="",0,IF(AND(OR(fClient="All",$A101=fClient),OR(fCampaign="All",$B101=fCampaign),OR(fTeam="All",$I101=fTeam),OR(fChannel="All",$H101=fChannel)),1,0))</f>
        <v>0</v>
      </c>
      <c r="AM101" s="71">
        <f>IF(OR($N101="Live",$N101="Optimizing"),1,0)</f>
        <v>0</v>
      </c>
      <c r="AN101" s="71">
        <f>IF(OR($N101="Live",$N101="Optimizing",$N101="Paused",$N101="Completed"),1,0)</f>
        <v>0</v>
      </c>
      <c r="AO101" s="71">
        <f>IF(AND($AM101=1,ISNUMBER($L101),NOT(ISNUMBER($M101))),IF($L101&lt;ReportDate,1,0),0)</f>
        <v>0</v>
      </c>
      <c r="AP101" s="71">
        <f>IF($AM101=1,IF(ISNUMBER($AG101),IF(ReportDate-$AG101&gt;CampStaleDays,1,0),1),0)</f>
        <v>0</v>
      </c>
      <c r="AQ101" s="71">
        <f>IF(AND($AM101=1,OR($AA101="Behind",$AA101="At Risk")),1,0)</f>
        <v>0</v>
      </c>
      <c r="AR101" s="71">
        <f>IF(AND($AM101=1,OR($AA101="Ahead",$AA101="On Track")),1,0)</f>
        <v>0</v>
      </c>
      <c r="AS101" s="71">
        <f>IF(OR($AQ101=1,$AP101=1,$AO101=1),1,0)</f>
        <v>0</v>
      </c>
      <c r="AT101" s="71" t="str">
        <f>IF($AS101=1,TRIM(IF($AQ101=1,"Low performance. ","")&amp;IF($AP101=1,"No recent update. ","")&amp;IF($AO101=1,"Past planned end. ","")),"")</f>
        <v/>
      </c>
      <c r="AU101" s="71" t="str">
        <f>IF(AND($AS101=1,$AL101=1),ROW(),"")</f>
        <v/>
      </c>
      <c r="AV101" s="71" t="str">
        <f>IF(AND($AQ101=1,$AL101=1),ROW(),"")</f>
        <v/>
      </c>
      <c r="AW101" s="71" t="str">
        <f>IF(AND($AP101=1,$AL101=1),ROW(),"")</f>
        <v/>
      </c>
      <c r="AX101" s="71" t="str">
        <f>IF(AND($AR101=1,$AL101=1),ROW(),"")</f>
        <v/>
      </c>
      <c r="AY101" s="71">
        <f>IF(AND($B101&lt;&gt;"",$A101=TCL_Client),1,0)</f>
        <v>0</v>
      </c>
      <c r="AZ101" s="71" t="str">
        <f>IF($AY101=1,ROW(),"")</f>
        <v/>
      </c>
      <c r="BA101" s="71">
        <f>IF(AND($B101&lt;&gt;"",$A101=MECCA_Client),1,0)</f>
        <v>0</v>
      </c>
      <c r="BB101" s="71" t="str">
        <f>IF($BA101=1,ROW(),"")</f>
        <v/>
      </c>
    </row>
    <row r="102">
      <c r="A102" s="64" t="n"/>
      <c r="B102" s="65" t="n"/>
      <c r="C102" s="64" t="n"/>
      <c r="D102" s="64" t="n"/>
      <c r="E102" s="64" t="n"/>
      <c r="F102" s="65" t="n"/>
      <c r="G102" s="65" t="n"/>
      <c r="H102" s="64" t="n"/>
      <c r="I102" s="64" t="n"/>
      <c r="J102" s="65" t="n"/>
      <c r="K102" s="63" t="n"/>
      <c r="L102" s="63" t="n"/>
      <c r="M102" s="63" t="n"/>
      <c r="N102" s="64" t="n"/>
      <c r="O102" s="67" t="n"/>
      <c r="P102" s="72" t="str">
        <f>IF($B102="","",SUMIFS('PAID MEDIA ADS'!$G$5:$G$804,'PAID MEDIA ADS'!$C$5:$C$804,$B102))</f>
        <v/>
      </c>
      <c r="Q102" s="67" t="n"/>
      <c r="R102" s="72" t="str">
        <f>IF($B102="","",COUNTIFS('LEAD MQL TRACKER'!$C$5:$C$1004,$B102,'LEAD MQL TRACKER'!$AB$5:$AB$1004,1)+SUMIFS('EMAIL MARKETING'!$Q$5:$Q$804,'EMAIL MARKETING'!$C$5:$C$804,$B102)+SUMIFS('PAID MEDIA ADS'!$M$5:$M$804,'PAID MEDIA ADS'!$C$5:$C$804,$B102)+SUMIFS('LINKEDIN OUTREACH'!$N$5:$N$704,'LINKEDIN OUTREACH'!$C$5:$C$704,$B102))</f>
        <v/>
      </c>
      <c r="S102" s="67" t="n"/>
      <c r="T102" s="72" t="str">
        <f>IF($B102="","",COUNTIFS('LEAD MQL TRACKER'!$C$5:$C$1004,$B102,'LEAD MQL TRACKER'!$AD$5:$AD$1004,1)+SUMIFS('EMAIL MARKETING'!$R$5:$R$804,'EMAIL MARKETING'!$C$5:$C$804,$B102)+SUMIFS('PAID MEDIA ADS'!$N$5:$N$804,'PAID MEDIA ADS'!$C$5:$C$804,$B102)+SUMIFS('LINKEDIN OUTREACH'!$O$5:$O$704,'LINKEDIN OUTREACH'!$C$5:$C$704,$B102))</f>
        <v/>
      </c>
      <c r="U102" s="67" t="n"/>
      <c r="V102" s="72" t="str">
        <f>IF($B102="","",COUNTIFS('LEAD MQL TRACKER'!$C$5:$C$1004,$B102,'LEAD MQL TRACKER'!$AE$5:$AE$1004,1))</f>
        <v/>
      </c>
      <c r="W102" s="72" t="str">
        <f>IF($B102="","",COUNTIFS('LEAD MQL TRACKER'!$C$5:$C$1004,$B102,'LEAD MQL TRACKER'!$AC$5:$AC$1004,1)+SUMIFS('LINKEDIN OUTREACH'!$M$5:$M$704,'LINKEDIN OUTREACH'!$C$5:$C$704,$B102))</f>
        <v/>
      </c>
      <c r="X102" s="72" t="str">
        <f>IF($B102="","",SUMIFS('EMAIL MARKETING'!$O$5:$O$804,'EMAIL MARKETING'!$C$5:$C$804,$B102)+SUMIFS('LINKEDIN OUTREACH'!$K$5:$K$704,'LINKEDIN OUTREACH'!$C$5:$C$704,$B102))</f>
        <v/>
      </c>
      <c r="Y102" s="73" t="str">
        <f>IF(ISNUMBER($R102),IF($R102&gt;0,$T102/$R102,""),"")</f>
        <v/>
      </c>
      <c r="Z102" s="72" t="str">
        <f>IF(AND(ISNUMBER($P102),ISNUMBER($R102)),IF(AND($P102&gt;0,$R102&gt;0),$P102/$R102,""),"")</f>
        <v/>
      </c>
      <c r="AA102" s="71" t="str">
        <f>IF($B102="","",IF(OR($N102="Live",$N102="Optimizing",$N102="Paused",$N102="Completed"),IF(ISNUMBER($AI102),IF($AI102&gt;=1,"Ahead",IF($AI102&gt;=OnTrackPct,"On Track",IF($AI102&gt;=WatchPct,"Behind","At Risk"))),"No Target Set"),"Not Live"))</f>
        <v/>
      </c>
      <c r="AB102" s="65" t="n"/>
      <c r="AC102" s="65" t="n"/>
      <c r="AD102" s="65" t="n"/>
      <c r="AE102" s="67" t="n"/>
      <c r="AF102" s="67" t="n"/>
      <c r="AG102" s="63" t="n"/>
      <c r="AH102" s="74">
        <f>IF($N102="Completed",1,IF(AND(ISNUMBER($K102),ISNUMBER($L102)),IF($L102&gt;$K102,MIN(1,MAX(0.05,(ReportDate-$K102)/($L102-$K102))),1),1))</f>
        <v>1</v>
      </c>
      <c r="AI102" s="70" t="str">
        <f>IF($B102="","",IF(AND(ISNUMBER($Q102),$Q102&gt;0),$R102/($Q102*$AH102),""))</f>
        <v/>
      </c>
      <c r="AJ102" s="71" t="str">
        <f>IF(ISNUMBER($K102),YEAR($K102)&amp;"-"&amp;TEXT(MONTH($K102),"00"),"")</f>
        <v/>
      </c>
      <c r="AK102" s="71">
        <f>IF($B102="",0,IF(AND(OR(fClient="All",$A102=fClient),OR(fCampaign="All",$B102=fCampaign),OR(fTeam="All",$I102=fTeam),OR(fChannel="All",$H102=fChannel),OR(fCStatus="All",$N102=fCStatus)),1,0))</f>
        <v>0</v>
      </c>
      <c r="AL102" s="71">
        <f>IF($B102="",0,IF(AND(OR(fClient="All",$A102=fClient),OR(fCampaign="All",$B102=fCampaign),OR(fTeam="All",$I102=fTeam),OR(fChannel="All",$H102=fChannel)),1,0))</f>
        <v>0</v>
      </c>
      <c r="AM102" s="71">
        <f>IF(OR($N102="Live",$N102="Optimizing"),1,0)</f>
        <v>0</v>
      </c>
      <c r="AN102" s="71">
        <f>IF(OR($N102="Live",$N102="Optimizing",$N102="Paused",$N102="Completed"),1,0)</f>
        <v>0</v>
      </c>
      <c r="AO102" s="71">
        <f>IF(AND($AM102=1,ISNUMBER($L102),NOT(ISNUMBER($M102))),IF($L102&lt;ReportDate,1,0),0)</f>
        <v>0</v>
      </c>
      <c r="AP102" s="71">
        <f>IF($AM102=1,IF(ISNUMBER($AG102),IF(ReportDate-$AG102&gt;CampStaleDays,1,0),1),0)</f>
        <v>0</v>
      </c>
      <c r="AQ102" s="71">
        <f>IF(AND($AM102=1,OR($AA102="Behind",$AA102="At Risk")),1,0)</f>
        <v>0</v>
      </c>
      <c r="AR102" s="71">
        <f>IF(AND($AM102=1,OR($AA102="Ahead",$AA102="On Track")),1,0)</f>
        <v>0</v>
      </c>
      <c r="AS102" s="71">
        <f>IF(OR($AQ102=1,$AP102=1,$AO102=1),1,0)</f>
        <v>0</v>
      </c>
      <c r="AT102" s="71" t="str">
        <f>IF($AS102=1,TRIM(IF($AQ102=1,"Low performance. ","")&amp;IF($AP102=1,"No recent update. ","")&amp;IF($AO102=1,"Past planned end. ","")),"")</f>
        <v/>
      </c>
      <c r="AU102" s="71" t="str">
        <f>IF(AND($AS102=1,$AL102=1),ROW(),"")</f>
        <v/>
      </c>
      <c r="AV102" s="71" t="str">
        <f>IF(AND($AQ102=1,$AL102=1),ROW(),"")</f>
        <v/>
      </c>
      <c r="AW102" s="71" t="str">
        <f>IF(AND($AP102=1,$AL102=1),ROW(),"")</f>
        <v/>
      </c>
      <c r="AX102" s="71" t="str">
        <f>IF(AND($AR102=1,$AL102=1),ROW(),"")</f>
        <v/>
      </c>
      <c r="AY102" s="71">
        <f>IF(AND($B102&lt;&gt;"",$A102=TCL_Client),1,0)</f>
        <v>0</v>
      </c>
      <c r="AZ102" s="71" t="str">
        <f>IF($AY102=1,ROW(),"")</f>
        <v/>
      </c>
      <c r="BA102" s="71">
        <f>IF(AND($B102&lt;&gt;"",$A102=MECCA_Client),1,0)</f>
        <v>0</v>
      </c>
      <c r="BB102" s="71" t="str">
        <f>IF($BA102=1,ROW(),"")</f>
        <v/>
      </c>
    </row>
    <row r="103">
      <c r="A103" s="64" t="n"/>
      <c r="B103" s="65" t="n"/>
      <c r="C103" s="64" t="n"/>
      <c r="D103" s="64" t="n"/>
      <c r="E103" s="64" t="n"/>
      <c r="F103" s="65" t="n"/>
      <c r="G103" s="65" t="n"/>
      <c r="H103" s="64" t="n"/>
      <c r="I103" s="64" t="n"/>
      <c r="J103" s="65" t="n"/>
      <c r="K103" s="63" t="n"/>
      <c r="L103" s="63" t="n"/>
      <c r="M103" s="63" t="n"/>
      <c r="N103" s="64" t="n"/>
      <c r="O103" s="67" t="n"/>
      <c r="P103" s="72" t="str">
        <f>IF($B103="","",SUMIFS('PAID MEDIA ADS'!$G$5:$G$804,'PAID MEDIA ADS'!$C$5:$C$804,$B103))</f>
        <v/>
      </c>
      <c r="Q103" s="67" t="n"/>
      <c r="R103" s="72" t="str">
        <f>IF($B103="","",COUNTIFS('LEAD MQL TRACKER'!$C$5:$C$1004,$B103,'LEAD MQL TRACKER'!$AB$5:$AB$1004,1)+SUMIFS('EMAIL MARKETING'!$Q$5:$Q$804,'EMAIL MARKETING'!$C$5:$C$804,$B103)+SUMIFS('PAID MEDIA ADS'!$M$5:$M$804,'PAID MEDIA ADS'!$C$5:$C$804,$B103)+SUMIFS('LINKEDIN OUTREACH'!$N$5:$N$704,'LINKEDIN OUTREACH'!$C$5:$C$704,$B103))</f>
        <v/>
      </c>
      <c r="S103" s="67" t="n"/>
      <c r="T103" s="72" t="str">
        <f>IF($B103="","",COUNTIFS('LEAD MQL TRACKER'!$C$5:$C$1004,$B103,'LEAD MQL TRACKER'!$AD$5:$AD$1004,1)+SUMIFS('EMAIL MARKETING'!$R$5:$R$804,'EMAIL MARKETING'!$C$5:$C$804,$B103)+SUMIFS('PAID MEDIA ADS'!$N$5:$N$804,'PAID MEDIA ADS'!$C$5:$C$804,$B103)+SUMIFS('LINKEDIN OUTREACH'!$O$5:$O$704,'LINKEDIN OUTREACH'!$C$5:$C$704,$B103))</f>
        <v/>
      </c>
      <c r="U103" s="67" t="n"/>
      <c r="V103" s="72" t="str">
        <f>IF($B103="","",COUNTIFS('LEAD MQL TRACKER'!$C$5:$C$1004,$B103,'LEAD MQL TRACKER'!$AE$5:$AE$1004,1))</f>
        <v/>
      </c>
      <c r="W103" s="72" t="str">
        <f>IF($B103="","",COUNTIFS('LEAD MQL TRACKER'!$C$5:$C$1004,$B103,'LEAD MQL TRACKER'!$AC$5:$AC$1004,1)+SUMIFS('LINKEDIN OUTREACH'!$M$5:$M$704,'LINKEDIN OUTREACH'!$C$5:$C$704,$B103))</f>
        <v/>
      </c>
      <c r="X103" s="72" t="str">
        <f>IF($B103="","",SUMIFS('EMAIL MARKETING'!$O$5:$O$804,'EMAIL MARKETING'!$C$5:$C$804,$B103)+SUMIFS('LINKEDIN OUTREACH'!$K$5:$K$704,'LINKEDIN OUTREACH'!$C$5:$C$704,$B103))</f>
        <v/>
      </c>
      <c r="Y103" s="73" t="str">
        <f>IF(ISNUMBER($R103),IF($R103&gt;0,$T103/$R103,""),"")</f>
        <v/>
      </c>
      <c r="Z103" s="72" t="str">
        <f>IF(AND(ISNUMBER($P103),ISNUMBER($R103)),IF(AND($P103&gt;0,$R103&gt;0),$P103/$R103,""),"")</f>
        <v/>
      </c>
      <c r="AA103" s="71" t="str">
        <f>IF($B103="","",IF(OR($N103="Live",$N103="Optimizing",$N103="Paused",$N103="Completed"),IF(ISNUMBER($AI103),IF($AI103&gt;=1,"Ahead",IF($AI103&gt;=OnTrackPct,"On Track",IF($AI103&gt;=WatchPct,"Behind","At Risk"))),"No Target Set"),"Not Live"))</f>
        <v/>
      </c>
      <c r="AB103" s="65" t="n"/>
      <c r="AC103" s="65" t="n"/>
      <c r="AD103" s="65" t="n"/>
      <c r="AE103" s="67" t="n"/>
      <c r="AF103" s="67" t="n"/>
      <c r="AG103" s="63" t="n"/>
      <c r="AH103" s="74">
        <f>IF($N103="Completed",1,IF(AND(ISNUMBER($K103),ISNUMBER($L103)),IF($L103&gt;$K103,MIN(1,MAX(0.05,(ReportDate-$K103)/($L103-$K103))),1),1))</f>
        <v>1</v>
      </c>
      <c r="AI103" s="70" t="str">
        <f>IF($B103="","",IF(AND(ISNUMBER($Q103),$Q103&gt;0),$R103/($Q103*$AH103),""))</f>
        <v/>
      </c>
      <c r="AJ103" s="71" t="str">
        <f>IF(ISNUMBER($K103),YEAR($K103)&amp;"-"&amp;TEXT(MONTH($K103),"00"),"")</f>
        <v/>
      </c>
      <c r="AK103" s="71">
        <f>IF($B103="",0,IF(AND(OR(fClient="All",$A103=fClient),OR(fCampaign="All",$B103=fCampaign),OR(fTeam="All",$I103=fTeam),OR(fChannel="All",$H103=fChannel),OR(fCStatus="All",$N103=fCStatus)),1,0))</f>
        <v>0</v>
      </c>
      <c r="AL103" s="71">
        <f>IF($B103="",0,IF(AND(OR(fClient="All",$A103=fClient),OR(fCampaign="All",$B103=fCampaign),OR(fTeam="All",$I103=fTeam),OR(fChannel="All",$H103=fChannel)),1,0))</f>
        <v>0</v>
      </c>
      <c r="AM103" s="71">
        <f>IF(OR($N103="Live",$N103="Optimizing"),1,0)</f>
        <v>0</v>
      </c>
      <c r="AN103" s="71">
        <f>IF(OR($N103="Live",$N103="Optimizing",$N103="Paused",$N103="Completed"),1,0)</f>
        <v>0</v>
      </c>
      <c r="AO103" s="71">
        <f>IF(AND($AM103=1,ISNUMBER($L103),NOT(ISNUMBER($M103))),IF($L103&lt;ReportDate,1,0),0)</f>
        <v>0</v>
      </c>
      <c r="AP103" s="71">
        <f>IF($AM103=1,IF(ISNUMBER($AG103),IF(ReportDate-$AG103&gt;CampStaleDays,1,0),1),0)</f>
        <v>0</v>
      </c>
      <c r="AQ103" s="71">
        <f>IF(AND($AM103=1,OR($AA103="Behind",$AA103="At Risk")),1,0)</f>
        <v>0</v>
      </c>
      <c r="AR103" s="71">
        <f>IF(AND($AM103=1,OR($AA103="Ahead",$AA103="On Track")),1,0)</f>
        <v>0</v>
      </c>
      <c r="AS103" s="71">
        <f>IF(OR($AQ103=1,$AP103=1,$AO103=1),1,0)</f>
        <v>0</v>
      </c>
      <c r="AT103" s="71" t="str">
        <f>IF($AS103=1,TRIM(IF($AQ103=1,"Low performance. ","")&amp;IF($AP103=1,"No recent update. ","")&amp;IF($AO103=1,"Past planned end. ","")),"")</f>
        <v/>
      </c>
      <c r="AU103" s="71" t="str">
        <f>IF(AND($AS103=1,$AL103=1),ROW(),"")</f>
        <v/>
      </c>
      <c r="AV103" s="71" t="str">
        <f>IF(AND($AQ103=1,$AL103=1),ROW(),"")</f>
        <v/>
      </c>
      <c r="AW103" s="71" t="str">
        <f>IF(AND($AP103=1,$AL103=1),ROW(),"")</f>
        <v/>
      </c>
      <c r="AX103" s="71" t="str">
        <f>IF(AND($AR103=1,$AL103=1),ROW(),"")</f>
        <v/>
      </c>
      <c r="AY103" s="71">
        <f>IF(AND($B103&lt;&gt;"",$A103=TCL_Client),1,0)</f>
        <v>0</v>
      </c>
      <c r="AZ103" s="71" t="str">
        <f>IF($AY103=1,ROW(),"")</f>
        <v/>
      </c>
      <c r="BA103" s="71">
        <f>IF(AND($B103&lt;&gt;"",$A103=MECCA_Client),1,0)</f>
        <v>0</v>
      </c>
      <c r="BB103" s="71" t="str">
        <f>IF($BA103=1,ROW(),"")</f>
        <v/>
      </c>
    </row>
    <row r="104">
      <c r="A104" s="64" t="n"/>
      <c r="B104" s="65" t="n"/>
      <c r="C104" s="64" t="n"/>
      <c r="D104" s="64" t="n"/>
      <c r="E104" s="64" t="n"/>
      <c r="F104" s="65" t="n"/>
      <c r="G104" s="65" t="n"/>
      <c r="H104" s="64" t="n"/>
      <c r="I104" s="64" t="n"/>
      <c r="J104" s="65" t="n"/>
      <c r="K104" s="63" t="n"/>
      <c r="L104" s="63" t="n"/>
      <c r="M104" s="63" t="n"/>
      <c r="N104" s="64" t="n"/>
      <c r="O104" s="67" t="n"/>
      <c r="P104" s="72" t="str">
        <f>IF($B104="","",SUMIFS('PAID MEDIA ADS'!$G$5:$G$804,'PAID MEDIA ADS'!$C$5:$C$804,$B104))</f>
        <v/>
      </c>
      <c r="Q104" s="67" t="n"/>
      <c r="R104" s="72" t="str">
        <f>IF($B104="","",COUNTIFS('LEAD MQL TRACKER'!$C$5:$C$1004,$B104,'LEAD MQL TRACKER'!$AB$5:$AB$1004,1)+SUMIFS('EMAIL MARKETING'!$Q$5:$Q$804,'EMAIL MARKETING'!$C$5:$C$804,$B104)+SUMIFS('PAID MEDIA ADS'!$M$5:$M$804,'PAID MEDIA ADS'!$C$5:$C$804,$B104)+SUMIFS('LINKEDIN OUTREACH'!$N$5:$N$704,'LINKEDIN OUTREACH'!$C$5:$C$704,$B104))</f>
        <v/>
      </c>
      <c r="S104" s="67" t="n"/>
      <c r="T104" s="72" t="str">
        <f>IF($B104="","",COUNTIFS('LEAD MQL TRACKER'!$C$5:$C$1004,$B104,'LEAD MQL TRACKER'!$AD$5:$AD$1004,1)+SUMIFS('EMAIL MARKETING'!$R$5:$R$804,'EMAIL MARKETING'!$C$5:$C$804,$B104)+SUMIFS('PAID MEDIA ADS'!$N$5:$N$804,'PAID MEDIA ADS'!$C$5:$C$804,$B104)+SUMIFS('LINKEDIN OUTREACH'!$O$5:$O$704,'LINKEDIN OUTREACH'!$C$5:$C$704,$B104))</f>
        <v/>
      </c>
      <c r="U104" s="67" t="n"/>
      <c r="V104" s="72" t="str">
        <f>IF($B104="","",COUNTIFS('LEAD MQL TRACKER'!$C$5:$C$1004,$B104,'LEAD MQL TRACKER'!$AE$5:$AE$1004,1))</f>
        <v/>
      </c>
      <c r="W104" s="72" t="str">
        <f>IF($B104="","",COUNTIFS('LEAD MQL TRACKER'!$C$5:$C$1004,$B104,'LEAD MQL TRACKER'!$AC$5:$AC$1004,1)+SUMIFS('LINKEDIN OUTREACH'!$M$5:$M$704,'LINKEDIN OUTREACH'!$C$5:$C$704,$B104))</f>
        <v/>
      </c>
      <c r="X104" s="72" t="str">
        <f>IF($B104="","",SUMIFS('EMAIL MARKETING'!$O$5:$O$804,'EMAIL MARKETING'!$C$5:$C$804,$B104)+SUMIFS('LINKEDIN OUTREACH'!$K$5:$K$704,'LINKEDIN OUTREACH'!$C$5:$C$704,$B104))</f>
        <v/>
      </c>
      <c r="Y104" s="73" t="str">
        <f>IF(ISNUMBER($R104),IF($R104&gt;0,$T104/$R104,""),"")</f>
        <v/>
      </c>
      <c r="Z104" s="72" t="str">
        <f>IF(AND(ISNUMBER($P104),ISNUMBER($R104)),IF(AND($P104&gt;0,$R104&gt;0),$P104/$R104,""),"")</f>
        <v/>
      </c>
      <c r="AA104" s="71" t="str">
        <f>IF($B104="","",IF(OR($N104="Live",$N104="Optimizing",$N104="Paused",$N104="Completed"),IF(ISNUMBER($AI104),IF($AI104&gt;=1,"Ahead",IF($AI104&gt;=OnTrackPct,"On Track",IF($AI104&gt;=WatchPct,"Behind","At Risk"))),"No Target Set"),"Not Live"))</f>
        <v/>
      </c>
      <c r="AB104" s="65" t="n"/>
      <c r="AC104" s="65" t="n"/>
      <c r="AD104" s="65" t="n"/>
      <c r="AE104" s="67" t="n"/>
      <c r="AF104" s="67" t="n"/>
      <c r="AG104" s="63" t="n"/>
      <c r="AH104" s="74">
        <f>IF($N104="Completed",1,IF(AND(ISNUMBER($K104),ISNUMBER($L104)),IF($L104&gt;$K104,MIN(1,MAX(0.05,(ReportDate-$K104)/($L104-$K104))),1),1))</f>
        <v>1</v>
      </c>
      <c r="AI104" s="70" t="str">
        <f>IF($B104="","",IF(AND(ISNUMBER($Q104),$Q104&gt;0),$R104/($Q104*$AH104),""))</f>
        <v/>
      </c>
      <c r="AJ104" s="71" t="str">
        <f>IF(ISNUMBER($K104),YEAR($K104)&amp;"-"&amp;TEXT(MONTH($K104),"00"),"")</f>
        <v/>
      </c>
      <c r="AK104" s="71">
        <f>IF($B104="",0,IF(AND(OR(fClient="All",$A104=fClient),OR(fCampaign="All",$B104=fCampaign),OR(fTeam="All",$I104=fTeam),OR(fChannel="All",$H104=fChannel),OR(fCStatus="All",$N104=fCStatus)),1,0))</f>
        <v>0</v>
      </c>
      <c r="AL104" s="71">
        <f>IF($B104="",0,IF(AND(OR(fClient="All",$A104=fClient),OR(fCampaign="All",$B104=fCampaign),OR(fTeam="All",$I104=fTeam),OR(fChannel="All",$H104=fChannel)),1,0))</f>
        <v>0</v>
      </c>
      <c r="AM104" s="71">
        <f>IF(OR($N104="Live",$N104="Optimizing"),1,0)</f>
        <v>0</v>
      </c>
      <c r="AN104" s="71">
        <f>IF(OR($N104="Live",$N104="Optimizing",$N104="Paused",$N104="Completed"),1,0)</f>
        <v>0</v>
      </c>
      <c r="AO104" s="71">
        <f>IF(AND($AM104=1,ISNUMBER($L104),NOT(ISNUMBER($M104))),IF($L104&lt;ReportDate,1,0),0)</f>
        <v>0</v>
      </c>
      <c r="AP104" s="71">
        <f>IF($AM104=1,IF(ISNUMBER($AG104),IF(ReportDate-$AG104&gt;CampStaleDays,1,0),1),0)</f>
        <v>0</v>
      </c>
      <c r="AQ104" s="71">
        <f>IF(AND($AM104=1,OR($AA104="Behind",$AA104="At Risk")),1,0)</f>
        <v>0</v>
      </c>
      <c r="AR104" s="71">
        <f>IF(AND($AM104=1,OR($AA104="Ahead",$AA104="On Track")),1,0)</f>
        <v>0</v>
      </c>
      <c r="AS104" s="71">
        <f>IF(OR($AQ104=1,$AP104=1,$AO104=1),1,0)</f>
        <v>0</v>
      </c>
      <c r="AT104" s="71" t="str">
        <f>IF($AS104=1,TRIM(IF($AQ104=1,"Low performance. ","")&amp;IF($AP104=1,"No recent update. ","")&amp;IF($AO104=1,"Past planned end. ","")),"")</f>
        <v/>
      </c>
      <c r="AU104" s="71" t="str">
        <f>IF(AND($AS104=1,$AL104=1),ROW(),"")</f>
        <v/>
      </c>
      <c r="AV104" s="71" t="str">
        <f>IF(AND($AQ104=1,$AL104=1),ROW(),"")</f>
        <v/>
      </c>
      <c r="AW104" s="71" t="str">
        <f>IF(AND($AP104=1,$AL104=1),ROW(),"")</f>
        <v/>
      </c>
      <c r="AX104" s="71" t="str">
        <f>IF(AND($AR104=1,$AL104=1),ROW(),"")</f>
        <v/>
      </c>
      <c r="AY104" s="71">
        <f>IF(AND($B104&lt;&gt;"",$A104=TCL_Client),1,0)</f>
        <v>0</v>
      </c>
      <c r="AZ104" s="71" t="str">
        <f>IF($AY104=1,ROW(),"")</f>
        <v/>
      </c>
      <c r="BA104" s="71">
        <f>IF(AND($B104&lt;&gt;"",$A104=MECCA_Client),1,0)</f>
        <v>0</v>
      </c>
      <c r="BB104" s="71" t="str">
        <f>IF($BA104=1,ROW(),"")</f>
        <v/>
      </c>
    </row>
    <row r="105">
      <c r="A105" s="64" t="n"/>
      <c r="B105" s="65" t="n"/>
      <c r="C105" s="64" t="n"/>
      <c r="D105" s="64" t="n"/>
      <c r="E105" s="64" t="n"/>
      <c r="F105" s="65" t="n"/>
      <c r="G105" s="65" t="n"/>
      <c r="H105" s="64" t="n"/>
      <c r="I105" s="64" t="n"/>
      <c r="J105" s="65" t="n"/>
      <c r="K105" s="63" t="n"/>
      <c r="L105" s="63" t="n"/>
      <c r="M105" s="63" t="n"/>
      <c r="N105" s="64" t="n"/>
      <c r="O105" s="67" t="n"/>
      <c r="P105" s="72" t="str">
        <f>IF($B105="","",SUMIFS('PAID MEDIA ADS'!$G$5:$G$804,'PAID MEDIA ADS'!$C$5:$C$804,$B105))</f>
        <v/>
      </c>
      <c r="Q105" s="67" t="n"/>
      <c r="R105" s="72" t="str">
        <f>IF($B105="","",COUNTIFS('LEAD MQL TRACKER'!$C$5:$C$1004,$B105,'LEAD MQL TRACKER'!$AB$5:$AB$1004,1)+SUMIFS('EMAIL MARKETING'!$Q$5:$Q$804,'EMAIL MARKETING'!$C$5:$C$804,$B105)+SUMIFS('PAID MEDIA ADS'!$M$5:$M$804,'PAID MEDIA ADS'!$C$5:$C$804,$B105)+SUMIFS('LINKEDIN OUTREACH'!$N$5:$N$704,'LINKEDIN OUTREACH'!$C$5:$C$704,$B105))</f>
        <v/>
      </c>
      <c r="S105" s="67" t="n"/>
      <c r="T105" s="72" t="str">
        <f>IF($B105="","",COUNTIFS('LEAD MQL TRACKER'!$C$5:$C$1004,$B105,'LEAD MQL TRACKER'!$AD$5:$AD$1004,1)+SUMIFS('EMAIL MARKETING'!$R$5:$R$804,'EMAIL MARKETING'!$C$5:$C$804,$B105)+SUMIFS('PAID MEDIA ADS'!$N$5:$N$804,'PAID MEDIA ADS'!$C$5:$C$804,$B105)+SUMIFS('LINKEDIN OUTREACH'!$O$5:$O$704,'LINKEDIN OUTREACH'!$C$5:$C$704,$B105))</f>
        <v/>
      </c>
      <c r="U105" s="67" t="n"/>
      <c r="V105" s="72" t="str">
        <f>IF($B105="","",COUNTIFS('LEAD MQL TRACKER'!$C$5:$C$1004,$B105,'LEAD MQL TRACKER'!$AE$5:$AE$1004,1))</f>
        <v/>
      </c>
      <c r="W105" s="72" t="str">
        <f>IF($B105="","",COUNTIFS('LEAD MQL TRACKER'!$C$5:$C$1004,$B105,'LEAD MQL TRACKER'!$AC$5:$AC$1004,1)+SUMIFS('LINKEDIN OUTREACH'!$M$5:$M$704,'LINKEDIN OUTREACH'!$C$5:$C$704,$B105))</f>
        <v/>
      </c>
      <c r="X105" s="72" t="str">
        <f>IF($B105="","",SUMIFS('EMAIL MARKETING'!$O$5:$O$804,'EMAIL MARKETING'!$C$5:$C$804,$B105)+SUMIFS('LINKEDIN OUTREACH'!$K$5:$K$704,'LINKEDIN OUTREACH'!$C$5:$C$704,$B105))</f>
        <v/>
      </c>
      <c r="Y105" s="73" t="str">
        <f>IF(ISNUMBER($R105),IF($R105&gt;0,$T105/$R105,""),"")</f>
        <v/>
      </c>
      <c r="Z105" s="72" t="str">
        <f>IF(AND(ISNUMBER($P105),ISNUMBER($R105)),IF(AND($P105&gt;0,$R105&gt;0),$P105/$R105,""),"")</f>
        <v/>
      </c>
      <c r="AA105" s="71" t="str">
        <f>IF($B105="","",IF(OR($N105="Live",$N105="Optimizing",$N105="Paused",$N105="Completed"),IF(ISNUMBER($AI105),IF($AI105&gt;=1,"Ahead",IF($AI105&gt;=OnTrackPct,"On Track",IF($AI105&gt;=WatchPct,"Behind","At Risk"))),"No Target Set"),"Not Live"))</f>
        <v/>
      </c>
      <c r="AB105" s="65" t="n"/>
      <c r="AC105" s="65" t="n"/>
      <c r="AD105" s="65" t="n"/>
      <c r="AE105" s="67" t="n"/>
      <c r="AF105" s="67" t="n"/>
      <c r="AG105" s="63" t="n"/>
      <c r="AH105" s="74">
        <f>IF($N105="Completed",1,IF(AND(ISNUMBER($K105),ISNUMBER($L105)),IF($L105&gt;$K105,MIN(1,MAX(0.05,(ReportDate-$K105)/($L105-$K105))),1),1))</f>
        <v>1</v>
      </c>
      <c r="AI105" s="70" t="str">
        <f>IF($B105="","",IF(AND(ISNUMBER($Q105),$Q105&gt;0),$R105/($Q105*$AH105),""))</f>
        <v/>
      </c>
      <c r="AJ105" s="71" t="str">
        <f>IF(ISNUMBER($K105),YEAR($K105)&amp;"-"&amp;TEXT(MONTH($K105),"00"),"")</f>
        <v/>
      </c>
      <c r="AK105" s="71">
        <f>IF($B105="",0,IF(AND(OR(fClient="All",$A105=fClient),OR(fCampaign="All",$B105=fCampaign),OR(fTeam="All",$I105=fTeam),OR(fChannel="All",$H105=fChannel),OR(fCStatus="All",$N105=fCStatus)),1,0))</f>
        <v>0</v>
      </c>
      <c r="AL105" s="71">
        <f>IF($B105="",0,IF(AND(OR(fClient="All",$A105=fClient),OR(fCampaign="All",$B105=fCampaign),OR(fTeam="All",$I105=fTeam),OR(fChannel="All",$H105=fChannel)),1,0))</f>
        <v>0</v>
      </c>
      <c r="AM105" s="71">
        <f>IF(OR($N105="Live",$N105="Optimizing"),1,0)</f>
        <v>0</v>
      </c>
      <c r="AN105" s="71">
        <f>IF(OR($N105="Live",$N105="Optimizing",$N105="Paused",$N105="Completed"),1,0)</f>
        <v>0</v>
      </c>
      <c r="AO105" s="71">
        <f>IF(AND($AM105=1,ISNUMBER($L105),NOT(ISNUMBER($M105))),IF($L105&lt;ReportDate,1,0),0)</f>
        <v>0</v>
      </c>
      <c r="AP105" s="71">
        <f>IF($AM105=1,IF(ISNUMBER($AG105),IF(ReportDate-$AG105&gt;CampStaleDays,1,0),1),0)</f>
        <v>0</v>
      </c>
      <c r="AQ105" s="71">
        <f>IF(AND($AM105=1,OR($AA105="Behind",$AA105="At Risk")),1,0)</f>
        <v>0</v>
      </c>
      <c r="AR105" s="71">
        <f>IF(AND($AM105=1,OR($AA105="Ahead",$AA105="On Track")),1,0)</f>
        <v>0</v>
      </c>
      <c r="AS105" s="71">
        <f>IF(OR($AQ105=1,$AP105=1,$AO105=1),1,0)</f>
        <v>0</v>
      </c>
      <c r="AT105" s="71" t="str">
        <f>IF($AS105=1,TRIM(IF($AQ105=1,"Low performance. ","")&amp;IF($AP105=1,"No recent update. ","")&amp;IF($AO105=1,"Past planned end. ","")),"")</f>
        <v/>
      </c>
      <c r="AU105" s="71" t="str">
        <f>IF(AND($AS105=1,$AL105=1),ROW(),"")</f>
        <v/>
      </c>
      <c r="AV105" s="71" t="str">
        <f>IF(AND($AQ105=1,$AL105=1),ROW(),"")</f>
        <v/>
      </c>
      <c r="AW105" s="71" t="str">
        <f>IF(AND($AP105=1,$AL105=1),ROW(),"")</f>
        <v/>
      </c>
      <c r="AX105" s="71" t="str">
        <f>IF(AND($AR105=1,$AL105=1),ROW(),"")</f>
        <v/>
      </c>
      <c r="AY105" s="71">
        <f>IF(AND($B105&lt;&gt;"",$A105=TCL_Client),1,0)</f>
        <v>0</v>
      </c>
      <c r="AZ105" s="71" t="str">
        <f>IF($AY105=1,ROW(),"")</f>
        <v/>
      </c>
      <c r="BA105" s="71">
        <f>IF(AND($B105&lt;&gt;"",$A105=MECCA_Client),1,0)</f>
        <v>0</v>
      </c>
      <c r="BB105" s="71" t="str">
        <f>IF($BA105=1,ROW(),"")</f>
        <v/>
      </c>
    </row>
    <row r="106">
      <c r="A106" s="64" t="n"/>
      <c r="B106" s="65" t="n"/>
      <c r="C106" s="64" t="n"/>
      <c r="D106" s="64" t="n"/>
      <c r="E106" s="64" t="n"/>
      <c r="F106" s="65" t="n"/>
      <c r="G106" s="65" t="n"/>
      <c r="H106" s="64" t="n"/>
      <c r="I106" s="64" t="n"/>
      <c r="J106" s="65" t="n"/>
      <c r="K106" s="63" t="n"/>
      <c r="L106" s="63" t="n"/>
      <c r="M106" s="63" t="n"/>
      <c r="N106" s="64" t="n"/>
      <c r="O106" s="67" t="n"/>
      <c r="P106" s="72" t="str">
        <f>IF($B106="","",SUMIFS('PAID MEDIA ADS'!$G$5:$G$804,'PAID MEDIA ADS'!$C$5:$C$804,$B106))</f>
        <v/>
      </c>
      <c r="Q106" s="67" t="n"/>
      <c r="R106" s="72" t="str">
        <f>IF($B106="","",COUNTIFS('LEAD MQL TRACKER'!$C$5:$C$1004,$B106,'LEAD MQL TRACKER'!$AB$5:$AB$1004,1)+SUMIFS('EMAIL MARKETING'!$Q$5:$Q$804,'EMAIL MARKETING'!$C$5:$C$804,$B106)+SUMIFS('PAID MEDIA ADS'!$M$5:$M$804,'PAID MEDIA ADS'!$C$5:$C$804,$B106)+SUMIFS('LINKEDIN OUTREACH'!$N$5:$N$704,'LINKEDIN OUTREACH'!$C$5:$C$704,$B106))</f>
        <v/>
      </c>
      <c r="S106" s="67" t="n"/>
      <c r="T106" s="72" t="str">
        <f>IF($B106="","",COUNTIFS('LEAD MQL TRACKER'!$C$5:$C$1004,$B106,'LEAD MQL TRACKER'!$AD$5:$AD$1004,1)+SUMIFS('EMAIL MARKETING'!$R$5:$R$804,'EMAIL MARKETING'!$C$5:$C$804,$B106)+SUMIFS('PAID MEDIA ADS'!$N$5:$N$804,'PAID MEDIA ADS'!$C$5:$C$804,$B106)+SUMIFS('LINKEDIN OUTREACH'!$O$5:$O$704,'LINKEDIN OUTREACH'!$C$5:$C$704,$B106))</f>
        <v/>
      </c>
      <c r="U106" s="67" t="n"/>
      <c r="V106" s="72" t="str">
        <f>IF($B106="","",COUNTIFS('LEAD MQL TRACKER'!$C$5:$C$1004,$B106,'LEAD MQL TRACKER'!$AE$5:$AE$1004,1))</f>
        <v/>
      </c>
      <c r="W106" s="72" t="str">
        <f>IF($B106="","",COUNTIFS('LEAD MQL TRACKER'!$C$5:$C$1004,$B106,'LEAD MQL TRACKER'!$AC$5:$AC$1004,1)+SUMIFS('LINKEDIN OUTREACH'!$M$5:$M$704,'LINKEDIN OUTREACH'!$C$5:$C$704,$B106))</f>
        <v/>
      </c>
      <c r="X106" s="72" t="str">
        <f>IF($B106="","",SUMIFS('EMAIL MARKETING'!$O$5:$O$804,'EMAIL MARKETING'!$C$5:$C$804,$B106)+SUMIFS('LINKEDIN OUTREACH'!$K$5:$K$704,'LINKEDIN OUTREACH'!$C$5:$C$704,$B106))</f>
        <v/>
      </c>
      <c r="Y106" s="73" t="str">
        <f>IF(ISNUMBER($R106),IF($R106&gt;0,$T106/$R106,""),"")</f>
        <v/>
      </c>
      <c r="Z106" s="72" t="str">
        <f>IF(AND(ISNUMBER($P106),ISNUMBER($R106)),IF(AND($P106&gt;0,$R106&gt;0),$P106/$R106,""),"")</f>
        <v/>
      </c>
      <c r="AA106" s="71" t="str">
        <f>IF($B106="","",IF(OR($N106="Live",$N106="Optimizing",$N106="Paused",$N106="Completed"),IF(ISNUMBER($AI106),IF($AI106&gt;=1,"Ahead",IF($AI106&gt;=OnTrackPct,"On Track",IF($AI106&gt;=WatchPct,"Behind","At Risk"))),"No Target Set"),"Not Live"))</f>
        <v/>
      </c>
      <c r="AB106" s="65" t="n"/>
      <c r="AC106" s="65" t="n"/>
      <c r="AD106" s="65" t="n"/>
      <c r="AE106" s="67" t="n"/>
      <c r="AF106" s="67" t="n"/>
      <c r="AG106" s="63" t="n"/>
      <c r="AH106" s="74">
        <f>IF($N106="Completed",1,IF(AND(ISNUMBER($K106),ISNUMBER($L106)),IF($L106&gt;$K106,MIN(1,MAX(0.05,(ReportDate-$K106)/($L106-$K106))),1),1))</f>
        <v>1</v>
      </c>
      <c r="AI106" s="70" t="str">
        <f>IF($B106="","",IF(AND(ISNUMBER($Q106),$Q106&gt;0),$R106/($Q106*$AH106),""))</f>
        <v/>
      </c>
      <c r="AJ106" s="71" t="str">
        <f>IF(ISNUMBER($K106),YEAR($K106)&amp;"-"&amp;TEXT(MONTH($K106),"00"),"")</f>
        <v/>
      </c>
      <c r="AK106" s="71">
        <f>IF($B106="",0,IF(AND(OR(fClient="All",$A106=fClient),OR(fCampaign="All",$B106=fCampaign),OR(fTeam="All",$I106=fTeam),OR(fChannel="All",$H106=fChannel),OR(fCStatus="All",$N106=fCStatus)),1,0))</f>
        <v>0</v>
      </c>
      <c r="AL106" s="71">
        <f>IF($B106="",0,IF(AND(OR(fClient="All",$A106=fClient),OR(fCampaign="All",$B106=fCampaign),OR(fTeam="All",$I106=fTeam),OR(fChannel="All",$H106=fChannel)),1,0))</f>
        <v>0</v>
      </c>
      <c r="AM106" s="71">
        <f>IF(OR($N106="Live",$N106="Optimizing"),1,0)</f>
        <v>0</v>
      </c>
      <c r="AN106" s="71">
        <f>IF(OR($N106="Live",$N106="Optimizing",$N106="Paused",$N106="Completed"),1,0)</f>
        <v>0</v>
      </c>
      <c r="AO106" s="71">
        <f>IF(AND($AM106=1,ISNUMBER($L106),NOT(ISNUMBER($M106))),IF($L106&lt;ReportDate,1,0),0)</f>
        <v>0</v>
      </c>
      <c r="AP106" s="71">
        <f>IF($AM106=1,IF(ISNUMBER($AG106),IF(ReportDate-$AG106&gt;CampStaleDays,1,0),1),0)</f>
        <v>0</v>
      </c>
      <c r="AQ106" s="71">
        <f>IF(AND($AM106=1,OR($AA106="Behind",$AA106="At Risk")),1,0)</f>
        <v>0</v>
      </c>
      <c r="AR106" s="71">
        <f>IF(AND($AM106=1,OR($AA106="Ahead",$AA106="On Track")),1,0)</f>
        <v>0</v>
      </c>
      <c r="AS106" s="71">
        <f>IF(OR($AQ106=1,$AP106=1,$AO106=1),1,0)</f>
        <v>0</v>
      </c>
      <c r="AT106" s="71" t="str">
        <f>IF($AS106=1,TRIM(IF($AQ106=1,"Low performance. ","")&amp;IF($AP106=1,"No recent update. ","")&amp;IF($AO106=1,"Past planned end. ","")),"")</f>
        <v/>
      </c>
      <c r="AU106" s="71" t="str">
        <f>IF(AND($AS106=1,$AL106=1),ROW(),"")</f>
        <v/>
      </c>
      <c r="AV106" s="71" t="str">
        <f>IF(AND($AQ106=1,$AL106=1),ROW(),"")</f>
        <v/>
      </c>
      <c r="AW106" s="71" t="str">
        <f>IF(AND($AP106=1,$AL106=1),ROW(),"")</f>
        <v/>
      </c>
      <c r="AX106" s="71" t="str">
        <f>IF(AND($AR106=1,$AL106=1),ROW(),"")</f>
        <v/>
      </c>
      <c r="AY106" s="71">
        <f>IF(AND($B106&lt;&gt;"",$A106=TCL_Client),1,0)</f>
        <v>0</v>
      </c>
      <c r="AZ106" s="71" t="str">
        <f>IF($AY106=1,ROW(),"")</f>
        <v/>
      </c>
      <c r="BA106" s="71">
        <f>IF(AND($B106&lt;&gt;"",$A106=MECCA_Client),1,0)</f>
        <v>0</v>
      </c>
      <c r="BB106" s="71" t="str">
        <f>IF($BA106=1,ROW(),"")</f>
        <v/>
      </c>
    </row>
    <row r="107">
      <c r="A107" s="64" t="n"/>
      <c r="B107" s="65" t="n"/>
      <c r="C107" s="64" t="n"/>
      <c r="D107" s="64" t="n"/>
      <c r="E107" s="64" t="n"/>
      <c r="F107" s="65" t="n"/>
      <c r="G107" s="65" t="n"/>
      <c r="H107" s="64" t="n"/>
      <c r="I107" s="64" t="n"/>
      <c r="J107" s="65" t="n"/>
      <c r="K107" s="63" t="n"/>
      <c r="L107" s="63" t="n"/>
      <c r="M107" s="63" t="n"/>
      <c r="N107" s="64" t="n"/>
      <c r="O107" s="67" t="n"/>
      <c r="P107" s="72" t="str">
        <f>IF($B107="","",SUMIFS('PAID MEDIA ADS'!$G$5:$G$804,'PAID MEDIA ADS'!$C$5:$C$804,$B107))</f>
        <v/>
      </c>
      <c r="Q107" s="67" t="n"/>
      <c r="R107" s="72" t="str">
        <f>IF($B107="","",COUNTIFS('LEAD MQL TRACKER'!$C$5:$C$1004,$B107,'LEAD MQL TRACKER'!$AB$5:$AB$1004,1)+SUMIFS('EMAIL MARKETING'!$Q$5:$Q$804,'EMAIL MARKETING'!$C$5:$C$804,$B107)+SUMIFS('PAID MEDIA ADS'!$M$5:$M$804,'PAID MEDIA ADS'!$C$5:$C$804,$B107)+SUMIFS('LINKEDIN OUTREACH'!$N$5:$N$704,'LINKEDIN OUTREACH'!$C$5:$C$704,$B107))</f>
        <v/>
      </c>
      <c r="S107" s="67" t="n"/>
      <c r="T107" s="72" t="str">
        <f>IF($B107="","",COUNTIFS('LEAD MQL TRACKER'!$C$5:$C$1004,$B107,'LEAD MQL TRACKER'!$AD$5:$AD$1004,1)+SUMIFS('EMAIL MARKETING'!$R$5:$R$804,'EMAIL MARKETING'!$C$5:$C$804,$B107)+SUMIFS('PAID MEDIA ADS'!$N$5:$N$804,'PAID MEDIA ADS'!$C$5:$C$804,$B107)+SUMIFS('LINKEDIN OUTREACH'!$O$5:$O$704,'LINKEDIN OUTREACH'!$C$5:$C$704,$B107))</f>
        <v/>
      </c>
      <c r="U107" s="67" t="n"/>
      <c r="V107" s="72" t="str">
        <f>IF($B107="","",COUNTIFS('LEAD MQL TRACKER'!$C$5:$C$1004,$B107,'LEAD MQL TRACKER'!$AE$5:$AE$1004,1))</f>
        <v/>
      </c>
      <c r="W107" s="72" t="str">
        <f>IF($B107="","",COUNTIFS('LEAD MQL TRACKER'!$C$5:$C$1004,$B107,'LEAD MQL TRACKER'!$AC$5:$AC$1004,1)+SUMIFS('LINKEDIN OUTREACH'!$M$5:$M$704,'LINKEDIN OUTREACH'!$C$5:$C$704,$B107))</f>
        <v/>
      </c>
      <c r="X107" s="72" t="str">
        <f>IF($B107="","",SUMIFS('EMAIL MARKETING'!$O$5:$O$804,'EMAIL MARKETING'!$C$5:$C$804,$B107)+SUMIFS('LINKEDIN OUTREACH'!$K$5:$K$704,'LINKEDIN OUTREACH'!$C$5:$C$704,$B107))</f>
        <v/>
      </c>
      <c r="Y107" s="73" t="str">
        <f>IF(ISNUMBER($R107),IF($R107&gt;0,$T107/$R107,""),"")</f>
        <v/>
      </c>
      <c r="Z107" s="72" t="str">
        <f>IF(AND(ISNUMBER($P107),ISNUMBER($R107)),IF(AND($P107&gt;0,$R107&gt;0),$P107/$R107,""),"")</f>
        <v/>
      </c>
      <c r="AA107" s="71" t="str">
        <f>IF($B107="","",IF(OR($N107="Live",$N107="Optimizing",$N107="Paused",$N107="Completed"),IF(ISNUMBER($AI107),IF($AI107&gt;=1,"Ahead",IF($AI107&gt;=OnTrackPct,"On Track",IF($AI107&gt;=WatchPct,"Behind","At Risk"))),"No Target Set"),"Not Live"))</f>
        <v/>
      </c>
      <c r="AB107" s="65" t="n"/>
      <c r="AC107" s="65" t="n"/>
      <c r="AD107" s="65" t="n"/>
      <c r="AE107" s="67" t="n"/>
      <c r="AF107" s="67" t="n"/>
      <c r="AG107" s="63" t="n"/>
      <c r="AH107" s="74">
        <f>IF($N107="Completed",1,IF(AND(ISNUMBER($K107),ISNUMBER($L107)),IF($L107&gt;$K107,MIN(1,MAX(0.05,(ReportDate-$K107)/($L107-$K107))),1),1))</f>
        <v>1</v>
      </c>
      <c r="AI107" s="70" t="str">
        <f>IF($B107="","",IF(AND(ISNUMBER($Q107),$Q107&gt;0),$R107/($Q107*$AH107),""))</f>
        <v/>
      </c>
      <c r="AJ107" s="71" t="str">
        <f>IF(ISNUMBER($K107),YEAR($K107)&amp;"-"&amp;TEXT(MONTH($K107),"00"),"")</f>
        <v/>
      </c>
      <c r="AK107" s="71">
        <f>IF($B107="",0,IF(AND(OR(fClient="All",$A107=fClient),OR(fCampaign="All",$B107=fCampaign),OR(fTeam="All",$I107=fTeam),OR(fChannel="All",$H107=fChannel),OR(fCStatus="All",$N107=fCStatus)),1,0))</f>
        <v>0</v>
      </c>
      <c r="AL107" s="71">
        <f>IF($B107="",0,IF(AND(OR(fClient="All",$A107=fClient),OR(fCampaign="All",$B107=fCampaign),OR(fTeam="All",$I107=fTeam),OR(fChannel="All",$H107=fChannel)),1,0))</f>
        <v>0</v>
      </c>
      <c r="AM107" s="71">
        <f>IF(OR($N107="Live",$N107="Optimizing"),1,0)</f>
        <v>0</v>
      </c>
      <c r="AN107" s="71">
        <f>IF(OR($N107="Live",$N107="Optimizing",$N107="Paused",$N107="Completed"),1,0)</f>
        <v>0</v>
      </c>
      <c r="AO107" s="71">
        <f>IF(AND($AM107=1,ISNUMBER($L107),NOT(ISNUMBER($M107))),IF($L107&lt;ReportDate,1,0),0)</f>
        <v>0</v>
      </c>
      <c r="AP107" s="71">
        <f>IF($AM107=1,IF(ISNUMBER($AG107),IF(ReportDate-$AG107&gt;CampStaleDays,1,0),1),0)</f>
        <v>0</v>
      </c>
      <c r="AQ107" s="71">
        <f>IF(AND($AM107=1,OR($AA107="Behind",$AA107="At Risk")),1,0)</f>
        <v>0</v>
      </c>
      <c r="AR107" s="71">
        <f>IF(AND($AM107=1,OR($AA107="Ahead",$AA107="On Track")),1,0)</f>
        <v>0</v>
      </c>
      <c r="AS107" s="71">
        <f>IF(OR($AQ107=1,$AP107=1,$AO107=1),1,0)</f>
        <v>0</v>
      </c>
      <c r="AT107" s="71" t="str">
        <f>IF($AS107=1,TRIM(IF($AQ107=1,"Low performance. ","")&amp;IF($AP107=1,"No recent update. ","")&amp;IF($AO107=1,"Past planned end. ","")),"")</f>
        <v/>
      </c>
      <c r="AU107" s="71" t="str">
        <f>IF(AND($AS107=1,$AL107=1),ROW(),"")</f>
        <v/>
      </c>
      <c r="AV107" s="71" t="str">
        <f>IF(AND($AQ107=1,$AL107=1),ROW(),"")</f>
        <v/>
      </c>
      <c r="AW107" s="71" t="str">
        <f>IF(AND($AP107=1,$AL107=1),ROW(),"")</f>
        <v/>
      </c>
      <c r="AX107" s="71" t="str">
        <f>IF(AND($AR107=1,$AL107=1),ROW(),"")</f>
        <v/>
      </c>
      <c r="AY107" s="71">
        <f>IF(AND($B107&lt;&gt;"",$A107=TCL_Client),1,0)</f>
        <v>0</v>
      </c>
      <c r="AZ107" s="71" t="str">
        <f>IF($AY107=1,ROW(),"")</f>
        <v/>
      </c>
      <c r="BA107" s="71">
        <f>IF(AND($B107&lt;&gt;"",$A107=MECCA_Client),1,0)</f>
        <v>0</v>
      </c>
      <c r="BB107" s="71" t="str">
        <f>IF($BA107=1,ROW(),"")</f>
        <v/>
      </c>
    </row>
    <row r="108">
      <c r="A108" s="64" t="n"/>
      <c r="B108" s="65" t="n"/>
      <c r="C108" s="64" t="n"/>
      <c r="D108" s="64" t="n"/>
      <c r="E108" s="64" t="n"/>
      <c r="F108" s="65" t="n"/>
      <c r="G108" s="65" t="n"/>
      <c r="H108" s="64" t="n"/>
      <c r="I108" s="64" t="n"/>
      <c r="J108" s="65" t="n"/>
      <c r="K108" s="63" t="n"/>
      <c r="L108" s="63" t="n"/>
      <c r="M108" s="63" t="n"/>
      <c r="N108" s="64" t="n"/>
      <c r="O108" s="67" t="n"/>
      <c r="P108" s="72" t="str">
        <f>IF($B108="","",SUMIFS('PAID MEDIA ADS'!$G$5:$G$804,'PAID MEDIA ADS'!$C$5:$C$804,$B108))</f>
        <v/>
      </c>
      <c r="Q108" s="67" t="n"/>
      <c r="R108" s="72" t="str">
        <f>IF($B108="","",COUNTIFS('LEAD MQL TRACKER'!$C$5:$C$1004,$B108,'LEAD MQL TRACKER'!$AB$5:$AB$1004,1)+SUMIFS('EMAIL MARKETING'!$Q$5:$Q$804,'EMAIL MARKETING'!$C$5:$C$804,$B108)+SUMIFS('PAID MEDIA ADS'!$M$5:$M$804,'PAID MEDIA ADS'!$C$5:$C$804,$B108)+SUMIFS('LINKEDIN OUTREACH'!$N$5:$N$704,'LINKEDIN OUTREACH'!$C$5:$C$704,$B108))</f>
        <v/>
      </c>
      <c r="S108" s="67" t="n"/>
      <c r="T108" s="72" t="str">
        <f>IF($B108="","",COUNTIFS('LEAD MQL TRACKER'!$C$5:$C$1004,$B108,'LEAD MQL TRACKER'!$AD$5:$AD$1004,1)+SUMIFS('EMAIL MARKETING'!$R$5:$R$804,'EMAIL MARKETING'!$C$5:$C$804,$B108)+SUMIFS('PAID MEDIA ADS'!$N$5:$N$804,'PAID MEDIA ADS'!$C$5:$C$804,$B108)+SUMIFS('LINKEDIN OUTREACH'!$O$5:$O$704,'LINKEDIN OUTREACH'!$C$5:$C$704,$B108))</f>
        <v/>
      </c>
      <c r="U108" s="67" t="n"/>
      <c r="V108" s="72" t="str">
        <f>IF($B108="","",COUNTIFS('LEAD MQL TRACKER'!$C$5:$C$1004,$B108,'LEAD MQL TRACKER'!$AE$5:$AE$1004,1))</f>
        <v/>
      </c>
      <c r="W108" s="72" t="str">
        <f>IF($B108="","",COUNTIFS('LEAD MQL TRACKER'!$C$5:$C$1004,$B108,'LEAD MQL TRACKER'!$AC$5:$AC$1004,1)+SUMIFS('LINKEDIN OUTREACH'!$M$5:$M$704,'LINKEDIN OUTREACH'!$C$5:$C$704,$B108))</f>
        <v/>
      </c>
      <c r="X108" s="72" t="str">
        <f>IF($B108="","",SUMIFS('EMAIL MARKETING'!$O$5:$O$804,'EMAIL MARKETING'!$C$5:$C$804,$B108)+SUMIFS('LINKEDIN OUTREACH'!$K$5:$K$704,'LINKEDIN OUTREACH'!$C$5:$C$704,$B108))</f>
        <v/>
      </c>
      <c r="Y108" s="73" t="str">
        <f>IF(ISNUMBER($R108),IF($R108&gt;0,$T108/$R108,""),"")</f>
        <v/>
      </c>
      <c r="Z108" s="72" t="str">
        <f>IF(AND(ISNUMBER($P108),ISNUMBER($R108)),IF(AND($P108&gt;0,$R108&gt;0),$P108/$R108,""),"")</f>
        <v/>
      </c>
      <c r="AA108" s="71" t="str">
        <f>IF($B108="","",IF(OR($N108="Live",$N108="Optimizing",$N108="Paused",$N108="Completed"),IF(ISNUMBER($AI108),IF($AI108&gt;=1,"Ahead",IF($AI108&gt;=OnTrackPct,"On Track",IF($AI108&gt;=WatchPct,"Behind","At Risk"))),"No Target Set"),"Not Live"))</f>
        <v/>
      </c>
      <c r="AB108" s="65" t="n"/>
      <c r="AC108" s="65" t="n"/>
      <c r="AD108" s="65" t="n"/>
      <c r="AE108" s="67" t="n"/>
      <c r="AF108" s="67" t="n"/>
      <c r="AG108" s="63" t="n"/>
      <c r="AH108" s="74">
        <f>IF($N108="Completed",1,IF(AND(ISNUMBER($K108),ISNUMBER($L108)),IF($L108&gt;$K108,MIN(1,MAX(0.05,(ReportDate-$K108)/($L108-$K108))),1),1))</f>
        <v>1</v>
      </c>
      <c r="AI108" s="70" t="str">
        <f>IF($B108="","",IF(AND(ISNUMBER($Q108),$Q108&gt;0),$R108/($Q108*$AH108),""))</f>
        <v/>
      </c>
      <c r="AJ108" s="71" t="str">
        <f>IF(ISNUMBER($K108),YEAR($K108)&amp;"-"&amp;TEXT(MONTH($K108),"00"),"")</f>
        <v/>
      </c>
      <c r="AK108" s="71">
        <f>IF($B108="",0,IF(AND(OR(fClient="All",$A108=fClient),OR(fCampaign="All",$B108=fCampaign),OR(fTeam="All",$I108=fTeam),OR(fChannel="All",$H108=fChannel),OR(fCStatus="All",$N108=fCStatus)),1,0))</f>
        <v>0</v>
      </c>
      <c r="AL108" s="71">
        <f>IF($B108="",0,IF(AND(OR(fClient="All",$A108=fClient),OR(fCampaign="All",$B108=fCampaign),OR(fTeam="All",$I108=fTeam),OR(fChannel="All",$H108=fChannel)),1,0))</f>
        <v>0</v>
      </c>
      <c r="AM108" s="71">
        <f>IF(OR($N108="Live",$N108="Optimizing"),1,0)</f>
        <v>0</v>
      </c>
      <c r="AN108" s="71">
        <f>IF(OR($N108="Live",$N108="Optimizing",$N108="Paused",$N108="Completed"),1,0)</f>
        <v>0</v>
      </c>
      <c r="AO108" s="71">
        <f>IF(AND($AM108=1,ISNUMBER($L108),NOT(ISNUMBER($M108))),IF($L108&lt;ReportDate,1,0),0)</f>
        <v>0</v>
      </c>
      <c r="AP108" s="71">
        <f>IF($AM108=1,IF(ISNUMBER($AG108),IF(ReportDate-$AG108&gt;CampStaleDays,1,0),1),0)</f>
        <v>0</v>
      </c>
      <c r="AQ108" s="71">
        <f>IF(AND($AM108=1,OR($AA108="Behind",$AA108="At Risk")),1,0)</f>
        <v>0</v>
      </c>
      <c r="AR108" s="71">
        <f>IF(AND($AM108=1,OR($AA108="Ahead",$AA108="On Track")),1,0)</f>
        <v>0</v>
      </c>
      <c r="AS108" s="71">
        <f>IF(OR($AQ108=1,$AP108=1,$AO108=1),1,0)</f>
        <v>0</v>
      </c>
      <c r="AT108" s="71" t="str">
        <f>IF($AS108=1,TRIM(IF($AQ108=1,"Low performance. ","")&amp;IF($AP108=1,"No recent update. ","")&amp;IF($AO108=1,"Past planned end. ","")),"")</f>
        <v/>
      </c>
      <c r="AU108" s="71" t="str">
        <f>IF(AND($AS108=1,$AL108=1),ROW(),"")</f>
        <v/>
      </c>
      <c r="AV108" s="71" t="str">
        <f>IF(AND($AQ108=1,$AL108=1),ROW(),"")</f>
        <v/>
      </c>
      <c r="AW108" s="71" t="str">
        <f>IF(AND($AP108=1,$AL108=1),ROW(),"")</f>
        <v/>
      </c>
      <c r="AX108" s="71" t="str">
        <f>IF(AND($AR108=1,$AL108=1),ROW(),"")</f>
        <v/>
      </c>
      <c r="AY108" s="71">
        <f>IF(AND($B108&lt;&gt;"",$A108=TCL_Client),1,0)</f>
        <v>0</v>
      </c>
      <c r="AZ108" s="71" t="str">
        <f>IF($AY108=1,ROW(),"")</f>
        <v/>
      </c>
      <c r="BA108" s="71">
        <f>IF(AND($B108&lt;&gt;"",$A108=MECCA_Client),1,0)</f>
        <v>0</v>
      </c>
      <c r="BB108" s="71" t="str">
        <f>IF($BA108=1,ROW(),"")</f>
        <v/>
      </c>
    </row>
    <row r="109">
      <c r="A109" s="64" t="n"/>
      <c r="B109" s="65" t="n"/>
      <c r="C109" s="64" t="n"/>
      <c r="D109" s="64" t="n"/>
      <c r="E109" s="64" t="n"/>
      <c r="F109" s="65" t="n"/>
      <c r="G109" s="65" t="n"/>
      <c r="H109" s="64" t="n"/>
      <c r="I109" s="64" t="n"/>
      <c r="J109" s="65" t="n"/>
      <c r="K109" s="63" t="n"/>
      <c r="L109" s="63" t="n"/>
      <c r="M109" s="63" t="n"/>
      <c r="N109" s="64" t="n"/>
      <c r="O109" s="67" t="n"/>
      <c r="P109" s="72" t="str">
        <f>IF($B109="","",SUMIFS('PAID MEDIA ADS'!$G$5:$G$804,'PAID MEDIA ADS'!$C$5:$C$804,$B109))</f>
        <v/>
      </c>
      <c r="Q109" s="67" t="n"/>
      <c r="R109" s="72" t="str">
        <f>IF($B109="","",COUNTIFS('LEAD MQL TRACKER'!$C$5:$C$1004,$B109,'LEAD MQL TRACKER'!$AB$5:$AB$1004,1)+SUMIFS('EMAIL MARKETING'!$Q$5:$Q$804,'EMAIL MARKETING'!$C$5:$C$804,$B109)+SUMIFS('PAID MEDIA ADS'!$M$5:$M$804,'PAID MEDIA ADS'!$C$5:$C$804,$B109)+SUMIFS('LINKEDIN OUTREACH'!$N$5:$N$704,'LINKEDIN OUTREACH'!$C$5:$C$704,$B109))</f>
        <v/>
      </c>
      <c r="S109" s="67" t="n"/>
      <c r="T109" s="72" t="str">
        <f>IF($B109="","",COUNTIFS('LEAD MQL TRACKER'!$C$5:$C$1004,$B109,'LEAD MQL TRACKER'!$AD$5:$AD$1004,1)+SUMIFS('EMAIL MARKETING'!$R$5:$R$804,'EMAIL MARKETING'!$C$5:$C$804,$B109)+SUMIFS('PAID MEDIA ADS'!$N$5:$N$804,'PAID MEDIA ADS'!$C$5:$C$804,$B109)+SUMIFS('LINKEDIN OUTREACH'!$O$5:$O$704,'LINKEDIN OUTREACH'!$C$5:$C$704,$B109))</f>
        <v/>
      </c>
      <c r="U109" s="67" t="n"/>
      <c r="V109" s="72" t="str">
        <f>IF($B109="","",COUNTIFS('LEAD MQL TRACKER'!$C$5:$C$1004,$B109,'LEAD MQL TRACKER'!$AE$5:$AE$1004,1))</f>
        <v/>
      </c>
      <c r="W109" s="72" t="str">
        <f>IF($B109="","",COUNTIFS('LEAD MQL TRACKER'!$C$5:$C$1004,$B109,'LEAD MQL TRACKER'!$AC$5:$AC$1004,1)+SUMIFS('LINKEDIN OUTREACH'!$M$5:$M$704,'LINKEDIN OUTREACH'!$C$5:$C$704,$B109))</f>
        <v/>
      </c>
      <c r="X109" s="72" t="str">
        <f>IF($B109="","",SUMIFS('EMAIL MARKETING'!$O$5:$O$804,'EMAIL MARKETING'!$C$5:$C$804,$B109)+SUMIFS('LINKEDIN OUTREACH'!$K$5:$K$704,'LINKEDIN OUTREACH'!$C$5:$C$704,$B109))</f>
        <v/>
      </c>
      <c r="Y109" s="73" t="str">
        <f>IF(ISNUMBER($R109),IF($R109&gt;0,$T109/$R109,""),"")</f>
        <v/>
      </c>
      <c r="Z109" s="72" t="str">
        <f>IF(AND(ISNUMBER($P109),ISNUMBER($R109)),IF(AND($P109&gt;0,$R109&gt;0),$P109/$R109,""),"")</f>
        <v/>
      </c>
      <c r="AA109" s="71" t="str">
        <f>IF($B109="","",IF(OR($N109="Live",$N109="Optimizing",$N109="Paused",$N109="Completed"),IF(ISNUMBER($AI109),IF($AI109&gt;=1,"Ahead",IF($AI109&gt;=OnTrackPct,"On Track",IF($AI109&gt;=WatchPct,"Behind","At Risk"))),"No Target Set"),"Not Live"))</f>
        <v/>
      </c>
      <c r="AB109" s="65" t="n"/>
      <c r="AC109" s="65" t="n"/>
      <c r="AD109" s="65" t="n"/>
      <c r="AE109" s="67" t="n"/>
      <c r="AF109" s="67" t="n"/>
      <c r="AG109" s="63" t="n"/>
      <c r="AH109" s="74">
        <f>IF($N109="Completed",1,IF(AND(ISNUMBER($K109),ISNUMBER($L109)),IF($L109&gt;$K109,MIN(1,MAX(0.05,(ReportDate-$K109)/($L109-$K109))),1),1))</f>
        <v>1</v>
      </c>
      <c r="AI109" s="70" t="str">
        <f>IF($B109="","",IF(AND(ISNUMBER($Q109),$Q109&gt;0),$R109/($Q109*$AH109),""))</f>
        <v/>
      </c>
      <c r="AJ109" s="71" t="str">
        <f>IF(ISNUMBER($K109),YEAR($K109)&amp;"-"&amp;TEXT(MONTH($K109),"00"),"")</f>
        <v/>
      </c>
      <c r="AK109" s="71">
        <f>IF($B109="",0,IF(AND(OR(fClient="All",$A109=fClient),OR(fCampaign="All",$B109=fCampaign),OR(fTeam="All",$I109=fTeam),OR(fChannel="All",$H109=fChannel),OR(fCStatus="All",$N109=fCStatus)),1,0))</f>
        <v>0</v>
      </c>
      <c r="AL109" s="71">
        <f>IF($B109="",0,IF(AND(OR(fClient="All",$A109=fClient),OR(fCampaign="All",$B109=fCampaign),OR(fTeam="All",$I109=fTeam),OR(fChannel="All",$H109=fChannel)),1,0))</f>
        <v>0</v>
      </c>
      <c r="AM109" s="71">
        <f>IF(OR($N109="Live",$N109="Optimizing"),1,0)</f>
        <v>0</v>
      </c>
      <c r="AN109" s="71">
        <f>IF(OR($N109="Live",$N109="Optimizing",$N109="Paused",$N109="Completed"),1,0)</f>
        <v>0</v>
      </c>
      <c r="AO109" s="71">
        <f>IF(AND($AM109=1,ISNUMBER($L109),NOT(ISNUMBER($M109))),IF($L109&lt;ReportDate,1,0),0)</f>
        <v>0</v>
      </c>
      <c r="AP109" s="71">
        <f>IF($AM109=1,IF(ISNUMBER($AG109),IF(ReportDate-$AG109&gt;CampStaleDays,1,0),1),0)</f>
        <v>0</v>
      </c>
      <c r="AQ109" s="71">
        <f>IF(AND($AM109=1,OR($AA109="Behind",$AA109="At Risk")),1,0)</f>
        <v>0</v>
      </c>
      <c r="AR109" s="71">
        <f>IF(AND($AM109=1,OR($AA109="Ahead",$AA109="On Track")),1,0)</f>
        <v>0</v>
      </c>
      <c r="AS109" s="71">
        <f>IF(OR($AQ109=1,$AP109=1,$AO109=1),1,0)</f>
        <v>0</v>
      </c>
      <c r="AT109" s="71" t="str">
        <f>IF($AS109=1,TRIM(IF($AQ109=1,"Low performance. ","")&amp;IF($AP109=1,"No recent update. ","")&amp;IF($AO109=1,"Past planned end. ","")),"")</f>
        <v/>
      </c>
      <c r="AU109" s="71" t="str">
        <f>IF(AND($AS109=1,$AL109=1),ROW(),"")</f>
        <v/>
      </c>
      <c r="AV109" s="71" t="str">
        <f>IF(AND($AQ109=1,$AL109=1),ROW(),"")</f>
        <v/>
      </c>
      <c r="AW109" s="71" t="str">
        <f>IF(AND($AP109=1,$AL109=1),ROW(),"")</f>
        <v/>
      </c>
      <c r="AX109" s="71" t="str">
        <f>IF(AND($AR109=1,$AL109=1),ROW(),"")</f>
        <v/>
      </c>
      <c r="AY109" s="71">
        <f>IF(AND($B109&lt;&gt;"",$A109=TCL_Client),1,0)</f>
        <v>0</v>
      </c>
      <c r="AZ109" s="71" t="str">
        <f>IF($AY109=1,ROW(),"")</f>
        <v/>
      </c>
      <c r="BA109" s="71">
        <f>IF(AND($B109&lt;&gt;"",$A109=MECCA_Client),1,0)</f>
        <v>0</v>
      </c>
      <c r="BB109" s="71" t="str">
        <f>IF($BA109=1,ROW(),"")</f>
        <v/>
      </c>
    </row>
    <row r="110">
      <c r="A110" s="64" t="n"/>
      <c r="B110" s="65" t="n"/>
      <c r="C110" s="64" t="n"/>
      <c r="D110" s="64" t="n"/>
      <c r="E110" s="64" t="n"/>
      <c r="F110" s="65" t="n"/>
      <c r="G110" s="65" t="n"/>
      <c r="H110" s="64" t="n"/>
      <c r="I110" s="64" t="n"/>
      <c r="J110" s="65" t="n"/>
      <c r="K110" s="63" t="n"/>
      <c r="L110" s="63" t="n"/>
      <c r="M110" s="63" t="n"/>
      <c r="N110" s="64" t="n"/>
      <c r="O110" s="67" t="n"/>
      <c r="P110" s="72" t="str">
        <f>IF($B110="","",SUMIFS('PAID MEDIA ADS'!$G$5:$G$804,'PAID MEDIA ADS'!$C$5:$C$804,$B110))</f>
        <v/>
      </c>
      <c r="Q110" s="67" t="n"/>
      <c r="R110" s="72" t="str">
        <f>IF($B110="","",COUNTIFS('LEAD MQL TRACKER'!$C$5:$C$1004,$B110,'LEAD MQL TRACKER'!$AB$5:$AB$1004,1)+SUMIFS('EMAIL MARKETING'!$Q$5:$Q$804,'EMAIL MARKETING'!$C$5:$C$804,$B110)+SUMIFS('PAID MEDIA ADS'!$M$5:$M$804,'PAID MEDIA ADS'!$C$5:$C$804,$B110)+SUMIFS('LINKEDIN OUTREACH'!$N$5:$N$704,'LINKEDIN OUTREACH'!$C$5:$C$704,$B110))</f>
        <v/>
      </c>
      <c r="S110" s="67" t="n"/>
      <c r="T110" s="72" t="str">
        <f>IF($B110="","",COUNTIFS('LEAD MQL TRACKER'!$C$5:$C$1004,$B110,'LEAD MQL TRACKER'!$AD$5:$AD$1004,1)+SUMIFS('EMAIL MARKETING'!$R$5:$R$804,'EMAIL MARKETING'!$C$5:$C$804,$B110)+SUMIFS('PAID MEDIA ADS'!$N$5:$N$804,'PAID MEDIA ADS'!$C$5:$C$804,$B110)+SUMIFS('LINKEDIN OUTREACH'!$O$5:$O$704,'LINKEDIN OUTREACH'!$C$5:$C$704,$B110))</f>
        <v/>
      </c>
      <c r="U110" s="67" t="n"/>
      <c r="V110" s="72" t="str">
        <f>IF($B110="","",COUNTIFS('LEAD MQL TRACKER'!$C$5:$C$1004,$B110,'LEAD MQL TRACKER'!$AE$5:$AE$1004,1))</f>
        <v/>
      </c>
      <c r="W110" s="72" t="str">
        <f>IF($B110="","",COUNTIFS('LEAD MQL TRACKER'!$C$5:$C$1004,$B110,'LEAD MQL TRACKER'!$AC$5:$AC$1004,1)+SUMIFS('LINKEDIN OUTREACH'!$M$5:$M$704,'LINKEDIN OUTREACH'!$C$5:$C$704,$B110))</f>
        <v/>
      </c>
      <c r="X110" s="72" t="str">
        <f>IF($B110="","",SUMIFS('EMAIL MARKETING'!$O$5:$O$804,'EMAIL MARKETING'!$C$5:$C$804,$B110)+SUMIFS('LINKEDIN OUTREACH'!$K$5:$K$704,'LINKEDIN OUTREACH'!$C$5:$C$704,$B110))</f>
        <v/>
      </c>
      <c r="Y110" s="73" t="str">
        <f>IF(ISNUMBER($R110),IF($R110&gt;0,$T110/$R110,""),"")</f>
        <v/>
      </c>
      <c r="Z110" s="72" t="str">
        <f>IF(AND(ISNUMBER($P110),ISNUMBER($R110)),IF(AND($P110&gt;0,$R110&gt;0),$P110/$R110,""),"")</f>
        <v/>
      </c>
      <c r="AA110" s="71" t="str">
        <f>IF($B110="","",IF(OR($N110="Live",$N110="Optimizing",$N110="Paused",$N110="Completed"),IF(ISNUMBER($AI110),IF($AI110&gt;=1,"Ahead",IF($AI110&gt;=OnTrackPct,"On Track",IF($AI110&gt;=WatchPct,"Behind","At Risk"))),"No Target Set"),"Not Live"))</f>
        <v/>
      </c>
      <c r="AB110" s="65" t="n"/>
      <c r="AC110" s="65" t="n"/>
      <c r="AD110" s="65" t="n"/>
      <c r="AE110" s="67" t="n"/>
      <c r="AF110" s="67" t="n"/>
      <c r="AG110" s="63" t="n"/>
      <c r="AH110" s="74">
        <f>IF($N110="Completed",1,IF(AND(ISNUMBER($K110),ISNUMBER($L110)),IF($L110&gt;$K110,MIN(1,MAX(0.05,(ReportDate-$K110)/($L110-$K110))),1),1))</f>
        <v>1</v>
      </c>
      <c r="AI110" s="70" t="str">
        <f>IF($B110="","",IF(AND(ISNUMBER($Q110),$Q110&gt;0),$R110/($Q110*$AH110),""))</f>
        <v/>
      </c>
      <c r="AJ110" s="71" t="str">
        <f>IF(ISNUMBER($K110),YEAR($K110)&amp;"-"&amp;TEXT(MONTH($K110),"00"),"")</f>
        <v/>
      </c>
      <c r="AK110" s="71">
        <f>IF($B110="",0,IF(AND(OR(fClient="All",$A110=fClient),OR(fCampaign="All",$B110=fCampaign),OR(fTeam="All",$I110=fTeam),OR(fChannel="All",$H110=fChannel),OR(fCStatus="All",$N110=fCStatus)),1,0))</f>
        <v>0</v>
      </c>
      <c r="AL110" s="71">
        <f>IF($B110="",0,IF(AND(OR(fClient="All",$A110=fClient),OR(fCampaign="All",$B110=fCampaign),OR(fTeam="All",$I110=fTeam),OR(fChannel="All",$H110=fChannel)),1,0))</f>
        <v>0</v>
      </c>
      <c r="AM110" s="71">
        <f>IF(OR($N110="Live",$N110="Optimizing"),1,0)</f>
        <v>0</v>
      </c>
      <c r="AN110" s="71">
        <f>IF(OR($N110="Live",$N110="Optimizing",$N110="Paused",$N110="Completed"),1,0)</f>
        <v>0</v>
      </c>
      <c r="AO110" s="71">
        <f>IF(AND($AM110=1,ISNUMBER($L110),NOT(ISNUMBER($M110))),IF($L110&lt;ReportDate,1,0),0)</f>
        <v>0</v>
      </c>
      <c r="AP110" s="71">
        <f>IF($AM110=1,IF(ISNUMBER($AG110),IF(ReportDate-$AG110&gt;CampStaleDays,1,0),1),0)</f>
        <v>0</v>
      </c>
      <c r="AQ110" s="71">
        <f>IF(AND($AM110=1,OR($AA110="Behind",$AA110="At Risk")),1,0)</f>
        <v>0</v>
      </c>
      <c r="AR110" s="71">
        <f>IF(AND($AM110=1,OR($AA110="Ahead",$AA110="On Track")),1,0)</f>
        <v>0</v>
      </c>
      <c r="AS110" s="71">
        <f>IF(OR($AQ110=1,$AP110=1,$AO110=1),1,0)</f>
        <v>0</v>
      </c>
      <c r="AT110" s="71" t="str">
        <f>IF($AS110=1,TRIM(IF($AQ110=1,"Low performance. ","")&amp;IF($AP110=1,"No recent update. ","")&amp;IF($AO110=1,"Past planned end. ","")),"")</f>
        <v/>
      </c>
      <c r="AU110" s="71" t="str">
        <f>IF(AND($AS110=1,$AL110=1),ROW(),"")</f>
        <v/>
      </c>
      <c r="AV110" s="71" t="str">
        <f>IF(AND($AQ110=1,$AL110=1),ROW(),"")</f>
        <v/>
      </c>
      <c r="AW110" s="71" t="str">
        <f>IF(AND($AP110=1,$AL110=1),ROW(),"")</f>
        <v/>
      </c>
      <c r="AX110" s="71" t="str">
        <f>IF(AND($AR110=1,$AL110=1),ROW(),"")</f>
        <v/>
      </c>
      <c r="AY110" s="71">
        <f>IF(AND($B110&lt;&gt;"",$A110=TCL_Client),1,0)</f>
        <v>0</v>
      </c>
      <c r="AZ110" s="71" t="str">
        <f>IF($AY110=1,ROW(),"")</f>
        <v/>
      </c>
      <c r="BA110" s="71">
        <f>IF(AND($B110&lt;&gt;"",$A110=MECCA_Client),1,0)</f>
        <v>0</v>
      </c>
      <c r="BB110" s="71" t="str">
        <f>IF($BA110=1,ROW(),"")</f>
        <v/>
      </c>
    </row>
    <row r="111">
      <c r="A111" s="64" t="n"/>
      <c r="B111" s="65" t="n"/>
      <c r="C111" s="64" t="n"/>
      <c r="D111" s="64" t="n"/>
      <c r="E111" s="64" t="n"/>
      <c r="F111" s="65" t="n"/>
      <c r="G111" s="65" t="n"/>
      <c r="H111" s="64" t="n"/>
      <c r="I111" s="64" t="n"/>
      <c r="J111" s="65" t="n"/>
      <c r="K111" s="63" t="n"/>
      <c r="L111" s="63" t="n"/>
      <c r="M111" s="63" t="n"/>
      <c r="N111" s="64" t="n"/>
      <c r="O111" s="67" t="n"/>
      <c r="P111" s="72" t="str">
        <f>IF($B111="","",SUMIFS('PAID MEDIA ADS'!$G$5:$G$804,'PAID MEDIA ADS'!$C$5:$C$804,$B111))</f>
        <v/>
      </c>
      <c r="Q111" s="67" t="n"/>
      <c r="R111" s="72" t="str">
        <f>IF($B111="","",COUNTIFS('LEAD MQL TRACKER'!$C$5:$C$1004,$B111,'LEAD MQL TRACKER'!$AB$5:$AB$1004,1)+SUMIFS('EMAIL MARKETING'!$Q$5:$Q$804,'EMAIL MARKETING'!$C$5:$C$804,$B111)+SUMIFS('PAID MEDIA ADS'!$M$5:$M$804,'PAID MEDIA ADS'!$C$5:$C$804,$B111)+SUMIFS('LINKEDIN OUTREACH'!$N$5:$N$704,'LINKEDIN OUTREACH'!$C$5:$C$704,$B111))</f>
        <v/>
      </c>
      <c r="S111" s="67" t="n"/>
      <c r="T111" s="72" t="str">
        <f>IF($B111="","",COUNTIFS('LEAD MQL TRACKER'!$C$5:$C$1004,$B111,'LEAD MQL TRACKER'!$AD$5:$AD$1004,1)+SUMIFS('EMAIL MARKETING'!$R$5:$R$804,'EMAIL MARKETING'!$C$5:$C$804,$B111)+SUMIFS('PAID MEDIA ADS'!$N$5:$N$804,'PAID MEDIA ADS'!$C$5:$C$804,$B111)+SUMIFS('LINKEDIN OUTREACH'!$O$5:$O$704,'LINKEDIN OUTREACH'!$C$5:$C$704,$B111))</f>
        <v/>
      </c>
      <c r="U111" s="67" t="n"/>
      <c r="V111" s="72" t="str">
        <f>IF($B111="","",COUNTIFS('LEAD MQL TRACKER'!$C$5:$C$1004,$B111,'LEAD MQL TRACKER'!$AE$5:$AE$1004,1))</f>
        <v/>
      </c>
      <c r="W111" s="72" t="str">
        <f>IF($B111="","",COUNTIFS('LEAD MQL TRACKER'!$C$5:$C$1004,$B111,'LEAD MQL TRACKER'!$AC$5:$AC$1004,1)+SUMIFS('LINKEDIN OUTREACH'!$M$5:$M$704,'LINKEDIN OUTREACH'!$C$5:$C$704,$B111))</f>
        <v/>
      </c>
      <c r="X111" s="72" t="str">
        <f>IF($B111="","",SUMIFS('EMAIL MARKETING'!$O$5:$O$804,'EMAIL MARKETING'!$C$5:$C$804,$B111)+SUMIFS('LINKEDIN OUTREACH'!$K$5:$K$704,'LINKEDIN OUTREACH'!$C$5:$C$704,$B111))</f>
        <v/>
      </c>
      <c r="Y111" s="73" t="str">
        <f>IF(ISNUMBER($R111),IF($R111&gt;0,$T111/$R111,""),"")</f>
        <v/>
      </c>
      <c r="Z111" s="72" t="str">
        <f>IF(AND(ISNUMBER($P111),ISNUMBER($R111)),IF(AND($P111&gt;0,$R111&gt;0),$P111/$R111,""),"")</f>
        <v/>
      </c>
      <c r="AA111" s="71" t="str">
        <f>IF($B111="","",IF(OR($N111="Live",$N111="Optimizing",$N111="Paused",$N111="Completed"),IF(ISNUMBER($AI111),IF($AI111&gt;=1,"Ahead",IF($AI111&gt;=OnTrackPct,"On Track",IF($AI111&gt;=WatchPct,"Behind","At Risk"))),"No Target Set"),"Not Live"))</f>
        <v/>
      </c>
      <c r="AB111" s="65" t="n"/>
      <c r="AC111" s="65" t="n"/>
      <c r="AD111" s="65" t="n"/>
      <c r="AE111" s="67" t="n"/>
      <c r="AF111" s="67" t="n"/>
      <c r="AG111" s="63" t="n"/>
      <c r="AH111" s="74">
        <f>IF($N111="Completed",1,IF(AND(ISNUMBER($K111),ISNUMBER($L111)),IF($L111&gt;$K111,MIN(1,MAX(0.05,(ReportDate-$K111)/($L111-$K111))),1),1))</f>
        <v>1</v>
      </c>
      <c r="AI111" s="70" t="str">
        <f>IF($B111="","",IF(AND(ISNUMBER($Q111),$Q111&gt;0),$R111/($Q111*$AH111),""))</f>
        <v/>
      </c>
      <c r="AJ111" s="71" t="str">
        <f>IF(ISNUMBER($K111),YEAR($K111)&amp;"-"&amp;TEXT(MONTH($K111),"00"),"")</f>
        <v/>
      </c>
      <c r="AK111" s="71">
        <f>IF($B111="",0,IF(AND(OR(fClient="All",$A111=fClient),OR(fCampaign="All",$B111=fCampaign),OR(fTeam="All",$I111=fTeam),OR(fChannel="All",$H111=fChannel),OR(fCStatus="All",$N111=fCStatus)),1,0))</f>
        <v>0</v>
      </c>
      <c r="AL111" s="71">
        <f>IF($B111="",0,IF(AND(OR(fClient="All",$A111=fClient),OR(fCampaign="All",$B111=fCampaign),OR(fTeam="All",$I111=fTeam),OR(fChannel="All",$H111=fChannel)),1,0))</f>
        <v>0</v>
      </c>
      <c r="AM111" s="71">
        <f>IF(OR($N111="Live",$N111="Optimizing"),1,0)</f>
        <v>0</v>
      </c>
      <c r="AN111" s="71">
        <f>IF(OR($N111="Live",$N111="Optimizing",$N111="Paused",$N111="Completed"),1,0)</f>
        <v>0</v>
      </c>
      <c r="AO111" s="71">
        <f>IF(AND($AM111=1,ISNUMBER($L111),NOT(ISNUMBER($M111))),IF($L111&lt;ReportDate,1,0),0)</f>
        <v>0</v>
      </c>
      <c r="AP111" s="71">
        <f>IF($AM111=1,IF(ISNUMBER($AG111),IF(ReportDate-$AG111&gt;CampStaleDays,1,0),1),0)</f>
        <v>0</v>
      </c>
      <c r="AQ111" s="71">
        <f>IF(AND($AM111=1,OR($AA111="Behind",$AA111="At Risk")),1,0)</f>
        <v>0</v>
      </c>
      <c r="AR111" s="71">
        <f>IF(AND($AM111=1,OR($AA111="Ahead",$AA111="On Track")),1,0)</f>
        <v>0</v>
      </c>
      <c r="AS111" s="71">
        <f>IF(OR($AQ111=1,$AP111=1,$AO111=1),1,0)</f>
        <v>0</v>
      </c>
      <c r="AT111" s="71" t="str">
        <f>IF($AS111=1,TRIM(IF($AQ111=1,"Low performance. ","")&amp;IF($AP111=1,"No recent update. ","")&amp;IF($AO111=1,"Past planned end. ","")),"")</f>
        <v/>
      </c>
      <c r="AU111" s="71" t="str">
        <f>IF(AND($AS111=1,$AL111=1),ROW(),"")</f>
        <v/>
      </c>
      <c r="AV111" s="71" t="str">
        <f>IF(AND($AQ111=1,$AL111=1),ROW(),"")</f>
        <v/>
      </c>
      <c r="AW111" s="71" t="str">
        <f>IF(AND($AP111=1,$AL111=1),ROW(),"")</f>
        <v/>
      </c>
      <c r="AX111" s="71" t="str">
        <f>IF(AND($AR111=1,$AL111=1),ROW(),"")</f>
        <v/>
      </c>
      <c r="AY111" s="71">
        <f>IF(AND($B111&lt;&gt;"",$A111=TCL_Client),1,0)</f>
        <v>0</v>
      </c>
      <c r="AZ111" s="71" t="str">
        <f>IF($AY111=1,ROW(),"")</f>
        <v/>
      </c>
      <c r="BA111" s="71">
        <f>IF(AND($B111&lt;&gt;"",$A111=MECCA_Client),1,0)</f>
        <v>0</v>
      </c>
      <c r="BB111" s="71" t="str">
        <f>IF($BA111=1,ROW(),"")</f>
        <v/>
      </c>
    </row>
    <row r="112">
      <c r="A112" s="64" t="n"/>
      <c r="B112" s="65" t="n"/>
      <c r="C112" s="64" t="n"/>
      <c r="D112" s="64" t="n"/>
      <c r="E112" s="64" t="n"/>
      <c r="F112" s="65" t="n"/>
      <c r="G112" s="65" t="n"/>
      <c r="H112" s="64" t="n"/>
      <c r="I112" s="64" t="n"/>
      <c r="J112" s="65" t="n"/>
      <c r="K112" s="63" t="n"/>
      <c r="L112" s="63" t="n"/>
      <c r="M112" s="63" t="n"/>
      <c r="N112" s="64" t="n"/>
      <c r="O112" s="67" t="n"/>
      <c r="P112" s="72" t="str">
        <f>IF($B112="","",SUMIFS('PAID MEDIA ADS'!$G$5:$G$804,'PAID MEDIA ADS'!$C$5:$C$804,$B112))</f>
        <v/>
      </c>
      <c r="Q112" s="67" t="n"/>
      <c r="R112" s="72" t="str">
        <f>IF($B112="","",COUNTIFS('LEAD MQL TRACKER'!$C$5:$C$1004,$B112,'LEAD MQL TRACKER'!$AB$5:$AB$1004,1)+SUMIFS('EMAIL MARKETING'!$Q$5:$Q$804,'EMAIL MARKETING'!$C$5:$C$804,$B112)+SUMIFS('PAID MEDIA ADS'!$M$5:$M$804,'PAID MEDIA ADS'!$C$5:$C$804,$B112)+SUMIFS('LINKEDIN OUTREACH'!$N$5:$N$704,'LINKEDIN OUTREACH'!$C$5:$C$704,$B112))</f>
        <v/>
      </c>
      <c r="S112" s="67" t="n"/>
      <c r="T112" s="72" t="str">
        <f>IF($B112="","",COUNTIFS('LEAD MQL TRACKER'!$C$5:$C$1004,$B112,'LEAD MQL TRACKER'!$AD$5:$AD$1004,1)+SUMIFS('EMAIL MARKETING'!$R$5:$R$804,'EMAIL MARKETING'!$C$5:$C$804,$B112)+SUMIFS('PAID MEDIA ADS'!$N$5:$N$804,'PAID MEDIA ADS'!$C$5:$C$804,$B112)+SUMIFS('LINKEDIN OUTREACH'!$O$5:$O$704,'LINKEDIN OUTREACH'!$C$5:$C$704,$B112))</f>
        <v/>
      </c>
      <c r="U112" s="67" t="n"/>
      <c r="V112" s="72" t="str">
        <f>IF($B112="","",COUNTIFS('LEAD MQL TRACKER'!$C$5:$C$1004,$B112,'LEAD MQL TRACKER'!$AE$5:$AE$1004,1))</f>
        <v/>
      </c>
      <c r="W112" s="72" t="str">
        <f>IF($B112="","",COUNTIFS('LEAD MQL TRACKER'!$C$5:$C$1004,$B112,'LEAD MQL TRACKER'!$AC$5:$AC$1004,1)+SUMIFS('LINKEDIN OUTREACH'!$M$5:$M$704,'LINKEDIN OUTREACH'!$C$5:$C$704,$B112))</f>
        <v/>
      </c>
      <c r="X112" s="72" t="str">
        <f>IF($B112="","",SUMIFS('EMAIL MARKETING'!$O$5:$O$804,'EMAIL MARKETING'!$C$5:$C$804,$B112)+SUMIFS('LINKEDIN OUTREACH'!$K$5:$K$704,'LINKEDIN OUTREACH'!$C$5:$C$704,$B112))</f>
        <v/>
      </c>
      <c r="Y112" s="73" t="str">
        <f>IF(ISNUMBER($R112),IF($R112&gt;0,$T112/$R112,""),"")</f>
        <v/>
      </c>
      <c r="Z112" s="72" t="str">
        <f>IF(AND(ISNUMBER($P112),ISNUMBER($R112)),IF(AND($P112&gt;0,$R112&gt;0),$P112/$R112,""),"")</f>
        <v/>
      </c>
      <c r="AA112" s="71" t="str">
        <f>IF($B112="","",IF(OR($N112="Live",$N112="Optimizing",$N112="Paused",$N112="Completed"),IF(ISNUMBER($AI112),IF($AI112&gt;=1,"Ahead",IF($AI112&gt;=OnTrackPct,"On Track",IF($AI112&gt;=WatchPct,"Behind","At Risk"))),"No Target Set"),"Not Live"))</f>
        <v/>
      </c>
      <c r="AB112" s="65" t="n"/>
      <c r="AC112" s="65" t="n"/>
      <c r="AD112" s="65" t="n"/>
      <c r="AE112" s="67" t="n"/>
      <c r="AF112" s="67" t="n"/>
      <c r="AG112" s="63" t="n"/>
      <c r="AH112" s="74">
        <f>IF($N112="Completed",1,IF(AND(ISNUMBER($K112),ISNUMBER($L112)),IF($L112&gt;$K112,MIN(1,MAX(0.05,(ReportDate-$K112)/($L112-$K112))),1),1))</f>
        <v>1</v>
      </c>
      <c r="AI112" s="70" t="str">
        <f>IF($B112="","",IF(AND(ISNUMBER($Q112),$Q112&gt;0),$R112/($Q112*$AH112),""))</f>
        <v/>
      </c>
      <c r="AJ112" s="71" t="str">
        <f>IF(ISNUMBER($K112),YEAR($K112)&amp;"-"&amp;TEXT(MONTH($K112),"00"),"")</f>
        <v/>
      </c>
      <c r="AK112" s="71">
        <f>IF($B112="",0,IF(AND(OR(fClient="All",$A112=fClient),OR(fCampaign="All",$B112=fCampaign),OR(fTeam="All",$I112=fTeam),OR(fChannel="All",$H112=fChannel),OR(fCStatus="All",$N112=fCStatus)),1,0))</f>
        <v>0</v>
      </c>
      <c r="AL112" s="71">
        <f>IF($B112="",0,IF(AND(OR(fClient="All",$A112=fClient),OR(fCampaign="All",$B112=fCampaign),OR(fTeam="All",$I112=fTeam),OR(fChannel="All",$H112=fChannel)),1,0))</f>
        <v>0</v>
      </c>
      <c r="AM112" s="71">
        <f>IF(OR($N112="Live",$N112="Optimizing"),1,0)</f>
        <v>0</v>
      </c>
      <c r="AN112" s="71">
        <f>IF(OR($N112="Live",$N112="Optimizing",$N112="Paused",$N112="Completed"),1,0)</f>
        <v>0</v>
      </c>
      <c r="AO112" s="71">
        <f>IF(AND($AM112=1,ISNUMBER($L112),NOT(ISNUMBER($M112))),IF($L112&lt;ReportDate,1,0),0)</f>
        <v>0</v>
      </c>
      <c r="AP112" s="71">
        <f>IF($AM112=1,IF(ISNUMBER($AG112),IF(ReportDate-$AG112&gt;CampStaleDays,1,0),1),0)</f>
        <v>0</v>
      </c>
      <c r="AQ112" s="71">
        <f>IF(AND($AM112=1,OR($AA112="Behind",$AA112="At Risk")),1,0)</f>
        <v>0</v>
      </c>
      <c r="AR112" s="71">
        <f>IF(AND($AM112=1,OR($AA112="Ahead",$AA112="On Track")),1,0)</f>
        <v>0</v>
      </c>
      <c r="AS112" s="71">
        <f>IF(OR($AQ112=1,$AP112=1,$AO112=1),1,0)</f>
        <v>0</v>
      </c>
      <c r="AT112" s="71" t="str">
        <f>IF($AS112=1,TRIM(IF($AQ112=1,"Low performance. ","")&amp;IF($AP112=1,"No recent update. ","")&amp;IF($AO112=1,"Past planned end. ","")),"")</f>
        <v/>
      </c>
      <c r="AU112" s="71" t="str">
        <f>IF(AND($AS112=1,$AL112=1),ROW(),"")</f>
        <v/>
      </c>
      <c r="AV112" s="71" t="str">
        <f>IF(AND($AQ112=1,$AL112=1),ROW(),"")</f>
        <v/>
      </c>
      <c r="AW112" s="71" t="str">
        <f>IF(AND($AP112=1,$AL112=1),ROW(),"")</f>
        <v/>
      </c>
      <c r="AX112" s="71" t="str">
        <f>IF(AND($AR112=1,$AL112=1),ROW(),"")</f>
        <v/>
      </c>
      <c r="AY112" s="71">
        <f>IF(AND($B112&lt;&gt;"",$A112=TCL_Client),1,0)</f>
        <v>0</v>
      </c>
      <c r="AZ112" s="71" t="str">
        <f>IF($AY112=1,ROW(),"")</f>
        <v/>
      </c>
      <c r="BA112" s="71">
        <f>IF(AND($B112&lt;&gt;"",$A112=MECCA_Client),1,0)</f>
        <v>0</v>
      </c>
      <c r="BB112" s="71" t="str">
        <f>IF($BA112=1,ROW(),"")</f>
        <v/>
      </c>
    </row>
    <row r="113">
      <c r="A113" s="64" t="n"/>
      <c r="B113" s="65" t="n"/>
      <c r="C113" s="64" t="n"/>
      <c r="D113" s="64" t="n"/>
      <c r="E113" s="64" t="n"/>
      <c r="F113" s="65" t="n"/>
      <c r="G113" s="65" t="n"/>
      <c r="H113" s="64" t="n"/>
      <c r="I113" s="64" t="n"/>
      <c r="J113" s="65" t="n"/>
      <c r="K113" s="63" t="n"/>
      <c r="L113" s="63" t="n"/>
      <c r="M113" s="63" t="n"/>
      <c r="N113" s="64" t="n"/>
      <c r="O113" s="67" t="n"/>
      <c r="P113" s="72" t="str">
        <f>IF($B113="","",SUMIFS('PAID MEDIA ADS'!$G$5:$G$804,'PAID MEDIA ADS'!$C$5:$C$804,$B113))</f>
        <v/>
      </c>
      <c r="Q113" s="67" t="n"/>
      <c r="R113" s="72" t="str">
        <f>IF($B113="","",COUNTIFS('LEAD MQL TRACKER'!$C$5:$C$1004,$B113,'LEAD MQL TRACKER'!$AB$5:$AB$1004,1)+SUMIFS('EMAIL MARKETING'!$Q$5:$Q$804,'EMAIL MARKETING'!$C$5:$C$804,$B113)+SUMIFS('PAID MEDIA ADS'!$M$5:$M$804,'PAID MEDIA ADS'!$C$5:$C$804,$B113)+SUMIFS('LINKEDIN OUTREACH'!$N$5:$N$704,'LINKEDIN OUTREACH'!$C$5:$C$704,$B113))</f>
        <v/>
      </c>
      <c r="S113" s="67" t="n"/>
      <c r="T113" s="72" t="str">
        <f>IF($B113="","",COUNTIFS('LEAD MQL TRACKER'!$C$5:$C$1004,$B113,'LEAD MQL TRACKER'!$AD$5:$AD$1004,1)+SUMIFS('EMAIL MARKETING'!$R$5:$R$804,'EMAIL MARKETING'!$C$5:$C$804,$B113)+SUMIFS('PAID MEDIA ADS'!$N$5:$N$804,'PAID MEDIA ADS'!$C$5:$C$804,$B113)+SUMIFS('LINKEDIN OUTREACH'!$O$5:$O$704,'LINKEDIN OUTREACH'!$C$5:$C$704,$B113))</f>
        <v/>
      </c>
      <c r="U113" s="67" t="n"/>
      <c r="V113" s="72" t="str">
        <f>IF($B113="","",COUNTIFS('LEAD MQL TRACKER'!$C$5:$C$1004,$B113,'LEAD MQL TRACKER'!$AE$5:$AE$1004,1))</f>
        <v/>
      </c>
      <c r="W113" s="72" t="str">
        <f>IF($B113="","",COUNTIFS('LEAD MQL TRACKER'!$C$5:$C$1004,$B113,'LEAD MQL TRACKER'!$AC$5:$AC$1004,1)+SUMIFS('LINKEDIN OUTREACH'!$M$5:$M$704,'LINKEDIN OUTREACH'!$C$5:$C$704,$B113))</f>
        <v/>
      </c>
      <c r="X113" s="72" t="str">
        <f>IF($B113="","",SUMIFS('EMAIL MARKETING'!$O$5:$O$804,'EMAIL MARKETING'!$C$5:$C$804,$B113)+SUMIFS('LINKEDIN OUTREACH'!$K$5:$K$704,'LINKEDIN OUTREACH'!$C$5:$C$704,$B113))</f>
        <v/>
      </c>
      <c r="Y113" s="73" t="str">
        <f>IF(ISNUMBER($R113),IF($R113&gt;0,$T113/$R113,""),"")</f>
        <v/>
      </c>
      <c r="Z113" s="72" t="str">
        <f>IF(AND(ISNUMBER($P113),ISNUMBER($R113)),IF(AND($P113&gt;0,$R113&gt;0),$P113/$R113,""),"")</f>
        <v/>
      </c>
      <c r="AA113" s="71" t="str">
        <f>IF($B113="","",IF(OR($N113="Live",$N113="Optimizing",$N113="Paused",$N113="Completed"),IF(ISNUMBER($AI113),IF($AI113&gt;=1,"Ahead",IF($AI113&gt;=OnTrackPct,"On Track",IF($AI113&gt;=WatchPct,"Behind","At Risk"))),"No Target Set"),"Not Live"))</f>
        <v/>
      </c>
      <c r="AB113" s="65" t="n"/>
      <c r="AC113" s="65" t="n"/>
      <c r="AD113" s="65" t="n"/>
      <c r="AE113" s="67" t="n"/>
      <c r="AF113" s="67" t="n"/>
      <c r="AG113" s="63" t="n"/>
      <c r="AH113" s="74">
        <f>IF($N113="Completed",1,IF(AND(ISNUMBER($K113),ISNUMBER($L113)),IF($L113&gt;$K113,MIN(1,MAX(0.05,(ReportDate-$K113)/($L113-$K113))),1),1))</f>
        <v>1</v>
      </c>
      <c r="AI113" s="70" t="str">
        <f>IF($B113="","",IF(AND(ISNUMBER($Q113),$Q113&gt;0),$R113/($Q113*$AH113),""))</f>
        <v/>
      </c>
      <c r="AJ113" s="71" t="str">
        <f>IF(ISNUMBER($K113),YEAR($K113)&amp;"-"&amp;TEXT(MONTH($K113),"00"),"")</f>
        <v/>
      </c>
      <c r="AK113" s="71">
        <f>IF($B113="",0,IF(AND(OR(fClient="All",$A113=fClient),OR(fCampaign="All",$B113=fCampaign),OR(fTeam="All",$I113=fTeam),OR(fChannel="All",$H113=fChannel),OR(fCStatus="All",$N113=fCStatus)),1,0))</f>
        <v>0</v>
      </c>
      <c r="AL113" s="71">
        <f>IF($B113="",0,IF(AND(OR(fClient="All",$A113=fClient),OR(fCampaign="All",$B113=fCampaign),OR(fTeam="All",$I113=fTeam),OR(fChannel="All",$H113=fChannel)),1,0))</f>
        <v>0</v>
      </c>
      <c r="AM113" s="71">
        <f>IF(OR($N113="Live",$N113="Optimizing"),1,0)</f>
        <v>0</v>
      </c>
      <c r="AN113" s="71">
        <f>IF(OR($N113="Live",$N113="Optimizing",$N113="Paused",$N113="Completed"),1,0)</f>
        <v>0</v>
      </c>
      <c r="AO113" s="71">
        <f>IF(AND($AM113=1,ISNUMBER($L113),NOT(ISNUMBER($M113))),IF($L113&lt;ReportDate,1,0),0)</f>
        <v>0</v>
      </c>
      <c r="AP113" s="71">
        <f>IF($AM113=1,IF(ISNUMBER($AG113),IF(ReportDate-$AG113&gt;CampStaleDays,1,0),1),0)</f>
        <v>0</v>
      </c>
      <c r="AQ113" s="71">
        <f>IF(AND($AM113=1,OR($AA113="Behind",$AA113="At Risk")),1,0)</f>
        <v>0</v>
      </c>
      <c r="AR113" s="71">
        <f>IF(AND($AM113=1,OR($AA113="Ahead",$AA113="On Track")),1,0)</f>
        <v>0</v>
      </c>
      <c r="AS113" s="71">
        <f>IF(OR($AQ113=1,$AP113=1,$AO113=1),1,0)</f>
        <v>0</v>
      </c>
      <c r="AT113" s="71" t="str">
        <f>IF($AS113=1,TRIM(IF($AQ113=1,"Low performance. ","")&amp;IF($AP113=1,"No recent update. ","")&amp;IF($AO113=1,"Past planned end. ","")),"")</f>
        <v/>
      </c>
      <c r="AU113" s="71" t="str">
        <f>IF(AND($AS113=1,$AL113=1),ROW(),"")</f>
        <v/>
      </c>
      <c r="AV113" s="71" t="str">
        <f>IF(AND($AQ113=1,$AL113=1),ROW(),"")</f>
        <v/>
      </c>
      <c r="AW113" s="71" t="str">
        <f>IF(AND($AP113=1,$AL113=1),ROW(),"")</f>
        <v/>
      </c>
      <c r="AX113" s="71" t="str">
        <f>IF(AND($AR113=1,$AL113=1),ROW(),"")</f>
        <v/>
      </c>
      <c r="AY113" s="71">
        <f>IF(AND($B113&lt;&gt;"",$A113=TCL_Client),1,0)</f>
        <v>0</v>
      </c>
      <c r="AZ113" s="71" t="str">
        <f>IF($AY113=1,ROW(),"")</f>
        <v/>
      </c>
      <c r="BA113" s="71">
        <f>IF(AND($B113&lt;&gt;"",$A113=MECCA_Client),1,0)</f>
        <v>0</v>
      </c>
      <c r="BB113" s="71" t="str">
        <f>IF($BA113=1,ROW(),"")</f>
        <v/>
      </c>
    </row>
    <row r="114">
      <c r="A114" s="64" t="n"/>
      <c r="B114" s="65" t="n"/>
      <c r="C114" s="64" t="n"/>
      <c r="D114" s="64" t="n"/>
      <c r="E114" s="64" t="n"/>
      <c r="F114" s="65" t="n"/>
      <c r="G114" s="65" t="n"/>
      <c r="H114" s="64" t="n"/>
      <c r="I114" s="64" t="n"/>
      <c r="J114" s="65" t="n"/>
      <c r="K114" s="63" t="n"/>
      <c r="L114" s="63" t="n"/>
      <c r="M114" s="63" t="n"/>
      <c r="N114" s="64" t="n"/>
      <c r="O114" s="67" t="n"/>
      <c r="P114" s="72" t="str">
        <f>IF($B114="","",SUMIFS('PAID MEDIA ADS'!$G$5:$G$804,'PAID MEDIA ADS'!$C$5:$C$804,$B114))</f>
        <v/>
      </c>
      <c r="Q114" s="67" t="n"/>
      <c r="R114" s="72" t="str">
        <f>IF($B114="","",COUNTIFS('LEAD MQL TRACKER'!$C$5:$C$1004,$B114,'LEAD MQL TRACKER'!$AB$5:$AB$1004,1)+SUMIFS('EMAIL MARKETING'!$Q$5:$Q$804,'EMAIL MARKETING'!$C$5:$C$804,$B114)+SUMIFS('PAID MEDIA ADS'!$M$5:$M$804,'PAID MEDIA ADS'!$C$5:$C$804,$B114)+SUMIFS('LINKEDIN OUTREACH'!$N$5:$N$704,'LINKEDIN OUTREACH'!$C$5:$C$704,$B114))</f>
        <v/>
      </c>
      <c r="S114" s="67" t="n"/>
      <c r="T114" s="72" t="str">
        <f>IF($B114="","",COUNTIFS('LEAD MQL TRACKER'!$C$5:$C$1004,$B114,'LEAD MQL TRACKER'!$AD$5:$AD$1004,1)+SUMIFS('EMAIL MARKETING'!$R$5:$R$804,'EMAIL MARKETING'!$C$5:$C$804,$B114)+SUMIFS('PAID MEDIA ADS'!$N$5:$N$804,'PAID MEDIA ADS'!$C$5:$C$804,$B114)+SUMIFS('LINKEDIN OUTREACH'!$O$5:$O$704,'LINKEDIN OUTREACH'!$C$5:$C$704,$B114))</f>
        <v/>
      </c>
      <c r="U114" s="67" t="n"/>
      <c r="V114" s="72" t="str">
        <f>IF($B114="","",COUNTIFS('LEAD MQL TRACKER'!$C$5:$C$1004,$B114,'LEAD MQL TRACKER'!$AE$5:$AE$1004,1))</f>
        <v/>
      </c>
      <c r="W114" s="72" t="str">
        <f>IF($B114="","",COUNTIFS('LEAD MQL TRACKER'!$C$5:$C$1004,$B114,'LEAD MQL TRACKER'!$AC$5:$AC$1004,1)+SUMIFS('LINKEDIN OUTREACH'!$M$5:$M$704,'LINKEDIN OUTREACH'!$C$5:$C$704,$B114))</f>
        <v/>
      </c>
      <c r="X114" s="72" t="str">
        <f>IF($B114="","",SUMIFS('EMAIL MARKETING'!$O$5:$O$804,'EMAIL MARKETING'!$C$5:$C$804,$B114)+SUMIFS('LINKEDIN OUTREACH'!$K$5:$K$704,'LINKEDIN OUTREACH'!$C$5:$C$704,$B114))</f>
        <v/>
      </c>
      <c r="Y114" s="73" t="str">
        <f>IF(ISNUMBER($R114),IF($R114&gt;0,$T114/$R114,""),"")</f>
        <v/>
      </c>
      <c r="Z114" s="72" t="str">
        <f>IF(AND(ISNUMBER($P114),ISNUMBER($R114)),IF(AND($P114&gt;0,$R114&gt;0),$P114/$R114,""),"")</f>
        <v/>
      </c>
      <c r="AA114" s="71" t="str">
        <f>IF($B114="","",IF(OR($N114="Live",$N114="Optimizing",$N114="Paused",$N114="Completed"),IF(ISNUMBER($AI114),IF($AI114&gt;=1,"Ahead",IF($AI114&gt;=OnTrackPct,"On Track",IF($AI114&gt;=WatchPct,"Behind","At Risk"))),"No Target Set"),"Not Live"))</f>
        <v/>
      </c>
      <c r="AB114" s="65" t="n"/>
      <c r="AC114" s="65" t="n"/>
      <c r="AD114" s="65" t="n"/>
      <c r="AE114" s="67" t="n"/>
      <c r="AF114" s="67" t="n"/>
      <c r="AG114" s="63" t="n"/>
      <c r="AH114" s="74">
        <f>IF($N114="Completed",1,IF(AND(ISNUMBER($K114),ISNUMBER($L114)),IF($L114&gt;$K114,MIN(1,MAX(0.05,(ReportDate-$K114)/($L114-$K114))),1),1))</f>
        <v>1</v>
      </c>
      <c r="AI114" s="70" t="str">
        <f>IF($B114="","",IF(AND(ISNUMBER($Q114),$Q114&gt;0),$R114/($Q114*$AH114),""))</f>
        <v/>
      </c>
      <c r="AJ114" s="71" t="str">
        <f>IF(ISNUMBER($K114),YEAR($K114)&amp;"-"&amp;TEXT(MONTH($K114),"00"),"")</f>
        <v/>
      </c>
      <c r="AK114" s="71">
        <f>IF($B114="",0,IF(AND(OR(fClient="All",$A114=fClient),OR(fCampaign="All",$B114=fCampaign),OR(fTeam="All",$I114=fTeam),OR(fChannel="All",$H114=fChannel),OR(fCStatus="All",$N114=fCStatus)),1,0))</f>
        <v>0</v>
      </c>
      <c r="AL114" s="71">
        <f>IF($B114="",0,IF(AND(OR(fClient="All",$A114=fClient),OR(fCampaign="All",$B114=fCampaign),OR(fTeam="All",$I114=fTeam),OR(fChannel="All",$H114=fChannel)),1,0))</f>
        <v>0</v>
      </c>
      <c r="AM114" s="71">
        <f>IF(OR($N114="Live",$N114="Optimizing"),1,0)</f>
        <v>0</v>
      </c>
      <c r="AN114" s="71">
        <f>IF(OR($N114="Live",$N114="Optimizing",$N114="Paused",$N114="Completed"),1,0)</f>
        <v>0</v>
      </c>
      <c r="AO114" s="71">
        <f>IF(AND($AM114=1,ISNUMBER($L114),NOT(ISNUMBER($M114))),IF($L114&lt;ReportDate,1,0),0)</f>
        <v>0</v>
      </c>
      <c r="AP114" s="71">
        <f>IF($AM114=1,IF(ISNUMBER($AG114),IF(ReportDate-$AG114&gt;CampStaleDays,1,0),1),0)</f>
        <v>0</v>
      </c>
      <c r="AQ114" s="71">
        <f>IF(AND($AM114=1,OR($AA114="Behind",$AA114="At Risk")),1,0)</f>
        <v>0</v>
      </c>
      <c r="AR114" s="71">
        <f>IF(AND($AM114=1,OR($AA114="Ahead",$AA114="On Track")),1,0)</f>
        <v>0</v>
      </c>
      <c r="AS114" s="71">
        <f>IF(OR($AQ114=1,$AP114=1,$AO114=1),1,0)</f>
        <v>0</v>
      </c>
      <c r="AT114" s="71" t="str">
        <f>IF($AS114=1,TRIM(IF($AQ114=1,"Low performance. ","")&amp;IF($AP114=1,"No recent update. ","")&amp;IF($AO114=1,"Past planned end. ","")),"")</f>
        <v/>
      </c>
      <c r="AU114" s="71" t="str">
        <f>IF(AND($AS114=1,$AL114=1),ROW(),"")</f>
        <v/>
      </c>
      <c r="AV114" s="71" t="str">
        <f>IF(AND($AQ114=1,$AL114=1),ROW(),"")</f>
        <v/>
      </c>
      <c r="AW114" s="71" t="str">
        <f>IF(AND($AP114=1,$AL114=1),ROW(),"")</f>
        <v/>
      </c>
      <c r="AX114" s="71" t="str">
        <f>IF(AND($AR114=1,$AL114=1),ROW(),"")</f>
        <v/>
      </c>
      <c r="AY114" s="71">
        <f>IF(AND($B114&lt;&gt;"",$A114=TCL_Client),1,0)</f>
        <v>0</v>
      </c>
      <c r="AZ114" s="71" t="str">
        <f>IF($AY114=1,ROW(),"")</f>
        <v/>
      </c>
      <c r="BA114" s="71">
        <f>IF(AND($B114&lt;&gt;"",$A114=MECCA_Client),1,0)</f>
        <v>0</v>
      </c>
      <c r="BB114" s="71" t="str">
        <f>IF($BA114=1,ROW(),"")</f>
        <v/>
      </c>
    </row>
    <row r="115">
      <c r="A115" s="64" t="n"/>
      <c r="B115" s="65" t="n"/>
      <c r="C115" s="64" t="n"/>
      <c r="D115" s="64" t="n"/>
      <c r="E115" s="64" t="n"/>
      <c r="F115" s="65" t="n"/>
      <c r="G115" s="65" t="n"/>
      <c r="H115" s="64" t="n"/>
      <c r="I115" s="64" t="n"/>
      <c r="J115" s="65" t="n"/>
      <c r="K115" s="63" t="n"/>
      <c r="L115" s="63" t="n"/>
      <c r="M115" s="63" t="n"/>
      <c r="N115" s="64" t="n"/>
      <c r="O115" s="67" t="n"/>
      <c r="P115" s="72" t="str">
        <f>IF($B115="","",SUMIFS('PAID MEDIA ADS'!$G$5:$G$804,'PAID MEDIA ADS'!$C$5:$C$804,$B115))</f>
        <v/>
      </c>
      <c r="Q115" s="67" t="n"/>
      <c r="R115" s="72" t="str">
        <f>IF($B115="","",COUNTIFS('LEAD MQL TRACKER'!$C$5:$C$1004,$B115,'LEAD MQL TRACKER'!$AB$5:$AB$1004,1)+SUMIFS('EMAIL MARKETING'!$Q$5:$Q$804,'EMAIL MARKETING'!$C$5:$C$804,$B115)+SUMIFS('PAID MEDIA ADS'!$M$5:$M$804,'PAID MEDIA ADS'!$C$5:$C$804,$B115)+SUMIFS('LINKEDIN OUTREACH'!$N$5:$N$704,'LINKEDIN OUTREACH'!$C$5:$C$704,$B115))</f>
        <v/>
      </c>
      <c r="S115" s="67" t="n"/>
      <c r="T115" s="72" t="str">
        <f>IF($B115="","",COUNTIFS('LEAD MQL TRACKER'!$C$5:$C$1004,$B115,'LEAD MQL TRACKER'!$AD$5:$AD$1004,1)+SUMIFS('EMAIL MARKETING'!$R$5:$R$804,'EMAIL MARKETING'!$C$5:$C$804,$B115)+SUMIFS('PAID MEDIA ADS'!$N$5:$N$804,'PAID MEDIA ADS'!$C$5:$C$804,$B115)+SUMIFS('LINKEDIN OUTREACH'!$O$5:$O$704,'LINKEDIN OUTREACH'!$C$5:$C$704,$B115))</f>
        <v/>
      </c>
      <c r="U115" s="67" t="n"/>
      <c r="V115" s="72" t="str">
        <f>IF($B115="","",COUNTIFS('LEAD MQL TRACKER'!$C$5:$C$1004,$B115,'LEAD MQL TRACKER'!$AE$5:$AE$1004,1))</f>
        <v/>
      </c>
      <c r="W115" s="72" t="str">
        <f>IF($B115="","",COUNTIFS('LEAD MQL TRACKER'!$C$5:$C$1004,$B115,'LEAD MQL TRACKER'!$AC$5:$AC$1004,1)+SUMIFS('LINKEDIN OUTREACH'!$M$5:$M$704,'LINKEDIN OUTREACH'!$C$5:$C$704,$B115))</f>
        <v/>
      </c>
      <c r="X115" s="72" t="str">
        <f>IF($B115="","",SUMIFS('EMAIL MARKETING'!$O$5:$O$804,'EMAIL MARKETING'!$C$5:$C$804,$B115)+SUMIFS('LINKEDIN OUTREACH'!$K$5:$K$704,'LINKEDIN OUTREACH'!$C$5:$C$704,$B115))</f>
        <v/>
      </c>
      <c r="Y115" s="73" t="str">
        <f>IF(ISNUMBER($R115),IF($R115&gt;0,$T115/$R115,""),"")</f>
        <v/>
      </c>
      <c r="Z115" s="72" t="str">
        <f>IF(AND(ISNUMBER($P115),ISNUMBER($R115)),IF(AND($P115&gt;0,$R115&gt;0),$P115/$R115,""),"")</f>
        <v/>
      </c>
      <c r="AA115" s="71" t="str">
        <f>IF($B115="","",IF(OR($N115="Live",$N115="Optimizing",$N115="Paused",$N115="Completed"),IF(ISNUMBER($AI115),IF($AI115&gt;=1,"Ahead",IF($AI115&gt;=OnTrackPct,"On Track",IF($AI115&gt;=WatchPct,"Behind","At Risk"))),"No Target Set"),"Not Live"))</f>
        <v/>
      </c>
      <c r="AB115" s="65" t="n"/>
      <c r="AC115" s="65" t="n"/>
      <c r="AD115" s="65" t="n"/>
      <c r="AE115" s="67" t="n"/>
      <c r="AF115" s="67" t="n"/>
      <c r="AG115" s="63" t="n"/>
      <c r="AH115" s="74">
        <f>IF($N115="Completed",1,IF(AND(ISNUMBER($K115),ISNUMBER($L115)),IF($L115&gt;$K115,MIN(1,MAX(0.05,(ReportDate-$K115)/($L115-$K115))),1),1))</f>
        <v>1</v>
      </c>
      <c r="AI115" s="70" t="str">
        <f>IF($B115="","",IF(AND(ISNUMBER($Q115),$Q115&gt;0),$R115/($Q115*$AH115),""))</f>
        <v/>
      </c>
      <c r="AJ115" s="71" t="str">
        <f>IF(ISNUMBER($K115),YEAR($K115)&amp;"-"&amp;TEXT(MONTH($K115),"00"),"")</f>
        <v/>
      </c>
      <c r="AK115" s="71">
        <f>IF($B115="",0,IF(AND(OR(fClient="All",$A115=fClient),OR(fCampaign="All",$B115=fCampaign),OR(fTeam="All",$I115=fTeam),OR(fChannel="All",$H115=fChannel),OR(fCStatus="All",$N115=fCStatus)),1,0))</f>
        <v>0</v>
      </c>
      <c r="AL115" s="71">
        <f>IF($B115="",0,IF(AND(OR(fClient="All",$A115=fClient),OR(fCampaign="All",$B115=fCampaign),OR(fTeam="All",$I115=fTeam),OR(fChannel="All",$H115=fChannel)),1,0))</f>
        <v>0</v>
      </c>
      <c r="AM115" s="71">
        <f>IF(OR($N115="Live",$N115="Optimizing"),1,0)</f>
        <v>0</v>
      </c>
      <c r="AN115" s="71">
        <f>IF(OR($N115="Live",$N115="Optimizing",$N115="Paused",$N115="Completed"),1,0)</f>
        <v>0</v>
      </c>
      <c r="AO115" s="71">
        <f>IF(AND($AM115=1,ISNUMBER($L115),NOT(ISNUMBER($M115))),IF($L115&lt;ReportDate,1,0),0)</f>
        <v>0</v>
      </c>
      <c r="AP115" s="71">
        <f>IF($AM115=1,IF(ISNUMBER($AG115),IF(ReportDate-$AG115&gt;CampStaleDays,1,0),1),0)</f>
        <v>0</v>
      </c>
      <c r="AQ115" s="71">
        <f>IF(AND($AM115=1,OR($AA115="Behind",$AA115="At Risk")),1,0)</f>
        <v>0</v>
      </c>
      <c r="AR115" s="71">
        <f>IF(AND($AM115=1,OR($AA115="Ahead",$AA115="On Track")),1,0)</f>
        <v>0</v>
      </c>
      <c r="AS115" s="71">
        <f>IF(OR($AQ115=1,$AP115=1,$AO115=1),1,0)</f>
        <v>0</v>
      </c>
      <c r="AT115" s="71" t="str">
        <f>IF($AS115=1,TRIM(IF($AQ115=1,"Low performance. ","")&amp;IF($AP115=1,"No recent update. ","")&amp;IF($AO115=1,"Past planned end. ","")),"")</f>
        <v/>
      </c>
      <c r="AU115" s="71" t="str">
        <f>IF(AND($AS115=1,$AL115=1),ROW(),"")</f>
        <v/>
      </c>
      <c r="AV115" s="71" t="str">
        <f>IF(AND($AQ115=1,$AL115=1),ROW(),"")</f>
        <v/>
      </c>
      <c r="AW115" s="71" t="str">
        <f>IF(AND($AP115=1,$AL115=1),ROW(),"")</f>
        <v/>
      </c>
      <c r="AX115" s="71" t="str">
        <f>IF(AND($AR115=1,$AL115=1),ROW(),"")</f>
        <v/>
      </c>
      <c r="AY115" s="71">
        <f>IF(AND($B115&lt;&gt;"",$A115=TCL_Client),1,0)</f>
        <v>0</v>
      </c>
      <c r="AZ115" s="71" t="str">
        <f>IF($AY115=1,ROW(),"")</f>
        <v/>
      </c>
      <c r="BA115" s="71">
        <f>IF(AND($B115&lt;&gt;"",$A115=MECCA_Client),1,0)</f>
        <v>0</v>
      </c>
      <c r="BB115" s="71" t="str">
        <f>IF($BA115=1,ROW(),"")</f>
        <v/>
      </c>
    </row>
    <row r="116">
      <c r="A116" s="64" t="n"/>
      <c r="B116" s="65" t="n"/>
      <c r="C116" s="64" t="n"/>
      <c r="D116" s="64" t="n"/>
      <c r="E116" s="64" t="n"/>
      <c r="F116" s="65" t="n"/>
      <c r="G116" s="65" t="n"/>
      <c r="H116" s="64" t="n"/>
      <c r="I116" s="64" t="n"/>
      <c r="J116" s="65" t="n"/>
      <c r="K116" s="63" t="n"/>
      <c r="L116" s="63" t="n"/>
      <c r="M116" s="63" t="n"/>
      <c r="N116" s="64" t="n"/>
      <c r="O116" s="67" t="n"/>
      <c r="P116" s="72" t="str">
        <f>IF($B116="","",SUMIFS('PAID MEDIA ADS'!$G$5:$G$804,'PAID MEDIA ADS'!$C$5:$C$804,$B116))</f>
        <v/>
      </c>
      <c r="Q116" s="67" t="n"/>
      <c r="R116" s="72" t="str">
        <f>IF($B116="","",COUNTIFS('LEAD MQL TRACKER'!$C$5:$C$1004,$B116,'LEAD MQL TRACKER'!$AB$5:$AB$1004,1)+SUMIFS('EMAIL MARKETING'!$Q$5:$Q$804,'EMAIL MARKETING'!$C$5:$C$804,$B116)+SUMIFS('PAID MEDIA ADS'!$M$5:$M$804,'PAID MEDIA ADS'!$C$5:$C$804,$B116)+SUMIFS('LINKEDIN OUTREACH'!$N$5:$N$704,'LINKEDIN OUTREACH'!$C$5:$C$704,$B116))</f>
        <v/>
      </c>
      <c r="S116" s="67" t="n"/>
      <c r="T116" s="72" t="str">
        <f>IF($B116="","",COUNTIFS('LEAD MQL TRACKER'!$C$5:$C$1004,$B116,'LEAD MQL TRACKER'!$AD$5:$AD$1004,1)+SUMIFS('EMAIL MARKETING'!$R$5:$R$804,'EMAIL MARKETING'!$C$5:$C$804,$B116)+SUMIFS('PAID MEDIA ADS'!$N$5:$N$804,'PAID MEDIA ADS'!$C$5:$C$804,$B116)+SUMIFS('LINKEDIN OUTREACH'!$O$5:$O$704,'LINKEDIN OUTREACH'!$C$5:$C$704,$B116))</f>
        <v/>
      </c>
      <c r="U116" s="67" t="n"/>
      <c r="V116" s="72" t="str">
        <f>IF($B116="","",COUNTIFS('LEAD MQL TRACKER'!$C$5:$C$1004,$B116,'LEAD MQL TRACKER'!$AE$5:$AE$1004,1))</f>
        <v/>
      </c>
      <c r="W116" s="72" t="str">
        <f>IF($B116="","",COUNTIFS('LEAD MQL TRACKER'!$C$5:$C$1004,$B116,'LEAD MQL TRACKER'!$AC$5:$AC$1004,1)+SUMIFS('LINKEDIN OUTREACH'!$M$5:$M$704,'LINKEDIN OUTREACH'!$C$5:$C$704,$B116))</f>
        <v/>
      </c>
      <c r="X116" s="72" t="str">
        <f>IF($B116="","",SUMIFS('EMAIL MARKETING'!$O$5:$O$804,'EMAIL MARKETING'!$C$5:$C$804,$B116)+SUMIFS('LINKEDIN OUTREACH'!$K$5:$K$704,'LINKEDIN OUTREACH'!$C$5:$C$704,$B116))</f>
        <v/>
      </c>
      <c r="Y116" s="73" t="str">
        <f>IF(ISNUMBER($R116),IF($R116&gt;0,$T116/$R116,""),"")</f>
        <v/>
      </c>
      <c r="Z116" s="72" t="str">
        <f>IF(AND(ISNUMBER($P116),ISNUMBER($R116)),IF(AND($P116&gt;0,$R116&gt;0),$P116/$R116,""),"")</f>
        <v/>
      </c>
      <c r="AA116" s="71" t="str">
        <f>IF($B116="","",IF(OR($N116="Live",$N116="Optimizing",$N116="Paused",$N116="Completed"),IF(ISNUMBER($AI116),IF($AI116&gt;=1,"Ahead",IF($AI116&gt;=OnTrackPct,"On Track",IF($AI116&gt;=WatchPct,"Behind","At Risk"))),"No Target Set"),"Not Live"))</f>
        <v/>
      </c>
      <c r="AB116" s="65" t="n"/>
      <c r="AC116" s="65" t="n"/>
      <c r="AD116" s="65" t="n"/>
      <c r="AE116" s="67" t="n"/>
      <c r="AF116" s="67" t="n"/>
      <c r="AG116" s="63" t="n"/>
      <c r="AH116" s="74">
        <f>IF($N116="Completed",1,IF(AND(ISNUMBER($K116),ISNUMBER($L116)),IF($L116&gt;$K116,MIN(1,MAX(0.05,(ReportDate-$K116)/($L116-$K116))),1),1))</f>
        <v>1</v>
      </c>
      <c r="AI116" s="70" t="str">
        <f>IF($B116="","",IF(AND(ISNUMBER($Q116),$Q116&gt;0),$R116/($Q116*$AH116),""))</f>
        <v/>
      </c>
      <c r="AJ116" s="71" t="str">
        <f>IF(ISNUMBER($K116),YEAR($K116)&amp;"-"&amp;TEXT(MONTH($K116),"00"),"")</f>
        <v/>
      </c>
      <c r="AK116" s="71">
        <f>IF($B116="",0,IF(AND(OR(fClient="All",$A116=fClient),OR(fCampaign="All",$B116=fCampaign),OR(fTeam="All",$I116=fTeam),OR(fChannel="All",$H116=fChannel),OR(fCStatus="All",$N116=fCStatus)),1,0))</f>
        <v>0</v>
      </c>
      <c r="AL116" s="71">
        <f>IF($B116="",0,IF(AND(OR(fClient="All",$A116=fClient),OR(fCampaign="All",$B116=fCampaign),OR(fTeam="All",$I116=fTeam),OR(fChannel="All",$H116=fChannel)),1,0))</f>
        <v>0</v>
      </c>
      <c r="AM116" s="71">
        <f>IF(OR($N116="Live",$N116="Optimizing"),1,0)</f>
        <v>0</v>
      </c>
      <c r="AN116" s="71">
        <f>IF(OR($N116="Live",$N116="Optimizing",$N116="Paused",$N116="Completed"),1,0)</f>
        <v>0</v>
      </c>
      <c r="AO116" s="71">
        <f>IF(AND($AM116=1,ISNUMBER($L116),NOT(ISNUMBER($M116))),IF($L116&lt;ReportDate,1,0),0)</f>
        <v>0</v>
      </c>
      <c r="AP116" s="71">
        <f>IF($AM116=1,IF(ISNUMBER($AG116),IF(ReportDate-$AG116&gt;CampStaleDays,1,0),1),0)</f>
        <v>0</v>
      </c>
      <c r="AQ116" s="71">
        <f>IF(AND($AM116=1,OR($AA116="Behind",$AA116="At Risk")),1,0)</f>
        <v>0</v>
      </c>
      <c r="AR116" s="71">
        <f>IF(AND($AM116=1,OR($AA116="Ahead",$AA116="On Track")),1,0)</f>
        <v>0</v>
      </c>
      <c r="AS116" s="71">
        <f>IF(OR($AQ116=1,$AP116=1,$AO116=1),1,0)</f>
        <v>0</v>
      </c>
      <c r="AT116" s="71" t="str">
        <f>IF($AS116=1,TRIM(IF($AQ116=1,"Low performance. ","")&amp;IF($AP116=1,"No recent update. ","")&amp;IF($AO116=1,"Past planned end. ","")),"")</f>
        <v/>
      </c>
      <c r="AU116" s="71" t="str">
        <f>IF(AND($AS116=1,$AL116=1),ROW(),"")</f>
        <v/>
      </c>
      <c r="AV116" s="71" t="str">
        <f>IF(AND($AQ116=1,$AL116=1),ROW(),"")</f>
        <v/>
      </c>
      <c r="AW116" s="71" t="str">
        <f>IF(AND($AP116=1,$AL116=1),ROW(),"")</f>
        <v/>
      </c>
      <c r="AX116" s="71" t="str">
        <f>IF(AND($AR116=1,$AL116=1),ROW(),"")</f>
        <v/>
      </c>
      <c r="AY116" s="71">
        <f>IF(AND($B116&lt;&gt;"",$A116=TCL_Client),1,0)</f>
        <v>0</v>
      </c>
      <c r="AZ116" s="71" t="str">
        <f>IF($AY116=1,ROW(),"")</f>
        <v/>
      </c>
      <c r="BA116" s="71">
        <f>IF(AND($B116&lt;&gt;"",$A116=MECCA_Client),1,0)</f>
        <v>0</v>
      </c>
      <c r="BB116" s="71" t="str">
        <f>IF($BA116=1,ROW(),"")</f>
        <v/>
      </c>
    </row>
    <row r="117">
      <c r="A117" s="64" t="n"/>
      <c r="B117" s="65" t="n"/>
      <c r="C117" s="64" t="n"/>
      <c r="D117" s="64" t="n"/>
      <c r="E117" s="64" t="n"/>
      <c r="F117" s="65" t="n"/>
      <c r="G117" s="65" t="n"/>
      <c r="H117" s="64" t="n"/>
      <c r="I117" s="64" t="n"/>
      <c r="J117" s="65" t="n"/>
      <c r="K117" s="63" t="n"/>
      <c r="L117" s="63" t="n"/>
      <c r="M117" s="63" t="n"/>
      <c r="N117" s="64" t="n"/>
      <c r="O117" s="67" t="n"/>
      <c r="P117" s="72" t="str">
        <f>IF($B117="","",SUMIFS('PAID MEDIA ADS'!$G$5:$G$804,'PAID MEDIA ADS'!$C$5:$C$804,$B117))</f>
        <v/>
      </c>
      <c r="Q117" s="67" t="n"/>
      <c r="R117" s="72" t="str">
        <f>IF($B117="","",COUNTIFS('LEAD MQL TRACKER'!$C$5:$C$1004,$B117,'LEAD MQL TRACKER'!$AB$5:$AB$1004,1)+SUMIFS('EMAIL MARKETING'!$Q$5:$Q$804,'EMAIL MARKETING'!$C$5:$C$804,$B117)+SUMIFS('PAID MEDIA ADS'!$M$5:$M$804,'PAID MEDIA ADS'!$C$5:$C$804,$B117)+SUMIFS('LINKEDIN OUTREACH'!$N$5:$N$704,'LINKEDIN OUTREACH'!$C$5:$C$704,$B117))</f>
        <v/>
      </c>
      <c r="S117" s="67" t="n"/>
      <c r="T117" s="72" t="str">
        <f>IF($B117="","",COUNTIFS('LEAD MQL TRACKER'!$C$5:$C$1004,$B117,'LEAD MQL TRACKER'!$AD$5:$AD$1004,1)+SUMIFS('EMAIL MARKETING'!$R$5:$R$804,'EMAIL MARKETING'!$C$5:$C$804,$B117)+SUMIFS('PAID MEDIA ADS'!$N$5:$N$804,'PAID MEDIA ADS'!$C$5:$C$804,$B117)+SUMIFS('LINKEDIN OUTREACH'!$O$5:$O$704,'LINKEDIN OUTREACH'!$C$5:$C$704,$B117))</f>
        <v/>
      </c>
      <c r="U117" s="67" t="n"/>
      <c r="V117" s="72" t="str">
        <f>IF($B117="","",COUNTIFS('LEAD MQL TRACKER'!$C$5:$C$1004,$B117,'LEAD MQL TRACKER'!$AE$5:$AE$1004,1))</f>
        <v/>
      </c>
      <c r="W117" s="72" t="str">
        <f>IF($B117="","",COUNTIFS('LEAD MQL TRACKER'!$C$5:$C$1004,$B117,'LEAD MQL TRACKER'!$AC$5:$AC$1004,1)+SUMIFS('LINKEDIN OUTREACH'!$M$5:$M$704,'LINKEDIN OUTREACH'!$C$5:$C$704,$B117))</f>
        <v/>
      </c>
      <c r="X117" s="72" t="str">
        <f>IF($B117="","",SUMIFS('EMAIL MARKETING'!$O$5:$O$804,'EMAIL MARKETING'!$C$5:$C$804,$B117)+SUMIFS('LINKEDIN OUTREACH'!$K$5:$K$704,'LINKEDIN OUTREACH'!$C$5:$C$704,$B117))</f>
        <v/>
      </c>
      <c r="Y117" s="73" t="str">
        <f>IF(ISNUMBER($R117),IF($R117&gt;0,$T117/$R117,""),"")</f>
        <v/>
      </c>
      <c r="Z117" s="72" t="str">
        <f>IF(AND(ISNUMBER($P117),ISNUMBER($R117)),IF(AND($P117&gt;0,$R117&gt;0),$P117/$R117,""),"")</f>
        <v/>
      </c>
      <c r="AA117" s="71" t="str">
        <f>IF($B117="","",IF(OR($N117="Live",$N117="Optimizing",$N117="Paused",$N117="Completed"),IF(ISNUMBER($AI117),IF($AI117&gt;=1,"Ahead",IF($AI117&gt;=OnTrackPct,"On Track",IF($AI117&gt;=WatchPct,"Behind","At Risk"))),"No Target Set"),"Not Live"))</f>
        <v/>
      </c>
      <c r="AB117" s="65" t="n"/>
      <c r="AC117" s="65" t="n"/>
      <c r="AD117" s="65" t="n"/>
      <c r="AE117" s="67" t="n"/>
      <c r="AF117" s="67" t="n"/>
      <c r="AG117" s="63" t="n"/>
      <c r="AH117" s="74">
        <f>IF($N117="Completed",1,IF(AND(ISNUMBER($K117),ISNUMBER($L117)),IF($L117&gt;$K117,MIN(1,MAX(0.05,(ReportDate-$K117)/($L117-$K117))),1),1))</f>
        <v>1</v>
      </c>
      <c r="AI117" s="70" t="str">
        <f>IF($B117="","",IF(AND(ISNUMBER($Q117),$Q117&gt;0),$R117/($Q117*$AH117),""))</f>
        <v/>
      </c>
      <c r="AJ117" s="71" t="str">
        <f>IF(ISNUMBER($K117),YEAR($K117)&amp;"-"&amp;TEXT(MONTH($K117),"00"),"")</f>
        <v/>
      </c>
      <c r="AK117" s="71">
        <f>IF($B117="",0,IF(AND(OR(fClient="All",$A117=fClient),OR(fCampaign="All",$B117=fCampaign),OR(fTeam="All",$I117=fTeam),OR(fChannel="All",$H117=fChannel),OR(fCStatus="All",$N117=fCStatus)),1,0))</f>
        <v>0</v>
      </c>
      <c r="AL117" s="71">
        <f>IF($B117="",0,IF(AND(OR(fClient="All",$A117=fClient),OR(fCampaign="All",$B117=fCampaign),OR(fTeam="All",$I117=fTeam),OR(fChannel="All",$H117=fChannel)),1,0))</f>
        <v>0</v>
      </c>
      <c r="AM117" s="71">
        <f>IF(OR($N117="Live",$N117="Optimizing"),1,0)</f>
        <v>0</v>
      </c>
      <c r="AN117" s="71">
        <f>IF(OR($N117="Live",$N117="Optimizing",$N117="Paused",$N117="Completed"),1,0)</f>
        <v>0</v>
      </c>
      <c r="AO117" s="71">
        <f>IF(AND($AM117=1,ISNUMBER($L117),NOT(ISNUMBER($M117))),IF($L117&lt;ReportDate,1,0),0)</f>
        <v>0</v>
      </c>
      <c r="AP117" s="71">
        <f>IF($AM117=1,IF(ISNUMBER($AG117),IF(ReportDate-$AG117&gt;CampStaleDays,1,0),1),0)</f>
        <v>0</v>
      </c>
      <c r="AQ117" s="71">
        <f>IF(AND($AM117=1,OR($AA117="Behind",$AA117="At Risk")),1,0)</f>
        <v>0</v>
      </c>
      <c r="AR117" s="71">
        <f>IF(AND($AM117=1,OR($AA117="Ahead",$AA117="On Track")),1,0)</f>
        <v>0</v>
      </c>
      <c r="AS117" s="71">
        <f>IF(OR($AQ117=1,$AP117=1,$AO117=1),1,0)</f>
        <v>0</v>
      </c>
      <c r="AT117" s="71" t="str">
        <f>IF($AS117=1,TRIM(IF($AQ117=1,"Low performance. ","")&amp;IF($AP117=1,"No recent update. ","")&amp;IF($AO117=1,"Past planned end. ","")),"")</f>
        <v/>
      </c>
      <c r="AU117" s="71" t="str">
        <f>IF(AND($AS117=1,$AL117=1),ROW(),"")</f>
        <v/>
      </c>
      <c r="AV117" s="71" t="str">
        <f>IF(AND($AQ117=1,$AL117=1),ROW(),"")</f>
        <v/>
      </c>
      <c r="AW117" s="71" t="str">
        <f>IF(AND($AP117=1,$AL117=1),ROW(),"")</f>
        <v/>
      </c>
      <c r="AX117" s="71" t="str">
        <f>IF(AND($AR117=1,$AL117=1),ROW(),"")</f>
        <v/>
      </c>
      <c r="AY117" s="71">
        <f>IF(AND($B117&lt;&gt;"",$A117=TCL_Client),1,0)</f>
        <v>0</v>
      </c>
      <c r="AZ117" s="71" t="str">
        <f>IF($AY117=1,ROW(),"")</f>
        <v/>
      </c>
      <c r="BA117" s="71">
        <f>IF(AND($B117&lt;&gt;"",$A117=MECCA_Client),1,0)</f>
        <v>0</v>
      </c>
      <c r="BB117" s="71" t="str">
        <f>IF($BA117=1,ROW(),"")</f>
        <v/>
      </c>
    </row>
    <row r="118">
      <c r="A118" s="64" t="n"/>
      <c r="B118" s="65" t="n"/>
      <c r="C118" s="64" t="n"/>
      <c r="D118" s="64" t="n"/>
      <c r="E118" s="64" t="n"/>
      <c r="F118" s="65" t="n"/>
      <c r="G118" s="65" t="n"/>
      <c r="H118" s="64" t="n"/>
      <c r="I118" s="64" t="n"/>
      <c r="J118" s="65" t="n"/>
      <c r="K118" s="63" t="n"/>
      <c r="L118" s="63" t="n"/>
      <c r="M118" s="63" t="n"/>
      <c r="N118" s="64" t="n"/>
      <c r="O118" s="67" t="n"/>
      <c r="P118" s="72" t="str">
        <f>IF($B118="","",SUMIFS('PAID MEDIA ADS'!$G$5:$G$804,'PAID MEDIA ADS'!$C$5:$C$804,$B118))</f>
        <v/>
      </c>
      <c r="Q118" s="67" t="n"/>
      <c r="R118" s="72" t="str">
        <f>IF($B118="","",COUNTIFS('LEAD MQL TRACKER'!$C$5:$C$1004,$B118,'LEAD MQL TRACKER'!$AB$5:$AB$1004,1)+SUMIFS('EMAIL MARKETING'!$Q$5:$Q$804,'EMAIL MARKETING'!$C$5:$C$804,$B118)+SUMIFS('PAID MEDIA ADS'!$M$5:$M$804,'PAID MEDIA ADS'!$C$5:$C$804,$B118)+SUMIFS('LINKEDIN OUTREACH'!$N$5:$N$704,'LINKEDIN OUTREACH'!$C$5:$C$704,$B118))</f>
        <v/>
      </c>
      <c r="S118" s="67" t="n"/>
      <c r="T118" s="72" t="str">
        <f>IF($B118="","",COUNTIFS('LEAD MQL TRACKER'!$C$5:$C$1004,$B118,'LEAD MQL TRACKER'!$AD$5:$AD$1004,1)+SUMIFS('EMAIL MARKETING'!$R$5:$R$804,'EMAIL MARKETING'!$C$5:$C$804,$B118)+SUMIFS('PAID MEDIA ADS'!$N$5:$N$804,'PAID MEDIA ADS'!$C$5:$C$804,$B118)+SUMIFS('LINKEDIN OUTREACH'!$O$5:$O$704,'LINKEDIN OUTREACH'!$C$5:$C$704,$B118))</f>
        <v/>
      </c>
      <c r="U118" s="67" t="n"/>
      <c r="V118" s="72" t="str">
        <f>IF($B118="","",COUNTIFS('LEAD MQL TRACKER'!$C$5:$C$1004,$B118,'LEAD MQL TRACKER'!$AE$5:$AE$1004,1))</f>
        <v/>
      </c>
      <c r="W118" s="72" t="str">
        <f>IF($B118="","",COUNTIFS('LEAD MQL TRACKER'!$C$5:$C$1004,$B118,'LEAD MQL TRACKER'!$AC$5:$AC$1004,1)+SUMIFS('LINKEDIN OUTREACH'!$M$5:$M$704,'LINKEDIN OUTREACH'!$C$5:$C$704,$B118))</f>
        <v/>
      </c>
      <c r="X118" s="72" t="str">
        <f>IF($B118="","",SUMIFS('EMAIL MARKETING'!$O$5:$O$804,'EMAIL MARKETING'!$C$5:$C$804,$B118)+SUMIFS('LINKEDIN OUTREACH'!$K$5:$K$704,'LINKEDIN OUTREACH'!$C$5:$C$704,$B118))</f>
        <v/>
      </c>
      <c r="Y118" s="73" t="str">
        <f>IF(ISNUMBER($R118),IF($R118&gt;0,$T118/$R118,""),"")</f>
        <v/>
      </c>
      <c r="Z118" s="72" t="str">
        <f>IF(AND(ISNUMBER($P118),ISNUMBER($R118)),IF(AND($P118&gt;0,$R118&gt;0),$P118/$R118,""),"")</f>
        <v/>
      </c>
      <c r="AA118" s="71" t="str">
        <f>IF($B118="","",IF(OR($N118="Live",$N118="Optimizing",$N118="Paused",$N118="Completed"),IF(ISNUMBER($AI118),IF($AI118&gt;=1,"Ahead",IF($AI118&gt;=OnTrackPct,"On Track",IF($AI118&gt;=WatchPct,"Behind","At Risk"))),"No Target Set"),"Not Live"))</f>
        <v/>
      </c>
      <c r="AB118" s="65" t="n"/>
      <c r="AC118" s="65" t="n"/>
      <c r="AD118" s="65" t="n"/>
      <c r="AE118" s="67" t="n"/>
      <c r="AF118" s="67" t="n"/>
      <c r="AG118" s="63" t="n"/>
      <c r="AH118" s="74">
        <f>IF($N118="Completed",1,IF(AND(ISNUMBER($K118),ISNUMBER($L118)),IF($L118&gt;$K118,MIN(1,MAX(0.05,(ReportDate-$K118)/($L118-$K118))),1),1))</f>
        <v>1</v>
      </c>
      <c r="AI118" s="70" t="str">
        <f>IF($B118="","",IF(AND(ISNUMBER($Q118),$Q118&gt;0),$R118/($Q118*$AH118),""))</f>
        <v/>
      </c>
      <c r="AJ118" s="71" t="str">
        <f>IF(ISNUMBER($K118),YEAR($K118)&amp;"-"&amp;TEXT(MONTH($K118),"00"),"")</f>
        <v/>
      </c>
      <c r="AK118" s="71">
        <f>IF($B118="",0,IF(AND(OR(fClient="All",$A118=fClient),OR(fCampaign="All",$B118=fCampaign),OR(fTeam="All",$I118=fTeam),OR(fChannel="All",$H118=fChannel),OR(fCStatus="All",$N118=fCStatus)),1,0))</f>
        <v>0</v>
      </c>
      <c r="AL118" s="71">
        <f>IF($B118="",0,IF(AND(OR(fClient="All",$A118=fClient),OR(fCampaign="All",$B118=fCampaign),OR(fTeam="All",$I118=fTeam),OR(fChannel="All",$H118=fChannel)),1,0))</f>
        <v>0</v>
      </c>
      <c r="AM118" s="71">
        <f>IF(OR($N118="Live",$N118="Optimizing"),1,0)</f>
        <v>0</v>
      </c>
      <c r="AN118" s="71">
        <f>IF(OR($N118="Live",$N118="Optimizing",$N118="Paused",$N118="Completed"),1,0)</f>
        <v>0</v>
      </c>
      <c r="AO118" s="71">
        <f>IF(AND($AM118=1,ISNUMBER($L118),NOT(ISNUMBER($M118))),IF($L118&lt;ReportDate,1,0),0)</f>
        <v>0</v>
      </c>
      <c r="AP118" s="71">
        <f>IF($AM118=1,IF(ISNUMBER($AG118),IF(ReportDate-$AG118&gt;CampStaleDays,1,0),1),0)</f>
        <v>0</v>
      </c>
      <c r="AQ118" s="71">
        <f>IF(AND($AM118=1,OR($AA118="Behind",$AA118="At Risk")),1,0)</f>
        <v>0</v>
      </c>
      <c r="AR118" s="71">
        <f>IF(AND($AM118=1,OR($AA118="Ahead",$AA118="On Track")),1,0)</f>
        <v>0</v>
      </c>
      <c r="AS118" s="71">
        <f>IF(OR($AQ118=1,$AP118=1,$AO118=1),1,0)</f>
        <v>0</v>
      </c>
      <c r="AT118" s="71" t="str">
        <f>IF($AS118=1,TRIM(IF($AQ118=1,"Low performance. ","")&amp;IF($AP118=1,"No recent update. ","")&amp;IF($AO118=1,"Past planned end. ","")),"")</f>
        <v/>
      </c>
      <c r="AU118" s="71" t="str">
        <f>IF(AND($AS118=1,$AL118=1),ROW(),"")</f>
        <v/>
      </c>
      <c r="AV118" s="71" t="str">
        <f>IF(AND($AQ118=1,$AL118=1),ROW(),"")</f>
        <v/>
      </c>
      <c r="AW118" s="71" t="str">
        <f>IF(AND($AP118=1,$AL118=1),ROW(),"")</f>
        <v/>
      </c>
      <c r="AX118" s="71" t="str">
        <f>IF(AND($AR118=1,$AL118=1),ROW(),"")</f>
        <v/>
      </c>
      <c r="AY118" s="71">
        <f>IF(AND($B118&lt;&gt;"",$A118=TCL_Client),1,0)</f>
        <v>0</v>
      </c>
      <c r="AZ118" s="71" t="str">
        <f>IF($AY118=1,ROW(),"")</f>
        <v/>
      </c>
      <c r="BA118" s="71">
        <f>IF(AND($B118&lt;&gt;"",$A118=MECCA_Client),1,0)</f>
        <v>0</v>
      </c>
      <c r="BB118" s="71" t="str">
        <f>IF($BA118=1,ROW(),"")</f>
        <v/>
      </c>
    </row>
    <row r="119">
      <c r="A119" s="64" t="n"/>
      <c r="B119" s="65" t="n"/>
      <c r="C119" s="64" t="n"/>
      <c r="D119" s="64" t="n"/>
      <c r="E119" s="64" t="n"/>
      <c r="F119" s="65" t="n"/>
      <c r="G119" s="65" t="n"/>
      <c r="H119" s="64" t="n"/>
      <c r="I119" s="64" t="n"/>
      <c r="J119" s="65" t="n"/>
      <c r="K119" s="63" t="n"/>
      <c r="L119" s="63" t="n"/>
      <c r="M119" s="63" t="n"/>
      <c r="N119" s="64" t="n"/>
      <c r="O119" s="67" t="n"/>
      <c r="P119" s="72" t="str">
        <f>IF($B119="","",SUMIFS('PAID MEDIA ADS'!$G$5:$G$804,'PAID MEDIA ADS'!$C$5:$C$804,$B119))</f>
        <v/>
      </c>
      <c r="Q119" s="67" t="n"/>
      <c r="R119" s="72" t="str">
        <f>IF($B119="","",COUNTIFS('LEAD MQL TRACKER'!$C$5:$C$1004,$B119,'LEAD MQL TRACKER'!$AB$5:$AB$1004,1)+SUMIFS('EMAIL MARKETING'!$Q$5:$Q$804,'EMAIL MARKETING'!$C$5:$C$804,$B119)+SUMIFS('PAID MEDIA ADS'!$M$5:$M$804,'PAID MEDIA ADS'!$C$5:$C$804,$B119)+SUMIFS('LINKEDIN OUTREACH'!$N$5:$N$704,'LINKEDIN OUTREACH'!$C$5:$C$704,$B119))</f>
        <v/>
      </c>
      <c r="S119" s="67" t="n"/>
      <c r="T119" s="72" t="str">
        <f>IF($B119="","",COUNTIFS('LEAD MQL TRACKER'!$C$5:$C$1004,$B119,'LEAD MQL TRACKER'!$AD$5:$AD$1004,1)+SUMIFS('EMAIL MARKETING'!$R$5:$R$804,'EMAIL MARKETING'!$C$5:$C$804,$B119)+SUMIFS('PAID MEDIA ADS'!$N$5:$N$804,'PAID MEDIA ADS'!$C$5:$C$804,$B119)+SUMIFS('LINKEDIN OUTREACH'!$O$5:$O$704,'LINKEDIN OUTREACH'!$C$5:$C$704,$B119))</f>
        <v/>
      </c>
      <c r="U119" s="67" t="n"/>
      <c r="V119" s="72" t="str">
        <f>IF($B119="","",COUNTIFS('LEAD MQL TRACKER'!$C$5:$C$1004,$B119,'LEAD MQL TRACKER'!$AE$5:$AE$1004,1))</f>
        <v/>
      </c>
      <c r="W119" s="72" t="str">
        <f>IF($B119="","",COUNTIFS('LEAD MQL TRACKER'!$C$5:$C$1004,$B119,'LEAD MQL TRACKER'!$AC$5:$AC$1004,1)+SUMIFS('LINKEDIN OUTREACH'!$M$5:$M$704,'LINKEDIN OUTREACH'!$C$5:$C$704,$B119))</f>
        <v/>
      </c>
      <c r="X119" s="72" t="str">
        <f>IF($B119="","",SUMIFS('EMAIL MARKETING'!$O$5:$O$804,'EMAIL MARKETING'!$C$5:$C$804,$B119)+SUMIFS('LINKEDIN OUTREACH'!$K$5:$K$704,'LINKEDIN OUTREACH'!$C$5:$C$704,$B119))</f>
        <v/>
      </c>
      <c r="Y119" s="73" t="str">
        <f>IF(ISNUMBER($R119),IF($R119&gt;0,$T119/$R119,""),"")</f>
        <v/>
      </c>
      <c r="Z119" s="72" t="str">
        <f>IF(AND(ISNUMBER($P119),ISNUMBER($R119)),IF(AND($P119&gt;0,$R119&gt;0),$P119/$R119,""),"")</f>
        <v/>
      </c>
      <c r="AA119" s="71" t="str">
        <f>IF($B119="","",IF(OR($N119="Live",$N119="Optimizing",$N119="Paused",$N119="Completed"),IF(ISNUMBER($AI119),IF($AI119&gt;=1,"Ahead",IF($AI119&gt;=OnTrackPct,"On Track",IF($AI119&gt;=WatchPct,"Behind","At Risk"))),"No Target Set"),"Not Live"))</f>
        <v/>
      </c>
      <c r="AB119" s="65" t="n"/>
      <c r="AC119" s="65" t="n"/>
      <c r="AD119" s="65" t="n"/>
      <c r="AE119" s="67" t="n"/>
      <c r="AF119" s="67" t="n"/>
      <c r="AG119" s="63" t="n"/>
      <c r="AH119" s="74">
        <f>IF($N119="Completed",1,IF(AND(ISNUMBER($K119),ISNUMBER($L119)),IF($L119&gt;$K119,MIN(1,MAX(0.05,(ReportDate-$K119)/($L119-$K119))),1),1))</f>
        <v>1</v>
      </c>
      <c r="AI119" s="70" t="str">
        <f>IF($B119="","",IF(AND(ISNUMBER($Q119),$Q119&gt;0),$R119/($Q119*$AH119),""))</f>
        <v/>
      </c>
      <c r="AJ119" s="71" t="str">
        <f>IF(ISNUMBER($K119),YEAR($K119)&amp;"-"&amp;TEXT(MONTH($K119),"00"),"")</f>
        <v/>
      </c>
      <c r="AK119" s="71">
        <f>IF($B119="",0,IF(AND(OR(fClient="All",$A119=fClient),OR(fCampaign="All",$B119=fCampaign),OR(fTeam="All",$I119=fTeam),OR(fChannel="All",$H119=fChannel),OR(fCStatus="All",$N119=fCStatus)),1,0))</f>
        <v>0</v>
      </c>
      <c r="AL119" s="71">
        <f>IF($B119="",0,IF(AND(OR(fClient="All",$A119=fClient),OR(fCampaign="All",$B119=fCampaign),OR(fTeam="All",$I119=fTeam),OR(fChannel="All",$H119=fChannel)),1,0))</f>
        <v>0</v>
      </c>
      <c r="AM119" s="71">
        <f>IF(OR($N119="Live",$N119="Optimizing"),1,0)</f>
        <v>0</v>
      </c>
      <c r="AN119" s="71">
        <f>IF(OR($N119="Live",$N119="Optimizing",$N119="Paused",$N119="Completed"),1,0)</f>
        <v>0</v>
      </c>
      <c r="AO119" s="71">
        <f>IF(AND($AM119=1,ISNUMBER($L119),NOT(ISNUMBER($M119))),IF($L119&lt;ReportDate,1,0),0)</f>
        <v>0</v>
      </c>
      <c r="AP119" s="71">
        <f>IF($AM119=1,IF(ISNUMBER($AG119),IF(ReportDate-$AG119&gt;CampStaleDays,1,0),1),0)</f>
        <v>0</v>
      </c>
      <c r="AQ119" s="71">
        <f>IF(AND($AM119=1,OR($AA119="Behind",$AA119="At Risk")),1,0)</f>
        <v>0</v>
      </c>
      <c r="AR119" s="71">
        <f>IF(AND($AM119=1,OR($AA119="Ahead",$AA119="On Track")),1,0)</f>
        <v>0</v>
      </c>
      <c r="AS119" s="71">
        <f>IF(OR($AQ119=1,$AP119=1,$AO119=1),1,0)</f>
        <v>0</v>
      </c>
      <c r="AT119" s="71" t="str">
        <f>IF($AS119=1,TRIM(IF($AQ119=1,"Low performance. ","")&amp;IF($AP119=1,"No recent update. ","")&amp;IF($AO119=1,"Past planned end. ","")),"")</f>
        <v/>
      </c>
      <c r="AU119" s="71" t="str">
        <f>IF(AND($AS119=1,$AL119=1),ROW(),"")</f>
        <v/>
      </c>
      <c r="AV119" s="71" t="str">
        <f>IF(AND($AQ119=1,$AL119=1),ROW(),"")</f>
        <v/>
      </c>
      <c r="AW119" s="71" t="str">
        <f>IF(AND($AP119=1,$AL119=1),ROW(),"")</f>
        <v/>
      </c>
      <c r="AX119" s="71" t="str">
        <f>IF(AND($AR119=1,$AL119=1),ROW(),"")</f>
        <v/>
      </c>
      <c r="AY119" s="71">
        <f>IF(AND($B119&lt;&gt;"",$A119=TCL_Client),1,0)</f>
        <v>0</v>
      </c>
      <c r="AZ119" s="71" t="str">
        <f>IF($AY119=1,ROW(),"")</f>
        <v/>
      </c>
      <c r="BA119" s="71">
        <f>IF(AND($B119&lt;&gt;"",$A119=MECCA_Client),1,0)</f>
        <v>0</v>
      </c>
      <c r="BB119" s="71" t="str">
        <f>IF($BA119=1,ROW(),"")</f>
        <v/>
      </c>
    </row>
    <row r="120">
      <c r="A120" s="64" t="n"/>
      <c r="B120" s="65" t="n"/>
      <c r="C120" s="64" t="n"/>
      <c r="D120" s="64" t="n"/>
      <c r="E120" s="64" t="n"/>
      <c r="F120" s="65" t="n"/>
      <c r="G120" s="65" t="n"/>
      <c r="H120" s="64" t="n"/>
      <c r="I120" s="64" t="n"/>
      <c r="J120" s="65" t="n"/>
      <c r="K120" s="63" t="n"/>
      <c r="L120" s="63" t="n"/>
      <c r="M120" s="63" t="n"/>
      <c r="N120" s="64" t="n"/>
      <c r="O120" s="67" t="n"/>
      <c r="P120" s="72" t="str">
        <f>IF($B120="","",SUMIFS('PAID MEDIA ADS'!$G$5:$G$804,'PAID MEDIA ADS'!$C$5:$C$804,$B120))</f>
        <v/>
      </c>
      <c r="Q120" s="67" t="n"/>
      <c r="R120" s="72" t="str">
        <f>IF($B120="","",COUNTIFS('LEAD MQL TRACKER'!$C$5:$C$1004,$B120,'LEAD MQL TRACKER'!$AB$5:$AB$1004,1)+SUMIFS('EMAIL MARKETING'!$Q$5:$Q$804,'EMAIL MARKETING'!$C$5:$C$804,$B120)+SUMIFS('PAID MEDIA ADS'!$M$5:$M$804,'PAID MEDIA ADS'!$C$5:$C$804,$B120)+SUMIFS('LINKEDIN OUTREACH'!$N$5:$N$704,'LINKEDIN OUTREACH'!$C$5:$C$704,$B120))</f>
        <v/>
      </c>
      <c r="S120" s="67" t="n"/>
      <c r="T120" s="72" t="str">
        <f>IF($B120="","",COUNTIFS('LEAD MQL TRACKER'!$C$5:$C$1004,$B120,'LEAD MQL TRACKER'!$AD$5:$AD$1004,1)+SUMIFS('EMAIL MARKETING'!$R$5:$R$804,'EMAIL MARKETING'!$C$5:$C$804,$B120)+SUMIFS('PAID MEDIA ADS'!$N$5:$N$804,'PAID MEDIA ADS'!$C$5:$C$804,$B120)+SUMIFS('LINKEDIN OUTREACH'!$O$5:$O$704,'LINKEDIN OUTREACH'!$C$5:$C$704,$B120))</f>
        <v/>
      </c>
      <c r="U120" s="67" t="n"/>
      <c r="V120" s="72" t="str">
        <f>IF($B120="","",COUNTIFS('LEAD MQL TRACKER'!$C$5:$C$1004,$B120,'LEAD MQL TRACKER'!$AE$5:$AE$1004,1))</f>
        <v/>
      </c>
      <c r="W120" s="72" t="str">
        <f>IF($B120="","",COUNTIFS('LEAD MQL TRACKER'!$C$5:$C$1004,$B120,'LEAD MQL TRACKER'!$AC$5:$AC$1004,1)+SUMIFS('LINKEDIN OUTREACH'!$M$5:$M$704,'LINKEDIN OUTREACH'!$C$5:$C$704,$B120))</f>
        <v/>
      </c>
      <c r="X120" s="72" t="str">
        <f>IF($B120="","",SUMIFS('EMAIL MARKETING'!$O$5:$O$804,'EMAIL MARKETING'!$C$5:$C$804,$B120)+SUMIFS('LINKEDIN OUTREACH'!$K$5:$K$704,'LINKEDIN OUTREACH'!$C$5:$C$704,$B120))</f>
        <v/>
      </c>
      <c r="Y120" s="73" t="str">
        <f>IF(ISNUMBER($R120),IF($R120&gt;0,$T120/$R120,""),"")</f>
        <v/>
      </c>
      <c r="Z120" s="72" t="str">
        <f>IF(AND(ISNUMBER($P120),ISNUMBER($R120)),IF(AND($P120&gt;0,$R120&gt;0),$P120/$R120,""),"")</f>
        <v/>
      </c>
      <c r="AA120" s="71" t="str">
        <f>IF($B120="","",IF(OR($N120="Live",$N120="Optimizing",$N120="Paused",$N120="Completed"),IF(ISNUMBER($AI120),IF($AI120&gt;=1,"Ahead",IF($AI120&gt;=OnTrackPct,"On Track",IF($AI120&gt;=WatchPct,"Behind","At Risk"))),"No Target Set"),"Not Live"))</f>
        <v/>
      </c>
      <c r="AB120" s="65" t="n"/>
      <c r="AC120" s="65" t="n"/>
      <c r="AD120" s="65" t="n"/>
      <c r="AE120" s="67" t="n"/>
      <c r="AF120" s="67" t="n"/>
      <c r="AG120" s="63" t="n"/>
      <c r="AH120" s="74">
        <f>IF($N120="Completed",1,IF(AND(ISNUMBER($K120),ISNUMBER($L120)),IF($L120&gt;$K120,MIN(1,MAX(0.05,(ReportDate-$K120)/($L120-$K120))),1),1))</f>
        <v>1</v>
      </c>
      <c r="AI120" s="70" t="str">
        <f>IF($B120="","",IF(AND(ISNUMBER($Q120),$Q120&gt;0),$R120/($Q120*$AH120),""))</f>
        <v/>
      </c>
      <c r="AJ120" s="71" t="str">
        <f>IF(ISNUMBER($K120),YEAR($K120)&amp;"-"&amp;TEXT(MONTH($K120),"00"),"")</f>
        <v/>
      </c>
      <c r="AK120" s="71">
        <f>IF($B120="",0,IF(AND(OR(fClient="All",$A120=fClient),OR(fCampaign="All",$B120=fCampaign),OR(fTeam="All",$I120=fTeam),OR(fChannel="All",$H120=fChannel),OR(fCStatus="All",$N120=fCStatus)),1,0))</f>
        <v>0</v>
      </c>
      <c r="AL120" s="71">
        <f>IF($B120="",0,IF(AND(OR(fClient="All",$A120=fClient),OR(fCampaign="All",$B120=fCampaign),OR(fTeam="All",$I120=fTeam),OR(fChannel="All",$H120=fChannel)),1,0))</f>
        <v>0</v>
      </c>
      <c r="AM120" s="71">
        <f>IF(OR($N120="Live",$N120="Optimizing"),1,0)</f>
        <v>0</v>
      </c>
      <c r="AN120" s="71">
        <f>IF(OR($N120="Live",$N120="Optimizing",$N120="Paused",$N120="Completed"),1,0)</f>
        <v>0</v>
      </c>
      <c r="AO120" s="71">
        <f>IF(AND($AM120=1,ISNUMBER($L120),NOT(ISNUMBER($M120))),IF($L120&lt;ReportDate,1,0),0)</f>
        <v>0</v>
      </c>
      <c r="AP120" s="71">
        <f>IF($AM120=1,IF(ISNUMBER($AG120),IF(ReportDate-$AG120&gt;CampStaleDays,1,0),1),0)</f>
        <v>0</v>
      </c>
      <c r="AQ120" s="71">
        <f>IF(AND($AM120=1,OR($AA120="Behind",$AA120="At Risk")),1,0)</f>
        <v>0</v>
      </c>
      <c r="AR120" s="71">
        <f>IF(AND($AM120=1,OR($AA120="Ahead",$AA120="On Track")),1,0)</f>
        <v>0</v>
      </c>
      <c r="AS120" s="71">
        <f>IF(OR($AQ120=1,$AP120=1,$AO120=1),1,0)</f>
        <v>0</v>
      </c>
      <c r="AT120" s="71" t="str">
        <f>IF($AS120=1,TRIM(IF($AQ120=1,"Low performance. ","")&amp;IF($AP120=1,"No recent update. ","")&amp;IF($AO120=1,"Past planned end. ","")),"")</f>
        <v/>
      </c>
      <c r="AU120" s="71" t="str">
        <f>IF(AND($AS120=1,$AL120=1),ROW(),"")</f>
        <v/>
      </c>
      <c r="AV120" s="71" t="str">
        <f>IF(AND($AQ120=1,$AL120=1),ROW(),"")</f>
        <v/>
      </c>
      <c r="AW120" s="71" t="str">
        <f>IF(AND($AP120=1,$AL120=1),ROW(),"")</f>
        <v/>
      </c>
      <c r="AX120" s="71" t="str">
        <f>IF(AND($AR120=1,$AL120=1),ROW(),"")</f>
        <v/>
      </c>
      <c r="AY120" s="71">
        <f>IF(AND($B120&lt;&gt;"",$A120=TCL_Client),1,0)</f>
        <v>0</v>
      </c>
      <c r="AZ120" s="71" t="str">
        <f>IF($AY120=1,ROW(),"")</f>
        <v/>
      </c>
      <c r="BA120" s="71">
        <f>IF(AND($B120&lt;&gt;"",$A120=MECCA_Client),1,0)</f>
        <v>0</v>
      </c>
      <c r="BB120" s="71" t="str">
        <f>IF($BA120=1,ROW(),"")</f>
        <v/>
      </c>
    </row>
    <row r="121">
      <c r="A121" s="64" t="n"/>
      <c r="B121" s="65" t="n"/>
      <c r="C121" s="64" t="n"/>
      <c r="D121" s="64" t="n"/>
      <c r="E121" s="64" t="n"/>
      <c r="F121" s="65" t="n"/>
      <c r="G121" s="65" t="n"/>
      <c r="H121" s="64" t="n"/>
      <c r="I121" s="64" t="n"/>
      <c r="J121" s="65" t="n"/>
      <c r="K121" s="63" t="n"/>
      <c r="L121" s="63" t="n"/>
      <c r="M121" s="63" t="n"/>
      <c r="N121" s="64" t="n"/>
      <c r="O121" s="67" t="n"/>
      <c r="P121" s="72" t="str">
        <f>IF($B121="","",SUMIFS('PAID MEDIA ADS'!$G$5:$G$804,'PAID MEDIA ADS'!$C$5:$C$804,$B121))</f>
        <v/>
      </c>
      <c r="Q121" s="67" t="n"/>
      <c r="R121" s="72" t="str">
        <f>IF($B121="","",COUNTIFS('LEAD MQL TRACKER'!$C$5:$C$1004,$B121,'LEAD MQL TRACKER'!$AB$5:$AB$1004,1)+SUMIFS('EMAIL MARKETING'!$Q$5:$Q$804,'EMAIL MARKETING'!$C$5:$C$804,$B121)+SUMIFS('PAID MEDIA ADS'!$M$5:$M$804,'PAID MEDIA ADS'!$C$5:$C$804,$B121)+SUMIFS('LINKEDIN OUTREACH'!$N$5:$N$704,'LINKEDIN OUTREACH'!$C$5:$C$704,$B121))</f>
        <v/>
      </c>
      <c r="S121" s="67" t="n"/>
      <c r="T121" s="72" t="str">
        <f>IF($B121="","",COUNTIFS('LEAD MQL TRACKER'!$C$5:$C$1004,$B121,'LEAD MQL TRACKER'!$AD$5:$AD$1004,1)+SUMIFS('EMAIL MARKETING'!$R$5:$R$804,'EMAIL MARKETING'!$C$5:$C$804,$B121)+SUMIFS('PAID MEDIA ADS'!$N$5:$N$804,'PAID MEDIA ADS'!$C$5:$C$804,$B121)+SUMIFS('LINKEDIN OUTREACH'!$O$5:$O$704,'LINKEDIN OUTREACH'!$C$5:$C$704,$B121))</f>
        <v/>
      </c>
      <c r="U121" s="67" t="n"/>
      <c r="V121" s="72" t="str">
        <f>IF($B121="","",COUNTIFS('LEAD MQL TRACKER'!$C$5:$C$1004,$B121,'LEAD MQL TRACKER'!$AE$5:$AE$1004,1))</f>
        <v/>
      </c>
      <c r="W121" s="72" t="str">
        <f>IF($B121="","",COUNTIFS('LEAD MQL TRACKER'!$C$5:$C$1004,$B121,'LEAD MQL TRACKER'!$AC$5:$AC$1004,1)+SUMIFS('LINKEDIN OUTREACH'!$M$5:$M$704,'LINKEDIN OUTREACH'!$C$5:$C$704,$B121))</f>
        <v/>
      </c>
      <c r="X121" s="72" t="str">
        <f>IF($B121="","",SUMIFS('EMAIL MARKETING'!$O$5:$O$804,'EMAIL MARKETING'!$C$5:$C$804,$B121)+SUMIFS('LINKEDIN OUTREACH'!$K$5:$K$704,'LINKEDIN OUTREACH'!$C$5:$C$704,$B121))</f>
        <v/>
      </c>
      <c r="Y121" s="73" t="str">
        <f>IF(ISNUMBER($R121),IF($R121&gt;0,$T121/$R121,""),"")</f>
        <v/>
      </c>
      <c r="Z121" s="72" t="str">
        <f>IF(AND(ISNUMBER($P121),ISNUMBER($R121)),IF(AND($P121&gt;0,$R121&gt;0),$P121/$R121,""),"")</f>
        <v/>
      </c>
      <c r="AA121" s="71" t="str">
        <f>IF($B121="","",IF(OR($N121="Live",$N121="Optimizing",$N121="Paused",$N121="Completed"),IF(ISNUMBER($AI121),IF($AI121&gt;=1,"Ahead",IF($AI121&gt;=OnTrackPct,"On Track",IF($AI121&gt;=WatchPct,"Behind","At Risk"))),"No Target Set"),"Not Live"))</f>
        <v/>
      </c>
      <c r="AB121" s="65" t="n"/>
      <c r="AC121" s="65" t="n"/>
      <c r="AD121" s="65" t="n"/>
      <c r="AE121" s="67" t="n"/>
      <c r="AF121" s="67" t="n"/>
      <c r="AG121" s="63" t="n"/>
      <c r="AH121" s="74">
        <f>IF($N121="Completed",1,IF(AND(ISNUMBER($K121),ISNUMBER($L121)),IF($L121&gt;$K121,MIN(1,MAX(0.05,(ReportDate-$K121)/($L121-$K121))),1),1))</f>
        <v>1</v>
      </c>
      <c r="AI121" s="70" t="str">
        <f>IF($B121="","",IF(AND(ISNUMBER($Q121),$Q121&gt;0),$R121/($Q121*$AH121),""))</f>
        <v/>
      </c>
      <c r="AJ121" s="71" t="str">
        <f>IF(ISNUMBER($K121),YEAR($K121)&amp;"-"&amp;TEXT(MONTH($K121),"00"),"")</f>
        <v/>
      </c>
      <c r="AK121" s="71">
        <f>IF($B121="",0,IF(AND(OR(fClient="All",$A121=fClient),OR(fCampaign="All",$B121=fCampaign),OR(fTeam="All",$I121=fTeam),OR(fChannel="All",$H121=fChannel),OR(fCStatus="All",$N121=fCStatus)),1,0))</f>
        <v>0</v>
      </c>
      <c r="AL121" s="71">
        <f>IF($B121="",0,IF(AND(OR(fClient="All",$A121=fClient),OR(fCampaign="All",$B121=fCampaign),OR(fTeam="All",$I121=fTeam),OR(fChannel="All",$H121=fChannel)),1,0))</f>
        <v>0</v>
      </c>
      <c r="AM121" s="71">
        <f>IF(OR($N121="Live",$N121="Optimizing"),1,0)</f>
        <v>0</v>
      </c>
      <c r="AN121" s="71">
        <f>IF(OR($N121="Live",$N121="Optimizing",$N121="Paused",$N121="Completed"),1,0)</f>
        <v>0</v>
      </c>
      <c r="AO121" s="71">
        <f>IF(AND($AM121=1,ISNUMBER($L121),NOT(ISNUMBER($M121))),IF($L121&lt;ReportDate,1,0),0)</f>
        <v>0</v>
      </c>
      <c r="AP121" s="71">
        <f>IF($AM121=1,IF(ISNUMBER($AG121),IF(ReportDate-$AG121&gt;CampStaleDays,1,0),1),0)</f>
        <v>0</v>
      </c>
      <c r="AQ121" s="71">
        <f>IF(AND($AM121=1,OR($AA121="Behind",$AA121="At Risk")),1,0)</f>
        <v>0</v>
      </c>
      <c r="AR121" s="71">
        <f>IF(AND($AM121=1,OR($AA121="Ahead",$AA121="On Track")),1,0)</f>
        <v>0</v>
      </c>
      <c r="AS121" s="71">
        <f>IF(OR($AQ121=1,$AP121=1,$AO121=1),1,0)</f>
        <v>0</v>
      </c>
      <c r="AT121" s="71" t="str">
        <f>IF($AS121=1,TRIM(IF($AQ121=1,"Low performance. ","")&amp;IF($AP121=1,"No recent update. ","")&amp;IF($AO121=1,"Past planned end. ","")),"")</f>
        <v/>
      </c>
      <c r="AU121" s="71" t="str">
        <f>IF(AND($AS121=1,$AL121=1),ROW(),"")</f>
        <v/>
      </c>
      <c r="AV121" s="71" t="str">
        <f>IF(AND($AQ121=1,$AL121=1),ROW(),"")</f>
        <v/>
      </c>
      <c r="AW121" s="71" t="str">
        <f>IF(AND($AP121=1,$AL121=1),ROW(),"")</f>
        <v/>
      </c>
      <c r="AX121" s="71" t="str">
        <f>IF(AND($AR121=1,$AL121=1),ROW(),"")</f>
        <v/>
      </c>
      <c r="AY121" s="71">
        <f>IF(AND($B121&lt;&gt;"",$A121=TCL_Client),1,0)</f>
        <v>0</v>
      </c>
      <c r="AZ121" s="71" t="str">
        <f>IF($AY121=1,ROW(),"")</f>
        <v/>
      </c>
      <c r="BA121" s="71">
        <f>IF(AND($B121&lt;&gt;"",$A121=MECCA_Client),1,0)</f>
        <v>0</v>
      </c>
      <c r="BB121" s="71" t="str">
        <f>IF($BA121=1,ROW(),"")</f>
        <v/>
      </c>
    </row>
    <row r="122">
      <c r="A122" s="64" t="n"/>
      <c r="B122" s="65" t="n"/>
      <c r="C122" s="64" t="n"/>
      <c r="D122" s="64" t="n"/>
      <c r="E122" s="64" t="n"/>
      <c r="F122" s="65" t="n"/>
      <c r="G122" s="65" t="n"/>
      <c r="H122" s="64" t="n"/>
      <c r="I122" s="64" t="n"/>
      <c r="J122" s="65" t="n"/>
      <c r="K122" s="63" t="n"/>
      <c r="L122" s="63" t="n"/>
      <c r="M122" s="63" t="n"/>
      <c r="N122" s="64" t="n"/>
      <c r="O122" s="67" t="n"/>
      <c r="P122" s="72" t="str">
        <f>IF($B122="","",SUMIFS('PAID MEDIA ADS'!$G$5:$G$804,'PAID MEDIA ADS'!$C$5:$C$804,$B122))</f>
        <v/>
      </c>
      <c r="Q122" s="67" t="n"/>
      <c r="R122" s="72" t="str">
        <f>IF($B122="","",COUNTIFS('LEAD MQL TRACKER'!$C$5:$C$1004,$B122,'LEAD MQL TRACKER'!$AB$5:$AB$1004,1)+SUMIFS('EMAIL MARKETING'!$Q$5:$Q$804,'EMAIL MARKETING'!$C$5:$C$804,$B122)+SUMIFS('PAID MEDIA ADS'!$M$5:$M$804,'PAID MEDIA ADS'!$C$5:$C$804,$B122)+SUMIFS('LINKEDIN OUTREACH'!$N$5:$N$704,'LINKEDIN OUTREACH'!$C$5:$C$704,$B122))</f>
        <v/>
      </c>
      <c r="S122" s="67" t="n"/>
      <c r="T122" s="72" t="str">
        <f>IF($B122="","",COUNTIFS('LEAD MQL TRACKER'!$C$5:$C$1004,$B122,'LEAD MQL TRACKER'!$AD$5:$AD$1004,1)+SUMIFS('EMAIL MARKETING'!$R$5:$R$804,'EMAIL MARKETING'!$C$5:$C$804,$B122)+SUMIFS('PAID MEDIA ADS'!$N$5:$N$804,'PAID MEDIA ADS'!$C$5:$C$804,$B122)+SUMIFS('LINKEDIN OUTREACH'!$O$5:$O$704,'LINKEDIN OUTREACH'!$C$5:$C$704,$B122))</f>
        <v/>
      </c>
      <c r="U122" s="67" t="n"/>
      <c r="V122" s="72" t="str">
        <f>IF($B122="","",COUNTIFS('LEAD MQL TRACKER'!$C$5:$C$1004,$B122,'LEAD MQL TRACKER'!$AE$5:$AE$1004,1))</f>
        <v/>
      </c>
      <c r="W122" s="72" t="str">
        <f>IF($B122="","",COUNTIFS('LEAD MQL TRACKER'!$C$5:$C$1004,$B122,'LEAD MQL TRACKER'!$AC$5:$AC$1004,1)+SUMIFS('LINKEDIN OUTREACH'!$M$5:$M$704,'LINKEDIN OUTREACH'!$C$5:$C$704,$B122))</f>
        <v/>
      </c>
      <c r="X122" s="72" t="str">
        <f>IF($B122="","",SUMIFS('EMAIL MARKETING'!$O$5:$O$804,'EMAIL MARKETING'!$C$5:$C$804,$B122)+SUMIFS('LINKEDIN OUTREACH'!$K$5:$K$704,'LINKEDIN OUTREACH'!$C$5:$C$704,$B122))</f>
        <v/>
      </c>
      <c r="Y122" s="73" t="str">
        <f>IF(ISNUMBER($R122),IF($R122&gt;0,$T122/$R122,""),"")</f>
        <v/>
      </c>
      <c r="Z122" s="72" t="str">
        <f>IF(AND(ISNUMBER($P122),ISNUMBER($R122)),IF(AND($P122&gt;0,$R122&gt;0),$P122/$R122,""),"")</f>
        <v/>
      </c>
      <c r="AA122" s="71" t="str">
        <f>IF($B122="","",IF(OR($N122="Live",$N122="Optimizing",$N122="Paused",$N122="Completed"),IF(ISNUMBER($AI122),IF($AI122&gt;=1,"Ahead",IF($AI122&gt;=OnTrackPct,"On Track",IF($AI122&gt;=WatchPct,"Behind","At Risk"))),"No Target Set"),"Not Live"))</f>
        <v/>
      </c>
      <c r="AB122" s="65" t="n"/>
      <c r="AC122" s="65" t="n"/>
      <c r="AD122" s="65" t="n"/>
      <c r="AE122" s="67" t="n"/>
      <c r="AF122" s="67" t="n"/>
      <c r="AG122" s="63" t="n"/>
      <c r="AH122" s="74">
        <f>IF($N122="Completed",1,IF(AND(ISNUMBER($K122),ISNUMBER($L122)),IF($L122&gt;$K122,MIN(1,MAX(0.05,(ReportDate-$K122)/($L122-$K122))),1),1))</f>
        <v>1</v>
      </c>
      <c r="AI122" s="70" t="str">
        <f>IF($B122="","",IF(AND(ISNUMBER($Q122),$Q122&gt;0),$R122/($Q122*$AH122),""))</f>
        <v/>
      </c>
      <c r="AJ122" s="71" t="str">
        <f>IF(ISNUMBER($K122),YEAR($K122)&amp;"-"&amp;TEXT(MONTH($K122),"00"),"")</f>
        <v/>
      </c>
      <c r="AK122" s="71">
        <f>IF($B122="",0,IF(AND(OR(fClient="All",$A122=fClient),OR(fCampaign="All",$B122=fCampaign),OR(fTeam="All",$I122=fTeam),OR(fChannel="All",$H122=fChannel),OR(fCStatus="All",$N122=fCStatus)),1,0))</f>
        <v>0</v>
      </c>
      <c r="AL122" s="71">
        <f>IF($B122="",0,IF(AND(OR(fClient="All",$A122=fClient),OR(fCampaign="All",$B122=fCampaign),OR(fTeam="All",$I122=fTeam),OR(fChannel="All",$H122=fChannel)),1,0))</f>
        <v>0</v>
      </c>
      <c r="AM122" s="71">
        <f>IF(OR($N122="Live",$N122="Optimizing"),1,0)</f>
        <v>0</v>
      </c>
      <c r="AN122" s="71">
        <f>IF(OR($N122="Live",$N122="Optimizing",$N122="Paused",$N122="Completed"),1,0)</f>
        <v>0</v>
      </c>
      <c r="AO122" s="71">
        <f>IF(AND($AM122=1,ISNUMBER($L122),NOT(ISNUMBER($M122))),IF($L122&lt;ReportDate,1,0),0)</f>
        <v>0</v>
      </c>
      <c r="AP122" s="71">
        <f>IF($AM122=1,IF(ISNUMBER($AG122),IF(ReportDate-$AG122&gt;CampStaleDays,1,0),1),0)</f>
        <v>0</v>
      </c>
      <c r="AQ122" s="71">
        <f>IF(AND($AM122=1,OR($AA122="Behind",$AA122="At Risk")),1,0)</f>
        <v>0</v>
      </c>
      <c r="AR122" s="71">
        <f>IF(AND($AM122=1,OR($AA122="Ahead",$AA122="On Track")),1,0)</f>
        <v>0</v>
      </c>
      <c r="AS122" s="71">
        <f>IF(OR($AQ122=1,$AP122=1,$AO122=1),1,0)</f>
        <v>0</v>
      </c>
      <c r="AT122" s="71" t="str">
        <f>IF($AS122=1,TRIM(IF($AQ122=1,"Low performance. ","")&amp;IF($AP122=1,"No recent update. ","")&amp;IF($AO122=1,"Past planned end. ","")),"")</f>
        <v/>
      </c>
      <c r="AU122" s="71" t="str">
        <f>IF(AND($AS122=1,$AL122=1),ROW(),"")</f>
        <v/>
      </c>
      <c r="AV122" s="71" t="str">
        <f>IF(AND($AQ122=1,$AL122=1),ROW(),"")</f>
        <v/>
      </c>
      <c r="AW122" s="71" t="str">
        <f>IF(AND($AP122=1,$AL122=1),ROW(),"")</f>
        <v/>
      </c>
      <c r="AX122" s="71" t="str">
        <f>IF(AND($AR122=1,$AL122=1),ROW(),"")</f>
        <v/>
      </c>
      <c r="AY122" s="71">
        <f>IF(AND($B122&lt;&gt;"",$A122=TCL_Client),1,0)</f>
        <v>0</v>
      </c>
      <c r="AZ122" s="71" t="str">
        <f>IF($AY122=1,ROW(),"")</f>
        <v/>
      </c>
      <c r="BA122" s="71">
        <f>IF(AND($B122&lt;&gt;"",$A122=MECCA_Client),1,0)</f>
        <v>0</v>
      </c>
      <c r="BB122" s="71" t="str">
        <f>IF($BA122=1,ROW(),"")</f>
        <v/>
      </c>
    </row>
    <row r="123">
      <c r="A123" s="64" t="n"/>
      <c r="B123" s="65" t="n"/>
      <c r="C123" s="64" t="n"/>
      <c r="D123" s="64" t="n"/>
      <c r="E123" s="64" t="n"/>
      <c r="F123" s="65" t="n"/>
      <c r="G123" s="65" t="n"/>
      <c r="H123" s="64" t="n"/>
      <c r="I123" s="64" t="n"/>
      <c r="J123" s="65" t="n"/>
      <c r="K123" s="63" t="n"/>
      <c r="L123" s="63" t="n"/>
      <c r="M123" s="63" t="n"/>
      <c r="N123" s="64" t="n"/>
      <c r="O123" s="67" t="n"/>
      <c r="P123" s="72" t="str">
        <f>IF($B123="","",SUMIFS('PAID MEDIA ADS'!$G$5:$G$804,'PAID MEDIA ADS'!$C$5:$C$804,$B123))</f>
        <v/>
      </c>
      <c r="Q123" s="67" t="n"/>
      <c r="R123" s="72" t="str">
        <f>IF($B123="","",COUNTIFS('LEAD MQL TRACKER'!$C$5:$C$1004,$B123,'LEAD MQL TRACKER'!$AB$5:$AB$1004,1)+SUMIFS('EMAIL MARKETING'!$Q$5:$Q$804,'EMAIL MARKETING'!$C$5:$C$804,$B123)+SUMIFS('PAID MEDIA ADS'!$M$5:$M$804,'PAID MEDIA ADS'!$C$5:$C$804,$B123)+SUMIFS('LINKEDIN OUTREACH'!$N$5:$N$704,'LINKEDIN OUTREACH'!$C$5:$C$704,$B123))</f>
        <v/>
      </c>
      <c r="S123" s="67" t="n"/>
      <c r="T123" s="72" t="str">
        <f>IF($B123="","",COUNTIFS('LEAD MQL TRACKER'!$C$5:$C$1004,$B123,'LEAD MQL TRACKER'!$AD$5:$AD$1004,1)+SUMIFS('EMAIL MARKETING'!$R$5:$R$804,'EMAIL MARKETING'!$C$5:$C$804,$B123)+SUMIFS('PAID MEDIA ADS'!$N$5:$N$804,'PAID MEDIA ADS'!$C$5:$C$804,$B123)+SUMIFS('LINKEDIN OUTREACH'!$O$5:$O$704,'LINKEDIN OUTREACH'!$C$5:$C$704,$B123))</f>
        <v/>
      </c>
      <c r="U123" s="67" t="n"/>
      <c r="V123" s="72" t="str">
        <f>IF($B123="","",COUNTIFS('LEAD MQL TRACKER'!$C$5:$C$1004,$B123,'LEAD MQL TRACKER'!$AE$5:$AE$1004,1))</f>
        <v/>
      </c>
      <c r="W123" s="72" t="str">
        <f>IF($B123="","",COUNTIFS('LEAD MQL TRACKER'!$C$5:$C$1004,$B123,'LEAD MQL TRACKER'!$AC$5:$AC$1004,1)+SUMIFS('LINKEDIN OUTREACH'!$M$5:$M$704,'LINKEDIN OUTREACH'!$C$5:$C$704,$B123))</f>
        <v/>
      </c>
      <c r="X123" s="72" t="str">
        <f>IF($B123="","",SUMIFS('EMAIL MARKETING'!$O$5:$O$804,'EMAIL MARKETING'!$C$5:$C$804,$B123)+SUMIFS('LINKEDIN OUTREACH'!$K$5:$K$704,'LINKEDIN OUTREACH'!$C$5:$C$704,$B123))</f>
        <v/>
      </c>
      <c r="Y123" s="73" t="str">
        <f>IF(ISNUMBER($R123),IF($R123&gt;0,$T123/$R123,""),"")</f>
        <v/>
      </c>
      <c r="Z123" s="72" t="str">
        <f>IF(AND(ISNUMBER($P123),ISNUMBER($R123)),IF(AND($P123&gt;0,$R123&gt;0),$P123/$R123,""),"")</f>
        <v/>
      </c>
      <c r="AA123" s="71" t="str">
        <f>IF($B123="","",IF(OR($N123="Live",$N123="Optimizing",$N123="Paused",$N123="Completed"),IF(ISNUMBER($AI123),IF($AI123&gt;=1,"Ahead",IF($AI123&gt;=OnTrackPct,"On Track",IF($AI123&gt;=WatchPct,"Behind","At Risk"))),"No Target Set"),"Not Live"))</f>
        <v/>
      </c>
      <c r="AB123" s="65" t="n"/>
      <c r="AC123" s="65" t="n"/>
      <c r="AD123" s="65" t="n"/>
      <c r="AE123" s="67" t="n"/>
      <c r="AF123" s="67" t="n"/>
      <c r="AG123" s="63" t="n"/>
      <c r="AH123" s="74">
        <f>IF($N123="Completed",1,IF(AND(ISNUMBER($K123),ISNUMBER($L123)),IF($L123&gt;$K123,MIN(1,MAX(0.05,(ReportDate-$K123)/($L123-$K123))),1),1))</f>
        <v>1</v>
      </c>
      <c r="AI123" s="70" t="str">
        <f>IF($B123="","",IF(AND(ISNUMBER($Q123),$Q123&gt;0),$R123/($Q123*$AH123),""))</f>
        <v/>
      </c>
      <c r="AJ123" s="71" t="str">
        <f>IF(ISNUMBER($K123),YEAR($K123)&amp;"-"&amp;TEXT(MONTH($K123),"00"),"")</f>
        <v/>
      </c>
      <c r="AK123" s="71">
        <f>IF($B123="",0,IF(AND(OR(fClient="All",$A123=fClient),OR(fCampaign="All",$B123=fCampaign),OR(fTeam="All",$I123=fTeam),OR(fChannel="All",$H123=fChannel),OR(fCStatus="All",$N123=fCStatus)),1,0))</f>
        <v>0</v>
      </c>
      <c r="AL123" s="71">
        <f>IF($B123="",0,IF(AND(OR(fClient="All",$A123=fClient),OR(fCampaign="All",$B123=fCampaign),OR(fTeam="All",$I123=fTeam),OR(fChannel="All",$H123=fChannel)),1,0))</f>
        <v>0</v>
      </c>
      <c r="AM123" s="71">
        <f>IF(OR($N123="Live",$N123="Optimizing"),1,0)</f>
        <v>0</v>
      </c>
      <c r="AN123" s="71">
        <f>IF(OR($N123="Live",$N123="Optimizing",$N123="Paused",$N123="Completed"),1,0)</f>
        <v>0</v>
      </c>
      <c r="AO123" s="71">
        <f>IF(AND($AM123=1,ISNUMBER($L123),NOT(ISNUMBER($M123))),IF($L123&lt;ReportDate,1,0),0)</f>
        <v>0</v>
      </c>
      <c r="AP123" s="71">
        <f>IF($AM123=1,IF(ISNUMBER($AG123),IF(ReportDate-$AG123&gt;CampStaleDays,1,0),1),0)</f>
        <v>0</v>
      </c>
      <c r="AQ123" s="71">
        <f>IF(AND($AM123=1,OR($AA123="Behind",$AA123="At Risk")),1,0)</f>
        <v>0</v>
      </c>
      <c r="AR123" s="71">
        <f>IF(AND($AM123=1,OR($AA123="Ahead",$AA123="On Track")),1,0)</f>
        <v>0</v>
      </c>
      <c r="AS123" s="71">
        <f>IF(OR($AQ123=1,$AP123=1,$AO123=1),1,0)</f>
        <v>0</v>
      </c>
      <c r="AT123" s="71" t="str">
        <f>IF($AS123=1,TRIM(IF($AQ123=1,"Low performance. ","")&amp;IF($AP123=1,"No recent update. ","")&amp;IF($AO123=1,"Past planned end. ","")),"")</f>
        <v/>
      </c>
      <c r="AU123" s="71" t="str">
        <f>IF(AND($AS123=1,$AL123=1),ROW(),"")</f>
        <v/>
      </c>
      <c r="AV123" s="71" t="str">
        <f>IF(AND($AQ123=1,$AL123=1),ROW(),"")</f>
        <v/>
      </c>
      <c r="AW123" s="71" t="str">
        <f>IF(AND($AP123=1,$AL123=1),ROW(),"")</f>
        <v/>
      </c>
      <c r="AX123" s="71" t="str">
        <f>IF(AND($AR123=1,$AL123=1),ROW(),"")</f>
        <v/>
      </c>
      <c r="AY123" s="71">
        <f>IF(AND($B123&lt;&gt;"",$A123=TCL_Client),1,0)</f>
        <v>0</v>
      </c>
      <c r="AZ123" s="71" t="str">
        <f>IF($AY123=1,ROW(),"")</f>
        <v/>
      </c>
      <c r="BA123" s="71">
        <f>IF(AND($B123&lt;&gt;"",$A123=MECCA_Client),1,0)</f>
        <v>0</v>
      </c>
      <c r="BB123" s="71" t="str">
        <f>IF($BA123=1,ROW(),"")</f>
        <v/>
      </c>
    </row>
    <row r="124">
      <c r="A124" s="64" t="n"/>
      <c r="B124" s="65" t="n"/>
      <c r="C124" s="64" t="n"/>
      <c r="D124" s="64" t="n"/>
      <c r="E124" s="64" t="n"/>
      <c r="F124" s="65" t="n"/>
      <c r="G124" s="65" t="n"/>
      <c r="H124" s="64" t="n"/>
      <c r="I124" s="64" t="n"/>
      <c r="J124" s="65" t="n"/>
      <c r="K124" s="63" t="n"/>
      <c r="L124" s="63" t="n"/>
      <c r="M124" s="63" t="n"/>
      <c r="N124" s="64" t="n"/>
      <c r="O124" s="67" t="n"/>
      <c r="P124" s="72" t="str">
        <f>IF($B124="","",SUMIFS('PAID MEDIA ADS'!$G$5:$G$804,'PAID MEDIA ADS'!$C$5:$C$804,$B124))</f>
        <v/>
      </c>
      <c r="Q124" s="67" t="n"/>
      <c r="R124" s="72" t="str">
        <f>IF($B124="","",COUNTIFS('LEAD MQL TRACKER'!$C$5:$C$1004,$B124,'LEAD MQL TRACKER'!$AB$5:$AB$1004,1)+SUMIFS('EMAIL MARKETING'!$Q$5:$Q$804,'EMAIL MARKETING'!$C$5:$C$804,$B124)+SUMIFS('PAID MEDIA ADS'!$M$5:$M$804,'PAID MEDIA ADS'!$C$5:$C$804,$B124)+SUMIFS('LINKEDIN OUTREACH'!$N$5:$N$704,'LINKEDIN OUTREACH'!$C$5:$C$704,$B124))</f>
        <v/>
      </c>
      <c r="S124" s="67" t="n"/>
      <c r="T124" s="72" t="str">
        <f>IF($B124="","",COUNTIFS('LEAD MQL TRACKER'!$C$5:$C$1004,$B124,'LEAD MQL TRACKER'!$AD$5:$AD$1004,1)+SUMIFS('EMAIL MARKETING'!$R$5:$R$804,'EMAIL MARKETING'!$C$5:$C$804,$B124)+SUMIFS('PAID MEDIA ADS'!$N$5:$N$804,'PAID MEDIA ADS'!$C$5:$C$804,$B124)+SUMIFS('LINKEDIN OUTREACH'!$O$5:$O$704,'LINKEDIN OUTREACH'!$C$5:$C$704,$B124))</f>
        <v/>
      </c>
      <c r="U124" s="67" t="n"/>
      <c r="V124" s="72" t="str">
        <f>IF($B124="","",COUNTIFS('LEAD MQL TRACKER'!$C$5:$C$1004,$B124,'LEAD MQL TRACKER'!$AE$5:$AE$1004,1))</f>
        <v/>
      </c>
      <c r="W124" s="72" t="str">
        <f>IF($B124="","",COUNTIFS('LEAD MQL TRACKER'!$C$5:$C$1004,$B124,'LEAD MQL TRACKER'!$AC$5:$AC$1004,1)+SUMIFS('LINKEDIN OUTREACH'!$M$5:$M$704,'LINKEDIN OUTREACH'!$C$5:$C$704,$B124))</f>
        <v/>
      </c>
      <c r="X124" s="72" t="str">
        <f>IF($B124="","",SUMIFS('EMAIL MARKETING'!$O$5:$O$804,'EMAIL MARKETING'!$C$5:$C$804,$B124)+SUMIFS('LINKEDIN OUTREACH'!$K$5:$K$704,'LINKEDIN OUTREACH'!$C$5:$C$704,$B124))</f>
        <v/>
      </c>
      <c r="Y124" s="73" t="str">
        <f>IF(ISNUMBER($R124),IF($R124&gt;0,$T124/$R124,""),"")</f>
        <v/>
      </c>
      <c r="Z124" s="72" t="str">
        <f>IF(AND(ISNUMBER($P124),ISNUMBER($R124)),IF(AND($P124&gt;0,$R124&gt;0),$P124/$R124,""),"")</f>
        <v/>
      </c>
      <c r="AA124" s="71" t="str">
        <f>IF($B124="","",IF(OR($N124="Live",$N124="Optimizing",$N124="Paused",$N124="Completed"),IF(ISNUMBER($AI124),IF($AI124&gt;=1,"Ahead",IF($AI124&gt;=OnTrackPct,"On Track",IF($AI124&gt;=WatchPct,"Behind","At Risk"))),"No Target Set"),"Not Live"))</f>
        <v/>
      </c>
      <c r="AB124" s="65" t="n"/>
      <c r="AC124" s="65" t="n"/>
      <c r="AD124" s="65" t="n"/>
      <c r="AE124" s="67" t="n"/>
      <c r="AF124" s="67" t="n"/>
      <c r="AG124" s="63" t="n"/>
      <c r="AH124" s="74">
        <f>IF($N124="Completed",1,IF(AND(ISNUMBER($K124),ISNUMBER($L124)),IF($L124&gt;$K124,MIN(1,MAX(0.05,(ReportDate-$K124)/($L124-$K124))),1),1))</f>
        <v>1</v>
      </c>
      <c r="AI124" s="70" t="str">
        <f>IF($B124="","",IF(AND(ISNUMBER($Q124),$Q124&gt;0),$R124/($Q124*$AH124),""))</f>
        <v/>
      </c>
      <c r="AJ124" s="71" t="str">
        <f>IF(ISNUMBER($K124),YEAR($K124)&amp;"-"&amp;TEXT(MONTH($K124),"00"),"")</f>
        <v/>
      </c>
      <c r="AK124" s="71">
        <f>IF($B124="",0,IF(AND(OR(fClient="All",$A124=fClient),OR(fCampaign="All",$B124=fCampaign),OR(fTeam="All",$I124=fTeam),OR(fChannel="All",$H124=fChannel),OR(fCStatus="All",$N124=fCStatus)),1,0))</f>
        <v>0</v>
      </c>
      <c r="AL124" s="71">
        <f>IF($B124="",0,IF(AND(OR(fClient="All",$A124=fClient),OR(fCampaign="All",$B124=fCampaign),OR(fTeam="All",$I124=fTeam),OR(fChannel="All",$H124=fChannel)),1,0))</f>
        <v>0</v>
      </c>
      <c r="AM124" s="71">
        <f>IF(OR($N124="Live",$N124="Optimizing"),1,0)</f>
        <v>0</v>
      </c>
      <c r="AN124" s="71">
        <f>IF(OR($N124="Live",$N124="Optimizing",$N124="Paused",$N124="Completed"),1,0)</f>
        <v>0</v>
      </c>
      <c r="AO124" s="71">
        <f>IF(AND($AM124=1,ISNUMBER($L124),NOT(ISNUMBER($M124))),IF($L124&lt;ReportDate,1,0),0)</f>
        <v>0</v>
      </c>
      <c r="AP124" s="71">
        <f>IF($AM124=1,IF(ISNUMBER($AG124),IF(ReportDate-$AG124&gt;CampStaleDays,1,0),1),0)</f>
        <v>0</v>
      </c>
      <c r="AQ124" s="71">
        <f>IF(AND($AM124=1,OR($AA124="Behind",$AA124="At Risk")),1,0)</f>
        <v>0</v>
      </c>
      <c r="AR124" s="71">
        <f>IF(AND($AM124=1,OR($AA124="Ahead",$AA124="On Track")),1,0)</f>
        <v>0</v>
      </c>
      <c r="AS124" s="71">
        <f>IF(OR($AQ124=1,$AP124=1,$AO124=1),1,0)</f>
        <v>0</v>
      </c>
      <c r="AT124" s="71" t="str">
        <f>IF($AS124=1,TRIM(IF($AQ124=1,"Low performance. ","")&amp;IF($AP124=1,"No recent update. ","")&amp;IF($AO124=1,"Past planned end. ","")),"")</f>
        <v/>
      </c>
      <c r="AU124" s="71" t="str">
        <f>IF(AND($AS124=1,$AL124=1),ROW(),"")</f>
        <v/>
      </c>
      <c r="AV124" s="71" t="str">
        <f>IF(AND($AQ124=1,$AL124=1),ROW(),"")</f>
        <v/>
      </c>
      <c r="AW124" s="71" t="str">
        <f>IF(AND($AP124=1,$AL124=1),ROW(),"")</f>
        <v/>
      </c>
      <c r="AX124" s="71" t="str">
        <f>IF(AND($AR124=1,$AL124=1),ROW(),"")</f>
        <v/>
      </c>
      <c r="AY124" s="71">
        <f>IF(AND($B124&lt;&gt;"",$A124=TCL_Client),1,0)</f>
        <v>0</v>
      </c>
      <c r="AZ124" s="71" t="str">
        <f>IF($AY124=1,ROW(),"")</f>
        <v/>
      </c>
      <c r="BA124" s="71">
        <f>IF(AND($B124&lt;&gt;"",$A124=MECCA_Client),1,0)</f>
        <v>0</v>
      </c>
      <c r="BB124" s="71" t="str">
        <f>IF($BA124=1,ROW(),"")</f>
        <v/>
      </c>
    </row>
    <row r="125">
      <c r="A125" s="64" t="n"/>
      <c r="B125" s="65" t="n"/>
      <c r="C125" s="64" t="n"/>
      <c r="D125" s="64" t="n"/>
      <c r="E125" s="64" t="n"/>
      <c r="F125" s="65" t="n"/>
      <c r="G125" s="65" t="n"/>
      <c r="H125" s="64" t="n"/>
      <c r="I125" s="64" t="n"/>
      <c r="J125" s="65" t="n"/>
      <c r="K125" s="63" t="n"/>
      <c r="L125" s="63" t="n"/>
      <c r="M125" s="63" t="n"/>
      <c r="N125" s="64" t="n"/>
      <c r="O125" s="67" t="n"/>
      <c r="P125" s="72" t="str">
        <f>IF($B125="","",SUMIFS('PAID MEDIA ADS'!$G$5:$G$804,'PAID MEDIA ADS'!$C$5:$C$804,$B125))</f>
        <v/>
      </c>
      <c r="Q125" s="67" t="n"/>
      <c r="R125" s="72" t="str">
        <f>IF($B125="","",COUNTIFS('LEAD MQL TRACKER'!$C$5:$C$1004,$B125,'LEAD MQL TRACKER'!$AB$5:$AB$1004,1)+SUMIFS('EMAIL MARKETING'!$Q$5:$Q$804,'EMAIL MARKETING'!$C$5:$C$804,$B125)+SUMIFS('PAID MEDIA ADS'!$M$5:$M$804,'PAID MEDIA ADS'!$C$5:$C$804,$B125)+SUMIFS('LINKEDIN OUTREACH'!$N$5:$N$704,'LINKEDIN OUTREACH'!$C$5:$C$704,$B125))</f>
        <v/>
      </c>
      <c r="S125" s="67" t="n"/>
      <c r="T125" s="72" t="str">
        <f>IF($B125="","",COUNTIFS('LEAD MQL TRACKER'!$C$5:$C$1004,$B125,'LEAD MQL TRACKER'!$AD$5:$AD$1004,1)+SUMIFS('EMAIL MARKETING'!$R$5:$R$804,'EMAIL MARKETING'!$C$5:$C$804,$B125)+SUMIFS('PAID MEDIA ADS'!$N$5:$N$804,'PAID MEDIA ADS'!$C$5:$C$804,$B125)+SUMIFS('LINKEDIN OUTREACH'!$O$5:$O$704,'LINKEDIN OUTREACH'!$C$5:$C$704,$B125))</f>
        <v/>
      </c>
      <c r="U125" s="67" t="n"/>
      <c r="V125" s="72" t="str">
        <f>IF($B125="","",COUNTIFS('LEAD MQL TRACKER'!$C$5:$C$1004,$B125,'LEAD MQL TRACKER'!$AE$5:$AE$1004,1))</f>
        <v/>
      </c>
      <c r="W125" s="72" t="str">
        <f>IF($B125="","",COUNTIFS('LEAD MQL TRACKER'!$C$5:$C$1004,$B125,'LEAD MQL TRACKER'!$AC$5:$AC$1004,1)+SUMIFS('LINKEDIN OUTREACH'!$M$5:$M$704,'LINKEDIN OUTREACH'!$C$5:$C$704,$B125))</f>
        <v/>
      </c>
      <c r="X125" s="72" t="str">
        <f>IF($B125="","",SUMIFS('EMAIL MARKETING'!$O$5:$O$804,'EMAIL MARKETING'!$C$5:$C$804,$B125)+SUMIFS('LINKEDIN OUTREACH'!$K$5:$K$704,'LINKEDIN OUTREACH'!$C$5:$C$704,$B125))</f>
        <v/>
      </c>
      <c r="Y125" s="73" t="str">
        <f>IF(ISNUMBER($R125),IF($R125&gt;0,$T125/$R125,""),"")</f>
        <v/>
      </c>
      <c r="Z125" s="72" t="str">
        <f>IF(AND(ISNUMBER($P125),ISNUMBER($R125)),IF(AND($P125&gt;0,$R125&gt;0),$P125/$R125,""),"")</f>
        <v/>
      </c>
      <c r="AA125" s="71" t="str">
        <f>IF($B125="","",IF(OR($N125="Live",$N125="Optimizing",$N125="Paused",$N125="Completed"),IF(ISNUMBER($AI125),IF($AI125&gt;=1,"Ahead",IF($AI125&gt;=OnTrackPct,"On Track",IF($AI125&gt;=WatchPct,"Behind","At Risk"))),"No Target Set"),"Not Live"))</f>
        <v/>
      </c>
      <c r="AB125" s="65" t="n"/>
      <c r="AC125" s="65" t="n"/>
      <c r="AD125" s="65" t="n"/>
      <c r="AE125" s="67" t="n"/>
      <c r="AF125" s="67" t="n"/>
      <c r="AG125" s="63" t="n"/>
      <c r="AH125" s="74">
        <f>IF($N125="Completed",1,IF(AND(ISNUMBER($K125),ISNUMBER($L125)),IF($L125&gt;$K125,MIN(1,MAX(0.05,(ReportDate-$K125)/($L125-$K125))),1),1))</f>
        <v>1</v>
      </c>
      <c r="AI125" s="70" t="str">
        <f>IF($B125="","",IF(AND(ISNUMBER($Q125),$Q125&gt;0),$R125/($Q125*$AH125),""))</f>
        <v/>
      </c>
      <c r="AJ125" s="71" t="str">
        <f>IF(ISNUMBER($K125),YEAR($K125)&amp;"-"&amp;TEXT(MONTH($K125),"00"),"")</f>
        <v/>
      </c>
      <c r="AK125" s="71">
        <f>IF($B125="",0,IF(AND(OR(fClient="All",$A125=fClient),OR(fCampaign="All",$B125=fCampaign),OR(fTeam="All",$I125=fTeam),OR(fChannel="All",$H125=fChannel),OR(fCStatus="All",$N125=fCStatus)),1,0))</f>
        <v>0</v>
      </c>
      <c r="AL125" s="71">
        <f>IF($B125="",0,IF(AND(OR(fClient="All",$A125=fClient),OR(fCampaign="All",$B125=fCampaign),OR(fTeam="All",$I125=fTeam),OR(fChannel="All",$H125=fChannel)),1,0))</f>
        <v>0</v>
      </c>
      <c r="AM125" s="71">
        <f>IF(OR($N125="Live",$N125="Optimizing"),1,0)</f>
        <v>0</v>
      </c>
      <c r="AN125" s="71">
        <f>IF(OR($N125="Live",$N125="Optimizing",$N125="Paused",$N125="Completed"),1,0)</f>
        <v>0</v>
      </c>
      <c r="AO125" s="71">
        <f>IF(AND($AM125=1,ISNUMBER($L125),NOT(ISNUMBER($M125))),IF($L125&lt;ReportDate,1,0),0)</f>
        <v>0</v>
      </c>
      <c r="AP125" s="71">
        <f>IF($AM125=1,IF(ISNUMBER($AG125),IF(ReportDate-$AG125&gt;CampStaleDays,1,0),1),0)</f>
        <v>0</v>
      </c>
      <c r="AQ125" s="71">
        <f>IF(AND($AM125=1,OR($AA125="Behind",$AA125="At Risk")),1,0)</f>
        <v>0</v>
      </c>
      <c r="AR125" s="71">
        <f>IF(AND($AM125=1,OR($AA125="Ahead",$AA125="On Track")),1,0)</f>
        <v>0</v>
      </c>
      <c r="AS125" s="71">
        <f>IF(OR($AQ125=1,$AP125=1,$AO125=1),1,0)</f>
        <v>0</v>
      </c>
      <c r="AT125" s="71" t="str">
        <f>IF($AS125=1,TRIM(IF($AQ125=1,"Low performance. ","")&amp;IF($AP125=1,"No recent update. ","")&amp;IF($AO125=1,"Past planned end. ","")),"")</f>
        <v/>
      </c>
      <c r="AU125" s="71" t="str">
        <f>IF(AND($AS125=1,$AL125=1),ROW(),"")</f>
        <v/>
      </c>
      <c r="AV125" s="71" t="str">
        <f>IF(AND($AQ125=1,$AL125=1),ROW(),"")</f>
        <v/>
      </c>
      <c r="AW125" s="71" t="str">
        <f>IF(AND($AP125=1,$AL125=1),ROW(),"")</f>
        <v/>
      </c>
      <c r="AX125" s="71" t="str">
        <f>IF(AND($AR125=1,$AL125=1),ROW(),"")</f>
        <v/>
      </c>
      <c r="AY125" s="71">
        <f>IF(AND($B125&lt;&gt;"",$A125=TCL_Client),1,0)</f>
        <v>0</v>
      </c>
      <c r="AZ125" s="71" t="str">
        <f>IF($AY125=1,ROW(),"")</f>
        <v/>
      </c>
      <c r="BA125" s="71">
        <f>IF(AND($B125&lt;&gt;"",$A125=MECCA_Client),1,0)</f>
        <v>0</v>
      </c>
      <c r="BB125" s="71" t="str">
        <f>IF($BA125=1,ROW(),"")</f>
        <v/>
      </c>
    </row>
    <row r="126">
      <c r="A126" s="64" t="n"/>
      <c r="B126" s="65" t="n"/>
      <c r="C126" s="64" t="n"/>
      <c r="D126" s="64" t="n"/>
      <c r="E126" s="64" t="n"/>
      <c r="F126" s="65" t="n"/>
      <c r="G126" s="65" t="n"/>
      <c r="H126" s="64" t="n"/>
      <c r="I126" s="64" t="n"/>
      <c r="J126" s="65" t="n"/>
      <c r="K126" s="63" t="n"/>
      <c r="L126" s="63" t="n"/>
      <c r="M126" s="63" t="n"/>
      <c r="N126" s="64" t="n"/>
      <c r="O126" s="67" t="n"/>
      <c r="P126" s="72" t="str">
        <f>IF($B126="","",SUMIFS('PAID MEDIA ADS'!$G$5:$G$804,'PAID MEDIA ADS'!$C$5:$C$804,$B126))</f>
        <v/>
      </c>
      <c r="Q126" s="67" t="n"/>
      <c r="R126" s="72" t="str">
        <f>IF($B126="","",COUNTIFS('LEAD MQL TRACKER'!$C$5:$C$1004,$B126,'LEAD MQL TRACKER'!$AB$5:$AB$1004,1)+SUMIFS('EMAIL MARKETING'!$Q$5:$Q$804,'EMAIL MARKETING'!$C$5:$C$804,$B126)+SUMIFS('PAID MEDIA ADS'!$M$5:$M$804,'PAID MEDIA ADS'!$C$5:$C$804,$B126)+SUMIFS('LINKEDIN OUTREACH'!$N$5:$N$704,'LINKEDIN OUTREACH'!$C$5:$C$704,$B126))</f>
        <v/>
      </c>
      <c r="S126" s="67" t="n"/>
      <c r="T126" s="72" t="str">
        <f>IF($B126="","",COUNTIFS('LEAD MQL TRACKER'!$C$5:$C$1004,$B126,'LEAD MQL TRACKER'!$AD$5:$AD$1004,1)+SUMIFS('EMAIL MARKETING'!$R$5:$R$804,'EMAIL MARKETING'!$C$5:$C$804,$B126)+SUMIFS('PAID MEDIA ADS'!$N$5:$N$804,'PAID MEDIA ADS'!$C$5:$C$804,$B126)+SUMIFS('LINKEDIN OUTREACH'!$O$5:$O$704,'LINKEDIN OUTREACH'!$C$5:$C$704,$B126))</f>
        <v/>
      </c>
      <c r="U126" s="67" t="n"/>
      <c r="V126" s="72" t="str">
        <f>IF($B126="","",COUNTIFS('LEAD MQL TRACKER'!$C$5:$C$1004,$B126,'LEAD MQL TRACKER'!$AE$5:$AE$1004,1))</f>
        <v/>
      </c>
      <c r="W126" s="72" t="str">
        <f>IF($B126="","",COUNTIFS('LEAD MQL TRACKER'!$C$5:$C$1004,$B126,'LEAD MQL TRACKER'!$AC$5:$AC$1004,1)+SUMIFS('LINKEDIN OUTREACH'!$M$5:$M$704,'LINKEDIN OUTREACH'!$C$5:$C$704,$B126))</f>
        <v/>
      </c>
      <c r="X126" s="72" t="str">
        <f>IF($B126="","",SUMIFS('EMAIL MARKETING'!$O$5:$O$804,'EMAIL MARKETING'!$C$5:$C$804,$B126)+SUMIFS('LINKEDIN OUTREACH'!$K$5:$K$704,'LINKEDIN OUTREACH'!$C$5:$C$704,$B126))</f>
        <v/>
      </c>
      <c r="Y126" s="73" t="str">
        <f>IF(ISNUMBER($R126),IF($R126&gt;0,$T126/$R126,""),"")</f>
        <v/>
      </c>
      <c r="Z126" s="72" t="str">
        <f>IF(AND(ISNUMBER($P126),ISNUMBER($R126)),IF(AND($P126&gt;0,$R126&gt;0),$P126/$R126,""),"")</f>
        <v/>
      </c>
      <c r="AA126" s="71" t="str">
        <f>IF($B126="","",IF(OR($N126="Live",$N126="Optimizing",$N126="Paused",$N126="Completed"),IF(ISNUMBER($AI126),IF($AI126&gt;=1,"Ahead",IF($AI126&gt;=OnTrackPct,"On Track",IF($AI126&gt;=WatchPct,"Behind","At Risk"))),"No Target Set"),"Not Live"))</f>
        <v/>
      </c>
      <c r="AB126" s="65" t="n"/>
      <c r="AC126" s="65" t="n"/>
      <c r="AD126" s="65" t="n"/>
      <c r="AE126" s="67" t="n"/>
      <c r="AF126" s="67" t="n"/>
      <c r="AG126" s="63" t="n"/>
      <c r="AH126" s="74">
        <f>IF($N126="Completed",1,IF(AND(ISNUMBER($K126),ISNUMBER($L126)),IF($L126&gt;$K126,MIN(1,MAX(0.05,(ReportDate-$K126)/($L126-$K126))),1),1))</f>
        <v>1</v>
      </c>
      <c r="AI126" s="70" t="str">
        <f>IF($B126="","",IF(AND(ISNUMBER($Q126),$Q126&gt;0),$R126/($Q126*$AH126),""))</f>
        <v/>
      </c>
      <c r="AJ126" s="71" t="str">
        <f>IF(ISNUMBER($K126),YEAR($K126)&amp;"-"&amp;TEXT(MONTH($K126),"00"),"")</f>
        <v/>
      </c>
      <c r="AK126" s="71">
        <f>IF($B126="",0,IF(AND(OR(fClient="All",$A126=fClient),OR(fCampaign="All",$B126=fCampaign),OR(fTeam="All",$I126=fTeam),OR(fChannel="All",$H126=fChannel),OR(fCStatus="All",$N126=fCStatus)),1,0))</f>
        <v>0</v>
      </c>
      <c r="AL126" s="71">
        <f>IF($B126="",0,IF(AND(OR(fClient="All",$A126=fClient),OR(fCampaign="All",$B126=fCampaign),OR(fTeam="All",$I126=fTeam),OR(fChannel="All",$H126=fChannel)),1,0))</f>
        <v>0</v>
      </c>
      <c r="AM126" s="71">
        <f>IF(OR($N126="Live",$N126="Optimizing"),1,0)</f>
        <v>0</v>
      </c>
      <c r="AN126" s="71">
        <f>IF(OR($N126="Live",$N126="Optimizing",$N126="Paused",$N126="Completed"),1,0)</f>
        <v>0</v>
      </c>
      <c r="AO126" s="71">
        <f>IF(AND($AM126=1,ISNUMBER($L126),NOT(ISNUMBER($M126))),IF($L126&lt;ReportDate,1,0),0)</f>
        <v>0</v>
      </c>
      <c r="AP126" s="71">
        <f>IF($AM126=1,IF(ISNUMBER($AG126),IF(ReportDate-$AG126&gt;CampStaleDays,1,0),1),0)</f>
        <v>0</v>
      </c>
      <c r="AQ126" s="71">
        <f>IF(AND($AM126=1,OR($AA126="Behind",$AA126="At Risk")),1,0)</f>
        <v>0</v>
      </c>
      <c r="AR126" s="71">
        <f>IF(AND($AM126=1,OR($AA126="Ahead",$AA126="On Track")),1,0)</f>
        <v>0</v>
      </c>
      <c r="AS126" s="71">
        <f>IF(OR($AQ126=1,$AP126=1,$AO126=1),1,0)</f>
        <v>0</v>
      </c>
      <c r="AT126" s="71" t="str">
        <f>IF($AS126=1,TRIM(IF($AQ126=1,"Low performance. ","")&amp;IF($AP126=1,"No recent update. ","")&amp;IF($AO126=1,"Past planned end. ","")),"")</f>
        <v/>
      </c>
      <c r="AU126" s="71" t="str">
        <f>IF(AND($AS126=1,$AL126=1),ROW(),"")</f>
        <v/>
      </c>
      <c r="AV126" s="71" t="str">
        <f>IF(AND($AQ126=1,$AL126=1),ROW(),"")</f>
        <v/>
      </c>
      <c r="AW126" s="71" t="str">
        <f>IF(AND($AP126=1,$AL126=1),ROW(),"")</f>
        <v/>
      </c>
      <c r="AX126" s="71" t="str">
        <f>IF(AND($AR126=1,$AL126=1),ROW(),"")</f>
        <v/>
      </c>
      <c r="AY126" s="71">
        <f>IF(AND($B126&lt;&gt;"",$A126=TCL_Client),1,0)</f>
        <v>0</v>
      </c>
      <c r="AZ126" s="71" t="str">
        <f>IF($AY126=1,ROW(),"")</f>
        <v/>
      </c>
      <c r="BA126" s="71">
        <f>IF(AND($B126&lt;&gt;"",$A126=MECCA_Client),1,0)</f>
        <v>0</v>
      </c>
      <c r="BB126" s="71" t="str">
        <f>IF($BA126=1,ROW(),"")</f>
        <v/>
      </c>
    </row>
    <row r="127">
      <c r="A127" s="64" t="n"/>
      <c r="B127" s="65" t="n"/>
      <c r="C127" s="64" t="n"/>
      <c r="D127" s="64" t="n"/>
      <c r="E127" s="64" t="n"/>
      <c r="F127" s="65" t="n"/>
      <c r="G127" s="65" t="n"/>
      <c r="H127" s="64" t="n"/>
      <c r="I127" s="64" t="n"/>
      <c r="J127" s="65" t="n"/>
      <c r="K127" s="63" t="n"/>
      <c r="L127" s="63" t="n"/>
      <c r="M127" s="63" t="n"/>
      <c r="N127" s="64" t="n"/>
      <c r="O127" s="67" t="n"/>
      <c r="P127" s="72" t="str">
        <f>IF($B127="","",SUMIFS('PAID MEDIA ADS'!$G$5:$G$804,'PAID MEDIA ADS'!$C$5:$C$804,$B127))</f>
        <v/>
      </c>
      <c r="Q127" s="67" t="n"/>
      <c r="R127" s="72" t="str">
        <f>IF($B127="","",COUNTIFS('LEAD MQL TRACKER'!$C$5:$C$1004,$B127,'LEAD MQL TRACKER'!$AB$5:$AB$1004,1)+SUMIFS('EMAIL MARKETING'!$Q$5:$Q$804,'EMAIL MARKETING'!$C$5:$C$804,$B127)+SUMIFS('PAID MEDIA ADS'!$M$5:$M$804,'PAID MEDIA ADS'!$C$5:$C$804,$B127)+SUMIFS('LINKEDIN OUTREACH'!$N$5:$N$704,'LINKEDIN OUTREACH'!$C$5:$C$704,$B127))</f>
        <v/>
      </c>
      <c r="S127" s="67" t="n"/>
      <c r="T127" s="72" t="str">
        <f>IF($B127="","",COUNTIFS('LEAD MQL TRACKER'!$C$5:$C$1004,$B127,'LEAD MQL TRACKER'!$AD$5:$AD$1004,1)+SUMIFS('EMAIL MARKETING'!$R$5:$R$804,'EMAIL MARKETING'!$C$5:$C$804,$B127)+SUMIFS('PAID MEDIA ADS'!$N$5:$N$804,'PAID MEDIA ADS'!$C$5:$C$804,$B127)+SUMIFS('LINKEDIN OUTREACH'!$O$5:$O$704,'LINKEDIN OUTREACH'!$C$5:$C$704,$B127))</f>
        <v/>
      </c>
      <c r="U127" s="67" t="n"/>
      <c r="V127" s="72" t="str">
        <f>IF($B127="","",COUNTIFS('LEAD MQL TRACKER'!$C$5:$C$1004,$B127,'LEAD MQL TRACKER'!$AE$5:$AE$1004,1))</f>
        <v/>
      </c>
      <c r="W127" s="72" t="str">
        <f>IF($B127="","",COUNTIFS('LEAD MQL TRACKER'!$C$5:$C$1004,$B127,'LEAD MQL TRACKER'!$AC$5:$AC$1004,1)+SUMIFS('LINKEDIN OUTREACH'!$M$5:$M$704,'LINKEDIN OUTREACH'!$C$5:$C$704,$B127))</f>
        <v/>
      </c>
      <c r="X127" s="72" t="str">
        <f>IF($B127="","",SUMIFS('EMAIL MARKETING'!$O$5:$O$804,'EMAIL MARKETING'!$C$5:$C$804,$B127)+SUMIFS('LINKEDIN OUTREACH'!$K$5:$K$704,'LINKEDIN OUTREACH'!$C$5:$C$704,$B127))</f>
        <v/>
      </c>
      <c r="Y127" s="73" t="str">
        <f>IF(ISNUMBER($R127),IF($R127&gt;0,$T127/$R127,""),"")</f>
        <v/>
      </c>
      <c r="Z127" s="72" t="str">
        <f>IF(AND(ISNUMBER($P127),ISNUMBER($R127)),IF(AND($P127&gt;0,$R127&gt;0),$P127/$R127,""),"")</f>
        <v/>
      </c>
      <c r="AA127" s="71" t="str">
        <f>IF($B127="","",IF(OR($N127="Live",$N127="Optimizing",$N127="Paused",$N127="Completed"),IF(ISNUMBER($AI127),IF($AI127&gt;=1,"Ahead",IF($AI127&gt;=OnTrackPct,"On Track",IF($AI127&gt;=WatchPct,"Behind","At Risk"))),"No Target Set"),"Not Live"))</f>
        <v/>
      </c>
      <c r="AB127" s="65" t="n"/>
      <c r="AC127" s="65" t="n"/>
      <c r="AD127" s="65" t="n"/>
      <c r="AE127" s="67" t="n"/>
      <c r="AF127" s="67" t="n"/>
      <c r="AG127" s="63" t="n"/>
      <c r="AH127" s="74">
        <f>IF($N127="Completed",1,IF(AND(ISNUMBER($K127),ISNUMBER($L127)),IF($L127&gt;$K127,MIN(1,MAX(0.05,(ReportDate-$K127)/($L127-$K127))),1),1))</f>
        <v>1</v>
      </c>
      <c r="AI127" s="70" t="str">
        <f>IF($B127="","",IF(AND(ISNUMBER($Q127),$Q127&gt;0),$R127/($Q127*$AH127),""))</f>
        <v/>
      </c>
      <c r="AJ127" s="71" t="str">
        <f>IF(ISNUMBER($K127),YEAR($K127)&amp;"-"&amp;TEXT(MONTH($K127),"00"),"")</f>
        <v/>
      </c>
      <c r="AK127" s="71">
        <f>IF($B127="",0,IF(AND(OR(fClient="All",$A127=fClient),OR(fCampaign="All",$B127=fCampaign),OR(fTeam="All",$I127=fTeam),OR(fChannel="All",$H127=fChannel),OR(fCStatus="All",$N127=fCStatus)),1,0))</f>
        <v>0</v>
      </c>
      <c r="AL127" s="71">
        <f>IF($B127="",0,IF(AND(OR(fClient="All",$A127=fClient),OR(fCampaign="All",$B127=fCampaign),OR(fTeam="All",$I127=fTeam),OR(fChannel="All",$H127=fChannel)),1,0))</f>
        <v>0</v>
      </c>
      <c r="AM127" s="71">
        <f>IF(OR($N127="Live",$N127="Optimizing"),1,0)</f>
        <v>0</v>
      </c>
      <c r="AN127" s="71">
        <f>IF(OR($N127="Live",$N127="Optimizing",$N127="Paused",$N127="Completed"),1,0)</f>
        <v>0</v>
      </c>
      <c r="AO127" s="71">
        <f>IF(AND($AM127=1,ISNUMBER($L127),NOT(ISNUMBER($M127))),IF($L127&lt;ReportDate,1,0),0)</f>
        <v>0</v>
      </c>
      <c r="AP127" s="71">
        <f>IF($AM127=1,IF(ISNUMBER($AG127),IF(ReportDate-$AG127&gt;CampStaleDays,1,0),1),0)</f>
        <v>0</v>
      </c>
      <c r="AQ127" s="71">
        <f>IF(AND($AM127=1,OR($AA127="Behind",$AA127="At Risk")),1,0)</f>
        <v>0</v>
      </c>
      <c r="AR127" s="71">
        <f>IF(AND($AM127=1,OR($AA127="Ahead",$AA127="On Track")),1,0)</f>
        <v>0</v>
      </c>
      <c r="AS127" s="71">
        <f>IF(OR($AQ127=1,$AP127=1,$AO127=1),1,0)</f>
        <v>0</v>
      </c>
      <c r="AT127" s="71" t="str">
        <f>IF($AS127=1,TRIM(IF($AQ127=1,"Low performance. ","")&amp;IF($AP127=1,"No recent update. ","")&amp;IF($AO127=1,"Past planned end. ","")),"")</f>
        <v/>
      </c>
      <c r="AU127" s="71" t="str">
        <f>IF(AND($AS127=1,$AL127=1),ROW(),"")</f>
        <v/>
      </c>
      <c r="AV127" s="71" t="str">
        <f>IF(AND($AQ127=1,$AL127=1),ROW(),"")</f>
        <v/>
      </c>
      <c r="AW127" s="71" t="str">
        <f>IF(AND($AP127=1,$AL127=1),ROW(),"")</f>
        <v/>
      </c>
      <c r="AX127" s="71" t="str">
        <f>IF(AND($AR127=1,$AL127=1),ROW(),"")</f>
        <v/>
      </c>
      <c r="AY127" s="71">
        <f>IF(AND($B127&lt;&gt;"",$A127=TCL_Client),1,0)</f>
        <v>0</v>
      </c>
      <c r="AZ127" s="71" t="str">
        <f>IF($AY127=1,ROW(),"")</f>
        <v/>
      </c>
      <c r="BA127" s="71">
        <f>IF(AND($B127&lt;&gt;"",$A127=MECCA_Client),1,0)</f>
        <v>0</v>
      </c>
      <c r="BB127" s="71" t="str">
        <f>IF($BA127=1,ROW(),"")</f>
        <v/>
      </c>
    </row>
    <row r="128">
      <c r="A128" s="64" t="n"/>
      <c r="B128" s="65" t="n"/>
      <c r="C128" s="64" t="n"/>
      <c r="D128" s="64" t="n"/>
      <c r="E128" s="64" t="n"/>
      <c r="F128" s="65" t="n"/>
      <c r="G128" s="65" t="n"/>
      <c r="H128" s="64" t="n"/>
      <c r="I128" s="64" t="n"/>
      <c r="J128" s="65" t="n"/>
      <c r="K128" s="63" t="n"/>
      <c r="L128" s="63" t="n"/>
      <c r="M128" s="63" t="n"/>
      <c r="N128" s="64" t="n"/>
      <c r="O128" s="67" t="n"/>
      <c r="P128" s="72" t="str">
        <f>IF($B128="","",SUMIFS('PAID MEDIA ADS'!$G$5:$G$804,'PAID MEDIA ADS'!$C$5:$C$804,$B128))</f>
        <v/>
      </c>
      <c r="Q128" s="67" t="n"/>
      <c r="R128" s="72" t="str">
        <f>IF($B128="","",COUNTIFS('LEAD MQL TRACKER'!$C$5:$C$1004,$B128,'LEAD MQL TRACKER'!$AB$5:$AB$1004,1)+SUMIFS('EMAIL MARKETING'!$Q$5:$Q$804,'EMAIL MARKETING'!$C$5:$C$804,$B128)+SUMIFS('PAID MEDIA ADS'!$M$5:$M$804,'PAID MEDIA ADS'!$C$5:$C$804,$B128)+SUMIFS('LINKEDIN OUTREACH'!$N$5:$N$704,'LINKEDIN OUTREACH'!$C$5:$C$704,$B128))</f>
        <v/>
      </c>
      <c r="S128" s="67" t="n"/>
      <c r="T128" s="72" t="str">
        <f>IF($B128="","",COUNTIFS('LEAD MQL TRACKER'!$C$5:$C$1004,$B128,'LEAD MQL TRACKER'!$AD$5:$AD$1004,1)+SUMIFS('EMAIL MARKETING'!$R$5:$R$804,'EMAIL MARKETING'!$C$5:$C$804,$B128)+SUMIFS('PAID MEDIA ADS'!$N$5:$N$804,'PAID MEDIA ADS'!$C$5:$C$804,$B128)+SUMIFS('LINKEDIN OUTREACH'!$O$5:$O$704,'LINKEDIN OUTREACH'!$C$5:$C$704,$B128))</f>
        <v/>
      </c>
      <c r="U128" s="67" t="n"/>
      <c r="V128" s="72" t="str">
        <f>IF($B128="","",COUNTIFS('LEAD MQL TRACKER'!$C$5:$C$1004,$B128,'LEAD MQL TRACKER'!$AE$5:$AE$1004,1))</f>
        <v/>
      </c>
      <c r="W128" s="72" t="str">
        <f>IF($B128="","",COUNTIFS('LEAD MQL TRACKER'!$C$5:$C$1004,$B128,'LEAD MQL TRACKER'!$AC$5:$AC$1004,1)+SUMIFS('LINKEDIN OUTREACH'!$M$5:$M$704,'LINKEDIN OUTREACH'!$C$5:$C$704,$B128))</f>
        <v/>
      </c>
      <c r="X128" s="72" t="str">
        <f>IF($B128="","",SUMIFS('EMAIL MARKETING'!$O$5:$O$804,'EMAIL MARKETING'!$C$5:$C$804,$B128)+SUMIFS('LINKEDIN OUTREACH'!$K$5:$K$704,'LINKEDIN OUTREACH'!$C$5:$C$704,$B128))</f>
        <v/>
      </c>
      <c r="Y128" s="73" t="str">
        <f>IF(ISNUMBER($R128),IF($R128&gt;0,$T128/$R128,""),"")</f>
        <v/>
      </c>
      <c r="Z128" s="72" t="str">
        <f>IF(AND(ISNUMBER($P128),ISNUMBER($R128)),IF(AND($P128&gt;0,$R128&gt;0),$P128/$R128,""),"")</f>
        <v/>
      </c>
      <c r="AA128" s="71" t="str">
        <f>IF($B128="","",IF(OR($N128="Live",$N128="Optimizing",$N128="Paused",$N128="Completed"),IF(ISNUMBER($AI128),IF($AI128&gt;=1,"Ahead",IF($AI128&gt;=OnTrackPct,"On Track",IF($AI128&gt;=WatchPct,"Behind","At Risk"))),"No Target Set"),"Not Live"))</f>
        <v/>
      </c>
      <c r="AB128" s="65" t="n"/>
      <c r="AC128" s="65" t="n"/>
      <c r="AD128" s="65" t="n"/>
      <c r="AE128" s="67" t="n"/>
      <c r="AF128" s="67" t="n"/>
      <c r="AG128" s="63" t="n"/>
      <c r="AH128" s="74">
        <f>IF($N128="Completed",1,IF(AND(ISNUMBER($K128),ISNUMBER($L128)),IF($L128&gt;$K128,MIN(1,MAX(0.05,(ReportDate-$K128)/($L128-$K128))),1),1))</f>
        <v>1</v>
      </c>
      <c r="AI128" s="70" t="str">
        <f>IF($B128="","",IF(AND(ISNUMBER($Q128),$Q128&gt;0),$R128/($Q128*$AH128),""))</f>
        <v/>
      </c>
      <c r="AJ128" s="71" t="str">
        <f>IF(ISNUMBER($K128),YEAR($K128)&amp;"-"&amp;TEXT(MONTH($K128),"00"),"")</f>
        <v/>
      </c>
      <c r="AK128" s="71">
        <f>IF($B128="",0,IF(AND(OR(fClient="All",$A128=fClient),OR(fCampaign="All",$B128=fCampaign),OR(fTeam="All",$I128=fTeam),OR(fChannel="All",$H128=fChannel),OR(fCStatus="All",$N128=fCStatus)),1,0))</f>
        <v>0</v>
      </c>
      <c r="AL128" s="71">
        <f>IF($B128="",0,IF(AND(OR(fClient="All",$A128=fClient),OR(fCampaign="All",$B128=fCampaign),OR(fTeam="All",$I128=fTeam),OR(fChannel="All",$H128=fChannel)),1,0))</f>
        <v>0</v>
      </c>
      <c r="AM128" s="71">
        <f>IF(OR($N128="Live",$N128="Optimizing"),1,0)</f>
        <v>0</v>
      </c>
      <c r="AN128" s="71">
        <f>IF(OR($N128="Live",$N128="Optimizing",$N128="Paused",$N128="Completed"),1,0)</f>
        <v>0</v>
      </c>
      <c r="AO128" s="71">
        <f>IF(AND($AM128=1,ISNUMBER($L128),NOT(ISNUMBER($M128))),IF($L128&lt;ReportDate,1,0),0)</f>
        <v>0</v>
      </c>
      <c r="AP128" s="71">
        <f>IF($AM128=1,IF(ISNUMBER($AG128),IF(ReportDate-$AG128&gt;CampStaleDays,1,0),1),0)</f>
        <v>0</v>
      </c>
      <c r="AQ128" s="71">
        <f>IF(AND($AM128=1,OR($AA128="Behind",$AA128="At Risk")),1,0)</f>
        <v>0</v>
      </c>
      <c r="AR128" s="71">
        <f>IF(AND($AM128=1,OR($AA128="Ahead",$AA128="On Track")),1,0)</f>
        <v>0</v>
      </c>
      <c r="AS128" s="71">
        <f>IF(OR($AQ128=1,$AP128=1,$AO128=1),1,0)</f>
        <v>0</v>
      </c>
      <c r="AT128" s="71" t="str">
        <f>IF($AS128=1,TRIM(IF($AQ128=1,"Low performance. ","")&amp;IF($AP128=1,"No recent update. ","")&amp;IF($AO128=1,"Past planned end. ","")),"")</f>
        <v/>
      </c>
      <c r="AU128" s="71" t="str">
        <f>IF(AND($AS128=1,$AL128=1),ROW(),"")</f>
        <v/>
      </c>
      <c r="AV128" s="71" t="str">
        <f>IF(AND($AQ128=1,$AL128=1),ROW(),"")</f>
        <v/>
      </c>
      <c r="AW128" s="71" t="str">
        <f>IF(AND($AP128=1,$AL128=1),ROW(),"")</f>
        <v/>
      </c>
      <c r="AX128" s="71" t="str">
        <f>IF(AND($AR128=1,$AL128=1),ROW(),"")</f>
        <v/>
      </c>
      <c r="AY128" s="71">
        <f>IF(AND($B128&lt;&gt;"",$A128=TCL_Client),1,0)</f>
        <v>0</v>
      </c>
      <c r="AZ128" s="71" t="str">
        <f>IF($AY128=1,ROW(),"")</f>
        <v/>
      </c>
      <c r="BA128" s="71">
        <f>IF(AND($B128&lt;&gt;"",$A128=MECCA_Client),1,0)</f>
        <v>0</v>
      </c>
      <c r="BB128" s="71" t="str">
        <f>IF($BA128=1,ROW(),"")</f>
        <v/>
      </c>
    </row>
    <row r="129">
      <c r="A129" s="64" t="n"/>
      <c r="B129" s="65" t="n"/>
      <c r="C129" s="64" t="n"/>
      <c r="D129" s="64" t="n"/>
      <c r="E129" s="64" t="n"/>
      <c r="F129" s="65" t="n"/>
      <c r="G129" s="65" t="n"/>
      <c r="H129" s="64" t="n"/>
      <c r="I129" s="64" t="n"/>
      <c r="J129" s="65" t="n"/>
      <c r="K129" s="63" t="n"/>
      <c r="L129" s="63" t="n"/>
      <c r="M129" s="63" t="n"/>
      <c r="N129" s="64" t="n"/>
      <c r="O129" s="67" t="n"/>
      <c r="P129" s="72" t="str">
        <f>IF($B129="","",SUMIFS('PAID MEDIA ADS'!$G$5:$G$804,'PAID MEDIA ADS'!$C$5:$C$804,$B129))</f>
        <v/>
      </c>
      <c r="Q129" s="67" t="n"/>
      <c r="R129" s="72" t="str">
        <f>IF($B129="","",COUNTIFS('LEAD MQL TRACKER'!$C$5:$C$1004,$B129,'LEAD MQL TRACKER'!$AB$5:$AB$1004,1)+SUMIFS('EMAIL MARKETING'!$Q$5:$Q$804,'EMAIL MARKETING'!$C$5:$C$804,$B129)+SUMIFS('PAID MEDIA ADS'!$M$5:$M$804,'PAID MEDIA ADS'!$C$5:$C$804,$B129)+SUMIFS('LINKEDIN OUTREACH'!$N$5:$N$704,'LINKEDIN OUTREACH'!$C$5:$C$704,$B129))</f>
        <v/>
      </c>
      <c r="S129" s="67" t="n"/>
      <c r="T129" s="72" t="str">
        <f>IF($B129="","",COUNTIFS('LEAD MQL TRACKER'!$C$5:$C$1004,$B129,'LEAD MQL TRACKER'!$AD$5:$AD$1004,1)+SUMIFS('EMAIL MARKETING'!$R$5:$R$804,'EMAIL MARKETING'!$C$5:$C$804,$B129)+SUMIFS('PAID MEDIA ADS'!$N$5:$N$804,'PAID MEDIA ADS'!$C$5:$C$804,$B129)+SUMIFS('LINKEDIN OUTREACH'!$O$5:$O$704,'LINKEDIN OUTREACH'!$C$5:$C$704,$B129))</f>
        <v/>
      </c>
      <c r="U129" s="67" t="n"/>
      <c r="V129" s="72" t="str">
        <f>IF($B129="","",COUNTIFS('LEAD MQL TRACKER'!$C$5:$C$1004,$B129,'LEAD MQL TRACKER'!$AE$5:$AE$1004,1))</f>
        <v/>
      </c>
      <c r="W129" s="72" t="str">
        <f>IF($B129="","",COUNTIFS('LEAD MQL TRACKER'!$C$5:$C$1004,$B129,'LEAD MQL TRACKER'!$AC$5:$AC$1004,1)+SUMIFS('LINKEDIN OUTREACH'!$M$5:$M$704,'LINKEDIN OUTREACH'!$C$5:$C$704,$B129))</f>
        <v/>
      </c>
      <c r="X129" s="72" t="str">
        <f>IF($B129="","",SUMIFS('EMAIL MARKETING'!$O$5:$O$804,'EMAIL MARKETING'!$C$5:$C$804,$B129)+SUMIFS('LINKEDIN OUTREACH'!$K$5:$K$704,'LINKEDIN OUTREACH'!$C$5:$C$704,$B129))</f>
        <v/>
      </c>
      <c r="Y129" s="73" t="str">
        <f>IF(ISNUMBER($R129),IF($R129&gt;0,$T129/$R129,""),"")</f>
        <v/>
      </c>
      <c r="Z129" s="72" t="str">
        <f>IF(AND(ISNUMBER($P129),ISNUMBER($R129)),IF(AND($P129&gt;0,$R129&gt;0),$P129/$R129,""),"")</f>
        <v/>
      </c>
      <c r="AA129" s="71" t="str">
        <f>IF($B129="","",IF(OR($N129="Live",$N129="Optimizing",$N129="Paused",$N129="Completed"),IF(ISNUMBER($AI129),IF($AI129&gt;=1,"Ahead",IF($AI129&gt;=OnTrackPct,"On Track",IF($AI129&gt;=WatchPct,"Behind","At Risk"))),"No Target Set"),"Not Live"))</f>
        <v/>
      </c>
      <c r="AB129" s="65" t="n"/>
      <c r="AC129" s="65" t="n"/>
      <c r="AD129" s="65" t="n"/>
      <c r="AE129" s="67" t="n"/>
      <c r="AF129" s="67" t="n"/>
      <c r="AG129" s="63" t="n"/>
      <c r="AH129" s="74">
        <f>IF($N129="Completed",1,IF(AND(ISNUMBER($K129),ISNUMBER($L129)),IF($L129&gt;$K129,MIN(1,MAX(0.05,(ReportDate-$K129)/($L129-$K129))),1),1))</f>
        <v>1</v>
      </c>
      <c r="AI129" s="70" t="str">
        <f>IF($B129="","",IF(AND(ISNUMBER($Q129),$Q129&gt;0),$R129/($Q129*$AH129),""))</f>
        <v/>
      </c>
      <c r="AJ129" s="71" t="str">
        <f>IF(ISNUMBER($K129),YEAR($K129)&amp;"-"&amp;TEXT(MONTH($K129),"00"),"")</f>
        <v/>
      </c>
      <c r="AK129" s="71">
        <f>IF($B129="",0,IF(AND(OR(fClient="All",$A129=fClient),OR(fCampaign="All",$B129=fCampaign),OR(fTeam="All",$I129=fTeam),OR(fChannel="All",$H129=fChannel),OR(fCStatus="All",$N129=fCStatus)),1,0))</f>
        <v>0</v>
      </c>
      <c r="AL129" s="71">
        <f>IF($B129="",0,IF(AND(OR(fClient="All",$A129=fClient),OR(fCampaign="All",$B129=fCampaign),OR(fTeam="All",$I129=fTeam),OR(fChannel="All",$H129=fChannel)),1,0))</f>
        <v>0</v>
      </c>
      <c r="AM129" s="71">
        <f>IF(OR($N129="Live",$N129="Optimizing"),1,0)</f>
        <v>0</v>
      </c>
      <c r="AN129" s="71">
        <f>IF(OR($N129="Live",$N129="Optimizing",$N129="Paused",$N129="Completed"),1,0)</f>
        <v>0</v>
      </c>
      <c r="AO129" s="71">
        <f>IF(AND($AM129=1,ISNUMBER($L129),NOT(ISNUMBER($M129))),IF($L129&lt;ReportDate,1,0),0)</f>
        <v>0</v>
      </c>
      <c r="AP129" s="71">
        <f>IF($AM129=1,IF(ISNUMBER($AG129),IF(ReportDate-$AG129&gt;CampStaleDays,1,0),1),0)</f>
        <v>0</v>
      </c>
      <c r="AQ129" s="71">
        <f>IF(AND($AM129=1,OR($AA129="Behind",$AA129="At Risk")),1,0)</f>
        <v>0</v>
      </c>
      <c r="AR129" s="71">
        <f>IF(AND($AM129=1,OR($AA129="Ahead",$AA129="On Track")),1,0)</f>
        <v>0</v>
      </c>
      <c r="AS129" s="71">
        <f>IF(OR($AQ129=1,$AP129=1,$AO129=1),1,0)</f>
        <v>0</v>
      </c>
      <c r="AT129" s="71" t="str">
        <f>IF($AS129=1,TRIM(IF($AQ129=1,"Low performance. ","")&amp;IF($AP129=1,"No recent update. ","")&amp;IF($AO129=1,"Past planned end. ","")),"")</f>
        <v/>
      </c>
      <c r="AU129" s="71" t="str">
        <f>IF(AND($AS129=1,$AL129=1),ROW(),"")</f>
        <v/>
      </c>
      <c r="AV129" s="71" t="str">
        <f>IF(AND($AQ129=1,$AL129=1),ROW(),"")</f>
        <v/>
      </c>
      <c r="AW129" s="71" t="str">
        <f>IF(AND($AP129=1,$AL129=1),ROW(),"")</f>
        <v/>
      </c>
      <c r="AX129" s="71" t="str">
        <f>IF(AND($AR129=1,$AL129=1),ROW(),"")</f>
        <v/>
      </c>
      <c r="AY129" s="71">
        <f>IF(AND($B129&lt;&gt;"",$A129=TCL_Client),1,0)</f>
        <v>0</v>
      </c>
      <c r="AZ129" s="71" t="str">
        <f>IF($AY129=1,ROW(),"")</f>
        <v/>
      </c>
      <c r="BA129" s="71">
        <f>IF(AND($B129&lt;&gt;"",$A129=MECCA_Client),1,0)</f>
        <v>0</v>
      </c>
      <c r="BB129" s="71" t="str">
        <f>IF($BA129=1,ROW(),"")</f>
        <v/>
      </c>
    </row>
    <row r="130">
      <c r="A130" s="64" t="n"/>
      <c r="B130" s="65" t="n"/>
      <c r="C130" s="64" t="n"/>
      <c r="D130" s="64" t="n"/>
      <c r="E130" s="64" t="n"/>
      <c r="F130" s="65" t="n"/>
      <c r="G130" s="65" t="n"/>
      <c r="H130" s="64" t="n"/>
      <c r="I130" s="64" t="n"/>
      <c r="J130" s="65" t="n"/>
      <c r="K130" s="63" t="n"/>
      <c r="L130" s="63" t="n"/>
      <c r="M130" s="63" t="n"/>
      <c r="N130" s="64" t="n"/>
      <c r="O130" s="67" t="n"/>
      <c r="P130" s="72" t="str">
        <f>IF($B130="","",SUMIFS('PAID MEDIA ADS'!$G$5:$G$804,'PAID MEDIA ADS'!$C$5:$C$804,$B130))</f>
        <v/>
      </c>
      <c r="Q130" s="67" t="n"/>
      <c r="R130" s="72" t="str">
        <f>IF($B130="","",COUNTIFS('LEAD MQL TRACKER'!$C$5:$C$1004,$B130,'LEAD MQL TRACKER'!$AB$5:$AB$1004,1)+SUMIFS('EMAIL MARKETING'!$Q$5:$Q$804,'EMAIL MARKETING'!$C$5:$C$804,$B130)+SUMIFS('PAID MEDIA ADS'!$M$5:$M$804,'PAID MEDIA ADS'!$C$5:$C$804,$B130)+SUMIFS('LINKEDIN OUTREACH'!$N$5:$N$704,'LINKEDIN OUTREACH'!$C$5:$C$704,$B130))</f>
        <v/>
      </c>
      <c r="S130" s="67" t="n"/>
      <c r="T130" s="72" t="str">
        <f>IF($B130="","",COUNTIFS('LEAD MQL TRACKER'!$C$5:$C$1004,$B130,'LEAD MQL TRACKER'!$AD$5:$AD$1004,1)+SUMIFS('EMAIL MARKETING'!$R$5:$R$804,'EMAIL MARKETING'!$C$5:$C$804,$B130)+SUMIFS('PAID MEDIA ADS'!$N$5:$N$804,'PAID MEDIA ADS'!$C$5:$C$804,$B130)+SUMIFS('LINKEDIN OUTREACH'!$O$5:$O$704,'LINKEDIN OUTREACH'!$C$5:$C$704,$B130))</f>
        <v/>
      </c>
      <c r="U130" s="67" t="n"/>
      <c r="V130" s="72" t="str">
        <f>IF($B130="","",COUNTIFS('LEAD MQL TRACKER'!$C$5:$C$1004,$B130,'LEAD MQL TRACKER'!$AE$5:$AE$1004,1))</f>
        <v/>
      </c>
      <c r="W130" s="72" t="str">
        <f>IF($B130="","",COUNTIFS('LEAD MQL TRACKER'!$C$5:$C$1004,$B130,'LEAD MQL TRACKER'!$AC$5:$AC$1004,1)+SUMIFS('LINKEDIN OUTREACH'!$M$5:$M$704,'LINKEDIN OUTREACH'!$C$5:$C$704,$B130))</f>
        <v/>
      </c>
      <c r="X130" s="72" t="str">
        <f>IF($B130="","",SUMIFS('EMAIL MARKETING'!$O$5:$O$804,'EMAIL MARKETING'!$C$5:$C$804,$B130)+SUMIFS('LINKEDIN OUTREACH'!$K$5:$K$704,'LINKEDIN OUTREACH'!$C$5:$C$704,$B130))</f>
        <v/>
      </c>
      <c r="Y130" s="73" t="str">
        <f>IF(ISNUMBER($R130),IF($R130&gt;0,$T130/$R130,""),"")</f>
        <v/>
      </c>
      <c r="Z130" s="72" t="str">
        <f>IF(AND(ISNUMBER($P130),ISNUMBER($R130)),IF(AND($P130&gt;0,$R130&gt;0),$P130/$R130,""),"")</f>
        <v/>
      </c>
      <c r="AA130" s="71" t="str">
        <f>IF($B130="","",IF(OR($N130="Live",$N130="Optimizing",$N130="Paused",$N130="Completed"),IF(ISNUMBER($AI130),IF($AI130&gt;=1,"Ahead",IF($AI130&gt;=OnTrackPct,"On Track",IF($AI130&gt;=WatchPct,"Behind","At Risk"))),"No Target Set"),"Not Live"))</f>
        <v/>
      </c>
      <c r="AB130" s="65" t="n"/>
      <c r="AC130" s="65" t="n"/>
      <c r="AD130" s="65" t="n"/>
      <c r="AE130" s="67" t="n"/>
      <c r="AF130" s="67" t="n"/>
      <c r="AG130" s="63" t="n"/>
      <c r="AH130" s="74">
        <f>IF($N130="Completed",1,IF(AND(ISNUMBER($K130),ISNUMBER($L130)),IF($L130&gt;$K130,MIN(1,MAX(0.05,(ReportDate-$K130)/($L130-$K130))),1),1))</f>
        <v>1</v>
      </c>
      <c r="AI130" s="70" t="str">
        <f>IF($B130="","",IF(AND(ISNUMBER($Q130),$Q130&gt;0),$R130/($Q130*$AH130),""))</f>
        <v/>
      </c>
      <c r="AJ130" s="71" t="str">
        <f>IF(ISNUMBER($K130),YEAR($K130)&amp;"-"&amp;TEXT(MONTH($K130),"00"),"")</f>
        <v/>
      </c>
      <c r="AK130" s="71">
        <f>IF($B130="",0,IF(AND(OR(fClient="All",$A130=fClient),OR(fCampaign="All",$B130=fCampaign),OR(fTeam="All",$I130=fTeam),OR(fChannel="All",$H130=fChannel),OR(fCStatus="All",$N130=fCStatus)),1,0))</f>
        <v>0</v>
      </c>
      <c r="AL130" s="71">
        <f>IF($B130="",0,IF(AND(OR(fClient="All",$A130=fClient),OR(fCampaign="All",$B130=fCampaign),OR(fTeam="All",$I130=fTeam),OR(fChannel="All",$H130=fChannel)),1,0))</f>
        <v>0</v>
      </c>
      <c r="AM130" s="71">
        <f>IF(OR($N130="Live",$N130="Optimizing"),1,0)</f>
        <v>0</v>
      </c>
      <c r="AN130" s="71">
        <f>IF(OR($N130="Live",$N130="Optimizing",$N130="Paused",$N130="Completed"),1,0)</f>
        <v>0</v>
      </c>
      <c r="AO130" s="71">
        <f>IF(AND($AM130=1,ISNUMBER($L130),NOT(ISNUMBER($M130))),IF($L130&lt;ReportDate,1,0),0)</f>
        <v>0</v>
      </c>
      <c r="AP130" s="71">
        <f>IF($AM130=1,IF(ISNUMBER($AG130),IF(ReportDate-$AG130&gt;CampStaleDays,1,0),1),0)</f>
        <v>0</v>
      </c>
      <c r="AQ130" s="71">
        <f>IF(AND($AM130=1,OR($AA130="Behind",$AA130="At Risk")),1,0)</f>
        <v>0</v>
      </c>
      <c r="AR130" s="71">
        <f>IF(AND($AM130=1,OR($AA130="Ahead",$AA130="On Track")),1,0)</f>
        <v>0</v>
      </c>
      <c r="AS130" s="71">
        <f>IF(OR($AQ130=1,$AP130=1,$AO130=1),1,0)</f>
        <v>0</v>
      </c>
      <c r="AT130" s="71" t="str">
        <f>IF($AS130=1,TRIM(IF($AQ130=1,"Low performance. ","")&amp;IF($AP130=1,"No recent update. ","")&amp;IF($AO130=1,"Past planned end. ","")),"")</f>
        <v/>
      </c>
      <c r="AU130" s="71" t="str">
        <f>IF(AND($AS130=1,$AL130=1),ROW(),"")</f>
        <v/>
      </c>
      <c r="AV130" s="71" t="str">
        <f>IF(AND($AQ130=1,$AL130=1),ROW(),"")</f>
        <v/>
      </c>
      <c r="AW130" s="71" t="str">
        <f>IF(AND($AP130=1,$AL130=1),ROW(),"")</f>
        <v/>
      </c>
      <c r="AX130" s="71" t="str">
        <f>IF(AND($AR130=1,$AL130=1),ROW(),"")</f>
        <v/>
      </c>
      <c r="AY130" s="71">
        <f>IF(AND($B130&lt;&gt;"",$A130=TCL_Client),1,0)</f>
        <v>0</v>
      </c>
      <c r="AZ130" s="71" t="str">
        <f>IF($AY130=1,ROW(),"")</f>
        <v/>
      </c>
      <c r="BA130" s="71">
        <f>IF(AND($B130&lt;&gt;"",$A130=MECCA_Client),1,0)</f>
        <v>0</v>
      </c>
      <c r="BB130" s="71" t="str">
        <f>IF($BA130=1,ROW(),"")</f>
        <v/>
      </c>
    </row>
    <row r="131">
      <c r="A131" s="64" t="n"/>
      <c r="B131" s="65" t="n"/>
      <c r="C131" s="64" t="n"/>
      <c r="D131" s="64" t="n"/>
      <c r="E131" s="64" t="n"/>
      <c r="F131" s="65" t="n"/>
      <c r="G131" s="65" t="n"/>
      <c r="H131" s="64" t="n"/>
      <c r="I131" s="64" t="n"/>
      <c r="J131" s="65" t="n"/>
      <c r="K131" s="63" t="n"/>
      <c r="L131" s="63" t="n"/>
      <c r="M131" s="63" t="n"/>
      <c r="N131" s="64" t="n"/>
      <c r="O131" s="67" t="n"/>
      <c r="P131" s="72" t="str">
        <f>IF($B131="","",SUMIFS('PAID MEDIA ADS'!$G$5:$G$804,'PAID MEDIA ADS'!$C$5:$C$804,$B131))</f>
        <v/>
      </c>
      <c r="Q131" s="67" t="n"/>
      <c r="R131" s="72" t="str">
        <f>IF($B131="","",COUNTIFS('LEAD MQL TRACKER'!$C$5:$C$1004,$B131,'LEAD MQL TRACKER'!$AB$5:$AB$1004,1)+SUMIFS('EMAIL MARKETING'!$Q$5:$Q$804,'EMAIL MARKETING'!$C$5:$C$804,$B131)+SUMIFS('PAID MEDIA ADS'!$M$5:$M$804,'PAID MEDIA ADS'!$C$5:$C$804,$B131)+SUMIFS('LINKEDIN OUTREACH'!$N$5:$N$704,'LINKEDIN OUTREACH'!$C$5:$C$704,$B131))</f>
        <v/>
      </c>
      <c r="S131" s="67" t="n"/>
      <c r="T131" s="72" t="str">
        <f>IF($B131="","",COUNTIFS('LEAD MQL TRACKER'!$C$5:$C$1004,$B131,'LEAD MQL TRACKER'!$AD$5:$AD$1004,1)+SUMIFS('EMAIL MARKETING'!$R$5:$R$804,'EMAIL MARKETING'!$C$5:$C$804,$B131)+SUMIFS('PAID MEDIA ADS'!$N$5:$N$804,'PAID MEDIA ADS'!$C$5:$C$804,$B131)+SUMIFS('LINKEDIN OUTREACH'!$O$5:$O$704,'LINKEDIN OUTREACH'!$C$5:$C$704,$B131))</f>
        <v/>
      </c>
      <c r="U131" s="67" t="n"/>
      <c r="V131" s="72" t="str">
        <f>IF($B131="","",COUNTIFS('LEAD MQL TRACKER'!$C$5:$C$1004,$B131,'LEAD MQL TRACKER'!$AE$5:$AE$1004,1))</f>
        <v/>
      </c>
      <c r="W131" s="72" t="str">
        <f>IF($B131="","",COUNTIFS('LEAD MQL TRACKER'!$C$5:$C$1004,$B131,'LEAD MQL TRACKER'!$AC$5:$AC$1004,1)+SUMIFS('LINKEDIN OUTREACH'!$M$5:$M$704,'LINKEDIN OUTREACH'!$C$5:$C$704,$B131))</f>
        <v/>
      </c>
      <c r="X131" s="72" t="str">
        <f>IF($B131="","",SUMIFS('EMAIL MARKETING'!$O$5:$O$804,'EMAIL MARKETING'!$C$5:$C$804,$B131)+SUMIFS('LINKEDIN OUTREACH'!$K$5:$K$704,'LINKEDIN OUTREACH'!$C$5:$C$704,$B131))</f>
        <v/>
      </c>
      <c r="Y131" s="73" t="str">
        <f>IF(ISNUMBER($R131),IF($R131&gt;0,$T131/$R131,""),"")</f>
        <v/>
      </c>
      <c r="Z131" s="72" t="str">
        <f>IF(AND(ISNUMBER($P131),ISNUMBER($R131)),IF(AND($P131&gt;0,$R131&gt;0),$P131/$R131,""),"")</f>
        <v/>
      </c>
      <c r="AA131" s="71" t="str">
        <f>IF($B131="","",IF(OR($N131="Live",$N131="Optimizing",$N131="Paused",$N131="Completed"),IF(ISNUMBER($AI131),IF($AI131&gt;=1,"Ahead",IF($AI131&gt;=OnTrackPct,"On Track",IF($AI131&gt;=WatchPct,"Behind","At Risk"))),"No Target Set"),"Not Live"))</f>
        <v/>
      </c>
      <c r="AB131" s="65" t="n"/>
      <c r="AC131" s="65" t="n"/>
      <c r="AD131" s="65" t="n"/>
      <c r="AE131" s="67" t="n"/>
      <c r="AF131" s="67" t="n"/>
      <c r="AG131" s="63" t="n"/>
      <c r="AH131" s="74">
        <f>IF($N131="Completed",1,IF(AND(ISNUMBER($K131),ISNUMBER($L131)),IF($L131&gt;$K131,MIN(1,MAX(0.05,(ReportDate-$K131)/($L131-$K131))),1),1))</f>
        <v>1</v>
      </c>
      <c r="AI131" s="70" t="str">
        <f>IF($B131="","",IF(AND(ISNUMBER($Q131),$Q131&gt;0),$R131/($Q131*$AH131),""))</f>
        <v/>
      </c>
      <c r="AJ131" s="71" t="str">
        <f>IF(ISNUMBER($K131),YEAR($K131)&amp;"-"&amp;TEXT(MONTH($K131),"00"),"")</f>
        <v/>
      </c>
      <c r="AK131" s="71">
        <f>IF($B131="",0,IF(AND(OR(fClient="All",$A131=fClient),OR(fCampaign="All",$B131=fCampaign),OR(fTeam="All",$I131=fTeam),OR(fChannel="All",$H131=fChannel),OR(fCStatus="All",$N131=fCStatus)),1,0))</f>
        <v>0</v>
      </c>
      <c r="AL131" s="71">
        <f>IF($B131="",0,IF(AND(OR(fClient="All",$A131=fClient),OR(fCampaign="All",$B131=fCampaign),OR(fTeam="All",$I131=fTeam),OR(fChannel="All",$H131=fChannel)),1,0))</f>
        <v>0</v>
      </c>
      <c r="AM131" s="71">
        <f>IF(OR($N131="Live",$N131="Optimizing"),1,0)</f>
        <v>0</v>
      </c>
      <c r="AN131" s="71">
        <f>IF(OR($N131="Live",$N131="Optimizing",$N131="Paused",$N131="Completed"),1,0)</f>
        <v>0</v>
      </c>
      <c r="AO131" s="71">
        <f>IF(AND($AM131=1,ISNUMBER($L131),NOT(ISNUMBER($M131))),IF($L131&lt;ReportDate,1,0),0)</f>
        <v>0</v>
      </c>
      <c r="AP131" s="71">
        <f>IF($AM131=1,IF(ISNUMBER($AG131),IF(ReportDate-$AG131&gt;CampStaleDays,1,0),1),0)</f>
        <v>0</v>
      </c>
      <c r="AQ131" s="71">
        <f>IF(AND($AM131=1,OR($AA131="Behind",$AA131="At Risk")),1,0)</f>
        <v>0</v>
      </c>
      <c r="AR131" s="71">
        <f>IF(AND($AM131=1,OR($AA131="Ahead",$AA131="On Track")),1,0)</f>
        <v>0</v>
      </c>
      <c r="AS131" s="71">
        <f>IF(OR($AQ131=1,$AP131=1,$AO131=1),1,0)</f>
        <v>0</v>
      </c>
      <c r="AT131" s="71" t="str">
        <f>IF($AS131=1,TRIM(IF($AQ131=1,"Low performance. ","")&amp;IF($AP131=1,"No recent update. ","")&amp;IF($AO131=1,"Past planned end. ","")),"")</f>
        <v/>
      </c>
      <c r="AU131" s="71" t="str">
        <f>IF(AND($AS131=1,$AL131=1),ROW(),"")</f>
        <v/>
      </c>
      <c r="AV131" s="71" t="str">
        <f>IF(AND($AQ131=1,$AL131=1),ROW(),"")</f>
        <v/>
      </c>
      <c r="AW131" s="71" t="str">
        <f>IF(AND($AP131=1,$AL131=1),ROW(),"")</f>
        <v/>
      </c>
      <c r="AX131" s="71" t="str">
        <f>IF(AND($AR131=1,$AL131=1),ROW(),"")</f>
        <v/>
      </c>
      <c r="AY131" s="71">
        <f>IF(AND($B131&lt;&gt;"",$A131=TCL_Client),1,0)</f>
        <v>0</v>
      </c>
      <c r="AZ131" s="71" t="str">
        <f>IF($AY131=1,ROW(),"")</f>
        <v/>
      </c>
      <c r="BA131" s="71">
        <f>IF(AND($B131&lt;&gt;"",$A131=MECCA_Client),1,0)</f>
        <v>0</v>
      </c>
      <c r="BB131" s="71" t="str">
        <f>IF($BA131=1,ROW(),"")</f>
        <v/>
      </c>
    </row>
    <row r="132">
      <c r="A132" s="64" t="n"/>
      <c r="B132" s="65" t="n"/>
      <c r="C132" s="64" t="n"/>
      <c r="D132" s="64" t="n"/>
      <c r="E132" s="64" t="n"/>
      <c r="F132" s="65" t="n"/>
      <c r="G132" s="65" t="n"/>
      <c r="H132" s="64" t="n"/>
      <c r="I132" s="64" t="n"/>
      <c r="J132" s="65" t="n"/>
      <c r="K132" s="63" t="n"/>
      <c r="L132" s="63" t="n"/>
      <c r="M132" s="63" t="n"/>
      <c r="N132" s="64" t="n"/>
      <c r="O132" s="67" t="n"/>
      <c r="P132" s="72" t="str">
        <f>IF($B132="","",SUMIFS('PAID MEDIA ADS'!$G$5:$G$804,'PAID MEDIA ADS'!$C$5:$C$804,$B132))</f>
        <v/>
      </c>
      <c r="Q132" s="67" t="n"/>
      <c r="R132" s="72" t="str">
        <f>IF($B132="","",COUNTIFS('LEAD MQL TRACKER'!$C$5:$C$1004,$B132,'LEAD MQL TRACKER'!$AB$5:$AB$1004,1)+SUMIFS('EMAIL MARKETING'!$Q$5:$Q$804,'EMAIL MARKETING'!$C$5:$C$804,$B132)+SUMIFS('PAID MEDIA ADS'!$M$5:$M$804,'PAID MEDIA ADS'!$C$5:$C$804,$B132)+SUMIFS('LINKEDIN OUTREACH'!$N$5:$N$704,'LINKEDIN OUTREACH'!$C$5:$C$704,$B132))</f>
        <v/>
      </c>
      <c r="S132" s="67" t="n"/>
      <c r="T132" s="72" t="str">
        <f>IF($B132="","",COUNTIFS('LEAD MQL TRACKER'!$C$5:$C$1004,$B132,'LEAD MQL TRACKER'!$AD$5:$AD$1004,1)+SUMIFS('EMAIL MARKETING'!$R$5:$R$804,'EMAIL MARKETING'!$C$5:$C$804,$B132)+SUMIFS('PAID MEDIA ADS'!$N$5:$N$804,'PAID MEDIA ADS'!$C$5:$C$804,$B132)+SUMIFS('LINKEDIN OUTREACH'!$O$5:$O$704,'LINKEDIN OUTREACH'!$C$5:$C$704,$B132))</f>
        <v/>
      </c>
      <c r="U132" s="67" t="n"/>
      <c r="V132" s="72" t="str">
        <f>IF($B132="","",COUNTIFS('LEAD MQL TRACKER'!$C$5:$C$1004,$B132,'LEAD MQL TRACKER'!$AE$5:$AE$1004,1))</f>
        <v/>
      </c>
      <c r="W132" s="72" t="str">
        <f>IF($B132="","",COUNTIFS('LEAD MQL TRACKER'!$C$5:$C$1004,$B132,'LEAD MQL TRACKER'!$AC$5:$AC$1004,1)+SUMIFS('LINKEDIN OUTREACH'!$M$5:$M$704,'LINKEDIN OUTREACH'!$C$5:$C$704,$B132))</f>
        <v/>
      </c>
      <c r="X132" s="72" t="str">
        <f>IF($B132="","",SUMIFS('EMAIL MARKETING'!$O$5:$O$804,'EMAIL MARKETING'!$C$5:$C$804,$B132)+SUMIFS('LINKEDIN OUTREACH'!$K$5:$K$704,'LINKEDIN OUTREACH'!$C$5:$C$704,$B132))</f>
        <v/>
      </c>
      <c r="Y132" s="73" t="str">
        <f>IF(ISNUMBER($R132),IF($R132&gt;0,$T132/$R132,""),"")</f>
        <v/>
      </c>
      <c r="Z132" s="72" t="str">
        <f>IF(AND(ISNUMBER($P132),ISNUMBER($R132)),IF(AND($P132&gt;0,$R132&gt;0),$P132/$R132,""),"")</f>
        <v/>
      </c>
      <c r="AA132" s="71" t="str">
        <f>IF($B132="","",IF(OR($N132="Live",$N132="Optimizing",$N132="Paused",$N132="Completed"),IF(ISNUMBER($AI132),IF($AI132&gt;=1,"Ahead",IF($AI132&gt;=OnTrackPct,"On Track",IF($AI132&gt;=WatchPct,"Behind","At Risk"))),"No Target Set"),"Not Live"))</f>
        <v/>
      </c>
      <c r="AB132" s="65" t="n"/>
      <c r="AC132" s="65" t="n"/>
      <c r="AD132" s="65" t="n"/>
      <c r="AE132" s="67" t="n"/>
      <c r="AF132" s="67" t="n"/>
      <c r="AG132" s="63" t="n"/>
      <c r="AH132" s="74">
        <f>IF($N132="Completed",1,IF(AND(ISNUMBER($K132),ISNUMBER($L132)),IF($L132&gt;$K132,MIN(1,MAX(0.05,(ReportDate-$K132)/($L132-$K132))),1),1))</f>
        <v>1</v>
      </c>
      <c r="AI132" s="70" t="str">
        <f>IF($B132="","",IF(AND(ISNUMBER($Q132),$Q132&gt;0),$R132/($Q132*$AH132),""))</f>
        <v/>
      </c>
      <c r="AJ132" s="71" t="str">
        <f>IF(ISNUMBER($K132),YEAR($K132)&amp;"-"&amp;TEXT(MONTH($K132),"00"),"")</f>
        <v/>
      </c>
      <c r="AK132" s="71">
        <f>IF($B132="",0,IF(AND(OR(fClient="All",$A132=fClient),OR(fCampaign="All",$B132=fCampaign),OR(fTeam="All",$I132=fTeam),OR(fChannel="All",$H132=fChannel),OR(fCStatus="All",$N132=fCStatus)),1,0))</f>
        <v>0</v>
      </c>
      <c r="AL132" s="71">
        <f>IF($B132="",0,IF(AND(OR(fClient="All",$A132=fClient),OR(fCampaign="All",$B132=fCampaign),OR(fTeam="All",$I132=fTeam),OR(fChannel="All",$H132=fChannel)),1,0))</f>
        <v>0</v>
      </c>
      <c r="AM132" s="71">
        <f>IF(OR($N132="Live",$N132="Optimizing"),1,0)</f>
        <v>0</v>
      </c>
      <c r="AN132" s="71">
        <f>IF(OR($N132="Live",$N132="Optimizing",$N132="Paused",$N132="Completed"),1,0)</f>
        <v>0</v>
      </c>
      <c r="AO132" s="71">
        <f>IF(AND($AM132=1,ISNUMBER($L132),NOT(ISNUMBER($M132))),IF($L132&lt;ReportDate,1,0),0)</f>
        <v>0</v>
      </c>
      <c r="AP132" s="71">
        <f>IF($AM132=1,IF(ISNUMBER($AG132),IF(ReportDate-$AG132&gt;CampStaleDays,1,0),1),0)</f>
        <v>0</v>
      </c>
      <c r="AQ132" s="71">
        <f>IF(AND($AM132=1,OR($AA132="Behind",$AA132="At Risk")),1,0)</f>
        <v>0</v>
      </c>
      <c r="AR132" s="71">
        <f>IF(AND($AM132=1,OR($AA132="Ahead",$AA132="On Track")),1,0)</f>
        <v>0</v>
      </c>
      <c r="AS132" s="71">
        <f>IF(OR($AQ132=1,$AP132=1,$AO132=1),1,0)</f>
        <v>0</v>
      </c>
      <c r="AT132" s="71" t="str">
        <f>IF($AS132=1,TRIM(IF($AQ132=1,"Low performance. ","")&amp;IF($AP132=1,"No recent update. ","")&amp;IF($AO132=1,"Past planned end. ","")),"")</f>
        <v/>
      </c>
      <c r="AU132" s="71" t="str">
        <f>IF(AND($AS132=1,$AL132=1),ROW(),"")</f>
        <v/>
      </c>
      <c r="AV132" s="71" t="str">
        <f>IF(AND($AQ132=1,$AL132=1),ROW(),"")</f>
        <v/>
      </c>
      <c r="AW132" s="71" t="str">
        <f>IF(AND($AP132=1,$AL132=1),ROW(),"")</f>
        <v/>
      </c>
      <c r="AX132" s="71" t="str">
        <f>IF(AND($AR132=1,$AL132=1),ROW(),"")</f>
        <v/>
      </c>
      <c r="AY132" s="71">
        <f>IF(AND($B132&lt;&gt;"",$A132=TCL_Client),1,0)</f>
        <v>0</v>
      </c>
      <c r="AZ132" s="71" t="str">
        <f>IF($AY132=1,ROW(),"")</f>
        <v/>
      </c>
      <c r="BA132" s="71">
        <f>IF(AND($B132&lt;&gt;"",$A132=MECCA_Client),1,0)</f>
        <v>0</v>
      </c>
      <c r="BB132" s="71" t="str">
        <f>IF($BA132=1,ROW(),"")</f>
        <v/>
      </c>
    </row>
    <row r="133">
      <c r="A133" s="64" t="n"/>
      <c r="B133" s="65" t="n"/>
      <c r="C133" s="64" t="n"/>
      <c r="D133" s="64" t="n"/>
      <c r="E133" s="64" t="n"/>
      <c r="F133" s="65" t="n"/>
      <c r="G133" s="65" t="n"/>
      <c r="H133" s="64" t="n"/>
      <c r="I133" s="64" t="n"/>
      <c r="J133" s="65" t="n"/>
      <c r="K133" s="63" t="n"/>
      <c r="L133" s="63" t="n"/>
      <c r="M133" s="63" t="n"/>
      <c r="N133" s="64" t="n"/>
      <c r="O133" s="67" t="n"/>
      <c r="P133" s="72" t="str">
        <f>IF($B133="","",SUMIFS('PAID MEDIA ADS'!$G$5:$G$804,'PAID MEDIA ADS'!$C$5:$C$804,$B133))</f>
        <v/>
      </c>
      <c r="Q133" s="67" t="n"/>
      <c r="R133" s="72" t="str">
        <f>IF($B133="","",COUNTIFS('LEAD MQL TRACKER'!$C$5:$C$1004,$B133,'LEAD MQL TRACKER'!$AB$5:$AB$1004,1)+SUMIFS('EMAIL MARKETING'!$Q$5:$Q$804,'EMAIL MARKETING'!$C$5:$C$804,$B133)+SUMIFS('PAID MEDIA ADS'!$M$5:$M$804,'PAID MEDIA ADS'!$C$5:$C$804,$B133)+SUMIFS('LINKEDIN OUTREACH'!$N$5:$N$704,'LINKEDIN OUTREACH'!$C$5:$C$704,$B133))</f>
        <v/>
      </c>
      <c r="S133" s="67" t="n"/>
      <c r="T133" s="72" t="str">
        <f>IF($B133="","",COUNTIFS('LEAD MQL TRACKER'!$C$5:$C$1004,$B133,'LEAD MQL TRACKER'!$AD$5:$AD$1004,1)+SUMIFS('EMAIL MARKETING'!$R$5:$R$804,'EMAIL MARKETING'!$C$5:$C$804,$B133)+SUMIFS('PAID MEDIA ADS'!$N$5:$N$804,'PAID MEDIA ADS'!$C$5:$C$804,$B133)+SUMIFS('LINKEDIN OUTREACH'!$O$5:$O$704,'LINKEDIN OUTREACH'!$C$5:$C$704,$B133))</f>
        <v/>
      </c>
      <c r="U133" s="67" t="n"/>
      <c r="V133" s="72" t="str">
        <f>IF($B133="","",COUNTIFS('LEAD MQL TRACKER'!$C$5:$C$1004,$B133,'LEAD MQL TRACKER'!$AE$5:$AE$1004,1))</f>
        <v/>
      </c>
      <c r="W133" s="72" t="str">
        <f>IF($B133="","",COUNTIFS('LEAD MQL TRACKER'!$C$5:$C$1004,$B133,'LEAD MQL TRACKER'!$AC$5:$AC$1004,1)+SUMIFS('LINKEDIN OUTREACH'!$M$5:$M$704,'LINKEDIN OUTREACH'!$C$5:$C$704,$B133))</f>
        <v/>
      </c>
      <c r="X133" s="72" t="str">
        <f>IF($B133="","",SUMIFS('EMAIL MARKETING'!$O$5:$O$804,'EMAIL MARKETING'!$C$5:$C$804,$B133)+SUMIFS('LINKEDIN OUTREACH'!$K$5:$K$704,'LINKEDIN OUTREACH'!$C$5:$C$704,$B133))</f>
        <v/>
      </c>
      <c r="Y133" s="73" t="str">
        <f>IF(ISNUMBER($R133),IF($R133&gt;0,$T133/$R133,""),"")</f>
        <v/>
      </c>
      <c r="Z133" s="72" t="str">
        <f>IF(AND(ISNUMBER($P133),ISNUMBER($R133)),IF(AND($P133&gt;0,$R133&gt;0),$P133/$R133,""),"")</f>
        <v/>
      </c>
      <c r="AA133" s="71" t="str">
        <f>IF($B133="","",IF(OR($N133="Live",$N133="Optimizing",$N133="Paused",$N133="Completed"),IF(ISNUMBER($AI133),IF($AI133&gt;=1,"Ahead",IF($AI133&gt;=OnTrackPct,"On Track",IF($AI133&gt;=WatchPct,"Behind","At Risk"))),"No Target Set"),"Not Live"))</f>
        <v/>
      </c>
      <c r="AB133" s="65" t="n"/>
      <c r="AC133" s="65" t="n"/>
      <c r="AD133" s="65" t="n"/>
      <c r="AE133" s="67" t="n"/>
      <c r="AF133" s="67" t="n"/>
      <c r="AG133" s="63" t="n"/>
      <c r="AH133" s="74">
        <f>IF($N133="Completed",1,IF(AND(ISNUMBER($K133),ISNUMBER($L133)),IF($L133&gt;$K133,MIN(1,MAX(0.05,(ReportDate-$K133)/($L133-$K133))),1),1))</f>
        <v>1</v>
      </c>
      <c r="AI133" s="70" t="str">
        <f>IF($B133="","",IF(AND(ISNUMBER($Q133),$Q133&gt;0),$R133/($Q133*$AH133),""))</f>
        <v/>
      </c>
      <c r="AJ133" s="71" t="str">
        <f>IF(ISNUMBER($K133),YEAR($K133)&amp;"-"&amp;TEXT(MONTH($K133),"00"),"")</f>
        <v/>
      </c>
      <c r="AK133" s="71">
        <f>IF($B133="",0,IF(AND(OR(fClient="All",$A133=fClient),OR(fCampaign="All",$B133=fCampaign),OR(fTeam="All",$I133=fTeam),OR(fChannel="All",$H133=fChannel),OR(fCStatus="All",$N133=fCStatus)),1,0))</f>
        <v>0</v>
      </c>
      <c r="AL133" s="71">
        <f>IF($B133="",0,IF(AND(OR(fClient="All",$A133=fClient),OR(fCampaign="All",$B133=fCampaign),OR(fTeam="All",$I133=fTeam),OR(fChannel="All",$H133=fChannel)),1,0))</f>
        <v>0</v>
      </c>
      <c r="AM133" s="71">
        <f>IF(OR($N133="Live",$N133="Optimizing"),1,0)</f>
        <v>0</v>
      </c>
      <c r="AN133" s="71">
        <f>IF(OR($N133="Live",$N133="Optimizing",$N133="Paused",$N133="Completed"),1,0)</f>
        <v>0</v>
      </c>
      <c r="AO133" s="71">
        <f>IF(AND($AM133=1,ISNUMBER($L133),NOT(ISNUMBER($M133))),IF($L133&lt;ReportDate,1,0),0)</f>
        <v>0</v>
      </c>
      <c r="AP133" s="71">
        <f>IF($AM133=1,IF(ISNUMBER($AG133),IF(ReportDate-$AG133&gt;CampStaleDays,1,0),1),0)</f>
        <v>0</v>
      </c>
      <c r="AQ133" s="71">
        <f>IF(AND($AM133=1,OR($AA133="Behind",$AA133="At Risk")),1,0)</f>
        <v>0</v>
      </c>
      <c r="AR133" s="71">
        <f>IF(AND($AM133=1,OR($AA133="Ahead",$AA133="On Track")),1,0)</f>
        <v>0</v>
      </c>
      <c r="AS133" s="71">
        <f>IF(OR($AQ133=1,$AP133=1,$AO133=1),1,0)</f>
        <v>0</v>
      </c>
      <c r="AT133" s="71" t="str">
        <f>IF($AS133=1,TRIM(IF($AQ133=1,"Low performance. ","")&amp;IF($AP133=1,"No recent update. ","")&amp;IF($AO133=1,"Past planned end. ","")),"")</f>
        <v/>
      </c>
      <c r="AU133" s="71" t="str">
        <f>IF(AND($AS133=1,$AL133=1),ROW(),"")</f>
        <v/>
      </c>
      <c r="AV133" s="71" t="str">
        <f>IF(AND($AQ133=1,$AL133=1),ROW(),"")</f>
        <v/>
      </c>
      <c r="AW133" s="71" t="str">
        <f>IF(AND($AP133=1,$AL133=1),ROW(),"")</f>
        <v/>
      </c>
      <c r="AX133" s="71" t="str">
        <f>IF(AND($AR133=1,$AL133=1),ROW(),"")</f>
        <v/>
      </c>
      <c r="AY133" s="71">
        <f>IF(AND($B133&lt;&gt;"",$A133=TCL_Client),1,0)</f>
        <v>0</v>
      </c>
      <c r="AZ133" s="71" t="str">
        <f>IF($AY133=1,ROW(),"")</f>
        <v/>
      </c>
      <c r="BA133" s="71">
        <f>IF(AND($B133&lt;&gt;"",$A133=MECCA_Client),1,0)</f>
        <v>0</v>
      </c>
      <c r="BB133" s="71" t="str">
        <f>IF($BA133=1,ROW(),"")</f>
        <v/>
      </c>
    </row>
    <row r="134">
      <c r="A134" s="64" t="n"/>
      <c r="B134" s="65" t="n"/>
      <c r="C134" s="64" t="n"/>
      <c r="D134" s="64" t="n"/>
      <c r="E134" s="64" t="n"/>
      <c r="F134" s="65" t="n"/>
      <c r="G134" s="65" t="n"/>
      <c r="H134" s="64" t="n"/>
      <c r="I134" s="64" t="n"/>
      <c r="J134" s="65" t="n"/>
      <c r="K134" s="63" t="n"/>
      <c r="L134" s="63" t="n"/>
      <c r="M134" s="63" t="n"/>
      <c r="N134" s="64" t="n"/>
      <c r="O134" s="67" t="n"/>
      <c r="P134" s="72" t="str">
        <f>IF($B134="","",SUMIFS('PAID MEDIA ADS'!$G$5:$G$804,'PAID MEDIA ADS'!$C$5:$C$804,$B134))</f>
        <v/>
      </c>
      <c r="Q134" s="67" t="n"/>
      <c r="R134" s="72" t="str">
        <f>IF($B134="","",COUNTIFS('LEAD MQL TRACKER'!$C$5:$C$1004,$B134,'LEAD MQL TRACKER'!$AB$5:$AB$1004,1)+SUMIFS('EMAIL MARKETING'!$Q$5:$Q$804,'EMAIL MARKETING'!$C$5:$C$804,$B134)+SUMIFS('PAID MEDIA ADS'!$M$5:$M$804,'PAID MEDIA ADS'!$C$5:$C$804,$B134)+SUMIFS('LINKEDIN OUTREACH'!$N$5:$N$704,'LINKEDIN OUTREACH'!$C$5:$C$704,$B134))</f>
        <v/>
      </c>
      <c r="S134" s="67" t="n"/>
      <c r="T134" s="72" t="str">
        <f>IF($B134="","",COUNTIFS('LEAD MQL TRACKER'!$C$5:$C$1004,$B134,'LEAD MQL TRACKER'!$AD$5:$AD$1004,1)+SUMIFS('EMAIL MARKETING'!$R$5:$R$804,'EMAIL MARKETING'!$C$5:$C$804,$B134)+SUMIFS('PAID MEDIA ADS'!$N$5:$N$804,'PAID MEDIA ADS'!$C$5:$C$804,$B134)+SUMIFS('LINKEDIN OUTREACH'!$O$5:$O$704,'LINKEDIN OUTREACH'!$C$5:$C$704,$B134))</f>
        <v/>
      </c>
      <c r="U134" s="67" t="n"/>
      <c r="V134" s="72" t="str">
        <f>IF($B134="","",COUNTIFS('LEAD MQL TRACKER'!$C$5:$C$1004,$B134,'LEAD MQL TRACKER'!$AE$5:$AE$1004,1))</f>
        <v/>
      </c>
      <c r="W134" s="72" t="str">
        <f>IF($B134="","",COUNTIFS('LEAD MQL TRACKER'!$C$5:$C$1004,$B134,'LEAD MQL TRACKER'!$AC$5:$AC$1004,1)+SUMIFS('LINKEDIN OUTREACH'!$M$5:$M$704,'LINKEDIN OUTREACH'!$C$5:$C$704,$B134))</f>
        <v/>
      </c>
      <c r="X134" s="72" t="str">
        <f>IF($B134="","",SUMIFS('EMAIL MARKETING'!$O$5:$O$804,'EMAIL MARKETING'!$C$5:$C$804,$B134)+SUMIFS('LINKEDIN OUTREACH'!$K$5:$K$704,'LINKEDIN OUTREACH'!$C$5:$C$704,$B134))</f>
        <v/>
      </c>
      <c r="Y134" s="73" t="str">
        <f>IF(ISNUMBER($R134),IF($R134&gt;0,$T134/$R134,""),"")</f>
        <v/>
      </c>
      <c r="Z134" s="72" t="str">
        <f>IF(AND(ISNUMBER($P134),ISNUMBER($R134)),IF(AND($P134&gt;0,$R134&gt;0),$P134/$R134,""),"")</f>
        <v/>
      </c>
      <c r="AA134" s="71" t="str">
        <f>IF($B134="","",IF(OR($N134="Live",$N134="Optimizing",$N134="Paused",$N134="Completed"),IF(ISNUMBER($AI134),IF($AI134&gt;=1,"Ahead",IF($AI134&gt;=OnTrackPct,"On Track",IF($AI134&gt;=WatchPct,"Behind","At Risk"))),"No Target Set"),"Not Live"))</f>
        <v/>
      </c>
      <c r="AB134" s="65" t="n"/>
      <c r="AC134" s="65" t="n"/>
      <c r="AD134" s="65" t="n"/>
      <c r="AE134" s="67" t="n"/>
      <c r="AF134" s="67" t="n"/>
      <c r="AG134" s="63" t="n"/>
      <c r="AH134" s="74">
        <f>IF($N134="Completed",1,IF(AND(ISNUMBER($K134),ISNUMBER($L134)),IF($L134&gt;$K134,MIN(1,MAX(0.05,(ReportDate-$K134)/($L134-$K134))),1),1))</f>
        <v>1</v>
      </c>
      <c r="AI134" s="70" t="str">
        <f>IF($B134="","",IF(AND(ISNUMBER($Q134),$Q134&gt;0),$R134/($Q134*$AH134),""))</f>
        <v/>
      </c>
      <c r="AJ134" s="71" t="str">
        <f>IF(ISNUMBER($K134),YEAR($K134)&amp;"-"&amp;TEXT(MONTH($K134),"00"),"")</f>
        <v/>
      </c>
      <c r="AK134" s="71">
        <f>IF($B134="",0,IF(AND(OR(fClient="All",$A134=fClient),OR(fCampaign="All",$B134=fCampaign),OR(fTeam="All",$I134=fTeam),OR(fChannel="All",$H134=fChannel),OR(fCStatus="All",$N134=fCStatus)),1,0))</f>
        <v>0</v>
      </c>
      <c r="AL134" s="71">
        <f>IF($B134="",0,IF(AND(OR(fClient="All",$A134=fClient),OR(fCampaign="All",$B134=fCampaign),OR(fTeam="All",$I134=fTeam),OR(fChannel="All",$H134=fChannel)),1,0))</f>
        <v>0</v>
      </c>
      <c r="AM134" s="71">
        <f>IF(OR($N134="Live",$N134="Optimizing"),1,0)</f>
        <v>0</v>
      </c>
      <c r="AN134" s="71">
        <f>IF(OR($N134="Live",$N134="Optimizing",$N134="Paused",$N134="Completed"),1,0)</f>
        <v>0</v>
      </c>
      <c r="AO134" s="71">
        <f>IF(AND($AM134=1,ISNUMBER($L134),NOT(ISNUMBER($M134))),IF($L134&lt;ReportDate,1,0),0)</f>
        <v>0</v>
      </c>
      <c r="AP134" s="71">
        <f>IF($AM134=1,IF(ISNUMBER($AG134),IF(ReportDate-$AG134&gt;CampStaleDays,1,0),1),0)</f>
        <v>0</v>
      </c>
      <c r="AQ134" s="71">
        <f>IF(AND($AM134=1,OR($AA134="Behind",$AA134="At Risk")),1,0)</f>
        <v>0</v>
      </c>
      <c r="AR134" s="71">
        <f>IF(AND($AM134=1,OR($AA134="Ahead",$AA134="On Track")),1,0)</f>
        <v>0</v>
      </c>
      <c r="AS134" s="71">
        <f>IF(OR($AQ134=1,$AP134=1,$AO134=1),1,0)</f>
        <v>0</v>
      </c>
      <c r="AT134" s="71" t="str">
        <f>IF($AS134=1,TRIM(IF($AQ134=1,"Low performance. ","")&amp;IF($AP134=1,"No recent update. ","")&amp;IF($AO134=1,"Past planned end. ","")),"")</f>
        <v/>
      </c>
      <c r="AU134" s="71" t="str">
        <f>IF(AND($AS134=1,$AL134=1),ROW(),"")</f>
        <v/>
      </c>
      <c r="AV134" s="71" t="str">
        <f>IF(AND($AQ134=1,$AL134=1),ROW(),"")</f>
        <v/>
      </c>
      <c r="AW134" s="71" t="str">
        <f>IF(AND($AP134=1,$AL134=1),ROW(),"")</f>
        <v/>
      </c>
      <c r="AX134" s="71" t="str">
        <f>IF(AND($AR134=1,$AL134=1),ROW(),"")</f>
        <v/>
      </c>
      <c r="AY134" s="71">
        <f>IF(AND($B134&lt;&gt;"",$A134=TCL_Client),1,0)</f>
        <v>0</v>
      </c>
      <c r="AZ134" s="71" t="str">
        <f>IF($AY134=1,ROW(),"")</f>
        <v/>
      </c>
      <c r="BA134" s="71">
        <f>IF(AND($B134&lt;&gt;"",$A134=MECCA_Client),1,0)</f>
        <v>0</v>
      </c>
      <c r="BB134" s="71" t="str">
        <f>IF($BA134=1,ROW(),"")</f>
        <v/>
      </c>
    </row>
    <row r="135">
      <c r="A135" s="64" t="n"/>
      <c r="B135" s="65" t="n"/>
      <c r="C135" s="64" t="n"/>
      <c r="D135" s="64" t="n"/>
      <c r="E135" s="64" t="n"/>
      <c r="F135" s="65" t="n"/>
      <c r="G135" s="65" t="n"/>
      <c r="H135" s="64" t="n"/>
      <c r="I135" s="64" t="n"/>
      <c r="J135" s="65" t="n"/>
      <c r="K135" s="63" t="n"/>
      <c r="L135" s="63" t="n"/>
      <c r="M135" s="63" t="n"/>
      <c r="N135" s="64" t="n"/>
      <c r="O135" s="67" t="n"/>
      <c r="P135" s="72" t="str">
        <f>IF($B135="","",SUMIFS('PAID MEDIA ADS'!$G$5:$G$804,'PAID MEDIA ADS'!$C$5:$C$804,$B135))</f>
        <v/>
      </c>
      <c r="Q135" s="67" t="n"/>
      <c r="R135" s="72" t="str">
        <f>IF($B135="","",COUNTIFS('LEAD MQL TRACKER'!$C$5:$C$1004,$B135,'LEAD MQL TRACKER'!$AB$5:$AB$1004,1)+SUMIFS('EMAIL MARKETING'!$Q$5:$Q$804,'EMAIL MARKETING'!$C$5:$C$804,$B135)+SUMIFS('PAID MEDIA ADS'!$M$5:$M$804,'PAID MEDIA ADS'!$C$5:$C$804,$B135)+SUMIFS('LINKEDIN OUTREACH'!$N$5:$N$704,'LINKEDIN OUTREACH'!$C$5:$C$704,$B135))</f>
        <v/>
      </c>
      <c r="S135" s="67" t="n"/>
      <c r="T135" s="72" t="str">
        <f>IF($B135="","",COUNTIFS('LEAD MQL TRACKER'!$C$5:$C$1004,$B135,'LEAD MQL TRACKER'!$AD$5:$AD$1004,1)+SUMIFS('EMAIL MARKETING'!$R$5:$R$804,'EMAIL MARKETING'!$C$5:$C$804,$B135)+SUMIFS('PAID MEDIA ADS'!$N$5:$N$804,'PAID MEDIA ADS'!$C$5:$C$804,$B135)+SUMIFS('LINKEDIN OUTREACH'!$O$5:$O$704,'LINKEDIN OUTREACH'!$C$5:$C$704,$B135))</f>
        <v/>
      </c>
      <c r="U135" s="67" t="n"/>
      <c r="V135" s="72" t="str">
        <f>IF($B135="","",COUNTIFS('LEAD MQL TRACKER'!$C$5:$C$1004,$B135,'LEAD MQL TRACKER'!$AE$5:$AE$1004,1))</f>
        <v/>
      </c>
      <c r="W135" s="72" t="str">
        <f>IF($B135="","",COUNTIFS('LEAD MQL TRACKER'!$C$5:$C$1004,$B135,'LEAD MQL TRACKER'!$AC$5:$AC$1004,1)+SUMIFS('LINKEDIN OUTREACH'!$M$5:$M$704,'LINKEDIN OUTREACH'!$C$5:$C$704,$B135))</f>
        <v/>
      </c>
      <c r="X135" s="72" t="str">
        <f>IF($B135="","",SUMIFS('EMAIL MARKETING'!$O$5:$O$804,'EMAIL MARKETING'!$C$5:$C$804,$B135)+SUMIFS('LINKEDIN OUTREACH'!$K$5:$K$704,'LINKEDIN OUTREACH'!$C$5:$C$704,$B135))</f>
        <v/>
      </c>
      <c r="Y135" s="73" t="str">
        <f>IF(ISNUMBER($R135),IF($R135&gt;0,$T135/$R135,""),"")</f>
        <v/>
      </c>
      <c r="Z135" s="72" t="str">
        <f>IF(AND(ISNUMBER($P135),ISNUMBER($R135)),IF(AND($P135&gt;0,$R135&gt;0),$P135/$R135,""),"")</f>
        <v/>
      </c>
      <c r="AA135" s="71" t="str">
        <f>IF($B135="","",IF(OR($N135="Live",$N135="Optimizing",$N135="Paused",$N135="Completed"),IF(ISNUMBER($AI135),IF($AI135&gt;=1,"Ahead",IF($AI135&gt;=OnTrackPct,"On Track",IF($AI135&gt;=WatchPct,"Behind","At Risk"))),"No Target Set"),"Not Live"))</f>
        <v/>
      </c>
      <c r="AB135" s="65" t="n"/>
      <c r="AC135" s="65" t="n"/>
      <c r="AD135" s="65" t="n"/>
      <c r="AE135" s="67" t="n"/>
      <c r="AF135" s="67" t="n"/>
      <c r="AG135" s="63" t="n"/>
      <c r="AH135" s="74">
        <f>IF($N135="Completed",1,IF(AND(ISNUMBER($K135),ISNUMBER($L135)),IF($L135&gt;$K135,MIN(1,MAX(0.05,(ReportDate-$K135)/($L135-$K135))),1),1))</f>
        <v>1</v>
      </c>
      <c r="AI135" s="70" t="str">
        <f>IF($B135="","",IF(AND(ISNUMBER($Q135),$Q135&gt;0),$R135/($Q135*$AH135),""))</f>
        <v/>
      </c>
      <c r="AJ135" s="71" t="str">
        <f>IF(ISNUMBER($K135),YEAR($K135)&amp;"-"&amp;TEXT(MONTH($K135),"00"),"")</f>
        <v/>
      </c>
      <c r="AK135" s="71">
        <f>IF($B135="",0,IF(AND(OR(fClient="All",$A135=fClient),OR(fCampaign="All",$B135=fCampaign),OR(fTeam="All",$I135=fTeam),OR(fChannel="All",$H135=fChannel),OR(fCStatus="All",$N135=fCStatus)),1,0))</f>
        <v>0</v>
      </c>
      <c r="AL135" s="71">
        <f>IF($B135="",0,IF(AND(OR(fClient="All",$A135=fClient),OR(fCampaign="All",$B135=fCampaign),OR(fTeam="All",$I135=fTeam),OR(fChannel="All",$H135=fChannel)),1,0))</f>
        <v>0</v>
      </c>
      <c r="AM135" s="71">
        <f>IF(OR($N135="Live",$N135="Optimizing"),1,0)</f>
        <v>0</v>
      </c>
      <c r="AN135" s="71">
        <f>IF(OR($N135="Live",$N135="Optimizing",$N135="Paused",$N135="Completed"),1,0)</f>
        <v>0</v>
      </c>
      <c r="AO135" s="71">
        <f>IF(AND($AM135=1,ISNUMBER($L135),NOT(ISNUMBER($M135))),IF($L135&lt;ReportDate,1,0),0)</f>
        <v>0</v>
      </c>
      <c r="AP135" s="71">
        <f>IF($AM135=1,IF(ISNUMBER($AG135),IF(ReportDate-$AG135&gt;CampStaleDays,1,0),1),0)</f>
        <v>0</v>
      </c>
      <c r="AQ135" s="71">
        <f>IF(AND($AM135=1,OR($AA135="Behind",$AA135="At Risk")),1,0)</f>
        <v>0</v>
      </c>
      <c r="AR135" s="71">
        <f>IF(AND($AM135=1,OR($AA135="Ahead",$AA135="On Track")),1,0)</f>
        <v>0</v>
      </c>
      <c r="AS135" s="71">
        <f>IF(OR($AQ135=1,$AP135=1,$AO135=1),1,0)</f>
        <v>0</v>
      </c>
      <c r="AT135" s="71" t="str">
        <f>IF($AS135=1,TRIM(IF($AQ135=1,"Low performance. ","")&amp;IF($AP135=1,"No recent update. ","")&amp;IF($AO135=1,"Past planned end. ","")),"")</f>
        <v/>
      </c>
      <c r="AU135" s="71" t="str">
        <f>IF(AND($AS135=1,$AL135=1),ROW(),"")</f>
        <v/>
      </c>
      <c r="AV135" s="71" t="str">
        <f>IF(AND($AQ135=1,$AL135=1),ROW(),"")</f>
        <v/>
      </c>
      <c r="AW135" s="71" t="str">
        <f>IF(AND($AP135=1,$AL135=1),ROW(),"")</f>
        <v/>
      </c>
      <c r="AX135" s="71" t="str">
        <f>IF(AND($AR135=1,$AL135=1),ROW(),"")</f>
        <v/>
      </c>
      <c r="AY135" s="71">
        <f>IF(AND($B135&lt;&gt;"",$A135=TCL_Client),1,0)</f>
        <v>0</v>
      </c>
      <c r="AZ135" s="71" t="str">
        <f>IF($AY135=1,ROW(),"")</f>
        <v/>
      </c>
      <c r="BA135" s="71">
        <f>IF(AND($B135&lt;&gt;"",$A135=MECCA_Client),1,0)</f>
        <v>0</v>
      </c>
      <c r="BB135" s="71" t="str">
        <f>IF($BA135=1,ROW(),"")</f>
        <v/>
      </c>
    </row>
    <row r="136">
      <c r="A136" s="64" t="n"/>
      <c r="B136" s="65" t="n"/>
      <c r="C136" s="64" t="n"/>
      <c r="D136" s="64" t="n"/>
      <c r="E136" s="64" t="n"/>
      <c r="F136" s="65" t="n"/>
      <c r="G136" s="65" t="n"/>
      <c r="H136" s="64" t="n"/>
      <c r="I136" s="64" t="n"/>
      <c r="J136" s="65" t="n"/>
      <c r="K136" s="63" t="n"/>
      <c r="L136" s="63" t="n"/>
      <c r="M136" s="63" t="n"/>
      <c r="N136" s="64" t="n"/>
      <c r="O136" s="67" t="n"/>
      <c r="P136" s="72" t="str">
        <f>IF($B136="","",SUMIFS('PAID MEDIA ADS'!$G$5:$G$804,'PAID MEDIA ADS'!$C$5:$C$804,$B136))</f>
        <v/>
      </c>
      <c r="Q136" s="67" t="n"/>
      <c r="R136" s="72" t="str">
        <f>IF($B136="","",COUNTIFS('LEAD MQL TRACKER'!$C$5:$C$1004,$B136,'LEAD MQL TRACKER'!$AB$5:$AB$1004,1)+SUMIFS('EMAIL MARKETING'!$Q$5:$Q$804,'EMAIL MARKETING'!$C$5:$C$804,$B136)+SUMIFS('PAID MEDIA ADS'!$M$5:$M$804,'PAID MEDIA ADS'!$C$5:$C$804,$B136)+SUMIFS('LINKEDIN OUTREACH'!$N$5:$N$704,'LINKEDIN OUTREACH'!$C$5:$C$704,$B136))</f>
        <v/>
      </c>
      <c r="S136" s="67" t="n"/>
      <c r="T136" s="72" t="str">
        <f>IF($B136="","",COUNTIFS('LEAD MQL TRACKER'!$C$5:$C$1004,$B136,'LEAD MQL TRACKER'!$AD$5:$AD$1004,1)+SUMIFS('EMAIL MARKETING'!$R$5:$R$804,'EMAIL MARKETING'!$C$5:$C$804,$B136)+SUMIFS('PAID MEDIA ADS'!$N$5:$N$804,'PAID MEDIA ADS'!$C$5:$C$804,$B136)+SUMIFS('LINKEDIN OUTREACH'!$O$5:$O$704,'LINKEDIN OUTREACH'!$C$5:$C$704,$B136))</f>
        <v/>
      </c>
      <c r="U136" s="67" t="n"/>
      <c r="V136" s="72" t="str">
        <f>IF($B136="","",COUNTIFS('LEAD MQL TRACKER'!$C$5:$C$1004,$B136,'LEAD MQL TRACKER'!$AE$5:$AE$1004,1))</f>
        <v/>
      </c>
      <c r="W136" s="72" t="str">
        <f>IF($B136="","",COUNTIFS('LEAD MQL TRACKER'!$C$5:$C$1004,$B136,'LEAD MQL TRACKER'!$AC$5:$AC$1004,1)+SUMIFS('LINKEDIN OUTREACH'!$M$5:$M$704,'LINKEDIN OUTREACH'!$C$5:$C$704,$B136))</f>
        <v/>
      </c>
      <c r="X136" s="72" t="str">
        <f>IF($B136="","",SUMIFS('EMAIL MARKETING'!$O$5:$O$804,'EMAIL MARKETING'!$C$5:$C$804,$B136)+SUMIFS('LINKEDIN OUTREACH'!$K$5:$K$704,'LINKEDIN OUTREACH'!$C$5:$C$704,$B136))</f>
        <v/>
      </c>
      <c r="Y136" s="73" t="str">
        <f>IF(ISNUMBER($R136),IF($R136&gt;0,$T136/$R136,""),"")</f>
        <v/>
      </c>
      <c r="Z136" s="72" t="str">
        <f>IF(AND(ISNUMBER($P136),ISNUMBER($R136)),IF(AND($P136&gt;0,$R136&gt;0),$P136/$R136,""),"")</f>
        <v/>
      </c>
      <c r="AA136" s="71" t="str">
        <f>IF($B136="","",IF(OR($N136="Live",$N136="Optimizing",$N136="Paused",$N136="Completed"),IF(ISNUMBER($AI136),IF($AI136&gt;=1,"Ahead",IF($AI136&gt;=OnTrackPct,"On Track",IF($AI136&gt;=WatchPct,"Behind","At Risk"))),"No Target Set"),"Not Live"))</f>
        <v/>
      </c>
      <c r="AB136" s="65" t="n"/>
      <c r="AC136" s="65" t="n"/>
      <c r="AD136" s="65" t="n"/>
      <c r="AE136" s="67" t="n"/>
      <c r="AF136" s="67" t="n"/>
      <c r="AG136" s="63" t="n"/>
      <c r="AH136" s="74">
        <f>IF($N136="Completed",1,IF(AND(ISNUMBER($K136),ISNUMBER($L136)),IF($L136&gt;$K136,MIN(1,MAX(0.05,(ReportDate-$K136)/($L136-$K136))),1),1))</f>
        <v>1</v>
      </c>
      <c r="AI136" s="70" t="str">
        <f>IF($B136="","",IF(AND(ISNUMBER($Q136),$Q136&gt;0),$R136/($Q136*$AH136),""))</f>
        <v/>
      </c>
      <c r="AJ136" s="71" t="str">
        <f>IF(ISNUMBER($K136),YEAR($K136)&amp;"-"&amp;TEXT(MONTH($K136),"00"),"")</f>
        <v/>
      </c>
      <c r="AK136" s="71">
        <f>IF($B136="",0,IF(AND(OR(fClient="All",$A136=fClient),OR(fCampaign="All",$B136=fCampaign),OR(fTeam="All",$I136=fTeam),OR(fChannel="All",$H136=fChannel),OR(fCStatus="All",$N136=fCStatus)),1,0))</f>
        <v>0</v>
      </c>
      <c r="AL136" s="71">
        <f>IF($B136="",0,IF(AND(OR(fClient="All",$A136=fClient),OR(fCampaign="All",$B136=fCampaign),OR(fTeam="All",$I136=fTeam),OR(fChannel="All",$H136=fChannel)),1,0))</f>
        <v>0</v>
      </c>
      <c r="AM136" s="71">
        <f>IF(OR($N136="Live",$N136="Optimizing"),1,0)</f>
        <v>0</v>
      </c>
      <c r="AN136" s="71">
        <f>IF(OR($N136="Live",$N136="Optimizing",$N136="Paused",$N136="Completed"),1,0)</f>
        <v>0</v>
      </c>
      <c r="AO136" s="71">
        <f>IF(AND($AM136=1,ISNUMBER($L136),NOT(ISNUMBER($M136))),IF($L136&lt;ReportDate,1,0),0)</f>
        <v>0</v>
      </c>
      <c r="AP136" s="71">
        <f>IF($AM136=1,IF(ISNUMBER($AG136),IF(ReportDate-$AG136&gt;CampStaleDays,1,0),1),0)</f>
        <v>0</v>
      </c>
      <c r="AQ136" s="71">
        <f>IF(AND($AM136=1,OR($AA136="Behind",$AA136="At Risk")),1,0)</f>
        <v>0</v>
      </c>
      <c r="AR136" s="71">
        <f>IF(AND($AM136=1,OR($AA136="Ahead",$AA136="On Track")),1,0)</f>
        <v>0</v>
      </c>
      <c r="AS136" s="71">
        <f>IF(OR($AQ136=1,$AP136=1,$AO136=1),1,0)</f>
        <v>0</v>
      </c>
      <c r="AT136" s="71" t="str">
        <f>IF($AS136=1,TRIM(IF($AQ136=1,"Low performance. ","")&amp;IF($AP136=1,"No recent update. ","")&amp;IF($AO136=1,"Past planned end. ","")),"")</f>
        <v/>
      </c>
      <c r="AU136" s="71" t="str">
        <f>IF(AND($AS136=1,$AL136=1),ROW(),"")</f>
        <v/>
      </c>
      <c r="AV136" s="71" t="str">
        <f>IF(AND($AQ136=1,$AL136=1),ROW(),"")</f>
        <v/>
      </c>
      <c r="AW136" s="71" t="str">
        <f>IF(AND($AP136=1,$AL136=1),ROW(),"")</f>
        <v/>
      </c>
      <c r="AX136" s="71" t="str">
        <f>IF(AND($AR136=1,$AL136=1),ROW(),"")</f>
        <v/>
      </c>
      <c r="AY136" s="71">
        <f>IF(AND($B136&lt;&gt;"",$A136=TCL_Client),1,0)</f>
        <v>0</v>
      </c>
      <c r="AZ136" s="71" t="str">
        <f>IF($AY136=1,ROW(),"")</f>
        <v/>
      </c>
      <c r="BA136" s="71">
        <f>IF(AND($B136&lt;&gt;"",$A136=MECCA_Client),1,0)</f>
        <v>0</v>
      </c>
      <c r="BB136" s="71" t="str">
        <f>IF($BA136=1,ROW(),"")</f>
        <v/>
      </c>
    </row>
    <row r="137">
      <c r="A137" s="64" t="n"/>
      <c r="B137" s="65" t="n"/>
      <c r="C137" s="64" t="n"/>
      <c r="D137" s="64" t="n"/>
      <c r="E137" s="64" t="n"/>
      <c r="F137" s="65" t="n"/>
      <c r="G137" s="65" t="n"/>
      <c r="H137" s="64" t="n"/>
      <c r="I137" s="64" t="n"/>
      <c r="J137" s="65" t="n"/>
      <c r="K137" s="63" t="n"/>
      <c r="L137" s="63" t="n"/>
      <c r="M137" s="63" t="n"/>
      <c r="N137" s="64" t="n"/>
      <c r="O137" s="67" t="n"/>
      <c r="P137" s="72" t="str">
        <f>IF($B137="","",SUMIFS('PAID MEDIA ADS'!$G$5:$G$804,'PAID MEDIA ADS'!$C$5:$C$804,$B137))</f>
        <v/>
      </c>
      <c r="Q137" s="67" t="n"/>
      <c r="R137" s="72" t="str">
        <f>IF($B137="","",COUNTIFS('LEAD MQL TRACKER'!$C$5:$C$1004,$B137,'LEAD MQL TRACKER'!$AB$5:$AB$1004,1)+SUMIFS('EMAIL MARKETING'!$Q$5:$Q$804,'EMAIL MARKETING'!$C$5:$C$804,$B137)+SUMIFS('PAID MEDIA ADS'!$M$5:$M$804,'PAID MEDIA ADS'!$C$5:$C$804,$B137)+SUMIFS('LINKEDIN OUTREACH'!$N$5:$N$704,'LINKEDIN OUTREACH'!$C$5:$C$704,$B137))</f>
        <v/>
      </c>
      <c r="S137" s="67" t="n"/>
      <c r="T137" s="72" t="str">
        <f>IF($B137="","",COUNTIFS('LEAD MQL TRACKER'!$C$5:$C$1004,$B137,'LEAD MQL TRACKER'!$AD$5:$AD$1004,1)+SUMIFS('EMAIL MARKETING'!$R$5:$R$804,'EMAIL MARKETING'!$C$5:$C$804,$B137)+SUMIFS('PAID MEDIA ADS'!$N$5:$N$804,'PAID MEDIA ADS'!$C$5:$C$804,$B137)+SUMIFS('LINKEDIN OUTREACH'!$O$5:$O$704,'LINKEDIN OUTREACH'!$C$5:$C$704,$B137))</f>
        <v/>
      </c>
      <c r="U137" s="67" t="n"/>
      <c r="V137" s="72" t="str">
        <f>IF($B137="","",COUNTIFS('LEAD MQL TRACKER'!$C$5:$C$1004,$B137,'LEAD MQL TRACKER'!$AE$5:$AE$1004,1))</f>
        <v/>
      </c>
      <c r="W137" s="72" t="str">
        <f>IF($B137="","",COUNTIFS('LEAD MQL TRACKER'!$C$5:$C$1004,$B137,'LEAD MQL TRACKER'!$AC$5:$AC$1004,1)+SUMIFS('LINKEDIN OUTREACH'!$M$5:$M$704,'LINKEDIN OUTREACH'!$C$5:$C$704,$B137))</f>
        <v/>
      </c>
      <c r="X137" s="72" t="str">
        <f>IF($B137="","",SUMIFS('EMAIL MARKETING'!$O$5:$O$804,'EMAIL MARKETING'!$C$5:$C$804,$B137)+SUMIFS('LINKEDIN OUTREACH'!$K$5:$K$704,'LINKEDIN OUTREACH'!$C$5:$C$704,$B137))</f>
        <v/>
      </c>
      <c r="Y137" s="73" t="str">
        <f>IF(ISNUMBER($R137),IF($R137&gt;0,$T137/$R137,""),"")</f>
        <v/>
      </c>
      <c r="Z137" s="72" t="str">
        <f>IF(AND(ISNUMBER($P137),ISNUMBER($R137)),IF(AND($P137&gt;0,$R137&gt;0),$P137/$R137,""),"")</f>
        <v/>
      </c>
      <c r="AA137" s="71" t="str">
        <f>IF($B137="","",IF(OR($N137="Live",$N137="Optimizing",$N137="Paused",$N137="Completed"),IF(ISNUMBER($AI137),IF($AI137&gt;=1,"Ahead",IF($AI137&gt;=OnTrackPct,"On Track",IF($AI137&gt;=WatchPct,"Behind","At Risk"))),"No Target Set"),"Not Live"))</f>
        <v/>
      </c>
      <c r="AB137" s="65" t="n"/>
      <c r="AC137" s="65" t="n"/>
      <c r="AD137" s="65" t="n"/>
      <c r="AE137" s="67" t="n"/>
      <c r="AF137" s="67" t="n"/>
      <c r="AG137" s="63" t="n"/>
      <c r="AH137" s="74">
        <f>IF($N137="Completed",1,IF(AND(ISNUMBER($K137),ISNUMBER($L137)),IF($L137&gt;$K137,MIN(1,MAX(0.05,(ReportDate-$K137)/($L137-$K137))),1),1))</f>
        <v>1</v>
      </c>
      <c r="AI137" s="70" t="str">
        <f>IF($B137="","",IF(AND(ISNUMBER($Q137),$Q137&gt;0),$R137/($Q137*$AH137),""))</f>
        <v/>
      </c>
      <c r="AJ137" s="71" t="str">
        <f>IF(ISNUMBER($K137),YEAR($K137)&amp;"-"&amp;TEXT(MONTH($K137),"00"),"")</f>
        <v/>
      </c>
      <c r="AK137" s="71">
        <f>IF($B137="",0,IF(AND(OR(fClient="All",$A137=fClient),OR(fCampaign="All",$B137=fCampaign),OR(fTeam="All",$I137=fTeam),OR(fChannel="All",$H137=fChannel),OR(fCStatus="All",$N137=fCStatus)),1,0))</f>
        <v>0</v>
      </c>
      <c r="AL137" s="71">
        <f>IF($B137="",0,IF(AND(OR(fClient="All",$A137=fClient),OR(fCampaign="All",$B137=fCampaign),OR(fTeam="All",$I137=fTeam),OR(fChannel="All",$H137=fChannel)),1,0))</f>
        <v>0</v>
      </c>
      <c r="AM137" s="71">
        <f>IF(OR($N137="Live",$N137="Optimizing"),1,0)</f>
        <v>0</v>
      </c>
      <c r="AN137" s="71">
        <f>IF(OR($N137="Live",$N137="Optimizing",$N137="Paused",$N137="Completed"),1,0)</f>
        <v>0</v>
      </c>
      <c r="AO137" s="71">
        <f>IF(AND($AM137=1,ISNUMBER($L137),NOT(ISNUMBER($M137))),IF($L137&lt;ReportDate,1,0),0)</f>
        <v>0</v>
      </c>
      <c r="AP137" s="71">
        <f>IF($AM137=1,IF(ISNUMBER($AG137),IF(ReportDate-$AG137&gt;CampStaleDays,1,0),1),0)</f>
        <v>0</v>
      </c>
      <c r="AQ137" s="71">
        <f>IF(AND($AM137=1,OR($AA137="Behind",$AA137="At Risk")),1,0)</f>
        <v>0</v>
      </c>
      <c r="AR137" s="71">
        <f>IF(AND($AM137=1,OR($AA137="Ahead",$AA137="On Track")),1,0)</f>
        <v>0</v>
      </c>
      <c r="AS137" s="71">
        <f>IF(OR($AQ137=1,$AP137=1,$AO137=1),1,0)</f>
        <v>0</v>
      </c>
      <c r="AT137" s="71" t="str">
        <f>IF($AS137=1,TRIM(IF($AQ137=1,"Low performance. ","")&amp;IF($AP137=1,"No recent update. ","")&amp;IF($AO137=1,"Past planned end. ","")),"")</f>
        <v/>
      </c>
      <c r="AU137" s="71" t="str">
        <f>IF(AND($AS137=1,$AL137=1),ROW(),"")</f>
        <v/>
      </c>
      <c r="AV137" s="71" t="str">
        <f>IF(AND($AQ137=1,$AL137=1),ROW(),"")</f>
        <v/>
      </c>
      <c r="AW137" s="71" t="str">
        <f>IF(AND($AP137=1,$AL137=1),ROW(),"")</f>
        <v/>
      </c>
      <c r="AX137" s="71" t="str">
        <f>IF(AND($AR137=1,$AL137=1),ROW(),"")</f>
        <v/>
      </c>
      <c r="AY137" s="71">
        <f>IF(AND($B137&lt;&gt;"",$A137=TCL_Client),1,0)</f>
        <v>0</v>
      </c>
      <c r="AZ137" s="71" t="str">
        <f>IF($AY137=1,ROW(),"")</f>
        <v/>
      </c>
      <c r="BA137" s="71">
        <f>IF(AND($B137&lt;&gt;"",$A137=MECCA_Client),1,0)</f>
        <v>0</v>
      </c>
      <c r="BB137" s="71" t="str">
        <f>IF($BA137=1,ROW(),"")</f>
        <v/>
      </c>
    </row>
    <row r="138">
      <c r="A138" s="64" t="n"/>
      <c r="B138" s="65" t="n"/>
      <c r="C138" s="64" t="n"/>
      <c r="D138" s="64" t="n"/>
      <c r="E138" s="64" t="n"/>
      <c r="F138" s="65" t="n"/>
      <c r="G138" s="65" t="n"/>
      <c r="H138" s="64" t="n"/>
      <c r="I138" s="64" t="n"/>
      <c r="J138" s="65" t="n"/>
      <c r="K138" s="63" t="n"/>
      <c r="L138" s="63" t="n"/>
      <c r="M138" s="63" t="n"/>
      <c r="N138" s="64" t="n"/>
      <c r="O138" s="67" t="n"/>
      <c r="P138" s="72" t="str">
        <f>IF($B138="","",SUMIFS('PAID MEDIA ADS'!$G$5:$G$804,'PAID MEDIA ADS'!$C$5:$C$804,$B138))</f>
        <v/>
      </c>
      <c r="Q138" s="67" t="n"/>
      <c r="R138" s="72" t="str">
        <f>IF($B138="","",COUNTIFS('LEAD MQL TRACKER'!$C$5:$C$1004,$B138,'LEAD MQL TRACKER'!$AB$5:$AB$1004,1)+SUMIFS('EMAIL MARKETING'!$Q$5:$Q$804,'EMAIL MARKETING'!$C$5:$C$804,$B138)+SUMIFS('PAID MEDIA ADS'!$M$5:$M$804,'PAID MEDIA ADS'!$C$5:$C$804,$B138)+SUMIFS('LINKEDIN OUTREACH'!$N$5:$N$704,'LINKEDIN OUTREACH'!$C$5:$C$704,$B138))</f>
        <v/>
      </c>
      <c r="S138" s="67" t="n"/>
      <c r="T138" s="72" t="str">
        <f>IF($B138="","",COUNTIFS('LEAD MQL TRACKER'!$C$5:$C$1004,$B138,'LEAD MQL TRACKER'!$AD$5:$AD$1004,1)+SUMIFS('EMAIL MARKETING'!$R$5:$R$804,'EMAIL MARKETING'!$C$5:$C$804,$B138)+SUMIFS('PAID MEDIA ADS'!$N$5:$N$804,'PAID MEDIA ADS'!$C$5:$C$804,$B138)+SUMIFS('LINKEDIN OUTREACH'!$O$5:$O$704,'LINKEDIN OUTREACH'!$C$5:$C$704,$B138))</f>
        <v/>
      </c>
      <c r="U138" s="67" t="n"/>
      <c r="V138" s="72" t="str">
        <f>IF($B138="","",COUNTIFS('LEAD MQL TRACKER'!$C$5:$C$1004,$B138,'LEAD MQL TRACKER'!$AE$5:$AE$1004,1))</f>
        <v/>
      </c>
      <c r="W138" s="72" t="str">
        <f>IF($B138="","",COUNTIFS('LEAD MQL TRACKER'!$C$5:$C$1004,$B138,'LEAD MQL TRACKER'!$AC$5:$AC$1004,1)+SUMIFS('LINKEDIN OUTREACH'!$M$5:$M$704,'LINKEDIN OUTREACH'!$C$5:$C$704,$B138))</f>
        <v/>
      </c>
      <c r="X138" s="72" t="str">
        <f>IF($B138="","",SUMIFS('EMAIL MARKETING'!$O$5:$O$804,'EMAIL MARKETING'!$C$5:$C$804,$B138)+SUMIFS('LINKEDIN OUTREACH'!$K$5:$K$704,'LINKEDIN OUTREACH'!$C$5:$C$704,$B138))</f>
        <v/>
      </c>
      <c r="Y138" s="73" t="str">
        <f>IF(ISNUMBER($R138),IF($R138&gt;0,$T138/$R138,""),"")</f>
        <v/>
      </c>
      <c r="Z138" s="72" t="str">
        <f>IF(AND(ISNUMBER($P138),ISNUMBER($R138)),IF(AND($P138&gt;0,$R138&gt;0),$P138/$R138,""),"")</f>
        <v/>
      </c>
      <c r="AA138" s="71" t="str">
        <f>IF($B138="","",IF(OR($N138="Live",$N138="Optimizing",$N138="Paused",$N138="Completed"),IF(ISNUMBER($AI138),IF($AI138&gt;=1,"Ahead",IF($AI138&gt;=OnTrackPct,"On Track",IF($AI138&gt;=WatchPct,"Behind","At Risk"))),"No Target Set"),"Not Live"))</f>
        <v/>
      </c>
      <c r="AB138" s="65" t="n"/>
      <c r="AC138" s="65" t="n"/>
      <c r="AD138" s="65" t="n"/>
      <c r="AE138" s="67" t="n"/>
      <c r="AF138" s="67" t="n"/>
      <c r="AG138" s="63" t="n"/>
      <c r="AH138" s="74">
        <f>IF($N138="Completed",1,IF(AND(ISNUMBER($K138),ISNUMBER($L138)),IF($L138&gt;$K138,MIN(1,MAX(0.05,(ReportDate-$K138)/($L138-$K138))),1),1))</f>
        <v>1</v>
      </c>
      <c r="AI138" s="70" t="str">
        <f>IF($B138="","",IF(AND(ISNUMBER($Q138),$Q138&gt;0),$R138/($Q138*$AH138),""))</f>
        <v/>
      </c>
      <c r="AJ138" s="71" t="str">
        <f>IF(ISNUMBER($K138),YEAR($K138)&amp;"-"&amp;TEXT(MONTH($K138),"00"),"")</f>
        <v/>
      </c>
      <c r="AK138" s="71">
        <f>IF($B138="",0,IF(AND(OR(fClient="All",$A138=fClient),OR(fCampaign="All",$B138=fCampaign),OR(fTeam="All",$I138=fTeam),OR(fChannel="All",$H138=fChannel),OR(fCStatus="All",$N138=fCStatus)),1,0))</f>
        <v>0</v>
      </c>
      <c r="AL138" s="71">
        <f>IF($B138="",0,IF(AND(OR(fClient="All",$A138=fClient),OR(fCampaign="All",$B138=fCampaign),OR(fTeam="All",$I138=fTeam),OR(fChannel="All",$H138=fChannel)),1,0))</f>
        <v>0</v>
      </c>
      <c r="AM138" s="71">
        <f>IF(OR($N138="Live",$N138="Optimizing"),1,0)</f>
        <v>0</v>
      </c>
      <c r="AN138" s="71">
        <f>IF(OR($N138="Live",$N138="Optimizing",$N138="Paused",$N138="Completed"),1,0)</f>
        <v>0</v>
      </c>
      <c r="AO138" s="71">
        <f>IF(AND($AM138=1,ISNUMBER($L138),NOT(ISNUMBER($M138))),IF($L138&lt;ReportDate,1,0),0)</f>
        <v>0</v>
      </c>
      <c r="AP138" s="71">
        <f>IF($AM138=1,IF(ISNUMBER($AG138),IF(ReportDate-$AG138&gt;CampStaleDays,1,0),1),0)</f>
        <v>0</v>
      </c>
      <c r="AQ138" s="71">
        <f>IF(AND($AM138=1,OR($AA138="Behind",$AA138="At Risk")),1,0)</f>
        <v>0</v>
      </c>
      <c r="AR138" s="71">
        <f>IF(AND($AM138=1,OR($AA138="Ahead",$AA138="On Track")),1,0)</f>
        <v>0</v>
      </c>
      <c r="AS138" s="71">
        <f>IF(OR($AQ138=1,$AP138=1,$AO138=1),1,0)</f>
        <v>0</v>
      </c>
      <c r="AT138" s="71" t="str">
        <f>IF($AS138=1,TRIM(IF($AQ138=1,"Low performance. ","")&amp;IF($AP138=1,"No recent update. ","")&amp;IF($AO138=1,"Past planned end. ","")),"")</f>
        <v/>
      </c>
      <c r="AU138" s="71" t="str">
        <f>IF(AND($AS138=1,$AL138=1),ROW(),"")</f>
        <v/>
      </c>
      <c r="AV138" s="71" t="str">
        <f>IF(AND($AQ138=1,$AL138=1),ROW(),"")</f>
        <v/>
      </c>
      <c r="AW138" s="71" t="str">
        <f>IF(AND($AP138=1,$AL138=1),ROW(),"")</f>
        <v/>
      </c>
      <c r="AX138" s="71" t="str">
        <f>IF(AND($AR138=1,$AL138=1),ROW(),"")</f>
        <v/>
      </c>
      <c r="AY138" s="71">
        <f>IF(AND($B138&lt;&gt;"",$A138=TCL_Client),1,0)</f>
        <v>0</v>
      </c>
      <c r="AZ138" s="71" t="str">
        <f>IF($AY138=1,ROW(),"")</f>
        <v/>
      </c>
      <c r="BA138" s="71">
        <f>IF(AND($B138&lt;&gt;"",$A138=MECCA_Client),1,0)</f>
        <v>0</v>
      </c>
      <c r="BB138" s="71" t="str">
        <f>IF($BA138=1,ROW(),"")</f>
        <v/>
      </c>
    </row>
    <row r="139">
      <c r="A139" s="64" t="n"/>
      <c r="B139" s="65" t="n"/>
      <c r="C139" s="64" t="n"/>
      <c r="D139" s="64" t="n"/>
      <c r="E139" s="64" t="n"/>
      <c r="F139" s="65" t="n"/>
      <c r="G139" s="65" t="n"/>
      <c r="H139" s="64" t="n"/>
      <c r="I139" s="64" t="n"/>
      <c r="J139" s="65" t="n"/>
      <c r="K139" s="63" t="n"/>
      <c r="L139" s="63" t="n"/>
      <c r="M139" s="63" t="n"/>
      <c r="N139" s="64" t="n"/>
      <c r="O139" s="67" t="n"/>
      <c r="P139" s="72" t="str">
        <f>IF($B139="","",SUMIFS('PAID MEDIA ADS'!$G$5:$G$804,'PAID MEDIA ADS'!$C$5:$C$804,$B139))</f>
        <v/>
      </c>
      <c r="Q139" s="67" t="n"/>
      <c r="R139" s="72" t="str">
        <f>IF($B139="","",COUNTIFS('LEAD MQL TRACKER'!$C$5:$C$1004,$B139,'LEAD MQL TRACKER'!$AB$5:$AB$1004,1)+SUMIFS('EMAIL MARKETING'!$Q$5:$Q$804,'EMAIL MARKETING'!$C$5:$C$804,$B139)+SUMIFS('PAID MEDIA ADS'!$M$5:$M$804,'PAID MEDIA ADS'!$C$5:$C$804,$B139)+SUMIFS('LINKEDIN OUTREACH'!$N$5:$N$704,'LINKEDIN OUTREACH'!$C$5:$C$704,$B139))</f>
        <v/>
      </c>
      <c r="S139" s="67" t="n"/>
      <c r="T139" s="72" t="str">
        <f>IF($B139="","",COUNTIFS('LEAD MQL TRACKER'!$C$5:$C$1004,$B139,'LEAD MQL TRACKER'!$AD$5:$AD$1004,1)+SUMIFS('EMAIL MARKETING'!$R$5:$R$804,'EMAIL MARKETING'!$C$5:$C$804,$B139)+SUMIFS('PAID MEDIA ADS'!$N$5:$N$804,'PAID MEDIA ADS'!$C$5:$C$804,$B139)+SUMIFS('LINKEDIN OUTREACH'!$O$5:$O$704,'LINKEDIN OUTREACH'!$C$5:$C$704,$B139))</f>
        <v/>
      </c>
      <c r="U139" s="67" t="n"/>
      <c r="V139" s="72" t="str">
        <f>IF($B139="","",COUNTIFS('LEAD MQL TRACKER'!$C$5:$C$1004,$B139,'LEAD MQL TRACKER'!$AE$5:$AE$1004,1))</f>
        <v/>
      </c>
      <c r="W139" s="72" t="str">
        <f>IF($B139="","",COUNTIFS('LEAD MQL TRACKER'!$C$5:$C$1004,$B139,'LEAD MQL TRACKER'!$AC$5:$AC$1004,1)+SUMIFS('LINKEDIN OUTREACH'!$M$5:$M$704,'LINKEDIN OUTREACH'!$C$5:$C$704,$B139))</f>
        <v/>
      </c>
      <c r="X139" s="72" t="str">
        <f>IF($B139="","",SUMIFS('EMAIL MARKETING'!$O$5:$O$804,'EMAIL MARKETING'!$C$5:$C$804,$B139)+SUMIFS('LINKEDIN OUTREACH'!$K$5:$K$704,'LINKEDIN OUTREACH'!$C$5:$C$704,$B139))</f>
        <v/>
      </c>
      <c r="Y139" s="73" t="str">
        <f>IF(ISNUMBER($R139),IF($R139&gt;0,$T139/$R139,""),"")</f>
        <v/>
      </c>
      <c r="Z139" s="72" t="str">
        <f>IF(AND(ISNUMBER($P139),ISNUMBER($R139)),IF(AND($P139&gt;0,$R139&gt;0),$P139/$R139,""),"")</f>
        <v/>
      </c>
      <c r="AA139" s="71" t="str">
        <f>IF($B139="","",IF(OR($N139="Live",$N139="Optimizing",$N139="Paused",$N139="Completed"),IF(ISNUMBER($AI139),IF($AI139&gt;=1,"Ahead",IF($AI139&gt;=OnTrackPct,"On Track",IF($AI139&gt;=WatchPct,"Behind","At Risk"))),"No Target Set"),"Not Live"))</f>
        <v/>
      </c>
      <c r="AB139" s="65" t="n"/>
      <c r="AC139" s="65" t="n"/>
      <c r="AD139" s="65" t="n"/>
      <c r="AE139" s="67" t="n"/>
      <c r="AF139" s="67" t="n"/>
      <c r="AG139" s="63" t="n"/>
      <c r="AH139" s="74">
        <f>IF($N139="Completed",1,IF(AND(ISNUMBER($K139),ISNUMBER($L139)),IF($L139&gt;$K139,MIN(1,MAX(0.05,(ReportDate-$K139)/($L139-$K139))),1),1))</f>
        <v>1</v>
      </c>
      <c r="AI139" s="70" t="str">
        <f>IF($B139="","",IF(AND(ISNUMBER($Q139),$Q139&gt;0),$R139/($Q139*$AH139),""))</f>
        <v/>
      </c>
      <c r="AJ139" s="71" t="str">
        <f>IF(ISNUMBER($K139),YEAR($K139)&amp;"-"&amp;TEXT(MONTH($K139),"00"),"")</f>
        <v/>
      </c>
      <c r="AK139" s="71">
        <f>IF($B139="",0,IF(AND(OR(fClient="All",$A139=fClient),OR(fCampaign="All",$B139=fCampaign),OR(fTeam="All",$I139=fTeam),OR(fChannel="All",$H139=fChannel),OR(fCStatus="All",$N139=fCStatus)),1,0))</f>
        <v>0</v>
      </c>
      <c r="AL139" s="71">
        <f>IF($B139="",0,IF(AND(OR(fClient="All",$A139=fClient),OR(fCampaign="All",$B139=fCampaign),OR(fTeam="All",$I139=fTeam),OR(fChannel="All",$H139=fChannel)),1,0))</f>
        <v>0</v>
      </c>
      <c r="AM139" s="71">
        <f>IF(OR($N139="Live",$N139="Optimizing"),1,0)</f>
        <v>0</v>
      </c>
      <c r="AN139" s="71">
        <f>IF(OR($N139="Live",$N139="Optimizing",$N139="Paused",$N139="Completed"),1,0)</f>
        <v>0</v>
      </c>
      <c r="AO139" s="71">
        <f>IF(AND($AM139=1,ISNUMBER($L139),NOT(ISNUMBER($M139))),IF($L139&lt;ReportDate,1,0),0)</f>
        <v>0</v>
      </c>
      <c r="AP139" s="71">
        <f>IF($AM139=1,IF(ISNUMBER($AG139),IF(ReportDate-$AG139&gt;CampStaleDays,1,0),1),0)</f>
        <v>0</v>
      </c>
      <c r="AQ139" s="71">
        <f>IF(AND($AM139=1,OR($AA139="Behind",$AA139="At Risk")),1,0)</f>
        <v>0</v>
      </c>
      <c r="AR139" s="71">
        <f>IF(AND($AM139=1,OR($AA139="Ahead",$AA139="On Track")),1,0)</f>
        <v>0</v>
      </c>
      <c r="AS139" s="71">
        <f>IF(OR($AQ139=1,$AP139=1,$AO139=1),1,0)</f>
        <v>0</v>
      </c>
      <c r="AT139" s="71" t="str">
        <f>IF($AS139=1,TRIM(IF($AQ139=1,"Low performance. ","")&amp;IF($AP139=1,"No recent update. ","")&amp;IF($AO139=1,"Past planned end. ","")),"")</f>
        <v/>
      </c>
      <c r="AU139" s="71" t="str">
        <f>IF(AND($AS139=1,$AL139=1),ROW(),"")</f>
        <v/>
      </c>
      <c r="AV139" s="71" t="str">
        <f>IF(AND($AQ139=1,$AL139=1),ROW(),"")</f>
        <v/>
      </c>
      <c r="AW139" s="71" t="str">
        <f>IF(AND($AP139=1,$AL139=1),ROW(),"")</f>
        <v/>
      </c>
      <c r="AX139" s="71" t="str">
        <f>IF(AND($AR139=1,$AL139=1),ROW(),"")</f>
        <v/>
      </c>
      <c r="AY139" s="71">
        <f>IF(AND($B139&lt;&gt;"",$A139=TCL_Client),1,0)</f>
        <v>0</v>
      </c>
      <c r="AZ139" s="71" t="str">
        <f>IF($AY139=1,ROW(),"")</f>
        <v/>
      </c>
      <c r="BA139" s="71">
        <f>IF(AND($B139&lt;&gt;"",$A139=MECCA_Client),1,0)</f>
        <v>0</v>
      </c>
      <c r="BB139" s="71" t="str">
        <f>IF($BA139=1,ROW(),"")</f>
        <v/>
      </c>
    </row>
    <row r="140">
      <c r="A140" s="64" t="n"/>
      <c r="B140" s="65" t="n"/>
      <c r="C140" s="64" t="n"/>
      <c r="D140" s="64" t="n"/>
      <c r="E140" s="64" t="n"/>
      <c r="F140" s="65" t="n"/>
      <c r="G140" s="65" t="n"/>
      <c r="H140" s="64" t="n"/>
      <c r="I140" s="64" t="n"/>
      <c r="J140" s="65" t="n"/>
      <c r="K140" s="63" t="n"/>
      <c r="L140" s="63" t="n"/>
      <c r="M140" s="63" t="n"/>
      <c r="N140" s="64" t="n"/>
      <c r="O140" s="67" t="n"/>
      <c r="P140" s="72" t="str">
        <f>IF($B140="","",SUMIFS('PAID MEDIA ADS'!$G$5:$G$804,'PAID MEDIA ADS'!$C$5:$C$804,$B140))</f>
        <v/>
      </c>
      <c r="Q140" s="67" t="n"/>
      <c r="R140" s="72" t="str">
        <f>IF($B140="","",COUNTIFS('LEAD MQL TRACKER'!$C$5:$C$1004,$B140,'LEAD MQL TRACKER'!$AB$5:$AB$1004,1)+SUMIFS('EMAIL MARKETING'!$Q$5:$Q$804,'EMAIL MARKETING'!$C$5:$C$804,$B140)+SUMIFS('PAID MEDIA ADS'!$M$5:$M$804,'PAID MEDIA ADS'!$C$5:$C$804,$B140)+SUMIFS('LINKEDIN OUTREACH'!$N$5:$N$704,'LINKEDIN OUTREACH'!$C$5:$C$704,$B140))</f>
        <v/>
      </c>
      <c r="S140" s="67" t="n"/>
      <c r="T140" s="72" t="str">
        <f>IF($B140="","",COUNTIFS('LEAD MQL TRACKER'!$C$5:$C$1004,$B140,'LEAD MQL TRACKER'!$AD$5:$AD$1004,1)+SUMIFS('EMAIL MARKETING'!$R$5:$R$804,'EMAIL MARKETING'!$C$5:$C$804,$B140)+SUMIFS('PAID MEDIA ADS'!$N$5:$N$804,'PAID MEDIA ADS'!$C$5:$C$804,$B140)+SUMIFS('LINKEDIN OUTREACH'!$O$5:$O$704,'LINKEDIN OUTREACH'!$C$5:$C$704,$B140))</f>
        <v/>
      </c>
      <c r="U140" s="67" t="n"/>
      <c r="V140" s="72" t="str">
        <f>IF($B140="","",COUNTIFS('LEAD MQL TRACKER'!$C$5:$C$1004,$B140,'LEAD MQL TRACKER'!$AE$5:$AE$1004,1))</f>
        <v/>
      </c>
      <c r="W140" s="72" t="str">
        <f>IF($B140="","",COUNTIFS('LEAD MQL TRACKER'!$C$5:$C$1004,$B140,'LEAD MQL TRACKER'!$AC$5:$AC$1004,1)+SUMIFS('LINKEDIN OUTREACH'!$M$5:$M$704,'LINKEDIN OUTREACH'!$C$5:$C$704,$B140))</f>
        <v/>
      </c>
      <c r="X140" s="72" t="str">
        <f>IF($B140="","",SUMIFS('EMAIL MARKETING'!$O$5:$O$804,'EMAIL MARKETING'!$C$5:$C$804,$B140)+SUMIFS('LINKEDIN OUTREACH'!$K$5:$K$704,'LINKEDIN OUTREACH'!$C$5:$C$704,$B140))</f>
        <v/>
      </c>
      <c r="Y140" s="73" t="str">
        <f>IF(ISNUMBER($R140),IF($R140&gt;0,$T140/$R140,""),"")</f>
        <v/>
      </c>
      <c r="Z140" s="72" t="str">
        <f>IF(AND(ISNUMBER($P140),ISNUMBER($R140)),IF(AND($P140&gt;0,$R140&gt;0),$P140/$R140,""),"")</f>
        <v/>
      </c>
      <c r="AA140" s="71" t="str">
        <f>IF($B140="","",IF(OR($N140="Live",$N140="Optimizing",$N140="Paused",$N140="Completed"),IF(ISNUMBER($AI140),IF($AI140&gt;=1,"Ahead",IF($AI140&gt;=OnTrackPct,"On Track",IF($AI140&gt;=WatchPct,"Behind","At Risk"))),"No Target Set"),"Not Live"))</f>
        <v/>
      </c>
      <c r="AB140" s="65" t="n"/>
      <c r="AC140" s="65" t="n"/>
      <c r="AD140" s="65" t="n"/>
      <c r="AE140" s="67" t="n"/>
      <c r="AF140" s="67" t="n"/>
      <c r="AG140" s="63" t="n"/>
      <c r="AH140" s="74">
        <f>IF($N140="Completed",1,IF(AND(ISNUMBER($K140),ISNUMBER($L140)),IF($L140&gt;$K140,MIN(1,MAX(0.05,(ReportDate-$K140)/($L140-$K140))),1),1))</f>
        <v>1</v>
      </c>
      <c r="AI140" s="70" t="str">
        <f>IF($B140="","",IF(AND(ISNUMBER($Q140),$Q140&gt;0),$R140/($Q140*$AH140),""))</f>
        <v/>
      </c>
      <c r="AJ140" s="71" t="str">
        <f>IF(ISNUMBER($K140),YEAR($K140)&amp;"-"&amp;TEXT(MONTH($K140),"00"),"")</f>
        <v/>
      </c>
      <c r="AK140" s="71">
        <f>IF($B140="",0,IF(AND(OR(fClient="All",$A140=fClient),OR(fCampaign="All",$B140=fCampaign),OR(fTeam="All",$I140=fTeam),OR(fChannel="All",$H140=fChannel),OR(fCStatus="All",$N140=fCStatus)),1,0))</f>
        <v>0</v>
      </c>
      <c r="AL140" s="71">
        <f>IF($B140="",0,IF(AND(OR(fClient="All",$A140=fClient),OR(fCampaign="All",$B140=fCampaign),OR(fTeam="All",$I140=fTeam),OR(fChannel="All",$H140=fChannel)),1,0))</f>
        <v>0</v>
      </c>
      <c r="AM140" s="71">
        <f>IF(OR($N140="Live",$N140="Optimizing"),1,0)</f>
        <v>0</v>
      </c>
      <c r="AN140" s="71">
        <f>IF(OR($N140="Live",$N140="Optimizing",$N140="Paused",$N140="Completed"),1,0)</f>
        <v>0</v>
      </c>
      <c r="AO140" s="71">
        <f>IF(AND($AM140=1,ISNUMBER($L140),NOT(ISNUMBER($M140))),IF($L140&lt;ReportDate,1,0),0)</f>
        <v>0</v>
      </c>
      <c r="AP140" s="71">
        <f>IF($AM140=1,IF(ISNUMBER($AG140),IF(ReportDate-$AG140&gt;CampStaleDays,1,0),1),0)</f>
        <v>0</v>
      </c>
      <c r="AQ140" s="71">
        <f>IF(AND($AM140=1,OR($AA140="Behind",$AA140="At Risk")),1,0)</f>
        <v>0</v>
      </c>
      <c r="AR140" s="71">
        <f>IF(AND($AM140=1,OR($AA140="Ahead",$AA140="On Track")),1,0)</f>
        <v>0</v>
      </c>
      <c r="AS140" s="71">
        <f>IF(OR($AQ140=1,$AP140=1,$AO140=1),1,0)</f>
        <v>0</v>
      </c>
      <c r="AT140" s="71" t="str">
        <f>IF($AS140=1,TRIM(IF($AQ140=1,"Low performance. ","")&amp;IF($AP140=1,"No recent update. ","")&amp;IF($AO140=1,"Past planned end. ","")),"")</f>
        <v/>
      </c>
      <c r="AU140" s="71" t="str">
        <f>IF(AND($AS140=1,$AL140=1),ROW(),"")</f>
        <v/>
      </c>
      <c r="AV140" s="71" t="str">
        <f>IF(AND($AQ140=1,$AL140=1),ROW(),"")</f>
        <v/>
      </c>
      <c r="AW140" s="71" t="str">
        <f>IF(AND($AP140=1,$AL140=1),ROW(),"")</f>
        <v/>
      </c>
      <c r="AX140" s="71" t="str">
        <f>IF(AND($AR140=1,$AL140=1),ROW(),"")</f>
        <v/>
      </c>
      <c r="AY140" s="71">
        <f>IF(AND($B140&lt;&gt;"",$A140=TCL_Client),1,0)</f>
        <v>0</v>
      </c>
      <c r="AZ140" s="71" t="str">
        <f>IF($AY140=1,ROW(),"")</f>
        <v/>
      </c>
      <c r="BA140" s="71">
        <f>IF(AND($B140&lt;&gt;"",$A140=MECCA_Client),1,0)</f>
        <v>0</v>
      </c>
      <c r="BB140" s="71" t="str">
        <f>IF($BA140=1,ROW(),"")</f>
        <v/>
      </c>
    </row>
    <row r="141">
      <c r="A141" s="64" t="n"/>
      <c r="B141" s="65" t="n"/>
      <c r="C141" s="64" t="n"/>
      <c r="D141" s="64" t="n"/>
      <c r="E141" s="64" t="n"/>
      <c r="F141" s="65" t="n"/>
      <c r="G141" s="65" t="n"/>
      <c r="H141" s="64" t="n"/>
      <c r="I141" s="64" t="n"/>
      <c r="J141" s="65" t="n"/>
      <c r="K141" s="63" t="n"/>
      <c r="L141" s="63" t="n"/>
      <c r="M141" s="63" t="n"/>
      <c r="N141" s="64" t="n"/>
      <c r="O141" s="67" t="n"/>
      <c r="P141" s="72" t="str">
        <f>IF($B141="","",SUMIFS('PAID MEDIA ADS'!$G$5:$G$804,'PAID MEDIA ADS'!$C$5:$C$804,$B141))</f>
        <v/>
      </c>
      <c r="Q141" s="67" t="n"/>
      <c r="R141" s="72" t="str">
        <f>IF($B141="","",COUNTIFS('LEAD MQL TRACKER'!$C$5:$C$1004,$B141,'LEAD MQL TRACKER'!$AB$5:$AB$1004,1)+SUMIFS('EMAIL MARKETING'!$Q$5:$Q$804,'EMAIL MARKETING'!$C$5:$C$804,$B141)+SUMIFS('PAID MEDIA ADS'!$M$5:$M$804,'PAID MEDIA ADS'!$C$5:$C$804,$B141)+SUMIFS('LINKEDIN OUTREACH'!$N$5:$N$704,'LINKEDIN OUTREACH'!$C$5:$C$704,$B141))</f>
        <v/>
      </c>
      <c r="S141" s="67" t="n"/>
      <c r="T141" s="72" t="str">
        <f>IF($B141="","",COUNTIFS('LEAD MQL TRACKER'!$C$5:$C$1004,$B141,'LEAD MQL TRACKER'!$AD$5:$AD$1004,1)+SUMIFS('EMAIL MARKETING'!$R$5:$R$804,'EMAIL MARKETING'!$C$5:$C$804,$B141)+SUMIFS('PAID MEDIA ADS'!$N$5:$N$804,'PAID MEDIA ADS'!$C$5:$C$804,$B141)+SUMIFS('LINKEDIN OUTREACH'!$O$5:$O$704,'LINKEDIN OUTREACH'!$C$5:$C$704,$B141))</f>
        <v/>
      </c>
      <c r="U141" s="67" t="n"/>
      <c r="V141" s="72" t="str">
        <f>IF($B141="","",COUNTIFS('LEAD MQL TRACKER'!$C$5:$C$1004,$B141,'LEAD MQL TRACKER'!$AE$5:$AE$1004,1))</f>
        <v/>
      </c>
      <c r="W141" s="72" t="str">
        <f>IF($B141="","",COUNTIFS('LEAD MQL TRACKER'!$C$5:$C$1004,$B141,'LEAD MQL TRACKER'!$AC$5:$AC$1004,1)+SUMIFS('LINKEDIN OUTREACH'!$M$5:$M$704,'LINKEDIN OUTREACH'!$C$5:$C$704,$B141))</f>
        <v/>
      </c>
      <c r="X141" s="72" t="str">
        <f>IF($B141="","",SUMIFS('EMAIL MARKETING'!$O$5:$O$804,'EMAIL MARKETING'!$C$5:$C$804,$B141)+SUMIFS('LINKEDIN OUTREACH'!$K$5:$K$704,'LINKEDIN OUTREACH'!$C$5:$C$704,$B141))</f>
        <v/>
      </c>
      <c r="Y141" s="73" t="str">
        <f>IF(ISNUMBER($R141),IF($R141&gt;0,$T141/$R141,""),"")</f>
        <v/>
      </c>
      <c r="Z141" s="72" t="str">
        <f>IF(AND(ISNUMBER($P141),ISNUMBER($R141)),IF(AND($P141&gt;0,$R141&gt;0),$P141/$R141,""),"")</f>
        <v/>
      </c>
      <c r="AA141" s="71" t="str">
        <f>IF($B141="","",IF(OR($N141="Live",$N141="Optimizing",$N141="Paused",$N141="Completed"),IF(ISNUMBER($AI141),IF($AI141&gt;=1,"Ahead",IF($AI141&gt;=OnTrackPct,"On Track",IF($AI141&gt;=WatchPct,"Behind","At Risk"))),"No Target Set"),"Not Live"))</f>
        <v/>
      </c>
      <c r="AB141" s="65" t="n"/>
      <c r="AC141" s="65" t="n"/>
      <c r="AD141" s="65" t="n"/>
      <c r="AE141" s="67" t="n"/>
      <c r="AF141" s="67" t="n"/>
      <c r="AG141" s="63" t="n"/>
      <c r="AH141" s="74">
        <f>IF($N141="Completed",1,IF(AND(ISNUMBER($K141),ISNUMBER($L141)),IF($L141&gt;$K141,MIN(1,MAX(0.05,(ReportDate-$K141)/($L141-$K141))),1),1))</f>
        <v>1</v>
      </c>
      <c r="AI141" s="70" t="str">
        <f>IF($B141="","",IF(AND(ISNUMBER($Q141),$Q141&gt;0),$R141/($Q141*$AH141),""))</f>
        <v/>
      </c>
      <c r="AJ141" s="71" t="str">
        <f>IF(ISNUMBER($K141),YEAR($K141)&amp;"-"&amp;TEXT(MONTH($K141),"00"),"")</f>
        <v/>
      </c>
      <c r="AK141" s="71">
        <f>IF($B141="",0,IF(AND(OR(fClient="All",$A141=fClient),OR(fCampaign="All",$B141=fCampaign),OR(fTeam="All",$I141=fTeam),OR(fChannel="All",$H141=fChannel),OR(fCStatus="All",$N141=fCStatus)),1,0))</f>
        <v>0</v>
      </c>
      <c r="AL141" s="71">
        <f>IF($B141="",0,IF(AND(OR(fClient="All",$A141=fClient),OR(fCampaign="All",$B141=fCampaign),OR(fTeam="All",$I141=fTeam),OR(fChannel="All",$H141=fChannel)),1,0))</f>
        <v>0</v>
      </c>
      <c r="AM141" s="71">
        <f>IF(OR($N141="Live",$N141="Optimizing"),1,0)</f>
        <v>0</v>
      </c>
      <c r="AN141" s="71">
        <f>IF(OR($N141="Live",$N141="Optimizing",$N141="Paused",$N141="Completed"),1,0)</f>
        <v>0</v>
      </c>
      <c r="AO141" s="71">
        <f>IF(AND($AM141=1,ISNUMBER($L141),NOT(ISNUMBER($M141))),IF($L141&lt;ReportDate,1,0),0)</f>
        <v>0</v>
      </c>
      <c r="AP141" s="71">
        <f>IF($AM141=1,IF(ISNUMBER($AG141),IF(ReportDate-$AG141&gt;CampStaleDays,1,0),1),0)</f>
        <v>0</v>
      </c>
      <c r="AQ141" s="71">
        <f>IF(AND($AM141=1,OR($AA141="Behind",$AA141="At Risk")),1,0)</f>
        <v>0</v>
      </c>
      <c r="AR141" s="71">
        <f>IF(AND($AM141=1,OR($AA141="Ahead",$AA141="On Track")),1,0)</f>
        <v>0</v>
      </c>
      <c r="AS141" s="71">
        <f>IF(OR($AQ141=1,$AP141=1,$AO141=1),1,0)</f>
        <v>0</v>
      </c>
      <c r="AT141" s="71" t="str">
        <f>IF($AS141=1,TRIM(IF($AQ141=1,"Low performance. ","")&amp;IF($AP141=1,"No recent update. ","")&amp;IF($AO141=1,"Past planned end. ","")),"")</f>
        <v/>
      </c>
      <c r="AU141" s="71" t="str">
        <f>IF(AND($AS141=1,$AL141=1),ROW(),"")</f>
        <v/>
      </c>
      <c r="AV141" s="71" t="str">
        <f>IF(AND($AQ141=1,$AL141=1),ROW(),"")</f>
        <v/>
      </c>
      <c r="AW141" s="71" t="str">
        <f>IF(AND($AP141=1,$AL141=1),ROW(),"")</f>
        <v/>
      </c>
      <c r="AX141" s="71" t="str">
        <f>IF(AND($AR141=1,$AL141=1),ROW(),"")</f>
        <v/>
      </c>
      <c r="AY141" s="71">
        <f>IF(AND($B141&lt;&gt;"",$A141=TCL_Client),1,0)</f>
        <v>0</v>
      </c>
      <c r="AZ141" s="71" t="str">
        <f>IF($AY141=1,ROW(),"")</f>
        <v/>
      </c>
      <c r="BA141" s="71">
        <f>IF(AND($B141&lt;&gt;"",$A141=MECCA_Client),1,0)</f>
        <v>0</v>
      </c>
      <c r="BB141" s="71" t="str">
        <f>IF($BA141=1,ROW(),"")</f>
        <v/>
      </c>
    </row>
    <row r="142">
      <c r="A142" s="64" t="n"/>
      <c r="B142" s="65" t="n"/>
      <c r="C142" s="64" t="n"/>
      <c r="D142" s="64" t="n"/>
      <c r="E142" s="64" t="n"/>
      <c r="F142" s="65" t="n"/>
      <c r="G142" s="65" t="n"/>
      <c r="H142" s="64" t="n"/>
      <c r="I142" s="64" t="n"/>
      <c r="J142" s="65" t="n"/>
      <c r="K142" s="63" t="n"/>
      <c r="L142" s="63" t="n"/>
      <c r="M142" s="63" t="n"/>
      <c r="N142" s="64" t="n"/>
      <c r="O142" s="67" t="n"/>
      <c r="P142" s="72" t="str">
        <f>IF($B142="","",SUMIFS('PAID MEDIA ADS'!$G$5:$G$804,'PAID MEDIA ADS'!$C$5:$C$804,$B142))</f>
        <v/>
      </c>
      <c r="Q142" s="67" t="n"/>
      <c r="R142" s="72" t="str">
        <f>IF($B142="","",COUNTIFS('LEAD MQL TRACKER'!$C$5:$C$1004,$B142,'LEAD MQL TRACKER'!$AB$5:$AB$1004,1)+SUMIFS('EMAIL MARKETING'!$Q$5:$Q$804,'EMAIL MARKETING'!$C$5:$C$804,$B142)+SUMIFS('PAID MEDIA ADS'!$M$5:$M$804,'PAID MEDIA ADS'!$C$5:$C$804,$B142)+SUMIFS('LINKEDIN OUTREACH'!$N$5:$N$704,'LINKEDIN OUTREACH'!$C$5:$C$704,$B142))</f>
        <v/>
      </c>
      <c r="S142" s="67" t="n"/>
      <c r="T142" s="72" t="str">
        <f>IF($B142="","",COUNTIFS('LEAD MQL TRACKER'!$C$5:$C$1004,$B142,'LEAD MQL TRACKER'!$AD$5:$AD$1004,1)+SUMIFS('EMAIL MARKETING'!$R$5:$R$804,'EMAIL MARKETING'!$C$5:$C$804,$B142)+SUMIFS('PAID MEDIA ADS'!$N$5:$N$804,'PAID MEDIA ADS'!$C$5:$C$804,$B142)+SUMIFS('LINKEDIN OUTREACH'!$O$5:$O$704,'LINKEDIN OUTREACH'!$C$5:$C$704,$B142))</f>
        <v/>
      </c>
      <c r="U142" s="67" t="n"/>
      <c r="V142" s="72" t="str">
        <f>IF($B142="","",COUNTIFS('LEAD MQL TRACKER'!$C$5:$C$1004,$B142,'LEAD MQL TRACKER'!$AE$5:$AE$1004,1))</f>
        <v/>
      </c>
      <c r="W142" s="72" t="str">
        <f>IF($B142="","",COUNTIFS('LEAD MQL TRACKER'!$C$5:$C$1004,$B142,'LEAD MQL TRACKER'!$AC$5:$AC$1004,1)+SUMIFS('LINKEDIN OUTREACH'!$M$5:$M$704,'LINKEDIN OUTREACH'!$C$5:$C$704,$B142))</f>
        <v/>
      </c>
      <c r="X142" s="72" t="str">
        <f>IF($B142="","",SUMIFS('EMAIL MARKETING'!$O$5:$O$804,'EMAIL MARKETING'!$C$5:$C$804,$B142)+SUMIFS('LINKEDIN OUTREACH'!$K$5:$K$704,'LINKEDIN OUTREACH'!$C$5:$C$704,$B142))</f>
        <v/>
      </c>
      <c r="Y142" s="73" t="str">
        <f>IF(ISNUMBER($R142),IF($R142&gt;0,$T142/$R142,""),"")</f>
        <v/>
      </c>
      <c r="Z142" s="72" t="str">
        <f>IF(AND(ISNUMBER($P142),ISNUMBER($R142)),IF(AND($P142&gt;0,$R142&gt;0),$P142/$R142,""),"")</f>
        <v/>
      </c>
      <c r="AA142" s="71" t="str">
        <f>IF($B142="","",IF(OR($N142="Live",$N142="Optimizing",$N142="Paused",$N142="Completed"),IF(ISNUMBER($AI142),IF($AI142&gt;=1,"Ahead",IF($AI142&gt;=OnTrackPct,"On Track",IF($AI142&gt;=WatchPct,"Behind","At Risk"))),"No Target Set"),"Not Live"))</f>
        <v/>
      </c>
      <c r="AB142" s="65" t="n"/>
      <c r="AC142" s="65" t="n"/>
      <c r="AD142" s="65" t="n"/>
      <c r="AE142" s="67" t="n"/>
      <c r="AF142" s="67" t="n"/>
      <c r="AG142" s="63" t="n"/>
      <c r="AH142" s="74">
        <f>IF($N142="Completed",1,IF(AND(ISNUMBER($K142),ISNUMBER($L142)),IF($L142&gt;$K142,MIN(1,MAX(0.05,(ReportDate-$K142)/($L142-$K142))),1),1))</f>
        <v>1</v>
      </c>
      <c r="AI142" s="70" t="str">
        <f>IF($B142="","",IF(AND(ISNUMBER($Q142),$Q142&gt;0),$R142/($Q142*$AH142),""))</f>
        <v/>
      </c>
      <c r="AJ142" s="71" t="str">
        <f>IF(ISNUMBER($K142),YEAR($K142)&amp;"-"&amp;TEXT(MONTH($K142),"00"),"")</f>
        <v/>
      </c>
      <c r="AK142" s="71">
        <f>IF($B142="",0,IF(AND(OR(fClient="All",$A142=fClient),OR(fCampaign="All",$B142=fCampaign),OR(fTeam="All",$I142=fTeam),OR(fChannel="All",$H142=fChannel),OR(fCStatus="All",$N142=fCStatus)),1,0))</f>
        <v>0</v>
      </c>
      <c r="AL142" s="71">
        <f>IF($B142="",0,IF(AND(OR(fClient="All",$A142=fClient),OR(fCampaign="All",$B142=fCampaign),OR(fTeam="All",$I142=fTeam),OR(fChannel="All",$H142=fChannel)),1,0))</f>
        <v>0</v>
      </c>
      <c r="AM142" s="71">
        <f>IF(OR($N142="Live",$N142="Optimizing"),1,0)</f>
        <v>0</v>
      </c>
      <c r="AN142" s="71">
        <f>IF(OR($N142="Live",$N142="Optimizing",$N142="Paused",$N142="Completed"),1,0)</f>
        <v>0</v>
      </c>
      <c r="AO142" s="71">
        <f>IF(AND($AM142=1,ISNUMBER($L142),NOT(ISNUMBER($M142))),IF($L142&lt;ReportDate,1,0),0)</f>
        <v>0</v>
      </c>
      <c r="AP142" s="71">
        <f>IF($AM142=1,IF(ISNUMBER($AG142),IF(ReportDate-$AG142&gt;CampStaleDays,1,0),1),0)</f>
        <v>0</v>
      </c>
      <c r="AQ142" s="71">
        <f>IF(AND($AM142=1,OR($AA142="Behind",$AA142="At Risk")),1,0)</f>
        <v>0</v>
      </c>
      <c r="AR142" s="71">
        <f>IF(AND($AM142=1,OR($AA142="Ahead",$AA142="On Track")),1,0)</f>
        <v>0</v>
      </c>
      <c r="AS142" s="71">
        <f>IF(OR($AQ142=1,$AP142=1,$AO142=1),1,0)</f>
        <v>0</v>
      </c>
      <c r="AT142" s="71" t="str">
        <f>IF($AS142=1,TRIM(IF($AQ142=1,"Low performance. ","")&amp;IF($AP142=1,"No recent update. ","")&amp;IF($AO142=1,"Past planned end. ","")),"")</f>
        <v/>
      </c>
      <c r="AU142" s="71" t="str">
        <f>IF(AND($AS142=1,$AL142=1),ROW(),"")</f>
        <v/>
      </c>
      <c r="AV142" s="71" t="str">
        <f>IF(AND($AQ142=1,$AL142=1),ROW(),"")</f>
        <v/>
      </c>
      <c r="AW142" s="71" t="str">
        <f>IF(AND($AP142=1,$AL142=1),ROW(),"")</f>
        <v/>
      </c>
      <c r="AX142" s="71" t="str">
        <f>IF(AND($AR142=1,$AL142=1),ROW(),"")</f>
        <v/>
      </c>
      <c r="AY142" s="71">
        <f>IF(AND($B142&lt;&gt;"",$A142=TCL_Client),1,0)</f>
        <v>0</v>
      </c>
      <c r="AZ142" s="71" t="str">
        <f>IF($AY142=1,ROW(),"")</f>
        <v/>
      </c>
      <c r="BA142" s="71">
        <f>IF(AND($B142&lt;&gt;"",$A142=MECCA_Client),1,0)</f>
        <v>0</v>
      </c>
      <c r="BB142" s="71" t="str">
        <f>IF($BA142=1,ROW(),"")</f>
        <v/>
      </c>
    </row>
    <row r="143">
      <c r="A143" s="64" t="n"/>
      <c r="B143" s="65" t="n"/>
      <c r="C143" s="64" t="n"/>
      <c r="D143" s="64" t="n"/>
      <c r="E143" s="64" t="n"/>
      <c r="F143" s="65" t="n"/>
      <c r="G143" s="65" t="n"/>
      <c r="H143" s="64" t="n"/>
      <c r="I143" s="64" t="n"/>
      <c r="J143" s="65" t="n"/>
      <c r="K143" s="63" t="n"/>
      <c r="L143" s="63" t="n"/>
      <c r="M143" s="63" t="n"/>
      <c r="N143" s="64" t="n"/>
      <c r="O143" s="67" t="n"/>
      <c r="P143" s="72" t="str">
        <f>IF($B143="","",SUMIFS('PAID MEDIA ADS'!$G$5:$G$804,'PAID MEDIA ADS'!$C$5:$C$804,$B143))</f>
        <v/>
      </c>
      <c r="Q143" s="67" t="n"/>
      <c r="R143" s="72" t="str">
        <f>IF($B143="","",COUNTIFS('LEAD MQL TRACKER'!$C$5:$C$1004,$B143,'LEAD MQL TRACKER'!$AB$5:$AB$1004,1)+SUMIFS('EMAIL MARKETING'!$Q$5:$Q$804,'EMAIL MARKETING'!$C$5:$C$804,$B143)+SUMIFS('PAID MEDIA ADS'!$M$5:$M$804,'PAID MEDIA ADS'!$C$5:$C$804,$B143)+SUMIFS('LINKEDIN OUTREACH'!$N$5:$N$704,'LINKEDIN OUTREACH'!$C$5:$C$704,$B143))</f>
        <v/>
      </c>
      <c r="S143" s="67" t="n"/>
      <c r="T143" s="72" t="str">
        <f>IF($B143="","",COUNTIFS('LEAD MQL TRACKER'!$C$5:$C$1004,$B143,'LEAD MQL TRACKER'!$AD$5:$AD$1004,1)+SUMIFS('EMAIL MARKETING'!$R$5:$R$804,'EMAIL MARKETING'!$C$5:$C$804,$B143)+SUMIFS('PAID MEDIA ADS'!$N$5:$N$804,'PAID MEDIA ADS'!$C$5:$C$804,$B143)+SUMIFS('LINKEDIN OUTREACH'!$O$5:$O$704,'LINKEDIN OUTREACH'!$C$5:$C$704,$B143))</f>
        <v/>
      </c>
      <c r="U143" s="67" t="n"/>
      <c r="V143" s="72" t="str">
        <f>IF($B143="","",COUNTIFS('LEAD MQL TRACKER'!$C$5:$C$1004,$B143,'LEAD MQL TRACKER'!$AE$5:$AE$1004,1))</f>
        <v/>
      </c>
      <c r="W143" s="72" t="str">
        <f>IF($B143="","",COUNTIFS('LEAD MQL TRACKER'!$C$5:$C$1004,$B143,'LEAD MQL TRACKER'!$AC$5:$AC$1004,1)+SUMIFS('LINKEDIN OUTREACH'!$M$5:$M$704,'LINKEDIN OUTREACH'!$C$5:$C$704,$B143))</f>
        <v/>
      </c>
      <c r="X143" s="72" t="str">
        <f>IF($B143="","",SUMIFS('EMAIL MARKETING'!$O$5:$O$804,'EMAIL MARKETING'!$C$5:$C$804,$B143)+SUMIFS('LINKEDIN OUTREACH'!$K$5:$K$704,'LINKEDIN OUTREACH'!$C$5:$C$704,$B143))</f>
        <v/>
      </c>
      <c r="Y143" s="73" t="str">
        <f>IF(ISNUMBER($R143),IF($R143&gt;0,$T143/$R143,""),"")</f>
        <v/>
      </c>
      <c r="Z143" s="72" t="str">
        <f>IF(AND(ISNUMBER($P143),ISNUMBER($R143)),IF(AND($P143&gt;0,$R143&gt;0),$P143/$R143,""),"")</f>
        <v/>
      </c>
      <c r="AA143" s="71" t="str">
        <f>IF($B143="","",IF(OR($N143="Live",$N143="Optimizing",$N143="Paused",$N143="Completed"),IF(ISNUMBER($AI143),IF($AI143&gt;=1,"Ahead",IF($AI143&gt;=OnTrackPct,"On Track",IF($AI143&gt;=WatchPct,"Behind","At Risk"))),"No Target Set"),"Not Live"))</f>
        <v/>
      </c>
      <c r="AB143" s="65" t="n"/>
      <c r="AC143" s="65" t="n"/>
      <c r="AD143" s="65" t="n"/>
      <c r="AE143" s="67" t="n"/>
      <c r="AF143" s="67" t="n"/>
      <c r="AG143" s="63" t="n"/>
      <c r="AH143" s="74">
        <f>IF($N143="Completed",1,IF(AND(ISNUMBER($K143),ISNUMBER($L143)),IF($L143&gt;$K143,MIN(1,MAX(0.05,(ReportDate-$K143)/($L143-$K143))),1),1))</f>
        <v>1</v>
      </c>
      <c r="AI143" s="70" t="str">
        <f>IF($B143="","",IF(AND(ISNUMBER($Q143),$Q143&gt;0),$R143/($Q143*$AH143),""))</f>
        <v/>
      </c>
      <c r="AJ143" s="71" t="str">
        <f>IF(ISNUMBER($K143),YEAR($K143)&amp;"-"&amp;TEXT(MONTH($K143),"00"),"")</f>
        <v/>
      </c>
      <c r="AK143" s="71">
        <f>IF($B143="",0,IF(AND(OR(fClient="All",$A143=fClient),OR(fCampaign="All",$B143=fCampaign),OR(fTeam="All",$I143=fTeam),OR(fChannel="All",$H143=fChannel),OR(fCStatus="All",$N143=fCStatus)),1,0))</f>
        <v>0</v>
      </c>
      <c r="AL143" s="71">
        <f>IF($B143="",0,IF(AND(OR(fClient="All",$A143=fClient),OR(fCampaign="All",$B143=fCampaign),OR(fTeam="All",$I143=fTeam),OR(fChannel="All",$H143=fChannel)),1,0))</f>
        <v>0</v>
      </c>
      <c r="AM143" s="71">
        <f>IF(OR($N143="Live",$N143="Optimizing"),1,0)</f>
        <v>0</v>
      </c>
      <c r="AN143" s="71">
        <f>IF(OR($N143="Live",$N143="Optimizing",$N143="Paused",$N143="Completed"),1,0)</f>
        <v>0</v>
      </c>
      <c r="AO143" s="71">
        <f>IF(AND($AM143=1,ISNUMBER($L143),NOT(ISNUMBER($M143))),IF($L143&lt;ReportDate,1,0),0)</f>
        <v>0</v>
      </c>
      <c r="AP143" s="71">
        <f>IF($AM143=1,IF(ISNUMBER($AG143),IF(ReportDate-$AG143&gt;CampStaleDays,1,0),1),0)</f>
        <v>0</v>
      </c>
      <c r="AQ143" s="71">
        <f>IF(AND($AM143=1,OR($AA143="Behind",$AA143="At Risk")),1,0)</f>
        <v>0</v>
      </c>
      <c r="AR143" s="71">
        <f>IF(AND($AM143=1,OR($AA143="Ahead",$AA143="On Track")),1,0)</f>
        <v>0</v>
      </c>
      <c r="AS143" s="71">
        <f>IF(OR($AQ143=1,$AP143=1,$AO143=1),1,0)</f>
        <v>0</v>
      </c>
      <c r="AT143" s="71" t="str">
        <f>IF($AS143=1,TRIM(IF($AQ143=1,"Low performance. ","")&amp;IF($AP143=1,"No recent update. ","")&amp;IF($AO143=1,"Past planned end. ","")),"")</f>
        <v/>
      </c>
      <c r="AU143" s="71" t="str">
        <f>IF(AND($AS143=1,$AL143=1),ROW(),"")</f>
        <v/>
      </c>
      <c r="AV143" s="71" t="str">
        <f>IF(AND($AQ143=1,$AL143=1),ROW(),"")</f>
        <v/>
      </c>
      <c r="AW143" s="71" t="str">
        <f>IF(AND($AP143=1,$AL143=1),ROW(),"")</f>
        <v/>
      </c>
      <c r="AX143" s="71" t="str">
        <f>IF(AND($AR143=1,$AL143=1),ROW(),"")</f>
        <v/>
      </c>
      <c r="AY143" s="71">
        <f>IF(AND($B143&lt;&gt;"",$A143=TCL_Client),1,0)</f>
        <v>0</v>
      </c>
      <c r="AZ143" s="71" t="str">
        <f>IF($AY143=1,ROW(),"")</f>
        <v/>
      </c>
      <c r="BA143" s="71">
        <f>IF(AND($B143&lt;&gt;"",$A143=MECCA_Client),1,0)</f>
        <v>0</v>
      </c>
      <c r="BB143" s="71" t="str">
        <f>IF($BA143=1,ROW(),"")</f>
        <v/>
      </c>
    </row>
    <row r="144">
      <c r="A144" s="64" t="n"/>
      <c r="B144" s="65" t="n"/>
      <c r="C144" s="64" t="n"/>
      <c r="D144" s="64" t="n"/>
      <c r="E144" s="64" t="n"/>
      <c r="F144" s="65" t="n"/>
      <c r="G144" s="65" t="n"/>
      <c r="H144" s="64" t="n"/>
      <c r="I144" s="64" t="n"/>
      <c r="J144" s="65" t="n"/>
      <c r="K144" s="63" t="n"/>
      <c r="L144" s="63" t="n"/>
      <c r="M144" s="63" t="n"/>
      <c r="N144" s="64" t="n"/>
      <c r="O144" s="67" t="n"/>
      <c r="P144" s="72" t="str">
        <f>IF($B144="","",SUMIFS('PAID MEDIA ADS'!$G$5:$G$804,'PAID MEDIA ADS'!$C$5:$C$804,$B144))</f>
        <v/>
      </c>
      <c r="Q144" s="67" t="n"/>
      <c r="R144" s="72" t="str">
        <f>IF($B144="","",COUNTIFS('LEAD MQL TRACKER'!$C$5:$C$1004,$B144,'LEAD MQL TRACKER'!$AB$5:$AB$1004,1)+SUMIFS('EMAIL MARKETING'!$Q$5:$Q$804,'EMAIL MARKETING'!$C$5:$C$804,$B144)+SUMIFS('PAID MEDIA ADS'!$M$5:$M$804,'PAID MEDIA ADS'!$C$5:$C$804,$B144)+SUMIFS('LINKEDIN OUTREACH'!$N$5:$N$704,'LINKEDIN OUTREACH'!$C$5:$C$704,$B144))</f>
        <v/>
      </c>
      <c r="S144" s="67" t="n"/>
      <c r="T144" s="72" t="str">
        <f>IF($B144="","",COUNTIFS('LEAD MQL TRACKER'!$C$5:$C$1004,$B144,'LEAD MQL TRACKER'!$AD$5:$AD$1004,1)+SUMIFS('EMAIL MARKETING'!$R$5:$R$804,'EMAIL MARKETING'!$C$5:$C$804,$B144)+SUMIFS('PAID MEDIA ADS'!$N$5:$N$804,'PAID MEDIA ADS'!$C$5:$C$804,$B144)+SUMIFS('LINKEDIN OUTREACH'!$O$5:$O$704,'LINKEDIN OUTREACH'!$C$5:$C$704,$B144))</f>
        <v/>
      </c>
      <c r="U144" s="67" t="n"/>
      <c r="V144" s="72" t="str">
        <f>IF($B144="","",COUNTIFS('LEAD MQL TRACKER'!$C$5:$C$1004,$B144,'LEAD MQL TRACKER'!$AE$5:$AE$1004,1))</f>
        <v/>
      </c>
      <c r="W144" s="72" t="str">
        <f>IF($B144="","",COUNTIFS('LEAD MQL TRACKER'!$C$5:$C$1004,$B144,'LEAD MQL TRACKER'!$AC$5:$AC$1004,1)+SUMIFS('LINKEDIN OUTREACH'!$M$5:$M$704,'LINKEDIN OUTREACH'!$C$5:$C$704,$B144))</f>
        <v/>
      </c>
      <c r="X144" s="72" t="str">
        <f>IF($B144="","",SUMIFS('EMAIL MARKETING'!$O$5:$O$804,'EMAIL MARKETING'!$C$5:$C$804,$B144)+SUMIFS('LINKEDIN OUTREACH'!$K$5:$K$704,'LINKEDIN OUTREACH'!$C$5:$C$704,$B144))</f>
        <v/>
      </c>
      <c r="Y144" s="73" t="str">
        <f>IF(ISNUMBER($R144),IF($R144&gt;0,$T144/$R144,""),"")</f>
        <v/>
      </c>
      <c r="Z144" s="72" t="str">
        <f>IF(AND(ISNUMBER($P144),ISNUMBER($R144)),IF(AND($P144&gt;0,$R144&gt;0),$P144/$R144,""),"")</f>
        <v/>
      </c>
      <c r="AA144" s="71" t="str">
        <f>IF($B144="","",IF(OR($N144="Live",$N144="Optimizing",$N144="Paused",$N144="Completed"),IF(ISNUMBER($AI144),IF($AI144&gt;=1,"Ahead",IF($AI144&gt;=OnTrackPct,"On Track",IF($AI144&gt;=WatchPct,"Behind","At Risk"))),"No Target Set"),"Not Live"))</f>
        <v/>
      </c>
      <c r="AB144" s="65" t="n"/>
      <c r="AC144" s="65" t="n"/>
      <c r="AD144" s="65" t="n"/>
      <c r="AE144" s="67" t="n"/>
      <c r="AF144" s="67" t="n"/>
      <c r="AG144" s="63" t="n"/>
      <c r="AH144" s="74">
        <f>IF($N144="Completed",1,IF(AND(ISNUMBER($K144),ISNUMBER($L144)),IF($L144&gt;$K144,MIN(1,MAX(0.05,(ReportDate-$K144)/($L144-$K144))),1),1))</f>
        <v>1</v>
      </c>
      <c r="AI144" s="70" t="str">
        <f>IF($B144="","",IF(AND(ISNUMBER($Q144),$Q144&gt;0),$R144/($Q144*$AH144),""))</f>
        <v/>
      </c>
      <c r="AJ144" s="71" t="str">
        <f>IF(ISNUMBER($K144),YEAR($K144)&amp;"-"&amp;TEXT(MONTH($K144),"00"),"")</f>
        <v/>
      </c>
      <c r="AK144" s="71">
        <f>IF($B144="",0,IF(AND(OR(fClient="All",$A144=fClient),OR(fCampaign="All",$B144=fCampaign),OR(fTeam="All",$I144=fTeam),OR(fChannel="All",$H144=fChannel),OR(fCStatus="All",$N144=fCStatus)),1,0))</f>
        <v>0</v>
      </c>
      <c r="AL144" s="71">
        <f>IF($B144="",0,IF(AND(OR(fClient="All",$A144=fClient),OR(fCampaign="All",$B144=fCampaign),OR(fTeam="All",$I144=fTeam),OR(fChannel="All",$H144=fChannel)),1,0))</f>
        <v>0</v>
      </c>
      <c r="AM144" s="71">
        <f>IF(OR($N144="Live",$N144="Optimizing"),1,0)</f>
        <v>0</v>
      </c>
      <c r="AN144" s="71">
        <f>IF(OR($N144="Live",$N144="Optimizing",$N144="Paused",$N144="Completed"),1,0)</f>
        <v>0</v>
      </c>
      <c r="AO144" s="71">
        <f>IF(AND($AM144=1,ISNUMBER($L144),NOT(ISNUMBER($M144))),IF($L144&lt;ReportDate,1,0),0)</f>
        <v>0</v>
      </c>
      <c r="AP144" s="71">
        <f>IF($AM144=1,IF(ISNUMBER($AG144),IF(ReportDate-$AG144&gt;CampStaleDays,1,0),1),0)</f>
        <v>0</v>
      </c>
      <c r="AQ144" s="71">
        <f>IF(AND($AM144=1,OR($AA144="Behind",$AA144="At Risk")),1,0)</f>
        <v>0</v>
      </c>
      <c r="AR144" s="71">
        <f>IF(AND($AM144=1,OR($AA144="Ahead",$AA144="On Track")),1,0)</f>
        <v>0</v>
      </c>
      <c r="AS144" s="71">
        <f>IF(OR($AQ144=1,$AP144=1,$AO144=1),1,0)</f>
        <v>0</v>
      </c>
      <c r="AT144" s="71" t="str">
        <f>IF($AS144=1,TRIM(IF($AQ144=1,"Low performance. ","")&amp;IF($AP144=1,"No recent update. ","")&amp;IF($AO144=1,"Past planned end. ","")),"")</f>
        <v/>
      </c>
      <c r="AU144" s="71" t="str">
        <f>IF(AND($AS144=1,$AL144=1),ROW(),"")</f>
        <v/>
      </c>
      <c r="AV144" s="71" t="str">
        <f>IF(AND($AQ144=1,$AL144=1),ROW(),"")</f>
        <v/>
      </c>
      <c r="AW144" s="71" t="str">
        <f>IF(AND($AP144=1,$AL144=1),ROW(),"")</f>
        <v/>
      </c>
      <c r="AX144" s="71" t="str">
        <f>IF(AND($AR144=1,$AL144=1),ROW(),"")</f>
        <v/>
      </c>
      <c r="AY144" s="71">
        <f>IF(AND($B144&lt;&gt;"",$A144=TCL_Client),1,0)</f>
        <v>0</v>
      </c>
      <c r="AZ144" s="71" t="str">
        <f>IF($AY144=1,ROW(),"")</f>
        <v/>
      </c>
      <c r="BA144" s="71">
        <f>IF(AND($B144&lt;&gt;"",$A144=MECCA_Client),1,0)</f>
        <v>0</v>
      </c>
      <c r="BB144" s="71" t="str">
        <f>IF($BA144=1,ROW(),"")</f>
        <v/>
      </c>
    </row>
    <row r="145">
      <c r="A145" s="64" t="n"/>
      <c r="B145" s="65" t="n"/>
      <c r="C145" s="64" t="n"/>
      <c r="D145" s="64" t="n"/>
      <c r="E145" s="64" t="n"/>
      <c r="F145" s="65" t="n"/>
      <c r="G145" s="65" t="n"/>
      <c r="H145" s="64" t="n"/>
      <c r="I145" s="64" t="n"/>
      <c r="J145" s="65" t="n"/>
      <c r="K145" s="63" t="n"/>
      <c r="L145" s="63" t="n"/>
      <c r="M145" s="63" t="n"/>
      <c r="N145" s="64" t="n"/>
      <c r="O145" s="67" t="n"/>
      <c r="P145" s="72" t="str">
        <f>IF($B145="","",SUMIFS('PAID MEDIA ADS'!$G$5:$G$804,'PAID MEDIA ADS'!$C$5:$C$804,$B145))</f>
        <v/>
      </c>
      <c r="Q145" s="67" t="n"/>
      <c r="R145" s="72" t="str">
        <f>IF($B145="","",COUNTIFS('LEAD MQL TRACKER'!$C$5:$C$1004,$B145,'LEAD MQL TRACKER'!$AB$5:$AB$1004,1)+SUMIFS('EMAIL MARKETING'!$Q$5:$Q$804,'EMAIL MARKETING'!$C$5:$C$804,$B145)+SUMIFS('PAID MEDIA ADS'!$M$5:$M$804,'PAID MEDIA ADS'!$C$5:$C$804,$B145)+SUMIFS('LINKEDIN OUTREACH'!$N$5:$N$704,'LINKEDIN OUTREACH'!$C$5:$C$704,$B145))</f>
        <v/>
      </c>
      <c r="S145" s="67" t="n"/>
      <c r="T145" s="72" t="str">
        <f>IF($B145="","",COUNTIFS('LEAD MQL TRACKER'!$C$5:$C$1004,$B145,'LEAD MQL TRACKER'!$AD$5:$AD$1004,1)+SUMIFS('EMAIL MARKETING'!$R$5:$R$804,'EMAIL MARKETING'!$C$5:$C$804,$B145)+SUMIFS('PAID MEDIA ADS'!$N$5:$N$804,'PAID MEDIA ADS'!$C$5:$C$804,$B145)+SUMIFS('LINKEDIN OUTREACH'!$O$5:$O$704,'LINKEDIN OUTREACH'!$C$5:$C$704,$B145))</f>
        <v/>
      </c>
      <c r="U145" s="67" t="n"/>
      <c r="V145" s="72" t="str">
        <f>IF($B145="","",COUNTIFS('LEAD MQL TRACKER'!$C$5:$C$1004,$B145,'LEAD MQL TRACKER'!$AE$5:$AE$1004,1))</f>
        <v/>
      </c>
      <c r="W145" s="72" t="str">
        <f>IF($B145="","",COUNTIFS('LEAD MQL TRACKER'!$C$5:$C$1004,$B145,'LEAD MQL TRACKER'!$AC$5:$AC$1004,1)+SUMIFS('LINKEDIN OUTREACH'!$M$5:$M$704,'LINKEDIN OUTREACH'!$C$5:$C$704,$B145))</f>
        <v/>
      </c>
      <c r="X145" s="72" t="str">
        <f>IF($B145="","",SUMIFS('EMAIL MARKETING'!$O$5:$O$804,'EMAIL MARKETING'!$C$5:$C$804,$B145)+SUMIFS('LINKEDIN OUTREACH'!$K$5:$K$704,'LINKEDIN OUTREACH'!$C$5:$C$704,$B145))</f>
        <v/>
      </c>
      <c r="Y145" s="73" t="str">
        <f>IF(ISNUMBER($R145),IF($R145&gt;0,$T145/$R145,""),"")</f>
        <v/>
      </c>
      <c r="Z145" s="72" t="str">
        <f>IF(AND(ISNUMBER($P145),ISNUMBER($R145)),IF(AND($P145&gt;0,$R145&gt;0),$P145/$R145,""),"")</f>
        <v/>
      </c>
      <c r="AA145" s="71" t="str">
        <f>IF($B145="","",IF(OR($N145="Live",$N145="Optimizing",$N145="Paused",$N145="Completed"),IF(ISNUMBER($AI145),IF($AI145&gt;=1,"Ahead",IF($AI145&gt;=OnTrackPct,"On Track",IF($AI145&gt;=WatchPct,"Behind","At Risk"))),"No Target Set"),"Not Live"))</f>
        <v/>
      </c>
      <c r="AB145" s="65" t="n"/>
      <c r="AC145" s="65" t="n"/>
      <c r="AD145" s="65" t="n"/>
      <c r="AE145" s="67" t="n"/>
      <c r="AF145" s="67" t="n"/>
      <c r="AG145" s="63" t="n"/>
      <c r="AH145" s="74">
        <f>IF($N145="Completed",1,IF(AND(ISNUMBER($K145),ISNUMBER($L145)),IF($L145&gt;$K145,MIN(1,MAX(0.05,(ReportDate-$K145)/($L145-$K145))),1),1))</f>
        <v>1</v>
      </c>
      <c r="AI145" s="70" t="str">
        <f>IF($B145="","",IF(AND(ISNUMBER($Q145),$Q145&gt;0),$R145/($Q145*$AH145),""))</f>
        <v/>
      </c>
      <c r="AJ145" s="71" t="str">
        <f>IF(ISNUMBER($K145),YEAR($K145)&amp;"-"&amp;TEXT(MONTH($K145),"00"),"")</f>
        <v/>
      </c>
      <c r="AK145" s="71">
        <f>IF($B145="",0,IF(AND(OR(fClient="All",$A145=fClient),OR(fCampaign="All",$B145=fCampaign),OR(fTeam="All",$I145=fTeam),OR(fChannel="All",$H145=fChannel),OR(fCStatus="All",$N145=fCStatus)),1,0))</f>
        <v>0</v>
      </c>
      <c r="AL145" s="71">
        <f>IF($B145="",0,IF(AND(OR(fClient="All",$A145=fClient),OR(fCampaign="All",$B145=fCampaign),OR(fTeam="All",$I145=fTeam),OR(fChannel="All",$H145=fChannel)),1,0))</f>
        <v>0</v>
      </c>
      <c r="AM145" s="71">
        <f>IF(OR($N145="Live",$N145="Optimizing"),1,0)</f>
        <v>0</v>
      </c>
      <c r="AN145" s="71">
        <f>IF(OR($N145="Live",$N145="Optimizing",$N145="Paused",$N145="Completed"),1,0)</f>
        <v>0</v>
      </c>
      <c r="AO145" s="71">
        <f>IF(AND($AM145=1,ISNUMBER($L145),NOT(ISNUMBER($M145))),IF($L145&lt;ReportDate,1,0),0)</f>
        <v>0</v>
      </c>
      <c r="AP145" s="71">
        <f>IF($AM145=1,IF(ISNUMBER($AG145),IF(ReportDate-$AG145&gt;CampStaleDays,1,0),1),0)</f>
        <v>0</v>
      </c>
      <c r="AQ145" s="71">
        <f>IF(AND($AM145=1,OR($AA145="Behind",$AA145="At Risk")),1,0)</f>
        <v>0</v>
      </c>
      <c r="AR145" s="71">
        <f>IF(AND($AM145=1,OR($AA145="Ahead",$AA145="On Track")),1,0)</f>
        <v>0</v>
      </c>
      <c r="AS145" s="71">
        <f>IF(OR($AQ145=1,$AP145=1,$AO145=1),1,0)</f>
        <v>0</v>
      </c>
      <c r="AT145" s="71" t="str">
        <f>IF($AS145=1,TRIM(IF($AQ145=1,"Low performance. ","")&amp;IF($AP145=1,"No recent update. ","")&amp;IF($AO145=1,"Past planned end. ","")),"")</f>
        <v/>
      </c>
      <c r="AU145" s="71" t="str">
        <f>IF(AND($AS145=1,$AL145=1),ROW(),"")</f>
        <v/>
      </c>
      <c r="AV145" s="71" t="str">
        <f>IF(AND($AQ145=1,$AL145=1),ROW(),"")</f>
        <v/>
      </c>
      <c r="AW145" s="71" t="str">
        <f>IF(AND($AP145=1,$AL145=1),ROW(),"")</f>
        <v/>
      </c>
      <c r="AX145" s="71" t="str">
        <f>IF(AND($AR145=1,$AL145=1),ROW(),"")</f>
        <v/>
      </c>
      <c r="AY145" s="71">
        <f>IF(AND($B145&lt;&gt;"",$A145=TCL_Client),1,0)</f>
        <v>0</v>
      </c>
      <c r="AZ145" s="71" t="str">
        <f>IF($AY145=1,ROW(),"")</f>
        <v/>
      </c>
      <c r="BA145" s="71">
        <f>IF(AND($B145&lt;&gt;"",$A145=MECCA_Client),1,0)</f>
        <v>0</v>
      </c>
      <c r="BB145" s="71" t="str">
        <f>IF($BA145=1,ROW(),"")</f>
        <v/>
      </c>
    </row>
    <row r="146">
      <c r="A146" s="64" t="n"/>
      <c r="B146" s="65" t="n"/>
      <c r="C146" s="64" t="n"/>
      <c r="D146" s="64" t="n"/>
      <c r="E146" s="64" t="n"/>
      <c r="F146" s="65" t="n"/>
      <c r="G146" s="65" t="n"/>
      <c r="H146" s="64" t="n"/>
      <c r="I146" s="64" t="n"/>
      <c r="J146" s="65" t="n"/>
      <c r="K146" s="63" t="n"/>
      <c r="L146" s="63" t="n"/>
      <c r="M146" s="63" t="n"/>
      <c r="N146" s="64" t="n"/>
      <c r="O146" s="67" t="n"/>
      <c r="P146" s="72" t="str">
        <f>IF($B146="","",SUMIFS('PAID MEDIA ADS'!$G$5:$G$804,'PAID MEDIA ADS'!$C$5:$C$804,$B146))</f>
        <v/>
      </c>
      <c r="Q146" s="67" t="n"/>
      <c r="R146" s="72" t="str">
        <f>IF($B146="","",COUNTIFS('LEAD MQL TRACKER'!$C$5:$C$1004,$B146,'LEAD MQL TRACKER'!$AB$5:$AB$1004,1)+SUMIFS('EMAIL MARKETING'!$Q$5:$Q$804,'EMAIL MARKETING'!$C$5:$C$804,$B146)+SUMIFS('PAID MEDIA ADS'!$M$5:$M$804,'PAID MEDIA ADS'!$C$5:$C$804,$B146)+SUMIFS('LINKEDIN OUTREACH'!$N$5:$N$704,'LINKEDIN OUTREACH'!$C$5:$C$704,$B146))</f>
        <v/>
      </c>
      <c r="S146" s="67" t="n"/>
      <c r="T146" s="72" t="str">
        <f>IF($B146="","",COUNTIFS('LEAD MQL TRACKER'!$C$5:$C$1004,$B146,'LEAD MQL TRACKER'!$AD$5:$AD$1004,1)+SUMIFS('EMAIL MARKETING'!$R$5:$R$804,'EMAIL MARKETING'!$C$5:$C$804,$B146)+SUMIFS('PAID MEDIA ADS'!$N$5:$N$804,'PAID MEDIA ADS'!$C$5:$C$804,$B146)+SUMIFS('LINKEDIN OUTREACH'!$O$5:$O$704,'LINKEDIN OUTREACH'!$C$5:$C$704,$B146))</f>
        <v/>
      </c>
      <c r="U146" s="67" t="n"/>
      <c r="V146" s="72" t="str">
        <f>IF($B146="","",COUNTIFS('LEAD MQL TRACKER'!$C$5:$C$1004,$B146,'LEAD MQL TRACKER'!$AE$5:$AE$1004,1))</f>
        <v/>
      </c>
      <c r="W146" s="72" t="str">
        <f>IF($B146="","",COUNTIFS('LEAD MQL TRACKER'!$C$5:$C$1004,$B146,'LEAD MQL TRACKER'!$AC$5:$AC$1004,1)+SUMIFS('LINKEDIN OUTREACH'!$M$5:$M$704,'LINKEDIN OUTREACH'!$C$5:$C$704,$B146))</f>
        <v/>
      </c>
      <c r="X146" s="72" t="str">
        <f>IF($B146="","",SUMIFS('EMAIL MARKETING'!$O$5:$O$804,'EMAIL MARKETING'!$C$5:$C$804,$B146)+SUMIFS('LINKEDIN OUTREACH'!$K$5:$K$704,'LINKEDIN OUTREACH'!$C$5:$C$704,$B146))</f>
        <v/>
      </c>
      <c r="Y146" s="73" t="str">
        <f>IF(ISNUMBER($R146),IF($R146&gt;0,$T146/$R146,""),"")</f>
        <v/>
      </c>
      <c r="Z146" s="72" t="str">
        <f>IF(AND(ISNUMBER($P146),ISNUMBER($R146)),IF(AND($P146&gt;0,$R146&gt;0),$P146/$R146,""),"")</f>
        <v/>
      </c>
      <c r="AA146" s="71" t="str">
        <f>IF($B146="","",IF(OR($N146="Live",$N146="Optimizing",$N146="Paused",$N146="Completed"),IF(ISNUMBER($AI146),IF($AI146&gt;=1,"Ahead",IF($AI146&gt;=OnTrackPct,"On Track",IF($AI146&gt;=WatchPct,"Behind","At Risk"))),"No Target Set"),"Not Live"))</f>
        <v/>
      </c>
      <c r="AB146" s="65" t="n"/>
      <c r="AC146" s="65" t="n"/>
      <c r="AD146" s="65" t="n"/>
      <c r="AE146" s="67" t="n"/>
      <c r="AF146" s="67" t="n"/>
      <c r="AG146" s="63" t="n"/>
      <c r="AH146" s="74">
        <f>IF($N146="Completed",1,IF(AND(ISNUMBER($K146),ISNUMBER($L146)),IF($L146&gt;$K146,MIN(1,MAX(0.05,(ReportDate-$K146)/($L146-$K146))),1),1))</f>
        <v>1</v>
      </c>
      <c r="AI146" s="70" t="str">
        <f>IF($B146="","",IF(AND(ISNUMBER($Q146),$Q146&gt;0),$R146/($Q146*$AH146),""))</f>
        <v/>
      </c>
      <c r="AJ146" s="71" t="str">
        <f>IF(ISNUMBER($K146),YEAR($K146)&amp;"-"&amp;TEXT(MONTH($K146),"00"),"")</f>
        <v/>
      </c>
      <c r="AK146" s="71">
        <f>IF($B146="",0,IF(AND(OR(fClient="All",$A146=fClient),OR(fCampaign="All",$B146=fCampaign),OR(fTeam="All",$I146=fTeam),OR(fChannel="All",$H146=fChannel),OR(fCStatus="All",$N146=fCStatus)),1,0))</f>
        <v>0</v>
      </c>
      <c r="AL146" s="71">
        <f>IF($B146="",0,IF(AND(OR(fClient="All",$A146=fClient),OR(fCampaign="All",$B146=fCampaign),OR(fTeam="All",$I146=fTeam),OR(fChannel="All",$H146=fChannel)),1,0))</f>
        <v>0</v>
      </c>
      <c r="AM146" s="71">
        <f>IF(OR($N146="Live",$N146="Optimizing"),1,0)</f>
        <v>0</v>
      </c>
      <c r="AN146" s="71">
        <f>IF(OR($N146="Live",$N146="Optimizing",$N146="Paused",$N146="Completed"),1,0)</f>
        <v>0</v>
      </c>
      <c r="AO146" s="71">
        <f>IF(AND($AM146=1,ISNUMBER($L146),NOT(ISNUMBER($M146))),IF($L146&lt;ReportDate,1,0),0)</f>
        <v>0</v>
      </c>
      <c r="AP146" s="71">
        <f>IF($AM146=1,IF(ISNUMBER($AG146),IF(ReportDate-$AG146&gt;CampStaleDays,1,0),1),0)</f>
        <v>0</v>
      </c>
      <c r="AQ146" s="71">
        <f>IF(AND($AM146=1,OR($AA146="Behind",$AA146="At Risk")),1,0)</f>
        <v>0</v>
      </c>
      <c r="AR146" s="71">
        <f>IF(AND($AM146=1,OR($AA146="Ahead",$AA146="On Track")),1,0)</f>
        <v>0</v>
      </c>
      <c r="AS146" s="71">
        <f>IF(OR($AQ146=1,$AP146=1,$AO146=1),1,0)</f>
        <v>0</v>
      </c>
      <c r="AT146" s="71" t="str">
        <f>IF($AS146=1,TRIM(IF($AQ146=1,"Low performance. ","")&amp;IF($AP146=1,"No recent update. ","")&amp;IF($AO146=1,"Past planned end. ","")),"")</f>
        <v/>
      </c>
      <c r="AU146" s="71" t="str">
        <f>IF(AND($AS146=1,$AL146=1),ROW(),"")</f>
        <v/>
      </c>
      <c r="AV146" s="71" t="str">
        <f>IF(AND($AQ146=1,$AL146=1),ROW(),"")</f>
        <v/>
      </c>
      <c r="AW146" s="71" t="str">
        <f>IF(AND($AP146=1,$AL146=1),ROW(),"")</f>
        <v/>
      </c>
      <c r="AX146" s="71" t="str">
        <f>IF(AND($AR146=1,$AL146=1),ROW(),"")</f>
        <v/>
      </c>
      <c r="AY146" s="71">
        <f>IF(AND($B146&lt;&gt;"",$A146=TCL_Client),1,0)</f>
        <v>0</v>
      </c>
      <c r="AZ146" s="71" t="str">
        <f>IF($AY146=1,ROW(),"")</f>
        <v/>
      </c>
      <c r="BA146" s="71">
        <f>IF(AND($B146&lt;&gt;"",$A146=MECCA_Client),1,0)</f>
        <v>0</v>
      </c>
      <c r="BB146" s="71" t="str">
        <f>IF($BA146=1,ROW(),"")</f>
        <v/>
      </c>
    </row>
    <row r="147">
      <c r="A147" s="64" t="n"/>
      <c r="B147" s="65" t="n"/>
      <c r="C147" s="64" t="n"/>
      <c r="D147" s="64" t="n"/>
      <c r="E147" s="64" t="n"/>
      <c r="F147" s="65" t="n"/>
      <c r="G147" s="65" t="n"/>
      <c r="H147" s="64" t="n"/>
      <c r="I147" s="64" t="n"/>
      <c r="J147" s="65" t="n"/>
      <c r="K147" s="63" t="n"/>
      <c r="L147" s="63" t="n"/>
      <c r="M147" s="63" t="n"/>
      <c r="N147" s="64" t="n"/>
      <c r="O147" s="67" t="n"/>
      <c r="P147" s="72" t="str">
        <f>IF($B147="","",SUMIFS('PAID MEDIA ADS'!$G$5:$G$804,'PAID MEDIA ADS'!$C$5:$C$804,$B147))</f>
        <v/>
      </c>
      <c r="Q147" s="67" t="n"/>
      <c r="R147" s="72" t="str">
        <f>IF($B147="","",COUNTIFS('LEAD MQL TRACKER'!$C$5:$C$1004,$B147,'LEAD MQL TRACKER'!$AB$5:$AB$1004,1)+SUMIFS('EMAIL MARKETING'!$Q$5:$Q$804,'EMAIL MARKETING'!$C$5:$C$804,$B147)+SUMIFS('PAID MEDIA ADS'!$M$5:$M$804,'PAID MEDIA ADS'!$C$5:$C$804,$B147)+SUMIFS('LINKEDIN OUTREACH'!$N$5:$N$704,'LINKEDIN OUTREACH'!$C$5:$C$704,$B147))</f>
        <v/>
      </c>
      <c r="S147" s="67" t="n"/>
      <c r="T147" s="72" t="str">
        <f>IF($B147="","",COUNTIFS('LEAD MQL TRACKER'!$C$5:$C$1004,$B147,'LEAD MQL TRACKER'!$AD$5:$AD$1004,1)+SUMIFS('EMAIL MARKETING'!$R$5:$R$804,'EMAIL MARKETING'!$C$5:$C$804,$B147)+SUMIFS('PAID MEDIA ADS'!$N$5:$N$804,'PAID MEDIA ADS'!$C$5:$C$804,$B147)+SUMIFS('LINKEDIN OUTREACH'!$O$5:$O$704,'LINKEDIN OUTREACH'!$C$5:$C$704,$B147))</f>
        <v/>
      </c>
      <c r="U147" s="67" t="n"/>
      <c r="V147" s="72" t="str">
        <f>IF($B147="","",COUNTIFS('LEAD MQL TRACKER'!$C$5:$C$1004,$B147,'LEAD MQL TRACKER'!$AE$5:$AE$1004,1))</f>
        <v/>
      </c>
      <c r="W147" s="72" t="str">
        <f>IF($B147="","",COUNTIFS('LEAD MQL TRACKER'!$C$5:$C$1004,$B147,'LEAD MQL TRACKER'!$AC$5:$AC$1004,1)+SUMIFS('LINKEDIN OUTREACH'!$M$5:$M$704,'LINKEDIN OUTREACH'!$C$5:$C$704,$B147))</f>
        <v/>
      </c>
      <c r="X147" s="72" t="str">
        <f>IF($B147="","",SUMIFS('EMAIL MARKETING'!$O$5:$O$804,'EMAIL MARKETING'!$C$5:$C$804,$B147)+SUMIFS('LINKEDIN OUTREACH'!$K$5:$K$704,'LINKEDIN OUTREACH'!$C$5:$C$704,$B147))</f>
        <v/>
      </c>
      <c r="Y147" s="73" t="str">
        <f>IF(ISNUMBER($R147),IF($R147&gt;0,$T147/$R147,""),"")</f>
        <v/>
      </c>
      <c r="Z147" s="72" t="str">
        <f>IF(AND(ISNUMBER($P147),ISNUMBER($R147)),IF(AND($P147&gt;0,$R147&gt;0),$P147/$R147,""),"")</f>
        <v/>
      </c>
      <c r="AA147" s="71" t="str">
        <f>IF($B147="","",IF(OR($N147="Live",$N147="Optimizing",$N147="Paused",$N147="Completed"),IF(ISNUMBER($AI147),IF($AI147&gt;=1,"Ahead",IF($AI147&gt;=OnTrackPct,"On Track",IF($AI147&gt;=WatchPct,"Behind","At Risk"))),"No Target Set"),"Not Live"))</f>
        <v/>
      </c>
      <c r="AB147" s="65" t="n"/>
      <c r="AC147" s="65" t="n"/>
      <c r="AD147" s="65" t="n"/>
      <c r="AE147" s="67" t="n"/>
      <c r="AF147" s="67" t="n"/>
      <c r="AG147" s="63" t="n"/>
      <c r="AH147" s="74">
        <f>IF($N147="Completed",1,IF(AND(ISNUMBER($K147),ISNUMBER($L147)),IF($L147&gt;$K147,MIN(1,MAX(0.05,(ReportDate-$K147)/($L147-$K147))),1),1))</f>
        <v>1</v>
      </c>
      <c r="AI147" s="70" t="str">
        <f>IF($B147="","",IF(AND(ISNUMBER($Q147),$Q147&gt;0),$R147/($Q147*$AH147),""))</f>
        <v/>
      </c>
      <c r="AJ147" s="71" t="str">
        <f>IF(ISNUMBER($K147),YEAR($K147)&amp;"-"&amp;TEXT(MONTH($K147),"00"),"")</f>
        <v/>
      </c>
      <c r="AK147" s="71">
        <f>IF($B147="",0,IF(AND(OR(fClient="All",$A147=fClient),OR(fCampaign="All",$B147=fCampaign),OR(fTeam="All",$I147=fTeam),OR(fChannel="All",$H147=fChannel),OR(fCStatus="All",$N147=fCStatus)),1,0))</f>
        <v>0</v>
      </c>
      <c r="AL147" s="71">
        <f>IF($B147="",0,IF(AND(OR(fClient="All",$A147=fClient),OR(fCampaign="All",$B147=fCampaign),OR(fTeam="All",$I147=fTeam),OR(fChannel="All",$H147=fChannel)),1,0))</f>
        <v>0</v>
      </c>
      <c r="AM147" s="71">
        <f>IF(OR($N147="Live",$N147="Optimizing"),1,0)</f>
        <v>0</v>
      </c>
      <c r="AN147" s="71">
        <f>IF(OR($N147="Live",$N147="Optimizing",$N147="Paused",$N147="Completed"),1,0)</f>
        <v>0</v>
      </c>
      <c r="AO147" s="71">
        <f>IF(AND($AM147=1,ISNUMBER($L147),NOT(ISNUMBER($M147))),IF($L147&lt;ReportDate,1,0),0)</f>
        <v>0</v>
      </c>
      <c r="AP147" s="71">
        <f>IF($AM147=1,IF(ISNUMBER($AG147),IF(ReportDate-$AG147&gt;CampStaleDays,1,0),1),0)</f>
        <v>0</v>
      </c>
      <c r="AQ147" s="71">
        <f>IF(AND($AM147=1,OR($AA147="Behind",$AA147="At Risk")),1,0)</f>
        <v>0</v>
      </c>
      <c r="AR147" s="71">
        <f>IF(AND($AM147=1,OR($AA147="Ahead",$AA147="On Track")),1,0)</f>
        <v>0</v>
      </c>
      <c r="AS147" s="71">
        <f>IF(OR($AQ147=1,$AP147=1,$AO147=1),1,0)</f>
        <v>0</v>
      </c>
      <c r="AT147" s="71" t="str">
        <f>IF($AS147=1,TRIM(IF($AQ147=1,"Low performance. ","")&amp;IF($AP147=1,"No recent update. ","")&amp;IF($AO147=1,"Past planned end. ","")),"")</f>
        <v/>
      </c>
      <c r="AU147" s="71" t="str">
        <f>IF(AND($AS147=1,$AL147=1),ROW(),"")</f>
        <v/>
      </c>
      <c r="AV147" s="71" t="str">
        <f>IF(AND($AQ147=1,$AL147=1),ROW(),"")</f>
        <v/>
      </c>
      <c r="AW147" s="71" t="str">
        <f>IF(AND($AP147=1,$AL147=1),ROW(),"")</f>
        <v/>
      </c>
      <c r="AX147" s="71" t="str">
        <f>IF(AND($AR147=1,$AL147=1),ROW(),"")</f>
        <v/>
      </c>
      <c r="AY147" s="71">
        <f>IF(AND($B147&lt;&gt;"",$A147=TCL_Client),1,0)</f>
        <v>0</v>
      </c>
      <c r="AZ147" s="71" t="str">
        <f>IF($AY147=1,ROW(),"")</f>
        <v/>
      </c>
      <c r="BA147" s="71">
        <f>IF(AND($B147&lt;&gt;"",$A147=MECCA_Client),1,0)</f>
        <v>0</v>
      </c>
      <c r="BB147" s="71" t="str">
        <f>IF($BA147=1,ROW(),"")</f>
        <v/>
      </c>
    </row>
    <row r="148">
      <c r="A148" s="64" t="n"/>
      <c r="B148" s="65" t="n"/>
      <c r="C148" s="64" t="n"/>
      <c r="D148" s="64" t="n"/>
      <c r="E148" s="64" t="n"/>
      <c r="F148" s="65" t="n"/>
      <c r="G148" s="65" t="n"/>
      <c r="H148" s="64" t="n"/>
      <c r="I148" s="64" t="n"/>
      <c r="J148" s="65" t="n"/>
      <c r="K148" s="63" t="n"/>
      <c r="L148" s="63" t="n"/>
      <c r="M148" s="63" t="n"/>
      <c r="N148" s="64" t="n"/>
      <c r="O148" s="67" t="n"/>
      <c r="P148" s="72" t="str">
        <f>IF($B148="","",SUMIFS('PAID MEDIA ADS'!$G$5:$G$804,'PAID MEDIA ADS'!$C$5:$C$804,$B148))</f>
        <v/>
      </c>
      <c r="Q148" s="67" t="n"/>
      <c r="R148" s="72" t="str">
        <f>IF($B148="","",COUNTIFS('LEAD MQL TRACKER'!$C$5:$C$1004,$B148,'LEAD MQL TRACKER'!$AB$5:$AB$1004,1)+SUMIFS('EMAIL MARKETING'!$Q$5:$Q$804,'EMAIL MARKETING'!$C$5:$C$804,$B148)+SUMIFS('PAID MEDIA ADS'!$M$5:$M$804,'PAID MEDIA ADS'!$C$5:$C$804,$B148)+SUMIFS('LINKEDIN OUTREACH'!$N$5:$N$704,'LINKEDIN OUTREACH'!$C$5:$C$704,$B148))</f>
        <v/>
      </c>
      <c r="S148" s="67" t="n"/>
      <c r="T148" s="72" t="str">
        <f>IF($B148="","",COUNTIFS('LEAD MQL TRACKER'!$C$5:$C$1004,$B148,'LEAD MQL TRACKER'!$AD$5:$AD$1004,1)+SUMIFS('EMAIL MARKETING'!$R$5:$R$804,'EMAIL MARKETING'!$C$5:$C$804,$B148)+SUMIFS('PAID MEDIA ADS'!$N$5:$N$804,'PAID MEDIA ADS'!$C$5:$C$804,$B148)+SUMIFS('LINKEDIN OUTREACH'!$O$5:$O$704,'LINKEDIN OUTREACH'!$C$5:$C$704,$B148))</f>
        <v/>
      </c>
      <c r="U148" s="67" t="n"/>
      <c r="V148" s="72" t="str">
        <f>IF($B148="","",COUNTIFS('LEAD MQL TRACKER'!$C$5:$C$1004,$B148,'LEAD MQL TRACKER'!$AE$5:$AE$1004,1))</f>
        <v/>
      </c>
      <c r="W148" s="72" t="str">
        <f>IF($B148="","",COUNTIFS('LEAD MQL TRACKER'!$C$5:$C$1004,$B148,'LEAD MQL TRACKER'!$AC$5:$AC$1004,1)+SUMIFS('LINKEDIN OUTREACH'!$M$5:$M$704,'LINKEDIN OUTREACH'!$C$5:$C$704,$B148))</f>
        <v/>
      </c>
      <c r="X148" s="72" t="str">
        <f>IF($B148="","",SUMIFS('EMAIL MARKETING'!$O$5:$O$804,'EMAIL MARKETING'!$C$5:$C$804,$B148)+SUMIFS('LINKEDIN OUTREACH'!$K$5:$K$704,'LINKEDIN OUTREACH'!$C$5:$C$704,$B148))</f>
        <v/>
      </c>
      <c r="Y148" s="73" t="str">
        <f>IF(ISNUMBER($R148),IF($R148&gt;0,$T148/$R148,""),"")</f>
        <v/>
      </c>
      <c r="Z148" s="72" t="str">
        <f>IF(AND(ISNUMBER($P148),ISNUMBER($R148)),IF(AND($P148&gt;0,$R148&gt;0),$P148/$R148,""),"")</f>
        <v/>
      </c>
      <c r="AA148" s="71" t="str">
        <f>IF($B148="","",IF(OR($N148="Live",$N148="Optimizing",$N148="Paused",$N148="Completed"),IF(ISNUMBER($AI148),IF($AI148&gt;=1,"Ahead",IF($AI148&gt;=OnTrackPct,"On Track",IF($AI148&gt;=WatchPct,"Behind","At Risk"))),"No Target Set"),"Not Live"))</f>
        <v/>
      </c>
      <c r="AB148" s="65" t="n"/>
      <c r="AC148" s="65" t="n"/>
      <c r="AD148" s="65" t="n"/>
      <c r="AE148" s="67" t="n"/>
      <c r="AF148" s="67" t="n"/>
      <c r="AG148" s="63" t="n"/>
      <c r="AH148" s="74">
        <f>IF($N148="Completed",1,IF(AND(ISNUMBER($K148),ISNUMBER($L148)),IF($L148&gt;$K148,MIN(1,MAX(0.05,(ReportDate-$K148)/($L148-$K148))),1),1))</f>
        <v>1</v>
      </c>
      <c r="AI148" s="70" t="str">
        <f>IF($B148="","",IF(AND(ISNUMBER($Q148),$Q148&gt;0),$R148/($Q148*$AH148),""))</f>
        <v/>
      </c>
      <c r="AJ148" s="71" t="str">
        <f>IF(ISNUMBER($K148),YEAR($K148)&amp;"-"&amp;TEXT(MONTH($K148),"00"),"")</f>
        <v/>
      </c>
      <c r="AK148" s="71">
        <f>IF($B148="",0,IF(AND(OR(fClient="All",$A148=fClient),OR(fCampaign="All",$B148=fCampaign),OR(fTeam="All",$I148=fTeam),OR(fChannel="All",$H148=fChannel),OR(fCStatus="All",$N148=fCStatus)),1,0))</f>
        <v>0</v>
      </c>
      <c r="AL148" s="71">
        <f>IF($B148="",0,IF(AND(OR(fClient="All",$A148=fClient),OR(fCampaign="All",$B148=fCampaign),OR(fTeam="All",$I148=fTeam),OR(fChannel="All",$H148=fChannel)),1,0))</f>
        <v>0</v>
      </c>
      <c r="AM148" s="71">
        <f>IF(OR($N148="Live",$N148="Optimizing"),1,0)</f>
        <v>0</v>
      </c>
      <c r="AN148" s="71">
        <f>IF(OR($N148="Live",$N148="Optimizing",$N148="Paused",$N148="Completed"),1,0)</f>
        <v>0</v>
      </c>
      <c r="AO148" s="71">
        <f>IF(AND($AM148=1,ISNUMBER($L148),NOT(ISNUMBER($M148))),IF($L148&lt;ReportDate,1,0),0)</f>
        <v>0</v>
      </c>
      <c r="AP148" s="71">
        <f>IF($AM148=1,IF(ISNUMBER($AG148),IF(ReportDate-$AG148&gt;CampStaleDays,1,0),1),0)</f>
        <v>0</v>
      </c>
      <c r="AQ148" s="71">
        <f>IF(AND($AM148=1,OR($AA148="Behind",$AA148="At Risk")),1,0)</f>
        <v>0</v>
      </c>
      <c r="AR148" s="71">
        <f>IF(AND($AM148=1,OR($AA148="Ahead",$AA148="On Track")),1,0)</f>
        <v>0</v>
      </c>
      <c r="AS148" s="71">
        <f>IF(OR($AQ148=1,$AP148=1,$AO148=1),1,0)</f>
        <v>0</v>
      </c>
      <c r="AT148" s="71" t="str">
        <f>IF($AS148=1,TRIM(IF($AQ148=1,"Low performance. ","")&amp;IF($AP148=1,"No recent update. ","")&amp;IF($AO148=1,"Past planned end. ","")),"")</f>
        <v/>
      </c>
      <c r="AU148" s="71" t="str">
        <f>IF(AND($AS148=1,$AL148=1),ROW(),"")</f>
        <v/>
      </c>
      <c r="AV148" s="71" t="str">
        <f>IF(AND($AQ148=1,$AL148=1),ROW(),"")</f>
        <v/>
      </c>
      <c r="AW148" s="71" t="str">
        <f>IF(AND($AP148=1,$AL148=1),ROW(),"")</f>
        <v/>
      </c>
      <c r="AX148" s="71" t="str">
        <f>IF(AND($AR148=1,$AL148=1),ROW(),"")</f>
        <v/>
      </c>
      <c r="AY148" s="71">
        <f>IF(AND($B148&lt;&gt;"",$A148=TCL_Client),1,0)</f>
        <v>0</v>
      </c>
      <c r="AZ148" s="71" t="str">
        <f>IF($AY148=1,ROW(),"")</f>
        <v/>
      </c>
      <c r="BA148" s="71">
        <f>IF(AND($B148&lt;&gt;"",$A148=MECCA_Client),1,0)</f>
        <v>0</v>
      </c>
      <c r="BB148" s="71" t="str">
        <f>IF($BA148=1,ROW(),"")</f>
        <v/>
      </c>
    </row>
    <row r="149">
      <c r="A149" s="64" t="n"/>
      <c r="B149" s="65" t="n"/>
      <c r="C149" s="64" t="n"/>
      <c r="D149" s="64" t="n"/>
      <c r="E149" s="64" t="n"/>
      <c r="F149" s="65" t="n"/>
      <c r="G149" s="65" t="n"/>
      <c r="H149" s="64" t="n"/>
      <c r="I149" s="64" t="n"/>
      <c r="J149" s="65" t="n"/>
      <c r="K149" s="63" t="n"/>
      <c r="L149" s="63" t="n"/>
      <c r="M149" s="63" t="n"/>
      <c r="N149" s="64" t="n"/>
      <c r="O149" s="67" t="n"/>
      <c r="P149" s="72" t="str">
        <f>IF($B149="","",SUMIFS('PAID MEDIA ADS'!$G$5:$G$804,'PAID MEDIA ADS'!$C$5:$C$804,$B149))</f>
        <v/>
      </c>
      <c r="Q149" s="67" t="n"/>
      <c r="R149" s="72" t="str">
        <f>IF($B149="","",COUNTIFS('LEAD MQL TRACKER'!$C$5:$C$1004,$B149,'LEAD MQL TRACKER'!$AB$5:$AB$1004,1)+SUMIFS('EMAIL MARKETING'!$Q$5:$Q$804,'EMAIL MARKETING'!$C$5:$C$804,$B149)+SUMIFS('PAID MEDIA ADS'!$M$5:$M$804,'PAID MEDIA ADS'!$C$5:$C$804,$B149)+SUMIFS('LINKEDIN OUTREACH'!$N$5:$N$704,'LINKEDIN OUTREACH'!$C$5:$C$704,$B149))</f>
        <v/>
      </c>
      <c r="S149" s="67" t="n"/>
      <c r="T149" s="72" t="str">
        <f>IF($B149="","",COUNTIFS('LEAD MQL TRACKER'!$C$5:$C$1004,$B149,'LEAD MQL TRACKER'!$AD$5:$AD$1004,1)+SUMIFS('EMAIL MARKETING'!$R$5:$R$804,'EMAIL MARKETING'!$C$5:$C$804,$B149)+SUMIFS('PAID MEDIA ADS'!$N$5:$N$804,'PAID MEDIA ADS'!$C$5:$C$804,$B149)+SUMIFS('LINKEDIN OUTREACH'!$O$5:$O$704,'LINKEDIN OUTREACH'!$C$5:$C$704,$B149))</f>
        <v/>
      </c>
      <c r="U149" s="67" t="n"/>
      <c r="V149" s="72" t="str">
        <f>IF($B149="","",COUNTIFS('LEAD MQL TRACKER'!$C$5:$C$1004,$B149,'LEAD MQL TRACKER'!$AE$5:$AE$1004,1))</f>
        <v/>
      </c>
      <c r="W149" s="72" t="str">
        <f>IF($B149="","",COUNTIFS('LEAD MQL TRACKER'!$C$5:$C$1004,$B149,'LEAD MQL TRACKER'!$AC$5:$AC$1004,1)+SUMIFS('LINKEDIN OUTREACH'!$M$5:$M$704,'LINKEDIN OUTREACH'!$C$5:$C$704,$B149))</f>
        <v/>
      </c>
      <c r="X149" s="72" t="str">
        <f>IF($B149="","",SUMIFS('EMAIL MARKETING'!$O$5:$O$804,'EMAIL MARKETING'!$C$5:$C$804,$B149)+SUMIFS('LINKEDIN OUTREACH'!$K$5:$K$704,'LINKEDIN OUTREACH'!$C$5:$C$704,$B149))</f>
        <v/>
      </c>
      <c r="Y149" s="73" t="str">
        <f>IF(ISNUMBER($R149),IF($R149&gt;0,$T149/$R149,""),"")</f>
        <v/>
      </c>
      <c r="Z149" s="72" t="str">
        <f>IF(AND(ISNUMBER($P149),ISNUMBER($R149)),IF(AND($P149&gt;0,$R149&gt;0),$P149/$R149,""),"")</f>
        <v/>
      </c>
      <c r="AA149" s="71" t="str">
        <f>IF($B149="","",IF(OR($N149="Live",$N149="Optimizing",$N149="Paused",$N149="Completed"),IF(ISNUMBER($AI149),IF($AI149&gt;=1,"Ahead",IF($AI149&gt;=OnTrackPct,"On Track",IF($AI149&gt;=WatchPct,"Behind","At Risk"))),"No Target Set"),"Not Live"))</f>
        <v/>
      </c>
      <c r="AB149" s="65" t="n"/>
      <c r="AC149" s="65" t="n"/>
      <c r="AD149" s="65" t="n"/>
      <c r="AE149" s="67" t="n"/>
      <c r="AF149" s="67" t="n"/>
      <c r="AG149" s="63" t="n"/>
      <c r="AH149" s="74">
        <f>IF($N149="Completed",1,IF(AND(ISNUMBER($K149),ISNUMBER($L149)),IF($L149&gt;$K149,MIN(1,MAX(0.05,(ReportDate-$K149)/($L149-$K149))),1),1))</f>
        <v>1</v>
      </c>
      <c r="AI149" s="70" t="str">
        <f>IF($B149="","",IF(AND(ISNUMBER($Q149),$Q149&gt;0),$R149/($Q149*$AH149),""))</f>
        <v/>
      </c>
      <c r="AJ149" s="71" t="str">
        <f>IF(ISNUMBER($K149),YEAR($K149)&amp;"-"&amp;TEXT(MONTH($K149),"00"),"")</f>
        <v/>
      </c>
      <c r="AK149" s="71">
        <f>IF($B149="",0,IF(AND(OR(fClient="All",$A149=fClient),OR(fCampaign="All",$B149=fCampaign),OR(fTeam="All",$I149=fTeam),OR(fChannel="All",$H149=fChannel),OR(fCStatus="All",$N149=fCStatus)),1,0))</f>
        <v>0</v>
      </c>
      <c r="AL149" s="71">
        <f>IF($B149="",0,IF(AND(OR(fClient="All",$A149=fClient),OR(fCampaign="All",$B149=fCampaign),OR(fTeam="All",$I149=fTeam),OR(fChannel="All",$H149=fChannel)),1,0))</f>
        <v>0</v>
      </c>
      <c r="AM149" s="71">
        <f>IF(OR($N149="Live",$N149="Optimizing"),1,0)</f>
        <v>0</v>
      </c>
      <c r="AN149" s="71">
        <f>IF(OR($N149="Live",$N149="Optimizing",$N149="Paused",$N149="Completed"),1,0)</f>
        <v>0</v>
      </c>
      <c r="AO149" s="71">
        <f>IF(AND($AM149=1,ISNUMBER($L149),NOT(ISNUMBER($M149))),IF($L149&lt;ReportDate,1,0),0)</f>
        <v>0</v>
      </c>
      <c r="AP149" s="71">
        <f>IF($AM149=1,IF(ISNUMBER($AG149),IF(ReportDate-$AG149&gt;CampStaleDays,1,0),1),0)</f>
        <v>0</v>
      </c>
      <c r="AQ149" s="71">
        <f>IF(AND($AM149=1,OR($AA149="Behind",$AA149="At Risk")),1,0)</f>
        <v>0</v>
      </c>
      <c r="AR149" s="71">
        <f>IF(AND($AM149=1,OR($AA149="Ahead",$AA149="On Track")),1,0)</f>
        <v>0</v>
      </c>
      <c r="AS149" s="71">
        <f>IF(OR($AQ149=1,$AP149=1,$AO149=1),1,0)</f>
        <v>0</v>
      </c>
      <c r="AT149" s="71" t="str">
        <f>IF($AS149=1,TRIM(IF($AQ149=1,"Low performance. ","")&amp;IF($AP149=1,"No recent update. ","")&amp;IF($AO149=1,"Past planned end. ","")),"")</f>
        <v/>
      </c>
      <c r="AU149" s="71" t="str">
        <f>IF(AND($AS149=1,$AL149=1),ROW(),"")</f>
        <v/>
      </c>
      <c r="AV149" s="71" t="str">
        <f>IF(AND($AQ149=1,$AL149=1),ROW(),"")</f>
        <v/>
      </c>
      <c r="AW149" s="71" t="str">
        <f>IF(AND($AP149=1,$AL149=1),ROW(),"")</f>
        <v/>
      </c>
      <c r="AX149" s="71" t="str">
        <f>IF(AND($AR149=1,$AL149=1),ROW(),"")</f>
        <v/>
      </c>
      <c r="AY149" s="71">
        <f>IF(AND($B149&lt;&gt;"",$A149=TCL_Client),1,0)</f>
        <v>0</v>
      </c>
      <c r="AZ149" s="71" t="str">
        <f>IF($AY149=1,ROW(),"")</f>
        <v/>
      </c>
      <c r="BA149" s="71">
        <f>IF(AND($B149&lt;&gt;"",$A149=MECCA_Client),1,0)</f>
        <v>0</v>
      </c>
      <c r="BB149" s="71" t="str">
        <f>IF($BA149=1,ROW(),"")</f>
        <v/>
      </c>
    </row>
    <row r="150">
      <c r="A150" s="64" t="n"/>
      <c r="B150" s="65" t="n"/>
      <c r="C150" s="64" t="n"/>
      <c r="D150" s="64" t="n"/>
      <c r="E150" s="64" t="n"/>
      <c r="F150" s="65" t="n"/>
      <c r="G150" s="65" t="n"/>
      <c r="H150" s="64" t="n"/>
      <c r="I150" s="64" t="n"/>
      <c r="J150" s="65" t="n"/>
      <c r="K150" s="63" t="n"/>
      <c r="L150" s="63" t="n"/>
      <c r="M150" s="63" t="n"/>
      <c r="N150" s="64" t="n"/>
      <c r="O150" s="67" t="n"/>
      <c r="P150" s="72" t="str">
        <f>IF($B150="","",SUMIFS('PAID MEDIA ADS'!$G$5:$G$804,'PAID MEDIA ADS'!$C$5:$C$804,$B150))</f>
        <v/>
      </c>
      <c r="Q150" s="67" t="n"/>
      <c r="R150" s="72" t="str">
        <f>IF($B150="","",COUNTIFS('LEAD MQL TRACKER'!$C$5:$C$1004,$B150,'LEAD MQL TRACKER'!$AB$5:$AB$1004,1)+SUMIFS('EMAIL MARKETING'!$Q$5:$Q$804,'EMAIL MARKETING'!$C$5:$C$804,$B150)+SUMIFS('PAID MEDIA ADS'!$M$5:$M$804,'PAID MEDIA ADS'!$C$5:$C$804,$B150)+SUMIFS('LINKEDIN OUTREACH'!$N$5:$N$704,'LINKEDIN OUTREACH'!$C$5:$C$704,$B150))</f>
        <v/>
      </c>
      <c r="S150" s="67" t="n"/>
      <c r="T150" s="72" t="str">
        <f>IF($B150="","",COUNTIFS('LEAD MQL TRACKER'!$C$5:$C$1004,$B150,'LEAD MQL TRACKER'!$AD$5:$AD$1004,1)+SUMIFS('EMAIL MARKETING'!$R$5:$R$804,'EMAIL MARKETING'!$C$5:$C$804,$B150)+SUMIFS('PAID MEDIA ADS'!$N$5:$N$804,'PAID MEDIA ADS'!$C$5:$C$804,$B150)+SUMIFS('LINKEDIN OUTREACH'!$O$5:$O$704,'LINKEDIN OUTREACH'!$C$5:$C$704,$B150))</f>
        <v/>
      </c>
      <c r="U150" s="67" t="n"/>
      <c r="V150" s="72" t="str">
        <f>IF($B150="","",COUNTIFS('LEAD MQL TRACKER'!$C$5:$C$1004,$B150,'LEAD MQL TRACKER'!$AE$5:$AE$1004,1))</f>
        <v/>
      </c>
      <c r="W150" s="72" t="str">
        <f>IF($B150="","",COUNTIFS('LEAD MQL TRACKER'!$C$5:$C$1004,$B150,'LEAD MQL TRACKER'!$AC$5:$AC$1004,1)+SUMIFS('LINKEDIN OUTREACH'!$M$5:$M$704,'LINKEDIN OUTREACH'!$C$5:$C$704,$B150))</f>
        <v/>
      </c>
      <c r="X150" s="72" t="str">
        <f>IF($B150="","",SUMIFS('EMAIL MARKETING'!$O$5:$O$804,'EMAIL MARKETING'!$C$5:$C$804,$B150)+SUMIFS('LINKEDIN OUTREACH'!$K$5:$K$704,'LINKEDIN OUTREACH'!$C$5:$C$704,$B150))</f>
        <v/>
      </c>
      <c r="Y150" s="73" t="str">
        <f>IF(ISNUMBER($R150),IF($R150&gt;0,$T150/$R150,""),"")</f>
        <v/>
      </c>
      <c r="Z150" s="72" t="str">
        <f>IF(AND(ISNUMBER($P150),ISNUMBER($R150)),IF(AND($P150&gt;0,$R150&gt;0),$P150/$R150,""),"")</f>
        <v/>
      </c>
      <c r="AA150" s="71" t="str">
        <f>IF($B150="","",IF(OR($N150="Live",$N150="Optimizing",$N150="Paused",$N150="Completed"),IF(ISNUMBER($AI150),IF($AI150&gt;=1,"Ahead",IF($AI150&gt;=OnTrackPct,"On Track",IF($AI150&gt;=WatchPct,"Behind","At Risk"))),"No Target Set"),"Not Live"))</f>
        <v/>
      </c>
      <c r="AB150" s="65" t="n"/>
      <c r="AC150" s="65" t="n"/>
      <c r="AD150" s="65" t="n"/>
      <c r="AE150" s="67" t="n"/>
      <c r="AF150" s="67" t="n"/>
      <c r="AG150" s="63" t="n"/>
      <c r="AH150" s="74">
        <f>IF($N150="Completed",1,IF(AND(ISNUMBER($K150),ISNUMBER($L150)),IF($L150&gt;$K150,MIN(1,MAX(0.05,(ReportDate-$K150)/($L150-$K150))),1),1))</f>
        <v>1</v>
      </c>
      <c r="AI150" s="70" t="str">
        <f>IF($B150="","",IF(AND(ISNUMBER($Q150),$Q150&gt;0),$R150/($Q150*$AH150),""))</f>
        <v/>
      </c>
      <c r="AJ150" s="71" t="str">
        <f>IF(ISNUMBER($K150),YEAR($K150)&amp;"-"&amp;TEXT(MONTH($K150),"00"),"")</f>
        <v/>
      </c>
      <c r="AK150" s="71">
        <f>IF($B150="",0,IF(AND(OR(fClient="All",$A150=fClient),OR(fCampaign="All",$B150=fCampaign),OR(fTeam="All",$I150=fTeam),OR(fChannel="All",$H150=fChannel),OR(fCStatus="All",$N150=fCStatus)),1,0))</f>
        <v>0</v>
      </c>
      <c r="AL150" s="71">
        <f>IF($B150="",0,IF(AND(OR(fClient="All",$A150=fClient),OR(fCampaign="All",$B150=fCampaign),OR(fTeam="All",$I150=fTeam),OR(fChannel="All",$H150=fChannel)),1,0))</f>
        <v>0</v>
      </c>
      <c r="AM150" s="71">
        <f>IF(OR($N150="Live",$N150="Optimizing"),1,0)</f>
        <v>0</v>
      </c>
      <c r="AN150" s="71">
        <f>IF(OR($N150="Live",$N150="Optimizing",$N150="Paused",$N150="Completed"),1,0)</f>
        <v>0</v>
      </c>
      <c r="AO150" s="71">
        <f>IF(AND($AM150=1,ISNUMBER($L150),NOT(ISNUMBER($M150))),IF($L150&lt;ReportDate,1,0),0)</f>
        <v>0</v>
      </c>
      <c r="AP150" s="71">
        <f>IF($AM150=1,IF(ISNUMBER($AG150),IF(ReportDate-$AG150&gt;CampStaleDays,1,0),1),0)</f>
        <v>0</v>
      </c>
      <c r="AQ150" s="71">
        <f>IF(AND($AM150=1,OR($AA150="Behind",$AA150="At Risk")),1,0)</f>
        <v>0</v>
      </c>
      <c r="AR150" s="71">
        <f>IF(AND($AM150=1,OR($AA150="Ahead",$AA150="On Track")),1,0)</f>
        <v>0</v>
      </c>
      <c r="AS150" s="71">
        <f>IF(OR($AQ150=1,$AP150=1,$AO150=1),1,0)</f>
        <v>0</v>
      </c>
      <c r="AT150" s="71" t="str">
        <f>IF($AS150=1,TRIM(IF($AQ150=1,"Low performance. ","")&amp;IF($AP150=1,"No recent update. ","")&amp;IF($AO150=1,"Past planned end. ","")),"")</f>
        <v/>
      </c>
      <c r="AU150" s="71" t="str">
        <f>IF(AND($AS150=1,$AL150=1),ROW(),"")</f>
        <v/>
      </c>
      <c r="AV150" s="71" t="str">
        <f>IF(AND($AQ150=1,$AL150=1),ROW(),"")</f>
        <v/>
      </c>
      <c r="AW150" s="71" t="str">
        <f>IF(AND($AP150=1,$AL150=1),ROW(),"")</f>
        <v/>
      </c>
      <c r="AX150" s="71" t="str">
        <f>IF(AND($AR150=1,$AL150=1),ROW(),"")</f>
        <v/>
      </c>
      <c r="AY150" s="71">
        <f>IF(AND($B150&lt;&gt;"",$A150=TCL_Client),1,0)</f>
        <v>0</v>
      </c>
      <c r="AZ150" s="71" t="str">
        <f>IF($AY150=1,ROW(),"")</f>
        <v/>
      </c>
      <c r="BA150" s="71">
        <f>IF(AND($B150&lt;&gt;"",$A150=MECCA_Client),1,0)</f>
        <v>0</v>
      </c>
      <c r="BB150" s="71" t="str">
        <f>IF($BA150=1,ROW(),"")</f>
        <v/>
      </c>
    </row>
    <row r="151">
      <c r="A151" s="64" t="n"/>
      <c r="B151" s="65" t="n"/>
      <c r="C151" s="64" t="n"/>
      <c r="D151" s="64" t="n"/>
      <c r="E151" s="64" t="n"/>
      <c r="F151" s="65" t="n"/>
      <c r="G151" s="65" t="n"/>
      <c r="H151" s="64" t="n"/>
      <c r="I151" s="64" t="n"/>
      <c r="J151" s="65" t="n"/>
      <c r="K151" s="63" t="n"/>
      <c r="L151" s="63" t="n"/>
      <c r="M151" s="63" t="n"/>
      <c r="N151" s="64" t="n"/>
      <c r="O151" s="67" t="n"/>
      <c r="P151" s="72" t="str">
        <f>IF($B151="","",SUMIFS('PAID MEDIA ADS'!$G$5:$G$804,'PAID MEDIA ADS'!$C$5:$C$804,$B151))</f>
        <v/>
      </c>
      <c r="Q151" s="67" t="n"/>
      <c r="R151" s="72" t="str">
        <f>IF($B151="","",COUNTIFS('LEAD MQL TRACKER'!$C$5:$C$1004,$B151,'LEAD MQL TRACKER'!$AB$5:$AB$1004,1)+SUMIFS('EMAIL MARKETING'!$Q$5:$Q$804,'EMAIL MARKETING'!$C$5:$C$804,$B151)+SUMIFS('PAID MEDIA ADS'!$M$5:$M$804,'PAID MEDIA ADS'!$C$5:$C$804,$B151)+SUMIFS('LINKEDIN OUTREACH'!$N$5:$N$704,'LINKEDIN OUTREACH'!$C$5:$C$704,$B151))</f>
        <v/>
      </c>
      <c r="S151" s="67" t="n"/>
      <c r="T151" s="72" t="str">
        <f>IF($B151="","",COUNTIFS('LEAD MQL TRACKER'!$C$5:$C$1004,$B151,'LEAD MQL TRACKER'!$AD$5:$AD$1004,1)+SUMIFS('EMAIL MARKETING'!$R$5:$R$804,'EMAIL MARKETING'!$C$5:$C$804,$B151)+SUMIFS('PAID MEDIA ADS'!$N$5:$N$804,'PAID MEDIA ADS'!$C$5:$C$804,$B151)+SUMIFS('LINKEDIN OUTREACH'!$O$5:$O$704,'LINKEDIN OUTREACH'!$C$5:$C$704,$B151))</f>
        <v/>
      </c>
      <c r="U151" s="67" t="n"/>
      <c r="V151" s="72" t="str">
        <f>IF($B151="","",COUNTIFS('LEAD MQL TRACKER'!$C$5:$C$1004,$B151,'LEAD MQL TRACKER'!$AE$5:$AE$1004,1))</f>
        <v/>
      </c>
      <c r="W151" s="72" t="str">
        <f>IF($B151="","",COUNTIFS('LEAD MQL TRACKER'!$C$5:$C$1004,$B151,'LEAD MQL TRACKER'!$AC$5:$AC$1004,1)+SUMIFS('LINKEDIN OUTREACH'!$M$5:$M$704,'LINKEDIN OUTREACH'!$C$5:$C$704,$B151))</f>
        <v/>
      </c>
      <c r="X151" s="72" t="str">
        <f>IF($B151="","",SUMIFS('EMAIL MARKETING'!$O$5:$O$804,'EMAIL MARKETING'!$C$5:$C$804,$B151)+SUMIFS('LINKEDIN OUTREACH'!$K$5:$K$704,'LINKEDIN OUTREACH'!$C$5:$C$704,$B151))</f>
        <v/>
      </c>
      <c r="Y151" s="73" t="str">
        <f>IF(ISNUMBER($R151),IF($R151&gt;0,$T151/$R151,""),"")</f>
        <v/>
      </c>
      <c r="Z151" s="72" t="str">
        <f>IF(AND(ISNUMBER($P151),ISNUMBER($R151)),IF(AND($P151&gt;0,$R151&gt;0),$P151/$R151,""),"")</f>
        <v/>
      </c>
      <c r="AA151" s="71" t="str">
        <f>IF($B151="","",IF(OR($N151="Live",$N151="Optimizing",$N151="Paused",$N151="Completed"),IF(ISNUMBER($AI151),IF($AI151&gt;=1,"Ahead",IF($AI151&gt;=OnTrackPct,"On Track",IF($AI151&gt;=WatchPct,"Behind","At Risk"))),"No Target Set"),"Not Live"))</f>
        <v/>
      </c>
      <c r="AB151" s="65" t="n"/>
      <c r="AC151" s="65" t="n"/>
      <c r="AD151" s="65" t="n"/>
      <c r="AE151" s="67" t="n"/>
      <c r="AF151" s="67" t="n"/>
      <c r="AG151" s="63" t="n"/>
      <c r="AH151" s="74">
        <f>IF($N151="Completed",1,IF(AND(ISNUMBER($K151),ISNUMBER($L151)),IF($L151&gt;$K151,MIN(1,MAX(0.05,(ReportDate-$K151)/($L151-$K151))),1),1))</f>
        <v>1</v>
      </c>
      <c r="AI151" s="70" t="str">
        <f>IF($B151="","",IF(AND(ISNUMBER($Q151),$Q151&gt;0),$R151/($Q151*$AH151),""))</f>
        <v/>
      </c>
      <c r="AJ151" s="71" t="str">
        <f>IF(ISNUMBER($K151),YEAR($K151)&amp;"-"&amp;TEXT(MONTH($K151),"00"),"")</f>
        <v/>
      </c>
      <c r="AK151" s="71">
        <f>IF($B151="",0,IF(AND(OR(fClient="All",$A151=fClient),OR(fCampaign="All",$B151=fCampaign),OR(fTeam="All",$I151=fTeam),OR(fChannel="All",$H151=fChannel),OR(fCStatus="All",$N151=fCStatus)),1,0))</f>
        <v>0</v>
      </c>
      <c r="AL151" s="71">
        <f>IF($B151="",0,IF(AND(OR(fClient="All",$A151=fClient),OR(fCampaign="All",$B151=fCampaign),OR(fTeam="All",$I151=fTeam),OR(fChannel="All",$H151=fChannel)),1,0))</f>
        <v>0</v>
      </c>
      <c r="AM151" s="71">
        <f>IF(OR($N151="Live",$N151="Optimizing"),1,0)</f>
        <v>0</v>
      </c>
      <c r="AN151" s="71">
        <f>IF(OR($N151="Live",$N151="Optimizing",$N151="Paused",$N151="Completed"),1,0)</f>
        <v>0</v>
      </c>
      <c r="AO151" s="71">
        <f>IF(AND($AM151=1,ISNUMBER($L151),NOT(ISNUMBER($M151))),IF($L151&lt;ReportDate,1,0),0)</f>
        <v>0</v>
      </c>
      <c r="AP151" s="71">
        <f>IF($AM151=1,IF(ISNUMBER($AG151),IF(ReportDate-$AG151&gt;CampStaleDays,1,0),1),0)</f>
        <v>0</v>
      </c>
      <c r="AQ151" s="71">
        <f>IF(AND($AM151=1,OR($AA151="Behind",$AA151="At Risk")),1,0)</f>
        <v>0</v>
      </c>
      <c r="AR151" s="71">
        <f>IF(AND($AM151=1,OR($AA151="Ahead",$AA151="On Track")),1,0)</f>
        <v>0</v>
      </c>
      <c r="AS151" s="71">
        <f>IF(OR($AQ151=1,$AP151=1,$AO151=1),1,0)</f>
        <v>0</v>
      </c>
      <c r="AT151" s="71" t="str">
        <f>IF($AS151=1,TRIM(IF($AQ151=1,"Low performance. ","")&amp;IF($AP151=1,"No recent update. ","")&amp;IF($AO151=1,"Past planned end. ","")),"")</f>
        <v/>
      </c>
      <c r="AU151" s="71" t="str">
        <f>IF(AND($AS151=1,$AL151=1),ROW(),"")</f>
        <v/>
      </c>
      <c r="AV151" s="71" t="str">
        <f>IF(AND($AQ151=1,$AL151=1),ROW(),"")</f>
        <v/>
      </c>
      <c r="AW151" s="71" t="str">
        <f>IF(AND($AP151=1,$AL151=1),ROW(),"")</f>
        <v/>
      </c>
      <c r="AX151" s="71" t="str">
        <f>IF(AND($AR151=1,$AL151=1),ROW(),"")</f>
        <v/>
      </c>
      <c r="AY151" s="71">
        <f>IF(AND($B151&lt;&gt;"",$A151=TCL_Client),1,0)</f>
        <v>0</v>
      </c>
      <c r="AZ151" s="71" t="str">
        <f>IF($AY151=1,ROW(),"")</f>
        <v/>
      </c>
      <c r="BA151" s="71">
        <f>IF(AND($B151&lt;&gt;"",$A151=MECCA_Client),1,0)</f>
        <v>0</v>
      </c>
      <c r="BB151" s="71" t="str">
        <f>IF($BA151=1,ROW(),"")</f>
        <v/>
      </c>
    </row>
    <row r="152">
      <c r="A152" s="64" t="n"/>
      <c r="B152" s="65" t="n"/>
      <c r="C152" s="64" t="n"/>
      <c r="D152" s="64" t="n"/>
      <c r="E152" s="64" t="n"/>
      <c r="F152" s="65" t="n"/>
      <c r="G152" s="65" t="n"/>
      <c r="H152" s="64" t="n"/>
      <c r="I152" s="64" t="n"/>
      <c r="J152" s="65" t="n"/>
      <c r="K152" s="63" t="n"/>
      <c r="L152" s="63" t="n"/>
      <c r="M152" s="63" t="n"/>
      <c r="N152" s="64" t="n"/>
      <c r="O152" s="67" t="n"/>
      <c r="P152" s="72" t="str">
        <f>IF($B152="","",SUMIFS('PAID MEDIA ADS'!$G$5:$G$804,'PAID MEDIA ADS'!$C$5:$C$804,$B152))</f>
        <v/>
      </c>
      <c r="Q152" s="67" t="n"/>
      <c r="R152" s="72" t="str">
        <f>IF($B152="","",COUNTIFS('LEAD MQL TRACKER'!$C$5:$C$1004,$B152,'LEAD MQL TRACKER'!$AB$5:$AB$1004,1)+SUMIFS('EMAIL MARKETING'!$Q$5:$Q$804,'EMAIL MARKETING'!$C$5:$C$804,$B152)+SUMIFS('PAID MEDIA ADS'!$M$5:$M$804,'PAID MEDIA ADS'!$C$5:$C$804,$B152)+SUMIFS('LINKEDIN OUTREACH'!$N$5:$N$704,'LINKEDIN OUTREACH'!$C$5:$C$704,$B152))</f>
        <v/>
      </c>
      <c r="S152" s="67" t="n"/>
      <c r="T152" s="72" t="str">
        <f>IF($B152="","",COUNTIFS('LEAD MQL TRACKER'!$C$5:$C$1004,$B152,'LEAD MQL TRACKER'!$AD$5:$AD$1004,1)+SUMIFS('EMAIL MARKETING'!$R$5:$R$804,'EMAIL MARKETING'!$C$5:$C$804,$B152)+SUMIFS('PAID MEDIA ADS'!$N$5:$N$804,'PAID MEDIA ADS'!$C$5:$C$804,$B152)+SUMIFS('LINKEDIN OUTREACH'!$O$5:$O$704,'LINKEDIN OUTREACH'!$C$5:$C$704,$B152))</f>
        <v/>
      </c>
      <c r="U152" s="67" t="n"/>
      <c r="V152" s="72" t="str">
        <f>IF($B152="","",COUNTIFS('LEAD MQL TRACKER'!$C$5:$C$1004,$B152,'LEAD MQL TRACKER'!$AE$5:$AE$1004,1))</f>
        <v/>
      </c>
      <c r="W152" s="72" t="str">
        <f>IF($B152="","",COUNTIFS('LEAD MQL TRACKER'!$C$5:$C$1004,$B152,'LEAD MQL TRACKER'!$AC$5:$AC$1004,1)+SUMIFS('LINKEDIN OUTREACH'!$M$5:$M$704,'LINKEDIN OUTREACH'!$C$5:$C$704,$B152))</f>
        <v/>
      </c>
      <c r="X152" s="72" t="str">
        <f>IF($B152="","",SUMIFS('EMAIL MARKETING'!$O$5:$O$804,'EMAIL MARKETING'!$C$5:$C$804,$B152)+SUMIFS('LINKEDIN OUTREACH'!$K$5:$K$704,'LINKEDIN OUTREACH'!$C$5:$C$704,$B152))</f>
        <v/>
      </c>
      <c r="Y152" s="73" t="str">
        <f>IF(ISNUMBER($R152),IF($R152&gt;0,$T152/$R152,""),"")</f>
        <v/>
      </c>
      <c r="Z152" s="72" t="str">
        <f>IF(AND(ISNUMBER($P152),ISNUMBER($R152)),IF(AND($P152&gt;0,$R152&gt;0),$P152/$R152,""),"")</f>
        <v/>
      </c>
      <c r="AA152" s="71" t="str">
        <f>IF($B152="","",IF(OR($N152="Live",$N152="Optimizing",$N152="Paused",$N152="Completed"),IF(ISNUMBER($AI152),IF($AI152&gt;=1,"Ahead",IF($AI152&gt;=OnTrackPct,"On Track",IF($AI152&gt;=WatchPct,"Behind","At Risk"))),"No Target Set"),"Not Live"))</f>
        <v/>
      </c>
      <c r="AB152" s="65" t="n"/>
      <c r="AC152" s="65" t="n"/>
      <c r="AD152" s="65" t="n"/>
      <c r="AE152" s="67" t="n"/>
      <c r="AF152" s="67" t="n"/>
      <c r="AG152" s="63" t="n"/>
      <c r="AH152" s="74">
        <f>IF($N152="Completed",1,IF(AND(ISNUMBER($K152),ISNUMBER($L152)),IF($L152&gt;$K152,MIN(1,MAX(0.05,(ReportDate-$K152)/($L152-$K152))),1),1))</f>
        <v>1</v>
      </c>
      <c r="AI152" s="70" t="str">
        <f>IF($B152="","",IF(AND(ISNUMBER($Q152),$Q152&gt;0),$R152/($Q152*$AH152),""))</f>
        <v/>
      </c>
      <c r="AJ152" s="71" t="str">
        <f>IF(ISNUMBER($K152),YEAR($K152)&amp;"-"&amp;TEXT(MONTH($K152),"00"),"")</f>
        <v/>
      </c>
      <c r="AK152" s="71">
        <f>IF($B152="",0,IF(AND(OR(fClient="All",$A152=fClient),OR(fCampaign="All",$B152=fCampaign),OR(fTeam="All",$I152=fTeam),OR(fChannel="All",$H152=fChannel),OR(fCStatus="All",$N152=fCStatus)),1,0))</f>
        <v>0</v>
      </c>
      <c r="AL152" s="71">
        <f>IF($B152="",0,IF(AND(OR(fClient="All",$A152=fClient),OR(fCampaign="All",$B152=fCampaign),OR(fTeam="All",$I152=fTeam),OR(fChannel="All",$H152=fChannel)),1,0))</f>
        <v>0</v>
      </c>
      <c r="AM152" s="71">
        <f>IF(OR($N152="Live",$N152="Optimizing"),1,0)</f>
        <v>0</v>
      </c>
      <c r="AN152" s="71">
        <f>IF(OR($N152="Live",$N152="Optimizing",$N152="Paused",$N152="Completed"),1,0)</f>
        <v>0</v>
      </c>
      <c r="AO152" s="71">
        <f>IF(AND($AM152=1,ISNUMBER($L152),NOT(ISNUMBER($M152))),IF($L152&lt;ReportDate,1,0),0)</f>
        <v>0</v>
      </c>
      <c r="AP152" s="71">
        <f>IF($AM152=1,IF(ISNUMBER($AG152),IF(ReportDate-$AG152&gt;CampStaleDays,1,0),1),0)</f>
        <v>0</v>
      </c>
      <c r="AQ152" s="71">
        <f>IF(AND($AM152=1,OR($AA152="Behind",$AA152="At Risk")),1,0)</f>
        <v>0</v>
      </c>
      <c r="AR152" s="71">
        <f>IF(AND($AM152=1,OR($AA152="Ahead",$AA152="On Track")),1,0)</f>
        <v>0</v>
      </c>
      <c r="AS152" s="71">
        <f>IF(OR($AQ152=1,$AP152=1,$AO152=1),1,0)</f>
        <v>0</v>
      </c>
      <c r="AT152" s="71" t="str">
        <f>IF($AS152=1,TRIM(IF($AQ152=1,"Low performance. ","")&amp;IF($AP152=1,"No recent update. ","")&amp;IF($AO152=1,"Past planned end. ","")),"")</f>
        <v/>
      </c>
      <c r="AU152" s="71" t="str">
        <f>IF(AND($AS152=1,$AL152=1),ROW(),"")</f>
        <v/>
      </c>
      <c r="AV152" s="71" t="str">
        <f>IF(AND($AQ152=1,$AL152=1),ROW(),"")</f>
        <v/>
      </c>
      <c r="AW152" s="71" t="str">
        <f>IF(AND($AP152=1,$AL152=1),ROW(),"")</f>
        <v/>
      </c>
      <c r="AX152" s="71" t="str">
        <f>IF(AND($AR152=1,$AL152=1),ROW(),"")</f>
        <v/>
      </c>
      <c r="AY152" s="71">
        <f>IF(AND($B152&lt;&gt;"",$A152=TCL_Client),1,0)</f>
        <v>0</v>
      </c>
      <c r="AZ152" s="71" t="str">
        <f>IF($AY152=1,ROW(),"")</f>
        <v/>
      </c>
      <c r="BA152" s="71">
        <f>IF(AND($B152&lt;&gt;"",$A152=MECCA_Client),1,0)</f>
        <v>0</v>
      </c>
      <c r="BB152" s="71" t="str">
        <f>IF($BA152=1,ROW(),"")</f>
        <v/>
      </c>
    </row>
    <row r="153">
      <c r="A153" s="64" t="n"/>
      <c r="B153" s="65" t="n"/>
      <c r="C153" s="64" t="n"/>
      <c r="D153" s="64" t="n"/>
      <c r="E153" s="64" t="n"/>
      <c r="F153" s="65" t="n"/>
      <c r="G153" s="65" t="n"/>
      <c r="H153" s="64" t="n"/>
      <c r="I153" s="64" t="n"/>
      <c r="J153" s="65" t="n"/>
      <c r="K153" s="63" t="n"/>
      <c r="L153" s="63" t="n"/>
      <c r="M153" s="63" t="n"/>
      <c r="N153" s="64" t="n"/>
      <c r="O153" s="67" t="n"/>
      <c r="P153" s="72" t="str">
        <f>IF($B153="","",SUMIFS('PAID MEDIA ADS'!$G$5:$G$804,'PAID MEDIA ADS'!$C$5:$C$804,$B153))</f>
        <v/>
      </c>
      <c r="Q153" s="67" t="n"/>
      <c r="R153" s="72" t="str">
        <f>IF($B153="","",COUNTIFS('LEAD MQL TRACKER'!$C$5:$C$1004,$B153,'LEAD MQL TRACKER'!$AB$5:$AB$1004,1)+SUMIFS('EMAIL MARKETING'!$Q$5:$Q$804,'EMAIL MARKETING'!$C$5:$C$804,$B153)+SUMIFS('PAID MEDIA ADS'!$M$5:$M$804,'PAID MEDIA ADS'!$C$5:$C$804,$B153)+SUMIFS('LINKEDIN OUTREACH'!$N$5:$N$704,'LINKEDIN OUTREACH'!$C$5:$C$704,$B153))</f>
        <v/>
      </c>
      <c r="S153" s="67" t="n"/>
      <c r="T153" s="72" t="str">
        <f>IF($B153="","",COUNTIFS('LEAD MQL TRACKER'!$C$5:$C$1004,$B153,'LEAD MQL TRACKER'!$AD$5:$AD$1004,1)+SUMIFS('EMAIL MARKETING'!$R$5:$R$804,'EMAIL MARKETING'!$C$5:$C$804,$B153)+SUMIFS('PAID MEDIA ADS'!$N$5:$N$804,'PAID MEDIA ADS'!$C$5:$C$804,$B153)+SUMIFS('LINKEDIN OUTREACH'!$O$5:$O$704,'LINKEDIN OUTREACH'!$C$5:$C$704,$B153))</f>
        <v/>
      </c>
      <c r="U153" s="67" t="n"/>
      <c r="V153" s="72" t="str">
        <f>IF($B153="","",COUNTIFS('LEAD MQL TRACKER'!$C$5:$C$1004,$B153,'LEAD MQL TRACKER'!$AE$5:$AE$1004,1))</f>
        <v/>
      </c>
      <c r="W153" s="72" t="str">
        <f>IF($B153="","",COUNTIFS('LEAD MQL TRACKER'!$C$5:$C$1004,$B153,'LEAD MQL TRACKER'!$AC$5:$AC$1004,1)+SUMIFS('LINKEDIN OUTREACH'!$M$5:$M$704,'LINKEDIN OUTREACH'!$C$5:$C$704,$B153))</f>
        <v/>
      </c>
      <c r="X153" s="72" t="str">
        <f>IF($B153="","",SUMIFS('EMAIL MARKETING'!$O$5:$O$804,'EMAIL MARKETING'!$C$5:$C$804,$B153)+SUMIFS('LINKEDIN OUTREACH'!$K$5:$K$704,'LINKEDIN OUTREACH'!$C$5:$C$704,$B153))</f>
        <v/>
      </c>
      <c r="Y153" s="73" t="str">
        <f>IF(ISNUMBER($R153),IF($R153&gt;0,$T153/$R153,""),"")</f>
        <v/>
      </c>
      <c r="Z153" s="72" t="str">
        <f>IF(AND(ISNUMBER($P153),ISNUMBER($R153)),IF(AND($P153&gt;0,$R153&gt;0),$P153/$R153,""),"")</f>
        <v/>
      </c>
      <c r="AA153" s="71" t="str">
        <f>IF($B153="","",IF(OR($N153="Live",$N153="Optimizing",$N153="Paused",$N153="Completed"),IF(ISNUMBER($AI153),IF($AI153&gt;=1,"Ahead",IF($AI153&gt;=OnTrackPct,"On Track",IF($AI153&gt;=WatchPct,"Behind","At Risk"))),"No Target Set"),"Not Live"))</f>
        <v/>
      </c>
      <c r="AB153" s="65" t="n"/>
      <c r="AC153" s="65" t="n"/>
      <c r="AD153" s="65" t="n"/>
      <c r="AE153" s="67" t="n"/>
      <c r="AF153" s="67" t="n"/>
      <c r="AG153" s="63" t="n"/>
      <c r="AH153" s="74">
        <f>IF($N153="Completed",1,IF(AND(ISNUMBER($K153),ISNUMBER($L153)),IF($L153&gt;$K153,MIN(1,MAX(0.05,(ReportDate-$K153)/($L153-$K153))),1),1))</f>
        <v>1</v>
      </c>
      <c r="AI153" s="70" t="str">
        <f>IF($B153="","",IF(AND(ISNUMBER($Q153),$Q153&gt;0),$R153/($Q153*$AH153),""))</f>
        <v/>
      </c>
      <c r="AJ153" s="71" t="str">
        <f>IF(ISNUMBER($K153),YEAR($K153)&amp;"-"&amp;TEXT(MONTH($K153),"00"),"")</f>
        <v/>
      </c>
      <c r="AK153" s="71">
        <f>IF($B153="",0,IF(AND(OR(fClient="All",$A153=fClient),OR(fCampaign="All",$B153=fCampaign),OR(fTeam="All",$I153=fTeam),OR(fChannel="All",$H153=fChannel),OR(fCStatus="All",$N153=fCStatus)),1,0))</f>
        <v>0</v>
      </c>
      <c r="AL153" s="71">
        <f>IF($B153="",0,IF(AND(OR(fClient="All",$A153=fClient),OR(fCampaign="All",$B153=fCampaign),OR(fTeam="All",$I153=fTeam),OR(fChannel="All",$H153=fChannel)),1,0))</f>
        <v>0</v>
      </c>
      <c r="AM153" s="71">
        <f>IF(OR($N153="Live",$N153="Optimizing"),1,0)</f>
        <v>0</v>
      </c>
      <c r="AN153" s="71">
        <f>IF(OR($N153="Live",$N153="Optimizing",$N153="Paused",$N153="Completed"),1,0)</f>
        <v>0</v>
      </c>
      <c r="AO153" s="71">
        <f>IF(AND($AM153=1,ISNUMBER($L153),NOT(ISNUMBER($M153))),IF($L153&lt;ReportDate,1,0),0)</f>
        <v>0</v>
      </c>
      <c r="AP153" s="71">
        <f>IF($AM153=1,IF(ISNUMBER($AG153),IF(ReportDate-$AG153&gt;CampStaleDays,1,0),1),0)</f>
        <v>0</v>
      </c>
      <c r="AQ153" s="71">
        <f>IF(AND($AM153=1,OR($AA153="Behind",$AA153="At Risk")),1,0)</f>
        <v>0</v>
      </c>
      <c r="AR153" s="71">
        <f>IF(AND($AM153=1,OR($AA153="Ahead",$AA153="On Track")),1,0)</f>
        <v>0</v>
      </c>
      <c r="AS153" s="71">
        <f>IF(OR($AQ153=1,$AP153=1,$AO153=1),1,0)</f>
        <v>0</v>
      </c>
      <c r="AT153" s="71" t="str">
        <f>IF($AS153=1,TRIM(IF($AQ153=1,"Low performance. ","")&amp;IF($AP153=1,"No recent update. ","")&amp;IF($AO153=1,"Past planned end. ","")),"")</f>
        <v/>
      </c>
      <c r="AU153" s="71" t="str">
        <f>IF(AND($AS153=1,$AL153=1),ROW(),"")</f>
        <v/>
      </c>
      <c r="AV153" s="71" t="str">
        <f>IF(AND($AQ153=1,$AL153=1),ROW(),"")</f>
        <v/>
      </c>
      <c r="AW153" s="71" t="str">
        <f>IF(AND($AP153=1,$AL153=1),ROW(),"")</f>
        <v/>
      </c>
      <c r="AX153" s="71" t="str">
        <f>IF(AND($AR153=1,$AL153=1),ROW(),"")</f>
        <v/>
      </c>
      <c r="AY153" s="71">
        <f>IF(AND($B153&lt;&gt;"",$A153=TCL_Client),1,0)</f>
        <v>0</v>
      </c>
      <c r="AZ153" s="71" t="str">
        <f>IF($AY153=1,ROW(),"")</f>
        <v/>
      </c>
      <c r="BA153" s="71">
        <f>IF(AND($B153&lt;&gt;"",$A153=MECCA_Client),1,0)</f>
        <v>0</v>
      </c>
      <c r="BB153" s="71" t="str">
        <f>IF($BA153=1,ROW(),"")</f>
        <v/>
      </c>
    </row>
    <row r="154">
      <c r="A154" s="64" t="n"/>
      <c r="B154" s="65" t="n"/>
      <c r="C154" s="64" t="n"/>
      <c r="D154" s="64" t="n"/>
      <c r="E154" s="64" t="n"/>
      <c r="F154" s="65" t="n"/>
      <c r="G154" s="65" t="n"/>
      <c r="H154" s="64" t="n"/>
      <c r="I154" s="64" t="n"/>
      <c r="J154" s="65" t="n"/>
      <c r="K154" s="63" t="n"/>
      <c r="L154" s="63" t="n"/>
      <c r="M154" s="63" t="n"/>
      <c r="N154" s="64" t="n"/>
      <c r="O154" s="67" t="n"/>
      <c r="P154" s="72" t="str">
        <f>IF($B154="","",SUMIFS('PAID MEDIA ADS'!$G$5:$G$804,'PAID MEDIA ADS'!$C$5:$C$804,$B154))</f>
        <v/>
      </c>
      <c r="Q154" s="67" t="n"/>
      <c r="R154" s="72" t="str">
        <f>IF($B154="","",COUNTIFS('LEAD MQL TRACKER'!$C$5:$C$1004,$B154,'LEAD MQL TRACKER'!$AB$5:$AB$1004,1)+SUMIFS('EMAIL MARKETING'!$Q$5:$Q$804,'EMAIL MARKETING'!$C$5:$C$804,$B154)+SUMIFS('PAID MEDIA ADS'!$M$5:$M$804,'PAID MEDIA ADS'!$C$5:$C$804,$B154)+SUMIFS('LINKEDIN OUTREACH'!$N$5:$N$704,'LINKEDIN OUTREACH'!$C$5:$C$704,$B154))</f>
        <v/>
      </c>
      <c r="S154" s="67" t="n"/>
      <c r="T154" s="72" t="str">
        <f>IF($B154="","",COUNTIFS('LEAD MQL TRACKER'!$C$5:$C$1004,$B154,'LEAD MQL TRACKER'!$AD$5:$AD$1004,1)+SUMIFS('EMAIL MARKETING'!$R$5:$R$804,'EMAIL MARKETING'!$C$5:$C$804,$B154)+SUMIFS('PAID MEDIA ADS'!$N$5:$N$804,'PAID MEDIA ADS'!$C$5:$C$804,$B154)+SUMIFS('LINKEDIN OUTREACH'!$O$5:$O$704,'LINKEDIN OUTREACH'!$C$5:$C$704,$B154))</f>
        <v/>
      </c>
      <c r="U154" s="67" t="n"/>
      <c r="V154" s="72" t="str">
        <f>IF($B154="","",COUNTIFS('LEAD MQL TRACKER'!$C$5:$C$1004,$B154,'LEAD MQL TRACKER'!$AE$5:$AE$1004,1))</f>
        <v/>
      </c>
      <c r="W154" s="72" t="str">
        <f>IF($B154="","",COUNTIFS('LEAD MQL TRACKER'!$C$5:$C$1004,$B154,'LEAD MQL TRACKER'!$AC$5:$AC$1004,1)+SUMIFS('LINKEDIN OUTREACH'!$M$5:$M$704,'LINKEDIN OUTREACH'!$C$5:$C$704,$B154))</f>
        <v/>
      </c>
      <c r="X154" s="72" t="str">
        <f>IF($B154="","",SUMIFS('EMAIL MARKETING'!$O$5:$O$804,'EMAIL MARKETING'!$C$5:$C$804,$B154)+SUMIFS('LINKEDIN OUTREACH'!$K$5:$K$704,'LINKEDIN OUTREACH'!$C$5:$C$704,$B154))</f>
        <v/>
      </c>
      <c r="Y154" s="73" t="str">
        <f>IF(ISNUMBER($R154),IF($R154&gt;0,$T154/$R154,""),"")</f>
        <v/>
      </c>
      <c r="Z154" s="72" t="str">
        <f>IF(AND(ISNUMBER($P154),ISNUMBER($R154)),IF(AND($P154&gt;0,$R154&gt;0),$P154/$R154,""),"")</f>
        <v/>
      </c>
      <c r="AA154" s="71" t="str">
        <f>IF($B154="","",IF(OR($N154="Live",$N154="Optimizing",$N154="Paused",$N154="Completed"),IF(ISNUMBER($AI154),IF($AI154&gt;=1,"Ahead",IF($AI154&gt;=OnTrackPct,"On Track",IF($AI154&gt;=WatchPct,"Behind","At Risk"))),"No Target Set"),"Not Live"))</f>
        <v/>
      </c>
      <c r="AB154" s="65" t="n"/>
      <c r="AC154" s="65" t="n"/>
      <c r="AD154" s="65" t="n"/>
      <c r="AE154" s="67" t="n"/>
      <c r="AF154" s="67" t="n"/>
      <c r="AG154" s="63" t="n"/>
      <c r="AH154" s="74">
        <f>IF($N154="Completed",1,IF(AND(ISNUMBER($K154),ISNUMBER($L154)),IF($L154&gt;$K154,MIN(1,MAX(0.05,(ReportDate-$K154)/($L154-$K154))),1),1))</f>
        <v>1</v>
      </c>
      <c r="AI154" s="70" t="str">
        <f>IF($B154="","",IF(AND(ISNUMBER($Q154),$Q154&gt;0),$R154/($Q154*$AH154),""))</f>
        <v/>
      </c>
      <c r="AJ154" s="71" t="str">
        <f>IF(ISNUMBER($K154),YEAR($K154)&amp;"-"&amp;TEXT(MONTH($K154),"00"),"")</f>
        <v/>
      </c>
      <c r="AK154" s="71">
        <f>IF($B154="",0,IF(AND(OR(fClient="All",$A154=fClient),OR(fCampaign="All",$B154=fCampaign),OR(fTeam="All",$I154=fTeam),OR(fChannel="All",$H154=fChannel),OR(fCStatus="All",$N154=fCStatus)),1,0))</f>
        <v>0</v>
      </c>
      <c r="AL154" s="71">
        <f>IF($B154="",0,IF(AND(OR(fClient="All",$A154=fClient),OR(fCampaign="All",$B154=fCampaign),OR(fTeam="All",$I154=fTeam),OR(fChannel="All",$H154=fChannel)),1,0))</f>
        <v>0</v>
      </c>
      <c r="AM154" s="71">
        <f>IF(OR($N154="Live",$N154="Optimizing"),1,0)</f>
        <v>0</v>
      </c>
      <c r="AN154" s="71">
        <f>IF(OR($N154="Live",$N154="Optimizing",$N154="Paused",$N154="Completed"),1,0)</f>
        <v>0</v>
      </c>
      <c r="AO154" s="71">
        <f>IF(AND($AM154=1,ISNUMBER($L154),NOT(ISNUMBER($M154))),IF($L154&lt;ReportDate,1,0),0)</f>
        <v>0</v>
      </c>
      <c r="AP154" s="71">
        <f>IF($AM154=1,IF(ISNUMBER($AG154),IF(ReportDate-$AG154&gt;CampStaleDays,1,0),1),0)</f>
        <v>0</v>
      </c>
      <c r="AQ154" s="71">
        <f>IF(AND($AM154=1,OR($AA154="Behind",$AA154="At Risk")),1,0)</f>
        <v>0</v>
      </c>
      <c r="AR154" s="71">
        <f>IF(AND($AM154=1,OR($AA154="Ahead",$AA154="On Track")),1,0)</f>
        <v>0</v>
      </c>
      <c r="AS154" s="71">
        <f>IF(OR($AQ154=1,$AP154=1,$AO154=1),1,0)</f>
        <v>0</v>
      </c>
      <c r="AT154" s="71" t="str">
        <f>IF($AS154=1,TRIM(IF($AQ154=1,"Low performance. ","")&amp;IF($AP154=1,"No recent update. ","")&amp;IF($AO154=1,"Past planned end. ","")),"")</f>
        <v/>
      </c>
      <c r="AU154" s="71" t="str">
        <f>IF(AND($AS154=1,$AL154=1),ROW(),"")</f>
        <v/>
      </c>
      <c r="AV154" s="71" t="str">
        <f>IF(AND($AQ154=1,$AL154=1),ROW(),"")</f>
        <v/>
      </c>
      <c r="AW154" s="71" t="str">
        <f>IF(AND($AP154=1,$AL154=1),ROW(),"")</f>
        <v/>
      </c>
      <c r="AX154" s="71" t="str">
        <f>IF(AND($AR154=1,$AL154=1),ROW(),"")</f>
        <v/>
      </c>
      <c r="AY154" s="71">
        <f>IF(AND($B154&lt;&gt;"",$A154=TCL_Client),1,0)</f>
        <v>0</v>
      </c>
      <c r="AZ154" s="71" t="str">
        <f>IF($AY154=1,ROW(),"")</f>
        <v/>
      </c>
      <c r="BA154" s="71">
        <f>IF(AND($B154&lt;&gt;"",$A154=MECCA_Client),1,0)</f>
        <v>0</v>
      </c>
      <c r="BB154" s="71" t="str">
        <f>IF($BA154=1,ROW(),"")</f>
        <v/>
      </c>
    </row>
    <row r="155">
      <c r="A155" s="64" t="n"/>
      <c r="B155" s="65" t="n"/>
      <c r="C155" s="64" t="n"/>
      <c r="D155" s="64" t="n"/>
      <c r="E155" s="64" t="n"/>
      <c r="F155" s="65" t="n"/>
      <c r="G155" s="65" t="n"/>
      <c r="H155" s="64" t="n"/>
      <c r="I155" s="64" t="n"/>
      <c r="J155" s="65" t="n"/>
      <c r="K155" s="63" t="n"/>
      <c r="L155" s="63" t="n"/>
      <c r="M155" s="63" t="n"/>
      <c r="N155" s="64" t="n"/>
      <c r="O155" s="67" t="n"/>
      <c r="P155" s="72" t="str">
        <f>IF($B155="","",SUMIFS('PAID MEDIA ADS'!$G$5:$G$804,'PAID MEDIA ADS'!$C$5:$C$804,$B155))</f>
        <v/>
      </c>
      <c r="Q155" s="67" t="n"/>
      <c r="R155" s="72" t="str">
        <f>IF($B155="","",COUNTIFS('LEAD MQL TRACKER'!$C$5:$C$1004,$B155,'LEAD MQL TRACKER'!$AB$5:$AB$1004,1)+SUMIFS('EMAIL MARKETING'!$Q$5:$Q$804,'EMAIL MARKETING'!$C$5:$C$804,$B155)+SUMIFS('PAID MEDIA ADS'!$M$5:$M$804,'PAID MEDIA ADS'!$C$5:$C$804,$B155)+SUMIFS('LINKEDIN OUTREACH'!$N$5:$N$704,'LINKEDIN OUTREACH'!$C$5:$C$704,$B155))</f>
        <v/>
      </c>
      <c r="S155" s="67" t="n"/>
      <c r="T155" s="72" t="str">
        <f>IF($B155="","",COUNTIFS('LEAD MQL TRACKER'!$C$5:$C$1004,$B155,'LEAD MQL TRACKER'!$AD$5:$AD$1004,1)+SUMIFS('EMAIL MARKETING'!$R$5:$R$804,'EMAIL MARKETING'!$C$5:$C$804,$B155)+SUMIFS('PAID MEDIA ADS'!$N$5:$N$804,'PAID MEDIA ADS'!$C$5:$C$804,$B155)+SUMIFS('LINKEDIN OUTREACH'!$O$5:$O$704,'LINKEDIN OUTREACH'!$C$5:$C$704,$B155))</f>
        <v/>
      </c>
      <c r="U155" s="67" t="n"/>
      <c r="V155" s="72" t="str">
        <f>IF($B155="","",COUNTIFS('LEAD MQL TRACKER'!$C$5:$C$1004,$B155,'LEAD MQL TRACKER'!$AE$5:$AE$1004,1))</f>
        <v/>
      </c>
      <c r="W155" s="72" t="str">
        <f>IF($B155="","",COUNTIFS('LEAD MQL TRACKER'!$C$5:$C$1004,$B155,'LEAD MQL TRACKER'!$AC$5:$AC$1004,1)+SUMIFS('LINKEDIN OUTREACH'!$M$5:$M$704,'LINKEDIN OUTREACH'!$C$5:$C$704,$B155))</f>
        <v/>
      </c>
      <c r="X155" s="72" t="str">
        <f>IF($B155="","",SUMIFS('EMAIL MARKETING'!$O$5:$O$804,'EMAIL MARKETING'!$C$5:$C$804,$B155)+SUMIFS('LINKEDIN OUTREACH'!$K$5:$K$704,'LINKEDIN OUTREACH'!$C$5:$C$704,$B155))</f>
        <v/>
      </c>
      <c r="Y155" s="73" t="str">
        <f>IF(ISNUMBER($R155),IF($R155&gt;0,$T155/$R155,""),"")</f>
        <v/>
      </c>
      <c r="Z155" s="72" t="str">
        <f>IF(AND(ISNUMBER($P155),ISNUMBER($R155)),IF(AND($P155&gt;0,$R155&gt;0),$P155/$R155,""),"")</f>
        <v/>
      </c>
      <c r="AA155" s="71" t="str">
        <f>IF($B155="","",IF(OR($N155="Live",$N155="Optimizing",$N155="Paused",$N155="Completed"),IF(ISNUMBER($AI155),IF($AI155&gt;=1,"Ahead",IF($AI155&gt;=OnTrackPct,"On Track",IF($AI155&gt;=WatchPct,"Behind","At Risk"))),"No Target Set"),"Not Live"))</f>
        <v/>
      </c>
      <c r="AB155" s="65" t="n"/>
      <c r="AC155" s="65" t="n"/>
      <c r="AD155" s="65" t="n"/>
      <c r="AE155" s="67" t="n"/>
      <c r="AF155" s="67" t="n"/>
      <c r="AG155" s="63" t="n"/>
      <c r="AH155" s="74">
        <f>IF($N155="Completed",1,IF(AND(ISNUMBER($K155),ISNUMBER($L155)),IF($L155&gt;$K155,MIN(1,MAX(0.05,(ReportDate-$K155)/($L155-$K155))),1),1))</f>
        <v>1</v>
      </c>
      <c r="AI155" s="70" t="str">
        <f>IF($B155="","",IF(AND(ISNUMBER($Q155),$Q155&gt;0),$R155/($Q155*$AH155),""))</f>
        <v/>
      </c>
      <c r="AJ155" s="71" t="str">
        <f>IF(ISNUMBER($K155),YEAR($K155)&amp;"-"&amp;TEXT(MONTH($K155),"00"),"")</f>
        <v/>
      </c>
      <c r="AK155" s="71">
        <f>IF($B155="",0,IF(AND(OR(fClient="All",$A155=fClient),OR(fCampaign="All",$B155=fCampaign),OR(fTeam="All",$I155=fTeam),OR(fChannel="All",$H155=fChannel),OR(fCStatus="All",$N155=fCStatus)),1,0))</f>
        <v>0</v>
      </c>
      <c r="AL155" s="71">
        <f>IF($B155="",0,IF(AND(OR(fClient="All",$A155=fClient),OR(fCampaign="All",$B155=fCampaign),OR(fTeam="All",$I155=fTeam),OR(fChannel="All",$H155=fChannel)),1,0))</f>
        <v>0</v>
      </c>
      <c r="AM155" s="71">
        <f>IF(OR($N155="Live",$N155="Optimizing"),1,0)</f>
        <v>0</v>
      </c>
      <c r="AN155" s="71">
        <f>IF(OR($N155="Live",$N155="Optimizing",$N155="Paused",$N155="Completed"),1,0)</f>
        <v>0</v>
      </c>
      <c r="AO155" s="71">
        <f>IF(AND($AM155=1,ISNUMBER($L155),NOT(ISNUMBER($M155))),IF($L155&lt;ReportDate,1,0),0)</f>
        <v>0</v>
      </c>
      <c r="AP155" s="71">
        <f>IF($AM155=1,IF(ISNUMBER($AG155),IF(ReportDate-$AG155&gt;CampStaleDays,1,0),1),0)</f>
        <v>0</v>
      </c>
      <c r="AQ155" s="71">
        <f>IF(AND($AM155=1,OR($AA155="Behind",$AA155="At Risk")),1,0)</f>
        <v>0</v>
      </c>
      <c r="AR155" s="71">
        <f>IF(AND($AM155=1,OR($AA155="Ahead",$AA155="On Track")),1,0)</f>
        <v>0</v>
      </c>
      <c r="AS155" s="71">
        <f>IF(OR($AQ155=1,$AP155=1,$AO155=1),1,0)</f>
        <v>0</v>
      </c>
      <c r="AT155" s="71" t="str">
        <f>IF($AS155=1,TRIM(IF($AQ155=1,"Low performance. ","")&amp;IF($AP155=1,"No recent update. ","")&amp;IF($AO155=1,"Past planned end. ","")),"")</f>
        <v/>
      </c>
      <c r="AU155" s="71" t="str">
        <f>IF(AND($AS155=1,$AL155=1),ROW(),"")</f>
        <v/>
      </c>
      <c r="AV155" s="71" t="str">
        <f>IF(AND($AQ155=1,$AL155=1),ROW(),"")</f>
        <v/>
      </c>
      <c r="AW155" s="71" t="str">
        <f>IF(AND($AP155=1,$AL155=1),ROW(),"")</f>
        <v/>
      </c>
      <c r="AX155" s="71" t="str">
        <f>IF(AND($AR155=1,$AL155=1),ROW(),"")</f>
        <v/>
      </c>
      <c r="AY155" s="71">
        <f>IF(AND($B155&lt;&gt;"",$A155=TCL_Client),1,0)</f>
        <v>0</v>
      </c>
      <c r="AZ155" s="71" t="str">
        <f>IF($AY155=1,ROW(),"")</f>
        <v/>
      </c>
      <c r="BA155" s="71">
        <f>IF(AND($B155&lt;&gt;"",$A155=MECCA_Client),1,0)</f>
        <v>0</v>
      </c>
      <c r="BB155" s="71" t="str">
        <f>IF($BA155=1,ROW(),"")</f>
        <v/>
      </c>
    </row>
    <row r="156">
      <c r="A156" s="64" t="n"/>
      <c r="B156" s="65" t="n"/>
      <c r="C156" s="64" t="n"/>
      <c r="D156" s="64" t="n"/>
      <c r="E156" s="64" t="n"/>
      <c r="F156" s="65" t="n"/>
      <c r="G156" s="65" t="n"/>
      <c r="H156" s="64" t="n"/>
      <c r="I156" s="64" t="n"/>
      <c r="J156" s="65" t="n"/>
      <c r="K156" s="63" t="n"/>
      <c r="L156" s="63" t="n"/>
      <c r="M156" s="63" t="n"/>
      <c r="N156" s="64" t="n"/>
      <c r="O156" s="67" t="n"/>
      <c r="P156" s="72" t="str">
        <f>IF($B156="","",SUMIFS('PAID MEDIA ADS'!$G$5:$G$804,'PAID MEDIA ADS'!$C$5:$C$804,$B156))</f>
        <v/>
      </c>
      <c r="Q156" s="67" t="n"/>
      <c r="R156" s="72" t="str">
        <f>IF($B156="","",COUNTIFS('LEAD MQL TRACKER'!$C$5:$C$1004,$B156,'LEAD MQL TRACKER'!$AB$5:$AB$1004,1)+SUMIFS('EMAIL MARKETING'!$Q$5:$Q$804,'EMAIL MARKETING'!$C$5:$C$804,$B156)+SUMIFS('PAID MEDIA ADS'!$M$5:$M$804,'PAID MEDIA ADS'!$C$5:$C$804,$B156)+SUMIFS('LINKEDIN OUTREACH'!$N$5:$N$704,'LINKEDIN OUTREACH'!$C$5:$C$704,$B156))</f>
        <v/>
      </c>
      <c r="S156" s="67" t="n"/>
      <c r="T156" s="72" t="str">
        <f>IF($B156="","",COUNTIFS('LEAD MQL TRACKER'!$C$5:$C$1004,$B156,'LEAD MQL TRACKER'!$AD$5:$AD$1004,1)+SUMIFS('EMAIL MARKETING'!$R$5:$R$804,'EMAIL MARKETING'!$C$5:$C$804,$B156)+SUMIFS('PAID MEDIA ADS'!$N$5:$N$804,'PAID MEDIA ADS'!$C$5:$C$804,$B156)+SUMIFS('LINKEDIN OUTREACH'!$O$5:$O$704,'LINKEDIN OUTREACH'!$C$5:$C$704,$B156))</f>
        <v/>
      </c>
      <c r="U156" s="67" t="n"/>
      <c r="V156" s="72" t="str">
        <f>IF($B156="","",COUNTIFS('LEAD MQL TRACKER'!$C$5:$C$1004,$B156,'LEAD MQL TRACKER'!$AE$5:$AE$1004,1))</f>
        <v/>
      </c>
      <c r="W156" s="72" t="str">
        <f>IF($B156="","",COUNTIFS('LEAD MQL TRACKER'!$C$5:$C$1004,$B156,'LEAD MQL TRACKER'!$AC$5:$AC$1004,1)+SUMIFS('LINKEDIN OUTREACH'!$M$5:$M$704,'LINKEDIN OUTREACH'!$C$5:$C$704,$B156))</f>
        <v/>
      </c>
      <c r="X156" s="72" t="str">
        <f>IF($B156="","",SUMIFS('EMAIL MARKETING'!$O$5:$O$804,'EMAIL MARKETING'!$C$5:$C$804,$B156)+SUMIFS('LINKEDIN OUTREACH'!$K$5:$K$704,'LINKEDIN OUTREACH'!$C$5:$C$704,$B156))</f>
        <v/>
      </c>
      <c r="Y156" s="73" t="str">
        <f>IF(ISNUMBER($R156),IF($R156&gt;0,$T156/$R156,""),"")</f>
        <v/>
      </c>
      <c r="Z156" s="72" t="str">
        <f>IF(AND(ISNUMBER($P156),ISNUMBER($R156)),IF(AND($P156&gt;0,$R156&gt;0),$P156/$R156,""),"")</f>
        <v/>
      </c>
      <c r="AA156" s="71" t="str">
        <f>IF($B156="","",IF(OR($N156="Live",$N156="Optimizing",$N156="Paused",$N156="Completed"),IF(ISNUMBER($AI156),IF($AI156&gt;=1,"Ahead",IF($AI156&gt;=OnTrackPct,"On Track",IF($AI156&gt;=WatchPct,"Behind","At Risk"))),"No Target Set"),"Not Live"))</f>
        <v/>
      </c>
      <c r="AB156" s="65" t="n"/>
      <c r="AC156" s="65" t="n"/>
      <c r="AD156" s="65" t="n"/>
      <c r="AE156" s="67" t="n"/>
      <c r="AF156" s="67" t="n"/>
      <c r="AG156" s="63" t="n"/>
      <c r="AH156" s="74">
        <f>IF($N156="Completed",1,IF(AND(ISNUMBER($K156),ISNUMBER($L156)),IF($L156&gt;$K156,MIN(1,MAX(0.05,(ReportDate-$K156)/($L156-$K156))),1),1))</f>
        <v>1</v>
      </c>
      <c r="AI156" s="70" t="str">
        <f>IF($B156="","",IF(AND(ISNUMBER($Q156),$Q156&gt;0),$R156/($Q156*$AH156),""))</f>
        <v/>
      </c>
      <c r="AJ156" s="71" t="str">
        <f>IF(ISNUMBER($K156),YEAR($K156)&amp;"-"&amp;TEXT(MONTH($K156),"00"),"")</f>
        <v/>
      </c>
      <c r="AK156" s="71">
        <f>IF($B156="",0,IF(AND(OR(fClient="All",$A156=fClient),OR(fCampaign="All",$B156=fCampaign),OR(fTeam="All",$I156=fTeam),OR(fChannel="All",$H156=fChannel),OR(fCStatus="All",$N156=fCStatus)),1,0))</f>
        <v>0</v>
      </c>
      <c r="AL156" s="71">
        <f>IF($B156="",0,IF(AND(OR(fClient="All",$A156=fClient),OR(fCampaign="All",$B156=fCampaign),OR(fTeam="All",$I156=fTeam),OR(fChannel="All",$H156=fChannel)),1,0))</f>
        <v>0</v>
      </c>
      <c r="AM156" s="71">
        <f>IF(OR($N156="Live",$N156="Optimizing"),1,0)</f>
        <v>0</v>
      </c>
      <c r="AN156" s="71">
        <f>IF(OR($N156="Live",$N156="Optimizing",$N156="Paused",$N156="Completed"),1,0)</f>
        <v>0</v>
      </c>
      <c r="AO156" s="71">
        <f>IF(AND($AM156=1,ISNUMBER($L156),NOT(ISNUMBER($M156))),IF($L156&lt;ReportDate,1,0),0)</f>
        <v>0</v>
      </c>
      <c r="AP156" s="71">
        <f>IF($AM156=1,IF(ISNUMBER($AG156),IF(ReportDate-$AG156&gt;CampStaleDays,1,0),1),0)</f>
        <v>0</v>
      </c>
      <c r="AQ156" s="71">
        <f>IF(AND($AM156=1,OR($AA156="Behind",$AA156="At Risk")),1,0)</f>
        <v>0</v>
      </c>
      <c r="AR156" s="71">
        <f>IF(AND($AM156=1,OR($AA156="Ahead",$AA156="On Track")),1,0)</f>
        <v>0</v>
      </c>
      <c r="AS156" s="71">
        <f>IF(OR($AQ156=1,$AP156=1,$AO156=1),1,0)</f>
        <v>0</v>
      </c>
      <c r="AT156" s="71" t="str">
        <f>IF($AS156=1,TRIM(IF($AQ156=1,"Low performance. ","")&amp;IF($AP156=1,"No recent update. ","")&amp;IF($AO156=1,"Past planned end. ","")),"")</f>
        <v/>
      </c>
      <c r="AU156" s="71" t="str">
        <f>IF(AND($AS156=1,$AL156=1),ROW(),"")</f>
        <v/>
      </c>
      <c r="AV156" s="71" t="str">
        <f>IF(AND($AQ156=1,$AL156=1),ROW(),"")</f>
        <v/>
      </c>
      <c r="AW156" s="71" t="str">
        <f>IF(AND($AP156=1,$AL156=1),ROW(),"")</f>
        <v/>
      </c>
      <c r="AX156" s="71" t="str">
        <f>IF(AND($AR156=1,$AL156=1),ROW(),"")</f>
        <v/>
      </c>
      <c r="AY156" s="71">
        <f>IF(AND($B156&lt;&gt;"",$A156=TCL_Client),1,0)</f>
        <v>0</v>
      </c>
      <c r="AZ156" s="71" t="str">
        <f>IF($AY156=1,ROW(),"")</f>
        <v/>
      </c>
      <c r="BA156" s="71">
        <f>IF(AND($B156&lt;&gt;"",$A156=MECCA_Client),1,0)</f>
        <v>0</v>
      </c>
      <c r="BB156" s="71" t="str">
        <f>IF($BA156=1,ROW(),"")</f>
        <v/>
      </c>
    </row>
    <row r="157">
      <c r="A157" s="64" t="n"/>
      <c r="B157" s="65" t="n"/>
      <c r="C157" s="64" t="n"/>
      <c r="D157" s="64" t="n"/>
      <c r="E157" s="64" t="n"/>
      <c r="F157" s="65" t="n"/>
      <c r="G157" s="65" t="n"/>
      <c r="H157" s="64" t="n"/>
      <c r="I157" s="64" t="n"/>
      <c r="J157" s="65" t="n"/>
      <c r="K157" s="63" t="n"/>
      <c r="L157" s="63" t="n"/>
      <c r="M157" s="63" t="n"/>
      <c r="N157" s="64" t="n"/>
      <c r="O157" s="67" t="n"/>
      <c r="P157" s="72" t="str">
        <f>IF($B157="","",SUMIFS('PAID MEDIA ADS'!$G$5:$G$804,'PAID MEDIA ADS'!$C$5:$C$804,$B157))</f>
        <v/>
      </c>
      <c r="Q157" s="67" t="n"/>
      <c r="R157" s="72" t="str">
        <f>IF($B157="","",COUNTIFS('LEAD MQL TRACKER'!$C$5:$C$1004,$B157,'LEAD MQL TRACKER'!$AB$5:$AB$1004,1)+SUMIFS('EMAIL MARKETING'!$Q$5:$Q$804,'EMAIL MARKETING'!$C$5:$C$804,$B157)+SUMIFS('PAID MEDIA ADS'!$M$5:$M$804,'PAID MEDIA ADS'!$C$5:$C$804,$B157)+SUMIFS('LINKEDIN OUTREACH'!$N$5:$N$704,'LINKEDIN OUTREACH'!$C$5:$C$704,$B157))</f>
        <v/>
      </c>
      <c r="S157" s="67" t="n"/>
      <c r="T157" s="72" t="str">
        <f>IF($B157="","",COUNTIFS('LEAD MQL TRACKER'!$C$5:$C$1004,$B157,'LEAD MQL TRACKER'!$AD$5:$AD$1004,1)+SUMIFS('EMAIL MARKETING'!$R$5:$R$804,'EMAIL MARKETING'!$C$5:$C$804,$B157)+SUMIFS('PAID MEDIA ADS'!$N$5:$N$804,'PAID MEDIA ADS'!$C$5:$C$804,$B157)+SUMIFS('LINKEDIN OUTREACH'!$O$5:$O$704,'LINKEDIN OUTREACH'!$C$5:$C$704,$B157))</f>
        <v/>
      </c>
      <c r="U157" s="67" t="n"/>
      <c r="V157" s="72" t="str">
        <f>IF($B157="","",COUNTIFS('LEAD MQL TRACKER'!$C$5:$C$1004,$B157,'LEAD MQL TRACKER'!$AE$5:$AE$1004,1))</f>
        <v/>
      </c>
      <c r="W157" s="72" t="str">
        <f>IF($B157="","",COUNTIFS('LEAD MQL TRACKER'!$C$5:$C$1004,$B157,'LEAD MQL TRACKER'!$AC$5:$AC$1004,1)+SUMIFS('LINKEDIN OUTREACH'!$M$5:$M$704,'LINKEDIN OUTREACH'!$C$5:$C$704,$B157))</f>
        <v/>
      </c>
      <c r="X157" s="72" t="str">
        <f>IF($B157="","",SUMIFS('EMAIL MARKETING'!$O$5:$O$804,'EMAIL MARKETING'!$C$5:$C$804,$B157)+SUMIFS('LINKEDIN OUTREACH'!$K$5:$K$704,'LINKEDIN OUTREACH'!$C$5:$C$704,$B157))</f>
        <v/>
      </c>
      <c r="Y157" s="73" t="str">
        <f>IF(ISNUMBER($R157),IF($R157&gt;0,$T157/$R157,""),"")</f>
        <v/>
      </c>
      <c r="Z157" s="72" t="str">
        <f>IF(AND(ISNUMBER($P157),ISNUMBER($R157)),IF(AND($P157&gt;0,$R157&gt;0),$P157/$R157,""),"")</f>
        <v/>
      </c>
      <c r="AA157" s="71" t="str">
        <f>IF($B157="","",IF(OR($N157="Live",$N157="Optimizing",$N157="Paused",$N157="Completed"),IF(ISNUMBER($AI157),IF($AI157&gt;=1,"Ahead",IF($AI157&gt;=OnTrackPct,"On Track",IF($AI157&gt;=WatchPct,"Behind","At Risk"))),"No Target Set"),"Not Live"))</f>
        <v/>
      </c>
      <c r="AB157" s="65" t="n"/>
      <c r="AC157" s="65" t="n"/>
      <c r="AD157" s="65" t="n"/>
      <c r="AE157" s="67" t="n"/>
      <c r="AF157" s="67" t="n"/>
      <c r="AG157" s="63" t="n"/>
      <c r="AH157" s="74">
        <f>IF($N157="Completed",1,IF(AND(ISNUMBER($K157),ISNUMBER($L157)),IF($L157&gt;$K157,MIN(1,MAX(0.05,(ReportDate-$K157)/($L157-$K157))),1),1))</f>
        <v>1</v>
      </c>
      <c r="AI157" s="70" t="str">
        <f>IF($B157="","",IF(AND(ISNUMBER($Q157),$Q157&gt;0),$R157/($Q157*$AH157),""))</f>
        <v/>
      </c>
      <c r="AJ157" s="71" t="str">
        <f>IF(ISNUMBER($K157),YEAR($K157)&amp;"-"&amp;TEXT(MONTH($K157),"00"),"")</f>
        <v/>
      </c>
      <c r="AK157" s="71">
        <f>IF($B157="",0,IF(AND(OR(fClient="All",$A157=fClient),OR(fCampaign="All",$B157=fCampaign),OR(fTeam="All",$I157=fTeam),OR(fChannel="All",$H157=fChannel),OR(fCStatus="All",$N157=fCStatus)),1,0))</f>
        <v>0</v>
      </c>
      <c r="AL157" s="71">
        <f>IF($B157="",0,IF(AND(OR(fClient="All",$A157=fClient),OR(fCampaign="All",$B157=fCampaign),OR(fTeam="All",$I157=fTeam),OR(fChannel="All",$H157=fChannel)),1,0))</f>
        <v>0</v>
      </c>
      <c r="AM157" s="71">
        <f>IF(OR($N157="Live",$N157="Optimizing"),1,0)</f>
        <v>0</v>
      </c>
      <c r="AN157" s="71">
        <f>IF(OR($N157="Live",$N157="Optimizing",$N157="Paused",$N157="Completed"),1,0)</f>
        <v>0</v>
      </c>
      <c r="AO157" s="71">
        <f>IF(AND($AM157=1,ISNUMBER($L157),NOT(ISNUMBER($M157))),IF($L157&lt;ReportDate,1,0),0)</f>
        <v>0</v>
      </c>
      <c r="AP157" s="71">
        <f>IF($AM157=1,IF(ISNUMBER($AG157),IF(ReportDate-$AG157&gt;CampStaleDays,1,0),1),0)</f>
        <v>0</v>
      </c>
      <c r="AQ157" s="71">
        <f>IF(AND($AM157=1,OR($AA157="Behind",$AA157="At Risk")),1,0)</f>
        <v>0</v>
      </c>
      <c r="AR157" s="71">
        <f>IF(AND($AM157=1,OR($AA157="Ahead",$AA157="On Track")),1,0)</f>
        <v>0</v>
      </c>
      <c r="AS157" s="71">
        <f>IF(OR($AQ157=1,$AP157=1,$AO157=1),1,0)</f>
        <v>0</v>
      </c>
      <c r="AT157" s="71" t="str">
        <f>IF($AS157=1,TRIM(IF($AQ157=1,"Low performance. ","")&amp;IF($AP157=1,"No recent update. ","")&amp;IF($AO157=1,"Past planned end. ","")),"")</f>
        <v/>
      </c>
      <c r="AU157" s="71" t="str">
        <f>IF(AND($AS157=1,$AL157=1),ROW(),"")</f>
        <v/>
      </c>
      <c r="AV157" s="71" t="str">
        <f>IF(AND($AQ157=1,$AL157=1),ROW(),"")</f>
        <v/>
      </c>
      <c r="AW157" s="71" t="str">
        <f>IF(AND($AP157=1,$AL157=1),ROW(),"")</f>
        <v/>
      </c>
      <c r="AX157" s="71" t="str">
        <f>IF(AND($AR157=1,$AL157=1),ROW(),"")</f>
        <v/>
      </c>
      <c r="AY157" s="71">
        <f>IF(AND($B157&lt;&gt;"",$A157=TCL_Client),1,0)</f>
        <v>0</v>
      </c>
      <c r="AZ157" s="71" t="str">
        <f>IF($AY157=1,ROW(),"")</f>
        <v/>
      </c>
      <c r="BA157" s="71">
        <f>IF(AND($B157&lt;&gt;"",$A157=MECCA_Client),1,0)</f>
        <v>0</v>
      </c>
      <c r="BB157" s="71" t="str">
        <f>IF($BA157=1,ROW(),"")</f>
        <v/>
      </c>
    </row>
    <row r="158">
      <c r="A158" s="64" t="n"/>
      <c r="B158" s="65" t="n"/>
      <c r="C158" s="64" t="n"/>
      <c r="D158" s="64" t="n"/>
      <c r="E158" s="64" t="n"/>
      <c r="F158" s="65" t="n"/>
      <c r="G158" s="65" t="n"/>
      <c r="H158" s="64" t="n"/>
      <c r="I158" s="64" t="n"/>
      <c r="J158" s="65" t="n"/>
      <c r="K158" s="63" t="n"/>
      <c r="L158" s="63" t="n"/>
      <c r="M158" s="63" t="n"/>
      <c r="N158" s="64" t="n"/>
      <c r="O158" s="67" t="n"/>
      <c r="P158" s="72" t="str">
        <f>IF($B158="","",SUMIFS('PAID MEDIA ADS'!$G$5:$G$804,'PAID MEDIA ADS'!$C$5:$C$804,$B158))</f>
        <v/>
      </c>
      <c r="Q158" s="67" t="n"/>
      <c r="R158" s="72" t="str">
        <f>IF($B158="","",COUNTIFS('LEAD MQL TRACKER'!$C$5:$C$1004,$B158,'LEAD MQL TRACKER'!$AB$5:$AB$1004,1)+SUMIFS('EMAIL MARKETING'!$Q$5:$Q$804,'EMAIL MARKETING'!$C$5:$C$804,$B158)+SUMIFS('PAID MEDIA ADS'!$M$5:$M$804,'PAID MEDIA ADS'!$C$5:$C$804,$B158)+SUMIFS('LINKEDIN OUTREACH'!$N$5:$N$704,'LINKEDIN OUTREACH'!$C$5:$C$704,$B158))</f>
        <v/>
      </c>
      <c r="S158" s="67" t="n"/>
      <c r="T158" s="72" t="str">
        <f>IF($B158="","",COUNTIFS('LEAD MQL TRACKER'!$C$5:$C$1004,$B158,'LEAD MQL TRACKER'!$AD$5:$AD$1004,1)+SUMIFS('EMAIL MARKETING'!$R$5:$R$804,'EMAIL MARKETING'!$C$5:$C$804,$B158)+SUMIFS('PAID MEDIA ADS'!$N$5:$N$804,'PAID MEDIA ADS'!$C$5:$C$804,$B158)+SUMIFS('LINKEDIN OUTREACH'!$O$5:$O$704,'LINKEDIN OUTREACH'!$C$5:$C$704,$B158))</f>
        <v/>
      </c>
      <c r="U158" s="67" t="n"/>
      <c r="V158" s="72" t="str">
        <f>IF($B158="","",COUNTIFS('LEAD MQL TRACKER'!$C$5:$C$1004,$B158,'LEAD MQL TRACKER'!$AE$5:$AE$1004,1))</f>
        <v/>
      </c>
      <c r="W158" s="72" t="str">
        <f>IF($B158="","",COUNTIFS('LEAD MQL TRACKER'!$C$5:$C$1004,$B158,'LEAD MQL TRACKER'!$AC$5:$AC$1004,1)+SUMIFS('LINKEDIN OUTREACH'!$M$5:$M$704,'LINKEDIN OUTREACH'!$C$5:$C$704,$B158))</f>
        <v/>
      </c>
      <c r="X158" s="72" t="str">
        <f>IF($B158="","",SUMIFS('EMAIL MARKETING'!$O$5:$O$804,'EMAIL MARKETING'!$C$5:$C$804,$B158)+SUMIFS('LINKEDIN OUTREACH'!$K$5:$K$704,'LINKEDIN OUTREACH'!$C$5:$C$704,$B158))</f>
        <v/>
      </c>
      <c r="Y158" s="73" t="str">
        <f>IF(ISNUMBER($R158),IF($R158&gt;0,$T158/$R158,""),"")</f>
        <v/>
      </c>
      <c r="Z158" s="72" t="str">
        <f>IF(AND(ISNUMBER($P158),ISNUMBER($R158)),IF(AND($P158&gt;0,$R158&gt;0),$P158/$R158,""),"")</f>
        <v/>
      </c>
      <c r="AA158" s="71" t="str">
        <f>IF($B158="","",IF(OR($N158="Live",$N158="Optimizing",$N158="Paused",$N158="Completed"),IF(ISNUMBER($AI158),IF($AI158&gt;=1,"Ahead",IF($AI158&gt;=OnTrackPct,"On Track",IF($AI158&gt;=WatchPct,"Behind","At Risk"))),"No Target Set"),"Not Live"))</f>
        <v/>
      </c>
      <c r="AB158" s="65" t="n"/>
      <c r="AC158" s="65" t="n"/>
      <c r="AD158" s="65" t="n"/>
      <c r="AE158" s="67" t="n"/>
      <c r="AF158" s="67" t="n"/>
      <c r="AG158" s="63" t="n"/>
      <c r="AH158" s="74">
        <f>IF($N158="Completed",1,IF(AND(ISNUMBER($K158),ISNUMBER($L158)),IF($L158&gt;$K158,MIN(1,MAX(0.05,(ReportDate-$K158)/($L158-$K158))),1),1))</f>
        <v>1</v>
      </c>
      <c r="AI158" s="70" t="str">
        <f>IF($B158="","",IF(AND(ISNUMBER($Q158),$Q158&gt;0),$R158/($Q158*$AH158),""))</f>
        <v/>
      </c>
      <c r="AJ158" s="71" t="str">
        <f>IF(ISNUMBER($K158),YEAR($K158)&amp;"-"&amp;TEXT(MONTH($K158),"00"),"")</f>
        <v/>
      </c>
      <c r="AK158" s="71">
        <f>IF($B158="",0,IF(AND(OR(fClient="All",$A158=fClient),OR(fCampaign="All",$B158=fCampaign),OR(fTeam="All",$I158=fTeam),OR(fChannel="All",$H158=fChannel),OR(fCStatus="All",$N158=fCStatus)),1,0))</f>
        <v>0</v>
      </c>
      <c r="AL158" s="71">
        <f>IF($B158="",0,IF(AND(OR(fClient="All",$A158=fClient),OR(fCampaign="All",$B158=fCampaign),OR(fTeam="All",$I158=fTeam),OR(fChannel="All",$H158=fChannel)),1,0))</f>
        <v>0</v>
      </c>
      <c r="AM158" s="71">
        <f>IF(OR($N158="Live",$N158="Optimizing"),1,0)</f>
        <v>0</v>
      </c>
      <c r="AN158" s="71">
        <f>IF(OR($N158="Live",$N158="Optimizing",$N158="Paused",$N158="Completed"),1,0)</f>
        <v>0</v>
      </c>
      <c r="AO158" s="71">
        <f>IF(AND($AM158=1,ISNUMBER($L158),NOT(ISNUMBER($M158))),IF($L158&lt;ReportDate,1,0),0)</f>
        <v>0</v>
      </c>
      <c r="AP158" s="71">
        <f>IF($AM158=1,IF(ISNUMBER($AG158),IF(ReportDate-$AG158&gt;CampStaleDays,1,0),1),0)</f>
        <v>0</v>
      </c>
      <c r="AQ158" s="71">
        <f>IF(AND($AM158=1,OR($AA158="Behind",$AA158="At Risk")),1,0)</f>
        <v>0</v>
      </c>
      <c r="AR158" s="71">
        <f>IF(AND($AM158=1,OR($AA158="Ahead",$AA158="On Track")),1,0)</f>
        <v>0</v>
      </c>
      <c r="AS158" s="71">
        <f>IF(OR($AQ158=1,$AP158=1,$AO158=1),1,0)</f>
        <v>0</v>
      </c>
      <c r="AT158" s="71" t="str">
        <f>IF($AS158=1,TRIM(IF($AQ158=1,"Low performance. ","")&amp;IF($AP158=1,"No recent update. ","")&amp;IF($AO158=1,"Past planned end. ","")),"")</f>
        <v/>
      </c>
      <c r="AU158" s="71" t="str">
        <f>IF(AND($AS158=1,$AL158=1),ROW(),"")</f>
        <v/>
      </c>
      <c r="AV158" s="71" t="str">
        <f>IF(AND($AQ158=1,$AL158=1),ROW(),"")</f>
        <v/>
      </c>
      <c r="AW158" s="71" t="str">
        <f>IF(AND($AP158=1,$AL158=1),ROW(),"")</f>
        <v/>
      </c>
      <c r="AX158" s="71" t="str">
        <f>IF(AND($AR158=1,$AL158=1),ROW(),"")</f>
        <v/>
      </c>
      <c r="AY158" s="71">
        <f>IF(AND($B158&lt;&gt;"",$A158=TCL_Client),1,0)</f>
        <v>0</v>
      </c>
      <c r="AZ158" s="71" t="str">
        <f>IF($AY158=1,ROW(),"")</f>
        <v/>
      </c>
      <c r="BA158" s="71">
        <f>IF(AND($B158&lt;&gt;"",$A158=MECCA_Client),1,0)</f>
        <v>0</v>
      </c>
      <c r="BB158" s="71" t="str">
        <f>IF($BA158=1,ROW(),"")</f>
        <v/>
      </c>
    </row>
    <row r="159">
      <c r="A159" s="64" t="n"/>
      <c r="B159" s="65" t="n"/>
      <c r="C159" s="64" t="n"/>
      <c r="D159" s="64" t="n"/>
      <c r="E159" s="64" t="n"/>
      <c r="F159" s="65" t="n"/>
      <c r="G159" s="65" t="n"/>
      <c r="H159" s="64" t="n"/>
      <c r="I159" s="64" t="n"/>
      <c r="J159" s="65" t="n"/>
      <c r="K159" s="63" t="n"/>
      <c r="L159" s="63" t="n"/>
      <c r="M159" s="63" t="n"/>
      <c r="N159" s="64" t="n"/>
      <c r="O159" s="67" t="n"/>
      <c r="P159" s="72" t="str">
        <f>IF($B159="","",SUMIFS('PAID MEDIA ADS'!$G$5:$G$804,'PAID MEDIA ADS'!$C$5:$C$804,$B159))</f>
        <v/>
      </c>
      <c r="Q159" s="67" t="n"/>
      <c r="R159" s="72" t="str">
        <f>IF($B159="","",COUNTIFS('LEAD MQL TRACKER'!$C$5:$C$1004,$B159,'LEAD MQL TRACKER'!$AB$5:$AB$1004,1)+SUMIFS('EMAIL MARKETING'!$Q$5:$Q$804,'EMAIL MARKETING'!$C$5:$C$804,$B159)+SUMIFS('PAID MEDIA ADS'!$M$5:$M$804,'PAID MEDIA ADS'!$C$5:$C$804,$B159)+SUMIFS('LINKEDIN OUTREACH'!$N$5:$N$704,'LINKEDIN OUTREACH'!$C$5:$C$704,$B159))</f>
        <v/>
      </c>
      <c r="S159" s="67" t="n"/>
      <c r="T159" s="72" t="str">
        <f>IF($B159="","",COUNTIFS('LEAD MQL TRACKER'!$C$5:$C$1004,$B159,'LEAD MQL TRACKER'!$AD$5:$AD$1004,1)+SUMIFS('EMAIL MARKETING'!$R$5:$R$804,'EMAIL MARKETING'!$C$5:$C$804,$B159)+SUMIFS('PAID MEDIA ADS'!$N$5:$N$804,'PAID MEDIA ADS'!$C$5:$C$804,$B159)+SUMIFS('LINKEDIN OUTREACH'!$O$5:$O$704,'LINKEDIN OUTREACH'!$C$5:$C$704,$B159))</f>
        <v/>
      </c>
      <c r="U159" s="67" t="n"/>
      <c r="V159" s="72" t="str">
        <f>IF($B159="","",COUNTIFS('LEAD MQL TRACKER'!$C$5:$C$1004,$B159,'LEAD MQL TRACKER'!$AE$5:$AE$1004,1))</f>
        <v/>
      </c>
      <c r="W159" s="72" t="str">
        <f>IF($B159="","",COUNTIFS('LEAD MQL TRACKER'!$C$5:$C$1004,$B159,'LEAD MQL TRACKER'!$AC$5:$AC$1004,1)+SUMIFS('LINKEDIN OUTREACH'!$M$5:$M$704,'LINKEDIN OUTREACH'!$C$5:$C$704,$B159))</f>
        <v/>
      </c>
      <c r="X159" s="72" t="str">
        <f>IF($B159="","",SUMIFS('EMAIL MARKETING'!$O$5:$O$804,'EMAIL MARKETING'!$C$5:$C$804,$B159)+SUMIFS('LINKEDIN OUTREACH'!$K$5:$K$704,'LINKEDIN OUTREACH'!$C$5:$C$704,$B159))</f>
        <v/>
      </c>
      <c r="Y159" s="73" t="str">
        <f>IF(ISNUMBER($R159),IF($R159&gt;0,$T159/$R159,""),"")</f>
        <v/>
      </c>
      <c r="Z159" s="72" t="str">
        <f>IF(AND(ISNUMBER($P159),ISNUMBER($R159)),IF(AND($P159&gt;0,$R159&gt;0),$P159/$R159,""),"")</f>
        <v/>
      </c>
      <c r="AA159" s="71" t="str">
        <f>IF($B159="","",IF(OR($N159="Live",$N159="Optimizing",$N159="Paused",$N159="Completed"),IF(ISNUMBER($AI159),IF($AI159&gt;=1,"Ahead",IF($AI159&gt;=OnTrackPct,"On Track",IF($AI159&gt;=WatchPct,"Behind","At Risk"))),"No Target Set"),"Not Live"))</f>
        <v/>
      </c>
      <c r="AB159" s="65" t="n"/>
      <c r="AC159" s="65" t="n"/>
      <c r="AD159" s="65" t="n"/>
      <c r="AE159" s="67" t="n"/>
      <c r="AF159" s="67" t="n"/>
      <c r="AG159" s="63" t="n"/>
      <c r="AH159" s="74">
        <f>IF($N159="Completed",1,IF(AND(ISNUMBER($K159),ISNUMBER($L159)),IF($L159&gt;$K159,MIN(1,MAX(0.05,(ReportDate-$K159)/($L159-$K159))),1),1))</f>
        <v>1</v>
      </c>
      <c r="AI159" s="70" t="str">
        <f>IF($B159="","",IF(AND(ISNUMBER($Q159),$Q159&gt;0),$R159/($Q159*$AH159),""))</f>
        <v/>
      </c>
      <c r="AJ159" s="71" t="str">
        <f>IF(ISNUMBER($K159),YEAR($K159)&amp;"-"&amp;TEXT(MONTH($K159),"00"),"")</f>
        <v/>
      </c>
      <c r="AK159" s="71">
        <f>IF($B159="",0,IF(AND(OR(fClient="All",$A159=fClient),OR(fCampaign="All",$B159=fCampaign),OR(fTeam="All",$I159=fTeam),OR(fChannel="All",$H159=fChannel),OR(fCStatus="All",$N159=fCStatus)),1,0))</f>
        <v>0</v>
      </c>
      <c r="AL159" s="71">
        <f>IF($B159="",0,IF(AND(OR(fClient="All",$A159=fClient),OR(fCampaign="All",$B159=fCampaign),OR(fTeam="All",$I159=fTeam),OR(fChannel="All",$H159=fChannel)),1,0))</f>
        <v>0</v>
      </c>
      <c r="AM159" s="71">
        <f>IF(OR($N159="Live",$N159="Optimizing"),1,0)</f>
        <v>0</v>
      </c>
      <c r="AN159" s="71">
        <f>IF(OR($N159="Live",$N159="Optimizing",$N159="Paused",$N159="Completed"),1,0)</f>
        <v>0</v>
      </c>
      <c r="AO159" s="71">
        <f>IF(AND($AM159=1,ISNUMBER($L159),NOT(ISNUMBER($M159))),IF($L159&lt;ReportDate,1,0),0)</f>
        <v>0</v>
      </c>
      <c r="AP159" s="71">
        <f>IF($AM159=1,IF(ISNUMBER($AG159),IF(ReportDate-$AG159&gt;CampStaleDays,1,0),1),0)</f>
        <v>0</v>
      </c>
      <c r="AQ159" s="71">
        <f>IF(AND($AM159=1,OR($AA159="Behind",$AA159="At Risk")),1,0)</f>
        <v>0</v>
      </c>
      <c r="AR159" s="71">
        <f>IF(AND($AM159=1,OR($AA159="Ahead",$AA159="On Track")),1,0)</f>
        <v>0</v>
      </c>
      <c r="AS159" s="71">
        <f>IF(OR($AQ159=1,$AP159=1,$AO159=1),1,0)</f>
        <v>0</v>
      </c>
      <c r="AT159" s="71" t="str">
        <f>IF($AS159=1,TRIM(IF($AQ159=1,"Low performance. ","")&amp;IF($AP159=1,"No recent update. ","")&amp;IF($AO159=1,"Past planned end. ","")),"")</f>
        <v/>
      </c>
      <c r="AU159" s="71" t="str">
        <f>IF(AND($AS159=1,$AL159=1),ROW(),"")</f>
        <v/>
      </c>
      <c r="AV159" s="71" t="str">
        <f>IF(AND($AQ159=1,$AL159=1),ROW(),"")</f>
        <v/>
      </c>
      <c r="AW159" s="71" t="str">
        <f>IF(AND($AP159=1,$AL159=1),ROW(),"")</f>
        <v/>
      </c>
      <c r="AX159" s="71" t="str">
        <f>IF(AND($AR159=1,$AL159=1),ROW(),"")</f>
        <v/>
      </c>
      <c r="AY159" s="71">
        <f>IF(AND($B159&lt;&gt;"",$A159=TCL_Client),1,0)</f>
        <v>0</v>
      </c>
      <c r="AZ159" s="71" t="str">
        <f>IF($AY159=1,ROW(),"")</f>
        <v/>
      </c>
      <c r="BA159" s="71">
        <f>IF(AND($B159&lt;&gt;"",$A159=MECCA_Client),1,0)</f>
        <v>0</v>
      </c>
      <c r="BB159" s="71" t="str">
        <f>IF($BA159=1,ROW(),"")</f>
        <v/>
      </c>
    </row>
    <row r="160">
      <c r="A160" s="64" t="n"/>
      <c r="B160" s="65" t="n"/>
      <c r="C160" s="64" t="n"/>
      <c r="D160" s="64" t="n"/>
      <c r="E160" s="64" t="n"/>
      <c r="F160" s="65" t="n"/>
      <c r="G160" s="65" t="n"/>
      <c r="H160" s="64" t="n"/>
      <c r="I160" s="64" t="n"/>
      <c r="J160" s="65" t="n"/>
      <c r="K160" s="63" t="n"/>
      <c r="L160" s="63" t="n"/>
      <c r="M160" s="63" t="n"/>
      <c r="N160" s="64" t="n"/>
      <c r="O160" s="67" t="n"/>
      <c r="P160" s="72" t="str">
        <f>IF($B160="","",SUMIFS('PAID MEDIA ADS'!$G$5:$G$804,'PAID MEDIA ADS'!$C$5:$C$804,$B160))</f>
        <v/>
      </c>
      <c r="Q160" s="67" t="n"/>
      <c r="R160" s="72" t="str">
        <f>IF($B160="","",COUNTIFS('LEAD MQL TRACKER'!$C$5:$C$1004,$B160,'LEAD MQL TRACKER'!$AB$5:$AB$1004,1)+SUMIFS('EMAIL MARKETING'!$Q$5:$Q$804,'EMAIL MARKETING'!$C$5:$C$804,$B160)+SUMIFS('PAID MEDIA ADS'!$M$5:$M$804,'PAID MEDIA ADS'!$C$5:$C$804,$B160)+SUMIFS('LINKEDIN OUTREACH'!$N$5:$N$704,'LINKEDIN OUTREACH'!$C$5:$C$704,$B160))</f>
        <v/>
      </c>
      <c r="S160" s="67" t="n"/>
      <c r="T160" s="72" t="str">
        <f>IF($B160="","",COUNTIFS('LEAD MQL TRACKER'!$C$5:$C$1004,$B160,'LEAD MQL TRACKER'!$AD$5:$AD$1004,1)+SUMIFS('EMAIL MARKETING'!$R$5:$R$804,'EMAIL MARKETING'!$C$5:$C$804,$B160)+SUMIFS('PAID MEDIA ADS'!$N$5:$N$804,'PAID MEDIA ADS'!$C$5:$C$804,$B160)+SUMIFS('LINKEDIN OUTREACH'!$O$5:$O$704,'LINKEDIN OUTREACH'!$C$5:$C$704,$B160))</f>
        <v/>
      </c>
      <c r="U160" s="67" t="n"/>
      <c r="V160" s="72" t="str">
        <f>IF($B160="","",COUNTIFS('LEAD MQL TRACKER'!$C$5:$C$1004,$B160,'LEAD MQL TRACKER'!$AE$5:$AE$1004,1))</f>
        <v/>
      </c>
      <c r="W160" s="72" t="str">
        <f>IF($B160="","",COUNTIFS('LEAD MQL TRACKER'!$C$5:$C$1004,$B160,'LEAD MQL TRACKER'!$AC$5:$AC$1004,1)+SUMIFS('LINKEDIN OUTREACH'!$M$5:$M$704,'LINKEDIN OUTREACH'!$C$5:$C$704,$B160))</f>
        <v/>
      </c>
      <c r="X160" s="72" t="str">
        <f>IF($B160="","",SUMIFS('EMAIL MARKETING'!$O$5:$O$804,'EMAIL MARKETING'!$C$5:$C$804,$B160)+SUMIFS('LINKEDIN OUTREACH'!$K$5:$K$704,'LINKEDIN OUTREACH'!$C$5:$C$704,$B160))</f>
        <v/>
      </c>
      <c r="Y160" s="73" t="str">
        <f>IF(ISNUMBER($R160),IF($R160&gt;0,$T160/$R160,""),"")</f>
        <v/>
      </c>
      <c r="Z160" s="72" t="str">
        <f>IF(AND(ISNUMBER($P160),ISNUMBER($R160)),IF(AND($P160&gt;0,$R160&gt;0),$P160/$R160,""),"")</f>
        <v/>
      </c>
      <c r="AA160" s="71" t="str">
        <f>IF($B160="","",IF(OR($N160="Live",$N160="Optimizing",$N160="Paused",$N160="Completed"),IF(ISNUMBER($AI160),IF($AI160&gt;=1,"Ahead",IF($AI160&gt;=OnTrackPct,"On Track",IF($AI160&gt;=WatchPct,"Behind","At Risk"))),"No Target Set"),"Not Live"))</f>
        <v/>
      </c>
      <c r="AB160" s="65" t="n"/>
      <c r="AC160" s="65" t="n"/>
      <c r="AD160" s="65" t="n"/>
      <c r="AE160" s="67" t="n"/>
      <c r="AF160" s="67" t="n"/>
      <c r="AG160" s="63" t="n"/>
      <c r="AH160" s="74">
        <f>IF($N160="Completed",1,IF(AND(ISNUMBER($K160),ISNUMBER($L160)),IF($L160&gt;$K160,MIN(1,MAX(0.05,(ReportDate-$K160)/($L160-$K160))),1),1))</f>
        <v>1</v>
      </c>
      <c r="AI160" s="70" t="str">
        <f>IF($B160="","",IF(AND(ISNUMBER($Q160),$Q160&gt;0),$R160/($Q160*$AH160),""))</f>
        <v/>
      </c>
      <c r="AJ160" s="71" t="str">
        <f>IF(ISNUMBER($K160),YEAR($K160)&amp;"-"&amp;TEXT(MONTH($K160),"00"),"")</f>
        <v/>
      </c>
      <c r="AK160" s="71">
        <f>IF($B160="",0,IF(AND(OR(fClient="All",$A160=fClient),OR(fCampaign="All",$B160=fCampaign),OR(fTeam="All",$I160=fTeam),OR(fChannel="All",$H160=fChannel),OR(fCStatus="All",$N160=fCStatus)),1,0))</f>
        <v>0</v>
      </c>
      <c r="AL160" s="71">
        <f>IF($B160="",0,IF(AND(OR(fClient="All",$A160=fClient),OR(fCampaign="All",$B160=fCampaign),OR(fTeam="All",$I160=fTeam),OR(fChannel="All",$H160=fChannel)),1,0))</f>
        <v>0</v>
      </c>
      <c r="AM160" s="71">
        <f>IF(OR($N160="Live",$N160="Optimizing"),1,0)</f>
        <v>0</v>
      </c>
      <c r="AN160" s="71">
        <f>IF(OR($N160="Live",$N160="Optimizing",$N160="Paused",$N160="Completed"),1,0)</f>
        <v>0</v>
      </c>
      <c r="AO160" s="71">
        <f>IF(AND($AM160=1,ISNUMBER($L160),NOT(ISNUMBER($M160))),IF($L160&lt;ReportDate,1,0),0)</f>
        <v>0</v>
      </c>
      <c r="AP160" s="71">
        <f>IF($AM160=1,IF(ISNUMBER($AG160),IF(ReportDate-$AG160&gt;CampStaleDays,1,0),1),0)</f>
        <v>0</v>
      </c>
      <c r="AQ160" s="71">
        <f>IF(AND($AM160=1,OR($AA160="Behind",$AA160="At Risk")),1,0)</f>
        <v>0</v>
      </c>
      <c r="AR160" s="71">
        <f>IF(AND($AM160=1,OR($AA160="Ahead",$AA160="On Track")),1,0)</f>
        <v>0</v>
      </c>
      <c r="AS160" s="71">
        <f>IF(OR($AQ160=1,$AP160=1,$AO160=1),1,0)</f>
        <v>0</v>
      </c>
      <c r="AT160" s="71" t="str">
        <f>IF($AS160=1,TRIM(IF($AQ160=1,"Low performance. ","")&amp;IF($AP160=1,"No recent update. ","")&amp;IF($AO160=1,"Past planned end. ","")),"")</f>
        <v/>
      </c>
      <c r="AU160" s="71" t="str">
        <f>IF(AND($AS160=1,$AL160=1),ROW(),"")</f>
        <v/>
      </c>
      <c r="AV160" s="71" t="str">
        <f>IF(AND($AQ160=1,$AL160=1),ROW(),"")</f>
        <v/>
      </c>
      <c r="AW160" s="71" t="str">
        <f>IF(AND($AP160=1,$AL160=1),ROW(),"")</f>
        <v/>
      </c>
      <c r="AX160" s="71" t="str">
        <f>IF(AND($AR160=1,$AL160=1),ROW(),"")</f>
        <v/>
      </c>
      <c r="AY160" s="71">
        <f>IF(AND($B160&lt;&gt;"",$A160=TCL_Client),1,0)</f>
        <v>0</v>
      </c>
      <c r="AZ160" s="71" t="str">
        <f>IF($AY160=1,ROW(),"")</f>
        <v/>
      </c>
      <c r="BA160" s="71">
        <f>IF(AND($B160&lt;&gt;"",$A160=MECCA_Client),1,0)</f>
        <v>0</v>
      </c>
      <c r="BB160" s="71" t="str">
        <f>IF($BA160=1,ROW(),"")</f>
        <v/>
      </c>
    </row>
    <row r="161">
      <c r="A161" s="64" t="n"/>
      <c r="B161" s="65" t="n"/>
      <c r="C161" s="64" t="n"/>
      <c r="D161" s="64" t="n"/>
      <c r="E161" s="64" t="n"/>
      <c r="F161" s="65" t="n"/>
      <c r="G161" s="65" t="n"/>
      <c r="H161" s="64" t="n"/>
      <c r="I161" s="64" t="n"/>
      <c r="J161" s="65" t="n"/>
      <c r="K161" s="63" t="n"/>
      <c r="L161" s="63" t="n"/>
      <c r="M161" s="63" t="n"/>
      <c r="N161" s="64" t="n"/>
      <c r="O161" s="67" t="n"/>
      <c r="P161" s="72" t="str">
        <f>IF($B161="","",SUMIFS('PAID MEDIA ADS'!$G$5:$G$804,'PAID MEDIA ADS'!$C$5:$C$804,$B161))</f>
        <v/>
      </c>
      <c r="Q161" s="67" t="n"/>
      <c r="R161" s="72" t="str">
        <f>IF($B161="","",COUNTIFS('LEAD MQL TRACKER'!$C$5:$C$1004,$B161,'LEAD MQL TRACKER'!$AB$5:$AB$1004,1)+SUMIFS('EMAIL MARKETING'!$Q$5:$Q$804,'EMAIL MARKETING'!$C$5:$C$804,$B161)+SUMIFS('PAID MEDIA ADS'!$M$5:$M$804,'PAID MEDIA ADS'!$C$5:$C$804,$B161)+SUMIFS('LINKEDIN OUTREACH'!$N$5:$N$704,'LINKEDIN OUTREACH'!$C$5:$C$704,$B161))</f>
        <v/>
      </c>
      <c r="S161" s="67" t="n"/>
      <c r="T161" s="72" t="str">
        <f>IF($B161="","",COUNTIFS('LEAD MQL TRACKER'!$C$5:$C$1004,$B161,'LEAD MQL TRACKER'!$AD$5:$AD$1004,1)+SUMIFS('EMAIL MARKETING'!$R$5:$R$804,'EMAIL MARKETING'!$C$5:$C$804,$B161)+SUMIFS('PAID MEDIA ADS'!$N$5:$N$804,'PAID MEDIA ADS'!$C$5:$C$804,$B161)+SUMIFS('LINKEDIN OUTREACH'!$O$5:$O$704,'LINKEDIN OUTREACH'!$C$5:$C$704,$B161))</f>
        <v/>
      </c>
      <c r="U161" s="67" t="n"/>
      <c r="V161" s="72" t="str">
        <f>IF($B161="","",COUNTIFS('LEAD MQL TRACKER'!$C$5:$C$1004,$B161,'LEAD MQL TRACKER'!$AE$5:$AE$1004,1))</f>
        <v/>
      </c>
      <c r="W161" s="72" t="str">
        <f>IF($B161="","",COUNTIFS('LEAD MQL TRACKER'!$C$5:$C$1004,$B161,'LEAD MQL TRACKER'!$AC$5:$AC$1004,1)+SUMIFS('LINKEDIN OUTREACH'!$M$5:$M$704,'LINKEDIN OUTREACH'!$C$5:$C$704,$B161))</f>
        <v/>
      </c>
      <c r="X161" s="72" t="str">
        <f>IF($B161="","",SUMIFS('EMAIL MARKETING'!$O$5:$O$804,'EMAIL MARKETING'!$C$5:$C$804,$B161)+SUMIFS('LINKEDIN OUTREACH'!$K$5:$K$704,'LINKEDIN OUTREACH'!$C$5:$C$704,$B161))</f>
        <v/>
      </c>
      <c r="Y161" s="73" t="str">
        <f>IF(ISNUMBER($R161),IF($R161&gt;0,$T161/$R161,""),"")</f>
        <v/>
      </c>
      <c r="Z161" s="72" t="str">
        <f>IF(AND(ISNUMBER($P161),ISNUMBER($R161)),IF(AND($P161&gt;0,$R161&gt;0),$P161/$R161,""),"")</f>
        <v/>
      </c>
      <c r="AA161" s="71" t="str">
        <f>IF($B161="","",IF(OR($N161="Live",$N161="Optimizing",$N161="Paused",$N161="Completed"),IF(ISNUMBER($AI161),IF($AI161&gt;=1,"Ahead",IF($AI161&gt;=OnTrackPct,"On Track",IF($AI161&gt;=WatchPct,"Behind","At Risk"))),"No Target Set"),"Not Live"))</f>
        <v/>
      </c>
      <c r="AB161" s="65" t="n"/>
      <c r="AC161" s="65" t="n"/>
      <c r="AD161" s="65" t="n"/>
      <c r="AE161" s="67" t="n"/>
      <c r="AF161" s="67" t="n"/>
      <c r="AG161" s="63" t="n"/>
      <c r="AH161" s="74">
        <f>IF($N161="Completed",1,IF(AND(ISNUMBER($K161),ISNUMBER($L161)),IF($L161&gt;$K161,MIN(1,MAX(0.05,(ReportDate-$K161)/($L161-$K161))),1),1))</f>
        <v>1</v>
      </c>
      <c r="AI161" s="70" t="str">
        <f>IF($B161="","",IF(AND(ISNUMBER($Q161),$Q161&gt;0),$R161/($Q161*$AH161),""))</f>
        <v/>
      </c>
      <c r="AJ161" s="71" t="str">
        <f>IF(ISNUMBER($K161),YEAR($K161)&amp;"-"&amp;TEXT(MONTH($K161),"00"),"")</f>
        <v/>
      </c>
      <c r="AK161" s="71">
        <f>IF($B161="",0,IF(AND(OR(fClient="All",$A161=fClient),OR(fCampaign="All",$B161=fCampaign),OR(fTeam="All",$I161=fTeam),OR(fChannel="All",$H161=fChannel),OR(fCStatus="All",$N161=fCStatus)),1,0))</f>
        <v>0</v>
      </c>
      <c r="AL161" s="71">
        <f>IF($B161="",0,IF(AND(OR(fClient="All",$A161=fClient),OR(fCampaign="All",$B161=fCampaign),OR(fTeam="All",$I161=fTeam),OR(fChannel="All",$H161=fChannel)),1,0))</f>
        <v>0</v>
      </c>
      <c r="AM161" s="71">
        <f>IF(OR($N161="Live",$N161="Optimizing"),1,0)</f>
        <v>0</v>
      </c>
      <c r="AN161" s="71">
        <f>IF(OR($N161="Live",$N161="Optimizing",$N161="Paused",$N161="Completed"),1,0)</f>
        <v>0</v>
      </c>
      <c r="AO161" s="71">
        <f>IF(AND($AM161=1,ISNUMBER($L161),NOT(ISNUMBER($M161))),IF($L161&lt;ReportDate,1,0),0)</f>
        <v>0</v>
      </c>
      <c r="AP161" s="71">
        <f>IF($AM161=1,IF(ISNUMBER($AG161),IF(ReportDate-$AG161&gt;CampStaleDays,1,0),1),0)</f>
        <v>0</v>
      </c>
      <c r="AQ161" s="71">
        <f>IF(AND($AM161=1,OR($AA161="Behind",$AA161="At Risk")),1,0)</f>
        <v>0</v>
      </c>
      <c r="AR161" s="71">
        <f>IF(AND($AM161=1,OR($AA161="Ahead",$AA161="On Track")),1,0)</f>
        <v>0</v>
      </c>
      <c r="AS161" s="71">
        <f>IF(OR($AQ161=1,$AP161=1,$AO161=1),1,0)</f>
        <v>0</v>
      </c>
      <c r="AT161" s="71" t="str">
        <f>IF($AS161=1,TRIM(IF($AQ161=1,"Low performance. ","")&amp;IF($AP161=1,"No recent update. ","")&amp;IF($AO161=1,"Past planned end. ","")),"")</f>
        <v/>
      </c>
      <c r="AU161" s="71" t="str">
        <f>IF(AND($AS161=1,$AL161=1),ROW(),"")</f>
        <v/>
      </c>
      <c r="AV161" s="71" t="str">
        <f>IF(AND($AQ161=1,$AL161=1),ROW(),"")</f>
        <v/>
      </c>
      <c r="AW161" s="71" t="str">
        <f>IF(AND($AP161=1,$AL161=1),ROW(),"")</f>
        <v/>
      </c>
      <c r="AX161" s="71" t="str">
        <f>IF(AND($AR161=1,$AL161=1),ROW(),"")</f>
        <v/>
      </c>
      <c r="AY161" s="71">
        <f>IF(AND($B161&lt;&gt;"",$A161=TCL_Client),1,0)</f>
        <v>0</v>
      </c>
      <c r="AZ161" s="71" t="str">
        <f>IF($AY161=1,ROW(),"")</f>
        <v/>
      </c>
      <c r="BA161" s="71">
        <f>IF(AND($B161&lt;&gt;"",$A161=MECCA_Client),1,0)</f>
        <v>0</v>
      </c>
      <c r="BB161" s="71" t="str">
        <f>IF($BA161=1,ROW(),"")</f>
        <v/>
      </c>
    </row>
    <row r="162">
      <c r="A162" s="64" t="n"/>
      <c r="B162" s="65" t="n"/>
      <c r="C162" s="64" t="n"/>
      <c r="D162" s="64" t="n"/>
      <c r="E162" s="64" t="n"/>
      <c r="F162" s="65" t="n"/>
      <c r="G162" s="65" t="n"/>
      <c r="H162" s="64" t="n"/>
      <c r="I162" s="64" t="n"/>
      <c r="J162" s="65" t="n"/>
      <c r="K162" s="63" t="n"/>
      <c r="L162" s="63" t="n"/>
      <c r="M162" s="63" t="n"/>
      <c r="N162" s="64" t="n"/>
      <c r="O162" s="67" t="n"/>
      <c r="P162" s="72" t="str">
        <f>IF($B162="","",SUMIFS('PAID MEDIA ADS'!$G$5:$G$804,'PAID MEDIA ADS'!$C$5:$C$804,$B162))</f>
        <v/>
      </c>
      <c r="Q162" s="67" t="n"/>
      <c r="R162" s="72" t="str">
        <f>IF($B162="","",COUNTIFS('LEAD MQL TRACKER'!$C$5:$C$1004,$B162,'LEAD MQL TRACKER'!$AB$5:$AB$1004,1)+SUMIFS('EMAIL MARKETING'!$Q$5:$Q$804,'EMAIL MARKETING'!$C$5:$C$804,$B162)+SUMIFS('PAID MEDIA ADS'!$M$5:$M$804,'PAID MEDIA ADS'!$C$5:$C$804,$B162)+SUMIFS('LINKEDIN OUTREACH'!$N$5:$N$704,'LINKEDIN OUTREACH'!$C$5:$C$704,$B162))</f>
        <v/>
      </c>
      <c r="S162" s="67" t="n"/>
      <c r="T162" s="72" t="str">
        <f>IF($B162="","",COUNTIFS('LEAD MQL TRACKER'!$C$5:$C$1004,$B162,'LEAD MQL TRACKER'!$AD$5:$AD$1004,1)+SUMIFS('EMAIL MARKETING'!$R$5:$R$804,'EMAIL MARKETING'!$C$5:$C$804,$B162)+SUMIFS('PAID MEDIA ADS'!$N$5:$N$804,'PAID MEDIA ADS'!$C$5:$C$804,$B162)+SUMIFS('LINKEDIN OUTREACH'!$O$5:$O$704,'LINKEDIN OUTREACH'!$C$5:$C$704,$B162))</f>
        <v/>
      </c>
      <c r="U162" s="67" t="n"/>
      <c r="V162" s="72" t="str">
        <f>IF($B162="","",COUNTIFS('LEAD MQL TRACKER'!$C$5:$C$1004,$B162,'LEAD MQL TRACKER'!$AE$5:$AE$1004,1))</f>
        <v/>
      </c>
      <c r="W162" s="72" t="str">
        <f>IF($B162="","",COUNTIFS('LEAD MQL TRACKER'!$C$5:$C$1004,$B162,'LEAD MQL TRACKER'!$AC$5:$AC$1004,1)+SUMIFS('LINKEDIN OUTREACH'!$M$5:$M$704,'LINKEDIN OUTREACH'!$C$5:$C$704,$B162))</f>
        <v/>
      </c>
      <c r="X162" s="72" t="str">
        <f>IF($B162="","",SUMIFS('EMAIL MARKETING'!$O$5:$O$804,'EMAIL MARKETING'!$C$5:$C$804,$B162)+SUMIFS('LINKEDIN OUTREACH'!$K$5:$K$704,'LINKEDIN OUTREACH'!$C$5:$C$704,$B162))</f>
        <v/>
      </c>
      <c r="Y162" s="73" t="str">
        <f>IF(ISNUMBER($R162),IF($R162&gt;0,$T162/$R162,""),"")</f>
        <v/>
      </c>
      <c r="Z162" s="72" t="str">
        <f>IF(AND(ISNUMBER($P162),ISNUMBER($R162)),IF(AND($P162&gt;0,$R162&gt;0),$P162/$R162,""),"")</f>
        <v/>
      </c>
      <c r="AA162" s="71" t="str">
        <f>IF($B162="","",IF(OR($N162="Live",$N162="Optimizing",$N162="Paused",$N162="Completed"),IF(ISNUMBER($AI162),IF($AI162&gt;=1,"Ahead",IF($AI162&gt;=OnTrackPct,"On Track",IF($AI162&gt;=WatchPct,"Behind","At Risk"))),"No Target Set"),"Not Live"))</f>
        <v/>
      </c>
      <c r="AB162" s="65" t="n"/>
      <c r="AC162" s="65" t="n"/>
      <c r="AD162" s="65" t="n"/>
      <c r="AE162" s="67" t="n"/>
      <c r="AF162" s="67" t="n"/>
      <c r="AG162" s="63" t="n"/>
      <c r="AH162" s="74">
        <f>IF($N162="Completed",1,IF(AND(ISNUMBER($K162),ISNUMBER($L162)),IF($L162&gt;$K162,MIN(1,MAX(0.05,(ReportDate-$K162)/($L162-$K162))),1),1))</f>
        <v>1</v>
      </c>
      <c r="AI162" s="70" t="str">
        <f>IF($B162="","",IF(AND(ISNUMBER($Q162),$Q162&gt;0),$R162/($Q162*$AH162),""))</f>
        <v/>
      </c>
      <c r="AJ162" s="71" t="str">
        <f>IF(ISNUMBER($K162),YEAR($K162)&amp;"-"&amp;TEXT(MONTH($K162),"00"),"")</f>
        <v/>
      </c>
      <c r="AK162" s="71">
        <f>IF($B162="",0,IF(AND(OR(fClient="All",$A162=fClient),OR(fCampaign="All",$B162=fCampaign),OR(fTeam="All",$I162=fTeam),OR(fChannel="All",$H162=fChannel),OR(fCStatus="All",$N162=fCStatus)),1,0))</f>
        <v>0</v>
      </c>
      <c r="AL162" s="71">
        <f>IF($B162="",0,IF(AND(OR(fClient="All",$A162=fClient),OR(fCampaign="All",$B162=fCampaign),OR(fTeam="All",$I162=fTeam),OR(fChannel="All",$H162=fChannel)),1,0))</f>
        <v>0</v>
      </c>
      <c r="AM162" s="71">
        <f>IF(OR($N162="Live",$N162="Optimizing"),1,0)</f>
        <v>0</v>
      </c>
      <c r="AN162" s="71">
        <f>IF(OR($N162="Live",$N162="Optimizing",$N162="Paused",$N162="Completed"),1,0)</f>
        <v>0</v>
      </c>
      <c r="AO162" s="71">
        <f>IF(AND($AM162=1,ISNUMBER($L162),NOT(ISNUMBER($M162))),IF($L162&lt;ReportDate,1,0),0)</f>
        <v>0</v>
      </c>
      <c r="AP162" s="71">
        <f>IF($AM162=1,IF(ISNUMBER($AG162),IF(ReportDate-$AG162&gt;CampStaleDays,1,0),1),0)</f>
        <v>0</v>
      </c>
      <c r="AQ162" s="71">
        <f>IF(AND($AM162=1,OR($AA162="Behind",$AA162="At Risk")),1,0)</f>
        <v>0</v>
      </c>
      <c r="AR162" s="71">
        <f>IF(AND($AM162=1,OR($AA162="Ahead",$AA162="On Track")),1,0)</f>
        <v>0</v>
      </c>
      <c r="AS162" s="71">
        <f>IF(OR($AQ162=1,$AP162=1,$AO162=1),1,0)</f>
        <v>0</v>
      </c>
      <c r="AT162" s="71" t="str">
        <f>IF($AS162=1,TRIM(IF($AQ162=1,"Low performance. ","")&amp;IF($AP162=1,"No recent update. ","")&amp;IF($AO162=1,"Past planned end. ","")),"")</f>
        <v/>
      </c>
      <c r="AU162" s="71" t="str">
        <f>IF(AND($AS162=1,$AL162=1),ROW(),"")</f>
        <v/>
      </c>
      <c r="AV162" s="71" t="str">
        <f>IF(AND($AQ162=1,$AL162=1),ROW(),"")</f>
        <v/>
      </c>
      <c r="AW162" s="71" t="str">
        <f>IF(AND($AP162=1,$AL162=1),ROW(),"")</f>
        <v/>
      </c>
      <c r="AX162" s="71" t="str">
        <f>IF(AND($AR162=1,$AL162=1),ROW(),"")</f>
        <v/>
      </c>
      <c r="AY162" s="71">
        <f>IF(AND($B162&lt;&gt;"",$A162=TCL_Client),1,0)</f>
        <v>0</v>
      </c>
      <c r="AZ162" s="71" t="str">
        <f>IF($AY162=1,ROW(),"")</f>
        <v/>
      </c>
      <c r="BA162" s="71">
        <f>IF(AND($B162&lt;&gt;"",$A162=MECCA_Client),1,0)</f>
        <v>0</v>
      </c>
      <c r="BB162" s="71" t="str">
        <f>IF($BA162=1,ROW(),"")</f>
        <v/>
      </c>
    </row>
    <row r="163">
      <c r="A163" s="64" t="n"/>
      <c r="B163" s="65" t="n"/>
      <c r="C163" s="64" t="n"/>
      <c r="D163" s="64" t="n"/>
      <c r="E163" s="64" t="n"/>
      <c r="F163" s="65" t="n"/>
      <c r="G163" s="65" t="n"/>
      <c r="H163" s="64" t="n"/>
      <c r="I163" s="64" t="n"/>
      <c r="J163" s="65" t="n"/>
      <c r="K163" s="63" t="n"/>
      <c r="L163" s="63" t="n"/>
      <c r="M163" s="63" t="n"/>
      <c r="N163" s="64" t="n"/>
      <c r="O163" s="67" t="n"/>
      <c r="P163" s="72" t="str">
        <f>IF($B163="","",SUMIFS('PAID MEDIA ADS'!$G$5:$G$804,'PAID MEDIA ADS'!$C$5:$C$804,$B163))</f>
        <v/>
      </c>
      <c r="Q163" s="67" t="n"/>
      <c r="R163" s="72" t="str">
        <f>IF($B163="","",COUNTIFS('LEAD MQL TRACKER'!$C$5:$C$1004,$B163,'LEAD MQL TRACKER'!$AB$5:$AB$1004,1)+SUMIFS('EMAIL MARKETING'!$Q$5:$Q$804,'EMAIL MARKETING'!$C$5:$C$804,$B163)+SUMIFS('PAID MEDIA ADS'!$M$5:$M$804,'PAID MEDIA ADS'!$C$5:$C$804,$B163)+SUMIFS('LINKEDIN OUTREACH'!$N$5:$N$704,'LINKEDIN OUTREACH'!$C$5:$C$704,$B163))</f>
        <v/>
      </c>
      <c r="S163" s="67" t="n"/>
      <c r="T163" s="72" t="str">
        <f>IF($B163="","",COUNTIFS('LEAD MQL TRACKER'!$C$5:$C$1004,$B163,'LEAD MQL TRACKER'!$AD$5:$AD$1004,1)+SUMIFS('EMAIL MARKETING'!$R$5:$R$804,'EMAIL MARKETING'!$C$5:$C$804,$B163)+SUMIFS('PAID MEDIA ADS'!$N$5:$N$804,'PAID MEDIA ADS'!$C$5:$C$804,$B163)+SUMIFS('LINKEDIN OUTREACH'!$O$5:$O$704,'LINKEDIN OUTREACH'!$C$5:$C$704,$B163))</f>
        <v/>
      </c>
      <c r="U163" s="67" t="n"/>
      <c r="V163" s="72" t="str">
        <f>IF($B163="","",COUNTIFS('LEAD MQL TRACKER'!$C$5:$C$1004,$B163,'LEAD MQL TRACKER'!$AE$5:$AE$1004,1))</f>
        <v/>
      </c>
      <c r="W163" s="72" t="str">
        <f>IF($B163="","",COUNTIFS('LEAD MQL TRACKER'!$C$5:$C$1004,$B163,'LEAD MQL TRACKER'!$AC$5:$AC$1004,1)+SUMIFS('LINKEDIN OUTREACH'!$M$5:$M$704,'LINKEDIN OUTREACH'!$C$5:$C$704,$B163))</f>
        <v/>
      </c>
      <c r="X163" s="72" t="str">
        <f>IF($B163="","",SUMIFS('EMAIL MARKETING'!$O$5:$O$804,'EMAIL MARKETING'!$C$5:$C$804,$B163)+SUMIFS('LINKEDIN OUTREACH'!$K$5:$K$704,'LINKEDIN OUTREACH'!$C$5:$C$704,$B163))</f>
        <v/>
      </c>
      <c r="Y163" s="73" t="str">
        <f>IF(ISNUMBER($R163),IF($R163&gt;0,$T163/$R163,""),"")</f>
        <v/>
      </c>
      <c r="Z163" s="72" t="str">
        <f>IF(AND(ISNUMBER($P163),ISNUMBER($R163)),IF(AND($P163&gt;0,$R163&gt;0),$P163/$R163,""),"")</f>
        <v/>
      </c>
      <c r="AA163" s="71" t="str">
        <f>IF($B163="","",IF(OR($N163="Live",$N163="Optimizing",$N163="Paused",$N163="Completed"),IF(ISNUMBER($AI163),IF($AI163&gt;=1,"Ahead",IF($AI163&gt;=OnTrackPct,"On Track",IF($AI163&gt;=WatchPct,"Behind","At Risk"))),"No Target Set"),"Not Live"))</f>
        <v/>
      </c>
      <c r="AB163" s="65" t="n"/>
      <c r="AC163" s="65" t="n"/>
      <c r="AD163" s="65" t="n"/>
      <c r="AE163" s="67" t="n"/>
      <c r="AF163" s="67" t="n"/>
      <c r="AG163" s="63" t="n"/>
      <c r="AH163" s="74">
        <f>IF($N163="Completed",1,IF(AND(ISNUMBER($K163),ISNUMBER($L163)),IF($L163&gt;$K163,MIN(1,MAX(0.05,(ReportDate-$K163)/($L163-$K163))),1),1))</f>
        <v>1</v>
      </c>
      <c r="AI163" s="70" t="str">
        <f>IF($B163="","",IF(AND(ISNUMBER($Q163),$Q163&gt;0),$R163/($Q163*$AH163),""))</f>
        <v/>
      </c>
      <c r="AJ163" s="71" t="str">
        <f>IF(ISNUMBER($K163),YEAR($K163)&amp;"-"&amp;TEXT(MONTH($K163),"00"),"")</f>
        <v/>
      </c>
      <c r="AK163" s="71">
        <f>IF($B163="",0,IF(AND(OR(fClient="All",$A163=fClient),OR(fCampaign="All",$B163=fCampaign),OR(fTeam="All",$I163=fTeam),OR(fChannel="All",$H163=fChannel),OR(fCStatus="All",$N163=fCStatus)),1,0))</f>
        <v>0</v>
      </c>
      <c r="AL163" s="71">
        <f>IF($B163="",0,IF(AND(OR(fClient="All",$A163=fClient),OR(fCampaign="All",$B163=fCampaign),OR(fTeam="All",$I163=fTeam),OR(fChannel="All",$H163=fChannel)),1,0))</f>
        <v>0</v>
      </c>
      <c r="AM163" s="71">
        <f>IF(OR($N163="Live",$N163="Optimizing"),1,0)</f>
        <v>0</v>
      </c>
      <c r="AN163" s="71">
        <f>IF(OR($N163="Live",$N163="Optimizing",$N163="Paused",$N163="Completed"),1,0)</f>
        <v>0</v>
      </c>
      <c r="AO163" s="71">
        <f>IF(AND($AM163=1,ISNUMBER($L163),NOT(ISNUMBER($M163))),IF($L163&lt;ReportDate,1,0),0)</f>
        <v>0</v>
      </c>
      <c r="AP163" s="71">
        <f>IF($AM163=1,IF(ISNUMBER($AG163),IF(ReportDate-$AG163&gt;CampStaleDays,1,0),1),0)</f>
        <v>0</v>
      </c>
      <c r="AQ163" s="71">
        <f>IF(AND($AM163=1,OR($AA163="Behind",$AA163="At Risk")),1,0)</f>
        <v>0</v>
      </c>
      <c r="AR163" s="71">
        <f>IF(AND($AM163=1,OR($AA163="Ahead",$AA163="On Track")),1,0)</f>
        <v>0</v>
      </c>
      <c r="AS163" s="71">
        <f>IF(OR($AQ163=1,$AP163=1,$AO163=1),1,0)</f>
        <v>0</v>
      </c>
      <c r="AT163" s="71" t="str">
        <f>IF($AS163=1,TRIM(IF($AQ163=1,"Low performance. ","")&amp;IF($AP163=1,"No recent update. ","")&amp;IF($AO163=1,"Past planned end. ","")),"")</f>
        <v/>
      </c>
      <c r="AU163" s="71" t="str">
        <f>IF(AND($AS163=1,$AL163=1),ROW(),"")</f>
        <v/>
      </c>
      <c r="AV163" s="71" t="str">
        <f>IF(AND($AQ163=1,$AL163=1),ROW(),"")</f>
        <v/>
      </c>
      <c r="AW163" s="71" t="str">
        <f>IF(AND($AP163=1,$AL163=1),ROW(),"")</f>
        <v/>
      </c>
      <c r="AX163" s="71" t="str">
        <f>IF(AND($AR163=1,$AL163=1),ROW(),"")</f>
        <v/>
      </c>
      <c r="AY163" s="71">
        <f>IF(AND($B163&lt;&gt;"",$A163=TCL_Client),1,0)</f>
        <v>0</v>
      </c>
      <c r="AZ163" s="71" t="str">
        <f>IF($AY163=1,ROW(),"")</f>
        <v/>
      </c>
      <c r="BA163" s="71">
        <f>IF(AND($B163&lt;&gt;"",$A163=MECCA_Client),1,0)</f>
        <v>0</v>
      </c>
      <c r="BB163" s="71" t="str">
        <f>IF($BA163=1,ROW(),"")</f>
        <v/>
      </c>
    </row>
    <row r="164">
      <c r="A164" s="64" t="n"/>
      <c r="B164" s="65" t="n"/>
      <c r="C164" s="64" t="n"/>
      <c r="D164" s="64" t="n"/>
      <c r="E164" s="64" t="n"/>
      <c r="F164" s="65" t="n"/>
      <c r="G164" s="65" t="n"/>
      <c r="H164" s="64" t="n"/>
      <c r="I164" s="64" t="n"/>
      <c r="J164" s="65" t="n"/>
      <c r="K164" s="63" t="n"/>
      <c r="L164" s="63" t="n"/>
      <c r="M164" s="63" t="n"/>
      <c r="N164" s="64" t="n"/>
      <c r="O164" s="67" t="n"/>
      <c r="P164" s="72" t="str">
        <f>IF($B164="","",SUMIFS('PAID MEDIA ADS'!$G$5:$G$804,'PAID MEDIA ADS'!$C$5:$C$804,$B164))</f>
        <v/>
      </c>
      <c r="Q164" s="67" t="n"/>
      <c r="R164" s="72" t="str">
        <f>IF($B164="","",COUNTIFS('LEAD MQL TRACKER'!$C$5:$C$1004,$B164,'LEAD MQL TRACKER'!$AB$5:$AB$1004,1)+SUMIFS('EMAIL MARKETING'!$Q$5:$Q$804,'EMAIL MARKETING'!$C$5:$C$804,$B164)+SUMIFS('PAID MEDIA ADS'!$M$5:$M$804,'PAID MEDIA ADS'!$C$5:$C$804,$B164)+SUMIFS('LINKEDIN OUTREACH'!$N$5:$N$704,'LINKEDIN OUTREACH'!$C$5:$C$704,$B164))</f>
        <v/>
      </c>
      <c r="S164" s="67" t="n"/>
      <c r="T164" s="72" t="str">
        <f>IF($B164="","",COUNTIFS('LEAD MQL TRACKER'!$C$5:$C$1004,$B164,'LEAD MQL TRACKER'!$AD$5:$AD$1004,1)+SUMIFS('EMAIL MARKETING'!$R$5:$R$804,'EMAIL MARKETING'!$C$5:$C$804,$B164)+SUMIFS('PAID MEDIA ADS'!$N$5:$N$804,'PAID MEDIA ADS'!$C$5:$C$804,$B164)+SUMIFS('LINKEDIN OUTREACH'!$O$5:$O$704,'LINKEDIN OUTREACH'!$C$5:$C$704,$B164))</f>
        <v/>
      </c>
      <c r="U164" s="67" t="n"/>
      <c r="V164" s="72" t="str">
        <f>IF($B164="","",COUNTIFS('LEAD MQL TRACKER'!$C$5:$C$1004,$B164,'LEAD MQL TRACKER'!$AE$5:$AE$1004,1))</f>
        <v/>
      </c>
      <c r="W164" s="72" t="str">
        <f>IF($B164="","",COUNTIFS('LEAD MQL TRACKER'!$C$5:$C$1004,$B164,'LEAD MQL TRACKER'!$AC$5:$AC$1004,1)+SUMIFS('LINKEDIN OUTREACH'!$M$5:$M$704,'LINKEDIN OUTREACH'!$C$5:$C$704,$B164))</f>
        <v/>
      </c>
      <c r="X164" s="72" t="str">
        <f>IF($B164="","",SUMIFS('EMAIL MARKETING'!$O$5:$O$804,'EMAIL MARKETING'!$C$5:$C$804,$B164)+SUMIFS('LINKEDIN OUTREACH'!$K$5:$K$704,'LINKEDIN OUTREACH'!$C$5:$C$704,$B164))</f>
        <v/>
      </c>
      <c r="Y164" s="73" t="str">
        <f>IF(ISNUMBER($R164),IF($R164&gt;0,$T164/$R164,""),"")</f>
        <v/>
      </c>
      <c r="Z164" s="72" t="str">
        <f>IF(AND(ISNUMBER($P164),ISNUMBER($R164)),IF(AND($P164&gt;0,$R164&gt;0),$P164/$R164,""),"")</f>
        <v/>
      </c>
      <c r="AA164" s="71" t="str">
        <f>IF($B164="","",IF(OR($N164="Live",$N164="Optimizing",$N164="Paused",$N164="Completed"),IF(ISNUMBER($AI164),IF($AI164&gt;=1,"Ahead",IF($AI164&gt;=OnTrackPct,"On Track",IF($AI164&gt;=WatchPct,"Behind","At Risk"))),"No Target Set"),"Not Live"))</f>
        <v/>
      </c>
      <c r="AB164" s="65" t="n"/>
      <c r="AC164" s="65" t="n"/>
      <c r="AD164" s="65" t="n"/>
      <c r="AE164" s="67" t="n"/>
      <c r="AF164" s="67" t="n"/>
      <c r="AG164" s="63" t="n"/>
      <c r="AH164" s="74">
        <f>IF($N164="Completed",1,IF(AND(ISNUMBER($K164),ISNUMBER($L164)),IF($L164&gt;$K164,MIN(1,MAX(0.05,(ReportDate-$K164)/($L164-$K164))),1),1))</f>
        <v>1</v>
      </c>
      <c r="AI164" s="70" t="str">
        <f>IF($B164="","",IF(AND(ISNUMBER($Q164),$Q164&gt;0),$R164/($Q164*$AH164),""))</f>
        <v/>
      </c>
      <c r="AJ164" s="71" t="str">
        <f>IF(ISNUMBER($K164),YEAR($K164)&amp;"-"&amp;TEXT(MONTH($K164),"00"),"")</f>
        <v/>
      </c>
      <c r="AK164" s="71">
        <f>IF($B164="",0,IF(AND(OR(fClient="All",$A164=fClient),OR(fCampaign="All",$B164=fCampaign),OR(fTeam="All",$I164=fTeam),OR(fChannel="All",$H164=fChannel),OR(fCStatus="All",$N164=fCStatus)),1,0))</f>
        <v>0</v>
      </c>
      <c r="AL164" s="71">
        <f>IF($B164="",0,IF(AND(OR(fClient="All",$A164=fClient),OR(fCampaign="All",$B164=fCampaign),OR(fTeam="All",$I164=fTeam),OR(fChannel="All",$H164=fChannel)),1,0))</f>
        <v>0</v>
      </c>
      <c r="AM164" s="71">
        <f>IF(OR($N164="Live",$N164="Optimizing"),1,0)</f>
        <v>0</v>
      </c>
      <c r="AN164" s="71">
        <f>IF(OR($N164="Live",$N164="Optimizing",$N164="Paused",$N164="Completed"),1,0)</f>
        <v>0</v>
      </c>
      <c r="AO164" s="71">
        <f>IF(AND($AM164=1,ISNUMBER($L164),NOT(ISNUMBER($M164))),IF($L164&lt;ReportDate,1,0),0)</f>
        <v>0</v>
      </c>
      <c r="AP164" s="71">
        <f>IF($AM164=1,IF(ISNUMBER($AG164),IF(ReportDate-$AG164&gt;CampStaleDays,1,0),1),0)</f>
        <v>0</v>
      </c>
      <c r="AQ164" s="71">
        <f>IF(AND($AM164=1,OR($AA164="Behind",$AA164="At Risk")),1,0)</f>
        <v>0</v>
      </c>
      <c r="AR164" s="71">
        <f>IF(AND($AM164=1,OR($AA164="Ahead",$AA164="On Track")),1,0)</f>
        <v>0</v>
      </c>
      <c r="AS164" s="71">
        <f>IF(OR($AQ164=1,$AP164=1,$AO164=1),1,0)</f>
        <v>0</v>
      </c>
      <c r="AT164" s="71" t="str">
        <f>IF($AS164=1,TRIM(IF($AQ164=1,"Low performance. ","")&amp;IF($AP164=1,"No recent update. ","")&amp;IF($AO164=1,"Past planned end. ","")),"")</f>
        <v/>
      </c>
      <c r="AU164" s="71" t="str">
        <f>IF(AND($AS164=1,$AL164=1),ROW(),"")</f>
        <v/>
      </c>
      <c r="AV164" s="71" t="str">
        <f>IF(AND($AQ164=1,$AL164=1),ROW(),"")</f>
        <v/>
      </c>
      <c r="AW164" s="71" t="str">
        <f>IF(AND($AP164=1,$AL164=1),ROW(),"")</f>
        <v/>
      </c>
      <c r="AX164" s="71" t="str">
        <f>IF(AND($AR164=1,$AL164=1),ROW(),"")</f>
        <v/>
      </c>
      <c r="AY164" s="71">
        <f>IF(AND($B164&lt;&gt;"",$A164=TCL_Client),1,0)</f>
        <v>0</v>
      </c>
      <c r="AZ164" s="71" t="str">
        <f>IF($AY164=1,ROW(),"")</f>
        <v/>
      </c>
      <c r="BA164" s="71">
        <f>IF(AND($B164&lt;&gt;"",$A164=MECCA_Client),1,0)</f>
        <v>0</v>
      </c>
      <c r="BB164" s="71" t="str">
        <f>IF($BA164=1,ROW(),"")</f>
        <v/>
      </c>
    </row>
    <row r="165">
      <c r="A165" s="64" t="n"/>
      <c r="B165" s="65" t="n"/>
      <c r="C165" s="64" t="n"/>
      <c r="D165" s="64" t="n"/>
      <c r="E165" s="64" t="n"/>
      <c r="F165" s="65" t="n"/>
      <c r="G165" s="65" t="n"/>
      <c r="H165" s="64" t="n"/>
      <c r="I165" s="64" t="n"/>
      <c r="J165" s="65" t="n"/>
      <c r="K165" s="63" t="n"/>
      <c r="L165" s="63" t="n"/>
      <c r="M165" s="63" t="n"/>
      <c r="N165" s="64" t="n"/>
      <c r="O165" s="67" t="n"/>
      <c r="P165" s="72" t="str">
        <f>IF($B165="","",SUMIFS('PAID MEDIA ADS'!$G$5:$G$804,'PAID MEDIA ADS'!$C$5:$C$804,$B165))</f>
        <v/>
      </c>
      <c r="Q165" s="67" t="n"/>
      <c r="R165" s="72" t="str">
        <f>IF($B165="","",COUNTIFS('LEAD MQL TRACKER'!$C$5:$C$1004,$B165,'LEAD MQL TRACKER'!$AB$5:$AB$1004,1)+SUMIFS('EMAIL MARKETING'!$Q$5:$Q$804,'EMAIL MARKETING'!$C$5:$C$804,$B165)+SUMIFS('PAID MEDIA ADS'!$M$5:$M$804,'PAID MEDIA ADS'!$C$5:$C$804,$B165)+SUMIFS('LINKEDIN OUTREACH'!$N$5:$N$704,'LINKEDIN OUTREACH'!$C$5:$C$704,$B165))</f>
        <v/>
      </c>
      <c r="S165" s="67" t="n"/>
      <c r="T165" s="72" t="str">
        <f>IF($B165="","",COUNTIFS('LEAD MQL TRACKER'!$C$5:$C$1004,$B165,'LEAD MQL TRACKER'!$AD$5:$AD$1004,1)+SUMIFS('EMAIL MARKETING'!$R$5:$R$804,'EMAIL MARKETING'!$C$5:$C$804,$B165)+SUMIFS('PAID MEDIA ADS'!$N$5:$N$804,'PAID MEDIA ADS'!$C$5:$C$804,$B165)+SUMIFS('LINKEDIN OUTREACH'!$O$5:$O$704,'LINKEDIN OUTREACH'!$C$5:$C$704,$B165))</f>
        <v/>
      </c>
      <c r="U165" s="67" t="n"/>
      <c r="V165" s="72" t="str">
        <f>IF($B165="","",COUNTIFS('LEAD MQL TRACKER'!$C$5:$C$1004,$B165,'LEAD MQL TRACKER'!$AE$5:$AE$1004,1))</f>
        <v/>
      </c>
      <c r="W165" s="72" t="str">
        <f>IF($B165="","",COUNTIFS('LEAD MQL TRACKER'!$C$5:$C$1004,$B165,'LEAD MQL TRACKER'!$AC$5:$AC$1004,1)+SUMIFS('LINKEDIN OUTREACH'!$M$5:$M$704,'LINKEDIN OUTREACH'!$C$5:$C$704,$B165))</f>
        <v/>
      </c>
      <c r="X165" s="72" t="str">
        <f>IF($B165="","",SUMIFS('EMAIL MARKETING'!$O$5:$O$804,'EMAIL MARKETING'!$C$5:$C$804,$B165)+SUMIFS('LINKEDIN OUTREACH'!$K$5:$K$704,'LINKEDIN OUTREACH'!$C$5:$C$704,$B165))</f>
        <v/>
      </c>
      <c r="Y165" s="73" t="str">
        <f>IF(ISNUMBER($R165),IF($R165&gt;0,$T165/$R165,""),"")</f>
        <v/>
      </c>
      <c r="Z165" s="72" t="str">
        <f>IF(AND(ISNUMBER($P165),ISNUMBER($R165)),IF(AND($P165&gt;0,$R165&gt;0),$P165/$R165,""),"")</f>
        <v/>
      </c>
      <c r="AA165" s="71" t="str">
        <f>IF($B165="","",IF(OR($N165="Live",$N165="Optimizing",$N165="Paused",$N165="Completed"),IF(ISNUMBER($AI165),IF($AI165&gt;=1,"Ahead",IF($AI165&gt;=OnTrackPct,"On Track",IF($AI165&gt;=WatchPct,"Behind","At Risk"))),"No Target Set"),"Not Live"))</f>
        <v/>
      </c>
      <c r="AB165" s="65" t="n"/>
      <c r="AC165" s="65" t="n"/>
      <c r="AD165" s="65" t="n"/>
      <c r="AE165" s="67" t="n"/>
      <c r="AF165" s="67" t="n"/>
      <c r="AG165" s="63" t="n"/>
      <c r="AH165" s="74">
        <f>IF($N165="Completed",1,IF(AND(ISNUMBER($K165),ISNUMBER($L165)),IF($L165&gt;$K165,MIN(1,MAX(0.05,(ReportDate-$K165)/($L165-$K165))),1),1))</f>
        <v>1</v>
      </c>
      <c r="AI165" s="70" t="str">
        <f>IF($B165="","",IF(AND(ISNUMBER($Q165),$Q165&gt;0),$R165/($Q165*$AH165),""))</f>
        <v/>
      </c>
      <c r="AJ165" s="71" t="str">
        <f>IF(ISNUMBER($K165),YEAR($K165)&amp;"-"&amp;TEXT(MONTH($K165),"00"),"")</f>
        <v/>
      </c>
      <c r="AK165" s="71">
        <f>IF($B165="",0,IF(AND(OR(fClient="All",$A165=fClient),OR(fCampaign="All",$B165=fCampaign),OR(fTeam="All",$I165=fTeam),OR(fChannel="All",$H165=fChannel),OR(fCStatus="All",$N165=fCStatus)),1,0))</f>
        <v>0</v>
      </c>
      <c r="AL165" s="71">
        <f>IF($B165="",0,IF(AND(OR(fClient="All",$A165=fClient),OR(fCampaign="All",$B165=fCampaign),OR(fTeam="All",$I165=fTeam),OR(fChannel="All",$H165=fChannel)),1,0))</f>
        <v>0</v>
      </c>
      <c r="AM165" s="71">
        <f>IF(OR($N165="Live",$N165="Optimizing"),1,0)</f>
        <v>0</v>
      </c>
      <c r="AN165" s="71">
        <f>IF(OR($N165="Live",$N165="Optimizing",$N165="Paused",$N165="Completed"),1,0)</f>
        <v>0</v>
      </c>
      <c r="AO165" s="71">
        <f>IF(AND($AM165=1,ISNUMBER($L165),NOT(ISNUMBER($M165))),IF($L165&lt;ReportDate,1,0),0)</f>
        <v>0</v>
      </c>
      <c r="AP165" s="71">
        <f>IF($AM165=1,IF(ISNUMBER($AG165),IF(ReportDate-$AG165&gt;CampStaleDays,1,0),1),0)</f>
        <v>0</v>
      </c>
      <c r="AQ165" s="71">
        <f>IF(AND($AM165=1,OR($AA165="Behind",$AA165="At Risk")),1,0)</f>
        <v>0</v>
      </c>
      <c r="AR165" s="71">
        <f>IF(AND($AM165=1,OR($AA165="Ahead",$AA165="On Track")),1,0)</f>
        <v>0</v>
      </c>
      <c r="AS165" s="71">
        <f>IF(OR($AQ165=1,$AP165=1,$AO165=1),1,0)</f>
        <v>0</v>
      </c>
      <c r="AT165" s="71" t="str">
        <f>IF($AS165=1,TRIM(IF($AQ165=1,"Low performance. ","")&amp;IF($AP165=1,"No recent update. ","")&amp;IF($AO165=1,"Past planned end. ","")),"")</f>
        <v/>
      </c>
      <c r="AU165" s="71" t="str">
        <f>IF(AND($AS165=1,$AL165=1),ROW(),"")</f>
        <v/>
      </c>
      <c r="AV165" s="71" t="str">
        <f>IF(AND($AQ165=1,$AL165=1),ROW(),"")</f>
        <v/>
      </c>
      <c r="AW165" s="71" t="str">
        <f>IF(AND($AP165=1,$AL165=1),ROW(),"")</f>
        <v/>
      </c>
      <c r="AX165" s="71" t="str">
        <f>IF(AND($AR165=1,$AL165=1),ROW(),"")</f>
        <v/>
      </c>
      <c r="AY165" s="71">
        <f>IF(AND($B165&lt;&gt;"",$A165=TCL_Client),1,0)</f>
        <v>0</v>
      </c>
      <c r="AZ165" s="71" t="str">
        <f>IF($AY165=1,ROW(),"")</f>
        <v/>
      </c>
      <c r="BA165" s="71">
        <f>IF(AND($B165&lt;&gt;"",$A165=MECCA_Client),1,0)</f>
        <v>0</v>
      </c>
      <c r="BB165" s="71" t="str">
        <f>IF($BA165=1,ROW(),"")</f>
        <v/>
      </c>
    </row>
    <row r="166">
      <c r="A166" s="64" t="n"/>
      <c r="B166" s="65" t="n"/>
      <c r="C166" s="64" t="n"/>
      <c r="D166" s="64" t="n"/>
      <c r="E166" s="64" t="n"/>
      <c r="F166" s="65" t="n"/>
      <c r="G166" s="65" t="n"/>
      <c r="H166" s="64" t="n"/>
      <c r="I166" s="64" t="n"/>
      <c r="J166" s="65" t="n"/>
      <c r="K166" s="63" t="n"/>
      <c r="L166" s="63" t="n"/>
      <c r="M166" s="63" t="n"/>
      <c r="N166" s="64" t="n"/>
      <c r="O166" s="67" t="n"/>
      <c r="P166" s="72" t="str">
        <f>IF($B166="","",SUMIFS('PAID MEDIA ADS'!$G$5:$G$804,'PAID MEDIA ADS'!$C$5:$C$804,$B166))</f>
        <v/>
      </c>
      <c r="Q166" s="67" t="n"/>
      <c r="R166" s="72" t="str">
        <f>IF($B166="","",COUNTIFS('LEAD MQL TRACKER'!$C$5:$C$1004,$B166,'LEAD MQL TRACKER'!$AB$5:$AB$1004,1)+SUMIFS('EMAIL MARKETING'!$Q$5:$Q$804,'EMAIL MARKETING'!$C$5:$C$804,$B166)+SUMIFS('PAID MEDIA ADS'!$M$5:$M$804,'PAID MEDIA ADS'!$C$5:$C$804,$B166)+SUMIFS('LINKEDIN OUTREACH'!$N$5:$N$704,'LINKEDIN OUTREACH'!$C$5:$C$704,$B166))</f>
        <v/>
      </c>
      <c r="S166" s="67" t="n"/>
      <c r="T166" s="72" t="str">
        <f>IF($B166="","",COUNTIFS('LEAD MQL TRACKER'!$C$5:$C$1004,$B166,'LEAD MQL TRACKER'!$AD$5:$AD$1004,1)+SUMIFS('EMAIL MARKETING'!$R$5:$R$804,'EMAIL MARKETING'!$C$5:$C$804,$B166)+SUMIFS('PAID MEDIA ADS'!$N$5:$N$804,'PAID MEDIA ADS'!$C$5:$C$804,$B166)+SUMIFS('LINKEDIN OUTREACH'!$O$5:$O$704,'LINKEDIN OUTREACH'!$C$5:$C$704,$B166))</f>
        <v/>
      </c>
      <c r="U166" s="67" t="n"/>
      <c r="V166" s="72" t="str">
        <f>IF($B166="","",COUNTIFS('LEAD MQL TRACKER'!$C$5:$C$1004,$B166,'LEAD MQL TRACKER'!$AE$5:$AE$1004,1))</f>
        <v/>
      </c>
      <c r="W166" s="72" t="str">
        <f>IF($B166="","",COUNTIFS('LEAD MQL TRACKER'!$C$5:$C$1004,$B166,'LEAD MQL TRACKER'!$AC$5:$AC$1004,1)+SUMIFS('LINKEDIN OUTREACH'!$M$5:$M$704,'LINKEDIN OUTREACH'!$C$5:$C$704,$B166))</f>
        <v/>
      </c>
      <c r="X166" s="72" t="str">
        <f>IF($B166="","",SUMIFS('EMAIL MARKETING'!$O$5:$O$804,'EMAIL MARKETING'!$C$5:$C$804,$B166)+SUMIFS('LINKEDIN OUTREACH'!$K$5:$K$704,'LINKEDIN OUTREACH'!$C$5:$C$704,$B166))</f>
        <v/>
      </c>
      <c r="Y166" s="73" t="str">
        <f>IF(ISNUMBER($R166),IF($R166&gt;0,$T166/$R166,""),"")</f>
        <v/>
      </c>
      <c r="Z166" s="72" t="str">
        <f>IF(AND(ISNUMBER($P166),ISNUMBER($R166)),IF(AND($P166&gt;0,$R166&gt;0),$P166/$R166,""),"")</f>
        <v/>
      </c>
      <c r="AA166" s="71" t="str">
        <f>IF($B166="","",IF(OR($N166="Live",$N166="Optimizing",$N166="Paused",$N166="Completed"),IF(ISNUMBER($AI166),IF($AI166&gt;=1,"Ahead",IF($AI166&gt;=OnTrackPct,"On Track",IF($AI166&gt;=WatchPct,"Behind","At Risk"))),"No Target Set"),"Not Live"))</f>
        <v/>
      </c>
      <c r="AB166" s="65" t="n"/>
      <c r="AC166" s="65" t="n"/>
      <c r="AD166" s="65" t="n"/>
      <c r="AE166" s="67" t="n"/>
      <c r="AF166" s="67" t="n"/>
      <c r="AG166" s="63" t="n"/>
      <c r="AH166" s="74">
        <f>IF($N166="Completed",1,IF(AND(ISNUMBER($K166),ISNUMBER($L166)),IF($L166&gt;$K166,MIN(1,MAX(0.05,(ReportDate-$K166)/($L166-$K166))),1),1))</f>
        <v>1</v>
      </c>
      <c r="AI166" s="70" t="str">
        <f>IF($B166="","",IF(AND(ISNUMBER($Q166),$Q166&gt;0),$R166/($Q166*$AH166),""))</f>
        <v/>
      </c>
      <c r="AJ166" s="71" t="str">
        <f>IF(ISNUMBER($K166),YEAR($K166)&amp;"-"&amp;TEXT(MONTH($K166),"00"),"")</f>
        <v/>
      </c>
      <c r="AK166" s="71">
        <f>IF($B166="",0,IF(AND(OR(fClient="All",$A166=fClient),OR(fCampaign="All",$B166=fCampaign),OR(fTeam="All",$I166=fTeam),OR(fChannel="All",$H166=fChannel),OR(fCStatus="All",$N166=fCStatus)),1,0))</f>
        <v>0</v>
      </c>
      <c r="AL166" s="71">
        <f>IF($B166="",0,IF(AND(OR(fClient="All",$A166=fClient),OR(fCampaign="All",$B166=fCampaign),OR(fTeam="All",$I166=fTeam),OR(fChannel="All",$H166=fChannel)),1,0))</f>
        <v>0</v>
      </c>
      <c r="AM166" s="71">
        <f>IF(OR($N166="Live",$N166="Optimizing"),1,0)</f>
        <v>0</v>
      </c>
      <c r="AN166" s="71">
        <f>IF(OR($N166="Live",$N166="Optimizing",$N166="Paused",$N166="Completed"),1,0)</f>
        <v>0</v>
      </c>
      <c r="AO166" s="71">
        <f>IF(AND($AM166=1,ISNUMBER($L166),NOT(ISNUMBER($M166))),IF($L166&lt;ReportDate,1,0),0)</f>
        <v>0</v>
      </c>
      <c r="AP166" s="71">
        <f>IF($AM166=1,IF(ISNUMBER($AG166),IF(ReportDate-$AG166&gt;CampStaleDays,1,0),1),0)</f>
        <v>0</v>
      </c>
      <c r="AQ166" s="71">
        <f>IF(AND($AM166=1,OR($AA166="Behind",$AA166="At Risk")),1,0)</f>
        <v>0</v>
      </c>
      <c r="AR166" s="71">
        <f>IF(AND($AM166=1,OR($AA166="Ahead",$AA166="On Track")),1,0)</f>
        <v>0</v>
      </c>
      <c r="AS166" s="71">
        <f>IF(OR($AQ166=1,$AP166=1,$AO166=1),1,0)</f>
        <v>0</v>
      </c>
      <c r="AT166" s="71" t="str">
        <f>IF($AS166=1,TRIM(IF($AQ166=1,"Low performance. ","")&amp;IF($AP166=1,"No recent update. ","")&amp;IF($AO166=1,"Past planned end. ","")),"")</f>
        <v/>
      </c>
      <c r="AU166" s="71" t="str">
        <f>IF(AND($AS166=1,$AL166=1),ROW(),"")</f>
        <v/>
      </c>
      <c r="AV166" s="71" t="str">
        <f>IF(AND($AQ166=1,$AL166=1),ROW(),"")</f>
        <v/>
      </c>
      <c r="AW166" s="71" t="str">
        <f>IF(AND($AP166=1,$AL166=1),ROW(),"")</f>
        <v/>
      </c>
      <c r="AX166" s="71" t="str">
        <f>IF(AND($AR166=1,$AL166=1),ROW(),"")</f>
        <v/>
      </c>
      <c r="AY166" s="71">
        <f>IF(AND($B166&lt;&gt;"",$A166=TCL_Client),1,0)</f>
        <v>0</v>
      </c>
      <c r="AZ166" s="71" t="str">
        <f>IF($AY166=1,ROW(),"")</f>
        <v/>
      </c>
      <c r="BA166" s="71">
        <f>IF(AND($B166&lt;&gt;"",$A166=MECCA_Client),1,0)</f>
        <v>0</v>
      </c>
      <c r="BB166" s="71" t="str">
        <f>IF($BA166=1,ROW(),"")</f>
        <v/>
      </c>
    </row>
    <row r="167">
      <c r="A167" s="64" t="n"/>
      <c r="B167" s="65" t="n"/>
      <c r="C167" s="64" t="n"/>
      <c r="D167" s="64" t="n"/>
      <c r="E167" s="64" t="n"/>
      <c r="F167" s="65" t="n"/>
      <c r="G167" s="65" t="n"/>
      <c r="H167" s="64" t="n"/>
      <c r="I167" s="64" t="n"/>
      <c r="J167" s="65" t="n"/>
      <c r="K167" s="63" t="n"/>
      <c r="L167" s="63" t="n"/>
      <c r="M167" s="63" t="n"/>
      <c r="N167" s="64" t="n"/>
      <c r="O167" s="67" t="n"/>
      <c r="P167" s="72" t="str">
        <f>IF($B167="","",SUMIFS('PAID MEDIA ADS'!$G$5:$G$804,'PAID MEDIA ADS'!$C$5:$C$804,$B167))</f>
        <v/>
      </c>
      <c r="Q167" s="67" t="n"/>
      <c r="R167" s="72" t="str">
        <f>IF($B167="","",COUNTIFS('LEAD MQL TRACKER'!$C$5:$C$1004,$B167,'LEAD MQL TRACKER'!$AB$5:$AB$1004,1)+SUMIFS('EMAIL MARKETING'!$Q$5:$Q$804,'EMAIL MARKETING'!$C$5:$C$804,$B167)+SUMIFS('PAID MEDIA ADS'!$M$5:$M$804,'PAID MEDIA ADS'!$C$5:$C$804,$B167)+SUMIFS('LINKEDIN OUTREACH'!$N$5:$N$704,'LINKEDIN OUTREACH'!$C$5:$C$704,$B167))</f>
        <v/>
      </c>
      <c r="S167" s="67" t="n"/>
      <c r="T167" s="72" t="str">
        <f>IF($B167="","",COUNTIFS('LEAD MQL TRACKER'!$C$5:$C$1004,$B167,'LEAD MQL TRACKER'!$AD$5:$AD$1004,1)+SUMIFS('EMAIL MARKETING'!$R$5:$R$804,'EMAIL MARKETING'!$C$5:$C$804,$B167)+SUMIFS('PAID MEDIA ADS'!$N$5:$N$804,'PAID MEDIA ADS'!$C$5:$C$804,$B167)+SUMIFS('LINKEDIN OUTREACH'!$O$5:$O$704,'LINKEDIN OUTREACH'!$C$5:$C$704,$B167))</f>
        <v/>
      </c>
      <c r="U167" s="67" t="n"/>
      <c r="V167" s="72" t="str">
        <f>IF($B167="","",COUNTIFS('LEAD MQL TRACKER'!$C$5:$C$1004,$B167,'LEAD MQL TRACKER'!$AE$5:$AE$1004,1))</f>
        <v/>
      </c>
      <c r="W167" s="72" t="str">
        <f>IF($B167="","",COUNTIFS('LEAD MQL TRACKER'!$C$5:$C$1004,$B167,'LEAD MQL TRACKER'!$AC$5:$AC$1004,1)+SUMIFS('LINKEDIN OUTREACH'!$M$5:$M$704,'LINKEDIN OUTREACH'!$C$5:$C$704,$B167))</f>
        <v/>
      </c>
      <c r="X167" s="72" t="str">
        <f>IF($B167="","",SUMIFS('EMAIL MARKETING'!$O$5:$O$804,'EMAIL MARKETING'!$C$5:$C$804,$B167)+SUMIFS('LINKEDIN OUTREACH'!$K$5:$K$704,'LINKEDIN OUTREACH'!$C$5:$C$704,$B167))</f>
        <v/>
      </c>
      <c r="Y167" s="73" t="str">
        <f>IF(ISNUMBER($R167),IF($R167&gt;0,$T167/$R167,""),"")</f>
        <v/>
      </c>
      <c r="Z167" s="72" t="str">
        <f>IF(AND(ISNUMBER($P167),ISNUMBER($R167)),IF(AND($P167&gt;0,$R167&gt;0),$P167/$R167,""),"")</f>
        <v/>
      </c>
      <c r="AA167" s="71" t="str">
        <f>IF($B167="","",IF(OR($N167="Live",$N167="Optimizing",$N167="Paused",$N167="Completed"),IF(ISNUMBER($AI167),IF($AI167&gt;=1,"Ahead",IF($AI167&gt;=OnTrackPct,"On Track",IF($AI167&gt;=WatchPct,"Behind","At Risk"))),"No Target Set"),"Not Live"))</f>
        <v/>
      </c>
      <c r="AB167" s="65" t="n"/>
      <c r="AC167" s="65" t="n"/>
      <c r="AD167" s="65" t="n"/>
      <c r="AE167" s="67" t="n"/>
      <c r="AF167" s="67" t="n"/>
      <c r="AG167" s="63" t="n"/>
      <c r="AH167" s="74">
        <f>IF($N167="Completed",1,IF(AND(ISNUMBER($K167),ISNUMBER($L167)),IF($L167&gt;$K167,MIN(1,MAX(0.05,(ReportDate-$K167)/($L167-$K167))),1),1))</f>
        <v>1</v>
      </c>
      <c r="AI167" s="70" t="str">
        <f>IF($B167="","",IF(AND(ISNUMBER($Q167),$Q167&gt;0),$R167/($Q167*$AH167),""))</f>
        <v/>
      </c>
      <c r="AJ167" s="71" t="str">
        <f>IF(ISNUMBER($K167),YEAR($K167)&amp;"-"&amp;TEXT(MONTH($K167),"00"),"")</f>
        <v/>
      </c>
      <c r="AK167" s="71">
        <f>IF($B167="",0,IF(AND(OR(fClient="All",$A167=fClient),OR(fCampaign="All",$B167=fCampaign),OR(fTeam="All",$I167=fTeam),OR(fChannel="All",$H167=fChannel),OR(fCStatus="All",$N167=fCStatus)),1,0))</f>
        <v>0</v>
      </c>
      <c r="AL167" s="71">
        <f>IF($B167="",0,IF(AND(OR(fClient="All",$A167=fClient),OR(fCampaign="All",$B167=fCampaign),OR(fTeam="All",$I167=fTeam),OR(fChannel="All",$H167=fChannel)),1,0))</f>
        <v>0</v>
      </c>
      <c r="AM167" s="71">
        <f>IF(OR($N167="Live",$N167="Optimizing"),1,0)</f>
        <v>0</v>
      </c>
      <c r="AN167" s="71">
        <f>IF(OR($N167="Live",$N167="Optimizing",$N167="Paused",$N167="Completed"),1,0)</f>
        <v>0</v>
      </c>
      <c r="AO167" s="71">
        <f>IF(AND($AM167=1,ISNUMBER($L167),NOT(ISNUMBER($M167))),IF($L167&lt;ReportDate,1,0),0)</f>
        <v>0</v>
      </c>
      <c r="AP167" s="71">
        <f>IF($AM167=1,IF(ISNUMBER($AG167),IF(ReportDate-$AG167&gt;CampStaleDays,1,0),1),0)</f>
        <v>0</v>
      </c>
      <c r="AQ167" s="71">
        <f>IF(AND($AM167=1,OR($AA167="Behind",$AA167="At Risk")),1,0)</f>
        <v>0</v>
      </c>
      <c r="AR167" s="71">
        <f>IF(AND($AM167=1,OR($AA167="Ahead",$AA167="On Track")),1,0)</f>
        <v>0</v>
      </c>
      <c r="AS167" s="71">
        <f>IF(OR($AQ167=1,$AP167=1,$AO167=1),1,0)</f>
        <v>0</v>
      </c>
      <c r="AT167" s="71" t="str">
        <f>IF($AS167=1,TRIM(IF($AQ167=1,"Low performance. ","")&amp;IF($AP167=1,"No recent update. ","")&amp;IF($AO167=1,"Past planned end. ","")),"")</f>
        <v/>
      </c>
      <c r="AU167" s="71" t="str">
        <f>IF(AND($AS167=1,$AL167=1),ROW(),"")</f>
        <v/>
      </c>
      <c r="AV167" s="71" t="str">
        <f>IF(AND($AQ167=1,$AL167=1),ROW(),"")</f>
        <v/>
      </c>
      <c r="AW167" s="71" t="str">
        <f>IF(AND($AP167=1,$AL167=1),ROW(),"")</f>
        <v/>
      </c>
      <c r="AX167" s="71" t="str">
        <f>IF(AND($AR167=1,$AL167=1),ROW(),"")</f>
        <v/>
      </c>
      <c r="AY167" s="71">
        <f>IF(AND($B167&lt;&gt;"",$A167=TCL_Client),1,0)</f>
        <v>0</v>
      </c>
      <c r="AZ167" s="71" t="str">
        <f>IF($AY167=1,ROW(),"")</f>
        <v/>
      </c>
      <c r="BA167" s="71">
        <f>IF(AND($B167&lt;&gt;"",$A167=MECCA_Client),1,0)</f>
        <v>0</v>
      </c>
      <c r="BB167" s="71" t="str">
        <f>IF($BA167=1,ROW(),"")</f>
        <v/>
      </c>
    </row>
    <row r="168">
      <c r="A168" s="64" t="n"/>
      <c r="B168" s="65" t="n"/>
      <c r="C168" s="64" t="n"/>
      <c r="D168" s="64" t="n"/>
      <c r="E168" s="64" t="n"/>
      <c r="F168" s="65" t="n"/>
      <c r="G168" s="65" t="n"/>
      <c r="H168" s="64" t="n"/>
      <c r="I168" s="64" t="n"/>
      <c r="J168" s="65" t="n"/>
      <c r="K168" s="63" t="n"/>
      <c r="L168" s="63" t="n"/>
      <c r="M168" s="63" t="n"/>
      <c r="N168" s="64" t="n"/>
      <c r="O168" s="67" t="n"/>
      <c r="P168" s="72" t="str">
        <f>IF($B168="","",SUMIFS('PAID MEDIA ADS'!$G$5:$G$804,'PAID MEDIA ADS'!$C$5:$C$804,$B168))</f>
        <v/>
      </c>
      <c r="Q168" s="67" t="n"/>
      <c r="R168" s="72" t="str">
        <f>IF($B168="","",COUNTIFS('LEAD MQL TRACKER'!$C$5:$C$1004,$B168,'LEAD MQL TRACKER'!$AB$5:$AB$1004,1)+SUMIFS('EMAIL MARKETING'!$Q$5:$Q$804,'EMAIL MARKETING'!$C$5:$C$804,$B168)+SUMIFS('PAID MEDIA ADS'!$M$5:$M$804,'PAID MEDIA ADS'!$C$5:$C$804,$B168)+SUMIFS('LINKEDIN OUTREACH'!$N$5:$N$704,'LINKEDIN OUTREACH'!$C$5:$C$704,$B168))</f>
        <v/>
      </c>
      <c r="S168" s="67" t="n"/>
      <c r="T168" s="72" t="str">
        <f>IF($B168="","",COUNTIFS('LEAD MQL TRACKER'!$C$5:$C$1004,$B168,'LEAD MQL TRACKER'!$AD$5:$AD$1004,1)+SUMIFS('EMAIL MARKETING'!$R$5:$R$804,'EMAIL MARKETING'!$C$5:$C$804,$B168)+SUMIFS('PAID MEDIA ADS'!$N$5:$N$804,'PAID MEDIA ADS'!$C$5:$C$804,$B168)+SUMIFS('LINKEDIN OUTREACH'!$O$5:$O$704,'LINKEDIN OUTREACH'!$C$5:$C$704,$B168))</f>
        <v/>
      </c>
      <c r="U168" s="67" t="n"/>
      <c r="V168" s="72" t="str">
        <f>IF($B168="","",COUNTIFS('LEAD MQL TRACKER'!$C$5:$C$1004,$B168,'LEAD MQL TRACKER'!$AE$5:$AE$1004,1))</f>
        <v/>
      </c>
      <c r="W168" s="72" t="str">
        <f>IF($B168="","",COUNTIFS('LEAD MQL TRACKER'!$C$5:$C$1004,$B168,'LEAD MQL TRACKER'!$AC$5:$AC$1004,1)+SUMIFS('LINKEDIN OUTREACH'!$M$5:$M$704,'LINKEDIN OUTREACH'!$C$5:$C$704,$B168))</f>
        <v/>
      </c>
      <c r="X168" s="72" t="str">
        <f>IF($B168="","",SUMIFS('EMAIL MARKETING'!$O$5:$O$804,'EMAIL MARKETING'!$C$5:$C$804,$B168)+SUMIFS('LINKEDIN OUTREACH'!$K$5:$K$704,'LINKEDIN OUTREACH'!$C$5:$C$704,$B168))</f>
        <v/>
      </c>
      <c r="Y168" s="73" t="str">
        <f>IF(ISNUMBER($R168),IF($R168&gt;0,$T168/$R168,""),"")</f>
        <v/>
      </c>
      <c r="Z168" s="72" t="str">
        <f>IF(AND(ISNUMBER($P168),ISNUMBER($R168)),IF(AND($P168&gt;0,$R168&gt;0),$P168/$R168,""),"")</f>
        <v/>
      </c>
      <c r="AA168" s="71" t="str">
        <f>IF($B168="","",IF(OR($N168="Live",$N168="Optimizing",$N168="Paused",$N168="Completed"),IF(ISNUMBER($AI168),IF($AI168&gt;=1,"Ahead",IF($AI168&gt;=OnTrackPct,"On Track",IF($AI168&gt;=WatchPct,"Behind","At Risk"))),"No Target Set"),"Not Live"))</f>
        <v/>
      </c>
      <c r="AB168" s="65" t="n"/>
      <c r="AC168" s="65" t="n"/>
      <c r="AD168" s="65" t="n"/>
      <c r="AE168" s="67" t="n"/>
      <c r="AF168" s="67" t="n"/>
      <c r="AG168" s="63" t="n"/>
      <c r="AH168" s="74">
        <f>IF($N168="Completed",1,IF(AND(ISNUMBER($K168),ISNUMBER($L168)),IF($L168&gt;$K168,MIN(1,MAX(0.05,(ReportDate-$K168)/($L168-$K168))),1),1))</f>
        <v>1</v>
      </c>
      <c r="AI168" s="70" t="str">
        <f>IF($B168="","",IF(AND(ISNUMBER($Q168),$Q168&gt;0),$R168/($Q168*$AH168),""))</f>
        <v/>
      </c>
      <c r="AJ168" s="71" t="str">
        <f>IF(ISNUMBER($K168),YEAR($K168)&amp;"-"&amp;TEXT(MONTH($K168),"00"),"")</f>
        <v/>
      </c>
      <c r="AK168" s="71">
        <f>IF($B168="",0,IF(AND(OR(fClient="All",$A168=fClient),OR(fCampaign="All",$B168=fCampaign),OR(fTeam="All",$I168=fTeam),OR(fChannel="All",$H168=fChannel),OR(fCStatus="All",$N168=fCStatus)),1,0))</f>
        <v>0</v>
      </c>
      <c r="AL168" s="71">
        <f>IF($B168="",0,IF(AND(OR(fClient="All",$A168=fClient),OR(fCampaign="All",$B168=fCampaign),OR(fTeam="All",$I168=fTeam),OR(fChannel="All",$H168=fChannel)),1,0))</f>
        <v>0</v>
      </c>
      <c r="AM168" s="71">
        <f>IF(OR($N168="Live",$N168="Optimizing"),1,0)</f>
        <v>0</v>
      </c>
      <c r="AN168" s="71">
        <f>IF(OR($N168="Live",$N168="Optimizing",$N168="Paused",$N168="Completed"),1,0)</f>
        <v>0</v>
      </c>
      <c r="AO168" s="71">
        <f>IF(AND($AM168=1,ISNUMBER($L168),NOT(ISNUMBER($M168))),IF($L168&lt;ReportDate,1,0),0)</f>
        <v>0</v>
      </c>
      <c r="AP168" s="71">
        <f>IF($AM168=1,IF(ISNUMBER($AG168),IF(ReportDate-$AG168&gt;CampStaleDays,1,0),1),0)</f>
        <v>0</v>
      </c>
      <c r="AQ168" s="71">
        <f>IF(AND($AM168=1,OR($AA168="Behind",$AA168="At Risk")),1,0)</f>
        <v>0</v>
      </c>
      <c r="AR168" s="71">
        <f>IF(AND($AM168=1,OR($AA168="Ahead",$AA168="On Track")),1,0)</f>
        <v>0</v>
      </c>
      <c r="AS168" s="71">
        <f>IF(OR($AQ168=1,$AP168=1,$AO168=1),1,0)</f>
        <v>0</v>
      </c>
      <c r="AT168" s="71" t="str">
        <f>IF($AS168=1,TRIM(IF($AQ168=1,"Low performance. ","")&amp;IF($AP168=1,"No recent update. ","")&amp;IF($AO168=1,"Past planned end. ","")),"")</f>
        <v/>
      </c>
      <c r="AU168" s="71" t="str">
        <f>IF(AND($AS168=1,$AL168=1),ROW(),"")</f>
        <v/>
      </c>
      <c r="AV168" s="71" t="str">
        <f>IF(AND($AQ168=1,$AL168=1),ROW(),"")</f>
        <v/>
      </c>
      <c r="AW168" s="71" t="str">
        <f>IF(AND($AP168=1,$AL168=1),ROW(),"")</f>
        <v/>
      </c>
      <c r="AX168" s="71" t="str">
        <f>IF(AND($AR168=1,$AL168=1),ROW(),"")</f>
        <v/>
      </c>
      <c r="AY168" s="71">
        <f>IF(AND($B168&lt;&gt;"",$A168=TCL_Client),1,0)</f>
        <v>0</v>
      </c>
      <c r="AZ168" s="71" t="str">
        <f>IF($AY168=1,ROW(),"")</f>
        <v/>
      </c>
      <c r="BA168" s="71">
        <f>IF(AND($B168&lt;&gt;"",$A168=MECCA_Client),1,0)</f>
        <v>0</v>
      </c>
      <c r="BB168" s="71" t="str">
        <f>IF($BA168=1,ROW(),"")</f>
        <v/>
      </c>
    </row>
    <row r="169">
      <c r="A169" s="64" t="n"/>
      <c r="B169" s="65" t="n"/>
      <c r="C169" s="64" t="n"/>
      <c r="D169" s="64" t="n"/>
      <c r="E169" s="64" t="n"/>
      <c r="F169" s="65" t="n"/>
      <c r="G169" s="65" t="n"/>
      <c r="H169" s="64" t="n"/>
      <c r="I169" s="64" t="n"/>
      <c r="J169" s="65" t="n"/>
      <c r="K169" s="63" t="n"/>
      <c r="L169" s="63" t="n"/>
      <c r="M169" s="63" t="n"/>
      <c r="N169" s="64" t="n"/>
      <c r="O169" s="67" t="n"/>
      <c r="P169" s="72" t="str">
        <f>IF($B169="","",SUMIFS('PAID MEDIA ADS'!$G$5:$G$804,'PAID MEDIA ADS'!$C$5:$C$804,$B169))</f>
        <v/>
      </c>
      <c r="Q169" s="67" t="n"/>
      <c r="R169" s="72" t="str">
        <f>IF($B169="","",COUNTIFS('LEAD MQL TRACKER'!$C$5:$C$1004,$B169,'LEAD MQL TRACKER'!$AB$5:$AB$1004,1)+SUMIFS('EMAIL MARKETING'!$Q$5:$Q$804,'EMAIL MARKETING'!$C$5:$C$804,$B169)+SUMIFS('PAID MEDIA ADS'!$M$5:$M$804,'PAID MEDIA ADS'!$C$5:$C$804,$B169)+SUMIFS('LINKEDIN OUTREACH'!$N$5:$N$704,'LINKEDIN OUTREACH'!$C$5:$C$704,$B169))</f>
        <v/>
      </c>
      <c r="S169" s="67" t="n"/>
      <c r="T169" s="72" t="str">
        <f>IF($B169="","",COUNTIFS('LEAD MQL TRACKER'!$C$5:$C$1004,$B169,'LEAD MQL TRACKER'!$AD$5:$AD$1004,1)+SUMIFS('EMAIL MARKETING'!$R$5:$R$804,'EMAIL MARKETING'!$C$5:$C$804,$B169)+SUMIFS('PAID MEDIA ADS'!$N$5:$N$804,'PAID MEDIA ADS'!$C$5:$C$804,$B169)+SUMIFS('LINKEDIN OUTREACH'!$O$5:$O$704,'LINKEDIN OUTREACH'!$C$5:$C$704,$B169))</f>
        <v/>
      </c>
      <c r="U169" s="67" t="n"/>
      <c r="V169" s="72" t="str">
        <f>IF($B169="","",COUNTIFS('LEAD MQL TRACKER'!$C$5:$C$1004,$B169,'LEAD MQL TRACKER'!$AE$5:$AE$1004,1))</f>
        <v/>
      </c>
      <c r="W169" s="72" t="str">
        <f>IF($B169="","",COUNTIFS('LEAD MQL TRACKER'!$C$5:$C$1004,$B169,'LEAD MQL TRACKER'!$AC$5:$AC$1004,1)+SUMIFS('LINKEDIN OUTREACH'!$M$5:$M$704,'LINKEDIN OUTREACH'!$C$5:$C$704,$B169))</f>
        <v/>
      </c>
      <c r="X169" s="72" t="str">
        <f>IF($B169="","",SUMIFS('EMAIL MARKETING'!$O$5:$O$804,'EMAIL MARKETING'!$C$5:$C$804,$B169)+SUMIFS('LINKEDIN OUTREACH'!$K$5:$K$704,'LINKEDIN OUTREACH'!$C$5:$C$704,$B169))</f>
        <v/>
      </c>
      <c r="Y169" s="73" t="str">
        <f>IF(ISNUMBER($R169),IF($R169&gt;0,$T169/$R169,""),"")</f>
        <v/>
      </c>
      <c r="Z169" s="72" t="str">
        <f>IF(AND(ISNUMBER($P169),ISNUMBER($R169)),IF(AND($P169&gt;0,$R169&gt;0),$P169/$R169,""),"")</f>
        <v/>
      </c>
      <c r="AA169" s="71" t="str">
        <f>IF($B169="","",IF(OR($N169="Live",$N169="Optimizing",$N169="Paused",$N169="Completed"),IF(ISNUMBER($AI169),IF($AI169&gt;=1,"Ahead",IF($AI169&gt;=OnTrackPct,"On Track",IF($AI169&gt;=WatchPct,"Behind","At Risk"))),"No Target Set"),"Not Live"))</f>
        <v/>
      </c>
      <c r="AB169" s="65" t="n"/>
      <c r="AC169" s="65" t="n"/>
      <c r="AD169" s="65" t="n"/>
      <c r="AE169" s="67" t="n"/>
      <c r="AF169" s="67" t="n"/>
      <c r="AG169" s="63" t="n"/>
      <c r="AH169" s="74">
        <f>IF($N169="Completed",1,IF(AND(ISNUMBER($K169),ISNUMBER($L169)),IF($L169&gt;$K169,MIN(1,MAX(0.05,(ReportDate-$K169)/($L169-$K169))),1),1))</f>
        <v>1</v>
      </c>
      <c r="AI169" s="70" t="str">
        <f>IF($B169="","",IF(AND(ISNUMBER($Q169),$Q169&gt;0),$R169/($Q169*$AH169),""))</f>
        <v/>
      </c>
      <c r="AJ169" s="71" t="str">
        <f>IF(ISNUMBER($K169),YEAR($K169)&amp;"-"&amp;TEXT(MONTH($K169),"00"),"")</f>
        <v/>
      </c>
      <c r="AK169" s="71">
        <f>IF($B169="",0,IF(AND(OR(fClient="All",$A169=fClient),OR(fCampaign="All",$B169=fCampaign),OR(fTeam="All",$I169=fTeam),OR(fChannel="All",$H169=fChannel),OR(fCStatus="All",$N169=fCStatus)),1,0))</f>
        <v>0</v>
      </c>
      <c r="AL169" s="71">
        <f>IF($B169="",0,IF(AND(OR(fClient="All",$A169=fClient),OR(fCampaign="All",$B169=fCampaign),OR(fTeam="All",$I169=fTeam),OR(fChannel="All",$H169=fChannel)),1,0))</f>
        <v>0</v>
      </c>
      <c r="AM169" s="71">
        <f>IF(OR($N169="Live",$N169="Optimizing"),1,0)</f>
        <v>0</v>
      </c>
      <c r="AN169" s="71">
        <f>IF(OR($N169="Live",$N169="Optimizing",$N169="Paused",$N169="Completed"),1,0)</f>
        <v>0</v>
      </c>
      <c r="AO169" s="71">
        <f>IF(AND($AM169=1,ISNUMBER($L169),NOT(ISNUMBER($M169))),IF($L169&lt;ReportDate,1,0),0)</f>
        <v>0</v>
      </c>
      <c r="AP169" s="71">
        <f>IF($AM169=1,IF(ISNUMBER($AG169),IF(ReportDate-$AG169&gt;CampStaleDays,1,0),1),0)</f>
        <v>0</v>
      </c>
      <c r="AQ169" s="71">
        <f>IF(AND($AM169=1,OR($AA169="Behind",$AA169="At Risk")),1,0)</f>
        <v>0</v>
      </c>
      <c r="AR169" s="71">
        <f>IF(AND($AM169=1,OR($AA169="Ahead",$AA169="On Track")),1,0)</f>
        <v>0</v>
      </c>
      <c r="AS169" s="71">
        <f>IF(OR($AQ169=1,$AP169=1,$AO169=1),1,0)</f>
        <v>0</v>
      </c>
      <c r="AT169" s="71" t="str">
        <f>IF($AS169=1,TRIM(IF($AQ169=1,"Low performance. ","")&amp;IF($AP169=1,"No recent update. ","")&amp;IF($AO169=1,"Past planned end. ","")),"")</f>
        <v/>
      </c>
      <c r="AU169" s="71" t="str">
        <f>IF(AND($AS169=1,$AL169=1),ROW(),"")</f>
        <v/>
      </c>
      <c r="AV169" s="71" t="str">
        <f>IF(AND($AQ169=1,$AL169=1),ROW(),"")</f>
        <v/>
      </c>
      <c r="AW169" s="71" t="str">
        <f>IF(AND($AP169=1,$AL169=1),ROW(),"")</f>
        <v/>
      </c>
      <c r="AX169" s="71" t="str">
        <f>IF(AND($AR169=1,$AL169=1),ROW(),"")</f>
        <v/>
      </c>
      <c r="AY169" s="71">
        <f>IF(AND($B169&lt;&gt;"",$A169=TCL_Client),1,0)</f>
        <v>0</v>
      </c>
      <c r="AZ169" s="71" t="str">
        <f>IF($AY169=1,ROW(),"")</f>
        <v/>
      </c>
      <c r="BA169" s="71">
        <f>IF(AND($B169&lt;&gt;"",$A169=MECCA_Client),1,0)</f>
        <v>0</v>
      </c>
      <c r="BB169" s="71" t="str">
        <f>IF($BA169=1,ROW(),"")</f>
        <v/>
      </c>
    </row>
    <row r="170">
      <c r="A170" s="64" t="n"/>
      <c r="B170" s="65" t="n"/>
      <c r="C170" s="64" t="n"/>
      <c r="D170" s="64" t="n"/>
      <c r="E170" s="64" t="n"/>
      <c r="F170" s="65" t="n"/>
      <c r="G170" s="65" t="n"/>
      <c r="H170" s="64" t="n"/>
      <c r="I170" s="64" t="n"/>
      <c r="J170" s="65" t="n"/>
      <c r="K170" s="63" t="n"/>
      <c r="L170" s="63" t="n"/>
      <c r="M170" s="63" t="n"/>
      <c r="N170" s="64" t="n"/>
      <c r="O170" s="67" t="n"/>
      <c r="P170" s="72" t="str">
        <f>IF($B170="","",SUMIFS('PAID MEDIA ADS'!$G$5:$G$804,'PAID MEDIA ADS'!$C$5:$C$804,$B170))</f>
        <v/>
      </c>
      <c r="Q170" s="67" t="n"/>
      <c r="R170" s="72" t="str">
        <f>IF($B170="","",COUNTIFS('LEAD MQL TRACKER'!$C$5:$C$1004,$B170,'LEAD MQL TRACKER'!$AB$5:$AB$1004,1)+SUMIFS('EMAIL MARKETING'!$Q$5:$Q$804,'EMAIL MARKETING'!$C$5:$C$804,$B170)+SUMIFS('PAID MEDIA ADS'!$M$5:$M$804,'PAID MEDIA ADS'!$C$5:$C$804,$B170)+SUMIFS('LINKEDIN OUTREACH'!$N$5:$N$704,'LINKEDIN OUTREACH'!$C$5:$C$704,$B170))</f>
        <v/>
      </c>
      <c r="S170" s="67" t="n"/>
      <c r="T170" s="72" t="str">
        <f>IF($B170="","",COUNTIFS('LEAD MQL TRACKER'!$C$5:$C$1004,$B170,'LEAD MQL TRACKER'!$AD$5:$AD$1004,1)+SUMIFS('EMAIL MARKETING'!$R$5:$R$804,'EMAIL MARKETING'!$C$5:$C$804,$B170)+SUMIFS('PAID MEDIA ADS'!$N$5:$N$804,'PAID MEDIA ADS'!$C$5:$C$804,$B170)+SUMIFS('LINKEDIN OUTREACH'!$O$5:$O$704,'LINKEDIN OUTREACH'!$C$5:$C$704,$B170))</f>
        <v/>
      </c>
      <c r="U170" s="67" t="n"/>
      <c r="V170" s="72" t="str">
        <f>IF($B170="","",COUNTIFS('LEAD MQL TRACKER'!$C$5:$C$1004,$B170,'LEAD MQL TRACKER'!$AE$5:$AE$1004,1))</f>
        <v/>
      </c>
      <c r="W170" s="72" t="str">
        <f>IF($B170="","",COUNTIFS('LEAD MQL TRACKER'!$C$5:$C$1004,$B170,'LEAD MQL TRACKER'!$AC$5:$AC$1004,1)+SUMIFS('LINKEDIN OUTREACH'!$M$5:$M$704,'LINKEDIN OUTREACH'!$C$5:$C$704,$B170))</f>
        <v/>
      </c>
      <c r="X170" s="72" t="str">
        <f>IF($B170="","",SUMIFS('EMAIL MARKETING'!$O$5:$O$804,'EMAIL MARKETING'!$C$5:$C$804,$B170)+SUMIFS('LINKEDIN OUTREACH'!$K$5:$K$704,'LINKEDIN OUTREACH'!$C$5:$C$704,$B170))</f>
        <v/>
      </c>
      <c r="Y170" s="73" t="str">
        <f>IF(ISNUMBER($R170),IF($R170&gt;0,$T170/$R170,""),"")</f>
        <v/>
      </c>
      <c r="Z170" s="72" t="str">
        <f>IF(AND(ISNUMBER($P170),ISNUMBER($R170)),IF(AND($P170&gt;0,$R170&gt;0),$P170/$R170,""),"")</f>
        <v/>
      </c>
      <c r="AA170" s="71" t="str">
        <f>IF($B170="","",IF(OR($N170="Live",$N170="Optimizing",$N170="Paused",$N170="Completed"),IF(ISNUMBER($AI170),IF($AI170&gt;=1,"Ahead",IF($AI170&gt;=OnTrackPct,"On Track",IF($AI170&gt;=WatchPct,"Behind","At Risk"))),"No Target Set"),"Not Live"))</f>
        <v/>
      </c>
      <c r="AB170" s="65" t="n"/>
      <c r="AC170" s="65" t="n"/>
      <c r="AD170" s="65" t="n"/>
      <c r="AE170" s="67" t="n"/>
      <c r="AF170" s="67" t="n"/>
      <c r="AG170" s="63" t="n"/>
      <c r="AH170" s="74">
        <f>IF($N170="Completed",1,IF(AND(ISNUMBER($K170),ISNUMBER($L170)),IF($L170&gt;$K170,MIN(1,MAX(0.05,(ReportDate-$K170)/($L170-$K170))),1),1))</f>
        <v>1</v>
      </c>
      <c r="AI170" s="70" t="str">
        <f>IF($B170="","",IF(AND(ISNUMBER($Q170),$Q170&gt;0),$R170/($Q170*$AH170),""))</f>
        <v/>
      </c>
      <c r="AJ170" s="71" t="str">
        <f>IF(ISNUMBER($K170),YEAR($K170)&amp;"-"&amp;TEXT(MONTH($K170),"00"),"")</f>
        <v/>
      </c>
      <c r="AK170" s="71">
        <f>IF($B170="",0,IF(AND(OR(fClient="All",$A170=fClient),OR(fCampaign="All",$B170=fCampaign),OR(fTeam="All",$I170=fTeam),OR(fChannel="All",$H170=fChannel),OR(fCStatus="All",$N170=fCStatus)),1,0))</f>
        <v>0</v>
      </c>
      <c r="AL170" s="71">
        <f>IF($B170="",0,IF(AND(OR(fClient="All",$A170=fClient),OR(fCampaign="All",$B170=fCampaign),OR(fTeam="All",$I170=fTeam),OR(fChannel="All",$H170=fChannel)),1,0))</f>
        <v>0</v>
      </c>
      <c r="AM170" s="71">
        <f>IF(OR($N170="Live",$N170="Optimizing"),1,0)</f>
        <v>0</v>
      </c>
      <c r="AN170" s="71">
        <f>IF(OR($N170="Live",$N170="Optimizing",$N170="Paused",$N170="Completed"),1,0)</f>
        <v>0</v>
      </c>
      <c r="AO170" s="71">
        <f>IF(AND($AM170=1,ISNUMBER($L170),NOT(ISNUMBER($M170))),IF($L170&lt;ReportDate,1,0),0)</f>
        <v>0</v>
      </c>
      <c r="AP170" s="71">
        <f>IF($AM170=1,IF(ISNUMBER($AG170),IF(ReportDate-$AG170&gt;CampStaleDays,1,0),1),0)</f>
        <v>0</v>
      </c>
      <c r="AQ170" s="71">
        <f>IF(AND($AM170=1,OR($AA170="Behind",$AA170="At Risk")),1,0)</f>
        <v>0</v>
      </c>
      <c r="AR170" s="71">
        <f>IF(AND($AM170=1,OR($AA170="Ahead",$AA170="On Track")),1,0)</f>
        <v>0</v>
      </c>
      <c r="AS170" s="71">
        <f>IF(OR($AQ170=1,$AP170=1,$AO170=1),1,0)</f>
        <v>0</v>
      </c>
      <c r="AT170" s="71" t="str">
        <f>IF($AS170=1,TRIM(IF($AQ170=1,"Low performance. ","")&amp;IF($AP170=1,"No recent update. ","")&amp;IF($AO170=1,"Past planned end. ","")),"")</f>
        <v/>
      </c>
      <c r="AU170" s="71" t="str">
        <f>IF(AND($AS170=1,$AL170=1),ROW(),"")</f>
        <v/>
      </c>
      <c r="AV170" s="71" t="str">
        <f>IF(AND($AQ170=1,$AL170=1),ROW(),"")</f>
        <v/>
      </c>
      <c r="AW170" s="71" t="str">
        <f>IF(AND($AP170=1,$AL170=1),ROW(),"")</f>
        <v/>
      </c>
      <c r="AX170" s="71" t="str">
        <f>IF(AND($AR170=1,$AL170=1),ROW(),"")</f>
        <v/>
      </c>
      <c r="AY170" s="71">
        <f>IF(AND($B170&lt;&gt;"",$A170=TCL_Client),1,0)</f>
        <v>0</v>
      </c>
      <c r="AZ170" s="71" t="str">
        <f>IF($AY170=1,ROW(),"")</f>
        <v/>
      </c>
      <c r="BA170" s="71">
        <f>IF(AND($B170&lt;&gt;"",$A170=MECCA_Client),1,0)</f>
        <v>0</v>
      </c>
      <c r="BB170" s="71" t="str">
        <f>IF($BA170=1,ROW(),"")</f>
        <v/>
      </c>
    </row>
    <row r="171">
      <c r="A171" s="64" t="n"/>
      <c r="B171" s="65" t="n"/>
      <c r="C171" s="64" t="n"/>
      <c r="D171" s="64" t="n"/>
      <c r="E171" s="64" t="n"/>
      <c r="F171" s="65" t="n"/>
      <c r="G171" s="65" t="n"/>
      <c r="H171" s="64" t="n"/>
      <c r="I171" s="64" t="n"/>
      <c r="J171" s="65" t="n"/>
      <c r="K171" s="63" t="n"/>
      <c r="L171" s="63" t="n"/>
      <c r="M171" s="63" t="n"/>
      <c r="N171" s="64" t="n"/>
      <c r="O171" s="67" t="n"/>
      <c r="P171" s="72" t="str">
        <f>IF($B171="","",SUMIFS('PAID MEDIA ADS'!$G$5:$G$804,'PAID MEDIA ADS'!$C$5:$C$804,$B171))</f>
        <v/>
      </c>
      <c r="Q171" s="67" t="n"/>
      <c r="R171" s="72" t="str">
        <f>IF($B171="","",COUNTIFS('LEAD MQL TRACKER'!$C$5:$C$1004,$B171,'LEAD MQL TRACKER'!$AB$5:$AB$1004,1)+SUMIFS('EMAIL MARKETING'!$Q$5:$Q$804,'EMAIL MARKETING'!$C$5:$C$804,$B171)+SUMIFS('PAID MEDIA ADS'!$M$5:$M$804,'PAID MEDIA ADS'!$C$5:$C$804,$B171)+SUMIFS('LINKEDIN OUTREACH'!$N$5:$N$704,'LINKEDIN OUTREACH'!$C$5:$C$704,$B171))</f>
        <v/>
      </c>
      <c r="S171" s="67" t="n"/>
      <c r="T171" s="72" t="str">
        <f>IF($B171="","",COUNTIFS('LEAD MQL TRACKER'!$C$5:$C$1004,$B171,'LEAD MQL TRACKER'!$AD$5:$AD$1004,1)+SUMIFS('EMAIL MARKETING'!$R$5:$R$804,'EMAIL MARKETING'!$C$5:$C$804,$B171)+SUMIFS('PAID MEDIA ADS'!$N$5:$N$804,'PAID MEDIA ADS'!$C$5:$C$804,$B171)+SUMIFS('LINKEDIN OUTREACH'!$O$5:$O$704,'LINKEDIN OUTREACH'!$C$5:$C$704,$B171))</f>
        <v/>
      </c>
      <c r="U171" s="67" t="n"/>
      <c r="V171" s="72" t="str">
        <f>IF($B171="","",COUNTIFS('LEAD MQL TRACKER'!$C$5:$C$1004,$B171,'LEAD MQL TRACKER'!$AE$5:$AE$1004,1))</f>
        <v/>
      </c>
      <c r="W171" s="72" t="str">
        <f>IF($B171="","",COUNTIFS('LEAD MQL TRACKER'!$C$5:$C$1004,$B171,'LEAD MQL TRACKER'!$AC$5:$AC$1004,1)+SUMIFS('LINKEDIN OUTREACH'!$M$5:$M$704,'LINKEDIN OUTREACH'!$C$5:$C$704,$B171))</f>
        <v/>
      </c>
      <c r="X171" s="72" t="str">
        <f>IF($B171="","",SUMIFS('EMAIL MARKETING'!$O$5:$O$804,'EMAIL MARKETING'!$C$5:$C$804,$B171)+SUMIFS('LINKEDIN OUTREACH'!$K$5:$K$704,'LINKEDIN OUTREACH'!$C$5:$C$704,$B171))</f>
        <v/>
      </c>
      <c r="Y171" s="73" t="str">
        <f>IF(ISNUMBER($R171),IF($R171&gt;0,$T171/$R171,""),"")</f>
        <v/>
      </c>
      <c r="Z171" s="72" t="str">
        <f>IF(AND(ISNUMBER($P171),ISNUMBER($R171)),IF(AND($P171&gt;0,$R171&gt;0),$P171/$R171,""),"")</f>
        <v/>
      </c>
      <c r="AA171" s="71" t="str">
        <f>IF($B171="","",IF(OR($N171="Live",$N171="Optimizing",$N171="Paused",$N171="Completed"),IF(ISNUMBER($AI171),IF($AI171&gt;=1,"Ahead",IF($AI171&gt;=OnTrackPct,"On Track",IF($AI171&gt;=WatchPct,"Behind","At Risk"))),"No Target Set"),"Not Live"))</f>
        <v/>
      </c>
      <c r="AB171" s="65" t="n"/>
      <c r="AC171" s="65" t="n"/>
      <c r="AD171" s="65" t="n"/>
      <c r="AE171" s="67" t="n"/>
      <c r="AF171" s="67" t="n"/>
      <c r="AG171" s="63" t="n"/>
      <c r="AH171" s="74">
        <f>IF($N171="Completed",1,IF(AND(ISNUMBER($K171),ISNUMBER($L171)),IF($L171&gt;$K171,MIN(1,MAX(0.05,(ReportDate-$K171)/($L171-$K171))),1),1))</f>
        <v>1</v>
      </c>
      <c r="AI171" s="70" t="str">
        <f>IF($B171="","",IF(AND(ISNUMBER($Q171),$Q171&gt;0),$R171/($Q171*$AH171),""))</f>
        <v/>
      </c>
      <c r="AJ171" s="71" t="str">
        <f>IF(ISNUMBER($K171),YEAR($K171)&amp;"-"&amp;TEXT(MONTH($K171),"00"),"")</f>
        <v/>
      </c>
      <c r="AK171" s="71">
        <f>IF($B171="",0,IF(AND(OR(fClient="All",$A171=fClient),OR(fCampaign="All",$B171=fCampaign),OR(fTeam="All",$I171=fTeam),OR(fChannel="All",$H171=fChannel),OR(fCStatus="All",$N171=fCStatus)),1,0))</f>
        <v>0</v>
      </c>
      <c r="AL171" s="71">
        <f>IF($B171="",0,IF(AND(OR(fClient="All",$A171=fClient),OR(fCampaign="All",$B171=fCampaign),OR(fTeam="All",$I171=fTeam),OR(fChannel="All",$H171=fChannel)),1,0))</f>
        <v>0</v>
      </c>
      <c r="AM171" s="71">
        <f>IF(OR($N171="Live",$N171="Optimizing"),1,0)</f>
        <v>0</v>
      </c>
      <c r="AN171" s="71">
        <f>IF(OR($N171="Live",$N171="Optimizing",$N171="Paused",$N171="Completed"),1,0)</f>
        <v>0</v>
      </c>
      <c r="AO171" s="71">
        <f>IF(AND($AM171=1,ISNUMBER($L171),NOT(ISNUMBER($M171))),IF($L171&lt;ReportDate,1,0),0)</f>
        <v>0</v>
      </c>
      <c r="AP171" s="71">
        <f>IF($AM171=1,IF(ISNUMBER($AG171),IF(ReportDate-$AG171&gt;CampStaleDays,1,0),1),0)</f>
        <v>0</v>
      </c>
      <c r="AQ171" s="71">
        <f>IF(AND($AM171=1,OR($AA171="Behind",$AA171="At Risk")),1,0)</f>
        <v>0</v>
      </c>
      <c r="AR171" s="71">
        <f>IF(AND($AM171=1,OR($AA171="Ahead",$AA171="On Track")),1,0)</f>
        <v>0</v>
      </c>
      <c r="AS171" s="71">
        <f>IF(OR($AQ171=1,$AP171=1,$AO171=1),1,0)</f>
        <v>0</v>
      </c>
      <c r="AT171" s="71" t="str">
        <f>IF($AS171=1,TRIM(IF($AQ171=1,"Low performance. ","")&amp;IF($AP171=1,"No recent update. ","")&amp;IF($AO171=1,"Past planned end. ","")),"")</f>
        <v/>
      </c>
      <c r="AU171" s="71" t="str">
        <f>IF(AND($AS171=1,$AL171=1),ROW(),"")</f>
        <v/>
      </c>
      <c r="AV171" s="71" t="str">
        <f>IF(AND($AQ171=1,$AL171=1),ROW(),"")</f>
        <v/>
      </c>
      <c r="AW171" s="71" t="str">
        <f>IF(AND($AP171=1,$AL171=1),ROW(),"")</f>
        <v/>
      </c>
      <c r="AX171" s="71" t="str">
        <f>IF(AND($AR171=1,$AL171=1),ROW(),"")</f>
        <v/>
      </c>
      <c r="AY171" s="71">
        <f>IF(AND($B171&lt;&gt;"",$A171=TCL_Client),1,0)</f>
        <v>0</v>
      </c>
      <c r="AZ171" s="71" t="str">
        <f>IF($AY171=1,ROW(),"")</f>
        <v/>
      </c>
      <c r="BA171" s="71">
        <f>IF(AND($B171&lt;&gt;"",$A171=MECCA_Client),1,0)</f>
        <v>0</v>
      </c>
      <c r="BB171" s="71" t="str">
        <f>IF($BA171=1,ROW(),"")</f>
        <v/>
      </c>
    </row>
    <row r="172">
      <c r="A172" s="64" t="n"/>
      <c r="B172" s="65" t="n"/>
      <c r="C172" s="64" t="n"/>
      <c r="D172" s="64" t="n"/>
      <c r="E172" s="64" t="n"/>
      <c r="F172" s="65" t="n"/>
      <c r="G172" s="65" t="n"/>
      <c r="H172" s="64" t="n"/>
      <c r="I172" s="64" t="n"/>
      <c r="J172" s="65" t="n"/>
      <c r="K172" s="63" t="n"/>
      <c r="L172" s="63" t="n"/>
      <c r="M172" s="63" t="n"/>
      <c r="N172" s="64" t="n"/>
      <c r="O172" s="67" t="n"/>
      <c r="P172" s="72" t="str">
        <f>IF($B172="","",SUMIFS('PAID MEDIA ADS'!$G$5:$G$804,'PAID MEDIA ADS'!$C$5:$C$804,$B172))</f>
        <v/>
      </c>
      <c r="Q172" s="67" t="n"/>
      <c r="R172" s="72" t="str">
        <f>IF($B172="","",COUNTIFS('LEAD MQL TRACKER'!$C$5:$C$1004,$B172,'LEAD MQL TRACKER'!$AB$5:$AB$1004,1)+SUMIFS('EMAIL MARKETING'!$Q$5:$Q$804,'EMAIL MARKETING'!$C$5:$C$804,$B172)+SUMIFS('PAID MEDIA ADS'!$M$5:$M$804,'PAID MEDIA ADS'!$C$5:$C$804,$B172)+SUMIFS('LINKEDIN OUTREACH'!$N$5:$N$704,'LINKEDIN OUTREACH'!$C$5:$C$704,$B172))</f>
        <v/>
      </c>
      <c r="S172" s="67" t="n"/>
      <c r="T172" s="72" t="str">
        <f>IF($B172="","",COUNTIFS('LEAD MQL TRACKER'!$C$5:$C$1004,$B172,'LEAD MQL TRACKER'!$AD$5:$AD$1004,1)+SUMIFS('EMAIL MARKETING'!$R$5:$R$804,'EMAIL MARKETING'!$C$5:$C$804,$B172)+SUMIFS('PAID MEDIA ADS'!$N$5:$N$804,'PAID MEDIA ADS'!$C$5:$C$804,$B172)+SUMIFS('LINKEDIN OUTREACH'!$O$5:$O$704,'LINKEDIN OUTREACH'!$C$5:$C$704,$B172))</f>
        <v/>
      </c>
      <c r="U172" s="67" t="n"/>
      <c r="V172" s="72" t="str">
        <f>IF($B172="","",COUNTIFS('LEAD MQL TRACKER'!$C$5:$C$1004,$B172,'LEAD MQL TRACKER'!$AE$5:$AE$1004,1))</f>
        <v/>
      </c>
      <c r="W172" s="72" t="str">
        <f>IF($B172="","",COUNTIFS('LEAD MQL TRACKER'!$C$5:$C$1004,$B172,'LEAD MQL TRACKER'!$AC$5:$AC$1004,1)+SUMIFS('LINKEDIN OUTREACH'!$M$5:$M$704,'LINKEDIN OUTREACH'!$C$5:$C$704,$B172))</f>
        <v/>
      </c>
      <c r="X172" s="72" t="str">
        <f>IF($B172="","",SUMIFS('EMAIL MARKETING'!$O$5:$O$804,'EMAIL MARKETING'!$C$5:$C$804,$B172)+SUMIFS('LINKEDIN OUTREACH'!$K$5:$K$704,'LINKEDIN OUTREACH'!$C$5:$C$704,$B172))</f>
        <v/>
      </c>
      <c r="Y172" s="73" t="str">
        <f>IF(ISNUMBER($R172),IF($R172&gt;0,$T172/$R172,""),"")</f>
        <v/>
      </c>
      <c r="Z172" s="72" t="str">
        <f>IF(AND(ISNUMBER($P172),ISNUMBER($R172)),IF(AND($P172&gt;0,$R172&gt;0),$P172/$R172,""),"")</f>
        <v/>
      </c>
      <c r="AA172" s="71" t="str">
        <f>IF($B172="","",IF(OR($N172="Live",$N172="Optimizing",$N172="Paused",$N172="Completed"),IF(ISNUMBER($AI172),IF($AI172&gt;=1,"Ahead",IF($AI172&gt;=OnTrackPct,"On Track",IF($AI172&gt;=WatchPct,"Behind","At Risk"))),"No Target Set"),"Not Live"))</f>
        <v/>
      </c>
      <c r="AB172" s="65" t="n"/>
      <c r="AC172" s="65" t="n"/>
      <c r="AD172" s="65" t="n"/>
      <c r="AE172" s="67" t="n"/>
      <c r="AF172" s="67" t="n"/>
      <c r="AG172" s="63" t="n"/>
      <c r="AH172" s="74">
        <f>IF($N172="Completed",1,IF(AND(ISNUMBER($K172),ISNUMBER($L172)),IF($L172&gt;$K172,MIN(1,MAX(0.05,(ReportDate-$K172)/($L172-$K172))),1),1))</f>
        <v>1</v>
      </c>
      <c r="AI172" s="70" t="str">
        <f>IF($B172="","",IF(AND(ISNUMBER($Q172),$Q172&gt;0),$R172/($Q172*$AH172),""))</f>
        <v/>
      </c>
      <c r="AJ172" s="71" t="str">
        <f>IF(ISNUMBER($K172),YEAR($K172)&amp;"-"&amp;TEXT(MONTH($K172),"00"),"")</f>
        <v/>
      </c>
      <c r="AK172" s="71">
        <f>IF($B172="",0,IF(AND(OR(fClient="All",$A172=fClient),OR(fCampaign="All",$B172=fCampaign),OR(fTeam="All",$I172=fTeam),OR(fChannel="All",$H172=fChannel),OR(fCStatus="All",$N172=fCStatus)),1,0))</f>
        <v>0</v>
      </c>
      <c r="AL172" s="71">
        <f>IF($B172="",0,IF(AND(OR(fClient="All",$A172=fClient),OR(fCampaign="All",$B172=fCampaign),OR(fTeam="All",$I172=fTeam),OR(fChannel="All",$H172=fChannel)),1,0))</f>
        <v>0</v>
      </c>
      <c r="AM172" s="71">
        <f>IF(OR($N172="Live",$N172="Optimizing"),1,0)</f>
        <v>0</v>
      </c>
      <c r="AN172" s="71">
        <f>IF(OR($N172="Live",$N172="Optimizing",$N172="Paused",$N172="Completed"),1,0)</f>
        <v>0</v>
      </c>
      <c r="AO172" s="71">
        <f>IF(AND($AM172=1,ISNUMBER($L172),NOT(ISNUMBER($M172))),IF($L172&lt;ReportDate,1,0),0)</f>
        <v>0</v>
      </c>
      <c r="AP172" s="71">
        <f>IF($AM172=1,IF(ISNUMBER($AG172),IF(ReportDate-$AG172&gt;CampStaleDays,1,0),1),0)</f>
        <v>0</v>
      </c>
      <c r="AQ172" s="71">
        <f>IF(AND($AM172=1,OR($AA172="Behind",$AA172="At Risk")),1,0)</f>
        <v>0</v>
      </c>
      <c r="AR172" s="71">
        <f>IF(AND($AM172=1,OR($AA172="Ahead",$AA172="On Track")),1,0)</f>
        <v>0</v>
      </c>
      <c r="AS172" s="71">
        <f>IF(OR($AQ172=1,$AP172=1,$AO172=1),1,0)</f>
        <v>0</v>
      </c>
      <c r="AT172" s="71" t="str">
        <f>IF($AS172=1,TRIM(IF($AQ172=1,"Low performance. ","")&amp;IF($AP172=1,"No recent update. ","")&amp;IF($AO172=1,"Past planned end. ","")),"")</f>
        <v/>
      </c>
      <c r="AU172" s="71" t="str">
        <f>IF(AND($AS172=1,$AL172=1),ROW(),"")</f>
        <v/>
      </c>
      <c r="AV172" s="71" t="str">
        <f>IF(AND($AQ172=1,$AL172=1),ROW(),"")</f>
        <v/>
      </c>
      <c r="AW172" s="71" t="str">
        <f>IF(AND($AP172=1,$AL172=1),ROW(),"")</f>
        <v/>
      </c>
      <c r="AX172" s="71" t="str">
        <f>IF(AND($AR172=1,$AL172=1),ROW(),"")</f>
        <v/>
      </c>
      <c r="AY172" s="71">
        <f>IF(AND($B172&lt;&gt;"",$A172=TCL_Client),1,0)</f>
        <v>0</v>
      </c>
      <c r="AZ172" s="71" t="str">
        <f>IF($AY172=1,ROW(),"")</f>
        <v/>
      </c>
      <c r="BA172" s="71">
        <f>IF(AND($B172&lt;&gt;"",$A172=MECCA_Client),1,0)</f>
        <v>0</v>
      </c>
      <c r="BB172" s="71" t="str">
        <f>IF($BA172=1,ROW(),"")</f>
        <v/>
      </c>
    </row>
    <row r="173">
      <c r="A173" s="64" t="n"/>
      <c r="B173" s="65" t="n"/>
      <c r="C173" s="64" t="n"/>
      <c r="D173" s="64" t="n"/>
      <c r="E173" s="64" t="n"/>
      <c r="F173" s="65" t="n"/>
      <c r="G173" s="65" t="n"/>
      <c r="H173" s="64" t="n"/>
      <c r="I173" s="64" t="n"/>
      <c r="J173" s="65" t="n"/>
      <c r="K173" s="63" t="n"/>
      <c r="L173" s="63" t="n"/>
      <c r="M173" s="63" t="n"/>
      <c r="N173" s="64" t="n"/>
      <c r="O173" s="67" t="n"/>
      <c r="P173" s="72" t="str">
        <f>IF($B173="","",SUMIFS('PAID MEDIA ADS'!$G$5:$G$804,'PAID MEDIA ADS'!$C$5:$C$804,$B173))</f>
        <v/>
      </c>
      <c r="Q173" s="67" t="n"/>
      <c r="R173" s="72" t="str">
        <f>IF($B173="","",COUNTIFS('LEAD MQL TRACKER'!$C$5:$C$1004,$B173,'LEAD MQL TRACKER'!$AB$5:$AB$1004,1)+SUMIFS('EMAIL MARKETING'!$Q$5:$Q$804,'EMAIL MARKETING'!$C$5:$C$804,$B173)+SUMIFS('PAID MEDIA ADS'!$M$5:$M$804,'PAID MEDIA ADS'!$C$5:$C$804,$B173)+SUMIFS('LINKEDIN OUTREACH'!$N$5:$N$704,'LINKEDIN OUTREACH'!$C$5:$C$704,$B173))</f>
        <v/>
      </c>
      <c r="S173" s="67" t="n"/>
      <c r="T173" s="72" t="str">
        <f>IF($B173="","",COUNTIFS('LEAD MQL TRACKER'!$C$5:$C$1004,$B173,'LEAD MQL TRACKER'!$AD$5:$AD$1004,1)+SUMIFS('EMAIL MARKETING'!$R$5:$R$804,'EMAIL MARKETING'!$C$5:$C$804,$B173)+SUMIFS('PAID MEDIA ADS'!$N$5:$N$804,'PAID MEDIA ADS'!$C$5:$C$804,$B173)+SUMIFS('LINKEDIN OUTREACH'!$O$5:$O$704,'LINKEDIN OUTREACH'!$C$5:$C$704,$B173))</f>
        <v/>
      </c>
      <c r="U173" s="67" t="n"/>
      <c r="V173" s="72" t="str">
        <f>IF($B173="","",COUNTIFS('LEAD MQL TRACKER'!$C$5:$C$1004,$B173,'LEAD MQL TRACKER'!$AE$5:$AE$1004,1))</f>
        <v/>
      </c>
      <c r="W173" s="72" t="str">
        <f>IF($B173="","",COUNTIFS('LEAD MQL TRACKER'!$C$5:$C$1004,$B173,'LEAD MQL TRACKER'!$AC$5:$AC$1004,1)+SUMIFS('LINKEDIN OUTREACH'!$M$5:$M$704,'LINKEDIN OUTREACH'!$C$5:$C$704,$B173))</f>
        <v/>
      </c>
      <c r="X173" s="72" t="str">
        <f>IF($B173="","",SUMIFS('EMAIL MARKETING'!$O$5:$O$804,'EMAIL MARKETING'!$C$5:$C$804,$B173)+SUMIFS('LINKEDIN OUTREACH'!$K$5:$K$704,'LINKEDIN OUTREACH'!$C$5:$C$704,$B173))</f>
        <v/>
      </c>
      <c r="Y173" s="73" t="str">
        <f>IF(ISNUMBER($R173),IF($R173&gt;0,$T173/$R173,""),"")</f>
        <v/>
      </c>
      <c r="Z173" s="72" t="str">
        <f>IF(AND(ISNUMBER($P173),ISNUMBER($R173)),IF(AND($P173&gt;0,$R173&gt;0),$P173/$R173,""),"")</f>
        <v/>
      </c>
      <c r="AA173" s="71" t="str">
        <f>IF($B173="","",IF(OR($N173="Live",$N173="Optimizing",$N173="Paused",$N173="Completed"),IF(ISNUMBER($AI173),IF($AI173&gt;=1,"Ahead",IF($AI173&gt;=OnTrackPct,"On Track",IF($AI173&gt;=WatchPct,"Behind","At Risk"))),"No Target Set"),"Not Live"))</f>
        <v/>
      </c>
      <c r="AB173" s="65" t="n"/>
      <c r="AC173" s="65" t="n"/>
      <c r="AD173" s="65" t="n"/>
      <c r="AE173" s="67" t="n"/>
      <c r="AF173" s="67" t="n"/>
      <c r="AG173" s="63" t="n"/>
      <c r="AH173" s="74">
        <f>IF($N173="Completed",1,IF(AND(ISNUMBER($K173),ISNUMBER($L173)),IF($L173&gt;$K173,MIN(1,MAX(0.05,(ReportDate-$K173)/($L173-$K173))),1),1))</f>
        <v>1</v>
      </c>
      <c r="AI173" s="70" t="str">
        <f>IF($B173="","",IF(AND(ISNUMBER($Q173),$Q173&gt;0),$R173/($Q173*$AH173),""))</f>
        <v/>
      </c>
      <c r="AJ173" s="71" t="str">
        <f>IF(ISNUMBER($K173),YEAR($K173)&amp;"-"&amp;TEXT(MONTH($K173),"00"),"")</f>
        <v/>
      </c>
      <c r="AK173" s="71">
        <f>IF($B173="",0,IF(AND(OR(fClient="All",$A173=fClient),OR(fCampaign="All",$B173=fCampaign),OR(fTeam="All",$I173=fTeam),OR(fChannel="All",$H173=fChannel),OR(fCStatus="All",$N173=fCStatus)),1,0))</f>
        <v>0</v>
      </c>
      <c r="AL173" s="71">
        <f>IF($B173="",0,IF(AND(OR(fClient="All",$A173=fClient),OR(fCampaign="All",$B173=fCampaign),OR(fTeam="All",$I173=fTeam),OR(fChannel="All",$H173=fChannel)),1,0))</f>
        <v>0</v>
      </c>
      <c r="AM173" s="71">
        <f>IF(OR($N173="Live",$N173="Optimizing"),1,0)</f>
        <v>0</v>
      </c>
      <c r="AN173" s="71">
        <f>IF(OR($N173="Live",$N173="Optimizing",$N173="Paused",$N173="Completed"),1,0)</f>
        <v>0</v>
      </c>
      <c r="AO173" s="71">
        <f>IF(AND($AM173=1,ISNUMBER($L173),NOT(ISNUMBER($M173))),IF($L173&lt;ReportDate,1,0),0)</f>
        <v>0</v>
      </c>
      <c r="AP173" s="71">
        <f>IF($AM173=1,IF(ISNUMBER($AG173),IF(ReportDate-$AG173&gt;CampStaleDays,1,0),1),0)</f>
        <v>0</v>
      </c>
      <c r="AQ173" s="71">
        <f>IF(AND($AM173=1,OR($AA173="Behind",$AA173="At Risk")),1,0)</f>
        <v>0</v>
      </c>
      <c r="AR173" s="71">
        <f>IF(AND($AM173=1,OR($AA173="Ahead",$AA173="On Track")),1,0)</f>
        <v>0</v>
      </c>
      <c r="AS173" s="71">
        <f>IF(OR($AQ173=1,$AP173=1,$AO173=1),1,0)</f>
        <v>0</v>
      </c>
      <c r="AT173" s="71" t="str">
        <f>IF($AS173=1,TRIM(IF($AQ173=1,"Low performance. ","")&amp;IF($AP173=1,"No recent update. ","")&amp;IF($AO173=1,"Past planned end. ","")),"")</f>
        <v/>
      </c>
      <c r="AU173" s="71" t="str">
        <f>IF(AND($AS173=1,$AL173=1),ROW(),"")</f>
        <v/>
      </c>
      <c r="AV173" s="71" t="str">
        <f>IF(AND($AQ173=1,$AL173=1),ROW(),"")</f>
        <v/>
      </c>
      <c r="AW173" s="71" t="str">
        <f>IF(AND($AP173=1,$AL173=1),ROW(),"")</f>
        <v/>
      </c>
      <c r="AX173" s="71" t="str">
        <f>IF(AND($AR173=1,$AL173=1),ROW(),"")</f>
        <v/>
      </c>
      <c r="AY173" s="71">
        <f>IF(AND($B173&lt;&gt;"",$A173=TCL_Client),1,0)</f>
        <v>0</v>
      </c>
      <c r="AZ173" s="71" t="str">
        <f>IF($AY173=1,ROW(),"")</f>
        <v/>
      </c>
      <c r="BA173" s="71">
        <f>IF(AND($B173&lt;&gt;"",$A173=MECCA_Client),1,0)</f>
        <v>0</v>
      </c>
      <c r="BB173" s="71" t="str">
        <f>IF($BA173=1,ROW(),"")</f>
        <v/>
      </c>
    </row>
    <row r="174">
      <c r="A174" s="64" t="n"/>
      <c r="B174" s="65" t="n"/>
      <c r="C174" s="64" t="n"/>
      <c r="D174" s="64" t="n"/>
      <c r="E174" s="64" t="n"/>
      <c r="F174" s="65" t="n"/>
      <c r="G174" s="65" t="n"/>
      <c r="H174" s="64" t="n"/>
      <c r="I174" s="64" t="n"/>
      <c r="J174" s="65" t="n"/>
      <c r="K174" s="63" t="n"/>
      <c r="L174" s="63" t="n"/>
      <c r="M174" s="63" t="n"/>
      <c r="N174" s="64" t="n"/>
      <c r="O174" s="67" t="n"/>
      <c r="P174" s="72" t="str">
        <f>IF($B174="","",SUMIFS('PAID MEDIA ADS'!$G$5:$G$804,'PAID MEDIA ADS'!$C$5:$C$804,$B174))</f>
        <v/>
      </c>
      <c r="Q174" s="67" t="n"/>
      <c r="R174" s="72" t="str">
        <f>IF($B174="","",COUNTIFS('LEAD MQL TRACKER'!$C$5:$C$1004,$B174,'LEAD MQL TRACKER'!$AB$5:$AB$1004,1)+SUMIFS('EMAIL MARKETING'!$Q$5:$Q$804,'EMAIL MARKETING'!$C$5:$C$804,$B174)+SUMIFS('PAID MEDIA ADS'!$M$5:$M$804,'PAID MEDIA ADS'!$C$5:$C$804,$B174)+SUMIFS('LINKEDIN OUTREACH'!$N$5:$N$704,'LINKEDIN OUTREACH'!$C$5:$C$704,$B174))</f>
        <v/>
      </c>
      <c r="S174" s="67" t="n"/>
      <c r="T174" s="72" t="str">
        <f>IF($B174="","",COUNTIFS('LEAD MQL TRACKER'!$C$5:$C$1004,$B174,'LEAD MQL TRACKER'!$AD$5:$AD$1004,1)+SUMIFS('EMAIL MARKETING'!$R$5:$R$804,'EMAIL MARKETING'!$C$5:$C$804,$B174)+SUMIFS('PAID MEDIA ADS'!$N$5:$N$804,'PAID MEDIA ADS'!$C$5:$C$804,$B174)+SUMIFS('LINKEDIN OUTREACH'!$O$5:$O$704,'LINKEDIN OUTREACH'!$C$5:$C$704,$B174))</f>
        <v/>
      </c>
      <c r="U174" s="67" t="n"/>
      <c r="V174" s="72" t="str">
        <f>IF($B174="","",COUNTIFS('LEAD MQL TRACKER'!$C$5:$C$1004,$B174,'LEAD MQL TRACKER'!$AE$5:$AE$1004,1))</f>
        <v/>
      </c>
      <c r="W174" s="72" t="str">
        <f>IF($B174="","",COUNTIFS('LEAD MQL TRACKER'!$C$5:$C$1004,$B174,'LEAD MQL TRACKER'!$AC$5:$AC$1004,1)+SUMIFS('LINKEDIN OUTREACH'!$M$5:$M$704,'LINKEDIN OUTREACH'!$C$5:$C$704,$B174))</f>
        <v/>
      </c>
      <c r="X174" s="72" t="str">
        <f>IF($B174="","",SUMIFS('EMAIL MARKETING'!$O$5:$O$804,'EMAIL MARKETING'!$C$5:$C$804,$B174)+SUMIFS('LINKEDIN OUTREACH'!$K$5:$K$704,'LINKEDIN OUTREACH'!$C$5:$C$704,$B174))</f>
        <v/>
      </c>
      <c r="Y174" s="73" t="str">
        <f>IF(ISNUMBER($R174),IF($R174&gt;0,$T174/$R174,""),"")</f>
        <v/>
      </c>
      <c r="Z174" s="72" t="str">
        <f>IF(AND(ISNUMBER($P174),ISNUMBER($R174)),IF(AND($P174&gt;0,$R174&gt;0),$P174/$R174,""),"")</f>
        <v/>
      </c>
      <c r="AA174" s="71" t="str">
        <f>IF($B174="","",IF(OR($N174="Live",$N174="Optimizing",$N174="Paused",$N174="Completed"),IF(ISNUMBER($AI174),IF($AI174&gt;=1,"Ahead",IF($AI174&gt;=OnTrackPct,"On Track",IF($AI174&gt;=WatchPct,"Behind","At Risk"))),"No Target Set"),"Not Live"))</f>
        <v/>
      </c>
      <c r="AB174" s="65" t="n"/>
      <c r="AC174" s="65" t="n"/>
      <c r="AD174" s="65" t="n"/>
      <c r="AE174" s="67" t="n"/>
      <c r="AF174" s="67" t="n"/>
      <c r="AG174" s="63" t="n"/>
      <c r="AH174" s="74">
        <f>IF($N174="Completed",1,IF(AND(ISNUMBER($K174),ISNUMBER($L174)),IF($L174&gt;$K174,MIN(1,MAX(0.05,(ReportDate-$K174)/($L174-$K174))),1),1))</f>
        <v>1</v>
      </c>
      <c r="AI174" s="70" t="str">
        <f>IF($B174="","",IF(AND(ISNUMBER($Q174),$Q174&gt;0),$R174/($Q174*$AH174),""))</f>
        <v/>
      </c>
      <c r="AJ174" s="71" t="str">
        <f>IF(ISNUMBER($K174),YEAR($K174)&amp;"-"&amp;TEXT(MONTH($K174),"00"),"")</f>
        <v/>
      </c>
      <c r="AK174" s="71">
        <f>IF($B174="",0,IF(AND(OR(fClient="All",$A174=fClient),OR(fCampaign="All",$B174=fCampaign),OR(fTeam="All",$I174=fTeam),OR(fChannel="All",$H174=fChannel),OR(fCStatus="All",$N174=fCStatus)),1,0))</f>
        <v>0</v>
      </c>
      <c r="AL174" s="71">
        <f>IF($B174="",0,IF(AND(OR(fClient="All",$A174=fClient),OR(fCampaign="All",$B174=fCampaign),OR(fTeam="All",$I174=fTeam),OR(fChannel="All",$H174=fChannel)),1,0))</f>
        <v>0</v>
      </c>
      <c r="AM174" s="71">
        <f>IF(OR($N174="Live",$N174="Optimizing"),1,0)</f>
        <v>0</v>
      </c>
      <c r="AN174" s="71">
        <f>IF(OR($N174="Live",$N174="Optimizing",$N174="Paused",$N174="Completed"),1,0)</f>
        <v>0</v>
      </c>
      <c r="AO174" s="71">
        <f>IF(AND($AM174=1,ISNUMBER($L174),NOT(ISNUMBER($M174))),IF($L174&lt;ReportDate,1,0),0)</f>
        <v>0</v>
      </c>
      <c r="AP174" s="71">
        <f>IF($AM174=1,IF(ISNUMBER($AG174),IF(ReportDate-$AG174&gt;CampStaleDays,1,0),1),0)</f>
        <v>0</v>
      </c>
      <c r="AQ174" s="71">
        <f>IF(AND($AM174=1,OR($AA174="Behind",$AA174="At Risk")),1,0)</f>
        <v>0</v>
      </c>
      <c r="AR174" s="71">
        <f>IF(AND($AM174=1,OR($AA174="Ahead",$AA174="On Track")),1,0)</f>
        <v>0</v>
      </c>
      <c r="AS174" s="71">
        <f>IF(OR($AQ174=1,$AP174=1,$AO174=1),1,0)</f>
        <v>0</v>
      </c>
      <c r="AT174" s="71" t="str">
        <f>IF($AS174=1,TRIM(IF($AQ174=1,"Low performance. ","")&amp;IF($AP174=1,"No recent update. ","")&amp;IF($AO174=1,"Past planned end. ","")),"")</f>
        <v/>
      </c>
      <c r="AU174" s="71" t="str">
        <f>IF(AND($AS174=1,$AL174=1),ROW(),"")</f>
        <v/>
      </c>
      <c r="AV174" s="71" t="str">
        <f>IF(AND($AQ174=1,$AL174=1),ROW(),"")</f>
        <v/>
      </c>
      <c r="AW174" s="71" t="str">
        <f>IF(AND($AP174=1,$AL174=1),ROW(),"")</f>
        <v/>
      </c>
      <c r="AX174" s="71" t="str">
        <f>IF(AND($AR174=1,$AL174=1),ROW(),"")</f>
        <v/>
      </c>
      <c r="AY174" s="71">
        <f>IF(AND($B174&lt;&gt;"",$A174=TCL_Client),1,0)</f>
        <v>0</v>
      </c>
      <c r="AZ174" s="71" t="str">
        <f>IF($AY174=1,ROW(),"")</f>
        <v/>
      </c>
      <c r="BA174" s="71">
        <f>IF(AND($B174&lt;&gt;"",$A174=MECCA_Client),1,0)</f>
        <v>0</v>
      </c>
      <c r="BB174" s="71" t="str">
        <f>IF($BA174=1,ROW(),"")</f>
        <v/>
      </c>
    </row>
    <row r="175">
      <c r="A175" s="64" t="n"/>
      <c r="B175" s="65" t="n"/>
      <c r="C175" s="64" t="n"/>
      <c r="D175" s="64" t="n"/>
      <c r="E175" s="64" t="n"/>
      <c r="F175" s="65" t="n"/>
      <c r="G175" s="65" t="n"/>
      <c r="H175" s="64" t="n"/>
      <c r="I175" s="64" t="n"/>
      <c r="J175" s="65" t="n"/>
      <c r="K175" s="63" t="n"/>
      <c r="L175" s="63" t="n"/>
      <c r="M175" s="63" t="n"/>
      <c r="N175" s="64" t="n"/>
      <c r="O175" s="67" t="n"/>
      <c r="P175" s="72" t="str">
        <f>IF($B175="","",SUMIFS('PAID MEDIA ADS'!$G$5:$G$804,'PAID MEDIA ADS'!$C$5:$C$804,$B175))</f>
        <v/>
      </c>
      <c r="Q175" s="67" t="n"/>
      <c r="R175" s="72" t="str">
        <f>IF($B175="","",COUNTIFS('LEAD MQL TRACKER'!$C$5:$C$1004,$B175,'LEAD MQL TRACKER'!$AB$5:$AB$1004,1)+SUMIFS('EMAIL MARKETING'!$Q$5:$Q$804,'EMAIL MARKETING'!$C$5:$C$804,$B175)+SUMIFS('PAID MEDIA ADS'!$M$5:$M$804,'PAID MEDIA ADS'!$C$5:$C$804,$B175)+SUMIFS('LINKEDIN OUTREACH'!$N$5:$N$704,'LINKEDIN OUTREACH'!$C$5:$C$704,$B175))</f>
        <v/>
      </c>
      <c r="S175" s="67" t="n"/>
      <c r="T175" s="72" t="str">
        <f>IF($B175="","",COUNTIFS('LEAD MQL TRACKER'!$C$5:$C$1004,$B175,'LEAD MQL TRACKER'!$AD$5:$AD$1004,1)+SUMIFS('EMAIL MARKETING'!$R$5:$R$804,'EMAIL MARKETING'!$C$5:$C$804,$B175)+SUMIFS('PAID MEDIA ADS'!$N$5:$N$804,'PAID MEDIA ADS'!$C$5:$C$804,$B175)+SUMIFS('LINKEDIN OUTREACH'!$O$5:$O$704,'LINKEDIN OUTREACH'!$C$5:$C$704,$B175))</f>
        <v/>
      </c>
      <c r="U175" s="67" t="n"/>
      <c r="V175" s="72" t="str">
        <f>IF($B175="","",COUNTIFS('LEAD MQL TRACKER'!$C$5:$C$1004,$B175,'LEAD MQL TRACKER'!$AE$5:$AE$1004,1))</f>
        <v/>
      </c>
      <c r="W175" s="72" t="str">
        <f>IF($B175="","",COUNTIFS('LEAD MQL TRACKER'!$C$5:$C$1004,$B175,'LEAD MQL TRACKER'!$AC$5:$AC$1004,1)+SUMIFS('LINKEDIN OUTREACH'!$M$5:$M$704,'LINKEDIN OUTREACH'!$C$5:$C$704,$B175))</f>
        <v/>
      </c>
      <c r="X175" s="72" t="str">
        <f>IF($B175="","",SUMIFS('EMAIL MARKETING'!$O$5:$O$804,'EMAIL MARKETING'!$C$5:$C$804,$B175)+SUMIFS('LINKEDIN OUTREACH'!$K$5:$K$704,'LINKEDIN OUTREACH'!$C$5:$C$704,$B175))</f>
        <v/>
      </c>
      <c r="Y175" s="73" t="str">
        <f>IF(ISNUMBER($R175),IF($R175&gt;0,$T175/$R175,""),"")</f>
        <v/>
      </c>
      <c r="Z175" s="72" t="str">
        <f>IF(AND(ISNUMBER($P175),ISNUMBER($R175)),IF(AND($P175&gt;0,$R175&gt;0),$P175/$R175,""),"")</f>
        <v/>
      </c>
      <c r="AA175" s="71" t="str">
        <f>IF($B175="","",IF(OR($N175="Live",$N175="Optimizing",$N175="Paused",$N175="Completed"),IF(ISNUMBER($AI175),IF($AI175&gt;=1,"Ahead",IF($AI175&gt;=OnTrackPct,"On Track",IF($AI175&gt;=WatchPct,"Behind","At Risk"))),"No Target Set"),"Not Live"))</f>
        <v/>
      </c>
      <c r="AB175" s="65" t="n"/>
      <c r="AC175" s="65" t="n"/>
      <c r="AD175" s="65" t="n"/>
      <c r="AE175" s="67" t="n"/>
      <c r="AF175" s="67" t="n"/>
      <c r="AG175" s="63" t="n"/>
      <c r="AH175" s="74">
        <f>IF($N175="Completed",1,IF(AND(ISNUMBER($K175),ISNUMBER($L175)),IF($L175&gt;$K175,MIN(1,MAX(0.05,(ReportDate-$K175)/($L175-$K175))),1),1))</f>
        <v>1</v>
      </c>
      <c r="AI175" s="70" t="str">
        <f>IF($B175="","",IF(AND(ISNUMBER($Q175),$Q175&gt;0),$R175/($Q175*$AH175),""))</f>
        <v/>
      </c>
      <c r="AJ175" s="71" t="str">
        <f>IF(ISNUMBER($K175),YEAR($K175)&amp;"-"&amp;TEXT(MONTH($K175),"00"),"")</f>
        <v/>
      </c>
      <c r="AK175" s="71">
        <f>IF($B175="",0,IF(AND(OR(fClient="All",$A175=fClient),OR(fCampaign="All",$B175=fCampaign),OR(fTeam="All",$I175=fTeam),OR(fChannel="All",$H175=fChannel),OR(fCStatus="All",$N175=fCStatus)),1,0))</f>
        <v>0</v>
      </c>
      <c r="AL175" s="71">
        <f>IF($B175="",0,IF(AND(OR(fClient="All",$A175=fClient),OR(fCampaign="All",$B175=fCampaign),OR(fTeam="All",$I175=fTeam),OR(fChannel="All",$H175=fChannel)),1,0))</f>
        <v>0</v>
      </c>
      <c r="AM175" s="71">
        <f>IF(OR($N175="Live",$N175="Optimizing"),1,0)</f>
        <v>0</v>
      </c>
      <c r="AN175" s="71">
        <f>IF(OR($N175="Live",$N175="Optimizing",$N175="Paused",$N175="Completed"),1,0)</f>
        <v>0</v>
      </c>
      <c r="AO175" s="71">
        <f>IF(AND($AM175=1,ISNUMBER($L175),NOT(ISNUMBER($M175))),IF($L175&lt;ReportDate,1,0),0)</f>
        <v>0</v>
      </c>
      <c r="AP175" s="71">
        <f>IF($AM175=1,IF(ISNUMBER($AG175),IF(ReportDate-$AG175&gt;CampStaleDays,1,0),1),0)</f>
        <v>0</v>
      </c>
      <c r="AQ175" s="71">
        <f>IF(AND($AM175=1,OR($AA175="Behind",$AA175="At Risk")),1,0)</f>
        <v>0</v>
      </c>
      <c r="AR175" s="71">
        <f>IF(AND($AM175=1,OR($AA175="Ahead",$AA175="On Track")),1,0)</f>
        <v>0</v>
      </c>
      <c r="AS175" s="71">
        <f>IF(OR($AQ175=1,$AP175=1,$AO175=1),1,0)</f>
        <v>0</v>
      </c>
      <c r="AT175" s="71" t="str">
        <f>IF($AS175=1,TRIM(IF($AQ175=1,"Low performance. ","")&amp;IF($AP175=1,"No recent update. ","")&amp;IF($AO175=1,"Past planned end. ","")),"")</f>
        <v/>
      </c>
      <c r="AU175" s="71" t="str">
        <f>IF(AND($AS175=1,$AL175=1),ROW(),"")</f>
        <v/>
      </c>
      <c r="AV175" s="71" t="str">
        <f>IF(AND($AQ175=1,$AL175=1),ROW(),"")</f>
        <v/>
      </c>
      <c r="AW175" s="71" t="str">
        <f>IF(AND($AP175=1,$AL175=1),ROW(),"")</f>
        <v/>
      </c>
      <c r="AX175" s="71" t="str">
        <f>IF(AND($AR175=1,$AL175=1),ROW(),"")</f>
        <v/>
      </c>
      <c r="AY175" s="71">
        <f>IF(AND($B175&lt;&gt;"",$A175=TCL_Client),1,0)</f>
        <v>0</v>
      </c>
      <c r="AZ175" s="71" t="str">
        <f>IF($AY175=1,ROW(),"")</f>
        <v/>
      </c>
      <c r="BA175" s="71">
        <f>IF(AND($B175&lt;&gt;"",$A175=MECCA_Client),1,0)</f>
        <v>0</v>
      </c>
      <c r="BB175" s="71" t="str">
        <f>IF($BA175=1,ROW(),"")</f>
        <v/>
      </c>
    </row>
    <row r="176">
      <c r="A176" s="64" t="n"/>
      <c r="B176" s="65" t="n"/>
      <c r="C176" s="64" t="n"/>
      <c r="D176" s="64" t="n"/>
      <c r="E176" s="64" t="n"/>
      <c r="F176" s="65" t="n"/>
      <c r="G176" s="65" t="n"/>
      <c r="H176" s="64" t="n"/>
      <c r="I176" s="64" t="n"/>
      <c r="J176" s="65" t="n"/>
      <c r="K176" s="63" t="n"/>
      <c r="L176" s="63" t="n"/>
      <c r="M176" s="63" t="n"/>
      <c r="N176" s="64" t="n"/>
      <c r="O176" s="67" t="n"/>
      <c r="P176" s="72" t="str">
        <f>IF($B176="","",SUMIFS('PAID MEDIA ADS'!$G$5:$G$804,'PAID MEDIA ADS'!$C$5:$C$804,$B176))</f>
        <v/>
      </c>
      <c r="Q176" s="67" t="n"/>
      <c r="R176" s="72" t="str">
        <f>IF($B176="","",COUNTIFS('LEAD MQL TRACKER'!$C$5:$C$1004,$B176,'LEAD MQL TRACKER'!$AB$5:$AB$1004,1)+SUMIFS('EMAIL MARKETING'!$Q$5:$Q$804,'EMAIL MARKETING'!$C$5:$C$804,$B176)+SUMIFS('PAID MEDIA ADS'!$M$5:$M$804,'PAID MEDIA ADS'!$C$5:$C$804,$B176)+SUMIFS('LINKEDIN OUTREACH'!$N$5:$N$704,'LINKEDIN OUTREACH'!$C$5:$C$704,$B176))</f>
        <v/>
      </c>
      <c r="S176" s="67" t="n"/>
      <c r="T176" s="72" t="str">
        <f>IF($B176="","",COUNTIFS('LEAD MQL TRACKER'!$C$5:$C$1004,$B176,'LEAD MQL TRACKER'!$AD$5:$AD$1004,1)+SUMIFS('EMAIL MARKETING'!$R$5:$R$804,'EMAIL MARKETING'!$C$5:$C$804,$B176)+SUMIFS('PAID MEDIA ADS'!$N$5:$N$804,'PAID MEDIA ADS'!$C$5:$C$804,$B176)+SUMIFS('LINKEDIN OUTREACH'!$O$5:$O$704,'LINKEDIN OUTREACH'!$C$5:$C$704,$B176))</f>
        <v/>
      </c>
      <c r="U176" s="67" t="n"/>
      <c r="V176" s="72" t="str">
        <f>IF($B176="","",COUNTIFS('LEAD MQL TRACKER'!$C$5:$C$1004,$B176,'LEAD MQL TRACKER'!$AE$5:$AE$1004,1))</f>
        <v/>
      </c>
      <c r="W176" s="72" t="str">
        <f>IF($B176="","",COUNTIFS('LEAD MQL TRACKER'!$C$5:$C$1004,$B176,'LEAD MQL TRACKER'!$AC$5:$AC$1004,1)+SUMIFS('LINKEDIN OUTREACH'!$M$5:$M$704,'LINKEDIN OUTREACH'!$C$5:$C$704,$B176))</f>
        <v/>
      </c>
      <c r="X176" s="72" t="str">
        <f>IF($B176="","",SUMIFS('EMAIL MARKETING'!$O$5:$O$804,'EMAIL MARKETING'!$C$5:$C$804,$B176)+SUMIFS('LINKEDIN OUTREACH'!$K$5:$K$704,'LINKEDIN OUTREACH'!$C$5:$C$704,$B176))</f>
        <v/>
      </c>
      <c r="Y176" s="73" t="str">
        <f>IF(ISNUMBER($R176),IF($R176&gt;0,$T176/$R176,""),"")</f>
        <v/>
      </c>
      <c r="Z176" s="72" t="str">
        <f>IF(AND(ISNUMBER($P176),ISNUMBER($R176)),IF(AND($P176&gt;0,$R176&gt;0),$P176/$R176,""),"")</f>
        <v/>
      </c>
      <c r="AA176" s="71" t="str">
        <f>IF($B176="","",IF(OR($N176="Live",$N176="Optimizing",$N176="Paused",$N176="Completed"),IF(ISNUMBER($AI176),IF($AI176&gt;=1,"Ahead",IF($AI176&gt;=OnTrackPct,"On Track",IF($AI176&gt;=WatchPct,"Behind","At Risk"))),"No Target Set"),"Not Live"))</f>
        <v/>
      </c>
      <c r="AB176" s="65" t="n"/>
      <c r="AC176" s="65" t="n"/>
      <c r="AD176" s="65" t="n"/>
      <c r="AE176" s="67" t="n"/>
      <c r="AF176" s="67" t="n"/>
      <c r="AG176" s="63" t="n"/>
      <c r="AH176" s="74">
        <f>IF($N176="Completed",1,IF(AND(ISNUMBER($K176),ISNUMBER($L176)),IF($L176&gt;$K176,MIN(1,MAX(0.05,(ReportDate-$K176)/($L176-$K176))),1),1))</f>
        <v>1</v>
      </c>
      <c r="AI176" s="70" t="str">
        <f>IF($B176="","",IF(AND(ISNUMBER($Q176),$Q176&gt;0),$R176/($Q176*$AH176),""))</f>
        <v/>
      </c>
      <c r="AJ176" s="71" t="str">
        <f>IF(ISNUMBER($K176),YEAR($K176)&amp;"-"&amp;TEXT(MONTH($K176),"00"),"")</f>
        <v/>
      </c>
      <c r="AK176" s="71">
        <f>IF($B176="",0,IF(AND(OR(fClient="All",$A176=fClient),OR(fCampaign="All",$B176=fCampaign),OR(fTeam="All",$I176=fTeam),OR(fChannel="All",$H176=fChannel),OR(fCStatus="All",$N176=fCStatus)),1,0))</f>
        <v>0</v>
      </c>
      <c r="AL176" s="71">
        <f>IF($B176="",0,IF(AND(OR(fClient="All",$A176=fClient),OR(fCampaign="All",$B176=fCampaign),OR(fTeam="All",$I176=fTeam),OR(fChannel="All",$H176=fChannel)),1,0))</f>
        <v>0</v>
      </c>
      <c r="AM176" s="71">
        <f>IF(OR($N176="Live",$N176="Optimizing"),1,0)</f>
        <v>0</v>
      </c>
      <c r="AN176" s="71">
        <f>IF(OR($N176="Live",$N176="Optimizing",$N176="Paused",$N176="Completed"),1,0)</f>
        <v>0</v>
      </c>
      <c r="AO176" s="71">
        <f>IF(AND($AM176=1,ISNUMBER($L176),NOT(ISNUMBER($M176))),IF($L176&lt;ReportDate,1,0),0)</f>
        <v>0</v>
      </c>
      <c r="AP176" s="71">
        <f>IF($AM176=1,IF(ISNUMBER($AG176),IF(ReportDate-$AG176&gt;CampStaleDays,1,0),1),0)</f>
        <v>0</v>
      </c>
      <c r="AQ176" s="71">
        <f>IF(AND($AM176=1,OR($AA176="Behind",$AA176="At Risk")),1,0)</f>
        <v>0</v>
      </c>
      <c r="AR176" s="71">
        <f>IF(AND($AM176=1,OR($AA176="Ahead",$AA176="On Track")),1,0)</f>
        <v>0</v>
      </c>
      <c r="AS176" s="71">
        <f>IF(OR($AQ176=1,$AP176=1,$AO176=1),1,0)</f>
        <v>0</v>
      </c>
      <c r="AT176" s="71" t="str">
        <f>IF($AS176=1,TRIM(IF($AQ176=1,"Low performance. ","")&amp;IF($AP176=1,"No recent update. ","")&amp;IF($AO176=1,"Past planned end. ","")),"")</f>
        <v/>
      </c>
      <c r="AU176" s="71" t="str">
        <f>IF(AND($AS176=1,$AL176=1),ROW(),"")</f>
        <v/>
      </c>
      <c r="AV176" s="71" t="str">
        <f>IF(AND($AQ176=1,$AL176=1),ROW(),"")</f>
        <v/>
      </c>
      <c r="AW176" s="71" t="str">
        <f>IF(AND($AP176=1,$AL176=1),ROW(),"")</f>
        <v/>
      </c>
      <c r="AX176" s="71" t="str">
        <f>IF(AND($AR176=1,$AL176=1),ROW(),"")</f>
        <v/>
      </c>
      <c r="AY176" s="71">
        <f>IF(AND($B176&lt;&gt;"",$A176=TCL_Client),1,0)</f>
        <v>0</v>
      </c>
      <c r="AZ176" s="71" t="str">
        <f>IF($AY176=1,ROW(),"")</f>
        <v/>
      </c>
      <c r="BA176" s="71">
        <f>IF(AND($B176&lt;&gt;"",$A176=MECCA_Client),1,0)</f>
        <v>0</v>
      </c>
      <c r="BB176" s="71" t="str">
        <f>IF($BA176=1,ROW(),"")</f>
        <v/>
      </c>
    </row>
    <row r="177">
      <c r="A177" s="64" t="n"/>
      <c r="B177" s="65" t="n"/>
      <c r="C177" s="64" t="n"/>
      <c r="D177" s="64" t="n"/>
      <c r="E177" s="64" t="n"/>
      <c r="F177" s="65" t="n"/>
      <c r="G177" s="65" t="n"/>
      <c r="H177" s="64" t="n"/>
      <c r="I177" s="64" t="n"/>
      <c r="J177" s="65" t="n"/>
      <c r="K177" s="63" t="n"/>
      <c r="L177" s="63" t="n"/>
      <c r="M177" s="63" t="n"/>
      <c r="N177" s="64" t="n"/>
      <c r="O177" s="67" t="n"/>
      <c r="P177" s="72" t="str">
        <f>IF($B177="","",SUMIFS('PAID MEDIA ADS'!$G$5:$G$804,'PAID MEDIA ADS'!$C$5:$C$804,$B177))</f>
        <v/>
      </c>
      <c r="Q177" s="67" t="n"/>
      <c r="R177" s="72" t="str">
        <f>IF($B177="","",COUNTIFS('LEAD MQL TRACKER'!$C$5:$C$1004,$B177,'LEAD MQL TRACKER'!$AB$5:$AB$1004,1)+SUMIFS('EMAIL MARKETING'!$Q$5:$Q$804,'EMAIL MARKETING'!$C$5:$C$804,$B177)+SUMIFS('PAID MEDIA ADS'!$M$5:$M$804,'PAID MEDIA ADS'!$C$5:$C$804,$B177)+SUMIFS('LINKEDIN OUTREACH'!$N$5:$N$704,'LINKEDIN OUTREACH'!$C$5:$C$704,$B177))</f>
        <v/>
      </c>
      <c r="S177" s="67" t="n"/>
      <c r="T177" s="72" t="str">
        <f>IF($B177="","",COUNTIFS('LEAD MQL TRACKER'!$C$5:$C$1004,$B177,'LEAD MQL TRACKER'!$AD$5:$AD$1004,1)+SUMIFS('EMAIL MARKETING'!$R$5:$R$804,'EMAIL MARKETING'!$C$5:$C$804,$B177)+SUMIFS('PAID MEDIA ADS'!$N$5:$N$804,'PAID MEDIA ADS'!$C$5:$C$804,$B177)+SUMIFS('LINKEDIN OUTREACH'!$O$5:$O$704,'LINKEDIN OUTREACH'!$C$5:$C$704,$B177))</f>
        <v/>
      </c>
      <c r="U177" s="67" t="n"/>
      <c r="V177" s="72" t="str">
        <f>IF($B177="","",COUNTIFS('LEAD MQL TRACKER'!$C$5:$C$1004,$B177,'LEAD MQL TRACKER'!$AE$5:$AE$1004,1))</f>
        <v/>
      </c>
      <c r="W177" s="72" t="str">
        <f>IF($B177="","",COUNTIFS('LEAD MQL TRACKER'!$C$5:$C$1004,$B177,'LEAD MQL TRACKER'!$AC$5:$AC$1004,1)+SUMIFS('LINKEDIN OUTREACH'!$M$5:$M$704,'LINKEDIN OUTREACH'!$C$5:$C$704,$B177))</f>
        <v/>
      </c>
      <c r="X177" s="72" t="str">
        <f>IF($B177="","",SUMIFS('EMAIL MARKETING'!$O$5:$O$804,'EMAIL MARKETING'!$C$5:$C$804,$B177)+SUMIFS('LINKEDIN OUTREACH'!$K$5:$K$704,'LINKEDIN OUTREACH'!$C$5:$C$704,$B177))</f>
        <v/>
      </c>
      <c r="Y177" s="73" t="str">
        <f>IF(ISNUMBER($R177),IF($R177&gt;0,$T177/$R177,""),"")</f>
        <v/>
      </c>
      <c r="Z177" s="72" t="str">
        <f>IF(AND(ISNUMBER($P177),ISNUMBER($R177)),IF(AND($P177&gt;0,$R177&gt;0),$P177/$R177,""),"")</f>
        <v/>
      </c>
      <c r="AA177" s="71" t="str">
        <f>IF($B177="","",IF(OR($N177="Live",$N177="Optimizing",$N177="Paused",$N177="Completed"),IF(ISNUMBER($AI177),IF($AI177&gt;=1,"Ahead",IF($AI177&gt;=OnTrackPct,"On Track",IF($AI177&gt;=WatchPct,"Behind","At Risk"))),"No Target Set"),"Not Live"))</f>
        <v/>
      </c>
      <c r="AB177" s="65" t="n"/>
      <c r="AC177" s="65" t="n"/>
      <c r="AD177" s="65" t="n"/>
      <c r="AE177" s="67" t="n"/>
      <c r="AF177" s="67" t="n"/>
      <c r="AG177" s="63" t="n"/>
      <c r="AH177" s="74">
        <f>IF($N177="Completed",1,IF(AND(ISNUMBER($K177),ISNUMBER($L177)),IF($L177&gt;$K177,MIN(1,MAX(0.05,(ReportDate-$K177)/($L177-$K177))),1),1))</f>
        <v>1</v>
      </c>
      <c r="AI177" s="70" t="str">
        <f>IF($B177="","",IF(AND(ISNUMBER($Q177),$Q177&gt;0),$R177/($Q177*$AH177),""))</f>
        <v/>
      </c>
      <c r="AJ177" s="71" t="str">
        <f>IF(ISNUMBER($K177),YEAR($K177)&amp;"-"&amp;TEXT(MONTH($K177),"00"),"")</f>
        <v/>
      </c>
      <c r="AK177" s="71">
        <f>IF($B177="",0,IF(AND(OR(fClient="All",$A177=fClient),OR(fCampaign="All",$B177=fCampaign),OR(fTeam="All",$I177=fTeam),OR(fChannel="All",$H177=fChannel),OR(fCStatus="All",$N177=fCStatus)),1,0))</f>
        <v>0</v>
      </c>
      <c r="AL177" s="71">
        <f>IF($B177="",0,IF(AND(OR(fClient="All",$A177=fClient),OR(fCampaign="All",$B177=fCampaign),OR(fTeam="All",$I177=fTeam),OR(fChannel="All",$H177=fChannel)),1,0))</f>
        <v>0</v>
      </c>
      <c r="AM177" s="71">
        <f>IF(OR($N177="Live",$N177="Optimizing"),1,0)</f>
        <v>0</v>
      </c>
      <c r="AN177" s="71">
        <f>IF(OR($N177="Live",$N177="Optimizing",$N177="Paused",$N177="Completed"),1,0)</f>
        <v>0</v>
      </c>
      <c r="AO177" s="71">
        <f>IF(AND($AM177=1,ISNUMBER($L177),NOT(ISNUMBER($M177))),IF($L177&lt;ReportDate,1,0),0)</f>
        <v>0</v>
      </c>
      <c r="AP177" s="71">
        <f>IF($AM177=1,IF(ISNUMBER($AG177),IF(ReportDate-$AG177&gt;CampStaleDays,1,0),1),0)</f>
        <v>0</v>
      </c>
      <c r="AQ177" s="71">
        <f>IF(AND($AM177=1,OR($AA177="Behind",$AA177="At Risk")),1,0)</f>
        <v>0</v>
      </c>
      <c r="AR177" s="71">
        <f>IF(AND($AM177=1,OR($AA177="Ahead",$AA177="On Track")),1,0)</f>
        <v>0</v>
      </c>
      <c r="AS177" s="71">
        <f>IF(OR($AQ177=1,$AP177=1,$AO177=1),1,0)</f>
        <v>0</v>
      </c>
      <c r="AT177" s="71" t="str">
        <f>IF($AS177=1,TRIM(IF($AQ177=1,"Low performance. ","")&amp;IF($AP177=1,"No recent update. ","")&amp;IF($AO177=1,"Past planned end. ","")),"")</f>
        <v/>
      </c>
      <c r="AU177" s="71" t="str">
        <f>IF(AND($AS177=1,$AL177=1),ROW(),"")</f>
        <v/>
      </c>
      <c r="AV177" s="71" t="str">
        <f>IF(AND($AQ177=1,$AL177=1),ROW(),"")</f>
        <v/>
      </c>
      <c r="AW177" s="71" t="str">
        <f>IF(AND($AP177=1,$AL177=1),ROW(),"")</f>
        <v/>
      </c>
      <c r="AX177" s="71" t="str">
        <f>IF(AND($AR177=1,$AL177=1),ROW(),"")</f>
        <v/>
      </c>
      <c r="AY177" s="71">
        <f>IF(AND($B177&lt;&gt;"",$A177=TCL_Client),1,0)</f>
        <v>0</v>
      </c>
      <c r="AZ177" s="71" t="str">
        <f>IF($AY177=1,ROW(),"")</f>
        <v/>
      </c>
      <c r="BA177" s="71">
        <f>IF(AND($B177&lt;&gt;"",$A177=MECCA_Client),1,0)</f>
        <v>0</v>
      </c>
      <c r="BB177" s="71" t="str">
        <f>IF($BA177=1,ROW(),"")</f>
        <v/>
      </c>
    </row>
    <row r="178">
      <c r="A178" s="64" t="n"/>
      <c r="B178" s="65" t="n"/>
      <c r="C178" s="64" t="n"/>
      <c r="D178" s="64" t="n"/>
      <c r="E178" s="64" t="n"/>
      <c r="F178" s="65" t="n"/>
      <c r="G178" s="65" t="n"/>
      <c r="H178" s="64" t="n"/>
      <c r="I178" s="64" t="n"/>
      <c r="J178" s="65" t="n"/>
      <c r="K178" s="63" t="n"/>
      <c r="L178" s="63" t="n"/>
      <c r="M178" s="63" t="n"/>
      <c r="N178" s="64" t="n"/>
      <c r="O178" s="67" t="n"/>
      <c r="P178" s="72" t="str">
        <f>IF($B178="","",SUMIFS('PAID MEDIA ADS'!$G$5:$G$804,'PAID MEDIA ADS'!$C$5:$C$804,$B178))</f>
        <v/>
      </c>
      <c r="Q178" s="67" t="n"/>
      <c r="R178" s="72" t="str">
        <f>IF($B178="","",COUNTIFS('LEAD MQL TRACKER'!$C$5:$C$1004,$B178,'LEAD MQL TRACKER'!$AB$5:$AB$1004,1)+SUMIFS('EMAIL MARKETING'!$Q$5:$Q$804,'EMAIL MARKETING'!$C$5:$C$804,$B178)+SUMIFS('PAID MEDIA ADS'!$M$5:$M$804,'PAID MEDIA ADS'!$C$5:$C$804,$B178)+SUMIFS('LINKEDIN OUTREACH'!$N$5:$N$704,'LINKEDIN OUTREACH'!$C$5:$C$704,$B178))</f>
        <v/>
      </c>
      <c r="S178" s="67" t="n"/>
      <c r="T178" s="72" t="str">
        <f>IF($B178="","",COUNTIFS('LEAD MQL TRACKER'!$C$5:$C$1004,$B178,'LEAD MQL TRACKER'!$AD$5:$AD$1004,1)+SUMIFS('EMAIL MARKETING'!$R$5:$R$804,'EMAIL MARKETING'!$C$5:$C$804,$B178)+SUMIFS('PAID MEDIA ADS'!$N$5:$N$804,'PAID MEDIA ADS'!$C$5:$C$804,$B178)+SUMIFS('LINKEDIN OUTREACH'!$O$5:$O$704,'LINKEDIN OUTREACH'!$C$5:$C$704,$B178))</f>
        <v/>
      </c>
      <c r="U178" s="67" t="n"/>
      <c r="V178" s="72" t="str">
        <f>IF($B178="","",COUNTIFS('LEAD MQL TRACKER'!$C$5:$C$1004,$B178,'LEAD MQL TRACKER'!$AE$5:$AE$1004,1))</f>
        <v/>
      </c>
      <c r="W178" s="72" t="str">
        <f>IF($B178="","",COUNTIFS('LEAD MQL TRACKER'!$C$5:$C$1004,$B178,'LEAD MQL TRACKER'!$AC$5:$AC$1004,1)+SUMIFS('LINKEDIN OUTREACH'!$M$5:$M$704,'LINKEDIN OUTREACH'!$C$5:$C$704,$B178))</f>
        <v/>
      </c>
      <c r="X178" s="72" t="str">
        <f>IF($B178="","",SUMIFS('EMAIL MARKETING'!$O$5:$O$804,'EMAIL MARKETING'!$C$5:$C$804,$B178)+SUMIFS('LINKEDIN OUTREACH'!$K$5:$K$704,'LINKEDIN OUTREACH'!$C$5:$C$704,$B178))</f>
        <v/>
      </c>
      <c r="Y178" s="73" t="str">
        <f>IF(ISNUMBER($R178),IF($R178&gt;0,$T178/$R178,""),"")</f>
        <v/>
      </c>
      <c r="Z178" s="72" t="str">
        <f>IF(AND(ISNUMBER($P178),ISNUMBER($R178)),IF(AND($P178&gt;0,$R178&gt;0),$P178/$R178,""),"")</f>
        <v/>
      </c>
      <c r="AA178" s="71" t="str">
        <f>IF($B178="","",IF(OR($N178="Live",$N178="Optimizing",$N178="Paused",$N178="Completed"),IF(ISNUMBER($AI178),IF($AI178&gt;=1,"Ahead",IF($AI178&gt;=OnTrackPct,"On Track",IF($AI178&gt;=WatchPct,"Behind","At Risk"))),"No Target Set"),"Not Live"))</f>
        <v/>
      </c>
      <c r="AB178" s="65" t="n"/>
      <c r="AC178" s="65" t="n"/>
      <c r="AD178" s="65" t="n"/>
      <c r="AE178" s="67" t="n"/>
      <c r="AF178" s="67" t="n"/>
      <c r="AG178" s="63" t="n"/>
      <c r="AH178" s="74">
        <f>IF($N178="Completed",1,IF(AND(ISNUMBER($K178),ISNUMBER($L178)),IF($L178&gt;$K178,MIN(1,MAX(0.05,(ReportDate-$K178)/($L178-$K178))),1),1))</f>
        <v>1</v>
      </c>
      <c r="AI178" s="70" t="str">
        <f>IF($B178="","",IF(AND(ISNUMBER($Q178),$Q178&gt;0),$R178/($Q178*$AH178),""))</f>
        <v/>
      </c>
      <c r="AJ178" s="71" t="str">
        <f>IF(ISNUMBER($K178),YEAR($K178)&amp;"-"&amp;TEXT(MONTH($K178),"00"),"")</f>
        <v/>
      </c>
      <c r="AK178" s="71">
        <f>IF($B178="",0,IF(AND(OR(fClient="All",$A178=fClient),OR(fCampaign="All",$B178=fCampaign),OR(fTeam="All",$I178=fTeam),OR(fChannel="All",$H178=fChannel),OR(fCStatus="All",$N178=fCStatus)),1,0))</f>
        <v>0</v>
      </c>
      <c r="AL178" s="71">
        <f>IF($B178="",0,IF(AND(OR(fClient="All",$A178=fClient),OR(fCampaign="All",$B178=fCampaign),OR(fTeam="All",$I178=fTeam),OR(fChannel="All",$H178=fChannel)),1,0))</f>
        <v>0</v>
      </c>
      <c r="AM178" s="71">
        <f>IF(OR($N178="Live",$N178="Optimizing"),1,0)</f>
        <v>0</v>
      </c>
      <c r="AN178" s="71">
        <f>IF(OR($N178="Live",$N178="Optimizing",$N178="Paused",$N178="Completed"),1,0)</f>
        <v>0</v>
      </c>
      <c r="AO178" s="71">
        <f>IF(AND($AM178=1,ISNUMBER($L178),NOT(ISNUMBER($M178))),IF($L178&lt;ReportDate,1,0),0)</f>
        <v>0</v>
      </c>
      <c r="AP178" s="71">
        <f>IF($AM178=1,IF(ISNUMBER($AG178),IF(ReportDate-$AG178&gt;CampStaleDays,1,0),1),0)</f>
        <v>0</v>
      </c>
      <c r="AQ178" s="71">
        <f>IF(AND($AM178=1,OR($AA178="Behind",$AA178="At Risk")),1,0)</f>
        <v>0</v>
      </c>
      <c r="AR178" s="71">
        <f>IF(AND($AM178=1,OR($AA178="Ahead",$AA178="On Track")),1,0)</f>
        <v>0</v>
      </c>
      <c r="AS178" s="71">
        <f>IF(OR($AQ178=1,$AP178=1,$AO178=1),1,0)</f>
        <v>0</v>
      </c>
      <c r="AT178" s="71" t="str">
        <f>IF($AS178=1,TRIM(IF($AQ178=1,"Low performance. ","")&amp;IF($AP178=1,"No recent update. ","")&amp;IF($AO178=1,"Past planned end. ","")),"")</f>
        <v/>
      </c>
      <c r="AU178" s="71" t="str">
        <f>IF(AND($AS178=1,$AL178=1),ROW(),"")</f>
        <v/>
      </c>
      <c r="AV178" s="71" t="str">
        <f>IF(AND($AQ178=1,$AL178=1),ROW(),"")</f>
        <v/>
      </c>
      <c r="AW178" s="71" t="str">
        <f>IF(AND($AP178=1,$AL178=1),ROW(),"")</f>
        <v/>
      </c>
      <c r="AX178" s="71" t="str">
        <f>IF(AND($AR178=1,$AL178=1),ROW(),"")</f>
        <v/>
      </c>
      <c r="AY178" s="71">
        <f>IF(AND($B178&lt;&gt;"",$A178=TCL_Client),1,0)</f>
        <v>0</v>
      </c>
      <c r="AZ178" s="71" t="str">
        <f>IF($AY178=1,ROW(),"")</f>
        <v/>
      </c>
      <c r="BA178" s="71">
        <f>IF(AND($B178&lt;&gt;"",$A178=MECCA_Client),1,0)</f>
        <v>0</v>
      </c>
      <c r="BB178" s="71" t="str">
        <f>IF($BA178=1,ROW(),"")</f>
        <v/>
      </c>
    </row>
    <row r="179">
      <c r="A179" s="64" t="n"/>
      <c r="B179" s="65" t="n"/>
      <c r="C179" s="64" t="n"/>
      <c r="D179" s="64" t="n"/>
      <c r="E179" s="64" t="n"/>
      <c r="F179" s="65" t="n"/>
      <c r="G179" s="65" t="n"/>
      <c r="H179" s="64" t="n"/>
      <c r="I179" s="64" t="n"/>
      <c r="J179" s="65" t="n"/>
      <c r="K179" s="63" t="n"/>
      <c r="L179" s="63" t="n"/>
      <c r="M179" s="63" t="n"/>
      <c r="N179" s="64" t="n"/>
      <c r="O179" s="67" t="n"/>
      <c r="P179" s="72" t="str">
        <f>IF($B179="","",SUMIFS('PAID MEDIA ADS'!$G$5:$G$804,'PAID MEDIA ADS'!$C$5:$C$804,$B179))</f>
        <v/>
      </c>
      <c r="Q179" s="67" t="n"/>
      <c r="R179" s="72" t="str">
        <f>IF($B179="","",COUNTIFS('LEAD MQL TRACKER'!$C$5:$C$1004,$B179,'LEAD MQL TRACKER'!$AB$5:$AB$1004,1)+SUMIFS('EMAIL MARKETING'!$Q$5:$Q$804,'EMAIL MARKETING'!$C$5:$C$804,$B179)+SUMIFS('PAID MEDIA ADS'!$M$5:$M$804,'PAID MEDIA ADS'!$C$5:$C$804,$B179)+SUMIFS('LINKEDIN OUTREACH'!$N$5:$N$704,'LINKEDIN OUTREACH'!$C$5:$C$704,$B179))</f>
        <v/>
      </c>
      <c r="S179" s="67" t="n"/>
      <c r="T179" s="72" t="str">
        <f>IF($B179="","",COUNTIFS('LEAD MQL TRACKER'!$C$5:$C$1004,$B179,'LEAD MQL TRACKER'!$AD$5:$AD$1004,1)+SUMIFS('EMAIL MARKETING'!$R$5:$R$804,'EMAIL MARKETING'!$C$5:$C$804,$B179)+SUMIFS('PAID MEDIA ADS'!$N$5:$N$804,'PAID MEDIA ADS'!$C$5:$C$804,$B179)+SUMIFS('LINKEDIN OUTREACH'!$O$5:$O$704,'LINKEDIN OUTREACH'!$C$5:$C$704,$B179))</f>
        <v/>
      </c>
      <c r="U179" s="67" t="n"/>
      <c r="V179" s="72" t="str">
        <f>IF($B179="","",COUNTIFS('LEAD MQL TRACKER'!$C$5:$C$1004,$B179,'LEAD MQL TRACKER'!$AE$5:$AE$1004,1))</f>
        <v/>
      </c>
      <c r="W179" s="72" t="str">
        <f>IF($B179="","",COUNTIFS('LEAD MQL TRACKER'!$C$5:$C$1004,$B179,'LEAD MQL TRACKER'!$AC$5:$AC$1004,1)+SUMIFS('LINKEDIN OUTREACH'!$M$5:$M$704,'LINKEDIN OUTREACH'!$C$5:$C$704,$B179))</f>
        <v/>
      </c>
      <c r="X179" s="72" t="str">
        <f>IF($B179="","",SUMIFS('EMAIL MARKETING'!$O$5:$O$804,'EMAIL MARKETING'!$C$5:$C$804,$B179)+SUMIFS('LINKEDIN OUTREACH'!$K$5:$K$704,'LINKEDIN OUTREACH'!$C$5:$C$704,$B179))</f>
        <v/>
      </c>
      <c r="Y179" s="73" t="str">
        <f>IF(ISNUMBER($R179),IF($R179&gt;0,$T179/$R179,""),"")</f>
        <v/>
      </c>
      <c r="Z179" s="72" t="str">
        <f>IF(AND(ISNUMBER($P179),ISNUMBER($R179)),IF(AND($P179&gt;0,$R179&gt;0),$P179/$R179,""),"")</f>
        <v/>
      </c>
      <c r="AA179" s="71" t="str">
        <f>IF($B179="","",IF(OR($N179="Live",$N179="Optimizing",$N179="Paused",$N179="Completed"),IF(ISNUMBER($AI179),IF($AI179&gt;=1,"Ahead",IF($AI179&gt;=OnTrackPct,"On Track",IF($AI179&gt;=WatchPct,"Behind","At Risk"))),"No Target Set"),"Not Live"))</f>
        <v/>
      </c>
      <c r="AB179" s="65" t="n"/>
      <c r="AC179" s="65" t="n"/>
      <c r="AD179" s="65" t="n"/>
      <c r="AE179" s="67" t="n"/>
      <c r="AF179" s="67" t="n"/>
      <c r="AG179" s="63" t="n"/>
      <c r="AH179" s="74">
        <f>IF($N179="Completed",1,IF(AND(ISNUMBER($K179),ISNUMBER($L179)),IF($L179&gt;$K179,MIN(1,MAX(0.05,(ReportDate-$K179)/($L179-$K179))),1),1))</f>
        <v>1</v>
      </c>
      <c r="AI179" s="70" t="str">
        <f>IF($B179="","",IF(AND(ISNUMBER($Q179),$Q179&gt;0),$R179/($Q179*$AH179),""))</f>
        <v/>
      </c>
      <c r="AJ179" s="71" t="str">
        <f>IF(ISNUMBER($K179),YEAR($K179)&amp;"-"&amp;TEXT(MONTH($K179),"00"),"")</f>
        <v/>
      </c>
      <c r="AK179" s="71">
        <f>IF($B179="",0,IF(AND(OR(fClient="All",$A179=fClient),OR(fCampaign="All",$B179=fCampaign),OR(fTeam="All",$I179=fTeam),OR(fChannel="All",$H179=fChannel),OR(fCStatus="All",$N179=fCStatus)),1,0))</f>
        <v>0</v>
      </c>
      <c r="AL179" s="71">
        <f>IF($B179="",0,IF(AND(OR(fClient="All",$A179=fClient),OR(fCampaign="All",$B179=fCampaign),OR(fTeam="All",$I179=fTeam),OR(fChannel="All",$H179=fChannel)),1,0))</f>
        <v>0</v>
      </c>
      <c r="AM179" s="71">
        <f>IF(OR($N179="Live",$N179="Optimizing"),1,0)</f>
        <v>0</v>
      </c>
      <c r="AN179" s="71">
        <f>IF(OR($N179="Live",$N179="Optimizing",$N179="Paused",$N179="Completed"),1,0)</f>
        <v>0</v>
      </c>
      <c r="AO179" s="71">
        <f>IF(AND($AM179=1,ISNUMBER($L179),NOT(ISNUMBER($M179))),IF($L179&lt;ReportDate,1,0),0)</f>
        <v>0</v>
      </c>
      <c r="AP179" s="71">
        <f>IF($AM179=1,IF(ISNUMBER($AG179),IF(ReportDate-$AG179&gt;CampStaleDays,1,0),1),0)</f>
        <v>0</v>
      </c>
      <c r="AQ179" s="71">
        <f>IF(AND($AM179=1,OR($AA179="Behind",$AA179="At Risk")),1,0)</f>
        <v>0</v>
      </c>
      <c r="AR179" s="71">
        <f>IF(AND($AM179=1,OR($AA179="Ahead",$AA179="On Track")),1,0)</f>
        <v>0</v>
      </c>
      <c r="AS179" s="71">
        <f>IF(OR($AQ179=1,$AP179=1,$AO179=1),1,0)</f>
        <v>0</v>
      </c>
      <c r="AT179" s="71" t="str">
        <f>IF($AS179=1,TRIM(IF($AQ179=1,"Low performance. ","")&amp;IF($AP179=1,"No recent update. ","")&amp;IF($AO179=1,"Past planned end. ","")),"")</f>
        <v/>
      </c>
      <c r="AU179" s="71" t="str">
        <f>IF(AND($AS179=1,$AL179=1),ROW(),"")</f>
        <v/>
      </c>
      <c r="AV179" s="71" t="str">
        <f>IF(AND($AQ179=1,$AL179=1),ROW(),"")</f>
        <v/>
      </c>
      <c r="AW179" s="71" t="str">
        <f>IF(AND($AP179=1,$AL179=1),ROW(),"")</f>
        <v/>
      </c>
      <c r="AX179" s="71" t="str">
        <f>IF(AND($AR179=1,$AL179=1),ROW(),"")</f>
        <v/>
      </c>
      <c r="AY179" s="71">
        <f>IF(AND($B179&lt;&gt;"",$A179=TCL_Client),1,0)</f>
        <v>0</v>
      </c>
      <c r="AZ179" s="71" t="str">
        <f>IF($AY179=1,ROW(),"")</f>
        <v/>
      </c>
      <c r="BA179" s="71">
        <f>IF(AND($B179&lt;&gt;"",$A179=MECCA_Client),1,0)</f>
        <v>0</v>
      </c>
      <c r="BB179" s="71" t="str">
        <f>IF($BA179=1,ROW(),"")</f>
        <v/>
      </c>
    </row>
    <row r="180">
      <c r="A180" s="64" t="n"/>
      <c r="B180" s="65" t="n"/>
      <c r="C180" s="64" t="n"/>
      <c r="D180" s="64" t="n"/>
      <c r="E180" s="64" t="n"/>
      <c r="F180" s="65" t="n"/>
      <c r="G180" s="65" t="n"/>
      <c r="H180" s="64" t="n"/>
      <c r="I180" s="64" t="n"/>
      <c r="J180" s="65" t="n"/>
      <c r="K180" s="63" t="n"/>
      <c r="L180" s="63" t="n"/>
      <c r="M180" s="63" t="n"/>
      <c r="N180" s="64" t="n"/>
      <c r="O180" s="67" t="n"/>
      <c r="P180" s="72" t="str">
        <f>IF($B180="","",SUMIFS('PAID MEDIA ADS'!$G$5:$G$804,'PAID MEDIA ADS'!$C$5:$C$804,$B180))</f>
        <v/>
      </c>
      <c r="Q180" s="67" t="n"/>
      <c r="R180" s="72" t="str">
        <f>IF($B180="","",COUNTIFS('LEAD MQL TRACKER'!$C$5:$C$1004,$B180,'LEAD MQL TRACKER'!$AB$5:$AB$1004,1)+SUMIFS('EMAIL MARKETING'!$Q$5:$Q$804,'EMAIL MARKETING'!$C$5:$C$804,$B180)+SUMIFS('PAID MEDIA ADS'!$M$5:$M$804,'PAID MEDIA ADS'!$C$5:$C$804,$B180)+SUMIFS('LINKEDIN OUTREACH'!$N$5:$N$704,'LINKEDIN OUTREACH'!$C$5:$C$704,$B180))</f>
        <v/>
      </c>
      <c r="S180" s="67" t="n"/>
      <c r="T180" s="72" t="str">
        <f>IF($B180="","",COUNTIFS('LEAD MQL TRACKER'!$C$5:$C$1004,$B180,'LEAD MQL TRACKER'!$AD$5:$AD$1004,1)+SUMIFS('EMAIL MARKETING'!$R$5:$R$804,'EMAIL MARKETING'!$C$5:$C$804,$B180)+SUMIFS('PAID MEDIA ADS'!$N$5:$N$804,'PAID MEDIA ADS'!$C$5:$C$804,$B180)+SUMIFS('LINKEDIN OUTREACH'!$O$5:$O$704,'LINKEDIN OUTREACH'!$C$5:$C$704,$B180))</f>
        <v/>
      </c>
      <c r="U180" s="67" t="n"/>
      <c r="V180" s="72" t="str">
        <f>IF($B180="","",COUNTIFS('LEAD MQL TRACKER'!$C$5:$C$1004,$B180,'LEAD MQL TRACKER'!$AE$5:$AE$1004,1))</f>
        <v/>
      </c>
      <c r="W180" s="72" t="str">
        <f>IF($B180="","",COUNTIFS('LEAD MQL TRACKER'!$C$5:$C$1004,$B180,'LEAD MQL TRACKER'!$AC$5:$AC$1004,1)+SUMIFS('LINKEDIN OUTREACH'!$M$5:$M$704,'LINKEDIN OUTREACH'!$C$5:$C$704,$B180))</f>
        <v/>
      </c>
      <c r="X180" s="72" t="str">
        <f>IF($B180="","",SUMIFS('EMAIL MARKETING'!$O$5:$O$804,'EMAIL MARKETING'!$C$5:$C$804,$B180)+SUMIFS('LINKEDIN OUTREACH'!$K$5:$K$704,'LINKEDIN OUTREACH'!$C$5:$C$704,$B180))</f>
        <v/>
      </c>
      <c r="Y180" s="73" t="str">
        <f>IF(ISNUMBER($R180),IF($R180&gt;0,$T180/$R180,""),"")</f>
        <v/>
      </c>
      <c r="Z180" s="72" t="str">
        <f>IF(AND(ISNUMBER($P180),ISNUMBER($R180)),IF(AND($P180&gt;0,$R180&gt;0),$P180/$R180,""),"")</f>
        <v/>
      </c>
      <c r="AA180" s="71" t="str">
        <f>IF($B180="","",IF(OR($N180="Live",$N180="Optimizing",$N180="Paused",$N180="Completed"),IF(ISNUMBER($AI180),IF($AI180&gt;=1,"Ahead",IF($AI180&gt;=OnTrackPct,"On Track",IF($AI180&gt;=WatchPct,"Behind","At Risk"))),"No Target Set"),"Not Live"))</f>
        <v/>
      </c>
      <c r="AB180" s="65" t="n"/>
      <c r="AC180" s="65" t="n"/>
      <c r="AD180" s="65" t="n"/>
      <c r="AE180" s="67" t="n"/>
      <c r="AF180" s="67" t="n"/>
      <c r="AG180" s="63" t="n"/>
      <c r="AH180" s="74">
        <f>IF($N180="Completed",1,IF(AND(ISNUMBER($K180),ISNUMBER($L180)),IF($L180&gt;$K180,MIN(1,MAX(0.05,(ReportDate-$K180)/($L180-$K180))),1),1))</f>
        <v>1</v>
      </c>
      <c r="AI180" s="70" t="str">
        <f>IF($B180="","",IF(AND(ISNUMBER($Q180),$Q180&gt;0),$R180/($Q180*$AH180),""))</f>
        <v/>
      </c>
      <c r="AJ180" s="71" t="str">
        <f>IF(ISNUMBER($K180),YEAR($K180)&amp;"-"&amp;TEXT(MONTH($K180),"00"),"")</f>
        <v/>
      </c>
      <c r="AK180" s="71">
        <f>IF($B180="",0,IF(AND(OR(fClient="All",$A180=fClient),OR(fCampaign="All",$B180=fCampaign),OR(fTeam="All",$I180=fTeam),OR(fChannel="All",$H180=fChannel),OR(fCStatus="All",$N180=fCStatus)),1,0))</f>
        <v>0</v>
      </c>
      <c r="AL180" s="71">
        <f>IF($B180="",0,IF(AND(OR(fClient="All",$A180=fClient),OR(fCampaign="All",$B180=fCampaign),OR(fTeam="All",$I180=fTeam),OR(fChannel="All",$H180=fChannel)),1,0))</f>
        <v>0</v>
      </c>
      <c r="AM180" s="71">
        <f>IF(OR($N180="Live",$N180="Optimizing"),1,0)</f>
        <v>0</v>
      </c>
      <c r="AN180" s="71">
        <f>IF(OR($N180="Live",$N180="Optimizing",$N180="Paused",$N180="Completed"),1,0)</f>
        <v>0</v>
      </c>
      <c r="AO180" s="71">
        <f>IF(AND($AM180=1,ISNUMBER($L180),NOT(ISNUMBER($M180))),IF($L180&lt;ReportDate,1,0),0)</f>
        <v>0</v>
      </c>
      <c r="AP180" s="71">
        <f>IF($AM180=1,IF(ISNUMBER($AG180),IF(ReportDate-$AG180&gt;CampStaleDays,1,0),1),0)</f>
        <v>0</v>
      </c>
      <c r="AQ180" s="71">
        <f>IF(AND($AM180=1,OR($AA180="Behind",$AA180="At Risk")),1,0)</f>
        <v>0</v>
      </c>
      <c r="AR180" s="71">
        <f>IF(AND($AM180=1,OR($AA180="Ahead",$AA180="On Track")),1,0)</f>
        <v>0</v>
      </c>
      <c r="AS180" s="71">
        <f>IF(OR($AQ180=1,$AP180=1,$AO180=1),1,0)</f>
        <v>0</v>
      </c>
      <c r="AT180" s="71" t="str">
        <f>IF($AS180=1,TRIM(IF($AQ180=1,"Low performance. ","")&amp;IF($AP180=1,"No recent update. ","")&amp;IF($AO180=1,"Past planned end. ","")),"")</f>
        <v/>
      </c>
      <c r="AU180" s="71" t="str">
        <f>IF(AND($AS180=1,$AL180=1),ROW(),"")</f>
        <v/>
      </c>
      <c r="AV180" s="71" t="str">
        <f>IF(AND($AQ180=1,$AL180=1),ROW(),"")</f>
        <v/>
      </c>
      <c r="AW180" s="71" t="str">
        <f>IF(AND($AP180=1,$AL180=1),ROW(),"")</f>
        <v/>
      </c>
      <c r="AX180" s="71" t="str">
        <f>IF(AND($AR180=1,$AL180=1),ROW(),"")</f>
        <v/>
      </c>
      <c r="AY180" s="71">
        <f>IF(AND($B180&lt;&gt;"",$A180=TCL_Client),1,0)</f>
        <v>0</v>
      </c>
      <c r="AZ180" s="71" t="str">
        <f>IF($AY180=1,ROW(),"")</f>
        <v/>
      </c>
      <c r="BA180" s="71">
        <f>IF(AND($B180&lt;&gt;"",$A180=MECCA_Client),1,0)</f>
        <v>0</v>
      </c>
      <c r="BB180" s="71" t="str">
        <f>IF($BA180=1,ROW(),"")</f>
        <v/>
      </c>
    </row>
    <row r="181">
      <c r="A181" s="64" t="n"/>
      <c r="B181" s="65" t="n"/>
      <c r="C181" s="64" t="n"/>
      <c r="D181" s="64" t="n"/>
      <c r="E181" s="64" t="n"/>
      <c r="F181" s="65" t="n"/>
      <c r="G181" s="65" t="n"/>
      <c r="H181" s="64" t="n"/>
      <c r="I181" s="64" t="n"/>
      <c r="J181" s="65" t="n"/>
      <c r="K181" s="63" t="n"/>
      <c r="L181" s="63" t="n"/>
      <c r="M181" s="63" t="n"/>
      <c r="N181" s="64" t="n"/>
      <c r="O181" s="67" t="n"/>
      <c r="P181" s="72" t="str">
        <f>IF($B181="","",SUMIFS('PAID MEDIA ADS'!$G$5:$G$804,'PAID MEDIA ADS'!$C$5:$C$804,$B181))</f>
        <v/>
      </c>
      <c r="Q181" s="67" t="n"/>
      <c r="R181" s="72" t="str">
        <f>IF($B181="","",COUNTIFS('LEAD MQL TRACKER'!$C$5:$C$1004,$B181,'LEAD MQL TRACKER'!$AB$5:$AB$1004,1)+SUMIFS('EMAIL MARKETING'!$Q$5:$Q$804,'EMAIL MARKETING'!$C$5:$C$804,$B181)+SUMIFS('PAID MEDIA ADS'!$M$5:$M$804,'PAID MEDIA ADS'!$C$5:$C$804,$B181)+SUMIFS('LINKEDIN OUTREACH'!$N$5:$N$704,'LINKEDIN OUTREACH'!$C$5:$C$704,$B181))</f>
        <v/>
      </c>
      <c r="S181" s="67" t="n"/>
      <c r="T181" s="72" t="str">
        <f>IF($B181="","",COUNTIFS('LEAD MQL TRACKER'!$C$5:$C$1004,$B181,'LEAD MQL TRACKER'!$AD$5:$AD$1004,1)+SUMIFS('EMAIL MARKETING'!$R$5:$R$804,'EMAIL MARKETING'!$C$5:$C$804,$B181)+SUMIFS('PAID MEDIA ADS'!$N$5:$N$804,'PAID MEDIA ADS'!$C$5:$C$804,$B181)+SUMIFS('LINKEDIN OUTREACH'!$O$5:$O$704,'LINKEDIN OUTREACH'!$C$5:$C$704,$B181))</f>
        <v/>
      </c>
      <c r="U181" s="67" t="n"/>
      <c r="V181" s="72" t="str">
        <f>IF($B181="","",COUNTIFS('LEAD MQL TRACKER'!$C$5:$C$1004,$B181,'LEAD MQL TRACKER'!$AE$5:$AE$1004,1))</f>
        <v/>
      </c>
      <c r="W181" s="72" t="str">
        <f>IF($B181="","",COUNTIFS('LEAD MQL TRACKER'!$C$5:$C$1004,$B181,'LEAD MQL TRACKER'!$AC$5:$AC$1004,1)+SUMIFS('LINKEDIN OUTREACH'!$M$5:$M$704,'LINKEDIN OUTREACH'!$C$5:$C$704,$B181))</f>
        <v/>
      </c>
      <c r="X181" s="72" t="str">
        <f>IF($B181="","",SUMIFS('EMAIL MARKETING'!$O$5:$O$804,'EMAIL MARKETING'!$C$5:$C$804,$B181)+SUMIFS('LINKEDIN OUTREACH'!$K$5:$K$704,'LINKEDIN OUTREACH'!$C$5:$C$704,$B181))</f>
        <v/>
      </c>
      <c r="Y181" s="73" t="str">
        <f>IF(ISNUMBER($R181),IF($R181&gt;0,$T181/$R181,""),"")</f>
        <v/>
      </c>
      <c r="Z181" s="72" t="str">
        <f>IF(AND(ISNUMBER($P181),ISNUMBER($R181)),IF(AND($P181&gt;0,$R181&gt;0),$P181/$R181,""),"")</f>
        <v/>
      </c>
      <c r="AA181" s="71" t="str">
        <f>IF($B181="","",IF(OR($N181="Live",$N181="Optimizing",$N181="Paused",$N181="Completed"),IF(ISNUMBER($AI181),IF($AI181&gt;=1,"Ahead",IF($AI181&gt;=OnTrackPct,"On Track",IF($AI181&gt;=WatchPct,"Behind","At Risk"))),"No Target Set"),"Not Live"))</f>
        <v/>
      </c>
      <c r="AB181" s="65" t="n"/>
      <c r="AC181" s="65" t="n"/>
      <c r="AD181" s="65" t="n"/>
      <c r="AE181" s="67" t="n"/>
      <c r="AF181" s="67" t="n"/>
      <c r="AG181" s="63" t="n"/>
      <c r="AH181" s="74">
        <f>IF($N181="Completed",1,IF(AND(ISNUMBER($K181),ISNUMBER($L181)),IF($L181&gt;$K181,MIN(1,MAX(0.05,(ReportDate-$K181)/($L181-$K181))),1),1))</f>
        <v>1</v>
      </c>
      <c r="AI181" s="70" t="str">
        <f>IF($B181="","",IF(AND(ISNUMBER($Q181),$Q181&gt;0),$R181/($Q181*$AH181),""))</f>
        <v/>
      </c>
      <c r="AJ181" s="71" t="str">
        <f>IF(ISNUMBER($K181),YEAR($K181)&amp;"-"&amp;TEXT(MONTH($K181),"00"),"")</f>
        <v/>
      </c>
      <c r="AK181" s="71">
        <f>IF($B181="",0,IF(AND(OR(fClient="All",$A181=fClient),OR(fCampaign="All",$B181=fCampaign),OR(fTeam="All",$I181=fTeam),OR(fChannel="All",$H181=fChannel),OR(fCStatus="All",$N181=fCStatus)),1,0))</f>
        <v>0</v>
      </c>
      <c r="AL181" s="71">
        <f>IF($B181="",0,IF(AND(OR(fClient="All",$A181=fClient),OR(fCampaign="All",$B181=fCampaign),OR(fTeam="All",$I181=fTeam),OR(fChannel="All",$H181=fChannel)),1,0))</f>
        <v>0</v>
      </c>
      <c r="AM181" s="71">
        <f>IF(OR($N181="Live",$N181="Optimizing"),1,0)</f>
        <v>0</v>
      </c>
      <c r="AN181" s="71">
        <f>IF(OR($N181="Live",$N181="Optimizing",$N181="Paused",$N181="Completed"),1,0)</f>
        <v>0</v>
      </c>
      <c r="AO181" s="71">
        <f>IF(AND($AM181=1,ISNUMBER($L181),NOT(ISNUMBER($M181))),IF($L181&lt;ReportDate,1,0),0)</f>
        <v>0</v>
      </c>
      <c r="AP181" s="71">
        <f>IF($AM181=1,IF(ISNUMBER($AG181),IF(ReportDate-$AG181&gt;CampStaleDays,1,0),1),0)</f>
        <v>0</v>
      </c>
      <c r="AQ181" s="71">
        <f>IF(AND($AM181=1,OR($AA181="Behind",$AA181="At Risk")),1,0)</f>
        <v>0</v>
      </c>
      <c r="AR181" s="71">
        <f>IF(AND($AM181=1,OR($AA181="Ahead",$AA181="On Track")),1,0)</f>
        <v>0</v>
      </c>
      <c r="AS181" s="71">
        <f>IF(OR($AQ181=1,$AP181=1,$AO181=1),1,0)</f>
        <v>0</v>
      </c>
      <c r="AT181" s="71" t="str">
        <f>IF($AS181=1,TRIM(IF($AQ181=1,"Low performance. ","")&amp;IF($AP181=1,"No recent update. ","")&amp;IF($AO181=1,"Past planned end. ","")),"")</f>
        <v/>
      </c>
      <c r="AU181" s="71" t="str">
        <f>IF(AND($AS181=1,$AL181=1),ROW(),"")</f>
        <v/>
      </c>
      <c r="AV181" s="71" t="str">
        <f>IF(AND($AQ181=1,$AL181=1),ROW(),"")</f>
        <v/>
      </c>
      <c r="AW181" s="71" t="str">
        <f>IF(AND($AP181=1,$AL181=1),ROW(),"")</f>
        <v/>
      </c>
      <c r="AX181" s="71" t="str">
        <f>IF(AND($AR181=1,$AL181=1),ROW(),"")</f>
        <v/>
      </c>
      <c r="AY181" s="71">
        <f>IF(AND($B181&lt;&gt;"",$A181=TCL_Client),1,0)</f>
        <v>0</v>
      </c>
      <c r="AZ181" s="71" t="str">
        <f>IF($AY181=1,ROW(),"")</f>
        <v/>
      </c>
      <c r="BA181" s="71">
        <f>IF(AND($B181&lt;&gt;"",$A181=MECCA_Client),1,0)</f>
        <v>0</v>
      </c>
      <c r="BB181" s="71" t="str">
        <f>IF($BA181=1,ROW(),"")</f>
        <v/>
      </c>
    </row>
    <row r="182">
      <c r="A182" s="64" t="n"/>
      <c r="B182" s="65" t="n"/>
      <c r="C182" s="64" t="n"/>
      <c r="D182" s="64" t="n"/>
      <c r="E182" s="64" t="n"/>
      <c r="F182" s="65" t="n"/>
      <c r="G182" s="65" t="n"/>
      <c r="H182" s="64" t="n"/>
      <c r="I182" s="64" t="n"/>
      <c r="J182" s="65" t="n"/>
      <c r="K182" s="63" t="n"/>
      <c r="L182" s="63" t="n"/>
      <c r="M182" s="63" t="n"/>
      <c r="N182" s="64" t="n"/>
      <c r="O182" s="67" t="n"/>
      <c r="P182" s="72" t="str">
        <f>IF($B182="","",SUMIFS('PAID MEDIA ADS'!$G$5:$G$804,'PAID MEDIA ADS'!$C$5:$C$804,$B182))</f>
        <v/>
      </c>
      <c r="Q182" s="67" t="n"/>
      <c r="R182" s="72" t="str">
        <f>IF($B182="","",COUNTIFS('LEAD MQL TRACKER'!$C$5:$C$1004,$B182,'LEAD MQL TRACKER'!$AB$5:$AB$1004,1)+SUMIFS('EMAIL MARKETING'!$Q$5:$Q$804,'EMAIL MARKETING'!$C$5:$C$804,$B182)+SUMIFS('PAID MEDIA ADS'!$M$5:$M$804,'PAID MEDIA ADS'!$C$5:$C$804,$B182)+SUMIFS('LINKEDIN OUTREACH'!$N$5:$N$704,'LINKEDIN OUTREACH'!$C$5:$C$704,$B182))</f>
        <v/>
      </c>
      <c r="S182" s="67" t="n"/>
      <c r="T182" s="72" t="str">
        <f>IF($B182="","",COUNTIFS('LEAD MQL TRACKER'!$C$5:$C$1004,$B182,'LEAD MQL TRACKER'!$AD$5:$AD$1004,1)+SUMIFS('EMAIL MARKETING'!$R$5:$R$804,'EMAIL MARKETING'!$C$5:$C$804,$B182)+SUMIFS('PAID MEDIA ADS'!$N$5:$N$804,'PAID MEDIA ADS'!$C$5:$C$804,$B182)+SUMIFS('LINKEDIN OUTREACH'!$O$5:$O$704,'LINKEDIN OUTREACH'!$C$5:$C$704,$B182))</f>
        <v/>
      </c>
      <c r="U182" s="67" t="n"/>
      <c r="V182" s="72" t="str">
        <f>IF($B182="","",COUNTIFS('LEAD MQL TRACKER'!$C$5:$C$1004,$B182,'LEAD MQL TRACKER'!$AE$5:$AE$1004,1))</f>
        <v/>
      </c>
      <c r="W182" s="72" t="str">
        <f>IF($B182="","",COUNTIFS('LEAD MQL TRACKER'!$C$5:$C$1004,$B182,'LEAD MQL TRACKER'!$AC$5:$AC$1004,1)+SUMIFS('LINKEDIN OUTREACH'!$M$5:$M$704,'LINKEDIN OUTREACH'!$C$5:$C$704,$B182))</f>
        <v/>
      </c>
      <c r="X182" s="72" t="str">
        <f>IF($B182="","",SUMIFS('EMAIL MARKETING'!$O$5:$O$804,'EMAIL MARKETING'!$C$5:$C$804,$B182)+SUMIFS('LINKEDIN OUTREACH'!$K$5:$K$704,'LINKEDIN OUTREACH'!$C$5:$C$704,$B182))</f>
        <v/>
      </c>
      <c r="Y182" s="73" t="str">
        <f>IF(ISNUMBER($R182),IF($R182&gt;0,$T182/$R182,""),"")</f>
        <v/>
      </c>
      <c r="Z182" s="72" t="str">
        <f>IF(AND(ISNUMBER($P182),ISNUMBER($R182)),IF(AND($P182&gt;0,$R182&gt;0),$P182/$R182,""),"")</f>
        <v/>
      </c>
      <c r="AA182" s="71" t="str">
        <f>IF($B182="","",IF(OR($N182="Live",$N182="Optimizing",$N182="Paused",$N182="Completed"),IF(ISNUMBER($AI182),IF($AI182&gt;=1,"Ahead",IF($AI182&gt;=OnTrackPct,"On Track",IF($AI182&gt;=WatchPct,"Behind","At Risk"))),"No Target Set"),"Not Live"))</f>
        <v/>
      </c>
      <c r="AB182" s="65" t="n"/>
      <c r="AC182" s="65" t="n"/>
      <c r="AD182" s="65" t="n"/>
      <c r="AE182" s="67" t="n"/>
      <c r="AF182" s="67" t="n"/>
      <c r="AG182" s="63" t="n"/>
      <c r="AH182" s="74">
        <f>IF($N182="Completed",1,IF(AND(ISNUMBER($K182),ISNUMBER($L182)),IF($L182&gt;$K182,MIN(1,MAX(0.05,(ReportDate-$K182)/($L182-$K182))),1),1))</f>
        <v>1</v>
      </c>
      <c r="AI182" s="70" t="str">
        <f>IF($B182="","",IF(AND(ISNUMBER($Q182),$Q182&gt;0),$R182/($Q182*$AH182),""))</f>
        <v/>
      </c>
      <c r="AJ182" s="71" t="str">
        <f>IF(ISNUMBER($K182),YEAR($K182)&amp;"-"&amp;TEXT(MONTH($K182),"00"),"")</f>
        <v/>
      </c>
      <c r="AK182" s="71">
        <f>IF($B182="",0,IF(AND(OR(fClient="All",$A182=fClient),OR(fCampaign="All",$B182=fCampaign),OR(fTeam="All",$I182=fTeam),OR(fChannel="All",$H182=fChannel),OR(fCStatus="All",$N182=fCStatus)),1,0))</f>
        <v>0</v>
      </c>
      <c r="AL182" s="71">
        <f>IF($B182="",0,IF(AND(OR(fClient="All",$A182=fClient),OR(fCampaign="All",$B182=fCampaign),OR(fTeam="All",$I182=fTeam),OR(fChannel="All",$H182=fChannel)),1,0))</f>
        <v>0</v>
      </c>
      <c r="AM182" s="71">
        <f>IF(OR($N182="Live",$N182="Optimizing"),1,0)</f>
        <v>0</v>
      </c>
      <c r="AN182" s="71">
        <f>IF(OR($N182="Live",$N182="Optimizing",$N182="Paused",$N182="Completed"),1,0)</f>
        <v>0</v>
      </c>
      <c r="AO182" s="71">
        <f>IF(AND($AM182=1,ISNUMBER($L182),NOT(ISNUMBER($M182))),IF($L182&lt;ReportDate,1,0),0)</f>
        <v>0</v>
      </c>
      <c r="AP182" s="71">
        <f>IF($AM182=1,IF(ISNUMBER($AG182),IF(ReportDate-$AG182&gt;CampStaleDays,1,0),1),0)</f>
        <v>0</v>
      </c>
      <c r="AQ182" s="71">
        <f>IF(AND($AM182=1,OR($AA182="Behind",$AA182="At Risk")),1,0)</f>
        <v>0</v>
      </c>
      <c r="AR182" s="71">
        <f>IF(AND($AM182=1,OR($AA182="Ahead",$AA182="On Track")),1,0)</f>
        <v>0</v>
      </c>
      <c r="AS182" s="71">
        <f>IF(OR($AQ182=1,$AP182=1,$AO182=1),1,0)</f>
        <v>0</v>
      </c>
      <c r="AT182" s="71" t="str">
        <f>IF($AS182=1,TRIM(IF($AQ182=1,"Low performance. ","")&amp;IF($AP182=1,"No recent update. ","")&amp;IF($AO182=1,"Past planned end. ","")),"")</f>
        <v/>
      </c>
      <c r="AU182" s="71" t="str">
        <f>IF(AND($AS182=1,$AL182=1),ROW(),"")</f>
        <v/>
      </c>
      <c r="AV182" s="71" t="str">
        <f>IF(AND($AQ182=1,$AL182=1),ROW(),"")</f>
        <v/>
      </c>
      <c r="AW182" s="71" t="str">
        <f>IF(AND($AP182=1,$AL182=1),ROW(),"")</f>
        <v/>
      </c>
      <c r="AX182" s="71" t="str">
        <f>IF(AND($AR182=1,$AL182=1),ROW(),"")</f>
        <v/>
      </c>
      <c r="AY182" s="71">
        <f>IF(AND($B182&lt;&gt;"",$A182=TCL_Client),1,0)</f>
        <v>0</v>
      </c>
      <c r="AZ182" s="71" t="str">
        <f>IF($AY182=1,ROW(),"")</f>
        <v/>
      </c>
      <c r="BA182" s="71">
        <f>IF(AND($B182&lt;&gt;"",$A182=MECCA_Client),1,0)</f>
        <v>0</v>
      </c>
      <c r="BB182" s="71" t="str">
        <f>IF($BA182=1,ROW(),"")</f>
        <v/>
      </c>
    </row>
    <row r="183">
      <c r="A183" s="64" t="n"/>
      <c r="B183" s="65" t="n"/>
      <c r="C183" s="64" t="n"/>
      <c r="D183" s="64" t="n"/>
      <c r="E183" s="64" t="n"/>
      <c r="F183" s="65" t="n"/>
      <c r="G183" s="65" t="n"/>
      <c r="H183" s="64" t="n"/>
      <c r="I183" s="64" t="n"/>
      <c r="J183" s="65" t="n"/>
      <c r="K183" s="63" t="n"/>
      <c r="L183" s="63" t="n"/>
      <c r="M183" s="63" t="n"/>
      <c r="N183" s="64" t="n"/>
      <c r="O183" s="67" t="n"/>
      <c r="P183" s="72" t="str">
        <f>IF($B183="","",SUMIFS('PAID MEDIA ADS'!$G$5:$G$804,'PAID MEDIA ADS'!$C$5:$C$804,$B183))</f>
        <v/>
      </c>
      <c r="Q183" s="67" t="n"/>
      <c r="R183" s="72" t="str">
        <f>IF($B183="","",COUNTIFS('LEAD MQL TRACKER'!$C$5:$C$1004,$B183,'LEAD MQL TRACKER'!$AB$5:$AB$1004,1)+SUMIFS('EMAIL MARKETING'!$Q$5:$Q$804,'EMAIL MARKETING'!$C$5:$C$804,$B183)+SUMIFS('PAID MEDIA ADS'!$M$5:$M$804,'PAID MEDIA ADS'!$C$5:$C$804,$B183)+SUMIFS('LINKEDIN OUTREACH'!$N$5:$N$704,'LINKEDIN OUTREACH'!$C$5:$C$704,$B183))</f>
        <v/>
      </c>
      <c r="S183" s="67" t="n"/>
      <c r="T183" s="72" t="str">
        <f>IF($B183="","",COUNTIFS('LEAD MQL TRACKER'!$C$5:$C$1004,$B183,'LEAD MQL TRACKER'!$AD$5:$AD$1004,1)+SUMIFS('EMAIL MARKETING'!$R$5:$R$804,'EMAIL MARKETING'!$C$5:$C$804,$B183)+SUMIFS('PAID MEDIA ADS'!$N$5:$N$804,'PAID MEDIA ADS'!$C$5:$C$804,$B183)+SUMIFS('LINKEDIN OUTREACH'!$O$5:$O$704,'LINKEDIN OUTREACH'!$C$5:$C$704,$B183))</f>
        <v/>
      </c>
      <c r="U183" s="67" t="n"/>
      <c r="V183" s="72" t="str">
        <f>IF($B183="","",COUNTIFS('LEAD MQL TRACKER'!$C$5:$C$1004,$B183,'LEAD MQL TRACKER'!$AE$5:$AE$1004,1))</f>
        <v/>
      </c>
      <c r="W183" s="72" t="str">
        <f>IF($B183="","",COUNTIFS('LEAD MQL TRACKER'!$C$5:$C$1004,$B183,'LEAD MQL TRACKER'!$AC$5:$AC$1004,1)+SUMIFS('LINKEDIN OUTREACH'!$M$5:$M$704,'LINKEDIN OUTREACH'!$C$5:$C$704,$B183))</f>
        <v/>
      </c>
      <c r="X183" s="72" t="str">
        <f>IF($B183="","",SUMIFS('EMAIL MARKETING'!$O$5:$O$804,'EMAIL MARKETING'!$C$5:$C$804,$B183)+SUMIFS('LINKEDIN OUTREACH'!$K$5:$K$704,'LINKEDIN OUTREACH'!$C$5:$C$704,$B183))</f>
        <v/>
      </c>
      <c r="Y183" s="73" t="str">
        <f>IF(ISNUMBER($R183),IF($R183&gt;0,$T183/$R183,""),"")</f>
        <v/>
      </c>
      <c r="Z183" s="72" t="str">
        <f>IF(AND(ISNUMBER($P183),ISNUMBER($R183)),IF(AND($P183&gt;0,$R183&gt;0),$P183/$R183,""),"")</f>
        <v/>
      </c>
      <c r="AA183" s="71" t="str">
        <f>IF($B183="","",IF(OR($N183="Live",$N183="Optimizing",$N183="Paused",$N183="Completed"),IF(ISNUMBER($AI183),IF($AI183&gt;=1,"Ahead",IF($AI183&gt;=OnTrackPct,"On Track",IF($AI183&gt;=WatchPct,"Behind","At Risk"))),"No Target Set"),"Not Live"))</f>
        <v/>
      </c>
      <c r="AB183" s="65" t="n"/>
      <c r="AC183" s="65" t="n"/>
      <c r="AD183" s="65" t="n"/>
      <c r="AE183" s="67" t="n"/>
      <c r="AF183" s="67" t="n"/>
      <c r="AG183" s="63" t="n"/>
      <c r="AH183" s="74">
        <f>IF($N183="Completed",1,IF(AND(ISNUMBER($K183),ISNUMBER($L183)),IF($L183&gt;$K183,MIN(1,MAX(0.05,(ReportDate-$K183)/($L183-$K183))),1),1))</f>
        <v>1</v>
      </c>
      <c r="AI183" s="70" t="str">
        <f>IF($B183="","",IF(AND(ISNUMBER($Q183),$Q183&gt;0),$R183/($Q183*$AH183),""))</f>
        <v/>
      </c>
      <c r="AJ183" s="71" t="str">
        <f>IF(ISNUMBER($K183),YEAR($K183)&amp;"-"&amp;TEXT(MONTH($K183),"00"),"")</f>
        <v/>
      </c>
      <c r="AK183" s="71">
        <f>IF($B183="",0,IF(AND(OR(fClient="All",$A183=fClient),OR(fCampaign="All",$B183=fCampaign),OR(fTeam="All",$I183=fTeam),OR(fChannel="All",$H183=fChannel),OR(fCStatus="All",$N183=fCStatus)),1,0))</f>
        <v>0</v>
      </c>
      <c r="AL183" s="71">
        <f>IF($B183="",0,IF(AND(OR(fClient="All",$A183=fClient),OR(fCampaign="All",$B183=fCampaign),OR(fTeam="All",$I183=fTeam),OR(fChannel="All",$H183=fChannel)),1,0))</f>
        <v>0</v>
      </c>
      <c r="AM183" s="71">
        <f>IF(OR($N183="Live",$N183="Optimizing"),1,0)</f>
        <v>0</v>
      </c>
      <c r="AN183" s="71">
        <f>IF(OR($N183="Live",$N183="Optimizing",$N183="Paused",$N183="Completed"),1,0)</f>
        <v>0</v>
      </c>
      <c r="AO183" s="71">
        <f>IF(AND($AM183=1,ISNUMBER($L183),NOT(ISNUMBER($M183))),IF($L183&lt;ReportDate,1,0),0)</f>
        <v>0</v>
      </c>
      <c r="AP183" s="71">
        <f>IF($AM183=1,IF(ISNUMBER($AG183),IF(ReportDate-$AG183&gt;CampStaleDays,1,0),1),0)</f>
        <v>0</v>
      </c>
      <c r="AQ183" s="71">
        <f>IF(AND($AM183=1,OR($AA183="Behind",$AA183="At Risk")),1,0)</f>
        <v>0</v>
      </c>
      <c r="AR183" s="71">
        <f>IF(AND($AM183=1,OR($AA183="Ahead",$AA183="On Track")),1,0)</f>
        <v>0</v>
      </c>
      <c r="AS183" s="71">
        <f>IF(OR($AQ183=1,$AP183=1,$AO183=1),1,0)</f>
        <v>0</v>
      </c>
      <c r="AT183" s="71" t="str">
        <f>IF($AS183=1,TRIM(IF($AQ183=1,"Low performance. ","")&amp;IF($AP183=1,"No recent update. ","")&amp;IF($AO183=1,"Past planned end. ","")),"")</f>
        <v/>
      </c>
      <c r="AU183" s="71" t="str">
        <f>IF(AND($AS183=1,$AL183=1),ROW(),"")</f>
        <v/>
      </c>
      <c r="AV183" s="71" t="str">
        <f>IF(AND($AQ183=1,$AL183=1),ROW(),"")</f>
        <v/>
      </c>
      <c r="AW183" s="71" t="str">
        <f>IF(AND($AP183=1,$AL183=1),ROW(),"")</f>
        <v/>
      </c>
      <c r="AX183" s="71" t="str">
        <f>IF(AND($AR183=1,$AL183=1),ROW(),"")</f>
        <v/>
      </c>
      <c r="AY183" s="71">
        <f>IF(AND($B183&lt;&gt;"",$A183=TCL_Client),1,0)</f>
        <v>0</v>
      </c>
      <c r="AZ183" s="71" t="str">
        <f>IF($AY183=1,ROW(),"")</f>
        <v/>
      </c>
      <c r="BA183" s="71">
        <f>IF(AND($B183&lt;&gt;"",$A183=MECCA_Client),1,0)</f>
        <v>0</v>
      </c>
      <c r="BB183" s="71" t="str">
        <f>IF($BA183=1,ROW(),"")</f>
        <v/>
      </c>
    </row>
    <row r="184">
      <c r="A184" s="64" t="n"/>
      <c r="B184" s="65" t="n"/>
      <c r="C184" s="64" t="n"/>
      <c r="D184" s="64" t="n"/>
      <c r="E184" s="64" t="n"/>
      <c r="F184" s="65" t="n"/>
      <c r="G184" s="65" t="n"/>
      <c r="H184" s="64" t="n"/>
      <c r="I184" s="64" t="n"/>
      <c r="J184" s="65" t="n"/>
      <c r="K184" s="63" t="n"/>
      <c r="L184" s="63" t="n"/>
      <c r="M184" s="63" t="n"/>
      <c r="N184" s="64" t="n"/>
      <c r="O184" s="67" t="n"/>
      <c r="P184" s="72" t="str">
        <f>IF($B184="","",SUMIFS('PAID MEDIA ADS'!$G$5:$G$804,'PAID MEDIA ADS'!$C$5:$C$804,$B184))</f>
        <v/>
      </c>
      <c r="Q184" s="67" t="n"/>
      <c r="R184" s="72" t="str">
        <f>IF($B184="","",COUNTIFS('LEAD MQL TRACKER'!$C$5:$C$1004,$B184,'LEAD MQL TRACKER'!$AB$5:$AB$1004,1)+SUMIFS('EMAIL MARKETING'!$Q$5:$Q$804,'EMAIL MARKETING'!$C$5:$C$804,$B184)+SUMIFS('PAID MEDIA ADS'!$M$5:$M$804,'PAID MEDIA ADS'!$C$5:$C$804,$B184)+SUMIFS('LINKEDIN OUTREACH'!$N$5:$N$704,'LINKEDIN OUTREACH'!$C$5:$C$704,$B184))</f>
        <v/>
      </c>
      <c r="S184" s="67" t="n"/>
      <c r="T184" s="72" t="str">
        <f>IF($B184="","",COUNTIFS('LEAD MQL TRACKER'!$C$5:$C$1004,$B184,'LEAD MQL TRACKER'!$AD$5:$AD$1004,1)+SUMIFS('EMAIL MARKETING'!$R$5:$R$804,'EMAIL MARKETING'!$C$5:$C$804,$B184)+SUMIFS('PAID MEDIA ADS'!$N$5:$N$804,'PAID MEDIA ADS'!$C$5:$C$804,$B184)+SUMIFS('LINKEDIN OUTREACH'!$O$5:$O$704,'LINKEDIN OUTREACH'!$C$5:$C$704,$B184))</f>
        <v/>
      </c>
      <c r="U184" s="67" t="n"/>
      <c r="V184" s="72" t="str">
        <f>IF($B184="","",COUNTIFS('LEAD MQL TRACKER'!$C$5:$C$1004,$B184,'LEAD MQL TRACKER'!$AE$5:$AE$1004,1))</f>
        <v/>
      </c>
      <c r="W184" s="72" t="str">
        <f>IF($B184="","",COUNTIFS('LEAD MQL TRACKER'!$C$5:$C$1004,$B184,'LEAD MQL TRACKER'!$AC$5:$AC$1004,1)+SUMIFS('LINKEDIN OUTREACH'!$M$5:$M$704,'LINKEDIN OUTREACH'!$C$5:$C$704,$B184))</f>
        <v/>
      </c>
      <c r="X184" s="72" t="str">
        <f>IF($B184="","",SUMIFS('EMAIL MARKETING'!$O$5:$O$804,'EMAIL MARKETING'!$C$5:$C$804,$B184)+SUMIFS('LINKEDIN OUTREACH'!$K$5:$K$704,'LINKEDIN OUTREACH'!$C$5:$C$704,$B184))</f>
        <v/>
      </c>
      <c r="Y184" s="73" t="str">
        <f>IF(ISNUMBER($R184),IF($R184&gt;0,$T184/$R184,""),"")</f>
        <v/>
      </c>
      <c r="Z184" s="72" t="str">
        <f>IF(AND(ISNUMBER($P184),ISNUMBER($R184)),IF(AND($P184&gt;0,$R184&gt;0),$P184/$R184,""),"")</f>
        <v/>
      </c>
      <c r="AA184" s="71" t="str">
        <f>IF($B184="","",IF(OR($N184="Live",$N184="Optimizing",$N184="Paused",$N184="Completed"),IF(ISNUMBER($AI184),IF($AI184&gt;=1,"Ahead",IF($AI184&gt;=OnTrackPct,"On Track",IF($AI184&gt;=WatchPct,"Behind","At Risk"))),"No Target Set"),"Not Live"))</f>
        <v/>
      </c>
      <c r="AB184" s="65" t="n"/>
      <c r="AC184" s="65" t="n"/>
      <c r="AD184" s="65" t="n"/>
      <c r="AE184" s="67" t="n"/>
      <c r="AF184" s="67" t="n"/>
      <c r="AG184" s="63" t="n"/>
      <c r="AH184" s="74">
        <f>IF($N184="Completed",1,IF(AND(ISNUMBER($K184),ISNUMBER($L184)),IF($L184&gt;$K184,MIN(1,MAX(0.05,(ReportDate-$K184)/($L184-$K184))),1),1))</f>
        <v>1</v>
      </c>
      <c r="AI184" s="70" t="str">
        <f>IF($B184="","",IF(AND(ISNUMBER($Q184),$Q184&gt;0),$R184/($Q184*$AH184),""))</f>
        <v/>
      </c>
      <c r="AJ184" s="71" t="str">
        <f>IF(ISNUMBER($K184),YEAR($K184)&amp;"-"&amp;TEXT(MONTH($K184),"00"),"")</f>
        <v/>
      </c>
      <c r="AK184" s="71">
        <f>IF($B184="",0,IF(AND(OR(fClient="All",$A184=fClient),OR(fCampaign="All",$B184=fCampaign),OR(fTeam="All",$I184=fTeam),OR(fChannel="All",$H184=fChannel),OR(fCStatus="All",$N184=fCStatus)),1,0))</f>
        <v>0</v>
      </c>
      <c r="AL184" s="71">
        <f>IF($B184="",0,IF(AND(OR(fClient="All",$A184=fClient),OR(fCampaign="All",$B184=fCampaign),OR(fTeam="All",$I184=fTeam),OR(fChannel="All",$H184=fChannel)),1,0))</f>
        <v>0</v>
      </c>
      <c r="AM184" s="71">
        <f>IF(OR($N184="Live",$N184="Optimizing"),1,0)</f>
        <v>0</v>
      </c>
      <c r="AN184" s="71">
        <f>IF(OR($N184="Live",$N184="Optimizing",$N184="Paused",$N184="Completed"),1,0)</f>
        <v>0</v>
      </c>
      <c r="AO184" s="71">
        <f>IF(AND($AM184=1,ISNUMBER($L184),NOT(ISNUMBER($M184))),IF($L184&lt;ReportDate,1,0),0)</f>
        <v>0</v>
      </c>
      <c r="AP184" s="71">
        <f>IF($AM184=1,IF(ISNUMBER($AG184),IF(ReportDate-$AG184&gt;CampStaleDays,1,0),1),0)</f>
        <v>0</v>
      </c>
      <c r="AQ184" s="71">
        <f>IF(AND($AM184=1,OR($AA184="Behind",$AA184="At Risk")),1,0)</f>
        <v>0</v>
      </c>
      <c r="AR184" s="71">
        <f>IF(AND($AM184=1,OR($AA184="Ahead",$AA184="On Track")),1,0)</f>
        <v>0</v>
      </c>
      <c r="AS184" s="71">
        <f>IF(OR($AQ184=1,$AP184=1,$AO184=1),1,0)</f>
        <v>0</v>
      </c>
      <c r="AT184" s="71" t="str">
        <f>IF($AS184=1,TRIM(IF($AQ184=1,"Low performance. ","")&amp;IF($AP184=1,"No recent update. ","")&amp;IF($AO184=1,"Past planned end. ","")),"")</f>
        <v/>
      </c>
      <c r="AU184" s="71" t="str">
        <f>IF(AND($AS184=1,$AL184=1),ROW(),"")</f>
        <v/>
      </c>
      <c r="AV184" s="71" t="str">
        <f>IF(AND($AQ184=1,$AL184=1),ROW(),"")</f>
        <v/>
      </c>
      <c r="AW184" s="71" t="str">
        <f>IF(AND($AP184=1,$AL184=1),ROW(),"")</f>
        <v/>
      </c>
      <c r="AX184" s="71" t="str">
        <f>IF(AND($AR184=1,$AL184=1),ROW(),"")</f>
        <v/>
      </c>
      <c r="AY184" s="71">
        <f>IF(AND($B184&lt;&gt;"",$A184=TCL_Client),1,0)</f>
        <v>0</v>
      </c>
      <c r="AZ184" s="71" t="str">
        <f>IF($AY184=1,ROW(),"")</f>
        <v/>
      </c>
      <c r="BA184" s="71">
        <f>IF(AND($B184&lt;&gt;"",$A184=MECCA_Client),1,0)</f>
        <v>0</v>
      </c>
      <c r="BB184" s="71" t="str">
        <f>IF($BA184=1,ROW(),"")</f>
        <v/>
      </c>
    </row>
    <row r="185">
      <c r="A185" s="64" t="n"/>
      <c r="B185" s="65" t="n"/>
      <c r="C185" s="64" t="n"/>
      <c r="D185" s="64" t="n"/>
      <c r="E185" s="64" t="n"/>
      <c r="F185" s="65" t="n"/>
      <c r="G185" s="65" t="n"/>
      <c r="H185" s="64" t="n"/>
      <c r="I185" s="64" t="n"/>
      <c r="J185" s="65" t="n"/>
      <c r="K185" s="63" t="n"/>
      <c r="L185" s="63" t="n"/>
      <c r="M185" s="63" t="n"/>
      <c r="N185" s="64" t="n"/>
      <c r="O185" s="67" t="n"/>
      <c r="P185" s="72" t="str">
        <f>IF($B185="","",SUMIFS('PAID MEDIA ADS'!$G$5:$G$804,'PAID MEDIA ADS'!$C$5:$C$804,$B185))</f>
        <v/>
      </c>
      <c r="Q185" s="67" t="n"/>
      <c r="R185" s="72" t="str">
        <f>IF($B185="","",COUNTIFS('LEAD MQL TRACKER'!$C$5:$C$1004,$B185,'LEAD MQL TRACKER'!$AB$5:$AB$1004,1)+SUMIFS('EMAIL MARKETING'!$Q$5:$Q$804,'EMAIL MARKETING'!$C$5:$C$804,$B185)+SUMIFS('PAID MEDIA ADS'!$M$5:$M$804,'PAID MEDIA ADS'!$C$5:$C$804,$B185)+SUMIFS('LINKEDIN OUTREACH'!$N$5:$N$704,'LINKEDIN OUTREACH'!$C$5:$C$704,$B185))</f>
        <v/>
      </c>
      <c r="S185" s="67" t="n"/>
      <c r="T185" s="72" t="str">
        <f>IF($B185="","",COUNTIFS('LEAD MQL TRACKER'!$C$5:$C$1004,$B185,'LEAD MQL TRACKER'!$AD$5:$AD$1004,1)+SUMIFS('EMAIL MARKETING'!$R$5:$R$804,'EMAIL MARKETING'!$C$5:$C$804,$B185)+SUMIFS('PAID MEDIA ADS'!$N$5:$N$804,'PAID MEDIA ADS'!$C$5:$C$804,$B185)+SUMIFS('LINKEDIN OUTREACH'!$O$5:$O$704,'LINKEDIN OUTREACH'!$C$5:$C$704,$B185))</f>
        <v/>
      </c>
      <c r="U185" s="67" t="n"/>
      <c r="V185" s="72" t="str">
        <f>IF($B185="","",COUNTIFS('LEAD MQL TRACKER'!$C$5:$C$1004,$B185,'LEAD MQL TRACKER'!$AE$5:$AE$1004,1))</f>
        <v/>
      </c>
      <c r="W185" s="72" t="str">
        <f>IF($B185="","",COUNTIFS('LEAD MQL TRACKER'!$C$5:$C$1004,$B185,'LEAD MQL TRACKER'!$AC$5:$AC$1004,1)+SUMIFS('LINKEDIN OUTREACH'!$M$5:$M$704,'LINKEDIN OUTREACH'!$C$5:$C$704,$B185))</f>
        <v/>
      </c>
      <c r="X185" s="72" t="str">
        <f>IF($B185="","",SUMIFS('EMAIL MARKETING'!$O$5:$O$804,'EMAIL MARKETING'!$C$5:$C$804,$B185)+SUMIFS('LINKEDIN OUTREACH'!$K$5:$K$704,'LINKEDIN OUTREACH'!$C$5:$C$704,$B185))</f>
        <v/>
      </c>
      <c r="Y185" s="73" t="str">
        <f>IF(ISNUMBER($R185),IF($R185&gt;0,$T185/$R185,""),"")</f>
        <v/>
      </c>
      <c r="Z185" s="72" t="str">
        <f>IF(AND(ISNUMBER($P185),ISNUMBER($R185)),IF(AND($P185&gt;0,$R185&gt;0),$P185/$R185,""),"")</f>
        <v/>
      </c>
      <c r="AA185" s="71" t="str">
        <f>IF($B185="","",IF(OR($N185="Live",$N185="Optimizing",$N185="Paused",$N185="Completed"),IF(ISNUMBER($AI185),IF($AI185&gt;=1,"Ahead",IF($AI185&gt;=OnTrackPct,"On Track",IF($AI185&gt;=WatchPct,"Behind","At Risk"))),"No Target Set"),"Not Live"))</f>
        <v/>
      </c>
      <c r="AB185" s="65" t="n"/>
      <c r="AC185" s="65" t="n"/>
      <c r="AD185" s="65" t="n"/>
      <c r="AE185" s="67" t="n"/>
      <c r="AF185" s="67" t="n"/>
      <c r="AG185" s="63" t="n"/>
      <c r="AH185" s="74">
        <f>IF($N185="Completed",1,IF(AND(ISNUMBER($K185),ISNUMBER($L185)),IF($L185&gt;$K185,MIN(1,MAX(0.05,(ReportDate-$K185)/($L185-$K185))),1),1))</f>
        <v>1</v>
      </c>
      <c r="AI185" s="70" t="str">
        <f>IF($B185="","",IF(AND(ISNUMBER($Q185),$Q185&gt;0),$R185/($Q185*$AH185),""))</f>
        <v/>
      </c>
      <c r="AJ185" s="71" t="str">
        <f>IF(ISNUMBER($K185),YEAR($K185)&amp;"-"&amp;TEXT(MONTH($K185),"00"),"")</f>
        <v/>
      </c>
      <c r="AK185" s="71">
        <f>IF($B185="",0,IF(AND(OR(fClient="All",$A185=fClient),OR(fCampaign="All",$B185=fCampaign),OR(fTeam="All",$I185=fTeam),OR(fChannel="All",$H185=fChannel),OR(fCStatus="All",$N185=fCStatus)),1,0))</f>
        <v>0</v>
      </c>
      <c r="AL185" s="71">
        <f>IF($B185="",0,IF(AND(OR(fClient="All",$A185=fClient),OR(fCampaign="All",$B185=fCampaign),OR(fTeam="All",$I185=fTeam),OR(fChannel="All",$H185=fChannel)),1,0))</f>
        <v>0</v>
      </c>
      <c r="AM185" s="71">
        <f>IF(OR($N185="Live",$N185="Optimizing"),1,0)</f>
        <v>0</v>
      </c>
      <c r="AN185" s="71">
        <f>IF(OR($N185="Live",$N185="Optimizing",$N185="Paused",$N185="Completed"),1,0)</f>
        <v>0</v>
      </c>
      <c r="AO185" s="71">
        <f>IF(AND($AM185=1,ISNUMBER($L185),NOT(ISNUMBER($M185))),IF($L185&lt;ReportDate,1,0),0)</f>
        <v>0</v>
      </c>
      <c r="AP185" s="71">
        <f>IF($AM185=1,IF(ISNUMBER($AG185),IF(ReportDate-$AG185&gt;CampStaleDays,1,0),1),0)</f>
        <v>0</v>
      </c>
      <c r="AQ185" s="71">
        <f>IF(AND($AM185=1,OR($AA185="Behind",$AA185="At Risk")),1,0)</f>
        <v>0</v>
      </c>
      <c r="AR185" s="71">
        <f>IF(AND($AM185=1,OR($AA185="Ahead",$AA185="On Track")),1,0)</f>
        <v>0</v>
      </c>
      <c r="AS185" s="71">
        <f>IF(OR($AQ185=1,$AP185=1,$AO185=1),1,0)</f>
        <v>0</v>
      </c>
      <c r="AT185" s="71" t="str">
        <f>IF($AS185=1,TRIM(IF($AQ185=1,"Low performance. ","")&amp;IF($AP185=1,"No recent update. ","")&amp;IF($AO185=1,"Past planned end. ","")),"")</f>
        <v/>
      </c>
      <c r="AU185" s="71" t="str">
        <f>IF(AND($AS185=1,$AL185=1),ROW(),"")</f>
        <v/>
      </c>
      <c r="AV185" s="71" t="str">
        <f>IF(AND($AQ185=1,$AL185=1),ROW(),"")</f>
        <v/>
      </c>
      <c r="AW185" s="71" t="str">
        <f>IF(AND($AP185=1,$AL185=1),ROW(),"")</f>
        <v/>
      </c>
      <c r="AX185" s="71" t="str">
        <f>IF(AND($AR185=1,$AL185=1),ROW(),"")</f>
        <v/>
      </c>
      <c r="AY185" s="71">
        <f>IF(AND($B185&lt;&gt;"",$A185=TCL_Client),1,0)</f>
        <v>0</v>
      </c>
      <c r="AZ185" s="71" t="str">
        <f>IF($AY185=1,ROW(),"")</f>
        <v/>
      </c>
      <c r="BA185" s="71">
        <f>IF(AND($B185&lt;&gt;"",$A185=MECCA_Client),1,0)</f>
        <v>0</v>
      </c>
      <c r="BB185" s="71" t="str">
        <f>IF($BA185=1,ROW(),"")</f>
        <v/>
      </c>
    </row>
    <row r="186">
      <c r="A186" s="64" t="n"/>
      <c r="B186" s="65" t="n"/>
      <c r="C186" s="64" t="n"/>
      <c r="D186" s="64" t="n"/>
      <c r="E186" s="64" t="n"/>
      <c r="F186" s="65" t="n"/>
      <c r="G186" s="65" t="n"/>
      <c r="H186" s="64" t="n"/>
      <c r="I186" s="64" t="n"/>
      <c r="J186" s="65" t="n"/>
      <c r="K186" s="63" t="n"/>
      <c r="L186" s="63" t="n"/>
      <c r="M186" s="63" t="n"/>
      <c r="N186" s="64" t="n"/>
      <c r="O186" s="67" t="n"/>
      <c r="P186" s="72" t="str">
        <f>IF($B186="","",SUMIFS('PAID MEDIA ADS'!$G$5:$G$804,'PAID MEDIA ADS'!$C$5:$C$804,$B186))</f>
        <v/>
      </c>
      <c r="Q186" s="67" t="n"/>
      <c r="R186" s="72" t="str">
        <f>IF($B186="","",COUNTIFS('LEAD MQL TRACKER'!$C$5:$C$1004,$B186,'LEAD MQL TRACKER'!$AB$5:$AB$1004,1)+SUMIFS('EMAIL MARKETING'!$Q$5:$Q$804,'EMAIL MARKETING'!$C$5:$C$804,$B186)+SUMIFS('PAID MEDIA ADS'!$M$5:$M$804,'PAID MEDIA ADS'!$C$5:$C$804,$B186)+SUMIFS('LINKEDIN OUTREACH'!$N$5:$N$704,'LINKEDIN OUTREACH'!$C$5:$C$704,$B186))</f>
        <v/>
      </c>
      <c r="S186" s="67" t="n"/>
      <c r="T186" s="72" t="str">
        <f>IF($B186="","",COUNTIFS('LEAD MQL TRACKER'!$C$5:$C$1004,$B186,'LEAD MQL TRACKER'!$AD$5:$AD$1004,1)+SUMIFS('EMAIL MARKETING'!$R$5:$R$804,'EMAIL MARKETING'!$C$5:$C$804,$B186)+SUMIFS('PAID MEDIA ADS'!$N$5:$N$804,'PAID MEDIA ADS'!$C$5:$C$804,$B186)+SUMIFS('LINKEDIN OUTREACH'!$O$5:$O$704,'LINKEDIN OUTREACH'!$C$5:$C$704,$B186))</f>
        <v/>
      </c>
      <c r="U186" s="67" t="n"/>
      <c r="V186" s="72" t="str">
        <f>IF($B186="","",COUNTIFS('LEAD MQL TRACKER'!$C$5:$C$1004,$B186,'LEAD MQL TRACKER'!$AE$5:$AE$1004,1))</f>
        <v/>
      </c>
      <c r="W186" s="72" t="str">
        <f>IF($B186="","",COUNTIFS('LEAD MQL TRACKER'!$C$5:$C$1004,$B186,'LEAD MQL TRACKER'!$AC$5:$AC$1004,1)+SUMIFS('LINKEDIN OUTREACH'!$M$5:$M$704,'LINKEDIN OUTREACH'!$C$5:$C$704,$B186))</f>
        <v/>
      </c>
      <c r="X186" s="72" t="str">
        <f>IF($B186="","",SUMIFS('EMAIL MARKETING'!$O$5:$O$804,'EMAIL MARKETING'!$C$5:$C$804,$B186)+SUMIFS('LINKEDIN OUTREACH'!$K$5:$K$704,'LINKEDIN OUTREACH'!$C$5:$C$704,$B186))</f>
        <v/>
      </c>
      <c r="Y186" s="73" t="str">
        <f>IF(ISNUMBER($R186),IF($R186&gt;0,$T186/$R186,""),"")</f>
        <v/>
      </c>
      <c r="Z186" s="72" t="str">
        <f>IF(AND(ISNUMBER($P186),ISNUMBER($R186)),IF(AND($P186&gt;0,$R186&gt;0),$P186/$R186,""),"")</f>
        <v/>
      </c>
      <c r="AA186" s="71" t="str">
        <f>IF($B186="","",IF(OR($N186="Live",$N186="Optimizing",$N186="Paused",$N186="Completed"),IF(ISNUMBER($AI186),IF($AI186&gt;=1,"Ahead",IF($AI186&gt;=OnTrackPct,"On Track",IF($AI186&gt;=WatchPct,"Behind","At Risk"))),"No Target Set"),"Not Live"))</f>
        <v/>
      </c>
      <c r="AB186" s="65" t="n"/>
      <c r="AC186" s="65" t="n"/>
      <c r="AD186" s="65" t="n"/>
      <c r="AE186" s="67" t="n"/>
      <c r="AF186" s="67" t="n"/>
      <c r="AG186" s="63" t="n"/>
      <c r="AH186" s="74">
        <f>IF($N186="Completed",1,IF(AND(ISNUMBER($K186),ISNUMBER($L186)),IF($L186&gt;$K186,MIN(1,MAX(0.05,(ReportDate-$K186)/($L186-$K186))),1),1))</f>
        <v>1</v>
      </c>
      <c r="AI186" s="70" t="str">
        <f>IF($B186="","",IF(AND(ISNUMBER($Q186),$Q186&gt;0),$R186/($Q186*$AH186),""))</f>
        <v/>
      </c>
      <c r="AJ186" s="71" t="str">
        <f>IF(ISNUMBER($K186),YEAR($K186)&amp;"-"&amp;TEXT(MONTH($K186),"00"),"")</f>
        <v/>
      </c>
      <c r="AK186" s="71">
        <f>IF($B186="",0,IF(AND(OR(fClient="All",$A186=fClient),OR(fCampaign="All",$B186=fCampaign),OR(fTeam="All",$I186=fTeam),OR(fChannel="All",$H186=fChannel),OR(fCStatus="All",$N186=fCStatus)),1,0))</f>
        <v>0</v>
      </c>
      <c r="AL186" s="71">
        <f>IF($B186="",0,IF(AND(OR(fClient="All",$A186=fClient),OR(fCampaign="All",$B186=fCampaign),OR(fTeam="All",$I186=fTeam),OR(fChannel="All",$H186=fChannel)),1,0))</f>
        <v>0</v>
      </c>
      <c r="AM186" s="71">
        <f>IF(OR($N186="Live",$N186="Optimizing"),1,0)</f>
        <v>0</v>
      </c>
      <c r="AN186" s="71">
        <f>IF(OR($N186="Live",$N186="Optimizing",$N186="Paused",$N186="Completed"),1,0)</f>
        <v>0</v>
      </c>
      <c r="AO186" s="71">
        <f>IF(AND($AM186=1,ISNUMBER($L186),NOT(ISNUMBER($M186))),IF($L186&lt;ReportDate,1,0),0)</f>
        <v>0</v>
      </c>
      <c r="AP186" s="71">
        <f>IF($AM186=1,IF(ISNUMBER($AG186),IF(ReportDate-$AG186&gt;CampStaleDays,1,0),1),0)</f>
        <v>0</v>
      </c>
      <c r="AQ186" s="71">
        <f>IF(AND($AM186=1,OR($AA186="Behind",$AA186="At Risk")),1,0)</f>
        <v>0</v>
      </c>
      <c r="AR186" s="71">
        <f>IF(AND($AM186=1,OR($AA186="Ahead",$AA186="On Track")),1,0)</f>
        <v>0</v>
      </c>
      <c r="AS186" s="71">
        <f>IF(OR($AQ186=1,$AP186=1,$AO186=1),1,0)</f>
        <v>0</v>
      </c>
      <c r="AT186" s="71" t="str">
        <f>IF($AS186=1,TRIM(IF($AQ186=1,"Low performance. ","")&amp;IF($AP186=1,"No recent update. ","")&amp;IF($AO186=1,"Past planned end. ","")),"")</f>
        <v/>
      </c>
      <c r="AU186" s="71" t="str">
        <f>IF(AND($AS186=1,$AL186=1),ROW(),"")</f>
        <v/>
      </c>
      <c r="AV186" s="71" t="str">
        <f>IF(AND($AQ186=1,$AL186=1),ROW(),"")</f>
        <v/>
      </c>
      <c r="AW186" s="71" t="str">
        <f>IF(AND($AP186=1,$AL186=1),ROW(),"")</f>
        <v/>
      </c>
      <c r="AX186" s="71" t="str">
        <f>IF(AND($AR186=1,$AL186=1),ROW(),"")</f>
        <v/>
      </c>
      <c r="AY186" s="71">
        <f>IF(AND($B186&lt;&gt;"",$A186=TCL_Client),1,0)</f>
        <v>0</v>
      </c>
      <c r="AZ186" s="71" t="str">
        <f>IF($AY186=1,ROW(),"")</f>
        <v/>
      </c>
      <c r="BA186" s="71">
        <f>IF(AND($B186&lt;&gt;"",$A186=MECCA_Client),1,0)</f>
        <v>0</v>
      </c>
      <c r="BB186" s="71" t="str">
        <f>IF($BA186=1,ROW(),"")</f>
        <v/>
      </c>
    </row>
    <row r="187">
      <c r="A187" s="64" t="n"/>
      <c r="B187" s="65" t="n"/>
      <c r="C187" s="64" t="n"/>
      <c r="D187" s="64" t="n"/>
      <c r="E187" s="64" t="n"/>
      <c r="F187" s="65" t="n"/>
      <c r="G187" s="65" t="n"/>
      <c r="H187" s="64" t="n"/>
      <c r="I187" s="64" t="n"/>
      <c r="J187" s="65" t="n"/>
      <c r="K187" s="63" t="n"/>
      <c r="L187" s="63" t="n"/>
      <c r="M187" s="63" t="n"/>
      <c r="N187" s="64" t="n"/>
      <c r="O187" s="67" t="n"/>
      <c r="P187" s="72" t="str">
        <f>IF($B187="","",SUMIFS('PAID MEDIA ADS'!$G$5:$G$804,'PAID MEDIA ADS'!$C$5:$C$804,$B187))</f>
        <v/>
      </c>
      <c r="Q187" s="67" t="n"/>
      <c r="R187" s="72" t="str">
        <f>IF($B187="","",COUNTIFS('LEAD MQL TRACKER'!$C$5:$C$1004,$B187,'LEAD MQL TRACKER'!$AB$5:$AB$1004,1)+SUMIFS('EMAIL MARKETING'!$Q$5:$Q$804,'EMAIL MARKETING'!$C$5:$C$804,$B187)+SUMIFS('PAID MEDIA ADS'!$M$5:$M$804,'PAID MEDIA ADS'!$C$5:$C$804,$B187)+SUMIFS('LINKEDIN OUTREACH'!$N$5:$N$704,'LINKEDIN OUTREACH'!$C$5:$C$704,$B187))</f>
        <v/>
      </c>
      <c r="S187" s="67" t="n"/>
      <c r="T187" s="72" t="str">
        <f>IF($B187="","",COUNTIFS('LEAD MQL TRACKER'!$C$5:$C$1004,$B187,'LEAD MQL TRACKER'!$AD$5:$AD$1004,1)+SUMIFS('EMAIL MARKETING'!$R$5:$R$804,'EMAIL MARKETING'!$C$5:$C$804,$B187)+SUMIFS('PAID MEDIA ADS'!$N$5:$N$804,'PAID MEDIA ADS'!$C$5:$C$804,$B187)+SUMIFS('LINKEDIN OUTREACH'!$O$5:$O$704,'LINKEDIN OUTREACH'!$C$5:$C$704,$B187))</f>
        <v/>
      </c>
      <c r="U187" s="67" t="n"/>
      <c r="V187" s="72" t="str">
        <f>IF($B187="","",COUNTIFS('LEAD MQL TRACKER'!$C$5:$C$1004,$B187,'LEAD MQL TRACKER'!$AE$5:$AE$1004,1))</f>
        <v/>
      </c>
      <c r="W187" s="72" t="str">
        <f>IF($B187="","",COUNTIFS('LEAD MQL TRACKER'!$C$5:$C$1004,$B187,'LEAD MQL TRACKER'!$AC$5:$AC$1004,1)+SUMIFS('LINKEDIN OUTREACH'!$M$5:$M$704,'LINKEDIN OUTREACH'!$C$5:$C$704,$B187))</f>
        <v/>
      </c>
      <c r="X187" s="72" t="str">
        <f>IF($B187="","",SUMIFS('EMAIL MARKETING'!$O$5:$O$804,'EMAIL MARKETING'!$C$5:$C$804,$B187)+SUMIFS('LINKEDIN OUTREACH'!$K$5:$K$704,'LINKEDIN OUTREACH'!$C$5:$C$704,$B187))</f>
        <v/>
      </c>
      <c r="Y187" s="73" t="str">
        <f>IF(ISNUMBER($R187),IF($R187&gt;0,$T187/$R187,""),"")</f>
        <v/>
      </c>
      <c r="Z187" s="72" t="str">
        <f>IF(AND(ISNUMBER($P187),ISNUMBER($R187)),IF(AND($P187&gt;0,$R187&gt;0),$P187/$R187,""),"")</f>
        <v/>
      </c>
      <c r="AA187" s="71" t="str">
        <f>IF($B187="","",IF(OR($N187="Live",$N187="Optimizing",$N187="Paused",$N187="Completed"),IF(ISNUMBER($AI187),IF($AI187&gt;=1,"Ahead",IF($AI187&gt;=OnTrackPct,"On Track",IF($AI187&gt;=WatchPct,"Behind","At Risk"))),"No Target Set"),"Not Live"))</f>
        <v/>
      </c>
      <c r="AB187" s="65" t="n"/>
      <c r="AC187" s="65" t="n"/>
      <c r="AD187" s="65" t="n"/>
      <c r="AE187" s="67" t="n"/>
      <c r="AF187" s="67" t="n"/>
      <c r="AG187" s="63" t="n"/>
      <c r="AH187" s="74">
        <f>IF($N187="Completed",1,IF(AND(ISNUMBER($K187),ISNUMBER($L187)),IF($L187&gt;$K187,MIN(1,MAX(0.05,(ReportDate-$K187)/($L187-$K187))),1),1))</f>
        <v>1</v>
      </c>
      <c r="AI187" s="70" t="str">
        <f>IF($B187="","",IF(AND(ISNUMBER($Q187),$Q187&gt;0),$R187/($Q187*$AH187),""))</f>
        <v/>
      </c>
      <c r="AJ187" s="71" t="str">
        <f>IF(ISNUMBER($K187),YEAR($K187)&amp;"-"&amp;TEXT(MONTH($K187),"00"),"")</f>
        <v/>
      </c>
      <c r="AK187" s="71">
        <f>IF($B187="",0,IF(AND(OR(fClient="All",$A187=fClient),OR(fCampaign="All",$B187=fCampaign),OR(fTeam="All",$I187=fTeam),OR(fChannel="All",$H187=fChannel),OR(fCStatus="All",$N187=fCStatus)),1,0))</f>
        <v>0</v>
      </c>
      <c r="AL187" s="71">
        <f>IF($B187="",0,IF(AND(OR(fClient="All",$A187=fClient),OR(fCampaign="All",$B187=fCampaign),OR(fTeam="All",$I187=fTeam),OR(fChannel="All",$H187=fChannel)),1,0))</f>
        <v>0</v>
      </c>
      <c r="AM187" s="71">
        <f>IF(OR($N187="Live",$N187="Optimizing"),1,0)</f>
        <v>0</v>
      </c>
      <c r="AN187" s="71">
        <f>IF(OR($N187="Live",$N187="Optimizing",$N187="Paused",$N187="Completed"),1,0)</f>
        <v>0</v>
      </c>
      <c r="AO187" s="71">
        <f>IF(AND($AM187=1,ISNUMBER($L187),NOT(ISNUMBER($M187))),IF($L187&lt;ReportDate,1,0),0)</f>
        <v>0</v>
      </c>
      <c r="AP187" s="71">
        <f>IF($AM187=1,IF(ISNUMBER($AG187),IF(ReportDate-$AG187&gt;CampStaleDays,1,0),1),0)</f>
        <v>0</v>
      </c>
      <c r="AQ187" s="71">
        <f>IF(AND($AM187=1,OR($AA187="Behind",$AA187="At Risk")),1,0)</f>
        <v>0</v>
      </c>
      <c r="AR187" s="71">
        <f>IF(AND($AM187=1,OR($AA187="Ahead",$AA187="On Track")),1,0)</f>
        <v>0</v>
      </c>
      <c r="AS187" s="71">
        <f>IF(OR($AQ187=1,$AP187=1,$AO187=1),1,0)</f>
        <v>0</v>
      </c>
      <c r="AT187" s="71" t="str">
        <f>IF($AS187=1,TRIM(IF($AQ187=1,"Low performance. ","")&amp;IF($AP187=1,"No recent update. ","")&amp;IF($AO187=1,"Past planned end. ","")),"")</f>
        <v/>
      </c>
      <c r="AU187" s="71" t="str">
        <f>IF(AND($AS187=1,$AL187=1),ROW(),"")</f>
        <v/>
      </c>
      <c r="AV187" s="71" t="str">
        <f>IF(AND($AQ187=1,$AL187=1),ROW(),"")</f>
        <v/>
      </c>
      <c r="AW187" s="71" t="str">
        <f>IF(AND($AP187=1,$AL187=1),ROW(),"")</f>
        <v/>
      </c>
      <c r="AX187" s="71" t="str">
        <f>IF(AND($AR187=1,$AL187=1),ROW(),"")</f>
        <v/>
      </c>
      <c r="AY187" s="71">
        <f>IF(AND($B187&lt;&gt;"",$A187=TCL_Client),1,0)</f>
        <v>0</v>
      </c>
      <c r="AZ187" s="71" t="str">
        <f>IF($AY187=1,ROW(),"")</f>
        <v/>
      </c>
      <c r="BA187" s="71">
        <f>IF(AND($B187&lt;&gt;"",$A187=MECCA_Client),1,0)</f>
        <v>0</v>
      </c>
      <c r="BB187" s="71" t="str">
        <f>IF($BA187=1,ROW(),"")</f>
        <v/>
      </c>
    </row>
    <row r="188">
      <c r="A188" s="64" t="n"/>
      <c r="B188" s="65" t="n"/>
      <c r="C188" s="64" t="n"/>
      <c r="D188" s="64" t="n"/>
      <c r="E188" s="64" t="n"/>
      <c r="F188" s="65" t="n"/>
      <c r="G188" s="65" t="n"/>
      <c r="H188" s="64" t="n"/>
      <c r="I188" s="64" t="n"/>
      <c r="J188" s="65" t="n"/>
      <c r="K188" s="63" t="n"/>
      <c r="L188" s="63" t="n"/>
      <c r="M188" s="63" t="n"/>
      <c r="N188" s="64" t="n"/>
      <c r="O188" s="67" t="n"/>
      <c r="P188" s="72" t="str">
        <f>IF($B188="","",SUMIFS('PAID MEDIA ADS'!$G$5:$G$804,'PAID MEDIA ADS'!$C$5:$C$804,$B188))</f>
        <v/>
      </c>
      <c r="Q188" s="67" t="n"/>
      <c r="R188" s="72" t="str">
        <f>IF($B188="","",COUNTIFS('LEAD MQL TRACKER'!$C$5:$C$1004,$B188,'LEAD MQL TRACKER'!$AB$5:$AB$1004,1)+SUMIFS('EMAIL MARKETING'!$Q$5:$Q$804,'EMAIL MARKETING'!$C$5:$C$804,$B188)+SUMIFS('PAID MEDIA ADS'!$M$5:$M$804,'PAID MEDIA ADS'!$C$5:$C$804,$B188)+SUMIFS('LINKEDIN OUTREACH'!$N$5:$N$704,'LINKEDIN OUTREACH'!$C$5:$C$704,$B188))</f>
        <v/>
      </c>
      <c r="S188" s="67" t="n"/>
      <c r="T188" s="72" t="str">
        <f>IF($B188="","",COUNTIFS('LEAD MQL TRACKER'!$C$5:$C$1004,$B188,'LEAD MQL TRACKER'!$AD$5:$AD$1004,1)+SUMIFS('EMAIL MARKETING'!$R$5:$R$804,'EMAIL MARKETING'!$C$5:$C$804,$B188)+SUMIFS('PAID MEDIA ADS'!$N$5:$N$804,'PAID MEDIA ADS'!$C$5:$C$804,$B188)+SUMIFS('LINKEDIN OUTREACH'!$O$5:$O$704,'LINKEDIN OUTREACH'!$C$5:$C$704,$B188))</f>
        <v/>
      </c>
      <c r="U188" s="67" t="n"/>
      <c r="V188" s="72" t="str">
        <f>IF($B188="","",COUNTIFS('LEAD MQL TRACKER'!$C$5:$C$1004,$B188,'LEAD MQL TRACKER'!$AE$5:$AE$1004,1))</f>
        <v/>
      </c>
      <c r="W188" s="72" t="str">
        <f>IF($B188="","",COUNTIFS('LEAD MQL TRACKER'!$C$5:$C$1004,$B188,'LEAD MQL TRACKER'!$AC$5:$AC$1004,1)+SUMIFS('LINKEDIN OUTREACH'!$M$5:$M$704,'LINKEDIN OUTREACH'!$C$5:$C$704,$B188))</f>
        <v/>
      </c>
      <c r="X188" s="72" t="str">
        <f>IF($B188="","",SUMIFS('EMAIL MARKETING'!$O$5:$O$804,'EMAIL MARKETING'!$C$5:$C$804,$B188)+SUMIFS('LINKEDIN OUTREACH'!$K$5:$K$704,'LINKEDIN OUTREACH'!$C$5:$C$704,$B188))</f>
        <v/>
      </c>
      <c r="Y188" s="73" t="str">
        <f>IF(ISNUMBER($R188),IF($R188&gt;0,$T188/$R188,""),"")</f>
        <v/>
      </c>
      <c r="Z188" s="72" t="str">
        <f>IF(AND(ISNUMBER($P188),ISNUMBER($R188)),IF(AND($P188&gt;0,$R188&gt;0),$P188/$R188,""),"")</f>
        <v/>
      </c>
      <c r="AA188" s="71" t="str">
        <f>IF($B188="","",IF(OR($N188="Live",$N188="Optimizing",$N188="Paused",$N188="Completed"),IF(ISNUMBER($AI188),IF($AI188&gt;=1,"Ahead",IF($AI188&gt;=OnTrackPct,"On Track",IF($AI188&gt;=WatchPct,"Behind","At Risk"))),"No Target Set"),"Not Live"))</f>
        <v/>
      </c>
      <c r="AB188" s="65" t="n"/>
      <c r="AC188" s="65" t="n"/>
      <c r="AD188" s="65" t="n"/>
      <c r="AE188" s="67" t="n"/>
      <c r="AF188" s="67" t="n"/>
      <c r="AG188" s="63" t="n"/>
      <c r="AH188" s="74">
        <f>IF($N188="Completed",1,IF(AND(ISNUMBER($K188),ISNUMBER($L188)),IF($L188&gt;$K188,MIN(1,MAX(0.05,(ReportDate-$K188)/($L188-$K188))),1),1))</f>
        <v>1</v>
      </c>
      <c r="AI188" s="70" t="str">
        <f>IF($B188="","",IF(AND(ISNUMBER($Q188),$Q188&gt;0),$R188/($Q188*$AH188),""))</f>
        <v/>
      </c>
      <c r="AJ188" s="71" t="str">
        <f>IF(ISNUMBER($K188),YEAR($K188)&amp;"-"&amp;TEXT(MONTH($K188),"00"),"")</f>
        <v/>
      </c>
      <c r="AK188" s="71">
        <f>IF($B188="",0,IF(AND(OR(fClient="All",$A188=fClient),OR(fCampaign="All",$B188=fCampaign),OR(fTeam="All",$I188=fTeam),OR(fChannel="All",$H188=fChannel),OR(fCStatus="All",$N188=fCStatus)),1,0))</f>
        <v>0</v>
      </c>
      <c r="AL188" s="71">
        <f>IF($B188="",0,IF(AND(OR(fClient="All",$A188=fClient),OR(fCampaign="All",$B188=fCampaign),OR(fTeam="All",$I188=fTeam),OR(fChannel="All",$H188=fChannel)),1,0))</f>
        <v>0</v>
      </c>
      <c r="AM188" s="71">
        <f>IF(OR($N188="Live",$N188="Optimizing"),1,0)</f>
        <v>0</v>
      </c>
      <c r="AN188" s="71">
        <f>IF(OR($N188="Live",$N188="Optimizing",$N188="Paused",$N188="Completed"),1,0)</f>
        <v>0</v>
      </c>
      <c r="AO188" s="71">
        <f>IF(AND($AM188=1,ISNUMBER($L188),NOT(ISNUMBER($M188))),IF($L188&lt;ReportDate,1,0),0)</f>
        <v>0</v>
      </c>
      <c r="AP188" s="71">
        <f>IF($AM188=1,IF(ISNUMBER($AG188),IF(ReportDate-$AG188&gt;CampStaleDays,1,0),1),0)</f>
        <v>0</v>
      </c>
      <c r="AQ188" s="71">
        <f>IF(AND($AM188=1,OR($AA188="Behind",$AA188="At Risk")),1,0)</f>
        <v>0</v>
      </c>
      <c r="AR188" s="71">
        <f>IF(AND($AM188=1,OR($AA188="Ahead",$AA188="On Track")),1,0)</f>
        <v>0</v>
      </c>
      <c r="AS188" s="71">
        <f>IF(OR($AQ188=1,$AP188=1,$AO188=1),1,0)</f>
        <v>0</v>
      </c>
      <c r="AT188" s="71" t="str">
        <f>IF($AS188=1,TRIM(IF($AQ188=1,"Low performance. ","")&amp;IF($AP188=1,"No recent update. ","")&amp;IF($AO188=1,"Past planned end. ","")),"")</f>
        <v/>
      </c>
      <c r="AU188" s="71" t="str">
        <f>IF(AND($AS188=1,$AL188=1),ROW(),"")</f>
        <v/>
      </c>
      <c r="AV188" s="71" t="str">
        <f>IF(AND($AQ188=1,$AL188=1),ROW(),"")</f>
        <v/>
      </c>
      <c r="AW188" s="71" t="str">
        <f>IF(AND($AP188=1,$AL188=1),ROW(),"")</f>
        <v/>
      </c>
      <c r="AX188" s="71" t="str">
        <f>IF(AND($AR188=1,$AL188=1),ROW(),"")</f>
        <v/>
      </c>
      <c r="AY188" s="71">
        <f>IF(AND($B188&lt;&gt;"",$A188=TCL_Client),1,0)</f>
        <v>0</v>
      </c>
      <c r="AZ188" s="71" t="str">
        <f>IF($AY188=1,ROW(),"")</f>
        <v/>
      </c>
      <c r="BA188" s="71">
        <f>IF(AND($B188&lt;&gt;"",$A188=MECCA_Client),1,0)</f>
        <v>0</v>
      </c>
      <c r="BB188" s="71" t="str">
        <f>IF($BA188=1,ROW(),"")</f>
        <v/>
      </c>
    </row>
    <row r="189">
      <c r="A189" s="64" t="n"/>
      <c r="B189" s="65" t="n"/>
      <c r="C189" s="64" t="n"/>
      <c r="D189" s="64" t="n"/>
      <c r="E189" s="64" t="n"/>
      <c r="F189" s="65" t="n"/>
      <c r="G189" s="65" t="n"/>
      <c r="H189" s="64" t="n"/>
      <c r="I189" s="64" t="n"/>
      <c r="J189" s="65" t="n"/>
      <c r="K189" s="63" t="n"/>
      <c r="L189" s="63" t="n"/>
      <c r="M189" s="63" t="n"/>
      <c r="N189" s="64" t="n"/>
      <c r="O189" s="67" t="n"/>
      <c r="P189" s="72" t="str">
        <f>IF($B189="","",SUMIFS('PAID MEDIA ADS'!$G$5:$G$804,'PAID MEDIA ADS'!$C$5:$C$804,$B189))</f>
        <v/>
      </c>
      <c r="Q189" s="67" t="n"/>
      <c r="R189" s="72" t="str">
        <f>IF($B189="","",COUNTIFS('LEAD MQL TRACKER'!$C$5:$C$1004,$B189,'LEAD MQL TRACKER'!$AB$5:$AB$1004,1)+SUMIFS('EMAIL MARKETING'!$Q$5:$Q$804,'EMAIL MARKETING'!$C$5:$C$804,$B189)+SUMIFS('PAID MEDIA ADS'!$M$5:$M$804,'PAID MEDIA ADS'!$C$5:$C$804,$B189)+SUMIFS('LINKEDIN OUTREACH'!$N$5:$N$704,'LINKEDIN OUTREACH'!$C$5:$C$704,$B189))</f>
        <v/>
      </c>
      <c r="S189" s="67" t="n"/>
      <c r="T189" s="72" t="str">
        <f>IF($B189="","",COUNTIFS('LEAD MQL TRACKER'!$C$5:$C$1004,$B189,'LEAD MQL TRACKER'!$AD$5:$AD$1004,1)+SUMIFS('EMAIL MARKETING'!$R$5:$R$804,'EMAIL MARKETING'!$C$5:$C$804,$B189)+SUMIFS('PAID MEDIA ADS'!$N$5:$N$804,'PAID MEDIA ADS'!$C$5:$C$804,$B189)+SUMIFS('LINKEDIN OUTREACH'!$O$5:$O$704,'LINKEDIN OUTREACH'!$C$5:$C$704,$B189))</f>
        <v/>
      </c>
      <c r="U189" s="67" t="n"/>
      <c r="V189" s="72" t="str">
        <f>IF($B189="","",COUNTIFS('LEAD MQL TRACKER'!$C$5:$C$1004,$B189,'LEAD MQL TRACKER'!$AE$5:$AE$1004,1))</f>
        <v/>
      </c>
      <c r="W189" s="72" t="str">
        <f>IF($B189="","",COUNTIFS('LEAD MQL TRACKER'!$C$5:$C$1004,$B189,'LEAD MQL TRACKER'!$AC$5:$AC$1004,1)+SUMIFS('LINKEDIN OUTREACH'!$M$5:$M$704,'LINKEDIN OUTREACH'!$C$5:$C$704,$B189))</f>
        <v/>
      </c>
      <c r="X189" s="72" t="str">
        <f>IF($B189="","",SUMIFS('EMAIL MARKETING'!$O$5:$O$804,'EMAIL MARKETING'!$C$5:$C$804,$B189)+SUMIFS('LINKEDIN OUTREACH'!$K$5:$K$704,'LINKEDIN OUTREACH'!$C$5:$C$704,$B189))</f>
        <v/>
      </c>
      <c r="Y189" s="73" t="str">
        <f>IF(ISNUMBER($R189),IF($R189&gt;0,$T189/$R189,""),"")</f>
        <v/>
      </c>
      <c r="Z189" s="72" t="str">
        <f>IF(AND(ISNUMBER($P189),ISNUMBER($R189)),IF(AND($P189&gt;0,$R189&gt;0),$P189/$R189,""),"")</f>
        <v/>
      </c>
      <c r="AA189" s="71" t="str">
        <f>IF($B189="","",IF(OR($N189="Live",$N189="Optimizing",$N189="Paused",$N189="Completed"),IF(ISNUMBER($AI189),IF($AI189&gt;=1,"Ahead",IF($AI189&gt;=OnTrackPct,"On Track",IF($AI189&gt;=WatchPct,"Behind","At Risk"))),"No Target Set"),"Not Live"))</f>
        <v/>
      </c>
      <c r="AB189" s="65" t="n"/>
      <c r="AC189" s="65" t="n"/>
      <c r="AD189" s="65" t="n"/>
      <c r="AE189" s="67" t="n"/>
      <c r="AF189" s="67" t="n"/>
      <c r="AG189" s="63" t="n"/>
      <c r="AH189" s="74">
        <f>IF($N189="Completed",1,IF(AND(ISNUMBER($K189),ISNUMBER($L189)),IF($L189&gt;$K189,MIN(1,MAX(0.05,(ReportDate-$K189)/($L189-$K189))),1),1))</f>
        <v>1</v>
      </c>
      <c r="AI189" s="70" t="str">
        <f>IF($B189="","",IF(AND(ISNUMBER($Q189),$Q189&gt;0),$R189/($Q189*$AH189),""))</f>
        <v/>
      </c>
      <c r="AJ189" s="71" t="str">
        <f>IF(ISNUMBER($K189),YEAR($K189)&amp;"-"&amp;TEXT(MONTH($K189),"00"),"")</f>
        <v/>
      </c>
      <c r="AK189" s="71">
        <f>IF($B189="",0,IF(AND(OR(fClient="All",$A189=fClient),OR(fCampaign="All",$B189=fCampaign),OR(fTeam="All",$I189=fTeam),OR(fChannel="All",$H189=fChannel),OR(fCStatus="All",$N189=fCStatus)),1,0))</f>
        <v>0</v>
      </c>
      <c r="AL189" s="71">
        <f>IF($B189="",0,IF(AND(OR(fClient="All",$A189=fClient),OR(fCampaign="All",$B189=fCampaign),OR(fTeam="All",$I189=fTeam),OR(fChannel="All",$H189=fChannel)),1,0))</f>
        <v>0</v>
      </c>
      <c r="AM189" s="71">
        <f>IF(OR($N189="Live",$N189="Optimizing"),1,0)</f>
        <v>0</v>
      </c>
      <c r="AN189" s="71">
        <f>IF(OR($N189="Live",$N189="Optimizing",$N189="Paused",$N189="Completed"),1,0)</f>
        <v>0</v>
      </c>
      <c r="AO189" s="71">
        <f>IF(AND($AM189=1,ISNUMBER($L189),NOT(ISNUMBER($M189))),IF($L189&lt;ReportDate,1,0),0)</f>
        <v>0</v>
      </c>
      <c r="AP189" s="71">
        <f>IF($AM189=1,IF(ISNUMBER($AG189),IF(ReportDate-$AG189&gt;CampStaleDays,1,0),1),0)</f>
        <v>0</v>
      </c>
      <c r="AQ189" s="71">
        <f>IF(AND($AM189=1,OR($AA189="Behind",$AA189="At Risk")),1,0)</f>
        <v>0</v>
      </c>
      <c r="AR189" s="71">
        <f>IF(AND($AM189=1,OR($AA189="Ahead",$AA189="On Track")),1,0)</f>
        <v>0</v>
      </c>
      <c r="AS189" s="71">
        <f>IF(OR($AQ189=1,$AP189=1,$AO189=1),1,0)</f>
        <v>0</v>
      </c>
      <c r="AT189" s="71" t="str">
        <f>IF($AS189=1,TRIM(IF($AQ189=1,"Low performance. ","")&amp;IF($AP189=1,"No recent update. ","")&amp;IF($AO189=1,"Past planned end. ","")),"")</f>
        <v/>
      </c>
      <c r="AU189" s="71" t="str">
        <f>IF(AND($AS189=1,$AL189=1),ROW(),"")</f>
        <v/>
      </c>
      <c r="AV189" s="71" t="str">
        <f>IF(AND($AQ189=1,$AL189=1),ROW(),"")</f>
        <v/>
      </c>
      <c r="AW189" s="71" t="str">
        <f>IF(AND($AP189=1,$AL189=1),ROW(),"")</f>
        <v/>
      </c>
      <c r="AX189" s="71" t="str">
        <f>IF(AND($AR189=1,$AL189=1),ROW(),"")</f>
        <v/>
      </c>
      <c r="AY189" s="71">
        <f>IF(AND($B189&lt;&gt;"",$A189=TCL_Client),1,0)</f>
        <v>0</v>
      </c>
      <c r="AZ189" s="71" t="str">
        <f>IF($AY189=1,ROW(),"")</f>
        <v/>
      </c>
      <c r="BA189" s="71">
        <f>IF(AND($B189&lt;&gt;"",$A189=MECCA_Client),1,0)</f>
        <v>0</v>
      </c>
      <c r="BB189" s="71" t="str">
        <f>IF($BA189=1,ROW(),"")</f>
        <v/>
      </c>
    </row>
    <row r="190">
      <c r="A190" s="64" t="n"/>
      <c r="B190" s="65" t="n"/>
      <c r="C190" s="64" t="n"/>
      <c r="D190" s="64" t="n"/>
      <c r="E190" s="64" t="n"/>
      <c r="F190" s="65" t="n"/>
      <c r="G190" s="65" t="n"/>
      <c r="H190" s="64" t="n"/>
      <c r="I190" s="64" t="n"/>
      <c r="J190" s="65" t="n"/>
      <c r="K190" s="63" t="n"/>
      <c r="L190" s="63" t="n"/>
      <c r="M190" s="63" t="n"/>
      <c r="N190" s="64" t="n"/>
      <c r="O190" s="67" t="n"/>
      <c r="P190" s="72" t="str">
        <f>IF($B190="","",SUMIFS('PAID MEDIA ADS'!$G$5:$G$804,'PAID MEDIA ADS'!$C$5:$C$804,$B190))</f>
        <v/>
      </c>
      <c r="Q190" s="67" t="n"/>
      <c r="R190" s="72" t="str">
        <f>IF($B190="","",COUNTIFS('LEAD MQL TRACKER'!$C$5:$C$1004,$B190,'LEAD MQL TRACKER'!$AB$5:$AB$1004,1)+SUMIFS('EMAIL MARKETING'!$Q$5:$Q$804,'EMAIL MARKETING'!$C$5:$C$804,$B190)+SUMIFS('PAID MEDIA ADS'!$M$5:$M$804,'PAID MEDIA ADS'!$C$5:$C$804,$B190)+SUMIFS('LINKEDIN OUTREACH'!$N$5:$N$704,'LINKEDIN OUTREACH'!$C$5:$C$704,$B190))</f>
        <v/>
      </c>
      <c r="S190" s="67" t="n"/>
      <c r="T190" s="72" t="str">
        <f>IF($B190="","",COUNTIFS('LEAD MQL TRACKER'!$C$5:$C$1004,$B190,'LEAD MQL TRACKER'!$AD$5:$AD$1004,1)+SUMIFS('EMAIL MARKETING'!$R$5:$R$804,'EMAIL MARKETING'!$C$5:$C$804,$B190)+SUMIFS('PAID MEDIA ADS'!$N$5:$N$804,'PAID MEDIA ADS'!$C$5:$C$804,$B190)+SUMIFS('LINKEDIN OUTREACH'!$O$5:$O$704,'LINKEDIN OUTREACH'!$C$5:$C$704,$B190))</f>
        <v/>
      </c>
      <c r="U190" s="67" t="n"/>
      <c r="V190" s="72" t="str">
        <f>IF($B190="","",COUNTIFS('LEAD MQL TRACKER'!$C$5:$C$1004,$B190,'LEAD MQL TRACKER'!$AE$5:$AE$1004,1))</f>
        <v/>
      </c>
      <c r="W190" s="72" t="str">
        <f>IF($B190="","",COUNTIFS('LEAD MQL TRACKER'!$C$5:$C$1004,$B190,'LEAD MQL TRACKER'!$AC$5:$AC$1004,1)+SUMIFS('LINKEDIN OUTREACH'!$M$5:$M$704,'LINKEDIN OUTREACH'!$C$5:$C$704,$B190))</f>
        <v/>
      </c>
      <c r="X190" s="72" t="str">
        <f>IF($B190="","",SUMIFS('EMAIL MARKETING'!$O$5:$O$804,'EMAIL MARKETING'!$C$5:$C$804,$B190)+SUMIFS('LINKEDIN OUTREACH'!$K$5:$K$704,'LINKEDIN OUTREACH'!$C$5:$C$704,$B190))</f>
        <v/>
      </c>
      <c r="Y190" s="73" t="str">
        <f>IF(ISNUMBER($R190),IF($R190&gt;0,$T190/$R190,""),"")</f>
        <v/>
      </c>
      <c r="Z190" s="72" t="str">
        <f>IF(AND(ISNUMBER($P190),ISNUMBER($R190)),IF(AND($P190&gt;0,$R190&gt;0),$P190/$R190,""),"")</f>
        <v/>
      </c>
      <c r="AA190" s="71" t="str">
        <f>IF($B190="","",IF(OR($N190="Live",$N190="Optimizing",$N190="Paused",$N190="Completed"),IF(ISNUMBER($AI190),IF($AI190&gt;=1,"Ahead",IF($AI190&gt;=OnTrackPct,"On Track",IF($AI190&gt;=WatchPct,"Behind","At Risk"))),"No Target Set"),"Not Live"))</f>
        <v/>
      </c>
      <c r="AB190" s="65" t="n"/>
      <c r="AC190" s="65" t="n"/>
      <c r="AD190" s="65" t="n"/>
      <c r="AE190" s="67" t="n"/>
      <c r="AF190" s="67" t="n"/>
      <c r="AG190" s="63" t="n"/>
      <c r="AH190" s="74">
        <f>IF($N190="Completed",1,IF(AND(ISNUMBER($K190),ISNUMBER($L190)),IF($L190&gt;$K190,MIN(1,MAX(0.05,(ReportDate-$K190)/($L190-$K190))),1),1))</f>
        <v>1</v>
      </c>
      <c r="AI190" s="70" t="str">
        <f>IF($B190="","",IF(AND(ISNUMBER($Q190),$Q190&gt;0),$R190/($Q190*$AH190),""))</f>
        <v/>
      </c>
      <c r="AJ190" s="71" t="str">
        <f>IF(ISNUMBER($K190),YEAR($K190)&amp;"-"&amp;TEXT(MONTH($K190),"00"),"")</f>
        <v/>
      </c>
      <c r="AK190" s="71">
        <f>IF($B190="",0,IF(AND(OR(fClient="All",$A190=fClient),OR(fCampaign="All",$B190=fCampaign),OR(fTeam="All",$I190=fTeam),OR(fChannel="All",$H190=fChannel),OR(fCStatus="All",$N190=fCStatus)),1,0))</f>
        <v>0</v>
      </c>
      <c r="AL190" s="71">
        <f>IF($B190="",0,IF(AND(OR(fClient="All",$A190=fClient),OR(fCampaign="All",$B190=fCampaign),OR(fTeam="All",$I190=fTeam),OR(fChannel="All",$H190=fChannel)),1,0))</f>
        <v>0</v>
      </c>
      <c r="AM190" s="71">
        <f>IF(OR($N190="Live",$N190="Optimizing"),1,0)</f>
        <v>0</v>
      </c>
      <c r="AN190" s="71">
        <f>IF(OR($N190="Live",$N190="Optimizing",$N190="Paused",$N190="Completed"),1,0)</f>
        <v>0</v>
      </c>
      <c r="AO190" s="71">
        <f>IF(AND($AM190=1,ISNUMBER($L190),NOT(ISNUMBER($M190))),IF($L190&lt;ReportDate,1,0),0)</f>
        <v>0</v>
      </c>
      <c r="AP190" s="71">
        <f>IF($AM190=1,IF(ISNUMBER($AG190),IF(ReportDate-$AG190&gt;CampStaleDays,1,0),1),0)</f>
        <v>0</v>
      </c>
      <c r="AQ190" s="71">
        <f>IF(AND($AM190=1,OR($AA190="Behind",$AA190="At Risk")),1,0)</f>
        <v>0</v>
      </c>
      <c r="AR190" s="71">
        <f>IF(AND($AM190=1,OR($AA190="Ahead",$AA190="On Track")),1,0)</f>
        <v>0</v>
      </c>
      <c r="AS190" s="71">
        <f>IF(OR($AQ190=1,$AP190=1,$AO190=1),1,0)</f>
        <v>0</v>
      </c>
      <c r="AT190" s="71" t="str">
        <f>IF($AS190=1,TRIM(IF($AQ190=1,"Low performance. ","")&amp;IF($AP190=1,"No recent update. ","")&amp;IF($AO190=1,"Past planned end. ","")),"")</f>
        <v/>
      </c>
      <c r="AU190" s="71" t="str">
        <f>IF(AND($AS190=1,$AL190=1),ROW(),"")</f>
        <v/>
      </c>
      <c r="AV190" s="71" t="str">
        <f>IF(AND($AQ190=1,$AL190=1),ROW(),"")</f>
        <v/>
      </c>
      <c r="AW190" s="71" t="str">
        <f>IF(AND($AP190=1,$AL190=1),ROW(),"")</f>
        <v/>
      </c>
      <c r="AX190" s="71" t="str">
        <f>IF(AND($AR190=1,$AL190=1),ROW(),"")</f>
        <v/>
      </c>
      <c r="AY190" s="71">
        <f>IF(AND($B190&lt;&gt;"",$A190=TCL_Client),1,0)</f>
        <v>0</v>
      </c>
      <c r="AZ190" s="71" t="str">
        <f>IF($AY190=1,ROW(),"")</f>
        <v/>
      </c>
      <c r="BA190" s="71">
        <f>IF(AND($B190&lt;&gt;"",$A190=MECCA_Client),1,0)</f>
        <v>0</v>
      </c>
      <c r="BB190" s="71" t="str">
        <f>IF($BA190=1,ROW(),"")</f>
        <v/>
      </c>
    </row>
    <row r="191">
      <c r="A191" s="64" t="n"/>
      <c r="B191" s="65" t="n"/>
      <c r="C191" s="64" t="n"/>
      <c r="D191" s="64" t="n"/>
      <c r="E191" s="64" t="n"/>
      <c r="F191" s="65" t="n"/>
      <c r="G191" s="65" t="n"/>
      <c r="H191" s="64" t="n"/>
      <c r="I191" s="64" t="n"/>
      <c r="J191" s="65" t="n"/>
      <c r="K191" s="63" t="n"/>
      <c r="L191" s="63" t="n"/>
      <c r="M191" s="63" t="n"/>
      <c r="N191" s="64" t="n"/>
      <c r="O191" s="67" t="n"/>
      <c r="P191" s="72" t="str">
        <f>IF($B191="","",SUMIFS('PAID MEDIA ADS'!$G$5:$G$804,'PAID MEDIA ADS'!$C$5:$C$804,$B191))</f>
        <v/>
      </c>
      <c r="Q191" s="67" t="n"/>
      <c r="R191" s="72" t="str">
        <f>IF($B191="","",COUNTIFS('LEAD MQL TRACKER'!$C$5:$C$1004,$B191,'LEAD MQL TRACKER'!$AB$5:$AB$1004,1)+SUMIFS('EMAIL MARKETING'!$Q$5:$Q$804,'EMAIL MARKETING'!$C$5:$C$804,$B191)+SUMIFS('PAID MEDIA ADS'!$M$5:$M$804,'PAID MEDIA ADS'!$C$5:$C$804,$B191)+SUMIFS('LINKEDIN OUTREACH'!$N$5:$N$704,'LINKEDIN OUTREACH'!$C$5:$C$704,$B191))</f>
        <v/>
      </c>
      <c r="S191" s="67" t="n"/>
      <c r="T191" s="72" t="str">
        <f>IF($B191="","",COUNTIFS('LEAD MQL TRACKER'!$C$5:$C$1004,$B191,'LEAD MQL TRACKER'!$AD$5:$AD$1004,1)+SUMIFS('EMAIL MARKETING'!$R$5:$R$804,'EMAIL MARKETING'!$C$5:$C$804,$B191)+SUMIFS('PAID MEDIA ADS'!$N$5:$N$804,'PAID MEDIA ADS'!$C$5:$C$804,$B191)+SUMIFS('LINKEDIN OUTREACH'!$O$5:$O$704,'LINKEDIN OUTREACH'!$C$5:$C$704,$B191))</f>
        <v/>
      </c>
      <c r="U191" s="67" t="n"/>
      <c r="V191" s="72" t="str">
        <f>IF($B191="","",COUNTIFS('LEAD MQL TRACKER'!$C$5:$C$1004,$B191,'LEAD MQL TRACKER'!$AE$5:$AE$1004,1))</f>
        <v/>
      </c>
      <c r="W191" s="72" t="str">
        <f>IF($B191="","",COUNTIFS('LEAD MQL TRACKER'!$C$5:$C$1004,$B191,'LEAD MQL TRACKER'!$AC$5:$AC$1004,1)+SUMIFS('LINKEDIN OUTREACH'!$M$5:$M$704,'LINKEDIN OUTREACH'!$C$5:$C$704,$B191))</f>
        <v/>
      </c>
      <c r="X191" s="72" t="str">
        <f>IF($B191="","",SUMIFS('EMAIL MARKETING'!$O$5:$O$804,'EMAIL MARKETING'!$C$5:$C$804,$B191)+SUMIFS('LINKEDIN OUTREACH'!$K$5:$K$704,'LINKEDIN OUTREACH'!$C$5:$C$704,$B191))</f>
        <v/>
      </c>
      <c r="Y191" s="73" t="str">
        <f>IF(ISNUMBER($R191),IF($R191&gt;0,$T191/$R191,""),"")</f>
        <v/>
      </c>
      <c r="Z191" s="72" t="str">
        <f>IF(AND(ISNUMBER($P191),ISNUMBER($R191)),IF(AND($P191&gt;0,$R191&gt;0),$P191/$R191,""),"")</f>
        <v/>
      </c>
      <c r="AA191" s="71" t="str">
        <f>IF($B191="","",IF(OR($N191="Live",$N191="Optimizing",$N191="Paused",$N191="Completed"),IF(ISNUMBER($AI191),IF($AI191&gt;=1,"Ahead",IF($AI191&gt;=OnTrackPct,"On Track",IF($AI191&gt;=WatchPct,"Behind","At Risk"))),"No Target Set"),"Not Live"))</f>
        <v/>
      </c>
      <c r="AB191" s="65" t="n"/>
      <c r="AC191" s="65" t="n"/>
      <c r="AD191" s="65" t="n"/>
      <c r="AE191" s="67" t="n"/>
      <c r="AF191" s="67" t="n"/>
      <c r="AG191" s="63" t="n"/>
      <c r="AH191" s="74">
        <f>IF($N191="Completed",1,IF(AND(ISNUMBER($K191),ISNUMBER($L191)),IF($L191&gt;$K191,MIN(1,MAX(0.05,(ReportDate-$K191)/($L191-$K191))),1),1))</f>
        <v>1</v>
      </c>
      <c r="AI191" s="70" t="str">
        <f>IF($B191="","",IF(AND(ISNUMBER($Q191),$Q191&gt;0),$R191/($Q191*$AH191),""))</f>
        <v/>
      </c>
      <c r="AJ191" s="71" t="str">
        <f>IF(ISNUMBER($K191),YEAR($K191)&amp;"-"&amp;TEXT(MONTH($K191),"00"),"")</f>
        <v/>
      </c>
      <c r="AK191" s="71">
        <f>IF($B191="",0,IF(AND(OR(fClient="All",$A191=fClient),OR(fCampaign="All",$B191=fCampaign),OR(fTeam="All",$I191=fTeam),OR(fChannel="All",$H191=fChannel),OR(fCStatus="All",$N191=fCStatus)),1,0))</f>
        <v>0</v>
      </c>
      <c r="AL191" s="71">
        <f>IF($B191="",0,IF(AND(OR(fClient="All",$A191=fClient),OR(fCampaign="All",$B191=fCampaign),OR(fTeam="All",$I191=fTeam),OR(fChannel="All",$H191=fChannel)),1,0))</f>
        <v>0</v>
      </c>
      <c r="AM191" s="71">
        <f>IF(OR($N191="Live",$N191="Optimizing"),1,0)</f>
        <v>0</v>
      </c>
      <c r="AN191" s="71">
        <f>IF(OR($N191="Live",$N191="Optimizing",$N191="Paused",$N191="Completed"),1,0)</f>
        <v>0</v>
      </c>
      <c r="AO191" s="71">
        <f>IF(AND($AM191=1,ISNUMBER($L191),NOT(ISNUMBER($M191))),IF($L191&lt;ReportDate,1,0),0)</f>
        <v>0</v>
      </c>
      <c r="AP191" s="71">
        <f>IF($AM191=1,IF(ISNUMBER($AG191),IF(ReportDate-$AG191&gt;CampStaleDays,1,0),1),0)</f>
        <v>0</v>
      </c>
      <c r="AQ191" s="71">
        <f>IF(AND($AM191=1,OR($AA191="Behind",$AA191="At Risk")),1,0)</f>
        <v>0</v>
      </c>
      <c r="AR191" s="71">
        <f>IF(AND($AM191=1,OR($AA191="Ahead",$AA191="On Track")),1,0)</f>
        <v>0</v>
      </c>
      <c r="AS191" s="71">
        <f>IF(OR($AQ191=1,$AP191=1,$AO191=1),1,0)</f>
        <v>0</v>
      </c>
      <c r="AT191" s="71" t="str">
        <f>IF($AS191=1,TRIM(IF($AQ191=1,"Low performance. ","")&amp;IF($AP191=1,"No recent update. ","")&amp;IF($AO191=1,"Past planned end. ","")),"")</f>
        <v/>
      </c>
      <c r="AU191" s="71" t="str">
        <f>IF(AND($AS191=1,$AL191=1),ROW(),"")</f>
        <v/>
      </c>
      <c r="AV191" s="71" t="str">
        <f>IF(AND($AQ191=1,$AL191=1),ROW(),"")</f>
        <v/>
      </c>
      <c r="AW191" s="71" t="str">
        <f>IF(AND($AP191=1,$AL191=1),ROW(),"")</f>
        <v/>
      </c>
      <c r="AX191" s="71" t="str">
        <f>IF(AND($AR191=1,$AL191=1),ROW(),"")</f>
        <v/>
      </c>
      <c r="AY191" s="71">
        <f>IF(AND($B191&lt;&gt;"",$A191=TCL_Client),1,0)</f>
        <v>0</v>
      </c>
      <c r="AZ191" s="71" t="str">
        <f>IF($AY191=1,ROW(),"")</f>
        <v/>
      </c>
      <c r="BA191" s="71">
        <f>IF(AND($B191&lt;&gt;"",$A191=MECCA_Client),1,0)</f>
        <v>0</v>
      </c>
      <c r="BB191" s="71" t="str">
        <f>IF($BA191=1,ROW(),"")</f>
        <v/>
      </c>
    </row>
    <row r="192">
      <c r="A192" s="64" t="n"/>
      <c r="B192" s="65" t="n"/>
      <c r="C192" s="64" t="n"/>
      <c r="D192" s="64" t="n"/>
      <c r="E192" s="64" t="n"/>
      <c r="F192" s="65" t="n"/>
      <c r="G192" s="65" t="n"/>
      <c r="H192" s="64" t="n"/>
      <c r="I192" s="64" t="n"/>
      <c r="J192" s="65" t="n"/>
      <c r="K192" s="63" t="n"/>
      <c r="L192" s="63" t="n"/>
      <c r="M192" s="63" t="n"/>
      <c r="N192" s="64" t="n"/>
      <c r="O192" s="67" t="n"/>
      <c r="P192" s="72" t="str">
        <f>IF($B192="","",SUMIFS('PAID MEDIA ADS'!$G$5:$G$804,'PAID MEDIA ADS'!$C$5:$C$804,$B192))</f>
        <v/>
      </c>
      <c r="Q192" s="67" t="n"/>
      <c r="R192" s="72" t="str">
        <f>IF($B192="","",COUNTIFS('LEAD MQL TRACKER'!$C$5:$C$1004,$B192,'LEAD MQL TRACKER'!$AB$5:$AB$1004,1)+SUMIFS('EMAIL MARKETING'!$Q$5:$Q$804,'EMAIL MARKETING'!$C$5:$C$804,$B192)+SUMIFS('PAID MEDIA ADS'!$M$5:$M$804,'PAID MEDIA ADS'!$C$5:$C$804,$B192)+SUMIFS('LINKEDIN OUTREACH'!$N$5:$N$704,'LINKEDIN OUTREACH'!$C$5:$C$704,$B192))</f>
        <v/>
      </c>
      <c r="S192" s="67" t="n"/>
      <c r="T192" s="72" t="str">
        <f>IF($B192="","",COUNTIFS('LEAD MQL TRACKER'!$C$5:$C$1004,$B192,'LEAD MQL TRACKER'!$AD$5:$AD$1004,1)+SUMIFS('EMAIL MARKETING'!$R$5:$R$804,'EMAIL MARKETING'!$C$5:$C$804,$B192)+SUMIFS('PAID MEDIA ADS'!$N$5:$N$804,'PAID MEDIA ADS'!$C$5:$C$804,$B192)+SUMIFS('LINKEDIN OUTREACH'!$O$5:$O$704,'LINKEDIN OUTREACH'!$C$5:$C$704,$B192))</f>
        <v/>
      </c>
      <c r="U192" s="67" t="n"/>
      <c r="V192" s="72" t="str">
        <f>IF($B192="","",COUNTIFS('LEAD MQL TRACKER'!$C$5:$C$1004,$B192,'LEAD MQL TRACKER'!$AE$5:$AE$1004,1))</f>
        <v/>
      </c>
      <c r="W192" s="72" t="str">
        <f>IF($B192="","",COUNTIFS('LEAD MQL TRACKER'!$C$5:$C$1004,$B192,'LEAD MQL TRACKER'!$AC$5:$AC$1004,1)+SUMIFS('LINKEDIN OUTREACH'!$M$5:$M$704,'LINKEDIN OUTREACH'!$C$5:$C$704,$B192))</f>
        <v/>
      </c>
      <c r="X192" s="72" t="str">
        <f>IF($B192="","",SUMIFS('EMAIL MARKETING'!$O$5:$O$804,'EMAIL MARKETING'!$C$5:$C$804,$B192)+SUMIFS('LINKEDIN OUTREACH'!$K$5:$K$704,'LINKEDIN OUTREACH'!$C$5:$C$704,$B192))</f>
        <v/>
      </c>
      <c r="Y192" s="73" t="str">
        <f>IF(ISNUMBER($R192),IF($R192&gt;0,$T192/$R192,""),"")</f>
        <v/>
      </c>
      <c r="Z192" s="72" t="str">
        <f>IF(AND(ISNUMBER($P192),ISNUMBER($R192)),IF(AND($P192&gt;0,$R192&gt;0),$P192/$R192,""),"")</f>
        <v/>
      </c>
      <c r="AA192" s="71" t="str">
        <f>IF($B192="","",IF(OR($N192="Live",$N192="Optimizing",$N192="Paused",$N192="Completed"),IF(ISNUMBER($AI192),IF($AI192&gt;=1,"Ahead",IF($AI192&gt;=OnTrackPct,"On Track",IF($AI192&gt;=WatchPct,"Behind","At Risk"))),"No Target Set"),"Not Live"))</f>
        <v/>
      </c>
      <c r="AB192" s="65" t="n"/>
      <c r="AC192" s="65" t="n"/>
      <c r="AD192" s="65" t="n"/>
      <c r="AE192" s="67" t="n"/>
      <c r="AF192" s="67" t="n"/>
      <c r="AG192" s="63" t="n"/>
      <c r="AH192" s="74">
        <f>IF($N192="Completed",1,IF(AND(ISNUMBER($K192),ISNUMBER($L192)),IF($L192&gt;$K192,MIN(1,MAX(0.05,(ReportDate-$K192)/($L192-$K192))),1),1))</f>
        <v>1</v>
      </c>
      <c r="AI192" s="70" t="str">
        <f>IF($B192="","",IF(AND(ISNUMBER($Q192),$Q192&gt;0),$R192/($Q192*$AH192),""))</f>
        <v/>
      </c>
      <c r="AJ192" s="71" t="str">
        <f>IF(ISNUMBER($K192),YEAR($K192)&amp;"-"&amp;TEXT(MONTH($K192),"00"),"")</f>
        <v/>
      </c>
      <c r="AK192" s="71">
        <f>IF($B192="",0,IF(AND(OR(fClient="All",$A192=fClient),OR(fCampaign="All",$B192=fCampaign),OR(fTeam="All",$I192=fTeam),OR(fChannel="All",$H192=fChannel),OR(fCStatus="All",$N192=fCStatus)),1,0))</f>
        <v>0</v>
      </c>
      <c r="AL192" s="71">
        <f>IF($B192="",0,IF(AND(OR(fClient="All",$A192=fClient),OR(fCampaign="All",$B192=fCampaign),OR(fTeam="All",$I192=fTeam),OR(fChannel="All",$H192=fChannel)),1,0))</f>
        <v>0</v>
      </c>
      <c r="AM192" s="71">
        <f>IF(OR($N192="Live",$N192="Optimizing"),1,0)</f>
        <v>0</v>
      </c>
      <c r="AN192" s="71">
        <f>IF(OR($N192="Live",$N192="Optimizing",$N192="Paused",$N192="Completed"),1,0)</f>
        <v>0</v>
      </c>
      <c r="AO192" s="71">
        <f>IF(AND($AM192=1,ISNUMBER($L192),NOT(ISNUMBER($M192))),IF($L192&lt;ReportDate,1,0),0)</f>
        <v>0</v>
      </c>
      <c r="AP192" s="71">
        <f>IF($AM192=1,IF(ISNUMBER($AG192),IF(ReportDate-$AG192&gt;CampStaleDays,1,0),1),0)</f>
        <v>0</v>
      </c>
      <c r="AQ192" s="71">
        <f>IF(AND($AM192=1,OR($AA192="Behind",$AA192="At Risk")),1,0)</f>
        <v>0</v>
      </c>
      <c r="AR192" s="71">
        <f>IF(AND($AM192=1,OR($AA192="Ahead",$AA192="On Track")),1,0)</f>
        <v>0</v>
      </c>
      <c r="AS192" s="71">
        <f>IF(OR($AQ192=1,$AP192=1,$AO192=1),1,0)</f>
        <v>0</v>
      </c>
      <c r="AT192" s="71" t="str">
        <f>IF($AS192=1,TRIM(IF($AQ192=1,"Low performance. ","")&amp;IF($AP192=1,"No recent update. ","")&amp;IF($AO192=1,"Past planned end. ","")),"")</f>
        <v/>
      </c>
      <c r="AU192" s="71" t="str">
        <f>IF(AND($AS192=1,$AL192=1),ROW(),"")</f>
        <v/>
      </c>
      <c r="AV192" s="71" t="str">
        <f>IF(AND($AQ192=1,$AL192=1),ROW(),"")</f>
        <v/>
      </c>
      <c r="AW192" s="71" t="str">
        <f>IF(AND($AP192=1,$AL192=1),ROW(),"")</f>
        <v/>
      </c>
      <c r="AX192" s="71" t="str">
        <f>IF(AND($AR192=1,$AL192=1),ROW(),"")</f>
        <v/>
      </c>
      <c r="AY192" s="71">
        <f>IF(AND($B192&lt;&gt;"",$A192=TCL_Client),1,0)</f>
        <v>0</v>
      </c>
      <c r="AZ192" s="71" t="str">
        <f>IF($AY192=1,ROW(),"")</f>
        <v/>
      </c>
      <c r="BA192" s="71">
        <f>IF(AND($B192&lt;&gt;"",$A192=MECCA_Client),1,0)</f>
        <v>0</v>
      </c>
      <c r="BB192" s="71" t="str">
        <f>IF($BA192=1,ROW(),"")</f>
        <v/>
      </c>
    </row>
    <row r="193">
      <c r="A193" s="64" t="n"/>
      <c r="B193" s="65" t="n"/>
      <c r="C193" s="64" t="n"/>
      <c r="D193" s="64" t="n"/>
      <c r="E193" s="64" t="n"/>
      <c r="F193" s="65" t="n"/>
      <c r="G193" s="65" t="n"/>
      <c r="H193" s="64" t="n"/>
      <c r="I193" s="64" t="n"/>
      <c r="J193" s="65" t="n"/>
      <c r="K193" s="63" t="n"/>
      <c r="L193" s="63" t="n"/>
      <c r="M193" s="63" t="n"/>
      <c r="N193" s="64" t="n"/>
      <c r="O193" s="67" t="n"/>
      <c r="P193" s="72" t="str">
        <f>IF($B193="","",SUMIFS('PAID MEDIA ADS'!$G$5:$G$804,'PAID MEDIA ADS'!$C$5:$C$804,$B193))</f>
        <v/>
      </c>
      <c r="Q193" s="67" t="n"/>
      <c r="R193" s="72" t="str">
        <f>IF($B193="","",COUNTIFS('LEAD MQL TRACKER'!$C$5:$C$1004,$B193,'LEAD MQL TRACKER'!$AB$5:$AB$1004,1)+SUMIFS('EMAIL MARKETING'!$Q$5:$Q$804,'EMAIL MARKETING'!$C$5:$C$804,$B193)+SUMIFS('PAID MEDIA ADS'!$M$5:$M$804,'PAID MEDIA ADS'!$C$5:$C$804,$B193)+SUMIFS('LINKEDIN OUTREACH'!$N$5:$N$704,'LINKEDIN OUTREACH'!$C$5:$C$704,$B193))</f>
        <v/>
      </c>
      <c r="S193" s="67" t="n"/>
      <c r="T193" s="72" t="str">
        <f>IF($B193="","",COUNTIFS('LEAD MQL TRACKER'!$C$5:$C$1004,$B193,'LEAD MQL TRACKER'!$AD$5:$AD$1004,1)+SUMIFS('EMAIL MARKETING'!$R$5:$R$804,'EMAIL MARKETING'!$C$5:$C$804,$B193)+SUMIFS('PAID MEDIA ADS'!$N$5:$N$804,'PAID MEDIA ADS'!$C$5:$C$804,$B193)+SUMIFS('LINKEDIN OUTREACH'!$O$5:$O$704,'LINKEDIN OUTREACH'!$C$5:$C$704,$B193))</f>
        <v/>
      </c>
      <c r="U193" s="67" t="n"/>
      <c r="V193" s="72" t="str">
        <f>IF($B193="","",COUNTIFS('LEAD MQL TRACKER'!$C$5:$C$1004,$B193,'LEAD MQL TRACKER'!$AE$5:$AE$1004,1))</f>
        <v/>
      </c>
      <c r="W193" s="72" t="str">
        <f>IF($B193="","",COUNTIFS('LEAD MQL TRACKER'!$C$5:$C$1004,$B193,'LEAD MQL TRACKER'!$AC$5:$AC$1004,1)+SUMIFS('LINKEDIN OUTREACH'!$M$5:$M$704,'LINKEDIN OUTREACH'!$C$5:$C$704,$B193))</f>
        <v/>
      </c>
      <c r="X193" s="72" t="str">
        <f>IF($B193="","",SUMIFS('EMAIL MARKETING'!$O$5:$O$804,'EMAIL MARKETING'!$C$5:$C$804,$B193)+SUMIFS('LINKEDIN OUTREACH'!$K$5:$K$704,'LINKEDIN OUTREACH'!$C$5:$C$704,$B193))</f>
        <v/>
      </c>
      <c r="Y193" s="73" t="str">
        <f>IF(ISNUMBER($R193),IF($R193&gt;0,$T193/$R193,""),"")</f>
        <v/>
      </c>
      <c r="Z193" s="72" t="str">
        <f>IF(AND(ISNUMBER($P193),ISNUMBER($R193)),IF(AND($P193&gt;0,$R193&gt;0),$P193/$R193,""),"")</f>
        <v/>
      </c>
      <c r="AA193" s="71" t="str">
        <f>IF($B193="","",IF(OR($N193="Live",$N193="Optimizing",$N193="Paused",$N193="Completed"),IF(ISNUMBER($AI193),IF($AI193&gt;=1,"Ahead",IF($AI193&gt;=OnTrackPct,"On Track",IF($AI193&gt;=WatchPct,"Behind","At Risk"))),"No Target Set"),"Not Live"))</f>
        <v/>
      </c>
      <c r="AB193" s="65" t="n"/>
      <c r="AC193" s="65" t="n"/>
      <c r="AD193" s="65" t="n"/>
      <c r="AE193" s="67" t="n"/>
      <c r="AF193" s="67" t="n"/>
      <c r="AG193" s="63" t="n"/>
      <c r="AH193" s="74">
        <f>IF($N193="Completed",1,IF(AND(ISNUMBER($K193),ISNUMBER($L193)),IF($L193&gt;$K193,MIN(1,MAX(0.05,(ReportDate-$K193)/($L193-$K193))),1),1))</f>
        <v>1</v>
      </c>
      <c r="AI193" s="70" t="str">
        <f>IF($B193="","",IF(AND(ISNUMBER($Q193),$Q193&gt;0),$R193/($Q193*$AH193),""))</f>
        <v/>
      </c>
      <c r="AJ193" s="71" t="str">
        <f>IF(ISNUMBER($K193),YEAR($K193)&amp;"-"&amp;TEXT(MONTH($K193),"00"),"")</f>
        <v/>
      </c>
      <c r="AK193" s="71">
        <f>IF($B193="",0,IF(AND(OR(fClient="All",$A193=fClient),OR(fCampaign="All",$B193=fCampaign),OR(fTeam="All",$I193=fTeam),OR(fChannel="All",$H193=fChannel),OR(fCStatus="All",$N193=fCStatus)),1,0))</f>
        <v>0</v>
      </c>
      <c r="AL193" s="71">
        <f>IF($B193="",0,IF(AND(OR(fClient="All",$A193=fClient),OR(fCampaign="All",$B193=fCampaign),OR(fTeam="All",$I193=fTeam),OR(fChannel="All",$H193=fChannel)),1,0))</f>
        <v>0</v>
      </c>
      <c r="AM193" s="71">
        <f>IF(OR($N193="Live",$N193="Optimizing"),1,0)</f>
        <v>0</v>
      </c>
      <c r="AN193" s="71">
        <f>IF(OR($N193="Live",$N193="Optimizing",$N193="Paused",$N193="Completed"),1,0)</f>
        <v>0</v>
      </c>
      <c r="AO193" s="71">
        <f>IF(AND($AM193=1,ISNUMBER($L193),NOT(ISNUMBER($M193))),IF($L193&lt;ReportDate,1,0),0)</f>
        <v>0</v>
      </c>
      <c r="AP193" s="71">
        <f>IF($AM193=1,IF(ISNUMBER($AG193),IF(ReportDate-$AG193&gt;CampStaleDays,1,0),1),0)</f>
        <v>0</v>
      </c>
      <c r="AQ193" s="71">
        <f>IF(AND($AM193=1,OR($AA193="Behind",$AA193="At Risk")),1,0)</f>
        <v>0</v>
      </c>
      <c r="AR193" s="71">
        <f>IF(AND($AM193=1,OR($AA193="Ahead",$AA193="On Track")),1,0)</f>
        <v>0</v>
      </c>
      <c r="AS193" s="71">
        <f>IF(OR($AQ193=1,$AP193=1,$AO193=1),1,0)</f>
        <v>0</v>
      </c>
      <c r="AT193" s="71" t="str">
        <f>IF($AS193=1,TRIM(IF($AQ193=1,"Low performance. ","")&amp;IF($AP193=1,"No recent update. ","")&amp;IF($AO193=1,"Past planned end. ","")),"")</f>
        <v/>
      </c>
      <c r="AU193" s="71" t="str">
        <f>IF(AND($AS193=1,$AL193=1),ROW(),"")</f>
        <v/>
      </c>
      <c r="AV193" s="71" t="str">
        <f>IF(AND($AQ193=1,$AL193=1),ROW(),"")</f>
        <v/>
      </c>
      <c r="AW193" s="71" t="str">
        <f>IF(AND($AP193=1,$AL193=1),ROW(),"")</f>
        <v/>
      </c>
      <c r="AX193" s="71" t="str">
        <f>IF(AND($AR193=1,$AL193=1),ROW(),"")</f>
        <v/>
      </c>
      <c r="AY193" s="71">
        <f>IF(AND($B193&lt;&gt;"",$A193=TCL_Client),1,0)</f>
        <v>0</v>
      </c>
      <c r="AZ193" s="71" t="str">
        <f>IF($AY193=1,ROW(),"")</f>
        <v/>
      </c>
      <c r="BA193" s="71">
        <f>IF(AND($B193&lt;&gt;"",$A193=MECCA_Client),1,0)</f>
        <v>0</v>
      </c>
      <c r="BB193" s="71" t="str">
        <f>IF($BA193=1,ROW(),"")</f>
        <v/>
      </c>
    </row>
    <row r="194">
      <c r="A194" s="64" t="n"/>
      <c r="B194" s="65" t="n"/>
      <c r="C194" s="64" t="n"/>
      <c r="D194" s="64" t="n"/>
      <c r="E194" s="64" t="n"/>
      <c r="F194" s="65" t="n"/>
      <c r="G194" s="65" t="n"/>
      <c r="H194" s="64" t="n"/>
      <c r="I194" s="64" t="n"/>
      <c r="J194" s="65" t="n"/>
      <c r="K194" s="63" t="n"/>
      <c r="L194" s="63" t="n"/>
      <c r="M194" s="63" t="n"/>
      <c r="N194" s="64" t="n"/>
      <c r="O194" s="67" t="n"/>
      <c r="P194" s="72" t="str">
        <f>IF($B194="","",SUMIFS('PAID MEDIA ADS'!$G$5:$G$804,'PAID MEDIA ADS'!$C$5:$C$804,$B194))</f>
        <v/>
      </c>
      <c r="Q194" s="67" t="n"/>
      <c r="R194" s="72" t="str">
        <f>IF($B194="","",COUNTIFS('LEAD MQL TRACKER'!$C$5:$C$1004,$B194,'LEAD MQL TRACKER'!$AB$5:$AB$1004,1)+SUMIFS('EMAIL MARKETING'!$Q$5:$Q$804,'EMAIL MARKETING'!$C$5:$C$804,$B194)+SUMIFS('PAID MEDIA ADS'!$M$5:$M$804,'PAID MEDIA ADS'!$C$5:$C$804,$B194)+SUMIFS('LINKEDIN OUTREACH'!$N$5:$N$704,'LINKEDIN OUTREACH'!$C$5:$C$704,$B194))</f>
        <v/>
      </c>
      <c r="S194" s="67" t="n"/>
      <c r="T194" s="72" t="str">
        <f>IF($B194="","",COUNTIFS('LEAD MQL TRACKER'!$C$5:$C$1004,$B194,'LEAD MQL TRACKER'!$AD$5:$AD$1004,1)+SUMIFS('EMAIL MARKETING'!$R$5:$R$804,'EMAIL MARKETING'!$C$5:$C$804,$B194)+SUMIFS('PAID MEDIA ADS'!$N$5:$N$804,'PAID MEDIA ADS'!$C$5:$C$804,$B194)+SUMIFS('LINKEDIN OUTREACH'!$O$5:$O$704,'LINKEDIN OUTREACH'!$C$5:$C$704,$B194))</f>
        <v/>
      </c>
      <c r="U194" s="67" t="n"/>
      <c r="V194" s="72" t="str">
        <f>IF($B194="","",COUNTIFS('LEAD MQL TRACKER'!$C$5:$C$1004,$B194,'LEAD MQL TRACKER'!$AE$5:$AE$1004,1))</f>
        <v/>
      </c>
      <c r="W194" s="72" t="str">
        <f>IF($B194="","",COUNTIFS('LEAD MQL TRACKER'!$C$5:$C$1004,$B194,'LEAD MQL TRACKER'!$AC$5:$AC$1004,1)+SUMIFS('LINKEDIN OUTREACH'!$M$5:$M$704,'LINKEDIN OUTREACH'!$C$5:$C$704,$B194))</f>
        <v/>
      </c>
      <c r="X194" s="72" t="str">
        <f>IF($B194="","",SUMIFS('EMAIL MARKETING'!$O$5:$O$804,'EMAIL MARKETING'!$C$5:$C$804,$B194)+SUMIFS('LINKEDIN OUTREACH'!$K$5:$K$704,'LINKEDIN OUTREACH'!$C$5:$C$704,$B194))</f>
        <v/>
      </c>
      <c r="Y194" s="73" t="str">
        <f>IF(ISNUMBER($R194),IF($R194&gt;0,$T194/$R194,""),"")</f>
        <v/>
      </c>
      <c r="Z194" s="72" t="str">
        <f>IF(AND(ISNUMBER($P194),ISNUMBER($R194)),IF(AND($P194&gt;0,$R194&gt;0),$P194/$R194,""),"")</f>
        <v/>
      </c>
      <c r="AA194" s="71" t="str">
        <f>IF($B194="","",IF(OR($N194="Live",$N194="Optimizing",$N194="Paused",$N194="Completed"),IF(ISNUMBER($AI194),IF($AI194&gt;=1,"Ahead",IF($AI194&gt;=OnTrackPct,"On Track",IF($AI194&gt;=WatchPct,"Behind","At Risk"))),"No Target Set"),"Not Live"))</f>
        <v/>
      </c>
      <c r="AB194" s="65" t="n"/>
      <c r="AC194" s="65" t="n"/>
      <c r="AD194" s="65" t="n"/>
      <c r="AE194" s="67" t="n"/>
      <c r="AF194" s="67" t="n"/>
      <c r="AG194" s="63" t="n"/>
      <c r="AH194" s="74">
        <f>IF($N194="Completed",1,IF(AND(ISNUMBER($K194),ISNUMBER($L194)),IF($L194&gt;$K194,MIN(1,MAX(0.05,(ReportDate-$K194)/($L194-$K194))),1),1))</f>
        <v>1</v>
      </c>
      <c r="AI194" s="70" t="str">
        <f>IF($B194="","",IF(AND(ISNUMBER($Q194),$Q194&gt;0),$R194/($Q194*$AH194),""))</f>
        <v/>
      </c>
      <c r="AJ194" s="71" t="str">
        <f>IF(ISNUMBER($K194),YEAR($K194)&amp;"-"&amp;TEXT(MONTH($K194),"00"),"")</f>
        <v/>
      </c>
      <c r="AK194" s="71">
        <f>IF($B194="",0,IF(AND(OR(fClient="All",$A194=fClient),OR(fCampaign="All",$B194=fCampaign),OR(fTeam="All",$I194=fTeam),OR(fChannel="All",$H194=fChannel),OR(fCStatus="All",$N194=fCStatus)),1,0))</f>
        <v>0</v>
      </c>
      <c r="AL194" s="71">
        <f>IF($B194="",0,IF(AND(OR(fClient="All",$A194=fClient),OR(fCampaign="All",$B194=fCampaign),OR(fTeam="All",$I194=fTeam),OR(fChannel="All",$H194=fChannel)),1,0))</f>
        <v>0</v>
      </c>
      <c r="AM194" s="71">
        <f>IF(OR($N194="Live",$N194="Optimizing"),1,0)</f>
        <v>0</v>
      </c>
      <c r="AN194" s="71">
        <f>IF(OR($N194="Live",$N194="Optimizing",$N194="Paused",$N194="Completed"),1,0)</f>
        <v>0</v>
      </c>
      <c r="AO194" s="71">
        <f>IF(AND($AM194=1,ISNUMBER($L194),NOT(ISNUMBER($M194))),IF($L194&lt;ReportDate,1,0),0)</f>
        <v>0</v>
      </c>
      <c r="AP194" s="71">
        <f>IF($AM194=1,IF(ISNUMBER($AG194),IF(ReportDate-$AG194&gt;CampStaleDays,1,0),1),0)</f>
        <v>0</v>
      </c>
      <c r="AQ194" s="71">
        <f>IF(AND($AM194=1,OR($AA194="Behind",$AA194="At Risk")),1,0)</f>
        <v>0</v>
      </c>
      <c r="AR194" s="71">
        <f>IF(AND($AM194=1,OR($AA194="Ahead",$AA194="On Track")),1,0)</f>
        <v>0</v>
      </c>
      <c r="AS194" s="71">
        <f>IF(OR($AQ194=1,$AP194=1,$AO194=1),1,0)</f>
        <v>0</v>
      </c>
      <c r="AT194" s="71" t="str">
        <f>IF($AS194=1,TRIM(IF($AQ194=1,"Low performance. ","")&amp;IF($AP194=1,"No recent update. ","")&amp;IF($AO194=1,"Past planned end. ","")),"")</f>
        <v/>
      </c>
      <c r="AU194" s="71" t="str">
        <f>IF(AND($AS194=1,$AL194=1),ROW(),"")</f>
        <v/>
      </c>
      <c r="AV194" s="71" t="str">
        <f>IF(AND($AQ194=1,$AL194=1),ROW(),"")</f>
        <v/>
      </c>
      <c r="AW194" s="71" t="str">
        <f>IF(AND($AP194=1,$AL194=1),ROW(),"")</f>
        <v/>
      </c>
      <c r="AX194" s="71" t="str">
        <f>IF(AND($AR194=1,$AL194=1),ROW(),"")</f>
        <v/>
      </c>
      <c r="AY194" s="71">
        <f>IF(AND($B194&lt;&gt;"",$A194=TCL_Client),1,0)</f>
        <v>0</v>
      </c>
      <c r="AZ194" s="71" t="str">
        <f>IF($AY194=1,ROW(),"")</f>
        <v/>
      </c>
      <c r="BA194" s="71">
        <f>IF(AND($B194&lt;&gt;"",$A194=MECCA_Client),1,0)</f>
        <v>0</v>
      </c>
      <c r="BB194" s="71" t="str">
        <f>IF($BA194=1,ROW(),"")</f>
        <v/>
      </c>
    </row>
    <row r="195">
      <c r="A195" s="64" t="n"/>
      <c r="B195" s="65" t="n"/>
      <c r="C195" s="64" t="n"/>
      <c r="D195" s="64" t="n"/>
      <c r="E195" s="64" t="n"/>
      <c r="F195" s="65" t="n"/>
      <c r="G195" s="65" t="n"/>
      <c r="H195" s="64" t="n"/>
      <c r="I195" s="64" t="n"/>
      <c r="J195" s="65" t="n"/>
      <c r="K195" s="63" t="n"/>
      <c r="L195" s="63" t="n"/>
      <c r="M195" s="63" t="n"/>
      <c r="N195" s="64" t="n"/>
      <c r="O195" s="67" t="n"/>
      <c r="P195" s="72" t="str">
        <f>IF($B195="","",SUMIFS('PAID MEDIA ADS'!$G$5:$G$804,'PAID MEDIA ADS'!$C$5:$C$804,$B195))</f>
        <v/>
      </c>
      <c r="Q195" s="67" t="n"/>
      <c r="R195" s="72" t="str">
        <f>IF($B195="","",COUNTIFS('LEAD MQL TRACKER'!$C$5:$C$1004,$B195,'LEAD MQL TRACKER'!$AB$5:$AB$1004,1)+SUMIFS('EMAIL MARKETING'!$Q$5:$Q$804,'EMAIL MARKETING'!$C$5:$C$804,$B195)+SUMIFS('PAID MEDIA ADS'!$M$5:$M$804,'PAID MEDIA ADS'!$C$5:$C$804,$B195)+SUMIFS('LINKEDIN OUTREACH'!$N$5:$N$704,'LINKEDIN OUTREACH'!$C$5:$C$704,$B195))</f>
        <v/>
      </c>
      <c r="S195" s="67" t="n"/>
      <c r="T195" s="72" t="str">
        <f>IF($B195="","",COUNTIFS('LEAD MQL TRACKER'!$C$5:$C$1004,$B195,'LEAD MQL TRACKER'!$AD$5:$AD$1004,1)+SUMIFS('EMAIL MARKETING'!$R$5:$R$804,'EMAIL MARKETING'!$C$5:$C$804,$B195)+SUMIFS('PAID MEDIA ADS'!$N$5:$N$804,'PAID MEDIA ADS'!$C$5:$C$804,$B195)+SUMIFS('LINKEDIN OUTREACH'!$O$5:$O$704,'LINKEDIN OUTREACH'!$C$5:$C$704,$B195))</f>
        <v/>
      </c>
      <c r="U195" s="67" t="n"/>
      <c r="V195" s="72" t="str">
        <f>IF($B195="","",COUNTIFS('LEAD MQL TRACKER'!$C$5:$C$1004,$B195,'LEAD MQL TRACKER'!$AE$5:$AE$1004,1))</f>
        <v/>
      </c>
      <c r="W195" s="72" t="str">
        <f>IF($B195="","",COUNTIFS('LEAD MQL TRACKER'!$C$5:$C$1004,$B195,'LEAD MQL TRACKER'!$AC$5:$AC$1004,1)+SUMIFS('LINKEDIN OUTREACH'!$M$5:$M$704,'LINKEDIN OUTREACH'!$C$5:$C$704,$B195))</f>
        <v/>
      </c>
      <c r="X195" s="72" t="str">
        <f>IF($B195="","",SUMIFS('EMAIL MARKETING'!$O$5:$O$804,'EMAIL MARKETING'!$C$5:$C$804,$B195)+SUMIFS('LINKEDIN OUTREACH'!$K$5:$K$704,'LINKEDIN OUTREACH'!$C$5:$C$704,$B195))</f>
        <v/>
      </c>
      <c r="Y195" s="73" t="str">
        <f>IF(ISNUMBER($R195),IF($R195&gt;0,$T195/$R195,""),"")</f>
        <v/>
      </c>
      <c r="Z195" s="72" t="str">
        <f>IF(AND(ISNUMBER($P195),ISNUMBER($R195)),IF(AND($P195&gt;0,$R195&gt;0),$P195/$R195,""),"")</f>
        <v/>
      </c>
      <c r="AA195" s="71" t="str">
        <f>IF($B195="","",IF(OR($N195="Live",$N195="Optimizing",$N195="Paused",$N195="Completed"),IF(ISNUMBER($AI195),IF($AI195&gt;=1,"Ahead",IF($AI195&gt;=OnTrackPct,"On Track",IF($AI195&gt;=WatchPct,"Behind","At Risk"))),"No Target Set"),"Not Live"))</f>
        <v/>
      </c>
      <c r="AB195" s="65" t="n"/>
      <c r="AC195" s="65" t="n"/>
      <c r="AD195" s="65" t="n"/>
      <c r="AE195" s="67" t="n"/>
      <c r="AF195" s="67" t="n"/>
      <c r="AG195" s="63" t="n"/>
      <c r="AH195" s="74">
        <f>IF($N195="Completed",1,IF(AND(ISNUMBER($K195),ISNUMBER($L195)),IF($L195&gt;$K195,MIN(1,MAX(0.05,(ReportDate-$K195)/($L195-$K195))),1),1))</f>
        <v>1</v>
      </c>
      <c r="AI195" s="70" t="str">
        <f>IF($B195="","",IF(AND(ISNUMBER($Q195),$Q195&gt;0),$R195/($Q195*$AH195),""))</f>
        <v/>
      </c>
      <c r="AJ195" s="71" t="str">
        <f>IF(ISNUMBER($K195),YEAR($K195)&amp;"-"&amp;TEXT(MONTH($K195),"00"),"")</f>
        <v/>
      </c>
      <c r="AK195" s="71">
        <f>IF($B195="",0,IF(AND(OR(fClient="All",$A195=fClient),OR(fCampaign="All",$B195=fCampaign),OR(fTeam="All",$I195=fTeam),OR(fChannel="All",$H195=fChannel),OR(fCStatus="All",$N195=fCStatus)),1,0))</f>
        <v>0</v>
      </c>
      <c r="AL195" s="71">
        <f>IF($B195="",0,IF(AND(OR(fClient="All",$A195=fClient),OR(fCampaign="All",$B195=fCampaign),OR(fTeam="All",$I195=fTeam),OR(fChannel="All",$H195=fChannel)),1,0))</f>
        <v>0</v>
      </c>
      <c r="AM195" s="71">
        <f>IF(OR($N195="Live",$N195="Optimizing"),1,0)</f>
        <v>0</v>
      </c>
      <c r="AN195" s="71">
        <f>IF(OR($N195="Live",$N195="Optimizing",$N195="Paused",$N195="Completed"),1,0)</f>
        <v>0</v>
      </c>
      <c r="AO195" s="71">
        <f>IF(AND($AM195=1,ISNUMBER($L195),NOT(ISNUMBER($M195))),IF($L195&lt;ReportDate,1,0),0)</f>
        <v>0</v>
      </c>
      <c r="AP195" s="71">
        <f>IF($AM195=1,IF(ISNUMBER($AG195),IF(ReportDate-$AG195&gt;CampStaleDays,1,0),1),0)</f>
        <v>0</v>
      </c>
      <c r="AQ195" s="71">
        <f>IF(AND($AM195=1,OR($AA195="Behind",$AA195="At Risk")),1,0)</f>
        <v>0</v>
      </c>
      <c r="AR195" s="71">
        <f>IF(AND($AM195=1,OR($AA195="Ahead",$AA195="On Track")),1,0)</f>
        <v>0</v>
      </c>
      <c r="AS195" s="71">
        <f>IF(OR($AQ195=1,$AP195=1,$AO195=1),1,0)</f>
        <v>0</v>
      </c>
      <c r="AT195" s="71" t="str">
        <f>IF($AS195=1,TRIM(IF($AQ195=1,"Low performance. ","")&amp;IF($AP195=1,"No recent update. ","")&amp;IF($AO195=1,"Past planned end. ","")),"")</f>
        <v/>
      </c>
      <c r="AU195" s="71" t="str">
        <f>IF(AND($AS195=1,$AL195=1),ROW(),"")</f>
        <v/>
      </c>
      <c r="AV195" s="71" t="str">
        <f>IF(AND($AQ195=1,$AL195=1),ROW(),"")</f>
        <v/>
      </c>
      <c r="AW195" s="71" t="str">
        <f>IF(AND($AP195=1,$AL195=1),ROW(),"")</f>
        <v/>
      </c>
      <c r="AX195" s="71" t="str">
        <f>IF(AND($AR195=1,$AL195=1),ROW(),"")</f>
        <v/>
      </c>
      <c r="AY195" s="71">
        <f>IF(AND($B195&lt;&gt;"",$A195=TCL_Client),1,0)</f>
        <v>0</v>
      </c>
      <c r="AZ195" s="71" t="str">
        <f>IF($AY195=1,ROW(),"")</f>
        <v/>
      </c>
      <c r="BA195" s="71">
        <f>IF(AND($B195&lt;&gt;"",$A195=MECCA_Client),1,0)</f>
        <v>0</v>
      </c>
      <c r="BB195" s="71" t="str">
        <f>IF($BA195=1,ROW(),"")</f>
        <v/>
      </c>
    </row>
    <row r="196">
      <c r="A196" s="64" t="n"/>
      <c r="B196" s="65" t="n"/>
      <c r="C196" s="64" t="n"/>
      <c r="D196" s="64" t="n"/>
      <c r="E196" s="64" t="n"/>
      <c r="F196" s="65" t="n"/>
      <c r="G196" s="65" t="n"/>
      <c r="H196" s="64" t="n"/>
      <c r="I196" s="64" t="n"/>
      <c r="J196" s="65" t="n"/>
      <c r="K196" s="63" t="n"/>
      <c r="L196" s="63" t="n"/>
      <c r="M196" s="63" t="n"/>
      <c r="N196" s="64" t="n"/>
      <c r="O196" s="67" t="n"/>
      <c r="P196" s="72" t="str">
        <f>IF($B196="","",SUMIFS('PAID MEDIA ADS'!$G$5:$G$804,'PAID MEDIA ADS'!$C$5:$C$804,$B196))</f>
        <v/>
      </c>
      <c r="Q196" s="67" t="n"/>
      <c r="R196" s="72" t="str">
        <f>IF($B196="","",COUNTIFS('LEAD MQL TRACKER'!$C$5:$C$1004,$B196,'LEAD MQL TRACKER'!$AB$5:$AB$1004,1)+SUMIFS('EMAIL MARKETING'!$Q$5:$Q$804,'EMAIL MARKETING'!$C$5:$C$804,$B196)+SUMIFS('PAID MEDIA ADS'!$M$5:$M$804,'PAID MEDIA ADS'!$C$5:$C$804,$B196)+SUMIFS('LINKEDIN OUTREACH'!$N$5:$N$704,'LINKEDIN OUTREACH'!$C$5:$C$704,$B196))</f>
        <v/>
      </c>
      <c r="S196" s="67" t="n"/>
      <c r="T196" s="72" t="str">
        <f>IF($B196="","",COUNTIFS('LEAD MQL TRACKER'!$C$5:$C$1004,$B196,'LEAD MQL TRACKER'!$AD$5:$AD$1004,1)+SUMIFS('EMAIL MARKETING'!$R$5:$R$804,'EMAIL MARKETING'!$C$5:$C$804,$B196)+SUMIFS('PAID MEDIA ADS'!$N$5:$N$804,'PAID MEDIA ADS'!$C$5:$C$804,$B196)+SUMIFS('LINKEDIN OUTREACH'!$O$5:$O$704,'LINKEDIN OUTREACH'!$C$5:$C$704,$B196))</f>
        <v/>
      </c>
      <c r="U196" s="67" t="n"/>
      <c r="V196" s="72" t="str">
        <f>IF($B196="","",COUNTIFS('LEAD MQL TRACKER'!$C$5:$C$1004,$B196,'LEAD MQL TRACKER'!$AE$5:$AE$1004,1))</f>
        <v/>
      </c>
      <c r="W196" s="72" t="str">
        <f>IF($B196="","",COUNTIFS('LEAD MQL TRACKER'!$C$5:$C$1004,$B196,'LEAD MQL TRACKER'!$AC$5:$AC$1004,1)+SUMIFS('LINKEDIN OUTREACH'!$M$5:$M$704,'LINKEDIN OUTREACH'!$C$5:$C$704,$B196))</f>
        <v/>
      </c>
      <c r="X196" s="72" t="str">
        <f>IF($B196="","",SUMIFS('EMAIL MARKETING'!$O$5:$O$804,'EMAIL MARKETING'!$C$5:$C$804,$B196)+SUMIFS('LINKEDIN OUTREACH'!$K$5:$K$704,'LINKEDIN OUTREACH'!$C$5:$C$704,$B196))</f>
        <v/>
      </c>
      <c r="Y196" s="73" t="str">
        <f>IF(ISNUMBER($R196),IF($R196&gt;0,$T196/$R196,""),"")</f>
        <v/>
      </c>
      <c r="Z196" s="72" t="str">
        <f>IF(AND(ISNUMBER($P196),ISNUMBER($R196)),IF(AND($P196&gt;0,$R196&gt;0),$P196/$R196,""),"")</f>
        <v/>
      </c>
      <c r="AA196" s="71" t="str">
        <f>IF($B196="","",IF(OR($N196="Live",$N196="Optimizing",$N196="Paused",$N196="Completed"),IF(ISNUMBER($AI196),IF($AI196&gt;=1,"Ahead",IF($AI196&gt;=OnTrackPct,"On Track",IF($AI196&gt;=WatchPct,"Behind","At Risk"))),"No Target Set"),"Not Live"))</f>
        <v/>
      </c>
      <c r="AB196" s="65" t="n"/>
      <c r="AC196" s="65" t="n"/>
      <c r="AD196" s="65" t="n"/>
      <c r="AE196" s="67" t="n"/>
      <c r="AF196" s="67" t="n"/>
      <c r="AG196" s="63" t="n"/>
      <c r="AH196" s="74">
        <f>IF($N196="Completed",1,IF(AND(ISNUMBER($K196),ISNUMBER($L196)),IF($L196&gt;$K196,MIN(1,MAX(0.05,(ReportDate-$K196)/($L196-$K196))),1),1))</f>
        <v>1</v>
      </c>
      <c r="AI196" s="70" t="str">
        <f>IF($B196="","",IF(AND(ISNUMBER($Q196),$Q196&gt;0),$R196/($Q196*$AH196),""))</f>
        <v/>
      </c>
      <c r="AJ196" s="71" t="str">
        <f>IF(ISNUMBER($K196),YEAR($K196)&amp;"-"&amp;TEXT(MONTH($K196),"00"),"")</f>
        <v/>
      </c>
      <c r="AK196" s="71">
        <f>IF($B196="",0,IF(AND(OR(fClient="All",$A196=fClient),OR(fCampaign="All",$B196=fCampaign),OR(fTeam="All",$I196=fTeam),OR(fChannel="All",$H196=fChannel),OR(fCStatus="All",$N196=fCStatus)),1,0))</f>
        <v>0</v>
      </c>
      <c r="AL196" s="71">
        <f>IF($B196="",0,IF(AND(OR(fClient="All",$A196=fClient),OR(fCampaign="All",$B196=fCampaign),OR(fTeam="All",$I196=fTeam),OR(fChannel="All",$H196=fChannel)),1,0))</f>
        <v>0</v>
      </c>
      <c r="AM196" s="71">
        <f>IF(OR($N196="Live",$N196="Optimizing"),1,0)</f>
        <v>0</v>
      </c>
      <c r="AN196" s="71">
        <f>IF(OR($N196="Live",$N196="Optimizing",$N196="Paused",$N196="Completed"),1,0)</f>
        <v>0</v>
      </c>
      <c r="AO196" s="71">
        <f>IF(AND($AM196=1,ISNUMBER($L196),NOT(ISNUMBER($M196))),IF($L196&lt;ReportDate,1,0),0)</f>
        <v>0</v>
      </c>
      <c r="AP196" s="71">
        <f>IF($AM196=1,IF(ISNUMBER($AG196),IF(ReportDate-$AG196&gt;CampStaleDays,1,0),1),0)</f>
        <v>0</v>
      </c>
      <c r="AQ196" s="71">
        <f>IF(AND($AM196=1,OR($AA196="Behind",$AA196="At Risk")),1,0)</f>
        <v>0</v>
      </c>
      <c r="AR196" s="71">
        <f>IF(AND($AM196=1,OR($AA196="Ahead",$AA196="On Track")),1,0)</f>
        <v>0</v>
      </c>
      <c r="AS196" s="71">
        <f>IF(OR($AQ196=1,$AP196=1,$AO196=1),1,0)</f>
        <v>0</v>
      </c>
      <c r="AT196" s="71" t="str">
        <f>IF($AS196=1,TRIM(IF($AQ196=1,"Low performance. ","")&amp;IF($AP196=1,"No recent update. ","")&amp;IF($AO196=1,"Past planned end. ","")),"")</f>
        <v/>
      </c>
      <c r="AU196" s="71" t="str">
        <f>IF(AND($AS196=1,$AL196=1),ROW(),"")</f>
        <v/>
      </c>
      <c r="AV196" s="71" t="str">
        <f>IF(AND($AQ196=1,$AL196=1),ROW(),"")</f>
        <v/>
      </c>
      <c r="AW196" s="71" t="str">
        <f>IF(AND($AP196=1,$AL196=1),ROW(),"")</f>
        <v/>
      </c>
      <c r="AX196" s="71" t="str">
        <f>IF(AND($AR196=1,$AL196=1),ROW(),"")</f>
        <v/>
      </c>
      <c r="AY196" s="71">
        <f>IF(AND($B196&lt;&gt;"",$A196=TCL_Client),1,0)</f>
        <v>0</v>
      </c>
      <c r="AZ196" s="71" t="str">
        <f>IF($AY196=1,ROW(),"")</f>
        <v/>
      </c>
      <c r="BA196" s="71">
        <f>IF(AND($B196&lt;&gt;"",$A196=MECCA_Client),1,0)</f>
        <v>0</v>
      </c>
      <c r="BB196" s="71" t="str">
        <f>IF($BA196=1,ROW(),"")</f>
        <v/>
      </c>
    </row>
    <row r="197">
      <c r="A197" s="64" t="n"/>
      <c r="B197" s="65" t="n"/>
      <c r="C197" s="64" t="n"/>
      <c r="D197" s="64" t="n"/>
      <c r="E197" s="64" t="n"/>
      <c r="F197" s="65" t="n"/>
      <c r="G197" s="65" t="n"/>
      <c r="H197" s="64" t="n"/>
      <c r="I197" s="64" t="n"/>
      <c r="J197" s="65" t="n"/>
      <c r="K197" s="63" t="n"/>
      <c r="L197" s="63" t="n"/>
      <c r="M197" s="63" t="n"/>
      <c r="N197" s="64" t="n"/>
      <c r="O197" s="67" t="n"/>
      <c r="P197" s="72" t="str">
        <f>IF($B197="","",SUMIFS('PAID MEDIA ADS'!$G$5:$G$804,'PAID MEDIA ADS'!$C$5:$C$804,$B197))</f>
        <v/>
      </c>
      <c r="Q197" s="67" t="n"/>
      <c r="R197" s="72" t="str">
        <f>IF($B197="","",COUNTIFS('LEAD MQL TRACKER'!$C$5:$C$1004,$B197,'LEAD MQL TRACKER'!$AB$5:$AB$1004,1)+SUMIFS('EMAIL MARKETING'!$Q$5:$Q$804,'EMAIL MARKETING'!$C$5:$C$804,$B197)+SUMIFS('PAID MEDIA ADS'!$M$5:$M$804,'PAID MEDIA ADS'!$C$5:$C$804,$B197)+SUMIFS('LINKEDIN OUTREACH'!$N$5:$N$704,'LINKEDIN OUTREACH'!$C$5:$C$704,$B197))</f>
        <v/>
      </c>
      <c r="S197" s="67" t="n"/>
      <c r="T197" s="72" t="str">
        <f>IF($B197="","",COUNTIFS('LEAD MQL TRACKER'!$C$5:$C$1004,$B197,'LEAD MQL TRACKER'!$AD$5:$AD$1004,1)+SUMIFS('EMAIL MARKETING'!$R$5:$R$804,'EMAIL MARKETING'!$C$5:$C$804,$B197)+SUMIFS('PAID MEDIA ADS'!$N$5:$N$804,'PAID MEDIA ADS'!$C$5:$C$804,$B197)+SUMIFS('LINKEDIN OUTREACH'!$O$5:$O$704,'LINKEDIN OUTREACH'!$C$5:$C$704,$B197))</f>
        <v/>
      </c>
      <c r="U197" s="67" t="n"/>
      <c r="V197" s="72" t="str">
        <f>IF($B197="","",COUNTIFS('LEAD MQL TRACKER'!$C$5:$C$1004,$B197,'LEAD MQL TRACKER'!$AE$5:$AE$1004,1))</f>
        <v/>
      </c>
      <c r="W197" s="72" t="str">
        <f>IF($B197="","",COUNTIFS('LEAD MQL TRACKER'!$C$5:$C$1004,$B197,'LEAD MQL TRACKER'!$AC$5:$AC$1004,1)+SUMIFS('LINKEDIN OUTREACH'!$M$5:$M$704,'LINKEDIN OUTREACH'!$C$5:$C$704,$B197))</f>
        <v/>
      </c>
      <c r="X197" s="72" t="str">
        <f>IF($B197="","",SUMIFS('EMAIL MARKETING'!$O$5:$O$804,'EMAIL MARKETING'!$C$5:$C$804,$B197)+SUMIFS('LINKEDIN OUTREACH'!$K$5:$K$704,'LINKEDIN OUTREACH'!$C$5:$C$704,$B197))</f>
        <v/>
      </c>
      <c r="Y197" s="73" t="str">
        <f>IF(ISNUMBER($R197),IF($R197&gt;0,$T197/$R197,""),"")</f>
        <v/>
      </c>
      <c r="Z197" s="72" t="str">
        <f>IF(AND(ISNUMBER($P197),ISNUMBER($R197)),IF(AND($P197&gt;0,$R197&gt;0),$P197/$R197,""),"")</f>
        <v/>
      </c>
      <c r="AA197" s="71" t="str">
        <f>IF($B197="","",IF(OR($N197="Live",$N197="Optimizing",$N197="Paused",$N197="Completed"),IF(ISNUMBER($AI197),IF($AI197&gt;=1,"Ahead",IF($AI197&gt;=OnTrackPct,"On Track",IF($AI197&gt;=WatchPct,"Behind","At Risk"))),"No Target Set"),"Not Live"))</f>
        <v/>
      </c>
      <c r="AB197" s="65" t="n"/>
      <c r="AC197" s="65" t="n"/>
      <c r="AD197" s="65" t="n"/>
      <c r="AE197" s="67" t="n"/>
      <c r="AF197" s="67" t="n"/>
      <c r="AG197" s="63" t="n"/>
      <c r="AH197" s="74">
        <f>IF($N197="Completed",1,IF(AND(ISNUMBER($K197),ISNUMBER($L197)),IF($L197&gt;$K197,MIN(1,MAX(0.05,(ReportDate-$K197)/($L197-$K197))),1),1))</f>
        <v>1</v>
      </c>
      <c r="AI197" s="70" t="str">
        <f>IF($B197="","",IF(AND(ISNUMBER($Q197),$Q197&gt;0),$R197/($Q197*$AH197),""))</f>
        <v/>
      </c>
      <c r="AJ197" s="71" t="str">
        <f>IF(ISNUMBER($K197),YEAR($K197)&amp;"-"&amp;TEXT(MONTH($K197),"00"),"")</f>
        <v/>
      </c>
      <c r="AK197" s="71">
        <f>IF($B197="",0,IF(AND(OR(fClient="All",$A197=fClient),OR(fCampaign="All",$B197=fCampaign),OR(fTeam="All",$I197=fTeam),OR(fChannel="All",$H197=fChannel),OR(fCStatus="All",$N197=fCStatus)),1,0))</f>
        <v>0</v>
      </c>
      <c r="AL197" s="71">
        <f>IF($B197="",0,IF(AND(OR(fClient="All",$A197=fClient),OR(fCampaign="All",$B197=fCampaign),OR(fTeam="All",$I197=fTeam),OR(fChannel="All",$H197=fChannel)),1,0))</f>
        <v>0</v>
      </c>
      <c r="AM197" s="71">
        <f>IF(OR($N197="Live",$N197="Optimizing"),1,0)</f>
        <v>0</v>
      </c>
      <c r="AN197" s="71">
        <f>IF(OR($N197="Live",$N197="Optimizing",$N197="Paused",$N197="Completed"),1,0)</f>
        <v>0</v>
      </c>
      <c r="AO197" s="71">
        <f>IF(AND($AM197=1,ISNUMBER($L197),NOT(ISNUMBER($M197))),IF($L197&lt;ReportDate,1,0),0)</f>
        <v>0</v>
      </c>
      <c r="AP197" s="71">
        <f>IF($AM197=1,IF(ISNUMBER($AG197),IF(ReportDate-$AG197&gt;CampStaleDays,1,0),1),0)</f>
        <v>0</v>
      </c>
      <c r="AQ197" s="71">
        <f>IF(AND($AM197=1,OR($AA197="Behind",$AA197="At Risk")),1,0)</f>
        <v>0</v>
      </c>
      <c r="AR197" s="71">
        <f>IF(AND($AM197=1,OR($AA197="Ahead",$AA197="On Track")),1,0)</f>
        <v>0</v>
      </c>
      <c r="AS197" s="71">
        <f>IF(OR($AQ197=1,$AP197=1,$AO197=1),1,0)</f>
        <v>0</v>
      </c>
      <c r="AT197" s="71" t="str">
        <f>IF($AS197=1,TRIM(IF($AQ197=1,"Low performance. ","")&amp;IF($AP197=1,"No recent update. ","")&amp;IF($AO197=1,"Past planned end. ","")),"")</f>
        <v/>
      </c>
      <c r="AU197" s="71" t="str">
        <f>IF(AND($AS197=1,$AL197=1),ROW(),"")</f>
        <v/>
      </c>
      <c r="AV197" s="71" t="str">
        <f>IF(AND($AQ197=1,$AL197=1),ROW(),"")</f>
        <v/>
      </c>
      <c r="AW197" s="71" t="str">
        <f>IF(AND($AP197=1,$AL197=1),ROW(),"")</f>
        <v/>
      </c>
      <c r="AX197" s="71" t="str">
        <f>IF(AND($AR197=1,$AL197=1),ROW(),"")</f>
        <v/>
      </c>
      <c r="AY197" s="71">
        <f>IF(AND($B197&lt;&gt;"",$A197=TCL_Client),1,0)</f>
        <v>0</v>
      </c>
      <c r="AZ197" s="71" t="str">
        <f>IF($AY197=1,ROW(),"")</f>
        <v/>
      </c>
      <c r="BA197" s="71">
        <f>IF(AND($B197&lt;&gt;"",$A197=MECCA_Client),1,0)</f>
        <v>0</v>
      </c>
      <c r="BB197" s="71" t="str">
        <f>IF($BA197=1,ROW(),"")</f>
        <v/>
      </c>
    </row>
    <row r="198">
      <c r="A198" s="64" t="n"/>
      <c r="B198" s="65" t="n"/>
      <c r="C198" s="64" t="n"/>
      <c r="D198" s="64" t="n"/>
      <c r="E198" s="64" t="n"/>
      <c r="F198" s="65" t="n"/>
      <c r="G198" s="65" t="n"/>
      <c r="H198" s="64" t="n"/>
      <c r="I198" s="64" t="n"/>
      <c r="J198" s="65" t="n"/>
      <c r="K198" s="63" t="n"/>
      <c r="L198" s="63" t="n"/>
      <c r="M198" s="63" t="n"/>
      <c r="N198" s="64" t="n"/>
      <c r="O198" s="67" t="n"/>
      <c r="P198" s="72" t="str">
        <f>IF($B198="","",SUMIFS('PAID MEDIA ADS'!$G$5:$G$804,'PAID MEDIA ADS'!$C$5:$C$804,$B198))</f>
        <v/>
      </c>
      <c r="Q198" s="67" t="n"/>
      <c r="R198" s="72" t="str">
        <f>IF($B198="","",COUNTIFS('LEAD MQL TRACKER'!$C$5:$C$1004,$B198,'LEAD MQL TRACKER'!$AB$5:$AB$1004,1)+SUMIFS('EMAIL MARKETING'!$Q$5:$Q$804,'EMAIL MARKETING'!$C$5:$C$804,$B198)+SUMIFS('PAID MEDIA ADS'!$M$5:$M$804,'PAID MEDIA ADS'!$C$5:$C$804,$B198)+SUMIFS('LINKEDIN OUTREACH'!$N$5:$N$704,'LINKEDIN OUTREACH'!$C$5:$C$704,$B198))</f>
        <v/>
      </c>
      <c r="S198" s="67" t="n"/>
      <c r="T198" s="72" t="str">
        <f>IF($B198="","",COUNTIFS('LEAD MQL TRACKER'!$C$5:$C$1004,$B198,'LEAD MQL TRACKER'!$AD$5:$AD$1004,1)+SUMIFS('EMAIL MARKETING'!$R$5:$R$804,'EMAIL MARKETING'!$C$5:$C$804,$B198)+SUMIFS('PAID MEDIA ADS'!$N$5:$N$804,'PAID MEDIA ADS'!$C$5:$C$804,$B198)+SUMIFS('LINKEDIN OUTREACH'!$O$5:$O$704,'LINKEDIN OUTREACH'!$C$5:$C$704,$B198))</f>
        <v/>
      </c>
      <c r="U198" s="67" t="n"/>
      <c r="V198" s="72" t="str">
        <f>IF($B198="","",COUNTIFS('LEAD MQL TRACKER'!$C$5:$C$1004,$B198,'LEAD MQL TRACKER'!$AE$5:$AE$1004,1))</f>
        <v/>
      </c>
      <c r="W198" s="72" t="str">
        <f>IF($B198="","",COUNTIFS('LEAD MQL TRACKER'!$C$5:$C$1004,$B198,'LEAD MQL TRACKER'!$AC$5:$AC$1004,1)+SUMIFS('LINKEDIN OUTREACH'!$M$5:$M$704,'LINKEDIN OUTREACH'!$C$5:$C$704,$B198))</f>
        <v/>
      </c>
      <c r="X198" s="72" t="str">
        <f>IF($B198="","",SUMIFS('EMAIL MARKETING'!$O$5:$O$804,'EMAIL MARKETING'!$C$5:$C$804,$B198)+SUMIFS('LINKEDIN OUTREACH'!$K$5:$K$704,'LINKEDIN OUTREACH'!$C$5:$C$704,$B198))</f>
        <v/>
      </c>
      <c r="Y198" s="73" t="str">
        <f>IF(ISNUMBER($R198),IF($R198&gt;0,$T198/$R198,""),"")</f>
        <v/>
      </c>
      <c r="Z198" s="72" t="str">
        <f>IF(AND(ISNUMBER($P198),ISNUMBER($R198)),IF(AND($P198&gt;0,$R198&gt;0),$P198/$R198,""),"")</f>
        <v/>
      </c>
      <c r="AA198" s="71" t="str">
        <f>IF($B198="","",IF(OR($N198="Live",$N198="Optimizing",$N198="Paused",$N198="Completed"),IF(ISNUMBER($AI198),IF($AI198&gt;=1,"Ahead",IF($AI198&gt;=OnTrackPct,"On Track",IF($AI198&gt;=WatchPct,"Behind","At Risk"))),"No Target Set"),"Not Live"))</f>
        <v/>
      </c>
      <c r="AB198" s="65" t="n"/>
      <c r="AC198" s="65" t="n"/>
      <c r="AD198" s="65" t="n"/>
      <c r="AE198" s="67" t="n"/>
      <c r="AF198" s="67" t="n"/>
      <c r="AG198" s="63" t="n"/>
      <c r="AH198" s="74">
        <f>IF($N198="Completed",1,IF(AND(ISNUMBER($K198),ISNUMBER($L198)),IF($L198&gt;$K198,MIN(1,MAX(0.05,(ReportDate-$K198)/($L198-$K198))),1),1))</f>
        <v>1</v>
      </c>
      <c r="AI198" s="70" t="str">
        <f>IF($B198="","",IF(AND(ISNUMBER($Q198),$Q198&gt;0),$R198/($Q198*$AH198),""))</f>
        <v/>
      </c>
      <c r="AJ198" s="71" t="str">
        <f>IF(ISNUMBER($K198),YEAR($K198)&amp;"-"&amp;TEXT(MONTH($K198),"00"),"")</f>
        <v/>
      </c>
      <c r="AK198" s="71">
        <f>IF($B198="",0,IF(AND(OR(fClient="All",$A198=fClient),OR(fCampaign="All",$B198=fCampaign),OR(fTeam="All",$I198=fTeam),OR(fChannel="All",$H198=fChannel),OR(fCStatus="All",$N198=fCStatus)),1,0))</f>
        <v>0</v>
      </c>
      <c r="AL198" s="71">
        <f>IF($B198="",0,IF(AND(OR(fClient="All",$A198=fClient),OR(fCampaign="All",$B198=fCampaign),OR(fTeam="All",$I198=fTeam),OR(fChannel="All",$H198=fChannel)),1,0))</f>
        <v>0</v>
      </c>
      <c r="AM198" s="71">
        <f>IF(OR($N198="Live",$N198="Optimizing"),1,0)</f>
        <v>0</v>
      </c>
      <c r="AN198" s="71">
        <f>IF(OR($N198="Live",$N198="Optimizing",$N198="Paused",$N198="Completed"),1,0)</f>
        <v>0</v>
      </c>
      <c r="AO198" s="71">
        <f>IF(AND($AM198=1,ISNUMBER($L198),NOT(ISNUMBER($M198))),IF($L198&lt;ReportDate,1,0),0)</f>
        <v>0</v>
      </c>
      <c r="AP198" s="71">
        <f>IF($AM198=1,IF(ISNUMBER($AG198),IF(ReportDate-$AG198&gt;CampStaleDays,1,0),1),0)</f>
        <v>0</v>
      </c>
      <c r="AQ198" s="71">
        <f>IF(AND($AM198=1,OR($AA198="Behind",$AA198="At Risk")),1,0)</f>
        <v>0</v>
      </c>
      <c r="AR198" s="71">
        <f>IF(AND($AM198=1,OR($AA198="Ahead",$AA198="On Track")),1,0)</f>
        <v>0</v>
      </c>
      <c r="AS198" s="71">
        <f>IF(OR($AQ198=1,$AP198=1,$AO198=1),1,0)</f>
        <v>0</v>
      </c>
      <c r="AT198" s="71" t="str">
        <f>IF($AS198=1,TRIM(IF($AQ198=1,"Low performance. ","")&amp;IF($AP198=1,"No recent update. ","")&amp;IF($AO198=1,"Past planned end. ","")),"")</f>
        <v/>
      </c>
      <c r="AU198" s="71" t="str">
        <f>IF(AND($AS198=1,$AL198=1),ROW(),"")</f>
        <v/>
      </c>
      <c r="AV198" s="71" t="str">
        <f>IF(AND($AQ198=1,$AL198=1),ROW(),"")</f>
        <v/>
      </c>
      <c r="AW198" s="71" t="str">
        <f>IF(AND($AP198=1,$AL198=1),ROW(),"")</f>
        <v/>
      </c>
      <c r="AX198" s="71" t="str">
        <f>IF(AND($AR198=1,$AL198=1),ROW(),"")</f>
        <v/>
      </c>
      <c r="AY198" s="71">
        <f>IF(AND($B198&lt;&gt;"",$A198=TCL_Client),1,0)</f>
        <v>0</v>
      </c>
      <c r="AZ198" s="71" t="str">
        <f>IF($AY198=1,ROW(),"")</f>
        <v/>
      </c>
      <c r="BA198" s="71">
        <f>IF(AND($B198&lt;&gt;"",$A198=MECCA_Client),1,0)</f>
        <v>0</v>
      </c>
      <c r="BB198" s="71" t="str">
        <f>IF($BA198=1,ROW(),"")</f>
        <v/>
      </c>
    </row>
    <row r="199">
      <c r="A199" s="64" t="n"/>
      <c r="B199" s="65" t="n"/>
      <c r="C199" s="64" t="n"/>
      <c r="D199" s="64" t="n"/>
      <c r="E199" s="64" t="n"/>
      <c r="F199" s="65" t="n"/>
      <c r="G199" s="65" t="n"/>
      <c r="H199" s="64" t="n"/>
      <c r="I199" s="64" t="n"/>
      <c r="J199" s="65" t="n"/>
      <c r="K199" s="63" t="n"/>
      <c r="L199" s="63" t="n"/>
      <c r="M199" s="63" t="n"/>
      <c r="N199" s="64" t="n"/>
      <c r="O199" s="67" t="n"/>
      <c r="P199" s="72" t="str">
        <f>IF($B199="","",SUMIFS('PAID MEDIA ADS'!$G$5:$G$804,'PAID MEDIA ADS'!$C$5:$C$804,$B199))</f>
        <v/>
      </c>
      <c r="Q199" s="67" t="n"/>
      <c r="R199" s="72" t="str">
        <f>IF($B199="","",COUNTIFS('LEAD MQL TRACKER'!$C$5:$C$1004,$B199,'LEAD MQL TRACKER'!$AB$5:$AB$1004,1)+SUMIFS('EMAIL MARKETING'!$Q$5:$Q$804,'EMAIL MARKETING'!$C$5:$C$804,$B199)+SUMIFS('PAID MEDIA ADS'!$M$5:$M$804,'PAID MEDIA ADS'!$C$5:$C$804,$B199)+SUMIFS('LINKEDIN OUTREACH'!$N$5:$N$704,'LINKEDIN OUTREACH'!$C$5:$C$704,$B199))</f>
        <v/>
      </c>
      <c r="S199" s="67" t="n"/>
      <c r="T199" s="72" t="str">
        <f>IF($B199="","",COUNTIFS('LEAD MQL TRACKER'!$C$5:$C$1004,$B199,'LEAD MQL TRACKER'!$AD$5:$AD$1004,1)+SUMIFS('EMAIL MARKETING'!$R$5:$R$804,'EMAIL MARKETING'!$C$5:$C$804,$B199)+SUMIFS('PAID MEDIA ADS'!$N$5:$N$804,'PAID MEDIA ADS'!$C$5:$C$804,$B199)+SUMIFS('LINKEDIN OUTREACH'!$O$5:$O$704,'LINKEDIN OUTREACH'!$C$5:$C$704,$B199))</f>
        <v/>
      </c>
      <c r="U199" s="67" t="n"/>
      <c r="V199" s="72" t="str">
        <f>IF($B199="","",COUNTIFS('LEAD MQL TRACKER'!$C$5:$C$1004,$B199,'LEAD MQL TRACKER'!$AE$5:$AE$1004,1))</f>
        <v/>
      </c>
      <c r="W199" s="72" t="str">
        <f>IF($B199="","",COUNTIFS('LEAD MQL TRACKER'!$C$5:$C$1004,$B199,'LEAD MQL TRACKER'!$AC$5:$AC$1004,1)+SUMIFS('LINKEDIN OUTREACH'!$M$5:$M$704,'LINKEDIN OUTREACH'!$C$5:$C$704,$B199))</f>
        <v/>
      </c>
      <c r="X199" s="72" t="str">
        <f>IF($B199="","",SUMIFS('EMAIL MARKETING'!$O$5:$O$804,'EMAIL MARKETING'!$C$5:$C$804,$B199)+SUMIFS('LINKEDIN OUTREACH'!$K$5:$K$704,'LINKEDIN OUTREACH'!$C$5:$C$704,$B199))</f>
        <v/>
      </c>
      <c r="Y199" s="73" t="str">
        <f>IF(ISNUMBER($R199),IF($R199&gt;0,$T199/$R199,""),"")</f>
        <v/>
      </c>
      <c r="Z199" s="72" t="str">
        <f>IF(AND(ISNUMBER($P199),ISNUMBER($R199)),IF(AND($P199&gt;0,$R199&gt;0),$P199/$R199,""),"")</f>
        <v/>
      </c>
      <c r="AA199" s="71" t="str">
        <f>IF($B199="","",IF(OR($N199="Live",$N199="Optimizing",$N199="Paused",$N199="Completed"),IF(ISNUMBER($AI199),IF($AI199&gt;=1,"Ahead",IF($AI199&gt;=OnTrackPct,"On Track",IF($AI199&gt;=WatchPct,"Behind","At Risk"))),"No Target Set"),"Not Live"))</f>
        <v/>
      </c>
      <c r="AB199" s="65" t="n"/>
      <c r="AC199" s="65" t="n"/>
      <c r="AD199" s="65" t="n"/>
      <c r="AE199" s="67" t="n"/>
      <c r="AF199" s="67" t="n"/>
      <c r="AG199" s="63" t="n"/>
      <c r="AH199" s="74">
        <f>IF($N199="Completed",1,IF(AND(ISNUMBER($K199),ISNUMBER($L199)),IF($L199&gt;$K199,MIN(1,MAX(0.05,(ReportDate-$K199)/($L199-$K199))),1),1))</f>
        <v>1</v>
      </c>
      <c r="AI199" s="70" t="str">
        <f>IF($B199="","",IF(AND(ISNUMBER($Q199),$Q199&gt;0),$R199/($Q199*$AH199),""))</f>
        <v/>
      </c>
      <c r="AJ199" s="71" t="str">
        <f>IF(ISNUMBER($K199),YEAR($K199)&amp;"-"&amp;TEXT(MONTH($K199),"00"),"")</f>
        <v/>
      </c>
      <c r="AK199" s="71">
        <f>IF($B199="",0,IF(AND(OR(fClient="All",$A199=fClient),OR(fCampaign="All",$B199=fCampaign),OR(fTeam="All",$I199=fTeam),OR(fChannel="All",$H199=fChannel),OR(fCStatus="All",$N199=fCStatus)),1,0))</f>
        <v>0</v>
      </c>
      <c r="AL199" s="71">
        <f>IF($B199="",0,IF(AND(OR(fClient="All",$A199=fClient),OR(fCampaign="All",$B199=fCampaign),OR(fTeam="All",$I199=fTeam),OR(fChannel="All",$H199=fChannel)),1,0))</f>
        <v>0</v>
      </c>
      <c r="AM199" s="71">
        <f>IF(OR($N199="Live",$N199="Optimizing"),1,0)</f>
        <v>0</v>
      </c>
      <c r="AN199" s="71">
        <f>IF(OR($N199="Live",$N199="Optimizing",$N199="Paused",$N199="Completed"),1,0)</f>
        <v>0</v>
      </c>
      <c r="AO199" s="71">
        <f>IF(AND($AM199=1,ISNUMBER($L199),NOT(ISNUMBER($M199))),IF($L199&lt;ReportDate,1,0),0)</f>
        <v>0</v>
      </c>
      <c r="AP199" s="71">
        <f>IF($AM199=1,IF(ISNUMBER($AG199),IF(ReportDate-$AG199&gt;CampStaleDays,1,0),1),0)</f>
        <v>0</v>
      </c>
      <c r="AQ199" s="71">
        <f>IF(AND($AM199=1,OR($AA199="Behind",$AA199="At Risk")),1,0)</f>
        <v>0</v>
      </c>
      <c r="AR199" s="71">
        <f>IF(AND($AM199=1,OR($AA199="Ahead",$AA199="On Track")),1,0)</f>
        <v>0</v>
      </c>
      <c r="AS199" s="71">
        <f>IF(OR($AQ199=1,$AP199=1,$AO199=1),1,0)</f>
        <v>0</v>
      </c>
      <c r="AT199" s="71" t="str">
        <f>IF($AS199=1,TRIM(IF($AQ199=1,"Low performance. ","")&amp;IF($AP199=1,"No recent update. ","")&amp;IF($AO199=1,"Past planned end. ","")),"")</f>
        <v/>
      </c>
      <c r="AU199" s="71" t="str">
        <f>IF(AND($AS199=1,$AL199=1),ROW(),"")</f>
        <v/>
      </c>
      <c r="AV199" s="71" t="str">
        <f>IF(AND($AQ199=1,$AL199=1),ROW(),"")</f>
        <v/>
      </c>
      <c r="AW199" s="71" t="str">
        <f>IF(AND($AP199=1,$AL199=1),ROW(),"")</f>
        <v/>
      </c>
      <c r="AX199" s="71" t="str">
        <f>IF(AND($AR199=1,$AL199=1),ROW(),"")</f>
        <v/>
      </c>
      <c r="AY199" s="71">
        <f>IF(AND($B199&lt;&gt;"",$A199=TCL_Client),1,0)</f>
        <v>0</v>
      </c>
      <c r="AZ199" s="71" t="str">
        <f>IF($AY199=1,ROW(),"")</f>
        <v/>
      </c>
      <c r="BA199" s="71">
        <f>IF(AND($B199&lt;&gt;"",$A199=MECCA_Client),1,0)</f>
        <v>0</v>
      </c>
      <c r="BB199" s="71" t="str">
        <f>IF($BA199=1,ROW(),"")</f>
        <v/>
      </c>
    </row>
    <row r="200">
      <c r="A200" s="64" t="n"/>
      <c r="B200" s="65" t="n"/>
      <c r="C200" s="64" t="n"/>
      <c r="D200" s="64" t="n"/>
      <c r="E200" s="64" t="n"/>
      <c r="F200" s="65" t="n"/>
      <c r="G200" s="65" t="n"/>
      <c r="H200" s="64" t="n"/>
      <c r="I200" s="64" t="n"/>
      <c r="J200" s="65" t="n"/>
      <c r="K200" s="63" t="n"/>
      <c r="L200" s="63" t="n"/>
      <c r="M200" s="63" t="n"/>
      <c r="N200" s="64" t="n"/>
      <c r="O200" s="67" t="n"/>
      <c r="P200" s="72" t="str">
        <f>IF($B200="","",SUMIFS('PAID MEDIA ADS'!$G$5:$G$804,'PAID MEDIA ADS'!$C$5:$C$804,$B200))</f>
        <v/>
      </c>
      <c r="Q200" s="67" t="n"/>
      <c r="R200" s="72" t="str">
        <f>IF($B200="","",COUNTIFS('LEAD MQL TRACKER'!$C$5:$C$1004,$B200,'LEAD MQL TRACKER'!$AB$5:$AB$1004,1)+SUMIFS('EMAIL MARKETING'!$Q$5:$Q$804,'EMAIL MARKETING'!$C$5:$C$804,$B200)+SUMIFS('PAID MEDIA ADS'!$M$5:$M$804,'PAID MEDIA ADS'!$C$5:$C$804,$B200)+SUMIFS('LINKEDIN OUTREACH'!$N$5:$N$704,'LINKEDIN OUTREACH'!$C$5:$C$704,$B200))</f>
        <v/>
      </c>
      <c r="S200" s="67" t="n"/>
      <c r="T200" s="72" t="str">
        <f>IF($B200="","",COUNTIFS('LEAD MQL TRACKER'!$C$5:$C$1004,$B200,'LEAD MQL TRACKER'!$AD$5:$AD$1004,1)+SUMIFS('EMAIL MARKETING'!$R$5:$R$804,'EMAIL MARKETING'!$C$5:$C$804,$B200)+SUMIFS('PAID MEDIA ADS'!$N$5:$N$804,'PAID MEDIA ADS'!$C$5:$C$804,$B200)+SUMIFS('LINKEDIN OUTREACH'!$O$5:$O$704,'LINKEDIN OUTREACH'!$C$5:$C$704,$B200))</f>
        <v/>
      </c>
      <c r="U200" s="67" t="n"/>
      <c r="V200" s="72" t="str">
        <f>IF($B200="","",COUNTIFS('LEAD MQL TRACKER'!$C$5:$C$1004,$B200,'LEAD MQL TRACKER'!$AE$5:$AE$1004,1))</f>
        <v/>
      </c>
      <c r="W200" s="72" t="str">
        <f>IF($B200="","",COUNTIFS('LEAD MQL TRACKER'!$C$5:$C$1004,$B200,'LEAD MQL TRACKER'!$AC$5:$AC$1004,1)+SUMIFS('LINKEDIN OUTREACH'!$M$5:$M$704,'LINKEDIN OUTREACH'!$C$5:$C$704,$B200))</f>
        <v/>
      </c>
      <c r="X200" s="72" t="str">
        <f>IF($B200="","",SUMIFS('EMAIL MARKETING'!$O$5:$O$804,'EMAIL MARKETING'!$C$5:$C$804,$B200)+SUMIFS('LINKEDIN OUTREACH'!$K$5:$K$704,'LINKEDIN OUTREACH'!$C$5:$C$704,$B200))</f>
        <v/>
      </c>
      <c r="Y200" s="73" t="str">
        <f>IF(ISNUMBER($R200),IF($R200&gt;0,$T200/$R200,""),"")</f>
        <v/>
      </c>
      <c r="Z200" s="72" t="str">
        <f>IF(AND(ISNUMBER($P200),ISNUMBER($R200)),IF(AND($P200&gt;0,$R200&gt;0),$P200/$R200,""),"")</f>
        <v/>
      </c>
      <c r="AA200" s="71" t="str">
        <f>IF($B200="","",IF(OR($N200="Live",$N200="Optimizing",$N200="Paused",$N200="Completed"),IF(ISNUMBER($AI200),IF($AI200&gt;=1,"Ahead",IF($AI200&gt;=OnTrackPct,"On Track",IF($AI200&gt;=WatchPct,"Behind","At Risk"))),"No Target Set"),"Not Live"))</f>
        <v/>
      </c>
      <c r="AB200" s="65" t="n"/>
      <c r="AC200" s="65" t="n"/>
      <c r="AD200" s="65" t="n"/>
      <c r="AE200" s="67" t="n"/>
      <c r="AF200" s="67" t="n"/>
      <c r="AG200" s="63" t="n"/>
      <c r="AH200" s="74">
        <f>IF($N200="Completed",1,IF(AND(ISNUMBER($K200),ISNUMBER($L200)),IF($L200&gt;$K200,MIN(1,MAX(0.05,(ReportDate-$K200)/($L200-$K200))),1),1))</f>
        <v>1</v>
      </c>
      <c r="AI200" s="70" t="str">
        <f>IF($B200="","",IF(AND(ISNUMBER($Q200),$Q200&gt;0),$R200/($Q200*$AH200),""))</f>
        <v/>
      </c>
      <c r="AJ200" s="71" t="str">
        <f>IF(ISNUMBER($K200),YEAR($K200)&amp;"-"&amp;TEXT(MONTH($K200),"00"),"")</f>
        <v/>
      </c>
      <c r="AK200" s="71">
        <f>IF($B200="",0,IF(AND(OR(fClient="All",$A200=fClient),OR(fCampaign="All",$B200=fCampaign),OR(fTeam="All",$I200=fTeam),OR(fChannel="All",$H200=fChannel),OR(fCStatus="All",$N200=fCStatus)),1,0))</f>
        <v>0</v>
      </c>
      <c r="AL200" s="71">
        <f>IF($B200="",0,IF(AND(OR(fClient="All",$A200=fClient),OR(fCampaign="All",$B200=fCampaign),OR(fTeam="All",$I200=fTeam),OR(fChannel="All",$H200=fChannel)),1,0))</f>
        <v>0</v>
      </c>
      <c r="AM200" s="71">
        <f>IF(OR($N200="Live",$N200="Optimizing"),1,0)</f>
        <v>0</v>
      </c>
      <c r="AN200" s="71">
        <f>IF(OR($N200="Live",$N200="Optimizing",$N200="Paused",$N200="Completed"),1,0)</f>
        <v>0</v>
      </c>
      <c r="AO200" s="71">
        <f>IF(AND($AM200=1,ISNUMBER($L200),NOT(ISNUMBER($M200))),IF($L200&lt;ReportDate,1,0),0)</f>
        <v>0</v>
      </c>
      <c r="AP200" s="71">
        <f>IF($AM200=1,IF(ISNUMBER($AG200),IF(ReportDate-$AG200&gt;CampStaleDays,1,0),1),0)</f>
        <v>0</v>
      </c>
      <c r="AQ200" s="71">
        <f>IF(AND($AM200=1,OR($AA200="Behind",$AA200="At Risk")),1,0)</f>
        <v>0</v>
      </c>
      <c r="AR200" s="71">
        <f>IF(AND($AM200=1,OR($AA200="Ahead",$AA200="On Track")),1,0)</f>
        <v>0</v>
      </c>
      <c r="AS200" s="71">
        <f>IF(OR($AQ200=1,$AP200=1,$AO200=1),1,0)</f>
        <v>0</v>
      </c>
      <c r="AT200" s="71" t="str">
        <f>IF($AS200=1,TRIM(IF($AQ200=1,"Low performance. ","")&amp;IF($AP200=1,"No recent update. ","")&amp;IF($AO200=1,"Past planned end. ","")),"")</f>
        <v/>
      </c>
      <c r="AU200" s="71" t="str">
        <f>IF(AND($AS200=1,$AL200=1),ROW(),"")</f>
        <v/>
      </c>
      <c r="AV200" s="71" t="str">
        <f>IF(AND($AQ200=1,$AL200=1),ROW(),"")</f>
        <v/>
      </c>
      <c r="AW200" s="71" t="str">
        <f>IF(AND($AP200=1,$AL200=1),ROW(),"")</f>
        <v/>
      </c>
      <c r="AX200" s="71" t="str">
        <f>IF(AND($AR200=1,$AL200=1),ROW(),"")</f>
        <v/>
      </c>
      <c r="AY200" s="71">
        <f>IF(AND($B200&lt;&gt;"",$A200=TCL_Client),1,0)</f>
        <v>0</v>
      </c>
      <c r="AZ200" s="71" t="str">
        <f>IF($AY200=1,ROW(),"")</f>
        <v/>
      </c>
      <c r="BA200" s="71">
        <f>IF(AND($B200&lt;&gt;"",$A200=MECCA_Client),1,0)</f>
        <v>0</v>
      </c>
      <c r="BB200" s="71" t="str">
        <f>IF($BA200=1,ROW(),"")</f>
        <v/>
      </c>
    </row>
    <row r="201">
      <c r="A201" s="64" t="n"/>
      <c r="B201" s="65" t="n"/>
      <c r="C201" s="64" t="n"/>
      <c r="D201" s="64" t="n"/>
      <c r="E201" s="64" t="n"/>
      <c r="F201" s="65" t="n"/>
      <c r="G201" s="65" t="n"/>
      <c r="H201" s="64" t="n"/>
      <c r="I201" s="64" t="n"/>
      <c r="J201" s="65" t="n"/>
      <c r="K201" s="63" t="n"/>
      <c r="L201" s="63" t="n"/>
      <c r="M201" s="63" t="n"/>
      <c r="N201" s="64" t="n"/>
      <c r="O201" s="67" t="n"/>
      <c r="P201" s="72" t="str">
        <f>IF($B201="","",SUMIFS('PAID MEDIA ADS'!$G$5:$G$804,'PAID MEDIA ADS'!$C$5:$C$804,$B201))</f>
        <v/>
      </c>
      <c r="Q201" s="67" t="n"/>
      <c r="R201" s="72" t="str">
        <f>IF($B201="","",COUNTIFS('LEAD MQL TRACKER'!$C$5:$C$1004,$B201,'LEAD MQL TRACKER'!$AB$5:$AB$1004,1)+SUMIFS('EMAIL MARKETING'!$Q$5:$Q$804,'EMAIL MARKETING'!$C$5:$C$804,$B201)+SUMIFS('PAID MEDIA ADS'!$M$5:$M$804,'PAID MEDIA ADS'!$C$5:$C$804,$B201)+SUMIFS('LINKEDIN OUTREACH'!$N$5:$N$704,'LINKEDIN OUTREACH'!$C$5:$C$704,$B201))</f>
        <v/>
      </c>
      <c r="S201" s="67" t="n"/>
      <c r="T201" s="72" t="str">
        <f>IF($B201="","",COUNTIFS('LEAD MQL TRACKER'!$C$5:$C$1004,$B201,'LEAD MQL TRACKER'!$AD$5:$AD$1004,1)+SUMIFS('EMAIL MARKETING'!$R$5:$R$804,'EMAIL MARKETING'!$C$5:$C$804,$B201)+SUMIFS('PAID MEDIA ADS'!$N$5:$N$804,'PAID MEDIA ADS'!$C$5:$C$804,$B201)+SUMIFS('LINKEDIN OUTREACH'!$O$5:$O$704,'LINKEDIN OUTREACH'!$C$5:$C$704,$B201))</f>
        <v/>
      </c>
      <c r="U201" s="67" t="n"/>
      <c r="V201" s="72" t="str">
        <f>IF($B201="","",COUNTIFS('LEAD MQL TRACKER'!$C$5:$C$1004,$B201,'LEAD MQL TRACKER'!$AE$5:$AE$1004,1))</f>
        <v/>
      </c>
      <c r="W201" s="72" t="str">
        <f>IF($B201="","",COUNTIFS('LEAD MQL TRACKER'!$C$5:$C$1004,$B201,'LEAD MQL TRACKER'!$AC$5:$AC$1004,1)+SUMIFS('LINKEDIN OUTREACH'!$M$5:$M$704,'LINKEDIN OUTREACH'!$C$5:$C$704,$B201))</f>
        <v/>
      </c>
      <c r="X201" s="72" t="str">
        <f>IF($B201="","",SUMIFS('EMAIL MARKETING'!$O$5:$O$804,'EMAIL MARKETING'!$C$5:$C$804,$B201)+SUMIFS('LINKEDIN OUTREACH'!$K$5:$K$704,'LINKEDIN OUTREACH'!$C$5:$C$704,$B201))</f>
        <v/>
      </c>
      <c r="Y201" s="73" t="str">
        <f>IF(ISNUMBER($R201),IF($R201&gt;0,$T201/$R201,""),"")</f>
        <v/>
      </c>
      <c r="Z201" s="72" t="str">
        <f>IF(AND(ISNUMBER($P201),ISNUMBER($R201)),IF(AND($P201&gt;0,$R201&gt;0),$P201/$R201,""),"")</f>
        <v/>
      </c>
      <c r="AA201" s="71" t="str">
        <f>IF($B201="","",IF(OR($N201="Live",$N201="Optimizing",$N201="Paused",$N201="Completed"),IF(ISNUMBER($AI201),IF($AI201&gt;=1,"Ahead",IF($AI201&gt;=OnTrackPct,"On Track",IF($AI201&gt;=WatchPct,"Behind","At Risk"))),"No Target Set"),"Not Live"))</f>
        <v/>
      </c>
      <c r="AB201" s="65" t="n"/>
      <c r="AC201" s="65" t="n"/>
      <c r="AD201" s="65" t="n"/>
      <c r="AE201" s="67" t="n"/>
      <c r="AF201" s="67" t="n"/>
      <c r="AG201" s="63" t="n"/>
      <c r="AH201" s="74">
        <f>IF($N201="Completed",1,IF(AND(ISNUMBER($K201),ISNUMBER($L201)),IF($L201&gt;$K201,MIN(1,MAX(0.05,(ReportDate-$K201)/($L201-$K201))),1),1))</f>
        <v>1</v>
      </c>
      <c r="AI201" s="70" t="str">
        <f>IF($B201="","",IF(AND(ISNUMBER($Q201),$Q201&gt;0),$R201/($Q201*$AH201),""))</f>
        <v/>
      </c>
      <c r="AJ201" s="71" t="str">
        <f>IF(ISNUMBER($K201),YEAR($K201)&amp;"-"&amp;TEXT(MONTH($K201),"00"),"")</f>
        <v/>
      </c>
      <c r="AK201" s="71">
        <f>IF($B201="",0,IF(AND(OR(fClient="All",$A201=fClient),OR(fCampaign="All",$B201=fCampaign),OR(fTeam="All",$I201=fTeam),OR(fChannel="All",$H201=fChannel),OR(fCStatus="All",$N201=fCStatus)),1,0))</f>
        <v>0</v>
      </c>
      <c r="AL201" s="71">
        <f>IF($B201="",0,IF(AND(OR(fClient="All",$A201=fClient),OR(fCampaign="All",$B201=fCampaign),OR(fTeam="All",$I201=fTeam),OR(fChannel="All",$H201=fChannel)),1,0))</f>
        <v>0</v>
      </c>
      <c r="AM201" s="71">
        <f>IF(OR($N201="Live",$N201="Optimizing"),1,0)</f>
        <v>0</v>
      </c>
      <c r="AN201" s="71">
        <f>IF(OR($N201="Live",$N201="Optimizing",$N201="Paused",$N201="Completed"),1,0)</f>
        <v>0</v>
      </c>
      <c r="AO201" s="71">
        <f>IF(AND($AM201=1,ISNUMBER($L201),NOT(ISNUMBER($M201))),IF($L201&lt;ReportDate,1,0),0)</f>
        <v>0</v>
      </c>
      <c r="AP201" s="71">
        <f>IF($AM201=1,IF(ISNUMBER($AG201),IF(ReportDate-$AG201&gt;CampStaleDays,1,0),1),0)</f>
        <v>0</v>
      </c>
      <c r="AQ201" s="71">
        <f>IF(AND($AM201=1,OR($AA201="Behind",$AA201="At Risk")),1,0)</f>
        <v>0</v>
      </c>
      <c r="AR201" s="71">
        <f>IF(AND($AM201=1,OR($AA201="Ahead",$AA201="On Track")),1,0)</f>
        <v>0</v>
      </c>
      <c r="AS201" s="71">
        <f>IF(OR($AQ201=1,$AP201=1,$AO201=1),1,0)</f>
        <v>0</v>
      </c>
      <c r="AT201" s="71" t="str">
        <f>IF($AS201=1,TRIM(IF($AQ201=1,"Low performance. ","")&amp;IF($AP201=1,"No recent update. ","")&amp;IF($AO201=1,"Past planned end. ","")),"")</f>
        <v/>
      </c>
      <c r="AU201" s="71" t="str">
        <f>IF(AND($AS201=1,$AL201=1),ROW(),"")</f>
        <v/>
      </c>
      <c r="AV201" s="71" t="str">
        <f>IF(AND($AQ201=1,$AL201=1),ROW(),"")</f>
        <v/>
      </c>
      <c r="AW201" s="71" t="str">
        <f>IF(AND($AP201=1,$AL201=1),ROW(),"")</f>
        <v/>
      </c>
      <c r="AX201" s="71" t="str">
        <f>IF(AND($AR201=1,$AL201=1),ROW(),"")</f>
        <v/>
      </c>
      <c r="AY201" s="71">
        <f>IF(AND($B201&lt;&gt;"",$A201=TCL_Client),1,0)</f>
        <v>0</v>
      </c>
      <c r="AZ201" s="71" t="str">
        <f>IF($AY201=1,ROW(),"")</f>
        <v/>
      </c>
      <c r="BA201" s="71">
        <f>IF(AND($B201&lt;&gt;"",$A201=MECCA_Client),1,0)</f>
        <v>0</v>
      </c>
      <c r="BB201" s="71" t="str">
        <f>IF($BA201=1,ROW(),"")</f>
        <v/>
      </c>
    </row>
    <row r="202">
      <c r="A202" s="64" t="n"/>
      <c r="B202" s="65" t="n"/>
      <c r="C202" s="64" t="n"/>
      <c r="D202" s="64" t="n"/>
      <c r="E202" s="64" t="n"/>
      <c r="F202" s="65" t="n"/>
      <c r="G202" s="65" t="n"/>
      <c r="H202" s="64" t="n"/>
      <c r="I202" s="64" t="n"/>
      <c r="J202" s="65" t="n"/>
      <c r="K202" s="63" t="n"/>
      <c r="L202" s="63" t="n"/>
      <c r="M202" s="63" t="n"/>
      <c r="N202" s="64" t="n"/>
      <c r="O202" s="67" t="n"/>
      <c r="P202" s="72" t="str">
        <f>IF($B202="","",SUMIFS('PAID MEDIA ADS'!$G$5:$G$804,'PAID MEDIA ADS'!$C$5:$C$804,$B202))</f>
        <v/>
      </c>
      <c r="Q202" s="67" t="n"/>
      <c r="R202" s="72" t="str">
        <f>IF($B202="","",COUNTIFS('LEAD MQL TRACKER'!$C$5:$C$1004,$B202,'LEAD MQL TRACKER'!$AB$5:$AB$1004,1)+SUMIFS('EMAIL MARKETING'!$Q$5:$Q$804,'EMAIL MARKETING'!$C$5:$C$804,$B202)+SUMIFS('PAID MEDIA ADS'!$M$5:$M$804,'PAID MEDIA ADS'!$C$5:$C$804,$B202)+SUMIFS('LINKEDIN OUTREACH'!$N$5:$N$704,'LINKEDIN OUTREACH'!$C$5:$C$704,$B202))</f>
        <v/>
      </c>
      <c r="S202" s="67" t="n"/>
      <c r="T202" s="72" t="str">
        <f>IF($B202="","",COUNTIFS('LEAD MQL TRACKER'!$C$5:$C$1004,$B202,'LEAD MQL TRACKER'!$AD$5:$AD$1004,1)+SUMIFS('EMAIL MARKETING'!$R$5:$R$804,'EMAIL MARKETING'!$C$5:$C$804,$B202)+SUMIFS('PAID MEDIA ADS'!$N$5:$N$804,'PAID MEDIA ADS'!$C$5:$C$804,$B202)+SUMIFS('LINKEDIN OUTREACH'!$O$5:$O$704,'LINKEDIN OUTREACH'!$C$5:$C$704,$B202))</f>
        <v/>
      </c>
      <c r="U202" s="67" t="n"/>
      <c r="V202" s="72" t="str">
        <f>IF($B202="","",COUNTIFS('LEAD MQL TRACKER'!$C$5:$C$1004,$B202,'LEAD MQL TRACKER'!$AE$5:$AE$1004,1))</f>
        <v/>
      </c>
      <c r="W202" s="72" t="str">
        <f>IF($B202="","",COUNTIFS('LEAD MQL TRACKER'!$C$5:$C$1004,$B202,'LEAD MQL TRACKER'!$AC$5:$AC$1004,1)+SUMIFS('LINKEDIN OUTREACH'!$M$5:$M$704,'LINKEDIN OUTREACH'!$C$5:$C$704,$B202))</f>
        <v/>
      </c>
      <c r="X202" s="72" t="str">
        <f>IF($B202="","",SUMIFS('EMAIL MARKETING'!$O$5:$O$804,'EMAIL MARKETING'!$C$5:$C$804,$B202)+SUMIFS('LINKEDIN OUTREACH'!$K$5:$K$704,'LINKEDIN OUTREACH'!$C$5:$C$704,$B202))</f>
        <v/>
      </c>
      <c r="Y202" s="73" t="str">
        <f>IF(ISNUMBER($R202),IF($R202&gt;0,$T202/$R202,""),"")</f>
        <v/>
      </c>
      <c r="Z202" s="72" t="str">
        <f>IF(AND(ISNUMBER($P202),ISNUMBER($R202)),IF(AND($P202&gt;0,$R202&gt;0),$P202/$R202,""),"")</f>
        <v/>
      </c>
      <c r="AA202" s="71" t="str">
        <f>IF($B202="","",IF(OR($N202="Live",$N202="Optimizing",$N202="Paused",$N202="Completed"),IF(ISNUMBER($AI202),IF($AI202&gt;=1,"Ahead",IF($AI202&gt;=OnTrackPct,"On Track",IF($AI202&gt;=WatchPct,"Behind","At Risk"))),"No Target Set"),"Not Live"))</f>
        <v/>
      </c>
      <c r="AB202" s="65" t="n"/>
      <c r="AC202" s="65" t="n"/>
      <c r="AD202" s="65" t="n"/>
      <c r="AE202" s="67" t="n"/>
      <c r="AF202" s="67" t="n"/>
      <c r="AG202" s="63" t="n"/>
      <c r="AH202" s="74">
        <f>IF($N202="Completed",1,IF(AND(ISNUMBER($K202),ISNUMBER($L202)),IF($L202&gt;$K202,MIN(1,MAX(0.05,(ReportDate-$K202)/($L202-$K202))),1),1))</f>
        <v>1</v>
      </c>
      <c r="AI202" s="70" t="str">
        <f>IF($B202="","",IF(AND(ISNUMBER($Q202),$Q202&gt;0),$R202/($Q202*$AH202),""))</f>
        <v/>
      </c>
      <c r="AJ202" s="71" t="str">
        <f>IF(ISNUMBER($K202),YEAR($K202)&amp;"-"&amp;TEXT(MONTH($K202),"00"),"")</f>
        <v/>
      </c>
      <c r="AK202" s="71">
        <f>IF($B202="",0,IF(AND(OR(fClient="All",$A202=fClient),OR(fCampaign="All",$B202=fCampaign),OR(fTeam="All",$I202=fTeam),OR(fChannel="All",$H202=fChannel),OR(fCStatus="All",$N202=fCStatus)),1,0))</f>
        <v>0</v>
      </c>
      <c r="AL202" s="71">
        <f>IF($B202="",0,IF(AND(OR(fClient="All",$A202=fClient),OR(fCampaign="All",$B202=fCampaign),OR(fTeam="All",$I202=fTeam),OR(fChannel="All",$H202=fChannel)),1,0))</f>
        <v>0</v>
      </c>
      <c r="AM202" s="71">
        <f>IF(OR($N202="Live",$N202="Optimizing"),1,0)</f>
        <v>0</v>
      </c>
      <c r="AN202" s="71">
        <f>IF(OR($N202="Live",$N202="Optimizing",$N202="Paused",$N202="Completed"),1,0)</f>
        <v>0</v>
      </c>
      <c r="AO202" s="71">
        <f>IF(AND($AM202=1,ISNUMBER($L202),NOT(ISNUMBER($M202))),IF($L202&lt;ReportDate,1,0),0)</f>
        <v>0</v>
      </c>
      <c r="AP202" s="71">
        <f>IF($AM202=1,IF(ISNUMBER($AG202),IF(ReportDate-$AG202&gt;CampStaleDays,1,0),1),0)</f>
        <v>0</v>
      </c>
      <c r="AQ202" s="71">
        <f>IF(AND($AM202=1,OR($AA202="Behind",$AA202="At Risk")),1,0)</f>
        <v>0</v>
      </c>
      <c r="AR202" s="71">
        <f>IF(AND($AM202=1,OR($AA202="Ahead",$AA202="On Track")),1,0)</f>
        <v>0</v>
      </c>
      <c r="AS202" s="71">
        <f>IF(OR($AQ202=1,$AP202=1,$AO202=1),1,0)</f>
        <v>0</v>
      </c>
      <c r="AT202" s="71" t="str">
        <f>IF($AS202=1,TRIM(IF($AQ202=1,"Low performance. ","")&amp;IF($AP202=1,"No recent update. ","")&amp;IF($AO202=1,"Past planned end. ","")),"")</f>
        <v/>
      </c>
      <c r="AU202" s="71" t="str">
        <f>IF(AND($AS202=1,$AL202=1),ROW(),"")</f>
        <v/>
      </c>
      <c r="AV202" s="71" t="str">
        <f>IF(AND($AQ202=1,$AL202=1),ROW(),"")</f>
        <v/>
      </c>
      <c r="AW202" s="71" t="str">
        <f>IF(AND($AP202=1,$AL202=1),ROW(),"")</f>
        <v/>
      </c>
      <c r="AX202" s="71" t="str">
        <f>IF(AND($AR202=1,$AL202=1),ROW(),"")</f>
        <v/>
      </c>
      <c r="AY202" s="71">
        <f>IF(AND($B202&lt;&gt;"",$A202=TCL_Client),1,0)</f>
        <v>0</v>
      </c>
      <c r="AZ202" s="71" t="str">
        <f>IF($AY202=1,ROW(),"")</f>
        <v/>
      </c>
      <c r="BA202" s="71">
        <f>IF(AND($B202&lt;&gt;"",$A202=MECCA_Client),1,0)</f>
        <v>0</v>
      </c>
      <c r="BB202" s="71" t="str">
        <f>IF($BA202=1,ROW(),"")</f>
        <v/>
      </c>
    </row>
    <row r="203">
      <c r="A203" s="64" t="n"/>
      <c r="B203" s="65" t="n"/>
      <c r="C203" s="64" t="n"/>
      <c r="D203" s="64" t="n"/>
      <c r="E203" s="64" t="n"/>
      <c r="F203" s="65" t="n"/>
      <c r="G203" s="65" t="n"/>
      <c r="H203" s="64" t="n"/>
      <c r="I203" s="64" t="n"/>
      <c r="J203" s="65" t="n"/>
      <c r="K203" s="63" t="n"/>
      <c r="L203" s="63" t="n"/>
      <c r="M203" s="63" t="n"/>
      <c r="N203" s="64" t="n"/>
      <c r="O203" s="67" t="n"/>
      <c r="P203" s="72" t="str">
        <f>IF($B203="","",SUMIFS('PAID MEDIA ADS'!$G$5:$G$804,'PAID MEDIA ADS'!$C$5:$C$804,$B203))</f>
        <v/>
      </c>
      <c r="Q203" s="67" t="n"/>
      <c r="R203" s="72" t="str">
        <f>IF($B203="","",COUNTIFS('LEAD MQL TRACKER'!$C$5:$C$1004,$B203,'LEAD MQL TRACKER'!$AB$5:$AB$1004,1)+SUMIFS('EMAIL MARKETING'!$Q$5:$Q$804,'EMAIL MARKETING'!$C$5:$C$804,$B203)+SUMIFS('PAID MEDIA ADS'!$M$5:$M$804,'PAID MEDIA ADS'!$C$5:$C$804,$B203)+SUMIFS('LINKEDIN OUTREACH'!$N$5:$N$704,'LINKEDIN OUTREACH'!$C$5:$C$704,$B203))</f>
        <v/>
      </c>
      <c r="S203" s="67" t="n"/>
      <c r="T203" s="72" t="str">
        <f>IF($B203="","",COUNTIFS('LEAD MQL TRACKER'!$C$5:$C$1004,$B203,'LEAD MQL TRACKER'!$AD$5:$AD$1004,1)+SUMIFS('EMAIL MARKETING'!$R$5:$R$804,'EMAIL MARKETING'!$C$5:$C$804,$B203)+SUMIFS('PAID MEDIA ADS'!$N$5:$N$804,'PAID MEDIA ADS'!$C$5:$C$804,$B203)+SUMIFS('LINKEDIN OUTREACH'!$O$5:$O$704,'LINKEDIN OUTREACH'!$C$5:$C$704,$B203))</f>
        <v/>
      </c>
      <c r="U203" s="67" t="n"/>
      <c r="V203" s="72" t="str">
        <f>IF($B203="","",COUNTIFS('LEAD MQL TRACKER'!$C$5:$C$1004,$B203,'LEAD MQL TRACKER'!$AE$5:$AE$1004,1))</f>
        <v/>
      </c>
      <c r="W203" s="72" t="str">
        <f>IF($B203="","",COUNTIFS('LEAD MQL TRACKER'!$C$5:$C$1004,$B203,'LEAD MQL TRACKER'!$AC$5:$AC$1004,1)+SUMIFS('LINKEDIN OUTREACH'!$M$5:$M$704,'LINKEDIN OUTREACH'!$C$5:$C$704,$B203))</f>
        <v/>
      </c>
      <c r="X203" s="72" t="str">
        <f>IF($B203="","",SUMIFS('EMAIL MARKETING'!$O$5:$O$804,'EMAIL MARKETING'!$C$5:$C$804,$B203)+SUMIFS('LINKEDIN OUTREACH'!$K$5:$K$704,'LINKEDIN OUTREACH'!$C$5:$C$704,$B203))</f>
        <v/>
      </c>
      <c r="Y203" s="73" t="str">
        <f>IF(ISNUMBER($R203),IF($R203&gt;0,$T203/$R203,""),"")</f>
        <v/>
      </c>
      <c r="Z203" s="72" t="str">
        <f>IF(AND(ISNUMBER($P203),ISNUMBER($R203)),IF(AND($P203&gt;0,$R203&gt;0),$P203/$R203,""),"")</f>
        <v/>
      </c>
      <c r="AA203" s="71" t="str">
        <f>IF($B203="","",IF(OR($N203="Live",$N203="Optimizing",$N203="Paused",$N203="Completed"),IF(ISNUMBER($AI203),IF($AI203&gt;=1,"Ahead",IF($AI203&gt;=OnTrackPct,"On Track",IF($AI203&gt;=WatchPct,"Behind","At Risk"))),"No Target Set"),"Not Live"))</f>
        <v/>
      </c>
      <c r="AB203" s="65" t="n"/>
      <c r="AC203" s="65" t="n"/>
      <c r="AD203" s="65" t="n"/>
      <c r="AE203" s="67" t="n"/>
      <c r="AF203" s="67" t="n"/>
      <c r="AG203" s="63" t="n"/>
      <c r="AH203" s="74">
        <f>IF($N203="Completed",1,IF(AND(ISNUMBER($K203),ISNUMBER($L203)),IF($L203&gt;$K203,MIN(1,MAX(0.05,(ReportDate-$K203)/($L203-$K203))),1),1))</f>
        <v>1</v>
      </c>
      <c r="AI203" s="70" t="str">
        <f>IF($B203="","",IF(AND(ISNUMBER($Q203),$Q203&gt;0),$R203/($Q203*$AH203),""))</f>
        <v/>
      </c>
      <c r="AJ203" s="71" t="str">
        <f>IF(ISNUMBER($K203),YEAR($K203)&amp;"-"&amp;TEXT(MONTH($K203),"00"),"")</f>
        <v/>
      </c>
      <c r="AK203" s="71">
        <f>IF($B203="",0,IF(AND(OR(fClient="All",$A203=fClient),OR(fCampaign="All",$B203=fCampaign),OR(fTeam="All",$I203=fTeam),OR(fChannel="All",$H203=fChannel),OR(fCStatus="All",$N203=fCStatus)),1,0))</f>
        <v>0</v>
      </c>
      <c r="AL203" s="71">
        <f>IF($B203="",0,IF(AND(OR(fClient="All",$A203=fClient),OR(fCampaign="All",$B203=fCampaign),OR(fTeam="All",$I203=fTeam),OR(fChannel="All",$H203=fChannel)),1,0))</f>
        <v>0</v>
      </c>
      <c r="AM203" s="71">
        <f>IF(OR($N203="Live",$N203="Optimizing"),1,0)</f>
        <v>0</v>
      </c>
      <c r="AN203" s="71">
        <f>IF(OR($N203="Live",$N203="Optimizing",$N203="Paused",$N203="Completed"),1,0)</f>
        <v>0</v>
      </c>
      <c r="AO203" s="71">
        <f>IF(AND($AM203=1,ISNUMBER($L203),NOT(ISNUMBER($M203))),IF($L203&lt;ReportDate,1,0),0)</f>
        <v>0</v>
      </c>
      <c r="AP203" s="71">
        <f>IF($AM203=1,IF(ISNUMBER($AG203),IF(ReportDate-$AG203&gt;CampStaleDays,1,0),1),0)</f>
        <v>0</v>
      </c>
      <c r="AQ203" s="71">
        <f>IF(AND($AM203=1,OR($AA203="Behind",$AA203="At Risk")),1,0)</f>
        <v>0</v>
      </c>
      <c r="AR203" s="71">
        <f>IF(AND($AM203=1,OR($AA203="Ahead",$AA203="On Track")),1,0)</f>
        <v>0</v>
      </c>
      <c r="AS203" s="71">
        <f>IF(OR($AQ203=1,$AP203=1,$AO203=1),1,0)</f>
        <v>0</v>
      </c>
      <c r="AT203" s="71" t="str">
        <f>IF($AS203=1,TRIM(IF($AQ203=1,"Low performance. ","")&amp;IF($AP203=1,"No recent update. ","")&amp;IF($AO203=1,"Past planned end. ","")),"")</f>
        <v/>
      </c>
      <c r="AU203" s="71" t="str">
        <f>IF(AND($AS203=1,$AL203=1),ROW(),"")</f>
        <v/>
      </c>
      <c r="AV203" s="71" t="str">
        <f>IF(AND($AQ203=1,$AL203=1),ROW(),"")</f>
        <v/>
      </c>
      <c r="AW203" s="71" t="str">
        <f>IF(AND($AP203=1,$AL203=1),ROW(),"")</f>
        <v/>
      </c>
      <c r="AX203" s="71" t="str">
        <f>IF(AND($AR203=1,$AL203=1),ROW(),"")</f>
        <v/>
      </c>
      <c r="AY203" s="71">
        <f>IF(AND($B203&lt;&gt;"",$A203=TCL_Client),1,0)</f>
        <v>0</v>
      </c>
      <c r="AZ203" s="71" t="str">
        <f>IF($AY203=1,ROW(),"")</f>
        <v/>
      </c>
      <c r="BA203" s="71">
        <f>IF(AND($B203&lt;&gt;"",$A203=MECCA_Client),1,0)</f>
        <v>0</v>
      </c>
      <c r="BB203" s="71" t="str">
        <f>IF($BA203=1,ROW(),"")</f>
        <v/>
      </c>
    </row>
    <row r="204">
      <c r="A204" s="64" t="n"/>
      <c r="B204" s="65" t="n"/>
      <c r="C204" s="64" t="n"/>
      <c r="D204" s="64" t="n"/>
      <c r="E204" s="64" t="n"/>
      <c r="F204" s="65" t="n"/>
      <c r="G204" s="65" t="n"/>
      <c r="H204" s="64" t="n"/>
      <c r="I204" s="64" t="n"/>
      <c r="J204" s="65" t="n"/>
      <c r="K204" s="63" t="n"/>
      <c r="L204" s="63" t="n"/>
      <c r="M204" s="63" t="n"/>
      <c r="N204" s="64" t="n"/>
      <c r="O204" s="67" t="n"/>
      <c r="P204" s="72" t="str">
        <f>IF($B204="","",SUMIFS('PAID MEDIA ADS'!$G$5:$G$804,'PAID MEDIA ADS'!$C$5:$C$804,$B204))</f>
        <v/>
      </c>
      <c r="Q204" s="67" t="n"/>
      <c r="R204" s="72" t="str">
        <f>IF($B204="","",COUNTIFS('LEAD MQL TRACKER'!$C$5:$C$1004,$B204,'LEAD MQL TRACKER'!$AB$5:$AB$1004,1)+SUMIFS('EMAIL MARKETING'!$Q$5:$Q$804,'EMAIL MARKETING'!$C$5:$C$804,$B204)+SUMIFS('PAID MEDIA ADS'!$M$5:$M$804,'PAID MEDIA ADS'!$C$5:$C$804,$B204)+SUMIFS('LINKEDIN OUTREACH'!$N$5:$N$704,'LINKEDIN OUTREACH'!$C$5:$C$704,$B204))</f>
        <v/>
      </c>
      <c r="S204" s="67" t="n"/>
      <c r="T204" s="72" t="str">
        <f>IF($B204="","",COUNTIFS('LEAD MQL TRACKER'!$C$5:$C$1004,$B204,'LEAD MQL TRACKER'!$AD$5:$AD$1004,1)+SUMIFS('EMAIL MARKETING'!$R$5:$R$804,'EMAIL MARKETING'!$C$5:$C$804,$B204)+SUMIFS('PAID MEDIA ADS'!$N$5:$N$804,'PAID MEDIA ADS'!$C$5:$C$804,$B204)+SUMIFS('LINKEDIN OUTREACH'!$O$5:$O$704,'LINKEDIN OUTREACH'!$C$5:$C$704,$B204))</f>
        <v/>
      </c>
      <c r="U204" s="67" t="n"/>
      <c r="V204" s="72" t="str">
        <f>IF($B204="","",COUNTIFS('LEAD MQL TRACKER'!$C$5:$C$1004,$B204,'LEAD MQL TRACKER'!$AE$5:$AE$1004,1))</f>
        <v/>
      </c>
      <c r="W204" s="72" t="str">
        <f>IF($B204="","",COUNTIFS('LEAD MQL TRACKER'!$C$5:$C$1004,$B204,'LEAD MQL TRACKER'!$AC$5:$AC$1004,1)+SUMIFS('LINKEDIN OUTREACH'!$M$5:$M$704,'LINKEDIN OUTREACH'!$C$5:$C$704,$B204))</f>
        <v/>
      </c>
      <c r="X204" s="72" t="str">
        <f>IF($B204="","",SUMIFS('EMAIL MARKETING'!$O$5:$O$804,'EMAIL MARKETING'!$C$5:$C$804,$B204)+SUMIFS('LINKEDIN OUTREACH'!$K$5:$K$704,'LINKEDIN OUTREACH'!$C$5:$C$704,$B204))</f>
        <v/>
      </c>
      <c r="Y204" s="73" t="str">
        <f>IF(ISNUMBER($R204),IF($R204&gt;0,$T204/$R204,""),"")</f>
        <v/>
      </c>
      <c r="Z204" s="72" t="str">
        <f>IF(AND(ISNUMBER($P204),ISNUMBER($R204)),IF(AND($P204&gt;0,$R204&gt;0),$P204/$R204,""),"")</f>
        <v/>
      </c>
      <c r="AA204" s="71" t="str">
        <f>IF($B204="","",IF(OR($N204="Live",$N204="Optimizing",$N204="Paused",$N204="Completed"),IF(ISNUMBER($AI204),IF($AI204&gt;=1,"Ahead",IF($AI204&gt;=OnTrackPct,"On Track",IF($AI204&gt;=WatchPct,"Behind","At Risk"))),"No Target Set"),"Not Live"))</f>
        <v/>
      </c>
      <c r="AB204" s="65" t="n"/>
      <c r="AC204" s="65" t="n"/>
      <c r="AD204" s="65" t="n"/>
      <c r="AE204" s="67" t="n"/>
      <c r="AF204" s="67" t="n"/>
      <c r="AG204" s="63" t="n"/>
      <c r="AH204" s="74">
        <f>IF($N204="Completed",1,IF(AND(ISNUMBER($K204),ISNUMBER($L204)),IF($L204&gt;$K204,MIN(1,MAX(0.05,(ReportDate-$K204)/($L204-$K204))),1),1))</f>
        <v>1</v>
      </c>
      <c r="AI204" s="70" t="str">
        <f>IF($B204="","",IF(AND(ISNUMBER($Q204),$Q204&gt;0),$R204/($Q204*$AH204),""))</f>
        <v/>
      </c>
      <c r="AJ204" s="71" t="str">
        <f>IF(ISNUMBER($K204),YEAR($K204)&amp;"-"&amp;TEXT(MONTH($K204),"00"),"")</f>
        <v/>
      </c>
      <c r="AK204" s="71">
        <f>IF($B204="",0,IF(AND(OR(fClient="All",$A204=fClient),OR(fCampaign="All",$B204=fCampaign),OR(fTeam="All",$I204=fTeam),OR(fChannel="All",$H204=fChannel),OR(fCStatus="All",$N204=fCStatus)),1,0))</f>
        <v>0</v>
      </c>
      <c r="AL204" s="71">
        <f>IF($B204="",0,IF(AND(OR(fClient="All",$A204=fClient),OR(fCampaign="All",$B204=fCampaign),OR(fTeam="All",$I204=fTeam),OR(fChannel="All",$H204=fChannel)),1,0))</f>
        <v>0</v>
      </c>
      <c r="AM204" s="71">
        <f>IF(OR($N204="Live",$N204="Optimizing"),1,0)</f>
        <v>0</v>
      </c>
      <c r="AN204" s="71">
        <f>IF(OR($N204="Live",$N204="Optimizing",$N204="Paused",$N204="Completed"),1,0)</f>
        <v>0</v>
      </c>
      <c r="AO204" s="71">
        <f>IF(AND($AM204=1,ISNUMBER($L204),NOT(ISNUMBER($M204))),IF($L204&lt;ReportDate,1,0),0)</f>
        <v>0</v>
      </c>
      <c r="AP204" s="71">
        <f>IF($AM204=1,IF(ISNUMBER($AG204),IF(ReportDate-$AG204&gt;CampStaleDays,1,0),1),0)</f>
        <v>0</v>
      </c>
      <c r="AQ204" s="71">
        <f>IF(AND($AM204=1,OR($AA204="Behind",$AA204="At Risk")),1,0)</f>
        <v>0</v>
      </c>
      <c r="AR204" s="71">
        <f>IF(AND($AM204=1,OR($AA204="Ahead",$AA204="On Track")),1,0)</f>
        <v>0</v>
      </c>
      <c r="AS204" s="71">
        <f>IF(OR($AQ204=1,$AP204=1,$AO204=1),1,0)</f>
        <v>0</v>
      </c>
      <c r="AT204" s="71" t="str">
        <f>IF($AS204=1,TRIM(IF($AQ204=1,"Low performance. ","")&amp;IF($AP204=1,"No recent update. ","")&amp;IF($AO204=1,"Past planned end. ","")),"")</f>
        <v/>
      </c>
      <c r="AU204" s="71" t="str">
        <f>IF(AND($AS204=1,$AL204=1),ROW(),"")</f>
        <v/>
      </c>
      <c r="AV204" s="71" t="str">
        <f>IF(AND($AQ204=1,$AL204=1),ROW(),"")</f>
        <v/>
      </c>
      <c r="AW204" s="71" t="str">
        <f>IF(AND($AP204=1,$AL204=1),ROW(),"")</f>
        <v/>
      </c>
      <c r="AX204" s="71" t="str">
        <f>IF(AND($AR204=1,$AL204=1),ROW(),"")</f>
        <v/>
      </c>
      <c r="AY204" s="71">
        <f>IF(AND($B204&lt;&gt;"",$A204=TCL_Client),1,0)</f>
        <v>0</v>
      </c>
      <c r="AZ204" s="71" t="str">
        <f>IF($AY204=1,ROW(),"")</f>
        <v/>
      </c>
      <c r="BA204" s="71">
        <f>IF(AND($B204&lt;&gt;"",$A204=MECCA_Client),1,0)</f>
        <v>0</v>
      </c>
      <c r="BB204" s="71" t="str">
        <f>IF($BA204=1,ROW(),"")</f>
        <v/>
      </c>
    </row>
  </sheetData>
  <mergeCells count="1">
    <mergeCell ref="A1:N1"/>
  </mergeCells>
  <conditionalFormatting sqref="AA5:AA204">
    <cfRule type="expression" priority="1" dxfId="14">
      <formula>$AA5="Ahead"</formula>
    </cfRule>
    <cfRule type="expression" priority="2" dxfId="14">
      <formula>$AA5="On Track"</formula>
    </cfRule>
    <cfRule type="expression" priority="3" dxfId="15">
      <formula>$AA5="Behind"</formula>
    </cfRule>
    <cfRule type="expression" priority="4" dxfId="2">
      <formula>$AA5="At Risk"</formula>
    </cfRule>
  </conditionalFormatting>
  <conditionalFormatting sqref="A5:AG204">
    <cfRule type="expression" priority="5" dxfId="16">
      <formula>$AS5=1</formula>
    </cfRule>
  </conditionalFormatting>
  <conditionalFormatting sqref="N5:N204">
    <cfRule type="expression" priority="6" dxfId="17">
      <formula>$N5="Live"</formula>
    </cfRule>
    <cfRule type="expression" priority="7" dxfId="18">
      <formula>$N5="Optimizing"</formula>
    </cfRule>
    <cfRule type="expression" priority="8" dxfId="5">
      <formula>$N5="Paused"</formula>
    </cfRule>
  </conditionalFormatting>
  <dataValidations count="15">
    <dataValidation sqref="A5:A2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E5:E204" showDropDown="0" showInputMessage="0" showErrorMessage="1" allowBlank="1" errorTitle="Pick from list" error="Please choose a value from the dropdown (lists are maintained in MASTER DATA / CLIENT MASTER / CAMPAIGN MASTER)." type="list" errorStyle="warning">
      <formula1>=lst_Region</formula1>
    </dataValidation>
    <dataValidation sqref="H5:H2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=lst_Channel</formula1>
    </dataValidation>
    <dataValidation sqref="I5:I2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K5:K204" showDropDown="0" showInputMessage="0" showErrorMessage="1" allowBlank="1" errorTitle="Invalid date" error="Enter a valid date, e.g. 05-Oct-2026." type="date" operator="greaterThan">
      <formula1>36526</formula1>
    </dataValidation>
    <dataValidation sqref="L5:L204" showDropDown="0" showInputMessage="0" showErrorMessage="1" allowBlank="1" errorTitle="Invalid date" error="Enter a valid date, e.g. 05-Oct-2026." type="date" operator="greaterThan">
      <formula1>36526</formula1>
    </dataValidation>
    <dataValidation sqref="M5:M204" showDropDown="0" showInputMessage="0" showErrorMessage="1" allowBlank="1" errorTitle="Invalid date" error="Enter a valid date, e.g. 05-Oct-2026." type="date" operator="greaterThan">
      <formula1>36526</formula1>
    </dataValidation>
    <dataValidation sqref="N5:N2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=lst_CampStatus</formula1>
    </dataValidation>
    <dataValidation sqref="O5:O204" showDropDown="0" showInputMessage="0" showErrorMessage="1" allowBlank="1" errorTitle="Invalid number" error="Enter a number (0 or more)." type="decimal" operator="greaterThanOrEqual">
      <formula1>0</formula1>
    </dataValidation>
    <dataValidation sqref="Q5:Q204" showDropDown="0" showInputMessage="0" showErrorMessage="1" allowBlank="1" errorTitle="Invalid number" error="Enter a number (0 or more)." type="decimal" operator="greaterThanOrEqual">
      <formula1>0</formula1>
    </dataValidation>
    <dataValidation sqref="S5:S204" showDropDown="0" showInputMessage="0" showErrorMessage="1" allowBlank="1" errorTitle="Invalid number" error="Enter a number (0 or more)." type="decimal" operator="greaterThanOrEqual">
      <formula1>0</formula1>
    </dataValidation>
    <dataValidation sqref="U5:U204" showDropDown="0" showInputMessage="0" showErrorMessage="1" allowBlank="1" errorTitle="Invalid number" error="Enter a number (0 or more)." type="decimal" operator="greaterThanOrEqual">
      <formula1>0</formula1>
    </dataValidation>
    <dataValidation sqref="AE5:AE204" showDropDown="0" showInputMessage="0" showErrorMessage="1" allowBlank="1" errorTitle="Invalid number" error="Enter a number (0 or more)." type="decimal" operator="greaterThanOrEqual">
      <formula1>0</formula1>
    </dataValidation>
    <dataValidation sqref="AF5:AF204" showDropDown="0" showInputMessage="0" showErrorMessage="1" allowBlank="1" errorTitle="Invalid number" error="Enter a number (0 or more)." type="decimal" operator="greaterThanOrEqual">
      <formula1>0</formula1>
    </dataValidation>
    <dataValidation sqref="AG5:AG204" showDropDown="0" showInputMessage="0" showErrorMessage="1" allowBlank="1" errorTitle="Invalid date" error="Enter a valid date, e.g. 05-Oct-2026." type="date" operator="greaterThan">
      <formula1>36526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I504"/>
  <sheetViews>
    <sheetView showGridLines="0" tabSelected="0" zoomScale="9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1" customWidth="1" min="7" max="7"/>
    <col width="20" customWidth="1" min="8" max="8"/>
    <col width="22" customWidth="1" min="9" max="9"/>
    <col width="20" customWidth="1" min="10" max="10"/>
    <col width="13" customWidth="1" min="11" max="11"/>
    <col width="16" customWidth="1" min="12" max="12"/>
    <col width="14" customWidth="1" min="13" max="13"/>
    <col width="11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26" customWidth="1" min="20" max="20"/>
    <col width="22" customWidth="1" min="21" max="21"/>
    <col width="11" customWidth="1" min="22" max="22"/>
    <col width="28" customWidth="1" min="23" max="23"/>
    <col width="9" customWidth="1" min="24" max="24"/>
    <col width="10" customWidth="1" min="25" max="25"/>
    <col hidden="1" outlineLevel="1" width="10" customWidth="1" min="26" max="35"/>
  </cols>
  <sheetData>
    <row r="1" ht="30" customHeight="1">
      <c r="A1" s="57" t="inlineStr">
        <is>
          <t>LEAD / MQL TRACKER - lead-level funnel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8" t="inlineStr">
        <is>
          <t>BLUE cells = team enters data   |   GREY cells = automatic formulas (do not edit)   |   One row per lead. A row counts only when 'Lead Name/ID' is filled. Do not also add the same leads in the Email/Paid/LinkedIn summary sheets.</t>
        </is>
      </c>
    </row>
    <row r="3">
      <c r="A3" s="59" t="inlineStr">
        <is>
          <t>Example: 05-Oct-26 | TCL | &lt;campaign&gt; | ... | Email | Yes | LD-0001 | Acme Ltd | CIO | India | Surbhi Pandey | New | Pending | Pending | Not Created ...</t>
        </is>
      </c>
    </row>
    <row r="4" ht="34" customHeight="1">
      <c r="A4" s="60" t="inlineStr">
        <is>
          <t>Date</t>
        </is>
      </c>
      <c r="B4" s="60" t="inlineStr">
        <is>
          <t>Client</t>
        </is>
      </c>
      <c r="C4" s="60" t="inlineStr">
        <is>
          <t>Campaign</t>
        </is>
      </c>
      <c r="D4" s="60" t="inlineStr">
        <is>
          <t>Product</t>
        </is>
      </c>
      <c r="E4" s="60" t="inlineStr">
        <is>
          <t>Lead Source</t>
        </is>
      </c>
      <c r="F4" s="60" t="inlineStr">
        <is>
          <t>Channel</t>
        </is>
      </c>
      <c r="G4" s="60" t="inlineStr">
        <is>
          <t>Digital Handraiser</t>
        </is>
      </c>
      <c r="H4" s="60" t="inlineStr">
        <is>
          <t>Lead Name/ID</t>
        </is>
      </c>
      <c r="I4" s="60" t="inlineStr">
        <is>
          <t>Company</t>
        </is>
      </c>
      <c r="J4" s="60" t="inlineStr">
        <is>
          <t>Designation</t>
        </is>
      </c>
      <c r="K4" s="60" t="inlineStr">
        <is>
          <t>Region</t>
        </is>
      </c>
      <c r="L4" s="60" t="inlineStr">
        <is>
          <t>Lead Owner</t>
        </is>
      </c>
      <c r="M4" s="60" t="inlineStr">
        <is>
          <t>Lead Status</t>
        </is>
      </c>
      <c r="N4" s="60" t="inlineStr">
        <is>
          <t>MQL Status</t>
        </is>
      </c>
      <c r="O4" s="60" t="inlineStr">
        <is>
          <t>SQL Status</t>
        </is>
      </c>
      <c r="P4" s="60" t="inlineStr">
        <is>
          <t>Opportunity Status</t>
        </is>
      </c>
      <c r="Q4" s="60" t="inlineStr">
        <is>
          <t>Date Generated</t>
        </is>
      </c>
      <c r="R4" s="60" t="inlineStr">
        <is>
          <t>Date Qualified</t>
        </is>
      </c>
      <c r="S4" s="60" t="inlineStr">
        <is>
          <t>Date Passed to Sales</t>
        </is>
      </c>
      <c r="T4" s="60" t="inlineStr">
        <is>
          <t>Sales Feedback</t>
        </is>
      </c>
      <c r="U4" s="60" t="inlineStr">
        <is>
          <t>Reason Rejected</t>
        </is>
      </c>
      <c r="V4" s="60" t="inlineStr">
        <is>
          <t>Next Follow-up</t>
        </is>
      </c>
      <c r="W4" s="60" t="inlineStr">
        <is>
          <t>Remarks</t>
        </is>
      </c>
      <c r="X4" s="61" t="inlineStr">
        <is>
          <t>Days to Qualify</t>
        </is>
      </c>
      <c r="Y4" s="61" t="inlineStr">
        <is>
          <t>Follow-up Due</t>
        </is>
      </c>
      <c r="Z4" s="62" t="inlineStr">
        <is>
          <t>Key Date</t>
        </is>
      </c>
      <c r="AA4" s="62" t="inlineStr">
        <is>
          <t>Month Key</t>
        </is>
      </c>
      <c r="AB4" s="62" t="inlineStr">
        <is>
          <t>Is Lead</t>
        </is>
      </c>
      <c r="AC4" s="62" t="inlineStr">
        <is>
          <t>Is Handraiser</t>
        </is>
      </c>
      <c r="AD4" s="62" t="inlineStr">
        <is>
          <t>Is MQL</t>
        </is>
      </c>
      <c r="AE4" s="62" t="inlineStr">
        <is>
          <t>Is SQL</t>
        </is>
      </c>
      <c r="AF4" s="62" t="inlineStr">
        <is>
          <t>Is Opportunity</t>
        </is>
      </c>
      <c r="AG4" s="62" t="inlineStr">
        <is>
          <t>Is Converted</t>
        </is>
      </c>
      <c r="AH4" s="62" t="inlineStr">
        <is>
          <t>In Filter</t>
        </is>
      </c>
      <c r="AI4" s="62" t="inlineStr">
        <is>
          <t>In List</t>
        </is>
      </c>
    </row>
    <row r="5">
      <c r="A5" s="63" t="n"/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3" t="n"/>
      <c r="R5" s="63" t="n"/>
      <c r="S5" s="63" t="n"/>
      <c r="T5" s="65" t="n"/>
      <c r="U5" s="65" t="n"/>
      <c r="V5" s="63" t="n"/>
      <c r="W5" s="65" t="n"/>
      <c r="X5" s="69" t="str">
        <f>IF(AND(ISNUMBER($Q5),ISNUMBER($R5)),$R5-$Q5,"")</f>
        <v/>
      </c>
      <c r="Y5" s="71" t="str">
        <f>IF($AB5=1,IF(AND(ISNUMBER($V5),$M5&lt;&gt;"Converted",$M5&lt;&gt;"Rejected"),IF($V5&lt;=ReportDate,"DUE",""),""),"")</f>
        <v/>
      </c>
      <c r="Z5" s="75" t="str">
        <f>IF(ISNUMBER($Q5),$Q5,IF(ISNUMBER($A5),$A5,""))</f>
        <v/>
      </c>
      <c r="AA5" s="71" t="str">
        <f>IF(ISNUMBER($Z5),YEAR($Z5)&amp;"-"&amp;TEXT(MONTH($Z5),"00"),"")</f>
        <v/>
      </c>
      <c r="AB5" s="71">
        <f>IF($H5&lt;&gt;"",1,0)</f>
        <v>0</v>
      </c>
      <c r="AC5" s="71">
        <f>IF(AND($AB5=1,$G5="Yes"),1,0)</f>
        <v>0</v>
      </c>
      <c r="AD5" s="71">
        <f>IF(AND($AB5=1,$N5="MQL"),1,0)</f>
        <v>0</v>
      </c>
      <c r="AE5" s="71">
        <f>IF(AND($AB5=1,$O5="SQL"),1,0)</f>
        <v>0</v>
      </c>
      <c r="AF5" s="71">
        <f>IF(AND($AB5=1,OR($P5="Open",$P5="Won",$P5="Lost")),1,0)</f>
        <v>0</v>
      </c>
      <c r="AG5" s="71">
        <f>IF(AND($AB5=1,OR($M5="Converted",$P5="Won")),1,0)</f>
        <v>0</v>
      </c>
      <c r="AH5" s="71">
        <f>IF($AB5=0,0,IF(AND(OR(fClient="All",$B5=fClient),OR(fCampaign="All",$C5=fCampaign),OR(fTeam="All",$L5=fTeam),OR(fChannel="All",$F5=fChannel),OR(fMonth="All",$AA5=fMonth)),1,0))</f>
        <v>0</v>
      </c>
      <c r="AI5" s="71">
        <f>IF($AB5=0,0,IF(AND(OR(fClient="All",$B5=fClient),OR(fCampaign="All",$C5=fCampaign),OR(fTeam="All",$L5=fTeam),OR(fChannel="All",$F5=fChannel)),1,0))</f>
        <v>0</v>
      </c>
    </row>
    <row r="6">
      <c r="A6" s="63" t="n"/>
      <c r="B6" s="64" t="n"/>
      <c r="C6" s="64" t="n"/>
      <c r="D6" s="64" t="n"/>
      <c r="E6" s="64" t="n"/>
      <c r="F6" s="64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3" t="n"/>
      <c r="R6" s="63" t="n"/>
      <c r="S6" s="63" t="n"/>
      <c r="T6" s="65" t="n"/>
      <c r="U6" s="65" t="n"/>
      <c r="V6" s="63" t="n"/>
      <c r="W6" s="65" t="n"/>
      <c r="X6" s="69" t="str">
        <f>IF(AND(ISNUMBER($Q6),ISNUMBER($R6)),$R6-$Q6,"")</f>
        <v/>
      </c>
      <c r="Y6" s="71" t="str">
        <f>IF($AB6=1,IF(AND(ISNUMBER($V6),$M6&lt;&gt;"Converted",$M6&lt;&gt;"Rejected"),IF($V6&lt;=ReportDate,"DUE",""),""),"")</f>
        <v/>
      </c>
      <c r="Z6" s="75" t="str">
        <f>IF(ISNUMBER($Q6),$Q6,IF(ISNUMBER($A6),$A6,""))</f>
        <v/>
      </c>
      <c r="AA6" s="71" t="str">
        <f>IF(ISNUMBER($Z6),YEAR($Z6)&amp;"-"&amp;TEXT(MONTH($Z6),"00"),"")</f>
        <v/>
      </c>
      <c r="AB6" s="71">
        <f>IF($H6&lt;&gt;"",1,0)</f>
        <v>0</v>
      </c>
      <c r="AC6" s="71">
        <f>IF(AND($AB6=1,$G6="Yes"),1,0)</f>
        <v>0</v>
      </c>
      <c r="AD6" s="71">
        <f>IF(AND($AB6=1,$N6="MQL"),1,0)</f>
        <v>0</v>
      </c>
      <c r="AE6" s="71">
        <f>IF(AND($AB6=1,$O6="SQL"),1,0)</f>
        <v>0</v>
      </c>
      <c r="AF6" s="71">
        <f>IF(AND($AB6=1,OR($P6="Open",$P6="Won",$P6="Lost")),1,0)</f>
        <v>0</v>
      </c>
      <c r="AG6" s="71">
        <f>IF(AND($AB6=1,OR($M6="Converted",$P6="Won")),1,0)</f>
        <v>0</v>
      </c>
      <c r="AH6" s="71">
        <f>IF($AB6=0,0,IF(AND(OR(fClient="All",$B6=fClient),OR(fCampaign="All",$C6=fCampaign),OR(fTeam="All",$L6=fTeam),OR(fChannel="All",$F6=fChannel),OR(fMonth="All",$AA6=fMonth)),1,0))</f>
        <v>0</v>
      </c>
      <c r="AI6" s="71">
        <f>IF($AB6=0,0,IF(AND(OR(fClient="All",$B6=fClient),OR(fCampaign="All",$C6=fCampaign),OR(fTeam="All",$L6=fTeam),OR(fChannel="All",$F6=fChannel)),1,0))</f>
        <v>0</v>
      </c>
    </row>
    <row r="7">
      <c r="A7" s="63" t="n"/>
      <c r="B7" s="64" t="n"/>
      <c r="C7" s="64" t="n"/>
      <c r="D7" s="64" t="n"/>
      <c r="E7" s="64" t="n"/>
      <c r="F7" s="64" t="n"/>
      <c r="G7" s="64" t="n"/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3" t="n"/>
      <c r="R7" s="63" t="n"/>
      <c r="S7" s="63" t="n"/>
      <c r="T7" s="65" t="n"/>
      <c r="U7" s="65" t="n"/>
      <c r="V7" s="63" t="n"/>
      <c r="W7" s="65" t="n"/>
      <c r="X7" s="69" t="str">
        <f>IF(AND(ISNUMBER($Q7),ISNUMBER($R7)),$R7-$Q7,"")</f>
        <v/>
      </c>
      <c r="Y7" s="71" t="str">
        <f>IF($AB7=1,IF(AND(ISNUMBER($V7),$M7&lt;&gt;"Converted",$M7&lt;&gt;"Rejected"),IF($V7&lt;=ReportDate,"DUE",""),""),"")</f>
        <v/>
      </c>
      <c r="Z7" s="75" t="str">
        <f>IF(ISNUMBER($Q7),$Q7,IF(ISNUMBER($A7),$A7,""))</f>
        <v/>
      </c>
      <c r="AA7" s="71" t="str">
        <f>IF(ISNUMBER($Z7),YEAR($Z7)&amp;"-"&amp;TEXT(MONTH($Z7),"00"),"")</f>
        <v/>
      </c>
      <c r="AB7" s="71">
        <f>IF($H7&lt;&gt;"",1,0)</f>
        <v>0</v>
      </c>
      <c r="AC7" s="71">
        <f>IF(AND($AB7=1,$G7="Yes"),1,0)</f>
        <v>0</v>
      </c>
      <c r="AD7" s="71">
        <f>IF(AND($AB7=1,$N7="MQL"),1,0)</f>
        <v>0</v>
      </c>
      <c r="AE7" s="71">
        <f>IF(AND($AB7=1,$O7="SQL"),1,0)</f>
        <v>0</v>
      </c>
      <c r="AF7" s="71">
        <f>IF(AND($AB7=1,OR($P7="Open",$P7="Won",$P7="Lost")),1,0)</f>
        <v>0</v>
      </c>
      <c r="AG7" s="71">
        <f>IF(AND($AB7=1,OR($M7="Converted",$P7="Won")),1,0)</f>
        <v>0</v>
      </c>
      <c r="AH7" s="71">
        <f>IF($AB7=0,0,IF(AND(OR(fClient="All",$B7=fClient),OR(fCampaign="All",$C7=fCampaign),OR(fTeam="All",$L7=fTeam),OR(fChannel="All",$F7=fChannel),OR(fMonth="All",$AA7=fMonth)),1,0))</f>
        <v>0</v>
      </c>
      <c r="AI7" s="71">
        <f>IF($AB7=0,0,IF(AND(OR(fClient="All",$B7=fClient),OR(fCampaign="All",$C7=fCampaign),OR(fTeam="All",$L7=fTeam),OR(fChannel="All",$F7=fChannel)),1,0))</f>
        <v>0</v>
      </c>
    </row>
    <row r="8">
      <c r="A8" s="63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3" t="n"/>
      <c r="R8" s="63" t="n"/>
      <c r="S8" s="63" t="n"/>
      <c r="T8" s="65" t="n"/>
      <c r="U8" s="65" t="n"/>
      <c r="V8" s="63" t="n"/>
      <c r="W8" s="65" t="n"/>
      <c r="X8" s="69" t="str">
        <f>IF(AND(ISNUMBER($Q8),ISNUMBER($R8)),$R8-$Q8,"")</f>
        <v/>
      </c>
      <c r="Y8" s="71" t="str">
        <f>IF($AB8=1,IF(AND(ISNUMBER($V8),$M8&lt;&gt;"Converted",$M8&lt;&gt;"Rejected"),IF($V8&lt;=ReportDate,"DUE",""),""),"")</f>
        <v/>
      </c>
      <c r="Z8" s="75" t="str">
        <f>IF(ISNUMBER($Q8),$Q8,IF(ISNUMBER($A8),$A8,""))</f>
        <v/>
      </c>
      <c r="AA8" s="71" t="str">
        <f>IF(ISNUMBER($Z8),YEAR($Z8)&amp;"-"&amp;TEXT(MONTH($Z8),"00"),"")</f>
        <v/>
      </c>
      <c r="AB8" s="71">
        <f>IF($H8&lt;&gt;"",1,0)</f>
        <v>0</v>
      </c>
      <c r="AC8" s="71">
        <f>IF(AND($AB8=1,$G8="Yes"),1,0)</f>
        <v>0</v>
      </c>
      <c r="AD8" s="71">
        <f>IF(AND($AB8=1,$N8="MQL"),1,0)</f>
        <v>0</v>
      </c>
      <c r="AE8" s="71">
        <f>IF(AND($AB8=1,$O8="SQL"),1,0)</f>
        <v>0</v>
      </c>
      <c r="AF8" s="71">
        <f>IF(AND($AB8=1,OR($P8="Open",$P8="Won",$P8="Lost")),1,0)</f>
        <v>0</v>
      </c>
      <c r="AG8" s="71">
        <f>IF(AND($AB8=1,OR($M8="Converted",$P8="Won")),1,0)</f>
        <v>0</v>
      </c>
      <c r="AH8" s="71">
        <f>IF($AB8=0,0,IF(AND(OR(fClient="All",$B8=fClient),OR(fCampaign="All",$C8=fCampaign),OR(fTeam="All",$L8=fTeam),OR(fChannel="All",$F8=fChannel),OR(fMonth="All",$AA8=fMonth)),1,0))</f>
        <v>0</v>
      </c>
      <c r="AI8" s="71">
        <f>IF($AB8=0,0,IF(AND(OR(fClient="All",$B8=fClient),OR(fCampaign="All",$C8=fCampaign),OR(fTeam="All",$L8=fTeam),OR(fChannel="All",$F8=fChannel)),1,0))</f>
        <v>0</v>
      </c>
    </row>
    <row r="9">
      <c r="A9" s="63" t="n"/>
      <c r="B9" s="64" t="n"/>
      <c r="C9" s="64" t="n"/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3" t="n"/>
      <c r="R9" s="63" t="n"/>
      <c r="S9" s="63" t="n"/>
      <c r="T9" s="65" t="n"/>
      <c r="U9" s="65" t="n"/>
      <c r="V9" s="63" t="n"/>
      <c r="W9" s="65" t="n"/>
      <c r="X9" s="69" t="str">
        <f>IF(AND(ISNUMBER($Q9),ISNUMBER($R9)),$R9-$Q9,"")</f>
        <v/>
      </c>
      <c r="Y9" s="71" t="str">
        <f>IF($AB9=1,IF(AND(ISNUMBER($V9),$M9&lt;&gt;"Converted",$M9&lt;&gt;"Rejected"),IF($V9&lt;=ReportDate,"DUE",""),""),"")</f>
        <v/>
      </c>
      <c r="Z9" s="75" t="str">
        <f>IF(ISNUMBER($Q9),$Q9,IF(ISNUMBER($A9),$A9,""))</f>
        <v/>
      </c>
      <c r="AA9" s="71" t="str">
        <f>IF(ISNUMBER($Z9),YEAR($Z9)&amp;"-"&amp;TEXT(MONTH($Z9),"00"),"")</f>
        <v/>
      </c>
      <c r="AB9" s="71">
        <f>IF($H9&lt;&gt;"",1,0)</f>
        <v>0</v>
      </c>
      <c r="AC9" s="71">
        <f>IF(AND($AB9=1,$G9="Yes"),1,0)</f>
        <v>0</v>
      </c>
      <c r="AD9" s="71">
        <f>IF(AND($AB9=1,$N9="MQL"),1,0)</f>
        <v>0</v>
      </c>
      <c r="AE9" s="71">
        <f>IF(AND($AB9=1,$O9="SQL"),1,0)</f>
        <v>0</v>
      </c>
      <c r="AF9" s="71">
        <f>IF(AND($AB9=1,OR($P9="Open",$P9="Won",$P9="Lost")),1,0)</f>
        <v>0</v>
      </c>
      <c r="AG9" s="71">
        <f>IF(AND($AB9=1,OR($M9="Converted",$P9="Won")),1,0)</f>
        <v>0</v>
      </c>
      <c r="AH9" s="71">
        <f>IF($AB9=0,0,IF(AND(OR(fClient="All",$B9=fClient),OR(fCampaign="All",$C9=fCampaign),OR(fTeam="All",$L9=fTeam),OR(fChannel="All",$F9=fChannel),OR(fMonth="All",$AA9=fMonth)),1,0))</f>
        <v>0</v>
      </c>
      <c r="AI9" s="71">
        <f>IF($AB9=0,0,IF(AND(OR(fClient="All",$B9=fClient),OR(fCampaign="All",$C9=fCampaign),OR(fTeam="All",$L9=fTeam),OR(fChannel="All",$F9=fChannel)),1,0))</f>
        <v>0</v>
      </c>
    </row>
    <row r="10">
      <c r="A10" s="63" t="n"/>
      <c r="B10" s="64" t="n"/>
      <c r="C10" s="64" t="n"/>
      <c r="D10" s="64" t="n"/>
      <c r="E10" s="64" t="n"/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3" t="n"/>
      <c r="R10" s="63" t="n"/>
      <c r="S10" s="63" t="n"/>
      <c r="T10" s="65" t="n"/>
      <c r="U10" s="65" t="n"/>
      <c r="V10" s="63" t="n"/>
      <c r="W10" s="65" t="n"/>
      <c r="X10" s="69" t="str">
        <f>IF(AND(ISNUMBER($Q10),ISNUMBER($R10)),$R10-$Q10,"")</f>
        <v/>
      </c>
      <c r="Y10" s="71" t="str">
        <f>IF($AB10=1,IF(AND(ISNUMBER($V10),$M10&lt;&gt;"Converted",$M10&lt;&gt;"Rejected"),IF($V10&lt;=ReportDate,"DUE",""),""),"")</f>
        <v/>
      </c>
      <c r="Z10" s="75" t="str">
        <f>IF(ISNUMBER($Q10),$Q10,IF(ISNUMBER($A10),$A10,""))</f>
        <v/>
      </c>
      <c r="AA10" s="71" t="str">
        <f>IF(ISNUMBER($Z10),YEAR($Z10)&amp;"-"&amp;TEXT(MONTH($Z10),"00"),"")</f>
        <v/>
      </c>
      <c r="AB10" s="71">
        <f>IF($H10&lt;&gt;"",1,0)</f>
        <v>0</v>
      </c>
      <c r="AC10" s="71">
        <f>IF(AND($AB10=1,$G10="Yes"),1,0)</f>
        <v>0</v>
      </c>
      <c r="AD10" s="71">
        <f>IF(AND($AB10=1,$N10="MQL"),1,0)</f>
        <v>0</v>
      </c>
      <c r="AE10" s="71">
        <f>IF(AND($AB10=1,$O10="SQL"),1,0)</f>
        <v>0</v>
      </c>
      <c r="AF10" s="71">
        <f>IF(AND($AB10=1,OR($P10="Open",$P10="Won",$P10="Lost")),1,0)</f>
        <v>0</v>
      </c>
      <c r="AG10" s="71">
        <f>IF(AND($AB10=1,OR($M10="Converted",$P10="Won")),1,0)</f>
        <v>0</v>
      </c>
      <c r="AH10" s="71">
        <f>IF($AB10=0,0,IF(AND(OR(fClient="All",$B10=fClient),OR(fCampaign="All",$C10=fCampaign),OR(fTeam="All",$L10=fTeam),OR(fChannel="All",$F10=fChannel),OR(fMonth="All",$AA10=fMonth)),1,0))</f>
        <v>0</v>
      </c>
      <c r="AI10" s="71">
        <f>IF($AB10=0,0,IF(AND(OR(fClient="All",$B10=fClient),OR(fCampaign="All",$C10=fCampaign),OR(fTeam="All",$L10=fTeam),OR(fChannel="All",$F10=fChannel)),1,0))</f>
        <v>0</v>
      </c>
    </row>
    <row r="11">
      <c r="A11" s="63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3" t="n"/>
      <c r="R11" s="63" t="n"/>
      <c r="S11" s="63" t="n"/>
      <c r="T11" s="65" t="n"/>
      <c r="U11" s="65" t="n"/>
      <c r="V11" s="63" t="n"/>
      <c r="W11" s="65" t="n"/>
      <c r="X11" s="69" t="str">
        <f>IF(AND(ISNUMBER($Q11),ISNUMBER($R11)),$R11-$Q11,"")</f>
        <v/>
      </c>
      <c r="Y11" s="71" t="str">
        <f>IF($AB11=1,IF(AND(ISNUMBER($V11),$M11&lt;&gt;"Converted",$M11&lt;&gt;"Rejected"),IF($V11&lt;=ReportDate,"DUE",""),""),"")</f>
        <v/>
      </c>
      <c r="Z11" s="75" t="str">
        <f>IF(ISNUMBER($Q11),$Q11,IF(ISNUMBER($A11),$A11,""))</f>
        <v/>
      </c>
      <c r="AA11" s="71" t="str">
        <f>IF(ISNUMBER($Z11),YEAR($Z11)&amp;"-"&amp;TEXT(MONTH($Z11),"00"),"")</f>
        <v/>
      </c>
      <c r="AB11" s="71">
        <f>IF($H11&lt;&gt;"",1,0)</f>
        <v>0</v>
      </c>
      <c r="AC11" s="71">
        <f>IF(AND($AB11=1,$G11="Yes"),1,0)</f>
        <v>0</v>
      </c>
      <c r="AD11" s="71">
        <f>IF(AND($AB11=1,$N11="MQL"),1,0)</f>
        <v>0</v>
      </c>
      <c r="AE11" s="71">
        <f>IF(AND($AB11=1,$O11="SQL"),1,0)</f>
        <v>0</v>
      </c>
      <c r="AF11" s="71">
        <f>IF(AND($AB11=1,OR($P11="Open",$P11="Won",$P11="Lost")),1,0)</f>
        <v>0</v>
      </c>
      <c r="AG11" s="71">
        <f>IF(AND($AB11=1,OR($M11="Converted",$P11="Won")),1,0)</f>
        <v>0</v>
      </c>
      <c r="AH11" s="71">
        <f>IF($AB11=0,0,IF(AND(OR(fClient="All",$B11=fClient),OR(fCampaign="All",$C11=fCampaign),OR(fTeam="All",$L11=fTeam),OR(fChannel="All",$F11=fChannel),OR(fMonth="All",$AA11=fMonth)),1,0))</f>
        <v>0</v>
      </c>
      <c r="AI11" s="71">
        <f>IF($AB11=0,0,IF(AND(OR(fClient="All",$B11=fClient),OR(fCampaign="All",$C11=fCampaign),OR(fTeam="All",$L11=fTeam),OR(fChannel="All",$F11=fChannel)),1,0))</f>
        <v>0</v>
      </c>
    </row>
    <row r="12">
      <c r="A12" s="63" t="n"/>
      <c r="B12" s="64" t="n"/>
      <c r="C12" s="64" t="n"/>
      <c r="D12" s="64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3" t="n"/>
      <c r="R12" s="63" t="n"/>
      <c r="S12" s="63" t="n"/>
      <c r="T12" s="65" t="n"/>
      <c r="U12" s="65" t="n"/>
      <c r="V12" s="63" t="n"/>
      <c r="W12" s="65" t="n"/>
      <c r="X12" s="69" t="str">
        <f>IF(AND(ISNUMBER($Q12),ISNUMBER($R12)),$R12-$Q12,"")</f>
        <v/>
      </c>
      <c r="Y12" s="71" t="str">
        <f>IF($AB12=1,IF(AND(ISNUMBER($V12),$M12&lt;&gt;"Converted",$M12&lt;&gt;"Rejected"),IF($V12&lt;=ReportDate,"DUE",""),""),"")</f>
        <v/>
      </c>
      <c r="Z12" s="75" t="str">
        <f>IF(ISNUMBER($Q12),$Q12,IF(ISNUMBER($A12),$A12,""))</f>
        <v/>
      </c>
      <c r="AA12" s="71" t="str">
        <f>IF(ISNUMBER($Z12),YEAR($Z12)&amp;"-"&amp;TEXT(MONTH($Z12),"00"),"")</f>
        <v/>
      </c>
      <c r="AB12" s="71">
        <f>IF($H12&lt;&gt;"",1,0)</f>
        <v>0</v>
      </c>
      <c r="AC12" s="71">
        <f>IF(AND($AB12=1,$G12="Yes"),1,0)</f>
        <v>0</v>
      </c>
      <c r="AD12" s="71">
        <f>IF(AND($AB12=1,$N12="MQL"),1,0)</f>
        <v>0</v>
      </c>
      <c r="AE12" s="71">
        <f>IF(AND($AB12=1,$O12="SQL"),1,0)</f>
        <v>0</v>
      </c>
      <c r="AF12" s="71">
        <f>IF(AND($AB12=1,OR($P12="Open",$P12="Won",$P12="Lost")),1,0)</f>
        <v>0</v>
      </c>
      <c r="AG12" s="71">
        <f>IF(AND($AB12=1,OR($M12="Converted",$P12="Won")),1,0)</f>
        <v>0</v>
      </c>
      <c r="AH12" s="71">
        <f>IF($AB12=0,0,IF(AND(OR(fClient="All",$B12=fClient),OR(fCampaign="All",$C12=fCampaign),OR(fTeam="All",$L12=fTeam),OR(fChannel="All",$F12=fChannel),OR(fMonth="All",$AA12=fMonth)),1,0))</f>
        <v>0</v>
      </c>
      <c r="AI12" s="71">
        <f>IF($AB12=0,0,IF(AND(OR(fClient="All",$B12=fClient),OR(fCampaign="All",$C12=fCampaign),OR(fTeam="All",$L12=fTeam),OR(fChannel="All",$F12=fChannel)),1,0))</f>
        <v>0</v>
      </c>
    </row>
    <row r="13">
      <c r="A13" s="63" t="n"/>
      <c r="B13" s="64" t="n"/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3" t="n"/>
      <c r="R13" s="63" t="n"/>
      <c r="S13" s="63" t="n"/>
      <c r="T13" s="65" t="n"/>
      <c r="U13" s="65" t="n"/>
      <c r="V13" s="63" t="n"/>
      <c r="W13" s="65" t="n"/>
      <c r="X13" s="69" t="str">
        <f>IF(AND(ISNUMBER($Q13),ISNUMBER($R13)),$R13-$Q13,"")</f>
        <v/>
      </c>
      <c r="Y13" s="71" t="str">
        <f>IF($AB13=1,IF(AND(ISNUMBER($V13),$M13&lt;&gt;"Converted",$M13&lt;&gt;"Rejected"),IF($V13&lt;=ReportDate,"DUE",""),""),"")</f>
        <v/>
      </c>
      <c r="Z13" s="75" t="str">
        <f>IF(ISNUMBER($Q13),$Q13,IF(ISNUMBER($A13),$A13,""))</f>
        <v/>
      </c>
      <c r="AA13" s="71" t="str">
        <f>IF(ISNUMBER($Z13),YEAR($Z13)&amp;"-"&amp;TEXT(MONTH($Z13),"00"),"")</f>
        <v/>
      </c>
      <c r="AB13" s="71">
        <f>IF($H13&lt;&gt;"",1,0)</f>
        <v>0</v>
      </c>
      <c r="AC13" s="71">
        <f>IF(AND($AB13=1,$G13="Yes"),1,0)</f>
        <v>0</v>
      </c>
      <c r="AD13" s="71">
        <f>IF(AND($AB13=1,$N13="MQL"),1,0)</f>
        <v>0</v>
      </c>
      <c r="AE13" s="71">
        <f>IF(AND($AB13=1,$O13="SQL"),1,0)</f>
        <v>0</v>
      </c>
      <c r="AF13" s="71">
        <f>IF(AND($AB13=1,OR($P13="Open",$P13="Won",$P13="Lost")),1,0)</f>
        <v>0</v>
      </c>
      <c r="AG13" s="71">
        <f>IF(AND($AB13=1,OR($M13="Converted",$P13="Won")),1,0)</f>
        <v>0</v>
      </c>
      <c r="AH13" s="71">
        <f>IF($AB13=0,0,IF(AND(OR(fClient="All",$B13=fClient),OR(fCampaign="All",$C13=fCampaign),OR(fTeam="All",$L13=fTeam),OR(fChannel="All",$F13=fChannel),OR(fMonth="All",$AA13=fMonth)),1,0))</f>
        <v>0</v>
      </c>
      <c r="AI13" s="71">
        <f>IF($AB13=0,0,IF(AND(OR(fClient="All",$B13=fClient),OR(fCampaign="All",$C13=fCampaign),OR(fTeam="All",$L13=fTeam),OR(fChannel="All",$F13=fChannel)),1,0))</f>
        <v>0</v>
      </c>
    </row>
    <row r="14">
      <c r="A14" s="63" t="n"/>
      <c r="B14" s="64" t="n"/>
      <c r="C14" s="64" t="n"/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3" t="n"/>
      <c r="R14" s="63" t="n"/>
      <c r="S14" s="63" t="n"/>
      <c r="T14" s="65" t="n"/>
      <c r="U14" s="65" t="n"/>
      <c r="V14" s="63" t="n"/>
      <c r="W14" s="65" t="n"/>
      <c r="X14" s="69" t="str">
        <f>IF(AND(ISNUMBER($Q14),ISNUMBER($R14)),$R14-$Q14,"")</f>
        <v/>
      </c>
      <c r="Y14" s="71" t="str">
        <f>IF($AB14=1,IF(AND(ISNUMBER($V14),$M14&lt;&gt;"Converted",$M14&lt;&gt;"Rejected"),IF($V14&lt;=ReportDate,"DUE",""),""),"")</f>
        <v/>
      </c>
      <c r="Z14" s="75" t="str">
        <f>IF(ISNUMBER($Q14),$Q14,IF(ISNUMBER($A14),$A14,""))</f>
        <v/>
      </c>
      <c r="AA14" s="71" t="str">
        <f>IF(ISNUMBER($Z14),YEAR($Z14)&amp;"-"&amp;TEXT(MONTH($Z14),"00"),"")</f>
        <v/>
      </c>
      <c r="AB14" s="71">
        <f>IF($H14&lt;&gt;"",1,0)</f>
        <v>0</v>
      </c>
      <c r="AC14" s="71">
        <f>IF(AND($AB14=1,$G14="Yes"),1,0)</f>
        <v>0</v>
      </c>
      <c r="AD14" s="71">
        <f>IF(AND($AB14=1,$N14="MQL"),1,0)</f>
        <v>0</v>
      </c>
      <c r="AE14" s="71">
        <f>IF(AND($AB14=1,$O14="SQL"),1,0)</f>
        <v>0</v>
      </c>
      <c r="AF14" s="71">
        <f>IF(AND($AB14=1,OR($P14="Open",$P14="Won",$P14="Lost")),1,0)</f>
        <v>0</v>
      </c>
      <c r="AG14" s="71">
        <f>IF(AND($AB14=1,OR($M14="Converted",$P14="Won")),1,0)</f>
        <v>0</v>
      </c>
      <c r="AH14" s="71">
        <f>IF($AB14=0,0,IF(AND(OR(fClient="All",$B14=fClient),OR(fCampaign="All",$C14=fCampaign),OR(fTeam="All",$L14=fTeam),OR(fChannel="All",$F14=fChannel),OR(fMonth="All",$AA14=fMonth)),1,0))</f>
        <v>0</v>
      </c>
      <c r="AI14" s="71">
        <f>IF($AB14=0,0,IF(AND(OR(fClient="All",$B14=fClient),OR(fCampaign="All",$C14=fCampaign),OR(fTeam="All",$L14=fTeam),OR(fChannel="All",$F14=fChannel)),1,0))</f>
        <v>0</v>
      </c>
    </row>
    <row r="15">
      <c r="A15" s="63" t="n"/>
      <c r="B15" s="64" t="n"/>
      <c r="C15" s="64" t="n"/>
      <c r="D15" s="64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3" t="n"/>
      <c r="R15" s="63" t="n"/>
      <c r="S15" s="63" t="n"/>
      <c r="T15" s="65" t="n"/>
      <c r="U15" s="65" t="n"/>
      <c r="V15" s="63" t="n"/>
      <c r="W15" s="65" t="n"/>
      <c r="X15" s="69" t="str">
        <f>IF(AND(ISNUMBER($Q15),ISNUMBER($R15)),$R15-$Q15,"")</f>
        <v/>
      </c>
      <c r="Y15" s="71" t="str">
        <f>IF($AB15=1,IF(AND(ISNUMBER($V15),$M15&lt;&gt;"Converted",$M15&lt;&gt;"Rejected"),IF($V15&lt;=ReportDate,"DUE",""),""),"")</f>
        <v/>
      </c>
      <c r="Z15" s="75" t="str">
        <f>IF(ISNUMBER($Q15),$Q15,IF(ISNUMBER($A15),$A15,""))</f>
        <v/>
      </c>
      <c r="AA15" s="71" t="str">
        <f>IF(ISNUMBER($Z15),YEAR($Z15)&amp;"-"&amp;TEXT(MONTH($Z15),"00"),"")</f>
        <v/>
      </c>
      <c r="AB15" s="71">
        <f>IF($H15&lt;&gt;"",1,0)</f>
        <v>0</v>
      </c>
      <c r="AC15" s="71">
        <f>IF(AND($AB15=1,$G15="Yes"),1,0)</f>
        <v>0</v>
      </c>
      <c r="AD15" s="71">
        <f>IF(AND($AB15=1,$N15="MQL"),1,0)</f>
        <v>0</v>
      </c>
      <c r="AE15" s="71">
        <f>IF(AND($AB15=1,$O15="SQL"),1,0)</f>
        <v>0</v>
      </c>
      <c r="AF15" s="71">
        <f>IF(AND($AB15=1,OR($P15="Open",$P15="Won",$P15="Lost")),1,0)</f>
        <v>0</v>
      </c>
      <c r="AG15" s="71">
        <f>IF(AND($AB15=1,OR($M15="Converted",$P15="Won")),1,0)</f>
        <v>0</v>
      </c>
      <c r="AH15" s="71">
        <f>IF($AB15=0,0,IF(AND(OR(fClient="All",$B15=fClient),OR(fCampaign="All",$C15=fCampaign),OR(fTeam="All",$L15=fTeam),OR(fChannel="All",$F15=fChannel),OR(fMonth="All",$AA15=fMonth)),1,0))</f>
        <v>0</v>
      </c>
      <c r="AI15" s="71">
        <f>IF($AB15=0,0,IF(AND(OR(fClient="All",$B15=fClient),OR(fCampaign="All",$C15=fCampaign),OR(fTeam="All",$L15=fTeam),OR(fChannel="All",$F15=fChannel)),1,0))</f>
        <v>0</v>
      </c>
    </row>
    <row r="16">
      <c r="A16" s="63" t="n"/>
      <c r="B16" s="64" t="n"/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3" t="n"/>
      <c r="R16" s="63" t="n"/>
      <c r="S16" s="63" t="n"/>
      <c r="T16" s="65" t="n"/>
      <c r="U16" s="65" t="n"/>
      <c r="V16" s="63" t="n"/>
      <c r="W16" s="65" t="n"/>
      <c r="X16" s="69" t="str">
        <f>IF(AND(ISNUMBER($Q16),ISNUMBER($R16)),$R16-$Q16,"")</f>
        <v/>
      </c>
      <c r="Y16" s="71" t="str">
        <f>IF($AB16=1,IF(AND(ISNUMBER($V16),$M16&lt;&gt;"Converted",$M16&lt;&gt;"Rejected"),IF($V16&lt;=ReportDate,"DUE",""),""),"")</f>
        <v/>
      </c>
      <c r="Z16" s="75" t="str">
        <f>IF(ISNUMBER($Q16),$Q16,IF(ISNUMBER($A16),$A16,""))</f>
        <v/>
      </c>
      <c r="AA16" s="71" t="str">
        <f>IF(ISNUMBER($Z16),YEAR($Z16)&amp;"-"&amp;TEXT(MONTH($Z16),"00"),"")</f>
        <v/>
      </c>
      <c r="AB16" s="71">
        <f>IF($H16&lt;&gt;"",1,0)</f>
        <v>0</v>
      </c>
      <c r="AC16" s="71">
        <f>IF(AND($AB16=1,$G16="Yes"),1,0)</f>
        <v>0</v>
      </c>
      <c r="AD16" s="71">
        <f>IF(AND($AB16=1,$N16="MQL"),1,0)</f>
        <v>0</v>
      </c>
      <c r="AE16" s="71">
        <f>IF(AND($AB16=1,$O16="SQL"),1,0)</f>
        <v>0</v>
      </c>
      <c r="AF16" s="71">
        <f>IF(AND($AB16=1,OR($P16="Open",$P16="Won",$P16="Lost")),1,0)</f>
        <v>0</v>
      </c>
      <c r="AG16" s="71">
        <f>IF(AND($AB16=1,OR($M16="Converted",$P16="Won")),1,0)</f>
        <v>0</v>
      </c>
      <c r="AH16" s="71">
        <f>IF($AB16=0,0,IF(AND(OR(fClient="All",$B16=fClient),OR(fCampaign="All",$C16=fCampaign),OR(fTeam="All",$L16=fTeam),OR(fChannel="All",$F16=fChannel),OR(fMonth="All",$AA16=fMonth)),1,0))</f>
        <v>0</v>
      </c>
      <c r="AI16" s="71">
        <f>IF($AB16=0,0,IF(AND(OR(fClient="All",$B16=fClient),OR(fCampaign="All",$C16=fCampaign),OR(fTeam="All",$L16=fTeam),OR(fChannel="All",$F16=fChannel)),1,0))</f>
        <v>0</v>
      </c>
    </row>
    <row r="17">
      <c r="A17" s="63" t="n"/>
      <c r="B17" s="64" t="n"/>
      <c r="C17" s="64" t="n"/>
      <c r="D17" s="64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3" t="n"/>
      <c r="R17" s="63" t="n"/>
      <c r="S17" s="63" t="n"/>
      <c r="T17" s="65" t="n"/>
      <c r="U17" s="65" t="n"/>
      <c r="V17" s="63" t="n"/>
      <c r="W17" s="65" t="n"/>
      <c r="X17" s="69" t="str">
        <f>IF(AND(ISNUMBER($Q17),ISNUMBER($R17)),$R17-$Q17,"")</f>
        <v/>
      </c>
      <c r="Y17" s="71" t="str">
        <f>IF($AB17=1,IF(AND(ISNUMBER($V17),$M17&lt;&gt;"Converted",$M17&lt;&gt;"Rejected"),IF($V17&lt;=ReportDate,"DUE",""),""),"")</f>
        <v/>
      </c>
      <c r="Z17" s="75" t="str">
        <f>IF(ISNUMBER($Q17),$Q17,IF(ISNUMBER($A17),$A17,""))</f>
        <v/>
      </c>
      <c r="AA17" s="71" t="str">
        <f>IF(ISNUMBER($Z17),YEAR($Z17)&amp;"-"&amp;TEXT(MONTH($Z17),"00"),"")</f>
        <v/>
      </c>
      <c r="AB17" s="71">
        <f>IF($H17&lt;&gt;"",1,0)</f>
        <v>0</v>
      </c>
      <c r="AC17" s="71">
        <f>IF(AND($AB17=1,$G17="Yes"),1,0)</f>
        <v>0</v>
      </c>
      <c r="AD17" s="71">
        <f>IF(AND($AB17=1,$N17="MQL"),1,0)</f>
        <v>0</v>
      </c>
      <c r="AE17" s="71">
        <f>IF(AND($AB17=1,$O17="SQL"),1,0)</f>
        <v>0</v>
      </c>
      <c r="AF17" s="71">
        <f>IF(AND($AB17=1,OR($P17="Open",$P17="Won",$P17="Lost")),1,0)</f>
        <v>0</v>
      </c>
      <c r="AG17" s="71">
        <f>IF(AND($AB17=1,OR($M17="Converted",$P17="Won")),1,0)</f>
        <v>0</v>
      </c>
      <c r="AH17" s="71">
        <f>IF($AB17=0,0,IF(AND(OR(fClient="All",$B17=fClient),OR(fCampaign="All",$C17=fCampaign),OR(fTeam="All",$L17=fTeam),OR(fChannel="All",$F17=fChannel),OR(fMonth="All",$AA17=fMonth)),1,0))</f>
        <v>0</v>
      </c>
      <c r="AI17" s="71">
        <f>IF($AB17=0,0,IF(AND(OR(fClient="All",$B17=fClient),OR(fCampaign="All",$C17=fCampaign),OR(fTeam="All",$L17=fTeam),OR(fChannel="All",$F17=fChannel)),1,0))</f>
        <v>0</v>
      </c>
    </row>
    <row r="18">
      <c r="A18" s="63" t="n"/>
      <c r="B18" s="64" t="n"/>
      <c r="C18" s="64" t="n"/>
      <c r="D18" s="64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3" t="n"/>
      <c r="R18" s="63" t="n"/>
      <c r="S18" s="63" t="n"/>
      <c r="T18" s="65" t="n"/>
      <c r="U18" s="65" t="n"/>
      <c r="V18" s="63" t="n"/>
      <c r="W18" s="65" t="n"/>
      <c r="X18" s="69" t="str">
        <f>IF(AND(ISNUMBER($Q18),ISNUMBER($R18)),$R18-$Q18,"")</f>
        <v/>
      </c>
      <c r="Y18" s="71" t="str">
        <f>IF($AB18=1,IF(AND(ISNUMBER($V18),$M18&lt;&gt;"Converted",$M18&lt;&gt;"Rejected"),IF($V18&lt;=ReportDate,"DUE",""),""),"")</f>
        <v/>
      </c>
      <c r="Z18" s="75" t="str">
        <f>IF(ISNUMBER($Q18),$Q18,IF(ISNUMBER($A18),$A18,""))</f>
        <v/>
      </c>
      <c r="AA18" s="71" t="str">
        <f>IF(ISNUMBER($Z18),YEAR($Z18)&amp;"-"&amp;TEXT(MONTH($Z18),"00"),"")</f>
        <v/>
      </c>
      <c r="AB18" s="71">
        <f>IF($H18&lt;&gt;"",1,0)</f>
        <v>0</v>
      </c>
      <c r="AC18" s="71">
        <f>IF(AND($AB18=1,$G18="Yes"),1,0)</f>
        <v>0</v>
      </c>
      <c r="AD18" s="71">
        <f>IF(AND($AB18=1,$N18="MQL"),1,0)</f>
        <v>0</v>
      </c>
      <c r="AE18" s="71">
        <f>IF(AND($AB18=1,$O18="SQL"),1,0)</f>
        <v>0</v>
      </c>
      <c r="AF18" s="71">
        <f>IF(AND($AB18=1,OR($P18="Open",$P18="Won",$P18="Lost")),1,0)</f>
        <v>0</v>
      </c>
      <c r="AG18" s="71">
        <f>IF(AND($AB18=1,OR($M18="Converted",$P18="Won")),1,0)</f>
        <v>0</v>
      </c>
      <c r="AH18" s="71">
        <f>IF($AB18=0,0,IF(AND(OR(fClient="All",$B18=fClient),OR(fCampaign="All",$C18=fCampaign),OR(fTeam="All",$L18=fTeam),OR(fChannel="All",$F18=fChannel),OR(fMonth="All",$AA18=fMonth)),1,0))</f>
        <v>0</v>
      </c>
      <c r="AI18" s="71">
        <f>IF($AB18=0,0,IF(AND(OR(fClient="All",$B18=fClient),OR(fCampaign="All",$C18=fCampaign),OR(fTeam="All",$L18=fTeam),OR(fChannel="All",$F18=fChannel)),1,0))</f>
        <v>0</v>
      </c>
    </row>
    <row r="19">
      <c r="A19" s="63" t="n"/>
      <c r="B19" s="64" t="n"/>
      <c r="C19" s="64" t="n"/>
      <c r="D19" s="64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3" t="n"/>
      <c r="R19" s="63" t="n"/>
      <c r="S19" s="63" t="n"/>
      <c r="T19" s="65" t="n"/>
      <c r="U19" s="65" t="n"/>
      <c r="V19" s="63" t="n"/>
      <c r="W19" s="65" t="n"/>
      <c r="X19" s="69" t="str">
        <f>IF(AND(ISNUMBER($Q19),ISNUMBER($R19)),$R19-$Q19,"")</f>
        <v/>
      </c>
      <c r="Y19" s="71" t="str">
        <f>IF($AB19=1,IF(AND(ISNUMBER($V19),$M19&lt;&gt;"Converted",$M19&lt;&gt;"Rejected"),IF($V19&lt;=ReportDate,"DUE",""),""),"")</f>
        <v/>
      </c>
      <c r="Z19" s="75" t="str">
        <f>IF(ISNUMBER($Q19),$Q19,IF(ISNUMBER($A19),$A19,""))</f>
        <v/>
      </c>
      <c r="AA19" s="71" t="str">
        <f>IF(ISNUMBER($Z19),YEAR($Z19)&amp;"-"&amp;TEXT(MONTH($Z19),"00"),"")</f>
        <v/>
      </c>
      <c r="AB19" s="71">
        <f>IF($H19&lt;&gt;"",1,0)</f>
        <v>0</v>
      </c>
      <c r="AC19" s="71">
        <f>IF(AND($AB19=1,$G19="Yes"),1,0)</f>
        <v>0</v>
      </c>
      <c r="AD19" s="71">
        <f>IF(AND($AB19=1,$N19="MQL"),1,0)</f>
        <v>0</v>
      </c>
      <c r="AE19" s="71">
        <f>IF(AND($AB19=1,$O19="SQL"),1,0)</f>
        <v>0</v>
      </c>
      <c r="AF19" s="71">
        <f>IF(AND($AB19=1,OR($P19="Open",$P19="Won",$P19="Lost")),1,0)</f>
        <v>0</v>
      </c>
      <c r="AG19" s="71">
        <f>IF(AND($AB19=1,OR($M19="Converted",$P19="Won")),1,0)</f>
        <v>0</v>
      </c>
      <c r="AH19" s="71">
        <f>IF($AB19=0,0,IF(AND(OR(fClient="All",$B19=fClient),OR(fCampaign="All",$C19=fCampaign),OR(fTeam="All",$L19=fTeam),OR(fChannel="All",$F19=fChannel),OR(fMonth="All",$AA19=fMonth)),1,0))</f>
        <v>0</v>
      </c>
      <c r="AI19" s="71">
        <f>IF($AB19=0,0,IF(AND(OR(fClient="All",$B19=fClient),OR(fCampaign="All",$C19=fCampaign),OR(fTeam="All",$L19=fTeam),OR(fChannel="All",$F19=fChannel)),1,0))</f>
        <v>0</v>
      </c>
    </row>
    <row r="20">
      <c r="A20" s="63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3" t="n"/>
      <c r="R20" s="63" t="n"/>
      <c r="S20" s="63" t="n"/>
      <c r="T20" s="65" t="n"/>
      <c r="U20" s="65" t="n"/>
      <c r="V20" s="63" t="n"/>
      <c r="W20" s="65" t="n"/>
      <c r="X20" s="69" t="str">
        <f>IF(AND(ISNUMBER($Q20),ISNUMBER($R20)),$R20-$Q20,"")</f>
        <v/>
      </c>
      <c r="Y20" s="71" t="str">
        <f>IF($AB20=1,IF(AND(ISNUMBER($V20),$M20&lt;&gt;"Converted",$M20&lt;&gt;"Rejected"),IF($V20&lt;=ReportDate,"DUE",""),""),"")</f>
        <v/>
      </c>
      <c r="Z20" s="75" t="str">
        <f>IF(ISNUMBER($Q20),$Q20,IF(ISNUMBER($A20),$A20,""))</f>
        <v/>
      </c>
      <c r="AA20" s="71" t="str">
        <f>IF(ISNUMBER($Z20),YEAR($Z20)&amp;"-"&amp;TEXT(MONTH($Z20),"00"),"")</f>
        <v/>
      </c>
      <c r="AB20" s="71">
        <f>IF($H20&lt;&gt;"",1,0)</f>
        <v>0</v>
      </c>
      <c r="AC20" s="71">
        <f>IF(AND($AB20=1,$G20="Yes"),1,0)</f>
        <v>0</v>
      </c>
      <c r="AD20" s="71">
        <f>IF(AND($AB20=1,$N20="MQL"),1,0)</f>
        <v>0</v>
      </c>
      <c r="AE20" s="71">
        <f>IF(AND($AB20=1,$O20="SQL"),1,0)</f>
        <v>0</v>
      </c>
      <c r="AF20" s="71">
        <f>IF(AND($AB20=1,OR($P20="Open",$P20="Won",$P20="Lost")),1,0)</f>
        <v>0</v>
      </c>
      <c r="AG20" s="71">
        <f>IF(AND($AB20=1,OR($M20="Converted",$P20="Won")),1,0)</f>
        <v>0</v>
      </c>
      <c r="AH20" s="71">
        <f>IF($AB20=0,0,IF(AND(OR(fClient="All",$B20=fClient),OR(fCampaign="All",$C20=fCampaign),OR(fTeam="All",$L20=fTeam),OR(fChannel="All",$F20=fChannel),OR(fMonth="All",$AA20=fMonth)),1,0))</f>
        <v>0</v>
      </c>
      <c r="AI20" s="71">
        <f>IF($AB20=0,0,IF(AND(OR(fClient="All",$B20=fClient),OR(fCampaign="All",$C20=fCampaign),OR(fTeam="All",$L20=fTeam),OR(fChannel="All",$F20=fChannel)),1,0))</f>
        <v>0</v>
      </c>
    </row>
    <row r="21">
      <c r="A21" s="63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3" t="n"/>
      <c r="R21" s="63" t="n"/>
      <c r="S21" s="63" t="n"/>
      <c r="T21" s="65" t="n"/>
      <c r="U21" s="65" t="n"/>
      <c r="V21" s="63" t="n"/>
      <c r="W21" s="65" t="n"/>
      <c r="X21" s="69" t="str">
        <f>IF(AND(ISNUMBER($Q21),ISNUMBER($R21)),$R21-$Q21,"")</f>
        <v/>
      </c>
      <c r="Y21" s="71" t="str">
        <f>IF($AB21=1,IF(AND(ISNUMBER($V21),$M21&lt;&gt;"Converted",$M21&lt;&gt;"Rejected"),IF($V21&lt;=ReportDate,"DUE",""),""),"")</f>
        <v/>
      </c>
      <c r="Z21" s="75" t="str">
        <f>IF(ISNUMBER($Q21),$Q21,IF(ISNUMBER($A21),$A21,""))</f>
        <v/>
      </c>
      <c r="AA21" s="71" t="str">
        <f>IF(ISNUMBER($Z21),YEAR($Z21)&amp;"-"&amp;TEXT(MONTH($Z21),"00"),"")</f>
        <v/>
      </c>
      <c r="AB21" s="71">
        <f>IF($H21&lt;&gt;"",1,0)</f>
        <v>0</v>
      </c>
      <c r="AC21" s="71">
        <f>IF(AND($AB21=1,$G21="Yes"),1,0)</f>
        <v>0</v>
      </c>
      <c r="AD21" s="71">
        <f>IF(AND($AB21=1,$N21="MQL"),1,0)</f>
        <v>0</v>
      </c>
      <c r="AE21" s="71">
        <f>IF(AND($AB21=1,$O21="SQL"),1,0)</f>
        <v>0</v>
      </c>
      <c r="AF21" s="71">
        <f>IF(AND($AB21=1,OR($P21="Open",$P21="Won",$P21="Lost")),1,0)</f>
        <v>0</v>
      </c>
      <c r="AG21" s="71">
        <f>IF(AND($AB21=1,OR($M21="Converted",$P21="Won")),1,0)</f>
        <v>0</v>
      </c>
      <c r="AH21" s="71">
        <f>IF($AB21=0,0,IF(AND(OR(fClient="All",$B21=fClient),OR(fCampaign="All",$C21=fCampaign),OR(fTeam="All",$L21=fTeam),OR(fChannel="All",$F21=fChannel),OR(fMonth="All",$AA21=fMonth)),1,0))</f>
        <v>0</v>
      </c>
      <c r="AI21" s="71">
        <f>IF($AB21=0,0,IF(AND(OR(fClient="All",$B21=fClient),OR(fCampaign="All",$C21=fCampaign),OR(fTeam="All",$L21=fTeam),OR(fChannel="All",$F21=fChannel)),1,0))</f>
        <v>0</v>
      </c>
    </row>
    <row r="22">
      <c r="A22" s="63" t="n"/>
      <c r="B22" s="64" t="n"/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3" t="n"/>
      <c r="R22" s="63" t="n"/>
      <c r="S22" s="63" t="n"/>
      <c r="T22" s="65" t="n"/>
      <c r="U22" s="65" t="n"/>
      <c r="V22" s="63" t="n"/>
      <c r="W22" s="65" t="n"/>
      <c r="X22" s="69" t="str">
        <f>IF(AND(ISNUMBER($Q22),ISNUMBER($R22)),$R22-$Q22,"")</f>
        <v/>
      </c>
      <c r="Y22" s="71" t="str">
        <f>IF($AB22=1,IF(AND(ISNUMBER($V22),$M22&lt;&gt;"Converted",$M22&lt;&gt;"Rejected"),IF($V22&lt;=ReportDate,"DUE",""),""),"")</f>
        <v/>
      </c>
      <c r="Z22" s="75" t="str">
        <f>IF(ISNUMBER($Q22),$Q22,IF(ISNUMBER($A22),$A22,""))</f>
        <v/>
      </c>
      <c r="AA22" s="71" t="str">
        <f>IF(ISNUMBER($Z22),YEAR($Z22)&amp;"-"&amp;TEXT(MONTH($Z22),"00"),"")</f>
        <v/>
      </c>
      <c r="AB22" s="71">
        <f>IF($H22&lt;&gt;"",1,0)</f>
        <v>0</v>
      </c>
      <c r="AC22" s="71">
        <f>IF(AND($AB22=1,$G22="Yes"),1,0)</f>
        <v>0</v>
      </c>
      <c r="AD22" s="71">
        <f>IF(AND($AB22=1,$N22="MQL"),1,0)</f>
        <v>0</v>
      </c>
      <c r="AE22" s="71">
        <f>IF(AND($AB22=1,$O22="SQL"),1,0)</f>
        <v>0</v>
      </c>
      <c r="AF22" s="71">
        <f>IF(AND($AB22=1,OR($P22="Open",$P22="Won",$P22="Lost")),1,0)</f>
        <v>0</v>
      </c>
      <c r="AG22" s="71">
        <f>IF(AND($AB22=1,OR($M22="Converted",$P22="Won")),1,0)</f>
        <v>0</v>
      </c>
      <c r="AH22" s="71">
        <f>IF($AB22=0,0,IF(AND(OR(fClient="All",$B22=fClient),OR(fCampaign="All",$C22=fCampaign),OR(fTeam="All",$L22=fTeam),OR(fChannel="All",$F22=fChannel),OR(fMonth="All",$AA22=fMonth)),1,0))</f>
        <v>0</v>
      </c>
      <c r="AI22" s="71">
        <f>IF($AB22=0,0,IF(AND(OR(fClient="All",$B22=fClient),OR(fCampaign="All",$C22=fCampaign),OR(fTeam="All",$L22=fTeam),OR(fChannel="All",$F22=fChannel)),1,0))</f>
        <v>0</v>
      </c>
    </row>
    <row r="23">
      <c r="A23" s="63" t="n"/>
      <c r="B23" s="64" t="n"/>
      <c r="C23" s="64" t="n"/>
      <c r="D23" s="64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3" t="n"/>
      <c r="R23" s="63" t="n"/>
      <c r="S23" s="63" t="n"/>
      <c r="T23" s="65" t="n"/>
      <c r="U23" s="65" t="n"/>
      <c r="V23" s="63" t="n"/>
      <c r="W23" s="65" t="n"/>
      <c r="X23" s="69" t="str">
        <f>IF(AND(ISNUMBER($Q23),ISNUMBER($R23)),$R23-$Q23,"")</f>
        <v/>
      </c>
      <c r="Y23" s="71" t="str">
        <f>IF($AB23=1,IF(AND(ISNUMBER($V23),$M23&lt;&gt;"Converted",$M23&lt;&gt;"Rejected"),IF($V23&lt;=ReportDate,"DUE",""),""),"")</f>
        <v/>
      </c>
      <c r="Z23" s="75" t="str">
        <f>IF(ISNUMBER($Q23),$Q23,IF(ISNUMBER($A23),$A23,""))</f>
        <v/>
      </c>
      <c r="AA23" s="71" t="str">
        <f>IF(ISNUMBER($Z23),YEAR($Z23)&amp;"-"&amp;TEXT(MONTH($Z23),"00"),"")</f>
        <v/>
      </c>
      <c r="AB23" s="71">
        <f>IF($H23&lt;&gt;"",1,0)</f>
        <v>0</v>
      </c>
      <c r="AC23" s="71">
        <f>IF(AND($AB23=1,$G23="Yes"),1,0)</f>
        <v>0</v>
      </c>
      <c r="AD23" s="71">
        <f>IF(AND($AB23=1,$N23="MQL"),1,0)</f>
        <v>0</v>
      </c>
      <c r="AE23" s="71">
        <f>IF(AND($AB23=1,$O23="SQL"),1,0)</f>
        <v>0</v>
      </c>
      <c r="AF23" s="71">
        <f>IF(AND($AB23=1,OR($P23="Open",$P23="Won",$P23="Lost")),1,0)</f>
        <v>0</v>
      </c>
      <c r="AG23" s="71">
        <f>IF(AND($AB23=1,OR($M23="Converted",$P23="Won")),1,0)</f>
        <v>0</v>
      </c>
      <c r="AH23" s="71">
        <f>IF($AB23=0,0,IF(AND(OR(fClient="All",$B23=fClient),OR(fCampaign="All",$C23=fCampaign),OR(fTeam="All",$L23=fTeam),OR(fChannel="All",$F23=fChannel),OR(fMonth="All",$AA23=fMonth)),1,0))</f>
        <v>0</v>
      </c>
      <c r="AI23" s="71">
        <f>IF($AB23=0,0,IF(AND(OR(fClient="All",$B23=fClient),OR(fCampaign="All",$C23=fCampaign),OR(fTeam="All",$L23=fTeam),OR(fChannel="All",$F23=fChannel)),1,0))</f>
        <v>0</v>
      </c>
    </row>
    <row r="24">
      <c r="A24" s="63" t="n"/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3" t="n"/>
      <c r="R24" s="63" t="n"/>
      <c r="S24" s="63" t="n"/>
      <c r="T24" s="65" t="n"/>
      <c r="U24" s="65" t="n"/>
      <c r="V24" s="63" t="n"/>
      <c r="W24" s="65" t="n"/>
      <c r="X24" s="69" t="str">
        <f>IF(AND(ISNUMBER($Q24),ISNUMBER($R24)),$R24-$Q24,"")</f>
        <v/>
      </c>
      <c r="Y24" s="71" t="str">
        <f>IF($AB24=1,IF(AND(ISNUMBER($V24),$M24&lt;&gt;"Converted",$M24&lt;&gt;"Rejected"),IF($V24&lt;=ReportDate,"DUE",""),""),"")</f>
        <v/>
      </c>
      <c r="Z24" s="75" t="str">
        <f>IF(ISNUMBER($Q24),$Q24,IF(ISNUMBER($A24),$A24,""))</f>
        <v/>
      </c>
      <c r="AA24" s="71" t="str">
        <f>IF(ISNUMBER($Z24),YEAR($Z24)&amp;"-"&amp;TEXT(MONTH($Z24),"00"),"")</f>
        <v/>
      </c>
      <c r="AB24" s="71">
        <f>IF($H24&lt;&gt;"",1,0)</f>
        <v>0</v>
      </c>
      <c r="AC24" s="71">
        <f>IF(AND($AB24=1,$G24="Yes"),1,0)</f>
        <v>0</v>
      </c>
      <c r="AD24" s="71">
        <f>IF(AND($AB24=1,$N24="MQL"),1,0)</f>
        <v>0</v>
      </c>
      <c r="AE24" s="71">
        <f>IF(AND($AB24=1,$O24="SQL"),1,0)</f>
        <v>0</v>
      </c>
      <c r="AF24" s="71">
        <f>IF(AND($AB24=1,OR($P24="Open",$P24="Won",$P24="Lost")),1,0)</f>
        <v>0</v>
      </c>
      <c r="AG24" s="71">
        <f>IF(AND($AB24=1,OR($M24="Converted",$P24="Won")),1,0)</f>
        <v>0</v>
      </c>
      <c r="AH24" s="71">
        <f>IF($AB24=0,0,IF(AND(OR(fClient="All",$B24=fClient),OR(fCampaign="All",$C24=fCampaign),OR(fTeam="All",$L24=fTeam),OR(fChannel="All",$F24=fChannel),OR(fMonth="All",$AA24=fMonth)),1,0))</f>
        <v>0</v>
      </c>
      <c r="AI24" s="71">
        <f>IF($AB24=0,0,IF(AND(OR(fClient="All",$B24=fClient),OR(fCampaign="All",$C24=fCampaign),OR(fTeam="All",$L24=fTeam),OR(fChannel="All",$F24=fChannel)),1,0))</f>
        <v>0</v>
      </c>
    </row>
    <row r="25">
      <c r="A25" s="63" t="n"/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3" t="n"/>
      <c r="R25" s="63" t="n"/>
      <c r="S25" s="63" t="n"/>
      <c r="T25" s="65" t="n"/>
      <c r="U25" s="65" t="n"/>
      <c r="V25" s="63" t="n"/>
      <c r="W25" s="65" t="n"/>
      <c r="X25" s="69" t="str">
        <f>IF(AND(ISNUMBER($Q25),ISNUMBER($R25)),$R25-$Q25,"")</f>
        <v/>
      </c>
      <c r="Y25" s="71" t="str">
        <f>IF($AB25=1,IF(AND(ISNUMBER($V25),$M25&lt;&gt;"Converted",$M25&lt;&gt;"Rejected"),IF($V25&lt;=ReportDate,"DUE",""),""),"")</f>
        <v/>
      </c>
      <c r="Z25" s="75" t="str">
        <f>IF(ISNUMBER($Q25),$Q25,IF(ISNUMBER($A25),$A25,""))</f>
        <v/>
      </c>
      <c r="AA25" s="71" t="str">
        <f>IF(ISNUMBER($Z25),YEAR($Z25)&amp;"-"&amp;TEXT(MONTH($Z25),"00"),"")</f>
        <v/>
      </c>
      <c r="AB25" s="71">
        <f>IF($H25&lt;&gt;"",1,0)</f>
        <v>0</v>
      </c>
      <c r="AC25" s="71">
        <f>IF(AND($AB25=1,$G25="Yes"),1,0)</f>
        <v>0</v>
      </c>
      <c r="AD25" s="71">
        <f>IF(AND($AB25=1,$N25="MQL"),1,0)</f>
        <v>0</v>
      </c>
      <c r="AE25" s="71">
        <f>IF(AND($AB25=1,$O25="SQL"),1,0)</f>
        <v>0</v>
      </c>
      <c r="AF25" s="71">
        <f>IF(AND($AB25=1,OR($P25="Open",$P25="Won",$P25="Lost")),1,0)</f>
        <v>0</v>
      </c>
      <c r="AG25" s="71">
        <f>IF(AND($AB25=1,OR($M25="Converted",$P25="Won")),1,0)</f>
        <v>0</v>
      </c>
      <c r="AH25" s="71">
        <f>IF($AB25=0,0,IF(AND(OR(fClient="All",$B25=fClient),OR(fCampaign="All",$C25=fCampaign),OR(fTeam="All",$L25=fTeam),OR(fChannel="All",$F25=fChannel),OR(fMonth="All",$AA25=fMonth)),1,0))</f>
        <v>0</v>
      </c>
      <c r="AI25" s="71">
        <f>IF($AB25=0,0,IF(AND(OR(fClient="All",$B25=fClient),OR(fCampaign="All",$C25=fCampaign),OR(fTeam="All",$L25=fTeam),OR(fChannel="All",$F25=fChannel)),1,0))</f>
        <v>0</v>
      </c>
    </row>
    <row r="26">
      <c r="A26" s="63" t="n"/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3" t="n"/>
      <c r="R26" s="63" t="n"/>
      <c r="S26" s="63" t="n"/>
      <c r="T26" s="65" t="n"/>
      <c r="U26" s="65" t="n"/>
      <c r="V26" s="63" t="n"/>
      <c r="W26" s="65" t="n"/>
      <c r="X26" s="69" t="str">
        <f>IF(AND(ISNUMBER($Q26),ISNUMBER($R26)),$R26-$Q26,"")</f>
        <v/>
      </c>
      <c r="Y26" s="71" t="str">
        <f>IF($AB26=1,IF(AND(ISNUMBER($V26),$M26&lt;&gt;"Converted",$M26&lt;&gt;"Rejected"),IF($V26&lt;=ReportDate,"DUE",""),""),"")</f>
        <v/>
      </c>
      <c r="Z26" s="75" t="str">
        <f>IF(ISNUMBER($Q26),$Q26,IF(ISNUMBER($A26),$A26,""))</f>
        <v/>
      </c>
      <c r="AA26" s="71" t="str">
        <f>IF(ISNUMBER($Z26),YEAR($Z26)&amp;"-"&amp;TEXT(MONTH($Z26),"00"),"")</f>
        <v/>
      </c>
      <c r="AB26" s="71">
        <f>IF($H26&lt;&gt;"",1,0)</f>
        <v>0</v>
      </c>
      <c r="AC26" s="71">
        <f>IF(AND($AB26=1,$G26="Yes"),1,0)</f>
        <v>0</v>
      </c>
      <c r="AD26" s="71">
        <f>IF(AND($AB26=1,$N26="MQL"),1,0)</f>
        <v>0</v>
      </c>
      <c r="AE26" s="71">
        <f>IF(AND($AB26=1,$O26="SQL"),1,0)</f>
        <v>0</v>
      </c>
      <c r="AF26" s="71">
        <f>IF(AND($AB26=1,OR($P26="Open",$P26="Won",$P26="Lost")),1,0)</f>
        <v>0</v>
      </c>
      <c r="AG26" s="71">
        <f>IF(AND($AB26=1,OR($M26="Converted",$P26="Won")),1,0)</f>
        <v>0</v>
      </c>
      <c r="AH26" s="71">
        <f>IF($AB26=0,0,IF(AND(OR(fClient="All",$B26=fClient),OR(fCampaign="All",$C26=fCampaign),OR(fTeam="All",$L26=fTeam),OR(fChannel="All",$F26=fChannel),OR(fMonth="All",$AA26=fMonth)),1,0))</f>
        <v>0</v>
      </c>
      <c r="AI26" s="71">
        <f>IF($AB26=0,0,IF(AND(OR(fClient="All",$B26=fClient),OR(fCampaign="All",$C26=fCampaign),OR(fTeam="All",$L26=fTeam),OR(fChannel="All",$F26=fChannel)),1,0))</f>
        <v>0</v>
      </c>
    </row>
    <row r="27">
      <c r="A27" s="63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3" t="n"/>
      <c r="R27" s="63" t="n"/>
      <c r="S27" s="63" t="n"/>
      <c r="T27" s="65" t="n"/>
      <c r="U27" s="65" t="n"/>
      <c r="V27" s="63" t="n"/>
      <c r="W27" s="65" t="n"/>
      <c r="X27" s="69" t="str">
        <f>IF(AND(ISNUMBER($Q27),ISNUMBER($R27)),$R27-$Q27,"")</f>
        <v/>
      </c>
      <c r="Y27" s="71" t="str">
        <f>IF($AB27=1,IF(AND(ISNUMBER($V27),$M27&lt;&gt;"Converted",$M27&lt;&gt;"Rejected"),IF($V27&lt;=ReportDate,"DUE",""),""),"")</f>
        <v/>
      </c>
      <c r="Z27" s="75" t="str">
        <f>IF(ISNUMBER($Q27),$Q27,IF(ISNUMBER($A27),$A27,""))</f>
        <v/>
      </c>
      <c r="AA27" s="71" t="str">
        <f>IF(ISNUMBER($Z27),YEAR($Z27)&amp;"-"&amp;TEXT(MONTH($Z27),"00"),"")</f>
        <v/>
      </c>
      <c r="AB27" s="71">
        <f>IF($H27&lt;&gt;"",1,0)</f>
        <v>0</v>
      </c>
      <c r="AC27" s="71">
        <f>IF(AND($AB27=1,$G27="Yes"),1,0)</f>
        <v>0</v>
      </c>
      <c r="AD27" s="71">
        <f>IF(AND($AB27=1,$N27="MQL"),1,0)</f>
        <v>0</v>
      </c>
      <c r="AE27" s="71">
        <f>IF(AND($AB27=1,$O27="SQL"),1,0)</f>
        <v>0</v>
      </c>
      <c r="AF27" s="71">
        <f>IF(AND($AB27=1,OR($P27="Open",$P27="Won",$P27="Lost")),1,0)</f>
        <v>0</v>
      </c>
      <c r="AG27" s="71">
        <f>IF(AND($AB27=1,OR($M27="Converted",$P27="Won")),1,0)</f>
        <v>0</v>
      </c>
      <c r="AH27" s="71">
        <f>IF($AB27=0,0,IF(AND(OR(fClient="All",$B27=fClient),OR(fCampaign="All",$C27=fCampaign),OR(fTeam="All",$L27=fTeam),OR(fChannel="All",$F27=fChannel),OR(fMonth="All",$AA27=fMonth)),1,0))</f>
        <v>0</v>
      </c>
      <c r="AI27" s="71">
        <f>IF($AB27=0,0,IF(AND(OR(fClient="All",$B27=fClient),OR(fCampaign="All",$C27=fCampaign),OR(fTeam="All",$L27=fTeam),OR(fChannel="All",$F27=fChannel)),1,0))</f>
        <v>0</v>
      </c>
    </row>
    <row r="28">
      <c r="A28" s="63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3" t="n"/>
      <c r="R28" s="63" t="n"/>
      <c r="S28" s="63" t="n"/>
      <c r="T28" s="65" t="n"/>
      <c r="U28" s="65" t="n"/>
      <c r="V28" s="63" t="n"/>
      <c r="W28" s="65" t="n"/>
      <c r="X28" s="69" t="str">
        <f>IF(AND(ISNUMBER($Q28),ISNUMBER($R28)),$R28-$Q28,"")</f>
        <v/>
      </c>
      <c r="Y28" s="71" t="str">
        <f>IF($AB28=1,IF(AND(ISNUMBER($V28),$M28&lt;&gt;"Converted",$M28&lt;&gt;"Rejected"),IF($V28&lt;=ReportDate,"DUE",""),""),"")</f>
        <v/>
      </c>
      <c r="Z28" s="75" t="str">
        <f>IF(ISNUMBER($Q28),$Q28,IF(ISNUMBER($A28),$A28,""))</f>
        <v/>
      </c>
      <c r="AA28" s="71" t="str">
        <f>IF(ISNUMBER($Z28),YEAR($Z28)&amp;"-"&amp;TEXT(MONTH($Z28),"00"),"")</f>
        <v/>
      </c>
      <c r="AB28" s="71">
        <f>IF($H28&lt;&gt;"",1,0)</f>
        <v>0</v>
      </c>
      <c r="AC28" s="71">
        <f>IF(AND($AB28=1,$G28="Yes"),1,0)</f>
        <v>0</v>
      </c>
      <c r="AD28" s="71">
        <f>IF(AND($AB28=1,$N28="MQL"),1,0)</f>
        <v>0</v>
      </c>
      <c r="AE28" s="71">
        <f>IF(AND($AB28=1,$O28="SQL"),1,0)</f>
        <v>0</v>
      </c>
      <c r="AF28" s="71">
        <f>IF(AND($AB28=1,OR($P28="Open",$P28="Won",$P28="Lost")),1,0)</f>
        <v>0</v>
      </c>
      <c r="AG28" s="71">
        <f>IF(AND($AB28=1,OR($M28="Converted",$P28="Won")),1,0)</f>
        <v>0</v>
      </c>
      <c r="AH28" s="71">
        <f>IF($AB28=0,0,IF(AND(OR(fClient="All",$B28=fClient),OR(fCampaign="All",$C28=fCampaign),OR(fTeam="All",$L28=fTeam),OR(fChannel="All",$F28=fChannel),OR(fMonth="All",$AA28=fMonth)),1,0))</f>
        <v>0</v>
      </c>
      <c r="AI28" s="71">
        <f>IF($AB28=0,0,IF(AND(OR(fClient="All",$B28=fClient),OR(fCampaign="All",$C28=fCampaign),OR(fTeam="All",$L28=fTeam),OR(fChannel="All",$F28=fChannel)),1,0))</f>
        <v>0</v>
      </c>
    </row>
    <row r="29">
      <c r="A29" s="63" t="n"/>
      <c r="B29" s="64" t="n"/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3" t="n"/>
      <c r="R29" s="63" t="n"/>
      <c r="S29" s="63" t="n"/>
      <c r="T29" s="65" t="n"/>
      <c r="U29" s="65" t="n"/>
      <c r="V29" s="63" t="n"/>
      <c r="W29" s="65" t="n"/>
      <c r="X29" s="69" t="str">
        <f>IF(AND(ISNUMBER($Q29),ISNUMBER($R29)),$R29-$Q29,"")</f>
        <v/>
      </c>
      <c r="Y29" s="71" t="str">
        <f>IF($AB29=1,IF(AND(ISNUMBER($V29),$M29&lt;&gt;"Converted",$M29&lt;&gt;"Rejected"),IF($V29&lt;=ReportDate,"DUE",""),""),"")</f>
        <v/>
      </c>
      <c r="Z29" s="75" t="str">
        <f>IF(ISNUMBER($Q29),$Q29,IF(ISNUMBER($A29),$A29,""))</f>
        <v/>
      </c>
      <c r="AA29" s="71" t="str">
        <f>IF(ISNUMBER($Z29),YEAR($Z29)&amp;"-"&amp;TEXT(MONTH($Z29),"00"),"")</f>
        <v/>
      </c>
      <c r="AB29" s="71">
        <f>IF($H29&lt;&gt;"",1,0)</f>
        <v>0</v>
      </c>
      <c r="AC29" s="71">
        <f>IF(AND($AB29=1,$G29="Yes"),1,0)</f>
        <v>0</v>
      </c>
      <c r="AD29" s="71">
        <f>IF(AND($AB29=1,$N29="MQL"),1,0)</f>
        <v>0</v>
      </c>
      <c r="AE29" s="71">
        <f>IF(AND($AB29=1,$O29="SQL"),1,0)</f>
        <v>0</v>
      </c>
      <c r="AF29" s="71">
        <f>IF(AND($AB29=1,OR($P29="Open",$P29="Won",$P29="Lost")),1,0)</f>
        <v>0</v>
      </c>
      <c r="AG29" s="71">
        <f>IF(AND($AB29=1,OR($M29="Converted",$P29="Won")),1,0)</f>
        <v>0</v>
      </c>
      <c r="AH29" s="71">
        <f>IF($AB29=0,0,IF(AND(OR(fClient="All",$B29=fClient),OR(fCampaign="All",$C29=fCampaign),OR(fTeam="All",$L29=fTeam),OR(fChannel="All",$F29=fChannel),OR(fMonth="All",$AA29=fMonth)),1,0))</f>
        <v>0</v>
      </c>
      <c r="AI29" s="71">
        <f>IF($AB29=0,0,IF(AND(OR(fClient="All",$B29=fClient),OR(fCampaign="All",$C29=fCampaign),OR(fTeam="All",$L29=fTeam),OR(fChannel="All",$F29=fChannel)),1,0))</f>
        <v>0</v>
      </c>
    </row>
    <row r="30">
      <c r="A30" s="63" t="n"/>
      <c r="B30" s="64" t="n"/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3" t="n"/>
      <c r="R30" s="63" t="n"/>
      <c r="S30" s="63" t="n"/>
      <c r="T30" s="65" t="n"/>
      <c r="U30" s="65" t="n"/>
      <c r="V30" s="63" t="n"/>
      <c r="W30" s="65" t="n"/>
      <c r="X30" s="69" t="str">
        <f>IF(AND(ISNUMBER($Q30),ISNUMBER($R30)),$R30-$Q30,"")</f>
        <v/>
      </c>
      <c r="Y30" s="71" t="str">
        <f>IF($AB30=1,IF(AND(ISNUMBER($V30),$M30&lt;&gt;"Converted",$M30&lt;&gt;"Rejected"),IF($V30&lt;=ReportDate,"DUE",""),""),"")</f>
        <v/>
      </c>
      <c r="Z30" s="75" t="str">
        <f>IF(ISNUMBER($Q30),$Q30,IF(ISNUMBER($A30),$A30,""))</f>
        <v/>
      </c>
      <c r="AA30" s="71" t="str">
        <f>IF(ISNUMBER($Z30),YEAR($Z30)&amp;"-"&amp;TEXT(MONTH($Z30),"00"),"")</f>
        <v/>
      </c>
      <c r="AB30" s="71">
        <f>IF($H30&lt;&gt;"",1,0)</f>
        <v>0</v>
      </c>
      <c r="AC30" s="71">
        <f>IF(AND($AB30=1,$G30="Yes"),1,0)</f>
        <v>0</v>
      </c>
      <c r="AD30" s="71">
        <f>IF(AND($AB30=1,$N30="MQL"),1,0)</f>
        <v>0</v>
      </c>
      <c r="AE30" s="71">
        <f>IF(AND($AB30=1,$O30="SQL"),1,0)</f>
        <v>0</v>
      </c>
      <c r="AF30" s="71">
        <f>IF(AND($AB30=1,OR($P30="Open",$P30="Won",$P30="Lost")),1,0)</f>
        <v>0</v>
      </c>
      <c r="AG30" s="71">
        <f>IF(AND($AB30=1,OR($M30="Converted",$P30="Won")),1,0)</f>
        <v>0</v>
      </c>
      <c r="AH30" s="71">
        <f>IF($AB30=0,0,IF(AND(OR(fClient="All",$B30=fClient),OR(fCampaign="All",$C30=fCampaign),OR(fTeam="All",$L30=fTeam),OR(fChannel="All",$F30=fChannel),OR(fMonth="All",$AA30=fMonth)),1,0))</f>
        <v>0</v>
      </c>
      <c r="AI30" s="71">
        <f>IF($AB30=0,0,IF(AND(OR(fClient="All",$B30=fClient),OR(fCampaign="All",$C30=fCampaign),OR(fTeam="All",$L30=fTeam),OR(fChannel="All",$F30=fChannel)),1,0))</f>
        <v>0</v>
      </c>
    </row>
    <row r="31">
      <c r="A31" s="63" t="n"/>
      <c r="B31" s="64" t="n"/>
      <c r="C31" s="64" t="n"/>
      <c r="D31" s="64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3" t="n"/>
      <c r="R31" s="63" t="n"/>
      <c r="S31" s="63" t="n"/>
      <c r="T31" s="65" t="n"/>
      <c r="U31" s="65" t="n"/>
      <c r="V31" s="63" t="n"/>
      <c r="W31" s="65" t="n"/>
      <c r="X31" s="69" t="str">
        <f>IF(AND(ISNUMBER($Q31),ISNUMBER($R31)),$R31-$Q31,"")</f>
        <v/>
      </c>
      <c r="Y31" s="71" t="str">
        <f>IF($AB31=1,IF(AND(ISNUMBER($V31),$M31&lt;&gt;"Converted",$M31&lt;&gt;"Rejected"),IF($V31&lt;=ReportDate,"DUE",""),""),"")</f>
        <v/>
      </c>
      <c r="Z31" s="75" t="str">
        <f>IF(ISNUMBER($Q31),$Q31,IF(ISNUMBER($A31),$A31,""))</f>
        <v/>
      </c>
      <c r="AA31" s="71" t="str">
        <f>IF(ISNUMBER($Z31),YEAR($Z31)&amp;"-"&amp;TEXT(MONTH($Z31),"00"),"")</f>
        <v/>
      </c>
      <c r="AB31" s="71">
        <f>IF($H31&lt;&gt;"",1,0)</f>
        <v>0</v>
      </c>
      <c r="AC31" s="71">
        <f>IF(AND($AB31=1,$G31="Yes"),1,0)</f>
        <v>0</v>
      </c>
      <c r="AD31" s="71">
        <f>IF(AND($AB31=1,$N31="MQL"),1,0)</f>
        <v>0</v>
      </c>
      <c r="AE31" s="71">
        <f>IF(AND($AB31=1,$O31="SQL"),1,0)</f>
        <v>0</v>
      </c>
      <c r="AF31" s="71">
        <f>IF(AND($AB31=1,OR($P31="Open",$P31="Won",$P31="Lost")),1,0)</f>
        <v>0</v>
      </c>
      <c r="AG31" s="71">
        <f>IF(AND($AB31=1,OR($M31="Converted",$P31="Won")),1,0)</f>
        <v>0</v>
      </c>
      <c r="AH31" s="71">
        <f>IF($AB31=0,0,IF(AND(OR(fClient="All",$B31=fClient),OR(fCampaign="All",$C31=fCampaign),OR(fTeam="All",$L31=fTeam),OR(fChannel="All",$F31=fChannel),OR(fMonth="All",$AA31=fMonth)),1,0))</f>
        <v>0</v>
      </c>
      <c r="AI31" s="71">
        <f>IF($AB31=0,0,IF(AND(OR(fClient="All",$B31=fClient),OR(fCampaign="All",$C31=fCampaign),OR(fTeam="All",$L31=fTeam),OR(fChannel="All",$F31=fChannel)),1,0))</f>
        <v>0</v>
      </c>
    </row>
    <row r="32">
      <c r="A32" s="63" t="n"/>
      <c r="B32" s="64" t="n"/>
      <c r="C32" s="64" t="n"/>
      <c r="D32" s="64" t="n"/>
      <c r="E32" s="64" t="n"/>
      <c r="F32" s="64" t="n"/>
      <c r="G32" s="64" t="n"/>
      <c r="H32" s="64" t="n"/>
      <c r="I32" s="64" t="n"/>
      <c r="J32" s="64" t="n"/>
      <c r="K32" s="64" t="n"/>
      <c r="L32" s="64" t="n"/>
      <c r="M32" s="64" t="n"/>
      <c r="N32" s="64" t="n"/>
      <c r="O32" s="64" t="n"/>
      <c r="P32" s="64" t="n"/>
      <c r="Q32" s="63" t="n"/>
      <c r="R32" s="63" t="n"/>
      <c r="S32" s="63" t="n"/>
      <c r="T32" s="65" t="n"/>
      <c r="U32" s="65" t="n"/>
      <c r="V32" s="63" t="n"/>
      <c r="W32" s="65" t="n"/>
      <c r="X32" s="69" t="str">
        <f>IF(AND(ISNUMBER($Q32),ISNUMBER($R32)),$R32-$Q32,"")</f>
        <v/>
      </c>
      <c r="Y32" s="71" t="str">
        <f>IF($AB32=1,IF(AND(ISNUMBER($V32),$M32&lt;&gt;"Converted",$M32&lt;&gt;"Rejected"),IF($V32&lt;=ReportDate,"DUE",""),""),"")</f>
        <v/>
      </c>
      <c r="Z32" s="75" t="str">
        <f>IF(ISNUMBER($Q32),$Q32,IF(ISNUMBER($A32),$A32,""))</f>
        <v/>
      </c>
      <c r="AA32" s="71" t="str">
        <f>IF(ISNUMBER($Z32),YEAR($Z32)&amp;"-"&amp;TEXT(MONTH($Z32),"00"),"")</f>
        <v/>
      </c>
      <c r="AB32" s="71">
        <f>IF($H32&lt;&gt;"",1,0)</f>
        <v>0</v>
      </c>
      <c r="AC32" s="71">
        <f>IF(AND($AB32=1,$G32="Yes"),1,0)</f>
        <v>0</v>
      </c>
      <c r="AD32" s="71">
        <f>IF(AND($AB32=1,$N32="MQL"),1,0)</f>
        <v>0</v>
      </c>
      <c r="AE32" s="71">
        <f>IF(AND($AB32=1,$O32="SQL"),1,0)</f>
        <v>0</v>
      </c>
      <c r="AF32" s="71">
        <f>IF(AND($AB32=1,OR($P32="Open",$P32="Won",$P32="Lost")),1,0)</f>
        <v>0</v>
      </c>
      <c r="AG32" s="71">
        <f>IF(AND($AB32=1,OR($M32="Converted",$P32="Won")),1,0)</f>
        <v>0</v>
      </c>
      <c r="AH32" s="71">
        <f>IF($AB32=0,0,IF(AND(OR(fClient="All",$B32=fClient),OR(fCampaign="All",$C32=fCampaign),OR(fTeam="All",$L32=fTeam),OR(fChannel="All",$F32=fChannel),OR(fMonth="All",$AA32=fMonth)),1,0))</f>
        <v>0</v>
      </c>
      <c r="AI32" s="71">
        <f>IF($AB32=0,0,IF(AND(OR(fClient="All",$B32=fClient),OR(fCampaign="All",$C32=fCampaign),OR(fTeam="All",$L32=fTeam),OR(fChannel="All",$F32=fChannel)),1,0))</f>
        <v>0</v>
      </c>
    </row>
    <row r="33">
      <c r="A33" s="63" t="n"/>
      <c r="B33" s="64" t="n"/>
      <c r="C33" s="64" t="n"/>
      <c r="D33" s="64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3" t="n"/>
      <c r="R33" s="63" t="n"/>
      <c r="S33" s="63" t="n"/>
      <c r="T33" s="65" t="n"/>
      <c r="U33" s="65" t="n"/>
      <c r="V33" s="63" t="n"/>
      <c r="W33" s="65" t="n"/>
      <c r="X33" s="69" t="str">
        <f>IF(AND(ISNUMBER($Q33),ISNUMBER($R33)),$R33-$Q33,"")</f>
        <v/>
      </c>
      <c r="Y33" s="71" t="str">
        <f>IF($AB33=1,IF(AND(ISNUMBER($V33),$M33&lt;&gt;"Converted",$M33&lt;&gt;"Rejected"),IF($V33&lt;=ReportDate,"DUE",""),""),"")</f>
        <v/>
      </c>
      <c r="Z33" s="75" t="str">
        <f>IF(ISNUMBER($Q33),$Q33,IF(ISNUMBER($A33),$A33,""))</f>
        <v/>
      </c>
      <c r="AA33" s="71" t="str">
        <f>IF(ISNUMBER($Z33),YEAR($Z33)&amp;"-"&amp;TEXT(MONTH($Z33),"00"),"")</f>
        <v/>
      </c>
      <c r="AB33" s="71">
        <f>IF($H33&lt;&gt;"",1,0)</f>
        <v>0</v>
      </c>
      <c r="AC33" s="71">
        <f>IF(AND($AB33=1,$G33="Yes"),1,0)</f>
        <v>0</v>
      </c>
      <c r="AD33" s="71">
        <f>IF(AND($AB33=1,$N33="MQL"),1,0)</f>
        <v>0</v>
      </c>
      <c r="AE33" s="71">
        <f>IF(AND($AB33=1,$O33="SQL"),1,0)</f>
        <v>0</v>
      </c>
      <c r="AF33" s="71">
        <f>IF(AND($AB33=1,OR($P33="Open",$P33="Won",$P33="Lost")),1,0)</f>
        <v>0</v>
      </c>
      <c r="AG33" s="71">
        <f>IF(AND($AB33=1,OR($M33="Converted",$P33="Won")),1,0)</f>
        <v>0</v>
      </c>
      <c r="AH33" s="71">
        <f>IF($AB33=0,0,IF(AND(OR(fClient="All",$B33=fClient),OR(fCampaign="All",$C33=fCampaign),OR(fTeam="All",$L33=fTeam),OR(fChannel="All",$F33=fChannel),OR(fMonth="All",$AA33=fMonth)),1,0))</f>
        <v>0</v>
      </c>
      <c r="AI33" s="71">
        <f>IF($AB33=0,0,IF(AND(OR(fClient="All",$B33=fClient),OR(fCampaign="All",$C33=fCampaign),OR(fTeam="All",$L33=fTeam),OR(fChannel="All",$F33=fChannel)),1,0))</f>
        <v>0</v>
      </c>
    </row>
    <row r="34">
      <c r="A34" s="63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3" t="n"/>
      <c r="R34" s="63" t="n"/>
      <c r="S34" s="63" t="n"/>
      <c r="T34" s="65" t="n"/>
      <c r="U34" s="65" t="n"/>
      <c r="V34" s="63" t="n"/>
      <c r="W34" s="65" t="n"/>
      <c r="X34" s="69" t="str">
        <f>IF(AND(ISNUMBER($Q34),ISNUMBER($R34)),$R34-$Q34,"")</f>
        <v/>
      </c>
      <c r="Y34" s="71" t="str">
        <f>IF($AB34=1,IF(AND(ISNUMBER($V34),$M34&lt;&gt;"Converted",$M34&lt;&gt;"Rejected"),IF($V34&lt;=ReportDate,"DUE",""),""),"")</f>
        <v/>
      </c>
      <c r="Z34" s="75" t="str">
        <f>IF(ISNUMBER($Q34),$Q34,IF(ISNUMBER($A34),$A34,""))</f>
        <v/>
      </c>
      <c r="AA34" s="71" t="str">
        <f>IF(ISNUMBER($Z34),YEAR($Z34)&amp;"-"&amp;TEXT(MONTH($Z34),"00"),"")</f>
        <v/>
      </c>
      <c r="AB34" s="71">
        <f>IF($H34&lt;&gt;"",1,0)</f>
        <v>0</v>
      </c>
      <c r="AC34" s="71">
        <f>IF(AND($AB34=1,$G34="Yes"),1,0)</f>
        <v>0</v>
      </c>
      <c r="AD34" s="71">
        <f>IF(AND($AB34=1,$N34="MQL"),1,0)</f>
        <v>0</v>
      </c>
      <c r="AE34" s="71">
        <f>IF(AND($AB34=1,$O34="SQL"),1,0)</f>
        <v>0</v>
      </c>
      <c r="AF34" s="71">
        <f>IF(AND($AB34=1,OR($P34="Open",$P34="Won",$P34="Lost")),1,0)</f>
        <v>0</v>
      </c>
      <c r="AG34" s="71">
        <f>IF(AND($AB34=1,OR($M34="Converted",$P34="Won")),1,0)</f>
        <v>0</v>
      </c>
      <c r="AH34" s="71">
        <f>IF($AB34=0,0,IF(AND(OR(fClient="All",$B34=fClient),OR(fCampaign="All",$C34=fCampaign),OR(fTeam="All",$L34=fTeam),OR(fChannel="All",$F34=fChannel),OR(fMonth="All",$AA34=fMonth)),1,0))</f>
        <v>0</v>
      </c>
      <c r="AI34" s="71">
        <f>IF($AB34=0,0,IF(AND(OR(fClient="All",$B34=fClient),OR(fCampaign="All",$C34=fCampaign),OR(fTeam="All",$L34=fTeam),OR(fChannel="All",$F34=fChannel)),1,0))</f>
        <v>0</v>
      </c>
    </row>
    <row r="35">
      <c r="A35" s="63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3" t="n"/>
      <c r="R35" s="63" t="n"/>
      <c r="S35" s="63" t="n"/>
      <c r="T35" s="65" t="n"/>
      <c r="U35" s="65" t="n"/>
      <c r="V35" s="63" t="n"/>
      <c r="W35" s="65" t="n"/>
      <c r="X35" s="69" t="str">
        <f>IF(AND(ISNUMBER($Q35),ISNUMBER($R35)),$R35-$Q35,"")</f>
        <v/>
      </c>
      <c r="Y35" s="71" t="str">
        <f>IF($AB35=1,IF(AND(ISNUMBER($V35),$M35&lt;&gt;"Converted",$M35&lt;&gt;"Rejected"),IF($V35&lt;=ReportDate,"DUE",""),""),"")</f>
        <v/>
      </c>
      <c r="Z35" s="75" t="str">
        <f>IF(ISNUMBER($Q35),$Q35,IF(ISNUMBER($A35),$A35,""))</f>
        <v/>
      </c>
      <c r="AA35" s="71" t="str">
        <f>IF(ISNUMBER($Z35),YEAR($Z35)&amp;"-"&amp;TEXT(MONTH($Z35),"00"),"")</f>
        <v/>
      </c>
      <c r="AB35" s="71">
        <f>IF($H35&lt;&gt;"",1,0)</f>
        <v>0</v>
      </c>
      <c r="AC35" s="71">
        <f>IF(AND($AB35=1,$G35="Yes"),1,0)</f>
        <v>0</v>
      </c>
      <c r="AD35" s="71">
        <f>IF(AND($AB35=1,$N35="MQL"),1,0)</f>
        <v>0</v>
      </c>
      <c r="AE35" s="71">
        <f>IF(AND($AB35=1,$O35="SQL"),1,0)</f>
        <v>0</v>
      </c>
      <c r="AF35" s="71">
        <f>IF(AND($AB35=1,OR($P35="Open",$P35="Won",$P35="Lost")),1,0)</f>
        <v>0</v>
      </c>
      <c r="AG35" s="71">
        <f>IF(AND($AB35=1,OR($M35="Converted",$P35="Won")),1,0)</f>
        <v>0</v>
      </c>
      <c r="AH35" s="71">
        <f>IF($AB35=0,0,IF(AND(OR(fClient="All",$B35=fClient),OR(fCampaign="All",$C35=fCampaign),OR(fTeam="All",$L35=fTeam),OR(fChannel="All",$F35=fChannel),OR(fMonth="All",$AA35=fMonth)),1,0))</f>
        <v>0</v>
      </c>
      <c r="AI35" s="71">
        <f>IF($AB35=0,0,IF(AND(OR(fClient="All",$B35=fClient),OR(fCampaign="All",$C35=fCampaign),OR(fTeam="All",$L35=fTeam),OR(fChannel="All",$F35=fChannel)),1,0))</f>
        <v>0</v>
      </c>
    </row>
    <row r="36">
      <c r="A36" s="63" t="n"/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3" t="n"/>
      <c r="R36" s="63" t="n"/>
      <c r="S36" s="63" t="n"/>
      <c r="T36" s="65" t="n"/>
      <c r="U36" s="65" t="n"/>
      <c r="V36" s="63" t="n"/>
      <c r="W36" s="65" t="n"/>
      <c r="X36" s="69" t="str">
        <f>IF(AND(ISNUMBER($Q36),ISNUMBER($R36)),$R36-$Q36,"")</f>
        <v/>
      </c>
      <c r="Y36" s="71" t="str">
        <f>IF($AB36=1,IF(AND(ISNUMBER($V36),$M36&lt;&gt;"Converted",$M36&lt;&gt;"Rejected"),IF($V36&lt;=ReportDate,"DUE",""),""),"")</f>
        <v/>
      </c>
      <c r="Z36" s="75" t="str">
        <f>IF(ISNUMBER($Q36),$Q36,IF(ISNUMBER($A36),$A36,""))</f>
        <v/>
      </c>
      <c r="AA36" s="71" t="str">
        <f>IF(ISNUMBER($Z36),YEAR($Z36)&amp;"-"&amp;TEXT(MONTH($Z36),"00"),"")</f>
        <v/>
      </c>
      <c r="AB36" s="71">
        <f>IF($H36&lt;&gt;"",1,0)</f>
        <v>0</v>
      </c>
      <c r="AC36" s="71">
        <f>IF(AND($AB36=1,$G36="Yes"),1,0)</f>
        <v>0</v>
      </c>
      <c r="AD36" s="71">
        <f>IF(AND($AB36=1,$N36="MQL"),1,0)</f>
        <v>0</v>
      </c>
      <c r="AE36" s="71">
        <f>IF(AND($AB36=1,$O36="SQL"),1,0)</f>
        <v>0</v>
      </c>
      <c r="AF36" s="71">
        <f>IF(AND($AB36=1,OR($P36="Open",$P36="Won",$P36="Lost")),1,0)</f>
        <v>0</v>
      </c>
      <c r="AG36" s="71">
        <f>IF(AND($AB36=1,OR($M36="Converted",$P36="Won")),1,0)</f>
        <v>0</v>
      </c>
      <c r="AH36" s="71">
        <f>IF($AB36=0,0,IF(AND(OR(fClient="All",$B36=fClient),OR(fCampaign="All",$C36=fCampaign),OR(fTeam="All",$L36=fTeam),OR(fChannel="All",$F36=fChannel),OR(fMonth="All",$AA36=fMonth)),1,0))</f>
        <v>0</v>
      </c>
      <c r="AI36" s="71">
        <f>IF($AB36=0,0,IF(AND(OR(fClient="All",$B36=fClient),OR(fCampaign="All",$C36=fCampaign),OR(fTeam="All",$L36=fTeam),OR(fChannel="All",$F36=fChannel)),1,0))</f>
        <v>0</v>
      </c>
    </row>
    <row r="37">
      <c r="A37" s="63" t="n"/>
      <c r="B37" s="64" t="n"/>
      <c r="C37" s="64" t="n"/>
      <c r="D37" s="64" t="n"/>
      <c r="E37" s="64" t="n"/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3" t="n"/>
      <c r="R37" s="63" t="n"/>
      <c r="S37" s="63" t="n"/>
      <c r="T37" s="65" t="n"/>
      <c r="U37" s="65" t="n"/>
      <c r="V37" s="63" t="n"/>
      <c r="W37" s="65" t="n"/>
      <c r="X37" s="69" t="str">
        <f>IF(AND(ISNUMBER($Q37),ISNUMBER($R37)),$R37-$Q37,"")</f>
        <v/>
      </c>
      <c r="Y37" s="71" t="str">
        <f>IF($AB37=1,IF(AND(ISNUMBER($V37),$M37&lt;&gt;"Converted",$M37&lt;&gt;"Rejected"),IF($V37&lt;=ReportDate,"DUE",""),""),"")</f>
        <v/>
      </c>
      <c r="Z37" s="75" t="str">
        <f>IF(ISNUMBER($Q37),$Q37,IF(ISNUMBER($A37),$A37,""))</f>
        <v/>
      </c>
      <c r="AA37" s="71" t="str">
        <f>IF(ISNUMBER($Z37),YEAR($Z37)&amp;"-"&amp;TEXT(MONTH($Z37),"00"),"")</f>
        <v/>
      </c>
      <c r="AB37" s="71">
        <f>IF($H37&lt;&gt;"",1,0)</f>
        <v>0</v>
      </c>
      <c r="AC37" s="71">
        <f>IF(AND($AB37=1,$G37="Yes"),1,0)</f>
        <v>0</v>
      </c>
      <c r="AD37" s="71">
        <f>IF(AND($AB37=1,$N37="MQL"),1,0)</f>
        <v>0</v>
      </c>
      <c r="AE37" s="71">
        <f>IF(AND($AB37=1,$O37="SQL"),1,0)</f>
        <v>0</v>
      </c>
      <c r="AF37" s="71">
        <f>IF(AND($AB37=1,OR($P37="Open",$P37="Won",$P37="Lost")),1,0)</f>
        <v>0</v>
      </c>
      <c r="AG37" s="71">
        <f>IF(AND($AB37=1,OR($M37="Converted",$P37="Won")),1,0)</f>
        <v>0</v>
      </c>
      <c r="AH37" s="71">
        <f>IF($AB37=0,0,IF(AND(OR(fClient="All",$B37=fClient),OR(fCampaign="All",$C37=fCampaign),OR(fTeam="All",$L37=fTeam),OR(fChannel="All",$F37=fChannel),OR(fMonth="All",$AA37=fMonth)),1,0))</f>
        <v>0</v>
      </c>
      <c r="AI37" s="71">
        <f>IF($AB37=0,0,IF(AND(OR(fClient="All",$B37=fClient),OR(fCampaign="All",$C37=fCampaign),OR(fTeam="All",$L37=fTeam),OR(fChannel="All",$F37=fChannel)),1,0))</f>
        <v>0</v>
      </c>
    </row>
    <row r="38">
      <c r="A38" s="63" t="n"/>
      <c r="B38" s="64" t="n"/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3" t="n"/>
      <c r="R38" s="63" t="n"/>
      <c r="S38" s="63" t="n"/>
      <c r="T38" s="65" t="n"/>
      <c r="U38" s="65" t="n"/>
      <c r="V38" s="63" t="n"/>
      <c r="W38" s="65" t="n"/>
      <c r="X38" s="69" t="str">
        <f>IF(AND(ISNUMBER($Q38),ISNUMBER($R38)),$R38-$Q38,"")</f>
        <v/>
      </c>
      <c r="Y38" s="71" t="str">
        <f>IF($AB38=1,IF(AND(ISNUMBER($V38),$M38&lt;&gt;"Converted",$M38&lt;&gt;"Rejected"),IF($V38&lt;=ReportDate,"DUE",""),""),"")</f>
        <v/>
      </c>
      <c r="Z38" s="75" t="str">
        <f>IF(ISNUMBER($Q38),$Q38,IF(ISNUMBER($A38),$A38,""))</f>
        <v/>
      </c>
      <c r="AA38" s="71" t="str">
        <f>IF(ISNUMBER($Z38),YEAR($Z38)&amp;"-"&amp;TEXT(MONTH($Z38),"00"),"")</f>
        <v/>
      </c>
      <c r="AB38" s="71">
        <f>IF($H38&lt;&gt;"",1,0)</f>
        <v>0</v>
      </c>
      <c r="AC38" s="71">
        <f>IF(AND($AB38=1,$G38="Yes"),1,0)</f>
        <v>0</v>
      </c>
      <c r="AD38" s="71">
        <f>IF(AND($AB38=1,$N38="MQL"),1,0)</f>
        <v>0</v>
      </c>
      <c r="AE38" s="71">
        <f>IF(AND($AB38=1,$O38="SQL"),1,0)</f>
        <v>0</v>
      </c>
      <c r="AF38" s="71">
        <f>IF(AND($AB38=1,OR($P38="Open",$P38="Won",$P38="Lost")),1,0)</f>
        <v>0</v>
      </c>
      <c r="AG38" s="71">
        <f>IF(AND($AB38=1,OR($M38="Converted",$P38="Won")),1,0)</f>
        <v>0</v>
      </c>
      <c r="AH38" s="71">
        <f>IF($AB38=0,0,IF(AND(OR(fClient="All",$B38=fClient),OR(fCampaign="All",$C38=fCampaign),OR(fTeam="All",$L38=fTeam),OR(fChannel="All",$F38=fChannel),OR(fMonth="All",$AA38=fMonth)),1,0))</f>
        <v>0</v>
      </c>
      <c r="AI38" s="71">
        <f>IF($AB38=0,0,IF(AND(OR(fClient="All",$B38=fClient),OR(fCampaign="All",$C38=fCampaign),OR(fTeam="All",$L38=fTeam),OR(fChannel="All",$F38=fChannel)),1,0))</f>
        <v>0</v>
      </c>
    </row>
    <row r="39">
      <c r="A39" s="63" t="n"/>
      <c r="B39" s="64" t="n"/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3" t="n"/>
      <c r="R39" s="63" t="n"/>
      <c r="S39" s="63" t="n"/>
      <c r="T39" s="65" t="n"/>
      <c r="U39" s="65" t="n"/>
      <c r="V39" s="63" t="n"/>
      <c r="W39" s="65" t="n"/>
      <c r="X39" s="69" t="str">
        <f>IF(AND(ISNUMBER($Q39),ISNUMBER($R39)),$R39-$Q39,"")</f>
        <v/>
      </c>
      <c r="Y39" s="71" t="str">
        <f>IF($AB39=1,IF(AND(ISNUMBER($V39),$M39&lt;&gt;"Converted",$M39&lt;&gt;"Rejected"),IF($V39&lt;=ReportDate,"DUE",""),""),"")</f>
        <v/>
      </c>
      <c r="Z39" s="75" t="str">
        <f>IF(ISNUMBER($Q39),$Q39,IF(ISNUMBER($A39),$A39,""))</f>
        <v/>
      </c>
      <c r="AA39" s="71" t="str">
        <f>IF(ISNUMBER($Z39),YEAR($Z39)&amp;"-"&amp;TEXT(MONTH($Z39),"00"),"")</f>
        <v/>
      </c>
      <c r="AB39" s="71">
        <f>IF($H39&lt;&gt;"",1,0)</f>
        <v>0</v>
      </c>
      <c r="AC39" s="71">
        <f>IF(AND($AB39=1,$G39="Yes"),1,0)</f>
        <v>0</v>
      </c>
      <c r="AD39" s="71">
        <f>IF(AND($AB39=1,$N39="MQL"),1,0)</f>
        <v>0</v>
      </c>
      <c r="AE39" s="71">
        <f>IF(AND($AB39=1,$O39="SQL"),1,0)</f>
        <v>0</v>
      </c>
      <c r="AF39" s="71">
        <f>IF(AND($AB39=1,OR($P39="Open",$P39="Won",$P39="Lost")),1,0)</f>
        <v>0</v>
      </c>
      <c r="AG39" s="71">
        <f>IF(AND($AB39=1,OR($M39="Converted",$P39="Won")),1,0)</f>
        <v>0</v>
      </c>
      <c r="AH39" s="71">
        <f>IF($AB39=0,0,IF(AND(OR(fClient="All",$B39=fClient),OR(fCampaign="All",$C39=fCampaign),OR(fTeam="All",$L39=fTeam),OR(fChannel="All",$F39=fChannel),OR(fMonth="All",$AA39=fMonth)),1,0))</f>
        <v>0</v>
      </c>
      <c r="AI39" s="71">
        <f>IF($AB39=0,0,IF(AND(OR(fClient="All",$B39=fClient),OR(fCampaign="All",$C39=fCampaign),OR(fTeam="All",$L39=fTeam),OR(fChannel="All",$F39=fChannel)),1,0))</f>
        <v>0</v>
      </c>
    </row>
    <row r="40">
      <c r="A40" s="63" t="n"/>
      <c r="B40" s="64" t="n"/>
      <c r="C40" s="64" t="n"/>
      <c r="D40" s="64" t="n"/>
      <c r="E40" s="64" t="n"/>
      <c r="F40" s="64" t="n"/>
      <c r="G40" s="64" t="n"/>
      <c r="H40" s="64" t="n"/>
      <c r="I40" s="64" t="n"/>
      <c r="J40" s="64" t="n"/>
      <c r="K40" s="64" t="n"/>
      <c r="L40" s="64" t="n"/>
      <c r="M40" s="64" t="n"/>
      <c r="N40" s="64" t="n"/>
      <c r="O40" s="64" t="n"/>
      <c r="P40" s="64" t="n"/>
      <c r="Q40" s="63" t="n"/>
      <c r="R40" s="63" t="n"/>
      <c r="S40" s="63" t="n"/>
      <c r="T40" s="65" t="n"/>
      <c r="U40" s="65" t="n"/>
      <c r="V40" s="63" t="n"/>
      <c r="W40" s="65" t="n"/>
      <c r="X40" s="69" t="str">
        <f>IF(AND(ISNUMBER($Q40),ISNUMBER($R40)),$R40-$Q40,"")</f>
        <v/>
      </c>
      <c r="Y40" s="71" t="str">
        <f>IF($AB40=1,IF(AND(ISNUMBER($V40),$M40&lt;&gt;"Converted",$M40&lt;&gt;"Rejected"),IF($V40&lt;=ReportDate,"DUE",""),""),"")</f>
        <v/>
      </c>
      <c r="Z40" s="75" t="str">
        <f>IF(ISNUMBER($Q40),$Q40,IF(ISNUMBER($A40),$A40,""))</f>
        <v/>
      </c>
      <c r="AA40" s="71" t="str">
        <f>IF(ISNUMBER($Z40),YEAR($Z40)&amp;"-"&amp;TEXT(MONTH($Z40),"00"),"")</f>
        <v/>
      </c>
      <c r="AB40" s="71">
        <f>IF($H40&lt;&gt;"",1,0)</f>
        <v>0</v>
      </c>
      <c r="AC40" s="71">
        <f>IF(AND($AB40=1,$G40="Yes"),1,0)</f>
        <v>0</v>
      </c>
      <c r="AD40" s="71">
        <f>IF(AND($AB40=1,$N40="MQL"),1,0)</f>
        <v>0</v>
      </c>
      <c r="AE40" s="71">
        <f>IF(AND($AB40=1,$O40="SQL"),1,0)</f>
        <v>0</v>
      </c>
      <c r="AF40" s="71">
        <f>IF(AND($AB40=1,OR($P40="Open",$P40="Won",$P40="Lost")),1,0)</f>
        <v>0</v>
      </c>
      <c r="AG40" s="71">
        <f>IF(AND($AB40=1,OR($M40="Converted",$P40="Won")),1,0)</f>
        <v>0</v>
      </c>
      <c r="AH40" s="71">
        <f>IF($AB40=0,0,IF(AND(OR(fClient="All",$B40=fClient),OR(fCampaign="All",$C40=fCampaign),OR(fTeam="All",$L40=fTeam),OR(fChannel="All",$F40=fChannel),OR(fMonth="All",$AA40=fMonth)),1,0))</f>
        <v>0</v>
      </c>
      <c r="AI40" s="71">
        <f>IF($AB40=0,0,IF(AND(OR(fClient="All",$B40=fClient),OR(fCampaign="All",$C40=fCampaign),OR(fTeam="All",$L40=fTeam),OR(fChannel="All",$F40=fChannel)),1,0))</f>
        <v>0</v>
      </c>
    </row>
    <row r="41">
      <c r="A41" s="63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3" t="n"/>
      <c r="R41" s="63" t="n"/>
      <c r="S41" s="63" t="n"/>
      <c r="T41" s="65" t="n"/>
      <c r="U41" s="65" t="n"/>
      <c r="V41" s="63" t="n"/>
      <c r="W41" s="65" t="n"/>
      <c r="X41" s="69" t="str">
        <f>IF(AND(ISNUMBER($Q41),ISNUMBER($R41)),$R41-$Q41,"")</f>
        <v/>
      </c>
      <c r="Y41" s="71" t="str">
        <f>IF($AB41=1,IF(AND(ISNUMBER($V41),$M41&lt;&gt;"Converted",$M41&lt;&gt;"Rejected"),IF($V41&lt;=ReportDate,"DUE",""),""),"")</f>
        <v/>
      </c>
      <c r="Z41" s="75" t="str">
        <f>IF(ISNUMBER($Q41),$Q41,IF(ISNUMBER($A41),$A41,""))</f>
        <v/>
      </c>
      <c r="AA41" s="71" t="str">
        <f>IF(ISNUMBER($Z41),YEAR($Z41)&amp;"-"&amp;TEXT(MONTH($Z41),"00"),"")</f>
        <v/>
      </c>
      <c r="AB41" s="71">
        <f>IF($H41&lt;&gt;"",1,0)</f>
        <v>0</v>
      </c>
      <c r="AC41" s="71">
        <f>IF(AND($AB41=1,$G41="Yes"),1,0)</f>
        <v>0</v>
      </c>
      <c r="AD41" s="71">
        <f>IF(AND($AB41=1,$N41="MQL"),1,0)</f>
        <v>0</v>
      </c>
      <c r="AE41" s="71">
        <f>IF(AND($AB41=1,$O41="SQL"),1,0)</f>
        <v>0</v>
      </c>
      <c r="AF41" s="71">
        <f>IF(AND($AB41=1,OR($P41="Open",$P41="Won",$P41="Lost")),1,0)</f>
        <v>0</v>
      </c>
      <c r="AG41" s="71">
        <f>IF(AND($AB41=1,OR($M41="Converted",$P41="Won")),1,0)</f>
        <v>0</v>
      </c>
      <c r="AH41" s="71">
        <f>IF($AB41=0,0,IF(AND(OR(fClient="All",$B41=fClient),OR(fCampaign="All",$C41=fCampaign),OR(fTeam="All",$L41=fTeam),OR(fChannel="All",$F41=fChannel),OR(fMonth="All",$AA41=fMonth)),1,0))</f>
        <v>0</v>
      </c>
      <c r="AI41" s="71">
        <f>IF($AB41=0,0,IF(AND(OR(fClient="All",$B41=fClient),OR(fCampaign="All",$C41=fCampaign),OR(fTeam="All",$L41=fTeam),OR(fChannel="All",$F41=fChannel)),1,0))</f>
        <v>0</v>
      </c>
    </row>
    <row r="42">
      <c r="A42" s="63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3" t="n"/>
      <c r="R42" s="63" t="n"/>
      <c r="S42" s="63" t="n"/>
      <c r="T42" s="65" t="n"/>
      <c r="U42" s="65" t="n"/>
      <c r="V42" s="63" t="n"/>
      <c r="W42" s="65" t="n"/>
      <c r="X42" s="69" t="str">
        <f>IF(AND(ISNUMBER($Q42),ISNUMBER($R42)),$R42-$Q42,"")</f>
        <v/>
      </c>
      <c r="Y42" s="71" t="str">
        <f>IF($AB42=1,IF(AND(ISNUMBER($V42),$M42&lt;&gt;"Converted",$M42&lt;&gt;"Rejected"),IF($V42&lt;=ReportDate,"DUE",""),""),"")</f>
        <v/>
      </c>
      <c r="Z42" s="75" t="str">
        <f>IF(ISNUMBER($Q42),$Q42,IF(ISNUMBER($A42),$A42,""))</f>
        <v/>
      </c>
      <c r="AA42" s="71" t="str">
        <f>IF(ISNUMBER($Z42),YEAR($Z42)&amp;"-"&amp;TEXT(MONTH($Z42),"00"),"")</f>
        <v/>
      </c>
      <c r="AB42" s="71">
        <f>IF($H42&lt;&gt;"",1,0)</f>
        <v>0</v>
      </c>
      <c r="AC42" s="71">
        <f>IF(AND($AB42=1,$G42="Yes"),1,0)</f>
        <v>0</v>
      </c>
      <c r="AD42" s="71">
        <f>IF(AND($AB42=1,$N42="MQL"),1,0)</f>
        <v>0</v>
      </c>
      <c r="AE42" s="71">
        <f>IF(AND($AB42=1,$O42="SQL"),1,0)</f>
        <v>0</v>
      </c>
      <c r="AF42" s="71">
        <f>IF(AND($AB42=1,OR($P42="Open",$P42="Won",$P42="Lost")),1,0)</f>
        <v>0</v>
      </c>
      <c r="AG42" s="71">
        <f>IF(AND($AB42=1,OR($M42="Converted",$P42="Won")),1,0)</f>
        <v>0</v>
      </c>
      <c r="AH42" s="71">
        <f>IF($AB42=0,0,IF(AND(OR(fClient="All",$B42=fClient),OR(fCampaign="All",$C42=fCampaign),OR(fTeam="All",$L42=fTeam),OR(fChannel="All",$F42=fChannel),OR(fMonth="All",$AA42=fMonth)),1,0))</f>
        <v>0</v>
      </c>
      <c r="AI42" s="71">
        <f>IF($AB42=0,0,IF(AND(OR(fClient="All",$B42=fClient),OR(fCampaign="All",$C42=fCampaign),OR(fTeam="All",$L42=fTeam),OR(fChannel="All",$F42=fChannel)),1,0))</f>
        <v>0</v>
      </c>
    </row>
    <row r="43">
      <c r="A43" s="63" t="n"/>
      <c r="B43" s="64" t="n"/>
      <c r="C43" s="64" t="n"/>
      <c r="D43" s="64" t="n"/>
      <c r="E43" s="64" t="n"/>
      <c r="F43" s="64" t="n"/>
      <c r="G43" s="64" t="n"/>
      <c r="H43" s="64" t="n"/>
      <c r="I43" s="64" t="n"/>
      <c r="J43" s="64" t="n"/>
      <c r="K43" s="64" t="n"/>
      <c r="L43" s="64" t="n"/>
      <c r="M43" s="64" t="n"/>
      <c r="N43" s="64" t="n"/>
      <c r="O43" s="64" t="n"/>
      <c r="P43" s="64" t="n"/>
      <c r="Q43" s="63" t="n"/>
      <c r="R43" s="63" t="n"/>
      <c r="S43" s="63" t="n"/>
      <c r="T43" s="65" t="n"/>
      <c r="U43" s="65" t="n"/>
      <c r="V43" s="63" t="n"/>
      <c r="W43" s="65" t="n"/>
      <c r="X43" s="69" t="str">
        <f>IF(AND(ISNUMBER($Q43),ISNUMBER($R43)),$R43-$Q43,"")</f>
        <v/>
      </c>
      <c r="Y43" s="71" t="str">
        <f>IF($AB43=1,IF(AND(ISNUMBER($V43),$M43&lt;&gt;"Converted",$M43&lt;&gt;"Rejected"),IF($V43&lt;=ReportDate,"DUE",""),""),"")</f>
        <v/>
      </c>
      <c r="Z43" s="75" t="str">
        <f>IF(ISNUMBER($Q43),$Q43,IF(ISNUMBER($A43),$A43,""))</f>
        <v/>
      </c>
      <c r="AA43" s="71" t="str">
        <f>IF(ISNUMBER($Z43),YEAR($Z43)&amp;"-"&amp;TEXT(MONTH($Z43),"00"),"")</f>
        <v/>
      </c>
      <c r="AB43" s="71">
        <f>IF($H43&lt;&gt;"",1,0)</f>
        <v>0</v>
      </c>
      <c r="AC43" s="71">
        <f>IF(AND($AB43=1,$G43="Yes"),1,0)</f>
        <v>0</v>
      </c>
      <c r="AD43" s="71">
        <f>IF(AND($AB43=1,$N43="MQL"),1,0)</f>
        <v>0</v>
      </c>
      <c r="AE43" s="71">
        <f>IF(AND($AB43=1,$O43="SQL"),1,0)</f>
        <v>0</v>
      </c>
      <c r="AF43" s="71">
        <f>IF(AND($AB43=1,OR($P43="Open",$P43="Won",$P43="Lost")),1,0)</f>
        <v>0</v>
      </c>
      <c r="AG43" s="71">
        <f>IF(AND($AB43=1,OR($M43="Converted",$P43="Won")),1,0)</f>
        <v>0</v>
      </c>
      <c r="AH43" s="71">
        <f>IF($AB43=0,0,IF(AND(OR(fClient="All",$B43=fClient),OR(fCampaign="All",$C43=fCampaign),OR(fTeam="All",$L43=fTeam),OR(fChannel="All",$F43=fChannel),OR(fMonth="All",$AA43=fMonth)),1,0))</f>
        <v>0</v>
      </c>
      <c r="AI43" s="71">
        <f>IF($AB43=0,0,IF(AND(OR(fClient="All",$B43=fClient),OR(fCampaign="All",$C43=fCampaign),OR(fTeam="All",$L43=fTeam),OR(fChannel="All",$F43=fChannel)),1,0))</f>
        <v>0</v>
      </c>
    </row>
    <row r="44">
      <c r="A44" s="63" t="n"/>
      <c r="B44" s="64" t="n"/>
      <c r="C44" s="64" t="n"/>
      <c r="D44" s="64" t="n"/>
      <c r="E44" s="64" t="n"/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3" t="n"/>
      <c r="R44" s="63" t="n"/>
      <c r="S44" s="63" t="n"/>
      <c r="T44" s="65" t="n"/>
      <c r="U44" s="65" t="n"/>
      <c r="V44" s="63" t="n"/>
      <c r="W44" s="65" t="n"/>
      <c r="X44" s="69" t="str">
        <f>IF(AND(ISNUMBER($Q44),ISNUMBER($R44)),$R44-$Q44,"")</f>
        <v/>
      </c>
      <c r="Y44" s="71" t="str">
        <f>IF($AB44=1,IF(AND(ISNUMBER($V44),$M44&lt;&gt;"Converted",$M44&lt;&gt;"Rejected"),IF($V44&lt;=ReportDate,"DUE",""),""),"")</f>
        <v/>
      </c>
      <c r="Z44" s="75" t="str">
        <f>IF(ISNUMBER($Q44),$Q44,IF(ISNUMBER($A44),$A44,""))</f>
        <v/>
      </c>
      <c r="AA44" s="71" t="str">
        <f>IF(ISNUMBER($Z44),YEAR($Z44)&amp;"-"&amp;TEXT(MONTH($Z44),"00"),"")</f>
        <v/>
      </c>
      <c r="AB44" s="71">
        <f>IF($H44&lt;&gt;"",1,0)</f>
        <v>0</v>
      </c>
      <c r="AC44" s="71">
        <f>IF(AND($AB44=1,$G44="Yes"),1,0)</f>
        <v>0</v>
      </c>
      <c r="AD44" s="71">
        <f>IF(AND($AB44=1,$N44="MQL"),1,0)</f>
        <v>0</v>
      </c>
      <c r="AE44" s="71">
        <f>IF(AND($AB44=1,$O44="SQL"),1,0)</f>
        <v>0</v>
      </c>
      <c r="AF44" s="71">
        <f>IF(AND($AB44=1,OR($P44="Open",$P44="Won",$P44="Lost")),1,0)</f>
        <v>0</v>
      </c>
      <c r="AG44" s="71">
        <f>IF(AND($AB44=1,OR($M44="Converted",$P44="Won")),1,0)</f>
        <v>0</v>
      </c>
      <c r="AH44" s="71">
        <f>IF($AB44=0,0,IF(AND(OR(fClient="All",$B44=fClient),OR(fCampaign="All",$C44=fCampaign),OR(fTeam="All",$L44=fTeam),OR(fChannel="All",$F44=fChannel),OR(fMonth="All",$AA44=fMonth)),1,0))</f>
        <v>0</v>
      </c>
      <c r="AI44" s="71">
        <f>IF($AB44=0,0,IF(AND(OR(fClient="All",$B44=fClient),OR(fCampaign="All",$C44=fCampaign),OR(fTeam="All",$L44=fTeam),OR(fChannel="All",$F44=fChannel)),1,0))</f>
        <v>0</v>
      </c>
    </row>
    <row r="45">
      <c r="A45" s="63" t="n"/>
      <c r="B45" s="64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3" t="n"/>
      <c r="R45" s="63" t="n"/>
      <c r="S45" s="63" t="n"/>
      <c r="T45" s="65" t="n"/>
      <c r="U45" s="65" t="n"/>
      <c r="V45" s="63" t="n"/>
      <c r="W45" s="65" t="n"/>
      <c r="X45" s="69" t="str">
        <f>IF(AND(ISNUMBER($Q45),ISNUMBER($R45)),$R45-$Q45,"")</f>
        <v/>
      </c>
      <c r="Y45" s="71" t="str">
        <f>IF($AB45=1,IF(AND(ISNUMBER($V45),$M45&lt;&gt;"Converted",$M45&lt;&gt;"Rejected"),IF($V45&lt;=ReportDate,"DUE",""),""),"")</f>
        <v/>
      </c>
      <c r="Z45" s="75" t="str">
        <f>IF(ISNUMBER($Q45),$Q45,IF(ISNUMBER($A45),$A45,""))</f>
        <v/>
      </c>
      <c r="AA45" s="71" t="str">
        <f>IF(ISNUMBER($Z45),YEAR($Z45)&amp;"-"&amp;TEXT(MONTH($Z45),"00"),"")</f>
        <v/>
      </c>
      <c r="AB45" s="71">
        <f>IF($H45&lt;&gt;"",1,0)</f>
        <v>0</v>
      </c>
      <c r="AC45" s="71">
        <f>IF(AND($AB45=1,$G45="Yes"),1,0)</f>
        <v>0</v>
      </c>
      <c r="AD45" s="71">
        <f>IF(AND($AB45=1,$N45="MQL"),1,0)</f>
        <v>0</v>
      </c>
      <c r="AE45" s="71">
        <f>IF(AND($AB45=1,$O45="SQL"),1,0)</f>
        <v>0</v>
      </c>
      <c r="AF45" s="71">
        <f>IF(AND($AB45=1,OR($P45="Open",$P45="Won",$P45="Lost")),1,0)</f>
        <v>0</v>
      </c>
      <c r="AG45" s="71">
        <f>IF(AND($AB45=1,OR($M45="Converted",$P45="Won")),1,0)</f>
        <v>0</v>
      </c>
      <c r="AH45" s="71">
        <f>IF($AB45=0,0,IF(AND(OR(fClient="All",$B45=fClient),OR(fCampaign="All",$C45=fCampaign),OR(fTeam="All",$L45=fTeam),OR(fChannel="All",$F45=fChannel),OR(fMonth="All",$AA45=fMonth)),1,0))</f>
        <v>0</v>
      </c>
      <c r="AI45" s="71">
        <f>IF($AB45=0,0,IF(AND(OR(fClient="All",$B45=fClient),OR(fCampaign="All",$C45=fCampaign),OR(fTeam="All",$L45=fTeam),OR(fChannel="All",$F45=fChannel)),1,0))</f>
        <v>0</v>
      </c>
    </row>
    <row r="46">
      <c r="A46" s="63" t="n"/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3" t="n"/>
      <c r="R46" s="63" t="n"/>
      <c r="S46" s="63" t="n"/>
      <c r="T46" s="65" t="n"/>
      <c r="U46" s="65" t="n"/>
      <c r="V46" s="63" t="n"/>
      <c r="W46" s="65" t="n"/>
      <c r="X46" s="69" t="str">
        <f>IF(AND(ISNUMBER($Q46),ISNUMBER($R46)),$R46-$Q46,"")</f>
        <v/>
      </c>
      <c r="Y46" s="71" t="str">
        <f>IF($AB46=1,IF(AND(ISNUMBER($V46),$M46&lt;&gt;"Converted",$M46&lt;&gt;"Rejected"),IF($V46&lt;=ReportDate,"DUE",""),""),"")</f>
        <v/>
      </c>
      <c r="Z46" s="75" t="str">
        <f>IF(ISNUMBER($Q46),$Q46,IF(ISNUMBER($A46),$A46,""))</f>
        <v/>
      </c>
      <c r="AA46" s="71" t="str">
        <f>IF(ISNUMBER($Z46),YEAR($Z46)&amp;"-"&amp;TEXT(MONTH($Z46),"00"),"")</f>
        <v/>
      </c>
      <c r="AB46" s="71">
        <f>IF($H46&lt;&gt;"",1,0)</f>
        <v>0</v>
      </c>
      <c r="AC46" s="71">
        <f>IF(AND($AB46=1,$G46="Yes"),1,0)</f>
        <v>0</v>
      </c>
      <c r="AD46" s="71">
        <f>IF(AND($AB46=1,$N46="MQL"),1,0)</f>
        <v>0</v>
      </c>
      <c r="AE46" s="71">
        <f>IF(AND($AB46=1,$O46="SQL"),1,0)</f>
        <v>0</v>
      </c>
      <c r="AF46" s="71">
        <f>IF(AND($AB46=1,OR($P46="Open",$P46="Won",$P46="Lost")),1,0)</f>
        <v>0</v>
      </c>
      <c r="AG46" s="71">
        <f>IF(AND($AB46=1,OR($M46="Converted",$P46="Won")),1,0)</f>
        <v>0</v>
      </c>
      <c r="AH46" s="71">
        <f>IF($AB46=0,0,IF(AND(OR(fClient="All",$B46=fClient),OR(fCampaign="All",$C46=fCampaign),OR(fTeam="All",$L46=fTeam),OR(fChannel="All",$F46=fChannel),OR(fMonth="All",$AA46=fMonth)),1,0))</f>
        <v>0</v>
      </c>
      <c r="AI46" s="71">
        <f>IF($AB46=0,0,IF(AND(OR(fClient="All",$B46=fClient),OR(fCampaign="All",$C46=fCampaign),OR(fTeam="All",$L46=fTeam),OR(fChannel="All",$F46=fChannel)),1,0))</f>
        <v>0</v>
      </c>
    </row>
    <row r="47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3" t="n"/>
      <c r="R47" s="63" t="n"/>
      <c r="S47" s="63" t="n"/>
      <c r="T47" s="65" t="n"/>
      <c r="U47" s="65" t="n"/>
      <c r="V47" s="63" t="n"/>
      <c r="W47" s="65" t="n"/>
      <c r="X47" s="69" t="str">
        <f>IF(AND(ISNUMBER($Q47),ISNUMBER($R47)),$R47-$Q47,"")</f>
        <v/>
      </c>
      <c r="Y47" s="71" t="str">
        <f>IF($AB47=1,IF(AND(ISNUMBER($V47),$M47&lt;&gt;"Converted",$M47&lt;&gt;"Rejected"),IF($V47&lt;=ReportDate,"DUE",""),""),"")</f>
        <v/>
      </c>
      <c r="Z47" s="75" t="str">
        <f>IF(ISNUMBER($Q47),$Q47,IF(ISNUMBER($A47),$A47,""))</f>
        <v/>
      </c>
      <c r="AA47" s="71" t="str">
        <f>IF(ISNUMBER($Z47),YEAR($Z47)&amp;"-"&amp;TEXT(MONTH($Z47),"00"),"")</f>
        <v/>
      </c>
      <c r="AB47" s="71">
        <f>IF($H47&lt;&gt;"",1,0)</f>
        <v>0</v>
      </c>
      <c r="AC47" s="71">
        <f>IF(AND($AB47=1,$G47="Yes"),1,0)</f>
        <v>0</v>
      </c>
      <c r="AD47" s="71">
        <f>IF(AND($AB47=1,$N47="MQL"),1,0)</f>
        <v>0</v>
      </c>
      <c r="AE47" s="71">
        <f>IF(AND($AB47=1,$O47="SQL"),1,0)</f>
        <v>0</v>
      </c>
      <c r="AF47" s="71">
        <f>IF(AND($AB47=1,OR($P47="Open",$P47="Won",$P47="Lost")),1,0)</f>
        <v>0</v>
      </c>
      <c r="AG47" s="71">
        <f>IF(AND($AB47=1,OR($M47="Converted",$P47="Won")),1,0)</f>
        <v>0</v>
      </c>
      <c r="AH47" s="71">
        <f>IF($AB47=0,0,IF(AND(OR(fClient="All",$B47=fClient),OR(fCampaign="All",$C47=fCampaign),OR(fTeam="All",$L47=fTeam),OR(fChannel="All",$F47=fChannel),OR(fMonth="All",$AA47=fMonth)),1,0))</f>
        <v>0</v>
      </c>
      <c r="AI47" s="71">
        <f>IF($AB47=0,0,IF(AND(OR(fClient="All",$B47=fClient),OR(fCampaign="All",$C47=fCampaign),OR(fTeam="All",$L47=fTeam),OR(fChannel="All",$F47=fChannel)),1,0))</f>
        <v>0</v>
      </c>
    </row>
    <row r="48">
      <c r="A48" s="63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3" t="n"/>
      <c r="R48" s="63" t="n"/>
      <c r="S48" s="63" t="n"/>
      <c r="T48" s="65" t="n"/>
      <c r="U48" s="65" t="n"/>
      <c r="V48" s="63" t="n"/>
      <c r="W48" s="65" t="n"/>
      <c r="X48" s="69" t="str">
        <f>IF(AND(ISNUMBER($Q48),ISNUMBER($R48)),$R48-$Q48,"")</f>
        <v/>
      </c>
      <c r="Y48" s="71" t="str">
        <f>IF($AB48=1,IF(AND(ISNUMBER($V48),$M48&lt;&gt;"Converted",$M48&lt;&gt;"Rejected"),IF($V48&lt;=ReportDate,"DUE",""),""),"")</f>
        <v/>
      </c>
      <c r="Z48" s="75" t="str">
        <f>IF(ISNUMBER($Q48),$Q48,IF(ISNUMBER($A48),$A48,""))</f>
        <v/>
      </c>
      <c r="AA48" s="71" t="str">
        <f>IF(ISNUMBER($Z48),YEAR($Z48)&amp;"-"&amp;TEXT(MONTH($Z48),"00"),"")</f>
        <v/>
      </c>
      <c r="AB48" s="71">
        <f>IF($H48&lt;&gt;"",1,0)</f>
        <v>0</v>
      </c>
      <c r="AC48" s="71">
        <f>IF(AND($AB48=1,$G48="Yes"),1,0)</f>
        <v>0</v>
      </c>
      <c r="AD48" s="71">
        <f>IF(AND($AB48=1,$N48="MQL"),1,0)</f>
        <v>0</v>
      </c>
      <c r="AE48" s="71">
        <f>IF(AND($AB48=1,$O48="SQL"),1,0)</f>
        <v>0</v>
      </c>
      <c r="AF48" s="71">
        <f>IF(AND($AB48=1,OR($P48="Open",$P48="Won",$P48="Lost")),1,0)</f>
        <v>0</v>
      </c>
      <c r="AG48" s="71">
        <f>IF(AND($AB48=1,OR($M48="Converted",$P48="Won")),1,0)</f>
        <v>0</v>
      </c>
      <c r="AH48" s="71">
        <f>IF($AB48=0,0,IF(AND(OR(fClient="All",$B48=fClient),OR(fCampaign="All",$C48=fCampaign),OR(fTeam="All",$L48=fTeam),OR(fChannel="All",$F48=fChannel),OR(fMonth="All",$AA48=fMonth)),1,0))</f>
        <v>0</v>
      </c>
      <c r="AI48" s="71">
        <f>IF($AB48=0,0,IF(AND(OR(fClient="All",$B48=fClient),OR(fCampaign="All",$C48=fCampaign),OR(fTeam="All",$L48=fTeam),OR(fChannel="All",$F48=fChannel)),1,0))</f>
        <v>0</v>
      </c>
    </row>
    <row r="49">
      <c r="A49" s="63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3" t="n"/>
      <c r="R49" s="63" t="n"/>
      <c r="S49" s="63" t="n"/>
      <c r="T49" s="65" t="n"/>
      <c r="U49" s="65" t="n"/>
      <c r="V49" s="63" t="n"/>
      <c r="W49" s="65" t="n"/>
      <c r="X49" s="69" t="str">
        <f>IF(AND(ISNUMBER($Q49),ISNUMBER($R49)),$R49-$Q49,"")</f>
        <v/>
      </c>
      <c r="Y49" s="71" t="str">
        <f>IF($AB49=1,IF(AND(ISNUMBER($V49),$M49&lt;&gt;"Converted",$M49&lt;&gt;"Rejected"),IF($V49&lt;=ReportDate,"DUE",""),""),"")</f>
        <v/>
      </c>
      <c r="Z49" s="75" t="str">
        <f>IF(ISNUMBER($Q49),$Q49,IF(ISNUMBER($A49),$A49,""))</f>
        <v/>
      </c>
      <c r="AA49" s="71" t="str">
        <f>IF(ISNUMBER($Z49),YEAR($Z49)&amp;"-"&amp;TEXT(MONTH($Z49),"00"),"")</f>
        <v/>
      </c>
      <c r="AB49" s="71">
        <f>IF($H49&lt;&gt;"",1,0)</f>
        <v>0</v>
      </c>
      <c r="AC49" s="71">
        <f>IF(AND($AB49=1,$G49="Yes"),1,0)</f>
        <v>0</v>
      </c>
      <c r="AD49" s="71">
        <f>IF(AND($AB49=1,$N49="MQL"),1,0)</f>
        <v>0</v>
      </c>
      <c r="AE49" s="71">
        <f>IF(AND($AB49=1,$O49="SQL"),1,0)</f>
        <v>0</v>
      </c>
      <c r="AF49" s="71">
        <f>IF(AND($AB49=1,OR($P49="Open",$P49="Won",$P49="Lost")),1,0)</f>
        <v>0</v>
      </c>
      <c r="AG49" s="71">
        <f>IF(AND($AB49=1,OR($M49="Converted",$P49="Won")),1,0)</f>
        <v>0</v>
      </c>
      <c r="AH49" s="71">
        <f>IF($AB49=0,0,IF(AND(OR(fClient="All",$B49=fClient),OR(fCampaign="All",$C49=fCampaign),OR(fTeam="All",$L49=fTeam),OR(fChannel="All",$F49=fChannel),OR(fMonth="All",$AA49=fMonth)),1,0))</f>
        <v>0</v>
      </c>
      <c r="AI49" s="71">
        <f>IF($AB49=0,0,IF(AND(OR(fClient="All",$B49=fClient),OR(fCampaign="All",$C49=fCampaign),OR(fTeam="All",$L49=fTeam),OR(fChannel="All",$F49=fChannel)),1,0))</f>
        <v>0</v>
      </c>
    </row>
    <row r="50">
      <c r="A50" s="63" t="n"/>
      <c r="B50" s="64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3" t="n"/>
      <c r="R50" s="63" t="n"/>
      <c r="S50" s="63" t="n"/>
      <c r="T50" s="65" t="n"/>
      <c r="U50" s="65" t="n"/>
      <c r="V50" s="63" t="n"/>
      <c r="W50" s="65" t="n"/>
      <c r="X50" s="69" t="str">
        <f>IF(AND(ISNUMBER($Q50),ISNUMBER($R50)),$R50-$Q50,"")</f>
        <v/>
      </c>
      <c r="Y50" s="71" t="str">
        <f>IF($AB50=1,IF(AND(ISNUMBER($V50),$M50&lt;&gt;"Converted",$M50&lt;&gt;"Rejected"),IF($V50&lt;=ReportDate,"DUE",""),""),"")</f>
        <v/>
      </c>
      <c r="Z50" s="75" t="str">
        <f>IF(ISNUMBER($Q50),$Q50,IF(ISNUMBER($A50),$A50,""))</f>
        <v/>
      </c>
      <c r="AA50" s="71" t="str">
        <f>IF(ISNUMBER($Z50),YEAR($Z50)&amp;"-"&amp;TEXT(MONTH($Z50),"00"),"")</f>
        <v/>
      </c>
      <c r="AB50" s="71">
        <f>IF($H50&lt;&gt;"",1,0)</f>
        <v>0</v>
      </c>
      <c r="AC50" s="71">
        <f>IF(AND($AB50=1,$G50="Yes"),1,0)</f>
        <v>0</v>
      </c>
      <c r="AD50" s="71">
        <f>IF(AND($AB50=1,$N50="MQL"),1,0)</f>
        <v>0</v>
      </c>
      <c r="AE50" s="71">
        <f>IF(AND($AB50=1,$O50="SQL"),1,0)</f>
        <v>0</v>
      </c>
      <c r="AF50" s="71">
        <f>IF(AND($AB50=1,OR($P50="Open",$P50="Won",$P50="Lost")),1,0)</f>
        <v>0</v>
      </c>
      <c r="AG50" s="71">
        <f>IF(AND($AB50=1,OR($M50="Converted",$P50="Won")),1,0)</f>
        <v>0</v>
      </c>
      <c r="AH50" s="71">
        <f>IF($AB50=0,0,IF(AND(OR(fClient="All",$B50=fClient),OR(fCampaign="All",$C50=fCampaign),OR(fTeam="All",$L50=fTeam),OR(fChannel="All",$F50=fChannel),OR(fMonth="All",$AA50=fMonth)),1,0))</f>
        <v>0</v>
      </c>
      <c r="AI50" s="71">
        <f>IF($AB50=0,0,IF(AND(OR(fClient="All",$B50=fClient),OR(fCampaign="All",$C50=fCampaign),OR(fTeam="All",$L50=fTeam),OR(fChannel="All",$F50=fChannel)),1,0))</f>
        <v>0</v>
      </c>
    </row>
    <row r="51">
      <c r="A51" s="63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3" t="n"/>
      <c r="R51" s="63" t="n"/>
      <c r="S51" s="63" t="n"/>
      <c r="T51" s="65" t="n"/>
      <c r="U51" s="65" t="n"/>
      <c r="V51" s="63" t="n"/>
      <c r="W51" s="65" t="n"/>
      <c r="X51" s="69" t="str">
        <f>IF(AND(ISNUMBER($Q51),ISNUMBER($R51)),$R51-$Q51,"")</f>
        <v/>
      </c>
      <c r="Y51" s="71" t="str">
        <f>IF($AB51=1,IF(AND(ISNUMBER($V51),$M51&lt;&gt;"Converted",$M51&lt;&gt;"Rejected"),IF($V51&lt;=ReportDate,"DUE",""),""),"")</f>
        <v/>
      </c>
      <c r="Z51" s="75" t="str">
        <f>IF(ISNUMBER($Q51),$Q51,IF(ISNUMBER($A51),$A51,""))</f>
        <v/>
      </c>
      <c r="AA51" s="71" t="str">
        <f>IF(ISNUMBER($Z51),YEAR($Z51)&amp;"-"&amp;TEXT(MONTH($Z51),"00"),"")</f>
        <v/>
      </c>
      <c r="AB51" s="71">
        <f>IF($H51&lt;&gt;"",1,0)</f>
        <v>0</v>
      </c>
      <c r="AC51" s="71">
        <f>IF(AND($AB51=1,$G51="Yes"),1,0)</f>
        <v>0</v>
      </c>
      <c r="AD51" s="71">
        <f>IF(AND($AB51=1,$N51="MQL"),1,0)</f>
        <v>0</v>
      </c>
      <c r="AE51" s="71">
        <f>IF(AND($AB51=1,$O51="SQL"),1,0)</f>
        <v>0</v>
      </c>
      <c r="AF51" s="71">
        <f>IF(AND($AB51=1,OR($P51="Open",$P51="Won",$P51="Lost")),1,0)</f>
        <v>0</v>
      </c>
      <c r="AG51" s="71">
        <f>IF(AND($AB51=1,OR($M51="Converted",$P51="Won")),1,0)</f>
        <v>0</v>
      </c>
      <c r="AH51" s="71">
        <f>IF($AB51=0,0,IF(AND(OR(fClient="All",$B51=fClient),OR(fCampaign="All",$C51=fCampaign),OR(fTeam="All",$L51=fTeam),OR(fChannel="All",$F51=fChannel),OR(fMonth="All",$AA51=fMonth)),1,0))</f>
        <v>0</v>
      </c>
      <c r="AI51" s="71">
        <f>IF($AB51=0,0,IF(AND(OR(fClient="All",$B51=fClient),OR(fCampaign="All",$C51=fCampaign),OR(fTeam="All",$L51=fTeam),OR(fChannel="All",$F51=fChannel)),1,0))</f>
        <v>0</v>
      </c>
    </row>
    <row r="52">
      <c r="A52" s="63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3" t="n"/>
      <c r="R52" s="63" t="n"/>
      <c r="S52" s="63" t="n"/>
      <c r="T52" s="65" t="n"/>
      <c r="U52" s="65" t="n"/>
      <c r="V52" s="63" t="n"/>
      <c r="W52" s="65" t="n"/>
      <c r="X52" s="69" t="str">
        <f>IF(AND(ISNUMBER($Q52),ISNUMBER($R52)),$R52-$Q52,"")</f>
        <v/>
      </c>
      <c r="Y52" s="71" t="str">
        <f>IF($AB52=1,IF(AND(ISNUMBER($V52),$M52&lt;&gt;"Converted",$M52&lt;&gt;"Rejected"),IF($V52&lt;=ReportDate,"DUE",""),""),"")</f>
        <v/>
      </c>
      <c r="Z52" s="75" t="str">
        <f>IF(ISNUMBER($Q52),$Q52,IF(ISNUMBER($A52),$A52,""))</f>
        <v/>
      </c>
      <c r="AA52" s="71" t="str">
        <f>IF(ISNUMBER($Z52),YEAR($Z52)&amp;"-"&amp;TEXT(MONTH($Z52),"00"),"")</f>
        <v/>
      </c>
      <c r="AB52" s="71">
        <f>IF($H52&lt;&gt;"",1,0)</f>
        <v>0</v>
      </c>
      <c r="AC52" s="71">
        <f>IF(AND($AB52=1,$G52="Yes"),1,0)</f>
        <v>0</v>
      </c>
      <c r="AD52" s="71">
        <f>IF(AND($AB52=1,$N52="MQL"),1,0)</f>
        <v>0</v>
      </c>
      <c r="AE52" s="71">
        <f>IF(AND($AB52=1,$O52="SQL"),1,0)</f>
        <v>0</v>
      </c>
      <c r="AF52" s="71">
        <f>IF(AND($AB52=1,OR($P52="Open",$P52="Won",$P52="Lost")),1,0)</f>
        <v>0</v>
      </c>
      <c r="AG52" s="71">
        <f>IF(AND($AB52=1,OR($M52="Converted",$P52="Won")),1,0)</f>
        <v>0</v>
      </c>
      <c r="AH52" s="71">
        <f>IF($AB52=0,0,IF(AND(OR(fClient="All",$B52=fClient),OR(fCampaign="All",$C52=fCampaign),OR(fTeam="All",$L52=fTeam),OR(fChannel="All",$F52=fChannel),OR(fMonth="All",$AA52=fMonth)),1,0))</f>
        <v>0</v>
      </c>
      <c r="AI52" s="71">
        <f>IF($AB52=0,0,IF(AND(OR(fClient="All",$B52=fClient),OR(fCampaign="All",$C52=fCampaign),OR(fTeam="All",$L52=fTeam),OR(fChannel="All",$F52=fChannel)),1,0))</f>
        <v>0</v>
      </c>
    </row>
    <row r="53">
      <c r="A53" s="63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3" t="n"/>
      <c r="R53" s="63" t="n"/>
      <c r="S53" s="63" t="n"/>
      <c r="T53" s="65" t="n"/>
      <c r="U53" s="65" t="n"/>
      <c r="V53" s="63" t="n"/>
      <c r="W53" s="65" t="n"/>
      <c r="X53" s="69" t="str">
        <f>IF(AND(ISNUMBER($Q53),ISNUMBER($R53)),$R53-$Q53,"")</f>
        <v/>
      </c>
      <c r="Y53" s="71" t="str">
        <f>IF($AB53=1,IF(AND(ISNUMBER($V53),$M53&lt;&gt;"Converted",$M53&lt;&gt;"Rejected"),IF($V53&lt;=ReportDate,"DUE",""),""),"")</f>
        <v/>
      </c>
      <c r="Z53" s="75" t="str">
        <f>IF(ISNUMBER($Q53),$Q53,IF(ISNUMBER($A53),$A53,""))</f>
        <v/>
      </c>
      <c r="AA53" s="71" t="str">
        <f>IF(ISNUMBER($Z53),YEAR($Z53)&amp;"-"&amp;TEXT(MONTH($Z53),"00"),"")</f>
        <v/>
      </c>
      <c r="AB53" s="71">
        <f>IF($H53&lt;&gt;"",1,0)</f>
        <v>0</v>
      </c>
      <c r="AC53" s="71">
        <f>IF(AND($AB53=1,$G53="Yes"),1,0)</f>
        <v>0</v>
      </c>
      <c r="AD53" s="71">
        <f>IF(AND($AB53=1,$N53="MQL"),1,0)</f>
        <v>0</v>
      </c>
      <c r="AE53" s="71">
        <f>IF(AND($AB53=1,$O53="SQL"),1,0)</f>
        <v>0</v>
      </c>
      <c r="AF53" s="71">
        <f>IF(AND($AB53=1,OR($P53="Open",$P53="Won",$P53="Lost")),1,0)</f>
        <v>0</v>
      </c>
      <c r="AG53" s="71">
        <f>IF(AND($AB53=1,OR($M53="Converted",$P53="Won")),1,0)</f>
        <v>0</v>
      </c>
      <c r="AH53" s="71">
        <f>IF($AB53=0,0,IF(AND(OR(fClient="All",$B53=fClient),OR(fCampaign="All",$C53=fCampaign),OR(fTeam="All",$L53=fTeam),OR(fChannel="All",$F53=fChannel),OR(fMonth="All",$AA53=fMonth)),1,0))</f>
        <v>0</v>
      </c>
      <c r="AI53" s="71">
        <f>IF($AB53=0,0,IF(AND(OR(fClient="All",$B53=fClient),OR(fCampaign="All",$C53=fCampaign),OR(fTeam="All",$L53=fTeam),OR(fChannel="All",$F53=fChannel)),1,0))</f>
        <v>0</v>
      </c>
    </row>
    <row r="54">
      <c r="A54" s="63" t="n"/>
      <c r="B54" s="64" t="n"/>
      <c r="C54" s="64" t="n"/>
      <c r="D54" s="64" t="n"/>
      <c r="E54" s="64" t="n"/>
      <c r="F54" s="64" t="n"/>
      <c r="G54" s="64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3" t="n"/>
      <c r="R54" s="63" t="n"/>
      <c r="S54" s="63" t="n"/>
      <c r="T54" s="65" t="n"/>
      <c r="U54" s="65" t="n"/>
      <c r="V54" s="63" t="n"/>
      <c r="W54" s="65" t="n"/>
      <c r="X54" s="69" t="str">
        <f>IF(AND(ISNUMBER($Q54),ISNUMBER($R54)),$R54-$Q54,"")</f>
        <v/>
      </c>
      <c r="Y54" s="71" t="str">
        <f>IF($AB54=1,IF(AND(ISNUMBER($V54),$M54&lt;&gt;"Converted",$M54&lt;&gt;"Rejected"),IF($V54&lt;=ReportDate,"DUE",""),""),"")</f>
        <v/>
      </c>
      <c r="Z54" s="75" t="str">
        <f>IF(ISNUMBER($Q54),$Q54,IF(ISNUMBER($A54),$A54,""))</f>
        <v/>
      </c>
      <c r="AA54" s="71" t="str">
        <f>IF(ISNUMBER($Z54),YEAR($Z54)&amp;"-"&amp;TEXT(MONTH($Z54),"00"),"")</f>
        <v/>
      </c>
      <c r="AB54" s="71">
        <f>IF($H54&lt;&gt;"",1,0)</f>
        <v>0</v>
      </c>
      <c r="AC54" s="71">
        <f>IF(AND($AB54=1,$G54="Yes"),1,0)</f>
        <v>0</v>
      </c>
      <c r="AD54" s="71">
        <f>IF(AND($AB54=1,$N54="MQL"),1,0)</f>
        <v>0</v>
      </c>
      <c r="AE54" s="71">
        <f>IF(AND($AB54=1,$O54="SQL"),1,0)</f>
        <v>0</v>
      </c>
      <c r="AF54" s="71">
        <f>IF(AND($AB54=1,OR($P54="Open",$P54="Won",$P54="Lost")),1,0)</f>
        <v>0</v>
      </c>
      <c r="AG54" s="71">
        <f>IF(AND($AB54=1,OR($M54="Converted",$P54="Won")),1,0)</f>
        <v>0</v>
      </c>
      <c r="AH54" s="71">
        <f>IF($AB54=0,0,IF(AND(OR(fClient="All",$B54=fClient),OR(fCampaign="All",$C54=fCampaign),OR(fTeam="All",$L54=fTeam),OR(fChannel="All",$F54=fChannel),OR(fMonth="All",$AA54=fMonth)),1,0))</f>
        <v>0</v>
      </c>
      <c r="AI54" s="71">
        <f>IF($AB54=0,0,IF(AND(OR(fClient="All",$B54=fClient),OR(fCampaign="All",$C54=fCampaign),OR(fTeam="All",$L54=fTeam),OR(fChannel="All",$F54=fChannel)),1,0))</f>
        <v>0</v>
      </c>
    </row>
    <row r="55">
      <c r="A55" s="63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64" t="n"/>
      <c r="L55" s="64" t="n"/>
      <c r="M55" s="64" t="n"/>
      <c r="N55" s="64" t="n"/>
      <c r="O55" s="64" t="n"/>
      <c r="P55" s="64" t="n"/>
      <c r="Q55" s="63" t="n"/>
      <c r="R55" s="63" t="n"/>
      <c r="S55" s="63" t="n"/>
      <c r="T55" s="65" t="n"/>
      <c r="U55" s="65" t="n"/>
      <c r="V55" s="63" t="n"/>
      <c r="W55" s="65" t="n"/>
      <c r="X55" s="69" t="str">
        <f>IF(AND(ISNUMBER($Q55),ISNUMBER($R55)),$R55-$Q55,"")</f>
        <v/>
      </c>
      <c r="Y55" s="71" t="str">
        <f>IF($AB55=1,IF(AND(ISNUMBER($V55),$M55&lt;&gt;"Converted",$M55&lt;&gt;"Rejected"),IF($V55&lt;=ReportDate,"DUE",""),""),"")</f>
        <v/>
      </c>
      <c r="Z55" s="75" t="str">
        <f>IF(ISNUMBER($Q55),$Q55,IF(ISNUMBER($A55),$A55,""))</f>
        <v/>
      </c>
      <c r="AA55" s="71" t="str">
        <f>IF(ISNUMBER($Z55),YEAR($Z55)&amp;"-"&amp;TEXT(MONTH($Z55),"00"),"")</f>
        <v/>
      </c>
      <c r="AB55" s="71">
        <f>IF($H55&lt;&gt;"",1,0)</f>
        <v>0</v>
      </c>
      <c r="AC55" s="71">
        <f>IF(AND($AB55=1,$G55="Yes"),1,0)</f>
        <v>0</v>
      </c>
      <c r="AD55" s="71">
        <f>IF(AND($AB55=1,$N55="MQL"),1,0)</f>
        <v>0</v>
      </c>
      <c r="AE55" s="71">
        <f>IF(AND($AB55=1,$O55="SQL"),1,0)</f>
        <v>0</v>
      </c>
      <c r="AF55" s="71">
        <f>IF(AND($AB55=1,OR($P55="Open",$P55="Won",$P55="Lost")),1,0)</f>
        <v>0</v>
      </c>
      <c r="AG55" s="71">
        <f>IF(AND($AB55=1,OR($M55="Converted",$P55="Won")),1,0)</f>
        <v>0</v>
      </c>
      <c r="AH55" s="71">
        <f>IF($AB55=0,0,IF(AND(OR(fClient="All",$B55=fClient),OR(fCampaign="All",$C55=fCampaign),OR(fTeam="All",$L55=fTeam),OR(fChannel="All",$F55=fChannel),OR(fMonth="All",$AA55=fMonth)),1,0))</f>
        <v>0</v>
      </c>
      <c r="AI55" s="71">
        <f>IF($AB55=0,0,IF(AND(OR(fClient="All",$B55=fClient),OR(fCampaign="All",$C55=fCampaign),OR(fTeam="All",$L55=fTeam),OR(fChannel="All",$F55=fChannel)),1,0))</f>
        <v>0</v>
      </c>
    </row>
    <row r="56">
      <c r="A56" s="63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3" t="n"/>
      <c r="R56" s="63" t="n"/>
      <c r="S56" s="63" t="n"/>
      <c r="T56" s="65" t="n"/>
      <c r="U56" s="65" t="n"/>
      <c r="V56" s="63" t="n"/>
      <c r="W56" s="65" t="n"/>
      <c r="X56" s="69" t="str">
        <f>IF(AND(ISNUMBER($Q56),ISNUMBER($R56)),$R56-$Q56,"")</f>
        <v/>
      </c>
      <c r="Y56" s="71" t="str">
        <f>IF($AB56=1,IF(AND(ISNUMBER($V56),$M56&lt;&gt;"Converted",$M56&lt;&gt;"Rejected"),IF($V56&lt;=ReportDate,"DUE",""),""),"")</f>
        <v/>
      </c>
      <c r="Z56" s="75" t="str">
        <f>IF(ISNUMBER($Q56),$Q56,IF(ISNUMBER($A56),$A56,""))</f>
        <v/>
      </c>
      <c r="AA56" s="71" t="str">
        <f>IF(ISNUMBER($Z56),YEAR($Z56)&amp;"-"&amp;TEXT(MONTH($Z56),"00"),"")</f>
        <v/>
      </c>
      <c r="AB56" s="71">
        <f>IF($H56&lt;&gt;"",1,0)</f>
        <v>0</v>
      </c>
      <c r="AC56" s="71">
        <f>IF(AND($AB56=1,$G56="Yes"),1,0)</f>
        <v>0</v>
      </c>
      <c r="AD56" s="71">
        <f>IF(AND($AB56=1,$N56="MQL"),1,0)</f>
        <v>0</v>
      </c>
      <c r="AE56" s="71">
        <f>IF(AND($AB56=1,$O56="SQL"),1,0)</f>
        <v>0</v>
      </c>
      <c r="AF56" s="71">
        <f>IF(AND($AB56=1,OR($P56="Open",$P56="Won",$P56="Lost")),1,0)</f>
        <v>0</v>
      </c>
      <c r="AG56" s="71">
        <f>IF(AND($AB56=1,OR($M56="Converted",$P56="Won")),1,0)</f>
        <v>0</v>
      </c>
      <c r="AH56" s="71">
        <f>IF($AB56=0,0,IF(AND(OR(fClient="All",$B56=fClient),OR(fCampaign="All",$C56=fCampaign),OR(fTeam="All",$L56=fTeam),OR(fChannel="All",$F56=fChannel),OR(fMonth="All",$AA56=fMonth)),1,0))</f>
        <v>0</v>
      </c>
      <c r="AI56" s="71">
        <f>IF($AB56=0,0,IF(AND(OR(fClient="All",$B56=fClient),OR(fCampaign="All",$C56=fCampaign),OR(fTeam="All",$L56=fTeam),OR(fChannel="All",$F56=fChannel)),1,0))</f>
        <v>0</v>
      </c>
    </row>
    <row r="57">
      <c r="A57" s="63" t="n"/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3" t="n"/>
      <c r="R57" s="63" t="n"/>
      <c r="S57" s="63" t="n"/>
      <c r="T57" s="65" t="n"/>
      <c r="U57" s="65" t="n"/>
      <c r="V57" s="63" t="n"/>
      <c r="W57" s="65" t="n"/>
      <c r="X57" s="69" t="str">
        <f>IF(AND(ISNUMBER($Q57),ISNUMBER($R57)),$R57-$Q57,"")</f>
        <v/>
      </c>
      <c r="Y57" s="71" t="str">
        <f>IF($AB57=1,IF(AND(ISNUMBER($V57),$M57&lt;&gt;"Converted",$M57&lt;&gt;"Rejected"),IF($V57&lt;=ReportDate,"DUE",""),""),"")</f>
        <v/>
      </c>
      <c r="Z57" s="75" t="str">
        <f>IF(ISNUMBER($Q57),$Q57,IF(ISNUMBER($A57),$A57,""))</f>
        <v/>
      </c>
      <c r="AA57" s="71" t="str">
        <f>IF(ISNUMBER($Z57),YEAR($Z57)&amp;"-"&amp;TEXT(MONTH($Z57),"00"),"")</f>
        <v/>
      </c>
      <c r="AB57" s="71">
        <f>IF($H57&lt;&gt;"",1,0)</f>
        <v>0</v>
      </c>
      <c r="AC57" s="71">
        <f>IF(AND($AB57=1,$G57="Yes"),1,0)</f>
        <v>0</v>
      </c>
      <c r="AD57" s="71">
        <f>IF(AND($AB57=1,$N57="MQL"),1,0)</f>
        <v>0</v>
      </c>
      <c r="AE57" s="71">
        <f>IF(AND($AB57=1,$O57="SQL"),1,0)</f>
        <v>0</v>
      </c>
      <c r="AF57" s="71">
        <f>IF(AND($AB57=1,OR($P57="Open",$P57="Won",$P57="Lost")),1,0)</f>
        <v>0</v>
      </c>
      <c r="AG57" s="71">
        <f>IF(AND($AB57=1,OR($M57="Converted",$P57="Won")),1,0)</f>
        <v>0</v>
      </c>
      <c r="AH57" s="71">
        <f>IF($AB57=0,0,IF(AND(OR(fClient="All",$B57=fClient),OR(fCampaign="All",$C57=fCampaign),OR(fTeam="All",$L57=fTeam),OR(fChannel="All",$F57=fChannel),OR(fMonth="All",$AA57=fMonth)),1,0))</f>
        <v>0</v>
      </c>
      <c r="AI57" s="71">
        <f>IF($AB57=0,0,IF(AND(OR(fClient="All",$B57=fClient),OR(fCampaign="All",$C57=fCampaign),OR(fTeam="All",$L57=fTeam),OR(fChannel="All",$F57=fChannel)),1,0))</f>
        <v>0</v>
      </c>
    </row>
    <row r="58">
      <c r="A58" s="63" t="n"/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3" t="n"/>
      <c r="R58" s="63" t="n"/>
      <c r="S58" s="63" t="n"/>
      <c r="T58" s="65" t="n"/>
      <c r="U58" s="65" t="n"/>
      <c r="V58" s="63" t="n"/>
      <c r="W58" s="65" t="n"/>
      <c r="X58" s="69" t="str">
        <f>IF(AND(ISNUMBER($Q58),ISNUMBER($R58)),$R58-$Q58,"")</f>
        <v/>
      </c>
      <c r="Y58" s="71" t="str">
        <f>IF($AB58=1,IF(AND(ISNUMBER($V58),$M58&lt;&gt;"Converted",$M58&lt;&gt;"Rejected"),IF($V58&lt;=ReportDate,"DUE",""),""),"")</f>
        <v/>
      </c>
      <c r="Z58" s="75" t="str">
        <f>IF(ISNUMBER($Q58),$Q58,IF(ISNUMBER($A58),$A58,""))</f>
        <v/>
      </c>
      <c r="AA58" s="71" t="str">
        <f>IF(ISNUMBER($Z58),YEAR($Z58)&amp;"-"&amp;TEXT(MONTH($Z58),"00"),"")</f>
        <v/>
      </c>
      <c r="AB58" s="71">
        <f>IF($H58&lt;&gt;"",1,0)</f>
        <v>0</v>
      </c>
      <c r="AC58" s="71">
        <f>IF(AND($AB58=1,$G58="Yes"),1,0)</f>
        <v>0</v>
      </c>
      <c r="AD58" s="71">
        <f>IF(AND($AB58=1,$N58="MQL"),1,0)</f>
        <v>0</v>
      </c>
      <c r="AE58" s="71">
        <f>IF(AND($AB58=1,$O58="SQL"),1,0)</f>
        <v>0</v>
      </c>
      <c r="AF58" s="71">
        <f>IF(AND($AB58=1,OR($P58="Open",$P58="Won",$P58="Lost")),1,0)</f>
        <v>0</v>
      </c>
      <c r="AG58" s="71">
        <f>IF(AND($AB58=1,OR($M58="Converted",$P58="Won")),1,0)</f>
        <v>0</v>
      </c>
      <c r="AH58" s="71">
        <f>IF($AB58=0,0,IF(AND(OR(fClient="All",$B58=fClient),OR(fCampaign="All",$C58=fCampaign),OR(fTeam="All",$L58=fTeam),OR(fChannel="All",$F58=fChannel),OR(fMonth="All",$AA58=fMonth)),1,0))</f>
        <v>0</v>
      </c>
      <c r="AI58" s="71">
        <f>IF($AB58=0,0,IF(AND(OR(fClient="All",$B58=fClient),OR(fCampaign="All",$C58=fCampaign),OR(fTeam="All",$L58=fTeam),OR(fChannel="All",$F58=fChannel)),1,0))</f>
        <v>0</v>
      </c>
    </row>
    <row r="59">
      <c r="A59" s="63" t="n"/>
      <c r="B59" s="64" t="n"/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3" t="n"/>
      <c r="R59" s="63" t="n"/>
      <c r="S59" s="63" t="n"/>
      <c r="T59" s="65" t="n"/>
      <c r="U59" s="65" t="n"/>
      <c r="V59" s="63" t="n"/>
      <c r="W59" s="65" t="n"/>
      <c r="X59" s="69" t="str">
        <f>IF(AND(ISNUMBER($Q59),ISNUMBER($R59)),$R59-$Q59,"")</f>
        <v/>
      </c>
      <c r="Y59" s="71" t="str">
        <f>IF($AB59=1,IF(AND(ISNUMBER($V59),$M59&lt;&gt;"Converted",$M59&lt;&gt;"Rejected"),IF($V59&lt;=ReportDate,"DUE",""),""),"")</f>
        <v/>
      </c>
      <c r="Z59" s="75" t="str">
        <f>IF(ISNUMBER($Q59),$Q59,IF(ISNUMBER($A59),$A59,""))</f>
        <v/>
      </c>
      <c r="AA59" s="71" t="str">
        <f>IF(ISNUMBER($Z59),YEAR($Z59)&amp;"-"&amp;TEXT(MONTH($Z59),"00"),"")</f>
        <v/>
      </c>
      <c r="AB59" s="71">
        <f>IF($H59&lt;&gt;"",1,0)</f>
        <v>0</v>
      </c>
      <c r="AC59" s="71">
        <f>IF(AND($AB59=1,$G59="Yes"),1,0)</f>
        <v>0</v>
      </c>
      <c r="AD59" s="71">
        <f>IF(AND($AB59=1,$N59="MQL"),1,0)</f>
        <v>0</v>
      </c>
      <c r="AE59" s="71">
        <f>IF(AND($AB59=1,$O59="SQL"),1,0)</f>
        <v>0</v>
      </c>
      <c r="AF59" s="71">
        <f>IF(AND($AB59=1,OR($P59="Open",$P59="Won",$P59="Lost")),1,0)</f>
        <v>0</v>
      </c>
      <c r="AG59" s="71">
        <f>IF(AND($AB59=1,OR($M59="Converted",$P59="Won")),1,0)</f>
        <v>0</v>
      </c>
      <c r="AH59" s="71">
        <f>IF($AB59=0,0,IF(AND(OR(fClient="All",$B59=fClient),OR(fCampaign="All",$C59=fCampaign),OR(fTeam="All",$L59=fTeam),OR(fChannel="All",$F59=fChannel),OR(fMonth="All",$AA59=fMonth)),1,0))</f>
        <v>0</v>
      </c>
      <c r="AI59" s="71">
        <f>IF($AB59=0,0,IF(AND(OR(fClient="All",$B59=fClient),OR(fCampaign="All",$C59=fCampaign),OR(fTeam="All",$L59=fTeam),OR(fChannel="All",$F59=fChannel)),1,0))</f>
        <v>0</v>
      </c>
    </row>
    <row r="60">
      <c r="A60" s="63" t="n"/>
      <c r="B60" s="64" t="n"/>
      <c r="C60" s="64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3" t="n"/>
      <c r="R60" s="63" t="n"/>
      <c r="S60" s="63" t="n"/>
      <c r="T60" s="65" t="n"/>
      <c r="U60" s="65" t="n"/>
      <c r="V60" s="63" t="n"/>
      <c r="W60" s="65" t="n"/>
      <c r="X60" s="69" t="str">
        <f>IF(AND(ISNUMBER($Q60),ISNUMBER($R60)),$R60-$Q60,"")</f>
        <v/>
      </c>
      <c r="Y60" s="71" t="str">
        <f>IF($AB60=1,IF(AND(ISNUMBER($V60),$M60&lt;&gt;"Converted",$M60&lt;&gt;"Rejected"),IF($V60&lt;=ReportDate,"DUE",""),""),"")</f>
        <v/>
      </c>
      <c r="Z60" s="75" t="str">
        <f>IF(ISNUMBER($Q60),$Q60,IF(ISNUMBER($A60),$A60,""))</f>
        <v/>
      </c>
      <c r="AA60" s="71" t="str">
        <f>IF(ISNUMBER($Z60),YEAR($Z60)&amp;"-"&amp;TEXT(MONTH($Z60),"00"),"")</f>
        <v/>
      </c>
      <c r="AB60" s="71">
        <f>IF($H60&lt;&gt;"",1,0)</f>
        <v>0</v>
      </c>
      <c r="AC60" s="71">
        <f>IF(AND($AB60=1,$G60="Yes"),1,0)</f>
        <v>0</v>
      </c>
      <c r="AD60" s="71">
        <f>IF(AND($AB60=1,$N60="MQL"),1,0)</f>
        <v>0</v>
      </c>
      <c r="AE60" s="71">
        <f>IF(AND($AB60=1,$O60="SQL"),1,0)</f>
        <v>0</v>
      </c>
      <c r="AF60" s="71">
        <f>IF(AND($AB60=1,OR($P60="Open",$P60="Won",$P60="Lost")),1,0)</f>
        <v>0</v>
      </c>
      <c r="AG60" s="71">
        <f>IF(AND($AB60=1,OR($M60="Converted",$P60="Won")),1,0)</f>
        <v>0</v>
      </c>
      <c r="AH60" s="71">
        <f>IF($AB60=0,0,IF(AND(OR(fClient="All",$B60=fClient),OR(fCampaign="All",$C60=fCampaign),OR(fTeam="All",$L60=fTeam),OR(fChannel="All",$F60=fChannel),OR(fMonth="All",$AA60=fMonth)),1,0))</f>
        <v>0</v>
      </c>
      <c r="AI60" s="71">
        <f>IF($AB60=0,0,IF(AND(OR(fClient="All",$B60=fClient),OR(fCampaign="All",$C60=fCampaign),OR(fTeam="All",$L60=fTeam),OR(fChannel="All",$F60=fChannel)),1,0))</f>
        <v>0</v>
      </c>
    </row>
    <row r="61">
      <c r="A61" s="63" t="n"/>
      <c r="B61" s="64" t="n"/>
      <c r="C61" s="64" t="n"/>
      <c r="D61" s="64" t="n"/>
      <c r="E61" s="64" t="n"/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3" t="n"/>
      <c r="R61" s="63" t="n"/>
      <c r="S61" s="63" t="n"/>
      <c r="T61" s="65" t="n"/>
      <c r="U61" s="65" t="n"/>
      <c r="V61" s="63" t="n"/>
      <c r="W61" s="65" t="n"/>
      <c r="X61" s="69" t="str">
        <f>IF(AND(ISNUMBER($Q61),ISNUMBER($R61)),$R61-$Q61,"")</f>
        <v/>
      </c>
      <c r="Y61" s="71" t="str">
        <f>IF($AB61=1,IF(AND(ISNUMBER($V61),$M61&lt;&gt;"Converted",$M61&lt;&gt;"Rejected"),IF($V61&lt;=ReportDate,"DUE",""),""),"")</f>
        <v/>
      </c>
      <c r="Z61" s="75" t="str">
        <f>IF(ISNUMBER($Q61),$Q61,IF(ISNUMBER($A61),$A61,""))</f>
        <v/>
      </c>
      <c r="AA61" s="71" t="str">
        <f>IF(ISNUMBER($Z61),YEAR($Z61)&amp;"-"&amp;TEXT(MONTH($Z61),"00"),"")</f>
        <v/>
      </c>
      <c r="AB61" s="71">
        <f>IF($H61&lt;&gt;"",1,0)</f>
        <v>0</v>
      </c>
      <c r="AC61" s="71">
        <f>IF(AND($AB61=1,$G61="Yes"),1,0)</f>
        <v>0</v>
      </c>
      <c r="AD61" s="71">
        <f>IF(AND($AB61=1,$N61="MQL"),1,0)</f>
        <v>0</v>
      </c>
      <c r="AE61" s="71">
        <f>IF(AND($AB61=1,$O61="SQL"),1,0)</f>
        <v>0</v>
      </c>
      <c r="AF61" s="71">
        <f>IF(AND($AB61=1,OR($P61="Open",$P61="Won",$P61="Lost")),1,0)</f>
        <v>0</v>
      </c>
      <c r="AG61" s="71">
        <f>IF(AND($AB61=1,OR($M61="Converted",$P61="Won")),1,0)</f>
        <v>0</v>
      </c>
      <c r="AH61" s="71">
        <f>IF($AB61=0,0,IF(AND(OR(fClient="All",$B61=fClient),OR(fCampaign="All",$C61=fCampaign),OR(fTeam="All",$L61=fTeam),OR(fChannel="All",$F61=fChannel),OR(fMonth="All",$AA61=fMonth)),1,0))</f>
        <v>0</v>
      </c>
      <c r="AI61" s="71">
        <f>IF($AB61=0,0,IF(AND(OR(fClient="All",$B61=fClient),OR(fCampaign="All",$C61=fCampaign),OR(fTeam="All",$L61=fTeam),OR(fChannel="All",$F61=fChannel)),1,0))</f>
        <v>0</v>
      </c>
    </row>
    <row r="62">
      <c r="A62" s="63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3" t="n"/>
      <c r="R62" s="63" t="n"/>
      <c r="S62" s="63" t="n"/>
      <c r="T62" s="65" t="n"/>
      <c r="U62" s="65" t="n"/>
      <c r="V62" s="63" t="n"/>
      <c r="W62" s="65" t="n"/>
      <c r="X62" s="69" t="str">
        <f>IF(AND(ISNUMBER($Q62),ISNUMBER($R62)),$R62-$Q62,"")</f>
        <v/>
      </c>
      <c r="Y62" s="71" t="str">
        <f>IF($AB62=1,IF(AND(ISNUMBER($V62),$M62&lt;&gt;"Converted",$M62&lt;&gt;"Rejected"),IF($V62&lt;=ReportDate,"DUE",""),""),"")</f>
        <v/>
      </c>
      <c r="Z62" s="75" t="str">
        <f>IF(ISNUMBER($Q62),$Q62,IF(ISNUMBER($A62),$A62,""))</f>
        <v/>
      </c>
      <c r="AA62" s="71" t="str">
        <f>IF(ISNUMBER($Z62),YEAR($Z62)&amp;"-"&amp;TEXT(MONTH($Z62),"00"),"")</f>
        <v/>
      </c>
      <c r="AB62" s="71">
        <f>IF($H62&lt;&gt;"",1,0)</f>
        <v>0</v>
      </c>
      <c r="AC62" s="71">
        <f>IF(AND($AB62=1,$G62="Yes"),1,0)</f>
        <v>0</v>
      </c>
      <c r="AD62" s="71">
        <f>IF(AND($AB62=1,$N62="MQL"),1,0)</f>
        <v>0</v>
      </c>
      <c r="AE62" s="71">
        <f>IF(AND($AB62=1,$O62="SQL"),1,0)</f>
        <v>0</v>
      </c>
      <c r="AF62" s="71">
        <f>IF(AND($AB62=1,OR($P62="Open",$P62="Won",$P62="Lost")),1,0)</f>
        <v>0</v>
      </c>
      <c r="AG62" s="71">
        <f>IF(AND($AB62=1,OR($M62="Converted",$P62="Won")),1,0)</f>
        <v>0</v>
      </c>
      <c r="AH62" s="71">
        <f>IF($AB62=0,0,IF(AND(OR(fClient="All",$B62=fClient),OR(fCampaign="All",$C62=fCampaign),OR(fTeam="All",$L62=fTeam),OR(fChannel="All",$F62=fChannel),OR(fMonth="All",$AA62=fMonth)),1,0))</f>
        <v>0</v>
      </c>
      <c r="AI62" s="71">
        <f>IF($AB62=0,0,IF(AND(OR(fClient="All",$B62=fClient),OR(fCampaign="All",$C62=fCampaign),OR(fTeam="All",$L62=fTeam),OR(fChannel="All",$F62=fChannel)),1,0))</f>
        <v>0</v>
      </c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3" t="n"/>
      <c r="R63" s="63" t="n"/>
      <c r="S63" s="63" t="n"/>
      <c r="T63" s="65" t="n"/>
      <c r="U63" s="65" t="n"/>
      <c r="V63" s="63" t="n"/>
      <c r="W63" s="65" t="n"/>
      <c r="X63" s="69" t="str">
        <f>IF(AND(ISNUMBER($Q63),ISNUMBER($R63)),$R63-$Q63,"")</f>
        <v/>
      </c>
      <c r="Y63" s="71" t="str">
        <f>IF($AB63=1,IF(AND(ISNUMBER($V63),$M63&lt;&gt;"Converted",$M63&lt;&gt;"Rejected"),IF($V63&lt;=ReportDate,"DUE",""),""),"")</f>
        <v/>
      </c>
      <c r="Z63" s="75" t="str">
        <f>IF(ISNUMBER($Q63),$Q63,IF(ISNUMBER($A63),$A63,""))</f>
        <v/>
      </c>
      <c r="AA63" s="71" t="str">
        <f>IF(ISNUMBER($Z63),YEAR($Z63)&amp;"-"&amp;TEXT(MONTH($Z63),"00"),"")</f>
        <v/>
      </c>
      <c r="AB63" s="71">
        <f>IF($H63&lt;&gt;"",1,0)</f>
        <v>0</v>
      </c>
      <c r="AC63" s="71">
        <f>IF(AND($AB63=1,$G63="Yes"),1,0)</f>
        <v>0</v>
      </c>
      <c r="AD63" s="71">
        <f>IF(AND($AB63=1,$N63="MQL"),1,0)</f>
        <v>0</v>
      </c>
      <c r="AE63" s="71">
        <f>IF(AND($AB63=1,$O63="SQL"),1,0)</f>
        <v>0</v>
      </c>
      <c r="AF63" s="71">
        <f>IF(AND($AB63=1,OR($P63="Open",$P63="Won",$P63="Lost")),1,0)</f>
        <v>0</v>
      </c>
      <c r="AG63" s="71">
        <f>IF(AND($AB63=1,OR($M63="Converted",$P63="Won")),1,0)</f>
        <v>0</v>
      </c>
      <c r="AH63" s="71">
        <f>IF($AB63=0,0,IF(AND(OR(fClient="All",$B63=fClient),OR(fCampaign="All",$C63=fCampaign),OR(fTeam="All",$L63=fTeam),OR(fChannel="All",$F63=fChannel),OR(fMonth="All",$AA63=fMonth)),1,0))</f>
        <v>0</v>
      </c>
      <c r="AI63" s="71">
        <f>IF($AB63=0,0,IF(AND(OR(fClient="All",$B63=fClient),OR(fCampaign="All",$C63=fCampaign),OR(fTeam="All",$L63=fTeam),OR(fChannel="All",$F63=fChannel)),1,0))</f>
        <v>0</v>
      </c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4" t="n"/>
      <c r="J64" s="64" t="n"/>
      <c r="K64" s="64" t="n"/>
      <c r="L64" s="64" t="n"/>
      <c r="M64" s="64" t="n"/>
      <c r="N64" s="64" t="n"/>
      <c r="O64" s="64" t="n"/>
      <c r="P64" s="64" t="n"/>
      <c r="Q64" s="63" t="n"/>
      <c r="R64" s="63" t="n"/>
      <c r="S64" s="63" t="n"/>
      <c r="T64" s="65" t="n"/>
      <c r="U64" s="65" t="n"/>
      <c r="V64" s="63" t="n"/>
      <c r="W64" s="65" t="n"/>
      <c r="X64" s="69" t="str">
        <f>IF(AND(ISNUMBER($Q64),ISNUMBER($R64)),$R64-$Q64,"")</f>
        <v/>
      </c>
      <c r="Y64" s="71" t="str">
        <f>IF($AB64=1,IF(AND(ISNUMBER($V64),$M64&lt;&gt;"Converted",$M64&lt;&gt;"Rejected"),IF($V64&lt;=ReportDate,"DUE",""),""),"")</f>
        <v/>
      </c>
      <c r="Z64" s="75" t="str">
        <f>IF(ISNUMBER($Q64),$Q64,IF(ISNUMBER($A64),$A64,""))</f>
        <v/>
      </c>
      <c r="AA64" s="71" t="str">
        <f>IF(ISNUMBER($Z64),YEAR($Z64)&amp;"-"&amp;TEXT(MONTH($Z64),"00"),"")</f>
        <v/>
      </c>
      <c r="AB64" s="71">
        <f>IF($H64&lt;&gt;"",1,0)</f>
        <v>0</v>
      </c>
      <c r="AC64" s="71">
        <f>IF(AND($AB64=1,$G64="Yes"),1,0)</f>
        <v>0</v>
      </c>
      <c r="AD64" s="71">
        <f>IF(AND($AB64=1,$N64="MQL"),1,0)</f>
        <v>0</v>
      </c>
      <c r="AE64" s="71">
        <f>IF(AND($AB64=1,$O64="SQL"),1,0)</f>
        <v>0</v>
      </c>
      <c r="AF64" s="71">
        <f>IF(AND($AB64=1,OR($P64="Open",$P64="Won",$P64="Lost")),1,0)</f>
        <v>0</v>
      </c>
      <c r="AG64" s="71">
        <f>IF(AND($AB64=1,OR($M64="Converted",$P64="Won")),1,0)</f>
        <v>0</v>
      </c>
      <c r="AH64" s="71">
        <f>IF($AB64=0,0,IF(AND(OR(fClient="All",$B64=fClient),OR(fCampaign="All",$C64=fCampaign),OR(fTeam="All",$L64=fTeam),OR(fChannel="All",$F64=fChannel),OR(fMonth="All",$AA64=fMonth)),1,0))</f>
        <v>0</v>
      </c>
      <c r="AI64" s="71">
        <f>IF($AB64=0,0,IF(AND(OR(fClient="All",$B64=fClient),OR(fCampaign="All",$C64=fCampaign),OR(fTeam="All",$L64=fTeam),OR(fChannel="All",$F64=fChannel)),1,0))</f>
        <v>0</v>
      </c>
    </row>
    <row r="65">
      <c r="A65" s="63" t="n"/>
      <c r="B65" s="64" t="n"/>
      <c r="C65" s="64" t="n"/>
      <c r="D65" s="64" t="n"/>
      <c r="E65" s="64" t="n"/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3" t="n"/>
      <c r="R65" s="63" t="n"/>
      <c r="S65" s="63" t="n"/>
      <c r="T65" s="65" t="n"/>
      <c r="U65" s="65" t="n"/>
      <c r="V65" s="63" t="n"/>
      <c r="W65" s="65" t="n"/>
      <c r="X65" s="69" t="str">
        <f>IF(AND(ISNUMBER($Q65),ISNUMBER($R65)),$R65-$Q65,"")</f>
        <v/>
      </c>
      <c r="Y65" s="71" t="str">
        <f>IF($AB65=1,IF(AND(ISNUMBER($V65),$M65&lt;&gt;"Converted",$M65&lt;&gt;"Rejected"),IF($V65&lt;=ReportDate,"DUE",""),""),"")</f>
        <v/>
      </c>
      <c r="Z65" s="75" t="str">
        <f>IF(ISNUMBER($Q65),$Q65,IF(ISNUMBER($A65),$A65,""))</f>
        <v/>
      </c>
      <c r="AA65" s="71" t="str">
        <f>IF(ISNUMBER($Z65),YEAR($Z65)&amp;"-"&amp;TEXT(MONTH($Z65),"00"),"")</f>
        <v/>
      </c>
      <c r="AB65" s="71">
        <f>IF($H65&lt;&gt;"",1,0)</f>
        <v>0</v>
      </c>
      <c r="AC65" s="71">
        <f>IF(AND($AB65=1,$G65="Yes"),1,0)</f>
        <v>0</v>
      </c>
      <c r="AD65" s="71">
        <f>IF(AND($AB65=1,$N65="MQL"),1,0)</f>
        <v>0</v>
      </c>
      <c r="AE65" s="71">
        <f>IF(AND($AB65=1,$O65="SQL"),1,0)</f>
        <v>0</v>
      </c>
      <c r="AF65" s="71">
        <f>IF(AND($AB65=1,OR($P65="Open",$P65="Won",$P65="Lost")),1,0)</f>
        <v>0</v>
      </c>
      <c r="AG65" s="71">
        <f>IF(AND($AB65=1,OR($M65="Converted",$P65="Won")),1,0)</f>
        <v>0</v>
      </c>
      <c r="AH65" s="71">
        <f>IF($AB65=0,0,IF(AND(OR(fClient="All",$B65=fClient),OR(fCampaign="All",$C65=fCampaign),OR(fTeam="All",$L65=fTeam),OR(fChannel="All",$F65=fChannel),OR(fMonth="All",$AA65=fMonth)),1,0))</f>
        <v>0</v>
      </c>
      <c r="AI65" s="71">
        <f>IF($AB65=0,0,IF(AND(OR(fClient="All",$B65=fClient),OR(fCampaign="All",$C65=fCampaign),OR(fTeam="All",$L65=fTeam),OR(fChannel="All",$F65=fChannel)),1,0))</f>
        <v>0</v>
      </c>
    </row>
    <row r="66">
      <c r="A66" s="63" t="n"/>
      <c r="B66" s="64" t="n"/>
      <c r="C66" s="64" t="n"/>
      <c r="D66" s="64" t="n"/>
      <c r="E66" s="64" t="n"/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3" t="n"/>
      <c r="R66" s="63" t="n"/>
      <c r="S66" s="63" t="n"/>
      <c r="T66" s="65" t="n"/>
      <c r="U66" s="65" t="n"/>
      <c r="V66" s="63" t="n"/>
      <c r="W66" s="65" t="n"/>
      <c r="X66" s="69" t="str">
        <f>IF(AND(ISNUMBER($Q66),ISNUMBER($R66)),$R66-$Q66,"")</f>
        <v/>
      </c>
      <c r="Y66" s="71" t="str">
        <f>IF($AB66=1,IF(AND(ISNUMBER($V66),$M66&lt;&gt;"Converted",$M66&lt;&gt;"Rejected"),IF($V66&lt;=ReportDate,"DUE",""),""),"")</f>
        <v/>
      </c>
      <c r="Z66" s="75" t="str">
        <f>IF(ISNUMBER($Q66),$Q66,IF(ISNUMBER($A66),$A66,""))</f>
        <v/>
      </c>
      <c r="AA66" s="71" t="str">
        <f>IF(ISNUMBER($Z66),YEAR($Z66)&amp;"-"&amp;TEXT(MONTH($Z66),"00"),"")</f>
        <v/>
      </c>
      <c r="AB66" s="71">
        <f>IF($H66&lt;&gt;"",1,0)</f>
        <v>0</v>
      </c>
      <c r="AC66" s="71">
        <f>IF(AND($AB66=1,$G66="Yes"),1,0)</f>
        <v>0</v>
      </c>
      <c r="AD66" s="71">
        <f>IF(AND($AB66=1,$N66="MQL"),1,0)</f>
        <v>0</v>
      </c>
      <c r="AE66" s="71">
        <f>IF(AND($AB66=1,$O66="SQL"),1,0)</f>
        <v>0</v>
      </c>
      <c r="AF66" s="71">
        <f>IF(AND($AB66=1,OR($P66="Open",$P66="Won",$P66="Lost")),1,0)</f>
        <v>0</v>
      </c>
      <c r="AG66" s="71">
        <f>IF(AND($AB66=1,OR($M66="Converted",$P66="Won")),1,0)</f>
        <v>0</v>
      </c>
      <c r="AH66" s="71">
        <f>IF($AB66=0,0,IF(AND(OR(fClient="All",$B66=fClient),OR(fCampaign="All",$C66=fCampaign),OR(fTeam="All",$L66=fTeam),OR(fChannel="All",$F66=fChannel),OR(fMonth="All",$AA66=fMonth)),1,0))</f>
        <v>0</v>
      </c>
      <c r="AI66" s="71">
        <f>IF($AB66=0,0,IF(AND(OR(fClient="All",$B66=fClient),OR(fCampaign="All",$C66=fCampaign),OR(fTeam="All",$L66=fTeam),OR(fChannel="All",$F66=fChannel)),1,0))</f>
        <v>0</v>
      </c>
    </row>
    <row r="67">
      <c r="A67" s="63" t="n"/>
      <c r="B67" s="64" t="n"/>
      <c r="C67" s="64" t="n"/>
      <c r="D67" s="64" t="n"/>
      <c r="E67" s="64" t="n"/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3" t="n"/>
      <c r="R67" s="63" t="n"/>
      <c r="S67" s="63" t="n"/>
      <c r="T67" s="65" t="n"/>
      <c r="U67" s="65" t="n"/>
      <c r="V67" s="63" t="n"/>
      <c r="W67" s="65" t="n"/>
      <c r="X67" s="69" t="str">
        <f>IF(AND(ISNUMBER($Q67),ISNUMBER($R67)),$R67-$Q67,"")</f>
        <v/>
      </c>
      <c r="Y67" s="71" t="str">
        <f>IF($AB67=1,IF(AND(ISNUMBER($V67),$M67&lt;&gt;"Converted",$M67&lt;&gt;"Rejected"),IF($V67&lt;=ReportDate,"DUE",""),""),"")</f>
        <v/>
      </c>
      <c r="Z67" s="75" t="str">
        <f>IF(ISNUMBER($Q67),$Q67,IF(ISNUMBER($A67),$A67,""))</f>
        <v/>
      </c>
      <c r="AA67" s="71" t="str">
        <f>IF(ISNUMBER($Z67),YEAR($Z67)&amp;"-"&amp;TEXT(MONTH($Z67),"00"),"")</f>
        <v/>
      </c>
      <c r="AB67" s="71">
        <f>IF($H67&lt;&gt;"",1,0)</f>
        <v>0</v>
      </c>
      <c r="AC67" s="71">
        <f>IF(AND($AB67=1,$G67="Yes"),1,0)</f>
        <v>0</v>
      </c>
      <c r="AD67" s="71">
        <f>IF(AND($AB67=1,$N67="MQL"),1,0)</f>
        <v>0</v>
      </c>
      <c r="AE67" s="71">
        <f>IF(AND($AB67=1,$O67="SQL"),1,0)</f>
        <v>0</v>
      </c>
      <c r="AF67" s="71">
        <f>IF(AND($AB67=1,OR($P67="Open",$P67="Won",$P67="Lost")),1,0)</f>
        <v>0</v>
      </c>
      <c r="AG67" s="71">
        <f>IF(AND($AB67=1,OR($M67="Converted",$P67="Won")),1,0)</f>
        <v>0</v>
      </c>
      <c r="AH67" s="71">
        <f>IF($AB67=0,0,IF(AND(OR(fClient="All",$B67=fClient),OR(fCampaign="All",$C67=fCampaign),OR(fTeam="All",$L67=fTeam),OR(fChannel="All",$F67=fChannel),OR(fMonth="All",$AA67=fMonth)),1,0))</f>
        <v>0</v>
      </c>
      <c r="AI67" s="71">
        <f>IF($AB67=0,0,IF(AND(OR(fClient="All",$B67=fClient),OR(fCampaign="All",$C67=fCampaign),OR(fTeam="All",$L67=fTeam),OR(fChannel="All",$F67=fChannel)),1,0))</f>
        <v>0</v>
      </c>
    </row>
    <row r="68">
      <c r="A68" s="63" t="n"/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3" t="n"/>
      <c r="R68" s="63" t="n"/>
      <c r="S68" s="63" t="n"/>
      <c r="T68" s="65" t="n"/>
      <c r="U68" s="65" t="n"/>
      <c r="V68" s="63" t="n"/>
      <c r="W68" s="65" t="n"/>
      <c r="X68" s="69" t="str">
        <f>IF(AND(ISNUMBER($Q68),ISNUMBER($R68)),$R68-$Q68,"")</f>
        <v/>
      </c>
      <c r="Y68" s="71" t="str">
        <f>IF($AB68=1,IF(AND(ISNUMBER($V68),$M68&lt;&gt;"Converted",$M68&lt;&gt;"Rejected"),IF($V68&lt;=ReportDate,"DUE",""),""),"")</f>
        <v/>
      </c>
      <c r="Z68" s="75" t="str">
        <f>IF(ISNUMBER($Q68),$Q68,IF(ISNUMBER($A68),$A68,""))</f>
        <v/>
      </c>
      <c r="AA68" s="71" t="str">
        <f>IF(ISNUMBER($Z68),YEAR($Z68)&amp;"-"&amp;TEXT(MONTH($Z68),"00"),"")</f>
        <v/>
      </c>
      <c r="AB68" s="71">
        <f>IF($H68&lt;&gt;"",1,0)</f>
        <v>0</v>
      </c>
      <c r="AC68" s="71">
        <f>IF(AND($AB68=1,$G68="Yes"),1,0)</f>
        <v>0</v>
      </c>
      <c r="AD68" s="71">
        <f>IF(AND($AB68=1,$N68="MQL"),1,0)</f>
        <v>0</v>
      </c>
      <c r="AE68" s="71">
        <f>IF(AND($AB68=1,$O68="SQL"),1,0)</f>
        <v>0</v>
      </c>
      <c r="AF68" s="71">
        <f>IF(AND($AB68=1,OR($P68="Open",$P68="Won",$P68="Lost")),1,0)</f>
        <v>0</v>
      </c>
      <c r="AG68" s="71">
        <f>IF(AND($AB68=1,OR($M68="Converted",$P68="Won")),1,0)</f>
        <v>0</v>
      </c>
      <c r="AH68" s="71">
        <f>IF($AB68=0,0,IF(AND(OR(fClient="All",$B68=fClient),OR(fCampaign="All",$C68=fCampaign),OR(fTeam="All",$L68=fTeam),OR(fChannel="All",$F68=fChannel),OR(fMonth="All",$AA68=fMonth)),1,0))</f>
        <v>0</v>
      </c>
      <c r="AI68" s="71">
        <f>IF($AB68=0,0,IF(AND(OR(fClient="All",$B68=fClient),OR(fCampaign="All",$C68=fCampaign),OR(fTeam="All",$L68=fTeam),OR(fChannel="All",$F68=fChannel)),1,0))</f>
        <v>0</v>
      </c>
    </row>
    <row r="69">
      <c r="A69" s="63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3" t="n"/>
      <c r="R69" s="63" t="n"/>
      <c r="S69" s="63" t="n"/>
      <c r="T69" s="65" t="n"/>
      <c r="U69" s="65" t="n"/>
      <c r="V69" s="63" t="n"/>
      <c r="W69" s="65" t="n"/>
      <c r="X69" s="69" t="str">
        <f>IF(AND(ISNUMBER($Q69),ISNUMBER($R69)),$R69-$Q69,"")</f>
        <v/>
      </c>
      <c r="Y69" s="71" t="str">
        <f>IF($AB69=1,IF(AND(ISNUMBER($V69),$M69&lt;&gt;"Converted",$M69&lt;&gt;"Rejected"),IF($V69&lt;=ReportDate,"DUE",""),""),"")</f>
        <v/>
      </c>
      <c r="Z69" s="75" t="str">
        <f>IF(ISNUMBER($Q69),$Q69,IF(ISNUMBER($A69),$A69,""))</f>
        <v/>
      </c>
      <c r="AA69" s="71" t="str">
        <f>IF(ISNUMBER($Z69),YEAR($Z69)&amp;"-"&amp;TEXT(MONTH($Z69),"00"),"")</f>
        <v/>
      </c>
      <c r="AB69" s="71">
        <f>IF($H69&lt;&gt;"",1,0)</f>
        <v>0</v>
      </c>
      <c r="AC69" s="71">
        <f>IF(AND($AB69=1,$G69="Yes"),1,0)</f>
        <v>0</v>
      </c>
      <c r="AD69" s="71">
        <f>IF(AND($AB69=1,$N69="MQL"),1,0)</f>
        <v>0</v>
      </c>
      <c r="AE69" s="71">
        <f>IF(AND($AB69=1,$O69="SQL"),1,0)</f>
        <v>0</v>
      </c>
      <c r="AF69" s="71">
        <f>IF(AND($AB69=1,OR($P69="Open",$P69="Won",$P69="Lost")),1,0)</f>
        <v>0</v>
      </c>
      <c r="AG69" s="71">
        <f>IF(AND($AB69=1,OR($M69="Converted",$P69="Won")),1,0)</f>
        <v>0</v>
      </c>
      <c r="AH69" s="71">
        <f>IF($AB69=0,0,IF(AND(OR(fClient="All",$B69=fClient),OR(fCampaign="All",$C69=fCampaign),OR(fTeam="All",$L69=fTeam),OR(fChannel="All",$F69=fChannel),OR(fMonth="All",$AA69=fMonth)),1,0))</f>
        <v>0</v>
      </c>
      <c r="AI69" s="71">
        <f>IF($AB69=0,0,IF(AND(OR(fClient="All",$B69=fClient),OR(fCampaign="All",$C69=fCampaign),OR(fTeam="All",$L69=fTeam),OR(fChannel="All",$F69=fChannel)),1,0))</f>
        <v>0</v>
      </c>
    </row>
    <row r="70">
      <c r="A70" s="63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3" t="n"/>
      <c r="R70" s="63" t="n"/>
      <c r="S70" s="63" t="n"/>
      <c r="T70" s="65" t="n"/>
      <c r="U70" s="65" t="n"/>
      <c r="V70" s="63" t="n"/>
      <c r="W70" s="65" t="n"/>
      <c r="X70" s="69" t="str">
        <f>IF(AND(ISNUMBER($Q70),ISNUMBER($R70)),$R70-$Q70,"")</f>
        <v/>
      </c>
      <c r="Y70" s="71" t="str">
        <f>IF($AB70=1,IF(AND(ISNUMBER($V70),$M70&lt;&gt;"Converted",$M70&lt;&gt;"Rejected"),IF($V70&lt;=ReportDate,"DUE",""),""),"")</f>
        <v/>
      </c>
      <c r="Z70" s="75" t="str">
        <f>IF(ISNUMBER($Q70),$Q70,IF(ISNUMBER($A70),$A70,""))</f>
        <v/>
      </c>
      <c r="AA70" s="71" t="str">
        <f>IF(ISNUMBER($Z70),YEAR($Z70)&amp;"-"&amp;TEXT(MONTH($Z70),"00"),"")</f>
        <v/>
      </c>
      <c r="AB70" s="71">
        <f>IF($H70&lt;&gt;"",1,0)</f>
        <v>0</v>
      </c>
      <c r="AC70" s="71">
        <f>IF(AND($AB70=1,$G70="Yes"),1,0)</f>
        <v>0</v>
      </c>
      <c r="AD70" s="71">
        <f>IF(AND($AB70=1,$N70="MQL"),1,0)</f>
        <v>0</v>
      </c>
      <c r="AE70" s="71">
        <f>IF(AND($AB70=1,$O70="SQL"),1,0)</f>
        <v>0</v>
      </c>
      <c r="AF70" s="71">
        <f>IF(AND($AB70=1,OR($P70="Open",$P70="Won",$P70="Lost")),1,0)</f>
        <v>0</v>
      </c>
      <c r="AG70" s="71">
        <f>IF(AND($AB70=1,OR($M70="Converted",$P70="Won")),1,0)</f>
        <v>0</v>
      </c>
      <c r="AH70" s="71">
        <f>IF($AB70=0,0,IF(AND(OR(fClient="All",$B70=fClient),OR(fCampaign="All",$C70=fCampaign),OR(fTeam="All",$L70=fTeam),OR(fChannel="All",$F70=fChannel),OR(fMonth="All",$AA70=fMonth)),1,0))</f>
        <v>0</v>
      </c>
      <c r="AI70" s="71">
        <f>IF($AB70=0,0,IF(AND(OR(fClient="All",$B70=fClient),OR(fCampaign="All",$C70=fCampaign),OR(fTeam="All",$L70=fTeam),OR(fChannel="All",$F70=fChannel)),1,0))</f>
        <v>0</v>
      </c>
    </row>
    <row r="71">
      <c r="A71" s="63" t="n"/>
      <c r="B71" s="64" t="n"/>
      <c r="C71" s="64" t="n"/>
      <c r="D71" s="64" t="n"/>
      <c r="E71" s="64" t="n"/>
      <c r="F71" s="64" t="n"/>
      <c r="G71" s="64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3" t="n"/>
      <c r="R71" s="63" t="n"/>
      <c r="S71" s="63" t="n"/>
      <c r="T71" s="65" t="n"/>
      <c r="U71" s="65" t="n"/>
      <c r="V71" s="63" t="n"/>
      <c r="W71" s="65" t="n"/>
      <c r="X71" s="69" t="str">
        <f>IF(AND(ISNUMBER($Q71),ISNUMBER($R71)),$R71-$Q71,"")</f>
        <v/>
      </c>
      <c r="Y71" s="71" t="str">
        <f>IF($AB71=1,IF(AND(ISNUMBER($V71),$M71&lt;&gt;"Converted",$M71&lt;&gt;"Rejected"),IF($V71&lt;=ReportDate,"DUE",""),""),"")</f>
        <v/>
      </c>
      <c r="Z71" s="75" t="str">
        <f>IF(ISNUMBER($Q71),$Q71,IF(ISNUMBER($A71),$A71,""))</f>
        <v/>
      </c>
      <c r="AA71" s="71" t="str">
        <f>IF(ISNUMBER($Z71),YEAR($Z71)&amp;"-"&amp;TEXT(MONTH($Z71),"00"),"")</f>
        <v/>
      </c>
      <c r="AB71" s="71">
        <f>IF($H71&lt;&gt;"",1,0)</f>
        <v>0</v>
      </c>
      <c r="AC71" s="71">
        <f>IF(AND($AB71=1,$G71="Yes"),1,0)</f>
        <v>0</v>
      </c>
      <c r="AD71" s="71">
        <f>IF(AND($AB71=1,$N71="MQL"),1,0)</f>
        <v>0</v>
      </c>
      <c r="AE71" s="71">
        <f>IF(AND($AB71=1,$O71="SQL"),1,0)</f>
        <v>0</v>
      </c>
      <c r="AF71" s="71">
        <f>IF(AND($AB71=1,OR($P71="Open",$P71="Won",$P71="Lost")),1,0)</f>
        <v>0</v>
      </c>
      <c r="AG71" s="71">
        <f>IF(AND($AB71=1,OR($M71="Converted",$P71="Won")),1,0)</f>
        <v>0</v>
      </c>
      <c r="AH71" s="71">
        <f>IF($AB71=0,0,IF(AND(OR(fClient="All",$B71=fClient),OR(fCampaign="All",$C71=fCampaign),OR(fTeam="All",$L71=fTeam),OR(fChannel="All",$F71=fChannel),OR(fMonth="All",$AA71=fMonth)),1,0))</f>
        <v>0</v>
      </c>
      <c r="AI71" s="71">
        <f>IF($AB71=0,0,IF(AND(OR(fClient="All",$B71=fClient),OR(fCampaign="All",$C71=fCampaign),OR(fTeam="All",$L71=fTeam),OR(fChannel="All",$F71=fChannel)),1,0))</f>
        <v>0</v>
      </c>
    </row>
    <row r="72">
      <c r="A72" s="63" t="n"/>
      <c r="B72" s="64" t="n"/>
      <c r="C72" s="64" t="n"/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3" t="n"/>
      <c r="R72" s="63" t="n"/>
      <c r="S72" s="63" t="n"/>
      <c r="T72" s="65" t="n"/>
      <c r="U72" s="65" t="n"/>
      <c r="V72" s="63" t="n"/>
      <c r="W72" s="65" t="n"/>
      <c r="X72" s="69" t="str">
        <f>IF(AND(ISNUMBER($Q72),ISNUMBER($R72)),$R72-$Q72,"")</f>
        <v/>
      </c>
      <c r="Y72" s="71" t="str">
        <f>IF($AB72=1,IF(AND(ISNUMBER($V72),$M72&lt;&gt;"Converted",$M72&lt;&gt;"Rejected"),IF($V72&lt;=ReportDate,"DUE",""),""),"")</f>
        <v/>
      </c>
      <c r="Z72" s="75" t="str">
        <f>IF(ISNUMBER($Q72),$Q72,IF(ISNUMBER($A72),$A72,""))</f>
        <v/>
      </c>
      <c r="AA72" s="71" t="str">
        <f>IF(ISNUMBER($Z72),YEAR($Z72)&amp;"-"&amp;TEXT(MONTH($Z72),"00"),"")</f>
        <v/>
      </c>
      <c r="AB72" s="71">
        <f>IF($H72&lt;&gt;"",1,0)</f>
        <v>0</v>
      </c>
      <c r="AC72" s="71">
        <f>IF(AND($AB72=1,$G72="Yes"),1,0)</f>
        <v>0</v>
      </c>
      <c r="AD72" s="71">
        <f>IF(AND($AB72=1,$N72="MQL"),1,0)</f>
        <v>0</v>
      </c>
      <c r="AE72" s="71">
        <f>IF(AND($AB72=1,$O72="SQL"),1,0)</f>
        <v>0</v>
      </c>
      <c r="AF72" s="71">
        <f>IF(AND($AB72=1,OR($P72="Open",$P72="Won",$P72="Lost")),1,0)</f>
        <v>0</v>
      </c>
      <c r="AG72" s="71">
        <f>IF(AND($AB72=1,OR($M72="Converted",$P72="Won")),1,0)</f>
        <v>0</v>
      </c>
      <c r="AH72" s="71">
        <f>IF($AB72=0,0,IF(AND(OR(fClient="All",$B72=fClient),OR(fCampaign="All",$C72=fCampaign),OR(fTeam="All",$L72=fTeam),OR(fChannel="All",$F72=fChannel),OR(fMonth="All",$AA72=fMonth)),1,0))</f>
        <v>0</v>
      </c>
      <c r="AI72" s="71">
        <f>IF($AB72=0,0,IF(AND(OR(fClient="All",$B72=fClient),OR(fCampaign="All",$C72=fCampaign),OR(fTeam="All",$L72=fTeam),OR(fChannel="All",$F72=fChannel)),1,0))</f>
        <v>0</v>
      </c>
    </row>
    <row r="73">
      <c r="A73" s="63" t="n"/>
      <c r="B73" s="64" t="n"/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3" t="n"/>
      <c r="R73" s="63" t="n"/>
      <c r="S73" s="63" t="n"/>
      <c r="T73" s="65" t="n"/>
      <c r="U73" s="65" t="n"/>
      <c r="V73" s="63" t="n"/>
      <c r="W73" s="65" t="n"/>
      <c r="X73" s="69" t="str">
        <f>IF(AND(ISNUMBER($Q73),ISNUMBER($R73)),$R73-$Q73,"")</f>
        <v/>
      </c>
      <c r="Y73" s="71" t="str">
        <f>IF($AB73=1,IF(AND(ISNUMBER($V73),$M73&lt;&gt;"Converted",$M73&lt;&gt;"Rejected"),IF($V73&lt;=ReportDate,"DUE",""),""),"")</f>
        <v/>
      </c>
      <c r="Z73" s="75" t="str">
        <f>IF(ISNUMBER($Q73),$Q73,IF(ISNUMBER($A73),$A73,""))</f>
        <v/>
      </c>
      <c r="AA73" s="71" t="str">
        <f>IF(ISNUMBER($Z73),YEAR($Z73)&amp;"-"&amp;TEXT(MONTH($Z73),"00"),"")</f>
        <v/>
      </c>
      <c r="AB73" s="71">
        <f>IF($H73&lt;&gt;"",1,0)</f>
        <v>0</v>
      </c>
      <c r="AC73" s="71">
        <f>IF(AND($AB73=1,$G73="Yes"),1,0)</f>
        <v>0</v>
      </c>
      <c r="AD73" s="71">
        <f>IF(AND($AB73=1,$N73="MQL"),1,0)</f>
        <v>0</v>
      </c>
      <c r="AE73" s="71">
        <f>IF(AND($AB73=1,$O73="SQL"),1,0)</f>
        <v>0</v>
      </c>
      <c r="AF73" s="71">
        <f>IF(AND($AB73=1,OR($P73="Open",$P73="Won",$P73="Lost")),1,0)</f>
        <v>0</v>
      </c>
      <c r="AG73" s="71">
        <f>IF(AND($AB73=1,OR($M73="Converted",$P73="Won")),1,0)</f>
        <v>0</v>
      </c>
      <c r="AH73" s="71">
        <f>IF($AB73=0,0,IF(AND(OR(fClient="All",$B73=fClient),OR(fCampaign="All",$C73=fCampaign),OR(fTeam="All",$L73=fTeam),OR(fChannel="All",$F73=fChannel),OR(fMonth="All",$AA73=fMonth)),1,0))</f>
        <v>0</v>
      </c>
      <c r="AI73" s="71">
        <f>IF($AB73=0,0,IF(AND(OR(fClient="All",$B73=fClient),OR(fCampaign="All",$C73=fCampaign),OR(fTeam="All",$L73=fTeam),OR(fChannel="All",$F73=fChannel)),1,0))</f>
        <v>0</v>
      </c>
    </row>
    <row r="74">
      <c r="A74" s="63" t="n"/>
      <c r="B74" s="64" t="n"/>
      <c r="C74" s="64" t="n"/>
      <c r="D74" s="64" t="n"/>
      <c r="E74" s="64" t="n"/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3" t="n"/>
      <c r="R74" s="63" t="n"/>
      <c r="S74" s="63" t="n"/>
      <c r="T74" s="65" t="n"/>
      <c r="U74" s="65" t="n"/>
      <c r="V74" s="63" t="n"/>
      <c r="W74" s="65" t="n"/>
      <c r="X74" s="69" t="str">
        <f>IF(AND(ISNUMBER($Q74),ISNUMBER($R74)),$R74-$Q74,"")</f>
        <v/>
      </c>
      <c r="Y74" s="71" t="str">
        <f>IF($AB74=1,IF(AND(ISNUMBER($V74),$M74&lt;&gt;"Converted",$M74&lt;&gt;"Rejected"),IF($V74&lt;=ReportDate,"DUE",""),""),"")</f>
        <v/>
      </c>
      <c r="Z74" s="75" t="str">
        <f>IF(ISNUMBER($Q74),$Q74,IF(ISNUMBER($A74),$A74,""))</f>
        <v/>
      </c>
      <c r="AA74" s="71" t="str">
        <f>IF(ISNUMBER($Z74),YEAR($Z74)&amp;"-"&amp;TEXT(MONTH($Z74),"00"),"")</f>
        <v/>
      </c>
      <c r="AB74" s="71">
        <f>IF($H74&lt;&gt;"",1,0)</f>
        <v>0</v>
      </c>
      <c r="AC74" s="71">
        <f>IF(AND($AB74=1,$G74="Yes"),1,0)</f>
        <v>0</v>
      </c>
      <c r="AD74" s="71">
        <f>IF(AND($AB74=1,$N74="MQL"),1,0)</f>
        <v>0</v>
      </c>
      <c r="AE74" s="71">
        <f>IF(AND($AB74=1,$O74="SQL"),1,0)</f>
        <v>0</v>
      </c>
      <c r="AF74" s="71">
        <f>IF(AND($AB74=1,OR($P74="Open",$P74="Won",$P74="Lost")),1,0)</f>
        <v>0</v>
      </c>
      <c r="AG74" s="71">
        <f>IF(AND($AB74=1,OR($M74="Converted",$P74="Won")),1,0)</f>
        <v>0</v>
      </c>
      <c r="AH74" s="71">
        <f>IF($AB74=0,0,IF(AND(OR(fClient="All",$B74=fClient),OR(fCampaign="All",$C74=fCampaign),OR(fTeam="All",$L74=fTeam),OR(fChannel="All",$F74=fChannel),OR(fMonth="All",$AA74=fMonth)),1,0))</f>
        <v>0</v>
      </c>
      <c r="AI74" s="71">
        <f>IF($AB74=0,0,IF(AND(OR(fClient="All",$B74=fClient),OR(fCampaign="All",$C74=fCampaign),OR(fTeam="All",$L74=fTeam),OR(fChannel="All",$F74=fChannel)),1,0))</f>
        <v>0</v>
      </c>
    </row>
    <row r="75">
      <c r="A75" s="63" t="n"/>
      <c r="B75" s="64" t="n"/>
      <c r="C75" s="64" t="n"/>
      <c r="D75" s="64" t="n"/>
      <c r="E75" s="64" t="n"/>
      <c r="F75" s="64" t="n"/>
      <c r="G75" s="64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3" t="n"/>
      <c r="R75" s="63" t="n"/>
      <c r="S75" s="63" t="n"/>
      <c r="T75" s="65" t="n"/>
      <c r="U75" s="65" t="n"/>
      <c r="V75" s="63" t="n"/>
      <c r="W75" s="65" t="n"/>
      <c r="X75" s="69" t="str">
        <f>IF(AND(ISNUMBER($Q75),ISNUMBER($R75)),$R75-$Q75,"")</f>
        <v/>
      </c>
      <c r="Y75" s="71" t="str">
        <f>IF($AB75=1,IF(AND(ISNUMBER($V75),$M75&lt;&gt;"Converted",$M75&lt;&gt;"Rejected"),IF($V75&lt;=ReportDate,"DUE",""),""),"")</f>
        <v/>
      </c>
      <c r="Z75" s="75" t="str">
        <f>IF(ISNUMBER($Q75),$Q75,IF(ISNUMBER($A75),$A75,""))</f>
        <v/>
      </c>
      <c r="AA75" s="71" t="str">
        <f>IF(ISNUMBER($Z75),YEAR($Z75)&amp;"-"&amp;TEXT(MONTH($Z75),"00"),"")</f>
        <v/>
      </c>
      <c r="AB75" s="71">
        <f>IF($H75&lt;&gt;"",1,0)</f>
        <v>0</v>
      </c>
      <c r="AC75" s="71">
        <f>IF(AND($AB75=1,$G75="Yes"),1,0)</f>
        <v>0</v>
      </c>
      <c r="AD75" s="71">
        <f>IF(AND($AB75=1,$N75="MQL"),1,0)</f>
        <v>0</v>
      </c>
      <c r="AE75" s="71">
        <f>IF(AND($AB75=1,$O75="SQL"),1,0)</f>
        <v>0</v>
      </c>
      <c r="AF75" s="71">
        <f>IF(AND($AB75=1,OR($P75="Open",$P75="Won",$P75="Lost")),1,0)</f>
        <v>0</v>
      </c>
      <c r="AG75" s="71">
        <f>IF(AND($AB75=1,OR($M75="Converted",$P75="Won")),1,0)</f>
        <v>0</v>
      </c>
      <c r="AH75" s="71">
        <f>IF($AB75=0,0,IF(AND(OR(fClient="All",$B75=fClient),OR(fCampaign="All",$C75=fCampaign),OR(fTeam="All",$L75=fTeam),OR(fChannel="All",$F75=fChannel),OR(fMonth="All",$AA75=fMonth)),1,0))</f>
        <v>0</v>
      </c>
      <c r="AI75" s="71">
        <f>IF($AB75=0,0,IF(AND(OR(fClient="All",$B75=fClient),OR(fCampaign="All",$C75=fCampaign),OR(fTeam="All",$L75=fTeam),OR(fChannel="All",$F75=fChannel)),1,0))</f>
        <v>0</v>
      </c>
    </row>
    <row r="76">
      <c r="A76" s="63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3" t="n"/>
      <c r="R76" s="63" t="n"/>
      <c r="S76" s="63" t="n"/>
      <c r="T76" s="65" t="n"/>
      <c r="U76" s="65" t="n"/>
      <c r="V76" s="63" t="n"/>
      <c r="W76" s="65" t="n"/>
      <c r="X76" s="69" t="str">
        <f>IF(AND(ISNUMBER($Q76),ISNUMBER($R76)),$R76-$Q76,"")</f>
        <v/>
      </c>
      <c r="Y76" s="71" t="str">
        <f>IF($AB76=1,IF(AND(ISNUMBER($V76),$M76&lt;&gt;"Converted",$M76&lt;&gt;"Rejected"),IF($V76&lt;=ReportDate,"DUE",""),""),"")</f>
        <v/>
      </c>
      <c r="Z76" s="75" t="str">
        <f>IF(ISNUMBER($Q76),$Q76,IF(ISNUMBER($A76),$A76,""))</f>
        <v/>
      </c>
      <c r="AA76" s="71" t="str">
        <f>IF(ISNUMBER($Z76),YEAR($Z76)&amp;"-"&amp;TEXT(MONTH($Z76),"00"),"")</f>
        <v/>
      </c>
      <c r="AB76" s="71">
        <f>IF($H76&lt;&gt;"",1,0)</f>
        <v>0</v>
      </c>
      <c r="AC76" s="71">
        <f>IF(AND($AB76=1,$G76="Yes"),1,0)</f>
        <v>0</v>
      </c>
      <c r="AD76" s="71">
        <f>IF(AND($AB76=1,$N76="MQL"),1,0)</f>
        <v>0</v>
      </c>
      <c r="AE76" s="71">
        <f>IF(AND($AB76=1,$O76="SQL"),1,0)</f>
        <v>0</v>
      </c>
      <c r="AF76" s="71">
        <f>IF(AND($AB76=1,OR($P76="Open",$P76="Won",$P76="Lost")),1,0)</f>
        <v>0</v>
      </c>
      <c r="AG76" s="71">
        <f>IF(AND($AB76=1,OR($M76="Converted",$P76="Won")),1,0)</f>
        <v>0</v>
      </c>
      <c r="AH76" s="71">
        <f>IF($AB76=0,0,IF(AND(OR(fClient="All",$B76=fClient),OR(fCampaign="All",$C76=fCampaign),OR(fTeam="All",$L76=fTeam),OR(fChannel="All",$F76=fChannel),OR(fMonth="All",$AA76=fMonth)),1,0))</f>
        <v>0</v>
      </c>
      <c r="AI76" s="71">
        <f>IF($AB76=0,0,IF(AND(OR(fClient="All",$B76=fClient),OR(fCampaign="All",$C76=fCampaign),OR(fTeam="All",$L76=fTeam),OR(fChannel="All",$F76=fChannel)),1,0))</f>
        <v>0</v>
      </c>
    </row>
    <row r="77">
      <c r="A77" s="63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3" t="n"/>
      <c r="R77" s="63" t="n"/>
      <c r="S77" s="63" t="n"/>
      <c r="T77" s="65" t="n"/>
      <c r="U77" s="65" t="n"/>
      <c r="V77" s="63" t="n"/>
      <c r="W77" s="65" t="n"/>
      <c r="X77" s="69" t="str">
        <f>IF(AND(ISNUMBER($Q77),ISNUMBER($R77)),$R77-$Q77,"")</f>
        <v/>
      </c>
      <c r="Y77" s="71" t="str">
        <f>IF($AB77=1,IF(AND(ISNUMBER($V77),$M77&lt;&gt;"Converted",$M77&lt;&gt;"Rejected"),IF($V77&lt;=ReportDate,"DUE",""),""),"")</f>
        <v/>
      </c>
      <c r="Z77" s="75" t="str">
        <f>IF(ISNUMBER($Q77),$Q77,IF(ISNUMBER($A77),$A77,""))</f>
        <v/>
      </c>
      <c r="AA77" s="71" t="str">
        <f>IF(ISNUMBER($Z77),YEAR($Z77)&amp;"-"&amp;TEXT(MONTH($Z77),"00"),"")</f>
        <v/>
      </c>
      <c r="AB77" s="71">
        <f>IF($H77&lt;&gt;"",1,0)</f>
        <v>0</v>
      </c>
      <c r="AC77" s="71">
        <f>IF(AND($AB77=1,$G77="Yes"),1,0)</f>
        <v>0</v>
      </c>
      <c r="AD77" s="71">
        <f>IF(AND($AB77=1,$N77="MQL"),1,0)</f>
        <v>0</v>
      </c>
      <c r="AE77" s="71">
        <f>IF(AND($AB77=1,$O77="SQL"),1,0)</f>
        <v>0</v>
      </c>
      <c r="AF77" s="71">
        <f>IF(AND($AB77=1,OR($P77="Open",$P77="Won",$P77="Lost")),1,0)</f>
        <v>0</v>
      </c>
      <c r="AG77" s="71">
        <f>IF(AND($AB77=1,OR($M77="Converted",$P77="Won")),1,0)</f>
        <v>0</v>
      </c>
      <c r="AH77" s="71">
        <f>IF($AB77=0,0,IF(AND(OR(fClient="All",$B77=fClient),OR(fCampaign="All",$C77=fCampaign),OR(fTeam="All",$L77=fTeam),OR(fChannel="All",$F77=fChannel),OR(fMonth="All",$AA77=fMonth)),1,0))</f>
        <v>0</v>
      </c>
      <c r="AI77" s="71">
        <f>IF($AB77=0,0,IF(AND(OR(fClient="All",$B77=fClient),OR(fCampaign="All",$C77=fCampaign),OR(fTeam="All",$L77=fTeam),OR(fChannel="All",$F77=fChannel)),1,0))</f>
        <v>0</v>
      </c>
    </row>
    <row r="78">
      <c r="A78" s="63" t="n"/>
      <c r="B78" s="64" t="n"/>
      <c r="C78" s="64" t="n"/>
      <c r="D78" s="64" t="n"/>
      <c r="E78" s="64" t="n"/>
      <c r="F78" s="64" t="n"/>
      <c r="G78" s="64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3" t="n"/>
      <c r="R78" s="63" t="n"/>
      <c r="S78" s="63" t="n"/>
      <c r="T78" s="65" t="n"/>
      <c r="U78" s="65" t="n"/>
      <c r="V78" s="63" t="n"/>
      <c r="W78" s="65" t="n"/>
      <c r="X78" s="69" t="str">
        <f>IF(AND(ISNUMBER($Q78),ISNUMBER($R78)),$R78-$Q78,"")</f>
        <v/>
      </c>
      <c r="Y78" s="71" t="str">
        <f>IF($AB78=1,IF(AND(ISNUMBER($V78),$M78&lt;&gt;"Converted",$M78&lt;&gt;"Rejected"),IF($V78&lt;=ReportDate,"DUE",""),""),"")</f>
        <v/>
      </c>
      <c r="Z78" s="75" t="str">
        <f>IF(ISNUMBER($Q78),$Q78,IF(ISNUMBER($A78),$A78,""))</f>
        <v/>
      </c>
      <c r="AA78" s="71" t="str">
        <f>IF(ISNUMBER($Z78),YEAR($Z78)&amp;"-"&amp;TEXT(MONTH($Z78),"00"),"")</f>
        <v/>
      </c>
      <c r="AB78" s="71">
        <f>IF($H78&lt;&gt;"",1,0)</f>
        <v>0</v>
      </c>
      <c r="AC78" s="71">
        <f>IF(AND($AB78=1,$G78="Yes"),1,0)</f>
        <v>0</v>
      </c>
      <c r="AD78" s="71">
        <f>IF(AND($AB78=1,$N78="MQL"),1,0)</f>
        <v>0</v>
      </c>
      <c r="AE78" s="71">
        <f>IF(AND($AB78=1,$O78="SQL"),1,0)</f>
        <v>0</v>
      </c>
      <c r="AF78" s="71">
        <f>IF(AND($AB78=1,OR($P78="Open",$P78="Won",$P78="Lost")),1,0)</f>
        <v>0</v>
      </c>
      <c r="AG78" s="71">
        <f>IF(AND($AB78=1,OR($M78="Converted",$P78="Won")),1,0)</f>
        <v>0</v>
      </c>
      <c r="AH78" s="71">
        <f>IF($AB78=0,0,IF(AND(OR(fClient="All",$B78=fClient),OR(fCampaign="All",$C78=fCampaign),OR(fTeam="All",$L78=fTeam),OR(fChannel="All",$F78=fChannel),OR(fMonth="All",$AA78=fMonth)),1,0))</f>
        <v>0</v>
      </c>
      <c r="AI78" s="71">
        <f>IF($AB78=0,0,IF(AND(OR(fClient="All",$B78=fClient),OR(fCampaign="All",$C78=fCampaign),OR(fTeam="All",$L78=fTeam),OR(fChannel="All",$F78=fChannel)),1,0))</f>
        <v>0</v>
      </c>
    </row>
    <row r="79">
      <c r="A79" s="63" t="n"/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3" t="n"/>
      <c r="R79" s="63" t="n"/>
      <c r="S79" s="63" t="n"/>
      <c r="T79" s="65" t="n"/>
      <c r="U79" s="65" t="n"/>
      <c r="V79" s="63" t="n"/>
      <c r="W79" s="65" t="n"/>
      <c r="X79" s="69" t="str">
        <f>IF(AND(ISNUMBER($Q79),ISNUMBER($R79)),$R79-$Q79,"")</f>
        <v/>
      </c>
      <c r="Y79" s="71" t="str">
        <f>IF($AB79=1,IF(AND(ISNUMBER($V79),$M79&lt;&gt;"Converted",$M79&lt;&gt;"Rejected"),IF($V79&lt;=ReportDate,"DUE",""),""),"")</f>
        <v/>
      </c>
      <c r="Z79" s="75" t="str">
        <f>IF(ISNUMBER($Q79),$Q79,IF(ISNUMBER($A79),$A79,""))</f>
        <v/>
      </c>
      <c r="AA79" s="71" t="str">
        <f>IF(ISNUMBER($Z79),YEAR($Z79)&amp;"-"&amp;TEXT(MONTH($Z79),"00"),"")</f>
        <v/>
      </c>
      <c r="AB79" s="71">
        <f>IF($H79&lt;&gt;"",1,0)</f>
        <v>0</v>
      </c>
      <c r="AC79" s="71">
        <f>IF(AND($AB79=1,$G79="Yes"),1,0)</f>
        <v>0</v>
      </c>
      <c r="AD79" s="71">
        <f>IF(AND($AB79=1,$N79="MQL"),1,0)</f>
        <v>0</v>
      </c>
      <c r="AE79" s="71">
        <f>IF(AND($AB79=1,$O79="SQL"),1,0)</f>
        <v>0</v>
      </c>
      <c r="AF79" s="71">
        <f>IF(AND($AB79=1,OR($P79="Open",$P79="Won",$P79="Lost")),1,0)</f>
        <v>0</v>
      </c>
      <c r="AG79" s="71">
        <f>IF(AND($AB79=1,OR($M79="Converted",$P79="Won")),1,0)</f>
        <v>0</v>
      </c>
      <c r="AH79" s="71">
        <f>IF($AB79=0,0,IF(AND(OR(fClient="All",$B79=fClient),OR(fCampaign="All",$C79=fCampaign),OR(fTeam="All",$L79=fTeam),OR(fChannel="All",$F79=fChannel),OR(fMonth="All",$AA79=fMonth)),1,0))</f>
        <v>0</v>
      </c>
      <c r="AI79" s="71">
        <f>IF($AB79=0,0,IF(AND(OR(fClient="All",$B79=fClient),OR(fCampaign="All",$C79=fCampaign),OR(fTeam="All",$L79=fTeam),OR(fChannel="All",$F79=fChannel)),1,0))</f>
        <v>0</v>
      </c>
    </row>
    <row r="80">
      <c r="A80" s="63" t="n"/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3" t="n"/>
      <c r="R80" s="63" t="n"/>
      <c r="S80" s="63" t="n"/>
      <c r="T80" s="65" t="n"/>
      <c r="U80" s="65" t="n"/>
      <c r="V80" s="63" t="n"/>
      <c r="W80" s="65" t="n"/>
      <c r="X80" s="69" t="str">
        <f>IF(AND(ISNUMBER($Q80),ISNUMBER($R80)),$R80-$Q80,"")</f>
        <v/>
      </c>
      <c r="Y80" s="71" t="str">
        <f>IF($AB80=1,IF(AND(ISNUMBER($V80),$M80&lt;&gt;"Converted",$M80&lt;&gt;"Rejected"),IF($V80&lt;=ReportDate,"DUE",""),""),"")</f>
        <v/>
      </c>
      <c r="Z80" s="75" t="str">
        <f>IF(ISNUMBER($Q80),$Q80,IF(ISNUMBER($A80),$A80,""))</f>
        <v/>
      </c>
      <c r="AA80" s="71" t="str">
        <f>IF(ISNUMBER($Z80),YEAR($Z80)&amp;"-"&amp;TEXT(MONTH($Z80),"00"),"")</f>
        <v/>
      </c>
      <c r="AB80" s="71">
        <f>IF($H80&lt;&gt;"",1,0)</f>
        <v>0</v>
      </c>
      <c r="AC80" s="71">
        <f>IF(AND($AB80=1,$G80="Yes"),1,0)</f>
        <v>0</v>
      </c>
      <c r="AD80" s="71">
        <f>IF(AND($AB80=1,$N80="MQL"),1,0)</f>
        <v>0</v>
      </c>
      <c r="AE80" s="71">
        <f>IF(AND($AB80=1,$O80="SQL"),1,0)</f>
        <v>0</v>
      </c>
      <c r="AF80" s="71">
        <f>IF(AND($AB80=1,OR($P80="Open",$P80="Won",$P80="Lost")),1,0)</f>
        <v>0</v>
      </c>
      <c r="AG80" s="71">
        <f>IF(AND($AB80=1,OR($M80="Converted",$P80="Won")),1,0)</f>
        <v>0</v>
      </c>
      <c r="AH80" s="71">
        <f>IF($AB80=0,0,IF(AND(OR(fClient="All",$B80=fClient),OR(fCampaign="All",$C80=fCampaign),OR(fTeam="All",$L80=fTeam),OR(fChannel="All",$F80=fChannel),OR(fMonth="All",$AA80=fMonth)),1,0))</f>
        <v>0</v>
      </c>
      <c r="AI80" s="71">
        <f>IF($AB80=0,0,IF(AND(OR(fClient="All",$B80=fClient),OR(fCampaign="All",$C80=fCampaign),OR(fTeam="All",$L80=fTeam),OR(fChannel="All",$F80=fChannel)),1,0))</f>
        <v>0</v>
      </c>
    </row>
    <row r="81">
      <c r="A81" s="63" t="n"/>
      <c r="B81" s="64" t="n"/>
      <c r="C81" s="64" t="n"/>
      <c r="D81" s="64" t="n"/>
      <c r="E81" s="64" t="n"/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3" t="n"/>
      <c r="R81" s="63" t="n"/>
      <c r="S81" s="63" t="n"/>
      <c r="T81" s="65" t="n"/>
      <c r="U81" s="65" t="n"/>
      <c r="V81" s="63" t="n"/>
      <c r="W81" s="65" t="n"/>
      <c r="X81" s="69" t="str">
        <f>IF(AND(ISNUMBER($Q81),ISNUMBER($R81)),$R81-$Q81,"")</f>
        <v/>
      </c>
      <c r="Y81" s="71" t="str">
        <f>IF($AB81=1,IF(AND(ISNUMBER($V81),$M81&lt;&gt;"Converted",$M81&lt;&gt;"Rejected"),IF($V81&lt;=ReportDate,"DUE",""),""),"")</f>
        <v/>
      </c>
      <c r="Z81" s="75" t="str">
        <f>IF(ISNUMBER($Q81),$Q81,IF(ISNUMBER($A81),$A81,""))</f>
        <v/>
      </c>
      <c r="AA81" s="71" t="str">
        <f>IF(ISNUMBER($Z81),YEAR($Z81)&amp;"-"&amp;TEXT(MONTH($Z81),"00"),"")</f>
        <v/>
      </c>
      <c r="AB81" s="71">
        <f>IF($H81&lt;&gt;"",1,0)</f>
        <v>0</v>
      </c>
      <c r="AC81" s="71">
        <f>IF(AND($AB81=1,$G81="Yes"),1,0)</f>
        <v>0</v>
      </c>
      <c r="AD81" s="71">
        <f>IF(AND($AB81=1,$N81="MQL"),1,0)</f>
        <v>0</v>
      </c>
      <c r="AE81" s="71">
        <f>IF(AND($AB81=1,$O81="SQL"),1,0)</f>
        <v>0</v>
      </c>
      <c r="AF81" s="71">
        <f>IF(AND($AB81=1,OR($P81="Open",$P81="Won",$P81="Lost")),1,0)</f>
        <v>0</v>
      </c>
      <c r="AG81" s="71">
        <f>IF(AND($AB81=1,OR($M81="Converted",$P81="Won")),1,0)</f>
        <v>0</v>
      </c>
      <c r="AH81" s="71">
        <f>IF($AB81=0,0,IF(AND(OR(fClient="All",$B81=fClient),OR(fCampaign="All",$C81=fCampaign),OR(fTeam="All",$L81=fTeam),OR(fChannel="All",$F81=fChannel),OR(fMonth="All",$AA81=fMonth)),1,0))</f>
        <v>0</v>
      </c>
      <c r="AI81" s="71">
        <f>IF($AB81=0,0,IF(AND(OR(fClient="All",$B81=fClient),OR(fCampaign="All",$C81=fCampaign),OR(fTeam="All",$L81=fTeam),OR(fChannel="All",$F81=fChannel)),1,0))</f>
        <v>0</v>
      </c>
    </row>
    <row r="82">
      <c r="A82" s="63" t="n"/>
      <c r="B82" s="64" t="n"/>
      <c r="C82" s="64" t="n"/>
      <c r="D82" s="64" t="n"/>
      <c r="E82" s="64" t="n"/>
      <c r="F82" s="64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/>
      <c r="Q82" s="63" t="n"/>
      <c r="R82" s="63" t="n"/>
      <c r="S82" s="63" t="n"/>
      <c r="T82" s="65" t="n"/>
      <c r="U82" s="65" t="n"/>
      <c r="V82" s="63" t="n"/>
      <c r="W82" s="65" t="n"/>
      <c r="X82" s="69" t="str">
        <f>IF(AND(ISNUMBER($Q82),ISNUMBER($R82)),$R82-$Q82,"")</f>
        <v/>
      </c>
      <c r="Y82" s="71" t="str">
        <f>IF($AB82=1,IF(AND(ISNUMBER($V82),$M82&lt;&gt;"Converted",$M82&lt;&gt;"Rejected"),IF($V82&lt;=ReportDate,"DUE",""),""),"")</f>
        <v/>
      </c>
      <c r="Z82" s="75" t="str">
        <f>IF(ISNUMBER($Q82),$Q82,IF(ISNUMBER($A82),$A82,""))</f>
        <v/>
      </c>
      <c r="AA82" s="71" t="str">
        <f>IF(ISNUMBER($Z82),YEAR($Z82)&amp;"-"&amp;TEXT(MONTH($Z82),"00"),"")</f>
        <v/>
      </c>
      <c r="AB82" s="71">
        <f>IF($H82&lt;&gt;"",1,0)</f>
        <v>0</v>
      </c>
      <c r="AC82" s="71">
        <f>IF(AND($AB82=1,$G82="Yes"),1,0)</f>
        <v>0</v>
      </c>
      <c r="AD82" s="71">
        <f>IF(AND($AB82=1,$N82="MQL"),1,0)</f>
        <v>0</v>
      </c>
      <c r="AE82" s="71">
        <f>IF(AND($AB82=1,$O82="SQL"),1,0)</f>
        <v>0</v>
      </c>
      <c r="AF82" s="71">
        <f>IF(AND($AB82=1,OR($P82="Open",$P82="Won",$P82="Lost")),1,0)</f>
        <v>0</v>
      </c>
      <c r="AG82" s="71">
        <f>IF(AND($AB82=1,OR($M82="Converted",$P82="Won")),1,0)</f>
        <v>0</v>
      </c>
      <c r="AH82" s="71">
        <f>IF($AB82=0,0,IF(AND(OR(fClient="All",$B82=fClient),OR(fCampaign="All",$C82=fCampaign),OR(fTeam="All",$L82=fTeam),OR(fChannel="All",$F82=fChannel),OR(fMonth="All",$AA82=fMonth)),1,0))</f>
        <v>0</v>
      </c>
      <c r="AI82" s="71">
        <f>IF($AB82=0,0,IF(AND(OR(fClient="All",$B82=fClient),OR(fCampaign="All",$C82=fCampaign),OR(fTeam="All",$L82=fTeam),OR(fChannel="All",$F82=fChannel)),1,0))</f>
        <v>0</v>
      </c>
    </row>
    <row r="83">
      <c r="A83" s="63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3" t="n"/>
      <c r="R83" s="63" t="n"/>
      <c r="S83" s="63" t="n"/>
      <c r="T83" s="65" t="n"/>
      <c r="U83" s="65" t="n"/>
      <c r="V83" s="63" t="n"/>
      <c r="W83" s="65" t="n"/>
      <c r="X83" s="69" t="str">
        <f>IF(AND(ISNUMBER($Q83),ISNUMBER($R83)),$R83-$Q83,"")</f>
        <v/>
      </c>
      <c r="Y83" s="71" t="str">
        <f>IF($AB83=1,IF(AND(ISNUMBER($V83),$M83&lt;&gt;"Converted",$M83&lt;&gt;"Rejected"),IF($V83&lt;=ReportDate,"DUE",""),""),"")</f>
        <v/>
      </c>
      <c r="Z83" s="75" t="str">
        <f>IF(ISNUMBER($Q83),$Q83,IF(ISNUMBER($A83),$A83,""))</f>
        <v/>
      </c>
      <c r="AA83" s="71" t="str">
        <f>IF(ISNUMBER($Z83),YEAR($Z83)&amp;"-"&amp;TEXT(MONTH($Z83),"00"),"")</f>
        <v/>
      </c>
      <c r="AB83" s="71">
        <f>IF($H83&lt;&gt;"",1,0)</f>
        <v>0</v>
      </c>
      <c r="AC83" s="71">
        <f>IF(AND($AB83=1,$G83="Yes"),1,0)</f>
        <v>0</v>
      </c>
      <c r="AD83" s="71">
        <f>IF(AND($AB83=1,$N83="MQL"),1,0)</f>
        <v>0</v>
      </c>
      <c r="AE83" s="71">
        <f>IF(AND($AB83=1,$O83="SQL"),1,0)</f>
        <v>0</v>
      </c>
      <c r="AF83" s="71">
        <f>IF(AND($AB83=1,OR($P83="Open",$P83="Won",$P83="Lost")),1,0)</f>
        <v>0</v>
      </c>
      <c r="AG83" s="71">
        <f>IF(AND($AB83=1,OR($M83="Converted",$P83="Won")),1,0)</f>
        <v>0</v>
      </c>
      <c r="AH83" s="71">
        <f>IF($AB83=0,0,IF(AND(OR(fClient="All",$B83=fClient),OR(fCampaign="All",$C83=fCampaign),OR(fTeam="All",$L83=fTeam),OR(fChannel="All",$F83=fChannel),OR(fMonth="All",$AA83=fMonth)),1,0))</f>
        <v>0</v>
      </c>
      <c r="AI83" s="71">
        <f>IF($AB83=0,0,IF(AND(OR(fClient="All",$B83=fClient),OR(fCampaign="All",$C83=fCampaign),OR(fTeam="All",$L83=fTeam),OR(fChannel="All",$F83=fChannel)),1,0))</f>
        <v>0</v>
      </c>
    </row>
    <row r="84">
      <c r="A84" s="63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3" t="n"/>
      <c r="R84" s="63" t="n"/>
      <c r="S84" s="63" t="n"/>
      <c r="T84" s="65" t="n"/>
      <c r="U84" s="65" t="n"/>
      <c r="V84" s="63" t="n"/>
      <c r="W84" s="65" t="n"/>
      <c r="X84" s="69" t="str">
        <f>IF(AND(ISNUMBER($Q84),ISNUMBER($R84)),$R84-$Q84,"")</f>
        <v/>
      </c>
      <c r="Y84" s="71" t="str">
        <f>IF($AB84=1,IF(AND(ISNUMBER($V84),$M84&lt;&gt;"Converted",$M84&lt;&gt;"Rejected"),IF($V84&lt;=ReportDate,"DUE",""),""),"")</f>
        <v/>
      </c>
      <c r="Z84" s="75" t="str">
        <f>IF(ISNUMBER($Q84),$Q84,IF(ISNUMBER($A84),$A84,""))</f>
        <v/>
      </c>
      <c r="AA84" s="71" t="str">
        <f>IF(ISNUMBER($Z84),YEAR($Z84)&amp;"-"&amp;TEXT(MONTH($Z84),"00"),"")</f>
        <v/>
      </c>
      <c r="AB84" s="71">
        <f>IF($H84&lt;&gt;"",1,0)</f>
        <v>0</v>
      </c>
      <c r="AC84" s="71">
        <f>IF(AND($AB84=1,$G84="Yes"),1,0)</f>
        <v>0</v>
      </c>
      <c r="AD84" s="71">
        <f>IF(AND($AB84=1,$N84="MQL"),1,0)</f>
        <v>0</v>
      </c>
      <c r="AE84" s="71">
        <f>IF(AND($AB84=1,$O84="SQL"),1,0)</f>
        <v>0</v>
      </c>
      <c r="AF84" s="71">
        <f>IF(AND($AB84=1,OR($P84="Open",$P84="Won",$P84="Lost")),1,0)</f>
        <v>0</v>
      </c>
      <c r="AG84" s="71">
        <f>IF(AND($AB84=1,OR($M84="Converted",$P84="Won")),1,0)</f>
        <v>0</v>
      </c>
      <c r="AH84" s="71">
        <f>IF($AB84=0,0,IF(AND(OR(fClient="All",$B84=fClient),OR(fCampaign="All",$C84=fCampaign),OR(fTeam="All",$L84=fTeam),OR(fChannel="All",$F84=fChannel),OR(fMonth="All",$AA84=fMonth)),1,0))</f>
        <v>0</v>
      </c>
      <c r="AI84" s="71">
        <f>IF($AB84=0,0,IF(AND(OR(fClient="All",$B84=fClient),OR(fCampaign="All",$C84=fCampaign),OR(fTeam="All",$L84=fTeam),OR(fChannel="All",$F84=fChannel)),1,0))</f>
        <v>0</v>
      </c>
    </row>
    <row r="85">
      <c r="A85" s="63" t="n"/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3" t="n"/>
      <c r="R85" s="63" t="n"/>
      <c r="S85" s="63" t="n"/>
      <c r="T85" s="65" t="n"/>
      <c r="U85" s="65" t="n"/>
      <c r="V85" s="63" t="n"/>
      <c r="W85" s="65" t="n"/>
      <c r="X85" s="69" t="str">
        <f>IF(AND(ISNUMBER($Q85),ISNUMBER($R85)),$R85-$Q85,"")</f>
        <v/>
      </c>
      <c r="Y85" s="71" t="str">
        <f>IF($AB85=1,IF(AND(ISNUMBER($V85),$M85&lt;&gt;"Converted",$M85&lt;&gt;"Rejected"),IF($V85&lt;=ReportDate,"DUE",""),""),"")</f>
        <v/>
      </c>
      <c r="Z85" s="75" t="str">
        <f>IF(ISNUMBER($Q85),$Q85,IF(ISNUMBER($A85),$A85,""))</f>
        <v/>
      </c>
      <c r="AA85" s="71" t="str">
        <f>IF(ISNUMBER($Z85),YEAR($Z85)&amp;"-"&amp;TEXT(MONTH($Z85),"00"),"")</f>
        <v/>
      </c>
      <c r="AB85" s="71">
        <f>IF($H85&lt;&gt;"",1,0)</f>
        <v>0</v>
      </c>
      <c r="AC85" s="71">
        <f>IF(AND($AB85=1,$G85="Yes"),1,0)</f>
        <v>0</v>
      </c>
      <c r="AD85" s="71">
        <f>IF(AND($AB85=1,$N85="MQL"),1,0)</f>
        <v>0</v>
      </c>
      <c r="AE85" s="71">
        <f>IF(AND($AB85=1,$O85="SQL"),1,0)</f>
        <v>0</v>
      </c>
      <c r="AF85" s="71">
        <f>IF(AND($AB85=1,OR($P85="Open",$P85="Won",$P85="Lost")),1,0)</f>
        <v>0</v>
      </c>
      <c r="AG85" s="71">
        <f>IF(AND($AB85=1,OR($M85="Converted",$P85="Won")),1,0)</f>
        <v>0</v>
      </c>
      <c r="AH85" s="71">
        <f>IF($AB85=0,0,IF(AND(OR(fClient="All",$B85=fClient),OR(fCampaign="All",$C85=fCampaign),OR(fTeam="All",$L85=fTeam),OR(fChannel="All",$F85=fChannel),OR(fMonth="All",$AA85=fMonth)),1,0))</f>
        <v>0</v>
      </c>
      <c r="AI85" s="71">
        <f>IF($AB85=0,0,IF(AND(OR(fClient="All",$B85=fClient),OR(fCampaign="All",$C85=fCampaign),OR(fTeam="All",$L85=fTeam),OR(fChannel="All",$F85=fChannel)),1,0))</f>
        <v>0</v>
      </c>
    </row>
    <row r="86">
      <c r="A86" s="63" t="n"/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3" t="n"/>
      <c r="R86" s="63" t="n"/>
      <c r="S86" s="63" t="n"/>
      <c r="T86" s="65" t="n"/>
      <c r="U86" s="65" t="n"/>
      <c r="V86" s="63" t="n"/>
      <c r="W86" s="65" t="n"/>
      <c r="X86" s="69" t="str">
        <f>IF(AND(ISNUMBER($Q86),ISNUMBER($R86)),$R86-$Q86,"")</f>
        <v/>
      </c>
      <c r="Y86" s="71" t="str">
        <f>IF($AB86=1,IF(AND(ISNUMBER($V86),$M86&lt;&gt;"Converted",$M86&lt;&gt;"Rejected"),IF($V86&lt;=ReportDate,"DUE",""),""),"")</f>
        <v/>
      </c>
      <c r="Z86" s="75" t="str">
        <f>IF(ISNUMBER($Q86),$Q86,IF(ISNUMBER($A86),$A86,""))</f>
        <v/>
      </c>
      <c r="AA86" s="71" t="str">
        <f>IF(ISNUMBER($Z86),YEAR($Z86)&amp;"-"&amp;TEXT(MONTH($Z86),"00"),"")</f>
        <v/>
      </c>
      <c r="AB86" s="71">
        <f>IF($H86&lt;&gt;"",1,0)</f>
        <v>0</v>
      </c>
      <c r="AC86" s="71">
        <f>IF(AND($AB86=1,$G86="Yes"),1,0)</f>
        <v>0</v>
      </c>
      <c r="AD86" s="71">
        <f>IF(AND($AB86=1,$N86="MQL"),1,0)</f>
        <v>0</v>
      </c>
      <c r="AE86" s="71">
        <f>IF(AND($AB86=1,$O86="SQL"),1,0)</f>
        <v>0</v>
      </c>
      <c r="AF86" s="71">
        <f>IF(AND($AB86=1,OR($P86="Open",$P86="Won",$P86="Lost")),1,0)</f>
        <v>0</v>
      </c>
      <c r="AG86" s="71">
        <f>IF(AND($AB86=1,OR($M86="Converted",$P86="Won")),1,0)</f>
        <v>0</v>
      </c>
      <c r="AH86" s="71">
        <f>IF($AB86=0,0,IF(AND(OR(fClient="All",$B86=fClient),OR(fCampaign="All",$C86=fCampaign),OR(fTeam="All",$L86=fTeam),OR(fChannel="All",$F86=fChannel),OR(fMonth="All",$AA86=fMonth)),1,0))</f>
        <v>0</v>
      </c>
      <c r="AI86" s="71">
        <f>IF($AB86=0,0,IF(AND(OR(fClient="All",$B86=fClient),OR(fCampaign="All",$C86=fCampaign),OR(fTeam="All",$L86=fTeam),OR(fChannel="All",$F86=fChannel)),1,0))</f>
        <v>0</v>
      </c>
    </row>
    <row r="87">
      <c r="A87" s="63" t="n"/>
      <c r="B87" s="64" t="n"/>
      <c r="C87" s="64" t="n"/>
      <c r="D87" s="64" t="n"/>
      <c r="E87" s="64" t="n"/>
      <c r="F87" s="64" t="n"/>
      <c r="G87" s="64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3" t="n"/>
      <c r="R87" s="63" t="n"/>
      <c r="S87" s="63" t="n"/>
      <c r="T87" s="65" t="n"/>
      <c r="U87" s="65" t="n"/>
      <c r="V87" s="63" t="n"/>
      <c r="W87" s="65" t="n"/>
      <c r="X87" s="69" t="str">
        <f>IF(AND(ISNUMBER($Q87),ISNUMBER($R87)),$R87-$Q87,"")</f>
        <v/>
      </c>
      <c r="Y87" s="71" t="str">
        <f>IF($AB87=1,IF(AND(ISNUMBER($V87),$M87&lt;&gt;"Converted",$M87&lt;&gt;"Rejected"),IF($V87&lt;=ReportDate,"DUE",""),""),"")</f>
        <v/>
      </c>
      <c r="Z87" s="75" t="str">
        <f>IF(ISNUMBER($Q87),$Q87,IF(ISNUMBER($A87),$A87,""))</f>
        <v/>
      </c>
      <c r="AA87" s="71" t="str">
        <f>IF(ISNUMBER($Z87),YEAR($Z87)&amp;"-"&amp;TEXT(MONTH($Z87),"00"),"")</f>
        <v/>
      </c>
      <c r="AB87" s="71">
        <f>IF($H87&lt;&gt;"",1,0)</f>
        <v>0</v>
      </c>
      <c r="AC87" s="71">
        <f>IF(AND($AB87=1,$G87="Yes"),1,0)</f>
        <v>0</v>
      </c>
      <c r="AD87" s="71">
        <f>IF(AND($AB87=1,$N87="MQL"),1,0)</f>
        <v>0</v>
      </c>
      <c r="AE87" s="71">
        <f>IF(AND($AB87=1,$O87="SQL"),1,0)</f>
        <v>0</v>
      </c>
      <c r="AF87" s="71">
        <f>IF(AND($AB87=1,OR($P87="Open",$P87="Won",$P87="Lost")),1,0)</f>
        <v>0</v>
      </c>
      <c r="AG87" s="71">
        <f>IF(AND($AB87=1,OR($M87="Converted",$P87="Won")),1,0)</f>
        <v>0</v>
      </c>
      <c r="AH87" s="71">
        <f>IF($AB87=0,0,IF(AND(OR(fClient="All",$B87=fClient),OR(fCampaign="All",$C87=fCampaign),OR(fTeam="All",$L87=fTeam),OR(fChannel="All",$F87=fChannel),OR(fMonth="All",$AA87=fMonth)),1,0))</f>
        <v>0</v>
      </c>
      <c r="AI87" s="71">
        <f>IF($AB87=0,0,IF(AND(OR(fClient="All",$B87=fClient),OR(fCampaign="All",$C87=fCampaign),OR(fTeam="All",$L87=fTeam),OR(fChannel="All",$F87=fChannel)),1,0))</f>
        <v>0</v>
      </c>
    </row>
    <row r="88">
      <c r="A88" s="63" t="n"/>
      <c r="B88" s="64" t="n"/>
      <c r="C88" s="64" t="n"/>
      <c r="D88" s="64" t="n"/>
      <c r="E88" s="64" t="n"/>
      <c r="F88" s="64" t="n"/>
      <c r="G88" s="64" t="n"/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3" t="n"/>
      <c r="R88" s="63" t="n"/>
      <c r="S88" s="63" t="n"/>
      <c r="T88" s="65" t="n"/>
      <c r="U88" s="65" t="n"/>
      <c r="V88" s="63" t="n"/>
      <c r="W88" s="65" t="n"/>
      <c r="X88" s="69" t="str">
        <f>IF(AND(ISNUMBER($Q88),ISNUMBER($R88)),$R88-$Q88,"")</f>
        <v/>
      </c>
      <c r="Y88" s="71" t="str">
        <f>IF($AB88=1,IF(AND(ISNUMBER($V88),$M88&lt;&gt;"Converted",$M88&lt;&gt;"Rejected"),IF($V88&lt;=ReportDate,"DUE",""),""),"")</f>
        <v/>
      </c>
      <c r="Z88" s="75" t="str">
        <f>IF(ISNUMBER($Q88),$Q88,IF(ISNUMBER($A88),$A88,""))</f>
        <v/>
      </c>
      <c r="AA88" s="71" t="str">
        <f>IF(ISNUMBER($Z88),YEAR($Z88)&amp;"-"&amp;TEXT(MONTH($Z88),"00"),"")</f>
        <v/>
      </c>
      <c r="AB88" s="71">
        <f>IF($H88&lt;&gt;"",1,0)</f>
        <v>0</v>
      </c>
      <c r="AC88" s="71">
        <f>IF(AND($AB88=1,$G88="Yes"),1,0)</f>
        <v>0</v>
      </c>
      <c r="AD88" s="71">
        <f>IF(AND($AB88=1,$N88="MQL"),1,0)</f>
        <v>0</v>
      </c>
      <c r="AE88" s="71">
        <f>IF(AND($AB88=1,$O88="SQL"),1,0)</f>
        <v>0</v>
      </c>
      <c r="AF88" s="71">
        <f>IF(AND($AB88=1,OR($P88="Open",$P88="Won",$P88="Lost")),1,0)</f>
        <v>0</v>
      </c>
      <c r="AG88" s="71">
        <f>IF(AND($AB88=1,OR($M88="Converted",$P88="Won")),1,0)</f>
        <v>0</v>
      </c>
      <c r="AH88" s="71">
        <f>IF($AB88=0,0,IF(AND(OR(fClient="All",$B88=fClient),OR(fCampaign="All",$C88=fCampaign),OR(fTeam="All",$L88=fTeam),OR(fChannel="All",$F88=fChannel),OR(fMonth="All",$AA88=fMonth)),1,0))</f>
        <v>0</v>
      </c>
      <c r="AI88" s="71">
        <f>IF($AB88=0,0,IF(AND(OR(fClient="All",$B88=fClient),OR(fCampaign="All",$C88=fCampaign),OR(fTeam="All",$L88=fTeam),OR(fChannel="All",$F88=fChannel)),1,0))</f>
        <v>0</v>
      </c>
    </row>
    <row r="89">
      <c r="A89" s="63" t="n"/>
      <c r="B89" s="64" t="n"/>
      <c r="C89" s="64" t="n"/>
      <c r="D89" s="64" t="n"/>
      <c r="E89" s="64" t="n"/>
      <c r="F89" s="64" t="n"/>
      <c r="G89" s="64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3" t="n"/>
      <c r="R89" s="63" t="n"/>
      <c r="S89" s="63" t="n"/>
      <c r="T89" s="65" t="n"/>
      <c r="U89" s="65" t="n"/>
      <c r="V89" s="63" t="n"/>
      <c r="W89" s="65" t="n"/>
      <c r="X89" s="69" t="str">
        <f>IF(AND(ISNUMBER($Q89),ISNUMBER($R89)),$R89-$Q89,"")</f>
        <v/>
      </c>
      <c r="Y89" s="71" t="str">
        <f>IF($AB89=1,IF(AND(ISNUMBER($V89),$M89&lt;&gt;"Converted",$M89&lt;&gt;"Rejected"),IF($V89&lt;=ReportDate,"DUE",""),""),"")</f>
        <v/>
      </c>
      <c r="Z89" s="75" t="str">
        <f>IF(ISNUMBER($Q89),$Q89,IF(ISNUMBER($A89),$A89,""))</f>
        <v/>
      </c>
      <c r="AA89" s="71" t="str">
        <f>IF(ISNUMBER($Z89),YEAR($Z89)&amp;"-"&amp;TEXT(MONTH($Z89),"00"),"")</f>
        <v/>
      </c>
      <c r="AB89" s="71">
        <f>IF($H89&lt;&gt;"",1,0)</f>
        <v>0</v>
      </c>
      <c r="AC89" s="71">
        <f>IF(AND($AB89=1,$G89="Yes"),1,0)</f>
        <v>0</v>
      </c>
      <c r="AD89" s="71">
        <f>IF(AND($AB89=1,$N89="MQL"),1,0)</f>
        <v>0</v>
      </c>
      <c r="AE89" s="71">
        <f>IF(AND($AB89=1,$O89="SQL"),1,0)</f>
        <v>0</v>
      </c>
      <c r="AF89" s="71">
        <f>IF(AND($AB89=1,OR($P89="Open",$P89="Won",$P89="Lost")),1,0)</f>
        <v>0</v>
      </c>
      <c r="AG89" s="71">
        <f>IF(AND($AB89=1,OR($M89="Converted",$P89="Won")),1,0)</f>
        <v>0</v>
      </c>
      <c r="AH89" s="71">
        <f>IF($AB89=0,0,IF(AND(OR(fClient="All",$B89=fClient),OR(fCampaign="All",$C89=fCampaign),OR(fTeam="All",$L89=fTeam),OR(fChannel="All",$F89=fChannel),OR(fMonth="All",$AA89=fMonth)),1,0))</f>
        <v>0</v>
      </c>
      <c r="AI89" s="71">
        <f>IF($AB89=0,0,IF(AND(OR(fClient="All",$B89=fClient),OR(fCampaign="All",$C89=fCampaign),OR(fTeam="All",$L89=fTeam),OR(fChannel="All",$F89=fChannel)),1,0))</f>
        <v>0</v>
      </c>
    </row>
    <row r="90">
      <c r="A90" s="63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3" t="n"/>
      <c r="R90" s="63" t="n"/>
      <c r="S90" s="63" t="n"/>
      <c r="T90" s="65" t="n"/>
      <c r="U90" s="65" t="n"/>
      <c r="V90" s="63" t="n"/>
      <c r="W90" s="65" t="n"/>
      <c r="X90" s="69" t="str">
        <f>IF(AND(ISNUMBER($Q90),ISNUMBER($R90)),$R90-$Q90,"")</f>
        <v/>
      </c>
      <c r="Y90" s="71" t="str">
        <f>IF($AB90=1,IF(AND(ISNUMBER($V90),$M90&lt;&gt;"Converted",$M90&lt;&gt;"Rejected"),IF($V90&lt;=ReportDate,"DUE",""),""),"")</f>
        <v/>
      </c>
      <c r="Z90" s="75" t="str">
        <f>IF(ISNUMBER($Q90),$Q90,IF(ISNUMBER($A90),$A90,""))</f>
        <v/>
      </c>
      <c r="AA90" s="71" t="str">
        <f>IF(ISNUMBER($Z90),YEAR($Z90)&amp;"-"&amp;TEXT(MONTH($Z90),"00"),"")</f>
        <v/>
      </c>
      <c r="AB90" s="71">
        <f>IF($H90&lt;&gt;"",1,0)</f>
        <v>0</v>
      </c>
      <c r="AC90" s="71">
        <f>IF(AND($AB90=1,$G90="Yes"),1,0)</f>
        <v>0</v>
      </c>
      <c r="AD90" s="71">
        <f>IF(AND($AB90=1,$N90="MQL"),1,0)</f>
        <v>0</v>
      </c>
      <c r="AE90" s="71">
        <f>IF(AND($AB90=1,$O90="SQL"),1,0)</f>
        <v>0</v>
      </c>
      <c r="AF90" s="71">
        <f>IF(AND($AB90=1,OR($P90="Open",$P90="Won",$P90="Lost")),1,0)</f>
        <v>0</v>
      </c>
      <c r="AG90" s="71">
        <f>IF(AND($AB90=1,OR($M90="Converted",$P90="Won")),1,0)</f>
        <v>0</v>
      </c>
      <c r="AH90" s="71">
        <f>IF($AB90=0,0,IF(AND(OR(fClient="All",$B90=fClient),OR(fCampaign="All",$C90=fCampaign),OR(fTeam="All",$L90=fTeam),OR(fChannel="All",$F90=fChannel),OR(fMonth="All",$AA90=fMonth)),1,0))</f>
        <v>0</v>
      </c>
      <c r="AI90" s="71">
        <f>IF($AB90=0,0,IF(AND(OR(fClient="All",$B90=fClient),OR(fCampaign="All",$C90=fCampaign),OR(fTeam="All",$L90=fTeam),OR(fChannel="All",$F90=fChannel)),1,0))</f>
        <v>0</v>
      </c>
    </row>
    <row r="91">
      <c r="A91" s="63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3" t="n"/>
      <c r="R91" s="63" t="n"/>
      <c r="S91" s="63" t="n"/>
      <c r="T91" s="65" t="n"/>
      <c r="U91" s="65" t="n"/>
      <c r="V91" s="63" t="n"/>
      <c r="W91" s="65" t="n"/>
      <c r="X91" s="69" t="str">
        <f>IF(AND(ISNUMBER($Q91),ISNUMBER($R91)),$R91-$Q91,"")</f>
        <v/>
      </c>
      <c r="Y91" s="71" t="str">
        <f>IF($AB91=1,IF(AND(ISNUMBER($V91),$M91&lt;&gt;"Converted",$M91&lt;&gt;"Rejected"),IF($V91&lt;=ReportDate,"DUE",""),""),"")</f>
        <v/>
      </c>
      <c r="Z91" s="75" t="str">
        <f>IF(ISNUMBER($Q91),$Q91,IF(ISNUMBER($A91),$A91,""))</f>
        <v/>
      </c>
      <c r="AA91" s="71" t="str">
        <f>IF(ISNUMBER($Z91),YEAR($Z91)&amp;"-"&amp;TEXT(MONTH($Z91),"00"),"")</f>
        <v/>
      </c>
      <c r="AB91" s="71">
        <f>IF($H91&lt;&gt;"",1,0)</f>
        <v>0</v>
      </c>
      <c r="AC91" s="71">
        <f>IF(AND($AB91=1,$G91="Yes"),1,0)</f>
        <v>0</v>
      </c>
      <c r="AD91" s="71">
        <f>IF(AND($AB91=1,$N91="MQL"),1,0)</f>
        <v>0</v>
      </c>
      <c r="AE91" s="71">
        <f>IF(AND($AB91=1,$O91="SQL"),1,0)</f>
        <v>0</v>
      </c>
      <c r="AF91" s="71">
        <f>IF(AND($AB91=1,OR($P91="Open",$P91="Won",$P91="Lost")),1,0)</f>
        <v>0</v>
      </c>
      <c r="AG91" s="71">
        <f>IF(AND($AB91=1,OR($M91="Converted",$P91="Won")),1,0)</f>
        <v>0</v>
      </c>
      <c r="AH91" s="71">
        <f>IF($AB91=0,0,IF(AND(OR(fClient="All",$B91=fClient),OR(fCampaign="All",$C91=fCampaign),OR(fTeam="All",$L91=fTeam),OR(fChannel="All",$F91=fChannel),OR(fMonth="All",$AA91=fMonth)),1,0))</f>
        <v>0</v>
      </c>
      <c r="AI91" s="71">
        <f>IF($AB91=0,0,IF(AND(OR(fClient="All",$B91=fClient),OR(fCampaign="All",$C91=fCampaign),OR(fTeam="All",$L91=fTeam),OR(fChannel="All",$F91=fChannel)),1,0))</f>
        <v>0</v>
      </c>
    </row>
    <row r="92">
      <c r="A92" s="63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3" t="n"/>
      <c r="R92" s="63" t="n"/>
      <c r="S92" s="63" t="n"/>
      <c r="T92" s="65" t="n"/>
      <c r="U92" s="65" t="n"/>
      <c r="V92" s="63" t="n"/>
      <c r="W92" s="65" t="n"/>
      <c r="X92" s="69" t="str">
        <f>IF(AND(ISNUMBER($Q92),ISNUMBER($R92)),$R92-$Q92,"")</f>
        <v/>
      </c>
      <c r="Y92" s="71" t="str">
        <f>IF($AB92=1,IF(AND(ISNUMBER($V92),$M92&lt;&gt;"Converted",$M92&lt;&gt;"Rejected"),IF($V92&lt;=ReportDate,"DUE",""),""),"")</f>
        <v/>
      </c>
      <c r="Z92" s="75" t="str">
        <f>IF(ISNUMBER($Q92),$Q92,IF(ISNUMBER($A92),$A92,""))</f>
        <v/>
      </c>
      <c r="AA92" s="71" t="str">
        <f>IF(ISNUMBER($Z92),YEAR($Z92)&amp;"-"&amp;TEXT(MONTH($Z92),"00"),"")</f>
        <v/>
      </c>
      <c r="AB92" s="71">
        <f>IF($H92&lt;&gt;"",1,0)</f>
        <v>0</v>
      </c>
      <c r="AC92" s="71">
        <f>IF(AND($AB92=1,$G92="Yes"),1,0)</f>
        <v>0</v>
      </c>
      <c r="AD92" s="71">
        <f>IF(AND($AB92=1,$N92="MQL"),1,0)</f>
        <v>0</v>
      </c>
      <c r="AE92" s="71">
        <f>IF(AND($AB92=1,$O92="SQL"),1,0)</f>
        <v>0</v>
      </c>
      <c r="AF92" s="71">
        <f>IF(AND($AB92=1,OR($P92="Open",$P92="Won",$P92="Lost")),1,0)</f>
        <v>0</v>
      </c>
      <c r="AG92" s="71">
        <f>IF(AND($AB92=1,OR($M92="Converted",$P92="Won")),1,0)</f>
        <v>0</v>
      </c>
      <c r="AH92" s="71">
        <f>IF($AB92=0,0,IF(AND(OR(fClient="All",$B92=fClient),OR(fCampaign="All",$C92=fCampaign),OR(fTeam="All",$L92=fTeam),OR(fChannel="All",$F92=fChannel),OR(fMonth="All",$AA92=fMonth)),1,0))</f>
        <v>0</v>
      </c>
      <c r="AI92" s="71">
        <f>IF($AB92=0,0,IF(AND(OR(fClient="All",$B92=fClient),OR(fCampaign="All",$C92=fCampaign),OR(fTeam="All",$L92=fTeam),OR(fChannel="All",$F92=fChannel)),1,0))</f>
        <v>0</v>
      </c>
    </row>
    <row r="93">
      <c r="A93" s="63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3" t="n"/>
      <c r="R93" s="63" t="n"/>
      <c r="S93" s="63" t="n"/>
      <c r="T93" s="65" t="n"/>
      <c r="U93" s="65" t="n"/>
      <c r="V93" s="63" t="n"/>
      <c r="W93" s="65" t="n"/>
      <c r="X93" s="69" t="str">
        <f>IF(AND(ISNUMBER($Q93),ISNUMBER($R93)),$R93-$Q93,"")</f>
        <v/>
      </c>
      <c r="Y93" s="71" t="str">
        <f>IF($AB93=1,IF(AND(ISNUMBER($V93),$M93&lt;&gt;"Converted",$M93&lt;&gt;"Rejected"),IF($V93&lt;=ReportDate,"DUE",""),""),"")</f>
        <v/>
      </c>
      <c r="Z93" s="75" t="str">
        <f>IF(ISNUMBER($Q93),$Q93,IF(ISNUMBER($A93),$A93,""))</f>
        <v/>
      </c>
      <c r="AA93" s="71" t="str">
        <f>IF(ISNUMBER($Z93),YEAR($Z93)&amp;"-"&amp;TEXT(MONTH($Z93),"00"),"")</f>
        <v/>
      </c>
      <c r="AB93" s="71">
        <f>IF($H93&lt;&gt;"",1,0)</f>
        <v>0</v>
      </c>
      <c r="AC93" s="71">
        <f>IF(AND($AB93=1,$G93="Yes"),1,0)</f>
        <v>0</v>
      </c>
      <c r="AD93" s="71">
        <f>IF(AND($AB93=1,$N93="MQL"),1,0)</f>
        <v>0</v>
      </c>
      <c r="AE93" s="71">
        <f>IF(AND($AB93=1,$O93="SQL"),1,0)</f>
        <v>0</v>
      </c>
      <c r="AF93" s="71">
        <f>IF(AND($AB93=1,OR($P93="Open",$P93="Won",$P93="Lost")),1,0)</f>
        <v>0</v>
      </c>
      <c r="AG93" s="71">
        <f>IF(AND($AB93=1,OR($M93="Converted",$P93="Won")),1,0)</f>
        <v>0</v>
      </c>
      <c r="AH93" s="71">
        <f>IF($AB93=0,0,IF(AND(OR(fClient="All",$B93=fClient),OR(fCampaign="All",$C93=fCampaign),OR(fTeam="All",$L93=fTeam),OR(fChannel="All",$F93=fChannel),OR(fMonth="All",$AA93=fMonth)),1,0))</f>
        <v>0</v>
      </c>
      <c r="AI93" s="71">
        <f>IF($AB93=0,0,IF(AND(OR(fClient="All",$B93=fClient),OR(fCampaign="All",$C93=fCampaign),OR(fTeam="All",$L93=fTeam),OR(fChannel="All",$F93=fChannel)),1,0))</f>
        <v>0</v>
      </c>
    </row>
    <row r="94">
      <c r="A94" s="63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3" t="n"/>
      <c r="R94" s="63" t="n"/>
      <c r="S94" s="63" t="n"/>
      <c r="T94" s="65" t="n"/>
      <c r="U94" s="65" t="n"/>
      <c r="V94" s="63" t="n"/>
      <c r="W94" s="65" t="n"/>
      <c r="X94" s="69" t="str">
        <f>IF(AND(ISNUMBER($Q94),ISNUMBER($R94)),$R94-$Q94,"")</f>
        <v/>
      </c>
      <c r="Y94" s="71" t="str">
        <f>IF($AB94=1,IF(AND(ISNUMBER($V94),$M94&lt;&gt;"Converted",$M94&lt;&gt;"Rejected"),IF($V94&lt;=ReportDate,"DUE",""),""),"")</f>
        <v/>
      </c>
      <c r="Z94" s="75" t="str">
        <f>IF(ISNUMBER($Q94),$Q94,IF(ISNUMBER($A94),$A94,""))</f>
        <v/>
      </c>
      <c r="AA94" s="71" t="str">
        <f>IF(ISNUMBER($Z94),YEAR($Z94)&amp;"-"&amp;TEXT(MONTH($Z94),"00"),"")</f>
        <v/>
      </c>
      <c r="AB94" s="71">
        <f>IF($H94&lt;&gt;"",1,0)</f>
        <v>0</v>
      </c>
      <c r="AC94" s="71">
        <f>IF(AND($AB94=1,$G94="Yes"),1,0)</f>
        <v>0</v>
      </c>
      <c r="AD94" s="71">
        <f>IF(AND($AB94=1,$N94="MQL"),1,0)</f>
        <v>0</v>
      </c>
      <c r="AE94" s="71">
        <f>IF(AND($AB94=1,$O94="SQL"),1,0)</f>
        <v>0</v>
      </c>
      <c r="AF94" s="71">
        <f>IF(AND($AB94=1,OR($P94="Open",$P94="Won",$P94="Lost")),1,0)</f>
        <v>0</v>
      </c>
      <c r="AG94" s="71">
        <f>IF(AND($AB94=1,OR($M94="Converted",$P94="Won")),1,0)</f>
        <v>0</v>
      </c>
      <c r="AH94" s="71">
        <f>IF($AB94=0,0,IF(AND(OR(fClient="All",$B94=fClient),OR(fCampaign="All",$C94=fCampaign),OR(fTeam="All",$L94=fTeam),OR(fChannel="All",$F94=fChannel),OR(fMonth="All",$AA94=fMonth)),1,0))</f>
        <v>0</v>
      </c>
      <c r="AI94" s="71">
        <f>IF($AB94=0,0,IF(AND(OR(fClient="All",$B94=fClient),OR(fCampaign="All",$C94=fCampaign),OR(fTeam="All",$L94=fTeam),OR(fChannel="All",$F94=fChannel)),1,0))</f>
        <v>0</v>
      </c>
    </row>
    <row r="95">
      <c r="A95" s="63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3" t="n"/>
      <c r="R95" s="63" t="n"/>
      <c r="S95" s="63" t="n"/>
      <c r="T95" s="65" t="n"/>
      <c r="U95" s="65" t="n"/>
      <c r="V95" s="63" t="n"/>
      <c r="W95" s="65" t="n"/>
      <c r="X95" s="69" t="str">
        <f>IF(AND(ISNUMBER($Q95),ISNUMBER($R95)),$R95-$Q95,"")</f>
        <v/>
      </c>
      <c r="Y95" s="71" t="str">
        <f>IF($AB95=1,IF(AND(ISNUMBER($V95),$M95&lt;&gt;"Converted",$M95&lt;&gt;"Rejected"),IF($V95&lt;=ReportDate,"DUE",""),""),"")</f>
        <v/>
      </c>
      <c r="Z95" s="75" t="str">
        <f>IF(ISNUMBER($Q95),$Q95,IF(ISNUMBER($A95),$A95,""))</f>
        <v/>
      </c>
      <c r="AA95" s="71" t="str">
        <f>IF(ISNUMBER($Z95),YEAR($Z95)&amp;"-"&amp;TEXT(MONTH($Z95),"00"),"")</f>
        <v/>
      </c>
      <c r="AB95" s="71">
        <f>IF($H95&lt;&gt;"",1,0)</f>
        <v>0</v>
      </c>
      <c r="AC95" s="71">
        <f>IF(AND($AB95=1,$G95="Yes"),1,0)</f>
        <v>0</v>
      </c>
      <c r="AD95" s="71">
        <f>IF(AND($AB95=1,$N95="MQL"),1,0)</f>
        <v>0</v>
      </c>
      <c r="AE95" s="71">
        <f>IF(AND($AB95=1,$O95="SQL"),1,0)</f>
        <v>0</v>
      </c>
      <c r="AF95" s="71">
        <f>IF(AND($AB95=1,OR($P95="Open",$P95="Won",$P95="Lost")),1,0)</f>
        <v>0</v>
      </c>
      <c r="AG95" s="71">
        <f>IF(AND($AB95=1,OR($M95="Converted",$P95="Won")),1,0)</f>
        <v>0</v>
      </c>
      <c r="AH95" s="71">
        <f>IF($AB95=0,0,IF(AND(OR(fClient="All",$B95=fClient),OR(fCampaign="All",$C95=fCampaign),OR(fTeam="All",$L95=fTeam),OR(fChannel="All",$F95=fChannel),OR(fMonth="All",$AA95=fMonth)),1,0))</f>
        <v>0</v>
      </c>
      <c r="AI95" s="71">
        <f>IF($AB95=0,0,IF(AND(OR(fClient="All",$B95=fClient),OR(fCampaign="All",$C95=fCampaign),OR(fTeam="All",$L95=fTeam),OR(fChannel="All",$F95=fChannel)),1,0))</f>
        <v>0</v>
      </c>
    </row>
    <row r="96">
      <c r="A96" s="63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3" t="n"/>
      <c r="R96" s="63" t="n"/>
      <c r="S96" s="63" t="n"/>
      <c r="T96" s="65" t="n"/>
      <c r="U96" s="65" t="n"/>
      <c r="V96" s="63" t="n"/>
      <c r="W96" s="65" t="n"/>
      <c r="X96" s="69" t="str">
        <f>IF(AND(ISNUMBER($Q96),ISNUMBER($R96)),$R96-$Q96,"")</f>
        <v/>
      </c>
      <c r="Y96" s="71" t="str">
        <f>IF($AB96=1,IF(AND(ISNUMBER($V96),$M96&lt;&gt;"Converted",$M96&lt;&gt;"Rejected"),IF($V96&lt;=ReportDate,"DUE",""),""),"")</f>
        <v/>
      </c>
      <c r="Z96" s="75" t="str">
        <f>IF(ISNUMBER($Q96),$Q96,IF(ISNUMBER($A96),$A96,""))</f>
        <v/>
      </c>
      <c r="AA96" s="71" t="str">
        <f>IF(ISNUMBER($Z96),YEAR($Z96)&amp;"-"&amp;TEXT(MONTH($Z96),"00"),"")</f>
        <v/>
      </c>
      <c r="AB96" s="71">
        <f>IF($H96&lt;&gt;"",1,0)</f>
        <v>0</v>
      </c>
      <c r="AC96" s="71">
        <f>IF(AND($AB96=1,$G96="Yes"),1,0)</f>
        <v>0</v>
      </c>
      <c r="AD96" s="71">
        <f>IF(AND($AB96=1,$N96="MQL"),1,0)</f>
        <v>0</v>
      </c>
      <c r="AE96" s="71">
        <f>IF(AND($AB96=1,$O96="SQL"),1,0)</f>
        <v>0</v>
      </c>
      <c r="AF96" s="71">
        <f>IF(AND($AB96=1,OR($P96="Open",$P96="Won",$P96="Lost")),1,0)</f>
        <v>0</v>
      </c>
      <c r="AG96" s="71">
        <f>IF(AND($AB96=1,OR($M96="Converted",$P96="Won")),1,0)</f>
        <v>0</v>
      </c>
      <c r="AH96" s="71">
        <f>IF($AB96=0,0,IF(AND(OR(fClient="All",$B96=fClient),OR(fCampaign="All",$C96=fCampaign),OR(fTeam="All",$L96=fTeam),OR(fChannel="All",$F96=fChannel),OR(fMonth="All",$AA96=fMonth)),1,0))</f>
        <v>0</v>
      </c>
      <c r="AI96" s="71">
        <f>IF($AB96=0,0,IF(AND(OR(fClient="All",$B96=fClient),OR(fCampaign="All",$C96=fCampaign),OR(fTeam="All",$L96=fTeam),OR(fChannel="All",$F96=fChannel)),1,0))</f>
        <v>0</v>
      </c>
    </row>
    <row r="97">
      <c r="A97" s="63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3" t="n"/>
      <c r="R97" s="63" t="n"/>
      <c r="S97" s="63" t="n"/>
      <c r="T97" s="65" t="n"/>
      <c r="U97" s="65" t="n"/>
      <c r="V97" s="63" t="n"/>
      <c r="W97" s="65" t="n"/>
      <c r="X97" s="69" t="str">
        <f>IF(AND(ISNUMBER($Q97),ISNUMBER($R97)),$R97-$Q97,"")</f>
        <v/>
      </c>
      <c r="Y97" s="71" t="str">
        <f>IF($AB97=1,IF(AND(ISNUMBER($V97),$M97&lt;&gt;"Converted",$M97&lt;&gt;"Rejected"),IF($V97&lt;=ReportDate,"DUE",""),""),"")</f>
        <v/>
      </c>
      <c r="Z97" s="75" t="str">
        <f>IF(ISNUMBER($Q97),$Q97,IF(ISNUMBER($A97),$A97,""))</f>
        <v/>
      </c>
      <c r="AA97" s="71" t="str">
        <f>IF(ISNUMBER($Z97),YEAR($Z97)&amp;"-"&amp;TEXT(MONTH($Z97),"00"),"")</f>
        <v/>
      </c>
      <c r="AB97" s="71">
        <f>IF($H97&lt;&gt;"",1,0)</f>
        <v>0</v>
      </c>
      <c r="AC97" s="71">
        <f>IF(AND($AB97=1,$G97="Yes"),1,0)</f>
        <v>0</v>
      </c>
      <c r="AD97" s="71">
        <f>IF(AND($AB97=1,$N97="MQL"),1,0)</f>
        <v>0</v>
      </c>
      <c r="AE97" s="71">
        <f>IF(AND($AB97=1,$O97="SQL"),1,0)</f>
        <v>0</v>
      </c>
      <c r="AF97" s="71">
        <f>IF(AND($AB97=1,OR($P97="Open",$P97="Won",$P97="Lost")),1,0)</f>
        <v>0</v>
      </c>
      <c r="AG97" s="71">
        <f>IF(AND($AB97=1,OR($M97="Converted",$P97="Won")),1,0)</f>
        <v>0</v>
      </c>
      <c r="AH97" s="71">
        <f>IF($AB97=0,0,IF(AND(OR(fClient="All",$B97=fClient),OR(fCampaign="All",$C97=fCampaign),OR(fTeam="All",$L97=fTeam),OR(fChannel="All",$F97=fChannel),OR(fMonth="All",$AA97=fMonth)),1,0))</f>
        <v>0</v>
      </c>
      <c r="AI97" s="71">
        <f>IF($AB97=0,0,IF(AND(OR(fClient="All",$B97=fClient),OR(fCampaign="All",$C97=fCampaign),OR(fTeam="All",$L97=fTeam),OR(fChannel="All",$F97=fChannel)),1,0))</f>
        <v>0</v>
      </c>
    </row>
    <row r="98">
      <c r="A98" s="63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3" t="n"/>
      <c r="R98" s="63" t="n"/>
      <c r="S98" s="63" t="n"/>
      <c r="T98" s="65" t="n"/>
      <c r="U98" s="65" t="n"/>
      <c r="V98" s="63" t="n"/>
      <c r="W98" s="65" t="n"/>
      <c r="X98" s="69" t="str">
        <f>IF(AND(ISNUMBER($Q98),ISNUMBER($R98)),$R98-$Q98,"")</f>
        <v/>
      </c>
      <c r="Y98" s="71" t="str">
        <f>IF($AB98=1,IF(AND(ISNUMBER($V98),$M98&lt;&gt;"Converted",$M98&lt;&gt;"Rejected"),IF($V98&lt;=ReportDate,"DUE",""),""),"")</f>
        <v/>
      </c>
      <c r="Z98" s="75" t="str">
        <f>IF(ISNUMBER($Q98),$Q98,IF(ISNUMBER($A98),$A98,""))</f>
        <v/>
      </c>
      <c r="AA98" s="71" t="str">
        <f>IF(ISNUMBER($Z98),YEAR($Z98)&amp;"-"&amp;TEXT(MONTH($Z98),"00"),"")</f>
        <v/>
      </c>
      <c r="AB98" s="71">
        <f>IF($H98&lt;&gt;"",1,0)</f>
        <v>0</v>
      </c>
      <c r="AC98" s="71">
        <f>IF(AND($AB98=1,$G98="Yes"),1,0)</f>
        <v>0</v>
      </c>
      <c r="AD98" s="71">
        <f>IF(AND($AB98=1,$N98="MQL"),1,0)</f>
        <v>0</v>
      </c>
      <c r="AE98" s="71">
        <f>IF(AND($AB98=1,$O98="SQL"),1,0)</f>
        <v>0</v>
      </c>
      <c r="AF98" s="71">
        <f>IF(AND($AB98=1,OR($P98="Open",$P98="Won",$P98="Lost")),1,0)</f>
        <v>0</v>
      </c>
      <c r="AG98" s="71">
        <f>IF(AND($AB98=1,OR($M98="Converted",$P98="Won")),1,0)</f>
        <v>0</v>
      </c>
      <c r="AH98" s="71">
        <f>IF($AB98=0,0,IF(AND(OR(fClient="All",$B98=fClient),OR(fCampaign="All",$C98=fCampaign),OR(fTeam="All",$L98=fTeam),OR(fChannel="All",$F98=fChannel),OR(fMonth="All",$AA98=fMonth)),1,0))</f>
        <v>0</v>
      </c>
      <c r="AI98" s="71">
        <f>IF($AB98=0,0,IF(AND(OR(fClient="All",$B98=fClient),OR(fCampaign="All",$C98=fCampaign),OR(fTeam="All",$L98=fTeam),OR(fChannel="All",$F98=fChannel)),1,0))</f>
        <v>0</v>
      </c>
    </row>
    <row r="99">
      <c r="A99" s="63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3" t="n"/>
      <c r="R99" s="63" t="n"/>
      <c r="S99" s="63" t="n"/>
      <c r="T99" s="65" t="n"/>
      <c r="U99" s="65" t="n"/>
      <c r="V99" s="63" t="n"/>
      <c r="W99" s="65" t="n"/>
      <c r="X99" s="69" t="str">
        <f>IF(AND(ISNUMBER($Q99),ISNUMBER($R99)),$R99-$Q99,"")</f>
        <v/>
      </c>
      <c r="Y99" s="71" t="str">
        <f>IF($AB99=1,IF(AND(ISNUMBER($V99),$M99&lt;&gt;"Converted",$M99&lt;&gt;"Rejected"),IF($V99&lt;=ReportDate,"DUE",""),""),"")</f>
        <v/>
      </c>
      <c r="Z99" s="75" t="str">
        <f>IF(ISNUMBER($Q99),$Q99,IF(ISNUMBER($A99),$A99,""))</f>
        <v/>
      </c>
      <c r="AA99" s="71" t="str">
        <f>IF(ISNUMBER($Z99),YEAR($Z99)&amp;"-"&amp;TEXT(MONTH($Z99),"00"),"")</f>
        <v/>
      </c>
      <c r="AB99" s="71">
        <f>IF($H99&lt;&gt;"",1,0)</f>
        <v>0</v>
      </c>
      <c r="AC99" s="71">
        <f>IF(AND($AB99=1,$G99="Yes"),1,0)</f>
        <v>0</v>
      </c>
      <c r="AD99" s="71">
        <f>IF(AND($AB99=1,$N99="MQL"),1,0)</f>
        <v>0</v>
      </c>
      <c r="AE99" s="71">
        <f>IF(AND($AB99=1,$O99="SQL"),1,0)</f>
        <v>0</v>
      </c>
      <c r="AF99" s="71">
        <f>IF(AND($AB99=1,OR($P99="Open",$P99="Won",$P99="Lost")),1,0)</f>
        <v>0</v>
      </c>
      <c r="AG99" s="71">
        <f>IF(AND($AB99=1,OR($M99="Converted",$P99="Won")),1,0)</f>
        <v>0</v>
      </c>
      <c r="AH99" s="71">
        <f>IF($AB99=0,0,IF(AND(OR(fClient="All",$B99=fClient),OR(fCampaign="All",$C99=fCampaign),OR(fTeam="All",$L99=fTeam),OR(fChannel="All",$F99=fChannel),OR(fMonth="All",$AA99=fMonth)),1,0))</f>
        <v>0</v>
      </c>
      <c r="AI99" s="71">
        <f>IF($AB99=0,0,IF(AND(OR(fClient="All",$B99=fClient),OR(fCampaign="All",$C99=fCampaign),OR(fTeam="All",$L99=fTeam),OR(fChannel="All",$F99=fChannel)),1,0))</f>
        <v>0</v>
      </c>
    </row>
    <row r="100">
      <c r="A100" s="63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3" t="n"/>
      <c r="R100" s="63" t="n"/>
      <c r="S100" s="63" t="n"/>
      <c r="T100" s="65" t="n"/>
      <c r="U100" s="65" t="n"/>
      <c r="V100" s="63" t="n"/>
      <c r="W100" s="65" t="n"/>
      <c r="X100" s="69" t="str">
        <f>IF(AND(ISNUMBER($Q100),ISNUMBER($R100)),$R100-$Q100,"")</f>
        <v/>
      </c>
      <c r="Y100" s="71" t="str">
        <f>IF($AB100=1,IF(AND(ISNUMBER($V100),$M100&lt;&gt;"Converted",$M100&lt;&gt;"Rejected"),IF($V100&lt;=ReportDate,"DUE",""),""),"")</f>
        <v/>
      </c>
      <c r="Z100" s="75" t="str">
        <f>IF(ISNUMBER($Q100),$Q100,IF(ISNUMBER($A100),$A100,""))</f>
        <v/>
      </c>
      <c r="AA100" s="71" t="str">
        <f>IF(ISNUMBER($Z100),YEAR($Z100)&amp;"-"&amp;TEXT(MONTH($Z100),"00"),"")</f>
        <v/>
      </c>
      <c r="AB100" s="71">
        <f>IF($H100&lt;&gt;"",1,0)</f>
        <v>0</v>
      </c>
      <c r="AC100" s="71">
        <f>IF(AND($AB100=1,$G100="Yes"),1,0)</f>
        <v>0</v>
      </c>
      <c r="AD100" s="71">
        <f>IF(AND($AB100=1,$N100="MQL"),1,0)</f>
        <v>0</v>
      </c>
      <c r="AE100" s="71">
        <f>IF(AND($AB100=1,$O100="SQL"),1,0)</f>
        <v>0</v>
      </c>
      <c r="AF100" s="71">
        <f>IF(AND($AB100=1,OR($P100="Open",$P100="Won",$P100="Lost")),1,0)</f>
        <v>0</v>
      </c>
      <c r="AG100" s="71">
        <f>IF(AND($AB100=1,OR($M100="Converted",$P100="Won")),1,0)</f>
        <v>0</v>
      </c>
      <c r="AH100" s="71">
        <f>IF($AB100=0,0,IF(AND(OR(fClient="All",$B100=fClient),OR(fCampaign="All",$C100=fCampaign),OR(fTeam="All",$L100=fTeam),OR(fChannel="All",$F100=fChannel),OR(fMonth="All",$AA100=fMonth)),1,0))</f>
        <v>0</v>
      </c>
      <c r="AI100" s="71">
        <f>IF($AB100=0,0,IF(AND(OR(fClient="All",$B100=fClient),OR(fCampaign="All",$C100=fCampaign),OR(fTeam="All",$L100=fTeam),OR(fChannel="All",$F100=fChannel)),1,0))</f>
        <v>0</v>
      </c>
    </row>
    <row r="101">
      <c r="A101" s="63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3" t="n"/>
      <c r="R101" s="63" t="n"/>
      <c r="S101" s="63" t="n"/>
      <c r="T101" s="65" t="n"/>
      <c r="U101" s="65" t="n"/>
      <c r="V101" s="63" t="n"/>
      <c r="W101" s="65" t="n"/>
      <c r="X101" s="69" t="str">
        <f>IF(AND(ISNUMBER($Q101),ISNUMBER($R101)),$R101-$Q101,"")</f>
        <v/>
      </c>
      <c r="Y101" s="71" t="str">
        <f>IF($AB101=1,IF(AND(ISNUMBER($V101),$M101&lt;&gt;"Converted",$M101&lt;&gt;"Rejected"),IF($V101&lt;=ReportDate,"DUE",""),""),"")</f>
        <v/>
      </c>
      <c r="Z101" s="75" t="str">
        <f>IF(ISNUMBER($Q101),$Q101,IF(ISNUMBER($A101),$A101,""))</f>
        <v/>
      </c>
      <c r="AA101" s="71" t="str">
        <f>IF(ISNUMBER($Z101),YEAR($Z101)&amp;"-"&amp;TEXT(MONTH($Z101),"00"),"")</f>
        <v/>
      </c>
      <c r="AB101" s="71">
        <f>IF($H101&lt;&gt;"",1,0)</f>
        <v>0</v>
      </c>
      <c r="AC101" s="71">
        <f>IF(AND($AB101=1,$G101="Yes"),1,0)</f>
        <v>0</v>
      </c>
      <c r="AD101" s="71">
        <f>IF(AND($AB101=1,$N101="MQL"),1,0)</f>
        <v>0</v>
      </c>
      <c r="AE101" s="71">
        <f>IF(AND($AB101=1,$O101="SQL"),1,0)</f>
        <v>0</v>
      </c>
      <c r="AF101" s="71">
        <f>IF(AND($AB101=1,OR($P101="Open",$P101="Won",$P101="Lost")),1,0)</f>
        <v>0</v>
      </c>
      <c r="AG101" s="71">
        <f>IF(AND($AB101=1,OR($M101="Converted",$P101="Won")),1,0)</f>
        <v>0</v>
      </c>
      <c r="AH101" s="71">
        <f>IF($AB101=0,0,IF(AND(OR(fClient="All",$B101=fClient),OR(fCampaign="All",$C101=fCampaign),OR(fTeam="All",$L101=fTeam),OR(fChannel="All",$F101=fChannel),OR(fMonth="All",$AA101=fMonth)),1,0))</f>
        <v>0</v>
      </c>
      <c r="AI101" s="71">
        <f>IF($AB101=0,0,IF(AND(OR(fClient="All",$B101=fClient),OR(fCampaign="All",$C101=fCampaign),OR(fTeam="All",$L101=fTeam),OR(fChannel="All",$F101=fChannel)),1,0))</f>
        <v>0</v>
      </c>
    </row>
    <row r="102">
      <c r="A102" s="63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3" t="n"/>
      <c r="R102" s="63" t="n"/>
      <c r="S102" s="63" t="n"/>
      <c r="T102" s="65" t="n"/>
      <c r="U102" s="65" t="n"/>
      <c r="V102" s="63" t="n"/>
      <c r="W102" s="65" t="n"/>
      <c r="X102" s="69" t="str">
        <f>IF(AND(ISNUMBER($Q102),ISNUMBER($R102)),$R102-$Q102,"")</f>
        <v/>
      </c>
      <c r="Y102" s="71" t="str">
        <f>IF($AB102=1,IF(AND(ISNUMBER($V102),$M102&lt;&gt;"Converted",$M102&lt;&gt;"Rejected"),IF($V102&lt;=ReportDate,"DUE",""),""),"")</f>
        <v/>
      </c>
      <c r="Z102" s="75" t="str">
        <f>IF(ISNUMBER($Q102),$Q102,IF(ISNUMBER($A102),$A102,""))</f>
        <v/>
      </c>
      <c r="AA102" s="71" t="str">
        <f>IF(ISNUMBER($Z102),YEAR($Z102)&amp;"-"&amp;TEXT(MONTH($Z102),"00"),"")</f>
        <v/>
      </c>
      <c r="AB102" s="71">
        <f>IF($H102&lt;&gt;"",1,0)</f>
        <v>0</v>
      </c>
      <c r="AC102" s="71">
        <f>IF(AND($AB102=1,$G102="Yes"),1,0)</f>
        <v>0</v>
      </c>
      <c r="AD102" s="71">
        <f>IF(AND($AB102=1,$N102="MQL"),1,0)</f>
        <v>0</v>
      </c>
      <c r="AE102" s="71">
        <f>IF(AND($AB102=1,$O102="SQL"),1,0)</f>
        <v>0</v>
      </c>
      <c r="AF102" s="71">
        <f>IF(AND($AB102=1,OR($P102="Open",$P102="Won",$P102="Lost")),1,0)</f>
        <v>0</v>
      </c>
      <c r="AG102" s="71">
        <f>IF(AND($AB102=1,OR($M102="Converted",$P102="Won")),1,0)</f>
        <v>0</v>
      </c>
      <c r="AH102" s="71">
        <f>IF($AB102=0,0,IF(AND(OR(fClient="All",$B102=fClient),OR(fCampaign="All",$C102=fCampaign),OR(fTeam="All",$L102=fTeam),OR(fChannel="All",$F102=fChannel),OR(fMonth="All",$AA102=fMonth)),1,0))</f>
        <v>0</v>
      </c>
      <c r="AI102" s="71">
        <f>IF($AB102=0,0,IF(AND(OR(fClient="All",$B102=fClient),OR(fCampaign="All",$C102=fCampaign),OR(fTeam="All",$L102=fTeam),OR(fChannel="All",$F102=fChannel)),1,0))</f>
        <v>0</v>
      </c>
    </row>
    <row r="103">
      <c r="A103" s="63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3" t="n"/>
      <c r="R103" s="63" t="n"/>
      <c r="S103" s="63" t="n"/>
      <c r="T103" s="65" t="n"/>
      <c r="U103" s="65" t="n"/>
      <c r="V103" s="63" t="n"/>
      <c r="W103" s="65" t="n"/>
      <c r="X103" s="69" t="str">
        <f>IF(AND(ISNUMBER($Q103),ISNUMBER($R103)),$R103-$Q103,"")</f>
        <v/>
      </c>
      <c r="Y103" s="71" t="str">
        <f>IF($AB103=1,IF(AND(ISNUMBER($V103),$M103&lt;&gt;"Converted",$M103&lt;&gt;"Rejected"),IF($V103&lt;=ReportDate,"DUE",""),""),"")</f>
        <v/>
      </c>
      <c r="Z103" s="75" t="str">
        <f>IF(ISNUMBER($Q103),$Q103,IF(ISNUMBER($A103),$A103,""))</f>
        <v/>
      </c>
      <c r="AA103" s="71" t="str">
        <f>IF(ISNUMBER($Z103),YEAR($Z103)&amp;"-"&amp;TEXT(MONTH($Z103),"00"),"")</f>
        <v/>
      </c>
      <c r="AB103" s="71">
        <f>IF($H103&lt;&gt;"",1,0)</f>
        <v>0</v>
      </c>
      <c r="AC103" s="71">
        <f>IF(AND($AB103=1,$G103="Yes"),1,0)</f>
        <v>0</v>
      </c>
      <c r="AD103" s="71">
        <f>IF(AND($AB103=1,$N103="MQL"),1,0)</f>
        <v>0</v>
      </c>
      <c r="AE103" s="71">
        <f>IF(AND($AB103=1,$O103="SQL"),1,0)</f>
        <v>0</v>
      </c>
      <c r="AF103" s="71">
        <f>IF(AND($AB103=1,OR($P103="Open",$P103="Won",$P103="Lost")),1,0)</f>
        <v>0</v>
      </c>
      <c r="AG103" s="71">
        <f>IF(AND($AB103=1,OR($M103="Converted",$P103="Won")),1,0)</f>
        <v>0</v>
      </c>
      <c r="AH103" s="71">
        <f>IF($AB103=0,0,IF(AND(OR(fClient="All",$B103=fClient),OR(fCampaign="All",$C103=fCampaign),OR(fTeam="All",$L103=fTeam),OR(fChannel="All",$F103=fChannel),OR(fMonth="All",$AA103=fMonth)),1,0))</f>
        <v>0</v>
      </c>
      <c r="AI103" s="71">
        <f>IF($AB103=0,0,IF(AND(OR(fClient="All",$B103=fClient),OR(fCampaign="All",$C103=fCampaign),OR(fTeam="All",$L103=fTeam),OR(fChannel="All",$F103=fChannel)),1,0))</f>
        <v>0</v>
      </c>
    </row>
    <row r="104">
      <c r="A104" s="63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3" t="n"/>
      <c r="R104" s="63" t="n"/>
      <c r="S104" s="63" t="n"/>
      <c r="T104" s="65" t="n"/>
      <c r="U104" s="65" t="n"/>
      <c r="V104" s="63" t="n"/>
      <c r="W104" s="65" t="n"/>
      <c r="X104" s="69" t="str">
        <f>IF(AND(ISNUMBER($Q104),ISNUMBER($R104)),$R104-$Q104,"")</f>
        <v/>
      </c>
      <c r="Y104" s="71" t="str">
        <f>IF($AB104=1,IF(AND(ISNUMBER($V104),$M104&lt;&gt;"Converted",$M104&lt;&gt;"Rejected"),IF($V104&lt;=ReportDate,"DUE",""),""),"")</f>
        <v/>
      </c>
      <c r="Z104" s="75" t="str">
        <f>IF(ISNUMBER($Q104),$Q104,IF(ISNUMBER($A104),$A104,""))</f>
        <v/>
      </c>
      <c r="AA104" s="71" t="str">
        <f>IF(ISNUMBER($Z104),YEAR($Z104)&amp;"-"&amp;TEXT(MONTH($Z104),"00"),"")</f>
        <v/>
      </c>
      <c r="AB104" s="71">
        <f>IF($H104&lt;&gt;"",1,0)</f>
        <v>0</v>
      </c>
      <c r="AC104" s="71">
        <f>IF(AND($AB104=1,$G104="Yes"),1,0)</f>
        <v>0</v>
      </c>
      <c r="AD104" s="71">
        <f>IF(AND($AB104=1,$N104="MQL"),1,0)</f>
        <v>0</v>
      </c>
      <c r="AE104" s="71">
        <f>IF(AND($AB104=1,$O104="SQL"),1,0)</f>
        <v>0</v>
      </c>
      <c r="AF104" s="71">
        <f>IF(AND($AB104=1,OR($P104="Open",$P104="Won",$P104="Lost")),1,0)</f>
        <v>0</v>
      </c>
      <c r="AG104" s="71">
        <f>IF(AND($AB104=1,OR($M104="Converted",$P104="Won")),1,0)</f>
        <v>0</v>
      </c>
      <c r="AH104" s="71">
        <f>IF($AB104=0,0,IF(AND(OR(fClient="All",$B104=fClient),OR(fCampaign="All",$C104=fCampaign),OR(fTeam="All",$L104=fTeam),OR(fChannel="All",$F104=fChannel),OR(fMonth="All",$AA104=fMonth)),1,0))</f>
        <v>0</v>
      </c>
      <c r="AI104" s="71">
        <f>IF($AB104=0,0,IF(AND(OR(fClient="All",$B104=fClient),OR(fCampaign="All",$C104=fCampaign),OR(fTeam="All",$L104=fTeam),OR(fChannel="All",$F104=fChannel)),1,0))</f>
        <v>0</v>
      </c>
    </row>
    <row r="105">
      <c r="A105" s="63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3" t="n"/>
      <c r="R105" s="63" t="n"/>
      <c r="S105" s="63" t="n"/>
      <c r="T105" s="65" t="n"/>
      <c r="U105" s="65" t="n"/>
      <c r="V105" s="63" t="n"/>
      <c r="W105" s="65" t="n"/>
      <c r="X105" s="69" t="str">
        <f>IF(AND(ISNUMBER($Q105),ISNUMBER($R105)),$R105-$Q105,"")</f>
        <v/>
      </c>
      <c r="Y105" s="71" t="str">
        <f>IF($AB105=1,IF(AND(ISNUMBER($V105),$M105&lt;&gt;"Converted",$M105&lt;&gt;"Rejected"),IF($V105&lt;=ReportDate,"DUE",""),""),"")</f>
        <v/>
      </c>
      <c r="Z105" s="75" t="str">
        <f>IF(ISNUMBER($Q105),$Q105,IF(ISNUMBER($A105),$A105,""))</f>
        <v/>
      </c>
      <c r="AA105" s="71" t="str">
        <f>IF(ISNUMBER($Z105),YEAR($Z105)&amp;"-"&amp;TEXT(MONTH($Z105),"00"),"")</f>
        <v/>
      </c>
      <c r="AB105" s="71">
        <f>IF($H105&lt;&gt;"",1,0)</f>
        <v>0</v>
      </c>
      <c r="AC105" s="71">
        <f>IF(AND($AB105=1,$G105="Yes"),1,0)</f>
        <v>0</v>
      </c>
      <c r="AD105" s="71">
        <f>IF(AND($AB105=1,$N105="MQL"),1,0)</f>
        <v>0</v>
      </c>
      <c r="AE105" s="71">
        <f>IF(AND($AB105=1,$O105="SQL"),1,0)</f>
        <v>0</v>
      </c>
      <c r="AF105" s="71">
        <f>IF(AND($AB105=1,OR($P105="Open",$P105="Won",$P105="Lost")),1,0)</f>
        <v>0</v>
      </c>
      <c r="AG105" s="71">
        <f>IF(AND($AB105=1,OR($M105="Converted",$P105="Won")),1,0)</f>
        <v>0</v>
      </c>
      <c r="AH105" s="71">
        <f>IF($AB105=0,0,IF(AND(OR(fClient="All",$B105=fClient),OR(fCampaign="All",$C105=fCampaign),OR(fTeam="All",$L105=fTeam),OR(fChannel="All",$F105=fChannel),OR(fMonth="All",$AA105=fMonth)),1,0))</f>
        <v>0</v>
      </c>
      <c r="AI105" s="71">
        <f>IF($AB105=0,0,IF(AND(OR(fClient="All",$B105=fClient),OR(fCampaign="All",$C105=fCampaign),OR(fTeam="All",$L105=fTeam),OR(fChannel="All",$F105=fChannel)),1,0))</f>
        <v>0</v>
      </c>
    </row>
    <row r="106">
      <c r="A106" s="63" t="n"/>
      <c r="B106" s="64" t="n"/>
      <c r="C106" s="64" t="n"/>
      <c r="D106" s="64" t="n"/>
      <c r="E106" s="64" t="n"/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3" t="n"/>
      <c r="R106" s="63" t="n"/>
      <c r="S106" s="63" t="n"/>
      <c r="T106" s="65" t="n"/>
      <c r="U106" s="65" t="n"/>
      <c r="V106" s="63" t="n"/>
      <c r="W106" s="65" t="n"/>
      <c r="X106" s="69" t="str">
        <f>IF(AND(ISNUMBER($Q106),ISNUMBER($R106)),$R106-$Q106,"")</f>
        <v/>
      </c>
      <c r="Y106" s="71" t="str">
        <f>IF($AB106=1,IF(AND(ISNUMBER($V106),$M106&lt;&gt;"Converted",$M106&lt;&gt;"Rejected"),IF($V106&lt;=ReportDate,"DUE",""),""),"")</f>
        <v/>
      </c>
      <c r="Z106" s="75" t="str">
        <f>IF(ISNUMBER($Q106),$Q106,IF(ISNUMBER($A106),$A106,""))</f>
        <v/>
      </c>
      <c r="AA106" s="71" t="str">
        <f>IF(ISNUMBER($Z106),YEAR($Z106)&amp;"-"&amp;TEXT(MONTH($Z106),"00"),"")</f>
        <v/>
      </c>
      <c r="AB106" s="71">
        <f>IF($H106&lt;&gt;"",1,0)</f>
        <v>0</v>
      </c>
      <c r="AC106" s="71">
        <f>IF(AND($AB106=1,$G106="Yes"),1,0)</f>
        <v>0</v>
      </c>
      <c r="AD106" s="71">
        <f>IF(AND($AB106=1,$N106="MQL"),1,0)</f>
        <v>0</v>
      </c>
      <c r="AE106" s="71">
        <f>IF(AND($AB106=1,$O106="SQL"),1,0)</f>
        <v>0</v>
      </c>
      <c r="AF106" s="71">
        <f>IF(AND($AB106=1,OR($P106="Open",$P106="Won",$P106="Lost")),1,0)</f>
        <v>0</v>
      </c>
      <c r="AG106" s="71">
        <f>IF(AND($AB106=1,OR($M106="Converted",$P106="Won")),1,0)</f>
        <v>0</v>
      </c>
      <c r="AH106" s="71">
        <f>IF($AB106=0,0,IF(AND(OR(fClient="All",$B106=fClient),OR(fCampaign="All",$C106=fCampaign),OR(fTeam="All",$L106=fTeam),OR(fChannel="All",$F106=fChannel),OR(fMonth="All",$AA106=fMonth)),1,0))</f>
        <v>0</v>
      </c>
      <c r="AI106" s="71">
        <f>IF($AB106=0,0,IF(AND(OR(fClient="All",$B106=fClient),OR(fCampaign="All",$C106=fCampaign),OR(fTeam="All",$L106=fTeam),OR(fChannel="All",$F106=fChannel)),1,0))</f>
        <v>0</v>
      </c>
    </row>
    <row r="107">
      <c r="A107" s="63" t="n"/>
      <c r="B107" s="64" t="n"/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3" t="n"/>
      <c r="R107" s="63" t="n"/>
      <c r="S107" s="63" t="n"/>
      <c r="T107" s="65" t="n"/>
      <c r="U107" s="65" t="n"/>
      <c r="V107" s="63" t="n"/>
      <c r="W107" s="65" t="n"/>
      <c r="X107" s="69" t="str">
        <f>IF(AND(ISNUMBER($Q107),ISNUMBER($R107)),$R107-$Q107,"")</f>
        <v/>
      </c>
      <c r="Y107" s="71" t="str">
        <f>IF($AB107=1,IF(AND(ISNUMBER($V107),$M107&lt;&gt;"Converted",$M107&lt;&gt;"Rejected"),IF($V107&lt;=ReportDate,"DUE",""),""),"")</f>
        <v/>
      </c>
      <c r="Z107" s="75" t="str">
        <f>IF(ISNUMBER($Q107),$Q107,IF(ISNUMBER($A107),$A107,""))</f>
        <v/>
      </c>
      <c r="AA107" s="71" t="str">
        <f>IF(ISNUMBER($Z107),YEAR($Z107)&amp;"-"&amp;TEXT(MONTH($Z107),"00"),"")</f>
        <v/>
      </c>
      <c r="AB107" s="71">
        <f>IF($H107&lt;&gt;"",1,0)</f>
        <v>0</v>
      </c>
      <c r="AC107" s="71">
        <f>IF(AND($AB107=1,$G107="Yes"),1,0)</f>
        <v>0</v>
      </c>
      <c r="AD107" s="71">
        <f>IF(AND($AB107=1,$N107="MQL"),1,0)</f>
        <v>0</v>
      </c>
      <c r="AE107" s="71">
        <f>IF(AND($AB107=1,$O107="SQL"),1,0)</f>
        <v>0</v>
      </c>
      <c r="AF107" s="71">
        <f>IF(AND($AB107=1,OR($P107="Open",$P107="Won",$P107="Lost")),1,0)</f>
        <v>0</v>
      </c>
      <c r="AG107" s="71">
        <f>IF(AND($AB107=1,OR($M107="Converted",$P107="Won")),1,0)</f>
        <v>0</v>
      </c>
      <c r="AH107" s="71">
        <f>IF($AB107=0,0,IF(AND(OR(fClient="All",$B107=fClient),OR(fCampaign="All",$C107=fCampaign),OR(fTeam="All",$L107=fTeam),OR(fChannel="All",$F107=fChannel),OR(fMonth="All",$AA107=fMonth)),1,0))</f>
        <v>0</v>
      </c>
      <c r="AI107" s="71">
        <f>IF($AB107=0,0,IF(AND(OR(fClient="All",$B107=fClient),OR(fCampaign="All",$C107=fCampaign),OR(fTeam="All",$L107=fTeam),OR(fChannel="All",$F107=fChannel)),1,0))</f>
        <v>0</v>
      </c>
    </row>
    <row r="108">
      <c r="A108" s="63" t="n"/>
      <c r="B108" s="64" t="n"/>
      <c r="C108" s="64" t="n"/>
      <c r="D108" s="64" t="n"/>
      <c r="E108" s="64" t="n"/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3" t="n"/>
      <c r="R108" s="63" t="n"/>
      <c r="S108" s="63" t="n"/>
      <c r="T108" s="65" t="n"/>
      <c r="U108" s="65" t="n"/>
      <c r="V108" s="63" t="n"/>
      <c r="W108" s="65" t="n"/>
      <c r="X108" s="69" t="str">
        <f>IF(AND(ISNUMBER($Q108),ISNUMBER($R108)),$R108-$Q108,"")</f>
        <v/>
      </c>
      <c r="Y108" s="71" t="str">
        <f>IF($AB108=1,IF(AND(ISNUMBER($V108),$M108&lt;&gt;"Converted",$M108&lt;&gt;"Rejected"),IF($V108&lt;=ReportDate,"DUE",""),""),"")</f>
        <v/>
      </c>
      <c r="Z108" s="75" t="str">
        <f>IF(ISNUMBER($Q108),$Q108,IF(ISNUMBER($A108),$A108,""))</f>
        <v/>
      </c>
      <c r="AA108" s="71" t="str">
        <f>IF(ISNUMBER($Z108),YEAR($Z108)&amp;"-"&amp;TEXT(MONTH($Z108),"00"),"")</f>
        <v/>
      </c>
      <c r="AB108" s="71">
        <f>IF($H108&lt;&gt;"",1,0)</f>
        <v>0</v>
      </c>
      <c r="AC108" s="71">
        <f>IF(AND($AB108=1,$G108="Yes"),1,0)</f>
        <v>0</v>
      </c>
      <c r="AD108" s="71">
        <f>IF(AND($AB108=1,$N108="MQL"),1,0)</f>
        <v>0</v>
      </c>
      <c r="AE108" s="71">
        <f>IF(AND($AB108=1,$O108="SQL"),1,0)</f>
        <v>0</v>
      </c>
      <c r="AF108" s="71">
        <f>IF(AND($AB108=1,OR($P108="Open",$P108="Won",$P108="Lost")),1,0)</f>
        <v>0</v>
      </c>
      <c r="AG108" s="71">
        <f>IF(AND($AB108=1,OR($M108="Converted",$P108="Won")),1,0)</f>
        <v>0</v>
      </c>
      <c r="AH108" s="71">
        <f>IF($AB108=0,0,IF(AND(OR(fClient="All",$B108=fClient),OR(fCampaign="All",$C108=fCampaign),OR(fTeam="All",$L108=fTeam),OR(fChannel="All",$F108=fChannel),OR(fMonth="All",$AA108=fMonth)),1,0))</f>
        <v>0</v>
      </c>
      <c r="AI108" s="71">
        <f>IF($AB108=0,0,IF(AND(OR(fClient="All",$B108=fClient),OR(fCampaign="All",$C108=fCampaign),OR(fTeam="All",$L108=fTeam),OR(fChannel="All",$F108=fChannel)),1,0))</f>
        <v>0</v>
      </c>
    </row>
    <row r="109">
      <c r="A109" s="63" t="n"/>
      <c r="B109" s="64" t="n"/>
      <c r="C109" s="64" t="n"/>
      <c r="D109" s="64" t="n"/>
      <c r="E109" s="64" t="n"/>
      <c r="F109" s="64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3" t="n"/>
      <c r="R109" s="63" t="n"/>
      <c r="S109" s="63" t="n"/>
      <c r="T109" s="65" t="n"/>
      <c r="U109" s="65" t="n"/>
      <c r="V109" s="63" t="n"/>
      <c r="W109" s="65" t="n"/>
      <c r="X109" s="69" t="str">
        <f>IF(AND(ISNUMBER($Q109),ISNUMBER($R109)),$R109-$Q109,"")</f>
        <v/>
      </c>
      <c r="Y109" s="71" t="str">
        <f>IF($AB109=1,IF(AND(ISNUMBER($V109),$M109&lt;&gt;"Converted",$M109&lt;&gt;"Rejected"),IF($V109&lt;=ReportDate,"DUE",""),""),"")</f>
        <v/>
      </c>
      <c r="Z109" s="75" t="str">
        <f>IF(ISNUMBER($Q109),$Q109,IF(ISNUMBER($A109),$A109,""))</f>
        <v/>
      </c>
      <c r="AA109" s="71" t="str">
        <f>IF(ISNUMBER($Z109),YEAR($Z109)&amp;"-"&amp;TEXT(MONTH($Z109),"00"),"")</f>
        <v/>
      </c>
      <c r="AB109" s="71">
        <f>IF($H109&lt;&gt;"",1,0)</f>
        <v>0</v>
      </c>
      <c r="AC109" s="71">
        <f>IF(AND($AB109=1,$G109="Yes"),1,0)</f>
        <v>0</v>
      </c>
      <c r="AD109" s="71">
        <f>IF(AND($AB109=1,$N109="MQL"),1,0)</f>
        <v>0</v>
      </c>
      <c r="AE109" s="71">
        <f>IF(AND($AB109=1,$O109="SQL"),1,0)</f>
        <v>0</v>
      </c>
      <c r="AF109" s="71">
        <f>IF(AND($AB109=1,OR($P109="Open",$P109="Won",$P109="Lost")),1,0)</f>
        <v>0</v>
      </c>
      <c r="AG109" s="71">
        <f>IF(AND($AB109=1,OR($M109="Converted",$P109="Won")),1,0)</f>
        <v>0</v>
      </c>
      <c r="AH109" s="71">
        <f>IF($AB109=0,0,IF(AND(OR(fClient="All",$B109=fClient),OR(fCampaign="All",$C109=fCampaign),OR(fTeam="All",$L109=fTeam),OR(fChannel="All",$F109=fChannel),OR(fMonth="All",$AA109=fMonth)),1,0))</f>
        <v>0</v>
      </c>
      <c r="AI109" s="71">
        <f>IF($AB109=0,0,IF(AND(OR(fClient="All",$B109=fClient),OR(fCampaign="All",$C109=fCampaign),OR(fTeam="All",$L109=fTeam),OR(fChannel="All",$F109=fChannel)),1,0))</f>
        <v>0</v>
      </c>
    </row>
    <row r="110">
      <c r="A110" s="63" t="n"/>
      <c r="B110" s="64" t="n"/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3" t="n"/>
      <c r="R110" s="63" t="n"/>
      <c r="S110" s="63" t="n"/>
      <c r="T110" s="65" t="n"/>
      <c r="U110" s="65" t="n"/>
      <c r="V110" s="63" t="n"/>
      <c r="W110" s="65" t="n"/>
      <c r="X110" s="69" t="str">
        <f>IF(AND(ISNUMBER($Q110),ISNUMBER($R110)),$R110-$Q110,"")</f>
        <v/>
      </c>
      <c r="Y110" s="71" t="str">
        <f>IF($AB110=1,IF(AND(ISNUMBER($V110),$M110&lt;&gt;"Converted",$M110&lt;&gt;"Rejected"),IF($V110&lt;=ReportDate,"DUE",""),""),"")</f>
        <v/>
      </c>
      <c r="Z110" s="75" t="str">
        <f>IF(ISNUMBER($Q110),$Q110,IF(ISNUMBER($A110),$A110,""))</f>
        <v/>
      </c>
      <c r="AA110" s="71" t="str">
        <f>IF(ISNUMBER($Z110),YEAR($Z110)&amp;"-"&amp;TEXT(MONTH($Z110),"00"),"")</f>
        <v/>
      </c>
      <c r="AB110" s="71">
        <f>IF($H110&lt;&gt;"",1,0)</f>
        <v>0</v>
      </c>
      <c r="AC110" s="71">
        <f>IF(AND($AB110=1,$G110="Yes"),1,0)</f>
        <v>0</v>
      </c>
      <c r="AD110" s="71">
        <f>IF(AND($AB110=1,$N110="MQL"),1,0)</f>
        <v>0</v>
      </c>
      <c r="AE110" s="71">
        <f>IF(AND($AB110=1,$O110="SQL"),1,0)</f>
        <v>0</v>
      </c>
      <c r="AF110" s="71">
        <f>IF(AND($AB110=1,OR($P110="Open",$P110="Won",$P110="Lost")),1,0)</f>
        <v>0</v>
      </c>
      <c r="AG110" s="71">
        <f>IF(AND($AB110=1,OR($M110="Converted",$P110="Won")),1,0)</f>
        <v>0</v>
      </c>
      <c r="AH110" s="71">
        <f>IF($AB110=0,0,IF(AND(OR(fClient="All",$B110=fClient),OR(fCampaign="All",$C110=fCampaign),OR(fTeam="All",$L110=fTeam),OR(fChannel="All",$F110=fChannel),OR(fMonth="All",$AA110=fMonth)),1,0))</f>
        <v>0</v>
      </c>
      <c r="AI110" s="71">
        <f>IF($AB110=0,0,IF(AND(OR(fClient="All",$B110=fClient),OR(fCampaign="All",$C110=fCampaign),OR(fTeam="All",$L110=fTeam),OR(fChannel="All",$F110=fChannel)),1,0))</f>
        <v>0</v>
      </c>
    </row>
    <row r="111">
      <c r="A111" s="63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3" t="n"/>
      <c r="R111" s="63" t="n"/>
      <c r="S111" s="63" t="n"/>
      <c r="T111" s="65" t="n"/>
      <c r="U111" s="65" t="n"/>
      <c r="V111" s="63" t="n"/>
      <c r="W111" s="65" t="n"/>
      <c r="X111" s="69" t="str">
        <f>IF(AND(ISNUMBER($Q111),ISNUMBER($R111)),$R111-$Q111,"")</f>
        <v/>
      </c>
      <c r="Y111" s="71" t="str">
        <f>IF($AB111=1,IF(AND(ISNUMBER($V111),$M111&lt;&gt;"Converted",$M111&lt;&gt;"Rejected"),IF($V111&lt;=ReportDate,"DUE",""),""),"")</f>
        <v/>
      </c>
      <c r="Z111" s="75" t="str">
        <f>IF(ISNUMBER($Q111),$Q111,IF(ISNUMBER($A111),$A111,""))</f>
        <v/>
      </c>
      <c r="AA111" s="71" t="str">
        <f>IF(ISNUMBER($Z111),YEAR($Z111)&amp;"-"&amp;TEXT(MONTH($Z111),"00"),"")</f>
        <v/>
      </c>
      <c r="AB111" s="71">
        <f>IF($H111&lt;&gt;"",1,0)</f>
        <v>0</v>
      </c>
      <c r="AC111" s="71">
        <f>IF(AND($AB111=1,$G111="Yes"),1,0)</f>
        <v>0</v>
      </c>
      <c r="AD111" s="71">
        <f>IF(AND($AB111=1,$N111="MQL"),1,0)</f>
        <v>0</v>
      </c>
      <c r="AE111" s="71">
        <f>IF(AND($AB111=1,$O111="SQL"),1,0)</f>
        <v>0</v>
      </c>
      <c r="AF111" s="71">
        <f>IF(AND($AB111=1,OR($P111="Open",$P111="Won",$P111="Lost")),1,0)</f>
        <v>0</v>
      </c>
      <c r="AG111" s="71">
        <f>IF(AND($AB111=1,OR($M111="Converted",$P111="Won")),1,0)</f>
        <v>0</v>
      </c>
      <c r="AH111" s="71">
        <f>IF($AB111=0,0,IF(AND(OR(fClient="All",$B111=fClient),OR(fCampaign="All",$C111=fCampaign),OR(fTeam="All",$L111=fTeam),OR(fChannel="All",$F111=fChannel),OR(fMonth="All",$AA111=fMonth)),1,0))</f>
        <v>0</v>
      </c>
      <c r="AI111" s="71">
        <f>IF($AB111=0,0,IF(AND(OR(fClient="All",$B111=fClient),OR(fCampaign="All",$C111=fCampaign),OR(fTeam="All",$L111=fTeam),OR(fChannel="All",$F111=fChannel)),1,0))</f>
        <v>0</v>
      </c>
    </row>
    <row r="112">
      <c r="A112" s="63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3" t="n"/>
      <c r="R112" s="63" t="n"/>
      <c r="S112" s="63" t="n"/>
      <c r="T112" s="65" t="n"/>
      <c r="U112" s="65" t="n"/>
      <c r="V112" s="63" t="n"/>
      <c r="W112" s="65" t="n"/>
      <c r="X112" s="69" t="str">
        <f>IF(AND(ISNUMBER($Q112),ISNUMBER($R112)),$R112-$Q112,"")</f>
        <v/>
      </c>
      <c r="Y112" s="71" t="str">
        <f>IF($AB112=1,IF(AND(ISNUMBER($V112),$M112&lt;&gt;"Converted",$M112&lt;&gt;"Rejected"),IF($V112&lt;=ReportDate,"DUE",""),""),"")</f>
        <v/>
      </c>
      <c r="Z112" s="75" t="str">
        <f>IF(ISNUMBER($Q112),$Q112,IF(ISNUMBER($A112),$A112,""))</f>
        <v/>
      </c>
      <c r="AA112" s="71" t="str">
        <f>IF(ISNUMBER($Z112),YEAR($Z112)&amp;"-"&amp;TEXT(MONTH($Z112),"00"),"")</f>
        <v/>
      </c>
      <c r="AB112" s="71">
        <f>IF($H112&lt;&gt;"",1,0)</f>
        <v>0</v>
      </c>
      <c r="AC112" s="71">
        <f>IF(AND($AB112=1,$G112="Yes"),1,0)</f>
        <v>0</v>
      </c>
      <c r="AD112" s="71">
        <f>IF(AND($AB112=1,$N112="MQL"),1,0)</f>
        <v>0</v>
      </c>
      <c r="AE112" s="71">
        <f>IF(AND($AB112=1,$O112="SQL"),1,0)</f>
        <v>0</v>
      </c>
      <c r="AF112" s="71">
        <f>IF(AND($AB112=1,OR($P112="Open",$P112="Won",$P112="Lost")),1,0)</f>
        <v>0</v>
      </c>
      <c r="AG112" s="71">
        <f>IF(AND($AB112=1,OR($M112="Converted",$P112="Won")),1,0)</f>
        <v>0</v>
      </c>
      <c r="AH112" s="71">
        <f>IF($AB112=0,0,IF(AND(OR(fClient="All",$B112=fClient),OR(fCampaign="All",$C112=fCampaign),OR(fTeam="All",$L112=fTeam),OR(fChannel="All",$F112=fChannel),OR(fMonth="All",$AA112=fMonth)),1,0))</f>
        <v>0</v>
      </c>
      <c r="AI112" s="71">
        <f>IF($AB112=0,0,IF(AND(OR(fClient="All",$B112=fClient),OR(fCampaign="All",$C112=fCampaign),OR(fTeam="All",$L112=fTeam),OR(fChannel="All",$F112=fChannel)),1,0))</f>
        <v>0</v>
      </c>
    </row>
    <row r="113">
      <c r="A113" s="63" t="n"/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3" t="n"/>
      <c r="R113" s="63" t="n"/>
      <c r="S113" s="63" t="n"/>
      <c r="T113" s="65" t="n"/>
      <c r="U113" s="65" t="n"/>
      <c r="V113" s="63" t="n"/>
      <c r="W113" s="65" t="n"/>
      <c r="X113" s="69" t="str">
        <f>IF(AND(ISNUMBER($Q113),ISNUMBER($R113)),$R113-$Q113,"")</f>
        <v/>
      </c>
      <c r="Y113" s="71" t="str">
        <f>IF($AB113=1,IF(AND(ISNUMBER($V113),$M113&lt;&gt;"Converted",$M113&lt;&gt;"Rejected"),IF($V113&lt;=ReportDate,"DUE",""),""),"")</f>
        <v/>
      </c>
      <c r="Z113" s="75" t="str">
        <f>IF(ISNUMBER($Q113),$Q113,IF(ISNUMBER($A113),$A113,""))</f>
        <v/>
      </c>
      <c r="AA113" s="71" t="str">
        <f>IF(ISNUMBER($Z113),YEAR($Z113)&amp;"-"&amp;TEXT(MONTH($Z113),"00"),"")</f>
        <v/>
      </c>
      <c r="AB113" s="71">
        <f>IF($H113&lt;&gt;"",1,0)</f>
        <v>0</v>
      </c>
      <c r="AC113" s="71">
        <f>IF(AND($AB113=1,$G113="Yes"),1,0)</f>
        <v>0</v>
      </c>
      <c r="AD113" s="71">
        <f>IF(AND($AB113=1,$N113="MQL"),1,0)</f>
        <v>0</v>
      </c>
      <c r="AE113" s="71">
        <f>IF(AND($AB113=1,$O113="SQL"),1,0)</f>
        <v>0</v>
      </c>
      <c r="AF113" s="71">
        <f>IF(AND($AB113=1,OR($P113="Open",$P113="Won",$P113="Lost")),1,0)</f>
        <v>0</v>
      </c>
      <c r="AG113" s="71">
        <f>IF(AND($AB113=1,OR($M113="Converted",$P113="Won")),1,0)</f>
        <v>0</v>
      </c>
      <c r="AH113" s="71">
        <f>IF($AB113=0,0,IF(AND(OR(fClient="All",$B113=fClient),OR(fCampaign="All",$C113=fCampaign),OR(fTeam="All",$L113=fTeam),OR(fChannel="All",$F113=fChannel),OR(fMonth="All",$AA113=fMonth)),1,0))</f>
        <v>0</v>
      </c>
      <c r="AI113" s="71">
        <f>IF($AB113=0,0,IF(AND(OR(fClient="All",$B113=fClient),OR(fCampaign="All",$C113=fCampaign),OR(fTeam="All",$L113=fTeam),OR(fChannel="All",$F113=fChannel)),1,0))</f>
        <v>0</v>
      </c>
    </row>
    <row r="114">
      <c r="A114" s="63" t="n"/>
      <c r="B114" s="64" t="n"/>
      <c r="C114" s="64" t="n"/>
      <c r="D114" s="64" t="n"/>
      <c r="E114" s="64" t="n"/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3" t="n"/>
      <c r="R114" s="63" t="n"/>
      <c r="S114" s="63" t="n"/>
      <c r="T114" s="65" t="n"/>
      <c r="U114" s="65" t="n"/>
      <c r="V114" s="63" t="n"/>
      <c r="W114" s="65" t="n"/>
      <c r="X114" s="69" t="str">
        <f>IF(AND(ISNUMBER($Q114),ISNUMBER($R114)),$R114-$Q114,"")</f>
        <v/>
      </c>
      <c r="Y114" s="71" t="str">
        <f>IF($AB114=1,IF(AND(ISNUMBER($V114),$M114&lt;&gt;"Converted",$M114&lt;&gt;"Rejected"),IF($V114&lt;=ReportDate,"DUE",""),""),"")</f>
        <v/>
      </c>
      <c r="Z114" s="75" t="str">
        <f>IF(ISNUMBER($Q114),$Q114,IF(ISNUMBER($A114),$A114,""))</f>
        <v/>
      </c>
      <c r="AA114" s="71" t="str">
        <f>IF(ISNUMBER($Z114),YEAR($Z114)&amp;"-"&amp;TEXT(MONTH($Z114),"00"),"")</f>
        <v/>
      </c>
      <c r="AB114" s="71">
        <f>IF($H114&lt;&gt;"",1,0)</f>
        <v>0</v>
      </c>
      <c r="AC114" s="71">
        <f>IF(AND($AB114=1,$G114="Yes"),1,0)</f>
        <v>0</v>
      </c>
      <c r="AD114" s="71">
        <f>IF(AND($AB114=1,$N114="MQL"),1,0)</f>
        <v>0</v>
      </c>
      <c r="AE114" s="71">
        <f>IF(AND($AB114=1,$O114="SQL"),1,0)</f>
        <v>0</v>
      </c>
      <c r="AF114" s="71">
        <f>IF(AND($AB114=1,OR($P114="Open",$P114="Won",$P114="Lost")),1,0)</f>
        <v>0</v>
      </c>
      <c r="AG114" s="71">
        <f>IF(AND($AB114=1,OR($M114="Converted",$P114="Won")),1,0)</f>
        <v>0</v>
      </c>
      <c r="AH114" s="71">
        <f>IF($AB114=0,0,IF(AND(OR(fClient="All",$B114=fClient),OR(fCampaign="All",$C114=fCampaign),OR(fTeam="All",$L114=fTeam),OR(fChannel="All",$F114=fChannel),OR(fMonth="All",$AA114=fMonth)),1,0))</f>
        <v>0</v>
      </c>
      <c r="AI114" s="71">
        <f>IF($AB114=0,0,IF(AND(OR(fClient="All",$B114=fClient),OR(fCampaign="All",$C114=fCampaign),OR(fTeam="All",$L114=fTeam),OR(fChannel="All",$F114=fChannel)),1,0))</f>
        <v>0</v>
      </c>
    </row>
    <row r="115">
      <c r="A115" s="63" t="n"/>
      <c r="B115" s="64" t="n"/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3" t="n"/>
      <c r="R115" s="63" t="n"/>
      <c r="S115" s="63" t="n"/>
      <c r="T115" s="65" t="n"/>
      <c r="U115" s="65" t="n"/>
      <c r="V115" s="63" t="n"/>
      <c r="W115" s="65" t="n"/>
      <c r="X115" s="69" t="str">
        <f>IF(AND(ISNUMBER($Q115),ISNUMBER($R115)),$R115-$Q115,"")</f>
        <v/>
      </c>
      <c r="Y115" s="71" t="str">
        <f>IF($AB115=1,IF(AND(ISNUMBER($V115),$M115&lt;&gt;"Converted",$M115&lt;&gt;"Rejected"),IF($V115&lt;=ReportDate,"DUE",""),""),"")</f>
        <v/>
      </c>
      <c r="Z115" s="75" t="str">
        <f>IF(ISNUMBER($Q115),$Q115,IF(ISNUMBER($A115),$A115,""))</f>
        <v/>
      </c>
      <c r="AA115" s="71" t="str">
        <f>IF(ISNUMBER($Z115),YEAR($Z115)&amp;"-"&amp;TEXT(MONTH($Z115),"00"),"")</f>
        <v/>
      </c>
      <c r="AB115" s="71">
        <f>IF($H115&lt;&gt;"",1,0)</f>
        <v>0</v>
      </c>
      <c r="AC115" s="71">
        <f>IF(AND($AB115=1,$G115="Yes"),1,0)</f>
        <v>0</v>
      </c>
      <c r="AD115" s="71">
        <f>IF(AND($AB115=1,$N115="MQL"),1,0)</f>
        <v>0</v>
      </c>
      <c r="AE115" s="71">
        <f>IF(AND($AB115=1,$O115="SQL"),1,0)</f>
        <v>0</v>
      </c>
      <c r="AF115" s="71">
        <f>IF(AND($AB115=1,OR($P115="Open",$P115="Won",$P115="Lost")),1,0)</f>
        <v>0</v>
      </c>
      <c r="AG115" s="71">
        <f>IF(AND($AB115=1,OR($M115="Converted",$P115="Won")),1,0)</f>
        <v>0</v>
      </c>
      <c r="AH115" s="71">
        <f>IF($AB115=0,0,IF(AND(OR(fClient="All",$B115=fClient),OR(fCampaign="All",$C115=fCampaign),OR(fTeam="All",$L115=fTeam),OR(fChannel="All",$F115=fChannel),OR(fMonth="All",$AA115=fMonth)),1,0))</f>
        <v>0</v>
      </c>
      <c r="AI115" s="71">
        <f>IF($AB115=0,0,IF(AND(OR(fClient="All",$B115=fClient),OR(fCampaign="All",$C115=fCampaign),OR(fTeam="All",$L115=fTeam),OR(fChannel="All",$F115=fChannel)),1,0))</f>
        <v>0</v>
      </c>
    </row>
    <row r="116">
      <c r="A116" s="63" t="n"/>
      <c r="B116" s="64" t="n"/>
      <c r="C116" s="64" t="n"/>
      <c r="D116" s="64" t="n"/>
      <c r="E116" s="64" t="n"/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3" t="n"/>
      <c r="R116" s="63" t="n"/>
      <c r="S116" s="63" t="n"/>
      <c r="T116" s="65" t="n"/>
      <c r="U116" s="65" t="n"/>
      <c r="V116" s="63" t="n"/>
      <c r="W116" s="65" t="n"/>
      <c r="X116" s="69" t="str">
        <f>IF(AND(ISNUMBER($Q116),ISNUMBER($R116)),$R116-$Q116,"")</f>
        <v/>
      </c>
      <c r="Y116" s="71" t="str">
        <f>IF($AB116=1,IF(AND(ISNUMBER($V116),$M116&lt;&gt;"Converted",$M116&lt;&gt;"Rejected"),IF($V116&lt;=ReportDate,"DUE",""),""),"")</f>
        <v/>
      </c>
      <c r="Z116" s="75" t="str">
        <f>IF(ISNUMBER($Q116),$Q116,IF(ISNUMBER($A116),$A116,""))</f>
        <v/>
      </c>
      <c r="AA116" s="71" t="str">
        <f>IF(ISNUMBER($Z116),YEAR($Z116)&amp;"-"&amp;TEXT(MONTH($Z116),"00"),"")</f>
        <v/>
      </c>
      <c r="AB116" s="71">
        <f>IF($H116&lt;&gt;"",1,0)</f>
        <v>0</v>
      </c>
      <c r="AC116" s="71">
        <f>IF(AND($AB116=1,$G116="Yes"),1,0)</f>
        <v>0</v>
      </c>
      <c r="AD116" s="71">
        <f>IF(AND($AB116=1,$N116="MQL"),1,0)</f>
        <v>0</v>
      </c>
      <c r="AE116" s="71">
        <f>IF(AND($AB116=1,$O116="SQL"),1,0)</f>
        <v>0</v>
      </c>
      <c r="AF116" s="71">
        <f>IF(AND($AB116=1,OR($P116="Open",$P116="Won",$P116="Lost")),1,0)</f>
        <v>0</v>
      </c>
      <c r="AG116" s="71">
        <f>IF(AND($AB116=1,OR($M116="Converted",$P116="Won")),1,0)</f>
        <v>0</v>
      </c>
      <c r="AH116" s="71">
        <f>IF($AB116=0,0,IF(AND(OR(fClient="All",$B116=fClient),OR(fCampaign="All",$C116=fCampaign),OR(fTeam="All",$L116=fTeam),OR(fChannel="All",$F116=fChannel),OR(fMonth="All",$AA116=fMonth)),1,0))</f>
        <v>0</v>
      </c>
      <c r="AI116" s="71">
        <f>IF($AB116=0,0,IF(AND(OR(fClient="All",$B116=fClient),OR(fCampaign="All",$C116=fCampaign),OR(fTeam="All",$L116=fTeam),OR(fChannel="All",$F116=fChannel)),1,0))</f>
        <v>0</v>
      </c>
    </row>
    <row r="117">
      <c r="A117" s="63" t="n"/>
      <c r="B117" s="64" t="n"/>
      <c r="C117" s="64" t="n"/>
      <c r="D117" s="64" t="n"/>
      <c r="E117" s="64" t="n"/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3" t="n"/>
      <c r="R117" s="63" t="n"/>
      <c r="S117" s="63" t="n"/>
      <c r="T117" s="65" t="n"/>
      <c r="U117" s="65" t="n"/>
      <c r="V117" s="63" t="n"/>
      <c r="W117" s="65" t="n"/>
      <c r="X117" s="69" t="str">
        <f>IF(AND(ISNUMBER($Q117),ISNUMBER($R117)),$R117-$Q117,"")</f>
        <v/>
      </c>
      <c r="Y117" s="71" t="str">
        <f>IF($AB117=1,IF(AND(ISNUMBER($V117),$M117&lt;&gt;"Converted",$M117&lt;&gt;"Rejected"),IF($V117&lt;=ReportDate,"DUE",""),""),"")</f>
        <v/>
      </c>
      <c r="Z117" s="75" t="str">
        <f>IF(ISNUMBER($Q117),$Q117,IF(ISNUMBER($A117),$A117,""))</f>
        <v/>
      </c>
      <c r="AA117" s="71" t="str">
        <f>IF(ISNUMBER($Z117),YEAR($Z117)&amp;"-"&amp;TEXT(MONTH($Z117),"00"),"")</f>
        <v/>
      </c>
      <c r="AB117" s="71">
        <f>IF($H117&lt;&gt;"",1,0)</f>
        <v>0</v>
      </c>
      <c r="AC117" s="71">
        <f>IF(AND($AB117=1,$G117="Yes"),1,0)</f>
        <v>0</v>
      </c>
      <c r="AD117" s="71">
        <f>IF(AND($AB117=1,$N117="MQL"),1,0)</f>
        <v>0</v>
      </c>
      <c r="AE117" s="71">
        <f>IF(AND($AB117=1,$O117="SQL"),1,0)</f>
        <v>0</v>
      </c>
      <c r="AF117" s="71">
        <f>IF(AND($AB117=1,OR($P117="Open",$P117="Won",$P117="Lost")),1,0)</f>
        <v>0</v>
      </c>
      <c r="AG117" s="71">
        <f>IF(AND($AB117=1,OR($M117="Converted",$P117="Won")),1,0)</f>
        <v>0</v>
      </c>
      <c r="AH117" s="71">
        <f>IF($AB117=0,0,IF(AND(OR(fClient="All",$B117=fClient),OR(fCampaign="All",$C117=fCampaign),OR(fTeam="All",$L117=fTeam),OR(fChannel="All",$F117=fChannel),OR(fMonth="All",$AA117=fMonth)),1,0))</f>
        <v>0</v>
      </c>
      <c r="AI117" s="71">
        <f>IF($AB117=0,0,IF(AND(OR(fClient="All",$B117=fClient),OR(fCampaign="All",$C117=fCampaign),OR(fTeam="All",$L117=fTeam),OR(fChannel="All",$F117=fChannel)),1,0))</f>
        <v>0</v>
      </c>
    </row>
    <row r="118">
      <c r="A118" s="63" t="n"/>
      <c r="B118" s="64" t="n"/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3" t="n"/>
      <c r="R118" s="63" t="n"/>
      <c r="S118" s="63" t="n"/>
      <c r="T118" s="65" t="n"/>
      <c r="U118" s="65" t="n"/>
      <c r="V118" s="63" t="n"/>
      <c r="W118" s="65" t="n"/>
      <c r="X118" s="69" t="str">
        <f>IF(AND(ISNUMBER($Q118),ISNUMBER($R118)),$R118-$Q118,"")</f>
        <v/>
      </c>
      <c r="Y118" s="71" t="str">
        <f>IF($AB118=1,IF(AND(ISNUMBER($V118),$M118&lt;&gt;"Converted",$M118&lt;&gt;"Rejected"),IF($V118&lt;=ReportDate,"DUE",""),""),"")</f>
        <v/>
      </c>
      <c r="Z118" s="75" t="str">
        <f>IF(ISNUMBER($Q118),$Q118,IF(ISNUMBER($A118),$A118,""))</f>
        <v/>
      </c>
      <c r="AA118" s="71" t="str">
        <f>IF(ISNUMBER($Z118),YEAR($Z118)&amp;"-"&amp;TEXT(MONTH($Z118),"00"),"")</f>
        <v/>
      </c>
      <c r="AB118" s="71">
        <f>IF($H118&lt;&gt;"",1,0)</f>
        <v>0</v>
      </c>
      <c r="AC118" s="71">
        <f>IF(AND($AB118=1,$G118="Yes"),1,0)</f>
        <v>0</v>
      </c>
      <c r="AD118" s="71">
        <f>IF(AND($AB118=1,$N118="MQL"),1,0)</f>
        <v>0</v>
      </c>
      <c r="AE118" s="71">
        <f>IF(AND($AB118=1,$O118="SQL"),1,0)</f>
        <v>0</v>
      </c>
      <c r="AF118" s="71">
        <f>IF(AND($AB118=1,OR($P118="Open",$P118="Won",$P118="Lost")),1,0)</f>
        <v>0</v>
      </c>
      <c r="AG118" s="71">
        <f>IF(AND($AB118=1,OR($M118="Converted",$P118="Won")),1,0)</f>
        <v>0</v>
      </c>
      <c r="AH118" s="71">
        <f>IF($AB118=0,0,IF(AND(OR(fClient="All",$B118=fClient),OR(fCampaign="All",$C118=fCampaign),OR(fTeam="All",$L118=fTeam),OR(fChannel="All",$F118=fChannel),OR(fMonth="All",$AA118=fMonth)),1,0))</f>
        <v>0</v>
      </c>
      <c r="AI118" s="71">
        <f>IF($AB118=0,0,IF(AND(OR(fClient="All",$B118=fClient),OR(fCampaign="All",$C118=fCampaign),OR(fTeam="All",$L118=fTeam),OR(fChannel="All",$F118=fChannel)),1,0))</f>
        <v>0</v>
      </c>
    </row>
    <row r="119">
      <c r="A119" s="63" t="n"/>
      <c r="B119" s="64" t="n"/>
      <c r="C119" s="64" t="n"/>
      <c r="D119" s="64" t="n"/>
      <c r="E119" s="64" t="n"/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3" t="n"/>
      <c r="R119" s="63" t="n"/>
      <c r="S119" s="63" t="n"/>
      <c r="T119" s="65" t="n"/>
      <c r="U119" s="65" t="n"/>
      <c r="V119" s="63" t="n"/>
      <c r="W119" s="65" t="n"/>
      <c r="X119" s="69" t="str">
        <f>IF(AND(ISNUMBER($Q119),ISNUMBER($R119)),$R119-$Q119,"")</f>
        <v/>
      </c>
      <c r="Y119" s="71" t="str">
        <f>IF($AB119=1,IF(AND(ISNUMBER($V119),$M119&lt;&gt;"Converted",$M119&lt;&gt;"Rejected"),IF($V119&lt;=ReportDate,"DUE",""),""),"")</f>
        <v/>
      </c>
      <c r="Z119" s="75" t="str">
        <f>IF(ISNUMBER($Q119),$Q119,IF(ISNUMBER($A119),$A119,""))</f>
        <v/>
      </c>
      <c r="AA119" s="71" t="str">
        <f>IF(ISNUMBER($Z119),YEAR($Z119)&amp;"-"&amp;TEXT(MONTH($Z119),"00"),"")</f>
        <v/>
      </c>
      <c r="AB119" s="71">
        <f>IF($H119&lt;&gt;"",1,0)</f>
        <v>0</v>
      </c>
      <c r="AC119" s="71">
        <f>IF(AND($AB119=1,$G119="Yes"),1,0)</f>
        <v>0</v>
      </c>
      <c r="AD119" s="71">
        <f>IF(AND($AB119=1,$N119="MQL"),1,0)</f>
        <v>0</v>
      </c>
      <c r="AE119" s="71">
        <f>IF(AND($AB119=1,$O119="SQL"),1,0)</f>
        <v>0</v>
      </c>
      <c r="AF119" s="71">
        <f>IF(AND($AB119=1,OR($P119="Open",$P119="Won",$P119="Lost")),1,0)</f>
        <v>0</v>
      </c>
      <c r="AG119" s="71">
        <f>IF(AND($AB119=1,OR($M119="Converted",$P119="Won")),1,0)</f>
        <v>0</v>
      </c>
      <c r="AH119" s="71">
        <f>IF($AB119=0,0,IF(AND(OR(fClient="All",$B119=fClient),OR(fCampaign="All",$C119=fCampaign),OR(fTeam="All",$L119=fTeam),OR(fChannel="All",$F119=fChannel),OR(fMonth="All",$AA119=fMonth)),1,0))</f>
        <v>0</v>
      </c>
      <c r="AI119" s="71">
        <f>IF($AB119=0,0,IF(AND(OR(fClient="All",$B119=fClient),OR(fCampaign="All",$C119=fCampaign),OR(fTeam="All",$L119=fTeam),OR(fChannel="All",$F119=fChannel)),1,0))</f>
        <v>0</v>
      </c>
    </row>
    <row r="120">
      <c r="A120" s="63" t="n"/>
      <c r="B120" s="64" t="n"/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3" t="n"/>
      <c r="R120" s="63" t="n"/>
      <c r="S120" s="63" t="n"/>
      <c r="T120" s="65" t="n"/>
      <c r="U120" s="65" t="n"/>
      <c r="V120" s="63" t="n"/>
      <c r="W120" s="65" t="n"/>
      <c r="X120" s="69" t="str">
        <f>IF(AND(ISNUMBER($Q120),ISNUMBER($R120)),$R120-$Q120,"")</f>
        <v/>
      </c>
      <c r="Y120" s="71" t="str">
        <f>IF($AB120=1,IF(AND(ISNUMBER($V120),$M120&lt;&gt;"Converted",$M120&lt;&gt;"Rejected"),IF($V120&lt;=ReportDate,"DUE",""),""),"")</f>
        <v/>
      </c>
      <c r="Z120" s="75" t="str">
        <f>IF(ISNUMBER($Q120),$Q120,IF(ISNUMBER($A120),$A120,""))</f>
        <v/>
      </c>
      <c r="AA120" s="71" t="str">
        <f>IF(ISNUMBER($Z120),YEAR($Z120)&amp;"-"&amp;TEXT(MONTH($Z120),"00"),"")</f>
        <v/>
      </c>
      <c r="AB120" s="71">
        <f>IF($H120&lt;&gt;"",1,0)</f>
        <v>0</v>
      </c>
      <c r="AC120" s="71">
        <f>IF(AND($AB120=1,$G120="Yes"),1,0)</f>
        <v>0</v>
      </c>
      <c r="AD120" s="71">
        <f>IF(AND($AB120=1,$N120="MQL"),1,0)</f>
        <v>0</v>
      </c>
      <c r="AE120" s="71">
        <f>IF(AND($AB120=1,$O120="SQL"),1,0)</f>
        <v>0</v>
      </c>
      <c r="AF120" s="71">
        <f>IF(AND($AB120=1,OR($P120="Open",$P120="Won",$P120="Lost")),1,0)</f>
        <v>0</v>
      </c>
      <c r="AG120" s="71">
        <f>IF(AND($AB120=1,OR($M120="Converted",$P120="Won")),1,0)</f>
        <v>0</v>
      </c>
      <c r="AH120" s="71">
        <f>IF($AB120=0,0,IF(AND(OR(fClient="All",$B120=fClient),OR(fCampaign="All",$C120=fCampaign),OR(fTeam="All",$L120=fTeam),OR(fChannel="All",$F120=fChannel),OR(fMonth="All",$AA120=fMonth)),1,0))</f>
        <v>0</v>
      </c>
      <c r="AI120" s="71">
        <f>IF($AB120=0,0,IF(AND(OR(fClient="All",$B120=fClient),OR(fCampaign="All",$C120=fCampaign),OR(fTeam="All",$L120=fTeam),OR(fChannel="All",$F120=fChannel)),1,0))</f>
        <v>0</v>
      </c>
    </row>
    <row r="121">
      <c r="A121" s="63" t="n"/>
      <c r="B121" s="64" t="n"/>
      <c r="C121" s="64" t="n"/>
      <c r="D121" s="64" t="n"/>
      <c r="E121" s="64" t="n"/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3" t="n"/>
      <c r="R121" s="63" t="n"/>
      <c r="S121" s="63" t="n"/>
      <c r="T121" s="65" t="n"/>
      <c r="U121" s="65" t="n"/>
      <c r="V121" s="63" t="n"/>
      <c r="W121" s="65" t="n"/>
      <c r="X121" s="69" t="str">
        <f>IF(AND(ISNUMBER($Q121),ISNUMBER($R121)),$R121-$Q121,"")</f>
        <v/>
      </c>
      <c r="Y121" s="71" t="str">
        <f>IF($AB121=1,IF(AND(ISNUMBER($V121),$M121&lt;&gt;"Converted",$M121&lt;&gt;"Rejected"),IF($V121&lt;=ReportDate,"DUE",""),""),"")</f>
        <v/>
      </c>
      <c r="Z121" s="75" t="str">
        <f>IF(ISNUMBER($Q121),$Q121,IF(ISNUMBER($A121),$A121,""))</f>
        <v/>
      </c>
      <c r="AA121" s="71" t="str">
        <f>IF(ISNUMBER($Z121),YEAR($Z121)&amp;"-"&amp;TEXT(MONTH($Z121),"00"),"")</f>
        <v/>
      </c>
      <c r="AB121" s="71">
        <f>IF($H121&lt;&gt;"",1,0)</f>
        <v>0</v>
      </c>
      <c r="AC121" s="71">
        <f>IF(AND($AB121=1,$G121="Yes"),1,0)</f>
        <v>0</v>
      </c>
      <c r="AD121" s="71">
        <f>IF(AND($AB121=1,$N121="MQL"),1,0)</f>
        <v>0</v>
      </c>
      <c r="AE121" s="71">
        <f>IF(AND($AB121=1,$O121="SQL"),1,0)</f>
        <v>0</v>
      </c>
      <c r="AF121" s="71">
        <f>IF(AND($AB121=1,OR($P121="Open",$P121="Won",$P121="Lost")),1,0)</f>
        <v>0</v>
      </c>
      <c r="AG121" s="71">
        <f>IF(AND($AB121=1,OR($M121="Converted",$P121="Won")),1,0)</f>
        <v>0</v>
      </c>
      <c r="AH121" s="71">
        <f>IF($AB121=0,0,IF(AND(OR(fClient="All",$B121=fClient),OR(fCampaign="All",$C121=fCampaign),OR(fTeam="All",$L121=fTeam),OR(fChannel="All",$F121=fChannel),OR(fMonth="All",$AA121=fMonth)),1,0))</f>
        <v>0</v>
      </c>
      <c r="AI121" s="71">
        <f>IF($AB121=0,0,IF(AND(OR(fClient="All",$B121=fClient),OR(fCampaign="All",$C121=fCampaign),OR(fTeam="All",$L121=fTeam),OR(fChannel="All",$F121=fChannel)),1,0))</f>
        <v>0</v>
      </c>
    </row>
    <row r="122">
      <c r="A122" s="63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3" t="n"/>
      <c r="R122" s="63" t="n"/>
      <c r="S122" s="63" t="n"/>
      <c r="T122" s="65" t="n"/>
      <c r="U122" s="65" t="n"/>
      <c r="V122" s="63" t="n"/>
      <c r="W122" s="65" t="n"/>
      <c r="X122" s="69" t="str">
        <f>IF(AND(ISNUMBER($Q122),ISNUMBER($R122)),$R122-$Q122,"")</f>
        <v/>
      </c>
      <c r="Y122" s="71" t="str">
        <f>IF($AB122=1,IF(AND(ISNUMBER($V122),$M122&lt;&gt;"Converted",$M122&lt;&gt;"Rejected"),IF($V122&lt;=ReportDate,"DUE",""),""),"")</f>
        <v/>
      </c>
      <c r="Z122" s="75" t="str">
        <f>IF(ISNUMBER($Q122),$Q122,IF(ISNUMBER($A122),$A122,""))</f>
        <v/>
      </c>
      <c r="AA122" s="71" t="str">
        <f>IF(ISNUMBER($Z122),YEAR($Z122)&amp;"-"&amp;TEXT(MONTH($Z122),"00"),"")</f>
        <v/>
      </c>
      <c r="AB122" s="71">
        <f>IF($H122&lt;&gt;"",1,0)</f>
        <v>0</v>
      </c>
      <c r="AC122" s="71">
        <f>IF(AND($AB122=1,$G122="Yes"),1,0)</f>
        <v>0</v>
      </c>
      <c r="AD122" s="71">
        <f>IF(AND($AB122=1,$N122="MQL"),1,0)</f>
        <v>0</v>
      </c>
      <c r="AE122" s="71">
        <f>IF(AND($AB122=1,$O122="SQL"),1,0)</f>
        <v>0</v>
      </c>
      <c r="AF122" s="71">
        <f>IF(AND($AB122=1,OR($P122="Open",$P122="Won",$P122="Lost")),1,0)</f>
        <v>0</v>
      </c>
      <c r="AG122" s="71">
        <f>IF(AND($AB122=1,OR($M122="Converted",$P122="Won")),1,0)</f>
        <v>0</v>
      </c>
      <c r="AH122" s="71">
        <f>IF($AB122=0,0,IF(AND(OR(fClient="All",$B122=fClient),OR(fCampaign="All",$C122=fCampaign),OR(fTeam="All",$L122=fTeam),OR(fChannel="All",$F122=fChannel),OR(fMonth="All",$AA122=fMonth)),1,0))</f>
        <v>0</v>
      </c>
      <c r="AI122" s="71">
        <f>IF($AB122=0,0,IF(AND(OR(fClient="All",$B122=fClient),OR(fCampaign="All",$C122=fCampaign),OR(fTeam="All",$L122=fTeam),OR(fChannel="All",$F122=fChannel)),1,0))</f>
        <v>0</v>
      </c>
    </row>
    <row r="123">
      <c r="A123" s="63" t="n"/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3" t="n"/>
      <c r="R123" s="63" t="n"/>
      <c r="S123" s="63" t="n"/>
      <c r="T123" s="65" t="n"/>
      <c r="U123" s="65" t="n"/>
      <c r="V123" s="63" t="n"/>
      <c r="W123" s="65" t="n"/>
      <c r="X123" s="69" t="str">
        <f>IF(AND(ISNUMBER($Q123),ISNUMBER($R123)),$R123-$Q123,"")</f>
        <v/>
      </c>
      <c r="Y123" s="71" t="str">
        <f>IF($AB123=1,IF(AND(ISNUMBER($V123),$M123&lt;&gt;"Converted",$M123&lt;&gt;"Rejected"),IF($V123&lt;=ReportDate,"DUE",""),""),"")</f>
        <v/>
      </c>
      <c r="Z123" s="75" t="str">
        <f>IF(ISNUMBER($Q123),$Q123,IF(ISNUMBER($A123),$A123,""))</f>
        <v/>
      </c>
      <c r="AA123" s="71" t="str">
        <f>IF(ISNUMBER($Z123),YEAR($Z123)&amp;"-"&amp;TEXT(MONTH($Z123),"00"),"")</f>
        <v/>
      </c>
      <c r="AB123" s="71">
        <f>IF($H123&lt;&gt;"",1,0)</f>
        <v>0</v>
      </c>
      <c r="AC123" s="71">
        <f>IF(AND($AB123=1,$G123="Yes"),1,0)</f>
        <v>0</v>
      </c>
      <c r="AD123" s="71">
        <f>IF(AND($AB123=1,$N123="MQL"),1,0)</f>
        <v>0</v>
      </c>
      <c r="AE123" s="71">
        <f>IF(AND($AB123=1,$O123="SQL"),1,0)</f>
        <v>0</v>
      </c>
      <c r="AF123" s="71">
        <f>IF(AND($AB123=1,OR($P123="Open",$P123="Won",$P123="Lost")),1,0)</f>
        <v>0</v>
      </c>
      <c r="AG123" s="71">
        <f>IF(AND($AB123=1,OR($M123="Converted",$P123="Won")),1,0)</f>
        <v>0</v>
      </c>
      <c r="AH123" s="71">
        <f>IF($AB123=0,0,IF(AND(OR(fClient="All",$B123=fClient),OR(fCampaign="All",$C123=fCampaign),OR(fTeam="All",$L123=fTeam),OR(fChannel="All",$F123=fChannel),OR(fMonth="All",$AA123=fMonth)),1,0))</f>
        <v>0</v>
      </c>
      <c r="AI123" s="71">
        <f>IF($AB123=0,0,IF(AND(OR(fClient="All",$B123=fClient),OR(fCampaign="All",$C123=fCampaign),OR(fTeam="All",$L123=fTeam),OR(fChannel="All",$F123=fChannel)),1,0))</f>
        <v>0</v>
      </c>
    </row>
    <row r="124">
      <c r="A124" s="63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3" t="n"/>
      <c r="R124" s="63" t="n"/>
      <c r="S124" s="63" t="n"/>
      <c r="T124" s="65" t="n"/>
      <c r="U124" s="65" t="n"/>
      <c r="V124" s="63" t="n"/>
      <c r="W124" s="65" t="n"/>
      <c r="X124" s="69" t="str">
        <f>IF(AND(ISNUMBER($Q124),ISNUMBER($R124)),$R124-$Q124,"")</f>
        <v/>
      </c>
      <c r="Y124" s="71" t="str">
        <f>IF($AB124=1,IF(AND(ISNUMBER($V124),$M124&lt;&gt;"Converted",$M124&lt;&gt;"Rejected"),IF($V124&lt;=ReportDate,"DUE",""),""),"")</f>
        <v/>
      </c>
      <c r="Z124" s="75" t="str">
        <f>IF(ISNUMBER($Q124),$Q124,IF(ISNUMBER($A124),$A124,""))</f>
        <v/>
      </c>
      <c r="AA124" s="71" t="str">
        <f>IF(ISNUMBER($Z124),YEAR($Z124)&amp;"-"&amp;TEXT(MONTH($Z124),"00"),"")</f>
        <v/>
      </c>
      <c r="AB124" s="71">
        <f>IF($H124&lt;&gt;"",1,0)</f>
        <v>0</v>
      </c>
      <c r="AC124" s="71">
        <f>IF(AND($AB124=1,$G124="Yes"),1,0)</f>
        <v>0</v>
      </c>
      <c r="AD124" s="71">
        <f>IF(AND($AB124=1,$N124="MQL"),1,0)</f>
        <v>0</v>
      </c>
      <c r="AE124" s="71">
        <f>IF(AND($AB124=1,$O124="SQL"),1,0)</f>
        <v>0</v>
      </c>
      <c r="AF124" s="71">
        <f>IF(AND($AB124=1,OR($P124="Open",$P124="Won",$P124="Lost")),1,0)</f>
        <v>0</v>
      </c>
      <c r="AG124" s="71">
        <f>IF(AND($AB124=1,OR($M124="Converted",$P124="Won")),1,0)</f>
        <v>0</v>
      </c>
      <c r="AH124" s="71">
        <f>IF($AB124=0,0,IF(AND(OR(fClient="All",$B124=fClient),OR(fCampaign="All",$C124=fCampaign),OR(fTeam="All",$L124=fTeam),OR(fChannel="All",$F124=fChannel),OR(fMonth="All",$AA124=fMonth)),1,0))</f>
        <v>0</v>
      </c>
      <c r="AI124" s="71">
        <f>IF($AB124=0,0,IF(AND(OR(fClient="All",$B124=fClient),OR(fCampaign="All",$C124=fCampaign),OR(fTeam="All",$L124=fTeam),OR(fChannel="All",$F124=fChannel)),1,0))</f>
        <v>0</v>
      </c>
    </row>
    <row r="125">
      <c r="A125" s="63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3" t="n"/>
      <c r="R125" s="63" t="n"/>
      <c r="S125" s="63" t="n"/>
      <c r="T125" s="65" t="n"/>
      <c r="U125" s="65" t="n"/>
      <c r="V125" s="63" t="n"/>
      <c r="W125" s="65" t="n"/>
      <c r="X125" s="69" t="str">
        <f>IF(AND(ISNUMBER($Q125),ISNUMBER($R125)),$R125-$Q125,"")</f>
        <v/>
      </c>
      <c r="Y125" s="71" t="str">
        <f>IF($AB125=1,IF(AND(ISNUMBER($V125),$M125&lt;&gt;"Converted",$M125&lt;&gt;"Rejected"),IF($V125&lt;=ReportDate,"DUE",""),""),"")</f>
        <v/>
      </c>
      <c r="Z125" s="75" t="str">
        <f>IF(ISNUMBER($Q125),$Q125,IF(ISNUMBER($A125),$A125,""))</f>
        <v/>
      </c>
      <c r="AA125" s="71" t="str">
        <f>IF(ISNUMBER($Z125),YEAR($Z125)&amp;"-"&amp;TEXT(MONTH($Z125),"00"),"")</f>
        <v/>
      </c>
      <c r="AB125" s="71">
        <f>IF($H125&lt;&gt;"",1,0)</f>
        <v>0</v>
      </c>
      <c r="AC125" s="71">
        <f>IF(AND($AB125=1,$G125="Yes"),1,0)</f>
        <v>0</v>
      </c>
      <c r="AD125" s="71">
        <f>IF(AND($AB125=1,$N125="MQL"),1,0)</f>
        <v>0</v>
      </c>
      <c r="AE125" s="71">
        <f>IF(AND($AB125=1,$O125="SQL"),1,0)</f>
        <v>0</v>
      </c>
      <c r="AF125" s="71">
        <f>IF(AND($AB125=1,OR($P125="Open",$P125="Won",$P125="Lost")),1,0)</f>
        <v>0</v>
      </c>
      <c r="AG125" s="71">
        <f>IF(AND($AB125=1,OR($M125="Converted",$P125="Won")),1,0)</f>
        <v>0</v>
      </c>
      <c r="AH125" s="71">
        <f>IF($AB125=0,0,IF(AND(OR(fClient="All",$B125=fClient),OR(fCampaign="All",$C125=fCampaign),OR(fTeam="All",$L125=fTeam),OR(fChannel="All",$F125=fChannel),OR(fMonth="All",$AA125=fMonth)),1,0))</f>
        <v>0</v>
      </c>
      <c r="AI125" s="71">
        <f>IF($AB125=0,0,IF(AND(OR(fClient="All",$B125=fClient),OR(fCampaign="All",$C125=fCampaign),OR(fTeam="All",$L125=fTeam),OR(fChannel="All",$F125=fChannel)),1,0))</f>
        <v>0</v>
      </c>
    </row>
    <row r="126">
      <c r="A126" s="63" t="n"/>
      <c r="B126" s="64" t="n"/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3" t="n"/>
      <c r="R126" s="63" t="n"/>
      <c r="S126" s="63" t="n"/>
      <c r="T126" s="65" t="n"/>
      <c r="U126" s="65" t="n"/>
      <c r="V126" s="63" t="n"/>
      <c r="W126" s="65" t="n"/>
      <c r="X126" s="69" t="str">
        <f>IF(AND(ISNUMBER($Q126),ISNUMBER($R126)),$R126-$Q126,"")</f>
        <v/>
      </c>
      <c r="Y126" s="71" t="str">
        <f>IF($AB126=1,IF(AND(ISNUMBER($V126),$M126&lt;&gt;"Converted",$M126&lt;&gt;"Rejected"),IF($V126&lt;=ReportDate,"DUE",""),""),"")</f>
        <v/>
      </c>
      <c r="Z126" s="75" t="str">
        <f>IF(ISNUMBER($Q126),$Q126,IF(ISNUMBER($A126),$A126,""))</f>
        <v/>
      </c>
      <c r="AA126" s="71" t="str">
        <f>IF(ISNUMBER($Z126),YEAR($Z126)&amp;"-"&amp;TEXT(MONTH($Z126),"00"),"")</f>
        <v/>
      </c>
      <c r="AB126" s="71">
        <f>IF($H126&lt;&gt;"",1,0)</f>
        <v>0</v>
      </c>
      <c r="AC126" s="71">
        <f>IF(AND($AB126=1,$G126="Yes"),1,0)</f>
        <v>0</v>
      </c>
      <c r="AD126" s="71">
        <f>IF(AND($AB126=1,$N126="MQL"),1,0)</f>
        <v>0</v>
      </c>
      <c r="AE126" s="71">
        <f>IF(AND($AB126=1,$O126="SQL"),1,0)</f>
        <v>0</v>
      </c>
      <c r="AF126" s="71">
        <f>IF(AND($AB126=1,OR($P126="Open",$P126="Won",$P126="Lost")),1,0)</f>
        <v>0</v>
      </c>
      <c r="AG126" s="71">
        <f>IF(AND($AB126=1,OR($M126="Converted",$P126="Won")),1,0)</f>
        <v>0</v>
      </c>
      <c r="AH126" s="71">
        <f>IF($AB126=0,0,IF(AND(OR(fClient="All",$B126=fClient),OR(fCampaign="All",$C126=fCampaign),OR(fTeam="All",$L126=fTeam),OR(fChannel="All",$F126=fChannel),OR(fMonth="All",$AA126=fMonth)),1,0))</f>
        <v>0</v>
      </c>
      <c r="AI126" s="71">
        <f>IF($AB126=0,0,IF(AND(OR(fClient="All",$B126=fClient),OR(fCampaign="All",$C126=fCampaign),OR(fTeam="All",$L126=fTeam),OR(fChannel="All",$F126=fChannel)),1,0))</f>
        <v>0</v>
      </c>
    </row>
    <row r="127">
      <c r="A127" s="63" t="n"/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3" t="n"/>
      <c r="R127" s="63" t="n"/>
      <c r="S127" s="63" t="n"/>
      <c r="T127" s="65" t="n"/>
      <c r="U127" s="65" t="n"/>
      <c r="V127" s="63" t="n"/>
      <c r="W127" s="65" t="n"/>
      <c r="X127" s="69" t="str">
        <f>IF(AND(ISNUMBER($Q127),ISNUMBER($R127)),$R127-$Q127,"")</f>
        <v/>
      </c>
      <c r="Y127" s="71" t="str">
        <f>IF($AB127=1,IF(AND(ISNUMBER($V127),$M127&lt;&gt;"Converted",$M127&lt;&gt;"Rejected"),IF($V127&lt;=ReportDate,"DUE",""),""),"")</f>
        <v/>
      </c>
      <c r="Z127" s="75" t="str">
        <f>IF(ISNUMBER($Q127),$Q127,IF(ISNUMBER($A127),$A127,""))</f>
        <v/>
      </c>
      <c r="AA127" s="71" t="str">
        <f>IF(ISNUMBER($Z127),YEAR($Z127)&amp;"-"&amp;TEXT(MONTH($Z127),"00"),"")</f>
        <v/>
      </c>
      <c r="AB127" s="71">
        <f>IF($H127&lt;&gt;"",1,0)</f>
        <v>0</v>
      </c>
      <c r="AC127" s="71">
        <f>IF(AND($AB127=1,$G127="Yes"),1,0)</f>
        <v>0</v>
      </c>
      <c r="AD127" s="71">
        <f>IF(AND($AB127=1,$N127="MQL"),1,0)</f>
        <v>0</v>
      </c>
      <c r="AE127" s="71">
        <f>IF(AND($AB127=1,$O127="SQL"),1,0)</f>
        <v>0</v>
      </c>
      <c r="AF127" s="71">
        <f>IF(AND($AB127=1,OR($P127="Open",$P127="Won",$P127="Lost")),1,0)</f>
        <v>0</v>
      </c>
      <c r="AG127" s="71">
        <f>IF(AND($AB127=1,OR($M127="Converted",$P127="Won")),1,0)</f>
        <v>0</v>
      </c>
      <c r="AH127" s="71">
        <f>IF($AB127=0,0,IF(AND(OR(fClient="All",$B127=fClient),OR(fCampaign="All",$C127=fCampaign),OR(fTeam="All",$L127=fTeam),OR(fChannel="All",$F127=fChannel),OR(fMonth="All",$AA127=fMonth)),1,0))</f>
        <v>0</v>
      </c>
      <c r="AI127" s="71">
        <f>IF($AB127=0,0,IF(AND(OR(fClient="All",$B127=fClient),OR(fCampaign="All",$C127=fCampaign),OR(fTeam="All",$L127=fTeam),OR(fChannel="All",$F127=fChannel)),1,0))</f>
        <v>0</v>
      </c>
    </row>
    <row r="128">
      <c r="A128" s="63" t="n"/>
      <c r="B128" s="64" t="n"/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3" t="n"/>
      <c r="R128" s="63" t="n"/>
      <c r="S128" s="63" t="n"/>
      <c r="T128" s="65" t="n"/>
      <c r="U128" s="65" t="n"/>
      <c r="V128" s="63" t="n"/>
      <c r="W128" s="65" t="n"/>
      <c r="X128" s="69" t="str">
        <f>IF(AND(ISNUMBER($Q128),ISNUMBER($R128)),$R128-$Q128,"")</f>
        <v/>
      </c>
      <c r="Y128" s="71" t="str">
        <f>IF($AB128=1,IF(AND(ISNUMBER($V128),$M128&lt;&gt;"Converted",$M128&lt;&gt;"Rejected"),IF($V128&lt;=ReportDate,"DUE",""),""),"")</f>
        <v/>
      </c>
      <c r="Z128" s="75" t="str">
        <f>IF(ISNUMBER($Q128),$Q128,IF(ISNUMBER($A128),$A128,""))</f>
        <v/>
      </c>
      <c r="AA128" s="71" t="str">
        <f>IF(ISNUMBER($Z128),YEAR($Z128)&amp;"-"&amp;TEXT(MONTH($Z128),"00"),"")</f>
        <v/>
      </c>
      <c r="AB128" s="71">
        <f>IF($H128&lt;&gt;"",1,0)</f>
        <v>0</v>
      </c>
      <c r="AC128" s="71">
        <f>IF(AND($AB128=1,$G128="Yes"),1,0)</f>
        <v>0</v>
      </c>
      <c r="AD128" s="71">
        <f>IF(AND($AB128=1,$N128="MQL"),1,0)</f>
        <v>0</v>
      </c>
      <c r="AE128" s="71">
        <f>IF(AND($AB128=1,$O128="SQL"),1,0)</f>
        <v>0</v>
      </c>
      <c r="AF128" s="71">
        <f>IF(AND($AB128=1,OR($P128="Open",$P128="Won",$P128="Lost")),1,0)</f>
        <v>0</v>
      </c>
      <c r="AG128" s="71">
        <f>IF(AND($AB128=1,OR($M128="Converted",$P128="Won")),1,0)</f>
        <v>0</v>
      </c>
      <c r="AH128" s="71">
        <f>IF($AB128=0,0,IF(AND(OR(fClient="All",$B128=fClient),OR(fCampaign="All",$C128=fCampaign),OR(fTeam="All",$L128=fTeam),OR(fChannel="All",$F128=fChannel),OR(fMonth="All",$AA128=fMonth)),1,0))</f>
        <v>0</v>
      </c>
      <c r="AI128" s="71">
        <f>IF($AB128=0,0,IF(AND(OR(fClient="All",$B128=fClient),OR(fCampaign="All",$C128=fCampaign),OR(fTeam="All",$L128=fTeam),OR(fChannel="All",$F128=fChannel)),1,0))</f>
        <v>0</v>
      </c>
    </row>
    <row r="129">
      <c r="A129" s="63" t="n"/>
      <c r="B129" s="64" t="n"/>
      <c r="C129" s="64" t="n"/>
      <c r="D129" s="64" t="n"/>
      <c r="E129" s="64" t="n"/>
      <c r="F129" s="64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3" t="n"/>
      <c r="R129" s="63" t="n"/>
      <c r="S129" s="63" t="n"/>
      <c r="T129" s="65" t="n"/>
      <c r="U129" s="65" t="n"/>
      <c r="V129" s="63" t="n"/>
      <c r="W129" s="65" t="n"/>
      <c r="X129" s="69" t="str">
        <f>IF(AND(ISNUMBER($Q129),ISNUMBER($R129)),$R129-$Q129,"")</f>
        <v/>
      </c>
      <c r="Y129" s="71" t="str">
        <f>IF($AB129=1,IF(AND(ISNUMBER($V129),$M129&lt;&gt;"Converted",$M129&lt;&gt;"Rejected"),IF($V129&lt;=ReportDate,"DUE",""),""),"")</f>
        <v/>
      </c>
      <c r="Z129" s="75" t="str">
        <f>IF(ISNUMBER($Q129),$Q129,IF(ISNUMBER($A129),$A129,""))</f>
        <v/>
      </c>
      <c r="AA129" s="71" t="str">
        <f>IF(ISNUMBER($Z129),YEAR($Z129)&amp;"-"&amp;TEXT(MONTH($Z129),"00"),"")</f>
        <v/>
      </c>
      <c r="AB129" s="71">
        <f>IF($H129&lt;&gt;"",1,0)</f>
        <v>0</v>
      </c>
      <c r="AC129" s="71">
        <f>IF(AND($AB129=1,$G129="Yes"),1,0)</f>
        <v>0</v>
      </c>
      <c r="AD129" s="71">
        <f>IF(AND($AB129=1,$N129="MQL"),1,0)</f>
        <v>0</v>
      </c>
      <c r="AE129" s="71">
        <f>IF(AND($AB129=1,$O129="SQL"),1,0)</f>
        <v>0</v>
      </c>
      <c r="AF129" s="71">
        <f>IF(AND($AB129=1,OR($P129="Open",$P129="Won",$P129="Lost")),1,0)</f>
        <v>0</v>
      </c>
      <c r="AG129" s="71">
        <f>IF(AND($AB129=1,OR($M129="Converted",$P129="Won")),1,0)</f>
        <v>0</v>
      </c>
      <c r="AH129" s="71">
        <f>IF($AB129=0,0,IF(AND(OR(fClient="All",$B129=fClient),OR(fCampaign="All",$C129=fCampaign),OR(fTeam="All",$L129=fTeam),OR(fChannel="All",$F129=fChannel),OR(fMonth="All",$AA129=fMonth)),1,0))</f>
        <v>0</v>
      </c>
      <c r="AI129" s="71">
        <f>IF($AB129=0,0,IF(AND(OR(fClient="All",$B129=fClient),OR(fCampaign="All",$C129=fCampaign),OR(fTeam="All",$L129=fTeam),OR(fChannel="All",$F129=fChannel)),1,0))</f>
        <v>0</v>
      </c>
    </row>
    <row r="130">
      <c r="A130" s="63" t="n"/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3" t="n"/>
      <c r="R130" s="63" t="n"/>
      <c r="S130" s="63" t="n"/>
      <c r="T130" s="65" t="n"/>
      <c r="U130" s="65" t="n"/>
      <c r="V130" s="63" t="n"/>
      <c r="W130" s="65" t="n"/>
      <c r="X130" s="69" t="str">
        <f>IF(AND(ISNUMBER($Q130),ISNUMBER($R130)),$R130-$Q130,"")</f>
        <v/>
      </c>
      <c r="Y130" s="71" t="str">
        <f>IF($AB130=1,IF(AND(ISNUMBER($V130),$M130&lt;&gt;"Converted",$M130&lt;&gt;"Rejected"),IF($V130&lt;=ReportDate,"DUE",""),""),"")</f>
        <v/>
      </c>
      <c r="Z130" s="75" t="str">
        <f>IF(ISNUMBER($Q130),$Q130,IF(ISNUMBER($A130),$A130,""))</f>
        <v/>
      </c>
      <c r="AA130" s="71" t="str">
        <f>IF(ISNUMBER($Z130),YEAR($Z130)&amp;"-"&amp;TEXT(MONTH($Z130),"00"),"")</f>
        <v/>
      </c>
      <c r="AB130" s="71">
        <f>IF($H130&lt;&gt;"",1,0)</f>
        <v>0</v>
      </c>
      <c r="AC130" s="71">
        <f>IF(AND($AB130=1,$G130="Yes"),1,0)</f>
        <v>0</v>
      </c>
      <c r="AD130" s="71">
        <f>IF(AND($AB130=1,$N130="MQL"),1,0)</f>
        <v>0</v>
      </c>
      <c r="AE130" s="71">
        <f>IF(AND($AB130=1,$O130="SQL"),1,0)</f>
        <v>0</v>
      </c>
      <c r="AF130" s="71">
        <f>IF(AND($AB130=1,OR($P130="Open",$P130="Won",$P130="Lost")),1,0)</f>
        <v>0</v>
      </c>
      <c r="AG130" s="71">
        <f>IF(AND($AB130=1,OR($M130="Converted",$P130="Won")),1,0)</f>
        <v>0</v>
      </c>
      <c r="AH130" s="71">
        <f>IF($AB130=0,0,IF(AND(OR(fClient="All",$B130=fClient),OR(fCampaign="All",$C130=fCampaign),OR(fTeam="All",$L130=fTeam),OR(fChannel="All",$F130=fChannel),OR(fMonth="All",$AA130=fMonth)),1,0))</f>
        <v>0</v>
      </c>
      <c r="AI130" s="71">
        <f>IF($AB130=0,0,IF(AND(OR(fClient="All",$B130=fClient),OR(fCampaign="All",$C130=fCampaign),OR(fTeam="All",$L130=fTeam),OR(fChannel="All",$F130=fChannel)),1,0))</f>
        <v>0</v>
      </c>
    </row>
    <row r="131">
      <c r="A131" s="63" t="n"/>
      <c r="B131" s="64" t="n"/>
      <c r="C131" s="64" t="n"/>
      <c r="D131" s="64" t="n"/>
      <c r="E131" s="64" t="n"/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3" t="n"/>
      <c r="R131" s="63" t="n"/>
      <c r="S131" s="63" t="n"/>
      <c r="T131" s="65" t="n"/>
      <c r="U131" s="65" t="n"/>
      <c r="V131" s="63" t="n"/>
      <c r="W131" s="65" t="n"/>
      <c r="X131" s="69" t="str">
        <f>IF(AND(ISNUMBER($Q131),ISNUMBER($R131)),$R131-$Q131,"")</f>
        <v/>
      </c>
      <c r="Y131" s="71" t="str">
        <f>IF($AB131=1,IF(AND(ISNUMBER($V131),$M131&lt;&gt;"Converted",$M131&lt;&gt;"Rejected"),IF($V131&lt;=ReportDate,"DUE",""),""),"")</f>
        <v/>
      </c>
      <c r="Z131" s="75" t="str">
        <f>IF(ISNUMBER($Q131),$Q131,IF(ISNUMBER($A131),$A131,""))</f>
        <v/>
      </c>
      <c r="AA131" s="71" t="str">
        <f>IF(ISNUMBER($Z131),YEAR($Z131)&amp;"-"&amp;TEXT(MONTH($Z131),"00"),"")</f>
        <v/>
      </c>
      <c r="AB131" s="71">
        <f>IF($H131&lt;&gt;"",1,0)</f>
        <v>0</v>
      </c>
      <c r="AC131" s="71">
        <f>IF(AND($AB131=1,$G131="Yes"),1,0)</f>
        <v>0</v>
      </c>
      <c r="AD131" s="71">
        <f>IF(AND($AB131=1,$N131="MQL"),1,0)</f>
        <v>0</v>
      </c>
      <c r="AE131" s="71">
        <f>IF(AND($AB131=1,$O131="SQL"),1,0)</f>
        <v>0</v>
      </c>
      <c r="AF131" s="71">
        <f>IF(AND($AB131=1,OR($P131="Open",$P131="Won",$P131="Lost")),1,0)</f>
        <v>0</v>
      </c>
      <c r="AG131" s="71">
        <f>IF(AND($AB131=1,OR($M131="Converted",$P131="Won")),1,0)</f>
        <v>0</v>
      </c>
      <c r="AH131" s="71">
        <f>IF($AB131=0,0,IF(AND(OR(fClient="All",$B131=fClient),OR(fCampaign="All",$C131=fCampaign),OR(fTeam="All",$L131=fTeam),OR(fChannel="All",$F131=fChannel),OR(fMonth="All",$AA131=fMonth)),1,0))</f>
        <v>0</v>
      </c>
      <c r="AI131" s="71">
        <f>IF($AB131=0,0,IF(AND(OR(fClient="All",$B131=fClient),OR(fCampaign="All",$C131=fCampaign),OR(fTeam="All",$L131=fTeam),OR(fChannel="All",$F131=fChannel)),1,0))</f>
        <v>0</v>
      </c>
    </row>
    <row r="132">
      <c r="A132" s="63" t="n"/>
      <c r="B132" s="64" t="n"/>
      <c r="C132" s="64" t="n"/>
      <c r="D132" s="64" t="n"/>
      <c r="E132" s="64" t="n"/>
      <c r="F132" s="64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3" t="n"/>
      <c r="R132" s="63" t="n"/>
      <c r="S132" s="63" t="n"/>
      <c r="T132" s="65" t="n"/>
      <c r="U132" s="65" t="n"/>
      <c r="V132" s="63" t="n"/>
      <c r="W132" s="65" t="n"/>
      <c r="X132" s="69" t="str">
        <f>IF(AND(ISNUMBER($Q132),ISNUMBER($R132)),$R132-$Q132,"")</f>
        <v/>
      </c>
      <c r="Y132" s="71" t="str">
        <f>IF($AB132=1,IF(AND(ISNUMBER($V132),$M132&lt;&gt;"Converted",$M132&lt;&gt;"Rejected"),IF($V132&lt;=ReportDate,"DUE",""),""),"")</f>
        <v/>
      </c>
      <c r="Z132" s="75" t="str">
        <f>IF(ISNUMBER($Q132),$Q132,IF(ISNUMBER($A132),$A132,""))</f>
        <v/>
      </c>
      <c r="AA132" s="71" t="str">
        <f>IF(ISNUMBER($Z132),YEAR($Z132)&amp;"-"&amp;TEXT(MONTH($Z132),"00"),"")</f>
        <v/>
      </c>
      <c r="AB132" s="71">
        <f>IF($H132&lt;&gt;"",1,0)</f>
        <v>0</v>
      </c>
      <c r="AC132" s="71">
        <f>IF(AND($AB132=1,$G132="Yes"),1,0)</f>
        <v>0</v>
      </c>
      <c r="AD132" s="71">
        <f>IF(AND($AB132=1,$N132="MQL"),1,0)</f>
        <v>0</v>
      </c>
      <c r="AE132" s="71">
        <f>IF(AND($AB132=1,$O132="SQL"),1,0)</f>
        <v>0</v>
      </c>
      <c r="AF132" s="71">
        <f>IF(AND($AB132=1,OR($P132="Open",$P132="Won",$P132="Lost")),1,0)</f>
        <v>0</v>
      </c>
      <c r="AG132" s="71">
        <f>IF(AND($AB132=1,OR($M132="Converted",$P132="Won")),1,0)</f>
        <v>0</v>
      </c>
      <c r="AH132" s="71">
        <f>IF($AB132=0,0,IF(AND(OR(fClient="All",$B132=fClient),OR(fCampaign="All",$C132=fCampaign),OR(fTeam="All",$L132=fTeam),OR(fChannel="All",$F132=fChannel),OR(fMonth="All",$AA132=fMonth)),1,0))</f>
        <v>0</v>
      </c>
      <c r="AI132" s="71">
        <f>IF($AB132=0,0,IF(AND(OR(fClient="All",$B132=fClient),OR(fCampaign="All",$C132=fCampaign),OR(fTeam="All",$L132=fTeam),OR(fChannel="All",$F132=fChannel)),1,0))</f>
        <v>0</v>
      </c>
    </row>
    <row r="133">
      <c r="A133" s="63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3" t="n"/>
      <c r="R133" s="63" t="n"/>
      <c r="S133" s="63" t="n"/>
      <c r="T133" s="65" t="n"/>
      <c r="U133" s="65" t="n"/>
      <c r="V133" s="63" t="n"/>
      <c r="W133" s="65" t="n"/>
      <c r="X133" s="69" t="str">
        <f>IF(AND(ISNUMBER($Q133),ISNUMBER($R133)),$R133-$Q133,"")</f>
        <v/>
      </c>
      <c r="Y133" s="71" t="str">
        <f>IF($AB133=1,IF(AND(ISNUMBER($V133),$M133&lt;&gt;"Converted",$M133&lt;&gt;"Rejected"),IF($V133&lt;=ReportDate,"DUE",""),""),"")</f>
        <v/>
      </c>
      <c r="Z133" s="75" t="str">
        <f>IF(ISNUMBER($Q133),$Q133,IF(ISNUMBER($A133),$A133,""))</f>
        <v/>
      </c>
      <c r="AA133" s="71" t="str">
        <f>IF(ISNUMBER($Z133),YEAR($Z133)&amp;"-"&amp;TEXT(MONTH($Z133),"00"),"")</f>
        <v/>
      </c>
      <c r="AB133" s="71">
        <f>IF($H133&lt;&gt;"",1,0)</f>
        <v>0</v>
      </c>
      <c r="AC133" s="71">
        <f>IF(AND($AB133=1,$G133="Yes"),1,0)</f>
        <v>0</v>
      </c>
      <c r="AD133" s="71">
        <f>IF(AND($AB133=1,$N133="MQL"),1,0)</f>
        <v>0</v>
      </c>
      <c r="AE133" s="71">
        <f>IF(AND($AB133=1,$O133="SQL"),1,0)</f>
        <v>0</v>
      </c>
      <c r="AF133" s="71">
        <f>IF(AND($AB133=1,OR($P133="Open",$P133="Won",$P133="Lost")),1,0)</f>
        <v>0</v>
      </c>
      <c r="AG133" s="71">
        <f>IF(AND($AB133=1,OR($M133="Converted",$P133="Won")),1,0)</f>
        <v>0</v>
      </c>
      <c r="AH133" s="71">
        <f>IF($AB133=0,0,IF(AND(OR(fClient="All",$B133=fClient),OR(fCampaign="All",$C133=fCampaign),OR(fTeam="All",$L133=fTeam),OR(fChannel="All",$F133=fChannel),OR(fMonth="All",$AA133=fMonth)),1,0))</f>
        <v>0</v>
      </c>
      <c r="AI133" s="71">
        <f>IF($AB133=0,0,IF(AND(OR(fClient="All",$B133=fClient),OR(fCampaign="All",$C133=fCampaign),OR(fTeam="All",$L133=fTeam),OR(fChannel="All",$F133=fChannel)),1,0))</f>
        <v>0</v>
      </c>
    </row>
    <row r="134">
      <c r="A134" s="63" t="n"/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3" t="n"/>
      <c r="R134" s="63" t="n"/>
      <c r="S134" s="63" t="n"/>
      <c r="T134" s="65" t="n"/>
      <c r="U134" s="65" t="n"/>
      <c r="V134" s="63" t="n"/>
      <c r="W134" s="65" t="n"/>
      <c r="X134" s="69" t="str">
        <f>IF(AND(ISNUMBER($Q134),ISNUMBER($R134)),$R134-$Q134,"")</f>
        <v/>
      </c>
      <c r="Y134" s="71" t="str">
        <f>IF($AB134=1,IF(AND(ISNUMBER($V134),$M134&lt;&gt;"Converted",$M134&lt;&gt;"Rejected"),IF($V134&lt;=ReportDate,"DUE",""),""),"")</f>
        <v/>
      </c>
      <c r="Z134" s="75" t="str">
        <f>IF(ISNUMBER($Q134),$Q134,IF(ISNUMBER($A134),$A134,""))</f>
        <v/>
      </c>
      <c r="AA134" s="71" t="str">
        <f>IF(ISNUMBER($Z134),YEAR($Z134)&amp;"-"&amp;TEXT(MONTH($Z134),"00"),"")</f>
        <v/>
      </c>
      <c r="AB134" s="71">
        <f>IF($H134&lt;&gt;"",1,0)</f>
        <v>0</v>
      </c>
      <c r="AC134" s="71">
        <f>IF(AND($AB134=1,$G134="Yes"),1,0)</f>
        <v>0</v>
      </c>
      <c r="AD134" s="71">
        <f>IF(AND($AB134=1,$N134="MQL"),1,0)</f>
        <v>0</v>
      </c>
      <c r="AE134" s="71">
        <f>IF(AND($AB134=1,$O134="SQL"),1,0)</f>
        <v>0</v>
      </c>
      <c r="AF134" s="71">
        <f>IF(AND($AB134=1,OR($P134="Open",$P134="Won",$P134="Lost")),1,0)</f>
        <v>0</v>
      </c>
      <c r="AG134" s="71">
        <f>IF(AND($AB134=1,OR($M134="Converted",$P134="Won")),1,0)</f>
        <v>0</v>
      </c>
      <c r="AH134" s="71">
        <f>IF($AB134=0,0,IF(AND(OR(fClient="All",$B134=fClient),OR(fCampaign="All",$C134=fCampaign),OR(fTeam="All",$L134=fTeam),OR(fChannel="All",$F134=fChannel),OR(fMonth="All",$AA134=fMonth)),1,0))</f>
        <v>0</v>
      </c>
      <c r="AI134" s="71">
        <f>IF($AB134=0,0,IF(AND(OR(fClient="All",$B134=fClient),OR(fCampaign="All",$C134=fCampaign),OR(fTeam="All",$L134=fTeam),OR(fChannel="All",$F134=fChannel)),1,0))</f>
        <v>0</v>
      </c>
    </row>
    <row r="135">
      <c r="A135" s="63" t="n"/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3" t="n"/>
      <c r="R135" s="63" t="n"/>
      <c r="S135" s="63" t="n"/>
      <c r="T135" s="65" t="n"/>
      <c r="U135" s="65" t="n"/>
      <c r="V135" s="63" t="n"/>
      <c r="W135" s="65" t="n"/>
      <c r="X135" s="69" t="str">
        <f>IF(AND(ISNUMBER($Q135),ISNUMBER($R135)),$R135-$Q135,"")</f>
        <v/>
      </c>
      <c r="Y135" s="71" t="str">
        <f>IF($AB135=1,IF(AND(ISNUMBER($V135),$M135&lt;&gt;"Converted",$M135&lt;&gt;"Rejected"),IF($V135&lt;=ReportDate,"DUE",""),""),"")</f>
        <v/>
      </c>
      <c r="Z135" s="75" t="str">
        <f>IF(ISNUMBER($Q135),$Q135,IF(ISNUMBER($A135),$A135,""))</f>
        <v/>
      </c>
      <c r="AA135" s="71" t="str">
        <f>IF(ISNUMBER($Z135),YEAR($Z135)&amp;"-"&amp;TEXT(MONTH($Z135),"00"),"")</f>
        <v/>
      </c>
      <c r="AB135" s="71">
        <f>IF($H135&lt;&gt;"",1,0)</f>
        <v>0</v>
      </c>
      <c r="AC135" s="71">
        <f>IF(AND($AB135=1,$G135="Yes"),1,0)</f>
        <v>0</v>
      </c>
      <c r="AD135" s="71">
        <f>IF(AND($AB135=1,$N135="MQL"),1,0)</f>
        <v>0</v>
      </c>
      <c r="AE135" s="71">
        <f>IF(AND($AB135=1,$O135="SQL"),1,0)</f>
        <v>0</v>
      </c>
      <c r="AF135" s="71">
        <f>IF(AND($AB135=1,OR($P135="Open",$P135="Won",$P135="Lost")),1,0)</f>
        <v>0</v>
      </c>
      <c r="AG135" s="71">
        <f>IF(AND($AB135=1,OR($M135="Converted",$P135="Won")),1,0)</f>
        <v>0</v>
      </c>
      <c r="AH135" s="71">
        <f>IF($AB135=0,0,IF(AND(OR(fClient="All",$B135=fClient),OR(fCampaign="All",$C135=fCampaign),OR(fTeam="All",$L135=fTeam),OR(fChannel="All",$F135=fChannel),OR(fMonth="All",$AA135=fMonth)),1,0))</f>
        <v>0</v>
      </c>
      <c r="AI135" s="71">
        <f>IF($AB135=0,0,IF(AND(OR(fClient="All",$B135=fClient),OR(fCampaign="All",$C135=fCampaign),OR(fTeam="All",$L135=fTeam),OR(fChannel="All",$F135=fChannel)),1,0))</f>
        <v>0</v>
      </c>
    </row>
    <row r="136">
      <c r="A136" s="63" t="n"/>
      <c r="B136" s="64" t="n"/>
      <c r="C136" s="64" t="n"/>
      <c r="D136" s="64" t="n"/>
      <c r="E136" s="64" t="n"/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3" t="n"/>
      <c r="R136" s="63" t="n"/>
      <c r="S136" s="63" t="n"/>
      <c r="T136" s="65" t="n"/>
      <c r="U136" s="65" t="n"/>
      <c r="V136" s="63" t="n"/>
      <c r="W136" s="65" t="n"/>
      <c r="X136" s="69" t="str">
        <f>IF(AND(ISNUMBER($Q136),ISNUMBER($R136)),$R136-$Q136,"")</f>
        <v/>
      </c>
      <c r="Y136" s="71" t="str">
        <f>IF($AB136=1,IF(AND(ISNUMBER($V136),$M136&lt;&gt;"Converted",$M136&lt;&gt;"Rejected"),IF($V136&lt;=ReportDate,"DUE",""),""),"")</f>
        <v/>
      </c>
      <c r="Z136" s="75" t="str">
        <f>IF(ISNUMBER($Q136),$Q136,IF(ISNUMBER($A136),$A136,""))</f>
        <v/>
      </c>
      <c r="AA136" s="71" t="str">
        <f>IF(ISNUMBER($Z136),YEAR($Z136)&amp;"-"&amp;TEXT(MONTH($Z136),"00"),"")</f>
        <v/>
      </c>
      <c r="AB136" s="71">
        <f>IF($H136&lt;&gt;"",1,0)</f>
        <v>0</v>
      </c>
      <c r="AC136" s="71">
        <f>IF(AND($AB136=1,$G136="Yes"),1,0)</f>
        <v>0</v>
      </c>
      <c r="AD136" s="71">
        <f>IF(AND($AB136=1,$N136="MQL"),1,0)</f>
        <v>0</v>
      </c>
      <c r="AE136" s="71">
        <f>IF(AND($AB136=1,$O136="SQL"),1,0)</f>
        <v>0</v>
      </c>
      <c r="AF136" s="71">
        <f>IF(AND($AB136=1,OR($P136="Open",$P136="Won",$P136="Lost")),1,0)</f>
        <v>0</v>
      </c>
      <c r="AG136" s="71">
        <f>IF(AND($AB136=1,OR($M136="Converted",$P136="Won")),1,0)</f>
        <v>0</v>
      </c>
      <c r="AH136" s="71">
        <f>IF($AB136=0,0,IF(AND(OR(fClient="All",$B136=fClient),OR(fCampaign="All",$C136=fCampaign),OR(fTeam="All",$L136=fTeam),OR(fChannel="All",$F136=fChannel),OR(fMonth="All",$AA136=fMonth)),1,0))</f>
        <v>0</v>
      </c>
      <c r="AI136" s="71">
        <f>IF($AB136=0,0,IF(AND(OR(fClient="All",$B136=fClient),OR(fCampaign="All",$C136=fCampaign),OR(fTeam="All",$L136=fTeam),OR(fChannel="All",$F136=fChannel)),1,0))</f>
        <v>0</v>
      </c>
    </row>
    <row r="137">
      <c r="A137" s="63" t="n"/>
      <c r="B137" s="64" t="n"/>
      <c r="C137" s="64" t="n"/>
      <c r="D137" s="64" t="n"/>
      <c r="E137" s="64" t="n"/>
      <c r="F137" s="64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3" t="n"/>
      <c r="R137" s="63" t="n"/>
      <c r="S137" s="63" t="n"/>
      <c r="T137" s="65" t="n"/>
      <c r="U137" s="65" t="n"/>
      <c r="V137" s="63" t="n"/>
      <c r="W137" s="65" t="n"/>
      <c r="X137" s="69" t="str">
        <f>IF(AND(ISNUMBER($Q137),ISNUMBER($R137)),$R137-$Q137,"")</f>
        <v/>
      </c>
      <c r="Y137" s="71" t="str">
        <f>IF($AB137=1,IF(AND(ISNUMBER($V137),$M137&lt;&gt;"Converted",$M137&lt;&gt;"Rejected"),IF($V137&lt;=ReportDate,"DUE",""),""),"")</f>
        <v/>
      </c>
      <c r="Z137" s="75" t="str">
        <f>IF(ISNUMBER($Q137),$Q137,IF(ISNUMBER($A137),$A137,""))</f>
        <v/>
      </c>
      <c r="AA137" s="71" t="str">
        <f>IF(ISNUMBER($Z137),YEAR($Z137)&amp;"-"&amp;TEXT(MONTH($Z137),"00"),"")</f>
        <v/>
      </c>
      <c r="AB137" s="71">
        <f>IF($H137&lt;&gt;"",1,0)</f>
        <v>0</v>
      </c>
      <c r="AC137" s="71">
        <f>IF(AND($AB137=1,$G137="Yes"),1,0)</f>
        <v>0</v>
      </c>
      <c r="AD137" s="71">
        <f>IF(AND($AB137=1,$N137="MQL"),1,0)</f>
        <v>0</v>
      </c>
      <c r="AE137" s="71">
        <f>IF(AND($AB137=1,$O137="SQL"),1,0)</f>
        <v>0</v>
      </c>
      <c r="AF137" s="71">
        <f>IF(AND($AB137=1,OR($P137="Open",$P137="Won",$P137="Lost")),1,0)</f>
        <v>0</v>
      </c>
      <c r="AG137" s="71">
        <f>IF(AND($AB137=1,OR($M137="Converted",$P137="Won")),1,0)</f>
        <v>0</v>
      </c>
      <c r="AH137" s="71">
        <f>IF($AB137=0,0,IF(AND(OR(fClient="All",$B137=fClient),OR(fCampaign="All",$C137=fCampaign),OR(fTeam="All",$L137=fTeam),OR(fChannel="All",$F137=fChannel),OR(fMonth="All",$AA137=fMonth)),1,0))</f>
        <v>0</v>
      </c>
      <c r="AI137" s="71">
        <f>IF($AB137=0,0,IF(AND(OR(fClient="All",$B137=fClient),OR(fCampaign="All",$C137=fCampaign),OR(fTeam="All",$L137=fTeam),OR(fChannel="All",$F137=fChannel)),1,0))</f>
        <v>0</v>
      </c>
    </row>
    <row r="138">
      <c r="A138" s="63" t="n"/>
      <c r="B138" s="64" t="n"/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3" t="n"/>
      <c r="R138" s="63" t="n"/>
      <c r="S138" s="63" t="n"/>
      <c r="T138" s="65" t="n"/>
      <c r="U138" s="65" t="n"/>
      <c r="V138" s="63" t="n"/>
      <c r="W138" s="65" t="n"/>
      <c r="X138" s="69" t="str">
        <f>IF(AND(ISNUMBER($Q138),ISNUMBER($R138)),$R138-$Q138,"")</f>
        <v/>
      </c>
      <c r="Y138" s="71" t="str">
        <f>IF($AB138=1,IF(AND(ISNUMBER($V138),$M138&lt;&gt;"Converted",$M138&lt;&gt;"Rejected"),IF($V138&lt;=ReportDate,"DUE",""),""),"")</f>
        <v/>
      </c>
      <c r="Z138" s="75" t="str">
        <f>IF(ISNUMBER($Q138),$Q138,IF(ISNUMBER($A138),$A138,""))</f>
        <v/>
      </c>
      <c r="AA138" s="71" t="str">
        <f>IF(ISNUMBER($Z138),YEAR($Z138)&amp;"-"&amp;TEXT(MONTH($Z138),"00"),"")</f>
        <v/>
      </c>
      <c r="AB138" s="71">
        <f>IF($H138&lt;&gt;"",1,0)</f>
        <v>0</v>
      </c>
      <c r="AC138" s="71">
        <f>IF(AND($AB138=1,$G138="Yes"),1,0)</f>
        <v>0</v>
      </c>
      <c r="AD138" s="71">
        <f>IF(AND($AB138=1,$N138="MQL"),1,0)</f>
        <v>0</v>
      </c>
      <c r="AE138" s="71">
        <f>IF(AND($AB138=1,$O138="SQL"),1,0)</f>
        <v>0</v>
      </c>
      <c r="AF138" s="71">
        <f>IF(AND($AB138=1,OR($P138="Open",$P138="Won",$P138="Lost")),1,0)</f>
        <v>0</v>
      </c>
      <c r="AG138" s="71">
        <f>IF(AND($AB138=1,OR($M138="Converted",$P138="Won")),1,0)</f>
        <v>0</v>
      </c>
      <c r="AH138" s="71">
        <f>IF($AB138=0,0,IF(AND(OR(fClient="All",$B138=fClient),OR(fCampaign="All",$C138=fCampaign),OR(fTeam="All",$L138=fTeam),OR(fChannel="All",$F138=fChannel),OR(fMonth="All",$AA138=fMonth)),1,0))</f>
        <v>0</v>
      </c>
      <c r="AI138" s="71">
        <f>IF($AB138=0,0,IF(AND(OR(fClient="All",$B138=fClient),OR(fCampaign="All",$C138=fCampaign),OR(fTeam="All",$L138=fTeam),OR(fChannel="All",$F138=fChannel)),1,0))</f>
        <v>0</v>
      </c>
    </row>
    <row r="139">
      <c r="A139" s="63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3" t="n"/>
      <c r="R139" s="63" t="n"/>
      <c r="S139" s="63" t="n"/>
      <c r="T139" s="65" t="n"/>
      <c r="U139" s="65" t="n"/>
      <c r="V139" s="63" t="n"/>
      <c r="W139" s="65" t="n"/>
      <c r="X139" s="69" t="str">
        <f>IF(AND(ISNUMBER($Q139),ISNUMBER($R139)),$R139-$Q139,"")</f>
        <v/>
      </c>
      <c r="Y139" s="71" t="str">
        <f>IF($AB139=1,IF(AND(ISNUMBER($V139),$M139&lt;&gt;"Converted",$M139&lt;&gt;"Rejected"),IF($V139&lt;=ReportDate,"DUE",""),""),"")</f>
        <v/>
      </c>
      <c r="Z139" s="75" t="str">
        <f>IF(ISNUMBER($Q139),$Q139,IF(ISNUMBER($A139),$A139,""))</f>
        <v/>
      </c>
      <c r="AA139" s="71" t="str">
        <f>IF(ISNUMBER($Z139),YEAR($Z139)&amp;"-"&amp;TEXT(MONTH($Z139),"00"),"")</f>
        <v/>
      </c>
      <c r="AB139" s="71">
        <f>IF($H139&lt;&gt;"",1,0)</f>
        <v>0</v>
      </c>
      <c r="AC139" s="71">
        <f>IF(AND($AB139=1,$G139="Yes"),1,0)</f>
        <v>0</v>
      </c>
      <c r="AD139" s="71">
        <f>IF(AND($AB139=1,$N139="MQL"),1,0)</f>
        <v>0</v>
      </c>
      <c r="AE139" s="71">
        <f>IF(AND($AB139=1,$O139="SQL"),1,0)</f>
        <v>0</v>
      </c>
      <c r="AF139" s="71">
        <f>IF(AND($AB139=1,OR($P139="Open",$P139="Won",$P139="Lost")),1,0)</f>
        <v>0</v>
      </c>
      <c r="AG139" s="71">
        <f>IF(AND($AB139=1,OR($M139="Converted",$P139="Won")),1,0)</f>
        <v>0</v>
      </c>
      <c r="AH139" s="71">
        <f>IF($AB139=0,0,IF(AND(OR(fClient="All",$B139=fClient),OR(fCampaign="All",$C139=fCampaign),OR(fTeam="All",$L139=fTeam),OR(fChannel="All",$F139=fChannel),OR(fMonth="All",$AA139=fMonth)),1,0))</f>
        <v>0</v>
      </c>
      <c r="AI139" s="71">
        <f>IF($AB139=0,0,IF(AND(OR(fClient="All",$B139=fClient),OR(fCampaign="All",$C139=fCampaign),OR(fTeam="All",$L139=fTeam),OR(fChannel="All",$F139=fChannel)),1,0))</f>
        <v>0</v>
      </c>
    </row>
    <row r="140">
      <c r="A140" s="63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3" t="n"/>
      <c r="R140" s="63" t="n"/>
      <c r="S140" s="63" t="n"/>
      <c r="T140" s="65" t="n"/>
      <c r="U140" s="65" t="n"/>
      <c r="V140" s="63" t="n"/>
      <c r="W140" s="65" t="n"/>
      <c r="X140" s="69" t="str">
        <f>IF(AND(ISNUMBER($Q140),ISNUMBER($R140)),$R140-$Q140,"")</f>
        <v/>
      </c>
      <c r="Y140" s="71" t="str">
        <f>IF($AB140=1,IF(AND(ISNUMBER($V140),$M140&lt;&gt;"Converted",$M140&lt;&gt;"Rejected"),IF($V140&lt;=ReportDate,"DUE",""),""),"")</f>
        <v/>
      </c>
      <c r="Z140" s="75" t="str">
        <f>IF(ISNUMBER($Q140),$Q140,IF(ISNUMBER($A140),$A140,""))</f>
        <v/>
      </c>
      <c r="AA140" s="71" t="str">
        <f>IF(ISNUMBER($Z140),YEAR($Z140)&amp;"-"&amp;TEXT(MONTH($Z140),"00"),"")</f>
        <v/>
      </c>
      <c r="AB140" s="71">
        <f>IF($H140&lt;&gt;"",1,0)</f>
        <v>0</v>
      </c>
      <c r="AC140" s="71">
        <f>IF(AND($AB140=1,$G140="Yes"),1,0)</f>
        <v>0</v>
      </c>
      <c r="AD140" s="71">
        <f>IF(AND($AB140=1,$N140="MQL"),1,0)</f>
        <v>0</v>
      </c>
      <c r="AE140" s="71">
        <f>IF(AND($AB140=1,$O140="SQL"),1,0)</f>
        <v>0</v>
      </c>
      <c r="AF140" s="71">
        <f>IF(AND($AB140=1,OR($P140="Open",$P140="Won",$P140="Lost")),1,0)</f>
        <v>0</v>
      </c>
      <c r="AG140" s="71">
        <f>IF(AND($AB140=1,OR($M140="Converted",$P140="Won")),1,0)</f>
        <v>0</v>
      </c>
      <c r="AH140" s="71">
        <f>IF($AB140=0,0,IF(AND(OR(fClient="All",$B140=fClient),OR(fCampaign="All",$C140=fCampaign),OR(fTeam="All",$L140=fTeam),OR(fChannel="All",$F140=fChannel),OR(fMonth="All",$AA140=fMonth)),1,0))</f>
        <v>0</v>
      </c>
      <c r="AI140" s="71">
        <f>IF($AB140=0,0,IF(AND(OR(fClient="All",$B140=fClient),OR(fCampaign="All",$C140=fCampaign),OR(fTeam="All",$L140=fTeam),OR(fChannel="All",$F140=fChannel)),1,0))</f>
        <v>0</v>
      </c>
    </row>
    <row r="141">
      <c r="A141" s="63" t="n"/>
      <c r="B141" s="64" t="n"/>
      <c r="C141" s="64" t="n"/>
      <c r="D141" s="64" t="n"/>
      <c r="E141" s="64" t="n"/>
      <c r="F141" s="64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3" t="n"/>
      <c r="R141" s="63" t="n"/>
      <c r="S141" s="63" t="n"/>
      <c r="T141" s="65" t="n"/>
      <c r="U141" s="65" t="n"/>
      <c r="V141" s="63" t="n"/>
      <c r="W141" s="65" t="n"/>
      <c r="X141" s="69" t="str">
        <f>IF(AND(ISNUMBER($Q141),ISNUMBER($R141)),$R141-$Q141,"")</f>
        <v/>
      </c>
      <c r="Y141" s="71" t="str">
        <f>IF($AB141=1,IF(AND(ISNUMBER($V141),$M141&lt;&gt;"Converted",$M141&lt;&gt;"Rejected"),IF($V141&lt;=ReportDate,"DUE",""),""),"")</f>
        <v/>
      </c>
      <c r="Z141" s="75" t="str">
        <f>IF(ISNUMBER($Q141),$Q141,IF(ISNUMBER($A141),$A141,""))</f>
        <v/>
      </c>
      <c r="AA141" s="71" t="str">
        <f>IF(ISNUMBER($Z141),YEAR($Z141)&amp;"-"&amp;TEXT(MONTH($Z141),"00"),"")</f>
        <v/>
      </c>
      <c r="AB141" s="71">
        <f>IF($H141&lt;&gt;"",1,0)</f>
        <v>0</v>
      </c>
      <c r="AC141" s="71">
        <f>IF(AND($AB141=1,$G141="Yes"),1,0)</f>
        <v>0</v>
      </c>
      <c r="AD141" s="71">
        <f>IF(AND($AB141=1,$N141="MQL"),1,0)</f>
        <v>0</v>
      </c>
      <c r="AE141" s="71">
        <f>IF(AND($AB141=1,$O141="SQL"),1,0)</f>
        <v>0</v>
      </c>
      <c r="AF141" s="71">
        <f>IF(AND($AB141=1,OR($P141="Open",$P141="Won",$P141="Lost")),1,0)</f>
        <v>0</v>
      </c>
      <c r="AG141" s="71">
        <f>IF(AND($AB141=1,OR($M141="Converted",$P141="Won")),1,0)</f>
        <v>0</v>
      </c>
      <c r="AH141" s="71">
        <f>IF($AB141=0,0,IF(AND(OR(fClient="All",$B141=fClient),OR(fCampaign="All",$C141=fCampaign),OR(fTeam="All",$L141=fTeam),OR(fChannel="All",$F141=fChannel),OR(fMonth="All",$AA141=fMonth)),1,0))</f>
        <v>0</v>
      </c>
      <c r="AI141" s="71">
        <f>IF($AB141=0,0,IF(AND(OR(fClient="All",$B141=fClient),OR(fCampaign="All",$C141=fCampaign),OR(fTeam="All",$L141=fTeam),OR(fChannel="All",$F141=fChannel)),1,0))</f>
        <v>0</v>
      </c>
    </row>
    <row r="142">
      <c r="A142" s="63" t="n"/>
      <c r="B142" s="64" t="n"/>
      <c r="C142" s="64" t="n"/>
      <c r="D142" s="64" t="n"/>
      <c r="E142" s="64" t="n"/>
      <c r="F142" s="64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3" t="n"/>
      <c r="R142" s="63" t="n"/>
      <c r="S142" s="63" t="n"/>
      <c r="T142" s="65" t="n"/>
      <c r="U142" s="65" t="n"/>
      <c r="V142" s="63" t="n"/>
      <c r="W142" s="65" t="n"/>
      <c r="X142" s="69" t="str">
        <f>IF(AND(ISNUMBER($Q142),ISNUMBER($R142)),$R142-$Q142,"")</f>
        <v/>
      </c>
      <c r="Y142" s="71" t="str">
        <f>IF($AB142=1,IF(AND(ISNUMBER($V142),$M142&lt;&gt;"Converted",$M142&lt;&gt;"Rejected"),IF($V142&lt;=ReportDate,"DUE",""),""),"")</f>
        <v/>
      </c>
      <c r="Z142" s="75" t="str">
        <f>IF(ISNUMBER($Q142),$Q142,IF(ISNUMBER($A142),$A142,""))</f>
        <v/>
      </c>
      <c r="AA142" s="71" t="str">
        <f>IF(ISNUMBER($Z142),YEAR($Z142)&amp;"-"&amp;TEXT(MONTH($Z142),"00"),"")</f>
        <v/>
      </c>
      <c r="AB142" s="71">
        <f>IF($H142&lt;&gt;"",1,0)</f>
        <v>0</v>
      </c>
      <c r="AC142" s="71">
        <f>IF(AND($AB142=1,$G142="Yes"),1,0)</f>
        <v>0</v>
      </c>
      <c r="AD142" s="71">
        <f>IF(AND($AB142=1,$N142="MQL"),1,0)</f>
        <v>0</v>
      </c>
      <c r="AE142" s="71">
        <f>IF(AND($AB142=1,$O142="SQL"),1,0)</f>
        <v>0</v>
      </c>
      <c r="AF142" s="71">
        <f>IF(AND($AB142=1,OR($P142="Open",$P142="Won",$P142="Lost")),1,0)</f>
        <v>0</v>
      </c>
      <c r="AG142" s="71">
        <f>IF(AND($AB142=1,OR($M142="Converted",$P142="Won")),1,0)</f>
        <v>0</v>
      </c>
      <c r="AH142" s="71">
        <f>IF($AB142=0,0,IF(AND(OR(fClient="All",$B142=fClient),OR(fCampaign="All",$C142=fCampaign),OR(fTeam="All",$L142=fTeam),OR(fChannel="All",$F142=fChannel),OR(fMonth="All",$AA142=fMonth)),1,0))</f>
        <v>0</v>
      </c>
      <c r="AI142" s="71">
        <f>IF($AB142=0,0,IF(AND(OR(fClient="All",$B142=fClient),OR(fCampaign="All",$C142=fCampaign),OR(fTeam="All",$L142=fTeam),OR(fChannel="All",$F142=fChannel)),1,0))</f>
        <v>0</v>
      </c>
    </row>
    <row r="143">
      <c r="A143" s="63" t="n"/>
      <c r="B143" s="64" t="n"/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3" t="n"/>
      <c r="R143" s="63" t="n"/>
      <c r="S143" s="63" t="n"/>
      <c r="T143" s="65" t="n"/>
      <c r="U143" s="65" t="n"/>
      <c r="V143" s="63" t="n"/>
      <c r="W143" s="65" t="n"/>
      <c r="X143" s="69" t="str">
        <f>IF(AND(ISNUMBER($Q143),ISNUMBER($R143)),$R143-$Q143,"")</f>
        <v/>
      </c>
      <c r="Y143" s="71" t="str">
        <f>IF($AB143=1,IF(AND(ISNUMBER($V143),$M143&lt;&gt;"Converted",$M143&lt;&gt;"Rejected"),IF($V143&lt;=ReportDate,"DUE",""),""),"")</f>
        <v/>
      </c>
      <c r="Z143" s="75" t="str">
        <f>IF(ISNUMBER($Q143),$Q143,IF(ISNUMBER($A143),$A143,""))</f>
        <v/>
      </c>
      <c r="AA143" s="71" t="str">
        <f>IF(ISNUMBER($Z143),YEAR($Z143)&amp;"-"&amp;TEXT(MONTH($Z143),"00"),"")</f>
        <v/>
      </c>
      <c r="AB143" s="71">
        <f>IF($H143&lt;&gt;"",1,0)</f>
        <v>0</v>
      </c>
      <c r="AC143" s="71">
        <f>IF(AND($AB143=1,$G143="Yes"),1,0)</f>
        <v>0</v>
      </c>
      <c r="AD143" s="71">
        <f>IF(AND($AB143=1,$N143="MQL"),1,0)</f>
        <v>0</v>
      </c>
      <c r="AE143" s="71">
        <f>IF(AND($AB143=1,$O143="SQL"),1,0)</f>
        <v>0</v>
      </c>
      <c r="AF143" s="71">
        <f>IF(AND($AB143=1,OR($P143="Open",$P143="Won",$P143="Lost")),1,0)</f>
        <v>0</v>
      </c>
      <c r="AG143" s="71">
        <f>IF(AND($AB143=1,OR($M143="Converted",$P143="Won")),1,0)</f>
        <v>0</v>
      </c>
      <c r="AH143" s="71">
        <f>IF($AB143=0,0,IF(AND(OR(fClient="All",$B143=fClient),OR(fCampaign="All",$C143=fCampaign),OR(fTeam="All",$L143=fTeam),OR(fChannel="All",$F143=fChannel),OR(fMonth="All",$AA143=fMonth)),1,0))</f>
        <v>0</v>
      </c>
      <c r="AI143" s="71">
        <f>IF($AB143=0,0,IF(AND(OR(fClient="All",$B143=fClient),OR(fCampaign="All",$C143=fCampaign),OR(fTeam="All",$L143=fTeam),OR(fChannel="All",$F143=fChannel)),1,0))</f>
        <v>0</v>
      </c>
    </row>
    <row r="144">
      <c r="A144" s="63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3" t="n"/>
      <c r="R144" s="63" t="n"/>
      <c r="S144" s="63" t="n"/>
      <c r="T144" s="65" t="n"/>
      <c r="U144" s="65" t="n"/>
      <c r="V144" s="63" t="n"/>
      <c r="W144" s="65" t="n"/>
      <c r="X144" s="69" t="str">
        <f>IF(AND(ISNUMBER($Q144),ISNUMBER($R144)),$R144-$Q144,"")</f>
        <v/>
      </c>
      <c r="Y144" s="71" t="str">
        <f>IF($AB144=1,IF(AND(ISNUMBER($V144),$M144&lt;&gt;"Converted",$M144&lt;&gt;"Rejected"),IF($V144&lt;=ReportDate,"DUE",""),""),"")</f>
        <v/>
      </c>
      <c r="Z144" s="75" t="str">
        <f>IF(ISNUMBER($Q144),$Q144,IF(ISNUMBER($A144),$A144,""))</f>
        <v/>
      </c>
      <c r="AA144" s="71" t="str">
        <f>IF(ISNUMBER($Z144),YEAR($Z144)&amp;"-"&amp;TEXT(MONTH($Z144),"00"),"")</f>
        <v/>
      </c>
      <c r="AB144" s="71">
        <f>IF($H144&lt;&gt;"",1,0)</f>
        <v>0</v>
      </c>
      <c r="AC144" s="71">
        <f>IF(AND($AB144=1,$G144="Yes"),1,0)</f>
        <v>0</v>
      </c>
      <c r="AD144" s="71">
        <f>IF(AND($AB144=1,$N144="MQL"),1,0)</f>
        <v>0</v>
      </c>
      <c r="AE144" s="71">
        <f>IF(AND($AB144=1,$O144="SQL"),1,0)</f>
        <v>0</v>
      </c>
      <c r="AF144" s="71">
        <f>IF(AND($AB144=1,OR($P144="Open",$P144="Won",$P144="Lost")),1,0)</f>
        <v>0</v>
      </c>
      <c r="AG144" s="71">
        <f>IF(AND($AB144=1,OR($M144="Converted",$P144="Won")),1,0)</f>
        <v>0</v>
      </c>
      <c r="AH144" s="71">
        <f>IF($AB144=0,0,IF(AND(OR(fClient="All",$B144=fClient),OR(fCampaign="All",$C144=fCampaign),OR(fTeam="All",$L144=fTeam),OR(fChannel="All",$F144=fChannel),OR(fMonth="All",$AA144=fMonth)),1,0))</f>
        <v>0</v>
      </c>
      <c r="AI144" s="71">
        <f>IF($AB144=0,0,IF(AND(OR(fClient="All",$B144=fClient),OR(fCampaign="All",$C144=fCampaign),OR(fTeam="All",$L144=fTeam),OR(fChannel="All",$F144=fChannel)),1,0))</f>
        <v>0</v>
      </c>
    </row>
    <row r="145">
      <c r="A145" s="63" t="n"/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3" t="n"/>
      <c r="R145" s="63" t="n"/>
      <c r="S145" s="63" t="n"/>
      <c r="T145" s="65" t="n"/>
      <c r="U145" s="65" t="n"/>
      <c r="V145" s="63" t="n"/>
      <c r="W145" s="65" t="n"/>
      <c r="X145" s="69" t="str">
        <f>IF(AND(ISNUMBER($Q145),ISNUMBER($R145)),$R145-$Q145,"")</f>
        <v/>
      </c>
      <c r="Y145" s="71" t="str">
        <f>IF($AB145=1,IF(AND(ISNUMBER($V145),$M145&lt;&gt;"Converted",$M145&lt;&gt;"Rejected"),IF($V145&lt;=ReportDate,"DUE",""),""),"")</f>
        <v/>
      </c>
      <c r="Z145" s="75" t="str">
        <f>IF(ISNUMBER($Q145),$Q145,IF(ISNUMBER($A145),$A145,""))</f>
        <v/>
      </c>
      <c r="AA145" s="71" t="str">
        <f>IF(ISNUMBER($Z145),YEAR($Z145)&amp;"-"&amp;TEXT(MONTH($Z145),"00"),"")</f>
        <v/>
      </c>
      <c r="AB145" s="71">
        <f>IF($H145&lt;&gt;"",1,0)</f>
        <v>0</v>
      </c>
      <c r="AC145" s="71">
        <f>IF(AND($AB145=1,$G145="Yes"),1,0)</f>
        <v>0</v>
      </c>
      <c r="AD145" s="71">
        <f>IF(AND($AB145=1,$N145="MQL"),1,0)</f>
        <v>0</v>
      </c>
      <c r="AE145" s="71">
        <f>IF(AND($AB145=1,$O145="SQL"),1,0)</f>
        <v>0</v>
      </c>
      <c r="AF145" s="71">
        <f>IF(AND($AB145=1,OR($P145="Open",$P145="Won",$P145="Lost")),1,0)</f>
        <v>0</v>
      </c>
      <c r="AG145" s="71">
        <f>IF(AND($AB145=1,OR($M145="Converted",$P145="Won")),1,0)</f>
        <v>0</v>
      </c>
      <c r="AH145" s="71">
        <f>IF($AB145=0,0,IF(AND(OR(fClient="All",$B145=fClient),OR(fCampaign="All",$C145=fCampaign),OR(fTeam="All",$L145=fTeam),OR(fChannel="All",$F145=fChannel),OR(fMonth="All",$AA145=fMonth)),1,0))</f>
        <v>0</v>
      </c>
      <c r="AI145" s="71">
        <f>IF($AB145=0,0,IF(AND(OR(fClient="All",$B145=fClient),OR(fCampaign="All",$C145=fCampaign),OR(fTeam="All",$L145=fTeam),OR(fChannel="All",$F145=fChannel)),1,0))</f>
        <v>0</v>
      </c>
    </row>
    <row r="146">
      <c r="A146" s="63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3" t="n"/>
      <c r="R146" s="63" t="n"/>
      <c r="S146" s="63" t="n"/>
      <c r="T146" s="65" t="n"/>
      <c r="U146" s="65" t="n"/>
      <c r="V146" s="63" t="n"/>
      <c r="W146" s="65" t="n"/>
      <c r="X146" s="69" t="str">
        <f>IF(AND(ISNUMBER($Q146),ISNUMBER($R146)),$R146-$Q146,"")</f>
        <v/>
      </c>
      <c r="Y146" s="71" t="str">
        <f>IF($AB146=1,IF(AND(ISNUMBER($V146),$M146&lt;&gt;"Converted",$M146&lt;&gt;"Rejected"),IF($V146&lt;=ReportDate,"DUE",""),""),"")</f>
        <v/>
      </c>
      <c r="Z146" s="75" t="str">
        <f>IF(ISNUMBER($Q146),$Q146,IF(ISNUMBER($A146),$A146,""))</f>
        <v/>
      </c>
      <c r="AA146" s="71" t="str">
        <f>IF(ISNUMBER($Z146),YEAR($Z146)&amp;"-"&amp;TEXT(MONTH($Z146),"00"),"")</f>
        <v/>
      </c>
      <c r="AB146" s="71">
        <f>IF($H146&lt;&gt;"",1,0)</f>
        <v>0</v>
      </c>
      <c r="AC146" s="71">
        <f>IF(AND($AB146=1,$G146="Yes"),1,0)</f>
        <v>0</v>
      </c>
      <c r="AD146" s="71">
        <f>IF(AND($AB146=1,$N146="MQL"),1,0)</f>
        <v>0</v>
      </c>
      <c r="AE146" s="71">
        <f>IF(AND($AB146=1,$O146="SQL"),1,0)</f>
        <v>0</v>
      </c>
      <c r="AF146" s="71">
        <f>IF(AND($AB146=1,OR($P146="Open",$P146="Won",$P146="Lost")),1,0)</f>
        <v>0</v>
      </c>
      <c r="AG146" s="71">
        <f>IF(AND($AB146=1,OR($M146="Converted",$P146="Won")),1,0)</f>
        <v>0</v>
      </c>
      <c r="AH146" s="71">
        <f>IF($AB146=0,0,IF(AND(OR(fClient="All",$B146=fClient),OR(fCampaign="All",$C146=fCampaign),OR(fTeam="All",$L146=fTeam),OR(fChannel="All",$F146=fChannel),OR(fMonth="All",$AA146=fMonth)),1,0))</f>
        <v>0</v>
      </c>
      <c r="AI146" s="71">
        <f>IF($AB146=0,0,IF(AND(OR(fClient="All",$B146=fClient),OR(fCampaign="All",$C146=fCampaign),OR(fTeam="All",$L146=fTeam),OR(fChannel="All",$F146=fChannel)),1,0))</f>
        <v>0</v>
      </c>
    </row>
    <row r="147">
      <c r="A147" s="63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3" t="n"/>
      <c r="R147" s="63" t="n"/>
      <c r="S147" s="63" t="n"/>
      <c r="T147" s="65" t="n"/>
      <c r="U147" s="65" t="n"/>
      <c r="V147" s="63" t="n"/>
      <c r="W147" s="65" t="n"/>
      <c r="X147" s="69" t="str">
        <f>IF(AND(ISNUMBER($Q147),ISNUMBER($R147)),$R147-$Q147,"")</f>
        <v/>
      </c>
      <c r="Y147" s="71" t="str">
        <f>IF($AB147=1,IF(AND(ISNUMBER($V147),$M147&lt;&gt;"Converted",$M147&lt;&gt;"Rejected"),IF($V147&lt;=ReportDate,"DUE",""),""),"")</f>
        <v/>
      </c>
      <c r="Z147" s="75" t="str">
        <f>IF(ISNUMBER($Q147),$Q147,IF(ISNUMBER($A147),$A147,""))</f>
        <v/>
      </c>
      <c r="AA147" s="71" t="str">
        <f>IF(ISNUMBER($Z147),YEAR($Z147)&amp;"-"&amp;TEXT(MONTH($Z147),"00"),"")</f>
        <v/>
      </c>
      <c r="AB147" s="71">
        <f>IF($H147&lt;&gt;"",1,0)</f>
        <v>0</v>
      </c>
      <c r="AC147" s="71">
        <f>IF(AND($AB147=1,$G147="Yes"),1,0)</f>
        <v>0</v>
      </c>
      <c r="AD147" s="71">
        <f>IF(AND($AB147=1,$N147="MQL"),1,0)</f>
        <v>0</v>
      </c>
      <c r="AE147" s="71">
        <f>IF(AND($AB147=1,$O147="SQL"),1,0)</f>
        <v>0</v>
      </c>
      <c r="AF147" s="71">
        <f>IF(AND($AB147=1,OR($P147="Open",$P147="Won",$P147="Lost")),1,0)</f>
        <v>0</v>
      </c>
      <c r="AG147" s="71">
        <f>IF(AND($AB147=1,OR($M147="Converted",$P147="Won")),1,0)</f>
        <v>0</v>
      </c>
      <c r="AH147" s="71">
        <f>IF($AB147=0,0,IF(AND(OR(fClient="All",$B147=fClient),OR(fCampaign="All",$C147=fCampaign),OR(fTeam="All",$L147=fTeam),OR(fChannel="All",$F147=fChannel),OR(fMonth="All",$AA147=fMonth)),1,0))</f>
        <v>0</v>
      </c>
      <c r="AI147" s="71">
        <f>IF($AB147=0,0,IF(AND(OR(fClient="All",$B147=fClient),OR(fCampaign="All",$C147=fCampaign),OR(fTeam="All",$L147=fTeam),OR(fChannel="All",$F147=fChannel)),1,0))</f>
        <v>0</v>
      </c>
    </row>
    <row r="148">
      <c r="A148" s="63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3" t="n"/>
      <c r="R148" s="63" t="n"/>
      <c r="S148" s="63" t="n"/>
      <c r="T148" s="65" t="n"/>
      <c r="U148" s="65" t="n"/>
      <c r="V148" s="63" t="n"/>
      <c r="W148" s="65" t="n"/>
      <c r="X148" s="69" t="str">
        <f>IF(AND(ISNUMBER($Q148),ISNUMBER($R148)),$R148-$Q148,"")</f>
        <v/>
      </c>
      <c r="Y148" s="71" t="str">
        <f>IF($AB148=1,IF(AND(ISNUMBER($V148),$M148&lt;&gt;"Converted",$M148&lt;&gt;"Rejected"),IF($V148&lt;=ReportDate,"DUE",""),""),"")</f>
        <v/>
      </c>
      <c r="Z148" s="75" t="str">
        <f>IF(ISNUMBER($Q148),$Q148,IF(ISNUMBER($A148),$A148,""))</f>
        <v/>
      </c>
      <c r="AA148" s="71" t="str">
        <f>IF(ISNUMBER($Z148),YEAR($Z148)&amp;"-"&amp;TEXT(MONTH($Z148),"00"),"")</f>
        <v/>
      </c>
      <c r="AB148" s="71">
        <f>IF($H148&lt;&gt;"",1,0)</f>
        <v>0</v>
      </c>
      <c r="AC148" s="71">
        <f>IF(AND($AB148=1,$G148="Yes"),1,0)</f>
        <v>0</v>
      </c>
      <c r="AD148" s="71">
        <f>IF(AND($AB148=1,$N148="MQL"),1,0)</f>
        <v>0</v>
      </c>
      <c r="AE148" s="71">
        <f>IF(AND($AB148=1,$O148="SQL"),1,0)</f>
        <v>0</v>
      </c>
      <c r="AF148" s="71">
        <f>IF(AND($AB148=1,OR($P148="Open",$P148="Won",$P148="Lost")),1,0)</f>
        <v>0</v>
      </c>
      <c r="AG148" s="71">
        <f>IF(AND($AB148=1,OR($M148="Converted",$P148="Won")),1,0)</f>
        <v>0</v>
      </c>
      <c r="AH148" s="71">
        <f>IF($AB148=0,0,IF(AND(OR(fClient="All",$B148=fClient),OR(fCampaign="All",$C148=fCampaign),OR(fTeam="All",$L148=fTeam),OR(fChannel="All",$F148=fChannel),OR(fMonth="All",$AA148=fMonth)),1,0))</f>
        <v>0</v>
      </c>
      <c r="AI148" s="71">
        <f>IF($AB148=0,0,IF(AND(OR(fClient="All",$B148=fClient),OR(fCampaign="All",$C148=fCampaign),OR(fTeam="All",$L148=fTeam),OR(fChannel="All",$F148=fChannel)),1,0))</f>
        <v>0</v>
      </c>
    </row>
    <row r="149">
      <c r="A149" s="63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3" t="n"/>
      <c r="R149" s="63" t="n"/>
      <c r="S149" s="63" t="n"/>
      <c r="T149" s="65" t="n"/>
      <c r="U149" s="65" t="n"/>
      <c r="V149" s="63" t="n"/>
      <c r="W149" s="65" t="n"/>
      <c r="X149" s="69" t="str">
        <f>IF(AND(ISNUMBER($Q149),ISNUMBER($R149)),$R149-$Q149,"")</f>
        <v/>
      </c>
      <c r="Y149" s="71" t="str">
        <f>IF($AB149=1,IF(AND(ISNUMBER($V149),$M149&lt;&gt;"Converted",$M149&lt;&gt;"Rejected"),IF($V149&lt;=ReportDate,"DUE",""),""),"")</f>
        <v/>
      </c>
      <c r="Z149" s="75" t="str">
        <f>IF(ISNUMBER($Q149),$Q149,IF(ISNUMBER($A149),$A149,""))</f>
        <v/>
      </c>
      <c r="AA149" s="71" t="str">
        <f>IF(ISNUMBER($Z149),YEAR($Z149)&amp;"-"&amp;TEXT(MONTH($Z149),"00"),"")</f>
        <v/>
      </c>
      <c r="AB149" s="71">
        <f>IF($H149&lt;&gt;"",1,0)</f>
        <v>0</v>
      </c>
      <c r="AC149" s="71">
        <f>IF(AND($AB149=1,$G149="Yes"),1,0)</f>
        <v>0</v>
      </c>
      <c r="AD149" s="71">
        <f>IF(AND($AB149=1,$N149="MQL"),1,0)</f>
        <v>0</v>
      </c>
      <c r="AE149" s="71">
        <f>IF(AND($AB149=1,$O149="SQL"),1,0)</f>
        <v>0</v>
      </c>
      <c r="AF149" s="71">
        <f>IF(AND($AB149=1,OR($P149="Open",$P149="Won",$P149="Lost")),1,0)</f>
        <v>0</v>
      </c>
      <c r="AG149" s="71">
        <f>IF(AND($AB149=1,OR($M149="Converted",$P149="Won")),1,0)</f>
        <v>0</v>
      </c>
      <c r="AH149" s="71">
        <f>IF($AB149=0,0,IF(AND(OR(fClient="All",$B149=fClient),OR(fCampaign="All",$C149=fCampaign),OR(fTeam="All",$L149=fTeam),OR(fChannel="All",$F149=fChannel),OR(fMonth="All",$AA149=fMonth)),1,0))</f>
        <v>0</v>
      </c>
      <c r="AI149" s="71">
        <f>IF($AB149=0,0,IF(AND(OR(fClient="All",$B149=fClient),OR(fCampaign="All",$C149=fCampaign),OR(fTeam="All",$L149=fTeam),OR(fChannel="All",$F149=fChannel)),1,0))</f>
        <v>0</v>
      </c>
    </row>
    <row r="150">
      <c r="A150" s="63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3" t="n"/>
      <c r="R150" s="63" t="n"/>
      <c r="S150" s="63" t="n"/>
      <c r="T150" s="65" t="n"/>
      <c r="U150" s="65" t="n"/>
      <c r="V150" s="63" t="n"/>
      <c r="W150" s="65" t="n"/>
      <c r="X150" s="69" t="str">
        <f>IF(AND(ISNUMBER($Q150),ISNUMBER($R150)),$R150-$Q150,"")</f>
        <v/>
      </c>
      <c r="Y150" s="71" t="str">
        <f>IF($AB150=1,IF(AND(ISNUMBER($V150),$M150&lt;&gt;"Converted",$M150&lt;&gt;"Rejected"),IF($V150&lt;=ReportDate,"DUE",""),""),"")</f>
        <v/>
      </c>
      <c r="Z150" s="75" t="str">
        <f>IF(ISNUMBER($Q150),$Q150,IF(ISNUMBER($A150),$A150,""))</f>
        <v/>
      </c>
      <c r="AA150" s="71" t="str">
        <f>IF(ISNUMBER($Z150),YEAR($Z150)&amp;"-"&amp;TEXT(MONTH($Z150),"00"),"")</f>
        <v/>
      </c>
      <c r="AB150" s="71">
        <f>IF($H150&lt;&gt;"",1,0)</f>
        <v>0</v>
      </c>
      <c r="AC150" s="71">
        <f>IF(AND($AB150=1,$G150="Yes"),1,0)</f>
        <v>0</v>
      </c>
      <c r="AD150" s="71">
        <f>IF(AND($AB150=1,$N150="MQL"),1,0)</f>
        <v>0</v>
      </c>
      <c r="AE150" s="71">
        <f>IF(AND($AB150=1,$O150="SQL"),1,0)</f>
        <v>0</v>
      </c>
      <c r="AF150" s="71">
        <f>IF(AND($AB150=1,OR($P150="Open",$P150="Won",$P150="Lost")),1,0)</f>
        <v>0</v>
      </c>
      <c r="AG150" s="71">
        <f>IF(AND($AB150=1,OR($M150="Converted",$P150="Won")),1,0)</f>
        <v>0</v>
      </c>
      <c r="AH150" s="71">
        <f>IF($AB150=0,0,IF(AND(OR(fClient="All",$B150=fClient),OR(fCampaign="All",$C150=fCampaign),OR(fTeam="All",$L150=fTeam),OR(fChannel="All",$F150=fChannel),OR(fMonth="All",$AA150=fMonth)),1,0))</f>
        <v>0</v>
      </c>
      <c r="AI150" s="71">
        <f>IF($AB150=0,0,IF(AND(OR(fClient="All",$B150=fClient),OR(fCampaign="All",$C150=fCampaign),OR(fTeam="All",$L150=fTeam),OR(fChannel="All",$F150=fChannel)),1,0))</f>
        <v>0</v>
      </c>
    </row>
    <row r="151">
      <c r="A151" s="63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3" t="n"/>
      <c r="R151" s="63" t="n"/>
      <c r="S151" s="63" t="n"/>
      <c r="T151" s="65" t="n"/>
      <c r="U151" s="65" t="n"/>
      <c r="V151" s="63" t="n"/>
      <c r="W151" s="65" t="n"/>
      <c r="X151" s="69" t="str">
        <f>IF(AND(ISNUMBER($Q151),ISNUMBER($R151)),$R151-$Q151,"")</f>
        <v/>
      </c>
      <c r="Y151" s="71" t="str">
        <f>IF($AB151=1,IF(AND(ISNUMBER($V151),$M151&lt;&gt;"Converted",$M151&lt;&gt;"Rejected"),IF($V151&lt;=ReportDate,"DUE",""),""),"")</f>
        <v/>
      </c>
      <c r="Z151" s="75" t="str">
        <f>IF(ISNUMBER($Q151),$Q151,IF(ISNUMBER($A151),$A151,""))</f>
        <v/>
      </c>
      <c r="AA151" s="71" t="str">
        <f>IF(ISNUMBER($Z151),YEAR($Z151)&amp;"-"&amp;TEXT(MONTH($Z151),"00"),"")</f>
        <v/>
      </c>
      <c r="AB151" s="71">
        <f>IF($H151&lt;&gt;"",1,0)</f>
        <v>0</v>
      </c>
      <c r="AC151" s="71">
        <f>IF(AND($AB151=1,$G151="Yes"),1,0)</f>
        <v>0</v>
      </c>
      <c r="AD151" s="71">
        <f>IF(AND($AB151=1,$N151="MQL"),1,0)</f>
        <v>0</v>
      </c>
      <c r="AE151" s="71">
        <f>IF(AND($AB151=1,$O151="SQL"),1,0)</f>
        <v>0</v>
      </c>
      <c r="AF151" s="71">
        <f>IF(AND($AB151=1,OR($P151="Open",$P151="Won",$P151="Lost")),1,0)</f>
        <v>0</v>
      </c>
      <c r="AG151" s="71">
        <f>IF(AND($AB151=1,OR($M151="Converted",$P151="Won")),1,0)</f>
        <v>0</v>
      </c>
      <c r="AH151" s="71">
        <f>IF($AB151=0,0,IF(AND(OR(fClient="All",$B151=fClient),OR(fCampaign="All",$C151=fCampaign),OR(fTeam="All",$L151=fTeam),OR(fChannel="All",$F151=fChannel),OR(fMonth="All",$AA151=fMonth)),1,0))</f>
        <v>0</v>
      </c>
      <c r="AI151" s="71">
        <f>IF($AB151=0,0,IF(AND(OR(fClient="All",$B151=fClient),OR(fCampaign="All",$C151=fCampaign),OR(fTeam="All",$L151=fTeam),OR(fChannel="All",$F151=fChannel)),1,0))</f>
        <v>0</v>
      </c>
    </row>
    <row r="152">
      <c r="A152" s="63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3" t="n"/>
      <c r="R152" s="63" t="n"/>
      <c r="S152" s="63" t="n"/>
      <c r="T152" s="65" t="n"/>
      <c r="U152" s="65" t="n"/>
      <c r="V152" s="63" t="n"/>
      <c r="W152" s="65" t="n"/>
      <c r="X152" s="69" t="str">
        <f>IF(AND(ISNUMBER($Q152),ISNUMBER($R152)),$R152-$Q152,"")</f>
        <v/>
      </c>
      <c r="Y152" s="71" t="str">
        <f>IF($AB152=1,IF(AND(ISNUMBER($V152),$M152&lt;&gt;"Converted",$M152&lt;&gt;"Rejected"),IF($V152&lt;=ReportDate,"DUE",""),""),"")</f>
        <v/>
      </c>
      <c r="Z152" s="75" t="str">
        <f>IF(ISNUMBER($Q152),$Q152,IF(ISNUMBER($A152),$A152,""))</f>
        <v/>
      </c>
      <c r="AA152" s="71" t="str">
        <f>IF(ISNUMBER($Z152),YEAR($Z152)&amp;"-"&amp;TEXT(MONTH($Z152),"00"),"")</f>
        <v/>
      </c>
      <c r="AB152" s="71">
        <f>IF($H152&lt;&gt;"",1,0)</f>
        <v>0</v>
      </c>
      <c r="AC152" s="71">
        <f>IF(AND($AB152=1,$G152="Yes"),1,0)</f>
        <v>0</v>
      </c>
      <c r="AD152" s="71">
        <f>IF(AND($AB152=1,$N152="MQL"),1,0)</f>
        <v>0</v>
      </c>
      <c r="AE152" s="71">
        <f>IF(AND($AB152=1,$O152="SQL"),1,0)</f>
        <v>0</v>
      </c>
      <c r="AF152" s="71">
        <f>IF(AND($AB152=1,OR($P152="Open",$P152="Won",$P152="Lost")),1,0)</f>
        <v>0</v>
      </c>
      <c r="AG152" s="71">
        <f>IF(AND($AB152=1,OR($M152="Converted",$P152="Won")),1,0)</f>
        <v>0</v>
      </c>
      <c r="AH152" s="71">
        <f>IF($AB152=0,0,IF(AND(OR(fClient="All",$B152=fClient),OR(fCampaign="All",$C152=fCampaign),OR(fTeam="All",$L152=fTeam),OR(fChannel="All",$F152=fChannel),OR(fMonth="All",$AA152=fMonth)),1,0))</f>
        <v>0</v>
      </c>
      <c r="AI152" s="71">
        <f>IF($AB152=0,0,IF(AND(OR(fClient="All",$B152=fClient),OR(fCampaign="All",$C152=fCampaign),OR(fTeam="All",$L152=fTeam),OR(fChannel="All",$F152=fChannel)),1,0))</f>
        <v>0</v>
      </c>
    </row>
    <row r="153">
      <c r="A153" s="63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3" t="n"/>
      <c r="R153" s="63" t="n"/>
      <c r="S153" s="63" t="n"/>
      <c r="T153" s="65" t="n"/>
      <c r="U153" s="65" t="n"/>
      <c r="V153" s="63" t="n"/>
      <c r="W153" s="65" t="n"/>
      <c r="X153" s="69" t="str">
        <f>IF(AND(ISNUMBER($Q153),ISNUMBER($R153)),$R153-$Q153,"")</f>
        <v/>
      </c>
      <c r="Y153" s="71" t="str">
        <f>IF($AB153=1,IF(AND(ISNUMBER($V153),$M153&lt;&gt;"Converted",$M153&lt;&gt;"Rejected"),IF($V153&lt;=ReportDate,"DUE",""),""),"")</f>
        <v/>
      </c>
      <c r="Z153" s="75" t="str">
        <f>IF(ISNUMBER($Q153),$Q153,IF(ISNUMBER($A153),$A153,""))</f>
        <v/>
      </c>
      <c r="AA153" s="71" t="str">
        <f>IF(ISNUMBER($Z153),YEAR($Z153)&amp;"-"&amp;TEXT(MONTH($Z153),"00"),"")</f>
        <v/>
      </c>
      <c r="AB153" s="71">
        <f>IF($H153&lt;&gt;"",1,0)</f>
        <v>0</v>
      </c>
      <c r="AC153" s="71">
        <f>IF(AND($AB153=1,$G153="Yes"),1,0)</f>
        <v>0</v>
      </c>
      <c r="AD153" s="71">
        <f>IF(AND($AB153=1,$N153="MQL"),1,0)</f>
        <v>0</v>
      </c>
      <c r="AE153" s="71">
        <f>IF(AND($AB153=1,$O153="SQL"),1,0)</f>
        <v>0</v>
      </c>
      <c r="AF153" s="71">
        <f>IF(AND($AB153=1,OR($P153="Open",$P153="Won",$P153="Lost")),1,0)</f>
        <v>0</v>
      </c>
      <c r="AG153" s="71">
        <f>IF(AND($AB153=1,OR($M153="Converted",$P153="Won")),1,0)</f>
        <v>0</v>
      </c>
      <c r="AH153" s="71">
        <f>IF($AB153=0,0,IF(AND(OR(fClient="All",$B153=fClient),OR(fCampaign="All",$C153=fCampaign),OR(fTeam="All",$L153=fTeam),OR(fChannel="All",$F153=fChannel),OR(fMonth="All",$AA153=fMonth)),1,0))</f>
        <v>0</v>
      </c>
      <c r="AI153" s="71">
        <f>IF($AB153=0,0,IF(AND(OR(fClient="All",$B153=fClient),OR(fCampaign="All",$C153=fCampaign),OR(fTeam="All",$L153=fTeam),OR(fChannel="All",$F153=fChannel)),1,0))</f>
        <v>0</v>
      </c>
    </row>
    <row r="154">
      <c r="A154" s="63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3" t="n"/>
      <c r="R154" s="63" t="n"/>
      <c r="S154" s="63" t="n"/>
      <c r="T154" s="65" t="n"/>
      <c r="U154" s="65" t="n"/>
      <c r="V154" s="63" t="n"/>
      <c r="W154" s="65" t="n"/>
      <c r="X154" s="69" t="str">
        <f>IF(AND(ISNUMBER($Q154),ISNUMBER($R154)),$R154-$Q154,"")</f>
        <v/>
      </c>
      <c r="Y154" s="71" t="str">
        <f>IF($AB154=1,IF(AND(ISNUMBER($V154),$M154&lt;&gt;"Converted",$M154&lt;&gt;"Rejected"),IF($V154&lt;=ReportDate,"DUE",""),""),"")</f>
        <v/>
      </c>
      <c r="Z154" s="75" t="str">
        <f>IF(ISNUMBER($Q154),$Q154,IF(ISNUMBER($A154),$A154,""))</f>
        <v/>
      </c>
      <c r="AA154" s="71" t="str">
        <f>IF(ISNUMBER($Z154),YEAR($Z154)&amp;"-"&amp;TEXT(MONTH($Z154),"00"),"")</f>
        <v/>
      </c>
      <c r="AB154" s="71">
        <f>IF($H154&lt;&gt;"",1,0)</f>
        <v>0</v>
      </c>
      <c r="AC154" s="71">
        <f>IF(AND($AB154=1,$G154="Yes"),1,0)</f>
        <v>0</v>
      </c>
      <c r="AD154" s="71">
        <f>IF(AND($AB154=1,$N154="MQL"),1,0)</f>
        <v>0</v>
      </c>
      <c r="AE154" s="71">
        <f>IF(AND($AB154=1,$O154="SQL"),1,0)</f>
        <v>0</v>
      </c>
      <c r="AF154" s="71">
        <f>IF(AND($AB154=1,OR($P154="Open",$P154="Won",$P154="Lost")),1,0)</f>
        <v>0</v>
      </c>
      <c r="AG154" s="71">
        <f>IF(AND($AB154=1,OR($M154="Converted",$P154="Won")),1,0)</f>
        <v>0</v>
      </c>
      <c r="AH154" s="71">
        <f>IF($AB154=0,0,IF(AND(OR(fClient="All",$B154=fClient),OR(fCampaign="All",$C154=fCampaign),OR(fTeam="All",$L154=fTeam),OR(fChannel="All",$F154=fChannel),OR(fMonth="All",$AA154=fMonth)),1,0))</f>
        <v>0</v>
      </c>
      <c r="AI154" s="71">
        <f>IF($AB154=0,0,IF(AND(OR(fClient="All",$B154=fClient),OR(fCampaign="All",$C154=fCampaign),OR(fTeam="All",$L154=fTeam),OR(fChannel="All",$F154=fChannel)),1,0))</f>
        <v>0</v>
      </c>
    </row>
    <row r="155">
      <c r="A155" s="63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3" t="n"/>
      <c r="R155" s="63" t="n"/>
      <c r="S155" s="63" t="n"/>
      <c r="T155" s="65" t="n"/>
      <c r="U155" s="65" t="n"/>
      <c r="V155" s="63" t="n"/>
      <c r="W155" s="65" t="n"/>
      <c r="X155" s="69" t="str">
        <f>IF(AND(ISNUMBER($Q155),ISNUMBER($R155)),$R155-$Q155,"")</f>
        <v/>
      </c>
      <c r="Y155" s="71" t="str">
        <f>IF($AB155=1,IF(AND(ISNUMBER($V155),$M155&lt;&gt;"Converted",$M155&lt;&gt;"Rejected"),IF($V155&lt;=ReportDate,"DUE",""),""),"")</f>
        <v/>
      </c>
      <c r="Z155" s="75" t="str">
        <f>IF(ISNUMBER($Q155),$Q155,IF(ISNUMBER($A155),$A155,""))</f>
        <v/>
      </c>
      <c r="AA155" s="71" t="str">
        <f>IF(ISNUMBER($Z155),YEAR($Z155)&amp;"-"&amp;TEXT(MONTH($Z155),"00"),"")</f>
        <v/>
      </c>
      <c r="AB155" s="71">
        <f>IF($H155&lt;&gt;"",1,0)</f>
        <v>0</v>
      </c>
      <c r="AC155" s="71">
        <f>IF(AND($AB155=1,$G155="Yes"),1,0)</f>
        <v>0</v>
      </c>
      <c r="AD155" s="71">
        <f>IF(AND($AB155=1,$N155="MQL"),1,0)</f>
        <v>0</v>
      </c>
      <c r="AE155" s="71">
        <f>IF(AND($AB155=1,$O155="SQL"),1,0)</f>
        <v>0</v>
      </c>
      <c r="AF155" s="71">
        <f>IF(AND($AB155=1,OR($P155="Open",$P155="Won",$P155="Lost")),1,0)</f>
        <v>0</v>
      </c>
      <c r="AG155" s="71">
        <f>IF(AND($AB155=1,OR($M155="Converted",$P155="Won")),1,0)</f>
        <v>0</v>
      </c>
      <c r="AH155" s="71">
        <f>IF($AB155=0,0,IF(AND(OR(fClient="All",$B155=fClient),OR(fCampaign="All",$C155=fCampaign),OR(fTeam="All",$L155=fTeam),OR(fChannel="All",$F155=fChannel),OR(fMonth="All",$AA155=fMonth)),1,0))</f>
        <v>0</v>
      </c>
      <c r="AI155" s="71">
        <f>IF($AB155=0,0,IF(AND(OR(fClient="All",$B155=fClient),OR(fCampaign="All",$C155=fCampaign),OR(fTeam="All",$L155=fTeam),OR(fChannel="All",$F155=fChannel)),1,0))</f>
        <v>0</v>
      </c>
    </row>
    <row r="156">
      <c r="A156" s="63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3" t="n"/>
      <c r="R156" s="63" t="n"/>
      <c r="S156" s="63" t="n"/>
      <c r="T156" s="65" t="n"/>
      <c r="U156" s="65" t="n"/>
      <c r="V156" s="63" t="n"/>
      <c r="W156" s="65" t="n"/>
      <c r="X156" s="69" t="str">
        <f>IF(AND(ISNUMBER($Q156),ISNUMBER($R156)),$R156-$Q156,"")</f>
        <v/>
      </c>
      <c r="Y156" s="71" t="str">
        <f>IF($AB156=1,IF(AND(ISNUMBER($V156),$M156&lt;&gt;"Converted",$M156&lt;&gt;"Rejected"),IF($V156&lt;=ReportDate,"DUE",""),""),"")</f>
        <v/>
      </c>
      <c r="Z156" s="75" t="str">
        <f>IF(ISNUMBER($Q156),$Q156,IF(ISNUMBER($A156),$A156,""))</f>
        <v/>
      </c>
      <c r="AA156" s="71" t="str">
        <f>IF(ISNUMBER($Z156),YEAR($Z156)&amp;"-"&amp;TEXT(MONTH($Z156),"00"),"")</f>
        <v/>
      </c>
      <c r="AB156" s="71">
        <f>IF($H156&lt;&gt;"",1,0)</f>
        <v>0</v>
      </c>
      <c r="AC156" s="71">
        <f>IF(AND($AB156=1,$G156="Yes"),1,0)</f>
        <v>0</v>
      </c>
      <c r="AD156" s="71">
        <f>IF(AND($AB156=1,$N156="MQL"),1,0)</f>
        <v>0</v>
      </c>
      <c r="AE156" s="71">
        <f>IF(AND($AB156=1,$O156="SQL"),1,0)</f>
        <v>0</v>
      </c>
      <c r="AF156" s="71">
        <f>IF(AND($AB156=1,OR($P156="Open",$P156="Won",$P156="Lost")),1,0)</f>
        <v>0</v>
      </c>
      <c r="AG156" s="71">
        <f>IF(AND($AB156=1,OR($M156="Converted",$P156="Won")),1,0)</f>
        <v>0</v>
      </c>
      <c r="AH156" s="71">
        <f>IF($AB156=0,0,IF(AND(OR(fClient="All",$B156=fClient),OR(fCampaign="All",$C156=fCampaign),OR(fTeam="All",$L156=fTeam),OR(fChannel="All",$F156=fChannel),OR(fMonth="All",$AA156=fMonth)),1,0))</f>
        <v>0</v>
      </c>
      <c r="AI156" s="71">
        <f>IF($AB156=0,0,IF(AND(OR(fClient="All",$B156=fClient),OR(fCampaign="All",$C156=fCampaign),OR(fTeam="All",$L156=fTeam),OR(fChannel="All",$F156=fChannel)),1,0))</f>
        <v>0</v>
      </c>
    </row>
    <row r="157">
      <c r="A157" s="63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3" t="n"/>
      <c r="R157" s="63" t="n"/>
      <c r="S157" s="63" t="n"/>
      <c r="T157" s="65" t="n"/>
      <c r="U157" s="65" t="n"/>
      <c r="V157" s="63" t="n"/>
      <c r="W157" s="65" t="n"/>
      <c r="X157" s="69" t="str">
        <f>IF(AND(ISNUMBER($Q157),ISNUMBER($R157)),$R157-$Q157,"")</f>
        <v/>
      </c>
      <c r="Y157" s="71" t="str">
        <f>IF($AB157=1,IF(AND(ISNUMBER($V157),$M157&lt;&gt;"Converted",$M157&lt;&gt;"Rejected"),IF($V157&lt;=ReportDate,"DUE",""),""),"")</f>
        <v/>
      </c>
      <c r="Z157" s="75" t="str">
        <f>IF(ISNUMBER($Q157),$Q157,IF(ISNUMBER($A157),$A157,""))</f>
        <v/>
      </c>
      <c r="AA157" s="71" t="str">
        <f>IF(ISNUMBER($Z157),YEAR($Z157)&amp;"-"&amp;TEXT(MONTH($Z157),"00"),"")</f>
        <v/>
      </c>
      <c r="AB157" s="71">
        <f>IF($H157&lt;&gt;"",1,0)</f>
        <v>0</v>
      </c>
      <c r="AC157" s="71">
        <f>IF(AND($AB157=1,$G157="Yes"),1,0)</f>
        <v>0</v>
      </c>
      <c r="AD157" s="71">
        <f>IF(AND($AB157=1,$N157="MQL"),1,0)</f>
        <v>0</v>
      </c>
      <c r="AE157" s="71">
        <f>IF(AND($AB157=1,$O157="SQL"),1,0)</f>
        <v>0</v>
      </c>
      <c r="AF157" s="71">
        <f>IF(AND($AB157=1,OR($P157="Open",$P157="Won",$P157="Lost")),1,0)</f>
        <v>0</v>
      </c>
      <c r="AG157" s="71">
        <f>IF(AND($AB157=1,OR($M157="Converted",$P157="Won")),1,0)</f>
        <v>0</v>
      </c>
      <c r="AH157" s="71">
        <f>IF($AB157=0,0,IF(AND(OR(fClient="All",$B157=fClient),OR(fCampaign="All",$C157=fCampaign),OR(fTeam="All",$L157=fTeam),OR(fChannel="All",$F157=fChannel),OR(fMonth="All",$AA157=fMonth)),1,0))</f>
        <v>0</v>
      </c>
      <c r="AI157" s="71">
        <f>IF($AB157=0,0,IF(AND(OR(fClient="All",$B157=fClient),OR(fCampaign="All",$C157=fCampaign),OR(fTeam="All",$L157=fTeam),OR(fChannel="All",$F157=fChannel)),1,0))</f>
        <v>0</v>
      </c>
    </row>
    <row r="158">
      <c r="A158" s="63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3" t="n"/>
      <c r="R158" s="63" t="n"/>
      <c r="S158" s="63" t="n"/>
      <c r="T158" s="65" t="n"/>
      <c r="U158" s="65" t="n"/>
      <c r="V158" s="63" t="n"/>
      <c r="W158" s="65" t="n"/>
      <c r="X158" s="69" t="str">
        <f>IF(AND(ISNUMBER($Q158),ISNUMBER($R158)),$R158-$Q158,"")</f>
        <v/>
      </c>
      <c r="Y158" s="71" t="str">
        <f>IF($AB158=1,IF(AND(ISNUMBER($V158),$M158&lt;&gt;"Converted",$M158&lt;&gt;"Rejected"),IF($V158&lt;=ReportDate,"DUE",""),""),"")</f>
        <v/>
      </c>
      <c r="Z158" s="75" t="str">
        <f>IF(ISNUMBER($Q158),$Q158,IF(ISNUMBER($A158),$A158,""))</f>
        <v/>
      </c>
      <c r="AA158" s="71" t="str">
        <f>IF(ISNUMBER($Z158),YEAR($Z158)&amp;"-"&amp;TEXT(MONTH($Z158),"00"),"")</f>
        <v/>
      </c>
      <c r="AB158" s="71">
        <f>IF($H158&lt;&gt;"",1,0)</f>
        <v>0</v>
      </c>
      <c r="AC158" s="71">
        <f>IF(AND($AB158=1,$G158="Yes"),1,0)</f>
        <v>0</v>
      </c>
      <c r="AD158" s="71">
        <f>IF(AND($AB158=1,$N158="MQL"),1,0)</f>
        <v>0</v>
      </c>
      <c r="AE158" s="71">
        <f>IF(AND($AB158=1,$O158="SQL"),1,0)</f>
        <v>0</v>
      </c>
      <c r="AF158" s="71">
        <f>IF(AND($AB158=1,OR($P158="Open",$P158="Won",$P158="Lost")),1,0)</f>
        <v>0</v>
      </c>
      <c r="AG158" s="71">
        <f>IF(AND($AB158=1,OR($M158="Converted",$P158="Won")),1,0)</f>
        <v>0</v>
      </c>
      <c r="AH158" s="71">
        <f>IF($AB158=0,0,IF(AND(OR(fClient="All",$B158=fClient),OR(fCampaign="All",$C158=fCampaign),OR(fTeam="All",$L158=fTeam),OR(fChannel="All",$F158=fChannel),OR(fMonth="All",$AA158=fMonth)),1,0))</f>
        <v>0</v>
      </c>
      <c r="AI158" s="71">
        <f>IF($AB158=0,0,IF(AND(OR(fClient="All",$B158=fClient),OR(fCampaign="All",$C158=fCampaign),OR(fTeam="All",$L158=fTeam),OR(fChannel="All",$F158=fChannel)),1,0))</f>
        <v>0</v>
      </c>
    </row>
    <row r="159">
      <c r="A159" s="63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3" t="n"/>
      <c r="R159" s="63" t="n"/>
      <c r="S159" s="63" t="n"/>
      <c r="T159" s="65" t="n"/>
      <c r="U159" s="65" t="n"/>
      <c r="V159" s="63" t="n"/>
      <c r="W159" s="65" t="n"/>
      <c r="X159" s="69" t="str">
        <f>IF(AND(ISNUMBER($Q159),ISNUMBER($R159)),$R159-$Q159,"")</f>
        <v/>
      </c>
      <c r="Y159" s="71" t="str">
        <f>IF($AB159=1,IF(AND(ISNUMBER($V159),$M159&lt;&gt;"Converted",$M159&lt;&gt;"Rejected"),IF($V159&lt;=ReportDate,"DUE",""),""),"")</f>
        <v/>
      </c>
      <c r="Z159" s="75" t="str">
        <f>IF(ISNUMBER($Q159),$Q159,IF(ISNUMBER($A159),$A159,""))</f>
        <v/>
      </c>
      <c r="AA159" s="71" t="str">
        <f>IF(ISNUMBER($Z159),YEAR($Z159)&amp;"-"&amp;TEXT(MONTH($Z159),"00"),"")</f>
        <v/>
      </c>
      <c r="AB159" s="71">
        <f>IF($H159&lt;&gt;"",1,0)</f>
        <v>0</v>
      </c>
      <c r="AC159" s="71">
        <f>IF(AND($AB159=1,$G159="Yes"),1,0)</f>
        <v>0</v>
      </c>
      <c r="AD159" s="71">
        <f>IF(AND($AB159=1,$N159="MQL"),1,0)</f>
        <v>0</v>
      </c>
      <c r="AE159" s="71">
        <f>IF(AND($AB159=1,$O159="SQL"),1,0)</f>
        <v>0</v>
      </c>
      <c r="AF159" s="71">
        <f>IF(AND($AB159=1,OR($P159="Open",$P159="Won",$P159="Lost")),1,0)</f>
        <v>0</v>
      </c>
      <c r="AG159" s="71">
        <f>IF(AND($AB159=1,OR($M159="Converted",$P159="Won")),1,0)</f>
        <v>0</v>
      </c>
      <c r="AH159" s="71">
        <f>IF($AB159=0,0,IF(AND(OR(fClient="All",$B159=fClient),OR(fCampaign="All",$C159=fCampaign),OR(fTeam="All",$L159=fTeam),OR(fChannel="All",$F159=fChannel),OR(fMonth="All",$AA159=fMonth)),1,0))</f>
        <v>0</v>
      </c>
      <c r="AI159" s="71">
        <f>IF($AB159=0,0,IF(AND(OR(fClient="All",$B159=fClient),OR(fCampaign="All",$C159=fCampaign),OR(fTeam="All",$L159=fTeam),OR(fChannel="All",$F159=fChannel)),1,0))</f>
        <v>0</v>
      </c>
    </row>
    <row r="160">
      <c r="A160" s="63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3" t="n"/>
      <c r="R160" s="63" t="n"/>
      <c r="S160" s="63" t="n"/>
      <c r="T160" s="65" t="n"/>
      <c r="U160" s="65" t="n"/>
      <c r="V160" s="63" t="n"/>
      <c r="W160" s="65" t="n"/>
      <c r="X160" s="69" t="str">
        <f>IF(AND(ISNUMBER($Q160),ISNUMBER($R160)),$R160-$Q160,"")</f>
        <v/>
      </c>
      <c r="Y160" s="71" t="str">
        <f>IF($AB160=1,IF(AND(ISNUMBER($V160),$M160&lt;&gt;"Converted",$M160&lt;&gt;"Rejected"),IF($V160&lt;=ReportDate,"DUE",""),""),"")</f>
        <v/>
      </c>
      <c r="Z160" s="75" t="str">
        <f>IF(ISNUMBER($Q160),$Q160,IF(ISNUMBER($A160),$A160,""))</f>
        <v/>
      </c>
      <c r="AA160" s="71" t="str">
        <f>IF(ISNUMBER($Z160),YEAR($Z160)&amp;"-"&amp;TEXT(MONTH($Z160),"00"),"")</f>
        <v/>
      </c>
      <c r="AB160" s="71">
        <f>IF($H160&lt;&gt;"",1,0)</f>
        <v>0</v>
      </c>
      <c r="AC160" s="71">
        <f>IF(AND($AB160=1,$G160="Yes"),1,0)</f>
        <v>0</v>
      </c>
      <c r="AD160" s="71">
        <f>IF(AND($AB160=1,$N160="MQL"),1,0)</f>
        <v>0</v>
      </c>
      <c r="AE160" s="71">
        <f>IF(AND($AB160=1,$O160="SQL"),1,0)</f>
        <v>0</v>
      </c>
      <c r="AF160" s="71">
        <f>IF(AND($AB160=1,OR($P160="Open",$P160="Won",$P160="Lost")),1,0)</f>
        <v>0</v>
      </c>
      <c r="AG160" s="71">
        <f>IF(AND($AB160=1,OR($M160="Converted",$P160="Won")),1,0)</f>
        <v>0</v>
      </c>
      <c r="AH160" s="71">
        <f>IF($AB160=0,0,IF(AND(OR(fClient="All",$B160=fClient),OR(fCampaign="All",$C160=fCampaign),OR(fTeam="All",$L160=fTeam),OR(fChannel="All",$F160=fChannel),OR(fMonth="All",$AA160=fMonth)),1,0))</f>
        <v>0</v>
      </c>
      <c r="AI160" s="71">
        <f>IF($AB160=0,0,IF(AND(OR(fClient="All",$B160=fClient),OR(fCampaign="All",$C160=fCampaign),OR(fTeam="All",$L160=fTeam),OR(fChannel="All",$F160=fChannel)),1,0))</f>
        <v>0</v>
      </c>
    </row>
    <row r="161">
      <c r="A161" s="63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3" t="n"/>
      <c r="R161" s="63" t="n"/>
      <c r="S161" s="63" t="n"/>
      <c r="T161" s="65" t="n"/>
      <c r="U161" s="65" t="n"/>
      <c r="V161" s="63" t="n"/>
      <c r="W161" s="65" t="n"/>
      <c r="X161" s="69" t="str">
        <f>IF(AND(ISNUMBER($Q161),ISNUMBER($R161)),$R161-$Q161,"")</f>
        <v/>
      </c>
      <c r="Y161" s="71" t="str">
        <f>IF($AB161=1,IF(AND(ISNUMBER($V161),$M161&lt;&gt;"Converted",$M161&lt;&gt;"Rejected"),IF($V161&lt;=ReportDate,"DUE",""),""),"")</f>
        <v/>
      </c>
      <c r="Z161" s="75" t="str">
        <f>IF(ISNUMBER($Q161),$Q161,IF(ISNUMBER($A161),$A161,""))</f>
        <v/>
      </c>
      <c r="AA161" s="71" t="str">
        <f>IF(ISNUMBER($Z161),YEAR($Z161)&amp;"-"&amp;TEXT(MONTH($Z161),"00"),"")</f>
        <v/>
      </c>
      <c r="AB161" s="71">
        <f>IF($H161&lt;&gt;"",1,0)</f>
        <v>0</v>
      </c>
      <c r="AC161" s="71">
        <f>IF(AND($AB161=1,$G161="Yes"),1,0)</f>
        <v>0</v>
      </c>
      <c r="AD161" s="71">
        <f>IF(AND($AB161=1,$N161="MQL"),1,0)</f>
        <v>0</v>
      </c>
      <c r="AE161" s="71">
        <f>IF(AND($AB161=1,$O161="SQL"),1,0)</f>
        <v>0</v>
      </c>
      <c r="AF161" s="71">
        <f>IF(AND($AB161=1,OR($P161="Open",$P161="Won",$P161="Lost")),1,0)</f>
        <v>0</v>
      </c>
      <c r="AG161" s="71">
        <f>IF(AND($AB161=1,OR($M161="Converted",$P161="Won")),1,0)</f>
        <v>0</v>
      </c>
      <c r="AH161" s="71">
        <f>IF($AB161=0,0,IF(AND(OR(fClient="All",$B161=fClient),OR(fCampaign="All",$C161=fCampaign),OR(fTeam="All",$L161=fTeam),OR(fChannel="All",$F161=fChannel),OR(fMonth="All",$AA161=fMonth)),1,0))</f>
        <v>0</v>
      </c>
      <c r="AI161" s="71">
        <f>IF($AB161=0,0,IF(AND(OR(fClient="All",$B161=fClient),OR(fCampaign="All",$C161=fCampaign),OR(fTeam="All",$L161=fTeam),OR(fChannel="All",$F161=fChannel)),1,0))</f>
        <v>0</v>
      </c>
    </row>
    <row r="162">
      <c r="A162" s="63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3" t="n"/>
      <c r="R162" s="63" t="n"/>
      <c r="S162" s="63" t="n"/>
      <c r="T162" s="65" t="n"/>
      <c r="U162" s="65" t="n"/>
      <c r="V162" s="63" t="n"/>
      <c r="W162" s="65" t="n"/>
      <c r="X162" s="69" t="str">
        <f>IF(AND(ISNUMBER($Q162),ISNUMBER($R162)),$R162-$Q162,"")</f>
        <v/>
      </c>
      <c r="Y162" s="71" t="str">
        <f>IF($AB162=1,IF(AND(ISNUMBER($V162),$M162&lt;&gt;"Converted",$M162&lt;&gt;"Rejected"),IF($V162&lt;=ReportDate,"DUE",""),""),"")</f>
        <v/>
      </c>
      <c r="Z162" s="75" t="str">
        <f>IF(ISNUMBER($Q162),$Q162,IF(ISNUMBER($A162),$A162,""))</f>
        <v/>
      </c>
      <c r="AA162" s="71" t="str">
        <f>IF(ISNUMBER($Z162),YEAR($Z162)&amp;"-"&amp;TEXT(MONTH($Z162),"00"),"")</f>
        <v/>
      </c>
      <c r="AB162" s="71">
        <f>IF($H162&lt;&gt;"",1,0)</f>
        <v>0</v>
      </c>
      <c r="AC162" s="71">
        <f>IF(AND($AB162=1,$G162="Yes"),1,0)</f>
        <v>0</v>
      </c>
      <c r="AD162" s="71">
        <f>IF(AND($AB162=1,$N162="MQL"),1,0)</f>
        <v>0</v>
      </c>
      <c r="AE162" s="71">
        <f>IF(AND($AB162=1,$O162="SQL"),1,0)</f>
        <v>0</v>
      </c>
      <c r="AF162" s="71">
        <f>IF(AND($AB162=1,OR($P162="Open",$P162="Won",$P162="Lost")),1,0)</f>
        <v>0</v>
      </c>
      <c r="AG162" s="71">
        <f>IF(AND($AB162=1,OR($M162="Converted",$P162="Won")),1,0)</f>
        <v>0</v>
      </c>
      <c r="AH162" s="71">
        <f>IF($AB162=0,0,IF(AND(OR(fClient="All",$B162=fClient),OR(fCampaign="All",$C162=fCampaign),OR(fTeam="All",$L162=fTeam),OR(fChannel="All",$F162=fChannel),OR(fMonth="All",$AA162=fMonth)),1,0))</f>
        <v>0</v>
      </c>
      <c r="AI162" s="71">
        <f>IF($AB162=0,0,IF(AND(OR(fClient="All",$B162=fClient),OR(fCampaign="All",$C162=fCampaign),OR(fTeam="All",$L162=fTeam),OR(fChannel="All",$F162=fChannel)),1,0))</f>
        <v>0</v>
      </c>
    </row>
    <row r="163">
      <c r="A163" s="63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3" t="n"/>
      <c r="R163" s="63" t="n"/>
      <c r="S163" s="63" t="n"/>
      <c r="T163" s="65" t="n"/>
      <c r="U163" s="65" t="n"/>
      <c r="V163" s="63" t="n"/>
      <c r="W163" s="65" t="n"/>
      <c r="X163" s="69" t="str">
        <f>IF(AND(ISNUMBER($Q163),ISNUMBER($R163)),$R163-$Q163,"")</f>
        <v/>
      </c>
      <c r="Y163" s="71" t="str">
        <f>IF($AB163=1,IF(AND(ISNUMBER($V163),$M163&lt;&gt;"Converted",$M163&lt;&gt;"Rejected"),IF($V163&lt;=ReportDate,"DUE",""),""),"")</f>
        <v/>
      </c>
      <c r="Z163" s="75" t="str">
        <f>IF(ISNUMBER($Q163),$Q163,IF(ISNUMBER($A163),$A163,""))</f>
        <v/>
      </c>
      <c r="AA163" s="71" t="str">
        <f>IF(ISNUMBER($Z163),YEAR($Z163)&amp;"-"&amp;TEXT(MONTH($Z163),"00"),"")</f>
        <v/>
      </c>
      <c r="AB163" s="71">
        <f>IF($H163&lt;&gt;"",1,0)</f>
        <v>0</v>
      </c>
      <c r="AC163" s="71">
        <f>IF(AND($AB163=1,$G163="Yes"),1,0)</f>
        <v>0</v>
      </c>
      <c r="AD163" s="71">
        <f>IF(AND($AB163=1,$N163="MQL"),1,0)</f>
        <v>0</v>
      </c>
      <c r="AE163" s="71">
        <f>IF(AND($AB163=1,$O163="SQL"),1,0)</f>
        <v>0</v>
      </c>
      <c r="AF163" s="71">
        <f>IF(AND($AB163=1,OR($P163="Open",$P163="Won",$P163="Lost")),1,0)</f>
        <v>0</v>
      </c>
      <c r="AG163" s="71">
        <f>IF(AND($AB163=1,OR($M163="Converted",$P163="Won")),1,0)</f>
        <v>0</v>
      </c>
      <c r="AH163" s="71">
        <f>IF($AB163=0,0,IF(AND(OR(fClient="All",$B163=fClient),OR(fCampaign="All",$C163=fCampaign),OR(fTeam="All",$L163=fTeam),OR(fChannel="All",$F163=fChannel),OR(fMonth="All",$AA163=fMonth)),1,0))</f>
        <v>0</v>
      </c>
      <c r="AI163" s="71">
        <f>IF($AB163=0,0,IF(AND(OR(fClient="All",$B163=fClient),OR(fCampaign="All",$C163=fCampaign),OR(fTeam="All",$L163=fTeam),OR(fChannel="All",$F163=fChannel)),1,0))</f>
        <v>0</v>
      </c>
    </row>
    <row r="164">
      <c r="A164" s="63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3" t="n"/>
      <c r="R164" s="63" t="n"/>
      <c r="S164" s="63" t="n"/>
      <c r="T164" s="65" t="n"/>
      <c r="U164" s="65" t="n"/>
      <c r="V164" s="63" t="n"/>
      <c r="W164" s="65" t="n"/>
      <c r="X164" s="69" t="str">
        <f>IF(AND(ISNUMBER($Q164),ISNUMBER($R164)),$R164-$Q164,"")</f>
        <v/>
      </c>
      <c r="Y164" s="71" t="str">
        <f>IF($AB164=1,IF(AND(ISNUMBER($V164),$M164&lt;&gt;"Converted",$M164&lt;&gt;"Rejected"),IF($V164&lt;=ReportDate,"DUE",""),""),"")</f>
        <v/>
      </c>
      <c r="Z164" s="75" t="str">
        <f>IF(ISNUMBER($Q164),$Q164,IF(ISNUMBER($A164),$A164,""))</f>
        <v/>
      </c>
      <c r="AA164" s="71" t="str">
        <f>IF(ISNUMBER($Z164),YEAR($Z164)&amp;"-"&amp;TEXT(MONTH($Z164),"00"),"")</f>
        <v/>
      </c>
      <c r="AB164" s="71">
        <f>IF($H164&lt;&gt;"",1,0)</f>
        <v>0</v>
      </c>
      <c r="AC164" s="71">
        <f>IF(AND($AB164=1,$G164="Yes"),1,0)</f>
        <v>0</v>
      </c>
      <c r="AD164" s="71">
        <f>IF(AND($AB164=1,$N164="MQL"),1,0)</f>
        <v>0</v>
      </c>
      <c r="AE164" s="71">
        <f>IF(AND($AB164=1,$O164="SQL"),1,0)</f>
        <v>0</v>
      </c>
      <c r="AF164" s="71">
        <f>IF(AND($AB164=1,OR($P164="Open",$P164="Won",$P164="Lost")),1,0)</f>
        <v>0</v>
      </c>
      <c r="AG164" s="71">
        <f>IF(AND($AB164=1,OR($M164="Converted",$P164="Won")),1,0)</f>
        <v>0</v>
      </c>
      <c r="AH164" s="71">
        <f>IF($AB164=0,0,IF(AND(OR(fClient="All",$B164=fClient),OR(fCampaign="All",$C164=fCampaign),OR(fTeam="All",$L164=fTeam),OR(fChannel="All",$F164=fChannel),OR(fMonth="All",$AA164=fMonth)),1,0))</f>
        <v>0</v>
      </c>
      <c r="AI164" s="71">
        <f>IF($AB164=0,0,IF(AND(OR(fClient="All",$B164=fClient),OR(fCampaign="All",$C164=fCampaign),OR(fTeam="All",$L164=fTeam),OR(fChannel="All",$F164=fChannel)),1,0))</f>
        <v>0</v>
      </c>
    </row>
    <row r="165">
      <c r="A165" s="63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3" t="n"/>
      <c r="R165" s="63" t="n"/>
      <c r="S165" s="63" t="n"/>
      <c r="T165" s="65" t="n"/>
      <c r="U165" s="65" t="n"/>
      <c r="V165" s="63" t="n"/>
      <c r="W165" s="65" t="n"/>
      <c r="X165" s="69" t="str">
        <f>IF(AND(ISNUMBER($Q165),ISNUMBER($R165)),$R165-$Q165,"")</f>
        <v/>
      </c>
      <c r="Y165" s="71" t="str">
        <f>IF($AB165=1,IF(AND(ISNUMBER($V165),$M165&lt;&gt;"Converted",$M165&lt;&gt;"Rejected"),IF($V165&lt;=ReportDate,"DUE",""),""),"")</f>
        <v/>
      </c>
      <c r="Z165" s="75" t="str">
        <f>IF(ISNUMBER($Q165),$Q165,IF(ISNUMBER($A165),$A165,""))</f>
        <v/>
      </c>
      <c r="AA165" s="71" t="str">
        <f>IF(ISNUMBER($Z165),YEAR($Z165)&amp;"-"&amp;TEXT(MONTH($Z165),"00"),"")</f>
        <v/>
      </c>
      <c r="AB165" s="71">
        <f>IF($H165&lt;&gt;"",1,0)</f>
        <v>0</v>
      </c>
      <c r="AC165" s="71">
        <f>IF(AND($AB165=1,$G165="Yes"),1,0)</f>
        <v>0</v>
      </c>
      <c r="AD165" s="71">
        <f>IF(AND($AB165=1,$N165="MQL"),1,0)</f>
        <v>0</v>
      </c>
      <c r="AE165" s="71">
        <f>IF(AND($AB165=1,$O165="SQL"),1,0)</f>
        <v>0</v>
      </c>
      <c r="AF165" s="71">
        <f>IF(AND($AB165=1,OR($P165="Open",$P165="Won",$P165="Lost")),1,0)</f>
        <v>0</v>
      </c>
      <c r="AG165" s="71">
        <f>IF(AND($AB165=1,OR($M165="Converted",$P165="Won")),1,0)</f>
        <v>0</v>
      </c>
      <c r="AH165" s="71">
        <f>IF($AB165=0,0,IF(AND(OR(fClient="All",$B165=fClient),OR(fCampaign="All",$C165=fCampaign),OR(fTeam="All",$L165=fTeam),OR(fChannel="All",$F165=fChannel),OR(fMonth="All",$AA165=fMonth)),1,0))</f>
        <v>0</v>
      </c>
      <c r="AI165" s="71">
        <f>IF($AB165=0,0,IF(AND(OR(fClient="All",$B165=fClient),OR(fCampaign="All",$C165=fCampaign),OR(fTeam="All",$L165=fTeam),OR(fChannel="All",$F165=fChannel)),1,0))</f>
        <v>0</v>
      </c>
    </row>
    <row r="166">
      <c r="A166" s="63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3" t="n"/>
      <c r="R166" s="63" t="n"/>
      <c r="S166" s="63" t="n"/>
      <c r="T166" s="65" t="n"/>
      <c r="U166" s="65" t="n"/>
      <c r="V166" s="63" t="n"/>
      <c r="W166" s="65" t="n"/>
      <c r="X166" s="69" t="str">
        <f>IF(AND(ISNUMBER($Q166),ISNUMBER($R166)),$R166-$Q166,"")</f>
        <v/>
      </c>
      <c r="Y166" s="71" t="str">
        <f>IF($AB166=1,IF(AND(ISNUMBER($V166),$M166&lt;&gt;"Converted",$M166&lt;&gt;"Rejected"),IF($V166&lt;=ReportDate,"DUE",""),""),"")</f>
        <v/>
      </c>
      <c r="Z166" s="75" t="str">
        <f>IF(ISNUMBER($Q166),$Q166,IF(ISNUMBER($A166),$A166,""))</f>
        <v/>
      </c>
      <c r="AA166" s="71" t="str">
        <f>IF(ISNUMBER($Z166),YEAR($Z166)&amp;"-"&amp;TEXT(MONTH($Z166),"00"),"")</f>
        <v/>
      </c>
      <c r="AB166" s="71">
        <f>IF($H166&lt;&gt;"",1,0)</f>
        <v>0</v>
      </c>
      <c r="AC166" s="71">
        <f>IF(AND($AB166=1,$G166="Yes"),1,0)</f>
        <v>0</v>
      </c>
      <c r="AD166" s="71">
        <f>IF(AND($AB166=1,$N166="MQL"),1,0)</f>
        <v>0</v>
      </c>
      <c r="AE166" s="71">
        <f>IF(AND($AB166=1,$O166="SQL"),1,0)</f>
        <v>0</v>
      </c>
      <c r="AF166" s="71">
        <f>IF(AND($AB166=1,OR($P166="Open",$P166="Won",$P166="Lost")),1,0)</f>
        <v>0</v>
      </c>
      <c r="AG166" s="71">
        <f>IF(AND($AB166=1,OR($M166="Converted",$P166="Won")),1,0)</f>
        <v>0</v>
      </c>
      <c r="AH166" s="71">
        <f>IF($AB166=0,0,IF(AND(OR(fClient="All",$B166=fClient),OR(fCampaign="All",$C166=fCampaign),OR(fTeam="All",$L166=fTeam),OR(fChannel="All",$F166=fChannel),OR(fMonth="All",$AA166=fMonth)),1,0))</f>
        <v>0</v>
      </c>
      <c r="AI166" s="71">
        <f>IF($AB166=0,0,IF(AND(OR(fClient="All",$B166=fClient),OR(fCampaign="All",$C166=fCampaign),OR(fTeam="All",$L166=fTeam),OR(fChannel="All",$F166=fChannel)),1,0))</f>
        <v>0</v>
      </c>
    </row>
    <row r="167">
      <c r="A167" s="63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3" t="n"/>
      <c r="R167" s="63" t="n"/>
      <c r="S167" s="63" t="n"/>
      <c r="T167" s="65" t="n"/>
      <c r="U167" s="65" t="n"/>
      <c r="V167" s="63" t="n"/>
      <c r="W167" s="65" t="n"/>
      <c r="X167" s="69" t="str">
        <f>IF(AND(ISNUMBER($Q167),ISNUMBER($R167)),$R167-$Q167,"")</f>
        <v/>
      </c>
      <c r="Y167" s="71" t="str">
        <f>IF($AB167=1,IF(AND(ISNUMBER($V167),$M167&lt;&gt;"Converted",$M167&lt;&gt;"Rejected"),IF($V167&lt;=ReportDate,"DUE",""),""),"")</f>
        <v/>
      </c>
      <c r="Z167" s="75" t="str">
        <f>IF(ISNUMBER($Q167),$Q167,IF(ISNUMBER($A167),$A167,""))</f>
        <v/>
      </c>
      <c r="AA167" s="71" t="str">
        <f>IF(ISNUMBER($Z167),YEAR($Z167)&amp;"-"&amp;TEXT(MONTH($Z167),"00"),"")</f>
        <v/>
      </c>
      <c r="AB167" s="71">
        <f>IF($H167&lt;&gt;"",1,0)</f>
        <v>0</v>
      </c>
      <c r="AC167" s="71">
        <f>IF(AND($AB167=1,$G167="Yes"),1,0)</f>
        <v>0</v>
      </c>
      <c r="AD167" s="71">
        <f>IF(AND($AB167=1,$N167="MQL"),1,0)</f>
        <v>0</v>
      </c>
      <c r="AE167" s="71">
        <f>IF(AND($AB167=1,$O167="SQL"),1,0)</f>
        <v>0</v>
      </c>
      <c r="AF167" s="71">
        <f>IF(AND($AB167=1,OR($P167="Open",$P167="Won",$P167="Lost")),1,0)</f>
        <v>0</v>
      </c>
      <c r="AG167" s="71">
        <f>IF(AND($AB167=1,OR($M167="Converted",$P167="Won")),1,0)</f>
        <v>0</v>
      </c>
      <c r="AH167" s="71">
        <f>IF($AB167=0,0,IF(AND(OR(fClient="All",$B167=fClient),OR(fCampaign="All",$C167=fCampaign),OR(fTeam="All",$L167=fTeam),OR(fChannel="All",$F167=fChannel),OR(fMonth="All",$AA167=fMonth)),1,0))</f>
        <v>0</v>
      </c>
      <c r="AI167" s="71">
        <f>IF($AB167=0,0,IF(AND(OR(fClient="All",$B167=fClient),OR(fCampaign="All",$C167=fCampaign),OR(fTeam="All",$L167=fTeam),OR(fChannel="All",$F167=fChannel)),1,0))</f>
        <v>0</v>
      </c>
    </row>
    <row r="168">
      <c r="A168" s="63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3" t="n"/>
      <c r="R168" s="63" t="n"/>
      <c r="S168" s="63" t="n"/>
      <c r="T168" s="65" t="n"/>
      <c r="U168" s="65" t="n"/>
      <c r="V168" s="63" t="n"/>
      <c r="W168" s="65" t="n"/>
      <c r="X168" s="69" t="str">
        <f>IF(AND(ISNUMBER($Q168),ISNUMBER($R168)),$R168-$Q168,"")</f>
        <v/>
      </c>
      <c r="Y168" s="71" t="str">
        <f>IF($AB168=1,IF(AND(ISNUMBER($V168),$M168&lt;&gt;"Converted",$M168&lt;&gt;"Rejected"),IF($V168&lt;=ReportDate,"DUE",""),""),"")</f>
        <v/>
      </c>
      <c r="Z168" s="75" t="str">
        <f>IF(ISNUMBER($Q168),$Q168,IF(ISNUMBER($A168),$A168,""))</f>
        <v/>
      </c>
      <c r="AA168" s="71" t="str">
        <f>IF(ISNUMBER($Z168),YEAR($Z168)&amp;"-"&amp;TEXT(MONTH($Z168),"00"),"")</f>
        <v/>
      </c>
      <c r="AB168" s="71">
        <f>IF($H168&lt;&gt;"",1,0)</f>
        <v>0</v>
      </c>
      <c r="AC168" s="71">
        <f>IF(AND($AB168=1,$G168="Yes"),1,0)</f>
        <v>0</v>
      </c>
      <c r="AD168" s="71">
        <f>IF(AND($AB168=1,$N168="MQL"),1,0)</f>
        <v>0</v>
      </c>
      <c r="AE168" s="71">
        <f>IF(AND($AB168=1,$O168="SQL"),1,0)</f>
        <v>0</v>
      </c>
      <c r="AF168" s="71">
        <f>IF(AND($AB168=1,OR($P168="Open",$P168="Won",$P168="Lost")),1,0)</f>
        <v>0</v>
      </c>
      <c r="AG168" s="71">
        <f>IF(AND($AB168=1,OR($M168="Converted",$P168="Won")),1,0)</f>
        <v>0</v>
      </c>
      <c r="AH168" s="71">
        <f>IF($AB168=0,0,IF(AND(OR(fClient="All",$B168=fClient),OR(fCampaign="All",$C168=fCampaign),OR(fTeam="All",$L168=fTeam),OR(fChannel="All",$F168=fChannel),OR(fMonth="All",$AA168=fMonth)),1,0))</f>
        <v>0</v>
      </c>
      <c r="AI168" s="71">
        <f>IF($AB168=0,0,IF(AND(OR(fClient="All",$B168=fClient),OR(fCampaign="All",$C168=fCampaign),OR(fTeam="All",$L168=fTeam),OR(fChannel="All",$F168=fChannel)),1,0))</f>
        <v>0</v>
      </c>
    </row>
    <row r="169">
      <c r="A169" s="63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3" t="n"/>
      <c r="R169" s="63" t="n"/>
      <c r="S169" s="63" t="n"/>
      <c r="T169" s="65" t="n"/>
      <c r="U169" s="65" t="n"/>
      <c r="V169" s="63" t="n"/>
      <c r="W169" s="65" t="n"/>
      <c r="X169" s="69" t="str">
        <f>IF(AND(ISNUMBER($Q169),ISNUMBER($R169)),$R169-$Q169,"")</f>
        <v/>
      </c>
      <c r="Y169" s="71" t="str">
        <f>IF($AB169=1,IF(AND(ISNUMBER($V169),$M169&lt;&gt;"Converted",$M169&lt;&gt;"Rejected"),IF($V169&lt;=ReportDate,"DUE",""),""),"")</f>
        <v/>
      </c>
      <c r="Z169" s="75" t="str">
        <f>IF(ISNUMBER($Q169),$Q169,IF(ISNUMBER($A169),$A169,""))</f>
        <v/>
      </c>
      <c r="AA169" s="71" t="str">
        <f>IF(ISNUMBER($Z169),YEAR($Z169)&amp;"-"&amp;TEXT(MONTH($Z169),"00"),"")</f>
        <v/>
      </c>
      <c r="AB169" s="71">
        <f>IF($H169&lt;&gt;"",1,0)</f>
        <v>0</v>
      </c>
      <c r="AC169" s="71">
        <f>IF(AND($AB169=1,$G169="Yes"),1,0)</f>
        <v>0</v>
      </c>
      <c r="AD169" s="71">
        <f>IF(AND($AB169=1,$N169="MQL"),1,0)</f>
        <v>0</v>
      </c>
      <c r="AE169" s="71">
        <f>IF(AND($AB169=1,$O169="SQL"),1,0)</f>
        <v>0</v>
      </c>
      <c r="AF169" s="71">
        <f>IF(AND($AB169=1,OR($P169="Open",$P169="Won",$P169="Lost")),1,0)</f>
        <v>0</v>
      </c>
      <c r="AG169" s="71">
        <f>IF(AND($AB169=1,OR($M169="Converted",$P169="Won")),1,0)</f>
        <v>0</v>
      </c>
      <c r="AH169" s="71">
        <f>IF($AB169=0,0,IF(AND(OR(fClient="All",$B169=fClient),OR(fCampaign="All",$C169=fCampaign),OR(fTeam="All",$L169=fTeam),OR(fChannel="All",$F169=fChannel),OR(fMonth="All",$AA169=fMonth)),1,0))</f>
        <v>0</v>
      </c>
      <c r="AI169" s="71">
        <f>IF($AB169=0,0,IF(AND(OR(fClient="All",$B169=fClient),OR(fCampaign="All",$C169=fCampaign),OR(fTeam="All",$L169=fTeam),OR(fChannel="All",$F169=fChannel)),1,0))</f>
        <v>0</v>
      </c>
    </row>
    <row r="170">
      <c r="A170" s="63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3" t="n"/>
      <c r="R170" s="63" t="n"/>
      <c r="S170" s="63" t="n"/>
      <c r="T170" s="65" t="n"/>
      <c r="U170" s="65" t="n"/>
      <c r="V170" s="63" t="n"/>
      <c r="W170" s="65" t="n"/>
      <c r="X170" s="69" t="str">
        <f>IF(AND(ISNUMBER($Q170),ISNUMBER($R170)),$R170-$Q170,"")</f>
        <v/>
      </c>
      <c r="Y170" s="71" t="str">
        <f>IF($AB170=1,IF(AND(ISNUMBER($V170),$M170&lt;&gt;"Converted",$M170&lt;&gt;"Rejected"),IF($V170&lt;=ReportDate,"DUE",""),""),"")</f>
        <v/>
      </c>
      <c r="Z170" s="75" t="str">
        <f>IF(ISNUMBER($Q170),$Q170,IF(ISNUMBER($A170),$A170,""))</f>
        <v/>
      </c>
      <c r="AA170" s="71" t="str">
        <f>IF(ISNUMBER($Z170),YEAR($Z170)&amp;"-"&amp;TEXT(MONTH($Z170),"00"),"")</f>
        <v/>
      </c>
      <c r="AB170" s="71">
        <f>IF($H170&lt;&gt;"",1,0)</f>
        <v>0</v>
      </c>
      <c r="AC170" s="71">
        <f>IF(AND($AB170=1,$G170="Yes"),1,0)</f>
        <v>0</v>
      </c>
      <c r="AD170" s="71">
        <f>IF(AND($AB170=1,$N170="MQL"),1,0)</f>
        <v>0</v>
      </c>
      <c r="AE170" s="71">
        <f>IF(AND($AB170=1,$O170="SQL"),1,0)</f>
        <v>0</v>
      </c>
      <c r="AF170" s="71">
        <f>IF(AND($AB170=1,OR($P170="Open",$P170="Won",$P170="Lost")),1,0)</f>
        <v>0</v>
      </c>
      <c r="AG170" s="71">
        <f>IF(AND($AB170=1,OR($M170="Converted",$P170="Won")),1,0)</f>
        <v>0</v>
      </c>
      <c r="AH170" s="71">
        <f>IF($AB170=0,0,IF(AND(OR(fClient="All",$B170=fClient),OR(fCampaign="All",$C170=fCampaign),OR(fTeam="All",$L170=fTeam),OR(fChannel="All",$F170=fChannel),OR(fMonth="All",$AA170=fMonth)),1,0))</f>
        <v>0</v>
      </c>
      <c r="AI170" s="71">
        <f>IF($AB170=0,0,IF(AND(OR(fClient="All",$B170=fClient),OR(fCampaign="All",$C170=fCampaign),OR(fTeam="All",$L170=fTeam),OR(fChannel="All",$F170=fChannel)),1,0))</f>
        <v>0</v>
      </c>
    </row>
    <row r="171">
      <c r="A171" s="63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3" t="n"/>
      <c r="R171" s="63" t="n"/>
      <c r="S171" s="63" t="n"/>
      <c r="T171" s="65" t="n"/>
      <c r="U171" s="65" t="n"/>
      <c r="V171" s="63" t="n"/>
      <c r="W171" s="65" t="n"/>
      <c r="X171" s="69" t="str">
        <f>IF(AND(ISNUMBER($Q171),ISNUMBER($R171)),$R171-$Q171,"")</f>
        <v/>
      </c>
      <c r="Y171" s="71" t="str">
        <f>IF($AB171=1,IF(AND(ISNUMBER($V171),$M171&lt;&gt;"Converted",$M171&lt;&gt;"Rejected"),IF($V171&lt;=ReportDate,"DUE",""),""),"")</f>
        <v/>
      </c>
      <c r="Z171" s="75" t="str">
        <f>IF(ISNUMBER($Q171),$Q171,IF(ISNUMBER($A171),$A171,""))</f>
        <v/>
      </c>
      <c r="AA171" s="71" t="str">
        <f>IF(ISNUMBER($Z171),YEAR($Z171)&amp;"-"&amp;TEXT(MONTH($Z171),"00"),"")</f>
        <v/>
      </c>
      <c r="AB171" s="71">
        <f>IF($H171&lt;&gt;"",1,0)</f>
        <v>0</v>
      </c>
      <c r="AC171" s="71">
        <f>IF(AND($AB171=1,$G171="Yes"),1,0)</f>
        <v>0</v>
      </c>
      <c r="AD171" s="71">
        <f>IF(AND($AB171=1,$N171="MQL"),1,0)</f>
        <v>0</v>
      </c>
      <c r="AE171" s="71">
        <f>IF(AND($AB171=1,$O171="SQL"),1,0)</f>
        <v>0</v>
      </c>
      <c r="AF171" s="71">
        <f>IF(AND($AB171=1,OR($P171="Open",$P171="Won",$P171="Lost")),1,0)</f>
        <v>0</v>
      </c>
      <c r="AG171" s="71">
        <f>IF(AND($AB171=1,OR($M171="Converted",$P171="Won")),1,0)</f>
        <v>0</v>
      </c>
      <c r="AH171" s="71">
        <f>IF($AB171=0,0,IF(AND(OR(fClient="All",$B171=fClient),OR(fCampaign="All",$C171=fCampaign),OR(fTeam="All",$L171=fTeam),OR(fChannel="All",$F171=fChannel),OR(fMonth="All",$AA171=fMonth)),1,0))</f>
        <v>0</v>
      </c>
      <c r="AI171" s="71">
        <f>IF($AB171=0,0,IF(AND(OR(fClient="All",$B171=fClient),OR(fCampaign="All",$C171=fCampaign),OR(fTeam="All",$L171=fTeam),OR(fChannel="All",$F171=fChannel)),1,0))</f>
        <v>0</v>
      </c>
    </row>
    <row r="172">
      <c r="A172" s="63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3" t="n"/>
      <c r="R172" s="63" t="n"/>
      <c r="S172" s="63" t="n"/>
      <c r="T172" s="65" t="n"/>
      <c r="U172" s="65" t="n"/>
      <c r="V172" s="63" t="n"/>
      <c r="W172" s="65" t="n"/>
      <c r="X172" s="69" t="str">
        <f>IF(AND(ISNUMBER($Q172),ISNUMBER($R172)),$R172-$Q172,"")</f>
        <v/>
      </c>
      <c r="Y172" s="71" t="str">
        <f>IF($AB172=1,IF(AND(ISNUMBER($V172),$M172&lt;&gt;"Converted",$M172&lt;&gt;"Rejected"),IF($V172&lt;=ReportDate,"DUE",""),""),"")</f>
        <v/>
      </c>
      <c r="Z172" s="75" t="str">
        <f>IF(ISNUMBER($Q172),$Q172,IF(ISNUMBER($A172),$A172,""))</f>
        <v/>
      </c>
      <c r="AA172" s="71" t="str">
        <f>IF(ISNUMBER($Z172),YEAR($Z172)&amp;"-"&amp;TEXT(MONTH($Z172),"00"),"")</f>
        <v/>
      </c>
      <c r="AB172" s="71">
        <f>IF($H172&lt;&gt;"",1,0)</f>
        <v>0</v>
      </c>
      <c r="AC172" s="71">
        <f>IF(AND($AB172=1,$G172="Yes"),1,0)</f>
        <v>0</v>
      </c>
      <c r="AD172" s="71">
        <f>IF(AND($AB172=1,$N172="MQL"),1,0)</f>
        <v>0</v>
      </c>
      <c r="AE172" s="71">
        <f>IF(AND($AB172=1,$O172="SQL"),1,0)</f>
        <v>0</v>
      </c>
      <c r="AF172" s="71">
        <f>IF(AND($AB172=1,OR($P172="Open",$P172="Won",$P172="Lost")),1,0)</f>
        <v>0</v>
      </c>
      <c r="AG172" s="71">
        <f>IF(AND($AB172=1,OR($M172="Converted",$P172="Won")),1,0)</f>
        <v>0</v>
      </c>
      <c r="AH172" s="71">
        <f>IF($AB172=0,0,IF(AND(OR(fClient="All",$B172=fClient),OR(fCampaign="All",$C172=fCampaign),OR(fTeam="All",$L172=fTeam),OR(fChannel="All",$F172=fChannel),OR(fMonth="All",$AA172=fMonth)),1,0))</f>
        <v>0</v>
      </c>
      <c r="AI172" s="71">
        <f>IF($AB172=0,0,IF(AND(OR(fClient="All",$B172=fClient),OR(fCampaign="All",$C172=fCampaign),OR(fTeam="All",$L172=fTeam),OR(fChannel="All",$F172=fChannel)),1,0))</f>
        <v>0</v>
      </c>
    </row>
    <row r="173">
      <c r="A173" s="63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3" t="n"/>
      <c r="R173" s="63" t="n"/>
      <c r="S173" s="63" t="n"/>
      <c r="T173" s="65" t="n"/>
      <c r="U173" s="65" t="n"/>
      <c r="V173" s="63" t="n"/>
      <c r="W173" s="65" t="n"/>
      <c r="X173" s="69" t="str">
        <f>IF(AND(ISNUMBER($Q173),ISNUMBER($R173)),$R173-$Q173,"")</f>
        <v/>
      </c>
      <c r="Y173" s="71" t="str">
        <f>IF($AB173=1,IF(AND(ISNUMBER($V173),$M173&lt;&gt;"Converted",$M173&lt;&gt;"Rejected"),IF($V173&lt;=ReportDate,"DUE",""),""),"")</f>
        <v/>
      </c>
      <c r="Z173" s="75" t="str">
        <f>IF(ISNUMBER($Q173),$Q173,IF(ISNUMBER($A173),$A173,""))</f>
        <v/>
      </c>
      <c r="AA173" s="71" t="str">
        <f>IF(ISNUMBER($Z173),YEAR($Z173)&amp;"-"&amp;TEXT(MONTH($Z173),"00"),"")</f>
        <v/>
      </c>
      <c r="AB173" s="71">
        <f>IF($H173&lt;&gt;"",1,0)</f>
        <v>0</v>
      </c>
      <c r="AC173" s="71">
        <f>IF(AND($AB173=1,$G173="Yes"),1,0)</f>
        <v>0</v>
      </c>
      <c r="AD173" s="71">
        <f>IF(AND($AB173=1,$N173="MQL"),1,0)</f>
        <v>0</v>
      </c>
      <c r="AE173" s="71">
        <f>IF(AND($AB173=1,$O173="SQL"),1,0)</f>
        <v>0</v>
      </c>
      <c r="AF173" s="71">
        <f>IF(AND($AB173=1,OR($P173="Open",$P173="Won",$P173="Lost")),1,0)</f>
        <v>0</v>
      </c>
      <c r="AG173" s="71">
        <f>IF(AND($AB173=1,OR($M173="Converted",$P173="Won")),1,0)</f>
        <v>0</v>
      </c>
      <c r="AH173" s="71">
        <f>IF($AB173=0,0,IF(AND(OR(fClient="All",$B173=fClient),OR(fCampaign="All",$C173=fCampaign),OR(fTeam="All",$L173=fTeam),OR(fChannel="All",$F173=fChannel),OR(fMonth="All",$AA173=fMonth)),1,0))</f>
        <v>0</v>
      </c>
      <c r="AI173" s="71">
        <f>IF($AB173=0,0,IF(AND(OR(fClient="All",$B173=fClient),OR(fCampaign="All",$C173=fCampaign),OR(fTeam="All",$L173=fTeam),OR(fChannel="All",$F173=fChannel)),1,0))</f>
        <v>0</v>
      </c>
    </row>
    <row r="174">
      <c r="A174" s="63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3" t="n"/>
      <c r="R174" s="63" t="n"/>
      <c r="S174" s="63" t="n"/>
      <c r="T174" s="65" t="n"/>
      <c r="U174" s="65" t="n"/>
      <c r="V174" s="63" t="n"/>
      <c r="W174" s="65" t="n"/>
      <c r="X174" s="69" t="str">
        <f>IF(AND(ISNUMBER($Q174),ISNUMBER($R174)),$R174-$Q174,"")</f>
        <v/>
      </c>
      <c r="Y174" s="71" t="str">
        <f>IF($AB174=1,IF(AND(ISNUMBER($V174),$M174&lt;&gt;"Converted",$M174&lt;&gt;"Rejected"),IF($V174&lt;=ReportDate,"DUE",""),""),"")</f>
        <v/>
      </c>
      <c r="Z174" s="75" t="str">
        <f>IF(ISNUMBER($Q174),$Q174,IF(ISNUMBER($A174),$A174,""))</f>
        <v/>
      </c>
      <c r="AA174" s="71" t="str">
        <f>IF(ISNUMBER($Z174),YEAR($Z174)&amp;"-"&amp;TEXT(MONTH($Z174),"00"),"")</f>
        <v/>
      </c>
      <c r="AB174" s="71">
        <f>IF($H174&lt;&gt;"",1,0)</f>
        <v>0</v>
      </c>
      <c r="AC174" s="71">
        <f>IF(AND($AB174=1,$G174="Yes"),1,0)</f>
        <v>0</v>
      </c>
      <c r="AD174" s="71">
        <f>IF(AND($AB174=1,$N174="MQL"),1,0)</f>
        <v>0</v>
      </c>
      <c r="AE174" s="71">
        <f>IF(AND($AB174=1,$O174="SQL"),1,0)</f>
        <v>0</v>
      </c>
      <c r="AF174" s="71">
        <f>IF(AND($AB174=1,OR($P174="Open",$P174="Won",$P174="Lost")),1,0)</f>
        <v>0</v>
      </c>
      <c r="AG174" s="71">
        <f>IF(AND($AB174=1,OR($M174="Converted",$P174="Won")),1,0)</f>
        <v>0</v>
      </c>
      <c r="AH174" s="71">
        <f>IF($AB174=0,0,IF(AND(OR(fClient="All",$B174=fClient),OR(fCampaign="All",$C174=fCampaign),OR(fTeam="All",$L174=fTeam),OR(fChannel="All",$F174=fChannel),OR(fMonth="All",$AA174=fMonth)),1,0))</f>
        <v>0</v>
      </c>
      <c r="AI174" s="71">
        <f>IF($AB174=0,0,IF(AND(OR(fClient="All",$B174=fClient),OR(fCampaign="All",$C174=fCampaign),OR(fTeam="All",$L174=fTeam),OR(fChannel="All",$F174=fChannel)),1,0))</f>
        <v>0</v>
      </c>
    </row>
    <row r="175">
      <c r="A175" s="63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3" t="n"/>
      <c r="R175" s="63" t="n"/>
      <c r="S175" s="63" t="n"/>
      <c r="T175" s="65" t="n"/>
      <c r="U175" s="65" t="n"/>
      <c r="V175" s="63" t="n"/>
      <c r="W175" s="65" t="n"/>
      <c r="X175" s="69" t="str">
        <f>IF(AND(ISNUMBER($Q175),ISNUMBER($R175)),$R175-$Q175,"")</f>
        <v/>
      </c>
      <c r="Y175" s="71" t="str">
        <f>IF($AB175=1,IF(AND(ISNUMBER($V175),$M175&lt;&gt;"Converted",$M175&lt;&gt;"Rejected"),IF($V175&lt;=ReportDate,"DUE",""),""),"")</f>
        <v/>
      </c>
      <c r="Z175" s="75" t="str">
        <f>IF(ISNUMBER($Q175),$Q175,IF(ISNUMBER($A175),$A175,""))</f>
        <v/>
      </c>
      <c r="AA175" s="71" t="str">
        <f>IF(ISNUMBER($Z175),YEAR($Z175)&amp;"-"&amp;TEXT(MONTH($Z175),"00"),"")</f>
        <v/>
      </c>
      <c r="AB175" s="71">
        <f>IF($H175&lt;&gt;"",1,0)</f>
        <v>0</v>
      </c>
      <c r="AC175" s="71">
        <f>IF(AND($AB175=1,$G175="Yes"),1,0)</f>
        <v>0</v>
      </c>
      <c r="AD175" s="71">
        <f>IF(AND($AB175=1,$N175="MQL"),1,0)</f>
        <v>0</v>
      </c>
      <c r="AE175" s="71">
        <f>IF(AND($AB175=1,$O175="SQL"),1,0)</f>
        <v>0</v>
      </c>
      <c r="AF175" s="71">
        <f>IF(AND($AB175=1,OR($P175="Open",$P175="Won",$P175="Lost")),1,0)</f>
        <v>0</v>
      </c>
      <c r="AG175" s="71">
        <f>IF(AND($AB175=1,OR($M175="Converted",$P175="Won")),1,0)</f>
        <v>0</v>
      </c>
      <c r="AH175" s="71">
        <f>IF($AB175=0,0,IF(AND(OR(fClient="All",$B175=fClient),OR(fCampaign="All",$C175=fCampaign),OR(fTeam="All",$L175=fTeam),OR(fChannel="All",$F175=fChannel),OR(fMonth="All",$AA175=fMonth)),1,0))</f>
        <v>0</v>
      </c>
      <c r="AI175" s="71">
        <f>IF($AB175=0,0,IF(AND(OR(fClient="All",$B175=fClient),OR(fCampaign="All",$C175=fCampaign),OR(fTeam="All",$L175=fTeam),OR(fChannel="All",$F175=fChannel)),1,0))</f>
        <v>0</v>
      </c>
    </row>
    <row r="176">
      <c r="A176" s="63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3" t="n"/>
      <c r="R176" s="63" t="n"/>
      <c r="S176" s="63" t="n"/>
      <c r="T176" s="65" t="n"/>
      <c r="U176" s="65" t="n"/>
      <c r="V176" s="63" t="n"/>
      <c r="W176" s="65" t="n"/>
      <c r="X176" s="69" t="str">
        <f>IF(AND(ISNUMBER($Q176),ISNUMBER($R176)),$R176-$Q176,"")</f>
        <v/>
      </c>
      <c r="Y176" s="71" t="str">
        <f>IF($AB176=1,IF(AND(ISNUMBER($V176),$M176&lt;&gt;"Converted",$M176&lt;&gt;"Rejected"),IF($V176&lt;=ReportDate,"DUE",""),""),"")</f>
        <v/>
      </c>
      <c r="Z176" s="75" t="str">
        <f>IF(ISNUMBER($Q176),$Q176,IF(ISNUMBER($A176),$A176,""))</f>
        <v/>
      </c>
      <c r="AA176" s="71" t="str">
        <f>IF(ISNUMBER($Z176),YEAR($Z176)&amp;"-"&amp;TEXT(MONTH($Z176),"00"),"")</f>
        <v/>
      </c>
      <c r="AB176" s="71">
        <f>IF($H176&lt;&gt;"",1,0)</f>
        <v>0</v>
      </c>
      <c r="AC176" s="71">
        <f>IF(AND($AB176=1,$G176="Yes"),1,0)</f>
        <v>0</v>
      </c>
      <c r="AD176" s="71">
        <f>IF(AND($AB176=1,$N176="MQL"),1,0)</f>
        <v>0</v>
      </c>
      <c r="AE176" s="71">
        <f>IF(AND($AB176=1,$O176="SQL"),1,0)</f>
        <v>0</v>
      </c>
      <c r="AF176" s="71">
        <f>IF(AND($AB176=1,OR($P176="Open",$P176="Won",$P176="Lost")),1,0)</f>
        <v>0</v>
      </c>
      <c r="AG176" s="71">
        <f>IF(AND($AB176=1,OR($M176="Converted",$P176="Won")),1,0)</f>
        <v>0</v>
      </c>
      <c r="AH176" s="71">
        <f>IF($AB176=0,0,IF(AND(OR(fClient="All",$B176=fClient),OR(fCampaign="All",$C176=fCampaign),OR(fTeam="All",$L176=fTeam),OR(fChannel="All",$F176=fChannel),OR(fMonth="All",$AA176=fMonth)),1,0))</f>
        <v>0</v>
      </c>
      <c r="AI176" s="71">
        <f>IF($AB176=0,0,IF(AND(OR(fClient="All",$B176=fClient),OR(fCampaign="All",$C176=fCampaign),OR(fTeam="All",$L176=fTeam),OR(fChannel="All",$F176=fChannel)),1,0))</f>
        <v>0</v>
      </c>
    </row>
    <row r="177">
      <c r="A177" s="63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3" t="n"/>
      <c r="R177" s="63" t="n"/>
      <c r="S177" s="63" t="n"/>
      <c r="T177" s="65" t="n"/>
      <c r="U177" s="65" t="n"/>
      <c r="V177" s="63" t="n"/>
      <c r="W177" s="65" t="n"/>
      <c r="X177" s="69" t="str">
        <f>IF(AND(ISNUMBER($Q177),ISNUMBER($R177)),$R177-$Q177,"")</f>
        <v/>
      </c>
      <c r="Y177" s="71" t="str">
        <f>IF($AB177=1,IF(AND(ISNUMBER($V177),$M177&lt;&gt;"Converted",$M177&lt;&gt;"Rejected"),IF($V177&lt;=ReportDate,"DUE",""),""),"")</f>
        <v/>
      </c>
      <c r="Z177" s="75" t="str">
        <f>IF(ISNUMBER($Q177),$Q177,IF(ISNUMBER($A177),$A177,""))</f>
        <v/>
      </c>
      <c r="AA177" s="71" t="str">
        <f>IF(ISNUMBER($Z177),YEAR($Z177)&amp;"-"&amp;TEXT(MONTH($Z177),"00"),"")</f>
        <v/>
      </c>
      <c r="AB177" s="71">
        <f>IF($H177&lt;&gt;"",1,0)</f>
        <v>0</v>
      </c>
      <c r="AC177" s="71">
        <f>IF(AND($AB177=1,$G177="Yes"),1,0)</f>
        <v>0</v>
      </c>
      <c r="AD177" s="71">
        <f>IF(AND($AB177=1,$N177="MQL"),1,0)</f>
        <v>0</v>
      </c>
      <c r="AE177" s="71">
        <f>IF(AND($AB177=1,$O177="SQL"),1,0)</f>
        <v>0</v>
      </c>
      <c r="AF177" s="71">
        <f>IF(AND($AB177=1,OR($P177="Open",$P177="Won",$P177="Lost")),1,0)</f>
        <v>0</v>
      </c>
      <c r="AG177" s="71">
        <f>IF(AND($AB177=1,OR($M177="Converted",$P177="Won")),1,0)</f>
        <v>0</v>
      </c>
      <c r="AH177" s="71">
        <f>IF($AB177=0,0,IF(AND(OR(fClient="All",$B177=fClient),OR(fCampaign="All",$C177=fCampaign),OR(fTeam="All",$L177=fTeam),OR(fChannel="All",$F177=fChannel),OR(fMonth="All",$AA177=fMonth)),1,0))</f>
        <v>0</v>
      </c>
      <c r="AI177" s="71">
        <f>IF($AB177=0,0,IF(AND(OR(fClient="All",$B177=fClient),OR(fCampaign="All",$C177=fCampaign),OR(fTeam="All",$L177=fTeam),OR(fChannel="All",$F177=fChannel)),1,0))</f>
        <v>0</v>
      </c>
    </row>
    <row r="178">
      <c r="A178" s="63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3" t="n"/>
      <c r="R178" s="63" t="n"/>
      <c r="S178" s="63" t="n"/>
      <c r="T178" s="65" t="n"/>
      <c r="U178" s="65" t="n"/>
      <c r="V178" s="63" t="n"/>
      <c r="W178" s="65" t="n"/>
      <c r="X178" s="69" t="str">
        <f>IF(AND(ISNUMBER($Q178),ISNUMBER($R178)),$R178-$Q178,"")</f>
        <v/>
      </c>
      <c r="Y178" s="71" t="str">
        <f>IF($AB178=1,IF(AND(ISNUMBER($V178),$M178&lt;&gt;"Converted",$M178&lt;&gt;"Rejected"),IF($V178&lt;=ReportDate,"DUE",""),""),"")</f>
        <v/>
      </c>
      <c r="Z178" s="75" t="str">
        <f>IF(ISNUMBER($Q178),$Q178,IF(ISNUMBER($A178),$A178,""))</f>
        <v/>
      </c>
      <c r="AA178" s="71" t="str">
        <f>IF(ISNUMBER($Z178),YEAR($Z178)&amp;"-"&amp;TEXT(MONTH($Z178),"00"),"")</f>
        <v/>
      </c>
      <c r="AB178" s="71">
        <f>IF($H178&lt;&gt;"",1,0)</f>
        <v>0</v>
      </c>
      <c r="AC178" s="71">
        <f>IF(AND($AB178=1,$G178="Yes"),1,0)</f>
        <v>0</v>
      </c>
      <c r="AD178" s="71">
        <f>IF(AND($AB178=1,$N178="MQL"),1,0)</f>
        <v>0</v>
      </c>
      <c r="AE178" s="71">
        <f>IF(AND($AB178=1,$O178="SQL"),1,0)</f>
        <v>0</v>
      </c>
      <c r="AF178" s="71">
        <f>IF(AND($AB178=1,OR($P178="Open",$P178="Won",$P178="Lost")),1,0)</f>
        <v>0</v>
      </c>
      <c r="AG178" s="71">
        <f>IF(AND($AB178=1,OR($M178="Converted",$P178="Won")),1,0)</f>
        <v>0</v>
      </c>
      <c r="AH178" s="71">
        <f>IF($AB178=0,0,IF(AND(OR(fClient="All",$B178=fClient),OR(fCampaign="All",$C178=fCampaign),OR(fTeam="All",$L178=fTeam),OR(fChannel="All",$F178=fChannel),OR(fMonth="All",$AA178=fMonth)),1,0))</f>
        <v>0</v>
      </c>
      <c r="AI178" s="71">
        <f>IF($AB178=0,0,IF(AND(OR(fClient="All",$B178=fClient),OR(fCampaign="All",$C178=fCampaign),OR(fTeam="All",$L178=fTeam),OR(fChannel="All",$F178=fChannel)),1,0))</f>
        <v>0</v>
      </c>
    </row>
    <row r="179">
      <c r="A179" s="63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3" t="n"/>
      <c r="R179" s="63" t="n"/>
      <c r="S179" s="63" t="n"/>
      <c r="T179" s="65" t="n"/>
      <c r="U179" s="65" t="n"/>
      <c r="V179" s="63" t="n"/>
      <c r="W179" s="65" t="n"/>
      <c r="X179" s="69" t="str">
        <f>IF(AND(ISNUMBER($Q179),ISNUMBER($R179)),$R179-$Q179,"")</f>
        <v/>
      </c>
      <c r="Y179" s="71" t="str">
        <f>IF($AB179=1,IF(AND(ISNUMBER($V179),$M179&lt;&gt;"Converted",$M179&lt;&gt;"Rejected"),IF($V179&lt;=ReportDate,"DUE",""),""),"")</f>
        <v/>
      </c>
      <c r="Z179" s="75" t="str">
        <f>IF(ISNUMBER($Q179),$Q179,IF(ISNUMBER($A179),$A179,""))</f>
        <v/>
      </c>
      <c r="AA179" s="71" t="str">
        <f>IF(ISNUMBER($Z179),YEAR($Z179)&amp;"-"&amp;TEXT(MONTH($Z179),"00"),"")</f>
        <v/>
      </c>
      <c r="AB179" s="71">
        <f>IF($H179&lt;&gt;"",1,0)</f>
        <v>0</v>
      </c>
      <c r="AC179" s="71">
        <f>IF(AND($AB179=1,$G179="Yes"),1,0)</f>
        <v>0</v>
      </c>
      <c r="AD179" s="71">
        <f>IF(AND($AB179=1,$N179="MQL"),1,0)</f>
        <v>0</v>
      </c>
      <c r="AE179" s="71">
        <f>IF(AND($AB179=1,$O179="SQL"),1,0)</f>
        <v>0</v>
      </c>
      <c r="AF179" s="71">
        <f>IF(AND($AB179=1,OR($P179="Open",$P179="Won",$P179="Lost")),1,0)</f>
        <v>0</v>
      </c>
      <c r="AG179" s="71">
        <f>IF(AND($AB179=1,OR($M179="Converted",$P179="Won")),1,0)</f>
        <v>0</v>
      </c>
      <c r="AH179" s="71">
        <f>IF($AB179=0,0,IF(AND(OR(fClient="All",$B179=fClient),OR(fCampaign="All",$C179=fCampaign),OR(fTeam="All",$L179=fTeam),OR(fChannel="All",$F179=fChannel),OR(fMonth="All",$AA179=fMonth)),1,0))</f>
        <v>0</v>
      </c>
      <c r="AI179" s="71">
        <f>IF($AB179=0,0,IF(AND(OR(fClient="All",$B179=fClient),OR(fCampaign="All",$C179=fCampaign),OR(fTeam="All",$L179=fTeam),OR(fChannel="All",$F179=fChannel)),1,0))</f>
        <v>0</v>
      </c>
    </row>
    <row r="180">
      <c r="A180" s="63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3" t="n"/>
      <c r="R180" s="63" t="n"/>
      <c r="S180" s="63" t="n"/>
      <c r="T180" s="65" t="n"/>
      <c r="U180" s="65" t="n"/>
      <c r="V180" s="63" t="n"/>
      <c r="W180" s="65" t="n"/>
      <c r="X180" s="69" t="str">
        <f>IF(AND(ISNUMBER($Q180),ISNUMBER($R180)),$R180-$Q180,"")</f>
        <v/>
      </c>
      <c r="Y180" s="71" t="str">
        <f>IF($AB180=1,IF(AND(ISNUMBER($V180),$M180&lt;&gt;"Converted",$M180&lt;&gt;"Rejected"),IF($V180&lt;=ReportDate,"DUE",""),""),"")</f>
        <v/>
      </c>
      <c r="Z180" s="75" t="str">
        <f>IF(ISNUMBER($Q180),$Q180,IF(ISNUMBER($A180),$A180,""))</f>
        <v/>
      </c>
      <c r="AA180" s="71" t="str">
        <f>IF(ISNUMBER($Z180),YEAR($Z180)&amp;"-"&amp;TEXT(MONTH($Z180),"00"),"")</f>
        <v/>
      </c>
      <c r="AB180" s="71">
        <f>IF($H180&lt;&gt;"",1,0)</f>
        <v>0</v>
      </c>
      <c r="AC180" s="71">
        <f>IF(AND($AB180=1,$G180="Yes"),1,0)</f>
        <v>0</v>
      </c>
      <c r="AD180" s="71">
        <f>IF(AND($AB180=1,$N180="MQL"),1,0)</f>
        <v>0</v>
      </c>
      <c r="AE180" s="71">
        <f>IF(AND($AB180=1,$O180="SQL"),1,0)</f>
        <v>0</v>
      </c>
      <c r="AF180" s="71">
        <f>IF(AND($AB180=1,OR($P180="Open",$P180="Won",$P180="Lost")),1,0)</f>
        <v>0</v>
      </c>
      <c r="AG180" s="71">
        <f>IF(AND($AB180=1,OR($M180="Converted",$P180="Won")),1,0)</f>
        <v>0</v>
      </c>
      <c r="AH180" s="71">
        <f>IF($AB180=0,0,IF(AND(OR(fClient="All",$B180=fClient),OR(fCampaign="All",$C180=fCampaign),OR(fTeam="All",$L180=fTeam),OR(fChannel="All",$F180=fChannel),OR(fMonth="All",$AA180=fMonth)),1,0))</f>
        <v>0</v>
      </c>
      <c r="AI180" s="71">
        <f>IF($AB180=0,0,IF(AND(OR(fClient="All",$B180=fClient),OR(fCampaign="All",$C180=fCampaign),OR(fTeam="All",$L180=fTeam),OR(fChannel="All",$F180=fChannel)),1,0))</f>
        <v>0</v>
      </c>
    </row>
    <row r="181">
      <c r="A181" s="63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3" t="n"/>
      <c r="R181" s="63" t="n"/>
      <c r="S181" s="63" t="n"/>
      <c r="T181" s="65" t="n"/>
      <c r="U181" s="65" t="n"/>
      <c r="V181" s="63" t="n"/>
      <c r="W181" s="65" t="n"/>
      <c r="X181" s="69" t="str">
        <f>IF(AND(ISNUMBER($Q181),ISNUMBER($R181)),$R181-$Q181,"")</f>
        <v/>
      </c>
      <c r="Y181" s="71" t="str">
        <f>IF($AB181=1,IF(AND(ISNUMBER($V181),$M181&lt;&gt;"Converted",$M181&lt;&gt;"Rejected"),IF($V181&lt;=ReportDate,"DUE",""),""),"")</f>
        <v/>
      </c>
      <c r="Z181" s="75" t="str">
        <f>IF(ISNUMBER($Q181),$Q181,IF(ISNUMBER($A181),$A181,""))</f>
        <v/>
      </c>
      <c r="AA181" s="71" t="str">
        <f>IF(ISNUMBER($Z181),YEAR($Z181)&amp;"-"&amp;TEXT(MONTH($Z181),"00"),"")</f>
        <v/>
      </c>
      <c r="AB181" s="71">
        <f>IF($H181&lt;&gt;"",1,0)</f>
        <v>0</v>
      </c>
      <c r="AC181" s="71">
        <f>IF(AND($AB181=1,$G181="Yes"),1,0)</f>
        <v>0</v>
      </c>
      <c r="AD181" s="71">
        <f>IF(AND($AB181=1,$N181="MQL"),1,0)</f>
        <v>0</v>
      </c>
      <c r="AE181" s="71">
        <f>IF(AND($AB181=1,$O181="SQL"),1,0)</f>
        <v>0</v>
      </c>
      <c r="AF181" s="71">
        <f>IF(AND($AB181=1,OR($P181="Open",$P181="Won",$P181="Lost")),1,0)</f>
        <v>0</v>
      </c>
      <c r="AG181" s="71">
        <f>IF(AND($AB181=1,OR($M181="Converted",$P181="Won")),1,0)</f>
        <v>0</v>
      </c>
      <c r="AH181" s="71">
        <f>IF($AB181=0,0,IF(AND(OR(fClient="All",$B181=fClient),OR(fCampaign="All",$C181=fCampaign),OR(fTeam="All",$L181=fTeam),OR(fChannel="All",$F181=fChannel),OR(fMonth="All",$AA181=fMonth)),1,0))</f>
        <v>0</v>
      </c>
      <c r="AI181" s="71">
        <f>IF($AB181=0,0,IF(AND(OR(fClient="All",$B181=fClient),OR(fCampaign="All",$C181=fCampaign),OR(fTeam="All",$L181=fTeam),OR(fChannel="All",$F181=fChannel)),1,0))</f>
        <v>0</v>
      </c>
    </row>
    <row r="182">
      <c r="A182" s="63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3" t="n"/>
      <c r="R182" s="63" t="n"/>
      <c r="S182" s="63" t="n"/>
      <c r="T182" s="65" t="n"/>
      <c r="U182" s="65" t="n"/>
      <c r="V182" s="63" t="n"/>
      <c r="W182" s="65" t="n"/>
      <c r="X182" s="69" t="str">
        <f>IF(AND(ISNUMBER($Q182),ISNUMBER($R182)),$R182-$Q182,"")</f>
        <v/>
      </c>
      <c r="Y182" s="71" t="str">
        <f>IF($AB182=1,IF(AND(ISNUMBER($V182),$M182&lt;&gt;"Converted",$M182&lt;&gt;"Rejected"),IF($V182&lt;=ReportDate,"DUE",""),""),"")</f>
        <v/>
      </c>
      <c r="Z182" s="75" t="str">
        <f>IF(ISNUMBER($Q182),$Q182,IF(ISNUMBER($A182),$A182,""))</f>
        <v/>
      </c>
      <c r="AA182" s="71" t="str">
        <f>IF(ISNUMBER($Z182),YEAR($Z182)&amp;"-"&amp;TEXT(MONTH($Z182),"00"),"")</f>
        <v/>
      </c>
      <c r="AB182" s="71">
        <f>IF($H182&lt;&gt;"",1,0)</f>
        <v>0</v>
      </c>
      <c r="AC182" s="71">
        <f>IF(AND($AB182=1,$G182="Yes"),1,0)</f>
        <v>0</v>
      </c>
      <c r="AD182" s="71">
        <f>IF(AND($AB182=1,$N182="MQL"),1,0)</f>
        <v>0</v>
      </c>
      <c r="AE182" s="71">
        <f>IF(AND($AB182=1,$O182="SQL"),1,0)</f>
        <v>0</v>
      </c>
      <c r="AF182" s="71">
        <f>IF(AND($AB182=1,OR($P182="Open",$P182="Won",$P182="Lost")),1,0)</f>
        <v>0</v>
      </c>
      <c r="AG182" s="71">
        <f>IF(AND($AB182=1,OR($M182="Converted",$P182="Won")),1,0)</f>
        <v>0</v>
      </c>
      <c r="AH182" s="71">
        <f>IF($AB182=0,0,IF(AND(OR(fClient="All",$B182=fClient),OR(fCampaign="All",$C182=fCampaign),OR(fTeam="All",$L182=fTeam),OR(fChannel="All",$F182=fChannel),OR(fMonth="All",$AA182=fMonth)),1,0))</f>
        <v>0</v>
      </c>
      <c r="AI182" s="71">
        <f>IF($AB182=0,0,IF(AND(OR(fClient="All",$B182=fClient),OR(fCampaign="All",$C182=fCampaign),OR(fTeam="All",$L182=fTeam),OR(fChannel="All",$F182=fChannel)),1,0))</f>
        <v>0</v>
      </c>
    </row>
    <row r="183">
      <c r="A183" s="63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3" t="n"/>
      <c r="R183" s="63" t="n"/>
      <c r="S183" s="63" t="n"/>
      <c r="T183" s="65" t="n"/>
      <c r="U183" s="65" t="n"/>
      <c r="V183" s="63" t="n"/>
      <c r="W183" s="65" t="n"/>
      <c r="X183" s="69" t="str">
        <f>IF(AND(ISNUMBER($Q183),ISNUMBER($R183)),$R183-$Q183,"")</f>
        <v/>
      </c>
      <c r="Y183" s="71" t="str">
        <f>IF($AB183=1,IF(AND(ISNUMBER($V183),$M183&lt;&gt;"Converted",$M183&lt;&gt;"Rejected"),IF($V183&lt;=ReportDate,"DUE",""),""),"")</f>
        <v/>
      </c>
      <c r="Z183" s="75" t="str">
        <f>IF(ISNUMBER($Q183),$Q183,IF(ISNUMBER($A183),$A183,""))</f>
        <v/>
      </c>
      <c r="AA183" s="71" t="str">
        <f>IF(ISNUMBER($Z183),YEAR($Z183)&amp;"-"&amp;TEXT(MONTH($Z183),"00"),"")</f>
        <v/>
      </c>
      <c r="AB183" s="71">
        <f>IF($H183&lt;&gt;"",1,0)</f>
        <v>0</v>
      </c>
      <c r="AC183" s="71">
        <f>IF(AND($AB183=1,$G183="Yes"),1,0)</f>
        <v>0</v>
      </c>
      <c r="AD183" s="71">
        <f>IF(AND($AB183=1,$N183="MQL"),1,0)</f>
        <v>0</v>
      </c>
      <c r="AE183" s="71">
        <f>IF(AND($AB183=1,$O183="SQL"),1,0)</f>
        <v>0</v>
      </c>
      <c r="AF183" s="71">
        <f>IF(AND($AB183=1,OR($P183="Open",$P183="Won",$P183="Lost")),1,0)</f>
        <v>0</v>
      </c>
      <c r="AG183" s="71">
        <f>IF(AND($AB183=1,OR($M183="Converted",$P183="Won")),1,0)</f>
        <v>0</v>
      </c>
      <c r="AH183" s="71">
        <f>IF($AB183=0,0,IF(AND(OR(fClient="All",$B183=fClient),OR(fCampaign="All",$C183=fCampaign),OR(fTeam="All",$L183=fTeam),OR(fChannel="All",$F183=fChannel),OR(fMonth="All",$AA183=fMonth)),1,0))</f>
        <v>0</v>
      </c>
      <c r="AI183" s="71">
        <f>IF($AB183=0,0,IF(AND(OR(fClient="All",$B183=fClient),OR(fCampaign="All",$C183=fCampaign),OR(fTeam="All",$L183=fTeam),OR(fChannel="All",$F183=fChannel)),1,0))</f>
        <v>0</v>
      </c>
    </row>
    <row r="184">
      <c r="A184" s="63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3" t="n"/>
      <c r="R184" s="63" t="n"/>
      <c r="S184" s="63" t="n"/>
      <c r="T184" s="65" t="n"/>
      <c r="U184" s="65" t="n"/>
      <c r="V184" s="63" t="n"/>
      <c r="W184" s="65" t="n"/>
      <c r="X184" s="69" t="str">
        <f>IF(AND(ISNUMBER($Q184),ISNUMBER($R184)),$R184-$Q184,"")</f>
        <v/>
      </c>
      <c r="Y184" s="71" t="str">
        <f>IF($AB184=1,IF(AND(ISNUMBER($V184),$M184&lt;&gt;"Converted",$M184&lt;&gt;"Rejected"),IF($V184&lt;=ReportDate,"DUE",""),""),"")</f>
        <v/>
      </c>
      <c r="Z184" s="75" t="str">
        <f>IF(ISNUMBER($Q184),$Q184,IF(ISNUMBER($A184),$A184,""))</f>
        <v/>
      </c>
      <c r="AA184" s="71" t="str">
        <f>IF(ISNUMBER($Z184),YEAR($Z184)&amp;"-"&amp;TEXT(MONTH($Z184),"00"),"")</f>
        <v/>
      </c>
      <c r="AB184" s="71">
        <f>IF($H184&lt;&gt;"",1,0)</f>
        <v>0</v>
      </c>
      <c r="AC184" s="71">
        <f>IF(AND($AB184=1,$G184="Yes"),1,0)</f>
        <v>0</v>
      </c>
      <c r="AD184" s="71">
        <f>IF(AND($AB184=1,$N184="MQL"),1,0)</f>
        <v>0</v>
      </c>
      <c r="AE184" s="71">
        <f>IF(AND($AB184=1,$O184="SQL"),1,0)</f>
        <v>0</v>
      </c>
      <c r="AF184" s="71">
        <f>IF(AND($AB184=1,OR($P184="Open",$P184="Won",$P184="Lost")),1,0)</f>
        <v>0</v>
      </c>
      <c r="AG184" s="71">
        <f>IF(AND($AB184=1,OR($M184="Converted",$P184="Won")),1,0)</f>
        <v>0</v>
      </c>
      <c r="AH184" s="71">
        <f>IF($AB184=0,0,IF(AND(OR(fClient="All",$B184=fClient),OR(fCampaign="All",$C184=fCampaign),OR(fTeam="All",$L184=fTeam),OR(fChannel="All",$F184=fChannel),OR(fMonth="All",$AA184=fMonth)),1,0))</f>
        <v>0</v>
      </c>
      <c r="AI184" s="71">
        <f>IF($AB184=0,0,IF(AND(OR(fClient="All",$B184=fClient),OR(fCampaign="All",$C184=fCampaign),OR(fTeam="All",$L184=fTeam),OR(fChannel="All",$F184=fChannel)),1,0))</f>
        <v>0</v>
      </c>
    </row>
    <row r="185">
      <c r="A185" s="63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3" t="n"/>
      <c r="R185" s="63" t="n"/>
      <c r="S185" s="63" t="n"/>
      <c r="T185" s="65" t="n"/>
      <c r="U185" s="65" t="n"/>
      <c r="V185" s="63" t="n"/>
      <c r="W185" s="65" t="n"/>
      <c r="X185" s="69" t="str">
        <f>IF(AND(ISNUMBER($Q185),ISNUMBER($R185)),$R185-$Q185,"")</f>
        <v/>
      </c>
      <c r="Y185" s="71" t="str">
        <f>IF($AB185=1,IF(AND(ISNUMBER($V185),$M185&lt;&gt;"Converted",$M185&lt;&gt;"Rejected"),IF($V185&lt;=ReportDate,"DUE",""),""),"")</f>
        <v/>
      </c>
      <c r="Z185" s="75" t="str">
        <f>IF(ISNUMBER($Q185),$Q185,IF(ISNUMBER($A185),$A185,""))</f>
        <v/>
      </c>
      <c r="AA185" s="71" t="str">
        <f>IF(ISNUMBER($Z185),YEAR($Z185)&amp;"-"&amp;TEXT(MONTH($Z185),"00"),"")</f>
        <v/>
      </c>
      <c r="AB185" s="71">
        <f>IF($H185&lt;&gt;"",1,0)</f>
        <v>0</v>
      </c>
      <c r="AC185" s="71">
        <f>IF(AND($AB185=1,$G185="Yes"),1,0)</f>
        <v>0</v>
      </c>
      <c r="AD185" s="71">
        <f>IF(AND($AB185=1,$N185="MQL"),1,0)</f>
        <v>0</v>
      </c>
      <c r="AE185" s="71">
        <f>IF(AND($AB185=1,$O185="SQL"),1,0)</f>
        <v>0</v>
      </c>
      <c r="AF185" s="71">
        <f>IF(AND($AB185=1,OR($P185="Open",$P185="Won",$P185="Lost")),1,0)</f>
        <v>0</v>
      </c>
      <c r="AG185" s="71">
        <f>IF(AND($AB185=1,OR($M185="Converted",$P185="Won")),1,0)</f>
        <v>0</v>
      </c>
      <c r="AH185" s="71">
        <f>IF($AB185=0,0,IF(AND(OR(fClient="All",$B185=fClient),OR(fCampaign="All",$C185=fCampaign),OR(fTeam="All",$L185=fTeam),OR(fChannel="All",$F185=fChannel),OR(fMonth="All",$AA185=fMonth)),1,0))</f>
        <v>0</v>
      </c>
      <c r="AI185" s="71">
        <f>IF($AB185=0,0,IF(AND(OR(fClient="All",$B185=fClient),OR(fCampaign="All",$C185=fCampaign),OR(fTeam="All",$L185=fTeam),OR(fChannel="All",$F185=fChannel)),1,0))</f>
        <v>0</v>
      </c>
    </row>
    <row r="186">
      <c r="A186" s="63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3" t="n"/>
      <c r="R186" s="63" t="n"/>
      <c r="S186" s="63" t="n"/>
      <c r="T186" s="65" t="n"/>
      <c r="U186" s="65" t="n"/>
      <c r="V186" s="63" t="n"/>
      <c r="W186" s="65" t="n"/>
      <c r="X186" s="69" t="str">
        <f>IF(AND(ISNUMBER($Q186),ISNUMBER($R186)),$R186-$Q186,"")</f>
        <v/>
      </c>
      <c r="Y186" s="71" t="str">
        <f>IF($AB186=1,IF(AND(ISNUMBER($V186),$M186&lt;&gt;"Converted",$M186&lt;&gt;"Rejected"),IF($V186&lt;=ReportDate,"DUE",""),""),"")</f>
        <v/>
      </c>
      <c r="Z186" s="75" t="str">
        <f>IF(ISNUMBER($Q186),$Q186,IF(ISNUMBER($A186),$A186,""))</f>
        <v/>
      </c>
      <c r="AA186" s="71" t="str">
        <f>IF(ISNUMBER($Z186),YEAR($Z186)&amp;"-"&amp;TEXT(MONTH($Z186),"00"),"")</f>
        <v/>
      </c>
      <c r="AB186" s="71">
        <f>IF($H186&lt;&gt;"",1,0)</f>
        <v>0</v>
      </c>
      <c r="AC186" s="71">
        <f>IF(AND($AB186=1,$G186="Yes"),1,0)</f>
        <v>0</v>
      </c>
      <c r="AD186" s="71">
        <f>IF(AND($AB186=1,$N186="MQL"),1,0)</f>
        <v>0</v>
      </c>
      <c r="AE186" s="71">
        <f>IF(AND($AB186=1,$O186="SQL"),1,0)</f>
        <v>0</v>
      </c>
      <c r="AF186" s="71">
        <f>IF(AND($AB186=1,OR($P186="Open",$P186="Won",$P186="Lost")),1,0)</f>
        <v>0</v>
      </c>
      <c r="AG186" s="71">
        <f>IF(AND($AB186=1,OR($M186="Converted",$P186="Won")),1,0)</f>
        <v>0</v>
      </c>
      <c r="AH186" s="71">
        <f>IF($AB186=0,0,IF(AND(OR(fClient="All",$B186=fClient),OR(fCampaign="All",$C186=fCampaign),OR(fTeam="All",$L186=fTeam),OR(fChannel="All",$F186=fChannel),OR(fMonth="All",$AA186=fMonth)),1,0))</f>
        <v>0</v>
      </c>
      <c r="AI186" s="71">
        <f>IF($AB186=0,0,IF(AND(OR(fClient="All",$B186=fClient),OR(fCampaign="All",$C186=fCampaign),OR(fTeam="All",$L186=fTeam),OR(fChannel="All",$F186=fChannel)),1,0))</f>
        <v>0</v>
      </c>
    </row>
    <row r="187">
      <c r="A187" s="63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3" t="n"/>
      <c r="R187" s="63" t="n"/>
      <c r="S187" s="63" t="n"/>
      <c r="T187" s="65" t="n"/>
      <c r="U187" s="65" t="n"/>
      <c r="V187" s="63" t="n"/>
      <c r="W187" s="65" t="n"/>
      <c r="X187" s="69" t="str">
        <f>IF(AND(ISNUMBER($Q187),ISNUMBER($R187)),$R187-$Q187,"")</f>
        <v/>
      </c>
      <c r="Y187" s="71" t="str">
        <f>IF($AB187=1,IF(AND(ISNUMBER($V187),$M187&lt;&gt;"Converted",$M187&lt;&gt;"Rejected"),IF($V187&lt;=ReportDate,"DUE",""),""),"")</f>
        <v/>
      </c>
      <c r="Z187" s="75" t="str">
        <f>IF(ISNUMBER($Q187),$Q187,IF(ISNUMBER($A187),$A187,""))</f>
        <v/>
      </c>
      <c r="AA187" s="71" t="str">
        <f>IF(ISNUMBER($Z187),YEAR($Z187)&amp;"-"&amp;TEXT(MONTH($Z187),"00"),"")</f>
        <v/>
      </c>
      <c r="AB187" s="71">
        <f>IF($H187&lt;&gt;"",1,0)</f>
        <v>0</v>
      </c>
      <c r="AC187" s="71">
        <f>IF(AND($AB187=1,$G187="Yes"),1,0)</f>
        <v>0</v>
      </c>
      <c r="AD187" s="71">
        <f>IF(AND($AB187=1,$N187="MQL"),1,0)</f>
        <v>0</v>
      </c>
      <c r="AE187" s="71">
        <f>IF(AND($AB187=1,$O187="SQL"),1,0)</f>
        <v>0</v>
      </c>
      <c r="AF187" s="71">
        <f>IF(AND($AB187=1,OR($P187="Open",$P187="Won",$P187="Lost")),1,0)</f>
        <v>0</v>
      </c>
      <c r="AG187" s="71">
        <f>IF(AND($AB187=1,OR($M187="Converted",$P187="Won")),1,0)</f>
        <v>0</v>
      </c>
      <c r="AH187" s="71">
        <f>IF($AB187=0,0,IF(AND(OR(fClient="All",$B187=fClient),OR(fCampaign="All",$C187=fCampaign),OR(fTeam="All",$L187=fTeam),OR(fChannel="All",$F187=fChannel),OR(fMonth="All",$AA187=fMonth)),1,0))</f>
        <v>0</v>
      </c>
      <c r="AI187" s="71">
        <f>IF($AB187=0,0,IF(AND(OR(fClient="All",$B187=fClient),OR(fCampaign="All",$C187=fCampaign),OR(fTeam="All",$L187=fTeam),OR(fChannel="All",$F187=fChannel)),1,0))</f>
        <v>0</v>
      </c>
    </row>
    <row r="188">
      <c r="A188" s="63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3" t="n"/>
      <c r="R188" s="63" t="n"/>
      <c r="S188" s="63" t="n"/>
      <c r="T188" s="65" t="n"/>
      <c r="U188" s="65" t="n"/>
      <c r="V188" s="63" t="n"/>
      <c r="W188" s="65" t="n"/>
      <c r="X188" s="69" t="str">
        <f>IF(AND(ISNUMBER($Q188),ISNUMBER($R188)),$R188-$Q188,"")</f>
        <v/>
      </c>
      <c r="Y188" s="71" t="str">
        <f>IF($AB188=1,IF(AND(ISNUMBER($V188),$M188&lt;&gt;"Converted",$M188&lt;&gt;"Rejected"),IF($V188&lt;=ReportDate,"DUE",""),""),"")</f>
        <v/>
      </c>
      <c r="Z188" s="75" t="str">
        <f>IF(ISNUMBER($Q188),$Q188,IF(ISNUMBER($A188),$A188,""))</f>
        <v/>
      </c>
      <c r="AA188" s="71" t="str">
        <f>IF(ISNUMBER($Z188),YEAR($Z188)&amp;"-"&amp;TEXT(MONTH($Z188),"00"),"")</f>
        <v/>
      </c>
      <c r="AB188" s="71">
        <f>IF($H188&lt;&gt;"",1,0)</f>
        <v>0</v>
      </c>
      <c r="AC188" s="71">
        <f>IF(AND($AB188=1,$G188="Yes"),1,0)</f>
        <v>0</v>
      </c>
      <c r="AD188" s="71">
        <f>IF(AND($AB188=1,$N188="MQL"),1,0)</f>
        <v>0</v>
      </c>
      <c r="AE188" s="71">
        <f>IF(AND($AB188=1,$O188="SQL"),1,0)</f>
        <v>0</v>
      </c>
      <c r="AF188" s="71">
        <f>IF(AND($AB188=1,OR($P188="Open",$P188="Won",$P188="Lost")),1,0)</f>
        <v>0</v>
      </c>
      <c r="AG188" s="71">
        <f>IF(AND($AB188=1,OR($M188="Converted",$P188="Won")),1,0)</f>
        <v>0</v>
      </c>
      <c r="AH188" s="71">
        <f>IF($AB188=0,0,IF(AND(OR(fClient="All",$B188=fClient),OR(fCampaign="All",$C188=fCampaign),OR(fTeam="All",$L188=fTeam),OR(fChannel="All",$F188=fChannel),OR(fMonth="All",$AA188=fMonth)),1,0))</f>
        <v>0</v>
      </c>
      <c r="AI188" s="71">
        <f>IF($AB188=0,0,IF(AND(OR(fClient="All",$B188=fClient),OR(fCampaign="All",$C188=fCampaign),OR(fTeam="All",$L188=fTeam),OR(fChannel="All",$F188=fChannel)),1,0))</f>
        <v>0</v>
      </c>
    </row>
    <row r="189">
      <c r="A189" s="63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3" t="n"/>
      <c r="R189" s="63" t="n"/>
      <c r="S189" s="63" t="n"/>
      <c r="T189" s="65" t="n"/>
      <c r="U189" s="65" t="n"/>
      <c r="V189" s="63" t="n"/>
      <c r="W189" s="65" t="n"/>
      <c r="X189" s="69" t="str">
        <f>IF(AND(ISNUMBER($Q189),ISNUMBER($R189)),$R189-$Q189,"")</f>
        <v/>
      </c>
      <c r="Y189" s="71" t="str">
        <f>IF($AB189=1,IF(AND(ISNUMBER($V189),$M189&lt;&gt;"Converted",$M189&lt;&gt;"Rejected"),IF($V189&lt;=ReportDate,"DUE",""),""),"")</f>
        <v/>
      </c>
      <c r="Z189" s="75" t="str">
        <f>IF(ISNUMBER($Q189),$Q189,IF(ISNUMBER($A189),$A189,""))</f>
        <v/>
      </c>
      <c r="AA189" s="71" t="str">
        <f>IF(ISNUMBER($Z189),YEAR($Z189)&amp;"-"&amp;TEXT(MONTH($Z189),"00"),"")</f>
        <v/>
      </c>
      <c r="AB189" s="71">
        <f>IF($H189&lt;&gt;"",1,0)</f>
        <v>0</v>
      </c>
      <c r="AC189" s="71">
        <f>IF(AND($AB189=1,$G189="Yes"),1,0)</f>
        <v>0</v>
      </c>
      <c r="AD189" s="71">
        <f>IF(AND($AB189=1,$N189="MQL"),1,0)</f>
        <v>0</v>
      </c>
      <c r="AE189" s="71">
        <f>IF(AND($AB189=1,$O189="SQL"),1,0)</f>
        <v>0</v>
      </c>
      <c r="AF189" s="71">
        <f>IF(AND($AB189=1,OR($P189="Open",$P189="Won",$P189="Lost")),1,0)</f>
        <v>0</v>
      </c>
      <c r="AG189" s="71">
        <f>IF(AND($AB189=1,OR($M189="Converted",$P189="Won")),1,0)</f>
        <v>0</v>
      </c>
      <c r="AH189" s="71">
        <f>IF($AB189=0,0,IF(AND(OR(fClient="All",$B189=fClient),OR(fCampaign="All",$C189=fCampaign),OR(fTeam="All",$L189=fTeam),OR(fChannel="All",$F189=fChannel),OR(fMonth="All",$AA189=fMonth)),1,0))</f>
        <v>0</v>
      </c>
      <c r="AI189" s="71">
        <f>IF($AB189=0,0,IF(AND(OR(fClient="All",$B189=fClient),OR(fCampaign="All",$C189=fCampaign),OR(fTeam="All",$L189=fTeam),OR(fChannel="All",$F189=fChannel)),1,0))</f>
        <v>0</v>
      </c>
    </row>
    <row r="190">
      <c r="A190" s="63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3" t="n"/>
      <c r="R190" s="63" t="n"/>
      <c r="S190" s="63" t="n"/>
      <c r="T190" s="65" t="n"/>
      <c r="U190" s="65" t="n"/>
      <c r="V190" s="63" t="n"/>
      <c r="W190" s="65" t="n"/>
      <c r="X190" s="69" t="str">
        <f>IF(AND(ISNUMBER($Q190),ISNUMBER($R190)),$R190-$Q190,"")</f>
        <v/>
      </c>
      <c r="Y190" s="71" t="str">
        <f>IF($AB190=1,IF(AND(ISNUMBER($V190),$M190&lt;&gt;"Converted",$M190&lt;&gt;"Rejected"),IF($V190&lt;=ReportDate,"DUE",""),""),"")</f>
        <v/>
      </c>
      <c r="Z190" s="75" t="str">
        <f>IF(ISNUMBER($Q190),$Q190,IF(ISNUMBER($A190),$A190,""))</f>
        <v/>
      </c>
      <c r="AA190" s="71" t="str">
        <f>IF(ISNUMBER($Z190),YEAR($Z190)&amp;"-"&amp;TEXT(MONTH($Z190),"00"),"")</f>
        <v/>
      </c>
      <c r="AB190" s="71">
        <f>IF($H190&lt;&gt;"",1,0)</f>
        <v>0</v>
      </c>
      <c r="AC190" s="71">
        <f>IF(AND($AB190=1,$G190="Yes"),1,0)</f>
        <v>0</v>
      </c>
      <c r="AD190" s="71">
        <f>IF(AND($AB190=1,$N190="MQL"),1,0)</f>
        <v>0</v>
      </c>
      <c r="AE190" s="71">
        <f>IF(AND($AB190=1,$O190="SQL"),1,0)</f>
        <v>0</v>
      </c>
      <c r="AF190" s="71">
        <f>IF(AND($AB190=1,OR($P190="Open",$P190="Won",$P190="Lost")),1,0)</f>
        <v>0</v>
      </c>
      <c r="AG190" s="71">
        <f>IF(AND($AB190=1,OR($M190="Converted",$P190="Won")),1,0)</f>
        <v>0</v>
      </c>
      <c r="AH190" s="71">
        <f>IF($AB190=0,0,IF(AND(OR(fClient="All",$B190=fClient),OR(fCampaign="All",$C190=fCampaign),OR(fTeam="All",$L190=fTeam),OR(fChannel="All",$F190=fChannel),OR(fMonth="All",$AA190=fMonth)),1,0))</f>
        <v>0</v>
      </c>
      <c r="AI190" s="71">
        <f>IF($AB190=0,0,IF(AND(OR(fClient="All",$B190=fClient),OR(fCampaign="All",$C190=fCampaign),OR(fTeam="All",$L190=fTeam),OR(fChannel="All",$F190=fChannel)),1,0))</f>
        <v>0</v>
      </c>
    </row>
    <row r="191">
      <c r="A191" s="63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3" t="n"/>
      <c r="R191" s="63" t="n"/>
      <c r="S191" s="63" t="n"/>
      <c r="T191" s="65" t="n"/>
      <c r="U191" s="65" t="n"/>
      <c r="V191" s="63" t="n"/>
      <c r="W191" s="65" t="n"/>
      <c r="X191" s="69" t="str">
        <f>IF(AND(ISNUMBER($Q191),ISNUMBER($R191)),$R191-$Q191,"")</f>
        <v/>
      </c>
      <c r="Y191" s="71" t="str">
        <f>IF($AB191=1,IF(AND(ISNUMBER($V191),$M191&lt;&gt;"Converted",$M191&lt;&gt;"Rejected"),IF($V191&lt;=ReportDate,"DUE",""),""),"")</f>
        <v/>
      </c>
      <c r="Z191" s="75" t="str">
        <f>IF(ISNUMBER($Q191),$Q191,IF(ISNUMBER($A191),$A191,""))</f>
        <v/>
      </c>
      <c r="AA191" s="71" t="str">
        <f>IF(ISNUMBER($Z191),YEAR($Z191)&amp;"-"&amp;TEXT(MONTH($Z191),"00"),"")</f>
        <v/>
      </c>
      <c r="AB191" s="71">
        <f>IF($H191&lt;&gt;"",1,0)</f>
        <v>0</v>
      </c>
      <c r="AC191" s="71">
        <f>IF(AND($AB191=1,$G191="Yes"),1,0)</f>
        <v>0</v>
      </c>
      <c r="AD191" s="71">
        <f>IF(AND($AB191=1,$N191="MQL"),1,0)</f>
        <v>0</v>
      </c>
      <c r="AE191" s="71">
        <f>IF(AND($AB191=1,$O191="SQL"),1,0)</f>
        <v>0</v>
      </c>
      <c r="AF191" s="71">
        <f>IF(AND($AB191=1,OR($P191="Open",$P191="Won",$P191="Lost")),1,0)</f>
        <v>0</v>
      </c>
      <c r="AG191" s="71">
        <f>IF(AND($AB191=1,OR($M191="Converted",$P191="Won")),1,0)</f>
        <v>0</v>
      </c>
      <c r="AH191" s="71">
        <f>IF($AB191=0,0,IF(AND(OR(fClient="All",$B191=fClient),OR(fCampaign="All",$C191=fCampaign),OR(fTeam="All",$L191=fTeam),OR(fChannel="All",$F191=fChannel),OR(fMonth="All",$AA191=fMonth)),1,0))</f>
        <v>0</v>
      </c>
      <c r="AI191" s="71">
        <f>IF($AB191=0,0,IF(AND(OR(fClient="All",$B191=fClient),OR(fCampaign="All",$C191=fCampaign),OR(fTeam="All",$L191=fTeam),OR(fChannel="All",$F191=fChannel)),1,0))</f>
        <v>0</v>
      </c>
    </row>
    <row r="192">
      <c r="A192" s="63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3" t="n"/>
      <c r="R192" s="63" t="n"/>
      <c r="S192" s="63" t="n"/>
      <c r="T192" s="65" t="n"/>
      <c r="U192" s="65" t="n"/>
      <c r="V192" s="63" t="n"/>
      <c r="W192" s="65" t="n"/>
      <c r="X192" s="69" t="str">
        <f>IF(AND(ISNUMBER($Q192),ISNUMBER($R192)),$R192-$Q192,"")</f>
        <v/>
      </c>
      <c r="Y192" s="71" t="str">
        <f>IF($AB192=1,IF(AND(ISNUMBER($V192),$M192&lt;&gt;"Converted",$M192&lt;&gt;"Rejected"),IF($V192&lt;=ReportDate,"DUE",""),""),"")</f>
        <v/>
      </c>
      <c r="Z192" s="75" t="str">
        <f>IF(ISNUMBER($Q192),$Q192,IF(ISNUMBER($A192),$A192,""))</f>
        <v/>
      </c>
      <c r="AA192" s="71" t="str">
        <f>IF(ISNUMBER($Z192),YEAR($Z192)&amp;"-"&amp;TEXT(MONTH($Z192),"00"),"")</f>
        <v/>
      </c>
      <c r="AB192" s="71">
        <f>IF($H192&lt;&gt;"",1,0)</f>
        <v>0</v>
      </c>
      <c r="AC192" s="71">
        <f>IF(AND($AB192=1,$G192="Yes"),1,0)</f>
        <v>0</v>
      </c>
      <c r="AD192" s="71">
        <f>IF(AND($AB192=1,$N192="MQL"),1,0)</f>
        <v>0</v>
      </c>
      <c r="AE192" s="71">
        <f>IF(AND($AB192=1,$O192="SQL"),1,0)</f>
        <v>0</v>
      </c>
      <c r="AF192" s="71">
        <f>IF(AND($AB192=1,OR($P192="Open",$P192="Won",$P192="Lost")),1,0)</f>
        <v>0</v>
      </c>
      <c r="AG192" s="71">
        <f>IF(AND($AB192=1,OR($M192="Converted",$P192="Won")),1,0)</f>
        <v>0</v>
      </c>
      <c r="AH192" s="71">
        <f>IF($AB192=0,0,IF(AND(OR(fClient="All",$B192=fClient),OR(fCampaign="All",$C192=fCampaign),OR(fTeam="All",$L192=fTeam),OR(fChannel="All",$F192=fChannel),OR(fMonth="All",$AA192=fMonth)),1,0))</f>
        <v>0</v>
      </c>
      <c r="AI192" s="71">
        <f>IF($AB192=0,0,IF(AND(OR(fClient="All",$B192=fClient),OR(fCampaign="All",$C192=fCampaign),OR(fTeam="All",$L192=fTeam),OR(fChannel="All",$F192=fChannel)),1,0))</f>
        <v>0</v>
      </c>
    </row>
    <row r="193">
      <c r="A193" s="63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3" t="n"/>
      <c r="R193" s="63" t="n"/>
      <c r="S193" s="63" t="n"/>
      <c r="T193" s="65" t="n"/>
      <c r="U193" s="65" t="n"/>
      <c r="V193" s="63" t="n"/>
      <c r="W193" s="65" t="n"/>
      <c r="X193" s="69" t="str">
        <f>IF(AND(ISNUMBER($Q193),ISNUMBER($R193)),$R193-$Q193,"")</f>
        <v/>
      </c>
      <c r="Y193" s="71" t="str">
        <f>IF($AB193=1,IF(AND(ISNUMBER($V193),$M193&lt;&gt;"Converted",$M193&lt;&gt;"Rejected"),IF($V193&lt;=ReportDate,"DUE",""),""),"")</f>
        <v/>
      </c>
      <c r="Z193" s="75" t="str">
        <f>IF(ISNUMBER($Q193),$Q193,IF(ISNUMBER($A193),$A193,""))</f>
        <v/>
      </c>
      <c r="AA193" s="71" t="str">
        <f>IF(ISNUMBER($Z193),YEAR($Z193)&amp;"-"&amp;TEXT(MONTH($Z193),"00"),"")</f>
        <v/>
      </c>
      <c r="AB193" s="71">
        <f>IF($H193&lt;&gt;"",1,0)</f>
        <v>0</v>
      </c>
      <c r="AC193" s="71">
        <f>IF(AND($AB193=1,$G193="Yes"),1,0)</f>
        <v>0</v>
      </c>
      <c r="AD193" s="71">
        <f>IF(AND($AB193=1,$N193="MQL"),1,0)</f>
        <v>0</v>
      </c>
      <c r="AE193" s="71">
        <f>IF(AND($AB193=1,$O193="SQL"),1,0)</f>
        <v>0</v>
      </c>
      <c r="AF193" s="71">
        <f>IF(AND($AB193=1,OR($P193="Open",$P193="Won",$P193="Lost")),1,0)</f>
        <v>0</v>
      </c>
      <c r="AG193" s="71">
        <f>IF(AND($AB193=1,OR($M193="Converted",$P193="Won")),1,0)</f>
        <v>0</v>
      </c>
      <c r="AH193" s="71">
        <f>IF($AB193=0,0,IF(AND(OR(fClient="All",$B193=fClient),OR(fCampaign="All",$C193=fCampaign),OR(fTeam="All",$L193=fTeam),OR(fChannel="All",$F193=fChannel),OR(fMonth="All",$AA193=fMonth)),1,0))</f>
        <v>0</v>
      </c>
      <c r="AI193" s="71">
        <f>IF($AB193=0,0,IF(AND(OR(fClient="All",$B193=fClient),OR(fCampaign="All",$C193=fCampaign),OR(fTeam="All",$L193=fTeam),OR(fChannel="All",$F193=fChannel)),1,0))</f>
        <v>0</v>
      </c>
    </row>
    <row r="194">
      <c r="A194" s="63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3" t="n"/>
      <c r="R194" s="63" t="n"/>
      <c r="S194" s="63" t="n"/>
      <c r="T194" s="65" t="n"/>
      <c r="U194" s="65" t="n"/>
      <c r="V194" s="63" t="n"/>
      <c r="W194" s="65" t="n"/>
      <c r="X194" s="69" t="str">
        <f>IF(AND(ISNUMBER($Q194),ISNUMBER($R194)),$R194-$Q194,"")</f>
        <v/>
      </c>
      <c r="Y194" s="71" t="str">
        <f>IF($AB194=1,IF(AND(ISNUMBER($V194),$M194&lt;&gt;"Converted",$M194&lt;&gt;"Rejected"),IF($V194&lt;=ReportDate,"DUE",""),""),"")</f>
        <v/>
      </c>
      <c r="Z194" s="75" t="str">
        <f>IF(ISNUMBER($Q194),$Q194,IF(ISNUMBER($A194),$A194,""))</f>
        <v/>
      </c>
      <c r="AA194" s="71" t="str">
        <f>IF(ISNUMBER($Z194),YEAR($Z194)&amp;"-"&amp;TEXT(MONTH($Z194),"00"),"")</f>
        <v/>
      </c>
      <c r="AB194" s="71">
        <f>IF($H194&lt;&gt;"",1,0)</f>
        <v>0</v>
      </c>
      <c r="AC194" s="71">
        <f>IF(AND($AB194=1,$G194="Yes"),1,0)</f>
        <v>0</v>
      </c>
      <c r="AD194" s="71">
        <f>IF(AND($AB194=1,$N194="MQL"),1,0)</f>
        <v>0</v>
      </c>
      <c r="AE194" s="71">
        <f>IF(AND($AB194=1,$O194="SQL"),1,0)</f>
        <v>0</v>
      </c>
      <c r="AF194" s="71">
        <f>IF(AND($AB194=1,OR($P194="Open",$P194="Won",$P194="Lost")),1,0)</f>
        <v>0</v>
      </c>
      <c r="AG194" s="71">
        <f>IF(AND($AB194=1,OR($M194="Converted",$P194="Won")),1,0)</f>
        <v>0</v>
      </c>
      <c r="AH194" s="71">
        <f>IF($AB194=0,0,IF(AND(OR(fClient="All",$B194=fClient),OR(fCampaign="All",$C194=fCampaign),OR(fTeam="All",$L194=fTeam),OR(fChannel="All",$F194=fChannel),OR(fMonth="All",$AA194=fMonth)),1,0))</f>
        <v>0</v>
      </c>
      <c r="AI194" s="71">
        <f>IF($AB194=0,0,IF(AND(OR(fClient="All",$B194=fClient),OR(fCampaign="All",$C194=fCampaign),OR(fTeam="All",$L194=fTeam),OR(fChannel="All",$F194=fChannel)),1,0))</f>
        <v>0</v>
      </c>
    </row>
    <row r="195">
      <c r="A195" s="63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3" t="n"/>
      <c r="R195" s="63" t="n"/>
      <c r="S195" s="63" t="n"/>
      <c r="T195" s="65" t="n"/>
      <c r="U195" s="65" t="n"/>
      <c r="V195" s="63" t="n"/>
      <c r="W195" s="65" t="n"/>
      <c r="X195" s="69" t="str">
        <f>IF(AND(ISNUMBER($Q195),ISNUMBER($R195)),$R195-$Q195,"")</f>
        <v/>
      </c>
      <c r="Y195" s="71" t="str">
        <f>IF($AB195=1,IF(AND(ISNUMBER($V195),$M195&lt;&gt;"Converted",$M195&lt;&gt;"Rejected"),IF($V195&lt;=ReportDate,"DUE",""),""),"")</f>
        <v/>
      </c>
      <c r="Z195" s="75" t="str">
        <f>IF(ISNUMBER($Q195),$Q195,IF(ISNUMBER($A195),$A195,""))</f>
        <v/>
      </c>
      <c r="AA195" s="71" t="str">
        <f>IF(ISNUMBER($Z195),YEAR($Z195)&amp;"-"&amp;TEXT(MONTH($Z195),"00"),"")</f>
        <v/>
      </c>
      <c r="AB195" s="71">
        <f>IF($H195&lt;&gt;"",1,0)</f>
        <v>0</v>
      </c>
      <c r="AC195" s="71">
        <f>IF(AND($AB195=1,$G195="Yes"),1,0)</f>
        <v>0</v>
      </c>
      <c r="AD195" s="71">
        <f>IF(AND($AB195=1,$N195="MQL"),1,0)</f>
        <v>0</v>
      </c>
      <c r="AE195" s="71">
        <f>IF(AND($AB195=1,$O195="SQL"),1,0)</f>
        <v>0</v>
      </c>
      <c r="AF195" s="71">
        <f>IF(AND($AB195=1,OR($P195="Open",$P195="Won",$P195="Lost")),1,0)</f>
        <v>0</v>
      </c>
      <c r="AG195" s="71">
        <f>IF(AND($AB195=1,OR($M195="Converted",$P195="Won")),1,0)</f>
        <v>0</v>
      </c>
      <c r="AH195" s="71">
        <f>IF($AB195=0,0,IF(AND(OR(fClient="All",$B195=fClient),OR(fCampaign="All",$C195=fCampaign),OR(fTeam="All",$L195=fTeam),OR(fChannel="All",$F195=fChannel),OR(fMonth="All",$AA195=fMonth)),1,0))</f>
        <v>0</v>
      </c>
      <c r="AI195" s="71">
        <f>IF($AB195=0,0,IF(AND(OR(fClient="All",$B195=fClient),OR(fCampaign="All",$C195=fCampaign),OR(fTeam="All",$L195=fTeam),OR(fChannel="All",$F195=fChannel)),1,0))</f>
        <v>0</v>
      </c>
    </row>
    <row r="196">
      <c r="A196" s="63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3" t="n"/>
      <c r="R196" s="63" t="n"/>
      <c r="S196" s="63" t="n"/>
      <c r="T196" s="65" t="n"/>
      <c r="U196" s="65" t="n"/>
      <c r="V196" s="63" t="n"/>
      <c r="W196" s="65" t="n"/>
      <c r="X196" s="69" t="str">
        <f>IF(AND(ISNUMBER($Q196),ISNUMBER($R196)),$R196-$Q196,"")</f>
        <v/>
      </c>
      <c r="Y196" s="71" t="str">
        <f>IF($AB196=1,IF(AND(ISNUMBER($V196),$M196&lt;&gt;"Converted",$M196&lt;&gt;"Rejected"),IF($V196&lt;=ReportDate,"DUE",""),""),"")</f>
        <v/>
      </c>
      <c r="Z196" s="75" t="str">
        <f>IF(ISNUMBER($Q196),$Q196,IF(ISNUMBER($A196),$A196,""))</f>
        <v/>
      </c>
      <c r="AA196" s="71" t="str">
        <f>IF(ISNUMBER($Z196),YEAR($Z196)&amp;"-"&amp;TEXT(MONTH($Z196),"00"),"")</f>
        <v/>
      </c>
      <c r="AB196" s="71">
        <f>IF($H196&lt;&gt;"",1,0)</f>
        <v>0</v>
      </c>
      <c r="AC196" s="71">
        <f>IF(AND($AB196=1,$G196="Yes"),1,0)</f>
        <v>0</v>
      </c>
      <c r="AD196" s="71">
        <f>IF(AND($AB196=1,$N196="MQL"),1,0)</f>
        <v>0</v>
      </c>
      <c r="AE196" s="71">
        <f>IF(AND($AB196=1,$O196="SQL"),1,0)</f>
        <v>0</v>
      </c>
      <c r="AF196" s="71">
        <f>IF(AND($AB196=1,OR($P196="Open",$P196="Won",$P196="Lost")),1,0)</f>
        <v>0</v>
      </c>
      <c r="AG196" s="71">
        <f>IF(AND($AB196=1,OR($M196="Converted",$P196="Won")),1,0)</f>
        <v>0</v>
      </c>
      <c r="AH196" s="71">
        <f>IF($AB196=0,0,IF(AND(OR(fClient="All",$B196=fClient),OR(fCampaign="All",$C196=fCampaign),OR(fTeam="All",$L196=fTeam),OR(fChannel="All",$F196=fChannel),OR(fMonth="All",$AA196=fMonth)),1,0))</f>
        <v>0</v>
      </c>
      <c r="AI196" s="71">
        <f>IF($AB196=0,0,IF(AND(OR(fClient="All",$B196=fClient),OR(fCampaign="All",$C196=fCampaign),OR(fTeam="All",$L196=fTeam),OR(fChannel="All",$F196=fChannel)),1,0))</f>
        <v>0</v>
      </c>
    </row>
    <row r="197">
      <c r="A197" s="63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3" t="n"/>
      <c r="R197" s="63" t="n"/>
      <c r="S197" s="63" t="n"/>
      <c r="T197" s="65" t="n"/>
      <c r="U197" s="65" t="n"/>
      <c r="V197" s="63" t="n"/>
      <c r="W197" s="65" t="n"/>
      <c r="X197" s="69" t="str">
        <f>IF(AND(ISNUMBER($Q197),ISNUMBER($R197)),$R197-$Q197,"")</f>
        <v/>
      </c>
      <c r="Y197" s="71" t="str">
        <f>IF($AB197=1,IF(AND(ISNUMBER($V197),$M197&lt;&gt;"Converted",$M197&lt;&gt;"Rejected"),IF($V197&lt;=ReportDate,"DUE",""),""),"")</f>
        <v/>
      </c>
      <c r="Z197" s="75" t="str">
        <f>IF(ISNUMBER($Q197),$Q197,IF(ISNUMBER($A197),$A197,""))</f>
        <v/>
      </c>
      <c r="AA197" s="71" t="str">
        <f>IF(ISNUMBER($Z197),YEAR($Z197)&amp;"-"&amp;TEXT(MONTH($Z197),"00"),"")</f>
        <v/>
      </c>
      <c r="AB197" s="71">
        <f>IF($H197&lt;&gt;"",1,0)</f>
        <v>0</v>
      </c>
      <c r="AC197" s="71">
        <f>IF(AND($AB197=1,$G197="Yes"),1,0)</f>
        <v>0</v>
      </c>
      <c r="AD197" s="71">
        <f>IF(AND($AB197=1,$N197="MQL"),1,0)</f>
        <v>0</v>
      </c>
      <c r="AE197" s="71">
        <f>IF(AND($AB197=1,$O197="SQL"),1,0)</f>
        <v>0</v>
      </c>
      <c r="AF197" s="71">
        <f>IF(AND($AB197=1,OR($P197="Open",$P197="Won",$P197="Lost")),1,0)</f>
        <v>0</v>
      </c>
      <c r="AG197" s="71">
        <f>IF(AND($AB197=1,OR($M197="Converted",$P197="Won")),1,0)</f>
        <v>0</v>
      </c>
      <c r="AH197" s="71">
        <f>IF($AB197=0,0,IF(AND(OR(fClient="All",$B197=fClient),OR(fCampaign="All",$C197=fCampaign),OR(fTeam="All",$L197=fTeam),OR(fChannel="All",$F197=fChannel),OR(fMonth="All",$AA197=fMonth)),1,0))</f>
        <v>0</v>
      </c>
      <c r="AI197" s="71">
        <f>IF($AB197=0,0,IF(AND(OR(fClient="All",$B197=fClient),OR(fCampaign="All",$C197=fCampaign),OR(fTeam="All",$L197=fTeam),OR(fChannel="All",$F197=fChannel)),1,0))</f>
        <v>0</v>
      </c>
    </row>
    <row r="198">
      <c r="A198" s="63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3" t="n"/>
      <c r="R198" s="63" t="n"/>
      <c r="S198" s="63" t="n"/>
      <c r="T198" s="65" t="n"/>
      <c r="U198" s="65" t="n"/>
      <c r="V198" s="63" t="n"/>
      <c r="W198" s="65" t="n"/>
      <c r="X198" s="69" t="str">
        <f>IF(AND(ISNUMBER($Q198),ISNUMBER($R198)),$R198-$Q198,"")</f>
        <v/>
      </c>
      <c r="Y198" s="71" t="str">
        <f>IF($AB198=1,IF(AND(ISNUMBER($V198),$M198&lt;&gt;"Converted",$M198&lt;&gt;"Rejected"),IF($V198&lt;=ReportDate,"DUE",""),""),"")</f>
        <v/>
      </c>
      <c r="Z198" s="75" t="str">
        <f>IF(ISNUMBER($Q198),$Q198,IF(ISNUMBER($A198),$A198,""))</f>
        <v/>
      </c>
      <c r="AA198" s="71" t="str">
        <f>IF(ISNUMBER($Z198),YEAR($Z198)&amp;"-"&amp;TEXT(MONTH($Z198),"00"),"")</f>
        <v/>
      </c>
      <c r="AB198" s="71">
        <f>IF($H198&lt;&gt;"",1,0)</f>
        <v>0</v>
      </c>
      <c r="AC198" s="71">
        <f>IF(AND($AB198=1,$G198="Yes"),1,0)</f>
        <v>0</v>
      </c>
      <c r="AD198" s="71">
        <f>IF(AND($AB198=1,$N198="MQL"),1,0)</f>
        <v>0</v>
      </c>
      <c r="AE198" s="71">
        <f>IF(AND($AB198=1,$O198="SQL"),1,0)</f>
        <v>0</v>
      </c>
      <c r="AF198" s="71">
        <f>IF(AND($AB198=1,OR($P198="Open",$P198="Won",$P198="Lost")),1,0)</f>
        <v>0</v>
      </c>
      <c r="AG198" s="71">
        <f>IF(AND($AB198=1,OR($M198="Converted",$P198="Won")),1,0)</f>
        <v>0</v>
      </c>
      <c r="AH198" s="71">
        <f>IF($AB198=0,0,IF(AND(OR(fClient="All",$B198=fClient),OR(fCampaign="All",$C198=fCampaign),OR(fTeam="All",$L198=fTeam),OR(fChannel="All",$F198=fChannel),OR(fMonth="All",$AA198=fMonth)),1,0))</f>
        <v>0</v>
      </c>
      <c r="AI198" s="71">
        <f>IF($AB198=0,0,IF(AND(OR(fClient="All",$B198=fClient),OR(fCampaign="All",$C198=fCampaign),OR(fTeam="All",$L198=fTeam),OR(fChannel="All",$F198=fChannel)),1,0))</f>
        <v>0</v>
      </c>
    </row>
    <row r="199">
      <c r="A199" s="63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3" t="n"/>
      <c r="R199" s="63" t="n"/>
      <c r="S199" s="63" t="n"/>
      <c r="T199" s="65" t="n"/>
      <c r="U199" s="65" t="n"/>
      <c r="V199" s="63" t="n"/>
      <c r="W199" s="65" t="n"/>
      <c r="X199" s="69" t="str">
        <f>IF(AND(ISNUMBER($Q199),ISNUMBER($R199)),$R199-$Q199,"")</f>
        <v/>
      </c>
      <c r="Y199" s="71" t="str">
        <f>IF($AB199=1,IF(AND(ISNUMBER($V199),$M199&lt;&gt;"Converted",$M199&lt;&gt;"Rejected"),IF($V199&lt;=ReportDate,"DUE",""),""),"")</f>
        <v/>
      </c>
      <c r="Z199" s="75" t="str">
        <f>IF(ISNUMBER($Q199),$Q199,IF(ISNUMBER($A199),$A199,""))</f>
        <v/>
      </c>
      <c r="AA199" s="71" t="str">
        <f>IF(ISNUMBER($Z199),YEAR($Z199)&amp;"-"&amp;TEXT(MONTH($Z199),"00"),"")</f>
        <v/>
      </c>
      <c r="AB199" s="71">
        <f>IF($H199&lt;&gt;"",1,0)</f>
        <v>0</v>
      </c>
      <c r="AC199" s="71">
        <f>IF(AND($AB199=1,$G199="Yes"),1,0)</f>
        <v>0</v>
      </c>
      <c r="AD199" s="71">
        <f>IF(AND($AB199=1,$N199="MQL"),1,0)</f>
        <v>0</v>
      </c>
      <c r="AE199" s="71">
        <f>IF(AND($AB199=1,$O199="SQL"),1,0)</f>
        <v>0</v>
      </c>
      <c r="AF199" s="71">
        <f>IF(AND($AB199=1,OR($P199="Open",$P199="Won",$P199="Lost")),1,0)</f>
        <v>0</v>
      </c>
      <c r="AG199" s="71">
        <f>IF(AND($AB199=1,OR($M199="Converted",$P199="Won")),1,0)</f>
        <v>0</v>
      </c>
      <c r="AH199" s="71">
        <f>IF($AB199=0,0,IF(AND(OR(fClient="All",$B199=fClient),OR(fCampaign="All",$C199=fCampaign),OR(fTeam="All",$L199=fTeam),OR(fChannel="All",$F199=fChannel),OR(fMonth="All",$AA199=fMonth)),1,0))</f>
        <v>0</v>
      </c>
      <c r="AI199" s="71">
        <f>IF($AB199=0,0,IF(AND(OR(fClient="All",$B199=fClient),OR(fCampaign="All",$C199=fCampaign),OR(fTeam="All",$L199=fTeam),OR(fChannel="All",$F199=fChannel)),1,0))</f>
        <v>0</v>
      </c>
    </row>
    <row r="200">
      <c r="A200" s="63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3" t="n"/>
      <c r="R200" s="63" t="n"/>
      <c r="S200" s="63" t="n"/>
      <c r="T200" s="65" t="n"/>
      <c r="U200" s="65" t="n"/>
      <c r="V200" s="63" t="n"/>
      <c r="W200" s="65" t="n"/>
      <c r="X200" s="69" t="str">
        <f>IF(AND(ISNUMBER($Q200),ISNUMBER($R200)),$R200-$Q200,"")</f>
        <v/>
      </c>
      <c r="Y200" s="71" t="str">
        <f>IF($AB200=1,IF(AND(ISNUMBER($V200),$M200&lt;&gt;"Converted",$M200&lt;&gt;"Rejected"),IF($V200&lt;=ReportDate,"DUE",""),""),"")</f>
        <v/>
      </c>
      <c r="Z200" s="75" t="str">
        <f>IF(ISNUMBER($Q200),$Q200,IF(ISNUMBER($A200),$A200,""))</f>
        <v/>
      </c>
      <c r="AA200" s="71" t="str">
        <f>IF(ISNUMBER($Z200),YEAR($Z200)&amp;"-"&amp;TEXT(MONTH($Z200),"00"),"")</f>
        <v/>
      </c>
      <c r="AB200" s="71">
        <f>IF($H200&lt;&gt;"",1,0)</f>
        <v>0</v>
      </c>
      <c r="AC200" s="71">
        <f>IF(AND($AB200=1,$G200="Yes"),1,0)</f>
        <v>0</v>
      </c>
      <c r="AD200" s="71">
        <f>IF(AND($AB200=1,$N200="MQL"),1,0)</f>
        <v>0</v>
      </c>
      <c r="AE200" s="71">
        <f>IF(AND($AB200=1,$O200="SQL"),1,0)</f>
        <v>0</v>
      </c>
      <c r="AF200" s="71">
        <f>IF(AND($AB200=1,OR($P200="Open",$P200="Won",$P200="Lost")),1,0)</f>
        <v>0</v>
      </c>
      <c r="AG200" s="71">
        <f>IF(AND($AB200=1,OR($M200="Converted",$P200="Won")),1,0)</f>
        <v>0</v>
      </c>
      <c r="AH200" s="71">
        <f>IF($AB200=0,0,IF(AND(OR(fClient="All",$B200=fClient),OR(fCampaign="All",$C200=fCampaign),OR(fTeam="All",$L200=fTeam),OR(fChannel="All",$F200=fChannel),OR(fMonth="All",$AA200=fMonth)),1,0))</f>
        <v>0</v>
      </c>
      <c r="AI200" s="71">
        <f>IF($AB200=0,0,IF(AND(OR(fClient="All",$B200=fClient),OR(fCampaign="All",$C200=fCampaign),OR(fTeam="All",$L200=fTeam),OR(fChannel="All",$F200=fChannel)),1,0))</f>
        <v>0</v>
      </c>
    </row>
    <row r="201">
      <c r="A201" s="63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3" t="n"/>
      <c r="R201" s="63" t="n"/>
      <c r="S201" s="63" t="n"/>
      <c r="T201" s="65" t="n"/>
      <c r="U201" s="65" t="n"/>
      <c r="V201" s="63" t="n"/>
      <c r="W201" s="65" t="n"/>
      <c r="X201" s="69" t="str">
        <f>IF(AND(ISNUMBER($Q201),ISNUMBER($R201)),$R201-$Q201,"")</f>
        <v/>
      </c>
      <c r="Y201" s="71" t="str">
        <f>IF($AB201=1,IF(AND(ISNUMBER($V201),$M201&lt;&gt;"Converted",$M201&lt;&gt;"Rejected"),IF($V201&lt;=ReportDate,"DUE",""),""),"")</f>
        <v/>
      </c>
      <c r="Z201" s="75" t="str">
        <f>IF(ISNUMBER($Q201),$Q201,IF(ISNUMBER($A201),$A201,""))</f>
        <v/>
      </c>
      <c r="AA201" s="71" t="str">
        <f>IF(ISNUMBER($Z201),YEAR($Z201)&amp;"-"&amp;TEXT(MONTH($Z201),"00"),"")</f>
        <v/>
      </c>
      <c r="AB201" s="71">
        <f>IF($H201&lt;&gt;"",1,0)</f>
        <v>0</v>
      </c>
      <c r="AC201" s="71">
        <f>IF(AND($AB201=1,$G201="Yes"),1,0)</f>
        <v>0</v>
      </c>
      <c r="AD201" s="71">
        <f>IF(AND($AB201=1,$N201="MQL"),1,0)</f>
        <v>0</v>
      </c>
      <c r="AE201" s="71">
        <f>IF(AND($AB201=1,$O201="SQL"),1,0)</f>
        <v>0</v>
      </c>
      <c r="AF201" s="71">
        <f>IF(AND($AB201=1,OR($P201="Open",$P201="Won",$P201="Lost")),1,0)</f>
        <v>0</v>
      </c>
      <c r="AG201" s="71">
        <f>IF(AND($AB201=1,OR($M201="Converted",$P201="Won")),1,0)</f>
        <v>0</v>
      </c>
      <c r="AH201" s="71">
        <f>IF($AB201=0,0,IF(AND(OR(fClient="All",$B201=fClient),OR(fCampaign="All",$C201=fCampaign),OR(fTeam="All",$L201=fTeam),OR(fChannel="All",$F201=fChannel),OR(fMonth="All",$AA201=fMonth)),1,0))</f>
        <v>0</v>
      </c>
      <c r="AI201" s="71">
        <f>IF($AB201=0,0,IF(AND(OR(fClient="All",$B201=fClient),OR(fCampaign="All",$C201=fCampaign),OR(fTeam="All",$L201=fTeam),OR(fChannel="All",$F201=fChannel)),1,0))</f>
        <v>0</v>
      </c>
    </row>
    <row r="202">
      <c r="A202" s="63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3" t="n"/>
      <c r="R202" s="63" t="n"/>
      <c r="S202" s="63" t="n"/>
      <c r="T202" s="65" t="n"/>
      <c r="U202" s="65" t="n"/>
      <c r="V202" s="63" t="n"/>
      <c r="W202" s="65" t="n"/>
      <c r="X202" s="69" t="str">
        <f>IF(AND(ISNUMBER($Q202),ISNUMBER($R202)),$R202-$Q202,"")</f>
        <v/>
      </c>
      <c r="Y202" s="71" t="str">
        <f>IF($AB202=1,IF(AND(ISNUMBER($V202),$M202&lt;&gt;"Converted",$M202&lt;&gt;"Rejected"),IF($V202&lt;=ReportDate,"DUE",""),""),"")</f>
        <v/>
      </c>
      <c r="Z202" s="75" t="str">
        <f>IF(ISNUMBER($Q202),$Q202,IF(ISNUMBER($A202),$A202,""))</f>
        <v/>
      </c>
      <c r="AA202" s="71" t="str">
        <f>IF(ISNUMBER($Z202),YEAR($Z202)&amp;"-"&amp;TEXT(MONTH($Z202),"00"),"")</f>
        <v/>
      </c>
      <c r="AB202" s="71">
        <f>IF($H202&lt;&gt;"",1,0)</f>
        <v>0</v>
      </c>
      <c r="AC202" s="71">
        <f>IF(AND($AB202=1,$G202="Yes"),1,0)</f>
        <v>0</v>
      </c>
      <c r="AD202" s="71">
        <f>IF(AND($AB202=1,$N202="MQL"),1,0)</f>
        <v>0</v>
      </c>
      <c r="AE202" s="71">
        <f>IF(AND($AB202=1,$O202="SQL"),1,0)</f>
        <v>0</v>
      </c>
      <c r="AF202" s="71">
        <f>IF(AND($AB202=1,OR($P202="Open",$P202="Won",$P202="Lost")),1,0)</f>
        <v>0</v>
      </c>
      <c r="AG202" s="71">
        <f>IF(AND($AB202=1,OR($M202="Converted",$P202="Won")),1,0)</f>
        <v>0</v>
      </c>
      <c r="AH202" s="71">
        <f>IF($AB202=0,0,IF(AND(OR(fClient="All",$B202=fClient),OR(fCampaign="All",$C202=fCampaign),OR(fTeam="All",$L202=fTeam),OR(fChannel="All",$F202=fChannel),OR(fMonth="All",$AA202=fMonth)),1,0))</f>
        <v>0</v>
      </c>
      <c r="AI202" s="71">
        <f>IF($AB202=0,0,IF(AND(OR(fClient="All",$B202=fClient),OR(fCampaign="All",$C202=fCampaign),OR(fTeam="All",$L202=fTeam),OR(fChannel="All",$F202=fChannel)),1,0))</f>
        <v>0</v>
      </c>
    </row>
    <row r="203">
      <c r="A203" s="63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3" t="n"/>
      <c r="R203" s="63" t="n"/>
      <c r="S203" s="63" t="n"/>
      <c r="T203" s="65" t="n"/>
      <c r="U203" s="65" t="n"/>
      <c r="V203" s="63" t="n"/>
      <c r="W203" s="65" t="n"/>
      <c r="X203" s="69" t="str">
        <f>IF(AND(ISNUMBER($Q203),ISNUMBER($R203)),$R203-$Q203,"")</f>
        <v/>
      </c>
      <c r="Y203" s="71" t="str">
        <f>IF($AB203=1,IF(AND(ISNUMBER($V203),$M203&lt;&gt;"Converted",$M203&lt;&gt;"Rejected"),IF($V203&lt;=ReportDate,"DUE",""),""),"")</f>
        <v/>
      </c>
      <c r="Z203" s="75" t="str">
        <f>IF(ISNUMBER($Q203),$Q203,IF(ISNUMBER($A203),$A203,""))</f>
        <v/>
      </c>
      <c r="AA203" s="71" t="str">
        <f>IF(ISNUMBER($Z203),YEAR($Z203)&amp;"-"&amp;TEXT(MONTH($Z203),"00"),"")</f>
        <v/>
      </c>
      <c r="AB203" s="71">
        <f>IF($H203&lt;&gt;"",1,0)</f>
        <v>0</v>
      </c>
      <c r="AC203" s="71">
        <f>IF(AND($AB203=1,$G203="Yes"),1,0)</f>
        <v>0</v>
      </c>
      <c r="AD203" s="71">
        <f>IF(AND($AB203=1,$N203="MQL"),1,0)</f>
        <v>0</v>
      </c>
      <c r="AE203" s="71">
        <f>IF(AND($AB203=1,$O203="SQL"),1,0)</f>
        <v>0</v>
      </c>
      <c r="AF203" s="71">
        <f>IF(AND($AB203=1,OR($P203="Open",$P203="Won",$P203="Lost")),1,0)</f>
        <v>0</v>
      </c>
      <c r="AG203" s="71">
        <f>IF(AND($AB203=1,OR($M203="Converted",$P203="Won")),1,0)</f>
        <v>0</v>
      </c>
      <c r="AH203" s="71">
        <f>IF($AB203=0,0,IF(AND(OR(fClient="All",$B203=fClient),OR(fCampaign="All",$C203=fCampaign),OR(fTeam="All",$L203=fTeam),OR(fChannel="All",$F203=fChannel),OR(fMonth="All",$AA203=fMonth)),1,0))</f>
        <v>0</v>
      </c>
      <c r="AI203" s="71">
        <f>IF($AB203=0,0,IF(AND(OR(fClient="All",$B203=fClient),OR(fCampaign="All",$C203=fCampaign),OR(fTeam="All",$L203=fTeam),OR(fChannel="All",$F203=fChannel)),1,0))</f>
        <v>0</v>
      </c>
    </row>
    <row r="204">
      <c r="A204" s="63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3" t="n"/>
      <c r="R204" s="63" t="n"/>
      <c r="S204" s="63" t="n"/>
      <c r="T204" s="65" t="n"/>
      <c r="U204" s="65" t="n"/>
      <c r="V204" s="63" t="n"/>
      <c r="W204" s="65" t="n"/>
      <c r="X204" s="69" t="str">
        <f>IF(AND(ISNUMBER($Q204),ISNUMBER($R204)),$R204-$Q204,"")</f>
        <v/>
      </c>
      <c r="Y204" s="71" t="str">
        <f>IF($AB204=1,IF(AND(ISNUMBER($V204),$M204&lt;&gt;"Converted",$M204&lt;&gt;"Rejected"),IF($V204&lt;=ReportDate,"DUE",""),""),"")</f>
        <v/>
      </c>
      <c r="Z204" s="75" t="str">
        <f>IF(ISNUMBER($Q204),$Q204,IF(ISNUMBER($A204),$A204,""))</f>
        <v/>
      </c>
      <c r="AA204" s="71" t="str">
        <f>IF(ISNUMBER($Z204),YEAR($Z204)&amp;"-"&amp;TEXT(MONTH($Z204),"00"),"")</f>
        <v/>
      </c>
      <c r="AB204" s="71">
        <f>IF($H204&lt;&gt;"",1,0)</f>
        <v>0</v>
      </c>
      <c r="AC204" s="71">
        <f>IF(AND($AB204=1,$G204="Yes"),1,0)</f>
        <v>0</v>
      </c>
      <c r="AD204" s="71">
        <f>IF(AND($AB204=1,$N204="MQL"),1,0)</f>
        <v>0</v>
      </c>
      <c r="AE204" s="71">
        <f>IF(AND($AB204=1,$O204="SQL"),1,0)</f>
        <v>0</v>
      </c>
      <c r="AF204" s="71">
        <f>IF(AND($AB204=1,OR($P204="Open",$P204="Won",$P204="Lost")),1,0)</f>
        <v>0</v>
      </c>
      <c r="AG204" s="71">
        <f>IF(AND($AB204=1,OR($M204="Converted",$P204="Won")),1,0)</f>
        <v>0</v>
      </c>
      <c r="AH204" s="71">
        <f>IF($AB204=0,0,IF(AND(OR(fClient="All",$B204=fClient),OR(fCampaign="All",$C204=fCampaign),OR(fTeam="All",$L204=fTeam),OR(fChannel="All",$F204=fChannel),OR(fMonth="All",$AA204=fMonth)),1,0))</f>
        <v>0</v>
      </c>
      <c r="AI204" s="71">
        <f>IF($AB204=0,0,IF(AND(OR(fClient="All",$B204=fClient),OR(fCampaign="All",$C204=fCampaign),OR(fTeam="All",$L204=fTeam),OR(fChannel="All",$F204=fChannel)),1,0))</f>
        <v>0</v>
      </c>
    </row>
    <row r="205">
      <c r="A205" s="63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3" t="n"/>
      <c r="R205" s="63" t="n"/>
      <c r="S205" s="63" t="n"/>
      <c r="T205" s="65" t="n"/>
      <c r="U205" s="65" t="n"/>
      <c r="V205" s="63" t="n"/>
      <c r="W205" s="65" t="n"/>
      <c r="X205" s="69" t="str">
        <f>IF(AND(ISNUMBER($Q205),ISNUMBER($R205)),$R205-$Q205,"")</f>
        <v/>
      </c>
      <c r="Y205" s="71" t="str">
        <f>IF($AB205=1,IF(AND(ISNUMBER($V205),$M205&lt;&gt;"Converted",$M205&lt;&gt;"Rejected"),IF($V205&lt;=ReportDate,"DUE",""),""),"")</f>
        <v/>
      </c>
      <c r="Z205" s="75" t="str">
        <f>IF(ISNUMBER($Q205),$Q205,IF(ISNUMBER($A205),$A205,""))</f>
        <v/>
      </c>
      <c r="AA205" s="71" t="str">
        <f>IF(ISNUMBER($Z205),YEAR($Z205)&amp;"-"&amp;TEXT(MONTH($Z205),"00"),"")</f>
        <v/>
      </c>
      <c r="AB205" s="71">
        <f>IF($H205&lt;&gt;"",1,0)</f>
        <v>0</v>
      </c>
      <c r="AC205" s="71">
        <f>IF(AND($AB205=1,$G205="Yes"),1,0)</f>
        <v>0</v>
      </c>
      <c r="AD205" s="71">
        <f>IF(AND($AB205=1,$N205="MQL"),1,0)</f>
        <v>0</v>
      </c>
      <c r="AE205" s="71">
        <f>IF(AND($AB205=1,$O205="SQL"),1,0)</f>
        <v>0</v>
      </c>
      <c r="AF205" s="71">
        <f>IF(AND($AB205=1,OR($P205="Open",$P205="Won",$P205="Lost")),1,0)</f>
        <v>0</v>
      </c>
      <c r="AG205" s="71">
        <f>IF(AND($AB205=1,OR($M205="Converted",$P205="Won")),1,0)</f>
        <v>0</v>
      </c>
      <c r="AH205" s="71">
        <f>IF($AB205=0,0,IF(AND(OR(fClient="All",$B205=fClient),OR(fCampaign="All",$C205=fCampaign),OR(fTeam="All",$L205=fTeam),OR(fChannel="All",$F205=fChannel),OR(fMonth="All",$AA205=fMonth)),1,0))</f>
        <v>0</v>
      </c>
      <c r="AI205" s="71">
        <f>IF($AB205=0,0,IF(AND(OR(fClient="All",$B205=fClient),OR(fCampaign="All",$C205=fCampaign),OR(fTeam="All",$L205=fTeam),OR(fChannel="All",$F205=fChannel)),1,0))</f>
        <v>0</v>
      </c>
    </row>
    <row r="206">
      <c r="A206" s="63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3" t="n"/>
      <c r="R206" s="63" t="n"/>
      <c r="S206" s="63" t="n"/>
      <c r="T206" s="65" t="n"/>
      <c r="U206" s="65" t="n"/>
      <c r="V206" s="63" t="n"/>
      <c r="W206" s="65" t="n"/>
      <c r="X206" s="69" t="str">
        <f>IF(AND(ISNUMBER($Q206),ISNUMBER($R206)),$R206-$Q206,"")</f>
        <v/>
      </c>
      <c r="Y206" s="71" t="str">
        <f>IF($AB206=1,IF(AND(ISNUMBER($V206),$M206&lt;&gt;"Converted",$M206&lt;&gt;"Rejected"),IF($V206&lt;=ReportDate,"DUE",""),""),"")</f>
        <v/>
      </c>
      <c r="Z206" s="75" t="str">
        <f>IF(ISNUMBER($Q206),$Q206,IF(ISNUMBER($A206),$A206,""))</f>
        <v/>
      </c>
      <c r="AA206" s="71" t="str">
        <f>IF(ISNUMBER($Z206),YEAR($Z206)&amp;"-"&amp;TEXT(MONTH($Z206),"00"),"")</f>
        <v/>
      </c>
      <c r="AB206" s="71">
        <f>IF($H206&lt;&gt;"",1,0)</f>
        <v>0</v>
      </c>
      <c r="AC206" s="71">
        <f>IF(AND($AB206=1,$G206="Yes"),1,0)</f>
        <v>0</v>
      </c>
      <c r="AD206" s="71">
        <f>IF(AND($AB206=1,$N206="MQL"),1,0)</f>
        <v>0</v>
      </c>
      <c r="AE206" s="71">
        <f>IF(AND($AB206=1,$O206="SQL"),1,0)</f>
        <v>0</v>
      </c>
      <c r="AF206" s="71">
        <f>IF(AND($AB206=1,OR($P206="Open",$P206="Won",$P206="Lost")),1,0)</f>
        <v>0</v>
      </c>
      <c r="AG206" s="71">
        <f>IF(AND($AB206=1,OR($M206="Converted",$P206="Won")),1,0)</f>
        <v>0</v>
      </c>
      <c r="AH206" s="71">
        <f>IF($AB206=0,0,IF(AND(OR(fClient="All",$B206=fClient),OR(fCampaign="All",$C206=fCampaign),OR(fTeam="All",$L206=fTeam),OR(fChannel="All",$F206=fChannel),OR(fMonth="All",$AA206=fMonth)),1,0))</f>
        <v>0</v>
      </c>
      <c r="AI206" s="71">
        <f>IF($AB206=0,0,IF(AND(OR(fClient="All",$B206=fClient),OR(fCampaign="All",$C206=fCampaign),OR(fTeam="All",$L206=fTeam),OR(fChannel="All",$F206=fChannel)),1,0))</f>
        <v>0</v>
      </c>
    </row>
    <row r="207">
      <c r="A207" s="63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3" t="n"/>
      <c r="R207" s="63" t="n"/>
      <c r="S207" s="63" t="n"/>
      <c r="T207" s="65" t="n"/>
      <c r="U207" s="65" t="n"/>
      <c r="V207" s="63" t="n"/>
      <c r="W207" s="65" t="n"/>
      <c r="X207" s="69" t="str">
        <f>IF(AND(ISNUMBER($Q207),ISNUMBER($R207)),$R207-$Q207,"")</f>
        <v/>
      </c>
      <c r="Y207" s="71" t="str">
        <f>IF($AB207=1,IF(AND(ISNUMBER($V207),$M207&lt;&gt;"Converted",$M207&lt;&gt;"Rejected"),IF($V207&lt;=ReportDate,"DUE",""),""),"")</f>
        <v/>
      </c>
      <c r="Z207" s="75" t="str">
        <f>IF(ISNUMBER($Q207),$Q207,IF(ISNUMBER($A207),$A207,""))</f>
        <v/>
      </c>
      <c r="AA207" s="71" t="str">
        <f>IF(ISNUMBER($Z207),YEAR($Z207)&amp;"-"&amp;TEXT(MONTH($Z207),"00"),"")</f>
        <v/>
      </c>
      <c r="AB207" s="71">
        <f>IF($H207&lt;&gt;"",1,0)</f>
        <v>0</v>
      </c>
      <c r="AC207" s="71">
        <f>IF(AND($AB207=1,$G207="Yes"),1,0)</f>
        <v>0</v>
      </c>
      <c r="AD207" s="71">
        <f>IF(AND($AB207=1,$N207="MQL"),1,0)</f>
        <v>0</v>
      </c>
      <c r="AE207" s="71">
        <f>IF(AND($AB207=1,$O207="SQL"),1,0)</f>
        <v>0</v>
      </c>
      <c r="AF207" s="71">
        <f>IF(AND($AB207=1,OR($P207="Open",$P207="Won",$P207="Lost")),1,0)</f>
        <v>0</v>
      </c>
      <c r="AG207" s="71">
        <f>IF(AND($AB207=1,OR($M207="Converted",$P207="Won")),1,0)</f>
        <v>0</v>
      </c>
      <c r="AH207" s="71">
        <f>IF($AB207=0,0,IF(AND(OR(fClient="All",$B207=fClient),OR(fCampaign="All",$C207=fCampaign),OR(fTeam="All",$L207=fTeam),OR(fChannel="All",$F207=fChannel),OR(fMonth="All",$AA207=fMonth)),1,0))</f>
        <v>0</v>
      </c>
      <c r="AI207" s="71">
        <f>IF($AB207=0,0,IF(AND(OR(fClient="All",$B207=fClient),OR(fCampaign="All",$C207=fCampaign),OR(fTeam="All",$L207=fTeam),OR(fChannel="All",$F207=fChannel)),1,0))</f>
        <v>0</v>
      </c>
    </row>
    <row r="208">
      <c r="A208" s="63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3" t="n"/>
      <c r="R208" s="63" t="n"/>
      <c r="S208" s="63" t="n"/>
      <c r="T208" s="65" t="n"/>
      <c r="U208" s="65" t="n"/>
      <c r="V208" s="63" t="n"/>
      <c r="W208" s="65" t="n"/>
      <c r="X208" s="69" t="str">
        <f>IF(AND(ISNUMBER($Q208),ISNUMBER($R208)),$R208-$Q208,"")</f>
        <v/>
      </c>
      <c r="Y208" s="71" t="str">
        <f>IF($AB208=1,IF(AND(ISNUMBER($V208),$M208&lt;&gt;"Converted",$M208&lt;&gt;"Rejected"),IF($V208&lt;=ReportDate,"DUE",""),""),"")</f>
        <v/>
      </c>
      <c r="Z208" s="75" t="str">
        <f>IF(ISNUMBER($Q208),$Q208,IF(ISNUMBER($A208),$A208,""))</f>
        <v/>
      </c>
      <c r="AA208" s="71" t="str">
        <f>IF(ISNUMBER($Z208),YEAR($Z208)&amp;"-"&amp;TEXT(MONTH($Z208),"00"),"")</f>
        <v/>
      </c>
      <c r="AB208" s="71">
        <f>IF($H208&lt;&gt;"",1,0)</f>
        <v>0</v>
      </c>
      <c r="AC208" s="71">
        <f>IF(AND($AB208=1,$G208="Yes"),1,0)</f>
        <v>0</v>
      </c>
      <c r="AD208" s="71">
        <f>IF(AND($AB208=1,$N208="MQL"),1,0)</f>
        <v>0</v>
      </c>
      <c r="AE208" s="71">
        <f>IF(AND($AB208=1,$O208="SQL"),1,0)</f>
        <v>0</v>
      </c>
      <c r="AF208" s="71">
        <f>IF(AND($AB208=1,OR($P208="Open",$P208="Won",$P208="Lost")),1,0)</f>
        <v>0</v>
      </c>
      <c r="AG208" s="71">
        <f>IF(AND($AB208=1,OR($M208="Converted",$P208="Won")),1,0)</f>
        <v>0</v>
      </c>
      <c r="AH208" s="71">
        <f>IF($AB208=0,0,IF(AND(OR(fClient="All",$B208=fClient),OR(fCampaign="All",$C208=fCampaign),OR(fTeam="All",$L208=fTeam),OR(fChannel="All",$F208=fChannel),OR(fMonth="All",$AA208=fMonth)),1,0))</f>
        <v>0</v>
      </c>
      <c r="AI208" s="71">
        <f>IF($AB208=0,0,IF(AND(OR(fClient="All",$B208=fClient),OR(fCampaign="All",$C208=fCampaign),OR(fTeam="All",$L208=fTeam),OR(fChannel="All",$F208=fChannel)),1,0))</f>
        <v>0</v>
      </c>
    </row>
    <row r="209">
      <c r="A209" s="63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3" t="n"/>
      <c r="R209" s="63" t="n"/>
      <c r="S209" s="63" t="n"/>
      <c r="T209" s="65" t="n"/>
      <c r="U209" s="65" t="n"/>
      <c r="V209" s="63" t="n"/>
      <c r="W209" s="65" t="n"/>
      <c r="X209" s="69" t="str">
        <f>IF(AND(ISNUMBER($Q209),ISNUMBER($R209)),$R209-$Q209,"")</f>
        <v/>
      </c>
      <c r="Y209" s="71" t="str">
        <f>IF($AB209=1,IF(AND(ISNUMBER($V209),$M209&lt;&gt;"Converted",$M209&lt;&gt;"Rejected"),IF($V209&lt;=ReportDate,"DUE",""),""),"")</f>
        <v/>
      </c>
      <c r="Z209" s="75" t="str">
        <f>IF(ISNUMBER($Q209),$Q209,IF(ISNUMBER($A209),$A209,""))</f>
        <v/>
      </c>
      <c r="AA209" s="71" t="str">
        <f>IF(ISNUMBER($Z209),YEAR($Z209)&amp;"-"&amp;TEXT(MONTH($Z209),"00"),"")</f>
        <v/>
      </c>
      <c r="AB209" s="71">
        <f>IF($H209&lt;&gt;"",1,0)</f>
        <v>0</v>
      </c>
      <c r="AC209" s="71">
        <f>IF(AND($AB209=1,$G209="Yes"),1,0)</f>
        <v>0</v>
      </c>
      <c r="AD209" s="71">
        <f>IF(AND($AB209=1,$N209="MQL"),1,0)</f>
        <v>0</v>
      </c>
      <c r="AE209" s="71">
        <f>IF(AND($AB209=1,$O209="SQL"),1,0)</f>
        <v>0</v>
      </c>
      <c r="AF209" s="71">
        <f>IF(AND($AB209=1,OR($P209="Open",$P209="Won",$P209="Lost")),1,0)</f>
        <v>0</v>
      </c>
      <c r="AG209" s="71">
        <f>IF(AND($AB209=1,OR($M209="Converted",$P209="Won")),1,0)</f>
        <v>0</v>
      </c>
      <c r="AH209" s="71">
        <f>IF($AB209=0,0,IF(AND(OR(fClient="All",$B209=fClient),OR(fCampaign="All",$C209=fCampaign),OR(fTeam="All",$L209=fTeam),OR(fChannel="All",$F209=fChannel),OR(fMonth="All",$AA209=fMonth)),1,0))</f>
        <v>0</v>
      </c>
      <c r="AI209" s="71">
        <f>IF($AB209=0,0,IF(AND(OR(fClient="All",$B209=fClient),OR(fCampaign="All",$C209=fCampaign),OR(fTeam="All",$L209=fTeam),OR(fChannel="All",$F209=fChannel)),1,0))</f>
        <v>0</v>
      </c>
    </row>
    <row r="210">
      <c r="A210" s="63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3" t="n"/>
      <c r="R210" s="63" t="n"/>
      <c r="S210" s="63" t="n"/>
      <c r="T210" s="65" t="n"/>
      <c r="U210" s="65" t="n"/>
      <c r="V210" s="63" t="n"/>
      <c r="W210" s="65" t="n"/>
      <c r="X210" s="69" t="str">
        <f>IF(AND(ISNUMBER($Q210),ISNUMBER($R210)),$R210-$Q210,"")</f>
        <v/>
      </c>
      <c r="Y210" s="71" t="str">
        <f>IF($AB210=1,IF(AND(ISNUMBER($V210),$M210&lt;&gt;"Converted",$M210&lt;&gt;"Rejected"),IF($V210&lt;=ReportDate,"DUE",""),""),"")</f>
        <v/>
      </c>
      <c r="Z210" s="75" t="str">
        <f>IF(ISNUMBER($Q210),$Q210,IF(ISNUMBER($A210),$A210,""))</f>
        <v/>
      </c>
      <c r="AA210" s="71" t="str">
        <f>IF(ISNUMBER($Z210),YEAR($Z210)&amp;"-"&amp;TEXT(MONTH($Z210),"00"),"")</f>
        <v/>
      </c>
      <c r="AB210" s="71">
        <f>IF($H210&lt;&gt;"",1,0)</f>
        <v>0</v>
      </c>
      <c r="AC210" s="71">
        <f>IF(AND($AB210=1,$G210="Yes"),1,0)</f>
        <v>0</v>
      </c>
      <c r="AD210" s="71">
        <f>IF(AND($AB210=1,$N210="MQL"),1,0)</f>
        <v>0</v>
      </c>
      <c r="AE210" s="71">
        <f>IF(AND($AB210=1,$O210="SQL"),1,0)</f>
        <v>0</v>
      </c>
      <c r="AF210" s="71">
        <f>IF(AND($AB210=1,OR($P210="Open",$P210="Won",$P210="Lost")),1,0)</f>
        <v>0</v>
      </c>
      <c r="AG210" s="71">
        <f>IF(AND($AB210=1,OR($M210="Converted",$P210="Won")),1,0)</f>
        <v>0</v>
      </c>
      <c r="AH210" s="71">
        <f>IF($AB210=0,0,IF(AND(OR(fClient="All",$B210=fClient),OR(fCampaign="All",$C210=fCampaign),OR(fTeam="All",$L210=fTeam),OR(fChannel="All",$F210=fChannel),OR(fMonth="All",$AA210=fMonth)),1,0))</f>
        <v>0</v>
      </c>
      <c r="AI210" s="71">
        <f>IF($AB210=0,0,IF(AND(OR(fClient="All",$B210=fClient),OR(fCampaign="All",$C210=fCampaign),OR(fTeam="All",$L210=fTeam),OR(fChannel="All",$F210=fChannel)),1,0))</f>
        <v>0</v>
      </c>
    </row>
    <row r="211">
      <c r="A211" s="63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3" t="n"/>
      <c r="R211" s="63" t="n"/>
      <c r="S211" s="63" t="n"/>
      <c r="T211" s="65" t="n"/>
      <c r="U211" s="65" t="n"/>
      <c r="V211" s="63" t="n"/>
      <c r="W211" s="65" t="n"/>
      <c r="X211" s="69" t="str">
        <f>IF(AND(ISNUMBER($Q211),ISNUMBER($R211)),$R211-$Q211,"")</f>
        <v/>
      </c>
      <c r="Y211" s="71" t="str">
        <f>IF($AB211=1,IF(AND(ISNUMBER($V211),$M211&lt;&gt;"Converted",$M211&lt;&gt;"Rejected"),IF($V211&lt;=ReportDate,"DUE",""),""),"")</f>
        <v/>
      </c>
      <c r="Z211" s="75" t="str">
        <f>IF(ISNUMBER($Q211),$Q211,IF(ISNUMBER($A211),$A211,""))</f>
        <v/>
      </c>
      <c r="AA211" s="71" t="str">
        <f>IF(ISNUMBER($Z211),YEAR($Z211)&amp;"-"&amp;TEXT(MONTH($Z211),"00"),"")</f>
        <v/>
      </c>
      <c r="AB211" s="71">
        <f>IF($H211&lt;&gt;"",1,0)</f>
        <v>0</v>
      </c>
      <c r="AC211" s="71">
        <f>IF(AND($AB211=1,$G211="Yes"),1,0)</f>
        <v>0</v>
      </c>
      <c r="AD211" s="71">
        <f>IF(AND($AB211=1,$N211="MQL"),1,0)</f>
        <v>0</v>
      </c>
      <c r="AE211" s="71">
        <f>IF(AND($AB211=1,$O211="SQL"),1,0)</f>
        <v>0</v>
      </c>
      <c r="AF211" s="71">
        <f>IF(AND($AB211=1,OR($P211="Open",$P211="Won",$P211="Lost")),1,0)</f>
        <v>0</v>
      </c>
      <c r="AG211" s="71">
        <f>IF(AND($AB211=1,OR($M211="Converted",$P211="Won")),1,0)</f>
        <v>0</v>
      </c>
      <c r="AH211" s="71">
        <f>IF($AB211=0,0,IF(AND(OR(fClient="All",$B211=fClient),OR(fCampaign="All",$C211=fCampaign),OR(fTeam="All",$L211=fTeam),OR(fChannel="All",$F211=fChannel),OR(fMonth="All",$AA211=fMonth)),1,0))</f>
        <v>0</v>
      </c>
      <c r="AI211" s="71">
        <f>IF($AB211=0,0,IF(AND(OR(fClient="All",$B211=fClient),OR(fCampaign="All",$C211=fCampaign),OR(fTeam="All",$L211=fTeam),OR(fChannel="All",$F211=fChannel)),1,0))</f>
        <v>0</v>
      </c>
    </row>
    <row r="212">
      <c r="A212" s="63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3" t="n"/>
      <c r="R212" s="63" t="n"/>
      <c r="S212" s="63" t="n"/>
      <c r="T212" s="65" t="n"/>
      <c r="U212" s="65" t="n"/>
      <c r="V212" s="63" t="n"/>
      <c r="W212" s="65" t="n"/>
      <c r="X212" s="69" t="str">
        <f>IF(AND(ISNUMBER($Q212),ISNUMBER($R212)),$R212-$Q212,"")</f>
        <v/>
      </c>
      <c r="Y212" s="71" t="str">
        <f>IF($AB212=1,IF(AND(ISNUMBER($V212),$M212&lt;&gt;"Converted",$M212&lt;&gt;"Rejected"),IF($V212&lt;=ReportDate,"DUE",""),""),"")</f>
        <v/>
      </c>
      <c r="Z212" s="75" t="str">
        <f>IF(ISNUMBER($Q212),$Q212,IF(ISNUMBER($A212),$A212,""))</f>
        <v/>
      </c>
      <c r="AA212" s="71" t="str">
        <f>IF(ISNUMBER($Z212),YEAR($Z212)&amp;"-"&amp;TEXT(MONTH($Z212),"00"),"")</f>
        <v/>
      </c>
      <c r="AB212" s="71">
        <f>IF($H212&lt;&gt;"",1,0)</f>
        <v>0</v>
      </c>
      <c r="AC212" s="71">
        <f>IF(AND($AB212=1,$G212="Yes"),1,0)</f>
        <v>0</v>
      </c>
      <c r="AD212" s="71">
        <f>IF(AND($AB212=1,$N212="MQL"),1,0)</f>
        <v>0</v>
      </c>
      <c r="AE212" s="71">
        <f>IF(AND($AB212=1,$O212="SQL"),1,0)</f>
        <v>0</v>
      </c>
      <c r="AF212" s="71">
        <f>IF(AND($AB212=1,OR($P212="Open",$P212="Won",$P212="Lost")),1,0)</f>
        <v>0</v>
      </c>
      <c r="AG212" s="71">
        <f>IF(AND($AB212=1,OR($M212="Converted",$P212="Won")),1,0)</f>
        <v>0</v>
      </c>
      <c r="AH212" s="71">
        <f>IF($AB212=0,0,IF(AND(OR(fClient="All",$B212=fClient),OR(fCampaign="All",$C212=fCampaign),OR(fTeam="All",$L212=fTeam),OR(fChannel="All",$F212=fChannel),OR(fMonth="All",$AA212=fMonth)),1,0))</f>
        <v>0</v>
      </c>
      <c r="AI212" s="71">
        <f>IF($AB212=0,0,IF(AND(OR(fClient="All",$B212=fClient),OR(fCampaign="All",$C212=fCampaign),OR(fTeam="All",$L212=fTeam),OR(fChannel="All",$F212=fChannel)),1,0))</f>
        <v>0</v>
      </c>
    </row>
    <row r="213">
      <c r="A213" s="63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3" t="n"/>
      <c r="R213" s="63" t="n"/>
      <c r="S213" s="63" t="n"/>
      <c r="T213" s="65" t="n"/>
      <c r="U213" s="65" t="n"/>
      <c r="V213" s="63" t="n"/>
      <c r="W213" s="65" t="n"/>
      <c r="X213" s="69" t="str">
        <f>IF(AND(ISNUMBER($Q213),ISNUMBER($R213)),$R213-$Q213,"")</f>
        <v/>
      </c>
      <c r="Y213" s="71" t="str">
        <f>IF($AB213=1,IF(AND(ISNUMBER($V213),$M213&lt;&gt;"Converted",$M213&lt;&gt;"Rejected"),IF($V213&lt;=ReportDate,"DUE",""),""),"")</f>
        <v/>
      </c>
      <c r="Z213" s="75" t="str">
        <f>IF(ISNUMBER($Q213),$Q213,IF(ISNUMBER($A213),$A213,""))</f>
        <v/>
      </c>
      <c r="AA213" s="71" t="str">
        <f>IF(ISNUMBER($Z213),YEAR($Z213)&amp;"-"&amp;TEXT(MONTH($Z213),"00"),"")</f>
        <v/>
      </c>
      <c r="AB213" s="71">
        <f>IF($H213&lt;&gt;"",1,0)</f>
        <v>0</v>
      </c>
      <c r="AC213" s="71">
        <f>IF(AND($AB213=1,$G213="Yes"),1,0)</f>
        <v>0</v>
      </c>
      <c r="AD213" s="71">
        <f>IF(AND($AB213=1,$N213="MQL"),1,0)</f>
        <v>0</v>
      </c>
      <c r="AE213" s="71">
        <f>IF(AND($AB213=1,$O213="SQL"),1,0)</f>
        <v>0</v>
      </c>
      <c r="AF213" s="71">
        <f>IF(AND($AB213=1,OR($P213="Open",$P213="Won",$P213="Lost")),1,0)</f>
        <v>0</v>
      </c>
      <c r="AG213" s="71">
        <f>IF(AND($AB213=1,OR($M213="Converted",$P213="Won")),1,0)</f>
        <v>0</v>
      </c>
      <c r="AH213" s="71">
        <f>IF($AB213=0,0,IF(AND(OR(fClient="All",$B213=fClient),OR(fCampaign="All",$C213=fCampaign),OR(fTeam="All",$L213=fTeam),OR(fChannel="All",$F213=fChannel),OR(fMonth="All",$AA213=fMonth)),1,0))</f>
        <v>0</v>
      </c>
      <c r="AI213" s="71">
        <f>IF($AB213=0,0,IF(AND(OR(fClient="All",$B213=fClient),OR(fCampaign="All",$C213=fCampaign),OR(fTeam="All",$L213=fTeam),OR(fChannel="All",$F213=fChannel)),1,0))</f>
        <v>0</v>
      </c>
    </row>
    <row r="214">
      <c r="A214" s="63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3" t="n"/>
      <c r="R214" s="63" t="n"/>
      <c r="S214" s="63" t="n"/>
      <c r="T214" s="65" t="n"/>
      <c r="U214" s="65" t="n"/>
      <c r="V214" s="63" t="n"/>
      <c r="W214" s="65" t="n"/>
      <c r="X214" s="69" t="str">
        <f>IF(AND(ISNUMBER($Q214),ISNUMBER($R214)),$R214-$Q214,"")</f>
        <v/>
      </c>
      <c r="Y214" s="71" t="str">
        <f>IF($AB214=1,IF(AND(ISNUMBER($V214),$M214&lt;&gt;"Converted",$M214&lt;&gt;"Rejected"),IF($V214&lt;=ReportDate,"DUE",""),""),"")</f>
        <v/>
      </c>
      <c r="Z214" s="75" t="str">
        <f>IF(ISNUMBER($Q214),$Q214,IF(ISNUMBER($A214),$A214,""))</f>
        <v/>
      </c>
      <c r="AA214" s="71" t="str">
        <f>IF(ISNUMBER($Z214),YEAR($Z214)&amp;"-"&amp;TEXT(MONTH($Z214),"00"),"")</f>
        <v/>
      </c>
      <c r="AB214" s="71">
        <f>IF($H214&lt;&gt;"",1,0)</f>
        <v>0</v>
      </c>
      <c r="AC214" s="71">
        <f>IF(AND($AB214=1,$G214="Yes"),1,0)</f>
        <v>0</v>
      </c>
      <c r="AD214" s="71">
        <f>IF(AND($AB214=1,$N214="MQL"),1,0)</f>
        <v>0</v>
      </c>
      <c r="AE214" s="71">
        <f>IF(AND($AB214=1,$O214="SQL"),1,0)</f>
        <v>0</v>
      </c>
      <c r="AF214" s="71">
        <f>IF(AND($AB214=1,OR($P214="Open",$P214="Won",$P214="Lost")),1,0)</f>
        <v>0</v>
      </c>
      <c r="AG214" s="71">
        <f>IF(AND($AB214=1,OR($M214="Converted",$P214="Won")),1,0)</f>
        <v>0</v>
      </c>
      <c r="AH214" s="71">
        <f>IF($AB214=0,0,IF(AND(OR(fClient="All",$B214=fClient),OR(fCampaign="All",$C214=fCampaign),OR(fTeam="All",$L214=fTeam),OR(fChannel="All",$F214=fChannel),OR(fMonth="All",$AA214=fMonth)),1,0))</f>
        <v>0</v>
      </c>
      <c r="AI214" s="71">
        <f>IF($AB214=0,0,IF(AND(OR(fClient="All",$B214=fClient),OR(fCampaign="All",$C214=fCampaign),OR(fTeam="All",$L214=fTeam),OR(fChannel="All",$F214=fChannel)),1,0))</f>
        <v>0</v>
      </c>
    </row>
    <row r="215">
      <c r="A215" s="63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3" t="n"/>
      <c r="R215" s="63" t="n"/>
      <c r="S215" s="63" t="n"/>
      <c r="T215" s="65" t="n"/>
      <c r="U215" s="65" t="n"/>
      <c r="V215" s="63" t="n"/>
      <c r="W215" s="65" t="n"/>
      <c r="X215" s="69" t="str">
        <f>IF(AND(ISNUMBER($Q215),ISNUMBER($R215)),$R215-$Q215,"")</f>
        <v/>
      </c>
      <c r="Y215" s="71" t="str">
        <f>IF($AB215=1,IF(AND(ISNUMBER($V215),$M215&lt;&gt;"Converted",$M215&lt;&gt;"Rejected"),IF($V215&lt;=ReportDate,"DUE",""),""),"")</f>
        <v/>
      </c>
      <c r="Z215" s="75" t="str">
        <f>IF(ISNUMBER($Q215),$Q215,IF(ISNUMBER($A215),$A215,""))</f>
        <v/>
      </c>
      <c r="AA215" s="71" t="str">
        <f>IF(ISNUMBER($Z215),YEAR($Z215)&amp;"-"&amp;TEXT(MONTH($Z215),"00"),"")</f>
        <v/>
      </c>
      <c r="AB215" s="71">
        <f>IF($H215&lt;&gt;"",1,0)</f>
        <v>0</v>
      </c>
      <c r="AC215" s="71">
        <f>IF(AND($AB215=1,$G215="Yes"),1,0)</f>
        <v>0</v>
      </c>
      <c r="AD215" s="71">
        <f>IF(AND($AB215=1,$N215="MQL"),1,0)</f>
        <v>0</v>
      </c>
      <c r="AE215" s="71">
        <f>IF(AND($AB215=1,$O215="SQL"),1,0)</f>
        <v>0</v>
      </c>
      <c r="AF215" s="71">
        <f>IF(AND($AB215=1,OR($P215="Open",$P215="Won",$P215="Lost")),1,0)</f>
        <v>0</v>
      </c>
      <c r="AG215" s="71">
        <f>IF(AND($AB215=1,OR($M215="Converted",$P215="Won")),1,0)</f>
        <v>0</v>
      </c>
      <c r="AH215" s="71">
        <f>IF($AB215=0,0,IF(AND(OR(fClient="All",$B215=fClient),OR(fCampaign="All",$C215=fCampaign),OR(fTeam="All",$L215=fTeam),OR(fChannel="All",$F215=fChannel),OR(fMonth="All",$AA215=fMonth)),1,0))</f>
        <v>0</v>
      </c>
      <c r="AI215" s="71">
        <f>IF($AB215=0,0,IF(AND(OR(fClient="All",$B215=fClient),OR(fCampaign="All",$C215=fCampaign),OR(fTeam="All",$L215=fTeam),OR(fChannel="All",$F215=fChannel)),1,0))</f>
        <v>0</v>
      </c>
    </row>
    <row r="216">
      <c r="A216" s="63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3" t="n"/>
      <c r="R216" s="63" t="n"/>
      <c r="S216" s="63" t="n"/>
      <c r="T216" s="65" t="n"/>
      <c r="U216" s="65" t="n"/>
      <c r="V216" s="63" t="n"/>
      <c r="W216" s="65" t="n"/>
      <c r="X216" s="69" t="str">
        <f>IF(AND(ISNUMBER($Q216),ISNUMBER($R216)),$R216-$Q216,"")</f>
        <v/>
      </c>
      <c r="Y216" s="71" t="str">
        <f>IF($AB216=1,IF(AND(ISNUMBER($V216),$M216&lt;&gt;"Converted",$M216&lt;&gt;"Rejected"),IF($V216&lt;=ReportDate,"DUE",""),""),"")</f>
        <v/>
      </c>
      <c r="Z216" s="75" t="str">
        <f>IF(ISNUMBER($Q216),$Q216,IF(ISNUMBER($A216),$A216,""))</f>
        <v/>
      </c>
      <c r="AA216" s="71" t="str">
        <f>IF(ISNUMBER($Z216),YEAR($Z216)&amp;"-"&amp;TEXT(MONTH($Z216),"00"),"")</f>
        <v/>
      </c>
      <c r="AB216" s="71">
        <f>IF($H216&lt;&gt;"",1,0)</f>
        <v>0</v>
      </c>
      <c r="AC216" s="71">
        <f>IF(AND($AB216=1,$G216="Yes"),1,0)</f>
        <v>0</v>
      </c>
      <c r="AD216" s="71">
        <f>IF(AND($AB216=1,$N216="MQL"),1,0)</f>
        <v>0</v>
      </c>
      <c r="AE216" s="71">
        <f>IF(AND($AB216=1,$O216="SQL"),1,0)</f>
        <v>0</v>
      </c>
      <c r="AF216" s="71">
        <f>IF(AND($AB216=1,OR($P216="Open",$P216="Won",$P216="Lost")),1,0)</f>
        <v>0</v>
      </c>
      <c r="AG216" s="71">
        <f>IF(AND($AB216=1,OR($M216="Converted",$P216="Won")),1,0)</f>
        <v>0</v>
      </c>
      <c r="AH216" s="71">
        <f>IF($AB216=0,0,IF(AND(OR(fClient="All",$B216=fClient),OR(fCampaign="All",$C216=fCampaign),OR(fTeam="All",$L216=fTeam),OR(fChannel="All",$F216=fChannel),OR(fMonth="All",$AA216=fMonth)),1,0))</f>
        <v>0</v>
      </c>
      <c r="AI216" s="71">
        <f>IF($AB216=0,0,IF(AND(OR(fClient="All",$B216=fClient),OR(fCampaign="All",$C216=fCampaign),OR(fTeam="All",$L216=fTeam),OR(fChannel="All",$F216=fChannel)),1,0))</f>
        <v>0</v>
      </c>
    </row>
    <row r="217">
      <c r="A217" s="63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3" t="n"/>
      <c r="R217" s="63" t="n"/>
      <c r="S217" s="63" t="n"/>
      <c r="T217" s="65" t="n"/>
      <c r="U217" s="65" t="n"/>
      <c r="V217" s="63" t="n"/>
      <c r="W217" s="65" t="n"/>
      <c r="X217" s="69" t="str">
        <f>IF(AND(ISNUMBER($Q217),ISNUMBER($R217)),$R217-$Q217,"")</f>
        <v/>
      </c>
      <c r="Y217" s="71" t="str">
        <f>IF($AB217=1,IF(AND(ISNUMBER($V217),$M217&lt;&gt;"Converted",$M217&lt;&gt;"Rejected"),IF($V217&lt;=ReportDate,"DUE",""),""),"")</f>
        <v/>
      </c>
      <c r="Z217" s="75" t="str">
        <f>IF(ISNUMBER($Q217),$Q217,IF(ISNUMBER($A217),$A217,""))</f>
        <v/>
      </c>
      <c r="AA217" s="71" t="str">
        <f>IF(ISNUMBER($Z217),YEAR($Z217)&amp;"-"&amp;TEXT(MONTH($Z217),"00"),"")</f>
        <v/>
      </c>
      <c r="AB217" s="71">
        <f>IF($H217&lt;&gt;"",1,0)</f>
        <v>0</v>
      </c>
      <c r="AC217" s="71">
        <f>IF(AND($AB217=1,$G217="Yes"),1,0)</f>
        <v>0</v>
      </c>
      <c r="AD217" s="71">
        <f>IF(AND($AB217=1,$N217="MQL"),1,0)</f>
        <v>0</v>
      </c>
      <c r="AE217" s="71">
        <f>IF(AND($AB217=1,$O217="SQL"),1,0)</f>
        <v>0</v>
      </c>
      <c r="AF217" s="71">
        <f>IF(AND($AB217=1,OR($P217="Open",$P217="Won",$P217="Lost")),1,0)</f>
        <v>0</v>
      </c>
      <c r="AG217" s="71">
        <f>IF(AND($AB217=1,OR($M217="Converted",$P217="Won")),1,0)</f>
        <v>0</v>
      </c>
      <c r="AH217" s="71">
        <f>IF($AB217=0,0,IF(AND(OR(fClient="All",$B217=fClient),OR(fCampaign="All",$C217=fCampaign),OR(fTeam="All",$L217=fTeam),OR(fChannel="All",$F217=fChannel),OR(fMonth="All",$AA217=fMonth)),1,0))</f>
        <v>0</v>
      </c>
      <c r="AI217" s="71">
        <f>IF($AB217=0,0,IF(AND(OR(fClient="All",$B217=fClient),OR(fCampaign="All",$C217=fCampaign),OR(fTeam="All",$L217=fTeam),OR(fChannel="All",$F217=fChannel)),1,0))</f>
        <v>0</v>
      </c>
    </row>
    <row r="218">
      <c r="A218" s="63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3" t="n"/>
      <c r="R218" s="63" t="n"/>
      <c r="S218" s="63" t="n"/>
      <c r="T218" s="65" t="n"/>
      <c r="U218" s="65" t="n"/>
      <c r="V218" s="63" t="n"/>
      <c r="W218" s="65" t="n"/>
      <c r="X218" s="69" t="str">
        <f>IF(AND(ISNUMBER($Q218),ISNUMBER($R218)),$R218-$Q218,"")</f>
        <v/>
      </c>
      <c r="Y218" s="71" t="str">
        <f>IF($AB218=1,IF(AND(ISNUMBER($V218),$M218&lt;&gt;"Converted",$M218&lt;&gt;"Rejected"),IF($V218&lt;=ReportDate,"DUE",""),""),"")</f>
        <v/>
      </c>
      <c r="Z218" s="75" t="str">
        <f>IF(ISNUMBER($Q218),$Q218,IF(ISNUMBER($A218),$A218,""))</f>
        <v/>
      </c>
      <c r="AA218" s="71" t="str">
        <f>IF(ISNUMBER($Z218),YEAR($Z218)&amp;"-"&amp;TEXT(MONTH($Z218),"00"),"")</f>
        <v/>
      </c>
      <c r="AB218" s="71">
        <f>IF($H218&lt;&gt;"",1,0)</f>
        <v>0</v>
      </c>
      <c r="AC218" s="71">
        <f>IF(AND($AB218=1,$G218="Yes"),1,0)</f>
        <v>0</v>
      </c>
      <c r="AD218" s="71">
        <f>IF(AND($AB218=1,$N218="MQL"),1,0)</f>
        <v>0</v>
      </c>
      <c r="AE218" s="71">
        <f>IF(AND($AB218=1,$O218="SQL"),1,0)</f>
        <v>0</v>
      </c>
      <c r="AF218" s="71">
        <f>IF(AND($AB218=1,OR($P218="Open",$P218="Won",$P218="Lost")),1,0)</f>
        <v>0</v>
      </c>
      <c r="AG218" s="71">
        <f>IF(AND($AB218=1,OR($M218="Converted",$P218="Won")),1,0)</f>
        <v>0</v>
      </c>
      <c r="AH218" s="71">
        <f>IF($AB218=0,0,IF(AND(OR(fClient="All",$B218=fClient),OR(fCampaign="All",$C218=fCampaign),OR(fTeam="All",$L218=fTeam),OR(fChannel="All",$F218=fChannel),OR(fMonth="All",$AA218=fMonth)),1,0))</f>
        <v>0</v>
      </c>
      <c r="AI218" s="71">
        <f>IF($AB218=0,0,IF(AND(OR(fClient="All",$B218=fClient),OR(fCampaign="All",$C218=fCampaign),OR(fTeam="All",$L218=fTeam),OR(fChannel="All",$F218=fChannel)),1,0))</f>
        <v>0</v>
      </c>
    </row>
    <row r="219">
      <c r="A219" s="63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3" t="n"/>
      <c r="R219" s="63" t="n"/>
      <c r="S219" s="63" t="n"/>
      <c r="T219" s="65" t="n"/>
      <c r="U219" s="65" t="n"/>
      <c r="V219" s="63" t="n"/>
      <c r="W219" s="65" t="n"/>
      <c r="X219" s="69" t="str">
        <f>IF(AND(ISNUMBER($Q219),ISNUMBER($R219)),$R219-$Q219,"")</f>
        <v/>
      </c>
      <c r="Y219" s="71" t="str">
        <f>IF($AB219=1,IF(AND(ISNUMBER($V219),$M219&lt;&gt;"Converted",$M219&lt;&gt;"Rejected"),IF($V219&lt;=ReportDate,"DUE",""),""),"")</f>
        <v/>
      </c>
      <c r="Z219" s="75" t="str">
        <f>IF(ISNUMBER($Q219),$Q219,IF(ISNUMBER($A219),$A219,""))</f>
        <v/>
      </c>
      <c r="AA219" s="71" t="str">
        <f>IF(ISNUMBER($Z219),YEAR($Z219)&amp;"-"&amp;TEXT(MONTH($Z219),"00"),"")</f>
        <v/>
      </c>
      <c r="AB219" s="71">
        <f>IF($H219&lt;&gt;"",1,0)</f>
        <v>0</v>
      </c>
      <c r="AC219" s="71">
        <f>IF(AND($AB219=1,$G219="Yes"),1,0)</f>
        <v>0</v>
      </c>
      <c r="AD219" s="71">
        <f>IF(AND($AB219=1,$N219="MQL"),1,0)</f>
        <v>0</v>
      </c>
      <c r="AE219" s="71">
        <f>IF(AND($AB219=1,$O219="SQL"),1,0)</f>
        <v>0</v>
      </c>
      <c r="AF219" s="71">
        <f>IF(AND($AB219=1,OR($P219="Open",$P219="Won",$P219="Lost")),1,0)</f>
        <v>0</v>
      </c>
      <c r="AG219" s="71">
        <f>IF(AND($AB219=1,OR($M219="Converted",$P219="Won")),1,0)</f>
        <v>0</v>
      </c>
      <c r="AH219" s="71">
        <f>IF($AB219=0,0,IF(AND(OR(fClient="All",$B219=fClient),OR(fCampaign="All",$C219=fCampaign),OR(fTeam="All",$L219=fTeam),OR(fChannel="All",$F219=fChannel),OR(fMonth="All",$AA219=fMonth)),1,0))</f>
        <v>0</v>
      </c>
      <c r="AI219" s="71">
        <f>IF($AB219=0,0,IF(AND(OR(fClient="All",$B219=fClient),OR(fCampaign="All",$C219=fCampaign),OR(fTeam="All",$L219=fTeam),OR(fChannel="All",$F219=fChannel)),1,0))</f>
        <v>0</v>
      </c>
    </row>
    <row r="220">
      <c r="A220" s="63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3" t="n"/>
      <c r="R220" s="63" t="n"/>
      <c r="S220" s="63" t="n"/>
      <c r="T220" s="65" t="n"/>
      <c r="U220" s="65" t="n"/>
      <c r="V220" s="63" t="n"/>
      <c r="W220" s="65" t="n"/>
      <c r="X220" s="69" t="str">
        <f>IF(AND(ISNUMBER($Q220),ISNUMBER($R220)),$R220-$Q220,"")</f>
        <v/>
      </c>
      <c r="Y220" s="71" t="str">
        <f>IF($AB220=1,IF(AND(ISNUMBER($V220),$M220&lt;&gt;"Converted",$M220&lt;&gt;"Rejected"),IF($V220&lt;=ReportDate,"DUE",""),""),"")</f>
        <v/>
      </c>
      <c r="Z220" s="75" t="str">
        <f>IF(ISNUMBER($Q220),$Q220,IF(ISNUMBER($A220),$A220,""))</f>
        <v/>
      </c>
      <c r="AA220" s="71" t="str">
        <f>IF(ISNUMBER($Z220),YEAR($Z220)&amp;"-"&amp;TEXT(MONTH($Z220),"00"),"")</f>
        <v/>
      </c>
      <c r="AB220" s="71">
        <f>IF($H220&lt;&gt;"",1,0)</f>
        <v>0</v>
      </c>
      <c r="AC220" s="71">
        <f>IF(AND($AB220=1,$G220="Yes"),1,0)</f>
        <v>0</v>
      </c>
      <c r="AD220" s="71">
        <f>IF(AND($AB220=1,$N220="MQL"),1,0)</f>
        <v>0</v>
      </c>
      <c r="AE220" s="71">
        <f>IF(AND($AB220=1,$O220="SQL"),1,0)</f>
        <v>0</v>
      </c>
      <c r="AF220" s="71">
        <f>IF(AND($AB220=1,OR($P220="Open",$P220="Won",$P220="Lost")),1,0)</f>
        <v>0</v>
      </c>
      <c r="AG220" s="71">
        <f>IF(AND($AB220=1,OR($M220="Converted",$P220="Won")),1,0)</f>
        <v>0</v>
      </c>
      <c r="AH220" s="71">
        <f>IF($AB220=0,0,IF(AND(OR(fClient="All",$B220=fClient),OR(fCampaign="All",$C220=fCampaign),OR(fTeam="All",$L220=fTeam),OR(fChannel="All",$F220=fChannel),OR(fMonth="All",$AA220=fMonth)),1,0))</f>
        <v>0</v>
      </c>
      <c r="AI220" s="71">
        <f>IF($AB220=0,0,IF(AND(OR(fClient="All",$B220=fClient),OR(fCampaign="All",$C220=fCampaign),OR(fTeam="All",$L220=fTeam),OR(fChannel="All",$F220=fChannel)),1,0))</f>
        <v>0</v>
      </c>
    </row>
    <row r="221">
      <c r="A221" s="63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3" t="n"/>
      <c r="R221" s="63" t="n"/>
      <c r="S221" s="63" t="n"/>
      <c r="T221" s="65" t="n"/>
      <c r="U221" s="65" t="n"/>
      <c r="V221" s="63" t="n"/>
      <c r="W221" s="65" t="n"/>
      <c r="X221" s="69" t="str">
        <f>IF(AND(ISNUMBER($Q221),ISNUMBER($R221)),$R221-$Q221,"")</f>
        <v/>
      </c>
      <c r="Y221" s="71" t="str">
        <f>IF($AB221=1,IF(AND(ISNUMBER($V221),$M221&lt;&gt;"Converted",$M221&lt;&gt;"Rejected"),IF($V221&lt;=ReportDate,"DUE",""),""),"")</f>
        <v/>
      </c>
      <c r="Z221" s="75" t="str">
        <f>IF(ISNUMBER($Q221),$Q221,IF(ISNUMBER($A221),$A221,""))</f>
        <v/>
      </c>
      <c r="AA221" s="71" t="str">
        <f>IF(ISNUMBER($Z221),YEAR($Z221)&amp;"-"&amp;TEXT(MONTH($Z221),"00"),"")</f>
        <v/>
      </c>
      <c r="AB221" s="71">
        <f>IF($H221&lt;&gt;"",1,0)</f>
        <v>0</v>
      </c>
      <c r="AC221" s="71">
        <f>IF(AND($AB221=1,$G221="Yes"),1,0)</f>
        <v>0</v>
      </c>
      <c r="AD221" s="71">
        <f>IF(AND($AB221=1,$N221="MQL"),1,0)</f>
        <v>0</v>
      </c>
      <c r="AE221" s="71">
        <f>IF(AND($AB221=1,$O221="SQL"),1,0)</f>
        <v>0</v>
      </c>
      <c r="AF221" s="71">
        <f>IF(AND($AB221=1,OR($P221="Open",$P221="Won",$P221="Lost")),1,0)</f>
        <v>0</v>
      </c>
      <c r="AG221" s="71">
        <f>IF(AND($AB221=1,OR($M221="Converted",$P221="Won")),1,0)</f>
        <v>0</v>
      </c>
      <c r="AH221" s="71">
        <f>IF($AB221=0,0,IF(AND(OR(fClient="All",$B221=fClient),OR(fCampaign="All",$C221=fCampaign),OR(fTeam="All",$L221=fTeam),OR(fChannel="All",$F221=fChannel),OR(fMonth="All",$AA221=fMonth)),1,0))</f>
        <v>0</v>
      </c>
      <c r="AI221" s="71">
        <f>IF($AB221=0,0,IF(AND(OR(fClient="All",$B221=fClient),OR(fCampaign="All",$C221=fCampaign),OR(fTeam="All",$L221=fTeam),OR(fChannel="All",$F221=fChannel)),1,0))</f>
        <v>0</v>
      </c>
    </row>
    <row r="222">
      <c r="A222" s="63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3" t="n"/>
      <c r="R222" s="63" t="n"/>
      <c r="S222" s="63" t="n"/>
      <c r="T222" s="65" t="n"/>
      <c r="U222" s="65" t="n"/>
      <c r="V222" s="63" t="n"/>
      <c r="W222" s="65" t="n"/>
      <c r="X222" s="69" t="str">
        <f>IF(AND(ISNUMBER($Q222),ISNUMBER($R222)),$R222-$Q222,"")</f>
        <v/>
      </c>
      <c r="Y222" s="71" t="str">
        <f>IF($AB222=1,IF(AND(ISNUMBER($V222),$M222&lt;&gt;"Converted",$M222&lt;&gt;"Rejected"),IF($V222&lt;=ReportDate,"DUE",""),""),"")</f>
        <v/>
      </c>
      <c r="Z222" s="75" t="str">
        <f>IF(ISNUMBER($Q222),$Q222,IF(ISNUMBER($A222),$A222,""))</f>
        <v/>
      </c>
      <c r="AA222" s="71" t="str">
        <f>IF(ISNUMBER($Z222),YEAR($Z222)&amp;"-"&amp;TEXT(MONTH($Z222),"00"),"")</f>
        <v/>
      </c>
      <c r="AB222" s="71">
        <f>IF($H222&lt;&gt;"",1,0)</f>
        <v>0</v>
      </c>
      <c r="AC222" s="71">
        <f>IF(AND($AB222=1,$G222="Yes"),1,0)</f>
        <v>0</v>
      </c>
      <c r="AD222" s="71">
        <f>IF(AND($AB222=1,$N222="MQL"),1,0)</f>
        <v>0</v>
      </c>
      <c r="AE222" s="71">
        <f>IF(AND($AB222=1,$O222="SQL"),1,0)</f>
        <v>0</v>
      </c>
      <c r="AF222" s="71">
        <f>IF(AND($AB222=1,OR($P222="Open",$P222="Won",$P222="Lost")),1,0)</f>
        <v>0</v>
      </c>
      <c r="AG222" s="71">
        <f>IF(AND($AB222=1,OR($M222="Converted",$P222="Won")),1,0)</f>
        <v>0</v>
      </c>
      <c r="AH222" s="71">
        <f>IF($AB222=0,0,IF(AND(OR(fClient="All",$B222=fClient),OR(fCampaign="All",$C222=fCampaign),OR(fTeam="All",$L222=fTeam),OR(fChannel="All",$F222=fChannel),OR(fMonth="All",$AA222=fMonth)),1,0))</f>
        <v>0</v>
      </c>
      <c r="AI222" s="71">
        <f>IF($AB222=0,0,IF(AND(OR(fClient="All",$B222=fClient),OR(fCampaign="All",$C222=fCampaign),OR(fTeam="All",$L222=fTeam),OR(fChannel="All",$F222=fChannel)),1,0))</f>
        <v>0</v>
      </c>
    </row>
    <row r="223">
      <c r="A223" s="63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3" t="n"/>
      <c r="R223" s="63" t="n"/>
      <c r="S223" s="63" t="n"/>
      <c r="T223" s="65" t="n"/>
      <c r="U223" s="65" t="n"/>
      <c r="V223" s="63" t="n"/>
      <c r="W223" s="65" t="n"/>
      <c r="X223" s="69" t="str">
        <f>IF(AND(ISNUMBER($Q223),ISNUMBER($R223)),$R223-$Q223,"")</f>
        <v/>
      </c>
      <c r="Y223" s="71" t="str">
        <f>IF($AB223=1,IF(AND(ISNUMBER($V223),$M223&lt;&gt;"Converted",$M223&lt;&gt;"Rejected"),IF($V223&lt;=ReportDate,"DUE",""),""),"")</f>
        <v/>
      </c>
      <c r="Z223" s="75" t="str">
        <f>IF(ISNUMBER($Q223),$Q223,IF(ISNUMBER($A223),$A223,""))</f>
        <v/>
      </c>
      <c r="AA223" s="71" t="str">
        <f>IF(ISNUMBER($Z223),YEAR($Z223)&amp;"-"&amp;TEXT(MONTH($Z223),"00"),"")</f>
        <v/>
      </c>
      <c r="AB223" s="71">
        <f>IF($H223&lt;&gt;"",1,0)</f>
        <v>0</v>
      </c>
      <c r="AC223" s="71">
        <f>IF(AND($AB223=1,$G223="Yes"),1,0)</f>
        <v>0</v>
      </c>
      <c r="AD223" s="71">
        <f>IF(AND($AB223=1,$N223="MQL"),1,0)</f>
        <v>0</v>
      </c>
      <c r="AE223" s="71">
        <f>IF(AND($AB223=1,$O223="SQL"),1,0)</f>
        <v>0</v>
      </c>
      <c r="AF223" s="71">
        <f>IF(AND($AB223=1,OR($P223="Open",$P223="Won",$P223="Lost")),1,0)</f>
        <v>0</v>
      </c>
      <c r="AG223" s="71">
        <f>IF(AND($AB223=1,OR($M223="Converted",$P223="Won")),1,0)</f>
        <v>0</v>
      </c>
      <c r="AH223" s="71">
        <f>IF($AB223=0,0,IF(AND(OR(fClient="All",$B223=fClient),OR(fCampaign="All",$C223=fCampaign),OR(fTeam="All",$L223=fTeam),OR(fChannel="All",$F223=fChannel),OR(fMonth="All",$AA223=fMonth)),1,0))</f>
        <v>0</v>
      </c>
      <c r="AI223" s="71">
        <f>IF($AB223=0,0,IF(AND(OR(fClient="All",$B223=fClient),OR(fCampaign="All",$C223=fCampaign),OR(fTeam="All",$L223=fTeam),OR(fChannel="All",$F223=fChannel)),1,0))</f>
        <v>0</v>
      </c>
    </row>
    <row r="224">
      <c r="A224" s="63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3" t="n"/>
      <c r="R224" s="63" t="n"/>
      <c r="S224" s="63" t="n"/>
      <c r="T224" s="65" t="n"/>
      <c r="U224" s="65" t="n"/>
      <c r="V224" s="63" t="n"/>
      <c r="W224" s="65" t="n"/>
      <c r="X224" s="69" t="str">
        <f>IF(AND(ISNUMBER($Q224),ISNUMBER($R224)),$R224-$Q224,"")</f>
        <v/>
      </c>
      <c r="Y224" s="71" t="str">
        <f>IF($AB224=1,IF(AND(ISNUMBER($V224),$M224&lt;&gt;"Converted",$M224&lt;&gt;"Rejected"),IF($V224&lt;=ReportDate,"DUE",""),""),"")</f>
        <v/>
      </c>
      <c r="Z224" s="75" t="str">
        <f>IF(ISNUMBER($Q224),$Q224,IF(ISNUMBER($A224),$A224,""))</f>
        <v/>
      </c>
      <c r="AA224" s="71" t="str">
        <f>IF(ISNUMBER($Z224),YEAR($Z224)&amp;"-"&amp;TEXT(MONTH($Z224),"00"),"")</f>
        <v/>
      </c>
      <c r="AB224" s="71">
        <f>IF($H224&lt;&gt;"",1,0)</f>
        <v>0</v>
      </c>
      <c r="AC224" s="71">
        <f>IF(AND($AB224=1,$G224="Yes"),1,0)</f>
        <v>0</v>
      </c>
      <c r="AD224" s="71">
        <f>IF(AND($AB224=1,$N224="MQL"),1,0)</f>
        <v>0</v>
      </c>
      <c r="AE224" s="71">
        <f>IF(AND($AB224=1,$O224="SQL"),1,0)</f>
        <v>0</v>
      </c>
      <c r="AF224" s="71">
        <f>IF(AND($AB224=1,OR($P224="Open",$P224="Won",$P224="Lost")),1,0)</f>
        <v>0</v>
      </c>
      <c r="AG224" s="71">
        <f>IF(AND($AB224=1,OR($M224="Converted",$P224="Won")),1,0)</f>
        <v>0</v>
      </c>
      <c r="AH224" s="71">
        <f>IF($AB224=0,0,IF(AND(OR(fClient="All",$B224=fClient),OR(fCampaign="All",$C224=fCampaign),OR(fTeam="All",$L224=fTeam),OR(fChannel="All",$F224=fChannel),OR(fMonth="All",$AA224=fMonth)),1,0))</f>
        <v>0</v>
      </c>
      <c r="AI224" s="71">
        <f>IF($AB224=0,0,IF(AND(OR(fClient="All",$B224=fClient),OR(fCampaign="All",$C224=fCampaign),OR(fTeam="All",$L224=fTeam),OR(fChannel="All",$F224=fChannel)),1,0))</f>
        <v>0</v>
      </c>
    </row>
    <row r="225">
      <c r="A225" s="63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3" t="n"/>
      <c r="R225" s="63" t="n"/>
      <c r="S225" s="63" t="n"/>
      <c r="T225" s="65" t="n"/>
      <c r="U225" s="65" t="n"/>
      <c r="V225" s="63" t="n"/>
      <c r="W225" s="65" t="n"/>
      <c r="X225" s="69" t="str">
        <f>IF(AND(ISNUMBER($Q225),ISNUMBER($R225)),$R225-$Q225,"")</f>
        <v/>
      </c>
      <c r="Y225" s="71" t="str">
        <f>IF($AB225=1,IF(AND(ISNUMBER($V225),$M225&lt;&gt;"Converted",$M225&lt;&gt;"Rejected"),IF($V225&lt;=ReportDate,"DUE",""),""),"")</f>
        <v/>
      </c>
      <c r="Z225" s="75" t="str">
        <f>IF(ISNUMBER($Q225),$Q225,IF(ISNUMBER($A225),$A225,""))</f>
        <v/>
      </c>
      <c r="AA225" s="71" t="str">
        <f>IF(ISNUMBER($Z225),YEAR($Z225)&amp;"-"&amp;TEXT(MONTH($Z225),"00"),"")</f>
        <v/>
      </c>
      <c r="AB225" s="71">
        <f>IF($H225&lt;&gt;"",1,0)</f>
        <v>0</v>
      </c>
      <c r="AC225" s="71">
        <f>IF(AND($AB225=1,$G225="Yes"),1,0)</f>
        <v>0</v>
      </c>
      <c r="AD225" s="71">
        <f>IF(AND($AB225=1,$N225="MQL"),1,0)</f>
        <v>0</v>
      </c>
      <c r="AE225" s="71">
        <f>IF(AND($AB225=1,$O225="SQL"),1,0)</f>
        <v>0</v>
      </c>
      <c r="AF225" s="71">
        <f>IF(AND($AB225=1,OR($P225="Open",$P225="Won",$P225="Lost")),1,0)</f>
        <v>0</v>
      </c>
      <c r="AG225" s="71">
        <f>IF(AND($AB225=1,OR($M225="Converted",$P225="Won")),1,0)</f>
        <v>0</v>
      </c>
      <c r="AH225" s="71">
        <f>IF($AB225=0,0,IF(AND(OR(fClient="All",$B225=fClient),OR(fCampaign="All",$C225=fCampaign),OR(fTeam="All",$L225=fTeam),OR(fChannel="All",$F225=fChannel),OR(fMonth="All",$AA225=fMonth)),1,0))</f>
        <v>0</v>
      </c>
      <c r="AI225" s="71">
        <f>IF($AB225=0,0,IF(AND(OR(fClient="All",$B225=fClient),OR(fCampaign="All",$C225=fCampaign),OR(fTeam="All",$L225=fTeam),OR(fChannel="All",$F225=fChannel)),1,0))</f>
        <v>0</v>
      </c>
    </row>
    <row r="226">
      <c r="A226" s="63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3" t="n"/>
      <c r="R226" s="63" t="n"/>
      <c r="S226" s="63" t="n"/>
      <c r="T226" s="65" t="n"/>
      <c r="U226" s="65" t="n"/>
      <c r="V226" s="63" t="n"/>
      <c r="W226" s="65" t="n"/>
      <c r="X226" s="69" t="str">
        <f>IF(AND(ISNUMBER($Q226),ISNUMBER($R226)),$R226-$Q226,"")</f>
        <v/>
      </c>
      <c r="Y226" s="71" t="str">
        <f>IF($AB226=1,IF(AND(ISNUMBER($V226),$M226&lt;&gt;"Converted",$M226&lt;&gt;"Rejected"),IF($V226&lt;=ReportDate,"DUE",""),""),"")</f>
        <v/>
      </c>
      <c r="Z226" s="75" t="str">
        <f>IF(ISNUMBER($Q226),$Q226,IF(ISNUMBER($A226),$A226,""))</f>
        <v/>
      </c>
      <c r="AA226" s="71" t="str">
        <f>IF(ISNUMBER($Z226),YEAR($Z226)&amp;"-"&amp;TEXT(MONTH($Z226),"00"),"")</f>
        <v/>
      </c>
      <c r="AB226" s="71">
        <f>IF($H226&lt;&gt;"",1,0)</f>
        <v>0</v>
      </c>
      <c r="AC226" s="71">
        <f>IF(AND($AB226=1,$G226="Yes"),1,0)</f>
        <v>0</v>
      </c>
      <c r="AD226" s="71">
        <f>IF(AND($AB226=1,$N226="MQL"),1,0)</f>
        <v>0</v>
      </c>
      <c r="AE226" s="71">
        <f>IF(AND($AB226=1,$O226="SQL"),1,0)</f>
        <v>0</v>
      </c>
      <c r="AF226" s="71">
        <f>IF(AND($AB226=1,OR($P226="Open",$P226="Won",$P226="Lost")),1,0)</f>
        <v>0</v>
      </c>
      <c r="AG226" s="71">
        <f>IF(AND($AB226=1,OR($M226="Converted",$P226="Won")),1,0)</f>
        <v>0</v>
      </c>
      <c r="AH226" s="71">
        <f>IF($AB226=0,0,IF(AND(OR(fClient="All",$B226=fClient),OR(fCampaign="All",$C226=fCampaign),OR(fTeam="All",$L226=fTeam),OR(fChannel="All",$F226=fChannel),OR(fMonth="All",$AA226=fMonth)),1,0))</f>
        <v>0</v>
      </c>
      <c r="AI226" s="71">
        <f>IF($AB226=0,0,IF(AND(OR(fClient="All",$B226=fClient),OR(fCampaign="All",$C226=fCampaign),OR(fTeam="All",$L226=fTeam),OR(fChannel="All",$F226=fChannel)),1,0))</f>
        <v>0</v>
      </c>
    </row>
    <row r="227">
      <c r="A227" s="63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3" t="n"/>
      <c r="R227" s="63" t="n"/>
      <c r="S227" s="63" t="n"/>
      <c r="T227" s="65" t="n"/>
      <c r="U227" s="65" t="n"/>
      <c r="V227" s="63" t="n"/>
      <c r="W227" s="65" t="n"/>
      <c r="X227" s="69" t="str">
        <f>IF(AND(ISNUMBER($Q227),ISNUMBER($R227)),$R227-$Q227,"")</f>
        <v/>
      </c>
      <c r="Y227" s="71" t="str">
        <f>IF($AB227=1,IF(AND(ISNUMBER($V227),$M227&lt;&gt;"Converted",$M227&lt;&gt;"Rejected"),IF($V227&lt;=ReportDate,"DUE",""),""),"")</f>
        <v/>
      </c>
      <c r="Z227" s="75" t="str">
        <f>IF(ISNUMBER($Q227),$Q227,IF(ISNUMBER($A227),$A227,""))</f>
        <v/>
      </c>
      <c r="AA227" s="71" t="str">
        <f>IF(ISNUMBER($Z227),YEAR($Z227)&amp;"-"&amp;TEXT(MONTH($Z227),"00"),"")</f>
        <v/>
      </c>
      <c r="AB227" s="71">
        <f>IF($H227&lt;&gt;"",1,0)</f>
        <v>0</v>
      </c>
      <c r="AC227" s="71">
        <f>IF(AND($AB227=1,$G227="Yes"),1,0)</f>
        <v>0</v>
      </c>
      <c r="AD227" s="71">
        <f>IF(AND($AB227=1,$N227="MQL"),1,0)</f>
        <v>0</v>
      </c>
      <c r="AE227" s="71">
        <f>IF(AND($AB227=1,$O227="SQL"),1,0)</f>
        <v>0</v>
      </c>
      <c r="AF227" s="71">
        <f>IF(AND($AB227=1,OR($P227="Open",$P227="Won",$P227="Lost")),1,0)</f>
        <v>0</v>
      </c>
      <c r="AG227" s="71">
        <f>IF(AND($AB227=1,OR($M227="Converted",$P227="Won")),1,0)</f>
        <v>0</v>
      </c>
      <c r="AH227" s="71">
        <f>IF($AB227=0,0,IF(AND(OR(fClient="All",$B227=fClient),OR(fCampaign="All",$C227=fCampaign),OR(fTeam="All",$L227=fTeam),OR(fChannel="All",$F227=fChannel),OR(fMonth="All",$AA227=fMonth)),1,0))</f>
        <v>0</v>
      </c>
      <c r="AI227" s="71">
        <f>IF($AB227=0,0,IF(AND(OR(fClient="All",$B227=fClient),OR(fCampaign="All",$C227=fCampaign),OR(fTeam="All",$L227=fTeam),OR(fChannel="All",$F227=fChannel)),1,0))</f>
        <v>0</v>
      </c>
    </row>
    <row r="228">
      <c r="A228" s="63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3" t="n"/>
      <c r="R228" s="63" t="n"/>
      <c r="S228" s="63" t="n"/>
      <c r="T228" s="65" t="n"/>
      <c r="U228" s="65" t="n"/>
      <c r="V228" s="63" t="n"/>
      <c r="W228" s="65" t="n"/>
      <c r="X228" s="69" t="str">
        <f>IF(AND(ISNUMBER($Q228),ISNUMBER($R228)),$R228-$Q228,"")</f>
        <v/>
      </c>
      <c r="Y228" s="71" t="str">
        <f>IF($AB228=1,IF(AND(ISNUMBER($V228),$M228&lt;&gt;"Converted",$M228&lt;&gt;"Rejected"),IF($V228&lt;=ReportDate,"DUE",""),""),"")</f>
        <v/>
      </c>
      <c r="Z228" s="75" t="str">
        <f>IF(ISNUMBER($Q228),$Q228,IF(ISNUMBER($A228),$A228,""))</f>
        <v/>
      </c>
      <c r="AA228" s="71" t="str">
        <f>IF(ISNUMBER($Z228),YEAR($Z228)&amp;"-"&amp;TEXT(MONTH($Z228),"00"),"")</f>
        <v/>
      </c>
      <c r="AB228" s="71">
        <f>IF($H228&lt;&gt;"",1,0)</f>
        <v>0</v>
      </c>
      <c r="AC228" s="71">
        <f>IF(AND($AB228=1,$G228="Yes"),1,0)</f>
        <v>0</v>
      </c>
      <c r="AD228" s="71">
        <f>IF(AND($AB228=1,$N228="MQL"),1,0)</f>
        <v>0</v>
      </c>
      <c r="AE228" s="71">
        <f>IF(AND($AB228=1,$O228="SQL"),1,0)</f>
        <v>0</v>
      </c>
      <c r="AF228" s="71">
        <f>IF(AND($AB228=1,OR($P228="Open",$P228="Won",$P228="Lost")),1,0)</f>
        <v>0</v>
      </c>
      <c r="AG228" s="71">
        <f>IF(AND($AB228=1,OR($M228="Converted",$P228="Won")),1,0)</f>
        <v>0</v>
      </c>
      <c r="AH228" s="71">
        <f>IF($AB228=0,0,IF(AND(OR(fClient="All",$B228=fClient),OR(fCampaign="All",$C228=fCampaign),OR(fTeam="All",$L228=fTeam),OR(fChannel="All",$F228=fChannel),OR(fMonth="All",$AA228=fMonth)),1,0))</f>
        <v>0</v>
      </c>
      <c r="AI228" s="71">
        <f>IF($AB228=0,0,IF(AND(OR(fClient="All",$B228=fClient),OR(fCampaign="All",$C228=fCampaign),OR(fTeam="All",$L228=fTeam),OR(fChannel="All",$F228=fChannel)),1,0))</f>
        <v>0</v>
      </c>
    </row>
    <row r="229">
      <c r="A229" s="63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3" t="n"/>
      <c r="R229" s="63" t="n"/>
      <c r="S229" s="63" t="n"/>
      <c r="T229" s="65" t="n"/>
      <c r="U229" s="65" t="n"/>
      <c r="V229" s="63" t="n"/>
      <c r="W229" s="65" t="n"/>
      <c r="X229" s="69" t="str">
        <f>IF(AND(ISNUMBER($Q229),ISNUMBER($R229)),$R229-$Q229,"")</f>
        <v/>
      </c>
      <c r="Y229" s="71" t="str">
        <f>IF($AB229=1,IF(AND(ISNUMBER($V229),$M229&lt;&gt;"Converted",$M229&lt;&gt;"Rejected"),IF($V229&lt;=ReportDate,"DUE",""),""),"")</f>
        <v/>
      </c>
      <c r="Z229" s="75" t="str">
        <f>IF(ISNUMBER($Q229),$Q229,IF(ISNUMBER($A229),$A229,""))</f>
        <v/>
      </c>
      <c r="AA229" s="71" t="str">
        <f>IF(ISNUMBER($Z229),YEAR($Z229)&amp;"-"&amp;TEXT(MONTH($Z229),"00"),"")</f>
        <v/>
      </c>
      <c r="AB229" s="71">
        <f>IF($H229&lt;&gt;"",1,0)</f>
        <v>0</v>
      </c>
      <c r="AC229" s="71">
        <f>IF(AND($AB229=1,$G229="Yes"),1,0)</f>
        <v>0</v>
      </c>
      <c r="AD229" s="71">
        <f>IF(AND($AB229=1,$N229="MQL"),1,0)</f>
        <v>0</v>
      </c>
      <c r="AE229" s="71">
        <f>IF(AND($AB229=1,$O229="SQL"),1,0)</f>
        <v>0</v>
      </c>
      <c r="AF229" s="71">
        <f>IF(AND($AB229=1,OR($P229="Open",$P229="Won",$P229="Lost")),1,0)</f>
        <v>0</v>
      </c>
      <c r="AG229" s="71">
        <f>IF(AND($AB229=1,OR($M229="Converted",$P229="Won")),1,0)</f>
        <v>0</v>
      </c>
      <c r="AH229" s="71">
        <f>IF($AB229=0,0,IF(AND(OR(fClient="All",$B229=fClient),OR(fCampaign="All",$C229=fCampaign),OR(fTeam="All",$L229=fTeam),OR(fChannel="All",$F229=fChannel),OR(fMonth="All",$AA229=fMonth)),1,0))</f>
        <v>0</v>
      </c>
      <c r="AI229" s="71">
        <f>IF($AB229=0,0,IF(AND(OR(fClient="All",$B229=fClient),OR(fCampaign="All",$C229=fCampaign),OR(fTeam="All",$L229=fTeam),OR(fChannel="All",$F229=fChannel)),1,0))</f>
        <v>0</v>
      </c>
    </row>
    <row r="230">
      <c r="A230" s="63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3" t="n"/>
      <c r="R230" s="63" t="n"/>
      <c r="S230" s="63" t="n"/>
      <c r="T230" s="65" t="n"/>
      <c r="U230" s="65" t="n"/>
      <c r="V230" s="63" t="n"/>
      <c r="W230" s="65" t="n"/>
      <c r="X230" s="69" t="str">
        <f>IF(AND(ISNUMBER($Q230),ISNUMBER($R230)),$R230-$Q230,"")</f>
        <v/>
      </c>
      <c r="Y230" s="71" t="str">
        <f>IF($AB230=1,IF(AND(ISNUMBER($V230),$M230&lt;&gt;"Converted",$M230&lt;&gt;"Rejected"),IF($V230&lt;=ReportDate,"DUE",""),""),"")</f>
        <v/>
      </c>
      <c r="Z230" s="75" t="str">
        <f>IF(ISNUMBER($Q230),$Q230,IF(ISNUMBER($A230),$A230,""))</f>
        <v/>
      </c>
      <c r="AA230" s="71" t="str">
        <f>IF(ISNUMBER($Z230),YEAR($Z230)&amp;"-"&amp;TEXT(MONTH($Z230),"00"),"")</f>
        <v/>
      </c>
      <c r="AB230" s="71">
        <f>IF($H230&lt;&gt;"",1,0)</f>
        <v>0</v>
      </c>
      <c r="AC230" s="71">
        <f>IF(AND($AB230=1,$G230="Yes"),1,0)</f>
        <v>0</v>
      </c>
      <c r="AD230" s="71">
        <f>IF(AND($AB230=1,$N230="MQL"),1,0)</f>
        <v>0</v>
      </c>
      <c r="AE230" s="71">
        <f>IF(AND($AB230=1,$O230="SQL"),1,0)</f>
        <v>0</v>
      </c>
      <c r="AF230" s="71">
        <f>IF(AND($AB230=1,OR($P230="Open",$P230="Won",$P230="Lost")),1,0)</f>
        <v>0</v>
      </c>
      <c r="AG230" s="71">
        <f>IF(AND($AB230=1,OR($M230="Converted",$P230="Won")),1,0)</f>
        <v>0</v>
      </c>
      <c r="AH230" s="71">
        <f>IF($AB230=0,0,IF(AND(OR(fClient="All",$B230=fClient),OR(fCampaign="All",$C230=fCampaign),OR(fTeam="All",$L230=fTeam),OR(fChannel="All",$F230=fChannel),OR(fMonth="All",$AA230=fMonth)),1,0))</f>
        <v>0</v>
      </c>
      <c r="AI230" s="71">
        <f>IF($AB230=0,0,IF(AND(OR(fClient="All",$B230=fClient),OR(fCampaign="All",$C230=fCampaign),OR(fTeam="All",$L230=fTeam),OR(fChannel="All",$F230=fChannel)),1,0))</f>
        <v>0</v>
      </c>
    </row>
    <row r="231">
      <c r="A231" s="63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3" t="n"/>
      <c r="R231" s="63" t="n"/>
      <c r="S231" s="63" t="n"/>
      <c r="T231" s="65" t="n"/>
      <c r="U231" s="65" t="n"/>
      <c r="V231" s="63" t="n"/>
      <c r="W231" s="65" t="n"/>
      <c r="X231" s="69" t="str">
        <f>IF(AND(ISNUMBER($Q231),ISNUMBER($R231)),$R231-$Q231,"")</f>
        <v/>
      </c>
      <c r="Y231" s="71" t="str">
        <f>IF($AB231=1,IF(AND(ISNUMBER($V231),$M231&lt;&gt;"Converted",$M231&lt;&gt;"Rejected"),IF($V231&lt;=ReportDate,"DUE",""),""),"")</f>
        <v/>
      </c>
      <c r="Z231" s="75" t="str">
        <f>IF(ISNUMBER($Q231),$Q231,IF(ISNUMBER($A231),$A231,""))</f>
        <v/>
      </c>
      <c r="AA231" s="71" t="str">
        <f>IF(ISNUMBER($Z231),YEAR($Z231)&amp;"-"&amp;TEXT(MONTH($Z231),"00"),"")</f>
        <v/>
      </c>
      <c r="AB231" s="71">
        <f>IF($H231&lt;&gt;"",1,0)</f>
        <v>0</v>
      </c>
      <c r="AC231" s="71">
        <f>IF(AND($AB231=1,$G231="Yes"),1,0)</f>
        <v>0</v>
      </c>
      <c r="AD231" s="71">
        <f>IF(AND($AB231=1,$N231="MQL"),1,0)</f>
        <v>0</v>
      </c>
      <c r="AE231" s="71">
        <f>IF(AND($AB231=1,$O231="SQL"),1,0)</f>
        <v>0</v>
      </c>
      <c r="AF231" s="71">
        <f>IF(AND($AB231=1,OR($P231="Open",$P231="Won",$P231="Lost")),1,0)</f>
        <v>0</v>
      </c>
      <c r="AG231" s="71">
        <f>IF(AND($AB231=1,OR($M231="Converted",$P231="Won")),1,0)</f>
        <v>0</v>
      </c>
      <c r="AH231" s="71">
        <f>IF($AB231=0,0,IF(AND(OR(fClient="All",$B231=fClient),OR(fCampaign="All",$C231=fCampaign),OR(fTeam="All",$L231=fTeam),OR(fChannel="All",$F231=fChannel),OR(fMonth="All",$AA231=fMonth)),1,0))</f>
        <v>0</v>
      </c>
      <c r="AI231" s="71">
        <f>IF($AB231=0,0,IF(AND(OR(fClient="All",$B231=fClient),OR(fCampaign="All",$C231=fCampaign),OR(fTeam="All",$L231=fTeam),OR(fChannel="All",$F231=fChannel)),1,0))</f>
        <v>0</v>
      </c>
    </row>
    <row r="232">
      <c r="A232" s="63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3" t="n"/>
      <c r="R232" s="63" t="n"/>
      <c r="S232" s="63" t="n"/>
      <c r="T232" s="65" t="n"/>
      <c r="U232" s="65" t="n"/>
      <c r="V232" s="63" t="n"/>
      <c r="W232" s="65" t="n"/>
      <c r="X232" s="69" t="str">
        <f>IF(AND(ISNUMBER($Q232),ISNUMBER($R232)),$R232-$Q232,"")</f>
        <v/>
      </c>
      <c r="Y232" s="71" t="str">
        <f>IF($AB232=1,IF(AND(ISNUMBER($V232),$M232&lt;&gt;"Converted",$M232&lt;&gt;"Rejected"),IF($V232&lt;=ReportDate,"DUE",""),""),"")</f>
        <v/>
      </c>
      <c r="Z232" s="75" t="str">
        <f>IF(ISNUMBER($Q232),$Q232,IF(ISNUMBER($A232),$A232,""))</f>
        <v/>
      </c>
      <c r="AA232" s="71" t="str">
        <f>IF(ISNUMBER($Z232),YEAR($Z232)&amp;"-"&amp;TEXT(MONTH($Z232),"00"),"")</f>
        <v/>
      </c>
      <c r="AB232" s="71">
        <f>IF($H232&lt;&gt;"",1,0)</f>
        <v>0</v>
      </c>
      <c r="AC232" s="71">
        <f>IF(AND($AB232=1,$G232="Yes"),1,0)</f>
        <v>0</v>
      </c>
      <c r="AD232" s="71">
        <f>IF(AND($AB232=1,$N232="MQL"),1,0)</f>
        <v>0</v>
      </c>
      <c r="AE232" s="71">
        <f>IF(AND($AB232=1,$O232="SQL"),1,0)</f>
        <v>0</v>
      </c>
      <c r="AF232" s="71">
        <f>IF(AND($AB232=1,OR($P232="Open",$P232="Won",$P232="Lost")),1,0)</f>
        <v>0</v>
      </c>
      <c r="AG232" s="71">
        <f>IF(AND($AB232=1,OR($M232="Converted",$P232="Won")),1,0)</f>
        <v>0</v>
      </c>
      <c r="AH232" s="71">
        <f>IF($AB232=0,0,IF(AND(OR(fClient="All",$B232=fClient),OR(fCampaign="All",$C232=fCampaign),OR(fTeam="All",$L232=fTeam),OR(fChannel="All",$F232=fChannel),OR(fMonth="All",$AA232=fMonth)),1,0))</f>
        <v>0</v>
      </c>
      <c r="AI232" s="71">
        <f>IF($AB232=0,0,IF(AND(OR(fClient="All",$B232=fClient),OR(fCampaign="All",$C232=fCampaign),OR(fTeam="All",$L232=fTeam),OR(fChannel="All",$F232=fChannel)),1,0))</f>
        <v>0</v>
      </c>
    </row>
    <row r="233">
      <c r="A233" s="63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3" t="n"/>
      <c r="R233" s="63" t="n"/>
      <c r="S233" s="63" t="n"/>
      <c r="T233" s="65" t="n"/>
      <c r="U233" s="65" t="n"/>
      <c r="V233" s="63" t="n"/>
      <c r="W233" s="65" t="n"/>
      <c r="X233" s="69" t="str">
        <f>IF(AND(ISNUMBER($Q233),ISNUMBER($R233)),$R233-$Q233,"")</f>
        <v/>
      </c>
      <c r="Y233" s="71" t="str">
        <f>IF($AB233=1,IF(AND(ISNUMBER($V233),$M233&lt;&gt;"Converted",$M233&lt;&gt;"Rejected"),IF($V233&lt;=ReportDate,"DUE",""),""),"")</f>
        <v/>
      </c>
      <c r="Z233" s="75" t="str">
        <f>IF(ISNUMBER($Q233),$Q233,IF(ISNUMBER($A233),$A233,""))</f>
        <v/>
      </c>
      <c r="AA233" s="71" t="str">
        <f>IF(ISNUMBER($Z233),YEAR($Z233)&amp;"-"&amp;TEXT(MONTH($Z233),"00"),"")</f>
        <v/>
      </c>
      <c r="AB233" s="71">
        <f>IF($H233&lt;&gt;"",1,0)</f>
        <v>0</v>
      </c>
      <c r="AC233" s="71">
        <f>IF(AND($AB233=1,$G233="Yes"),1,0)</f>
        <v>0</v>
      </c>
      <c r="AD233" s="71">
        <f>IF(AND($AB233=1,$N233="MQL"),1,0)</f>
        <v>0</v>
      </c>
      <c r="AE233" s="71">
        <f>IF(AND($AB233=1,$O233="SQL"),1,0)</f>
        <v>0</v>
      </c>
      <c r="AF233" s="71">
        <f>IF(AND($AB233=1,OR($P233="Open",$P233="Won",$P233="Lost")),1,0)</f>
        <v>0</v>
      </c>
      <c r="AG233" s="71">
        <f>IF(AND($AB233=1,OR($M233="Converted",$P233="Won")),1,0)</f>
        <v>0</v>
      </c>
      <c r="AH233" s="71">
        <f>IF($AB233=0,0,IF(AND(OR(fClient="All",$B233=fClient),OR(fCampaign="All",$C233=fCampaign),OR(fTeam="All",$L233=fTeam),OR(fChannel="All",$F233=fChannel),OR(fMonth="All",$AA233=fMonth)),1,0))</f>
        <v>0</v>
      </c>
      <c r="AI233" s="71">
        <f>IF($AB233=0,0,IF(AND(OR(fClient="All",$B233=fClient),OR(fCampaign="All",$C233=fCampaign),OR(fTeam="All",$L233=fTeam),OR(fChannel="All",$F233=fChannel)),1,0))</f>
        <v>0</v>
      </c>
    </row>
    <row r="234">
      <c r="A234" s="63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3" t="n"/>
      <c r="R234" s="63" t="n"/>
      <c r="S234" s="63" t="n"/>
      <c r="T234" s="65" t="n"/>
      <c r="U234" s="65" t="n"/>
      <c r="V234" s="63" t="n"/>
      <c r="W234" s="65" t="n"/>
      <c r="X234" s="69" t="str">
        <f>IF(AND(ISNUMBER($Q234),ISNUMBER($R234)),$R234-$Q234,"")</f>
        <v/>
      </c>
      <c r="Y234" s="71" t="str">
        <f>IF($AB234=1,IF(AND(ISNUMBER($V234),$M234&lt;&gt;"Converted",$M234&lt;&gt;"Rejected"),IF($V234&lt;=ReportDate,"DUE",""),""),"")</f>
        <v/>
      </c>
      <c r="Z234" s="75" t="str">
        <f>IF(ISNUMBER($Q234),$Q234,IF(ISNUMBER($A234),$A234,""))</f>
        <v/>
      </c>
      <c r="AA234" s="71" t="str">
        <f>IF(ISNUMBER($Z234),YEAR($Z234)&amp;"-"&amp;TEXT(MONTH($Z234),"00"),"")</f>
        <v/>
      </c>
      <c r="AB234" s="71">
        <f>IF($H234&lt;&gt;"",1,0)</f>
        <v>0</v>
      </c>
      <c r="AC234" s="71">
        <f>IF(AND($AB234=1,$G234="Yes"),1,0)</f>
        <v>0</v>
      </c>
      <c r="AD234" s="71">
        <f>IF(AND($AB234=1,$N234="MQL"),1,0)</f>
        <v>0</v>
      </c>
      <c r="AE234" s="71">
        <f>IF(AND($AB234=1,$O234="SQL"),1,0)</f>
        <v>0</v>
      </c>
      <c r="AF234" s="71">
        <f>IF(AND($AB234=1,OR($P234="Open",$P234="Won",$P234="Lost")),1,0)</f>
        <v>0</v>
      </c>
      <c r="AG234" s="71">
        <f>IF(AND($AB234=1,OR($M234="Converted",$P234="Won")),1,0)</f>
        <v>0</v>
      </c>
      <c r="AH234" s="71">
        <f>IF($AB234=0,0,IF(AND(OR(fClient="All",$B234=fClient),OR(fCampaign="All",$C234=fCampaign),OR(fTeam="All",$L234=fTeam),OR(fChannel="All",$F234=fChannel),OR(fMonth="All",$AA234=fMonth)),1,0))</f>
        <v>0</v>
      </c>
      <c r="AI234" s="71">
        <f>IF($AB234=0,0,IF(AND(OR(fClient="All",$B234=fClient),OR(fCampaign="All",$C234=fCampaign),OR(fTeam="All",$L234=fTeam),OR(fChannel="All",$F234=fChannel)),1,0))</f>
        <v>0</v>
      </c>
    </row>
    <row r="235">
      <c r="A235" s="63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3" t="n"/>
      <c r="R235" s="63" t="n"/>
      <c r="S235" s="63" t="n"/>
      <c r="T235" s="65" t="n"/>
      <c r="U235" s="65" t="n"/>
      <c r="V235" s="63" t="n"/>
      <c r="W235" s="65" t="n"/>
      <c r="X235" s="69" t="str">
        <f>IF(AND(ISNUMBER($Q235),ISNUMBER($R235)),$R235-$Q235,"")</f>
        <v/>
      </c>
      <c r="Y235" s="71" t="str">
        <f>IF($AB235=1,IF(AND(ISNUMBER($V235),$M235&lt;&gt;"Converted",$M235&lt;&gt;"Rejected"),IF($V235&lt;=ReportDate,"DUE",""),""),"")</f>
        <v/>
      </c>
      <c r="Z235" s="75" t="str">
        <f>IF(ISNUMBER($Q235),$Q235,IF(ISNUMBER($A235),$A235,""))</f>
        <v/>
      </c>
      <c r="AA235" s="71" t="str">
        <f>IF(ISNUMBER($Z235),YEAR($Z235)&amp;"-"&amp;TEXT(MONTH($Z235),"00"),"")</f>
        <v/>
      </c>
      <c r="AB235" s="71">
        <f>IF($H235&lt;&gt;"",1,0)</f>
        <v>0</v>
      </c>
      <c r="AC235" s="71">
        <f>IF(AND($AB235=1,$G235="Yes"),1,0)</f>
        <v>0</v>
      </c>
      <c r="AD235" s="71">
        <f>IF(AND($AB235=1,$N235="MQL"),1,0)</f>
        <v>0</v>
      </c>
      <c r="AE235" s="71">
        <f>IF(AND($AB235=1,$O235="SQL"),1,0)</f>
        <v>0</v>
      </c>
      <c r="AF235" s="71">
        <f>IF(AND($AB235=1,OR($P235="Open",$P235="Won",$P235="Lost")),1,0)</f>
        <v>0</v>
      </c>
      <c r="AG235" s="71">
        <f>IF(AND($AB235=1,OR($M235="Converted",$P235="Won")),1,0)</f>
        <v>0</v>
      </c>
      <c r="AH235" s="71">
        <f>IF($AB235=0,0,IF(AND(OR(fClient="All",$B235=fClient),OR(fCampaign="All",$C235=fCampaign),OR(fTeam="All",$L235=fTeam),OR(fChannel="All",$F235=fChannel),OR(fMonth="All",$AA235=fMonth)),1,0))</f>
        <v>0</v>
      </c>
      <c r="AI235" s="71">
        <f>IF($AB235=0,0,IF(AND(OR(fClient="All",$B235=fClient),OR(fCampaign="All",$C235=fCampaign),OR(fTeam="All",$L235=fTeam),OR(fChannel="All",$F235=fChannel)),1,0))</f>
        <v>0</v>
      </c>
    </row>
    <row r="236">
      <c r="A236" s="63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3" t="n"/>
      <c r="R236" s="63" t="n"/>
      <c r="S236" s="63" t="n"/>
      <c r="T236" s="65" t="n"/>
      <c r="U236" s="65" t="n"/>
      <c r="V236" s="63" t="n"/>
      <c r="W236" s="65" t="n"/>
      <c r="X236" s="69" t="str">
        <f>IF(AND(ISNUMBER($Q236),ISNUMBER($R236)),$R236-$Q236,"")</f>
        <v/>
      </c>
      <c r="Y236" s="71" t="str">
        <f>IF($AB236=1,IF(AND(ISNUMBER($V236),$M236&lt;&gt;"Converted",$M236&lt;&gt;"Rejected"),IF($V236&lt;=ReportDate,"DUE",""),""),"")</f>
        <v/>
      </c>
      <c r="Z236" s="75" t="str">
        <f>IF(ISNUMBER($Q236),$Q236,IF(ISNUMBER($A236),$A236,""))</f>
        <v/>
      </c>
      <c r="AA236" s="71" t="str">
        <f>IF(ISNUMBER($Z236),YEAR($Z236)&amp;"-"&amp;TEXT(MONTH($Z236),"00"),"")</f>
        <v/>
      </c>
      <c r="AB236" s="71">
        <f>IF($H236&lt;&gt;"",1,0)</f>
        <v>0</v>
      </c>
      <c r="AC236" s="71">
        <f>IF(AND($AB236=1,$G236="Yes"),1,0)</f>
        <v>0</v>
      </c>
      <c r="AD236" s="71">
        <f>IF(AND($AB236=1,$N236="MQL"),1,0)</f>
        <v>0</v>
      </c>
      <c r="AE236" s="71">
        <f>IF(AND($AB236=1,$O236="SQL"),1,0)</f>
        <v>0</v>
      </c>
      <c r="AF236" s="71">
        <f>IF(AND($AB236=1,OR($P236="Open",$P236="Won",$P236="Lost")),1,0)</f>
        <v>0</v>
      </c>
      <c r="AG236" s="71">
        <f>IF(AND($AB236=1,OR($M236="Converted",$P236="Won")),1,0)</f>
        <v>0</v>
      </c>
      <c r="AH236" s="71">
        <f>IF($AB236=0,0,IF(AND(OR(fClient="All",$B236=fClient),OR(fCampaign="All",$C236=fCampaign),OR(fTeam="All",$L236=fTeam),OR(fChannel="All",$F236=fChannel),OR(fMonth="All",$AA236=fMonth)),1,0))</f>
        <v>0</v>
      </c>
      <c r="AI236" s="71">
        <f>IF($AB236=0,0,IF(AND(OR(fClient="All",$B236=fClient),OR(fCampaign="All",$C236=fCampaign),OR(fTeam="All",$L236=fTeam),OR(fChannel="All",$F236=fChannel)),1,0))</f>
        <v>0</v>
      </c>
    </row>
    <row r="237">
      <c r="A237" s="63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3" t="n"/>
      <c r="R237" s="63" t="n"/>
      <c r="S237" s="63" t="n"/>
      <c r="T237" s="65" t="n"/>
      <c r="U237" s="65" t="n"/>
      <c r="V237" s="63" t="n"/>
      <c r="W237" s="65" t="n"/>
      <c r="X237" s="69" t="str">
        <f>IF(AND(ISNUMBER($Q237),ISNUMBER($R237)),$R237-$Q237,"")</f>
        <v/>
      </c>
      <c r="Y237" s="71" t="str">
        <f>IF($AB237=1,IF(AND(ISNUMBER($V237),$M237&lt;&gt;"Converted",$M237&lt;&gt;"Rejected"),IF($V237&lt;=ReportDate,"DUE",""),""),"")</f>
        <v/>
      </c>
      <c r="Z237" s="75" t="str">
        <f>IF(ISNUMBER($Q237),$Q237,IF(ISNUMBER($A237),$A237,""))</f>
        <v/>
      </c>
      <c r="AA237" s="71" t="str">
        <f>IF(ISNUMBER($Z237),YEAR($Z237)&amp;"-"&amp;TEXT(MONTH($Z237),"00"),"")</f>
        <v/>
      </c>
      <c r="AB237" s="71">
        <f>IF($H237&lt;&gt;"",1,0)</f>
        <v>0</v>
      </c>
      <c r="AC237" s="71">
        <f>IF(AND($AB237=1,$G237="Yes"),1,0)</f>
        <v>0</v>
      </c>
      <c r="AD237" s="71">
        <f>IF(AND($AB237=1,$N237="MQL"),1,0)</f>
        <v>0</v>
      </c>
      <c r="AE237" s="71">
        <f>IF(AND($AB237=1,$O237="SQL"),1,0)</f>
        <v>0</v>
      </c>
      <c r="AF237" s="71">
        <f>IF(AND($AB237=1,OR($P237="Open",$P237="Won",$P237="Lost")),1,0)</f>
        <v>0</v>
      </c>
      <c r="AG237" s="71">
        <f>IF(AND($AB237=1,OR($M237="Converted",$P237="Won")),1,0)</f>
        <v>0</v>
      </c>
      <c r="AH237" s="71">
        <f>IF($AB237=0,0,IF(AND(OR(fClient="All",$B237=fClient),OR(fCampaign="All",$C237=fCampaign),OR(fTeam="All",$L237=fTeam),OR(fChannel="All",$F237=fChannel),OR(fMonth="All",$AA237=fMonth)),1,0))</f>
        <v>0</v>
      </c>
      <c r="AI237" s="71">
        <f>IF($AB237=0,0,IF(AND(OR(fClient="All",$B237=fClient),OR(fCampaign="All",$C237=fCampaign),OR(fTeam="All",$L237=fTeam),OR(fChannel="All",$F237=fChannel)),1,0))</f>
        <v>0</v>
      </c>
    </row>
    <row r="238">
      <c r="A238" s="63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3" t="n"/>
      <c r="R238" s="63" t="n"/>
      <c r="S238" s="63" t="n"/>
      <c r="T238" s="65" t="n"/>
      <c r="U238" s="65" t="n"/>
      <c r="V238" s="63" t="n"/>
      <c r="W238" s="65" t="n"/>
      <c r="X238" s="69" t="str">
        <f>IF(AND(ISNUMBER($Q238),ISNUMBER($R238)),$R238-$Q238,"")</f>
        <v/>
      </c>
      <c r="Y238" s="71" t="str">
        <f>IF($AB238=1,IF(AND(ISNUMBER($V238),$M238&lt;&gt;"Converted",$M238&lt;&gt;"Rejected"),IF($V238&lt;=ReportDate,"DUE",""),""),"")</f>
        <v/>
      </c>
      <c r="Z238" s="75" t="str">
        <f>IF(ISNUMBER($Q238),$Q238,IF(ISNUMBER($A238),$A238,""))</f>
        <v/>
      </c>
      <c r="AA238" s="71" t="str">
        <f>IF(ISNUMBER($Z238),YEAR($Z238)&amp;"-"&amp;TEXT(MONTH($Z238),"00"),"")</f>
        <v/>
      </c>
      <c r="AB238" s="71">
        <f>IF($H238&lt;&gt;"",1,0)</f>
        <v>0</v>
      </c>
      <c r="AC238" s="71">
        <f>IF(AND($AB238=1,$G238="Yes"),1,0)</f>
        <v>0</v>
      </c>
      <c r="AD238" s="71">
        <f>IF(AND($AB238=1,$N238="MQL"),1,0)</f>
        <v>0</v>
      </c>
      <c r="AE238" s="71">
        <f>IF(AND($AB238=1,$O238="SQL"),1,0)</f>
        <v>0</v>
      </c>
      <c r="AF238" s="71">
        <f>IF(AND($AB238=1,OR($P238="Open",$P238="Won",$P238="Lost")),1,0)</f>
        <v>0</v>
      </c>
      <c r="AG238" s="71">
        <f>IF(AND($AB238=1,OR($M238="Converted",$P238="Won")),1,0)</f>
        <v>0</v>
      </c>
      <c r="AH238" s="71">
        <f>IF($AB238=0,0,IF(AND(OR(fClient="All",$B238=fClient),OR(fCampaign="All",$C238=fCampaign),OR(fTeam="All",$L238=fTeam),OR(fChannel="All",$F238=fChannel),OR(fMonth="All",$AA238=fMonth)),1,0))</f>
        <v>0</v>
      </c>
      <c r="AI238" s="71">
        <f>IF($AB238=0,0,IF(AND(OR(fClient="All",$B238=fClient),OR(fCampaign="All",$C238=fCampaign),OR(fTeam="All",$L238=fTeam),OR(fChannel="All",$F238=fChannel)),1,0))</f>
        <v>0</v>
      </c>
    </row>
    <row r="239">
      <c r="A239" s="63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3" t="n"/>
      <c r="R239" s="63" t="n"/>
      <c r="S239" s="63" t="n"/>
      <c r="T239" s="65" t="n"/>
      <c r="U239" s="65" t="n"/>
      <c r="V239" s="63" t="n"/>
      <c r="W239" s="65" t="n"/>
      <c r="X239" s="69" t="str">
        <f>IF(AND(ISNUMBER($Q239),ISNUMBER($R239)),$R239-$Q239,"")</f>
        <v/>
      </c>
      <c r="Y239" s="71" t="str">
        <f>IF($AB239=1,IF(AND(ISNUMBER($V239),$M239&lt;&gt;"Converted",$M239&lt;&gt;"Rejected"),IF($V239&lt;=ReportDate,"DUE",""),""),"")</f>
        <v/>
      </c>
      <c r="Z239" s="75" t="str">
        <f>IF(ISNUMBER($Q239),$Q239,IF(ISNUMBER($A239),$A239,""))</f>
        <v/>
      </c>
      <c r="AA239" s="71" t="str">
        <f>IF(ISNUMBER($Z239),YEAR($Z239)&amp;"-"&amp;TEXT(MONTH($Z239),"00"),"")</f>
        <v/>
      </c>
      <c r="AB239" s="71">
        <f>IF($H239&lt;&gt;"",1,0)</f>
        <v>0</v>
      </c>
      <c r="AC239" s="71">
        <f>IF(AND($AB239=1,$G239="Yes"),1,0)</f>
        <v>0</v>
      </c>
      <c r="AD239" s="71">
        <f>IF(AND($AB239=1,$N239="MQL"),1,0)</f>
        <v>0</v>
      </c>
      <c r="AE239" s="71">
        <f>IF(AND($AB239=1,$O239="SQL"),1,0)</f>
        <v>0</v>
      </c>
      <c r="AF239" s="71">
        <f>IF(AND($AB239=1,OR($P239="Open",$P239="Won",$P239="Lost")),1,0)</f>
        <v>0</v>
      </c>
      <c r="AG239" s="71">
        <f>IF(AND($AB239=1,OR($M239="Converted",$P239="Won")),1,0)</f>
        <v>0</v>
      </c>
      <c r="AH239" s="71">
        <f>IF($AB239=0,0,IF(AND(OR(fClient="All",$B239=fClient),OR(fCampaign="All",$C239=fCampaign),OR(fTeam="All",$L239=fTeam),OR(fChannel="All",$F239=fChannel),OR(fMonth="All",$AA239=fMonth)),1,0))</f>
        <v>0</v>
      </c>
      <c r="AI239" s="71">
        <f>IF($AB239=0,0,IF(AND(OR(fClient="All",$B239=fClient),OR(fCampaign="All",$C239=fCampaign),OR(fTeam="All",$L239=fTeam),OR(fChannel="All",$F239=fChannel)),1,0))</f>
        <v>0</v>
      </c>
    </row>
    <row r="240">
      <c r="A240" s="63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3" t="n"/>
      <c r="R240" s="63" t="n"/>
      <c r="S240" s="63" t="n"/>
      <c r="T240" s="65" t="n"/>
      <c r="U240" s="65" t="n"/>
      <c r="V240" s="63" t="n"/>
      <c r="W240" s="65" t="n"/>
      <c r="X240" s="69" t="str">
        <f>IF(AND(ISNUMBER($Q240),ISNUMBER($R240)),$R240-$Q240,"")</f>
        <v/>
      </c>
      <c r="Y240" s="71" t="str">
        <f>IF($AB240=1,IF(AND(ISNUMBER($V240),$M240&lt;&gt;"Converted",$M240&lt;&gt;"Rejected"),IF($V240&lt;=ReportDate,"DUE",""),""),"")</f>
        <v/>
      </c>
      <c r="Z240" s="75" t="str">
        <f>IF(ISNUMBER($Q240),$Q240,IF(ISNUMBER($A240),$A240,""))</f>
        <v/>
      </c>
      <c r="AA240" s="71" t="str">
        <f>IF(ISNUMBER($Z240),YEAR($Z240)&amp;"-"&amp;TEXT(MONTH($Z240),"00"),"")</f>
        <v/>
      </c>
      <c r="AB240" s="71">
        <f>IF($H240&lt;&gt;"",1,0)</f>
        <v>0</v>
      </c>
      <c r="AC240" s="71">
        <f>IF(AND($AB240=1,$G240="Yes"),1,0)</f>
        <v>0</v>
      </c>
      <c r="AD240" s="71">
        <f>IF(AND($AB240=1,$N240="MQL"),1,0)</f>
        <v>0</v>
      </c>
      <c r="AE240" s="71">
        <f>IF(AND($AB240=1,$O240="SQL"),1,0)</f>
        <v>0</v>
      </c>
      <c r="AF240" s="71">
        <f>IF(AND($AB240=1,OR($P240="Open",$P240="Won",$P240="Lost")),1,0)</f>
        <v>0</v>
      </c>
      <c r="AG240" s="71">
        <f>IF(AND($AB240=1,OR($M240="Converted",$P240="Won")),1,0)</f>
        <v>0</v>
      </c>
      <c r="AH240" s="71">
        <f>IF($AB240=0,0,IF(AND(OR(fClient="All",$B240=fClient),OR(fCampaign="All",$C240=fCampaign),OR(fTeam="All",$L240=fTeam),OR(fChannel="All",$F240=fChannel),OR(fMonth="All",$AA240=fMonth)),1,0))</f>
        <v>0</v>
      </c>
      <c r="AI240" s="71">
        <f>IF($AB240=0,0,IF(AND(OR(fClient="All",$B240=fClient),OR(fCampaign="All",$C240=fCampaign),OR(fTeam="All",$L240=fTeam),OR(fChannel="All",$F240=fChannel)),1,0))</f>
        <v>0</v>
      </c>
    </row>
    <row r="241">
      <c r="A241" s="63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3" t="n"/>
      <c r="R241" s="63" t="n"/>
      <c r="S241" s="63" t="n"/>
      <c r="T241" s="65" t="n"/>
      <c r="U241" s="65" t="n"/>
      <c r="V241" s="63" t="n"/>
      <c r="W241" s="65" t="n"/>
      <c r="X241" s="69" t="str">
        <f>IF(AND(ISNUMBER($Q241),ISNUMBER($R241)),$R241-$Q241,"")</f>
        <v/>
      </c>
      <c r="Y241" s="71" t="str">
        <f>IF($AB241=1,IF(AND(ISNUMBER($V241),$M241&lt;&gt;"Converted",$M241&lt;&gt;"Rejected"),IF($V241&lt;=ReportDate,"DUE",""),""),"")</f>
        <v/>
      </c>
      <c r="Z241" s="75" t="str">
        <f>IF(ISNUMBER($Q241),$Q241,IF(ISNUMBER($A241),$A241,""))</f>
        <v/>
      </c>
      <c r="AA241" s="71" t="str">
        <f>IF(ISNUMBER($Z241),YEAR($Z241)&amp;"-"&amp;TEXT(MONTH($Z241),"00"),"")</f>
        <v/>
      </c>
      <c r="AB241" s="71">
        <f>IF($H241&lt;&gt;"",1,0)</f>
        <v>0</v>
      </c>
      <c r="AC241" s="71">
        <f>IF(AND($AB241=1,$G241="Yes"),1,0)</f>
        <v>0</v>
      </c>
      <c r="AD241" s="71">
        <f>IF(AND($AB241=1,$N241="MQL"),1,0)</f>
        <v>0</v>
      </c>
      <c r="AE241" s="71">
        <f>IF(AND($AB241=1,$O241="SQL"),1,0)</f>
        <v>0</v>
      </c>
      <c r="AF241" s="71">
        <f>IF(AND($AB241=1,OR($P241="Open",$P241="Won",$P241="Lost")),1,0)</f>
        <v>0</v>
      </c>
      <c r="AG241" s="71">
        <f>IF(AND($AB241=1,OR($M241="Converted",$P241="Won")),1,0)</f>
        <v>0</v>
      </c>
      <c r="AH241" s="71">
        <f>IF($AB241=0,0,IF(AND(OR(fClient="All",$B241=fClient),OR(fCampaign="All",$C241=fCampaign),OR(fTeam="All",$L241=fTeam),OR(fChannel="All",$F241=fChannel),OR(fMonth="All",$AA241=fMonth)),1,0))</f>
        <v>0</v>
      </c>
      <c r="AI241" s="71">
        <f>IF($AB241=0,0,IF(AND(OR(fClient="All",$B241=fClient),OR(fCampaign="All",$C241=fCampaign),OR(fTeam="All",$L241=fTeam),OR(fChannel="All",$F241=fChannel)),1,0))</f>
        <v>0</v>
      </c>
    </row>
    <row r="242">
      <c r="A242" s="63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3" t="n"/>
      <c r="R242" s="63" t="n"/>
      <c r="S242" s="63" t="n"/>
      <c r="T242" s="65" t="n"/>
      <c r="U242" s="65" t="n"/>
      <c r="V242" s="63" t="n"/>
      <c r="W242" s="65" t="n"/>
      <c r="X242" s="69" t="str">
        <f>IF(AND(ISNUMBER($Q242),ISNUMBER($R242)),$R242-$Q242,"")</f>
        <v/>
      </c>
      <c r="Y242" s="71" t="str">
        <f>IF($AB242=1,IF(AND(ISNUMBER($V242),$M242&lt;&gt;"Converted",$M242&lt;&gt;"Rejected"),IF($V242&lt;=ReportDate,"DUE",""),""),"")</f>
        <v/>
      </c>
      <c r="Z242" s="75" t="str">
        <f>IF(ISNUMBER($Q242),$Q242,IF(ISNUMBER($A242),$A242,""))</f>
        <v/>
      </c>
      <c r="AA242" s="71" t="str">
        <f>IF(ISNUMBER($Z242),YEAR($Z242)&amp;"-"&amp;TEXT(MONTH($Z242),"00"),"")</f>
        <v/>
      </c>
      <c r="AB242" s="71">
        <f>IF($H242&lt;&gt;"",1,0)</f>
        <v>0</v>
      </c>
      <c r="AC242" s="71">
        <f>IF(AND($AB242=1,$G242="Yes"),1,0)</f>
        <v>0</v>
      </c>
      <c r="AD242" s="71">
        <f>IF(AND($AB242=1,$N242="MQL"),1,0)</f>
        <v>0</v>
      </c>
      <c r="AE242" s="71">
        <f>IF(AND($AB242=1,$O242="SQL"),1,0)</f>
        <v>0</v>
      </c>
      <c r="AF242" s="71">
        <f>IF(AND($AB242=1,OR($P242="Open",$P242="Won",$P242="Lost")),1,0)</f>
        <v>0</v>
      </c>
      <c r="AG242" s="71">
        <f>IF(AND($AB242=1,OR($M242="Converted",$P242="Won")),1,0)</f>
        <v>0</v>
      </c>
      <c r="AH242" s="71">
        <f>IF($AB242=0,0,IF(AND(OR(fClient="All",$B242=fClient),OR(fCampaign="All",$C242=fCampaign),OR(fTeam="All",$L242=fTeam),OR(fChannel="All",$F242=fChannel),OR(fMonth="All",$AA242=fMonth)),1,0))</f>
        <v>0</v>
      </c>
      <c r="AI242" s="71">
        <f>IF($AB242=0,0,IF(AND(OR(fClient="All",$B242=fClient),OR(fCampaign="All",$C242=fCampaign),OR(fTeam="All",$L242=fTeam),OR(fChannel="All",$F242=fChannel)),1,0))</f>
        <v>0</v>
      </c>
    </row>
    <row r="243">
      <c r="A243" s="63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3" t="n"/>
      <c r="R243" s="63" t="n"/>
      <c r="S243" s="63" t="n"/>
      <c r="T243" s="65" t="n"/>
      <c r="U243" s="65" t="n"/>
      <c r="V243" s="63" t="n"/>
      <c r="W243" s="65" t="n"/>
      <c r="X243" s="69" t="str">
        <f>IF(AND(ISNUMBER($Q243),ISNUMBER($R243)),$R243-$Q243,"")</f>
        <v/>
      </c>
      <c r="Y243" s="71" t="str">
        <f>IF($AB243=1,IF(AND(ISNUMBER($V243),$M243&lt;&gt;"Converted",$M243&lt;&gt;"Rejected"),IF($V243&lt;=ReportDate,"DUE",""),""),"")</f>
        <v/>
      </c>
      <c r="Z243" s="75" t="str">
        <f>IF(ISNUMBER($Q243),$Q243,IF(ISNUMBER($A243),$A243,""))</f>
        <v/>
      </c>
      <c r="AA243" s="71" t="str">
        <f>IF(ISNUMBER($Z243),YEAR($Z243)&amp;"-"&amp;TEXT(MONTH($Z243),"00"),"")</f>
        <v/>
      </c>
      <c r="AB243" s="71">
        <f>IF($H243&lt;&gt;"",1,0)</f>
        <v>0</v>
      </c>
      <c r="AC243" s="71">
        <f>IF(AND($AB243=1,$G243="Yes"),1,0)</f>
        <v>0</v>
      </c>
      <c r="AD243" s="71">
        <f>IF(AND($AB243=1,$N243="MQL"),1,0)</f>
        <v>0</v>
      </c>
      <c r="AE243" s="71">
        <f>IF(AND($AB243=1,$O243="SQL"),1,0)</f>
        <v>0</v>
      </c>
      <c r="AF243" s="71">
        <f>IF(AND($AB243=1,OR($P243="Open",$P243="Won",$P243="Lost")),1,0)</f>
        <v>0</v>
      </c>
      <c r="AG243" s="71">
        <f>IF(AND($AB243=1,OR($M243="Converted",$P243="Won")),1,0)</f>
        <v>0</v>
      </c>
      <c r="AH243" s="71">
        <f>IF($AB243=0,0,IF(AND(OR(fClient="All",$B243=fClient),OR(fCampaign="All",$C243=fCampaign),OR(fTeam="All",$L243=fTeam),OR(fChannel="All",$F243=fChannel),OR(fMonth="All",$AA243=fMonth)),1,0))</f>
        <v>0</v>
      </c>
      <c r="AI243" s="71">
        <f>IF($AB243=0,0,IF(AND(OR(fClient="All",$B243=fClient),OR(fCampaign="All",$C243=fCampaign),OR(fTeam="All",$L243=fTeam),OR(fChannel="All",$F243=fChannel)),1,0))</f>
        <v>0</v>
      </c>
    </row>
    <row r="244">
      <c r="A244" s="63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3" t="n"/>
      <c r="R244" s="63" t="n"/>
      <c r="S244" s="63" t="n"/>
      <c r="T244" s="65" t="n"/>
      <c r="U244" s="65" t="n"/>
      <c r="V244" s="63" t="n"/>
      <c r="W244" s="65" t="n"/>
      <c r="X244" s="69" t="str">
        <f>IF(AND(ISNUMBER($Q244),ISNUMBER($R244)),$R244-$Q244,"")</f>
        <v/>
      </c>
      <c r="Y244" s="71" t="str">
        <f>IF($AB244=1,IF(AND(ISNUMBER($V244),$M244&lt;&gt;"Converted",$M244&lt;&gt;"Rejected"),IF($V244&lt;=ReportDate,"DUE",""),""),"")</f>
        <v/>
      </c>
      <c r="Z244" s="75" t="str">
        <f>IF(ISNUMBER($Q244),$Q244,IF(ISNUMBER($A244),$A244,""))</f>
        <v/>
      </c>
      <c r="AA244" s="71" t="str">
        <f>IF(ISNUMBER($Z244),YEAR($Z244)&amp;"-"&amp;TEXT(MONTH($Z244),"00"),"")</f>
        <v/>
      </c>
      <c r="AB244" s="71">
        <f>IF($H244&lt;&gt;"",1,0)</f>
        <v>0</v>
      </c>
      <c r="AC244" s="71">
        <f>IF(AND($AB244=1,$G244="Yes"),1,0)</f>
        <v>0</v>
      </c>
      <c r="AD244" s="71">
        <f>IF(AND($AB244=1,$N244="MQL"),1,0)</f>
        <v>0</v>
      </c>
      <c r="AE244" s="71">
        <f>IF(AND($AB244=1,$O244="SQL"),1,0)</f>
        <v>0</v>
      </c>
      <c r="AF244" s="71">
        <f>IF(AND($AB244=1,OR($P244="Open",$P244="Won",$P244="Lost")),1,0)</f>
        <v>0</v>
      </c>
      <c r="AG244" s="71">
        <f>IF(AND($AB244=1,OR($M244="Converted",$P244="Won")),1,0)</f>
        <v>0</v>
      </c>
      <c r="AH244" s="71">
        <f>IF($AB244=0,0,IF(AND(OR(fClient="All",$B244=fClient),OR(fCampaign="All",$C244=fCampaign),OR(fTeam="All",$L244=fTeam),OR(fChannel="All",$F244=fChannel),OR(fMonth="All",$AA244=fMonth)),1,0))</f>
        <v>0</v>
      </c>
      <c r="AI244" s="71">
        <f>IF($AB244=0,0,IF(AND(OR(fClient="All",$B244=fClient),OR(fCampaign="All",$C244=fCampaign),OR(fTeam="All",$L244=fTeam),OR(fChannel="All",$F244=fChannel)),1,0))</f>
        <v>0</v>
      </c>
    </row>
    <row r="245">
      <c r="A245" s="63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3" t="n"/>
      <c r="R245" s="63" t="n"/>
      <c r="S245" s="63" t="n"/>
      <c r="T245" s="65" t="n"/>
      <c r="U245" s="65" t="n"/>
      <c r="V245" s="63" t="n"/>
      <c r="W245" s="65" t="n"/>
      <c r="X245" s="69" t="str">
        <f>IF(AND(ISNUMBER($Q245),ISNUMBER($R245)),$R245-$Q245,"")</f>
        <v/>
      </c>
      <c r="Y245" s="71" t="str">
        <f>IF($AB245=1,IF(AND(ISNUMBER($V245),$M245&lt;&gt;"Converted",$M245&lt;&gt;"Rejected"),IF($V245&lt;=ReportDate,"DUE",""),""),"")</f>
        <v/>
      </c>
      <c r="Z245" s="75" t="str">
        <f>IF(ISNUMBER($Q245),$Q245,IF(ISNUMBER($A245),$A245,""))</f>
        <v/>
      </c>
      <c r="AA245" s="71" t="str">
        <f>IF(ISNUMBER($Z245),YEAR($Z245)&amp;"-"&amp;TEXT(MONTH($Z245),"00"),"")</f>
        <v/>
      </c>
      <c r="AB245" s="71">
        <f>IF($H245&lt;&gt;"",1,0)</f>
        <v>0</v>
      </c>
      <c r="AC245" s="71">
        <f>IF(AND($AB245=1,$G245="Yes"),1,0)</f>
        <v>0</v>
      </c>
      <c r="AD245" s="71">
        <f>IF(AND($AB245=1,$N245="MQL"),1,0)</f>
        <v>0</v>
      </c>
      <c r="AE245" s="71">
        <f>IF(AND($AB245=1,$O245="SQL"),1,0)</f>
        <v>0</v>
      </c>
      <c r="AF245" s="71">
        <f>IF(AND($AB245=1,OR($P245="Open",$P245="Won",$P245="Lost")),1,0)</f>
        <v>0</v>
      </c>
      <c r="AG245" s="71">
        <f>IF(AND($AB245=1,OR($M245="Converted",$P245="Won")),1,0)</f>
        <v>0</v>
      </c>
      <c r="AH245" s="71">
        <f>IF($AB245=0,0,IF(AND(OR(fClient="All",$B245=fClient),OR(fCampaign="All",$C245=fCampaign),OR(fTeam="All",$L245=fTeam),OR(fChannel="All",$F245=fChannel),OR(fMonth="All",$AA245=fMonth)),1,0))</f>
        <v>0</v>
      </c>
      <c r="AI245" s="71">
        <f>IF($AB245=0,0,IF(AND(OR(fClient="All",$B245=fClient),OR(fCampaign="All",$C245=fCampaign),OR(fTeam="All",$L245=fTeam),OR(fChannel="All",$F245=fChannel)),1,0))</f>
        <v>0</v>
      </c>
    </row>
    <row r="246">
      <c r="A246" s="63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3" t="n"/>
      <c r="R246" s="63" t="n"/>
      <c r="S246" s="63" t="n"/>
      <c r="T246" s="65" t="n"/>
      <c r="U246" s="65" t="n"/>
      <c r="V246" s="63" t="n"/>
      <c r="W246" s="65" t="n"/>
      <c r="X246" s="69" t="str">
        <f>IF(AND(ISNUMBER($Q246),ISNUMBER($R246)),$R246-$Q246,"")</f>
        <v/>
      </c>
      <c r="Y246" s="71" t="str">
        <f>IF($AB246=1,IF(AND(ISNUMBER($V246),$M246&lt;&gt;"Converted",$M246&lt;&gt;"Rejected"),IF($V246&lt;=ReportDate,"DUE",""),""),"")</f>
        <v/>
      </c>
      <c r="Z246" s="75" t="str">
        <f>IF(ISNUMBER($Q246),$Q246,IF(ISNUMBER($A246),$A246,""))</f>
        <v/>
      </c>
      <c r="AA246" s="71" t="str">
        <f>IF(ISNUMBER($Z246),YEAR($Z246)&amp;"-"&amp;TEXT(MONTH($Z246),"00"),"")</f>
        <v/>
      </c>
      <c r="AB246" s="71">
        <f>IF($H246&lt;&gt;"",1,0)</f>
        <v>0</v>
      </c>
      <c r="AC246" s="71">
        <f>IF(AND($AB246=1,$G246="Yes"),1,0)</f>
        <v>0</v>
      </c>
      <c r="AD246" s="71">
        <f>IF(AND($AB246=1,$N246="MQL"),1,0)</f>
        <v>0</v>
      </c>
      <c r="AE246" s="71">
        <f>IF(AND($AB246=1,$O246="SQL"),1,0)</f>
        <v>0</v>
      </c>
      <c r="AF246" s="71">
        <f>IF(AND($AB246=1,OR($P246="Open",$P246="Won",$P246="Lost")),1,0)</f>
        <v>0</v>
      </c>
      <c r="AG246" s="71">
        <f>IF(AND($AB246=1,OR($M246="Converted",$P246="Won")),1,0)</f>
        <v>0</v>
      </c>
      <c r="AH246" s="71">
        <f>IF($AB246=0,0,IF(AND(OR(fClient="All",$B246=fClient),OR(fCampaign="All",$C246=fCampaign),OR(fTeam="All",$L246=fTeam),OR(fChannel="All",$F246=fChannel),OR(fMonth="All",$AA246=fMonth)),1,0))</f>
        <v>0</v>
      </c>
      <c r="AI246" s="71">
        <f>IF($AB246=0,0,IF(AND(OR(fClient="All",$B246=fClient),OR(fCampaign="All",$C246=fCampaign),OR(fTeam="All",$L246=fTeam),OR(fChannel="All",$F246=fChannel)),1,0))</f>
        <v>0</v>
      </c>
    </row>
    <row r="247">
      <c r="A247" s="63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3" t="n"/>
      <c r="R247" s="63" t="n"/>
      <c r="S247" s="63" t="n"/>
      <c r="T247" s="65" t="n"/>
      <c r="U247" s="65" t="n"/>
      <c r="V247" s="63" t="n"/>
      <c r="W247" s="65" t="n"/>
      <c r="X247" s="69" t="str">
        <f>IF(AND(ISNUMBER($Q247),ISNUMBER($R247)),$R247-$Q247,"")</f>
        <v/>
      </c>
      <c r="Y247" s="71" t="str">
        <f>IF($AB247=1,IF(AND(ISNUMBER($V247),$M247&lt;&gt;"Converted",$M247&lt;&gt;"Rejected"),IF($V247&lt;=ReportDate,"DUE",""),""),"")</f>
        <v/>
      </c>
      <c r="Z247" s="75" t="str">
        <f>IF(ISNUMBER($Q247),$Q247,IF(ISNUMBER($A247),$A247,""))</f>
        <v/>
      </c>
      <c r="AA247" s="71" t="str">
        <f>IF(ISNUMBER($Z247),YEAR($Z247)&amp;"-"&amp;TEXT(MONTH($Z247),"00"),"")</f>
        <v/>
      </c>
      <c r="AB247" s="71">
        <f>IF($H247&lt;&gt;"",1,0)</f>
        <v>0</v>
      </c>
      <c r="AC247" s="71">
        <f>IF(AND($AB247=1,$G247="Yes"),1,0)</f>
        <v>0</v>
      </c>
      <c r="AD247" s="71">
        <f>IF(AND($AB247=1,$N247="MQL"),1,0)</f>
        <v>0</v>
      </c>
      <c r="AE247" s="71">
        <f>IF(AND($AB247=1,$O247="SQL"),1,0)</f>
        <v>0</v>
      </c>
      <c r="AF247" s="71">
        <f>IF(AND($AB247=1,OR($P247="Open",$P247="Won",$P247="Lost")),1,0)</f>
        <v>0</v>
      </c>
      <c r="AG247" s="71">
        <f>IF(AND($AB247=1,OR($M247="Converted",$P247="Won")),1,0)</f>
        <v>0</v>
      </c>
      <c r="AH247" s="71">
        <f>IF($AB247=0,0,IF(AND(OR(fClient="All",$B247=fClient),OR(fCampaign="All",$C247=fCampaign),OR(fTeam="All",$L247=fTeam),OR(fChannel="All",$F247=fChannel),OR(fMonth="All",$AA247=fMonth)),1,0))</f>
        <v>0</v>
      </c>
      <c r="AI247" s="71">
        <f>IF($AB247=0,0,IF(AND(OR(fClient="All",$B247=fClient),OR(fCampaign="All",$C247=fCampaign),OR(fTeam="All",$L247=fTeam),OR(fChannel="All",$F247=fChannel)),1,0))</f>
        <v>0</v>
      </c>
    </row>
    <row r="248">
      <c r="A248" s="63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3" t="n"/>
      <c r="R248" s="63" t="n"/>
      <c r="S248" s="63" t="n"/>
      <c r="T248" s="65" t="n"/>
      <c r="U248" s="65" t="n"/>
      <c r="V248" s="63" t="n"/>
      <c r="W248" s="65" t="n"/>
      <c r="X248" s="69" t="str">
        <f>IF(AND(ISNUMBER($Q248),ISNUMBER($R248)),$R248-$Q248,"")</f>
        <v/>
      </c>
      <c r="Y248" s="71" t="str">
        <f>IF($AB248=1,IF(AND(ISNUMBER($V248),$M248&lt;&gt;"Converted",$M248&lt;&gt;"Rejected"),IF($V248&lt;=ReportDate,"DUE",""),""),"")</f>
        <v/>
      </c>
      <c r="Z248" s="75" t="str">
        <f>IF(ISNUMBER($Q248),$Q248,IF(ISNUMBER($A248),$A248,""))</f>
        <v/>
      </c>
      <c r="AA248" s="71" t="str">
        <f>IF(ISNUMBER($Z248),YEAR($Z248)&amp;"-"&amp;TEXT(MONTH($Z248),"00"),"")</f>
        <v/>
      </c>
      <c r="AB248" s="71">
        <f>IF($H248&lt;&gt;"",1,0)</f>
        <v>0</v>
      </c>
      <c r="AC248" s="71">
        <f>IF(AND($AB248=1,$G248="Yes"),1,0)</f>
        <v>0</v>
      </c>
      <c r="AD248" s="71">
        <f>IF(AND($AB248=1,$N248="MQL"),1,0)</f>
        <v>0</v>
      </c>
      <c r="AE248" s="71">
        <f>IF(AND($AB248=1,$O248="SQL"),1,0)</f>
        <v>0</v>
      </c>
      <c r="AF248" s="71">
        <f>IF(AND($AB248=1,OR($P248="Open",$P248="Won",$P248="Lost")),1,0)</f>
        <v>0</v>
      </c>
      <c r="AG248" s="71">
        <f>IF(AND($AB248=1,OR($M248="Converted",$P248="Won")),1,0)</f>
        <v>0</v>
      </c>
      <c r="AH248" s="71">
        <f>IF($AB248=0,0,IF(AND(OR(fClient="All",$B248=fClient),OR(fCampaign="All",$C248=fCampaign),OR(fTeam="All",$L248=fTeam),OR(fChannel="All",$F248=fChannel),OR(fMonth="All",$AA248=fMonth)),1,0))</f>
        <v>0</v>
      </c>
      <c r="AI248" s="71">
        <f>IF($AB248=0,0,IF(AND(OR(fClient="All",$B248=fClient),OR(fCampaign="All",$C248=fCampaign),OR(fTeam="All",$L248=fTeam),OR(fChannel="All",$F248=fChannel)),1,0))</f>
        <v>0</v>
      </c>
    </row>
    <row r="249">
      <c r="A249" s="63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3" t="n"/>
      <c r="R249" s="63" t="n"/>
      <c r="S249" s="63" t="n"/>
      <c r="T249" s="65" t="n"/>
      <c r="U249" s="65" t="n"/>
      <c r="V249" s="63" t="n"/>
      <c r="W249" s="65" t="n"/>
      <c r="X249" s="69" t="str">
        <f>IF(AND(ISNUMBER($Q249),ISNUMBER($R249)),$R249-$Q249,"")</f>
        <v/>
      </c>
      <c r="Y249" s="71" t="str">
        <f>IF($AB249=1,IF(AND(ISNUMBER($V249),$M249&lt;&gt;"Converted",$M249&lt;&gt;"Rejected"),IF($V249&lt;=ReportDate,"DUE",""),""),"")</f>
        <v/>
      </c>
      <c r="Z249" s="75" t="str">
        <f>IF(ISNUMBER($Q249),$Q249,IF(ISNUMBER($A249),$A249,""))</f>
        <v/>
      </c>
      <c r="AA249" s="71" t="str">
        <f>IF(ISNUMBER($Z249),YEAR($Z249)&amp;"-"&amp;TEXT(MONTH($Z249),"00"),"")</f>
        <v/>
      </c>
      <c r="AB249" s="71">
        <f>IF($H249&lt;&gt;"",1,0)</f>
        <v>0</v>
      </c>
      <c r="AC249" s="71">
        <f>IF(AND($AB249=1,$G249="Yes"),1,0)</f>
        <v>0</v>
      </c>
      <c r="AD249" s="71">
        <f>IF(AND($AB249=1,$N249="MQL"),1,0)</f>
        <v>0</v>
      </c>
      <c r="AE249" s="71">
        <f>IF(AND($AB249=1,$O249="SQL"),1,0)</f>
        <v>0</v>
      </c>
      <c r="AF249" s="71">
        <f>IF(AND($AB249=1,OR($P249="Open",$P249="Won",$P249="Lost")),1,0)</f>
        <v>0</v>
      </c>
      <c r="AG249" s="71">
        <f>IF(AND($AB249=1,OR($M249="Converted",$P249="Won")),1,0)</f>
        <v>0</v>
      </c>
      <c r="AH249" s="71">
        <f>IF($AB249=0,0,IF(AND(OR(fClient="All",$B249=fClient),OR(fCampaign="All",$C249=fCampaign),OR(fTeam="All",$L249=fTeam),OR(fChannel="All",$F249=fChannel),OR(fMonth="All",$AA249=fMonth)),1,0))</f>
        <v>0</v>
      </c>
      <c r="AI249" s="71">
        <f>IF($AB249=0,0,IF(AND(OR(fClient="All",$B249=fClient),OR(fCampaign="All",$C249=fCampaign),OR(fTeam="All",$L249=fTeam),OR(fChannel="All",$F249=fChannel)),1,0))</f>
        <v>0</v>
      </c>
    </row>
    <row r="250">
      <c r="A250" s="63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3" t="n"/>
      <c r="R250" s="63" t="n"/>
      <c r="S250" s="63" t="n"/>
      <c r="T250" s="65" t="n"/>
      <c r="U250" s="65" t="n"/>
      <c r="V250" s="63" t="n"/>
      <c r="W250" s="65" t="n"/>
      <c r="X250" s="69" t="str">
        <f>IF(AND(ISNUMBER($Q250),ISNUMBER($R250)),$R250-$Q250,"")</f>
        <v/>
      </c>
      <c r="Y250" s="71" t="str">
        <f>IF($AB250=1,IF(AND(ISNUMBER($V250),$M250&lt;&gt;"Converted",$M250&lt;&gt;"Rejected"),IF($V250&lt;=ReportDate,"DUE",""),""),"")</f>
        <v/>
      </c>
      <c r="Z250" s="75" t="str">
        <f>IF(ISNUMBER($Q250),$Q250,IF(ISNUMBER($A250),$A250,""))</f>
        <v/>
      </c>
      <c r="AA250" s="71" t="str">
        <f>IF(ISNUMBER($Z250),YEAR($Z250)&amp;"-"&amp;TEXT(MONTH($Z250),"00"),"")</f>
        <v/>
      </c>
      <c r="AB250" s="71">
        <f>IF($H250&lt;&gt;"",1,0)</f>
        <v>0</v>
      </c>
      <c r="AC250" s="71">
        <f>IF(AND($AB250=1,$G250="Yes"),1,0)</f>
        <v>0</v>
      </c>
      <c r="AD250" s="71">
        <f>IF(AND($AB250=1,$N250="MQL"),1,0)</f>
        <v>0</v>
      </c>
      <c r="AE250" s="71">
        <f>IF(AND($AB250=1,$O250="SQL"),1,0)</f>
        <v>0</v>
      </c>
      <c r="AF250" s="71">
        <f>IF(AND($AB250=1,OR($P250="Open",$P250="Won",$P250="Lost")),1,0)</f>
        <v>0</v>
      </c>
      <c r="AG250" s="71">
        <f>IF(AND($AB250=1,OR($M250="Converted",$P250="Won")),1,0)</f>
        <v>0</v>
      </c>
      <c r="AH250" s="71">
        <f>IF($AB250=0,0,IF(AND(OR(fClient="All",$B250=fClient),OR(fCampaign="All",$C250=fCampaign),OR(fTeam="All",$L250=fTeam),OR(fChannel="All",$F250=fChannel),OR(fMonth="All",$AA250=fMonth)),1,0))</f>
        <v>0</v>
      </c>
      <c r="AI250" s="71">
        <f>IF($AB250=0,0,IF(AND(OR(fClient="All",$B250=fClient),OR(fCampaign="All",$C250=fCampaign),OR(fTeam="All",$L250=fTeam),OR(fChannel="All",$F250=fChannel)),1,0))</f>
        <v>0</v>
      </c>
    </row>
    <row r="251">
      <c r="A251" s="63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3" t="n"/>
      <c r="R251" s="63" t="n"/>
      <c r="S251" s="63" t="n"/>
      <c r="T251" s="65" t="n"/>
      <c r="U251" s="65" t="n"/>
      <c r="V251" s="63" t="n"/>
      <c r="W251" s="65" t="n"/>
      <c r="X251" s="69" t="str">
        <f>IF(AND(ISNUMBER($Q251),ISNUMBER($R251)),$R251-$Q251,"")</f>
        <v/>
      </c>
      <c r="Y251" s="71" t="str">
        <f>IF($AB251=1,IF(AND(ISNUMBER($V251),$M251&lt;&gt;"Converted",$M251&lt;&gt;"Rejected"),IF($V251&lt;=ReportDate,"DUE",""),""),"")</f>
        <v/>
      </c>
      <c r="Z251" s="75" t="str">
        <f>IF(ISNUMBER($Q251),$Q251,IF(ISNUMBER($A251),$A251,""))</f>
        <v/>
      </c>
      <c r="AA251" s="71" t="str">
        <f>IF(ISNUMBER($Z251),YEAR($Z251)&amp;"-"&amp;TEXT(MONTH($Z251),"00"),"")</f>
        <v/>
      </c>
      <c r="AB251" s="71">
        <f>IF($H251&lt;&gt;"",1,0)</f>
        <v>0</v>
      </c>
      <c r="AC251" s="71">
        <f>IF(AND($AB251=1,$G251="Yes"),1,0)</f>
        <v>0</v>
      </c>
      <c r="AD251" s="71">
        <f>IF(AND($AB251=1,$N251="MQL"),1,0)</f>
        <v>0</v>
      </c>
      <c r="AE251" s="71">
        <f>IF(AND($AB251=1,$O251="SQL"),1,0)</f>
        <v>0</v>
      </c>
      <c r="AF251" s="71">
        <f>IF(AND($AB251=1,OR($P251="Open",$P251="Won",$P251="Lost")),1,0)</f>
        <v>0</v>
      </c>
      <c r="AG251" s="71">
        <f>IF(AND($AB251=1,OR($M251="Converted",$P251="Won")),1,0)</f>
        <v>0</v>
      </c>
      <c r="AH251" s="71">
        <f>IF($AB251=0,0,IF(AND(OR(fClient="All",$B251=fClient),OR(fCampaign="All",$C251=fCampaign),OR(fTeam="All",$L251=fTeam),OR(fChannel="All",$F251=fChannel),OR(fMonth="All",$AA251=fMonth)),1,0))</f>
        <v>0</v>
      </c>
      <c r="AI251" s="71">
        <f>IF($AB251=0,0,IF(AND(OR(fClient="All",$B251=fClient),OR(fCampaign="All",$C251=fCampaign),OR(fTeam="All",$L251=fTeam),OR(fChannel="All",$F251=fChannel)),1,0))</f>
        <v>0</v>
      </c>
    </row>
    <row r="252">
      <c r="A252" s="63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3" t="n"/>
      <c r="R252" s="63" t="n"/>
      <c r="S252" s="63" t="n"/>
      <c r="T252" s="65" t="n"/>
      <c r="U252" s="65" t="n"/>
      <c r="V252" s="63" t="n"/>
      <c r="W252" s="65" t="n"/>
      <c r="X252" s="69" t="str">
        <f>IF(AND(ISNUMBER($Q252),ISNUMBER($R252)),$R252-$Q252,"")</f>
        <v/>
      </c>
      <c r="Y252" s="71" t="str">
        <f>IF($AB252=1,IF(AND(ISNUMBER($V252),$M252&lt;&gt;"Converted",$M252&lt;&gt;"Rejected"),IF($V252&lt;=ReportDate,"DUE",""),""),"")</f>
        <v/>
      </c>
      <c r="Z252" s="75" t="str">
        <f>IF(ISNUMBER($Q252),$Q252,IF(ISNUMBER($A252),$A252,""))</f>
        <v/>
      </c>
      <c r="AA252" s="71" t="str">
        <f>IF(ISNUMBER($Z252),YEAR($Z252)&amp;"-"&amp;TEXT(MONTH($Z252),"00"),"")</f>
        <v/>
      </c>
      <c r="AB252" s="71">
        <f>IF($H252&lt;&gt;"",1,0)</f>
        <v>0</v>
      </c>
      <c r="AC252" s="71">
        <f>IF(AND($AB252=1,$G252="Yes"),1,0)</f>
        <v>0</v>
      </c>
      <c r="AD252" s="71">
        <f>IF(AND($AB252=1,$N252="MQL"),1,0)</f>
        <v>0</v>
      </c>
      <c r="AE252" s="71">
        <f>IF(AND($AB252=1,$O252="SQL"),1,0)</f>
        <v>0</v>
      </c>
      <c r="AF252" s="71">
        <f>IF(AND($AB252=1,OR($P252="Open",$P252="Won",$P252="Lost")),1,0)</f>
        <v>0</v>
      </c>
      <c r="AG252" s="71">
        <f>IF(AND($AB252=1,OR($M252="Converted",$P252="Won")),1,0)</f>
        <v>0</v>
      </c>
      <c r="AH252" s="71">
        <f>IF($AB252=0,0,IF(AND(OR(fClient="All",$B252=fClient),OR(fCampaign="All",$C252=fCampaign),OR(fTeam="All",$L252=fTeam),OR(fChannel="All",$F252=fChannel),OR(fMonth="All",$AA252=fMonth)),1,0))</f>
        <v>0</v>
      </c>
      <c r="AI252" s="71">
        <f>IF($AB252=0,0,IF(AND(OR(fClient="All",$B252=fClient),OR(fCampaign="All",$C252=fCampaign),OR(fTeam="All",$L252=fTeam),OR(fChannel="All",$F252=fChannel)),1,0))</f>
        <v>0</v>
      </c>
    </row>
    <row r="253">
      <c r="A253" s="63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3" t="n"/>
      <c r="R253" s="63" t="n"/>
      <c r="S253" s="63" t="n"/>
      <c r="T253" s="65" t="n"/>
      <c r="U253" s="65" t="n"/>
      <c r="V253" s="63" t="n"/>
      <c r="W253" s="65" t="n"/>
      <c r="X253" s="69" t="str">
        <f>IF(AND(ISNUMBER($Q253),ISNUMBER($R253)),$R253-$Q253,"")</f>
        <v/>
      </c>
      <c r="Y253" s="71" t="str">
        <f>IF($AB253=1,IF(AND(ISNUMBER($V253),$M253&lt;&gt;"Converted",$M253&lt;&gt;"Rejected"),IF($V253&lt;=ReportDate,"DUE",""),""),"")</f>
        <v/>
      </c>
      <c r="Z253" s="75" t="str">
        <f>IF(ISNUMBER($Q253),$Q253,IF(ISNUMBER($A253),$A253,""))</f>
        <v/>
      </c>
      <c r="AA253" s="71" t="str">
        <f>IF(ISNUMBER($Z253),YEAR($Z253)&amp;"-"&amp;TEXT(MONTH($Z253),"00"),"")</f>
        <v/>
      </c>
      <c r="AB253" s="71">
        <f>IF($H253&lt;&gt;"",1,0)</f>
        <v>0</v>
      </c>
      <c r="AC253" s="71">
        <f>IF(AND($AB253=1,$G253="Yes"),1,0)</f>
        <v>0</v>
      </c>
      <c r="AD253" s="71">
        <f>IF(AND($AB253=1,$N253="MQL"),1,0)</f>
        <v>0</v>
      </c>
      <c r="AE253" s="71">
        <f>IF(AND($AB253=1,$O253="SQL"),1,0)</f>
        <v>0</v>
      </c>
      <c r="AF253" s="71">
        <f>IF(AND($AB253=1,OR($P253="Open",$P253="Won",$P253="Lost")),1,0)</f>
        <v>0</v>
      </c>
      <c r="AG253" s="71">
        <f>IF(AND($AB253=1,OR($M253="Converted",$P253="Won")),1,0)</f>
        <v>0</v>
      </c>
      <c r="AH253" s="71">
        <f>IF($AB253=0,0,IF(AND(OR(fClient="All",$B253=fClient),OR(fCampaign="All",$C253=fCampaign),OR(fTeam="All",$L253=fTeam),OR(fChannel="All",$F253=fChannel),OR(fMonth="All",$AA253=fMonth)),1,0))</f>
        <v>0</v>
      </c>
      <c r="AI253" s="71">
        <f>IF($AB253=0,0,IF(AND(OR(fClient="All",$B253=fClient),OR(fCampaign="All",$C253=fCampaign),OR(fTeam="All",$L253=fTeam),OR(fChannel="All",$F253=fChannel)),1,0))</f>
        <v>0</v>
      </c>
    </row>
    <row r="254">
      <c r="A254" s="63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3" t="n"/>
      <c r="R254" s="63" t="n"/>
      <c r="S254" s="63" t="n"/>
      <c r="T254" s="65" t="n"/>
      <c r="U254" s="65" t="n"/>
      <c r="V254" s="63" t="n"/>
      <c r="W254" s="65" t="n"/>
      <c r="X254" s="69" t="str">
        <f>IF(AND(ISNUMBER($Q254),ISNUMBER($R254)),$R254-$Q254,"")</f>
        <v/>
      </c>
      <c r="Y254" s="71" t="str">
        <f>IF($AB254=1,IF(AND(ISNUMBER($V254),$M254&lt;&gt;"Converted",$M254&lt;&gt;"Rejected"),IF($V254&lt;=ReportDate,"DUE",""),""),"")</f>
        <v/>
      </c>
      <c r="Z254" s="75" t="str">
        <f>IF(ISNUMBER($Q254),$Q254,IF(ISNUMBER($A254),$A254,""))</f>
        <v/>
      </c>
      <c r="AA254" s="71" t="str">
        <f>IF(ISNUMBER($Z254),YEAR($Z254)&amp;"-"&amp;TEXT(MONTH($Z254),"00"),"")</f>
        <v/>
      </c>
      <c r="AB254" s="71">
        <f>IF($H254&lt;&gt;"",1,0)</f>
        <v>0</v>
      </c>
      <c r="AC254" s="71">
        <f>IF(AND($AB254=1,$G254="Yes"),1,0)</f>
        <v>0</v>
      </c>
      <c r="AD254" s="71">
        <f>IF(AND($AB254=1,$N254="MQL"),1,0)</f>
        <v>0</v>
      </c>
      <c r="AE254" s="71">
        <f>IF(AND($AB254=1,$O254="SQL"),1,0)</f>
        <v>0</v>
      </c>
      <c r="AF254" s="71">
        <f>IF(AND($AB254=1,OR($P254="Open",$P254="Won",$P254="Lost")),1,0)</f>
        <v>0</v>
      </c>
      <c r="AG254" s="71">
        <f>IF(AND($AB254=1,OR($M254="Converted",$P254="Won")),1,0)</f>
        <v>0</v>
      </c>
      <c r="AH254" s="71">
        <f>IF($AB254=0,0,IF(AND(OR(fClient="All",$B254=fClient),OR(fCampaign="All",$C254=fCampaign),OR(fTeam="All",$L254=fTeam),OR(fChannel="All",$F254=fChannel),OR(fMonth="All",$AA254=fMonth)),1,0))</f>
        <v>0</v>
      </c>
      <c r="AI254" s="71">
        <f>IF($AB254=0,0,IF(AND(OR(fClient="All",$B254=fClient),OR(fCampaign="All",$C254=fCampaign),OR(fTeam="All",$L254=fTeam),OR(fChannel="All",$F254=fChannel)),1,0))</f>
        <v>0</v>
      </c>
    </row>
    <row r="255">
      <c r="A255" s="63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3" t="n"/>
      <c r="R255" s="63" t="n"/>
      <c r="S255" s="63" t="n"/>
      <c r="T255" s="65" t="n"/>
      <c r="U255" s="65" t="n"/>
      <c r="V255" s="63" t="n"/>
      <c r="W255" s="65" t="n"/>
      <c r="X255" s="69" t="str">
        <f>IF(AND(ISNUMBER($Q255),ISNUMBER($R255)),$R255-$Q255,"")</f>
        <v/>
      </c>
      <c r="Y255" s="71" t="str">
        <f>IF($AB255=1,IF(AND(ISNUMBER($V255),$M255&lt;&gt;"Converted",$M255&lt;&gt;"Rejected"),IF($V255&lt;=ReportDate,"DUE",""),""),"")</f>
        <v/>
      </c>
      <c r="Z255" s="75" t="str">
        <f>IF(ISNUMBER($Q255),$Q255,IF(ISNUMBER($A255),$A255,""))</f>
        <v/>
      </c>
      <c r="AA255" s="71" t="str">
        <f>IF(ISNUMBER($Z255),YEAR($Z255)&amp;"-"&amp;TEXT(MONTH($Z255),"00"),"")</f>
        <v/>
      </c>
      <c r="AB255" s="71">
        <f>IF($H255&lt;&gt;"",1,0)</f>
        <v>0</v>
      </c>
      <c r="AC255" s="71">
        <f>IF(AND($AB255=1,$G255="Yes"),1,0)</f>
        <v>0</v>
      </c>
      <c r="AD255" s="71">
        <f>IF(AND($AB255=1,$N255="MQL"),1,0)</f>
        <v>0</v>
      </c>
      <c r="AE255" s="71">
        <f>IF(AND($AB255=1,$O255="SQL"),1,0)</f>
        <v>0</v>
      </c>
      <c r="AF255" s="71">
        <f>IF(AND($AB255=1,OR($P255="Open",$P255="Won",$P255="Lost")),1,0)</f>
        <v>0</v>
      </c>
      <c r="AG255" s="71">
        <f>IF(AND($AB255=1,OR($M255="Converted",$P255="Won")),1,0)</f>
        <v>0</v>
      </c>
      <c r="AH255" s="71">
        <f>IF($AB255=0,0,IF(AND(OR(fClient="All",$B255=fClient),OR(fCampaign="All",$C255=fCampaign),OR(fTeam="All",$L255=fTeam),OR(fChannel="All",$F255=fChannel),OR(fMonth="All",$AA255=fMonth)),1,0))</f>
        <v>0</v>
      </c>
      <c r="AI255" s="71">
        <f>IF($AB255=0,0,IF(AND(OR(fClient="All",$B255=fClient),OR(fCampaign="All",$C255=fCampaign),OR(fTeam="All",$L255=fTeam),OR(fChannel="All",$F255=fChannel)),1,0))</f>
        <v>0</v>
      </c>
    </row>
    <row r="256">
      <c r="A256" s="63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3" t="n"/>
      <c r="R256" s="63" t="n"/>
      <c r="S256" s="63" t="n"/>
      <c r="T256" s="65" t="n"/>
      <c r="U256" s="65" t="n"/>
      <c r="V256" s="63" t="n"/>
      <c r="W256" s="65" t="n"/>
      <c r="X256" s="69" t="str">
        <f>IF(AND(ISNUMBER($Q256),ISNUMBER($R256)),$R256-$Q256,"")</f>
        <v/>
      </c>
      <c r="Y256" s="71" t="str">
        <f>IF($AB256=1,IF(AND(ISNUMBER($V256),$M256&lt;&gt;"Converted",$M256&lt;&gt;"Rejected"),IF($V256&lt;=ReportDate,"DUE",""),""),"")</f>
        <v/>
      </c>
      <c r="Z256" s="75" t="str">
        <f>IF(ISNUMBER($Q256),$Q256,IF(ISNUMBER($A256),$A256,""))</f>
        <v/>
      </c>
      <c r="AA256" s="71" t="str">
        <f>IF(ISNUMBER($Z256),YEAR($Z256)&amp;"-"&amp;TEXT(MONTH($Z256),"00"),"")</f>
        <v/>
      </c>
      <c r="AB256" s="71">
        <f>IF($H256&lt;&gt;"",1,0)</f>
        <v>0</v>
      </c>
      <c r="AC256" s="71">
        <f>IF(AND($AB256=1,$G256="Yes"),1,0)</f>
        <v>0</v>
      </c>
      <c r="AD256" s="71">
        <f>IF(AND($AB256=1,$N256="MQL"),1,0)</f>
        <v>0</v>
      </c>
      <c r="AE256" s="71">
        <f>IF(AND($AB256=1,$O256="SQL"),1,0)</f>
        <v>0</v>
      </c>
      <c r="AF256" s="71">
        <f>IF(AND($AB256=1,OR($P256="Open",$P256="Won",$P256="Lost")),1,0)</f>
        <v>0</v>
      </c>
      <c r="AG256" s="71">
        <f>IF(AND($AB256=1,OR($M256="Converted",$P256="Won")),1,0)</f>
        <v>0</v>
      </c>
      <c r="AH256" s="71">
        <f>IF($AB256=0,0,IF(AND(OR(fClient="All",$B256=fClient),OR(fCampaign="All",$C256=fCampaign),OR(fTeam="All",$L256=fTeam),OR(fChannel="All",$F256=fChannel),OR(fMonth="All",$AA256=fMonth)),1,0))</f>
        <v>0</v>
      </c>
      <c r="AI256" s="71">
        <f>IF($AB256=0,0,IF(AND(OR(fClient="All",$B256=fClient),OR(fCampaign="All",$C256=fCampaign),OR(fTeam="All",$L256=fTeam),OR(fChannel="All",$F256=fChannel)),1,0))</f>
        <v>0</v>
      </c>
    </row>
    <row r="257">
      <c r="A257" s="63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3" t="n"/>
      <c r="R257" s="63" t="n"/>
      <c r="S257" s="63" t="n"/>
      <c r="T257" s="65" t="n"/>
      <c r="U257" s="65" t="n"/>
      <c r="V257" s="63" t="n"/>
      <c r="W257" s="65" t="n"/>
      <c r="X257" s="69" t="str">
        <f>IF(AND(ISNUMBER($Q257),ISNUMBER($R257)),$R257-$Q257,"")</f>
        <v/>
      </c>
      <c r="Y257" s="71" t="str">
        <f>IF($AB257=1,IF(AND(ISNUMBER($V257),$M257&lt;&gt;"Converted",$M257&lt;&gt;"Rejected"),IF($V257&lt;=ReportDate,"DUE",""),""),"")</f>
        <v/>
      </c>
      <c r="Z257" s="75" t="str">
        <f>IF(ISNUMBER($Q257),$Q257,IF(ISNUMBER($A257),$A257,""))</f>
        <v/>
      </c>
      <c r="AA257" s="71" t="str">
        <f>IF(ISNUMBER($Z257),YEAR($Z257)&amp;"-"&amp;TEXT(MONTH($Z257),"00"),"")</f>
        <v/>
      </c>
      <c r="AB257" s="71">
        <f>IF($H257&lt;&gt;"",1,0)</f>
        <v>0</v>
      </c>
      <c r="AC257" s="71">
        <f>IF(AND($AB257=1,$G257="Yes"),1,0)</f>
        <v>0</v>
      </c>
      <c r="AD257" s="71">
        <f>IF(AND($AB257=1,$N257="MQL"),1,0)</f>
        <v>0</v>
      </c>
      <c r="AE257" s="71">
        <f>IF(AND($AB257=1,$O257="SQL"),1,0)</f>
        <v>0</v>
      </c>
      <c r="AF257" s="71">
        <f>IF(AND($AB257=1,OR($P257="Open",$P257="Won",$P257="Lost")),1,0)</f>
        <v>0</v>
      </c>
      <c r="AG257" s="71">
        <f>IF(AND($AB257=1,OR($M257="Converted",$P257="Won")),1,0)</f>
        <v>0</v>
      </c>
      <c r="AH257" s="71">
        <f>IF($AB257=0,0,IF(AND(OR(fClient="All",$B257=fClient),OR(fCampaign="All",$C257=fCampaign),OR(fTeam="All",$L257=fTeam),OR(fChannel="All",$F257=fChannel),OR(fMonth="All",$AA257=fMonth)),1,0))</f>
        <v>0</v>
      </c>
      <c r="AI257" s="71">
        <f>IF($AB257=0,0,IF(AND(OR(fClient="All",$B257=fClient),OR(fCampaign="All",$C257=fCampaign),OR(fTeam="All",$L257=fTeam),OR(fChannel="All",$F257=fChannel)),1,0))</f>
        <v>0</v>
      </c>
    </row>
    <row r="258">
      <c r="A258" s="63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3" t="n"/>
      <c r="R258" s="63" t="n"/>
      <c r="S258" s="63" t="n"/>
      <c r="T258" s="65" t="n"/>
      <c r="U258" s="65" t="n"/>
      <c r="V258" s="63" t="n"/>
      <c r="W258" s="65" t="n"/>
      <c r="X258" s="69" t="str">
        <f>IF(AND(ISNUMBER($Q258),ISNUMBER($R258)),$R258-$Q258,"")</f>
        <v/>
      </c>
      <c r="Y258" s="71" t="str">
        <f>IF($AB258=1,IF(AND(ISNUMBER($V258),$M258&lt;&gt;"Converted",$M258&lt;&gt;"Rejected"),IF($V258&lt;=ReportDate,"DUE",""),""),"")</f>
        <v/>
      </c>
      <c r="Z258" s="75" t="str">
        <f>IF(ISNUMBER($Q258),$Q258,IF(ISNUMBER($A258),$A258,""))</f>
        <v/>
      </c>
      <c r="AA258" s="71" t="str">
        <f>IF(ISNUMBER($Z258),YEAR($Z258)&amp;"-"&amp;TEXT(MONTH($Z258),"00"),"")</f>
        <v/>
      </c>
      <c r="AB258" s="71">
        <f>IF($H258&lt;&gt;"",1,0)</f>
        <v>0</v>
      </c>
      <c r="AC258" s="71">
        <f>IF(AND($AB258=1,$G258="Yes"),1,0)</f>
        <v>0</v>
      </c>
      <c r="AD258" s="71">
        <f>IF(AND($AB258=1,$N258="MQL"),1,0)</f>
        <v>0</v>
      </c>
      <c r="AE258" s="71">
        <f>IF(AND($AB258=1,$O258="SQL"),1,0)</f>
        <v>0</v>
      </c>
      <c r="AF258" s="71">
        <f>IF(AND($AB258=1,OR($P258="Open",$P258="Won",$P258="Lost")),1,0)</f>
        <v>0</v>
      </c>
      <c r="AG258" s="71">
        <f>IF(AND($AB258=1,OR($M258="Converted",$P258="Won")),1,0)</f>
        <v>0</v>
      </c>
      <c r="AH258" s="71">
        <f>IF($AB258=0,0,IF(AND(OR(fClient="All",$B258=fClient),OR(fCampaign="All",$C258=fCampaign),OR(fTeam="All",$L258=fTeam),OR(fChannel="All",$F258=fChannel),OR(fMonth="All",$AA258=fMonth)),1,0))</f>
        <v>0</v>
      </c>
      <c r="AI258" s="71">
        <f>IF($AB258=0,0,IF(AND(OR(fClient="All",$B258=fClient),OR(fCampaign="All",$C258=fCampaign),OR(fTeam="All",$L258=fTeam),OR(fChannel="All",$F258=fChannel)),1,0))</f>
        <v>0</v>
      </c>
    </row>
    <row r="259">
      <c r="A259" s="63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3" t="n"/>
      <c r="R259" s="63" t="n"/>
      <c r="S259" s="63" t="n"/>
      <c r="T259" s="65" t="n"/>
      <c r="U259" s="65" t="n"/>
      <c r="V259" s="63" t="n"/>
      <c r="W259" s="65" t="n"/>
      <c r="X259" s="69" t="str">
        <f>IF(AND(ISNUMBER($Q259),ISNUMBER($R259)),$R259-$Q259,"")</f>
        <v/>
      </c>
      <c r="Y259" s="71" t="str">
        <f>IF($AB259=1,IF(AND(ISNUMBER($V259),$M259&lt;&gt;"Converted",$M259&lt;&gt;"Rejected"),IF($V259&lt;=ReportDate,"DUE",""),""),"")</f>
        <v/>
      </c>
      <c r="Z259" s="75" t="str">
        <f>IF(ISNUMBER($Q259),$Q259,IF(ISNUMBER($A259),$A259,""))</f>
        <v/>
      </c>
      <c r="AA259" s="71" t="str">
        <f>IF(ISNUMBER($Z259),YEAR($Z259)&amp;"-"&amp;TEXT(MONTH($Z259),"00"),"")</f>
        <v/>
      </c>
      <c r="AB259" s="71">
        <f>IF($H259&lt;&gt;"",1,0)</f>
        <v>0</v>
      </c>
      <c r="AC259" s="71">
        <f>IF(AND($AB259=1,$G259="Yes"),1,0)</f>
        <v>0</v>
      </c>
      <c r="AD259" s="71">
        <f>IF(AND($AB259=1,$N259="MQL"),1,0)</f>
        <v>0</v>
      </c>
      <c r="AE259" s="71">
        <f>IF(AND($AB259=1,$O259="SQL"),1,0)</f>
        <v>0</v>
      </c>
      <c r="AF259" s="71">
        <f>IF(AND($AB259=1,OR($P259="Open",$P259="Won",$P259="Lost")),1,0)</f>
        <v>0</v>
      </c>
      <c r="AG259" s="71">
        <f>IF(AND($AB259=1,OR($M259="Converted",$P259="Won")),1,0)</f>
        <v>0</v>
      </c>
      <c r="AH259" s="71">
        <f>IF($AB259=0,0,IF(AND(OR(fClient="All",$B259=fClient),OR(fCampaign="All",$C259=fCampaign),OR(fTeam="All",$L259=fTeam),OR(fChannel="All",$F259=fChannel),OR(fMonth="All",$AA259=fMonth)),1,0))</f>
        <v>0</v>
      </c>
      <c r="AI259" s="71">
        <f>IF($AB259=0,0,IF(AND(OR(fClient="All",$B259=fClient),OR(fCampaign="All",$C259=fCampaign),OR(fTeam="All",$L259=fTeam),OR(fChannel="All",$F259=fChannel)),1,0))</f>
        <v>0</v>
      </c>
    </row>
    <row r="260">
      <c r="A260" s="63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3" t="n"/>
      <c r="R260" s="63" t="n"/>
      <c r="S260" s="63" t="n"/>
      <c r="T260" s="65" t="n"/>
      <c r="U260" s="65" t="n"/>
      <c r="V260" s="63" t="n"/>
      <c r="W260" s="65" t="n"/>
      <c r="X260" s="69" t="str">
        <f>IF(AND(ISNUMBER($Q260),ISNUMBER($R260)),$R260-$Q260,"")</f>
        <v/>
      </c>
      <c r="Y260" s="71" t="str">
        <f>IF($AB260=1,IF(AND(ISNUMBER($V260),$M260&lt;&gt;"Converted",$M260&lt;&gt;"Rejected"),IF($V260&lt;=ReportDate,"DUE",""),""),"")</f>
        <v/>
      </c>
      <c r="Z260" s="75" t="str">
        <f>IF(ISNUMBER($Q260),$Q260,IF(ISNUMBER($A260),$A260,""))</f>
        <v/>
      </c>
      <c r="AA260" s="71" t="str">
        <f>IF(ISNUMBER($Z260),YEAR($Z260)&amp;"-"&amp;TEXT(MONTH($Z260),"00"),"")</f>
        <v/>
      </c>
      <c r="AB260" s="71">
        <f>IF($H260&lt;&gt;"",1,0)</f>
        <v>0</v>
      </c>
      <c r="AC260" s="71">
        <f>IF(AND($AB260=1,$G260="Yes"),1,0)</f>
        <v>0</v>
      </c>
      <c r="AD260" s="71">
        <f>IF(AND($AB260=1,$N260="MQL"),1,0)</f>
        <v>0</v>
      </c>
      <c r="AE260" s="71">
        <f>IF(AND($AB260=1,$O260="SQL"),1,0)</f>
        <v>0</v>
      </c>
      <c r="AF260" s="71">
        <f>IF(AND($AB260=1,OR($P260="Open",$P260="Won",$P260="Lost")),1,0)</f>
        <v>0</v>
      </c>
      <c r="AG260" s="71">
        <f>IF(AND($AB260=1,OR($M260="Converted",$P260="Won")),1,0)</f>
        <v>0</v>
      </c>
      <c r="AH260" s="71">
        <f>IF($AB260=0,0,IF(AND(OR(fClient="All",$B260=fClient),OR(fCampaign="All",$C260=fCampaign),OR(fTeam="All",$L260=fTeam),OR(fChannel="All",$F260=fChannel),OR(fMonth="All",$AA260=fMonth)),1,0))</f>
        <v>0</v>
      </c>
      <c r="AI260" s="71">
        <f>IF($AB260=0,0,IF(AND(OR(fClient="All",$B260=fClient),OR(fCampaign="All",$C260=fCampaign),OR(fTeam="All",$L260=fTeam),OR(fChannel="All",$F260=fChannel)),1,0))</f>
        <v>0</v>
      </c>
    </row>
    <row r="261">
      <c r="A261" s="63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3" t="n"/>
      <c r="R261" s="63" t="n"/>
      <c r="S261" s="63" t="n"/>
      <c r="T261" s="65" t="n"/>
      <c r="U261" s="65" t="n"/>
      <c r="V261" s="63" t="n"/>
      <c r="W261" s="65" t="n"/>
      <c r="X261" s="69" t="str">
        <f>IF(AND(ISNUMBER($Q261),ISNUMBER($R261)),$R261-$Q261,"")</f>
        <v/>
      </c>
      <c r="Y261" s="71" t="str">
        <f>IF($AB261=1,IF(AND(ISNUMBER($V261),$M261&lt;&gt;"Converted",$M261&lt;&gt;"Rejected"),IF($V261&lt;=ReportDate,"DUE",""),""),"")</f>
        <v/>
      </c>
      <c r="Z261" s="75" t="str">
        <f>IF(ISNUMBER($Q261),$Q261,IF(ISNUMBER($A261),$A261,""))</f>
        <v/>
      </c>
      <c r="AA261" s="71" t="str">
        <f>IF(ISNUMBER($Z261),YEAR($Z261)&amp;"-"&amp;TEXT(MONTH($Z261),"00"),"")</f>
        <v/>
      </c>
      <c r="AB261" s="71">
        <f>IF($H261&lt;&gt;"",1,0)</f>
        <v>0</v>
      </c>
      <c r="AC261" s="71">
        <f>IF(AND($AB261=1,$G261="Yes"),1,0)</f>
        <v>0</v>
      </c>
      <c r="AD261" s="71">
        <f>IF(AND($AB261=1,$N261="MQL"),1,0)</f>
        <v>0</v>
      </c>
      <c r="AE261" s="71">
        <f>IF(AND($AB261=1,$O261="SQL"),1,0)</f>
        <v>0</v>
      </c>
      <c r="AF261" s="71">
        <f>IF(AND($AB261=1,OR($P261="Open",$P261="Won",$P261="Lost")),1,0)</f>
        <v>0</v>
      </c>
      <c r="AG261" s="71">
        <f>IF(AND($AB261=1,OR($M261="Converted",$P261="Won")),1,0)</f>
        <v>0</v>
      </c>
      <c r="AH261" s="71">
        <f>IF($AB261=0,0,IF(AND(OR(fClient="All",$B261=fClient),OR(fCampaign="All",$C261=fCampaign),OR(fTeam="All",$L261=fTeam),OR(fChannel="All",$F261=fChannel),OR(fMonth="All",$AA261=fMonth)),1,0))</f>
        <v>0</v>
      </c>
      <c r="AI261" s="71">
        <f>IF($AB261=0,0,IF(AND(OR(fClient="All",$B261=fClient),OR(fCampaign="All",$C261=fCampaign),OR(fTeam="All",$L261=fTeam),OR(fChannel="All",$F261=fChannel)),1,0))</f>
        <v>0</v>
      </c>
    </row>
    <row r="262">
      <c r="A262" s="63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3" t="n"/>
      <c r="R262" s="63" t="n"/>
      <c r="S262" s="63" t="n"/>
      <c r="T262" s="65" t="n"/>
      <c r="U262" s="65" t="n"/>
      <c r="V262" s="63" t="n"/>
      <c r="W262" s="65" t="n"/>
      <c r="X262" s="69" t="str">
        <f>IF(AND(ISNUMBER($Q262),ISNUMBER($R262)),$R262-$Q262,"")</f>
        <v/>
      </c>
      <c r="Y262" s="71" t="str">
        <f>IF($AB262=1,IF(AND(ISNUMBER($V262),$M262&lt;&gt;"Converted",$M262&lt;&gt;"Rejected"),IF($V262&lt;=ReportDate,"DUE",""),""),"")</f>
        <v/>
      </c>
      <c r="Z262" s="75" t="str">
        <f>IF(ISNUMBER($Q262),$Q262,IF(ISNUMBER($A262),$A262,""))</f>
        <v/>
      </c>
      <c r="AA262" s="71" t="str">
        <f>IF(ISNUMBER($Z262),YEAR($Z262)&amp;"-"&amp;TEXT(MONTH($Z262),"00"),"")</f>
        <v/>
      </c>
      <c r="AB262" s="71">
        <f>IF($H262&lt;&gt;"",1,0)</f>
        <v>0</v>
      </c>
      <c r="AC262" s="71">
        <f>IF(AND($AB262=1,$G262="Yes"),1,0)</f>
        <v>0</v>
      </c>
      <c r="AD262" s="71">
        <f>IF(AND($AB262=1,$N262="MQL"),1,0)</f>
        <v>0</v>
      </c>
      <c r="AE262" s="71">
        <f>IF(AND($AB262=1,$O262="SQL"),1,0)</f>
        <v>0</v>
      </c>
      <c r="AF262" s="71">
        <f>IF(AND($AB262=1,OR($P262="Open",$P262="Won",$P262="Lost")),1,0)</f>
        <v>0</v>
      </c>
      <c r="AG262" s="71">
        <f>IF(AND($AB262=1,OR($M262="Converted",$P262="Won")),1,0)</f>
        <v>0</v>
      </c>
      <c r="AH262" s="71">
        <f>IF($AB262=0,0,IF(AND(OR(fClient="All",$B262=fClient),OR(fCampaign="All",$C262=fCampaign),OR(fTeam="All",$L262=fTeam),OR(fChannel="All",$F262=fChannel),OR(fMonth="All",$AA262=fMonth)),1,0))</f>
        <v>0</v>
      </c>
      <c r="AI262" s="71">
        <f>IF($AB262=0,0,IF(AND(OR(fClient="All",$B262=fClient),OR(fCampaign="All",$C262=fCampaign),OR(fTeam="All",$L262=fTeam),OR(fChannel="All",$F262=fChannel)),1,0))</f>
        <v>0</v>
      </c>
    </row>
    <row r="263">
      <c r="A263" s="63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3" t="n"/>
      <c r="R263" s="63" t="n"/>
      <c r="S263" s="63" t="n"/>
      <c r="T263" s="65" t="n"/>
      <c r="U263" s="65" t="n"/>
      <c r="V263" s="63" t="n"/>
      <c r="W263" s="65" t="n"/>
      <c r="X263" s="69" t="str">
        <f>IF(AND(ISNUMBER($Q263),ISNUMBER($R263)),$R263-$Q263,"")</f>
        <v/>
      </c>
      <c r="Y263" s="71" t="str">
        <f>IF($AB263=1,IF(AND(ISNUMBER($V263),$M263&lt;&gt;"Converted",$M263&lt;&gt;"Rejected"),IF($V263&lt;=ReportDate,"DUE",""),""),"")</f>
        <v/>
      </c>
      <c r="Z263" s="75" t="str">
        <f>IF(ISNUMBER($Q263),$Q263,IF(ISNUMBER($A263),$A263,""))</f>
        <v/>
      </c>
      <c r="AA263" s="71" t="str">
        <f>IF(ISNUMBER($Z263),YEAR($Z263)&amp;"-"&amp;TEXT(MONTH($Z263),"00"),"")</f>
        <v/>
      </c>
      <c r="AB263" s="71">
        <f>IF($H263&lt;&gt;"",1,0)</f>
        <v>0</v>
      </c>
      <c r="AC263" s="71">
        <f>IF(AND($AB263=1,$G263="Yes"),1,0)</f>
        <v>0</v>
      </c>
      <c r="AD263" s="71">
        <f>IF(AND($AB263=1,$N263="MQL"),1,0)</f>
        <v>0</v>
      </c>
      <c r="AE263" s="71">
        <f>IF(AND($AB263=1,$O263="SQL"),1,0)</f>
        <v>0</v>
      </c>
      <c r="AF263" s="71">
        <f>IF(AND($AB263=1,OR($P263="Open",$P263="Won",$P263="Lost")),1,0)</f>
        <v>0</v>
      </c>
      <c r="AG263" s="71">
        <f>IF(AND($AB263=1,OR($M263="Converted",$P263="Won")),1,0)</f>
        <v>0</v>
      </c>
      <c r="AH263" s="71">
        <f>IF($AB263=0,0,IF(AND(OR(fClient="All",$B263=fClient),OR(fCampaign="All",$C263=fCampaign),OR(fTeam="All",$L263=fTeam),OR(fChannel="All",$F263=fChannel),OR(fMonth="All",$AA263=fMonth)),1,0))</f>
        <v>0</v>
      </c>
      <c r="AI263" s="71">
        <f>IF($AB263=0,0,IF(AND(OR(fClient="All",$B263=fClient),OR(fCampaign="All",$C263=fCampaign),OR(fTeam="All",$L263=fTeam),OR(fChannel="All",$F263=fChannel)),1,0))</f>
        <v>0</v>
      </c>
    </row>
    <row r="264">
      <c r="A264" s="63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3" t="n"/>
      <c r="R264" s="63" t="n"/>
      <c r="S264" s="63" t="n"/>
      <c r="T264" s="65" t="n"/>
      <c r="U264" s="65" t="n"/>
      <c r="V264" s="63" t="n"/>
      <c r="W264" s="65" t="n"/>
      <c r="X264" s="69" t="str">
        <f>IF(AND(ISNUMBER($Q264),ISNUMBER($R264)),$R264-$Q264,"")</f>
        <v/>
      </c>
      <c r="Y264" s="71" t="str">
        <f>IF($AB264=1,IF(AND(ISNUMBER($V264),$M264&lt;&gt;"Converted",$M264&lt;&gt;"Rejected"),IF($V264&lt;=ReportDate,"DUE",""),""),"")</f>
        <v/>
      </c>
      <c r="Z264" s="75" t="str">
        <f>IF(ISNUMBER($Q264),$Q264,IF(ISNUMBER($A264),$A264,""))</f>
        <v/>
      </c>
      <c r="AA264" s="71" t="str">
        <f>IF(ISNUMBER($Z264),YEAR($Z264)&amp;"-"&amp;TEXT(MONTH($Z264),"00"),"")</f>
        <v/>
      </c>
      <c r="AB264" s="71">
        <f>IF($H264&lt;&gt;"",1,0)</f>
        <v>0</v>
      </c>
      <c r="AC264" s="71">
        <f>IF(AND($AB264=1,$G264="Yes"),1,0)</f>
        <v>0</v>
      </c>
      <c r="AD264" s="71">
        <f>IF(AND($AB264=1,$N264="MQL"),1,0)</f>
        <v>0</v>
      </c>
      <c r="AE264" s="71">
        <f>IF(AND($AB264=1,$O264="SQL"),1,0)</f>
        <v>0</v>
      </c>
      <c r="AF264" s="71">
        <f>IF(AND($AB264=1,OR($P264="Open",$P264="Won",$P264="Lost")),1,0)</f>
        <v>0</v>
      </c>
      <c r="AG264" s="71">
        <f>IF(AND($AB264=1,OR($M264="Converted",$P264="Won")),1,0)</f>
        <v>0</v>
      </c>
      <c r="AH264" s="71">
        <f>IF($AB264=0,0,IF(AND(OR(fClient="All",$B264=fClient),OR(fCampaign="All",$C264=fCampaign),OR(fTeam="All",$L264=fTeam),OR(fChannel="All",$F264=fChannel),OR(fMonth="All",$AA264=fMonth)),1,0))</f>
        <v>0</v>
      </c>
      <c r="AI264" s="71">
        <f>IF($AB264=0,0,IF(AND(OR(fClient="All",$B264=fClient),OR(fCampaign="All",$C264=fCampaign),OR(fTeam="All",$L264=fTeam),OR(fChannel="All",$F264=fChannel)),1,0))</f>
        <v>0</v>
      </c>
    </row>
    <row r="265">
      <c r="A265" s="63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3" t="n"/>
      <c r="R265" s="63" t="n"/>
      <c r="S265" s="63" t="n"/>
      <c r="T265" s="65" t="n"/>
      <c r="U265" s="65" t="n"/>
      <c r="V265" s="63" t="n"/>
      <c r="W265" s="65" t="n"/>
      <c r="X265" s="69" t="str">
        <f>IF(AND(ISNUMBER($Q265),ISNUMBER($R265)),$R265-$Q265,"")</f>
        <v/>
      </c>
      <c r="Y265" s="71" t="str">
        <f>IF($AB265=1,IF(AND(ISNUMBER($V265),$M265&lt;&gt;"Converted",$M265&lt;&gt;"Rejected"),IF($V265&lt;=ReportDate,"DUE",""),""),"")</f>
        <v/>
      </c>
      <c r="Z265" s="75" t="str">
        <f>IF(ISNUMBER($Q265),$Q265,IF(ISNUMBER($A265),$A265,""))</f>
        <v/>
      </c>
      <c r="AA265" s="71" t="str">
        <f>IF(ISNUMBER($Z265),YEAR($Z265)&amp;"-"&amp;TEXT(MONTH($Z265),"00"),"")</f>
        <v/>
      </c>
      <c r="AB265" s="71">
        <f>IF($H265&lt;&gt;"",1,0)</f>
        <v>0</v>
      </c>
      <c r="AC265" s="71">
        <f>IF(AND($AB265=1,$G265="Yes"),1,0)</f>
        <v>0</v>
      </c>
      <c r="AD265" s="71">
        <f>IF(AND($AB265=1,$N265="MQL"),1,0)</f>
        <v>0</v>
      </c>
      <c r="AE265" s="71">
        <f>IF(AND($AB265=1,$O265="SQL"),1,0)</f>
        <v>0</v>
      </c>
      <c r="AF265" s="71">
        <f>IF(AND($AB265=1,OR($P265="Open",$P265="Won",$P265="Lost")),1,0)</f>
        <v>0</v>
      </c>
      <c r="AG265" s="71">
        <f>IF(AND($AB265=1,OR($M265="Converted",$P265="Won")),1,0)</f>
        <v>0</v>
      </c>
      <c r="AH265" s="71">
        <f>IF($AB265=0,0,IF(AND(OR(fClient="All",$B265=fClient),OR(fCampaign="All",$C265=fCampaign),OR(fTeam="All",$L265=fTeam),OR(fChannel="All",$F265=fChannel),OR(fMonth="All",$AA265=fMonth)),1,0))</f>
        <v>0</v>
      </c>
      <c r="AI265" s="71">
        <f>IF($AB265=0,0,IF(AND(OR(fClient="All",$B265=fClient),OR(fCampaign="All",$C265=fCampaign),OR(fTeam="All",$L265=fTeam),OR(fChannel="All",$F265=fChannel)),1,0))</f>
        <v>0</v>
      </c>
    </row>
    <row r="266">
      <c r="A266" s="63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3" t="n"/>
      <c r="R266" s="63" t="n"/>
      <c r="S266" s="63" t="n"/>
      <c r="T266" s="65" t="n"/>
      <c r="U266" s="65" t="n"/>
      <c r="V266" s="63" t="n"/>
      <c r="W266" s="65" t="n"/>
      <c r="X266" s="69" t="str">
        <f>IF(AND(ISNUMBER($Q266),ISNUMBER($R266)),$R266-$Q266,"")</f>
        <v/>
      </c>
      <c r="Y266" s="71" t="str">
        <f>IF($AB266=1,IF(AND(ISNUMBER($V266),$M266&lt;&gt;"Converted",$M266&lt;&gt;"Rejected"),IF($V266&lt;=ReportDate,"DUE",""),""),"")</f>
        <v/>
      </c>
      <c r="Z266" s="75" t="str">
        <f>IF(ISNUMBER($Q266),$Q266,IF(ISNUMBER($A266),$A266,""))</f>
        <v/>
      </c>
      <c r="AA266" s="71" t="str">
        <f>IF(ISNUMBER($Z266),YEAR($Z266)&amp;"-"&amp;TEXT(MONTH($Z266),"00"),"")</f>
        <v/>
      </c>
      <c r="AB266" s="71">
        <f>IF($H266&lt;&gt;"",1,0)</f>
        <v>0</v>
      </c>
      <c r="AC266" s="71">
        <f>IF(AND($AB266=1,$G266="Yes"),1,0)</f>
        <v>0</v>
      </c>
      <c r="AD266" s="71">
        <f>IF(AND($AB266=1,$N266="MQL"),1,0)</f>
        <v>0</v>
      </c>
      <c r="AE266" s="71">
        <f>IF(AND($AB266=1,$O266="SQL"),1,0)</f>
        <v>0</v>
      </c>
      <c r="AF266" s="71">
        <f>IF(AND($AB266=1,OR($P266="Open",$P266="Won",$P266="Lost")),1,0)</f>
        <v>0</v>
      </c>
      <c r="AG266" s="71">
        <f>IF(AND($AB266=1,OR($M266="Converted",$P266="Won")),1,0)</f>
        <v>0</v>
      </c>
      <c r="AH266" s="71">
        <f>IF($AB266=0,0,IF(AND(OR(fClient="All",$B266=fClient),OR(fCampaign="All",$C266=fCampaign),OR(fTeam="All",$L266=fTeam),OR(fChannel="All",$F266=fChannel),OR(fMonth="All",$AA266=fMonth)),1,0))</f>
        <v>0</v>
      </c>
      <c r="AI266" s="71">
        <f>IF($AB266=0,0,IF(AND(OR(fClient="All",$B266=fClient),OR(fCampaign="All",$C266=fCampaign),OR(fTeam="All",$L266=fTeam),OR(fChannel="All",$F266=fChannel)),1,0))</f>
        <v>0</v>
      </c>
    </row>
    <row r="267">
      <c r="A267" s="63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3" t="n"/>
      <c r="R267" s="63" t="n"/>
      <c r="S267" s="63" t="n"/>
      <c r="T267" s="65" t="n"/>
      <c r="U267" s="65" t="n"/>
      <c r="V267" s="63" t="n"/>
      <c r="W267" s="65" t="n"/>
      <c r="X267" s="69" t="str">
        <f>IF(AND(ISNUMBER($Q267),ISNUMBER($R267)),$R267-$Q267,"")</f>
        <v/>
      </c>
      <c r="Y267" s="71" t="str">
        <f>IF($AB267=1,IF(AND(ISNUMBER($V267),$M267&lt;&gt;"Converted",$M267&lt;&gt;"Rejected"),IF($V267&lt;=ReportDate,"DUE",""),""),"")</f>
        <v/>
      </c>
      <c r="Z267" s="75" t="str">
        <f>IF(ISNUMBER($Q267),$Q267,IF(ISNUMBER($A267),$A267,""))</f>
        <v/>
      </c>
      <c r="AA267" s="71" t="str">
        <f>IF(ISNUMBER($Z267),YEAR($Z267)&amp;"-"&amp;TEXT(MONTH($Z267),"00"),"")</f>
        <v/>
      </c>
      <c r="AB267" s="71">
        <f>IF($H267&lt;&gt;"",1,0)</f>
        <v>0</v>
      </c>
      <c r="AC267" s="71">
        <f>IF(AND($AB267=1,$G267="Yes"),1,0)</f>
        <v>0</v>
      </c>
      <c r="AD267" s="71">
        <f>IF(AND($AB267=1,$N267="MQL"),1,0)</f>
        <v>0</v>
      </c>
      <c r="AE267" s="71">
        <f>IF(AND($AB267=1,$O267="SQL"),1,0)</f>
        <v>0</v>
      </c>
      <c r="AF267" s="71">
        <f>IF(AND($AB267=1,OR($P267="Open",$P267="Won",$P267="Lost")),1,0)</f>
        <v>0</v>
      </c>
      <c r="AG267" s="71">
        <f>IF(AND($AB267=1,OR($M267="Converted",$P267="Won")),1,0)</f>
        <v>0</v>
      </c>
      <c r="AH267" s="71">
        <f>IF($AB267=0,0,IF(AND(OR(fClient="All",$B267=fClient),OR(fCampaign="All",$C267=fCampaign),OR(fTeam="All",$L267=fTeam),OR(fChannel="All",$F267=fChannel),OR(fMonth="All",$AA267=fMonth)),1,0))</f>
        <v>0</v>
      </c>
      <c r="AI267" s="71">
        <f>IF($AB267=0,0,IF(AND(OR(fClient="All",$B267=fClient),OR(fCampaign="All",$C267=fCampaign),OR(fTeam="All",$L267=fTeam),OR(fChannel="All",$F267=fChannel)),1,0))</f>
        <v>0</v>
      </c>
    </row>
    <row r="268">
      <c r="A268" s="63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3" t="n"/>
      <c r="R268" s="63" t="n"/>
      <c r="S268" s="63" t="n"/>
      <c r="T268" s="65" t="n"/>
      <c r="U268" s="65" t="n"/>
      <c r="V268" s="63" t="n"/>
      <c r="W268" s="65" t="n"/>
      <c r="X268" s="69" t="str">
        <f>IF(AND(ISNUMBER($Q268),ISNUMBER($R268)),$R268-$Q268,"")</f>
        <v/>
      </c>
      <c r="Y268" s="71" t="str">
        <f>IF($AB268=1,IF(AND(ISNUMBER($V268),$M268&lt;&gt;"Converted",$M268&lt;&gt;"Rejected"),IF($V268&lt;=ReportDate,"DUE",""),""),"")</f>
        <v/>
      </c>
      <c r="Z268" s="75" t="str">
        <f>IF(ISNUMBER($Q268),$Q268,IF(ISNUMBER($A268),$A268,""))</f>
        <v/>
      </c>
      <c r="AA268" s="71" t="str">
        <f>IF(ISNUMBER($Z268),YEAR($Z268)&amp;"-"&amp;TEXT(MONTH($Z268),"00"),"")</f>
        <v/>
      </c>
      <c r="AB268" s="71">
        <f>IF($H268&lt;&gt;"",1,0)</f>
        <v>0</v>
      </c>
      <c r="AC268" s="71">
        <f>IF(AND($AB268=1,$G268="Yes"),1,0)</f>
        <v>0</v>
      </c>
      <c r="AD268" s="71">
        <f>IF(AND($AB268=1,$N268="MQL"),1,0)</f>
        <v>0</v>
      </c>
      <c r="AE268" s="71">
        <f>IF(AND($AB268=1,$O268="SQL"),1,0)</f>
        <v>0</v>
      </c>
      <c r="AF268" s="71">
        <f>IF(AND($AB268=1,OR($P268="Open",$P268="Won",$P268="Lost")),1,0)</f>
        <v>0</v>
      </c>
      <c r="AG268" s="71">
        <f>IF(AND($AB268=1,OR($M268="Converted",$P268="Won")),1,0)</f>
        <v>0</v>
      </c>
      <c r="AH268" s="71">
        <f>IF($AB268=0,0,IF(AND(OR(fClient="All",$B268=fClient),OR(fCampaign="All",$C268=fCampaign),OR(fTeam="All",$L268=fTeam),OR(fChannel="All",$F268=fChannel),OR(fMonth="All",$AA268=fMonth)),1,0))</f>
        <v>0</v>
      </c>
      <c r="AI268" s="71">
        <f>IF($AB268=0,0,IF(AND(OR(fClient="All",$B268=fClient),OR(fCampaign="All",$C268=fCampaign),OR(fTeam="All",$L268=fTeam),OR(fChannel="All",$F268=fChannel)),1,0))</f>
        <v>0</v>
      </c>
    </row>
    <row r="269">
      <c r="A269" s="63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3" t="n"/>
      <c r="R269" s="63" t="n"/>
      <c r="S269" s="63" t="n"/>
      <c r="T269" s="65" t="n"/>
      <c r="U269" s="65" t="n"/>
      <c r="V269" s="63" t="n"/>
      <c r="W269" s="65" t="n"/>
      <c r="X269" s="69" t="str">
        <f>IF(AND(ISNUMBER($Q269),ISNUMBER($R269)),$R269-$Q269,"")</f>
        <v/>
      </c>
      <c r="Y269" s="71" t="str">
        <f>IF($AB269=1,IF(AND(ISNUMBER($V269),$M269&lt;&gt;"Converted",$M269&lt;&gt;"Rejected"),IF($V269&lt;=ReportDate,"DUE",""),""),"")</f>
        <v/>
      </c>
      <c r="Z269" s="75" t="str">
        <f>IF(ISNUMBER($Q269),$Q269,IF(ISNUMBER($A269),$A269,""))</f>
        <v/>
      </c>
      <c r="AA269" s="71" t="str">
        <f>IF(ISNUMBER($Z269),YEAR($Z269)&amp;"-"&amp;TEXT(MONTH($Z269),"00"),"")</f>
        <v/>
      </c>
      <c r="AB269" s="71">
        <f>IF($H269&lt;&gt;"",1,0)</f>
        <v>0</v>
      </c>
      <c r="AC269" s="71">
        <f>IF(AND($AB269=1,$G269="Yes"),1,0)</f>
        <v>0</v>
      </c>
      <c r="AD269" s="71">
        <f>IF(AND($AB269=1,$N269="MQL"),1,0)</f>
        <v>0</v>
      </c>
      <c r="AE269" s="71">
        <f>IF(AND($AB269=1,$O269="SQL"),1,0)</f>
        <v>0</v>
      </c>
      <c r="AF269" s="71">
        <f>IF(AND($AB269=1,OR($P269="Open",$P269="Won",$P269="Lost")),1,0)</f>
        <v>0</v>
      </c>
      <c r="AG269" s="71">
        <f>IF(AND($AB269=1,OR($M269="Converted",$P269="Won")),1,0)</f>
        <v>0</v>
      </c>
      <c r="AH269" s="71">
        <f>IF($AB269=0,0,IF(AND(OR(fClient="All",$B269=fClient),OR(fCampaign="All",$C269=fCampaign),OR(fTeam="All",$L269=fTeam),OR(fChannel="All",$F269=fChannel),OR(fMonth="All",$AA269=fMonth)),1,0))</f>
        <v>0</v>
      </c>
      <c r="AI269" s="71">
        <f>IF($AB269=0,0,IF(AND(OR(fClient="All",$B269=fClient),OR(fCampaign="All",$C269=fCampaign),OR(fTeam="All",$L269=fTeam),OR(fChannel="All",$F269=fChannel)),1,0))</f>
        <v>0</v>
      </c>
    </row>
    <row r="270">
      <c r="A270" s="63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3" t="n"/>
      <c r="R270" s="63" t="n"/>
      <c r="S270" s="63" t="n"/>
      <c r="T270" s="65" t="n"/>
      <c r="U270" s="65" t="n"/>
      <c r="V270" s="63" t="n"/>
      <c r="W270" s="65" t="n"/>
      <c r="X270" s="69" t="str">
        <f>IF(AND(ISNUMBER($Q270),ISNUMBER($R270)),$R270-$Q270,"")</f>
        <v/>
      </c>
      <c r="Y270" s="71" t="str">
        <f>IF($AB270=1,IF(AND(ISNUMBER($V270),$M270&lt;&gt;"Converted",$M270&lt;&gt;"Rejected"),IF($V270&lt;=ReportDate,"DUE",""),""),"")</f>
        <v/>
      </c>
      <c r="Z270" s="75" t="str">
        <f>IF(ISNUMBER($Q270),$Q270,IF(ISNUMBER($A270),$A270,""))</f>
        <v/>
      </c>
      <c r="AA270" s="71" t="str">
        <f>IF(ISNUMBER($Z270),YEAR($Z270)&amp;"-"&amp;TEXT(MONTH($Z270),"00"),"")</f>
        <v/>
      </c>
      <c r="AB270" s="71">
        <f>IF($H270&lt;&gt;"",1,0)</f>
        <v>0</v>
      </c>
      <c r="AC270" s="71">
        <f>IF(AND($AB270=1,$G270="Yes"),1,0)</f>
        <v>0</v>
      </c>
      <c r="AD270" s="71">
        <f>IF(AND($AB270=1,$N270="MQL"),1,0)</f>
        <v>0</v>
      </c>
      <c r="AE270" s="71">
        <f>IF(AND($AB270=1,$O270="SQL"),1,0)</f>
        <v>0</v>
      </c>
      <c r="AF270" s="71">
        <f>IF(AND($AB270=1,OR($P270="Open",$P270="Won",$P270="Lost")),1,0)</f>
        <v>0</v>
      </c>
      <c r="AG270" s="71">
        <f>IF(AND($AB270=1,OR($M270="Converted",$P270="Won")),1,0)</f>
        <v>0</v>
      </c>
      <c r="AH270" s="71">
        <f>IF($AB270=0,0,IF(AND(OR(fClient="All",$B270=fClient),OR(fCampaign="All",$C270=fCampaign),OR(fTeam="All",$L270=fTeam),OR(fChannel="All",$F270=fChannel),OR(fMonth="All",$AA270=fMonth)),1,0))</f>
        <v>0</v>
      </c>
      <c r="AI270" s="71">
        <f>IF($AB270=0,0,IF(AND(OR(fClient="All",$B270=fClient),OR(fCampaign="All",$C270=fCampaign),OR(fTeam="All",$L270=fTeam),OR(fChannel="All",$F270=fChannel)),1,0))</f>
        <v>0</v>
      </c>
    </row>
    <row r="271">
      <c r="A271" s="63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3" t="n"/>
      <c r="R271" s="63" t="n"/>
      <c r="S271" s="63" t="n"/>
      <c r="T271" s="65" t="n"/>
      <c r="U271" s="65" t="n"/>
      <c r="V271" s="63" t="n"/>
      <c r="W271" s="65" t="n"/>
      <c r="X271" s="69" t="str">
        <f>IF(AND(ISNUMBER($Q271),ISNUMBER($R271)),$R271-$Q271,"")</f>
        <v/>
      </c>
      <c r="Y271" s="71" t="str">
        <f>IF($AB271=1,IF(AND(ISNUMBER($V271),$M271&lt;&gt;"Converted",$M271&lt;&gt;"Rejected"),IF($V271&lt;=ReportDate,"DUE",""),""),"")</f>
        <v/>
      </c>
      <c r="Z271" s="75" t="str">
        <f>IF(ISNUMBER($Q271),$Q271,IF(ISNUMBER($A271),$A271,""))</f>
        <v/>
      </c>
      <c r="AA271" s="71" t="str">
        <f>IF(ISNUMBER($Z271),YEAR($Z271)&amp;"-"&amp;TEXT(MONTH($Z271),"00"),"")</f>
        <v/>
      </c>
      <c r="AB271" s="71">
        <f>IF($H271&lt;&gt;"",1,0)</f>
        <v>0</v>
      </c>
      <c r="AC271" s="71">
        <f>IF(AND($AB271=1,$G271="Yes"),1,0)</f>
        <v>0</v>
      </c>
      <c r="AD271" s="71">
        <f>IF(AND($AB271=1,$N271="MQL"),1,0)</f>
        <v>0</v>
      </c>
      <c r="AE271" s="71">
        <f>IF(AND($AB271=1,$O271="SQL"),1,0)</f>
        <v>0</v>
      </c>
      <c r="AF271" s="71">
        <f>IF(AND($AB271=1,OR($P271="Open",$P271="Won",$P271="Lost")),1,0)</f>
        <v>0</v>
      </c>
      <c r="AG271" s="71">
        <f>IF(AND($AB271=1,OR($M271="Converted",$P271="Won")),1,0)</f>
        <v>0</v>
      </c>
      <c r="AH271" s="71">
        <f>IF($AB271=0,0,IF(AND(OR(fClient="All",$B271=fClient),OR(fCampaign="All",$C271=fCampaign),OR(fTeam="All",$L271=fTeam),OR(fChannel="All",$F271=fChannel),OR(fMonth="All",$AA271=fMonth)),1,0))</f>
        <v>0</v>
      </c>
      <c r="AI271" s="71">
        <f>IF($AB271=0,0,IF(AND(OR(fClient="All",$B271=fClient),OR(fCampaign="All",$C271=fCampaign),OR(fTeam="All",$L271=fTeam),OR(fChannel="All",$F271=fChannel)),1,0))</f>
        <v>0</v>
      </c>
    </row>
    <row r="272">
      <c r="A272" s="63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3" t="n"/>
      <c r="R272" s="63" t="n"/>
      <c r="S272" s="63" t="n"/>
      <c r="T272" s="65" t="n"/>
      <c r="U272" s="65" t="n"/>
      <c r="V272" s="63" t="n"/>
      <c r="W272" s="65" t="n"/>
      <c r="X272" s="69" t="str">
        <f>IF(AND(ISNUMBER($Q272),ISNUMBER($R272)),$R272-$Q272,"")</f>
        <v/>
      </c>
      <c r="Y272" s="71" t="str">
        <f>IF($AB272=1,IF(AND(ISNUMBER($V272),$M272&lt;&gt;"Converted",$M272&lt;&gt;"Rejected"),IF($V272&lt;=ReportDate,"DUE",""),""),"")</f>
        <v/>
      </c>
      <c r="Z272" s="75" t="str">
        <f>IF(ISNUMBER($Q272),$Q272,IF(ISNUMBER($A272),$A272,""))</f>
        <v/>
      </c>
      <c r="AA272" s="71" t="str">
        <f>IF(ISNUMBER($Z272),YEAR($Z272)&amp;"-"&amp;TEXT(MONTH($Z272),"00"),"")</f>
        <v/>
      </c>
      <c r="AB272" s="71">
        <f>IF($H272&lt;&gt;"",1,0)</f>
        <v>0</v>
      </c>
      <c r="AC272" s="71">
        <f>IF(AND($AB272=1,$G272="Yes"),1,0)</f>
        <v>0</v>
      </c>
      <c r="AD272" s="71">
        <f>IF(AND($AB272=1,$N272="MQL"),1,0)</f>
        <v>0</v>
      </c>
      <c r="AE272" s="71">
        <f>IF(AND($AB272=1,$O272="SQL"),1,0)</f>
        <v>0</v>
      </c>
      <c r="AF272" s="71">
        <f>IF(AND($AB272=1,OR($P272="Open",$P272="Won",$P272="Lost")),1,0)</f>
        <v>0</v>
      </c>
      <c r="AG272" s="71">
        <f>IF(AND($AB272=1,OR($M272="Converted",$P272="Won")),1,0)</f>
        <v>0</v>
      </c>
      <c r="AH272" s="71">
        <f>IF($AB272=0,0,IF(AND(OR(fClient="All",$B272=fClient),OR(fCampaign="All",$C272=fCampaign),OR(fTeam="All",$L272=fTeam),OR(fChannel="All",$F272=fChannel),OR(fMonth="All",$AA272=fMonth)),1,0))</f>
        <v>0</v>
      </c>
      <c r="AI272" s="71">
        <f>IF($AB272=0,0,IF(AND(OR(fClient="All",$B272=fClient),OR(fCampaign="All",$C272=fCampaign),OR(fTeam="All",$L272=fTeam),OR(fChannel="All",$F272=fChannel)),1,0))</f>
        <v>0</v>
      </c>
    </row>
    <row r="273">
      <c r="A273" s="63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3" t="n"/>
      <c r="R273" s="63" t="n"/>
      <c r="S273" s="63" t="n"/>
      <c r="T273" s="65" t="n"/>
      <c r="U273" s="65" t="n"/>
      <c r="V273" s="63" t="n"/>
      <c r="W273" s="65" t="n"/>
      <c r="X273" s="69" t="str">
        <f>IF(AND(ISNUMBER($Q273),ISNUMBER($R273)),$R273-$Q273,"")</f>
        <v/>
      </c>
      <c r="Y273" s="71" t="str">
        <f>IF($AB273=1,IF(AND(ISNUMBER($V273),$M273&lt;&gt;"Converted",$M273&lt;&gt;"Rejected"),IF($V273&lt;=ReportDate,"DUE",""),""),"")</f>
        <v/>
      </c>
      <c r="Z273" s="75" t="str">
        <f>IF(ISNUMBER($Q273),$Q273,IF(ISNUMBER($A273),$A273,""))</f>
        <v/>
      </c>
      <c r="AA273" s="71" t="str">
        <f>IF(ISNUMBER($Z273),YEAR($Z273)&amp;"-"&amp;TEXT(MONTH($Z273),"00"),"")</f>
        <v/>
      </c>
      <c r="AB273" s="71">
        <f>IF($H273&lt;&gt;"",1,0)</f>
        <v>0</v>
      </c>
      <c r="AC273" s="71">
        <f>IF(AND($AB273=1,$G273="Yes"),1,0)</f>
        <v>0</v>
      </c>
      <c r="AD273" s="71">
        <f>IF(AND($AB273=1,$N273="MQL"),1,0)</f>
        <v>0</v>
      </c>
      <c r="AE273" s="71">
        <f>IF(AND($AB273=1,$O273="SQL"),1,0)</f>
        <v>0</v>
      </c>
      <c r="AF273" s="71">
        <f>IF(AND($AB273=1,OR($P273="Open",$P273="Won",$P273="Lost")),1,0)</f>
        <v>0</v>
      </c>
      <c r="AG273" s="71">
        <f>IF(AND($AB273=1,OR($M273="Converted",$P273="Won")),1,0)</f>
        <v>0</v>
      </c>
      <c r="AH273" s="71">
        <f>IF($AB273=0,0,IF(AND(OR(fClient="All",$B273=fClient),OR(fCampaign="All",$C273=fCampaign),OR(fTeam="All",$L273=fTeam),OR(fChannel="All",$F273=fChannel),OR(fMonth="All",$AA273=fMonth)),1,0))</f>
        <v>0</v>
      </c>
      <c r="AI273" s="71">
        <f>IF($AB273=0,0,IF(AND(OR(fClient="All",$B273=fClient),OR(fCampaign="All",$C273=fCampaign),OR(fTeam="All",$L273=fTeam),OR(fChannel="All",$F273=fChannel)),1,0))</f>
        <v>0</v>
      </c>
    </row>
    <row r="274">
      <c r="A274" s="63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3" t="n"/>
      <c r="R274" s="63" t="n"/>
      <c r="S274" s="63" t="n"/>
      <c r="T274" s="65" t="n"/>
      <c r="U274" s="65" t="n"/>
      <c r="V274" s="63" t="n"/>
      <c r="W274" s="65" t="n"/>
      <c r="X274" s="69" t="str">
        <f>IF(AND(ISNUMBER($Q274),ISNUMBER($R274)),$R274-$Q274,"")</f>
        <v/>
      </c>
      <c r="Y274" s="71" t="str">
        <f>IF($AB274=1,IF(AND(ISNUMBER($V274),$M274&lt;&gt;"Converted",$M274&lt;&gt;"Rejected"),IF($V274&lt;=ReportDate,"DUE",""),""),"")</f>
        <v/>
      </c>
      <c r="Z274" s="75" t="str">
        <f>IF(ISNUMBER($Q274),$Q274,IF(ISNUMBER($A274),$A274,""))</f>
        <v/>
      </c>
      <c r="AA274" s="71" t="str">
        <f>IF(ISNUMBER($Z274),YEAR($Z274)&amp;"-"&amp;TEXT(MONTH($Z274),"00"),"")</f>
        <v/>
      </c>
      <c r="AB274" s="71">
        <f>IF($H274&lt;&gt;"",1,0)</f>
        <v>0</v>
      </c>
      <c r="AC274" s="71">
        <f>IF(AND($AB274=1,$G274="Yes"),1,0)</f>
        <v>0</v>
      </c>
      <c r="AD274" s="71">
        <f>IF(AND($AB274=1,$N274="MQL"),1,0)</f>
        <v>0</v>
      </c>
      <c r="AE274" s="71">
        <f>IF(AND($AB274=1,$O274="SQL"),1,0)</f>
        <v>0</v>
      </c>
      <c r="AF274" s="71">
        <f>IF(AND($AB274=1,OR($P274="Open",$P274="Won",$P274="Lost")),1,0)</f>
        <v>0</v>
      </c>
      <c r="AG274" s="71">
        <f>IF(AND($AB274=1,OR($M274="Converted",$P274="Won")),1,0)</f>
        <v>0</v>
      </c>
      <c r="AH274" s="71">
        <f>IF($AB274=0,0,IF(AND(OR(fClient="All",$B274=fClient),OR(fCampaign="All",$C274=fCampaign),OR(fTeam="All",$L274=fTeam),OR(fChannel="All",$F274=fChannel),OR(fMonth="All",$AA274=fMonth)),1,0))</f>
        <v>0</v>
      </c>
      <c r="AI274" s="71">
        <f>IF($AB274=0,0,IF(AND(OR(fClient="All",$B274=fClient),OR(fCampaign="All",$C274=fCampaign),OR(fTeam="All",$L274=fTeam),OR(fChannel="All",$F274=fChannel)),1,0))</f>
        <v>0</v>
      </c>
    </row>
    <row r="275">
      <c r="A275" s="63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3" t="n"/>
      <c r="R275" s="63" t="n"/>
      <c r="S275" s="63" t="n"/>
      <c r="T275" s="65" t="n"/>
      <c r="U275" s="65" t="n"/>
      <c r="V275" s="63" t="n"/>
      <c r="W275" s="65" t="n"/>
      <c r="X275" s="69" t="str">
        <f>IF(AND(ISNUMBER($Q275),ISNUMBER($R275)),$R275-$Q275,"")</f>
        <v/>
      </c>
      <c r="Y275" s="71" t="str">
        <f>IF($AB275=1,IF(AND(ISNUMBER($V275),$M275&lt;&gt;"Converted",$M275&lt;&gt;"Rejected"),IF($V275&lt;=ReportDate,"DUE",""),""),"")</f>
        <v/>
      </c>
      <c r="Z275" s="75" t="str">
        <f>IF(ISNUMBER($Q275),$Q275,IF(ISNUMBER($A275),$A275,""))</f>
        <v/>
      </c>
      <c r="AA275" s="71" t="str">
        <f>IF(ISNUMBER($Z275),YEAR($Z275)&amp;"-"&amp;TEXT(MONTH($Z275),"00"),"")</f>
        <v/>
      </c>
      <c r="AB275" s="71">
        <f>IF($H275&lt;&gt;"",1,0)</f>
        <v>0</v>
      </c>
      <c r="AC275" s="71">
        <f>IF(AND($AB275=1,$G275="Yes"),1,0)</f>
        <v>0</v>
      </c>
      <c r="AD275" s="71">
        <f>IF(AND($AB275=1,$N275="MQL"),1,0)</f>
        <v>0</v>
      </c>
      <c r="AE275" s="71">
        <f>IF(AND($AB275=1,$O275="SQL"),1,0)</f>
        <v>0</v>
      </c>
      <c r="AF275" s="71">
        <f>IF(AND($AB275=1,OR($P275="Open",$P275="Won",$P275="Lost")),1,0)</f>
        <v>0</v>
      </c>
      <c r="AG275" s="71">
        <f>IF(AND($AB275=1,OR($M275="Converted",$P275="Won")),1,0)</f>
        <v>0</v>
      </c>
      <c r="AH275" s="71">
        <f>IF($AB275=0,0,IF(AND(OR(fClient="All",$B275=fClient),OR(fCampaign="All",$C275=fCampaign),OR(fTeam="All",$L275=fTeam),OR(fChannel="All",$F275=fChannel),OR(fMonth="All",$AA275=fMonth)),1,0))</f>
        <v>0</v>
      </c>
      <c r="AI275" s="71">
        <f>IF($AB275=0,0,IF(AND(OR(fClient="All",$B275=fClient),OR(fCampaign="All",$C275=fCampaign),OR(fTeam="All",$L275=fTeam),OR(fChannel="All",$F275=fChannel)),1,0))</f>
        <v>0</v>
      </c>
    </row>
    <row r="276">
      <c r="A276" s="63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3" t="n"/>
      <c r="R276" s="63" t="n"/>
      <c r="S276" s="63" t="n"/>
      <c r="T276" s="65" t="n"/>
      <c r="U276" s="65" t="n"/>
      <c r="V276" s="63" t="n"/>
      <c r="W276" s="65" t="n"/>
      <c r="X276" s="69" t="str">
        <f>IF(AND(ISNUMBER($Q276),ISNUMBER($R276)),$R276-$Q276,"")</f>
        <v/>
      </c>
      <c r="Y276" s="71" t="str">
        <f>IF($AB276=1,IF(AND(ISNUMBER($V276),$M276&lt;&gt;"Converted",$M276&lt;&gt;"Rejected"),IF($V276&lt;=ReportDate,"DUE",""),""),"")</f>
        <v/>
      </c>
      <c r="Z276" s="75" t="str">
        <f>IF(ISNUMBER($Q276),$Q276,IF(ISNUMBER($A276),$A276,""))</f>
        <v/>
      </c>
      <c r="AA276" s="71" t="str">
        <f>IF(ISNUMBER($Z276),YEAR($Z276)&amp;"-"&amp;TEXT(MONTH($Z276),"00"),"")</f>
        <v/>
      </c>
      <c r="AB276" s="71">
        <f>IF($H276&lt;&gt;"",1,0)</f>
        <v>0</v>
      </c>
      <c r="AC276" s="71">
        <f>IF(AND($AB276=1,$G276="Yes"),1,0)</f>
        <v>0</v>
      </c>
      <c r="AD276" s="71">
        <f>IF(AND($AB276=1,$N276="MQL"),1,0)</f>
        <v>0</v>
      </c>
      <c r="AE276" s="71">
        <f>IF(AND($AB276=1,$O276="SQL"),1,0)</f>
        <v>0</v>
      </c>
      <c r="AF276" s="71">
        <f>IF(AND($AB276=1,OR($P276="Open",$P276="Won",$P276="Lost")),1,0)</f>
        <v>0</v>
      </c>
      <c r="AG276" s="71">
        <f>IF(AND($AB276=1,OR($M276="Converted",$P276="Won")),1,0)</f>
        <v>0</v>
      </c>
      <c r="AH276" s="71">
        <f>IF($AB276=0,0,IF(AND(OR(fClient="All",$B276=fClient),OR(fCampaign="All",$C276=fCampaign),OR(fTeam="All",$L276=fTeam),OR(fChannel="All",$F276=fChannel),OR(fMonth="All",$AA276=fMonth)),1,0))</f>
        <v>0</v>
      </c>
      <c r="AI276" s="71">
        <f>IF($AB276=0,0,IF(AND(OR(fClient="All",$B276=fClient),OR(fCampaign="All",$C276=fCampaign),OR(fTeam="All",$L276=fTeam),OR(fChannel="All",$F276=fChannel)),1,0))</f>
        <v>0</v>
      </c>
    </row>
    <row r="277">
      <c r="A277" s="63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3" t="n"/>
      <c r="R277" s="63" t="n"/>
      <c r="S277" s="63" t="n"/>
      <c r="T277" s="65" t="n"/>
      <c r="U277" s="65" t="n"/>
      <c r="V277" s="63" t="n"/>
      <c r="W277" s="65" t="n"/>
      <c r="X277" s="69" t="str">
        <f>IF(AND(ISNUMBER($Q277),ISNUMBER($R277)),$R277-$Q277,"")</f>
        <v/>
      </c>
      <c r="Y277" s="71" t="str">
        <f>IF($AB277=1,IF(AND(ISNUMBER($V277),$M277&lt;&gt;"Converted",$M277&lt;&gt;"Rejected"),IF($V277&lt;=ReportDate,"DUE",""),""),"")</f>
        <v/>
      </c>
      <c r="Z277" s="75" t="str">
        <f>IF(ISNUMBER($Q277),$Q277,IF(ISNUMBER($A277),$A277,""))</f>
        <v/>
      </c>
      <c r="AA277" s="71" t="str">
        <f>IF(ISNUMBER($Z277),YEAR($Z277)&amp;"-"&amp;TEXT(MONTH($Z277),"00"),"")</f>
        <v/>
      </c>
      <c r="AB277" s="71">
        <f>IF($H277&lt;&gt;"",1,0)</f>
        <v>0</v>
      </c>
      <c r="AC277" s="71">
        <f>IF(AND($AB277=1,$G277="Yes"),1,0)</f>
        <v>0</v>
      </c>
      <c r="AD277" s="71">
        <f>IF(AND($AB277=1,$N277="MQL"),1,0)</f>
        <v>0</v>
      </c>
      <c r="AE277" s="71">
        <f>IF(AND($AB277=1,$O277="SQL"),1,0)</f>
        <v>0</v>
      </c>
      <c r="AF277" s="71">
        <f>IF(AND($AB277=1,OR($P277="Open",$P277="Won",$P277="Lost")),1,0)</f>
        <v>0</v>
      </c>
      <c r="AG277" s="71">
        <f>IF(AND($AB277=1,OR($M277="Converted",$P277="Won")),1,0)</f>
        <v>0</v>
      </c>
      <c r="AH277" s="71">
        <f>IF($AB277=0,0,IF(AND(OR(fClient="All",$B277=fClient),OR(fCampaign="All",$C277=fCampaign),OR(fTeam="All",$L277=fTeam),OR(fChannel="All",$F277=fChannel),OR(fMonth="All",$AA277=fMonth)),1,0))</f>
        <v>0</v>
      </c>
      <c r="AI277" s="71">
        <f>IF($AB277=0,0,IF(AND(OR(fClient="All",$B277=fClient),OR(fCampaign="All",$C277=fCampaign),OR(fTeam="All",$L277=fTeam),OR(fChannel="All",$F277=fChannel)),1,0))</f>
        <v>0</v>
      </c>
    </row>
    <row r="278">
      <c r="A278" s="63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3" t="n"/>
      <c r="R278" s="63" t="n"/>
      <c r="S278" s="63" t="n"/>
      <c r="T278" s="65" t="n"/>
      <c r="U278" s="65" t="n"/>
      <c r="V278" s="63" t="n"/>
      <c r="W278" s="65" t="n"/>
      <c r="X278" s="69" t="str">
        <f>IF(AND(ISNUMBER($Q278),ISNUMBER($R278)),$R278-$Q278,"")</f>
        <v/>
      </c>
      <c r="Y278" s="71" t="str">
        <f>IF($AB278=1,IF(AND(ISNUMBER($V278),$M278&lt;&gt;"Converted",$M278&lt;&gt;"Rejected"),IF($V278&lt;=ReportDate,"DUE",""),""),"")</f>
        <v/>
      </c>
      <c r="Z278" s="75" t="str">
        <f>IF(ISNUMBER($Q278),$Q278,IF(ISNUMBER($A278),$A278,""))</f>
        <v/>
      </c>
      <c r="AA278" s="71" t="str">
        <f>IF(ISNUMBER($Z278),YEAR($Z278)&amp;"-"&amp;TEXT(MONTH($Z278),"00"),"")</f>
        <v/>
      </c>
      <c r="AB278" s="71">
        <f>IF($H278&lt;&gt;"",1,0)</f>
        <v>0</v>
      </c>
      <c r="AC278" s="71">
        <f>IF(AND($AB278=1,$G278="Yes"),1,0)</f>
        <v>0</v>
      </c>
      <c r="AD278" s="71">
        <f>IF(AND($AB278=1,$N278="MQL"),1,0)</f>
        <v>0</v>
      </c>
      <c r="AE278" s="71">
        <f>IF(AND($AB278=1,$O278="SQL"),1,0)</f>
        <v>0</v>
      </c>
      <c r="AF278" s="71">
        <f>IF(AND($AB278=1,OR($P278="Open",$P278="Won",$P278="Lost")),1,0)</f>
        <v>0</v>
      </c>
      <c r="AG278" s="71">
        <f>IF(AND($AB278=1,OR($M278="Converted",$P278="Won")),1,0)</f>
        <v>0</v>
      </c>
      <c r="AH278" s="71">
        <f>IF($AB278=0,0,IF(AND(OR(fClient="All",$B278=fClient),OR(fCampaign="All",$C278=fCampaign),OR(fTeam="All",$L278=fTeam),OR(fChannel="All",$F278=fChannel),OR(fMonth="All",$AA278=fMonth)),1,0))</f>
        <v>0</v>
      </c>
      <c r="AI278" s="71">
        <f>IF($AB278=0,0,IF(AND(OR(fClient="All",$B278=fClient),OR(fCampaign="All",$C278=fCampaign),OR(fTeam="All",$L278=fTeam),OR(fChannel="All",$F278=fChannel)),1,0))</f>
        <v>0</v>
      </c>
    </row>
    <row r="279">
      <c r="A279" s="63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3" t="n"/>
      <c r="R279" s="63" t="n"/>
      <c r="S279" s="63" t="n"/>
      <c r="T279" s="65" t="n"/>
      <c r="U279" s="65" t="n"/>
      <c r="V279" s="63" t="n"/>
      <c r="W279" s="65" t="n"/>
      <c r="X279" s="69" t="str">
        <f>IF(AND(ISNUMBER($Q279),ISNUMBER($R279)),$R279-$Q279,"")</f>
        <v/>
      </c>
      <c r="Y279" s="71" t="str">
        <f>IF($AB279=1,IF(AND(ISNUMBER($V279),$M279&lt;&gt;"Converted",$M279&lt;&gt;"Rejected"),IF($V279&lt;=ReportDate,"DUE",""),""),"")</f>
        <v/>
      </c>
      <c r="Z279" s="75" t="str">
        <f>IF(ISNUMBER($Q279),$Q279,IF(ISNUMBER($A279),$A279,""))</f>
        <v/>
      </c>
      <c r="AA279" s="71" t="str">
        <f>IF(ISNUMBER($Z279),YEAR($Z279)&amp;"-"&amp;TEXT(MONTH($Z279),"00"),"")</f>
        <v/>
      </c>
      <c r="AB279" s="71">
        <f>IF($H279&lt;&gt;"",1,0)</f>
        <v>0</v>
      </c>
      <c r="AC279" s="71">
        <f>IF(AND($AB279=1,$G279="Yes"),1,0)</f>
        <v>0</v>
      </c>
      <c r="AD279" s="71">
        <f>IF(AND($AB279=1,$N279="MQL"),1,0)</f>
        <v>0</v>
      </c>
      <c r="AE279" s="71">
        <f>IF(AND($AB279=1,$O279="SQL"),1,0)</f>
        <v>0</v>
      </c>
      <c r="AF279" s="71">
        <f>IF(AND($AB279=1,OR($P279="Open",$P279="Won",$P279="Lost")),1,0)</f>
        <v>0</v>
      </c>
      <c r="AG279" s="71">
        <f>IF(AND($AB279=1,OR($M279="Converted",$P279="Won")),1,0)</f>
        <v>0</v>
      </c>
      <c r="AH279" s="71">
        <f>IF($AB279=0,0,IF(AND(OR(fClient="All",$B279=fClient),OR(fCampaign="All",$C279=fCampaign),OR(fTeam="All",$L279=fTeam),OR(fChannel="All",$F279=fChannel),OR(fMonth="All",$AA279=fMonth)),1,0))</f>
        <v>0</v>
      </c>
      <c r="AI279" s="71">
        <f>IF($AB279=0,0,IF(AND(OR(fClient="All",$B279=fClient),OR(fCampaign="All",$C279=fCampaign),OR(fTeam="All",$L279=fTeam),OR(fChannel="All",$F279=fChannel)),1,0))</f>
        <v>0</v>
      </c>
    </row>
    <row r="280">
      <c r="A280" s="63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3" t="n"/>
      <c r="R280" s="63" t="n"/>
      <c r="S280" s="63" t="n"/>
      <c r="T280" s="65" t="n"/>
      <c r="U280" s="65" t="n"/>
      <c r="V280" s="63" t="n"/>
      <c r="W280" s="65" t="n"/>
      <c r="X280" s="69" t="str">
        <f>IF(AND(ISNUMBER($Q280),ISNUMBER($R280)),$R280-$Q280,"")</f>
        <v/>
      </c>
      <c r="Y280" s="71" t="str">
        <f>IF($AB280=1,IF(AND(ISNUMBER($V280),$M280&lt;&gt;"Converted",$M280&lt;&gt;"Rejected"),IF($V280&lt;=ReportDate,"DUE",""),""),"")</f>
        <v/>
      </c>
      <c r="Z280" s="75" t="str">
        <f>IF(ISNUMBER($Q280),$Q280,IF(ISNUMBER($A280),$A280,""))</f>
        <v/>
      </c>
      <c r="AA280" s="71" t="str">
        <f>IF(ISNUMBER($Z280),YEAR($Z280)&amp;"-"&amp;TEXT(MONTH($Z280),"00"),"")</f>
        <v/>
      </c>
      <c r="AB280" s="71">
        <f>IF($H280&lt;&gt;"",1,0)</f>
        <v>0</v>
      </c>
      <c r="AC280" s="71">
        <f>IF(AND($AB280=1,$G280="Yes"),1,0)</f>
        <v>0</v>
      </c>
      <c r="AD280" s="71">
        <f>IF(AND($AB280=1,$N280="MQL"),1,0)</f>
        <v>0</v>
      </c>
      <c r="AE280" s="71">
        <f>IF(AND($AB280=1,$O280="SQL"),1,0)</f>
        <v>0</v>
      </c>
      <c r="AF280" s="71">
        <f>IF(AND($AB280=1,OR($P280="Open",$P280="Won",$P280="Lost")),1,0)</f>
        <v>0</v>
      </c>
      <c r="AG280" s="71">
        <f>IF(AND($AB280=1,OR($M280="Converted",$P280="Won")),1,0)</f>
        <v>0</v>
      </c>
      <c r="AH280" s="71">
        <f>IF($AB280=0,0,IF(AND(OR(fClient="All",$B280=fClient),OR(fCampaign="All",$C280=fCampaign),OR(fTeam="All",$L280=fTeam),OR(fChannel="All",$F280=fChannel),OR(fMonth="All",$AA280=fMonth)),1,0))</f>
        <v>0</v>
      </c>
      <c r="AI280" s="71">
        <f>IF($AB280=0,0,IF(AND(OR(fClient="All",$B280=fClient),OR(fCampaign="All",$C280=fCampaign),OR(fTeam="All",$L280=fTeam),OR(fChannel="All",$F280=fChannel)),1,0))</f>
        <v>0</v>
      </c>
    </row>
    <row r="281">
      <c r="A281" s="63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3" t="n"/>
      <c r="R281" s="63" t="n"/>
      <c r="S281" s="63" t="n"/>
      <c r="T281" s="65" t="n"/>
      <c r="U281" s="65" t="n"/>
      <c r="V281" s="63" t="n"/>
      <c r="W281" s="65" t="n"/>
      <c r="X281" s="69" t="str">
        <f>IF(AND(ISNUMBER($Q281),ISNUMBER($R281)),$R281-$Q281,"")</f>
        <v/>
      </c>
      <c r="Y281" s="71" t="str">
        <f>IF($AB281=1,IF(AND(ISNUMBER($V281),$M281&lt;&gt;"Converted",$M281&lt;&gt;"Rejected"),IF($V281&lt;=ReportDate,"DUE",""),""),"")</f>
        <v/>
      </c>
      <c r="Z281" s="75" t="str">
        <f>IF(ISNUMBER($Q281),$Q281,IF(ISNUMBER($A281),$A281,""))</f>
        <v/>
      </c>
      <c r="AA281" s="71" t="str">
        <f>IF(ISNUMBER($Z281),YEAR($Z281)&amp;"-"&amp;TEXT(MONTH($Z281),"00"),"")</f>
        <v/>
      </c>
      <c r="AB281" s="71">
        <f>IF($H281&lt;&gt;"",1,0)</f>
        <v>0</v>
      </c>
      <c r="AC281" s="71">
        <f>IF(AND($AB281=1,$G281="Yes"),1,0)</f>
        <v>0</v>
      </c>
      <c r="AD281" s="71">
        <f>IF(AND($AB281=1,$N281="MQL"),1,0)</f>
        <v>0</v>
      </c>
      <c r="AE281" s="71">
        <f>IF(AND($AB281=1,$O281="SQL"),1,0)</f>
        <v>0</v>
      </c>
      <c r="AF281" s="71">
        <f>IF(AND($AB281=1,OR($P281="Open",$P281="Won",$P281="Lost")),1,0)</f>
        <v>0</v>
      </c>
      <c r="AG281" s="71">
        <f>IF(AND($AB281=1,OR($M281="Converted",$P281="Won")),1,0)</f>
        <v>0</v>
      </c>
      <c r="AH281" s="71">
        <f>IF($AB281=0,0,IF(AND(OR(fClient="All",$B281=fClient),OR(fCampaign="All",$C281=fCampaign),OR(fTeam="All",$L281=fTeam),OR(fChannel="All",$F281=fChannel),OR(fMonth="All",$AA281=fMonth)),1,0))</f>
        <v>0</v>
      </c>
      <c r="AI281" s="71">
        <f>IF($AB281=0,0,IF(AND(OR(fClient="All",$B281=fClient),OR(fCampaign="All",$C281=fCampaign),OR(fTeam="All",$L281=fTeam),OR(fChannel="All",$F281=fChannel)),1,0))</f>
        <v>0</v>
      </c>
    </row>
    <row r="282">
      <c r="A282" s="63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3" t="n"/>
      <c r="R282" s="63" t="n"/>
      <c r="S282" s="63" t="n"/>
      <c r="T282" s="65" t="n"/>
      <c r="U282" s="65" t="n"/>
      <c r="V282" s="63" t="n"/>
      <c r="W282" s="65" t="n"/>
      <c r="X282" s="69" t="str">
        <f>IF(AND(ISNUMBER($Q282),ISNUMBER($R282)),$R282-$Q282,"")</f>
        <v/>
      </c>
      <c r="Y282" s="71" t="str">
        <f>IF($AB282=1,IF(AND(ISNUMBER($V282),$M282&lt;&gt;"Converted",$M282&lt;&gt;"Rejected"),IF($V282&lt;=ReportDate,"DUE",""),""),"")</f>
        <v/>
      </c>
      <c r="Z282" s="75" t="str">
        <f>IF(ISNUMBER($Q282),$Q282,IF(ISNUMBER($A282),$A282,""))</f>
        <v/>
      </c>
      <c r="AA282" s="71" t="str">
        <f>IF(ISNUMBER($Z282),YEAR($Z282)&amp;"-"&amp;TEXT(MONTH($Z282),"00"),"")</f>
        <v/>
      </c>
      <c r="AB282" s="71">
        <f>IF($H282&lt;&gt;"",1,0)</f>
        <v>0</v>
      </c>
      <c r="AC282" s="71">
        <f>IF(AND($AB282=1,$G282="Yes"),1,0)</f>
        <v>0</v>
      </c>
      <c r="AD282" s="71">
        <f>IF(AND($AB282=1,$N282="MQL"),1,0)</f>
        <v>0</v>
      </c>
      <c r="AE282" s="71">
        <f>IF(AND($AB282=1,$O282="SQL"),1,0)</f>
        <v>0</v>
      </c>
      <c r="AF282" s="71">
        <f>IF(AND($AB282=1,OR($P282="Open",$P282="Won",$P282="Lost")),1,0)</f>
        <v>0</v>
      </c>
      <c r="AG282" s="71">
        <f>IF(AND($AB282=1,OR($M282="Converted",$P282="Won")),1,0)</f>
        <v>0</v>
      </c>
      <c r="AH282" s="71">
        <f>IF($AB282=0,0,IF(AND(OR(fClient="All",$B282=fClient),OR(fCampaign="All",$C282=fCampaign),OR(fTeam="All",$L282=fTeam),OR(fChannel="All",$F282=fChannel),OR(fMonth="All",$AA282=fMonth)),1,0))</f>
        <v>0</v>
      </c>
      <c r="AI282" s="71">
        <f>IF($AB282=0,0,IF(AND(OR(fClient="All",$B282=fClient),OR(fCampaign="All",$C282=fCampaign),OR(fTeam="All",$L282=fTeam),OR(fChannel="All",$F282=fChannel)),1,0))</f>
        <v>0</v>
      </c>
    </row>
    <row r="283">
      <c r="A283" s="63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3" t="n"/>
      <c r="R283" s="63" t="n"/>
      <c r="S283" s="63" t="n"/>
      <c r="T283" s="65" t="n"/>
      <c r="U283" s="65" t="n"/>
      <c r="V283" s="63" t="n"/>
      <c r="W283" s="65" t="n"/>
      <c r="X283" s="69" t="str">
        <f>IF(AND(ISNUMBER($Q283),ISNUMBER($R283)),$R283-$Q283,"")</f>
        <v/>
      </c>
      <c r="Y283" s="71" t="str">
        <f>IF($AB283=1,IF(AND(ISNUMBER($V283),$M283&lt;&gt;"Converted",$M283&lt;&gt;"Rejected"),IF($V283&lt;=ReportDate,"DUE",""),""),"")</f>
        <v/>
      </c>
      <c r="Z283" s="75" t="str">
        <f>IF(ISNUMBER($Q283),$Q283,IF(ISNUMBER($A283),$A283,""))</f>
        <v/>
      </c>
      <c r="AA283" s="71" t="str">
        <f>IF(ISNUMBER($Z283),YEAR($Z283)&amp;"-"&amp;TEXT(MONTH($Z283),"00"),"")</f>
        <v/>
      </c>
      <c r="AB283" s="71">
        <f>IF($H283&lt;&gt;"",1,0)</f>
        <v>0</v>
      </c>
      <c r="AC283" s="71">
        <f>IF(AND($AB283=1,$G283="Yes"),1,0)</f>
        <v>0</v>
      </c>
      <c r="AD283" s="71">
        <f>IF(AND($AB283=1,$N283="MQL"),1,0)</f>
        <v>0</v>
      </c>
      <c r="AE283" s="71">
        <f>IF(AND($AB283=1,$O283="SQL"),1,0)</f>
        <v>0</v>
      </c>
      <c r="AF283" s="71">
        <f>IF(AND($AB283=1,OR($P283="Open",$P283="Won",$P283="Lost")),1,0)</f>
        <v>0</v>
      </c>
      <c r="AG283" s="71">
        <f>IF(AND($AB283=1,OR($M283="Converted",$P283="Won")),1,0)</f>
        <v>0</v>
      </c>
      <c r="AH283" s="71">
        <f>IF($AB283=0,0,IF(AND(OR(fClient="All",$B283=fClient),OR(fCampaign="All",$C283=fCampaign),OR(fTeam="All",$L283=fTeam),OR(fChannel="All",$F283=fChannel),OR(fMonth="All",$AA283=fMonth)),1,0))</f>
        <v>0</v>
      </c>
      <c r="AI283" s="71">
        <f>IF($AB283=0,0,IF(AND(OR(fClient="All",$B283=fClient),OR(fCampaign="All",$C283=fCampaign),OR(fTeam="All",$L283=fTeam),OR(fChannel="All",$F283=fChannel)),1,0))</f>
        <v>0</v>
      </c>
    </row>
    <row r="284">
      <c r="A284" s="63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3" t="n"/>
      <c r="R284" s="63" t="n"/>
      <c r="S284" s="63" t="n"/>
      <c r="T284" s="65" t="n"/>
      <c r="U284" s="65" t="n"/>
      <c r="V284" s="63" t="n"/>
      <c r="W284" s="65" t="n"/>
      <c r="X284" s="69" t="str">
        <f>IF(AND(ISNUMBER($Q284),ISNUMBER($R284)),$R284-$Q284,"")</f>
        <v/>
      </c>
      <c r="Y284" s="71" t="str">
        <f>IF($AB284=1,IF(AND(ISNUMBER($V284),$M284&lt;&gt;"Converted",$M284&lt;&gt;"Rejected"),IF($V284&lt;=ReportDate,"DUE",""),""),"")</f>
        <v/>
      </c>
      <c r="Z284" s="75" t="str">
        <f>IF(ISNUMBER($Q284),$Q284,IF(ISNUMBER($A284),$A284,""))</f>
        <v/>
      </c>
      <c r="AA284" s="71" t="str">
        <f>IF(ISNUMBER($Z284),YEAR($Z284)&amp;"-"&amp;TEXT(MONTH($Z284),"00"),"")</f>
        <v/>
      </c>
      <c r="AB284" s="71">
        <f>IF($H284&lt;&gt;"",1,0)</f>
        <v>0</v>
      </c>
      <c r="AC284" s="71">
        <f>IF(AND($AB284=1,$G284="Yes"),1,0)</f>
        <v>0</v>
      </c>
      <c r="AD284" s="71">
        <f>IF(AND($AB284=1,$N284="MQL"),1,0)</f>
        <v>0</v>
      </c>
      <c r="AE284" s="71">
        <f>IF(AND($AB284=1,$O284="SQL"),1,0)</f>
        <v>0</v>
      </c>
      <c r="AF284" s="71">
        <f>IF(AND($AB284=1,OR($P284="Open",$P284="Won",$P284="Lost")),1,0)</f>
        <v>0</v>
      </c>
      <c r="AG284" s="71">
        <f>IF(AND($AB284=1,OR($M284="Converted",$P284="Won")),1,0)</f>
        <v>0</v>
      </c>
      <c r="AH284" s="71">
        <f>IF($AB284=0,0,IF(AND(OR(fClient="All",$B284=fClient),OR(fCampaign="All",$C284=fCampaign),OR(fTeam="All",$L284=fTeam),OR(fChannel="All",$F284=fChannel),OR(fMonth="All",$AA284=fMonth)),1,0))</f>
        <v>0</v>
      </c>
      <c r="AI284" s="71">
        <f>IF($AB284=0,0,IF(AND(OR(fClient="All",$B284=fClient),OR(fCampaign="All",$C284=fCampaign),OR(fTeam="All",$L284=fTeam),OR(fChannel="All",$F284=fChannel)),1,0))</f>
        <v>0</v>
      </c>
    </row>
    <row r="285">
      <c r="A285" s="63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3" t="n"/>
      <c r="R285" s="63" t="n"/>
      <c r="S285" s="63" t="n"/>
      <c r="T285" s="65" t="n"/>
      <c r="U285" s="65" t="n"/>
      <c r="V285" s="63" t="n"/>
      <c r="W285" s="65" t="n"/>
      <c r="X285" s="69" t="str">
        <f>IF(AND(ISNUMBER($Q285),ISNUMBER($R285)),$R285-$Q285,"")</f>
        <v/>
      </c>
      <c r="Y285" s="71" t="str">
        <f>IF($AB285=1,IF(AND(ISNUMBER($V285),$M285&lt;&gt;"Converted",$M285&lt;&gt;"Rejected"),IF($V285&lt;=ReportDate,"DUE",""),""),"")</f>
        <v/>
      </c>
      <c r="Z285" s="75" t="str">
        <f>IF(ISNUMBER($Q285),$Q285,IF(ISNUMBER($A285),$A285,""))</f>
        <v/>
      </c>
      <c r="AA285" s="71" t="str">
        <f>IF(ISNUMBER($Z285),YEAR($Z285)&amp;"-"&amp;TEXT(MONTH($Z285),"00"),"")</f>
        <v/>
      </c>
      <c r="AB285" s="71">
        <f>IF($H285&lt;&gt;"",1,0)</f>
        <v>0</v>
      </c>
      <c r="AC285" s="71">
        <f>IF(AND($AB285=1,$G285="Yes"),1,0)</f>
        <v>0</v>
      </c>
      <c r="AD285" s="71">
        <f>IF(AND($AB285=1,$N285="MQL"),1,0)</f>
        <v>0</v>
      </c>
      <c r="AE285" s="71">
        <f>IF(AND($AB285=1,$O285="SQL"),1,0)</f>
        <v>0</v>
      </c>
      <c r="AF285" s="71">
        <f>IF(AND($AB285=1,OR($P285="Open",$P285="Won",$P285="Lost")),1,0)</f>
        <v>0</v>
      </c>
      <c r="AG285" s="71">
        <f>IF(AND($AB285=1,OR($M285="Converted",$P285="Won")),1,0)</f>
        <v>0</v>
      </c>
      <c r="AH285" s="71">
        <f>IF($AB285=0,0,IF(AND(OR(fClient="All",$B285=fClient),OR(fCampaign="All",$C285=fCampaign),OR(fTeam="All",$L285=fTeam),OR(fChannel="All",$F285=fChannel),OR(fMonth="All",$AA285=fMonth)),1,0))</f>
        <v>0</v>
      </c>
      <c r="AI285" s="71">
        <f>IF($AB285=0,0,IF(AND(OR(fClient="All",$B285=fClient),OR(fCampaign="All",$C285=fCampaign),OR(fTeam="All",$L285=fTeam),OR(fChannel="All",$F285=fChannel)),1,0))</f>
        <v>0</v>
      </c>
    </row>
    <row r="286">
      <c r="A286" s="63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3" t="n"/>
      <c r="R286" s="63" t="n"/>
      <c r="S286" s="63" t="n"/>
      <c r="T286" s="65" t="n"/>
      <c r="U286" s="65" t="n"/>
      <c r="V286" s="63" t="n"/>
      <c r="W286" s="65" t="n"/>
      <c r="X286" s="69" t="str">
        <f>IF(AND(ISNUMBER($Q286),ISNUMBER($R286)),$R286-$Q286,"")</f>
        <v/>
      </c>
      <c r="Y286" s="71" t="str">
        <f>IF($AB286=1,IF(AND(ISNUMBER($V286),$M286&lt;&gt;"Converted",$M286&lt;&gt;"Rejected"),IF($V286&lt;=ReportDate,"DUE",""),""),"")</f>
        <v/>
      </c>
      <c r="Z286" s="75" t="str">
        <f>IF(ISNUMBER($Q286),$Q286,IF(ISNUMBER($A286),$A286,""))</f>
        <v/>
      </c>
      <c r="AA286" s="71" t="str">
        <f>IF(ISNUMBER($Z286),YEAR($Z286)&amp;"-"&amp;TEXT(MONTH($Z286),"00"),"")</f>
        <v/>
      </c>
      <c r="AB286" s="71">
        <f>IF($H286&lt;&gt;"",1,0)</f>
        <v>0</v>
      </c>
      <c r="AC286" s="71">
        <f>IF(AND($AB286=1,$G286="Yes"),1,0)</f>
        <v>0</v>
      </c>
      <c r="AD286" s="71">
        <f>IF(AND($AB286=1,$N286="MQL"),1,0)</f>
        <v>0</v>
      </c>
      <c r="AE286" s="71">
        <f>IF(AND($AB286=1,$O286="SQL"),1,0)</f>
        <v>0</v>
      </c>
      <c r="AF286" s="71">
        <f>IF(AND($AB286=1,OR($P286="Open",$P286="Won",$P286="Lost")),1,0)</f>
        <v>0</v>
      </c>
      <c r="AG286" s="71">
        <f>IF(AND($AB286=1,OR($M286="Converted",$P286="Won")),1,0)</f>
        <v>0</v>
      </c>
      <c r="AH286" s="71">
        <f>IF($AB286=0,0,IF(AND(OR(fClient="All",$B286=fClient),OR(fCampaign="All",$C286=fCampaign),OR(fTeam="All",$L286=fTeam),OR(fChannel="All",$F286=fChannel),OR(fMonth="All",$AA286=fMonth)),1,0))</f>
        <v>0</v>
      </c>
      <c r="AI286" s="71">
        <f>IF($AB286=0,0,IF(AND(OR(fClient="All",$B286=fClient),OR(fCampaign="All",$C286=fCampaign),OR(fTeam="All",$L286=fTeam),OR(fChannel="All",$F286=fChannel)),1,0))</f>
        <v>0</v>
      </c>
    </row>
    <row r="287">
      <c r="A287" s="63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3" t="n"/>
      <c r="R287" s="63" t="n"/>
      <c r="S287" s="63" t="n"/>
      <c r="T287" s="65" t="n"/>
      <c r="U287" s="65" t="n"/>
      <c r="V287" s="63" t="n"/>
      <c r="W287" s="65" t="n"/>
      <c r="X287" s="69" t="str">
        <f>IF(AND(ISNUMBER($Q287),ISNUMBER($R287)),$R287-$Q287,"")</f>
        <v/>
      </c>
      <c r="Y287" s="71" t="str">
        <f>IF($AB287=1,IF(AND(ISNUMBER($V287),$M287&lt;&gt;"Converted",$M287&lt;&gt;"Rejected"),IF($V287&lt;=ReportDate,"DUE",""),""),"")</f>
        <v/>
      </c>
      <c r="Z287" s="75" t="str">
        <f>IF(ISNUMBER($Q287),$Q287,IF(ISNUMBER($A287),$A287,""))</f>
        <v/>
      </c>
      <c r="AA287" s="71" t="str">
        <f>IF(ISNUMBER($Z287),YEAR($Z287)&amp;"-"&amp;TEXT(MONTH($Z287),"00"),"")</f>
        <v/>
      </c>
      <c r="AB287" s="71">
        <f>IF($H287&lt;&gt;"",1,0)</f>
        <v>0</v>
      </c>
      <c r="AC287" s="71">
        <f>IF(AND($AB287=1,$G287="Yes"),1,0)</f>
        <v>0</v>
      </c>
      <c r="AD287" s="71">
        <f>IF(AND($AB287=1,$N287="MQL"),1,0)</f>
        <v>0</v>
      </c>
      <c r="AE287" s="71">
        <f>IF(AND($AB287=1,$O287="SQL"),1,0)</f>
        <v>0</v>
      </c>
      <c r="AF287" s="71">
        <f>IF(AND($AB287=1,OR($P287="Open",$P287="Won",$P287="Lost")),1,0)</f>
        <v>0</v>
      </c>
      <c r="AG287" s="71">
        <f>IF(AND($AB287=1,OR($M287="Converted",$P287="Won")),1,0)</f>
        <v>0</v>
      </c>
      <c r="AH287" s="71">
        <f>IF($AB287=0,0,IF(AND(OR(fClient="All",$B287=fClient),OR(fCampaign="All",$C287=fCampaign),OR(fTeam="All",$L287=fTeam),OR(fChannel="All",$F287=fChannel),OR(fMonth="All",$AA287=fMonth)),1,0))</f>
        <v>0</v>
      </c>
      <c r="AI287" s="71">
        <f>IF($AB287=0,0,IF(AND(OR(fClient="All",$B287=fClient),OR(fCampaign="All",$C287=fCampaign),OR(fTeam="All",$L287=fTeam),OR(fChannel="All",$F287=fChannel)),1,0))</f>
        <v>0</v>
      </c>
    </row>
    <row r="288">
      <c r="A288" s="63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3" t="n"/>
      <c r="R288" s="63" t="n"/>
      <c r="S288" s="63" t="n"/>
      <c r="T288" s="65" t="n"/>
      <c r="U288" s="65" t="n"/>
      <c r="V288" s="63" t="n"/>
      <c r="W288" s="65" t="n"/>
      <c r="X288" s="69" t="str">
        <f>IF(AND(ISNUMBER($Q288),ISNUMBER($R288)),$R288-$Q288,"")</f>
        <v/>
      </c>
      <c r="Y288" s="71" t="str">
        <f>IF($AB288=1,IF(AND(ISNUMBER($V288),$M288&lt;&gt;"Converted",$M288&lt;&gt;"Rejected"),IF($V288&lt;=ReportDate,"DUE",""),""),"")</f>
        <v/>
      </c>
      <c r="Z288" s="75" t="str">
        <f>IF(ISNUMBER($Q288),$Q288,IF(ISNUMBER($A288),$A288,""))</f>
        <v/>
      </c>
      <c r="AA288" s="71" t="str">
        <f>IF(ISNUMBER($Z288),YEAR($Z288)&amp;"-"&amp;TEXT(MONTH($Z288),"00"),"")</f>
        <v/>
      </c>
      <c r="AB288" s="71">
        <f>IF($H288&lt;&gt;"",1,0)</f>
        <v>0</v>
      </c>
      <c r="AC288" s="71">
        <f>IF(AND($AB288=1,$G288="Yes"),1,0)</f>
        <v>0</v>
      </c>
      <c r="AD288" s="71">
        <f>IF(AND($AB288=1,$N288="MQL"),1,0)</f>
        <v>0</v>
      </c>
      <c r="AE288" s="71">
        <f>IF(AND($AB288=1,$O288="SQL"),1,0)</f>
        <v>0</v>
      </c>
      <c r="AF288" s="71">
        <f>IF(AND($AB288=1,OR($P288="Open",$P288="Won",$P288="Lost")),1,0)</f>
        <v>0</v>
      </c>
      <c r="AG288" s="71">
        <f>IF(AND($AB288=1,OR($M288="Converted",$P288="Won")),1,0)</f>
        <v>0</v>
      </c>
      <c r="AH288" s="71">
        <f>IF($AB288=0,0,IF(AND(OR(fClient="All",$B288=fClient),OR(fCampaign="All",$C288=fCampaign),OR(fTeam="All",$L288=fTeam),OR(fChannel="All",$F288=fChannel),OR(fMonth="All",$AA288=fMonth)),1,0))</f>
        <v>0</v>
      </c>
      <c r="AI288" s="71">
        <f>IF($AB288=0,0,IF(AND(OR(fClient="All",$B288=fClient),OR(fCampaign="All",$C288=fCampaign),OR(fTeam="All",$L288=fTeam),OR(fChannel="All",$F288=fChannel)),1,0))</f>
        <v>0</v>
      </c>
    </row>
    <row r="289">
      <c r="A289" s="63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3" t="n"/>
      <c r="R289" s="63" t="n"/>
      <c r="S289" s="63" t="n"/>
      <c r="T289" s="65" t="n"/>
      <c r="U289" s="65" t="n"/>
      <c r="V289" s="63" t="n"/>
      <c r="W289" s="65" t="n"/>
      <c r="X289" s="69" t="str">
        <f>IF(AND(ISNUMBER($Q289),ISNUMBER($R289)),$R289-$Q289,"")</f>
        <v/>
      </c>
      <c r="Y289" s="71" t="str">
        <f>IF($AB289=1,IF(AND(ISNUMBER($V289),$M289&lt;&gt;"Converted",$M289&lt;&gt;"Rejected"),IF($V289&lt;=ReportDate,"DUE",""),""),"")</f>
        <v/>
      </c>
      <c r="Z289" s="75" t="str">
        <f>IF(ISNUMBER($Q289),$Q289,IF(ISNUMBER($A289),$A289,""))</f>
        <v/>
      </c>
      <c r="AA289" s="71" t="str">
        <f>IF(ISNUMBER($Z289),YEAR($Z289)&amp;"-"&amp;TEXT(MONTH($Z289),"00"),"")</f>
        <v/>
      </c>
      <c r="AB289" s="71">
        <f>IF($H289&lt;&gt;"",1,0)</f>
        <v>0</v>
      </c>
      <c r="AC289" s="71">
        <f>IF(AND($AB289=1,$G289="Yes"),1,0)</f>
        <v>0</v>
      </c>
      <c r="AD289" s="71">
        <f>IF(AND($AB289=1,$N289="MQL"),1,0)</f>
        <v>0</v>
      </c>
      <c r="AE289" s="71">
        <f>IF(AND($AB289=1,$O289="SQL"),1,0)</f>
        <v>0</v>
      </c>
      <c r="AF289" s="71">
        <f>IF(AND($AB289=1,OR($P289="Open",$P289="Won",$P289="Lost")),1,0)</f>
        <v>0</v>
      </c>
      <c r="AG289" s="71">
        <f>IF(AND($AB289=1,OR($M289="Converted",$P289="Won")),1,0)</f>
        <v>0</v>
      </c>
      <c r="AH289" s="71">
        <f>IF($AB289=0,0,IF(AND(OR(fClient="All",$B289=fClient),OR(fCampaign="All",$C289=fCampaign),OR(fTeam="All",$L289=fTeam),OR(fChannel="All",$F289=fChannel),OR(fMonth="All",$AA289=fMonth)),1,0))</f>
        <v>0</v>
      </c>
      <c r="AI289" s="71">
        <f>IF($AB289=0,0,IF(AND(OR(fClient="All",$B289=fClient),OR(fCampaign="All",$C289=fCampaign),OR(fTeam="All",$L289=fTeam),OR(fChannel="All",$F289=fChannel)),1,0))</f>
        <v>0</v>
      </c>
    </row>
    <row r="290">
      <c r="A290" s="63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3" t="n"/>
      <c r="R290" s="63" t="n"/>
      <c r="S290" s="63" t="n"/>
      <c r="T290" s="65" t="n"/>
      <c r="U290" s="65" t="n"/>
      <c r="V290" s="63" t="n"/>
      <c r="W290" s="65" t="n"/>
      <c r="X290" s="69" t="str">
        <f>IF(AND(ISNUMBER($Q290),ISNUMBER($R290)),$R290-$Q290,"")</f>
        <v/>
      </c>
      <c r="Y290" s="71" t="str">
        <f>IF($AB290=1,IF(AND(ISNUMBER($V290),$M290&lt;&gt;"Converted",$M290&lt;&gt;"Rejected"),IF($V290&lt;=ReportDate,"DUE",""),""),"")</f>
        <v/>
      </c>
      <c r="Z290" s="75" t="str">
        <f>IF(ISNUMBER($Q290),$Q290,IF(ISNUMBER($A290),$A290,""))</f>
        <v/>
      </c>
      <c r="AA290" s="71" t="str">
        <f>IF(ISNUMBER($Z290),YEAR($Z290)&amp;"-"&amp;TEXT(MONTH($Z290),"00"),"")</f>
        <v/>
      </c>
      <c r="AB290" s="71">
        <f>IF($H290&lt;&gt;"",1,0)</f>
        <v>0</v>
      </c>
      <c r="AC290" s="71">
        <f>IF(AND($AB290=1,$G290="Yes"),1,0)</f>
        <v>0</v>
      </c>
      <c r="AD290" s="71">
        <f>IF(AND($AB290=1,$N290="MQL"),1,0)</f>
        <v>0</v>
      </c>
      <c r="AE290" s="71">
        <f>IF(AND($AB290=1,$O290="SQL"),1,0)</f>
        <v>0</v>
      </c>
      <c r="AF290" s="71">
        <f>IF(AND($AB290=1,OR($P290="Open",$P290="Won",$P290="Lost")),1,0)</f>
        <v>0</v>
      </c>
      <c r="AG290" s="71">
        <f>IF(AND($AB290=1,OR($M290="Converted",$P290="Won")),1,0)</f>
        <v>0</v>
      </c>
      <c r="AH290" s="71">
        <f>IF($AB290=0,0,IF(AND(OR(fClient="All",$B290=fClient),OR(fCampaign="All",$C290=fCampaign),OR(fTeam="All",$L290=fTeam),OR(fChannel="All",$F290=fChannel),OR(fMonth="All",$AA290=fMonth)),1,0))</f>
        <v>0</v>
      </c>
      <c r="AI290" s="71">
        <f>IF($AB290=0,0,IF(AND(OR(fClient="All",$B290=fClient),OR(fCampaign="All",$C290=fCampaign),OR(fTeam="All",$L290=fTeam),OR(fChannel="All",$F290=fChannel)),1,0))</f>
        <v>0</v>
      </c>
    </row>
    <row r="291">
      <c r="A291" s="63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3" t="n"/>
      <c r="R291" s="63" t="n"/>
      <c r="S291" s="63" t="n"/>
      <c r="T291" s="65" t="n"/>
      <c r="U291" s="65" t="n"/>
      <c r="V291" s="63" t="n"/>
      <c r="W291" s="65" t="n"/>
      <c r="X291" s="69" t="str">
        <f>IF(AND(ISNUMBER($Q291),ISNUMBER($R291)),$R291-$Q291,"")</f>
        <v/>
      </c>
      <c r="Y291" s="71" t="str">
        <f>IF($AB291=1,IF(AND(ISNUMBER($V291),$M291&lt;&gt;"Converted",$M291&lt;&gt;"Rejected"),IF($V291&lt;=ReportDate,"DUE",""),""),"")</f>
        <v/>
      </c>
      <c r="Z291" s="75" t="str">
        <f>IF(ISNUMBER($Q291),$Q291,IF(ISNUMBER($A291),$A291,""))</f>
        <v/>
      </c>
      <c r="AA291" s="71" t="str">
        <f>IF(ISNUMBER($Z291),YEAR($Z291)&amp;"-"&amp;TEXT(MONTH($Z291),"00"),"")</f>
        <v/>
      </c>
      <c r="AB291" s="71">
        <f>IF($H291&lt;&gt;"",1,0)</f>
        <v>0</v>
      </c>
      <c r="AC291" s="71">
        <f>IF(AND($AB291=1,$G291="Yes"),1,0)</f>
        <v>0</v>
      </c>
      <c r="AD291" s="71">
        <f>IF(AND($AB291=1,$N291="MQL"),1,0)</f>
        <v>0</v>
      </c>
      <c r="AE291" s="71">
        <f>IF(AND($AB291=1,$O291="SQL"),1,0)</f>
        <v>0</v>
      </c>
      <c r="AF291" s="71">
        <f>IF(AND($AB291=1,OR($P291="Open",$P291="Won",$P291="Lost")),1,0)</f>
        <v>0</v>
      </c>
      <c r="AG291" s="71">
        <f>IF(AND($AB291=1,OR($M291="Converted",$P291="Won")),1,0)</f>
        <v>0</v>
      </c>
      <c r="AH291" s="71">
        <f>IF($AB291=0,0,IF(AND(OR(fClient="All",$B291=fClient),OR(fCampaign="All",$C291=fCampaign),OR(fTeam="All",$L291=fTeam),OR(fChannel="All",$F291=fChannel),OR(fMonth="All",$AA291=fMonth)),1,0))</f>
        <v>0</v>
      </c>
      <c r="AI291" s="71">
        <f>IF($AB291=0,0,IF(AND(OR(fClient="All",$B291=fClient),OR(fCampaign="All",$C291=fCampaign),OR(fTeam="All",$L291=fTeam),OR(fChannel="All",$F291=fChannel)),1,0))</f>
        <v>0</v>
      </c>
    </row>
    <row r="292">
      <c r="A292" s="63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3" t="n"/>
      <c r="R292" s="63" t="n"/>
      <c r="S292" s="63" t="n"/>
      <c r="T292" s="65" t="n"/>
      <c r="U292" s="65" t="n"/>
      <c r="V292" s="63" t="n"/>
      <c r="W292" s="65" t="n"/>
      <c r="X292" s="69" t="str">
        <f>IF(AND(ISNUMBER($Q292),ISNUMBER($R292)),$R292-$Q292,"")</f>
        <v/>
      </c>
      <c r="Y292" s="71" t="str">
        <f>IF($AB292=1,IF(AND(ISNUMBER($V292),$M292&lt;&gt;"Converted",$M292&lt;&gt;"Rejected"),IF($V292&lt;=ReportDate,"DUE",""),""),"")</f>
        <v/>
      </c>
      <c r="Z292" s="75" t="str">
        <f>IF(ISNUMBER($Q292),$Q292,IF(ISNUMBER($A292),$A292,""))</f>
        <v/>
      </c>
      <c r="AA292" s="71" t="str">
        <f>IF(ISNUMBER($Z292),YEAR($Z292)&amp;"-"&amp;TEXT(MONTH($Z292),"00"),"")</f>
        <v/>
      </c>
      <c r="AB292" s="71">
        <f>IF($H292&lt;&gt;"",1,0)</f>
        <v>0</v>
      </c>
      <c r="AC292" s="71">
        <f>IF(AND($AB292=1,$G292="Yes"),1,0)</f>
        <v>0</v>
      </c>
      <c r="AD292" s="71">
        <f>IF(AND($AB292=1,$N292="MQL"),1,0)</f>
        <v>0</v>
      </c>
      <c r="AE292" s="71">
        <f>IF(AND($AB292=1,$O292="SQL"),1,0)</f>
        <v>0</v>
      </c>
      <c r="AF292" s="71">
        <f>IF(AND($AB292=1,OR($P292="Open",$P292="Won",$P292="Lost")),1,0)</f>
        <v>0</v>
      </c>
      <c r="AG292" s="71">
        <f>IF(AND($AB292=1,OR($M292="Converted",$P292="Won")),1,0)</f>
        <v>0</v>
      </c>
      <c r="AH292" s="71">
        <f>IF($AB292=0,0,IF(AND(OR(fClient="All",$B292=fClient),OR(fCampaign="All",$C292=fCampaign),OR(fTeam="All",$L292=fTeam),OR(fChannel="All",$F292=fChannel),OR(fMonth="All",$AA292=fMonth)),1,0))</f>
        <v>0</v>
      </c>
      <c r="AI292" s="71">
        <f>IF($AB292=0,0,IF(AND(OR(fClient="All",$B292=fClient),OR(fCampaign="All",$C292=fCampaign),OR(fTeam="All",$L292=fTeam),OR(fChannel="All",$F292=fChannel)),1,0))</f>
        <v>0</v>
      </c>
    </row>
    <row r="293">
      <c r="A293" s="63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3" t="n"/>
      <c r="R293" s="63" t="n"/>
      <c r="S293" s="63" t="n"/>
      <c r="T293" s="65" t="n"/>
      <c r="U293" s="65" t="n"/>
      <c r="V293" s="63" t="n"/>
      <c r="W293" s="65" t="n"/>
      <c r="X293" s="69" t="str">
        <f>IF(AND(ISNUMBER($Q293),ISNUMBER($R293)),$R293-$Q293,"")</f>
        <v/>
      </c>
      <c r="Y293" s="71" t="str">
        <f>IF($AB293=1,IF(AND(ISNUMBER($V293),$M293&lt;&gt;"Converted",$M293&lt;&gt;"Rejected"),IF($V293&lt;=ReportDate,"DUE",""),""),"")</f>
        <v/>
      </c>
      <c r="Z293" s="75" t="str">
        <f>IF(ISNUMBER($Q293),$Q293,IF(ISNUMBER($A293),$A293,""))</f>
        <v/>
      </c>
      <c r="AA293" s="71" t="str">
        <f>IF(ISNUMBER($Z293),YEAR($Z293)&amp;"-"&amp;TEXT(MONTH($Z293),"00"),"")</f>
        <v/>
      </c>
      <c r="AB293" s="71">
        <f>IF($H293&lt;&gt;"",1,0)</f>
        <v>0</v>
      </c>
      <c r="AC293" s="71">
        <f>IF(AND($AB293=1,$G293="Yes"),1,0)</f>
        <v>0</v>
      </c>
      <c r="AD293" s="71">
        <f>IF(AND($AB293=1,$N293="MQL"),1,0)</f>
        <v>0</v>
      </c>
      <c r="AE293" s="71">
        <f>IF(AND($AB293=1,$O293="SQL"),1,0)</f>
        <v>0</v>
      </c>
      <c r="AF293" s="71">
        <f>IF(AND($AB293=1,OR($P293="Open",$P293="Won",$P293="Lost")),1,0)</f>
        <v>0</v>
      </c>
      <c r="AG293" s="71">
        <f>IF(AND($AB293=1,OR($M293="Converted",$P293="Won")),1,0)</f>
        <v>0</v>
      </c>
      <c r="AH293" s="71">
        <f>IF($AB293=0,0,IF(AND(OR(fClient="All",$B293=fClient),OR(fCampaign="All",$C293=fCampaign),OR(fTeam="All",$L293=fTeam),OR(fChannel="All",$F293=fChannel),OR(fMonth="All",$AA293=fMonth)),1,0))</f>
        <v>0</v>
      </c>
      <c r="AI293" s="71">
        <f>IF($AB293=0,0,IF(AND(OR(fClient="All",$B293=fClient),OR(fCampaign="All",$C293=fCampaign),OR(fTeam="All",$L293=fTeam),OR(fChannel="All",$F293=fChannel)),1,0))</f>
        <v>0</v>
      </c>
    </row>
    <row r="294">
      <c r="A294" s="63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3" t="n"/>
      <c r="R294" s="63" t="n"/>
      <c r="S294" s="63" t="n"/>
      <c r="T294" s="65" t="n"/>
      <c r="U294" s="65" t="n"/>
      <c r="V294" s="63" t="n"/>
      <c r="W294" s="65" t="n"/>
      <c r="X294" s="69" t="str">
        <f>IF(AND(ISNUMBER($Q294),ISNUMBER($R294)),$R294-$Q294,"")</f>
        <v/>
      </c>
      <c r="Y294" s="71" t="str">
        <f>IF($AB294=1,IF(AND(ISNUMBER($V294),$M294&lt;&gt;"Converted",$M294&lt;&gt;"Rejected"),IF($V294&lt;=ReportDate,"DUE",""),""),"")</f>
        <v/>
      </c>
      <c r="Z294" s="75" t="str">
        <f>IF(ISNUMBER($Q294),$Q294,IF(ISNUMBER($A294),$A294,""))</f>
        <v/>
      </c>
      <c r="AA294" s="71" t="str">
        <f>IF(ISNUMBER($Z294),YEAR($Z294)&amp;"-"&amp;TEXT(MONTH($Z294),"00"),"")</f>
        <v/>
      </c>
      <c r="AB294" s="71">
        <f>IF($H294&lt;&gt;"",1,0)</f>
        <v>0</v>
      </c>
      <c r="AC294" s="71">
        <f>IF(AND($AB294=1,$G294="Yes"),1,0)</f>
        <v>0</v>
      </c>
      <c r="AD294" s="71">
        <f>IF(AND($AB294=1,$N294="MQL"),1,0)</f>
        <v>0</v>
      </c>
      <c r="AE294" s="71">
        <f>IF(AND($AB294=1,$O294="SQL"),1,0)</f>
        <v>0</v>
      </c>
      <c r="AF294" s="71">
        <f>IF(AND($AB294=1,OR($P294="Open",$P294="Won",$P294="Lost")),1,0)</f>
        <v>0</v>
      </c>
      <c r="AG294" s="71">
        <f>IF(AND($AB294=1,OR($M294="Converted",$P294="Won")),1,0)</f>
        <v>0</v>
      </c>
      <c r="AH294" s="71">
        <f>IF($AB294=0,0,IF(AND(OR(fClient="All",$B294=fClient),OR(fCampaign="All",$C294=fCampaign),OR(fTeam="All",$L294=fTeam),OR(fChannel="All",$F294=fChannel),OR(fMonth="All",$AA294=fMonth)),1,0))</f>
        <v>0</v>
      </c>
      <c r="AI294" s="71">
        <f>IF($AB294=0,0,IF(AND(OR(fClient="All",$B294=fClient),OR(fCampaign="All",$C294=fCampaign),OR(fTeam="All",$L294=fTeam),OR(fChannel="All",$F294=fChannel)),1,0))</f>
        <v>0</v>
      </c>
    </row>
    <row r="295">
      <c r="A295" s="63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3" t="n"/>
      <c r="R295" s="63" t="n"/>
      <c r="S295" s="63" t="n"/>
      <c r="T295" s="65" t="n"/>
      <c r="U295" s="65" t="n"/>
      <c r="V295" s="63" t="n"/>
      <c r="W295" s="65" t="n"/>
      <c r="X295" s="69" t="str">
        <f>IF(AND(ISNUMBER($Q295),ISNUMBER($R295)),$R295-$Q295,"")</f>
        <v/>
      </c>
      <c r="Y295" s="71" t="str">
        <f>IF($AB295=1,IF(AND(ISNUMBER($V295),$M295&lt;&gt;"Converted",$M295&lt;&gt;"Rejected"),IF($V295&lt;=ReportDate,"DUE",""),""),"")</f>
        <v/>
      </c>
      <c r="Z295" s="75" t="str">
        <f>IF(ISNUMBER($Q295),$Q295,IF(ISNUMBER($A295),$A295,""))</f>
        <v/>
      </c>
      <c r="AA295" s="71" t="str">
        <f>IF(ISNUMBER($Z295),YEAR($Z295)&amp;"-"&amp;TEXT(MONTH($Z295),"00"),"")</f>
        <v/>
      </c>
      <c r="AB295" s="71">
        <f>IF($H295&lt;&gt;"",1,0)</f>
        <v>0</v>
      </c>
      <c r="AC295" s="71">
        <f>IF(AND($AB295=1,$G295="Yes"),1,0)</f>
        <v>0</v>
      </c>
      <c r="AD295" s="71">
        <f>IF(AND($AB295=1,$N295="MQL"),1,0)</f>
        <v>0</v>
      </c>
      <c r="AE295" s="71">
        <f>IF(AND($AB295=1,$O295="SQL"),1,0)</f>
        <v>0</v>
      </c>
      <c r="AF295" s="71">
        <f>IF(AND($AB295=1,OR($P295="Open",$P295="Won",$P295="Lost")),1,0)</f>
        <v>0</v>
      </c>
      <c r="AG295" s="71">
        <f>IF(AND($AB295=1,OR($M295="Converted",$P295="Won")),1,0)</f>
        <v>0</v>
      </c>
      <c r="AH295" s="71">
        <f>IF($AB295=0,0,IF(AND(OR(fClient="All",$B295=fClient),OR(fCampaign="All",$C295=fCampaign),OR(fTeam="All",$L295=fTeam),OR(fChannel="All",$F295=fChannel),OR(fMonth="All",$AA295=fMonth)),1,0))</f>
        <v>0</v>
      </c>
      <c r="AI295" s="71">
        <f>IF($AB295=0,0,IF(AND(OR(fClient="All",$B295=fClient),OR(fCampaign="All",$C295=fCampaign),OR(fTeam="All",$L295=fTeam),OR(fChannel="All",$F295=fChannel)),1,0))</f>
        <v>0</v>
      </c>
    </row>
    <row r="296">
      <c r="A296" s="63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3" t="n"/>
      <c r="R296" s="63" t="n"/>
      <c r="S296" s="63" t="n"/>
      <c r="T296" s="65" t="n"/>
      <c r="U296" s="65" t="n"/>
      <c r="V296" s="63" t="n"/>
      <c r="W296" s="65" t="n"/>
      <c r="X296" s="69" t="str">
        <f>IF(AND(ISNUMBER($Q296),ISNUMBER($R296)),$R296-$Q296,"")</f>
        <v/>
      </c>
      <c r="Y296" s="71" t="str">
        <f>IF($AB296=1,IF(AND(ISNUMBER($V296),$M296&lt;&gt;"Converted",$M296&lt;&gt;"Rejected"),IF($V296&lt;=ReportDate,"DUE",""),""),"")</f>
        <v/>
      </c>
      <c r="Z296" s="75" t="str">
        <f>IF(ISNUMBER($Q296),$Q296,IF(ISNUMBER($A296),$A296,""))</f>
        <v/>
      </c>
      <c r="AA296" s="71" t="str">
        <f>IF(ISNUMBER($Z296),YEAR($Z296)&amp;"-"&amp;TEXT(MONTH($Z296),"00"),"")</f>
        <v/>
      </c>
      <c r="AB296" s="71">
        <f>IF($H296&lt;&gt;"",1,0)</f>
        <v>0</v>
      </c>
      <c r="AC296" s="71">
        <f>IF(AND($AB296=1,$G296="Yes"),1,0)</f>
        <v>0</v>
      </c>
      <c r="AD296" s="71">
        <f>IF(AND($AB296=1,$N296="MQL"),1,0)</f>
        <v>0</v>
      </c>
      <c r="AE296" s="71">
        <f>IF(AND($AB296=1,$O296="SQL"),1,0)</f>
        <v>0</v>
      </c>
      <c r="AF296" s="71">
        <f>IF(AND($AB296=1,OR($P296="Open",$P296="Won",$P296="Lost")),1,0)</f>
        <v>0</v>
      </c>
      <c r="AG296" s="71">
        <f>IF(AND($AB296=1,OR($M296="Converted",$P296="Won")),1,0)</f>
        <v>0</v>
      </c>
      <c r="AH296" s="71">
        <f>IF($AB296=0,0,IF(AND(OR(fClient="All",$B296=fClient),OR(fCampaign="All",$C296=fCampaign),OR(fTeam="All",$L296=fTeam),OR(fChannel="All",$F296=fChannel),OR(fMonth="All",$AA296=fMonth)),1,0))</f>
        <v>0</v>
      </c>
      <c r="AI296" s="71">
        <f>IF($AB296=0,0,IF(AND(OR(fClient="All",$B296=fClient),OR(fCampaign="All",$C296=fCampaign),OR(fTeam="All",$L296=fTeam),OR(fChannel="All",$F296=fChannel)),1,0))</f>
        <v>0</v>
      </c>
    </row>
    <row r="297">
      <c r="A297" s="63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3" t="n"/>
      <c r="R297" s="63" t="n"/>
      <c r="S297" s="63" t="n"/>
      <c r="T297" s="65" t="n"/>
      <c r="U297" s="65" t="n"/>
      <c r="V297" s="63" t="n"/>
      <c r="W297" s="65" t="n"/>
      <c r="X297" s="69" t="str">
        <f>IF(AND(ISNUMBER($Q297),ISNUMBER($R297)),$R297-$Q297,"")</f>
        <v/>
      </c>
      <c r="Y297" s="71" t="str">
        <f>IF($AB297=1,IF(AND(ISNUMBER($V297),$M297&lt;&gt;"Converted",$M297&lt;&gt;"Rejected"),IF($V297&lt;=ReportDate,"DUE",""),""),"")</f>
        <v/>
      </c>
      <c r="Z297" s="75" t="str">
        <f>IF(ISNUMBER($Q297),$Q297,IF(ISNUMBER($A297),$A297,""))</f>
        <v/>
      </c>
      <c r="AA297" s="71" t="str">
        <f>IF(ISNUMBER($Z297),YEAR($Z297)&amp;"-"&amp;TEXT(MONTH($Z297),"00"),"")</f>
        <v/>
      </c>
      <c r="AB297" s="71">
        <f>IF($H297&lt;&gt;"",1,0)</f>
        <v>0</v>
      </c>
      <c r="AC297" s="71">
        <f>IF(AND($AB297=1,$G297="Yes"),1,0)</f>
        <v>0</v>
      </c>
      <c r="AD297" s="71">
        <f>IF(AND($AB297=1,$N297="MQL"),1,0)</f>
        <v>0</v>
      </c>
      <c r="AE297" s="71">
        <f>IF(AND($AB297=1,$O297="SQL"),1,0)</f>
        <v>0</v>
      </c>
      <c r="AF297" s="71">
        <f>IF(AND($AB297=1,OR($P297="Open",$P297="Won",$P297="Lost")),1,0)</f>
        <v>0</v>
      </c>
      <c r="AG297" s="71">
        <f>IF(AND($AB297=1,OR($M297="Converted",$P297="Won")),1,0)</f>
        <v>0</v>
      </c>
      <c r="AH297" s="71">
        <f>IF($AB297=0,0,IF(AND(OR(fClient="All",$B297=fClient),OR(fCampaign="All",$C297=fCampaign),OR(fTeam="All",$L297=fTeam),OR(fChannel="All",$F297=fChannel),OR(fMonth="All",$AA297=fMonth)),1,0))</f>
        <v>0</v>
      </c>
      <c r="AI297" s="71">
        <f>IF($AB297=0,0,IF(AND(OR(fClient="All",$B297=fClient),OR(fCampaign="All",$C297=fCampaign),OR(fTeam="All",$L297=fTeam),OR(fChannel="All",$F297=fChannel)),1,0))</f>
        <v>0</v>
      </c>
    </row>
    <row r="298">
      <c r="A298" s="63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3" t="n"/>
      <c r="R298" s="63" t="n"/>
      <c r="S298" s="63" t="n"/>
      <c r="T298" s="65" t="n"/>
      <c r="U298" s="65" t="n"/>
      <c r="V298" s="63" t="n"/>
      <c r="W298" s="65" t="n"/>
      <c r="X298" s="69" t="str">
        <f>IF(AND(ISNUMBER($Q298),ISNUMBER($R298)),$R298-$Q298,"")</f>
        <v/>
      </c>
      <c r="Y298" s="71" t="str">
        <f>IF($AB298=1,IF(AND(ISNUMBER($V298),$M298&lt;&gt;"Converted",$M298&lt;&gt;"Rejected"),IF($V298&lt;=ReportDate,"DUE",""),""),"")</f>
        <v/>
      </c>
      <c r="Z298" s="75" t="str">
        <f>IF(ISNUMBER($Q298),$Q298,IF(ISNUMBER($A298),$A298,""))</f>
        <v/>
      </c>
      <c r="AA298" s="71" t="str">
        <f>IF(ISNUMBER($Z298),YEAR($Z298)&amp;"-"&amp;TEXT(MONTH($Z298),"00"),"")</f>
        <v/>
      </c>
      <c r="AB298" s="71">
        <f>IF($H298&lt;&gt;"",1,0)</f>
        <v>0</v>
      </c>
      <c r="AC298" s="71">
        <f>IF(AND($AB298=1,$G298="Yes"),1,0)</f>
        <v>0</v>
      </c>
      <c r="AD298" s="71">
        <f>IF(AND($AB298=1,$N298="MQL"),1,0)</f>
        <v>0</v>
      </c>
      <c r="AE298" s="71">
        <f>IF(AND($AB298=1,$O298="SQL"),1,0)</f>
        <v>0</v>
      </c>
      <c r="AF298" s="71">
        <f>IF(AND($AB298=1,OR($P298="Open",$P298="Won",$P298="Lost")),1,0)</f>
        <v>0</v>
      </c>
      <c r="AG298" s="71">
        <f>IF(AND($AB298=1,OR($M298="Converted",$P298="Won")),1,0)</f>
        <v>0</v>
      </c>
      <c r="AH298" s="71">
        <f>IF($AB298=0,0,IF(AND(OR(fClient="All",$B298=fClient),OR(fCampaign="All",$C298=fCampaign),OR(fTeam="All",$L298=fTeam),OR(fChannel="All",$F298=fChannel),OR(fMonth="All",$AA298=fMonth)),1,0))</f>
        <v>0</v>
      </c>
      <c r="AI298" s="71">
        <f>IF($AB298=0,0,IF(AND(OR(fClient="All",$B298=fClient),OR(fCampaign="All",$C298=fCampaign),OR(fTeam="All",$L298=fTeam),OR(fChannel="All",$F298=fChannel)),1,0))</f>
        <v>0</v>
      </c>
    </row>
    <row r="299">
      <c r="A299" s="63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3" t="n"/>
      <c r="R299" s="63" t="n"/>
      <c r="S299" s="63" t="n"/>
      <c r="T299" s="65" t="n"/>
      <c r="U299" s="65" t="n"/>
      <c r="V299" s="63" t="n"/>
      <c r="W299" s="65" t="n"/>
      <c r="X299" s="69" t="str">
        <f>IF(AND(ISNUMBER($Q299),ISNUMBER($R299)),$R299-$Q299,"")</f>
        <v/>
      </c>
      <c r="Y299" s="71" t="str">
        <f>IF($AB299=1,IF(AND(ISNUMBER($V299),$M299&lt;&gt;"Converted",$M299&lt;&gt;"Rejected"),IF($V299&lt;=ReportDate,"DUE",""),""),"")</f>
        <v/>
      </c>
      <c r="Z299" s="75" t="str">
        <f>IF(ISNUMBER($Q299),$Q299,IF(ISNUMBER($A299),$A299,""))</f>
        <v/>
      </c>
      <c r="AA299" s="71" t="str">
        <f>IF(ISNUMBER($Z299),YEAR($Z299)&amp;"-"&amp;TEXT(MONTH($Z299),"00"),"")</f>
        <v/>
      </c>
      <c r="AB299" s="71">
        <f>IF($H299&lt;&gt;"",1,0)</f>
        <v>0</v>
      </c>
      <c r="AC299" s="71">
        <f>IF(AND($AB299=1,$G299="Yes"),1,0)</f>
        <v>0</v>
      </c>
      <c r="AD299" s="71">
        <f>IF(AND($AB299=1,$N299="MQL"),1,0)</f>
        <v>0</v>
      </c>
      <c r="AE299" s="71">
        <f>IF(AND($AB299=1,$O299="SQL"),1,0)</f>
        <v>0</v>
      </c>
      <c r="AF299" s="71">
        <f>IF(AND($AB299=1,OR($P299="Open",$P299="Won",$P299="Lost")),1,0)</f>
        <v>0</v>
      </c>
      <c r="AG299" s="71">
        <f>IF(AND($AB299=1,OR($M299="Converted",$P299="Won")),1,0)</f>
        <v>0</v>
      </c>
      <c r="AH299" s="71">
        <f>IF($AB299=0,0,IF(AND(OR(fClient="All",$B299=fClient),OR(fCampaign="All",$C299=fCampaign),OR(fTeam="All",$L299=fTeam),OR(fChannel="All",$F299=fChannel),OR(fMonth="All",$AA299=fMonth)),1,0))</f>
        <v>0</v>
      </c>
      <c r="AI299" s="71">
        <f>IF($AB299=0,0,IF(AND(OR(fClient="All",$B299=fClient),OR(fCampaign="All",$C299=fCampaign),OR(fTeam="All",$L299=fTeam),OR(fChannel="All",$F299=fChannel)),1,0))</f>
        <v>0</v>
      </c>
    </row>
    <row r="300">
      <c r="A300" s="63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3" t="n"/>
      <c r="R300" s="63" t="n"/>
      <c r="S300" s="63" t="n"/>
      <c r="T300" s="65" t="n"/>
      <c r="U300" s="65" t="n"/>
      <c r="V300" s="63" t="n"/>
      <c r="W300" s="65" t="n"/>
      <c r="X300" s="69" t="str">
        <f>IF(AND(ISNUMBER($Q300),ISNUMBER($R300)),$R300-$Q300,"")</f>
        <v/>
      </c>
      <c r="Y300" s="71" t="str">
        <f>IF($AB300=1,IF(AND(ISNUMBER($V300),$M300&lt;&gt;"Converted",$M300&lt;&gt;"Rejected"),IF($V300&lt;=ReportDate,"DUE",""),""),"")</f>
        <v/>
      </c>
      <c r="Z300" s="75" t="str">
        <f>IF(ISNUMBER($Q300),$Q300,IF(ISNUMBER($A300),$A300,""))</f>
        <v/>
      </c>
      <c r="AA300" s="71" t="str">
        <f>IF(ISNUMBER($Z300),YEAR($Z300)&amp;"-"&amp;TEXT(MONTH($Z300),"00"),"")</f>
        <v/>
      </c>
      <c r="AB300" s="71">
        <f>IF($H300&lt;&gt;"",1,0)</f>
        <v>0</v>
      </c>
      <c r="AC300" s="71">
        <f>IF(AND($AB300=1,$G300="Yes"),1,0)</f>
        <v>0</v>
      </c>
      <c r="AD300" s="71">
        <f>IF(AND($AB300=1,$N300="MQL"),1,0)</f>
        <v>0</v>
      </c>
      <c r="AE300" s="71">
        <f>IF(AND($AB300=1,$O300="SQL"),1,0)</f>
        <v>0</v>
      </c>
      <c r="AF300" s="71">
        <f>IF(AND($AB300=1,OR($P300="Open",$P300="Won",$P300="Lost")),1,0)</f>
        <v>0</v>
      </c>
      <c r="AG300" s="71">
        <f>IF(AND($AB300=1,OR($M300="Converted",$P300="Won")),1,0)</f>
        <v>0</v>
      </c>
      <c r="AH300" s="71">
        <f>IF($AB300=0,0,IF(AND(OR(fClient="All",$B300=fClient),OR(fCampaign="All",$C300=fCampaign),OR(fTeam="All",$L300=fTeam),OR(fChannel="All",$F300=fChannel),OR(fMonth="All",$AA300=fMonth)),1,0))</f>
        <v>0</v>
      </c>
      <c r="AI300" s="71">
        <f>IF($AB300=0,0,IF(AND(OR(fClient="All",$B300=fClient),OR(fCampaign="All",$C300=fCampaign),OR(fTeam="All",$L300=fTeam),OR(fChannel="All",$F300=fChannel)),1,0))</f>
        <v>0</v>
      </c>
    </row>
    <row r="301">
      <c r="A301" s="63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3" t="n"/>
      <c r="R301" s="63" t="n"/>
      <c r="S301" s="63" t="n"/>
      <c r="T301" s="65" t="n"/>
      <c r="U301" s="65" t="n"/>
      <c r="V301" s="63" t="n"/>
      <c r="W301" s="65" t="n"/>
      <c r="X301" s="69" t="str">
        <f>IF(AND(ISNUMBER($Q301),ISNUMBER($R301)),$R301-$Q301,"")</f>
        <v/>
      </c>
      <c r="Y301" s="71" t="str">
        <f>IF($AB301=1,IF(AND(ISNUMBER($V301),$M301&lt;&gt;"Converted",$M301&lt;&gt;"Rejected"),IF($V301&lt;=ReportDate,"DUE",""),""),"")</f>
        <v/>
      </c>
      <c r="Z301" s="75" t="str">
        <f>IF(ISNUMBER($Q301),$Q301,IF(ISNUMBER($A301),$A301,""))</f>
        <v/>
      </c>
      <c r="AA301" s="71" t="str">
        <f>IF(ISNUMBER($Z301),YEAR($Z301)&amp;"-"&amp;TEXT(MONTH($Z301),"00"),"")</f>
        <v/>
      </c>
      <c r="AB301" s="71">
        <f>IF($H301&lt;&gt;"",1,0)</f>
        <v>0</v>
      </c>
      <c r="AC301" s="71">
        <f>IF(AND($AB301=1,$G301="Yes"),1,0)</f>
        <v>0</v>
      </c>
      <c r="AD301" s="71">
        <f>IF(AND($AB301=1,$N301="MQL"),1,0)</f>
        <v>0</v>
      </c>
      <c r="AE301" s="71">
        <f>IF(AND($AB301=1,$O301="SQL"),1,0)</f>
        <v>0</v>
      </c>
      <c r="AF301" s="71">
        <f>IF(AND($AB301=1,OR($P301="Open",$P301="Won",$P301="Lost")),1,0)</f>
        <v>0</v>
      </c>
      <c r="AG301" s="71">
        <f>IF(AND($AB301=1,OR($M301="Converted",$P301="Won")),1,0)</f>
        <v>0</v>
      </c>
      <c r="AH301" s="71">
        <f>IF($AB301=0,0,IF(AND(OR(fClient="All",$B301=fClient),OR(fCampaign="All",$C301=fCampaign),OR(fTeam="All",$L301=fTeam),OR(fChannel="All",$F301=fChannel),OR(fMonth="All",$AA301=fMonth)),1,0))</f>
        <v>0</v>
      </c>
      <c r="AI301" s="71">
        <f>IF($AB301=0,0,IF(AND(OR(fClient="All",$B301=fClient),OR(fCampaign="All",$C301=fCampaign),OR(fTeam="All",$L301=fTeam),OR(fChannel="All",$F301=fChannel)),1,0))</f>
        <v>0</v>
      </c>
    </row>
    <row r="302">
      <c r="A302" s="63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3" t="n"/>
      <c r="R302" s="63" t="n"/>
      <c r="S302" s="63" t="n"/>
      <c r="T302" s="65" t="n"/>
      <c r="U302" s="65" t="n"/>
      <c r="V302" s="63" t="n"/>
      <c r="W302" s="65" t="n"/>
      <c r="X302" s="69" t="str">
        <f>IF(AND(ISNUMBER($Q302),ISNUMBER($R302)),$R302-$Q302,"")</f>
        <v/>
      </c>
      <c r="Y302" s="71" t="str">
        <f>IF($AB302=1,IF(AND(ISNUMBER($V302),$M302&lt;&gt;"Converted",$M302&lt;&gt;"Rejected"),IF($V302&lt;=ReportDate,"DUE",""),""),"")</f>
        <v/>
      </c>
      <c r="Z302" s="75" t="str">
        <f>IF(ISNUMBER($Q302),$Q302,IF(ISNUMBER($A302),$A302,""))</f>
        <v/>
      </c>
      <c r="AA302" s="71" t="str">
        <f>IF(ISNUMBER($Z302),YEAR($Z302)&amp;"-"&amp;TEXT(MONTH($Z302),"00"),"")</f>
        <v/>
      </c>
      <c r="AB302" s="71">
        <f>IF($H302&lt;&gt;"",1,0)</f>
        <v>0</v>
      </c>
      <c r="AC302" s="71">
        <f>IF(AND($AB302=1,$G302="Yes"),1,0)</f>
        <v>0</v>
      </c>
      <c r="AD302" s="71">
        <f>IF(AND($AB302=1,$N302="MQL"),1,0)</f>
        <v>0</v>
      </c>
      <c r="AE302" s="71">
        <f>IF(AND($AB302=1,$O302="SQL"),1,0)</f>
        <v>0</v>
      </c>
      <c r="AF302" s="71">
        <f>IF(AND($AB302=1,OR($P302="Open",$P302="Won",$P302="Lost")),1,0)</f>
        <v>0</v>
      </c>
      <c r="AG302" s="71">
        <f>IF(AND($AB302=1,OR($M302="Converted",$P302="Won")),1,0)</f>
        <v>0</v>
      </c>
      <c r="AH302" s="71">
        <f>IF($AB302=0,0,IF(AND(OR(fClient="All",$B302=fClient),OR(fCampaign="All",$C302=fCampaign),OR(fTeam="All",$L302=fTeam),OR(fChannel="All",$F302=fChannel),OR(fMonth="All",$AA302=fMonth)),1,0))</f>
        <v>0</v>
      </c>
      <c r="AI302" s="71">
        <f>IF($AB302=0,0,IF(AND(OR(fClient="All",$B302=fClient),OR(fCampaign="All",$C302=fCampaign),OR(fTeam="All",$L302=fTeam),OR(fChannel="All",$F302=fChannel)),1,0))</f>
        <v>0</v>
      </c>
    </row>
    <row r="303">
      <c r="A303" s="63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3" t="n"/>
      <c r="R303" s="63" t="n"/>
      <c r="S303" s="63" t="n"/>
      <c r="T303" s="65" t="n"/>
      <c r="U303" s="65" t="n"/>
      <c r="V303" s="63" t="n"/>
      <c r="W303" s="65" t="n"/>
      <c r="X303" s="69" t="str">
        <f>IF(AND(ISNUMBER($Q303),ISNUMBER($R303)),$R303-$Q303,"")</f>
        <v/>
      </c>
      <c r="Y303" s="71" t="str">
        <f>IF($AB303=1,IF(AND(ISNUMBER($V303),$M303&lt;&gt;"Converted",$M303&lt;&gt;"Rejected"),IF($V303&lt;=ReportDate,"DUE",""),""),"")</f>
        <v/>
      </c>
      <c r="Z303" s="75" t="str">
        <f>IF(ISNUMBER($Q303),$Q303,IF(ISNUMBER($A303),$A303,""))</f>
        <v/>
      </c>
      <c r="AA303" s="71" t="str">
        <f>IF(ISNUMBER($Z303),YEAR($Z303)&amp;"-"&amp;TEXT(MONTH($Z303),"00"),"")</f>
        <v/>
      </c>
      <c r="AB303" s="71">
        <f>IF($H303&lt;&gt;"",1,0)</f>
        <v>0</v>
      </c>
      <c r="AC303" s="71">
        <f>IF(AND($AB303=1,$G303="Yes"),1,0)</f>
        <v>0</v>
      </c>
      <c r="AD303" s="71">
        <f>IF(AND($AB303=1,$N303="MQL"),1,0)</f>
        <v>0</v>
      </c>
      <c r="AE303" s="71">
        <f>IF(AND($AB303=1,$O303="SQL"),1,0)</f>
        <v>0</v>
      </c>
      <c r="AF303" s="71">
        <f>IF(AND($AB303=1,OR($P303="Open",$P303="Won",$P303="Lost")),1,0)</f>
        <v>0</v>
      </c>
      <c r="AG303" s="71">
        <f>IF(AND($AB303=1,OR($M303="Converted",$P303="Won")),1,0)</f>
        <v>0</v>
      </c>
      <c r="AH303" s="71">
        <f>IF($AB303=0,0,IF(AND(OR(fClient="All",$B303=fClient),OR(fCampaign="All",$C303=fCampaign),OR(fTeam="All",$L303=fTeam),OR(fChannel="All",$F303=fChannel),OR(fMonth="All",$AA303=fMonth)),1,0))</f>
        <v>0</v>
      </c>
      <c r="AI303" s="71">
        <f>IF($AB303=0,0,IF(AND(OR(fClient="All",$B303=fClient),OR(fCampaign="All",$C303=fCampaign),OR(fTeam="All",$L303=fTeam),OR(fChannel="All",$F303=fChannel)),1,0))</f>
        <v>0</v>
      </c>
    </row>
    <row r="304">
      <c r="A304" s="63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3" t="n"/>
      <c r="R304" s="63" t="n"/>
      <c r="S304" s="63" t="n"/>
      <c r="T304" s="65" t="n"/>
      <c r="U304" s="65" t="n"/>
      <c r="V304" s="63" t="n"/>
      <c r="W304" s="65" t="n"/>
      <c r="X304" s="69" t="str">
        <f>IF(AND(ISNUMBER($Q304),ISNUMBER($R304)),$R304-$Q304,"")</f>
        <v/>
      </c>
      <c r="Y304" s="71" t="str">
        <f>IF($AB304=1,IF(AND(ISNUMBER($V304),$M304&lt;&gt;"Converted",$M304&lt;&gt;"Rejected"),IF($V304&lt;=ReportDate,"DUE",""),""),"")</f>
        <v/>
      </c>
      <c r="Z304" s="75" t="str">
        <f>IF(ISNUMBER($Q304),$Q304,IF(ISNUMBER($A304),$A304,""))</f>
        <v/>
      </c>
      <c r="AA304" s="71" t="str">
        <f>IF(ISNUMBER($Z304),YEAR($Z304)&amp;"-"&amp;TEXT(MONTH($Z304),"00"),"")</f>
        <v/>
      </c>
      <c r="AB304" s="71">
        <f>IF($H304&lt;&gt;"",1,0)</f>
        <v>0</v>
      </c>
      <c r="AC304" s="71">
        <f>IF(AND($AB304=1,$G304="Yes"),1,0)</f>
        <v>0</v>
      </c>
      <c r="AD304" s="71">
        <f>IF(AND($AB304=1,$N304="MQL"),1,0)</f>
        <v>0</v>
      </c>
      <c r="AE304" s="71">
        <f>IF(AND($AB304=1,$O304="SQL"),1,0)</f>
        <v>0</v>
      </c>
      <c r="AF304" s="71">
        <f>IF(AND($AB304=1,OR($P304="Open",$P304="Won",$P304="Lost")),1,0)</f>
        <v>0</v>
      </c>
      <c r="AG304" s="71">
        <f>IF(AND($AB304=1,OR($M304="Converted",$P304="Won")),1,0)</f>
        <v>0</v>
      </c>
      <c r="AH304" s="71">
        <f>IF($AB304=0,0,IF(AND(OR(fClient="All",$B304=fClient),OR(fCampaign="All",$C304=fCampaign),OR(fTeam="All",$L304=fTeam),OR(fChannel="All",$F304=fChannel),OR(fMonth="All",$AA304=fMonth)),1,0))</f>
        <v>0</v>
      </c>
      <c r="AI304" s="71">
        <f>IF($AB304=0,0,IF(AND(OR(fClient="All",$B304=fClient),OR(fCampaign="All",$C304=fCampaign),OR(fTeam="All",$L304=fTeam),OR(fChannel="All",$F304=fChannel)),1,0))</f>
        <v>0</v>
      </c>
    </row>
    <row r="305">
      <c r="A305" s="63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3" t="n"/>
      <c r="R305" s="63" t="n"/>
      <c r="S305" s="63" t="n"/>
      <c r="T305" s="65" t="n"/>
      <c r="U305" s="65" t="n"/>
      <c r="V305" s="63" t="n"/>
      <c r="W305" s="65" t="n"/>
      <c r="X305" s="69" t="str">
        <f>IF(AND(ISNUMBER($Q305),ISNUMBER($R305)),$R305-$Q305,"")</f>
        <v/>
      </c>
      <c r="Y305" s="71" t="str">
        <f>IF($AB305=1,IF(AND(ISNUMBER($V305),$M305&lt;&gt;"Converted",$M305&lt;&gt;"Rejected"),IF($V305&lt;=ReportDate,"DUE",""),""),"")</f>
        <v/>
      </c>
      <c r="Z305" s="75" t="str">
        <f>IF(ISNUMBER($Q305),$Q305,IF(ISNUMBER($A305),$A305,""))</f>
        <v/>
      </c>
      <c r="AA305" s="71" t="str">
        <f>IF(ISNUMBER($Z305),YEAR($Z305)&amp;"-"&amp;TEXT(MONTH($Z305),"00"),"")</f>
        <v/>
      </c>
      <c r="AB305" s="71">
        <f>IF($H305&lt;&gt;"",1,0)</f>
        <v>0</v>
      </c>
      <c r="AC305" s="71">
        <f>IF(AND($AB305=1,$G305="Yes"),1,0)</f>
        <v>0</v>
      </c>
      <c r="AD305" s="71">
        <f>IF(AND($AB305=1,$N305="MQL"),1,0)</f>
        <v>0</v>
      </c>
      <c r="AE305" s="71">
        <f>IF(AND($AB305=1,$O305="SQL"),1,0)</f>
        <v>0</v>
      </c>
      <c r="AF305" s="71">
        <f>IF(AND($AB305=1,OR($P305="Open",$P305="Won",$P305="Lost")),1,0)</f>
        <v>0</v>
      </c>
      <c r="AG305" s="71">
        <f>IF(AND($AB305=1,OR($M305="Converted",$P305="Won")),1,0)</f>
        <v>0</v>
      </c>
      <c r="AH305" s="71">
        <f>IF($AB305=0,0,IF(AND(OR(fClient="All",$B305=fClient),OR(fCampaign="All",$C305=fCampaign),OR(fTeam="All",$L305=fTeam),OR(fChannel="All",$F305=fChannel),OR(fMonth="All",$AA305=fMonth)),1,0))</f>
        <v>0</v>
      </c>
      <c r="AI305" s="71">
        <f>IF($AB305=0,0,IF(AND(OR(fClient="All",$B305=fClient),OR(fCampaign="All",$C305=fCampaign),OR(fTeam="All",$L305=fTeam),OR(fChannel="All",$F305=fChannel)),1,0))</f>
        <v>0</v>
      </c>
    </row>
    <row r="306">
      <c r="A306" s="63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3" t="n"/>
      <c r="R306" s="63" t="n"/>
      <c r="S306" s="63" t="n"/>
      <c r="T306" s="65" t="n"/>
      <c r="U306" s="65" t="n"/>
      <c r="V306" s="63" t="n"/>
      <c r="W306" s="65" t="n"/>
      <c r="X306" s="69" t="str">
        <f>IF(AND(ISNUMBER($Q306),ISNUMBER($R306)),$R306-$Q306,"")</f>
        <v/>
      </c>
      <c r="Y306" s="71" t="str">
        <f>IF($AB306=1,IF(AND(ISNUMBER($V306),$M306&lt;&gt;"Converted",$M306&lt;&gt;"Rejected"),IF($V306&lt;=ReportDate,"DUE",""),""),"")</f>
        <v/>
      </c>
      <c r="Z306" s="75" t="str">
        <f>IF(ISNUMBER($Q306),$Q306,IF(ISNUMBER($A306),$A306,""))</f>
        <v/>
      </c>
      <c r="AA306" s="71" t="str">
        <f>IF(ISNUMBER($Z306),YEAR($Z306)&amp;"-"&amp;TEXT(MONTH($Z306),"00"),"")</f>
        <v/>
      </c>
      <c r="AB306" s="71">
        <f>IF($H306&lt;&gt;"",1,0)</f>
        <v>0</v>
      </c>
      <c r="AC306" s="71">
        <f>IF(AND($AB306=1,$G306="Yes"),1,0)</f>
        <v>0</v>
      </c>
      <c r="AD306" s="71">
        <f>IF(AND($AB306=1,$N306="MQL"),1,0)</f>
        <v>0</v>
      </c>
      <c r="AE306" s="71">
        <f>IF(AND($AB306=1,$O306="SQL"),1,0)</f>
        <v>0</v>
      </c>
      <c r="AF306" s="71">
        <f>IF(AND($AB306=1,OR($P306="Open",$P306="Won",$P306="Lost")),1,0)</f>
        <v>0</v>
      </c>
      <c r="AG306" s="71">
        <f>IF(AND($AB306=1,OR($M306="Converted",$P306="Won")),1,0)</f>
        <v>0</v>
      </c>
      <c r="AH306" s="71">
        <f>IF($AB306=0,0,IF(AND(OR(fClient="All",$B306=fClient),OR(fCampaign="All",$C306=fCampaign),OR(fTeam="All",$L306=fTeam),OR(fChannel="All",$F306=fChannel),OR(fMonth="All",$AA306=fMonth)),1,0))</f>
        <v>0</v>
      </c>
      <c r="AI306" s="71">
        <f>IF($AB306=0,0,IF(AND(OR(fClient="All",$B306=fClient),OR(fCampaign="All",$C306=fCampaign),OR(fTeam="All",$L306=fTeam),OR(fChannel="All",$F306=fChannel)),1,0))</f>
        <v>0</v>
      </c>
    </row>
    <row r="307">
      <c r="A307" s="63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3" t="n"/>
      <c r="R307" s="63" t="n"/>
      <c r="S307" s="63" t="n"/>
      <c r="T307" s="65" t="n"/>
      <c r="U307" s="65" t="n"/>
      <c r="V307" s="63" t="n"/>
      <c r="W307" s="65" t="n"/>
      <c r="X307" s="69" t="str">
        <f>IF(AND(ISNUMBER($Q307),ISNUMBER($R307)),$R307-$Q307,"")</f>
        <v/>
      </c>
      <c r="Y307" s="71" t="str">
        <f>IF($AB307=1,IF(AND(ISNUMBER($V307),$M307&lt;&gt;"Converted",$M307&lt;&gt;"Rejected"),IF($V307&lt;=ReportDate,"DUE",""),""),"")</f>
        <v/>
      </c>
      <c r="Z307" s="75" t="str">
        <f>IF(ISNUMBER($Q307),$Q307,IF(ISNUMBER($A307),$A307,""))</f>
        <v/>
      </c>
      <c r="AA307" s="71" t="str">
        <f>IF(ISNUMBER($Z307),YEAR($Z307)&amp;"-"&amp;TEXT(MONTH($Z307),"00"),"")</f>
        <v/>
      </c>
      <c r="AB307" s="71">
        <f>IF($H307&lt;&gt;"",1,0)</f>
        <v>0</v>
      </c>
      <c r="AC307" s="71">
        <f>IF(AND($AB307=1,$G307="Yes"),1,0)</f>
        <v>0</v>
      </c>
      <c r="AD307" s="71">
        <f>IF(AND($AB307=1,$N307="MQL"),1,0)</f>
        <v>0</v>
      </c>
      <c r="AE307" s="71">
        <f>IF(AND($AB307=1,$O307="SQL"),1,0)</f>
        <v>0</v>
      </c>
      <c r="AF307" s="71">
        <f>IF(AND($AB307=1,OR($P307="Open",$P307="Won",$P307="Lost")),1,0)</f>
        <v>0</v>
      </c>
      <c r="AG307" s="71">
        <f>IF(AND($AB307=1,OR($M307="Converted",$P307="Won")),1,0)</f>
        <v>0</v>
      </c>
      <c r="AH307" s="71">
        <f>IF($AB307=0,0,IF(AND(OR(fClient="All",$B307=fClient),OR(fCampaign="All",$C307=fCampaign),OR(fTeam="All",$L307=fTeam),OR(fChannel="All",$F307=fChannel),OR(fMonth="All",$AA307=fMonth)),1,0))</f>
        <v>0</v>
      </c>
      <c r="AI307" s="71">
        <f>IF($AB307=0,0,IF(AND(OR(fClient="All",$B307=fClient),OR(fCampaign="All",$C307=fCampaign),OR(fTeam="All",$L307=fTeam),OR(fChannel="All",$F307=fChannel)),1,0))</f>
        <v>0</v>
      </c>
    </row>
    <row r="308">
      <c r="A308" s="63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3" t="n"/>
      <c r="R308" s="63" t="n"/>
      <c r="S308" s="63" t="n"/>
      <c r="T308" s="65" t="n"/>
      <c r="U308" s="65" t="n"/>
      <c r="V308" s="63" t="n"/>
      <c r="W308" s="65" t="n"/>
      <c r="X308" s="69" t="str">
        <f>IF(AND(ISNUMBER($Q308),ISNUMBER($R308)),$R308-$Q308,"")</f>
        <v/>
      </c>
      <c r="Y308" s="71" t="str">
        <f>IF($AB308=1,IF(AND(ISNUMBER($V308),$M308&lt;&gt;"Converted",$M308&lt;&gt;"Rejected"),IF($V308&lt;=ReportDate,"DUE",""),""),"")</f>
        <v/>
      </c>
      <c r="Z308" s="75" t="str">
        <f>IF(ISNUMBER($Q308),$Q308,IF(ISNUMBER($A308),$A308,""))</f>
        <v/>
      </c>
      <c r="AA308" s="71" t="str">
        <f>IF(ISNUMBER($Z308),YEAR($Z308)&amp;"-"&amp;TEXT(MONTH($Z308),"00"),"")</f>
        <v/>
      </c>
      <c r="AB308" s="71">
        <f>IF($H308&lt;&gt;"",1,0)</f>
        <v>0</v>
      </c>
      <c r="AC308" s="71">
        <f>IF(AND($AB308=1,$G308="Yes"),1,0)</f>
        <v>0</v>
      </c>
      <c r="AD308" s="71">
        <f>IF(AND($AB308=1,$N308="MQL"),1,0)</f>
        <v>0</v>
      </c>
      <c r="AE308" s="71">
        <f>IF(AND($AB308=1,$O308="SQL"),1,0)</f>
        <v>0</v>
      </c>
      <c r="AF308" s="71">
        <f>IF(AND($AB308=1,OR($P308="Open",$P308="Won",$P308="Lost")),1,0)</f>
        <v>0</v>
      </c>
      <c r="AG308" s="71">
        <f>IF(AND($AB308=1,OR($M308="Converted",$P308="Won")),1,0)</f>
        <v>0</v>
      </c>
      <c r="AH308" s="71">
        <f>IF($AB308=0,0,IF(AND(OR(fClient="All",$B308=fClient),OR(fCampaign="All",$C308=fCampaign),OR(fTeam="All",$L308=fTeam),OR(fChannel="All",$F308=fChannel),OR(fMonth="All",$AA308=fMonth)),1,0))</f>
        <v>0</v>
      </c>
      <c r="AI308" s="71">
        <f>IF($AB308=0,0,IF(AND(OR(fClient="All",$B308=fClient),OR(fCampaign="All",$C308=fCampaign),OR(fTeam="All",$L308=fTeam),OR(fChannel="All",$F308=fChannel)),1,0))</f>
        <v>0</v>
      </c>
    </row>
    <row r="309">
      <c r="A309" s="63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3" t="n"/>
      <c r="R309" s="63" t="n"/>
      <c r="S309" s="63" t="n"/>
      <c r="T309" s="65" t="n"/>
      <c r="U309" s="65" t="n"/>
      <c r="V309" s="63" t="n"/>
      <c r="W309" s="65" t="n"/>
      <c r="X309" s="69" t="str">
        <f>IF(AND(ISNUMBER($Q309),ISNUMBER($R309)),$R309-$Q309,"")</f>
        <v/>
      </c>
      <c r="Y309" s="71" t="str">
        <f>IF($AB309=1,IF(AND(ISNUMBER($V309),$M309&lt;&gt;"Converted",$M309&lt;&gt;"Rejected"),IF($V309&lt;=ReportDate,"DUE",""),""),"")</f>
        <v/>
      </c>
      <c r="Z309" s="75" t="str">
        <f>IF(ISNUMBER($Q309),$Q309,IF(ISNUMBER($A309),$A309,""))</f>
        <v/>
      </c>
      <c r="AA309" s="71" t="str">
        <f>IF(ISNUMBER($Z309),YEAR($Z309)&amp;"-"&amp;TEXT(MONTH($Z309),"00"),"")</f>
        <v/>
      </c>
      <c r="AB309" s="71">
        <f>IF($H309&lt;&gt;"",1,0)</f>
        <v>0</v>
      </c>
      <c r="AC309" s="71">
        <f>IF(AND($AB309=1,$G309="Yes"),1,0)</f>
        <v>0</v>
      </c>
      <c r="AD309" s="71">
        <f>IF(AND($AB309=1,$N309="MQL"),1,0)</f>
        <v>0</v>
      </c>
      <c r="AE309" s="71">
        <f>IF(AND($AB309=1,$O309="SQL"),1,0)</f>
        <v>0</v>
      </c>
      <c r="AF309" s="71">
        <f>IF(AND($AB309=1,OR($P309="Open",$P309="Won",$P309="Lost")),1,0)</f>
        <v>0</v>
      </c>
      <c r="AG309" s="71">
        <f>IF(AND($AB309=1,OR($M309="Converted",$P309="Won")),1,0)</f>
        <v>0</v>
      </c>
      <c r="AH309" s="71">
        <f>IF($AB309=0,0,IF(AND(OR(fClient="All",$B309=fClient),OR(fCampaign="All",$C309=fCampaign),OR(fTeam="All",$L309=fTeam),OR(fChannel="All",$F309=fChannel),OR(fMonth="All",$AA309=fMonth)),1,0))</f>
        <v>0</v>
      </c>
      <c r="AI309" s="71">
        <f>IF($AB309=0,0,IF(AND(OR(fClient="All",$B309=fClient),OR(fCampaign="All",$C309=fCampaign),OR(fTeam="All",$L309=fTeam),OR(fChannel="All",$F309=fChannel)),1,0))</f>
        <v>0</v>
      </c>
    </row>
    <row r="310">
      <c r="A310" s="63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3" t="n"/>
      <c r="R310" s="63" t="n"/>
      <c r="S310" s="63" t="n"/>
      <c r="T310" s="65" t="n"/>
      <c r="U310" s="65" t="n"/>
      <c r="V310" s="63" t="n"/>
      <c r="W310" s="65" t="n"/>
      <c r="X310" s="69" t="str">
        <f>IF(AND(ISNUMBER($Q310),ISNUMBER($R310)),$R310-$Q310,"")</f>
        <v/>
      </c>
      <c r="Y310" s="71" t="str">
        <f>IF($AB310=1,IF(AND(ISNUMBER($V310),$M310&lt;&gt;"Converted",$M310&lt;&gt;"Rejected"),IF($V310&lt;=ReportDate,"DUE",""),""),"")</f>
        <v/>
      </c>
      <c r="Z310" s="75" t="str">
        <f>IF(ISNUMBER($Q310),$Q310,IF(ISNUMBER($A310),$A310,""))</f>
        <v/>
      </c>
      <c r="AA310" s="71" t="str">
        <f>IF(ISNUMBER($Z310),YEAR($Z310)&amp;"-"&amp;TEXT(MONTH($Z310),"00"),"")</f>
        <v/>
      </c>
      <c r="AB310" s="71">
        <f>IF($H310&lt;&gt;"",1,0)</f>
        <v>0</v>
      </c>
      <c r="AC310" s="71">
        <f>IF(AND($AB310=1,$G310="Yes"),1,0)</f>
        <v>0</v>
      </c>
      <c r="AD310" s="71">
        <f>IF(AND($AB310=1,$N310="MQL"),1,0)</f>
        <v>0</v>
      </c>
      <c r="AE310" s="71">
        <f>IF(AND($AB310=1,$O310="SQL"),1,0)</f>
        <v>0</v>
      </c>
      <c r="AF310" s="71">
        <f>IF(AND($AB310=1,OR($P310="Open",$P310="Won",$P310="Lost")),1,0)</f>
        <v>0</v>
      </c>
      <c r="AG310" s="71">
        <f>IF(AND($AB310=1,OR($M310="Converted",$P310="Won")),1,0)</f>
        <v>0</v>
      </c>
      <c r="AH310" s="71">
        <f>IF($AB310=0,0,IF(AND(OR(fClient="All",$B310=fClient),OR(fCampaign="All",$C310=fCampaign),OR(fTeam="All",$L310=fTeam),OR(fChannel="All",$F310=fChannel),OR(fMonth="All",$AA310=fMonth)),1,0))</f>
        <v>0</v>
      </c>
      <c r="AI310" s="71">
        <f>IF($AB310=0,0,IF(AND(OR(fClient="All",$B310=fClient),OR(fCampaign="All",$C310=fCampaign),OR(fTeam="All",$L310=fTeam),OR(fChannel="All",$F310=fChannel)),1,0))</f>
        <v>0</v>
      </c>
    </row>
    <row r="311">
      <c r="A311" s="63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3" t="n"/>
      <c r="R311" s="63" t="n"/>
      <c r="S311" s="63" t="n"/>
      <c r="T311" s="65" t="n"/>
      <c r="U311" s="65" t="n"/>
      <c r="V311" s="63" t="n"/>
      <c r="W311" s="65" t="n"/>
      <c r="X311" s="69" t="str">
        <f>IF(AND(ISNUMBER($Q311),ISNUMBER($R311)),$R311-$Q311,"")</f>
        <v/>
      </c>
      <c r="Y311" s="71" t="str">
        <f>IF($AB311=1,IF(AND(ISNUMBER($V311),$M311&lt;&gt;"Converted",$M311&lt;&gt;"Rejected"),IF($V311&lt;=ReportDate,"DUE",""),""),"")</f>
        <v/>
      </c>
      <c r="Z311" s="75" t="str">
        <f>IF(ISNUMBER($Q311),$Q311,IF(ISNUMBER($A311),$A311,""))</f>
        <v/>
      </c>
      <c r="AA311" s="71" t="str">
        <f>IF(ISNUMBER($Z311),YEAR($Z311)&amp;"-"&amp;TEXT(MONTH($Z311),"00"),"")</f>
        <v/>
      </c>
      <c r="AB311" s="71">
        <f>IF($H311&lt;&gt;"",1,0)</f>
        <v>0</v>
      </c>
      <c r="AC311" s="71">
        <f>IF(AND($AB311=1,$G311="Yes"),1,0)</f>
        <v>0</v>
      </c>
      <c r="AD311" s="71">
        <f>IF(AND($AB311=1,$N311="MQL"),1,0)</f>
        <v>0</v>
      </c>
      <c r="AE311" s="71">
        <f>IF(AND($AB311=1,$O311="SQL"),1,0)</f>
        <v>0</v>
      </c>
      <c r="AF311" s="71">
        <f>IF(AND($AB311=1,OR($P311="Open",$P311="Won",$P311="Lost")),1,0)</f>
        <v>0</v>
      </c>
      <c r="AG311" s="71">
        <f>IF(AND($AB311=1,OR($M311="Converted",$P311="Won")),1,0)</f>
        <v>0</v>
      </c>
      <c r="AH311" s="71">
        <f>IF($AB311=0,0,IF(AND(OR(fClient="All",$B311=fClient),OR(fCampaign="All",$C311=fCampaign),OR(fTeam="All",$L311=fTeam),OR(fChannel="All",$F311=fChannel),OR(fMonth="All",$AA311=fMonth)),1,0))</f>
        <v>0</v>
      </c>
      <c r="AI311" s="71">
        <f>IF($AB311=0,0,IF(AND(OR(fClient="All",$B311=fClient),OR(fCampaign="All",$C311=fCampaign),OR(fTeam="All",$L311=fTeam),OR(fChannel="All",$F311=fChannel)),1,0))</f>
        <v>0</v>
      </c>
    </row>
    <row r="312">
      <c r="A312" s="63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3" t="n"/>
      <c r="R312" s="63" t="n"/>
      <c r="S312" s="63" t="n"/>
      <c r="T312" s="65" t="n"/>
      <c r="U312" s="65" t="n"/>
      <c r="V312" s="63" t="n"/>
      <c r="W312" s="65" t="n"/>
      <c r="X312" s="69" t="str">
        <f>IF(AND(ISNUMBER($Q312),ISNUMBER($R312)),$R312-$Q312,"")</f>
        <v/>
      </c>
      <c r="Y312" s="71" t="str">
        <f>IF($AB312=1,IF(AND(ISNUMBER($V312),$M312&lt;&gt;"Converted",$M312&lt;&gt;"Rejected"),IF($V312&lt;=ReportDate,"DUE",""),""),"")</f>
        <v/>
      </c>
      <c r="Z312" s="75" t="str">
        <f>IF(ISNUMBER($Q312),$Q312,IF(ISNUMBER($A312),$A312,""))</f>
        <v/>
      </c>
      <c r="AA312" s="71" t="str">
        <f>IF(ISNUMBER($Z312),YEAR($Z312)&amp;"-"&amp;TEXT(MONTH($Z312),"00"),"")</f>
        <v/>
      </c>
      <c r="AB312" s="71">
        <f>IF($H312&lt;&gt;"",1,0)</f>
        <v>0</v>
      </c>
      <c r="AC312" s="71">
        <f>IF(AND($AB312=1,$G312="Yes"),1,0)</f>
        <v>0</v>
      </c>
      <c r="AD312" s="71">
        <f>IF(AND($AB312=1,$N312="MQL"),1,0)</f>
        <v>0</v>
      </c>
      <c r="AE312" s="71">
        <f>IF(AND($AB312=1,$O312="SQL"),1,0)</f>
        <v>0</v>
      </c>
      <c r="AF312" s="71">
        <f>IF(AND($AB312=1,OR($P312="Open",$P312="Won",$P312="Lost")),1,0)</f>
        <v>0</v>
      </c>
      <c r="AG312" s="71">
        <f>IF(AND($AB312=1,OR($M312="Converted",$P312="Won")),1,0)</f>
        <v>0</v>
      </c>
      <c r="AH312" s="71">
        <f>IF($AB312=0,0,IF(AND(OR(fClient="All",$B312=fClient),OR(fCampaign="All",$C312=fCampaign),OR(fTeam="All",$L312=fTeam),OR(fChannel="All",$F312=fChannel),OR(fMonth="All",$AA312=fMonth)),1,0))</f>
        <v>0</v>
      </c>
      <c r="AI312" s="71">
        <f>IF($AB312=0,0,IF(AND(OR(fClient="All",$B312=fClient),OR(fCampaign="All",$C312=fCampaign),OR(fTeam="All",$L312=fTeam),OR(fChannel="All",$F312=fChannel)),1,0))</f>
        <v>0</v>
      </c>
    </row>
    <row r="313">
      <c r="A313" s="63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3" t="n"/>
      <c r="R313" s="63" t="n"/>
      <c r="S313" s="63" t="n"/>
      <c r="T313" s="65" t="n"/>
      <c r="U313" s="65" t="n"/>
      <c r="V313" s="63" t="n"/>
      <c r="W313" s="65" t="n"/>
      <c r="X313" s="69" t="str">
        <f>IF(AND(ISNUMBER($Q313),ISNUMBER($R313)),$R313-$Q313,"")</f>
        <v/>
      </c>
      <c r="Y313" s="71" t="str">
        <f>IF($AB313=1,IF(AND(ISNUMBER($V313),$M313&lt;&gt;"Converted",$M313&lt;&gt;"Rejected"),IF($V313&lt;=ReportDate,"DUE",""),""),"")</f>
        <v/>
      </c>
      <c r="Z313" s="75" t="str">
        <f>IF(ISNUMBER($Q313),$Q313,IF(ISNUMBER($A313),$A313,""))</f>
        <v/>
      </c>
      <c r="AA313" s="71" t="str">
        <f>IF(ISNUMBER($Z313),YEAR($Z313)&amp;"-"&amp;TEXT(MONTH($Z313),"00"),"")</f>
        <v/>
      </c>
      <c r="AB313" s="71">
        <f>IF($H313&lt;&gt;"",1,0)</f>
        <v>0</v>
      </c>
      <c r="AC313" s="71">
        <f>IF(AND($AB313=1,$G313="Yes"),1,0)</f>
        <v>0</v>
      </c>
      <c r="AD313" s="71">
        <f>IF(AND($AB313=1,$N313="MQL"),1,0)</f>
        <v>0</v>
      </c>
      <c r="AE313" s="71">
        <f>IF(AND($AB313=1,$O313="SQL"),1,0)</f>
        <v>0</v>
      </c>
      <c r="AF313" s="71">
        <f>IF(AND($AB313=1,OR($P313="Open",$P313="Won",$P313="Lost")),1,0)</f>
        <v>0</v>
      </c>
      <c r="AG313" s="71">
        <f>IF(AND($AB313=1,OR($M313="Converted",$P313="Won")),1,0)</f>
        <v>0</v>
      </c>
      <c r="AH313" s="71">
        <f>IF($AB313=0,0,IF(AND(OR(fClient="All",$B313=fClient),OR(fCampaign="All",$C313=fCampaign),OR(fTeam="All",$L313=fTeam),OR(fChannel="All",$F313=fChannel),OR(fMonth="All",$AA313=fMonth)),1,0))</f>
        <v>0</v>
      </c>
      <c r="AI313" s="71">
        <f>IF($AB313=0,0,IF(AND(OR(fClient="All",$B313=fClient),OR(fCampaign="All",$C313=fCampaign),OR(fTeam="All",$L313=fTeam),OR(fChannel="All",$F313=fChannel)),1,0))</f>
        <v>0</v>
      </c>
    </row>
    <row r="314">
      <c r="A314" s="63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3" t="n"/>
      <c r="R314" s="63" t="n"/>
      <c r="S314" s="63" t="n"/>
      <c r="T314" s="65" t="n"/>
      <c r="U314" s="65" t="n"/>
      <c r="V314" s="63" t="n"/>
      <c r="W314" s="65" t="n"/>
      <c r="X314" s="69" t="str">
        <f>IF(AND(ISNUMBER($Q314),ISNUMBER($R314)),$R314-$Q314,"")</f>
        <v/>
      </c>
      <c r="Y314" s="71" t="str">
        <f>IF($AB314=1,IF(AND(ISNUMBER($V314),$M314&lt;&gt;"Converted",$M314&lt;&gt;"Rejected"),IF($V314&lt;=ReportDate,"DUE",""),""),"")</f>
        <v/>
      </c>
      <c r="Z314" s="75" t="str">
        <f>IF(ISNUMBER($Q314),$Q314,IF(ISNUMBER($A314),$A314,""))</f>
        <v/>
      </c>
      <c r="AA314" s="71" t="str">
        <f>IF(ISNUMBER($Z314),YEAR($Z314)&amp;"-"&amp;TEXT(MONTH($Z314),"00"),"")</f>
        <v/>
      </c>
      <c r="AB314" s="71">
        <f>IF($H314&lt;&gt;"",1,0)</f>
        <v>0</v>
      </c>
      <c r="AC314" s="71">
        <f>IF(AND($AB314=1,$G314="Yes"),1,0)</f>
        <v>0</v>
      </c>
      <c r="AD314" s="71">
        <f>IF(AND($AB314=1,$N314="MQL"),1,0)</f>
        <v>0</v>
      </c>
      <c r="AE314" s="71">
        <f>IF(AND($AB314=1,$O314="SQL"),1,0)</f>
        <v>0</v>
      </c>
      <c r="AF314" s="71">
        <f>IF(AND($AB314=1,OR($P314="Open",$P314="Won",$P314="Lost")),1,0)</f>
        <v>0</v>
      </c>
      <c r="AG314" s="71">
        <f>IF(AND($AB314=1,OR($M314="Converted",$P314="Won")),1,0)</f>
        <v>0</v>
      </c>
      <c r="AH314" s="71">
        <f>IF($AB314=0,0,IF(AND(OR(fClient="All",$B314=fClient),OR(fCampaign="All",$C314=fCampaign),OR(fTeam="All",$L314=fTeam),OR(fChannel="All",$F314=fChannel),OR(fMonth="All",$AA314=fMonth)),1,0))</f>
        <v>0</v>
      </c>
      <c r="AI314" s="71">
        <f>IF($AB314=0,0,IF(AND(OR(fClient="All",$B314=fClient),OR(fCampaign="All",$C314=fCampaign),OR(fTeam="All",$L314=fTeam),OR(fChannel="All",$F314=fChannel)),1,0))</f>
        <v>0</v>
      </c>
    </row>
    <row r="315">
      <c r="A315" s="63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3" t="n"/>
      <c r="R315" s="63" t="n"/>
      <c r="S315" s="63" t="n"/>
      <c r="T315" s="65" t="n"/>
      <c r="U315" s="65" t="n"/>
      <c r="V315" s="63" t="n"/>
      <c r="W315" s="65" t="n"/>
      <c r="X315" s="69" t="str">
        <f>IF(AND(ISNUMBER($Q315),ISNUMBER($R315)),$R315-$Q315,"")</f>
        <v/>
      </c>
      <c r="Y315" s="71" t="str">
        <f>IF($AB315=1,IF(AND(ISNUMBER($V315),$M315&lt;&gt;"Converted",$M315&lt;&gt;"Rejected"),IF($V315&lt;=ReportDate,"DUE",""),""),"")</f>
        <v/>
      </c>
      <c r="Z315" s="75" t="str">
        <f>IF(ISNUMBER($Q315),$Q315,IF(ISNUMBER($A315),$A315,""))</f>
        <v/>
      </c>
      <c r="AA315" s="71" t="str">
        <f>IF(ISNUMBER($Z315),YEAR($Z315)&amp;"-"&amp;TEXT(MONTH($Z315),"00"),"")</f>
        <v/>
      </c>
      <c r="AB315" s="71">
        <f>IF($H315&lt;&gt;"",1,0)</f>
        <v>0</v>
      </c>
      <c r="AC315" s="71">
        <f>IF(AND($AB315=1,$G315="Yes"),1,0)</f>
        <v>0</v>
      </c>
      <c r="AD315" s="71">
        <f>IF(AND($AB315=1,$N315="MQL"),1,0)</f>
        <v>0</v>
      </c>
      <c r="AE315" s="71">
        <f>IF(AND($AB315=1,$O315="SQL"),1,0)</f>
        <v>0</v>
      </c>
      <c r="AF315" s="71">
        <f>IF(AND($AB315=1,OR($P315="Open",$P315="Won",$P315="Lost")),1,0)</f>
        <v>0</v>
      </c>
      <c r="AG315" s="71">
        <f>IF(AND($AB315=1,OR($M315="Converted",$P315="Won")),1,0)</f>
        <v>0</v>
      </c>
      <c r="AH315" s="71">
        <f>IF($AB315=0,0,IF(AND(OR(fClient="All",$B315=fClient),OR(fCampaign="All",$C315=fCampaign),OR(fTeam="All",$L315=fTeam),OR(fChannel="All",$F315=fChannel),OR(fMonth="All",$AA315=fMonth)),1,0))</f>
        <v>0</v>
      </c>
      <c r="AI315" s="71">
        <f>IF($AB315=0,0,IF(AND(OR(fClient="All",$B315=fClient),OR(fCampaign="All",$C315=fCampaign),OR(fTeam="All",$L315=fTeam),OR(fChannel="All",$F315=fChannel)),1,0))</f>
        <v>0</v>
      </c>
    </row>
    <row r="316">
      <c r="A316" s="63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3" t="n"/>
      <c r="R316" s="63" t="n"/>
      <c r="S316" s="63" t="n"/>
      <c r="T316" s="65" t="n"/>
      <c r="U316" s="65" t="n"/>
      <c r="V316" s="63" t="n"/>
      <c r="W316" s="65" t="n"/>
      <c r="X316" s="69" t="str">
        <f>IF(AND(ISNUMBER($Q316),ISNUMBER($R316)),$R316-$Q316,"")</f>
        <v/>
      </c>
      <c r="Y316" s="71" t="str">
        <f>IF($AB316=1,IF(AND(ISNUMBER($V316),$M316&lt;&gt;"Converted",$M316&lt;&gt;"Rejected"),IF($V316&lt;=ReportDate,"DUE",""),""),"")</f>
        <v/>
      </c>
      <c r="Z316" s="75" t="str">
        <f>IF(ISNUMBER($Q316),$Q316,IF(ISNUMBER($A316),$A316,""))</f>
        <v/>
      </c>
      <c r="AA316" s="71" t="str">
        <f>IF(ISNUMBER($Z316),YEAR($Z316)&amp;"-"&amp;TEXT(MONTH($Z316),"00"),"")</f>
        <v/>
      </c>
      <c r="AB316" s="71">
        <f>IF($H316&lt;&gt;"",1,0)</f>
        <v>0</v>
      </c>
      <c r="AC316" s="71">
        <f>IF(AND($AB316=1,$G316="Yes"),1,0)</f>
        <v>0</v>
      </c>
      <c r="AD316" s="71">
        <f>IF(AND($AB316=1,$N316="MQL"),1,0)</f>
        <v>0</v>
      </c>
      <c r="AE316" s="71">
        <f>IF(AND($AB316=1,$O316="SQL"),1,0)</f>
        <v>0</v>
      </c>
      <c r="AF316" s="71">
        <f>IF(AND($AB316=1,OR($P316="Open",$P316="Won",$P316="Lost")),1,0)</f>
        <v>0</v>
      </c>
      <c r="AG316" s="71">
        <f>IF(AND($AB316=1,OR($M316="Converted",$P316="Won")),1,0)</f>
        <v>0</v>
      </c>
      <c r="AH316" s="71">
        <f>IF($AB316=0,0,IF(AND(OR(fClient="All",$B316=fClient),OR(fCampaign="All",$C316=fCampaign),OR(fTeam="All",$L316=fTeam),OR(fChannel="All",$F316=fChannel),OR(fMonth="All",$AA316=fMonth)),1,0))</f>
        <v>0</v>
      </c>
      <c r="AI316" s="71">
        <f>IF($AB316=0,0,IF(AND(OR(fClient="All",$B316=fClient),OR(fCampaign="All",$C316=fCampaign),OR(fTeam="All",$L316=fTeam),OR(fChannel="All",$F316=fChannel)),1,0))</f>
        <v>0</v>
      </c>
    </row>
    <row r="317">
      <c r="A317" s="63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3" t="n"/>
      <c r="R317" s="63" t="n"/>
      <c r="S317" s="63" t="n"/>
      <c r="T317" s="65" t="n"/>
      <c r="U317" s="65" t="n"/>
      <c r="V317" s="63" t="n"/>
      <c r="W317" s="65" t="n"/>
      <c r="X317" s="69" t="str">
        <f>IF(AND(ISNUMBER($Q317),ISNUMBER($R317)),$R317-$Q317,"")</f>
        <v/>
      </c>
      <c r="Y317" s="71" t="str">
        <f>IF($AB317=1,IF(AND(ISNUMBER($V317),$M317&lt;&gt;"Converted",$M317&lt;&gt;"Rejected"),IF($V317&lt;=ReportDate,"DUE",""),""),"")</f>
        <v/>
      </c>
      <c r="Z317" s="75" t="str">
        <f>IF(ISNUMBER($Q317),$Q317,IF(ISNUMBER($A317),$A317,""))</f>
        <v/>
      </c>
      <c r="AA317" s="71" t="str">
        <f>IF(ISNUMBER($Z317),YEAR($Z317)&amp;"-"&amp;TEXT(MONTH($Z317),"00"),"")</f>
        <v/>
      </c>
      <c r="AB317" s="71">
        <f>IF($H317&lt;&gt;"",1,0)</f>
        <v>0</v>
      </c>
      <c r="AC317" s="71">
        <f>IF(AND($AB317=1,$G317="Yes"),1,0)</f>
        <v>0</v>
      </c>
      <c r="AD317" s="71">
        <f>IF(AND($AB317=1,$N317="MQL"),1,0)</f>
        <v>0</v>
      </c>
      <c r="AE317" s="71">
        <f>IF(AND($AB317=1,$O317="SQL"),1,0)</f>
        <v>0</v>
      </c>
      <c r="AF317" s="71">
        <f>IF(AND($AB317=1,OR($P317="Open",$P317="Won",$P317="Lost")),1,0)</f>
        <v>0</v>
      </c>
      <c r="AG317" s="71">
        <f>IF(AND($AB317=1,OR($M317="Converted",$P317="Won")),1,0)</f>
        <v>0</v>
      </c>
      <c r="AH317" s="71">
        <f>IF($AB317=0,0,IF(AND(OR(fClient="All",$B317=fClient),OR(fCampaign="All",$C317=fCampaign),OR(fTeam="All",$L317=fTeam),OR(fChannel="All",$F317=fChannel),OR(fMonth="All",$AA317=fMonth)),1,0))</f>
        <v>0</v>
      </c>
      <c r="AI317" s="71">
        <f>IF($AB317=0,0,IF(AND(OR(fClient="All",$B317=fClient),OR(fCampaign="All",$C317=fCampaign),OR(fTeam="All",$L317=fTeam),OR(fChannel="All",$F317=fChannel)),1,0))</f>
        <v>0</v>
      </c>
    </row>
    <row r="318">
      <c r="A318" s="63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3" t="n"/>
      <c r="R318" s="63" t="n"/>
      <c r="S318" s="63" t="n"/>
      <c r="T318" s="65" t="n"/>
      <c r="U318" s="65" t="n"/>
      <c r="V318" s="63" t="n"/>
      <c r="W318" s="65" t="n"/>
      <c r="X318" s="69" t="str">
        <f>IF(AND(ISNUMBER($Q318),ISNUMBER($R318)),$R318-$Q318,"")</f>
        <v/>
      </c>
      <c r="Y318" s="71" t="str">
        <f>IF($AB318=1,IF(AND(ISNUMBER($V318),$M318&lt;&gt;"Converted",$M318&lt;&gt;"Rejected"),IF($V318&lt;=ReportDate,"DUE",""),""),"")</f>
        <v/>
      </c>
      <c r="Z318" s="75" t="str">
        <f>IF(ISNUMBER($Q318),$Q318,IF(ISNUMBER($A318),$A318,""))</f>
        <v/>
      </c>
      <c r="AA318" s="71" t="str">
        <f>IF(ISNUMBER($Z318),YEAR($Z318)&amp;"-"&amp;TEXT(MONTH($Z318),"00"),"")</f>
        <v/>
      </c>
      <c r="AB318" s="71">
        <f>IF($H318&lt;&gt;"",1,0)</f>
        <v>0</v>
      </c>
      <c r="AC318" s="71">
        <f>IF(AND($AB318=1,$G318="Yes"),1,0)</f>
        <v>0</v>
      </c>
      <c r="AD318" s="71">
        <f>IF(AND($AB318=1,$N318="MQL"),1,0)</f>
        <v>0</v>
      </c>
      <c r="AE318" s="71">
        <f>IF(AND($AB318=1,$O318="SQL"),1,0)</f>
        <v>0</v>
      </c>
      <c r="AF318" s="71">
        <f>IF(AND($AB318=1,OR($P318="Open",$P318="Won",$P318="Lost")),1,0)</f>
        <v>0</v>
      </c>
      <c r="AG318" s="71">
        <f>IF(AND($AB318=1,OR($M318="Converted",$P318="Won")),1,0)</f>
        <v>0</v>
      </c>
      <c r="AH318" s="71">
        <f>IF($AB318=0,0,IF(AND(OR(fClient="All",$B318=fClient),OR(fCampaign="All",$C318=fCampaign),OR(fTeam="All",$L318=fTeam),OR(fChannel="All",$F318=fChannel),OR(fMonth="All",$AA318=fMonth)),1,0))</f>
        <v>0</v>
      </c>
      <c r="AI318" s="71">
        <f>IF($AB318=0,0,IF(AND(OR(fClient="All",$B318=fClient),OR(fCampaign="All",$C318=fCampaign),OR(fTeam="All",$L318=fTeam),OR(fChannel="All",$F318=fChannel)),1,0))</f>
        <v>0</v>
      </c>
    </row>
    <row r="319">
      <c r="A319" s="63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3" t="n"/>
      <c r="R319" s="63" t="n"/>
      <c r="S319" s="63" t="n"/>
      <c r="T319" s="65" t="n"/>
      <c r="U319" s="65" t="n"/>
      <c r="V319" s="63" t="n"/>
      <c r="W319" s="65" t="n"/>
      <c r="X319" s="69" t="str">
        <f>IF(AND(ISNUMBER($Q319),ISNUMBER($R319)),$R319-$Q319,"")</f>
        <v/>
      </c>
      <c r="Y319" s="71" t="str">
        <f>IF($AB319=1,IF(AND(ISNUMBER($V319),$M319&lt;&gt;"Converted",$M319&lt;&gt;"Rejected"),IF($V319&lt;=ReportDate,"DUE",""),""),"")</f>
        <v/>
      </c>
      <c r="Z319" s="75" t="str">
        <f>IF(ISNUMBER($Q319),$Q319,IF(ISNUMBER($A319),$A319,""))</f>
        <v/>
      </c>
      <c r="AA319" s="71" t="str">
        <f>IF(ISNUMBER($Z319),YEAR($Z319)&amp;"-"&amp;TEXT(MONTH($Z319),"00"),"")</f>
        <v/>
      </c>
      <c r="AB319" s="71">
        <f>IF($H319&lt;&gt;"",1,0)</f>
        <v>0</v>
      </c>
      <c r="AC319" s="71">
        <f>IF(AND($AB319=1,$G319="Yes"),1,0)</f>
        <v>0</v>
      </c>
      <c r="AD319" s="71">
        <f>IF(AND($AB319=1,$N319="MQL"),1,0)</f>
        <v>0</v>
      </c>
      <c r="AE319" s="71">
        <f>IF(AND($AB319=1,$O319="SQL"),1,0)</f>
        <v>0</v>
      </c>
      <c r="AF319" s="71">
        <f>IF(AND($AB319=1,OR($P319="Open",$P319="Won",$P319="Lost")),1,0)</f>
        <v>0</v>
      </c>
      <c r="AG319" s="71">
        <f>IF(AND($AB319=1,OR($M319="Converted",$P319="Won")),1,0)</f>
        <v>0</v>
      </c>
      <c r="AH319" s="71">
        <f>IF($AB319=0,0,IF(AND(OR(fClient="All",$B319=fClient),OR(fCampaign="All",$C319=fCampaign),OR(fTeam="All",$L319=fTeam),OR(fChannel="All",$F319=fChannel),OR(fMonth="All",$AA319=fMonth)),1,0))</f>
        <v>0</v>
      </c>
      <c r="AI319" s="71">
        <f>IF($AB319=0,0,IF(AND(OR(fClient="All",$B319=fClient),OR(fCampaign="All",$C319=fCampaign),OR(fTeam="All",$L319=fTeam),OR(fChannel="All",$F319=fChannel)),1,0))</f>
        <v>0</v>
      </c>
    </row>
    <row r="320">
      <c r="A320" s="63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3" t="n"/>
      <c r="R320" s="63" t="n"/>
      <c r="S320" s="63" t="n"/>
      <c r="T320" s="65" t="n"/>
      <c r="U320" s="65" t="n"/>
      <c r="V320" s="63" t="n"/>
      <c r="W320" s="65" t="n"/>
      <c r="X320" s="69" t="str">
        <f>IF(AND(ISNUMBER($Q320),ISNUMBER($R320)),$R320-$Q320,"")</f>
        <v/>
      </c>
      <c r="Y320" s="71" t="str">
        <f>IF($AB320=1,IF(AND(ISNUMBER($V320),$M320&lt;&gt;"Converted",$M320&lt;&gt;"Rejected"),IF($V320&lt;=ReportDate,"DUE",""),""),"")</f>
        <v/>
      </c>
      <c r="Z320" s="75" t="str">
        <f>IF(ISNUMBER($Q320),$Q320,IF(ISNUMBER($A320),$A320,""))</f>
        <v/>
      </c>
      <c r="AA320" s="71" t="str">
        <f>IF(ISNUMBER($Z320),YEAR($Z320)&amp;"-"&amp;TEXT(MONTH($Z320),"00"),"")</f>
        <v/>
      </c>
      <c r="AB320" s="71">
        <f>IF($H320&lt;&gt;"",1,0)</f>
        <v>0</v>
      </c>
      <c r="AC320" s="71">
        <f>IF(AND($AB320=1,$G320="Yes"),1,0)</f>
        <v>0</v>
      </c>
      <c r="AD320" s="71">
        <f>IF(AND($AB320=1,$N320="MQL"),1,0)</f>
        <v>0</v>
      </c>
      <c r="AE320" s="71">
        <f>IF(AND($AB320=1,$O320="SQL"),1,0)</f>
        <v>0</v>
      </c>
      <c r="AF320" s="71">
        <f>IF(AND($AB320=1,OR($P320="Open",$P320="Won",$P320="Lost")),1,0)</f>
        <v>0</v>
      </c>
      <c r="AG320" s="71">
        <f>IF(AND($AB320=1,OR($M320="Converted",$P320="Won")),1,0)</f>
        <v>0</v>
      </c>
      <c r="AH320" s="71">
        <f>IF($AB320=0,0,IF(AND(OR(fClient="All",$B320=fClient),OR(fCampaign="All",$C320=fCampaign),OR(fTeam="All",$L320=fTeam),OR(fChannel="All",$F320=fChannel),OR(fMonth="All",$AA320=fMonth)),1,0))</f>
        <v>0</v>
      </c>
      <c r="AI320" s="71">
        <f>IF($AB320=0,0,IF(AND(OR(fClient="All",$B320=fClient),OR(fCampaign="All",$C320=fCampaign),OR(fTeam="All",$L320=fTeam),OR(fChannel="All",$F320=fChannel)),1,0))</f>
        <v>0</v>
      </c>
    </row>
    <row r="321">
      <c r="A321" s="63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3" t="n"/>
      <c r="R321" s="63" t="n"/>
      <c r="S321" s="63" t="n"/>
      <c r="T321" s="65" t="n"/>
      <c r="U321" s="65" t="n"/>
      <c r="V321" s="63" t="n"/>
      <c r="W321" s="65" t="n"/>
      <c r="X321" s="69" t="str">
        <f>IF(AND(ISNUMBER($Q321),ISNUMBER($R321)),$R321-$Q321,"")</f>
        <v/>
      </c>
      <c r="Y321" s="71" t="str">
        <f>IF($AB321=1,IF(AND(ISNUMBER($V321),$M321&lt;&gt;"Converted",$M321&lt;&gt;"Rejected"),IF($V321&lt;=ReportDate,"DUE",""),""),"")</f>
        <v/>
      </c>
      <c r="Z321" s="75" t="str">
        <f>IF(ISNUMBER($Q321),$Q321,IF(ISNUMBER($A321),$A321,""))</f>
        <v/>
      </c>
      <c r="AA321" s="71" t="str">
        <f>IF(ISNUMBER($Z321),YEAR($Z321)&amp;"-"&amp;TEXT(MONTH($Z321),"00"),"")</f>
        <v/>
      </c>
      <c r="AB321" s="71">
        <f>IF($H321&lt;&gt;"",1,0)</f>
        <v>0</v>
      </c>
      <c r="AC321" s="71">
        <f>IF(AND($AB321=1,$G321="Yes"),1,0)</f>
        <v>0</v>
      </c>
      <c r="AD321" s="71">
        <f>IF(AND($AB321=1,$N321="MQL"),1,0)</f>
        <v>0</v>
      </c>
      <c r="AE321" s="71">
        <f>IF(AND($AB321=1,$O321="SQL"),1,0)</f>
        <v>0</v>
      </c>
      <c r="AF321" s="71">
        <f>IF(AND($AB321=1,OR($P321="Open",$P321="Won",$P321="Lost")),1,0)</f>
        <v>0</v>
      </c>
      <c r="AG321" s="71">
        <f>IF(AND($AB321=1,OR($M321="Converted",$P321="Won")),1,0)</f>
        <v>0</v>
      </c>
      <c r="AH321" s="71">
        <f>IF($AB321=0,0,IF(AND(OR(fClient="All",$B321=fClient),OR(fCampaign="All",$C321=fCampaign),OR(fTeam="All",$L321=fTeam),OR(fChannel="All",$F321=fChannel),OR(fMonth="All",$AA321=fMonth)),1,0))</f>
        <v>0</v>
      </c>
      <c r="AI321" s="71">
        <f>IF($AB321=0,0,IF(AND(OR(fClient="All",$B321=fClient),OR(fCampaign="All",$C321=fCampaign),OR(fTeam="All",$L321=fTeam),OR(fChannel="All",$F321=fChannel)),1,0))</f>
        <v>0</v>
      </c>
    </row>
    <row r="322">
      <c r="A322" s="63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3" t="n"/>
      <c r="R322" s="63" t="n"/>
      <c r="S322" s="63" t="n"/>
      <c r="T322" s="65" t="n"/>
      <c r="U322" s="65" t="n"/>
      <c r="V322" s="63" t="n"/>
      <c r="W322" s="65" t="n"/>
      <c r="X322" s="69" t="str">
        <f>IF(AND(ISNUMBER($Q322),ISNUMBER($R322)),$R322-$Q322,"")</f>
        <v/>
      </c>
      <c r="Y322" s="71" t="str">
        <f>IF($AB322=1,IF(AND(ISNUMBER($V322),$M322&lt;&gt;"Converted",$M322&lt;&gt;"Rejected"),IF($V322&lt;=ReportDate,"DUE",""),""),"")</f>
        <v/>
      </c>
      <c r="Z322" s="75" t="str">
        <f>IF(ISNUMBER($Q322),$Q322,IF(ISNUMBER($A322),$A322,""))</f>
        <v/>
      </c>
      <c r="AA322" s="71" t="str">
        <f>IF(ISNUMBER($Z322),YEAR($Z322)&amp;"-"&amp;TEXT(MONTH($Z322),"00"),"")</f>
        <v/>
      </c>
      <c r="AB322" s="71">
        <f>IF($H322&lt;&gt;"",1,0)</f>
        <v>0</v>
      </c>
      <c r="AC322" s="71">
        <f>IF(AND($AB322=1,$G322="Yes"),1,0)</f>
        <v>0</v>
      </c>
      <c r="AD322" s="71">
        <f>IF(AND($AB322=1,$N322="MQL"),1,0)</f>
        <v>0</v>
      </c>
      <c r="AE322" s="71">
        <f>IF(AND($AB322=1,$O322="SQL"),1,0)</f>
        <v>0</v>
      </c>
      <c r="AF322" s="71">
        <f>IF(AND($AB322=1,OR($P322="Open",$P322="Won",$P322="Lost")),1,0)</f>
        <v>0</v>
      </c>
      <c r="AG322" s="71">
        <f>IF(AND($AB322=1,OR($M322="Converted",$P322="Won")),1,0)</f>
        <v>0</v>
      </c>
      <c r="AH322" s="71">
        <f>IF($AB322=0,0,IF(AND(OR(fClient="All",$B322=fClient),OR(fCampaign="All",$C322=fCampaign),OR(fTeam="All",$L322=fTeam),OR(fChannel="All",$F322=fChannel),OR(fMonth="All",$AA322=fMonth)),1,0))</f>
        <v>0</v>
      </c>
      <c r="AI322" s="71">
        <f>IF($AB322=0,0,IF(AND(OR(fClient="All",$B322=fClient),OR(fCampaign="All",$C322=fCampaign),OR(fTeam="All",$L322=fTeam),OR(fChannel="All",$F322=fChannel)),1,0))</f>
        <v>0</v>
      </c>
    </row>
    <row r="323">
      <c r="A323" s="63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3" t="n"/>
      <c r="R323" s="63" t="n"/>
      <c r="S323" s="63" t="n"/>
      <c r="T323" s="65" t="n"/>
      <c r="U323" s="65" t="n"/>
      <c r="V323" s="63" t="n"/>
      <c r="W323" s="65" t="n"/>
      <c r="X323" s="69" t="str">
        <f>IF(AND(ISNUMBER($Q323),ISNUMBER($R323)),$R323-$Q323,"")</f>
        <v/>
      </c>
      <c r="Y323" s="71" t="str">
        <f>IF($AB323=1,IF(AND(ISNUMBER($V323),$M323&lt;&gt;"Converted",$M323&lt;&gt;"Rejected"),IF($V323&lt;=ReportDate,"DUE",""),""),"")</f>
        <v/>
      </c>
      <c r="Z323" s="75" t="str">
        <f>IF(ISNUMBER($Q323),$Q323,IF(ISNUMBER($A323),$A323,""))</f>
        <v/>
      </c>
      <c r="AA323" s="71" t="str">
        <f>IF(ISNUMBER($Z323),YEAR($Z323)&amp;"-"&amp;TEXT(MONTH($Z323),"00"),"")</f>
        <v/>
      </c>
      <c r="AB323" s="71">
        <f>IF($H323&lt;&gt;"",1,0)</f>
        <v>0</v>
      </c>
      <c r="AC323" s="71">
        <f>IF(AND($AB323=1,$G323="Yes"),1,0)</f>
        <v>0</v>
      </c>
      <c r="AD323" s="71">
        <f>IF(AND($AB323=1,$N323="MQL"),1,0)</f>
        <v>0</v>
      </c>
      <c r="AE323" s="71">
        <f>IF(AND($AB323=1,$O323="SQL"),1,0)</f>
        <v>0</v>
      </c>
      <c r="AF323" s="71">
        <f>IF(AND($AB323=1,OR($P323="Open",$P323="Won",$P323="Lost")),1,0)</f>
        <v>0</v>
      </c>
      <c r="AG323" s="71">
        <f>IF(AND($AB323=1,OR($M323="Converted",$P323="Won")),1,0)</f>
        <v>0</v>
      </c>
      <c r="AH323" s="71">
        <f>IF($AB323=0,0,IF(AND(OR(fClient="All",$B323=fClient),OR(fCampaign="All",$C323=fCampaign),OR(fTeam="All",$L323=fTeam),OR(fChannel="All",$F323=fChannel),OR(fMonth="All",$AA323=fMonth)),1,0))</f>
        <v>0</v>
      </c>
      <c r="AI323" s="71">
        <f>IF($AB323=0,0,IF(AND(OR(fClient="All",$B323=fClient),OR(fCampaign="All",$C323=fCampaign),OR(fTeam="All",$L323=fTeam),OR(fChannel="All",$F323=fChannel)),1,0))</f>
        <v>0</v>
      </c>
    </row>
    <row r="324">
      <c r="A324" s="63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3" t="n"/>
      <c r="R324" s="63" t="n"/>
      <c r="S324" s="63" t="n"/>
      <c r="T324" s="65" t="n"/>
      <c r="U324" s="65" t="n"/>
      <c r="V324" s="63" t="n"/>
      <c r="W324" s="65" t="n"/>
      <c r="X324" s="69" t="str">
        <f>IF(AND(ISNUMBER($Q324),ISNUMBER($R324)),$R324-$Q324,"")</f>
        <v/>
      </c>
      <c r="Y324" s="71" t="str">
        <f>IF($AB324=1,IF(AND(ISNUMBER($V324),$M324&lt;&gt;"Converted",$M324&lt;&gt;"Rejected"),IF($V324&lt;=ReportDate,"DUE",""),""),"")</f>
        <v/>
      </c>
      <c r="Z324" s="75" t="str">
        <f>IF(ISNUMBER($Q324),$Q324,IF(ISNUMBER($A324),$A324,""))</f>
        <v/>
      </c>
      <c r="AA324" s="71" t="str">
        <f>IF(ISNUMBER($Z324),YEAR($Z324)&amp;"-"&amp;TEXT(MONTH($Z324),"00"),"")</f>
        <v/>
      </c>
      <c r="AB324" s="71">
        <f>IF($H324&lt;&gt;"",1,0)</f>
        <v>0</v>
      </c>
      <c r="AC324" s="71">
        <f>IF(AND($AB324=1,$G324="Yes"),1,0)</f>
        <v>0</v>
      </c>
      <c r="AD324" s="71">
        <f>IF(AND($AB324=1,$N324="MQL"),1,0)</f>
        <v>0</v>
      </c>
      <c r="AE324" s="71">
        <f>IF(AND($AB324=1,$O324="SQL"),1,0)</f>
        <v>0</v>
      </c>
      <c r="AF324" s="71">
        <f>IF(AND($AB324=1,OR($P324="Open",$P324="Won",$P324="Lost")),1,0)</f>
        <v>0</v>
      </c>
      <c r="AG324" s="71">
        <f>IF(AND($AB324=1,OR($M324="Converted",$P324="Won")),1,0)</f>
        <v>0</v>
      </c>
      <c r="AH324" s="71">
        <f>IF($AB324=0,0,IF(AND(OR(fClient="All",$B324=fClient),OR(fCampaign="All",$C324=fCampaign),OR(fTeam="All",$L324=fTeam),OR(fChannel="All",$F324=fChannel),OR(fMonth="All",$AA324=fMonth)),1,0))</f>
        <v>0</v>
      </c>
      <c r="AI324" s="71">
        <f>IF($AB324=0,0,IF(AND(OR(fClient="All",$B324=fClient),OR(fCampaign="All",$C324=fCampaign),OR(fTeam="All",$L324=fTeam),OR(fChannel="All",$F324=fChannel)),1,0))</f>
        <v>0</v>
      </c>
    </row>
    <row r="325">
      <c r="A325" s="63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3" t="n"/>
      <c r="R325" s="63" t="n"/>
      <c r="S325" s="63" t="n"/>
      <c r="T325" s="65" t="n"/>
      <c r="U325" s="65" t="n"/>
      <c r="V325" s="63" t="n"/>
      <c r="W325" s="65" t="n"/>
      <c r="X325" s="69" t="str">
        <f>IF(AND(ISNUMBER($Q325),ISNUMBER($R325)),$R325-$Q325,"")</f>
        <v/>
      </c>
      <c r="Y325" s="71" t="str">
        <f>IF($AB325=1,IF(AND(ISNUMBER($V325),$M325&lt;&gt;"Converted",$M325&lt;&gt;"Rejected"),IF($V325&lt;=ReportDate,"DUE",""),""),"")</f>
        <v/>
      </c>
      <c r="Z325" s="75" t="str">
        <f>IF(ISNUMBER($Q325),$Q325,IF(ISNUMBER($A325),$A325,""))</f>
        <v/>
      </c>
      <c r="AA325" s="71" t="str">
        <f>IF(ISNUMBER($Z325),YEAR($Z325)&amp;"-"&amp;TEXT(MONTH($Z325),"00"),"")</f>
        <v/>
      </c>
      <c r="AB325" s="71">
        <f>IF($H325&lt;&gt;"",1,0)</f>
        <v>0</v>
      </c>
      <c r="AC325" s="71">
        <f>IF(AND($AB325=1,$G325="Yes"),1,0)</f>
        <v>0</v>
      </c>
      <c r="AD325" s="71">
        <f>IF(AND($AB325=1,$N325="MQL"),1,0)</f>
        <v>0</v>
      </c>
      <c r="AE325" s="71">
        <f>IF(AND($AB325=1,$O325="SQL"),1,0)</f>
        <v>0</v>
      </c>
      <c r="AF325" s="71">
        <f>IF(AND($AB325=1,OR($P325="Open",$P325="Won",$P325="Lost")),1,0)</f>
        <v>0</v>
      </c>
      <c r="AG325" s="71">
        <f>IF(AND($AB325=1,OR($M325="Converted",$P325="Won")),1,0)</f>
        <v>0</v>
      </c>
      <c r="AH325" s="71">
        <f>IF($AB325=0,0,IF(AND(OR(fClient="All",$B325=fClient),OR(fCampaign="All",$C325=fCampaign),OR(fTeam="All",$L325=fTeam),OR(fChannel="All",$F325=fChannel),OR(fMonth="All",$AA325=fMonth)),1,0))</f>
        <v>0</v>
      </c>
      <c r="AI325" s="71">
        <f>IF($AB325=0,0,IF(AND(OR(fClient="All",$B325=fClient),OR(fCampaign="All",$C325=fCampaign),OR(fTeam="All",$L325=fTeam),OR(fChannel="All",$F325=fChannel)),1,0))</f>
        <v>0</v>
      </c>
    </row>
    <row r="326">
      <c r="A326" s="63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3" t="n"/>
      <c r="R326" s="63" t="n"/>
      <c r="S326" s="63" t="n"/>
      <c r="T326" s="65" t="n"/>
      <c r="U326" s="65" t="n"/>
      <c r="V326" s="63" t="n"/>
      <c r="W326" s="65" t="n"/>
      <c r="X326" s="69" t="str">
        <f>IF(AND(ISNUMBER($Q326),ISNUMBER($R326)),$R326-$Q326,"")</f>
        <v/>
      </c>
      <c r="Y326" s="71" t="str">
        <f>IF($AB326=1,IF(AND(ISNUMBER($V326),$M326&lt;&gt;"Converted",$M326&lt;&gt;"Rejected"),IF($V326&lt;=ReportDate,"DUE",""),""),"")</f>
        <v/>
      </c>
      <c r="Z326" s="75" t="str">
        <f>IF(ISNUMBER($Q326),$Q326,IF(ISNUMBER($A326),$A326,""))</f>
        <v/>
      </c>
      <c r="AA326" s="71" t="str">
        <f>IF(ISNUMBER($Z326),YEAR($Z326)&amp;"-"&amp;TEXT(MONTH($Z326),"00"),"")</f>
        <v/>
      </c>
      <c r="AB326" s="71">
        <f>IF($H326&lt;&gt;"",1,0)</f>
        <v>0</v>
      </c>
      <c r="AC326" s="71">
        <f>IF(AND($AB326=1,$G326="Yes"),1,0)</f>
        <v>0</v>
      </c>
      <c r="AD326" s="71">
        <f>IF(AND($AB326=1,$N326="MQL"),1,0)</f>
        <v>0</v>
      </c>
      <c r="AE326" s="71">
        <f>IF(AND($AB326=1,$O326="SQL"),1,0)</f>
        <v>0</v>
      </c>
      <c r="AF326" s="71">
        <f>IF(AND($AB326=1,OR($P326="Open",$P326="Won",$P326="Lost")),1,0)</f>
        <v>0</v>
      </c>
      <c r="AG326" s="71">
        <f>IF(AND($AB326=1,OR($M326="Converted",$P326="Won")),1,0)</f>
        <v>0</v>
      </c>
      <c r="AH326" s="71">
        <f>IF($AB326=0,0,IF(AND(OR(fClient="All",$B326=fClient),OR(fCampaign="All",$C326=fCampaign),OR(fTeam="All",$L326=fTeam),OR(fChannel="All",$F326=fChannel),OR(fMonth="All",$AA326=fMonth)),1,0))</f>
        <v>0</v>
      </c>
      <c r="AI326" s="71">
        <f>IF($AB326=0,0,IF(AND(OR(fClient="All",$B326=fClient),OR(fCampaign="All",$C326=fCampaign),OR(fTeam="All",$L326=fTeam),OR(fChannel="All",$F326=fChannel)),1,0))</f>
        <v>0</v>
      </c>
    </row>
    <row r="327">
      <c r="A327" s="63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3" t="n"/>
      <c r="R327" s="63" t="n"/>
      <c r="S327" s="63" t="n"/>
      <c r="T327" s="65" t="n"/>
      <c r="U327" s="65" t="n"/>
      <c r="V327" s="63" t="n"/>
      <c r="W327" s="65" t="n"/>
      <c r="X327" s="69" t="str">
        <f>IF(AND(ISNUMBER($Q327),ISNUMBER($R327)),$R327-$Q327,"")</f>
        <v/>
      </c>
      <c r="Y327" s="71" t="str">
        <f>IF($AB327=1,IF(AND(ISNUMBER($V327),$M327&lt;&gt;"Converted",$M327&lt;&gt;"Rejected"),IF($V327&lt;=ReportDate,"DUE",""),""),"")</f>
        <v/>
      </c>
      <c r="Z327" s="75" t="str">
        <f>IF(ISNUMBER($Q327),$Q327,IF(ISNUMBER($A327),$A327,""))</f>
        <v/>
      </c>
      <c r="AA327" s="71" t="str">
        <f>IF(ISNUMBER($Z327),YEAR($Z327)&amp;"-"&amp;TEXT(MONTH($Z327),"00"),"")</f>
        <v/>
      </c>
      <c r="AB327" s="71">
        <f>IF($H327&lt;&gt;"",1,0)</f>
        <v>0</v>
      </c>
      <c r="AC327" s="71">
        <f>IF(AND($AB327=1,$G327="Yes"),1,0)</f>
        <v>0</v>
      </c>
      <c r="AD327" s="71">
        <f>IF(AND($AB327=1,$N327="MQL"),1,0)</f>
        <v>0</v>
      </c>
      <c r="AE327" s="71">
        <f>IF(AND($AB327=1,$O327="SQL"),1,0)</f>
        <v>0</v>
      </c>
      <c r="AF327" s="71">
        <f>IF(AND($AB327=1,OR($P327="Open",$P327="Won",$P327="Lost")),1,0)</f>
        <v>0</v>
      </c>
      <c r="AG327" s="71">
        <f>IF(AND($AB327=1,OR($M327="Converted",$P327="Won")),1,0)</f>
        <v>0</v>
      </c>
      <c r="AH327" s="71">
        <f>IF($AB327=0,0,IF(AND(OR(fClient="All",$B327=fClient),OR(fCampaign="All",$C327=fCampaign),OR(fTeam="All",$L327=fTeam),OR(fChannel="All",$F327=fChannel),OR(fMonth="All",$AA327=fMonth)),1,0))</f>
        <v>0</v>
      </c>
      <c r="AI327" s="71">
        <f>IF($AB327=0,0,IF(AND(OR(fClient="All",$B327=fClient),OR(fCampaign="All",$C327=fCampaign),OR(fTeam="All",$L327=fTeam),OR(fChannel="All",$F327=fChannel)),1,0))</f>
        <v>0</v>
      </c>
    </row>
    <row r="328">
      <c r="A328" s="63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3" t="n"/>
      <c r="R328" s="63" t="n"/>
      <c r="S328" s="63" t="n"/>
      <c r="T328" s="65" t="n"/>
      <c r="U328" s="65" t="n"/>
      <c r="V328" s="63" t="n"/>
      <c r="W328" s="65" t="n"/>
      <c r="X328" s="69" t="str">
        <f>IF(AND(ISNUMBER($Q328),ISNUMBER($R328)),$R328-$Q328,"")</f>
        <v/>
      </c>
      <c r="Y328" s="71" t="str">
        <f>IF($AB328=1,IF(AND(ISNUMBER($V328),$M328&lt;&gt;"Converted",$M328&lt;&gt;"Rejected"),IF($V328&lt;=ReportDate,"DUE",""),""),"")</f>
        <v/>
      </c>
      <c r="Z328" s="75" t="str">
        <f>IF(ISNUMBER($Q328),$Q328,IF(ISNUMBER($A328),$A328,""))</f>
        <v/>
      </c>
      <c r="AA328" s="71" t="str">
        <f>IF(ISNUMBER($Z328),YEAR($Z328)&amp;"-"&amp;TEXT(MONTH($Z328),"00"),"")</f>
        <v/>
      </c>
      <c r="AB328" s="71">
        <f>IF($H328&lt;&gt;"",1,0)</f>
        <v>0</v>
      </c>
      <c r="AC328" s="71">
        <f>IF(AND($AB328=1,$G328="Yes"),1,0)</f>
        <v>0</v>
      </c>
      <c r="AD328" s="71">
        <f>IF(AND($AB328=1,$N328="MQL"),1,0)</f>
        <v>0</v>
      </c>
      <c r="AE328" s="71">
        <f>IF(AND($AB328=1,$O328="SQL"),1,0)</f>
        <v>0</v>
      </c>
      <c r="AF328" s="71">
        <f>IF(AND($AB328=1,OR($P328="Open",$P328="Won",$P328="Lost")),1,0)</f>
        <v>0</v>
      </c>
      <c r="AG328" s="71">
        <f>IF(AND($AB328=1,OR($M328="Converted",$P328="Won")),1,0)</f>
        <v>0</v>
      </c>
      <c r="AH328" s="71">
        <f>IF($AB328=0,0,IF(AND(OR(fClient="All",$B328=fClient),OR(fCampaign="All",$C328=fCampaign),OR(fTeam="All",$L328=fTeam),OR(fChannel="All",$F328=fChannel),OR(fMonth="All",$AA328=fMonth)),1,0))</f>
        <v>0</v>
      </c>
      <c r="AI328" s="71">
        <f>IF($AB328=0,0,IF(AND(OR(fClient="All",$B328=fClient),OR(fCampaign="All",$C328=fCampaign),OR(fTeam="All",$L328=fTeam),OR(fChannel="All",$F328=fChannel)),1,0))</f>
        <v>0</v>
      </c>
    </row>
    <row r="329">
      <c r="A329" s="63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3" t="n"/>
      <c r="R329" s="63" t="n"/>
      <c r="S329" s="63" t="n"/>
      <c r="T329" s="65" t="n"/>
      <c r="U329" s="65" t="n"/>
      <c r="V329" s="63" t="n"/>
      <c r="W329" s="65" t="n"/>
      <c r="X329" s="69" t="str">
        <f>IF(AND(ISNUMBER($Q329),ISNUMBER($R329)),$R329-$Q329,"")</f>
        <v/>
      </c>
      <c r="Y329" s="71" t="str">
        <f>IF($AB329=1,IF(AND(ISNUMBER($V329),$M329&lt;&gt;"Converted",$M329&lt;&gt;"Rejected"),IF($V329&lt;=ReportDate,"DUE",""),""),"")</f>
        <v/>
      </c>
      <c r="Z329" s="75" t="str">
        <f>IF(ISNUMBER($Q329),$Q329,IF(ISNUMBER($A329),$A329,""))</f>
        <v/>
      </c>
      <c r="AA329" s="71" t="str">
        <f>IF(ISNUMBER($Z329),YEAR($Z329)&amp;"-"&amp;TEXT(MONTH($Z329),"00"),"")</f>
        <v/>
      </c>
      <c r="AB329" s="71">
        <f>IF($H329&lt;&gt;"",1,0)</f>
        <v>0</v>
      </c>
      <c r="AC329" s="71">
        <f>IF(AND($AB329=1,$G329="Yes"),1,0)</f>
        <v>0</v>
      </c>
      <c r="AD329" s="71">
        <f>IF(AND($AB329=1,$N329="MQL"),1,0)</f>
        <v>0</v>
      </c>
      <c r="AE329" s="71">
        <f>IF(AND($AB329=1,$O329="SQL"),1,0)</f>
        <v>0</v>
      </c>
      <c r="AF329" s="71">
        <f>IF(AND($AB329=1,OR($P329="Open",$P329="Won",$P329="Lost")),1,0)</f>
        <v>0</v>
      </c>
      <c r="AG329" s="71">
        <f>IF(AND($AB329=1,OR($M329="Converted",$P329="Won")),1,0)</f>
        <v>0</v>
      </c>
      <c r="AH329" s="71">
        <f>IF($AB329=0,0,IF(AND(OR(fClient="All",$B329=fClient),OR(fCampaign="All",$C329=fCampaign),OR(fTeam="All",$L329=fTeam),OR(fChannel="All",$F329=fChannel),OR(fMonth="All",$AA329=fMonth)),1,0))</f>
        <v>0</v>
      </c>
      <c r="AI329" s="71">
        <f>IF($AB329=0,0,IF(AND(OR(fClient="All",$B329=fClient),OR(fCampaign="All",$C329=fCampaign),OR(fTeam="All",$L329=fTeam),OR(fChannel="All",$F329=fChannel)),1,0))</f>
        <v>0</v>
      </c>
    </row>
    <row r="330">
      <c r="A330" s="63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3" t="n"/>
      <c r="R330" s="63" t="n"/>
      <c r="S330" s="63" t="n"/>
      <c r="T330" s="65" t="n"/>
      <c r="U330" s="65" t="n"/>
      <c r="V330" s="63" t="n"/>
      <c r="W330" s="65" t="n"/>
      <c r="X330" s="69" t="str">
        <f>IF(AND(ISNUMBER($Q330),ISNUMBER($R330)),$R330-$Q330,"")</f>
        <v/>
      </c>
      <c r="Y330" s="71" t="str">
        <f>IF($AB330=1,IF(AND(ISNUMBER($V330),$M330&lt;&gt;"Converted",$M330&lt;&gt;"Rejected"),IF($V330&lt;=ReportDate,"DUE",""),""),"")</f>
        <v/>
      </c>
      <c r="Z330" s="75" t="str">
        <f>IF(ISNUMBER($Q330),$Q330,IF(ISNUMBER($A330),$A330,""))</f>
        <v/>
      </c>
      <c r="AA330" s="71" t="str">
        <f>IF(ISNUMBER($Z330),YEAR($Z330)&amp;"-"&amp;TEXT(MONTH($Z330),"00"),"")</f>
        <v/>
      </c>
      <c r="AB330" s="71">
        <f>IF($H330&lt;&gt;"",1,0)</f>
        <v>0</v>
      </c>
      <c r="AC330" s="71">
        <f>IF(AND($AB330=1,$G330="Yes"),1,0)</f>
        <v>0</v>
      </c>
      <c r="AD330" s="71">
        <f>IF(AND($AB330=1,$N330="MQL"),1,0)</f>
        <v>0</v>
      </c>
      <c r="AE330" s="71">
        <f>IF(AND($AB330=1,$O330="SQL"),1,0)</f>
        <v>0</v>
      </c>
      <c r="AF330" s="71">
        <f>IF(AND($AB330=1,OR($P330="Open",$P330="Won",$P330="Lost")),1,0)</f>
        <v>0</v>
      </c>
      <c r="AG330" s="71">
        <f>IF(AND($AB330=1,OR($M330="Converted",$P330="Won")),1,0)</f>
        <v>0</v>
      </c>
      <c r="AH330" s="71">
        <f>IF($AB330=0,0,IF(AND(OR(fClient="All",$B330=fClient),OR(fCampaign="All",$C330=fCampaign),OR(fTeam="All",$L330=fTeam),OR(fChannel="All",$F330=fChannel),OR(fMonth="All",$AA330=fMonth)),1,0))</f>
        <v>0</v>
      </c>
      <c r="AI330" s="71">
        <f>IF($AB330=0,0,IF(AND(OR(fClient="All",$B330=fClient),OR(fCampaign="All",$C330=fCampaign),OR(fTeam="All",$L330=fTeam),OR(fChannel="All",$F330=fChannel)),1,0))</f>
        <v>0</v>
      </c>
    </row>
    <row r="331">
      <c r="A331" s="63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3" t="n"/>
      <c r="R331" s="63" t="n"/>
      <c r="S331" s="63" t="n"/>
      <c r="T331" s="65" t="n"/>
      <c r="U331" s="65" t="n"/>
      <c r="V331" s="63" t="n"/>
      <c r="W331" s="65" t="n"/>
      <c r="X331" s="69" t="str">
        <f>IF(AND(ISNUMBER($Q331),ISNUMBER($R331)),$R331-$Q331,"")</f>
        <v/>
      </c>
      <c r="Y331" s="71" t="str">
        <f>IF($AB331=1,IF(AND(ISNUMBER($V331),$M331&lt;&gt;"Converted",$M331&lt;&gt;"Rejected"),IF($V331&lt;=ReportDate,"DUE",""),""),"")</f>
        <v/>
      </c>
      <c r="Z331" s="75" t="str">
        <f>IF(ISNUMBER($Q331),$Q331,IF(ISNUMBER($A331),$A331,""))</f>
        <v/>
      </c>
      <c r="AA331" s="71" t="str">
        <f>IF(ISNUMBER($Z331),YEAR($Z331)&amp;"-"&amp;TEXT(MONTH($Z331),"00"),"")</f>
        <v/>
      </c>
      <c r="AB331" s="71">
        <f>IF($H331&lt;&gt;"",1,0)</f>
        <v>0</v>
      </c>
      <c r="AC331" s="71">
        <f>IF(AND($AB331=1,$G331="Yes"),1,0)</f>
        <v>0</v>
      </c>
      <c r="AD331" s="71">
        <f>IF(AND($AB331=1,$N331="MQL"),1,0)</f>
        <v>0</v>
      </c>
      <c r="AE331" s="71">
        <f>IF(AND($AB331=1,$O331="SQL"),1,0)</f>
        <v>0</v>
      </c>
      <c r="AF331" s="71">
        <f>IF(AND($AB331=1,OR($P331="Open",$P331="Won",$P331="Lost")),1,0)</f>
        <v>0</v>
      </c>
      <c r="AG331" s="71">
        <f>IF(AND($AB331=1,OR($M331="Converted",$P331="Won")),1,0)</f>
        <v>0</v>
      </c>
      <c r="AH331" s="71">
        <f>IF($AB331=0,0,IF(AND(OR(fClient="All",$B331=fClient),OR(fCampaign="All",$C331=fCampaign),OR(fTeam="All",$L331=fTeam),OR(fChannel="All",$F331=fChannel),OR(fMonth="All",$AA331=fMonth)),1,0))</f>
        <v>0</v>
      </c>
      <c r="AI331" s="71">
        <f>IF($AB331=0,0,IF(AND(OR(fClient="All",$B331=fClient),OR(fCampaign="All",$C331=fCampaign),OR(fTeam="All",$L331=fTeam),OR(fChannel="All",$F331=fChannel)),1,0))</f>
        <v>0</v>
      </c>
    </row>
    <row r="332">
      <c r="A332" s="63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3" t="n"/>
      <c r="R332" s="63" t="n"/>
      <c r="S332" s="63" t="n"/>
      <c r="T332" s="65" t="n"/>
      <c r="U332" s="65" t="n"/>
      <c r="V332" s="63" t="n"/>
      <c r="W332" s="65" t="n"/>
      <c r="X332" s="69" t="str">
        <f>IF(AND(ISNUMBER($Q332),ISNUMBER($R332)),$R332-$Q332,"")</f>
        <v/>
      </c>
      <c r="Y332" s="71" t="str">
        <f>IF($AB332=1,IF(AND(ISNUMBER($V332),$M332&lt;&gt;"Converted",$M332&lt;&gt;"Rejected"),IF($V332&lt;=ReportDate,"DUE",""),""),"")</f>
        <v/>
      </c>
      <c r="Z332" s="75" t="str">
        <f>IF(ISNUMBER($Q332),$Q332,IF(ISNUMBER($A332),$A332,""))</f>
        <v/>
      </c>
      <c r="AA332" s="71" t="str">
        <f>IF(ISNUMBER($Z332),YEAR($Z332)&amp;"-"&amp;TEXT(MONTH($Z332),"00"),"")</f>
        <v/>
      </c>
      <c r="AB332" s="71">
        <f>IF($H332&lt;&gt;"",1,0)</f>
        <v>0</v>
      </c>
      <c r="AC332" s="71">
        <f>IF(AND($AB332=1,$G332="Yes"),1,0)</f>
        <v>0</v>
      </c>
      <c r="AD332" s="71">
        <f>IF(AND($AB332=1,$N332="MQL"),1,0)</f>
        <v>0</v>
      </c>
      <c r="AE332" s="71">
        <f>IF(AND($AB332=1,$O332="SQL"),1,0)</f>
        <v>0</v>
      </c>
      <c r="AF332" s="71">
        <f>IF(AND($AB332=1,OR($P332="Open",$P332="Won",$P332="Lost")),1,0)</f>
        <v>0</v>
      </c>
      <c r="AG332" s="71">
        <f>IF(AND($AB332=1,OR($M332="Converted",$P332="Won")),1,0)</f>
        <v>0</v>
      </c>
      <c r="AH332" s="71">
        <f>IF($AB332=0,0,IF(AND(OR(fClient="All",$B332=fClient),OR(fCampaign="All",$C332=fCampaign),OR(fTeam="All",$L332=fTeam),OR(fChannel="All",$F332=fChannel),OR(fMonth="All",$AA332=fMonth)),1,0))</f>
        <v>0</v>
      </c>
      <c r="AI332" s="71">
        <f>IF($AB332=0,0,IF(AND(OR(fClient="All",$B332=fClient),OR(fCampaign="All",$C332=fCampaign),OR(fTeam="All",$L332=fTeam),OR(fChannel="All",$F332=fChannel)),1,0))</f>
        <v>0</v>
      </c>
    </row>
    <row r="333">
      <c r="A333" s="63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3" t="n"/>
      <c r="R333" s="63" t="n"/>
      <c r="S333" s="63" t="n"/>
      <c r="T333" s="65" t="n"/>
      <c r="U333" s="65" t="n"/>
      <c r="V333" s="63" t="n"/>
      <c r="W333" s="65" t="n"/>
      <c r="X333" s="69" t="str">
        <f>IF(AND(ISNUMBER($Q333),ISNUMBER($R333)),$R333-$Q333,"")</f>
        <v/>
      </c>
      <c r="Y333" s="71" t="str">
        <f>IF($AB333=1,IF(AND(ISNUMBER($V333),$M333&lt;&gt;"Converted",$M333&lt;&gt;"Rejected"),IF($V333&lt;=ReportDate,"DUE",""),""),"")</f>
        <v/>
      </c>
      <c r="Z333" s="75" t="str">
        <f>IF(ISNUMBER($Q333),$Q333,IF(ISNUMBER($A333),$A333,""))</f>
        <v/>
      </c>
      <c r="AA333" s="71" t="str">
        <f>IF(ISNUMBER($Z333),YEAR($Z333)&amp;"-"&amp;TEXT(MONTH($Z333),"00"),"")</f>
        <v/>
      </c>
      <c r="AB333" s="71">
        <f>IF($H333&lt;&gt;"",1,0)</f>
        <v>0</v>
      </c>
      <c r="AC333" s="71">
        <f>IF(AND($AB333=1,$G333="Yes"),1,0)</f>
        <v>0</v>
      </c>
      <c r="AD333" s="71">
        <f>IF(AND($AB333=1,$N333="MQL"),1,0)</f>
        <v>0</v>
      </c>
      <c r="AE333" s="71">
        <f>IF(AND($AB333=1,$O333="SQL"),1,0)</f>
        <v>0</v>
      </c>
      <c r="AF333" s="71">
        <f>IF(AND($AB333=1,OR($P333="Open",$P333="Won",$P333="Lost")),1,0)</f>
        <v>0</v>
      </c>
      <c r="AG333" s="71">
        <f>IF(AND($AB333=1,OR($M333="Converted",$P333="Won")),1,0)</f>
        <v>0</v>
      </c>
      <c r="AH333" s="71">
        <f>IF($AB333=0,0,IF(AND(OR(fClient="All",$B333=fClient),OR(fCampaign="All",$C333=fCampaign),OR(fTeam="All",$L333=fTeam),OR(fChannel="All",$F333=fChannel),OR(fMonth="All",$AA333=fMonth)),1,0))</f>
        <v>0</v>
      </c>
      <c r="AI333" s="71">
        <f>IF($AB333=0,0,IF(AND(OR(fClient="All",$B333=fClient),OR(fCampaign="All",$C333=fCampaign),OR(fTeam="All",$L333=fTeam),OR(fChannel="All",$F333=fChannel)),1,0))</f>
        <v>0</v>
      </c>
    </row>
    <row r="334">
      <c r="A334" s="63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3" t="n"/>
      <c r="R334" s="63" t="n"/>
      <c r="S334" s="63" t="n"/>
      <c r="T334" s="65" t="n"/>
      <c r="U334" s="65" t="n"/>
      <c r="V334" s="63" t="n"/>
      <c r="W334" s="65" t="n"/>
      <c r="X334" s="69" t="str">
        <f>IF(AND(ISNUMBER($Q334),ISNUMBER($R334)),$R334-$Q334,"")</f>
        <v/>
      </c>
      <c r="Y334" s="71" t="str">
        <f>IF($AB334=1,IF(AND(ISNUMBER($V334),$M334&lt;&gt;"Converted",$M334&lt;&gt;"Rejected"),IF($V334&lt;=ReportDate,"DUE",""),""),"")</f>
        <v/>
      </c>
      <c r="Z334" s="75" t="str">
        <f>IF(ISNUMBER($Q334),$Q334,IF(ISNUMBER($A334),$A334,""))</f>
        <v/>
      </c>
      <c r="AA334" s="71" t="str">
        <f>IF(ISNUMBER($Z334),YEAR($Z334)&amp;"-"&amp;TEXT(MONTH($Z334),"00"),"")</f>
        <v/>
      </c>
      <c r="AB334" s="71">
        <f>IF($H334&lt;&gt;"",1,0)</f>
        <v>0</v>
      </c>
      <c r="AC334" s="71">
        <f>IF(AND($AB334=1,$G334="Yes"),1,0)</f>
        <v>0</v>
      </c>
      <c r="AD334" s="71">
        <f>IF(AND($AB334=1,$N334="MQL"),1,0)</f>
        <v>0</v>
      </c>
      <c r="AE334" s="71">
        <f>IF(AND($AB334=1,$O334="SQL"),1,0)</f>
        <v>0</v>
      </c>
      <c r="AF334" s="71">
        <f>IF(AND($AB334=1,OR($P334="Open",$P334="Won",$P334="Lost")),1,0)</f>
        <v>0</v>
      </c>
      <c r="AG334" s="71">
        <f>IF(AND($AB334=1,OR($M334="Converted",$P334="Won")),1,0)</f>
        <v>0</v>
      </c>
      <c r="AH334" s="71">
        <f>IF($AB334=0,0,IF(AND(OR(fClient="All",$B334=fClient),OR(fCampaign="All",$C334=fCampaign),OR(fTeam="All",$L334=fTeam),OR(fChannel="All",$F334=fChannel),OR(fMonth="All",$AA334=fMonth)),1,0))</f>
        <v>0</v>
      </c>
      <c r="AI334" s="71">
        <f>IF($AB334=0,0,IF(AND(OR(fClient="All",$B334=fClient),OR(fCampaign="All",$C334=fCampaign),OR(fTeam="All",$L334=fTeam),OR(fChannel="All",$F334=fChannel)),1,0))</f>
        <v>0</v>
      </c>
    </row>
    <row r="335">
      <c r="A335" s="63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3" t="n"/>
      <c r="R335" s="63" t="n"/>
      <c r="S335" s="63" t="n"/>
      <c r="T335" s="65" t="n"/>
      <c r="U335" s="65" t="n"/>
      <c r="V335" s="63" t="n"/>
      <c r="W335" s="65" t="n"/>
      <c r="X335" s="69" t="str">
        <f>IF(AND(ISNUMBER($Q335),ISNUMBER($R335)),$R335-$Q335,"")</f>
        <v/>
      </c>
      <c r="Y335" s="71" t="str">
        <f>IF($AB335=1,IF(AND(ISNUMBER($V335),$M335&lt;&gt;"Converted",$M335&lt;&gt;"Rejected"),IF($V335&lt;=ReportDate,"DUE",""),""),"")</f>
        <v/>
      </c>
      <c r="Z335" s="75" t="str">
        <f>IF(ISNUMBER($Q335),$Q335,IF(ISNUMBER($A335),$A335,""))</f>
        <v/>
      </c>
      <c r="AA335" s="71" t="str">
        <f>IF(ISNUMBER($Z335),YEAR($Z335)&amp;"-"&amp;TEXT(MONTH($Z335),"00"),"")</f>
        <v/>
      </c>
      <c r="AB335" s="71">
        <f>IF($H335&lt;&gt;"",1,0)</f>
        <v>0</v>
      </c>
      <c r="AC335" s="71">
        <f>IF(AND($AB335=1,$G335="Yes"),1,0)</f>
        <v>0</v>
      </c>
      <c r="AD335" s="71">
        <f>IF(AND($AB335=1,$N335="MQL"),1,0)</f>
        <v>0</v>
      </c>
      <c r="AE335" s="71">
        <f>IF(AND($AB335=1,$O335="SQL"),1,0)</f>
        <v>0</v>
      </c>
      <c r="AF335" s="71">
        <f>IF(AND($AB335=1,OR($P335="Open",$P335="Won",$P335="Lost")),1,0)</f>
        <v>0</v>
      </c>
      <c r="AG335" s="71">
        <f>IF(AND($AB335=1,OR($M335="Converted",$P335="Won")),1,0)</f>
        <v>0</v>
      </c>
      <c r="AH335" s="71">
        <f>IF($AB335=0,0,IF(AND(OR(fClient="All",$B335=fClient),OR(fCampaign="All",$C335=fCampaign),OR(fTeam="All",$L335=fTeam),OR(fChannel="All",$F335=fChannel),OR(fMonth="All",$AA335=fMonth)),1,0))</f>
        <v>0</v>
      </c>
      <c r="AI335" s="71">
        <f>IF($AB335=0,0,IF(AND(OR(fClient="All",$B335=fClient),OR(fCampaign="All",$C335=fCampaign),OR(fTeam="All",$L335=fTeam),OR(fChannel="All",$F335=fChannel)),1,0))</f>
        <v>0</v>
      </c>
    </row>
    <row r="336">
      <c r="A336" s="63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3" t="n"/>
      <c r="R336" s="63" t="n"/>
      <c r="S336" s="63" t="n"/>
      <c r="T336" s="65" t="n"/>
      <c r="U336" s="65" t="n"/>
      <c r="V336" s="63" t="n"/>
      <c r="W336" s="65" t="n"/>
      <c r="X336" s="69" t="str">
        <f>IF(AND(ISNUMBER($Q336),ISNUMBER($R336)),$R336-$Q336,"")</f>
        <v/>
      </c>
      <c r="Y336" s="71" t="str">
        <f>IF($AB336=1,IF(AND(ISNUMBER($V336),$M336&lt;&gt;"Converted",$M336&lt;&gt;"Rejected"),IF($V336&lt;=ReportDate,"DUE",""),""),"")</f>
        <v/>
      </c>
      <c r="Z336" s="75" t="str">
        <f>IF(ISNUMBER($Q336),$Q336,IF(ISNUMBER($A336),$A336,""))</f>
        <v/>
      </c>
      <c r="AA336" s="71" t="str">
        <f>IF(ISNUMBER($Z336),YEAR($Z336)&amp;"-"&amp;TEXT(MONTH($Z336),"00"),"")</f>
        <v/>
      </c>
      <c r="AB336" s="71">
        <f>IF($H336&lt;&gt;"",1,0)</f>
        <v>0</v>
      </c>
      <c r="AC336" s="71">
        <f>IF(AND($AB336=1,$G336="Yes"),1,0)</f>
        <v>0</v>
      </c>
      <c r="AD336" s="71">
        <f>IF(AND($AB336=1,$N336="MQL"),1,0)</f>
        <v>0</v>
      </c>
      <c r="AE336" s="71">
        <f>IF(AND($AB336=1,$O336="SQL"),1,0)</f>
        <v>0</v>
      </c>
      <c r="AF336" s="71">
        <f>IF(AND($AB336=1,OR($P336="Open",$P336="Won",$P336="Lost")),1,0)</f>
        <v>0</v>
      </c>
      <c r="AG336" s="71">
        <f>IF(AND($AB336=1,OR($M336="Converted",$P336="Won")),1,0)</f>
        <v>0</v>
      </c>
      <c r="AH336" s="71">
        <f>IF($AB336=0,0,IF(AND(OR(fClient="All",$B336=fClient),OR(fCampaign="All",$C336=fCampaign),OR(fTeam="All",$L336=fTeam),OR(fChannel="All",$F336=fChannel),OR(fMonth="All",$AA336=fMonth)),1,0))</f>
        <v>0</v>
      </c>
      <c r="AI336" s="71">
        <f>IF($AB336=0,0,IF(AND(OR(fClient="All",$B336=fClient),OR(fCampaign="All",$C336=fCampaign),OR(fTeam="All",$L336=fTeam),OR(fChannel="All",$F336=fChannel)),1,0))</f>
        <v>0</v>
      </c>
    </row>
    <row r="337">
      <c r="A337" s="63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3" t="n"/>
      <c r="R337" s="63" t="n"/>
      <c r="S337" s="63" t="n"/>
      <c r="T337" s="65" t="n"/>
      <c r="U337" s="65" t="n"/>
      <c r="V337" s="63" t="n"/>
      <c r="W337" s="65" t="n"/>
      <c r="X337" s="69" t="str">
        <f>IF(AND(ISNUMBER($Q337),ISNUMBER($R337)),$R337-$Q337,"")</f>
        <v/>
      </c>
      <c r="Y337" s="71" t="str">
        <f>IF($AB337=1,IF(AND(ISNUMBER($V337),$M337&lt;&gt;"Converted",$M337&lt;&gt;"Rejected"),IF($V337&lt;=ReportDate,"DUE",""),""),"")</f>
        <v/>
      </c>
      <c r="Z337" s="75" t="str">
        <f>IF(ISNUMBER($Q337),$Q337,IF(ISNUMBER($A337),$A337,""))</f>
        <v/>
      </c>
      <c r="AA337" s="71" t="str">
        <f>IF(ISNUMBER($Z337),YEAR($Z337)&amp;"-"&amp;TEXT(MONTH($Z337),"00"),"")</f>
        <v/>
      </c>
      <c r="AB337" s="71">
        <f>IF($H337&lt;&gt;"",1,0)</f>
        <v>0</v>
      </c>
      <c r="AC337" s="71">
        <f>IF(AND($AB337=1,$G337="Yes"),1,0)</f>
        <v>0</v>
      </c>
      <c r="AD337" s="71">
        <f>IF(AND($AB337=1,$N337="MQL"),1,0)</f>
        <v>0</v>
      </c>
      <c r="AE337" s="71">
        <f>IF(AND($AB337=1,$O337="SQL"),1,0)</f>
        <v>0</v>
      </c>
      <c r="AF337" s="71">
        <f>IF(AND($AB337=1,OR($P337="Open",$P337="Won",$P337="Lost")),1,0)</f>
        <v>0</v>
      </c>
      <c r="AG337" s="71">
        <f>IF(AND($AB337=1,OR($M337="Converted",$P337="Won")),1,0)</f>
        <v>0</v>
      </c>
      <c r="AH337" s="71">
        <f>IF($AB337=0,0,IF(AND(OR(fClient="All",$B337=fClient),OR(fCampaign="All",$C337=fCampaign),OR(fTeam="All",$L337=fTeam),OR(fChannel="All",$F337=fChannel),OR(fMonth="All",$AA337=fMonth)),1,0))</f>
        <v>0</v>
      </c>
      <c r="AI337" s="71">
        <f>IF($AB337=0,0,IF(AND(OR(fClient="All",$B337=fClient),OR(fCampaign="All",$C337=fCampaign),OR(fTeam="All",$L337=fTeam),OR(fChannel="All",$F337=fChannel)),1,0))</f>
        <v>0</v>
      </c>
    </row>
    <row r="338">
      <c r="A338" s="63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3" t="n"/>
      <c r="R338" s="63" t="n"/>
      <c r="S338" s="63" t="n"/>
      <c r="T338" s="65" t="n"/>
      <c r="U338" s="65" t="n"/>
      <c r="V338" s="63" t="n"/>
      <c r="W338" s="65" t="n"/>
      <c r="X338" s="69" t="str">
        <f>IF(AND(ISNUMBER($Q338),ISNUMBER($R338)),$R338-$Q338,"")</f>
        <v/>
      </c>
      <c r="Y338" s="71" t="str">
        <f>IF($AB338=1,IF(AND(ISNUMBER($V338),$M338&lt;&gt;"Converted",$M338&lt;&gt;"Rejected"),IF($V338&lt;=ReportDate,"DUE",""),""),"")</f>
        <v/>
      </c>
      <c r="Z338" s="75" t="str">
        <f>IF(ISNUMBER($Q338),$Q338,IF(ISNUMBER($A338),$A338,""))</f>
        <v/>
      </c>
      <c r="AA338" s="71" t="str">
        <f>IF(ISNUMBER($Z338),YEAR($Z338)&amp;"-"&amp;TEXT(MONTH($Z338),"00"),"")</f>
        <v/>
      </c>
      <c r="AB338" s="71">
        <f>IF($H338&lt;&gt;"",1,0)</f>
        <v>0</v>
      </c>
      <c r="AC338" s="71">
        <f>IF(AND($AB338=1,$G338="Yes"),1,0)</f>
        <v>0</v>
      </c>
      <c r="AD338" s="71">
        <f>IF(AND($AB338=1,$N338="MQL"),1,0)</f>
        <v>0</v>
      </c>
      <c r="AE338" s="71">
        <f>IF(AND($AB338=1,$O338="SQL"),1,0)</f>
        <v>0</v>
      </c>
      <c r="AF338" s="71">
        <f>IF(AND($AB338=1,OR($P338="Open",$P338="Won",$P338="Lost")),1,0)</f>
        <v>0</v>
      </c>
      <c r="AG338" s="71">
        <f>IF(AND($AB338=1,OR($M338="Converted",$P338="Won")),1,0)</f>
        <v>0</v>
      </c>
      <c r="AH338" s="71">
        <f>IF($AB338=0,0,IF(AND(OR(fClient="All",$B338=fClient),OR(fCampaign="All",$C338=fCampaign),OR(fTeam="All",$L338=fTeam),OR(fChannel="All",$F338=fChannel),OR(fMonth="All",$AA338=fMonth)),1,0))</f>
        <v>0</v>
      </c>
      <c r="AI338" s="71">
        <f>IF($AB338=0,0,IF(AND(OR(fClient="All",$B338=fClient),OR(fCampaign="All",$C338=fCampaign),OR(fTeam="All",$L338=fTeam),OR(fChannel="All",$F338=fChannel)),1,0))</f>
        <v>0</v>
      </c>
    </row>
    <row r="339">
      <c r="A339" s="63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3" t="n"/>
      <c r="R339" s="63" t="n"/>
      <c r="S339" s="63" t="n"/>
      <c r="T339" s="65" t="n"/>
      <c r="U339" s="65" t="n"/>
      <c r="V339" s="63" t="n"/>
      <c r="W339" s="65" t="n"/>
      <c r="X339" s="69" t="str">
        <f>IF(AND(ISNUMBER($Q339),ISNUMBER($R339)),$R339-$Q339,"")</f>
        <v/>
      </c>
      <c r="Y339" s="71" t="str">
        <f>IF($AB339=1,IF(AND(ISNUMBER($V339),$M339&lt;&gt;"Converted",$M339&lt;&gt;"Rejected"),IF($V339&lt;=ReportDate,"DUE",""),""),"")</f>
        <v/>
      </c>
      <c r="Z339" s="75" t="str">
        <f>IF(ISNUMBER($Q339),$Q339,IF(ISNUMBER($A339),$A339,""))</f>
        <v/>
      </c>
      <c r="AA339" s="71" t="str">
        <f>IF(ISNUMBER($Z339),YEAR($Z339)&amp;"-"&amp;TEXT(MONTH($Z339),"00"),"")</f>
        <v/>
      </c>
      <c r="AB339" s="71">
        <f>IF($H339&lt;&gt;"",1,0)</f>
        <v>0</v>
      </c>
      <c r="AC339" s="71">
        <f>IF(AND($AB339=1,$G339="Yes"),1,0)</f>
        <v>0</v>
      </c>
      <c r="AD339" s="71">
        <f>IF(AND($AB339=1,$N339="MQL"),1,0)</f>
        <v>0</v>
      </c>
      <c r="AE339" s="71">
        <f>IF(AND($AB339=1,$O339="SQL"),1,0)</f>
        <v>0</v>
      </c>
      <c r="AF339" s="71">
        <f>IF(AND($AB339=1,OR($P339="Open",$P339="Won",$P339="Lost")),1,0)</f>
        <v>0</v>
      </c>
      <c r="AG339" s="71">
        <f>IF(AND($AB339=1,OR($M339="Converted",$P339="Won")),1,0)</f>
        <v>0</v>
      </c>
      <c r="AH339" s="71">
        <f>IF($AB339=0,0,IF(AND(OR(fClient="All",$B339=fClient),OR(fCampaign="All",$C339=fCampaign),OR(fTeam="All",$L339=fTeam),OR(fChannel="All",$F339=fChannel),OR(fMonth="All",$AA339=fMonth)),1,0))</f>
        <v>0</v>
      </c>
      <c r="AI339" s="71">
        <f>IF($AB339=0,0,IF(AND(OR(fClient="All",$B339=fClient),OR(fCampaign="All",$C339=fCampaign),OR(fTeam="All",$L339=fTeam),OR(fChannel="All",$F339=fChannel)),1,0))</f>
        <v>0</v>
      </c>
    </row>
    <row r="340">
      <c r="A340" s="63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3" t="n"/>
      <c r="R340" s="63" t="n"/>
      <c r="S340" s="63" t="n"/>
      <c r="T340" s="65" t="n"/>
      <c r="U340" s="65" t="n"/>
      <c r="V340" s="63" t="n"/>
      <c r="W340" s="65" t="n"/>
      <c r="X340" s="69" t="str">
        <f>IF(AND(ISNUMBER($Q340),ISNUMBER($R340)),$R340-$Q340,"")</f>
        <v/>
      </c>
      <c r="Y340" s="71" t="str">
        <f>IF($AB340=1,IF(AND(ISNUMBER($V340),$M340&lt;&gt;"Converted",$M340&lt;&gt;"Rejected"),IF($V340&lt;=ReportDate,"DUE",""),""),"")</f>
        <v/>
      </c>
      <c r="Z340" s="75" t="str">
        <f>IF(ISNUMBER($Q340),$Q340,IF(ISNUMBER($A340),$A340,""))</f>
        <v/>
      </c>
      <c r="AA340" s="71" t="str">
        <f>IF(ISNUMBER($Z340),YEAR($Z340)&amp;"-"&amp;TEXT(MONTH($Z340),"00"),"")</f>
        <v/>
      </c>
      <c r="AB340" s="71">
        <f>IF($H340&lt;&gt;"",1,0)</f>
        <v>0</v>
      </c>
      <c r="AC340" s="71">
        <f>IF(AND($AB340=1,$G340="Yes"),1,0)</f>
        <v>0</v>
      </c>
      <c r="AD340" s="71">
        <f>IF(AND($AB340=1,$N340="MQL"),1,0)</f>
        <v>0</v>
      </c>
      <c r="AE340" s="71">
        <f>IF(AND($AB340=1,$O340="SQL"),1,0)</f>
        <v>0</v>
      </c>
      <c r="AF340" s="71">
        <f>IF(AND($AB340=1,OR($P340="Open",$P340="Won",$P340="Lost")),1,0)</f>
        <v>0</v>
      </c>
      <c r="AG340" s="71">
        <f>IF(AND($AB340=1,OR($M340="Converted",$P340="Won")),1,0)</f>
        <v>0</v>
      </c>
      <c r="AH340" s="71">
        <f>IF($AB340=0,0,IF(AND(OR(fClient="All",$B340=fClient),OR(fCampaign="All",$C340=fCampaign),OR(fTeam="All",$L340=fTeam),OR(fChannel="All",$F340=fChannel),OR(fMonth="All",$AA340=fMonth)),1,0))</f>
        <v>0</v>
      </c>
      <c r="AI340" s="71">
        <f>IF($AB340=0,0,IF(AND(OR(fClient="All",$B340=fClient),OR(fCampaign="All",$C340=fCampaign),OR(fTeam="All",$L340=fTeam),OR(fChannel="All",$F340=fChannel)),1,0))</f>
        <v>0</v>
      </c>
    </row>
    <row r="341">
      <c r="A341" s="63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3" t="n"/>
      <c r="R341" s="63" t="n"/>
      <c r="S341" s="63" t="n"/>
      <c r="T341" s="65" t="n"/>
      <c r="U341" s="65" t="n"/>
      <c r="V341" s="63" t="n"/>
      <c r="W341" s="65" t="n"/>
      <c r="X341" s="69" t="str">
        <f>IF(AND(ISNUMBER($Q341),ISNUMBER($R341)),$R341-$Q341,"")</f>
        <v/>
      </c>
      <c r="Y341" s="71" t="str">
        <f>IF($AB341=1,IF(AND(ISNUMBER($V341),$M341&lt;&gt;"Converted",$M341&lt;&gt;"Rejected"),IF($V341&lt;=ReportDate,"DUE",""),""),"")</f>
        <v/>
      </c>
      <c r="Z341" s="75" t="str">
        <f>IF(ISNUMBER($Q341),$Q341,IF(ISNUMBER($A341),$A341,""))</f>
        <v/>
      </c>
      <c r="AA341" s="71" t="str">
        <f>IF(ISNUMBER($Z341),YEAR($Z341)&amp;"-"&amp;TEXT(MONTH($Z341),"00"),"")</f>
        <v/>
      </c>
      <c r="AB341" s="71">
        <f>IF($H341&lt;&gt;"",1,0)</f>
        <v>0</v>
      </c>
      <c r="AC341" s="71">
        <f>IF(AND($AB341=1,$G341="Yes"),1,0)</f>
        <v>0</v>
      </c>
      <c r="AD341" s="71">
        <f>IF(AND($AB341=1,$N341="MQL"),1,0)</f>
        <v>0</v>
      </c>
      <c r="AE341" s="71">
        <f>IF(AND($AB341=1,$O341="SQL"),1,0)</f>
        <v>0</v>
      </c>
      <c r="AF341" s="71">
        <f>IF(AND($AB341=1,OR($P341="Open",$P341="Won",$P341="Lost")),1,0)</f>
        <v>0</v>
      </c>
      <c r="AG341" s="71">
        <f>IF(AND($AB341=1,OR($M341="Converted",$P341="Won")),1,0)</f>
        <v>0</v>
      </c>
      <c r="AH341" s="71">
        <f>IF($AB341=0,0,IF(AND(OR(fClient="All",$B341=fClient),OR(fCampaign="All",$C341=fCampaign),OR(fTeam="All",$L341=fTeam),OR(fChannel="All",$F341=fChannel),OR(fMonth="All",$AA341=fMonth)),1,0))</f>
        <v>0</v>
      </c>
      <c r="AI341" s="71">
        <f>IF($AB341=0,0,IF(AND(OR(fClient="All",$B341=fClient),OR(fCampaign="All",$C341=fCampaign),OR(fTeam="All",$L341=fTeam),OR(fChannel="All",$F341=fChannel)),1,0))</f>
        <v>0</v>
      </c>
    </row>
    <row r="342">
      <c r="A342" s="63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3" t="n"/>
      <c r="R342" s="63" t="n"/>
      <c r="S342" s="63" t="n"/>
      <c r="T342" s="65" t="n"/>
      <c r="U342" s="65" t="n"/>
      <c r="V342" s="63" t="n"/>
      <c r="W342" s="65" t="n"/>
      <c r="X342" s="69" t="str">
        <f>IF(AND(ISNUMBER($Q342),ISNUMBER($R342)),$R342-$Q342,"")</f>
        <v/>
      </c>
      <c r="Y342" s="71" t="str">
        <f>IF($AB342=1,IF(AND(ISNUMBER($V342),$M342&lt;&gt;"Converted",$M342&lt;&gt;"Rejected"),IF($V342&lt;=ReportDate,"DUE",""),""),"")</f>
        <v/>
      </c>
      <c r="Z342" s="75" t="str">
        <f>IF(ISNUMBER($Q342),$Q342,IF(ISNUMBER($A342),$A342,""))</f>
        <v/>
      </c>
      <c r="AA342" s="71" t="str">
        <f>IF(ISNUMBER($Z342),YEAR($Z342)&amp;"-"&amp;TEXT(MONTH($Z342),"00"),"")</f>
        <v/>
      </c>
      <c r="AB342" s="71">
        <f>IF($H342&lt;&gt;"",1,0)</f>
        <v>0</v>
      </c>
      <c r="AC342" s="71">
        <f>IF(AND($AB342=1,$G342="Yes"),1,0)</f>
        <v>0</v>
      </c>
      <c r="AD342" s="71">
        <f>IF(AND($AB342=1,$N342="MQL"),1,0)</f>
        <v>0</v>
      </c>
      <c r="AE342" s="71">
        <f>IF(AND($AB342=1,$O342="SQL"),1,0)</f>
        <v>0</v>
      </c>
      <c r="AF342" s="71">
        <f>IF(AND($AB342=1,OR($P342="Open",$P342="Won",$P342="Lost")),1,0)</f>
        <v>0</v>
      </c>
      <c r="AG342" s="71">
        <f>IF(AND($AB342=1,OR($M342="Converted",$P342="Won")),1,0)</f>
        <v>0</v>
      </c>
      <c r="AH342" s="71">
        <f>IF($AB342=0,0,IF(AND(OR(fClient="All",$B342=fClient),OR(fCampaign="All",$C342=fCampaign),OR(fTeam="All",$L342=fTeam),OR(fChannel="All",$F342=fChannel),OR(fMonth="All",$AA342=fMonth)),1,0))</f>
        <v>0</v>
      </c>
      <c r="AI342" s="71">
        <f>IF($AB342=0,0,IF(AND(OR(fClient="All",$B342=fClient),OR(fCampaign="All",$C342=fCampaign),OR(fTeam="All",$L342=fTeam),OR(fChannel="All",$F342=fChannel)),1,0))</f>
        <v>0</v>
      </c>
    </row>
    <row r="343">
      <c r="A343" s="63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3" t="n"/>
      <c r="R343" s="63" t="n"/>
      <c r="S343" s="63" t="n"/>
      <c r="T343" s="65" t="n"/>
      <c r="U343" s="65" t="n"/>
      <c r="V343" s="63" t="n"/>
      <c r="W343" s="65" t="n"/>
      <c r="X343" s="69" t="str">
        <f>IF(AND(ISNUMBER($Q343),ISNUMBER($R343)),$R343-$Q343,"")</f>
        <v/>
      </c>
      <c r="Y343" s="71" t="str">
        <f>IF($AB343=1,IF(AND(ISNUMBER($V343),$M343&lt;&gt;"Converted",$M343&lt;&gt;"Rejected"),IF($V343&lt;=ReportDate,"DUE",""),""),"")</f>
        <v/>
      </c>
      <c r="Z343" s="75" t="str">
        <f>IF(ISNUMBER($Q343),$Q343,IF(ISNUMBER($A343),$A343,""))</f>
        <v/>
      </c>
      <c r="AA343" s="71" t="str">
        <f>IF(ISNUMBER($Z343),YEAR($Z343)&amp;"-"&amp;TEXT(MONTH($Z343),"00"),"")</f>
        <v/>
      </c>
      <c r="AB343" s="71">
        <f>IF($H343&lt;&gt;"",1,0)</f>
        <v>0</v>
      </c>
      <c r="AC343" s="71">
        <f>IF(AND($AB343=1,$G343="Yes"),1,0)</f>
        <v>0</v>
      </c>
      <c r="AD343" s="71">
        <f>IF(AND($AB343=1,$N343="MQL"),1,0)</f>
        <v>0</v>
      </c>
      <c r="AE343" s="71">
        <f>IF(AND($AB343=1,$O343="SQL"),1,0)</f>
        <v>0</v>
      </c>
      <c r="AF343" s="71">
        <f>IF(AND($AB343=1,OR($P343="Open",$P343="Won",$P343="Lost")),1,0)</f>
        <v>0</v>
      </c>
      <c r="AG343" s="71">
        <f>IF(AND($AB343=1,OR($M343="Converted",$P343="Won")),1,0)</f>
        <v>0</v>
      </c>
      <c r="AH343" s="71">
        <f>IF($AB343=0,0,IF(AND(OR(fClient="All",$B343=fClient),OR(fCampaign="All",$C343=fCampaign),OR(fTeam="All",$L343=fTeam),OR(fChannel="All",$F343=fChannel),OR(fMonth="All",$AA343=fMonth)),1,0))</f>
        <v>0</v>
      </c>
      <c r="AI343" s="71">
        <f>IF($AB343=0,0,IF(AND(OR(fClient="All",$B343=fClient),OR(fCampaign="All",$C343=fCampaign),OR(fTeam="All",$L343=fTeam),OR(fChannel="All",$F343=fChannel)),1,0))</f>
        <v>0</v>
      </c>
    </row>
    <row r="344">
      <c r="A344" s="63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3" t="n"/>
      <c r="R344" s="63" t="n"/>
      <c r="S344" s="63" t="n"/>
      <c r="T344" s="65" t="n"/>
      <c r="U344" s="65" t="n"/>
      <c r="V344" s="63" t="n"/>
      <c r="W344" s="65" t="n"/>
      <c r="X344" s="69" t="str">
        <f>IF(AND(ISNUMBER($Q344),ISNUMBER($R344)),$R344-$Q344,"")</f>
        <v/>
      </c>
      <c r="Y344" s="71" t="str">
        <f>IF($AB344=1,IF(AND(ISNUMBER($V344),$M344&lt;&gt;"Converted",$M344&lt;&gt;"Rejected"),IF($V344&lt;=ReportDate,"DUE",""),""),"")</f>
        <v/>
      </c>
      <c r="Z344" s="75" t="str">
        <f>IF(ISNUMBER($Q344),$Q344,IF(ISNUMBER($A344),$A344,""))</f>
        <v/>
      </c>
      <c r="AA344" s="71" t="str">
        <f>IF(ISNUMBER($Z344),YEAR($Z344)&amp;"-"&amp;TEXT(MONTH($Z344),"00"),"")</f>
        <v/>
      </c>
      <c r="AB344" s="71">
        <f>IF($H344&lt;&gt;"",1,0)</f>
        <v>0</v>
      </c>
      <c r="AC344" s="71">
        <f>IF(AND($AB344=1,$G344="Yes"),1,0)</f>
        <v>0</v>
      </c>
      <c r="AD344" s="71">
        <f>IF(AND($AB344=1,$N344="MQL"),1,0)</f>
        <v>0</v>
      </c>
      <c r="AE344" s="71">
        <f>IF(AND($AB344=1,$O344="SQL"),1,0)</f>
        <v>0</v>
      </c>
      <c r="AF344" s="71">
        <f>IF(AND($AB344=1,OR($P344="Open",$P344="Won",$P344="Lost")),1,0)</f>
        <v>0</v>
      </c>
      <c r="AG344" s="71">
        <f>IF(AND($AB344=1,OR($M344="Converted",$P344="Won")),1,0)</f>
        <v>0</v>
      </c>
      <c r="AH344" s="71">
        <f>IF($AB344=0,0,IF(AND(OR(fClient="All",$B344=fClient),OR(fCampaign="All",$C344=fCampaign),OR(fTeam="All",$L344=fTeam),OR(fChannel="All",$F344=fChannel),OR(fMonth="All",$AA344=fMonth)),1,0))</f>
        <v>0</v>
      </c>
      <c r="AI344" s="71">
        <f>IF($AB344=0,0,IF(AND(OR(fClient="All",$B344=fClient),OR(fCampaign="All",$C344=fCampaign),OR(fTeam="All",$L344=fTeam),OR(fChannel="All",$F344=fChannel)),1,0))</f>
        <v>0</v>
      </c>
    </row>
    <row r="345">
      <c r="A345" s="63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3" t="n"/>
      <c r="R345" s="63" t="n"/>
      <c r="S345" s="63" t="n"/>
      <c r="T345" s="65" t="n"/>
      <c r="U345" s="65" t="n"/>
      <c r="V345" s="63" t="n"/>
      <c r="W345" s="65" t="n"/>
      <c r="X345" s="69" t="str">
        <f>IF(AND(ISNUMBER($Q345),ISNUMBER($R345)),$R345-$Q345,"")</f>
        <v/>
      </c>
      <c r="Y345" s="71" t="str">
        <f>IF($AB345=1,IF(AND(ISNUMBER($V345),$M345&lt;&gt;"Converted",$M345&lt;&gt;"Rejected"),IF($V345&lt;=ReportDate,"DUE",""),""),"")</f>
        <v/>
      </c>
      <c r="Z345" s="75" t="str">
        <f>IF(ISNUMBER($Q345),$Q345,IF(ISNUMBER($A345),$A345,""))</f>
        <v/>
      </c>
      <c r="AA345" s="71" t="str">
        <f>IF(ISNUMBER($Z345),YEAR($Z345)&amp;"-"&amp;TEXT(MONTH($Z345),"00"),"")</f>
        <v/>
      </c>
      <c r="AB345" s="71">
        <f>IF($H345&lt;&gt;"",1,0)</f>
        <v>0</v>
      </c>
      <c r="AC345" s="71">
        <f>IF(AND($AB345=1,$G345="Yes"),1,0)</f>
        <v>0</v>
      </c>
      <c r="AD345" s="71">
        <f>IF(AND($AB345=1,$N345="MQL"),1,0)</f>
        <v>0</v>
      </c>
      <c r="AE345" s="71">
        <f>IF(AND($AB345=1,$O345="SQL"),1,0)</f>
        <v>0</v>
      </c>
      <c r="AF345" s="71">
        <f>IF(AND($AB345=1,OR($P345="Open",$P345="Won",$P345="Lost")),1,0)</f>
        <v>0</v>
      </c>
      <c r="AG345" s="71">
        <f>IF(AND($AB345=1,OR($M345="Converted",$P345="Won")),1,0)</f>
        <v>0</v>
      </c>
      <c r="AH345" s="71">
        <f>IF($AB345=0,0,IF(AND(OR(fClient="All",$B345=fClient),OR(fCampaign="All",$C345=fCampaign),OR(fTeam="All",$L345=fTeam),OR(fChannel="All",$F345=fChannel),OR(fMonth="All",$AA345=fMonth)),1,0))</f>
        <v>0</v>
      </c>
      <c r="AI345" s="71">
        <f>IF($AB345=0,0,IF(AND(OR(fClient="All",$B345=fClient),OR(fCampaign="All",$C345=fCampaign),OR(fTeam="All",$L345=fTeam),OR(fChannel="All",$F345=fChannel)),1,0))</f>
        <v>0</v>
      </c>
    </row>
    <row r="346">
      <c r="A346" s="63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3" t="n"/>
      <c r="R346" s="63" t="n"/>
      <c r="S346" s="63" t="n"/>
      <c r="T346" s="65" t="n"/>
      <c r="U346" s="65" t="n"/>
      <c r="V346" s="63" t="n"/>
      <c r="W346" s="65" t="n"/>
      <c r="X346" s="69" t="str">
        <f>IF(AND(ISNUMBER($Q346),ISNUMBER($R346)),$R346-$Q346,"")</f>
        <v/>
      </c>
      <c r="Y346" s="71" t="str">
        <f>IF($AB346=1,IF(AND(ISNUMBER($V346),$M346&lt;&gt;"Converted",$M346&lt;&gt;"Rejected"),IF($V346&lt;=ReportDate,"DUE",""),""),"")</f>
        <v/>
      </c>
      <c r="Z346" s="75" t="str">
        <f>IF(ISNUMBER($Q346),$Q346,IF(ISNUMBER($A346),$A346,""))</f>
        <v/>
      </c>
      <c r="AA346" s="71" t="str">
        <f>IF(ISNUMBER($Z346),YEAR($Z346)&amp;"-"&amp;TEXT(MONTH($Z346),"00"),"")</f>
        <v/>
      </c>
      <c r="AB346" s="71">
        <f>IF($H346&lt;&gt;"",1,0)</f>
        <v>0</v>
      </c>
      <c r="AC346" s="71">
        <f>IF(AND($AB346=1,$G346="Yes"),1,0)</f>
        <v>0</v>
      </c>
      <c r="AD346" s="71">
        <f>IF(AND($AB346=1,$N346="MQL"),1,0)</f>
        <v>0</v>
      </c>
      <c r="AE346" s="71">
        <f>IF(AND($AB346=1,$O346="SQL"),1,0)</f>
        <v>0</v>
      </c>
      <c r="AF346" s="71">
        <f>IF(AND($AB346=1,OR($P346="Open",$P346="Won",$P346="Lost")),1,0)</f>
        <v>0</v>
      </c>
      <c r="AG346" s="71">
        <f>IF(AND($AB346=1,OR($M346="Converted",$P346="Won")),1,0)</f>
        <v>0</v>
      </c>
      <c r="AH346" s="71">
        <f>IF($AB346=0,0,IF(AND(OR(fClient="All",$B346=fClient),OR(fCampaign="All",$C346=fCampaign),OR(fTeam="All",$L346=fTeam),OR(fChannel="All",$F346=fChannel),OR(fMonth="All",$AA346=fMonth)),1,0))</f>
        <v>0</v>
      </c>
      <c r="AI346" s="71">
        <f>IF($AB346=0,0,IF(AND(OR(fClient="All",$B346=fClient),OR(fCampaign="All",$C346=fCampaign),OR(fTeam="All",$L346=fTeam),OR(fChannel="All",$F346=fChannel)),1,0))</f>
        <v>0</v>
      </c>
    </row>
    <row r="347">
      <c r="A347" s="63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3" t="n"/>
      <c r="R347" s="63" t="n"/>
      <c r="S347" s="63" t="n"/>
      <c r="T347" s="65" t="n"/>
      <c r="U347" s="65" t="n"/>
      <c r="V347" s="63" t="n"/>
      <c r="W347" s="65" t="n"/>
      <c r="X347" s="69" t="str">
        <f>IF(AND(ISNUMBER($Q347),ISNUMBER($R347)),$R347-$Q347,"")</f>
        <v/>
      </c>
      <c r="Y347" s="71" t="str">
        <f>IF($AB347=1,IF(AND(ISNUMBER($V347),$M347&lt;&gt;"Converted",$M347&lt;&gt;"Rejected"),IF($V347&lt;=ReportDate,"DUE",""),""),"")</f>
        <v/>
      </c>
      <c r="Z347" s="75" t="str">
        <f>IF(ISNUMBER($Q347),$Q347,IF(ISNUMBER($A347),$A347,""))</f>
        <v/>
      </c>
      <c r="AA347" s="71" t="str">
        <f>IF(ISNUMBER($Z347),YEAR($Z347)&amp;"-"&amp;TEXT(MONTH($Z347),"00"),"")</f>
        <v/>
      </c>
      <c r="AB347" s="71">
        <f>IF($H347&lt;&gt;"",1,0)</f>
        <v>0</v>
      </c>
      <c r="AC347" s="71">
        <f>IF(AND($AB347=1,$G347="Yes"),1,0)</f>
        <v>0</v>
      </c>
      <c r="AD347" s="71">
        <f>IF(AND($AB347=1,$N347="MQL"),1,0)</f>
        <v>0</v>
      </c>
      <c r="AE347" s="71">
        <f>IF(AND($AB347=1,$O347="SQL"),1,0)</f>
        <v>0</v>
      </c>
      <c r="AF347" s="71">
        <f>IF(AND($AB347=1,OR($P347="Open",$P347="Won",$P347="Lost")),1,0)</f>
        <v>0</v>
      </c>
      <c r="AG347" s="71">
        <f>IF(AND($AB347=1,OR($M347="Converted",$P347="Won")),1,0)</f>
        <v>0</v>
      </c>
      <c r="AH347" s="71">
        <f>IF($AB347=0,0,IF(AND(OR(fClient="All",$B347=fClient),OR(fCampaign="All",$C347=fCampaign),OR(fTeam="All",$L347=fTeam),OR(fChannel="All",$F347=fChannel),OR(fMonth="All",$AA347=fMonth)),1,0))</f>
        <v>0</v>
      </c>
      <c r="AI347" s="71">
        <f>IF($AB347=0,0,IF(AND(OR(fClient="All",$B347=fClient),OR(fCampaign="All",$C347=fCampaign),OR(fTeam="All",$L347=fTeam),OR(fChannel="All",$F347=fChannel)),1,0))</f>
        <v>0</v>
      </c>
    </row>
    <row r="348">
      <c r="A348" s="63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3" t="n"/>
      <c r="R348" s="63" t="n"/>
      <c r="S348" s="63" t="n"/>
      <c r="T348" s="65" t="n"/>
      <c r="U348" s="65" t="n"/>
      <c r="V348" s="63" t="n"/>
      <c r="W348" s="65" t="n"/>
      <c r="X348" s="69" t="str">
        <f>IF(AND(ISNUMBER($Q348),ISNUMBER($R348)),$R348-$Q348,"")</f>
        <v/>
      </c>
      <c r="Y348" s="71" t="str">
        <f>IF($AB348=1,IF(AND(ISNUMBER($V348),$M348&lt;&gt;"Converted",$M348&lt;&gt;"Rejected"),IF($V348&lt;=ReportDate,"DUE",""),""),"")</f>
        <v/>
      </c>
      <c r="Z348" s="75" t="str">
        <f>IF(ISNUMBER($Q348),$Q348,IF(ISNUMBER($A348),$A348,""))</f>
        <v/>
      </c>
      <c r="AA348" s="71" t="str">
        <f>IF(ISNUMBER($Z348),YEAR($Z348)&amp;"-"&amp;TEXT(MONTH($Z348),"00"),"")</f>
        <v/>
      </c>
      <c r="AB348" s="71">
        <f>IF($H348&lt;&gt;"",1,0)</f>
        <v>0</v>
      </c>
      <c r="AC348" s="71">
        <f>IF(AND($AB348=1,$G348="Yes"),1,0)</f>
        <v>0</v>
      </c>
      <c r="AD348" s="71">
        <f>IF(AND($AB348=1,$N348="MQL"),1,0)</f>
        <v>0</v>
      </c>
      <c r="AE348" s="71">
        <f>IF(AND($AB348=1,$O348="SQL"),1,0)</f>
        <v>0</v>
      </c>
      <c r="AF348" s="71">
        <f>IF(AND($AB348=1,OR($P348="Open",$P348="Won",$P348="Lost")),1,0)</f>
        <v>0</v>
      </c>
      <c r="AG348" s="71">
        <f>IF(AND($AB348=1,OR($M348="Converted",$P348="Won")),1,0)</f>
        <v>0</v>
      </c>
      <c r="AH348" s="71">
        <f>IF($AB348=0,0,IF(AND(OR(fClient="All",$B348=fClient),OR(fCampaign="All",$C348=fCampaign),OR(fTeam="All",$L348=fTeam),OR(fChannel="All",$F348=fChannel),OR(fMonth="All",$AA348=fMonth)),1,0))</f>
        <v>0</v>
      </c>
      <c r="AI348" s="71">
        <f>IF($AB348=0,0,IF(AND(OR(fClient="All",$B348=fClient),OR(fCampaign="All",$C348=fCampaign),OR(fTeam="All",$L348=fTeam),OR(fChannel="All",$F348=fChannel)),1,0))</f>
        <v>0</v>
      </c>
    </row>
    <row r="349">
      <c r="A349" s="63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3" t="n"/>
      <c r="R349" s="63" t="n"/>
      <c r="S349" s="63" t="n"/>
      <c r="T349" s="65" t="n"/>
      <c r="U349" s="65" t="n"/>
      <c r="V349" s="63" t="n"/>
      <c r="W349" s="65" t="n"/>
      <c r="X349" s="69" t="str">
        <f>IF(AND(ISNUMBER($Q349),ISNUMBER($R349)),$R349-$Q349,"")</f>
        <v/>
      </c>
      <c r="Y349" s="71" t="str">
        <f>IF($AB349=1,IF(AND(ISNUMBER($V349),$M349&lt;&gt;"Converted",$M349&lt;&gt;"Rejected"),IF($V349&lt;=ReportDate,"DUE",""),""),"")</f>
        <v/>
      </c>
      <c r="Z349" s="75" t="str">
        <f>IF(ISNUMBER($Q349),$Q349,IF(ISNUMBER($A349),$A349,""))</f>
        <v/>
      </c>
      <c r="AA349" s="71" t="str">
        <f>IF(ISNUMBER($Z349),YEAR($Z349)&amp;"-"&amp;TEXT(MONTH($Z349),"00"),"")</f>
        <v/>
      </c>
      <c r="AB349" s="71">
        <f>IF($H349&lt;&gt;"",1,0)</f>
        <v>0</v>
      </c>
      <c r="AC349" s="71">
        <f>IF(AND($AB349=1,$G349="Yes"),1,0)</f>
        <v>0</v>
      </c>
      <c r="AD349" s="71">
        <f>IF(AND($AB349=1,$N349="MQL"),1,0)</f>
        <v>0</v>
      </c>
      <c r="AE349" s="71">
        <f>IF(AND($AB349=1,$O349="SQL"),1,0)</f>
        <v>0</v>
      </c>
      <c r="AF349" s="71">
        <f>IF(AND($AB349=1,OR($P349="Open",$P349="Won",$P349="Lost")),1,0)</f>
        <v>0</v>
      </c>
      <c r="AG349" s="71">
        <f>IF(AND($AB349=1,OR($M349="Converted",$P349="Won")),1,0)</f>
        <v>0</v>
      </c>
      <c r="AH349" s="71">
        <f>IF($AB349=0,0,IF(AND(OR(fClient="All",$B349=fClient),OR(fCampaign="All",$C349=fCampaign),OR(fTeam="All",$L349=fTeam),OR(fChannel="All",$F349=fChannel),OR(fMonth="All",$AA349=fMonth)),1,0))</f>
        <v>0</v>
      </c>
      <c r="AI349" s="71">
        <f>IF($AB349=0,0,IF(AND(OR(fClient="All",$B349=fClient),OR(fCampaign="All",$C349=fCampaign),OR(fTeam="All",$L349=fTeam),OR(fChannel="All",$F349=fChannel)),1,0))</f>
        <v>0</v>
      </c>
    </row>
    <row r="350">
      <c r="A350" s="63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3" t="n"/>
      <c r="R350" s="63" t="n"/>
      <c r="S350" s="63" t="n"/>
      <c r="T350" s="65" t="n"/>
      <c r="U350" s="65" t="n"/>
      <c r="V350" s="63" t="n"/>
      <c r="W350" s="65" t="n"/>
      <c r="X350" s="69" t="str">
        <f>IF(AND(ISNUMBER($Q350),ISNUMBER($R350)),$R350-$Q350,"")</f>
        <v/>
      </c>
      <c r="Y350" s="71" t="str">
        <f>IF($AB350=1,IF(AND(ISNUMBER($V350),$M350&lt;&gt;"Converted",$M350&lt;&gt;"Rejected"),IF($V350&lt;=ReportDate,"DUE",""),""),"")</f>
        <v/>
      </c>
      <c r="Z350" s="75" t="str">
        <f>IF(ISNUMBER($Q350),$Q350,IF(ISNUMBER($A350),$A350,""))</f>
        <v/>
      </c>
      <c r="AA350" s="71" t="str">
        <f>IF(ISNUMBER($Z350),YEAR($Z350)&amp;"-"&amp;TEXT(MONTH($Z350),"00"),"")</f>
        <v/>
      </c>
      <c r="AB350" s="71">
        <f>IF($H350&lt;&gt;"",1,0)</f>
        <v>0</v>
      </c>
      <c r="AC350" s="71">
        <f>IF(AND($AB350=1,$G350="Yes"),1,0)</f>
        <v>0</v>
      </c>
      <c r="AD350" s="71">
        <f>IF(AND($AB350=1,$N350="MQL"),1,0)</f>
        <v>0</v>
      </c>
      <c r="AE350" s="71">
        <f>IF(AND($AB350=1,$O350="SQL"),1,0)</f>
        <v>0</v>
      </c>
      <c r="AF350" s="71">
        <f>IF(AND($AB350=1,OR($P350="Open",$P350="Won",$P350="Lost")),1,0)</f>
        <v>0</v>
      </c>
      <c r="AG350" s="71">
        <f>IF(AND($AB350=1,OR($M350="Converted",$P350="Won")),1,0)</f>
        <v>0</v>
      </c>
      <c r="AH350" s="71">
        <f>IF($AB350=0,0,IF(AND(OR(fClient="All",$B350=fClient),OR(fCampaign="All",$C350=fCampaign),OR(fTeam="All",$L350=fTeam),OR(fChannel="All",$F350=fChannel),OR(fMonth="All",$AA350=fMonth)),1,0))</f>
        <v>0</v>
      </c>
      <c r="AI350" s="71">
        <f>IF($AB350=0,0,IF(AND(OR(fClient="All",$B350=fClient),OR(fCampaign="All",$C350=fCampaign),OR(fTeam="All",$L350=fTeam),OR(fChannel="All",$F350=fChannel)),1,0))</f>
        <v>0</v>
      </c>
    </row>
    <row r="351">
      <c r="A351" s="63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3" t="n"/>
      <c r="R351" s="63" t="n"/>
      <c r="S351" s="63" t="n"/>
      <c r="T351" s="65" t="n"/>
      <c r="U351" s="65" t="n"/>
      <c r="V351" s="63" t="n"/>
      <c r="W351" s="65" t="n"/>
      <c r="X351" s="69" t="str">
        <f>IF(AND(ISNUMBER($Q351),ISNUMBER($R351)),$R351-$Q351,"")</f>
        <v/>
      </c>
      <c r="Y351" s="71" t="str">
        <f>IF($AB351=1,IF(AND(ISNUMBER($V351),$M351&lt;&gt;"Converted",$M351&lt;&gt;"Rejected"),IF($V351&lt;=ReportDate,"DUE",""),""),"")</f>
        <v/>
      </c>
      <c r="Z351" s="75" t="str">
        <f>IF(ISNUMBER($Q351),$Q351,IF(ISNUMBER($A351),$A351,""))</f>
        <v/>
      </c>
      <c r="AA351" s="71" t="str">
        <f>IF(ISNUMBER($Z351),YEAR($Z351)&amp;"-"&amp;TEXT(MONTH($Z351),"00"),"")</f>
        <v/>
      </c>
      <c r="AB351" s="71">
        <f>IF($H351&lt;&gt;"",1,0)</f>
        <v>0</v>
      </c>
      <c r="AC351" s="71">
        <f>IF(AND($AB351=1,$G351="Yes"),1,0)</f>
        <v>0</v>
      </c>
      <c r="AD351" s="71">
        <f>IF(AND($AB351=1,$N351="MQL"),1,0)</f>
        <v>0</v>
      </c>
      <c r="AE351" s="71">
        <f>IF(AND($AB351=1,$O351="SQL"),1,0)</f>
        <v>0</v>
      </c>
      <c r="AF351" s="71">
        <f>IF(AND($AB351=1,OR($P351="Open",$P351="Won",$P351="Lost")),1,0)</f>
        <v>0</v>
      </c>
      <c r="AG351" s="71">
        <f>IF(AND($AB351=1,OR($M351="Converted",$P351="Won")),1,0)</f>
        <v>0</v>
      </c>
      <c r="AH351" s="71">
        <f>IF($AB351=0,0,IF(AND(OR(fClient="All",$B351=fClient),OR(fCampaign="All",$C351=fCampaign),OR(fTeam="All",$L351=fTeam),OR(fChannel="All",$F351=fChannel),OR(fMonth="All",$AA351=fMonth)),1,0))</f>
        <v>0</v>
      </c>
      <c r="AI351" s="71">
        <f>IF($AB351=0,0,IF(AND(OR(fClient="All",$B351=fClient),OR(fCampaign="All",$C351=fCampaign),OR(fTeam="All",$L351=fTeam),OR(fChannel="All",$F351=fChannel)),1,0))</f>
        <v>0</v>
      </c>
    </row>
    <row r="352">
      <c r="A352" s="63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3" t="n"/>
      <c r="R352" s="63" t="n"/>
      <c r="S352" s="63" t="n"/>
      <c r="T352" s="65" t="n"/>
      <c r="U352" s="65" t="n"/>
      <c r="V352" s="63" t="n"/>
      <c r="W352" s="65" t="n"/>
      <c r="X352" s="69" t="str">
        <f>IF(AND(ISNUMBER($Q352),ISNUMBER($R352)),$R352-$Q352,"")</f>
        <v/>
      </c>
      <c r="Y352" s="71" t="str">
        <f>IF($AB352=1,IF(AND(ISNUMBER($V352),$M352&lt;&gt;"Converted",$M352&lt;&gt;"Rejected"),IF($V352&lt;=ReportDate,"DUE",""),""),"")</f>
        <v/>
      </c>
      <c r="Z352" s="75" t="str">
        <f>IF(ISNUMBER($Q352),$Q352,IF(ISNUMBER($A352),$A352,""))</f>
        <v/>
      </c>
      <c r="AA352" s="71" t="str">
        <f>IF(ISNUMBER($Z352),YEAR($Z352)&amp;"-"&amp;TEXT(MONTH($Z352),"00"),"")</f>
        <v/>
      </c>
      <c r="AB352" s="71">
        <f>IF($H352&lt;&gt;"",1,0)</f>
        <v>0</v>
      </c>
      <c r="AC352" s="71">
        <f>IF(AND($AB352=1,$G352="Yes"),1,0)</f>
        <v>0</v>
      </c>
      <c r="AD352" s="71">
        <f>IF(AND($AB352=1,$N352="MQL"),1,0)</f>
        <v>0</v>
      </c>
      <c r="AE352" s="71">
        <f>IF(AND($AB352=1,$O352="SQL"),1,0)</f>
        <v>0</v>
      </c>
      <c r="AF352" s="71">
        <f>IF(AND($AB352=1,OR($P352="Open",$P352="Won",$P352="Lost")),1,0)</f>
        <v>0</v>
      </c>
      <c r="AG352" s="71">
        <f>IF(AND($AB352=1,OR($M352="Converted",$P352="Won")),1,0)</f>
        <v>0</v>
      </c>
      <c r="AH352" s="71">
        <f>IF($AB352=0,0,IF(AND(OR(fClient="All",$B352=fClient),OR(fCampaign="All",$C352=fCampaign),OR(fTeam="All",$L352=fTeam),OR(fChannel="All",$F352=fChannel),OR(fMonth="All",$AA352=fMonth)),1,0))</f>
        <v>0</v>
      </c>
      <c r="AI352" s="71">
        <f>IF($AB352=0,0,IF(AND(OR(fClient="All",$B352=fClient),OR(fCampaign="All",$C352=fCampaign),OR(fTeam="All",$L352=fTeam),OR(fChannel="All",$F352=fChannel)),1,0))</f>
        <v>0</v>
      </c>
    </row>
    <row r="353">
      <c r="A353" s="63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3" t="n"/>
      <c r="R353" s="63" t="n"/>
      <c r="S353" s="63" t="n"/>
      <c r="T353" s="65" t="n"/>
      <c r="U353" s="65" t="n"/>
      <c r="V353" s="63" t="n"/>
      <c r="W353" s="65" t="n"/>
      <c r="X353" s="69" t="str">
        <f>IF(AND(ISNUMBER($Q353),ISNUMBER($R353)),$R353-$Q353,"")</f>
        <v/>
      </c>
      <c r="Y353" s="71" t="str">
        <f>IF($AB353=1,IF(AND(ISNUMBER($V353),$M353&lt;&gt;"Converted",$M353&lt;&gt;"Rejected"),IF($V353&lt;=ReportDate,"DUE",""),""),"")</f>
        <v/>
      </c>
      <c r="Z353" s="75" t="str">
        <f>IF(ISNUMBER($Q353),$Q353,IF(ISNUMBER($A353),$A353,""))</f>
        <v/>
      </c>
      <c r="AA353" s="71" t="str">
        <f>IF(ISNUMBER($Z353),YEAR($Z353)&amp;"-"&amp;TEXT(MONTH($Z353),"00"),"")</f>
        <v/>
      </c>
      <c r="AB353" s="71">
        <f>IF($H353&lt;&gt;"",1,0)</f>
        <v>0</v>
      </c>
      <c r="AC353" s="71">
        <f>IF(AND($AB353=1,$G353="Yes"),1,0)</f>
        <v>0</v>
      </c>
      <c r="AD353" s="71">
        <f>IF(AND($AB353=1,$N353="MQL"),1,0)</f>
        <v>0</v>
      </c>
      <c r="AE353" s="71">
        <f>IF(AND($AB353=1,$O353="SQL"),1,0)</f>
        <v>0</v>
      </c>
      <c r="AF353" s="71">
        <f>IF(AND($AB353=1,OR($P353="Open",$P353="Won",$P353="Lost")),1,0)</f>
        <v>0</v>
      </c>
      <c r="AG353" s="71">
        <f>IF(AND($AB353=1,OR($M353="Converted",$P353="Won")),1,0)</f>
        <v>0</v>
      </c>
      <c r="AH353" s="71">
        <f>IF($AB353=0,0,IF(AND(OR(fClient="All",$B353=fClient),OR(fCampaign="All",$C353=fCampaign),OR(fTeam="All",$L353=fTeam),OR(fChannel="All",$F353=fChannel),OR(fMonth="All",$AA353=fMonth)),1,0))</f>
        <v>0</v>
      </c>
      <c r="AI353" s="71">
        <f>IF($AB353=0,0,IF(AND(OR(fClient="All",$B353=fClient),OR(fCampaign="All",$C353=fCampaign),OR(fTeam="All",$L353=fTeam),OR(fChannel="All",$F353=fChannel)),1,0))</f>
        <v>0</v>
      </c>
    </row>
    <row r="354">
      <c r="A354" s="63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3" t="n"/>
      <c r="R354" s="63" t="n"/>
      <c r="S354" s="63" t="n"/>
      <c r="T354" s="65" t="n"/>
      <c r="U354" s="65" t="n"/>
      <c r="V354" s="63" t="n"/>
      <c r="W354" s="65" t="n"/>
      <c r="X354" s="69" t="str">
        <f>IF(AND(ISNUMBER($Q354),ISNUMBER($R354)),$R354-$Q354,"")</f>
        <v/>
      </c>
      <c r="Y354" s="71" t="str">
        <f>IF($AB354=1,IF(AND(ISNUMBER($V354),$M354&lt;&gt;"Converted",$M354&lt;&gt;"Rejected"),IF($V354&lt;=ReportDate,"DUE",""),""),"")</f>
        <v/>
      </c>
      <c r="Z354" s="75" t="str">
        <f>IF(ISNUMBER($Q354),$Q354,IF(ISNUMBER($A354),$A354,""))</f>
        <v/>
      </c>
      <c r="AA354" s="71" t="str">
        <f>IF(ISNUMBER($Z354),YEAR($Z354)&amp;"-"&amp;TEXT(MONTH($Z354),"00"),"")</f>
        <v/>
      </c>
      <c r="AB354" s="71">
        <f>IF($H354&lt;&gt;"",1,0)</f>
        <v>0</v>
      </c>
      <c r="AC354" s="71">
        <f>IF(AND($AB354=1,$G354="Yes"),1,0)</f>
        <v>0</v>
      </c>
      <c r="AD354" s="71">
        <f>IF(AND($AB354=1,$N354="MQL"),1,0)</f>
        <v>0</v>
      </c>
      <c r="AE354" s="71">
        <f>IF(AND($AB354=1,$O354="SQL"),1,0)</f>
        <v>0</v>
      </c>
      <c r="AF354" s="71">
        <f>IF(AND($AB354=1,OR($P354="Open",$P354="Won",$P354="Lost")),1,0)</f>
        <v>0</v>
      </c>
      <c r="AG354" s="71">
        <f>IF(AND($AB354=1,OR($M354="Converted",$P354="Won")),1,0)</f>
        <v>0</v>
      </c>
      <c r="AH354" s="71">
        <f>IF($AB354=0,0,IF(AND(OR(fClient="All",$B354=fClient),OR(fCampaign="All",$C354=fCampaign),OR(fTeam="All",$L354=fTeam),OR(fChannel="All",$F354=fChannel),OR(fMonth="All",$AA354=fMonth)),1,0))</f>
        <v>0</v>
      </c>
      <c r="AI354" s="71">
        <f>IF($AB354=0,0,IF(AND(OR(fClient="All",$B354=fClient),OR(fCampaign="All",$C354=fCampaign),OR(fTeam="All",$L354=fTeam),OR(fChannel="All",$F354=fChannel)),1,0))</f>
        <v>0</v>
      </c>
    </row>
    <row r="355">
      <c r="A355" s="63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3" t="n"/>
      <c r="R355" s="63" t="n"/>
      <c r="S355" s="63" t="n"/>
      <c r="T355" s="65" t="n"/>
      <c r="U355" s="65" t="n"/>
      <c r="V355" s="63" t="n"/>
      <c r="W355" s="65" t="n"/>
      <c r="X355" s="69" t="str">
        <f>IF(AND(ISNUMBER($Q355),ISNUMBER($R355)),$R355-$Q355,"")</f>
        <v/>
      </c>
      <c r="Y355" s="71" t="str">
        <f>IF($AB355=1,IF(AND(ISNUMBER($V355),$M355&lt;&gt;"Converted",$M355&lt;&gt;"Rejected"),IF($V355&lt;=ReportDate,"DUE",""),""),"")</f>
        <v/>
      </c>
      <c r="Z355" s="75" t="str">
        <f>IF(ISNUMBER($Q355),$Q355,IF(ISNUMBER($A355),$A355,""))</f>
        <v/>
      </c>
      <c r="AA355" s="71" t="str">
        <f>IF(ISNUMBER($Z355),YEAR($Z355)&amp;"-"&amp;TEXT(MONTH($Z355),"00"),"")</f>
        <v/>
      </c>
      <c r="AB355" s="71">
        <f>IF($H355&lt;&gt;"",1,0)</f>
        <v>0</v>
      </c>
      <c r="AC355" s="71">
        <f>IF(AND($AB355=1,$G355="Yes"),1,0)</f>
        <v>0</v>
      </c>
      <c r="AD355" s="71">
        <f>IF(AND($AB355=1,$N355="MQL"),1,0)</f>
        <v>0</v>
      </c>
      <c r="AE355" s="71">
        <f>IF(AND($AB355=1,$O355="SQL"),1,0)</f>
        <v>0</v>
      </c>
      <c r="AF355" s="71">
        <f>IF(AND($AB355=1,OR($P355="Open",$P355="Won",$P355="Lost")),1,0)</f>
        <v>0</v>
      </c>
      <c r="AG355" s="71">
        <f>IF(AND($AB355=1,OR($M355="Converted",$P355="Won")),1,0)</f>
        <v>0</v>
      </c>
      <c r="AH355" s="71">
        <f>IF($AB355=0,0,IF(AND(OR(fClient="All",$B355=fClient),OR(fCampaign="All",$C355=fCampaign),OR(fTeam="All",$L355=fTeam),OR(fChannel="All",$F355=fChannel),OR(fMonth="All",$AA355=fMonth)),1,0))</f>
        <v>0</v>
      </c>
      <c r="AI355" s="71">
        <f>IF($AB355=0,0,IF(AND(OR(fClient="All",$B355=fClient),OR(fCampaign="All",$C355=fCampaign),OR(fTeam="All",$L355=fTeam),OR(fChannel="All",$F355=fChannel)),1,0))</f>
        <v>0</v>
      </c>
    </row>
    <row r="356">
      <c r="A356" s="63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3" t="n"/>
      <c r="R356" s="63" t="n"/>
      <c r="S356" s="63" t="n"/>
      <c r="T356" s="65" t="n"/>
      <c r="U356" s="65" t="n"/>
      <c r="V356" s="63" t="n"/>
      <c r="W356" s="65" t="n"/>
      <c r="X356" s="69" t="str">
        <f>IF(AND(ISNUMBER($Q356),ISNUMBER($R356)),$R356-$Q356,"")</f>
        <v/>
      </c>
      <c r="Y356" s="71" t="str">
        <f>IF($AB356=1,IF(AND(ISNUMBER($V356),$M356&lt;&gt;"Converted",$M356&lt;&gt;"Rejected"),IF($V356&lt;=ReportDate,"DUE",""),""),"")</f>
        <v/>
      </c>
      <c r="Z356" s="75" t="str">
        <f>IF(ISNUMBER($Q356),$Q356,IF(ISNUMBER($A356),$A356,""))</f>
        <v/>
      </c>
      <c r="AA356" s="71" t="str">
        <f>IF(ISNUMBER($Z356),YEAR($Z356)&amp;"-"&amp;TEXT(MONTH($Z356),"00"),"")</f>
        <v/>
      </c>
      <c r="AB356" s="71">
        <f>IF($H356&lt;&gt;"",1,0)</f>
        <v>0</v>
      </c>
      <c r="AC356" s="71">
        <f>IF(AND($AB356=1,$G356="Yes"),1,0)</f>
        <v>0</v>
      </c>
      <c r="AD356" s="71">
        <f>IF(AND($AB356=1,$N356="MQL"),1,0)</f>
        <v>0</v>
      </c>
      <c r="AE356" s="71">
        <f>IF(AND($AB356=1,$O356="SQL"),1,0)</f>
        <v>0</v>
      </c>
      <c r="AF356" s="71">
        <f>IF(AND($AB356=1,OR($P356="Open",$P356="Won",$P356="Lost")),1,0)</f>
        <v>0</v>
      </c>
      <c r="AG356" s="71">
        <f>IF(AND($AB356=1,OR($M356="Converted",$P356="Won")),1,0)</f>
        <v>0</v>
      </c>
      <c r="AH356" s="71">
        <f>IF($AB356=0,0,IF(AND(OR(fClient="All",$B356=fClient),OR(fCampaign="All",$C356=fCampaign),OR(fTeam="All",$L356=fTeam),OR(fChannel="All",$F356=fChannel),OR(fMonth="All",$AA356=fMonth)),1,0))</f>
        <v>0</v>
      </c>
      <c r="AI356" s="71">
        <f>IF($AB356=0,0,IF(AND(OR(fClient="All",$B356=fClient),OR(fCampaign="All",$C356=fCampaign),OR(fTeam="All",$L356=fTeam),OR(fChannel="All",$F356=fChannel)),1,0))</f>
        <v>0</v>
      </c>
    </row>
    <row r="357">
      <c r="A357" s="63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3" t="n"/>
      <c r="R357" s="63" t="n"/>
      <c r="S357" s="63" t="n"/>
      <c r="T357" s="65" t="n"/>
      <c r="U357" s="65" t="n"/>
      <c r="V357" s="63" t="n"/>
      <c r="W357" s="65" t="n"/>
      <c r="X357" s="69" t="str">
        <f>IF(AND(ISNUMBER($Q357),ISNUMBER($R357)),$R357-$Q357,"")</f>
        <v/>
      </c>
      <c r="Y357" s="71" t="str">
        <f>IF($AB357=1,IF(AND(ISNUMBER($V357),$M357&lt;&gt;"Converted",$M357&lt;&gt;"Rejected"),IF($V357&lt;=ReportDate,"DUE",""),""),"")</f>
        <v/>
      </c>
      <c r="Z357" s="75" t="str">
        <f>IF(ISNUMBER($Q357),$Q357,IF(ISNUMBER($A357),$A357,""))</f>
        <v/>
      </c>
      <c r="AA357" s="71" t="str">
        <f>IF(ISNUMBER($Z357),YEAR($Z357)&amp;"-"&amp;TEXT(MONTH($Z357),"00"),"")</f>
        <v/>
      </c>
      <c r="AB357" s="71">
        <f>IF($H357&lt;&gt;"",1,0)</f>
        <v>0</v>
      </c>
      <c r="AC357" s="71">
        <f>IF(AND($AB357=1,$G357="Yes"),1,0)</f>
        <v>0</v>
      </c>
      <c r="AD357" s="71">
        <f>IF(AND($AB357=1,$N357="MQL"),1,0)</f>
        <v>0</v>
      </c>
      <c r="AE357" s="71">
        <f>IF(AND($AB357=1,$O357="SQL"),1,0)</f>
        <v>0</v>
      </c>
      <c r="AF357" s="71">
        <f>IF(AND($AB357=1,OR($P357="Open",$P357="Won",$P357="Lost")),1,0)</f>
        <v>0</v>
      </c>
      <c r="AG357" s="71">
        <f>IF(AND($AB357=1,OR($M357="Converted",$P357="Won")),1,0)</f>
        <v>0</v>
      </c>
      <c r="AH357" s="71">
        <f>IF($AB357=0,0,IF(AND(OR(fClient="All",$B357=fClient),OR(fCampaign="All",$C357=fCampaign),OR(fTeam="All",$L357=fTeam),OR(fChannel="All",$F357=fChannel),OR(fMonth="All",$AA357=fMonth)),1,0))</f>
        <v>0</v>
      </c>
      <c r="AI357" s="71">
        <f>IF($AB357=0,0,IF(AND(OR(fClient="All",$B357=fClient),OR(fCampaign="All",$C357=fCampaign),OR(fTeam="All",$L357=fTeam),OR(fChannel="All",$F357=fChannel)),1,0))</f>
        <v>0</v>
      </c>
    </row>
    <row r="358">
      <c r="A358" s="63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3" t="n"/>
      <c r="R358" s="63" t="n"/>
      <c r="S358" s="63" t="n"/>
      <c r="T358" s="65" t="n"/>
      <c r="U358" s="65" t="n"/>
      <c r="V358" s="63" t="n"/>
      <c r="W358" s="65" t="n"/>
      <c r="X358" s="69" t="str">
        <f>IF(AND(ISNUMBER($Q358),ISNUMBER($R358)),$R358-$Q358,"")</f>
        <v/>
      </c>
      <c r="Y358" s="71" t="str">
        <f>IF($AB358=1,IF(AND(ISNUMBER($V358),$M358&lt;&gt;"Converted",$M358&lt;&gt;"Rejected"),IF($V358&lt;=ReportDate,"DUE",""),""),"")</f>
        <v/>
      </c>
      <c r="Z358" s="75" t="str">
        <f>IF(ISNUMBER($Q358),$Q358,IF(ISNUMBER($A358),$A358,""))</f>
        <v/>
      </c>
      <c r="AA358" s="71" t="str">
        <f>IF(ISNUMBER($Z358),YEAR($Z358)&amp;"-"&amp;TEXT(MONTH($Z358),"00"),"")</f>
        <v/>
      </c>
      <c r="AB358" s="71">
        <f>IF($H358&lt;&gt;"",1,0)</f>
        <v>0</v>
      </c>
      <c r="AC358" s="71">
        <f>IF(AND($AB358=1,$G358="Yes"),1,0)</f>
        <v>0</v>
      </c>
      <c r="AD358" s="71">
        <f>IF(AND($AB358=1,$N358="MQL"),1,0)</f>
        <v>0</v>
      </c>
      <c r="AE358" s="71">
        <f>IF(AND($AB358=1,$O358="SQL"),1,0)</f>
        <v>0</v>
      </c>
      <c r="AF358" s="71">
        <f>IF(AND($AB358=1,OR($P358="Open",$P358="Won",$P358="Lost")),1,0)</f>
        <v>0</v>
      </c>
      <c r="AG358" s="71">
        <f>IF(AND($AB358=1,OR($M358="Converted",$P358="Won")),1,0)</f>
        <v>0</v>
      </c>
      <c r="AH358" s="71">
        <f>IF($AB358=0,0,IF(AND(OR(fClient="All",$B358=fClient),OR(fCampaign="All",$C358=fCampaign),OR(fTeam="All",$L358=fTeam),OR(fChannel="All",$F358=fChannel),OR(fMonth="All",$AA358=fMonth)),1,0))</f>
        <v>0</v>
      </c>
      <c r="AI358" s="71">
        <f>IF($AB358=0,0,IF(AND(OR(fClient="All",$B358=fClient),OR(fCampaign="All",$C358=fCampaign),OR(fTeam="All",$L358=fTeam),OR(fChannel="All",$F358=fChannel)),1,0))</f>
        <v>0</v>
      </c>
    </row>
    <row r="359">
      <c r="A359" s="63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3" t="n"/>
      <c r="R359" s="63" t="n"/>
      <c r="S359" s="63" t="n"/>
      <c r="T359" s="65" t="n"/>
      <c r="U359" s="65" t="n"/>
      <c r="V359" s="63" t="n"/>
      <c r="W359" s="65" t="n"/>
      <c r="X359" s="69" t="str">
        <f>IF(AND(ISNUMBER($Q359),ISNUMBER($R359)),$R359-$Q359,"")</f>
        <v/>
      </c>
      <c r="Y359" s="71" t="str">
        <f>IF($AB359=1,IF(AND(ISNUMBER($V359),$M359&lt;&gt;"Converted",$M359&lt;&gt;"Rejected"),IF($V359&lt;=ReportDate,"DUE",""),""),"")</f>
        <v/>
      </c>
      <c r="Z359" s="75" t="str">
        <f>IF(ISNUMBER($Q359),$Q359,IF(ISNUMBER($A359),$A359,""))</f>
        <v/>
      </c>
      <c r="AA359" s="71" t="str">
        <f>IF(ISNUMBER($Z359),YEAR($Z359)&amp;"-"&amp;TEXT(MONTH($Z359),"00"),"")</f>
        <v/>
      </c>
      <c r="AB359" s="71">
        <f>IF($H359&lt;&gt;"",1,0)</f>
        <v>0</v>
      </c>
      <c r="AC359" s="71">
        <f>IF(AND($AB359=1,$G359="Yes"),1,0)</f>
        <v>0</v>
      </c>
      <c r="AD359" s="71">
        <f>IF(AND($AB359=1,$N359="MQL"),1,0)</f>
        <v>0</v>
      </c>
      <c r="AE359" s="71">
        <f>IF(AND($AB359=1,$O359="SQL"),1,0)</f>
        <v>0</v>
      </c>
      <c r="AF359" s="71">
        <f>IF(AND($AB359=1,OR($P359="Open",$P359="Won",$P359="Lost")),1,0)</f>
        <v>0</v>
      </c>
      <c r="AG359" s="71">
        <f>IF(AND($AB359=1,OR($M359="Converted",$P359="Won")),1,0)</f>
        <v>0</v>
      </c>
      <c r="AH359" s="71">
        <f>IF($AB359=0,0,IF(AND(OR(fClient="All",$B359=fClient),OR(fCampaign="All",$C359=fCampaign),OR(fTeam="All",$L359=fTeam),OR(fChannel="All",$F359=fChannel),OR(fMonth="All",$AA359=fMonth)),1,0))</f>
        <v>0</v>
      </c>
      <c r="AI359" s="71">
        <f>IF($AB359=0,0,IF(AND(OR(fClient="All",$B359=fClient),OR(fCampaign="All",$C359=fCampaign),OR(fTeam="All",$L359=fTeam),OR(fChannel="All",$F359=fChannel)),1,0))</f>
        <v>0</v>
      </c>
    </row>
    <row r="360">
      <c r="A360" s="63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3" t="n"/>
      <c r="R360" s="63" t="n"/>
      <c r="S360" s="63" t="n"/>
      <c r="T360" s="65" t="n"/>
      <c r="U360" s="65" t="n"/>
      <c r="V360" s="63" t="n"/>
      <c r="W360" s="65" t="n"/>
      <c r="X360" s="69" t="str">
        <f>IF(AND(ISNUMBER($Q360),ISNUMBER($R360)),$R360-$Q360,"")</f>
        <v/>
      </c>
      <c r="Y360" s="71" t="str">
        <f>IF($AB360=1,IF(AND(ISNUMBER($V360),$M360&lt;&gt;"Converted",$M360&lt;&gt;"Rejected"),IF($V360&lt;=ReportDate,"DUE",""),""),"")</f>
        <v/>
      </c>
      <c r="Z360" s="75" t="str">
        <f>IF(ISNUMBER($Q360),$Q360,IF(ISNUMBER($A360),$A360,""))</f>
        <v/>
      </c>
      <c r="AA360" s="71" t="str">
        <f>IF(ISNUMBER($Z360),YEAR($Z360)&amp;"-"&amp;TEXT(MONTH($Z360),"00"),"")</f>
        <v/>
      </c>
      <c r="AB360" s="71">
        <f>IF($H360&lt;&gt;"",1,0)</f>
        <v>0</v>
      </c>
      <c r="AC360" s="71">
        <f>IF(AND($AB360=1,$G360="Yes"),1,0)</f>
        <v>0</v>
      </c>
      <c r="AD360" s="71">
        <f>IF(AND($AB360=1,$N360="MQL"),1,0)</f>
        <v>0</v>
      </c>
      <c r="AE360" s="71">
        <f>IF(AND($AB360=1,$O360="SQL"),1,0)</f>
        <v>0</v>
      </c>
      <c r="AF360" s="71">
        <f>IF(AND($AB360=1,OR($P360="Open",$P360="Won",$P360="Lost")),1,0)</f>
        <v>0</v>
      </c>
      <c r="AG360" s="71">
        <f>IF(AND($AB360=1,OR($M360="Converted",$P360="Won")),1,0)</f>
        <v>0</v>
      </c>
      <c r="AH360" s="71">
        <f>IF($AB360=0,0,IF(AND(OR(fClient="All",$B360=fClient),OR(fCampaign="All",$C360=fCampaign),OR(fTeam="All",$L360=fTeam),OR(fChannel="All",$F360=fChannel),OR(fMonth="All",$AA360=fMonth)),1,0))</f>
        <v>0</v>
      </c>
      <c r="AI360" s="71">
        <f>IF($AB360=0,0,IF(AND(OR(fClient="All",$B360=fClient),OR(fCampaign="All",$C360=fCampaign),OR(fTeam="All",$L360=fTeam),OR(fChannel="All",$F360=fChannel)),1,0))</f>
        <v>0</v>
      </c>
    </row>
    <row r="361">
      <c r="A361" s="63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3" t="n"/>
      <c r="R361" s="63" t="n"/>
      <c r="S361" s="63" t="n"/>
      <c r="T361" s="65" t="n"/>
      <c r="U361" s="65" t="n"/>
      <c r="V361" s="63" t="n"/>
      <c r="W361" s="65" t="n"/>
      <c r="X361" s="69" t="str">
        <f>IF(AND(ISNUMBER($Q361),ISNUMBER($R361)),$R361-$Q361,"")</f>
        <v/>
      </c>
      <c r="Y361" s="71" t="str">
        <f>IF($AB361=1,IF(AND(ISNUMBER($V361),$M361&lt;&gt;"Converted",$M361&lt;&gt;"Rejected"),IF($V361&lt;=ReportDate,"DUE",""),""),"")</f>
        <v/>
      </c>
      <c r="Z361" s="75" t="str">
        <f>IF(ISNUMBER($Q361),$Q361,IF(ISNUMBER($A361),$A361,""))</f>
        <v/>
      </c>
      <c r="AA361" s="71" t="str">
        <f>IF(ISNUMBER($Z361),YEAR($Z361)&amp;"-"&amp;TEXT(MONTH($Z361),"00"),"")</f>
        <v/>
      </c>
      <c r="AB361" s="71">
        <f>IF($H361&lt;&gt;"",1,0)</f>
        <v>0</v>
      </c>
      <c r="AC361" s="71">
        <f>IF(AND($AB361=1,$G361="Yes"),1,0)</f>
        <v>0</v>
      </c>
      <c r="AD361" s="71">
        <f>IF(AND($AB361=1,$N361="MQL"),1,0)</f>
        <v>0</v>
      </c>
      <c r="AE361" s="71">
        <f>IF(AND($AB361=1,$O361="SQL"),1,0)</f>
        <v>0</v>
      </c>
      <c r="AF361" s="71">
        <f>IF(AND($AB361=1,OR($P361="Open",$P361="Won",$P361="Lost")),1,0)</f>
        <v>0</v>
      </c>
      <c r="AG361" s="71">
        <f>IF(AND($AB361=1,OR($M361="Converted",$P361="Won")),1,0)</f>
        <v>0</v>
      </c>
      <c r="AH361" s="71">
        <f>IF($AB361=0,0,IF(AND(OR(fClient="All",$B361=fClient),OR(fCampaign="All",$C361=fCampaign),OR(fTeam="All",$L361=fTeam),OR(fChannel="All",$F361=fChannel),OR(fMonth="All",$AA361=fMonth)),1,0))</f>
        <v>0</v>
      </c>
      <c r="AI361" s="71">
        <f>IF($AB361=0,0,IF(AND(OR(fClient="All",$B361=fClient),OR(fCampaign="All",$C361=fCampaign),OR(fTeam="All",$L361=fTeam),OR(fChannel="All",$F361=fChannel)),1,0))</f>
        <v>0</v>
      </c>
    </row>
    <row r="362">
      <c r="A362" s="63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3" t="n"/>
      <c r="R362" s="63" t="n"/>
      <c r="S362" s="63" t="n"/>
      <c r="T362" s="65" t="n"/>
      <c r="U362" s="65" t="n"/>
      <c r="V362" s="63" t="n"/>
      <c r="W362" s="65" t="n"/>
      <c r="X362" s="69" t="str">
        <f>IF(AND(ISNUMBER($Q362),ISNUMBER($R362)),$R362-$Q362,"")</f>
        <v/>
      </c>
      <c r="Y362" s="71" t="str">
        <f>IF($AB362=1,IF(AND(ISNUMBER($V362),$M362&lt;&gt;"Converted",$M362&lt;&gt;"Rejected"),IF($V362&lt;=ReportDate,"DUE",""),""),"")</f>
        <v/>
      </c>
      <c r="Z362" s="75" t="str">
        <f>IF(ISNUMBER($Q362),$Q362,IF(ISNUMBER($A362),$A362,""))</f>
        <v/>
      </c>
      <c r="AA362" s="71" t="str">
        <f>IF(ISNUMBER($Z362),YEAR($Z362)&amp;"-"&amp;TEXT(MONTH($Z362),"00"),"")</f>
        <v/>
      </c>
      <c r="AB362" s="71">
        <f>IF($H362&lt;&gt;"",1,0)</f>
        <v>0</v>
      </c>
      <c r="AC362" s="71">
        <f>IF(AND($AB362=1,$G362="Yes"),1,0)</f>
        <v>0</v>
      </c>
      <c r="AD362" s="71">
        <f>IF(AND($AB362=1,$N362="MQL"),1,0)</f>
        <v>0</v>
      </c>
      <c r="AE362" s="71">
        <f>IF(AND($AB362=1,$O362="SQL"),1,0)</f>
        <v>0</v>
      </c>
      <c r="AF362" s="71">
        <f>IF(AND($AB362=1,OR($P362="Open",$P362="Won",$P362="Lost")),1,0)</f>
        <v>0</v>
      </c>
      <c r="AG362" s="71">
        <f>IF(AND($AB362=1,OR($M362="Converted",$P362="Won")),1,0)</f>
        <v>0</v>
      </c>
      <c r="AH362" s="71">
        <f>IF($AB362=0,0,IF(AND(OR(fClient="All",$B362=fClient),OR(fCampaign="All",$C362=fCampaign),OR(fTeam="All",$L362=fTeam),OR(fChannel="All",$F362=fChannel),OR(fMonth="All",$AA362=fMonth)),1,0))</f>
        <v>0</v>
      </c>
      <c r="AI362" s="71">
        <f>IF($AB362=0,0,IF(AND(OR(fClient="All",$B362=fClient),OR(fCampaign="All",$C362=fCampaign),OR(fTeam="All",$L362=fTeam),OR(fChannel="All",$F362=fChannel)),1,0))</f>
        <v>0</v>
      </c>
    </row>
    <row r="363">
      <c r="A363" s="63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3" t="n"/>
      <c r="R363" s="63" t="n"/>
      <c r="S363" s="63" t="n"/>
      <c r="T363" s="65" t="n"/>
      <c r="U363" s="65" t="n"/>
      <c r="V363" s="63" t="n"/>
      <c r="W363" s="65" t="n"/>
      <c r="X363" s="69" t="str">
        <f>IF(AND(ISNUMBER($Q363),ISNUMBER($R363)),$R363-$Q363,"")</f>
        <v/>
      </c>
      <c r="Y363" s="71" t="str">
        <f>IF($AB363=1,IF(AND(ISNUMBER($V363),$M363&lt;&gt;"Converted",$M363&lt;&gt;"Rejected"),IF($V363&lt;=ReportDate,"DUE",""),""),"")</f>
        <v/>
      </c>
      <c r="Z363" s="75" t="str">
        <f>IF(ISNUMBER($Q363),$Q363,IF(ISNUMBER($A363),$A363,""))</f>
        <v/>
      </c>
      <c r="AA363" s="71" t="str">
        <f>IF(ISNUMBER($Z363),YEAR($Z363)&amp;"-"&amp;TEXT(MONTH($Z363),"00"),"")</f>
        <v/>
      </c>
      <c r="AB363" s="71">
        <f>IF($H363&lt;&gt;"",1,0)</f>
        <v>0</v>
      </c>
      <c r="AC363" s="71">
        <f>IF(AND($AB363=1,$G363="Yes"),1,0)</f>
        <v>0</v>
      </c>
      <c r="AD363" s="71">
        <f>IF(AND($AB363=1,$N363="MQL"),1,0)</f>
        <v>0</v>
      </c>
      <c r="AE363" s="71">
        <f>IF(AND($AB363=1,$O363="SQL"),1,0)</f>
        <v>0</v>
      </c>
      <c r="AF363" s="71">
        <f>IF(AND($AB363=1,OR($P363="Open",$P363="Won",$P363="Lost")),1,0)</f>
        <v>0</v>
      </c>
      <c r="AG363" s="71">
        <f>IF(AND($AB363=1,OR($M363="Converted",$P363="Won")),1,0)</f>
        <v>0</v>
      </c>
      <c r="AH363" s="71">
        <f>IF($AB363=0,0,IF(AND(OR(fClient="All",$B363=fClient),OR(fCampaign="All",$C363=fCampaign),OR(fTeam="All",$L363=fTeam),OR(fChannel="All",$F363=fChannel),OR(fMonth="All",$AA363=fMonth)),1,0))</f>
        <v>0</v>
      </c>
      <c r="AI363" s="71">
        <f>IF($AB363=0,0,IF(AND(OR(fClient="All",$B363=fClient),OR(fCampaign="All",$C363=fCampaign),OR(fTeam="All",$L363=fTeam),OR(fChannel="All",$F363=fChannel)),1,0))</f>
        <v>0</v>
      </c>
    </row>
    <row r="364">
      <c r="A364" s="63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3" t="n"/>
      <c r="R364" s="63" t="n"/>
      <c r="S364" s="63" t="n"/>
      <c r="T364" s="65" t="n"/>
      <c r="U364" s="65" t="n"/>
      <c r="V364" s="63" t="n"/>
      <c r="W364" s="65" t="n"/>
      <c r="X364" s="69" t="str">
        <f>IF(AND(ISNUMBER($Q364),ISNUMBER($R364)),$R364-$Q364,"")</f>
        <v/>
      </c>
      <c r="Y364" s="71" t="str">
        <f>IF($AB364=1,IF(AND(ISNUMBER($V364),$M364&lt;&gt;"Converted",$M364&lt;&gt;"Rejected"),IF($V364&lt;=ReportDate,"DUE",""),""),"")</f>
        <v/>
      </c>
      <c r="Z364" s="75" t="str">
        <f>IF(ISNUMBER($Q364),$Q364,IF(ISNUMBER($A364),$A364,""))</f>
        <v/>
      </c>
      <c r="AA364" s="71" t="str">
        <f>IF(ISNUMBER($Z364),YEAR($Z364)&amp;"-"&amp;TEXT(MONTH($Z364),"00"),"")</f>
        <v/>
      </c>
      <c r="AB364" s="71">
        <f>IF($H364&lt;&gt;"",1,0)</f>
        <v>0</v>
      </c>
      <c r="AC364" s="71">
        <f>IF(AND($AB364=1,$G364="Yes"),1,0)</f>
        <v>0</v>
      </c>
      <c r="AD364" s="71">
        <f>IF(AND($AB364=1,$N364="MQL"),1,0)</f>
        <v>0</v>
      </c>
      <c r="AE364" s="71">
        <f>IF(AND($AB364=1,$O364="SQL"),1,0)</f>
        <v>0</v>
      </c>
      <c r="AF364" s="71">
        <f>IF(AND($AB364=1,OR($P364="Open",$P364="Won",$P364="Lost")),1,0)</f>
        <v>0</v>
      </c>
      <c r="AG364" s="71">
        <f>IF(AND($AB364=1,OR($M364="Converted",$P364="Won")),1,0)</f>
        <v>0</v>
      </c>
      <c r="AH364" s="71">
        <f>IF($AB364=0,0,IF(AND(OR(fClient="All",$B364=fClient),OR(fCampaign="All",$C364=fCampaign),OR(fTeam="All",$L364=fTeam),OR(fChannel="All",$F364=fChannel),OR(fMonth="All",$AA364=fMonth)),1,0))</f>
        <v>0</v>
      </c>
      <c r="AI364" s="71">
        <f>IF($AB364=0,0,IF(AND(OR(fClient="All",$B364=fClient),OR(fCampaign="All",$C364=fCampaign),OR(fTeam="All",$L364=fTeam),OR(fChannel="All",$F364=fChannel)),1,0))</f>
        <v>0</v>
      </c>
    </row>
    <row r="365">
      <c r="A365" s="63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3" t="n"/>
      <c r="R365" s="63" t="n"/>
      <c r="S365" s="63" t="n"/>
      <c r="T365" s="65" t="n"/>
      <c r="U365" s="65" t="n"/>
      <c r="V365" s="63" t="n"/>
      <c r="W365" s="65" t="n"/>
      <c r="X365" s="69" t="str">
        <f>IF(AND(ISNUMBER($Q365),ISNUMBER($R365)),$R365-$Q365,"")</f>
        <v/>
      </c>
      <c r="Y365" s="71" t="str">
        <f>IF($AB365=1,IF(AND(ISNUMBER($V365),$M365&lt;&gt;"Converted",$M365&lt;&gt;"Rejected"),IF($V365&lt;=ReportDate,"DUE",""),""),"")</f>
        <v/>
      </c>
      <c r="Z365" s="75" t="str">
        <f>IF(ISNUMBER($Q365),$Q365,IF(ISNUMBER($A365),$A365,""))</f>
        <v/>
      </c>
      <c r="AA365" s="71" t="str">
        <f>IF(ISNUMBER($Z365),YEAR($Z365)&amp;"-"&amp;TEXT(MONTH($Z365),"00"),"")</f>
        <v/>
      </c>
      <c r="AB365" s="71">
        <f>IF($H365&lt;&gt;"",1,0)</f>
        <v>0</v>
      </c>
      <c r="AC365" s="71">
        <f>IF(AND($AB365=1,$G365="Yes"),1,0)</f>
        <v>0</v>
      </c>
      <c r="AD365" s="71">
        <f>IF(AND($AB365=1,$N365="MQL"),1,0)</f>
        <v>0</v>
      </c>
      <c r="AE365" s="71">
        <f>IF(AND($AB365=1,$O365="SQL"),1,0)</f>
        <v>0</v>
      </c>
      <c r="AF365" s="71">
        <f>IF(AND($AB365=1,OR($P365="Open",$P365="Won",$P365="Lost")),1,0)</f>
        <v>0</v>
      </c>
      <c r="AG365" s="71">
        <f>IF(AND($AB365=1,OR($M365="Converted",$P365="Won")),1,0)</f>
        <v>0</v>
      </c>
      <c r="AH365" s="71">
        <f>IF($AB365=0,0,IF(AND(OR(fClient="All",$B365=fClient),OR(fCampaign="All",$C365=fCampaign),OR(fTeam="All",$L365=fTeam),OR(fChannel="All",$F365=fChannel),OR(fMonth="All",$AA365=fMonth)),1,0))</f>
        <v>0</v>
      </c>
      <c r="AI365" s="71">
        <f>IF($AB365=0,0,IF(AND(OR(fClient="All",$B365=fClient),OR(fCampaign="All",$C365=fCampaign),OR(fTeam="All",$L365=fTeam),OR(fChannel="All",$F365=fChannel)),1,0))</f>
        <v>0</v>
      </c>
    </row>
    <row r="366">
      <c r="A366" s="63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3" t="n"/>
      <c r="R366" s="63" t="n"/>
      <c r="S366" s="63" t="n"/>
      <c r="T366" s="65" t="n"/>
      <c r="U366" s="65" t="n"/>
      <c r="V366" s="63" t="n"/>
      <c r="W366" s="65" t="n"/>
      <c r="X366" s="69" t="str">
        <f>IF(AND(ISNUMBER($Q366),ISNUMBER($R366)),$R366-$Q366,"")</f>
        <v/>
      </c>
      <c r="Y366" s="71" t="str">
        <f>IF($AB366=1,IF(AND(ISNUMBER($V366),$M366&lt;&gt;"Converted",$M366&lt;&gt;"Rejected"),IF($V366&lt;=ReportDate,"DUE",""),""),"")</f>
        <v/>
      </c>
      <c r="Z366" s="75" t="str">
        <f>IF(ISNUMBER($Q366),$Q366,IF(ISNUMBER($A366),$A366,""))</f>
        <v/>
      </c>
      <c r="AA366" s="71" t="str">
        <f>IF(ISNUMBER($Z366),YEAR($Z366)&amp;"-"&amp;TEXT(MONTH($Z366),"00"),"")</f>
        <v/>
      </c>
      <c r="AB366" s="71">
        <f>IF($H366&lt;&gt;"",1,0)</f>
        <v>0</v>
      </c>
      <c r="AC366" s="71">
        <f>IF(AND($AB366=1,$G366="Yes"),1,0)</f>
        <v>0</v>
      </c>
      <c r="AD366" s="71">
        <f>IF(AND($AB366=1,$N366="MQL"),1,0)</f>
        <v>0</v>
      </c>
      <c r="AE366" s="71">
        <f>IF(AND($AB366=1,$O366="SQL"),1,0)</f>
        <v>0</v>
      </c>
      <c r="AF366" s="71">
        <f>IF(AND($AB366=1,OR($P366="Open",$P366="Won",$P366="Lost")),1,0)</f>
        <v>0</v>
      </c>
      <c r="AG366" s="71">
        <f>IF(AND($AB366=1,OR($M366="Converted",$P366="Won")),1,0)</f>
        <v>0</v>
      </c>
      <c r="AH366" s="71">
        <f>IF($AB366=0,0,IF(AND(OR(fClient="All",$B366=fClient),OR(fCampaign="All",$C366=fCampaign),OR(fTeam="All",$L366=fTeam),OR(fChannel="All",$F366=fChannel),OR(fMonth="All",$AA366=fMonth)),1,0))</f>
        <v>0</v>
      </c>
      <c r="AI366" s="71">
        <f>IF($AB366=0,0,IF(AND(OR(fClient="All",$B366=fClient),OR(fCampaign="All",$C366=fCampaign),OR(fTeam="All",$L366=fTeam),OR(fChannel="All",$F366=fChannel)),1,0))</f>
        <v>0</v>
      </c>
    </row>
    <row r="367">
      <c r="A367" s="63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3" t="n"/>
      <c r="R367" s="63" t="n"/>
      <c r="S367" s="63" t="n"/>
      <c r="T367" s="65" t="n"/>
      <c r="U367" s="65" t="n"/>
      <c r="V367" s="63" t="n"/>
      <c r="W367" s="65" t="n"/>
      <c r="X367" s="69" t="str">
        <f>IF(AND(ISNUMBER($Q367),ISNUMBER($R367)),$R367-$Q367,"")</f>
        <v/>
      </c>
      <c r="Y367" s="71" t="str">
        <f>IF($AB367=1,IF(AND(ISNUMBER($V367),$M367&lt;&gt;"Converted",$M367&lt;&gt;"Rejected"),IF($V367&lt;=ReportDate,"DUE",""),""),"")</f>
        <v/>
      </c>
      <c r="Z367" s="75" t="str">
        <f>IF(ISNUMBER($Q367),$Q367,IF(ISNUMBER($A367),$A367,""))</f>
        <v/>
      </c>
      <c r="AA367" s="71" t="str">
        <f>IF(ISNUMBER($Z367),YEAR($Z367)&amp;"-"&amp;TEXT(MONTH($Z367),"00"),"")</f>
        <v/>
      </c>
      <c r="AB367" s="71">
        <f>IF($H367&lt;&gt;"",1,0)</f>
        <v>0</v>
      </c>
      <c r="AC367" s="71">
        <f>IF(AND($AB367=1,$G367="Yes"),1,0)</f>
        <v>0</v>
      </c>
      <c r="AD367" s="71">
        <f>IF(AND($AB367=1,$N367="MQL"),1,0)</f>
        <v>0</v>
      </c>
      <c r="AE367" s="71">
        <f>IF(AND($AB367=1,$O367="SQL"),1,0)</f>
        <v>0</v>
      </c>
      <c r="AF367" s="71">
        <f>IF(AND($AB367=1,OR($P367="Open",$P367="Won",$P367="Lost")),1,0)</f>
        <v>0</v>
      </c>
      <c r="AG367" s="71">
        <f>IF(AND($AB367=1,OR($M367="Converted",$P367="Won")),1,0)</f>
        <v>0</v>
      </c>
      <c r="AH367" s="71">
        <f>IF($AB367=0,0,IF(AND(OR(fClient="All",$B367=fClient),OR(fCampaign="All",$C367=fCampaign),OR(fTeam="All",$L367=fTeam),OR(fChannel="All",$F367=fChannel),OR(fMonth="All",$AA367=fMonth)),1,0))</f>
        <v>0</v>
      </c>
      <c r="AI367" s="71">
        <f>IF($AB367=0,0,IF(AND(OR(fClient="All",$B367=fClient),OR(fCampaign="All",$C367=fCampaign),OR(fTeam="All",$L367=fTeam),OR(fChannel="All",$F367=fChannel)),1,0))</f>
        <v>0</v>
      </c>
    </row>
    <row r="368">
      <c r="A368" s="63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3" t="n"/>
      <c r="R368" s="63" t="n"/>
      <c r="S368" s="63" t="n"/>
      <c r="T368" s="65" t="n"/>
      <c r="U368" s="65" t="n"/>
      <c r="V368" s="63" t="n"/>
      <c r="W368" s="65" t="n"/>
      <c r="X368" s="69" t="str">
        <f>IF(AND(ISNUMBER($Q368),ISNUMBER($R368)),$R368-$Q368,"")</f>
        <v/>
      </c>
      <c r="Y368" s="71" t="str">
        <f>IF($AB368=1,IF(AND(ISNUMBER($V368),$M368&lt;&gt;"Converted",$M368&lt;&gt;"Rejected"),IF($V368&lt;=ReportDate,"DUE",""),""),"")</f>
        <v/>
      </c>
      <c r="Z368" s="75" t="str">
        <f>IF(ISNUMBER($Q368),$Q368,IF(ISNUMBER($A368),$A368,""))</f>
        <v/>
      </c>
      <c r="AA368" s="71" t="str">
        <f>IF(ISNUMBER($Z368),YEAR($Z368)&amp;"-"&amp;TEXT(MONTH($Z368),"00"),"")</f>
        <v/>
      </c>
      <c r="AB368" s="71">
        <f>IF($H368&lt;&gt;"",1,0)</f>
        <v>0</v>
      </c>
      <c r="AC368" s="71">
        <f>IF(AND($AB368=1,$G368="Yes"),1,0)</f>
        <v>0</v>
      </c>
      <c r="AD368" s="71">
        <f>IF(AND($AB368=1,$N368="MQL"),1,0)</f>
        <v>0</v>
      </c>
      <c r="AE368" s="71">
        <f>IF(AND($AB368=1,$O368="SQL"),1,0)</f>
        <v>0</v>
      </c>
      <c r="AF368" s="71">
        <f>IF(AND($AB368=1,OR($P368="Open",$P368="Won",$P368="Lost")),1,0)</f>
        <v>0</v>
      </c>
      <c r="AG368" s="71">
        <f>IF(AND($AB368=1,OR($M368="Converted",$P368="Won")),1,0)</f>
        <v>0</v>
      </c>
      <c r="AH368" s="71">
        <f>IF($AB368=0,0,IF(AND(OR(fClient="All",$B368=fClient),OR(fCampaign="All",$C368=fCampaign),OR(fTeam="All",$L368=fTeam),OR(fChannel="All",$F368=fChannel),OR(fMonth="All",$AA368=fMonth)),1,0))</f>
        <v>0</v>
      </c>
      <c r="AI368" s="71">
        <f>IF($AB368=0,0,IF(AND(OR(fClient="All",$B368=fClient),OR(fCampaign="All",$C368=fCampaign),OR(fTeam="All",$L368=fTeam),OR(fChannel="All",$F368=fChannel)),1,0))</f>
        <v>0</v>
      </c>
    </row>
    <row r="369">
      <c r="A369" s="63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3" t="n"/>
      <c r="R369" s="63" t="n"/>
      <c r="S369" s="63" t="n"/>
      <c r="T369" s="65" t="n"/>
      <c r="U369" s="65" t="n"/>
      <c r="V369" s="63" t="n"/>
      <c r="W369" s="65" t="n"/>
      <c r="X369" s="69" t="str">
        <f>IF(AND(ISNUMBER($Q369),ISNUMBER($R369)),$R369-$Q369,"")</f>
        <v/>
      </c>
      <c r="Y369" s="71" t="str">
        <f>IF($AB369=1,IF(AND(ISNUMBER($V369),$M369&lt;&gt;"Converted",$M369&lt;&gt;"Rejected"),IF($V369&lt;=ReportDate,"DUE",""),""),"")</f>
        <v/>
      </c>
      <c r="Z369" s="75" t="str">
        <f>IF(ISNUMBER($Q369),$Q369,IF(ISNUMBER($A369),$A369,""))</f>
        <v/>
      </c>
      <c r="AA369" s="71" t="str">
        <f>IF(ISNUMBER($Z369),YEAR($Z369)&amp;"-"&amp;TEXT(MONTH($Z369),"00"),"")</f>
        <v/>
      </c>
      <c r="AB369" s="71">
        <f>IF($H369&lt;&gt;"",1,0)</f>
        <v>0</v>
      </c>
      <c r="AC369" s="71">
        <f>IF(AND($AB369=1,$G369="Yes"),1,0)</f>
        <v>0</v>
      </c>
      <c r="AD369" s="71">
        <f>IF(AND($AB369=1,$N369="MQL"),1,0)</f>
        <v>0</v>
      </c>
      <c r="AE369" s="71">
        <f>IF(AND($AB369=1,$O369="SQL"),1,0)</f>
        <v>0</v>
      </c>
      <c r="AF369" s="71">
        <f>IF(AND($AB369=1,OR($P369="Open",$P369="Won",$P369="Lost")),1,0)</f>
        <v>0</v>
      </c>
      <c r="AG369" s="71">
        <f>IF(AND($AB369=1,OR($M369="Converted",$P369="Won")),1,0)</f>
        <v>0</v>
      </c>
      <c r="AH369" s="71">
        <f>IF($AB369=0,0,IF(AND(OR(fClient="All",$B369=fClient),OR(fCampaign="All",$C369=fCampaign),OR(fTeam="All",$L369=fTeam),OR(fChannel="All",$F369=fChannel),OR(fMonth="All",$AA369=fMonth)),1,0))</f>
        <v>0</v>
      </c>
      <c r="AI369" s="71">
        <f>IF($AB369=0,0,IF(AND(OR(fClient="All",$B369=fClient),OR(fCampaign="All",$C369=fCampaign),OR(fTeam="All",$L369=fTeam),OR(fChannel="All",$F369=fChannel)),1,0))</f>
        <v>0</v>
      </c>
    </row>
    <row r="370">
      <c r="A370" s="63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3" t="n"/>
      <c r="R370" s="63" t="n"/>
      <c r="S370" s="63" t="n"/>
      <c r="T370" s="65" t="n"/>
      <c r="U370" s="65" t="n"/>
      <c r="V370" s="63" t="n"/>
      <c r="W370" s="65" t="n"/>
      <c r="X370" s="69" t="str">
        <f>IF(AND(ISNUMBER($Q370),ISNUMBER($R370)),$R370-$Q370,"")</f>
        <v/>
      </c>
      <c r="Y370" s="71" t="str">
        <f>IF($AB370=1,IF(AND(ISNUMBER($V370),$M370&lt;&gt;"Converted",$M370&lt;&gt;"Rejected"),IF($V370&lt;=ReportDate,"DUE",""),""),"")</f>
        <v/>
      </c>
      <c r="Z370" s="75" t="str">
        <f>IF(ISNUMBER($Q370),$Q370,IF(ISNUMBER($A370),$A370,""))</f>
        <v/>
      </c>
      <c r="AA370" s="71" t="str">
        <f>IF(ISNUMBER($Z370),YEAR($Z370)&amp;"-"&amp;TEXT(MONTH($Z370),"00"),"")</f>
        <v/>
      </c>
      <c r="AB370" s="71">
        <f>IF($H370&lt;&gt;"",1,0)</f>
        <v>0</v>
      </c>
      <c r="AC370" s="71">
        <f>IF(AND($AB370=1,$G370="Yes"),1,0)</f>
        <v>0</v>
      </c>
      <c r="AD370" s="71">
        <f>IF(AND($AB370=1,$N370="MQL"),1,0)</f>
        <v>0</v>
      </c>
      <c r="AE370" s="71">
        <f>IF(AND($AB370=1,$O370="SQL"),1,0)</f>
        <v>0</v>
      </c>
      <c r="AF370" s="71">
        <f>IF(AND($AB370=1,OR($P370="Open",$P370="Won",$P370="Lost")),1,0)</f>
        <v>0</v>
      </c>
      <c r="AG370" s="71">
        <f>IF(AND($AB370=1,OR($M370="Converted",$P370="Won")),1,0)</f>
        <v>0</v>
      </c>
      <c r="AH370" s="71">
        <f>IF($AB370=0,0,IF(AND(OR(fClient="All",$B370=fClient),OR(fCampaign="All",$C370=fCampaign),OR(fTeam="All",$L370=fTeam),OR(fChannel="All",$F370=fChannel),OR(fMonth="All",$AA370=fMonth)),1,0))</f>
        <v>0</v>
      </c>
      <c r="AI370" s="71">
        <f>IF($AB370=0,0,IF(AND(OR(fClient="All",$B370=fClient),OR(fCampaign="All",$C370=fCampaign),OR(fTeam="All",$L370=fTeam),OR(fChannel="All",$F370=fChannel)),1,0))</f>
        <v>0</v>
      </c>
    </row>
    <row r="371">
      <c r="A371" s="63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3" t="n"/>
      <c r="R371" s="63" t="n"/>
      <c r="S371" s="63" t="n"/>
      <c r="T371" s="65" t="n"/>
      <c r="U371" s="65" t="n"/>
      <c r="V371" s="63" t="n"/>
      <c r="W371" s="65" t="n"/>
      <c r="X371" s="69" t="str">
        <f>IF(AND(ISNUMBER($Q371),ISNUMBER($R371)),$R371-$Q371,"")</f>
        <v/>
      </c>
      <c r="Y371" s="71" t="str">
        <f>IF($AB371=1,IF(AND(ISNUMBER($V371),$M371&lt;&gt;"Converted",$M371&lt;&gt;"Rejected"),IF($V371&lt;=ReportDate,"DUE",""),""),"")</f>
        <v/>
      </c>
      <c r="Z371" s="75" t="str">
        <f>IF(ISNUMBER($Q371),$Q371,IF(ISNUMBER($A371),$A371,""))</f>
        <v/>
      </c>
      <c r="AA371" s="71" t="str">
        <f>IF(ISNUMBER($Z371),YEAR($Z371)&amp;"-"&amp;TEXT(MONTH($Z371),"00"),"")</f>
        <v/>
      </c>
      <c r="AB371" s="71">
        <f>IF($H371&lt;&gt;"",1,0)</f>
        <v>0</v>
      </c>
      <c r="AC371" s="71">
        <f>IF(AND($AB371=1,$G371="Yes"),1,0)</f>
        <v>0</v>
      </c>
      <c r="AD371" s="71">
        <f>IF(AND($AB371=1,$N371="MQL"),1,0)</f>
        <v>0</v>
      </c>
      <c r="AE371" s="71">
        <f>IF(AND($AB371=1,$O371="SQL"),1,0)</f>
        <v>0</v>
      </c>
      <c r="AF371" s="71">
        <f>IF(AND($AB371=1,OR($P371="Open",$P371="Won",$P371="Lost")),1,0)</f>
        <v>0</v>
      </c>
      <c r="AG371" s="71">
        <f>IF(AND($AB371=1,OR($M371="Converted",$P371="Won")),1,0)</f>
        <v>0</v>
      </c>
      <c r="AH371" s="71">
        <f>IF($AB371=0,0,IF(AND(OR(fClient="All",$B371=fClient),OR(fCampaign="All",$C371=fCampaign),OR(fTeam="All",$L371=fTeam),OR(fChannel="All",$F371=fChannel),OR(fMonth="All",$AA371=fMonth)),1,0))</f>
        <v>0</v>
      </c>
      <c r="AI371" s="71">
        <f>IF($AB371=0,0,IF(AND(OR(fClient="All",$B371=fClient),OR(fCampaign="All",$C371=fCampaign),OR(fTeam="All",$L371=fTeam),OR(fChannel="All",$F371=fChannel)),1,0))</f>
        <v>0</v>
      </c>
    </row>
    <row r="372">
      <c r="A372" s="63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3" t="n"/>
      <c r="R372" s="63" t="n"/>
      <c r="S372" s="63" t="n"/>
      <c r="T372" s="65" t="n"/>
      <c r="U372" s="65" t="n"/>
      <c r="V372" s="63" t="n"/>
      <c r="W372" s="65" t="n"/>
      <c r="X372" s="69" t="str">
        <f>IF(AND(ISNUMBER($Q372),ISNUMBER($R372)),$R372-$Q372,"")</f>
        <v/>
      </c>
      <c r="Y372" s="71" t="str">
        <f>IF($AB372=1,IF(AND(ISNUMBER($V372),$M372&lt;&gt;"Converted",$M372&lt;&gt;"Rejected"),IF($V372&lt;=ReportDate,"DUE",""),""),"")</f>
        <v/>
      </c>
      <c r="Z372" s="75" t="str">
        <f>IF(ISNUMBER($Q372),$Q372,IF(ISNUMBER($A372),$A372,""))</f>
        <v/>
      </c>
      <c r="AA372" s="71" t="str">
        <f>IF(ISNUMBER($Z372),YEAR($Z372)&amp;"-"&amp;TEXT(MONTH($Z372),"00"),"")</f>
        <v/>
      </c>
      <c r="AB372" s="71">
        <f>IF($H372&lt;&gt;"",1,0)</f>
        <v>0</v>
      </c>
      <c r="AC372" s="71">
        <f>IF(AND($AB372=1,$G372="Yes"),1,0)</f>
        <v>0</v>
      </c>
      <c r="AD372" s="71">
        <f>IF(AND($AB372=1,$N372="MQL"),1,0)</f>
        <v>0</v>
      </c>
      <c r="AE372" s="71">
        <f>IF(AND($AB372=1,$O372="SQL"),1,0)</f>
        <v>0</v>
      </c>
      <c r="AF372" s="71">
        <f>IF(AND($AB372=1,OR($P372="Open",$P372="Won",$P372="Lost")),1,0)</f>
        <v>0</v>
      </c>
      <c r="AG372" s="71">
        <f>IF(AND($AB372=1,OR($M372="Converted",$P372="Won")),1,0)</f>
        <v>0</v>
      </c>
      <c r="AH372" s="71">
        <f>IF($AB372=0,0,IF(AND(OR(fClient="All",$B372=fClient),OR(fCampaign="All",$C372=fCampaign),OR(fTeam="All",$L372=fTeam),OR(fChannel="All",$F372=fChannel),OR(fMonth="All",$AA372=fMonth)),1,0))</f>
        <v>0</v>
      </c>
      <c r="AI372" s="71">
        <f>IF($AB372=0,0,IF(AND(OR(fClient="All",$B372=fClient),OR(fCampaign="All",$C372=fCampaign),OR(fTeam="All",$L372=fTeam),OR(fChannel="All",$F372=fChannel)),1,0))</f>
        <v>0</v>
      </c>
    </row>
    <row r="373">
      <c r="A373" s="63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3" t="n"/>
      <c r="R373" s="63" t="n"/>
      <c r="S373" s="63" t="n"/>
      <c r="T373" s="65" t="n"/>
      <c r="U373" s="65" t="n"/>
      <c r="V373" s="63" t="n"/>
      <c r="W373" s="65" t="n"/>
      <c r="X373" s="69" t="str">
        <f>IF(AND(ISNUMBER($Q373),ISNUMBER($R373)),$R373-$Q373,"")</f>
        <v/>
      </c>
      <c r="Y373" s="71" t="str">
        <f>IF($AB373=1,IF(AND(ISNUMBER($V373),$M373&lt;&gt;"Converted",$M373&lt;&gt;"Rejected"),IF($V373&lt;=ReportDate,"DUE",""),""),"")</f>
        <v/>
      </c>
      <c r="Z373" s="75" t="str">
        <f>IF(ISNUMBER($Q373),$Q373,IF(ISNUMBER($A373),$A373,""))</f>
        <v/>
      </c>
      <c r="AA373" s="71" t="str">
        <f>IF(ISNUMBER($Z373),YEAR($Z373)&amp;"-"&amp;TEXT(MONTH($Z373),"00"),"")</f>
        <v/>
      </c>
      <c r="AB373" s="71">
        <f>IF($H373&lt;&gt;"",1,0)</f>
        <v>0</v>
      </c>
      <c r="AC373" s="71">
        <f>IF(AND($AB373=1,$G373="Yes"),1,0)</f>
        <v>0</v>
      </c>
      <c r="AD373" s="71">
        <f>IF(AND($AB373=1,$N373="MQL"),1,0)</f>
        <v>0</v>
      </c>
      <c r="AE373" s="71">
        <f>IF(AND($AB373=1,$O373="SQL"),1,0)</f>
        <v>0</v>
      </c>
      <c r="AF373" s="71">
        <f>IF(AND($AB373=1,OR($P373="Open",$P373="Won",$P373="Lost")),1,0)</f>
        <v>0</v>
      </c>
      <c r="AG373" s="71">
        <f>IF(AND($AB373=1,OR($M373="Converted",$P373="Won")),1,0)</f>
        <v>0</v>
      </c>
      <c r="AH373" s="71">
        <f>IF($AB373=0,0,IF(AND(OR(fClient="All",$B373=fClient),OR(fCampaign="All",$C373=fCampaign),OR(fTeam="All",$L373=fTeam),OR(fChannel="All",$F373=fChannel),OR(fMonth="All",$AA373=fMonth)),1,0))</f>
        <v>0</v>
      </c>
      <c r="AI373" s="71">
        <f>IF($AB373=0,0,IF(AND(OR(fClient="All",$B373=fClient),OR(fCampaign="All",$C373=fCampaign),OR(fTeam="All",$L373=fTeam),OR(fChannel="All",$F373=fChannel)),1,0))</f>
        <v>0</v>
      </c>
    </row>
    <row r="374">
      <c r="A374" s="63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3" t="n"/>
      <c r="R374" s="63" t="n"/>
      <c r="S374" s="63" t="n"/>
      <c r="T374" s="65" t="n"/>
      <c r="U374" s="65" t="n"/>
      <c r="V374" s="63" t="n"/>
      <c r="W374" s="65" t="n"/>
      <c r="X374" s="69" t="str">
        <f>IF(AND(ISNUMBER($Q374),ISNUMBER($R374)),$R374-$Q374,"")</f>
        <v/>
      </c>
      <c r="Y374" s="71" t="str">
        <f>IF($AB374=1,IF(AND(ISNUMBER($V374),$M374&lt;&gt;"Converted",$M374&lt;&gt;"Rejected"),IF($V374&lt;=ReportDate,"DUE",""),""),"")</f>
        <v/>
      </c>
      <c r="Z374" s="75" t="str">
        <f>IF(ISNUMBER($Q374),$Q374,IF(ISNUMBER($A374),$A374,""))</f>
        <v/>
      </c>
      <c r="AA374" s="71" t="str">
        <f>IF(ISNUMBER($Z374),YEAR($Z374)&amp;"-"&amp;TEXT(MONTH($Z374),"00"),"")</f>
        <v/>
      </c>
      <c r="AB374" s="71">
        <f>IF($H374&lt;&gt;"",1,0)</f>
        <v>0</v>
      </c>
      <c r="AC374" s="71">
        <f>IF(AND($AB374=1,$G374="Yes"),1,0)</f>
        <v>0</v>
      </c>
      <c r="AD374" s="71">
        <f>IF(AND($AB374=1,$N374="MQL"),1,0)</f>
        <v>0</v>
      </c>
      <c r="AE374" s="71">
        <f>IF(AND($AB374=1,$O374="SQL"),1,0)</f>
        <v>0</v>
      </c>
      <c r="AF374" s="71">
        <f>IF(AND($AB374=1,OR($P374="Open",$P374="Won",$P374="Lost")),1,0)</f>
        <v>0</v>
      </c>
      <c r="AG374" s="71">
        <f>IF(AND($AB374=1,OR($M374="Converted",$P374="Won")),1,0)</f>
        <v>0</v>
      </c>
      <c r="AH374" s="71">
        <f>IF($AB374=0,0,IF(AND(OR(fClient="All",$B374=fClient),OR(fCampaign="All",$C374=fCampaign),OR(fTeam="All",$L374=fTeam),OR(fChannel="All",$F374=fChannel),OR(fMonth="All",$AA374=fMonth)),1,0))</f>
        <v>0</v>
      </c>
      <c r="AI374" s="71">
        <f>IF($AB374=0,0,IF(AND(OR(fClient="All",$B374=fClient),OR(fCampaign="All",$C374=fCampaign),OR(fTeam="All",$L374=fTeam),OR(fChannel="All",$F374=fChannel)),1,0))</f>
        <v>0</v>
      </c>
    </row>
    <row r="375">
      <c r="A375" s="63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3" t="n"/>
      <c r="R375" s="63" t="n"/>
      <c r="S375" s="63" t="n"/>
      <c r="T375" s="65" t="n"/>
      <c r="U375" s="65" t="n"/>
      <c r="V375" s="63" t="n"/>
      <c r="W375" s="65" t="n"/>
      <c r="X375" s="69" t="str">
        <f>IF(AND(ISNUMBER($Q375),ISNUMBER($R375)),$R375-$Q375,"")</f>
        <v/>
      </c>
      <c r="Y375" s="71" t="str">
        <f>IF($AB375=1,IF(AND(ISNUMBER($V375),$M375&lt;&gt;"Converted",$M375&lt;&gt;"Rejected"),IF($V375&lt;=ReportDate,"DUE",""),""),"")</f>
        <v/>
      </c>
      <c r="Z375" s="75" t="str">
        <f>IF(ISNUMBER($Q375),$Q375,IF(ISNUMBER($A375),$A375,""))</f>
        <v/>
      </c>
      <c r="AA375" s="71" t="str">
        <f>IF(ISNUMBER($Z375),YEAR($Z375)&amp;"-"&amp;TEXT(MONTH($Z375),"00"),"")</f>
        <v/>
      </c>
      <c r="AB375" s="71">
        <f>IF($H375&lt;&gt;"",1,0)</f>
        <v>0</v>
      </c>
      <c r="AC375" s="71">
        <f>IF(AND($AB375=1,$G375="Yes"),1,0)</f>
        <v>0</v>
      </c>
      <c r="AD375" s="71">
        <f>IF(AND($AB375=1,$N375="MQL"),1,0)</f>
        <v>0</v>
      </c>
      <c r="AE375" s="71">
        <f>IF(AND($AB375=1,$O375="SQL"),1,0)</f>
        <v>0</v>
      </c>
      <c r="AF375" s="71">
        <f>IF(AND($AB375=1,OR($P375="Open",$P375="Won",$P375="Lost")),1,0)</f>
        <v>0</v>
      </c>
      <c r="AG375" s="71">
        <f>IF(AND($AB375=1,OR($M375="Converted",$P375="Won")),1,0)</f>
        <v>0</v>
      </c>
      <c r="AH375" s="71">
        <f>IF($AB375=0,0,IF(AND(OR(fClient="All",$B375=fClient),OR(fCampaign="All",$C375=fCampaign),OR(fTeam="All",$L375=fTeam),OR(fChannel="All",$F375=fChannel),OR(fMonth="All",$AA375=fMonth)),1,0))</f>
        <v>0</v>
      </c>
      <c r="AI375" s="71">
        <f>IF($AB375=0,0,IF(AND(OR(fClient="All",$B375=fClient),OR(fCampaign="All",$C375=fCampaign),OR(fTeam="All",$L375=fTeam),OR(fChannel="All",$F375=fChannel)),1,0))</f>
        <v>0</v>
      </c>
    </row>
    <row r="376">
      <c r="A376" s="63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3" t="n"/>
      <c r="R376" s="63" t="n"/>
      <c r="S376" s="63" t="n"/>
      <c r="T376" s="65" t="n"/>
      <c r="U376" s="65" t="n"/>
      <c r="V376" s="63" t="n"/>
      <c r="W376" s="65" t="n"/>
      <c r="X376" s="69" t="str">
        <f>IF(AND(ISNUMBER($Q376),ISNUMBER($R376)),$R376-$Q376,"")</f>
        <v/>
      </c>
      <c r="Y376" s="71" t="str">
        <f>IF($AB376=1,IF(AND(ISNUMBER($V376),$M376&lt;&gt;"Converted",$M376&lt;&gt;"Rejected"),IF($V376&lt;=ReportDate,"DUE",""),""),"")</f>
        <v/>
      </c>
      <c r="Z376" s="75" t="str">
        <f>IF(ISNUMBER($Q376),$Q376,IF(ISNUMBER($A376),$A376,""))</f>
        <v/>
      </c>
      <c r="AA376" s="71" t="str">
        <f>IF(ISNUMBER($Z376),YEAR($Z376)&amp;"-"&amp;TEXT(MONTH($Z376),"00"),"")</f>
        <v/>
      </c>
      <c r="AB376" s="71">
        <f>IF($H376&lt;&gt;"",1,0)</f>
        <v>0</v>
      </c>
      <c r="AC376" s="71">
        <f>IF(AND($AB376=1,$G376="Yes"),1,0)</f>
        <v>0</v>
      </c>
      <c r="AD376" s="71">
        <f>IF(AND($AB376=1,$N376="MQL"),1,0)</f>
        <v>0</v>
      </c>
      <c r="AE376" s="71">
        <f>IF(AND($AB376=1,$O376="SQL"),1,0)</f>
        <v>0</v>
      </c>
      <c r="AF376" s="71">
        <f>IF(AND($AB376=1,OR($P376="Open",$P376="Won",$P376="Lost")),1,0)</f>
        <v>0</v>
      </c>
      <c r="AG376" s="71">
        <f>IF(AND($AB376=1,OR($M376="Converted",$P376="Won")),1,0)</f>
        <v>0</v>
      </c>
      <c r="AH376" s="71">
        <f>IF($AB376=0,0,IF(AND(OR(fClient="All",$B376=fClient),OR(fCampaign="All",$C376=fCampaign),OR(fTeam="All",$L376=fTeam),OR(fChannel="All",$F376=fChannel),OR(fMonth="All",$AA376=fMonth)),1,0))</f>
        <v>0</v>
      </c>
      <c r="AI376" s="71">
        <f>IF($AB376=0,0,IF(AND(OR(fClient="All",$B376=fClient),OR(fCampaign="All",$C376=fCampaign),OR(fTeam="All",$L376=fTeam),OR(fChannel="All",$F376=fChannel)),1,0))</f>
        <v>0</v>
      </c>
    </row>
    <row r="377">
      <c r="A377" s="63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3" t="n"/>
      <c r="R377" s="63" t="n"/>
      <c r="S377" s="63" t="n"/>
      <c r="T377" s="65" t="n"/>
      <c r="U377" s="65" t="n"/>
      <c r="V377" s="63" t="n"/>
      <c r="W377" s="65" t="n"/>
      <c r="X377" s="69" t="str">
        <f>IF(AND(ISNUMBER($Q377),ISNUMBER($R377)),$R377-$Q377,"")</f>
        <v/>
      </c>
      <c r="Y377" s="71" t="str">
        <f>IF($AB377=1,IF(AND(ISNUMBER($V377),$M377&lt;&gt;"Converted",$M377&lt;&gt;"Rejected"),IF($V377&lt;=ReportDate,"DUE",""),""),"")</f>
        <v/>
      </c>
      <c r="Z377" s="75" t="str">
        <f>IF(ISNUMBER($Q377),$Q377,IF(ISNUMBER($A377),$A377,""))</f>
        <v/>
      </c>
      <c r="AA377" s="71" t="str">
        <f>IF(ISNUMBER($Z377),YEAR($Z377)&amp;"-"&amp;TEXT(MONTH($Z377),"00"),"")</f>
        <v/>
      </c>
      <c r="AB377" s="71">
        <f>IF($H377&lt;&gt;"",1,0)</f>
        <v>0</v>
      </c>
      <c r="AC377" s="71">
        <f>IF(AND($AB377=1,$G377="Yes"),1,0)</f>
        <v>0</v>
      </c>
      <c r="AD377" s="71">
        <f>IF(AND($AB377=1,$N377="MQL"),1,0)</f>
        <v>0</v>
      </c>
      <c r="AE377" s="71">
        <f>IF(AND($AB377=1,$O377="SQL"),1,0)</f>
        <v>0</v>
      </c>
      <c r="AF377" s="71">
        <f>IF(AND($AB377=1,OR($P377="Open",$P377="Won",$P377="Lost")),1,0)</f>
        <v>0</v>
      </c>
      <c r="AG377" s="71">
        <f>IF(AND($AB377=1,OR($M377="Converted",$P377="Won")),1,0)</f>
        <v>0</v>
      </c>
      <c r="AH377" s="71">
        <f>IF($AB377=0,0,IF(AND(OR(fClient="All",$B377=fClient),OR(fCampaign="All",$C377=fCampaign),OR(fTeam="All",$L377=fTeam),OR(fChannel="All",$F377=fChannel),OR(fMonth="All",$AA377=fMonth)),1,0))</f>
        <v>0</v>
      </c>
      <c r="AI377" s="71">
        <f>IF($AB377=0,0,IF(AND(OR(fClient="All",$B377=fClient),OR(fCampaign="All",$C377=fCampaign),OR(fTeam="All",$L377=fTeam),OR(fChannel="All",$F377=fChannel)),1,0))</f>
        <v>0</v>
      </c>
    </row>
    <row r="378">
      <c r="A378" s="63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3" t="n"/>
      <c r="R378" s="63" t="n"/>
      <c r="S378" s="63" t="n"/>
      <c r="T378" s="65" t="n"/>
      <c r="U378" s="65" t="n"/>
      <c r="V378" s="63" t="n"/>
      <c r="W378" s="65" t="n"/>
      <c r="X378" s="69" t="str">
        <f>IF(AND(ISNUMBER($Q378),ISNUMBER($R378)),$R378-$Q378,"")</f>
        <v/>
      </c>
      <c r="Y378" s="71" t="str">
        <f>IF($AB378=1,IF(AND(ISNUMBER($V378),$M378&lt;&gt;"Converted",$M378&lt;&gt;"Rejected"),IF($V378&lt;=ReportDate,"DUE",""),""),"")</f>
        <v/>
      </c>
      <c r="Z378" s="75" t="str">
        <f>IF(ISNUMBER($Q378),$Q378,IF(ISNUMBER($A378),$A378,""))</f>
        <v/>
      </c>
      <c r="AA378" s="71" t="str">
        <f>IF(ISNUMBER($Z378),YEAR($Z378)&amp;"-"&amp;TEXT(MONTH($Z378),"00"),"")</f>
        <v/>
      </c>
      <c r="AB378" s="71">
        <f>IF($H378&lt;&gt;"",1,0)</f>
        <v>0</v>
      </c>
      <c r="AC378" s="71">
        <f>IF(AND($AB378=1,$G378="Yes"),1,0)</f>
        <v>0</v>
      </c>
      <c r="AD378" s="71">
        <f>IF(AND($AB378=1,$N378="MQL"),1,0)</f>
        <v>0</v>
      </c>
      <c r="AE378" s="71">
        <f>IF(AND($AB378=1,$O378="SQL"),1,0)</f>
        <v>0</v>
      </c>
      <c r="AF378" s="71">
        <f>IF(AND($AB378=1,OR($P378="Open",$P378="Won",$P378="Lost")),1,0)</f>
        <v>0</v>
      </c>
      <c r="AG378" s="71">
        <f>IF(AND($AB378=1,OR($M378="Converted",$P378="Won")),1,0)</f>
        <v>0</v>
      </c>
      <c r="AH378" s="71">
        <f>IF($AB378=0,0,IF(AND(OR(fClient="All",$B378=fClient),OR(fCampaign="All",$C378=fCampaign),OR(fTeam="All",$L378=fTeam),OR(fChannel="All",$F378=fChannel),OR(fMonth="All",$AA378=fMonth)),1,0))</f>
        <v>0</v>
      </c>
      <c r="AI378" s="71">
        <f>IF($AB378=0,0,IF(AND(OR(fClient="All",$B378=fClient),OR(fCampaign="All",$C378=fCampaign),OR(fTeam="All",$L378=fTeam),OR(fChannel="All",$F378=fChannel)),1,0))</f>
        <v>0</v>
      </c>
    </row>
    <row r="379">
      <c r="A379" s="63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3" t="n"/>
      <c r="R379" s="63" t="n"/>
      <c r="S379" s="63" t="n"/>
      <c r="T379" s="65" t="n"/>
      <c r="U379" s="65" t="n"/>
      <c r="V379" s="63" t="n"/>
      <c r="W379" s="65" t="n"/>
      <c r="X379" s="69" t="str">
        <f>IF(AND(ISNUMBER($Q379),ISNUMBER($R379)),$R379-$Q379,"")</f>
        <v/>
      </c>
      <c r="Y379" s="71" t="str">
        <f>IF($AB379=1,IF(AND(ISNUMBER($V379),$M379&lt;&gt;"Converted",$M379&lt;&gt;"Rejected"),IF($V379&lt;=ReportDate,"DUE",""),""),"")</f>
        <v/>
      </c>
      <c r="Z379" s="75" t="str">
        <f>IF(ISNUMBER($Q379),$Q379,IF(ISNUMBER($A379),$A379,""))</f>
        <v/>
      </c>
      <c r="AA379" s="71" t="str">
        <f>IF(ISNUMBER($Z379),YEAR($Z379)&amp;"-"&amp;TEXT(MONTH($Z379),"00"),"")</f>
        <v/>
      </c>
      <c r="AB379" s="71">
        <f>IF($H379&lt;&gt;"",1,0)</f>
        <v>0</v>
      </c>
      <c r="AC379" s="71">
        <f>IF(AND($AB379=1,$G379="Yes"),1,0)</f>
        <v>0</v>
      </c>
      <c r="AD379" s="71">
        <f>IF(AND($AB379=1,$N379="MQL"),1,0)</f>
        <v>0</v>
      </c>
      <c r="AE379" s="71">
        <f>IF(AND($AB379=1,$O379="SQL"),1,0)</f>
        <v>0</v>
      </c>
      <c r="AF379" s="71">
        <f>IF(AND($AB379=1,OR($P379="Open",$P379="Won",$P379="Lost")),1,0)</f>
        <v>0</v>
      </c>
      <c r="AG379" s="71">
        <f>IF(AND($AB379=1,OR($M379="Converted",$P379="Won")),1,0)</f>
        <v>0</v>
      </c>
      <c r="AH379" s="71">
        <f>IF($AB379=0,0,IF(AND(OR(fClient="All",$B379=fClient),OR(fCampaign="All",$C379=fCampaign),OR(fTeam="All",$L379=fTeam),OR(fChannel="All",$F379=fChannel),OR(fMonth="All",$AA379=fMonth)),1,0))</f>
        <v>0</v>
      </c>
      <c r="AI379" s="71">
        <f>IF($AB379=0,0,IF(AND(OR(fClient="All",$B379=fClient),OR(fCampaign="All",$C379=fCampaign),OR(fTeam="All",$L379=fTeam),OR(fChannel="All",$F379=fChannel)),1,0))</f>
        <v>0</v>
      </c>
    </row>
    <row r="380">
      <c r="A380" s="63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3" t="n"/>
      <c r="R380" s="63" t="n"/>
      <c r="S380" s="63" t="n"/>
      <c r="T380" s="65" t="n"/>
      <c r="U380" s="65" t="n"/>
      <c r="V380" s="63" t="n"/>
      <c r="W380" s="65" t="n"/>
      <c r="X380" s="69" t="str">
        <f>IF(AND(ISNUMBER($Q380),ISNUMBER($R380)),$R380-$Q380,"")</f>
        <v/>
      </c>
      <c r="Y380" s="71" t="str">
        <f>IF($AB380=1,IF(AND(ISNUMBER($V380),$M380&lt;&gt;"Converted",$M380&lt;&gt;"Rejected"),IF($V380&lt;=ReportDate,"DUE",""),""),"")</f>
        <v/>
      </c>
      <c r="Z380" s="75" t="str">
        <f>IF(ISNUMBER($Q380),$Q380,IF(ISNUMBER($A380),$A380,""))</f>
        <v/>
      </c>
      <c r="AA380" s="71" t="str">
        <f>IF(ISNUMBER($Z380),YEAR($Z380)&amp;"-"&amp;TEXT(MONTH($Z380),"00"),"")</f>
        <v/>
      </c>
      <c r="AB380" s="71">
        <f>IF($H380&lt;&gt;"",1,0)</f>
        <v>0</v>
      </c>
      <c r="AC380" s="71">
        <f>IF(AND($AB380=1,$G380="Yes"),1,0)</f>
        <v>0</v>
      </c>
      <c r="AD380" s="71">
        <f>IF(AND($AB380=1,$N380="MQL"),1,0)</f>
        <v>0</v>
      </c>
      <c r="AE380" s="71">
        <f>IF(AND($AB380=1,$O380="SQL"),1,0)</f>
        <v>0</v>
      </c>
      <c r="AF380" s="71">
        <f>IF(AND($AB380=1,OR($P380="Open",$P380="Won",$P380="Lost")),1,0)</f>
        <v>0</v>
      </c>
      <c r="AG380" s="71">
        <f>IF(AND($AB380=1,OR($M380="Converted",$P380="Won")),1,0)</f>
        <v>0</v>
      </c>
      <c r="AH380" s="71">
        <f>IF($AB380=0,0,IF(AND(OR(fClient="All",$B380=fClient),OR(fCampaign="All",$C380=fCampaign),OR(fTeam="All",$L380=fTeam),OR(fChannel="All",$F380=fChannel),OR(fMonth="All",$AA380=fMonth)),1,0))</f>
        <v>0</v>
      </c>
      <c r="AI380" s="71">
        <f>IF($AB380=0,0,IF(AND(OR(fClient="All",$B380=fClient),OR(fCampaign="All",$C380=fCampaign),OR(fTeam="All",$L380=fTeam),OR(fChannel="All",$F380=fChannel)),1,0))</f>
        <v>0</v>
      </c>
    </row>
    <row r="381">
      <c r="A381" s="63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3" t="n"/>
      <c r="R381" s="63" t="n"/>
      <c r="S381" s="63" t="n"/>
      <c r="T381" s="65" t="n"/>
      <c r="U381" s="65" t="n"/>
      <c r="V381" s="63" t="n"/>
      <c r="W381" s="65" t="n"/>
      <c r="X381" s="69" t="str">
        <f>IF(AND(ISNUMBER($Q381),ISNUMBER($R381)),$R381-$Q381,"")</f>
        <v/>
      </c>
      <c r="Y381" s="71" t="str">
        <f>IF($AB381=1,IF(AND(ISNUMBER($V381),$M381&lt;&gt;"Converted",$M381&lt;&gt;"Rejected"),IF($V381&lt;=ReportDate,"DUE",""),""),"")</f>
        <v/>
      </c>
      <c r="Z381" s="75" t="str">
        <f>IF(ISNUMBER($Q381),$Q381,IF(ISNUMBER($A381),$A381,""))</f>
        <v/>
      </c>
      <c r="AA381" s="71" t="str">
        <f>IF(ISNUMBER($Z381),YEAR($Z381)&amp;"-"&amp;TEXT(MONTH($Z381),"00"),"")</f>
        <v/>
      </c>
      <c r="AB381" s="71">
        <f>IF($H381&lt;&gt;"",1,0)</f>
        <v>0</v>
      </c>
      <c r="AC381" s="71">
        <f>IF(AND($AB381=1,$G381="Yes"),1,0)</f>
        <v>0</v>
      </c>
      <c r="AD381" s="71">
        <f>IF(AND($AB381=1,$N381="MQL"),1,0)</f>
        <v>0</v>
      </c>
      <c r="AE381" s="71">
        <f>IF(AND($AB381=1,$O381="SQL"),1,0)</f>
        <v>0</v>
      </c>
      <c r="AF381" s="71">
        <f>IF(AND($AB381=1,OR($P381="Open",$P381="Won",$P381="Lost")),1,0)</f>
        <v>0</v>
      </c>
      <c r="AG381" s="71">
        <f>IF(AND($AB381=1,OR($M381="Converted",$P381="Won")),1,0)</f>
        <v>0</v>
      </c>
      <c r="AH381" s="71">
        <f>IF($AB381=0,0,IF(AND(OR(fClient="All",$B381=fClient),OR(fCampaign="All",$C381=fCampaign),OR(fTeam="All",$L381=fTeam),OR(fChannel="All",$F381=fChannel),OR(fMonth="All",$AA381=fMonth)),1,0))</f>
        <v>0</v>
      </c>
      <c r="AI381" s="71">
        <f>IF($AB381=0,0,IF(AND(OR(fClient="All",$B381=fClient),OR(fCampaign="All",$C381=fCampaign),OR(fTeam="All",$L381=fTeam),OR(fChannel="All",$F381=fChannel)),1,0))</f>
        <v>0</v>
      </c>
    </row>
    <row r="382">
      <c r="A382" s="63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3" t="n"/>
      <c r="R382" s="63" t="n"/>
      <c r="S382" s="63" t="n"/>
      <c r="T382" s="65" t="n"/>
      <c r="U382" s="65" t="n"/>
      <c r="V382" s="63" t="n"/>
      <c r="W382" s="65" t="n"/>
      <c r="X382" s="69" t="str">
        <f>IF(AND(ISNUMBER($Q382),ISNUMBER($R382)),$R382-$Q382,"")</f>
        <v/>
      </c>
      <c r="Y382" s="71" t="str">
        <f>IF($AB382=1,IF(AND(ISNUMBER($V382),$M382&lt;&gt;"Converted",$M382&lt;&gt;"Rejected"),IF($V382&lt;=ReportDate,"DUE",""),""),"")</f>
        <v/>
      </c>
      <c r="Z382" s="75" t="str">
        <f>IF(ISNUMBER($Q382),$Q382,IF(ISNUMBER($A382),$A382,""))</f>
        <v/>
      </c>
      <c r="AA382" s="71" t="str">
        <f>IF(ISNUMBER($Z382),YEAR($Z382)&amp;"-"&amp;TEXT(MONTH($Z382),"00"),"")</f>
        <v/>
      </c>
      <c r="AB382" s="71">
        <f>IF($H382&lt;&gt;"",1,0)</f>
        <v>0</v>
      </c>
      <c r="AC382" s="71">
        <f>IF(AND($AB382=1,$G382="Yes"),1,0)</f>
        <v>0</v>
      </c>
      <c r="AD382" s="71">
        <f>IF(AND($AB382=1,$N382="MQL"),1,0)</f>
        <v>0</v>
      </c>
      <c r="AE382" s="71">
        <f>IF(AND($AB382=1,$O382="SQL"),1,0)</f>
        <v>0</v>
      </c>
      <c r="AF382" s="71">
        <f>IF(AND($AB382=1,OR($P382="Open",$P382="Won",$P382="Lost")),1,0)</f>
        <v>0</v>
      </c>
      <c r="AG382" s="71">
        <f>IF(AND($AB382=1,OR($M382="Converted",$P382="Won")),1,0)</f>
        <v>0</v>
      </c>
      <c r="AH382" s="71">
        <f>IF($AB382=0,0,IF(AND(OR(fClient="All",$B382=fClient),OR(fCampaign="All",$C382=fCampaign),OR(fTeam="All",$L382=fTeam),OR(fChannel="All",$F382=fChannel),OR(fMonth="All",$AA382=fMonth)),1,0))</f>
        <v>0</v>
      </c>
      <c r="AI382" s="71">
        <f>IF($AB382=0,0,IF(AND(OR(fClient="All",$B382=fClient),OR(fCampaign="All",$C382=fCampaign),OR(fTeam="All",$L382=fTeam),OR(fChannel="All",$F382=fChannel)),1,0))</f>
        <v>0</v>
      </c>
    </row>
    <row r="383">
      <c r="A383" s="63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3" t="n"/>
      <c r="R383" s="63" t="n"/>
      <c r="S383" s="63" t="n"/>
      <c r="T383" s="65" t="n"/>
      <c r="U383" s="65" t="n"/>
      <c r="V383" s="63" t="n"/>
      <c r="W383" s="65" t="n"/>
      <c r="X383" s="69" t="str">
        <f>IF(AND(ISNUMBER($Q383),ISNUMBER($R383)),$R383-$Q383,"")</f>
        <v/>
      </c>
      <c r="Y383" s="71" t="str">
        <f>IF($AB383=1,IF(AND(ISNUMBER($V383),$M383&lt;&gt;"Converted",$M383&lt;&gt;"Rejected"),IF($V383&lt;=ReportDate,"DUE",""),""),"")</f>
        <v/>
      </c>
      <c r="Z383" s="75" t="str">
        <f>IF(ISNUMBER($Q383),$Q383,IF(ISNUMBER($A383),$A383,""))</f>
        <v/>
      </c>
      <c r="AA383" s="71" t="str">
        <f>IF(ISNUMBER($Z383),YEAR($Z383)&amp;"-"&amp;TEXT(MONTH($Z383),"00"),"")</f>
        <v/>
      </c>
      <c r="AB383" s="71">
        <f>IF($H383&lt;&gt;"",1,0)</f>
        <v>0</v>
      </c>
      <c r="AC383" s="71">
        <f>IF(AND($AB383=1,$G383="Yes"),1,0)</f>
        <v>0</v>
      </c>
      <c r="AD383" s="71">
        <f>IF(AND($AB383=1,$N383="MQL"),1,0)</f>
        <v>0</v>
      </c>
      <c r="AE383" s="71">
        <f>IF(AND($AB383=1,$O383="SQL"),1,0)</f>
        <v>0</v>
      </c>
      <c r="AF383" s="71">
        <f>IF(AND($AB383=1,OR($P383="Open",$P383="Won",$P383="Lost")),1,0)</f>
        <v>0</v>
      </c>
      <c r="AG383" s="71">
        <f>IF(AND($AB383=1,OR($M383="Converted",$P383="Won")),1,0)</f>
        <v>0</v>
      </c>
      <c r="AH383" s="71">
        <f>IF($AB383=0,0,IF(AND(OR(fClient="All",$B383=fClient),OR(fCampaign="All",$C383=fCampaign),OR(fTeam="All",$L383=fTeam),OR(fChannel="All",$F383=fChannel),OR(fMonth="All",$AA383=fMonth)),1,0))</f>
        <v>0</v>
      </c>
      <c r="AI383" s="71">
        <f>IF($AB383=0,0,IF(AND(OR(fClient="All",$B383=fClient),OR(fCampaign="All",$C383=fCampaign),OR(fTeam="All",$L383=fTeam),OR(fChannel="All",$F383=fChannel)),1,0))</f>
        <v>0</v>
      </c>
    </row>
    <row r="384">
      <c r="A384" s="63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3" t="n"/>
      <c r="R384" s="63" t="n"/>
      <c r="S384" s="63" t="n"/>
      <c r="T384" s="65" t="n"/>
      <c r="U384" s="65" t="n"/>
      <c r="V384" s="63" t="n"/>
      <c r="W384" s="65" t="n"/>
      <c r="X384" s="69" t="str">
        <f>IF(AND(ISNUMBER($Q384),ISNUMBER($R384)),$R384-$Q384,"")</f>
        <v/>
      </c>
      <c r="Y384" s="71" t="str">
        <f>IF($AB384=1,IF(AND(ISNUMBER($V384),$M384&lt;&gt;"Converted",$M384&lt;&gt;"Rejected"),IF($V384&lt;=ReportDate,"DUE",""),""),"")</f>
        <v/>
      </c>
      <c r="Z384" s="75" t="str">
        <f>IF(ISNUMBER($Q384),$Q384,IF(ISNUMBER($A384),$A384,""))</f>
        <v/>
      </c>
      <c r="AA384" s="71" t="str">
        <f>IF(ISNUMBER($Z384),YEAR($Z384)&amp;"-"&amp;TEXT(MONTH($Z384),"00"),"")</f>
        <v/>
      </c>
      <c r="AB384" s="71">
        <f>IF($H384&lt;&gt;"",1,0)</f>
        <v>0</v>
      </c>
      <c r="AC384" s="71">
        <f>IF(AND($AB384=1,$G384="Yes"),1,0)</f>
        <v>0</v>
      </c>
      <c r="AD384" s="71">
        <f>IF(AND($AB384=1,$N384="MQL"),1,0)</f>
        <v>0</v>
      </c>
      <c r="AE384" s="71">
        <f>IF(AND($AB384=1,$O384="SQL"),1,0)</f>
        <v>0</v>
      </c>
      <c r="AF384" s="71">
        <f>IF(AND($AB384=1,OR($P384="Open",$P384="Won",$P384="Lost")),1,0)</f>
        <v>0</v>
      </c>
      <c r="AG384" s="71">
        <f>IF(AND($AB384=1,OR($M384="Converted",$P384="Won")),1,0)</f>
        <v>0</v>
      </c>
      <c r="AH384" s="71">
        <f>IF($AB384=0,0,IF(AND(OR(fClient="All",$B384=fClient),OR(fCampaign="All",$C384=fCampaign),OR(fTeam="All",$L384=fTeam),OR(fChannel="All",$F384=fChannel),OR(fMonth="All",$AA384=fMonth)),1,0))</f>
        <v>0</v>
      </c>
      <c r="AI384" s="71">
        <f>IF($AB384=0,0,IF(AND(OR(fClient="All",$B384=fClient),OR(fCampaign="All",$C384=fCampaign),OR(fTeam="All",$L384=fTeam),OR(fChannel="All",$F384=fChannel)),1,0))</f>
        <v>0</v>
      </c>
    </row>
    <row r="385">
      <c r="A385" s="63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3" t="n"/>
      <c r="R385" s="63" t="n"/>
      <c r="S385" s="63" t="n"/>
      <c r="T385" s="65" t="n"/>
      <c r="U385" s="65" t="n"/>
      <c r="V385" s="63" t="n"/>
      <c r="W385" s="65" t="n"/>
      <c r="X385" s="69" t="str">
        <f>IF(AND(ISNUMBER($Q385),ISNUMBER($R385)),$R385-$Q385,"")</f>
        <v/>
      </c>
      <c r="Y385" s="71" t="str">
        <f>IF($AB385=1,IF(AND(ISNUMBER($V385),$M385&lt;&gt;"Converted",$M385&lt;&gt;"Rejected"),IF($V385&lt;=ReportDate,"DUE",""),""),"")</f>
        <v/>
      </c>
      <c r="Z385" s="75" t="str">
        <f>IF(ISNUMBER($Q385),$Q385,IF(ISNUMBER($A385),$A385,""))</f>
        <v/>
      </c>
      <c r="AA385" s="71" t="str">
        <f>IF(ISNUMBER($Z385),YEAR($Z385)&amp;"-"&amp;TEXT(MONTH($Z385),"00"),"")</f>
        <v/>
      </c>
      <c r="AB385" s="71">
        <f>IF($H385&lt;&gt;"",1,0)</f>
        <v>0</v>
      </c>
      <c r="AC385" s="71">
        <f>IF(AND($AB385=1,$G385="Yes"),1,0)</f>
        <v>0</v>
      </c>
      <c r="AD385" s="71">
        <f>IF(AND($AB385=1,$N385="MQL"),1,0)</f>
        <v>0</v>
      </c>
      <c r="AE385" s="71">
        <f>IF(AND($AB385=1,$O385="SQL"),1,0)</f>
        <v>0</v>
      </c>
      <c r="AF385" s="71">
        <f>IF(AND($AB385=1,OR($P385="Open",$P385="Won",$P385="Lost")),1,0)</f>
        <v>0</v>
      </c>
      <c r="AG385" s="71">
        <f>IF(AND($AB385=1,OR($M385="Converted",$P385="Won")),1,0)</f>
        <v>0</v>
      </c>
      <c r="AH385" s="71">
        <f>IF($AB385=0,0,IF(AND(OR(fClient="All",$B385=fClient),OR(fCampaign="All",$C385=fCampaign),OR(fTeam="All",$L385=fTeam),OR(fChannel="All",$F385=fChannel),OR(fMonth="All",$AA385=fMonth)),1,0))</f>
        <v>0</v>
      </c>
      <c r="AI385" s="71">
        <f>IF($AB385=0,0,IF(AND(OR(fClient="All",$B385=fClient),OR(fCampaign="All",$C385=fCampaign),OR(fTeam="All",$L385=fTeam),OR(fChannel="All",$F385=fChannel)),1,0))</f>
        <v>0</v>
      </c>
    </row>
    <row r="386">
      <c r="A386" s="63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3" t="n"/>
      <c r="R386" s="63" t="n"/>
      <c r="S386" s="63" t="n"/>
      <c r="T386" s="65" t="n"/>
      <c r="U386" s="65" t="n"/>
      <c r="V386" s="63" t="n"/>
      <c r="W386" s="65" t="n"/>
      <c r="X386" s="69" t="str">
        <f>IF(AND(ISNUMBER($Q386),ISNUMBER($R386)),$R386-$Q386,"")</f>
        <v/>
      </c>
      <c r="Y386" s="71" t="str">
        <f>IF($AB386=1,IF(AND(ISNUMBER($V386),$M386&lt;&gt;"Converted",$M386&lt;&gt;"Rejected"),IF($V386&lt;=ReportDate,"DUE",""),""),"")</f>
        <v/>
      </c>
      <c r="Z386" s="75" t="str">
        <f>IF(ISNUMBER($Q386),$Q386,IF(ISNUMBER($A386),$A386,""))</f>
        <v/>
      </c>
      <c r="AA386" s="71" t="str">
        <f>IF(ISNUMBER($Z386),YEAR($Z386)&amp;"-"&amp;TEXT(MONTH($Z386),"00"),"")</f>
        <v/>
      </c>
      <c r="AB386" s="71">
        <f>IF($H386&lt;&gt;"",1,0)</f>
        <v>0</v>
      </c>
      <c r="AC386" s="71">
        <f>IF(AND($AB386=1,$G386="Yes"),1,0)</f>
        <v>0</v>
      </c>
      <c r="AD386" s="71">
        <f>IF(AND($AB386=1,$N386="MQL"),1,0)</f>
        <v>0</v>
      </c>
      <c r="AE386" s="71">
        <f>IF(AND($AB386=1,$O386="SQL"),1,0)</f>
        <v>0</v>
      </c>
      <c r="AF386" s="71">
        <f>IF(AND($AB386=1,OR($P386="Open",$P386="Won",$P386="Lost")),1,0)</f>
        <v>0</v>
      </c>
      <c r="AG386" s="71">
        <f>IF(AND($AB386=1,OR($M386="Converted",$P386="Won")),1,0)</f>
        <v>0</v>
      </c>
      <c r="AH386" s="71">
        <f>IF($AB386=0,0,IF(AND(OR(fClient="All",$B386=fClient),OR(fCampaign="All",$C386=fCampaign),OR(fTeam="All",$L386=fTeam),OR(fChannel="All",$F386=fChannel),OR(fMonth="All",$AA386=fMonth)),1,0))</f>
        <v>0</v>
      </c>
      <c r="AI386" s="71">
        <f>IF($AB386=0,0,IF(AND(OR(fClient="All",$B386=fClient),OR(fCampaign="All",$C386=fCampaign),OR(fTeam="All",$L386=fTeam),OR(fChannel="All",$F386=fChannel)),1,0))</f>
        <v>0</v>
      </c>
    </row>
    <row r="387">
      <c r="A387" s="63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3" t="n"/>
      <c r="R387" s="63" t="n"/>
      <c r="S387" s="63" t="n"/>
      <c r="T387" s="65" t="n"/>
      <c r="U387" s="65" t="n"/>
      <c r="V387" s="63" t="n"/>
      <c r="W387" s="65" t="n"/>
      <c r="X387" s="69" t="str">
        <f>IF(AND(ISNUMBER($Q387),ISNUMBER($R387)),$R387-$Q387,"")</f>
        <v/>
      </c>
      <c r="Y387" s="71" t="str">
        <f>IF($AB387=1,IF(AND(ISNUMBER($V387),$M387&lt;&gt;"Converted",$M387&lt;&gt;"Rejected"),IF($V387&lt;=ReportDate,"DUE",""),""),"")</f>
        <v/>
      </c>
      <c r="Z387" s="75" t="str">
        <f>IF(ISNUMBER($Q387),$Q387,IF(ISNUMBER($A387),$A387,""))</f>
        <v/>
      </c>
      <c r="AA387" s="71" t="str">
        <f>IF(ISNUMBER($Z387),YEAR($Z387)&amp;"-"&amp;TEXT(MONTH($Z387),"00"),"")</f>
        <v/>
      </c>
      <c r="AB387" s="71">
        <f>IF($H387&lt;&gt;"",1,0)</f>
        <v>0</v>
      </c>
      <c r="AC387" s="71">
        <f>IF(AND($AB387=1,$G387="Yes"),1,0)</f>
        <v>0</v>
      </c>
      <c r="AD387" s="71">
        <f>IF(AND($AB387=1,$N387="MQL"),1,0)</f>
        <v>0</v>
      </c>
      <c r="AE387" s="71">
        <f>IF(AND($AB387=1,$O387="SQL"),1,0)</f>
        <v>0</v>
      </c>
      <c r="AF387" s="71">
        <f>IF(AND($AB387=1,OR($P387="Open",$P387="Won",$P387="Lost")),1,0)</f>
        <v>0</v>
      </c>
      <c r="AG387" s="71">
        <f>IF(AND($AB387=1,OR($M387="Converted",$P387="Won")),1,0)</f>
        <v>0</v>
      </c>
      <c r="AH387" s="71">
        <f>IF($AB387=0,0,IF(AND(OR(fClient="All",$B387=fClient),OR(fCampaign="All",$C387=fCampaign),OR(fTeam="All",$L387=fTeam),OR(fChannel="All",$F387=fChannel),OR(fMonth="All",$AA387=fMonth)),1,0))</f>
        <v>0</v>
      </c>
      <c r="AI387" s="71">
        <f>IF($AB387=0,0,IF(AND(OR(fClient="All",$B387=fClient),OR(fCampaign="All",$C387=fCampaign),OR(fTeam="All",$L387=fTeam),OR(fChannel="All",$F387=fChannel)),1,0))</f>
        <v>0</v>
      </c>
    </row>
    <row r="388">
      <c r="A388" s="63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3" t="n"/>
      <c r="R388" s="63" t="n"/>
      <c r="S388" s="63" t="n"/>
      <c r="T388" s="65" t="n"/>
      <c r="U388" s="65" t="n"/>
      <c r="V388" s="63" t="n"/>
      <c r="W388" s="65" t="n"/>
      <c r="X388" s="69" t="str">
        <f>IF(AND(ISNUMBER($Q388),ISNUMBER($R388)),$R388-$Q388,"")</f>
        <v/>
      </c>
      <c r="Y388" s="71" t="str">
        <f>IF($AB388=1,IF(AND(ISNUMBER($V388),$M388&lt;&gt;"Converted",$M388&lt;&gt;"Rejected"),IF($V388&lt;=ReportDate,"DUE",""),""),"")</f>
        <v/>
      </c>
      <c r="Z388" s="75" t="str">
        <f>IF(ISNUMBER($Q388),$Q388,IF(ISNUMBER($A388),$A388,""))</f>
        <v/>
      </c>
      <c r="AA388" s="71" t="str">
        <f>IF(ISNUMBER($Z388),YEAR($Z388)&amp;"-"&amp;TEXT(MONTH($Z388),"00"),"")</f>
        <v/>
      </c>
      <c r="AB388" s="71">
        <f>IF($H388&lt;&gt;"",1,0)</f>
        <v>0</v>
      </c>
      <c r="AC388" s="71">
        <f>IF(AND($AB388=1,$G388="Yes"),1,0)</f>
        <v>0</v>
      </c>
      <c r="AD388" s="71">
        <f>IF(AND($AB388=1,$N388="MQL"),1,0)</f>
        <v>0</v>
      </c>
      <c r="AE388" s="71">
        <f>IF(AND($AB388=1,$O388="SQL"),1,0)</f>
        <v>0</v>
      </c>
      <c r="AF388" s="71">
        <f>IF(AND($AB388=1,OR($P388="Open",$P388="Won",$P388="Lost")),1,0)</f>
        <v>0</v>
      </c>
      <c r="AG388" s="71">
        <f>IF(AND($AB388=1,OR($M388="Converted",$P388="Won")),1,0)</f>
        <v>0</v>
      </c>
      <c r="AH388" s="71">
        <f>IF($AB388=0,0,IF(AND(OR(fClient="All",$B388=fClient),OR(fCampaign="All",$C388=fCampaign),OR(fTeam="All",$L388=fTeam),OR(fChannel="All",$F388=fChannel),OR(fMonth="All",$AA388=fMonth)),1,0))</f>
        <v>0</v>
      </c>
      <c r="AI388" s="71">
        <f>IF($AB388=0,0,IF(AND(OR(fClient="All",$B388=fClient),OR(fCampaign="All",$C388=fCampaign),OR(fTeam="All",$L388=fTeam),OR(fChannel="All",$F388=fChannel)),1,0))</f>
        <v>0</v>
      </c>
    </row>
    <row r="389">
      <c r="A389" s="63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3" t="n"/>
      <c r="R389" s="63" t="n"/>
      <c r="S389" s="63" t="n"/>
      <c r="T389" s="65" t="n"/>
      <c r="U389" s="65" t="n"/>
      <c r="V389" s="63" t="n"/>
      <c r="W389" s="65" t="n"/>
      <c r="X389" s="69" t="str">
        <f>IF(AND(ISNUMBER($Q389),ISNUMBER($R389)),$R389-$Q389,"")</f>
        <v/>
      </c>
      <c r="Y389" s="71" t="str">
        <f>IF($AB389=1,IF(AND(ISNUMBER($V389),$M389&lt;&gt;"Converted",$M389&lt;&gt;"Rejected"),IF($V389&lt;=ReportDate,"DUE",""),""),"")</f>
        <v/>
      </c>
      <c r="Z389" s="75" t="str">
        <f>IF(ISNUMBER($Q389),$Q389,IF(ISNUMBER($A389),$A389,""))</f>
        <v/>
      </c>
      <c r="AA389" s="71" t="str">
        <f>IF(ISNUMBER($Z389),YEAR($Z389)&amp;"-"&amp;TEXT(MONTH($Z389),"00"),"")</f>
        <v/>
      </c>
      <c r="AB389" s="71">
        <f>IF($H389&lt;&gt;"",1,0)</f>
        <v>0</v>
      </c>
      <c r="AC389" s="71">
        <f>IF(AND($AB389=1,$G389="Yes"),1,0)</f>
        <v>0</v>
      </c>
      <c r="AD389" s="71">
        <f>IF(AND($AB389=1,$N389="MQL"),1,0)</f>
        <v>0</v>
      </c>
      <c r="AE389" s="71">
        <f>IF(AND($AB389=1,$O389="SQL"),1,0)</f>
        <v>0</v>
      </c>
      <c r="AF389" s="71">
        <f>IF(AND($AB389=1,OR($P389="Open",$P389="Won",$P389="Lost")),1,0)</f>
        <v>0</v>
      </c>
      <c r="AG389" s="71">
        <f>IF(AND($AB389=1,OR($M389="Converted",$P389="Won")),1,0)</f>
        <v>0</v>
      </c>
      <c r="AH389" s="71">
        <f>IF($AB389=0,0,IF(AND(OR(fClient="All",$B389=fClient),OR(fCampaign="All",$C389=fCampaign),OR(fTeam="All",$L389=fTeam),OR(fChannel="All",$F389=fChannel),OR(fMonth="All",$AA389=fMonth)),1,0))</f>
        <v>0</v>
      </c>
      <c r="AI389" s="71">
        <f>IF($AB389=0,0,IF(AND(OR(fClient="All",$B389=fClient),OR(fCampaign="All",$C389=fCampaign),OR(fTeam="All",$L389=fTeam),OR(fChannel="All",$F389=fChannel)),1,0))</f>
        <v>0</v>
      </c>
    </row>
    <row r="390">
      <c r="A390" s="63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3" t="n"/>
      <c r="R390" s="63" t="n"/>
      <c r="S390" s="63" t="n"/>
      <c r="T390" s="65" t="n"/>
      <c r="U390" s="65" t="n"/>
      <c r="V390" s="63" t="n"/>
      <c r="W390" s="65" t="n"/>
      <c r="X390" s="69" t="str">
        <f>IF(AND(ISNUMBER($Q390),ISNUMBER($R390)),$R390-$Q390,"")</f>
        <v/>
      </c>
      <c r="Y390" s="71" t="str">
        <f>IF($AB390=1,IF(AND(ISNUMBER($V390),$M390&lt;&gt;"Converted",$M390&lt;&gt;"Rejected"),IF($V390&lt;=ReportDate,"DUE",""),""),"")</f>
        <v/>
      </c>
      <c r="Z390" s="75" t="str">
        <f>IF(ISNUMBER($Q390),$Q390,IF(ISNUMBER($A390),$A390,""))</f>
        <v/>
      </c>
      <c r="AA390" s="71" t="str">
        <f>IF(ISNUMBER($Z390),YEAR($Z390)&amp;"-"&amp;TEXT(MONTH($Z390),"00"),"")</f>
        <v/>
      </c>
      <c r="AB390" s="71">
        <f>IF($H390&lt;&gt;"",1,0)</f>
        <v>0</v>
      </c>
      <c r="AC390" s="71">
        <f>IF(AND($AB390=1,$G390="Yes"),1,0)</f>
        <v>0</v>
      </c>
      <c r="AD390" s="71">
        <f>IF(AND($AB390=1,$N390="MQL"),1,0)</f>
        <v>0</v>
      </c>
      <c r="AE390" s="71">
        <f>IF(AND($AB390=1,$O390="SQL"),1,0)</f>
        <v>0</v>
      </c>
      <c r="AF390" s="71">
        <f>IF(AND($AB390=1,OR($P390="Open",$P390="Won",$P390="Lost")),1,0)</f>
        <v>0</v>
      </c>
      <c r="AG390" s="71">
        <f>IF(AND($AB390=1,OR($M390="Converted",$P390="Won")),1,0)</f>
        <v>0</v>
      </c>
      <c r="AH390" s="71">
        <f>IF($AB390=0,0,IF(AND(OR(fClient="All",$B390=fClient),OR(fCampaign="All",$C390=fCampaign),OR(fTeam="All",$L390=fTeam),OR(fChannel="All",$F390=fChannel),OR(fMonth="All",$AA390=fMonth)),1,0))</f>
        <v>0</v>
      </c>
      <c r="AI390" s="71">
        <f>IF($AB390=0,0,IF(AND(OR(fClient="All",$B390=fClient),OR(fCampaign="All",$C390=fCampaign),OR(fTeam="All",$L390=fTeam),OR(fChannel="All",$F390=fChannel)),1,0))</f>
        <v>0</v>
      </c>
    </row>
    <row r="391">
      <c r="A391" s="63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3" t="n"/>
      <c r="R391" s="63" t="n"/>
      <c r="S391" s="63" t="n"/>
      <c r="T391" s="65" t="n"/>
      <c r="U391" s="65" t="n"/>
      <c r="V391" s="63" t="n"/>
      <c r="W391" s="65" t="n"/>
      <c r="X391" s="69" t="str">
        <f>IF(AND(ISNUMBER($Q391),ISNUMBER($R391)),$R391-$Q391,"")</f>
        <v/>
      </c>
      <c r="Y391" s="71" t="str">
        <f>IF($AB391=1,IF(AND(ISNUMBER($V391),$M391&lt;&gt;"Converted",$M391&lt;&gt;"Rejected"),IF($V391&lt;=ReportDate,"DUE",""),""),"")</f>
        <v/>
      </c>
      <c r="Z391" s="75" t="str">
        <f>IF(ISNUMBER($Q391),$Q391,IF(ISNUMBER($A391),$A391,""))</f>
        <v/>
      </c>
      <c r="AA391" s="71" t="str">
        <f>IF(ISNUMBER($Z391),YEAR($Z391)&amp;"-"&amp;TEXT(MONTH($Z391),"00"),"")</f>
        <v/>
      </c>
      <c r="AB391" s="71">
        <f>IF($H391&lt;&gt;"",1,0)</f>
        <v>0</v>
      </c>
      <c r="AC391" s="71">
        <f>IF(AND($AB391=1,$G391="Yes"),1,0)</f>
        <v>0</v>
      </c>
      <c r="AD391" s="71">
        <f>IF(AND($AB391=1,$N391="MQL"),1,0)</f>
        <v>0</v>
      </c>
      <c r="AE391" s="71">
        <f>IF(AND($AB391=1,$O391="SQL"),1,0)</f>
        <v>0</v>
      </c>
      <c r="AF391" s="71">
        <f>IF(AND($AB391=1,OR($P391="Open",$P391="Won",$P391="Lost")),1,0)</f>
        <v>0</v>
      </c>
      <c r="AG391" s="71">
        <f>IF(AND($AB391=1,OR($M391="Converted",$P391="Won")),1,0)</f>
        <v>0</v>
      </c>
      <c r="AH391" s="71">
        <f>IF($AB391=0,0,IF(AND(OR(fClient="All",$B391=fClient),OR(fCampaign="All",$C391=fCampaign),OR(fTeam="All",$L391=fTeam),OR(fChannel="All",$F391=fChannel),OR(fMonth="All",$AA391=fMonth)),1,0))</f>
        <v>0</v>
      </c>
      <c r="AI391" s="71">
        <f>IF($AB391=0,0,IF(AND(OR(fClient="All",$B391=fClient),OR(fCampaign="All",$C391=fCampaign),OR(fTeam="All",$L391=fTeam),OR(fChannel="All",$F391=fChannel)),1,0))</f>
        <v>0</v>
      </c>
    </row>
    <row r="392">
      <c r="A392" s="63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3" t="n"/>
      <c r="R392" s="63" t="n"/>
      <c r="S392" s="63" t="n"/>
      <c r="T392" s="65" t="n"/>
      <c r="U392" s="65" t="n"/>
      <c r="V392" s="63" t="n"/>
      <c r="W392" s="65" t="n"/>
      <c r="X392" s="69" t="str">
        <f>IF(AND(ISNUMBER($Q392),ISNUMBER($R392)),$R392-$Q392,"")</f>
        <v/>
      </c>
      <c r="Y392" s="71" t="str">
        <f>IF($AB392=1,IF(AND(ISNUMBER($V392),$M392&lt;&gt;"Converted",$M392&lt;&gt;"Rejected"),IF($V392&lt;=ReportDate,"DUE",""),""),"")</f>
        <v/>
      </c>
      <c r="Z392" s="75" t="str">
        <f>IF(ISNUMBER($Q392),$Q392,IF(ISNUMBER($A392),$A392,""))</f>
        <v/>
      </c>
      <c r="AA392" s="71" t="str">
        <f>IF(ISNUMBER($Z392),YEAR($Z392)&amp;"-"&amp;TEXT(MONTH($Z392),"00"),"")</f>
        <v/>
      </c>
      <c r="AB392" s="71">
        <f>IF($H392&lt;&gt;"",1,0)</f>
        <v>0</v>
      </c>
      <c r="AC392" s="71">
        <f>IF(AND($AB392=1,$G392="Yes"),1,0)</f>
        <v>0</v>
      </c>
      <c r="AD392" s="71">
        <f>IF(AND($AB392=1,$N392="MQL"),1,0)</f>
        <v>0</v>
      </c>
      <c r="AE392" s="71">
        <f>IF(AND($AB392=1,$O392="SQL"),1,0)</f>
        <v>0</v>
      </c>
      <c r="AF392" s="71">
        <f>IF(AND($AB392=1,OR($P392="Open",$P392="Won",$P392="Lost")),1,0)</f>
        <v>0</v>
      </c>
      <c r="AG392" s="71">
        <f>IF(AND($AB392=1,OR($M392="Converted",$P392="Won")),1,0)</f>
        <v>0</v>
      </c>
      <c r="AH392" s="71">
        <f>IF($AB392=0,0,IF(AND(OR(fClient="All",$B392=fClient),OR(fCampaign="All",$C392=fCampaign),OR(fTeam="All",$L392=fTeam),OR(fChannel="All",$F392=fChannel),OR(fMonth="All",$AA392=fMonth)),1,0))</f>
        <v>0</v>
      </c>
      <c r="AI392" s="71">
        <f>IF($AB392=0,0,IF(AND(OR(fClient="All",$B392=fClient),OR(fCampaign="All",$C392=fCampaign),OR(fTeam="All",$L392=fTeam),OR(fChannel="All",$F392=fChannel)),1,0))</f>
        <v>0</v>
      </c>
    </row>
    <row r="393">
      <c r="A393" s="63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3" t="n"/>
      <c r="R393" s="63" t="n"/>
      <c r="S393" s="63" t="n"/>
      <c r="T393" s="65" t="n"/>
      <c r="U393" s="65" t="n"/>
      <c r="V393" s="63" t="n"/>
      <c r="W393" s="65" t="n"/>
      <c r="X393" s="69" t="str">
        <f>IF(AND(ISNUMBER($Q393),ISNUMBER($R393)),$R393-$Q393,"")</f>
        <v/>
      </c>
      <c r="Y393" s="71" t="str">
        <f>IF($AB393=1,IF(AND(ISNUMBER($V393),$M393&lt;&gt;"Converted",$M393&lt;&gt;"Rejected"),IF($V393&lt;=ReportDate,"DUE",""),""),"")</f>
        <v/>
      </c>
      <c r="Z393" s="75" t="str">
        <f>IF(ISNUMBER($Q393),$Q393,IF(ISNUMBER($A393),$A393,""))</f>
        <v/>
      </c>
      <c r="AA393" s="71" t="str">
        <f>IF(ISNUMBER($Z393),YEAR($Z393)&amp;"-"&amp;TEXT(MONTH($Z393),"00"),"")</f>
        <v/>
      </c>
      <c r="AB393" s="71">
        <f>IF($H393&lt;&gt;"",1,0)</f>
        <v>0</v>
      </c>
      <c r="AC393" s="71">
        <f>IF(AND($AB393=1,$G393="Yes"),1,0)</f>
        <v>0</v>
      </c>
      <c r="AD393" s="71">
        <f>IF(AND($AB393=1,$N393="MQL"),1,0)</f>
        <v>0</v>
      </c>
      <c r="AE393" s="71">
        <f>IF(AND($AB393=1,$O393="SQL"),1,0)</f>
        <v>0</v>
      </c>
      <c r="AF393" s="71">
        <f>IF(AND($AB393=1,OR($P393="Open",$P393="Won",$P393="Lost")),1,0)</f>
        <v>0</v>
      </c>
      <c r="AG393" s="71">
        <f>IF(AND($AB393=1,OR($M393="Converted",$P393="Won")),1,0)</f>
        <v>0</v>
      </c>
      <c r="AH393" s="71">
        <f>IF($AB393=0,0,IF(AND(OR(fClient="All",$B393=fClient),OR(fCampaign="All",$C393=fCampaign),OR(fTeam="All",$L393=fTeam),OR(fChannel="All",$F393=fChannel),OR(fMonth="All",$AA393=fMonth)),1,0))</f>
        <v>0</v>
      </c>
      <c r="AI393" s="71">
        <f>IF($AB393=0,0,IF(AND(OR(fClient="All",$B393=fClient),OR(fCampaign="All",$C393=fCampaign),OR(fTeam="All",$L393=fTeam),OR(fChannel="All",$F393=fChannel)),1,0))</f>
        <v>0</v>
      </c>
    </row>
    <row r="394">
      <c r="A394" s="63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3" t="n"/>
      <c r="R394" s="63" t="n"/>
      <c r="S394" s="63" t="n"/>
      <c r="T394" s="65" t="n"/>
      <c r="U394" s="65" t="n"/>
      <c r="V394" s="63" t="n"/>
      <c r="W394" s="65" t="n"/>
      <c r="X394" s="69" t="str">
        <f>IF(AND(ISNUMBER($Q394),ISNUMBER($R394)),$R394-$Q394,"")</f>
        <v/>
      </c>
      <c r="Y394" s="71" t="str">
        <f>IF($AB394=1,IF(AND(ISNUMBER($V394),$M394&lt;&gt;"Converted",$M394&lt;&gt;"Rejected"),IF($V394&lt;=ReportDate,"DUE",""),""),"")</f>
        <v/>
      </c>
      <c r="Z394" s="75" t="str">
        <f>IF(ISNUMBER($Q394),$Q394,IF(ISNUMBER($A394),$A394,""))</f>
        <v/>
      </c>
      <c r="AA394" s="71" t="str">
        <f>IF(ISNUMBER($Z394),YEAR($Z394)&amp;"-"&amp;TEXT(MONTH($Z394),"00"),"")</f>
        <v/>
      </c>
      <c r="AB394" s="71">
        <f>IF($H394&lt;&gt;"",1,0)</f>
        <v>0</v>
      </c>
      <c r="AC394" s="71">
        <f>IF(AND($AB394=1,$G394="Yes"),1,0)</f>
        <v>0</v>
      </c>
      <c r="AD394" s="71">
        <f>IF(AND($AB394=1,$N394="MQL"),1,0)</f>
        <v>0</v>
      </c>
      <c r="AE394" s="71">
        <f>IF(AND($AB394=1,$O394="SQL"),1,0)</f>
        <v>0</v>
      </c>
      <c r="AF394" s="71">
        <f>IF(AND($AB394=1,OR($P394="Open",$P394="Won",$P394="Lost")),1,0)</f>
        <v>0</v>
      </c>
      <c r="AG394" s="71">
        <f>IF(AND($AB394=1,OR($M394="Converted",$P394="Won")),1,0)</f>
        <v>0</v>
      </c>
      <c r="AH394" s="71">
        <f>IF($AB394=0,0,IF(AND(OR(fClient="All",$B394=fClient),OR(fCampaign="All",$C394=fCampaign),OR(fTeam="All",$L394=fTeam),OR(fChannel="All",$F394=fChannel),OR(fMonth="All",$AA394=fMonth)),1,0))</f>
        <v>0</v>
      </c>
      <c r="AI394" s="71">
        <f>IF($AB394=0,0,IF(AND(OR(fClient="All",$B394=fClient),OR(fCampaign="All",$C394=fCampaign),OR(fTeam="All",$L394=fTeam),OR(fChannel="All",$F394=fChannel)),1,0))</f>
        <v>0</v>
      </c>
    </row>
    <row r="395">
      <c r="A395" s="63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3" t="n"/>
      <c r="R395" s="63" t="n"/>
      <c r="S395" s="63" t="n"/>
      <c r="T395" s="65" t="n"/>
      <c r="U395" s="65" t="n"/>
      <c r="V395" s="63" t="n"/>
      <c r="W395" s="65" t="n"/>
      <c r="X395" s="69" t="str">
        <f>IF(AND(ISNUMBER($Q395),ISNUMBER($R395)),$R395-$Q395,"")</f>
        <v/>
      </c>
      <c r="Y395" s="71" t="str">
        <f>IF($AB395=1,IF(AND(ISNUMBER($V395),$M395&lt;&gt;"Converted",$M395&lt;&gt;"Rejected"),IF($V395&lt;=ReportDate,"DUE",""),""),"")</f>
        <v/>
      </c>
      <c r="Z395" s="75" t="str">
        <f>IF(ISNUMBER($Q395),$Q395,IF(ISNUMBER($A395),$A395,""))</f>
        <v/>
      </c>
      <c r="AA395" s="71" t="str">
        <f>IF(ISNUMBER($Z395),YEAR($Z395)&amp;"-"&amp;TEXT(MONTH($Z395),"00"),"")</f>
        <v/>
      </c>
      <c r="AB395" s="71">
        <f>IF($H395&lt;&gt;"",1,0)</f>
        <v>0</v>
      </c>
      <c r="AC395" s="71">
        <f>IF(AND($AB395=1,$G395="Yes"),1,0)</f>
        <v>0</v>
      </c>
      <c r="AD395" s="71">
        <f>IF(AND($AB395=1,$N395="MQL"),1,0)</f>
        <v>0</v>
      </c>
      <c r="AE395" s="71">
        <f>IF(AND($AB395=1,$O395="SQL"),1,0)</f>
        <v>0</v>
      </c>
      <c r="AF395" s="71">
        <f>IF(AND($AB395=1,OR($P395="Open",$P395="Won",$P395="Lost")),1,0)</f>
        <v>0</v>
      </c>
      <c r="AG395" s="71">
        <f>IF(AND($AB395=1,OR($M395="Converted",$P395="Won")),1,0)</f>
        <v>0</v>
      </c>
      <c r="AH395" s="71">
        <f>IF($AB395=0,0,IF(AND(OR(fClient="All",$B395=fClient),OR(fCampaign="All",$C395=fCampaign),OR(fTeam="All",$L395=fTeam),OR(fChannel="All",$F395=fChannel),OR(fMonth="All",$AA395=fMonth)),1,0))</f>
        <v>0</v>
      </c>
      <c r="AI395" s="71">
        <f>IF($AB395=0,0,IF(AND(OR(fClient="All",$B395=fClient),OR(fCampaign="All",$C395=fCampaign),OR(fTeam="All",$L395=fTeam),OR(fChannel="All",$F395=fChannel)),1,0))</f>
        <v>0</v>
      </c>
    </row>
    <row r="396">
      <c r="A396" s="63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3" t="n"/>
      <c r="R396" s="63" t="n"/>
      <c r="S396" s="63" t="n"/>
      <c r="T396" s="65" t="n"/>
      <c r="U396" s="65" t="n"/>
      <c r="V396" s="63" t="n"/>
      <c r="W396" s="65" t="n"/>
      <c r="X396" s="69" t="str">
        <f>IF(AND(ISNUMBER($Q396),ISNUMBER($R396)),$R396-$Q396,"")</f>
        <v/>
      </c>
      <c r="Y396" s="71" t="str">
        <f>IF($AB396=1,IF(AND(ISNUMBER($V396),$M396&lt;&gt;"Converted",$M396&lt;&gt;"Rejected"),IF($V396&lt;=ReportDate,"DUE",""),""),"")</f>
        <v/>
      </c>
      <c r="Z396" s="75" t="str">
        <f>IF(ISNUMBER($Q396),$Q396,IF(ISNUMBER($A396),$A396,""))</f>
        <v/>
      </c>
      <c r="AA396" s="71" t="str">
        <f>IF(ISNUMBER($Z396),YEAR($Z396)&amp;"-"&amp;TEXT(MONTH($Z396),"00"),"")</f>
        <v/>
      </c>
      <c r="AB396" s="71">
        <f>IF($H396&lt;&gt;"",1,0)</f>
        <v>0</v>
      </c>
      <c r="AC396" s="71">
        <f>IF(AND($AB396=1,$G396="Yes"),1,0)</f>
        <v>0</v>
      </c>
      <c r="AD396" s="71">
        <f>IF(AND($AB396=1,$N396="MQL"),1,0)</f>
        <v>0</v>
      </c>
      <c r="AE396" s="71">
        <f>IF(AND($AB396=1,$O396="SQL"),1,0)</f>
        <v>0</v>
      </c>
      <c r="AF396" s="71">
        <f>IF(AND($AB396=1,OR($P396="Open",$P396="Won",$P396="Lost")),1,0)</f>
        <v>0</v>
      </c>
      <c r="AG396" s="71">
        <f>IF(AND($AB396=1,OR($M396="Converted",$P396="Won")),1,0)</f>
        <v>0</v>
      </c>
      <c r="AH396" s="71">
        <f>IF($AB396=0,0,IF(AND(OR(fClient="All",$B396=fClient),OR(fCampaign="All",$C396=fCampaign),OR(fTeam="All",$L396=fTeam),OR(fChannel="All",$F396=fChannel),OR(fMonth="All",$AA396=fMonth)),1,0))</f>
        <v>0</v>
      </c>
      <c r="AI396" s="71">
        <f>IF($AB396=0,0,IF(AND(OR(fClient="All",$B396=fClient),OR(fCampaign="All",$C396=fCampaign),OR(fTeam="All",$L396=fTeam),OR(fChannel="All",$F396=fChannel)),1,0))</f>
        <v>0</v>
      </c>
    </row>
    <row r="397">
      <c r="A397" s="63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3" t="n"/>
      <c r="R397" s="63" t="n"/>
      <c r="S397" s="63" t="n"/>
      <c r="T397" s="65" t="n"/>
      <c r="U397" s="65" t="n"/>
      <c r="V397" s="63" t="n"/>
      <c r="W397" s="65" t="n"/>
      <c r="X397" s="69" t="str">
        <f>IF(AND(ISNUMBER($Q397),ISNUMBER($R397)),$R397-$Q397,"")</f>
        <v/>
      </c>
      <c r="Y397" s="71" t="str">
        <f>IF($AB397=1,IF(AND(ISNUMBER($V397),$M397&lt;&gt;"Converted",$M397&lt;&gt;"Rejected"),IF($V397&lt;=ReportDate,"DUE",""),""),"")</f>
        <v/>
      </c>
      <c r="Z397" s="75" t="str">
        <f>IF(ISNUMBER($Q397),$Q397,IF(ISNUMBER($A397),$A397,""))</f>
        <v/>
      </c>
      <c r="AA397" s="71" t="str">
        <f>IF(ISNUMBER($Z397),YEAR($Z397)&amp;"-"&amp;TEXT(MONTH($Z397),"00"),"")</f>
        <v/>
      </c>
      <c r="AB397" s="71">
        <f>IF($H397&lt;&gt;"",1,0)</f>
        <v>0</v>
      </c>
      <c r="AC397" s="71">
        <f>IF(AND($AB397=1,$G397="Yes"),1,0)</f>
        <v>0</v>
      </c>
      <c r="AD397" s="71">
        <f>IF(AND($AB397=1,$N397="MQL"),1,0)</f>
        <v>0</v>
      </c>
      <c r="AE397" s="71">
        <f>IF(AND($AB397=1,$O397="SQL"),1,0)</f>
        <v>0</v>
      </c>
      <c r="AF397" s="71">
        <f>IF(AND($AB397=1,OR($P397="Open",$P397="Won",$P397="Lost")),1,0)</f>
        <v>0</v>
      </c>
      <c r="AG397" s="71">
        <f>IF(AND($AB397=1,OR($M397="Converted",$P397="Won")),1,0)</f>
        <v>0</v>
      </c>
      <c r="AH397" s="71">
        <f>IF($AB397=0,0,IF(AND(OR(fClient="All",$B397=fClient),OR(fCampaign="All",$C397=fCampaign),OR(fTeam="All",$L397=fTeam),OR(fChannel="All",$F397=fChannel),OR(fMonth="All",$AA397=fMonth)),1,0))</f>
        <v>0</v>
      </c>
      <c r="AI397" s="71">
        <f>IF($AB397=0,0,IF(AND(OR(fClient="All",$B397=fClient),OR(fCampaign="All",$C397=fCampaign),OR(fTeam="All",$L397=fTeam),OR(fChannel="All",$F397=fChannel)),1,0))</f>
        <v>0</v>
      </c>
    </row>
    <row r="398">
      <c r="A398" s="63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3" t="n"/>
      <c r="R398" s="63" t="n"/>
      <c r="S398" s="63" t="n"/>
      <c r="T398" s="65" t="n"/>
      <c r="U398" s="65" t="n"/>
      <c r="V398" s="63" t="n"/>
      <c r="W398" s="65" t="n"/>
      <c r="X398" s="69" t="str">
        <f>IF(AND(ISNUMBER($Q398),ISNUMBER($R398)),$R398-$Q398,"")</f>
        <v/>
      </c>
      <c r="Y398" s="71" t="str">
        <f>IF($AB398=1,IF(AND(ISNUMBER($V398),$M398&lt;&gt;"Converted",$M398&lt;&gt;"Rejected"),IF($V398&lt;=ReportDate,"DUE",""),""),"")</f>
        <v/>
      </c>
      <c r="Z398" s="75" t="str">
        <f>IF(ISNUMBER($Q398),$Q398,IF(ISNUMBER($A398),$A398,""))</f>
        <v/>
      </c>
      <c r="AA398" s="71" t="str">
        <f>IF(ISNUMBER($Z398),YEAR($Z398)&amp;"-"&amp;TEXT(MONTH($Z398),"00"),"")</f>
        <v/>
      </c>
      <c r="AB398" s="71">
        <f>IF($H398&lt;&gt;"",1,0)</f>
        <v>0</v>
      </c>
      <c r="AC398" s="71">
        <f>IF(AND($AB398=1,$G398="Yes"),1,0)</f>
        <v>0</v>
      </c>
      <c r="AD398" s="71">
        <f>IF(AND($AB398=1,$N398="MQL"),1,0)</f>
        <v>0</v>
      </c>
      <c r="AE398" s="71">
        <f>IF(AND($AB398=1,$O398="SQL"),1,0)</f>
        <v>0</v>
      </c>
      <c r="AF398" s="71">
        <f>IF(AND($AB398=1,OR($P398="Open",$P398="Won",$P398="Lost")),1,0)</f>
        <v>0</v>
      </c>
      <c r="AG398" s="71">
        <f>IF(AND($AB398=1,OR($M398="Converted",$P398="Won")),1,0)</f>
        <v>0</v>
      </c>
      <c r="AH398" s="71">
        <f>IF($AB398=0,0,IF(AND(OR(fClient="All",$B398=fClient),OR(fCampaign="All",$C398=fCampaign),OR(fTeam="All",$L398=fTeam),OR(fChannel="All",$F398=fChannel),OR(fMonth="All",$AA398=fMonth)),1,0))</f>
        <v>0</v>
      </c>
      <c r="AI398" s="71">
        <f>IF($AB398=0,0,IF(AND(OR(fClient="All",$B398=fClient),OR(fCampaign="All",$C398=fCampaign),OR(fTeam="All",$L398=fTeam),OR(fChannel="All",$F398=fChannel)),1,0))</f>
        <v>0</v>
      </c>
    </row>
    <row r="399">
      <c r="A399" s="63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3" t="n"/>
      <c r="R399" s="63" t="n"/>
      <c r="S399" s="63" t="n"/>
      <c r="T399" s="65" t="n"/>
      <c r="U399" s="65" t="n"/>
      <c r="V399" s="63" t="n"/>
      <c r="W399" s="65" t="n"/>
      <c r="X399" s="69" t="str">
        <f>IF(AND(ISNUMBER($Q399),ISNUMBER($R399)),$R399-$Q399,"")</f>
        <v/>
      </c>
      <c r="Y399" s="71" t="str">
        <f>IF($AB399=1,IF(AND(ISNUMBER($V399),$M399&lt;&gt;"Converted",$M399&lt;&gt;"Rejected"),IF($V399&lt;=ReportDate,"DUE",""),""),"")</f>
        <v/>
      </c>
      <c r="Z399" s="75" t="str">
        <f>IF(ISNUMBER($Q399),$Q399,IF(ISNUMBER($A399),$A399,""))</f>
        <v/>
      </c>
      <c r="AA399" s="71" t="str">
        <f>IF(ISNUMBER($Z399),YEAR($Z399)&amp;"-"&amp;TEXT(MONTH($Z399),"00"),"")</f>
        <v/>
      </c>
      <c r="AB399" s="71">
        <f>IF($H399&lt;&gt;"",1,0)</f>
        <v>0</v>
      </c>
      <c r="AC399" s="71">
        <f>IF(AND($AB399=1,$G399="Yes"),1,0)</f>
        <v>0</v>
      </c>
      <c r="AD399" s="71">
        <f>IF(AND($AB399=1,$N399="MQL"),1,0)</f>
        <v>0</v>
      </c>
      <c r="AE399" s="71">
        <f>IF(AND($AB399=1,$O399="SQL"),1,0)</f>
        <v>0</v>
      </c>
      <c r="AF399" s="71">
        <f>IF(AND($AB399=1,OR($P399="Open",$P399="Won",$P399="Lost")),1,0)</f>
        <v>0</v>
      </c>
      <c r="AG399" s="71">
        <f>IF(AND($AB399=1,OR($M399="Converted",$P399="Won")),1,0)</f>
        <v>0</v>
      </c>
      <c r="AH399" s="71">
        <f>IF($AB399=0,0,IF(AND(OR(fClient="All",$B399=fClient),OR(fCampaign="All",$C399=fCampaign),OR(fTeam="All",$L399=fTeam),OR(fChannel="All",$F399=fChannel),OR(fMonth="All",$AA399=fMonth)),1,0))</f>
        <v>0</v>
      </c>
      <c r="AI399" s="71">
        <f>IF($AB399=0,0,IF(AND(OR(fClient="All",$B399=fClient),OR(fCampaign="All",$C399=fCampaign),OR(fTeam="All",$L399=fTeam),OR(fChannel="All",$F399=fChannel)),1,0))</f>
        <v>0</v>
      </c>
    </row>
    <row r="400">
      <c r="A400" s="63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3" t="n"/>
      <c r="R400" s="63" t="n"/>
      <c r="S400" s="63" t="n"/>
      <c r="T400" s="65" t="n"/>
      <c r="U400" s="65" t="n"/>
      <c r="V400" s="63" t="n"/>
      <c r="W400" s="65" t="n"/>
      <c r="X400" s="69" t="str">
        <f>IF(AND(ISNUMBER($Q400),ISNUMBER($R400)),$R400-$Q400,"")</f>
        <v/>
      </c>
      <c r="Y400" s="71" t="str">
        <f>IF($AB400=1,IF(AND(ISNUMBER($V400),$M400&lt;&gt;"Converted",$M400&lt;&gt;"Rejected"),IF($V400&lt;=ReportDate,"DUE",""),""),"")</f>
        <v/>
      </c>
      <c r="Z400" s="75" t="str">
        <f>IF(ISNUMBER($Q400),$Q400,IF(ISNUMBER($A400),$A400,""))</f>
        <v/>
      </c>
      <c r="AA400" s="71" t="str">
        <f>IF(ISNUMBER($Z400),YEAR($Z400)&amp;"-"&amp;TEXT(MONTH($Z400),"00"),"")</f>
        <v/>
      </c>
      <c r="AB400" s="71">
        <f>IF($H400&lt;&gt;"",1,0)</f>
        <v>0</v>
      </c>
      <c r="AC400" s="71">
        <f>IF(AND($AB400=1,$G400="Yes"),1,0)</f>
        <v>0</v>
      </c>
      <c r="AD400" s="71">
        <f>IF(AND($AB400=1,$N400="MQL"),1,0)</f>
        <v>0</v>
      </c>
      <c r="AE400" s="71">
        <f>IF(AND($AB400=1,$O400="SQL"),1,0)</f>
        <v>0</v>
      </c>
      <c r="AF400" s="71">
        <f>IF(AND($AB400=1,OR($P400="Open",$P400="Won",$P400="Lost")),1,0)</f>
        <v>0</v>
      </c>
      <c r="AG400" s="71">
        <f>IF(AND($AB400=1,OR($M400="Converted",$P400="Won")),1,0)</f>
        <v>0</v>
      </c>
      <c r="AH400" s="71">
        <f>IF($AB400=0,0,IF(AND(OR(fClient="All",$B400=fClient),OR(fCampaign="All",$C400=fCampaign),OR(fTeam="All",$L400=fTeam),OR(fChannel="All",$F400=fChannel),OR(fMonth="All",$AA400=fMonth)),1,0))</f>
        <v>0</v>
      </c>
      <c r="AI400" s="71">
        <f>IF($AB400=0,0,IF(AND(OR(fClient="All",$B400=fClient),OR(fCampaign="All",$C400=fCampaign),OR(fTeam="All",$L400=fTeam),OR(fChannel="All",$F400=fChannel)),1,0))</f>
        <v>0</v>
      </c>
    </row>
    <row r="401">
      <c r="A401" s="63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3" t="n"/>
      <c r="R401" s="63" t="n"/>
      <c r="S401" s="63" t="n"/>
      <c r="T401" s="65" t="n"/>
      <c r="U401" s="65" t="n"/>
      <c r="V401" s="63" t="n"/>
      <c r="W401" s="65" t="n"/>
      <c r="X401" s="69" t="str">
        <f>IF(AND(ISNUMBER($Q401),ISNUMBER($R401)),$R401-$Q401,"")</f>
        <v/>
      </c>
      <c r="Y401" s="71" t="str">
        <f>IF($AB401=1,IF(AND(ISNUMBER($V401),$M401&lt;&gt;"Converted",$M401&lt;&gt;"Rejected"),IF($V401&lt;=ReportDate,"DUE",""),""),"")</f>
        <v/>
      </c>
      <c r="Z401" s="75" t="str">
        <f>IF(ISNUMBER($Q401),$Q401,IF(ISNUMBER($A401),$A401,""))</f>
        <v/>
      </c>
      <c r="AA401" s="71" t="str">
        <f>IF(ISNUMBER($Z401),YEAR($Z401)&amp;"-"&amp;TEXT(MONTH($Z401),"00"),"")</f>
        <v/>
      </c>
      <c r="AB401" s="71">
        <f>IF($H401&lt;&gt;"",1,0)</f>
        <v>0</v>
      </c>
      <c r="AC401" s="71">
        <f>IF(AND($AB401=1,$G401="Yes"),1,0)</f>
        <v>0</v>
      </c>
      <c r="AD401" s="71">
        <f>IF(AND($AB401=1,$N401="MQL"),1,0)</f>
        <v>0</v>
      </c>
      <c r="AE401" s="71">
        <f>IF(AND($AB401=1,$O401="SQL"),1,0)</f>
        <v>0</v>
      </c>
      <c r="AF401" s="71">
        <f>IF(AND($AB401=1,OR($P401="Open",$P401="Won",$P401="Lost")),1,0)</f>
        <v>0</v>
      </c>
      <c r="AG401" s="71">
        <f>IF(AND($AB401=1,OR($M401="Converted",$P401="Won")),1,0)</f>
        <v>0</v>
      </c>
      <c r="AH401" s="71">
        <f>IF($AB401=0,0,IF(AND(OR(fClient="All",$B401=fClient),OR(fCampaign="All",$C401=fCampaign),OR(fTeam="All",$L401=fTeam),OR(fChannel="All",$F401=fChannel),OR(fMonth="All",$AA401=fMonth)),1,0))</f>
        <v>0</v>
      </c>
      <c r="AI401" s="71">
        <f>IF($AB401=0,0,IF(AND(OR(fClient="All",$B401=fClient),OR(fCampaign="All",$C401=fCampaign),OR(fTeam="All",$L401=fTeam),OR(fChannel="All",$F401=fChannel)),1,0))</f>
        <v>0</v>
      </c>
    </row>
    <row r="402">
      <c r="A402" s="63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3" t="n"/>
      <c r="R402" s="63" t="n"/>
      <c r="S402" s="63" t="n"/>
      <c r="T402" s="65" t="n"/>
      <c r="U402" s="65" t="n"/>
      <c r="V402" s="63" t="n"/>
      <c r="W402" s="65" t="n"/>
      <c r="X402" s="69" t="str">
        <f>IF(AND(ISNUMBER($Q402),ISNUMBER($R402)),$R402-$Q402,"")</f>
        <v/>
      </c>
      <c r="Y402" s="71" t="str">
        <f>IF($AB402=1,IF(AND(ISNUMBER($V402),$M402&lt;&gt;"Converted",$M402&lt;&gt;"Rejected"),IF($V402&lt;=ReportDate,"DUE",""),""),"")</f>
        <v/>
      </c>
      <c r="Z402" s="75" t="str">
        <f>IF(ISNUMBER($Q402),$Q402,IF(ISNUMBER($A402),$A402,""))</f>
        <v/>
      </c>
      <c r="AA402" s="71" t="str">
        <f>IF(ISNUMBER($Z402),YEAR($Z402)&amp;"-"&amp;TEXT(MONTH($Z402),"00"),"")</f>
        <v/>
      </c>
      <c r="AB402" s="71">
        <f>IF($H402&lt;&gt;"",1,0)</f>
        <v>0</v>
      </c>
      <c r="AC402" s="71">
        <f>IF(AND($AB402=1,$G402="Yes"),1,0)</f>
        <v>0</v>
      </c>
      <c r="AD402" s="71">
        <f>IF(AND($AB402=1,$N402="MQL"),1,0)</f>
        <v>0</v>
      </c>
      <c r="AE402" s="71">
        <f>IF(AND($AB402=1,$O402="SQL"),1,0)</f>
        <v>0</v>
      </c>
      <c r="AF402" s="71">
        <f>IF(AND($AB402=1,OR($P402="Open",$P402="Won",$P402="Lost")),1,0)</f>
        <v>0</v>
      </c>
      <c r="AG402" s="71">
        <f>IF(AND($AB402=1,OR($M402="Converted",$P402="Won")),1,0)</f>
        <v>0</v>
      </c>
      <c r="AH402" s="71">
        <f>IF($AB402=0,0,IF(AND(OR(fClient="All",$B402=fClient),OR(fCampaign="All",$C402=fCampaign),OR(fTeam="All",$L402=fTeam),OR(fChannel="All",$F402=fChannel),OR(fMonth="All",$AA402=fMonth)),1,0))</f>
        <v>0</v>
      </c>
      <c r="AI402" s="71">
        <f>IF($AB402=0,0,IF(AND(OR(fClient="All",$B402=fClient),OR(fCampaign="All",$C402=fCampaign),OR(fTeam="All",$L402=fTeam),OR(fChannel="All",$F402=fChannel)),1,0))</f>
        <v>0</v>
      </c>
    </row>
    <row r="403">
      <c r="A403" s="63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3" t="n"/>
      <c r="R403" s="63" t="n"/>
      <c r="S403" s="63" t="n"/>
      <c r="T403" s="65" t="n"/>
      <c r="U403" s="65" t="n"/>
      <c r="V403" s="63" t="n"/>
      <c r="W403" s="65" t="n"/>
      <c r="X403" s="69" t="str">
        <f>IF(AND(ISNUMBER($Q403),ISNUMBER($R403)),$R403-$Q403,"")</f>
        <v/>
      </c>
      <c r="Y403" s="71" t="str">
        <f>IF($AB403=1,IF(AND(ISNUMBER($V403),$M403&lt;&gt;"Converted",$M403&lt;&gt;"Rejected"),IF($V403&lt;=ReportDate,"DUE",""),""),"")</f>
        <v/>
      </c>
      <c r="Z403" s="75" t="str">
        <f>IF(ISNUMBER($Q403),$Q403,IF(ISNUMBER($A403),$A403,""))</f>
        <v/>
      </c>
      <c r="AA403" s="71" t="str">
        <f>IF(ISNUMBER($Z403),YEAR($Z403)&amp;"-"&amp;TEXT(MONTH($Z403),"00"),"")</f>
        <v/>
      </c>
      <c r="AB403" s="71">
        <f>IF($H403&lt;&gt;"",1,0)</f>
        <v>0</v>
      </c>
      <c r="AC403" s="71">
        <f>IF(AND($AB403=1,$G403="Yes"),1,0)</f>
        <v>0</v>
      </c>
      <c r="AD403" s="71">
        <f>IF(AND($AB403=1,$N403="MQL"),1,0)</f>
        <v>0</v>
      </c>
      <c r="AE403" s="71">
        <f>IF(AND($AB403=1,$O403="SQL"),1,0)</f>
        <v>0</v>
      </c>
      <c r="AF403" s="71">
        <f>IF(AND($AB403=1,OR($P403="Open",$P403="Won",$P403="Lost")),1,0)</f>
        <v>0</v>
      </c>
      <c r="AG403" s="71">
        <f>IF(AND($AB403=1,OR($M403="Converted",$P403="Won")),1,0)</f>
        <v>0</v>
      </c>
      <c r="AH403" s="71">
        <f>IF($AB403=0,0,IF(AND(OR(fClient="All",$B403=fClient),OR(fCampaign="All",$C403=fCampaign),OR(fTeam="All",$L403=fTeam),OR(fChannel="All",$F403=fChannel),OR(fMonth="All",$AA403=fMonth)),1,0))</f>
        <v>0</v>
      </c>
      <c r="AI403" s="71">
        <f>IF($AB403=0,0,IF(AND(OR(fClient="All",$B403=fClient),OR(fCampaign="All",$C403=fCampaign),OR(fTeam="All",$L403=fTeam),OR(fChannel="All",$F403=fChannel)),1,0))</f>
        <v>0</v>
      </c>
    </row>
    <row r="404">
      <c r="A404" s="63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3" t="n"/>
      <c r="R404" s="63" t="n"/>
      <c r="S404" s="63" t="n"/>
      <c r="T404" s="65" t="n"/>
      <c r="U404" s="65" t="n"/>
      <c r="V404" s="63" t="n"/>
      <c r="W404" s="65" t="n"/>
      <c r="X404" s="69" t="str">
        <f>IF(AND(ISNUMBER($Q404),ISNUMBER($R404)),$R404-$Q404,"")</f>
        <v/>
      </c>
      <c r="Y404" s="71" t="str">
        <f>IF($AB404=1,IF(AND(ISNUMBER($V404),$M404&lt;&gt;"Converted",$M404&lt;&gt;"Rejected"),IF($V404&lt;=ReportDate,"DUE",""),""),"")</f>
        <v/>
      </c>
      <c r="Z404" s="75" t="str">
        <f>IF(ISNUMBER($Q404),$Q404,IF(ISNUMBER($A404),$A404,""))</f>
        <v/>
      </c>
      <c r="AA404" s="71" t="str">
        <f>IF(ISNUMBER($Z404),YEAR($Z404)&amp;"-"&amp;TEXT(MONTH($Z404),"00"),"")</f>
        <v/>
      </c>
      <c r="AB404" s="71">
        <f>IF($H404&lt;&gt;"",1,0)</f>
        <v>0</v>
      </c>
      <c r="AC404" s="71">
        <f>IF(AND($AB404=1,$G404="Yes"),1,0)</f>
        <v>0</v>
      </c>
      <c r="AD404" s="71">
        <f>IF(AND($AB404=1,$N404="MQL"),1,0)</f>
        <v>0</v>
      </c>
      <c r="AE404" s="71">
        <f>IF(AND($AB404=1,$O404="SQL"),1,0)</f>
        <v>0</v>
      </c>
      <c r="AF404" s="71">
        <f>IF(AND($AB404=1,OR($P404="Open",$P404="Won",$P404="Lost")),1,0)</f>
        <v>0</v>
      </c>
      <c r="AG404" s="71">
        <f>IF(AND($AB404=1,OR($M404="Converted",$P404="Won")),1,0)</f>
        <v>0</v>
      </c>
      <c r="AH404" s="71">
        <f>IF($AB404=0,0,IF(AND(OR(fClient="All",$B404=fClient),OR(fCampaign="All",$C404=fCampaign),OR(fTeam="All",$L404=fTeam),OR(fChannel="All",$F404=fChannel),OR(fMonth="All",$AA404=fMonth)),1,0))</f>
        <v>0</v>
      </c>
      <c r="AI404" s="71">
        <f>IF($AB404=0,0,IF(AND(OR(fClient="All",$B404=fClient),OR(fCampaign="All",$C404=fCampaign),OR(fTeam="All",$L404=fTeam),OR(fChannel="All",$F404=fChannel)),1,0))</f>
        <v>0</v>
      </c>
    </row>
    <row r="405">
      <c r="A405" s="63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3" t="n"/>
      <c r="R405" s="63" t="n"/>
      <c r="S405" s="63" t="n"/>
      <c r="T405" s="65" t="n"/>
      <c r="U405" s="65" t="n"/>
      <c r="V405" s="63" t="n"/>
      <c r="W405" s="65" t="n"/>
      <c r="X405" s="69" t="str">
        <f>IF(AND(ISNUMBER($Q405),ISNUMBER($R405)),$R405-$Q405,"")</f>
        <v/>
      </c>
      <c r="Y405" s="71" t="str">
        <f>IF($AB405=1,IF(AND(ISNUMBER($V405),$M405&lt;&gt;"Converted",$M405&lt;&gt;"Rejected"),IF($V405&lt;=ReportDate,"DUE",""),""),"")</f>
        <v/>
      </c>
      <c r="Z405" s="75" t="str">
        <f>IF(ISNUMBER($Q405),$Q405,IF(ISNUMBER($A405),$A405,""))</f>
        <v/>
      </c>
      <c r="AA405" s="71" t="str">
        <f>IF(ISNUMBER($Z405),YEAR($Z405)&amp;"-"&amp;TEXT(MONTH($Z405),"00"),"")</f>
        <v/>
      </c>
      <c r="AB405" s="71">
        <f>IF($H405&lt;&gt;"",1,0)</f>
        <v>0</v>
      </c>
      <c r="AC405" s="71">
        <f>IF(AND($AB405=1,$G405="Yes"),1,0)</f>
        <v>0</v>
      </c>
      <c r="AD405" s="71">
        <f>IF(AND($AB405=1,$N405="MQL"),1,0)</f>
        <v>0</v>
      </c>
      <c r="AE405" s="71">
        <f>IF(AND($AB405=1,$O405="SQL"),1,0)</f>
        <v>0</v>
      </c>
      <c r="AF405" s="71">
        <f>IF(AND($AB405=1,OR($P405="Open",$P405="Won",$P405="Lost")),1,0)</f>
        <v>0</v>
      </c>
      <c r="AG405" s="71">
        <f>IF(AND($AB405=1,OR($M405="Converted",$P405="Won")),1,0)</f>
        <v>0</v>
      </c>
      <c r="AH405" s="71">
        <f>IF($AB405=0,0,IF(AND(OR(fClient="All",$B405=fClient),OR(fCampaign="All",$C405=fCampaign),OR(fTeam="All",$L405=fTeam),OR(fChannel="All",$F405=fChannel),OR(fMonth="All",$AA405=fMonth)),1,0))</f>
        <v>0</v>
      </c>
      <c r="AI405" s="71">
        <f>IF($AB405=0,0,IF(AND(OR(fClient="All",$B405=fClient),OR(fCampaign="All",$C405=fCampaign),OR(fTeam="All",$L405=fTeam),OR(fChannel="All",$F405=fChannel)),1,0))</f>
        <v>0</v>
      </c>
    </row>
    <row r="406">
      <c r="A406" s="63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3" t="n"/>
      <c r="R406" s="63" t="n"/>
      <c r="S406" s="63" t="n"/>
      <c r="T406" s="65" t="n"/>
      <c r="U406" s="65" t="n"/>
      <c r="V406" s="63" t="n"/>
      <c r="W406" s="65" t="n"/>
      <c r="X406" s="69" t="str">
        <f>IF(AND(ISNUMBER($Q406),ISNUMBER($R406)),$R406-$Q406,"")</f>
        <v/>
      </c>
      <c r="Y406" s="71" t="str">
        <f>IF($AB406=1,IF(AND(ISNUMBER($V406),$M406&lt;&gt;"Converted",$M406&lt;&gt;"Rejected"),IF($V406&lt;=ReportDate,"DUE",""),""),"")</f>
        <v/>
      </c>
      <c r="Z406" s="75" t="str">
        <f>IF(ISNUMBER($Q406),$Q406,IF(ISNUMBER($A406),$A406,""))</f>
        <v/>
      </c>
      <c r="AA406" s="71" t="str">
        <f>IF(ISNUMBER($Z406),YEAR($Z406)&amp;"-"&amp;TEXT(MONTH($Z406),"00"),"")</f>
        <v/>
      </c>
      <c r="AB406" s="71">
        <f>IF($H406&lt;&gt;"",1,0)</f>
        <v>0</v>
      </c>
      <c r="AC406" s="71">
        <f>IF(AND($AB406=1,$G406="Yes"),1,0)</f>
        <v>0</v>
      </c>
      <c r="AD406" s="71">
        <f>IF(AND($AB406=1,$N406="MQL"),1,0)</f>
        <v>0</v>
      </c>
      <c r="AE406" s="71">
        <f>IF(AND($AB406=1,$O406="SQL"),1,0)</f>
        <v>0</v>
      </c>
      <c r="AF406" s="71">
        <f>IF(AND($AB406=1,OR($P406="Open",$P406="Won",$P406="Lost")),1,0)</f>
        <v>0</v>
      </c>
      <c r="AG406" s="71">
        <f>IF(AND($AB406=1,OR($M406="Converted",$P406="Won")),1,0)</f>
        <v>0</v>
      </c>
      <c r="AH406" s="71">
        <f>IF($AB406=0,0,IF(AND(OR(fClient="All",$B406=fClient),OR(fCampaign="All",$C406=fCampaign),OR(fTeam="All",$L406=fTeam),OR(fChannel="All",$F406=fChannel),OR(fMonth="All",$AA406=fMonth)),1,0))</f>
        <v>0</v>
      </c>
      <c r="AI406" s="71">
        <f>IF($AB406=0,0,IF(AND(OR(fClient="All",$B406=fClient),OR(fCampaign="All",$C406=fCampaign),OR(fTeam="All",$L406=fTeam),OR(fChannel="All",$F406=fChannel)),1,0))</f>
        <v>0</v>
      </c>
    </row>
    <row r="407">
      <c r="A407" s="63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3" t="n"/>
      <c r="R407" s="63" t="n"/>
      <c r="S407" s="63" t="n"/>
      <c r="T407" s="65" t="n"/>
      <c r="U407" s="65" t="n"/>
      <c r="V407" s="63" t="n"/>
      <c r="W407" s="65" t="n"/>
      <c r="X407" s="69" t="str">
        <f>IF(AND(ISNUMBER($Q407),ISNUMBER($R407)),$R407-$Q407,"")</f>
        <v/>
      </c>
      <c r="Y407" s="71" t="str">
        <f>IF($AB407=1,IF(AND(ISNUMBER($V407),$M407&lt;&gt;"Converted",$M407&lt;&gt;"Rejected"),IF($V407&lt;=ReportDate,"DUE",""),""),"")</f>
        <v/>
      </c>
      <c r="Z407" s="75" t="str">
        <f>IF(ISNUMBER($Q407),$Q407,IF(ISNUMBER($A407),$A407,""))</f>
        <v/>
      </c>
      <c r="AA407" s="71" t="str">
        <f>IF(ISNUMBER($Z407),YEAR($Z407)&amp;"-"&amp;TEXT(MONTH($Z407),"00"),"")</f>
        <v/>
      </c>
      <c r="AB407" s="71">
        <f>IF($H407&lt;&gt;"",1,0)</f>
        <v>0</v>
      </c>
      <c r="AC407" s="71">
        <f>IF(AND($AB407=1,$G407="Yes"),1,0)</f>
        <v>0</v>
      </c>
      <c r="AD407" s="71">
        <f>IF(AND($AB407=1,$N407="MQL"),1,0)</f>
        <v>0</v>
      </c>
      <c r="AE407" s="71">
        <f>IF(AND($AB407=1,$O407="SQL"),1,0)</f>
        <v>0</v>
      </c>
      <c r="AF407" s="71">
        <f>IF(AND($AB407=1,OR($P407="Open",$P407="Won",$P407="Lost")),1,0)</f>
        <v>0</v>
      </c>
      <c r="AG407" s="71">
        <f>IF(AND($AB407=1,OR($M407="Converted",$P407="Won")),1,0)</f>
        <v>0</v>
      </c>
      <c r="AH407" s="71">
        <f>IF($AB407=0,0,IF(AND(OR(fClient="All",$B407=fClient),OR(fCampaign="All",$C407=fCampaign),OR(fTeam="All",$L407=fTeam),OR(fChannel="All",$F407=fChannel),OR(fMonth="All",$AA407=fMonth)),1,0))</f>
        <v>0</v>
      </c>
      <c r="AI407" s="71">
        <f>IF($AB407=0,0,IF(AND(OR(fClient="All",$B407=fClient),OR(fCampaign="All",$C407=fCampaign),OR(fTeam="All",$L407=fTeam),OR(fChannel="All",$F407=fChannel)),1,0))</f>
        <v>0</v>
      </c>
    </row>
    <row r="408">
      <c r="A408" s="63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3" t="n"/>
      <c r="R408" s="63" t="n"/>
      <c r="S408" s="63" t="n"/>
      <c r="T408" s="65" t="n"/>
      <c r="U408" s="65" t="n"/>
      <c r="V408" s="63" t="n"/>
      <c r="W408" s="65" t="n"/>
      <c r="X408" s="69" t="str">
        <f>IF(AND(ISNUMBER($Q408),ISNUMBER($R408)),$R408-$Q408,"")</f>
        <v/>
      </c>
      <c r="Y408" s="71" t="str">
        <f>IF($AB408=1,IF(AND(ISNUMBER($V408),$M408&lt;&gt;"Converted",$M408&lt;&gt;"Rejected"),IF($V408&lt;=ReportDate,"DUE",""),""),"")</f>
        <v/>
      </c>
      <c r="Z408" s="75" t="str">
        <f>IF(ISNUMBER($Q408),$Q408,IF(ISNUMBER($A408),$A408,""))</f>
        <v/>
      </c>
      <c r="AA408" s="71" t="str">
        <f>IF(ISNUMBER($Z408),YEAR($Z408)&amp;"-"&amp;TEXT(MONTH($Z408),"00"),"")</f>
        <v/>
      </c>
      <c r="AB408" s="71">
        <f>IF($H408&lt;&gt;"",1,0)</f>
        <v>0</v>
      </c>
      <c r="AC408" s="71">
        <f>IF(AND($AB408=1,$G408="Yes"),1,0)</f>
        <v>0</v>
      </c>
      <c r="AD408" s="71">
        <f>IF(AND($AB408=1,$N408="MQL"),1,0)</f>
        <v>0</v>
      </c>
      <c r="AE408" s="71">
        <f>IF(AND($AB408=1,$O408="SQL"),1,0)</f>
        <v>0</v>
      </c>
      <c r="AF408" s="71">
        <f>IF(AND($AB408=1,OR($P408="Open",$P408="Won",$P408="Lost")),1,0)</f>
        <v>0</v>
      </c>
      <c r="AG408" s="71">
        <f>IF(AND($AB408=1,OR($M408="Converted",$P408="Won")),1,0)</f>
        <v>0</v>
      </c>
      <c r="AH408" s="71">
        <f>IF($AB408=0,0,IF(AND(OR(fClient="All",$B408=fClient),OR(fCampaign="All",$C408=fCampaign),OR(fTeam="All",$L408=fTeam),OR(fChannel="All",$F408=fChannel),OR(fMonth="All",$AA408=fMonth)),1,0))</f>
        <v>0</v>
      </c>
      <c r="AI408" s="71">
        <f>IF($AB408=0,0,IF(AND(OR(fClient="All",$B408=fClient),OR(fCampaign="All",$C408=fCampaign),OR(fTeam="All",$L408=fTeam),OR(fChannel="All",$F408=fChannel)),1,0))</f>
        <v>0</v>
      </c>
    </row>
    <row r="409">
      <c r="A409" s="63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3" t="n"/>
      <c r="R409" s="63" t="n"/>
      <c r="S409" s="63" t="n"/>
      <c r="T409" s="65" t="n"/>
      <c r="U409" s="65" t="n"/>
      <c r="V409" s="63" t="n"/>
      <c r="W409" s="65" t="n"/>
      <c r="X409" s="69" t="str">
        <f>IF(AND(ISNUMBER($Q409),ISNUMBER($R409)),$R409-$Q409,"")</f>
        <v/>
      </c>
      <c r="Y409" s="71" t="str">
        <f>IF($AB409=1,IF(AND(ISNUMBER($V409),$M409&lt;&gt;"Converted",$M409&lt;&gt;"Rejected"),IF($V409&lt;=ReportDate,"DUE",""),""),"")</f>
        <v/>
      </c>
      <c r="Z409" s="75" t="str">
        <f>IF(ISNUMBER($Q409),$Q409,IF(ISNUMBER($A409),$A409,""))</f>
        <v/>
      </c>
      <c r="AA409" s="71" t="str">
        <f>IF(ISNUMBER($Z409),YEAR($Z409)&amp;"-"&amp;TEXT(MONTH($Z409),"00"),"")</f>
        <v/>
      </c>
      <c r="AB409" s="71">
        <f>IF($H409&lt;&gt;"",1,0)</f>
        <v>0</v>
      </c>
      <c r="AC409" s="71">
        <f>IF(AND($AB409=1,$G409="Yes"),1,0)</f>
        <v>0</v>
      </c>
      <c r="AD409" s="71">
        <f>IF(AND($AB409=1,$N409="MQL"),1,0)</f>
        <v>0</v>
      </c>
      <c r="AE409" s="71">
        <f>IF(AND($AB409=1,$O409="SQL"),1,0)</f>
        <v>0</v>
      </c>
      <c r="AF409" s="71">
        <f>IF(AND($AB409=1,OR($P409="Open",$P409="Won",$P409="Lost")),1,0)</f>
        <v>0</v>
      </c>
      <c r="AG409" s="71">
        <f>IF(AND($AB409=1,OR($M409="Converted",$P409="Won")),1,0)</f>
        <v>0</v>
      </c>
      <c r="AH409" s="71">
        <f>IF($AB409=0,0,IF(AND(OR(fClient="All",$B409=fClient),OR(fCampaign="All",$C409=fCampaign),OR(fTeam="All",$L409=fTeam),OR(fChannel="All",$F409=fChannel),OR(fMonth="All",$AA409=fMonth)),1,0))</f>
        <v>0</v>
      </c>
      <c r="AI409" s="71">
        <f>IF($AB409=0,0,IF(AND(OR(fClient="All",$B409=fClient),OR(fCampaign="All",$C409=fCampaign),OR(fTeam="All",$L409=fTeam),OR(fChannel="All",$F409=fChannel)),1,0))</f>
        <v>0</v>
      </c>
    </row>
    <row r="410">
      <c r="A410" s="63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3" t="n"/>
      <c r="R410" s="63" t="n"/>
      <c r="S410" s="63" t="n"/>
      <c r="T410" s="65" t="n"/>
      <c r="U410" s="65" t="n"/>
      <c r="V410" s="63" t="n"/>
      <c r="W410" s="65" t="n"/>
      <c r="X410" s="69" t="str">
        <f>IF(AND(ISNUMBER($Q410),ISNUMBER($R410)),$R410-$Q410,"")</f>
        <v/>
      </c>
      <c r="Y410" s="71" t="str">
        <f>IF($AB410=1,IF(AND(ISNUMBER($V410),$M410&lt;&gt;"Converted",$M410&lt;&gt;"Rejected"),IF($V410&lt;=ReportDate,"DUE",""),""),"")</f>
        <v/>
      </c>
      <c r="Z410" s="75" t="str">
        <f>IF(ISNUMBER($Q410),$Q410,IF(ISNUMBER($A410),$A410,""))</f>
        <v/>
      </c>
      <c r="AA410" s="71" t="str">
        <f>IF(ISNUMBER($Z410),YEAR($Z410)&amp;"-"&amp;TEXT(MONTH($Z410),"00"),"")</f>
        <v/>
      </c>
      <c r="AB410" s="71">
        <f>IF($H410&lt;&gt;"",1,0)</f>
        <v>0</v>
      </c>
      <c r="AC410" s="71">
        <f>IF(AND($AB410=1,$G410="Yes"),1,0)</f>
        <v>0</v>
      </c>
      <c r="AD410" s="71">
        <f>IF(AND($AB410=1,$N410="MQL"),1,0)</f>
        <v>0</v>
      </c>
      <c r="AE410" s="71">
        <f>IF(AND($AB410=1,$O410="SQL"),1,0)</f>
        <v>0</v>
      </c>
      <c r="AF410" s="71">
        <f>IF(AND($AB410=1,OR($P410="Open",$P410="Won",$P410="Lost")),1,0)</f>
        <v>0</v>
      </c>
      <c r="AG410" s="71">
        <f>IF(AND($AB410=1,OR($M410="Converted",$P410="Won")),1,0)</f>
        <v>0</v>
      </c>
      <c r="AH410" s="71">
        <f>IF($AB410=0,0,IF(AND(OR(fClient="All",$B410=fClient),OR(fCampaign="All",$C410=fCampaign),OR(fTeam="All",$L410=fTeam),OR(fChannel="All",$F410=fChannel),OR(fMonth="All",$AA410=fMonth)),1,0))</f>
        <v>0</v>
      </c>
      <c r="AI410" s="71">
        <f>IF($AB410=0,0,IF(AND(OR(fClient="All",$B410=fClient),OR(fCampaign="All",$C410=fCampaign),OR(fTeam="All",$L410=fTeam),OR(fChannel="All",$F410=fChannel)),1,0))</f>
        <v>0</v>
      </c>
    </row>
    <row r="411">
      <c r="A411" s="63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3" t="n"/>
      <c r="R411" s="63" t="n"/>
      <c r="S411" s="63" t="n"/>
      <c r="T411" s="65" t="n"/>
      <c r="U411" s="65" t="n"/>
      <c r="V411" s="63" t="n"/>
      <c r="W411" s="65" t="n"/>
      <c r="X411" s="69" t="str">
        <f>IF(AND(ISNUMBER($Q411),ISNUMBER($R411)),$R411-$Q411,"")</f>
        <v/>
      </c>
      <c r="Y411" s="71" t="str">
        <f>IF($AB411=1,IF(AND(ISNUMBER($V411),$M411&lt;&gt;"Converted",$M411&lt;&gt;"Rejected"),IF($V411&lt;=ReportDate,"DUE",""),""),"")</f>
        <v/>
      </c>
      <c r="Z411" s="75" t="str">
        <f>IF(ISNUMBER($Q411),$Q411,IF(ISNUMBER($A411),$A411,""))</f>
        <v/>
      </c>
      <c r="AA411" s="71" t="str">
        <f>IF(ISNUMBER($Z411),YEAR($Z411)&amp;"-"&amp;TEXT(MONTH($Z411),"00"),"")</f>
        <v/>
      </c>
      <c r="AB411" s="71">
        <f>IF($H411&lt;&gt;"",1,0)</f>
        <v>0</v>
      </c>
      <c r="AC411" s="71">
        <f>IF(AND($AB411=1,$G411="Yes"),1,0)</f>
        <v>0</v>
      </c>
      <c r="AD411" s="71">
        <f>IF(AND($AB411=1,$N411="MQL"),1,0)</f>
        <v>0</v>
      </c>
      <c r="AE411" s="71">
        <f>IF(AND($AB411=1,$O411="SQL"),1,0)</f>
        <v>0</v>
      </c>
      <c r="AF411" s="71">
        <f>IF(AND($AB411=1,OR($P411="Open",$P411="Won",$P411="Lost")),1,0)</f>
        <v>0</v>
      </c>
      <c r="AG411" s="71">
        <f>IF(AND($AB411=1,OR($M411="Converted",$P411="Won")),1,0)</f>
        <v>0</v>
      </c>
      <c r="AH411" s="71">
        <f>IF($AB411=0,0,IF(AND(OR(fClient="All",$B411=fClient),OR(fCampaign="All",$C411=fCampaign),OR(fTeam="All",$L411=fTeam),OR(fChannel="All",$F411=fChannel),OR(fMonth="All",$AA411=fMonth)),1,0))</f>
        <v>0</v>
      </c>
      <c r="AI411" s="71">
        <f>IF($AB411=0,0,IF(AND(OR(fClient="All",$B411=fClient),OR(fCampaign="All",$C411=fCampaign),OR(fTeam="All",$L411=fTeam),OR(fChannel="All",$F411=fChannel)),1,0))</f>
        <v>0</v>
      </c>
    </row>
    <row r="412">
      <c r="A412" s="63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3" t="n"/>
      <c r="R412" s="63" t="n"/>
      <c r="S412" s="63" t="n"/>
      <c r="T412" s="65" t="n"/>
      <c r="U412" s="65" t="n"/>
      <c r="V412" s="63" t="n"/>
      <c r="W412" s="65" t="n"/>
      <c r="X412" s="69" t="str">
        <f>IF(AND(ISNUMBER($Q412),ISNUMBER($R412)),$R412-$Q412,"")</f>
        <v/>
      </c>
      <c r="Y412" s="71" t="str">
        <f>IF($AB412=1,IF(AND(ISNUMBER($V412),$M412&lt;&gt;"Converted",$M412&lt;&gt;"Rejected"),IF($V412&lt;=ReportDate,"DUE",""),""),"")</f>
        <v/>
      </c>
      <c r="Z412" s="75" t="str">
        <f>IF(ISNUMBER($Q412),$Q412,IF(ISNUMBER($A412),$A412,""))</f>
        <v/>
      </c>
      <c r="AA412" s="71" t="str">
        <f>IF(ISNUMBER($Z412),YEAR($Z412)&amp;"-"&amp;TEXT(MONTH($Z412),"00"),"")</f>
        <v/>
      </c>
      <c r="AB412" s="71">
        <f>IF($H412&lt;&gt;"",1,0)</f>
        <v>0</v>
      </c>
      <c r="AC412" s="71">
        <f>IF(AND($AB412=1,$G412="Yes"),1,0)</f>
        <v>0</v>
      </c>
      <c r="AD412" s="71">
        <f>IF(AND($AB412=1,$N412="MQL"),1,0)</f>
        <v>0</v>
      </c>
      <c r="AE412" s="71">
        <f>IF(AND($AB412=1,$O412="SQL"),1,0)</f>
        <v>0</v>
      </c>
      <c r="AF412" s="71">
        <f>IF(AND($AB412=1,OR($P412="Open",$P412="Won",$P412="Lost")),1,0)</f>
        <v>0</v>
      </c>
      <c r="AG412" s="71">
        <f>IF(AND($AB412=1,OR($M412="Converted",$P412="Won")),1,0)</f>
        <v>0</v>
      </c>
      <c r="AH412" s="71">
        <f>IF($AB412=0,0,IF(AND(OR(fClient="All",$B412=fClient),OR(fCampaign="All",$C412=fCampaign),OR(fTeam="All",$L412=fTeam),OR(fChannel="All",$F412=fChannel),OR(fMonth="All",$AA412=fMonth)),1,0))</f>
        <v>0</v>
      </c>
      <c r="AI412" s="71">
        <f>IF($AB412=0,0,IF(AND(OR(fClient="All",$B412=fClient),OR(fCampaign="All",$C412=fCampaign),OR(fTeam="All",$L412=fTeam),OR(fChannel="All",$F412=fChannel)),1,0))</f>
        <v>0</v>
      </c>
    </row>
    <row r="413">
      <c r="A413" s="63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3" t="n"/>
      <c r="R413" s="63" t="n"/>
      <c r="S413" s="63" t="n"/>
      <c r="T413" s="65" t="n"/>
      <c r="U413" s="65" t="n"/>
      <c r="V413" s="63" t="n"/>
      <c r="W413" s="65" t="n"/>
      <c r="X413" s="69" t="str">
        <f>IF(AND(ISNUMBER($Q413),ISNUMBER($R413)),$R413-$Q413,"")</f>
        <v/>
      </c>
      <c r="Y413" s="71" t="str">
        <f>IF($AB413=1,IF(AND(ISNUMBER($V413),$M413&lt;&gt;"Converted",$M413&lt;&gt;"Rejected"),IF($V413&lt;=ReportDate,"DUE",""),""),"")</f>
        <v/>
      </c>
      <c r="Z413" s="75" t="str">
        <f>IF(ISNUMBER($Q413),$Q413,IF(ISNUMBER($A413),$A413,""))</f>
        <v/>
      </c>
      <c r="AA413" s="71" t="str">
        <f>IF(ISNUMBER($Z413),YEAR($Z413)&amp;"-"&amp;TEXT(MONTH($Z413),"00"),"")</f>
        <v/>
      </c>
      <c r="AB413" s="71">
        <f>IF($H413&lt;&gt;"",1,0)</f>
        <v>0</v>
      </c>
      <c r="AC413" s="71">
        <f>IF(AND($AB413=1,$G413="Yes"),1,0)</f>
        <v>0</v>
      </c>
      <c r="AD413" s="71">
        <f>IF(AND($AB413=1,$N413="MQL"),1,0)</f>
        <v>0</v>
      </c>
      <c r="AE413" s="71">
        <f>IF(AND($AB413=1,$O413="SQL"),1,0)</f>
        <v>0</v>
      </c>
      <c r="AF413" s="71">
        <f>IF(AND($AB413=1,OR($P413="Open",$P413="Won",$P413="Lost")),1,0)</f>
        <v>0</v>
      </c>
      <c r="AG413" s="71">
        <f>IF(AND($AB413=1,OR($M413="Converted",$P413="Won")),1,0)</f>
        <v>0</v>
      </c>
      <c r="AH413" s="71">
        <f>IF($AB413=0,0,IF(AND(OR(fClient="All",$B413=fClient),OR(fCampaign="All",$C413=fCampaign),OR(fTeam="All",$L413=fTeam),OR(fChannel="All",$F413=fChannel),OR(fMonth="All",$AA413=fMonth)),1,0))</f>
        <v>0</v>
      </c>
      <c r="AI413" s="71">
        <f>IF($AB413=0,0,IF(AND(OR(fClient="All",$B413=fClient),OR(fCampaign="All",$C413=fCampaign),OR(fTeam="All",$L413=fTeam),OR(fChannel="All",$F413=fChannel)),1,0))</f>
        <v>0</v>
      </c>
    </row>
    <row r="414">
      <c r="A414" s="63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3" t="n"/>
      <c r="R414" s="63" t="n"/>
      <c r="S414" s="63" t="n"/>
      <c r="T414" s="65" t="n"/>
      <c r="U414" s="65" t="n"/>
      <c r="V414" s="63" t="n"/>
      <c r="W414" s="65" t="n"/>
      <c r="X414" s="69" t="str">
        <f>IF(AND(ISNUMBER($Q414),ISNUMBER($R414)),$R414-$Q414,"")</f>
        <v/>
      </c>
      <c r="Y414" s="71" t="str">
        <f>IF($AB414=1,IF(AND(ISNUMBER($V414),$M414&lt;&gt;"Converted",$M414&lt;&gt;"Rejected"),IF($V414&lt;=ReportDate,"DUE",""),""),"")</f>
        <v/>
      </c>
      <c r="Z414" s="75" t="str">
        <f>IF(ISNUMBER($Q414),$Q414,IF(ISNUMBER($A414),$A414,""))</f>
        <v/>
      </c>
      <c r="AA414" s="71" t="str">
        <f>IF(ISNUMBER($Z414),YEAR($Z414)&amp;"-"&amp;TEXT(MONTH($Z414),"00"),"")</f>
        <v/>
      </c>
      <c r="AB414" s="71">
        <f>IF($H414&lt;&gt;"",1,0)</f>
        <v>0</v>
      </c>
      <c r="AC414" s="71">
        <f>IF(AND($AB414=1,$G414="Yes"),1,0)</f>
        <v>0</v>
      </c>
      <c r="AD414" s="71">
        <f>IF(AND($AB414=1,$N414="MQL"),1,0)</f>
        <v>0</v>
      </c>
      <c r="AE414" s="71">
        <f>IF(AND($AB414=1,$O414="SQL"),1,0)</f>
        <v>0</v>
      </c>
      <c r="AF414" s="71">
        <f>IF(AND($AB414=1,OR($P414="Open",$P414="Won",$P414="Lost")),1,0)</f>
        <v>0</v>
      </c>
      <c r="AG414" s="71">
        <f>IF(AND($AB414=1,OR($M414="Converted",$P414="Won")),1,0)</f>
        <v>0</v>
      </c>
      <c r="AH414" s="71">
        <f>IF($AB414=0,0,IF(AND(OR(fClient="All",$B414=fClient),OR(fCampaign="All",$C414=fCampaign),OR(fTeam="All",$L414=fTeam),OR(fChannel="All",$F414=fChannel),OR(fMonth="All",$AA414=fMonth)),1,0))</f>
        <v>0</v>
      </c>
      <c r="AI414" s="71">
        <f>IF($AB414=0,0,IF(AND(OR(fClient="All",$B414=fClient),OR(fCampaign="All",$C414=fCampaign),OR(fTeam="All",$L414=fTeam),OR(fChannel="All",$F414=fChannel)),1,0))</f>
        <v>0</v>
      </c>
    </row>
    <row r="415">
      <c r="A415" s="63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3" t="n"/>
      <c r="R415" s="63" t="n"/>
      <c r="S415" s="63" t="n"/>
      <c r="T415" s="65" t="n"/>
      <c r="U415" s="65" t="n"/>
      <c r="V415" s="63" t="n"/>
      <c r="W415" s="65" t="n"/>
      <c r="X415" s="69" t="str">
        <f>IF(AND(ISNUMBER($Q415),ISNUMBER($R415)),$R415-$Q415,"")</f>
        <v/>
      </c>
      <c r="Y415" s="71" t="str">
        <f>IF($AB415=1,IF(AND(ISNUMBER($V415),$M415&lt;&gt;"Converted",$M415&lt;&gt;"Rejected"),IF($V415&lt;=ReportDate,"DUE",""),""),"")</f>
        <v/>
      </c>
      <c r="Z415" s="75" t="str">
        <f>IF(ISNUMBER($Q415),$Q415,IF(ISNUMBER($A415),$A415,""))</f>
        <v/>
      </c>
      <c r="AA415" s="71" t="str">
        <f>IF(ISNUMBER($Z415),YEAR($Z415)&amp;"-"&amp;TEXT(MONTH($Z415),"00"),"")</f>
        <v/>
      </c>
      <c r="AB415" s="71">
        <f>IF($H415&lt;&gt;"",1,0)</f>
        <v>0</v>
      </c>
      <c r="AC415" s="71">
        <f>IF(AND($AB415=1,$G415="Yes"),1,0)</f>
        <v>0</v>
      </c>
      <c r="AD415" s="71">
        <f>IF(AND($AB415=1,$N415="MQL"),1,0)</f>
        <v>0</v>
      </c>
      <c r="AE415" s="71">
        <f>IF(AND($AB415=1,$O415="SQL"),1,0)</f>
        <v>0</v>
      </c>
      <c r="AF415" s="71">
        <f>IF(AND($AB415=1,OR($P415="Open",$P415="Won",$P415="Lost")),1,0)</f>
        <v>0</v>
      </c>
      <c r="AG415" s="71">
        <f>IF(AND($AB415=1,OR($M415="Converted",$P415="Won")),1,0)</f>
        <v>0</v>
      </c>
      <c r="AH415" s="71">
        <f>IF($AB415=0,0,IF(AND(OR(fClient="All",$B415=fClient),OR(fCampaign="All",$C415=fCampaign),OR(fTeam="All",$L415=fTeam),OR(fChannel="All",$F415=fChannel),OR(fMonth="All",$AA415=fMonth)),1,0))</f>
        <v>0</v>
      </c>
      <c r="AI415" s="71">
        <f>IF($AB415=0,0,IF(AND(OR(fClient="All",$B415=fClient),OR(fCampaign="All",$C415=fCampaign),OR(fTeam="All",$L415=fTeam),OR(fChannel="All",$F415=fChannel)),1,0))</f>
        <v>0</v>
      </c>
    </row>
    <row r="416">
      <c r="A416" s="63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3" t="n"/>
      <c r="R416" s="63" t="n"/>
      <c r="S416" s="63" t="n"/>
      <c r="T416" s="65" t="n"/>
      <c r="U416" s="65" t="n"/>
      <c r="V416" s="63" t="n"/>
      <c r="W416" s="65" t="n"/>
      <c r="X416" s="69" t="str">
        <f>IF(AND(ISNUMBER($Q416),ISNUMBER($R416)),$R416-$Q416,"")</f>
        <v/>
      </c>
      <c r="Y416" s="71" t="str">
        <f>IF($AB416=1,IF(AND(ISNUMBER($V416),$M416&lt;&gt;"Converted",$M416&lt;&gt;"Rejected"),IF($V416&lt;=ReportDate,"DUE",""),""),"")</f>
        <v/>
      </c>
      <c r="Z416" s="75" t="str">
        <f>IF(ISNUMBER($Q416),$Q416,IF(ISNUMBER($A416),$A416,""))</f>
        <v/>
      </c>
      <c r="AA416" s="71" t="str">
        <f>IF(ISNUMBER($Z416),YEAR($Z416)&amp;"-"&amp;TEXT(MONTH($Z416),"00"),"")</f>
        <v/>
      </c>
      <c r="AB416" s="71">
        <f>IF($H416&lt;&gt;"",1,0)</f>
        <v>0</v>
      </c>
      <c r="AC416" s="71">
        <f>IF(AND($AB416=1,$G416="Yes"),1,0)</f>
        <v>0</v>
      </c>
      <c r="AD416" s="71">
        <f>IF(AND($AB416=1,$N416="MQL"),1,0)</f>
        <v>0</v>
      </c>
      <c r="AE416" s="71">
        <f>IF(AND($AB416=1,$O416="SQL"),1,0)</f>
        <v>0</v>
      </c>
      <c r="AF416" s="71">
        <f>IF(AND($AB416=1,OR($P416="Open",$P416="Won",$P416="Lost")),1,0)</f>
        <v>0</v>
      </c>
      <c r="AG416" s="71">
        <f>IF(AND($AB416=1,OR($M416="Converted",$P416="Won")),1,0)</f>
        <v>0</v>
      </c>
      <c r="AH416" s="71">
        <f>IF($AB416=0,0,IF(AND(OR(fClient="All",$B416=fClient),OR(fCampaign="All",$C416=fCampaign),OR(fTeam="All",$L416=fTeam),OR(fChannel="All",$F416=fChannel),OR(fMonth="All",$AA416=fMonth)),1,0))</f>
        <v>0</v>
      </c>
      <c r="AI416" s="71">
        <f>IF($AB416=0,0,IF(AND(OR(fClient="All",$B416=fClient),OR(fCampaign="All",$C416=fCampaign),OR(fTeam="All",$L416=fTeam),OR(fChannel="All",$F416=fChannel)),1,0))</f>
        <v>0</v>
      </c>
    </row>
    <row r="417">
      <c r="A417" s="63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3" t="n"/>
      <c r="R417" s="63" t="n"/>
      <c r="S417" s="63" t="n"/>
      <c r="T417" s="65" t="n"/>
      <c r="U417" s="65" t="n"/>
      <c r="V417" s="63" t="n"/>
      <c r="W417" s="65" t="n"/>
      <c r="X417" s="69" t="str">
        <f>IF(AND(ISNUMBER($Q417),ISNUMBER($R417)),$R417-$Q417,"")</f>
        <v/>
      </c>
      <c r="Y417" s="71" t="str">
        <f>IF($AB417=1,IF(AND(ISNUMBER($V417),$M417&lt;&gt;"Converted",$M417&lt;&gt;"Rejected"),IF($V417&lt;=ReportDate,"DUE",""),""),"")</f>
        <v/>
      </c>
      <c r="Z417" s="75" t="str">
        <f>IF(ISNUMBER($Q417),$Q417,IF(ISNUMBER($A417),$A417,""))</f>
        <v/>
      </c>
      <c r="AA417" s="71" t="str">
        <f>IF(ISNUMBER($Z417),YEAR($Z417)&amp;"-"&amp;TEXT(MONTH($Z417),"00"),"")</f>
        <v/>
      </c>
      <c r="AB417" s="71">
        <f>IF($H417&lt;&gt;"",1,0)</f>
        <v>0</v>
      </c>
      <c r="AC417" s="71">
        <f>IF(AND($AB417=1,$G417="Yes"),1,0)</f>
        <v>0</v>
      </c>
      <c r="AD417" s="71">
        <f>IF(AND($AB417=1,$N417="MQL"),1,0)</f>
        <v>0</v>
      </c>
      <c r="AE417" s="71">
        <f>IF(AND($AB417=1,$O417="SQL"),1,0)</f>
        <v>0</v>
      </c>
      <c r="AF417" s="71">
        <f>IF(AND($AB417=1,OR($P417="Open",$P417="Won",$P417="Lost")),1,0)</f>
        <v>0</v>
      </c>
      <c r="AG417" s="71">
        <f>IF(AND($AB417=1,OR($M417="Converted",$P417="Won")),1,0)</f>
        <v>0</v>
      </c>
      <c r="AH417" s="71">
        <f>IF($AB417=0,0,IF(AND(OR(fClient="All",$B417=fClient),OR(fCampaign="All",$C417=fCampaign),OR(fTeam="All",$L417=fTeam),OR(fChannel="All",$F417=fChannel),OR(fMonth="All",$AA417=fMonth)),1,0))</f>
        <v>0</v>
      </c>
      <c r="AI417" s="71">
        <f>IF($AB417=0,0,IF(AND(OR(fClient="All",$B417=fClient),OR(fCampaign="All",$C417=fCampaign),OR(fTeam="All",$L417=fTeam),OR(fChannel="All",$F417=fChannel)),1,0))</f>
        <v>0</v>
      </c>
    </row>
    <row r="418">
      <c r="A418" s="63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3" t="n"/>
      <c r="R418" s="63" t="n"/>
      <c r="S418" s="63" t="n"/>
      <c r="T418" s="65" t="n"/>
      <c r="U418" s="65" t="n"/>
      <c r="V418" s="63" t="n"/>
      <c r="W418" s="65" t="n"/>
      <c r="X418" s="69" t="str">
        <f>IF(AND(ISNUMBER($Q418),ISNUMBER($R418)),$R418-$Q418,"")</f>
        <v/>
      </c>
      <c r="Y418" s="71" t="str">
        <f>IF($AB418=1,IF(AND(ISNUMBER($V418),$M418&lt;&gt;"Converted",$M418&lt;&gt;"Rejected"),IF($V418&lt;=ReportDate,"DUE",""),""),"")</f>
        <v/>
      </c>
      <c r="Z418" s="75" t="str">
        <f>IF(ISNUMBER($Q418),$Q418,IF(ISNUMBER($A418),$A418,""))</f>
        <v/>
      </c>
      <c r="AA418" s="71" t="str">
        <f>IF(ISNUMBER($Z418),YEAR($Z418)&amp;"-"&amp;TEXT(MONTH($Z418),"00"),"")</f>
        <v/>
      </c>
      <c r="AB418" s="71">
        <f>IF($H418&lt;&gt;"",1,0)</f>
        <v>0</v>
      </c>
      <c r="AC418" s="71">
        <f>IF(AND($AB418=1,$G418="Yes"),1,0)</f>
        <v>0</v>
      </c>
      <c r="AD418" s="71">
        <f>IF(AND($AB418=1,$N418="MQL"),1,0)</f>
        <v>0</v>
      </c>
      <c r="AE418" s="71">
        <f>IF(AND($AB418=1,$O418="SQL"),1,0)</f>
        <v>0</v>
      </c>
      <c r="AF418" s="71">
        <f>IF(AND($AB418=1,OR($P418="Open",$P418="Won",$P418="Lost")),1,0)</f>
        <v>0</v>
      </c>
      <c r="AG418" s="71">
        <f>IF(AND($AB418=1,OR($M418="Converted",$P418="Won")),1,0)</f>
        <v>0</v>
      </c>
      <c r="AH418" s="71">
        <f>IF($AB418=0,0,IF(AND(OR(fClient="All",$B418=fClient),OR(fCampaign="All",$C418=fCampaign),OR(fTeam="All",$L418=fTeam),OR(fChannel="All",$F418=fChannel),OR(fMonth="All",$AA418=fMonth)),1,0))</f>
        <v>0</v>
      </c>
      <c r="AI418" s="71">
        <f>IF($AB418=0,0,IF(AND(OR(fClient="All",$B418=fClient),OR(fCampaign="All",$C418=fCampaign),OR(fTeam="All",$L418=fTeam),OR(fChannel="All",$F418=fChannel)),1,0))</f>
        <v>0</v>
      </c>
    </row>
    <row r="419">
      <c r="A419" s="63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3" t="n"/>
      <c r="R419" s="63" t="n"/>
      <c r="S419" s="63" t="n"/>
      <c r="T419" s="65" t="n"/>
      <c r="U419" s="65" t="n"/>
      <c r="V419" s="63" t="n"/>
      <c r="W419" s="65" t="n"/>
      <c r="X419" s="69" t="str">
        <f>IF(AND(ISNUMBER($Q419),ISNUMBER($R419)),$R419-$Q419,"")</f>
        <v/>
      </c>
      <c r="Y419" s="71" t="str">
        <f>IF($AB419=1,IF(AND(ISNUMBER($V419),$M419&lt;&gt;"Converted",$M419&lt;&gt;"Rejected"),IF($V419&lt;=ReportDate,"DUE",""),""),"")</f>
        <v/>
      </c>
      <c r="Z419" s="75" t="str">
        <f>IF(ISNUMBER($Q419),$Q419,IF(ISNUMBER($A419),$A419,""))</f>
        <v/>
      </c>
      <c r="AA419" s="71" t="str">
        <f>IF(ISNUMBER($Z419),YEAR($Z419)&amp;"-"&amp;TEXT(MONTH($Z419),"00"),"")</f>
        <v/>
      </c>
      <c r="AB419" s="71">
        <f>IF($H419&lt;&gt;"",1,0)</f>
        <v>0</v>
      </c>
      <c r="AC419" s="71">
        <f>IF(AND($AB419=1,$G419="Yes"),1,0)</f>
        <v>0</v>
      </c>
      <c r="AD419" s="71">
        <f>IF(AND($AB419=1,$N419="MQL"),1,0)</f>
        <v>0</v>
      </c>
      <c r="AE419" s="71">
        <f>IF(AND($AB419=1,$O419="SQL"),1,0)</f>
        <v>0</v>
      </c>
      <c r="AF419" s="71">
        <f>IF(AND($AB419=1,OR($P419="Open",$P419="Won",$P419="Lost")),1,0)</f>
        <v>0</v>
      </c>
      <c r="AG419" s="71">
        <f>IF(AND($AB419=1,OR($M419="Converted",$P419="Won")),1,0)</f>
        <v>0</v>
      </c>
      <c r="AH419" s="71">
        <f>IF($AB419=0,0,IF(AND(OR(fClient="All",$B419=fClient),OR(fCampaign="All",$C419=fCampaign),OR(fTeam="All",$L419=fTeam),OR(fChannel="All",$F419=fChannel),OR(fMonth="All",$AA419=fMonth)),1,0))</f>
        <v>0</v>
      </c>
      <c r="AI419" s="71">
        <f>IF($AB419=0,0,IF(AND(OR(fClient="All",$B419=fClient),OR(fCampaign="All",$C419=fCampaign),OR(fTeam="All",$L419=fTeam),OR(fChannel="All",$F419=fChannel)),1,0))</f>
        <v>0</v>
      </c>
    </row>
    <row r="420">
      <c r="A420" s="63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3" t="n"/>
      <c r="R420" s="63" t="n"/>
      <c r="S420" s="63" t="n"/>
      <c r="T420" s="65" t="n"/>
      <c r="U420" s="65" t="n"/>
      <c r="V420" s="63" t="n"/>
      <c r="W420" s="65" t="n"/>
      <c r="X420" s="69" t="str">
        <f>IF(AND(ISNUMBER($Q420),ISNUMBER($R420)),$R420-$Q420,"")</f>
        <v/>
      </c>
      <c r="Y420" s="71" t="str">
        <f>IF($AB420=1,IF(AND(ISNUMBER($V420),$M420&lt;&gt;"Converted",$M420&lt;&gt;"Rejected"),IF($V420&lt;=ReportDate,"DUE",""),""),"")</f>
        <v/>
      </c>
      <c r="Z420" s="75" t="str">
        <f>IF(ISNUMBER($Q420),$Q420,IF(ISNUMBER($A420),$A420,""))</f>
        <v/>
      </c>
      <c r="AA420" s="71" t="str">
        <f>IF(ISNUMBER($Z420),YEAR($Z420)&amp;"-"&amp;TEXT(MONTH($Z420),"00"),"")</f>
        <v/>
      </c>
      <c r="AB420" s="71">
        <f>IF($H420&lt;&gt;"",1,0)</f>
        <v>0</v>
      </c>
      <c r="AC420" s="71">
        <f>IF(AND($AB420=1,$G420="Yes"),1,0)</f>
        <v>0</v>
      </c>
      <c r="AD420" s="71">
        <f>IF(AND($AB420=1,$N420="MQL"),1,0)</f>
        <v>0</v>
      </c>
      <c r="AE420" s="71">
        <f>IF(AND($AB420=1,$O420="SQL"),1,0)</f>
        <v>0</v>
      </c>
      <c r="AF420" s="71">
        <f>IF(AND($AB420=1,OR($P420="Open",$P420="Won",$P420="Lost")),1,0)</f>
        <v>0</v>
      </c>
      <c r="AG420" s="71">
        <f>IF(AND($AB420=1,OR($M420="Converted",$P420="Won")),1,0)</f>
        <v>0</v>
      </c>
      <c r="AH420" s="71">
        <f>IF($AB420=0,0,IF(AND(OR(fClient="All",$B420=fClient),OR(fCampaign="All",$C420=fCampaign),OR(fTeam="All",$L420=fTeam),OR(fChannel="All",$F420=fChannel),OR(fMonth="All",$AA420=fMonth)),1,0))</f>
        <v>0</v>
      </c>
      <c r="AI420" s="71">
        <f>IF($AB420=0,0,IF(AND(OR(fClient="All",$B420=fClient),OR(fCampaign="All",$C420=fCampaign),OR(fTeam="All",$L420=fTeam),OR(fChannel="All",$F420=fChannel)),1,0))</f>
        <v>0</v>
      </c>
    </row>
    <row r="421">
      <c r="A421" s="63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3" t="n"/>
      <c r="R421" s="63" t="n"/>
      <c r="S421" s="63" t="n"/>
      <c r="T421" s="65" t="n"/>
      <c r="U421" s="65" t="n"/>
      <c r="V421" s="63" t="n"/>
      <c r="W421" s="65" t="n"/>
      <c r="X421" s="69" t="str">
        <f>IF(AND(ISNUMBER($Q421),ISNUMBER($R421)),$R421-$Q421,"")</f>
        <v/>
      </c>
      <c r="Y421" s="71" t="str">
        <f>IF($AB421=1,IF(AND(ISNUMBER($V421),$M421&lt;&gt;"Converted",$M421&lt;&gt;"Rejected"),IF($V421&lt;=ReportDate,"DUE",""),""),"")</f>
        <v/>
      </c>
      <c r="Z421" s="75" t="str">
        <f>IF(ISNUMBER($Q421),$Q421,IF(ISNUMBER($A421),$A421,""))</f>
        <v/>
      </c>
      <c r="AA421" s="71" t="str">
        <f>IF(ISNUMBER($Z421),YEAR($Z421)&amp;"-"&amp;TEXT(MONTH($Z421),"00"),"")</f>
        <v/>
      </c>
      <c r="AB421" s="71">
        <f>IF($H421&lt;&gt;"",1,0)</f>
        <v>0</v>
      </c>
      <c r="AC421" s="71">
        <f>IF(AND($AB421=1,$G421="Yes"),1,0)</f>
        <v>0</v>
      </c>
      <c r="AD421" s="71">
        <f>IF(AND($AB421=1,$N421="MQL"),1,0)</f>
        <v>0</v>
      </c>
      <c r="AE421" s="71">
        <f>IF(AND($AB421=1,$O421="SQL"),1,0)</f>
        <v>0</v>
      </c>
      <c r="AF421" s="71">
        <f>IF(AND($AB421=1,OR($P421="Open",$P421="Won",$P421="Lost")),1,0)</f>
        <v>0</v>
      </c>
      <c r="AG421" s="71">
        <f>IF(AND($AB421=1,OR($M421="Converted",$P421="Won")),1,0)</f>
        <v>0</v>
      </c>
      <c r="AH421" s="71">
        <f>IF($AB421=0,0,IF(AND(OR(fClient="All",$B421=fClient),OR(fCampaign="All",$C421=fCampaign),OR(fTeam="All",$L421=fTeam),OR(fChannel="All",$F421=fChannel),OR(fMonth="All",$AA421=fMonth)),1,0))</f>
        <v>0</v>
      </c>
      <c r="AI421" s="71">
        <f>IF($AB421=0,0,IF(AND(OR(fClient="All",$B421=fClient),OR(fCampaign="All",$C421=fCampaign),OR(fTeam="All",$L421=fTeam),OR(fChannel="All",$F421=fChannel)),1,0))</f>
        <v>0</v>
      </c>
    </row>
    <row r="422">
      <c r="A422" s="63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3" t="n"/>
      <c r="R422" s="63" t="n"/>
      <c r="S422" s="63" t="n"/>
      <c r="T422" s="65" t="n"/>
      <c r="U422" s="65" t="n"/>
      <c r="V422" s="63" t="n"/>
      <c r="W422" s="65" t="n"/>
      <c r="X422" s="69" t="str">
        <f>IF(AND(ISNUMBER($Q422),ISNUMBER($R422)),$R422-$Q422,"")</f>
        <v/>
      </c>
      <c r="Y422" s="71" t="str">
        <f>IF($AB422=1,IF(AND(ISNUMBER($V422),$M422&lt;&gt;"Converted",$M422&lt;&gt;"Rejected"),IF($V422&lt;=ReportDate,"DUE",""),""),"")</f>
        <v/>
      </c>
      <c r="Z422" s="75" t="str">
        <f>IF(ISNUMBER($Q422),$Q422,IF(ISNUMBER($A422),$A422,""))</f>
        <v/>
      </c>
      <c r="AA422" s="71" t="str">
        <f>IF(ISNUMBER($Z422),YEAR($Z422)&amp;"-"&amp;TEXT(MONTH($Z422),"00"),"")</f>
        <v/>
      </c>
      <c r="AB422" s="71">
        <f>IF($H422&lt;&gt;"",1,0)</f>
        <v>0</v>
      </c>
      <c r="AC422" s="71">
        <f>IF(AND($AB422=1,$G422="Yes"),1,0)</f>
        <v>0</v>
      </c>
      <c r="AD422" s="71">
        <f>IF(AND($AB422=1,$N422="MQL"),1,0)</f>
        <v>0</v>
      </c>
      <c r="AE422" s="71">
        <f>IF(AND($AB422=1,$O422="SQL"),1,0)</f>
        <v>0</v>
      </c>
      <c r="AF422" s="71">
        <f>IF(AND($AB422=1,OR($P422="Open",$P422="Won",$P422="Lost")),1,0)</f>
        <v>0</v>
      </c>
      <c r="AG422" s="71">
        <f>IF(AND($AB422=1,OR($M422="Converted",$P422="Won")),1,0)</f>
        <v>0</v>
      </c>
      <c r="AH422" s="71">
        <f>IF($AB422=0,0,IF(AND(OR(fClient="All",$B422=fClient),OR(fCampaign="All",$C422=fCampaign),OR(fTeam="All",$L422=fTeam),OR(fChannel="All",$F422=fChannel),OR(fMonth="All",$AA422=fMonth)),1,0))</f>
        <v>0</v>
      </c>
      <c r="AI422" s="71">
        <f>IF($AB422=0,0,IF(AND(OR(fClient="All",$B422=fClient),OR(fCampaign="All",$C422=fCampaign),OR(fTeam="All",$L422=fTeam),OR(fChannel="All",$F422=fChannel)),1,0))</f>
        <v>0</v>
      </c>
    </row>
    <row r="423">
      <c r="A423" s="63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3" t="n"/>
      <c r="R423" s="63" t="n"/>
      <c r="S423" s="63" t="n"/>
      <c r="T423" s="65" t="n"/>
      <c r="U423" s="65" t="n"/>
      <c r="V423" s="63" t="n"/>
      <c r="W423" s="65" t="n"/>
      <c r="X423" s="69" t="str">
        <f>IF(AND(ISNUMBER($Q423),ISNUMBER($R423)),$R423-$Q423,"")</f>
        <v/>
      </c>
      <c r="Y423" s="71" t="str">
        <f>IF($AB423=1,IF(AND(ISNUMBER($V423),$M423&lt;&gt;"Converted",$M423&lt;&gt;"Rejected"),IF($V423&lt;=ReportDate,"DUE",""),""),"")</f>
        <v/>
      </c>
      <c r="Z423" s="75" t="str">
        <f>IF(ISNUMBER($Q423),$Q423,IF(ISNUMBER($A423),$A423,""))</f>
        <v/>
      </c>
      <c r="AA423" s="71" t="str">
        <f>IF(ISNUMBER($Z423),YEAR($Z423)&amp;"-"&amp;TEXT(MONTH($Z423),"00"),"")</f>
        <v/>
      </c>
      <c r="AB423" s="71">
        <f>IF($H423&lt;&gt;"",1,0)</f>
        <v>0</v>
      </c>
      <c r="AC423" s="71">
        <f>IF(AND($AB423=1,$G423="Yes"),1,0)</f>
        <v>0</v>
      </c>
      <c r="AD423" s="71">
        <f>IF(AND($AB423=1,$N423="MQL"),1,0)</f>
        <v>0</v>
      </c>
      <c r="AE423" s="71">
        <f>IF(AND($AB423=1,$O423="SQL"),1,0)</f>
        <v>0</v>
      </c>
      <c r="AF423" s="71">
        <f>IF(AND($AB423=1,OR($P423="Open",$P423="Won",$P423="Lost")),1,0)</f>
        <v>0</v>
      </c>
      <c r="AG423" s="71">
        <f>IF(AND($AB423=1,OR($M423="Converted",$P423="Won")),1,0)</f>
        <v>0</v>
      </c>
      <c r="AH423" s="71">
        <f>IF($AB423=0,0,IF(AND(OR(fClient="All",$B423=fClient),OR(fCampaign="All",$C423=fCampaign),OR(fTeam="All",$L423=fTeam),OR(fChannel="All",$F423=fChannel),OR(fMonth="All",$AA423=fMonth)),1,0))</f>
        <v>0</v>
      </c>
      <c r="AI423" s="71">
        <f>IF($AB423=0,0,IF(AND(OR(fClient="All",$B423=fClient),OR(fCampaign="All",$C423=fCampaign),OR(fTeam="All",$L423=fTeam),OR(fChannel="All",$F423=fChannel)),1,0))</f>
        <v>0</v>
      </c>
    </row>
    <row r="424">
      <c r="A424" s="63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3" t="n"/>
      <c r="R424" s="63" t="n"/>
      <c r="S424" s="63" t="n"/>
      <c r="T424" s="65" t="n"/>
      <c r="U424" s="65" t="n"/>
      <c r="V424" s="63" t="n"/>
      <c r="W424" s="65" t="n"/>
      <c r="X424" s="69" t="str">
        <f>IF(AND(ISNUMBER($Q424),ISNUMBER($R424)),$R424-$Q424,"")</f>
        <v/>
      </c>
      <c r="Y424" s="71" t="str">
        <f>IF($AB424=1,IF(AND(ISNUMBER($V424),$M424&lt;&gt;"Converted",$M424&lt;&gt;"Rejected"),IF($V424&lt;=ReportDate,"DUE",""),""),"")</f>
        <v/>
      </c>
      <c r="Z424" s="75" t="str">
        <f>IF(ISNUMBER($Q424),$Q424,IF(ISNUMBER($A424),$A424,""))</f>
        <v/>
      </c>
      <c r="AA424" s="71" t="str">
        <f>IF(ISNUMBER($Z424),YEAR($Z424)&amp;"-"&amp;TEXT(MONTH($Z424),"00"),"")</f>
        <v/>
      </c>
      <c r="AB424" s="71">
        <f>IF($H424&lt;&gt;"",1,0)</f>
        <v>0</v>
      </c>
      <c r="AC424" s="71">
        <f>IF(AND($AB424=1,$G424="Yes"),1,0)</f>
        <v>0</v>
      </c>
      <c r="AD424" s="71">
        <f>IF(AND($AB424=1,$N424="MQL"),1,0)</f>
        <v>0</v>
      </c>
      <c r="AE424" s="71">
        <f>IF(AND($AB424=1,$O424="SQL"),1,0)</f>
        <v>0</v>
      </c>
      <c r="AF424" s="71">
        <f>IF(AND($AB424=1,OR($P424="Open",$P424="Won",$P424="Lost")),1,0)</f>
        <v>0</v>
      </c>
      <c r="AG424" s="71">
        <f>IF(AND($AB424=1,OR($M424="Converted",$P424="Won")),1,0)</f>
        <v>0</v>
      </c>
      <c r="AH424" s="71">
        <f>IF($AB424=0,0,IF(AND(OR(fClient="All",$B424=fClient),OR(fCampaign="All",$C424=fCampaign),OR(fTeam="All",$L424=fTeam),OR(fChannel="All",$F424=fChannel),OR(fMonth="All",$AA424=fMonth)),1,0))</f>
        <v>0</v>
      </c>
      <c r="AI424" s="71">
        <f>IF($AB424=0,0,IF(AND(OR(fClient="All",$B424=fClient),OR(fCampaign="All",$C424=fCampaign),OR(fTeam="All",$L424=fTeam),OR(fChannel="All",$F424=fChannel)),1,0))</f>
        <v>0</v>
      </c>
    </row>
    <row r="425">
      <c r="A425" s="63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3" t="n"/>
      <c r="R425" s="63" t="n"/>
      <c r="S425" s="63" t="n"/>
      <c r="T425" s="65" t="n"/>
      <c r="U425" s="65" t="n"/>
      <c r="V425" s="63" t="n"/>
      <c r="W425" s="65" t="n"/>
      <c r="X425" s="69" t="str">
        <f>IF(AND(ISNUMBER($Q425),ISNUMBER($R425)),$R425-$Q425,"")</f>
        <v/>
      </c>
      <c r="Y425" s="71" t="str">
        <f>IF($AB425=1,IF(AND(ISNUMBER($V425),$M425&lt;&gt;"Converted",$M425&lt;&gt;"Rejected"),IF($V425&lt;=ReportDate,"DUE",""),""),"")</f>
        <v/>
      </c>
      <c r="Z425" s="75" t="str">
        <f>IF(ISNUMBER($Q425),$Q425,IF(ISNUMBER($A425),$A425,""))</f>
        <v/>
      </c>
      <c r="AA425" s="71" t="str">
        <f>IF(ISNUMBER($Z425),YEAR($Z425)&amp;"-"&amp;TEXT(MONTH($Z425),"00"),"")</f>
        <v/>
      </c>
      <c r="AB425" s="71">
        <f>IF($H425&lt;&gt;"",1,0)</f>
        <v>0</v>
      </c>
      <c r="AC425" s="71">
        <f>IF(AND($AB425=1,$G425="Yes"),1,0)</f>
        <v>0</v>
      </c>
      <c r="AD425" s="71">
        <f>IF(AND($AB425=1,$N425="MQL"),1,0)</f>
        <v>0</v>
      </c>
      <c r="AE425" s="71">
        <f>IF(AND($AB425=1,$O425="SQL"),1,0)</f>
        <v>0</v>
      </c>
      <c r="AF425" s="71">
        <f>IF(AND($AB425=1,OR($P425="Open",$P425="Won",$P425="Lost")),1,0)</f>
        <v>0</v>
      </c>
      <c r="AG425" s="71">
        <f>IF(AND($AB425=1,OR($M425="Converted",$P425="Won")),1,0)</f>
        <v>0</v>
      </c>
      <c r="AH425" s="71">
        <f>IF($AB425=0,0,IF(AND(OR(fClient="All",$B425=fClient),OR(fCampaign="All",$C425=fCampaign),OR(fTeam="All",$L425=fTeam),OR(fChannel="All",$F425=fChannel),OR(fMonth="All",$AA425=fMonth)),1,0))</f>
        <v>0</v>
      </c>
      <c r="AI425" s="71">
        <f>IF($AB425=0,0,IF(AND(OR(fClient="All",$B425=fClient),OR(fCampaign="All",$C425=fCampaign),OR(fTeam="All",$L425=fTeam),OR(fChannel="All",$F425=fChannel)),1,0))</f>
        <v>0</v>
      </c>
    </row>
    <row r="426">
      <c r="A426" s="63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3" t="n"/>
      <c r="R426" s="63" t="n"/>
      <c r="S426" s="63" t="n"/>
      <c r="T426" s="65" t="n"/>
      <c r="U426" s="65" t="n"/>
      <c r="V426" s="63" t="n"/>
      <c r="W426" s="65" t="n"/>
      <c r="X426" s="69" t="str">
        <f>IF(AND(ISNUMBER($Q426),ISNUMBER($R426)),$R426-$Q426,"")</f>
        <v/>
      </c>
      <c r="Y426" s="71" t="str">
        <f>IF($AB426=1,IF(AND(ISNUMBER($V426),$M426&lt;&gt;"Converted",$M426&lt;&gt;"Rejected"),IF($V426&lt;=ReportDate,"DUE",""),""),"")</f>
        <v/>
      </c>
      <c r="Z426" s="75" t="str">
        <f>IF(ISNUMBER($Q426),$Q426,IF(ISNUMBER($A426),$A426,""))</f>
        <v/>
      </c>
      <c r="AA426" s="71" t="str">
        <f>IF(ISNUMBER($Z426),YEAR($Z426)&amp;"-"&amp;TEXT(MONTH($Z426),"00"),"")</f>
        <v/>
      </c>
      <c r="AB426" s="71">
        <f>IF($H426&lt;&gt;"",1,0)</f>
        <v>0</v>
      </c>
      <c r="AC426" s="71">
        <f>IF(AND($AB426=1,$G426="Yes"),1,0)</f>
        <v>0</v>
      </c>
      <c r="AD426" s="71">
        <f>IF(AND($AB426=1,$N426="MQL"),1,0)</f>
        <v>0</v>
      </c>
      <c r="AE426" s="71">
        <f>IF(AND($AB426=1,$O426="SQL"),1,0)</f>
        <v>0</v>
      </c>
      <c r="AF426" s="71">
        <f>IF(AND($AB426=1,OR($P426="Open",$P426="Won",$P426="Lost")),1,0)</f>
        <v>0</v>
      </c>
      <c r="AG426" s="71">
        <f>IF(AND($AB426=1,OR($M426="Converted",$P426="Won")),1,0)</f>
        <v>0</v>
      </c>
      <c r="AH426" s="71">
        <f>IF($AB426=0,0,IF(AND(OR(fClient="All",$B426=fClient),OR(fCampaign="All",$C426=fCampaign),OR(fTeam="All",$L426=fTeam),OR(fChannel="All",$F426=fChannel),OR(fMonth="All",$AA426=fMonth)),1,0))</f>
        <v>0</v>
      </c>
      <c r="AI426" s="71">
        <f>IF($AB426=0,0,IF(AND(OR(fClient="All",$B426=fClient),OR(fCampaign="All",$C426=fCampaign),OR(fTeam="All",$L426=fTeam),OR(fChannel="All",$F426=fChannel)),1,0))</f>
        <v>0</v>
      </c>
    </row>
    <row r="427">
      <c r="A427" s="63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3" t="n"/>
      <c r="R427" s="63" t="n"/>
      <c r="S427" s="63" t="n"/>
      <c r="T427" s="65" t="n"/>
      <c r="U427" s="65" t="n"/>
      <c r="V427" s="63" t="n"/>
      <c r="W427" s="65" t="n"/>
      <c r="X427" s="69" t="str">
        <f>IF(AND(ISNUMBER($Q427),ISNUMBER($R427)),$R427-$Q427,"")</f>
        <v/>
      </c>
      <c r="Y427" s="71" t="str">
        <f>IF($AB427=1,IF(AND(ISNUMBER($V427),$M427&lt;&gt;"Converted",$M427&lt;&gt;"Rejected"),IF($V427&lt;=ReportDate,"DUE",""),""),"")</f>
        <v/>
      </c>
      <c r="Z427" s="75" t="str">
        <f>IF(ISNUMBER($Q427),$Q427,IF(ISNUMBER($A427),$A427,""))</f>
        <v/>
      </c>
      <c r="AA427" s="71" t="str">
        <f>IF(ISNUMBER($Z427),YEAR($Z427)&amp;"-"&amp;TEXT(MONTH($Z427),"00"),"")</f>
        <v/>
      </c>
      <c r="AB427" s="71">
        <f>IF($H427&lt;&gt;"",1,0)</f>
        <v>0</v>
      </c>
      <c r="AC427" s="71">
        <f>IF(AND($AB427=1,$G427="Yes"),1,0)</f>
        <v>0</v>
      </c>
      <c r="AD427" s="71">
        <f>IF(AND($AB427=1,$N427="MQL"),1,0)</f>
        <v>0</v>
      </c>
      <c r="AE427" s="71">
        <f>IF(AND($AB427=1,$O427="SQL"),1,0)</f>
        <v>0</v>
      </c>
      <c r="AF427" s="71">
        <f>IF(AND($AB427=1,OR($P427="Open",$P427="Won",$P427="Lost")),1,0)</f>
        <v>0</v>
      </c>
      <c r="AG427" s="71">
        <f>IF(AND($AB427=1,OR($M427="Converted",$P427="Won")),1,0)</f>
        <v>0</v>
      </c>
      <c r="AH427" s="71">
        <f>IF($AB427=0,0,IF(AND(OR(fClient="All",$B427=fClient),OR(fCampaign="All",$C427=fCampaign),OR(fTeam="All",$L427=fTeam),OR(fChannel="All",$F427=fChannel),OR(fMonth="All",$AA427=fMonth)),1,0))</f>
        <v>0</v>
      </c>
      <c r="AI427" s="71">
        <f>IF($AB427=0,0,IF(AND(OR(fClient="All",$B427=fClient),OR(fCampaign="All",$C427=fCampaign),OR(fTeam="All",$L427=fTeam),OR(fChannel="All",$F427=fChannel)),1,0))</f>
        <v>0</v>
      </c>
    </row>
    <row r="428">
      <c r="A428" s="63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3" t="n"/>
      <c r="R428" s="63" t="n"/>
      <c r="S428" s="63" t="n"/>
      <c r="T428" s="65" t="n"/>
      <c r="U428" s="65" t="n"/>
      <c r="V428" s="63" t="n"/>
      <c r="W428" s="65" t="n"/>
      <c r="X428" s="69" t="str">
        <f>IF(AND(ISNUMBER($Q428),ISNUMBER($R428)),$R428-$Q428,"")</f>
        <v/>
      </c>
      <c r="Y428" s="71" t="str">
        <f>IF($AB428=1,IF(AND(ISNUMBER($V428),$M428&lt;&gt;"Converted",$M428&lt;&gt;"Rejected"),IF($V428&lt;=ReportDate,"DUE",""),""),"")</f>
        <v/>
      </c>
      <c r="Z428" s="75" t="str">
        <f>IF(ISNUMBER($Q428),$Q428,IF(ISNUMBER($A428),$A428,""))</f>
        <v/>
      </c>
      <c r="AA428" s="71" t="str">
        <f>IF(ISNUMBER($Z428),YEAR($Z428)&amp;"-"&amp;TEXT(MONTH($Z428),"00"),"")</f>
        <v/>
      </c>
      <c r="AB428" s="71">
        <f>IF($H428&lt;&gt;"",1,0)</f>
        <v>0</v>
      </c>
      <c r="AC428" s="71">
        <f>IF(AND($AB428=1,$G428="Yes"),1,0)</f>
        <v>0</v>
      </c>
      <c r="AD428" s="71">
        <f>IF(AND($AB428=1,$N428="MQL"),1,0)</f>
        <v>0</v>
      </c>
      <c r="AE428" s="71">
        <f>IF(AND($AB428=1,$O428="SQL"),1,0)</f>
        <v>0</v>
      </c>
      <c r="AF428" s="71">
        <f>IF(AND($AB428=1,OR($P428="Open",$P428="Won",$P428="Lost")),1,0)</f>
        <v>0</v>
      </c>
      <c r="AG428" s="71">
        <f>IF(AND($AB428=1,OR($M428="Converted",$P428="Won")),1,0)</f>
        <v>0</v>
      </c>
      <c r="AH428" s="71">
        <f>IF($AB428=0,0,IF(AND(OR(fClient="All",$B428=fClient),OR(fCampaign="All",$C428=fCampaign),OR(fTeam="All",$L428=fTeam),OR(fChannel="All",$F428=fChannel),OR(fMonth="All",$AA428=fMonth)),1,0))</f>
        <v>0</v>
      </c>
      <c r="AI428" s="71">
        <f>IF($AB428=0,0,IF(AND(OR(fClient="All",$B428=fClient),OR(fCampaign="All",$C428=fCampaign),OR(fTeam="All",$L428=fTeam),OR(fChannel="All",$F428=fChannel)),1,0))</f>
        <v>0</v>
      </c>
    </row>
    <row r="429">
      <c r="A429" s="63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3" t="n"/>
      <c r="R429" s="63" t="n"/>
      <c r="S429" s="63" t="n"/>
      <c r="T429" s="65" t="n"/>
      <c r="U429" s="65" t="n"/>
      <c r="V429" s="63" t="n"/>
      <c r="W429" s="65" t="n"/>
      <c r="X429" s="69" t="str">
        <f>IF(AND(ISNUMBER($Q429),ISNUMBER($R429)),$R429-$Q429,"")</f>
        <v/>
      </c>
      <c r="Y429" s="71" t="str">
        <f>IF($AB429=1,IF(AND(ISNUMBER($V429),$M429&lt;&gt;"Converted",$M429&lt;&gt;"Rejected"),IF($V429&lt;=ReportDate,"DUE",""),""),"")</f>
        <v/>
      </c>
      <c r="Z429" s="75" t="str">
        <f>IF(ISNUMBER($Q429),$Q429,IF(ISNUMBER($A429),$A429,""))</f>
        <v/>
      </c>
      <c r="AA429" s="71" t="str">
        <f>IF(ISNUMBER($Z429),YEAR($Z429)&amp;"-"&amp;TEXT(MONTH($Z429),"00"),"")</f>
        <v/>
      </c>
      <c r="AB429" s="71">
        <f>IF($H429&lt;&gt;"",1,0)</f>
        <v>0</v>
      </c>
      <c r="AC429" s="71">
        <f>IF(AND($AB429=1,$G429="Yes"),1,0)</f>
        <v>0</v>
      </c>
      <c r="AD429" s="71">
        <f>IF(AND($AB429=1,$N429="MQL"),1,0)</f>
        <v>0</v>
      </c>
      <c r="AE429" s="71">
        <f>IF(AND($AB429=1,$O429="SQL"),1,0)</f>
        <v>0</v>
      </c>
      <c r="AF429" s="71">
        <f>IF(AND($AB429=1,OR($P429="Open",$P429="Won",$P429="Lost")),1,0)</f>
        <v>0</v>
      </c>
      <c r="AG429" s="71">
        <f>IF(AND($AB429=1,OR($M429="Converted",$P429="Won")),1,0)</f>
        <v>0</v>
      </c>
      <c r="AH429" s="71">
        <f>IF($AB429=0,0,IF(AND(OR(fClient="All",$B429=fClient),OR(fCampaign="All",$C429=fCampaign),OR(fTeam="All",$L429=fTeam),OR(fChannel="All",$F429=fChannel),OR(fMonth="All",$AA429=fMonth)),1,0))</f>
        <v>0</v>
      </c>
      <c r="AI429" s="71">
        <f>IF($AB429=0,0,IF(AND(OR(fClient="All",$B429=fClient),OR(fCampaign="All",$C429=fCampaign),OR(fTeam="All",$L429=fTeam),OR(fChannel="All",$F429=fChannel)),1,0))</f>
        <v>0</v>
      </c>
    </row>
    <row r="430">
      <c r="A430" s="63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3" t="n"/>
      <c r="R430" s="63" t="n"/>
      <c r="S430" s="63" t="n"/>
      <c r="T430" s="65" t="n"/>
      <c r="U430" s="65" t="n"/>
      <c r="V430" s="63" t="n"/>
      <c r="W430" s="65" t="n"/>
      <c r="X430" s="69" t="str">
        <f>IF(AND(ISNUMBER($Q430),ISNUMBER($R430)),$R430-$Q430,"")</f>
        <v/>
      </c>
      <c r="Y430" s="71" t="str">
        <f>IF($AB430=1,IF(AND(ISNUMBER($V430),$M430&lt;&gt;"Converted",$M430&lt;&gt;"Rejected"),IF($V430&lt;=ReportDate,"DUE",""),""),"")</f>
        <v/>
      </c>
      <c r="Z430" s="75" t="str">
        <f>IF(ISNUMBER($Q430),$Q430,IF(ISNUMBER($A430),$A430,""))</f>
        <v/>
      </c>
      <c r="AA430" s="71" t="str">
        <f>IF(ISNUMBER($Z430),YEAR($Z430)&amp;"-"&amp;TEXT(MONTH($Z430),"00"),"")</f>
        <v/>
      </c>
      <c r="AB430" s="71">
        <f>IF($H430&lt;&gt;"",1,0)</f>
        <v>0</v>
      </c>
      <c r="AC430" s="71">
        <f>IF(AND($AB430=1,$G430="Yes"),1,0)</f>
        <v>0</v>
      </c>
      <c r="AD430" s="71">
        <f>IF(AND($AB430=1,$N430="MQL"),1,0)</f>
        <v>0</v>
      </c>
      <c r="AE430" s="71">
        <f>IF(AND($AB430=1,$O430="SQL"),1,0)</f>
        <v>0</v>
      </c>
      <c r="AF430" s="71">
        <f>IF(AND($AB430=1,OR($P430="Open",$P430="Won",$P430="Lost")),1,0)</f>
        <v>0</v>
      </c>
      <c r="AG430" s="71">
        <f>IF(AND($AB430=1,OR($M430="Converted",$P430="Won")),1,0)</f>
        <v>0</v>
      </c>
      <c r="AH430" s="71">
        <f>IF($AB430=0,0,IF(AND(OR(fClient="All",$B430=fClient),OR(fCampaign="All",$C430=fCampaign),OR(fTeam="All",$L430=fTeam),OR(fChannel="All",$F430=fChannel),OR(fMonth="All",$AA430=fMonth)),1,0))</f>
        <v>0</v>
      </c>
      <c r="AI430" s="71">
        <f>IF($AB430=0,0,IF(AND(OR(fClient="All",$B430=fClient),OR(fCampaign="All",$C430=fCampaign),OR(fTeam="All",$L430=fTeam),OR(fChannel="All",$F430=fChannel)),1,0))</f>
        <v>0</v>
      </c>
    </row>
    <row r="431">
      <c r="A431" s="63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3" t="n"/>
      <c r="R431" s="63" t="n"/>
      <c r="S431" s="63" t="n"/>
      <c r="T431" s="65" t="n"/>
      <c r="U431" s="65" t="n"/>
      <c r="V431" s="63" t="n"/>
      <c r="W431" s="65" t="n"/>
      <c r="X431" s="69" t="str">
        <f>IF(AND(ISNUMBER($Q431),ISNUMBER($R431)),$R431-$Q431,"")</f>
        <v/>
      </c>
      <c r="Y431" s="71" t="str">
        <f>IF($AB431=1,IF(AND(ISNUMBER($V431),$M431&lt;&gt;"Converted",$M431&lt;&gt;"Rejected"),IF($V431&lt;=ReportDate,"DUE",""),""),"")</f>
        <v/>
      </c>
      <c r="Z431" s="75" t="str">
        <f>IF(ISNUMBER($Q431),$Q431,IF(ISNUMBER($A431),$A431,""))</f>
        <v/>
      </c>
      <c r="AA431" s="71" t="str">
        <f>IF(ISNUMBER($Z431),YEAR($Z431)&amp;"-"&amp;TEXT(MONTH($Z431),"00"),"")</f>
        <v/>
      </c>
      <c r="AB431" s="71">
        <f>IF($H431&lt;&gt;"",1,0)</f>
        <v>0</v>
      </c>
      <c r="AC431" s="71">
        <f>IF(AND($AB431=1,$G431="Yes"),1,0)</f>
        <v>0</v>
      </c>
      <c r="AD431" s="71">
        <f>IF(AND($AB431=1,$N431="MQL"),1,0)</f>
        <v>0</v>
      </c>
      <c r="AE431" s="71">
        <f>IF(AND($AB431=1,$O431="SQL"),1,0)</f>
        <v>0</v>
      </c>
      <c r="AF431" s="71">
        <f>IF(AND($AB431=1,OR($P431="Open",$P431="Won",$P431="Lost")),1,0)</f>
        <v>0</v>
      </c>
      <c r="AG431" s="71">
        <f>IF(AND($AB431=1,OR($M431="Converted",$P431="Won")),1,0)</f>
        <v>0</v>
      </c>
      <c r="AH431" s="71">
        <f>IF($AB431=0,0,IF(AND(OR(fClient="All",$B431=fClient),OR(fCampaign="All",$C431=fCampaign),OR(fTeam="All",$L431=fTeam),OR(fChannel="All",$F431=fChannel),OR(fMonth="All",$AA431=fMonth)),1,0))</f>
        <v>0</v>
      </c>
      <c r="AI431" s="71">
        <f>IF($AB431=0,0,IF(AND(OR(fClient="All",$B431=fClient),OR(fCampaign="All",$C431=fCampaign),OR(fTeam="All",$L431=fTeam),OR(fChannel="All",$F431=fChannel)),1,0))</f>
        <v>0</v>
      </c>
    </row>
    <row r="432">
      <c r="A432" s="63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3" t="n"/>
      <c r="R432" s="63" t="n"/>
      <c r="S432" s="63" t="n"/>
      <c r="T432" s="65" t="n"/>
      <c r="U432" s="65" t="n"/>
      <c r="V432" s="63" t="n"/>
      <c r="W432" s="65" t="n"/>
      <c r="X432" s="69" t="str">
        <f>IF(AND(ISNUMBER($Q432),ISNUMBER($R432)),$R432-$Q432,"")</f>
        <v/>
      </c>
      <c r="Y432" s="71" t="str">
        <f>IF($AB432=1,IF(AND(ISNUMBER($V432),$M432&lt;&gt;"Converted",$M432&lt;&gt;"Rejected"),IF($V432&lt;=ReportDate,"DUE",""),""),"")</f>
        <v/>
      </c>
      <c r="Z432" s="75" t="str">
        <f>IF(ISNUMBER($Q432),$Q432,IF(ISNUMBER($A432),$A432,""))</f>
        <v/>
      </c>
      <c r="AA432" s="71" t="str">
        <f>IF(ISNUMBER($Z432),YEAR($Z432)&amp;"-"&amp;TEXT(MONTH($Z432),"00"),"")</f>
        <v/>
      </c>
      <c r="AB432" s="71">
        <f>IF($H432&lt;&gt;"",1,0)</f>
        <v>0</v>
      </c>
      <c r="AC432" s="71">
        <f>IF(AND($AB432=1,$G432="Yes"),1,0)</f>
        <v>0</v>
      </c>
      <c r="AD432" s="71">
        <f>IF(AND($AB432=1,$N432="MQL"),1,0)</f>
        <v>0</v>
      </c>
      <c r="AE432" s="71">
        <f>IF(AND($AB432=1,$O432="SQL"),1,0)</f>
        <v>0</v>
      </c>
      <c r="AF432" s="71">
        <f>IF(AND($AB432=1,OR($P432="Open",$P432="Won",$P432="Lost")),1,0)</f>
        <v>0</v>
      </c>
      <c r="AG432" s="71">
        <f>IF(AND($AB432=1,OR($M432="Converted",$P432="Won")),1,0)</f>
        <v>0</v>
      </c>
      <c r="AH432" s="71">
        <f>IF($AB432=0,0,IF(AND(OR(fClient="All",$B432=fClient),OR(fCampaign="All",$C432=fCampaign),OR(fTeam="All",$L432=fTeam),OR(fChannel="All",$F432=fChannel),OR(fMonth="All",$AA432=fMonth)),1,0))</f>
        <v>0</v>
      </c>
      <c r="AI432" s="71">
        <f>IF($AB432=0,0,IF(AND(OR(fClient="All",$B432=fClient),OR(fCampaign="All",$C432=fCampaign),OR(fTeam="All",$L432=fTeam),OR(fChannel="All",$F432=fChannel)),1,0))</f>
        <v>0</v>
      </c>
    </row>
    <row r="433">
      <c r="A433" s="63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3" t="n"/>
      <c r="R433" s="63" t="n"/>
      <c r="S433" s="63" t="n"/>
      <c r="T433" s="65" t="n"/>
      <c r="U433" s="65" t="n"/>
      <c r="V433" s="63" t="n"/>
      <c r="W433" s="65" t="n"/>
      <c r="X433" s="69" t="str">
        <f>IF(AND(ISNUMBER($Q433),ISNUMBER($R433)),$R433-$Q433,"")</f>
        <v/>
      </c>
      <c r="Y433" s="71" t="str">
        <f>IF($AB433=1,IF(AND(ISNUMBER($V433),$M433&lt;&gt;"Converted",$M433&lt;&gt;"Rejected"),IF($V433&lt;=ReportDate,"DUE",""),""),"")</f>
        <v/>
      </c>
      <c r="Z433" s="75" t="str">
        <f>IF(ISNUMBER($Q433),$Q433,IF(ISNUMBER($A433),$A433,""))</f>
        <v/>
      </c>
      <c r="AA433" s="71" t="str">
        <f>IF(ISNUMBER($Z433),YEAR($Z433)&amp;"-"&amp;TEXT(MONTH($Z433),"00"),"")</f>
        <v/>
      </c>
      <c r="AB433" s="71">
        <f>IF($H433&lt;&gt;"",1,0)</f>
        <v>0</v>
      </c>
      <c r="AC433" s="71">
        <f>IF(AND($AB433=1,$G433="Yes"),1,0)</f>
        <v>0</v>
      </c>
      <c r="AD433" s="71">
        <f>IF(AND($AB433=1,$N433="MQL"),1,0)</f>
        <v>0</v>
      </c>
      <c r="AE433" s="71">
        <f>IF(AND($AB433=1,$O433="SQL"),1,0)</f>
        <v>0</v>
      </c>
      <c r="AF433" s="71">
        <f>IF(AND($AB433=1,OR($P433="Open",$P433="Won",$P433="Lost")),1,0)</f>
        <v>0</v>
      </c>
      <c r="AG433" s="71">
        <f>IF(AND($AB433=1,OR($M433="Converted",$P433="Won")),1,0)</f>
        <v>0</v>
      </c>
      <c r="AH433" s="71">
        <f>IF($AB433=0,0,IF(AND(OR(fClient="All",$B433=fClient),OR(fCampaign="All",$C433=fCampaign),OR(fTeam="All",$L433=fTeam),OR(fChannel="All",$F433=fChannel),OR(fMonth="All",$AA433=fMonth)),1,0))</f>
        <v>0</v>
      </c>
      <c r="AI433" s="71">
        <f>IF($AB433=0,0,IF(AND(OR(fClient="All",$B433=fClient),OR(fCampaign="All",$C433=fCampaign),OR(fTeam="All",$L433=fTeam),OR(fChannel="All",$F433=fChannel)),1,0))</f>
        <v>0</v>
      </c>
    </row>
    <row r="434">
      <c r="A434" s="63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3" t="n"/>
      <c r="R434" s="63" t="n"/>
      <c r="S434" s="63" t="n"/>
      <c r="T434" s="65" t="n"/>
      <c r="U434" s="65" t="n"/>
      <c r="V434" s="63" t="n"/>
      <c r="W434" s="65" t="n"/>
      <c r="X434" s="69" t="str">
        <f>IF(AND(ISNUMBER($Q434),ISNUMBER($R434)),$R434-$Q434,"")</f>
        <v/>
      </c>
      <c r="Y434" s="71" t="str">
        <f>IF($AB434=1,IF(AND(ISNUMBER($V434),$M434&lt;&gt;"Converted",$M434&lt;&gt;"Rejected"),IF($V434&lt;=ReportDate,"DUE",""),""),"")</f>
        <v/>
      </c>
      <c r="Z434" s="75" t="str">
        <f>IF(ISNUMBER($Q434),$Q434,IF(ISNUMBER($A434),$A434,""))</f>
        <v/>
      </c>
      <c r="AA434" s="71" t="str">
        <f>IF(ISNUMBER($Z434),YEAR($Z434)&amp;"-"&amp;TEXT(MONTH($Z434),"00"),"")</f>
        <v/>
      </c>
      <c r="AB434" s="71">
        <f>IF($H434&lt;&gt;"",1,0)</f>
        <v>0</v>
      </c>
      <c r="AC434" s="71">
        <f>IF(AND($AB434=1,$G434="Yes"),1,0)</f>
        <v>0</v>
      </c>
      <c r="AD434" s="71">
        <f>IF(AND($AB434=1,$N434="MQL"),1,0)</f>
        <v>0</v>
      </c>
      <c r="AE434" s="71">
        <f>IF(AND($AB434=1,$O434="SQL"),1,0)</f>
        <v>0</v>
      </c>
      <c r="AF434" s="71">
        <f>IF(AND($AB434=1,OR($P434="Open",$P434="Won",$P434="Lost")),1,0)</f>
        <v>0</v>
      </c>
      <c r="AG434" s="71">
        <f>IF(AND($AB434=1,OR($M434="Converted",$P434="Won")),1,0)</f>
        <v>0</v>
      </c>
      <c r="AH434" s="71">
        <f>IF($AB434=0,0,IF(AND(OR(fClient="All",$B434=fClient),OR(fCampaign="All",$C434=fCampaign),OR(fTeam="All",$L434=fTeam),OR(fChannel="All",$F434=fChannel),OR(fMonth="All",$AA434=fMonth)),1,0))</f>
        <v>0</v>
      </c>
      <c r="AI434" s="71">
        <f>IF($AB434=0,0,IF(AND(OR(fClient="All",$B434=fClient),OR(fCampaign="All",$C434=fCampaign),OR(fTeam="All",$L434=fTeam),OR(fChannel="All",$F434=fChannel)),1,0))</f>
        <v>0</v>
      </c>
    </row>
    <row r="435">
      <c r="A435" s="63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3" t="n"/>
      <c r="R435" s="63" t="n"/>
      <c r="S435" s="63" t="n"/>
      <c r="T435" s="65" t="n"/>
      <c r="U435" s="65" t="n"/>
      <c r="V435" s="63" t="n"/>
      <c r="W435" s="65" t="n"/>
      <c r="X435" s="69" t="str">
        <f>IF(AND(ISNUMBER($Q435),ISNUMBER($R435)),$R435-$Q435,"")</f>
        <v/>
      </c>
      <c r="Y435" s="71" t="str">
        <f>IF($AB435=1,IF(AND(ISNUMBER($V435),$M435&lt;&gt;"Converted",$M435&lt;&gt;"Rejected"),IF($V435&lt;=ReportDate,"DUE",""),""),"")</f>
        <v/>
      </c>
      <c r="Z435" s="75" t="str">
        <f>IF(ISNUMBER($Q435),$Q435,IF(ISNUMBER($A435),$A435,""))</f>
        <v/>
      </c>
      <c r="AA435" s="71" t="str">
        <f>IF(ISNUMBER($Z435),YEAR($Z435)&amp;"-"&amp;TEXT(MONTH($Z435),"00"),"")</f>
        <v/>
      </c>
      <c r="AB435" s="71">
        <f>IF($H435&lt;&gt;"",1,0)</f>
        <v>0</v>
      </c>
      <c r="AC435" s="71">
        <f>IF(AND($AB435=1,$G435="Yes"),1,0)</f>
        <v>0</v>
      </c>
      <c r="AD435" s="71">
        <f>IF(AND($AB435=1,$N435="MQL"),1,0)</f>
        <v>0</v>
      </c>
      <c r="AE435" s="71">
        <f>IF(AND($AB435=1,$O435="SQL"),1,0)</f>
        <v>0</v>
      </c>
      <c r="AF435" s="71">
        <f>IF(AND($AB435=1,OR($P435="Open",$P435="Won",$P435="Lost")),1,0)</f>
        <v>0</v>
      </c>
      <c r="AG435" s="71">
        <f>IF(AND($AB435=1,OR($M435="Converted",$P435="Won")),1,0)</f>
        <v>0</v>
      </c>
      <c r="AH435" s="71">
        <f>IF($AB435=0,0,IF(AND(OR(fClient="All",$B435=fClient),OR(fCampaign="All",$C435=fCampaign),OR(fTeam="All",$L435=fTeam),OR(fChannel="All",$F435=fChannel),OR(fMonth="All",$AA435=fMonth)),1,0))</f>
        <v>0</v>
      </c>
      <c r="AI435" s="71">
        <f>IF($AB435=0,0,IF(AND(OR(fClient="All",$B435=fClient),OR(fCampaign="All",$C435=fCampaign),OR(fTeam="All",$L435=fTeam),OR(fChannel="All",$F435=fChannel)),1,0))</f>
        <v>0</v>
      </c>
    </row>
    <row r="436">
      <c r="A436" s="63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3" t="n"/>
      <c r="R436" s="63" t="n"/>
      <c r="S436" s="63" t="n"/>
      <c r="T436" s="65" t="n"/>
      <c r="U436" s="65" t="n"/>
      <c r="V436" s="63" t="n"/>
      <c r="W436" s="65" t="n"/>
      <c r="X436" s="69" t="str">
        <f>IF(AND(ISNUMBER($Q436),ISNUMBER($R436)),$R436-$Q436,"")</f>
        <v/>
      </c>
      <c r="Y436" s="71" t="str">
        <f>IF($AB436=1,IF(AND(ISNUMBER($V436),$M436&lt;&gt;"Converted",$M436&lt;&gt;"Rejected"),IF($V436&lt;=ReportDate,"DUE",""),""),"")</f>
        <v/>
      </c>
      <c r="Z436" s="75" t="str">
        <f>IF(ISNUMBER($Q436),$Q436,IF(ISNUMBER($A436),$A436,""))</f>
        <v/>
      </c>
      <c r="AA436" s="71" t="str">
        <f>IF(ISNUMBER($Z436),YEAR($Z436)&amp;"-"&amp;TEXT(MONTH($Z436),"00"),"")</f>
        <v/>
      </c>
      <c r="AB436" s="71">
        <f>IF($H436&lt;&gt;"",1,0)</f>
        <v>0</v>
      </c>
      <c r="AC436" s="71">
        <f>IF(AND($AB436=1,$G436="Yes"),1,0)</f>
        <v>0</v>
      </c>
      <c r="AD436" s="71">
        <f>IF(AND($AB436=1,$N436="MQL"),1,0)</f>
        <v>0</v>
      </c>
      <c r="AE436" s="71">
        <f>IF(AND($AB436=1,$O436="SQL"),1,0)</f>
        <v>0</v>
      </c>
      <c r="AF436" s="71">
        <f>IF(AND($AB436=1,OR($P436="Open",$P436="Won",$P436="Lost")),1,0)</f>
        <v>0</v>
      </c>
      <c r="AG436" s="71">
        <f>IF(AND($AB436=1,OR($M436="Converted",$P436="Won")),1,0)</f>
        <v>0</v>
      </c>
      <c r="AH436" s="71">
        <f>IF($AB436=0,0,IF(AND(OR(fClient="All",$B436=fClient),OR(fCampaign="All",$C436=fCampaign),OR(fTeam="All",$L436=fTeam),OR(fChannel="All",$F436=fChannel),OR(fMonth="All",$AA436=fMonth)),1,0))</f>
        <v>0</v>
      </c>
      <c r="AI436" s="71">
        <f>IF($AB436=0,0,IF(AND(OR(fClient="All",$B436=fClient),OR(fCampaign="All",$C436=fCampaign),OR(fTeam="All",$L436=fTeam),OR(fChannel="All",$F436=fChannel)),1,0))</f>
        <v>0</v>
      </c>
    </row>
    <row r="437">
      <c r="A437" s="63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3" t="n"/>
      <c r="R437" s="63" t="n"/>
      <c r="S437" s="63" t="n"/>
      <c r="T437" s="65" t="n"/>
      <c r="U437" s="65" t="n"/>
      <c r="V437" s="63" t="n"/>
      <c r="W437" s="65" t="n"/>
      <c r="X437" s="69" t="str">
        <f>IF(AND(ISNUMBER($Q437),ISNUMBER($R437)),$R437-$Q437,"")</f>
        <v/>
      </c>
      <c r="Y437" s="71" t="str">
        <f>IF($AB437=1,IF(AND(ISNUMBER($V437),$M437&lt;&gt;"Converted",$M437&lt;&gt;"Rejected"),IF($V437&lt;=ReportDate,"DUE",""),""),"")</f>
        <v/>
      </c>
      <c r="Z437" s="75" t="str">
        <f>IF(ISNUMBER($Q437),$Q437,IF(ISNUMBER($A437),$A437,""))</f>
        <v/>
      </c>
      <c r="AA437" s="71" t="str">
        <f>IF(ISNUMBER($Z437),YEAR($Z437)&amp;"-"&amp;TEXT(MONTH($Z437),"00"),"")</f>
        <v/>
      </c>
      <c r="AB437" s="71">
        <f>IF($H437&lt;&gt;"",1,0)</f>
        <v>0</v>
      </c>
      <c r="AC437" s="71">
        <f>IF(AND($AB437=1,$G437="Yes"),1,0)</f>
        <v>0</v>
      </c>
      <c r="AD437" s="71">
        <f>IF(AND($AB437=1,$N437="MQL"),1,0)</f>
        <v>0</v>
      </c>
      <c r="AE437" s="71">
        <f>IF(AND($AB437=1,$O437="SQL"),1,0)</f>
        <v>0</v>
      </c>
      <c r="AF437" s="71">
        <f>IF(AND($AB437=1,OR($P437="Open",$P437="Won",$P437="Lost")),1,0)</f>
        <v>0</v>
      </c>
      <c r="AG437" s="71">
        <f>IF(AND($AB437=1,OR($M437="Converted",$P437="Won")),1,0)</f>
        <v>0</v>
      </c>
      <c r="AH437" s="71">
        <f>IF($AB437=0,0,IF(AND(OR(fClient="All",$B437=fClient),OR(fCampaign="All",$C437=fCampaign),OR(fTeam="All",$L437=fTeam),OR(fChannel="All",$F437=fChannel),OR(fMonth="All",$AA437=fMonth)),1,0))</f>
        <v>0</v>
      </c>
      <c r="AI437" s="71">
        <f>IF($AB437=0,0,IF(AND(OR(fClient="All",$B437=fClient),OR(fCampaign="All",$C437=fCampaign),OR(fTeam="All",$L437=fTeam),OR(fChannel="All",$F437=fChannel)),1,0))</f>
        <v>0</v>
      </c>
    </row>
    <row r="438">
      <c r="A438" s="63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3" t="n"/>
      <c r="R438" s="63" t="n"/>
      <c r="S438" s="63" t="n"/>
      <c r="T438" s="65" t="n"/>
      <c r="U438" s="65" t="n"/>
      <c r="V438" s="63" t="n"/>
      <c r="W438" s="65" t="n"/>
      <c r="X438" s="69" t="str">
        <f>IF(AND(ISNUMBER($Q438),ISNUMBER($R438)),$R438-$Q438,"")</f>
        <v/>
      </c>
      <c r="Y438" s="71" t="str">
        <f>IF($AB438=1,IF(AND(ISNUMBER($V438),$M438&lt;&gt;"Converted",$M438&lt;&gt;"Rejected"),IF($V438&lt;=ReportDate,"DUE",""),""),"")</f>
        <v/>
      </c>
      <c r="Z438" s="75" t="str">
        <f>IF(ISNUMBER($Q438),$Q438,IF(ISNUMBER($A438),$A438,""))</f>
        <v/>
      </c>
      <c r="AA438" s="71" t="str">
        <f>IF(ISNUMBER($Z438),YEAR($Z438)&amp;"-"&amp;TEXT(MONTH($Z438),"00"),"")</f>
        <v/>
      </c>
      <c r="AB438" s="71">
        <f>IF($H438&lt;&gt;"",1,0)</f>
        <v>0</v>
      </c>
      <c r="AC438" s="71">
        <f>IF(AND($AB438=1,$G438="Yes"),1,0)</f>
        <v>0</v>
      </c>
      <c r="AD438" s="71">
        <f>IF(AND($AB438=1,$N438="MQL"),1,0)</f>
        <v>0</v>
      </c>
      <c r="AE438" s="71">
        <f>IF(AND($AB438=1,$O438="SQL"),1,0)</f>
        <v>0</v>
      </c>
      <c r="AF438" s="71">
        <f>IF(AND($AB438=1,OR($P438="Open",$P438="Won",$P438="Lost")),1,0)</f>
        <v>0</v>
      </c>
      <c r="AG438" s="71">
        <f>IF(AND($AB438=1,OR($M438="Converted",$P438="Won")),1,0)</f>
        <v>0</v>
      </c>
      <c r="AH438" s="71">
        <f>IF($AB438=0,0,IF(AND(OR(fClient="All",$B438=fClient),OR(fCampaign="All",$C438=fCampaign),OR(fTeam="All",$L438=fTeam),OR(fChannel="All",$F438=fChannel),OR(fMonth="All",$AA438=fMonth)),1,0))</f>
        <v>0</v>
      </c>
      <c r="AI438" s="71">
        <f>IF($AB438=0,0,IF(AND(OR(fClient="All",$B438=fClient),OR(fCampaign="All",$C438=fCampaign),OR(fTeam="All",$L438=fTeam),OR(fChannel="All",$F438=fChannel)),1,0))</f>
        <v>0</v>
      </c>
    </row>
    <row r="439">
      <c r="A439" s="63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3" t="n"/>
      <c r="R439" s="63" t="n"/>
      <c r="S439" s="63" t="n"/>
      <c r="T439" s="65" t="n"/>
      <c r="U439" s="65" t="n"/>
      <c r="V439" s="63" t="n"/>
      <c r="W439" s="65" t="n"/>
      <c r="X439" s="69" t="str">
        <f>IF(AND(ISNUMBER($Q439),ISNUMBER($R439)),$R439-$Q439,"")</f>
        <v/>
      </c>
      <c r="Y439" s="71" t="str">
        <f>IF($AB439=1,IF(AND(ISNUMBER($V439),$M439&lt;&gt;"Converted",$M439&lt;&gt;"Rejected"),IF($V439&lt;=ReportDate,"DUE",""),""),"")</f>
        <v/>
      </c>
      <c r="Z439" s="75" t="str">
        <f>IF(ISNUMBER($Q439),$Q439,IF(ISNUMBER($A439),$A439,""))</f>
        <v/>
      </c>
      <c r="AA439" s="71" t="str">
        <f>IF(ISNUMBER($Z439),YEAR($Z439)&amp;"-"&amp;TEXT(MONTH($Z439),"00"),"")</f>
        <v/>
      </c>
      <c r="AB439" s="71">
        <f>IF($H439&lt;&gt;"",1,0)</f>
        <v>0</v>
      </c>
      <c r="AC439" s="71">
        <f>IF(AND($AB439=1,$G439="Yes"),1,0)</f>
        <v>0</v>
      </c>
      <c r="AD439" s="71">
        <f>IF(AND($AB439=1,$N439="MQL"),1,0)</f>
        <v>0</v>
      </c>
      <c r="AE439" s="71">
        <f>IF(AND($AB439=1,$O439="SQL"),1,0)</f>
        <v>0</v>
      </c>
      <c r="AF439" s="71">
        <f>IF(AND($AB439=1,OR($P439="Open",$P439="Won",$P439="Lost")),1,0)</f>
        <v>0</v>
      </c>
      <c r="AG439" s="71">
        <f>IF(AND($AB439=1,OR($M439="Converted",$P439="Won")),1,0)</f>
        <v>0</v>
      </c>
      <c r="AH439" s="71">
        <f>IF($AB439=0,0,IF(AND(OR(fClient="All",$B439=fClient),OR(fCampaign="All",$C439=fCampaign),OR(fTeam="All",$L439=fTeam),OR(fChannel="All",$F439=fChannel),OR(fMonth="All",$AA439=fMonth)),1,0))</f>
        <v>0</v>
      </c>
      <c r="AI439" s="71">
        <f>IF($AB439=0,0,IF(AND(OR(fClient="All",$B439=fClient),OR(fCampaign="All",$C439=fCampaign),OR(fTeam="All",$L439=fTeam),OR(fChannel="All",$F439=fChannel)),1,0))</f>
        <v>0</v>
      </c>
    </row>
    <row r="440">
      <c r="A440" s="63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3" t="n"/>
      <c r="R440" s="63" t="n"/>
      <c r="S440" s="63" t="n"/>
      <c r="T440" s="65" t="n"/>
      <c r="U440" s="65" t="n"/>
      <c r="V440" s="63" t="n"/>
      <c r="W440" s="65" t="n"/>
      <c r="X440" s="69" t="str">
        <f>IF(AND(ISNUMBER($Q440),ISNUMBER($R440)),$R440-$Q440,"")</f>
        <v/>
      </c>
      <c r="Y440" s="71" t="str">
        <f>IF($AB440=1,IF(AND(ISNUMBER($V440),$M440&lt;&gt;"Converted",$M440&lt;&gt;"Rejected"),IF($V440&lt;=ReportDate,"DUE",""),""),"")</f>
        <v/>
      </c>
      <c r="Z440" s="75" t="str">
        <f>IF(ISNUMBER($Q440),$Q440,IF(ISNUMBER($A440),$A440,""))</f>
        <v/>
      </c>
      <c r="AA440" s="71" t="str">
        <f>IF(ISNUMBER($Z440),YEAR($Z440)&amp;"-"&amp;TEXT(MONTH($Z440),"00"),"")</f>
        <v/>
      </c>
      <c r="AB440" s="71">
        <f>IF($H440&lt;&gt;"",1,0)</f>
        <v>0</v>
      </c>
      <c r="AC440" s="71">
        <f>IF(AND($AB440=1,$G440="Yes"),1,0)</f>
        <v>0</v>
      </c>
      <c r="AD440" s="71">
        <f>IF(AND($AB440=1,$N440="MQL"),1,0)</f>
        <v>0</v>
      </c>
      <c r="AE440" s="71">
        <f>IF(AND($AB440=1,$O440="SQL"),1,0)</f>
        <v>0</v>
      </c>
      <c r="AF440" s="71">
        <f>IF(AND($AB440=1,OR($P440="Open",$P440="Won",$P440="Lost")),1,0)</f>
        <v>0</v>
      </c>
      <c r="AG440" s="71">
        <f>IF(AND($AB440=1,OR($M440="Converted",$P440="Won")),1,0)</f>
        <v>0</v>
      </c>
      <c r="AH440" s="71">
        <f>IF($AB440=0,0,IF(AND(OR(fClient="All",$B440=fClient),OR(fCampaign="All",$C440=fCampaign),OR(fTeam="All",$L440=fTeam),OR(fChannel="All",$F440=fChannel),OR(fMonth="All",$AA440=fMonth)),1,0))</f>
        <v>0</v>
      </c>
      <c r="AI440" s="71">
        <f>IF($AB440=0,0,IF(AND(OR(fClient="All",$B440=fClient),OR(fCampaign="All",$C440=fCampaign),OR(fTeam="All",$L440=fTeam),OR(fChannel="All",$F440=fChannel)),1,0))</f>
        <v>0</v>
      </c>
    </row>
    <row r="441">
      <c r="A441" s="63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3" t="n"/>
      <c r="R441" s="63" t="n"/>
      <c r="S441" s="63" t="n"/>
      <c r="T441" s="65" t="n"/>
      <c r="U441" s="65" t="n"/>
      <c r="V441" s="63" t="n"/>
      <c r="W441" s="65" t="n"/>
      <c r="X441" s="69" t="str">
        <f>IF(AND(ISNUMBER($Q441),ISNUMBER($R441)),$R441-$Q441,"")</f>
        <v/>
      </c>
      <c r="Y441" s="71" t="str">
        <f>IF($AB441=1,IF(AND(ISNUMBER($V441),$M441&lt;&gt;"Converted",$M441&lt;&gt;"Rejected"),IF($V441&lt;=ReportDate,"DUE",""),""),"")</f>
        <v/>
      </c>
      <c r="Z441" s="75" t="str">
        <f>IF(ISNUMBER($Q441),$Q441,IF(ISNUMBER($A441),$A441,""))</f>
        <v/>
      </c>
      <c r="AA441" s="71" t="str">
        <f>IF(ISNUMBER($Z441),YEAR($Z441)&amp;"-"&amp;TEXT(MONTH($Z441),"00"),"")</f>
        <v/>
      </c>
      <c r="AB441" s="71">
        <f>IF($H441&lt;&gt;"",1,0)</f>
        <v>0</v>
      </c>
      <c r="AC441" s="71">
        <f>IF(AND($AB441=1,$G441="Yes"),1,0)</f>
        <v>0</v>
      </c>
      <c r="AD441" s="71">
        <f>IF(AND($AB441=1,$N441="MQL"),1,0)</f>
        <v>0</v>
      </c>
      <c r="AE441" s="71">
        <f>IF(AND($AB441=1,$O441="SQL"),1,0)</f>
        <v>0</v>
      </c>
      <c r="AF441" s="71">
        <f>IF(AND($AB441=1,OR($P441="Open",$P441="Won",$P441="Lost")),1,0)</f>
        <v>0</v>
      </c>
      <c r="AG441" s="71">
        <f>IF(AND($AB441=1,OR($M441="Converted",$P441="Won")),1,0)</f>
        <v>0</v>
      </c>
      <c r="AH441" s="71">
        <f>IF($AB441=0,0,IF(AND(OR(fClient="All",$B441=fClient),OR(fCampaign="All",$C441=fCampaign),OR(fTeam="All",$L441=fTeam),OR(fChannel="All",$F441=fChannel),OR(fMonth="All",$AA441=fMonth)),1,0))</f>
        <v>0</v>
      </c>
      <c r="AI441" s="71">
        <f>IF($AB441=0,0,IF(AND(OR(fClient="All",$B441=fClient),OR(fCampaign="All",$C441=fCampaign),OR(fTeam="All",$L441=fTeam),OR(fChannel="All",$F441=fChannel)),1,0))</f>
        <v>0</v>
      </c>
    </row>
    <row r="442">
      <c r="A442" s="63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3" t="n"/>
      <c r="R442" s="63" t="n"/>
      <c r="S442" s="63" t="n"/>
      <c r="T442" s="65" t="n"/>
      <c r="U442" s="65" t="n"/>
      <c r="V442" s="63" t="n"/>
      <c r="W442" s="65" t="n"/>
      <c r="X442" s="69" t="str">
        <f>IF(AND(ISNUMBER($Q442),ISNUMBER($R442)),$R442-$Q442,"")</f>
        <v/>
      </c>
      <c r="Y442" s="71" t="str">
        <f>IF($AB442=1,IF(AND(ISNUMBER($V442),$M442&lt;&gt;"Converted",$M442&lt;&gt;"Rejected"),IF($V442&lt;=ReportDate,"DUE",""),""),"")</f>
        <v/>
      </c>
      <c r="Z442" s="75" t="str">
        <f>IF(ISNUMBER($Q442),$Q442,IF(ISNUMBER($A442),$A442,""))</f>
        <v/>
      </c>
      <c r="AA442" s="71" t="str">
        <f>IF(ISNUMBER($Z442),YEAR($Z442)&amp;"-"&amp;TEXT(MONTH($Z442),"00"),"")</f>
        <v/>
      </c>
      <c r="AB442" s="71">
        <f>IF($H442&lt;&gt;"",1,0)</f>
        <v>0</v>
      </c>
      <c r="AC442" s="71">
        <f>IF(AND($AB442=1,$G442="Yes"),1,0)</f>
        <v>0</v>
      </c>
      <c r="AD442" s="71">
        <f>IF(AND($AB442=1,$N442="MQL"),1,0)</f>
        <v>0</v>
      </c>
      <c r="AE442" s="71">
        <f>IF(AND($AB442=1,$O442="SQL"),1,0)</f>
        <v>0</v>
      </c>
      <c r="AF442" s="71">
        <f>IF(AND($AB442=1,OR($P442="Open",$P442="Won",$P442="Lost")),1,0)</f>
        <v>0</v>
      </c>
      <c r="AG442" s="71">
        <f>IF(AND($AB442=1,OR($M442="Converted",$P442="Won")),1,0)</f>
        <v>0</v>
      </c>
      <c r="AH442" s="71">
        <f>IF($AB442=0,0,IF(AND(OR(fClient="All",$B442=fClient),OR(fCampaign="All",$C442=fCampaign),OR(fTeam="All",$L442=fTeam),OR(fChannel="All",$F442=fChannel),OR(fMonth="All",$AA442=fMonth)),1,0))</f>
        <v>0</v>
      </c>
      <c r="AI442" s="71">
        <f>IF($AB442=0,0,IF(AND(OR(fClient="All",$B442=fClient),OR(fCampaign="All",$C442=fCampaign),OR(fTeam="All",$L442=fTeam),OR(fChannel="All",$F442=fChannel)),1,0))</f>
        <v>0</v>
      </c>
    </row>
    <row r="443">
      <c r="A443" s="63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3" t="n"/>
      <c r="R443" s="63" t="n"/>
      <c r="S443" s="63" t="n"/>
      <c r="T443" s="65" t="n"/>
      <c r="U443" s="65" t="n"/>
      <c r="V443" s="63" t="n"/>
      <c r="W443" s="65" t="n"/>
      <c r="X443" s="69" t="str">
        <f>IF(AND(ISNUMBER($Q443),ISNUMBER($R443)),$R443-$Q443,"")</f>
        <v/>
      </c>
      <c r="Y443" s="71" t="str">
        <f>IF($AB443=1,IF(AND(ISNUMBER($V443),$M443&lt;&gt;"Converted",$M443&lt;&gt;"Rejected"),IF($V443&lt;=ReportDate,"DUE",""),""),"")</f>
        <v/>
      </c>
      <c r="Z443" s="75" t="str">
        <f>IF(ISNUMBER($Q443),$Q443,IF(ISNUMBER($A443),$A443,""))</f>
        <v/>
      </c>
      <c r="AA443" s="71" t="str">
        <f>IF(ISNUMBER($Z443),YEAR($Z443)&amp;"-"&amp;TEXT(MONTH($Z443),"00"),"")</f>
        <v/>
      </c>
      <c r="AB443" s="71">
        <f>IF($H443&lt;&gt;"",1,0)</f>
        <v>0</v>
      </c>
      <c r="AC443" s="71">
        <f>IF(AND($AB443=1,$G443="Yes"),1,0)</f>
        <v>0</v>
      </c>
      <c r="AD443" s="71">
        <f>IF(AND($AB443=1,$N443="MQL"),1,0)</f>
        <v>0</v>
      </c>
      <c r="AE443" s="71">
        <f>IF(AND($AB443=1,$O443="SQL"),1,0)</f>
        <v>0</v>
      </c>
      <c r="AF443" s="71">
        <f>IF(AND($AB443=1,OR($P443="Open",$P443="Won",$P443="Lost")),1,0)</f>
        <v>0</v>
      </c>
      <c r="AG443" s="71">
        <f>IF(AND($AB443=1,OR($M443="Converted",$P443="Won")),1,0)</f>
        <v>0</v>
      </c>
      <c r="AH443" s="71">
        <f>IF($AB443=0,0,IF(AND(OR(fClient="All",$B443=fClient),OR(fCampaign="All",$C443=fCampaign),OR(fTeam="All",$L443=fTeam),OR(fChannel="All",$F443=fChannel),OR(fMonth="All",$AA443=fMonth)),1,0))</f>
        <v>0</v>
      </c>
      <c r="AI443" s="71">
        <f>IF($AB443=0,0,IF(AND(OR(fClient="All",$B443=fClient),OR(fCampaign="All",$C443=fCampaign),OR(fTeam="All",$L443=fTeam),OR(fChannel="All",$F443=fChannel)),1,0))</f>
        <v>0</v>
      </c>
    </row>
    <row r="444">
      <c r="A444" s="63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3" t="n"/>
      <c r="R444" s="63" t="n"/>
      <c r="S444" s="63" t="n"/>
      <c r="T444" s="65" t="n"/>
      <c r="U444" s="65" t="n"/>
      <c r="V444" s="63" t="n"/>
      <c r="W444" s="65" t="n"/>
      <c r="X444" s="69" t="str">
        <f>IF(AND(ISNUMBER($Q444),ISNUMBER($R444)),$R444-$Q444,"")</f>
        <v/>
      </c>
      <c r="Y444" s="71" t="str">
        <f>IF($AB444=1,IF(AND(ISNUMBER($V444),$M444&lt;&gt;"Converted",$M444&lt;&gt;"Rejected"),IF($V444&lt;=ReportDate,"DUE",""),""),"")</f>
        <v/>
      </c>
      <c r="Z444" s="75" t="str">
        <f>IF(ISNUMBER($Q444),$Q444,IF(ISNUMBER($A444),$A444,""))</f>
        <v/>
      </c>
      <c r="AA444" s="71" t="str">
        <f>IF(ISNUMBER($Z444),YEAR($Z444)&amp;"-"&amp;TEXT(MONTH($Z444),"00"),"")</f>
        <v/>
      </c>
      <c r="AB444" s="71">
        <f>IF($H444&lt;&gt;"",1,0)</f>
        <v>0</v>
      </c>
      <c r="AC444" s="71">
        <f>IF(AND($AB444=1,$G444="Yes"),1,0)</f>
        <v>0</v>
      </c>
      <c r="AD444" s="71">
        <f>IF(AND($AB444=1,$N444="MQL"),1,0)</f>
        <v>0</v>
      </c>
      <c r="AE444" s="71">
        <f>IF(AND($AB444=1,$O444="SQL"),1,0)</f>
        <v>0</v>
      </c>
      <c r="AF444" s="71">
        <f>IF(AND($AB444=1,OR($P444="Open",$P444="Won",$P444="Lost")),1,0)</f>
        <v>0</v>
      </c>
      <c r="AG444" s="71">
        <f>IF(AND($AB444=1,OR($M444="Converted",$P444="Won")),1,0)</f>
        <v>0</v>
      </c>
      <c r="AH444" s="71">
        <f>IF($AB444=0,0,IF(AND(OR(fClient="All",$B444=fClient),OR(fCampaign="All",$C444=fCampaign),OR(fTeam="All",$L444=fTeam),OR(fChannel="All",$F444=fChannel),OR(fMonth="All",$AA444=fMonth)),1,0))</f>
        <v>0</v>
      </c>
      <c r="AI444" s="71">
        <f>IF($AB444=0,0,IF(AND(OR(fClient="All",$B444=fClient),OR(fCampaign="All",$C444=fCampaign),OR(fTeam="All",$L444=fTeam),OR(fChannel="All",$F444=fChannel)),1,0))</f>
        <v>0</v>
      </c>
    </row>
    <row r="445">
      <c r="A445" s="63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3" t="n"/>
      <c r="R445" s="63" t="n"/>
      <c r="S445" s="63" t="n"/>
      <c r="T445" s="65" t="n"/>
      <c r="U445" s="65" t="n"/>
      <c r="V445" s="63" t="n"/>
      <c r="W445" s="65" t="n"/>
      <c r="X445" s="69" t="str">
        <f>IF(AND(ISNUMBER($Q445),ISNUMBER($R445)),$R445-$Q445,"")</f>
        <v/>
      </c>
      <c r="Y445" s="71" t="str">
        <f>IF($AB445=1,IF(AND(ISNUMBER($V445),$M445&lt;&gt;"Converted",$M445&lt;&gt;"Rejected"),IF($V445&lt;=ReportDate,"DUE",""),""),"")</f>
        <v/>
      </c>
      <c r="Z445" s="75" t="str">
        <f>IF(ISNUMBER($Q445),$Q445,IF(ISNUMBER($A445),$A445,""))</f>
        <v/>
      </c>
      <c r="AA445" s="71" t="str">
        <f>IF(ISNUMBER($Z445),YEAR($Z445)&amp;"-"&amp;TEXT(MONTH($Z445),"00"),"")</f>
        <v/>
      </c>
      <c r="AB445" s="71">
        <f>IF($H445&lt;&gt;"",1,0)</f>
        <v>0</v>
      </c>
      <c r="AC445" s="71">
        <f>IF(AND($AB445=1,$G445="Yes"),1,0)</f>
        <v>0</v>
      </c>
      <c r="AD445" s="71">
        <f>IF(AND($AB445=1,$N445="MQL"),1,0)</f>
        <v>0</v>
      </c>
      <c r="AE445" s="71">
        <f>IF(AND($AB445=1,$O445="SQL"),1,0)</f>
        <v>0</v>
      </c>
      <c r="AF445" s="71">
        <f>IF(AND($AB445=1,OR($P445="Open",$P445="Won",$P445="Lost")),1,0)</f>
        <v>0</v>
      </c>
      <c r="AG445" s="71">
        <f>IF(AND($AB445=1,OR($M445="Converted",$P445="Won")),1,0)</f>
        <v>0</v>
      </c>
      <c r="AH445" s="71">
        <f>IF($AB445=0,0,IF(AND(OR(fClient="All",$B445=fClient),OR(fCampaign="All",$C445=fCampaign),OR(fTeam="All",$L445=fTeam),OR(fChannel="All",$F445=fChannel),OR(fMonth="All",$AA445=fMonth)),1,0))</f>
        <v>0</v>
      </c>
      <c r="AI445" s="71">
        <f>IF($AB445=0,0,IF(AND(OR(fClient="All",$B445=fClient),OR(fCampaign="All",$C445=fCampaign),OR(fTeam="All",$L445=fTeam),OR(fChannel="All",$F445=fChannel)),1,0))</f>
        <v>0</v>
      </c>
    </row>
    <row r="446">
      <c r="A446" s="63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3" t="n"/>
      <c r="R446" s="63" t="n"/>
      <c r="S446" s="63" t="n"/>
      <c r="T446" s="65" t="n"/>
      <c r="U446" s="65" t="n"/>
      <c r="V446" s="63" t="n"/>
      <c r="W446" s="65" t="n"/>
      <c r="X446" s="69" t="str">
        <f>IF(AND(ISNUMBER($Q446),ISNUMBER($R446)),$R446-$Q446,"")</f>
        <v/>
      </c>
      <c r="Y446" s="71" t="str">
        <f>IF($AB446=1,IF(AND(ISNUMBER($V446),$M446&lt;&gt;"Converted",$M446&lt;&gt;"Rejected"),IF($V446&lt;=ReportDate,"DUE",""),""),"")</f>
        <v/>
      </c>
      <c r="Z446" s="75" t="str">
        <f>IF(ISNUMBER($Q446),$Q446,IF(ISNUMBER($A446),$A446,""))</f>
        <v/>
      </c>
      <c r="AA446" s="71" t="str">
        <f>IF(ISNUMBER($Z446),YEAR($Z446)&amp;"-"&amp;TEXT(MONTH($Z446),"00"),"")</f>
        <v/>
      </c>
      <c r="AB446" s="71">
        <f>IF($H446&lt;&gt;"",1,0)</f>
        <v>0</v>
      </c>
      <c r="AC446" s="71">
        <f>IF(AND($AB446=1,$G446="Yes"),1,0)</f>
        <v>0</v>
      </c>
      <c r="AD446" s="71">
        <f>IF(AND($AB446=1,$N446="MQL"),1,0)</f>
        <v>0</v>
      </c>
      <c r="AE446" s="71">
        <f>IF(AND($AB446=1,$O446="SQL"),1,0)</f>
        <v>0</v>
      </c>
      <c r="AF446" s="71">
        <f>IF(AND($AB446=1,OR($P446="Open",$P446="Won",$P446="Lost")),1,0)</f>
        <v>0</v>
      </c>
      <c r="AG446" s="71">
        <f>IF(AND($AB446=1,OR($M446="Converted",$P446="Won")),1,0)</f>
        <v>0</v>
      </c>
      <c r="AH446" s="71">
        <f>IF($AB446=0,0,IF(AND(OR(fClient="All",$B446=fClient),OR(fCampaign="All",$C446=fCampaign),OR(fTeam="All",$L446=fTeam),OR(fChannel="All",$F446=fChannel),OR(fMonth="All",$AA446=fMonth)),1,0))</f>
        <v>0</v>
      </c>
      <c r="AI446" s="71">
        <f>IF($AB446=0,0,IF(AND(OR(fClient="All",$B446=fClient),OR(fCampaign="All",$C446=fCampaign),OR(fTeam="All",$L446=fTeam),OR(fChannel="All",$F446=fChannel)),1,0))</f>
        <v>0</v>
      </c>
    </row>
    <row r="447">
      <c r="A447" s="63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3" t="n"/>
      <c r="R447" s="63" t="n"/>
      <c r="S447" s="63" t="n"/>
      <c r="T447" s="65" t="n"/>
      <c r="U447" s="65" t="n"/>
      <c r="V447" s="63" t="n"/>
      <c r="W447" s="65" t="n"/>
      <c r="X447" s="69" t="str">
        <f>IF(AND(ISNUMBER($Q447),ISNUMBER($R447)),$R447-$Q447,"")</f>
        <v/>
      </c>
      <c r="Y447" s="71" t="str">
        <f>IF($AB447=1,IF(AND(ISNUMBER($V447),$M447&lt;&gt;"Converted",$M447&lt;&gt;"Rejected"),IF($V447&lt;=ReportDate,"DUE",""),""),"")</f>
        <v/>
      </c>
      <c r="Z447" s="75" t="str">
        <f>IF(ISNUMBER($Q447),$Q447,IF(ISNUMBER($A447),$A447,""))</f>
        <v/>
      </c>
      <c r="AA447" s="71" t="str">
        <f>IF(ISNUMBER($Z447),YEAR($Z447)&amp;"-"&amp;TEXT(MONTH($Z447),"00"),"")</f>
        <v/>
      </c>
      <c r="AB447" s="71">
        <f>IF($H447&lt;&gt;"",1,0)</f>
        <v>0</v>
      </c>
      <c r="AC447" s="71">
        <f>IF(AND($AB447=1,$G447="Yes"),1,0)</f>
        <v>0</v>
      </c>
      <c r="AD447" s="71">
        <f>IF(AND($AB447=1,$N447="MQL"),1,0)</f>
        <v>0</v>
      </c>
      <c r="AE447" s="71">
        <f>IF(AND($AB447=1,$O447="SQL"),1,0)</f>
        <v>0</v>
      </c>
      <c r="AF447" s="71">
        <f>IF(AND($AB447=1,OR($P447="Open",$P447="Won",$P447="Lost")),1,0)</f>
        <v>0</v>
      </c>
      <c r="AG447" s="71">
        <f>IF(AND($AB447=1,OR($M447="Converted",$P447="Won")),1,0)</f>
        <v>0</v>
      </c>
      <c r="AH447" s="71">
        <f>IF($AB447=0,0,IF(AND(OR(fClient="All",$B447=fClient),OR(fCampaign="All",$C447=fCampaign),OR(fTeam="All",$L447=fTeam),OR(fChannel="All",$F447=fChannel),OR(fMonth="All",$AA447=fMonth)),1,0))</f>
        <v>0</v>
      </c>
      <c r="AI447" s="71">
        <f>IF($AB447=0,0,IF(AND(OR(fClient="All",$B447=fClient),OR(fCampaign="All",$C447=fCampaign),OR(fTeam="All",$L447=fTeam),OR(fChannel="All",$F447=fChannel)),1,0))</f>
        <v>0</v>
      </c>
    </row>
    <row r="448">
      <c r="A448" s="63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3" t="n"/>
      <c r="R448" s="63" t="n"/>
      <c r="S448" s="63" t="n"/>
      <c r="T448" s="65" t="n"/>
      <c r="U448" s="65" t="n"/>
      <c r="V448" s="63" t="n"/>
      <c r="W448" s="65" t="n"/>
      <c r="X448" s="69" t="str">
        <f>IF(AND(ISNUMBER($Q448),ISNUMBER($R448)),$R448-$Q448,"")</f>
        <v/>
      </c>
      <c r="Y448" s="71" t="str">
        <f>IF($AB448=1,IF(AND(ISNUMBER($V448),$M448&lt;&gt;"Converted",$M448&lt;&gt;"Rejected"),IF($V448&lt;=ReportDate,"DUE",""),""),"")</f>
        <v/>
      </c>
      <c r="Z448" s="75" t="str">
        <f>IF(ISNUMBER($Q448),$Q448,IF(ISNUMBER($A448),$A448,""))</f>
        <v/>
      </c>
      <c r="AA448" s="71" t="str">
        <f>IF(ISNUMBER($Z448),YEAR($Z448)&amp;"-"&amp;TEXT(MONTH($Z448),"00"),"")</f>
        <v/>
      </c>
      <c r="AB448" s="71">
        <f>IF($H448&lt;&gt;"",1,0)</f>
        <v>0</v>
      </c>
      <c r="AC448" s="71">
        <f>IF(AND($AB448=1,$G448="Yes"),1,0)</f>
        <v>0</v>
      </c>
      <c r="AD448" s="71">
        <f>IF(AND($AB448=1,$N448="MQL"),1,0)</f>
        <v>0</v>
      </c>
      <c r="AE448" s="71">
        <f>IF(AND($AB448=1,$O448="SQL"),1,0)</f>
        <v>0</v>
      </c>
      <c r="AF448" s="71">
        <f>IF(AND($AB448=1,OR($P448="Open",$P448="Won",$P448="Lost")),1,0)</f>
        <v>0</v>
      </c>
      <c r="AG448" s="71">
        <f>IF(AND($AB448=1,OR($M448="Converted",$P448="Won")),1,0)</f>
        <v>0</v>
      </c>
      <c r="AH448" s="71">
        <f>IF($AB448=0,0,IF(AND(OR(fClient="All",$B448=fClient),OR(fCampaign="All",$C448=fCampaign),OR(fTeam="All",$L448=fTeam),OR(fChannel="All",$F448=fChannel),OR(fMonth="All",$AA448=fMonth)),1,0))</f>
        <v>0</v>
      </c>
      <c r="AI448" s="71">
        <f>IF($AB448=0,0,IF(AND(OR(fClient="All",$B448=fClient),OR(fCampaign="All",$C448=fCampaign),OR(fTeam="All",$L448=fTeam),OR(fChannel="All",$F448=fChannel)),1,0))</f>
        <v>0</v>
      </c>
    </row>
    <row r="449">
      <c r="A449" s="63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3" t="n"/>
      <c r="R449" s="63" t="n"/>
      <c r="S449" s="63" t="n"/>
      <c r="T449" s="65" t="n"/>
      <c r="U449" s="65" t="n"/>
      <c r="V449" s="63" t="n"/>
      <c r="W449" s="65" t="n"/>
      <c r="X449" s="69" t="str">
        <f>IF(AND(ISNUMBER($Q449),ISNUMBER($R449)),$R449-$Q449,"")</f>
        <v/>
      </c>
      <c r="Y449" s="71" t="str">
        <f>IF($AB449=1,IF(AND(ISNUMBER($V449),$M449&lt;&gt;"Converted",$M449&lt;&gt;"Rejected"),IF($V449&lt;=ReportDate,"DUE",""),""),"")</f>
        <v/>
      </c>
      <c r="Z449" s="75" t="str">
        <f>IF(ISNUMBER($Q449),$Q449,IF(ISNUMBER($A449),$A449,""))</f>
        <v/>
      </c>
      <c r="AA449" s="71" t="str">
        <f>IF(ISNUMBER($Z449),YEAR($Z449)&amp;"-"&amp;TEXT(MONTH($Z449),"00"),"")</f>
        <v/>
      </c>
      <c r="AB449" s="71">
        <f>IF($H449&lt;&gt;"",1,0)</f>
        <v>0</v>
      </c>
      <c r="AC449" s="71">
        <f>IF(AND($AB449=1,$G449="Yes"),1,0)</f>
        <v>0</v>
      </c>
      <c r="AD449" s="71">
        <f>IF(AND($AB449=1,$N449="MQL"),1,0)</f>
        <v>0</v>
      </c>
      <c r="AE449" s="71">
        <f>IF(AND($AB449=1,$O449="SQL"),1,0)</f>
        <v>0</v>
      </c>
      <c r="AF449" s="71">
        <f>IF(AND($AB449=1,OR($P449="Open",$P449="Won",$P449="Lost")),1,0)</f>
        <v>0</v>
      </c>
      <c r="AG449" s="71">
        <f>IF(AND($AB449=1,OR($M449="Converted",$P449="Won")),1,0)</f>
        <v>0</v>
      </c>
      <c r="AH449" s="71">
        <f>IF($AB449=0,0,IF(AND(OR(fClient="All",$B449=fClient),OR(fCampaign="All",$C449=fCampaign),OR(fTeam="All",$L449=fTeam),OR(fChannel="All",$F449=fChannel),OR(fMonth="All",$AA449=fMonth)),1,0))</f>
        <v>0</v>
      </c>
      <c r="AI449" s="71">
        <f>IF($AB449=0,0,IF(AND(OR(fClient="All",$B449=fClient),OR(fCampaign="All",$C449=fCampaign),OR(fTeam="All",$L449=fTeam),OR(fChannel="All",$F449=fChannel)),1,0))</f>
        <v>0</v>
      </c>
    </row>
    <row r="450">
      <c r="A450" s="63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3" t="n"/>
      <c r="R450" s="63" t="n"/>
      <c r="S450" s="63" t="n"/>
      <c r="T450" s="65" t="n"/>
      <c r="U450" s="65" t="n"/>
      <c r="V450" s="63" t="n"/>
      <c r="W450" s="65" t="n"/>
      <c r="X450" s="69" t="str">
        <f>IF(AND(ISNUMBER($Q450),ISNUMBER($R450)),$R450-$Q450,"")</f>
        <v/>
      </c>
      <c r="Y450" s="71" t="str">
        <f>IF($AB450=1,IF(AND(ISNUMBER($V450),$M450&lt;&gt;"Converted",$M450&lt;&gt;"Rejected"),IF($V450&lt;=ReportDate,"DUE",""),""),"")</f>
        <v/>
      </c>
      <c r="Z450" s="75" t="str">
        <f>IF(ISNUMBER($Q450),$Q450,IF(ISNUMBER($A450),$A450,""))</f>
        <v/>
      </c>
      <c r="AA450" s="71" t="str">
        <f>IF(ISNUMBER($Z450),YEAR($Z450)&amp;"-"&amp;TEXT(MONTH($Z450),"00"),"")</f>
        <v/>
      </c>
      <c r="AB450" s="71">
        <f>IF($H450&lt;&gt;"",1,0)</f>
        <v>0</v>
      </c>
      <c r="AC450" s="71">
        <f>IF(AND($AB450=1,$G450="Yes"),1,0)</f>
        <v>0</v>
      </c>
      <c r="AD450" s="71">
        <f>IF(AND($AB450=1,$N450="MQL"),1,0)</f>
        <v>0</v>
      </c>
      <c r="AE450" s="71">
        <f>IF(AND($AB450=1,$O450="SQL"),1,0)</f>
        <v>0</v>
      </c>
      <c r="AF450" s="71">
        <f>IF(AND($AB450=1,OR($P450="Open",$P450="Won",$P450="Lost")),1,0)</f>
        <v>0</v>
      </c>
      <c r="AG450" s="71">
        <f>IF(AND($AB450=1,OR($M450="Converted",$P450="Won")),1,0)</f>
        <v>0</v>
      </c>
      <c r="AH450" s="71">
        <f>IF($AB450=0,0,IF(AND(OR(fClient="All",$B450=fClient),OR(fCampaign="All",$C450=fCampaign),OR(fTeam="All",$L450=fTeam),OR(fChannel="All",$F450=fChannel),OR(fMonth="All",$AA450=fMonth)),1,0))</f>
        <v>0</v>
      </c>
      <c r="AI450" s="71">
        <f>IF($AB450=0,0,IF(AND(OR(fClient="All",$B450=fClient),OR(fCampaign="All",$C450=fCampaign),OR(fTeam="All",$L450=fTeam),OR(fChannel="All",$F450=fChannel)),1,0))</f>
        <v>0</v>
      </c>
    </row>
    <row r="451">
      <c r="A451" s="63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3" t="n"/>
      <c r="R451" s="63" t="n"/>
      <c r="S451" s="63" t="n"/>
      <c r="T451" s="65" t="n"/>
      <c r="U451" s="65" t="n"/>
      <c r="V451" s="63" t="n"/>
      <c r="W451" s="65" t="n"/>
      <c r="X451" s="69" t="str">
        <f>IF(AND(ISNUMBER($Q451),ISNUMBER($R451)),$R451-$Q451,"")</f>
        <v/>
      </c>
      <c r="Y451" s="71" t="str">
        <f>IF($AB451=1,IF(AND(ISNUMBER($V451),$M451&lt;&gt;"Converted",$M451&lt;&gt;"Rejected"),IF($V451&lt;=ReportDate,"DUE",""),""),"")</f>
        <v/>
      </c>
      <c r="Z451" s="75" t="str">
        <f>IF(ISNUMBER($Q451),$Q451,IF(ISNUMBER($A451),$A451,""))</f>
        <v/>
      </c>
      <c r="AA451" s="71" t="str">
        <f>IF(ISNUMBER($Z451),YEAR($Z451)&amp;"-"&amp;TEXT(MONTH($Z451),"00"),"")</f>
        <v/>
      </c>
      <c r="AB451" s="71">
        <f>IF($H451&lt;&gt;"",1,0)</f>
        <v>0</v>
      </c>
      <c r="AC451" s="71">
        <f>IF(AND($AB451=1,$G451="Yes"),1,0)</f>
        <v>0</v>
      </c>
      <c r="AD451" s="71">
        <f>IF(AND($AB451=1,$N451="MQL"),1,0)</f>
        <v>0</v>
      </c>
      <c r="AE451" s="71">
        <f>IF(AND($AB451=1,$O451="SQL"),1,0)</f>
        <v>0</v>
      </c>
      <c r="AF451" s="71">
        <f>IF(AND($AB451=1,OR($P451="Open",$P451="Won",$P451="Lost")),1,0)</f>
        <v>0</v>
      </c>
      <c r="AG451" s="71">
        <f>IF(AND($AB451=1,OR($M451="Converted",$P451="Won")),1,0)</f>
        <v>0</v>
      </c>
      <c r="AH451" s="71">
        <f>IF($AB451=0,0,IF(AND(OR(fClient="All",$B451=fClient),OR(fCampaign="All",$C451=fCampaign),OR(fTeam="All",$L451=fTeam),OR(fChannel="All",$F451=fChannel),OR(fMonth="All",$AA451=fMonth)),1,0))</f>
        <v>0</v>
      </c>
      <c r="AI451" s="71">
        <f>IF($AB451=0,0,IF(AND(OR(fClient="All",$B451=fClient),OR(fCampaign="All",$C451=fCampaign),OR(fTeam="All",$L451=fTeam),OR(fChannel="All",$F451=fChannel)),1,0))</f>
        <v>0</v>
      </c>
    </row>
    <row r="452">
      <c r="A452" s="63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3" t="n"/>
      <c r="R452" s="63" t="n"/>
      <c r="S452" s="63" t="n"/>
      <c r="T452" s="65" t="n"/>
      <c r="U452" s="65" t="n"/>
      <c r="V452" s="63" t="n"/>
      <c r="W452" s="65" t="n"/>
      <c r="X452" s="69" t="str">
        <f>IF(AND(ISNUMBER($Q452),ISNUMBER($R452)),$R452-$Q452,"")</f>
        <v/>
      </c>
      <c r="Y452" s="71" t="str">
        <f>IF($AB452=1,IF(AND(ISNUMBER($V452),$M452&lt;&gt;"Converted",$M452&lt;&gt;"Rejected"),IF($V452&lt;=ReportDate,"DUE",""),""),"")</f>
        <v/>
      </c>
      <c r="Z452" s="75" t="str">
        <f>IF(ISNUMBER($Q452),$Q452,IF(ISNUMBER($A452),$A452,""))</f>
        <v/>
      </c>
      <c r="AA452" s="71" t="str">
        <f>IF(ISNUMBER($Z452),YEAR($Z452)&amp;"-"&amp;TEXT(MONTH($Z452),"00"),"")</f>
        <v/>
      </c>
      <c r="AB452" s="71">
        <f>IF($H452&lt;&gt;"",1,0)</f>
        <v>0</v>
      </c>
      <c r="AC452" s="71">
        <f>IF(AND($AB452=1,$G452="Yes"),1,0)</f>
        <v>0</v>
      </c>
      <c r="AD452" s="71">
        <f>IF(AND($AB452=1,$N452="MQL"),1,0)</f>
        <v>0</v>
      </c>
      <c r="AE452" s="71">
        <f>IF(AND($AB452=1,$O452="SQL"),1,0)</f>
        <v>0</v>
      </c>
      <c r="AF452" s="71">
        <f>IF(AND($AB452=1,OR($P452="Open",$P452="Won",$P452="Lost")),1,0)</f>
        <v>0</v>
      </c>
      <c r="AG452" s="71">
        <f>IF(AND($AB452=1,OR($M452="Converted",$P452="Won")),1,0)</f>
        <v>0</v>
      </c>
      <c r="AH452" s="71">
        <f>IF($AB452=0,0,IF(AND(OR(fClient="All",$B452=fClient),OR(fCampaign="All",$C452=fCampaign),OR(fTeam="All",$L452=fTeam),OR(fChannel="All",$F452=fChannel),OR(fMonth="All",$AA452=fMonth)),1,0))</f>
        <v>0</v>
      </c>
      <c r="AI452" s="71">
        <f>IF($AB452=0,0,IF(AND(OR(fClient="All",$B452=fClient),OR(fCampaign="All",$C452=fCampaign),OR(fTeam="All",$L452=fTeam),OR(fChannel="All",$F452=fChannel)),1,0))</f>
        <v>0</v>
      </c>
    </row>
    <row r="453">
      <c r="A453" s="63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3" t="n"/>
      <c r="R453" s="63" t="n"/>
      <c r="S453" s="63" t="n"/>
      <c r="T453" s="65" t="n"/>
      <c r="U453" s="65" t="n"/>
      <c r="V453" s="63" t="n"/>
      <c r="W453" s="65" t="n"/>
      <c r="X453" s="69" t="str">
        <f>IF(AND(ISNUMBER($Q453),ISNUMBER($R453)),$R453-$Q453,"")</f>
        <v/>
      </c>
      <c r="Y453" s="71" t="str">
        <f>IF($AB453=1,IF(AND(ISNUMBER($V453),$M453&lt;&gt;"Converted",$M453&lt;&gt;"Rejected"),IF($V453&lt;=ReportDate,"DUE",""),""),"")</f>
        <v/>
      </c>
      <c r="Z453" s="75" t="str">
        <f>IF(ISNUMBER($Q453),$Q453,IF(ISNUMBER($A453),$A453,""))</f>
        <v/>
      </c>
      <c r="AA453" s="71" t="str">
        <f>IF(ISNUMBER($Z453),YEAR($Z453)&amp;"-"&amp;TEXT(MONTH($Z453),"00"),"")</f>
        <v/>
      </c>
      <c r="AB453" s="71">
        <f>IF($H453&lt;&gt;"",1,0)</f>
        <v>0</v>
      </c>
      <c r="AC453" s="71">
        <f>IF(AND($AB453=1,$G453="Yes"),1,0)</f>
        <v>0</v>
      </c>
      <c r="AD453" s="71">
        <f>IF(AND($AB453=1,$N453="MQL"),1,0)</f>
        <v>0</v>
      </c>
      <c r="AE453" s="71">
        <f>IF(AND($AB453=1,$O453="SQL"),1,0)</f>
        <v>0</v>
      </c>
      <c r="AF453" s="71">
        <f>IF(AND($AB453=1,OR($P453="Open",$P453="Won",$P453="Lost")),1,0)</f>
        <v>0</v>
      </c>
      <c r="AG453" s="71">
        <f>IF(AND($AB453=1,OR($M453="Converted",$P453="Won")),1,0)</f>
        <v>0</v>
      </c>
      <c r="AH453" s="71">
        <f>IF($AB453=0,0,IF(AND(OR(fClient="All",$B453=fClient),OR(fCampaign="All",$C453=fCampaign),OR(fTeam="All",$L453=fTeam),OR(fChannel="All",$F453=fChannel),OR(fMonth="All",$AA453=fMonth)),1,0))</f>
        <v>0</v>
      </c>
      <c r="AI453" s="71">
        <f>IF($AB453=0,0,IF(AND(OR(fClient="All",$B453=fClient),OR(fCampaign="All",$C453=fCampaign),OR(fTeam="All",$L453=fTeam),OR(fChannel="All",$F453=fChannel)),1,0))</f>
        <v>0</v>
      </c>
    </row>
    <row r="454">
      <c r="A454" s="63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3" t="n"/>
      <c r="R454" s="63" t="n"/>
      <c r="S454" s="63" t="n"/>
      <c r="T454" s="65" t="n"/>
      <c r="U454" s="65" t="n"/>
      <c r="V454" s="63" t="n"/>
      <c r="W454" s="65" t="n"/>
      <c r="X454" s="69" t="str">
        <f>IF(AND(ISNUMBER($Q454),ISNUMBER($R454)),$R454-$Q454,"")</f>
        <v/>
      </c>
      <c r="Y454" s="71" t="str">
        <f>IF($AB454=1,IF(AND(ISNUMBER($V454),$M454&lt;&gt;"Converted",$M454&lt;&gt;"Rejected"),IF($V454&lt;=ReportDate,"DUE",""),""),"")</f>
        <v/>
      </c>
      <c r="Z454" s="75" t="str">
        <f>IF(ISNUMBER($Q454),$Q454,IF(ISNUMBER($A454),$A454,""))</f>
        <v/>
      </c>
      <c r="AA454" s="71" t="str">
        <f>IF(ISNUMBER($Z454),YEAR($Z454)&amp;"-"&amp;TEXT(MONTH($Z454),"00"),"")</f>
        <v/>
      </c>
      <c r="AB454" s="71">
        <f>IF($H454&lt;&gt;"",1,0)</f>
        <v>0</v>
      </c>
      <c r="AC454" s="71">
        <f>IF(AND($AB454=1,$G454="Yes"),1,0)</f>
        <v>0</v>
      </c>
      <c r="AD454" s="71">
        <f>IF(AND($AB454=1,$N454="MQL"),1,0)</f>
        <v>0</v>
      </c>
      <c r="AE454" s="71">
        <f>IF(AND($AB454=1,$O454="SQL"),1,0)</f>
        <v>0</v>
      </c>
      <c r="AF454" s="71">
        <f>IF(AND($AB454=1,OR($P454="Open",$P454="Won",$P454="Lost")),1,0)</f>
        <v>0</v>
      </c>
      <c r="AG454" s="71">
        <f>IF(AND($AB454=1,OR($M454="Converted",$P454="Won")),1,0)</f>
        <v>0</v>
      </c>
      <c r="AH454" s="71">
        <f>IF($AB454=0,0,IF(AND(OR(fClient="All",$B454=fClient),OR(fCampaign="All",$C454=fCampaign),OR(fTeam="All",$L454=fTeam),OR(fChannel="All",$F454=fChannel),OR(fMonth="All",$AA454=fMonth)),1,0))</f>
        <v>0</v>
      </c>
      <c r="AI454" s="71">
        <f>IF($AB454=0,0,IF(AND(OR(fClient="All",$B454=fClient),OR(fCampaign="All",$C454=fCampaign),OR(fTeam="All",$L454=fTeam),OR(fChannel="All",$F454=fChannel)),1,0))</f>
        <v>0</v>
      </c>
    </row>
    <row r="455">
      <c r="A455" s="63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3" t="n"/>
      <c r="R455" s="63" t="n"/>
      <c r="S455" s="63" t="n"/>
      <c r="T455" s="65" t="n"/>
      <c r="U455" s="65" t="n"/>
      <c r="V455" s="63" t="n"/>
      <c r="W455" s="65" t="n"/>
      <c r="X455" s="69" t="str">
        <f>IF(AND(ISNUMBER($Q455),ISNUMBER($R455)),$R455-$Q455,"")</f>
        <v/>
      </c>
      <c r="Y455" s="71" t="str">
        <f>IF($AB455=1,IF(AND(ISNUMBER($V455),$M455&lt;&gt;"Converted",$M455&lt;&gt;"Rejected"),IF($V455&lt;=ReportDate,"DUE",""),""),"")</f>
        <v/>
      </c>
      <c r="Z455" s="75" t="str">
        <f>IF(ISNUMBER($Q455),$Q455,IF(ISNUMBER($A455),$A455,""))</f>
        <v/>
      </c>
      <c r="AA455" s="71" t="str">
        <f>IF(ISNUMBER($Z455),YEAR($Z455)&amp;"-"&amp;TEXT(MONTH($Z455),"00"),"")</f>
        <v/>
      </c>
      <c r="AB455" s="71">
        <f>IF($H455&lt;&gt;"",1,0)</f>
        <v>0</v>
      </c>
      <c r="AC455" s="71">
        <f>IF(AND($AB455=1,$G455="Yes"),1,0)</f>
        <v>0</v>
      </c>
      <c r="AD455" s="71">
        <f>IF(AND($AB455=1,$N455="MQL"),1,0)</f>
        <v>0</v>
      </c>
      <c r="AE455" s="71">
        <f>IF(AND($AB455=1,$O455="SQL"),1,0)</f>
        <v>0</v>
      </c>
      <c r="AF455" s="71">
        <f>IF(AND($AB455=1,OR($P455="Open",$P455="Won",$P455="Lost")),1,0)</f>
        <v>0</v>
      </c>
      <c r="AG455" s="71">
        <f>IF(AND($AB455=1,OR($M455="Converted",$P455="Won")),1,0)</f>
        <v>0</v>
      </c>
      <c r="AH455" s="71">
        <f>IF($AB455=0,0,IF(AND(OR(fClient="All",$B455=fClient),OR(fCampaign="All",$C455=fCampaign),OR(fTeam="All",$L455=fTeam),OR(fChannel="All",$F455=fChannel),OR(fMonth="All",$AA455=fMonth)),1,0))</f>
        <v>0</v>
      </c>
      <c r="AI455" s="71">
        <f>IF($AB455=0,0,IF(AND(OR(fClient="All",$B455=fClient),OR(fCampaign="All",$C455=fCampaign),OR(fTeam="All",$L455=fTeam),OR(fChannel="All",$F455=fChannel)),1,0))</f>
        <v>0</v>
      </c>
    </row>
    <row r="456">
      <c r="A456" s="63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3" t="n"/>
      <c r="R456" s="63" t="n"/>
      <c r="S456" s="63" t="n"/>
      <c r="T456" s="65" t="n"/>
      <c r="U456" s="65" t="n"/>
      <c r="V456" s="63" t="n"/>
      <c r="W456" s="65" t="n"/>
      <c r="X456" s="69" t="str">
        <f>IF(AND(ISNUMBER($Q456),ISNUMBER($R456)),$R456-$Q456,"")</f>
        <v/>
      </c>
      <c r="Y456" s="71" t="str">
        <f>IF($AB456=1,IF(AND(ISNUMBER($V456),$M456&lt;&gt;"Converted",$M456&lt;&gt;"Rejected"),IF($V456&lt;=ReportDate,"DUE",""),""),"")</f>
        <v/>
      </c>
      <c r="Z456" s="75" t="str">
        <f>IF(ISNUMBER($Q456),$Q456,IF(ISNUMBER($A456),$A456,""))</f>
        <v/>
      </c>
      <c r="AA456" s="71" t="str">
        <f>IF(ISNUMBER($Z456),YEAR($Z456)&amp;"-"&amp;TEXT(MONTH($Z456),"00"),"")</f>
        <v/>
      </c>
      <c r="AB456" s="71">
        <f>IF($H456&lt;&gt;"",1,0)</f>
        <v>0</v>
      </c>
      <c r="AC456" s="71">
        <f>IF(AND($AB456=1,$G456="Yes"),1,0)</f>
        <v>0</v>
      </c>
      <c r="AD456" s="71">
        <f>IF(AND($AB456=1,$N456="MQL"),1,0)</f>
        <v>0</v>
      </c>
      <c r="AE456" s="71">
        <f>IF(AND($AB456=1,$O456="SQL"),1,0)</f>
        <v>0</v>
      </c>
      <c r="AF456" s="71">
        <f>IF(AND($AB456=1,OR($P456="Open",$P456="Won",$P456="Lost")),1,0)</f>
        <v>0</v>
      </c>
      <c r="AG456" s="71">
        <f>IF(AND($AB456=1,OR($M456="Converted",$P456="Won")),1,0)</f>
        <v>0</v>
      </c>
      <c r="AH456" s="71">
        <f>IF($AB456=0,0,IF(AND(OR(fClient="All",$B456=fClient),OR(fCampaign="All",$C456=fCampaign),OR(fTeam="All",$L456=fTeam),OR(fChannel="All",$F456=fChannel),OR(fMonth="All",$AA456=fMonth)),1,0))</f>
        <v>0</v>
      </c>
      <c r="AI456" s="71">
        <f>IF($AB456=0,0,IF(AND(OR(fClient="All",$B456=fClient),OR(fCampaign="All",$C456=fCampaign),OR(fTeam="All",$L456=fTeam),OR(fChannel="All",$F456=fChannel)),1,0))</f>
        <v>0</v>
      </c>
    </row>
    <row r="457">
      <c r="A457" s="63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3" t="n"/>
      <c r="R457" s="63" t="n"/>
      <c r="S457" s="63" t="n"/>
      <c r="T457" s="65" t="n"/>
      <c r="U457" s="65" t="n"/>
      <c r="V457" s="63" t="n"/>
      <c r="W457" s="65" t="n"/>
      <c r="X457" s="69" t="str">
        <f>IF(AND(ISNUMBER($Q457),ISNUMBER($R457)),$R457-$Q457,"")</f>
        <v/>
      </c>
      <c r="Y457" s="71" t="str">
        <f>IF($AB457=1,IF(AND(ISNUMBER($V457),$M457&lt;&gt;"Converted",$M457&lt;&gt;"Rejected"),IF($V457&lt;=ReportDate,"DUE",""),""),"")</f>
        <v/>
      </c>
      <c r="Z457" s="75" t="str">
        <f>IF(ISNUMBER($Q457),$Q457,IF(ISNUMBER($A457),$A457,""))</f>
        <v/>
      </c>
      <c r="AA457" s="71" t="str">
        <f>IF(ISNUMBER($Z457),YEAR($Z457)&amp;"-"&amp;TEXT(MONTH($Z457),"00"),"")</f>
        <v/>
      </c>
      <c r="AB457" s="71">
        <f>IF($H457&lt;&gt;"",1,0)</f>
        <v>0</v>
      </c>
      <c r="AC457" s="71">
        <f>IF(AND($AB457=1,$G457="Yes"),1,0)</f>
        <v>0</v>
      </c>
      <c r="AD457" s="71">
        <f>IF(AND($AB457=1,$N457="MQL"),1,0)</f>
        <v>0</v>
      </c>
      <c r="AE457" s="71">
        <f>IF(AND($AB457=1,$O457="SQL"),1,0)</f>
        <v>0</v>
      </c>
      <c r="AF457" s="71">
        <f>IF(AND($AB457=1,OR($P457="Open",$P457="Won",$P457="Lost")),1,0)</f>
        <v>0</v>
      </c>
      <c r="AG457" s="71">
        <f>IF(AND($AB457=1,OR($M457="Converted",$P457="Won")),1,0)</f>
        <v>0</v>
      </c>
      <c r="AH457" s="71">
        <f>IF($AB457=0,0,IF(AND(OR(fClient="All",$B457=fClient),OR(fCampaign="All",$C457=fCampaign),OR(fTeam="All",$L457=fTeam),OR(fChannel="All",$F457=fChannel),OR(fMonth="All",$AA457=fMonth)),1,0))</f>
        <v>0</v>
      </c>
      <c r="AI457" s="71">
        <f>IF($AB457=0,0,IF(AND(OR(fClient="All",$B457=fClient),OR(fCampaign="All",$C457=fCampaign),OR(fTeam="All",$L457=fTeam),OR(fChannel="All",$F457=fChannel)),1,0))</f>
        <v>0</v>
      </c>
    </row>
    <row r="458">
      <c r="A458" s="63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3" t="n"/>
      <c r="R458" s="63" t="n"/>
      <c r="S458" s="63" t="n"/>
      <c r="T458" s="65" t="n"/>
      <c r="U458" s="65" t="n"/>
      <c r="V458" s="63" t="n"/>
      <c r="W458" s="65" t="n"/>
      <c r="X458" s="69" t="str">
        <f>IF(AND(ISNUMBER($Q458),ISNUMBER($R458)),$R458-$Q458,"")</f>
        <v/>
      </c>
      <c r="Y458" s="71" t="str">
        <f>IF($AB458=1,IF(AND(ISNUMBER($V458),$M458&lt;&gt;"Converted",$M458&lt;&gt;"Rejected"),IF($V458&lt;=ReportDate,"DUE",""),""),"")</f>
        <v/>
      </c>
      <c r="Z458" s="75" t="str">
        <f>IF(ISNUMBER($Q458),$Q458,IF(ISNUMBER($A458),$A458,""))</f>
        <v/>
      </c>
      <c r="AA458" s="71" t="str">
        <f>IF(ISNUMBER($Z458),YEAR($Z458)&amp;"-"&amp;TEXT(MONTH($Z458),"00"),"")</f>
        <v/>
      </c>
      <c r="AB458" s="71">
        <f>IF($H458&lt;&gt;"",1,0)</f>
        <v>0</v>
      </c>
      <c r="AC458" s="71">
        <f>IF(AND($AB458=1,$G458="Yes"),1,0)</f>
        <v>0</v>
      </c>
      <c r="AD458" s="71">
        <f>IF(AND($AB458=1,$N458="MQL"),1,0)</f>
        <v>0</v>
      </c>
      <c r="AE458" s="71">
        <f>IF(AND($AB458=1,$O458="SQL"),1,0)</f>
        <v>0</v>
      </c>
      <c r="AF458" s="71">
        <f>IF(AND($AB458=1,OR($P458="Open",$P458="Won",$P458="Lost")),1,0)</f>
        <v>0</v>
      </c>
      <c r="AG458" s="71">
        <f>IF(AND($AB458=1,OR($M458="Converted",$P458="Won")),1,0)</f>
        <v>0</v>
      </c>
      <c r="AH458" s="71">
        <f>IF($AB458=0,0,IF(AND(OR(fClient="All",$B458=fClient),OR(fCampaign="All",$C458=fCampaign),OR(fTeam="All",$L458=fTeam),OR(fChannel="All",$F458=fChannel),OR(fMonth="All",$AA458=fMonth)),1,0))</f>
        <v>0</v>
      </c>
      <c r="AI458" s="71">
        <f>IF($AB458=0,0,IF(AND(OR(fClient="All",$B458=fClient),OR(fCampaign="All",$C458=fCampaign),OR(fTeam="All",$L458=fTeam),OR(fChannel="All",$F458=fChannel)),1,0))</f>
        <v>0</v>
      </c>
    </row>
    <row r="459">
      <c r="A459" s="63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3" t="n"/>
      <c r="R459" s="63" t="n"/>
      <c r="S459" s="63" t="n"/>
      <c r="T459" s="65" t="n"/>
      <c r="U459" s="65" t="n"/>
      <c r="V459" s="63" t="n"/>
      <c r="W459" s="65" t="n"/>
      <c r="X459" s="69" t="str">
        <f>IF(AND(ISNUMBER($Q459),ISNUMBER($R459)),$R459-$Q459,"")</f>
        <v/>
      </c>
      <c r="Y459" s="71" t="str">
        <f>IF($AB459=1,IF(AND(ISNUMBER($V459),$M459&lt;&gt;"Converted",$M459&lt;&gt;"Rejected"),IF($V459&lt;=ReportDate,"DUE",""),""),"")</f>
        <v/>
      </c>
      <c r="Z459" s="75" t="str">
        <f>IF(ISNUMBER($Q459),$Q459,IF(ISNUMBER($A459),$A459,""))</f>
        <v/>
      </c>
      <c r="AA459" s="71" t="str">
        <f>IF(ISNUMBER($Z459),YEAR($Z459)&amp;"-"&amp;TEXT(MONTH($Z459),"00"),"")</f>
        <v/>
      </c>
      <c r="AB459" s="71">
        <f>IF($H459&lt;&gt;"",1,0)</f>
        <v>0</v>
      </c>
      <c r="AC459" s="71">
        <f>IF(AND($AB459=1,$G459="Yes"),1,0)</f>
        <v>0</v>
      </c>
      <c r="AD459" s="71">
        <f>IF(AND($AB459=1,$N459="MQL"),1,0)</f>
        <v>0</v>
      </c>
      <c r="AE459" s="71">
        <f>IF(AND($AB459=1,$O459="SQL"),1,0)</f>
        <v>0</v>
      </c>
      <c r="AF459" s="71">
        <f>IF(AND($AB459=1,OR($P459="Open",$P459="Won",$P459="Lost")),1,0)</f>
        <v>0</v>
      </c>
      <c r="AG459" s="71">
        <f>IF(AND($AB459=1,OR($M459="Converted",$P459="Won")),1,0)</f>
        <v>0</v>
      </c>
      <c r="AH459" s="71">
        <f>IF($AB459=0,0,IF(AND(OR(fClient="All",$B459=fClient),OR(fCampaign="All",$C459=fCampaign),OR(fTeam="All",$L459=fTeam),OR(fChannel="All",$F459=fChannel),OR(fMonth="All",$AA459=fMonth)),1,0))</f>
        <v>0</v>
      </c>
      <c r="AI459" s="71">
        <f>IF($AB459=0,0,IF(AND(OR(fClient="All",$B459=fClient),OR(fCampaign="All",$C459=fCampaign),OR(fTeam="All",$L459=fTeam),OR(fChannel="All",$F459=fChannel)),1,0))</f>
        <v>0</v>
      </c>
    </row>
    <row r="460">
      <c r="A460" s="63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3" t="n"/>
      <c r="R460" s="63" t="n"/>
      <c r="S460" s="63" t="n"/>
      <c r="T460" s="65" t="n"/>
      <c r="U460" s="65" t="n"/>
      <c r="V460" s="63" t="n"/>
      <c r="W460" s="65" t="n"/>
      <c r="X460" s="69" t="str">
        <f>IF(AND(ISNUMBER($Q460),ISNUMBER($R460)),$R460-$Q460,"")</f>
        <v/>
      </c>
      <c r="Y460" s="71" t="str">
        <f>IF($AB460=1,IF(AND(ISNUMBER($V460),$M460&lt;&gt;"Converted",$M460&lt;&gt;"Rejected"),IF($V460&lt;=ReportDate,"DUE",""),""),"")</f>
        <v/>
      </c>
      <c r="Z460" s="75" t="str">
        <f>IF(ISNUMBER($Q460),$Q460,IF(ISNUMBER($A460),$A460,""))</f>
        <v/>
      </c>
      <c r="AA460" s="71" t="str">
        <f>IF(ISNUMBER($Z460),YEAR($Z460)&amp;"-"&amp;TEXT(MONTH($Z460),"00"),"")</f>
        <v/>
      </c>
      <c r="AB460" s="71">
        <f>IF($H460&lt;&gt;"",1,0)</f>
        <v>0</v>
      </c>
      <c r="AC460" s="71">
        <f>IF(AND($AB460=1,$G460="Yes"),1,0)</f>
        <v>0</v>
      </c>
      <c r="AD460" s="71">
        <f>IF(AND($AB460=1,$N460="MQL"),1,0)</f>
        <v>0</v>
      </c>
      <c r="AE460" s="71">
        <f>IF(AND($AB460=1,$O460="SQL"),1,0)</f>
        <v>0</v>
      </c>
      <c r="AF460" s="71">
        <f>IF(AND($AB460=1,OR($P460="Open",$P460="Won",$P460="Lost")),1,0)</f>
        <v>0</v>
      </c>
      <c r="AG460" s="71">
        <f>IF(AND($AB460=1,OR($M460="Converted",$P460="Won")),1,0)</f>
        <v>0</v>
      </c>
      <c r="AH460" s="71">
        <f>IF($AB460=0,0,IF(AND(OR(fClient="All",$B460=fClient),OR(fCampaign="All",$C460=fCampaign),OR(fTeam="All",$L460=fTeam),OR(fChannel="All",$F460=fChannel),OR(fMonth="All",$AA460=fMonth)),1,0))</f>
        <v>0</v>
      </c>
      <c r="AI460" s="71">
        <f>IF($AB460=0,0,IF(AND(OR(fClient="All",$B460=fClient),OR(fCampaign="All",$C460=fCampaign),OR(fTeam="All",$L460=fTeam),OR(fChannel="All",$F460=fChannel)),1,0))</f>
        <v>0</v>
      </c>
    </row>
    <row r="461">
      <c r="A461" s="63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3" t="n"/>
      <c r="R461" s="63" t="n"/>
      <c r="S461" s="63" t="n"/>
      <c r="T461" s="65" t="n"/>
      <c r="U461" s="65" t="n"/>
      <c r="V461" s="63" t="n"/>
      <c r="W461" s="65" t="n"/>
      <c r="X461" s="69" t="str">
        <f>IF(AND(ISNUMBER($Q461),ISNUMBER($R461)),$R461-$Q461,"")</f>
        <v/>
      </c>
      <c r="Y461" s="71" t="str">
        <f>IF($AB461=1,IF(AND(ISNUMBER($V461),$M461&lt;&gt;"Converted",$M461&lt;&gt;"Rejected"),IF($V461&lt;=ReportDate,"DUE",""),""),"")</f>
        <v/>
      </c>
      <c r="Z461" s="75" t="str">
        <f>IF(ISNUMBER($Q461),$Q461,IF(ISNUMBER($A461),$A461,""))</f>
        <v/>
      </c>
      <c r="AA461" s="71" t="str">
        <f>IF(ISNUMBER($Z461),YEAR($Z461)&amp;"-"&amp;TEXT(MONTH($Z461),"00"),"")</f>
        <v/>
      </c>
      <c r="AB461" s="71">
        <f>IF($H461&lt;&gt;"",1,0)</f>
        <v>0</v>
      </c>
      <c r="AC461" s="71">
        <f>IF(AND($AB461=1,$G461="Yes"),1,0)</f>
        <v>0</v>
      </c>
      <c r="AD461" s="71">
        <f>IF(AND($AB461=1,$N461="MQL"),1,0)</f>
        <v>0</v>
      </c>
      <c r="AE461" s="71">
        <f>IF(AND($AB461=1,$O461="SQL"),1,0)</f>
        <v>0</v>
      </c>
      <c r="AF461" s="71">
        <f>IF(AND($AB461=1,OR($P461="Open",$P461="Won",$P461="Lost")),1,0)</f>
        <v>0</v>
      </c>
      <c r="AG461" s="71">
        <f>IF(AND($AB461=1,OR($M461="Converted",$P461="Won")),1,0)</f>
        <v>0</v>
      </c>
      <c r="AH461" s="71">
        <f>IF($AB461=0,0,IF(AND(OR(fClient="All",$B461=fClient),OR(fCampaign="All",$C461=fCampaign),OR(fTeam="All",$L461=fTeam),OR(fChannel="All",$F461=fChannel),OR(fMonth="All",$AA461=fMonth)),1,0))</f>
        <v>0</v>
      </c>
      <c r="AI461" s="71">
        <f>IF($AB461=0,0,IF(AND(OR(fClient="All",$B461=fClient),OR(fCampaign="All",$C461=fCampaign),OR(fTeam="All",$L461=fTeam),OR(fChannel="All",$F461=fChannel)),1,0))</f>
        <v>0</v>
      </c>
    </row>
    <row r="462">
      <c r="A462" s="63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3" t="n"/>
      <c r="R462" s="63" t="n"/>
      <c r="S462" s="63" t="n"/>
      <c r="T462" s="65" t="n"/>
      <c r="U462" s="65" t="n"/>
      <c r="V462" s="63" t="n"/>
      <c r="W462" s="65" t="n"/>
      <c r="X462" s="69" t="str">
        <f>IF(AND(ISNUMBER($Q462),ISNUMBER($R462)),$R462-$Q462,"")</f>
        <v/>
      </c>
      <c r="Y462" s="71" t="str">
        <f>IF($AB462=1,IF(AND(ISNUMBER($V462),$M462&lt;&gt;"Converted",$M462&lt;&gt;"Rejected"),IF($V462&lt;=ReportDate,"DUE",""),""),"")</f>
        <v/>
      </c>
      <c r="Z462" s="75" t="str">
        <f>IF(ISNUMBER($Q462),$Q462,IF(ISNUMBER($A462),$A462,""))</f>
        <v/>
      </c>
      <c r="AA462" s="71" t="str">
        <f>IF(ISNUMBER($Z462),YEAR($Z462)&amp;"-"&amp;TEXT(MONTH($Z462),"00"),"")</f>
        <v/>
      </c>
      <c r="AB462" s="71">
        <f>IF($H462&lt;&gt;"",1,0)</f>
        <v>0</v>
      </c>
      <c r="AC462" s="71">
        <f>IF(AND($AB462=1,$G462="Yes"),1,0)</f>
        <v>0</v>
      </c>
      <c r="AD462" s="71">
        <f>IF(AND($AB462=1,$N462="MQL"),1,0)</f>
        <v>0</v>
      </c>
      <c r="AE462" s="71">
        <f>IF(AND($AB462=1,$O462="SQL"),1,0)</f>
        <v>0</v>
      </c>
      <c r="AF462" s="71">
        <f>IF(AND($AB462=1,OR($P462="Open",$P462="Won",$P462="Lost")),1,0)</f>
        <v>0</v>
      </c>
      <c r="AG462" s="71">
        <f>IF(AND($AB462=1,OR($M462="Converted",$P462="Won")),1,0)</f>
        <v>0</v>
      </c>
      <c r="AH462" s="71">
        <f>IF($AB462=0,0,IF(AND(OR(fClient="All",$B462=fClient),OR(fCampaign="All",$C462=fCampaign),OR(fTeam="All",$L462=fTeam),OR(fChannel="All",$F462=fChannel),OR(fMonth="All",$AA462=fMonth)),1,0))</f>
        <v>0</v>
      </c>
      <c r="AI462" s="71">
        <f>IF($AB462=0,0,IF(AND(OR(fClient="All",$B462=fClient),OR(fCampaign="All",$C462=fCampaign),OR(fTeam="All",$L462=fTeam),OR(fChannel="All",$F462=fChannel)),1,0))</f>
        <v>0</v>
      </c>
    </row>
    <row r="463">
      <c r="A463" s="63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3" t="n"/>
      <c r="R463" s="63" t="n"/>
      <c r="S463" s="63" t="n"/>
      <c r="T463" s="65" t="n"/>
      <c r="U463" s="65" t="n"/>
      <c r="V463" s="63" t="n"/>
      <c r="W463" s="65" t="n"/>
      <c r="X463" s="69" t="str">
        <f>IF(AND(ISNUMBER($Q463),ISNUMBER($R463)),$R463-$Q463,"")</f>
        <v/>
      </c>
      <c r="Y463" s="71" t="str">
        <f>IF($AB463=1,IF(AND(ISNUMBER($V463),$M463&lt;&gt;"Converted",$M463&lt;&gt;"Rejected"),IF($V463&lt;=ReportDate,"DUE",""),""),"")</f>
        <v/>
      </c>
      <c r="Z463" s="75" t="str">
        <f>IF(ISNUMBER($Q463),$Q463,IF(ISNUMBER($A463),$A463,""))</f>
        <v/>
      </c>
      <c r="AA463" s="71" t="str">
        <f>IF(ISNUMBER($Z463),YEAR($Z463)&amp;"-"&amp;TEXT(MONTH($Z463),"00"),"")</f>
        <v/>
      </c>
      <c r="AB463" s="71">
        <f>IF($H463&lt;&gt;"",1,0)</f>
        <v>0</v>
      </c>
      <c r="AC463" s="71">
        <f>IF(AND($AB463=1,$G463="Yes"),1,0)</f>
        <v>0</v>
      </c>
      <c r="AD463" s="71">
        <f>IF(AND($AB463=1,$N463="MQL"),1,0)</f>
        <v>0</v>
      </c>
      <c r="AE463" s="71">
        <f>IF(AND($AB463=1,$O463="SQL"),1,0)</f>
        <v>0</v>
      </c>
      <c r="AF463" s="71">
        <f>IF(AND($AB463=1,OR($P463="Open",$P463="Won",$P463="Lost")),1,0)</f>
        <v>0</v>
      </c>
      <c r="AG463" s="71">
        <f>IF(AND($AB463=1,OR($M463="Converted",$P463="Won")),1,0)</f>
        <v>0</v>
      </c>
      <c r="AH463" s="71">
        <f>IF($AB463=0,0,IF(AND(OR(fClient="All",$B463=fClient),OR(fCampaign="All",$C463=fCampaign),OR(fTeam="All",$L463=fTeam),OR(fChannel="All",$F463=fChannel),OR(fMonth="All",$AA463=fMonth)),1,0))</f>
        <v>0</v>
      </c>
      <c r="AI463" s="71">
        <f>IF($AB463=0,0,IF(AND(OR(fClient="All",$B463=fClient),OR(fCampaign="All",$C463=fCampaign),OR(fTeam="All",$L463=fTeam),OR(fChannel="All",$F463=fChannel)),1,0))</f>
        <v>0</v>
      </c>
    </row>
    <row r="464">
      <c r="A464" s="63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3" t="n"/>
      <c r="R464" s="63" t="n"/>
      <c r="S464" s="63" t="n"/>
      <c r="T464" s="65" t="n"/>
      <c r="U464" s="65" t="n"/>
      <c r="V464" s="63" t="n"/>
      <c r="W464" s="65" t="n"/>
      <c r="X464" s="69" t="str">
        <f>IF(AND(ISNUMBER($Q464),ISNUMBER($R464)),$R464-$Q464,"")</f>
        <v/>
      </c>
      <c r="Y464" s="71" t="str">
        <f>IF($AB464=1,IF(AND(ISNUMBER($V464),$M464&lt;&gt;"Converted",$M464&lt;&gt;"Rejected"),IF($V464&lt;=ReportDate,"DUE",""),""),"")</f>
        <v/>
      </c>
      <c r="Z464" s="75" t="str">
        <f>IF(ISNUMBER($Q464),$Q464,IF(ISNUMBER($A464),$A464,""))</f>
        <v/>
      </c>
      <c r="AA464" s="71" t="str">
        <f>IF(ISNUMBER($Z464),YEAR($Z464)&amp;"-"&amp;TEXT(MONTH($Z464),"00"),"")</f>
        <v/>
      </c>
      <c r="AB464" s="71">
        <f>IF($H464&lt;&gt;"",1,0)</f>
        <v>0</v>
      </c>
      <c r="AC464" s="71">
        <f>IF(AND($AB464=1,$G464="Yes"),1,0)</f>
        <v>0</v>
      </c>
      <c r="AD464" s="71">
        <f>IF(AND($AB464=1,$N464="MQL"),1,0)</f>
        <v>0</v>
      </c>
      <c r="AE464" s="71">
        <f>IF(AND($AB464=1,$O464="SQL"),1,0)</f>
        <v>0</v>
      </c>
      <c r="AF464" s="71">
        <f>IF(AND($AB464=1,OR($P464="Open",$P464="Won",$P464="Lost")),1,0)</f>
        <v>0</v>
      </c>
      <c r="AG464" s="71">
        <f>IF(AND($AB464=1,OR($M464="Converted",$P464="Won")),1,0)</f>
        <v>0</v>
      </c>
      <c r="AH464" s="71">
        <f>IF($AB464=0,0,IF(AND(OR(fClient="All",$B464=fClient),OR(fCampaign="All",$C464=fCampaign),OR(fTeam="All",$L464=fTeam),OR(fChannel="All",$F464=fChannel),OR(fMonth="All",$AA464=fMonth)),1,0))</f>
        <v>0</v>
      </c>
      <c r="AI464" s="71">
        <f>IF($AB464=0,0,IF(AND(OR(fClient="All",$B464=fClient),OR(fCampaign="All",$C464=fCampaign),OR(fTeam="All",$L464=fTeam),OR(fChannel="All",$F464=fChannel)),1,0))</f>
        <v>0</v>
      </c>
    </row>
    <row r="465">
      <c r="A465" s="63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3" t="n"/>
      <c r="R465" s="63" t="n"/>
      <c r="S465" s="63" t="n"/>
      <c r="T465" s="65" t="n"/>
      <c r="U465" s="65" t="n"/>
      <c r="V465" s="63" t="n"/>
      <c r="W465" s="65" t="n"/>
      <c r="X465" s="69" t="str">
        <f>IF(AND(ISNUMBER($Q465),ISNUMBER($R465)),$R465-$Q465,"")</f>
        <v/>
      </c>
      <c r="Y465" s="71" t="str">
        <f>IF($AB465=1,IF(AND(ISNUMBER($V465),$M465&lt;&gt;"Converted",$M465&lt;&gt;"Rejected"),IF($V465&lt;=ReportDate,"DUE",""),""),"")</f>
        <v/>
      </c>
      <c r="Z465" s="75" t="str">
        <f>IF(ISNUMBER($Q465),$Q465,IF(ISNUMBER($A465),$A465,""))</f>
        <v/>
      </c>
      <c r="AA465" s="71" t="str">
        <f>IF(ISNUMBER($Z465),YEAR($Z465)&amp;"-"&amp;TEXT(MONTH($Z465),"00"),"")</f>
        <v/>
      </c>
      <c r="AB465" s="71">
        <f>IF($H465&lt;&gt;"",1,0)</f>
        <v>0</v>
      </c>
      <c r="AC465" s="71">
        <f>IF(AND($AB465=1,$G465="Yes"),1,0)</f>
        <v>0</v>
      </c>
      <c r="AD465" s="71">
        <f>IF(AND($AB465=1,$N465="MQL"),1,0)</f>
        <v>0</v>
      </c>
      <c r="AE465" s="71">
        <f>IF(AND($AB465=1,$O465="SQL"),1,0)</f>
        <v>0</v>
      </c>
      <c r="AF465" s="71">
        <f>IF(AND($AB465=1,OR($P465="Open",$P465="Won",$P465="Lost")),1,0)</f>
        <v>0</v>
      </c>
      <c r="AG465" s="71">
        <f>IF(AND($AB465=1,OR($M465="Converted",$P465="Won")),1,0)</f>
        <v>0</v>
      </c>
      <c r="AH465" s="71">
        <f>IF($AB465=0,0,IF(AND(OR(fClient="All",$B465=fClient),OR(fCampaign="All",$C465=fCampaign),OR(fTeam="All",$L465=fTeam),OR(fChannel="All",$F465=fChannel),OR(fMonth="All",$AA465=fMonth)),1,0))</f>
        <v>0</v>
      </c>
      <c r="AI465" s="71">
        <f>IF($AB465=0,0,IF(AND(OR(fClient="All",$B465=fClient),OR(fCampaign="All",$C465=fCampaign),OR(fTeam="All",$L465=fTeam),OR(fChannel="All",$F465=fChannel)),1,0))</f>
        <v>0</v>
      </c>
    </row>
    <row r="466">
      <c r="A466" s="63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3" t="n"/>
      <c r="R466" s="63" t="n"/>
      <c r="S466" s="63" t="n"/>
      <c r="T466" s="65" t="n"/>
      <c r="U466" s="65" t="n"/>
      <c r="V466" s="63" t="n"/>
      <c r="W466" s="65" t="n"/>
      <c r="X466" s="69" t="str">
        <f>IF(AND(ISNUMBER($Q466),ISNUMBER($R466)),$R466-$Q466,"")</f>
        <v/>
      </c>
      <c r="Y466" s="71" t="str">
        <f>IF($AB466=1,IF(AND(ISNUMBER($V466),$M466&lt;&gt;"Converted",$M466&lt;&gt;"Rejected"),IF($V466&lt;=ReportDate,"DUE",""),""),"")</f>
        <v/>
      </c>
      <c r="Z466" s="75" t="str">
        <f>IF(ISNUMBER($Q466),$Q466,IF(ISNUMBER($A466),$A466,""))</f>
        <v/>
      </c>
      <c r="AA466" s="71" t="str">
        <f>IF(ISNUMBER($Z466),YEAR($Z466)&amp;"-"&amp;TEXT(MONTH($Z466),"00"),"")</f>
        <v/>
      </c>
      <c r="AB466" s="71">
        <f>IF($H466&lt;&gt;"",1,0)</f>
        <v>0</v>
      </c>
      <c r="AC466" s="71">
        <f>IF(AND($AB466=1,$G466="Yes"),1,0)</f>
        <v>0</v>
      </c>
      <c r="AD466" s="71">
        <f>IF(AND($AB466=1,$N466="MQL"),1,0)</f>
        <v>0</v>
      </c>
      <c r="AE466" s="71">
        <f>IF(AND($AB466=1,$O466="SQL"),1,0)</f>
        <v>0</v>
      </c>
      <c r="AF466" s="71">
        <f>IF(AND($AB466=1,OR($P466="Open",$P466="Won",$P466="Lost")),1,0)</f>
        <v>0</v>
      </c>
      <c r="AG466" s="71">
        <f>IF(AND($AB466=1,OR($M466="Converted",$P466="Won")),1,0)</f>
        <v>0</v>
      </c>
      <c r="AH466" s="71">
        <f>IF($AB466=0,0,IF(AND(OR(fClient="All",$B466=fClient),OR(fCampaign="All",$C466=fCampaign),OR(fTeam="All",$L466=fTeam),OR(fChannel="All",$F466=fChannel),OR(fMonth="All",$AA466=fMonth)),1,0))</f>
        <v>0</v>
      </c>
      <c r="AI466" s="71">
        <f>IF($AB466=0,0,IF(AND(OR(fClient="All",$B466=fClient),OR(fCampaign="All",$C466=fCampaign),OR(fTeam="All",$L466=fTeam),OR(fChannel="All",$F466=fChannel)),1,0))</f>
        <v>0</v>
      </c>
    </row>
    <row r="467">
      <c r="A467" s="63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3" t="n"/>
      <c r="R467" s="63" t="n"/>
      <c r="S467" s="63" t="n"/>
      <c r="T467" s="65" t="n"/>
      <c r="U467" s="65" t="n"/>
      <c r="V467" s="63" t="n"/>
      <c r="W467" s="65" t="n"/>
      <c r="X467" s="69" t="str">
        <f>IF(AND(ISNUMBER($Q467),ISNUMBER($R467)),$R467-$Q467,"")</f>
        <v/>
      </c>
      <c r="Y467" s="71" t="str">
        <f>IF($AB467=1,IF(AND(ISNUMBER($V467),$M467&lt;&gt;"Converted",$M467&lt;&gt;"Rejected"),IF($V467&lt;=ReportDate,"DUE",""),""),"")</f>
        <v/>
      </c>
      <c r="Z467" s="75" t="str">
        <f>IF(ISNUMBER($Q467),$Q467,IF(ISNUMBER($A467),$A467,""))</f>
        <v/>
      </c>
      <c r="AA467" s="71" t="str">
        <f>IF(ISNUMBER($Z467),YEAR($Z467)&amp;"-"&amp;TEXT(MONTH($Z467),"00"),"")</f>
        <v/>
      </c>
      <c r="AB467" s="71">
        <f>IF($H467&lt;&gt;"",1,0)</f>
        <v>0</v>
      </c>
      <c r="AC467" s="71">
        <f>IF(AND($AB467=1,$G467="Yes"),1,0)</f>
        <v>0</v>
      </c>
      <c r="AD467" s="71">
        <f>IF(AND($AB467=1,$N467="MQL"),1,0)</f>
        <v>0</v>
      </c>
      <c r="AE467" s="71">
        <f>IF(AND($AB467=1,$O467="SQL"),1,0)</f>
        <v>0</v>
      </c>
      <c r="AF467" s="71">
        <f>IF(AND($AB467=1,OR($P467="Open",$P467="Won",$P467="Lost")),1,0)</f>
        <v>0</v>
      </c>
      <c r="AG467" s="71">
        <f>IF(AND($AB467=1,OR($M467="Converted",$P467="Won")),1,0)</f>
        <v>0</v>
      </c>
      <c r="AH467" s="71">
        <f>IF($AB467=0,0,IF(AND(OR(fClient="All",$B467=fClient),OR(fCampaign="All",$C467=fCampaign),OR(fTeam="All",$L467=fTeam),OR(fChannel="All",$F467=fChannel),OR(fMonth="All",$AA467=fMonth)),1,0))</f>
        <v>0</v>
      </c>
      <c r="AI467" s="71">
        <f>IF($AB467=0,0,IF(AND(OR(fClient="All",$B467=fClient),OR(fCampaign="All",$C467=fCampaign),OR(fTeam="All",$L467=fTeam),OR(fChannel="All",$F467=fChannel)),1,0))</f>
        <v>0</v>
      </c>
    </row>
    <row r="468">
      <c r="A468" s="63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3" t="n"/>
      <c r="R468" s="63" t="n"/>
      <c r="S468" s="63" t="n"/>
      <c r="T468" s="65" t="n"/>
      <c r="U468" s="65" t="n"/>
      <c r="V468" s="63" t="n"/>
      <c r="W468" s="65" t="n"/>
      <c r="X468" s="69" t="str">
        <f>IF(AND(ISNUMBER($Q468),ISNUMBER($R468)),$R468-$Q468,"")</f>
        <v/>
      </c>
      <c r="Y468" s="71" t="str">
        <f>IF($AB468=1,IF(AND(ISNUMBER($V468),$M468&lt;&gt;"Converted",$M468&lt;&gt;"Rejected"),IF($V468&lt;=ReportDate,"DUE",""),""),"")</f>
        <v/>
      </c>
      <c r="Z468" s="75" t="str">
        <f>IF(ISNUMBER($Q468),$Q468,IF(ISNUMBER($A468),$A468,""))</f>
        <v/>
      </c>
      <c r="AA468" s="71" t="str">
        <f>IF(ISNUMBER($Z468),YEAR($Z468)&amp;"-"&amp;TEXT(MONTH($Z468),"00"),"")</f>
        <v/>
      </c>
      <c r="AB468" s="71">
        <f>IF($H468&lt;&gt;"",1,0)</f>
        <v>0</v>
      </c>
      <c r="AC468" s="71">
        <f>IF(AND($AB468=1,$G468="Yes"),1,0)</f>
        <v>0</v>
      </c>
      <c r="AD468" s="71">
        <f>IF(AND($AB468=1,$N468="MQL"),1,0)</f>
        <v>0</v>
      </c>
      <c r="AE468" s="71">
        <f>IF(AND($AB468=1,$O468="SQL"),1,0)</f>
        <v>0</v>
      </c>
      <c r="AF468" s="71">
        <f>IF(AND($AB468=1,OR($P468="Open",$P468="Won",$P468="Lost")),1,0)</f>
        <v>0</v>
      </c>
      <c r="AG468" s="71">
        <f>IF(AND($AB468=1,OR($M468="Converted",$P468="Won")),1,0)</f>
        <v>0</v>
      </c>
      <c r="AH468" s="71">
        <f>IF($AB468=0,0,IF(AND(OR(fClient="All",$B468=fClient),OR(fCampaign="All",$C468=fCampaign),OR(fTeam="All",$L468=fTeam),OR(fChannel="All",$F468=fChannel),OR(fMonth="All",$AA468=fMonth)),1,0))</f>
        <v>0</v>
      </c>
      <c r="AI468" s="71">
        <f>IF($AB468=0,0,IF(AND(OR(fClient="All",$B468=fClient),OR(fCampaign="All",$C468=fCampaign),OR(fTeam="All",$L468=fTeam),OR(fChannel="All",$F468=fChannel)),1,0))</f>
        <v>0</v>
      </c>
    </row>
    <row r="469">
      <c r="A469" s="63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3" t="n"/>
      <c r="R469" s="63" t="n"/>
      <c r="S469" s="63" t="n"/>
      <c r="T469" s="65" t="n"/>
      <c r="U469" s="65" t="n"/>
      <c r="V469" s="63" t="n"/>
      <c r="W469" s="65" t="n"/>
      <c r="X469" s="69" t="str">
        <f>IF(AND(ISNUMBER($Q469),ISNUMBER($R469)),$R469-$Q469,"")</f>
        <v/>
      </c>
      <c r="Y469" s="71" t="str">
        <f>IF($AB469=1,IF(AND(ISNUMBER($V469),$M469&lt;&gt;"Converted",$M469&lt;&gt;"Rejected"),IF($V469&lt;=ReportDate,"DUE",""),""),"")</f>
        <v/>
      </c>
      <c r="Z469" s="75" t="str">
        <f>IF(ISNUMBER($Q469),$Q469,IF(ISNUMBER($A469),$A469,""))</f>
        <v/>
      </c>
      <c r="AA469" s="71" t="str">
        <f>IF(ISNUMBER($Z469),YEAR($Z469)&amp;"-"&amp;TEXT(MONTH($Z469),"00"),"")</f>
        <v/>
      </c>
      <c r="AB469" s="71">
        <f>IF($H469&lt;&gt;"",1,0)</f>
        <v>0</v>
      </c>
      <c r="AC469" s="71">
        <f>IF(AND($AB469=1,$G469="Yes"),1,0)</f>
        <v>0</v>
      </c>
      <c r="AD469" s="71">
        <f>IF(AND($AB469=1,$N469="MQL"),1,0)</f>
        <v>0</v>
      </c>
      <c r="AE469" s="71">
        <f>IF(AND($AB469=1,$O469="SQL"),1,0)</f>
        <v>0</v>
      </c>
      <c r="AF469" s="71">
        <f>IF(AND($AB469=1,OR($P469="Open",$P469="Won",$P469="Lost")),1,0)</f>
        <v>0</v>
      </c>
      <c r="AG469" s="71">
        <f>IF(AND($AB469=1,OR($M469="Converted",$P469="Won")),1,0)</f>
        <v>0</v>
      </c>
      <c r="AH469" s="71">
        <f>IF($AB469=0,0,IF(AND(OR(fClient="All",$B469=fClient),OR(fCampaign="All",$C469=fCampaign),OR(fTeam="All",$L469=fTeam),OR(fChannel="All",$F469=fChannel),OR(fMonth="All",$AA469=fMonth)),1,0))</f>
        <v>0</v>
      </c>
      <c r="AI469" s="71">
        <f>IF($AB469=0,0,IF(AND(OR(fClient="All",$B469=fClient),OR(fCampaign="All",$C469=fCampaign),OR(fTeam="All",$L469=fTeam),OR(fChannel="All",$F469=fChannel)),1,0))</f>
        <v>0</v>
      </c>
    </row>
    <row r="470">
      <c r="A470" s="63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3" t="n"/>
      <c r="R470" s="63" t="n"/>
      <c r="S470" s="63" t="n"/>
      <c r="T470" s="65" t="n"/>
      <c r="U470" s="65" t="n"/>
      <c r="V470" s="63" t="n"/>
      <c r="W470" s="65" t="n"/>
      <c r="X470" s="69" t="str">
        <f>IF(AND(ISNUMBER($Q470),ISNUMBER($R470)),$R470-$Q470,"")</f>
        <v/>
      </c>
      <c r="Y470" s="71" t="str">
        <f>IF($AB470=1,IF(AND(ISNUMBER($V470),$M470&lt;&gt;"Converted",$M470&lt;&gt;"Rejected"),IF($V470&lt;=ReportDate,"DUE",""),""),"")</f>
        <v/>
      </c>
      <c r="Z470" s="75" t="str">
        <f>IF(ISNUMBER($Q470),$Q470,IF(ISNUMBER($A470),$A470,""))</f>
        <v/>
      </c>
      <c r="AA470" s="71" t="str">
        <f>IF(ISNUMBER($Z470),YEAR($Z470)&amp;"-"&amp;TEXT(MONTH($Z470),"00"),"")</f>
        <v/>
      </c>
      <c r="AB470" s="71">
        <f>IF($H470&lt;&gt;"",1,0)</f>
        <v>0</v>
      </c>
      <c r="AC470" s="71">
        <f>IF(AND($AB470=1,$G470="Yes"),1,0)</f>
        <v>0</v>
      </c>
      <c r="AD470" s="71">
        <f>IF(AND($AB470=1,$N470="MQL"),1,0)</f>
        <v>0</v>
      </c>
      <c r="AE470" s="71">
        <f>IF(AND($AB470=1,$O470="SQL"),1,0)</f>
        <v>0</v>
      </c>
      <c r="AF470" s="71">
        <f>IF(AND($AB470=1,OR($P470="Open",$P470="Won",$P470="Lost")),1,0)</f>
        <v>0</v>
      </c>
      <c r="AG470" s="71">
        <f>IF(AND($AB470=1,OR($M470="Converted",$P470="Won")),1,0)</f>
        <v>0</v>
      </c>
      <c r="AH470" s="71">
        <f>IF($AB470=0,0,IF(AND(OR(fClient="All",$B470=fClient),OR(fCampaign="All",$C470=fCampaign),OR(fTeam="All",$L470=fTeam),OR(fChannel="All",$F470=fChannel),OR(fMonth="All",$AA470=fMonth)),1,0))</f>
        <v>0</v>
      </c>
      <c r="AI470" s="71">
        <f>IF($AB470=0,0,IF(AND(OR(fClient="All",$B470=fClient),OR(fCampaign="All",$C470=fCampaign),OR(fTeam="All",$L470=fTeam),OR(fChannel="All",$F470=fChannel)),1,0))</f>
        <v>0</v>
      </c>
    </row>
    <row r="471">
      <c r="A471" s="63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3" t="n"/>
      <c r="R471" s="63" t="n"/>
      <c r="S471" s="63" t="n"/>
      <c r="T471" s="65" t="n"/>
      <c r="U471" s="65" t="n"/>
      <c r="V471" s="63" t="n"/>
      <c r="W471" s="65" t="n"/>
      <c r="X471" s="69" t="str">
        <f>IF(AND(ISNUMBER($Q471),ISNUMBER($R471)),$R471-$Q471,"")</f>
        <v/>
      </c>
      <c r="Y471" s="71" t="str">
        <f>IF($AB471=1,IF(AND(ISNUMBER($V471),$M471&lt;&gt;"Converted",$M471&lt;&gt;"Rejected"),IF($V471&lt;=ReportDate,"DUE",""),""),"")</f>
        <v/>
      </c>
      <c r="Z471" s="75" t="str">
        <f>IF(ISNUMBER($Q471),$Q471,IF(ISNUMBER($A471),$A471,""))</f>
        <v/>
      </c>
      <c r="AA471" s="71" t="str">
        <f>IF(ISNUMBER($Z471),YEAR($Z471)&amp;"-"&amp;TEXT(MONTH($Z471),"00"),"")</f>
        <v/>
      </c>
      <c r="AB471" s="71">
        <f>IF($H471&lt;&gt;"",1,0)</f>
        <v>0</v>
      </c>
      <c r="AC471" s="71">
        <f>IF(AND($AB471=1,$G471="Yes"),1,0)</f>
        <v>0</v>
      </c>
      <c r="AD471" s="71">
        <f>IF(AND($AB471=1,$N471="MQL"),1,0)</f>
        <v>0</v>
      </c>
      <c r="AE471" s="71">
        <f>IF(AND($AB471=1,$O471="SQL"),1,0)</f>
        <v>0</v>
      </c>
      <c r="AF471" s="71">
        <f>IF(AND($AB471=1,OR($P471="Open",$P471="Won",$P471="Lost")),1,0)</f>
        <v>0</v>
      </c>
      <c r="AG471" s="71">
        <f>IF(AND($AB471=1,OR($M471="Converted",$P471="Won")),1,0)</f>
        <v>0</v>
      </c>
      <c r="AH471" s="71">
        <f>IF($AB471=0,0,IF(AND(OR(fClient="All",$B471=fClient),OR(fCampaign="All",$C471=fCampaign),OR(fTeam="All",$L471=fTeam),OR(fChannel="All",$F471=fChannel),OR(fMonth="All",$AA471=fMonth)),1,0))</f>
        <v>0</v>
      </c>
      <c r="AI471" s="71">
        <f>IF($AB471=0,0,IF(AND(OR(fClient="All",$B471=fClient),OR(fCampaign="All",$C471=fCampaign),OR(fTeam="All",$L471=fTeam),OR(fChannel="All",$F471=fChannel)),1,0))</f>
        <v>0</v>
      </c>
    </row>
    <row r="472">
      <c r="A472" s="63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3" t="n"/>
      <c r="R472" s="63" t="n"/>
      <c r="S472" s="63" t="n"/>
      <c r="T472" s="65" t="n"/>
      <c r="U472" s="65" t="n"/>
      <c r="V472" s="63" t="n"/>
      <c r="W472" s="65" t="n"/>
      <c r="X472" s="69" t="str">
        <f>IF(AND(ISNUMBER($Q472),ISNUMBER($R472)),$R472-$Q472,"")</f>
        <v/>
      </c>
      <c r="Y472" s="71" t="str">
        <f>IF($AB472=1,IF(AND(ISNUMBER($V472),$M472&lt;&gt;"Converted",$M472&lt;&gt;"Rejected"),IF($V472&lt;=ReportDate,"DUE",""),""),"")</f>
        <v/>
      </c>
      <c r="Z472" s="75" t="str">
        <f>IF(ISNUMBER($Q472),$Q472,IF(ISNUMBER($A472),$A472,""))</f>
        <v/>
      </c>
      <c r="AA472" s="71" t="str">
        <f>IF(ISNUMBER($Z472),YEAR($Z472)&amp;"-"&amp;TEXT(MONTH($Z472),"00"),"")</f>
        <v/>
      </c>
      <c r="AB472" s="71">
        <f>IF($H472&lt;&gt;"",1,0)</f>
        <v>0</v>
      </c>
      <c r="AC472" s="71">
        <f>IF(AND($AB472=1,$G472="Yes"),1,0)</f>
        <v>0</v>
      </c>
      <c r="AD472" s="71">
        <f>IF(AND($AB472=1,$N472="MQL"),1,0)</f>
        <v>0</v>
      </c>
      <c r="AE472" s="71">
        <f>IF(AND($AB472=1,$O472="SQL"),1,0)</f>
        <v>0</v>
      </c>
      <c r="AF472" s="71">
        <f>IF(AND($AB472=1,OR($P472="Open",$P472="Won",$P472="Lost")),1,0)</f>
        <v>0</v>
      </c>
      <c r="AG472" s="71">
        <f>IF(AND($AB472=1,OR($M472="Converted",$P472="Won")),1,0)</f>
        <v>0</v>
      </c>
      <c r="AH472" s="71">
        <f>IF($AB472=0,0,IF(AND(OR(fClient="All",$B472=fClient),OR(fCampaign="All",$C472=fCampaign),OR(fTeam="All",$L472=fTeam),OR(fChannel="All",$F472=fChannel),OR(fMonth="All",$AA472=fMonth)),1,0))</f>
        <v>0</v>
      </c>
      <c r="AI472" s="71">
        <f>IF($AB472=0,0,IF(AND(OR(fClient="All",$B472=fClient),OR(fCampaign="All",$C472=fCampaign),OR(fTeam="All",$L472=fTeam),OR(fChannel="All",$F472=fChannel)),1,0))</f>
        <v>0</v>
      </c>
    </row>
    <row r="473">
      <c r="A473" s="63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3" t="n"/>
      <c r="R473" s="63" t="n"/>
      <c r="S473" s="63" t="n"/>
      <c r="T473" s="65" t="n"/>
      <c r="U473" s="65" t="n"/>
      <c r="V473" s="63" t="n"/>
      <c r="W473" s="65" t="n"/>
      <c r="X473" s="69" t="str">
        <f>IF(AND(ISNUMBER($Q473),ISNUMBER($R473)),$R473-$Q473,"")</f>
        <v/>
      </c>
      <c r="Y473" s="71" t="str">
        <f>IF($AB473=1,IF(AND(ISNUMBER($V473),$M473&lt;&gt;"Converted",$M473&lt;&gt;"Rejected"),IF($V473&lt;=ReportDate,"DUE",""),""),"")</f>
        <v/>
      </c>
      <c r="Z473" s="75" t="str">
        <f>IF(ISNUMBER($Q473),$Q473,IF(ISNUMBER($A473),$A473,""))</f>
        <v/>
      </c>
      <c r="AA473" s="71" t="str">
        <f>IF(ISNUMBER($Z473),YEAR($Z473)&amp;"-"&amp;TEXT(MONTH($Z473),"00"),"")</f>
        <v/>
      </c>
      <c r="AB473" s="71">
        <f>IF($H473&lt;&gt;"",1,0)</f>
        <v>0</v>
      </c>
      <c r="AC473" s="71">
        <f>IF(AND($AB473=1,$G473="Yes"),1,0)</f>
        <v>0</v>
      </c>
      <c r="AD473" s="71">
        <f>IF(AND($AB473=1,$N473="MQL"),1,0)</f>
        <v>0</v>
      </c>
      <c r="AE473" s="71">
        <f>IF(AND($AB473=1,$O473="SQL"),1,0)</f>
        <v>0</v>
      </c>
      <c r="AF473" s="71">
        <f>IF(AND($AB473=1,OR($P473="Open",$P473="Won",$P473="Lost")),1,0)</f>
        <v>0</v>
      </c>
      <c r="AG473" s="71">
        <f>IF(AND($AB473=1,OR($M473="Converted",$P473="Won")),1,0)</f>
        <v>0</v>
      </c>
      <c r="AH473" s="71">
        <f>IF($AB473=0,0,IF(AND(OR(fClient="All",$B473=fClient),OR(fCampaign="All",$C473=fCampaign),OR(fTeam="All",$L473=fTeam),OR(fChannel="All",$F473=fChannel),OR(fMonth="All",$AA473=fMonth)),1,0))</f>
        <v>0</v>
      </c>
      <c r="AI473" s="71">
        <f>IF($AB473=0,0,IF(AND(OR(fClient="All",$B473=fClient),OR(fCampaign="All",$C473=fCampaign),OR(fTeam="All",$L473=fTeam),OR(fChannel="All",$F473=fChannel)),1,0))</f>
        <v>0</v>
      </c>
    </row>
    <row r="474">
      <c r="A474" s="63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3" t="n"/>
      <c r="R474" s="63" t="n"/>
      <c r="S474" s="63" t="n"/>
      <c r="T474" s="65" t="n"/>
      <c r="U474" s="65" t="n"/>
      <c r="V474" s="63" t="n"/>
      <c r="W474" s="65" t="n"/>
      <c r="X474" s="69" t="str">
        <f>IF(AND(ISNUMBER($Q474),ISNUMBER($R474)),$R474-$Q474,"")</f>
        <v/>
      </c>
      <c r="Y474" s="71" t="str">
        <f>IF($AB474=1,IF(AND(ISNUMBER($V474),$M474&lt;&gt;"Converted",$M474&lt;&gt;"Rejected"),IF($V474&lt;=ReportDate,"DUE",""),""),"")</f>
        <v/>
      </c>
      <c r="Z474" s="75" t="str">
        <f>IF(ISNUMBER($Q474),$Q474,IF(ISNUMBER($A474),$A474,""))</f>
        <v/>
      </c>
      <c r="AA474" s="71" t="str">
        <f>IF(ISNUMBER($Z474),YEAR($Z474)&amp;"-"&amp;TEXT(MONTH($Z474),"00"),"")</f>
        <v/>
      </c>
      <c r="AB474" s="71">
        <f>IF($H474&lt;&gt;"",1,0)</f>
        <v>0</v>
      </c>
      <c r="AC474" s="71">
        <f>IF(AND($AB474=1,$G474="Yes"),1,0)</f>
        <v>0</v>
      </c>
      <c r="AD474" s="71">
        <f>IF(AND($AB474=1,$N474="MQL"),1,0)</f>
        <v>0</v>
      </c>
      <c r="AE474" s="71">
        <f>IF(AND($AB474=1,$O474="SQL"),1,0)</f>
        <v>0</v>
      </c>
      <c r="AF474" s="71">
        <f>IF(AND($AB474=1,OR($P474="Open",$P474="Won",$P474="Lost")),1,0)</f>
        <v>0</v>
      </c>
      <c r="AG474" s="71">
        <f>IF(AND($AB474=1,OR($M474="Converted",$P474="Won")),1,0)</f>
        <v>0</v>
      </c>
      <c r="AH474" s="71">
        <f>IF($AB474=0,0,IF(AND(OR(fClient="All",$B474=fClient),OR(fCampaign="All",$C474=fCampaign),OR(fTeam="All",$L474=fTeam),OR(fChannel="All",$F474=fChannel),OR(fMonth="All",$AA474=fMonth)),1,0))</f>
        <v>0</v>
      </c>
      <c r="AI474" s="71">
        <f>IF($AB474=0,0,IF(AND(OR(fClient="All",$B474=fClient),OR(fCampaign="All",$C474=fCampaign),OR(fTeam="All",$L474=fTeam),OR(fChannel="All",$F474=fChannel)),1,0))</f>
        <v>0</v>
      </c>
    </row>
    <row r="475">
      <c r="A475" s="63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3" t="n"/>
      <c r="R475" s="63" t="n"/>
      <c r="S475" s="63" t="n"/>
      <c r="T475" s="65" t="n"/>
      <c r="U475" s="65" t="n"/>
      <c r="V475" s="63" t="n"/>
      <c r="W475" s="65" t="n"/>
      <c r="X475" s="69" t="str">
        <f>IF(AND(ISNUMBER($Q475),ISNUMBER($R475)),$R475-$Q475,"")</f>
        <v/>
      </c>
      <c r="Y475" s="71" t="str">
        <f>IF($AB475=1,IF(AND(ISNUMBER($V475),$M475&lt;&gt;"Converted",$M475&lt;&gt;"Rejected"),IF($V475&lt;=ReportDate,"DUE",""),""),"")</f>
        <v/>
      </c>
      <c r="Z475" s="75" t="str">
        <f>IF(ISNUMBER($Q475),$Q475,IF(ISNUMBER($A475),$A475,""))</f>
        <v/>
      </c>
      <c r="AA475" s="71" t="str">
        <f>IF(ISNUMBER($Z475),YEAR($Z475)&amp;"-"&amp;TEXT(MONTH($Z475),"00"),"")</f>
        <v/>
      </c>
      <c r="AB475" s="71">
        <f>IF($H475&lt;&gt;"",1,0)</f>
        <v>0</v>
      </c>
      <c r="AC475" s="71">
        <f>IF(AND($AB475=1,$G475="Yes"),1,0)</f>
        <v>0</v>
      </c>
      <c r="AD475" s="71">
        <f>IF(AND($AB475=1,$N475="MQL"),1,0)</f>
        <v>0</v>
      </c>
      <c r="AE475" s="71">
        <f>IF(AND($AB475=1,$O475="SQL"),1,0)</f>
        <v>0</v>
      </c>
      <c r="AF475" s="71">
        <f>IF(AND($AB475=1,OR($P475="Open",$P475="Won",$P475="Lost")),1,0)</f>
        <v>0</v>
      </c>
      <c r="AG475" s="71">
        <f>IF(AND($AB475=1,OR($M475="Converted",$P475="Won")),1,0)</f>
        <v>0</v>
      </c>
      <c r="AH475" s="71">
        <f>IF($AB475=0,0,IF(AND(OR(fClient="All",$B475=fClient),OR(fCampaign="All",$C475=fCampaign),OR(fTeam="All",$L475=fTeam),OR(fChannel="All",$F475=fChannel),OR(fMonth="All",$AA475=fMonth)),1,0))</f>
        <v>0</v>
      </c>
      <c r="AI475" s="71">
        <f>IF($AB475=0,0,IF(AND(OR(fClient="All",$B475=fClient),OR(fCampaign="All",$C475=fCampaign),OR(fTeam="All",$L475=fTeam),OR(fChannel="All",$F475=fChannel)),1,0))</f>
        <v>0</v>
      </c>
    </row>
    <row r="476">
      <c r="A476" s="63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3" t="n"/>
      <c r="R476" s="63" t="n"/>
      <c r="S476" s="63" t="n"/>
      <c r="T476" s="65" t="n"/>
      <c r="U476" s="65" t="n"/>
      <c r="V476" s="63" t="n"/>
      <c r="W476" s="65" t="n"/>
      <c r="X476" s="69" t="str">
        <f>IF(AND(ISNUMBER($Q476),ISNUMBER($R476)),$R476-$Q476,"")</f>
        <v/>
      </c>
      <c r="Y476" s="71" t="str">
        <f>IF($AB476=1,IF(AND(ISNUMBER($V476),$M476&lt;&gt;"Converted",$M476&lt;&gt;"Rejected"),IF($V476&lt;=ReportDate,"DUE",""),""),"")</f>
        <v/>
      </c>
      <c r="Z476" s="75" t="str">
        <f>IF(ISNUMBER($Q476),$Q476,IF(ISNUMBER($A476),$A476,""))</f>
        <v/>
      </c>
      <c r="AA476" s="71" t="str">
        <f>IF(ISNUMBER($Z476),YEAR($Z476)&amp;"-"&amp;TEXT(MONTH($Z476),"00"),"")</f>
        <v/>
      </c>
      <c r="AB476" s="71">
        <f>IF($H476&lt;&gt;"",1,0)</f>
        <v>0</v>
      </c>
      <c r="AC476" s="71">
        <f>IF(AND($AB476=1,$G476="Yes"),1,0)</f>
        <v>0</v>
      </c>
      <c r="AD476" s="71">
        <f>IF(AND($AB476=1,$N476="MQL"),1,0)</f>
        <v>0</v>
      </c>
      <c r="AE476" s="71">
        <f>IF(AND($AB476=1,$O476="SQL"),1,0)</f>
        <v>0</v>
      </c>
      <c r="AF476" s="71">
        <f>IF(AND($AB476=1,OR($P476="Open",$P476="Won",$P476="Lost")),1,0)</f>
        <v>0</v>
      </c>
      <c r="AG476" s="71">
        <f>IF(AND($AB476=1,OR($M476="Converted",$P476="Won")),1,0)</f>
        <v>0</v>
      </c>
      <c r="AH476" s="71">
        <f>IF($AB476=0,0,IF(AND(OR(fClient="All",$B476=fClient),OR(fCampaign="All",$C476=fCampaign),OR(fTeam="All",$L476=fTeam),OR(fChannel="All",$F476=fChannel),OR(fMonth="All",$AA476=fMonth)),1,0))</f>
        <v>0</v>
      </c>
      <c r="AI476" s="71">
        <f>IF($AB476=0,0,IF(AND(OR(fClient="All",$B476=fClient),OR(fCampaign="All",$C476=fCampaign),OR(fTeam="All",$L476=fTeam),OR(fChannel="All",$F476=fChannel)),1,0))</f>
        <v>0</v>
      </c>
    </row>
    <row r="477">
      <c r="A477" s="63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3" t="n"/>
      <c r="R477" s="63" t="n"/>
      <c r="S477" s="63" t="n"/>
      <c r="T477" s="65" t="n"/>
      <c r="U477" s="65" t="n"/>
      <c r="V477" s="63" t="n"/>
      <c r="W477" s="65" t="n"/>
      <c r="X477" s="69" t="str">
        <f>IF(AND(ISNUMBER($Q477),ISNUMBER($R477)),$R477-$Q477,"")</f>
        <v/>
      </c>
      <c r="Y477" s="71" t="str">
        <f>IF($AB477=1,IF(AND(ISNUMBER($V477),$M477&lt;&gt;"Converted",$M477&lt;&gt;"Rejected"),IF($V477&lt;=ReportDate,"DUE",""),""),"")</f>
        <v/>
      </c>
      <c r="Z477" s="75" t="str">
        <f>IF(ISNUMBER($Q477),$Q477,IF(ISNUMBER($A477),$A477,""))</f>
        <v/>
      </c>
      <c r="AA477" s="71" t="str">
        <f>IF(ISNUMBER($Z477),YEAR($Z477)&amp;"-"&amp;TEXT(MONTH($Z477),"00"),"")</f>
        <v/>
      </c>
      <c r="AB477" s="71">
        <f>IF($H477&lt;&gt;"",1,0)</f>
        <v>0</v>
      </c>
      <c r="AC477" s="71">
        <f>IF(AND($AB477=1,$G477="Yes"),1,0)</f>
        <v>0</v>
      </c>
      <c r="AD477" s="71">
        <f>IF(AND($AB477=1,$N477="MQL"),1,0)</f>
        <v>0</v>
      </c>
      <c r="AE477" s="71">
        <f>IF(AND($AB477=1,$O477="SQL"),1,0)</f>
        <v>0</v>
      </c>
      <c r="AF477" s="71">
        <f>IF(AND($AB477=1,OR($P477="Open",$P477="Won",$P477="Lost")),1,0)</f>
        <v>0</v>
      </c>
      <c r="AG477" s="71">
        <f>IF(AND($AB477=1,OR($M477="Converted",$P477="Won")),1,0)</f>
        <v>0</v>
      </c>
      <c r="AH477" s="71">
        <f>IF($AB477=0,0,IF(AND(OR(fClient="All",$B477=fClient),OR(fCampaign="All",$C477=fCampaign),OR(fTeam="All",$L477=fTeam),OR(fChannel="All",$F477=fChannel),OR(fMonth="All",$AA477=fMonth)),1,0))</f>
        <v>0</v>
      </c>
      <c r="AI477" s="71">
        <f>IF($AB477=0,0,IF(AND(OR(fClient="All",$B477=fClient),OR(fCampaign="All",$C477=fCampaign),OR(fTeam="All",$L477=fTeam),OR(fChannel="All",$F477=fChannel)),1,0))</f>
        <v>0</v>
      </c>
    </row>
    <row r="478">
      <c r="A478" s="63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3" t="n"/>
      <c r="R478" s="63" t="n"/>
      <c r="S478" s="63" t="n"/>
      <c r="T478" s="65" t="n"/>
      <c r="U478" s="65" t="n"/>
      <c r="V478" s="63" t="n"/>
      <c r="W478" s="65" t="n"/>
      <c r="X478" s="69" t="str">
        <f>IF(AND(ISNUMBER($Q478),ISNUMBER($R478)),$R478-$Q478,"")</f>
        <v/>
      </c>
      <c r="Y478" s="71" t="str">
        <f>IF($AB478=1,IF(AND(ISNUMBER($V478),$M478&lt;&gt;"Converted",$M478&lt;&gt;"Rejected"),IF($V478&lt;=ReportDate,"DUE",""),""),"")</f>
        <v/>
      </c>
      <c r="Z478" s="75" t="str">
        <f>IF(ISNUMBER($Q478),$Q478,IF(ISNUMBER($A478),$A478,""))</f>
        <v/>
      </c>
      <c r="AA478" s="71" t="str">
        <f>IF(ISNUMBER($Z478),YEAR($Z478)&amp;"-"&amp;TEXT(MONTH($Z478),"00"),"")</f>
        <v/>
      </c>
      <c r="AB478" s="71">
        <f>IF($H478&lt;&gt;"",1,0)</f>
        <v>0</v>
      </c>
      <c r="AC478" s="71">
        <f>IF(AND($AB478=1,$G478="Yes"),1,0)</f>
        <v>0</v>
      </c>
      <c r="AD478" s="71">
        <f>IF(AND($AB478=1,$N478="MQL"),1,0)</f>
        <v>0</v>
      </c>
      <c r="AE478" s="71">
        <f>IF(AND($AB478=1,$O478="SQL"),1,0)</f>
        <v>0</v>
      </c>
      <c r="AF478" s="71">
        <f>IF(AND($AB478=1,OR($P478="Open",$P478="Won",$P478="Lost")),1,0)</f>
        <v>0</v>
      </c>
      <c r="AG478" s="71">
        <f>IF(AND($AB478=1,OR($M478="Converted",$P478="Won")),1,0)</f>
        <v>0</v>
      </c>
      <c r="AH478" s="71">
        <f>IF($AB478=0,0,IF(AND(OR(fClient="All",$B478=fClient),OR(fCampaign="All",$C478=fCampaign),OR(fTeam="All",$L478=fTeam),OR(fChannel="All",$F478=fChannel),OR(fMonth="All",$AA478=fMonth)),1,0))</f>
        <v>0</v>
      </c>
      <c r="AI478" s="71">
        <f>IF($AB478=0,0,IF(AND(OR(fClient="All",$B478=fClient),OR(fCampaign="All",$C478=fCampaign),OR(fTeam="All",$L478=fTeam),OR(fChannel="All",$F478=fChannel)),1,0))</f>
        <v>0</v>
      </c>
    </row>
    <row r="479">
      <c r="A479" s="63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3" t="n"/>
      <c r="R479" s="63" t="n"/>
      <c r="S479" s="63" t="n"/>
      <c r="T479" s="65" t="n"/>
      <c r="U479" s="65" t="n"/>
      <c r="V479" s="63" t="n"/>
      <c r="W479" s="65" t="n"/>
      <c r="X479" s="69" t="str">
        <f>IF(AND(ISNUMBER($Q479),ISNUMBER($R479)),$R479-$Q479,"")</f>
        <v/>
      </c>
      <c r="Y479" s="71" t="str">
        <f>IF($AB479=1,IF(AND(ISNUMBER($V479),$M479&lt;&gt;"Converted",$M479&lt;&gt;"Rejected"),IF($V479&lt;=ReportDate,"DUE",""),""),"")</f>
        <v/>
      </c>
      <c r="Z479" s="75" t="str">
        <f>IF(ISNUMBER($Q479),$Q479,IF(ISNUMBER($A479),$A479,""))</f>
        <v/>
      </c>
      <c r="AA479" s="71" t="str">
        <f>IF(ISNUMBER($Z479),YEAR($Z479)&amp;"-"&amp;TEXT(MONTH($Z479),"00"),"")</f>
        <v/>
      </c>
      <c r="AB479" s="71">
        <f>IF($H479&lt;&gt;"",1,0)</f>
        <v>0</v>
      </c>
      <c r="AC479" s="71">
        <f>IF(AND($AB479=1,$G479="Yes"),1,0)</f>
        <v>0</v>
      </c>
      <c r="AD479" s="71">
        <f>IF(AND($AB479=1,$N479="MQL"),1,0)</f>
        <v>0</v>
      </c>
      <c r="AE479" s="71">
        <f>IF(AND($AB479=1,$O479="SQL"),1,0)</f>
        <v>0</v>
      </c>
      <c r="AF479" s="71">
        <f>IF(AND($AB479=1,OR($P479="Open",$P479="Won",$P479="Lost")),1,0)</f>
        <v>0</v>
      </c>
      <c r="AG479" s="71">
        <f>IF(AND($AB479=1,OR($M479="Converted",$P479="Won")),1,0)</f>
        <v>0</v>
      </c>
      <c r="AH479" s="71">
        <f>IF($AB479=0,0,IF(AND(OR(fClient="All",$B479=fClient),OR(fCampaign="All",$C479=fCampaign),OR(fTeam="All",$L479=fTeam),OR(fChannel="All",$F479=fChannel),OR(fMonth="All",$AA479=fMonth)),1,0))</f>
        <v>0</v>
      </c>
      <c r="AI479" s="71">
        <f>IF($AB479=0,0,IF(AND(OR(fClient="All",$B479=fClient),OR(fCampaign="All",$C479=fCampaign),OR(fTeam="All",$L479=fTeam),OR(fChannel="All",$F479=fChannel)),1,0))</f>
        <v>0</v>
      </c>
    </row>
    <row r="480">
      <c r="A480" s="63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3" t="n"/>
      <c r="R480" s="63" t="n"/>
      <c r="S480" s="63" t="n"/>
      <c r="T480" s="65" t="n"/>
      <c r="U480" s="65" t="n"/>
      <c r="V480" s="63" t="n"/>
      <c r="W480" s="65" t="n"/>
      <c r="X480" s="69" t="str">
        <f>IF(AND(ISNUMBER($Q480),ISNUMBER($R480)),$R480-$Q480,"")</f>
        <v/>
      </c>
      <c r="Y480" s="71" t="str">
        <f>IF($AB480=1,IF(AND(ISNUMBER($V480),$M480&lt;&gt;"Converted",$M480&lt;&gt;"Rejected"),IF($V480&lt;=ReportDate,"DUE",""),""),"")</f>
        <v/>
      </c>
      <c r="Z480" s="75" t="str">
        <f>IF(ISNUMBER($Q480),$Q480,IF(ISNUMBER($A480),$A480,""))</f>
        <v/>
      </c>
      <c r="AA480" s="71" t="str">
        <f>IF(ISNUMBER($Z480),YEAR($Z480)&amp;"-"&amp;TEXT(MONTH($Z480),"00"),"")</f>
        <v/>
      </c>
      <c r="AB480" s="71">
        <f>IF($H480&lt;&gt;"",1,0)</f>
        <v>0</v>
      </c>
      <c r="AC480" s="71">
        <f>IF(AND($AB480=1,$G480="Yes"),1,0)</f>
        <v>0</v>
      </c>
      <c r="AD480" s="71">
        <f>IF(AND($AB480=1,$N480="MQL"),1,0)</f>
        <v>0</v>
      </c>
      <c r="AE480" s="71">
        <f>IF(AND($AB480=1,$O480="SQL"),1,0)</f>
        <v>0</v>
      </c>
      <c r="AF480" s="71">
        <f>IF(AND($AB480=1,OR($P480="Open",$P480="Won",$P480="Lost")),1,0)</f>
        <v>0</v>
      </c>
      <c r="AG480" s="71">
        <f>IF(AND($AB480=1,OR($M480="Converted",$P480="Won")),1,0)</f>
        <v>0</v>
      </c>
      <c r="AH480" s="71">
        <f>IF($AB480=0,0,IF(AND(OR(fClient="All",$B480=fClient),OR(fCampaign="All",$C480=fCampaign),OR(fTeam="All",$L480=fTeam),OR(fChannel="All",$F480=fChannel),OR(fMonth="All",$AA480=fMonth)),1,0))</f>
        <v>0</v>
      </c>
      <c r="AI480" s="71">
        <f>IF($AB480=0,0,IF(AND(OR(fClient="All",$B480=fClient),OR(fCampaign="All",$C480=fCampaign),OR(fTeam="All",$L480=fTeam),OR(fChannel="All",$F480=fChannel)),1,0))</f>
        <v>0</v>
      </c>
    </row>
    <row r="481">
      <c r="A481" s="63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3" t="n"/>
      <c r="R481" s="63" t="n"/>
      <c r="S481" s="63" t="n"/>
      <c r="T481" s="65" t="n"/>
      <c r="U481" s="65" t="n"/>
      <c r="V481" s="63" t="n"/>
      <c r="W481" s="65" t="n"/>
      <c r="X481" s="69" t="str">
        <f>IF(AND(ISNUMBER($Q481),ISNUMBER($R481)),$R481-$Q481,"")</f>
        <v/>
      </c>
      <c r="Y481" s="71" t="str">
        <f>IF($AB481=1,IF(AND(ISNUMBER($V481),$M481&lt;&gt;"Converted",$M481&lt;&gt;"Rejected"),IF($V481&lt;=ReportDate,"DUE",""),""),"")</f>
        <v/>
      </c>
      <c r="Z481" s="75" t="str">
        <f>IF(ISNUMBER($Q481),$Q481,IF(ISNUMBER($A481),$A481,""))</f>
        <v/>
      </c>
      <c r="AA481" s="71" t="str">
        <f>IF(ISNUMBER($Z481),YEAR($Z481)&amp;"-"&amp;TEXT(MONTH($Z481),"00"),"")</f>
        <v/>
      </c>
      <c r="AB481" s="71">
        <f>IF($H481&lt;&gt;"",1,0)</f>
        <v>0</v>
      </c>
      <c r="AC481" s="71">
        <f>IF(AND($AB481=1,$G481="Yes"),1,0)</f>
        <v>0</v>
      </c>
      <c r="AD481" s="71">
        <f>IF(AND($AB481=1,$N481="MQL"),1,0)</f>
        <v>0</v>
      </c>
      <c r="AE481" s="71">
        <f>IF(AND($AB481=1,$O481="SQL"),1,0)</f>
        <v>0</v>
      </c>
      <c r="AF481" s="71">
        <f>IF(AND($AB481=1,OR($P481="Open",$P481="Won",$P481="Lost")),1,0)</f>
        <v>0</v>
      </c>
      <c r="AG481" s="71">
        <f>IF(AND($AB481=1,OR($M481="Converted",$P481="Won")),1,0)</f>
        <v>0</v>
      </c>
      <c r="AH481" s="71">
        <f>IF($AB481=0,0,IF(AND(OR(fClient="All",$B481=fClient),OR(fCampaign="All",$C481=fCampaign),OR(fTeam="All",$L481=fTeam),OR(fChannel="All",$F481=fChannel),OR(fMonth="All",$AA481=fMonth)),1,0))</f>
        <v>0</v>
      </c>
      <c r="AI481" s="71">
        <f>IF($AB481=0,0,IF(AND(OR(fClient="All",$B481=fClient),OR(fCampaign="All",$C481=fCampaign),OR(fTeam="All",$L481=fTeam),OR(fChannel="All",$F481=fChannel)),1,0))</f>
        <v>0</v>
      </c>
    </row>
    <row r="482">
      <c r="A482" s="63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3" t="n"/>
      <c r="R482" s="63" t="n"/>
      <c r="S482" s="63" t="n"/>
      <c r="T482" s="65" t="n"/>
      <c r="U482" s="65" t="n"/>
      <c r="V482" s="63" t="n"/>
      <c r="W482" s="65" t="n"/>
      <c r="X482" s="69" t="str">
        <f>IF(AND(ISNUMBER($Q482),ISNUMBER($R482)),$R482-$Q482,"")</f>
        <v/>
      </c>
      <c r="Y482" s="71" t="str">
        <f>IF($AB482=1,IF(AND(ISNUMBER($V482),$M482&lt;&gt;"Converted",$M482&lt;&gt;"Rejected"),IF($V482&lt;=ReportDate,"DUE",""),""),"")</f>
        <v/>
      </c>
      <c r="Z482" s="75" t="str">
        <f>IF(ISNUMBER($Q482),$Q482,IF(ISNUMBER($A482),$A482,""))</f>
        <v/>
      </c>
      <c r="AA482" s="71" t="str">
        <f>IF(ISNUMBER($Z482),YEAR($Z482)&amp;"-"&amp;TEXT(MONTH($Z482),"00"),"")</f>
        <v/>
      </c>
      <c r="AB482" s="71">
        <f>IF($H482&lt;&gt;"",1,0)</f>
        <v>0</v>
      </c>
      <c r="AC482" s="71">
        <f>IF(AND($AB482=1,$G482="Yes"),1,0)</f>
        <v>0</v>
      </c>
      <c r="AD482" s="71">
        <f>IF(AND($AB482=1,$N482="MQL"),1,0)</f>
        <v>0</v>
      </c>
      <c r="AE482" s="71">
        <f>IF(AND($AB482=1,$O482="SQL"),1,0)</f>
        <v>0</v>
      </c>
      <c r="AF482" s="71">
        <f>IF(AND($AB482=1,OR($P482="Open",$P482="Won",$P482="Lost")),1,0)</f>
        <v>0</v>
      </c>
      <c r="AG482" s="71">
        <f>IF(AND($AB482=1,OR($M482="Converted",$P482="Won")),1,0)</f>
        <v>0</v>
      </c>
      <c r="AH482" s="71">
        <f>IF($AB482=0,0,IF(AND(OR(fClient="All",$B482=fClient),OR(fCampaign="All",$C482=fCampaign),OR(fTeam="All",$L482=fTeam),OR(fChannel="All",$F482=fChannel),OR(fMonth="All",$AA482=fMonth)),1,0))</f>
        <v>0</v>
      </c>
      <c r="AI482" s="71">
        <f>IF($AB482=0,0,IF(AND(OR(fClient="All",$B482=fClient),OR(fCampaign="All",$C482=fCampaign),OR(fTeam="All",$L482=fTeam),OR(fChannel="All",$F482=fChannel)),1,0))</f>
        <v>0</v>
      </c>
    </row>
    <row r="483">
      <c r="A483" s="63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3" t="n"/>
      <c r="R483" s="63" t="n"/>
      <c r="S483" s="63" t="n"/>
      <c r="T483" s="65" t="n"/>
      <c r="U483" s="65" t="n"/>
      <c r="V483" s="63" t="n"/>
      <c r="W483" s="65" t="n"/>
      <c r="X483" s="69" t="str">
        <f>IF(AND(ISNUMBER($Q483),ISNUMBER($R483)),$R483-$Q483,"")</f>
        <v/>
      </c>
      <c r="Y483" s="71" t="str">
        <f>IF($AB483=1,IF(AND(ISNUMBER($V483),$M483&lt;&gt;"Converted",$M483&lt;&gt;"Rejected"),IF($V483&lt;=ReportDate,"DUE",""),""),"")</f>
        <v/>
      </c>
      <c r="Z483" s="75" t="str">
        <f>IF(ISNUMBER($Q483),$Q483,IF(ISNUMBER($A483),$A483,""))</f>
        <v/>
      </c>
      <c r="AA483" s="71" t="str">
        <f>IF(ISNUMBER($Z483),YEAR($Z483)&amp;"-"&amp;TEXT(MONTH($Z483),"00"),"")</f>
        <v/>
      </c>
      <c r="AB483" s="71">
        <f>IF($H483&lt;&gt;"",1,0)</f>
        <v>0</v>
      </c>
      <c r="AC483" s="71">
        <f>IF(AND($AB483=1,$G483="Yes"),1,0)</f>
        <v>0</v>
      </c>
      <c r="AD483" s="71">
        <f>IF(AND($AB483=1,$N483="MQL"),1,0)</f>
        <v>0</v>
      </c>
      <c r="AE483" s="71">
        <f>IF(AND($AB483=1,$O483="SQL"),1,0)</f>
        <v>0</v>
      </c>
      <c r="AF483" s="71">
        <f>IF(AND($AB483=1,OR($P483="Open",$P483="Won",$P483="Lost")),1,0)</f>
        <v>0</v>
      </c>
      <c r="AG483" s="71">
        <f>IF(AND($AB483=1,OR($M483="Converted",$P483="Won")),1,0)</f>
        <v>0</v>
      </c>
      <c r="AH483" s="71">
        <f>IF($AB483=0,0,IF(AND(OR(fClient="All",$B483=fClient),OR(fCampaign="All",$C483=fCampaign),OR(fTeam="All",$L483=fTeam),OR(fChannel="All",$F483=fChannel),OR(fMonth="All",$AA483=fMonth)),1,0))</f>
        <v>0</v>
      </c>
      <c r="AI483" s="71">
        <f>IF($AB483=0,0,IF(AND(OR(fClient="All",$B483=fClient),OR(fCampaign="All",$C483=fCampaign),OR(fTeam="All",$L483=fTeam),OR(fChannel="All",$F483=fChannel)),1,0))</f>
        <v>0</v>
      </c>
    </row>
    <row r="484">
      <c r="A484" s="63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3" t="n"/>
      <c r="R484" s="63" t="n"/>
      <c r="S484" s="63" t="n"/>
      <c r="T484" s="65" t="n"/>
      <c r="U484" s="65" t="n"/>
      <c r="V484" s="63" t="n"/>
      <c r="W484" s="65" t="n"/>
      <c r="X484" s="69" t="str">
        <f>IF(AND(ISNUMBER($Q484),ISNUMBER($R484)),$R484-$Q484,"")</f>
        <v/>
      </c>
      <c r="Y484" s="71" t="str">
        <f>IF($AB484=1,IF(AND(ISNUMBER($V484),$M484&lt;&gt;"Converted",$M484&lt;&gt;"Rejected"),IF($V484&lt;=ReportDate,"DUE",""),""),"")</f>
        <v/>
      </c>
      <c r="Z484" s="75" t="str">
        <f>IF(ISNUMBER($Q484),$Q484,IF(ISNUMBER($A484),$A484,""))</f>
        <v/>
      </c>
      <c r="AA484" s="71" t="str">
        <f>IF(ISNUMBER($Z484),YEAR($Z484)&amp;"-"&amp;TEXT(MONTH($Z484),"00"),"")</f>
        <v/>
      </c>
      <c r="AB484" s="71">
        <f>IF($H484&lt;&gt;"",1,0)</f>
        <v>0</v>
      </c>
      <c r="AC484" s="71">
        <f>IF(AND($AB484=1,$G484="Yes"),1,0)</f>
        <v>0</v>
      </c>
      <c r="AD484" s="71">
        <f>IF(AND($AB484=1,$N484="MQL"),1,0)</f>
        <v>0</v>
      </c>
      <c r="AE484" s="71">
        <f>IF(AND($AB484=1,$O484="SQL"),1,0)</f>
        <v>0</v>
      </c>
      <c r="AF484" s="71">
        <f>IF(AND($AB484=1,OR($P484="Open",$P484="Won",$P484="Lost")),1,0)</f>
        <v>0</v>
      </c>
      <c r="AG484" s="71">
        <f>IF(AND($AB484=1,OR($M484="Converted",$P484="Won")),1,0)</f>
        <v>0</v>
      </c>
      <c r="AH484" s="71">
        <f>IF($AB484=0,0,IF(AND(OR(fClient="All",$B484=fClient),OR(fCampaign="All",$C484=fCampaign),OR(fTeam="All",$L484=fTeam),OR(fChannel="All",$F484=fChannel),OR(fMonth="All",$AA484=fMonth)),1,0))</f>
        <v>0</v>
      </c>
      <c r="AI484" s="71">
        <f>IF($AB484=0,0,IF(AND(OR(fClient="All",$B484=fClient),OR(fCampaign="All",$C484=fCampaign),OR(fTeam="All",$L484=fTeam),OR(fChannel="All",$F484=fChannel)),1,0))</f>
        <v>0</v>
      </c>
    </row>
    <row r="485">
      <c r="A485" s="63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3" t="n"/>
      <c r="R485" s="63" t="n"/>
      <c r="S485" s="63" t="n"/>
      <c r="T485" s="65" t="n"/>
      <c r="U485" s="65" t="n"/>
      <c r="V485" s="63" t="n"/>
      <c r="W485" s="65" t="n"/>
      <c r="X485" s="69" t="str">
        <f>IF(AND(ISNUMBER($Q485),ISNUMBER($R485)),$R485-$Q485,"")</f>
        <v/>
      </c>
      <c r="Y485" s="71" t="str">
        <f>IF($AB485=1,IF(AND(ISNUMBER($V485),$M485&lt;&gt;"Converted",$M485&lt;&gt;"Rejected"),IF($V485&lt;=ReportDate,"DUE",""),""),"")</f>
        <v/>
      </c>
      <c r="Z485" s="75" t="str">
        <f>IF(ISNUMBER($Q485),$Q485,IF(ISNUMBER($A485),$A485,""))</f>
        <v/>
      </c>
      <c r="AA485" s="71" t="str">
        <f>IF(ISNUMBER($Z485),YEAR($Z485)&amp;"-"&amp;TEXT(MONTH($Z485),"00"),"")</f>
        <v/>
      </c>
      <c r="AB485" s="71">
        <f>IF($H485&lt;&gt;"",1,0)</f>
        <v>0</v>
      </c>
      <c r="AC485" s="71">
        <f>IF(AND($AB485=1,$G485="Yes"),1,0)</f>
        <v>0</v>
      </c>
      <c r="AD485" s="71">
        <f>IF(AND($AB485=1,$N485="MQL"),1,0)</f>
        <v>0</v>
      </c>
      <c r="AE485" s="71">
        <f>IF(AND($AB485=1,$O485="SQL"),1,0)</f>
        <v>0</v>
      </c>
      <c r="AF485" s="71">
        <f>IF(AND($AB485=1,OR($P485="Open",$P485="Won",$P485="Lost")),1,0)</f>
        <v>0</v>
      </c>
      <c r="AG485" s="71">
        <f>IF(AND($AB485=1,OR($M485="Converted",$P485="Won")),1,0)</f>
        <v>0</v>
      </c>
      <c r="AH485" s="71">
        <f>IF($AB485=0,0,IF(AND(OR(fClient="All",$B485=fClient),OR(fCampaign="All",$C485=fCampaign),OR(fTeam="All",$L485=fTeam),OR(fChannel="All",$F485=fChannel),OR(fMonth="All",$AA485=fMonth)),1,0))</f>
        <v>0</v>
      </c>
      <c r="AI485" s="71">
        <f>IF($AB485=0,0,IF(AND(OR(fClient="All",$B485=fClient),OR(fCampaign="All",$C485=fCampaign),OR(fTeam="All",$L485=fTeam),OR(fChannel="All",$F485=fChannel)),1,0))</f>
        <v>0</v>
      </c>
    </row>
    <row r="486">
      <c r="A486" s="63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3" t="n"/>
      <c r="R486" s="63" t="n"/>
      <c r="S486" s="63" t="n"/>
      <c r="T486" s="65" t="n"/>
      <c r="U486" s="65" t="n"/>
      <c r="V486" s="63" t="n"/>
      <c r="W486" s="65" t="n"/>
      <c r="X486" s="69" t="str">
        <f>IF(AND(ISNUMBER($Q486),ISNUMBER($R486)),$R486-$Q486,"")</f>
        <v/>
      </c>
      <c r="Y486" s="71" t="str">
        <f>IF($AB486=1,IF(AND(ISNUMBER($V486),$M486&lt;&gt;"Converted",$M486&lt;&gt;"Rejected"),IF($V486&lt;=ReportDate,"DUE",""),""),"")</f>
        <v/>
      </c>
      <c r="Z486" s="75" t="str">
        <f>IF(ISNUMBER($Q486),$Q486,IF(ISNUMBER($A486),$A486,""))</f>
        <v/>
      </c>
      <c r="AA486" s="71" t="str">
        <f>IF(ISNUMBER($Z486),YEAR($Z486)&amp;"-"&amp;TEXT(MONTH($Z486),"00"),"")</f>
        <v/>
      </c>
      <c r="AB486" s="71">
        <f>IF($H486&lt;&gt;"",1,0)</f>
        <v>0</v>
      </c>
      <c r="AC486" s="71">
        <f>IF(AND($AB486=1,$G486="Yes"),1,0)</f>
        <v>0</v>
      </c>
      <c r="AD486" s="71">
        <f>IF(AND($AB486=1,$N486="MQL"),1,0)</f>
        <v>0</v>
      </c>
      <c r="AE486" s="71">
        <f>IF(AND($AB486=1,$O486="SQL"),1,0)</f>
        <v>0</v>
      </c>
      <c r="AF486" s="71">
        <f>IF(AND($AB486=1,OR($P486="Open",$P486="Won",$P486="Lost")),1,0)</f>
        <v>0</v>
      </c>
      <c r="AG486" s="71">
        <f>IF(AND($AB486=1,OR($M486="Converted",$P486="Won")),1,0)</f>
        <v>0</v>
      </c>
      <c r="AH486" s="71">
        <f>IF($AB486=0,0,IF(AND(OR(fClient="All",$B486=fClient),OR(fCampaign="All",$C486=fCampaign),OR(fTeam="All",$L486=fTeam),OR(fChannel="All",$F486=fChannel),OR(fMonth="All",$AA486=fMonth)),1,0))</f>
        <v>0</v>
      </c>
      <c r="AI486" s="71">
        <f>IF($AB486=0,0,IF(AND(OR(fClient="All",$B486=fClient),OR(fCampaign="All",$C486=fCampaign),OR(fTeam="All",$L486=fTeam),OR(fChannel="All",$F486=fChannel)),1,0))</f>
        <v>0</v>
      </c>
    </row>
    <row r="487">
      <c r="A487" s="63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3" t="n"/>
      <c r="R487" s="63" t="n"/>
      <c r="S487" s="63" t="n"/>
      <c r="T487" s="65" t="n"/>
      <c r="U487" s="65" t="n"/>
      <c r="V487" s="63" t="n"/>
      <c r="W487" s="65" t="n"/>
      <c r="X487" s="69" t="str">
        <f>IF(AND(ISNUMBER($Q487),ISNUMBER($R487)),$R487-$Q487,"")</f>
        <v/>
      </c>
      <c r="Y487" s="71" t="str">
        <f>IF($AB487=1,IF(AND(ISNUMBER($V487),$M487&lt;&gt;"Converted",$M487&lt;&gt;"Rejected"),IF($V487&lt;=ReportDate,"DUE",""),""),"")</f>
        <v/>
      </c>
      <c r="Z487" s="75" t="str">
        <f>IF(ISNUMBER($Q487),$Q487,IF(ISNUMBER($A487),$A487,""))</f>
        <v/>
      </c>
      <c r="AA487" s="71" t="str">
        <f>IF(ISNUMBER($Z487),YEAR($Z487)&amp;"-"&amp;TEXT(MONTH($Z487),"00"),"")</f>
        <v/>
      </c>
      <c r="AB487" s="71">
        <f>IF($H487&lt;&gt;"",1,0)</f>
        <v>0</v>
      </c>
      <c r="AC487" s="71">
        <f>IF(AND($AB487=1,$G487="Yes"),1,0)</f>
        <v>0</v>
      </c>
      <c r="AD487" s="71">
        <f>IF(AND($AB487=1,$N487="MQL"),1,0)</f>
        <v>0</v>
      </c>
      <c r="AE487" s="71">
        <f>IF(AND($AB487=1,$O487="SQL"),1,0)</f>
        <v>0</v>
      </c>
      <c r="AF487" s="71">
        <f>IF(AND($AB487=1,OR($P487="Open",$P487="Won",$P487="Lost")),1,0)</f>
        <v>0</v>
      </c>
      <c r="AG487" s="71">
        <f>IF(AND($AB487=1,OR($M487="Converted",$P487="Won")),1,0)</f>
        <v>0</v>
      </c>
      <c r="AH487" s="71">
        <f>IF($AB487=0,0,IF(AND(OR(fClient="All",$B487=fClient),OR(fCampaign="All",$C487=fCampaign),OR(fTeam="All",$L487=fTeam),OR(fChannel="All",$F487=fChannel),OR(fMonth="All",$AA487=fMonth)),1,0))</f>
        <v>0</v>
      </c>
      <c r="AI487" s="71">
        <f>IF($AB487=0,0,IF(AND(OR(fClient="All",$B487=fClient),OR(fCampaign="All",$C487=fCampaign),OR(fTeam="All",$L487=fTeam),OR(fChannel="All",$F487=fChannel)),1,0))</f>
        <v>0</v>
      </c>
    </row>
    <row r="488">
      <c r="A488" s="63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3" t="n"/>
      <c r="R488" s="63" t="n"/>
      <c r="S488" s="63" t="n"/>
      <c r="T488" s="65" t="n"/>
      <c r="U488" s="65" t="n"/>
      <c r="V488" s="63" t="n"/>
      <c r="W488" s="65" t="n"/>
      <c r="X488" s="69" t="str">
        <f>IF(AND(ISNUMBER($Q488),ISNUMBER($R488)),$R488-$Q488,"")</f>
        <v/>
      </c>
      <c r="Y488" s="71" t="str">
        <f>IF($AB488=1,IF(AND(ISNUMBER($V488),$M488&lt;&gt;"Converted",$M488&lt;&gt;"Rejected"),IF($V488&lt;=ReportDate,"DUE",""),""),"")</f>
        <v/>
      </c>
      <c r="Z488" s="75" t="str">
        <f>IF(ISNUMBER($Q488),$Q488,IF(ISNUMBER($A488),$A488,""))</f>
        <v/>
      </c>
      <c r="AA488" s="71" t="str">
        <f>IF(ISNUMBER($Z488),YEAR($Z488)&amp;"-"&amp;TEXT(MONTH($Z488),"00"),"")</f>
        <v/>
      </c>
      <c r="AB488" s="71">
        <f>IF($H488&lt;&gt;"",1,0)</f>
        <v>0</v>
      </c>
      <c r="AC488" s="71">
        <f>IF(AND($AB488=1,$G488="Yes"),1,0)</f>
        <v>0</v>
      </c>
      <c r="AD488" s="71">
        <f>IF(AND($AB488=1,$N488="MQL"),1,0)</f>
        <v>0</v>
      </c>
      <c r="AE488" s="71">
        <f>IF(AND($AB488=1,$O488="SQL"),1,0)</f>
        <v>0</v>
      </c>
      <c r="AF488" s="71">
        <f>IF(AND($AB488=1,OR($P488="Open",$P488="Won",$P488="Lost")),1,0)</f>
        <v>0</v>
      </c>
      <c r="AG488" s="71">
        <f>IF(AND($AB488=1,OR($M488="Converted",$P488="Won")),1,0)</f>
        <v>0</v>
      </c>
      <c r="AH488" s="71">
        <f>IF($AB488=0,0,IF(AND(OR(fClient="All",$B488=fClient),OR(fCampaign="All",$C488=fCampaign),OR(fTeam="All",$L488=fTeam),OR(fChannel="All",$F488=fChannel),OR(fMonth="All",$AA488=fMonth)),1,0))</f>
        <v>0</v>
      </c>
      <c r="AI488" s="71">
        <f>IF($AB488=0,0,IF(AND(OR(fClient="All",$B488=fClient),OR(fCampaign="All",$C488=fCampaign),OR(fTeam="All",$L488=fTeam),OR(fChannel="All",$F488=fChannel)),1,0))</f>
        <v>0</v>
      </c>
    </row>
    <row r="489">
      <c r="A489" s="63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3" t="n"/>
      <c r="R489" s="63" t="n"/>
      <c r="S489" s="63" t="n"/>
      <c r="T489" s="65" t="n"/>
      <c r="U489" s="65" t="n"/>
      <c r="V489" s="63" t="n"/>
      <c r="W489" s="65" t="n"/>
      <c r="X489" s="69" t="str">
        <f>IF(AND(ISNUMBER($Q489),ISNUMBER($R489)),$R489-$Q489,"")</f>
        <v/>
      </c>
      <c r="Y489" s="71" t="str">
        <f>IF($AB489=1,IF(AND(ISNUMBER($V489),$M489&lt;&gt;"Converted",$M489&lt;&gt;"Rejected"),IF($V489&lt;=ReportDate,"DUE",""),""),"")</f>
        <v/>
      </c>
      <c r="Z489" s="75" t="str">
        <f>IF(ISNUMBER($Q489),$Q489,IF(ISNUMBER($A489),$A489,""))</f>
        <v/>
      </c>
      <c r="AA489" s="71" t="str">
        <f>IF(ISNUMBER($Z489),YEAR($Z489)&amp;"-"&amp;TEXT(MONTH($Z489),"00"),"")</f>
        <v/>
      </c>
      <c r="AB489" s="71">
        <f>IF($H489&lt;&gt;"",1,0)</f>
        <v>0</v>
      </c>
      <c r="AC489" s="71">
        <f>IF(AND($AB489=1,$G489="Yes"),1,0)</f>
        <v>0</v>
      </c>
      <c r="AD489" s="71">
        <f>IF(AND($AB489=1,$N489="MQL"),1,0)</f>
        <v>0</v>
      </c>
      <c r="AE489" s="71">
        <f>IF(AND($AB489=1,$O489="SQL"),1,0)</f>
        <v>0</v>
      </c>
      <c r="AF489" s="71">
        <f>IF(AND($AB489=1,OR($P489="Open",$P489="Won",$P489="Lost")),1,0)</f>
        <v>0</v>
      </c>
      <c r="AG489" s="71">
        <f>IF(AND($AB489=1,OR($M489="Converted",$P489="Won")),1,0)</f>
        <v>0</v>
      </c>
      <c r="AH489" s="71">
        <f>IF($AB489=0,0,IF(AND(OR(fClient="All",$B489=fClient),OR(fCampaign="All",$C489=fCampaign),OR(fTeam="All",$L489=fTeam),OR(fChannel="All",$F489=fChannel),OR(fMonth="All",$AA489=fMonth)),1,0))</f>
        <v>0</v>
      </c>
      <c r="AI489" s="71">
        <f>IF($AB489=0,0,IF(AND(OR(fClient="All",$B489=fClient),OR(fCampaign="All",$C489=fCampaign),OR(fTeam="All",$L489=fTeam),OR(fChannel="All",$F489=fChannel)),1,0))</f>
        <v>0</v>
      </c>
    </row>
    <row r="490">
      <c r="A490" s="63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3" t="n"/>
      <c r="R490" s="63" t="n"/>
      <c r="S490" s="63" t="n"/>
      <c r="T490" s="65" t="n"/>
      <c r="U490" s="65" t="n"/>
      <c r="V490" s="63" t="n"/>
      <c r="W490" s="65" t="n"/>
      <c r="X490" s="69" t="str">
        <f>IF(AND(ISNUMBER($Q490),ISNUMBER($R490)),$R490-$Q490,"")</f>
        <v/>
      </c>
      <c r="Y490" s="71" t="str">
        <f>IF($AB490=1,IF(AND(ISNUMBER($V490),$M490&lt;&gt;"Converted",$M490&lt;&gt;"Rejected"),IF($V490&lt;=ReportDate,"DUE",""),""),"")</f>
        <v/>
      </c>
      <c r="Z490" s="75" t="str">
        <f>IF(ISNUMBER($Q490),$Q490,IF(ISNUMBER($A490),$A490,""))</f>
        <v/>
      </c>
      <c r="AA490" s="71" t="str">
        <f>IF(ISNUMBER($Z490),YEAR($Z490)&amp;"-"&amp;TEXT(MONTH($Z490),"00"),"")</f>
        <v/>
      </c>
      <c r="AB490" s="71">
        <f>IF($H490&lt;&gt;"",1,0)</f>
        <v>0</v>
      </c>
      <c r="AC490" s="71">
        <f>IF(AND($AB490=1,$G490="Yes"),1,0)</f>
        <v>0</v>
      </c>
      <c r="AD490" s="71">
        <f>IF(AND($AB490=1,$N490="MQL"),1,0)</f>
        <v>0</v>
      </c>
      <c r="AE490" s="71">
        <f>IF(AND($AB490=1,$O490="SQL"),1,0)</f>
        <v>0</v>
      </c>
      <c r="AF490" s="71">
        <f>IF(AND($AB490=1,OR($P490="Open",$P490="Won",$P490="Lost")),1,0)</f>
        <v>0</v>
      </c>
      <c r="AG490" s="71">
        <f>IF(AND($AB490=1,OR($M490="Converted",$P490="Won")),1,0)</f>
        <v>0</v>
      </c>
      <c r="AH490" s="71">
        <f>IF($AB490=0,0,IF(AND(OR(fClient="All",$B490=fClient),OR(fCampaign="All",$C490=fCampaign),OR(fTeam="All",$L490=fTeam),OR(fChannel="All",$F490=fChannel),OR(fMonth="All",$AA490=fMonth)),1,0))</f>
        <v>0</v>
      </c>
      <c r="AI490" s="71">
        <f>IF($AB490=0,0,IF(AND(OR(fClient="All",$B490=fClient),OR(fCampaign="All",$C490=fCampaign),OR(fTeam="All",$L490=fTeam),OR(fChannel="All",$F490=fChannel)),1,0))</f>
        <v>0</v>
      </c>
    </row>
    <row r="491">
      <c r="A491" s="63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3" t="n"/>
      <c r="R491" s="63" t="n"/>
      <c r="S491" s="63" t="n"/>
      <c r="T491" s="65" t="n"/>
      <c r="U491" s="65" t="n"/>
      <c r="V491" s="63" t="n"/>
      <c r="W491" s="65" t="n"/>
      <c r="X491" s="69" t="str">
        <f>IF(AND(ISNUMBER($Q491),ISNUMBER($R491)),$R491-$Q491,"")</f>
        <v/>
      </c>
      <c r="Y491" s="71" t="str">
        <f>IF($AB491=1,IF(AND(ISNUMBER($V491),$M491&lt;&gt;"Converted",$M491&lt;&gt;"Rejected"),IF($V491&lt;=ReportDate,"DUE",""),""),"")</f>
        <v/>
      </c>
      <c r="Z491" s="75" t="str">
        <f>IF(ISNUMBER($Q491),$Q491,IF(ISNUMBER($A491),$A491,""))</f>
        <v/>
      </c>
      <c r="AA491" s="71" t="str">
        <f>IF(ISNUMBER($Z491),YEAR($Z491)&amp;"-"&amp;TEXT(MONTH($Z491),"00"),"")</f>
        <v/>
      </c>
      <c r="AB491" s="71">
        <f>IF($H491&lt;&gt;"",1,0)</f>
        <v>0</v>
      </c>
      <c r="AC491" s="71">
        <f>IF(AND($AB491=1,$G491="Yes"),1,0)</f>
        <v>0</v>
      </c>
      <c r="AD491" s="71">
        <f>IF(AND($AB491=1,$N491="MQL"),1,0)</f>
        <v>0</v>
      </c>
      <c r="AE491" s="71">
        <f>IF(AND($AB491=1,$O491="SQL"),1,0)</f>
        <v>0</v>
      </c>
      <c r="AF491" s="71">
        <f>IF(AND($AB491=1,OR($P491="Open",$P491="Won",$P491="Lost")),1,0)</f>
        <v>0</v>
      </c>
      <c r="AG491" s="71">
        <f>IF(AND($AB491=1,OR($M491="Converted",$P491="Won")),1,0)</f>
        <v>0</v>
      </c>
      <c r="AH491" s="71">
        <f>IF($AB491=0,0,IF(AND(OR(fClient="All",$B491=fClient),OR(fCampaign="All",$C491=fCampaign),OR(fTeam="All",$L491=fTeam),OR(fChannel="All",$F491=fChannel),OR(fMonth="All",$AA491=fMonth)),1,0))</f>
        <v>0</v>
      </c>
      <c r="AI491" s="71">
        <f>IF($AB491=0,0,IF(AND(OR(fClient="All",$B491=fClient),OR(fCampaign="All",$C491=fCampaign),OR(fTeam="All",$L491=fTeam),OR(fChannel="All",$F491=fChannel)),1,0))</f>
        <v>0</v>
      </c>
    </row>
    <row r="492">
      <c r="A492" s="63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3" t="n"/>
      <c r="R492" s="63" t="n"/>
      <c r="S492" s="63" t="n"/>
      <c r="T492" s="65" t="n"/>
      <c r="U492" s="65" t="n"/>
      <c r="V492" s="63" t="n"/>
      <c r="W492" s="65" t="n"/>
      <c r="X492" s="69" t="str">
        <f>IF(AND(ISNUMBER($Q492),ISNUMBER($R492)),$R492-$Q492,"")</f>
        <v/>
      </c>
      <c r="Y492" s="71" t="str">
        <f>IF($AB492=1,IF(AND(ISNUMBER($V492),$M492&lt;&gt;"Converted",$M492&lt;&gt;"Rejected"),IF($V492&lt;=ReportDate,"DUE",""),""),"")</f>
        <v/>
      </c>
      <c r="Z492" s="75" t="str">
        <f>IF(ISNUMBER($Q492),$Q492,IF(ISNUMBER($A492),$A492,""))</f>
        <v/>
      </c>
      <c r="AA492" s="71" t="str">
        <f>IF(ISNUMBER($Z492),YEAR($Z492)&amp;"-"&amp;TEXT(MONTH($Z492),"00"),"")</f>
        <v/>
      </c>
      <c r="AB492" s="71">
        <f>IF($H492&lt;&gt;"",1,0)</f>
        <v>0</v>
      </c>
      <c r="AC492" s="71">
        <f>IF(AND($AB492=1,$G492="Yes"),1,0)</f>
        <v>0</v>
      </c>
      <c r="AD492" s="71">
        <f>IF(AND($AB492=1,$N492="MQL"),1,0)</f>
        <v>0</v>
      </c>
      <c r="AE492" s="71">
        <f>IF(AND($AB492=1,$O492="SQL"),1,0)</f>
        <v>0</v>
      </c>
      <c r="AF492" s="71">
        <f>IF(AND($AB492=1,OR($P492="Open",$P492="Won",$P492="Lost")),1,0)</f>
        <v>0</v>
      </c>
      <c r="AG492" s="71">
        <f>IF(AND($AB492=1,OR($M492="Converted",$P492="Won")),1,0)</f>
        <v>0</v>
      </c>
      <c r="AH492" s="71">
        <f>IF($AB492=0,0,IF(AND(OR(fClient="All",$B492=fClient),OR(fCampaign="All",$C492=fCampaign),OR(fTeam="All",$L492=fTeam),OR(fChannel="All",$F492=fChannel),OR(fMonth="All",$AA492=fMonth)),1,0))</f>
        <v>0</v>
      </c>
      <c r="AI492" s="71">
        <f>IF($AB492=0,0,IF(AND(OR(fClient="All",$B492=fClient),OR(fCampaign="All",$C492=fCampaign),OR(fTeam="All",$L492=fTeam),OR(fChannel="All",$F492=fChannel)),1,0))</f>
        <v>0</v>
      </c>
    </row>
    <row r="493">
      <c r="A493" s="63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3" t="n"/>
      <c r="R493" s="63" t="n"/>
      <c r="S493" s="63" t="n"/>
      <c r="T493" s="65" t="n"/>
      <c r="U493" s="65" t="n"/>
      <c r="V493" s="63" t="n"/>
      <c r="W493" s="65" t="n"/>
      <c r="X493" s="69" t="str">
        <f>IF(AND(ISNUMBER($Q493),ISNUMBER($R493)),$R493-$Q493,"")</f>
        <v/>
      </c>
      <c r="Y493" s="71" t="str">
        <f>IF($AB493=1,IF(AND(ISNUMBER($V493),$M493&lt;&gt;"Converted",$M493&lt;&gt;"Rejected"),IF($V493&lt;=ReportDate,"DUE",""),""),"")</f>
        <v/>
      </c>
      <c r="Z493" s="75" t="str">
        <f>IF(ISNUMBER($Q493),$Q493,IF(ISNUMBER($A493),$A493,""))</f>
        <v/>
      </c>
      <c r="AA493" s="71" t="str">
        <f>IF(ISNUMBER($Z493),YEAR($Z493)&amp;"-"&amp;TEXT(MONTH($Z493),"00"),"")</f>
        <v/>
      </c>
      <c r="AB493" s="71">
        <f>IF($H493&lt;&gt;"",1,0)</f>
        <v>0</v>
      </c>
      <c r="AC493" s="71">
        <f>IF(AND($AB493=1,$G493="Yes"),1,0)</f>
        <v>0</v>
      </c>
      <c r="AD493" s="71">
        <f>IF(AND($AB493=1,$N493="MQL"),1,0)</f>
        <v>0</v>
      </c>
      <c r="AE493" s="71">
        <f>IF(AND($AB493=1,$O493="SQL"),1,0)</f>
        <v>0</v>
      </c>
      <c r="AF493" s="71">
        <f>IF(AND($AB493=1,OR($P493="Open",$P493="Won",$P493="Lost")),1,0)</f>
        <v>0</v>
      </c>
      <c r="AG493" s="71">
        <f>IF(AND($AB493=1,OR($M493="Converted",$P493="Won")),1,0)</f>
        <v>0</v>
      </c>
      <c r="AH493" s="71">
        <f>IF($AB493=0,0,IF(AND(OR(fClient="All",$B493=fClient),OR(fCampaign="All",$C493=fCampaign),OR(fTeam="All",$L493=fTeam),OR(fChannel="All",$F493=fChannel),OR(fMonth="All",$AA493=fMonth)),1,0))</f>
        <v>0</v>
      </c>
      <c r="AI493" s="71">
        <f>IF($AB493=0,0,IF(AND(OR(fClient="All",$B493=fClient),OR(fCampaign="All",$C493=fCampaign),OR(fTeam="All",$L493=fTeam),OR(fChannel="All",$F493=fChannel)),1,0))</f>
        <v>0</v>
      </c>
    </row>
    <row r="494">
      <c r="A494" s="63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3" t="n"/>
      <c r="R494" s="63" t="n"/>
      <c r="S494" s="63" t="n"/>
      <c r="T494" s="65" t="n"/>
      <c r="U494" s="65" t="n"/>
      <c r="V494" s="63" t="n"/>
      <c r="W494" s="65" t="n"/>
      <c r="X494" s="69" t="str">
        <f>IF(AND(ISNUMBER($Q494),ISNUMBER($R494)),$R494-$Q494,"")</f>
        <v/>
      </c>
      <c r="Y494" s="71" t="str">
        <f>IF($AB494=1,IF(AND(ISNUMBER($V494),$M494&lt;&gt;"Converted",$M494&lt;&gt;"Rejected"),IF($V494&lt;=ReportDate,"DUE",""),""),"")</f>
        <v/>
      </c>
      <c r="Z494" s="75" t="str">
        <f>IF(ISNUMBER($Q494),$Q494,IF(ISNUMBER($A494),$A494,""))</f>
        <v/>
      </c>
      <c r="AA494" s="71" t="str">
        <f>IF(ISNUMBER($Z494),YEAR($Z494)&amp;"-"&amp;TEXT(MONTH($Z494),"00"),"")</f>
        <v/>
      </c>
      <c r="AB494" s="71">
        <f>IF($H494&lt;&gt;"",1,0)</f>
        <v>0</v>
      </c>
      <c r="AC494" s="71">
        <f>IF(AND($AB494=1,$G494="Yes"),1,0)</f>
        <v>0</v>
      </c>
      <c r="AD494" s="71">
        <f>IF(AND($AB494=1,$N494="MQL"),1,0)</f>
        <v>0</v>
      </c>
      <c r="AE494" s="71">
        <f>IF(AND($AB494=1,$O494="SQL"),1,0)</f>
        <v>0</v>
      </c>
      <c r="AF494" s="71">
        <f>IF(AND($AB494=1,OR($P494="Open",$P494="Won",$P494="Lost")),1,0)</f>
        <v>0</v>
      </c>
      <c r="AG494" s="71">
        <f>IF(AND($AB494=1,OR($M494="Converted",$P494="Won")),1,0)</f>
        <v>0</v>
      </c>
      <c r="AH494" s="71">
        <f>IF($AB494=0,0,IF(AND(OR(fClient="All",$B494=fClient),OR(fCampaign="All",$C494=fCampaign),OR(fTeam="All",$L494=fTeam),OR(fChannel="All",$F494=fChannel),OR(fMonth="All",$AA494=fMonth)),1,0))</f>
        <v>0</v>
      </c>
      <c r="AI494" s="71">
        <f>IF($AB494=0,0,IF(AND(OR(fClient="All",$B494=fClient),OR(fCampaign="All",$C494=fCampaign),OR(fTeam="All",$L494=fTeam),OR(fChannel="All",$F494=fChannel)),1,0))</f>
        <v>0</v>
      </c>
    </row>
    <row r="495">
      <c r="A495" s="63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3" t="n"/>
      <c r="R495" s="63" t="n"/>
      <c r="S495" s="63" t="n"/>
      <c r="T495" s="65" t="n"/>
      <c r="U495" s="65" t="n"/>
      <c r="V495" s="63" t="n"/>
      <c r="W495" s="65" t="n"/>
      <c r="X495" s="69" t="str">
        <f>IF(AND(ISNUMBER($Q495),ISNUMBER($R495)),$R495-$Q495,"")</f>
        <v/>
      </c>
      <c r="Y495" s="71" t="str">
        <f>IF($AB495=1,IF(AND(ISNUMBER($V495),$M495&lt;&gt;"Converted",$M495&lt;&gt;"Rejected"),IF($V495&lt;=ReportDate,"DUE",""),""),"")</f>
        <v/>
      </c>
      <c r="Z495" s="75" t="str">
        <f>IF(ISNUMBER($Q495),$Q495,IF(ISNUMBER($A495),$A495,""))</f>
        <v/>
      </c>
      <c r="AA495" s="71" t="str">
        <f>IF(ISNUMBER($Z495),YEAR($Z495)&amp;"-"&amp;TEXT(MONTH($Z495),"00"),"")</f>
        <v/>
      </c>
      <c r="AB495" s="71">
        <f>IF($H495&lt;&gt;"",1,0)</f>
        <v>0</v>
      </c>
      <c r="AC495" s="71">
        <f>IF(AND($AB495=1,$G495="Yes"),1,0)</f>
        <v>0</v>
      </c>
      <c r="AD495" s="71">
        <f>IF(AND($AB495=1,$N495="MQL"),1,0)</f>
        <v>0</v>
      </c>
      <c r="AE495" s="71">
        <f>IF(AND($AB495=1,$O495="SQL"),1,0)</f>
        <v>0</v>
      </c>
      <c r="AF495" s="71">
        <f>IF(AND($AB495=1,OR($P495="Open",$P495="Won",$P495="Lost")),1,0)</f>
        <v>0</v>
      </c>
      <c r="AG495" s="71">
        <f>IF(AND($AB495=1,OR($M495="Converted",$P495="Won")),1,0)</f>
        <v>0</v>
      </c>
      <c r="AH495" s="71">
        <f>IF($AB495=0,0,IF(AND(OR(fClient="All",$B495=fClient),OR(fCampaign="All",$C495=fCampaign),OR(fTeam="All",$L495=fTeam),OR(fChannel="All",$F495=fChannel),OR(fMonth="All",$AA495=fMonth)),1,0))</f>
        <v>0</v>
      </c>
      <c r="AI495" s="71">
        <f>IF($AB495=0,0,IF(AND(OR(fClient="All",$B495=fClient),OR(fCampaign="All",$C495=fCampaign),OR(fTeam="All",$L495=fTeam),OR(fChannel="All",$F495=fChannel)),1,0))</f>
        <v>0</v>
      </c>
    </row>
    <row r="496">
      <c r="A496" s="63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3" t="n"/>
      <c r="R496" s="63" t="n"/>
      <c r="S496" s="63" t="n"/>
      <c r="T496" s="65" t="n"/>
      <c r="U496" s="65" t="n"/>
      <c r="V496" s="63" t="n"/>
      <c r="W496" s="65" t="n"/>
      <c r="X496" s="69" t="str">
        <f>IF(AND(ISNUMBER($Q496),ISNUMBER($R496)),$R496-$Q496,"")</f>
        <v/>
      </c>
      <c r="Y496" s="71" t="str">
        <f>IF($AB496=1,IF(AND(ISNUMBER($V496),$M496&lt;&gt;"Converted",$M496&lt;&gt;"Rejected"),IF($V496&lt;=ReportDate,"DUE",""),""),"")</f>
        <v/>
      </c>
      <c r="Z496" s="75" t="str">
        <f>IF(ISNUMBER($Q496),$Q496,IF(ISNUMBER($A496),$A496,""))</f>
        <v/>
      </c>
      <c r="AA496" s="71" t="str">
        <f>IF(ISNUMBER($Z496),YEAR($Z496)&amp;"-"&amp;TEXT(MONTH($Z496),"00"),"")</f>
        <v/>
      </c>
      <c r="AB496" s="71">
        <f>IF($H496&lt;&gt;"",1,0)</f>
        <v>0</v>
      </c>
      <c r="AC496" s="71">
        <f>IF(AND($AB496=1,$G496="Yes"),1,0)</f>
        <v>0</v>
      </c>
      <c r="AD496" s="71">
        <f>IF(AND($AB496=1,$N496="MQL"),1,0)</f>
        <v>0</v>
      </c>
      <c r="AE496" s="71">
        <f>IF(AND($AB496=1,$O496="SQL"),1,0)</f>
        <v>0</v>
      </c>
      <c r="AF496" s="71">
        <f>IF(AND($AB496=1,OR($P496="Open",$P496="Won",$P496="Lost")),1,0)</f>
        <v>0</v>
      </c>
      <c r="AG496" s="71">
        <f>IF(AND($AB496=1,OR($M496="Converted",$P496="Won")),1,0)</f>
        <v>0</v>
      </c>
      <c r="AH496" s="71">
        <f>IF($AB496=0,0,IF(AND(OR(fClient="All",$B496=fClient),OR(fCampaign="All",$C496=fCampaign),OR(fTeam="All",$L496=fTeam),OR(fChannel="All",$F496=fChannel),OR(fMonth="All",$AA496=fMonth)),1,0))</f>
        <v>0</v>
      </c>
      <c r="AI496" s="71">
        <f>IF($AB496=0,0,IF(AND(OR(fClient="All",$B496=fClient),OR(fCampaign="All",$C496=fCampaign),OR(fTeam="All",$L496=fTeam),OR(fChannel="All",$F496=fChannel)),1,0))</f>
        <v>0</v>
      </c>
    </row>
    <row r="497">
      <c r="A497" s="63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3" t="n"/>
      <c r="R497" s="63" t="n"/>
      <c r="S497" s="63" t="n"/>
      <c r="T497" s="65" t="n"/>
      <c r="U497" s="65" t="n"/>
      <c r="V497" s="63" t="n"/>
      <c r="W497" s="65" t="n"/>
      <c r="X497" s="69" t="str">
        <f>IF(AND(ISNUMBER($Q497),ISNUMBER($R497)),$R497-$Q497,"")</f>
        <v/>
      </c>
      <c r="Y497" s="71" t="str">
        <f>IF($AB497=1,IF(AND(ISNUMBER($V497),$M497&lt;&gt;"Converted",$M497&lt;&gt;"Rejected"),IF($V497&lt;=ReportDate,"DUE",""),""),"")</f>
        <v/>
      </c>
      <c r="Z497" s="75" t="str">
        <f>IF(ISNUMBER($Q497),$Q497,IF(ISNUMBER($A497),$A497,""))</f>
        <v/>
      </c>
      <c r="AA497" s="71" t="str">
        <f>IF(ISNUMBER($Z497),YEAR($Z497)&amp;"-"&amp;TEXT(MONTH($Z497),"00"),"")</f>
        <v/>
      </c>
      <c r="AB497" s="71">
        <f>IF($H497&lt;&gt;"",1,0)</f>
        <v>0</v>
      </c>
      <c r="AC497" s="71">
        <f>IF(AND($AB497=1,$G497="Yes"),1,0)</f>
        <v>0</v>
      </c>
      <c r="AD497" s="71">
        <f>IF(AND($AB497=1,$N497="MQL"),1,0)</f>
        <v>0</v>
      </c>
      <c r="AE497" s="71">
        <f>IF(AND($AB497=1,$O497="SQL"),1,0)</f>
        <v>0</v>
      </c>
      <c r="AF497" s="71">
        <f>IF(AND($AB497=1,OR($P497="Open",$P497="Won",$P497="Lost")),1,0)</f>
        <v>0</v>
      </c>
      <c r="AG497" s="71">
        <f>IF(AND($AB497=1,OR($M497="Converted",$P497="Won")),1,0)</f>
        <v>0</v>
      </c>
      <c r="AH497" s="71">
        <f>IF($AB497=0,0,IF(AND(OR(fClient="All",$B497=fClient),OR(fCampaign="All",$C497=fCampaign),OR(fTeam="All",$L497=fTeam),OR(fChannel="All",$F497=fChannel),OR(fMonth="All",$AA497=fMonth)),1,0))</f>
        <v>0</v>
      </c>
      <c r="AI497" s="71">
        <f>IF($AB497=0,0,IF(AND(OR(fClient="All",$B497=fClient),OR(fCampaign="All",$C497=fCampaign),OR(fTeam="All",$L497=fTeam),OR(fChannel="All",$F497=fChannel)),1,0))</f>
        <v>0</v>
      </c>
    </row>
    <row r="498">
      <c r="A498" s="63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3" t="n"/>
      <c r="R498" s="63" t="n"/>
      <c r="S498" s="63" t="n"/>
      <c r="T498" s="65" t="n"/>
      <c r="U498" s="65" t="n"/>
      <c r="V498" s="63" t="n"/>
      <c r="W498" s="65" t="n"/>
      <c r="X498" s="69" t="str">
        <f>IF(AND(ISNUMBER($Q498),ISNUMBER($R498)),$R498-$Q498,"")</f>
        <v/>
      </c>
      <c r="Y498" s="71" t="str">
        <f>IF($AB498=1,IF(AND(ISNUMBER($V498),$M498&lt;&gt;"Converted",$M498&lt;&gt;"Rejected"),IF($V498&lt;=ReportDate,"DUE",""),""),"")</f>
        <v/>
      </c>
      <c r="Z498" s="75" t="str">
        <f>IF(ISNUMBER($Q498),$Q498,IF(ISNUMBER($A498),$A498,""))</f>
        <v/>
      </c>
      <c r="AA498" s="71" t="str">
        <f>IF(ISNUMBER($Z498),YEAR($Z498)&amp;"-"&amp;TEXT(MONTH($Z498),"00"),"")</f>
        <v/>
      </c>
      <c r="AB498" s="71">
        <f>IF($H498&lt;&gt;"",1,0)</f>
        <v>0</v>
      </c>
      <c r="AC498" s="71">
        <f>IF(AND($AB498=1,$G498="Yes"),1,0)</f>
        <v>0</v>
      </c>
      <c r="AD498" s="71">
        <f>IF(AND($AB498=1,$N498="MQL"),1,0)</f>
        <v>0</v>
      </c>
      <c r="AE498" s="71">
        <f>IF(AND($AB498=1,$O498="SQL"),1,0)</f>
        <v>0</v>
      </c>
      <c r="AF498" s="71">
        <f>IF(AND($AB498=1,OR($P498="Open",$P498="Won",$P498="Lost")),1,0)</f>
        <v>0</v>
      </c>
      <c r="AG498" s="71">
        <f>IF(AND($AB498=1,OR($M498="Converted",$P498="Won")),1,0)</f>
        <v>0</v>
      </c>
      <c r="AH498" s="71">
        <f>IF($AB498=0,0,IF(AND(OR(fClient="All",$B498=fClient),OR(fCampaign="All",$C498=fCampaign),OR(fTeam="All",$L498=fTeam),OR(fChannel="All",$F498=fChannel),OR(fMonth="All",$AA498=fMonth)),1,0))</f>
        <v>0</v>
      </c>
      <c r="AI498" s="71">
        <f>IF($AB498=0,0,IF(AND(OR(fClient="All",$B498=fClient),OR(fCampaign="All",$C498=fCampaign),OR(fTeam="All",$L498=fTeam),OR(fChannel="All",$F498=fChannel)),1,0))</f>
        <v>0</v>
      </c>
    </row>
    <row r="499">
      <c r="A499" s="63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3" t="n"/>
      <c r="R499" s="63" t="n"/>
      <c r="S499" s="63" t="n"/>
      <c r="T499" s="65" t="n"/>
      <c r="U499" s="65" t="n"/>
      <c r="V499" s="63" t="n"/>
      <c r="W499" s="65" t="n"/>
      <c r="X499" s="69" t="str">
        <f>IF(AND(ISNUMBER($Q499),ISNUMBER($R499)),$R499-$Q499,"")</f>
        <v/>
      </c>
      <c r="Y499" s="71" t="str">
        <f>IF($AB499=1,IF(AND(ISNUMBER($V499),$M499&lt;&gt;"Converted",$M499&lt;&gt;"Rejected"),IF($V499&lt;=ReportDate,"DUE",""),""),"")</f>
        <v/>
      </c>
      <c r="Z499" s="75" t="str">
        <f>IF(ISNUMBER($Q499),$Q499,IF(ISNUMBER($A499),$A499,""))</f>
        <v/>
      </c>
      <c r="AA499" s="71" t="str">
        <f>IF(ISNUMBER($Z499),YEAR($Z499)&amp;"-"&amp;TEXT(MONTH($Z499),"00"),"")</f>
        <v/>
      </c>
      <c r="AB499" s="71">
        <f>IF($H499&lt;&gt;"",1,0)</f>
        <v>0</v>
      </c>
      <c r="AC499" s="71">
        <f>IF(AND($AB499=1,$G499="Yes"),1,0)</f>
        <v>0</v>
      </c>
      <c r="AD499" s="71">
        <f>IF(AND($AB499=1,$N499="MQL"),1,0)</f>
        <v>0</v>
      </c>
      <c r="AE499" s="71">
        <f>IF(AND($AB499=1,$O499="SQL"),1,0)</f>
        <v>0</v>
      </c>
      <c r="AF499" s="71">
        <f>IF(AND($AB499=1,OR($P499="Open",$P499="Won",$P499="Lost")),1,0)</f>
        <v>0</v>
      </c>
      <c r="AG499" s="71">
        <f>IF(AND($AB499=1,OR($M499="Converted",$P499="Won")),1,0)</f>
        <v>0</v>
      </c>
      <c r="AH499" s="71">
        <f>IF($AB499=0,0,IF(AND(OR(fClient="All",$B499=fClient),OR(fCampaign="All",$C499=fCampaign),OR(fTeam="All",$L499=fTeam),OR(fChannel="All",$F499=fChannel),OR(fMonth="All",$AA499=fMonth)),1,0))</f>
        <v>0</v>
      </c>
      <c r="AI499" s="71">
        <f>IF($AB499=0,0,IF(AND(OR(fClient="All",$B499=fClient),OR(fCampaign="All",$C499=fCampaign),OR(fTeam="All",$L499=fTeam),OR(fChannel="All",$F499=fChannel)),1,0))</f>
        <v>0</v>
      </c>
    </row>
    <row r="500">
      <c r="A500" s="63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3" t="n"/>
      <c r="R500" s="63" t="n"/>
      <c r="S500" s="63" t="n"/>
      <c r="T500" s="65" t="n"/>
      <c r="U500" s="65" t="n"/>
      <c r="V500" s="63" t="n"/>
      <c r="W500" s="65" t="n"/>
      <c r="X500" s="69" t="str">
        <f>IF(AND(ISNUMBER($Q500),ISNUMBER($R500)),$R500-$Q500,"")</f>
        <v/>
      </c>
      <c r="Y500" s="71" t="str">
        <f>IF($AB500=1,IF(AND(ISNUMBER($V500),$M500&lt;&gt;"Converted",$M500&lt;&gt;"Rejected"),IF($V500&lt;=ReportDate,"DUE",""),""),"")</f>
        <v/>
      </c>
      <c r="Z500" s="75" t="str">
        <f>IF(ISNUMBER($Q500),$Q500,IF(ISNUMBER($A500),$A500,""))</f>
        <v/>
      </c>
      <c r="AA500" s="71" t="str">
        <f>IF(ISNUMBER($Z500),YEAR($Z500)&amp;"-"&amp;TEXT(MONTH($Z500),"00"),"")</f>
        <v/>
      </c>
      <c r="AB500" s="71">
        <f>IF($H500&lt;&gt;"",1,0)</f>
        <v>0</v>
      </c>
      <c r="AC500" s="71">
        <f>IF(AND($AB500=1,$G500="Yes"),1,0)</f>
        <v>0</v>
      </c>
      <c r="AD500" s="71">
        <f>IF(AND($AB500=1,$N500="MQL"),1,0)</f>
        <v>0</v>
      </c>
      <c r="AE500" s="71">
        <f>IF(AND($AB500=1,$O500="SQL"),1,0)</f>
        <v>0</v>
      </c>
      <c r="AF500" s="71">
        <f>IF(AND($AB500=1,OR($P500="Open",$P500="Won",$P500="Lost")),1,0)</f>
        <v>0</v>
      </c>
      <c r="AG500" s="71">
        <f>IF(AND($AB500=1,OR($M500="Converted",$P500="Won")),1,0)</f>
        <v>0</v>
      </c>
      <c r="AH500" s="71">
        <f>IF($AB500=0,0,IF(AND(OR(fClient="All",$B500=fClient),OR(fCampaign="All",$C500=fCampaign),OR(fTeam="All",$L500=fTeam),OR(fChannel="All",$F500=fChannel),OR(fMonth="All",$AA500=fMonth)),1,0))</f>
        <v>0</v>
      </c>
      <c r="AI500" s="71">
        <f>IF($AB500=0,0,IF(AND(OR(fClient="All",$B500=fClient),OR(fCampaign="All",$C500=fCampaign),OR(fTeam="All",$L500=fTeam),OR(fChannel="All",$F500=fChannel)),1,0))</f>
        <v>0</v>
      </c>
    </row>
    <row r="501">
      <c r="A501" s="63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3" t="n"/>
      <c r="R501" s="63" t="n"/>
      <c r="S501" s="63" t="n"/>
      <c r="T501" s="65" t="n"/>
      <c r="U501" s="65" t="n"/>
      <c r="V501" s="63" t="n"/>
      <c r="W501" s="65" t="n"/>
      <c r="X501" s="69" t="str">
        <f>IF(AND(ISNUMBER($Q501),ISNUMBER($R501)),$R501-$Q501,"")</f>
        <v/>
      </c>
      <c r="Y501" s="71" t="str">
        <f>IF($AB501=1,IF(AND(ISNUMBER($V501),$M501&lt;&gt;"Converted",$M501&lt;&gt;"Rejected"),IF($V501&lt;=ReportDate,"DUE",""),""),"")</f>
        <v/>
      </c>
      <c r="Z501" s="75" t="str">
        <f>IF(ISNUMBER($Q501),$Q501,IF(ISNUMBER($A501),$A501,""))</f>
        <v/>
      </c>
      <c r="AA501" s="71" t="str">
        <f>IF(ISNUMBER($Z501),YEAR($Z501)&amp;"-"&amp;TEXT(MONTH($Z501),"00"),"")</f>
        <v/>
      </c>
      <c r="AB501" s="71">
        <f>IF($H501&lt;&gt;"",1,0)</f>
        <v>0</v>
      </c>
      <c r="AC501" s="71">
        <f>IF(AND($AB501=1,$G501="Yes"),1,0)</f>
        <v>0</v>
      </c>
      <c r="AD501" s="71">
        <f>IF(AND($AB501=1,$N501="MQL"),1,0)</f>
        <v>0</v>
      </c>
      <c r="AE501" s="71">
        <f>IF(AND($AB501=1,$O501="SQL"),1,0)</f>
        <v>0</v>
      </c>
      <c r="AF501" s="71">
        <f>IF(AND($AB501=1,OR($P501="Open",$P501="Won",$P501="Lost")),1,0)</f>
        <v>0</v>
      </c>
      <c r="AG501" s="71">
        <f>IF(AND($AB501=1,OR($M501="Converted",$P501="Won")),1,0)</f>
        <v>0</v>
      </c>
      <c r="AH501" s="71">
        <f>IF($AB501=0,0,IF(AND(OR(fClient="All",$B501=fClient),OR(fCampaign="All",$C501=fCampaign),OR(fTeam="All",$L501=fTeam),OR(fChannel="All",$F501=fChannel),OR(fMonth="All",$AA501=fMonth)),1,0))</f>
        <v>0</v>
      </c>
      <c r="AI501" s="71">
        <f>IF($AB501=0,0,IF(AND(OR(fClient="All",$B501=fClient),OR(fCampaign="All",$C501=fCampaign),OR(fTeam="All",$L501=fTeam),OR(fChannel="All",$F501=fChannel)),1,0))</f>
        <v>0</v>
      </c>
    </row>
    <row r="502">
      <c r="A502" s="63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3" t="n"/>
      <c r="R502" s="63" t="n"/>
      <c r="S502" s="63" t="n"/>
      <c r="T502" s="65" t="n"/>
      <c r="U502" s="65" t="n"/>
      <c r="V502" s="63" t="n"/>
      <c r="W502" s="65" t="n"/>
      <c r="X502" s="69" t="str">
        <f>IF(AND(ISNUMBER($Q502),ISNUMBER($R502)),$R502-$Q502,"")</f>
        <v/>
      </c>
      <c r="Y502" s="71" t="str">
        <f>IF($AB502=1,IF(AND(ISNUMBER($V502),$M502&lt;&gt;"Converted",$M502&lt;&gt;"Rejected"),IF($V502&lt;=ReportDate,"DUE",""),""),"")</f>
        <v/>
      </c>
      <c r="Z502" s="75" t="str">
        <f>IF(ISNUMBER($Q502),$Q502,IF(ISNUMBER($A502),$A502,""))</f>
        <v/>
      </c>
      <c r="AA502" s="71" t="str">
        <f>IF(ISNUMBER($Z502),YEAR($Z502)&amp;"-"&amp;TEXT(MONTH($Z502),"00"),"")</f>
        <v/>
      </c>
      <c r="AB502" s="71">
        <f>IF($H502&lt;&gt;"",1,0)</f>
        <v>0</v>
      </c>
      <c r="AC502" s="71">
        <f>IF(AND($AB502=1,$G502="Yes"),1,0)</f>
        <v>0</v>
      </c>
      <c r="AD502" s="71">
        <f>IF(AND($AB502=1,$N502="MQL"),1,0)</f>
        <v>0</v>
      </c>
      <c r="AE502" s="71">
        <f>IF(AND($AB502=1,$O502="SQL"),1,0)</f>
        <v>0</v>
      </c>
      <c r="AF502" s="71">
        <f>IF(AND($AB502=1,OR($P502="Open",$P502="Won",$P502="Lost")),1,0)</f>
        <v>0</v>
      </c>
      <c r="AG502" s="71">
        <f>IF(AND($AB502=1,OR($M502="Converted",$P502="Won")),1,0)</f>
        <v>0</v>
      </c>
      <c r="AH502" s="71">
        <f>IF($AB502=0,0,IF(AND(OR(fClient="All",$B502=fClient),OR(fCampaign="All",$C502=fCampaign),OR(fTeam="All",$L502=fTeam),OR(fChannel="All",$F502=fChannel),OR(fMonth="All",$AA502=fMonth)),1,0))</f>
        <v>0</v>
      </c>
      <c r="AI502" s="71">
        <f>IF($AB502=0,0,IF(AND(OR(fClient="All",$B502=fClient),OR(fCampaign="All",$C502=fCampaign),OR(fTeam="All",$L502=fTeam),OR(fChannel="All",$F502=fChannel)),1,0))</f>
        <v>0</v>
      </c>
    </row>
    <row r="503">
      <c r="A503" s="63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3" t="n"/>
      <c r="R503" s="63" t="n"/>
      <c r="S503" s="63" t="n"/>
      <c r="T503" s="65" t="n"/>
      <c r="U503" s="65" t="n"/>
      <c r="V503" s="63" t="n"/>
      <c r="W503" s="65" t="n"/>
      <c r="X503" s="69" t="str">
        <f>IF(AND(ISNUMBER($Q503),ISNUMBER($R503)),$R503-$Q503,"")</f>
        <v/>
      </c>
      <c r="Y503" s="71" t="str">
        <f>IF($AB503=1,IF(AND(ISNUMBER($V503),$M503&lt;&gt;"Converted",$M503&lt;&gt;"Rejected"),IF($V503&lt;=ReportDate,"DUE",""),""),"")</f>
        <v/>
      </c>
      <c r="Z503" s="75" t="str">
        <f>IF(ISNUMBER($Q503),$Q503,IF(ISNUMBER($A503),$A503,""))</f>
        <v/>
      </c>
      <c r="AA503" s="71" t="str">
        <f>IF(ISNUMBER($Z503),YEAR($Z503)&amp;"-"&amp;TEXT(MONTH($Z503),"00"),"")</f>
        <v/>
      </c>
      <c r="AB503" s="71">
        <f>IF($H503&lt;&gt;"",1,0)</f>
        <v>0</v>
      </c>
      <c r="AC503" s="71">
        <f>IF(AND($AB503=1,$G503="Yes"),1,0)</f>
        <v>0</v>
      </c>
      <c r="AD503" s="71">
        <f>IF(AND($AB503=1,$N503="MQL"),1,0)</f>
        <v>0</v>
      </c>
      <c r="AE503" s="71">
        <f>IF(AND($AB503=1,$O503="SQL"),1,0)</f>
        <v>0</v>
      </c>
      <c r="AF503" s="71">
        <f>IF(AND($AB503=1,OR($P503="Open",$P503="Won",$P503="Lost")),1,0)</f>
        <v>0</v>
      </c>
      <c r="AG503" s="71">
        <f>IF(AND($AB503=1,OR($M503="Converted",$P503="Won")),1,0)</f>
        <v>0</v>
      </c>
      <c r="AH503" s="71">
        <f>IF($AB503=0,0,IF(AND(OR(fClient="All",$B503=fClient),OR(fCampaign="All",$C503=fCampaign),OR(fTeam="All",$L503=fTeam),OR(fChannel="All",$F503=fChannel),OR(fMonth="All",$AA503=fMonth)),1,0))</f>
        <v>0</v>
      </c>
      <c r="AI503" s="71">
        <f>IF($AB503=0,0,IF(AND(OR(fClient="All",$B503=fClient),OR(fCampaign="All",$C503=fCampaign),OR(fTeam="All",$L503=fTeam),OR(fChannel="All",$F503=fChannel)),1,0))</f>
        <v>0</v>
      </c>
    </row>
    <row r="504">
      <c r="A504" s="63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3" t="n"/>
      <c r="R504" s="63" t="n"/>
      <c r="S504" s="63" t="n"/>
      <c r="T504" s="65" t="n"/>
      <c r="U504" s="65" t="n"/>
      <c r="V504" s="63" t="n"/>
      <c r="W504" s="65" t="n"/>
      <c r="X504" s="69" t="str">
        <f>IF(AND(ISNUMBER($Q504),ISNUMBER($R504)),$R504-$Q504,"")</f>
        <v/>
      </c>
      <c r="Y504" s="71" t="str">
        <f>IF($AB504=1,IF(AND(ISNUMBER($V504),$M504&lt;&gt;"Converted",$M504&lt;&gt;"Rejected"),IF($V504&lt;=ReportDate,"DUE",""),""),"")</f>
        <v/>
      </c>
      <c r="Z504" s="75" t="str">
        <f>IF(ISNUMBER($Q504),$Q504,IF(ISNUMBER($A504),$A504,""))</f>
        <v/>
      </c>
      <c r="AA504" s="71" t="str">
        <f>IF(ISNUMBER($Z504),YEAR($Z504)&amp;"-"&amp;TEXT(MONTH($Z504),"00"),"")</f>
        <v/>
      </c>
      <c r="AB504" s="71">
        <f>IF($H504&lt;&gt;"",1,0)</f>
        <v>0</v>
      </c>
      <c r="AC504" s="71">
        <f>IF(AND($AB504=1,$G504="Yes"),1,0)</f>
        <v>0</v>
      </c>
      <c r="AD504" s="71">
        <f>IF(AND($AB504=1,$N504="MQL"),1,0)</f>
        <v>0</v>
      </c>
      <c r="AE504" s="71">
        <f>IF(AND($AB504=1,$O504="SQL"),1,0)</f>
        <v>0</v>
      </c>
      <c r="AF504" s="71">
        <f>IF(AND($AB504=1,OR($P504="Open",$P504="Won",$P504="Lost")),1,0)</f>
        <v>0</v>
      </c>
      <c r="AG504" s="71">
        <f>IF(AND($AB504=1,OR($M504="Converted",$P504="Won")),1,0)</f>
        <v>0</v>
      </c>
      <c r="AH504" s="71">
        <f>IF($AB504=0,0,IF(AND(OR(fClient="All",$B504=fClient),OR(fCampaign="All",$C504=fCampaign),OR(fTeam="All",$L504=fTeam),OR(fChannel="All",$F504=fChannel),OR(fMonth="All",$AA504=fMonth)),1,0))</f>
        <v>0</v>
      </c>
      <c r="AI504" s="71">
        <f>IF($AB504=0,0,IF(AND(OR(fClient="All",$B504=fClient),OR(fCampaign="All",$C504=fCampaign),OR(fTeam="All",$L504=fTeam),OR(fChannel="All",$F504=fChannel)),1,0))</f>
        <v>0</v>
      </c>
    </row>
  </sheetData>
  <mergeCells count="1">
    <mergeCell ref="A1:N1"/>
  </mergeCells>
  <conditionalFormatting sqref="Y5:Y504">
    <cfRule type="expression" priority="1" dxfId="2">
      <formula>$Y5="DUE"</formula>
    </cfRule>
  </conditionalFormatting>
  <conditionalFormatting sqref="M5:M504">
    <cfRule type="expression" priority="2" dxfId="17">
      <formula>$M5="Converted"</formula>
    </cfRule>
    <cfRule type="expression" priority="3" dxfId="3">
      <formula>$M5="Rejected"</formula>
    </cfRule>
  </conditionalFormatting>
  <dataValidations count="16">
    <dataValidation sqref="A5:A504" showDropDown="0" showInputMessage="0" showErrorMessage="1" allowBlank="1" errorTitle="Invalid date" error="Enter a valid date, e.g. 05-Oct-2026." type="date" operator="greaterThan">
      <formula1>36526</formula1>
    </dataValidation>
    <dataValidation sqref="B5:B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C5:C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=lst_Campaign</formula1>
    </dataValidation>
    <dataValidation sqref="E5:E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=lst_LeadSource</formula1>
    </dataValidation>
    <dataValidation sqref="F5:F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=lst_Channel</formula1>
    </dataValidation>
    <dataValidation sqref="G5:G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=lst_YesNo</formula1>
    </dataValidation>
    <dataValidation sqref="K5:K504" showDropDown="0" showInputMessage="0" showErrorMessage="1" allowBlank="1" errorTitle="Pick from list" error="Please choose a value from the dropdown (lists are maintained in MASTER DATA / CLIENT MASTER / CAMPAIGN MASTER)." type="list" errorStyle="warning">
      <formula1>=lst_Region</formula1>
    </dataValidation>
    <dataValidation sqref="L5:L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M5:M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=lst_LeadStatus</formula1>
    </dataValidation>
    <dataValidation sqref="N5:N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=lst_MQLStatus</formula1>
    </dataValidation>
    <dataValidation sqref="O5:O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=lst_SQLStatus</formula1>
    </dataValidation>
    <dataValidation sqref="P5:P504" showDropDown="0" showInputMessage="0" showErrorMessage="1" allowBlank="1" errorTitle="Pick from list" error="Please choose a value from the dropdown (lists are maintained in MASTER DATA / CLIENT MASTER / CAMPAIGN MASTER)." type="list" errorStyle="stop">
      <formula1>=lst_OppStatus</formula1>
    </dataValidation>
    <dataValidation sqref="Q5:Q504" showDropDown="0" showInputMessage="0" showErrorMessage="1" allowBlank="1" errorTitle="Invalid date" error="Enter a valid date, e.g. 05-Oct-2026." type="date" operator="greaterThan">
      <formula1>36526</formula1>
    </dataValidation>
    <dataValidation sqref="R5:R504" showDropDown="0" showInputMessage="0" showErrorMessage="1" allowBlank="1" errorTitle="Invalid date" error="Enter a valid date, e.g. 05-Oct-2026." type="date" operator="greaterThan">
      <formula1>36526</formula1>
    </dataValidation>
    <dataValidation sqref="S5:S504" showDropDown="0" showInputMessage="0" showErrorMessage="1" allowBlank="1" errorTitle="Invalid date" error="Enter a valid date, e.g. 05-Oct-2026." type="date" operator="greaterThan">
      <formula1>36526</formula1>
    </dataValidation>
    <dataValidation sqref="V5:V504" showDropDown="0" showInputMessage="0" showErrorMessage="1" allowBlank="1" errorTitle="Invalid date" error="Enter a valid date, e.g. 05-Oct-2026." type="date" operator="greaterThan">
      <formula1>36526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Z304"/>
  <sheetViews>
    <sheetView showGridLines="0" tabSelected="0"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28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1" customWidth="1" min="16" max="16"/>
    <col width="9" customWidth="1" min="17" max="17"/>
    <col width="9" customWidth="1" min="18" max="18"/>
    <col width="11" customWidth="1" min="19" max="19"/>
    <col width="16" customWidth="1" min="20" max="20"/>
    <col width="12" customWidth="1" min="21" max="21"/>
    <col width="28" customWidth="1" min="22" max="22"/>
    <col hidden="1" outlineLevel="1" width="8" customWidth="1" min="23" max="26"/>
  </cols>
  <sheetData>
    <row r="1" ht="30" customHeight="1">
      <c r="A1" s="57" t="inlineStr">
        <is>
          <t>EMAIL MARKETING - channel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8" t="inlineStr">
        <is>
          <t>BLUE cells = team enters data   |   GREY cells = automatic formulas (do not edit)   |   Enter raw counts only - all rates are calculated on Delivered (or on Sent if Delivered is blank).</t>
        </is>
      </c>
    </row>
    <row r="3">
      <c r="A3" s="59" t="inlineStr">
        <is>
          <t>Example: 05-Oct-26 | SAP | &lt;campaign&gt; | SAP Viksit Bharat - Mailer 1 | 5000 | 4800 | 4650 | 150 | 930 | 140 | 25 | 12 | 3 | 4 | 2 | 8 | 1 ...</t>
        </is>
      </c>
    </row>
    <row r="4" ht="34" customHeight="1">
      <c r="A4" s="60" t="inlineStr">
        <is>
          <t>Date</t>
        </is>
      </c>
      <c r="B4" s="60" t="inlineStr">
        <is>
          <t>Client</t>
        </is>
      </c>
      <c r="C4" s="60" t="inlineStr">
        <is>
          <t>Campaign</t>
        </is>
      </c>
      <c r="D4" s="60" t="inlineStr">
        <is>
          <t>Email Campaign Name</t>
        </is>
      </c>
      <c r="E4" s="60" t="inlineStr">
        <is>
          <t>Audience Size</t>
        </is>
      </c>
      <c r="F4" s="60" t="inlineStr">
        <is>
          <t>Emails Sent</t>
        </is>
      </c>
      <c r="G4" s="60" t="inlineStr">
        <is>
          <t>Delivered</t>
        </is>
      </c>
      <c r="H4" s="60" t="inlineStr">
        <is>
          <t>Bounced</t>
        </is>
      </c>
      <c r="I4" s="60" t="inlineStr">
        <is>
          <t>Opens</t>
        </is>
      </c>
      <c r="J4" s="61" t="inlineStr">
        <is>
          <t>Open Rate</t>
        </is>
      </c>
      <c r="K4" s="60" t="inlineStr">
        <is>
          <t>Clicks</t>
        </is>
      </c>
      <c r="L4" s="61" t="inlineStr">
        <is>
          <t>CTR</t>
        </is>
      </c>
      <c r="M4" s="60" t="inlineStr">
        <is>
          <t>Replies</t>
        </is>
      </c>
      <c r="N4" s="61" t="inlineStr">
        <is>
          <t>Reply Rate</t>
        </is>
      </c>
      <c r="O4" s="60" t="inlineStr">
        <is>
          <t>Positive Responses</t>
        </is>
      </c>
      <c r="P4" s="61" t="inlineStr">
        <is>
          <t>Positive Response Rate</t>
        </is>
      </c>
      <c r="Q4" s="60" t="inlineStr">
        <is>
          <t>Leads</t>
        </is>
      </c>
      <c r="R4" s="60" t="inlineStr">
        <is>
          <t>MQLs</t>
        </is>
      </c>
      <c r="S4" s="60" t="inlineStr">
        <is>
          <t>Unsubscribes</t>
        </is>
      </c>
      <c r="T4" s="60" t="inlineStr">
        <is>
          <t>Campaign Owner</t>
        </is>
      </c>
      <c r="U4" s="60" t="inlineStr">
        <is>
          <t>Status</t>
        </is>
      </c>
      <c r="V4" s="60" t="inlineStr">
        <is>
          <t>Remarks</t>
        </is>
      </c>
      <c r="W4" s="62" t="inlineStr">
        <is>
          <t>Delivered Base</t>
        </is>
      </c>
      <c r="X4" s="62" t="inlineStr">
        <is>
          <t>Month Key</t>
        </is>
      </c>
      <c r="Y4" s="62" t="inlineStr">
        <is>
          <t>In Filter</t>
        </is>
      </c>
      <c r="Z4" s="62" t="inlineStr">
        <is>
          <t>In List</t>
        </is>
      </c>
    </row>
    <row r="5">
      <c r="A5" s="63" t="n"/>
      <c r="B5" s="64" t="n"/>
      <c r="C5" s="64" t="n"/>
      <c r="D5" s="64" t="n"/>
      <c r="E5" s="67" t="n"/>
      <c r="F5" s="67" t="n"/>
      <c r="G5" s="67" t="n"/>
      <c r="H5" s="67" t="n"/>
      <c r="I5" s="67" t="n"/>
      <c r="J5" s="73" t="str">
        <f>IF(AND($W5&gt;0,ISNUMBER($I5)),$I5/$W5,"")</f>
        <v/>
      </c>
      <c r="K5" s="67" t="n"/>
      <c r="L5" s="73" t="str">
        <f>IF(AND($W5&gt;0,ISNUMBER($K5)),$K5/$W5,"")</f>
        <v/>
      </c>
      <c r="M5" s="67" t="n"/>
      <c r="N5" s="73" t="str">
        <f>IF(AND($W5&gt;0,ISNUMBER($M5)),$M5/$W5,"")</f>
        <v/>
      </c>
      <c r="O5" s="67" t="n"/>
      <c r="P5" s="73" t="str">
        <f>IF(AND($W5&gt;0,ISNUMBER($O5)),$O5/$W5,"")</f>
        <v/>
      </c>
      <c r="Q5" s="67" t="n"/>
      <c r="R5" s="67" t="n"/>
      <c r="S5" s="67" t="n"/>
      <c r="T5" s="64" t="n"/>
      <c r="U5" s="64" t="n"/>
      <c r="V5" s="65" t="n"/>
      <c r="W5" s="72">
        <f>IF($D5="",0,IF(ISNUMBER($G5),IF($G5&gt;0,$G5,N($F5)),N($F5)))</f>
        <v>0</v>
      </c>
      <c r="X5" s="71" t="str">
        <f>IF(ISNUMBER($A5),YEAR($A5)&amp;"-"&amp;TEXT(MONTH($A5),"00"),"")</f>
        <v/>
      </c>
      <c r="Y5" s="71">
        <f>IF($D5="",0,IF(AND(OR(fClient="All",$B5=fClient),OR(fCampaign="All",$C5=fCampaign),OR(fTeam="All",$T5=fTeam),OR(fChannel="All",fChannel="Email",fChannel="Content Syndication"),OR(fMonth="All",$X5=fMonth)),1,0))</f>
        <v>0</v>
      </c>
      <c r="Z5" s="71">
        <f>IF($D5="",0,IF(AND(OR(fClient="All",$B5=fClient),OR(fCampaign="All",$C5=fCampaign),OR(fTeam="All",$T5=fTeam),OR(fChannel="All",fChannel="Email",fChannel="Content Syndication")),1,0))</f>
        <v>0</v>
      </c>
    </row>
    <row r="6">
      <c r="A6" s="63" t="n"/>
      <c r="B6" s="64" t="n"/>
      <c r="C6" s="64" t="n"/>
      <c r="D6" s="64" t="n"/>
      <c r="E6" s="67" t="n"/>
      <c r="F6" s="67" t="n"/>
      <c r="G6" s="67" t="n"/>
      <c r="H6" s="67" t="n"/>
      <c r="I6" s="67" t="n"/>
      <c r="J6" s="73" t="str">
        <f>IF(AND($W6&gt;0,ISNUMBER($I6)),$I6/$W6,"")</f>
        <v/>
      </c>
      <c r="K6" s="67" t="n"/>
      <c r="L6" s="73" t="str">
        <f>IF(AND($W6&gt;0,ISNUMBER($K6)),$K6/$W6,"")</f>
        <v/>
      </c>
      <c r="M6" s="67" t="n"/>
      <c r="N6" s="73" t="str">
        <f>IF(AND($W6&gt;0,ISNUMBER($M6)),$M6/$W6,"")</f>
        <v/>
      </c>
      <c r="O6" s="67" t="n"/>
      <c r="P6" s="73" t="str">
        <f>IF(AND($W6&gt;0,ISNUMBER($O6)),$O6/$W6,"")</f>
        <v/>
      </c>
      <c r="Q6" s="67" t="n"/>
      <c r="R6" s="67" t="n"/>
      <c r="S6" s="67" t="n"/>
      <c r="T6" s="64" t="n"/>
      <c r="U6" s="64" t="n"/>
      <c r="V6" s="65" t="n"/>
      <c r="W6" s="72">
        <f>IF($D6="",0,IF(ISNUMBER($G6),IF($G6&gt;0,$G6,N($F6)),N($F6)))</f>
        <v>0</v>
      </c>
      <c r="X6" s="71" t="str">
        <f>IF(ISNUMBER($A6),YEAR($A6)&amp;"-"&amp;TEXT(MONTH($A6),"00"),"")</f>
        <v/>
      </c>
      <c r="Y6" s="71">
        <f>IF($D6="",0,IF(AND(OR(fClient="All",$B6=fClient),OR(fCampaign="All",$C6=fCampaign),OR(fTeam="All",$T6=fTeam),OR(fChannel="All",fChannel="Email",fChannel="Content Syndication"),OR(fMonth="All",$X6=fMonth)),1,0))</f>
        <v>0</v>
      </c>
      <c r="Z6" s="71">
        <f>IF($D6="",0,IF(AND(OR(fClient="All",$B6=fClient),OR(fCampaign="All",$C6=fCampaign),OR(fTeam="All",$T6=fTeam),OR(fChannel="All",fChannel="Email",fChannel="Content Syndication")),1,0))</f>
        <v>0</v>
      </c>
    </row>
    <row r="7">
      <c r="A7" s="63" t="n"/>
      <c r="B7" s="64" t="n"/>
      <c r="C7" s="64" t="n"/>
      <c r="D7" s="64" t="n"/>
      <c r="E7" s="67" t="n"/>
      <c r="F7" s="67" t="n"/>
      <c r="G7" s="67" t="n"/>
      <c r="H7" s="67" t="n"/>
      <c r="I7" s="67" t="n"/>
      <c r="J7" s="73" t="str">
        <f>IF(AND($W7&gt;0,ISNUMBER($I7)),$I7/$W7,"")</f>
        <v/>
      </c>
      <c r="K7" s="67" t="n"/>
      <c r="L7" s="73" t="str">
        <f>IF(AND($W7&gt;0,ISNUMBER($K7)),$K7/$W7,"")</f>
        <v/>
      </c>
      <c r="M7" s="67" t="n"/>
      <c r="N7" s="73" t="str">
        <f>IF(AND($W7&gt;0,ISNUMBER($M7)),$M7/$W7,"")</f>
        <v/>
      </c>
      <c r="O7" s="67" t="n"/>
      <c r="P7" s="73" t="str">
        <f>IF(AND($W7&gt;0,ISNUMBER($O7)),$O7/$W7,"")</f>
        <v/>
      </c>
      <c r="Q7" s="67" t="n"/>
      <c r="R7" s="67" t="n"/>
      <c r="S7" s="67" t="n"/>
      <c r="T7" s="64" t="n"/>
      <c r="U7" s="64" t="n"/>
      <c r="V7" s="65" t="n"/>
      <c r="W7" s="72">
        <f>IF($D7="",0,IF(ISNUMBER($G7),IF($G7&gt;0,$G7,N($F7)),N($F7)))</f>
        <v>0</v>
      </c>
      <c r="X7" s="71" t="str">
        <f>IF(ISNUMBER($A7),YEAR($A7)&amp;"-"&amp;TEXT(MONTH($A7),"00"),"")</f>
        <v/>
      </c>
      <c r="Y7" s="71">
        <f>IF($D7="",0,IF(AND(OR(fClient="All",$B7=fClient),OR(fCampaign="All",$C7=fCampaign),OR(fTeam="All",$T7=fTeam),OR(fChannel="All",fChannel="Email",fChannel="Content Syndication"),OR(fMonth="All",$X7=fMonth)),1,0))</f>
        <v>0</v>
      </c>
      <c r="Z7" s="71">
        <f>IF($D7="",0,IF(AND(OR(fClient="All",$B7=fClient),OR(fCampaign="All",$C7=fCampaign),OR(fTeam="All",$T7=fTeam),OR(fChannel="All",fChannel="Email",fChannel="Content Syndication")),1,0))</f>
        <v>0</v>
      </c>
    </row>
    <row r="8">
      <c r="A8" s="63" t="n"/>
      <c r="B8" s="64" t="n"/>
      <c r="C8" s="64" t="n"/>
      <c r="D8" s="64" t="n"/>
      <c r="E8" s="67" t="n"/>
      <c r="F8" s="67" t="n"/>
      <c r="G8" s="67" t="n"/>
      <c r="H8" s="67" t="n"/>
      <c r="I8" s="67" t="n"/>
      <c r="J8" s="73" t="str">
        <f>IF(AND($W8&gt;0,ISNUMBER($I8)),$I8/$W8,"")</f>
        <v/>
      </c>
      <c r="K8" s="67" t="n"/>
      <c r="L8" s="73" t="str">
        <f>IF(AND($W8&gt;0,ISNUMBER($K8)),$K8/$W8,"")</f>
        <v/>
      </c>
      <c r="M8" s="67" t="n"/>
      <c r="N8" s="73" t="str">
        <f>IF(AND($W8&gt;0,ISNUMBER($M8)),$M8/$W8,"")</f>
        <v/>
      </c>
      <c r="O8" s="67" t="n"/>
      <c r="P8" s="73" t="str">
        <f>IF(AND($W8&gt;0,ISNUMBER($O8)),$O8/$W8,"")</f>
        <v/>
      </c>
      <c r="Q8" s="67" t="n"/>
      <c r="R8" s="67" t="n"/>
      <c r="S8" s="67" t="n"/>
      <c r="T8" s="64" t="n"/>
      <c r="U8" s="64" t="n"/>
      <c r="V8" s="65" t="n"/>
      <c r="W8" s="72">
        <f>IF($D8="",0,IF(ISNUMBER($G8),IF($G8&gt;0,$G8,N($F8)),N($F8)))</f>
        <v>0</v>
      </c>
      <c r="X8" s="71" t="str">
        <f>IF(ISNUMBER($A8),YEAR($A8)&amp;"-"&amp;TEXT(MONTH($A8),"00"),"")</f>
        <v/>
      </c>
      <c r="Y8" s="71">
        <f>IF($D8="",0,IF(AND(OR(fClient="All",$B8=fClient),OR(fCampaign="All",$C8=fCampaign),OR(fTeam="All",$T8=fTeam),OR(fChannel="All",fChannel="Email",fChannel="Content Syndication"),OR(fMonth="All",$X8=fMonth)),1,0))</f>
        <v>0</v>
      </c>
      <c r="Z8" s="71">
        <f>IF($D8="",0,IF(AND(OR(fClient="All",$B8=fClient),OR(fCampaign="All",$C8=fCampaign),OR(fTeam="All",$T8=fTeam),OR(fChannel="All",fChannel="Email",fChannel="Content Syndication")),1,0))</f>
        <v>0</v>
      </c>
    </row>
    <row r="9">
      <c r="A9" s="63" t="n"/>
      <c r="B9" s="64" t="n"/>
      <c r="C9" s="64" t="n"/>
      <c r="D9" s="64" t="n"/>
      <c r="E9" s="67" t="n"/>
      <c r="F9" s="67" t="n"/>
      <c r="G9" s="67" t="n"/>
      <c r="H9" s="67" t="n"/>
      <c r="I9" s="67" t="n"/>
      <c r="J9" s="73" t="str">
        <f>IF(AND($W9&gt;0,ISNUMBER($I9)),$I9/$W9,"")</f>
        <v/>
      </c>
      <c r="K9" s="67" t="n"/>
      <c r="L9" s="73" t="str">
        <f>IF(AND($W9&gt;0,ISNUMBER($K9)),$K9/$W9,"")</f>
        <v/>
      </c>
      <c r="M9" s="67" t="n"/>
      <c r="N9" s="73" t="str">
        <f>IF(AND($W9&gt;0,ISNUMBER($M9)),$M9/$W9,"")</f>
        <v/>
      </c>
      <c r="O9" s="67" t="n"/>
      <c r="P9" s="73" t="str">
        <f>IF(AND($W9&gt;0,ISNUMBER($O9)),$O9/$W9,"")</f>
        <v/>
      </c>
      <c r="Q9" s="67" t="n"/>
      <c r="R9" s="67" t="n"/>
      <c r="S9" s="67" t="n"/>
      <c r="T9" s="64" t="n"/>
      <c r="U9" s="64" t="n"/>
      <c r="V9" s="65" t="n"/>
      <c r="W9" s="72">
        <f>IF($D9="",0,IF(ISNUMBER($G9),IF($G9&gt;0,$G9,N($F9)),N($F9)))</f>
        <v>0</v>
      </c>
      <c r="X9" s="71" t="str">
        <f>IF(ISNUMBER($A9),YEAR($A9)&amp;"-"&amp;TEXT(MONTH($A9),"00"),"")</f>
        <v/>
      </c>
      <c r="Y9" s="71">
        <f>IF($D9="",0,IF(AND(OR(fClient="All",$B9=fClient),OR(fCampaign="All",$C9=fCampaign),OR(fTeam="All",$T9=fTeam),OR(fChannel="All",fChannel="Email",fChannel="Content Syndication"),OR(fMonth="All",$X9=fMonth)),1,0))</f>
        <v>0</v>
      </c>
      <c r="Z9" s="71">
        <f>IF($D9="",0,IF(AND(OR(fClient="All",$B9=fClient),OR(fCampaign="All",$C9=fCampaign),OR(fTeam="All",$T9=fTeam),OR(fChannel="All",fChannel="Email",fChannel="Content Syndication")),1,0))</f>
        <v>0</v>
      </c>
    </row>
    <row r="10">
      <c r="A10" s="63" t="n"/>
      <c r="B10" s="64" t="n"/>
      <c r="C10" s="64" t="n"/>
      <c r="D10" s="64" t="n"/>
      <c r="E10" s="67" t="n"/>
      <c r="F10" s="67" t="n"/>
      <c r="G10" s="67" t="n"/>
      <c r="H10" s="67" t="n"/>
      <c r="I10" s="67" t="n"/>
      <c r="J10" s="73" t="str">
        <f>IF(AND($W10&gt;0,ISNUMBER($I10)),$I10/$W10,"")</f>
        <v/>
      </c>
      <c r="K10" s="67" t="n"/>
      <c r="L10" s="73" t="str">
        <f>IF(AND($W10&gt;0,ISNUMBER($K10)),$K10/$W10,"")</f>
        <v/>
      </c>
      <c r="M10" s="67" t="n"/>
      <c r="N10" s="73" t="str">
        <f>IF(AND($W10&gt;0,ISNUMBER($M10)),$M10/$W10,"")</f>
        <v/>
      </c>
      <c r="O10" s="67" t="n"/>
      <c r="P10" s="73" t="str">
        <f>IF(AND($W10&gt;0,ISNUMBER($O10)),$O10/$W10,"")</f>
        <v/>
      </c>
      <c r="Q10" s="67" t="n"/>
      <c r="R10" s="67" t="n"/>
      <c r="S10" s="67" t="n"/>
      <c r="T10" s="64" t="n"/>
      <c r="U10" s="64" t="n"/>
      <c r="V10" s="65" t="n"/>
      <c r="W10" s="72">
        <f>IF($D10="",0,IF(ISNUMBER($G10),IF($G10&gt;0,$G10,N($F10)),N($F10)))</f>
        <v>0</v>
      </c>
      <c r="X10" s="71" t="str">
        <f>IF(ISNUMBER($A10),YEAR($A10)&amp;"-"&amp;TEXT(MONTH($A10),"00"),"")</f>
        <v/>
      </c>
      <c r="Y10" s="71">
        <f>IF($D10="",0,IF(AND(OR(fClient="All",$B10=fClient),OR(fCampaign="All",$C10=fCampaign),OR(fTeam="All",$T10=fTeam),OR(fChannel="All",fChannel="Email",fChannel="Content Syndication"),OR(fMonth="All",$X10=fMonth)),1,0))</f>
        <v>0</v>
      </c>
      <c r="Z10" s="71">
        <f>IF($D10="",0,IF(AND(OR(fClient="All",$B10=fClient),OR(fCampaign="All",$C10=fCampaign),OR(fTeam="All",$T10=fTeam),OR(fChannel="All",fChannel="Email",fChannel="Content Syndication")),1,0))</f>
        <v>0</v>
      </c>
    </row>
    <row r="11">
      <c r="A11" s="63" t="n"/>
      <c r="B11" s="64" t="n"/>
      <c r="C11" s="64" t="n"/>
      <c r="D11" s="64" t="n"/>
      <c r="E11" s="67" t="n"/>
      <c r="F11" s="67" t="n"/>
      <c r="G11" s="67" t="n"/>
      <c r="H11" s="67" t="n"/>
      <c r="I11" s="67" t="n"/>
      <c r="J11" s="73" t="str">
        <f>IF(AND($W11&gt;0,ISNUMBER($I11)),$I11/$W11,"")</f>
        <v/>
      </c>
      <c r="K11" s="67" t="n"/>
      <c r="L11" s="73" t="str">
        <f>IF(AND($W11&gt;0,ISNUMBER($K11)),$K11/$W11,"")</f>
        <v/>
      </c>
      <c r="M11" s="67" t="n"/>
      <c r="N11" s="73" t="str">
        <f>IF(AND($W11&gt;0,ISNUMBER($M11)),$M11/$W11,"")</f>
        <v/>
      </c>
      <c r="O11" s="67" t="n"/>
      <c r="P11" s="73" t="str">
        <f>IF(AND($W11&gt;0,ISNUMBER($O11)),$O11/$W11,"")</f>
        <v/>
      </c>
      <c r="Q11" s="67" t="n"/>
      <c r="R11" s="67" t="n"/>
      <c r="S11" s="67" t="n"/>
      <c r="T11" s="64" t="n"/>
      <c r="U11" s="64" t="n"/>
      <c r="V11" s="65" t="n"/>
      <c r="W11" s="72">
        <f>IF($D11="",0,IF(ISNUMBER($G11),IF($G11&gt;0,$G11,N($F11)),N($F11)))</f>
        <v>0</v>
      </c>
      <c r="X11" s="71" t="str">
        <f>IF(ISNUMBER($A11),YEAR($A11)&amp;"-"&amp;TEXT(MONTH($A11),"00"),"")</f>
        <v/>
      </c>
      <c r="Y11" s="71">
        <f>IF($D11="",0,IF(AND(OR(fClient="All",$B11=fClient),OR(fCampaign="All",$C11=fCampaign),OR(fTeam="All",$T11=fTeam),OR(fChannel="All",fChannel="Email",fChannel="Content Syndication"),OR(fMonth="All",$X11=fMonth)),1,0))</f>
        <v>0</v>
      </c>
      <c r="Z11" s="71">
        <f>IF($D11="",0,IF(AND(OR(fClient="All",$B11=fClient),OR(fCampaign="All",$C11=fCampaign),OR(fTeam="All",$T11=fTeam),OR(fChannel="All",fChannel="Email",fChannel="Content Syndication")),1,0))</f>
        <v>0</v>
      </c>
    </row>
    <row r="12">
      <c r="A12" s="63" t="n"/>
      <c r="B12" s="64" t="n"/>
      <c r="C12" s="64" t="n"/>
      <c r="D12" s="64" t="n"/>
      <c r="E12" s="67" t="n"/>
      <c r="F12" s="67" t="n"/>
      <c r="G12" s="67" t="n"/>
      <c r="H12" s="67" t="n"/>
      <c r="I12" s="67" t="n"/>
      <c r="J12" s="73" t="str">
        <f>IF(AND($W12&gt;0,ISNUMBER($I12)),$I12/$W12,"")</f>
        <v/>
      </c>
      <c r="K12" s="67" t="n"/>
      <c r="L12" s="73" t="str">
        <f>IF(AND($W12&gt;0,ISNUMBER($K12)),$K12/$W12,"")</f>
        <v/>
      </c>
      <c r="M12" s="67" t="n"/>
      <c r="N12" s="73" t="str">
        <f>IF(AND($W12&gt;0,ISNUMBER($M12)),$M12/$W12,"")</f>
        <v/>
      </c>
      <c r="O12" s="67" t="n"/>
      <c r="P12" s="73" t="str">
        <f>IF(AND($W12&gt;0,ISNUMBER($O12)),$O12/$W12,"")</f>
        <v/>
      </c>
      <c r="Q12" s="67" t="n"/>
      <c r="R12" s="67" t="n"/>
      <c r="S12" s="67" t="n"/>
      <c r="T12" s="64" t="n"/>
      <c r="U12" s="64" t="n"/>
      <c r="V12" s="65" t="n"/>
      <c r="W12" s="72">
        <f>IF($D12="",0,IF(ISNUMBER($G12),IF($G12&gt;0,$G12,N($F12)),N($F12)))</f>
        <v>0</v>
      </c>
      <c r="X12" s="71" t="str">
        <f>IF(ISNUMBER($A12),YEAR($A12)&amp;"-"&amp;TEXT(MONTH($A12),"00"),"")</f>
        <v/>
      </c>
      <c r="Y12" s="71">
        <f>IF($D12="",0,IF(AND(OR(fClient="All",$B12=fClient),OR(fCampaign="All",$C12=fCampaign),OR(fTeam="All",$T12=fTeam),OR(fChannel="All",fChannel="Email",fChannel="Content Syndication"),OR(fMonth="All",$X12=fMonth)),1,0))</f>
        <v>0</v>
      </c>
      <c r="Z12" s="71">
        <f>IF($D12="",0,IF(AND(OR(fClient="All",$B12=fClient),OR(fCampaign="All",$C12=fCampaign),OR(fTeam="All",$T12=fTeam),OR(fChannel="All",fChannel="Email",fChannel="Content Syndication")),1,0))</f>
        <v>0</v>
      </c>
    </row>
    <row r="13">
      <c r="A13" s="63" t="n"/>
      <c r="B13" s="64" t="n"/>
      <c r="C13" s="64" t="n"/>
      <c r="D13" s="64" t="n"/>
      <c r="E13" s="67" t="n"/>
      <c r="F13" s="67" t="n"/>
      <c r="G13" s="67" t="n"/>
      <c r="H13" s="67" t="n"/>
      <c r="I13" s="67" t="n"/>
      <c r="J13" s="73" t="str">
        <f>IF(AND($W13&gt;0,ISNUMBER($I13)),$I13/$W13,"")</f>
        <v/>
      </c>
      <c r="K13" s="67" t="n"/>
      <c r="L13" s="73" t="str">
        <f>IF(AND($W13&gt;0,ISNUMBER($K13)),$K13/$W13,"")</f>
        <v/>
      </c>
      <c r="M13" s="67" t="n"/>
      <c r="N13" s="73" t="str">
        <f>IF(AND($W13&gt;0,ISNUMBER($M13)),$M13/$W13,"")</f>
        <v/>
      </c>
      <c r="O13" s="67" t="n"/>
      <c r="P13" s="73" t="str">
        <f>IF(AND($W13&gt;0,ISNUMBER($O13)),$O13/$W13,"")</f>
        <v/>
      </c>
      <c r="Q13" s="67" t="n"/>
      <c r="R13" s="67" t="n"/>
      <c r="S13" s="67" t="n"/>
      <c r="T13" s="64" t="n"/>
      <c r="U13" s="64" t="n"/>
      <c r="V13" s="65" t="n"/>
      <c r="W13" s="72">
        <f>IF($D13="",0,IF(ISNUMBER($G13),IF($G13&gt;0,$G13,N($F13)),N($F13)))</f>
        <v>0</v>
      </c>
      <c r="X13" s="71" t="str">
        <f>IF(ISNUMBER($A13),YEAR($A13)&amp;"-"&amp;TEXT(MONTH($A13),"00"),"")</f>
        <v/>
      </c>
      <c r="Y13" s="71">
        <f>IF($D13="",0,IF(AND(OR(fClient="All",$B13=fClient),OR(fCampaign="All",$C13=fCampaign),OR(fTeam="All",$T13=fTeam),OR(fChannel="All",fChannel="Email",fChannel="Content Syndication"),OR(fMonth="All",$X13=fMonth)),1,0))</f>
        <v>0</v>
      </c>
      <c r="Z13" s="71">
        <f>IF($D13="",0,IF(AND(OR(fClient="All",$B13=fClient),OR(fCampaign="All",$C13=fCampaign),OR(fTeam="All",$T13=fTeam),OR(fChannel="All",fChannel="Email",fChannel="Content Syndication")),1,0))</f>
        <v>0</v>
      </c>
    </row>
    <row r="14">
      <c r="A14" s="63" t="n"/>
      <c r="B14" s="64" t="n"/>
      <c r="C14" s="64" t="n"/>
      <c r="D14" s="64" t="n"/>
      <c r="E14" s="67" t="n"/>
      <c r="F14" s="67" t="n"/>
      <c r="G14" s="67" t="n"/>
      <c r="H14" s="67" t="n"/>
      <c r="I14" s="67" t="n"/>
      <c r="J14" s="73" t="str">
        <f>IF(AND($W14&gt;0,ISNUMBER($I14)),$I14/$W14,"")</f>
        <v/>
      </c>
      <c r="K14" s="67" t="n"/>
      <c r="L14" s="73" t="str">
        <f>IF(AND($W14&gt;0,ISNUMBER($K14)),$K14/$W14,"")</f>
        <v/>
      </c>
      <c r="M14" s="67" t="n"/>
      <c r="N14" s="73" t="str">
        <f>IF(AND($W14&gt;0,ISNUMBER($M14)),$M14/$W14,"")</f>
        <v/>
      </c>
      <c r="O14" s="67" t="n"/>
      <c r="P14" s="73" t="str">
        <f>IF(AND($W14&gt;0,ISNUMBER($O14)),$O14/$W14,"")</f>
        <v/>
      </c>
      <c r="Q14" s="67" t="n"/>
      <c r="R14" s="67" t="n"/>
      <c r="S14" s="67" t="n"/>
      <c r="T14" s="64" t="n"/>
      <c r="U14" s="64" t="n"/>
      <c r="V14" s="65" t="n"/>
      <c r="W14" s="72">
        <f>IF($D14="",0,IF(ISNUMBER($G14),IF($G14&gt;0,$G14,N($F14)),N($F14)))</f>
        <v>0</v>
      </c>
      <c r="X14" s="71" t="str">
        <f>IF(ISNUMBER($A14),YEAR($A14)&amp;"-"&amp;TEXT(MONTH($A14),"00"),"")</f>
        <v/>
      </c>
      <c r="Y14" s="71">
        <f>IF($D14="",0,IF(AND(OR(fClient="All",$B14=fClient),OR(fCampaign="All",$C14=fCampaign),OR(fTeam="All",$T14=fTeam),OR(fChannel="All",fChannel="Email",fChannel="Content Syndication"),OR(fMonth="All",$X14=fMonth)),1,0))</f>
        <v>0</v>
      </c>
      <c r="Z14" s="71">
        <f>IF($D14="",0,IF(AND(OR(fClient="All",$B14=fClient),OR(fCampaign="All",$C14=fCampaign),OR(fTeam="All",$T14=fTeam),OR(fChannel="All",fChannel="Email",fChannel="Content Syndication")),1,0))</f>
        <v>0</v>
      </c>
    </row>
    <row r="15">
      <c r="A15" s="63" t="n"/>
      <c r="B15" s="64" t="n"/>
      <c r="C15" s="64" t="n"/>
      <c r="D15" s="64" t="n"/>
      <c r="E15" s="67" t="n"/>
      <c r="F15" s="67" t="n"/>
      <c r="G15" s="67" t="n"/>
      <c r="H15" s="67" t="n"/>
      <c r="I15" s="67" t="n"/>
      <c r="J15" s="73" t="str">
        <f>IF(AND($W15&gt;0,ISNUMBER($I15)),$I15/$W15,"")</f>
        <v/>
      </c>
      <c r="K15" s="67" t="n"/>
      <c r="L15" s="73" t="str">
        <f>IF(AND($W15&gt;0,ISNUMBER($K15)),$K15/$W15,"")</f>
        <v/>
      </c>
      <c r="M15" s="67" t="n"/>
      <c r="N15" s="73" t="str">
        <f>IF(AND($W15&gt;0,ISNUMBER($M15)),$M15/$W15,"")</f>
        <v/>
      </c>
      <c r="O15" s="67" t="n"/>
      <c r="P15" s="73" t="str">
        <f>IF(AND($W15&gt;0,ISNUMBER($O15)),$O15/$W15,"")</f>
        <v/>
      </c>
      <c r="Q15" s="67" t="n"/>
      <c r="R15" s="67" t="n"/>
      <c r="S15" s="67" t="n"/>
      <c r="T15" s="64" t="n"/>
      <c r="U15" s="64" t="n"/>
      <c r="V15" s="65" t="n"/>
      <c r="W15" s="72">
        <f>IF($D15="",0,IF(ISNUMBER($G15),IF($G15&gt;0,$G15,N($F15)),N($F15)))</f>
        <v>0</v>
      </c>
      <c r="X15" s="71" t="str">
        <f>IF(ISNUMBER($A15),YEAR($A15)&amp;"-"&amp;TEXT(MONTH($A15),"00"),"")</f>
        <v/>
      </c>
      <c r="Y15" s="71">
        <f>IF($D15="",0,IF(AND(OR(fClient="All",$B15=fClient),OR(fCampaign="All",$C15=fCampaign),OR(fTeam="All",$T15=fTeam),OR(fChannel="All",fChannel="Email",fChannel="Content Syndication"),OR(fMonth="All",$X15=fMonth)),1,0))</f>
        <v>0</v>
      </c>
      <c r="Z15" s="71">
        <f>IF($D15="",0,IF(AND(OR(fClient="All",$B15=fClient),OR(fCampaign="All",$C15=fCampaign),OR(fTeam="All",$T15=fTeam),OR(fChannel="All",fChannel="Email",fChannel="Content Syndication")),1,0))</f>
        <v>0</v>
      </c>
    </row>
    <row r="16">
      <c r="A16" s="63" t="n"/>
      <c r="B16" s="64" t="n"/>
      <c r="C16" s="64" t="n"/>
      <c r="D16" s="64" t="n"/>
      <c r="E16" s="67" t="n"/>
      <c r="F16" s="67" t="n"/>
      <c r="G16" s="67" t="n"/>
      <c r="H16" s="67" t="n"/>
      <c r="I16" s="67" t="n"/>
      <c r="J16" s="73" t="str">
        <f>IF(AND($W16&gt;0,ISNUMBER($I16)),$I16/$W16,"")</f>
        <v/>
      </c>
      <c r="K16" s="67" t="n"/>
      <c r="L16" s="73" t="str">
        <f>IF(AND($W16&gt;0,ISNUMBER($K16)),$K16/$W16,"")</f>
        <v/>
      </c>
      <c r="M16" s="67" t="n"/>
      <c r="N16" s="73" t="str">
        <f>IF(AND($W16&gt;0,ISNUMBER($M16)),$M16/$W16,"")</f>
        <v/>
      </c>
      <c r="O16" s="67" t="n"/>
      <c r="P16" s="73" t="str">
        <f>IF(AND($W16&gt;0,ISNUMBER($O16)),$O16/$W16,"")</f>
        <v/>
      </c>
      <c r="Q16" s="67" t="n"/>
      <c r="R16" s="67" t="n"/>
      <c r="S16" s="67" t="n"/>
      <c r="T16" s="64" t="n"/>
      <c r="U16" s="64" t="n"/>
      <c r="V16" s="65" t="n"/>
      <c r="W16" s="72">
        <f>IF($D16="",0,IF(ISNUMBER($G16),IF($G16&gt;0,$G16,N($F16)),N($F16)))</f>
        <v>0</v>
      </c>
      <c r="X16" s="71" t="str">
        <f>IF(ISNUMBER($A16),YEAR($A16)&amp;"-"&amp;TEXT(MONTH($A16),"00"),"")</f>
        <v/>
      </c>
      <c r="Y16" s="71">
        <f>IF($D16="",0,IF(AND(OR(fClient="All",$B16=fClient),OR(fCampaign="All",$C16=fCampaign),OR(fTeam="All",$T16=fTeam),OR(fChannel="All",fChannel="Email",fChannel="Content Syndication"),OR(fMonth="All",$X16=fMonth)),1,0))</f>
        <v>0</v>
      </c>
      <c r="Z16" s="71">
        <f>IF($D16="",0,IF(AND(OR(fClient="All",$B16=fClient),OR(fCampaign="All",$C16=fCampaign),OR(fTeam="All",$T16=fTeam),OR(fChannel="All",fChannel="Email",fChannel="Content Syndication")),1,0))</f>
        <v>0</v>
      </c>
    </row>
    <row r="17">
      <c r="A17" s="63" t="n"/>
      <c r="B17" s="64" t="n"/>
      <c r="C17" s="64" t="n"/>
      <c r="D17" s="64" t="n"/>
      <c r="E17" s="67" t="n"/>
      <c r="F17" s="67" t="n"/>
      <c r="G17" s="67" t="n"/>
      <c r="H17" s="67" t="n"/>
      <c r="I17" s="67" t="n"/>
      <c r="J17" s="73" t="str">
        <f>IF(AND($W17&gt;0,ISNUMBER($I17)),$I17/$W17,"")</f>
        <v/>
      </c>
      <c r="K17" s="67" t="n"/>
      <c r="L17" s="73" t="str">
        <f>IF(AND($W17&gt;0,ISNUMBER($K17)),$K17/$W17,"")</f>
        <v/>
      </c>
      <c r="M17" s="67" t="n"/>
      <c r="N17" s="73" t="str">
        <f>IF(AND($W17&gt;0,ISNUMBER($M17)),$M17/$W17,"")</f>
        <v/>
      </c>
      <c r="O17" s="67" t="n"/>
      <c r="P17" s="73" t="str">
        <f>IF(AND($W17&gt;0,ISNUMBER($O17)),$O17/$W17,"")</f>
        <v/>
      </c>
      <c r="Q17" s="67" t="n"/>
      <c r="R17" s="67" t="n"/>
      <c r="S17" s="67" t="n"/>
      <c r="T17" s="64" t="n"/>
      <c r="U17" s="64" t="n"/>
      <c r="V17" s="65" t="n"/>
      <c r="W17" s="72">
        <f>IF($D17="",0,IF(ISNUMBER($G17),IF($G17&gt;0,$G17,N($F17)),N($F17)))</f>
        <v>0</v>
      </c>
      <c r="X17" s="71" t="str">
        <f>IF(ISNUMBER($A17),YEAR($A17)&amp;"-"&amp;TEXT(MONTH($A17),"00"),"")</f>
        <v/>
      </c>
      <c r="Y17" s="71">
        <f>IF($D17="",0,IF(AND(OR(fClient="All",$B17=fClient),OR(fCampaign="All",$C17=fCampaign),OR(fTeam="All",$T17=fTeam),OR(fChannel="All",fChannel="Email",fChannel="Content Syndication"),OR(fMonth="All",$X17=fMonth)),1,0))</f>
        <v>0</v>
      </c>
      <c r="Z17" s="71">
        <f>IF($D17="",0,IF(AND(OR(fClient="All",$B17=fClient),OR(fCampaign="All",$C17=fCampaign),OR(fTeam="All",$T17=fTeam),OR(fChannel="All",fChannel="Email",fChannel="Content Syndication")),1,0))</f>
        <v>0</v>
      </c>
    </row>
    <row r="18">
      <c r="A18" s="63" t="n"/>
      <c r="B18" s="64" t="n"/>
      <c r="C18" s="64" t="n"/>
      <c r="D18" s="64" t="n"/>
      <c r="E18" s="67" t="n"/>
      <c r="F18" s="67" t="n"/>
      <c r="G18" s="67" t="n"/>
      <c r="H18" s="67" t="n"/>
      <c r="I18" s="67" t="n"/>
      <c r="J18" s="73" t="str">
        <f>IF(AND($W18&gt;0,ISNUMBER($I18)),$I18/$W18,"")</f>
        <v/>
      </c>
      <c r="K18" s="67" t="n"/>
      <c r="L18" s="73" t="str">
        <f>IF(AND($W18&gt;0,ISNUMBER($K18)),$K18/$W18,"")</f>
        <v/>
      </c>
      <c r="M18" s="67" t="n"/>
      <c r="N18" s="73" t="str">
        <f>IF(AND($W18&gt;0,ISNUMBER($M18)),$M18/$W18,"")</f>
        <v/>
      </c>
      <c r="O18" s="67" t="n"/>
      <c r="P18" s="73" t="str">
        <f>IF(AND($W18&gt;0,ISNUMBER($O18)),$O18/$W18,"")</f>
        <v/>
      </c>
      <c r="Q18" s="67" t="n"/>
      <c r="R18" s="67" t="n"/>
      <c r="S18" s="67" t="n"/>
      <c r="T18" s="64" t="n"/>
      <c r="U18" s="64" t="n"/>
      <c r="V18" s="65" t="n"/>
      <c r="W18" s="72">
        <f>IF($D18="",0,IF(ISNUMBER($G18),IF($G18&gt;0,$G18,N($F18)),N($F18)))</f>
        <v>0</v>
      </c>
      <c r="X18" s="71" t="str">
        <f>IF(ISNUMBER($A18),YEAR($A18)&amp;"-"&amp;TEXT(MONTH($A18),"00"),"")</f>
        <v/>
      </c>
      <c r="Y18" s="71">
        <f>IF($D18="",0,IF(AND(OR(fClient="All",$B18=fClient),OR(fCampaign="All",$C18=fCampaign),OR(fTeam="All",$T18=fTeam),OR(fChannel="All",fChannel="Email",fChannel="Content Syndication"),OR(fMonth="All",$X18=fMonth)),1,0))</f>
        <v>0</v>
      </c>
      <c r="Z18" s="71">
        <f>IF($D18="",0,IF(AND(OR(fClient="All",$B18=fClient),OR(fCampaign="All",$C18=fCampaign),OR(fTeam="All",$T18=fTeam),OR(fChannel="All",fChannel="Email",fChannel="Content Syndication")),1,0))</f>
        <v>0</v>
      </c>
    </row>
    <row r="19">
      <c r="A19" s="63" t="n"/>
      <c r="B19" s="64" t="n"/>
      <c r="C19" s="64" t="n"/>
      <c r="D19" s="64" t="n"/>
      <c r="E19" s="67" t="n"/>
      <c r="F19" s="67" t="n"/>
      <c r="G19" s="67" t="n"/>
      <c r="H19" s="67" t="n"/>
      <c r="I19" s="67" t="n"/>
      <c r="J19" s="73" t="str">
        <f>IF(AND($W19&gt;0,ISNUMBER($I19)),$I19/$W19,"")</f>
        <v/>
      </c>
      <c r="K19" s="67" t="n"/>
      <c r="L19" s="73" t="str">
        <f>IF(AND($W19&gt;0,ISNUMBER($K19)),$K19/$W19,"")</f>
        <v/>
      </c>
      <c r="M19" s="67" t="n"/>
      <c r="N19" s="73" t="str">
        <f>IF(AND($W19&gt;0,ISNUMBER($M19)),$M19/$W19,"")</f>
        <v/>
      </c>
      <c r="O19" s="67" t="n"/>
      <c r="P19" s="73" t="str">
        <f>IF(AND($W19&gt;0,ISNUMBER($O19)),$O19/$W19,"")</f>
        <v/>
      </c>
      <c r="Q19" s="67" t="n"/>
      <c r="R19" s="67" t="n"/>
      <c r="S19" s="67" t="n"/>
      <c r="T19" s="64" t="n"/>
      <c r="U19" s="64" t="n"/>
      <c r="V19" s="65" t="n"/>
      <c r="W19" s="72">
        <f>IF($D19="",0,IF(ISNUMBER($G19),IF($G19&gt;0,$G19,N($F19)),N($F19)))</f>
        <v>0</v>
      </c>
      <c r="X19" s="71" t="str">
        <f>IF(ISNUMBER($A19),YEAR($A19)&amp;"-"&amp;TEXT(MONTH($A19),"00"),"")</f>
        <v/>
      </c>
      <c r="Y19" s="71">
        <f>IF($D19="",0,IF(AND(OR(fClient="All",$B19=fClient),OR(fCampaign="All",$C19=fCampaign),OR(fTeam="All",$T19=fTeam),OR(fChannel="All",fChannel="Email",fChannel="Content Syndication"),OR(fMonth="All",$X19=fMonth)),1,0))</f>
        <v>0</v>
      </c>
      <c r="Z19" s="71">
        <f>IF($D19="",0,IF(AND(OR(fClient="All",$B19=fClient),OR(fCampaign="All",$C19=fCampaign),OR(fTeam="All",$T19=fTeam),OR(fChannel="All",fChannel="Email",fChannel="Content Syndication")),1,0))</f>
        <v>0</v>
      </c>
    </row>
    <row r="20">
      <c r="A20" s="63" t="n"/>
      <c r="B20" s="64" t="n"/>
      <c r="C20" s="64" t="n"/>
      <c r="D20" s="64" t="n"/>
      <c r="E20" s="67" t="n"/>
      <c r="F20" s="67" t="n"/>
      <c r="G20" s="67" t="n"/>
      <c r="H20" s="67" t="n"/>
      <c r="I20" s="67" t="n"/>
      <c r="J20" s="73" t="str">
        <f>IF(AND($W20&gt;0,ISNUMBER($I20)),$I20/$W20,"")</f>
        <v/>
      </c>
      <c r="K20" s="67" t="n"/>
      <c r="L20" s="73" t="str">
        <f>IF(AND($W20&gt;0,ISNUMBER($K20)),$K20/$W20,"")</f>
        <v/>
      </c>
      <c r="M20" s="67" t="n"/>
      <c r="N20" s="73" t="str">
        <f>IF(AND($W20&gt;0,ISNUMBER($M20)),$M20/$W20,"")</f>
        <v/>
      </c>
      <c r="O20" s="67" t="n"/>
      <c r="P20" s="73" t="str">
        <f>IF(AND($W20&gt;0,ISNUMBER($O20)),$O20/$W20,"")</f>
        <v/>
      </c>
      <c r="Q20" s="67" t="n"/>
      <c r="R20" s="67" t="n"/>
      <c r="S20" s="67" t="n"/>
      <c r="T20" s="64" t="n"/>
      <c r="U20" s="64" t="n"/>
      <c r="V20" s="65" t="n"/>
      <c r="W20" s="72">
        <f>IF($D20="",0,IF(ISNUMBER($G20),IF($G20&gt;0,$G20,N($F20)),N($F20)))</f>
        <v>0</v>
      </c>
      <c r="X20" s="71" t="str">
        <f>IF(ISNUMBER($A20),YEAR($A20)&amp;"-"&amp;TEXT(MONTH($A20),"00"),"")</f>
        <v/>
      </c>
      <c r="Y20" s="71">
        <f>IF($D20="",0,IF(AND(OR(fClient="All",$B20=fClient),OR(fCampaign="All",$C20=fCampaign),OR(fTeam="All",$T20=fTeam),OR(fChannel="All",fChannel="Email",fChannel="Content Syndication"),OR(fMonth="All",$X20=fMonth)),1,0))</f>
        <v>0</v>
      </c>
      <c r="Z20" s="71">
        <f>IF($D20="",0,IF(AND(OR(fClient="All",$B20=fClient),OR(fCampaign="All",$C20=fCampaign),OR(fTeam="All",$T20=fTeam),OR(fChannel="All",fChannel="Email",fChannel="Content Syndication")),1,0))</f>
        <v>0</v>
      </c>
    </row>
    <row r="21">
      <c r="A21" s="63" t="n"/>
      <c r="B21" s="64" t="n"/>
      <c r="C21" s="64" t="n"/>
      <c r="D21" s="64" t="n"/>
      <c r="E21" s="67" t="n"/>
      <c r="F21" s="67" t="n"/>
      <c r="G21" s="67" t="n"/>
      <c r="H21" s="67" t="n"/>
      <c r="I21" s="67" t="n"/>
      <c r="J21" s="73" t="str">
        <f>IF(AND($W21&gt;0,ISNUMBER($I21)),$I21/$W21,"")</f>
        <v/>
      </c>
      <c r="K21" s="67" t="n"/>
      <c r="L21" s="73" t="str">
        <f>IF(AND($W21&gt;0,ISNUMBER($K21)),$K21/$W21,"")</f>
        <v/>
      </c>
      <c r="M21" s="67" t="n"/>
      <c r="N21" s="73" t="str">
        <f>IF(AND($W21&gt;0,ISNUMBER($M21)),$M21/$W21,"")</f>
        <v/>
      </c>
      <c r="O21" s="67" t="n"/>
      <c r="P21" s="73" t="str">
        <f>IF(AND($W21&gt;0,ISNUMBER($O21)),$O21/$W21,"")</f>
        <v/>
      </c>
      <c r="Q21" s="67" t="n"/>
      <c r="R21" s="67" t="n"/>
      <c r="S21" s="67" t="n"/>
      <c r="T21" s="64" t="n"/>
      <c r="U21" s="64" t="n"/>
      <c r="V21" s="65" t="n"/>
      <c r="W21" s="72">
        <f>IF($D21="",0,IF(ISNUMBER($G21),IF($G21&gt;0,$G21,N($F21)),N($F21)))</f>
        <v>0</v>
      </c>
      <c r="X21" s="71" t="str">
        <f>IF(ISNUMBER($A21),YEAR($A21)&amp;"-"&amp;TEXT(MONTH($A21),"00"),"")</f>
        <v/>
      </c>
      <c r="Y21" s="71">
        <f>IF($D21="",0,IF(AND(OR(fClient="All",$B21=fClient),OR(fCampaign="All",$C21=fCampaign),OR(fTeam="All",$T21=fTeam),OR(fChannel="All",fChannel="Email",fChannel="Content Syndication"),OR(fMonth="All",$X21=fMonth)),1,0))</f>
        <v>0</v>
      </c>
      <c r="Z21" s="71">
        <f>IF($D21="",0,IF(AND(OR(fClient="All",$B21=fClient),OR(fCampaign="All",$C21=fCampaign),OR(fTeam="All",$T21=fTeam),OR(fChannel="All",fChannel="Email",fChannel="Content Syndication")),1,0))</f>
        <v>0</v>
      </c>
    </row>
    <row r="22">
      <c r="A22" s="63" t="n"/>
      <c r="B22" s="64" t="n"/>
      <c r="C22" s="64" t="n"/>
      <c r="D22" s="64" t="n"/>
      <c r="E22" s="67" t="n"/>
      <c r="F22" s="67" t="n"/>
      <c r="G22" s="67" t="n"/>
      <c r="H22" s="67" t="n"/>
      <c r="I22" s="67" t="n"/>
      <c r="J22" s="73" t="str">
        <f>IF(AND($W22&gt;0,ISNUMBER($I22)),$I22/$W22,"")</f>
        <v/>
      </c>
      <c r="K22" s="67" t="n"/>
      <c r="L22" s="73" t="str">
        <f>IF(AND($W22&gt;0,ISNUMBER($K22)),$K22/$W22,"")</f>
        <v/>
      </c>
      <c r="M22" s="67" t="n"/>
      <c r="N22" s="73" t="str">
        <f>IF(AND($W22&gt;0,ISNUMBER($M22)),$M22/$W22,"")</f>
        <v/>
      </c>
      <c r="O22" s="67" t="n"/>
      <c r="P22" s="73" t="str">
        <f>IF(AND($W22&gt;0,ISNUMBER($O22)),$O22/$W22,"")</f>
        <v/>
      </c>
      <c r="Q22" s="67" t="n"/>
      <c r="R22" s="67" t="n"/>
      <c r="S22" s="67" t="n"/>
      <c r="T22" s="64" t="n"/>
      <c r="U22" s="64" t="n"/>
      <c r="V22" s="65" t="n"/>
      <c r="W22" s="72">
        <f>IF($D22="",0,IF(ISNUMBER($G22),IF($G22&gt;0,$G22,N($F22)),N($F22)))</f>
        <v>0</v>
      </c>
      <c r="X22" s="71" t="str">
        <f>IF(ISNUMBER($A22),YEAR($A22)&amp;"-"&amp;TEXT(MONTH($A22),"00"),"")</f>
        <v/>
      </c>
      <c r="Y22" s="71">
        <f>IF($D22="",0,IF(AND(OR(fClient="All",$B22=fClient),OR(fCampaign="All",$C22=fCampaign),OR(fTeam="All",$T22=fTeam),OR(fChannel="All",fChannel="Email",fChannel="Content Syndication"),OR(fMonth="All",$X22=fMonth)),1,0))</f>
        <v>0</v>
      </c>
      <c r="Z22" s="71">
        <f>IF($D22="",0,IF(AND(OR(fClient="All",$B22=fClient),OR(fCampaign="All",$C22=fCampaign),OR(fTeam="All",$T22=fTeam),OR(fChannel="All",fChannel="Email",fChannel="Content Syndication")),1,0))</f>
        <v>0</v>
      </c>
    </row>
    <row r="23">
      <c r="A23" s="63" t="n"/>
      <c r="B23" s="64" t="n"/>
      <c r="C23" s="64" t="n"/>
      <c r="D23" s="64" t="n"/>
      <c r="E23" s="67" t="n"/>
      <c r="F23" s="67" t="n"/>
      <c r="G23" s="67" t="n"/>
      <c r="H23" s="67" t="n"/>
      <c r="I23" s="67" t="n"/>
      <c r="J23" s="73" t="str">
        <f>IF(AND($W23&gt;0,ISNUMBER($I23)),$I23/$W23,"")</f>
        <v/>
      </c>
      <c r="K23" s="67" t="n"/>
      <c r="L23" s="73" t="str">
        <f>IF(AND($W23&gt;0,ISNUMBER($K23)),$K23/$W23,"")</f>
        <v/>
      </c>
      <c r="M23" s="67" t="n"/>
      <c r="N23" s="73" t="str">
        <f>IF(AND($W23&gt;0,ISNUMBER($M23)),$M23/$W23,"")</f>
        <v/>
      </c>
      <c r="O23" s="67" t="n"/>
      <c r="P23" s="73" t="str">
        <f>IF(AND($W23&gt;0,ISNUMBER($O23)),$O23/$W23,"")</f>
        <v/>
      </c>
      <c r="Q23" s="67" t="n"/>
      <c r="R23" s="67" t="n"/>
      <c r="S23" s="67" t="n"/>
      <c r="T23" s="64" t="n"/>
      <c r="U23" s="64" t="n"/>
      <c r="V23" s="65" t="n"/>
      <c r="W23" s="72">
        <f>IF($D23="",0,IF(ISNUMBER($G23),IF($G23&gt;0,$G23,N($F23)),N($F23)))</f>
        <v>0</v>
      </c>
      <c r="X23" s="71" t="str">
        <f>IF(ISNUMBER($A23),YEAR($A23)&amp;"-"&amp;TEXT(MONTH($A23),"00"),"")</f>
        <v/>
      </c>
      <c r="Y23" s="71">
        <f>IF($D23="",0,IF(AND(OR(fClient="All",$B23=fClient),OR(fCampaign="All",$C23=fCampaign),OR(fTeam="All",$T23=fTeam),OR(fChannel="All",fChannel="Email",fChannel="Content Syndication"),OR(fMonth="All",$X23=fMonth)),1,0))</f>
        <v>0</v>
      </c>
      <c r="Z23" s="71">
        <f>IF($D23="",0,IF(AND(OR(fClient="All",$B23=fClient),OR(fCampaign="All",$C23=fCampaign),OR(fTeam="All",$T23=fTeam),OR(fChannel="All",fChannel="Email",fChannel="Content Syndication")),1,0))</f>
        <v>0</v>
      </c>
    </row>
    <row r="24">
      <c r="A24" s="63" t="n"/>
      <c r="B24" s="64" t="n"/>
      <c r="C24" s="64" t="n"/>
      <c r="D24" s="64" t="n"/>
      <c r="E24" s="67" t="n"/>
      <c r="F24" s="67" t="n"/>
      <c r="G24" s="67" t="n"/>
      <c r="H24" s="67" t="n"/>
      <c r="I24" s="67" t="n"/>
      <c r="J24" s="73" t="str">
        <f>IF(AND($W24&gt;0,ISNUMBER($I24)),$I24/$W24,"")</f>
        <v/>
      </c>
      <c r="K24" s="67" t="n"/>
      <c r="L24" s="73" t="str">
        <f>IF(AND($W24&gt;0,ISNUMBER($K24)),$K24/$W24,"")</f>
        <v/>
      </c>
      <c r="M24" s="67" t="n"/>
      <c r="N24" s="73" t="str">
        <f>IF(AND($W24&gt;0,ISNUMBER($M24)),$M24/$W24,"")</f>
        <v/>
      </c>
      <c r="O24" s="67" t="n"/>
      <c r="P24" s="73" t="str">
        <f>IF(AND($W24&gt;0,ISNUMBER($O24)),$O24/$W24,"")</f>
        <v/>
      </c>
      <c r="Q24" s="67" t="n"/>
      <c r="R24" s="67" t="n"/>
      <c r="S24" s="67" t="n"/>
      <c r="T24" s="64" t="n"/>
      <c r="U24" s="64" t="n"/>
      <c r="V24" s="65" t="n"/>
      <c r="W24" s="72">
        <f>IF($D24="",0,IF(ISNUMBER($G24),IF($G24&gt;0,$G24,N($F24)),N($F24)))</f>
        <v>0</v>
      </c>
      <c r="X24" s="71" t="str">
        <f>IF(ISNUMBER($A24),YEAR($A24)&amp;"-"&amp;TEXT(MONTH($A24),"00"),"")</f>
        <v/>
      </c>
      <c r="Y24" s="71">
        <f>IF($D24="",0,IF(AND(OR(fClient="All",$B24=fClient),OR(fCampaign="All",$C24=fCampaign),OR(fTeam="All",$T24=fTeam),OR(fChannel="All",fChannel="Email",fChannel="Content Syndication"),OR(fMonth="All",$X24=fMonth)),1,0))</f>
        <v>0</v>
      </c>
      <c r="Z24" s="71">
        <f>IF($D24="",0,IF(AND(OR(fClient="All",$B24=fClient),OR(fCampaign="All",$C24=fCampaign),OR(fTeam="All",$T24=fTeam),OR(fChannel="All",fChannel="Email",fChannel="Content Syndication")),1,0))</f>
        <v>0</v>
      </c>
    </row>
    <row r="25">
      <c r="A25" s="63" t="n"/>
      <c r="B25" s="64" t="n"/>
      <c r="C25" s="64" t="n"/>
      <c r="D25" s="64" t="n"/>
      <c r="E25" s="67" t="n"/>
      <c r="F25" s="67" t="n"/>
      <c r="G25" s="67" t="n"/>
      <c r="H25" s="67" t="n"/>
      <c r="I25" s="67" t="n"/>
      <c r="J25" s="73" t="str">
        <f>IF(AND($W25&gt;0,ISNUMBER($I25)),$I25/$W25,"")</f>
        <v/>
      </c>
      <c r="K25" s="67" t="n"/>
      <c r="L25" s="73" t="str">
        <f>IF(AND($W25&gt;0,ISNUMBER($K25)),$K25/$W25,"")</f>
        <v/>
      </c>
      <c r="M25" s="67" t="n"/>
      <c r="N25" s="73" t="str">
        <f>IF(AND($W25&gt;0,ISNUMBER($M25)),$M25/$W25,"")</f>
        <v/>
      </c>
      <c r="O25" s="67" t="n"/>
      <c r="P25" s="73" t="str">
        <f>IF(AND($W25&gt;0,ISNUMBER($O25)),$O25/$W25,"")</f>
        <v/>
      </c>
      <c r="Q25" s="67" t="n"/>
      <c r="R25" s="67" t="n"/>
      <c r="S25" s="67" t="n"/>
      <c r="T25" s="64" t="n"/>
      <c r="U25" s="64" t="n"/>
      <c r="V25" s="65" t="n"/>
      <c r="W25" s="72">
        <f>IF($D25="",0,IF(ISNUMBER($G25),IF($G25&gt;0,$G25,N($F25)),N($F25)))</f>
        <v>0</v>
      </c>
      <c r="X25" s="71" t="str">
        <f>IF(ISNUMBER($A25),YEAR($A25)&amp;"-"&amp;TEXT(MONTH($A25),"00"),"")</f>
        <v/>
      </c>
      <c r="Y25" s="71">
        <f>IF($D25="",0,IF(AND(OR(fClient="All",$B25=fClient),OR(fCampaign="All",$C25=fCampaign),OR(fTeam="All",$T25=fTeam),OR(fChannel="All",fChannel="Email",fChannel="Content Syndication"),OR(fMonth="All",$X25=fMonth)),1,0))</f>
        <v>0</v>
      </c>
      <c r="Z25" s="71">
        <f>IF($D25="",0,IF(AND(OR(fClient="All",$B25=fClient),OR(fCampaign="All",$C25=fCampaign),OR(fTeam="All",$T25=fTeam),OR(fChannel="All",fChannel="Email",fChannel="Content Syndication")),1,0))</f>
        <v>0</v>
      </c>
    </row>
    <row r="26">
      <c r="A26" s="63" t="n"/>
      <c r="B26" s="64" t="n"/>
      <c r="C26" s="64" t="n"/>
      <c r="D26" s="64" t="n"/>
      <c r="E26" s="67" t="n"/>
      <c r="F26" s="67" t="n"/>
      <c r="G26" s="67" t="n"/>
      <c r="H26" s="67" t="n"/>
      <c r="I26" s="67" t="n"/>
      <c r="J26" s="73" t="str">
        <f>IF(AND($W26&gt;0,ISNUMBER($I26)),$I26/$W26,"")</f>
        <v/>
      </c>
      <c r="K26" s="67" t="n"/>
      <c r="L26" s="73" t="str">
        <f>IF(AND($W26&gt;0,ISNUMBER($K26)),$K26/$W26,"")</f>
        <v/>
      </c>
      <c r="M26" s="67" t="n"/>
      <c r="N26" s="73" t="str">
        <f>IF(AND($W26&gt;0,ISNUMBER($M26)),$M26/$W26,"")</f>
        <v/>
      </c>
      <c r="O26" s="67" t="n"/>
      <c r="P26" s="73" t="str">
        <f>IF(AND($W26&gt;0,ISNUMBER($O26)),$O26/$W26,"")</f>
        <v/>
      </c>
      <c r="Q26" s="67" t="n"/>
      <c r="R26" s="67" t="n"/>
      <c r="S26" s="67" t="n"/>
      <c r="T26" s="64" t="n"/>
      <c r="U26" s="64" t="n"/>
      <c r="V26" s="65" t="n"/>
      <c r="W26" s="72">
        <f>IF($D26="",0,IF(ISNUMBER($G26),IF($G26&gt;0,$G26,N($F26)),N($F26)))</f>
        <v>0</v>
      </c>
      <c r="X26" s="71" t="str">
        <f>IF(ISNUMBER($A26),YEAR($A26)&amp;"-"&amp;TEXT(MONTH($A26),"00"),"")</f>
        <v/>
      </c>
      <c r="Y26" s="71">
        <f>IF($D26="",0,IF(AND(OR(fClient="All",$B26=fClient),OR(fCampaign="All",$C26=fCampaign),OR(fTeam="All",$T26=fTeam),OR(fChannel="All",fChannel="Email",fChannel="Content Syndication"),OR(fMonth="All",$X26=fMonth)),1,0))</f>
        <v>0</v>
      </c>
      <c r="Z26" s="71">
        <f>IF($D26="",0,IF(AND(OR(fClient="All",$B26=fClient),OR(fCampaign="All",$C26=fCampaign),OR(fTeam="All",$T26=fTeam),OR(fChannel="All",fChannel="Email",fChannel="Content Syndication")),1,0))</f>
        <v>0</v>
      </c>
    </row>
    <row r="27">
      <c r="A27" s="63" t="n"/>
      <c r="B27" s="64" t="n"/>
      <c r="C27" s="64" t="n"/>
      <c r="D27" s="64" t="n"/>
      <c r="E27" s="67" t="n"/>
      <c r="F27" s="67" t="n"/>
      <c r="G27" s="67" t="n"/>
      <c r="H27" s="67" t="n"/>
      <c r="I27" s="67" t="n"/>
      <c r="J27" s="73" t="str">
        <f>IF(AND($W27&gt;0,ISNUMBER($I27)),$I27/$W27,"")</f>
        <v/>
      </c>
      <c r="K27" s="67" t="n"/>
      <c r="L27" s="73" t="str">
        <f>IF(AND($W27&gt;0,ISNUMBER($K27)),$K27/$W27,"")</f>
        <v/>
      </c>
      <c r="M27" s="67" t="n"/>
      <c r="N27" s="73" t="str">
        <f>IF(AND($W27&gt;0,ISNUMBER($M27)),$M27/$W27,"")</f>
        <v/>
      </c>
      <c r="O27" s="67" t="n"/>
      <c r="P27" s="73" t="str">
        <f>IF(AND($W27&gt;0,ISNUMBER($O27)),$O27/$W27,"")</f>
        <v/>
      </c>
      <c r="Q27" s="67" t="n"/>
      <c r="R27" s="67" t="n"/>
      <c r="S27" s="67" t="n"/>
      <c r="T27" s="64" t="n"/>
      <c r="U27" s="64" t="n"/>
      <c r="V27" s="65" t="n"/>
      <c r="W27" s="72">
        <f>IF($D27="",0,IF(ISNUMBER($G27),IF($G27&gt;0,$G27,N($F27)),N($F27)))</f>
        <v>0</v>
      </c>
      <c r="X27" s="71" t="str">
        <f>IF(ISNUMBER($A27),YEAR($A27)&amp;"-"&amp;TEXT(MONTH($A27),"00"),"")</f>
        <v/>
      </c>
      <c r="Y27" s="71">
        <f>IF($D27="",0,IF(AND(OR(fClient="All",$B27=fClient),OR(fCampaign="All",$C27=fCampaign),OR(fTeam="All",$T27=fTeam),OR(fChannel="All",fChannel="Email",fChannel="Content Syndication"),OR(fMonth="All",$X27=fMonth)),1,0))</f>
        <v>0</v>
      </c>
      <c r="Z27" s="71">
        <f>IF($D27="",0,IF(AND(OR(fClient="All",$B27=fClient),OR(fCampaign="All",$C27=fCampaign),OR(fTeam="All",$T27=fTeam),OR(fChannel="All",fChannel="Email",fChannel="Content Syndication")),1,0))</f>
        <v>0</v>
      </c>
    </row>
    <row r="28">
      <c r="A28" s="63" t="n"/>
      <c r="B28" s="64" t="n"/>
      <c r="C28" s="64" t="n"/>
      <c r="D28" s="64" t="n"/>
      <c r="E28" s="67" t="n"/>
      <c r="F28" s="67" t="n"/>
      <c r="G28" s="67" t="n"/>
      <c r="H28" s="67" t="n"/>
      <c r="I28" s="67" t="n"/>
      <c r="J28" s="73" t="str">
        <f>IF(AND($W28&gt;0,ISNUMBER($I28)),$I28/$W28,"")</f>
        <v/>
      </c>
      <c r="K28" s="67" t="n"/>
      <c r="L28" s="73" t="str">
        <f>IF(AND($W28&gt;0,ISNUMBER($K28)),$K28/$W28,"")</f>
        <v/>
      </c>
      <c r="M28" s="67" t="n"/>
      <c r="N28" s="73" t="str">
        <f>IF(AND($W28&gt;0,ISNUMBER($M28)),$M28/$W28,"")</f>
        <v/>
      </c>
      <c r="O28" s="67" t="n"/>
      <c r="P28" s="73" t="str">
        <f>IF(AND($W28&gt;0,ISNUMBER($O28)),$O28/$W28,"")</f>
        <v/>
      </c>
      <c r="Q28" s="67" t="n"/>
      <c r="R28" s="67" t="n"/>
      <c r="S28" s="67" t="n"/>
      <c r="T28" s="64" t="n"/>
      <c r="U28" s="64" t="n"/>
      <c r="V28" s="65" t="n"/>
      <c r="W28" s="72">
        <f>IF($D28="",0,IF(ISNUMBER($G28),IF($G28&gt;0,$G28,N($F28)),N($F28)))</f>
        <v>0</v>
      </c>
      <c r="X28" s="71" t="str">
        <f>IF(ISNUMBER($A28),YEAR($A28)&amp;"-"&amp;TEXT(MONTH($A28),"00"),"")</f>
        <v/>
      </c>
      <c r="Y28" s="71">
        <f>IF($D28="",0,IF(AND(OR(fClient="All",$B28=fClient),OR(fCampaign="All",$C28=fCampaign),OR(fTeam="All",$T28=fTeam),OR(fChannel="All",fChannel="Email",fChannel="Content Syndication"),OR(fMonth="All",$X28=fMonth)),1,0))</f>
        <v>0</v>
      </c>
      <c r="Z28" s="71">
        <f>IF($D28="",0,IF(AND(OR(fClient="All",$B28=fClient),OR(fCampaign="All",$C28=fCampaign),OR(fTeam="All",$T28=fTeam),OR(fChannel="All",fChannel="Email",fChannel="Content Syndication")),1,0))</f>
        <v>0</v>
      </c>
    </row>
    <row r="29">
      <c r="A29" s="63" t="n"/>
      <c r="B29" s="64" t="n"/>
      <c r="C29" s="64" t="n"/>
      <c r="D29" s="64" t="n"/>
      <c r="E29" s="67" t="n"/>
      <c r="F29" s="67" t="n"/>
      <c r="G29" s="67" t="n"/>
      <c r="H29" s="67" t="n"/>
      <c r="I29" s="67" t="n"/>
      <c r="J29" s="73" t="str">
        <f>IF(AND($W29&gt;0,ISNUMBER($I29)),$I29/$W29,"")</f>
        <v/>
      </c>
      <c r="K29" s="67" t="n"/>
      <c r="L29" s="73" t="str">
        <f>IF(AND($W29&gt;0,ISNUMBER($K29)),$K29/$W29,"")</f>
        <v/>
      </c>
      <c r="M29" s="67" t="n"/>
      <c r="N29" s="73" t="str">
        <f>IF(AND($W29&gt;0,ISNUMBER($M29)),$M29/$W29,"")</f>
        <v/>
      </c>
      <c r="O29" s="67" t="n"/>
      <c r="P29" s="73" t="str">
        <f>IF(AND($W29&gt;0,ISNUMBER($O29)),$O29/$W29,"")</f>
        <v/>
      </c>
      <c r="Q29" s="67" t="n"/>
      <c r="R29" s="67" t="n"/>
      <c r="S29" s="67" t="n"/>
      <c r="T29" s="64" t="n"/>
      <c r="U29" s="64" t="n"/>
      <c r="V29" s="65" t="n"/>
      <c r="W29" s="72">
        <f>IF($D29="",0,IF(ISNUMBER($G29),IF($G29&gt;0,$G29,N($F29)),N($F29)))</f>
        <v>0</v>
      </c>
      <c r="X29" s="71" t="str">
        <f>IF(ISNUMBER($A29),YEAR($A29)&amp;"-"&amp;TEXT(MONTH($A29),"00"),"")</f>
        <v/>
      </c>
      <c r="Y29" s="71">
        <f>IF($D29="",0,IF(AND(OR(fClient="All",$B29=fClient),OR(fCampaign="All",$C29=fCampaign),OR(fTeam="All",$T29=fTeam),OR(fChannel="All",fChannel="Email",fChannel="Content Syndication"),OR(fMonth="All",$X29=fMonth)),1,0))</f>
        <v>0</v>
      </c>
      <c r="Z29" s="71">
        <f>IF($D29="",0,IF(AND(OR(fClient="All",$B29=fClient),OR(fCampaign="All",$C29=fCampaign),OR(fTeam="All",$T29=fTeam),OR(fChannel="All",fChannel="Email",fChannel="Content Syndication")),1,0))</f>
        <v>0</v>
      </c>
    </row>
    <row r="30">
      <c r="A30" s="63" t="n"/>
      <c r="B30" s="64" t="n"/>
      <c r="C30" s="64" t="n"/>
      <c r="D30" s="64" t="n"/>
      <c r="E30" s="67" t="n"/>
      <c r="F30" s="67" t="n"/>
      <c r="G30" s="67" t="n"/>
      <c r="H30" s="67" t="n"/>
      <c r="I30" s="67" t="n"/>
      <c r="J30" s="73" t="str">
        <f>IF(AND($W30&gt;0,ISNUMBER($I30)),$I30/$W30,"")</f>
        <v/>
      </c>
      <c r="K30" s="67" t="n"/>
      <c r="L30" s="73" t="str">
        <f>IF(AND($W30&gt;0,ISNUMBER($K30)),$K30/$W30,"")</f>
        <v/>
      </c>
      <c r="M30" s="67" t="n"/>
      <c r="N30" s="73" t="str">
        <f>IF(AND($W30&gt;0,ISNUMBER($M30)),$M30/$W30,"")</f>
        <v/>
      </c>
      <c r="O30" s="67" t="n"/>
      <c r="P30" s="73" t="str">
        <f>IF(AND($W30&gt;0,ISNUMBER($O30)),$O30/$W30,"")</f>
        <v/>
      </c>
      <c r="Q30" s="67" t="n"/>
      <c r="R30" s="67" t="n"/>
      <c r="S30" s="67" t="n"/>
      <c r="T30" s="64" t="n"/>
      <c r="U30" s="64" t="n"/>
      <c r="V30" s="65" t="n"/>
      <c r="W30" s="72">
        <f>IF($D30="",0,IF(ISNUMBER($G30),IF($G30&gt;0,$G30,N($F30)),N($F30)))</f>
        <v>0</v>
      </c>
      <c r="X30" s="71" t="str">
        <f>IF(ISNUMBER($A30),YEAR($A30)&amp;"-"&amp;TEXT(MONTH($A30),"00"),"")</f>
        <v/>
      </c>
      <c r="Y30" s="71">
        <f>IF($D30="",0,IF(AND(OR(fClient="All",$B30=fClient),OR(fCampaign="All",$C30=fCampaign),OR(fTeam="All",$T30=fTeam),OR(fChannel="All",fChannel="Email",fChannel="Content Syndication"),OR(fMonth="All",$X30=fMonth)),1,0))</f>
        <v>0</v>
      </c>
      <c r="Z30" s="71">
        <f>IF($D30="",0,IF(AND(OR(fClient="All",$B30=fClient),OR(fCampaign="All",$C30=fCampaign),OR(fTeam="All",$T30=fTeam),OR(fChannel="All",fChannel="Email",fChannel="Content Syndication")),1,0))</f>
        <v>0</v>
      </c>
    </row>
    <row r="31">
      <c r="A31" s="63" t="n"/>
      <c r="B31" s="64" t="n"/>
      <c r="C31" s="64" t="n"/>
      <c r="D31" s="64" t="n"/>
      <c r="E31" s="67" t="n"/>
      <c r="F31" s="67" t="n"/>
      <c r="G31" s="67" t="n"/>
      <c r="H31" s="67" t="n"/>
      <c r="I31" s="67" t="n"/>
      <c r="J31" s="73" t="str">
        <f>IF(AND($W31&gt;0,ISNUMBER($I31)),$I31/$W31,"")</f>
        <v/>
      </c>
      <c r="K31" s="67" t="n"/>
      <c r="L31" s="73" t="str">
        <f>IF(AND($W31&gt;0,ISNUMBER($K31)),$K31/$W31,"")</f>
        <v/>
      </c>
      <c r="M31" s="67" t="n"/>
      <c r="N31" s="73" t="str">
        <f>IF(AND($W31&gt;0,ISNUMBER($M31)),$M31/$W31,"")</f>
        <v/>
      </c>
      <c r="O31" s="67" t="n"/>
      <c r="P31" s="73" t="str">
        <f>IF(AND($W31&gt;0,ISNUMBER($O31)),$O31/$W31,"")</f>
        <v/>
      </c>
      <c r="Q31" s="67" t="n"/>
      <c r="R31" s="67" t="n"/>
      <c r="S31" s="67" t="n"/>
      <c r="T31" s="64" t="n"/>
      <c r="U31" s="64" t="n"/>
      <c r="V31" s="65" t="n"/>
      <c r="W31" s="72">
        <f>IF($D31="",0,IF(ISNUMBER($G31),IF($G31&gt;0,$G31,N($F31)),N($F31)))</f>
        <v>0</v>
      </c>
      <c r="X31" s="71" t="str">
        <f>IF(ISNUMBER($A31),YEAR($A31)&amp;"-"&amp;TEXT(MONTH($A31),"00"),"")</f>
        <v/>
      </c>
      <c r="Y31" s="71">
        <f>IF($D31="",0,IF(AND(OR(fClient="All",$B31=fClient),OR(fCampaign="All",$C31=fCampaign),OR(fTeam="All",$T31=fTeam),OR(fChannel="All",fChannel="Email",fChannel="Content Syndication"),OR(fMonth="All",$X31=fMonth)),1,0))</f>
        <v>0</v>
      </c>
      <c r="Z31" s="71">
        <f>IF($D31="",0,IF(AND(OR(fClient="All",$B31=fClient),OR(fCampaign="All",$C31=fCampaign),OR(fTeam="All",$T31=fTeam),OR(fChannel="All",fChannel="Email",fChannel="Content Syndication")),1,0))</f>
        <v>0</v>
      </c>
    </row>
    <row r="32">
      <c r="A32" s="63" t="n"/>
      <c r="B32" s="64" t="n"/>
      <c r="C32" s="64" t="n"/>
      <c r="D32" s="64" t="n"/>
      <c r="E32" s="67" t="n"/>
      <c r="F32" s="67" t="n"/>
      <c r="G32" s="67" t="n"/>
      <c r="H32" s="67" t="n"/>
      <c r="I32" s="67" t="n"/>
      <c r="J32" s="73" t="str">
        <f>IF(AND($W32&gt;0,ISNUMBER($I32)),$I32/$W32,"")</f>
        <v/>
      </c>
      <c r="K32" s="67" t="n"/>
      <c r="L32" s="73" t="str">
        <f>IF(AND($W32&gt;0,ISNUMBER($K32)),$K32/$W32,"")</f>
        <v/>
      </c>
      <c r="M32" s="67" t="n"/>
      <c r="N32" s="73" t="str">
        <f>IF(AND($W32&gt;0,ISNUMBER($M32)),$M32/$W32,"")</f>
        <v/>
      </c>
      <c r="O32" s="67" t="n"/>
      <c r="P32" s="73" t="str">
        <f>IF(AND($W32&gt;0,ISNUMBER($O32)),$O32/$W32,"")</f>
        <v/>
      </c>
      <c r="Q32" s="67" t="n"/>
      <c r="R32" s="67" t="n"/>
      <c r="S32" s="67" t="n"/>
      <c r="T32" s="64" t="n"/>
      <c r="U32" s="64" t="n"/>
      <c r="V32" s="65" t="n"/>
      <c r="W32" s="72">
        <f>IF($D32="",0,IF(ISNUMBER($G32),IF($G32&gt;0,$G32,N($F32)),N($F32)))</f>
        <v>0</v>
      </c>
      <c r="X32" s="71" t="str">
        <f>IF(ISNUMBER($A32),YEAR($A32)&amp;"-"&amp;TEXT(MONTH($A32),"00"),"")</f>
        <v/>
      </c>
      <c r="Y32" s="71">
        <f>IF($D32="",0,IF(AND(OR(fClient="All",$B32=fClient),OR(fCampaign="All",$C32=fCampaign),OR(fTeam="All",$T32=fTeam),OR(fChannel="All",fChannel="Email",fChannel="Content Syndication"),OR(fMonth="All",$X32=fMonth)),1,0))</f>
        <v>0</v>
      </c>
      <c r="Z32" s="71">
        <f>IF($D32="",0,IF(AND(OR(fClient="All",$B32=fClient),OR(fCampaign="All",$C32=fCampaign),OR(fTeam="All",$T32=fTeam),OR(fChannel="All",fChannel="Email",fChannel="Content Syndication")),1,0))</f>
        <v>0</v>
      </c>
    </row>
    <row r="33">
      <c r="A33" s="63" t="n"/>
      <c r="B33" s="64" t="n"/>
      <c r="C33" s="64" t="n"/>
      <c r="D33" s="64" t="n"/>
      <c r="E33" s="67" t="n"/>
      <c r="F33" s="67" t="n"/>
      <c r="G33" s="67" t="n"/>
      <c r="H33" s="67" t="n"/>
      <c r="I33" s="67" t="n"/>
      <c r="J33" s="73" t="str">
        <f>IF(AND($W33&gt;0,ISNUMBER($I33)),$I33/$W33,"")</f>
        <v/>
      </c>
      <c r="K33" s="67" t="n"/>
      <c r="L33" s="73" t="str">
        <f>IF(AND($W33&gt;0,ISNUMBER($K33)),$K33/$W33,"")</f>
        <v/>
      </c>
      <c r="M33" s="67" t="n"/>
      <c r="N33" s="73" t="str">
        <f>IF(AND($W33&gt;0,ISNUMBER($M33)),$M33/$W33,"")</f>
        <v/>
      </c>
      <c r="O33" s="67" t="n"/>
      <c r="P33" s="73" t="str">
        <f>IF(AND($W33&gt;0,ISNUMBER($O33)),$O33/$W33,"")</f>
        <v/>
      </c>
      <c r="Q33" s="67" t="n"/>
      <c r="R33" s="67" t="n"/>
      <c r="S33" s="67" t="n"/>
      <c r="T33" s="64" t="n"/>
      <c r="U33" s="64" t="n"/>
      <c r="V33" s="65" t="n"/>
      <c r="W33" s="72">
        <f>IF($D33="",0,IF(ISNUMBER($G33),IF($G33&gt;0,$G33,N($F33)),N($F33)))</f>
        <v>0</v>
      </c>
      <c r="X33" s="71" t="str">
        <f>IF(ISNUMBER($A33),YEAR($A33)&amp;"-"&amp;TEXT(MONTH($A33),"00"),"")</f>
        <v/>
      </c>
      <c r="Y33" s="71">
        <f>IF($D33="",0,IF(AND(OR(fClient="All",$B33=fClient),OR(fCampaign="All",$C33=fCampaign),OR(fTeam="All",$T33=fTeam),OR(fChannel="All",fChannel="Email",fChannel="Content Syndication"),OR(fMonth="All",$X33=fMonth)),1,0))</f>
        <v>0</v>
      </c>
      <c r="Z33" s="71">
        <f>IF($D33="",0,IF(AND(OR(fClient="All",$B33=fClient),OR(fCampaign="All",$C33=fCampaign),OR(fTeam="All",$T33=fTeam),OR(fChannel="All",fChannel="Email",fChannel="Content Syndication")),1,0))</f>
        <v>0</v>
      </c>
    </row>
    <row r="34">
      <c r="A34" s="63" t="n"/>
      <c r="B34" s="64" t="n"/>
      <c r="C34" s="64" t="n"/>
      <c r="D34" s="64" t="n"/>
      <c r="E34" s="67" t="n"/>
      <c r="F34" s="67" t="n"/>
      <c r="G34" s="67" t="n"/>
      <c r="H34" s="67" t="n"/>
      <c r="I34" s="67" t="n"/>
      <c r="J34" s="73" t="str">
        <f>IF(AND($W34&gt;0,ISNUMBER($I34)),$I34/$W34,"")</f>
        <v/>
      </c>
      <c r="K34" s="67" t="n"/>
      <c r="L34" s="73" t="str">
        <f>IF(AND($W34&gt;0,ISNUMBER($K34)),$K34/$W34,"")</f>
        <v/>
      </c>
      <c r="M34" s="67" t="n"/>
      <c r="N34" s="73" t="str">
        <f>IF(AND($W34&gt;0,ISNUMBER($M34)),$M34/$W34,"")</f>
        <v/>
      </c>
      <c r="O34" s="67" t="n"/>
      <c r="P34" s="73" t="str">
        <f>IF(AND($W34&gt;0,ISNUMBER($O34)),$O34/$W34,"")</f>
        <v/>
      </c>
      <c r="Q34" s="67" t="n"/>
      <c r="R34" s="67" t="n"/>
      <c r="S34" s="67" t="n"/>
      <c r="T34" s="64" t="n"/>
      <c r="U34" s="64" t="n"/>
      <c r="V34" s="65" t="n"/>
      <c r="W34" s="72">
        <f>IF($D34="",0,IF(ISNUMBER($G34),IF($G34&gt;0,$G34,N($F34)),N($F34)))</f>
        <v>0</v>
      </c>
      <c r="X34" s="71" t="str">
        <f>IF(ISNUMBER($A34),YEAR($A34)&amp;"-"&amp;TEXT(MONTH($A34),"00"),"")</f>
        <v/>
      </c>
      <c r="Y34" s="71">
        <f>IF($D34="",0,IF(AND(OR(fClient="All",$B34=fClient),OR(fCampaign="All",$C34=fCampaign),OR(fTeam="All",$T34=fTeam),OR(fChannel="All",fChannel="Email",fChannel="Content Syndication"),OR(fMonth="All",$X34=fMonth)),1,0))</f>
        <v>0</v>
      </c>
      <c r="Z34" s="71">
        <f>IF($D34="",0,IF(AND(OR(fClient="All",$B34=fClient),OR(fCampaign="All",$C34=fCampaign),OR(fTeam="All",$T34=fTeam),OR(fChannel="All",fChannel="Email",fChannel="Content Syndication")),1,0))</f>
        <v>0</v>
      </c>
    </row>
    <row r="35">
      <c r="A35" s="63" t="n"/>
      <c r="B35" s="64" t="n"/>
      <c r="C35" s="64" t="n"/>
      <c r="D35" s="64" t="n"/>
      <c r="E35" s="67" t="n"/>
      <c r="F35" s="67" t="n"/>
      <c r="G35" s="67" t="n"/>
      <c r="H35" s="67" t="n"/>
      <c r="I35" s="67" t="n"/>
      <c r="J35" s="73" t="str">
        <f>IF(AND($W35&gt;0,ISNUMBER($I35)),$I35/$W35,"")</f>
        <v/>
      </c>
      <c r="K35" s="67" t="n"/>
      <c r="L35" s="73" t="str">
        <f>IF(AND($W35&gt;0,ISNUMBER($K35)),$K35/$W35,"")</f>
        <v/>
      </c>
      <c r="M35" s="67" t="n"/>
      <c r="N35" s="73" t="str">
        <f>IF(AND($W35&gt;0,ISNUMBER($M35)),$M35/$W35,"")</f>
        <v/>
      </c>
      <c r="O35" s="67" t="n"/>
      <c r="P35" s="73" t="str">
        <f>IF(AND($W35&gt;0,ISNUMBER($O35)),$O35/$W35,"")</f>
        <v/>
      </c>
      <c r="Q35" s="67" t="n"/>
      <c r="R35" s="67" t="n"/>
      <c r="S35" s="67" t="n"/>
      <c r="T35" s="64" t="n"/>
      <c r="U35" s="64" t="n"/>
      <c r="V35" s="65" t="n"/>
      <c r="W35" s="72">
        <f>IF($D35="",0,IF(ISNUMBER($G35),IF($G35&gt;0,$G35,N($F35)),N($F35)))</f>
        <v>0</v>
      </c>
      <c r="X35" s="71" t="str">
        <f>IF(ISNUMBER($A35),YEAR($A35)&amp;"-"&amp;TEXT(MONTH($A35),"00"),"")</f>
        <v/>
      </c>
      <c r="Y35" s="71">
        <f>IF($D35="",0,IF(AND(OR(fClient="All",$B35=fClient),OR(fCampaign="All",$C35=fCampaign),OR(fTeam="All",$T35=fTeam),OR(fChannel="All",fChannel="Email",fChannel="Content Syndication"),OR(fMonth="All",$X35=fMonth)),1,0))</f>
        <v>0</v>
      </c>
      <c r="Z35" s="71">
        <f>IF($D35="",0,IF(AND(OR(fClient="All",$B35=fClient),OR(fCampaign="All",$C35=fCampaign),OR(fTeam="All",$T35=fTeam),OR(fChannel="All",fChannel="Email",fChannel="Content Syndication")),1,0))</f>
        <v>0</v>
      </c>
    </row>
    <row r="36">
      <c r="A36" s="63" t="n"/>
      <c r="B36" s="64" t="n"/>
      <c r="C36" s="64" t="n"/>
      <c r="D36" s="64" t="n"/>
      <c r="E36" s="67" t="n"/>
      <c r="F36" s="67" t="n"/>
      <c r="G36" s="67" t="n"/>
      <c r="H36" s="67" t="n"/>
      <c r="I36" s="67" t="n"/>
      <c r="J36" s="73" t="str">
        <f>IF(AND($W36&gt;0,ISNUMBER($I36)),$I36/$W36,"")</f>
        <v/>
      </c>
      <c r="K36" s="67" t="n"/>
      <c r="L36" s="73" t="str">
        <f>IF(AND($W36&gt;0,ISNUMBER($K36)),$K36/$W36,"")</f>
        <v/>
      </c>
      <c r="M36" s="67" t="n"/>
      <c r="N36" s="73" t="str">
        <f>IF(AND($W36&gt;0,ISNUMBER($M36)),$M36/$W36,"")</f>
        <v/>
      </c>
      <c r="O36" s="67" t="n"/>
      <c r="P36" s="73" t="str">
        <f>IF(AND($W36&gt;0,ISNUMBER($O36)),$O36/$W36,"")</f>
        <v/>
      </c>
      <c r="Q36" s="67" t="n"/>
      <c r="R36" s="67" t="n"/>
      <c r="S36" s="67" t="n"/>
      <c r="T36" s="64" t="n"/>
      <c r="U36" s="64" t="n"/>
      <c r="V36" s="65" t="n"/>
      <c r="W36" s="72">
        <f>IF($D36="",0,IF(ISNUMBER($G36),IF($G36&gt;0,$G36,N($F36)),N($F36)))</f>
        <v>0</v>
      </c>
      <c r="X36" s="71" t="str">
        <f>IF(ISNUMBER($A36),YEAR($A36)&amp;"-"&amp;TEXT(MONTH($A36),"00"),"")</f>
        <v/>
      </c>
      <c r="Y36" s="71">
        <f>IF($D36="",0,IF(AND(OR(fClient="All",$B36=fClient),OR(fCampaign="All",$C36=fCampaign),OR(fTeam="All",$T36=fTeam),OR(fChannel="All",fChannel="Email",fChannel="Content Syndication"),OR(fMonth="All",$X36=fMonth)),1,0))</f>
        <v>0</v>
      </c>
      <c r="Z36" s="71">
        <f>IF($D36="",0,IF(AND(OR(fClient="All",$B36=fClient),OR(fCampaign="All",$C36=fCampaign),OR(fTeam="All",$T36=fTeam),OR(fChannel="All",fChannel="Email",fChannel="Content Syndication")),1,0))</f>
        <v>0</v>
      </c>
    </row>
    <row r="37">
      <c r="A37" s="63" t="n"/>
      <c r="B37" s="64" t="n"/>
      <c r="C37" s="64" t="n"/>
      <c r="D37" s="64" t="n"/>
      <c r="E37" s="67" t="n"/>
      <c r="F37" s="67" t="n"/>
      <c r="G37" s="67" t="n"/>
      <c r="H37" s="67" t="n"/>
      <c r="I37" s="67" t="n"/>
      <c r="J37" s="73" t="str">
        <f>IF(AND($W37&gt;0,ISNUMBER($I37)),$I37/$W37,"")</f>
        <v/>
      </c>
      <c r="K37" s="67" t="n"/>
      <c r="L37" s="73" t="str">
        <f>IF(AND($W37&gt;0,ISNUMBER($K37)),$K37/$W37,"")</f>
        <v/>
      </c>
      <c r="M37" s="67" t="n"/>
      <c r="N37" s="73" t="str">
        <f>IF(AND($W37&gt;0,ISNUMBER($M37)),$M37/$W37,"")</f>
        <v/>
      </c>
      <c r="O37" s="67" t="n"/>
      <c r="P37" s="73" t="str">
        <f>IF(AND($W37&gt;0,ISNUMBER($O37)),$O37/$W37,"")</f>
        <v/>
      </c>
      <c r="Q37" s="67" t="n"/>
      <c r="R37" s="67" t="n"/>
      <c r="S37" s="67" t="n"/>
      <c r="T37" s="64" t="n"/>
      <c r="U37" s="64" t="n"/>
      <c r="V37" s="65" t="n"/>
      <c r="W37" s="72">
        <f>IF($D37="",0,IF(ISNUMBER($G37),IF($G37&gt;0,$G37,N($F37)),N($F37)))</f>
        <v>0</v>
      </c>
      <c r="X37" s="71" t="str">
        <f>IF(ISNUMBER($A37),YEAR($A37)&amp;"-"&amp;TEXT(MONTH($A37),"00"),"")</f>
        <v/>
      </c>
      <c r="Y37" s="71">
        <f>IF($D37="",0,IF(AND(OR(fClient="All",$B37=fClient),OR(fCampaign="All",$C37=fCampaign),OR(fTeam="All",$T37=fTeam),OR(fChannel="All",fChannel="Email",fChannel="Content Syndication"),OR(fMonth="All",$X37=fMonth)),1,0))</f>
        <v>0</v>
      </c>
      <c r="Z37" s="71">
        <f>IF($D37="",0,IF(AND(OR(fClient="All",$B37=fClient),OR(fCampaign="All",$C37=fCampaign),OR(fTeam="All",$T37=fTeam),OR(fChannel="All",fChannel="Email",fChannel="Content Syndication")),1,0))</f>
        <v>0</v>
      </c>
    </row>
    <row r="38">
      <c r="A38" s="63" t="n"/>
      <c r="B38" s="64" t="n"/>
      <c r="C38" s="64" t="n"/>
      <c r="D38" s="64" t="n"/>
      <c r="E38" s="67" t="n"/>
      <c r="F38" s="67" t="n"/>
      <c r="G38" s="67" t="n"/>
      <c r="H38" s="67" t="n"/>
      <c r="I38" s="67" t="n"/>
      <c r="J38" s="73" t="str">
        <f>IF(AND($W38&gt;0,ISNUMBER($I38)),$I38/$W38,"")</f>
        <v/>
      </c>
      <c r="K38" s="67" t="n"/>
      <c r="L38" s="73" t="str">
        <f>IF(AND($W38&gt;0,ISNUMBER($K38)),$K38/$W38,"")</f>
        <v/>
      </c>
      <c r="M38" s="67" t="n"/>
      <c r="N38" s="73" t="str">
        <f>IF(AND($W38&gt;0,ISNUMBER($M38)),$M38/$W38,"")</f>
        <v/>
      </c>
      <c r="O38" s="67" t="n"/>
      <c r="P38" s="73" t="str">
        <f>IF(AND($W38&gt;0,ISNUMBER($O38)),$O38/$W38,"")</f>
        <v/>
      </c>
      <c r="Q38" s="67" t="n"/>
      <c r="R38" s="67" t="n"/>
      <c r="S38" s="67" t="n"/>
      <c r="T38" s="64" t="n"/>
      <c r="U38" s="64" t="n"/>
      <c r="V38" s="65" t="n"/>
      <c r="W38" s="72">
        <f>IF($D38="",0,IF(ISNUMBER($G38),IF($G38&gt;0,$G38,N($F38)),N($F38)))</f>
        <v>0</v>
      </c>
      <c r="X38" s="71" t="str">
        <f>IF(ISNUMBER($A38),YEAR($A38)&amp;"-"&amp;TEXT(MONTH($A38),"00"),"")</f>
        <v/>
      </c>
      <c r="Y38" s="71">
        <f>IF($D38="",0,IF(AND(OR(fClient="All",$B38=fClient),OR(fCampaign="All",$C38=fCampaign),OR(fTeam="All",$T38=fTeam),OR(fChannel="All",fChannel="Email",fChannel="Content Syndication"),OR(fMonth="All",$X38=fMonth)),1,0))</f>
        <v>0</v>
      </c>
      <c r="Z38" s="71">
        <f>IF($D38="",0,IF(AND(OR(fClient="All",$B38=fClient),OR(fCampaign="All",$C38=fCampaign),OR(fTeam="All",$T38=fTeam),OR(fChannel="All",fChannel="Email",fChannel="Content Syndication")),1,0))</f>
        <v>0</v>
      </c>
    </row>
    <row r="39">
      <c r="A39" s="63" t="n"/>
      <c r="B39" s="64" t="n"/>
      <c r="C39" s="64" t="n"/>
      <c r="D39" s="64" t="n"/>
      <c r="E39" s="67" t="n"/>
      <c r="F39" s="67" t="n"/>
      <c r="G39" s="67" t="n"/>
      <c r="H39" s="67" t="n"/>
      <c r="I39" s="67" t="n"/>
      <c r="J39" s="73" t="str">
        <f>IF(AND($W39&gt;0,ISNUMBER($I39)),$I39/$W39,"")</f>
        <v/>
      </c>
      <c r="K39" s="67" t="n"/>
      <c r="L39" s="73" t="str">
        <f>IF(AND($W39&gt;0,ISNUMBER($K39)),$K39/$W39,"")</f>
        <v/>
      </c>
      <c r="M39" s="67" t="n"/>
      <c r="N39" s="73" t="str">
        <f>IF(AND($W39&gt;0,ISNUMBER($M39)),$M39/$W39,"")</f>
        <v/>
      </c>
      <c r="O39" s="67" t="n"/>
      <c r="P39" s="73" t="str">
        <f>IF(AND($W39&gt;0,ISNUMBER($O39)),$O39/$W39,"")</f>
        <v/>
      </c>
      <c r="Q39" s="67" t="n"/>
      <c r="R39" s="67" t="n"/>
      <c r="S39" s="67" t="n"/>
      <c r="T39" s="64" t="n"/>
      <c r="U39" s="64" t="n"/>
      <c r="V39" s="65" t="n"/>
      <c r="W39" s="72">
        <f>IF($D39="",0,IF(ISNUMBER($G39),IF($G39&gt;0,$G39,N($F39)),N($F39)))</f>
        <v>0</v>
      </c>
      <c r="X39" s="71" t="str">
        <f>IF(ISNUMBER($A39),YEAR($A39)&amp;"-"&amp;TEXT(MONTH($A39),"00"),"")</f>
        <v/>
      </c>
      <c r="Y39" s="71">
        <f>IF($D39="",0,IF(AND(OR(fClient="All",$B39=fClient),OR(fCampaign="All",$C39=fCampaign),OR(fTeam="All",$T39=fTeam),OR(fChannel="All",fChannel="Email",fChannel="Content Syndication"),OR(fMonth="All",$X39=fMonth)),1,0))</f>
        <v>0</v>
      </c>
      <c r="Z39" s="71">
        <f>IF($D39="",0,IF(AND(OR(fClient="All",$B39=fClient),OR(fCampaign="All",$C39=fCampaign),OR(fTeam="All",$T39=fTeam),OR(fChannel="All",fChannel="Email",fChannel="Content Syndication")),1,0))</f>
        <v>0</v>
      </c>
    </row>
    <row r="40">
      <c r="A40" s="63" t="n"/>
      <c r="B40" s="64" t="n"/>
      <c r="C40" s="64" t="n"/>
      <c r="D40" s="64" t="n"/>
      <c r="E40" s="67" t="n"/>
      <c r="F40" s="67" t="n"/>
      <c r="G40" s="67" t="n"/>
      <c r="H40" s="67" t="n"/>
      <c r="I40" s="67" t="n"/>
      <c r="J40" s="73" t="str">
        <f>IF(AND($W40&gt;0,ISNUMBER($I40)),$I40/$W40,"")</f>
        <v/>
      </c>
      <c r="K40" s="67" t="n"/>
      <c r="L40" s="73" t="str">
        <f>IF(AND($W40&gt;0,ISNUMBER($K40)),$K40/$W40,"")</f>
        <v/>
      </c>
      <c r="M40" s="67" t="n"/>
      <c r="N40" s="73" t="str">
        <f>IF(AND($W40&gt;0,ISNUMBER($M40)),$M40/$W40,"")</f>
        <v/>
      </c>
      <c r="O40" s="67" t="n"/>
      <c r="P40" s="73" t="str">
        <f>IF(AND($W40&gt;0,ISNUMBER($O40)),$O40/$W40,"")</f>
        <v/>
      </c>
      <c r="Q40" s="67" t="n"/>
      <c r="R40" s="67" t="n"/>
      <c r="S40" s="67" t="n"/>
      <c r="T40" s="64" t="n"/>
      <c r="U40" s="64" t="n"/>
      <c r="V40" s="65" t="n"/>
      <c r="W40" s="72">
        <f>IF($D40="",0,IF(ISNUMBER($G40),IF($G40&gt;0,$G40,N($F40)),N($F40)))</f>
        <v>0</v>
      </c>
      <c r="X40" s="71" t="str">
        <f>IF(ISNUMBER($A40),YEAR($A40)&amp;"-"&amp;TEXT(MONTH($A40),"00"),"")</f>
        <v/>
      </c>
      <c r="Y40" s="71">
        <f>IF($D40="",0,IF(AND(OR(fClient="All",$B40=fClient),OR(fCampaign="All",$C40=fCampaign),OR(fTeam="All",$T40=fTeam),OR(fChannel="All",fChannel="Email",fChannel="Content Syndication"),OR(fMonth="All",$X40=fMonth)),1,0))</f>
        <v>0</v>
      </c>
      <c r="Z40" s="71">
        <f>IF($D40="",0,IF(AND(OR(fClient="All",$B40=fClient),OR(fCampaign="All",$C40=fCampaign),OR(fTeam="All",$T40=fTeam),OR(fChannel="All",fChannel="Email",fChannel="Content Syndication")),1,0))</f>
        <v>0</v>
      </c>
    </row>
    <row r="41">
      <c r="A41" s="63" t="n"/>
      <c r="B41" s="64" t="n"/>
      <c r="C41" s="64" t="n"/>
      <c r="D41" s="64" t="n"/>
      <c r="E41" s="67" t="n"/>
      <c r="F41" s="67" t="n"/>
      <c r="G41" s="67" t="n"/>
      <c r="H41" s="67" t="n"/>
      <c r="I41" s="67" t="n"/>
      <c r="J41" s="73" t="str">
        <f>IF(AND($W41&gt;0,ISNUMBER($I41)),$I41/$W41,"")</f>
        <v/>
      </c>
      <c r="K41" s="67" t="n"/>
      <c r="L41" s="73" t="str">
        <f>IF(AND($W41&gt;0,ISNUMBER($K41)),$K41/$W41,"")</f>
        <v/>
      </c>
      <c r="M41" s="67" t="n"/>
      <c r="N41" s="73" t="str">
        <f>IF(AND($W41&gt;0,ISNUMBER($M41)),$M41/$W41,"")</f>
        <v/>
      </c>
      <c r="O41" s="67" t="n"/>
      <c r="P41" s="73" t="str">
        <f>IF(AND($W41&gt;0,ISNUMBER($O41)),$O41/$W41,"")</f>
        <v/>
      </c>
      <c r="Q41" s="67" t="n"/>
      <c r="R41" s="67" t="n"/>
      <c r="S41" s="67" t="n"/>
      <c r="T41" s="64" t="n"/>
      <c r="U41" s="64" t="n"/>
      <c r="V41" s="65" t="n"/>
      <c r="W41" s="72">
        <f>IF($D41="",0,IF(ISNUMBER($G41),IF($G41&gt;0,$G41,N($F41)),N($F41)))</f>
        <v>0</v>
      </c>
      <c r="X41" s="71" t="str">
        <f>IF(ISNUMBER($A41),YEAR($A41)&amp;"-"&amp;TEXT(MONTH($A41),"00"),"")</f>
        <v/>
      </c>
      <c r="Y41" s="71">
        <f>IF($D41="",0,IF(AND(OR(fClient="All",$B41=fClient),OR(fCampaign="All",$C41=fCampaign),OR(fTeam="All",$T41=fTeam),OR(fChannel="All",fChannel="Email",fChannel="Content Syndication"),OR(fMonth="All",$X41=fMonth)),1,0))</f>
        <v>0</v>
      </c>
      <c r="Z41" s="71">
        <f>IF($D41="",0,IF(AND(OR(fClient="All",$B41=fClient),OR(fCampaign="All",$C41=fCampaign),OR(fTeam="All",$T41=fTeam),OR(fChannel="All",fChannel="Email",fChannel="Content Syndication")),1,0))</f>
        <v>0</v>
      </c>
    </row>
    <row r="42">
      <c r="A42" s="63" t="n"/>
      <c r="B42" s="64" t="n"/>
      <c r="C42" s="64" t="n"/>
      <c r="D42" s="64" t="n"/>
      <c r="E42" s="67" t="n"/>
      <c r="F42" s="67" t="n"/>
      <c r="G42" s="67" t="n"/>
      <c r="H42" s="67" t="n"/>
      <c r="I42" s="67" t="n"/>
      <c r="J42" s="73" t="str">
        <f>IF(AND($W42&gt;0,ISNUMBER($I42)),$I42/$W42,"")</f>
        <v/>
      </c>
      <c r="K42" s="67" t="n"/>
      <c r="L42" s="73" t="str">
        <f>IF(AND($W42&gt;0,ISNUMBER($K42)),$K42/$W42,"")</f>
        <v/>
      </c>
      <c r="M42" s="67" t="n"/>
      <c r="N42" s="73" t="str">
        <f>IF(AND($W42&gt;0,ISNUMBER($M42)),$M42/$W42,"")</f>
        <v/>
      </c>
      <c r="O42" s="67" t="n"/>
      <c r="P42" s="73" t="str">
        <f>IF(AND($W42&gt;0,ISNUMBER($O42)),$O42/$W42,"")</f>
        <v/>
      </c>
      <c r="Q42" s="67" t="n"/>
      <c r="R42" s="67" t="n"/>
      <c r="S42" s="67" t="n"/>
      <c r="T42" s="64" t="n"/>
      <c r="U42" s="64" t="n"/>
      <c r="V42" s="65" t="n"/>
      <c r="W42" s="72">
        <f>IF($D42="",0,IF(ISNUMBER($G42),IF($G42&gt;0,$G42,N($F42)),N($F42)))</f>
        <v>0</v>
      </c>
      <c r="X42" s="71" t="str">
        <f>IF(ISNUMBER($A42),YEAR($A42)&amp;"-"&amp;TEXT(MONTH($A42),"00"),"")</f>
        <v/>
      </c>
      <c r="Y42" s="71">
        <f>IF($D42="",0,IF(AND(OR(fClient="All",$B42=fClient),OR(fCampaign="All",$C42=fCampaign),OR(fTeam="All",$T42=fTeam),OR(fChannel="All",fChannel="Email",fChannel="Content Syndication"),OR(fMonth="All",$X42=fMonth)),1,0))</f>
        <v>0</v>
      </c>
      <c r="Z42" s="71">
        <f>IF($D42="",0,IF(AND(OR(fClient="All",$B42=fClient),OR(fCampaign="All",$C42=fCampaign),OR(fTeam="All",$T42=fTeam),OR(fChannel="All",fChannel="Email",fChannel="Content Syndication")),1,0))</f>
        <v>0</v>
      </c>
    </row>
    <row r="43">
      <c r="A43" s="63" t="n"/>
      <c r="B43" s="64" t="n"/>
      <c r="C43" s="64" t="n"/>
      <c r="D43" s="64" t="n"/>
      <c r="E43" s="67" t="n"/>
      <c r="F43" s="67" t="n"/>
      <c r="G43" s="67" t="n"/>
      <c r="H43" s="67" t="n"/>
      <c r="I43" s="67" t="n"/>
      <c r="J43" s="73" t="str">
        <f>IF(AND($W43&gt;0,ISNUMBER($I43)),$I43/$W43,"")</f>
        <v/>
      </c>
      <c r="K43" s="67" t="n"/>
      <c r="L43" s="73" t="str">
        <f>IF(AND($W43&gt;0,ISNUMBER($K43)),$K43/$W43,"")</f>
        <v/>
      </c>
      <c r="M43" s="67" t="n"/>
      <c r="N43" s="73" t="str">
        <f>IF(AND($W43&gt;0,ISNUMBER($M43)),$M43/$W43,"")</f>
        <v/>
      </c>
      <c r="O43" s="67" t="n"/>
      <c r="P43" s="73" t="str">
        <f>IF(AND($W43&gt;0,ISNUMBER($O43)),$O43/$W43,"")</f>
        <v/>
      </c>
      <c r="Q43" s="67" t="n"/>
      <c r="R43" s="67" t="n"/>
      <c r="S43" s="67" t="n"/>
      <c r="T43" s="64" t="n"/>
      <c r="U43" s="64" t="n"/>
      <c r="V43" s="65" t="n"/>
      <c r="W43" s="72">
        <f>IF($D43="",0,IF(ISNUMBER($G43),IF($G43&gt;0,$G43,N($F43)),N($F43)))</f>
        <v>0</v>
      </c>
      <c r="X43" s="71" t="str">
        <f>IF(ISNUMBER($A43),YEAR($A43)&amp;"-"&amp;TEXT(MONTH($A43),"00"),"")</f>
        <v/>
      </c>
      <c r="Y43" s="71">
        <f>IF($D43="",0,IF(AND(OR(fClient="All",$B43=fClient),OR(fCampaign="All",$C43=fCampaign),OR(fTeam="All",$T43=fTeam),OR(fChannel="All",fChannel="Email",fChannel="Content Syndication"),OR(fMonth="All",$X43=fMonth)),1,0))</f>
        <v>0</v>
      </c>
      <c r="Z43" s="71">
        <f>IF($D43="",0,IF(AND(OR(fClient="All",$B43=fClient),OR(fCampaign="All",$C43=fCampaign),OR(fTeam="All",$T43=fTeam),OR(fChannel="All",fChannel="Email",fChannel="Content Syndication")),1,0))</f>
        <v>0</v>
      </c>
    </row>
    <row r="44">
      <c r="A44" s="63" t="n"/>
      <c r="B44" s="64" t="n"/>
      <c r="C44" s="64" t="n"/>
      <c r="D44" s="64" t="n"/>
      <c r="E44" s="67" t="n"/>
      <c r="F44" s="67" t="n"/>
      <c r="G44" s="67" t="n"/>
      <c r="H44" s="67" t="n"/>
      <c r="I44" s="67" t="n"/>
      <c r="J44" s="73" t="str">
        <f>IF(AND($W44&gt;0,ISNUMBER($I44)),$I44/$W44,"")</f>
        <v/>
      </c>
      <c r="K44" s="67" t="n"/>
      <c r="L44" s="73" t="str">
        <f>IF(AND($W44&gt;0,ISNUMBER($K44)),$K44/$W44,"")</f>
        <v/>
      </c>
      <c r="M44" s="67" t="n"/>
      <c r="N44" s="73" t="str">
        <f>IF(AND($W44&gt;0,ISNUMBER($M44)),$M44/$W44,"")</f>
        <v/>
      </c>
      <c r="O44" s="67" t="n"/>
      <c r="P44" s="73" t="str">
        <f>IF(AND($W44&gt;0,ISNUMBER($O44)),$O44/$W44,"")</f>
        <v/>
      </c>
      <c r="Q44" s="67" t="n"/>
      <c r="R44" s="67" t="n"/>
      <c r="S44" s="67" t="n"/>
      <c r="T44" s="64" t="n"/>
      <c r="U44" s="64" t="n"/>
      <c r="V44" s="65" t="n"/>
      <c r="W44" s="72">
        <f>IF($D44="",0,IF(ISNUMBER($G44),IF($G44&gt;0,$G44,N($F44)),N($F44)))</f>
        <v>0</v>
      </c>
      <c r="X44" s="71" t="str">
        <f>IF(ISNUMBER($A44),YEAR($A44)&amp;"-"&amp;TEXT(MONTH($A44),"00"),"")</f>
        <v/>
      </c>
      <c r="Y44" s="71">
        <f>IF($D44="",0,IF(AND(OR(fClient="All",$B44=fClient),OR(fCampaign="All",$C44=fCampaign),OR(fTeam="All",$T44=fTeam),OR(fChannel="All",fChannel="Email",fChannel="Content Syndication"),OR(fMonth="All",$X44=fMonth)),1,0))</f>
        <v>0</v>
      </c>
      <c r="Z44" s="71">
        <f>IF($D44="",0,IF(AND(OR(fClient="All",$B44=fClient),OR(fCampaign="All",$C44=fCampaign),OR(fTeam="All",$T44=fTeam),OR(fChannel="All",fChannel="Email",fChannel="Content Syndication")),1,0))</f>
        <v>0</v>
      </c>
    </row>
    <row r="45">
      <c r="A45" s="63" t="n"/>
      <c r="B45" s="64" t="n"/>
      <c r="C45" s="64" t="n"/>
      <c r="D45" s="64" t="n"/>
      <c r="E45" s="67" t="n"/>
      <c r="F45" s="67" t="n"/>
      <c r="G45" s="67" t="n"/>
      <c r="H45" s="67" t="n"/>
      <c r="I45" s="67" t="n"/>
      <c r="J45" s="73" t="str">
        <f>IF(AND($W45&gt;0,ISNUMBER($I45)),$I45/$W45,"")</f>
        <v/>
      </c>
      <c r="K45" s="67" t="n"/>
      <c r="L45" s="73" t="str">
        <f>IF(AND($W45&gt;0,ISNUMBER($K45)),$K45/$W45,"")</f>
        <v/>
      </c>
      <c r="M45" s="67" t="n"/>
      <c r="N45" s="73" t="str">
        <f>IF(AND($W45&gt;0,ISNUMBER($M45)),$M45/$W45,"")</f>
        <v/>
      </c>
      <c r="O45" s="67" t="n"/>
      <c r="P45" s="73" t="str">
        <f>IF(AND($W45&gt;0,ISNUMBER($O45)),$O45/$W45,"")</f>
        <v/>
      </c>
      <c r="Q45" s="67" t="n"/>
      <c r="R45" s="67" t="n"/>
      <c r="S45" s="67" t="n"/>
      <c r="T45" s="64" t="n"/>
      <c r="U45" s="64" t="n"/>
      <c r="V45" s="65" t="n"/>
      <c r="W45" s="72">
        <f>IF($D45="",0,IF(ISNUMBER($G45),IF($G45&gt;0,$G45,N($F45)),N($F45)))</f>
        <v>0</v>
      </c>
      <c r="X45" s="71" t="str">
        <f>IF(ISNUMBER($A45),YEAR($A45)&amp;"-"&amp;TEXT(MONTH($A45),"00"),"")</f>
        <v/>
      </c>
      <c r="Y45" s="71">
        <f>IF($D45="",0,IF(AND(OR(fClient="All",$B45=fClient),OR(fCampaign="All",$C45=fCampaign),OR(fTeam="All",$T45=fTeam),OR(fChannel="All",fChannel="Email",fChannel="Content Syndication"),OR(fMonth="All",$X45=fMonth)),1,0))</f>
        <v>0</v>
      </c>
      <c r="Z45" s="71">
        <f>IF($D45="",0,IF(AND(OR(fClient="All",$B45=fClient),OR(fCampaign="All",$C45=fCampaign),OR(fTeam="All",$T45=fTeam),OR(fChannel="All",fChannel="Email",fChannel="Content Syndication")),1,0))</f>
        <v>0</v>
      </c>
    </row>
    <row r="46">
      <c r="A46" s="63" t="n"/>
      <c r="B46" s="64" t="n"/>
      <c r="C46" s="64" t="n"/>
      <c r="D46" s="64" t="n"/>
      <c r="E46" s="67" t="n"/>
      <c r="F46" s="67" t="n"/>
      <c r="G46" s="67" t="n"/>
      <c r="H46" s="67" t="n"/>
      <c r="I46" s="67" t="n"/>
      <c r="J46" s="73" t="str">
        <f>IF(AND($W46&gt;0,ISNUMBER($I46)),$I46/$W46,"")</f>
        <v/>
      </c>
      <c r="K46" s="67" t="n"/>
      <c r="L46" s="73" t="str">
        <f>IF(AND($W46&gt;0,ISNUMBER($K46)),$K46/$W46,"")</f>
        <v/>
      </c>
      <c r="M46" s="67" t="n"/>
      <c r="N46" s="73" t="str">
        <f>IF(AND($W46&gt;0,ISNUMBER($M46)),$M46/$W46,"")</f>
        <v/>
      </c>
      <c r="O46" s="67" t="n"/>
      <c r="P46" s="73" t="str">
        <f>IF(AND($W46&gt;0,ISNUMBER($O46)),$O46/$W46,"")</f>
        <v/>
      </c>
      <c r="Q46" s="67" t="n"/>
      <c r="R46" s="67" t="n"/>
      <c r="S46" s="67" t="n"/>
      <c r="T46" s="64" t="n"/>
      <c r="U46" s="64" t="n"/>
      <c r="V46" s="65" t="n"/>
      <c r="W46" s="72">
        <f>IF($D46="",0,IF(ISNUMBER($G46),IF($G46&gt;0,$G46,N($F46)),N($F46)))</f>
        <v>0</v>
      </c>
      <c r="X46" s="71" t="str">
        <f>IF(ISNUMBER($A46),YEAR($A46)&amp;"-"&amp;TEXT(MONTH($A46),"00"),"")</f>
        <v/>
      </c>
      <c r="Y46" s="71">
        <f>IF($D46="",0,IF(AND(OR(fClient="All",$B46=fClient),OR(fCampaign="All",$C46=fCampaign),OR(fTeam="All",$T46=fTeam),OR(fChannel="All",fChannel="Email",fChannel="Content Syndication"),OR(fMonth="All",$X46=fMonth)),1,0))</f>
        <v>0</v>
      </c>
      <c r="Z46" s="71">
        <f>IF($D46="",0,IF(AND(OR(fClient="All",$B46=fClient),OR(fCampaign="All",$C46=fCampaign),OR(fTeam="All",$T46=fTeam),OR(fChannel="All",fChannel="Email",fChannel="Content Syndication")),1,0))</f>
        <v>0</v>
      </c>
    </row>
    <row r="47">
      <c r="A47" s="63" t="n"/>
      <c r="B47" s="64" t="n"/>
      <c r="C47" s="64" t="n"/>
      <c r="D47" s="64" t="n"/>
      <c r="E47" s="67" t="n"/>
      <c r="F47" s="67" t="n"/>
      <c r="G47" s="67" t="n"/>
      <c r="H47" s="67" t="n"/>
      <c r="I47" s="67" t="n"/>
      <c r="J47" s="73" t="str">
        <f>IF(AND($W47&gt;0,ISNUMBER($I47)),$I47/$W47,"")</f>
        <v/>
      </c>
      <c r="K47" s="67" t="n"/>
      <c r="L47" s="73" t="str">
        <f>IF(AND($W47&gt;0,ISNUMBER($K47)),$K47/$W47,"")</f>
        <v/>
      </c>
      <c r="M47" s="67" t="n"/>
      <c r="N47" s="73" t="str">
        <f>IF(AND($W47&gt;0,ISNUMBER($M47)),$M47/$W47,"")</f>
        <v/>
      </c>
      <c r="O47" s="67" t="n"/>
      <c r="P47" s="73" t="str">
        <f>IF(AND($W47&gt;0,ISNUMBER($O47)),$O47/$W47,"")</f>
        <v/>
      </c>
      <c r="Q47" s="67" t="n"/>
      <c r="R47" s="67" t="n"/>
      <c r="S47" s="67" t="n"/>
      <c r="T47" s="64" t="n"/>
      <c r="U47" s="64" t="n"/>
      <c r="V47" s="65" t="n"/>
      <c r="W47" s="72">
        <f>IF($D47="",0,IF(ISNUMBER($G47),IF($G47&gt;0,$G47,N($F47)),N($F47)))</f>
        <v>0</v>
      </c>
      <c r="X47" s="71" t="str">
        <f>IF(ISNUMBER($A47),YEAR($A47)&amp;"-"&amp;TEXT(MONTH($A47),"00"),"")</f>
        <v/>
      </c>
      <c r="Y47" s="71">
        <f>IF($D47="",0,IF(AND(OR(fClient="All",$B47=fClient),OR(fCampaign="All",$C47=fCampaign),OR(fTeam="All",$T47=fTeam),OR(fChannel="All",fChannel="Email",fChannel="Content Syndication"),OR(fMonth="All",$X47=fMonth)),1,0))</f>
        <v>0</v>
      </c>
      <c r="Z47" s="71">
        <f>IF($D47="",0,IF(AND(OR(fClient="All",$B47=fClient),OR(fCampaign="All",$C47=fCampaign),OR(fTeam="All",$T47=fTeam),OR(fChannel="All",fChannel="Email",fChannel="Content Syndication")),1,0))</f>
        <v>0</v>
      </c>
    </row>
    <row r="48">
      <c r="A48" s="63" t="n"/>
      <c r="B48" s="64" t="n"/>
      <c r="C48" s="64" t="n"/>
      <c r="D48" s="64" t="n"/>
      <c r="E48" s="67" t="n"/>
      <c r="F48" s="67" t="n"/>
      <c r="G48" s="67" t="n"/>
      <c r="H48" s="67" t="n"/>
      <c r="I48" s="67" t="n"/>
      <c r="J48" s="73" t="str">
        <f>IF(AND($W48&gt;0,ISNUMBER($I48)),$I48/$W48,"")</f>
        <v/>
      </c>
      <c r="K48" s="67" t="n"/>
      <c r="L48" s="73" t="str">
        <f>IF(AND($W48&gt;0,ISNUMBER($K48)),$K48/$W48,"")</f>
        <v/>
      </c>
      <c r="M48" s="67" t="n"/>
      <c r="N48" s="73" t="str">
        <f>IF(AND($W48&gt;0,ISNUMBER($M48)),$M48/$W48,"")</f>
        <v/>
      </c>
      <c r="O48" s="67" t="n"/>
      <c r="P48" s="73" t="str">
        <f>IF(AND($W48&gt;0,ISNUMBER($O48)),$O48/$W48,"")</f>
        <v/>
      </c>
      <c r="Q48" s="67" t="n"/>
      <c r="R48" s="67" t="n"/>
      <c r="S48" s="67" t="n"/>
      <c r="T48" s="64" t="n"/>
      <c r="U48" s="64" t="n"/>
      <c r="V48" s="65" t="n"/>
      <c r="W48" s="72">
        <f>IF($D48="",0,IF(ISNUMBER($G48),IF($G48&gt;0,$G48,N($F48)),N($F48)))</f>
        <v>0</v>
      </c>
      <c r="X48" s="71" t="str">
        <f>IF(ISNUMBER($A48),YEAR($A48)&amp;"-"&amp;TEXT(MONTH($A48),"00"),"")</f>
        <v/>
      </c>
      <c r="Y48" s="71">
        <f>IF($D48="",0,IF(AND(OR(fClient="All",$B48=fClient),OR(fCampaign="All",$C48=fCampaign),OR(fTeam="All",$T48=fTeam),OR(fChannel="All",fChannel="Email",fChannel="Content Syndication"),OR(fMonth="All",$X48=fMonth)),1,0))</f>
        <v>0</v>
      </c>
      <c r="Z48" s="71">
        <f>IF($D48="",0,IF(AND(OR(fClient="All",$B48=fClient),OR(fCampaign="All",$C48=fCampaign),OR(fTeam="All",$T48=fTeam),OR(fChannel="All",fChannel="Email",fChannel="Content Syndication")),1,0))</f>
        <v>0</v>
      </c>
    </row>
    <row r="49">
      <c r="A49" s="63" t="n"/>
      <c r="B49" s="64" t="n"/>
      <c r="C49" s="64" t="n"/>
      <c r="D49" s="64" t="n"/>
      <c r="E49" s="67" t="n"/>
      <c r="F49" s="67" t="n"/>
      <c r="G49" s="67" t="n"/>
      <c r="H49" s="67" t="n"/>
      <c r="I49" s="67" t="n"/>
      <c r="J49" s="73" t="str">
        <f>IF(AND($W49&gt;0,ISNUMBER($I49)),$I49/$W49,"")</f>
        <v/>
      </c>
      <c r="K49" s="67" t="n"/>
      <c r="L49" s="73" t="str">
        <f>IF(AND($W49&gt;0,ISNUMBER($K49)),$K49/$W49,"")</f>
        <v/>
      </c>
      <c r="M49" s="67" t="n"/>
      <c r="N49" s="73" t="str">
        <f>IF(AND($W49&gt;0,ISNUMBER($M49)),$M49/$W49,"")</f>
        <v/>
      </c>
      <c r="O49" s="67" t="n"/>
      <c r="P49" s="73" t="str">
        <f>IF(AND($W49&gt;0,ISNUMBER($O49)),$O49/$W49,"")</f>
        <v/>
      </c>
      <c r="Q49" s="67" t="n"/>
      <c r="R49" s="67" t="n"/>
      <c r="S49" s="67" t="n"/>
      <c r="T49" s="64" t="n"/>
      <c r="U49" s="64" t="n"/>
      <c r="V49" s="65" t="n"/>
      <c r="W49" s="72">
        <f>IF($D49="",0,IF(ISNUMBER($G49),IF($G49&gt;0,$G49,N($F49)),N($F49)))</f>
        <v>0</v>
      </c>
      <c r="X49" s="71" t="str">
        <f>IF(ISNUMBER($A49),YEAR($A49)&amp;"-"&amp;TEXT(MONTH($A49),"00"),"")</f>
        <v/>
      </c>
      <c r="Y49" s="71">
        <f>IF($D49="",0,IF(AND(OR(fClient="All",$B49=fClient),OR(fCampaign="All",$C49=fCampaign),OR(fTeam="All",$T49=fTeam),OR(fChannel="All",fChannel="Email",fChannel="Content Syndication"),OR(fMonth="All",$X49=fMonth)),1,0))</f>
        <v>0</v>
      </c>
      <c r="Z49" s="71">
        <f>IF($D49="",0,IF(AND(OR(fClient="All",$B49=fClient),OR(fCampaign="All",$C49=fCampaign),OR(fTeam="All",$T49=fTeam),OR(fChannel="All",fChannel="Email",fChannel="Content Syndication")),1,0))</f>
        <v>0</v>
      </c>
    </row>
    <row r="50">
      <c r="A50" s="63" t="n"/>
      <c r="B50" s="64" t="n"/>
      <c r="C50" s="64" t="n"/>
      <c r="D50" s="64" t="n"/>
      <c r="E50" s="67" t="n"/>
      <c r="F50" s="67" t="n"/>
      <c r="G50" s="67" t="n"/>
      <c r="H50" s="67" t="n"/>
      <c r="I50" s="67" t="n"/>
      <c r="J50" s="73" t="str">
        <f>IF(AND($W50&gt;0,ISNUMBER($I50)),$I50/$W50,"")</f>
        <v/>
      </c>
      <c r="K50" s="67" t="n"/>
      <c r="L50" s="73" t="str">
        <f>IF(AND($W50&gt;0,ISNUMBER($K50)),$K50/$W50,"")</f>
        <v/>
      </c>
      <c r="M50" s="67" t="n"/>
      <c r="N50" s="73" t="str">
        <f>IF(AND($W50&gt;0,ISNUMBER($M50)),$M50/$W50,"")</f>
        <v/>
      </c>
      <c r="O50" s="67" t="n"/>
      <c r="P50" s="73" t="str">
        <f>IF(AND($W50&gt;0,ISNUMBER($O50)),$O50/$W50,"")</f>
        <v/>
      </c>
      <c r="Q50" s="67" t="n"/>
      <c r="R50" s="67" t="n"/>
      <c r="S50" s="67" t="n"/>
      <c r="T50" s="64" t="n"/>
      <c r="U50" s="64" t="n"/>
      <c r="V50" s="65" t="n"/>
      <c r="W50" s="72">
        <f>IF($D50="",0,IF(ISNUMBER($G50),IF($G50&gt;0,$G50,N($F50)),N($F50)))</f>
        <v>0</v>
      </c>
      <c r="X50" s="71" t="str">
        <f>IF(ISNUMBER($A50),YEAR($A50)&amp;"-"&amp;TEXT(MONTH($A50),"00"),"")</f>
        <v/>
      </c>
      <c r="Y50" s="71">
        <f>IF($D50="",0,IF(AND(OR(fClient="All",$B50=fClient),OR(fCampaign="All",$C50=fCampaign),OR(fTeam="All",$T50=fTeam),OR(fChannel="All",fChannel="Email",fChannel="Content Syndication"),OR(fMonth="All",$X50=fMonth)),1,0))</f>
        <v>0</v>
      </c>
      <c r="Z50" s="71">
        <f>IF($D50="",0,IF(AND(OR(fClient="All",$B50=fClient),OR(fCampaign="All",$C50=fCampaign),OR(fTeam="All",$T50=fTeam),OR(fChannel="All",fChannel="Email",fChannel="Content Syndication")),1,0))</f>
        <v>0</v>
      </c>
    </row>
    <row r="51">
      <c r="A51" s="63" t="n"/>
      <c r="B51" s="64" t="n"/>
      <c r="C51" s="64" t="n"/>
      <c r="D51" s="64" t="n"/>
      <c r="E51" s="67" t="n"/>
      <c r="F51" s="67" t="n"/>
      <c r="G51" s="67" t="n"/>
      <c r="H51" s="67" t="n"/>
      <c r="I51" s="67" t="n"/>
      <c r="J51" s="73" t="str">
        <f>IF(AND($W51&gt;0,ISNUMBER($I51)),$I51/$W51,"")</f>
        <v/>
      </c>
      <c r="K51" s="67" t="n"/>
      <c r="L51" s="73" t="str">
        <f>IF(AND($W51&gt;0,ISNUMBER($K51)),$K51/$W51,"")</f>
        <v/>
      </c>
      <c r="M51" s="67" t="n"/>
      <c r="N51" s="73" t="str">
        <f>IF(AND($W51&gt;0,ISNUMBER($M51)),$M51/$W51,"")</f>
        <v/>
      </c>
      <c r="O51" s="67" t="n"/>
      <c r="P51" s="73" t="str">
        <f>IF(AND($W51&gt;0,ISNUMBER($O51)),$O51/$W51,"")</f>
        <v/>
      </c>
      <c r="Q51" s="67" t="n"/>
      <c r="R51" s="67" t="n"/>
      <c r="S51" s="67" t="n"/>
      <c r="T51" s="64" t="n"/>
      <c r="U51" s="64" t="n"/>
      <c r="V51" s="65" t="n"/>
      <c r="W51" s="72">
        <f>IF($D51="",0,IF(ISNUMBER($G51),IF($G51&gt;0,$G51,N($F51)),N($F51)))</f>
        <v>0</v>
      </c>
      <c r="X51" s="71" t="str">
        <f>IF(ISNUMBER($A51),YEAR($A51)&amp;"-"&amp;TEXT(MONTH($A51),"00"),"")</f>
        <v/>
      </c>
      <c r="Y51" s="71">
        <f>IF($D51="",0,IF(AND(OR(fClient="All",$B51=fClient),OR(fCampaign="All",$C51=fCampaign),OR(fTeam="All",$T51=fTeam),OR(fChannel="All",fChannel="Email",fChannel="Content Syndication"),OR(fMonth="All",$X51=fMonth)),1,0))</f>
        <v>0</v>
      </c>
      <c r="Z51" s="71">
        <f>IF($D51="",0,IF(AND(OR(fClient="All",$B51=fClient),OR(fCampaign="All",$C51=fCampaign),OR(fTeam="All",$T51=fTeam),OR(fChannel="All",fChannel="Email",fChannel="Content Syndication")),1,0))</f>
        <v>0</v>
      </c>
    </row>
    <row r="52">
      <c r="A52" s="63" t="n"/>
      <c r="B52" s="64" t="n"/>
      <c r="C52" s="64" t="n"/>
      <c r="D52" s="64" t="n"/>
      <c r="E52" s="67" t="n"/>
      <c r="F52" s="67" t="n"/>
      <c r="G52" s="67" t="n"/>
      <c r="H52" s="67" t="n"/>
      <c r="I52" s="67" t="n"/>
      <c r="J52" s="73" t="str">
        <f>IF(AND($W52&gt;0,ISNUMBER($I52)),$I52/$W52,"")</f>
        <v/>
      </c>
      <c r="K52" s="67" t="n"/>
      <c r="L52" s="73" t="str">
        <f>IF(AND($W52&gt;0,ISNUMBER($K52)),$K52/$W52,"")</f>
        <v/>
      </c>
      <c r="M52" s="67" t="n"/>
      <c r="N52" s="73" t="str">
        <f>IF(AND($W52&gt;0,ISNUMBER($M52)),$M52/$W52,"")</f>
        <v/>
      </c>
      <c r="O52" s="67" t="n"/>
      <c r="P52" s="73" t="str">
        <f>IF(AND($W52&gt;0,ISNUMBER($O52)),$O52/$W52,"")</f>
        <v/>
      </c>
      <c r="Q52" s="67" t="n"/>
      <c r="R52" s="67" t="n"/>
      <c r="S52" s="67" t="n"/>
      <c r="T52" s="64" t="n"/>
      <c r="U52" s="64" t="n"/>
      <c r="V52" s="65" t="n"/>
      <c r="W52" s="72">
        <f>IF($D52="",0,IF(ISNUMBER($G52),IF($G52&gt;0,$G52,N($F52)),N($F52)))</f>
        <v>0</v>
      </c>
      <c r="X52" s="71" t="str">
        <f>IF(ISNUMBER($A52),YEAR($A52)&amp;"-"&amp;TEXT(MONTH($A52),"00"),"")</f>
        <v/>
      </c>
      <c r="Y52" s="71">
        <f>IF($D52="",0,IF(AND(OR(fClient="All",$B52=fClient),OR(fCampaign="All",$C52=fCampaign),OR(fTeam="All",$T52=fTeam),OR(fChannel="All",fChannel="Email",fChannel="Content Syndication"),OR(fMonth="All",$X52=fMonth)),1,0))</f>
        <v>0</v>
      </c>
      <c r="Z52" s="71">
        <f>IF($D52="",0,IF(AND(OR(fClient="All",$B52=fClient),OR(fCampaign="All",$C52=fCampaign),OR(fTeam="All",$T52=fTeam),OR(fChannel="All",fChannel="Email",fChannel="Content Syndication")),1,0))</f>
        <v>0</v>
      </c>
    </row>
    <row r="53">
      <c r="A53" s="63" t="n"/>
      <c r="B53" s="64" t="n"/>
      <c r="C53" s="64" t="n"/>
      <c r="D53" s="64" t="n"/>
      <c r="E53" s="67" t="n"/>
      <c r="F53" s="67" t="n"/>
      <c r="G53" s="67" t="n"/>
      <c r="H53" s="67" t="n"/>
      <c r="I53" s="67" t="n"/>
      <c r="J53" s="73" t="str">
        <f>IF(AND($W53&gt;0,ISNUMBER($I53)),$I53/$W53,"")</f>
        <v/>
      </c>
      <c r="K53" s="67" t="n"/>
      <c r="L53" s="73" t="str">
        <f>IF(AND($W53&gt;0,ISNUMBER($K53)),$K53/$W53,"")</f>
        <v/>
      </c>
      <c r="M53" s="67" t="n"/>
      <c r="N53" s="73" t="str">
        <f>IF(AND($W53&gt;0,ISNUMBER($M53)),$M53/$W53,"")</f>
        <v/>
      </c>
      <c r="O53" s="67" t="n"/>
      <c r="P53" s="73" t="str">
        <f>IF(AND($W53&gt;0,ISNUMBER($O53)),$O53/$W53,"")</f>
        <v/>
      </c>
      <c r="Q53" s="67" t="n"/>
      <c r="R53" s="67" t="n"/>
      <c r="S53" s="67" t="n"/>
      <c r="T53" s="64" t="n"/>
      <c r="U53" s="64" t="n"/>
      <c r="V53" s="65" t="n"/>
      <c r="W53" s="72">
        <f>IF($D53="",0,IF(ISNUMBER($G53),IF($G53&gt;0,$G53,N($F53)),N($F53)))</f>
        <v>0</v>
      </c>
      <c r="X53" s="71" t="str">
        <f>IF(ISNUMBER($A53),YEAR($A53)&amp;"-"&amp;TEXT(MONTH($A53),"00"),"")</f>
        <v/>
      </c>
      <c r="Y53" s="71">
        <f>IF($D53="",0,IF(AND(OR(fClient="All",$B53=fClient),OR(fCampaign="All",$C53=fCampaign),OR(fTeam="All",$T53=fTeam),OR(fChannel="All",fChannel="Email",fChannel="Content Syndication"),OR(fMonth="All",$X53=fMonth)),1,0))</f>
        <v>0</v>
      </c>
      <c r="Z53" s="71">
        <f>IF($D53="",0,IF(AND(OR(fClient="All",$B53=fClient),OR(fCampaign="All",$C53=fCampaign),OR(fTeam="All",$T53=fTeam),OR(fChannel="All",fChannel="Email",fChannel="Content Syndication")),1,0))</f>
        <v>0</v>
      </c>
    </row>
    <row r="54">
      <c r="A54" s="63" t="n"/>
      <c r="B54" s="64" t="n"/>
      <c r="C54" s="64" t="n"/>
      <c r="D54" s="64" t="n"/>
      <c r="E54" s="67" t="n"/>
      <c r="F54" s="67" t="n"/>
      <c r="G54" s="67" t="n"/>
      <c r="H54" s="67" t="n"/>
      <c r="I54" s="67" t="n"/>
      <c r="J54" s="73" t="str">
        <f>IF(AND($W54&gt;0,ISNUMBER($I54)),$I54/$W54,"")</f>
        <v/>
      </c>
      <c r="K54" s="67" t="n"/>
      <c r="L54" s="73" t="str">
        <f>IF(AND($W54&gt;0,ISNUMBER($K54)),$K54/$W54,"")</f>
        <v/>
      </c>
      <c r="M54" s="67" t="n"/>
      <c r="N54" s="73" t="str">
        <f>IF(AND($W54&gt;0,ISNUMBER($M54)),$M54/$W54,"")</f>
        <v/>
      </c>
      <c r="O54" s="67" t="n"/>
      <c r="P54" s="73" t="str">
        <f>IF(AND($W54&gt;0,ISNUMBER($O54)),$O54/$W54,"")</f>
        <v/>
      </c>
      <c r="Q54" s="67" t="n"/>
      <c r="R54" s="67" t="n"/>
      <c r="S54" s="67" t="n"/>
      <c r="T54" s="64" t="n"/>
      <c r="U54" s="64" t="n"/>
      <c r="V54" s="65" t="n"/>
      <c r="W54" s="72">
        <f>IF($D54="",0,IF(ISNUMBER($G54),IF($G54&gt;0,$G54,N($F54)),N($F54)))</f>
        <v>0</v>
      </c>
      <c r="X54" s="71" t="str">
        <f>IF(ISNUMBER($A54),YEAR($A54)&amp;"-"&amp;TEXT(MONTH($A54),"00"),"")</f>
        <v/>
      </c>
      <c r="Y54" s="71">
        <f>IF($D54="",0,IF(AND(OR(fClient="All",$B54=fClient),OR(fCampaign="All",$C54=fCampaign),OR(fTeam="All",$T54=fTeam),OR(fChannel="All",fChannel="Email",fChannel="Content Syndication"),OR(fMonth="All",$X54=fMonth)),1,0))</f>
        <v>0</v>
      </c>
      <c r="Z54" s="71">
        <f>IF($D54="",0,IF(AND(OR(fClient="All",$B54=fClient),OR(fCampaign="All",$C54=fCampaign),OR(fTeam="All",$T54=fTeam),OR(fChannel="All",fChannel="Email",fChannel="Content Syndication")),1,0))</f>
        <v>0</v>
      </c>
    </row>
    <row r="55">
      <c r="A55" s="63" t="n"/>
      <c r="B55" s="64" t="n"/>
      <c r="C55" s="64" t="n"/>
      <c r="D55" s="64" t="n"/>
      <c r="E55" s="67" t="n"/>
      <c r="F55" s="67" t="n"/>
      <c r="G55" s="67" t="n"/>
      <c r="H55" s="67" t="n"/>
      <c r="I55" s="67" t="n"/>
      <c r="J55" s="73" t="str">
        <f>IF(AND($W55&gt;0,ISNUMBER($I55)),$I55/$W55,"")</f>
        <v/>
      </c>
      <c r="K55" s="67" t="n"/>
      <c r="L55" s="73" t="str">
        <f>IF(AND($W55&gt;0,ISNUMBER($K55)),$K55/$W55,"")</f>
        <v/>
      </c>
      <c r="M55" s="67" t="n"/>
      <c r="N55" s="73" t="str">
        <f>IF(AND($W55&gt;0,ISNUMBER($M55)),$M55/$W55,"")</f>
        <v/>
      </c>
      <c r="O55" s="67" t="n"/>
      <c r="P55" s="73" t="str">
        <f>IF(AND($W55&gt;0,ISNUMBER($O55)),$O55/$W55,"")</f>
        <v/>
      </c>
      <c r="Q55" s="67" t="n"/>
      <c r="R55" s="67" t="n"/>
      <c r="S55" s="67" t="n"/>
      <c r="T55" s="64" t="n"/>
      <c r="U55" s="64" t="n"/>
      <c r="V55" s="65" t="n"/>
      <c r="W55" s="72">
        <f>IF($D55="",0,IF(ISNUMBER($G55),IF($G55&gt;0,$G55,N($F55)),N($F55)))</f>
        <v>0</v>
      </c>
      <c r="X55" s="71" t="str">
        <f>IF(ISNUMBER($A55),YEAR($A55)&amp;"-"&amp;TEXT(MONTH($A55),"00"),"")</f>
        <v/>
      </c>
      <c r="Y55" s="71">
        <f>IF($D55="",0,IF(AND(OR(fClient="All",$B55=fClient),OR(fCampaign="All",$C55=fCampaign),OR(fTeam="All",$T55=fTeam),OR(fChannel="All",fChannel="Email",fChannel="Content Syndication"),OR(fMonth="All",$X55=fMonth)),1,0))</f>
        <v>0</v>
      </c>
      <c r="Z55" s="71">
        <f>IF($D55="",0,IF(AND(OR(fClient="All",$B55=fClient),OR(fCampaign="All",$C55=fCampaign),OR(fTeam="All",$T55=fTeam),OR(fChannel="All",fChannel="Email",fChannel="Content Syndication")),1,0))</f>
        <v>0</v>
      </c>
    </row>
    <row r="56">
      <c r="A56" s="63" t="n"/>
      <c r="B56" s="64" t="n"/>
      <c r="C56" s="64" t="n"/>
      <c r="D56" s="64" t="n"/>
      <c r="E56" s="67" t="n"/>
      <c r="F56" s="67" t="n"/>
      <c r="G56" s="67" t="n"/>
      <c r="H56" s="67" t="n"/>
      <c r="I56" s="67" t="n"/>
      <c r="J56" s="73" t="str">
        <f>IF(AND($W56&gt;0,ISNUMBER($I56)),$I56/$W56,"")</f>
        <v/>
      </c>
      <c r="K56" s="67" t="n"/>
      <c r="L56" s="73" t="str">
        <f>IF(AND($W56&gt;0,ISNUMBER($K56)),$K56/$W56,"")</f>
        <v/>
      </c>
      <c r="M56" s="67" t="n"/>
      <c r="N56" s="73" t="str">
        <f>IF(AND($W56&gt;0,ISNUMBER($M56)),$M56/$W56,"")</f>
        <v/>
      </c>
      <c r="O56" s="67" t="n"/>
      <c r="P56" s="73" t="str">
        <f>IF(AND($W56&gt;0,ISNUMBER($O56)),$O56/$W56,"")</f>
        <v/>
      </c>
      <c r="Q56" s="67" t="n"/>
      <c r="R56" s="67" t="n"/>
      <c r="S56" s="67" t="n"/>
      <c r="T56" s="64" t="n"/>
      <c r="U56" s="64" t="n"/>
      <c r="V56" s="65" t="n"/>
      <c r="W56" s="72">
        <f>IF($D56="",0,IF(ISNUMBER($G56),IF($G56&gt;0,$G56,N($F56)),N($F56)))</f>
        <v>0</v>
      </c>
      <c r="X56" s="71" t="str">
        <f>IF(ISNUMBER($A56),YEAR($A56)&amp;"-"&amp;TEXT(MONTH($A56),"00"),"")</f>
        <v/>
      </c>
      <c r="Y56" s="71">
        <f>IF($D56="",0,IF(AND(OR(fClient="All",$B56=fClient),OR(fCampaign="All",$C56=fCampaign),OR(fTeam="All",$T56=fTeam),OR(fChannel="All",fChannel="Email",fChannel="Content Syndication"),OR(fMonth="All",$X56=fMonth)),1,0))</f>
        <v>0</v>
      </c>
      <c r="Z56" s="71">
        <f>IF($D56="",0,IF(AND(OR(fClient="All",$B56=fClient),OR(fCampaign="All",$C56=fCampaign),OR(fTeam="All",$T56=fTeam),OR(fChannel="All",fChannel="Email",fChannel="Content Syndication")),1,0))</f>
        <v>0</v>
      </c>
    </row>
    <row r="57">
      <c r="A57" s="63" t="n"/>
      <c r="B57" s="64" t="n"/>
      <c r="C57" s="64" t="n"/>
      <c r="D57" s="64" t="n"/>
      <c r="E57" s="67" t="n"/>
      <c r="F57" s="67" t="n"/>
      <c r="G57" s="67" t="n"/>
      <c r="H57" s="67" t="n"/>
      <c r="I57" s="67" t="n"/>
      <c r="J57" s="73" t="str">
        <f>IF(AND($W57&gt;0,ISNUMBER($I57)),$I57/$W57,"")</f>
        <v/>
      </c>
      <c r="K57" s="67" t="n"/>
      <c r="L57" s="73" t="str">
        <f>IF(AND($W57&gt;0,ISNUMBER($K57)),$K57/$W57,"")</f>
        <v/>
      </c>
      <c r="M57" s="67" t="n"/>
      <c r="N57" s="73" t="str">
        <f>IF(AND($W57&gt;0,ISNUMBER($M57)),$M57/$W57,"")</f>
        <v/>
      </c>
      <c r="O57" s="67" t="n"/>
      <c r="P57" s="73" t="str">
        <f>IF(AND($W57&gt;0,ISNUMBER($O57)),$O57/$W57,"")</f>
        <v/>
      </c>
      <c r="Q57" s="67" t="n"/>
      <c r="R57" s="67" t="n"/>
      <c r="S57" s="67" t="n"/>
      <c r="T57" s="64" t="n"/>
      <c r="U57" s="64" t="n"/>
      <c r="V57" s="65" t="n"/>
      <c r="W57" s="72">
        <f>IF($D57="",0,IF(ISNUMBER($G57),IF($G57&gt;0,$G57,N($F57)),N($F57)))</f>
        <v>0</v>
      </c>
      <c r="X57" s="71" t="str">
        <f>IF(ISNUMBER($A57),YEAR($A57)&amp;"-"&amp;TEXT(MONTH($A57),"00"),"")</f>
        <v/>
      </c>
      <c r="Y57" s="71">
        <f>IF($D57="",0,IF(AND(OR(fClient="All",$B57=fClient),OR(fCampaign="All",$C57=fCampaign),OR(fTeam="All",$T57=fTeam),OR(fChannel="All",fChannel="Email",fChannel="Content Syndication"),OR(fMonth="All",$X57=fMonth)),1,0))</f>
        <v>0</v>
      </c>
      <c r="Z57" s="71">
        <f>IF($D57="",0,IF(AND(OR(fClient="All",$B57=fClient),OR(fCampaign="All",$C57=fCampaign),OR(fTeam="All",$T57=fTeam),OR(fChannel="All",fChannel="Email",fChannel="Content Syndication")),1,0))</f>
        <v>0</v>
      </c>
    </row>
    <row r="58">
      <c r="A58" s="63" t="n"/>
      <c r="B58" s="64" t="n"/>
      <c r="C58" s="64" t="n"/>
      <c r="D58" s="64" t="n"/>
      <c r="E58" s="67" t="n"/>
      <c r="F58" s="67" t="n"/>
      <c r="G58" s="67" t="n"/>
      <c r="H58" s="67" t="n"/>
      <c r="I58" s="67" t="n"/>
      <c r="J58" s="73" t="str">
        <f>IF(AND($W58&gt;0,ISNUMBER($I58)),$I58/$W58,"")</f>
        <v/>
      </c>
      <c r="K58" s="67" t="n"/>
      <c r="L58" s="73" t="str">
        <f>IF(AND($W58&gt;0,ISNUMBER($K58)),$K58/$W58,"")</f>
        <v/>
      </c>
      <c r="M58" s="67" t="n"/>
      <c r="N58" s="73" t="str">
        <f>IF(AND($W58&gt;0,ISNUMBER($M58)),$M58/$W58,"")</f>
        <v/>
      </c>
      <c r="O58" s="67" t="n"/>
      <c r="P58" s="73" t="str">
        <f>IF(AND($W58&gt;0,ISNUMBER($O58)),$O58/$W58,"")</f>
        <v/>
      </c>
      <c r="Q58" s="67" t="n"/>
      <c r="R58" s="67" t="n"/>
      <c r="S58" s="67" t="n"/>
      <c r="T58" s="64" t="n"/>
      <c r="U58" s="64" t="n"/>
      <c r="V58" s="65" t="n"/>
      <c r="W58" s="72">
        <f>IF($D58="",0,IF(ISNUMBER($G58),IF($G58&gt;0,$G58,N($F58)),N($F58)))</f>
        <v>0</v>
      </c>
      <c r="X58" s="71" t="str">
        <f>IF(ISNUMBER($A58),YEAR($A58)&amp;"-"&amp;TEXT(MONTH($A58),"00"),"")</f>
        <v/>
      </c>
      <c r="Y58" s="71">
        <f>IF($D58="",0,IF(AND(OR(fClient="All",$B58=fClient),OR(fCampaign="All",$C58=fCampaign),OR(fTeam="All",$T58=fTeam),OR(fChannel="All",fChannel="Email",fChannel="Content Syndication"),OR(fMonth="All",$X58=fMonth)),1,0))</f>
        <v>0</v>
      </c>
      <c r="Z58" s="71">
        <f>IF($D58="",0,IF(AND(OR(fClient="All",$B58=fClient),OR(fCampaign="All",$C58=fCampaign),OR(fTeam="All",$T58=fTeam),OR(fChannel="All",fChannel="Email",fChannel="Content Syndication")),1,0))</f>
        <v>0</v>
      </c>
    </row>
    <row r="59">
      <c r="A59" s="63" t="n"/>
      <c r="B59" s="64" t="n"/>
      <c r="C59" s="64" t="n"/>
      <c r="D59" s="64" t="n"/>
      <c r="E59" s="67" t="n"/>
      <c r="F59" s="67" t="n"/>
      <c r="G59" s="67" t="n"/>
      <c r="H59" s="67" t="n"/>
      <c r="I59" s="67" t="n"/>
      <c r="J59" s="73" t="str">
        <f>IF(AND($W59&gt;0,ISNUMBER($I59)),$I59/$W59,"")</f>
        <v/>
      </c>
      <c r="K59" s="67" t="n"/>
      <c r="L59" s="73" t="str">
        <f>IF(AND($W59&gt;0,ISNUMBER($K59)),$K59/$W59,"")</f>
        <v/>
      </c>
      <c r="M59" s="67" t="n"/>
      <c r="N59" s="73" t="str">
        <f>IF(AND($W59&gt;0,ISNUMBER($M59)),$M59/$W59,"")</f>
        <v/>
      </c>
      <c r="O59" s="67" t="n"/>
      <c r="P59" s="73" t="str">
        <f>IF(AND($W59&gt;0,ISNUMBER($O59)),$O59/$W59,"")</f>
        <v/>
      </c>
      <c r="Q59" s="67" t="n"/>
      <c r="R59" s="67" t="n"/>
      <c r="S59" s="67" t="n"/>
      <c r="T59" s="64" t="n"/>
      <c r="U59" s="64" t="n"/>
      <c r="V59" s="65" t="n"/>
      <c r="W59" s="72">
        <f>IF($D59="",0,IF(ISNUMBER($G59),IF($G59&gt;0,$G59,N($F59)),N($F59)))</f>
        <v>0</v>
      </c>
      <c r="X59" s="71" t="str">
        <f>IF(ISNUMBER($A59),YEAR($A59)&amp;"-"&amp;TEXT(MONTH($A59),"00"),"")</f>
        <v/>
      </c>
      <c r="Y59" s="71">
        <f>IF($D59="",0,IF(AND(OR(fClient="All",$B59=fClient),OR(fCampaign="All",$C59=fCampaign),OR(fTeam="All",$T59=fTeam),OR(fChannel="All",fChannel="Email",fChannel="Content Syndication"),OR(fMonth="All",$X59=fMonth)),1,0))</f>
        <v>0</v>
      </c>
      <c r="Z59" s="71">
        <f>IF($D59="",0,IF(AND(OR(fClient="All",$B59=fClient),OR(fCampaign="All",$C59=fCampaign),OR(fTeam="All",$T59=fTeam),OR(fChannel="All",fChannel="Email",fChannel="Content Syndication")),1,0))</f>
        <v>0</v>
      </c>
    </row>
    <row r="60">
      <c r="A60" s="63" t="n"/>
      <c r="B60" s="64" t="n"/>
      <c r="C60" s="64" t="n"/>
      <c r="D60" s="64" t="n"/>
      <c r="E60" s="67" t="n"/>
      <c r="F60" s="67" t="n"/>
      <c r="G60" s="67" t="n"/>
      <c r="H60" s="67" t="n"/>
      <c r="I60" s="67" t="n"/>
      <c r="J60" s="73" t="str">
        <f>IF(AND($W60&gt;0,ISNUMBER($I60)),$I60/$W60,"")</f>
        <v/>
      </c>
      <c r="K60" s="67" t="n"/>
      <c r="L60" s="73" t="str">
        <f>IF(AND($W60&gt;0,ISNUMBER($K60)),$K60/$W60,"")</f>
        <v/>
      </c>
      <c r="M60" s="67" t="n"/>
      <c r="N60" s="73" t="str">
        <f>IF(AND($W60&gt;0,ISNUMBER($M60)),$M60/$W60,"")</f>
        <v/>
      </c>
      <c r="O60" s="67" t="n"/>
      <c r="P60" s="73" t="str">
        <f>IF(AND($W60&gt;0,ISNUMBER($O60)),$O60/$W60,"")</f>
        <v/>
      </c>
      <c r="Q60" s="67" t="n"/>
      <c r="R60" s="67" t="n"/>
      <c r="S60" s="67" t="n"/>
      <c r="T60" s="64" t="n"/>
      <c r="U60" s="64" t="n"/>
      <c r="V60" s="65" t="n"/>
      <c r="W60" s="72">
        <f>IF($D60="",0,IF(ISNUMBER($G60),IF($G60&gt;0,$G60,N($F60)),N($F60)))</f>
        <v>0</v>
      </c>
      <c r="X60" s="71" t="str">
        <f>IF(ISNUMBER($A60),YEAR($A60)&amp;"-"&amp;TEXT(MONTH($A60),"00"),"")</f>
        <v/>
      </c>
      <c r="Y60" s="71">
        <f>IF($D60="",0,IF(AND(OR(fClient="All",$B60=fClient),OR(fCampaign="All",$C60=fCampaign),OR(fTeam="All",$T60=fTeam),OR(fChannel="All",fChannel="Email",fChannel="Content Syndication"),OR(fMonth="All",$X60=fMonth)),1,0))</f>
        <v>0</v>
      </c>
      <c r="Z60" s="71">
        <f>IF($D60="",0,IF(AND(OR(fClient="All",$B60=fClient),OR(fCampaign="All",$C60=fCampaign),OR(fTeam="All",$T60=fTeam),OR(fChannel="All",fChannel="Email",fChannel="Content Syndication")),1,0))</f>
        <v>0</v>
      </c>
    </row>
    <row r="61">
      <c r="A61" s="63" t="n"/>
      <c r="B61" s="64" t="n"/>
      <c r="C61" s="64" t="n"/>
      <c r="D61" s="64" t="n"/>
      <c r="E61" s="67" t="n"/>
      <c r="F61" s="67" t="n"/>
      <c r="G61" s="67" t="n"/>
      <c r="H61" s="67" t="n"/>
      <c r="I61" s="67" t="n"/>
      <c r="J61" s="73" t="str">
        <f>IF(AND($W61&gt;0,ISNUMBER($I61)),$I61/$W61,"")</f>
        <v/>
      </c>
      <c r="K61" s="67" t="n"/>
      <c r="L61" s="73" t="str">
        <f>IF(AND($W61&gt;0,ISNUMBER($K61)),$K61/$W61,"")</f>
        <v/>
      </c>
      <c r="M61" s="67" t="n"/>
      <c r="N61" s="73" t="str">
        <f>IF(AND($W61&gt;0,ISNUMBER($M61)),$M61/$W61,"")</f>
        <v/>
      </c>
      <c r="O61" s="67" t="n"/>
      <c r="P61" s="73" t="str">
        <f>IF(AND($W61&gt;0,ISNUMBER($O61)),$O61/$W61,"")</f>
        <v/>
      </c>
      <c r="Q61" s="67" t="n"/>
      <c r="R61" s="67" t="n"/>
      <c r="S61" s="67" t="n"/>
      <c r="T61" s="64" t="n"/>
      <c r="U61" s="64" t="n"/>
      <c r="V61" s="65" t="n"/>
      <c r="W61" s="72">
        <f>IF($D61="",0,IF(ISNUMBER($G61),IF($G61&gt;0,$G61,N($F61)),N($F61)))</f>
        <v>0</v>
      </c>
      <c r="X61" s="71" t="str">
        <f>IF(ISNUMBER($A61),YEAR($A61)&amp;"-"&amp;TEXT(MONTH($A61),"00"),"")</f>
        <v/>
      </c>
      <c r="Y61" s="71">
        <f>IF($D61="",0,IF(AND(OR(fClient="All",$B61=fClient),OR(fCampaign="All",$C61=fCampaign),OR(fTeam="All",$T61=fTeam),OR(fChannel="All",fChannel="Email",fChannel="Content Syndication"),OR(fMonth="All",$X61=fMonth)),1,0))</f>
        <v>0</v>
      </c>
      <c r="Z61" s="71">
        <f>IF($D61="",0,IF(AND(OR(fClient="All",$B61=fClient),OR(fCampaign="All",$C61=fCampaign),OR(fTeam="All",$T61=fTeam),OR(fChannel="All",fChannel="Email",fChannel="Content Syndication")),1,0))</f>
        <v>0</v>
      </c>
    </row>
    <row r="62">
      <c r="A62" s="63" t="n"/>
      <c r="B62" s="64" t="n"/>
      <c r="C62" s="64" t="n"/>
      <c r="D62" s="64" t="n"/>
      <c r="E62" s="67" t="n"/>
      <c r="F62" s="67" t="n"/>
      <c r="G62" s="67" t="n"/>
      <c r="H62" s="67" t="n"/>
      <c r="I62" s="67" t="n"/>
      <c r="J62" s="73" t="str">
        <f>IF(AND($W62&gt;0,ISNUMBER($I62)),$I62/$W62,"")</f>
        <v/>
      </c>
      <c r="K62" s="67" t="n"/>
      <c r="L62" s="73" t="str">
        <f>IF(AND($W62&gt;0,ISNUMBER($K62)),$K62/$W62,"")</f>
        <v/>
      </c>
      <c r="M62" s="67" t="n"/>
      <c r="N62" s="73" t="str">
        <f>IF(AND($W62&gt;0,ISNUMBER($M62)),$M62/$W62,"")</f>
        <v/>
      </c>
      <c r="O62" s="67" t="n"/>
      <c r="P62" s="73" t="str">
        <f>IF(AND($W62&gt;0,ISNUMBER($O62)),$O62/$W62,"")</f>
        <v/>
      </c>
      <c r="Q62" s="67" t="n"/>
      <c r="R62" s="67" t="n"/>
      <c r="S62" s="67" t="n"/>
      <c r="T62" s="64" t="n"/>
      <c r="U62" s="64" t="n"/>
      <c r="V62" s="65" t="n"/>
      <c r="W62" s="72">
        <f>IF($D62="",0,IF(ISNUMBER($G62),IF($G62&gt;0,$G62,N($F62)),N($F62)))</f>
        <v>0</v>
      </c>
      <c r="X62" s="71" t="str">
        <f>IF(ISNUMBER($A62),YEAR($A62)&amp;"-"&amp;TEXT(MONTH($A62),"00"),"")</f>
        <v/>
      </c>
      <c r="Y62" s="71">
        <f>IF($D62="",0,IF(AND(OR(fClient="All",$B62=fClient),OR(fCampaign="All",$C62=fCampaign),OR(fTeam="All",$T62=fTeam),OR(fChannel="All",fChannel="Email",fChannel="Content Syndication"),OR(fMonth="All",$X62=fMonth)),1,0))</f>
        <v>0</v>
      </c>
      <c r="Z62" s="71">
        <f>IF($D62="",0,IF(AND(OR(fClient="All",$B62=fClient),OR(fCampaign="All",$C62=fCampaign),OR(fTeam="All",$T62=fTeam),OR(fChannel="All",fChannel="Email",fChannel="Content Syndication")),1,0))</f>
        <v>0</v>
      </c>
    </row>
    <row r="63">
      <c r="A63" s="63" t="n"/>
      <c r="B63" s="64" t="n"/>
      <c r="C63" s="64" t="n"/>
      <c r="D63" s="64" t="n"/>
      <c r="E63" s="67" t="n"/>
      <c r="F63" s="67" t="n"/>
      <c r="G63" s="67" t="n"/>
      <c r="H63" s="67" t="n"/>
      <c r="I63" s="67" t="n"/>
      <c r="J63" s="73" t="str">
        <f>IF(AND($W63&gt;0,ISNUMBER($I63)),$I63/$W63,"")</f>
        <v/>
      </c>
      <c r="K63" s="67" t="n"/>
      <c r="L63" s="73" t="str">
        <f>IF(AND($W63&gt;0,ISNUMBER($K63)),$K63/$W63,"")</f>
        <v/>
      </c>
      <c r="M63" s="67" t="n"/>
      <c r="N63" s="73" t="str">
        <f>IF(AND($W63&gt;0,ISNUMBER($M63)),$M63/$W63,"")</f>
        <v/>
      </c>
      <c r="O63" s="67" t="n"/>
      <c r="P63" s="73" t="str">
        <f>IF(AND($W63&gt;0,ISNUMBER($O63)),$O63/$W63,"")</f>
        <v/>
      </c>
      <c r="Q63" s="67" t="n"/>
      <c r="R63" s="67" t="n"/>
      <c r="S63" s="67" t="n"/>
      <c r="T63" s="64" t="n"/>
      <c r="U63" s="64" t="n"/>
      <c r="V63" s="65" t="n"/>
      <c r="W63" s="72">
        <f>IF($D63="",0,IF(ISNUMBER($G63),IF($G63&gt;0,$G63,N($F63)),N($F63)))</f>
        <v>0</v>
      </c>
      <c r="X63" s="71" t="str">
        <f>IF(ISNUMBER($A63),YEAR($A63)&amp;"-"&amp;TEXT(MONTH($A63),"00"),"")</f>
        <v/>
      </c>
      <c r="Y63" s="71">
        <f>IF($D63="",0,IF(AND(OR(fClient="All",$B63=fClient),OR(fCampaign="All",$C63=fCampaign),OR(fTeam="All",$T63=fTeam),OR(fChannel="All",fChannel="Email",fChannel="Content Syndication"),OR(fMonth="All",$X63=fMonth)),1,0))</f>
        <v>0</v>
      </c>
      <c r="Z63" s="71">
        <f>IF($D63="",0,IF(AND(OR(fClient="All",$B63=fClient),OR(fCampaign="All",$C63=fCampaign),OR(fTeam="All",$T63=fTeam),OR(fChannel="All",fChannel="Email",fChannel="Content Syndication")),1,0))</f>
        <v>0</v>
      </c>
    </row>
    <row r="64">
      <c r="A64" s="63" t="n"/>
      <c r="B64" s="64" t="n"/>
      <c r="C64" s="64" t="n"/>
      <c r="D64" s="64" t="n"/>
      <c r="E64" s="67" t="n"/>
      <c r="F64" s="67" t="n"/>
      <c r="G64" s="67" t="n"/>
      <c r="H64" s="67" t="n"/>
      <c r="I64" s="67" t="n"/>
      <c r="J64" s="73" t="str">
        <f>IF(AND($W64&gt;0,ISNUMBER($I64)),$I64/$W64,"")</f>
        <v/>
      </c>
      <c r="K64" s="67" t="n"/>
      <c r="L64" s="73" t="str">
        <f>IF(AND($W64&gt;0,ISNUMBER($K64)),$K64/$W64,"")</f>
        <v/>
      </c>
      <c r="M64" s="67" t="n"/>
      <c r="N64" s="73" t="str">
        <f>IF(AND($W64&gt;0,ISNUMBER($M64)),$M64/$W64,"")</f>
        <v/>
      </c>
      <c r="O64" s="67" t="n"/>
      <c r="P64" s="73" t="str">
        <f>IF(AND($W64&gt;0,ISNUMBER($O64)),$O64/$W64,"")</f>
        <v/>
      </c>
      <c r="Q64" s="67" t="n"/>
      <c r="R64" s="67" t="n"/>
      <c r="S64" s="67" t="n"/>
      <c r="T64" s="64" t="n"/>
      <c r="U64" s="64" t="n"/>
      <c r="V64" s="65" t="n"/>
      <c r="W64" s="72">
        <f>IF($D64="",0,IF(ISNUMBER($G64),IF($G64&gt;0,$G64,N($F64)),N($F64)))</f>
        <v>0</v>
      </c>
      <c r="X64" s="71" t="str">
        <f>IF(ISNUMBER($A64),YEAR($A64)&amp;"-"&amp;TEXT(MONTH($A64),"00"),"")</f>
        <v/>
      </c>
      <c r="Y64" s="71">
        <f>IF($D64="",0,IF(AND(OR(fClient="All",$B64=fClient),OR(fCampaign="All",$C64=fCampaign),OR(fTeam="All",$T64=fTeam),OR(fChannel="All",fChannel="Email",fChannel="Content Syndication"),OR(fMonth="All",$X64=fMonth)),1,0))</f>
        <v>0</v>
      </c>
      <c r="Z64" s="71">
        <f>IF($D64="",0,IF(AND(OR(fClient="All",$B64=fClient),OR(fCampaign="All",$C64=fCampaign),OR(fTeam="All",$T64=fTeam),OR(fChannel="All",fChannel="Email",fChannel="Content Syndication")),1,0))</f>
        <v>0</v>
      </c>
    </row>
    <row r="65">
      <c r="A65" s="63" t="n"/>
      <c r="B65" s="64" t="n"/>
      <c r="C65" s="64" t="n"/>
      <c r="D65" s="64" t="n"/>
      <c r="E65" s="67" t="n"/>
      <c r="F65" s="67" t="n"/>
      <c r="G65" s="67" t="n"/>
      <c r="H65" s="67" t="n"/>
      <c r="I65" s="67" t="n"/>
      <c r="J65" s="73" t="str">
        <f>IF(AND($W65&gt;0,ISNUMBER($I65)),$I65/$W65,"")</f>
        <v/>
      </c>
      <c r="K65" s="67" t="n"/>
      <c r="L65" s="73" t="str">
        <f>IF(AND($W65&gt;0,ISNUMBER($K65)),$K65/$W65,"")</f>
        <v/>
      </c>
      <c r="M65" s="67" t="n"/>
      <c r="N65" s="73" t="str">
        <f>IF(AND($W65&gt;0,ISNUMBER($M65)),$M65/$W65,"")</f>
        <v/>
      </c>
      <c r="O65" s="67" t="n"/>
      <c r="P65" s="73" t="str">
        <f>IF(AND($W65&gt;0,ISNUMBER($O65)),$O65/$W65,"")</f>
        <v/>
      </c>
      <c r="Q65" s="67" t="n"/>
      <c r="R65" s="67" t="n"/>
      <c r="S65" s="67" t="n"/>
      <c r="T65" s="64" t="n"/>
      <c r="U65" s="64" t="n"/>
      <c r="V65" s="65" t="n"/>
      <c r="W65" s="72">
        <f>IF($D65="",0,IF(ISNUMBER($G65),IF($G65&gt;0,$G65,N($F65)),N($F65)))</f>
        <v>0</v>
      </c>
      <c r="X65" s="71" t="str">
        <f>IF(ISNUMBER($A65),YEAR($A65)&amp;"-"&amp;TEXT(MONTH($A65),"00"),"")</f>
        <v/>
      </c>
      <c r="Y65" s="71">
        <f>IF($D65="",0,IF(AND(OR(fClient="All",$B65=fClient),OR(fCampaign="All",$C65=fCampaign),OR(fTeam="All",$T65=fTeam),OR(fChannel="All",fChannel="Email",fChannel="Content Syndication"),OR(fMonth="All",$X65=fMonth)),1,0))</f>
        <v>0</v>
      </c>
      <c r="Z65" s="71">
        <f>IF($D65="",0,IF(AND(OR(fClient="All",$B65=fClient),OR(fCampaign="All",$C65=fCampaign),OR(fTeam="All",$T65=fTeam),OR(fChannel="All",fChannel="Email",fChannel="Content Syndication")),1,0))</f>
        <v>0</v>
      </c>
    </row>
    <row r="66">
      <c r="A66" s="63" t="n"/>
      <c r="B66" s="64" t="n"/>
      <c r="C66" s="64" t="n"/>
      <c r="D66" s="64" t="n"/>
      <c r="E66" s="67" t="n"/>
      <c r="F66" s="67" t="n"/>
      <c r="G66" s="67" t="n"/>
      <c r="H66" s="67" t="n"/>
      <c r="I66" s="67" t="n"/>
      <c r="J66" s="73" t="str">
        <f>IF(AND($W66&gt;0,ISNUMBER($I66)),$I66/$W66,"")</f>
        <v/>
      </c>
      <c r="K66" s="67" t="n"/>
      <c r="L66" s="73" t="str">
        <f>IF(AND($W66&gt;0,ISNUMBER($K66)),$K66/$W66,"")</f>
        <v/>
      </c>
      <c r="M66" s="67" t="n"/>
      <c r="N66" s="73" t="str">
        <f>IF(AND($W66&gt;0,ISNUMBER($M66)),$M66/$W66,"")</f>
        <v/>
      </c>
      <c r="O66" s="67" t="n"/>
      <c r="P66" s="73" t="str">
        <f>IF(AND($W66&gt;0,ISNUMBER($O66)),$O66/$W66,"")</f>
        <v/>
      </c>
      <c r="Q66" s="67" t="n"/>
      <c r="R66" s="67" t="n"/>
      <c r="S66" s="67" t="n"/>
      <c r="T66" s="64" t="n"/>
      <c r="U66" s="64" t="n"/>
      <c r="V66" s="65" t="n"/>
      <c r="W66" s="72">
        <f>IF($D66="",0,IF(ISNUMBER($G66),IF($G66&gt;0,$G66,N($F66)),N($F66)))</f>
        <v>0</v>
      </c>
      <c r="X66" s="71" t="str">
        <f>IF(ISNUMBER($A66),YEAR($A66)&amp;"-"&amp;TEXT(MONTH($A66),"00"),"")</f>
        <v/>
      </c>
      <c r="Y66" s="71">
        <f>IF($D66="",0,IF(AND(OR(fClient="All",$B66=fClient),OR(fCampaign="All",$C66=fCampaign),OR(fTeam="All",$T66=fTeam),OR(fChannel="All",fChannel="Email",fChannel="Content Syndication"),OR(fMonth="All",$X66=fMonth)),1,0))</f>
        <v>0</v>
      </c>
      <c r="Z66" s="71">
        <f>IF($D66="",0,IF(AND(OR(fClient="All",$B66=fClient),OR(fCampaign="All",$C66=fCampaign),OR(fTeam="All",$T66=fTeam),OR(fChannel="All",fChannel="Email",fChannel="Content Syndication")),1,0))</f>
        <v>0</v>
      </c>
    </row>
    <row r="67">
      <c r="A67" s="63" t="n"/>
      <c r="B67" s="64" t="n"/>
      <c r="C67" s="64" t="n"/>
      <c r="D67" s="64" t="n"/>
      <c r="E67" s="67" t="n"/>
      <c r="F67" s="67" t="n"/>
      <c r="G67" s="67" t="n"/>
      <c r="H67" s="67" t="n"/>
      <c r="I67" s="67" t="n"/>
      <c r="J67" s="73" t="str">
        <f>IF(AND($W67&gt;0,ISNUMBER($I67)),$I67/$W67,"")</f>
        <v/>
      </c>
      <c r="K67" s="67" t="n"/>
      <c r="L67" s="73" t="str">
        <f>IF(AND($W67&gt;0,ISNUMBER($K67)),$K67/$W67,"")</f>
        <v/>
      </c>
      <c r="M67" s="67" t="n"/>
      <c r="N67" s="73" t="str">
        <f>IF(AND($W67&gt;0,ISNUMBER($M67)),$M67/$W67,"")</f>
        <v/>
      </c>
      <c r="O67" s="67" t="n"/>
      <c r="P67" s="73" t="str">
        <f>IF(AND($W67&gt;0,ISNUMBER($O67)),$O67/$W67,"")</f>
        <v/>
      </c>
      <c r="Q67" s="67" t="n"/>
      <c r="R67" s="67" t="n"/>
      <c r="S67" s="67" t="n"/>
      <c r="T67" s="64" t="n"/>
      <c r="U67" s="64" t="n"/>
      <c r="V67" s="65" t="n"/>
      <c r="W67" s="72">
        <f>IF($D67="",0,IF(ISNUMBER($G67),IF($G67&gt;0,$G67,N($F67)),N($F67)))</f>
        <v>0</v>
      </c>
      <c r="X67" s="71" t="str">
        <f>IF(ISNUMBER($A67),YEAR($A67)&amp;"-"&amp;TEXT(MONTH($A67),"00"),"")</f>
        <v/>
      </c>
      <c r="Y67" s="71">
        <f>IF($D67="",0,IF(AND(OR(fClient="All",$B67=fClient),OR(fCampaign="All",$C67=fCampaign),OR(fTeam="All",$T67=fTeam),OR(fChannel="All",fChannel="Email",fChannel="Content Syndication"),OR(fMonth="All",$X67=fMonth)),1,0))</f>
        <v>0</v>
      </c>
      <c r="Z67" s="71">
        <f>IF($D67="",0,IF(AND(OR(fClient="All",$B67=fClient),OR(fCampaign="All",$C67=fCampaign),OR(fTeam="All",$T67=fTeam),OR(fChannel="All",fChannel="Email",fChannel="Content Syndication")),1,0))</f>
        <v>0</v>
      </c>
    </row>
    <row r="68">
      <c r="A68" s="63" t="n"/>
      <c r="B68" s="64" t="n"/>
      <c r="C68" s="64" t="n"/>
      <c r="D68" s="64" t="n"/>
      <c r="E68" s="67" t="n"/>
      <c r="F68" s="67" t="n"/>
      <c r="G68" s="67" t="n"/>
      <c r="H68" s="67" t="n"/>
      <c r="I68" s="67" t="n"/>
      <c r="J68" s="73" t="str">
        <f>IF(AND($W68&gt;0,ISNUMBER($I68)),$I68/$W68,"")</f>
        <v/>
      </c>
      <c r="K68" s="67" t="n"/>
      <c r="L68" s="73" t="str">
        <f>IF(AND($W68&gt;0,ISNUMBER($K68)),$K68/$W68,"")</f>
        <v/>
      </c>
      <c r="M68" s="67" t="n"/>
      <c r="N68" s="73" t="str">
        <f>IF(AND($W68&gt;0,ISNUMBER($M68)),$M68/$W68,"")</f>
        <v/>
      </c>
      <c r="O68" s="67" t="n"/>
      <c r="P68" s="73" t="str">
        <f>IF(AND($W68&gt;0,ISNUMBER($O68)),$O68/$W68,"")</f>
        <v/>
      </c>
      <c r="Q68" s="67" t="n"/>
      <c r="R68" s="67" t="n"/>
      <c r="S68" s="67" t="n"/>
      <c r="T68" s="64" t="n"/>
      <c r="U68" s="64" t="n"/>
      <c r="V68" s="65" t="n"/>
      <c r="W68" s="72">
        <f>IF($D68="",0,IF(ISNUMBER($G68),IF($G68&gt;0,$G68,N($F68)),N($F68)))</f>
        <v>0</v>
      </c>
      <c r="X68" s="71" t="str">
        <f>IF(ISNUMBER($A68),YEAR($A68)&amp;"-"&amp;TEXT(MONTH($A68),"00"),"")</f>
        <v/>
      </c>
      <c r="Y68" s="71">
        <f>IF($D68="",0,IF(AND(OR(fClient="All",$B68=fClient),OR(fCampaign="All",$C68=fCampaign),OR(fTeam="All",$T68=fTeam),OR(fChannel="All",fChannel="Email",fChannel="Content Syndication"),OR(fMonth="All",$X68=fMonth)),1,0))</f>
        <v>0</v>
      </c>
      <c r="Z68" s="71">
        <f>IF($D68="",0,IF(AND(OR(fClient="All",$B68=fClient),OR(fCampaign="All",$C68=fCampaign),OR(fTeam="All",$T68=fTeam),OR(fChannel="All",fChannel="Email",fChannel="Content Syndication")),1,0))</f>
        <v>0</v>
      </c>
    </row>
    <row r="69">
      <c r="A69" s="63" t="n"/>
      <c r="B69" s="64" t="n"/>
      <c r="C69" s="64" t="n"/>
      <c r="D69" s="64" t="n"/>
      <c r="E69" s="67" t="n"/>
      <c r="F69" s="67" t="n"/>
      <c r="G69" s="67" t="n"/>
      <c r="H69" s="67" t="n"/>
      <c r="I69" s="67" t="n"/>
      <c r="J69" s="73" t="str">
        <f>IF(AND($W69&gt;0,ISNUMBER($I69)),$I69/$W69,"")</f>
        <v/>
      </c>
      <c r="K69" s="67" t="n"/>
      <c r="L69" s="73" t="str">
        <f>IF(AND($W69&gt;0,ISNUMBER($K69)),$K69/$W69,"")</f>
        <v/>
      </c>
      <c r="M69" s="67" t="n"/>
      <c r="N69" s="73" t="str">
        <f>IF(AND($W69&gt;0,ISNUMBER($M69)),$M69/$W69,"")</f>
        <v/>
      </c>
      <c r="O69" s="67" t="n"/>
      <c r="P69" s="73" t="str">
        <f>IF(AND($W69&gt;0,ISNUMBER($O69)),$O69/$W69,"")</f>
        <v/>
      </c>
      <c r="Q69" s="67" t="n"/>
      <c r="R69" s="67" t="n"/>
      <c r="S69" s="67" t="n"/>
      <c r="T69" s="64" t="n"/>
      <c r="U69" s="64" t="n"/>
      <c r="V69" s="65" t="n"/>
      <c r="W69" s="72">
        <f>IF($D69="",0,IF(ISNUMBER($G69),IF($G69&gt;0,$G69,N($F69)),N($F69)))</f>
        <v>0</v>
      </c>
      <c r="X69" s="71" t="str">
        <f>IF(ISNUMBER($A69),YEAR($A69)&amp;"-"&amp;TEXT(MONTH($A69),"00"),"")</f>
        <v/>
      </c>
      <c r="Y69" s="71">
        <f>IF($D69="",0,IF(AND(OR(fClient="All",$B69=fClient),OR(fCampaign="All",$C69=fCampaign),OR(fTeam="All",$T69=fTeam),OR(fChannel="All",fChannel="Email",fChannel="Content Syndication"),OR(fMonth="All",$X69=fMonth)),1,0))</f>
        <v>0</v>
      </c>
      <c r="Z69" s="71">
        <f>IF($D69="",0,IF(AND(OR(fClient="All",$B69=fClient),OR(fCampaign="All",$C69=fCampaign),OR(fTeam="All",$T69=fTeam),OR(fChannel="All",fChannel="Email",fChannel="Content Syndication")),1,0))</f>
        <v>0</v>
      </c>
    </row>
    <row r="70">
      <c r="A70" s="63" t="n"/>
      <c r="B70" s="64" t="n"/>
      <c r="C70" s="64" t="n"/>
      <c r="D70" s="64" t="n"/>
      <c r="E70" s="67" t="n"/>
      <c r="F70" s="67" t="n"/>
      <c r="G70" s="67" t="n"/>
      <c r="H70" s="67" t="n"/>
      <c r="I70" s="67" t="n"/>
      <c r="J70" s="73" t="str">
        <f>IF(AND($W70&gt;0,ISNUMBER($I70)),$I70/$W70,"")</f>
        <v/>
      </c>
      <c r="K70" s="67" t="n"/>
      <c r="L70" s="73" t="str">
        <f>IF(AND($W70&gt;0,ISNUMBER($K70)),$K70/$W70,"")</f>
        <v/>
      </c>
      <c r="M70" s="67" t="n"/>
      <c r="N70" s="73" t="str">
        <f>IF(AND($W70&gt;0,ISNUMBER($M70)),$M70/$W70,"")</f>
        <v/>
      </c>
      <c r="O70" s="67" t="n"/>
      <c r="P70" s="73" t="str">
        <f>IF(AND($W70&gt;0,ISNUMBER($O70)),$O70/$W70,"")</f>
        <v/>
      </c>
      <c r="Q70" s="67" t="n"/>
      <c r="R70" s="67" t="n"/>
      <c r="S70" s="67" t="n"/>
      <c r="T70" s="64" t="n"/>
      <c r="U70" s="64" t="n"/>
      <c r="V70" s="65" t="n"/>
      <c r="W70" s="72">
        <f>IF($D70="",0,IF(ISNUMBER($G70),IF($G70&gt;0,$G70,N($F70)),N($F70)))</f>
        <v>0</v>
      </c>
      <c r="X70" s="71" t="str">
        <f>IF(ISNUMBER($A70),YEAR($A70)&amp;"-"&amp;TEXT(MONTH($A70),"00"),"")</f>
        <v/>
      </c>
      <c r="Y70" s="71">
        <f>IF($D70="",0,IF(AND(OR(fClient="All",$B70=fClient),OR(fCampaign="All",$C70=fCampaign),OR(fTeam="All",$T70=fTeam),OR(fChannel="All",fChannel="Email",fChannel="Content Syndication"),OR(fMonth="All",$X70=fMonth)),1,0))</f>
        <v>0</v>
      </c>
      <c r="Z70" s="71">
        <f>IF($D70="",0,IF(AND(OR(fClient="All",$B70=fClient),OR(fCampaign="All",$C70=fCampaign),OR(fTeam="All",$T70=fTeam),OR(fChannel="All",fChannel="Email",fChannel="Content Syndication")),1,0))</f>
        <v>0</v>
      </c>
    </row>
    <row r="71">
      <c r="A71" s="63" t="n"/>
      <c r="B71" s="64" t="n"/>
      <c r="C71" s="64" t="n"/>
      <c r="D71" s="64" t="n"/>
      <c r="E71" s="67" t="n"/>
      <c r="F71" s="67" t="n"/>
      <c r="G71" s="67" t="n"/>
      <c r="H71" s="67" t="n"/>
      <c r="I71" s="67" t="n"/>
      <c r="J71" s="73" t="str">
        <f>IF(AND($W71&gt;0,ISNUMBER($I71)),$I71/$W71,"")</f>
        <v/>
      </c>
      <c r="K71" s="67" t="n"/>
      <c r="L71" s="73" t="str">
        <f>IF(AND($W71&gt;0,ISNUMBER($K71)),$K71/$W71,"")</f>
        <v/>
      </c>
      <c r="M71" s="67" t="n"/>
      <c r="N71" s="73" t="str">
        <f>IF(AND($W71&gt;0,ISNUMBER($M71)),$M71/$W71,"")</f>
        <v/>
      </c>
      <c r="O71" s="67" t="n"/>
      <c r="P71" s="73" t="str">
        <f>IF(AND($W71&gt;0,ISNUMBER($O71)),$O71/$W71,"")</f>
        <v/>
      </c>
      <c r="Q71" s="67" t="n"/>
      <c r="R71" s="67" t="n"/>
      <c r="S71" s="67" t="n"/>
      <c r="T71" s="64" t="n"/>
      <c r="U71" s="64" t="n"/>
      <c r="V71" s="65" t="n"/>
      <c r="W71" s="72">
        <f>IF($D71="",0,IF(ISNUMBER($G71),IF($G71&gt;0,$G71,N($F71)),N($F71)))</f>
        <v>0</v>
      </c>
      <c r="X71" s="71" t="str">
        <f>IF(ISNUMBER($A71),YEAR($A71)&amp;"-"&amp;TEXT(MONTH($A71),"00"),"")</f>
        <v/>
      </c>
      <c r="Y71" s="71">
        <f>IF($D71="",0,IF(AND(OR(fClient="All",$B71=fClient),OR(fCampaign="All",$C71=fCampaign),OR(fTeam="All",$T71=fTeam),OR(fChannel="All",fChannel="Email",fChannel="Content Syndication"),OR(fMonth="All",$X71=fMonth)),1,0))</f>
        <v>0</v>
      </c>
      <c r="Z71" s="71">
        <f>IF($D71="",0,IF(AND(OR(fClient="All",$B71=fClient),OR(fCampaign="All",$C71=fCampaign),OR(fTeam="All",$T71=fTeam),OR(fChannel="All",fChannel="Email",fChannel="Content Syndication")),1,0))</f>
        <v>0</v>
      </c>
    </row>
    <row r="72">
      <c r="A72" s="63" t="n"/>
      <c r="B72" s="64" t="n"/>
      <c r="C72" s="64" t="n"/>
      <c r="D72" s="64" t="n"/>
      <c r="E72" s="67" t="n"/>
      <c r="F72" s="67" t="n"/>
      <c r="G72" s="67" t="n"/>
      <c r="H72" s="67" t="n"/>
      <c r="I72" s="67" t="n"/>
      <c r="J72" s="73" t="str">
        <f>IF(AND($W72&gt;0,ISNUMBER($I72)),$I72/$W72,"")</f>
        <v/>
      </c>
      <c r="K72" s="67" t="n"/>
      <c r="L72" s="73" t="str">
        <f>IF(AND($W72&gt;0,ISNUMBER($K72)),$K72/$W72,"")</f>
        <v/>
      </c>
      <c r="M72" s="67" t="n"/>
      <c r="N72" s="73" t="str">
        <f>IF(AND($W72&gt;0,ISNUMBER($M72)),$M72/$W72,"")</f>
        <v/>
      </c>
      <c r="O72" s="67" t="n"/>
      <c r="P72" s="73" t="str">
        <f>IF(AND($W72&gt;0,ISNUMBER($O72)),$O72/$W72,"")</f>
        <v/>
      </c>
      <c r="Q72" s="67" t="n"/>
      <c r="R72" s="67" t="n"/>
      <c r="S72" s="67" t="n"/>
      <c r="T72" s="64" t="n"/>
      <c r="U72" s="64" t="n"/>
      <c r="V72" s="65" t="n"/>
      <c r="W72" s="72">
        <f>IF($D72="",0,IF(ISNUMBER($G72),IF($G72&gt;0,$G72,N($F72)),N($F72)))</f>
        <v>0</v>
      </c>
      <c r="X72" s="71" t="str">
        <f>IF(ISNUMBER($A72),YEAR($A72)&amp;"-"&amp;TEXT(MONTH($A72),"00"),"")</f>
        <v/>
      </c>
      <c r="Y72" s="71">
        <f>IF($D72="",0,IF(AND(OR(fClient="All",$B72=fClient),OR(fCampaign="All",$C72=fCampaign),OR(fTeam="All",$T72=fTeam),OR(fChannel="All",fChannel="Email",fChannel="Content Syndication"),OR(fMonth="All",$X72=fMonth)),1,0))</f>
        <v>0</v>
      </c>
      <c r="Z72" s="71">
        <f>IF($D72="",0,IF(AND(OR(fClient="All",$B72=fClient),OR(fCampaign="All",$C72=fCampaign),OR(fTeam="All",$T72=fTeam),OR(fChannel="All",fChannel="Email",fChannel="Content Syndication")),1,0))</f>
        <v>0</v>
      </c>
    </row>
    <row r="73">
      <c r="A73" s="63" t="n"/>
      <c r="B73" s="64" t="n"/>
      <c r="C73" s="64" t="n"/>
      <c r="D73" s="64" t="n"/>
      <c r="E73" s="67" t="n"/>
      <c r="F73" s="67" t="n"/>
      <c r="G73" s="67" t="n"/>
      <c r="H73" s="67" t="n"/>
      <c r="I73" s="67" t="n"/>
      <c r="J73" s="73" t="str">
        <f>IF(AND($W73&gt;0,ISNUMBER($I73)),$I73/$W73,"")</f>
        <v/>
      </c>
      <c r="K73" s="67" t="n"/>
      <c r="L73" s="73" t="str">
        <f>IF(AND($W73&gt;0,ISNUMBER($K73)),$K73/$W73,"")</f>
        <v/>
      </c>
      <c r="M73" s="67" t="n"/>
      <c r="N73" s="73" t="str">
        <f>IF(AND($W73&gt;0,ISNUMBER($M73)),$M73/$W73,"")</f>
        <v/>
      </c>
      <c r="O73" s="67" t="n"/>
      <c r="P73" s="73" t="str">
        <f>IF(AND($W73&gt;0,ISNUMBER($O73)),$O73/$W73,"")</f>
        <v/>
      </c>
      <c r="Q73" s="67" t="n"/>
      <c r="R73" s="67" t="n"/>
      <c r="S73" s="67" t="n"/>
      <c r="T73" s="64" t="n"/>
      <c r="U73" s="64" t="n"/>
      <c r="V73" s="65" t="n"/>
      <c r="W73" s="72">
        <f>IF($D73="",0,IF(ISNUMBER($G73),IF($G73&gt;0,$G73,N($F73)),N($F73)))</f>
        <v>0</v>
      </c>
      <c r="X73" s="71" t="str">
        <f>IF(ISNUMBER($A73),YEAR($A73)&amp;"-"&amp;TEXT(MONTH($A73),"00"),"")</f>
        <v/>
      </c>
      <c r="Y73" s="71">
        <f>IF($D73="",0,IF(AND(OR(fClient="All",$B73=fClient),OR(fCampaign="All",$C73=fCampaign),OR(fTeam="All",$T73=fTeam),OR(fChannel="All",fChannel="Email",fChannel="Content Syndication"),OR(fMonth="All",$X73=fMonth)),1,0))</f>
        <v>0</v>
      </c>
      <c r="Z73" s="71">
        <f>IF($D73="",0,IF(AND(OR(fClient="All",$B73=fClient),OR(fCampaign="All",$C73=fCampaign),OR(fTeam="All",$T73=fTeam),OR(fChannel="All",fChannel="Email",fChannel="Content Syndication")),1,0))</f>
        <v>0</v>
      </c>
    </row>
    <row r="74">
      <c r="A74" s="63" t="n"/>
      <c r="B74" s="64" t="n"/>
      <c r="C74" s="64" t="n"/>
      <c r="D74" s="64" t="n"/>
      <c r="E74" s="67" t="n"/>
      <c r="F74" s="67" t="n"/>
      <c r="G74" s="67" t="n"/>
      <c r="H74" s="67" t="n"/>
      <c r="I74" s="67" t="n"/>
      <c r="J74" s="73" t="str">
        <f>IF(AND($W74&gt;0,ISNUMBER($I74)),$I74/$W74,"")</f>
        <v/>
      </c>
      <c r="K74" s="67" t="n"/>
      <c r="L74" s="73" t="str">
        <f>IF(AND($W74&gt;0,ISNUMBER($K74)),$K74/$W74,"")</f>
        <v/>
      </c>
      <c r="M74" s="67" t="n"/>
      <c r="N74" s="73" t="str">
        <f>IF(AND($W74&gt;0,ISNUMBER($M74)),$M74/$W74,"")</f>
        <v/>
      </c>
      <c r="O74" s="67" t="n"/>
      <c r="P74" s="73" t="str">
        <f>IF(AND($W74&gt;0,ISNUMBER($O74)),$O74/$W74,"")</f>
        <v/>
      </c>
      <c r="Q74" s="67" t="n"/>
      <c r="R74" s="67" t="n"/>
      <c r="S74" s="67" t="n"/>
      <c r="T74" s="64" t="n"/>
      <c r="U74" s="64" t="n"/>
      <c r="V74" s="65" t="n"/>
      <c r="W74" s="72">
        <f>IF($D74="",0,IF(ISNUMBER($G74),IF($G74&gt;0,$G74,N($F74)),N($F74)))</f>
        <v>0</v>
      </c>
      <c r="X74" s="71" t="str">
        <f>IF(ISNUMBER($A74),YEAR($A74)&amp;"-"&amp;TEXT(MONTH($A74),"00"),"")</f>
        <v/>
      </c>
      <c r="Y74" s="71">
        <f>IF($D74="",0,IF(AND(OR(fClient="All",$B74=fClient),OR(fCampaign="All",$C74=fCampaign),OR(fTeam="All",$T74=fTeam),OR(fChannel="All",fChannel="Email",fChannel="Content Syndication"),OR(fMonth="All",$X74=fMonth)),1,0))</f>
        <v>0</v>
      </c>
      <c r="Z74" s="71">
        <f>IF($D74="",0,IF(AND(OR(fClient="All",$B74=fClient),OR(fCampaign="All",$C74=fCampaign),OR(fTeam="All",$T74=fTeam),OR(fChannel="All",fChannel="Email",fChannel="Content Syndication")),1,0))</f>
        <v>0</v>
      </c>
    </row>
    <row r="75">
      <c r="A75" s="63" t="n"/>
      <c r="B75" s="64" t="n"/>
      <c r="C75" s="64" t="n"/>
      <c r="D75" s="64" t="n"/>
      <c r="E75" s="67" t="n"/>
      <c r="F75" s="67" t="n"/>
      <c r="G75" s="67" t="n"/>
      <c r="H75" s="67" t="n"/>
      <c r="I75" s="67" t="n"/>
      <c r="J75" s="73" t="str">
        <f>IF(AND($W75&gt;0,ISNUMBER($I75)),$I75/$W75,"")</f>
        <v/>
      </c>
      <c r="K75" s="67" t="n"/>
      <c r="L75" s="73" t="str">
        <f>IF(AND($W75&gt;0,ISNUMBER($K75)),$K75/$W75,"")</f>
        <v/>
      </c>
      <c r="M75" s="67" t="n"/>
      <c r="N75" s="73" t="str">
        <f>IF(AND($W75&gt;0,ISNUMBER($M75)),$M75/$W75,"")</f>
        <v/>
      </c>
      <c r="O75" s="67" t="n"/>
      <c r="P75" s="73" t="str">
        <f>IF(AND($W75&gt;0,ISNUMBER($O75)),$O75/$W75,"")</f>
        <v/>
      </c>
      <c r="Q75" s="67" t="n"/>
      <c r="R75" s="67" t="n"/>
      <c r="S75" s="67" t="n"/>
      <c r="T75" s="64" t="n"/>
      <c r="U75" s="64" t="n"/>
      <c r="V75" s="65" t="n"/>
      <c r="W75" s="72">
        <f>IF($D75="",0,IF(ISNUMBER($G75),IF($G75&gt;0,$G75,N($F75)),N($F75)))</f>
        <v>0</v>
      </c>
      <c r="X75" s="71" t="str">
        <f>IF(ISNUMBER($A75),YEAR($A75)&amp;"-"&amp;TEXT(MONTH($A75),"00"),"")</f>
        <v/>
      </c>
      <c r="Y75" s="71">
        <f>IF($D75="",0,IF(AND(OR(fClient="All",$B75=fClient),OR(fCampaign="All",$C75=fCampaign),OR(fTeam="All",$T75=fTeam),OR(fChannel="All",fChannel="Email",fChannel="Content Syndication"),OR(fMonth="All",$X75=fMonth)),1,0))</f>
        <v>0</v>
      </c>
      <c r="Z75" s="71">
        <f>IF($D75="",0,IF(AND(OR(fClient="All",$B75=fClient),OR(fCampaign="All",$C75=fCampaign),OR(fTeam="All",$T75=fTeam),OR(fChannel="All",fChannel="Email",fChannel="Content Syndication")),1,0))</f>
        <v>0</v>
      </c>
    </row>
    <row r="76">
      <c r="A76" s="63" t="n"/>
      <c r="B76" s="64" t="n"/>
      <c r="C76" s="64" t="n"/>
      <c r="D76" s="64" t="n"/>
      <c r="E76" s="67" t="n"/>
      <c r="F76" s="67" t="n"/>
      <c r="G76" s="67" t="n"/>
      <c r="H76" s="67" t="n"/>
      <c r="I76" s="67" t="n"/>
      <c r="J76" s="73" t="str">
        <f>IF(AND($W76&gt;0,ISNUMBER($I76)),$I76/$W76,"")</f>
        <v/>
      </c>
      <c r="K76" s="67" t="n"/>
      <c r="L76" s="73" t="str">
        <f>IF(AND($W76&gt;0,ISNUMBER($K76)),$K76/$W76,"")</f>
        <v/>
      </c>
      <c r="M76" s="67" t="n"/>
      <c r="N76" s="73" t="str">
        <f>IF(AND($W76&gt;0,ISNUMBER($M76)),$M76/$W76,"")</f>
        <v/>
      </c>
      <c r="O76" s="67" t="n"/>
      <c r="P76" s="73" t="str">
        <f>IF(AND($W76&gt;0,ISNUMBER($O76)),$O76/$W76,"")</f>
        <v/>
      </c>
      <c r="Q76" s="67" t="n"/>
      <c r="R76" s="67" t="n"/>
      <c r="S76" s="67" t="n"/>
      <c r="T76" s="64" t="n"/>
      <c r="U76" s="64" t="n"/>
      <c r="V76" s="65" t="n"/>
      <c r="W76" s="72">
        <f>IF($D76="",0,IF(ISNUMBER($G76),IF($G76&gt;0,$G76,N($F76)),N($F76)))</f>
        <v>0</v>
      </c>
      <c r="X76" s="71" t="str">
        <f>IF(ISNUMBER($A76),YEAR($A76)&amp;"-"&amp;TEXT(MONTH($A76),"00"),"")</f>
        <v/>
      </c>
      <c r="Y76" s="71">
        <f>IF($D76="",0,IF(AND(OR(fClient="All",$B76=fClient),OR(fCampaign="All",$C76=fCampaign),OR(fTeam="All",$T76=fTeam),OR(fChannel="All",fChannel="Email",fChannel="Content Syndication"),OR(fMonth="All",$X76=fMonth)),1,0))</f>
        <v>0</v>
      </c>
      <c r="Z76" s="71">
        <f>IF($D76="",0,IF(AND(OR(fClient="All",$B76=fClient),OR(fCampaign="All",$C76=fCampaign),OR(fTeam="All",$T76=fTeam),OR(fChannel="All",fChannel="Email",fChannel="Content Syndication")),1,0))</f>
        <v>0</v>
      </c>
    </row>
    <row r="77">
      <c r="A77" s="63" t="n"/>
      <c r="B77" s="64" t="n"/>
      <c r="C77" s="64" t="n"/>
      <c r="D77" s="64" t="n"/>
      <c r="E77" s="67" t="n"/>
      <c r="F77" s="67" t="n"/>
      <c r="G77" s="67" t="n"/>
      <c r="H77" s="67" t="n"/>
      <c r="I77" s="67" t="n"/>
      <c r="J77" s="73" t="str">
        <f>IF(AND($W77&gt;0,ISNUMBER($I77)),$I77/$W77,"")</f>
        <v/>
      </c>
      <c r="K77" s="67" t="n"/>
      <c r="L77" s="73" t="str">
        <f>IF(AND($W77&gt;0,ISNUMBER($K77)),$K77/$W77,"")</f>
        <v/>
      </c>
      <c r="M77" s="67" t="n"/>
      <c r="N77" s="73" t="str">
        <f>IF(AND($W77&gt;0,ISNUMBER($M77)),$M77/$W77,"")</f>
        <v/>
      </c>
      <c r="O77" s="67" t="n"/>
      <c r="P77" s="73" t="str">
        <f>IF(AND($W77&gt;0,ISNUMBER($O77)),$O77/$W77,"")</f>
        <v/>
      </c>
      <c r="Q77" s="67" t="n"/>
      <c r="R77" s="67" t="n"/>
      <c r="S77" s="67" t="n"/>
      <c r="T77" s="64" t="n"/>
      <c r="U77" s="64" t="n"/>
      <c r="V77" s="65" t="n"/>
      <c r="W77" s="72">
        <f>IF($D77="",0,IF(ISNUMBER($G77),IF($G77&gt;0,$G77,N($F77)),N($F77)))</f>
        <v>0</v>
      </c>
      <c r="X77" s="71" t="str">
        <f>IF(ISNUMBER($A77),YEAR($A77)&amp;"-"&amp;TEXT(MONTH($A77),"00"),"")</f>
        <v/>
      </c>
      <c r="Y77" s="71">
        <f>IF($D77="",0,IF(AND(OR(fClient="All",$B77=fClient),OR(fCampaign="All",$C77=fCampaign),OR(fTeam="All",$T77=fTeam),OR(fChannel="All",fChannel="Email",fChannel="Content Syndication"),OR(fMonth="All",$X77=fMonth)),1,0))</f>
        <v>0</v>
      </c>
      <c r="Z77" s="71">
        <f>IF($D77="",0,IF(AND(OR(fClient="All",$B77=fClient),OR(fCampaign="All",$C77=fCampaign),OR(fTeam="All",$T77=fTeam),OR(fChannel="All",fChannel="Email",fChannel="Content Syndication")),1,0))</f>
        <v>0</v>
      </c>
    </row>
    <row r="78">
      <c r="A78" s="63" t="n"/>
      <c r="B78" s="64" t="n"/>
      <c r="C78" s="64" t="n"/>
      <c r="D78" s="64" t="n"/>
      <c r="E78" s="67" t="n"/>
      <c r="F78" s="67" t="n"/>
      <c r="G78" s="67" t="n"/>
      <c r="H78" s="67" t="n"/>
      <c r="I78" s="67" t="n"/>
      <c r="J78" s="73" t="str">
        <f>IF(AND($W78&gt;0,ISNUMBER($I78)),$I78/$W78,"")</f>
        <v/>
      </c>
      <c r="K78" s="67" t="n"/>
      <c r="L78" s="73" t="str">
        <f>IF(AND($W78&gt;0,ISNUMBER($K78)),$K78/$W78,"")</f>
        <v/>
      </c>
      <c r="M78" s="67" t="n"/>
      <c r="N78" s="73" t="str">
        <f>IF(AND($W78&gt;0,ISNUMBER($M78)),$M78/$W78,"")</f>
        <v/>
      </c>
      <c r="O78" s="67" t="n"/>
      <c r="P78" s="73" t="str">
        <f>IF(AND($W78&gt;0,ISNUMBER($O78)),$O78/$W78,"")</f>
        <v/>
      </c>
      <c r="Q78" s="67" t="n"/>
      <c r="R78" s="67" t="n"/>
      <c r="S78" s="67" t="n"/>
      <c r="T78" s="64" t="n"/>
      <c r="U78" s="64" t="n"/>
      <c r="V78" s="65" t="n"/>
      <c r="W78" s="72">
        <f>IF($D78="",0,IF(ISNUMBER($G78),IF($G78&gt;0,$G78,N($F78)),N($F78)))</f>
        <v>0</v>
      </c>
      <c r="X78" s="71" t="str">
        <f>IF(ISNUMBER($A78),YEAR($A78)&amp;"-"&amp;TEXT(MONTH($A78),"00"),"")</f>
        <v/>
      </c>
      <c r="Y78" s="71">
        <f>IF($D78="",0,IF(AND(OR(fClient="All",$B78=fClient),OR(fCampaign="All",$C78=fCampaign),OR(fTeam="All",$T78=fTeam),OR(fChannel="All",fChannel="Email",fChannel="Content Syndication"),OR(fMonth="All",$X78=fMonth)),1,0))</f>
        <v>0</v>
      </c>
      <c r="Z78" s="71">
        <f>IF($D78="",0,IF(AND(OR(fClient="All",$B78=fClient),OR(fCampaign="All",$C78=fCampaign),OR(fTeam="All",$T78=fTeam),OR(fChannel="All",fChannel="Email",fChannel="Content Syndication")),1,0))</f>
        <v>0</v>
      </c>
    </row>
    <row r="79">
      <c r="A79" s="63" t="n"/>
      <c r="B79" s="64" t="n"/>
      <c r="C79" s="64" t="n"/>
      <c r="D79" s="64" t="n"/>
      <c r="E79" s="67" t="n"/>
      <c r="F79" s="67" t="n"/>
      <c r="G79" s="67" t="n"/>
      <c r="H79" s="67" t="n"/>
      <c r="I79" s="67" t="n"/>
      <c r="J79" s="73" t="str">
        <f>IF(AND($W79&gt;0,ISNUMBER($I79)),$I79/$W79,"")</f>
        <v/>
      </c>
      <c r="K79" s="67" t="n"/>
      <c r="L79" s="73" t="str">
        <f>IF(AND($W79&gt;0,ISNUMBER($K79)),$K79/$W79,"")</f>
        <v/>
      </c>
      <c r="M79" s="67" t="n"/>
      <c r="N79" s="73" t="str">
        <f>IF(AND($W79&gt;0,ISNUMBER($M79)),$M79/$W79,"")</f>
        <v/>
      </c>
      <c r="O79" s="67" t="n"/>
      <c r="P79" s="73" t="str">
        <f>IF(AND($W79&gt;0,ISNUMBER($O79)),$O79/$W79,"")</f>
        <v/>
      </c>
      <c r="Q79" s="67" t="n"/>
      <c r="R79" s="67" t="n"/>
      <c r="S79" s="67" t="n"/>
      <c r="T79" s="64" t="n"/>
      <c r="U79" s="64" t="n"/>
      <c r="V79" s="65" t="n"/>
      <c r="W79" s="72">
        <f>IF($D79="",0,IF(ISNUMBER($G79),IF($G79&gt;0,$G79,N($F79)),N($F79)))</f>
        <v>0</v>
      </c>
      <c r="X79" s="71" t="str">
        <f>IF(ISNUMBER($A79),YEAR($A79)&amp;"-"&amp;TEXT(MONTH($A79),"00"),"")</f>
        <v/>
      </c>
      <c r="Y79" s="71">
        <f>IF($D79="",0,IF(AND(OR(fClient="All",$B79=fClient),OR(fCampaign="All",$C79=fCampaign),OR(fTeam="All",$T79=fTeam),OR(fChannel="All",fChannel="Email",fChannel="Content Syndication"),OR(fMonth="All",$X79=fMonth)),1,0))</f>
        <v>0</v>
      </c>
      <c r="Z79" s="71">
        <f>IF($D79="",0,IF(AND(OR(fClient="All",$B79=fClient),OR(fCampaign="All",$C79=fCampaign),OR(fTeam="All",$T79=fTeam),OR(fChannel="All",fChannel="Email",fChannel="Content Syndication")),1,0))</f>
        <v>0</v>
      </c>
    </row>
    <row r="80">
      <c r="A80" s="63" t="n"/>
      <c r="B80" s="64" t="n"/>
      <c r="C80" s="64" t="n"/>
      <c r="D80" s="64" t="n"/>
      <c r="E80" s="67" t="n"/>
      <c r="F80" s="67" t="n"/>
      <c r="G80" s="67" t="n"/>
      <c r="H80" s="67" t="n"/>
      <c r="I80" s="67" t="n"/>
      <c r="J80" s="73" t="str">
        <f>IF(AND($W80&gt;0,ISNUMBER($I80)),$I80/$W80,"")</f>
        <v/>
      </c>
      <c r="K80" s="67" t="n"/>
      <c r="L80" s="73" t="str">
        <f>IF(AND($W80&gt;0,ISNUMBER($K80)),$K80/$W80,"")</f>
        <v/>
      </c>
      <c r="M80" s="67" t="n"/>
      <c r="N80" s="73" t="str">
        <f>IF(AND($W80&gt;0,ISNUMBER($M80)),$M80/$W80,"")</f>
        <v/>
      </c>
      <c r="O80" s="67" t="n"/>
      <c r="P80" s="73" t="str">
        <f>IF(AND($W80&gt;0,ISNUMBER($O80)),$O80/$W80,"")</f>
        <v/>
      </c>
      <c r="Q80" s="67" t="n"/>
      <c r="R80" s="67" t="n"/>
      <c r="S80" s="67" t="n"/>
      <c r="T80" s="64" t="n"/>
      <c r="U80" s="64" t="n"/>
      <c r="V80" s="65" t="n"/>
      <c r="W80" s="72">
        <f>IF($D80="",0,IF(ISNUMBER($G80),IF($G80&gt;0,$G80,N($F80)),N($F80)))</f>
        <v>0</v>
      </c>
      <c r="X80" s="71" t="str">
        <f>IF(ISNUMBER($A80),YEAR($A80)&amp;"-"&amp;TEXT(MONTH($A80),"00"),"")</f>
        <v/>
      </c>
      <c r="Y80" s="71">
        <f>IF($D80="",0,IF(AND(OR(fClient="All",$B80=fClient),OR(fCampaign="All",$C80=fCampaign),OR(fTeam="All",$T80=fTeam),OR(fChannel="All",fChannel="Email",fChannel="Content Syndication"),OR(fMonth="All",$X80=fMonth)),1,0))</f>
        <v>0</v>
      </c>
      <c r="Z80" s="71">
        <f>IF($D80="",0,IF(AND(OR(fClient="All",$B80=fClient),OR(fCampaign="All",$C80=fCampaign),OR(fTeam="All",$T80=fTeam),OR(fChannel="All",fChannel="Email",fChannel="Content Syndication")),1,0))</f>
        <v>0</v>
      </c>
    </row>
    <row r="81">
      <c r="A81" s="63" t="n"/>
      <c r="B81" s="64" t="n"/>
      <c r="C81" s="64" t="n"/>
      <c r="D81" s="64" t="n"/>
      <c r="E81" s="67" t="n"/>
      <c r="F81" s="67" t="n"/>
      <c r="G81" s="67" t="n"/>
      <c r="H81" s="67" t="n"/>
      <c r="I81" s="67" t="n"/>
      <c r="J81" s="73" t="str">
        <f>IF(AND($W81&gt;0,ISNUMBER($I81)),$I81/$W81,"")</f>
        <v/>
      </c>
      <c r="K81" s="67" t="n"/>
      <c r="L81" s="73" t="str">
        <f>IF(AND($W81&gt;0,ISNUMBER($K81)),$K81/$W81,"")</f>
        <v/>
      </c>
      <c r="M81" s="67" t="n"/>
      <c r="N81" s="73" t="str">
        <f>IF(AND($W81&gt;0,ISNUMBER($M81)),$M81/$W81,"")</f>
        <v/>
      </c>
      <c r="O81" s="67" t="n"/>
      <c r="P81" s="73" t="str">
        <f>IF(AND($W81&gt;0,ISNUMBER($O81)),$O81/$W81,"")</f>
        <v/>
      </c>
      <c r="Q81" s="67" t="n"/>
      <c r="R81" s="67" t="n"/>
      <c r="S81" s="67" t="n"/>
      <c r="T81" s="64" t="n"/>
      <c r="U81" s="64" t="n"/>
      <c r="V81" s="65" t="n"/>
      <c r="W81" s="72">
        <f>IF($D81="",0,IF(ISNUMBER($G81),IF($G81&gt;0,$G81,N($F81)),N($F81)))</f>
        <v>0</v>
      </c>
      <c r="X81" s="71" t="str">
        <f>IF(ISNUMBER($A81),YEAR($A81)&amp;"-"&amp;TEXT(MONTH($A81),"00"),"")</f>
        <v/>
      </c>
      <c r="Y81" s="71">
        <f>IF($D81="",0,IF(AND(OR(fClient="All",$B81=fClient),OR(fCampaign="All",$C81=fCampaign),OR(fTeam="All",$T81=fTeam),OR(fChannel="All",fChannel="Email",fChannel="Content Syndication"),OR(fMonth="All",$X81=fMonth)),1,0))</f>
        <v>0</v>
      </c>
      <c r="Z81" s="71">
        <f>IF($D81="",0,IF(AND(OR(fClient="All",$B81=fClient),OR(fCampaign="All",$C81=fCampaign),OR(fTeam="All",$T81=fTeam),OR(fChannel="All",fChannel="Email",fChannel="Content Syndication")),1,0))</f>
        <v>0</v>
      </c>
    </row>
    <row r="82">
      <c r="A82" s="63" t="n"/>
      <c r="B82" s="64" t="n"/>
      <c r="C82" s="64" t="n"/>
      <c r="D82" s="64" t="n"/>
      <c r="E82" s="67" t="n"/>
      <c r="F82" s="67" t="n"/>
      <c r="G82" s="67" t="n"/>
      <c r="H82" s="67" t="n"/>
      <c r="I82" s="67" t="n"/>
      <c r="J82" s="73" t="str">
        <f>IF(AND($W82&gt;0,ISNUMBER($I82)),$I82/$W82,"")</f>
        <v/>
      </c>
      <c r="K82" s="67" t="n"/>
      <c r="L82" s="73" t="str">
        <f>IF(AND($W82&gt;0,ISNUMBER($K82)),$K82/$W82,"")</f>
        <v/>
      </c>
      <c r="M82" s="67" t="n"/>
      <c r="N82" s="73" t="str">
        <f>IF(AND($W82&gt;0,ISNUMBER($M82)),$M82/$W82,"")</f>
        <v/>
      </c>
      <c r="O82" s="67" t="n"/>
      <c r="P82" s="73" t="str">
        <f>IF(AND($W82&gt;0,ISNUMBER($O82)),$O82/$W82,"")</f>
        <v/>
      </c>
      <c r="Q82" s="67" t="n"/>
      <c r="R82" s="67" t="n"/>
      <c r="S82" s="67" t="n"/>
      <c r="T82" s="64" t="n"/>
      <c r="U82" s="64" t="n"/>
      <c r="V82" s="65" t="n"/>
      <c r="W82" s="72">
        <f>IF($D82="",0,IF(ISNUMBER($G82),IF($G82&gt;0,$G82,N($F82)),N($F82)))</f>
        <v>0</v>
      </c>
      <c r="X82" s="71" t="str">
        <f>IF(ISNUMBER($A82),YEAR($A82)&amp;"-"&amp;TEXT(MONTH($A82),"00"),"")</f>
        <v/>
      </c>
      <c r="Y82" s="71">
        <f>IF($D82="",0,IF(AND(OR(fClient="All",$B82=fClient),OR(fCampaign="All",$C82=fCampaign),OR(fTeam="All",$T82=fTeam),OR(fChannel="All",fChannel="Email",fChannel="Content Syndication"),OR(fMonth="All",$X82=fMonth)),1,0))</f>
        <v>0</v>
      </c>
      <c r="Z82" s="71">
        <f>IF($D82="",0,IF(AND(OR(fClient="All",$B82=fClient),OR(fCampaign="All",$C82=fCampaign),OR(fTeam="All",$T82=fTeam),OR(fChannel="All",fChannel="Email",fChannel="Content Syndication")),1,0))</f>
        <v>0</v>
      </c>
    </row>
    <row r="83">
      <c r="A83" s="63" t="n"/>
      <c r="B83" s="64" t="n"/>
      <c r="C83" s="64" t="n"/>
      <c r="D83" s="64" t="n"/>
      <c r="E83" s="67" t="n"/>
      <c r="F83" s="67" t="n"/>
      <c r="G83" s="67" t="n"/>
      <c r="H83" s="67" t="n"/>
      <c r="I83" s="67" t="n"/>
      <c r="J83" s="73" t="str">
        <f>IF(AND($W83&gt;0,ISNUMBER($I83)),$I83/$W83,"")</f>
        <v/>
      </c>
      <c r="K83" s="67" t="n"/>
      <c r="L83" s="73" t="str">
        <f>IF(AND($W83&gt;0,ISNUMBER($K83)),$K83/$W83,"")</f>
        <v/>
      </c>
      <c r="M83" s="67" t="n"/>
      <c r="N83" s="73" t="str">
        <f>IF(AND($W83&gt;0,ISNUMBER($M83)),$M83/$W83,"")</f>
        <v/>
      </c>
      <c r="O83" s="67" t="n"/>
      <c r="P83" s="73" t="str">
        <f>IF(AND($W83&gt;0,ISNUMBER($O83)),$O83/$W83,"")</f>
        <v/>
      </c>
      <c r="Q83" s="67" t="n"/>
      <c r="R83" s="67" t="n"/>
      <c r="S83" s="67" t="n"/>
      <c r="T83" s="64" t="n"/>
      <c r="U83" s="64" t="n"/>
      <c r="V83" s="65" t="n"/>
      <c r="W83" s="72">
        <f>IF($D83="",0,IF(ISNUMBER($G83),IF($G83&gt;0,$G83,N($F83)),N($F83)))</f>
        <v>0</v>
      </c>
      <c r="X83" s="71" t="str">
        <f>IF(ISNUMBER($A83),YEAR($A83)&amp;"-"&amp;TEXT(MONTH($A83),"00"),"")</f>
        <v/>
      </c>
      <c r="Y83" s="71">
        <f>IF($D83="",0,IF(AND(OR(fClient="All",$B83=fClient),OR(fCampaign="All",$C83=fCampaign),OR(fTeam="All",$T83=fTeam),OR(fChannel="All",fChannel="Email",fChannel="Content Syndication"),OR(fMonth="All",$X83=fMonth)),1,0))</f>
        <v>0</v>
      </c>
      <c r="Z83" s="71">
        <f>IF($D83="",0,IF(AND(OR(fClient="All",$B83=fClient),OR(fCampaign="All",$C83=fCampaign),OR(fTeam="All",$T83=fTeam),OR(fChannel="All",fChannel="Email",fChannel="Content Syndication")),1,0))</f>
        <v>0</v>
      </c>
    </row>
    <row r="84">
      <c r="A84" s="63" t="n"/>
      <c r="B84" s="64" t="n"/>
      <c r="C84" s="64" t="n"/>
      <c r="D84" s="64" t="n"/>
      <c r="E84" s="67" t="n"/>
      <c r="F84" s="67" t="n"/>
      <c r="G84" s="67" t="n"/>
      <c r="H84" s="67" t="n"/>
      <c r="I84" s="67" t="n"/>
      <c r="J84" s="73" t="str">
        <f>IF(AND($W84&gt;0,ISNUMBER($I84)),$I84/$W84,"")</f>
        <v/>
      </c>
      <c r="K84" s="67" t="n"/>
      <c r="L84" s="73" t="str">
        <f>IF(AND($W84&gt;0,ISNUMBER($K84)),$K84/$W84,"")</f>
        <v/>
      </c>
      <c r="M84" s="67" t="n"/>
      <c r="N84" s="73" t="str">
        <f>IF(AND($W84&gt;0,ISNUMBER($M84)),$M84/$W84,"")</f>
        <v/>
      </c>
      <c r="O84" s="67" t="n"/>
      <c r="P84" s="73" t="str">
        <f>IF(AND($W84&gt;0,ISNUMBER($O84)),$O84/$W84,"")</f>
        <v/>
      </c>
      <c r="Q84" s="67" t="n"/>
      <c r="R84" s="67" t="n"/>
      <c r="S84" s="67" t="n"/>
      <c r="T84" s="64" t="n"/>
      <c r="U84" s="64" t="n"/>
      <c r="V84" s="65" t="n"/>
      <c r="W84" s="72">
        <f>IF($D84="",0,IF(ISNUMBER($G84),IF($G84&gt;0,$G84,N($F84)),N($F84)))</f>
        <v>0</v>
      </c>
      <c r="X84" s="71" t="str">
        <f>IF(ISNUMBER($A84),YEAR($A84)&amp;"-"&amp;TEXT(MONTH($A84),"00"),"")</f>
        <v/>
      </c>
      <c r="Y84" s="71">
        <f>IF($D84="",0,IF(AND(OR(fClient="All",$B84=fClient),OR(fCampaign="All",$C84=fCampaign),OR(fTeam="All",$T84=fTeam),OR(fChannel="All",fChannel="Email",fChannel="Content Syndication"),OR(fMonth="All",$X84=fMonth)),1,0))</f>
        <v>0</v>
      </c>
      <c r="Z84" s="71">
        <f>IF($D84="",0,IF(AND(OR(fClient="All",$B84=fClient),OR(fCampaign="All",$C84=fCampaign),OR(fTeam="All",$T84=fTeam),OR(fChannel="All",fChannel="Email",fChannel="Content Syndication")),1,0))</f>
        <v>0</v>
      </c>
    </row>
    <row r="85">
      <c r="A85" s="63" t="n"/>
      <c r="B85" s="64" t="n"/>
      <c r="C85" s="64" t="n"/>
      <c r="D85" s="64" t="n"/>
      <c r="E85" s="67" t="n"/>
      <c r="F85" s="67" t="n"/>
      <c r="G85" s="67" t="n"/>
      <c r="H85" s="67" t="n"/>
      <c r="I85" s="67" t="n"/>
      <c r="J85" s="73" t="str">
        <f>IF(AND($W85&gt;0,ISNUMBER($I85)),$I85/$W85,"")</f>
        <v/>
      </c>
      <c r="K85" s="67" t="n"/>
      <c r="L85" s="73" t="str">
        <f>IF(AND($W85&gt;0,ISNUMBER($K85)),$K85/$W85,"")</f>
        <v/>
      </c>
      <c r="M85" s="67" t="n"/>
      <c r="N85" s="73" t="str">
        <f>IF(AND($W85&gt;0,ISNUMBER($M85)),$M85/$W85,"")</f>
        <v/>
      </c>
      <c r="O85" s="67" t="n"/>
      <c r="P85" s="73" t="str">
        <f>IF(AND($W85&gt;0,ISNUMBER($O85)),$O85/$W85,"")</f>
        <v/>
      </c>
      <c r="Q85" s="67" t="n"/>
      <c r="R85" s="67" t="n"/>
      <c r="S85" s="67" t="n"/>
      <c r="T85" s="64" t="n"/>
      <c r="U85" s="64" t="n"/>
      <c r="V85" s="65" t="n"/>
      <c r="W85" s="72">
        <f>IF($D85="",0,IF(ISNUMBER($G85),IF($G85&gt;0,$G85,N($F85)),N($F85)))</f>
        <v>0</v>
      </c>
      <c r="X85" s="71" t="str">
        <f>IF(ISNUMBER($A85),YEAR($A85)&amp;"-"&amp;TEXT(MONTH($A85),"00"),"")</f>
        <v/>
      </c>
      <c r="Y85" s="71">
        <f>IF($D85="",0,IF(AND(OR(fClient="All",$B85=fClient),OR(fCampaign="All",$C85=fCampaign),OR(fTeam="All",$T85=fTeam),OR(fChannel="All",fChannel="Email",fChannel="Content Syndication"),OR(fMonth="All",$X85=fMonth)),1,0))</f>
        <v>0</v>
      </c>
      <c r="Z85" s="71">
        <f>IF($D85="",0,IF(AND(OR(fClient="All",$B85=fClient),OR(fCampaign="All",$C85=fCampaign),OR(fTeam="All",$T85=fTeam),OR(fChannel="All",fChannel="Email",fChannel="Content Syndication")),1,0))</f>
        <v>0</v>
      </c>
    </row>
    <row r="86">
      <c r="A86" s="63" t="n"/>
      <c r="B86" s="64" t="n"/>
      <c r="C86" s="64" t="n"/>
      <c r="D86" s="64" t="n"/>
      <c r="E86" s="67" t="n"/>
      <c r="F86" s="67" t="n"/>
      <c r="G86" s="67" t="n"/>
      <c r="H86" s="67" t="n"/>
      <c r="I86" s="67" t="n"/>
      <c r="J86" s="73" t="str">
        <f>IF(AND($W86&gt;0,ISNUMBER($I86)),$I86/$W86,"")</f>
        <v/>
      </c>
      <c r="K86" s="67" t="n"/>
      <c r="L86" s="73" t="str">
        <f>IF(AND($W86&gt;0,ISNUMBER($K86)),$K86/$W86,"")</f>
        <v/>
      </c>
      <c r="M86" s="67" t="n"/>
      <c r="N86" s="73" t="str">
        <f>IF(AND($W86&gt;0,ISNUMBER($M86)),$M86/$W86,"")</f>
        <v/>
      </c>
      <c r="O86" s="67" t="n"/>
      <c r="P86" s="73" t="str">
        <f>IF(AND($W86&gt;0,ISNUMBER($O86)),$O86/$W86,"")</f>
        <v/>
      </c>
      <c r="Q86" s="67" t="n"/>
      <c r="R86" s="67" t="n"/>
      <c r="S86" s="67" t="n"/>
      <c r="T86" s="64" t="n"/>
      <c r="U86" s="64" t="n"/>
      <c r="V86" s="65" t="n"/>
      <c r="W86" s="72">
        <f>IF($D86="",0,IF(ISNUMBER($G86),IF($G86&gt;0,$G86,N($F86)),N($F86)))</f>
        <v>0</v>
      </c>
      <c r="X86" s="71" t="str">
        <f>IF(ISNUMBER($A86),YEAR($A86)&amp;"-"&amp;TEXT(MONTH($A86),"00"),"")</f>
        <v/>
      </c>
      <c r="Y86" s="71">
        <f>IF($D86="",0,IF(AND(OR(fClient="All",$B86=fClient),OR(fCampaign="All",$C86=fCampaign),OR(fTeam="All",$T86=fTeam),OR(fChannel="All",fChannel="Email",fChannel="Content Syndication"),OR(fMonth="All",$X86=fMonth)),1,0))</f>
        <v>0</v>
      </c>
      <c r="Z86" s="71">
        <f>IF($D86="",0,IF(AND(OR(fClient="All",$B86=fClient),OR(fCampaign="All",$C86=fCampaign),OR(fTeam="All",$T86=fTeam),OR(fChannel="All",fChannel="Email",fChannel="Content Syndication")),1,0))</f>
        <v>0</v>
      </c>
    </row>
    <row r="87">
      <c r="A87" s="63" t="n"/>
      <c r="B87" s="64" t="n"/>
      <c r="C87" s="64" t="n"/>
      <c r="D87" s="64" t="n"/>
      <c r="E87" s="67" t="n"/>
      <c r="F87" s="67" t="n"/>
      <c r="G87" s="67" t="n"/>
      <c r="H87" s="67" t="n"/>
      <c r="I87" s="67" t="n"/>
      <c r="J87" s="73" t="str">
        <f>IF(AND($W87&gt;0,ISNUMBER($I87)),$I87/$W87,"")</f>
        <v/>
      </c>
      <c r="K87" s="67" t="n"/>
      <c r="L87" s="73" t="str">
        <f>IF(AND($W87&gt;0,ISNUMBER($K87)),$K87/$W87,"")</f>
        <v/>
      </c>
      <c r="M87" s="67" t="n"/>
      <c r="N87" s="73" t="str">
        <f>IF(AND($W87&gt;0,ISNUMBER($M87)),$M87/$W87,"")</f>
        <v/>
      </c>
      <c r="O87" s="67" t="n"/>
      <c r="P87" s="73" t="str">
        <f>IF(AND($W87&gt;0,ISNUMBER($O87)),$O87/$W87,"")</f>
        <v/>
      </c>
      <c r="Q87" s="67" t="n"/>
      <c r="R87" s="67" t="n"/>
      <c r="S87" s="67" t="n"/>
      <c r="T87" s="64" t="n"/>
      <c r="U87" s="64" t="n"/>
      <c r="V87" s="65" t="n"/>
      <c r="W87" s="72">
        <f>IF($D87="",0,IF(ISNUMBER($G87),IF($G87&gt;0,$G87,N($F87)),N($F87)))</f>
        <v>0</v>
      </c>
      <c r="X87" s="71" t="str">
        <f>IF(ISNUMBER($A87),YEAR($A87)&amp;"-"&amp;TEXT(MONTH($A87),"00"),"")</f>
        <v/>
      </c>
      <c r="Y87" s="71">
        <f>IF($D87="",0,IF(AND(OR(fClient="All",$B87=fClient),OR(fCampaign="All",$C87=fCampaign),OR(fTeam="All",$T87=fTeam),OR(fChannel="All",fChannel="Email",fChannel="Content Syndication"),OR(fMonth="All",$X87=fMonth)),1,0))</f>
        <v>0</v>
      </c>
      <c r="Z87" s="71">
        <f>IF($D87="",0,IF(AND(OR(fClient="All",$B87=fClient),OR(fCampaign="All",$C87=fCampaign),OR(fTeam="All",$T87=fTeam),OR(fChannel="All",fChannel="Email",fChannel="Content Syndication")),1,0))</f>
        <v>0</v>
      </c>
    </row>
    <row r="88">
      <c r="A88" s="63" t="n"/>
      <c r="B88" s="64" t="n"/>
      <c r="C88" s="64" t="n"/>
      <c r="D88" s="64" t="n"/>
      <c r="E88" s="67" t="n"/>
      <c r="F88" s="67" t="n"/>
      <c r="G88" s="67" t="n"/>
      <c r="H88" s="67" t="n"/>
      <c r="I88" s="67" t="n"/>
      <c r="J88" s="73" t="str">
        <f>IF(AND($W88&gt;0,ISNUMBER($I88)),$I88/$W88,"")</f>
        <v/>
      </c>
      <c r="K88" s="67" t="n"/>
      <c r="L88" s="73" t="str">
        <f>IF(AND($W88&gt;0,ISNUMBER($K88)),$K88/$W88,"")</f>
        <v/>
      </c>
      <c r="M88" s="67" t="n"/>
      <c r="N88" s="73" t="str">
        <f>IF(AND($W88&gt;0,ISNUMBER($M88)),$M88/$W88,"")</f>
        <v/>
      </c>
      <c r="O88" s="67" t="n"/>
      <c r="P88" s="73" t="str">
        <f>IF(AND($W88&gt;0,ISNUMBER($O88)),$O88/$W88,"")</f>
        <v/>
      </c>
      <c r="Q88" s="67" t="n"/>
      <c r="R88" s="67" t="n"/>
      <c r="S88" s="67" t="n"/>
      <c r="T88" s="64" t="n"/>
      <c r="U88" s="64" t="n"/>
      <c r="V88" s="65" t="n"/>
      <c r="W88" s="72">
        <f>IF($D88="",0,IF(ISNUMBER($G88),IF($G88&gt;0,$G88,N($F88)),N($F88)))</f>
        <v>0</v>
      </c>
      <c r="X88" s="71" t="str">
        <f>IF(ISNUMBER($A88),YEAR($A88)&amp;"-"&amp;TEXT(MONTH($A88),"00"),"")</f>
        <v/>
      </c>
      <c r="Y88" s="71">
        <f>IF($D88="",0,IF(AND(OR(fClient="All",$B88=fClient),OR(fCampaign="All",$C88=fCampaign),OR(fTeam="All",$T88=fTeam),OR(fChannel="All",fChannel="Email",fChannel="Content Syndication"),OR(fMonth="All",$X88=fMonth)),1,0))</f>
        <v>0</v>
      </c>
      <c r="Z88" s="71">
        <f>IF($D88="",0,IF(AND(OR(fClient="All",$B88=fClient),OR(fCampaign="All",$C88=fCampaign),OR(fTeam="All",$T88=fTeam),OR(fChannel="All",fChannel="Email",fChannel="Content Syndication")),1,0))</f>
        <v>0</v>
      </c>
    </row>
    <row r="89">
      <c r="A89" s="63" t="n"/>
      <c r="B89" s="64" t="n"/>
      <c r="C89" s="64" t="n"/>
      <c r="D89" s="64" t="n"/>
      <c r="E89" s="67" t="n"/>
      <c r="F89" s="67" t="n"/>
      <c r="G89" s="67" t="n"/>
      <c r="H89" s="67" t="n"/>
      <c r="I89" s="67" t="n"/>
      <c r="J89" s="73" t="str">
        <f>IF(AND($W89&gt;0,ISNUMBER($I89)),$I89/$W89,"")</f>
        <v/>
      </c>
      <c r="K89" s="67" t="n"/>
      <c r="L89" s="73" t="str">
        <f>IF(AND($W89&gt;0,ISNUMBER($K89)),$K89/$W89,"")</f>
        <v/>
      </c>
      <c r="M89" s="67" t="n"/>
      <c r="N89" s="73" t="str">
        <f>IF(AND($W89&gt;0,ISNUMBER($M89)),$M89/$W89,"")</f>
        <v/>
      </c>
      <c r="O89" s="67" t="n"/>
      <c r="P89" s="73" t="str">
        <f>IF(AND($W89&gt;0,ISNUMBER($O89)),$O89/$W89,"")</f>
        <v/>
      </c>
      <c r="Q89" s="67" t="n"/>
      <c r="R89" s="67" t="n"/>
      <c r="S89" s="67" t="n"/>
      <c r="T89" s="64" t="n"/>
      <c r="U89" s="64" t="n"/>
      <c r="V89" s="65" t="n"/>
      <c r="W89" s="72">
        <f>IF($D89="",0,IF(ISNUMBER($G89),IF($G89&gt;0,$G89,N($F89)),N($F89)))</f>
        <v>0</v>
      </c>
      <c r="X89" s="71" t="str">
        <f>IF(ISNUMBER($A89),YEAR($A89)&amp;"-"&amp;TEXT(MONTH($A89),"00"),"")</f>
        <v/>
      </c>
      <c r="Y89" s="71">
        <f>IF($D89="",0,IF(AND(OR(fClient="All",$B89=fClient),OR(fCampaign="All",$C89=fCampaign),OR(fTeam="All",$T89=fTeam),OR(fChannel="All",fChannel="Email",fChannel="Content Syndication"),OR(fMonth="All",$X89=fMonth)),1,0))</f>
        <v>0</v>
      </c>
      <c r="Z89" s="71">
        <f>IF($D89="",0,IF(AND(OR(fClient="All",$B89=fClient),OR(fCampaign="All",$C89=fCampaign),OR(fTeam="All",$T89=fTeam),OR(fChannel="All",fChannel="Email",fChannel="Content Syndication")),1,0))</f>
        <v>0</v>
      </c>
    </row>
    <row r="90">
      <c r="A90" s="63" t="n"/>
      <c r="B90" s="64" t="n"/>
      <c r="C90" s="64" t="n"/>
      <c r="D90" s="64" t="n"/>
      <c r="E90" s="67" t="n"/>
      <c r="F90" s="67" t="n"/>
      <c r="G90" s="67" t="n"/>
      <c r="H90" s="67" t="n"/>
      <c r="I90" s="67" t="n"/>
      <c r="J90" s="73" t="str">
        <f>IF(AND($W90&gt;0,ISNUMBER($I90)),$I90/$W90,"")</f>
        <v/>
      </c>
      <c r="K90" s="67" t="n"/>
      <c r="L90" s="73" t="str">
        <f>IF(AND($W90&gt;0,ISNUMBER($K90)),$K90/$W90,"")</f>
        <v/>
      </c>
      <c r="M90" s="67" t="n"/>
      <c r="N90" s="73" t="str">
        <f>IF(AND($W90&gt;0,ISNUMBER($M90)),$M90/$W90,"")</f>
        <v/>
      </c>
      <c r="O90" s="67" t="n"/>
      <c r="P90" s="73" t="str">
        <f>IF(AND($W90&gt;0,ISNUMBER($O90)),$O90/$W90,"")</f>
        <v/>
      </c>
      <c r="Q90" s="67" t="n"/>
      <c r="R90" s="67" t="n"/>
      <c r="S90" s="67" t="n"/>
      <c r="T90" s="64" t="n"/>
      <c r="U90" s="64" t="n"/>
      <c r="V90" s="65" t="n"/>
      <c r="W90" s="72">
        <f>IF($D90="",0,IF(ISNUMBER($G90),IF($G90&gt;0,$G90,N($F90)),N($F90)))</f>
        <v>0</v>
      </c>
      <c r="X90" s="71" t="str">
        <f>IF(ISNUMBER($A90),YEAR($A90)&amp;"-"&amp;TEXT(MONTH($A90),"00"),"")</f>
        <v/>
      </c>
      <c r="Y90" s="71">
        <f>IF($D90="",0,IF(AND(OR(fClient="All",$B90=fClient),OR(fCampaign="All",$C90=fCampaign),OR(fTeam="All",$T90=fTeam),OR(fChannel="All",fChannel="Email",fChannel="Content Syndication"),OR(fMonth="All",$X90=fMonth)),1,0))</f>
        <v>0</v>
      </c>
      <c r="Z90" s="71">
        <f>IF($D90="",0,IF(AND(OR(fClient="All",$B90=fClient),OR(fCampaign="All",$C90=fCampaign),OR(fTeam="All",$T90=fTeam),OR(fChannel="All",fChannel="Email",fChannel="Content Syndication")),1,0))</f>
        <v>0</v>
      </c>
    </row>
    <row r="91">
      <c r="A91" s="63" t="n"/>
      <c r="B91" s="64" t="n"/>
      <c r="C91" s="64" t="n"/>
      <c r="D91" s="64" t="n"/>
      <c r="E91" s="67" t="n"/>
      <c r="F91" s="67" t="n"/>
      <c r="G91" s="67" t="n"/>
      <c r="H91" s="67" t="n"/>
      <c r="I91" s="67" t="n"/>
      <c r="J91" s="73" t="str">
        <f>IF(AND($W91&gt;0,ISNUMBER($I91)),$I91/$W91,"")</f>
        <v/>
      </c>
      <c r="K91" s="67" t="n"/>
      <c r="L91" s="73" t="str">
        <f>IF(AND($W91&gt;0,ISNUMBER($K91)),$K91/$W91,"")</f>
        <v/>
      </c>
      <c r="M91" s="67" t="n"/>
      <c r="N91" s="73" t="str">
        <f>IF(AND($W91&gt;0,ISNUMBER($M91)),$M91/$W91,"")</f>
        <v/>
      </c>
      <c r="O91" s="67" t="n"/>
      <c r="P91" s="73" t="str">
        <f>IF(AND($W91&gt;0,ISNUMBER($O91)),$O91/$W91,"")</f>
        <v/>
      </c>
      <c r="Q91" s="67" t="n"/>
      <c r="R91" s="67" t="n"/>
      <c r="S91" s="67" t="n"/>
      <c r="T91" s="64" t="n"/>
      <c r="U91" s="64" t="n"/>
      <c r="V91" s="65" t="n"/>
      <c r="W91" s="72">
        <f>IF($D91="",0,IF(ISNUMBER($G91),IF($G91&gt;0,$G91,N($F91)),N($F91)))</f>
        <v>0</v>
      </c>
      <c r="X91" s="71" t="str">
        <f>IF(ISNUMBER($A91),YEAR($A91)&amp;"-"&amp;TEXT(MONTH($A91),"00"),"")</f>
        <v/>
      </c>
      <c r="Y91" s="71">
        <f>IF($D91="",0,IF(AND(OR(fClient="All",$B91=fClient),OR(fCampaign="All",$C91=fCampaign),OR(fTeam="All",$T91=fTeam),OR(fChannel="All",fChannel="Email",fChannel="Content Syndication"),OR(fMonth="All",$X91=fMonth)),1,0))</f>
        <v>0</v>
      </c>
      <c r="Z91" s="71">
        <f>IF($D91="",0,IF(AND(OR(fClient="All",$B91=fClient),OR(fCampaign="All",$C91=fCampaign),OR(fTeam="All",$T91=fTeam),OR(fChannel="All",fChannel="Email",fChannel="Content Syndication")),1,0))</f>
        <v>0</v>
      </c>
    </row>
    <row r="92">
      <c r="A92" s="63" t="n"/>
      <c r="B92" s="64" t="n"/>
      <c r="C92" s="64" t="n"/>
      <c r="D92" s="64" t="n"/>
      <c r="E92" s="67" t="n"/>
      <c r="F92" s="67" t="n"/>
      <c r="G92" s="67" t="n"/>
      <c r="H92" s="67" t="n"/>
      <c r="I92" s="67" t="n"/>
      <c r="J92" s="73" t="str">
        <f>IF(AND($W92&gt;0,ISNUMBER($I92)),$I92/$W92,"")</f>
        <v/>
      </c>
      <c r="K92" s="67" t="n"/>
      <c r="L92" s="73" t="str">
        <f>IF(AND($W92&gt;0,ISNUMBER($K92)),$K92/$W92,"")</f>
        <v/>
      </c>
      <c r="M92" s="67" t="n"/>
      <c r="N92" s="73" t="str">
        <f>IF(AND($W92&gt;0,ISNUMBER($M92)),$M92/$W92,"")</f>
        <v/>
      </c>
      <c r="O92" s="67" t="n"/>
      <c r="P92" s="73" t="str">
        <f>IF(AND($W92&gt;0,ISNUMBER($O92)),$O92/$W92,"")</f>
        <v/>
      </c>
      <c r="Q92" s="67" t="n"/>
      <c r="R92" s="67" t="n"/>
      <c r="S92" s="67" t="n"/>
      <c r="T92" s="64" t="n"/>
      <c r="U92" s="64" t="n"/>
      <c r="V92" s="65" t="n"/>
      <c r="W92" s="72">
        <f>IF($D92="",0,IF(ISNUMBER($G92),IF($G92&gt;0,$G92,N($F92)),N($F92)))</f>
        <v>0</v>
      </c>
      <c r="X92" s="71" t="str">
        <f>IF(ISNUMBER($A92),YEAR($A92)&amp;"-"&amp;TEXT(MONTH($A92),"00"),"")</f>
        <v/>
      </c>
      <c r="Y92" s="71">
        <f>IF($D92="",0,IF(AND(OR(fClient="All",$B92=fClient),OR(fCampaign="All",$C92=fCampaign),OR(fTeam="All",$T92=fTeam),OR(fChannel="All",fChannel="Email",fChannel="Content Syndication"),OR(fMonth="All",$X92=fMonth)),1,0))</f>
        <v>0</v>
      </c>
      <c r="Z92" s="71">
        <f>IF($D92="",0,IF(AND(OR(fClient="All",$B92=fClient),OR(fCampaign="All",$C92=fCampaign),OR(fTeam="All",$T92=fTeam),OR(fChannel="All",fChannel="Email",fChannel="Content Syndication")),1,0))</f>
        <v>0</v>
      </c>
    </row>
    <row r="93">
      <c r="A93" s="63" t="n"/>
      <c r="B93" s="64" t="n"/>
      <c r="C93" s="64" t="n"/>
      <c r="D93" s="64" t="n"/>
      <c r="E93" s="67" t="n"/>
      <c r="F93" s="67" t="n"/>
      <c r="G93" s="67" t="n"/>
      <c r="H93" s="67" t="n"/>
      <c r="I93" s="67" t="n"/>
      <c r="J93" s="73" t="str">
        <f>IF(AND($W93&gt;0,ISNUMBER($I93)),$I93/$W93,"")</f>
        <v/>
      </c>
      <c r="K93" s="67" t="n"/>
      <c r="L93" s="73" t="str">
        <f>IF(AND($W93&gt;0,ISNUMBER($K93)),$K93/$W93,"")</f>
        <v/>
      </c>
      <c r="M93" s="67" t="n"/>
      <c r="N93" s="73" t="str">
        <f>IF(AND($W93&gt;0,ISNUMBER($M93)),$M93/$W93,"")</f>
        <v/>
      </c>
      <c r="O93" s="67" t="n"/>
      <c r="P93" s="73" t="str">
        <f>IF(AND($W93&gt;0,ISNUMBER($O93)),$O93/$W93,"")</f>
        <v/>
      </c>
      <c r="Q93" s="67" t="n"/>
      <c r="R93" s="67" t="n"/>
      <c r="S93" s="67" t="n"/>
      <c r="T93" s="64" t="n"/>
      <c r="U93" s="64" t="n"/>
      <c r="V93" s="65" t="n"/>
      <c r="W93" s="72">
        <f>IF($D93="",0,IF(ISNUMBER($G93),IF($G93&gt;0,$G93,N($F93)),N($F93)))</f>
        <v>0</v>
      </c>
      <c r="X93" s="71" t="str">
        <f>IF(ISNUMBER($A93),YEAR($A93)&amp;"-"&amp;TEXT(MONTH($A93),"00"),"")</f>
        <v/>
      </c>
      <c r="Y93" s="71">
        <f>IF($D93="",0,IF(AND(OR(fClient="All",$B93=fClient),OR(fCampaign="All",$C93=fCampaign),OR(fTeam="All",$T93=fTeam),OR(fChannel="All",fChannel="Email",fChannel="Content Syndication"),OR(fMonth="All",$X93=fMonth)),1,0))</f>
        <v>0</v>
      </c>
      <c r="Z93" s="71">
        <f>IF($D93="",0,IF(AND(OR(fClient="All",$B93=fClient),OR(fCampaign="All",$C93=fCampaign),OR(fTeam="All",$T93=fTeam),OR(fChannel="All",fChannel="Email",fChannel="Content Syndication")),1,0))</f>
        <v>0</v>
      </c>
    </row>
    <row r="94">
      <c r="A94" s="63" t="n"/>
      <c r="B94" s="64" t="n"/>
      <c r="C94" s="64" t="n"/>
      <c r="D94" s="64" t="n"/>
      <c r="E94" s="67" t="n"/>
      <c r="F94" s="67" t="n"/>
      <c r="G94" s="67" t="n"/>
      <c r="H94" s="67" t="n"/>
      <c r="I94" s="67" t="n"/>
      <c r="J94" s="73" t="str">
        <f>IF(AND($W94&gt;0,ISNUMBER($I94)),$I94/$W94,"")</f>
        <v/>
      </c>
      <c r="K94" s="67" t="n"/>
      <c r="L94" s="73" t="str">
        <f>IF(AND($W94&gt;0,ISNUMBER($K94)),$K94/$W94,"")</f>
        <v/>
      </c>
      <c r="M94" s="67" t="n"/>
      <c r="N94" s="73" t="str">
        <f>IF(AND($W94&gt;0,ISNUMBER($M94)),$M94/$W94,"")</f>
        <v/>
      </c>
      <c r="O94" s="67" t="n"/>
      <c r="P94" s="73" t="str">
        <f>IF(AND($W94&gt;0,ISNUMBER($O94)),$O94/$W94,"")</f>
        <v/>
      </c>
      <c r="Q94" s="67" t="n"/>
      <c r="R94" s="67" t="n"/>
      <c r="S94" s="67" t="n"/>
      <c r="T94" s="64" t="n"/>
      <c r="U94" s="64" t="n"/>
      <c r="V94" s="65" t="n"/>
      <c r="W94" s="72">
        <f>IF($D94="",0,IF(ISNUMBER($G94),IF($G94&gt;0,$G94,N($F94)),N($F94)))</f>
        <v>0</v>
      </c>
      <c r="X94" s="71" t="str">
        <f>IF(ISNUMBER($A94),YEAR($A94)&amp;"-"&amp;TEXT(MONTH($A94),"00"),"")</f>
        <v/>
      </c>
      <c r="Y94" s="71">
        <f>IF($D94="",0,IF(AND(OR(fClient="All",$B94=fClient),OR(fCampaign="All",$C94=fCampaign),OR(fTeam="All",$T94=fTeam),OR(fChannel="All",fChannel="Email",fChannel="Content Syndication"),OR(fMonth="All",$X94=fMonth)),1,0))</f>
        <v>0</v>
      </c>
      <c r="Z94" s="71">
        <f>IF($D94="",0,IF(AND(OR(fClient="All",$B94=fClient),OR(fCampaign="All",$C94=fCampaign),OR(fTeam="All",$T94=fTeam),OR(fChannel="All",fChannel="Email",fChannel="Content Syndication")),1,0))</f>
        <v>0</v>
      </c>
    </row>
    <row r="95">
      <c r="A95" s="63" t="n"/>
      <c r="B95" s="64" t="n"/>
      <c r="C95" s="64" t="n"/>
      <c r="D95" s="64" t="n"/>
      <c r="E95" s="67" t="n"/>
      <c r="F95" s="67" t="n"/>
      <c r="G95" s="67" t="n"/>
      <c r="H95" s="67" t="n"/>
      <c r="I95" s="67" t="n"/>
      <c r="J95" s="73" t="str">
        <f>IF(AND($W95&gt;0,ISNUMBER($I95)),$I95/$W95,"")</f>
        <v/>
      </c>
      <c r="K95" s="67" t="n"/>
      <c r="L95" s="73" t="str">
        <f>IF(AND($W95&gt;0,ISNUMBER($K95)),$K95/$W95,"")</f>
        <v/>
      </c>
      <c r="M95" s="67" t="n"/>
      <c r="N95" s="73" t="str">
        <f>IF(AND($W95&gt;0,ISNUMBER($M95)),$M95/$W95,"")</f>
        <v/>
      </c>
      <c r="O95" s="67" t="n"/>
      <c r="P95" s="73" t="str">
        <f>IF(AND($W95&gt;0,ISNUMBER($O95)),$O95/$W95,"")</f>
        <v/>
      </c>
      <c r="Q95" s="67" t="n"/>
      <c r="R95" s="67" t="n"/>
      <c r="S95" s="67" t="n"/>
      <c r="T95" s="64" t="n"/>
      <c r="U95" s="64" t="n"/>
      <c r="V95" s="65" t="n"/>
      <c r="W95" s="72">
        <f>IF($D95="",0,IF(ISNUMBER($G95),IF($G95&gt;0,$G95,N($F95)),N($F95)))</f>
        <v>0</v>
      </c>
      <c r="X95" s="71" t="str">
        <f>IF(ISNUMBER($A95),YEAR($A95)&amp;"-"&amp;TEXT(MONTH($A95),"00"),"")</f>
        <v/>
      </c>
      <c r="Y95" s="71">
        <f>IF($D95="",0,IF(AND(OR(fClient="All",$B95=fClient),OR(fCampaign="All",$C95=fCampaign),OR(fTeam="All",$T95=fTeam),OR(fChannel="All",fChannel="Email",fChannel="Content Syndication"),OR(fMonth="All",$X95=fMonth)),1,0))</f>
        <v>0</v>
      </c>
      <c r="Z95" s="71">
        <f>IF($D95="",0,IF(AND(OR(fClient="All",$B95=fClient),OR(fCampaign="All",$C95=fCampaign),OR(fTeam="All",$T95=fTeam),OR(fChannel="All",fChannel="Email",fChannel="Content Syndication")),1,0))</f>
        <v>0</v>
      </c>
    </row>
    <row r="96">
      <c r="A96" s="63" t="n"/>
      <c r="B96" s="64" t="n"/>
      <c r="C96" s="64" t="n"/>
      <c r="D96" s="64" t="n"/>
      <c r="E96" s="67" t="n"/>
      <c r="F96" s="67" t="n"/>
      <c r="G96" s="67" t="n"/>
      <c r="H96" s="67" t="n"/>
      <c r="I96" s="67" t="n"/>
      <c r="J96" s="73" t="str">
        <f>IF(AND($W96&gt;0,ISNUMBER($I96)),$I96/$W96,"")</f>
        <v/>
      </c>
      <c r="K96" s="67" t="n"/>
      <c r="L96" s="73" t="str">
        <f>IF(AND($W96&gt;0,ISNUMBER($K96)),$K96/$W96,"")</f>
        <v/>
      </c>
      <c r="M96" s="67" t="n"/>
      <c r="N96" s="73" t="str">
        <f>IF(AND($W96&gt;0,ISNUMBER($M96)),$M96/$W96,"")</f>
        <v/>
      </c>
      <c r="O96" s="67" t="n"/>
      <c r="P96" s="73" t="str">
        <f>IF(AND($W96&gt;0,ISNUMBER($O96)),$O96/$W96,"")</f>
        <v/>
      </c>
      <c r="Q96" s="67" t="n"/>
      <c r="R96" s="67" t="n"/>
      <c r="S96" s="67" t="n"/>
      <c r="T96" s="64" t="n"/>
      <c r="U96" s="64" t="n"/>
      <c r="V96" s="65" t="n"/>
      <c r="W96" s="72">
        <f>IF($D96="",0,IF(ISNUMBER($G96),IF($G96&gt;0,$G96,N($F96)),N($F96)))</f>
        <v>0</v>
      </c>
      <c r="X96" s="71" t="str">
        <f>IF(ISNUMBER($A96),YEAR($A96)&amp;"-"&amp;TEXT(MONTH($A96),"00"),"")</f>
        <v/>
      </c>
      <c r="Y96" s="71">
        <f>IF($D96="",0,IF(AND(OR(fClient="All",$B96=fClient),OR(fCampaign="All",$C96=fCampaign),OR(fTeam="All",$T96=fTeam),OR(fChannel="All",fChannel="Email",fChannel="Content Syndication"),OR(fMonth="All",$X96=fMonth)),1,0))</f>
        <v>0</v>
      </c>
      <c r="Z96" s="71">
        <f>IF($D96="",0,IF(AND(OR(fClient="All",$B96=fClient),OR(fCampaign="All",$C96=fCampaign),OR(fTeam="All",$T96=fTeam),OR(fChannel="All",fChannel="Email",fChannel="Content Syndication")),1,0))</f>
        <v>0</v>
      </c>
    </row>
    <row r="97">
      <c r="A97" s="63" t="n"/>
      <c r="B97" s="64" t="n"/>
      <c r="C97" s="64" t="n"/>
      <c r="D97" s="64" t="n"/>
      <c r="E97" s="67" t="n"/>
      <c r="F97" s="67" t="n"/>
      <c r="G97" s="67" t="n"/>
      <c r="H97" s="67" t="n"/>
      <c r="I97" s="67" t="n"/>
      <c r="J97" s="73" t="str">
        <f>IF(AND($W97&gt;0,ISNUMBER($I97)),$I97/$W97,"")</f>
        <v/>
      </c>
      <c r="K97" s="67" t="n"/>
      <c r="L97" s="73" t="str">
        <f>IF(AND($W97&gt;0,ISNUMBER($K97)),$K97/$W97,"")</f>
        <v/>
      </c>
      <c r="M97" s="67" t="n"/>
      <c r="N97" s="73" t="str">
        <f>IF(AND($W97&gt;0,ISNUMBER($M97)),$M97/$W97,"")</f>
        <v/>
      </c>
      <c r="O97" s="67" t="n"/>
      <c r="P97" s="73" t="str">
        <f>IF(AND($W97&gt;0,ISNUMBER($O97)),$O97/$W97,"")</f>
        <v/>
      </c>
      <c r="Q97" s="67" t="n"/>
      <c r="R97" s="67" t="n"/>
      <c r="S97" s="67" t="n"/>
      <c r="T97" s="64" t="n"/>
      <c r="U97" s="64" t="n"/>
      <c r="V97" s="65" t="n"/>
      <c r="W97" s="72">
        <f>IF($D97="",0,IF(ISNUMBER($G97),IF($G97&gt;0,$G97,N($F97)),N($F97)))</f>
        <v>0</v>
      </c>
      <c r="X97" s="71" t="str">
        <f>IF(ISNUMBER($A97),YEAR($A97)&amp;"-"&amp;TEXT(MONTH($A97),"00"),"")</f>
        <v/>
      </c>
      <c r="Y97" s="71">
        <f>IF($D97="",0,IF(AND(OR(fClient="All",$B97=fClient),OR(fCampaign="All",$C97=fCampaign),OR(fTeam="All",$T97=fTeam),OR(fChannel="All",fChannel="Email",fChannel="Content Syndication"),OR(fMonth="All",$X97=fMonth)),1,0))</f>
        <v>0</v>
      </c>
      <c r="Z97" s="71">
        <f>IF($D97="",0,IF(AND(OR(fClient="All",$B97=fClient),OR(fCampaign="All",$C97=fCampaign),OR(fTeam="All",$T97=fTeam),OR(fChannel="All",fChannel="Email",fChannel="Content Syndication")),1,0))</f>
        <v>0</v>
      </c>
    </row>
    <row r="98">
      <c r="A98" s="63" t="n"/>
      <c r="B98" s="64" t="n"/>
      <c r="C98" s="64" t="n"/>
      <c r="D98" s="64" t="n"/>
      <c r="E98" s="67" t="n"/>
      <c r="F98" s="67" t="n"/>
      <c r="G98" s="67" t="n"/>
      <c r="H98" s="67" t="n"/>
      <c r="I98" s="67" t="n"/>
      <c r="J98" s="73" t="str">
        <f>IF(AND($W98&gt;0,ISNUMBER($I98)),$I98/$W98,"")</f>
        <v/>
      </c>
      <c r="K98" s="67" t="n"/>
      <c r="L98" s="73" t="str">
        <f>IF(AND($W98&gt;0,ISNUMBER($K98)),$K98/$W98,"")</f>
        <v/>
      </c>
      <c r="M98" s="67" t="n"/>
      <c r="N98" s="73" t="str">
        <f>IF(AND($W98&gt;0,ISNUMBER($M98)),$M98/$W98,"")</f>
        <v/>
      </c>
      <c r="O98" s="67" t="n"/>
      <c r="P98" s="73" t="str">
        <f>IF(AND($W98&gt;0,ISNUMBER($O98)),$O98/$W98,"")</f>
        <v/>
      </c>
      <c r="Q98" s="67" t="n"/>
      <c r="R98" s="67" t="n"/>
      <c r="S98" s="67" t="n"/>
      <c r="T98" s="64" t="n"/>
      <c r="U98" s="64" t="n"/>
      <c r="V98" s="65" t="n"/>
      <c r="W98" s="72">
        <f>IF($D98="",0,IF(ISNUMBER($G98),IF($G98&gt;0,$G98,N($F98)),N($F98)))</f>
        <v>0</v>
      </c>
      <c r="X98" s="71" t="str">
        <f>IF(ISNUMBER($A98),YEAR($A98)&amp;"-"&amp;TEXT(MONTH($A98),"00"),"")</f>
        <v/>
      </c>
      <c r="Y98" s="71">
        <f>IF($D98="",0,IF(AND(OR(fClient="All",$B98=fClient),OR(fCampaign="All",$C98=fCampaign),OR(fTeam="All",$T98=fTeam),OR(fChannel="All",fChannel="Email",fChannel="Content Syndication"),OR(fMonth="All",$X98=fMonth)),1,0))</f>
        <v>0</v>
      </c>
      <c r="Z98" s="71">
        <f>IF($D98="",0,IF(AND(OR(fClient="All",$B98=fClient),OR(fCampaign="All",$C98=fCampaign),OR(fTeam="All",$T98=fTeam),OR(fChannel="All",fChannel="Email",fChannel="Content Syndication")),1,0))</f>
        <v>0</v>
      </c>
    </row>
    <row r="99">
      <c r="A99" s="63" t="n"/>
      <c r="B99" s="64" t="n"/>
      <c r="C99" s="64" t="n"/>
      <c r="D99" s="64" t="n"/>
      <c r="E99" s="67" t="n"/>
      <c r="F99" s="67" t="n"/>
      <c r="G99" s="67" t="n"/>
      <c r="H99" s="67" t="n"/>
      <c r="I99" s="67" t="n"/>
      <c r="J99" s="73" t="str">
        <f>IF(AND($W99&gt;0,ISNUMBER($I99)),$I99/$W99,"")</f>
        <v/>
      </c>
      <c r="K99" s="67" t="n"/>
      <c r="L99" s="73" t="str">
        <f>IF(AND($W99&gt;0,ISNUMBER($K99)),$K99/$W99,"")</f>
        <v/>
      </c>
      <c r="M99" s="67" t="n"/>
      <c r="N99" s="73" t="str">
        <f>IF(AND($W99&gt;0,ISNUMBER($M99)),$M99/$W99,"")</f>
        <v/>
      </c>
      <c r="O99" s="67" t="n"/>
      <c r="P99" s="73" t="str">
        <f>IF(AND($W99&gt;0,ISNUMBER($O99)),$O99/$W99,"")</f>
        <v/>
      </c>
      <c r="Q99" s="67" t="n"/>
      <c r="R99" s="67" t="n"/>
      <c r="S99" s="67" t="n"/>
      <c r="T99" s="64" t="n"/>
      <c r="U99" s="64" t="n"/>
      <c r="V99" s="65" t="n"/>
      <c r="W99" s="72">
        <f>IF($D99="",0,IF(ISNUMBER($G99),IF($G99&gt;0,$G99,N($F99)),N($F99)))</f>
        <v>0</v>
      </c>
      <c r="X99" s="71" t="str">
        <f>IF(ISNUMBER($A99),YEAR($A99)&amp;"-"&amp;TEXT(MONTH($A99),"00"),"")</f>
        <v/>
      </c>
      <c r="Y99" s="71">
        <f>IF($D99="",0,IF(AND(OR(fClient="All",$B99=fClient),OR(fCampaign="All",$C99=fCampaign),OR(fTeam="All",$T99=fTeam),OR(fChannel="All",fChannel="Email",fChannel="Content Syndication"),OR(fMonth="All",$X99=fMonth)),1,0))</f>
        <v>0</v>
      </c>
      <c r="Z99" s="71">
        <f>IF($D99="",0,IF(AND(OR(fClient="All",$B99=fClient),OR(fCampaign="All",$C99=fCampaign),OR(fTeam="All",$T99=fTeam),OR(fChannel="All",fChannel="Email",fChannel="Content Syndication")),1,0))</f>
        <v>0</v>
      </c>
    </row>
    <row r="100">
      <c r="A100" s="63" t="n"/>
      <c r="B100" s="64" t="n"/>
      <c r="C100" s="64" t="n"/>
      <c r="D100" s="64" t="n"/>
      <c r="E100" s="67" t="n"/>
      <c r="F100" s="67" t="n"/>
      <c r="G100" s="67" t="n"/>
      <c r="H100" s="67" t="n"/>
      <c r="I100" s="67" t="n"/>
      <c r="J100" s="73" t="str">
        <f>IF(AND($W100&gt;0,ISNUMBER($I100)),$I100/$W100,"")</f>
        <v/>
      </c>
      <c r="K100" s="67" t="n"/>
      <c r="L100" s="73" t="str">
        <f>IF(AND($W100&gt;0,ISNUMBER($K100)),$K100/$W100,"")</f>
        <v/>
      </c>
      <c r="M100" s="67" t="n"/>
      <c r="N100" s="73" t="str">
        <f>IF(AND($W100&gt;0,ISNUMBER($M100)),$M100/$W100,"")</f>
        <v/>
      </c>
      <c r="O100" s="67" t="n"/>
      <c r="P100" s="73" t="str">
        <f>IF(AND($W100&gt;0,ISNUMBER($O100)),$O100/$W100,"")</f>
        <v/>
      </c>
      <c r="Q100" s="67" t="n"/>
      <c r="R100" s="67" t="n"/>
      <c r="S100" s="67" t="n"/>
      <c r="T100" s="64" t="n"/>
      <c r="U100" s="64" t="n"/>
      <c r="V100" s="65" t="n"/>
      <c r="W100" s="72">
        <f>IF($D100="",0,IF(ISNUMBER($G100),IF($G100&gt;0,$G100,N($F100)),N($F100)))</f>
        <v>0</v>
      </c>
      <c r="X100" s="71" t="str">
        <f>IF(ISNUMBER($A100),YEAR($A100)&amp;"-"&amp;TEXT(MONTH($A100),"00"),"")</f>
        <v/>
      </c>
      <c r="Y100" s="71">
        <f>IF($D100="",0,IF(AND(OR(fClient="All",$B100=fClient),OR(fCampaign="All",$C100=fCampaign),OR(fTeam="All",$T100=fTeam),OR(fChannel="All",fChannel="Email",fChannel="Content Syndication"),OR(fMonth="All",$X100=fMonth)),1,0))</f>
        <v>0</v>
      </c>
      <c r="Z100" s="71">
        <f>IF($D100="",0,IF(AND(OR(fClient="All",$B100=fClient),OR(fCampaign="All",$C100=fCampaign),OR(fTeam="All",$T100=fTeam),OR(fChannel="All",fChannel="Email",fChannel="Content Syndication")),1,0))</f>
        <v>0</v>
      </c>
    </row>
    <row r="101">
      <c r="A101" s="63" t="n"/>
      <c r="B101" s="64" t="n"/>
      <c r="C101" s="64" t="n"/>
      <c r="D101" s="64" t="n"/>
      <c r="E101" s="67" t="n"/>
      <c r="F101" s="67" t="n"/>
      <c r="G101" s="67" t="n"/>
      <c r="H101" s="67" t="n"/>
      <c r="I101" s="67" t="n"/>
      <c r="J101" s="73" t="str">
        <f>IF(AND($W101&gt;0,ISNUMBER($I101)),$I101/$W101,"")</f>
        <v/>
      </c>
      <c r="K101" s="67" t="n"/>
      <c r="L101" s="73" t="str">
        <f>IF(AND($W101&gt;0,ISNUMBER($K101)),$K101/$W101,"")</f>
        <v/>
      </c>
      <c r="M101" s="67" t="n"/>
      <c r="N101" s="73" t="str">
        <f>IF(AND($W101&gt;0,ISNUMBER($M101)),$M101/$W101,"")</f>
        <v/>
      </c>
      <c r="O101" s="67" t="n"/>
      <c r="P101" s="73" t="str">
        <f>IF(AND($W101&gt;0,ISNUMBER($O101)),$O101/$W101,"")</f>
        <v/>
      </c>
      <c r="Q101" s="67" t="n"/>
      <c r="R101" s="67" t="n"/>
      <c r="S101" s="67" t="n"/>
      <c r="T101" s="64" t="n"/>
      <c r="U101" s="64" t="n"/>
      <c r="V101" s="65" t="n"/>
      <c r="W101" s="72">
        <f>IF($D101="",0,IF(ISNUMBER($G101),IF($G101&gt;0,$G101,N($F101)),N($F101)))</f>
        <v>0</v>
      </c>
      <c r="X101" s="71" t="str">
        <f>IF(ISNUMBER($A101),YEAR($A101)&amp;"-"&amp;TEXT(MONTH($A101),"00"),"")</f>
        <v/>
      </c>
      <c r="Y101" s="71">
        <f>IF($D101="",0,IF(AND(OR(fClient="All",$B101=fClient),OR(fCampaign="All",$C101=fCampaign),OR(fTeam="All",$T101=fTeam),OR(fChannel="All",fChannel="Email",fChannel="Content Syndication"),OR(fMonth="All",$X101=fMonth)),1,0))</f>
        <v>0</v>
      </c>
      <c r="Z101" s="71">
        <f>IF($D101="",0,IF(AND(OR(fClient="All",$B101=fClient),OR(fCampaign="All",$C101=fCampaign),OR(fTeam="All",$T101=fTeam),OR(fChannel="All",fChannel="Email",fChannel="Content Syndication")),1,0))</f>
        <v>0</v>
      </c>
    </row>
    <row r="102">
      <c r="A102" s="63" t="n"/>
      <c r="B102" s="64" t="n"/>
      <c r="C102" s="64" t="n"/>
      <c r="D102" s="64" t="n"/>
      <c r="E102" s="67" t="n"/>
      <c r="F102" s="67" t="n"/>
      <c r="G102" s="67" t="n"/>
      <c r="H102" s="67" t="n"/>
      <c r="I102" s="67" t="n"/>
      <c r="J102" s="73" t="str">
        <f>IF(AND($W102&gt;0,ISNUMBER($I102)),$I102/$W102,"")</f>
        <v/>
      </c>
      <c r="K102" s="67" t="n"/>
      <c r="L102" s="73" t="str">
        <f>IF(AND($W102&gt;0,ISNUMBER($K102)),$K102/$W102,"")</f>
        <v/>
      </c>
      <c r="M102" s="67" t="n"/>
      <c r="N102" s="73" t="str">
        <f>IF(AND($W102&gt;0,ISNUMBER($M102)),$M102/$W102,"")</f>
        <v/>
      </c>
      <c r="O102" s="67" t="n"/>
      <c r="P102" s="73" t="str">
        <f>IF(AND($W102&gt;0,ISNUMBER($O102)),$O102/$W102,"")</f>
        <v/>
      </c>
      <c r="Q102" s="67" t="n"/>
      <c r="R102" s="67" t="n"/>
      <c r="S102" s="67" t="n"/>
      <c r="T102" s="64" t="n"/>
      <c r="U102" s="64" t="n"/>
      <c r="V102" s="65" t="n"/>
      <c r="W102" s="72">
        <f>IF($D102="",0,IF(ISNUMBER($G102),IF($G102&gt;0,$G102,N($F102)),N($F102)))</f>
        <v>0</v>
      </c>
      <c r="X102" s="71" t="str">
        <f>IF(ISNUMBER($A102),YEAR($A102)&amp;"-"&amp;TEXT(MONTH($A102),"00"),"")</f>
        <v/>
      </c>
      <c r="Y102" s="71">
        <f>IF($D102="",0,IF(AND(OR(fClient="All",$B102=fClient),OR(fCampaign="All",$C102=fCampaign),OR(fTeam="All",$T102=fTeam),OR(fChannel="All",fChannel="Email",fChannel="Content Syndication"),OR(fMonth="All",$X102=fMonth)),1,0))</f>
        <v>0</v>
      </c>
      <c r="Z102" s="71">
        <f>IF($D102="",0,IF(AND(OR(fClient="All",$B102=fClient),OR(fCampaign="All",$C102=fCampaign),OR(fTeam="All",$T102=fTeam),OR(fChannel="All",fChannel="Email",fChannel="Content Syndication")),1,0))</f>
        <v>0</v>
      </c>
    </row>
    <row r="103">
      <c r="A103" s="63" t="n"/>
      <c r="B103" s="64" t="n"/>
      <c r="C103" s="64" t="n"/>
      <c r="D103" s="64" t="n"/>
      <c r="E103" s="67" t="n"/>
      <c r="F103" s="67" t="n"/>
      <c r="G103" s="67" t="n"/>
      <c r="H103" s="67" t="n"/>
      <c r="I103" s="67" t="n"/>
      <c r="J103" s="73" t="str">
        <f>IF(AND($W103&gt;0,ISNUMBER($I103)),$I103/$W103,"")</f>
        <v/>
      </c>
      <c r="K103" s="67" t="n"/>
      <c r="L103" s="73" t="str">
        <f>IF(AND($W103&gt;0,ISNUMBER($K103)),$K103/$W103,"")</f>
        <v/>
      </c>
      <c r="M103" s="67" t="n"/>
      <c r="N103" s="73" t="str">
        <f>IF(AND($W103&gt;0,ISNUMBER($M103)),$M103/$W103,"")</f>
        <v/>
      </c>
      <c r="O103" s="67" t="n"/>
      <c r="P103" s="73" t="str">
        <f>IF(AND($W103&gt;0,ISNUMBER($O103)),$O103/$W103,"")</f>
        <v/>
      </c>
      <c r="Q103" s="67" t="n"/>
      <c r="R103" s="67" t="n"/>
      <c r="S103" s="67" t="n"/>
      <c r="T103" s="64" t="n"/>
      <c r="U103" s="64" t="n"/>
      <c r="V103" s="65" t="n"/>
      <c r="W103" s="72">
        <f>IF($D103="",0,IF(ISNUMBER($G103),IF($G103&gt;0,$G103,N($F103)),N($F103)))</f>
        <v>0</v>
      </c>
      <c r="X103" s="71" t="str">
        <f>IF(ISNUMBER($A103),YEAR($A103)&amp;"-"&amp;TEXT(MONTH($A103),"00"),"")</f>
        <v/>
      </c>
      <c r="Y103" s="71">
        <f>IF($D103="",0,IF(AND(OR(fClient="All",$B103=fClient),OR(fCampaign="All",$C103=fCampaign),OR(fTeam="All",$T103=fTeam),OR(fChannel="All",fChannel="Email",fChannel="Content Syndication"),OR(fMonth="All",$X103=fMonth)),1,0))</f>
        <v>0</v>
      </c>
      <c r="Z103" s="71">
        <f>IF($D103="",0,IF(AND(OR(fClient="All",$B103=fClient),OR(fCampaign="All",$C103=fCampaign),OR(fTeam="All",$T103=fTeam),OR(fChannel="All",fChannel="Email",fChannel="Content Syndication")),1,0))</f>
        <v>0</v>
      </c>
    </row>
    <row r="104">
      <c r="A104" s="63" t="n"/>
      <c r="B104" s="64" t="n"/>
      <c r="C104" s="64" t="n"/>
      <c r="D104" s="64" t="n"/>
      <c r="E104" s="67" t="n"/>
      <c r="F104" s="67" t="n"/>
      <c r="G104" s="67" t="n"/>
      <c r="H104" s="67" t="n"/>
      <c r="I104" s="67" t="n"/>
      <c r="J104" s="73" t="str">
        <f>IF(AND($W104&gt;0,ISNUMBER($I104)),$I104/$W104,"")</f>
        <v/>
      </c>
      <c r="K104" s="67" t="n"/>
      <c r="L104" s="73" t="str">
        <f>IF(AND($W104&gt;0,ISNUMBER($K104)),$K104/$W104,"")</f>
        <v/>
      </c>
      <c r="M104" s="67" t="n"/>
      <c r="N104" s="73" t="str">
        <f>IF(AND($W104&gt;0,ISNUMBER($M104)),$M104/$W104,"")</f>
        <v/>
      </c>
      <c r="O104" s="67" t="n"/>
      <c r="P104" s="73" t="str">
        <f>IF(AND($W104&gt;0,ISNUMBER($O104)),$O104/$W104,"")</f>
        <v/>
      </c>
      <c r="Q104" s="67" t="n"/>
      <c r="R104" s="67" t="n"/>
      <c r="S104" s="67" t="n"/>
      <c r="T104" s="64" t="n"/>
      <c r="U104" s="64" t="n"/>
      <c r="V104" s="65" t="n"/>
      <c r="W104" s="72">
        <f>IF($D104="",0,IF(ISNUMBER($G104),IF($G104&gt;0,$G104,N($F104)),N($F104)))</f>
        <v>0</v>
      </c>
      <c r="X104" s="71" t="str">
        <f>IF(ISNUMBER($A104),YEAR($A104)&amp;"-"&amp;TEXT(MONTH($A104),"00"),"")</f>
        <v/>
      </c>
      <c r="Y104" s="71">
        <f>IF($D104="",0,IF(AND(OR(fClient="All",$B104=fClient),OR(fCampaign="All",$C104=fCampaign),OR(fTeam="All",$T104=fTeam),OR(fChannel="All",fChannel="Email",fChannel="Content Syndication"),OR(fMonth="All",$X104=fMonth)),1,0))</f>
        <v>0</v>
      </c>
      <c r="Z104" s="71">
        <f>IF($D104="",0,IF(AND(OR(fClient="All",$B104=fClient),OR(fCampaign="All",$C104=fCampaign),OR(fTeam="All",$T104=fTeam),OR(fChannel="All",fChannel="Email",fChannel="Content Syndication")),1,0))</f>
        <v>0</v>
      </c>
    </row>
    <row r="105">
      <c r="A105" s="63" t="n"/>
      <c r="B105" s="64" t="n"/>
      <c r="C105" s="64" t="n"/>
      <c r="D105" s="64" t="n"/>
      <c r="E105" s="67" t="n"/>
      <c r="F105" s="67" t="n"/>
      <c r="G105" s="67" t="n"/>
      <c r="H105" s="67" t="n"/>
      <c r="I105" s="67" t="n"/>
      <c r="J105" s="73" t="str">
        <f>IF(AND($W105&gt;0,ISNUMBER($I105)),$I105/$W105,"")</f>
        <v/>
      </c>
      <c r="K105" s="67" t="n"/>
      <c r="L105" s="73" t="str">
        <f>IF(AND($W105&gt;0,ISNUMBER($K105)),$K105/$W105,"")</f>
        <v/>
      </c>
      <c r="M105" s="67" t="n"/>
      <c r="N105" s="73" t="str">
        <f>IF(AND($W105&gt;0,ISNUMBER($M105)),$M105/$W105,"")</f>
        <v/>
      </c>
      <c r="O105" s="67" t="n"/>
      <c r="P105" s="73" t="str">
        <f>IF(AND($W105&gt;0,ISNUMBER($O105)),$O105/$W105,"")</f>
        <v/>
      </c>
      <c r="Q105" s="67" t="n"/>
      <c r="R105" s="67" t="n"/>
      <c r="S105" s="67" t="n"/>
      <c r="T105" s="64" t="n"/>
      <c r="U105" s="64" t="n"/>
      <c r="V105" s="65" t="n"/>
      <c r="W105" s="72">
        <f>IF($D105="",0,IF(ISNUMBER($G105),IF($G105&gt;0,$G105,N($F105)),N($F105)))</f>
        <v>0</v>
      </c>
      <c r="X105" s="71" t="str">
        <f>IF(ISNUMBER($A105),YEAR($A105)&amp;"-"&amp;TEXT(MONTH($A105),"00"),"")</f>
        <v/>
      </c>
      <c r="Y105" s="71">
        <f>IF($D105="",0,IF(AND(OR(fClient="All",$B105=fClient),OR(fCampaign="All",$C105=fCampaign),OR(fTeam="All",$T105=fTeam),OR(fChannel="All",fChannel="Email",fChannel="Content Syndication"),OR(fMonth="All",$X105=fMonth)),1,0))</f>
        <v>0</v>
      </c>
      <c r="Z105" s="71">
        <f>IF($D105="",0,IF(AND(OR(fClient="All",$B105=fClient),OR(fCampaign="All",$C105=fCampaign),OR(fTeam="All",$T105=fTeam),OR(fChannel="All",fChannel="Email",fChannel="Content Syndication")),1,0))</f>
        <v>0</v>
      </c>
    </row>
    <row r="106">
      <c r="A106" s="63" t="n"/>
      <c r="B106" s="64" t="n"/>
      <c r="C106" s="64" t="n"/>
      <c r="D106" s="64" t="n"/>
      <c r="E106" s="67" t="n"/>
      <c r="F106" s="67" t="n"/>
      <c r="G106" s="67" t="n"/>
      <c r="H106" s="67" t="n"/>
      <c r="I106" s="67" t="n"/>
      <c r="J106" s="73" t="str">
        <f>IF(AND($W106&gt;0,ISNUMBER($I106)),$I106/$W106,"")</f>
        <v/>
      </c>
      <c r="K106" s="67" t="n"/>
      <c r="L106" s="73" t="str">
        <f>IF(AND($W106&gt;0,ISNUMBER($K106)),$K106/$W106,"")</f>
        <v/>
      </c>
      <c r="M106" s="67" t="n"/>
      <c r="N106" s="73" t="str">
        <f>IF(AND($W106&gt;0,ISNUMBER($M106)),$M106/$W106,"")</f>
        <v/>
      </c>
      <c r="O106" s="67" t="n"/>
      <c r="P106" s="73" t="str">
        <f>IF(AND($W106&gt;0,ISNUMBER($O106)),$O106/$W106,"")</f>
        <v/>
      </c>
      <c r="Q106" s="67" t="n"/>
      <c r="R106" s="67" t="n"/>
      <c r="S106" s="67" t="n"/>
      <c r="T106" s="64" t="n"/>
      <c r="U106" s="64" t="n"/>
      <c r="V106" s="65" t="n"/>
      <c r="W106" s="72">
        <f>IF($D106="",0,IF(ISNUMBER($G106),IF($G106&gt;0,$G106,N($F106)),N($F106)))</f>
        <v>0</v>
      </c>
      <c r="X106" s="71" t="str">
        <f>IF(ISNUMBER($A106),YEAR($A106)&amp;"-"&amp;TEXT(MONTH($A106),"00"),"")</f>
        <v/>
      </c>
      <c r="Y106" s="71">
        <f>IF($D106="",0,IF(AND(OR(fClient="All",$B106=fClient),OR(fCampaign="All",$C106=fCampaign),OR(fTeam="All",$T106=fTeam),OR(fChannel="All",fChannel="Email",fChannel="Content Syndication"),OR(fMonth="All",$X106=fMonth)),1,0))</f>
        <v>0</v>
      </c>
      <c r="Z106" s="71">
        <f>IF($D106="",0,IF(AND(OR(fClient="All",$B106=fClient),OR(fCampaign="All",$C106=fCampaign),OR(fTeam="All",$T106=fTeam),OR(fChannel="All",fChannel="Email",fChannel="Content Syndication")),1,0))</f>
        <v>0</v>
      </c>
    </row>
    <row r="107">
      <c r="A107" s="63" t="n"/>
      <c r="B107" s="64" t="n"/>
      <c r="C107" s="64" t="n"/>
      <c r="D107" s="64" t="n"/>
      <c r="E107" s="67" t="n"/>
      <c r="F107" s="67" t="n"/>
      <c r="G107" s="67" t="n"/>
      <c r="H107" s="67" t="n"/>
      <c r="I107" s="67" t="n"/>
      <c r="J107" s="73" t="str">
        <f>IF(AND($W107&gt;0,ISNUMBER($I107)),$I107/$W107,"")</f>
        <v/>
      </c>
      <c r="K107" s="67" t="n"/>
      <c r="L107" s="73" t="str">
        <f>IF(AND($W107&gt;0,ISNUMBER($K107)),$K107/$W107,"")</f>
        <v/>
      </c>
      <c r="M107" s="67" t="n"/>
      <c r="N107" s="73" t="str">
        <f>IF(AND($W107&gt;0,ISNUMBER($M107)),$M107/$W107,"")</f>
        <v/>
      </c>
      <c r="O107" s="67" t="n"/>
      <c r="P107" s="73" t="str">
        <f>IF(AND($W107&gt;0,ISNUMBER($O107)),$O107/$W107,"")</f>
        <v/>
      </c>
      <c r="Q107" s="67" t="n"/>
      <c r="R107" s="67" t="n"/>
      <c r="S107" s="67" t="n"/>
      <c r="T107" s="64" t="n"/>
      <c r="U107" s="64" t="n"/>
      <c r="V107" s="65" t="n"/>
      <c r="W107" s="72">
        <f>IF($D107="",0,IF(ISNUMBER($G107),IF($G107&gt;0,$G107,N($F107)),N($F107)))</f>
        <v>0</v>
      </c>
      <c r="X107" s="71" t="str">
        <f>IF(ISNUMBER($A107),YEAR($A107)&amp;"-"&amp;TEXT(MONTH($A107),"00"),"")</f>
        <v/>
      </c>
      <c r="Y107" s="71">
        <f>IF($D107="",0,IF(AND(OR(fClient="All",$B107=fClient),OR(fCampaign="All",$C107=fCampaign),OR(fTeam="All",$T107=fTeam),OR(fChannel="All",fChannel="Email",fChannel="Content Syndication"),OR(fMonth="All",$X107=fMonth)),1,0))</f>
        <v>0</v>
      </c>
      <c r="Z107" s="71">
        <f>IF($D107="",0,IF(AND(OR(fClient="All",$B107=fClient),OR(fCampaign="All",$C107=fCampaign),OR(fTeam="All",$T107=fTeam),OR(fChannel="All",fChannel="Email",fChannel="Content Syndication")),1,0))</f>
        <v>0</v>
      </c>
    </row>
    <row r="108">
      <c r="A108" s="63" t="n"/>
      <c r="B108" s="64" t="n"/>
      <c r="C108" s="64" t="n"/>
      <c r="D108" s="64" t="n"/>
      <c r="E108" s="67" t="n"/>
      <c r="F108" s="67" t="n"/>
      <c r="G108" s="67" t="n"/>
      <c r="H108" s="67" t="n"/>
      <c r="I108" s="67" t="n"/>
      <c r="J108" s="73" t="str">
        <f>IF(AND($W108&gt;0,ISNUMBER($I108)),$I108/$W108,"")</f>
        <v/>
      </c>
      <c r="K108" s="67" t="n"/>
      <c r="L108" s="73" t="str">
        <f>IF(AND($W108&gt;0,ISNUMBER($K108)),$K108/$W108,"")</f>
        <v/>
      </c>
      <c r="M108" s="67" t="n"/>
      <c r="N108" s="73" t="str">
        <f>IF(AND($W108&gt;0,ISNUMBER($M108)),$M108/$W108,"")</f>
        <v/>
      </c>
      <c r="O108" s="67" t="n"/>
      <c r="P108" s="73" t="str">
        <f>IF(AND($W108&gt;0,ISNUMBER($O108)),$O108/$W108,"")</f>
        <v/>
      </c>
      <c r="Q108" s="67" t="n"/>
      <c r="R108" s="67" t="n"/>
      <c r="S108" s="67" t="n"/>
      <c r="T108" s="64" t="n"/>
      <c r="U108" s="64" t="n"/>
      <c r="V108" s="65" t="n"/>
      <c r="W108" s="72">
        <f>IF($D108="",0,IF(ISNUMBER($G108),IF($G108&gt;0,$G108,N($F108)),N($F108)))</f>
        <v>0</v>
      </c>
      <c r="X108" s="71" t="str">
        <f>IF(ISNUMBER($A108),YEAR($A108)&amp;"-"&amp;TEXT(MONTH($A108),"00"),"")</f>
        <v/>
      </c>
      <c r="Y108" s="71">
        <f>IF($D108="",0,IF(AND(OR(fClient="All",$B108=fClient),OR(fCampaign="All",$C108=fCampaign),OR(fTeam="All",$T108=fTeam),OR(fChannel="All",fChannel="Email",fChannel="Content Syndication"),OR(fMonth="All",$X108=fMonth)),1,0))</f>
        <v>0</v>
      </c>
      <c r="Z108" s="71">
        <f>IF($D108="",0,IF(AND(OR(fClient="All",$B108=fClient),OR(fCampaign="All",$C108=fCampaign),OR(fTeam="All",$T108=fTeam),OR(fChannel="All",fChannel="Email",fChannel="Content Syndication")),1,0))</f>
        <v>0</v>
      </c>
    </row>
    <row r="109">
      <c r="A109" s="63" t="n"/>
      <c r="B109" s="64" t="n"/>
      <c r="C109" s="64" t="n"/>
      <c r="D109" s="64" t="n"/>
      <c r="E109" s="67" t="n"/>
      <c r="F109" s="67" t="n"/>
      <c r="G109" s="67" t="n"/>
      <c r="H109" s="67" t="n"/>
      <c r="I109" s="67" t="n"/>
      <c r="J109" s="73" t="str">
        <f>IF(AND($W109&gt;0,ISNUMBER($I109)),$I109/$W109,"")</f>
        <v/>
      </c>
      <c r="K109" s="67" t="n"/>
      <c r="L109" s="73" t="str">
        <f>IF(AND($W109&gt;0,ISNUMBER($K109)),$K109/$W109,"")</f>
        <v/>
      </c>
      <c r="M109" s="67" t="n"/>
      <c r="N109" s="73" t="str">
        <f>IF(AND($W109&gt;0,ISNUMBER($M109)),$M109/$W109,"")</f>
        <v/>
      </c>
      <c r="O109" s="67" t="n"/>
      <c r="P109" s="73" t="str">
        <f>IF(AND($W109&gt;0,ISNUMBER($O109)),$O109/$W109,"")</f>
        <v/>
      </c>
      <c r="Q109" s="67" t="n"/>
      <c r="R109" s="67" t="n"/>
      <c r="S109" s="67" t="n"/>
      <c r="T109" s="64" t="n"/>
      <c r="U109" s="64" t="n"/>
      <c r="V109" s="65" t="n"/>
      <c r="W109" s="72">
        <f>IF($D109="",0,IF(ISNUMBER($G109),IF($G109&gt;0,$G109,N($F109)),N($F109)))</f>
        <v>0</v>
      </c>
      <c r="X109" s="71" t="str">
        <f>IF(ISNUMBER($A109),YEAR($A109)&amp;"-"&amp;TEXT(MONTH($A109),"00"),"")</f>
        <v/>
      </c>
      <c r="Y109" s="71">
        <f>IF($D109="",0,IF(AND(OR(fClient="All",$B109=fClient),OR(fCampaign="All",$C109=fCampaign),OR(fTeam="All",$T109=fTeam),OR(fChannel="All",fChannel="Email",fChannel="Content Syndication"),OR(fMonth="All",$X109=fMonth)),1,0))</f>
        <v>0</v>
      </c>
      <c r="Z109" s="71">
        <f>IF($D109="",0,IF(AND(OR(fClient="All",$B109=fClient),OR(fCampaign="All",$C109=fCampaign),OR(fTeam="All",$T109=fTeam),OR(fChannel="All",fChannel="Email",fChannel="Content Syndication")),1,0))</f>
        <v>0</v>
      </c>
    </row>
    <row r="110">
      <c r="A110" s="63" t="n"/>
      <c r="B110" s="64" t="n"/>
      <c r="C110" s="64" t="n"/>
      <c r="D110" s="64" t="n"/>
      <c r="E110" s="67" t="n"/>
      <c r="F110" s="67" t="n"/>
      <c r="G110" s="67" t="n"/>
      <c r="H110" s="67" t="n"/>
      <c r="I110" s="67" t="n"/>
      <c r="J110" s="73" t="str">
        <f>IF(AND($W110&gt;0,ISNUMBER($I110)),$I110/$W110,"")</f>
        <v/>
      </c>
      <c r="K110" s="67" t="n"/>
      <c r="L110" s="73" t="str">
        <f>IF(AND($W110&gt;0,ISNUMBER($K110)),$K110/$W110,"")</f>
        <v/>
      </c>
      <c r="M110" s="67" t="n"/>
      <c r="N110" s="73" t="str">
        <f>IF(AND($W110&gt;0,ISNUMBER($M110)),$M110/$W110,"")</f>
        <v/>
      </c>
      <c r="O110" s="67" t="n"/>
      <c r="P110" s="73" t="str">
        <f>IF(AND($W110&gt;0,ISNUMBER($O110)),$O110/$W110,"")</f>
        <v/>
      </c>
      <c r="Q110" s="67" t="n"/>
      <c r="R110" s="67" t="n"/>
      <c r="S110" s="67" t="n"/>
      <c r="T110" s="64" t="n"/>
      <c r="U110" s="64" t="n"/>
      <c r="V110" s="65" t="n"/>
      <c r="W110" s="72">
        <f>IF($D110="",0,IF(ISNUMBER($G110),IF($G110&gt;0,$G110,N($F110)),N($F110)))</f>
        <v>0</v>
      </c>
      <c r="X110" s="71" t="str">
        <f>IF(ISNUMBER($A110),YEAR($A110)&amp;"-"&amp;TEXT(MONTH($A110),"00"),"")</f>
        <v/>
      </c>
      <c r="Y110" s="71">
        <f>IF($D110="",0,IF(AND(OR(fClient="All",$B110=fClient),OR(fCampaign="All",$C110=fCampaign),OR(fTeam="All",$T110=fTeam),OR(fChannel="All",fChannel="Email",fChannel="Content Syndication"),OR(fMonth="All",$X110=fMonth)),1,0))</f>
        <v>0</v>
      </c>
      <c r="Z110" s="71">
        <f>IF($D110="",0,IF(AND(OR(fClient="All",$B110=fClient),OR(fCampaign="All",$C110=fCampaign),OR(fTeam="All",$T110=fTeam),OR(fChannel="All",fChannel="Email",fChannel="Content Syndication")),1,0))</f>
        <v>0</v>
      </c>
    </row>
    <row r="111">
      <c r="A111" s="63" t="n"/>
      <c r="B111" s="64" t="n"/>
      <c r="C111" s="64" t="n"/>
      <c r="D111" s="64" t="n"/>
      <c r="E111" s="67" t="n"/>
      <c r="F111" s="67" t="n"/>
      <c r="G111" s="67" t="n"/>
      <c r="H111" s="67" t="n"/>
      <c r="I111" s="67" t="n"/>
      <c r="J111" s="73" t="str">
        <f>IF(AND($W111&gt;0,ISNUMBER($I111)),$I111/$W111,"")</f>
        <v/>
      </c>
      <c r="K111" s="67" t="n"/>
      <c r="L111" s="73" t="str">
        <f>IF(AND($W111&gt;0,ISNUMBER($K111)),$K111/$W111,"")</f>
        <v/>
      </c>
      <c r="M111" s="67" t="n"/>
      <c r="N111" s="73" t="str">
        <f>IF(AND($W111&gt;0,ISNUMBER($M111)),$M111/$W111,"")</f>
        <v/>
      </c>
      <c r="O111" s="67" t="n"/>
      <c r="P111" s="73" t="str">
        <f>IF(AND($W111&gt;0,ISNUMBER($O111)),$O111/$W111,"")</f>
        <v/>
      </c>
      <c r="Q111" s="67" t="n"/>
      <c r="R111" s="67" t="n"/>
      <c r="S111" s="67" t="n"/>
      <c r="T111" s="64" t="n"/>
      <c r="U111" s="64" t="n"/>
      <c r="V111" s="65" t="n"/>
      <c r="W111" s="72">
        <f>IF($D111="",0,IF(ISNUMBER($G111),IF($G111&gt;0,$G111,N($F111)),N($F111)))</f>
        <v>0</v>
      </c>
      <c r="X111" s="71" t="str">
        <f>IF(ISNUMBER($A111),YEAR($A111)&amp;"-"&amp;TEXT(MONTH($A111),"00"),"")</f>
        <v/>
      </c>
      <c r="Y111" s="71">
        <f>IF($D111="",0,IF(AND(OR(fClient="All",$B111=fClient),OR(fCampaign="All",$C111=fCampaign),OR(fTeam="All",$T111=fTeam),OR(fChannel="All",fChannel="Email",fChannel="Content Syndication"),OR(fMonth="All",$X111=fMonth)),1,0))</f>
        <v>0</v>
      </c>
      <c r="Z111" s="71">
        <f>IF($D111="",0,IF(AND(OR(fClient="All",$B111=fClient),OR(fCampaign="All",$C111=fCampaign),OR(fTeam="All",$T111=fTeam),OR(fChannel="All",fChannel="Email",fChannel="Content Syndication")),1,0))</f>
        <v>0</v>
      </c>
    </row>
    <row r="112">
      <c r="A112" s="63" t="n"/>
      <c r="B112" s="64" t="n"/>
      <c r="C112" s="64" t="n"/>
      <c r="D112" s="64" t="n"/>
      <c r="E112" s="67" t="n"/>
      <c r="F112" s="67" t="n"/>
      <c r="G112" s="67" t="n"/>
      <c r="H112" s="67" t="n"/>
      <c r="I112" s="67" t="n"/>
      <c r="J112" s="73" t="str">
        <f>IF(AND($W112&gt;0,ISNUMBER($I112)),$I112/$W112,"")</f>
        <v/>
      </c>
      <c r="K112" s="67" t="n"/>
      <c r="L112" s="73" t="str">
        <f>IF(AND($W112&gt;0,ISNUMBER($K112)),$K112/$W112,"")</f>
        <v/>
      </c>
      <c r="M112" s="67" t="n"/>
      <c r="N112" s="73" t="str">
        <f>IF(AND($W112&gt;0,ISNUMBER($M112)),$M112/$W112,"")</f>
        <v/>
      </c>
      <c r="O112" s="67" t="n"/>
      <c r="P112" s="73" t="str">
        <f>IF(AND($W112&gt;0,ISNUMBER($O112)),$O112/$W112,"")</f>
        <v/>
      </c>
      <c r="Q112" s="67" t="n"/>
      <c r="R112" s="67" t="n"/>
      <c r="S112" s="67" t="n"/>
      <c r="T112" s="64" t="n"/>
      <c r="U112" s="64" t="n"/>
      <c r="V112" s="65" t="n"/>
      <c r="W112" s="72">
        <f>IF($D112="",0,IF(ISNUMBER($G112),IF($G112&gt;0,$G112,N($F112)),N($F112)))</f>
        <v>0</v>
      </c>
      <c r="X112" s="71" t="str">
        <f>IF(ISNUMBER($A112),YEAR($A112)&amp;"-"&amp;TEXT(MONTH($A112),"00"),"")</f>
        <v/>
      </c>
      <c r="Y112" s="71">
        <f>IF($D112="",0,IF(AND(OR(fClient="All",$B112=fClient),OR(fCampaign="All",$C112=fCampaign),OR(fTeam="All",$T112=fTeam),OR(fChannel="All",fChannel="Email",fChannel="Content Syndication"),OR(fMonth="All",$X112=fMonth)),1,0))</f>
        <v>0</v>
      </c>
      <c r="Z112" s="71">
        <f>IF($D112="",0,IF(AND(OR(fClient="All",$B112=fClient),OR(fCampaign="All",$C112=fCampaign),OR(fTeam="All",$T112=fTeam),OR(fChannel="All",fChannel="Email",fChannel="Content Syndication")),1,0))</f>
        <v>0</v>
      </c>
    </row>
    <row r="113">
      <c r="A113" s="63" t="n"/>
      <c r="B113" s="64" t="n"/>
      <c r="C113" s="64" t="n"/>
      <c r="D113" s="64" t="n"/>
      <c r="E113" s="67" t="n"/>
      <c r="F113" s="67" t="n"/>
      <c r="G113" s="67" t="n"/>
      <c r="H113" s="67" t="n"/>
      <c r="I113" s="67" t="n"/>
      <c r="J113" s="73" t="str">
        <f>IF(AND($W113&gt;0,ISNUMBER($I113)),$I113/$W113,"")</f>
        <v/>
      </c>
      <c r="K113" s="67" t="n"/>
      <c r="L113" s="73" t="str">
        <f>IF(AND($W113&gt;0,ISNUMBER($K113)),$K113/$W113,"")</f>
        <v/>
      </c>
      <c r="M113" s="67" t="n"/>
      <c r="N113" s="73" t="str">
        <f>IF(AND($W113&gt;0,ISNUMBER($M113)),$M113/$W113,"")</f>
        <v/>
      </c>
      <c r="O113" s="67" t="n"/>
      <c r="P113" s="73" t="str">
        <f>IF(AND($W113&gt;0,ISNUMBER($O113)),$O113/$W113,"")</f>
        <v/>
      </c>
      <c r="Q113" s="67" t="n"/>
      <c r="R113" s="67" t="n"/>
      <c r="S113" s="67" t="n"/>
      <c r="T113" s="64" t="n"/>
      <c r="U113" s="64" t="n"/>
      <c r="V113" s="65" t="n"/>
      <c r="W113" s="72">
        <f>IF($D113="",0,IF(ISNUMBER($G113),IF($G113&gt;0,$G113,N($F113)),N($F113)))</f>
        <v>0</v>
      </c>
      <c r="X113" s="71" t="str">
        <f>IF(ISNUMBER($A113),YEAR($A113)&amp;"-"&amp;TEXT(MONTH($A113),"00"),"")</f>
        <v/>
      </c>
      <c r="Y113" s="71">
        <f>IF($D113="",0,IF(AND(OR(fClient="All",$B113=fClient),OR(fCampaign="All",$C113=fCampaign),OR(fTeam="All",$T113=fTeam),OR(fChannel="All",fChannel="Email",fChannel="Content Syndication"),OR(fMonth="All",$X113=fMonth)),1,0))</f>
        <v>0</v>
      </c>
      <c r="Z113" s="71">
        <f>IF($D113="",0,IF(AND(OR(fClient="All",$B113=fClient),OR(fCampaign="All",$C113=fCampaign),OR(fTeam="All",$T113=fTeam),OR(fChannel="All",fChannel="Email",fChannel="Content Syndication")),1,0))</f>
        <v>0</v>
      </c>
    </row>
    <row r="114">
      <c r="A114" s="63" t="n"/>
      <c r="B114" s="64" t="n"/>
      <c r="C114" s="64" t="n"/>
      <c r="D114" s="64" t="n"/>
      <c r="E114" s="67" t="n"/>
      <c r="F114" s="67" t="n"/>
      <c r="G114" s="67" t="n"/>
      <c r="H114" s="67" t="n"/>
      <c r="I114" s="67" t="n"/>
      <c r="J114" s="73" t="str">
        <f>IF(AND($W114&gt;0,ISNUMBER($I114)),$I114/$W114,"")</f>
        <v/>
      </c>
      <c r="K114" s="67" t="n"/>
      <c r="L114" s="73" t="str">
        <f>IF(AND($W114&gt;0,ISNUMBER($K114)),$K114/$W114,"")</f>
        <v/>
      </c>
      <c r="M114" s="67" t="n"/>
      <c r="N114" s="73" t="str">
        <f>IF(AND($W114&gt;0,ISNUMBER($M114)),$M114/$W114,"")</f>
        <v/>
      </c>
      <c r="O114" s="67" t="n"/>
      <c r="P114" s="73" t="str">
        <f>IF(AND($W114&gt;0,ISNUMBER($O114)),$O114/$W114,"")</f>
        <v/>
      </c>
      <c r="Q114" s="67" t="n"/>
      <c r="R114" s="67" t="n"/>
      <c r="S114" s="67" t="n"/>
      <c r="T114" s="64" t="n"/>
      <c r="U114" s="64" t="n"/>
      <c r="V114" s="65" t="n"/>
      <c r="W114" s="72">
        <f>IF($D114="",0,IF(ISNUMBER($G114),IF($G114&gt;0,$G114,N($F114)),N($F114)))</f>
        <v>0</v>
      </c>
      <c r="X114" s="71" t="str">
        <f>IF(ISNUMBER($A114),YEAR($A114)&amp;"-"&amp;TEXT(MONTH($A114),"00"),"")</f>
        <v/>
      </c>
      <c r="Y114" s="71">
        <f>IF($D114="",0,IF(AND(OR(fClient="All",$B114=fClient),OR(fCampaign="All",$C114=fCampaign),OR(fTeam="All",$T114=fTeam),OR(fChannel="All",fChannel="Email",fChannel="Content Syndication"),OR(fMonth="All",$X114=fMonth)),1,0))</f>
        <v>0</v>
      </c>
      <c r="Z114" s="71">
        <f>IF($D114="",0,IF(AND(OR(fClient="All",$B114=fClient),OR(fCampaign="All",$C114=fCampaign),OR(fTeam="All",$T114=fTeam),OR(fChannel="All",fChannel="Email",fChannel="Content Syndication")),1,0))</f>
        <v>0</v>
      </c>
    </row>
    <row r="115">
      <c r="A115" s="63" t="n"/>
      <c r="B115" s="64" t="n"/>
      <c r="C115" s="64" t="n"/>
      <c r="D115" s="64" t="n"/>
      <c r="E115" s="67" t="n"/>
      <c r="F115" s="67" t="n"/>
      <c r="G115" s="67" t="n"/>
      <c r="H115" s="67" t="n"/>
      <c r="I115" s="67" t="n"/>
      <c r="J115" s="73" t="str">
        <f>IF(AND($W115&gt;0,ISNUMBER($I115)),$I115/$W115,"")</f>
        <v/>
      </c>
      <c r="K115" s="67" t="n"/>
      <c r="L115" s="73" t="str">
        <f>IF(AND($W115&gt;0,ISNUMBER($K115)),$K115/$W115,"")</f>
        <v/>
      </c>
      <c r="M115" s="67" t="n"/>
      <c r="N115" s="73" t="str">
        <f>IF(AND($W115&gt;0,ISNUMBER($M115)),$M115/$W115,"")</f>
        <v/>
      </c>
      <c r="O115" s="67" t="n"/>
      <c r="P115" s="73" t="str">
        <f>IF(AND($W115&gt;0,ISNUMBER($O115)),$O115/$W115,"")</f>
        <v/>
      </c>
      <c r="Q115" s="67" t="n"/>
      <c r="R115" s="67" t="n"/>
      <c r="S115" s="67" t="n"/>
      <c r="T115" s="64" t="n"/>
      <c r="U115" s="64" t="n"/>
      <c r="V115" s="65" t="n"/>
      <c r="W115" s="72">
        <f>IF($D115="",0,IF(ISNUMBER($G115),IF($G115&gt;0,$G115,N($F115)),N($F115)))</f>
        <v>0</v>
      </c>
      <c r="X115" s="71" t="str">
        <f>IF(ISNUMBER($A115),YEAR($A115)&amp;"-"&amp;TEXT(MONTH($A115),"00"),"")</f>
        <v/>
      </c>
      <c r="Y115" s="71">
        <f>IF($D115="",0,IF(AND(OR(fClient="All",$B115=fClient),OR(fCampaign="All",$C115=fCampaign),OR(fTeam="All",$T115=fTeam),OR(fChannel="All",fChannel="Email",fChannel="Content Syndication"),OR(fMonth="All",$X115=fMonth)),1,0))</f>
        <v>0</v>
      </c>
      <c r="Z115" s="71">
        <f>IF($D115="",0,IF(AND(OR(fClient="All",$B115=fClient),OR(fCampaign="All",$C115=fCampaign),OR(fTeam="All",$T115=fTeam),OR(fChannel="All",fChannel="Email",fChannel="Content Syndication")),1,0))</f>
        <v>0</v>
      </c>
    </row>
    <row r="116">
      <c r="A116" s="63" t="n"/>
      <c r="B116" s="64" t="n"/>
      <c r="C116" s="64" t="n"/>
      <c r="D116" s="64" t="n"/>
      <c r="E116" s="67" t="n"/>
      <c r="F116" s="67" t="n"/>
      <c r="G116" s="67" t="n"/>
      <c r="H116" s="67" t="n"/>
      <c r="I116" s="67" t="n"/>
      <c r="J116" s="73" t="str">
        <f>IF(AND($W116&gt;0,ISNUMBER($I116)),$I116/$W116,"")</f>
        <v/>
      </c>
      <c r="K116" s="67" t="n"/>
      <c r="L116" s="73" t="str">
        <f>IF(AND($W116&gt;0,ISNUMBER($K116)),$K116/$W116,"")</f>
        <v/>
      </c>
      <c r="M116" s="67" t="n"/>
      <c r="N116" s="73" t="str">
        <f>IF(AND($W116&gt;0,ISNUMBER($M116)),$M116/$W116,"")</f>
        <v/>
      </c>
      <c r="O116" s="67" t="n"/>
      <c r="P116" s="73" t="str">
        <f>IF(AND($W116&gt;0,ISNUMBER($O116)),$O116/$W116,"")</f>
        <v/>
      </c>
      <c r="Q116" s="67" t="n"/>
      <c r="R116" s="67" t="n"/>
      <c r="S116" s="67" t="n"/>
      <c r="T116" s="64" t="n"/>
      <c r="U116" s="64" t="n"/>
      <c r="V116" s="65" t="n"/>
      <c r="W116" s="72">
        <f>IF($D116="",0,IF(ISNUMBER($G116),IF($G116&gt;0,$G116,N($F116)),N($F116)))</f>
        <v>0</v>
      </c>
      <c r="X116" s="71" t="str">
        <f>IF(ISNUMBER($A116),YEAR($A116)&amp;"-"&amp;TEXT(MONTH($A116),"00"),"")</f>
        <v/>
      </c>
      <c r="Y116" s="71">
        <f>IF($D116="",0,IF(AND(OR(fClient="All",$B116=fClient),OR(fCampaign="All",$C116=fCampaign),OR(fTeam="All",$T116=fTeam),OR(fChannel="All",fChannel="Email",fChannel="Content Syndication"),OR(fMonth="All",$X116=fMonth)),1,0))</f>
        <v>0</v>
      </c>
      <c r="Z116" s="71">
        <f>IF($D116="",0,IF(AND(OR(fClient="All",$B116=fClient),OR(fCampaign="All",$C116=fCampaign),OR(fTeam="All",$T116=fTeam),OR(fChannel="All",fChannel="Email",fChannel="Content Syndication")),1,0))</f>
        <v>0</v>
      </c>
    </row>
    <row r="117">
      <c r="A117" s="63" t="n"/>
      <c r="B117" s="64" t="n"/>
      <c r="C117" s="64" t="n"/>
      <c r="D117" s="64" t="n"/>
      <c r="E117" s="67" t="n"/>
      <c r="F117" s="67" t="n"/>
      <c r="G117" s="67" t="n"/>
      <c r="H117" s="67" t="n"/>
      <c r="I117" s="67" t="n"/>
      <c r="J117" s="73" t="str">
        <f>IF(AND($W117&gt;0,ISNUMBER($I117)),$I117/$W117,"")</f>
        <v/>
      </c>
      <c r="K117" s="67" t="n"/>
      <c r="L117" s="73" t="str">
        <f>IF(AND($W117&gt;0,ISNUMBER($K117)),$K117/$W117,"")</f>
        <v/>
      </c>
      <c r="M117" s="67" t="n"/>
      <c r="N117" s="73" t="str">
        <f>IF(AND($W117&gt;0,ISNUMBER($M117)),$M117/$W117,"")</f>
        <v/>
      </c>
      <c r="O117" s="67" t="n"/>
      <c r="P117" s="73" t="str">
        <f>IF(AND($W117&gt;0,ISNUMBER($O117)),$O117/$W117,"")</f>
        <v/>
      </c>
      <c r="Q117" s="67" t="n"/>
      <c r="R117" s="67" t="n"/>
      <c r="S117" s="67" t="n"/>
      <c r="T117" s="64" t="n"/>
      <c r="U117" s="64" t="n"/>
      <c r="V117" s="65" t="n"/>
      <c r="W117" s="72">
        <f>IF($D117="",0,IF(ISNUMBER($G117),IF($G117&gt;0,$G117,N($F117)),N($F117)))</f>
        <v>0</v>
      </c>
      <c r="X117" s="71" t="str">
        <f>IF(ISNUMBER($A117),YEAR($A117)&amp;"-"&amp;TEXT(MONTH($A117),"00"),"")</f>
        <v/>
      </c>
      <c r="Y117" s="71">
        <f>IF($D117="",0,IF(AND(OR(fClient="All",$B117=fClient),OR(fCampaign="All",$C117=fCampaign),OR(fTeam="All",$T117=fTeam),OR(fChannel="All",fChannel="Email",fChannel="Content Syndication"),OR(fMonth="All",$X117=fMonth)),1,0))</f>
        <v>0</v>
      </c>
      <c r="Z117" s="71">
        <f>IF($D117="",0,IF(AND(OR(fClient="All",$B117=fClient),OR(fCampaign="All",$C117=fCampaign),OR(fTeam="All",$T117=fTeam),OR(fChannel="All",fChannel="Email",fChannel="Content Syndication")),1,0))</f>
        <v>0</v>
      </c>
    </row>
    <row r="118">
      <c r="A118" s="63" t="n"/>
      <c r="B118" s="64" t="n"/>
      <c r="C118" s="64" t="n"/>
      <c r="D118" s="64" t="n"/>
      <c r="E118" s="67" t="n"/>
      <c r="F118" s="67" t="n"/>
      <c r="G118" s="67" t="n"/>
      <c r="H118" s="67" t="n"/>
      <c r="I118" s="67" t="n"/>
      <c r="J118" s="73" t="str">
        <f>IF(AND($W118&gt;0,ISNUMBER($I118)),$I118/$W118,"")</f>
        <v/>
      </c>
      <c r="K118" s="67" t="n"/>
      <c r="L118" s="73" t="str">
        <f>IF(AND($W118&gt;0,ISNUMBER($K118)),$K118/$W118,"")</f>
        <v/>
      </c>
      <c r="M118" s="67" t="n"/>
      <c r="N118" s="73" t="str">
        <f>IF(AND($W118&gt;0,ISNUMBER($M118)),$M118/$W118,"")</f>
        <v/>
      </c>
      <c r="O118" s="67" t="n"/>
      <c r="P118" s="73" t="str">
        <f>IF(AND($W118&gt;0,ISNUMBER($O118)),$O118/$W118,"")</f>
        <v/>
      </c>
      <c r="Q118" s="67" t="n"/>
      <c r="R118" s="67" t="n"/>
      <c r="S118" s="67" t="n"/>
      <c r="T118" s="64" t="n"/>
      <c r="U118" s="64" t="n"/>
      <c r="V118" s="65" t="n"/>
      <c r="W118" s="72">
        <f>IF($D118="",0,IF(ISNUMBER($G118),IF($G118&gt;0,$G118,N($F118)),N($F118)))</f>
        <v>0</v>
      </c>
      <c r="X118" s="71" t="str">
        <f>IF(ISNUMBER($A118),YEAR($A118)&amp;"-"&amp;TEXT(MONTH($A118),"00"),"")</f>
        <v/>
      </c>
      <c r="Y118" s="71">
        <f>IF($D118="",0,IF(AND(OR(fClient="All",$B118=fClient),OR(fCampaign="All",$C118=fCampaign),OR(fTeam="All",$T118=fTeam),OR(fChannel="All",fChannel="Email",fChannel="Content Syndication"),OR(fMonth="All",$X118=fMonth)),1,0))</f>
        <v>0</v>
      </c>
      <c r="Z118" s="71">
        <f>IF($D118="",0,IF(AND(OR(fClient="All",$B118=fClient),OR(fCampaign="All",$C118=fCampaign),OR(fTeam="All",$T118=fTeam),OR(fChannel="All",fChannel="Email",fChannel="Content Syndication")),1,0))</f>
        <v>0</v>
      </c>
    </row>
    <row r="119">
      <c r="A119" s="63" t="n"/>
      <c r="B119" s="64" t="n"/>
      <c r="C119" s="64" t="n"/>
      <c r="D119" s="64" t="n"/>
      <c r="E119" s="67" t="n"/>
      <c r="F119" s="67" t="n"/>
      <c r="G119" s="67" t="n"/>
      <c r="H119" s="67" t="n"/>
      <c r="I119" s="67" t="n"/>
      <c r="J119" s="73" t="str">
        <f>IF(AND($W119&gt;0,ISNUMBER($I119)),$I119/$W119,"")</f>
        <v/>
      </c>
      <c r="K119" s="67" t="n"/>
      <c r="L119" s="73" t="str">
        <f>IF(AND($W119&gt;0,ISNUMBER($K119)),$K119/$W119,"")</f>
        <v/>
      </c>
      <c r="M119" s="67" t="n"/>
      <c r="N119" s="73" t="str">
        <f>IF(AND($W119&gt;0,ISNUMBER($M119)),$M119/$W119,"")</f>
        <v/>
      </c>
      <c r="O119" s="67" t="n"/>
      <c r="P119" s="73" t="str">
        <f>IF(AND($W119&gt;0,ISNUMBER($O119)),$O119/$W119,"")</f>
        <v/>
      </c>
      <c r="Q119" s="67" t="n"/>
      <c r="R119" s="67" t="n"/>
      <c r="S119" s="67" t="n"/>
      <c r="T119" s="64" t="n"/>
      <c r="U119" s="64" t="n"/>
      <c r="V119" s="65" t="n"/>
      <c r="W119" s="72">
        <f>IF($D119="",0,IF(ISNUMBER($G119),IF($G119&gt;0,$G119,N($F119)),N($F119)))</f>
        <v>0</v>
      </c>
      <c r="X119" s="71" t="str">
        <f>IF(ISNUMBER($A119),YEAR($A119)&amp;"-"&amp;TEXT(MONTH($A119),"00"),"")</f>
        <v/>
      </c>
      <c r="Y119" s="71">
        <f>IF($D119="",0,IF(AND(OR(fClient="All",$B119=fClient),OR(fCampaign="All",$C119=fCampaign),OR(fTeam="All",$T119=fTeam),OR(fChannel="All",fChannel="Email",fChannel="Content Syndication"),OR(fMonth="All",$X119=fMonth)),1,0))</f>
        <v>0</v>
      </c>
      <c r="Z119" s="71">
        <f>IF($D119="",0,IF(AND(OR(fClient="All",$B119=fClient),OR(fCampaign="All",$C119=fCampaign),OR(fTeam="All",$T119=fTeam),OR(fChannel="All",fChannel="Email",fChannel="Content Syndication")),1,0))</f>
        <v>0</v>
      </c>
    </row>
    <row r="120">
      <c r="A120" s="63" t="n"/>
      <c r="B120" s="64" t="n"/>
      <c r="C120" s="64" t="n"/>
      <c r="D120" s="64" t="n"/>
      <c r="E120" s="67" t="n"/>
      <c r="F120" s="67" t="n"/>
      <c r="G120" s="67" t="n"/>
      <c r="H120" s="67" t="n"/>
      <c r="I120" s="67" t="n"/>
      <c r="J120" s="73" t="str">
        <f>IF(AND($W120&gt;0,ISNUMBER($I120)),$I120/$W120,"")</f>
        <v/>
      </c>
      <c r="K120" s="67" t="n"/>
      <c r="L120" s="73" t="str">
        <f>IF(AND($W120&gt;0,ISNUMBER($K120)),$K120/$W120,"")</f>
        <v/>
      </c>
      <c r="M120" s="67" t="n"/>
      <c r="N120" s="73" t="str">
        <f>IF(AND($W120&gt;0,ISNUMBER($M120)),$M120/$W120,"")</f>
        <v/>
      </c>
      <c r="O120" s="67" t="n"/>
      <c r="P120" s="73" t="str">
        <f>IF(AND($W120&gt;0,ISNUMBER($O120)),$O120/$W120,"")</f>
        <v/>
      </c>
      <c r="Q120" s="67" t="n"/>
      <c r="R120" s="67" t="n"/>
      <c r="S120" s="67" t="n"/>
      <c r="T120" s="64" t="n"/>
      <c r="U120" s="64" t="n"/>
      <c r="V120" s="65" t="n"/>
      <c r="W120" s="72">
        <f>IF($D120="",0,IF(ISNUMBER($G120),IF($G120&gt;0,$G120,N($F120)),N($F120)))</f>
        <v>0</v>
      </c>
      <c r="X120" s="71" t="str">
        <f>IF(ISNUMBER($A120),YEAR($A120)&amp;"-"&amp;TEXT(MONTH($A120),"00"),"")</f>
        <v/>
      </c>
      <c r="Y120" s="71">
        <f>IF($D120="",0,IF(AND(OR(fClient="All",$B120=fClient),OR(fCampaign="All",$C120=fCampaign),OR(fTeam="All",$T120=fTeam),OR(fChannel="All",fChannel="Email",fChannel="Content Syndication"),OR(fMonth="All",$X120=fMonth)),1,0))</f>
        <v>0</v>
      </c>
      <c r="Z120" s="71">
        <f>IF($D120="",0,IF(AND(OR(fClient="All",$B120=fClient),OR(fCampaign="All",$C120=fCampaign),OR(fTeam="All",$T120=fTeam),OR(fChannel="All",fChannel="Email",fChannel="Content Syndication")),1,0))</f>
        <v>0</v>
      </c>
    </row>
    <row r="121">
      <c r="A121" s="63" t="n"/>
      <c r="B121" s="64" t="n"/>
      <c r="C121" s="64" t="n"/>
      <c r="D121" s="64" t="n"/>
      <c r="E121" s="67" t="n"/>
      <c r="F121" s="67" t="n"/>
      <c r="G121" s="67" t="n"/>
      <c r="H121" s="67" t="n"/>
      <c r="I121" s="67" t="n"/>
      <c r="J121" s="73" t="str">
        <f>IF(AND($W121&gt;0,ISNUMBER($I121)),$I121/$W121,"")</f>
        <v/>
      </c>
      <c r="K121" s="67" t="n"/>
      <c r="L121" s="73" t="str">
        <f>IF(AND($W121&gt;0,ISNUMBER($K121)),$K121/$W121,"")</f>
        <v/>
      </c>
      <c r="M121" s="67" t="n"/>
      <c r="N121" s="73" t="str">
        <f>IF(AND($W121&gt;0,ISNUMBER($M121)),$M121/$W121,"")</f>
        <v/>
      </c>
      <c r="O121" s="67" t="n"/>
      <c r="P121" s="73" t="str">
        <f>IF(AND($W121&gt;0,ISNUMBER($O121)),$O121/$W121,"")</f>
        <v/>
      </c>
      <c r="Q121" s="67" t="n"/>
      <c r="R121" s="67" t="n"/>
      <c r="S121" s="67" t="n"/>
      <c r="T121" s="64" t="n"/>
      <c r="U121" s="64" t="n"/>
      <c r="V121" s="65" t="n"/>
      <c r="W121" s="72">
        <f>IF($D121="",0,IF(ISNUMBER($G121),IF($G121&gt;0,$G121,N($F121)),N($F121)))</f>
        <v>0</v>
      </c>
      <c r="X121" s="71" t="str">
        <f>IF(ISNUMBER($A121),YEAR($A121)&amp;"-"&amp;TEXT(MONTH($A121),"00"),"")</f>
        <v/>
      </c>
      <c r="Y121" s="71">
        <f>IF($D121="",0,IF(AND(OR(fClient="All",$B121=fClient),OR(fCampaign="All",$C121=fCampaign),OR(fTeam="All",$T121=fTeam),OR(fChannel="All",fChannel="Email",fChannel="Content Syndication"),OR(fMonth="All",$X121=fMonth)),1,0))</f>
        <v>0</v>
      </c>
      <c r="Z121" s="71">
        <f>IF($D121="",0,IF(AND(OR(fClient="All",$B121=fClient),OR(fCampaign="All",$C121=fCampaign),OR(fTeam="All",$T121=fTeam),OR(fChannel="All",fChannel="Email",fChannel="Content Syndication")),1,0))</f>
        <v>0</v>
      </c>
    </row>
    <row r="122">
      <c r="A122" s="63" t="n"/>
      <c r="B122" s="64" t="n"/>
      <c r="C122" s="64" t="n"/>
      <c r="D122" s="64" t="n"/>
      <c r="E122" s="67" t="n"/>
      <c r="F122" s="67" t="n"/>
      <c r="G122" s="67" t="n"/>
      <c r="H122" s="67" t="n"/>
      <c r="I122" s="67" t="n"/>
      <c r="J122" s="73" t="str">
        <f>IF(AND($W122&gt;0,ISNUMBER($I122)),$I122/$W122,"")</f>
        <v/>
      </c>
      <c r="K122" s="67" t="n"/>
      <c r="L122" s="73" t="str">
        <f>IF(AND($W122&gt;0,ISNUMBER($K122)),$K122/$W122,"")</f>
        <v/>
      </c>
      <c r="M122" s="67" t="n"/>
      <c r="N122" s="73" t="str">
        <f>IF(AND($W122&gt;0,ISNUMBER($M122)),$M122/$W122,"")</f>
        <v/>
      </c>
      <c r="O122" s="67" t="n"/>
      <c r="P122" s="73" t="str">
        <f>IF(AND($W122&gt;0,ISNUMBER($O122)),$O122/$W122,"")</f>
        <v/>
      </c>
      <c r="Q122" s="67" t="n"/>
      <c r="R122" s="67" t="n"/>
      <c r="S122" s="67" t="n"/>
      <c r="T122" s="64" t="n"/>
      <c r="U122" s="64" t="n"/>
      <c r="V122" s="65" t="n"/>
      <c r="W122" s="72">
        <f>IF($D122="",0,IF(ISNUMBER($G122),IF($G122&gt;0,$G122,N($F122)),N($F122)))</f>
        <v>0</v>
      </c>
      <c r="X122" s="71" t="str">
        <f>IF(ISNUMBER($A122),YEAR($A122)&amp;"-"&amp;TEXT(MONTH($A122),"00"),"")</f>
        <v/>
      </c>
      <c r="Y122" s="71">
        <f>IF($D122="",0,IF(AND(OR(fClient="All",$B122=fClient),OR(fCampaign="All",$C122=fCampaign),OR(fTeam="All",$T122=fTeam),OR(fChannel="All",fChannel="Email",fChannel="Content Syndication"),OR(fMonth="All",$X122=fMonth)),1,0))</f>
        <v>0</v>
      </c>
      <c r="Z122" s="71">
        <f>IF($D122="",0,IF(AND(OR(fClient="All",$B122=fClient),OR(fCampaign="All",$C122=fCampaign),OR(fTeam="All",$T122=fTeam),OR(fChannel="All",fChannel="Email",fChannel="Content Syndication")),1,0))</f>
        <v>0</v>
      </c>
    </row>
    <row r="123">
      <c r="A123" s="63" t="n"/>
      <c r="B123" s="64" t="n"/>
      <c r="C123" s="64" t="n"/>
      <c r="D123" s="64" t="n"/>
      <c r="E123" s="67" t="n"/>
      <c r="F123" s="67" t="n"/>
      <c r="G123" s="67" t="n"/>
      <c r="H123" s="67" t="n"/>
      <c r="I123" s="67" t="n"/>
      <c r="J123" s="73" t="str">
        <f>IF(AND($W123&gt;0,ISNUMBER($I123)),$I123/$W123,"")</f>
        <v/>
      </c>
      <c r="K123" s="67" t="n"/>
      <c r="L123" s="73" t="str">
        <f>IF(AND($W123&gt;0,ISNUMBER($K123)),$K123/$W123,"")</f>
        <v/>
      </c>
      <c r="M123" s="67" t="n"/>
      <c r="N123" s="73" t="str">
        <f>IF(AND($W123&gt;0,ISNUMBER($M123)),$M123/$W123,"")</f>
        <v/>
      </c>
      <c r="O123" s="67" t="n"/>
      <c r="P123" s="73" t="str">
        <f>IF(AND($W123&gt;0,ISNUMBER($O123)),$O123/$W123,"")</f>
        <v/>
      </c>
      <c r="Q123" s="67" t="n"/>
      <c r="R123" s="67" t="n"/>
      <c r="S123" s="67" t="n"/>
      <c r="T123" s="64" t="n"/>
      <c r="U123" s="64" t="n"/>
      <c r="V123" s="65" t="n"/>
      <c r="W123" s="72">
        <f>IF($D123="",0,IF(ISNUMBER($G123),IF($G123&gt;0,$G123,N($F123)),N($F123)))</f>
        <v>0</v>
      </c>
      <c r="X123" s="71" t="str">
        <f>IF(ISNUMBER($A123),YEAR($A123)&amp;"-"&amp;TEXT(MONTH($A123),"00"),"")</f>
        <v/>
      </c>
      <c r="Y123" s="71">
        <f>IF($D123="",0,IF(AND(OR(fClient="All",$B123=fClient),OR(fCampaign="All",$C123=fCampaign),OR(fTeam="All",$T123=fTeam),OR(fChannel="All",fChannel="Email",fChannel="Content Syndication"),OR(fMonth="All",$X123=fMonth)),1,0))</f>
        <v>0</v>
      </c>
      <c r="Z123" s="71">
        <f>IF($D123="",0,IF(AND(OR(fClient="All",$B123=fClient),OR(fCampaign="All",$C123=fCampaign),OR(fTeam="All",$T123=fTeam),OR(fChannel="All",fChannel="Email",fChannel="Content Syndication")),1,0))</f>
        <v>0</v>
      </c>
    </row>
    <row r="124">
      <c r="A124" s="63" t="n"/>
      <c r="B124" s="64" t="n"/>
      <c r="C124" s="64" t="n"/>
      <c r="D124" s="64" t="n"/>
      <c r="E124" s="67" t="n"/>
      <c r="F124" s="67" t="n"/>
      <c r="G124" s="67" t="n"/>
      <c r="H124" s="67" t="n"/>
      <c r="I124" s="67" t="n"/>
      <c r="J124" s="73" t="str">
        <f>IF(AND($W124&gt;0,ISNUMBER($I124)),$I124/$W124,"")</f>
        <v/>
      </c>
      <c r="K124" s="67" t="n"/>
      <c r="L124" s="73" t="str">
        <f>IF(AND($W124&gt;0,ISNUMBER($K124)),$K124/$W124,"")</f>
        <v/>
      </c>
      <c r="M124" s="67" t="n"/>
      <c r="N124" s="73" t="str">
        <f>IF(AND($W124&gt;0,ISNUMBER($M124)),$M124/$W124,"")</f>
        <v/>
      </c>
      <c r="O124" s="67" t="n"/>
      <c r="P124" s="73" t="str">
        <f>IF(AND($W124&gt;0,ISNUMBER($O124)),$O124/$W124,"")</f>
        <v/>
      </c>
      <c r="Q124" s="67" t="n"/>
      <c r="R124" s="67" t="n"/>
      <c r="S124" s="67" t="n"/>
      <c r="T124" s="64" t="n"/>
      <c r="U124" s="64" t="n"/>
      <c r="V124" s="65" t="n"/>
      <c r="W124" s="72">
        <f>IF($D124="",0,IF(ISNUMBER($G124),IF($G124&gt;0,$G124,N($F124)),N($F124)))</f>
        <v>0</v>
      </c>
      <c r="X124" s="71" t="str">
        <f>IF(ISNUMBER($A124),YEAR($A124)&amp;"-"&amp;TEXT(MONTH($A124),"00"),"")</f>
        <v/>
      </c>
      <c r="Y124" s="71">
        <f>IF($D124="",0,IF(AND(OR(fClient="All",$B124=fClient),OR(fCampaign="All",$C124=fCampaign),OR(fTeam="All",$T124=fTeam),OR(fChannel="All",fChannel="Email",fChannel="Content Syndication"),OR(fMonth="All",$X124=fMonth)),1,0))</f>
        <v>0</v>
      </c>
      <c r="Z124" s="71">
        <f>IF($D124="",0,IF(AND(OR(fClient="All",$B124=fClient),OR(fCampaign="All",$C124=fCampaign),OR(fTeam="All",$T124=fTeam),OR(fChannel="All",fChannel="Email",fChannel="Content Syndication")),1,0))</f>
        <v>0</v>
      </c>
    </row>
    <row r="125">
      <c r="A125" s="63" t="n"/>
      <c r="B125" s="64" t="n"/>
      <c r="C125" s="64" t="n"/>
      <c r="D125" s="64" t="n"/>
      <c r="E125" s="67" t="n"/>
      <c r="F125" s="67" t="n"/>
      <c r="G125" s="67" t="n"/>
      <c r="H125" s="67" t="n"/>
      <c r="I125" s="67" t="n"/>
      <c r="J125" s="73" t="str">
        <f>IF(AND($W125&gt;0,ISNUMBER($I125)),$I125/$W125,"")</f>
        <v/>
      </c>
      <c r="K125" s="67" t="n"/>
      <c r="L125" s="73" t="str">
        <f>IF(AND($W125&gt;0,ISNUMBER($K125)),$K125/$W125,"")</f>
        <v/>
      </c>
      <c r="M125" s="67" t="n"/>
      <c r="N125" s="73" t="str">
        <f>IF(AND($W125&gt;0,ISNUMBER($M125)),$M125/$W125,"")</f>
        <v/>
      </c>
      <c r="O125" s="67" t="n"/>
      <c r="P125" s="73" t="str">
        <f>IF(AND($W125&gt;0,ISNUMBER($O125)),$O125/$W125,"")</f>
        <v/>
      </c>
      <c r="Q125" s="67" t="n"/>
      <c r="R125" s="67" t="n"/>
      <c r="S125" s="67" t="n"/>
      <c r="T125" s="64" t="n"/>
      <c r="U125" s="64" t="n"/>
      <c r="V125" s="65" t="n"/>
      <c r="W125" s="72">
        <f>IF($D125="",0,IF(ISNUMBER($G125),IF($G125&gt;0,$G125,N($F125)),N($F125)))</f>
        <v>0</v>
      </c>
      <c r="X125" s="71" t="str">
        <f>IF(ISNUMBER($A125),YEAR($A125)&amp;"-"&amp;TEXT(MONTH($A125),"00"),"")</f>
        <v/>
      </c>
      <c r="Y125" s="71">
        <f>IF($D125="",0,IF(AND(OR(fClient="All",$B125=fClient),OR(fCampaign="All",$C125=fCampaign),OR(fTeam="All",$T125=fTeam),OR(fChannel="All",fChannel="Email",fChannel="Content Syndication"),OR(fMonth="All",$X125=fMonth)),1,0))</f>
        <v>0</v>
      </c>
      <c r="Z125" s="71">
        <f>IF($D125="",0,IF(AND(OR(fClient="All",$B125=fClient),OR(fCampaign="All",$C125=fCampaign),OR(fTeam="All",$T125=fTeam),OR(fChannel="All",fChannel="Email",fChannel="Content Syndication")),1,0))</f>
        <v>0</v>
      </c>
    </row>
    <row r="126">
      <c r="A126" s="63" t="n"/>
      <c r="B126" s="64" t="n"/>
      <c r="C126" s="64" t="n"/>
      <c r="D126" s="64" t="n"/>
      <c r="E126" s="67" t="n"/>
      <c r="F126" s="67" t="n"/>
      <c r="G126" s="67" t="n"/>
      <c r="H126" s="67" t="n"/>
      <c r="I126" s="67" t="n"/>
      <c r="J126" s="73" t="str">
        <f>IF(AND($W126&gt;0,ISNUMBER($I126)),$I126/$W126,"")</f>
        <v/>
      </c>
      <c r="K126" s="67" t="n"/>
      <c r="L126" s="73" t="str">
        <f>IF(AND($W126&gt;0,ISNUMBER($K126)),$K126/$W126,"")</f>
        <v/>
      </c>
      <c r="M126" s="67" t="n"/>
      <c r="N126" s="73" t="str">
        <f>IF(AND($W126&gt;0,ISNUMBER($M126)),$M126/$W126,"")</f>
        <v/>
      </c>
      <c r="O126" s="67" t="n"/>
      <c r="P126" s="73" t="str">
        <f>IF(AND($W126&gt;0,ISNUMBER($O126)),$O126/$W126,"")</f>
        <v/>
      </c>
      <c r="Q126" s="67" t="n"/>
      <c r="R126" s="67" t="n"/>
      <c r="S126" s="67" t="n"/>
      <c r="T126" s="64" t="n"/>
      <c r="U126" s="64" t="n"/>
      <c r="V126" s="65" t="n"/>
      <c r="W126" s="72">
        <f>IF($D126="",0,IF(ISNUMBER($G126),IF($G126&gt;0,$G126,N($F126)),N($F126)))</f>
        <v>0</v>
      </c>
      <c r="X126" s="71" t="str">
        <f>IF(ISNUMBER($A126),YEAR($A126)&amp;"-"&amp;TEXT(MONTH($A126),"00"),"")</f>
        <v/>
      </c>
      <c r="Y126" s="71">
        <f>IF($D126="",0,IF(AND(OR(fClient="All",$B126=fClient),OR(fCampaign="All",$C126=fCampaign),OR(fTeam="All",$T126=fTeam),OR(fChannel="All",fChannel="Email",fChannel="Content Syndication"),OR(fMonth="All",$X126=fMonth)),1,0))</f>
        <v>0</v>
      </c>
      <c r="Z126" s="71">
        <f>IF($D126="",0,IF(AND(OR(fClient="All",$B126=fClient),OR(fCampaign="All",$C126=fCampaign),OR(fTeam="All",$T126=fTeam),OR(fChannel="All",fChannel="Email",fChannel="Content Syndication")),1,0))</f>
        <v>0</v>
      </c>
    </row>
    <row r="127">
      <c r="A127" s="63" t="n"/>
      <c r="B127" s="64" t="n"/>
      <c r="C127" s="64" t="n"/>
      <c r="D127" s="64" t="n"/>
      <c r="E127" s="67" t="n"/>
      <c r="F127" s="67" t="n"/>
      <c r="G127" s="67" t="n"/>
      <c r="H127" s="67" t="n"/>
      <c r="I127" s="67" t="n"/>
      <c r="J127" s="73" t="str">
        <f>IF(AND($W127&gt;0,ISNUMBER($I127)),$I127/$W127,"")</f>
        <v/>
      </c>
      <c r="K127" s="67" t="n"/>
      <c r="L127" s="73" t="str">
        <f>IF(AND($W127&gt;0,ISNUMBER($K127)),$K127/$W127,"")</f>
        <v/>
      </c>
      <c r="M127" s="67" t="n"/>
      <c r="N127" s="73" t="str">
        <f>IF(AND($W127&gt;0,ISNUMBER($M127)),$M127/$W127,"")</f>
        <v/>
      </c>
      <c r="O127" s="67" t="n"/>
      <c r="P127" s="73" t="str">
        <f>IF(AND($W127&gt;0,ISNUMBER($O127)),$O127/$W127,"")</f>
        <v/>
      </c>
      <c r="Q127" s="67" t="n"/>
      <c r="R127" s="67" t="n"/>
      <c r="S127" s="67" t="n"/>
      <c r="T127" s="64" t="n"/>
      <c r="U127" s="64" t="n"/>
      <c r="V127" s="65" t="n"/>
      <c r="W127" s="72">
        <f>IF($D127="",0,IF(ISNUMBER($G127),IF($G127&gt;0,$G127,N($F127)),N($F127)))</f>
        <v>0</v>
      </c>
      <c r="X127" s="71" t="str">
        <f>IF(ISNUMBER($A127),YEAR($A127)&amp;"-"&amp;TEXT(MONTH($A127),"00"),"")</f>
        <v/>
      </c>
      <c r="Y127" s="71">
        <f>IF($D127="",0,IF(AND(OR(fClient="All",$B127=fClient),OR(fCampaign="All",$C127=fCampaign),OR(fTeam="All",$T127=fTeam),OR(fChannel="All",fChannel="Email",fChannel="Content Syndication"),OR(fMonth="All",$X127=fMonth)),1,0))</f>
        <v>0</v>
      </c>
      <c r="Z127" s="71">
        <f>IF($D127="",0,IF(AND(OR(fClient="All",$B127=fClient),OR(fCampaign="All",$C127=fCampaign),OR(fTeam="All",$T127=fTeam),OR(fChannel="All",fChannel="Email",fChannel="Content Syndication")),1,0))</f>
        <v>0</v>
      </c>
    </row>
    <row r="128">
      <c r="A128" s="63" t="n"/>
      <c r="B128" s="64" t="n"/>
      <c r="C128" s="64" t="n"/>
      <c r="D128" s="64" t="n"/>
      <c r="E128" s="67" t="n"/>
      <c r="F128" s="67" t="n"/>
      <c r="G128" s="67" t="n"/>
      <c r="H128" s="67" t="n"/>
      <c r="I128" s="67" t="n"/>
      <c r="J128" s="73" t="str">
        <f>IF(AND($W128&gt;0,ISNUMBER($I128)),$I128/$W128,"")</f>
        <v/>
      </c>
      <c r="K128" s="67" t="n"/>
      <c r="L128" s="73" t="str">
        <f>IF(AND($W128&gt;0,ISNUMBER($K128)),$K128/$W128,"")</f>
        <v/>
      </c>
      <c r="M128" s="67" t="n"/>
      <c r="N128" s="73" t="str">
        <f>IF(AND($W128&gt;0,ISNUMBER($M128)),$M128/$W128,"")</f>
        <v/>
      </c>
      <c r="O128" s="67" t="n"/>
      <c r="P128" s="73" t="str">
        <f>IF(AND($W128&gt;0,ISNUMBER($O128)),$O128/$W128,"")</f>
        <v/>
      </c>
      <c r="Q128" s="67" t="n"/>
      <c r="R128" s="67" t="n"/>
      <c r="S128" s="67" t="n"/>
      <c r="T128" s="64" t="n"/>
      <c r="U128" s="64" t="n"/>
      <c r="V128" s="65" t="n"/>
      <c r="W128" s="72">
        <f>IF($D128="",0,IF(ISNUMBER($G128),IF($G128&gt;0,$G128,N($F128)),N($F128)))</f>
        <v>0</v>
      </c>
      <c r="X128" s="71" t="str">
        <f>IF(ISNUMBER($A128),YEAR($A128)&amp;"-"&amp;TEXT(MONTH($A128),"00"),"")</f>
        <v/>
      </c>
      <c r="Y128" s="71">
        <f>IF($D128="",0,IF(AND(OR(fClient="All",$B128=fClient),OR(fCampaign="All",$C128=fCampaign),OR(fTeam="All",$T128=fTeam),OR(fChannel="All",fChannel="Email",fChannel="Content Syndication"),OR(fMonth="All",$X128=fMonth)),1,0))</f>
        <v>0</v>
      </c>
      <c r="Z128" s="71">
        <f>IF($D128="",0,IF(AND(OR(fClient="All",$B128=fClient),OR(fCampaign="All",$C128=fCampaign),OR(fTeam="All",$T128=fTeam),OR(fChannel="All",fChannel="Email",fChannel="Content Syndication")),1,0))</f>
        <v>0</v>
      </c>
    </row>
    <row r="129">
      <c r="A129" s="63" t="n"/>
      <c r="B129" s="64" t="n"/>
      <c r="C129" s="64" t="n"/>
      <c r="D129" s="64" t="n"/>
      <c r="E129" s="67" t="n"/>
      <c r="F129" s="67" t="n"/>
      <c r="G129" s="67" t="n"/>
      <c r="H129" s="67" t="n"/>
      <c r="I129" s="67" t="n"/>
      <c r="J129" s="73" t="str">
        <f>IF(AND($W129&gt;0,ISNUMBER($I129)),$I129/$W129,"")</f>
        <v/>
      </c>
      <c r="K129" s="67" t="n"/>
      <c r="L129" s="73" t="str">
        <f>IF(AND($W129&gt;0,ISNUMBER($K129)),$K129/$W129,"")</f>
        <v/>
      </c>
      <c r="M129" s="67" t="n"/>
      <c r="N129" s="73" t="str">
        <f>IF(AND($W129&gt;0,ISNUMBER($M129)),$M129/$W129,"")</f>
        <v/>
      </c>
      <c r="O129" s="67" t="n"/>
      <c r="P129" s="73" t="str">
        <f>IF(AND($W129&gt;0,ISNUMBER($O129)),$O129/$W129,"")</f>
        <v/>
      </c>
      <c r="Q129" s="67" t="n"/>
      <c r="R129" s="67" t="n"/>
      <c r="S129" s="67" t="n"/>
      <c r="T129" s="64" t="n"/>
      <c r="U129" s="64" t="n"/>
      <c r="V129" s="65" t="n"/>
      <c r="W129" s="72">
        <f>IF($D129="",0,IF(ISNUMBER($G129),IF($G129&gt;0,$G129,N($F129)),N($F129)))</f>
        <v>0</v>
      </c>
      <c r="X129" s="71" t="str">
        <f>IF(ISNUMBER($A129),YEAR($A129)&amp;"-"&amp;TEXT(MONTH($A129),"00"),"")</f>
        <v/>
      </c>
      <c r="Y129" s="71">
        <f>IF($D129="",0,IF(AND(OR(fClient="All",$B129=fClient),OR(fCampaign="All",$C129=fCampaign),OR(fTeam="All",$T129=fTeam),OR(fChannel="All",fChannel="Email",fChannel="Content Syndication"),OR(fMonth="All",$X129=fMonth)),1,0))</f>
        <v>0</v>
      </c>
      <c r="Z129" s="71">
        <f>IF($D129="",0,IF(AND(OR(fClient="All",$B129=fClient),OR(fCampaign="All",$C129=fCampaign),OR(fTeam="All",$T129=fTeam),OR(fChannel="All",fChannel="Email",fChannel="Content Syndication")),1,0))</f>
        <v>0</v>
      </c>
    </row>
    <row r="130">
      <c r="A130" s="63" t="n"/>
      <c r="B130" s="64" t="n"/>
      <c r="C130" s="64" t="n"/>
      <c r="D130" s="64" t="n"/>
      <c r="E130" s="67" t="n"/>
      <c r="F130" s="67" t="n"/>
      <c r="G130" s="67" t="n"/>
      <c r="H130" s="67" t="n"/>
      <c r="I130" s="67" t="n"/>
      <c r="J130" s="73" t="str">
        <f>IF(AND($W130&gt;0,ISNUMBER($I130)),$I130/$W130,"")</f>
        <v/>
      </c>
      <c r="K130" s="67" t="n"/>
      <c r="L130" s="73" t="str">
        <f>IF(AND($W130&gt;0,ISNUMBER($K130)),$K130/$W130,"")</f>
        <v/>
      </c>
      <c r="M130" s="67" t="n"/>
      <c r="N130" s="73" t="str">
        <f>IF(AND($W130&gt;0,ISNUMBER($M130)),$M130/$W130,"")</f>
        <v/>
      </c>
      <c r="O130" s="67" t="n"/>
      <c r="P130" s="73" t="str">
        <f>IF(AND($W130&gt;0,ISNUMBER($O130)),$O130/$W130,"")</f>
        <v/>
      </c>
      <c r="Q130" s="67" t="n"/>
      <c r="R130" s="67" t="n"/>
      <c r="S130" s="67" t="n"/>
      <c r="T130" s="64" t="n"/>
      <c r="U130" s="64" t="n"/>
      <c r="V130" s="65" t="n"/>
      <c r="W130" s="72">
        <f>IF($D130="",0,IF(ISNUMBER($G130),IF($G130&gt;0,$G130,N($F130)),N($F130)))</f>
        <v>0</v>
      </c>
      <c r="X130" s="71" t="str">
        <f>IF(ISNUMBER($A130),YEAR($A130)&amp;"-"&amp;TEXT(MONTH($A130),"00"),"")</f>
        <v/>
      </c>
      <c r="Y130" s="71">
        <f>IF($D130="",0,IF(AND(OR(fClient="All",$B130=fClient),OR(fCampaign="All",$C130=fCampaign),OR(fTeam="All",$T130=fTeam),OR(fChannel="All",fChannel="Email",fChannel="Content Syndication"),OR(fMonth="All",$X130=fMonth)),1,0))</f>
        <v>0</v>
      </c>
      <c r="Z130" s="71">
        <f>IF($D130="",0,IF(AND(OR(fClient="All",$B130=fClient),OR(fCampaign="All",$C130=fCampaign),OR(fTeam="All",$T130=fTeam),OR(fChannel="All",fChannel="Email",fChannel="Content Syndication")),1,0))</f>
        <v>0</v>
      </c>
    </row>
    <row r="131">
      <c r="A131" s="63" t="n"/>
      <c r="B131" s="64" t="n"/>
      <c r="C131" s="64" t="n"/>
      <c r="D131" s="64" t="n"/>
      <c r="E131" s="67" t="n"/>
      <c r="F131" s="67" t="n"/>
      <c r="G131" s="67" t="n"/>
      <c r="H131" s="67" t="n"/>
      <c r="I131" s="67" t="n"/>
      <c r="J131" s="73" t="str">
        <f>IF(AND($W131&gt;0,ISNUMBER($I131)),$I131/$W131,"")</f>
        <v/>
      </c>
      <c r="K131" s="67" t="n"/>
      <c r="L131" s="73" t="str">
        <f>IF(AND($W131&gt;0,ISNUMBER($K131)),$K131/$W131,"")</f>
        <v/>
      </c>
      <c r="M131" s="67" t="n"/>
      <c r="N131" s="73" t="str">
        <f>IF(AND($W131&gt;0,ISNUMBER($M131)),$M131/$W131,"")</f>
        <v/>
      </c>
      <c r="O131" s="67" t="n"/>
      <c r="P131" s="73" t="str">
        <f>IF(AND($W131&gt;0,ISNUMBER($O131)),$O131/$W131,"")</f>
        <v/>
      </c>
      <c r="Q131" s="67" t="n"/>
      <c r="R131" s="67" t="n"/>
      <c r="S131" s="67" t="n"/>
      <c r="T131" s="64" t="n"/>
      <c r="U131" s="64" t="n"/>
      <c r="V131" s="65" t="n"/>
      <c r="W131" s="72">
        <f>IF($D131="",0,IF(ISNUMBER($G131),IF($G131&gt;0,$G131,N($F131)),N($F131)))</f>
        <v>0</v>
      </c>
      <c r="X131" s="71" t="str">
        <f>IF(ISNUMBER($A131),YEAR($A131)&amp;"-"&amp;TEXT(MONTH($A131),"00"),"")</f>
        <v/>
      </c>
      <c r="Y131" s="71">
        <f>IF($D131="",0,IF(AND(OR(fClient="All",$B131=fClient),OR(fCampaign="All",$C131=fCampaign),OR(fTeam="All",$T131=fTeam),OR(fChannel="All",fChannel="Email",fChannel="Content Syndication"),OR(fMonth="All",$X131=fMonth)),1,0))</f>
        <v>0</v>
      </c>
      <c r="Z131" s="71">
        <f>IF($D131="",0,IF(AND(OR(fClient="All",$B131=fClient),OR(fCampaign="All",$C131=fCampaign),OR(fTeam="All",$T131=fTeam),OR(fChannel="All",fChannel="Email",fChannel="Content Syndication")),1,0))</f>
        <v>0</v>
      </c>
    </row>
    <row r="132">
      <c r="A132" s="63" t="n"/>
      <c r="B132" s="64" t="n"/>
      <c r="C132" s="64" t="n"/>
      <c r="D132" s="64" t="n"/>
      <c r="E132" s="67" t="n"/>
      <c r="F132" s="67" t="n"/>
      <c r="G132" s="67" t="n"/>
      <c r="H132" s="67" t="n"/>
      <c r="I132" s="67" t="n"/>
      <c r="J132" s="73" t="str">
        <f>IF(AND($W132&gt;0,ISNUMBER($I132)),$I132/$W132,"")</f>
        <v/>
      </c>
      <c r="K132" s="67" t="n"/>
      <c r="L132" s="73" t="str">
        <f>IF(AND($W132&gt;0,ISNUMBER($K132)),$K132/$W132,"")</f>
        <v/>
      </c>
      <c r="M132" s="67" t="n"/>
      <c r="N132" s="73" t="str">
        <f>IF(AND($W132&gt;0,ISNUMBER($M132)),$M132/$W132,"")</f>
        <v/>
      </c>
      <c r="O132" s="67" t="n"/>
      <c r="P132" s="73" t="str">
        <f>IF(AND($W132&gt;0,ISNUMBER($O132)),$O132/$W132,"")</f>
        <v/>
      </c>
      <c r="Q132" s="67" t="n"/>
      <c r="R132" s="67" t="n"/>
      <c r="S132" s="67" t="n"/>
      <c r="T132" s="64" t="n"/>
      <c r="U132" s="64" t="n"/>
      <c r="V132" s="65" t="n"/>
      <c r="W132" s="72">
        <f>IF($D132="",0,IF(ISNUMBER($G132),IF($G132&gt;0,$G132,N($F132)),N($F132)))</f>
        <v>0</v>
      </c>
      <c r="X132" s="71" t="str">
        <f>IF(ISNUMBER($A132),YEAR($A132)&amp;"-"&amp;TEXT(MONTH($A132),"00"),"")</f>
        <v/>
      </c>
      <c r="Y132" s="71">
        <f>IF($D132="",0,IF(AND(OR(fClient="All",$B132=fClient),OR(fCampaign="All",$C132=fCampaign),OR(fTeam="All",$T132=fTeam),OR(fChannel="All",fChannel="Email",fChannel="Content Syndication"),OR(fMonth="All",$X132=fMonth)),1,0))</f>
        <v>0</v>
      </c>
      <c r="Z132" s="71">
        <f>IF($D132="",0,IF(AND(OR(fClient="All",$B132=fClient),OR(fCampaign="All",$C132=fCampaign),OR(fTeam="All",$T132=fTeam),OR(fChannel="All",fChannel="Email",fChannel="Content Syndication")),1,0))</f>
        <v>0</v>
      </c>
    </row>
    <row r="133">
      <c r="A133" s="63" t="n"/>
      <c r="B133" s="64" t="n"/>
      <c r="C133" s="64" t="n"/>
      <c r="D133" s="64" t="n"/>
      <c r="E133" s="67" t="n"/>
      <c r="F133" s="67" t="n"/>
      <c r="G133" s="67" t="n"/>
      <c r="H133" s="67" t="n"/>
      <c r="I133" s="67" t="n"/>
      <c r="J133" s="73" t="str">
        <f>IF(AND($W133&gt;0,ISNUMBER($I133)),$I133/$W133,"")</f>
        <v/>
      </c>
      <c r="K133" s="67" t="n"/>
      <c r="L133" s="73" t="str">
        <f>IF(AND($W133&gt;0,ISNUMBER($K133)),$K133/$W133,"")</f>
        <v/>
      </c>
      <c r="M133" s="67" t="n"/>
      <c r="N133" s="73" t="str">
        <f>IF(AND($W133&gt;0,ISNUMBER($M133)),$M133/$W133,"")</f>
        <v/>
      </c>
      <c r="O133" s="67" t="n"/>
      <c r="P133" s="73" t="str">
        <f>IF(AND($W133&gt;0,ISNUMBER($O133)),$O133/$W133,"")</f>
        <v/>
      </c>
      <c r="Q133" s="67" t="n"/>
      <c r="R133" s="67" t="n"/>
      <c r="S133" s="67" t="n"/>
      <c r="T133" s="64" t="n"/>
      <c r="U133" s="64" t="n"/>
      <c r="V133" s="65" t="n"/>
      <c r="W133" s="72">
        <f>IF($D133="",0,IF(ISNUMBER($G133),IF($G133&gt;0,$G133,N($F133)),N($F133)))</f>
        <v>0</v>
      </c>
      <c r="X133" s="71" t="str">
        <f>IF(ISNUMBER($A133),YEAR($A133)&amp;"-"&amp;TEXT(MONTH($A133),"00"),"")</f>
        <v/>
      </c>
      <c r="Y133" s="71">
        <f>IF($D133="",0,IF(AND(OR(fClient="All",$B133=fClient),OR(fCampaign="All",$C133=fCampaign),OR(fTeam="All",$T133=fTeam),OR(fChannel="All",fChannel="Email",fChannel="Content Syndication"),OR(fMonth="All",$X133=fMonth)),1,0))</f>
        <v>0</v>
      </c>
      <c r="Z133" s="71">
        <f>IF($D133="",0,IF(AND(OR(fClient="All",$B133=fClient),OR(fCampaign="All",$C133=fCampaign),OR(fTeam="All",$T133=fTeam),OR(fChannel="All",fChannel="Email",fChannel="Content Syndication")),1,0))</f>
        <v>0</v>
      </c>
    </row>
    <row r="134">
      <c r="A134" s="63" t="n"/>
      <c r="B134" s="64" t="n"/>
      <c r="C134" s="64" t="n"/>
      <c r="D134" s="64" t="n"/>
      <c r="E134" s="67" t="n"/>
      <c r="F134" s="67" t="n"/>
      <c r="G134" s="67" t="n"/>
      <c r="H134" s="67" t="n"/>
      <c r="I134" s="67" t="n"/>
      <c r="J134" s="73" t="str">
        <f>IF(AND($W134&gt;0,ISNUMBER($I134)),$I134/$W134,"")</f>
        <v/>
      </c>
      <c r="K134" s="67" t="n"/>
      <c r="L134" s="73" t="str">
        <f>IF(AND($W134&gt;0,ISNUMBER($K134)),$K134/$W134,"")</f>
        <v/>
      </c>
      <c r="M134" s="67" t="n"/>
      <c r="N134" s="73" t="str">
        <f>IF(AND($W134&gt;0,ISNUMBER($M134)),$M134/$W134,"")</f>
        <v/>
      </c>
      <c r="O134" s="67" t="n"/>
      <c r="P134" s="73" t="str">
        <f>IF(AND($W134&gt;0,ISNUMBER($O134)),$O134/$W134,"")</f>
        <v/>
      </c>
      <c r="Q134" s="67" t="n"/>
      <c r="R134" s="67" t="n"/>
      <c r="S134" s="67" t="n"/>
      <c r="T134" s="64" t="n"/>
      <c r="U134" s="64" t="n"/>
      <c r="V134" s="65" t="n"/>
      <c r="W134" s="72">
        <f>IF($D134="",0,IF(ISNUMBER($G134),IF($G134&gt;0,$G134,N($F134)),N($F134)))</f>
        <v>0</v>
      </c>
      <c r="X134" s="71" t="str">
        <f>IF(ISNUMBER($A134),YEAR($A134)&amp;"-"&amp;TEXT(MONTH($A134),"00"),"")</f>
        <v/>
      </c>
      <c r="Y134" s="71">
        <f>IF($D134="",0,IF(AND(OR(fClient="All",$B134=fClient),OR(fCampaign="All",$C134=fCampaign),OR(fTeam="All",$T134=fTeam),OR(fChannel="All",fChannel="Email",fChannel="Content Syndication"),OR(fMonth="All",$X134=fMonth)),1,0))</f>
        <v>0</v>
      </c>
      <c r="Z134" s="71">
        <f>IF($D134="",0,IF(AND(OR(fClient="All",$B134=fClient),OR(fCampaign="All",$C134=fCampaign),OR(fTeam="All",$T134=fTeam),OR(fChannel="All",fChannel="Email",fChannel="Content Syndication")),1,0))</f>
        <v>0</v>
      </c>
    </row>
    <row r="135">
      <c r="A135" s="63" t="n"/>
      <c r="B135" s="64" t="n"/>
      <c r="C135" s="64" t="n"/>
      <c r="D135" s="64" t="n"/>
      <c r="E135" s="67" t="n"/>
      <c r="F135" s="67" t="n"/>
      <c r="G135" s="67" t="n"/>
      <c r="H135" s="67" t="n"/>
      <c r="I135" s="67" t="n"/>
      <c r="J135" s="73" t="str">
        <f>IF(AND($W135&gt;0,ISNUMBER($I135)),$I135/$W135,"")</f>
        <v/>
      </c>
      <c r="K135" s="67" t="n"/>
      <c r="L135" s="73" t="str">
        <f>IF(AND($W135&gt;0,ISNUMBER($K135)),$K135/$W135,"")</f>
        <v/>
      </c>
      <c r="M135" s="67" t="n"/>
      <c r="N135" s="73" t="str">
        <f>IF(AND($W135&gt;0,ISNUMBER($M135)),$M135/$W135,"")</f>
        <v/>
      </c>
      <c r="O135" s="67" t="n"/>
      <c r="P135" s="73" t="str">
        <f>IF(AND($W135&gt;0,ISNUMBER($O135)),$O135/$W135,"")</f>
        <v/>
      </c>
      <c r="Q135" s="67" t="n"/>
      <c r="R135" s="67" t="n"/>
      <c r="S135" s="67" t="n"/>
      <c r="T135" s="64" t="n"/>
      <c r="U135" s="64" t="n"/>
      <c r="V135" s="65" t="n"/>
      <c r="W135" s="72">
        <f>IF($D135="",0,IF(ISNUMBER($G135),IF($G135&gt;0,$G135,N($F135)),N($F135)))</f>
        <v>0</v>
      </c>
      <c r="X135" s="71" t="str">
        <f>IF(ISNUMBER($A135),YEAR($A135)&amp;"-"&amp;TEXT(MONTH($A135),"00"),"")</f>
        <v/>
      </c>
      <c r="Y135" s="71">
        <f>IF($D135="",0,IF(AND(OR(fClient="All",$B135=fClient),OR(fCampaign="All",$C135=fCampaign),OR(fTeam="All",$T135=fTeam),OR(fChannel="All",fChannel="Email",fChannel="Content Syndication"),OR(fMonth="All",$X135=fMonth)),1,0))</f>
        <v>0</v>
      </c>
      <c r="Z135" s="71">
        <f>IF($D135="",0,IF(AND(OR(fClient="All",$B135=fClient),OR(fCampaign="All",$C135=fCampaign),OR(fTeam="All",$T135=fTeam),OR(fChannel="All",fChannel="Email",fChannel="Content Syndication")),1,0))</f>
        <v>0</v>
      </c>
    </row>
    <row r="136">
      <c r="A136" s="63" t="n"/>
      <c r="B136" s="64" t="n"/>
      <c r="C136" s="64" t="n"/>
      <c r="D136" s="64" t="n"/>
      <c r="E136" s="67" t="n"/>
      <c r="F136" s="67" t="n"/>
      <c r="G136" s="67" t="n"/>
      <c r="H136" s="67" t="n"/>
      <c r="I136" s="67" t="n"/>
      <c r="J136" s="73" t="str">
        <f>IF(AND($W136&gt;0,ISNUMBER($I136)),$I136/$W136,"")</f>
        <v/>
      </c>
      <c r="K136" s="67" t="n"/>
      <c r="L136" s="73" t="str">
        <f>IF(AND($W136&gt;0,ISNUMBER($K136)),$K136/$W136,"")</f>
        <v/>
      </c>
      <c r="M136" s="67" t="n"/>
      <c r="N136" s="73" t="str">
        <f>IF(AND($W136&gt;0,ISNUMBER($M136)),$M136/$W136,"")</f>
        <v/>
      </c>
      <c r="O136" s="67" t="n"/>
      <c r="P136" s="73" t="str">
        <f>IF(AND($W136&gt;0,ISNUMBER($O136)),$O136/$W136,"")</f>
        <v/>
      </c>
      <c r="Q136" s="67" t="n"/>
      <c r="R136" s="67" t="n"/>
      <c r="S136" s="67" t="n"/>
      <c r="T136" s="64" t="n"/>
      <c r="U136" s="64" t="n"/>
      <c r="V136" s="65" t="n"/>
      <c r="W136" s="72">
        <f>IF($D136="",0,IF(ISNUMBER($G136),IF($G136&gt;0,$G136,N($F136)),N($F136)))</f>
        <v>0</v>
      </c>
      <c r="X136" s="71" t="str">
        <f>IF(ISNUMBER($A136),YEAR($A136)&amp;"-"&amp;TEXT(MONTH($A136),"00"),"")</f>
        <v/>
      </c>
      <c r="Y136" s="71">
        <f>IF($D136="",0,IF(AND(OR(fClient="All",$B136=fClient),OR(fCampaign="All",$C136=fCampaign),OR(fTeam="All",$T136=fTeam),OR(fChannel="All",fChannel="Email",fChannel="Content Syndication"),OR(fMonth="All",$X136=fMonth)),1,0))</f>
        <v>0</v>
      </c>
      <c r="Z136" s="71">
        <f>IF($D136="",0,IF(AND(OR(fClient="All",$B136=fClient),OR(fCampaign="All",$C136=fCampaign),OR(fTeam="All",$T136=fTeam),OR(fChannel="All",fChannel="Email",fChannel="Content Syndication")),1,0))</f>
        <v>0</v>
      </c>
    </row>
    <row r="137">
      <c r="A137" s="63" t="n"/>
      <c r="B137" s="64" t="n"/>
      <c r="C137" s="64" t="n"/>
      <c r="D137" s="64" t="n"/>
      <c r="E137" s="67" t="n"/>
      <c r="F137" s="67" t="n"/>
      <c r="G137" s="67" t="n"/>
      <c r="H137" s="67" t="n"/>
      <c r="I137" s="67" t="n"/>
      <c r="J137" s="73" t="str">
        <f>IF(AND($W137&gt;0,ISNUMBER($I137)),$I137/$W137,"")</f>
        <v/>
      </c>
      <c r="K137" s="67" t="n"/>
      <c r="L137" s="73" t="str">
        <f>IF(AND($W137&gt;0,ISNUMBER($K137)),$K137/$W137,"")</f>
        <v/>
      </c>
      <c r="M137" s="67" t="n"/>
      <c r="N137" s="73" t="str">
        <f>IF(AND($W137&gt;0,ISNUMBER($M137)),$M137/$W137,"")</f>
        <v/>
      </c>
      <c r="O137" s="67" t="n"/>
      <c r="P137" s="73" t="str">
        <f>IF(AND($W137&gt;0,ISNUMBER($O137)),$O137/$W137,"")</f>
        <v/>
      </c>
      <c r="Q137" s="67" t="n"/>
      <c r="R137" s="67" t="n"/>
      <c r="S137" s="67" t="n"/>
      <c r="T137" s="64" t="n"/>
      <c r="U137" s="64" t="n"/>
      <c r="V137" s="65" t="n"/>
      <c r="W137" s="72">
        <f>IF($D137="",0,IF(ISNUMBER($G137),IF($G137&gt;0,$G137,N($F137)),N($F137)))</f>
        <v>0</v>
      </c>
      <c r="X137" s="71" t="str">
        <f>IF(ISNUMBER($A137),YEAR($A137)&amp;"-"&amp;TEXT(MONTH($A137),"00"),"")</f>
        <v/>
      </c>
      <c r="Y137" s="71">
        <f>IF($D137="",0,IF(AND(OR(fClient="All",$B137=fClient),OR(fCampaign="All",$C137=fCampaign),OR(fTeam="All",$T137=fTeam),OR(fChannel="All",fChannel="Email",fChannel="Content Syndication"),OR(fMonth="All",$X137=fMonth)),1,0))</f>
        <v>0</v>
      </c>
      <c r="Z137" s="71">
        <f>IF($D137="",0,IF(AND(OR(fClient="All",$B137=fClient),OR(fCampaign="All",$C137=fCampaign),OR(fTeam="All",$T137=fTeam),OR(fChannel="All",fChannel="Email",fChannel="Content Syndication")),1,0))</f>
        <v>0</v>
      </c>
    </row>
    <row r="138">
      <c r="A138" s="63" t="n"/>
      <c r="B138" s="64" t="n"/>
      <c r="C138" s="64" t="n"/>
      <c r="D138" s="64" t="n"/>
      <c r="E138" s="67" t="n"/>
      <c r="F138" s="67" t="n"/>
      <c r="G138" s="67" t="n"/>
      <c r="H138" s="67" t="n"/>
      <c r="I138" s="67" t="n"/>
      <c r="J138" s="73" t="str">
        <f>IF(AND($W138&gt;0,ISNUMBER($I138)),$I138/$W138,"")</f>
        <v/>
      </c>
      <c r="K138" s="67" t="n"/>
      <c r="L138" s="73" t="str">
        <f>IF(AND($W138&gt;0,ISNUMBER($K138)),$K138/$W138,"")</f>
        <v/>
      </c>
      <c r="M138" s="67" t="n"/>
      <c r="N138" s="73" t="str">
        <f>IF(AND($W138&gt;0,ISNUMBER($M138)),$M138/$W138,"")</f>
        <v/>
      </c>
      <c r="O138" s="67" t="n"/>
      <c r="P138" s="73" t="str">
        <f>IF(AND($W138&gt;0,ISNUMBER($O138)),$O138/$W138,"")</f>
        <v/>
      </c>
      <c r="Q138" s="67" t="n"/>
      <c r="R138" s="67" t="n"/>
      <c r="S138" s="67" t="n"/>
      <c r="T138" s="64" t="n"/>
      <c r="U138" s="64" t="n"/>
      <c r="V138" s="65" t="n"/>
      <c r="W138" s="72">
        <f>IF($D138="",0,IF(ISNUMBER($G138),IF($G138&gt;0,$G138,N($F138)),N($F138)))</f>
        <v>0</v>
      </c>
      <c r="X138" s="71" t="str">
        <f>IF(ISNUMBER($A138),YEAR($A138)&amp;"-"&amp;TEXT(MONTH($A138),"00"),"")</f>
        <v/>
      </c>
      <c r="Y138" s="71">
        <f>IF($D138="",0,IF(AND(OR(fClient="All",$B138=fClient),OR(fCampaign="All",$C138=fCampaign),OR(fTeam="All",$T138=fTeam),OR(fChannel="All",fChannel="Email",fChannel="Content Syndication"),OR(fMonth="All",$X138=fMonth)),1,0))</f>
        <v>0</v>
      </c>
      <c r="Z138" s="71">
        <f>IF($D138="",0,IF(AND(OR(fClient="All",$B138=fClient),OR(fCampaign="All",$C138=fCampaign),OR(fTeam="All",$T138=fTeam),OR(fChannel="All",fChannel="Email",fChannel="Content Syndication")),1,0))</f>
        <v>0</v>
      </c>
    </row>
    <row r="139">
      <c r="A139" s="63" t="n"/>
      <c r="B139" s="64" t="n"/>
      <c r="C139" s="64" t="n"/>
      <c r="D139" s="64" t="n"/>
      <c r="E139" s="67" t="n"/>
      <c r="F139" s="67" t="n"/>
      <c r="G139" s="67" t="n"/>
      <c r="H139" s="67" t="n"/>
      <c r="I139" s="67" t="n"/>
      <c r="J139" s="73" t="str">
        <f>IF(AND($W139&gt;0,ISNUMBER($I139)),$I139/$W139,"")</f>
        <v/>
      </c>
      <c r="K139" s="67" t="n"/>
      <c r="L139" s="73" t="str">
        <f>IF(AND($W139&gt;0,ISNUMBER($K139)),$K139/$W139,"")</f>
        <v/>
      </c>
      <c r="M139" s="67" t="n"/>
      <c r="N139" s="73" t="str">
        <f>IF(AND($W139&gt;0,ISNUMBER($M139)),$M139/$W139,"")</f>
        <v/>
      </c>
      <c r="O139" s="67" t="n"/>
      <c r="P139" s="73" t="str">
        <f>IF(AND($W139&gt;0,ISNUMBER($O139)),$O139/$W139,"")</f>
        <v/>
      </c>
      <c r="Q139" s="67" t="n"/>
      <c r="R139" s="67" t="n"/>
      <c r="S139" s="67" t="n"/>
      <c r="T139" s="64" t="n"/>
      <c r="U139" s="64" t="n"/>
      <c r="V139" s="65" t="n"/>
      <c r="W139" s="72">
        <f>IF($D139="",0,IF(ISNUMBER($G139),IF($G139&gt;0,$G139,N($F139)),N($F139)))</f>
        <v>0</v>
      </c>
      <c r="X139" s="71" t="str">
        <f>IF(ISNUMBER($A139),YEAR($A139)&amp;"-"&amp;TEXT(MONTH($A139),"00"),"")</f>
        <v/>
      </c>
      <c r="Y139" s="71">
        <f>IF($D139="",0,IF(AND(OR(fClient="All",$B139=fClient),OR(fCampaign="All",$C139=fCampaign),OR(fTeam="All",$T139=fTeam),OR(fChannel="All",fChannel="Email",fChannel="Content Syndication"),OR(fMonth="All",$X139=fMonth)),1,0))</f>
        <v>0</v>
      </c>
      <c r="Z139" s="71">
        <f>IF($D139="",0,IF(AND(OR(fClient="All",$B139=fClient),OR(fCampaign="All",$C139=fCampaign),OR(fTeam="All",$T139=fTeam),OR(fChannel="All",fChannel="Email",fChannel="Content Syndication")),1,0))</f>
        <v>0</v>
      </c>
    </row>
    <row r="140">
      <c r="A140" s="63" t="n"/>
      <c r="B140" s="64" t="n"/>
      <c r="C140" s="64" t="n"/>
      <c r="D140" s="64" t="n"/>
      <c r="E140" s="67" t="n"/>
      <c r="F140" s="67" t="n"/>
      <c r="G140" s="67" t="n"/>
      <c r="H140" s="67" t="n"/>
      <c r="I140" s="67" t="n"/>
      <c r="J140" s="73" t="str">
        <f>IF(AND($W140&gt;0,ISNUMBER($I140)),$I140/$W140,"")</f>
        <v/>
      </c>
      <c r="K140" s="67" t="n"/>
      <c r="L140" s="73" t="str">
        <f>IF(AND($W140&gt;0,ISNUMBER($K140)),$K140/$W140,"")</f>
        <v/>
      </c>
      <c r="M140" s="67" t="n"/>
      <c r="N140" s="73" t="str">
        <f>IF(AND($W140&gt;0,ISNUMBER($M140)),$M140/$W140,"")</f>
        <v/>
      </c>
      <c r="O140" s="67" t="n"/>
      <c r="P140" s="73" t="str">
        <f>IF(AND($W140&gt;0,ISNUMBER($O140)),$O140/$W140,"")</f>
        <v/>
      </c>
      <c r="Q140" s="67" t="n"/>
      <c r="R140" s="67" t="n"/>
      <c r="S140" s="67" t="n"/>
      <c r="T140" s="64" t="n"/>
      <c r="U140" s="64" t="n"/>
      <c r="V140" s="65" t="n"/>
      <c r="W140" s="72">
        <f>IF($D140="",0,IF(ISNUMBER($G140),IF($G140&gt;0,$G140,N($F140)),N($F140)))</f>
        <v>0</v>
      </c>
      <c r="X140" s="71" t="str">
        <f>IF(ISNUMBER($A140),YEAR($A140)&amp;"-"&amp;TEXT(MONTH($A140),"00"),"")</f>
        <v/>
      </c>
      <c r="Y140" s="71">
        <f>IF($D140="",0,IF(AND(OR(fClient="All",$B140=fClient),OR(fCampaign="All",$C140=fCampaign),OR(fTeam="All",$T140=fTeam),OR(fChannel="All",fChannel="Email",fChannel="Content Syndication"),OR(fMonth="All",$X140=fMonth)),1,0))</f>
        <v>0</v>
      </c>
      <c r="Z140" s="71">
        <f>IF($D140="",0,IF(AND(OR(fClient="All",$B140=fClient),OR(fCampaign="All",$C140=fCampaign),OR(fTeam="All",$T140=fTeam),OR(fChannel="All",fChannel="Email",fChannel="Content Syndication")),1,0))</f>
        <v>0</v>
      </c>
    </row>
    <row r="141">
      <c r="A141" s="63" t="n"/>
      <c r="B141" s="64" t="n"/>
      <c r="C141" s="64" t="n"/>
      <c r="D141" s="64" t="n"/>
      <c r="E141" s="67" t="n"/>
      <c r="F141" s="67" t="n"/>
      <c r="G141" s="67" t="n"/>
      <c r="H141" s="67" t="n"/>
      <c r="I141" s="67" t="n"/>
      <c r="J141" s="73" t="str">
        <f>IF(AND($W141&gt;0,ISNUMBER($I141)),$I141/$W141,"")</f>
        <v/>
      </c>
      <c r="K141" s="67" t="n"/>
      <c r="L141" s="73" t="str">
        <f>IF(AND($W141&gt;0,ISNUMBER($K141)),$K141/$W141,"")</f>
        <v/>
      </c>
      <c r="M141" s="67" t="n"/>
      <c r="N141" s="73" t="str">
        <f>IF(AND($W141&gt;0,ISNUMBER($M141)),$M141/$W141,"")</f>
        <v/>
      </c>
      <c r="O141" s="67" t="n"/>
      <c r="P141" s="73" t="str">
        <f>IF(AND($W141&gt;0,ISNUMBER($O141)),$O141/$W141,"")</f>
        <v/>
      </c>
      <c r="Q141" s="67" t="n"/>
      <c r="R141" s="67" t="n"/>
      <c r="S141" s="67" t="n"/>
      <c r="T141" s="64" t="n"/>
      <c r="U141" s="64" t="n"/>
      <c r="V141" s="65" t="n"/>
      <c r="W141" s="72">
        <f>IF($D141="",0,IF(ISNUMBER($G141),IF($G141&gt;0,$G141,N($F141)),N($F141)))</f>
        <v>0</v>
      </c>
      <c r="X141" s="71" t="str">
        <f>IF(ISNUMBER($A141),YEAR($A141)&amp;"-"&amp;TEXT(MONTH($A141),"00"),"")</f>
        <v/>
      </c>
      <c r="Y141" s="71">
        <f>IF($D141="",0,IF(AND(OR(fClient="All",$B141=fClient),OR(fCampaign="All",$C141=fCampaign),OR(fTeam="All",$T141=fTeam),OR(fChannel="All",fChannel="Email",fChannel="Content Syndication"),OR(fMonth="All",$X141=fMonth)),1,0))</f>
        <v>0</v>
      </c>
      <c r="Z141" s="71">
        <f>IF($D141="",0,IF(AND(OR(fClient="All",$B141=fClient),OR(fCampaign="All",$C141=fCampaign),OR(fTeam="All",$T141=fTeam),OR(fChannel="All",fChannel="Email",fChannel="Content Syndication")),1,0))</f>
        <v>0</v>
      </c>
    </row>
    <row r="142">
      <c r="A142" s="63" t="n"/>
      <c r="B142" s="64" t="n"/>
      <c r="C142" s="64" t="n"/>
      <c r="D142" s="64" t="n"/>
      <c r="E142" s="67" t="n"/>
      <c r="F142" s="67" t="n"/>
      <c r="G142" s="67" t="n"/>
      <c r="H142" s="67" t="n"/>
      <c r="I142" s="67" t="n"/>
      <c r="J142" s="73" t="str">
        <f>IF(AND($W142&gt;0,ISNUMBER($I142)),$I142/$W142,"")</f>
        <v/>
      </c>
      <c r="K142" s="67" t="n"/>
      <c r="L142" s="73" t="str">
        <f>IF(AND($W142&gt;0,ISNUMBER($K142)),$K142/$W142,"")</f>
        <v/>
      </c>
      <c r="M142" s="67" t="n"/>
      <c r="N142" s="73" t="str">
        <f>IF(AND($W142&gt;0,ISNUMBER($M142)),$M142/$W142,"")</f>
        <v/>
      </c>
      <c r="O142" s="67" t="n"/>
      <c r="P142" s="73" t="str">
        <f>IF(AND($W142&gt;0,ISNUMBER($O142)),$O142/$W142,"")</f>
        <v/>
      </c>
      <c r="Q142" s="67" t="n"/>
      <c r="R142" s="67" t="n"/>
      <c r="S142" s="67" t="n"/>
      <c r="T142" s="64" t="n"/>
      <c r="U142" s="64" t="n"/>
      <c r="V142" s="65" t="n"/>
      <c r="W142" s="72">
        <f>IF($D142="",0,IF(ISNUMBER($G142),IF($G142&gt;0,$G142,N($F142)),N($F142)))</f>
        <v>0</v>
      </c>
      <c r="X142" s="71" t="str">
        <f>IF(ISNUMBER($A142),YEAR($A142)&amp;"-"&amp;TEXT(MONTH($A142),"00"),"")</f>
        <v/>
      </c>
      <c r="Y142" s="71">
        <f>IF($D142="",0,IF(AND(OR(fClient="All",$B142=fClient),OR(fCampaign="All",$C142=fCampaign),OR(fTeam="All",$T142=fTeam),OR(fChannel="All",fChannel="Email",fChannel="Content Syndication"),OR(fMonth="All",$X142=fMonth)),1,0))</f>
        <v>0</v>
      </c>
      <c r="Z142" s="71">
        <f>IF($D142="",0,IF(AND(OR(fClient="All",$B142=fClient),OR(fCampaign="All",$C142=fCampaign),OR(fTeam="All",$T142=fTeam),OR(fChannel="All",fChannel="Email",fChannel="Content Syndication")),1,0))</f>
        <v>0</v>
      </c>
    </row>
    <row r="143">
      <c r="A143" s="63" t="n"/>
      <c r="B143" s="64" t="n"/>
      <c r="C143" s="64" t="n"/>
      <c r="D143" s="64" t="n"/>
      <c r="E143" s="67" t="n"/>
      <c r="F143" s="67" t="n"/>
      <c r="G143" s="67" t="n"/>
      <c r="H143" s="67" t="n"/>
      <c r="I143" s="67" t="n"/>
      <c r="J143" s="73" t="str">
        <f>IF(AND($W143&gt;0,ISNUMBER($I143)),$I143/$W143,"")</f>
        <v/>
      </c>
      <c r="K143" s="67" t="n"/>
      <c r="L143" s="73" t="str">
        <f>IF(AND($W143&gt;0,ISNUMBER($K143)),$K143/$W143,"")</f>
        <v/>
      </c>
      <c r="M143" s="67" t="n"/>
      <c r="N143" s="73" t="str">
        <f>IF(AND($W143&gt;0,ISNUMBER($M143)),$M143/$W143,"")</f>
        <v/>
      </c>
      <c r="O143" s="67" t="n"/>
      <c r="P143" s="73" t="str">
        <f>IF(AND($W143&gt;0,ISNUMBER($O143)),$O143/$W143,"")</f>
        <v/>
      </c>
      <c r="Q143" s="67" t="n"/>
      <c r="R143" s="67" t="n"/>
      <c r="S143" s="67" t="n"/>
      <c r="T143" s="64" t="n"/>
      <c r="U143" s="64" t="n"/>
      <c r="V143" s="65" t="n"/>
      <c r="W143" s="72">
        <f>IF($D143="",0,IF(ISNUMBER($G143),IF($G143&gt;0,$G143,N($F143)),N($F143)))</f>
        <v>0</v>
      </c>
      <c r="X143" s="71" t="str">
        <f>IF(ISNUMBER($A143),YEAR($A143)&amp;"-"&amp;TEXT(MONTH($A143),"00"),"")</f>
        <v/>
      </c>
      <c r="Y143" s="71">
        <f>IF($D143="",0,IF(AND(OR(fClient="All",$B143=fClient),OR(fCampaign="All",$C143=fCampaign),OR(fTeam="All",$T143=fTeam),OR(fChannel="All",fChannel="Email",fChannel="Content Syndication"),OR(fMonth="All",$X143=fMonth)),1,0))</f>
        <v>0</v>
      </c>
      <c r="Z143" s="71">
        <f>IF($D143="",0,IF(AND(OR(fClient="All",$B143=fClient),OR(fCampaign="All",$C143=fCampaign),OR(fTeam="All",$T143=fTeam),OR(fChannel="All",fChannel="Email",fChannel="Content Syndication")),1,0))</f>
        <v>0</v>
      </c>
    </row>
    <row r="144">
      <c r="A144" s="63" t="n"/>
      <c r="B144" s="64" t="n"/>
      <c r="C144" s="64" t="n"/>
      <c r="D144" s="64" t="n"/>
      <c r="E144" s="67" t="n"/>
      <c r="F144" s="67" t="n"/>
      <c r="G144" s="67" t="n"/>
      <c r="H144" s="67" t="n"/>
      <c r="I144" s="67" t="n"/>
      <c r="J144" s="73" t="str">
        <f>IF(AND($W144&gt;0,ISNUMBER($I144)),$I144/$W144,"")</f>
        <v/>
      </c>
      <c r="K144" s="67" t="n"/>
      <c r="L144" s="73" t="str">
        <f>IF(AND($W144&gt;0,ISNUMBER($K144)),$K144/$W144,"")</f>
        <v/>
      </c>
      <c r="M144" s="67" t="n"/>
      <c r="N144" s="73" t="str">
        <f>IF(AND($W144&gt;0,ISNUMBER($M144)),$M144/$W144,"")</f>
        <v/>
      </c>
      <c r="O144" s="67" t="n"/>
      <c r="P144" s="73" t="str">
        <f>IF(AND($W144&gt;0,ISNUMBER($O144)),$O144/$W144,"")</f>
        <v/>
      </c>
      <c r="Q144" s="67" t="n"/>
      <c r="R144" s="67" t="n"/>
      <c r="S144" s="67" t="n"/>
      <c r="T144" s="64" t="n"/>
      <c r="U144" s="64" t="n"/>
      <c r="V144" s="65" t="n"/>
      <c r="W144" s="72">
        <f>IF($D144="",0,IF(ISNUMBER($G144),IF($G144&gt;0,$G144,N($F144)),N($F144)))</f>
        <v>0</v>
      </c>
      <c r="X144" s="71" t="str">
        <f>IF(ISNUMBER($A144),YEAR($A144)&amp;"-"&amp;TEXT(MONTH($A144),"00"),"")</f>
        <v/>
      </c>
      <c r="Y144" s="71">
        <f>IF($D144="",0,IF(AND(OR(fClient="All",$B144=fClient),OR(fCampaign="All",$C144=fCampaign),OR(fTeam="All",$T144=fTeam),OR(fChannel="All",fChannel="Email",fChannel="Content Syndication"),OR(fMonth="All",$X144=fMonth)),1,0))</f>
        <v>0</v>
      </c>
      <c r="Z144" s="71">
        <f>IF($D144="",0,IF(AND(OR(fClient="All",$B144=fClient),OR(fCampaign="All",$C144=fCampaign),OR(fTeam="All",$T144=fTeam),OR(fChannel="All",fChannel="Email",fChannel="Content Syndication")),1,0))</f>
        <v>0</v>
      </c>
    </row>
    <row r="145">
      <c r="A145" s="63" t="n"/>
      <c r="B145" s="64" t="n"/>
      <c r="C145" s="64" t="n"/>
      <c r="D145" s="64" t="n"/>
      <c r="E145" s="67" t="n"/>
      <c r="F145" s="67" t="n"/>
      <c r="G145" s="67" t="n"/>
      <c r="H145" s="67" t="n"/>
      <c r="I145" s="67" t="n"/>
      <c r="J145" s="73" t="str">
        <f>IF(AND($W145&gt;0,ISNUMBER($I145)),$I145/$W145,"")</f>
        <v/>
      </c>
      <c r="K145" s="67" t="n"/>
      <c r="L145" s="73" t="str">
        <f>IF(AND($W145&gt;0,ISNUMBER($K145)),$K145/$W145,"")</f>
        <v/>
      </c>
      <c r="M145" s="67" t="n"/>
      <c r="N145" s="73" t="str">
        <f>IF(AND($W145&gt;0,ISNUMBER($M145)),$M145/$W145,"")</f>
        <v/>
      </c>
      <c r="O145" s="67" t="n"/>
      <c r="P145" s="73" t="str">
        <f>IF(AND($W145&gt;0,ISNUMBER($O145)),$O145/$W145,"")</f>
        <v/>
      </c>
      <c r="Q145" s="67" t="n"/>
      <c r="R145" s="67" t="n"/>
      <c r="S145" s="67" t="n"/>
      <c r="T145" s="64" t="n"/>
      <c r="U145" s="64" t="n"/>
      <c r="V145" s="65" t="n"/>
      <c r="W145" s="72">
        <f>IF($D145="",0,IF(ISNUMBER($G145),IF($G145&gt;0,$G145,N($F145)),N($F145)))</f>
        <v>0</v>
      </c>
      <c r="X145" s="71" t="str">
        <f>IF(ISNUMBER($A145),YEAR($A145)&amp;"-"&amp;TEXT(MONTH($A145),"00"),"")</f>
        <v/>
      </c>
      <c r="Y145" s="71">
        <f>IF($D145="",0,IF(AND(OR(fClient="All",$B145=fClient),OR(fCampaign="All",$C145=fCampaign),OR(fTeam="All",$T145=fTeam),OR(fChannel="All",fChannel="Email",fChannel="Content Syndication"),OR(fMonth="All",$X145=fMonth)),1,0))</f>
        <v>0</v>
      </c>
      <c r="Z145" s="71">
        <f>IF($D145="",0,IF(AND(OR(fClient="All",$B145=fClient),OR(fCampaign="All",$C145=fCampaign),OR(fTeam="All",$T145=fTeam),OR(fChannel="All",fChannel="Email",fChannel="Content Syndication")),1,0))</f>
        <v>0</v>
      </c>
    </row>
    <row r="146">
      <c r="A146" s="63" t="n"/>
      <c r="B146" s="64" t="n"/>
      <c r="C146" s="64" t="n"/>
      <c r="D146" s="64" t="n"/>
      <c r="E146" s="67" t="n"/>
      <c r="F146" s="67" t="n"/>
      <c r="G146" s="67" t="n"/>
      <c r="H146" s="67" t="n"/>
      <c r="I146" s="67" t="n"/>
      <c r="J146" s="73" t="str">
        <f>IF(AND($W146&gt;0,ISNUMBER($I146)),$I146/$W146,"")</f>
        <v/>
      </c>
      <c r="K146" s="67" t="n"/>
      <c r="L146" s="73" t="str">
        <f>IF(AND($W146&gt;0,ISNUMBER($K146)),$K146/$W146,"")</f>
        <v/>
      </c>
      <c r="M146" s="67" t="n"/>
      <c r="N146" s="73" t="str">
        <f>IF(AND($W146&gt;0,ISNUMBER($M146)),$M146/$W146,"")</f>
        <v/>
      </c>
      <c r="O146" s="67" t="n"/>
      <c r="P146" s="73" t="str">
        <f>IF(AND($W146&gt;0,ISNUMBER($O146)),$O146/$W146,"")</f>
        <v/>
      </c>
      <c r="Q146" s="67" t="n"/>
      <c r="R146" s="67" t="n"/>
      <c r="S146" s="67" t="n"/>
      <c r="T146" s="64" t="n"/>
      <c r="U146" s="64" t="n"/>
      <c r="V146" s="65" t="n"/>
      <c r="W146" s="72">
        <f>IF($D146="",0,IF(ISNUMBER($G146),IF($G146&gt;0,$G146,N($F146)),N($F146)))</f>
        <v>0</v>
      </c>
      <c r="X146" s="71" t="str">
        <f>IF(ISNUMBER($A146),YEAR($A146)&amp;"-"&amp;TEXT(MONTH($A146),"00"),"")</f>
        <v/>
      </c>
      <c r="Y146" s="71">
        <f>IF($D146="",0,IF(AND(OR(fClient="All",$B146=fClient),OR(fCampaign="All",$C146=fCampaign),OR(fTeam="All",$T146=fTeam),OR(fChannel="All",fChannel="Email",fChannel="Content Syndication"),OR(fMonth="All",$X146=fMonth)),1,0))</f>
        <v>0</v>
      </c>
      <c r="Z146" s="71">
        <f>IF($D146="",0,IF(AND(OR(fClient="All",$B146=fClient),OR(fCampaign="All",$C146=fCampaign),OR(fTeam="All",$T146=fTeam),OR(fChannel="All",fChannel="Email",fChannel="Content Syndication")),1,0))</f>
        <v>0</v>
      </c>
    </row>
    <row r="147">
      <c r="A147" s="63" t="n"/>
      <c r="B147" s="64" t="n"/>
      <c r="C147" s="64" t="n"/>
      <c r="D147" s="64" t="n"/>
      <c r="E147" s="67" t="n"/>
      <c r="F147" s="67" t="n"/>
      <c r="G147" s="67" t="n"/>
      <c r="H147" s="67" t="n"/>
      <c r="I147" s="67" t="n"/>
      <c r="J147" s="73" t="str">
        <f>IF(AND($W147&gt;0,ISNUMBER($I147)),$I147/$W147,"")</f>
        <v/>
      </c>
      <c r="K147" s="67" t="n"/>
      <c r="L147" s="73" t="str">
        <f>IF(AND($W147&gt;0,ISNUMBER($K147)),$K147/$W147,"")</f>
        <v/>
      </c>
      <c r="M147" s="67" t="n"/>
      <c r="N147" s="73" t="str">
        <f>IF(AND($W147&gt;0,ISNUMBER($M147)),$M147/$W147,"")</f>
        <v/>
      </c>
      <c r="O147" s="67" t="n"/>
      <c r="P147" s="73" t="str">
        <f>IF(AND($W147&gt;0,ISNUMBER($O147)),$O147/$W147,"")</f>
        <v/>
      </c>
      <c r="Q147" s="67" t="n"/>
      <c r="R147" s="67" t="n"/>
      <c r="S147" s="67" t="n"/>
      <c r="T147" s="64" t="n"/>
      <c r="U147" s="64" t="n"/>
      <c r="V147" s="65" t="n"/>
      <c r="W147" s="72">
        <f>IF($D147="",0,IF(ISNUMBER($G147),IF($G147&gt;0,$G147,N($F147)),N($F147)))</f>
        <v>0</v>
      </c>
      <c r="X147" s="71" t="str">
        <f>IF(ISNUMBER($A147),YEAR($A147)&amp;"-"&amp;TEXT(MONTH($A147),"00"),"")</f>
        <v/>
      </c>
      <c r="Y147" s="71">
        <f>IF($D147="",0,IF(AND(OR(fClient="All",$B147=fClient),OR(fCampaign="All",$C147=fCampaign),OR(fTeam="All",$T147=fTeam),OR(fChannel="All",fChannel="Email",fChannel="Content Syndication"),OR(fMonth="All",$X147=fMonth)),1,0))</f>
        <v>0</v>
      </c>
      <c r="Z147" s="71">
        <f>IF($D147="",0,IF(AND(OR(fClient="All",$B147=fClient),OR(fCampaign="All",$C147=fCampaign),OR(fTeam="All",$T147=fTeam),OR(fChannel="All",fChannel="Email",fChannel="Content Syndication")),1,0))</f>
        <v>0</v>
      </c>
    </row>
    <row r="148">
      <c r="A148" s="63" t="n"/>
      <c r="B148" s="64" t="n"/>
      <c r="C148" s="64" t="n"/>
      <c r="D148" s="64" t="n"/>
      <c r="E148" s="67" t="n"/>
      <c r="F148" s="67" t="n"/>
      <c r="G148" s="67" t="n"/>
      <c r="H148" s="67" t="n"/>
      <c r="I148" s="67" t="n"/>
      <c r="J148" s="73" t="str">
        <f>IF(AND($W148&gt;0,ISNUMBER($I148)),$I148/$W148,"")</f>
        <v/>
      </c>
      <c r="K148" s="67" t="n"/>
      <c r="L148" s="73" t="str">
        <f>IF(AND($W148&gt;0,ISNUMBER($K148)),$K148/$W148,"")</f>
        <v/>
      </c>
      <c r="M148" s="67" t="n"/>
      <c r="N148" s="73" t="str">
        <f>IF(AND($W148&gt;0,ISNUMBER($M148)),$M148/$W148,"")</f>
        <v/>
      </c>
      <c r="O148" s="67" t="n"/>
      <c r="P148" s="73" t="str">
        <f>IF(AND($W148&gt;0,ISNUMBER($O148)),$O148/$W148,"")</f>
        <v/>
      </c>
      <c r="Q148" s="67" t="n"/>
      <c r="R148" s="67" t="n"/>
      <c r="S148" s="67" t="n"/>
      <c r="T148" s="64" t="n"/>
      <c r="U148" s="64" t="n"/>
      <c r="V148" s="65" t="n"/>
      <c r="W148" s="72">
        <f>IF($D148="",0,IF(ISNUMBER($G148),IF($G148&gt;0,$G148,N($F148)),N($F148)))</f>
        <v>0</v>
      </c>
      <c r="X148" s="71" t="str">
        <f>IF(ISNUMBER($A148),YEAR($A148)&amp;"-"&amp;TEXT(MONTH($A148),"00"),"")</f>
        <v/>
      </c>
      <c r="Y148" s="71">
        <f>IF($D148="",0,IF(AND(OR(fClient="All",$B148=fClient),OR(fCampaign="All",$C148=fCampaign),OR(fTeam="All",$T148=fTeam),OR(fChannel="All",fChannel="Email",fChannel="Content Syndication"),OR(fMonth="All",$X148=fMonth)),1,0))</f>
        <v>0</v>
      </c>
      <c r="Z148" s="71">
        <f>IF($D148="",0,IF(AND(OR(fClient="All",$B148=fClient),OR(fCampaign="All",$C148=fCampaign),OR(fTeam="All",$T148=fTeam),OR(fChannel="All",fChannel="Email",fChannel="Content Syndication")),1,0))</f>
        <v>0</v>
      </c>
    </row>
    <row r="149">
      <c r="A149" s="63" t="n"/>
      <c r="B149" s="64" t="n"/>
      <c r="C149" s="64" t="n"/>
      <c r="D149" s="64" t="n"/>
      <c r="E149" s="67" t="n"/>
      <c r="F149" s="67" t="n"/>
      <c r="G149" s="67" t="n"/>
      <c r="H149" s="67" t="n"/>
      <c r="I149" s="67" t="n"/>
      <c r="J149" s="73" t="str">
        <f>IF(AND($W149&gt;0,ISNUMBER($I149)),$I149/$W149,"")</f>
        <v/>
      </c>
      <c r="K149" s="67" t="n"/>
      <c r="L149" s="73" t="str">
        <f>IF(AND($W149&gt;0,ISNUMBER($K149)),$K149/$W149,"")</f>
        <v/>
      </c>
      <c r="M149" s="67" t="n"/>
      <c r="N149" s="73" t="str">
        <f>IF(AND($W149&gt;0,ISNUMBER($M149)),$M149/$W149,"")</f>
        <v/>
      </c>
      <c r="O149" s="67" t="n"/>
      <c r="P149" s="73" t="str">
        <f>IF(AND($W149&gt;0,ISNUMBER($O149)),$O149/$W149,"")</f>
        <v/>
      </c>
      <c r="Q149" s="67" t="n"/>
      <c r="R149" s="67" t="n"/>
      <c r="S149" s="67" t="n"/>
      <c r="T149" s="64" t="n"/>
      <c r="U149" s="64" t="n"/>
      <c r="V149" s="65" t="n"/>
      <c r="W149" s="72">
        <f>IF($D149="",0,IF(ISNUMBER($G149),IF($G149&gt;0,$G149,N($F149)),N($F149)))</f>
        <v>0</v>
      </c>
      <c r="X149" s="71" t="str">
        <f>IF(ISNUMBER($A149),YEAR($A149)&amp;"-"&amp;TEXT(MONTH($A149),"00"),"")</f>
        <v/>
      </c>
      <c r="Y149" s="71">
        <f>IF($D149="",0,IF(AND(OR(fClient="All",$B149=fClient),OR(fCampaign="All",$C149=fCampaign),OR(fTeam="All",$T149=fTeam),OR(fChannel="All",fChannel="Email",fChannel="Content Syndication"),OR(fMonth="All",$X149=fMonth)),1,0))</f>
        <v>0</v>
      </c>
      <c r="Z149" s="71">
        <f>IF($D149="",0,IF(AND(OR(fClient="All",$B149=fClient),OR(fCampaign="All",$C149=fCampaign),OR(fTeam="All",$T149=fTeam),OR(fChannel="All",fChannel="Email",fChannel="Content Syndication")),1,0))</f>
        <v>0</v>
      </c>
    </row>
    <row r="150">
      <c r="A150" s="63" t="n"/>
      <c r="B150" s="64" t="n"/>
      <c r="C150" s="64" t="n"/>
      <c r="D150" s="64" t="n"/>
      <c r="E150" s="67" t="n"/>
      <c r="F150" s="67" t="n"/>
      <c r="G150" s="67" t="n"/>
      <c r="H150" s="67" t="n"/>
      <c r="I150" s="67" t="n"/>
      <c r="J150" s="73" t="str">
        <f>IF(AND($W150&gt;0,ISNUMBER($I150)),$I150/$W150,"")</f>
        <v/>
      </c>
      <c r="K150" s="67" t="n"/>
      <c r="L150" s="73" t="str">
        <f>IF(AND($W150&gt;0,ISNUMBER($K150)),$K150/$W150,"")</f>
        <v/>
      </c>
      <c r="M150" s="67" t="n"/>
      <c r="N150" s="73" t="str">
        <f>IF(AND($W150&gt;0,ISNUMBER($M150)),$M150/$W150,"")</f>
        <v/>
      </c>
      <c r="O150" s="67" t="n"/>
      <c r="P150" s="73" t="str">
        <f>IF(AND($W150&gt;0,ISNUMBER($O150)),$O150/$W150,"")</f>
        <v/>
      </c>
      <c r="Q150" s="67" t="n"/>
      <c r="R150" s="67" t="n"/>
      <c r="S150" s="67" t="n"/>
      <c r="T150" s="64" t="n"/>
      <c r="U150" s="64" t="n"/>
      <c r="V150" s="65" t="n"/>
      <c r="W150" s="72">
        <f>IF($D150="",0,IF(ISNUMBER($G150),IF($G150&gt;0,$G150,N($F150)),N($F150)))</f>
        <v>0</v>
      </c>
      <c r="X150" s="71" t="str">
        <f>IF(ISNUMBER($A150),YEAR($A150)&amp;"-"&amp;TEXT(MONTH($A150),"00"),"")</f>
        <v/>
      </c>
      <c r="Y150" s="71">
        <f>IF($D150="",0,IF(AND(OR(fClient="All",$B150=fClient),OR(fCampaign="All",$C150=fCampaign),OR(fTeam="All",$T150=fTeam),OR(fChannel="All",fChannel="Email",fChannel="Content Syndication"),OR(fMonth="All",$X150=fMonth)),1,0))</f>
        <v>0</v>
      </c>
      <c r="Z150" s="71">
        <f>IF($D150="",0,IF(AND(OR(fClient="All",$B150=fClient),OR(fCampaign="All",$C150=fCampaign),OR(fTeam="All",$T150=fTeam),OR(fChannel="All",fChannel="Email",fChannel="Content Syndication")),1,0))</f>
        <v>0</v>
      </c>
    </row>
    <row r="151">
      <c r="A151" s="63" t="n"/>
      <c r="B151" s="64" t="n"/>
      <c r="C151" s="64" t="n"/>
      <c r="D151" s="64" t="n"/>
      <c r="E151" s="67" t="n"/>
      <c r="F151" s="67" t="n"/>
      <c r="G151" s="67" t="n"/>
      <c r="H151" s="67" t="n"/>
      <c r="I151" s="67" t="n"/>
      <c r="J151" s="73" t="str">
        <f>IF(AND($W151&gt;0,ISNUMBER($I151)),$I151/$W151,"")</f>
        <v/>
      </c>
      <c r="K151" s="67" t="n"/>
      <c r="L151" s="73" t="str">
        <f>IF(AND($W151&gt;0,ISNUMBER($K151)),$K151/$W151,"")</f>
        <v/>
      </c>
      <c r="M151" s="67" t="n"/>
      <c r="N151" s="73" t="str">
        <f>IF(AND($W151&gt;0,ISNUMBER($M151)),$M151/$W151,"")</f>
        <v/>
      </c>
      <c r="O151" s="67" t="n"/>
      <c r="P151" s="73" t="str">
        <f>IF(AND($W151&gt;0,ISNUMBER($O151)),$O151/$W151,"")</f>
        <v/>
      </c>
      <c r="Q151" s="67" t="n"/>
      <c r="R151" s="67" t="n"/>
      <c r="S151" s="67" t="n"/>
      <c r="T151" s="64" t="n"/>
      <c r="U151" s="64" t="n"/>
      <c r="V151" s="65" t="n"/>
      <c r="W151" s="72">
        <f>IF($D151="",0,IF(ISNUMBER($G151),IF($G151&gt;0,$G151,N($F151)),N($F151)))</f>
        <v>0</v>
      </c>
      <c r="X151" s="71" t="str">
        <f>IF(ISNUMBER($A151),YEAR($A151)&amp;"-"&amp;TEXT(MONTH($A151),"00"),"")</f>
        <v/>
      </c>
      <c r="Y151" s="71">
        <f>IF($D151="",0,IF(AND(OR(fClient="All",$B151=fClient),OR(fCampaign="All",$C151=fCampaign),OR(fTeam="All",$T151=fTeam),OR(fChannel="All",fChannel="Email",fChannel="Content Syndication"),OR(fMonth="All",$X151=fMonth)),1,0))</f>
        <v>0</v>
      </c>
      <c r="Z151" s="71">
        <f>IF($D151="",0,IF(AND(OR(fClient="All",$B151=fClient),OR(fCampaign="All",$C151=fCampaign),OR(fTeam="All",$T151=fTeam),OR(fChannel="All",fChannel="Email",fChannel="Content Syndication")),1,0))</f>
        <v>0</v>
      </c>
    </row>
    <row r="152">
      <c r="A152" s="63" t="n"/>
      <c r="B152" s="64" t="n"/>
      <c r="C152" s="64" t="n"/>
      <c r="D152" s="64" t="n"/>
      <c r="E152" s="67" t="n"/>
      <c r="F152" s="67" t="n"/>
      <c r="G152" s="67" t="n"/>
      <c r="H152" s="67" t="n"/>
      <c r="I152" s="67" t="n"/>
      <c r="J152" s="73" t="str">
        <f>IF(AND($W152&gt;0,ISNUMBER($I152)),$I152/$W152,"")</f>
        <v/>
      </c>
      <c r="K152" s="67" t="n"/>
      <c r="L152" s="73" t="str">
        <f>IF(AND($W152&gt;0,ISNUMBER($K152)),$K152/$W152,"")</f>
        <v/>
      </c>
      <c r="M152" s="67" t="n"/>
      <c r="N152" s="73" t="str">
        <f>IF(AND($W152&gt;0,ISNUMBER($M152)),$M152/$W152,"")</f>
        <v/>
      </c>
      <c r="O152" s="67" t="n"/>
      <c r="P152" s="73" t="str">
        <f>IF(AND($W152&gt;0,ISNUMBER($O152)),$O152/$W152,"")</f>
        <v/>
      </c>
      <c r="Q152" s="67" t="n"/>
      <c r="R152" s="67" t="n"/>
      <c r="S152" s="67" t="n"/>
      <c r="T152" s="64" t="n"/>
      <c r="U152" s="64" t="n"/>
      <c r="V152" s="65" t="n"/>
      <c r="W152" s="72">
        <f>IF($D152="",0,IF(ISNUMBER($G152),IF($G152&gt;0,$G152,N($F152)),N($F152)))</f>
        <v>0</v>
      </c>
      <c r="X152" s="71" t="str">
        <f>IF(ISNUMBER($A152),YEAR($A152)&amp;"-"&amp;TEXT(MONTH($A152),"00"),"")</f>
        <v/>
      </c>
      <c r="Y152" s="71">
        <f>IF($D152="",0,IF(AND(OR(fClient="All",$B152=fClient),OR(fCampaign="All",$C152=fCampaign),OR(fTeam="All",$T152=fTeam),OR(fChannel="All",fChannel="Email",fChannel="Content Syndication"),OR(fMonth="All",$X152=fMonth)),1,0))</f>
        <v>0</v>
      </c>
      <c r="Z152" s="71">
        <f>IF($D152="",0,IF(AND(OR(fClient="All",$B152=fClient),OR(fCampaign="All",$C152=fCampaign),OR(fTeam="All",$T152=fTeam),OR(fChannel="All",fChannel="Email",fChannel="Content Syndication")),1,0))</f>
        <v>0</v>
      </c>
    </row>
    <row r="153">
      <c r="A153" s="63" t="n"/>
      <c r="B153" s="64" t="n"/>
      <c r="C153" s="64" t="n"/>
      <c r="D153" s="64" t="n"/>
      <c r="E153" s="67" t="n"/>
      <c r="F153" s="67" t="n"/>
      <c r="G153" s="67" t="n"/>
      <c r="H153" s="67" t="n"/>
      <c r="I153" s="67" t="n"/>
      <c r="J153" s="73" t="str">
        <f>IF(AND($W153&gt;0,ISNUMBER($I153)),$I153/$W153,"")</f>
        <v/>
      </c>
      <c r="K153" s="67" t="n"/>
      <c r="L153" s="73" t="str">
        <f>IF(AND($W153&gt;0,ISNUMBER($K153)),$K153/$W153,"")</f>
        <v/>
      </c>
      <c r="M153" s="67" t="n"/>
      <c r="N153" s="73" t="str">
        <f>IF(AND($W153&gt;0,ISNUMBER($M153)),$M153/$W153,"")</f>
        <v/>
      </c>
      <c r="O153" s="67" t="n"/>
      <c r="P153" s="73" t="str">
        <f>IF(AND($W153&gt;0,ISNUMBER($O153)),$O153/$W153,"")</f>
        <v/>
      </c>
      <c r="Q153" s="67" t="n"/>
      <c r="R153" s="67" t="n"/>
      <c r="S153" s="67" t="n"/>
      <c r="T153" s="64" t="n"/>
      <c r="U153" s="64" t="n"/>
      <c r="V153" s="65" t="n"/>
      <c r="W153" s="72">
        <f>IF($D153="",0,IF(ISNUMBER($G153),IF($G153&gt;0,$G153,N($F153)),N($F153)))</f>
        <v>0</v>
      </c>
      <c r="X153" s="71" t="str">
        <f>IF(ISNUMBER($A153),YEAR($A153)&amp;"-"&amp;TEXT(MONTH($A153),"00"),"")</f>
        <v/>
      </c>
      <c r="Y153" s="71">
        <f>IF($D153="",0,IF(AND(OR(fClient="All",$B153=fClient),OR(fCampaign="All",$C153=fCampaign),OR(fTeam="All",$T153=fTeam),OR(fChannel="All",fChannel="Email",fChannel="Content Syndication"),OR(fMonth="All",$X153=fMonth)),1,0))</f>
        <v>0</v>
      </c>
      <c r="Z153" s="71">
        <f>IF($D153="",0,IF(AND(OR(fClient="All",$B153=fClient),OR(fCampaign="All",$C153=fCampaign),OR(fTeam="All",$T153=fTeam),OR(fChannel="All",fChannel="Email",fChannel="Content Syndication")),1,0))</f>
        <v>0</v>
      </c>
    </row>
    <row r="154">
      <c r="A154" s="63" t="n"/>
      <c r="B154" s="64" t="n"/>
      <c r="C154" s="64" t="n"/>
      <c r="D154" s="64" t="n"/>
      <c r="E154" s="67" t="n"/>
      <c r="F154" s="67" t="n"/>
      <c r="G154" s="67" t="n"/>
      <c r="H154" s="67" t="n"/>
      <c r="I154" s="67" t="n"/>
      <c r="J154" s="73" t="str">
        <f>IF(AND($W154&gt;0,ISNUMBER($I154)),$I154/$W154,"")</f>
        <v/>
      </c>
      <c r="K154" s="67" t="n"/>
      <c r="L154" s="73" t="str">
        <f>IF(AND($W154&gt;0,ISNUMBER($K154)),$K154/$W154,"")</f>
        <v/>
      </c>
      <c r="M154" s="67" t="n"/>
      <c r="N154" s="73" t="str">
        <f>IF(AND($W154&gt;0,ISNUMBER($M154)),$M154/$W154,"")</f>
        <v/>
      </c>
      <c r="O154" s="67" t="n"/>
      <c r="P154" s="73" t="str">
        <f>IF(AND($W154&gt;0,ISNUMBER($O154)),$O154/$W154,"")</f>
        <v/>
      </c>
      <c r="Q154" s="67" t="n"/>
      <c r="R154" s="67" t="n"/>
      <c r="S154" s="67" t="n"/>
      <c r="T154" s="64" t="n"/>
      <c r="U154" s="64" t="n"/>
      <c r="V154" s="65" t="n"/>
      <c r="W154" s="72">
        <f>IF($D154="",0,IF(ISNUMBER($G154),IF($G154&gt;0,$G154,N($F154)),N($F154)))</f>
        <v>0</v>
      </c>
      <c r="X154" s="71" t="str">
        <f>IF(ISNUMBER($A154),YEAR($A154)&amp;"-"&amp;TEXT(MONTH($A154),"00"),"")</f>
        <v/>
      </c>
      <c r="Y154" s="71">
        <f>IF($D154="",0,IF(AND(OR(fClient="All",$B154=fClient),OR(fCampaign="All",$C154=fCampaign),OR(fTeam="All",$T154=fTeam),OR(fChannel="All",fChannel="Email",fChannel="Content Syndication"),OR(fMonth="All",$X154=fMonth)),1,0))</f>
        <v>0</v>
      </c>
      <c r="Z154" s="71">
        <f>IF($D154="",0,IF(AND(OR(fClient="All",$B154=fClient),OR(fCampaign="All",$C154=fCampaign),OR(fTeam="All",$T154=fTeam),OR(fChannel="All",fChannel="Email",fChannel="Content Syndication")),1,0))</f>
        <v>0</v>
      </c>
    </row>
    <row r="155">
      <c r="A155" s="63" t="n"/>
      <c r="B155" s="64" t="n"/>
      <c r="C155" s="64" t="n"/>
      <c r="D155" s="64" t="n"/>
      <c r="E155" s="67" t="n"/>
      <c r="F155" s="67" t="n"/>
      <c r="G155" s="67" t="n"/>
      <c r="H155" s="67" t="n"/>
      <c r="I155" s="67" t="n"/>
      <c r="J155" s="73" t="str">
        <f>IF(AND($W155&gt;0,ISNUMBER($I155)),$I155/$W155,"")</f>
        <v/>
      </c>
      <c r="K155" s="67" t="n"/>
      <c r="L155" s="73" t="str">
        <f>IF(AND($W155&gt;0,ISNUMBER($K155)),$K155/$W155,"")</f>
        <v/>
      </c>
      <c r="M155" s="67" t="n"/>
      <c r="N155" s="73" t="str">
        <f>IF(AND($W155&gt;0,ISNUMBER($M155)),$M155/$W155,"")</f>
        <v/>
      </c>
      <c r="O155" s="67" t="n"/>
      <c r="P155" s="73" t="str">
        <f>IF(AND($W155&gt;0,ISNUMBER($O155)),$O155/$W155,"")</f>
        <v/>
      </c>
      <c r="Q155" s="67" t="n"/>
      <c r="R155" s="67" t="n"/>
      <c r="S155" s="67" t="n"/>
      <c r="T155" s="64" t="n"/>
      <c r="U155" s="64" t="n"/>
      <c r="V155" s="65" t="n"/>
      <c r="W155" s="72">
        <f>IF($D155="",0,IF(ISNUMBER($G155),IF($G155&gt;0,$G155,N($F155)),N($F155)))</f>
        <v>0</v>
      </c>
      <c r="X155" s="71" t="str">
        <f>IF(ISNUMBER($A155),YEAR($A155)&amp;"-"&amp;TEXT(MONTH($A155),"00"),"")</f>
        <v/>
      </c>
      <c r="Y155" s="71">
        <f>IF($D155="",0,IF(AND(OR(fClient="All",$B155=fClient),OR(fCampaign="All",$C155=fCampaign),OR(fTeam="All",$T155=fTeam),OR(fChannel="All",fChannel="Email",fChannel="Content Syndication"),OR(fMonth="All",$X155=fMonth)),1,0))</f>
        <v>0</v>
      </c>
      <c r="Z155" s="71">
        <f>IF($D155="",0,IF(AND(OR(fClient="All",$B155=fClient),OR(fCampaign="All",$C155=fCampaign),OR(fTeam="All",$T155=fTeam),OR(fChannel="All",fChannel="Email",fChannel="Content Syndication")),1,0))</f>
        <v>0</v>
      </c>
    </row>
    <row r="156">
      <c r="A156" s="63" t="n"/>
      <c r="B156" s="64" t="n"/>
      <c r="C156" s="64" t="n"/>
      <c r="D156" s="64" t="n"/>
      <c r="E156" s="67" t="n"/>
      <c r="F156" s="67" t="n"/>
      <c r="G156" s="67" t="n"/>
      <c r="H156" s="67" t="n"/>
      <c r="I156" s="67" t="n"/>
      <c r="J156" s="73" t="str">
        <f>IF(AND($W156&gt;0,ISNUMBER($I156)),$I156/$W156,"")</f>
        <v/>
      </c>
      <c r="K156" s="67" t="n"/>
      <c r="L156" s="73" t="str">
        <f>IF(AND($W156&gt;0,ISNUMBER($K156)),$K156/$W156,"")</f>
        <v/>
      </c>
      <c r="M156" s="67" t="n"/>
      <c r="N156" s="73" t="str">
        <f>IF(AND($W156&gt;0,ISNUMBER($M156)),$M156/$W156,"")</f>
        <v/>
      </c>
      <c r="O156" s="67" t="n"/>
      <c r="P156" s="73" t="str">
        <f>IF(AND($W156&gt;0,ISNUMBER($O156)),$O156/$W156,"")</f>
        <v/>
      </c>
      <c r="Q156" s="67" t="n"/>
      <c r="R156" s="67" t="n"/>
      <c r="S156" s="67" t="n"/>
      <c r="T156" s="64" t="n"/>
      <c r="U156" s="64" t="n"/>
      <c r="V156" s="65" t="n"/>
      <c r="W156" s="72">
        <f>IF($D156="",0,IF(ISNUMBER($G156),IF($G156&gt;0,$G156,N($F156)),N($F156)))</f>
        <v>0</v>
      </c>
      <c r="X156" s="71" t="str">
        <f>IF(ISNUMBER($A156),YEAR($A156)&amp;"-"&amp;TEXT(MONTH($A156),"00"),"")</f>
        <v/>
      </c>
      <c r="Y156" s="71">
        <f>IF($D156="",0,IF(AND(OR(fClient="All",$B156=fClient),OR(fCampaign="All",$C156=fCampaign),OR(fTeam="All",$T156=fTeam),OR(fChannel="All",fChannel="Email",fChannel="Content Syndication"),OR(fMonth="All",$X156=fMonth)),1,0))</f>
        <v>0</v>
      </c>
      <c r="Z156" s="71">
        <f>IF($D156="",0,IF(AND(OR(fClient="All",$B156=fClient),OR(fCampaign="All",$C156=fCampaign),OR(fTeam="All",$T156=fTeam),OR(fChannel="All",fChannel="Email",fChannel="Content Syndication")),1,0))</f>
        <v>0</v>
      </c>
    </row>
    <row r="157">
      <c r="A157" s="63" t="n"/>
      <c r="B157" s="64" t="n"/>
      <c r="C157" s="64" t="n"/>
      <c r="D157" s="64" t="n"/>
      <c r="E157" s="67" t="n"/>
      <c r="F157" s="67" t="n"/>
      <c r="G157" s="67" t="n"/>
      <c r="H157" s="67" t="n"/>
      <c r="I157" s="67" t="n"/>
      <c r="J157" s="73" t="str">
        <f>IF(AND($W157&gt;0,ISNUMBER($I157)),$I157/$W157,"")</f>
        <v/>
      </c>
      <c r="K157" s="67" t="n"/>
      <c r="L157" s="73" t="str">
        <f>IF(AND($W157&gt;0,ISNUMBER($K157)),$K157/$W157,"")</f>
        <v/>
      </c>
      <c r="M157" s="67" t="n"/>
      <c r="N157" s="73" t="str">
        <f>IF(AND($W157&gt;0,ISNUMBER($M157)),$M157/$W157,"")</f>
        <v/>
      </c>
      <c r="O157" s="67" t="n"/>
      <c r="P157" s="73" t="str">
        <f>IF(AND($W157&gt;0,ISNUMBER($O157)),$O157/$W157,"")</f>
        <v/>
      </c>
      <c r="Q157" s="67" t="n"/>
      <c r="R157" s="67" t="n"/>
      <c r="S157" s="67" t="n"/>
      <c r="T157" s="64" t="n"/>
      <c r="U157" s="64" t="n"/>
      <c r="V157" s="65" t="n"/>
      <c r="W157" s="72">
        <f>IF($D157="",0,IF(ISNUMBER($G157),IF($G157&gt;0,$G157,N($F157)),N($F157)))</f>
        <v>0</v>
      </c>
      <c r="X157" s="71" t="str">
        <f>IF(ISNUMBER($A157),YEAR($A157)&amp;"-"&amp;TEXT(MONTH($A157),"00"),"")</f>
        <v/>
      </c>
      <c r="Y157" s="71">
        <f>IF($D157="",0,IF(AND(OR(fClient="All",$B157=fClient),OR(fCampaign="All",$C157=fCampaign),OR(fTeam="All",$T157=fTeam),OR(fChannel="All",fChannel="Email",fChannel="Content Syndication"),OR(fMonth="All",$X157=fMonth)),1,0))</f>
        <v>0</v>
      </c>
      <c r="Z157" s="71">
        <f>IF($D157="",0,IF(AND(OR(fClient="All",$B157=fClient),OR(fCampaign="All",$C157=fCampaign),OR(fTeam="All",$T157=fTeam),OR(fChannel="All",fChannel="Email",fChannel="Content Syndication")),1,0))</f>
        <v>0</v>
      </c>
    </row>
    <row r="158">
      <c r="A158" s="63" t="n"/>
      <c r="B158" s="64" t="n"/>
      <c r="C158" s="64" t="n"/>
      <c r="D158" s="64" t="n"/>
      <c r="E158" s="67" t="n"/>
      <c r="F158" s="67" t="n"/>
      <c r="G158" s="67" t="n"/>
      <c r="H158" s="67" t="n"/>
      <c r="I158" s="67" t="n"/>
      <c r="J158" s="73" t="str">
        <f>IF(AND($W158&gt;0,ISNUMBER($I158)),$I158/$W158,"")</f>
        <v/>
      </c>
      <c r="K158" s="67" t="n"/>
      <c r="L158" s="73" t="str">
        <f>IF(AND($W158&gt;0,ISNUMBER($K158)),$K158/$W158,"")</f>
        <v/>
      </c>
      <c r="M158" s="67" t="n"/>
      <c r="N158" s="73" t="str">
        <f>IF(AND($W158&gt;0,ISNUMBER($M158)),$M158/$W158,"")</f>
        <v/>
      </c>
      <c r="O158" s="67" t="n"/>
      <c r="P158" s="73" t="str">
        <f>IF(AND($W158&gt;0,ISNUMBER($O158)),$O158/$W158,"")</f>
        <v/>
      </c>
      <c r="Q158" s="67" t="n"/>
      <c r="R158" s="67" t="n"/>
      <c r="S158" s="67" t="n"/>
      <c r="T158" s="64" t="n"/>
      <c r="U158" s="64" t="n"/>
      <c r="V158" s="65" t="n"/>
      <c r="W158" s="72">
        <f>IF($D158="",0,IF(ISNUMBER($G158),IF($G158&gt;0,$G158,N($F158)),N($F158)))</f>
        <v>0</v>
      </c>
      <c r="X158" s="71" t="str">
        <f>IF(ISNUMBER($A158),YEAR($A158)&amp;"-"&amp;TEXT(MONTH($A158),"00"),"")</f>
        <v/>
      </c>
      <c r="Y158" s="71">
        <f>IF($D158="",0,IF(AND(OR(fClient="All",$B158=fClient),OR(fCampaign="All",$C158=fCampaign),OR(fTeam="All",$T158=fTeam),OR(fChannel="All",fChannel="Email",fChannel="Content Syndication"),OR(fMonth="All",$X158=fMonth)),1,0))</f>
        <v>0</v>
      </c>
      <c r="Z158" s="71">
        <f>IF($D158="",0,IF(AND(OR(fClient="All",$B158=fClient),OR(fCampaign="All",$C158=fCampaign),OR(fTeam="All",$T158=fTeam),OR(fChannel="All",fChannel="Email",fChannel="Content Syndication")),1,0))</f>
        <v>0</v>
      </c>
    </row>
    <row r="159">
      <c r="A159" s="63" t="n"/>
      <c r="B159" s="64" t="n"/>
      <c r="C159" s="64" t="n"/>
      <c r="D159" s="64" t="n"/>
      <c r="E159" s="67" t="n"/>
      <c r="F159" s="67" t="n"/>
      <c r="G159" s="67" t="n"/>
      <c r="H159" s="67" t="n"/>
      <c r="I159" s="67" t="n"/>
      <c r="J159" s="73" t="str">
        <f>IF(AND($W159&gt;0,ISNUMBER($I159)),$I159/$W159,"")</f>
        <v/>
      </c>
      <c r="K159" s="67" t="n"/>
      <c r="L159" s="73" t="str">
        <f>IF(AND($W159&gt;0,ISNUMBER($K159)),$K159/$W159,"")</f>
        <v/>
      </c>
      <c r="M159" s="67" t="n"/>
      <c r="N159" s="73" t="str">
        <f>IF(AND($W159&gt;0,ISNUMBER($M159)),$M159/$W159,"")</f>
        <v/>
      </c>
      <c r="O159" s="67" t="n"/>
      <c r="P159" s="73" t="str">
        <f>IF(AND($W159&gt;0,ISNUMBER($O159)),$O159/$W159,"")</f>
        <v/>
      </c>
      <c r="Q159" s="67" t="n"/>
      <c r="R159" s="67" t="n"/>
      <c r="S159" s="67" t="n"/>
      <c r="T159" s="64" t="n"/>
      <c r="U159" s="64" t="n"/>
      <c r="V159" s="65" t="n"/>
      <c r="W159" s="72">
        <f>IF($D159="",0,IF(ISNUMBER($G159),IF($G159&gt;0,$G159,N($F159)),N($F159)))</f>
        <v>0</v>
      </c>
      <c r="X159" s="71" t="str">
        <f>IF(ISNUMBER($A159),YEAR($A159)&amp;"-"&amp;TEXT(MONTH($A159),"00"),"")</f>
        <v/>
      </c>
      <c r="Y159" s="71">
        <f>IF($D159="",0,IF(AND(OR(fClient="All",$B159=fClient),OR(fCampaign="All",$C159=fCampaign),OR(fTeam="All",$T159=fTeam),OR(fChannel="All",fChannel="Email",fChannel="Content Syndication"),OR(fMonth="All",$X159=fMonth)),1,0))</f>
        <v>0</v>
      </c>
      <c r="Z159" s="71">
        <f>IF($D159="",0,IF(AND(OR(fClient="All",$B159=fClient),OR(fCampaign="All",$C159=fCampaign),OR(fTeam="All",$T159=fTeam),OR(fChannel="All",fChannel="Email",fChannel="Content Syndication")),1,0))</f>
        <v>0</v>
      </c>
    </row>
    <row r="160">
      <c r="A160" s="63" t="n"/>
      <c r="B160" s="64" t="n"/>
      <c r="C160" s="64" t="n"/>
      <c r="D160" s="64" t="n"/>
      <c r="E160" s="67" t="n"/>
      <c r="F160" s="67" t="n"/>
      <c r="G160" s="67" t="n"/>
      <c r="H160" s="67" t="n"/>
      <c r="I160" s="67" t="n"/>
      <c r="J160" s="73" t="str">
        <f>IF(AND($W160&gt;0,ISNUMBER($I160)),$I160/$W160,"")</f>
        <v/>
      </c>
      <c r="K160" s="67" t="n"/>
      <c r="L160" s="73" t="str">
        <f>IF(AND($W160&gt;0,ISNUMBER($K160)),$K160/$W160,"")</f>
        <v/>
      </c>
      <c r="M160" s="67" t="n"/>
      <c r="N160" s="73" t="str">
        <f>IF(AND($W160&gt;0,ISNUMBER($M160)),$M160/$W160,"")</f>
        <v/>
      </c>
      <c r="O160" s="67" t="n"/>
      <c r="P160" s="73" t="str">
        <f>IF(AND($W160&gt;0,ISNUMBER($O160)),$O160/$W160,"")</f>
        <v/>
      </c>
      <c r="Q160" s="67" t="n"/>
      <c r="R160" s="67" t="n"/>
      <c r="S160" s="67" t="n"/>
      <c r="T160" s="64" t="n"/>
      <c r="U160" s="64" t="n"/>
      <c r="V160" s="65" t="n"/>
      <c r="W160" s="72">
        <f>IF($D160="",0,IF(ISNUMBER($G160),IF($G160&gt;0,$G160,N($F160)),N($F160)))</f>
        <v>0</v>
      </c>
      <c r="X160" s="71" t="str">
        <f>IF(ISNUMBER($A160),YEAR($A160)&amp;"-"&amp;TEXT(MONTH($A160),"00"),"")</f>
        <v/>
      </c>
      <c r="Y160" s="71">
        <f>IF($D160="",0,IF(AND(OR(fClient="All",$B160=fClient),OR(fCampaign="All",$C160=fCampaign),OR(fTeam="All",$T160=fTeam),OR(fChannel="All",fChannel="Email",fChannel="Content Syndication"),OR(fMonth="All",$X160=fMonth)),1,0))</f>
        <v>0</v>
      </c>
      <c r="Z160" s="71">
        <f>IF($D160="",0,IF(AND(OR(fClient="All",$B160=fClient),OR(fCampaign="All",$C160=fCampaign),OR(fTeam="All",$T160=fTeam),OR(fChannel="All",fChannel="Email",fChannel="Content Syndication")),1,0))</f>
        <v>0</v>
      </c>
    </row>
    <row r="161">
      <c r="A161" s="63" t="n"/>
      <c r="B161" s="64" t="n"/>
      <c r="C161" s="64" t="n"/>
      <c r="D161" s="64" t="n"/>
      <c r="E161" s="67" t="n"/>
      <c r="F161" s="67" t="n"/>
      <c r="G161" s="67" t="n"/>
      <c r="H161" s="67" t="n"/>
      <c r="I161" s="67" t="n"/>
      <c r="J161" s="73" t="str">
        <f>IF(AND($W161&gt;0,ISNUMBER($I161)),$I161/$W161,"")</f>
        <v/>
      </c>
      <c r="K161" s="67" t="n"/>
      <c r="L161" s="73" t="str">
        <f>IF(AND($W161&gt;0,ISNUMBER($K161)),$K161/$W161,"")</f>
        <v/>
      </c>
      <c r="M161" s="67" t="n"/>
      <c r="N161" s="73" t="str">
        <f>IF(AND($W161&gt;0,ISNUMBER($M161)),$M161/$W161,"")</f>
        <v/>
      </c>
      <c r="O161" s="67" t="n"/>
      <c r="P161" s="73" t="str">
        <f>IF(AND($W161&gt;0,ISNUMBER($O161)),$O161/$W161,"")</f>
        <v/>
      </c>
      <c r="Q161" s="67" t="n"/>
      <c r="R161" s="67" t="n"/>
      <c r="S161" s="67" t="n"/>
      <c r="T161" s="64" t="n"/>
      <c r="U161" s="64" t="n"/>
      <c r="V161" s="65" t="n"/>
      <c r="W161" s="72">
        <f>IF($D161="",0,IF(ISNUMBER($G161),IF($G161&gt;0,$G161,N($F161)),N($F161)))</f>
        <v>0</v>
      </c>
      <c r="X161" s="71" t="str">
        <f>IF(ISNUMBER($A161),YEAR($A161)&amp;"-"&amp;TEXT(MONTH($A161),"00"),"")</f>
        <v/>
      </c>
      <c r="Y161" s="71">
        <f>IF($D161="",0,IF(AND(OR(fClient="All",$B161=fClient),OR(fCampaign="All",$C161=fCampaign),OR(fTeam="All",$T161=fTeam),OR(fChannel="All",fChannel="Email",fChannel="Content Syndication"),OR(fMonth="All",$X161=fMonth)),1,0))</f>
        <v>0</v>
      </c>
      <c r="Z161" s="71">
        <f>IF($D161="",0,IF(AND(OR(fClient="All",$B161=fClient),OR(fCampaign="All",$C161=fCampaign),OR(fTeam="All",$T161=fTeam),OR(fChannel="All",fChannel="Email",fChannel="Content Syndication")),1,0))</f>
        <v>0</v>
      </c>
    </row>
    <row r="162">
      <c r="A162" s="63" t="n"/>
      <c r="B162" s="64" t="n"/>
      <c r="C162" s="64" t="n"/>
      <c r="D162" s="64" t="n"/>
      <c r="E162" s="67" t="n"/>
      <c r="F162" s="67" t="n"/>
      <c r="G162" s="67" t="n"/>
      <c r="H162" s="67" t="n"/>
      <c r="I162" s="67" t="n"/>
      <c r="J162" s="73" t="str">
        <f>IF(AND($W162&gt;0,ISNUMBER($I162)),$I162/$W162,"")</f>
        <v/>
      </c>
      <c r="K162" s="67" t="n"/>
      <c r="L162" s="73" t="str">
        <f>IF(AND($W162&gt;0,ISNUMBER($K162)),$K162/$W162,"")</f>
        <v/>
      </c>
      <c r="M162" s="67" t="n"/>
      <c r="N162" s="73" t="str">
        <f>IF(AND($W162&gt;0,ISNUMBER($M162)),$M162/$W162,"")</f>
        <v/>
      </c>
      <c r="O162" s="67" t="n"/>
      <c r="P162" s="73" t="str">
        <f>IF(AND($W162&gt;0,ISNUMBER($O162)),$O162/$W162,"")</f>
        <v/>
      </c>
      <c r="Q162" s="67" t="n"/>
      <c r="R162" s="67" t="n"/>
      <c r="S162" s="67" t="n"/>
      <c r="T162" s="64" t="n"/>
      <c r="U162" s="64" t="n"/>
      <c r="V162" s="65" t="n"/>
      <c r="W162" s="72">
        <f>IF($D162="",0,IF(ISNUMBER($G162),IF($G162&gt;0,$G162,N($F162)),N($F162)))</f>
        <v>0</v>
      </c>
      <c r="X162" s="71" t="str">
        <f>IF(ISNUMBER($A162),YEAR($A162)&amp;"-"&amp;TEXT(MONTH($A162),"00"),"")</f>
        <v/>
      </c>
      <c r="Y162" s="71">
        <f>IF($D162="",0,IF(AND(OR(fClient="All",$B162=fClient),OR(fCampaign="All",$C162=fCampaign),OR(fTeam="All",$T162=fTeam),OR(fChannel="All",fChannel="Email",fChannel="Content Syndication"),OR(fMonth="All",$X162=fMonth)),1,0))</f>
        <v>0</v>
      </c>
      <c r="Z162" s="71">
        <f>IF($D162="",0,IF(AND(OR(fClient="All",$B162=fClient),OR(fCampaign="All",$C162=fCampaign),OR(fTeam="All",$T162=fTeam),OR(fChannel="All",fChannel="Email",fChannel="Content Syndication")),1,0))</f>
        <v>0</v>
      </c>
    </row>
    <row r="163">
      <c r="A163" s="63" t="n"/>
      <c r="B163" s="64" t="n"/>
      <c r="C163" s="64" t="n"/>
      <c r="D163" s="64" t="n"/>
      <c r="E163" s="67" t="n"/>
      <c r="F163" s="67" t="n"/>
      <c r="G163" s="67" t="n"/>
      <c r="H163" s="67" t="n"/>
      <c r="I163" s="67" t="n"/>
      <c r="J163" s="73" t="str">
        <f>IF(AND($W163&gt;0,ISNUMBER($I163)),$I163/$W163,"")</f>
        <v/>
      </c>
      <c r="K163" s="67" t="n"/>
      <c r="L163" s="73" t="str">
        <f>IF(AND($W163&gt;0,ISNUMBER($K163)),$K163/$W163,"")</f>
        <v/>
      </c>
      <c r="M163" s="67" t="n"/>
      <c r="N163" s="73" t="str">
        <f>IF(AND($W163&gt;0,ISNUMBER($M163)),$M163/$W163,"")</f>
        <v/>
      </c>
      <c r="O163" s="67" t="n"/>
      <c r="P163" s="73" t="str">
        <f>IF(AND($W163&gt;0,ISNUMBER($O163)),$O163/$W163,"")</f>
        <v/>
      </c>
      <c r="Q163" s="67" t="n"/>
      <c r="R163" s="67" t="n"/>
      <c r="S163" s="67" t="n"/>
      <c r="T163" s="64" t="n"/>
      <c r="U163" s="64" t="n"/>
      <c r="V163" s="65" t="n"/>
      <c r="W163" s="72">
        <f>IF($D163="",0,IF(ISNUMBER($G163),IF($G163&gt;0,$G163,N($F163)),N($F163)))</f>
        <v>0</v>
      </c>
      <c r="X163" s="71" t="str">
        <f>IF(ISNUMBER($A163),YEAR($A163)&amp;"-"&amp;TEXT(MONTH($A163),"00"),"")</f>
        <v/>
      </c>
      <c r="Y163" s="71">
        <f>IF($D163="",0,IF(AND(OR(fClient="All",$B163=fClient),OR(fCampaign="All",$C163=fCampaign),OR(fTeam="All",$T163=fTeam),OR(fChannel="All",fChannel="Email",fChannel="Content Syndication"),OR(fMonth="All",$X163=fMonth)),1,0))</f>
        <v>0</v>
      </c>
      <c r="Z163" s="71">
        <f>IF($D163="",0,IF(AND(OR(fClient="All",$B163=fClient),OR(fCampaign="All",$C163=fCampaign),OR(fTeam="All",$T163=fTeam),OR(fChannel="All",fChannel="Email",fChannel="Content Syndication")),1,0))</f>
        <v>0</v>
      </c>
    </row>
    <row r="164">
      <c r="A164" s="63" t="n"/>
      <c r="B164" s="64" t="n"/>
      <c r="C164" s="64" t="n"/>
      <c r="D164" s="64" t="n"/>
      <c r="E164" s="67" t="n"/>
      <c r="F164" s="67" t="n"/>
      <c r="G164" s="67" t="n"/>
      <c r="H164" s="67" t="n"/>
      <c r="I164" s="67" t="n"/>
      <c r="J164" s="73" t="str">
        <f>IF(AND($W164&gt;0,ISNUMBER($I164)),$I164/$W164,"")</f>
        <v/>
      </c>
      <c r="K164" s="67" t="n"/>
      <c r="L164" s="73" t="str">
        <f>IF(AND($W164&gt;0,ISNUMBER($K164)),$K164/$W164,"")</f>
        <v/>
      </c>
      <c r="M164" s="67" t="n"/>
      <c r="N164" s="73" t="str">
        <f>IF(AND($W164&gt;0,ISNUMBER($M164)),$M164/$W164,"")</f>
        <v/>
      </c>
      <c r="O164" s="67" t="n"/>
      <c r="P164" s="73" t="str">
        <f>IF(AND($W164&gt;0,ISNUMBER($O164)),$O164/$W164,"")</f>
        <v/>
      </c>
      <c r="Q164" s="67" t="n"/>
      <c r="R164" s="67" t="n"/>
      <c r="S164" s="67" t="n"/>
      <c r="T164" s="64" t="n"/>
      <c r="U164" s="64" t="n"/>
      <c r="V164" s="65" t="n"/>
      <c r="W164" s="72">
        <f>IF($D164="",0,IF(ISNUMBER($G164),IF($G164&gt;0,$G164,N($F164)),N($F164)))</f>
        <v>0</v>
      </c>
      <c r="X164" s="71" t="str">
        <f>IF(ISNUMBER($A164),YEAR($A164)&amp;"-"&amp;TEXT(MONTH($A164),"00"),"")</f>
        <v/>
      </c>
      <c r="Y164" s="71">
        <f>IF($D164="",0,IF(AND(OR(fClient="All",$B164=fClient),OR(fCampaign="All",$C164=fCampaign),OR(fTeam="All",$T164=fTeam),OR(fChannel="All",fChannel="Email",fChannel="Content Syndication"),OR(fMonth="All",$X164=fMonth)),1,0))</f>
        <v>0</v>
      </c>
      <c r="Z164" s="71">
        <f>IF($D164="",0,IF(AND(OR(fClient="All",$B164=fClient),OR(fCampaign="All",$C164=fCampaign),OR(fTeam="All",$T164=fTeam),OR(fChannel="All",fChannel="Email",fChannel="Content Syndication")),1,0))</f>
        <v>0</v>
      </c>
    </row>
    <row r="165">
      <c r="A165" s="63" t="n"/>
      <c r="B165" s="64" t="n"/>
      <c r="C165" s="64" t="n"/>
      <c r="D165" s="64" t="n"/>
      <c r="E165" s="67" t="n"/>
      <c r="F165" s="67" t="n"/>
      <c r="G165" s="67" t="n"/>
      <c r="H165" s="67" t="n"/>
      <c r="I165" s="67" t="n"/>
      <c r="J165" s="73" t="str">
        <f>IF(AND($W165&gt;0,ISNUMBER($I165)),$I165/$W165,"")</f>
        <v/>
      </c>
      <c r="K165" s="67" t="n"/>
      <c r="L165" s="73" t="str">
        <f>IF(AND($W165&gt;0,ISNUMBER($K165)),$K165/$W165,"")</f>
        <v/>
      </c>
      <c r="M165" s="67" t="n"/>
      <c r="N165" s="73" t="str">
        <f>IF(AND($W165&gt;0,ISNUMBER($M165)),$M165/$W165,"")</f>
        <v/>
      </c>
      <c r="O165" s="67" t="n"/>
      <c r="P165" s="73" t="str">
        <f>IF(AND($W165&gt;0,ISNUMBER($O165)),$O165/$W165,"")</f>
        <v/>
      </c>
      <c r="Q165" s="67" t="n"/>
      <c r="R165" s="67" t="n"/>
      <c r="S165" s="67" t="n"/>
      <c r="T165" s="64" t="n"/>
      <c r="U165" s="64" t="n"/>
      <c r="V165" s="65" t="n"/>
      <c r="W165" s="72">
        <f>IF($D165="",0,IF(ISNUMBER($G165),IF($G165&gt;0,$G165,N($F165)),N($F165)))</f>
        <v>0</v>
      </c>
      <c r="X165" s="71" t="str">
        <f>IF(ISNUMBER($A165),YEAR($A165)&amp;"-"&amp;TEXT(MONTH($A165),"00"),"")</f>
        <v/>
      </c>
      <c r="Y165" s="71">
        <f>IF($D165="",0,IF(AND(OR(fClient="All",$B165=fClient),OR(fCampaign="All",$C165=fCampaign),OR(fTeam="All",$T165=fTeam),OR(fChannel="All",fChannel="Email",fChannel="Content Syndication"),OR(fMonth="All",$X165=fMonth)),1,0))</f>
        <v>0</v>
      </c>
      <c r="Z165" s="71">
        <f>IF($D165="",0,IF(AND(OR(fClient="All",$B165=fClient),OR(fCampaign="All",$C165=fCampaign),OR(fTeam="All",$T165=fTeam),OR(fChannel="All",fChannel="Email",fChannel="Content Syndication")),1,0))</f>
        <v>0</v>
      </c>
    </row>
    <row r="166">
      <c r="A166" s="63" t="n"/>
      <c r="B166" s="64" t="n"/>
      <c r="C166" s="64" t="n"/>
      <c r="D166" s="64" t="n"/>
      <c r="E166" s="67" t="n"/>
      <c r="F166" s="67" t="n"/>
      <c r="G166" s="67" t="n"/>
      <c r="H166" s="67" t="n"/>
      <c r="I166" s="67" t="n"/>
      <c r="J166" s="73" t="str">
        <f>IF(AND($W166&gt;0,ISNUMBER($I166)),$I166/$W166,"")</f>
        <v/>
      </c>
      <c r="K166" s="67" t="n"/>
      <c r="L166" s="73" t="str">
        <f>IF(AND($W166&gt;0,ISNUMBER($K166)),$K166/$W166,"")</f>
        <v/>
      </c>
      <c r="M166" s="67" t="n"/>
      <c r="N166" s="73" t="str">
        <f>IF(AND($W166&gt;0,ISNUMBER($M166)),$M166/$W166,"")</f>
        <v/>
      </c>
      <c r="O166" s="67" t="n"/>
      <c r="P166" s="73" t="str">
        <f>IF(AND($W166&gt;0,ISNUMBER($O166)),$O166/$W166,"")</f>
        <v/>
      </c>
      <c r="Q166" s="67" t="n"/>
      <c r="R166" s="67" t="n"/>
      <c r="S166" s="67" t="n"/>
      <c r="T166" s="64" t="n"/>
      <c r="U166" s="64" t="n"/>
      <c r="V166" s="65" t="n"/>
      <c r="W166" s="72">
        <f>IF($D166="",0,IF(ISNUMBER($G166),IF($G166&gt;0,$G166,N($F166)),N($F166)))</f>
        <v>0</v>
      </c>
      <c r="X166" s="71" t="str">
        <f>IF(ISNUMBER($A166),YEAR($A166)&amp;"-"&amp;TEXT(MONTH($A166),"00"),"")</f>
        <v/>
      </c>
      <c r="Y166" s="71">
        <f>IF($D166="",0,IF(AND(OR(fClient="All",$B166=fClient),OR(fCampaign="All",$C166=fCampaign),OR(fTeam="All",$T166=fTeam),OR(fChannel="All",fChannel="Email",fChannel="Content Syndication"),OR(fMonth="All",$X166=fMonth)),1,0))</f>
        <v>0</v>
      </c>
      <c r="Z166" s="71">
        <f>IF($D166="",0,IF(AND(OR(fClient="All",$B166=fClient),OR(fCampaign="All",$C166=fCampaign),OR(fTeam="All",$T166=fTeam),OR(fChannel="All",fChannel="Email",fChannel="Content Syndication")),1,0))</f>
        <v>0</v>
      </c>
    </row>
    <row r="167">
      <c r="A167" s="63" t="n"/>
      <c r="B167" s="64" t="n"/>
      <c r="C167" s="64" t="n"/>
      <c r="D167" s="64" t="n"/>
      <c r="E167" s="67" t="n"/>
      <c r="F167" s="67" t="n"/>
      <c r="G167" s="67" t="n"/>
      <c r="H167" s="67" t="n"/>
      <c r="I167" s="67" t="n"/>
      <c r="J167" s="73" t="str">
        <f>IF(AND($W167&gt;0,ISNUMBER($I167)),$I167/$W167,"")</f>
        <v/>
      </c>
      <c r="K167" s="67" t="n"/>
      <c r="L167" s="73" t="str">
        <f>IF(AND($W167&gt;0,ISNUMBER($K167)),$K167/$W167,"")</f>
        <v/>
      </c>
      <c r="M167" s="67" t="n"/>
      <c r="N167" s="73" t="str">
        <f>IF(AND($W167&gt;0,ISNUMBER($M167)),$M167/$W167,"")</f>
        <v/>
      </c>
      <c r="O167" s="67" t="n"/>
      <c r="P167" s="73" t="str">
        <f>IF(AND($W167&gt;0,ISNUMBER($O167)),$O167/$W167,"")</f>
        <v/>
      </c>
      <c r="Q167" s="67" t="n"/>
      <c r="R167" s="67" t="n"/>
      <c r="S167" s="67" t="n"/>
      <c r="T167" s="64" t="n"/>
      <c r="U167" s="64" t="n"/>
      <c r="V167" s="65" t="n"/>
      <c r="W167" s="72">
        <f>IF($D167="",0,IF(ISNUMBER($G167),IF($G167&gt;0,$G167,N($F167)),N($F167)))</f>
        <v>0</v>
      </c>
      <c r="X167" s="71" t="str">
        <f>IF(ISNUMBER($A167),YEAR($A167)&amp;"-"&amp;TEXT(MONTH($A167),"00"),"")</f>
        <v/>
      </c>
      <c r="Y167" s="71">
        <f>IF($D167="",0,IF(AND(OR(fClient="All",$B167=fClient),OR(fCampaign="All",$C167=fCampaign),OR(fTeam="All",$T167=fTeam),OR(fChannel="All",fChannel="Email",fChannel="Content Syndication"),OR(fMonth="All",$X167=fMonth)),1,0))</f>
        <v>0</v>
      </c>
      <c r="Z167" s="71">
        <f>IF($D167="",0,IF(AND(OR(fClient="All",$B167=fClient),OR(fCampaign="All",$C167=fCampaign),OR(fTeam="All",$T167=fTeam),OR(fChannel="All",fChannel="Email",fChannel="Content Syndication")),1,0))</f>
        <v>0</v>
      </c>
    </row>
    <row r="168">
      <c r="A168" s="63" t="n"/>
      <c r="B168" s="64" t="n"/>
      <c r="C168" s="64" t="n"/>
      <c r="D168" s="64" t="n"/>
      <c r="E168" s="67" t="n"/>
      <c r="F168" s="67" t="n"/>
      <c r="G168" s="67" t="n"/>
      <c r="H168" s="67" t="n"/>
      <c r="I168" s="67" t="n"/>
      <c r="J168" s="73" t="str">
        <f>IF(AND($W168&gt;0,ISNUMBER($I168)),$I168/$W168,"")</f>
        <v/>
      </c>
      <c r="K168" s="67" t="n"/>
      <c r="L168" s="73" t="str">
        <f>IF(AND($W168&gt;0,ISNUMBER($K168)),$K168/$W168,"")</f>
        <v/>
      </c>
      <c r="M168" s="67" t="n"/>
      <c r="N168" s="73" t="str">
        <f>IF(AND($W168&gt;0,ISNUMBER($M168)),$M168/$W168,"")</f>
        <v/>
      </c>
      <c r="O168" s="67" t="n"/>
      <c r="P168" s="73" t="str">
        <f>IF(AND($W168&gt;0,ISNUMBER($O168)),$O168/$W168,"")</f>
        <v/>
      </c>
      <c r="Q168" s="67" t="n"/>
      <c r="R168" s="67" t="n"/>
      <c r="S168" s="67" t="n"/>
      <c r="T168" s="64" t="n"/>
      <c r="U168" s="64" t="n"/>
      <c r="V168" s="65" t="n"/>
      <c r="W168" s="72">
        <f>IF($D168="",0,IF(ISNUMBER($G168),IF($G168&gt;0,$G168,N($F168)),N($F168)))</f>
        <v>0</v>
      </c>
      <c r="X168" s="71" t="str">
        <f>IF(ISNUMBER($A168),YEAR($A168)&amp;"-"&amp;TEXT(MONTH($A168),"00"),"")</f>
        <v/>
      </c>
      <c r="Y168" s="71">
        <f>IF($D168="",0,IF(AND(OR(fClient="All",$B168=fClient),OR(fCampaign="All",$C168=fCampaign),OR(fTeam="All",$T168=fTeam),OR(fChannel="All",fChannel="Email",fChannel="Content Syndication"),OR(fMonth="All",$X168=fMonth)),1,0))</f>
        <v>0</v>
      </c>
      <c r="Z168" s="71">
        <f>IF($D168="",0,IF(AND(OR(fClient="All",$B168=fClient),OR(fCampaign="All",$C168=fCampaign),OR(fTeam="All",$T168=fTeam),OR(fChannel="All",fChannel="Email",fChannel="Content Syndication")),1,0))</f>
        <v>0</v>
      </c>
    </row>
    <row r="169">
      <c r="A169" s="63" t="n"/>
      <c r="B169" s="64" t="n"/>
      <c r="C169" s="64" t="n"/>
      <c r="D169" s="64" t="n"/>
      <c r="E169" s="67" t="n"/>
      <c r="F169" s="67" t="n"/>
      <c r="G169" s="67" t="n"/>
      <c r="H169" s="67" t="n"/>
      <c r="I169" s="67" t="n"/>
      <c r="J169" s="73" t="str">
        <f>IF(AND($W169&gt;0,ISNUMBER($I169)),$I169/$W169,"")</f>
        <v/>
      </c>
      <c r="K169" s="67" t="n"/>
      <c r="L169" s="73" t="str">
        <f>IF(AND($W169&gt;0,ISNUMBER($K169)),$K169/$W169,"")</f>
        <v/>
      </c>
      <c r="M169" s="67" t="n"/>
      <c r="N169" s="73" t="str">
        <f>IF(AND($W169&gt;0,ISNUMBER($M169)),$M169/$W169,"")</f>
        <v/>
      </c>
      <c r="O169" s="67" t="n"/>
      <c r="P169" s="73" t="str">
        <f>IF(AND($W169&gt;0,ISNUMBER($O169)),$O169/$W169,"")</f>
        <v/>
      </c>
      <c r="Q169" s="67" t="n"/>
      <c r="R169" s="67" t="n"/>
      <c r="S169" s="67" t="n"/>
      <c r="T169" s="64" t="n"/>
      <c r="U169" s="64" t="n"/>
      <c r="V169" s="65" t="n"/>
      <c r="W169" s="72">
        <f>IF($D169="",0,IF(ISNUMBER($G169),IF($G169&gt;0,$G169,N($F169)),N($F169)))</f>
        <v>0</v>
      </c>
      <c r="X169" s="71" t="str">
        <f>IF(ISNUMBER($A169),YEAR($A169)&amp;"-"&amp;TEXT(MONTH($A169),"00"),"")</f>
        <v/>
      </c>
      <c r="Y169" s="71">
        <f>IF($D169="",0,IF(AND(OR(fClient="All",$B169=fClient),OR(fCampaign="All",$C169=fCampaign),OR(fTeam="All",$T169=fTeam),OR(fChannel="All",fChannel="Email",fChannel="Content Syndication"),OR(fMonth="All",$X169=fMonth)),1,0))</f>
        <v>0</v>
      </c>
      <c r="Z169" s="71">
        <f>IF($D169="",0,IF(AND(OR(fClient="All",$B169=fClient),OR(fCampaign="All",$C169=fCampaign),OR(fTeam="All",$T169=fTeam),OR(fChannel="All",fChannel="Email",fChannel="Content Syndication")),1,0))</f>
        <v>0</v>
      </c>
    </row>
    <row r="170">
      <c r="A170" s="63" t="n"/>
      <c r="B170" s="64" t="n"/>
      <c r="C170" s="64" t="n"/>
      <c r="D170" s="64" t="n"/>
      <c r="E170" s="67" t="n"/>
      <c r="F170" s="67" t="n"/>
      <c r="G170" s="67" t="n"/>
      <c r="H170" s="67" t="n"/>
      <c r="I170" s="67" t="n"/>
      <c r="J170" s="73" t="str">
        <f>IF(AND($W170&gt;0,ISNUMBER($I170)),$I170/$W170,"")</f>
        <v/>
      </c>
      <c r="K170" s="67" t="n"/>
      <c r="L170" s="73" t="str">
        <f>IF(AND($W170&gt;0,ISNUMBER($K170)),$K170/$W170,"")</f>
        <v/>
      </c>
      <c r="M170" s="67" t="n"/>
      <c r="N170" s="73" t="str">
        <f>IF(AND($W170&gt;0,ISNUMBER($M170)),$M170/$W170,"")</f>
        <v/>
      </c>
      <c r="O170" s="67" t="n"/>
      <c r="P170" s="73" t="str">
        <f>IF(AND($W170&gt;0,ISNUMBER($O170)),$O170/$W170,"")</f>
        <v/>
      </c>
      <c r="Q170" s="67" t="n"/>
      <c r="R170" s="67" t="n"/>
      <c r="S170" s="67" t="n"/>
      <c r="T170" s="64" t="n"/>
      <c r="U170" s="64" t="n"/>
      <c r="V170" s="65" t="n"/>
      <c r="W170" s="72">
        <f>IF($D170="",0,IF(ISNUMBER($G170),IF($G170&gt;0,$G170,N($F170)),N($F170)))</f>
        <v>0</v>
      </c>
      <c r="X170" s="71" t="str">
        <f>IF(ISNUMBER($A170),YEAR($A170)&amp;"-"&amp;TEXT(MONTH($A170),"00"),"")</f>
        <v/>
      </c>
      <c r="Y170" s="71">
        <f>IF($D170="",0,IF(AND(OR(fClient="All",$B170=fClient),OR(fCampaign="All",$C170=fCampaign),OR(fTeam="All",$T170=fTeam),OR(fChannel="All",fChannel="Email",fChannel="Content Syndication"),OR(fMonth="All",$X170=fMonth)),1,0))</f>
        <v>0</v>
      </c>
      <c r="Z170" s="71">
        <f>IF($D170="",0,IF(AND(OR(fClient="All",$B170=fClient),OR(fCampaign="All",$C170=fCampaign),OR(fTeam="All",$T170=fTeam),OR(fChannel="All",fChannel="Email",fChannel="Content Syndication")),1,0))</f>
        <v>0</v>
      </c>
    </row>
    <row r="171">
      <c r="A171" s="63" t="n"/>
      <c r="B171" s="64" t="n"/>
      <c r="C171" s="64" t="n"/>
      <c r="D171" s="64" t="n"/>
      <c r="E171" s="67" t="n"/>
      <c r="F171" s="67" t="n"/>
      <c r="G171" s="67" t="n"/>
      <c r="H171" s="67" t="n"/>
      <c r="I171" s="67" t="n"/>
      <c r="J171" s="73" t="str">
        <f>IF(AND($W171&gt;0,ISNUMBER($I171)),$I171/$W171,"")</f>
        <v/>
      </c>
      <c r="K171" s="67" t="n"/>
      <c r="L171" s="73" t="str">
        <f>IF(AND($W171&gt;0,ISNUMBER($K171)),$K171/$W171,"")</f>
        <v/>
      </c>
      <c r="M171" s="67" t="n"/>
      <c r="N171" s="73" t="str">
        <f>IF(AND($W171&gt;0,ISNUMBER($M171)),$M171/$W171,"")</f>
        <v/>
      </c>
      <c r="O171" s="67" t="n"/>
      <c r="P171" s="73" t="str">
        <f>IF(AND($W171&gt;0,ISNUMBER($O171)),$O171/$W171,"")</f>
        <v/>
      </c>
      <c r="Q171" s="67" t="n"/>
      <c r="R171" s="67" t="n"/>
      <c r="S171" s="67" t="n"/>
      <c r="T171" s="64" t="n"/>
      <c r="U171" s="64" t="n"/>
      <c r="V171" s="65" t="n"/>
      <c r="W171" s="72">
        <f>IF($D171="",0,IF(ISNUMBER($G171),IF($G171&gt;0,$G171,N($F171)),N($F171)))</f>
        <v>0</v>
      </c>
      <c r="X171" s="71" t="str">
        <f>IF(ISNUMBER($A171),YEAR($A171)&amp;"-"&amp;TEXT(MONTH($A171),"00"),"")</f>
        <v/>
      </c>
      <c r="Y171" s="71">
        <f>IF($D171="",0,IF(AND(OR(fClient="All",$B171=fClient),OR(fCampaign="All",$C171=fCampaign),OR(fTeam="All",$T171=fTeam),OR(fChannel="All",fChannel="Email",fChannel="Content Syndication"),OR(fMonth="All",$X171=fMonth)),1,0))</f>
        <v>0</v>
      </c>
      <c r="Z171" s="71">
        <f>IF($D171="",0,IF(AND(OR(fClient="All",$B171=fClient),OR(fCampaign="All",$C171=fCampaign),OR(fTeam="All",$T171=fTeam),OR(fChannel="All",fChannel="Email",fChannel="Content Syndication")),1,0))</f>
        <v>0</v>
      </c>
    </row>
    <row r="172">
      <c r="A172" s="63" t="n"/>
      <c r="B172" s="64" t="n"/>
      <c r="C172" s="64" t="n"/>
      <c r="D172" s="64" t="n"/>
      <c r="E172" s="67" t="n"/>
      <c r="F172" s="67" t="n"/>
      <c r="G172" s="67" t="n"/>
      <c r="H172" s="67" t="n"/>
      <c r="I172" s="67" t="n"/>
      <c r="J172" s="73" t="str">
        <f>IF(AND($W172&gt;0,ISNUMBER($I172)),$I172/$W172,"")</f>
        <v/>
      </c>
      <c r="K172" s="67" t="n"/>
      <c r="L172" s="73" t="str">
        <f>IF(AND($W172&gt;0,ISNUMBER($K172)),$K172/$W172,"")</f>
        <v/>
      </c>
      <c r="M172" s="67" t="n"/>
      <c r="N172" s="73" t="str">
        <f>IF(AND($W172&gt;0,ISNUMBER($M172)),$M172/$W172,"")</f>
        <v/>
      </c>
      <c r="O172" s="67" t="n"/>
      <c r="P172" s="73" t="str">
        <f>IF(AND($W172&gt;0,ISNUMBER($O172)),$O172/$W172,"")</f>
        <v/>
      </c>
      <c r="Q172" s="67" t="n"/>
      <c r="R172" s="67" t="n"/>
      <c r="S172" s="67" t="n"/>
      <c r="T172" s="64" t="n"/>
      <c r="U172" s="64" t="n"/>
      <c r="V172" s="65" t="n"/>
      <c r="W172" s="72">
        <f>IF($D172="",0,IF(ISNUMBER($G172),IF($G172&gt;0,$G172,N($F172)),N($F172)))</f>
        <v>0</v>
      </c>
      <c r="X172" s="71" t="str">
        <f>IF(ISNUMBER($A172),YEAR($A172)&amp;"-"&amp;TEXT(MONTH($A172),"00"),"")</f>
        <v/>
      </c>
      <c r="Y172" s="71">
        <f>IF($D172="",0,IF(AND(OR(fClient="All",$B172=fClient),OR(fCampaign="All",$C172=fCampaign),OR(fTeam="All",$T172=fTeam),OR(fChannel="All",fChannel="Email",fChannel="Content Syndication"),OR(fMonth="All",$X172=fMonth)),1,0))</f>
        <v>0</v>
      </c>
      <c r="Z172" s="71">
        <f>IF($D172="",0,IF(AND(OR(fClient="All",$B172=fClient),OR(fCampaign="All",$C172=fCampaign),OR(fTeam="All",$T172=fTeam),OR(fChannel="All",fChannel="Email",fChannel="Content Syndication")),1,0))</f>
        <v>0</v>
      </c>
    </row>
    <row r="173">
      <c r="A173" s="63" t="n"/>
      <c r="B173" s="64" t="n"/>
      <c r="C173" s="64" t="n"/>
      <c r="D173" s="64" t="n"/>
      <c r="E173" s="67" t="n"/>
      <c r="F173" s="67" t="n"/>
      <c r="G173" s="67" t="n"/>
      <c r="H173" s="67" t="n"/>
      <c r="I173" s="67" t="n"/>
      <c r="J173" s="73" t="str">
        <f>IF(AND($W173&gt;0,ISNUMBER($I173)),$I173/$W173,"")</f>
        <v/>
      </c>
      <c r="K173" s="67" t="n"/>
      <c r="L173" s="73" t="str">
        <f>IF(AND($W173&gt;0,ISNUMBER($K173)),$K173/$W173,"")</f>
        <v/>
      </c>
      <c r="M173" s="67" t="n"/>
      <c r="N173" s="73" t="str">
        <f>IF(AND($W173&gt;0,ISNUMBER($M173)),$M173/$W173,"")</f>
        <v/>
      </c>
      <c r="O173" s="67" t="n"/>
      <c r="P173" s="73" t="str">
        <f>IF(AND($W173&gt;0,ISNUMBER($O173)),$O173/$W173,"")</f>
        <v/>
      </c>
      <c r="Q173" s="67" t="n"/>
      <c r="R173" s="67" t="n"/>
      <c r="S173" s="67" t="n"/>
      <c r="T173" s="64" t="n"/>
      <c r="U173" s="64" t="n"/>
      <c r="V173" s="65" t="n"/>
      <c r="W173" s="72">
        <f>IF($D173="",0,IF(ISNUMBER($G173),IF($G173&gt;0,$G173,N($F173)),N($F173)))</f>
        <v>0</v>
      </c>
      <c r="X173" s="71" t="str">
        <f>IF(ISNUMBER($A173),YEAR($A173)&amp;"-"&amp;TEXT(MONTH($A173),"00"),"")</f>
        <v/>
      </c>
      <c r="Y173" s="71">
        <f>IF($D173="",0,IF(AND(OR(fClient="All",$B173=fClient),OR(fCampaign="All",$C173=fCampaign),OR(fTeam="All",$T173=fTeam),OR(fChannel="All",fChannel="Email",fChannel="Content Syndication"),OR(fMonth="All",$X173=fMonth)),1,0))</f>
        <v>0</v>
      </c>
      <c r="Z173" s="71">
        <f>IF($D173="",0,IF(AND(OR(fClient="All",$B173=fClient),OR(fCampaign="All",$C173=fCampaign),OR(fTeam="All",$T173=fTeam),OR(fChannel="All",fChannel="Email",fChannel="Content Syndication")),1,0))</f>
        <v>0</v>
      </c>
    </row>
    <row r="174">
      <c r="A174" s="63" t="n"/>
      <c r="B174" s="64" t="n"/>
      <c r="C174" s="64" t="n"/>
      <c r="D174" s="64" t="n"/>
      <c r="E174" s="67" t="n"/>
      <c r="F174" s="67" t="n"/>
      <c r="G174" s="67" t="n"/>
      <c r="H174" s="67" t="n"/>
      <c r="I174" s="67" t="n"/>
      <c r="J174" s="73" t="str">
        <f>IF(AND($W174&gt;0,ISNUMBER($I174)),$I174/$W174,"")</f>
        <v/>
      </c>
      <c r="K174" s="67" t="n"/>
      <c r="L174" s="73" t="str">
        <f>IF(AND($W174&gt;0,ISNUMBER($K174)),$K174/$W174,"")</f>
        <v/>
      </c>
      <c r="M174" s="67" t="n"/>
      <c r="N174" s="73" t="str">
        <f>IF(AND($W174&gt;0,ISNUMBER($M174)),$M174/$W174,"")</f>
        <v/>
      </c>
      <c r="O174" s="67" t="n"/>
      <c r="P174" s="73" t="str">
        <f>IF(AND($W174&gt;0,ISNUMBER($O174)),$O174/$W174,"")</f>
        <v/>
      </c>
      <c r="Q174" s="67" t="n"/>
      <c r="R174" s="67" t="n"/>
      <c r="S174" s="67" t="n"/>
      <c r="T174" s="64" t="n"/>
      <c r="U174" s="64" t="n"/>
      <c r="V174" s="65" t="n"/>
      <c r="W174" s="72">
        <f>IF($D174="",0,IF(ISNUMBER($G174),IF($G174&gt;0,$G174,N($F174)),N($F174)))</f>
        <v>0</v>
      </c>
      <c r="X174" s="71" t="str">
        <f>IF(ISNUMBER($A174),YEAR($A174)&amp;"-"&amp;TEXT(MONTH($A174),"00"),"")</f>
        <v/>
      </c>
      <c r="Y174" s="71">
        <f>IF($D174="",0,IF(AND(OR(fClient="All",$B174=fClient),OR(fCampaign="All",$C174=fCampaign),OR(fTeam="All",$T174=fTeam),OR(fChannel="All",fChannel="Email",fChannel="Content Syndication"),OR(fMonth="All",$X174=fMonth)),1,0))</f>
        <v>0</v>
      </c>
      <c r="Z174" s="71">
        <f>IF($D174="",0,IF(AND(OR(fClient="All",$B174=fClient),OR(fCampaign="All",$C174=fCampaign),OR(fTeam="All",$T174=fTeam),OR(fChannel="All",fChannel="Email",fChannel="Content Syndication")),1,0))</f>
        <v>0</v>
      </c>
    </row>
    <row r="175">
      <c r="A175" s="63" t="n"/>
      <c r="B175" s="64" t="n"/>
      <c r="C175" s="64" t="n"/>
      <c r="D175" s="64" t="n"/>
      <c r="E175" s="67" t="n"/>
      <c r="F175" s="67" t="n"/>
      <c r="G175" s="67" t="n"/>
      <c r="H175" s="67" t="n"/>
      <c r="I175" s="67" t="n"/>
      <c r="J175" s="73" t="str">
        <f>IF(AND($W175&gt;0,ISNUMBER($I175)),$I175/$W175,"")</f>
        <v/>
      </c>
      <c r="K175" s="67" t="n"/>
      <c r="L175" s="73" t="str">
        <f>IF(AND($W175&gt;0,ISNUMBER($K175)),$K175/$W175,"")</f>
        <v/>
      </c>
      <c r="M175" s="67" t="n"/>
      <c r="N175" s="73" t="str">
        <f>IF(AND($W175&gt;0,ISNUMBER($M175)),$M175/$W175,"")</f>
        <v/>
      </c>
      <c r="O175" s="67" t="n"/>
      <c r="P175" s="73" t="str">
        <f>IF(AND($W175&gt;0,ISNUMBER($O175)),$O175/$W175,"")</f>
        <v/>
      </c>
      <c r="Q175" s="67" t="n"/>
      <c r="R175" s="67" t="n"/>
      <c r="S175" s="67" t="n"/>
      <c r="T175" s="64" t="n"/>
      <c r="U175" s="64" t="n"/>
      <c r="V175" s="65" t="n"/>
      <c r="W175" s="72">
        <f>IF($D175="",0,IF(ISNUMBER($G175),IF($G175&gt;0,$G175,N($F175)),N($F175)))</f>
        <v>0</v>
      </c>
      <c r="X175" s="71" t="str">
        <f>IF(ISNUMBER($A175),YEAR($A175)&amp;"-"&amp;TEXT(MONTH($A175),"00"),"")</f>
        <v/>
      </c>
      <c r="Y175" s="71">
        <f>IF($D175="",0,IF(AND(OR(fClient="All",$B175=fClient),OR(fCampaign="All",$C175=fCampaign),OR(fTeam="All",$T175=fTeam),OR(fChannel="All",fChannel="Email",fChannel="Content Syndication"),OR(fMonth="All",$X175=fMonth)),1,0))</f>
        <v>0</v>
      </c>
      <c r="Z175" s="71">
        <f>IF($D175="",0,IF(AND(OR(fClient="All",$B175=fClient),OR(fCampaign="All",$C175=fCampaign),OR(fTeam="All",$T175=fTeam),OR(fChannel="All",fChannel="Email",fChannel="Content Syndication")),1,0))</f>
        <v>0</v>
      </c>
    </row>
    <row r="176">
      <c r="A176" s="63" t="n"/>
      <c r="B176" s="64" t="n"/>
      <c r="C176" s="64" t="n"/>
      <c r="D176" s="64" t="n"/>
      <c r="E176" s="67" t="n"/>
      <c r="F176" s="67" t="n"/>
      <c r="G176" s="67" t="n"/>
      <c r="H176" s="67" t="n"/>
      <c r="I176" s="67" t="n"/>
      <c r="J176" s="73" t="str">
        <f>IF(AND($W176&gt;0,ISNUMBER($I176)),$I176/$W176,"")</f>
        <v/>
      </c>
      <c r="K176" s="67" t="n"/>
      <c r="L176" s="73" t="str">
        <f>IF(AND($W176&gt;0,ISNUMBER($K176)),$K176/$W176,"")</f>
        <v/>
      </c>
      <c r="M176" s="67" t="n"/>
      <c r="N176" s="73" t="str">
        <f>IF(AND($W176&gt;0,ISNUMBER($M176)),$M176/$W176,"")</f>
        <v/>
      </c>
      <c r="O176" s="67" t="n"/>
      <c r="P176" s="73" t="str">
        <f>IF(AND($W176&gt;0,ISNUMBER($O176)),$O176/$W176,"")</f>
        <v/>
      </c>
      <c r="Q176" s="67" t="n"/>
      <c r="R176" s="67" t="n"/>
      <c r="S176" s="67" t="n"/>
      <c r="T176" s="64" t="n"/>
      <c r="U176" s="64" t="n"/>
      <c r="V176" s="65" t="n"/>
      <c r="W176" s="72">
        <f>IF($D176="",0,IF(ISNUMBER($G176),IF($G176&gt;0,$G176,N($F176)),N($F176)))</f>
        <v>0</v>
      </c>
      <c r="X176" s="71" t="str">
        <f>IF(ISNUMBER($A176),YEAR($A176)&amp;"-"&amp;TEXT(MONTH($A176),"00"),"")</f>
        <v/>
      </c>
      <c r="Y176" s="71">
        <f>IF($D176="",0,IF(AND(OR(fClient="All",$B176=fClient),OR(fCampaign="All",$C176=fCampaign),OR(fTeam="All",$T176=fTeam),OR(fChannel="All",fChannel="Email",fChannel="Content Syndication"),OR(fMonth="All",$X176=fMonth)),1,0))</f>
        <v>0</v>
      </c>
      <c r="Z176" s="71">
        <f>IF($D176="",0,IF(AND(OR(fClient="All",$B176=fClient),OR(fCampaign="All",$C176=fCampaign),OR(fTeam="All",$T176=fTeam),OR(fChannel="All",fChannel="Email",fChannel="Content Syndication")),1,0))</f>
        <v>0</v>
      </c>
    </row>
    <row r="177">
      <c r="A177" s="63" t="n"/>
      <c r="B177" s="64" t="n"/>
      <c r="C177" s="64" t="n"/>
      <c r="D177" s="64" t="n"/>
      <c r="E177" s="67" t="n"/>
      <c r="F177" s="67" t="n"/>
      <c r="G177" s="67" t="n"/>
      <c r="H177" s="67" t="n"/>
      <c r="I177" s="67" t="n"/>
      <c r="J177" s="73" t="str">
        <f>IF(AND($W177&gt;0,ISNUMBER($I177)),$I177/$W177,"")</f>
        <v/>
      </c>
      <c r="K177" s="67" t="n"/>
      <c r="L177" s="73" t="str">
        <f>IF(AND($W177&gt;0,ISNUMBER($K177)),$K177/$W177,"")</f>
        <v/>
      </c>
      <c r="M177" s="67" t="n"/>
      <c r="N177" s="73" t="str">
        <f>IF(AND($W177&gt;0,ISNUMBER($M177)),$M177/$W177,"")</f>
        <v/>
      </c>
      <c r="O177" s="67" t="n"/>
      <c r="P177" s="73" t="str">
        <f>IF(AND($W177&gt;0,ISNUMBER($O177)),$O177/$W177,"")</f>
        <v/>
      </c>
      <c r="Q177" s="67" t="n"/>
      <c r="R177" s="67" t="n"/>
      <c r="S177" s="67" t="n"/>
      <c r="T177" s="64" t="n"/>
      <c r="U177" s="64" t="n"/>
      <c r="V177" s="65" t="n"/>
      <c r="W177" s="72">
        <f>IF($D177="",0,IF(ISNUMBER($G177),IF($G177&gt;0,$G177,N($F177)),N($F177)))</f>
        <v>0</v>
      </c>
      <c r="X177" s="71" t="str">
        <f>IF(ISNUMBER($A177),YEAR($A177)&amp;"-"&amp;TEXT(MONTH($A177),"00"),"")</f>
        <v/>
      </c>
      <c r="Y177" s="71">
        <f>IF($D177="",0,IF(AND(OR(fClient="All",$B177=fClient),OR(fCampaign="All",$C177=fCampaign),OR(fTeam="All",$T177=fTeam),OR(fChannel="All",fChannel="Email",fChannel="Content Syndication"),OR(fMonth="All",$X177=fMonth)),1,0))</f>
        <v>0</v>
      </c>
      <c r="Z177" s="71">
        <f>IF($D177="",0,IF(AND(OR(fClient="All",$B177=fClient),OR(fCampaign="All",$C177=fCampaign),OR(fTeam="All",$T177=fTeam),OR(fChannel="All",fChannel="Email",fChannel="Content Syndication")),1,0))</f>
        <v>0</v>
      </c>
    </row>
    <row r="178">
      <c r="A178" s="63" t="n"/>
      <c r="B178" s="64" t="n"/>
      <c r="C178" s="64" t="n"/>
      <c r="D178" s="64" t="n"/>
      <c r="E178" s="67" t="n"/>
      <c r="F178" s="67" t="n"/>
      <c r="G178" s="67" t="n"/>
      <c r="H178" s="67" t="n"/>
      <c r="I178" s="67" t="n"/>
      <c r="J178" s="73" t="str">
        <f>IF(AND($W178&gt;0,ISNUMBER($I178)),$I178/$W178,"")</f>
        <v/>
      </c>
      <c r="K178" s="67" t="n"/>
      <c r="L178" s="73" t="str">
        <f>IF(AND($W178&gt;0,ISNUMBER($K178)),$K178/$W178,"")</f>
        <v/>
      </c>
      <c r="M178" s="67" t="n"/>
      <c r="N178" s="73" t="str">
        <f>IF(AND($W178&gt;0,ISNUMBER($M178)),$M178/$W178,"")</f>
        <v/>
      </c>
      <c r="O178" s="67" t="n"/>
      <c r="P178" s="73" t="str">
        <f>IF(AND($W178&gt;0,ISNUMBER($O178)),$O178/$W178,"")</f>
        <v/>
      </c>
      <c r="Q178" s="67" t="n"/>
      <c r="R178" s="67" t="n"/>
      <c r="S178" s="67" t="n"/>
      <c r="T178" s="64" t="n"/>
      <c r="U178" s="64" t="n"/>
      <c r="V178" s="65" t="n"/>
      <c r="W178" s="72">
        <f>IF($D178="",0,IF(ISNUMBER($G178),IF($G178&gt;0,$G178,N($F178)),N($F178)))</f>
        <v>0</v>
      </c>
      <c r="X178" s="71" t="str">
        <f>IF(ISNUMBER($A178),YEAR($A178)&amp;"-"&amp;TEXT(MONTH($A178),"00"),"")</f>
        <v/>
      </c>
      <c r="Y178" s="71">
        <f>IF($D178="",0,IF(AND(OR(fClient="All",$B178=fClient),OR(fCampaign="All",$C178=fCampaign),OR(fTeam="All",$T178=fTeam),OR(fChannel="All",fChannel="Email",fChannel="Content Syndication"),OR(fMonth="All",$X178=fMonth)),1,0))</f>
        <v>0</v>
      </c>
      <c r="Z178" s="71">
        <f>IF($D178="",0,IF(AND(OR(fClient="All",$B178=fClient),OR(fCampaign="All",$C178=fCampaign),OR(fTeam="All",$T178=fTeam),OR(fChannel="All",fChannel="Email",fChannel="Content Syndication")),1,0))</f>
        <v>0</v>
      </c>
    </row>
    <row r="179">
      <c r="A179" s="63" t="n"/>
      <c r="B179" s="64" t="n"/>
      <c r="C179" s="64" t="n"/>
      <c r="D179" s="64" t="n"/>
      <c r="E179" s="67" t="n"/>
      <c r="F179" s="67" t="n"/>
      <c r="G179" s="67" t="n"/>
      <c r="H179" s="67" t="n"/>
      <c r="I179" s="67" t="n"/>
      <c r="J179" s="73" t="str">
        <f>IF(AND($W179&gt;0,ISNUMBER($I179)),$I179/$W179,"")</f>
        <v/>
      </c>
      <c r="K179" s="67" t="n"/>
      <c r="L179" s="73" t="str">
        <f>IF(AND($W179&gt;0,ISNUMBER($K179)),$K179/$W179,"")</f>
        <v/>
      </c>
      <c r="M179" s="67" t="n"/>
      <c r="N179" s="73" t="str">
        <f>IF(AND($W179&gt;0,ISNUMBER($M179)),$M179/$W179,"")</f>
        <v/>
      </c>
      <c r="O179" s="67" t="n"/>
      <c r="P179" s="73" t="str">
        <f>IF(AND($W179&gt;0,ISNUMBER($O179)),$O179/$W179,"")</f>
        <v/>
      </c>
      <c r="Q179" s="67" t="n"/>
      <c r="R179" s="67" t="n"/>
      <c r="S179" s="67" t="n"/>
      <c r="T179" s="64" t="n"/>
      <c r="U179" s="64" t="n"/>
      <c r="V179" s="65" t="n"/>
      <c r="W179" s="72">
        <f>IF($D179="",0,IF(ISNUMBER($G179),IF($G179&gt;0,$G179,N($F179)),N($F179)))</f>
        <v>0</v>
      </c>
      <c r="X179" s="71" t="str">
        <f>IF(ISNUMBER($A179),YEAR($A179)&amp;"-"&amp;TEXT(MONTH($A179),"00"),"")</f>
        <v/>
      </c>
      <c r="Y179" s="71">
        <f>IF($D179="",0,IF(AND(OR(fClient="All",$B179=fClient),OR(fCampaign="All",$C179=fCampaign),OR(fTeam="All",$T179=fTeam),OR(fChannel="All",fChannel="Email",fChannel="Content Syndication"),OR(fMonth="All",$X179=fMonth)),1,0))</f>
        <v>0</v>
      </c>
      <c r="Z179" s="71">
        <f>IF($D179="",0,IF(AND(OR(fClient="All",$B179=fClient),OR(fCampaign="All",$C179=fCampaign),OR(fTeam="All",$T179=fTeam),OR(fChannel="All",fChannel="Email",fChannel="Content Syndication")),1,0))</f>
        <v>0</v>
      </c>
    </row>
    <row r="180">
      <c r="A180" s="63" t="n"/>
      <c r="B180" s="64" t="n"/>
      <c r="C180" s="64" t="n"/>
      <c r="D180" s="64" t="n"/>
      <c r="E180" s="67" t="n"/>
      <c r="F180" s="67" t="n"/>
      <c r="G180" s="67" t="n"/>
      <c r="H180" s="67" t="n"/>
      <c r="I180" s="67" t="n"/>
      <c r="J180" s="73" t="str">
        <f>IF(AND($W180&gt;0,ISNUMBER($I180)),$I180/$W180,"")</f>
        <v/>
      </c>
      <c r="K180" s="67" t="n"/>
      <c r="L180" s="73" t="str">
        <f>IF(AND($W180&gt;0,ISNUMBER($K180)),$K180/$W180,"")</f>
        <v/>
      </c>
      <c r="M180" s="67" t="n"/>
      <c r="N180" s="73" t="str">
        <f>IF(AND($W180&gt;0,ISNUMBER($M180)),$M180/$W180,"")</f>
        <v/>
      </c>
      <c r="O180" s="67" t="n"/>
      <c r="P180" s="73" t="str">
        <f>IF(AND($W180&gt;0,ISNUMBER($O180)),$O180/$W180,"")</f>
        <v/>
      </c>
      <c r="Q180" s="67" t="n"/>
      <c r="R180" s="67" t="n"/>
      <c r="S180" s="67" t="n"/>
      <c r="T180" s="64" t="n"/>
      <c r="U180" s="64" t="n"/>
      <c r="V180" s="65" t="n"/>
      <c r="W180" s="72">
        <f>IF($D180="",0,IF(ISNUMBER($G180),IF($G180&gt;0,$G180,N($F180)),N($F180)))</f>
        <v>0</v>
      </c>
      <c r="X180" s="71" t="str">
        <f>IF(ISNUMBER($A180),YEAR($A180)&amp;"-"&amp;TEXT(MONTH($A180),"00"),"")</f>
        <v/>
      </c>
      <c r="Y180" s="71">
        <f>IF($D180="",0,IF(AND(OR(fClient="All",$B180=fClient),OR(fCampaign="All",$C180=fCampaign),OR(fTeam="All",$T180=fTeam),OR(fChannel="All",fChannel="Email",fChannel="Content Syndication"),OR(fMonth="All",$X180=fMonth)),1,0))</f>
        <v>0</v>
      </c>
      <c r="Z180" s="71">
        <f>IF($D180="",0,IF(AND(OR(fClient="All",$B180=fClient),OR(fCampaign="All",$C180=fCampaign),OR(fTeam="All",$T180=fTeam),OR(fChannel="All",fChannel="Email",fChannel="Content Syndication")),1,0))</f>
        <v>0</v>
      </c>
    </row>
    <row r="181">
      <c r="A181" s="63" t="n"/>
      <c r="B181" s="64" t="n"/>
      <c r="C181" s="64" t="n"/>
      <c r="D181" s="64" t="n"/>
      <c r="E181" s="67" t="n"/>
      <c r="F181" s="67" t="n"/>
      <c r="G181" s="67" t="n"/>
      <c r="H181" s="67" t="n"/>
      <c r="I181" s="67" t="n"/>
      <c r="J181" s="73" t="str">
        <f>IF(AND($W181&gt;0,ISNUMBER($I181)),$I181/$W181,"")</f>
        <v/>
      </c>
      <c r="K181" s="67" t="n"/>
      <c r="L181" s="73" t="str">
        <f>IF(AND($W181&gt;0,ISNUMBER($K181)),$K181/$W181,"")</f>
        <v/>
      </c>
      <c r="M181" s="67" t="n"/>
      <c r="N181" s="73" t="str">
        <f>IF(AND($W181&gt;0,ISNUMBER($M181)),$M181/$W181,"")</f>
        <v/>
      </c>
      <c r="O181" s="67" t="n"/>
      <c r="P181" s="73" t="str">
        <f>IF(AND($W181&gt;0,ISNUMBER($O181)),$O181/$W181,"")</f>
        <v/>
      </c>
      <c r="Q181" s="67" t="n"/>
      <c r="R181" s="67" t="n"/>
      <c r="S181" s="67" t="n"/>
      <c r="T181" s="64" t="n"/>
      <c r="U181" s="64" t="n"/>
      <c r="V181" s="65" t="n"/>
      <c r="W181" s="72">
        <f>IF($D181="",0,IF(ISNUMBER($G181),IF($G181&gt;0,$G181,N($F181)),N($F181)))</f>
        <v>0</v>
      </c>
      <c r="X181" s="71" t="str">
        <f>IF(ISNUMBER($A181),YEAR($A181)&amp;"-"&amp;TEXT(MONTH($A181),"00"),"")</f>
        <v/>
      </c>
      <c r="Y181" s="71">
        <f>IF($D181="",0,IF(AND(OR(fClient="All",$B181=fClient),OR(fCampaign="All",$C181=fCampaign),OR(fTeam="All",$T181=fTeam),OR(fChannel="All",fChannel="Email",fChannel="Content Syndication"),OR(fMonth="All",$X181=fMonth)),1,0))</f>
        <v>0</v>
      </c>
      <c r="Z181" s="71">
        <f>IF($D181="",0,IF(AND(OR(fClient="All",$B181=fClient),OR(fCampaign="All",$C181=fCampaign),OR(fTeam="All",$T181=fTeam),OR(fChannel="All",fChannel="Email",fChannel="Content Syndication")),1,0))</f>
        <v>0</v>
      </c>
    </row>
    <row r="182">
      <c r="A182" s="63" t="n"/>
      <c r="B182" s="64" t="n"/>
      <c r="C182" s="64" t="n"/>
      <c r="D182" s="64" t="n"/>
      <c r="E182" s="67" t="n"/>
      <c r="F182" s="67" t="n"/>
      <c r="G182" s="67" t="n"/>
      <c r="H182" s="67" t="n"/>
      <c r="I182" s="67" t="n"/>
      <c r="J182" s="73" t="str">
        <f>IF(AND($W182&gt;0,ISNUMBER($I182)),$I182/$W182,"")</f>
        <v/>
      </c>
      <c r="K182" s="67" t="n"/>
      <c r="L182" s="73" t="str">
        <f>IF(AND($W182&gt;0,ISNUMBER($K182)),$K182/$W182,"")</f>
        <v/>
      </c>
      <c r="M182" s="67" t="n"/>
      <c r="N182" s="73" t="str">
        <f>IF(AND($W182&gt;0,ISNUMBER($M182)),$M182/$W182,"")</f>
        <v/>
      </c>
      <c r="O182" s="67" t="n"/>
      <c r="P182" s="73" t="str">
        <f>IF(AND($W182&gt;0,ISNUMBER($O182)),$O182/$W182,"")</f>
        <v/>
      </c>
      <c r="Q182" s="67" t="n"/>
      <c r="R182" s="67" t="n"/>
      <c r="S182" s="67" t="n"/>
      <c r="T182" s="64" t="n"/>
      <c r="U182" s="64" t="n"/>
      <c r="V182" s="65" t="n"/>
      <c r="W182" s="72">
        <f>IF($D182="",0,IF(ISNUMBER($G182),IF($G182&gt;0,$G182,N($F182)),N($F182)))</f>
        <v>0</v>
      </c>
      <c r="X182" s="71" t="str">
        <f>IF(ISNUMBER($A182),YEAR($A182)&amp;"-"&amp;TEXT(MONTH($A182),"00"),"")</f>
        <v/>
      </c>
      <c r="Y182" s="71">
        <f>IF($D182="",0,IF(AND(OR(fClient="All",$B182=fClient),OR(fCampaign="All",$C182=fCampaign),OR(fTeam="All",$T182=fTeam),OR(fChannel="All",fChannel="Email",fChannel="Content Syndication"),OR(fMonth="All",$X182=fMonth)),1,0))</f>
        <v>0</v>
      </c>
      <c r="Z182" s="71">
        <f>IF($D182="",0,IF(AND(OR(fClient="All",$B182=fClient),OR(fCampaign="All",$C182=fCampaign),OR(fTeam="All",$T182=fTeam),OR(fChannel="All",fChannel="Email",fChannel="Content Syndication")),1,0))</f>
        <v>0</v>
      </c>
    </row>
    <row r="183">
      <c r="A183" s="63" t="n"/>
      <c r="B183" s="64" t="n"/>
      <c r="C183" s="64" t="n"/>
      <c r="D183" s="64" t="n"/>
      <c r="E183" s="67" t="n"/>
      <c r="F183" s="67" t="n"/>
      <c r="G183" s="67" t="n"/>
      <c r="H183" s="67" t="n"/>
      <c r="I183" s="67" t="n"/>
      <c r="J183" s="73" t="str">
        <f>IF(AND($W183&gt;0,ISNUMBER($I183)),$I183/$W183,"")</f>
        <v/>
      </c>
      <c r="K183" s="67" t="n"/>
      <c r="L183" s="73" t="str">
        <f>IF(AND($W183&gt;0,ISNUMBER($K183)),$K183/$W183,"")</f>
        <v/>
      </c>
      <c r="M183" s="67" t="n"/>
      <c r="N183" s="73" t="str">
        <f>IF(AND($W183&gt;0,ISNUMBER($M183)),$M183/$W183,"")</f>
        <v/>
      </c>
      <c r="O183" s="67" t="n"/>
      <c r="P183" s="73" t="str">
        <f>IF(AND($W183&gt;0,ISNUMBER($O183)),$O183/$W183,"")</f>
        <v/>
      </c>
      <c r="Q183" s="67" t="n"/>
      <c r="R183" s="67" t="n"/>
      <c r="S183" s="67" t="n"/>
      <c r="T183" s="64" t="n"/>
      <c r="U183" s="64" t="n"/>
      <c r="V183" s="65" t="n"/>
      <c r="W183" s="72">
        <f>IF($D183="",0,IF(ISNUMBER($G183),IF($G183&gt;0,$G183,N($F183)),N($F183)))</f>
        <v>0</v>
      </c>
      <c r="X183" s="71" t="str">
        <f>IF(ISNUMBER($A183),YEAR($A183)&amp;"-"&amp;TEXT(MONTH($A183),"00"),"")</f>
        <v/>
      </c>
      <c r="Y183" s="71">
        <f>IF($D183="",0,IF(AND(OR(fClient="All",$B183=fClient),OR(fCampaign="All",$C183=fCampaign),OR(fTeam="All",$T183=fTeam),OR(fChannel="All",fChannel="Email",fChannel="Content Syndication"),OR(fMonth="All",$X183=fMonth)),1,0))</f>
        <v>0</v>
      </c>
      <c r="Z183" s="71">
        <f>IF($D183="",0,IF(AND(OR(fClient="All",$B183=fClient),OR(fCampaign="All",$C183=fCampaign),OR(fTeam="All",$T183=fTeam),OR(fChannel="All",fChannel="Email",fChannel="Content Syndication")),1,0))</f>
        <v>0</v>
      </c>
    </row>
    <row r="184">
      <c r="A184" s="63" t="n"/>
      <c r="B184" s="64" t="n"/>
      <c r="C184" s="64" t="n"/>
      <c r="D184" s="64" t="n"/>
      <c r="E184" s="67" t="n"/>
      <c r="F184" s="67" t="n"/>
      <c r="G184" s="67" t="n"/>
      <c r="H184" s="67" t="n"/>
      <c r="I184" s="67" t="n"/>
      <c r="J184" s="73" t="str">
        <f>IF(AND($W184&gt;0,ISNUMBER($I184)),$I184/$W184,"")</f>
        <v/>
      </c>
      <c r="K184" s="67" t="n"/>
      <c r="L184" s="73" t="str">
        <f>IF(AND($W184&gt;0,ISNUMBER($K184)),$K184/$W184,"")</f>
        <v/>
      </c>
      <c r="M184" s="67" t="n"/>
      <c r="N184" s="73" t="str">
        <f>IF(AND($W184&gt;0,ISNUMBER($M184)),$M184/$W184,"")</f>
        <v/>
      </c>
      <c r="O184" s="67" t="n"/>
      <c r="P184" s="73" t="str">
        <f>IF(AND($W184&gt;0,ISNUMBER($O184)),$O184/$W184,"")</f>
        <v/>
      </c>
      <c r="Q184" s="67" t="n"/>
      <c r="R184" s="67" t="n"/>
      <c r="S184" s="67" t="n"/>
      <c r="T184" s="64" t="n"/>
      <c r="U184" s="64" t="n"/>
      <c r="V184" s="65" t="n"/>
      <c r="W184" s="72">
        <f>IF($D184="",0,IF(ISNUMBER($G184),IF($G184&gt;0,$G184,N($F184)),N($F184)))</f>
        <v>0</v>
      </c>
      <c r="X184" s="71" t="str">
        <f>IF(ISNUMBER($A184),YEAR($A184)&amp;"-"&amp;TEXT(MONTH($A184),"00"),"")</f>
        <v/>
      </c>
      <c r="Y184" s="71">
        <f>IF($D184="",0,IF(AND(OR(fClient="All",$B184=fClient),OR(fCampaign="All",$C184=fCampaign),OR(fTeam="All",$T184=fTeam),OR(fChannel="All",fChannel="Email",fChannel="Content Syndication"),OR(fMonth="All",$X184=fMonth)),1,0))</f>
        <v>0</v>
      </c>
      <c r="Z184" s="71">
        <f>IF($D184="",0,IF(AND(OR(fClient="All",$B184=fClient),OR(fCampaign="All",$C184=fCampaign),OR(fTeam="All",$T184=fTeam),OR(fChannel="All",fChannel="Email",fChannel="Content Syndication")),1,0))</f>
        <v>0</v>
      </c>
    </row>
    <row r="185">
      <c r="A185" s="63" t="n"/>
      <c r="B185" s="64" t="n"/>
      <c r="C185" s="64" t="n"/>
      <c r="D185" s="64" t="n"/>
      <c r="E185" s="67" t="n"/>
      <c r="F185" s="67" t="n"/>
      <c r="G185" s="67" t="n"/>
      <c r="H185" s="67" t="n"/>
      <c r="I185" s="67" t="n"/>
      <c r="J185" s="73" t="str">
        <f>IF(AND($W185&gt;0,ISNUMBER($I185)),$I185/$W185,"")</f>
        <v/>
      </c>
      <c r="K185" s="67" t="n"/>
      <c r="L185" s="73" t="str">
        <f>IF(AND($W185&gt;0,ISNUMBER($K185)),$K185/$W185,"")</f>
        <v/>
      </c>
      <c r="M185" s="67" t="n"/>
      <c r="N185" s="73" t="str">
        <f>IF(AND($W185&gt;0,ISNUMBER($M185)),$M185/$W185,"")</f>
        <v/>
      </c>
      <c r="O185" s="67" t="n"/>
      <c r="P185" s="73" t="str">
        <f>IF(AND($W185&gt;0,ISNUMBER($O185)),$O185/$W185,"")</f>
        <v/>
      </c>
      <c r="Q185" s="67" t="n"/>
      <c r="R185" s="67" t="n"/>
      <c r="S185" s="67" t="n"/>
      <c r="T185" s="64" t="n"/>
      <c r="U185" s="64" t="n"/>
      <c r="V185" s="65" t="n"/>
      <c r="W185" s="72">
        <f>IF($D185="",0,IF(ISNUMBER($G185),IF($G185&gt;0,$G185,N($F185)),N($F185)))</f>
        <v>0</v>
      </c>
      <c r="X185" s="71" t="str">
        <f>IF(ISNUMBER($A185),YEAR($A185)&amp;"-"&amp;TEXT(MONTH($A185),"00"),"")</f>
        <v/>
      </c>
      <c r="Y185" s="71">
        <f>IF($D185="",0,IF(AND(OR(fClient="All",$B185=fClient),OR(fCampaign="All",$C185=fCampaign),OR(fTeam="All",$T185=fTeam),OR(fChannel="All",fChannel="Email",fChannel="Content Syndication"),OR(fMonth="All",$X185=fMonth)),1,0))</f>
        <v>0</v>
      </c>
      <c r="Z185" s="71">
        <f>IF($D185="",0,IF(AND(OR(fClient="All",$B185=fClient),OR(fCampaign="All",$C185=fCampaign),OR(fTeam="All",$T185=fTeam),OR(fChannel="All",fChannel="Email",fChannel="Content Syndication")),1,0))</f>
        <v>0</v>
      </c>
    </row>
    <row r="186">
      <c r="A186" s="63" t="n"/>
      <c r="B186" s="64" t="n"/>
      <c r="C186" s="64" t="n"/>
      <c r="D186" s="64" t="n"/>
      <c r="E186" s="67" t="n"/>
      <c r="F186" s="67" t="n"/>
      <c r="G186" s="67" t="n"/>
      <c r="H186" s="67" t="n"/>
      <c r="I186" s="67" t="n"/>
      <c r="J186" s="73" t="str">
        <f>IF(AND($W186&gt;0,ISNUMBER($I186)),$I186/$W186,"")</f>
        <v/>
      </c>
      <c r="K186" s="67" t="n"/>
      <c r="L186" s="73" t="str">
        <f>IF(AND($W186&gt;0,ISNUMBER($K186)),$K186/$W186,"")</f>
        <v/>
      </c>
      <c r="M186" s="67" t="n"/>
      <c r="N186" s="73" t="str">
        <f>IF(AND($W186&gt;0,ISNUMBER($M186)),$M186/$W186,"")</f>
        <v/>
      </c>
      <c r="O186" s="67" t="n"/>
      <c r="P186" s="73" t="str">
        <f>IF(AND($W186&gt;0,ISNUMBER($O186)),$O186/$W186,"")</f>
        <v/>
      </c>
      <c r="Q186" s="67" t="n"/>
      <c r="R186" s="67" t="n"/>
      <c r="S186" s="67" t="n"/>
      <c r="T186" s="64" t="n"/>
      <c r="U186" s="64" t="n"/>
      <c r="V186" s="65" t="n"/>
      <c r="W186" s="72">
        <f>IF($D186="",0,IF(ISNUMBER($G186),IF($G186&gt;0,$G186,N($F186)),N($F186)))</f>
        <v>0</v>
      </c>
      <c r="X186" s="71" t="str">
        <f>IF(ISNUMBER($A186),YEAR($A186)&amp;"-"&amp;TEXT(MONTH($A186),"00"),"")</f>
        <v/>
      </c>
      <c r="Y186" s="71">
        <f>IF($D186="",0,IF(AND(OR(fClient="All",$B186=fClient),OR(fCampaign="All",$C186=fCampaign),OR(fTeam="All",$T186=fTeam),OR(fChannel="All",fChannel="Email",fChannel="Content Syndication"),OR(fMonth="All",$X186=fMonth)),1,0))</f>
        <v>0</v>
      </c>
      <c r="Z186" s="71">
        <f>IF($D186="",0,IF(AND(OR(fClient="All",$B186=fClient),OR(fCampaign="All",$C186=fCampaign),OR(fTeam="All",$T186=fTeam),OR(fChannel="All",fChannel="Email",fChannel="Content Syndication")),1,0))</f>
        <v>0</v>
      </c>
    </row>
    <row r="187">
      <c r="A187" s="63" t="n"/>
      <c r="B187" s="64" t="n"/>
      <c r="C187" s="64" t="n"/>
      <c r="D187" s="64" t="n"/>
      <c r="E187" s="67" t="n"/>
      <c r="F187" s="67" t="n"/>
      <c r="G187" s="67" t="n"/>
      <c r="H187" s="67" t="n"/>
      <c r="I187" s="67" t="n"/>
      <c r="J187" s="73" t="str">
        <f>IF(AND($W187&gt;0,ISNUMBER($I187)),$I187/$W187,"")</f>
        <v/>
      </c>
      <c r="K187" s="67" t="n"/>
      <c r="L187" s="73" t="str">
        <f>IF(AND($W187&gt;0,ISNUMBER($K187)),$K187/$W187,"")</f>
        <v/>
      </c>
      <c r="M187" s="67" t="n"/>
      <c r="N187" s="73" t="str">
        <f>IF(AND($W187&gt;0,ISNUMBER($M187)),$M187/$W187,"")</f>
        <v/>
      </c>
      <c r="O187" s="67" t="n"/>
      <c r="P187" s="73" t="str">
        <f>IF(AND($W187&gt;0,ISNUMBER($O187)),$O187/$W187,"")</f>
        <v/>
      </c>
      <c r="Q187" s="67" t="n"/>
      <c r="R187" s="67" t="n"/>
      <c r="S187" s="67" t="n"/>
      <c r="T187" s="64" t="n"/>
      <c r="U187" s="64" t="n"/>
      <c r="V187" s="65" t="n"/>
      <c r="W187" s="72">
        <f>IF($D187="",0,IF(ISNUMBER($G187),IF($G187&gt;0,$G187,N($F187)),N($F187)))</f>
        <v>0</v>
      </c>
      <c r="X187" s="71" t="str">
        <f>IF(ISNUMBER($A187),YEAR($A187)&amp;"-"&amp;TEXT(MONTH($A187),"00"),"")</f>
        <v/>
      </c>
      <c r="Y187" s="71">
        <f>IF($D187="",0,IF(AND(OR(fClient="All",$B187=fClient),OR(fCampaign="All",$C187=fCampaign),OR(fTeam="All",$T187=fTeam),OR(fChannel="All",fChannel="Email",fChannel="Content Syndication"),OR(fMonth="All",$X187=fMonth)),1,0))</f>
        <v>0</v>
      </c>
      <c r="Z187" s="71">
        <f>IF($D187="",0,IF(AND(OR(fClient="All",$B187=fClient),OR(fCampaign="All",$C187=fCampaign),OR(fTeam="All",$T187=fTeam),OR(fChannel="All",fChannel="Email",fChannel="Content Syndication")),1,0))</f>
        <v>0</v>
      </c>
    </row>
    <row r="188">
      <c r="A188" s="63" t="n"/>
      <c r="B188" s="64" t="n"/>
      <c r="C188" s="64" t="n"/>
      <c r="D188" s="64" t="n"/>
      <c r="E188" s="67" t="n"/>
      <c r="F188" s="67" t="n"/>
      <c r="G188" s="67" t="n"/>
      <c r="H188" s="67" t="n"/>
      <c r="I188" s="67" t="n"/>
      <c r="J188" s="73" t="str">
        <f>IF(AND($W188&gt;0,ISNUMBER($I188)),$I188/$W188,"")</f>
        <v/>
      </c>
      <c r="K188" s="67" t="n"/>
      <c r="L188" s="73" t="str">
        <f>IF(AND($W188&gt;0,ISNUMBER($K188)),$K188/$W188,"")</f>
        <v/>
      </c>
      <c r="M188" s="67" t="n"/>
      <c r="N188" s="73" t="str">
        <f>IF(AND($W188&gt;0,ISNUMBER($M188)),$M188/$W188,"")</f>
        <v/>
      </c>
      <c r="O188" s="67" t="n"/>
      <c r="P188" s="73" t="str">
        <f>IF(AND($W188&gt;0,ISNUMBER($O188)),$O188/$W188,"")</f>
        <v/>
      </c>
      <c r="Q188" s="67" t="n"/>
      <c r="R188" s="67" t="n"/>
      <c r="S188" s="67" t="n"/>
      <c r="T188" s="64" t="n"/>
      <c r="U188" s="64" t="n"/>
      <c r="V188" s="65" t="n"/>
      <c r="W188" s="72">
        <f>IF($D188="",0,IF(ISNUMBER($G188),IF($G188&gt;0,$G188,N($F188)),N($F188)))</f>
        <v>0</v>
      </c>
      <c r="X188" s="71" t="str">
        <f>IF(ISNUMBER($A188),YEAR($A188)&amp;"-"&amp;TEXT(MONTH($A188),"00"),"")</f>
        <v/>
      </c>
      <c r="Y188" s="71">
        <f>IF($D188="",0,IF(AND(OR(fClient="All",$B188=fClient),OR(fCampaign="All",$C188=fCampaign),OR(fTeam="All",$T188=fTeam),OR(fChannel="All",fChannel="Email",fChannel="Content Syndication"),OR(fMonth="All",$X188=fMonth)),1,0))</f>
        <v>0</v>
      </c>
      <c r="Z188" s="71">
        <f>IF($D188="",0,IF(AND(OR(fClient="All",$B188=fClient),OR(fCampaign="All",$C188=fCampaign),OR(fTeam="All",$T188=fTeam),OR(fChannel="All",fChannel="Email",fChannel="Content Syndication")),1,0))</f>
        <v>0</v>
      </c>
    </row>
    <row r="189">
      <c r="A189" s="63" t="n"/>
      <c r="B189" s="64" t="n"/>
      <c r="C189" s="64" t="n"/>
      <c r="D189" s="64" t="n"/>
      <c r="E189" s="67" t="n"/>
      <c r="F189" s="67" t="n"/>
      <c r="G189" s="67" t="n"/>
      <c r="H189" s="67" t="n"/>
      <c r="I189" s="67" t="n"/>
      <c r="J189" s="73" t="str">
        <f>IF(AND($W189&gt;0,ISNUMBER($I189)),$I189/$W189,"")</f>
        <v/>
      </c>
      <c r="K189" s="67" t="n"/>
      <c r="L189" s="73" t="str">
        <f>IF(AND($W189&gt;0,ISNUMBER($K189)),$K189/$W189,"")</f>
        <v/>
      </c>
      <c r="M189" s="67" t="n"/>
      <c r="N189" s="73" t="str">
        <f>IF(AND($W189&gt;0,ISNUMBER($M189)),$M189/$W189,"")</f>
        <v/>
      </c>
      <c r="O189" s="67" t="n"/>
      <c r="P189" s="73" t="str">
        <f>IF(AND($W189&gt;0,ISNUMBER($O189)),$O189/$W189,"")</f>
        <v/>
      </c>
      <c r="Q189" s="67" t="n"/>
      <c r="R189" s="67" t="n"/>
      <c r="S189" s="67" t="n"/>
      <c r="T189" s="64" t="n"/>
      <c r="U189" s="64" t="n"/>
      <c r="V189" s="65" t="n"/>
      <c r="W189" s="72">
        <f>IF($D189="",0,IF(ISNUMBER($G189),IF($G189&gt;0,$G189,N($F189)),N($F189)))</f>
        <v>0</v>
      </c>
      <c r="X189" s="71" t="str">
        <f>IF(ISNUMBER($A189),YEAR($A189)&amp;"-"&amp;TEXT(MONTH($A189),"00"),"")</f>
        <v/>
      </c>
      <c r="Y189" s="71">
        <f>IF($D189="",0,IF(AND(OR(fClient="All",$B189=fClient),OR(fCampaign="All",$C189=fCampaign),OR(fTeam="All",$T189=fTeam),OR(fChannel="All",fChannel="Email",fChannel="Content Syndication"),OR(fMonth="All",$X189=fMonth)),1,0))</f>
        <v>0</v>
      </c>
      <c r="Z189" s="71">
        <f>IF($D189="",0,IF(AND(OR(fClient="All",$B189=fClient),OR(fCampaign="All",$C189=fCampaign),OR(fTeam="All",$T189=fTeam),OR(fChannel="All",fChannel="Email",fChannel="Content Syndication")),1,0))</f>
        <v>0</v>
      </c>
    </row>
    <row r="190">
      <c r="A190" s="63" t="n"/>
      <c r="B190" s="64" t="n"/>
      <c r="C190" s="64" t="n"/>
      <c r="D190" s="64" t="n"/>
      <c r="E190" s="67" t="n"/>
      <c r="F190" s="67" t="n"/>
      <c r="G190" s="67" t="n"/>
      <c r="H190" s="67" t="n"/>
      <c r="I190" s="67" t="n"/>
      <c r="J190" s="73" t="str">
        <f>IF(AND($W190&gt;0,ISNUMBER($I190)),$I190/$W190,"")</f>
        <v/>
      </c>
      <c r="K190" s="67" t="n"/>
      <c r="L190" s="73" t="str">
        <f>IF(AND($W190&gt;0,ISNUMBER($K190)),$K190/$W190,"")</f>
        <v/>
      </c>
      <c r="M190" s="67" t="n"/>
      <c r="N190" s="73" t="str">
        <f>IF(AND($W190&gt;0,ISNUMBER($M190)),$M190/$W190,"")</f>
        <v/>
      </c>
      <c r="O190" s="67" t="n"/>
      <c r="P190" s="73" t="str">
        <f>IF(AND($W190&gt;0,ISNUMBER($O190)),$O190/$W190,"")</f>
        <v/>
      </c>
      <c r="Q190" s="67" t="n"/>
      <c r="R190" s="67" t="n"/>
      <c r="S190" s="67" t="n"/>
      <c r="T190" s="64" t="n"/>
      <c r="U190" s="64" t="n"/>
      <c r="V190" s="65" t="n"/>
      <c r="W190" s="72">
        <f>IF($D190="",0,IF(ISNUMBER($G190),IF($G190&gt;0,$G190,N($F190)),N($F190)))</f>
        <v>0</v>
      </c>
      <c r="X190" s="71" t="str">
        <f>IF(ISNUMBER($A190),YEAR($A190)&amp;"-"&amp;TEXT(MONTH($A190),"00"),"")</f>
        <v/>
      </c>
      <c r="Y190" s="71">
        <f>IF($D190="",0,IF(AND(OR(fClient="All",$B190=fClient),OR(fCampaign="All",$C190=fCampaign),OR(fTeam="All",$T190=fTeam),OR(fChannel="All",fChannel="Email",fChannel="Content Syndication"),OR(fMonth="All",$X190=fMonth)),1,0))</f>
        <v>0</v>
      </c>
      <c r="Z190" s="71">
        <f>IF($D190="",0,IF(AND(OR(fClient="All",$B190=fClient),OR(fCampaign="All",$C190=fCampaign),OR(fTeam="All",$T190=fTeam),OR(fChannel="All",fChannel="Email",fChannel="Content Syndication")),1,0))</f>
        <v>0</v>
      </c>
    </row>
    <row r="191">
      <c r="A191" s="63" t="n"/>
      <c r="B191" s="64" t="n"/>
      <c r="C191" s="64" t="n"/>
      <c r="D191" s="64" t="n"/>
      <c r="E191" s="67" t="n"/>
      <c r="F191" s="67" t="n"/>
      <c r="G191" s="67" t="n"/>
      <c r="H191" s="67" t="n"/>
      <c r="I191" s="67" t="n"/>
      <c r="J191" s="73" t="str">
        <f>IF(AND($W191&gt;0,ISNUMBER($I191)),$I191/$W191,"")</f>
        <v/>
      </c>
      <c r="K191" s="67" t="n"/>
      <c r="L191" s="73" t="str">
        <f>IF(AND($W191&gt;0,ISNUMBER($K191)),$K191/$W191,"")</f>
        <v/>
      </c>
      <c r="M191" s="67" t="n"/>
      <c r="N191" s="73" t="str">
        <f>IF(AND($W191&gt;0,ISNUMBER($M191)),$M191/$W191,"")</f>
        <v/>
      </c>
      <c r="O191" s="67" t="n"/>
      <c r="P191" s="73" t="str">
        <f>IF(AND($W191&gt;0,ISNUMBER($O191)),$O191/$W191,"")</f>
        <v/>
      </c>
      <c r="Q191" s="67" t="n"/>
      <c r="R191" s="67" t="n"/>
      <c r="S191" s="67" t="n"/>
      <c r="T191" s="64" t="n"/>
      <c r="U191" s="64" t="n"/>
      <c r="V191" s="65" t="n"/>
      <c r="W191" s="72">
        <f>IF($D191="",0,IF(ISNUMBER($G191),IF($G191&gt;0,$G191,N($F191)),N($F191)))</f>
        <v>0</v>
      </c>
      <c r="X191" s="71" t="str">
        <f>IF(ISNUMBER($A191),YEAR($A191)&amp;"-"&amp;TEXT(MONTH($A191),"00"),"")</f>
        <v/>
      </c>
      <c r="Y191" s="71">
        <f>IF($D191="",0,IF(AND(OR(fClient="All",$B191=fClient),OR(fCampaign="All",$C191=fCampaign),OR(fTeam="All",$T191=fTeam),OR(fChannel="All",fChannel="Email",fChannel="Content Syndication"),OR(fMonth="All",$X191=fMonth)),1,0))</f>
        <v>0</v>
      </c>
      <c r="Z191" s="71">
        <f>IF($D191="",0,IF(AND(OR(fClient="All",$B191=fClient),OR(fCampaign="All",$C191=fCampaign),OR(fTeam="All",$T191=fTeam),OR(fChannel="All",fChannel="Email",fChannel="Content Syndication")),1,0))</f>
        <v>0</v>
      </c>
    </row>
    <row r="192">
      <c r="A192" s="63" t="n"/>
      <c r="B192" s="64" t="n"/>
      <c r="C192" s="64" t="n"/>
      <c r="D192" s="64" t="n"/>
      <c r="E192" s="67" t="n"/>
      <c r="F192" s="67" t="n"/>
      <c r="G192" s="67" t="n"/>
      <c r="H192" s="67" t="n"/>
      <c r="I192" s="67" t="n"/>
      <c r="J192" s="73" t="str">
        <f>IF(AND($W192&gt;0,ISNUMBER($I192)),$I192/$W192,"")</f>
        <v/>
      </c>
      <c r="K192" s="67" t="n"/>
      <c r="L192" s="73" t="str">
        <f>IF(AND($W192&gt;0,ISNUMBER($K192)),$K192/$W192,"")</f>
        <v/>
      </c>
      <c r="M192" s="67" t="n"/>
      <c r="N192" s="73" t="str">
        <f>IF(AND($W192&gt;0,ISNUMBER($M192)),$M192/$W192,"")</f>
        <v/>
      </c>
      <c r="O192" s="67" t="n"/>
      <c r="P192" s="73" t="str">
        <f>IF(AND($W192&gt;0,ISNUMBER($O192)),$O192/$W192,"")</f>
        <v/>
      </c>
      <c r="Q192" s="67" t="n"/>
      <c r="R192" s="67" t="n"/>
      <c r="S192" s="67" t="n"/>
      <c r="T192" s="64" t="n"/>
      <c r="U192" s="64" t="n"/>
      <c r="V192" s="65" t="n"/>
      <c r="W192" s="72">
        <f>IF($D192="",0,IF(ISNUMBER($G192),IF($G192&gt;0,$G192,N($F192)),N($F192)))</f>
        <v>0</v>
      </c>
      <c r="X192" s="71" t="str">
        <f>IF(ISNUMBER($A192),YEAR($A192)&amp;"-"&amp;TEXT(MONTH($A192),"00"),"")</f>
        <v/>
      </c>
      <c r="Y192" s="71">
        <f>IF($D192="",0,IF(AND(OR(fClient="All",$B192=fClient),OR(fCampaign="All",$C192=fCampaign),OR(fTeam="All",$T192=fTeam),OR(fChannel="All",fChannel="Email",fChannel="Content Syndication"),OR(fMonth="All",$X192=fMonth)),1,0))</f>
        <v>0</v>
      </c>
      <c r="Z192" s="71">
        <f>IF($D192="",0,IF(AND(OR(fClient="All",$B192=fClient),OR(fCampaign="All",$C192=fCampaign),OR(fTeam="All",$T192=fTeam),OR(fChannel="All",fChannel="Email",fChannel="Content Syndication")),1,0))</f>
        <v>0</v>
      </c>
    </row>
    <row r="193">
      <c r="A193" s="63" t="n"/>
      <c r="B193" s="64" t="n"/>
      <c r="C193" s="64" t="n"/>
      <c r="D193" s="64" t="n"/>
      <c r="E193" s="67" t="n"/>
      <c r="F193" s="67" t="n"/>
      <c r="G193" s="67" t="n"/>
      <c r="H193" s="67" t="n"/>
      <c r="I193" s="67" t="n"/>
      <c r="J193" s="73" t="str">
        <f>IF(AND($W193&gt;0,ISNUMBER($I193)),$I193/$W193,"")</f>
        <v/>
      </c>
      <c r="K193" s="67" t="n"/>
      <c r="L193" s="73" t="str">
        <f>IF(AND($W193&gt;0,ISNUMBER($K193)),$K193/$W193,"")</f>
        <v/>
      </c>
      <c r="M193" s="67" t="n"/>
      <c r="N193" s="73" t="str">
        <f>IF(AND($W193&gt;0,ISNUMBER($M193)),$M193/$W193,"")</f>
        <v/>
      </c>
      <c r="O193" s="67" t="n"/>
      <c r="P193" s="73" t="str">
        <f>IF(AND($W193&gt;0,ISNUMBER($O193)),$O193/$W193,"")</f>
        <v/>
      </c>
      <c r="Q193" s="67" t="n"/>
      <c r="R193" s="67" t="n"/>
      <c r="S193" s="67" t="n"/>
      <c r="T193" s="64" t="n"/>
      <c r="U193" s="64" t="n"/>
      <c r="V193" s="65" t="n"/>
      <c r="W193" s="72">
        <f>IF($D193="",0,IF(ISNUMBER($G193),IF($G193&gt;0,$G193,N($F193)),N($F193)))</f>
        <v>0</v>
      </c>
      <c r="X193" s="71" t="str">
        <f>IF(ISNUMBER($A193),YEAR($A193)&amp;"-"&amp;TEXT(MONTH($A193),"00"),"")</f>
        <v/>
      </c>
      <c r="Y193" s="71">
        <f>IF($D193="",0,IF(AND(OR(fClient="All",$B193=fClient),OR(fCampaign="All",$C193=fCampaign),OR(fTeam="All",$T193=fTeam),OR(fChannel="All",fChannel="Email",fChannel="Content Syndication"),OR(fMonth="All",$X193=fMonth)),1,0))</f>
        <v>0</v>
      </c>
      <c r="Z193" s="71">
        <f>IF($D193="",0,IF(AND(OR(fClient="All",$B193=fClient),OR(fCampaign="All",$C193=fCampaign),OR(fTeam="All",$T193=fTeam),OR(fChannel="All",fChannel="Email",fChannel="Content Syndication")),1,0))</f>
        <v>0</v>
      </c>
    </row>
    <row r="194">
      <c r="A194" s="63" t="n"/>
      <c r="B194" s="64" t="n"/>
      <c r="C194" s="64" t="n"/>
      <c r="D194" s="64" t="n"/>
      <c r="E194" s="67" t="n"/>
      <c r="F194" s="67" t="n"/>
      <c r="G194" s="67" t="n"/>
      <c r="H194" s="67" t="n"/>
      <c r="I194" s="67" t="n"/>
      <c r="J194" s="73" t="str">
        <f>IF(AND($W194&gt;0,ISNUMBER($I194)),$I194/$W194,"")</f>
        <v/>
      </c>
      <c r="K194" s="67" t="n"/>
      <c r="L194" s="73" t="str">
        <f>IF(AND($W194&gt;0,ISNUMBER($K194)),$K194/$W194,"")</f>
        <v/>
      </c>
      <c r="M194" s="67" t="n"/>
      <c r="N194" s="73" t="str">
        <f>IF(AND($W194&gt;0,ISNUMBER($M194)),$M194/$W194,"")</f>
        <v/>
      </c>
      <c r="O194" s="67" t="n"/>
      <c r="P194" s="73" t="str">
        <f>IF(AND($W194&gt;0,ISNUMBER($O194)),$O194/$W194,"")</f>
        <v/>
      </c>
      <c r="Q194" s="67" t="n"/>
      <c r="R194" s="67" t="n"/>
      <c r="S194" s="67" t="n"/>
      <c r="T194" s="64" t="n"/>
      <c r="U194" s="64" t="n"/>
      <c r="V194" s="65" t="n"/>
      <c r="W194" s="72">
        <f>IF($D194="",0,IF(ISNUMBER($G194),IF($G194&gt;0,$G194,N($F194)),N($F194)))</f>
        <v>0</v>
      </c>
      <c r="X194" s="71" t="str">
        <f>IF(ISNUMBER($A194),YEAR($A194)&amp;"-"&amp;TEXT(MONTH($A194),"00"),"")</f>
        <v/>
      </c>
      <c r="Y194" s="71">
        <f>IF($D194="",0,IF(AND(OR(fClient="All",$B194=fClient),OR(fCampaign="All",$C194=fCampaign),OR(fTeam="All",$T194=fTeam),OR(fChannel="All",fChannel="Email",fChannel="Content Syndication"),OR(fMonth="All",$X194=fMonth)),1,0))</f>
        <v>0</v>
      </c>
      <c r="Z194" s="71">
        <f>IF($D194="",0,IF(AND(OR(fClient="All",$B194=fClient),OR(fCampaign="All",$C194=fCampaign),OR(fTeam="All",$T194=fTeam),OR(fChannel="All",fChannel="Email",fChannel="Content Syndication")),1,0))</f>
        <v>0</v>
      </c>
    </row>
    <row r="195">
      <c r="A195" s="63" t="n"/>
      <c r="B195" s="64" t="n"/>
      <c r="C195" s="64" t="n"/>
      <c r="D195" s="64" t="n"/>
      <c r="E195" s="67" t="n"/>
      <c r="F195" s="67" t="n"/>
      <c r="G195" s="67" t="n"/>
      <c r="H195" s="67" t="n"/>
      <c r="I195" s="67" t="n"/>
      <c r="J195" s="73" t="str">
        <f>IF(AND($W195&gt;0,ISNUMBER($I195)),$I195/$W195,"")</f>
        <v/>
      </c>
      <c r="K195" s="67" t="n"/>
      <c r="L195" s="73" t="str">
        <f>IF(AND($W195&gt;0,ISNUMBER($K195)),$K195/$W195,"")</f>
        <v/>
      </c>
      <c r="M195" s="67" t="n"/>
      <c r="N195" s="73" t="str">
        <f>IF(AND($W195&gt;0,ISNUMBER($M195)),$M195/$W195,"")</f>
        <v/>
      </c>
      <c r="O195" s="67" t="n"/>
      <c r="P195" s="73" t="str">
        <f>IF(AND($W195&gt;0,ISNUMBER($O195)),$O195/$W195,"")</f>
        <v/>
      </c>
      <c r="Q195" s="67" t="n"/>
      <c r="R195" s="67" t="n"/>
      <c r="S195" s="67" t="n"/>
      <c r="T195" s="64" t="n"/>
      <c r="U195" s="64" t="n"/>
      <c r="V195" s="65" t="n"/>
      <c r="W195" s="72">
        <f>IF($D195="",0,IF(ISNUMBER($G195),IF($G195&gt;0,$G195,N($F195)),N($F195)))</f>
        <v>0</v>
      </c>
      <c r="X195" s="71" t="str">
        <f>IF(ISNUMBER($A195),YEAR($A195)&amp;"-"&amp;TEXT(MONTH($A195),"00"),"")</f>
        <v/>
      </c>
      <c r="Y195" s="71">
        <f>IF($D195="",0,IF(AND(OR(fClient="All",$B195=fClient),OR(fCampaign="All",$C195=fCampaign),OR(fTeam="All",$T195=fTeam),OR(fChannel="All",fChannel="Email",fChannel="Content Syndication"),OR(fMonth="All",$X195=fMonth)),1,0))</f>
        <v>0</v>
      </c>
      <c r="Z195" s="71">
        <f>IF($D195="",0,IF(AND(OR(fClient="All",$B195=fClient),OR(fCampaign="All",$C195=fCampaign),OR(fTeam="All",$T195=fTeam),OR(fChannel="All",fChannel="Email",fChannel="Content Syndication")),1,0))</f>
        <v>0</v>
      </c>
    </row>
    <row r="196">
      <c r="A196" s="63" t="n"/>
      <c r="B196" s="64" t="n"/>
      <c r="C196" s="64" t="n"/>
      <c r="D196" s="64" t="n"/>
      <c r="E196" s="67" t="n"/>
      <c r="F196" s="67" t="n"/>
      <c r="G196" s="67" t="n"/>
      <c r="H196" s="67" t="n"/>
      <c r="I196" s="67" t="n"/>
      <c r="J196" s="73" t="str">
        <f>IF(AND($W196&gt;0,ISNUMBER($I196)),$I196/$W196,"")</f>
        <v/>
      </c>
      <c r="K196" s="67" t="n"/>
      <c r="L196" s="73" t="str">
        <f>IF(AND($W196&gt;0,ISNUMBER($K196)),$K196/$W196,"")</f>
        <v/>
      </c>
      <c r="M196" s="67" t="n"/>
      <c r="N196" s="73" t="str">
        <f>IF(AND($W196&gt;0,ISNUMBER($M196)),$M196/$W196,"")</f>
        <v/>
      </c>
      <c r="O196" s="67" t="n"/>
      <c r="P196" s="73" t="str">
        <f>IF(AND($W196&gt;0,ISNUMBER($O196)),$O196/$W196,"")</f>
        <v/>
      </c>
      <c r="Q196" s="67" t="n"/>
      <c r="R196" s="67" t="n"/>
      <c r="S196" s="67" t="n"/>
      <c r="T196" s="64" t="n"/>
      <c r="U196" s="64" t="n"/>
      <c r="V196" s="65" t="n"/>
      <c r="W196" s="72">
        <f>IF($D196="",0,IF(ISNUMBER($G196),IF($G196&gt;0,$G196,N($F196)),N($F196)))</f>
        <v>0</v>
      </c>
      <c r="X196" s="71" t="str">
        <f>IF(ISNUMBER($A196),YEAR($A196)&amp;"-"&amp;TEXT(MONTH($A196),"00"),"")</f>
        <v/>
      </c>
      <c r="Y196" s="71">
        <f>IF($D196="",0,IF(AND(OR(fClient="All",$B196=fClient),OR(fCampaign="All",$C196=fCampaign),OR(fTeam="All",$T196=fTeam),OR(fChannel="All",fChannel="Email",fChannel="Content Syndication"),OR(fMonth="All",$X196=fMonth)),1,0))</f>
        <v>0</v>
      </c>
      <c r="Z196" s="71">
        <f>IF($D196="",0,IF(AND(OR(fClient="All",$B196=fClient),OR(fCampaign="All",$C196=fCampaign),OR(fTeam="All",$T196=fTeam),OR(fChannel="All",fChannel="Email",fChannel="Content Syndication")),1,0))</f>
        <v>0</v>
      </c>
    </row>
    <row r="197">
      <c r="A197" s="63" t="n"/>
      <c r="B197" s="64" t="n"/>
      <c r="C197" s="64" t="n"/>
      <c r="D197" s="64" t="n"/>
      <c r="E197" s="67" t="n"/>
      <c r="F197" s="67" t="n"/>
      <c r="G197" s="67" t="n"/>
      <c r="H197" s="67" t="n"/>
      <c r="I197" s="67" t="n"/>
      <c r="J197" s="73" t="str">
        <f>IF(AND($W197&gt;0,ISNUMBER($I197)),$I197/$W197,"")</f>
        <v/>
      </c>
      <c r="K197" s="67" t="n"/>
      <c r="L197" s="73" t="str">
        <f>IF(AND($W197&gt;0,ISNUMBER($K197)),$K197/$W197,"")</f>
        <v/>
      </c>
      <c r="M197" s="67" t="n"/>
      <c r="N197" s="73" t="str">
        <f>IF(AND($W197&gt;0,ISNUMBER($M197)),$M197/$W197,"")</f>
        <v/>
      </c>
      <c r="O197" s="67" t="n"/>
      <c r="P197" s="73" t="str">
        <f>IF(AND($W197&gt;0,ISNUMBER($O197)),$O197/$W197,"")</f>
        <v/>
      </c>
      <c r="Q197" s="67" t="n"/>
      <c r="R197" s="67" t="n"/>
      <c r="S197" s="67" t="n"/>
      <c r="T197" s="64" t="n"/>
      <c r="U197" s="64" t="n"/>
      <c r="V197" s="65" t="n"/>
      <c r="W197" s="72">
        <f>IF($D197="",0,IF(ISNUMBER($G197),IF($G197&gt;0,$G197,N($F197)),N($F197)))</f>
        <v>0</v>
      </c>
      <c r="X197" s="71" t="str">
        <f>IF(ISNUMBER($A197),YEAR($A197)&amp;"-"&amp;TEXT(MONTH($A197),"00"),"")</f>
        <v/>
      </c>
      <c r="Y197" s="71">
        <f>IF($D197="",0,IF(AND(OR(fClient="All",$B197=fClient),OR(fCampaign="All",$C197=fCampaign),OR(fTeam="All",$T197=fTeam),OR(fChannel="All",fChannel="Email",fChannel="Content Syndication"),OR(fMonth="All",$X197=fMonth)),1,0))</f>
        <v>0</v>
      </c>
      <c r="Z197" s="71">
        <f>IF($D197="",0,IF(AND(OR(fClient="All",$B197=fClient),OR(fCampaign="All",$C197=fCampaign),OR(fTeam="All",$T197=fTeam),OR(fChannel="All",fChannel="Email",fChannel="Content Syndication")),1,0))</f>
        <v>0</v>
      </c>
    </row>
    <row r="198">
      <c r="A198" s="63" t="n"/>
      <c r="B198" s="64" t="n"/>
      <c r="C198" s="64" t="n"/>
      <c r="D198" s="64" t="n"/>
      <c r="E198" s="67" t="n"/>
      <c r="F198" s="67" t="n"/>
      <c r="G198" s="67" t="n"/>
      <c r="H198" s="67" t="n"/>
      <c r="I198" s="67" t="n"/>
      <c r="J198" s="73" t="str">
        <f>IF(AND($W198&gt;0,ISNUMBER($I198)),$I198/$W198,"")</f>
        <v/>
      </c>
      <c r="K198" s="67" t="n"/>
      <c r="L198" s="73" t="str">
        <f>IF(AND($W198&gt;0,ISNUMBER($K198)),$K198/$W198,"")</f>
        <v/>
      </c>
      <c r="M198" s="67" t="n"/>
      <c r="N198" s="73" t="str">
        <f>IF(AND($W198&gt;0,ISNUMBER($M198)),$M198/$W198,"")</f>
        <v/>
      </c>
      <c r="O198" s="67" t="n"/>
      <c r="P198" s="73" t="str">
        <f>IF(AND($W198&gt;0,ISNUMBER($O198)),$O198/$W198,"")</f>
        <v/>
      </c>
      <c r="Q198" s="67" t="n"/>
      <c r="R198" s="67" t="n"/>
      <c r="S198" s="67" t="n"/>
      <c r="T198" s="64" t="n"/>
      <c r="U198" s="64" t="n"/>
      <c r="V198" s="65" t="n"/>
      <c r="W198" s="72">
        <f>IF($D198="",0,IF(ISNUMBER($G198),IF($G198&gt;0,$G198,N($F198)),N($F198)))</f>
        <v>0</v>
      </c>
      <c r="X198" s="71" t="str">
        <f>IF(ISNUMBER($A198),YEAR($A198)&amp;"-"&amp;TEXT(MONTH($A198),"00"),"")</f>
        <v/>
      </c>
      <c r="Y198" s="71">
        <f>IF($D198="",0,IF(AND(OR(fClient="All",$B198=fClient),OR(fCampaign="All",$C198=fCampaign),OR(fTeam="All",$T198=fTeam),OR(fChannel="All",fChannel="Email",fChannel="Content Syndication"),OR(fMonth="All",$X198=fMonth)),1,0))</f>
        <v>0</v>
      </c>
      <c r="Z198" s="71">
        <f>IF($D198="",0,IF(AND(OR(fClient="All",$B198=fClient),OR(fCampaign="All",$C198=fCampaign),OR(fTeam="All",$T198=fTeam),OR(fChannel="All",fChannel="Email",fChannel="Content Syndication")),1,0))</f>
        <v>0</v>
      </c>
    </row>
    <row r="199">
      <c r="A199" s="63" t="n"/>
      <c r="B199" s="64" t="n"/>
      <c r="C199" s="64" t="n"/>
      <c r="D199" s="64" t="n"/>
      <c r="E199" s="67" t="n"/>
      <c r="F199" s="67" t="n"/>
      <c r="G199" s="67" t="n"/>
      <c r="H199" s="67" t="n"/>
      <c r="I199" s="67" t="n"/>
      <c r="J199" s="73" t="str">
        <f>IF(AND($W199&gt;0,ISNUMBER($I199)),$I199/$W199,"")</f>
        <v/>
      </c>
      <c r="K199" s="67" t="n"/>
      <c r="L199" s="73" t="str">
        <f>IF(AND($W199&gt;0,ISNUMBER($K199)),$K199/$W199,"")</f>
        <v/>
      </c>
      <c r="M199" s="67" t="n"/>
      <c r="N199" s="73" t="str">
        <f>IF(AND($W199&gt;0,ISNUMBER($M199)),$M199/$W199,"")</f>
        <v/>
      </c>
      <c r="O199" s="67" t="n"/>
      <c r="P199" s="73" t="str">
        <f>IF(AND($W199&gt;0,ISNUMBER($O199)),$O199/$W199,"")</f>
        <v/>
      </c>
      <c r="Q199" s="67" t="n"/>
      <c r="R199" s="67" t="n"/>
      <c r="S199" s="67" t="n"/>
      <c r="T199" s="64" t="n"/>
      <c r="U199" s="64" t="n"/>
      <c r="V199" s="65" t="n"/>
      <c r="W199" s="72">
        <f>IF($D199="",0,IF(ISNUMBER($G199),IF($G199&gt;0,$G199,N($F199)),N($F199)))</f>
        <v>0</v>
      </c>
      <c r="X199" s="71" t="str">
        <f>IF(ISNUMBER($A199),YEAR($A199)&amp;"-"&amp;TEXT(MONTH($A199),"00"),"")</f>
        <v/>
      </c>
      <c r="Y199" s="71">
        <f>IF($D199="",0,IF(AND(OR(fClient="All",$B199=fClient),OR(fCampaign="All",$C199=fCampaign),OR(fTeam="All",$T199=fTeam),OR(fChannel="All",fChannel="Email",fChannel="Content Syndication"),OR(fMonth="All",$X199=fMonth)),1,0))</f>
        <v>0</v>
      </c>
      <c r="Z199" s="71">
        <f>IF($D199="",0,IF(AND(OR(fClient="All",$B199=fClient),OR(fCampaign="All",$C199=fCampaign),OR(fTeam="All",$T199=fTeam),OR(fChannel="All",fChannel="Email",fChannel="Content Syndication")),1,0))</f>
        <v>0</v>
      </c>
    </row>
    <row r="200">
      <c r="A200" s="63" t="n"/>
      <c r="B200" s="64" t="n"/>
      <c r="C200" s="64" t="n"/>
      <c r="D200" s="64" t="n"/>
      <c r="E200" s="67" t="n"/>
      <c r="F200" s="67" t="n"/>
      <c r="G200" s="67" t="n"/>
      <c r="H200" s="67" t="n"/>
      <c r="I200" s="67" t="n"/>
      <c r="J200" s="73" t="str">
        <f>IF(AND($W200&gt;0,ISNUMBER($I200)),$I200/$W200,"")</f>
        <v/>
      </c>
      <c r="K200" s="67" t="n"/>
      <c r="L200" s="73" t="str">
        <f>IF(AND($W200&gt;0,ISNUMBER($K200)),$K200/$W200,"")</f>
        <v/>
      </c>
      <c r="M200" s="67" t="n"/>
      <c r="N200" s="73" t="str">
        <f>IF(AND($W200&gt;0,ISNUMBER($M200)),$M200/$W200,"")</f>
        <v/>
      </c>
      <c r="O200" s="67" t="n"/>
      <c r="P200" s="73" t="str">
        <f>IF(AND($W200&gt;0,ISNUMBER($O200)),$O200/$W200,"")</f>
        <v/>
      </c>
      <c r="Q200" s="67" t="n"/>
      <c r="R200" s="67" t="n"/>
      <c r="S200" s="67" t="n"/>
      <c r="T200" s="64" t="n"/>
      <c r="U200" s="64" t="n"/>
      <c r="V200" s="65" t="n"/>
      <c r="W200" s="72">
        <f>IF($D200="",0,IF(ISNUMBER($G200),IF($G200&gt;0,$G200,N($F200)),N($F200)))</f>
        <v>0</v>
      </c>
      <c r="X200" s="71" t="str">
        <f>IF(ISNUMBER($A200),YEAR($A200)&amp;"-"&amp;TEXT(MONTH($A200),"00"),"")</f>
        <v/>
      </c>
      <c r="Y200" s="71">
        <f>IF($D200="",0,IF(AND(OR(fClient="All",$B200=fClient),OR(fCampaign="All",$C200=fCampaign),OR(fTeam="All",$T200=fTeam),OR(fChannel="All",fChannel="Email",fChannel="Content Syndication"),OR(fMonth="All",$X200=fMonth)),1,0))</f>
        <v>0</v>
      </c>
      <c r="Z200" s="71">
        <f>IF($D200="",0,IF(AND(OR(fClient="All",$B200=fClient),OR(fCampaign="All",$C200=fCampaign),OR(fTeam="All",$T200=fTeam),OR(fChannel="All",fChannel="Email",fChannel="Content Syndication")),1,0))</f>
        <v>0</v>
      </c>
    </row>
    <row r="201">
      <c r="A201" s="63" t="n"/>
      <c r="B201" s="64" t="n"/>
      <c r="C201" s="64" t="n"/>
      <c r="D201" s="64" t="n"/>
      <c r="E201" s="67" t="n"/>
      <c r="F201" s="67" t="n"/>
      <c r="G201" s="67" t="n"/>
      <c r="H201" s="67" t="n"/>
      <c r="I201" s="67" t="n"/>
      <c r="J201" s="73" t="str">
        <f>IF(AND($W201&gt;0,ISNUMBER($I201)),$I201/$W201,"")</f>
        <v/>
      </c>
      <c r="K201" s="67" t="n"/>
      <c r="L201" s="73" t="str">
        <f>IF(AND($W201&gt;0,ISNUMBER($K201)),$K201/$W201,"")</f>
        <v/>
      </c>
      <c r="M201" s="67" t="n"/>
      <c r="N201" s="73" t="str">
        <f>IF(AND($W201&gt;0,ISNUMBER($M201)),$M201/$W201,"")</f>
        <v/>
      </c>
      <c r="O201" s="67" t="n"/>
      <c r="P201" s="73" t="str">
        <f>IF(AND($W201&gt;0,ISNUMBER($O201)),$O201/$W201,"")</f>
        <v/>
      </c>
      <c r="Q201" s="67" t="n"/>
      <c r="R201" s="67" t="n"/>
      <c r="S201" s="67" t="n"/>
      <c r="T201" s="64" t="n"/>
      <c r="U201" s="64" t="n"/>
      <c r="V201" s="65" t="n"/>
      <c r="W201" s="72">
        <f>IF($D201="",0,IF(ISNUMBER($G201),IF($G201&gt;0,$G201,N($F201)),N($F201)))</f>
        <v>0</v>
      </c>
      <c r="X201" s="71" t="str">
        <f>IF(ISNUMBER($A201),YEAR($A201)&amp;"-"&amp;TEXT(MONTH($A201),"00"),"")</f>
        <v/>
      </c>
      <c r="Y201" s="71">
        <f>IF($D201="",0,IF(AND(OR(fClient="All",$B201=fClient),OR(fCampaign="All",$C201=fCampaign),OR(fTeam="All",$T201=fTeam),OR(fChannel="All",fChannel="Email",fChannel="Content Syndication"),OR(fMonth="All",$X201=fMonth)),1,0))</f>
        <v>0</v>
      </c>
      <c r="Z201" s="71">
        <f>IF($D201="",0,IF(AND(OR(fClient="All",$B201=fClient),OR(fCampaign="All",$C201=fCampaign),OR(fTeam="All",$T201=fTeam),OR(fChannel="All",fChannel="Email",fChannel="Content Syndication")),1,0))</f>
        <v>0</v>
      </c>
    </row>
    <row r="202">
      <c r="A202" s="63" t="n"/>
      <c r="B202" s="64" t="n"/>
      <c r="C202" s="64" t="n"/>
      <c r="D202" s="64" t="n"/>
      <c r="E202" s="67" t="n"/>
      <c r="F202" s="67" t="n"/>
      <c r="G202" s="67" t="n"/>
      <c r="H202" s="67" t="n"/>
      <c r="I202" s="67" t="n"/>
      <c r="J202" s="73" t="str">
        <f>IF(AND($W202&gt;0,ISNUMBER($I202)),$I202/$W202,"")</f>
        <v/>
      </c>
      <c r="K202" s="67" t="n"/>
      <c r="L202" s="73" t="str">
        <f>IF(AND($W202&gt;0,ISNUMBER($K202)),$K202/$W202,"")</f>
        <v/>
      </c>
      <c r="M202" s="67" t="n"/>
      <c r="N202" s="73" t="str">
        <f>IF(AND($W202&gt;0,ISNUMBER($M202)),$M202/$W202,"")</f>
        <v/>
      </c>
      <c r="O202" s="67" t="n"/>
      <c r="P202" s="73" t="str">
        <f>IF(AND($W202&gt;0,ISNUMBER($O202)),$O202/$W202,"")</f>
        <v/>
      </c>
      <c r="Q202" s="67" t="n"/>
      <c r="R202" s="67" t="n"/>
      <c r="S202" s="67" t="n"/>
      <c r="T202" s="64" t="n"/>
      <c r="U202" s="64" t="n"/>
      <c r="V202" s="65" t="n"/>
      <c r="W202" s="72">
        <f>IF($D202="",0,IF(ISNUMBER($G202),IF($G202&gt;0,$G202,N($F202)),N($F202)))</f>
        <v>0</v>
      </c>
      <c r="X202" s="71" t="str">
        <f>IF(ISNUMBER($A202),YEAR($A202)&amp;"-"&amp;TEXT(MONTH($A202),"00"),"")</f>
        <v/>
      </c>
      <c r="Y202" s="71">
        <f>IF($D202="",0,IF(AND(OR(fClient="All",$B202=fClient),OR(fCampaign="All",$C202=fCampaign),OR(fTeam="All",$T202=fTeam),OR(fChannel="All",fChannel="Email",fChannel="Content Syndication"),OR(fMonth="All",$X202=fMonth)),1,0))</f>
        <v>0</v>
      </c>
      <c r="Z202" s="71">
        <f>IF($D202="",0,IF(AND(OR(fClient="All",$B202=fClient),OR(fCampaign="All",$C202=fCampaign),OR(fTeam="All",$T202=fTeam),OR(fChannel="All",fChannel="Email",fChannel="Content Syndication")),1,0))</f>
        <v>0</v>
      </c>
    </row>
    <row r="203">
      <c r="A203" s="63" t="n"/>
      <c r="B203" s="64" t="n"/>
      <c r="C203" s="64" t="n"/>
      <c r="D203" s="64" t="n"/>
      <c r="E203" s="67" t="n"/>
      <c r="F203" s="67" t="n"/>
      <c r="G203" s="67" t="n"/>
      <c r="H203" s="67" t="n"/>
      <c r="I203" s="67" t="n"/>
      <c r="J203" s="73" t="str">
        <f>IF(AND($W203&gt;0,ISNUMBER($I203)),$I203/$W203,"")</f>
        <v/>
      </c>
      <c r="K203" s="67" t="n"/>
      <c r="L203" s="73" t="str">
        <f>IF(AND($W203&gt;0,ISNUMBER($K203)),$K203/$W203,"")</f>
        <v/>
      </c>
      <c r="M203" s="67" t="n"/>
      <c r="N203" s="73" t="str">
        <f>IF(AND($W203&gt;0,ISNUMBER($M203)),$M203/$W203,"")</f>
        <v/>
      </c>
      <c r="O203" s="67" t="n"/>
      <c r="P203" s="73" t="str">
        <f>IF(AND($W203&gt;0,ISNUMBER($O203)),$O203/$W203,"")</f>
        <v/>
      </c>
      <c r="Q203" s="67" t="n"/>
      <c r="R203" s="67" t="n"/>
      <c r="S203" s="67" t="n"/>
      <c r="T203" s="64" t="n"/>
      <c r="U203" s="64" t="n"/>
      <c r="V203" s="65" t="n"/>
      <c r="W203" s="72">
        <f>IF($D203="",0,IF(ISNUMBER($G203),IF($G203&gt;0,$G203,N($F203)),N($F203)))</f>
        <v>0</v>
      </c>
      <c r="X203" s="71" t="str">
        <f>IF(ISNUMBER($A203),YEAR($A203)&amp;"-"&amp;TEXT(MONTH($A203),"00"),"")</f>
        <v/>
      </c>
      <c r="Y203" s="71">
        <f>IF($D203="",0,IF(AND(OR(fClient="All",$B203=fClient),OR(fCampaign="All",$C203=fCampaign),OR(fTeam="All",$T203=fTeam),OR(fChannel="All",fChannel="Email",fChannel="Content Syndication"),OR(fMonth="All",$X203=fMonth)),1,0))</f>
        <v>0</v>
      </c>
      <c r="Z203" s="71">
        <f>IF($D203="",0,IF(AND(OR(fClient="All",$B203=fClient),OR(fCampaign="All",$C203=fCampaign),OR(fTeam="All",$T203=fTeam),OR(fChannel="All",fChannel="Email",fChannel="Content Syndication")),1,0))</f>
        <v>0</v>
      </c>
    </row>
    <row r="204">
      <c r="A204" s="63" t="n"/>
      <c r="B204" s="64" t="n"/>
      <c r="C204" s="64" t="n"/>
      <c r="D204" s="64" t="n"/>
      <c r="E204" s="67" t="n"/>
      <c r="F204" s="67" t="n"/>
      <c r="G204" s="67" t="n"/>
      <c r="H204" s="67" t="n"/>
      <c r="I204" s="67" t="n"/>
      <c r="J204" s="73" t="str">
        <f>IF(AND($W204&gt;0,ISNUMBER($I204)),$I204/$W204,"")</f>
        <v/>
      </c>
      <c r="K204" s="67" t="n"/>
      <c r="L204" s="73" t="str">
        <f>IF(AND($W204&gt;0,ISNUMBER($K204)),$K204/$W204,"")</f>
        <v/>
      </c>
      <c r="M204" s="67" t="n"/>
      <c r="N204" s="73" t="str">
        <f>IF(AND($W204&gt;0,ISNUMBER($M204)),$M204/$W204,"")</f>
        <v/>
      </c>
      <c r="O204" s="67" t="n"/>
      <c r="P204" s="73" t="str">
        <f>IF(AND($W204&gt;0,ISNUMBER($O204)),$O204/$W204,"")</f>
        <v/>
      </c>
      <c r="Q204" s="67" t="n"/>
      <c r="R204" s="67" t="n"/>
      <c r="S204" s="67" t="n"/>
      <c r="T204" s="64" t="n"/>
      <c r="U204" s="64" t="n"/>
      <c r="V204" s="65" t="n"/>
      <c r="W204" s="72">
        <f>IF($D204="",0,IF(ISNUMBER($G204),IF($G204&gt;0,$G204,N($F204)),N($F204)))</f>
        <v>0</v>
      </c>
      <c r="X204" s="71" t="str">
        <f>IF(ISNUMBER($A204),YEAR($A204)&amp;"-"&amp;TEXT(MONTH($A204),"00"),"")</f>
        <v/>
      </c>
      <c r="Y204" s="71">
        <f>IF($D204="",0,IF(AND(OR(fClient="All",$B204=fClient),OR(fCampaign="All",$C204=fCampaign),OR(fTeam="All",$T204=fTeam),OR(fChannel="All",fChannel="Email",fChannel="Content Syndication"),OR(fMonth="All",$X204=fMonth)),1,0))</f>
        <v>0</v>
      </c>
      <c r="Z204" s="71">
        <f>IF($D204="",0,IF(AND(OR(fClient="All",$B204=fClient),OR(fCampaign="All",$C204=fCampaign),OR(fTeam="All",$T204=fTeam),OR(fChannel="All",fChannel="Email",fChannel="Content Syndication")),1,0))</f>
        <v>0</v>
      </c>
    </row>
    <row r="205">
      <c r="A205" s="63" t="n"/>
      <c r="B205" s="64" t="n"/>
      <c r="C205" s="64" t="n"/>
      <c r="D205" s="64" t="n"/>
      <c r="E205" s="67" t="n"/>
      <c r="F205" s="67" t="n"/>
      <c r="G205" s="67" t="n"/>
      <c r="H205" s="67" t="n"/>
      <c r="I205" s="67" t="n"/>
      <c r="J205" s="73" t="str">
        <f>IF(AND($W205&gt;0,ISNUMBER($I205)),$I205/$W205,"")</f>
        <v/>
      </c>
      <c r="K205" s="67" t="n"/>
      <c r="L205" s="73" t="str">
        <f>IF(AND($W205&gt;0,ISNUMBER($K205)),$K205/$W205,"")</f>
        <v/>
      </c>
      <c r="M205" s="67" t="n"/>
      <c r="N205" s="73" t="str">
        <f>IF(AND($W205&gt;0,ISNUMBER($M205)),$M205/$W205,"")</f>
        <v/>
      </c>
      <c r="O205" s="67" t="n"/>
      <c r="P205" s="73" t="str">
        <f>IF(AND($W205&gt;0,ISNUMBER($O205)),$O205/$W205,"")</f>
        <v/>
      </c>
      <c r="Q205" s="67" t="n"/>
      <c r="R205" s="67" t="n"/>
      <c r="S205" s="67" t="n"/>
      <c r="T205" s="64" t="n"/>
      <c r="U205" s="64" t="n"/>
      <c r="V205" s="65" t="n"/>
      <c r="W205" s="72">
        <f>IF($D205="",0,IF(ISNUMBER($G205),IF($G205&gt;0,$G205,N($F205)),N($F205)))</f>
        <v>0</v>
      </c>
      <c r="X205" s="71" t="str">
        <f>IF(ISNUMBER($A205),YEAR($A205)&amp;"-"&amp;TEXT(MONTH($A205),"00"),"")</f>
        <v/>
      </c>
      <c r="Y205" s="71">
        <f>IF($D205="",0,IF(AND(OR(fClient="All",$B205=fClient),OR(fCampaign="All",$C205=fCampaign),OR(fTeam="All",$T205=fTeam),OR(fChannel="All",fChannel="Email",fChannel="Content Syndication"),OR(fMonth="All",$X205=fMonth)),1,0))</f>
        <v>0</v>
      </c>
      <c r="Z205" s="71">
        <f>IF($D205="",0,IF(AND(OR(fClient="All",$B205=fClient),OR(fCampaign="All",$C205=fCampaign),OR(fTeam="All",$T205=fTeam),OR(fChannel="All",fChannel="Email",fChannel="Content Syndication")),1,0))</f>
        <v>0</v>
      </c>
    </row>
    <row r="206">
      <c r="A206" s="63" t="n"/>
      <c r="B206" s="64" t="n"/>
      <c r="C206" s="64" t="n"/>
      <c r="D206" s="64" t="n"/>
      <c r="E206" s="67" t="n"/>
      <c r="F206" s="67" t="n"/>
      <c r="G206" s="67" t="n"/>
      <c r="H206" s="67" t="n"/>
      <c r="I206" s="67" t="n"/>
      <c r="J206" s="73" t="str">
        <f>IF(AND($W206&gt;0,ISNUMBER($I206)),$I206/$W206,"")</f>
        <v/>
      </c>
      <c r="K206" s="67" t="n"/>
      <c r="L206" s="73" t="str">
        <f>IF(AND($W206&gt;0,ISNUMBER($K206)),$K206/$W206,"")</f>
        <v/>
      </c>
      <c r="M206" s="67" t="n"/>
      <c r="N206" s="73" t="str">
        <f>IF(AND($W206&gt;0,ISNUMBER($M206)),$M206/$W206,"")</f>
        <v/>
      </c>
      <c r="O206" s="67" t="n"/>
      <c r="P206" s="73" t="str">
        <f>IF(AND($W206&gt;0,ISNUMBER($O206)),$O206/$W206,"")</f>
        <v/>
      </c>
      <c r="Q206" s="67" t="n"/>
      <c r="R206" s="67" t="n"/>
      <c r="S206" s="67" t="n"/>
      <c r="T206" s="64" t="n"/>
      <c r="U206" s="64" t="n"/>
      <c r="V206" s="65" t="n"/>
      <c r="W206" s="72">
        <f>IF($D206="",0,IF(ISNUMBER($G206),IF($G206&gt;0,$G206,N($F206)),N($F206)))</f>
        <v>0</v>
      </c>
      <c r="X206" s="71" t="str">
        <f>IF(ISNUMBER($A206),YEAR($A206)&amp;"-"&amp;TEXT(MONTH($A206),"00"),"")</f>
        <v/>
      </c>
      <c r="Y206" s="71">
        <f>IF($D206="",0,IF(AND(OR(fClient="All",$B206=fClient),OR(fCampaign="All",$C206=fCampaign),OR(fTeam="All",$T206=fTeam),OR(fChannel="All",fChannel="Email",fChannel="Content Syndication"),OR(fMonth="All",$X206=fMonth)),1,0))</f>
        <v>0</v>
      </c>
      <c r="Z206" s="71">
        <f>IF($D206="",0,IF(AND(OR(fClient="All",$B206=fClient),OR(fCampaign="All",$C206=fCampaign),OR(fTeam="All",$T206=fTeam),OR(fChannel="All",fChannel="Email",fChannel="Content Syndication")),1,0))</f>
        <v>0</v>
      </c>
    </row>
    <row r="207">
      <c r="A207" s="63" t="n"/>
      <c r="B207" s="64" t="n"/>
      <c r="C207" s="64" t="n"/>
      <c r="D207" s="64" t="n"/>
      <c r="E207" s="67" t="n"/>
      <c r="F207" s="67" t="n"/>
      <c r="G207" s="67" t="n"/>
      <c r="H207" s="67" t="n"/>
      <c r="I207" s="67" t="n"/>
      <c r="J207" s="73" t="str">
        <f>IF(AND($W207&gt;0,ISNUMBER($I207)),$I207/$W207,"")</f>
        <v/>
      </c>
      <c r="K207" s="67" t="n"/>
      <c r="L207" s="73" t="str">
        <f>IF(AND($W207&gt;0,ISNUMBER($K207)),$K207/$W207,"")</f>
        <v/>
      </c>
      <c r="M207" s="67" t="n"/>
      <c r="N207" s="73" t="str">
        <f>IF(AND($W207&gt;0,ISNUMBER($M207)),$M207/$W207,"")</f>
        <v/>
      </c>
      <c r="O207" s="67" t="n"/>
      <c r="P207" s="73" t="str">
        <f>IF(AND($W207&gt;0,ISNUMBER($O207)),$O207/$W207,"")</f>
        <v/>
      </c>
      <c r="Q207" s="67" t="n"/>
      <c r="R207" s="67" t="n"/>
      <c r="S207" s="67" t="n"/>
      <c r="T207" s="64" t="n"/>
      <c r="U207" s="64" t="n"/>
      <c r="V207" s="65" t="n"/>
      <c r="W207" s="72">
        <f>IF($D207="",0,IF(ISNUMBER($G207),IF($G207&gt;0,$G207,N($F207)),N($F207)))</f>
        <v>0</v>
      </c>
      <c r="X207" s="71" t="str">
        <f>IF(ISNUMBER($A207),YEAR($A207)&amp;"-"&amp;TEXT(MONTH($A207),"00"),"")</f>
        <v/>
      </c>
      <c r="Y207" s="71">
        <f>IF($D207="",0,IF(AND(OR(fClient="All",$B207=fClient),OR(fCampaign="All",$C207=fCampaign),OR(fTeam="All",$T207=fTeam),OR(fChannel="All",fChannel="Email",fChannel="Content Syndication"),OR(fMonth="All",$X207=fMonth)),1,0))</f>
        <v>0</v>
      </c>
      <c r="Z207" s="71">
        <f>IF($D207="",0,IF(AND(OR(fClient="All",$B207=fClient),OR(fCampaign="All",$C207=fCampaign),OR(fTeam="All",$T207=fTeam),OR(fChannel="All",fChannel="Email",fChannel="Content Syndication")),1,0))</f>
        <v>0</v>
      </c>
    </row>
    <row r="208">
      <c r="A208" s="63" t="n"/>
      <c r="B208" s="64" t="n"/>
      <c r="C208" s="64" t="n"/>
      <c r="D208" s="64" t="n"/>
      <c r="E208" s="67" t="n"/>
      <c r="F208" s="67" t="n"/>
      <c r="G208" s="67" t="n"/>
      <c r="H208" s="67" t="n"/>
      <c r="I208" s="67" t="n"/>
      <c r="J208" s="73" t="str">
        <f>IF(AND($W208&gt;0,ISNUMBER($I208)),$I208/$W208,"")</f>
        <v/>
      </c>
      <c r="K208" s="67" t="n"/>
      <c r="L208" s="73" t="str">
        <f>IF(AND($W208&gt;0,ISNUMBER($K208)),$K208/$W208,"")</f>
        <v/>
      </c>
      <c r="M208" s="67" t="n"/>
      <c r="N208" s="73" t="str">
        <f>IF(AND($W208&gt;0,ISNUMBER($M208)),$M208/$W208,"")</f>
        <v/>
      </c>
      <c r="O208" s="67" t="n"/>
      <c r="P208" s="73" t="str">
        <f>IF(AND($W208&gt;0,ISNUMBER($O208)),$O208/$W208,"")</f>
        <v/>
      </c>
      <c r="Q208" s="67" t="n"/>
      <c r="R208" s="67" t="n"/>
      <c r="S208" s="67" t="n"/>
      <c r="T208" s="64" t="n"/>
      <c r="U208" s="64" t="n"/>
      <c r="V208" s="65" t="n"/>
      <c r="W208" s="72">
        <f>IF($D208="",0,IF(ISNUMBER($G208),IF($G208&gt;0,$G208,N($F208)),N($F208)))</f>
        <v>0</v>
      </c>
      <c r="X208" s="71" t="str">
        <f>IF(ISNUMBER($A208),YEAR($A208)&amp;"-"&amp;TEXT(MONTH($A208),"00"),"")</f>
        <v/>
      </c>
      <c r="Y208" s="71">
        <f>IF($D208="",0,IF(AND(OR(fClient="All",$B208=fClient),OR(fCampaign="All",$C208=fCampaign),OR(fTeam="All",$T208=fTeam),OR(fChannel="All",fChannel="Email",fChannel="Content Syndication"),OR(fMonth="All",$X208=fMonth)),1,0))</f>
        <v>0</v>
      </c>
      <c r="Z208" s="71">
        <f>IF($D208="",0,IF(AND(OR(fClient="All",$B208=fClient),OR(fCampaign="All",$C208=fCampaign),OR(fTeam="All",$T208=fTeam),OR(fChannel="All",fChannel="Email",fChannel="Content Syndication")),1,0))</f>
        <v>0</v>
      </c>
    </row>
    <row r="209">
      <c r="A209" s="63" t="n"/>
      <c r="B209" s="64" t="n"/>
      <c r="C209" s="64" t="n"/>
      <c r="D209" s="64" t="n"/>
      <c r="E209" s="67" t="n"/>
      <c r="F209" s="67" t="n"/>
      <c r="G209" s="67" t="n"/>
      <c r="H209" s="67" t="n"/>
      <c r="I209" s="67" t="n"/>
      <c r="J209" s="73" t="str">
        <f>IF(AND($W209&gt;0,ISNUMBER($I209)),$I209/$W209,"")</f>
        <v/>
      </c>
      <c r="K209" s="67" t="n"/>
      <c r="L209" s="73" t="str">
        <f>IF(AND($W209&gt;0,ISNUMBER($K209)),$K209/$W209,"")</f>
        <v/>
      </c>
      <c r="M209" s="67" t="n"/>
      <c r="N209" s="73" t="str">
        <f>IF(AND($W209&gt;0,ISNUMBER($M209)),$M209/$W209,"")</f>
        <v/>
      </c>
      <c r="O209" s="67" t="n"/>
      <c r="P209" s="73" t="str">
        <f>IF(AND($W209&gt;0,ISNUMBER($O209)),$O209/$W209,"")</f>
        <v/>
      </c>
      <c r="Q209" s="67" t="n"/>
      <c r="R209" s="67" t="n"/>
      <c r="S209" s="67" t="n"/>
      <c r="T209" s="64" t="n"/>
      <c r="U209" s="64" t="n"/>
      <c r="V209" s="65" t="n"/>
      <c r="W209" s="72">
        <f>IF($D209="",0,IF(ISNUMBER($G209),IF($G209&gt;0,$G209,N($F209)),N($F209)))</f>
        <v>0</v>
      </c>
      <c r="X209" s="71" t="str">
        <f>IF(ISNUMBER($A209),YEAR($A209)&amp;"-"&amp;TEXT(MONTH($A209),"00"),"")</f>
        <v/>
      </c>
      <c r="Y209" s="71">
        <f>IF($D209="",0,IF(AND(OR(fClient="All",$B209=fClient),OR(fCampaign="All",$C209=fCampaign),OR(fTeam="All",$T209=fTeam),OR(fChannel="All",fChannel="Email",fChannel="Content Syndication"),OR(fMonth="All",$X209=fMonth)),1,0))</f>
        <v>0</v>
      </c>
      <c r="Z209" s="71">
        <f>IF($D209="",0,IF(AND(OR(fClient="All",$B209=fClient),OR(fCampaign="All",$C209=fCampaign),OR(fTeam="All",$T209=fTeam),OR(fChannel="All",fChannel="Email",fChannel="Content Syndication")),1,0))</f>
        <v>0</v>
      </c>
    </row>
    <row r="210">
      <c r="A210" s="63" t="n"/>
      <c r="B210" s="64" t="n"/>
      <c r="C210" s="64" t="n"/>
      <c r="D210" s="64" t="n"/>
      <c r="E210" s="67" t="n"/>
      <c r="F210" s="67" t="n"/>
      <c r="G210" s="67" t="n"/>
      <c r="H210" s="67" t="n"/>
      <c r="I210" s="67" t="n"/>
      <c r="J210" s="73" t="str">
        <f>IF(AND($W210&gt;0,ISNUMBER($I210)),$I210/$W210,"")</f>
        <v/>
      </c>
      <c r="K210" s="67" t="n"/>
      <c r="L210" s="73" t="str">
        <f>IF(AND($W210&gt;0,ISNUMBER($K210)),$K210/$W210,"")</f>
        <v/>
      </c>
      <c r="M210" s="67" t="n"/>
      <c r="N210" s="73" t="str">
        <f>IF(AND($W210&gt;0,ISNUMBER($M210)),$M210/$W210,"")</f>
        <v/>
      </c>
      <c r="O210" s="67" t="n"/>
      <c r="P210" s="73" t="str">
        <f>IF(AND($W210&gt;0,ISNUMBER($O210)),$O210/$W210,"")</f>
        <v/>
      </c>
      <c r="Q210" s="67" t="n"/>
      <c r="R210" s="67" t="n"/>
      <c r="S210" s="67" t="n"/>
      <c r="T210" s="64" t="n"/>
      <c r="U210" s="64" t="n"/>
      <c r="V210" s="65" t="n"/>
      <c r="W210" s="72">
        <f>IF($D210="",0,IF(ISNUMBER($G210),IF($G210&gt;0,$G210,N($F210)),N($F210)))</f>
        <v>0</v>
      </c>
      <c r="X210" s="71" t="str">
        <f>IF(ISNUMBER($A210),YEAR($A210)&amp;"-"&amp;TEXT(MONTH($A210),"00"),"")</f>
        <v/>
      </c>
      <c r="Y210" s="71">
        <f>IF($D210="",0,IF(AND(OR(fClient="All",$B210=fClient),OR(fCampaign="All",$C210=fCampaign),OR(fTeam="All",$T210=fTeam),OR(fChannel="All",fChannel="Email",fChannel="Content Syndication"),OR(fMonth="All",$X210=fMonth)),1,0))</f>
        <v>0</v>
      </c>
      <c r="Z210" s="71">
        <f>IF($D210="",0,IF(AND(OR(fClient="All",$B210=fClient),OR(fCampaign="All",$C210=fCampaign),OR(fTeam="All",$T210=fTeam),OR(fChannel="All",fChannel="Email",fChannel="Content Syndication")),1,0))</f>
        <v>0</v>
      </c>
    </row>
    <row r="211">
      <c r="A211" s="63" t="n"/>
      <c r="B211" s="64" t="n"/>
      <c r="C211" s="64" t="n"/>
      <c r="D211" s="64" t="n"/>
      <c r="E211" s="67" t="n"/>
      <c r="F211" s="67" t="n"/>
      <c r="G211" s="67" t="n"/>
      <c r="H211" s="67" t="n"/>
      <c r="I211" s="67" t="n"/>
      <c r="J211" s="73" t="str">
        <f>IF(AND($W211&gt;0,ISNUMBER($I211)),$I211/$W211,"")</f>
        <v/>
      </c>
      <c r="K211" s="67" t="n"/>
      <c r="L211" s="73" t="str">
        <f>IF(AND($W211&gt;0,ISNUMBER($K211)),$K211/$W211,"")</f>
        <v/>
      </c>
      <c r="M211" s="67" t="n"/>
      <c r="N211" s="73" t="str">
        <f>IF(AND($W211&gt;0,ISNUMBER($M211)),$M211/$W211,"")</f>
        <v/>
      </c>
      <c r="O211" s="67" t="n"/>
      <c r="P211" s="73" t="str">
        <f>IF(AND($W211&gt;0,ISNUMBER($O211)),$O211/$W211,"")</f>
        <v/>
      </c>
      <c r="Q211" s="67" t="n"/>
      <c r="R211" s="67" t="n"/>
      <c r="S211" s="67" t="n"/>
      <c r="T211" s="64" t="n"/>
      <c r="U211" s="64" t="n"/>
      <c r="V211" s="65" t="n"/>
      <c r="W211" s="72">
        <f>IF($D211="",0,IF(ISNUMBER($G211),IF($G211&gt;0,$G211,N($F211)),N($F211)))</f>
        <v>0</v>
      </c>
      <c r="X211" s="71" t="str">
        <f>IF(ISNUMBER($A211),YEAR($A211)&amp;"-"&amp;TEXT(MONTH($A211),"00"),"")</f>
        <v/>
      </c>
      <c r="Y211" s="71">
        <f>IF($D211="",0,IF(AND(OR(fClient="All",$B211=fClient),OR(fCampaign="All",$C211=fCampaign),OR(fTeam="All",$T211=fTeam),OR(fChannel="All",fChannel="Email",fChannel="Content Syndication"),OR(fMonth="All",$X211=fMonth)),1,0))</f>
        <v>0</v>
      </c>
      <c r="Z211" s="71">
        <f>IF($D211="",0,IF(AND(OR(fClient="All",$B211=fClient),OR(fCampaign="All",$C211=fCampaign),OR(fTeam="All",$T211=fTeam),OR(fChannel="All",fChannel="Email",fChannel="Content Syndication")),1,0))</f>
        <v>0</v>
      </c>
    </row>
    <row r="212">
      <c r="A212" s="63" t="n"/>
      <c r="B212" s="64" t="n"/>
      <c r="C212" s="64" t="n"/>
      <c r="D212" s="64" t="n"/>
      <c r="E212" s="67" t="n"/>
      <c r="F212" s="67" t="n"/>
      <c r="G212" s="67" t="n"/>
      <c r="H212" s="67" t="n"/>
      <c r="I212" s="67" t="n"/>
      <c r="J212" s="73" t="str">
        <f>IF(AND($W212&gt;0,ISNUMBER($I212)),$I212/$W212,"")</f>
        <v/>
      </c>
      <c r="K212" s="67" t="n"/>
      <c r="L212" s="73" t="str">
        <f>IF(AND($W212&gt;0,ISNUMBER($K212)),$K212/$W212,"")</f>
        <v/>
      </c>
      <c r="M212" s="67" t="n"/>
      <c r="N212" s="73" t="str">
        <f>IF(AND($W212&gt;0,ISNUMBER($M212)),$M212/$W212,"")</f>
        <v/>
      </c>
      <c r="O212" s="67" t="n"/>
      <c r="P212" s="73" t="str">
        <f>IF(AND($W212&gt;0,ISNUMBER($O212)),$O212/$W212,"")</f>
        <v/>
      </c>
      <c r="Q212" s="67" t="n"/>
      <c r="R212" s="67" t="n"/>
      <c r="S212" s="67" t="n"/>
      <c r="T212" s="64" t="n"/>
      <c r="U212" s="64" t="n"/>
      <c r="V212" s="65" t="n"/>
      <c r="W212" s="72">
        <f>IF($D212="",0,IF(ISNUMBER($G212),IF($G212&gt;0,$G212,N($F212)),N($F212)))</f>
        <v>0</v>
      </c>
      <c r="X212" s="71" t="str">
        <f>IF(ISNUMBER($A212),YEAR($A212)&amp;"-"&amp;TEXT(MONTH($A212),"00"),"")</f>
        <v/>
      </c>
      <c r="Y212" s="71">
        <f>IF($D212="",0,IF(AND(OR(fClient="All",$B212=fClient),OR(fCampaign="All",$C212=fCampaign),OR(fTeam="All",$T212=fTeam),OR(fChannel="All",fChannel="Email",fChannel="Content Syndication"),OR(fMonth="All",$X212=fMonth)),1,0))</f>
        <v>0</v>
      </c>
      <c r="Z212" s="71">
        <f>IF($D212="",0,IF(AND(OR(fClient="All",$B212=fClient),OR(fCampaign="All",$C212=fCampaign),OR(fTeam="All",$T212=fTeam),OR(fChannel="All",fChannel="Email",fChannel="Content Syndication")),1,0))</f>
        <v>0</v>
      </c>
    </row>
    <row r="213">
      <c r="A213" s="63" t="n"/>
      <c r="B213" s="64" t="n"/>
      <c r="C213" s="64" t="n"/>
      <c r="D213" s="64" t="n"/>
      <c r="E213" s="67" t="n"/>
      <c r="F213" s="67" t="n"/>
      <c r="G213" s="67" t="n"/>
      <c r="H213" s="67" t="n"/>
      <c r="I213" s="67" t="n"/>
      <c r="J213" s="73" t="str">
        <f>IF(AND($W213&gt;0,ISNUMBER($I213)),$I213/$W213,"")</f>
        <v/>
      </c>
      <c r="K213" s="67" t="n"/>
      <c r="L213" s="73" t="str">
        <f>IF(AND($W213&gt;0,ISNUMBER($K213)),$K213/$W213,"")</f>
        <v/>
      </c>
      <c r="M213" s="67" t="n"/>
      <c r="N213" s="73" t="str">
        <f>IF(AND($W213&gt;0,ISNUMBER($M213)),$M213/$W213,"")</f>
        <v/>
      </c>
      <c r="O213" s="67" t="n"/>
      <c r="P213" s="73" t="str">
        <f>IF(AND($W213&gt;0,ISNUMBER($O213)),$O213/$W213,"")</f>
        <v/>
      </c>
      <c r="Q213" s="67" t="n"/>
      <c r="R213" s="67" t="n"/>
      <c r="S213" s="67" t="n"/>
      <c r="T213" s="64" t="n"/>
      <c r="U213" s="64" t="n"/>
      <c r="V213" s="65" t="n"/>
      <c r="W213" s="72">
        <f>IF($D213="",0,IF(ISNUMBER($G213),IF($G213&gt;0,$G213,N($F213)),N($F213)))</f>
        <v>0</v>
      </c>
      <c r="X213" s="71" t="str">
        <f>IF(ISNUMBER($A213),YEAR($A213)&amp;"-"&amp;TEXT(MONTH($A213),"00"),"")</f>
        <v/>
      </c>
      <c r="Y213" s="71">
        <f>IF($D213="",0,IF(AND(OR(fClient="All",$B213=fClient),OR(fCampaign="All",$C213=fCampaign),OR(fTeam="All",$T213=fTeam),OR(fChannel="All",fChannel="Email",fChannel="Content Syndication"),OR(fMonth="All",$X213=fMonth)),1,0))</f>
        <v>0</v>
      </c>
      <c r="Z213" s="71">
        <f>IF($D213="",0,IF(AND(OR(fClient="All",$B213=fClient),OR(fCampaign="All",$C213=fCampaign),OR(fTeam="All",$T213=fTeam),OR(fChannel="All",fChannel="Email",fChannel="Content Syndication")),1,0))</f>
        <v>0</v>
      </c>
    </row>
    <row r="214">
      <c r="A214" s="63" t="n"/>
      <c r="B214" s="64" t="n"/>
      <c r="C214" s="64" t="n"/>
      <c r="D214" s="64" t="n"/>
      <c r="E214" s="67" t="n"/>
      <c r="F214" s="67" t="n"/>
      <c r="G214" s="67" t="n"/>
      <c r="H214" s="67" t="n"/>
      <c r="I214" s="67" t="n"/>
      <c r="J214" s="73" t="str">
        <f>IF(AND($W214&gt;0,ISNUMBER($I214)),$I214/$W214,"")</f>
        <v/>
      </c>
      <c r="K214" s="67" t="n"/>
      <c r="L214" s="73" t="str">
        <f>IF(AND($W214&gt;0,ISNUMBER($K214)),$K214/$W214,"")</f>
        <v/>
      </c>
      <c r="M214" s="67" t="n"/>
      <c r="N214" s="73" t="str">
        <f>IF(AND($W214&gt;0,ISNUMBER($M214)),$M214/$W214,"")</f>
        <v/>
      </c>
      <c r="O214" s="67" t="n"/>
      <c r="P214" s="73" t="str">
        <f>IF(AND($W214&gt;0,ISNUMBER($O214)),$O214/$W214,"")</f>
        <v/>
      </c>
      <c r="Q214" s="67" t="n"/>
      <c r="R214" s="67" t="n"/>
      <c r="S214" s="67" t="n"/>
      <c r="T214" s="64" t="n"/>
      <c r="U214" s="64" t="n"/>
      <c r="V214" s="65" t="n"/>
      <c r="W214" s="72">
        <f>IF($D214="",0,IF(ISNUMBER($G214),IF($G214&gt;0,$G214,N($F214)),N($F214)))</f>
        <v>0</v>
      </c>
      <c r="X214" s="71" t="str">
        <f>IF(ISNUMBER($A214),YEAR($A214)&amp;"-"&amp;TEXT(MONTH($A214),"00"),"")</f>
        <v/>
      </c>
      <c r="Y214" s="71">
        <f>IF($D214="",0,IF(AND(OR(fClient="All",$B214=fClient),OR(fCampaign="All",$C214=fCampaign),OR(fTeam="All",$T214=fTeam),OR(fChannel="All",fChannel="Email",fChannel="Content Syndication"),OR(fMonth="All",$X214=fMonth)),1,0))</f>
        <v>0</v>
      </c>
      <c r="Z214" s="71">
        <f>IF($D214="",0,IF(AND(OR(fClient="All",$B214=fClient),OR(fCampaign="All",$C214=fCampaign),OR(fTeam="All",$T214=fTeam),OR(fChannel="All",fChannel="Email",fChannel="Content Syndication")),1,0))</f>
        <v>0</v>
      </c>
    </row>
    <row r="215">
      <c r="A215" s="63" t="n"/>
      <c r="B215" s="64" t="n"/>
      <c r="C215" s="64" t="n"/>
      <c r="D215" s="64" t="n"/>
      <c r="E215" s="67" t="n"/>
      <c r="F215" s="67" t="n"/>
      <c r="G215" s="67" t="n"/>
      <c r="H215" s="67" t="n"/>
      <c r="I215" s="67" t="n"/>
      <c r="J215" s="73" t="str">
        <f>IF(AND($W215&gt;0,ISNUMBER($I215)),$I215/$W215,"")</f>
        <v/>
      </c>
      <c r="K215" s="67" t="n"/>
      <c r="L215" s="73" t="str">
        <f>IF(AND($W215&gt;0,ISNUMBER($K215)),$K215/$W215,"")</f>
        <v/>
      </c>
      <c r="M215" s="67" t="n"/>
      <c r="N215" s="73" t="str">
        <f>IF(AND($W215&gt;0,ISNUMBER($M215)),$M215/$W215,"")</f>
        <v/>
      </c>
      <c r="O215" s="67" t="n"/>
      <c r="P215" s="73" t="str">
        <f>IF(AND($W215&gt;0,ISNUMBER($O215)),$O215/$W215,"")</f>
        <v/>
      </c>
      <c r="Q215" s="67" t="n"/>
      <c r="R215" s="67" t="n"/>
      <c r="S215" s="67" t="n"/>
      <c r="T215" s="64" t="n"/>
      <c r="U215" s="64" t="n"/>
      <c r="V215" s="65" t="n"/>
      <c r="W215" s="72">
        <f>IF($D215="",0,IF(ISNUMBER($G215),IF($G215&gt;0,$G215,N($F215)),N($F215)))</f>
        <v>0</v>
      </c>
      <c r="X215" s="71" t="str">
        <f>IF(ISNUMBER($A215),YEAR($A215)&amp;"-"&amp;TEXT(MONTH($A215),"00"),"")</f>
        <v/>
      </c>
      <c r="Y215" s="71">
        <f>IF($D215="",0,IF(AND(OR(fClient="All",$B215=fClient),OR(fCampaign="All",$C215=fCampaign),OR(fTeam="All",$T215=fTeam),OR(fChannel="All",fChannel="Email",fChannel="Content Syndication"),OR(fMonth="All",$X215=fMonth)),1,0))</f>
        <v>0</v>
      </c>
      <c r="Z215" s="71">
        <f>IF($D215="",0,IF(AND(OR(fClient="All",$B215=fClient),OR(fCampaign="All",$C215=fCampaign),OR(fTeam="All",$T215=fTeam),OR(fChannel="All",fChannel="Email",fChannel="Content Syndication")),1,0))</f>
        <v>0</v>
      </c>
    </row>
    <row r="216">
      <c r="A216" s="63" t="n"/>
      <c r="B216" s="64" t="n"/>
      <c r="C216" s="64" t="n"/>
      <c r="D216" s="64" t="n"/>
      <c r="E216" s="67" t="n"/>
      <c r="F216" s="67" t="n"/>
      <c r="G216" s="67" t="n"/>
      <c r="H216" s="67" t="n"/>
      <c r="I216" s="67" t="n"/>
      <c r="J216" s="73" t="str">
        <f>IF(AND($W216&gt;0,ISNUMBER($I216)),$I216/$W216,"")</f>
        <v/>
      </c>
      <c r="K216" s="67" t="n"/>
      <c r="L216" s="73" t="str">
        <f>IF(AND($W216&gt;0,ISNUMBER($K216)),$K216/$W216,"")</f>
        <v/>
      </c>
      <c r="M216" s="67" t="n"/>
      <c r="N216" s="73" t="str">
        <f>IF(AND($W216&gt;0,ISNUMBER($M216)),$M216/$W216,"")</f>
        <v/>
      </c>
      <c r="O216" s="67" t="n"/>
      <c r="P216" s="73" t="str">
        <f>IF(AND($W216&gt;0,ISNUMBER($O216)),$O216/$W216,"")</f>
        <v/>
      </c>
      <c r="Q216" s="67" t="n"/>
      <c r="R216" s="67" t="n"/>
      <c r="S216" s="67" t="n"/>
      <c r="T216" s="64" t="n"/>
      <c r="U216" s="64" t="n"/>
      <c r="V216" s="65" t="n"/>
      <c r="W216" s="72">
        <f>IF($D216="",0,IF(ISNUMBER($G216),IF($G216&gt;0,$G216,N($F216)),N($F216)))</f>
        <v>0</v>
      </c>
      <c r="X216" s="71" t="str">
        <f>IF(ISNUMBER($A216),YEAR($A216)&amp;"-"&amp;TEXT(MONTH($A216),"00"),"")</f>
        <v/>
      </c>
      <c r="Y216" s="71">
        <f>IF($D216="",0,IF(AND(OR(fClient="All",$B216=fClient),OR(fCampaign="All",$C216=fCampaign),OR(fTeam="All",$T216=fTeam),OR(fChannel="All",fChannel="Email",fChannel="Content Syndication"),OR(fMonth="All",$X216=fMonth)),1,0))</f>
        <v>0</v>
      </c>
      <c r="Z216" s="71">
        <f>IF($D216="",0,IF(AND(OR(fClient="All",$B216=fClient),OR(fCampaign="All",$C216=fCampaign),OR(fTeam="All",$T216=fTeam),OR(fChannel="All",fChannel="Email",fChannel="Content Syndication")),1,0))</f>
        <v>0</v>
      </c>
    </row>
    <row r="217">
      <c r="A217" s="63" t="n"/>
      <c r="B217" s="64" t="n"/>
      <c r="C217" s="64" t="n"/>
      <c r="D217" s="64" t="n"/>
      <c r="E217" s="67" t="n"/>
      <c r="F217" s="67" t="n"/>
      <c r="G217" s="67" t="n"/>
      <c r="H217" s="67" t="n"/>
      <c r="I217" s="67" t="n"/>
      <c r="J217" s="73" t="str">
        <f>IF(AND($W217&gt;0,ISNUMBER($I217)),$I217/$W217,"")</f>
        <v/>
      </c>
      <c r="K217" s="67" t="n"/>
      <c r="L217" s="73" t="str">
        <f>IF(AND($W217&gt;0,ISNUMBER($K217)),$K217/$W217,"")</f>
        <v/>
      </c>
      <c r="M217" s="67" t="n"/>
      <c r="N217" s="73" t="str">
        <f>IF(AND($W217&gt;0,ISNUMBER($M217)),$M217/$W217,"")</f>
        <v/>
      </c>
      <c r="O217" s="67" t="n"/>
      <c r="P217" s="73" t="str">
        <f>IF(AND($W217&gt;0,ISNUMBER($O217)),$O217/$W217,"")</f>
        <v/>
      </c>
      <c r="Q217" s="67" t="n"/>
      <c r="R217" s="67" t="n"/>
      <c r="S217" s="67" t="n"/>
      <c r="T217" s="64" t="n"/>
      <c r="U217" s="64" t="n"/>
      <c r="V217" s="65" t="n"/>
      <c r="W217" s="72">
        <f>IF($D217="",0,IF(ISNUMBER($G217),IF($G217&gt;0,$G217,N($F217)),N($F217)))</f>
        <v>0</v>
      </c>
      <c r="X217" s="71" t="str">
        <f>IF(ISNUMBER($A217),YEAR($A217)&amp;"-"&amp;TEXT(MONTH($A217),"00"),"")</f>
        <v/>
      </c>
      <c r="Y217" s="71">
        <f>IF($D217="",0,IF(AND(OR(fClient="All",$B217=fClient),OR(fCampaign="All",$C217=fCampaign),OR(fTeam="All",$T217=fTeam),OR(fChannel="All",fChannel="Email",fChannel="Content Syndication"),OR(fMonth="All",$X217=fMonth)),1,0))</f>
        <v>0</v>
      </c>
      <c r="Z217" s="71">
        <f>IF($D217="",0,IF(AND(OR(fClient="All",$B217=fClient),OR(fCampaign="All",$C217=fCampaign),OR(fTeam="All",$T217=fTeam),OR(fChannel="All",fChannel="Email",fChannel="Content Syndication")),1,0))</f>
        <v>0</v>
      </c>
    </row>
    <row r="218">
      <c r="A218" s="63" t="n"/>
      <c r="B218" s="64" t="n"/>
      <c r="C218" s="64" t="n"/>
      <c r="D218" s="64" t="n"/>
      <c r="E218" s="67" t="n"/>
      <c r="F218" s="67" t="n"/>
      <c r="G218" s="67" t="n"/>
      <c r="H218" s="67" t="n"/>
      <c r="I218" s="67" t="n"/>
      <c r="J218" s="73" t="str">
        <f>IF(AND($W218&gt;0,ISNUMBER($I218)),$I218/$W218,"")</f>
        <v/>
      </c>
      <c r="K218" s="67" t="n"/>
      <c r="L218" s="73" t="str">
        <f>IF(AND($W218&gt;0,ISNUMBER($K218)),$K218/$W218,"")</f>
        <v/>
      </c>
      <c r="M218" s="67" t="n"/>
      <c r="N218" s="73" t="str">
        <f>IF(AND($W218&gt;0,ISNUMBER($M218)),$M218/$W218,"")</f>
        <v/>
      </c>
      <c r="O218" s="67" t="n"/>
      <c r="P218" s="73" t="str">
        <f>IF(AND($W218&gt;0,ISNUMBER($O218)),$O218/$W218,"")</f>
        <v/>
      </c>
      <c r="Q218" s="67" t="n"/>
      <c r="R218" s="67" t="n"/>
      <c r="S218" s="67" t="n"/>
      <c r="T218" s="64" t="n"/>
      <c r="U218" s="64" t="n"/>
      <c r="V218" s="65" t="n"/>
      <c r="W218" s="72">
        <f>IF($D218="",0,IF(ISNUMBER($G218),IF($G218&gt;0,$G218,N($F218)),N($F218)))</f>
        <v>0</v>
      </c>
      <c r="X218" s="71" t="str">
        <f>IF(ISNUMBER($A218),YEAR($A218)&amp;"-"&amp;TEXT(MONTH($A218),"00"),"")</f>
        <v/>
      </c>
      <c r="Y218" s="71">
        <f>IF($D218="",0,IF(AND(OR(fClient="All",$B218=fClient),OR(fCampaign="All",$C218=fCampaign),OR(fTeam="All",$T218=fTeam),OR(fChannel="All",fChannel="Email",fChannel="Content Syndication"),OR(fMonth="All",$X218=fMonth)),1,0))</f>
        <v>0</v>
      </c>
      <c r="Z218" s="71">
        <f>IF($D218="",0,IF(AND(OR(fClient="All",$B218=fClient),OR(fCampaign="All",$C218=fCampaign),OR(fTeam="All",$T218=fTeam),OR(fChannel="All",fChannel="Email",fChannel="Content Syndication")),1,0))</f>
        <v>0</v>
      </c>
    </row>
    <row r="219">
      <c r="A219" s="63" t="n"/>
      <c r="B219" s="64" t="n"/>
      <c r="C219" s="64" t="n"/>
      <c r="D219" s="64" t="n"/>
      <c r="E219" s="67" t="n"/>
      <c r="F219" s="67" t="n"/>
      <c r="G219" s="67" t="n"/>
      <c r="H219" s="67" t="n"/>
      <c r="I219" s="67" t="n"/>
      <c r="J219" s="73" t="str">
        <f>IF(AND($W219&gt;0,ISNUMBER($I219)),$I219/$W219,"")</f>
        <v/>
      </c>
      <c r="K219" s="67" t="n"/>
      <c r="L219" s="73" t="str">
        <f>IF(AND($W219&gt;0,ISNUMBER($K219)),$K219/$W219,"")</f>
        <v/>
      </c>
      <c r="M219" s="67" t="n"/>
      <c r="N219" s="73" t="str">
        <f>IF(AND($W219&gt;0,ISNUMBER($M219)),$M219/$W219,"")</f>
        <v/>
      </c>
      <c r="O219" s="67" t="n"/>
      <c r="P219" s="73" t="str">
        <f>IF(AND($W219&gt;0,ISNUMBER($O219)),$O219/$W219,"")</f>
        <v/>
      </c>
      <c r="Q219" s="67" t="n"/>
      <c r="R219" s="67" t="n"/>
      <c r="S219" s="67" t="n"/>
      <c r="T219" s="64" t="n"/>
      <c r="U219" s="64" t="n"/>
      <c r="V219" s="65" t="n"/>
      <c r="W219" s="72">
        <f>IF($D219="",0,IF(ISNUMBER($G219),IF($G219&gt;0,$G219,N($F219)),N($F219)))</f>
        <v>0</v>
      </c>
      <c r="X219" s="71" t="str">
        <f>IF(ISNUMBER($A219),YEAR($A219)&amp;"-"&amp;TEXT(MONTH($A219),"00"),"")</f>
        <v/>
      </c>
      <c r="Y219" s="71">
        <f>IF($D219="",0,IF(AND(OR(fClient="All",$B219=fClient),OR(fCampaign="All",$C219=fCampaign),OR(fTeam="All",$T219=fTeam),OR(fChannel="All",fChannel="Email",fChannel="Content Syndication"),OR(fMonth="All",$X219=fMonth)),1,0))</f>
        <v>0</v>
      </c>
      <c r="Z219" s="71">
        <f>IF($D219="",0,IF(AND(OR(fClient="All",$B219=fClient),OR(fCampaign="All",$C219=fCampaign),OR(fTeam="All",$T219=fTeam),OR(fChannel="All",fChannel="Email",fChannel="Content Syndication")),1,0))</f>
        <v>0</v>
      </c>
    </row>
    <row r="220">
      <c r="A220" s="63" t="n"/>
      <c r="B220" s="64" t="n"/>
      <c r="C220" s="64" t="n"/>
      <c r="D220" s="64" t="n"/>
      <c r="E220" s="67" t="n"/>
      <c r="F220" s="67" t="n"/>
      <c r="G220" s="67" t="n"/>
      <c r="H220" s="67" t="n"/>
      <c r="I220" s="67" t="n"/>
      <c r="J220" s="73" t="str">
        <f>IF(AND($W220&gt;0,ISNUMBER($I220)),$I220/$W220,"")</f>
        <v/>
      </c>
      <c r="K220" s="67" t="n"/>
      <c r="L220" s="73" t="str">
        <f>IF(AND($W220&gt;0,ISNUMBER($K220)),$K220/$W220,"")</f>
        <v/>
      </c>
      <c r="M220" s="67" t="n"/>
      <c r="N220" s="73" t="str">
        <f>IF(AND($W220&gt;0,ISNUMBER($M220)),$M220/$W220,"")</f>
        <v/>
      </c>
      <c r="O220" s="67" t="n"/>
      <c r="P220" s="73" t="str">
        <f>IF(AND($W220&gt;0,ISNUMBER($O220)),$O220/$W220,"")</f>
        <v/>
      </c>
      <c r="Q220" s="67" t="n"/>
      <c r="R220" s="67" t="n"/>
      <c r="S220" s="67" t="n"/>
      <c r="T220" s="64" t="n"/>
      <c r="U220" s="64" t="n"/>
      <c r="V220" s="65" t="n"/>
      <c r="W220" s="72">
        <f>IF($D220="",0,IF(ISNUMBER($G220),IF($G220&gt;0,$G220,N($F220)),N($F220)))</f>
        <v>0</v>
      </c>
      <c r="X220" s="71" t="str">
        <f>IF(ISNUMBER($A220),YEAR($A220)&amp;"-"&amp;TEXT(MONTH($A220),"00"),"")</f>
        <v/>
      </c>
      <c r="Y220" s="71">
        <f>IF($D220="",0,IF(AND(OR(fClient="All",$B220=fClient),OR(fCampaign="All",$C220=fCampaign),OR(fTeam="All",$T220=fTeam),OR(fChannel="All",fChannel="Email",fChannel="Content Syndication"),OR(fMonth="All",$X220=fMonth)),1,0))</f>
        <v>0</v>
      </c>
      <c r="Z220" s="71">
        <f>IF($D220="",0,IF(AND(OR(fClient="All",$B220=fClient),OR(fCampaign="All",$C220=fCampaign),OR(fTeam="All",$T220=fTeam),OR(fChannel="All",fChannel="Email",fChannel="Content Syndication")),1,0))</f>
        <v>0</v>
      </c>
    </row>
    <row r="221">
      <c r="A221" s="63" t="n"/>
      <c r="B221" s="64" t="n"/>
      <c r="C221" s="64" t="n"/>
      <c r="D221" s="64" t="n"/>
      <c r="E221" s="67" t="n"/>
      <c r="F221" s="67" t="n"/>
      <c r="G221" s="67" t="n"/>
      <c r="H221" s="67" t="n"/>
      <c r="I221" s="67" t="n"/>
      <c r="J221" s="73" t="str">
        <f>IF(AND($W221&gt;0,ISNUMBER($I221)),$I221/$W221,"")</f>
        <v/>
      </c>
      <c r="K221" s="67" t="n"/>
      <c r="L221" s="73" t="str">
        <f>IF(AND($W221&gt;0,ISNUMBER($K221)),$K221/$W221,"")</f>
        <v/>
      </c>
      <c r="M221" s="67" t="n"/>
      <c r="N221" s="73" t="str">
        <f>IF(AND($W221&gt;0,ISNUMBER($M221)),$M221/$W221,"")</f>
        <v/>
      </c>
      <c r="O221" s="67" t="n"/>
      <c r="P221" s="73" t="str">
        <f>IF(AND($W221&gt;0,ISNUMBER($O221)),$O221/$W221,"")</f>
        <v/>
      </c>
      <c r="Q221" s="67" t="n"/>
      <c r="R221" s="67" t="n"/>
      <c r="S221" s="67" t="n"/>
      <c r="T221" s="64" t="n"/>
      <c r="U221" s="64" t="n"/>
      <c r="V221" s="65" t="n"/>
      <c r="W221" s="72">
        <f>IF($D221="",0,IF(ISNUMBER($G221),IF($G221&gt;0,$G221,N($F221)),N($F221)))</f>
        <v>0</v>
      </c>
      <c r="X221" s="71" t="str">
        <f>IF(ISNUMBER($A221),YEAR($A221)&amp;"-"&amp;TEXT(MONTH($A221),"00"),"")</f>
        <v/>
      </c>
      <c r="Y221" s="71">
        <f>IF($D221="",0,IF(AND(OR(fClient="All",$B221=fClient),OR(fCampaign="All",$C221=fCampaign),OR(fTeam="All",$T221=fTeam),OR(fChannel="All",fChannel="Email",fChannel="Content Syndication"),OR(fMonth="All",$X221=fMonth)),1,0))</f>
        <v>0</v>
      </c>
      <c r="Z221" s="71">
        <f>IF($D221="",0,IF(AND(OR(fClient="All",$B221=fClient),OR(fCampaign="All",$C221=fCampaign),OR(fTeam="All",$T221=fTeam),OR(fChannel="All",fChannel="Email",fChannel="Content Syndication")),1,0))</f>
        <v>0</v>
      </c>
    </row>
    <row r="222">
      <c r="A222" s="63" t="n"/>
      <c r="B222" s="64" t="n"/>
      <c r="C222" s="64" t="n"/>
      <c r="D222" s="64" t="n"/>
      <c r="E222" s="67" t="n"/>
      <c r="F222" s="67" t="n"/>
      <c r="G222" s="67" t="n"/>
      <c r="H222" s="67" t="n"/>
      <c r="I222" s="67" t="n"/>
      <c r="J222" s="73" t="str">
        <f>IF(AND($W222&gt;0,ISNUMBER($I222)),$I222/$W222,"")</f>
        <v/>
      </c>
      <c r="K222" s="67" t="n"/>
      <c r="L222" s="73" t="str">
        <f>IF(AND($W222&gt;0,ISNUMBER($K222)),$K222/$W222,"")</f>
        <v/>
      </c>
      <c r="M222" s="67" t="n"/>
      <c r="N222" s="73" t="str">
        <f>IF(AND($W222&gt;0,ISNUMBER($M222)),$M222/$W222,"")</f>
        <v/>
      </c>
      <c r="O222" s="67" t="n"/>
      <c r="P222" s="73" t="str">
        <f>IF(AND($W222&gt;0,ISNUMBER($O222)),$O222/$W222,"")</f>
        <v/>
      </c>
      <c r="Q222" s="67" t="n"/>
      <c r="R222" s="67" t="n"/>
      <c r="S222" s="67" t="n"/>
      <c r="T222" s="64" t="n"/>
      <c r="U222" s="64" t="n"/>
      <c r="V222" s="65" t="n"/>
      <c r="W222" s="72">
        <f>IF($D222="",0,IF(ISNUMBER($G222),IF($G222&gt;0,$G222,N($F222)),N($F222)))</f>
        <v>0</v>
      </c>
      <c r="X222" s="71" t="str">
        <f>IF(ISNUMBER($A222),YEAR($A222)&amp;"-"&amp;TEXT(MONTH($A222),"00"),"")</f>
        <v/>
      </c>
      <c r="Y222" s="71">
        <f>IF($D222="",0,IF(AND(OR(fClient="All",$B222=fClient),OR(fCampaign="All",$C222=fCampaign),OR(fTeam="All",$T222=fTeam),OR(fChannel="All",fChannel="Email",fChannel="Content Syndication"),OR(fMonth="All",$X222=fMonth)),1,0))</f>
        <v>0</v>
      </c>
      <c r="Z222" s="71">
        <f>IF($D222="",0,IF(AND(OR(fClient="All",$B222=fClient),OR(fCampaign="All",$C222=fCampaign),OR(fTeam="All",$T222=fTeam),OR(fChannel="All",fChannel="Email",fChannel="Content Syndication")),1,0))</f>
        <v>0</v>
      </c>
    </row>
    <row r="223">
      <c r="A223" s="63" t="n"/>
      <c r="B223" s="64" t="n"/>
      <c r="C223" s="64" t="n"/>
      <c r="D223" s="64" t="n"/>
      <c r="E223" s="67" t="n"/>
      <c r="F223" s="67" t="n"/>
      <c r="G223" s="67" t="n"/>
      <c r="H223" s="67" t="n"/>
      <c r="I223" s="67" t="n"/>
      <c r="J223" s="73" t="str">
        <f>IF(AND($W223&gt;0,ISNUMBER($I223)),$I223/$W223,"")</f>
        <v/>
      </c>
      <c r="K223" s="67" t="n"/>
      <c r="L223" s="73" t="str">
        <f>IF(AND($W223&gt;0,ISNUMBER($K223)),$K223/$W223,"")</f>
        <v/>
      </c>
      <c r="M223" s="67" t="n"/>
      <c r="N223" s="73" t="str">
        <f>IF(AND($W223&gt;0,ISNUMBER($M223)),$M223/$W223,"")</f>
        <v/>
      </c>
      <c r="O223" s="67" t="n"/>
      <c r="P223" s="73" t="str">
        <f>IF(AND($W223&gt;0,ISNUMBER($O223)),$O223/$W223,"")</f>
        <v/>
      </c>
      <c r="Q223" s="67" t="n"/>
      <c r="R223" s="67" t="n"/>
      <c r="S223" s="67" t="n"/>
      <c r="T223" s="64" t="n"/>
      <c r="U223" s="64" t="n"/>
      <c r="V223" s="65" t="n"/>
      <c r="W223" s="72">
        <f>IF($D223="",0,IF(ISNUMBER($G223),IF($G223&gt;0,$G223,N($F223)),N($F223)))</f>
        <v>0</v>
      </c>
      <c r="X223" s="71" t="str">
        <f>IF(ISNUMBER($A223),YEAR($A223)&amp;"-"&amp;TEXT(MONTH($A223),"00"),"")</f>
        <v/>
      </c>
      <c r="Y223" s="71">
        <f>IF($D223="",0,IF(AND(OR(fClient="All",$B223=fClient),OR(fCampaign="All",$C223=fCampaign),OR(fTeam="All",$T223=fTeam),OR(fChannel="All",fChannel="Email",fChannel="Content Syndication"),OR(fMonth="All",$X223=fMonth)),1,0))</f>
        <v>0</v>
      </c>
      <c r="Z223" s="71">
        <f>IF($D223="",0,IF(AND(OR(fClient="All",$B223=fClient),OR(fCampaign="All",$C223=fCampaign),OR(fTeam="All",$T223=fTeam),OR(fChannel="All",fChannel="Email",fChannel="Content Syndication")),1,0))</f>
        <v>0</v>
      </c>
    </row>
    <row r="224">
      <c r="A224" s="63" t="n"/>
      <c r="B224" s="64" t="n"/>
      <c r="C224" s="64" t="n"/>
      <c r="D224" s="64" t="n"/>
      <c r="E224" s="67" t="n"/>
      <c r="F224" s="67" t="n"/>
      <c r="G224" s="67" t="n"/>
      <c r="H224" s="67" t="n"/>
      <c r="I224" s="67" t="n"/>
      <c r="J224" s="73" t="str">
        <f>IF(AND($W224&gt;0,ISNUMBER($I224)),$I224/$W224,"")</f>
        <v/>
      </c>
      <c r="K224" s="67" t="n"/>
      <c r="L224" s="73" t="str">
        <f>IF(AND($W224&gt;0,ISNUMBER($K224)),$K224/$W224,"")</f>
        <v/>
      </c>
      <c r="M224" s="67" t="n"/>
      <c r="N224" s="73" t="str">
        <f>IF(AND($W224&gt;0,ISNUMBER($M224)),$M224/$W224,"")</f>
        <v/>
      </c>
      <c r="O224" s="67" t="n"/>
      <c r="P224" s="73" t="str">
        <f>IF(AND($W224&gt;0,ISNUMBER($O224)),$O224/$W224,"")</f>
        <v/>
      </c>
      <c r="Q224" s="67" t="n"/>
      <c r="R224" s="67" t="n"/>
      <c r="S224" s="67" t="n"/>
      <c r="T224" s="64" t="n"/>
      <c r="U224" s="64" t="n"/>
      <c r="V224" s="65" t="n"/>
      <c r="W224" s="72">
        <f>IF($D224="",0,IF(ISNUMBER($G224),IF($G224&gt;0,$G224,N($F224)),N($F224)))</f>
        <v>0</v>
      </c>
      <c r="X224" s="71" t="str">
        <f>IF(ISNUMBER($A224),YEAR($A224)&amp;"-"&amp;TEXT(MONTH($A224),"00"),"")</f>
        <v/>
      </c>
      <c r="Y224" s="71">
        <f>IF($D224="",0,IF(AND(OR(fClient="All",$B224=fClient),OR(fCampaign="All",$C224=fCampaign),OR(fTeam="All",$T224=fTeam),OR(fChannel="All",fChannel="Email",fChannel="Content Syndication"),OR(fMonth="All",$X224=fMonth)),1,0))</f>
        <v>0</v>
      </c>
      <c r="Z224" s="71">
        <f>IF($D224="",0,IF(AND(OR(fClient="All",$B224=fClient),OR(fCampaign="All",$C224=fCampaign),OR(fTeam="All",$T224=fTeam),OR(fChannel="All",fChannel="Email",fChannel="Content Syndication")),1,0))</f>
        <v>0</v>
      </c>
    </row>
    <row r="225">
      <c r="A225" s="63" t="n"/>
      <c r="B225" s="64" t="n"/>
      <c r="C225" s="64" t="n"/>
      <c r="D225" s="64" t="n"/>
      <c r="E225" s="67" t="n"/>
      <c r="F225" s="67" t="n"/>
      <c r="G225" s="67" t="n"/>
      <c r="H225" s="67" t="n"/>
      <c r="I225" s="67" t="n"/>
      <c r="J225" s="73" t="str">
        <f>IF(AND($W225&gt;0,ISNUMBER($I225)),$I225/$W225,"")</f>
        <v/>
      </c>
      <c r="K225" s="67" t="n"/>
      <c r="L225" s="73" t="str">
        <f>IF(AND($W225&gt;0,ISNUMBER($K225)),$K225/$W225,"")</f>
        <v/>
      </c>
      <c r="M225" s="67" t="n"/>
      <c r="N225" s="73" t="str">
        <f>IF(AND($W225&gt;0,ISNUMBER($M225)),$M225/$W225,"")</f>
        <v/>
      </c>
      <c r="O225" s="67" t="n"/>
      <c r="P225" s="73" t="str">
        <f>IF(AND($W225&gt;0,ISNUMBER($O225)),$O225/$W225,"")</f>
        <v/>
      </c>
      <c r="Q225" s="67" t="n"/>
      <c r="R225" s="67" t="n"/>
      <c r="S225" s="67" t="n"/>
      <c r="T225" s="64" t="n"/>
      <c r="U225" s="64" t="n"/>
      <c r="V225" s="65" t="n"/>
      <c r="W225" s="72">
        <f>IF($D225="",0,IF(ISNUMBER($G225),IF($G225&gt;0,$G225,N($F225)),N($F225)))</f>
        <v>0</v>
      </c>
      <c r="X225" s="71" t="str">
        <f>IF(ISNUMBER($A225),YEAR($A225)&amp;"-"&amp;TEXT(MONTH($A225),"00"),"")</f>
        <v/>
      </c>
      <c r="Y225" s="71">
        <f>IF($D225="",0,IF(AND(OR(fClient="All",$B225=fClient),OR(fCampaign="All",$C225=fCampaign),OR(fTeam="All",$T225=fTeam),OR(fChannel="All",fChannel="Email",fChannel="Content Syndication"),OR(fMonth="All",$X225=fMonth)),1,0))</f>
        <v>0</v>
      </c>
      <c r="Z225" s="71">
        <f>IF($D225="",0,IF(AND(OR(fClient="All",$B225=fClient),OR(fCampaign="All",$C225=fCampaign),OR(fTeam="All",$T225=fTeam),OR(fChannel="All",fChannel="Email",fChannel="Content Syndication")),1,0))</f>
        <v>0</v>
      </c>
    </row>
    <row r="226">
      <c r="A226" s="63" t="n"/>
      <c r="B226" s="64" t="n"/>
      <c r="C226" s="64" t="n"/>
      <c r="D226" s="64" t="n"/>
      <c r="E226" s="67" t="n"/>
      <c r="F226" s="67" t="n"/>
      <c r="G226" s="67" t="n"/>
      <c r="H226" s="67" t="n"/>
      <c r="I226" s="67" t="n"/>
      <c r="J226" s="73" t="str">
        <f>IF(AND($W226&gt;0,ISNUMBER($I226)),$I226/$W226,"")</f>
        <v/>
      </c>
      <c r="K226" s="67" t="n"/>
      <c r="L226" s="73" t="str">
        <f>IF(AND($W226&gt;0,ISNUMBER($K226)),$K226/$W226,"")</f>
        <v/>
      </c>
      <c r="M226" s="67" t="n"/>
      <c r="N226" s="73" t="str">
        <f>IF(AND($W226&gt;0,ISNUMBER($M226)),$M226/$W226,"")</f>
        <v/>
      </c>
      <c r="O226" s="67" t="n"/>
      <c r="P226" s="73" t="str">
        <f>IF(AND($W226&gt;0,ISNUMBER($O226)),$O226/$W226,"")</f>
        <v/>
      </c>
      <c r="Q226" s="67" t="n"/>
      <c r="R226" s="67" t="n"/>
      <c r="S226" s="67" t="n"/>
      <c r="T226" s="64" t="n"/>
      <c r="U226" s="64" t="n"/>
      <c r="V226" s="65" t="n"/>
      <c r="W226" s="72">
        <f>IF($D226="",0,IF(ISNUMBER($G226),IF($G226&gt;0,$G226,N($F226)),N($F226)))</f>
        <v>0</v>
      </c>
      <c r="X226" s="71" t="str">
        <f>IF(ISNUMBER($A226),YEAR($A226)&amp;"-"&amp;TEXT(MONTH($A226),"00"),"")</f>
        <v/>
      </c>
      <c r="Y226" s="71">
        <f>IF($D226="",0,IF(AND(OR(fClient="All",$B226=fClient),OR(fCampaign="All",$C226=fCampaign),OR(fTeam="All",$T226=fTeam),OR(fChannel="All",fChannel="Email",fChannel="Content Syndication"),OR(fMonth="All",$X226=fMonth)),1,0))</f>
        <v>0</v>
      </c>
      <c r="Z226" s="71">
        <f>IF($D226="",0,IF(AND(OR(fClient="All",$B226=fClient),OR(fCampaign="All",$C226=fCampaign),OR(fTeam="All",$T226=fTeam),OR(fChannel="All",fChannel="Email",fChannel="Content Syndication")),1,0))</f>
        <v>0</v>
      </c>
    </row>
    <row r="227">
      <c r="A227" s="63" t="n"/>
      <c r="B227" s="64" t="n"/>
      <c r="C227" s="64" t="n"/>
      <c r="D227" s="64" t="n"/>
      <c r="E227" s="67" t="n"/>
      <c r="F227" s="67" t="n"/>
      <c r="G227" s="67" t="n"/>
      <c r="H227" s="67" t="n"/>
      <c r="I227" s="67" t="n"/>
      <c r="J227" s="73" t="str">
        <f>IF(AND($W227&gt;0,ISNUMBER($I227)),$I227/$W227,"")</f>
        <v/>
      </c>
      <c r="K227" s="67" t="n"/>
      <c r="L227" s="73" t="str">
        <f>IF(AND($W227&gt;0,ISNUMBER($K227)),$K227/$W227,"")</f>
        <v/>
      </c>
      <c r="M227" s="67" t="n"/>
      <c r="N227" s="73" t="str">
        <f>IF(AND($W227&gt;0,ISNUMBER($M227)),$M227/$W227,"")</f>
        <v/>
      </c>
      <c r="O227" s="67" t="n"/>
      <c r="P227" s="73" t="str">
        <f>IF(AND($W227&gt;0,ISNUMBER($O227)),$O227/$W227,"")</f>
        <v/>
      </c>
      <c r="Q227" s="67" t="n"/>
      <c r="R227" s="67" t="n"/>
      <c r="S227" s="67" t="n"/>
      <c r="T227" s="64" t="n"/>
      <c r="U227" s="64" t="n"/>
      <c r="V227" s="65" t="n"/>
      <c r="W227" s="72">
        <f>IF($D227="",0,IF(ISNUMBER($G227),IF($G227&gt;0,$G227,N($F227)),N($F227)))</f>
        <v>0</v>
      </c>
      <c r="X227" s="71" t="str">
        <f>IF(ISNUMBER($A227),YEAR($A227)&amp;"-"&amp;TEXT(MONTH($A227),"00"),"")</f>
        <v/>
      </c>
      <c r="Y227" s="71">
        <f>IF($D227="",0,IF(AND(OR(fClient="All",$B227=fClient),OR(fCampaign="All",$C227=fCampaign),OR(fTeam="All",$T227=fTeam),OR(fChannel="All",fChannel="Email",fChannel="Content Syndication"),OR(fMonth="All",$X227=fMonth)),1,0))</f>
        <v>0</v>
      </c>
      <c r="Z227" s="71">
        <f>IF($D227="",0,IF(AND(OR(fClient="All",$B227=fClient),OR(fCampaign="All",$C227=fCampaign),OR(fTeam="All",$T227=fTeam),OR(fChannel="All",fChannel="Email",fChannel="Content Syndication")),1,0))</f>
        <v>0</v>
      </c>
    </row>
    <row r="228">
      <c r="A228" s="63" t="n"/>
      <c r="B228" s="64" t="n"/>
      <c r="C228" s="64" t="n"/>
      <c r="D228" s="64" t="n"/>
      <c r="E228" s="67" t="n"/>
      <c r="F228" s="67" t="n"/>
      <c r="G228" s="67" t="n"/>
      <c r="H228" s="67" t="n"/>
      <c r="I228" s="67" t="n"/>
      <c r="J228" s="73" t="str">
        <f>IF(AND($W228&gt;0,ISNUMBER($I228)),$I228/$W228,"")</f>
        <v/>
      </c>
      <c r="K228" s="67" t="n"/>
      <c r="L228" s="73" t="str">
        <f>IF(AND($W228&gt;0,ISNUMBER($K228)),$K228/$W228,"")</f>
        <v/>
      </c>
      <c r="M228" s="67" t="n"/>
      <c r="N228" s="73" t="str">
        <f>IF(AND($W228&gt;0,ISNUMBER($M228)),$M228/$W228,"")</f>
        <v/>
      </c>
      <c r="O228" s="67" t="n"/>
      <c r="P228" s="73" t="str">
        <f>IF(AND($W228&gt;0,ISNUMBER($O228)),$O228/$W228,"")</f>
        <v/>
      </c>
      <c r="Q228" s="67" t="n"/>
      <c r="R228" s="67" t="n"/>
      <c r="S228" s="67" t="n"/>
      <c r="T228" s="64" t="n"/>
      <c r="U228" s="64" t="n"/>
      <c r="V228" s="65" t="n"/>
      <c r="W228" s="72">
        <f>IF($D228="",0,IF(ISNUMBER($G228),IF($G228&gt;0,$G228,N($F228)),N($F228)))</f>
        <v>0</v>
      </c>
      <c r="X228" s="71" t="str">
        <f>IF(ISNUMBER($A228),YEAR($A228)&amp;"-"&amp;TEXT(MONTH($A228),"00"),"")</f>
        <v/>
      </c>
      <c r="Y228" s="71">
        <f>IF($D228="",0,IF(AND(OR(fClient="All",$B228=fClient),OR(fCampaign="All",$C228=fCampaign),OR(fTeam="All",$T228=fTeam),OR(fChannel="All",fChannel="Email",fChannel="Content Syndication"),OR(fMonth="All",$X228=fMonth)),1,0))</f>
        <v>0</v>
      </c>
      <c r="Z228" s="71">
        <f>IF($D228="",0,IF(AND(OR(fClient="All",$B228=fClient),OR(fCampaign="All",$C228=fCampaign),OR(fTeam="All",$T228=fTeam),OR(fChannel="All",fChannel="Email",fChannel="Content Syndication")),1,0))</f>
        <v>0</v>
      </c>
    </row>
    <row r="229">
      <c r="A229" s="63" t="n"/>
      <c r="B229" s="64" t="n"/>
      <c r="C229" s="64" t="n"/>
      <c r="D229" s="64" t="n"/>
      <c r="E229" s="67" t="n"/>
      <c r="F229" s="67" t="n"/>
      <c r="G229" s="67" t="n"/>
      <c r="H229" s="67" t="n"/>
      <c r="I229" s="67" t="n"/>
      <c r="J229" s="73" t="str">
        <f>IF(AND($W229&gt;0,ISNUMBER($I229)),$I229/$W229,"")</f>
        <v/>
      </c>
      <c r="K229" s="67" t="n"/>
      <c r="L229" s="73" t="str">
        <f>IF(AND($W229&gt;0,ISNUMBER($K229)),$K229/$W229,"")</f>
        <v/>
      </c>
      <c r="M229" s="67" t="n"/>
      <c r="N229" s="73" t="str">
        <f>IF(AND($W229&gt;0,ISNUMBER($M229)),$M229/$W229,"")</f>
        <v/>
      </c>
      <c r="O229" s="67" t="n"/>
      <c r="P229" s="73" t="str">
        <f>IF(AND($W229&gt;0,ISNUMBER($O229)),$O229/$W229,"")</f>
        <v/>
      </c>
      <c r="Q229" s="67" t="n"/>
      <c r="R229" s="67" t="n"/>
      <c r="S229" s="67" t="n"/>
      <c r="T229" s="64" t="n"/>
      <c r="U229" s="64" t="n"/>
      <c r="V229" s="65" t="n"/>
      <c r="W229" s="72">
        <f>IF($D229="",0,IF(ISNUMBER($G229),IF($G229&gt;0,$G229,N($F229)),N($F229)))</f>
        <v>0</v>
      </c>
      <c r="X229" s="71" t="str">
        <f>IF(ISNUMBER($A229),YEAR($A229)&amp;"-"&amp;TEXT(MONTH($A229),"00"),"")</f>
        <v/>
      </c>
      <c r="Y229" s="71">
        <f>IF($D229="",0,IF(AND(OR(fClient="All",$B229=fClient),OR(fCampaign="All",$C229=fCampaign),OR(fTeam="All",$T229=fTeam),OR(fChannel="All",fChannel="Email",fChannel="Content Syndication"),OR(fMonth="All",$X229=fMonth)),1,0))</f>
        <v>0</v>
      </c>
      <c r="Z229" s="71">
        <f>IF($D229="",0,IF(AND(OR(fClient="All",$B229=fClient),OR(fCampaign="All",$C229=fCampaign),OR(fTeam="All",$T229=fTeam),OR(fChannel="All",fChannel="Email",fChannel="Content Syndication")),1,0))</f>
        <v>0</v>
      </c>
    </row>
    <row r="230">
      <c r="A230" s="63" t="n"/>
      <c r="B230" s="64" t="n"/>
      <c r="C230" s="64" t="n"/>
      <c r="D230" s="64" t="n"/>
      <c r="E230" s="67" t="n"/>
      <c r="F230" s="67" t="n"/>
      <c r="G230" s="67" t="n"/>
      <c r="H230" s="67" t="n"/>
      <c r="I230" s="67" t="n"/>
      <c r="J230" s="73" t="str">
        <f>IF(AND($W230&gt;0,ISNUMBER($I230)),$I230/$W230,"")</f>
        <v/>
      </c>
      <c r="K230" s="67" t="n"/>
      <c r="L230" s="73" t="str">
        <f>IF(AND($W230&gt;0,ISNUMBER($K230)),$K230/$W230,"")</f>
        <v/>
      </c>
      <c r="M230" s="67" t="n"/>
      <c r="N230" s="73" t="str">
        <f>IF(AND($W230&gt;0,ISNUMBER($M230)),$M230/$W230,"")</f>
        <v/>
      </c>
      <c r="O230" s="67" t="n"/>
      <c r="P230" s="73" t="str">
        <f>IF(AND($W230&gt;0,ISNUMBER($O230)),$O230/$W230,"")</f>
        <v/>
      </c>
      <c r="Q230" s="67" t="n"/>
      <c r="R230" s="67" t="n"/>
      <c r="S230" s="67" t="n"/>
      <c r="T230" s="64" t="n"/>
      <c r="U230" s="64" t="n"/>
      <c r="V230" s="65" t="n"/>
      <c r="W230" s="72">
        <f>IF($D230="",0,IF(ISNUMBER($G230),IF($G230&gt;0,$G230,N($F230)),N($F230)))</f>
        <v>0</v>
      </c>
      <c r="X230" s="71" t="str">
        <f>IF(ISNUMBER($A230),YEAR($A230)&amp;"-"&amp;TEXT(MONTH($A230),"00"),"")</f>
        <v/>
      </c>
      <c r="Y230" s="71">
        <f>IF($D230="",0,IF(AND(OR(fClient="All",$B230=fClient),OR(fCampaign="All",$C230=fCampaign),OR(fTeam="All",$T230=fTeam),OR(fChannel="All",fChannel="Email",fChannel="Content Syndication"),OR(fMonth="All",$X230=fMonth)),1,0))</f>
        <v>0</v>
      </c>
      <c r="Z230" s="71">
        <f>IF($D230="",0,IF(AND(OR(fClient="All",$B230=fClient),OR(fCampaign="All",$C230=fCampaign),OR(fTeam="All",$T230=fTeam),OR(fChannel="All",fChannel="Email",fChannel="Content Syndication")),1,0))</f>
        <v>0</v>
      </c>
    </row>
    <row r="231">
      <c r="A231" s="63" t="n"/>
      <c r="B231" s="64" t="n"/>
      <c r="C231" s="64" t="n"/>
      <c r="D231" s="64" t="n"/>
      <c r="E231" s="67" t="n"/>
      <c r="F231" s="67" t="n"/>
      <c r="G231" s="67" t="n"/>
      <c r="H231" s="67" t="n"/>
      <c r="I231" s="67" t="n"/>
      <c r="J231" s="73" t="str">
        <f>IF(AND($W231&gt;0,ISNUMBER($I231)),$I231/$W231,"")</f>
        <v/>
      </c>
      <c r="K231" s="67" t="n"/>
      <c r="L231" s="73" t="str">
        <f>IF(AND($W231&gt;0,ISNUMBER($K231)),$K231/$W231,"")</f>
        <v/>
      </c>
      <c r="M231" s="67" t="n"/>
      <c r="N231" s="73" t="str">
        <f>IF(AND($W231&gt;0,ISNUMBER($M231)),$M231/$W231,"")</f>
        <v/>
      </c>
      <c r="O231" s="67" t="n"/>
      <c r="P231" s="73" t="str">
        <f>IF(AND($W231&gt;0,ISNUMBER($O231)),$O231/$W231,"")</f>
        <v/>
      </c>
      <c r="Q231" s="67" t="n"/>
      <c r="R231" s="67" t="n"/>
      <c r="S231" s="67" t="n"/>
      <c r="T231" s="64" t="n"/>
      <c r="U231" s="64" t="n"/>
      <c r="V231" s="65" t="n"/>
      <c r="W231" s="72">
        <f>IF($D231="",0,IF(ISNUMBER($G231),IF($G231&gt;0,$G231,N($F231)),N($F231)))</f>
        <v>0</v>
      </c>
      <c r="X231" s="71" t="str">
        <f>IF(ISNUMBER($A231),YEAR($A231)&amp;"-"&amp;TEXT(MONTH($A231),"00"),"")</f>
        <v/>
      </c>
      <c r="Y231" s="71">
        <f>IF($D231="",0,IF(AND(OR(fClient="All",$B231=fClient),OR(fCampaign="All",$C231=fCampaign),OR(fTeam="All",$T231=fTeam),OR(fChannel="All",fChannel="Email",fChannel="Content Syndication"),OR(fMonth="All",$X231=fMonth)),1,0))</f>
        <v>0</v>
      </c>
      <c r="Z231" s="71">
        <f>IF($D231="",0,IF(AND(OR(fClient="All",$B231=fClient),OR(fCampaign="All",$C231=fCampaign),OR(fTeam="All",$T231=fTeam),OR(fChannel="All",fChannel="Email",fChannel="Content Syndication")),1,0))</f>
        <v>0</v>
      </c>
    </row>
    <row r="232">
      <c r="A232" s="63" t="n"/>
      <c r="B232" s="64" t="n"/>
      <c r="C232" s="64" t="n"/>
      <c r="D232" s="64" t="n"/>
      <c r="E232" s="67" t="n"/>
      <c r="F232" s="67" t="n"/>
      <c r="G232" s="67" t="n"/>
      <c r="H232" s="67" t="n"/>
      <c r="I232" s="67" t="n"/>
      <c r="J232" s="73" t="str">
        <f>IF(AND($W232&gt;0,ISNUMBER($I232)),$I232/$W232,"")</f>
        <v/>
      </c>
      <c r="K232" s="67" t="n"/>
      <c r="L232" s="73" t="str">
        <f>IF(AND($W232&gt;0,ISNUMBER($K232)),$K232/$W232,"")</f>
        <v/>
      </c>
      <c r="M232" s="67" t="n"/>
      <c r="N232" s="73" t="str">
        <f>IF(AND($W232&gt;0,ISNUMBER($M232)),$M232/$W232,"")</f>
        <v/>
      </c>
      <c r="O232" s="67" t="n"/>
      <c r="P232" s="73" t="str">
        <f>IF(AND($W232&gt;0,ISNUMBER($O232)),$O232/$W232,"")</f>
        <v/>
      </c>
      <c r="Q232" s="67" t="n"/>
      <c r="R232" s="67" t="n"/>
      <c r="S232" s="67" t="n"/>
      <c r="T232" s="64" t="n"/>
      <c r="U232" s="64" t="n"/>
      <c r="V232" s="65" t="n"/>
      <c r="W232" s="72">
        <f>IF($D232="",0,IF(ISNUMBER($G232),IF($G232&gt;0,$G232,N($F232)),N($F232)))</f>
        <v>0</v>
      </c>
      <c r="X232" s="71" t="str">
        <f>IF(ISNUMBER($A232),YEAR($A232)&amp;"-"&amp;TEXT(MONTH($A232),"00"),"")</f>
        <v/>
      </c>
      <c r="Y232" s="71">
        <f>IF($D232="",0,IF(AND(OR(fClient="All",$B232=fClient),OR(fCampaign="All",$C232=fCampaign),OR(fTeam="All",$T232=fTeam),OR(fChannel="All",fChannel="Email",fChannel="Content Syndication"),OR(fMonth="All",$X232=fMonth)),1,0))</f>
        <v>0</v>
      </c>
      <c r="Z232" s="71">
        <f>IF($D232="",0,IF(AND(OR(fClient="All",$B232=fClient),OR(fCampaign="All",$C232=fCampaign),OR(fTeam="All",$T232=fTeam),OR(fChannel="All",fChannel="Email",fChannel="Content Syndication")),1,0))</f>
        <v>0</v>
      </c>
    </row>
    <row r="233">
      <c r="A233" s="63" t="n"/>
      <c r="B233" s="64" t="n"/>
      <c r="C233" s="64" t="n"/>
      <c r="D233" s="64" t="n"/>
      <c r="E233" s="67" t="n"/>
      <c r="F233" s="67" t="n"/>
      <c r="G233" s="67" t="n"/>
      <c r="H233" s="67" t="n"/>
      <c r="I233" s="67" t="n"/>
      <c r="J233" s="73" t="str">
        <f>IF(AND($W233&gt;0,ISNUMBER($I233)),$I233/$W233,"")</f>
        <v/>
      </c>
      <c r="K233" s="67" t="n"/>
      <c r="L233" s="73" t="str">
        <f>IF(AND($W233&gt;0,ISNUMBER($K233)),$K233/$W233,"")</f>
        <v/>
      </c>
      <c r="M233" s="67" t="n"/>
      <c r="N233" s="73" t="str">
        <f>IF(AND($W233&gt;0,ISNUMBER($M233)),$M233/$W233,"")</f>
        <v/>
      </c>
      <c r="O233" s="67" t="n"/>
      <c r="P233" s="73" t="str">
        <f>IF(AND($W233&gt;0,ISNUMBER($O233)),$O233/$W233,"")</f>
        <v/>
      </c>
      <c r="Q233" s="67" t="n"/>
      <c r="R233" s="67" t="n"/>
      <c r="S233" s="67" t="n"/>
      <c r="T233" s="64" t="n"/>
      <c r="U233" s="64" t="n"/>
      <c r="V233" s="65" t="n"/>
      <c r="W233" s="72">
        <f>IF($D233="",0,IF(ISNUMBER($G233),IF($G233&gt;0,$G233,N($F233)),N($F233)))</f>
        <v>0</v>
      </c>
      <c r="X233" s="71" t="str">
        <f>IF(ISNUMBER($A233),YEAR($A233)&amp;"-"&amp;TEXT(MONTH($A233),"00"),"")</f>
        <v/>
      </c>
      <c r="Y233" s="71">
        <f>IF($D233="",0,IF(AND(OR(fClient="All",$B233=fClient),OR(fCampaign="All",$C233=fCampaign),OR(fTeam="All",$T233=fTeam),OR(fChannel="All",fChannel="Email",fChannel="Content Syndication"),OR(fMonth="All",$X233=fMonth)),1,0))</f>
        <v>0</v>
      </c>
      <c r="Z233" s="71">
        <f>IF($D233="",0,IF(AND(OR(fClient="All",$B233=fClient),OR(fCampaign="All",$C233=fCampaign),OR(fTeam="All",$T233=fTeam),OR(fChannel="All",fChannel="Email",fChannel="Content Syndication")),1,0))</f>
        <v>0</v>
      </c>
    </row>
    <row r="234">
      <c r="A234" s="63" t="n"/>
      <c r="B234" s="64" t="n"/>
      <c r="C234" s="64" t="n"/>
      <c r="D234" s="64" t="n"/>
      <c r="E234" s="67" t="n"/>
      <c r="F234" s="67" t="n"/>
      <c r="G234" s="67" t="n"/>
      <c r="H234" s="67" t="n"/>
      <c r="I234" s="67" t="n"/>
      <c r="J234" s="73" t="str">
        <f>IF(AND($W234&gt;0,ISNUMBER($I234)),$I234/$W234,"")</f>
        <v/>
      </c>
      <c r="K234" s="67" t="n"/>
      <c r="L234" s="73" t="str">
        <f>IF(AND($W234&gt;0,ISNUMBER($K234)),$K234/$W234,"")</f>
        <v/>
      </c>
      <c r="M234" s="67" t="n"/>
      <c r="N234" s="73" t="str">
        <f>IF(AND($W234&gt;0,ISNUMBER($M234)),$M234/$W234,"")</f>
        <v/>
      </c>
      <c r="O234" s="67" t="n"/>
      <c r="P234" s="73" t="str">
        <f>IF(AND($W234&gt;0,ISNUMBER($O234)),$O234/$W234,"")</f>
        <v/>
      </c>
      <c r="Q234" s="67" t="n"/>
      <c r="R234" s="67" t="n"/>
      <c r="S234" s="67" t="n"/>
      <c r="T234" s="64" t="n"/>
      <c r="U234" s="64" t="n"/>
      <c r="V234" s="65" t="n"/>
      <c r="W234" s="72">
        <f>IF($D234="",0,IF(ISNUMBER($G234),IF($G234&gt;0,$G234,N($F234)),N($F234)))</f>
        <v>0</v>
      </c>
      <c r="X234" s="71" t="str">
        <f>IF(ISNUMBER($A234),YEAR($A234)&amp;"-"&amp;TEXT(MONTH($A234),"00"),"")</f>
        <v/>
      </c>
      <c r="Y234" s="71">
        <f>IF($D234="",0,IF(AND(OR(fClient="All",$B234=fClient),OR(fCampaign="All",$C234=fCampaign),OR(fTeam="All",$T234=fTeam),OR(fChannel="All",fChannel="Email",fChannel="Content Syndication"),OR(fMonth="All",$X234=fMonth)),1,0))</f>
        <v>0</v>
      </c>
      <c r="Z234" s="71">
        <f>IF($D234="",0,IF(AND(OR(fClient="All",$B234=fClient),OR(fCampaign="All",$C234=fCampaign),OR(fTeam="All",$T234=fTeam),OR(fChannel="All",fChannel="Email",fChannel="Content Syndication")),1,0))</f>
        <v>0</v>
      </c>
    </row>
    <row r="235">
      <c r="A235" s="63" t="n"/>
      <c r="B235" s="64" t="n"/>
      <c r="C235" s="64" t="n"/>
      <c r="D235" s="64" t="n"/>
      <c r="E235" s="67" t="n"/>
      <c r="F235" s="67" t="n"/>
      <c r="G235" s="67" t="n"/>
      <c r="H235" s="67" t="n"/>
      <c r="I235" s="67" t="n"/>
      <c r="J235" s="73" t="str">
        <f>IF(AND($W235&gt;0,ISNUMBER($I235)),$I235/$W235,"")</f>
        <v/>
      </c>
      <c r="K235" s="67" t="n"/>
      <c r="L235" s="73" t="str">
        <f>IF(AND($W235&gt;0,ISNUMBER($K235)),$K235/$W235,"")</f>
        <v/>
      </c>
      <c r="M235" s="67" t="n"/>
      <c r="N235" s="73" t="str">
        <f>IF(AND($W235&gt;0,ISNUMBER($M235)),$M235/$W235,"")</f>
        <v/>
      </c>
      <c r="O235" s="67" t="n"/>
      <c r="P235" s="73" t="str">
        <f>IF(AND($W235&gt;0,ISNUMBER($O235)),$O235/$W235,"")</f>
        <v/>
      </c>
      <c r="Q235" s="67" t="n"/>
      <c r="R235" s="67" t="n"/>
      <c r="S235" s="67" t="n"/>
      <c r="T235" s="64" t="n"/>
      <c r="U235" s="64" t="n"/>
      <c r="V235" s="65" t="n"/>
      <c r="W235" s="72">
        <f>IF($D235="",0,IF(ISNUMBER($G235),IF($G235&gt;0,$G235,N($F235)),N($F235)))</f>
        <v>0</v>
      </c>
      <c r="X235" s="71" t="str">
        <f>IF(ISNUMBER($A235),YEAR($A235)&amp;"-"&amp;TEXT(MONTH($A235),"00"),"")</f>
        <v/>
      </c>
      <c r="Y235" s="71">
        <f>IF($D235="",0,IF(AND(OR(fClient="All",$B235=fClient),OR(fCampaign="All",$C235=fCampaign),OR(fTeam="All",$T235=fTeam),OR(fChannel="All",fChannel="Email",fChannel="Content Syndication"),OR(fMonth="All",$X235=fMonth)),1,0))</f>
        <v>0</v>
      </c>
      <c r="Z235" s="71">
        <f>IF($D235="",0,IF(AND(OR(fClient="All",$B235=fClient),OR(fCampaign="All",$C235=fCampaign),OR(fTeam="All",$T235=fTeam),OR(fChannel="All",fChannel="Email",fChannel="Content Syndication")),1,0))</f>
        <v>0</v>
      </c>
    </row>
    <row r="236">
      <c r="A236" s="63" t="n"/>
      <c r="B236" s="64" t="n"/>
      <c r="C236" s="64" t="n"/>
      <c r="D236" s="64" t="n"/>
      <c r="E236" s="67" t="n"/>
      <c r="F236" s="67" t="n"/>
      <c r="G236" s="67" t="n"/>
      <c r="H236" s="67" t="n"/>
      <c r="I236" s="67" t="n"/>
      <c r="J236" s="73" t="str">
        <f>IF(AND($W236&gt;0,ISNUMBER($I236)),$I236/$W236,"")</f>
        <v/>
      </c>
      <c r="K236" s="67" t="n"/>
      <c r="L236" s="73" t="str">
        <f>IF(AND($W236&gt;0,ISNUMBER($K236)),$K236/$W236,"")</f>
        <v/>
      </c>
      <c r="M236" s="67" t="n"/>
      <c r="N236" s="73" t="str">
        <f>IF(AND($W236&gt;0,ISNUMBER($M236)),$M236/$W236,"")</f>
        <v/>
      </c>
      <c r="O236" s="67" t="n"/>
      <c r="P236" s="73" t="str">
        <f>IF(AND($W236&gt;0,ISNUMBER($O236)),$O236/$W236,"")</f>
        <v/>
      </c>
      <c r="Q236" s="67" t="n"/>
      <c r="R236" s="67" t="n"/>
      <c r="S236" s="67" t="n"/>
      <c r="T236" s="64" t="n"/>
      <c r="U236" s="64" t="n"/>
      <c r="V236" s="65" t="n"/>
      <c r="W236" s="72">
        <f>IF($D236="",0,IF(ISNUMBER($G236),IF($G236&gt;0,$G236,N($F236)),N($F236)))</f>
        <v>0</v>
      </c>
      <c r="X236" s="71" t="str">
        <f>IF(ISNUMBER($A236),YEAR($A236)&amp;"-"&amp;TEXT(MONTH($A236),"00"),"")</f>
        <v/>
      </c>
      <c r="Y236" s="71">
        <f>IF($D236="",0,IF(AND(OR(fClient="All",$B236=fClient),OR(fCampaign="All",$C236=fCampaign),OR(fTeam="All",$T236=fTeam),OR(fChannel="All",fChannel="Email",fChannel="Content Syndication"),OR(fMonth="All",$X236=fMonth)),1,0))</f>
        <v>0</v>
      </c>
      <c r="Z236" s="71">
        <f>IF($D236="",0,IF(AND(OR(fClient="All",$B236=fClient),OR(fCampaign="All",$C236=fCampaign),OR(fTeam="All",$T236=fTeam),OR(fChannel="All",fChannel="Email",fChannel="Content Syndication")),1,0))</f>
        <v>0</v>
      </c>
    </row>
    <row r="237">
      <c r="A237" s="63" t="n"/>
      <c r="B237" s="64" t="n"/>
      <c r="C237" s="64" t="n"/>
      <c r="D237" s="64" t="n"/>
      <c r="E237" s="67" t="n"/>
      <c r="F237" s="67" t="n"/>
      <c r="G237" s="67" t="n"/>
      <c r="H237" s="67" t="n"/>
      <c r="I237" s="67" t="n"/>
      <c r="J237" s="73" t="str">
        <f>IF(AND($W237&gt;0,ISNUMBER($I237)),$I237/$W237,"")</f>
        <v/>
      </c>
      <c r="K237" s="67" t="n"/>
      <c r="L237" s="73" t="str">
        <f>IF(AND($W237&gt;0,ISNUMBER($K237)),$K237/$W237,"")</f>
        <v/>
      </c>
      <c r="M237" s="67" t="n"/>
      <c r="N237" s="73" t="str">
        <f>IF(AND($W237&gt;0,ISNUMBER($M237)),$M237/$W237,"")</f>
        <v/>
      </c>
      <c r="O237" s="67" t="n"/>
      <c r="P237" s="73" t="str">
        <f>IF(AND($W237&gt;0,ISNUMBER($O237)),$O237/$W237,"")</f>
        <v/>
      </c>
      <c r="Q237" s="67" t="n"/>
      <c r="R237" s="67" t="n"/>
      <c r="S237" s="67" t="n"/>
      <c r="T237" s="64" t="n"/>
      <c r="U237" s="64" t="n"/>
      <c r="V237" s="65" t="n"/>
      <c r="W237" s="72">
        <f>IF($D237="",0,IF(ISNUMBER($G237),IF($G237&gt;0,$G237,N($F237)),N($F237)))</f>
        <v>0</v>
      </c>
      <c r="X237" s="71" t="str">
        <f>IF(ISNUMBER($A237),YEAR($A237)&amp;"-"&amp;TEXT(MONTH($A237),"00"),"")</f>
        <v/>
      </c>
      <c r="Y237" s="71">
        <f>IF($D237="",0,IF(AND(OR(fClient="All",$B237=fClient),OR(fCampaign="All",$C237=fCampaign),OR(fTeam="All",$T237=fTeam),OR(fChannel="All",fChannel="Email",fChannel="Content Syndication"),OR(fMonth="All",$X237=fMonth)),1,0))</f>
        <v>0</v>
      </c>
      <c r="Z237" s="71">
        <f>IF($D237="",0,IF(AND(OR(fClient="All",$B237=fClient),OR(fCampaign="All",$C237=fCampaign),OR(fTeam="All",$T237=fTeam),OR(fChannel="All",fChannel="Email",fChannel="Content Syndication")),1,0))</f>
        <v>0</v>
      </c>
    </row>
    <row r="238">
      <c r="A238" s="63" t="n"/>
      <c r="B238" s="64" t="n"/>
      <c r="C238" s="64" t="n"/>
      <c r="D238" s="64" t="n"/>
      <c r="E238" s="67" t="n"/>
      <c r="F238" s="67" t="n"/>
      <c r="G238" s="67" t="n"/>
      <c r="H238" s="67" t="n"/>
      <c r="I238" s="67" t="n"/>
      <c r="J238" s="73" t="str">
        <f>IF(AND($W238&gt;0,ISNUMBER($I238)),$I238/$W238,"")</f>
        <v/>
      </c>
      <c r="K238" s="67" t="n"/>
      <c r="L238" s="73" t="str">
        <f>IF(AND($W238&gt;0,ISNUMBER($K238)),$K238/$W238,"")</f>
        <v/>
      </c>
      <c r="M238" s="67" t="n"/>
      <c r="N238" s="73" t="str">
        <f>IF(AND($W238&gt;0,ISNUMBER($M238)),$M238/$W238,"")</f>
        <v/>
      </c>
      <c r="O238" s="67" t="n"/>
      <c r="P238" s="73" t="str">
        <f>IF(AND($W238&gt;0,ISNUMBER($O238)),$O238/$W238,"")</f>
        <v/>
      </c>
      <c r="Q238" s="67" t="n"/>
      <c r="R238" s="67" t="n"/>
      <c r="S238" s="67" t="n"/>
      <c r="T238" s="64" t="n"/>
      <c r="U238" s="64" t="n"/>
      <c r="V238" s="65" t="n"/>
      <c r="W238" s="72">
        <f>IF($D238="",0,IF(ISNUMBER($G238),IF($G238&gt;0,$G238,N($F238)),N($F238)))</f>
        <v>0</v>
      </c>
      <c r="X238" s="71" t="str">
        <f>IF(ISNUMBER($A238),YEAR($A238)&amp;"-"&amp;TEXT(MONTH($A238),"00"),"")</f>
        <v/>
      </c>
      <c r="Y238" s="71">
        <f>IF($D238="",0,IF(AND(OR(fClient="All",$B238=fClient),OR(fCampaign="All",$C238=fCampaign),OR(fTeam="All",$T238=fTeam),OR(fChannel="All",fChannel="Email",fChannel="Content Syndication"),OR(fMonth="All",$X238=fMonth)),1,0))</f>
        <v>0</v>
      </c>
      <c r="Z238" s="71">
        <f>IF($D238="",0,IF(AND(OR(fClient="All",$B238=fClient),OR(fCampaign="All",$C238=fCampaign),OR(fTeam="All",$T238=fTeam),OR(fChannel="All",fChannel="Email",fChannel="Content Syndication")),1,0))</f>
        <v>0</v>
      </c>
    </row>
    <row r="239">
      <c r="A239" s="63" t="n"/>
      <c r="B239" s="64" t="n"/>
      <c r="C239" s="64" t="n"/>
      <c r="D239" s="64" t="n"/>
      <c r="E239" s="67" t="n"/>
      <c r="F239" s="67" t="n"/>
      <c r="G239" s="67" t="n"/>
      <c r="H239" s="67" t="n"/>
      <c r="I239" s="67" t="n"/>
      <c r="J239" s="73" t="str">
        <f>IF(AND($W239&gt;0,ISNUMBER($I239)),$I239/$W239,"")</f>
        <v/>
      </c>
      <c r="K239" s="67" t="n"/>
      <c r="L239" s="73" t="str">
        <f>IF(AND($W239&gt;0,ISNUMBER($K239)),$K239/$W239,"")</f>
        <v/>
      </c>
      <c r="M239" s="67" t="n"/>
      <c r="N239" s="73" t="str">
        <f>IF(AND($W239&gt;0,ISNUMBER($M239)),$M239/$W239,"")</f>
        <v/>
      </c>
      <c r="O239" s="67" t="n"/>
      <c r="P239" s="73" t="str">
        <f>IF(AND($W239&gt;0,ISNUMBER($O239)),$O239/$W239,"")</f>
        <v/>
      </c>
      <c r="Q239" s="67" t="n"/>
      <c r="R239" s="67" t="n"/>
      <c r="S239" s="67" t="n"/>
      <c r="T239" s="64" t="n"/>
      <c r="U239" s="64" t="n"/>
      <c r="V239" s="65" t="n"/>
      <c r="W239" s="72">
        <f>IF($D239="",0,IF(ISNUMBER($G239),IF($G239&gt;0,$G239,N($F239)),N($F239)))</f>
        <v>0</v>
      </c>
      <c r="X239" s="71" t="str">
        <f>IF(ISNUMBER($A239),YEAR($A239)&amp;"-"&amp;TEXT(MONTH($A239),"00"),"")</f>
        <v/>
      </c>
      <c r="Y239" s="71">
        <f>IF($D239="",0,IF(AND(OR(fClient="All",$B239=fClient),OR(fCampaign="All",$C239=fCampaign),OR(fTeam="All",$T239=fTeam),OR(fChannel="All",fChannel="Email",fChannel="Content Syndication"),OR(fMonth="All",$X239=fMonth)),1,0))</f>
        <v>0</v>
      </c>
      <c r="Z239" s="71">
        <f>IF($D239="",0,IF(AND(OR(fClient="All",$B239=fClient),OR(fCampaign="All",$C239=fCampaign),OR(fTeam="All",$T239=fTeam),OR(fChannel="All",fChannel="Email",fChannel="Content Syndication")),1,0))</f>
        <v>0</v>
      </c>
    </row>
    <row r="240">
      <c r="A240" s="63" t="n"/>
      <c r="B240" s="64" t="n"/>
      <c r="C240" s="64" t="n"/>
      <c r="D240" s="64" t="n"/>
      <c r="E240" s="67" t="n"/>
      <c r="F240" s="67" t="n"/>
      <c r="G240" s="67" t="n"/>
      <c r="H240" s="67" t="n"/>
      <c r="I240" s="67" t="n"/>
      <c r="J240" s="73" t="str">
        <f>IF(AND($W240&gt;0,ISNUMBER($I240)),$I240/$W240,"")</f>
        <v/>
      </c>
      <c r="K240" s="67" t="n"/>
      <c r="L240" s="73" t="str">
        <f>IF(AND($W240&gt;0,ISNUMBER($K240)),$K240/$W240,"")</f>
        <v/>
      </c>
      <c r="M240" s="67" t="n"/>
      <c r="N240" s="73" t="str">
        <f>IF(AND($W240&gt;0,ISNUMBER($M240)),$M240/$W240,"")</f>
        <v/>
      </c>
      <c r="O240" s="67" t="n"/>
      <c r="P240" s="73" t="str">
        <f>IF(AND($W240&gt;0,ISNUMBER($O240)),$O240/$W240,"")</f>
        <v/>
      </c>
      <c r="Q240" s="67" t="n"/>
      <c r="R240" s="67" t="n"/>
      <c r="S240" s="67" t="n"/>
      <c r="T240" s="64" t="n"/>
      <c r="U240" s="64" t="n"/>
      <c r="V240" s="65" t="n"/>
      <c r="W240" s="72">
        <f>IF($D240="",0,IF(ISNUMBER($G240),IF($G240&gt;0,$G240,N($F240)),N($F240)))</f>
        <v>0</v>
      </c>
      <c r="X240" s="71" t="str">
        <f>IF(ISNUMBER($A240),YEAR($A240)&amp;"-"&amp;TEXT(MONTH($A240),"00"),"")</f>
        <v/>
      </c>
      <c r="Y240" s="71">
        <f>IF($D240="",0,IF(AND(OR(fClient="All",$B240=fClient),OR(fCampaign="All",$C240=fCampaign),OR(fTeam="All",$T240=fTeam),OR(fChannel="All",fChannel="Email",fChannel="Content Syndication"),OR(fMonth="All",$X240=fMonth)),1,0))</f>
        <v>0</v>
      </c>
      <c r="Z240" s="71">
        <f>IF($D240="",0,IF(AND(OR(fClient="All",$B240=fClient),OR(fCampaign="All",$C240=fCampaign),OR(fTeam="All",$T240=fTeam),OR(fChannel="All",fChannel="Email",fChannel="Content Syndication")),1,0))</f>
        <v>0</v>
      </c>
    </row>
    <row r="241">
      <c r="A241" s="63" t="n"/>
      <c r="B241" s="64" t="n"/>
      <c r="C241" s="64" t="n"/>
      <c r="D241" s="64" t="n"/>
      <c r="E241" s="67" t="n"/>
      <c r="F241" s="67" t="n"/>
      <c r="G241" s="67" t="n"/>
      <c r="H241" s="67" t="n"/>
      <c r="I241" s="67" t="n"/>
      <c r="J241" s="73" t="str">
        <f>IF(AND($W241&gt;0,ISNUMBER($I241)),$I241/$W241,"")</f>
        <v/>
      </c>
      <c r="K241" s="67" t="n"/>
      <c r="L241" s="73" t="str">
        <f>IF(AND($W241&gt;0,ISNUMBER($K241)),$K241/$W241,"")</f>
        <v/>
      </c>
      <c r="M241" s="67" t="n"/>
      <c r="N241" s="73" t="str">
        <f>IF(AND($W241&gt;0,ISNUMBER($M241)),$M241/$W241,"")</f>
        <v/>
      </c>
      <c r="O241" s="67" t="n"/>
      <c r="P241" s="73" t="str">
        <f>IF(AND($W241&gt;0,ISNUMBER($O241)),$O241/$W241,"")</f>
        <v/>
      </c>
      <c r="Q241" s="67" t="n"/>
      <c r="R241" s="67" t="n"/>
      <c r="S241" s="67" t="n"/>
      <c r="T241" s="64" t="n"/>
      <c r="U241" s="64" t="n"/>
      <c r="V241" s="65" t="n"/>
      <c r="W241" s="72">
        <f>IF($D241="",0,IF(ISNUMBER($G241),IF($G241&gt;0,$G241,N($F241)),N($F241)))</f>
        <v>0</v>
      </c>
      <c r="X241" s="71" t="str">
        <f>IF(ISNUMBER($A241),YEAR($A241)&amp;"-"&amp;TEXT(MONTH($A241),"00"),"")</f>
        <v/>
      </c>
      <c r="Y241" s="71">
        <f>IF($D241="",0,IF(AND(OR(fClient="All",$B241=fClient),OR(fCampaign="All",$C241=fCampaign),OR(fTeam="All",$T241=fTeam),OR(fChannel="All",fChannel="Email",fChannel="Content Syndication"),OR(fMonth="All",$X241=fMonth)),1,0))</f>
        <v>0</v>
      </c>
      <c r="Z241" s="71">
        <f>IF($D241="",0,IF(AND(OR(fClient="All",$B241=fClient),OR(fCampaign="All",$C241=fCampaign),OR(fTeam="All",$T241=fTeam),OR(fChannel="All",fChannel="Email",fChannel="Content Syndication")),1,0))</f>
        <v>0</v>
      </c>
    </row>
    <row r="242">
      <c r="A242" s="63" t="n"/>
      <c r="B242" s="64" t="n"/>
      <c r="C242" s="64" t="n"/>
      <c r="D242" s="64" t="n"/>
      <c r="E242" s="67" t="n"/>
      <c r="F242" s="67" t="n"/>
      <c r="G242" s="67" t="n"/>
      <c r="H242" s="67" t="n"/>
      <c r="I242" s="67" t="n"/>
      <c r="J242" s="73" t="str">
        <f>IF(AND($W242&gt;0,ISNUMBER($I242)),$I242/$W242,"")</f>
        <v/>
      </c>
      <c r="K242" s="67" t="n"/>
      <c r="L242" s="73" t="str">
        <f>IF(AND($W242&gt;0,ISNUMBER($K242)),$K242/$W242,"")</f>
        <v/>
      </c>
      <c r="M242" s="67" t="n"/>
      <c r="N242" s="73" t="str">
        <f>IF(AND($W242&gt;0,ISNUMBER($M242)),$M242/$W242,"")</f>
        <v/>
      </c>
      <c r="O242" s="67" t="n"/>
      <c r="P242" s="73" t="str">
        <f>IF(AND($W242&gt;0,ISNUMBER($O242)),$O242/$W242,"")</f>
        <v/>
      </c>
      <c r="Q242" s="67" t="n"/>
      <c r="R242" s="67" t="n"/>
      <c r="S242" s="67" t="n"/>
      <c r="T242" s="64" t="n"/>
      <c r="U242" s="64" t="n"/>
      <c r="V242" s="65" t="n"/>
      <c r="W242" s="72">
        <f>IF($D242="",0,IF(ISNUMBER($G242),IF($G242&gt;0,$G242,N($F242)),N($F242)))</f>
        <v>0</v>
      </c>
      <c r="X242" s="71" t="str">
        <f>IF(ISNUMBER($A242),YEAR($A242)&amp;"-"&amp;TEXT(MONTH($A242),"00"),"")</f>
        <v/>
      </c>
      <c r="Y242" s="71">
        <f>IF($D242="",0,IF(AND(OR(fClient="All",$B242=fClient),OR(fCampaign="All",$C242=fCampaign),OR(fTeam="All",$T242=fTeam),OR(fChannel="All",fChannel="Email",fChannel="Content Syndication"),OR(fMonth="All",$X242=fMonth)),1,0))</f>
        <v>0</v>
      </c>
      <c r="Z242" s="71">
        <f>IF($D242="",0,IF(AND(OR(fClient="All",$B242=fClient),OR(fCampaign="All",$C242=fCampaign),OR(fTeam="All",$T242=fTeam),OR(fChannel="All",fChannel="Email",fChannel="Content Syndication")),1,0))</f>
        <v>0</v>
      </c>
    </row>
    <row r="243">
      <c r="A243" s="63" t="n"/>
      <c r="B243" s="64" t="n"/>
      <c r="C243" s="64" t="n"/>
      <c r="D243" s="64" t="n"/>
      <c r="E243" s="67" t="n"/>
      <c r="F243" s="67" t="n"/>
      <c r="G243" s="67" t="n"/>
      <c r="H243" s="67" t="n"/>
      <c r="I243" s="67" t="n"/>
      <c r="J243" s="73" t="str">
        <f>IF(AND($W243&gt;0,ISNUMBER($I243)),$I243/$W243,"")</f>
        <v/>
      </c>
      <c r="K243" s="67" t="n"/>
      <c r="L243" s="73" t="str">
        <f>IF(AND($W243&gt;0,ISNUMBER($K243)),$K243/$W243,"")</f>
        <v/>
      </c>
      <c r="M243" s="67" t="n"/>
      <c r="N243" s="73" t="str">
        <f>IF(AND($W243&gt;0,ISNUMBER($M243)),$M243/$W243,"")</f>
        <v/>
      </c>
      <c r="O243" s="67" t="n"/>
      <c r="P243" s="73" t="str">
        <f>IF(AND($W243&gt;0,ISNUMBER($O243)),$O243/$W243,"")</f>
        <v/>
      </c>
      <c r="Q243" s="67" t="n"/>
      <c r="R243" s="67" t="n"/>
      <c r="S243" s="67" t="n"/>
      <c r="T243" s="64" t="n"/>
      <c r="U243" s="64" t="n"/>
      <c r="V243" s="65" t="n"/>
      <c r="W243" s="72">
        <f>IF($D243="",0,IF(ISNUMBER($G243),IF($G243&gt;0,$G243,N($F243)),N($F243)))</f>
        <v>0</v>
      </c>
      <c r="X243" s="71" t="str">
        <f>IF(ISNUMBER($A243),YEAR($A243)&amp;"-"&amp;TEXT(MONTH($A243),"00"),"")</f>
        <v/>
      </c>
      <c r="Y243" s="71">
        <f>IF($D243="",0,IF(AND(OR(fClient="All",$B243=fClient),OR(fCampaign="All",$C243=fCampaign),OR(fTeam="All",$T243=fTeam),OR(fChannel="All",fChannel="Email",fChannel="Content Syndication"),OR(fMonth="All",$X243=fMonth)),1,0))</f>
        <v>0</v>
      </c>
      <c r="Z243" s="71">
        <f>IF($D243="",0,IF(AND(OR(fClient="All",$B243=fClient),OR(fCampaign="All",$C243=fCampaign),OR(fTeam="All",$T243=fTeam),OR(fChannel="All",fChannel="Email",fChannel="Content Syndication")),1,0))</f>
        <v>0</v>
      </c>
    </row>
    <row r="244">
      <c r="A244" s="63" t="n"/>
      <c r="B244" s="64" t="n"/>
      <c r="C244" s="64" t="n"/>
      <c r="D244" s="64" t="n"/>
      <c r="E244" s="67" t="n"/>
      <c r="F244" s="67" t="n"/>
      <c r="G244" s="67" t="n"/>
      <c r="H244" s="67" t="n"/>
      <c r="I244" s="67" t="n"/>
      <c r="J244" s="73" t="str">
        <f>IF(AND($W244&gt;0,ISNUMBER($I244)),$I244/$W244,"")</f>
        <v/>
      </c>
      <c r="K244" s="67" t="n"/>
      <c r="L244" s="73" t="str">
        <f>IF(AND($W244&gt;0,ISNUMBER($K244)),$K244/$W244,"")</f>
        <v/>
      </c>
      <c r="M244" s="67" t="n"/>
      <c r="N244" s="73" t="str">
        <f>IF(AND($W244&gt;0,ISNUMBER($M244)),$M244/$W244,"")</f>
        <v/>
      </c>
      <c r="O244" s="67" t="n"/>
      <c r="P244" s="73" t="str">
        <f>IF(AND($W244&gt;0,ISNUMBER($O244)),$O244/$W244,"")</f>
        <v/>
      </c>
      <c r="Q244" s="67" t="n"/>
      <c r="R244" s="67" t="n"/>
      <c r="S244" s="67" t="n"/>
      <c r="T244" s="64" t="n"/>
      <c r="U244" s="64" t="n"/>
      <c r="V244" s="65" t="n"/>
      <c r="W244" s="72">
        <f>IF($D244="",0,IF(ISNUMBER($G244),IF($G244&gt;0,$G244,N($F244)),N($F244)))</f>
        <v>0</v>
      </c>
      <c r="X244" s="71" t="str">
        <f>IF(ISNUMBER($A244),YEAR($A244)&amp;"-"&amp;TEXT(MONTH($A244),"00"),"")</f>
        <v/>
      </c>
      <c r="Y244" s="71">
        <f>IF($D244="",0,IF(AND(OR(fClient="All",$B244=fClient),OR(fCampaign="All",$C244=fCampaign),OR(fTeam="All",$T244=fTeam),OR(fChannel="All",fChannel="Email",fChannel="Content Syndication"),OR(fMonth="All",$X244=fMonth)),1,0))</f>
        <v>0</v>
      </c>
      <c r="Z244" s="71">
        <f>IF($D244="",0,IF(AND(OR(fClient="All",$B244=fClient),OR(fCampaign="All",$C244=fCampaign),OR(fTeam="All",$T244=fTeam),OR(fChannel="All",fChannel="Email",fChannel="Content Syndication")),1,0))</f>
        <v>0</v>
      </c>
    </row>
    <row r="245">
      <c r="A245" s="63" t="n"/>
      <c r="B245" s="64" t="n"/>
      <c r="C245" s="64" t="n"/>
      <c r="D245" s="64" t="n"/>
      <c r="E245" s="67" t="n"/>
      <c r="F245" s="67" t="n"/>
      <c r="G245" s="67" t="n"/>
      <c r="H245" s="67" t="n"/>
      <c r="I245" s="67" t="n"/>
      <c r="J245" s="73" t="str">
        <f>IF(AND($W245&gt;0,ISNUMBER($I245)),$I245/$W245,"")</f>
        <v/>
      </c>
      <c r="K245" s="67" t="n"/>
      <c r="L245" s="73" t="str">
        <f>IF(AND($W245&gt;0,ISNUMBER($K245)),$K245/$W245,"")</f>
        <v/>
      </c>
      <c r="M245" s="67" t="n"/>
      <c r="N245" s="73" t="str">
        <f>IF(AND($W245&gt;0,ISNUMBER($M245)),$M245/$W245,"")</f>
        <v/>
      </c>
      <c r="O245" s="67" t="n"/>
      <c r="P245" s="73" t="str">
        <f>IF(AND($W245&gt;0,ISNUMBER($O245)),$O245/$W245,"")</f>
        <v/>
      </c>
      <c r="Q245" s="67" t="n"/>
      <c r="R245" s="67" t="n"/>
      <c r="S245" s="67" t="n"/>
      <c r="T245" s="64" t="n"/>
      <c r="U245" s="64" t="n"/>
      <c r="V245" s="65" t="n"/>
      <c r="W245" s="72">
        <f>IF($D245="",0,IF(ISNUMBER($G245),IF($G245&gt;0,$G245,N($F245)),N($F245)))</f>
        <v>0</v>
      </c>
      <c r="X245" s="71" t="str">
        <f>IF(ISNUMBER($A245),YEAR($A245)&amp;"-"&amp;TEXT(MONTH($A245),"00"),"")</f>
        <v/>
      </c>
      <c r="Y245" s="71">
        <f>IF($D245="",0,IF(AND(OR(fClient="All",$B245=fClient),OR(fCampaign="All",$C245=fCampaign),OR(fTeam="All",$T245=fTeam),OR(fChannel="All",fChannel="Email",fChannel="Content Syndication"),OR(fMonth="All",$X245=fMonth)),1,0))</f>
        <v>0</v>
      </c>
      <c r="Z245" s="71">
        <f>IF($D245="",0,IF(AND(OR(fClient="All",$B245=fClient),OR(fCampaign="All",$C245=fCampaign),OR(fTeam="All",$T245=fTeam),OR(fChannel="All",fChannel="Email",fChannel="Content Syndication")),1,0))</f>
        <v>0</v>
      </c>
    </row>
    <row r="246">
      <c r="A246" s="63" t="n"/>
      <c r="B246" s="64" t="n"/>
      <c r="C246" s="64" t="n"/>
      <c r="D246" s="64" t="n"/>
      <c r="E246" s="67" t="n"/>
      <c r="F246" s="67" t="n"/>
      <c r="G246" s="67" t="n"/>
      <c r="H246" s="67" t="n"/>
      <c r="I246" s="67" t="n"/>
      <c r="J246" s="73" t="str">
        <f>IF(AND($W246&gt;0,ISNUMBER($I246)),$I246/$W246,"")</f>
        <v/>
      </c>
      <c r="K246" s="67" t="n"/>
      <c r="L246" s="73" t="str">
        <f>IF(AND($W246&gt;0,ISNUMBER($K246)),$K246/$W246,"")</f>
        <v/>
      </c>
      <c r="M246" s="67" t="n"/>
      <c r="N246" s="73" t="str">
        <f>IF(AND($W246&gt;0,ISNUMBER($M246)),$M246/$W246,"")</f>
        <v/>
      </c>
      <c r="O246" s="67" t="n"/>
      <c r="P246" s="73" t="str">
        <f>IF(AND($W246&gt;0,ISNUMBER($O246)),$O246/$W246,"")</f>
        <v/>
      </c>
      <c r="Q246" s="67" t="n"/>
      <c r="R246" s="67" t="n"/>
      <c r="S246" s="67" t="n"/>
      <c r="T246" s="64" t="n"/>
      <c r="U246" s="64" t="n"/>
      <c r="V246" s="65" t="n"/>
      <c r="W246" s="72">
        <f>IF($D246="",0,IF(ISNUMBER($G246),IF($G246&gt;0,$G246,N($F246)),N($F246)))</f>
        <v>0</v>
      </c>
      <c r="X246" s="71" t="str">
        <f>IF(ISNUMBER($A246),YEAR($A246)&amp;"-"&amp;TEXT(MONTH($A246),"00"),"")</f>
        <v/>
      </c>
      <c r="Y246" s="71">
        <f>IF($D246="",0,IF(AND(OR(fClient="All",$B246=fClient),OR(fCampaign="All",$C246=fCampaign),OR(fTeam="All",$T246=fTeam),OR(fChannel="All",fChannel="Email",fChannel="Content Syndication"),OR(fMonth="All",$X246=fMonth)),1,0))</f>
        <v>0</v>
      </c>
      <c r="Z246" s="71">
        <f>IF($D246="",0,IF(AND(OR(fClient="All",$B246=fClient),OR(fCampaign="All",$C246=fCampaign),OR(fTeam="All",$T246=fTeam),OR(fChannel="All",fChannel="Email",fChannel="Content Syndication")),1,0))</f>
        <v>0</v>
      </c>
    </row>
    <row r="247">
      <c r="A247" s="63" t="n"/>
      <c r="B247" s="64" t="n"/>
      <c r="C247" s="64" t="n"/>
      <c r="D247" s="64" t="n"/>
      <c r="E247" s="67" t="n"/>
      <c r="F247" s="67" t="n"/>
      <c r="G247" s="67" t="n"/>
      <c r="H247" s="67" t="n"/>
      <c r="I247" s="67" t="n"/>
      <c r="J247" s="73" t="str">
        <f>IF(AND($W247&gt;0,ISNUMBER($I247)),$I247/$W247,"")</f>
        <v/>
      </c>
      <c r="K247" s="67" t="n"/>
      <c r="L247" s="73" t="str">
        <f>IF(AND($W247&gt;0,ISNUMBER($K247)),$K247/$W247,"")</f>
        <v/>
      </c>
      <c r="M247" s="67" t="n"/>
      <c r="N247" s="73" t="str">
        <f>IF(AND($W247&gt;0,ISNUMBER($M247)),$M247/$W247,"")</f>
        <v/>
      </c>
      <c r="O247" s="67" t="n"/>
      <c r="P247" s="73" t="str">
        <f>IF(AND($W247&gt;0,ISNUMBER($O247)),$O247/$W247,"")</f>
        <v/>
      </c>
      <c r="Q247" s="67" t="n"/>
      <c r="R247" s="67" t="n"/>
      <c r="S247" s="67" t="n"/>
      <c r="T247" s="64" t="n"/>
      <c r="U247" s="64" t="n"/>
      <c r="V247" s="65" t="n"/>
      <c r="W247" s="72">
        <f>IF($D247="",0,IF(ISNUMBER($G247),IF($G247&gt;0,$G247,N($F247)),N($F247)))</f>
        <v>0</v>
      </c>
      <c r="X247" s="71" t="str">
        <f>IF(ISNUMBER($A247),YEAR($A247)&amp;"-"&amp;TEXT(MONTH($A247),"00"),"")</f>
        <v/>
      </c>
      <c r="Y247" s="71">
        <f>IF($D247="",0,IF(AND(OR(fClient="All",$B247=fClient),OR(fCampaign="All",$C247=fCampaign),OR(fTeam="All",$T247=fTeam),OR(fChannel="All",fChannel="Email",fChannel="Content Syndication"),OR(fMonth="All",$X247=fMonth)),1,0))</f>
        <v>0</v>
      </c>
      <c r="Z247" s="71">
        <f>IF($D247="",0,IF(AND(OR(fClient="All",$B247=fClient),OR(fCampaign="All",$C247=fCampaign),OR(fTeam="All",$T247=fTeam),OR(fChannel="All",fChannel="Email",fChannel="Content Syndication")),1,0))</f>
        <v>0</v>
      </c>
    </row>
    <row r="248">
      <c r="A248" s="63" t="n"/>
      <c r="B248" s="64" t="n"/>
      <c r="C248" s="64" t="n"/>
      <c r="D248" s="64" t="n"/>
      <c r="E248" s="67" t="n"/>
      <c r="F248" s="67" t="n"/>
      <c r="G248" s="67" t="n"/>
      <c r="H248" s="67" t="n"/>
      <c r="I248" s="67" t="n"/>
      <c r="J248" s="73" t="str">
        <f>IF(AND($W248&gt;0,ISNUMBER($I248)),$I248/$W248,"")</f>
        <v/>
      </c>
      <c r="K248" s="67" t="n"/>
      <c r="L248" s="73" t="str">
        <f>IF(AND($W248&gt;0,ISNUMBER($K248)),$K248/$W248,"")</f>
        <v/>
      </c>
      <c r="M248" s="67" t="n"/>
      <c r="N248" s="73" t="str">
        <f>IF(AND($W248&gt;0,ISNUMBER($M248)),$M248/$W248,"")</f>
        <v/>
      </c>
      <c r="O248" s="67" t="n"/>
      <c r="P248" s="73" t="str">
        <f>IF(AND($W248&gt;0,ISNUMBER($O248)),$O248/$W248,"")</f>
        <v/>
      </c>
      <c r="Q248" s="67" t="n"/>
      <c r="R248" s="67" t="n"/>
      <c r="S248" s="67" t="n"/>
      <c r="T248" s="64" t="n"/>
      <c r="U248" s="64" t="n"/>
      <c r="V248" s="65" t="n"/>
      <c r="W248" s="72">
        <f>IF($D248="",0,IF(ISNUMBER($G248),IF($G248&gt;0,$G248,N($F248)),N($F248)))</f>
        <v>0</v>
      </c>
      <c r="X248" s="71" t="str">
        <f>IF(ISNUMBER($A248),YEAR($A248)&amp;"-"&amp;TEXT(MONTH($A248),"00"),"")</f>
        <v/>
      </c>
      <c r="Y248" s="71">
        <f>IF($D248="",0,IF(AND(OR(fClient="All",$B248=fClient),OR(fCampaign="All",$C248=fCampaign),OR(fTeam="All",$T248=fTeam),OR(fChannel="All",fChannel="Email",fChannel="Content Syndication"),OR(fMonth="All",$X248=fMonth)),1,0))</f>
        <v>0</v>
      </c>
      <c r="Z248" s="71">
        <f>IF($D248="",0,IF(AND(OR(fClient="All",$B248=fClient),OR(fCampaign="All",$C248=fCampaign),OR(fTeam="All",$T248=fTeam),OR(fChannel="All",fChannel="Email",fChannel="Content Syndication")),1,0))</f>
        <v>0</v>
      </c>
    </row>
    <row r="249">
      <c r="A249" s="63" t="n"/>
      <c r="B249" s="64" t="n"/>
      <c r="C249" s="64" t="n"/>
      <c r="D249" s="64" t="n"/>
      <c r="E249" s="67" t="n"/>
      <c r="F249" s="67" t="n"/>
      <c r="G249" s="67" t="n"/>
      <c r="H249" s="67" t="n"/>
      <c r="I249" s="67" t="n"/>
      <c r="J249" s="73" t="str">
        <f>IF(AND($W249&gt;0,ISNUMBER($I249)),$I249/$W249,"")</f>
        <v/>
      </c>
      <c r="K249" s="67" t="n"/>
      <c r="L249" s="73" t="str">
        <f>IF(AND($W249&gt;0,ISNUMBER($K249)),$K249/$W249,"")</f>
        <v/>
      </c>
      <c r="M249" s="67" t="n"/>
      <c r="N249" s="73" t="str">
        <f>IF(AND($W249&gt;0,ISNUMBER($M249)),$M249/$W249,"")</f>
        <v/>
      </c>
      <c r="O249" s="67" t="n"/>
      <c r="P249" s="73" t="str">
        <f>IF(AND($W249&gt;0,ISNUMBER($O249)),$O249/$W249,"")</f>
        <v/>
      </c>
      <c r="Q249" s="67" t="n"/>
      <c r="R249" s="67" t="n"/>
      <c r="S249" s="67" t="n"/>
      <c r="T249" s="64" t="n"/>
      <c r="U249" s="64" t="n"/>
      <c r="V249" s="65" t="n"/>
      <c r="W249" s="72">
        <f>IF($D249="",0,IF(ISNUMBER($G249),IF($G249&gt;0,$G249,N($F249)),N($F249)))</f>
        <v>0</v>
      </c>
      <c r="X249" s="71" t="str">
        <f>IF(ISNUMBER($A249),YEAR($A249)&amp;"-"&amp;TEXT(MONTH($A249),"00"),"")</f>
        <v/>
      </c>
      <c r="Y249" s="71">
        <f>IF($D249="",0,IF(AND(OR(fClient="All",$B249=fClient),OR(fCampaign="All",$C249=fCampaign),OR(fTeam="All",$T249=fTeam),OR(fChannel="All",fChannel="Email",fChannel="Content Syndication"),OR(fMonth="All",$X249=fMonth)),1,0))</f>
        <v>0</v>
      </c>
      <c r="Z249" s="71">
        <f>IF($D249="",0,IF(AND(OR(fClient="All",$B249=fClient),OR(fCampaign="All",$C249=fCampaign),OR(fTeam="All",$T249=fTeam),OR(fChannel="All",fChannel="Email",fChannel="Content Syndication")),1,0))</f>
        <v>0</v>
      </c>
    </row>
    <row r="250">
      <c r="A250" s="63" t="n"/>
      <c r="B250" s="64" t="n"/>
      <c r="C250" s="64" t="n"/>
      <c r="D250" s="64" t="n"/>
      <c r="E250" s="67" t="n"/>
      <c r="F250" s="67" t="n"/>
      <c r="G250" s="67" t="n"/>
      <c r="H250" s="67" t="n"/>
      <c r="I250" s="67" t="n"/>
      <c r="J250" s="73" t="str">
        <f>IF(AND($W250&gt;0,ISNUMBER($I250)),$I250/$W250,"")</f>
        <v/>
      </c>
      <c r="K250" s="67" t="n"/>
      <c r="L250" s="73" t="str">
        <f>IF(AND($W250&gt;0,ISNUMBER($K250)),$K250/$W250,"")</f>
        <v/>
      </c>
      <c r="M250" s="67" t="n"/>
      <c r="N250" s="73" t="str">
        <f>IF(AND($W250&gt;0,ISNUMBER($M250)),$M250/$W250,"")</f>
        <v/>
      </c>
      <c r="O250" s="67" t="n"/>
      <c r="P250" s="73" t="str">
        <f>IF(AND($W250&gt;0,ISNUMBER($O250)),$O250/$W250,"")</f>
        <v/>
      </c>
      <c r="Q250" s="67" t="n"/>
      <c r="R250" s="67" t="n"/>
      <c r="S250" s="67" t="n"/>
      <c r="T250" s="64" t="n"/>
      <c r="U250" s="64" t="n"/>
      <c r="V250" s="65" t="n"/>
      <c r="W250" s="72">
        <f>IF($D250="",0,IF(ISNUMBER($G250),IF($G250&gt;0,$G250,N($F250)),N($F250)))</f>
        <v>0</v>
      </c>
      <c r="X250" s="71" t="str">
        <f>IF(ISNUMBER($A250),YEAR($A250)&amp;"-"&amp;TEXT(MONTH($A250),"00"),"")</f>
        <v/>
      </c>
      <c r="Y250" s="71">
        <f>IF($D250="",0,IF(AND(OR(fClient="All",$B250=fClient),OR(fCampaign="All",$C250=fCampaign),OR(fTeam="All",$T250=fTeam),OR(fChannel="All",fChannel="Email",fChannel="Content Syndication"),OR(fMonth="All",$X250=fMonth)),1,0))</f>
        <v>0</v>
      </c>
      <c r="Z250" s="71">
        <f>IF($D250="",0,IF(AND(OR(fClient="All",$B250=fClient),OR(fCampaign="All",$C250=fCampaign),OR(fTeam="All",$T250=fTeam),OR(fChannel="All",fChannel="Email",fChannel="Content Syndication")),1,0))</f>
        <v>0</v>
      </c>
    </row>
    <row r="251">
      <c r="A251" s="63" t="n"/>
      <c r="B251" s="64" t="n"/>
      <c r="C251" s="64" t="n"/>
      <c r="D251" s="64" t="n"/>
      <c r="E251" s="67" t="n"/>
      <c r="F251" s="67" t="n"/>
      <c r="G251" s="67" t="n"/>
      <c r="H251" s="67" t="n"/>
      <c r="I251" s="67" t="n"/>
      <c r="J251" s="73" t="str">
        <f>IF(AND($W251&gt;0,ISNUMBER($I251)),$I251/$W251,"")</f>
        <v/>
      </c>
      <c r="K251" s="67" t="n"/>
      <c r="L251" s="73" t="str">
        <f>IF(AND($W251&gt;0,ISNUMBER($K251)),$K251/$W251,"")</f>
        <v/>
      </c>
      <c r="M251" s="67" t="n"/>
      <c r="N251" s="73" t="str">
        <f>IF(AND($W251&gt;0,ISNUMBER($M251)),$M251/$W251,"")</f>
        <v/>
      </c>
      <c r="O251" s="67" t="n"/>
      <c r="P251" s="73" t="str">
        <f>IF(AND($W251&gt;0,ISNUMBER($O251)),$O251/$W251,"")</f>
        <v/>
      </c>
      <c r="Q251" s="67" t="n"/>
      <c r="R251" s="67" t="n"/>
      <c r="S251" s="67" t="n"/>
      <c r="T251" s="64" t="n"/>
      <c r="U251" s="64" t="n"/>
      <c r="V251" s="65" t="n"/>
      <c r="W251" s="72">
        <f>IF($D251="",0,IF(ISNUMBER($G251),IF($G251&gt;0,$G251,N($F251)),N($F251)))</f>
        <v>0</v>
      </c>
      <c r="X251" s="71" t="str">
        <f>IF(ISNUMBER($A251),YEAR($A251)&amp;"-"&amp;TEXT(MONTH($A251),"00"),"")</f>
        <v/>
      </c>
      <c r="Y251" s="71">
        <f>IF($D251="",0,IF(AND(OR(fClient="All",$B251=fClient),OR(fCampaign="All",$C251=fCampaign),OR(fTeam="All",$T251=fTeam),OR(fChannel="All",fChannel="Email",fChannel="Content Syndication"),OR(fMonth="All",$X251=fMonth)),1,0))</f>
        <v>0</v>
      </c>
      <c r="Z251" s="71">
        <f>IF($D251="",0,IF(AND(OR(fClient="All",$B251=fClient),OR(fCampaign="All",$C251=fCampaign),OR(fTeam="All",$T251=fTeam),OR(fChannel="All",fChannel="Email",fChannel="Content Syndication")),1,0))</f>
        <v>0</v>
      </c>
    </row>
    <row r="252">
      <c r="A252" s="63" t="n"/>
      <c r="B252" s="64" t="n"/>
      <c r="C252" s="64" t="n"/>
      <c r="D252" s="64" t="n"/>
      <c r="E252" s="67" t="n"/>
      <c r="F252" s="67" t="n"/>
      <c r="G252" s="67" t="n"/>
      <c r="H252" s="67" t="n"/>
      <c r="I252" s="67" t="n"/>
      <c r="J252" s="73" t="str">
        <f>IF(AND($W252&gt;0,ISNUMBER($I252)),$I252/$W252,"")</f>
        <v/>
      </c>
      <c r="K252" s="67" t="n"/>
      <c r="L252" s="73" t="str">
        <f>IF(AND($W252&gt;0,ISNUMBER($K252)),$K252/$W252,"")</f>
        <v/>
      </c>
      <c r="M252" s="67" t="n"/>
      <c r="N252" s="73" t="str">
        <f>IF(AND($W252&gt;0,ISNUMBER($M252)),$M252/$W252,"")</f>
        <v/>
      </c>
      <c r="O252" s="67" t="n"/>
      <c r="P252" s="73" t="str">
        <f>IF(AND($W252&gt;0,ISNUMBER($O252)),$O252/$W252,"")</f>
        <v/>
      </c>
      <c r="Q252" s="67" t="n"/>
      <c r="R252" s="67" t="n"/>
      <c r="S252" s="67" t="n"/>
      <c r="T252" s="64" t="n"/>
      <c r="U252" s="64" t="n"/>
      <c r="V252" s="65" t="n"/>
      <c r="W252" s="72">
        <f>IF($D252="",0,IF(ISNUMBER($G252),IF($G252&gt;0,$G252,N($F252)),N($F252)))</f>
        <v>0</v>
      </c>
      <c r="X252" s="71" t="str">
        <f>IF(ISNUMBER($A252),YEAR($A252)&amp;"-"&amp;TEXT(MONTH($A252),"00"),"")</f>
        <v/>
      </c>
      <c r="Y252" s="71">
        <f>IF($D252="",0,IF(AND(OR(fClient="All",$B252=fClient),OR(fCampaign="All",$C252=fCampaign),OR(fTeam="All",$T252=fTeam),OR(fChannel="All",fChannel="Email",fChannel="Content Syndication"),OR(fMonth="All",$X252=fMonth)),1,0))</f>
        <v>0</v>
      </c>
      <c r="Z252" s="71">
        <f>IF($D252="",0,IF(AND(OR(fClient="All",$B252=fClient),OR(fCampaign="All",$C252=fCampaign),OR(fTeam="All",$T252=fTeam),OR(fChannel="All",fChannel="Email",fChannel="Content Syndication")),1,0))</f>
        <v>0</v>
      </c>
    </row>
    <row r="253">
      <c r="A253" s="63" t="n"/>
      <c r="B253" s="64" t="n"/>
      <c r="C253" s="64" t="n"/>
      <c r="D253" s="64" t="n"/>
      <c r="E253" s="67" t="n"/>
      <c r="F253" s="67" t="n"/>
      <c r="G253" s="67" t="n"/>
      <c r="H253" s="67" t="n"/>
      <c r="I253" s="67" t="n"/>
      <c r="J253" s="73" t="str">
        <f>IF(AND($W253&gt;0,ISNUMBER($I253)),$I253/$W253,"")</f>
        <v/>
      </c>
      <c r="K253" s="67" t="n"/>
      <c r="L253" s="73" t="str">
        <f>IF(AND($W253&gt;0,ISNUMBER($K253)),$K253/$W253,"")</f>
        <v/>
      </c>
      <c r="M253" s="67" t="n"/>
      <c r="N253" s="73" t="str">
        <f>IF(AND($W253&gt;0,ISNUMBER($M253)),$M253/$W253,"")</f>
        <v/>
      </c>
      <c r="O253" s="67" t="n"/>
      <c r="P253" s="73" t="str">
        <f>IF(AND($W253&gt;0,ISNUMBER($O253)),$O253/$W253,"")</f>
        <v/>
      </c>
      <c r="Q253" s="67" t="n"/>
      <c r="R253" s="67" t="n"/>
      <c r="S253" s="67" t="n"/>
      <c r="T253" s="64" t="n"/>
      <c r="U253" s="64" t="n"/>
      <c r="V253" s="65" t="n"/>
      <c r="W253" s="72">
        <f>IF($D253="",0,IF(ISNUMBER($G253),IF($G253&gt;0,$G253,N($F253)),N($F253)))</f>
        <v>0</v>
      </c>
      <c r="X253" s="71" t="str">
        <f>IF(ISNUMBER($A253),YEAR($A253)&amp;"-"&amp;TEXT(MONTH($A253),"00"),"")</f>
        <v/>
      </c>
      <c r="Y253" s="71">
        <f>IF($D253="",0,IF(AND(OR(fClient="All",$B253=fClient),OR(fCampaign="All",$C253=fCampaign),OR(fTeam="All",$T253=fTeam),OR(fChannel="All",fChannel="Email",fChannel="Content Syndication"),OR(fMonth="All",$X253=fMonth)),1,0))</f>
        <v>0</v>
      </c>
      <c r="Z253" s="71">
        <f>IF($D253="",0,IF(AND(OR(fClient="All",$B253=fClient),OR(fCampaign="All",$C253=fCampaign),OR(fTeam="All",$T253=fTeam),OR(fChannel="All",fChannel="Email",fChannel="Content Syndication")),1,0))</f>
        <v>0</v>
      </c>
    </row>
    <row r="254">
      <c r="A254" s="63" t="n"/>
      <c r="B254" s="64" t="n"/>
      <c r="C254" s="64" t="n"/>
      <c r="D254" s="64" t="n"/>
      <c r="E254" s="67" t="n"/>
      <c r="F254" s="67" t="n"/>
      <c r="G254" s="67" t="n"/>
      <c r="H254" s="67" t="n"/>
      <c r="I254" s="67" t="n"/>
      <c r="J254" s="73" t="str">
        <f>IF(AND($W254&gt;0,ISNUMBER($I254)),$I254/$W254,"")</f>
        <v/>
      </c>
      <c r="K254" s="67" t="n"/>
      <c r="L254" s="73" t="str">
        <f>IF(AND($W254&gt;0,ISNUMBER($K254)),$K254/$W254,"")</f>
        <v/>
      </c>
      <c r="M254" s="67" t="n"/>
      <c r="N254" s="73" t="str">
        <f>IF(AND($W254&gt;0,ISNUMBER($M254)),$M254/$W254,"")</f>
        <v/>
      </c>
      <c r="O254" s="67" t="n"/>
      <c r="P254" s="73" t="str">
        <f>IF(AND($W254&gt;0,ISNUMBER($O254)),$O254/$W254,"")</f>
        <v/>
      </c>
      <c r="Q254" s="67" t="n"/>
      <c r="R254" s="67" t="n"/>
      <c r="S254" s="67" t="n"/>
      <c r="T254" s="64" t="n"/>
      <c r="U254" s="64" t="n"/>
      <c r="V254" s="65" t="n"/>
      <c r="W254" s="72">
        <f>IF($D254="",0,IF(ISNUMBER($G254),IF($G254&gt;0,$G254,N($F254)),N($F254)))</f>
        <v>0</v>
      </c>
      <c r="X254" s="71" t="str">
        <f>IF(ISNUMBER($A254),YEAR($A254)&amp;"-"&amp;TEXT(MONTH($A254),"00"),"")</f>
        <v/>
      </c>
      <c r="Y254" s="71">
        <f>IF($D254="",0,IF(AND(OR(fClient="All",$B254=fClient),OR(fCampaign="All",$C254=fCampaign),OR(fTeam="All",$T254=fTeam),OR(fChannel="All",fChannel="Email",fChannel="Content Syndication"),OR(fMonth="All",$X254=fMonth)),1,0))</f>
        <v>0</v>
      </c>
      <c r="Z254" s="71">
        <f>IF($D254="",0,IF(AND(OR(fClient="All",$B254=fClient),OR(fCampaign="All",$C254=fCampaign),OR(fTeam="All",$T254=fTeam),OR(fChannel="All",fChannel="Email",fChannel="Content Syndication")),1,0))</f>
        <v>0</v>
      </c>
    </row>
    <row r="255">
      <c r="A255" s="63" t="n"/>
      <c r="B255" s="64" t="n"/>
      <c r="C255" s="64" t="n"/>
      <c r="D255" s="64" t="n"/>
      <c r="E255" s="67" t="n"/>
      <c r="F255" s="67" t="n"/>
      <c r="G255" s="67" t="n"/>
      <c r="H255" s="67" t="n"/>
      <c r="I255" s="67" t="n"/>
      <c r="J255" s="73" t="str">
        <f>IF(AND($W255&gt;0,ISNUMBER($I255)),$I255/$W255,"")</f>
        <v/>
      </c>
      <c r="K255" s="67" t="n"/>
      <c r="L255" s="73" t="str">
        <f>IF(AND($W255&gt;0,ISNUMBER($K255)),$K255/$W255,"")</f>
        <v/>
      </c>
      <c r="M255" s="67" t="n"/>
      <c r="N255" s="73" t="str">
        <f>IF(AND($W255&gt;0,ISNUMBER($M255)),$M255/$W255,"")</f>
        <v/>
      </c>
      <c r="O255" s="67" t="n"/>
      <c r="P255" s="73" t="str">
        <f>IF(AND($W255&gt;0,ISNUMBER($O255)),$O255/$W255,"")</f>
        <v/>
      </c>
      <c r="Q255" s="67" t="n"/>
      <c r="R255" s="67" t="n"/>
      <c r="S255" s="67" t="n"/>
      <c r="T255" s="64" t="n"/>
      <c r="U255" s="64" t="n"/>
      <c r="V255" s="65" t="n"/>
      <c r="W255" s="72">
        <f>IF($D255="",0,IF(ISNUMBER($G255),IF($G255&gt;0,$G255,N($F255)),N($F255)))</f>
        <v>0</v>
      </c>
      <c r="X255" s="71" t="str">
        <f>IF(ISNUMBER($A255),YEAR($A255)&amp;"-"&amp;TEXT(MONTH($A255),"00"),"")</f>
        <v/>
      </c>
      <c r="Y255" s="71">
        <f>IF($D255="",0,IF(AND(OR(fClient="All",$B255=fClient),OR(fCampaign="All",$C255=fCampaign),OR(fTeam="All",$T255=fTeam),OR(fChannel="All",fChannel="Email",fChannel="Content Syndication"),OR(fMonth="All",$X255=fMonth)),1,0))</f>
        <v>0</v>
      </c>
      <c r="Z255" s="71">
        <f>IF($D255="",0,IF(AND(OR(fClient="All",$B255=fClient),OR(fCampaign="All",$C255=fCampaign),OR(fTeam="All",$T255=fTeam),OR(fChannel="All",fChannel="Email",fChannel="Content Syndication")),1,0))</f>
        <v>0</v>
      </c>
    </row>
    <row r="256">
      <c r="A256" s="63" t="n"/>
      <c r="B256" s="64" t="n"/>
      <c r="C256" s="64" t="n"/>
      <c r="D256" s="64" t="n"/>
      <c r="E256" s="67" t="n"/>
      <c r="F256" s="67" t="n"/>
      <c r="G256" s="67" t="n"/>
      <c r="H256" s="67" t="n"/>
      <c r="I256" s="67" t="n"/>
      <c r="J256" s="73" t="str">
        <f>IF(AND($W256&gt;0,ISNUMBER($I256)),$I256/$W256,"")</f>
        <v/>
      </c>
      <c r="K256" s="67" t="n"/>
      <c r="L256" s="73" t="str">
        <f>IF(AND($W256&gt;0,ISNUMBER($K256)),$K256/$W256,"")</f>
        <v/>
      </c>
      <c r="M256" s="67" t="n"/>
      <c r="N256" s="73" t="str">
        <f>IF(AND($W256&gt;0,ISNUMBER($M256)),$M256/$W256,"")</f>
        <v/>
      </c>
      <c r="O256" s="67" t="n"/>
      <c r="P256" s="73" t="str">
        <f>IF(AND($W256&gt;0,ISNUMBER($O256)),$O256/$W256,"")</f>
        <v/>
      </c>
      <c r="Q256" s="67" t="n"/>
      <c r="R256" s="67" t="n"/>
      <c r="S256" s="67" t="n"/>
      <c r="T256" s="64" t="n"/>
      <c r="U256" s="64" t="n"/>
      <c r="V256" s="65" t="n"/>
      <c r="W256" s="72">
        <f>IF($D256="",0,IF(ISNUMBER($G256),IF($G256&gt;0,$G256,N($F256)),N($F256)))</f>
        <v>0</v>
      </c>
      <c r="X256" s="71" t="str">
        <f>IF(ISNUMBER($A256),YEAR($A256)&amp;"-"&amp;TEXT(MONTH($A256),"00"),"")</f>
        <v/>
      </c>
      <c r="Y256" s="71">
        <f>IF($D256="",0,IF(AND(OR(fClient="All",$B256=fClient),OR(fCampaign="All",$C256=fCampaign),OR(fTeam="All",$T256=fTeam),OR(fChannel="All",fChannel="Email",fChannel="Content Syndication"),OR(fMonth="All",$X256=fMonth)),1,0))</f>
        <v>0</v>
      </c>
      <c r="Z256" s="71">
        <f>IF($D256="",0,IF(AND(OR(fClient="All",$B256=fClient),OR(fCampaign="All",$C256=fCampaign),OR(fTeam="All",$T256=fTeam),OR(fChannel="All",fChannel="Email",fChannel="Content Syndication")),1,0))</f>
        <v>0</v>
      </c>
    </row>
    <row r="257">
      <c r="A257" s="63" t="n"/>
      <c r="B257" s="64" t="n"/>
      <c r="C257" s="64" t="n"/>
      <c r="D257" s="64" t="n"/>
      <c r="E257" s="67" t="n"/>
      <c r="F257" s="67" t="n"/>
      <c r="G257" s="67" t="n"/>
      <c r="H257" s="67" t="n"/>
      <c r="I257" s="67" t="n"/>
      <c r="J257" s="73" t="str">
        <f>IF(AND($W257&gt;0,ISNUMBER($I257)),$I257/$W257,"")</f>
        <v/>
      </c>
      <c r="K257" s="67" t="n"/>
      <c r="L257" s="73" t="str">
        <f>IF(AND($W257&gt;0,ISNUMBER($K257)),$K257/$W257,"")</f>
        <v/>
      </c>
      <c r="M257" s="67" t="n"/>
      <c r="N257" s="73" t="str">
        <f>IF(AND($W257&gt;0,ISNUMBER($M257)),$M257/$W257,"")</f>
        <v/>
      </c>
      <c r="O257" s="67" t="n"/>
      <c r="P257" s="73" t="str">
        <f>IF(AND($W257&gt;0,ISNUMBER($O257)),$O257/$W257,"")</f>
        <v/>
      </c>
      <c r="Q257" s="67" t="n"/>
      <c r="R257" s="67" t="n"/>
      <c r="S257" s="67" t="n"/>
      <c r="T257" s="64" t="n"/>
      <c r="U257" s="64" t="n"/>
      <c r="V257" s="65" t="n"/>
      <c r="W257" s="72">
        <f>IF($D257="",0,IF(ISNUMBER($G257),IF($G257&gt;0,$G257,N($F257)),N($F257)))</f>
        <v>0</v>
      </c>
      <c r="X257" s="71" t="str">
        <f>IF(ISNUMBER($A257),YEAR($A257)&amp;"-"&amp;TEXT(MONTH($A257),"00"),"")</f>
        <v/>
      </c>
      <c r="Y257" s="71">
        <f>IF($D257="",0,IF(AND(OR(fClient="All",$B257=fClient),OR(fCampaign="All",$C257=fCampaign),OR(fTeam="All",$T257=fTeam),OR(fChannel="All",fChannel="Email",fChannel="Content Syndication"),OR(fMonth="All",$X257=fMonth)),1,0))</f>
        <v>0</v>
      </c>
      <c r="Z257" s="71">
        <f>IF($D257="",0,IF(AND(OR(fClient="All",$B257=fClient),OR(fCampaign="All",$C257=fCampaign),OR(fTeam="All",$T257=fTeam),OR(fChannel="All",fChannel="Email",fChannel="Content Syndication")),1,0))</f>
        <v>0</v>
      </c>
    </row>
    <row r="258">
      <c r="A258" s="63" t="n"/>
      <c r="B258" s="64" t="n"/>
      <c r="C258" s="64" t="n"/>
      <c r="D258" s="64" t="n"/>
      <c r="E258" s="67" t="n"/>
      <c r="F258" s="67" t="n"/>
      <c r="G258" s="67" t="n"/>
      <c r="H258" s="67" t="n"/>
      <c r="I258" s="67" t="n"/>
      <c r="J258" s="73" t="str">
        <f>IF(AND($W258&gt;0,ISNUMBER($I258)),$I258/$W258,"")</f>
        <v/>
      </c>
      <c r="K258" s="67" t="n"/>
      <c r="L258" s="73" t="str">
        <f>IF(AND($W258&gt;0,ISNUMBER($K258)),$K258/$W258,"")</f>
        <v/>
      </c>
      <c r="M258" s="67" t="n"/>
      <c r="N258" s="73" t="str">
        <f>IF(AND($W258&gt;0,ISNUMBER($M258)),$M258/$W258,"")</f>
        <v/>
      </c>
      <c r="O258" s="67" t="n"/>
      <c r="P258" s="73" t="str">
        <f>IF(AND($W258&gt;0,ISNUMBER($O258)),$O258/$W258,"")</f>
        <v/>
      </c>
      <c r="Q258" s="67" t="n"/>
      <c r="R258" s="67" t="n"/>
      <c r="S258" s="67" t="n"/>
      <c r="T258" s="64" t="n"/>
      <c r="U258" s="64" t="n"/>
      <c r="V258" s="65" t="n"/>
      <c r="W258" s="72">
        <f>IF($D258="",0,IF(ISNUMBER($G258),IF($G258&gt;0,$G258,N($F258)),N($F258)))</f>
        <v>0</v>
      </c>
      <c r="X258" s="71" t="str">
        <f>IF(ISNUMBER($A258),YEAR($A258)&amp;"-"&amp;TEXT(MONTH($A258),"00"),"")</f>
        <v/>
      </c>
      <c r="Y258" s="71">
        <f>IF($D258="",0,IF(AND(OR(fClient="All",$B258=fClient),OR(fCampaign="All",$C258=fCampaign),OR(fTeam="All",$T258=fTeam),OR(fChannel="All",fChannel="Email",fChannel="Content Syndication"),OR(fMonth="All",$X258=fMonth)),1,0))</f>
        <v>0</v>
      </c>
      <c r="Z258" s="71">
        <f>IF($D258="",0,IF(AND(OR(fClient="All",$B258=fClient),OR(fCampaign="All",$C258=fCampaign),OR(fTeam="All",$T258=fTeam),OR(fChannel="All",fChannel="Email",fChannel="Content Syndication")),1,0))</f>
        <v>0</v>
      </c>
    </row>
    <row r="259">
      <c r="A259" s="63" t="n"/>
      <c r="B259" s="64" t="n"/>
      <c r="C259" s="64" t="n"/>
      <c r="D259" s="64" t="n"/>
      <c r="E259" s="67" t="n"/>
      <c r="F259" s="67" t="n"/>
      <c r="G259" s="67" t="n"/>
      <c r="H259" s="67" t="n"/>
      <c r="I259" s="67" t="n"/>
      <c r="J259" s="73" t="str">
        <f>IF(AND($W259&gt;0,ISNUMBER($I259)),$I259/$W259,"")</f>
        <v/>
      </c>
      <c r="K259" s="67" t="n"/>
      <c r="L259" s="73" t="str">
        <f>IF(AND($W259&gt;0,ISNUMBER($K259)),$K259/$W259,"")</f>
        <v/>
      </c>
      <c r="M259" s="67" t="n"/>
      <c r="N259" s="73" t="str">
        <f>IF(AND($W259&gt;0,ISNUMBER($M259)),$M259/$W259,"")</f>
        <v/>
      </c>
      <c r="O259" s="67" t="n"/>
      <c r="P259" s="73" t="str">
        <f>IF(AND($W259&gt;0,ISNUMBER($O259)),$O259/$W259,"")</f>
        <v/>
      </c>
      <c r="Q259" s="67" t="n"/>
      <c r="R259" s="67" t="n"/>
      <c r="S259" s="67" t="n"/>
      <c r="T259" s="64" t="n"/>
      <c r="U259" s="64" t="n"/>
      <c r="V259" s="65" t="n"/>
      <c r="W259" s="72">
        <f>IF($D259="",0,IF(ISNUMBER($G259),IF($G259&gt;0,$G259,N($F259)),N($F259)))</f>
        <v>0</v>
      </c>
      <c r="X259" s="71" t="str">
        <f>IF(ISNUMBER($A259),YEAR($A259)&amp;"-"&amp;TEXT(MONTH($A259),"00"),"")</f>
        <v/>
      </c>
      <c r="Y259" s="71">
        <f>IF($D259="",0,IF(AND(OR(fClient="All",$B259=fClient),OR(fCampaign="All",$C259=fCampaign),OR(fTeam="All",$T259=fTeam),OR(fChannel="All",fChannel="Email",fChannel="Content Syndication"),OR(fMonth="All",$X259=fMonth)),1,0))</f>
        <v>0</v>
      </c>
      <c r="Z259" s="71">
        <f>IF($D259="",0,IF(AND(OR(fClient="All",$B259=fClient),OR(fCampaign="All",$C259=fCampaign),OR(fTeam="All",$T259=fTeam),OR(fChannel="All",fChannel="Email",fChannel="Content Syndication")),1,0))</f>
        <v>0</v>
      </c>
    </row>
    <row r="260">
      <c r="A260" s="63" t="n"/>
      <c r="B260" s="64" t="n"/>
      <c r="C260" s="64" t="n"/>
      <c r="D260" s="64" t="n"/>
      <c r="E260" s="67" t="n"/>
      <c r="F260" s="67" t="n"/>
      <c r="G260" s="67" t="n"/>
      <c r="H260" s="67" t="n"/>
      <c r="I260" s="67" t="n"/>
      <c r="J260" s="73" t="str">
        <f>IF(AND($W260&gt;0,ISNUMBER($I260)),$I260/$W260,"")</f>
        <v/>
      </c>
      <c r="K260" s="67" t="n"/>
      <c r="L260" s="73" t="str">
        <f>IF(AND($W260&gt;0,ISNUMBER($K260)),$K260/$W260,"")</f>
        <v/>
      </c>
      <c r="M260" s="67" t="n"/>
      <c r="N260" s="73" t="str">
        <f>IF(AND($W260&gt;0,ISNUMBER($M260)),$M260/$W260,"")</f>
        <v/>
      </c>
      <c r="O260" s="67" t="n"/>
      <c r="P260" s="73" t="str">
        <f>IF(AND($W260&gt;0,ISNUMBER($O260)),$O260/$W260,"")</f>
        <v/>
      </c>
      <c r="Q260" s="67" t="n"/>
      <c r="R260" s="67" t="n"/>
      <c r="S260" s="67" t="n"/>
      <c r="T260" s="64" t="n"/>
      <c r="U260" s="64" t="n"/>
      <c r="V260" s="65" t="n"/>
      <c r="W260" s="72">
        <f>IF($D260="",0,IF(ISNUMBER($G260),IF($G260&gt;0,$G260,N($F260)),N($F260)))</f>
        <v>0</v>
      </c>
      <c r="X260" s="71" t="str">
        <f>IF(ISNUMBER($A260),YEAR($A260)&amp;"-"&amp;TEXT(MONTH($A260),"00"),"")</f>
        <v/>
      </c>
      <c r="Y260" s="71">
        <f>IF($D260="",0,IF(AND(OR(fClient="All",$B260=fClient),OR(fCampaign="All",$C260=fCampaign),OR(fTeam="All",$T260=fTeam),OR(fChannel="All",fChannel="Email",fChannel="Content Syndication"),OR(fMonth="All",$X260=fMonth)),1,0))</f>
        <v>0</v>
      </c>
      <c r="Z260" s="71">
        <f>IF($D260="",0,IF(AND(OR(fClient="All",$B260=fClient),OR(fCampaign="All",$C260=fCampaign),OR(fTeam="All",$T260=fTeam),OR(fChannel="All",fChannel="Email",fChannel="Content Syndication")),1,0))</f>
        <v>0</v>
      </c>
    </row>
    <row r="261">
      <c r="A261" s="63" t="n"/>
      <c r="B261" s="64" t="n"/>
      <c r="C261" s="64" t="n"/>
      <c r="D261" s="64" t="n"/>
      <c r="E261" s="67" t="n"/>
      <c r="F261" s="67" t="n"/>
      <c r="G261" s="67" t="n"/>
      <c r="H261" s="67" t="n"/>
      <c r="I261" s="67" t="n"/>
      <c r="J261" s="73" t="str">
        <f>IF(AND($W261&gt;0,ISNUMBER($I261)),$I261/$W261,"")</f>
        <v/>
      </c>
      <c r="K261" s="67" t="n"/>
      <c r="L261" s="73" t="str">
        <f>IF(AND($W261&gt;0,ISNUMBER($K261)),$K261/$W261,"")</f>
        <v/>
      </c>
      <c r="M261" s="67" t="n"/>
      <c r="N261" s="73" t="str">
        <f>IF(AND($W261&gt;0,ISNUMBER($M261)),$M261/$W261,"")</f>
        <v/>
      </c>
      <c r="O261" s="67" t="n"/>
      <c r="P261" s="73" t="str">
        <f>IF(AND($W261&gt;0,ISNUMBER($O261)),$O261/$W261,"")</f>
        <v/>
      </c>
      <c r="Q261" s="67" t="n"/>
      <c r="R261" s="67" t="n"/>
      <c r="S261" s="67" t="n"/>
      <c r="T261" s="64" t="n"/>
      <c r="U261" s="64" t="n"/>
      <c r="V261" s="65" t="n"/>
      <c r="W261" s="72">
        <f>IF($D261="",0,IF(ISNUMBER($G261),IF($G261&gt;0,$G261,N($F261)),N($F261)))</f>
        <v>0</v>
      </c>
      <c r="X261" s="71" t="str">
        <f>IF(ISNUMBER($A261),YEAR($A261)&amp;"-"&amp;TEXT(MONTH($A261),"00"),"")</f>
        <v/>
      </c>
      <c r="Y261" s="71">
        <f>IF($D261="",0,IF(AND(OR(fClient="All",$B261=fClient),OR(fCampaign="All",$C261=fCampaign),OR(fTeam="All",$T261=fTeam),OR(fChannel="All",fChannel="Email",fChannel="Content Syndication"),OR(fMonth="All",$X261=fMonth)),1,0))</f>
        <v>0</v>
      </c>
      <c r="Z261" s="71">
        <f>IF($D261="",0,IF(AND(OR(fClient="All",$B261=fClient),OR(fCampaign="All",$C261=fCampaign),OR(fTeam="All",$T261=fTeam),OR(fChannel="All",fChannel="Email",fChannel="Content Syndication")),1,0))</f>
        <v>0</v>
      </c>
    </row>
    <row r="262">
      <c r="A262" s="63" t="n"/>
      <c r="B262" s="64" t="n"/>
      <c r="C262" s="64" t="n"/>
      <c r="D262" s="64" t="n"/>
      <c r="E262" s="67" t="n"/>
      <c r="F262" s="67" t="n"/>
      <c r="G262" s="67" t="n"/>
      <c r="H262" s="67" t="n"/>
      <c r="I262" s="67" t="n"/>
      <c r="J262" s="73" t="str">
        <f>IF(AND($W262&gt;0,ISNUMBER($I262)),$I262/$W262,"")</f>
        <v/>
      </c>
      <c r="K262" s="67" t="n"/>
      <c r="L262" s="73" t="str">
        <f>IF(AND($W262&gt;0,ISNUMBER($K262)),$K262/$W262,"")</f>
        <v/>
      </c>
      <c r="M262" s="67" t="n"/>
      <c r="N262" s="73" t="str">
        <f>IF(AND($W262&gt;0,ISNUMBER($M262)),$M262/$W262,"")</f>
        <v/>
      </c>
      <c r="O262" s="67" t="n"/>
      <c r="P262" s="73" t="str">
        <f>IF(AND($W262&gt;0,ISNUMBER($O262)),$O262/$W262,"")</f>
        <v/>
      </c>
      <c r="Q262" s="67" t="n"/>
      <c r="R262" s="67" t="n"/>
      <c r="S262" s="67" t="n"/>
      <c r="T262" s="64" t="n"/>
      <c r="U262" s="64" t="n"/>
      <c r="V262" s="65" t="n"/>
      <c r="W262" s="72">
        <f>IF($D262="",0,IF(ISNUMBER($G262),IF($G262&gt;0,$G262,N($F262)),N($F262)))</f>
        <v>0</v>
      </c>
      <c r="X262" s="71" t="str">
        <f>IF(ISNUMBER($A262),YEAR($A262)&amp;"-"&amp;TEXT(MONTH($A262),"00"),"")</f>
        <v/>
      </c>
      <c r="Y262" s="71">
        <f>IF($D262="",0,IF(AND(OR(fClient="All",$B262=fClient),OR(fCampaign="All",$C262=fCampaign),OR(fTeam="All",$T262=fTeam),OR(fChannel="All",fChannel="Email",fChannel="Content Syndication"),OR(fMonth="All",$X262=fMonth)),1,0))</f>
        <v>0</v>
      </c>
      <c r="Z262" s="71">
        <f>IF($D262="",0,IF(AND(OR(fClient="All",$B262=fClient),OR(fCampaign="All",$C262=fCampaign),OR(fTeam="All",$T262=fTeam),OR(fChannel="All",fChannel="Email",fChannel="Content Syndication")),1,0))</f>
        <v>0</v>
      </c>
    </row>
    <row r="263">
      <c r="A263" s="63" t="n"/>
      <c r="B263" s="64" t="n"/>
      <c r="C263" s="64" t="n"/>
      <c r="D263" s="64" t="n"/>
      <c r="E263" s="67" t="n"/>
      <c r="F263" s="67" t="n"/>
      <c r="G263" s="67" t="n"/>
      <c r="H263" s="67" t="n"/>
      <c r="I263" s="67" t="n"/>
      <c r="J263" s="73" t="str">
        <f>IF(AND($W263&gt;0,ISNUMBER($I263)),$I263/$W263,"")</f>
        <v/>
      </c>
      <c r="K263" s="67" t="n"/>
      <c r="L263" s="73" t="str">
        <f>IF(AND($W263&gt;0,ISNUMBER($K263)),$K263/$W263,"")</f>
        <v/>
      </c>
      <c r="M263" s="67" t="n"/>
      <c r="N263" s="73" t="str">
        <f>IF(AND($W263&gt;0,ISNUMBER($M263)),$M263/$W263,"")</f>
        <v/>
      </c>
      <c r="O263" s="67" t="n"/>
      <c r="P263" s="73" t="str">
        <f>IF(AND($W263&gt;0,ISNUMBER($O263)),$O263/$W263,"")</f>
        <v/>
      </c>
      <c r="Q263" s="67" t="n"/>
      <c r="R263" s="67" t="n"/>
      <c r="S263" s="67" t="n"/>
      <c r="T263" s="64" t="n"/>
      <c r="U263" s="64" t="n"/>
      <c r="V263" s="65" t="n"/>
      <c r="W263" s="72">
        <f>IF($D263="",0,IF(ISNUMBER($G263),IF($G263&gt;0,$G263,N($F263)),N($F263)))</f>
        <v>0</v>
      </c>
      <c r="X263" s="71" t="str">
        <f>IF(ISNUMBER($A263),YEAR($A263)&amp;"-"&amp;TEXT(MONTH($A263),"00"),"")</f>
        <v/>
      </c>
      <c r="Y263" s="71">
        <f>IF($D263="",0,IF(AND(OR(fClient="All",$B263=fClient),OR(fCampaign="All",$C263=fCampaign),OR(fTeam="All",$T263=fTeam),OR(fChannel="All",fChannel="Email",fChannel="Content Syndication"),OR(fMonth="All",$X263=fMonth)),1,0))</f>
        <v>0</v>
      </c>
      <c r="Z263" s="71">
        <f>IF($D263="",0,IF(AND(OR(fClient="All",$B263=fClient),OR(fCampaign="All",$C263=fCampaign),OR(fTeam="All",$T263=fTeam),OR(fChannel="All",fChannel="Email",fChannel="Content Syndication")),1,0))</f>
        <v>0</v>
      </c>
    </row>
    <row r="264">
      <c r="A264" s="63" t="n"/>
      <c r="B264" s="64" t="n"/>
      <c r="C264" s="64" t="n"/>
      <c r="D264" s="64" t="n"/>
      <c r="E264" s="67" t="n"/>
      <c r="F264" s="67" t="n"/>
      <c r="G264" s="67" t="n"/>
      <c r="H264" s="67" t="n"/>
      <c r="I264" s="67" t="n"/>
      <c r="J264" s="73" t="str">
        <f>IF(AND($W264&gt;0,ISNUMBER($I264)),$I264/$W264,"")</f>
        <v/>
      </c>
      <c r="K264" s="67" t="n"/>
      <c r="L264" s="73" t="str">
        <f>IF(AND($W264&gt;0,ISNUMBER($K264)),$K264/$W264,"")</f>
        <v/>
      </c>
      <c r="M264" s="67" t="n"/>
      <c r="N264" s="73" t="str">
        <f>IF(AND($W264&gt;0,ISNUMBER($M264)),$M264/$W264,"")</f>
        <v/>
      </c>
      <c r="O264" s="67" t="n"/>
      <c r="P264" s="73" t="str">
        <f>IF(AND($W264&gt;0,ISNUMBER($O264)),$O264/$W264,"")</f>
        <v/>
      </c>
      <c r="Q264" s="67" t="n"/>
      <c r="R264" s="67" t="n"/>
      <c r="S264" s="67" t="n"/>
      <c r="T264" s="64" t="n"/>
      <c r="U264" s="64" t="n"/>
      <c r="V264" s="65" t="n"/>
      <c r="W264" s="72">
        <f>IF($D264="",0,IF(ISNUMBER($G264),IF($G264&gt;0,$G264,N($F264)),N($F264)))</f>
        <v>0</v>
      </c>
      <c r="X264" s="71" t="str">
        <f>IF(ISNUMBER($A264),YEAR($A264)&amp;"-"&amp;TEXT(MONTH($A264),"00"),"")</f>
        <v/>
      </c>
      <c r="Y264" s="71">
        <f>IF($D264="",0,IF(AND(OR(fClient="All",$B264=fClient),OR(fCampaign="All",$C264=fCampaign),OR(fTeam="All",$T264=fTeam),OR(fChannel="All",fChannel="Email",fChannel="Content Syndication"),OR(fMonth="All",$X264=fMonth)),1,0))</f>
        <v>0</v>
      </c>
      <c r="Z264" s="71">
        <f>IF($D264="",0,IF(AND(OR(fClient="All",$B264=fClient),OR(fCampaign="All",$C264=fCampaign),OR(fTeam="All",$T264=fTeam),OR(fChannel="All",fChannel="Email",fChannel="Content Syndication")),1,0))</f>
        <v>0</v>
      </c>
    </row>
    <row r="265">
      <c r="A265" s="63" t="n"/>
      <c r="B265" s="64" t="n"/>
      <c r="C265" s="64" t="n"/>
      <c r="D265" s="64" t="n"/>
      <c r="E265" s="67" t="n"/>
      <c r="F265" s="67" t="n"/>
      <c r="G265" s="67" t="n"/>
      <c r="H265" s="67" t="n"/>
      <c r="I265" s="67" t="n"/>
      <c r="J265" s="73" t="str">
        <f>IF(AND($W265&gt;0,ISNUMBER($I265)),$I265/$W265,"")</f>
        <v/>
      </c>
      <c r="K265" s="67" t="n"/>
      <c r="L265" s="73" t="str">
        <f>IF(AND($W265&gt;0,ISNUMBER($K265)),$K265/$W265,"")</f>
        <v/>
      </c>
      <c r="M265" s="67" t="n"/>
      <c r="N265" s="73" t="str">
        <f>IF(AND($W265&gt;0,ISNUMBER($M265)),$M265/$W265,"")</f>
        <v/>
      </c>
      <c r="O265" s="67" t="n"/>
      <c r="P265" s="73" t="str">
        <f>IF(AND($W265&gt;0,ISNUMBER($O265)),$O265/$W265,"")</f>
        <v/>
      </c>
      <c r="Q265" s="67" t="n"/>
      <c r="R265" s="67" t="n"/>
      <c r="S265" s="67" t="n"/>
      <c r="T265" s="64" t="n"/>
      <c r="U265" s="64" t="n"/>
      <c r="V265" s="65" t="n"/>
      <c r="W265" s="72">
        <f>IF($D265="",0,IF(ISNUMBER($G265),IF($G265&gt;0,$G265,N($F265)),N($F265)))</f>
        <v>0</v>
      </c>
      <c r="X265" s="71" t="str">
        <f>IF(ISNUMBER($A265),YEAR($A265)&amp;"-"&amp;TEXT(MONTH($A265),"00"),"")</f>
        <v/>
      </c>
      <c r="Y265" s="71">
        <f>IF($D265="",0,IF(AND(OR(fClient="All",$B265=fClient),OR(fCampaign="All",$C265=fCampaign),OR(fTeam="All",$T265=fTeam),OR(fChannel="All",fChannel="Email",fChannel="Content Syndication"),OR(fMonth="All",$X265=fMonth)),1,0))</f>
        <v>0</v>
      </c>
      <c r="Z265" s="71">
        <f>IF($D265="",0,IF(AND(OR(fClient="All",$B265=fClient),OR(fCampaign="All",$C265=fCampaign),OR(fTeam="All",$T265=fTeam),OR(fChannel="All",fChannel="Email",fChannel="Content Syndication")),1,0))</f>
        <v>0</v>
      </c>
    </row>
    <row r="266">
      <c r="A266" s="63" t="n"/>
      <c r="B266" s="64" t="n"/>
      <c r="C266" s="64" t="n"/>
      <c r="D266" s="64" t="n"/>
      <c r="E266" s="67" t="n"/>
      <c r="F266" s="67" t="n"/>
      <c r="G266" s="67" t="n"/>
      <c r="H266" s="67" t="n"/>
      <c r="I266" s="67" t="n"/>
      <c r="J266" s="73" t="str">
        <f>IF(AND($W266&gt;0,ISNUMBER($I266)),$I266/$W266,"")</f>
        <v/>
      </c>
      <c r="K266" s="67" t="n"/>
      <c r="L266" s="73" t="str">
        <f>IF(AND($W266&gt;0,ISNUMBER($K266)),$K266/$W266,"")</f>
        <v/>
      </c>
      <c r="M266" s="67" t="n"/>
      <c r="N266" s="73" t="str">
        <f>IF(AND($W266&gt;0,ISNUMBER($M266)),$M266/$W266,"")</f>
        <v/>
      </c>
      <c r="O266" s="67" t="n"/>
      <c r="P266" s="73" t="str">
        <f>IF(AND($W266&gt;0,ISNUMBER($O266)),$O266/$W266,"")</f>
        <v/>
      </c>
      <c r="Q266" s="67" t="n"/>
      <c r="R266" s="67" t="n"/>
      <c r="S266" s="67" t="n"/>
      <c r="T266" s="64" t="n"/>
      <c r="U266" s="64" t="n"/>
      <c r="V266" s="65" t="n"/>
      <c r="W266" s="72">
        <f>IF($D266="",0,IF(ISNUMBER($G266),IF($G266&gt;0,$G266,N($F266)),N($F266)))</f>
        <v>0</v>
      </c>
      <c r="X266" s="71" t="str">
        <f>IF(ISNUMBER($A266),YEAR($A266)&amp;"-"&amp;TEXT(MONTH($A266),"00"),"")</f>
        <v/>
      </c>
      <c r="Y266" s="71">
        <f>IF($D266="",0,IF(AND(OR(fClient="All",$B266=fClient),OR(fCampaign="All",$C266=fCampaign),OR(fTeam="All",$T266=fTeam),OR(fChannel="All",fChannel="Email",fChannel="Content Syndication"),OR(fMonth="All",$X266=fMonth)),1,0))</f>
        <v>0</v>
      </c>
      <c r="Z266" s="71">
        <f>IF($D266="",0,IF(AND(OR(fClient="All",$B266=fClient),OR(fCampaign="All",$C266=fCampaign),OR(fTeam="All",$T266=fTeam),OR(fChannel="All",fChannel="Email",fChannel="Content Syndication")),1,0))</f>
        <v>0</v>
      </c>
    </row>
    <row r="267">
      <c r="A267" s="63" t="n"/>
      <c r="B267" s="64" t="n"/>
      <c r="C267" s="64" t="n"/>
      <c r="D267" s="64" t="n"/>
      <c r="E267" s="67" t="n"/>
      <c r="F267" s="67" t="n"/>
      <c r="G267" s="67" t="n"/>
      <c r="H267" s="67" t="n"/>
      <c r="I267" s="67" t="n"/>
      <c r="J267" s="73" t="str">
        <f>IF(AND($W267&gt;0,ISNUMBER($I267)),$I267/$W267,"")</f>
        <v/>
      </c>
      <c r="K267" s="67" t="n"/>
      <c r="L267" s="73" t="str">
        <f>IF(AND($W267&gt;0,ISNUMBER($K267)),$K267/$W267,"")</f>
        <v/>
      </c>
      <c r="M267" s="67" t="n"/>
      <c r="N267" s="73" t="str">
        <f>IF(AND($W267&gt;0,ISNUMBER($M267)),$M267/$W267,"")</f>
        <v/>
      </c>
      <c r="O267" s="67" t="n"/>
      <c r="P267" s="73" t="str">
        <f>IF(AND($W267&gt;0,ISNUMBER($O267)),$O267/$W267,"")</f>
        <v/>
      </c>
      <c r="Q267" s="67" t="n"/>
      <c r="R267" s="67" t="n"/>
      <c r="S267" s="67" t="n"/>
      <c r="T267" s="64" t="n"/>
      <c r="U267" s="64" t="n"/>
      <c r="V267" s="65" t="n"/>
      <c r="W267" s="72">
        <f>IF($D267="",0,IF(ISNUMBER($G267),IF($G267&gt;0,$G267,N($F267)),N($F267)))</f>
        <v>0</v>
      </c>
      <c r="X267" s="71" t="str">
        <f>IF(ISNUMBER($A267),YEAR($A267)&amp;"-"&amp;TEXT(MONTH($A267),"00"),"")</f>
        <v/>
      </c>
      <c r="Y267" s="71">
        <f>IF($D267="",0,IF(AND(OR(fClient="All",$B267=fClient),OR(fCampaign="All",$C267=fCampaign),OR(fTeam="All",$T267=fTeam),OR(fChannel="All",fChannel="Email",fChannel="Content Syndication"),OR(fMonth="All",$X267=fMonth)),1,0))</f>
        <v>0</v>
      </c>
      <c r="Z267" s="71">
        <f>IF($D267="",0,IF(AND(OR(fClient="All",$B267=fClient),OR(fCampaign="All",$C267=fCampaign),OR(fTeam="All",$T267=fTeam),OR(fChannel="All",fChannel="Email",fChannel="Content Syndication")),1,0))</f>
        <v>0</v>
      </c>
    </row>
    <row r="268">
      <c r="A268" s="63" t="n"/>
      <c r="B268" s="64" t="n"/>
      <c r="C268" s="64" t="n"/>
      <c r="D268" s="64" t="n"/>
      <c r="E268" s="67" t="n"/>
      <c r="F268" s="67" t="n"/>
      <c r="G268" s="67" t="n"/>
      <c r="H268" s="67" t="n"/>
      <c r="I268" s="67" t="n"/>
      <c r="J268" s="73" t="str">
        <f>IF(AND($W268&gt;0,ISNUMBER($I268)),$I268/$W268,"")</f>
        <v/>
      </c>
      <c r="K268" s="67" t="n"/>
      <c r="L268" s="73" t="str">
        <f>IF(AND($W268&gt;0,ISNUMBER($K268)),$K268/$W268,"")</f>
        <v/>
      </c>
      <c r="M268" s="67" t="n"/>
      <c r="N268" s="73" t="str">
        <f>IF(AND($W268&gt;0,ISNUMBER($M268)),$M268/$W268,"")</f>
        <v/>
      </c>
      <c r="O268" s="67" t="n"/>
      <c r="P268" s="73" t="str">
        <f>IF(AND($W268&gt;0,ISNUMBER($O268)),$O268/$W268,"")</f>
        <v/>
      </c>
      <c r="Q268" s="67" t="n"/>
      <c r="R268" s="67" t="n"/>
      <c r="S268" s="67" t="n"/>
      <c r="T268" s="64" t="n"/>
      <c r="U268" s="64" t="n"/>
      <c r="V268" s="65" t="n"/>
      <c r="W268" s="72">
        <f>IF($D268="",0,IF(ISNUMBER($G268),IF($G268&gt;0,$G268,N($F268)),N($F268)))</f>
        <v>0</v>
      </c>
      <c r="X268" s="71" t="str">
        <f>IF(ISNUMBER($A268),YEAR($A268)&amp;"-"&amp;TEXT(MONTH($A268),"00"),"")</f>
        <v/>
      </c>
      <c r="Y268" s="71">
        <f>IF($D268="",0,IF(AND(OR(fClient="All",$B268=fClient),OR(fCampaign="All",$C268=fCampaign),OR(fTeam="All",$T268=fTeam),OR(fChannel="All",fChannel="Email",fChannel="Content Syndication"),OR(fMonth="All",$X268=fMonth)),1,0))</f>
        <v>0</v>
      </c>
      <c r="Z268" s="71">
        <f>IF($D268="",0,IF(AND(OR(fClient="All",$B268=fClient),OR(fCampaign="All",$C268=fCampaign),OR(fTeam="All",$T268=fTeam),OR(fChannel="All",fChannel="Email",fChannel="Content Syndication")),1,0))</f>
        <v>0</v>
      </c>
    </row>
    <row r="269">
      <c r="A269" s="63" t="n"/>
      <c r="B269" s="64" t="n"/>
      <c r="C269" s="64" t="n"/>
      <c r="D269" s="64" t="n"/>
      <c r="E269" s="67" t="n"/>
      <c r="F269" s="67" t="n"/>
      <c r="G269" s="67" t="n"/>
      <c r="H269" s="67" t="n"/>
      <c r="I269" s="67" t="n"/>
      <c r="J269" s="73" t="str">
        <f>IF(AND($W269&gt;0,ISNUMBER($I269)),$I269/$W269,"")</f>
        <v/>
      </c>
      <c r="K269" s="67" t="n"/>
      <c r="L269" s="73" t="str">
        <f>IF(AND($W269&gt;0,ISNUMBER($K269)),$K269/$W269,"")</f>
        <v/>
      </c>
      <c r="M269" s="67" t="n"/>
      <c r="N269" s="73" t="str">
        <f>IF(AND($W269&gt;0,ISNUMBER($M269)),$M269/$W269,"")</f>
        <v/>
      </c>
      <c r="O269" s="67" t="n"/>
      <c r="P269" s="73" t="str">
        <f>IF(AND($W269&gt;0,ISNUMBER($O269)),$O269/$W269,"")</f>
        <v/>
      </c>
      <c r="Q269" s="67" t="n"/>
      <c r="R269" s="67" t="n"/>
      <c r="S269" s="67" t="n"/>
      <c r="T269" s="64" t="n"/>
      <c r="U269" s="64" t="n"/>
      <c r="V269" s="65" t="n"/>
      <c r="W269" s="72">
        <f>IF($D269="",0,IF(ISNUMBER($G269),IF($G269&gt;0,$G269,N($F269)),N($F269)))</f>
        <v>0</v>
      </c>
      <c r="X269" s="71" t="str">
        <f>IF(ISNUMBER($A269),YEAR($A269)&amp;"-"&amp;TEXT(MONTH($A269),"00"),"")</f>
        <v/>
      </c>
      <c r="Y269" s="71">
        <f>IF($D269="",0,IF(AND(OR(fClient="All",$B269=fClient),OR(fCampaign="All",$C269=fCampaign),OR(fTeam="All",$T269=fTeam),OR(fChannel="All",fChannel="Email",fChannel="Content Syndication"),OR(fMonth="All",$X269=fMonth)),1,0))</f>
        <v>0</v>
      </c>
      <c r="Z269" s="71">
        <f>IF($D269="",0,IF(AND(OR(fClient="All",$B269=fClient),OR(fCampaign="All",$C269=fCampaign),OR(fTeam="All",$T269=fTeam),OR(fChannel="All",fChannel="Email",fChannel="Content Syndication")),1,0))</f>
        <v>0</v>
      </c>
    </row>
    <row r="270">
      <c r="A270" s="63" t="n"/>
      <c r="B270" s="64" t="n"/>
      <c r="C270" s="64" t="n"/>
      <c r="D270" s="64" t="n"/>
      <c r="E270" s="67" t="n"/>
      <c r="F270" s="67" t="n"/>
      <c r="G270" s="67" t="n"/>
      <c r="H270" s="67" t="n"/>
      <c r="I270" s="67" t="n"/>
      <c r="J270" s="73" t="str">
        <f>IF(AND($W270&gt;0,ISNUMBER($I270)),$I270/$W270,"")</f>
        <v/>
      </c>
      <c r="K270" s="67" t="n"/>
      <c r="L270" s="73" t="str">
        <f>IF(AND($W270&gt;0,ISNUMBER($K270)),$K270/$W270,"")</f>
        <v/>
      </c>
      <c r="M270" s="67" t="n"/>
      <c r="N270" s="73" t="str">
        <f>IF(AND($W270&gt;0,ISNUMBER($M270)),$M270/$W270,"")</f>
        <v/>
      </c>
      <c r="O270" s="67" t="n"/>
      <c r="P270" s="73" t="str">
        <f>IF(AND($W270&gt;0,ISNUMBER($O270)),$O270/$W270,"")</f>
        <v/>
      </c>
      <c r="Q270" s="67" t="n"/>
      <c r="R270" s="67" t="n"/>
      <c r="S270" s="67" t="n"/>
      <c r="T270" s="64" t="n"/>
      <c r="U270" s="64" t="n"/>
      <c r="V270" s="65" t="n"/>
      <c r="W270" s="72">
        <f>IF($D270="",0,IF(ISNUMBER($G270),IF($G270&gt;0,$G270,N($F270)),N($F270)))</f>
        <v>0</v>
      </c>
      <c r="X270" s="71" t="str">
        <f>IF(ISNUMBER($A270),YEAR($A270)&amp;"-"&amp;TEXT(MONTH($A270),"00"),"")</f>
        <v/>
      </c>
      <c r="Y270" s="71">
        <f>IF($D270="",0,IF(AND(OR(fClient="All",$B270=fClient),OR(fCampaign="All",$C270=fCampaign),OR(fTeam="All",$T270=fTeam),OR(fChannel="All",fChannel="Email",fChannel="Content Syndication"),OR(fMonth="All",$X270=fMonth)),1,0))</f>
        <v>0</v>
      </c>
      <c r="Z270" s="71">
        <f>IF($D270="",0,IF(AND(OR(fClient="All",$B270=fClient),OR(fCampaign="All",$C270=fCampaign),OR(fTeam="All",$T270=fTeam),OR(fChannel="All",fChannel="Email",fChannel="Content Syndication")),1,0))</f>
        <v>0</v>
      </c>
    </row>
    <row r="271">
      <c r="A271" s="63" t="n"/>
      <c r="B271" s="64" t="n"/>
      <c r="C271" s="64" t="n"/>
      <c r="D271" s="64" t="n"/>
      <c r="E271" s="67" t="n"/>
      <c r="F271" s="67" t="n"/>
      <c r="G271" s="67" t="n"/>
      <c r="H271" s="67" t="n"/>
      <c r="I271" s="67" t="n"/>
      <c r="J271" s="73" t="str">
        <f>IF(AND($W271&gt;0,ISNUMBER($I271)),$I271/$W271,"")</f>
        <v/>
      </c>
      <c r="K271" s="67" t="n"/>
      <c r="L271" s="73" t="str">
        <f>IF(AND($W271&gt;0,ISNUMBER($K271)),$K271/$W271,"")</f>
        <v/>
      </c>
      <c r="M271" s="67" t="n"/>
      <c r="N271" s="73" t="str">
        <f>IF(AND($W271&gt;0,ISNUMBER($M271)),$M271/$W271,"")</f>
        <v/>
      </c>
      <c r="O271" s="67" t="n"/>
      <c r="P271" s="73" t="str">
        <f>IF(AND($W271&gt;0,ISNUMBER($O271)),$O271/$W271,"")</f>
        <v/>
      </c>
      <c r="Q271" s="67" t="n"/>
      <c r="R271" s="67" t="n"/>
      <c r="S271" s="67" t="n"/>
      <c r="T271" s="64" t="n"/>
      <c r="U271" s="64" t="n"/>
      <c r="V271" s="65" t="n"/>
      <c r="W271" s="72">
        <f>IF($D271="",0,IF(ISNUMBER($G271),IF($G271&gt;0,$G271,N($F271)),N($F271)))</f>
        <v>0</v>
      </c>
      <c r="X271" s="71" t="str">
        <f>IF(ISNUMBER($A271),YEAR($A271)&amp;"-"&amp;TEXT(MONTH($A271),"00"),"")</f>
        <v/>
      </c>
      <c r="Y271" s="71">
        <f>IF($D271="",0,IF(AND(OR(fClient="All",$B271=fClient),OR(fCampaign="All",$C271=fCampaign),OR(fTeam="All",$T271=fTeam),OR(fChannel="All",fChannel="Email",fChannel="Content Syndication"),OR(fMonth="All",$X271=fMonth)),1,0))</f>
        <v>0</v>
      </c>
      <c r="Z271" s="71">
        <f>IF($D271="",0,IF(AND(OR(fClient="All",$B271=fClient),OR(fCampaign="All",$C271=fCampaign),OR(fTeam="All",$T271=fTeam),OR(fChannel="All",fChannel="Email",fChannel="Content Syndication")),1,0))</f>
        <v>0</v>
      </c>
    </row>
    <row r="272">
      <c r="A272" s="63" t="n"/>
      <c r="B272" s="64" t="n"/>
      <c r="C272" s="64" t="n"/>
      <c r="D272" s="64" t="n"/>
      <c r="E272" s="67" t="n"/>
      <c r="F272" s="67" t="n"/>
      <c r="G272" s="67" t="n"/>
      <c r="H272" s="67" t="n"/>
      <c r="I272" s="67" t="n"/>
      <c r="J272" s="73" t="str">
        <f>IF(AND($W272&gt;0,ISNUMBER($I272)),$I272/$W272,"")</f>
        <v/>
      </c>
      <c r="K272" s="67" t="n"/>
      <c r="L272" s="73" t="str">
        <f>IF(AND($W272&gt;0,ISNUMBER($K272)),$K272/$W272,"")</f>
        <v/>
      </c>
      <c r="M272" s="67" t="n"/>
      <c r="N272" s="73" t="str">
        <f>IF(AND($W272&gt;0,ISNUMBER($M272)),$M272/$W272,"")</f>
        <v/>
      </c>
      <c r="O272" s="67" t="n"/>
      <c r="P272" s="73" t="str">
        <f>IF(AND($W272&gt;0,ISNUMBER($O272)),$O272/$W272,"")</f>
        <v/>
      </c>
      <c r="Q272" s="67" t="n"/>
      <c r="R272" s="67" t="n"/>
      <c r="S272" s="67" t="n"/>
      <c r="T272" s="64" t="n"/>
      <c r="U272" s="64" t="n"/>
      <c r="V272" s="65" t="n"/>
      <c r="W272" s="72">
        <f>IF($D272="",0,IF(ISNUMBER($G272),IF($G272&gt;0,$G272,N($F272)),N($F272)))</f>
        <v>0</v>
      </c>
      <c r="X272" s="71" t="str">
        <f>IF(ISNUMBER($A272),YEAR($A272)&amp;"-"&amp;TEXT(MONTH($A272),"00"),"")</f>
        <v/>
      </c>
      <c r="Y272" s="71">
        <f>IF($D272="",0,IF(AND(OR(fClient="All",$B272=fClient),OR(fCampaign="All",$C272=fCampaign),OR(fTeam="All",$T272=fTeam),OR(fChannel="All",fChannel="Email",fChannel="Content Syndication"),OR(fMonth="All",$X272=fMonth)),1,0))</f>
        <v>0</v>
      </c>
      <c r="Z272" s="71">
        <f>IF($D272="",0,IF(AND(OR(fClient="All",$B272=fClient),OR(fCampaign="All",$C272=fCampaign),OR(fTeam="All",$T272=fTeam),OR(fChannel="All",fChannel="Email",fChannel="Content Syndication")),1,0))</f>
        <v>0</v>
      </c>
    </row>
    <row r="273">
      <c r="A273" s="63" t="n"/>
      <c r="B273" s="64" t="n"/>
      <c r="C273" s="64" t="n"/>
      <c r="D273" s="64" t="n"/>
      <c r="E273" s="67" t="n"/>
      <c r="F273" s="67" t="n"/>
      <c r="G273" s="67" t="n"/>
      <c r="H273" s="67" t="n"/>
      <c r="I273" s="67" t="n"/>
      <c r="J273" s="73" t="str">
        <f>IF(AND($W273&gt;0,ISNUMBER($I273)),$I273/$W273,"")</f>
        <v/>
      </c>
      <c r="K273" s="67" t="n"/>
      <c r="L273" s="73" t="str">
        <f>IF(AND($W273&gt;0,ISNUMBER($K273)),$K273/$W273,"")</f>
        <v/>
      </c>
      <c r="M273" s="67" t="n"/>
      <c r="N273" s="73" t="str">
        <f>IF(AND($W273&gt;0,ISNUMBER($M273)),$M273/$W273,"")</f>
        <v/>
      </c>
      <c r="O273" s="67" t="n"/>
      <c r="P273" s="73" t="str">
        <f>IF(AND($W273&gt;0,ISNUMBER($O273)),$O273/$W273,"")</f>
        <v/>
      </c>
      <c r="Q273" s="67" t="n"/>
      <c r="R273" s="67" t="n"/>
      <c r="S273" s="67" t="n"/>
      <c r="T273" s="64" t="n"/>
      <c r="U273" s="64" t="n"/>
      <c r="V273" s="65" t="n"/>
      <c r="W273" s="72">
        <f>IF($D273="",0,IF(ISNUMBER($G273),IF($G273&gt;0,$G273,N($F273)),N($F273)))</f>
        <v>0</v>
      </c>
      <c r="X273" s="71" t="str">
        <f>IF(ISNUMBER($A273),YEAR($A273)&amp;"-"&amp;TEXT(MONTH($A273),"00"),"")</f>
        <v/>
      </c>
      <c r="Y273" s="71">
        <f>IF($D273="",0,IF(AND(OR(fClient="All",$B273=fClient),OR(fCampaign="All",$C273=fCampaign),OR(fTeam="All",$T273=fTeam),OR(fChannel="All",fChannel="Email",fChannel="Content Syndication"),OR(fMonth="All",$X273=fMonth)),1,0))</f>
        <v>0</v>
      </c>
      <c r="Z273" s="71">
        <f>IF($D273="",0,IF(AND(OR(fClient="All",$B273=fClient),OR(fCampaign="All",$C273=fCampaign),OR(fTeam="All",$T273=fTeam),OR(fChannel="All",fChannel="Email",fChannel="Content Syndication")),1,0))</f>
        <v>0</v>
      </c>
    </row>
    <row r="274">
      <c r="A274" s="63" t="n"/>
      <c r="B274" s="64" t="n"/>
      <c r="C274" s="64" t="n"/>
      <c r="D274" s="64" t="n"/>
      <c r="E274" s="67" t="n"/>
      <c r="F274" s="67" t="n"/>
      <c r="G274" s="67" t="n"/>
      <c r="H274" s="67" t="n"/>
      <c r="I274" s="67" t="n"/>
      <c r="J274" s="73" t="str">
        <f>IF(AND($W274&gt;0,ISNUMBER($I274)),$I274/$W274,"")</f>
        <v/>
      </c>
      <c r="K274" s="67" t="n"/>
      <c r="L274" s="73" t="str">
        <f>IF(AND($W274&gt;0,ISNUMBER($K274)),$K274/$W274,"")</f>
        <v/>
      </c>
      <c r="M274" s="67" t="n"/>
      <c r="N274" s="73" t="str">
        <f>IF(AND($W274&gt;0,ISNUMBER($M274)),$M274/$W274,"")</f>
        <v/>
      </c>
      <c r="O274" s="67" t="n"/>
      <c r="P274" s="73" t="str">
        <f>IF(AND($W274&gt;0,ISNUMBER($O274)),$O274/$W274,"")</f>
        <v/>
      </c>
      <c r="Q274" s="67" t="n"/>
      <c r="R274" s="67" t="n"/>
      <c r="S274" s="67" t="n"/>
      <c r="T274" s="64" t="n"/>
      <c r="U274" s="64" t="n"/>
      <c r="V274" s="65" t="n"/>
      <c r="W274" s="72">
        <f>IF($D274="",0,IF(ISNUMBER($G274),IF($G274&gt;0,$G274,N($F274)),N($F274)))</f>
        <v>0</v>
      </c>
      <c r="X274" s="71" t="str">
        <f>IF(ISNUMBER($A274),YEAR($A274)&amp;"-"&amp;TEXT(MONTH($A274),"00"),"")</f>
        <v/>
      </c>
      <c r="Y274" s="71">
        <f>IF($D274="",0,IF(AND(OR(fClient="All",$B274=fClient),OR(fCampaign="All",$C274=fCampaign),OR(fTeam="All",$T274=fTeam),OR(fChannel="All",fChannel="Email",fChannel="Content Syndication"),OR(fMonth="All",$X274=fMonth)),1,0))</f>
        <v>0</v>
      </c>
      <c r="Z274" s="71">
        <f>IF($D274="",0,IF(AND(OR(fClient="All",$B274=fClient),OR(fCampaign="All",$C274=fCampaign),OR(fTeam="All",$T274=fTeam),OR(fChannel="All",fChannel="Email",fChannel="Content Syndication")),1,0))</f>
        <v>0</v>
      </c>
    </row>
    <row r="275">
      <c r="A275" s="63" t="n"/>
      <c r="B275" s="64" t="n"/>
      <c r="C275" s="64" t="n"/>
      <c r="D275" s="64" t="n"/>
      <c r="E275" s="67" t="n"/>
      <c r="F275" s="67" t="n"/>
      <c r="G275" s="67" t="n"/>
      <c r="H275" s="67" t="n"/>
      <c r="I275" s="67" t="n"/>
      <c r="J275" s="73" t="str">
        <f>IF(AND($W275&gt;0,ISNUMBER($I275)),$I275/$W275,"")</f>
        <v/>
      </c>
      <c r="K275" s="67" t="n"/>
      <c r="L275" s="73" t="str">
        <f>IF(AND($W275&gt;0,ISNUMBER($K275)),$K275/$W275,"")</f>
        <v/>
      </c>
      <c r="M275" s="67" t="n"/>
      <c r="N275" s="73" t="str">
        <f>IF(AND($W275&gt;0,ISNUMBER($M275)),$M275/$W275,"")</f>
        <v/>
      </c>
      <c r="O275" s="67" t="n"/>
      <c r="P275" s="73" t="str">
        <f>IF(AND($W275&gt;0,ISNUMBER($O275)),$O275/$W275,"")</f>
        <v/>
      </c>
      <c r="Q275" s="67" t="n"/>
      <c r="R275" s="67" t="n"/>
      <c r="S275" s="67" t="n"/>
      <c r="T275" s="64" t="n"/>
      <c r="U275" s="64" t="n"/>
      <c r="V275" s="65" t="n"/>
      <c r="W275" s="72">
        <f>IF($D275="",0,IF(ISNUMBER($G275),IF($G275&gt;0,$G275,N($F275)),N($F275)))</f>
        <v>0</v>
      </c>
      <c r="X275" s="71" t="str">
        <f>IF(ISNUMBER($A275),YEAR($A275)&amp;"-"&amp;TEXT(MONTH($A275),"00"),"")</f>
        <v/>
      </c>
      <c r="Y275" s="71">
        <f>IF($D275="",0,IF(AND(OR(fClient="All",$B275=fClient),OR(fCampaign="All",$C275=fCampaign),OR(fTeam="All",$T275=fTeam),OR(fChannel="All",fChannel="Email",fChannel="Content Syndication"),OR(fMonth="All",$X275=fMonth)),1,0))</f>
        <v>0</v>
      </c>
      <c r="Z275" s="71">
        <f>IF($D275="",0,IF(AND(OR(fClient="All",$B275=fClient),OR(fCampaign="All",$C275=fCampaign),OR(fTeam="All",$T275=fTeam),OR(fChannel="All",fChannel="Email",fChannel="Content Syndication")),1,0))</f>
        <v>0</v>
      </c>
    </row>
    <row r="276">
      <c r="A276" s="63" t="n"/>
      <c r="B276" s="64" t="n"/>
      <c r="C276" s="64" t="n"/>
      <c r="D276" s="64" t="n"/>
      <c r="E276" s="67" t="n"/>
      <c r="F276" s="67" t="n"/>
      <c r="G276" s="67" t="n"/>
      <c r="H276" s="67" t="n"/>
      <c r="I276" s="67" t="n"/>
      <c r="J276" s="73" t="str">
        <f>IF(AND($W276&gt;0,ISNUMBER($I276)),$I276/$W276,"")</f>
        <v/>
      </c>
      <c r="K276" s="67" t="n"/>
      <c r="L276" s="73" t="str">
        <f>IF(AND($W276&gt;0,ISNUMBER($K276)),$K276/$W276,"")</f>
        <v/>
      </c>
      <c r="M276" s="67" t="n"/>
      <c r="N276" s="73" t="str">
        <f>IF(AND($W276&gt;0,ISNUMBER($M276)),$M276/$W276,"")</f>
        <v/>
      </c>
      <c r="O276" s="67" t="n"/>
      <c r="P276" s="73" t="str">
        <f>IF(AND($W276&gt;0,ISNUMBER($O276)),$O276/$W276,"")</f>
        <v/>
      </c>
      <c r="Q276" s="67" t="n"/>
      <c r="R276" s="67" t="n"/>
      <c r="S276" s="67" t="n"/>
      <c r="T276" s="64" t="n"/>
      <c r="U276" s="64" t="n"/>
      <c r="V276" s="65" t="n"/>
      <c r="W276" s="72">
        <f>IF($D276="",0,IF(ISNUMBER($G276),IF($G276&gt;0,$G276,N($F276)),N($F276)))</f>
        <v>0</v>
      </c>
      <c r="X276" s="71" t="str">
        <f>IF(ISNUMBER($A276),YEAR($A276)&amp;"-"&amp;TEXT(MONTH($A276),"00"),"")</f>
        <v/>
      </c>
      <c r="Y276" s="71">
        <f>IF($D276="",0,IF(AND(OR(fClient="All",$B276=fClient),OR(fCampaign="All",$C276=fCampaign),OR(fTeam="All",$T276=fTeam),OR(fChannel="All",fChannel="Email",fChannel="Content Syndication"),OR(fMonth="All",$X276=fMonth)),1,0))</f>
        <v>0</v>
      </c>
      <c r="Z276" s="71">
        <f>IF($D276="",0,IF(AND(OR(fClient="All",$B276=fClient),OR(fCampaign="All",$C276=fCampaign),OR(fTeam="All",$T276=fTeam),OR(fChannel="All",fChannel="Email",fChannel="Content Syndication")),1,0))</f>
        <v>0</v>
      </c>
    </row>
    <row r="277">
      <c r="A277" s="63" t="n"/>
      <c r="B277" s="64" t="n"/>
      <c r="C277" s="64" t="n"/>
      <c r="D277" s="64" t="n"/>
      <c r="E277" s="67" t="n"/>
      <c r="F277" s="67" t="n"/>
      <c r="G277" s="67" t="n"/>
      <c r="H277" s="67" t="n"/>
      <c r="I277" s="67" t="n"/>
      <c r="J277" s="73" t="str">
        <f>IF(AND($W277&gt;0,ISNUMBER($I277)),$I277/$W277,"")</f>
        <v/>
      </c>
      <c r="K277" s="67" t="n"/>
      <c r="L277" s="73" t="str">
        <f>IF(AND($W277&gt;0,ISNUMBER($K277)),$K277/$W277,"")</f>
        <v/>
      </c>
      <c r="M277" s="67" t="n"/>
      <c r="N277" s="73" t="str">
        <f>IF(AND($W277&gt;0,ISNUMBER($M277)),$M277/$W277,"")</f>
        <v/>
      </c>
      <c r="O277" s="67" t="n"/>
      <c r="P277" s="73" t="str">
        <f>IF(AND($W277&gt;0,ISNUMBER($O277)),$O277/$W277,"")</f>
        <v/>
      </c>
      <c r="Q277" s="67" t="n"/>
      <c r="R277" s="67" t="n"/>
      <c r="S277" s="67" t="n"/>
      <c r="T277" s="64" t="n"/>
      <c r="U277" s="64" t="n"/>
      <c r="V277" s="65" t="n"/>
      <c r="W277" s="72">
        <f>IF($D277="",0,IF(ISNUMBER($G277),IF($G277&gt;0,$G277,N($F277)),N($F277)))</f>
        <v>0</v>
      </c>
      <c r="X277" s="71" t="str">
        <f>IF(ISNUMBER($A277),YEAR($A277)&amp;"-"&amp;TEXT(MONTH($A277),"00"),"")</f>
        <v/>
      </c>
      <c r="Y277" s="71">
        <f>IF($D277="",0,IF(AND(OR(fClient="All",$B277=fClient),OR(fCampaign="All",$C277=fCampaign),OR(fTeam="All",$T277=fTeam),OR(fChannel="All",fChannel="Email",fChannel="Content Syndication"),OR(fMonth="All",$X277=fMonth)),1,0))</f>
        <v>0</v>
      </c>
      <c r="Z277" s="71">
        <f>IF($D277="",0,IF(AND(OR(fClient="All",$B277=fClient),OR(fCampaign="All",$C277=fCampaign),OR(fTeam="All",$T277=fTeam),OR(fChannel="All",fChannel="Email",fChannel="Content Syndication")),1,0))</f>
        <v>0</v>
      </c>
    </row>
    <row r="278">
      <c r="A278" s="63" t="n"/>
      <c r="B278" s="64" t="n"/>
      <c r="C278" s="64" t="n"/>
      <c r="D278" s="64" t="n"/>
      <c r="E278" s="67" t="n"/>
      <c r="F278" s="67" t="n"/>
      <c r="G278" s="67" t="n"/>
      <c r="H278" s="67" t="n"/>
      <c r="I278" s="67" t="n"/>
      <c r="J278" s="73" t="str">
        <f>IF(AND($W278&gt;0,ISNUMBER($I278)),$I278/$W278,"")</f>
        <v/>
      </c>
      <c r="K278" s="67" t="n"/>
      <c r="L278" s="73" t="str">
        <f>IF(AND($W278&gt;0,ISNUMBER($K278)),$K278/$W278,"")</f>
        <v/>
      </c>
      <c r="M278" s="67" t="n"/>
      <c r="N278" s="73" t="str">
        <f>IF(AND($W278&gt;0,ISNUMBER($M278)),$M278/$W278,"")</f>
        <v/>
      </c>
      <c r="O278" s="67" t="n"/>
      <c r="P278" s="73" t="str">
        <f>IF(AND($W278&gt;0,ISNUMBER($O278)),$O278/$W278,"")</f>
        <v/>
      </c>
      <c r="Q278" s="67" t="n"/>
      <c r="R278" s="67" t="n"/>
      <c r="S278" s="67" t="n"/>
      <c r="T278" s="64" t="n"/>
      <c r="U278" s="64" t="n"/>
      <c r="V278" s="65" t="n"/>
      <c r="W278" s="72">
        <f>IF($D278="",0,IF(ISNUMBER($G278),IF($G278&gt;0,$G278,N($F278)),N($F278)))</f>
        <v>0</v>
      </c>
      <c r="X278" s="71" t="str">
        <f>IF(ISNUMBER($A278),YEAR($A278)&amp;"-"&amp;TEXT(MONTH($A278),"00"),"")</f>
        <v/>
      </c>
      <c r="Y278" s="71">
        <f>IF($D278="",0,IF(AND(OR(fClient="All",$B278=fClient),OR(fCampaign="All",$C278=fCampaign),OR(fTeam="All",$T278=fTeam),OR(fChannel="All",fChannel="Email",fChannel="Content Syndication"),OR(fMonth="All",$X278=fMonth)),1,0))</f>
        <v>0</v>
      </c>
      <c r="Z278" s="71">
        <f>IF($D278="",0,IF(AND(OR(fClient="All",$B278=fClient),OR(fCampaign="All",$C278=fCampaign),OR(fTeam="All",$T278=fTeam),OR(fChannel="All",fChannel="Email",fChannel="Content Syndication")),1,0))</f>
        <v>0</v>
      </c>
    </row>
    <row r="279">
      <c r="A279" s="63" t="n"/>
      <c r="B279" s="64" t="n"/>
      <c r="C279" s="64" t="n"/>
      <c r="D279" s="64" t="n"/>
      <c r="E279" s="67" t="n"/>
      <c r="F279" s="67" t="n"/>
      <c r="G279" s="67" t="n"/>
      <c r="H279" s="67" t="n"/>
      <c r="I279" s="67" t="n"/>
      <c r="J279" s="73" t="str">
        <f>IF(AND($W279&gt;0,ISNUMBER($I279)),$I279/$W279,"")</f>
        <v/>
      </c>
      <c r="K279" s="67" t="n"/>
      <c r="L279" s="73" t="str">
        <f>IF(AND($W279&gt;0,ISNUMBER($K279)),$K279/$W279,"")</f>
        <v/>
      </c>
      <c r="M279" s="67" t="n"/>
      <c r="N279" s="73" t="str">
        <f>IF(AND($W279&gt;0,ISNUMBER($M279)),$M279/$W279,"")</f>
        <v/>
      </c>
      <c r="O279" s="67" t="n"/>
      <c r="P279" s="73" t="str">
        <f>IF(AND($W279&gt;0,ISNUMBER($O279)),$O279/$W279,"")</f>
        <v/>
      </c>
      <c r="Q279" s="67" t="n"/>
      <c r="R279" s="67" t="n"/>
      <c r="S279" s="67" t="n"/>
      <c r="T279" s="64" t="n"/>
      <c r="U279" s="64" t="n"/>
      <c r="V279" s="65" t="n"/>
      <c r="W279" s="72">
        <f>IF($D279="",0,IF(ISNUMBER($G279),IF($G279&gt;0,$G279,N($F279)),N($F279)))</f>
        <v>0</v>
      </c>
      <c r="X279" s="71" t="str">
        <f>IF(ISNUMBER($A279),YEAR($A279)&amp;"-"&amp;TEXT(MONTH($A279),"00"),"")</f>
        <v/>
      </c>
      <c r="Y279" s="71">
        <f>IF($D279="",0,IF(AND(OR(fClient="All",$B279=fClient),OR(fCampaign="All",$C279=fCampaign),OR(fTeam="All",$T279=fTeam),OR(fChannel="All",fChannel="Email",fChannel="Content Syndication"),OR(fMonth="All",$X279=fMonth)),1,0))</f>
        <v>0</v>
      </c>
      <c r="Z279" s="71">
        <f>IF($D279="",0,IF(AND(OR(fClient="All",$B279=fClient),OR(fCampaign="All",$C279=fCampaign),OR(fTeam="All",$T279=fTeam),OR(fChannel="All",fChannel="Email",fChannel="Content Syndication")),1,0))</f>
        <v>0</v>
      </c>
    </row>
    <row r="280">
      <c r="A280" s="63" t="n"/>
      <c r="B280" s="64" t="n"/>
      <c r="C280" s="64" t="n"/>
      <c r="D280" s="64" t="n"/>
      <c r="E280" s="67" t="n"/>
      <c r="F280" s="67" t="n"/>
      <c r="G280" s="67" t="n"/>
      <c r="H280" s="67" t="n"/>
      <c r="I280" s="67" t="n"/>
      <c r="J280" s="73" t="str">
        <f>IF(AND($W280&gt;0,ISNUMBER($I280)),$I280/$W280,"")</f>
        <v/>
      </c>
      <c r="K280" s="67" t="n"/>
      <c r="L280" s="73" t="str">
        <f>IF(AND($W280&gt;0,ISNUMBER($K280)),$K280/$W280,"")</f>
        <v/>
      </c>
      <c r="M280" s="67" t="n"/>
      <c r="N280" s="73" t="str">
        <f>IF(AND($W280&gt;0,ISNUMBER($M280)),$M280/$W280,"")</f>
        <v/>
      </c>
      <c r="O280" s="67" t="n"/>
      <c r="P280" s="73" t="str">
        <f>IF(AND($W280&gt;0,ISNUMBER($O280)),$O280/$W280,"")</f>
        <v/>
      </c>
      <c r="Q280" s="67" t="n"/>
      <c r="R280" s="67" t="n"/>
      <c r="S280" s="67" t="n"/>
      <c r="T280" s="64" t="n"/>
      <c r="U280" s="64" t="n"/>
      <c r="V280" s="65" t="n"/>
      <c r="W280" s="72">
        <f>IF($D280="",0,IF(ISNUMBER($G280),IF($G280&gt;0,$G280,N($F280)),N($F280)))</f>
        <v>0</v>
      </c>
      <c r="X280" s="71" t="str">
        <f>IF(ISNUMBER($A280),YEAR($A280)&amp;"-"&amp;TEXT(MONTH($A280),"00"),"")</f>
        <v/>
      </c>
      <c r="Y280" s="71">
        <f>IF($D280="",0,IF(AND(OR(fClient="All",$B280=fClient),OR(fCampaign="All",$C280=fCampaign),OR(fTeam="All",$T280=fTeam),OR(fChannel="All",fChannel="Email",fChannel="Content Syndication"),OR(fMonth="All",$X280=fMonth)),1,0))</f>
        <v>0</v>
      </c>
      <c r="Z280" s="71">
        <f>IF($D280="",0,IF(AND(OR(fClient="All",$B280=fClient),OR(fCampaign="All",$C280=fCampaign),OR(fTeam="All",$T280=fTeam),OR(fChannel="All",fChannel="Email",fChannel="Content Syndication")),1,0))</f>
        <v>0</v>
      </c>
    </row>
    <row r="281">
      <c r="A281" s="63" t="n"/>
      <c r="B281" s="64" t="n"/>
      <c r="C281" s="64" t="n"/>
      <c r="D281" s="64" t="n"/>
      <c r="E281" s="67" t="n"/>
      <c r="F281" s="67" t="n"/>
      <c r="G281" s="67" t="n"/>
      <c r="H281" s="67" t="n"/>
      <c r="I281" s="67" t="n"/>
      <c r="J281" s="73" t="str">
        <f>IF(AND($W281&gt;0,ISNUMBER($I281)),$I281/$W281,"")</f>
        <v/>
      </c>
      <c r="K281" s="67" t="n"/>
      <c r="L281" s="73" t="str">
        <f>IF(AND($W281&gt;0,ISNUMBER($K281)),$K281/$W281,"")</f>
        <v/>
      </c>
      <c r="M281" s="67" t="n"/>
      <c r="N281" s="73" t="str">
        <f>IF(AND($W281&gt;0,ISNUMBER($M281)),$M281/$W281,"")</f>
        <v/>
      </c>
      <c r="O281" s="67" t="n"/>
      <c r="P281" s="73" t="str">
        <f>IF(AND($W281&gt;0,ISNUMBER($O281)),$O281/$W281,"")</f>
        <v/>
      </c>
      <c r="Q281" s="67" t="n"/>
      <c r="R281" s="67" t="n"/>
      <c r="S281" s="67" t="n"/>
      <c r="T281" s="64" t="n"/>
      <c r="U281" s="64" t="n"/>
      <c r="V281" s="65" t="n"/>
      <c r="W281" s="72">
        <f>IF($D281="",0,IF(ISNUMBER($G281),IF($G281&gt;0,$G281,N($F281)),N($F281)))</f>
        <v>0</v>
      </c>
      <c r="X281" s="71" t="str">
        <f>IF(ISNUMBER($A281),YEAR($A281)&amp;"-"&amp;TEXT(MONTH($A281),"00"),"")</f>
        <v/>
      </c>
      <c r="Y281" s="71">
        <f>IF($D281="",0,IF(AND(OR(fClient="All",$B281=fClient),OR(fCampaign="All",$C281=fCampaign),OR(fTeam="All",$T281=fTeam),OR(fChannel="All",fChannel="Email",fChannel="Content Syndication"),OR(fMonth="All",$X281=fMonth)),1,0))</f>
        <v>0</v>
      </c>
      <c r="Z281" s="71">
        <f>IF($D281="",0,IF(AND(OR(fClient="All",$B281=fClient),OR(fCampaign="All",$C281=fCampaign),OR(fTeam="All",$T281=fTeam),OR(fChannel="All",fChannel="Email",fChannel="Content Syndication")),1,0))</f>
        <v>0</v>
      </c>
    </row>
    <row r="282">
      <c r="A282" s="63" t="n"/>
      <c r="B282" s="64" t="n"/>
      <c r="C282" s="64" t="n"/>
      <c r="D282" s="64" t="n"/>
      <c r="E282" s="67" t="n"/>
      <c r="F282" s="67" t="n"/>
      <c r="G282" s="67" t="n"/>
      <c r="H282" s="67" t="n"/>
      <c r="I282" s="67" t="n"/>
      <c r="J282" s="73" t="str">
        <f>IF(AND($W282&gt;0,ISNUMBER($I282)),$I282/$W282,"")</f>
        <v/>
      </c>
      <c r="K282" s="67" t="n"/>
      <c r="L282" s="73" t="str">
        <f>IF(AND($W282&gt;0,ISNUMBER($K282)),$K282/$W282,"")</f>
        <v/>
      </c>
      <c r="M282" s="67" t="n"/>
      <c r="N282" s="73" t="str">
        <f>IF(AND($W282&gt;0,ISNUMBER($M282)),$M282/$W282,"")</f>
        <v/>
      </c>
      <c r="O282" s="67" t="n"/>
      <c r="P282" s="73" t="str">
        <f>IF(AND($W282&gt;0,ISNUMBER($O282)),$O282/$W282,"")</f>
        <v/>
      </c>
      <c r="Q282" s="67" t="n"/>
      <c r="R282" s="67" t="n"/>
      <c r="S282" s="67" t="n"/>
      <c r="T282" s="64" t="n"/>
      <c r="U282" s="64" t="n"/>
      <c r="V282" s="65" t="n"/>
      <c r="W282" s="72">
        <f>IF($D282="",0,IF(ISNUMBER($G282),IF($G282&gt;0,$G282,N($F282)),N($F282)))</f>
        <v>0</v>
      </c>
      <c r="X282" s="71" t="str">
        <f>IF(ISNUMBER($A282),YEAR($A282)&amp;"-"&amp;TEXT(MONTH($A282),"00"),"")</f>
        <v/>
      </c>
      <c r="Y282" s="71">
        <f>IF($D282="",0,IF(AND(OR(fClient="All",$B282=fClient),OR(fCampaign="All",$C282=fCampaign),OR(fTeam="All",$T282=fTeam),OR(fChannel="All",fChannel="Email",fChannel="Content Syndication"),OR(fMonth="All",$X282=fMonth)),1,0))</f>
        <v>0</v>
      </c>
      <c r="Z282" s="71">
        <f>IF($D282="",0,IF(AND(OR(fClient="All",$B282=fClient),OR(fCampaign="All",$C282=fCampaign),OR(fTeam="All",$T282=fTeam),OR(fChannel="All",fChannel="Email",fChannel="Content Syndication")),1,0))</f>
        <v>0</v>
      </c>
    </row>
    <row r="283">
      <c r="A283" s="63" t="n"/>
      <c r="B283" s="64" t="n"/>
      <c r="C283" s="64" t="n"/>
      <c r="D283" s="64" t="n"/>
      <c r="E283" s="67" t="n"/>
      <c r="F283" s="67" t="n"/>
      <c r="G283" s="67" t="n"/>
      <c r="H283" s="67" t="n"/>
      <c r="I283" s="67" t="n"/>
      <c r="J283" s="73" t="str">
        <f>IF(AND($W283&gt;0,ISNUMBER($I283)),$I283/$W283,"")</f>
        <v/>
      </c>
      <c r="K283" s="67" t="n"/>
      <c r="L283" s="73" t="str">
        <f>IF(AND($W283&gt;0,ISNUMBER($K283)),$K283/$W283,"")</f>
        <v/>
      </c>
      <c r="M283" s="67" t="n"/>
      <c r="N283" s="73" t="str">
        <f>IF(AND($W283&gt;0,ISNUMBER($M283)),$M283/$W283,"")</f>
        <v/>
      </c>
      <c r="O283" s="67" t="n"/>
      <c r="P283" s="73" t="str">
        <f>IF(AND($W283&gt;0,ISNUMBER($O283)),$O283/$W283,"")</f>
        <v/>
      </c>
      <c r="Q283" s="67" t="n"/>
      <c r="R283" s="67" t="n"/>
      <c r="S283" s="67" t="n"/>
      <c r="T283" s="64" t="n"/>
      <c r="U283" s="64" t="n"/>
      <c r="V283" s="65" t="n"/>
      <c r="W283" s="72">
        <f>IF($D283="",0,IF(ISNUMBER($G283),IF($G283&gt;0,$G283,N($F283)),N($F283)))</f>
        <v>0</v>
      </c>
      <c r="X283" s="71" t="str">
        <f>IF(ISNUMBER($A283),YEAR($A283)&amp;"-"&amp;TEXT(MONTH($A283),"00"),"")</f>
        <v/>
      </c>
      <c r="Y283" s="71">
        <f>IF($D283="",0,IF(AND(OR(fClient="All",$B283=fClient),OR(fCampaign="All",$C283=fCampaign),OR(fTeam="All",$T283=fTeam),OR(fChannel="All",fChannel="Email",fChannel="Content Syndication"),OR(fMonth="All",$X283=fMonth)),1,0))</f>
        <v>0</v>
      </c>
      <c r="Z283" s="71">
        <f>IF($D283="",0,IF(AND(OR(fClient="All",$B283=fClient),OR(fCampaign="All",$C283=fCampaign),OR(fTeam="All",$T283=fTeam),OR(fChannel="All",fChannel="Email",fChannel="Content Syndication")),1,0))</f>
        <v>0</v>
      </c>
    </row>
    <row r="284">
      <c r="A284" s="63" t="n"/>
      <c r="B284" s="64" t="n"/>
      <c r="C284" s="64" t="n"/>
      <c r="D284" s="64" t="n"/>
      <c r="E284" s="67" t="n"/>
      <c r="F284" s="67" t="n"/>
      <c r="G284" s="67" t="n"/>
      <c r="H284" s="67" t="n"/>
      <c r="I284" s="67" t="n"/>
      <c r="J284" s="73" t="str">
        <f>IF(AND($W284&gt;0,ISNUMBER($I284)),$I284/$W284,"")</f>
        <v/>
      </c>
      <c r="K284" s="67" t="n"/>
      <c r="L284" s="73" t="str">
        <f>IF(AND($W284&gt;0,ISNUMBER($K284)),$K284/$W284,"")</f>
        <v/>
      </c>
      <c r="M284" s="67" t="n"/>
      <c r="N284" s="73" t="str">
        <f>IF(AND($W284&gt;0,ISNUMBER($M284)),$M284/$W284,"")</f>
        <v/>
      </c>
      <c r="O284" s="67" t="n"/>
      <c r="P284" s="73" t="str">
        <f>IF(AND($W284&gt;0,ISNUMBER($O284)),$O284/$W284,"")</f>
        <v/>
      </c>
      <c r="Q284" s="67" t="n"/>
      <c r="R284" s="67" t="n"/>
      <c r="S284" s="67" t="n"/>
      <c r="T284" s="64" t="n"/>
      <c r="U284" s="64" t="n"/>
      <c r="V284" s="65" t="n"/>
      <c r="W284" s="72">
        <f>IF($D284="",0,IF(ISNUMBER($G284),IF($G284&gt;0,$G284,N($F284)),N($F284)))</f>
        <v>0</v>
      </c>
      <c r="X284" s="71" t="str">
        <f>IF(ISNUMBER($A284),YEAR($A284)&amp;"-"&amp;TEXT(MONTH($A284),"00"),"")</f>
        <v/>
      </c>
      <c r="Y284" s="71">
        <f>IF($D284="",0,IF(AND(OR(fClient="All",$B284=fClient),OR(fCampaign="All",$C284=fCampaign),OR(fTeam="All",$T284=fTeam),OR(fChannel="All",fChannel="Email",fChannel="Content Syndication"),OR(fMonth="All",$X284=fMonth)),1,0))</f>
        <v>0</v>
      </c>
      <c r="Z284" s="71">
        <f>IF($D284="",0,IF(AND(OR(fClient="All",$B284=fClient),OR(fCampaign="All",$C284=fCampaign),OR(fTeam="All",$T284=fTeam),OR(fChannel="All",fChannel="Email",fChannel="Content Syndication")),1,0))</f>
        <v>0</v>
      </c>
    </row>
    <row r="285">
      <c r="A285" s="63" t="n"/>
      <c r="B285" s="64" t="n"/>
      <c r="C285" s="64" t="n"/>
      <c r="D285" s="64" t="n"/>
      <c r="E285" s="67" t="n"/>
      <c r="F285" s="67" t="n"/>
      <c r="G285" s="67" t="n"/>
      <c r="H285" s="67" t="n"/>
      <c r="I285" s="67" t="n"/>
      <c r="J285" s="73" t="str">
        <f>IF(AND($W285&gt;0,ISNUMBER($I285)),$I285/$W285,"")</f>
        <v/>
      </c>
      <c r="K285" s="67" t="n"/>
      <c r="L285" s="73" t="str">
        <f>IF(AND($W285&gt;0,ISNUMBER($K285)),$K285/$W285,"")</f>
        <v/>
      </c>
      <c r="M285" s="67" t="n"/>
      <c r="N285" s="73" t="str">
        <f>IF(AND($W285&gt;0,ISNUMBER($M285)),$M285/$W285,"")</f>
        <v/>
      </c>
      <c r="O285" s="67" t="n"/>
      <c r="P285" s="73" t="str">
        <f>IF(AND($W285&gt;0,ISNUMBER($O285)),$O285/$W285,"")</f>
        <v/>
      </c>
      <c r="Q285" s="67" t="n"/>
      <c r="R285" s="67" t="n"/>
      <c r="S285" s="67" t="n"/>
      <c r="T285" s="64" t="n"/>
      <c r="U285" s="64" t="n"/>
      <c r="V285" s="65" t="n"/>
      <c r="W285" s="72">
        <f>IF($D285="",0,IF(ISNUMBER($G285),IF($G285&gt;0,$G285,N($F285)),N($F285)))</f>
        <v>0</v>
      </c>
      <c r="X285" s="71" t="str">
        <f>IF(ISNUMBER($A285),YEAR($A285)&amp;"-"&amp;TEXT(MONTH($A285),"00"),"")</f>
        <v/>
      </c>
      <c r="Y285" s="71">
        <f>IF($D285="",0,IF(AND(OR(fClient="All",$B285=fClient),OR(fCampaign="All",$C285=fCampaign),OR(fTeam="All",$T285=fTeam),OR(fChannel="All",fChannel="Email",fChannel="Content Syndication"),OR(fMonth="All",$X285=fMonth)),1,0))</f>
        <v>0</v>
      </c>
      <c r="Z285" s="71">
        <f>IF($D285="",0,IF(AND(OR(fClient="All",$B285=fClient),OR(fCampaign="All",$C285=fCampaign),OR(fTeam="All",$T285=fTeam),OR(fChannel="All",fChannel="Email",fChannel="Content Syndication")),1,0))</f>
        <v>0</v>
      </c>
    </row>
    <row r="286">
      <c r="A286" s="63" t="n"/>
      <c r="B286" s="64" t="n"/>
      <c r="C286" s="64" t="n"/>
      <c r="D286" s="64" t="n"/>
      <c r="E286" s="67" t="n"/>
      <c r="F286" s="67" t="n"/>
      <c r="G286" s="67" t="n"/>
      <c r="H286" s="67" t="n"/>
      <c r="I286" s="67" t="n"/>
      <c r="J286" s="73" t="str">
        <f>IF(AND($W286&gt;0,ISNUMBER($I286)),$I286/$W286,"")</f>
        <v/>
      </c>
      <c r="K286" s="67" t="n"/>
      <c r="L286" s="73" t="str">
        <f>IF(AND($W286&gt;0,ISNUMBER($K286)),$K286/$W286,"")</f>
        <v/>
      </c>
      <c r="M286" s="67" t="n"/>
      <c r="N286" s="73" t="str">
        <f>IF(AND($W286&gt;0,ISNUMBER($M286)),$M286/$W286,"")</f>
        <v/>
      </c>
      <c r="O286" s="67" t="n"/>
      <c r="P286" s="73" t="str">
        <f>IF(AND($W286&gt;0,ISNUMBER($O286)),$O286/$W286,"")</f>
        <v/>
      </c>
      <c r="Q286" s="67" t="n"/>
      <c r="R286" s="67" t="n"/>
      <c r="S286" s="67" t="n"/>
      <c r="T286" s="64" t="n"/>
      <c r="U286" s="64" t="n"/>
      <c r="V286" s="65" t="n"/>
      <c r="W286" s="72">
        <f>IF($D286="",0,IF(ISNUMBER($G286),IF($G286&gt;0,$G286,N($F286)),N($F286)))</f>
        <v>0</v>
      </c>
      <c r="X286" s="71" t="str">
        <f>IF(ISNUMBER($A286),YEAR($A286)&amp;"-"&amp;TEXT(MONTH($A286),"00"),"")</f>
        <v/>
      </c>
      <c r="Y286" s="71">
        <f>IF($D286="",0,IF(AND(OR(fClient="All",$B286=fClient),OR(fCampaign="All",$C286=fCampaign),OR(fTeam="All",$T286=fTeam),OR(fChannel="All",fChannel="Email",fChannel="Content Syndication"),OR(fMonth="All",$X286=fMonth)),1,0))</f>
        <v>0</v>
      </c>
      <c r="Z286" s="71">
        <f>IF($D286="",0,IF(AND(OR(fClient="All",$B286=fClient),OR(fCampaign="All",$C286=fCampaign),OR(fTeam="All",$T286=fTeam),OR(fChannel="All",fChannel="Email",fChannel="Content Syndication")),1,0))</f>
        <v>0</v>
      </c>
    </row>
    <row r="287">
      <c r="A287" s="63" t="n"/>
      <c r="B287" s="64" t="n"/>
      <c r="C287" s="64" t="n"/>
      <c r="D287" s="64" t="n"/>
      <c r="E287" s="67" t="n"/>
      <c r="F287" s="67" t="n"/>
      <c r="G287" s="67" t="n"/>
      <c r="H287" s="67" t="n"/>
      <c r="I287" s="67" t="n"/>
      <c r="J287" s="73" t="str">
        <f>IF(AND($W287&gt;0,ISNUMBER($I287)),$I287/$W287,"")</f>
        <v/>
      </c>
      <c r="K287" s="67" t="n"/>
      <c r="L287" s="73" t="str">
        <f>IF(AND($W287&gt;0,ISNUMBER($K287)),$K287/$W287,"")</f>
        <v/>
      </c>
      <c r="M287" s="67" t="n"/>
      <c r="N287" s="73" t="str">
        <f>IF(AND($W287&gt;0,ISNUMBER($M287)),$M287/$W287,"")</f>
        <v/>
      </c>
      <c r="O287" s="67" t="n"/>
      <c r="P287" s="73" t="str">
        <f>IF(AND($W287&gt;0,ISNUMBER($O287)),$O287/$W287,"")</f>
        <v/>
      </c>
      <c r="Q287" s="67" t="n"/>
      <c r="R287" s="67" t="n"/>
      <c r="S287" s="67" t="n"/>
      <c r="T287" s="64" t="n"/>
      <c r="U287" s="64" t="n"/>
      <c r="V287" s="65" t="n"/>
      <c r="W287" s="72">
        <f>IF($D287="",0,IF(ISNUMBER($G287),IF($G287&gt;0,$G287,N($F287)),N($F287)))</f>
        <v>0</v>
      </c>
      <c r="X287" s="71" t="str">
        <f>IF(ISNUMBER($A287),YEAR($A287)&amp;"-"&amp;TEXT(MONTH($A287),"00"),"")</f>
        <v/>
      </c>
      <c r="Y287" s="71">
        <f>IF($D287="",0,IF(AND(OR(fClient="All",$B287=fClient),OR(fCampaign="All",$C287=fCampaign),OR(fTeam="All",$T287=fTeam),OR(fChannel="All",fChannel="Email",fChannel="Content Syndication"),OR(fMonth="All",$X287=fMonth)),1,0))</f>
        <v>0</v>
      </c>
      <c r="Z287" s="71">
        <f>IF($D287="",0,IF(AND(OR(fClient="All",$B287=fClient),OR(fCampaign="All",$C287=fCampaign),OR(fTeam="All",$T287=fTeam),OR(fChannel="All",fChannel="Email",fChannel="Content Syndication")),1,0))</f>
        <v>0</v>
      </c>
    </row>
    <row r="288">
      <c r="A288" s="63" t="n"/>
      <c r="B288" s="64" t="n"/>
      <c r="C288" s="64" t="n"/>
      <c r="D288" s="64" t="n"/>
      <c r="E288" s="67" t="n"/>
      <c r="F288" s="67" t="n"/>
      <c r="G288" s="67" t="n"/>
      <c r="H288" s="67" t="n"/>
      <c r="I288" s="67" t="n"/>
      <c r="J288" s="73" t="str">
        <f>IF(AND($W288&gt;0,ISNUMBER($I288)),$I288/$W288,"")</f>
        <v/>
      </c>
      <c r="K288" s="67" t="n"/>
      <c r="L288" s="73" t="str">
        <f>IF(AND($W288&gt;0,ISNUMBER($K288)),$K288/$W288,"")</f>
        <v/>
      </c>
      <c r="M288" s="67" t="n"/>
      <c r="N288" s="73" t="str">
        <f>IF(AND($W288&gt;0,ISNUMBER($M288)),$M288/$W288,"")</f>
        <v/>
      </c>
      <c r="O288" s="67" t="n"/>
      <c r="P288" s="73" t="str">
        <f>IF(AND($W288&gt;0,ISNUMBER($O288)),$O288/$W288,"")</f>
        <v/>
      </c>
      <c r="Q288" s="67" t="n"/>
      <c r="R288" s="67" t="n"/>
      <c r="S288" s="67" t="n"/>
      <c r="T288" s="64" t="n"/>
      <c r="U288" s="64" t="n"/>
      <c r="V288" s="65" t="n"/>
      <c r="W288" s="72">
        <f>IF($D288="",0,IF(ISNUMBER($G288),IF($G288&gt;0,$G288,N($F288)),N($F288)))</f>
        <v>0</v>
      </c>
      <c r="X288" s="71" t="str">
        <f>IF(ISNUMBER($A288),YEAR($A288)&amp;"-"&amp;TEXT(MONTH($A288),"00"),"")</f>
        <v/>
      </c>
      <c r="Y288" s="71">
        <f>IF($D288="",0,IF(AND(OR(fClient="All",$B288=fClient),OR(fCampaign="All",$C288=fCampaign),OR(fTeam="All",$T288=fTeam),OR(fChannel="All",fChannel="Email",fChannel="Content Syndication"),OR(fMonth="All",$X288=fMonth)),1,0))</f>
        <v>0</v>
      </c>
      <c r="Z288" s="71">
        <f>IF($D288="",0,IF(AND(OR(fClient="All",$B288=fClient),OR(fCampaign="All",$C288=fCampaign),OR(fTeam="All",$T288=fTeam),OR(fChannel="All",fChannel="Email",fChannel="Content Syndication")),1,0))</f>
        <v>0</v>
      </c>
    </row>
    <row r="289">
      <c r="A289" s="63" t="n"/>
      <c r="B289" s="64" t="n"/>
      <c r="C289" s="64" t="n"/>
      <c r="D289" s="64" t="n"/>
      <c r="E289" s="67" t="n"/>
      <c r="F289" s="67" t="n"/>
      <c r="G289" s="67" t="n"/>
      <c r="H289" s="67" t="n"/>
      <c r="I289" s="67" t="n"/>
      <c r="J289" s="73" t="str">
        <f>IF(AND($W289&gt;0,ISNUMBER($I289)),$I289/$W289,"")</f>
        <v/>
      </c>
      <c r="K289" s="67" t="n"/>
      <c r="L289" s="73" t="str">
        <f>IF(AND($W289&gt;0,ISNUMBER($K289)),$K289/$W289,"")</f>
        <v/>
      </c>
      <c r="M289" s="67" t="n"/>
      <c r="N289" s="73" t="str">
        <f>IF(AND($W289&gt;0,ISNUMBER($M289)),$M289/$W289,"")</f>
        <v/>
      </c>
      <c r="O289" s="67" t="n"/>
      <c r="P289" s="73" t="str">
        <f>IF(AND($W289&gt;0,ISNUMBER($O289)),$O289/$W289,"")</f>
        <v/>
      </c>
      <c r="Q289" s="67" t="n"/>
      <c r="R289" s="67" t="n"/>
      <c r="S289" s="67" t="n"/>
      <c r="T289" s="64" t="n"/>
      <c r="U289" s="64" t="n"/>
      <c r="V289" s="65" t="n"/>
      <c r="W289" s="72">
        <f>IF($D289="",0,IF(ISNUMBER($G289),IF($G289&gt;0,$G289,N($F289)),N($F289)))</f>
        <v>0</v>
      </c>
      <c r="X289" s="71" t="str">
        <f>IF(ISNUMBER($A289),YEAR($A289)&amp;"-"&amp;TEXT(MONTH($A289),"00"),"")</f>
        <v/>
      </c>
      <c r="Y289" s="71">
        <f>IF($D289="",0,IF(AND(OR(fClient="All",$B289=fClient),OR(fCampaign="All",$C289=fCampaign),OR(fTeam="All",$T289=fTeam),OR(fChannel="All",fChannel="Email",fChannel="Content Syndication"),OR(fMonth="All",$X289=fMonth)),1,0))</f>
        <v>0</v>
      </c>
      <c r="Z289" s="71">
        <f>IF($D289="",0,IF(AND(OR(fClient="All",$B289=fClient),OR(fCampaign="All",$C289=fCampaign),OR(fTeam="All",$T289=fTeam),OR(fChannel="All",fChannel="Email",fChannel="Content Syndication")),1,0))</f>
        <v>0</v>
      </c>
    </row>
    <row r="290">
      <c r="A290" s="63" t="n"/>
      <c r="B290" s="64" t="n"/>
      <c r="C290" s="64" t="n"/>
      <c r="D290" s="64" t="n"/>
      <c r="E290" s="67" t="n"/>
      <c r="F290" s="67" t="n"/>
      <c r="G290" s="67" t="n"/>
      <c r="H290" s="67" t="n"/>
      <c r="I290" s="67" t="n"/>
      <c r="J290" s="73" t="str">
        <f>IF(AND($W290&gt;0,ISNUMBER($I290)),$I290/$W290,"")</f>
        <v/>
      </c>
      <c r="K290" s="67" t="n"/>
      <c r="L290" s="73" t="str">
        <f>IF(AND($W290&gt;0,ISNUMBER($K290)),$K290/$W290,"")</f>
        <v/>
      </c>
      <c r="M290" s="67" t="n"/>
      <c r="N290" s="73" t="str">
        <f>IF(AND($W290&gt;0,ISNUMBER($M290)),$M290/$W290,"")</f>
        <v/>
      </c>
      <c r="O290" s="67" t="n"/>
      <c r="P290" s="73" t="str">
        <f>IF(AND($W290&gt;0,ISNUMBER($O290)),$O290/$W290,"")</f>
        <v/>
      </c>
      <c r="Q290" s="67" t="n"/>
      <c r="R290" s="67" t="n"/>
      <c r="S290" s="67" t="n"/>
      <c r="T290" s="64" t="n"/>
      <c r="U290" s="64" t="n"/>
      <c r="V290" s="65" t="n"/>
      <c r="W290" s="72">
        <f>IF($D290="",0,IF(ISNUMBER($G290),IF($G290&gt;0,$G290,N($F290)),N($F290)))</f>
        <v>0</v>
      </c>
      <c r="X290" s="71" t="str">
        <f>IF(ISNUMBER($A290),YEAR($A290)&amp;"-"&amp;TEXT(MONTH($A290),"00"),"")</f>
        <v/>
      </c>
      <c r="Y290" s="71">
        <f>IF($D290="",0,IF(AND(OR(fClient="All",$B290=fClient),OR(fCampaign="All",$C290=fCampaign),OR(fTeam="All",$T290=fTeam),OR(fChannel="All",fChannel="Email",fChannel="Content Syndication"),OR(fMonth="All",$X290=fMonth)),1,0))</f>
        <v>0</v>
      </c>
      <c r="Z290" s="71">
        <f>IF($D290="",0,IF(AND(OR(fClient="All",$B290=fClient),OR(fCampaign="All",$C290=fCampaign),OR(fTeam="All",$T290=fTeam),OR(fChannel="All",fChannel="Email",fChannel="Content Syndication")),1,0))</f>
        <v>0</v>
      </c>
    </row>
    <row r="291">
      <c r="A291" s="63" t="n"/>
      <c r="B291" s="64" t="n"/>
      <c r="C291" s="64" t="n"/>
      <c r="D291" s="64" t="n"/>
      <c r="E291" s="67" t="n"/>
      <c r="F291" s="67" t="n"/>
      <c r="G291" s="67" t="n"/>
      <c r="H291" s="67" t="n"/>
      <c r="I291" s="67" t="n"/>
      <c r="J291" s="73" t="str">
        <f>IF(AND($W291&gt;0,ISNUMBER($I291)),$I291/$W291,"")</f>
        <v/>
      </c>
      <c r="K291" s="67" t="n"/>
      <c r="L291" s="73" t="str">
        <f>IF(AND($W291&gt;0,ISNUMBER($K291)),$K291/$W291,"")</f>
        <v/>
      </c>
      <c r="M291" s="67" t="n"/>
      <c r="N291" s="73" t="str">
        <f>IF(AND($W291&gt;0,ISNUMBER($M291)),$M291/$W291,"")</f>
        <v/>
      </c>
      <c r="O291" s="67" t="n"/>
      <c r="P291" s="73" t="str">
        <f>IF(AND($W291&gt;0,ISNUMBER($O291)),$O291/$W291,"")</f>
        <v/>
      </c>
      <c r="Q291" s="67" t="n"/>
      <c r="R291" s="67" t="n"/>
      <c r="S291" s="67" t="n"/>
      <c r="T291" s="64" t="n"/>
      <c r="U291" s="64" t="n"/>
      <c r="V291" s="65" t="n"/>
      <c r="W291" s="72">
        <f>IF($D291="",0,IF(ISNUMBER($G291),IF($G291&gt;0,$G291,N($F291)),N($F291)))</f>
        <v>0</v>
      </c>
      <c r="X291" s="71" t="str">
        <f>IF(ISNUMBER($A291),YEAR($A291)&amp;"-"&amp;TEXT(MONTH($A291),"00"),"")</f>
        <v/>
      </c>
      <c r="Y291" s="71">
        <f>IF($D291="",0,IF(AND(OR(fClient="All",$B291=fClient),OR(fCampaign="All",$C291=fCampaign),OR(fTeam="All",$T291=fTeam),OR(fChannel="All",fChannel="Email",fChannel="Content Syndication"),OR(fMonth="All",$X291=fMonth)),1,0))</f>
        <v>0</v>
      </c>
      <c r="Z291" s="71">
        <f>IF($D291="",0,IF(AND(OR(fClient="All",$B291=fClient),OR(fCampaign="All",$C291=fCampaign),OR(fTeam="All",$T291=fTeam),OR(fChannel="All",fChannel="Email",fChannel="Content Syndication")),1,0))</f>
        <v>0</v>
      </c>
    </row>
    <row r="292">
      <c r="A292" s="63" t="n"/>
      <c r="B292" s="64" t="n"/>
      <c r="C292" s="64" t="n"/>
      <c r="D292" s="64" t="n"/>
      <c r="E292" s="67" t="n"/>
      <c r="F292" s="67" t="n"/>
      <c r="G292" s="67" t="n"/>
      <c r="H292" s="67" t="n"/>
      <c r="I292" s="67" t="n"/>
      <c r="J292" s="73" t="str">
        <f>IF(AND($W292&gt;0,ISNUMBER($I292)),$I292/$W292,"")</f>
        <v/>
      </c>
      <c r="K292" s="67" t="n"/>
      <c r="L292" s="73" t="str">
        <f>IF(AND($W292&gt;0,ISNUMBER($K292)),$K292/$W292,"")</f>
        <v/>
      </c>
      <c r="M292" s="67" t="n"/>
      <c r="N292" s="73" t="str">
        <f>IF(AND($W292&gt;0,ISNUMBER($M292)),$M292/$W292,"")</f>
        <v/>
      </c>
      <c r="O292" s="67" t="n"/>
      <c r="P292" s="73" t="str">
        <f>IF(AND($W292&gt;0,ISNUMBER($O292)),$O292/$W292,"")</f>
        <v/>
      </c>
      <c r="Q292" s="67" t="n"/>
      <c r="R292" s="67" t="n"/>
      <c r="S292" s="67" t="n"/>
      <c r="T292" s="64" t="n"/>
      <c r="U292" s="64" t="n"/>
      <c r="V292" s="65" t="n"/>
      <c r="W292" s="72">
        <f>IF($D292="",0,IF(ISNUMBER($G292),IF($G292&gt;0,$G292,N($F292)),N($F292)))</f>
        <v>0</v>
      </c>
      <c r="X292" s="71" t="str">
        <f>IF(ISNUMBER($A292),YEAR($A292)&amp;"-"&amp;TEXT(MONTH($A292),"00"),"")</f>
        <v/>
      </c>
      <c r="Y292" s="71">
        <f>IF($D292="",0,IF(AND(OR(fClient="All",$B292=fClient),OR(fCampaign="All",$C292=fCampaign),OR(fTeam="All",$T292=fTeam),OR(fChannel="All",fChannel="Email",fChannel="Content Syndication"),OR(fMonth="All",$X292=fMonth)),1,0))</f>
        <v>0</v>
      </c>
      <c r="Z292" s="71">
        <f>IF($D292="",0,IF(AND(OR(fClient="All",$B292=fClient),OR(fCampaign="All",$C292=fCampaign),OR(fTeam="All",$T292=fTeam),OR(fChannel="All",fChannel="Email",fChannel="Content Syndication")),1,0))</f>
        <v>0</v>
      </c>
    </row>
    <row r="293">
      <c r="A293" s="63" t="n"/>
      <c r="B293" s="64" t="n"/>
      <c r="C293" s="64" t="n"/>
      <c r="D293" s="64" t="n"/>
      <c r="E293" s="67" t="n"/>
      <c r="F293" s="67" t="n"/>
      <c r="G293" s="67" t="n"/>
      <c r="H293" s="67" t="n"/>
      <c r="I293" s="67" t="n"/>
      <c r="J293" s="73" t="str">
        <f>IF(AND($W293&gt;0,ISNUMBER($I293)),$I293/$W293,"")</f>
        <v/>
      </c>
      <c r="K293" s="67" t="n"/>
      <c r="L293" s="73" t="str">
        <f>IF(AND($W293&gt;0,ISNUMBER($K293)),$K293/$W293,"")</f>
        <v/>
      </c>
      <c r="M293" s="67" t="n"/>
      <c r="N293" s="73" t="str">
        <f>IF(AND($W293&gt;0,ISNUMBER($M293)),$M293/$W293,"")</f>
        <v/>
      </c>
      <c r="O293" s="67" t="n"/>
      <c r="P293" s="73" t="str">
        <f>IF(AND($W293&gt;0,ISNUMBER($O293)),$O293/$W293,"")</f>
        <v/>
      </c>
      <c r="Q293" s="67" t="n"/>
      <c r="R293" s="67" t="n"/>
      <c r="S293" s="67" t="n"/>
      <c r="T293" s="64" t="n"/>
      <c r="U293" s="64" t="n"/>
      <c r="V293" s="65" t="n"/>
      <c r="W293" s="72">
        <f>IF($D293="",0,IF(ISNUMBER($G293),IF($G293&gt;0,$G293,N($F293)),N($F293)))</f>
        <v>0</v>
      </c>
      <c r="X293" s="71" t="str">
        <f>IF(ISNUMBER($A293),YEAR($A293)&amp;"-"&amp;TEXT(MONTH($A293),"00"),"")</f>
        <v/>
      </c>
      <c r="Y293" s="71">
        <f>IF($D293="",0,IF(AND(OR(fClient="All",$B293=fClient),OR(fCampaign="All",$C293=fCampaign),OR(fTeam="All",$T293=fTeam),OR(fChannel="All",fChannel="Email",fChannel="Content Syndication"),OR(fMonth="All",$X293=fMonth)),1,0))</f>
        <v>0</v>
      </c>
      <c r="Z293" s="71">
        <f>IF($D293="",0,IF(AND(OR(fClient="All",$B293=fClient),OR(fCampaign="All",$C293=fCampaign),OR(fTeam="All",$T293=fTeam),OR(fChannel="All",fChannel="Email",fChannel="Content Syndication")),1,0))</f>
        <v>0</v>
      </c>
    </row>
    <row r="294">
      <c r="A294" s="63" t="n"/>
      <c r="B294" s="64" t="n"/>
      <c r="C294" s="64" t="n"/>
      <c r="D294" s="64" t="n"/>
      <c r="E294" s="67" t="n"/>
      <c r="F294" s="67" t="n"/>
      <c r="G294" s="67" t="n"/>
      <c r="H294" s="67" t="n"/>
      <c r="I294" s="67" t="n"/>
      <c r="J294" s="73" t="str">
        <f>IF(AND($W294&gt;0,ISNUMBER($I294)),$I294/$W294,"")</f>
        <v/>
      </c>
      <c r="K294" s="67" t="n"/>
      <c r="L294" s="73" t="str">
        <f>IF(AND($W294&gt;0,ISNUMBER($K294)),$K294/$W294,"")</f>
        <v/>
      </c>
      <c r="M294" s="67" t="n"/>
      <c r="N294" s="73" t="str">
        <f>IF(AND($W294&gt;0,ISNUMBER($M294)),$M294/$W294,"")</f>
        <v/>
      </c>
      <c r="O294" s="67" t="n"/>
      <c r="P294" s="73" t="str">
        <f>IF(AND($W294&gt;0,ISNUMBER($O294)),$O294/$W294,"")</f>
        <v/>
      </c>
      <c r="Q294" s="67" t="n"/>
      <c r="R294" s="67" t="n"/>
      <c r="S294" s="67" t="n"/>
      <c r="T294" s="64" t="n"/>
      <c r="U294" s="64" t="n"/>
      <c r="V294" s="65" t="n"/>
      <c r="W294" s="72">
        <f>IF($D294="",0,IF(ISNUMBER($G294),IF($G294&gt;0,$G294,N($F294)),N($F294)))</f>
        <v>0</v>
      </c>
      <c r="X294" s="71" t="str">
        <f>IF(ISNUMBER($A294),YEAR($A294)&amp;"-"&amp;TEXT(MONTH($A294),"00"),"")</f>
        <v/>
      </c>
      <c r="Y294" s="71">
        <f>IF($D294="",0,IF(AND(OR(fClient="All",$B294=fClient),OR(fCampaign="All",$C294=fCampaign),OR(fTeam="All",$T294=fTeam),OR(fChannel="All",fChannel="Email",fChannel="Content Syndication"),OR(fMonth="All",$X294=fMonth)),1,0))</f>
        <v>0</v>
      </c>
      <c r="Z294" s="71">
        <f>IF($D294="",0,IF(AND(OR(fClient="All",$B294=fClient),OR(fCampaign="All",$C294=fCampaign),OR(fTeam="All",$T294=fTeam),OR(fChannel="All",fChannel="Email",fChannel="Content Syndication")),1,0))</f>
        <v>0</v>
      </c>
    </row>
    <row r="295">
      <c r="A295" s="63" t="n"/>
      <c r="B295" s="64" t="n"/>
      <c r="C295" s="64" t="n"/>
      <c r="D295" s="64" t="n"/>
      <c r="E295" s="67" t="n"/>
      <c r="F295" s="67" t="n"/>
      <c r="G295" s="67" t="n"/>
      <c r="H295" s="67" t="n"/>
      <c r="I295" s="67" t="n"/>
      <c r="J295" s="73" t="str">
        <f>IF(AND($W295&gt;0,ISNUMBER($I295)),$I295/$W295,"")</f>
        <v/>
      </c>
      <c r="K295" s="67" t="n"/>
      <c r="L295" s="73" t="str">
        <f>IF(AND($W295&gt;0,ISNUMBER($K295)),$K295/$W295,"")</f>
        <v/>
      </c>
      <c r="M295" s="67" t="n"/>
      <c r="N295" s="73" t="str">
        <f>IF(AND($W295&gt;0,ISNUMBER($M295)),$M295/$W295,"")</f>
        <v/>
      </c>
      <c r="O295" s="67" t="n"/>
      <c r="P295" s="73" t="str">
        <f>IF(AND($W295&gt;0,ISNUMBER($O295)),$O295/$W295,"")</f>
        <v/>
      </c>
      <c r="Q295" s="67" t="n"/>
      <c r="R295" s="67" t="n"/>
      <c r="S295" s="67" t="n"/>
      <c r="T295" s="64" t="n"/>
      <c r="U295" s="64" t="n"/>
      <c r="V295" s="65" t="n"/>
      <c r="W295" s="72">
        <f>IF($D295="",0,IF(ISNUMBER($G295),IF($G295&gt;0,$G295,N($F295)),N($F295)))</f>
        <v>0</v>
      </c>
      <c r="X295" s="71" t="str">
        <f>IF(ISNUMBER($A295),YEAR($A295)&amp;"-"&amp;TEXT(MONTH($A295),"00"),"")</f>
        <v/>
      </c>
      <c r="Y295" s="71">
        <f>IF($D295="",0,IF(AND(OR(fClient="All",$B295=fClient),OR(fCampaign="All",$C295=fCampaign),OR(fTeam="All",$T295=fTeam),OR(fChannel="All",fChannel="Email",fChannel="Content Syndication"),OR(fMonth="All",$X295=fMonth)),1,0))</f>
        <v>0</v>
      </c>
      <c r="Z295" s="71">
        <f>IF($D295="",0,IF(AND(OR(fClient="All",$B295=fClient),OR(fCampaign="All",$C295=fCampaign),OR(fTeam="All",$T295=fTeam),OR(fChannel="All",fChannel="Email",fChannel="Content Syndication")),1,0))</f>
        <v>0</v>
      </c>
    </row>
    <row r="296">
      <c r="A296" s="63" t="n"/>
      <c r="B296" s="64" t="n"/>
      <c r="C296" s="64" t="n"/>
      <c r="D296" s="64" t="n"/>
      <c r="E296" s="67" t="n"/>
      <c r="F296" s="67" t="n"/>
      <c r="G296" s="67" t="n"/>
      <c r="H296" s="67" t="n"/>
      <c r="I296" s="67" t="n"/>
      <c r="J296" s="73" t="str">
        <f>IF(AND($W296&gt;0,ISNUMBER($I296)),$I296/$W296,"")</f>
        <v/>
      </c>
      <c r="K296" s="67" t="n"/>
      <c r="L296" s="73" t="str">
        <f>IF(AND($W296&gt;0,ISNUMBER($K296)),$K296/$W296,"")</f>
        <v/>
      </c>
      <c r="M296" s="67" t="n"/>
      <c r="N296" s="73" t="str">
        <f>IF(AND($W296&gt;0,ISNUMBER($M296)),$M296/$W296,"")</f>
        <v/>
      </c>
      <c r="O296" s="67" t="n"/>
      <c r="P296" s="73" t="str">
        <f>IF(AND($W296&gt;0,ISNUMBER($O296)),$O296/$W296,"")</f>
        <v/>
      </c>
      <c r="Q296" s="67" t="n"/>
      <c r="R296" s="67" t="n"/>
      <c r="S296" s="67" t="n"/>
      <c r="T296" s="64" t="n"/>
      <c r="U296" s="64" t="n"/>
      <c r="V296" s="65" t="n"/>
      <c r="W296" s="72">
        <f>IF($D296="",0,IF(ISNUMBER($G296),IF($G296&gt;0,$G296,N($F296)),N($F296)))</f>
        <v>0</v>
      </c>
      <c r="X296" s="71" t="str">
        <f>IF(ISNUMBER($A296),YEAR($A296)&amp;"-"&amp;TEXT(MONTH($A296),"00"),"")</f>
        <v/>
      </c>
      <c r="Y296" s="71">
        <f>IF($D296="",0,IF(AND(OR(fClient="All",$B296=fClient),OR(fCampaign="All",$C296=fCampaign),OR(fTeam="All",$T296=fTeam),OR(fChannel="All",fChannel="Email",fChannel="Content Syndication"),OR(fMonth="All",$X296=fMonth)),1,0))</f>
        <v>0</v>
      </c>
      <c r="Z296" s="71">
        <f>IF($D296="",0,IF(AND(OR(fClient="All",$B296=fClient),OR(fCampaign="All",$C296=fCampaign),OR(fTeam="All",$T296=fTeam),OR(fChannel="All",fChannel="Email",fChannel="Content Syndication")),1,0))</f>
        <v>0</v>
      </c>
    </row>
    <row r="297">
      <c r="A297" s="63" t="n"/>
      <c r="B297" s="64" t="n"/>
      <c r="C297" s="64" t="n"/>
      <c r="D297" s="64" t="n"/>
      <c r="E297" s="67" t="n"/>
      <c r="F297" s="67" t="n"/>
      <c r="G297" s="67" t="n"/>
      <c r="H297" s="67" t="n"/>
      <c r="I297" s="67" t="n"/>
      <c r="J297" s="73" t="str">
        <f>IF(AND($W297&gt;0,ISNUMBER($I297)),$I297/$W297,"")</f>
        <v/>
      </c>
      <c r="K297" s="67" t="n"/>
      <c r="L297" s="73" t="str">
        <f>IF(AND($W297&gt;0,ISNUMBER($K297)),$K297/$W297,"")</f>
        <v/>
      </c>
      <c r="M297" s="67" t="n"/>
      <c r="N297" s="73" t="str">
        <f>IF(AND($W297&gt;0,ISNUMBER($M297)),$M297/$W297,"")</f>
        <v/>
      </c>
      <c r="O297" s="67" t="n"/>
      <c r="P297" s="73" t="str">
        <f>IF(AND($W297&gt;0,ISNUMBER($O297)),$O297/$W297,"")</f>
        <v/>
      </c>
      <c r="Q297" s="67" t="n"/>
      <c r="R297" s="67" t="n"/>
      <c r="S297" s="67" t="n"/>
      <c r="T297" s="64" t="n"/>
      <c r="U297" s="64" t="n"/>
      <c r="V297" s="65" t="n"/>
      <c r="W297" s="72">
        <f>IF($D297="",0,IF(ISNUMBER($G297),IF($G297&gt;0,$G297,N($F297)),N($F297)))</f>
        <v>0</v>
      </c>
      <c r="X297" s="71" t="str">
        <f>IF(ISNUMBER($A297),YEAR($A297)&amp;"-"&amp;TEXT(MONTH($A297),"00"),"")</f>
        <v/>
      </c>
      <c r="Y297" s="71">
        <f>IF($D297="",0,IF(AND(OR(fClient="All",$B297=fClient),OR(fCampaign="All",$C297=fCampaign),OR(fTeam="All",$T297=fTeam),OR(fChannel="All",fChannel="Email",fChannel="Content Syndication"),OR(fMonth="All",$X297=fMonth)),1,0))</f>
        <v>0</v>
      </c>
      <c r="Z297" s="71">
        <f>IF($D297="",0,IF(AND(OR(fClient="All",$B297=fClient),OR(fCampaign="All",$C297=fCampaign),OR(fTeam="All",$T297=fTeam),OR(fChannel="All",fChannel="Email",fChannel="Content Syndication")),1,0))</f>
        <v>0</v>
      </c>
    </row>
    <row r="298">
      <c r="A298" s="63" t="n"/>
      <c r="B298" s="64" t="n"/>
      <c r="C298" s="64" t="n"/>
      <c r="D298" s="64" t="n"/>
      <c r="E298" s="67" t="n"/>
      <c r="F298" s="67" t="n"/>
      <c r="G298" s="67" t="n"/>
      <c r="H298" s="67" t="n"/>
      <c r="I298" s="67" t="n"/>
      <c r="J298" s="73" t="str">
        <f>IF(AND($W298&gt;0,ISNUMBER($I298)),$I298/$W298,"")</f>
        <v/>
      </c>
      <c r="K298" s="67" t="n"/>
      <c r="L298" s="73" t="str">
        <f>IF(AND($W298&gt;0,ISNUMBER($K298)),$K298/$W298,"")</f>
        <v/>
      </c>
      <c r="M298" s="67" t="n"/>
      <c r="N298" s="73" t="str">
        <f>IF(AND($W298&gt;0,ISNUMBER($M298)),$M298/$W298,"")</f>
        <v/>
      </c>
      <c r="O298" s="67" t="n"/>
      <c r="P298" s="73" t="str">
        <f>IF(AND($W298&gt;0,ISNUMBER($O298)),$O298/$W298,"")</f>
        <v/>
      </c>
      <c r="Q298" s="67" t="n"/>
      <c r="R298" s="67" t="n"/>
      <c r="S298" s="67" t="n"/>
      <c r="T298" s="64" t="n"/>
      <c r="U298" s="64" t="n"/>
      <c r="V298" s="65" t="n"/>
      <c r="W298" s="72">
        <f>IF($D298="",0,IF(ISNUMBER($G298),IF($G298&gt;0,$G298,N($F298)),N($F298)))</f>
        <v>0</v>
      </c>
      <c r="X298" s="71" t="str">
        <f>IF(ISNUMBER($A298),YEAR($A298)&amp;"-"&amp;TEXT(MONTH($A298),"00"),"")</f>
        <v/>
      </c>
      <c r="Y298" s="71">
        <f>IF($D298="",0,IF(AND(OR(fClient="All",$B298=fClient),OR(fCampaign="All",$C298=fCampaign),OR(fTeam="All",$T298=fTeam),OR(fChannel="All",fChannel="Email",fChannel="Content Syndication"),OR(fMonth="All",$X298=fMonth)),1,0))</f>
        <v>0</v>
      </c>
      <c r="Z298" s="71">
        <f>IF($D298="",0,IF(AND(OR(fClient="All",$B298=fClient),OR(fCampaign="All",$C298=fCampaign),OR(fTeam="All",$T298=fTeam),OR(fChannel="All",fChannel="Email",fChannel="Content Syndication")),1,0))</f>
        <v>0</v>
      </c>
    </row>
    <row r="299">
      <c r="A299" s="63" t="n"/>
      <c r="B299" s="64" t="n"/>
      <c r="C299" s="64" t="n"/>
      <c r="D299" s="64" t="n"/>
      <c r="E299" s="67" t="n"/>
      <c r="F299" s="67" t="n"/>
      <c r="G299" s="67" t="n"/>
      <c r="H299" s="67" t="n"/>
      <c r="I299" s="67" t="n"/>
      <c r="J299" s="73" t="str">
        <f>IF(AND($W299&gt;0,ISNUMBER($I299)),$I299/$W299,"")</f>
        <v/>
      </c>
      <c r="K299" s="67" t="n"/>
      <c r="L299" s="73" t="str">
        <f>IF(AND($W299&gt;0,ISNUMBER($K299)),$K299/$W299,"")</f>
        <v/>
      </c>
      <c r="M299" s="67" t="n"/>
      <c r="N299" s="73" t="str">
        <f>IF(AND($W299&gt;0,ISNUMBER($M299)),$M299/$W299,"")</f>
        <v/>
      </c>
      <c r="O299" s="67" t="n"/>
      <c r="P299" s="73" t="str">
        <f>IF(AND($W299&gt;0,ISNUMBER($O299)),$O299/$W299,"")</f>
        <v/>
      </c>
      <c r="Q299" s="67" t="n"/>
      <c r="R299" s="67" t="n"/>
      <c r="S299" s="67" t="n"/>
      <c r="T299" s="64" t="n"/>
      <c r="U299" s="64" t="n"/>
      <c r="V299" s="65" t="n"/>
      <c r="W299" s="72">
        <f>IF($D299="",0,IF(ISNUMBER($G299),IF($G299&gt;0,$G299,N($F299)),N($F299)))</f>
        <v>0</v>
      </c>
      <c r="X299" s="71" t="str">
        <f>IF(ISNUMBER($A299),YEAR($A299)&amp;"-"&amp;TEXT(MONTH($A299),"00"),"")</f>
        <v/>
      </c>
      <c r="Y299" s="71">
        <f>IF($D299="",0,IF(AND(OR(fClient="All",$B299=fClient),OR(fCampaign="All",$C299=fCampaign),OR(fTeam="All",$T299=fTeam),OR(fChannel="All",fChannel="Email",fChannel="Content Syndication"),OR(fMonth="All",$X299=fMonth)),1,0))</f>
        <v>0</v>
      </c>
      <c r="Z299" s="71">
        <f>IF($D299="",0,IF(AND(OR(fClient="All",$B299=fClient),OR(fCampaign="All",$C299=fCampaign),OR(fTeam="All",$T299=fTeam),OR(fChannel="All",fChannel="Email",fChannel="Content Syndication")),1,0))</f>
        <v>0</v>
      </c>
    </row>
    <row r="300">
      <c r="A300" s="63" t="n"/>
      <c r="B300" s="64" t="n"/>
      <c r="C300" s="64" t="n"/>
      <c r="D300" s="64" t="n"/>
      <c r="E300" s="67" t="n"/>
      <c r="F300" s="67" t="n"/>
      <c r="G300" s="67" t="n"/>
      <c r="H300" s="67" t="n"/>
      <c r="I300" s="67" t="n"/>
      <c r="J300" s="73" t="str">
        <f>IF(AND($W300&gt;0,ISNUMBER($I300)),$I300/$W300,"")</f>
        <v/>
      </c>
      <c r="K300" s="67" t="n"/>
      <c r="L300" s="73" t="str">
        <f>IF(AND($W300&gt;0,ISNUMBER($K300)),$K300/$W300,"")</f>
        <v/>
      </c>
      <c r="M300" s="67" t="n"/>
      <c r="N300" s="73" t="str">
        <f>IF(AND($W300&gt;0,ISNUMBER($M300)),$M300/$W300,"")</f>
        <v/>
      </c>
      <c r="O300" s="67" t="n"/>
      <c r="P300" s="73" t="str">
        <f>IF(AND($W300&gt;0,ISNUMBER($O300)),$O300/$W300,"")</f>
        <v/>
      </c>
      <c r="Q300" s="67" t="n"/>
      <c r="R300" s="67" t="n"/>
      <c r="S300" s="67" t="n"/>
      <c r="T300" s="64" t="n"/>
      <c r="U300" s="64" t="n"/>
      <c r="V300" s="65" t="n"/>
      <c r="W300" s="72">
        <f>IF($D300="",0,IF(ISNUMBER($G300),IF($G300&gt;0,$G300,N($F300)),N($F300)))</f>
        <v>0</v>
      </c>
      <c r="X300" s="71" t="str">
        <f>IF(ISNUMBER($A300),YEAR($A300)&amp;"-"&amp;TEXT(MONTH($A300),"00"),"")</f>
        <v/>
      </c>
      <c r="Y300" s="71">
        <f>IF($D300="",0,IF(AND(OR(fClient="All",$B300=fClient),OR(fCampaign="All",$C300=fCampaign),OR(fTeam="All",$T300=fTeam),OR(fChannel="All",fChannel="Email",fChannel="Content Syndication"),OR(fMonth="All",$X300=fMonth)),1,0))</f>
        <v>0</v>
      </c>
      <c r="Z300" s="71">
        <f>IF($D300="",0,IF(AND(OR(fClient="All",$B300=fClient),OR(fCampaign="All",$C300=fCampaign),OR(fTeam="All",$T300=fTeam),OR(fChannel="All",fChannel="Email",fChannel="Content Syndication")),1,0))</f>
        <v>0</v>
      </c>
    </row>
    <row r="301">
      <c r="A301" s="63" t="n"/>
      <c r="B301" s="64" t="n"/>
      <c r="C301" s="64" t="n"/>
      <c r="D301" s="64" t="n"/>
      <c r="E301" s="67" t="n"/>
      <c r="F301" s="67" t="n"/>
      <c r="G301" s="67" t="n"/>
      <c r="H301" s="67" t="n"/>
      <c r="I301" s="67" t="n"/>
      <c r="J301" s="73" t="str">
        <f>IF(AND($W301&gt;0,ISNUMBER($I301)),$I301/$W301,"")</f>
        <v/>
      </c>
      <c r="K301" s="67" t="n"/>
      <c r="L301" s="73" t="str">
        <f>IF(AND($W301&gt;0,ISNUMBER($K301)),$K301/$W301,"")</f>
        <v/>
      </c>
      <c r="M301" s="67" t="n"/>
      <c r="N301" s="73" t="str">
        <f>IF(AND($W301&gt;0,ISNUMBER($M301)),$M301/$W301,"")</f>
        <v/>
      </c>
      <c r="O301" s="67" t="n"/>
      <c r="P301" s="73" t="str">
        <f>IF(AND($W301&gt;0,ISNUMBER($O301)),$O301/$W301,"")</f>
        <v/>
      </c>
      <c r="Q301" s="67" t="n"/>
      <c r="R301" s="67" t="n"/>
      <c r="S301" s="67" t="n"/>
      <c r="T301" s="64" t="n"/>
      <c r="U301" s="64" t="n"/>
      <c r="V301" s="65" t="n"/>
      <c r="W301" s="72">
        <f>IF($D301="",0,IF(ISNUMBER($G301),IF($G301&gt;0,$G301,N($F301)),N($F301)))</f>
        <v>0</v>
      </c>
      <c r="X301" s="71" t="str">
        <f>IF(ISNUMBER($A301),YEAR($A301)&amp;"-"&amp;TEXT(MONTH($A301),"00"),"")</f>
        <v/>
      </c>
      <c r="Y301" s="71">
        <f>IF($D301="",0,IF(AND(OR(fClient="All",$B301=fClient),OR(fCampaign="All",$C301=fCampaign),OR(fTeam="All",$T301=fTeam),OR(fChannel="All",fChannel="Email",fChannel="Content Syndication"),OR(fMonth="All",$X301=fMonth)),1,0))</f>
        <v>0</v>
      </c>
      <c r="Z301" s="71">
        <f>IF($D301="",0,IF(AND(OR(fClient="All",$B301=fClient),OR(fCampaign="All",$C301=fCampaign),OR(fTeam="All",$T301=fTeam),OR(fChannel="All",fChannel="Email",fChannel="Content Syndication")),1,0))</f>
        <v>0</v>
      </c>
    </row>
    <row r="302">
      <c r="A302" s="63" t="n"/>
      <c r="B302" s="64" t="n"/>
      <c r="C302" s="64" t="n"/>
      <c r="D302" s="64" t="n"/>
      <c r="E302" s="67" t="n"/>
      <c r="F302" s="67" t="n"/>
      <c r="G302" s="67" t="n"/>
      <c r="H302" s="67" t="n"/>
      <c r="I302" s="67" t="n"/>
      <c r="J302" s="73" t="str">
        <f>IF(AND($W302&gt;0,ISNUMBER($I302)),$I302/$W302,"")</f>
        <v/>
      </c>
      <c r="K302" s="67" t="n"/>
      <c r="L302" s="73" t="str">
        <f>IF(AND($W302&gt;0,ISNUMBER($K302)),$K302/$W302,"")</f>
        <v/>
      </c>
      <c r="M302" s="67" t="n"/>
      <c r="N302" s="73" t="str">
        <f>IF(AND($W302&gt;0,ISNUMBER($M302)),$M302/$W302,"")</f>
        <v/>
      </c>
      <c r="O302" s="67" t="n"/>
      <c r="P302" s="73" t="str">
        <f>IF(AND($W302&gt;0,ISNUMBER($O302)),$O302/$W302,"")</f>
        <v/>
      </c>
      <c r="Q302" s="67" t="n"/>
      <c r="R302" s="67" t="n"/>
      <c r="S302" s="67" t="n"/>
      <c r="T302" s="64" t="n"/>
      <c r="U302" s="64" t="n"/>
      <c r="V302" s="65" t="n"/>
      <c r="W302" s="72">
        <f>IF($D302="",0,IF(ISNUMBER($G302),IF($G302&gt;0,$G302,N($F302)),N($F302)))</f>
        <v>0</v>
      </c>
      <c r="X302" s="71" t="str">
        <f>IF(ISNUMBER($A302),YEAR($A302)&amp;"-"&amp;TEXT(MONTH($A302),"00"),"")</f>
        <v/>
      </c>
      <c r="Y302" s="71">
        <f>IF($D302="",0,IF(AND(OR(fClient="All",$B302=fClient),OR(fCampaign="All",$C302=fCampaign),OR(fTeam="All",$T302=fTeam),OR(fChannel="All",fChannel="Email",fChannel="Content Syndication"),OR(fMonth="All",$X302=fMonth)),1,0))</f>
        <v>0</v>
      </c>
      <c r="Z302" s="71">
        <f>IF($D302="",0,IF(AND(OR(fClient="All",$B302=fClient),OR(fCampaign="All",$C302=fCampaign),OR(fTeam="All",$T302=fTeam),OR(fChannel="All",fChannel="Email",fChannel="Content Syndication")),1,0))</f>
        <v>0</v>
      </c>
    </row>
    <row r="303">
      <c r="A303" s="63" t="n"/>
      <c r="B303" s="64" t="n"/>
      <c r="C303" s="64" t="n"/>
      <c r="D303" s="64" t="n"/>
      <c r="E303" s="67" t="n"/>
      <c r="F303" s="67" t="n"/>
      <c r="G303" s="67" t="n"/>
      <c r="H303" s="67" t="n"/>
      <c r="I303" s="67" t="n"/>
      <c r="J303" s="73" t="str">
        <f>IF(AND($W303&gt;0,ISNUMBER($I303)),$I303/$W303,"")</f>
        <v/>
      </c>
      <c r="K303" s="67" t="n"/>
      <c r="L303" s="73" t="str">
        <f>IF(AND($W303&gt;0,ISNUMBER($K303)),$K303/$W303,"")</f>
        <v/>
      </c>
      <c r="M303" s="67" t="n"/>
      <c r="N303" s="73" t="str">
        <f>IF(AND($W303&gt;0,ISNUMBER($M303)),$M303/$W303,"")</f>
        <v/>
      </c>
      <c r="O303" s="67" t="n"/>
      <c r="P303" s="73" t="str">
        <f>IF(AND($W303&gt;0,ISNUMBER($O303)),$O303/$W303,"")</f>
        <v/>
      </c>
      <c r="Q303" s="67" t="n"/>
      <c r="R303" s="67" t="n"/>
      <c r="S303" s="67" t="n"/>
      <c r="T303" s="64" t="n"/>
      <c r="U303" s="64" t="n"/>
      <c r="V303" s="65" t="n"/>
      <c r="W303" s="72">
        <f>IF($D303="",0,IF(ISNUMBER($G303),IF($G303&gt;0,$G303,N($F303)),N($F303)))</f>
        <v>0</v>
      </c>
      <c r="X303" s="71" t="str">
        <f>IF(ISNUMBER($A303),YEAR($A303)&amp;"-"&amp;TEXT(MONTH($A303),"00"),"")</f>
        <v/>
      </c>
      <c r="Y303" s="71">
        <f>IF($D303="",0,IF(AND(OR(fClient="All",$B303=fClient),OR(fCampaign="All",$C303=fCampaign),OR(fTeam="All",$T303=fTeam),OR(fChannel="All",fChannel="Email",fChannel="Content Syndication"),OR(fMonth="All",$X303=fMonth)),1,0))</f>
        <v>0</v>
      </c>
      <c r="Z303" s="71">
        <f>IF($D303="",0,IF(AND(OR(fClient="All",$B303=fClient),OR(fCampaign="All",$C303=fCampaign),OR(fTeam="All",$T303=fTeam),OR(fChannel="All",fChannel="Email",fChannel="Content Syndication")),1,0))</f>
        <v>0</v>
      </c>
    </row>
    <row r="304">
      <c r="A304" s="63" t="n"/>
      <c r="B304" s="64" t="n"/>
      <c r="C304" s="64" t="n"/>
      <c r="D304" s="64" t="n"/>
      <c r="E304" s="67" t="n"/>
      <c r="F304" s="67" t="n"/>
      <c r="G304" s="67" t="n"/>
      <c r="H304" s="67" t="n"/>
      <c r="I304" s="67" t="n"/>
      <c r="J304" s="73" t="str">
        <f>IF(AND($W304&gt;0,ISNUMBER($I304)),$I304/$W304,"")</f>
        <v/>
      </c>
      <c r="K304" s="67" t="n"/>
      <c r="L304" s="73" t="str">
        <f>IF(AND($W304&gt;0,ISNUMBER($K304)),$K304/$W304,"")</f>
        <v/>
      </c>
      <c r="M304" s="67" t="n"/>
      <c r="N304" s="73" t="str">
        <f>IF(AND($W304&gt;0,ISNUMBER($M304)),$M304/$W304,"")</f>
        <v/>
      </c>
      <c r="O304" s="67" t="n"/>
      <c r="P304" s="73" t="str">
        <f>IF(AND($W304&gt;0,ISNUMBER($O304)),$O304/$W304,"")</f>
        <v/>
      </c>
      <c r="Q304" s="67" t="n"/>
      <c r="R304" s="67" t="n"/>
      <c r="S304" s="67" t="n"/>
      <c r="T304" s="64" t="n"/>
      <c r="U304" s="64" t="n"/>
      <c r="V304" s="65" t="n"/>
      <c r="W304" s="72">
        <f>IF($D304="",0,IF(ISNUMBER($G304),IF($G304&gt;0,$G304,N($F304)),N($F304)))</f>
        <v>0</v>
      </c>
      <c r="X304" s="71" t="str">
        <f>IF(ISNUMBER($A304),YEAR($A304)&amp;"-"&amp;TEXT(MONTH($A304),"00"),"")</f>
        <v/>
      </c>
      <c r="Y304" s="71">
        <f>IF($D304="",0,IF(AND(OR(fClient="All",$B304=fClient),OR(fCampaign="All",$C304=fCampaign),OR(fTeam="All",$T304=fTeam),OR(fChannel="All",fChannel="Email",fChannel="Content Syndication"),OR(fMonth="All",$X304=fMonth)),1,0))</f>
        <v>0</v>
      </c>
      <c r="Z304" s="71">
        <f>IF($D304="",0,IF(AND(OR(fClient="All",$B304=fClient),OR(fCampaign="All",$C304=fCampaign),OR(fTeam="All",$T304=fTeam),OR(fChannel="All",fChannel="Email",fChannel="Content Syndication")),1,0))</f>
        <v>0</v>
      </c>
    </row>
  </sheetData>
  <mergeCells count="1">
    <mergeCell ref="A1:N1"/>
  </mergeCells>
  <dataValidations count="16">
    <dataValidation sqref="A5:A304" showDropDown="0" showInputMessage="0" showErrorMessage="1" allowBlank="1" errorTitle="Invalid date" error="Enter a valid date, e.g. 05-Oct-2026." type="date" operator="greaterThan">
      <formula1>36526</formula1>
    </dataValidation>
    <dataValidation sqref="B5:B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C5:C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=lst_Campaign</formula1>
    </dataValidation>
    <dataValidation sqref="E5:E304" showDropDown="0" showInputMessage="0" showErrorMessage="1" allowBlank="1" errorTitle="Invalid number" error="Enter a number (0 or more)." type="decimal" operator="greaterThanOrEqual">
      <formula1>0</formula1>
    </dataValidation>
    <dataValidation sqref="F5:F304" showDropDown="0" showInputMessage="0" showErrorMessage="1" allowBlank="1" errorTitle="Invalid number" error="Enter a number (0 or more)." type="decimal" operator="greaterThanOrEqual">
      <formula1>0</formula1>
    </dataValidation>
    <dataValidation sqref="G5:G304" showDropDown="0" showInputMessage="0" showErrorMessage="1" allowBlank="1" errorTitle="Invalid number" error="Enter a number (0 or more)." type="decimal" operator="greaterThanOrEqual">
      <formula1>0</formula1>
    </dataValidation>
    <dataValidation sqref="H5:H304" showDropDown="0" showInputMessage="0" showErrorMessage="1" allowBlank="1" errorTitle="Invalid number" error="Enter a number (0 or more)." type="decimal" operator="greaterThanOrEqual">
      <formula1>0</formula1>
    </dataValidation>
    <dataValidation sqref="I5:I304" showDropDown="0" showInputMessage="0" showErrorMessage="1" allowBlank="1" errorTitle="Invalid number" error="Enter a number (0 or more)." type="decimal" operator="greaterThanOrEqual">
      <formula1>0</formula1>
    </dataValidation>
    <dataValidation sqref="K5:K304" showDropDown="0" showInputMessage="0" showErrorMessage="1" allowBlank="1" errorTitle="Invalid number" error="Enter a number (0 or more)." type="decimal" operator="greaterThanOrEqual">
      <formula1>0</formula1>
    </dataValidation>
    <dataValidation sqref="M5:M304" showDropDown="0" showInputMessage="0" showErrorMessage="1" allowBlank="1" errorTitle="Invalid number" error="Enter a number (0 or more)." type="decimal" operator="greaterThanOrEqual">
      <formula1>0</formula1>
    </dataValidation>
    <dataValidation sqref="O5:O304" showDropDown="0" showInputMessage="0" showErrorMessage="1" allowBlank="1" errorTitle="Invalid number" error="Enter a number (0 or more)." type="decimal" operator="greaterThanOrEqual">
      <formula1>0</formula1>
    </dataValidation>
    <dataValidation sqref="Q5:Q304" showDropDown="0" showInputMessage="0" showErrorMessage="1" allowBlank="1" errorTitle="Invalid number" error="Enter a number (0 or more)." type="decimal" operator="greaterThanOrEqual">
      <formula1>0</formula1>
    </dataValidation>
    <dataValidation sqref="R5:R304" showDropDown="0" showInputMessage="0" showErrorMessage="1" allowBlank="1" errorTitle="Invalid number" error="Enter a number (0 or more)." type="decimal" operator="greaterThanOrEqual">
      <formula1>0</formula1>
    </dataValidation>
    <dataValidation sqref="S5:S304" showDropDown="0" showInputMessage="0" showErrorMessage="1" allowBlank="1" errorTitle="Invalid number" error="Enter a number (0 or more)." type="decimal" operator="greaterThanOrEqual">
      <formula1>0</formula1>
    </dataValidation>
    <dataValidation sqref="T5:T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U5:U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=lst_EmailStatus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W304"/>
  <sheetViews>
    <sheetView showGridLines="0" tabSelected="0"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4" customWidth="1" min="4" max="4"/>
    <col width="18" customWidth="1" min="5" max="5"/>
    <col width="11" customWidth="1" min="6" max="6"/>
    <col width="11" customWidth="1" min="7" max="7"/>
    <col width="11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1" customWidth="1" min="16" max="16"/>
    <col width="13" customWidth="1" min="17" max="17"/>
    <col width="16" customWidth="1" min="18" max="18"/>
    <col width="30" customWidth="1" min="19" max="19"/>
    <col width="28" customWidth="1" min="20" max="20"/>
    <col hidden="1" outlineLevel="1" width="8" customWidth="1" min="21" max="23"/>
  </cols>
  <sheetData>
    <row r="1" ht="30" customHeight="1">
      <c r="A1" s="57" t="inlineStr">
        <is>
          <t>PAID MEDIA / ADS - Google, Meta, LinkedIn &amp; other paid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8" t="inlineStr">
        <is>
          <t>BLUE cells = team enters data   |   GREY cells = automatic formulas (do not edit)   |   Enter spend and results for the period of each row (daily or weekly) - NOT cumulative totals. Currency as entered (assumed INR).</t>
        </is>
      </c>
    </row>
    <row r="3">
      <c r="A3" s="59" t="inlineStr">
        <is>
          <t>Example: 05-Oct-26 | Vestrics | &lt;campaign&gt; | Google Ads | Lead generation | 5000 | 1200 | 40000 | 25000 | 900 | 12 | 3 ...</t>
        </is>
      </c>
    </row>
    <row r="4" ht="34" customHeight="1">
      <c r="A4" s="60" t="inlineStr">
        <is>
          <t>Date</t>
        </is>
      </c>
      <c r="B4" s="60" t="inlineStr">
        <is>
          <t>Client</t>
        </is>
      </c>
      <c r="C4" s="60" t="inlineStr">
        <is>
          <t>Campaign</t>
        </is>
      </c>
      <c r="D4" s="60" t="inlineStr">
        <is>
          <t>Platform</t>
        </is>
      </c>
      <c r="E4" s="60" t="inlineStr">
        <is>
          <t>Objective</t>
        </is>
      </c>
      <c r="F4" s="60" t="inlineStr">
        <is>
          <t>Budget</t>
        </is>
      </c>
      <c r="G4" s="60" t="inlineStr">
        <is>
          <t>Spend</t>
        </is>
      </c>
      <c r="H4" s="60" t="inlineStr">
        <is>
          <t>Impressions</t>
        </is>
      </c>
      <c r="I4" s="60" t="inlineStr">
        <is>
          <t>Reach</t>
        </is>
      </c>
      <c r="J4" s="60" t="inlineStr">
        <is>
          <t>Clicks</t>
        </is>
      </c>
      <c r="K4" s="61" t="inlineStr">
        <is>
          <t>CTR</t>
        </is>
      </c>
      <c r="L4" s="61" t="inlineStr">
        <is>
          <t>CPC</t>
        </is>
      </c>
      <c r="M4" s="60" t="inlineStr">
        <is>
          <t>Leads</t>
        </is>
      </c>
      <c r="N4" s="60" t="inlineStr">
        <is>
          <t>MQLs</t>
        </is>
      </c>
      <c r="O4" s="61" t="inlineStr">
        <is>
          <t>CPL</t>
        </is>
      </c>
      <c r="P4" s="61" t="inlineStr">
        <is>
          <t>Conversion Rate</t>
        </is>
      </c>
      <c r="Q4" s="60" t="inlineStr">
        <is>
          <t>Campaign Status</t>
        </is>
      </c>
      <c r="R4" s="60" t="inlineStr">
        <is>
          <t>Owner</t>
        </is>
      </c>
      <c r="S4" s="60" t="inlineStr">
        <is>
          <t>Optimization Action</t>
        </is>
      </c>
      <c r="T4" s="60" t="inlineStr">
        <is>
          <t>Remarks</t>
        </is>
      </c>
      <c r="U4" s="62" t="inlineStr">
        <is>
          <t>Month Key</t>
        </is>
      </c>
      <c r="V4" s="62" t="inlineStr">
        <is>
          <t>In Filter</t>
        </is>
      </c>
      <c r="W4" s="62" t="inlineStr">
        <is>
          <t>In List</t>
        </is>
      </c>
    </row>
    <row r="5">
      <c r="A5" s="63" t="n"/>
      <c r="B5" s="64" t="n"/>
      <c r="C5" s="64" t="n"/>
      <c r="D5" s="64" t="n"/>
      <c r="E5" s="64" t="n"/>
      <c r="F5" s="67" t="n"/>
      <c r="G5" s="67" t="n"/>
      <c r="H5" s="67" t="n"/>
      <c r="I5" s="67" t="n"/>
      <c r="J5" s="67" t="n"/>
      <c r="K5" s="76" t="str">
        <f>IF(AND(ISNUMBER($H5),$H5&gt;0,ISNUMBER($J5)),$J5/$H5,"")</f>
        <v/>
      </c>
      <c r="L5" s="77" t="str">
        <f>IF(AND(ISNUMBER($J5),$J5&gt;0,ISNUMBER($G5)),$G5/$J5,"")</f>
        <v/>
      </c>
      <c r="M5" s="67" t="n"/>
      <c r="N5" s="67" t="n"/>
      <c r="O5" s="72" t="str">
        <f>IF(AND(ISNUMBER($M5),$M5&gt;0,ISNUMBER($G5)),$G5/$M5,"")</f>
        <v/>
      </c>
      <c r="P5" s="73" t="str">
        <f>IF(AND(ISNUMBER($J5),$J5&gt;0,ISNUMBER($M5)),$M5/$J5,"")</f>
        <v/>
      </c>
      <c r="Q5" s="64" t="n"/>
      <c r="R5" s="64" t="n"/>
      <c r="S5" s="65" t="n"/>
      <c r="T5" s="65" t="n"/>
      <c r="U5" s="71" t="str">
        <f>IF(ISNUMBER($A5),YEAR($A5)&amp;"-"&amp;TEXT(MONTH($A5),"00"),"")</f>
        <v/>
      </c>
      <c r="V5" s="71">
        <f>IF($D5="",0,IF(AND(OR(fClient="All",$B5=fClient),OR(fCampaign="All",$C5=fCampaign),OR(fTeam="All",$R5=fTeam),OR(fChannel="All",$D5=fChannel),OR(fMonth="All",$U5=fMonth)),1,0))</f>
        <v>0</v>
      </c>
      <c r="W5" s="71">
        <f>IF($D5="",0,IF(AND(OR(fClient="All",$B5=fClient),OR(fCampaign="All",$C5=fCampaign),OR(fTeam="All",$R5=fTeam),OR(fChannel="All",$D5=fChannel)),1,0))</f>
        <v>0</v>
      </c>
    </row>
    <row r="6">
      <c r="A6" s="63" t="n"/>
      <c r="B6" s="64" t="n"/>
      <c r="C6" s="64" t="n"/>
      <c r="D6" s="64" t="n"/>
      <c r="E6" s="64" t="n"/>
      <c r="F6" s="67" t="n"/>
      <c r="G6" s="67" t="n"/>
      <c r="H6" s="67" t="n"/>
      <c r="I6" s="67" t="n"/>
      <c r="J6" s="67" t="n"/>
      <c r="K6" s="76" t="str">
        <f>IF(AND(ISNUMBER($H6),$H6&gt;0,ISNUMBER($J6)),$J6/$H6,"")</f>
        <v/>
      </c>
      <c r="L6" s="77" t="str">
        <f>IF(AND(ISNUMBER($J6),$J6&gt;0,ISNUMBER($G6)),$G6/$J6,"")</f>
        <v/>
      </c>
      <c r="M6" s="67" t="n"/>
      <c r="N6" s="67" t="n"/>
      <c r="O6" s="72" t="str">
        <f>IF(AND(ISNUMBER($M6),$M6&gt;0,ISNUMBER($G6)),$G6/$M6,"")</f>
        <v/>
      </c>
      <c r="P6" s="73" t="str">
        <f>IF(AND(ISNUMBER($J6),$J6&gt;0,ISNUMBER($M6)),$M6/$J6,"")</f>
        <v/>
      </c>
      <c r="Q6" s="64" t="n"/>
      <c r="R6" s="64" t="n"/>
      <c r="S6" s="65" t="n"/>
      <c r="T6" s="65" t="n"/>
      <c r="U6" s="71" t="str">
        <f>IF(ISNUMBER($A6),YEAR($A6)&amp;"-"&amp;TEXT(MONTH($A6),"00"),"")</f>
        <v/>
      </c>
      <c r="V6" s="71">
        <f>IF($D6="",0,IF(AND(OR(fClient="All",$B6=fClient),OR(fCampaign="All",$C6=fCampaign),OR(fTeam="All",$R6=fTeam),OR(fChannel="All",$D6=fChannel),OR(fMonth="All",$U6=fMonth)),1,0))</f>
        <v>0</v>
      </c>
      <c r="W6" s="71">
        <f>IF($D6="",0,IF(AND(OR(fClient="All",$B6=fClient),OR(fCampaign="All",$C6=fCampaign),OR(fTeam="All",$R6=fTeam),OR(fChannel="All",$D6=fChannel)),1,0))</f>
        <v>0</v>
      </c>
    </row>
    <row r="7">
      <c r="A7" s="63" t="n"/>
      <c r="B7" s="64" t="n"/>
      <c r="C7" s="64" t="n"/>
      <c r="D7" s="64" t="n"/>
      <c r="E7" s="64" t="n"/>
      <c r="F7" s="67" t="n"/>
      <c r="G7" s="67" t="n"/>
      <c r="H7" s="67" t="n"/>
      <c r="I7" s="67" t="n"/>
      <c r="J7" s="67" t="n"/>
      <c r="K7" s="76" t="str">
        <f>IF(AND(ISNUMBER($H7),$H7&gt;0,ISNUMBER($J7)),$J7/$H7,"")</f>
        <v/>
      </c>
      <c r="L7" s="77" t="str">
        <f>IF(AND(ISNUMBER($J7),$J7&gt;0,ISNUMBER($G7)),$G7/$J7,"")</f>
        <v/>
      </c>
      <c r="M7" s="67" t="n"/>
      <c r="N7" s="67" t="n"/>
      <c r="O7" s="72" t="str">
        <f>IF(AND(ISNUMBER($M7),$M7&gt;0,ISNUMBER($G7)),$G7/$M7,"")</f>
        <v/>
      </c>
      <c r="P7" s="73" t="str">
        <f>IF(AND(ISNUMBER($J7),$J7&gt;0,ISNUMBER($M7)),$M7/$J7,"")</f>
        <v/>
      </c>
      <c r="Q7" s="64" t="n"/>
      <c r="R7" s="64" t="n"/>
      <c r="S7" s="65" t="n"/>
      <c r="T7" s="65" t="n"/>
      <c r="U7" s="71" t="str">
        <f>IF(ISNUMBER($A7),YEAR($A7)&amp;"-"&amp;TEXT(MONTH($A7),"00"),"")</f>
        <v/>
      </c>
      <c r="V7" s="71">
        <f>IF($D7="",0,IF(AND(OR(fClient="All",$B7=fClient),OR(fCampaign="All",$C7=fCampaign),OR(fTeam="All",$R7=fTeam),OR(fChannel="All",$D7=fChannel),OR(fMonth="All",$U7=fMonth)),1,0))</f>
        <v>0</v>
      </c>
      <c r="W7" s="71">
        <f>IF($D7="",0,IF(AND(OR(fClient="All",$B7=fClient),OR(fCampaign="All",$C7=fCampaign),OR(fTeam="All",$R7=fTeam),OR(fChannel="All",$D7=fChannel)),1,0))</f>
        <v>0</v>
      </c>
    </row>
    <row r="8">
      <c r="A8" s="63" t="n"/>
      <c r="B8" s="64" t="n"/>
      <c r="C8" s="64" t="n"/>
      <c r="D8" s="64" t="n"/>
      <c r="E8" s="64" t="n"/>
      <c r="F8" s="67" t="n"/>
      <c r="G8" s="67" t="n"/>
      <c r="H8" s="67" t="n"/>
      <c r="I8" s="67" t="n"/>
      <c r="J8" s="67" t="n"/>
      <c r="K8" s="76" t="str">
        <f>IF(AND(ISNUMBER($H8),$H8&gt;0,ISNUMBER($J8)),$J8/$H8,"")</f>
        <v/>
      </c>
      <c r="L8" s="77" t="str">
        <f>IF(AND(ISNUMBER($J8),$J8&gt;0,ISNUMBER($G8)),$G8/$J8,"")</f>
        <v/>
      </c>
      <c r="M8" s="67" t="n"/>
      <c r="N8" s="67" t="n"/>
      <c r="O8" s="72" t="str">
        <f>IF(AND(ISNUMBER($M8),$M8&gt;0,ISNUMBER($G8)),$G8/$M8,"")</f>
        <v/>
      </c>
      <c r="P8" s="73" t="str">
        <f>IF(AND(ISNUMBER($J8),$J8&gt;0,ISNUMBER($M8)),$M8/$J8,"")</f>
        <v/>
      </c>
      <c r="Q8" s="64" t="n"/>
      <c r="R8" s="64" t="n"/>
      <c r="S8" s="65" t="n"/>
      <c r="T8" s="65" t="n"/>
      <c r="U8" s="71" t="str">
        <f>IF(ISNUMBER($A8),YEAR($A8)&amp;"-"&amp;TEXT(MONTH($A8),"00"),"")</f>
        <v/>
      </c>
      <c r="V8" s="71">
        <f>IF($D8="",0,IF(AND(OR(fClient="All",$B8=fClient),OR(fCampaign="All",$C8=fCampaign),OR(fTeam="All",$R8=fTeam),OR(fChannel="All",$D8=fChannel),OR(fMonth="All",$U8=fMonth)),1,0))</f>
        <v>0</v>
      </c>
      <c r="W8" s="71">
        <f>IF($D8="",0,IF(AND(OR(fClient="All",$B8=fClient),OR(fCampaign="All",$C8=fCampaign),OR(fTeam="All",$R8=fTeam),OR(fChannel="All",$D8=fChannel)),1,0))</f>
        <v>0</v>
      </c>
    </row>
    <row r="9">
      <c r="A9" s="63" t="n"/>
      <c r="B9" s="64" t="n"/>
      <c r="C9" s="64" t="n"/>
      <c r="D9" s="64" t="n"/>
      <c r="E9" s="64" t="n"/>
      <c r="F9" s="67" t="n"/>
      <c r="G9" s="67" t="n"/>
      <c r="H9" s="67" t="n"/>
      <c r="I9" s="67" t="n"/>
      <c r="J9" s="67" t="n"/>
      <c r="K9" s="76" t="str">
        <f>IF(AND(ISNUMBER($H9),$H9&gt;0,ISNUMBER($J9)),$J9/$H9,"")</f>
        <v/>
      </c>
      <c r="L9" s="77" t="str">
        <f>IF(AND(ISNUMBER($J9),$J9&gt;0,ISNUMBER($G9)),$G9/$J9,"")</f>
        <v/>
      </c>
      <c r="M9" s="67" t="n"/>
      <c r="N9" s="67" t="n"/>
      <c r="O9" s="72" t="str">
        <f>IF(AND(ISNUMBER($M9),$M9&gt;0,ISNUMBER($G9)),$G9/$M9,"")</f>
        <v/>
      </c>
      <c r="P9" s="73" t="str">
        <f>IF(AND(ISNUMBER($J9),$J9&gt;0,ISNUMBER($M9)),$M9/$J9,"")</f>
        <v/>
      </c>
      <c r="Q9" s="64" t="n"/>
      <c r="R9" s="64" t="n"/>
      <c r="S9" s="65" t="n"/>
      <c r="T9" s="65" t="n"/>
      <c r="U9" s="71" t="str">
        <f>IF(ISNUMBER($A9),YEAR($A9)&amp;"-"&amp;TEXT(MONTH($A9),"00"),"")</f>
        <v/>
      </c>
      <c r="V9" s="71">
        <f>IF($D9="",0,IF(AND(OR(fClient="All",$B9=fClient),OR(fCampaign="All",$C9=fCampaign),OR(fTeam="All",$R9=fTeam),OR(fChannel="All",$D9=fChannel),OR(fMonth="All",$U9=fMonth)),1,0))</f>
        <v>0</v>
      </c>
      <c r="W9" s="71">
        <f>IF($D9="",0,IF(AND(OR(fClient="All",$B9=fClient),OR(fCampaign="All",$C9=fCampaign),OR(fTeam="All",$R9=fTeam),OR(fChannel="All",$D9=fChannel)),1,0))</f>
        <v>0</v>
      </c>
    </row>
    <row r="10">
      <c r="A10" s="63" t="n"/>
      <c r="B10" s="64" t="n"/>
      <c r="C10" s="64" t="n"/>
      <c r="D10" s="64" t="n"/>
      <c r="E10" s="64" t="n"/>
      <c r="F10" s="67" t="n"/>
      <c r="G10" s="67" t="n"/>
      <c r="H10" s="67" t="n"/>
      <c r="I10" s="67" t="n"/>
      <c r="J10" s="67" t="n"/>
      <c r="K10" s="76" t="str">
        <f>IF(AND(ISNUMBER($H10),$H10&gt;0,ISNUMBER($J10)),$J10/$H10,"")</f>
        <v/>
      </c>
      <c r="L10" s="77" t="str">
        <f>IF(AND(ISNUMBER($J10),$J10&gt;0,ISNUMBER($G10)),$G10/$J10,"")</f>
        <v/>
      </c>
      <c r="M10" s="67" t="n"/>
      <c r="N10" s="67" t="n"/>
      <c r="O10" s="72" t="str">
        <f>IF(AND(ISNUMBER($M10),$M10&gt;0,ISNUMBER($G10)),$G10/$M10,"")</f>
        <v/>
      </c>
      <c r="P10" s="73" t="str">
        <f>IF(AND(ISNUMBER($J10),$J10&gt;0,ISNUMBER($M10)),$M10/$J10,"")</f>
        <v/>
      </c>
      <c r="Q10" s="64" t="n"/>
      <c r="R10" s="64" t="n"/>
      <c r="S10" s="65" t="n"/>
      <c r="T10" s="65" t="n"/>
      <c r="U10" s="71" t="str">
        <f>IF(ISNUMBER($A10),YEAR($A10)&amp;"-"&amp;TEXT(MONTH($A10),"00"),"")</f>
        <v/>
      </c>
      <c r="V10" s="71">
        <f>IF($D10="",0,IF(AND(OR(fClient="All",$B10=fClient),OR(fCampaign="All",$C10=fCampaign),OR(fTeam="All",$R10=fTeam),OR(fChannel="All",$D10=fChannel),OR(fMonth="All",$U10=fMonth)),1,0))</f>
        <v>0</v>
      </c>
      <c r="W10" s="71">
        <f>IF($D10="",0,IF(AND(OR(fClient="All",$B10=fClient),OR(fCampaign="All",$C10=fCampaign),OR(fTeam="All",$R10=fTeam),OR(fChannel="All",$D10=fChannel)),1,0))</f>
        <v>0</v>
      </c>
    </row>
    <row r="11">
      <c r="A11" s="63" t="n"/>
      <c r="B11" s="64" t="n"/>
      <c r="C11" s="64" t="n"/>
      <c r="D11" s="64" t="n"/>
      <c r="E11" s="64" t="n"/>
      <c r="F11" s="67" t="n"/>
      <c r="G11" s="67" t="n"/>
      <c r="H11" s="67" t="n"/>
      <c r="I11" s="67" t="n"/>
      <c r="J11" s="67" t="n"/>
      <c r="K11" s="76" t="str">
        <f>IF(AND(ISNUMBER($H11),$H11&gt;0,ISNUMBER($J11)),$J11/$H11,"")</f>
        <v/>
      </c>
      <c r="L11" s="77" t="str">
        <f>IF(AND(ISNUMBER($J11),$J11&gt;0,ISNUMBER($G11)),$G11/$J11,"")</f>
        <v/>
      </c>
      <c r="M11" s="67" t="n"/>
      <c r="N11" s="67" t="n"/>
      <c r="O11" s="72" t="str">
        <f>IF(AND(ISNUMBER($M11),$M11&gt;0,ISNUMBER($G11)),$G11/$M11,"")</f>
        <v/>
      </c>
      <c r="P11" s="73" t="str">
        <f>IF(AND(ISNUMBER($J11),$J11&gt;0,ISNUMBER($M11)),$M11/$J11,"")</f>
        <v/>
      </c>
      <c r="Q11" s="64" t="n"/>
      <c r="R11" s="64" t="n"/>
      <c r="S11" s="65" t="n"/>
      <c r="T11" s="65" t="n"/>
      <c r="U11" s="71" t="str">
        <f>IF(ISNUMBER($A11),YEAR($A11)&amp;"-"&amp;TEXT(MONTH($A11),"00"),"")</f>
        <v/>
      </c>
      <c r="V11" s="71">
        <f>IF($D11="",0,IF(AND(OR(fClient="All",$B11=fClient),OR(fCampaign="All",$C11=fCampaign),OR(fTeam="All",$R11=fTeam),OR(fChannel="All",$D11=fChannel),OR(fMonth="All",$U11=fMonth)),1,0))</f>
        <v>0</v>
      </c>
      <c r="W11" s="71">
        <f>IF($D11="",0,IF(AND(OR(fClient="All",$B11=fClient),OR(fCampaign="All",$C11=fCampaign),OR(fTeam="All",$R11=fTeam),OR(fChannel="All",$D11=fChannel)),1,0))</f>
        <v>0</v>
      </c>
    </row>
    <row r="12">
      <c r="A12" s="63" t="n"/>
      <c r="B12" s="64" t="n"/>
      <c r="C12" s="64" t="n"/>
      <c r="D12" s="64" t="n"/>
      <c r="E12" s="64" t="n"/>
      <c r="F12" s="67" t="n"/>
      <c r="G12" s="67" t="n"/>
      <c r="H12" s="67" t="n"/>
      <c r="I12" s="67" t="n"/>
      <c r="J12" s="67" t="n"/>
      <c r="K12" s="76" t="str">
        <f>IF(AND(ISNUMBER($H12),$H12&gt;0,ISNUMBER($J12)),$J12/$H12,"")</f>
        <v/>
      </c>
      <c r="L12" s="77" t="str">
        <f>IF(AND(ISNUMBER($J12),$J12&gt;0,ISNUMBER($G12)),$G12/$J12,"")</f>
        <v/>
      </c>
      <c r="M12" s="67" t="n"/>
      <c r="N12" s="67" t="n"/>
      <c r="O12" s="72" t="str">
        <f>IF(AND(ISNUMBER($M12),$M12&gt;0,ISNUMBER($G12)),$G12/$M12,"")</f>
        <v/>
      </c>
      <c r="P12" s="73" t="str">
        <f>IF(AND(ISNUMBER($J12),$J12&gt;0,ISNUMBER($M12)),$M12/$J12,"")</f>
        <v/>
      </c>
      <c r="Q12" s="64" t="n"/>
      <c r="R12" s="64" t="n"/>
      <c r="S12" s="65" t="n"/>
      <c r="T12" s="65" t="n"/>
      <c r="U12" s="71" t="str">
        <f>IF(ISNUMBER($A12),YEAR($A12)&amp;"-"&amp;TEXT(MONTH($A12),"00"),"")</f>
        <v/>
      </c>
      <c r="V12" s="71">
        <f>IF($D12="",0,IF(AND(OR(fClient="All",$B12=fClient),OR(fCampaign="All",$C12=fCampaign),OR(fTeam="All",$R12=fTeam),OR(fChannel="All",$D12=fChannel),OR(fMonth="All",$U12=fMonth)),1,0))</f>
        <v>0</v>
      </c>
      <c r="W12" s="71">
        <f>IF($D12="",0,IF(AND(OR(fClient="All",$B12=fClient),OR(fCampaign="All",$C12=fCampaign),OR(fTeam="All",$R12=fTeam),OR(fChannel="All",$D12=fChannel)),1,0))</f>
        <v>0</v>
      </c>
    </row>
    <row r="13">
      <c r="A13" s="63" t="n"/>
      <c r="B13" s="64" t="n"/>
      <c r="C13" s="64" t="n"/>
      <c r="D13" s="64" t="n"/>
      <c r="E13" s="64" t="n"/>
      <c r="F13" s="67" t="n"/>
      <c r="G13" s="67" t="n"/>
      <c r="H13" s="67" t="n"/>
      <c r="I13" s="67" t="n"/>
      <c r="J13" s="67" t="n"/>
      <c r="K13" s="76" t="str">
        <f>IF(AND(ISNUMBER($H13),$H13&gt;0,ISNUMBER($J13)),$J13/$H13,"")</f>
        <v/>
      </c>
      <c r="L13" s="77" t="str">
        <f>IF(AND(ISNUMBER($J13),$J13&gt;0,ISNUMBER($G13)),$G13/$J13,"")</f>
        <v/>
      </c>
      <c r="M13" s="67" t="n"/>
      <c r="N13" s="67" t="n"/>
      <c r="O13" s="72" t="str">
        <f>IF(AND(ISNUMBER($M13),$M13&gt;0,ISNUMBER($G13)),$G13/$M13,"")</f>
        <v/>
      </c>
      <c r="P13" s="73" t="str">
        <f>IF(AND(ISNUMBER($J13),$J13&gt;0,ISNUMBER($M13)),$M13/$J13,"")</f>
        <v/>
      </c>
      <c r="Q13" s="64" t="n"/>
      <c r="R13" s="64" t="n"/>
      <c r="S13" s="65" t="n"/>
      <c r="T13" s="65" t="n"/>
      <c r="U13" s="71" t="str">
        <f>IF(ISNUMBER($A13),YEAR($A13)&amp;"-"&amp;TEXT(MONTH($A13),"00"),"")</f>
        <v/>
      </c>
      <c r="V13" s="71">
        <f>IF($D13="",0,IF(AND(OR(fClient="All",$B13=fClient),OR(fCampaign="All",$C13=fCampaign),OR(fTeam="All",$R13=fTeam),OR(fChannel="All",$D13=fChannel),OR(fMonth="All",$U13=fMonth)),1,0))</f>
        <v>0</v>
      </c>
      <c r="W13" s="71">
        <f>IF($D13="",0,IF(AND(OR(fClient="All",$B13=fClient),OR(fCampaign="All",$C13=fCampaign),OR(fTeam="All",$R13=fTeam),OR(fChannel="All",$D13=fChannel)),1,0))</f>
        <v>0</v>
      </c>
    </row>
    <row r="14">
      <c r="A14" s="63" t="n"/>
      <c r="B14" s="64" t="n"/>
      <c r="C14" s="64" t="n"/>
      <c r="D14" s="64" t="n"/>
      <c r="E14" s="64" t="n"/>
      <c r="F14" s="67" t="n"/>
      <c r="G14" s="67" t="n"/>
      <c r="H14" s="67" t="n"/>
      <c r="I14" s="67" t="n"/>
      <c r="J14" s="67" t="n"/>
      <c r="K14" s="76" t="str">
        <f>IF(AND(ISNUMBER($H14),$H14&gt;0,ISNUMBER($J14)),$J14/$H14,"")</f>
        <v/>
      </c>
      <c r="L14" s="77" t="str">
        <f>IF(AND(ISNUMBER($J14),$J14&gt;0,ISNUMBER($G14)),$G14/$J14,"")</f>
        <v/>
      </c>
      <c r="M14" s="67" t="n"/>
      <c r="N14" s="67" t="n"/>
      <c r="O14" s="72" t="str">
        <f>IF(AND(ISNUMBER($M14),$M14&gt;0,ISNUMBER($G14)),$G14/$M14,"")</f>
        <v/>
      </c>
      <c r="P14" s="73" t="str">
        <f>IF(AND(ISNUMBER($J14),$J14&gt;0,ISNUMBER($M14)),$M14/$J14,"")</f>
        <v/>
      </c>
      <c r="Q14" s="64" t="n"/>
      <c r="R14" s="64" t="n"/>
      <c r="S14" s="65" t="n"/>
      <c r="T14" s="65" t="n"/>
      <c r="U14" s="71" t="str">
        <f>IF(ISNUMBER($A14),YEAR($A14)&amp;"-"&amp;TEXT(MONTH($A14),"00"),"")</f>
        <v/>
      </c>
      <c r="V14" s="71">
        <f>IF($D14="",0,IF(AND(OR(fClient="All",$B14=fClient),OR(fCampaign="All",$C14=fCampaign),OR(fTeam="All",$R14=fTeam),OR(fChannel="All",$D14=fChannel),OR(fMonth="All",$U14=fMonth)),1,0))</f>
        <v>0</v>
      </c>
      <c r="W14" s="71">
        <f>IF($D14="",0,IF(AND(OR(fClient="All",$B14=fClient),OR(fCampaign="All",$C14=fCampaign),OR(fTeam="All",$R14=fTeam),OR(fChannel="All",$D14=fChannel)),1,0))</f>
        <v>0</v>
      </c>
    </row>
    <row r="15">
      <c r="A15" s="63" t="n"/>
      <c r="B15" s="64" t="n"/>
      <c r="C15" s="64" t="n"/>
      <c r="D15" s="64" t="n"/>
      <c r="E15" s="64" t="n"/>
      <c r="F15" s="67" t="n"/>
      <c r="G15" s="67" t="n"/>
      <c r="H15" s="67" t="n"/>
      <c r="I15" s="67" t="n"/>
      <c r="J15" s="67" t="n"/>
      <c r="K15" s="76" t="str">
        <f>IF(AND(ISNUMBER($H15),$H15&gt;0,ISNUMBER($J15)),$J15/$H15,"")</f>
        <v/>
      </c>
      <c r="L15" s="77" t="str">
        <f>IF(AND(ISNUMBER($J15),$J15&gt;0,ISNUMBER($G15)),$G15/$J15,"")</f>
        <v/>
      </c>
      <c r="M15" s="67" t="n"/>
      <c r="N15" s="67" t="n"/>
      <c r="O15" s="72" t="str">
        <f>IF(AND(ISNUMBER($M15),$M15&gt;0,ISNUMBER($G15)),$G15/$M15,"")</f>
        <v/>
      </c>
      <c r="P15" s="73" t="str">
        <f>IF(AND(ISNUMBER($J15),$J15&gt;0,ISNUMBER($M15)),$M15/$J15,"")</f>
        <v/>
      </c>
      <c r="Q15" s="64" t="n"/>
      <c r="R15" s="64" t="n"/>
      <c r="S15" s="65" t="n"/>
      <c r="T15" s="65" t="n"/>
      <c r="U15" s="71" t="str">
        <f>IF(ISNUMBER($A15),YEAR($A15)&amp;"-"&amp;TEXT(MONTH($A15),"00"),"")</f>
        <v/>
      </c>
      <c r="V15" s="71">
        <f>IF($D15="",0,IF(AND(OR(fClient="All",$B15=fClient),OR(fCampaign="All",$C15=fCampaign),OR(fTeam="All",$R15=fTeam),OR(fChannel="All",$D15=fChannel),OR(fMonth="All",$U15=fMonth)),1,0))</f>
        <v>0</v>
      </c>
      <c r="W15" s="71">
        <f>IF($D15="",0,IF(AND(OR(fClient="All",$B15=fClient),OR(fCampaign="All",$C15=fCampaign),OR(fTeam="All",$R15=fTeam),OR(fChannel="All",$D15=fChannel)),1,0))</f>
        <v>0</v>
      </c>
    </row>
    <row r="16">
      <c r="A16" s="63" t="n"/>
      <c r="B16" s="64" t="n"/>
      <c r="C16" s="64" t="n"/>
      <c r="D16" s="64" t="n"/>
      <c r="E16" s="64" t="n"/>
      <c r="F16" s="67" t="n"/>
      <c r="G16" s="67" t="n"/>
      <c r="H16" s="67" t="n"/>
      <c r="I16" s="67" t="n"/>
      <c r="J16" s="67" t="n"/>
      <c r="K16" s="76" t="str">
        <f>IF(AND(ISNUMBER($H16),$H16&gt;0,ISNUMBER($J16)),$J16/$H16,"")</f>
        <v/>
      </c>
      <c r="L16" s="77" t="str">
        <f>IF(AND(ISNUMBER($J16),$J16&gt;0,ISNUMBER($G16)),$G16/$J16,"")</f>
        <v/>
      </c>
      <c r="M16" s="67" t="n"/>
      <c r="N16" s="67" t="n"/>
      <c r="O16" s="72" t="str">
        <f>IF(AND(ISNUMBER($M16),$M16&gt;0,ISNUMBER($G16)),$G16/$M16,"")</f>
        <v/>
      </c>
      <c r="P16" s="73" t="str">
        <f>IF(AND(ISNUMBER($J16),$J16&gt;0,ISNUMBER($M16)),$M16/$J16,"")</f>
        <v/>
      </c>
      <c r="Q16" s="64" t="n"/>
      <c r="R16" s="64" t="n"/>
      <c r="S16" s="65" t="n"/>
      <c r="T16" s="65" t="n"/>
      <c r="U16" s="71" t="str">
        <f>IF(ISNUMBER($A16),YEAR($A16)&amp;"-"&amp;TEXT(MONTH($A16),"00"),"")</f>
        <v/>
      </c>
      <c r="V16" s="71">
        <f>IF($D16="",0,IF(AND(OR(fClient="All",$B16=fClient),OR(fCampaign="All",$C16=fCampaign),OR(fTeam="All",$R16=fTeam),OR(fChannel="All",$D16=fChannel),OR(fMonth="All",$U16=fMonth)),1,0))</f>
        <v>0</v>
      </c>
      <c r="W16" s="71">
        <f>IF($D16="",0,IF(AND(OR(fClient="All",$B16=fClient),OR(fCampaign="All",$C16=fCampaign),OR(fTeam="All",$R16=fTeam),OR(fChannel="All",$D16=fChannel)),1,0))</f>
        <v>0</v>
      </c>
    </row>
    <row r="17">
      <c r="A17" s="63" t="n"/>
      <c r="B17" s="64" t="n"/>
      <c r="C17" s="64" t="n"/>
      <c r="D17" s="64" t="n"/>
      <c r="E17" s="64" t="n"/>
      <c r="F17" s="67" t="n"/>
      <c r="G17" s="67" t="n"/>
      <c r="H17" s="67" t="n"/>
      <c r="I17" s="67" t="n"/>
      <c r="J17" s="67" t="n"/>
      <c r="K17" s="76" t="str">
        <f>IF(AND(ISNUMBER($H17),$H17&gt;0,ISNUMBER($J17)),$J17/$H17,"")</f>
        <v/>
      </c>
      <c r="L17" s="77" t="str">
        <f>IF(AND(ISNUMBER($J17),$J17&gt;0,ISNUMBER($G17)),$G17/$J17,"")</f>
        <v/>
      </c>
      <c r="M17" s="67" t="n"/>
      <c r="N17" s="67" t="n"/>
      <c r="O17" s="72" t="str">
        <f>IF(AND(ISNUMBER($M17),$M17&gt;0,ISNUMBER($G17)),$G17/$M17,"")</f>
        <v/>
      </c>
      <c r="P17" s="73" t="str">
        <f>IF(AND(ISNUMBER($J17),$J17&gt;0,ISNUMBER($M17)),$M17/$J17,"")</f>
        <v/>
      </c>
      <c r="Q17" s="64" t="n"/>
      <c r="R17" s="64" t="n"/>
      <c r="S17" s="65" t="n"/>
      <c r="T17" s="65" t="n"/>
      <c r="U17" s="71" t="str">
        <f>IF(ISNUMBER($A17),YEAR($A17)&amp;"-"&amp;TEXT(MONTH($A17),"00"),"")</f>
        <v/>
      </c>
      <c r="V17" s="71">
        <f>IF($D17="",0,IF(AND(OR(fClient="All",$B17=fClient),OR(fCampaign="All",$C17=fCampaign),OR(fTeam="All",$R17=fTeam),OR(fChannel="All",$D17=fChannel),OR(fMonth="All",$U17=fMonth)),1,0))</f>
        <v>0</v>
      </c>
      <c r="W17" s="71">
        <f>IF($D17="",0,IF(AND(OR(fClient="All",$B17=fClient),OR(fCampaign="All",$C17=fCampaign),OR(fTeam="All",$R17=fTeam),OR(fChannel="All",$D17=fChannel)),1,0))</f>
        <v>0</v>
      </c>
    </row>
    <row r="18">
      <c r="A18" s="63" t="n"/>
      <c r="B18" s="64" t="n"/>
      <c r="C18" s="64" t="n"/>
      <c r="D18" s="64" t="n"/>
      <c r="E18" s="64" t="n"/>
      <c r="F18" s="67" t="n"/>
      <c r="G18" s="67" t="n"/>
      <c r="H18" s="67" t="n"/>
      <c r="I18" s="67" t="n"/>
      <c r="J18" s="67" t="n"/>
      <c r="K18" s="76" t="str">
        <f>IF(AND(ISNUMBER($H18),$H18&gt;0,ISNUMBER($J18)),$J18/$H18,"")</f>
        <v/>
      </c>
      <c r="L18" s="77" t="str">
        <f>IF(AND(ISNUMBER($J18),$J18&gt;0,ISNUMBER($G18)),$G18/$J18,"")</f>
        <v/>
      </c>
      <c r="M18" s="67" t="n"/>
      <c r="N18" s="67" t="n"/>
      <c r="O18" s="72" t="str">
        <f>IF(AND(ISNUMBER($M18),$M18&gt;0,ISNUMBER($G18)),$G18/$M18,"")</f>
        <v/>
      </c>
      <c r="P18" s="73" t="str">
        <f>IF(AND(ISNUMBER($J18),$J18&gt;0,ISNUMBER($M18)),$M18/$J18,"")</f>
        <v/>
      </c>
      <c r="Q18" s="64" t="n"/>
      <c r="R18" s="64" t="n"/>
      <c r="S18" s="65" t="n"/>
      <c r="T18" s="65" t="n"/>
      <c r="U18" s="71" t="str">
        <f>IF(ISNUMBER($A18),YEAR($A18)&amp;"-"&amp;TEXT(MONTH($A18),"00"),"")</f>
        <v/>
      </c>
      <c r="V18" s="71">
        <f>IF($D18="",0,IF(AND(OR(fClient="All",$B18=fClient),OR(fCampaign="All",$C18=fCampaign),OR(fTeam="All",$R18=fTeam),OR(fChannel="All",$D18=fChannel),OR(fMonth="All",$U18=fMonth)),1,0))</f>
        <v>0</v>
      </c>
      <c r="W18" s="71">
        <f>IF($D18="",0,IF(AND(OR(fClient="All",$B18=fClient),OR(fCampaign="All",$C18=fCampaign),OR(fTeam="All",$R18=fTeam),OR(fChannel="All",$D18=fChannel)),1,0))</f>
        <v>0</v>
      </c>
    </row>
    <row r="19">
      <c r="A19" s="63" t="n"/>
      <c r="B19" s="64" t="n"/>
      <c r="C19" s="64" t="n"/>
      <c r="D19" s="64" t="n"/>
      <c r="E19" s="64" t="n"/>
      <c r="F19" s="67" t="n"/>
      <c r="G19" s="67" t="n"/>
      <c r="H19" s="67" t="n"/>
      <c r="I19" s="67" t="n"/>
      <c r="J19" s="67" t="n"/>
      <c r="K19" s="76" t="str">
        <f>IF(AND(ISNUMBER($H19),$H19&gt;0,ISNUMBER($J19)),$J19/$H19,"")</f>
        <v/>
      </c>
      <c r="L19" s="77" t="str">
        <f>IF(AND(ISNUMBER($J19),$J19&gt;0,ISNUMBER($G19)),$G19/$J19,"")</f>
        <v/>
      </c>
      <c r="M19" s="67" t="n"/>
      <c r="N19" s="67" t="n"/>
      <c r="O19" s="72" t="str">
        <f>IF(AND(ISNUMBER($M19),$M19&gt;0,ISNUMBER($G19)),$G19/$M19,"")</f>
        <v/>
      </c>
      <c r="P19" s="73" t="str">
        <f>IF(AND(ISNUMBER($J19),$J19&gt;0,ISNUMBER($M19)),$M19/$J19,"")</f>
        <v/>
      </c>
      <c r="Q19" s="64" t="n"/>
      <c r="R19" s="64" t="n"/>
      <c r="S19" s="65" t="n"/>
      <c r="T19" s="65" t="n"/>
      <c r="U19" s="71" t="str">
        <f>IF(ISNUMBER($A19),YEAR($A19)&amp;"-"&amp;TEXT(MONTH($A19),"00"),"")</f>
        <v/>
      </c>
      <c r="V19" s="71">
        <f>IF($D19="",0,IF(AND(OR(fClient="All",$B19=fClient),OR(fCampaign="All",$C19=fCampaign),OR(fTeam="All",$R19=fTeam),OR(fChannel="All",$D19=fChannel),OR(fMonth="All",$U19=fMonth)),1,0))</f>
        <v>0</v>
      </c>
      <c r="W19" s="71">
        <f>IF($D19="",0,IF(AND(OR(fClient="All",$B19=fClient),OR(fCampaign="All",$C19=fCampaign),OR(fTeam="All",$R19=fTeam),OR(fChannel="All",$D19=fChannel)),1,0))</f>
        <v>0</v>
      </c>
    </row>
    <row r="20">
      <c r="A20" s="63" t="n"/>
      <c r="B20" s="64" t="n"/>
      <c r="C20" s="64" t="n"/>
      <c r="D20" s="64" t="n"/>
      <c r="E20" s="64" t="n"/>
      <c r="F20" s="67" t="n"/>
      <c r="G20" s="67" t="n"/>
      <c r="H20" s="67" t="n"/>
      <c r="I20" s="67" t="n"/>
      <c r="J20" s="67" t="n"/>
      <c r="K20" s="76" t="str">
        <f>IF(AND(ISNUMBER($H20),$H20&gt;0,ISNUMBER($J20)),$J20/$H20,"")</f>
        <v/>
      </c>
      <c r="L20" s="77" t="str">
        <f>IF(AND(ISNUMBER($J20),$J20&gt;0,ISNUMBER($G20)),$G20/$J20,"")</f>
        <v/>
      </c>
      <c r="M20" s="67" t="n"/>
      <c r="N20" s="67" t="n"/>
      <c r="O20" s="72" t="str">
        <f>IF(AND(ISNUMBER($M20),$M20&gt;0,ISNUMBER($G20)),$G20/$M20,"")</f>
        <v/>
      </c>
      <c r="P20" s="73" t="str">
        <f>IF(AND(ISNUMBER($J20),$J20&gt;0,ISNUMBER($M20)),$M20/$J20,"")</f>
        <v/>
      </c>
      <c r="Q20" s="64" t="n"/>
      <c r="R20" s="64" t="n"/>
      <c r="S20" s="65" t="n"/>
      <c r="T20" s="65" t="n"/>
      <c r="U20" s="71" t="str">
        <f>IF(ISNUMBER($A20),YEAR($A20)&amp;"-"&amp;TEXT(MONTH($A20),"00"),"")</f>
        <v/>
      </c>
      <c r="V20" s="71">
        <f>IF($D20="",0,IF(AND(OR(fClient="All",$B20=fClient),OR(fCampaign="All",$C20=fCampaign),OR(fTeam="All",$R20=fTeam),OR(fChannel="All",$D20=fChannel),OR(fMonth="All",$U20=fMonth)),1,0))</f>
        <v>0</v>
      </c>
      <c r="W20" s="71">
        <f>IF($D20="",0,IF(AND(OR(fClient="All",$B20=fClient),OR(fCampaign="All",$C20=fCampaign),OR(fTeam="All",$R20=fTeam),OR(fChannel="All",$D20=fChannel)),1,0))</f>
        <v>0</v>
      </c>
    </row>
    <row r="21">
      <c r="A21" s="63" t="n"/>
      <c r="B21" s="64" t="n"/>
      <c r="C21" s="64" t="n"/>
      <c r="D21" s="64" t="n"/>
      <c r="E21" s="64" t="n"/>
      <c r="F21" s="67" t="n"/>
      <c r="G21" s="67" t="n"/>
      <c r="H21" s="67" t="n"/>
      <c r="I21" s="67" t="n"/>
      <c r="J21" s="67" t="n"/>
      <c r="K21" s="76" t="str">
        <f>IF(AND(ISNUMBER($H21),$H21&gt;0,ISNUMBER($J21)),$J21/$H21,"")</f>
        <v/>
      </c>
      <c r="L21" s="77" t="str">
        <f>IF(AND(ISNUMBER($J21),$J21&gt;0,ISNUMBER($G21)),$G21/$J21,"")</f>
        <v/>
      </c>
      <c r="M21" s="67" t="n"/>
      <c r="N21" s="67" t="n"/>
      <c r="O21" s="72" t="str">
        <f>IF(AND(ISNUMBER($M21),$M21&gt;0,ISNUMBER($G21)),$G21/$M21,"")</f>
        <v/>
      </c>
      <c r="P21" s="73" t="str">
        <f>IF(AND(ISNUMBER($J21),$J21&gt;0,ISNUMBER($M21)),$M21/$J21,"")</f>
        <v/>
      </c>
      <c r="Q21" s="64" t="n"/>
      <c r="R21" s="64" t="n"/>
      <c r="S21" s="65" t="n"/>
      <c r="T21" s="65" t="n"/>
      <c r="U21" s="71" t="str">
        <f>IF(ISNUMBER($A21),YEAR($A21)&amp;"-"&amp;TEXT(MONTH($A21),"00"),"")</f>
        <v/>
      </c>
      <c r="V21" s="71">
        <f>IF($D21="",0,IF(AND(OR(fClient="All",$B21=fClient),OR(fCampaign="All",$C21=fCampaign),OR(fTeam="All",$R21=fTeam),OR(fChannel="All",$D21=fChannel),OR(fMonth="All",$U21=fMonth)),1,0))</f>
        <v>0</v>
      </c>
      <c r="W21" s="71">
        <f>IF($D21="",0,IF(AND(OR(fClient="All",$B21=fClient),OR(fCampaign="All",$C21=fCampaign),OR(fTeam="All",$R21=fTeam),OR(fChannel="All",$D21=fChannel)),1,0))</f>
        <v>0</v>
      </c>
    </row>
    <row r="22">
      <c r="A22" s="63" t="n"/>
      <c r="B22" s="64" t="n"/>
      <c r="C22" s="64" t="n"/>
      <c r="D22" s="64" t="n"/>
      <c r="E22" s="64" t="n"/>
      <c r="F22" s="67" t="n"/>
      <c r="G22" s="67" t="n"/>
      <c r="H22" s="67" t="n"/>
      <c r="I22" s="67" t="n"/>
      <c r="J22" s="67" t="n"/>
      <c r="K22" s="76" t="str">
        <f>IF(AND(ISNUMBER($H22),$H22&gt;0,ISNUMBER($J22)),$J22/$H22,"")</f>
        <v/>
      </c>
      <c r="L22" s="77" t="str">
        <f>IF(AND(ISNUMBER($J22),$J22&gt;0,ISNUMBER($G22)),$G22/$J22,"")</f>
        <v/>
      </c>
      <c r="M22" s="67" t="n"/>
      <c r="N22" s="67" t="n"/>
      <c r="O22" s="72" t="str">
        <f>IF(AND(ISNUMBER($M22),$M22&gt;0,ISNUMBER($G22)),$G22/$M22,"")</f>
        <v/>
      </c>
      <c r="P22" s="73" t="str">
        <f>IF(AND(ISNUMBER($J22),$J22&gt;0,ISNUMBER($M22)),$M22/$J22,"")</f>
        <v/>
      </c>
      <c r="Q22" s="64" t="n"/>
      <c r="R22" s="64" t="n"/>
      <c r="S22" s="65" t="n"/>
      <c r="T22" s="65" t="n"/>
      <c r="U22" s="71" t="str">
        <f>IF(ISNUMBER($A22),YEAR($A22)&amp;"-"&amp;TEXT(MONTH($A22),"00"),"")</f>
        <v/>
      </c>
      <c r="V22" s="71">
        <f>IF($D22="",0,IF(AND(OR(fClient="All",$B22=fClient),OR(fCampaign="All",$C22=fCampaign),OR(fTeam="All",$R22=fTeam),OR(fChannel="All",$D22=fChannel),OR(fMonth="All",$U22=fMonth)),1,0))</f>
        <v>0</v>
      </c>
      <c r="W22" s="71">
        <f>IF($D22="",0,IF(AND(OR(fClient="All",$B22=fClient),OR(fCampaign="All",$C22=fCampaign),OR(fTeam="All",$R22=fTeam),OR(fChannel="All",$D22=fChannel)),1,0))</f>
        <v>0</v>
      </c>
    </row>
    <row r="23">
      <c r="A23" s="63" t="n"/>
      <c r="B23" s="64" t="n"/>
      <c r="C23" s="64" t="n"/>
      <c r="D23" s="64" t="n"/>
      <c r="E23" s="64" t="n"/>
      <c r="F23" s="67" t="n"/>
      <c r="G23" s="67" t="n"/>
      <c r="H23" s="67" t="n"/>
      <c r="I23" s="67" t="n"/>
      <c r="J23" s="67" t="n"/>
      <c r="K23" s="76" t="str">
        <f>IF(AND(ISNUMBER($H23),$H23&gt;0,ISNUMBER($J23)),$J23/$H23,"")</f>
        <v/>
      </c>
      <c r="L23" s="77" t="str">
        <f>IF(AND(ISNUMBER($J23),$J23&gt;0,ISNUMBER($G23)),$G23/$J23,"")</f>
        <v/>
      </c>
      <c r="M23" s="67" t="n"/>
      <c r="N23" s="67" t="n"/>
      <c r="O23" s="72" t="str">
        <f>IF(AND(ISNUMBER($M23),$M23&gt;0,ISNUMBER($G23)),$G23/$M23,"")</f>
        <v/>
      </c>
      <c r="P23" s="73" t="str">
        <f>IF(AND(ISNUMBER($J23),$J23&gt;0,ISNUMBER($M23)),$M23/$J23,"")</f>
        <v/>
      </c>
      <c r="Q23" s="64" t="n"/>
      <c r="R23" s="64" t="n"/>
      <c r="S23" s="65" t="n"/>
      <c r="T23" s="65" t="n"/>
      <c r="U23" s="71" t="str">
        <f>IF(ISNUMBER($A23),YEAR($A23)&amp;"-"&amp;TEXT(MONTH($A23),"00"),"")</f>
        <v/>
      </c>
      <c r="V23" s="71">
        <f>IF($D23="",0,IF(AND(OR(fClient="All",$B23=fClient),OR(fCampaign="All",$C23=fCampaign),OR(fTeam="All",$R23=fTeam),OR(fChannel="All",$D23=fChannel),OR(fMonth="All",$U23=fMonth)),1,0))</f>
        <v>0</v>
      </c>
      <c r="W23" s="71">
        <f>IF($D23="",0,IF(AND(OR(fClient="All",$B23=fClient),OR(fCampaign="All",$C23=fCampaign),OR(fTeam="All",$R23=fTeam),OR(fChannel="All",$D23=fChannel)),1,0))</f>
        <v>0</v>
      </c>
    </row>
    <row r="24">
      <c r="A24" s="63" t="n"/>
      <c r="B24" s="64" t="n"/>
      <c r="C24" s="64" t="n"/>
      <c r="D24" s="64" t="n"/>
      <c r="E24" s="64" t="n"/>
      <c r="F24" s="67" t="n"/>
      <c r="G24" s="67" t="n"/>
      <c r="H24" s="67" t="n"/>
      <c r="I24" s="67" t="n"/>
      <c r="J24" s="67" t="n"/>
      <c r="K24" s="76" t="str">
        <f>IF(AND(ISNUMBER($H24),$H24&gt;0,ISNUMBER($J24)),$J24/$H24,"")</f>
        <v/>
      </c>
      <c r="L24" s="77" t="str">
        <f>IF(AND(ISNUMBER($J24),$J24&gt;0,ISNUMBER($G24)),$G24/$J24,"")</f>
        <v/>
      </c>
      <c r="M24" s="67" t="n"/>
      <c r="N24" s="67" t="n"/>
      <c r="O24" s="72" t="str">
        <f>IF(AND(ISNUMBER($M24),$M24&gt;0,ISNUMBER($G24)),$G24/$M24,"")</f>
        <v/>
      </c>
      <c r="P24" s="73" t="str">
        <f>IF(AND(ISNUMBER($J24),$J24&gt;0,ISNUMBER($M24)),$M24/$J24,"")</f>
        <v/>
      </c>
      <c r="Q24" s="64" t="n"/>
      <c r="R24" s="64" t="n"/>
      <c r="S24" s="65" t="n"/>
      <c r="T24" s="65" t="n"/>
      <c r="U24" s="71" t="str">
        <f>IF(ISNUMBER($A24),YEAR($A24)&amp;"-"&amp;TEXT(MONTH($A24),"00"),"")</f>
        <v/>
      </c>
      <c r="V24" s="71">
        <f>IF($D24="",0,IF(AND(OR(fClient="All",$B24=fClient),OR(fCampaign="All",$C24=fCampaign),OR(fTeam="All",$R24=fTeam),OR(fChannel="All",$D24=fChannel),OR(fMonth="All",$U24=fMonth)),1,0))</f>
        <v>0</v>
      </c>
      <c r="W24" s="71">
        <f>IF($D24="",0,IF(AND(OR(fClient="All",$B24=fClient),OR(fCampaign="All",$C24=fCampaign),OR(fTeam="All",$R24=fTeam),OR(fChannel="All",$D24=fChannel)),1,0))</f>
        <v>0</v>
      </c>
    </row>
    <row r="25">
      <c r="A25" s="63" t="n"/>
      <c r="B25" s="64" t="n"/>
      <c r="C25" s="64" t="n"/>
      <c r="D25" s="64" t="n"/>
      <c r="E25" s="64" t="n"/>
      <c r="F25" s="67" t="n"/>
      <c r="G25" s="67" t="n"/>
      <c r="H25" s="67" t="n"/>
      <c r="I25" s="67" t="n"/>
      <c r="J25" s="67" t="n"/>
      <c r="K25" s="76" t="str">
        <f>IF(AND(ISNUMBER($H25),$H25&gt;0,ISNUMBER($J25)),$J25/$H25,"")</f>
        <v/>
      </c>
      <c r="L25" s="77" t="str">
        <f>IF(AND(ISNUMBER($J25),$J25&gt;0,ISNUMBER($G25)),$G25/$J25,"")</f>
        <v/>
      </c>
      <c r="M25" s="67" t="n"/>
      <c r="N25" s="67" t="n"/>
      <c r="O25" s="72" t="str">
        <f>IF(AND(ISNUMBER($M25),$M25&gt;0,ISNUMBER($G25)),$G25/$M25,"")</f>
        <v/>
      </c>
      <c r="P25" s="73" t="str">
        <f>IF(AND(ISNUMBER($J25),$J25&gt;0,ISNUMBER($M25)),$M25/$J25,"")</f>
        <v/>
      </c>
      <c r="Q25" s="64" t="n"/>
      <c r="R25" s="64" t="n"/>
      <c r="S25" s="65" t="n"/>
      <c r="T25" s="65" t="n"/>
      <c r="U25" s="71" t="str">
        <f>IF(ISNUMBER($A25),YEAR($A25)&amp;"-"&amp;TEXT(MONTH($A25),"00"),"")</f>
        <v/>
      </c>
      <c r="V25" s="71">
        <f>IF($D25="",0,IF(AND(OR(fClient="All",$B25=fClient),OR(fCampaign="All",$C25=fCampaign),OR(fTeam="All",$R25=fTeam),OR(fChannel="All",$D25=fChannel),OR(fMonth="All",$U25=fMonth)),1,0))</f>
        <v>0</v>
      </c>
      <c r="W25" s="71">
        <f>IF($D25="",0,IF(AND(OR(fClient="All",$B25=fClient),OR(fCampaign="All",$C25=fCampaign),OR(fTeam="All",$R25=fTeam),OR(fChannel="All",$D25=fChannel)),1,0))</f>
        <v>0</v>
      </c>
    </row>
    <row r="26">
      <c r="A26" s="63" t="n"/>
      <c r="B26" s="64" t="n"/>
      <c r="C26" s="64" t="n"/>
      <c r="D26" s="64" t="n"/>
      <c r="E26" s="64" t="n"/>
      <c r="F26" s="67" t="n"/>
      <c r="G26" s="67" t="n"/>
      <c r="H26" s="67" t="n"/>
      <c r="I26" s="67" t="n"/>
      <c r="J26" s="67" t="n"/>
      <c r="K26" s="76" t="str">
        <f>IF(AND(ISNUMBER($H26),$H26&gt;0,ISNUMBER($J26)),$J26/$H26,"")</f>
        <v/>
      </c>
      <c r="L26" s="77" t="str">
        <f>IF(AND(ISNUMBER($J26),$J26&gt;0,ISNUMBER($G26)),$G26/$J26,"")</f>
        <v/>
      </c>
      <c r="M26" s="67" t="n"/>
      <c r="N26" s="67" t="n"/>
      <c r="O26" s="72" t="str">
        <f>IF(AND(ISNUMBER($M26),$M26&gt;0,ISNUMBER($G26)),$G26/$M26,"")</f>
        <v/>
      </c>
      <c r="P26" s="73" t="str">
        <f>IF(AND(ISNUMBER($J26),$J26&gt;0,ISNUMBER($M26)),$M26/$J26,"")</f>
        <v/>
      </c>
      <c r="Q26" s="64" t="n"/>
      <c r="R26" s="64" t="n"/>
      <c r="S26" s="65" t="n"/>
      <c r="T26" s="65" t="n"/>
      <c r="U26" s="71" t="str">
        <f>IF(ISNUMBER($A26),YEAR($A26)&amp;"-"&amp;TEXT(MONTH($A26),"00"),"")</f>
        <v/>
      </c>
      <c r="V26" s="71">
        <f>IF($D26="",0,IF(AND(OR(fClient="All",$B26=fClient),OR(fCampaign="All",$C26=fCampaign),OR(fTeam="All",$R26=fTeam),OR(fChannel="All",$D26=fChannel),OR(fMonth="All",$U26=fMonth)),1,0))</f>
        <v>0</v>
      </c>
      <c r="W26" s="71">
        <f>IF($D26="",0,IF(AND(OR(fClient="All",$B26=fClient),OR(fCampaign="All",$C26=fCampaign),OR(fTeam="All",$R26=fTeam),OR(fChannel="All",$D26=fChannel)),1,0))</f>
        <v>0</v>
      </c>
    </row>
    <row r="27">
      <c r="A27" s="63" t="n"/>
      <c r="B27" s="64" t="n"/>
      <c r="C27" s="64" t="n"/>
      <c r="D27" s="64" t="n"/>
      <c r="E27" s="64" t="n"/>
      <c r="F27" s="67" t="n"/>
      <c r="G27" s="67" t="n"/>
      <c r="H27" s="67" t="n"/>
      <c r="I27" s="67" t="n"/>
      <c r="J27" s="67" t="n"/>
      <c r="K27" s="76" t="str">
        <f>IF(AND(ISNUMBER($H27),$H27&gt;0,ISNUMBER($J27)),$J27/$H27,"")</f>
        <v/>
      </c>
      <c r="L27" s="77" t="str">
        <f>IF(AND(ISNUMBER($J27),$J27&gt;0,ISNUMBER($G27)),$G27/$J27,"")</f>
        <v/>
      </c>
      <c r="M27" s="67" t="n"/>
      <c r="N27" s="67" t="n"/>
      <c r="O27" s="72" t="str">
        <f>IF(AND(ISNUMBER($M27),$M27&gt;0,ISNUMBER($G27)),$G27/$M27,"")</f>
        <v/>
      </c>
      <c r="P27" s="73" t="str">
        <f>IF(AND(ISNUMBER($J27),$J27&gt;0,ISNUMBER($M27)),$M27/$J27,"")</f>
        <v/>
      </c>
      <c r="Q27" s="64" t="n"/>
      <c r="R27" s="64" t="n"/>
      <c r="S27" s="65" t="n"/>
      <c r="T27" s="65" t="n"/>
      <c r="U27" s="71" t="str">
        <f>IF(ISNUMBER($A27),YEAR($A27)&amp;"-"&amp;TEXT(MONTH($A27),"00"),"")</f>
        <v/>
      </c>
      <c r="V27" s="71">
        <f>IF($D27="",0,IF(AND(OR(fClient="All",$B27=fClient),OR(fCampaign="All",$C27=fCampaign),OR(fTeam="All",$R27=fTeam),OR(fChannel="All",$D27=fChannel),OR(fMonth="All",$U27=fMonth)),1,0))</f>
        <v>0</v>
      </c>
      <c r="W27" s="71">
        <f>IF($D27="",0,IF(AND(OR(fClient="All",$B27=fClient),OR(fCampaign="All",$C27=fCampaign),OR(fTeam="All",$R27=fTeam),OR(fChannel="All",$D27=fChannel)),1,0))</f>
        <v>0</v>
      </c>
    </row>
    <row r="28">
      <c r="A28" s="63" t="n"/>
      <c r="B28" s="64" t="n"/>
      <c r="C28" s="64" t="n"/>
      <c r="D28" s="64" t="n"/>
      <c r="E28" s="64" t="n"/>
      <c r="F28" s="67" t="n"/>
      <c r="G28" s="67" t="n"/>
      <c r="H28" s="67" t="n"/>
      <c r="I28" s="67" t="n"/>
      <c r="J28" s="67" t="n"/>
      <c r="K28" s="76" t="str">
        <f>IF(AND(ISNUMBER($H28),$H28&gt;0,ISNUMBER($J28)),$J28/$H28,"")</f>
        <v/>
      </c>
      <c r="L28" s="77" t="str">
        <f>IF(AND(ISNUMBER($J28),$J28&gt;0,ISNUMBER($G28)),$G28/$J28,"")</f>
        <v/>
      </c>
      <c r="M28" s="67" t="n"/>
      <c r="N28" s="67" t="n"/>
      <c r="O28" s="72" t="str">
        <f>IF(AND(ISNUMBER($M28),$M28&gt;0,ISNUMBER($G28)),$G28/$M28,"")</f>
        <v/>
      </c>
      <c r="P28" s="73" t="str">
        <f>IF(AND(ISNUMBER($J28),$J28&gt;0,ISNUMBER($M28)),$M28/$J28,"")</f>
        <v/>
      </c>
      <c r="Q28" s="64" t="n"/>
      <c r="R28" s="64" t="n"/>
      <c r="S28" s="65" t="n"/>
      <c r="T28" s="65" t="n"/>
      <c r="U28" s="71" t="str">
        <f>IF(ISNUMBER($A28),YEAR($A28)&amp;"-"&amp;TEXT(MONTH($A28),"00"),"")</f>
        <v/>
      </c>
      <c r="V28" s="71">
        <f>IF($D28="",0,IF(AND(OR(fClient="All",$B28=fClient),OR(fCampaign="All",$C28=fCampaign),OR(fTeam="All",$R28=fTeam),OR(fChannel="All",$D28=fChannel),OR(fMonth="All",$U28=fMonth)),1,0))</f>
        <v>0</v>
      </c>
      <c r="W28" s="71">
        <f>IF($D28="",0,IF(AND(OR(fClient="All",$B28=fClient),OR(fCampaign="All",$C28=fCampaign),OR(fTeam="All",$R28=fTeam),OR(fChannel="All",$D28=fChannel)),1,0))</f>
        <v>0</v>
      </c>
    </row>
    <row r="29">
      <c r="A29" s="63" t="n"/>
      <c r="B29" s="64" t="n"/>
      <c r="C29" s="64" t="n"/>
      <c r="D29" s="64" t="n"/>
      <c r="E29" s="64" t="n"/>
      <c r="F29" s="67" t="n"/>
      <c r="G29" s="67" t="n"/>
      <c r="H29" s="67" t="n"/>
      <c r="I29" s="67" t="n"/>
      <c r="J29" s="67" t="n"/>
      <c r="K29" s="76" t="str">
        <f>IF(AND(ISNUMBER($H29),$H29&gt;0,ISNUMBER($J29)),$J29/$H29,"")</f>
        <v/>
      </c>
      <c r="L29" s="77" t="str">
        <f>IF(AND(ISNUMBER($J29),$J29&gt;0,ISNUMBER($G29)),$G29/$J29,"")</f>
        <v/>
      </c>
      <c r="M29" s="67" t="n"/>
      <c r="N29" s="67" t="n"/>
      <c r="O29" s="72" t="str">
        <f>IF(AND(ISNUMBER($M29),$M29&gt;0,ISNUMBER($G29)),$G29/$M29,"")</f>
        <v/>
      </c>
      <c r="P29" s="73" t="str">
        <f>IF(AND(ISNUMBER($J29),$J29&gt;0,ISNUMBER($M29)),$M29/$J29,"")</f>
        <v/>
      </c>
      <c r="Q29" s="64" t="n"/>
      <c r="R29" s="64" t="n"/>
      <c r="S29" s="65" t="n"/>
      <c r="T29" s="65" t="n"/>
      <c r="U29" s="71" t="str">
        <f>IF(ISNUMBER($A29),YEAR($A29)&amp;"-"&amp;TEXT(MONTH($A29),"00"),"")</f>
        <v/>
      </c>
      <c r="V29" s="71">
        <f>IF($D29="",0,IF(AND(OR(fClient="All",$B29=fClient),OR(fCampaign="All",$C29=fCampaign),OR(fTeam="All",$R29=fTeam),OR(fChannel="All",$D29=fChannel),OR(fMonth="All",$U29=fMonth)),1,0))</f>
        <v>0</v>
      </c>
      <c r="W29" s="71">
        <f>IF($D29="",0,IF(AND(OR(fClient="All",$B29=fClient),OR(fCampaign="All",$C29=fCampaign),OR(fTeam="All",$R29=fTeam),OR(fChannel="All",$D29=fChannel)),1,0))</f>
        <v>0</v>
      </c>
    </row>
    <row r="30">
      <c r="A30" s="63" t="n"/>
      <c r="B30" s="64" t="n"/>
      <c r="C30" s="64" t="n"/>
      <c r="D30" s="64" t="n"/>
      <c r="E30" s="64" t="n"/>
      <c r="F30" s="67" t="n"/>
      <c r="G30" s="67" t="n"/>
      <c r="H30" s="67" t="n"/>
      <c r="I30" s="67" t="n"/>
      <c r="J30" s="67" t="n"/>
      <c r="K30" s="76" t="str">
        <f>IF(AND(ISNUMBER($H30),$H30&gt;0,ISNUMBER($J30)),$J30/$H30,"")</f>
        <v/>
      </c>
      <c r="L30" s="77" t="str">
        <f>IF(AND(ISNUMBER($J30),$J30&gt;0,ISNUMBER($G30)),$G30/$J30,"")</f>
        <v/>
      </c>
      <c r="M30" s="67" t="n"/>
      <c r="N30" s="67" t="n"/>
      <c r="O30" s="72" t="str">
        <f>IF(AND(ISNUMBER($M30),$M30&gt;0,ISNUMBER($G30)),$G30/$M30,"")</f>
        <v/>
      </c>
      <c r="P30" s="73" t="str">
        <f>IF(AND(ISNUMBER($J30),$J30&gt;0,ISNUMBER($M30)),$M30/$J30,"")</f>
        <v/>
      </c>
      <c r="Q30" s="64" t="n"/>
      <c r="R30" s="64" t="n"/>
      <c r="S30" s="65" t="n"/>
      <c r="T30" s="65" t="n"/>
      <c r="U30" s="71" t="str">
        <f>IF(ISNUMBER($A30),YEAR($A30)&amp;"-"&amp;TEXT(MONTH($A30),"00"),"")</f>
        <v/>
      </c>
      <c r="V30" s="71">
        <f>IF($D30="",0,IF(AND(OR(fClient="All",$B30=fClient),OR(fCampaign="All",$C30=fCampaign),OR(fTeam="All",$R30=fTeam),OR(fChannel="All",$D30=fChannel),OR(fMonth="All",$U30=fMonth)),1,0))</f>
        <v>0</v>
      </c>
      <c r="W30" s="71">
        <f>IF($D30="",0,IF(AND(OR(fClient="All",$B30=fClient),OR(fCampaign="All",$C30=fCampaign),OR(fTeam="All",$R30=fTeam),OR(fChannel="All",$D30=fChannel)),1,0))</f>
        <v>0</v>
      </c>
    </row>
    <row r="31">
      <c r="A31" s="63" t="n"/>
      <c r="B31" s="64" t="n"/>
      <c r="C31" s="64" t="n"/>
      <c r="D31" s="64" t="n"/>
      <c r="E31" s="64" t="n"/>
      <c r="F31" s="67" t="n"/>
      <c r="G31" s="67" t="n"/>
      <c r="H31" s="67" t="n"/>
      <c r="I31" s="67" t="n"/>
      <c r="J31" s="67" t="n"/>
      <c r="K31" s="76" t="str">
        <f>IF(AND(ISNUMBER($H31),$H31&gt;0,ISNUMBER($J31)),$J31/$H31,"")</f>
        <v/>
      </c>
      <c r="L31" s="77" t="str">
        <f>IF(AND(ISNUMBER($J31),$J31&gt;0,ISNUMBER($G31)),$G31/$J31,"")</f>
        <v/>
      </c>
      <c r="M31" s="67" t="n"/>
      <c r="N31" s="67" t="n"/>
      <c r="O31" s="72" t="str">
        <f>IF(AND(ISNUMBER($M31),$M31&gt;0,ISNUMBER($G31)),$G31/$M31,"")</f>
        <v/>
      </c>
      <c r="P31" s="73" t="str">
        <f>IF(AND(ISNUMBER($J31),$J31&gt;0,ISNUMBER($M31)),$M31/$J31,"")</f>
        <v/>
      </c>
      <c r="Q31" s="64" t="n"/>
      <c r="R31" s="64" t="n"/>
      <c r="S31" s="65" t="n"/>
      <c r="T31" s="65" t="n"/>
      <c r="U31" s="71" t="str">
        <f>IF(ISNUMBER($A31),YEAR($A31)&amp;"-"&amp;TEXT(MONTH($A31),"00"),"")</f>
        <v/>
      </c>
      <c r="V31" s="71">
        <f>IF($D31="",0,IF(AND(OR(fClient="All",$B31=fClient),OR(fCampaign="All",$C31=fCampaign),OR(fTeam="All",$R31=fTeam),OR(fChannel="All",$D31=fChannel),OR(fMonth="All",$U31=fMonth)),1,0))</f>
        <v>0</v>
      </c>
      <c r="W31" s="71">
        <f>IF($D31="",0,IF(AND(OR(fClient="All",$B31=fClient),OR(fCampaign="All",$C31=fCampaign),OR(fTeam="All",$R31=fTeam),OR(fChannel="All",$D31=fChannel)),1,0))</f>
        <v>0</v>
      </c>
    </row>
    <row r="32">
      <c r="A32" s="63" t="n"/>
      <c r="B32" s="64" t="n"/>
      <c r="C32" s="64" t="n"/>
      <c r="D32" s="64" t="n"/>
      <c r="E32" s="64" t="n"/>
      <c r="F32" s="67" t="n"/>
      <c r="G32" s="67" t="n"/>
      <c r="H32" s="67" t="n"/>
      <c r="I32" s="67" t="n"/>
      <c r="J32" s="67" t="n"/>
      <c r="K32" s="76" t="str">
        <f>IF(AND(ISNUMBER($H32),$H32&gt;0,ISNUMBER($J32)),$J32/$H32,"")</f>
        <v/>
      </c>
      <c r="L32" s="77" t="str">
        <f>IF(AND(ISNUMBER($J32),$J32&gt;0,ISNUMBER($G32)),$G32/$J32,"")</f>
        <v/>
      </c>
      <c r="M32" s="67" t="n"/>
      <c r="N32" s="67" t="n"/>
      <c r="O32" s="72" t="str">
        <f>IF(AND(ISNUMBER($M32),$M32&gt;0,ISNUMBER($G32)),$G32/$M32,"")</f>
        <v/>
      </c>
      <c r="P32" s="73" t="str">
        <f>IF(AND(ISNUMBER($J32),$J32&gt;0,ISNUMBER($M32)),$M32/$J32,"")</f>
        <v/>
      </c>
      <c r="Q32" s="64" t="n"/>
      <c r="R32" s="64" t="n"/>
      <c r="S32" s="65" t="n"/>
      <c r="T32" s="65" t="n"/>
      <c r="U32" s="71" t="str">
        <f>IF(ISNUMBER($A32),YEAR($A32)&amp;"-"&amp;TEXT(MONTH($A32),"00"),"")</f>
        <v/>
      </c>
      <c r="V32" s="71">
        <f>IF($D32="",0,IF(AND(OR(fClient="All",$B32=fClient),OR(fCampaign="All",$C32=fCampaign),OR(fTeam="All",$R32=fTeam),OR(fChannel="All",$D32=fChannel),OR(fMonth="All",$U32=fMonth)),1,0))</f>
        <v>0</v>
      </c>
      <c r="W32" s="71">
        <f>IF($D32="",0,IF(AND(OR(fClient="All",$B32=fClient),OR(fCampaign="All",$C32=fCampaign),OR(fTeam="All",$R32=fTeam),OR(fChannel="All",$D32=fChannel)),1,0))</f>
        <v>0</v>
      </c>
    </row>
    <row r="33">
      <c r="A33" s="63" t="n"/>
      <c r="B33" s="64" t="n"/>
      <c r="C33" s="64" t="n"/>
      <c r="D33" s="64" t="n"/>
      <c r="E33" s="64" t="n"/>
      <c r="F33" s="67" t="n"/>
      <c r="G33" s="67" t="n"/>
      <c r="H33" s="67" t="n"/>
      <c r="I33" s="67" t="n"/>
      <c r="J33" s="67" t="n"/>
      <c r="K33" s="76" t="str">
        <f>IF(AND(ISNUMBER($H33),$H33&gt;0,ISNUMBER($J33)),$J33/$H33,"")</f>
        <v/>
      </c>
      <c r="L33" s="77" t="str">
        <f>IF(AND(ISNUMBER($J33),$J33&gt;0,ISNUMBER($G33)),$G33/$J33,"")</f>
        <v/>
      </c>
      <c r="M33" s="67" t="n"/>
      <c r="N33" s="67" t="n"/>
      <c r="O33" s="72" t="str">
        <f>IF(AND(ISNUMBER($M33),$M33&gt;0,ISNUMBER($G33)),$G33/$M33,"")</f>
        <v/>
      </c>
      <c r="P33" s="73" t="str">
        <f>IF(AND(ISNUMBER($J33),$J33&gt;0,ISNUMBER($M33)),$M33/$J33,"")</f>
        <v/>
      </c>
      <c r="Q33" s="64" t="n"/>
      <c r="R33" s="64" t="n"/>
      <c r="S33" s="65" t="n"/>
      <c r="T33" s="65" t="n"/>
      <c r="U33" s="71" t="str">
        <f>IF(ISNUMBER($A33),YEAR($A33)&amp;"-"&amp;TEXT(MONTH($A33),"00"),"")</f>
        <v/>
      </c>
      <c r="V33" s="71">
        <f>IF($D33="",0,IF(AND(OR(fClient="All",$B33=fClient),OR(fCampaign="All",$C33=fCampaign),OR(fTeam="All",$R33=fTeam),OR(fChannel="All",$D33=fChannel),OR(fMonth="All",$U33=fMonth)),1,0))</f>
        <v>0</v>
      </c>
      <c r="W33" s="71">
        <f>IF($D33="",0,IF(AND(OR(fClient="All",$B33=fClient),OR(fCampaign="All",$C33=fCampaign),OR(fTeam="All",$R33=fTeam),OR(fChannel="All",$D33=fChannel)),1,0))</f>
        <v>0</v>
      </c>
    </row>
    <row r="34">
      <c r="A34" s="63" t="n"/>
      <c r="B34" s="64" t="n"/>
      <c r="C34" s="64" t="n"/>
      <c r="D34" s="64" t="n"/>
      <c r="E34" s="64" t="n"/>
      <c r="F34" s="67" t="n"/>
      <c r="G34" s="67" t="n"/>
      <c r="H34" s="67" t="n"/>
      <c r="I34" s="67" t="n"/>
      <c r="J34" s="67" t="n"/>
      <c r="K34" s="76" t="str">
        <f>IF(AND(ISNUMBER($H34),$H34&gt;0,ISNUMBER($J34)),$J34/$H34,"")</f>
        <v/>
      </c>
      <c r="L34" s="77" t="str">
        <f>IF(AND(ISNUMBER($J34),$J34&gt;0,ISNUMBER($G34)),$G34/$J34,"")</f>
        <v/>
      </c>
      <c r="M34" s="67" t="n"/>
      <c r="N34" s="67" t="n"/>
      <c r="O34" s="72" t="str">
        <f>IF(AND(ISNUMBER($M34),$M34&gt;0,ISNUMBER($G34)),$G34/$M34,"")</f>
        <v/>
      </c>
      <c r="P34" s="73" t="str">
        <f>IF(AND(ISNUMBER($J34),$J34&gt;0,ISNUMBER($M34)),$M34/$J34,"")</f>
        <v/>
      </c>
      <c r="Q34" s="64" t="n"/>
      <c r="R34" s="64" t="n"/>
      <c r="S34" s="65" t="n"/>
      <c r="T34" s="65" t="n"/>
      <c r="U34" s="71" t="str">
        <f>IF(ISNUMBER($A34),YEAR($A34)&amp;"-"&amp;TEXT(MONTH($A34),"00"),"")</f>
        <v/>
      </c>
      <c r="V34" s="71">
        <f>IF($D34="",0,IF(AND(OR(fClient="All",$B34=fClient),OR(fCampaign="All",$C34=fCampaign),OR(fTeam="All",$R34=fTeam),OR(fChannel="All",$D34=fChannel),OR(fMonth="All",$U34=fMonth)),1,0))</f>
        <v>0</v>
      </c>
      <c r="W34" s="71">
        <f>IF($D34="",0,IF(AND(OR(fClient="All",$B34=fClient),OR(fCampaign="All",$C34=fCampaign),OR(fTeam="All",$R34=fTeam),OR(fChannel="All",$D34=fChannel)),1,0))</f>
        <v>0</v>
      </c>
    </row>
    <row r="35">
      <c r="A35" s="63" t="n"/>
      <c r="B35" s="64" t="n"/>
      <c r="C35" s="64" t="n"/>
      <c r="D35" s="64" t="n"/>
      <c r="E35" s="64" t="n"/>
      <c r="F35" s="67" t="n"/>
      <c r="G35" s="67" t="n"/>
      <c r="H35" s="67" t="n"/>
      <c r="I35" s="67" t="n"/>
      <c r="J35" s="67" t="n"/>
      <c r="K35" s="76" t="str">
        <f>IF(AND(ISNUMBER($H35),$H35&gt;0,ISNUMBER($J35)),$J35/$H35,"")</f>
        <v/>
      </c>
      <c r="L35" s="77" t="str">
        <f>IF(AND(ISNUMBER($J35),$J35&gt;0,ISNUMBER($G35)),$G35/$J35,"")</f>
        <v/>
      </c>
      <c r="M35" s="67" t="n"/>
      <c r="N35" s="67" t="n"/>
      <c r="O35" s="72" t="str">
        <f>IF(AND(ISNUMBER($M35),$M35&gt;0,ISNUMBER($G35)),$G35/$M35,"")</f>
        <v/>
      </c>
      <c r="P35" s="73" t="str">
        <f>IF(AND(ISNUMBER($J35),$J35&gt;0,ISNUMBER($M35)),$M35/$J35,"")</f>
        <v/>
      </c>
      <c r="Q35" s="64" t="n"/>
      <c r="R35" s="64" t="n"/>
      <c r="S35" s="65" t="n"/>
      <c r="T35" s="65" t="n"/>
      <c r="U35" s="71" t="str">
        <f>IF(ISNUMBER($A35),YEAR($A35)&amp;"-"&amp;TEXT(MONTH($A35),"00"),"")</f>
        <v/>
      </c>
      <c r="V35" s="71">
        <f>IF($D35="",0,IF(AND(OR(fClient="All",$B35=fClient),OR(fCampaign="All",$C35=fCampaign),OR(fTeam="All",$R35=fTeam),OR(fChannel="All",$D35=fChannel),OR(fMonth="All",$U35=fMonth)),1,0))</f>
        <v>0</v>
      </c>
      <c r="W35" s="71">
        <f>IF($D35="",0,IF(AND(OR(fClient="All",$B35=fClient),OR(fCampaign="All",$C35=fCampaign),OR(fTeam="All",$R35=fTeam),OR(fChannel="All",$D35=fChannel)),1,0))</f>
        <v>0</v>
      </c>
    </row>
    <row r="36">
      <c r="A36" s="63" t="n"/>
      <c r="B36" s="64" t="n"/>
      <c r="C36" s="64" t="n"/>
      <c r="D36" s="64" t="n"/>
      <c r="E36" s="64" t="n"/>
      <c r="F36" s="67" t="n"/>
      <c r="G36" s="67" t="n"/>
      <c r="H36" s="67" t="n"/>
      <c r="I36" s="67" t="n"/>
      <c r="J36" s="67" t="n"/>
      <c r="K36" s="76" t="str">
        <f>IF(AND(ISNUMBER($H36),$H36&gt;0,ISNUMBER($J36)),$J36/$H36,"")</f>
        <v/>
      </c>
      <c r="L36" s="77" t="str">
        <f>IF(AND(ISNUMBER($J36),$J36&gt;0,ISNUMBER($G36)),$G36/$J36,"")</f>
        <v/>
      </c>
      <c r="M36" s="67" t="n"/>
      <c r="N36" s="67" t="n"/>
      <c r="O36" s="72" t="str">
        <f>IF(AND(ISNUMBER($M36),$M36&gt;0,ISNUMBER($G36)),$G36/$M36,"")</f>
        <v/>
      </c>
      <c r="P36" s="73" t="str">
        <f>IF(AND(ISNUMBER($J36),$J36&gt;0,ISNUMBER($M36)),$M36/$J36,"")</f>
        <v/>
      </c>
      <c r="Q36" s="64" t="n"/>
      <c r="R36" s="64" t="n"/>
      <c r="S36" s="65" t="n"/>
      <c r="T36" s="65" t="n"/>
      <c r="U36" s="71" t="str">
        <f>IF(ISNUMBER($A36),YEAR($A36)&amp;"-"&amp;TEXT(MONTH($A36),"00"),"")</f>
        <v/>
      </c>
      <c r="V36" s="71">
        <f>IF($D36="",0,IF(AND(OR(fClient="All",$B36=fClient),OR(fCampaign="All",$C36=fCampaign),OR(fTeam="All",$R36=fTeam),OR(fChannel="All",$D36=fChannel),OR(fMonth="All",$U36=fMonth)),1,0))</f>
        <v>0</v>
      </c>
      <c r="W36" s="71">
        <f>IF($D36="",0,IF(AND(OR(fClient="All",$B36=fClient),OR(fCampaign="All",$C36=fCampaign),OR(fTeam="All",$R36=fTeam),OR(fChannel="All",$D36=fChannel)),1,0))</f>
        <v>0</v>
      </c>
    </row>
    <row r="37">
      <c r="A37" s="63" t="n"/>
      <c r="B37" s="64" t="n"/>
      <c r="C37" s="64" t="n"/>
      <c r="D37" s="64" t="n"/>
      <c r="E37" s="64" t="n"/>
      <c r="F37" s="67" t="n"/>
      <c r="G37" s="67" t="n"/>
      <c r="H37" s="67" t="n"/>
      <c r="I37" s="67" t="n"/>
      <c r="J37" s="67" t="n"/>
      <c r="K37" s="76" t="str">
        <f>IF(AND(ISNUMBER($H37),$H37&gt;0,ISNUMBER($J37)),$J37/$H37,"")</f>
        <v/>
      </c>
      <c r="L37" s="77" t="str">
        <f>IF(AND(ISNUMBER($J37),$J37&gt;0,ISNUMBER($G37)),$G37/$J37,"")</f>
        <v/>
      </c>
      <c r="M37" s="67" t="n"/>
      <c r="N37" s="67" t="n"/>
      <c r="O37" s="72" t="str">
        <f>IF(AND(ISNUMBER($M37),$M37&gt;0,ISNUMBER($G37)),$G37/$M37,"")</f>
        <v/>
      </c>
      <c r="P37" s="73" t="str">
        <f>IF(AND(ISNUMBER($J37),$J37&gt;0,ISNUMBER($M37)),$M37/$J37,"")</f>
        <v/>
      </c>
      <c r="Q37" s="64" t="n"/>
      <c r="R37" s="64" t="n"/>
      <c r="S37" s="65" t="n"/>
      <c r="T37" s="65" t="n"/>
      <c r="U37" s="71" t="str">
        <f>IF(ISNUMBER($A37),YEAR($A37)&amp;"-"&amp;TEXT(MONTH($A37),"00"),"")</f>
        <v/>
      </c>
      <c r="V37" s="71">
        <f>IF($D37="",0,IF(AND(OR(fClient="All",$B37=fClient),OR(fCampaign="All",$C37=fCampaign),OR(fTeam="All",$R37=fTeam),OR(fChannel="All",$D37=fChannel),OR(fMonth="All",$U37=fMonth)),1,0))</f>
        <v>0</v>
      </c>
      <c r="W37" s="71">
        <f>IF($D37="",0,IF(AND(OR(fClient="All",$B37=fClient),OR(fCampaign="All",$C37=fCampaign),OR(fTeam="All",$R37=fTeam),OR(fChannel="All",$D37=fChannel)),1,0))</f>
        <v>0</v>
      </c>
    </row>
    <row r="38">
      <c r="A38" s="63" t="n"/>
      <c r="B38" s="64" t="n"/>
      <c r="C38" s="64" t="n"/>
      <c r="D38" s="64" t="n"/>
      <c r="E38" s="64" t="n"/>
      <c r="F38" s="67" t="n"/>
      <c r="G38" s="67" t="n"/>
      <c r="H38" s="67" t="n"/>
      <c r="I38" s="67" t="n"/>
      <c r="J38" s="67" t="n"/>
      <c r="K38" s="76" t="str">
        <f>IF(AND(ISNUMBER($H38),$H38&gt;0,ISNUMBER($J38)),$J38/$H38,"")</f>
        <v/>
      </c>
      <c r="L38" s="77" t="str">
        <f>IF(AND(ISNUMBER($J38),$J38&gt;0,ISNUMBER($G38)),$G38/$J38,"")</f>
        <v/>
      </c>
      <c r="M38" s="67" t="n"/>
      <c r="N38" s="67" t="n"/>
      <c r="O38" s="72" t="str">
        <f>IF(AND(ISNUMBER($M38),$M38&gt;0,ISNUMBER($G38)),$G38/$M38,"")</f>
        <v/>
      </c>
      <c r="P38" s="73" t="str">
        <f>IF(AND(ISNUMBER($J38),$J38&gt;0,ISNUMBER($M38)),$M38/$J38,"")</f>
        <v/>
      </c>
      <c r="Q38" s="64" t="n"/>
      <c r="R38" s="64" t="n"/>
      <c r="S38" s="65" t="n"/>
      <c r="T38" s="65" t="n"/>
      <c r="U38" s="71" t="str">
        <f>IF(ISNUMBER($A38),YEAR($A38)&amp;"-"&amp;TEXT(MONTH($A38),"00"),"")</f>
        <v/>
      </c>
      <c r="V38" s="71">
        <f>IF($D38="",0,IF(AND(OR(fClient="All",$B38=fClient),OR(fCampaign="All",$C38=fCampaign),OR(fTeam="All",$R38=fTeam),OR(fChannel="All",$D38=fChannel),OR(fMonth="All",$U38=fMonth)),1,0))</f>
        <v>0</v>
      </c>
      <c r="W38" s="71">
        <f>IF($D38="",0,IF(AND(OR(fClient="All",$B38=fClient),OR(fCampaign="All",$C38=fCampaign),OR(fTeam="All",$R38=fTeam),OR(fChannel="All",$D38=fChannel)),1,0))</f>
        <v>0</v>
      </c>
    </row>
    <row r="39">
      <c r="A39" s="63" t="n"/>
      <c r="B39" s="64" t="n"/>
      <c r="C39" s="64" t="n"/>
      <c r="D39" s="64" t="n"/>
      <c r="E39" s="64" t="n"/>
      <c r="F39" s="67" t="n"/>
      <c r="G39" s="67" t="n"/>
      <c r="H39" s="67" t="n"/>
      <c r="I39" s="67" t="n"/>
      <c r="J39" s="67" t="n"/>
      <c r="K39" s="76" t="str">
        <f>IF(AND(ISNUMBER($H39),$H39&gt;0,ISNUMBER($J39)),$J39/$H39,"")</f>
        <v/>
      </c>
      <c r="L39" s="77" t="str">
        <f>IF(AND(ISNUMBER($J39),$J39&gt;0,ISNUMBER($G39)),$G39/$J39,"")</f>
        <v/>
      </c>
      <c r="M39" s="67" t="n"/>
      <c r="N39" s="67" t="n"/>
      <c r="O39" s="72" t="str">
        <f>IF(AND(ISNUMBER($M39),$M39&gt;0,ISNUMBER($G39)),$G39/$M39,"")</f>
        <v/>
      </c>
      <c r="P39" s="73" t="str">
        <f>IF(AND(ISNUMBER($J39),$J39&gt;0,ISNUMBER($M39)),$M39/$J39,"")</f>
        <v/>
      </c>
      <c r="Q39" s="64" t="n"/>
      <c r="R39" s="64" t="n"/>
      <c r="S39" s="65" t="n"/>
      <c r="T39" s="65" t="n"/>
      <c r="U39" s="71" t="str">
        <f>IF(ISNUMBER($A39),YEAR($A39)&amp;"-"&amp;TEXT(MONTH($A39),"00"),"")</f>
        <v/>
      </c>
      <c r="V39" s="71">
        <f>IF($D39="",0,IF(AND(OR(fClient="All",$B39=fClient),OR(fCampaign="All",$C39=fCampaign),OR(fTeam="All",$R39=fTeam),OR(fChannel="All",$D39=fChannel),OR(fMonth="All",$U39=fMonth)),1,0))</f>
        <v>0</v>
      </c>
      <c r="W39" s="71">
        <f>IF($D39="",0,IF(AND(OR(fClient="All",$B39=fClient),OR(fCampaign="All",$C39=fCampaign),OR(fTeam="All",$R39=fTeam),OR(fChannel="All",$D39=fChannel)),1,0))</f>
        <v>0</v>
      </c>
    </row>
    <row r="40">
      <c r="A40" s="63" t="n"/>
      <c r="B40" s="64" t="n"/>
      <c r="C40" s="64" t="n"/>
      <c r="D40" s="64" t="n"/>
      <c r="E40" s="64" t="n"/>
      <c r="F40" s="67" t="n"/>
      <c r="G40" s="67" t="n"/>
      <c r="H40" s="67" t="n"/>
      <c r="I40" s="67" t="n"/>
      <c r="J40" s="67" t="n"/>
      <c r="K40" s="76" t="str">
        <f>IF(AND(ISNUMBER($H40),$H40&gt;0,ISNUMBER($J40)),$J40/$H40,"")</f>
        <v/>
      </c>
      <c r="L40" s="77" t="str">
        <f>IF(AND(ISNUMBER($J40),$J40&gt;0,ISNUMBER($G40)),$G40/$J40,"")</f>
        <v/>
      </c>
      <c r="M40" s="67" t="n"/>
      <c r="N40" s="67" t="n"/>
      <c r="O40" s="72" t="str">
        <f>IF(AND(ISNUMBER($M40),$M40&gt;0,ISNUMBER($G40)),$G40/$M40,"")</f>
        <v/>
      </c>
      <c r="P40" s="73" t="str">
        <f>IF(AND(ISNUMBER($J40),$J40&gt;0,ISNUMBER($M40)),$M40/$J40,"")</f>
        <v/>
      </c>
      <c r="Q40" s="64" t="n"/>
      <c r="R40" s="64" t="n"/>
      <c r="S40" s="65" t="n"/>
      <c r="T40" s="65" t="n"/>
      <c r="U40" s="71" t="str">
        <f>IF(ISNUMBER($A40),YEAR($A40)&amp;"-"&amp;TEXT(MONTH($A40),"00"),"")</f>
        <v/>
      </c>
      <c r="V40" s="71">
        <f>IF($D40="",0,IF(AND(OR(fClient="All",$B40=fClient),OR(fCampaign="All",$C40=fCampaign),OR(fTeam="All",$R40=fTeam),OR(fChannel="All",$D40=fChannel),OR(fMonth="All",$U40=fMonth)),1,0))</f>
        <v>0</v>
      </c>
      <c r="W40" s="71">
        <f>IF($D40="",0,IF(AND(OR(fClient="All",$B40=fClient),OR(fCampaign="All",$C40=fCampaign),OR(fTeam="All",$R40=fTeam),OR(fChannel="All",$D40=fChannel)),1,0))</f>
        <v>0</v>
      </c>
    </row>
    <row r="41">
      <c r="A41" s="63" t="n"/>
      <c r="B41" s="64" t="n"/>
      <c r="C41" s="64" t="n"/>
      <c r="D41" s="64" t="n"/>
      <c r="E41" s="64" t="n"/>
      <c r="F41" s="67" t="n"/>
      <c r="G41" s="67" t="n"/>
      <c r="H41" s="67" t="n"/>
      <c r="I41" s="67" t="n"/>
      <c r="J41" s="67" t="n"/>
      <c r="K41" s="76" t="str">
        <f>IF(AND(ISNUMBER($H41),$H41&gt;0,ISNUMBER($J41)),$J41/$H41,"")</f>
        <v/>
      </c>
      <c r="L41" s="77" t="str">
        <f>IF(AND(ISNUMBER($J41),$J41&gt;0,ISNUMBER($G41)),$G41/$J41,"")</f>
        <v/>
      </c>
      <c r="M41" s="67" t="n"/>
      <c r="N41" s="67" t="n"/>
      <c r="O41" s="72" t="str">
        <f>IF(AND(ISNUMBER($M41),$M41&gt;0,ISNUMBER($G41)),$G41/$M41,"")</f>
        <v/>
      </c>
      <c r="P41" s="73" t="str">
        <f>IF(AND(ISNUMBER($J41),$J41&gt;0,ISNUMBER($M41)),$M41/$J41,"")</f>
        <v/>
      </c>
      <c r="Q41" s="64" t="n"/>
      <c r="R41" s="64" t="n"/>
      <c r="S41" s="65" t="n"/>
      <c r="T41" s="65" t="n"/>
      <c r="U41" s="71" t="str">
        <f>IF(ISNUMBER($A41),YEAR($A41)&amp;"-"&amp;TEXT(MONTH($A41),"00"),"")</f>
        <v/>
      </c>
      <c r="V41" s="71">
        <f>IF($D41="",0,IF(AND(OR(fClient="All",$B41=fClient),OR(fCampaign="All",$C41=fCampaign),OR(fTeam="All",$R41=fTeam),OR(fChannel="All",$D41=fChannel),OR(fMonth="All",$U41=fMonth)),1,0))</f>
        <v>0</v>
      </c>
      <c r="W41" s="71">
        <f>IF($D41="",0,IF(AND(OR(fClient="All",$B41=fClient),OR(fCampaign="All",$C41=fCampaign),OR(fTeam="All",$R41=fTeam),OR(fChannel="All",$D41=fChannel)),1,0))</f>
        <v>0</v>
      </c>
    </row>
    <row r="42">
      <c r="A42" s="63" t="n"/>
      <c r="B42" s="64" t="n"/>
      <c r="C42" s="64" t="n"/>
      <c r="D42" s="64" t="n"/>
      <c r="E42" s="64" t="n"/>
      <c r="F42" s="67" t="n"/>
      <c r="G42" s="67" t="n"/>
      <c r="H42" s="67" t="n"/>
      <c r="I42" s="67" t="n"/>
      <c r="J42" s="67" t="n"/>
      <c r="K42" s="76" t="str">
        <f>IF(AND(ISNUMBER($H42),$H42&gt;0,ISNUMBER($J42)),$J42/$H42,"")</f>
        <v/>
      </c>
      <c r="L42" s="77" t="str">
        <f>IF(AND(ISNUMBER($J42),$J42&gt;0,ISNUMBER($G42)),$G42/$J42,"")</f>
        <v/>
      </c>
      <c r="M42" s="67" t="n"/>
      <c r="N42" s="67" t="n"/>
      <c r="O42" s="72" t="str">
        <f>IF(AND(ISNUMBER($M42),$M42&gt;0,ISNUMBER($G42)),$G42/$M42,"")</f>
        <v/>
      </c>
      <c r="P42" s="73" t="str">
        <f>IF(AND(ISNUMBER($J42),$J42&gt;0,ISNUMBER($M42)),$M42/$J42,"")</f>
        <v/>
      </c>
      <c r="Q42" s="64" t="n"/>
      <c r="R42" s="64" t="n"/>
      <c r="S42" s="65" t="n"/>
      <c r="T42" s="65" t="n"/>
      <c r="U42" s="71" t="str">
        <f>IF(ISNUMBER($A42),YEAR($A42)&amp;"-"&amp;TEXT(MONTH($A42),"00"),"")</f>
        <v/>
      </c>
      <c r="V42" s="71">
        <f>IF($D42="",0,IF(AND(OR(fClient="All",$B42=fClient),OR(fCampaign="All",$C42=fCampaign),OR(fTeam="All",$R42=fTeam),OR(fChannel="All",$D42=fChannel),OR(fMonth="All",$U42=fMonth)),1,0))</f>
        <v>0</v>
      </c>
      <c r="W42" s="71">
        <f>IF($D42="",0,IF(AND(OR(fClient="All",$B42=fClient),OR(fCampaign="All",$C42=fCampaign),OR(fTeam="All",$R42=fTeam),OR(fChannel="All",$D42=fChannel)),1,0))</f>
        <v>0</v>
      </c>
    </row>
    <row r="43">
      <c r="A43" s="63" t="n"/>
      <c r="B43" s="64" t="n"/>
      <c r="C43" s="64" t="n"/>
      <c r="D43" s="64" t="n"/>
      <c r="E43" s="64" t="n"/>
      <c r="F43" s="67" t="n"/>
      <c r="G43" s="67" t="n"/>
      <c r="H43" s="67" t="n"/>
      <c r="I43" s="67" t="n"/>
      <c r="J43" s="67" t="n"/>
      <c r="K43" s="76" t="str">
        <f>IF(AND(ISNUMBER($H43),$H43&gt;0,ISNUMBER($J43)),$J43/$H43,"")</f>
        <v/>
      </c>
      <c r="L43" s="77" t="str">
        <f>IF(AND(ISNUMBER($J43),$J43&gt;0,ISNUMBER($G43)),$G43/$J43,"")</f>
        <v/>
      </c>
      <c r="M43" s="67" t="n"/>
      <c r="N43" s="67" t="n"/>
      <c r="O43" s="72" t="str">
        <f>IF(AND(ISNUMBER($M43),$M43&gt;0,ISNUMBER($G43)),$G43/$M43,"")</f>
        <v/>
      </c>
      <c r="P43" s="73" t="str">
        <f>IF(AND(ISNUMBER($J43),$J43&gt;0,ISNUMBER($M43)),$M43/$J43,"")</f>
        <v/>
      </c>
      <c r="Q43" s="64" t="n"/>
      <c r="R43" s="64" t="n"/>
      <c r="S43" s="65" t="n"/>
      <c r="T43" s="65" t="n"/>
      <c r="U43" s="71" t="str">
        <f>IF(ISNUMBER($A43),YEAR($A43)&amp;"-"&amp;TEXT(MONTH($A43),"00"),"")</f>
        <v/>
      </c>
      <c r="V43" s="71">
        <f>IF($D43="",0,IF(AND(OR(fClient="All",$B43=fClient),OR(fCampaign="All",$C43=fCampaign),OR(fTeam="All",$R43=fTeam),OR(fChannel="All",$D43=fChannel),OR(fMonth="All",$U43=fMonth)),1,0))</f>
        <v>0</v>
      </c>
      <c r="W43" s="71">
        <f>IF($D43="",0,IF(AND(OR(fClient="All",$B43=fClient),OR(fCampaign="All",$C43=fCampaign),OR(fTeam="All",$R43=fTeam),OR(fChannel="All",$D43=fChannel)),1,0))</f>
        <v>0</v>
      </c>
    </row>
    <row r="44">
      <c r="A44" s="63" t="n"/>
      <c r="B44" s="64" t="n"/>
      <c r="C44" s="64" t="n"/>
      <c r="D44" s="64" t="n"/>
      <c r="E44" s="64" t="n"/>
      <c r="F44" s="67" t="n"/>
      <c r="G44" s="67" t="n"/>
      <c r="H44" s="67" t="n"/>
      <c r="I44" s="67" t="n"/>
      <c r="J44" s="67" t="n"/>
      <c r="K44" s="76" t="str">
        <f>IF(AND(ISNUMBER($H44),$H44&gt;0,ISNUMBER($J44)),$J44/$H44,"")</f>
        <v/>
      </c>
      <c r="L44" s="77" t="str">
        <f>IF(AND(ISNUMBER($J44),$J44&gt;0,ISNUMBER($G44)),$G44/$J44,"")</f>
        <v/>
      </c>
      <c r="M44" s="67" t="n"/>
      <c r="N44" s="67" t="n"/>
      <c r="O44" s="72" t="str">
        <f>IF(AND(ISNUMBER($M44),$M44&gt;0,ISNUMBER($G44)),$G44/$M44,"")</f>
        <v/>
      </c>
      <c r="P44" s="73" t="str">
        <f>IF(AND(ISNUMBER($J44),$J44&gt;0,ISNUMBER($M44)),$M44/$J44,"")</f>
        <v/>
      </c>
      <c r="Q44" s="64" t="n"/>
      <c r="R44" s="64" t="n"/>
      <c r="S44" s="65" t="n"/>
      <c r="T44" s="65" t="n"/>
      <c r="U44" s="71" t="str">
        <f>IF(ISNUMBER($A44),YEAR($A44)&amp;"-"&amp;TEXT(MONTH($A44),"00"),"")</f>
        <v/>
      </c>
      <c r="V44" s="71">
        <f>IF($D44="",0,IF(AND(OR(fClient="All",$B44=fClient),OR(fCampaign="All",$C44=fCampaign),OR(fTeam="All",$R44=fTeam),OR(fChannel="All",$D44=fChannel),OR(fMonth="All",$U44=fMonth)),1,0))</f>
        <v>0</v>
      </c>
      <c r="W44" s="71">
        <f>IF($D44="",0,IF(AND(OR(fClient="All",$B44=fClient),OR(fCampaign="All",$C44=fCampaign),OR(fTeam="All",$R44=fTeam),OR(fChannel="All",$D44=fChannel)),1,0))</f>
        <v>0</v>
      </c>
    </row>
    <row r="45">
      <c r="A45" s="63" t="n"/>
      <c r="B45" s="64" t="n"/>
      <c r="C45" s="64" t="n"/>
      <c r="D45" s="64" t="n"/>
      <c r="E45" s="64" t="n"/>
      <c r="F45" s="67" t="n"/>
      <c r="G45" s="67" t="n"/>
      <c r="H45" s="67" t="n"/>
      <c r="I45" s="67" t="n"/>
      <c r="J45" s="67" t="n"/>
      <c r="K45" s="76" t="str">
        <f>IF(AND(ISNUMBER($H45),$H45&gt;0,ISNUMBER($J45)),$J45/$H45,"")</f>
        <v/>
      </c>
      <c r="L45" s="77" t="str">
        <f>IF(AND(ISNUMBER($J45),$J45&gt;0,ISNUMBER($G45)),$G45/$J45,"")</f>
        <v/>
      </c>
      <c r="M45" s="67" t="n"/>
      <c r="N45" s="67" t="n"/>
      <c r="O45" s="72" t="str">
        <f>IF(AND(ISNUMBER($M45),$M45&gt;0,ISNUMBER($G45)),$G45/$M45,"")</f>
        <v/>
      </c>
      <c r="P45" s="73" t="str">
        <f>IF(AND(ISNUMBER($J45),$J45&gt;0,ISNUMBER($M45)),$M45/$J45,"")</f>
        <v/>
      </c>
      <c r="Q45" s="64" t="n"/>
      <c r="R45" s="64" t="n"/>
      <c r="S45" s="65" t="n"/>
      <c r="T45" s="65" t="n"/>
      <c r="U45" s="71" t="str">
        <f>IF(ISNUMBER($A45),YEAR($A45)&amp;"-"&amp;TEXT(MONTH($A45),"00"),"")</f>
        <v/>
      </c>
      <c r="V45" s="71">
        <f>IF($D45="",0,IF(AND(OR(fClient="All",$B45=fClient),OR(fCampaign="All",$C45=fCampaign),OR(fTeam="All",$R45=fTeam),OR(fChannel="All",$D45=fChannel),OR(fMonth="All",$U45=fMonth)),1,0))</f>
        <v>0</v>
      </c>
      <c r="W45" s="71">
        <f>IF($D45="",0,IF(AND(OR(fClient="All",$B45=fClient),OR(fCampaign="All",$C45=fCampaign),OR(fTeam="All",$R45=fTeam),OR(fChannel="All",$D45=fChannel)),1,0))</f>
        <v>0</v>
      </c>
    </row>
    <row r="46">
      <c r="A46" s="63" t="n"/>
      <c r="B46" s="64" t="n"/>
      <c r="C46" s="64" t="n"/>
      <c r="D46" s="64" t="n"/>
      <c r="E46" s="64" t="n"/>
      <c r="F46" s="67" t="n"/>
      <c r="G46" s="67" t="n"/>
      <c r="H46" s="67" t="n"/>
      <c r="I46" s="67" t="n"/>
      <c r="J46" s="67" t="n"/>
      <c r="K46" s="76" t="str">
        <f>IF(AND(ISNUMBER($H46),$H46&gt;0,ISNUMBER($J46)),$J46/$H46,"")</f>
        <v/>
      </c>
      <c r="L46" s="77" t="str">
        <f>IF(AND(ISNUMBER($J46),$J46&gt;0,ISNUMBER($G46)),$G46/$J46,"")</f>
        <v/>
      </c>
      <c r="M46" s="67" t="n"/>
      <c r="N46" s="67" t="n"/>
      <c r="O46" s="72" t="str">
        <f>IF(AND(ISNUMBER($M46),$M46&gt;0,ISNUMBER($G46)),$G46/$M46,"")</f>
        <v/>
      </c>
      <c r="P46" s="73" t="str">
        <f>IF(AND(ISNUMBER($J46),$J46&gt;0,ISNUMBER($M46)),$M46/$J46,"")</f>
        <v/>
      </c>
      <c r="Q46" s="64" t="n"/>
      <c r="R46" s="64" t="n"/>
      <c r="S46" s="65" t="n"/>
      <c r="T46" s="65" t="n"/>
      <c r="U46" s="71" t="str">
        <f>IF(ISNUMBER($A46),YEAR($A46)&amp;"-"&amp;TEXT(MONTH($A46),"00"),"")</f>
        <v/>
      </c>
      <c r="V46" s="71">
        <f>IF($D46="",0,IF(AND(OR(fClient="All",$B46=fClient),OR(fCampaign="All",$C46=fCampaign),OR(fTeam="All",$R46=fTeam),OR(fChannel="All",$D46=fChannel),OR(fMonth="All",$U46=fMonth)),1,0))</f>
        <v>0</v>
      </c>
      <c r="W46" s="71">
        <f>IF($D46="",0,IF(AND(OR(fClient="All",$B46=fClient),OR(fCampaign="All",$C46=fCampaign),OR(fTeam="All",$R46=fTeam),OR(fChannel="All",$D46=fChannel)),1,0))</f>
        <v>0</v>
      </c>
    </row>
    <row r="47">
      <c r="A47" s="63" t="n"/>
      <c r="B47" s="64" t="n"/>
      <c r="C47" s="64" t="n"/>
      <c r="D47" s="64" t="n"/>
      <c r="E47" s="64" t="n"/>
      <c r="F47" s="67" t="n"/>
      <c r="G47" s="67" t="n"/>
      <c r="H47" s="67" t="n"/>
      <c r="I47" s="67" t="n"/>
      <c r="J47" s="67" t="n"/>
      <c r="K47" s="76" t="str">
        <f>IF(AND(ISNUMBER($H47),$H47&gt;0,ISNUMBER($J47)),$J47/$H47,"")</f>
        <v/>
      </c>
      <c r="L47" s="77" t="str">
        <f>IF(AND(ISNUMBER($J47),$J47&gt;0,ISNUMBER($G47)),$G47/$J47,"")</f>
        <v/>
      </c>
      <c r="M47" s="67" t="n"/>
      <c r="N47" s="67" t="n"/>
      <c r="O47" s="72" t="str">
        <f>IF(AND(ISNUMBER($M47),$M47&gt;0,ISNUMBER($G47)),$G47/$M47,"")</f>
        <v/>
      </c>
      <c r="P47" s="73" t="str">
        <f>IF(AND(ISNUMBER($J47),$J47&gt;0,ISNUMBER($M47)),$M47/$J47,"")</f>
        <v/>
      </c>
      <c r="Q47" s="64" t="n"/>
      <c r="R47" s="64" t="n"/>
      <c r="S47" s="65" t="n"/>
      <c r="T47" s="65" t="n"/>
      <c r="U47" s="71" t="str">
        <f>IF(ISNUMBER($A47),YEAR($A47)&amp;"-"&amp;TEXT(MONTH($A47),"00"),"")</f>
        <v/>
      </c>
      <c r="V47" s="71">
        <f>IF($D47="",0,IF(AND(OR(fClient="All",$B47=fClient),OR(fCampaign="All",$C47=fCampaign),OR(fTeam="All",$R47=fTeam),OR(fChannel="All",$D47=fChannel),OR(fMonth="All",$U47=fMonth)),1,0))</f>
        <v>0</v>
      </c>
      <c r="W47" s="71">
        <f>IF($D47="",0,IF(AND(OR(fClient="All",$B47=fClient),OR(fCampaign="All",$C47=fCampaign),OR(fTeam="All",$R47=fTeam),OR(fChannel="All",$D47=fChannel)),1,0))</f>
        <v>0</v>
      </c>
    </row>
    <row r="48">
      <c r="A48" s="63" t="n"/>
      <c r="B48" s="64" t="n"/>
      <c r="C48" s="64" t="n"/>
      <c r="D48" s="64" t="n"/>
      <c r="E48" s="64" t="n"/>
      <c r="F48" s="67" t="n"/>
      <c r="G48" s="67" t="n"/>
      <c r="H48" s="67" t="n"/>
      <c r="I48" s="67" t="n"/>
      <c r="J48" s="67" t="n"/>
      <c r="K48" s="76" t="str">
        <f>IF(AND(ISNUMBER($H48),$H48&gt;0,ISNUMBER($J48)),$J48/$H48,"")</f>
        <v/>
      </c>
      <c r="L48" s="77" t="str">
        <f>IF(AND(ISNUMBER($J48),$J48&gt;0,ISNUMBER($G48)),$G48/$J48,"")</f>
        <v/>
      </c>
      <c r="M48" s="67" t="n"/>
      <c r="N48" s="67" t="n"/>
      <c r="O48" s="72" t="str">
        <f>IF(AND(ISNUMBER($M48),$M48&gt;0,ISNUMBER($G48)),$G48/$M48,"")</f>
        <v/>
      </c>
      <c r="P48" s="73" t="str">
        <f>IF(AND(ISNUMBER($J48),$J48&gt;0,ISNUMBER($M48)),$M48/$J48,"")</f>
        <v/>
      </c>
      <c r="Q48" s="64" t="n"/>
      <c r="R48" s="64" t="n"/>
      <c r="S48" s="65" t="n"/>
      <c r="T48" s="65" t="n"/>
      <c r="U48" s="71" t="str">
        <f>IF(ISNUMBER($A48),YEAR($A48)&amp;"-"&amp;TEXT(MONTH($A48),"00"),"")</f>
        <v/>
      </c>
      <c r="V48" s="71">
        <f>IF($D48="",0,IF(AND(OR(fClient="All",$B48=fClient),OR(fCampaign="All",$C48=fCampaign),OR(fTeam="All",$R48=fTeam),OR(fChannel="All",$D48=fChannel),OR(fMonth="All",$U48=fMonth)),1,0))</f>
        <v>0</v>
      </c>
      <c r="W48" s="71">
        <f>IF($D48="",0,IF(AND(OR(fClient="All",$B48=fClient),OR(fCampaign="All",$C48=fCampaign),OR(fTeam="All",$R48=fTeam),OR(fChannel="All",$D48=fChannel)),1,0))</f>
        <v>0</v>
      </c>
    </row>
    <row r="49">
      <c r="A49" s="63" t="n"/>
      <c r="B49" s="64" t="n"/>
      <c r="C49" s="64" t="n"/>
      <c r="D49" s="64" t="n"/>
      <c r="E49" s="64" t="n"/>
      <c r="F49" s="67" t="n"/>
      <c r="G49" s="67" t="n"/>
      <c r="H49" s="67" t="n"/>
      <c r="I49" s="67" t="n"/>
      <c r="J49" s="67" t="n"/>
      <c r="K49" s="76" t="str">
        <f>IF(AND(ISNUMBER($H49),$H49&gt;0,ISNUMBER($J49)),$J49/$H49,"")</f>
        <v/>
      </c>
      <c r="L49" s="77" t="str">
        <f>IF(AND(ISNUMBER($J49),$J49&gt;0,ISNUMBER($G49)),$G49/$J49,"")</f>
        <v/>
      </c>
      <c r="M49" s="67" t="n"/>
      <c r="N49" s="67" t="n"/>
      <c r="O49" s="72" t="str">
        <f>IF(AND(ISNUMBER($M49),$M49&gt;0,ISNUMBER($G49)),$G49/$M49,"")</f>
        <v/>
      </c>
      <c r="P49" s="73" t="str">
        <f>IF(AND(ISNUMBER($J49),$J49&gt;0,ISNUMBER($M49)),$M49/$J49,"")</f>
        <v/>
      </c>
      <c r="Q49" s="64" t="n"/>
      <c r="R49" s="64" t="n"/>
      <c r="S49" s="65" t="n"/>
      <c r="T49" s="65" t="n"/>
      <c r="U49" s="71" t="str">
        <f>IF(ISNUMBER($A49),YEAR($A49)&amp;"-"&amp;TEXT(MONTH($A49),"00"),"")</f>
        <v/>
      </c>
      <c r="V49" s="71">
        <f>IF($D49="",0,IF(AND(OR(fClient="All",$B49=fClient),OR(fCampaign="All",$C49=fCampaign),OR(fTeam="All",$R49=fTeam),OR(fChannel="All",$D49=fChannel),OR(fMonth="All",$U49=fMonth)),1,0))</f>
        <v>0</v>
      </c>
      <c r="W49" s="71">
        <f>IF($D49="",0,IF(AND(OR(fClient="All",$B49=fClient),OR(fCampaign="All",$C49=fCampaign),OR(fTeam="All",$R49=fTeam),OR(fChannel="All",$D49=fChannel)),1,0))</f>
        <v>0</v>
      </c>
    </row>
    <row r="50">
      <c r="A50" s="63" t="n"/>
      <c r="B50" s="64" t="n"/>
      <c r="C50" s="64" t="n"/>
      <c r="D50" s="64" t="n"/>
      <c r="E50" s="64" t="n"/>
      <c r="F50" s="67" t="n"/>
      <c r="G50" s="67" t="n"/>
      <c r="H50" s="67" t="n"/>
      <c r="I50" s="67" t="n"/>
      <c r="J50" s="67" t="n"/>
      <c r="K50" s="76" t="str">
        <f>IF(AND(ISNUMBER($H50),$H50&gt;0,ISNUMBER($J50)),$J50/$H50,"")</f>
        <v/>
      </c>
      <c r="L50" s="77" t="str">
        <f>IF(AND(ISNUMBER($J50),$J50&gt;0,ISNUMBER($G50)),$G50/$J50,"")</f>
        <v/>
      </c>
      <c r="M50" s="67" t="n"/>
      <c r="N50" s="67" t="n"/>
      <c r="O50" s="72" t="str">
        <f>IF(AND(ISNUMBER($M50),$M50&gt;0,ISNUMBER($G50)),$G50/$M50,"")</f>
        <v/>
      </c>
      <c r="P50" s="73" t="str">
        <f>IF(AND(ISNUMBER($J50),$J50&gt;0,ISNUMBER($M50)),$M50/$J50,"")</f>
        <v/>
      </c>
      <c r="Q50" s="64" t="n"/>
      <c r="R50" s="64" t="n"/>
      <c r="S50" s="65" t="n"/>
      <c r="T50" s="65" t="n"/>
      <c r="U50" s="71" t="str">
        <f>IF(ISNUMBER($A50),YEAR($A50)&amp;"-"&amp;TEXT(MONTH($A50),"00"),"")</f>
        <v/>
      </c>
      <c r="V50" s="71">
        <f>IF($D50="",0,IF(AND(OR(fClient="All",$B50=fClient),OR(fCampaign="All",$C50=fCampaign),OR(fTeam="All",$R50=fTeam),OR(fChannel="All",$D50=fChannel),OR(fMonth="All",$U50=fMonth)),1,0))</f>
        <v>0</v>
      </c>
      <c r="W50" s="71">
        <f>IF($D50="",0,IF(AND(OR(fClient="All",$B50=fClient),OR(fCampaign="All",$C50=fCampaign),OR(fTeam="All",$R50=fTeam),OR(fChannel="All",$D50=fChannel)),1,0))</f>
        <v>0</v>
      </c>
    </row>
    <row r="51">
      <c r="A51" s="63" t="n"/>
      <c r="B51" s="64" t="n"/>
      <c r="C51" s="64" t="n"/>
      <c r="D51" s="64" t="n"/>
      <c r="E51" s="64" t="n"/>
      <c r="F51" s="67" t="n"/>
      <c r="G51" s="67" t="n"/>
      <c r="H51" s="67" t="n"/>
      <c r="I51" s="67" t="n"/>
      <c r="J51" s="67" t="n"/>
      <c r="K51" s="76" t="str">
        <f>IF(AND(ISNUMBER($H51),$H51&gt;0,ISNUMBER($J51)),$J51/$H51,"")</f>
        <v/>
      </c>
      <c r="L51" s="77" t="str">
        <f>IF(AND(ISNUMBER($J51),$J51&gt;0,ISNUMBER($G51)),$G51/$J51,"")</f>
        <v/>
      </c>
      <c r="M51" s="67" t="n"/>
      <c r="N51" s="67" t="n"/>
      <c r="O51" s="72" t="str">
        <f>IF(AND(ISNUMBER($M51),$M51&gt;0,ISNUMBER($G51)),$G51/$M51,"")</f>
        <v/>
      </c>
      <c r="P51" s="73" t="str">
        <f>IF(AND(ISNUMBER($J51),$J51&gt;0,ISNUMBER($M51)),$M51/$J51,"")</f>
        <v/>
      </c>
      <c r="Q51" s="64" t="n"/>
      <c r="R51" s="64" t="n"/>
      <c r="S51" s="65" t="n"/>
      <c r="T51" s="65" t="n"/>
      <c r="U51" s="71" t="str">
        <f>IF(ISNUMBER($A51),YEAR($A51)&amp;"-"&amp;TEXT(MONTH($A51),"00"),"")</f>
        <v/>
      </c>
      <c r="V51" s="71">
        <f>IF($D51="",0,IF(AND(OR(fClient="All",$B51=fClient),OR(fCampaign="All",$C51=fCampaign),OR(fTeam="All",$R51=fTeam),OR(fChannel="All",$D51=fChannel),OR(fMonth="All",$U51=fMonth)),1,0))</f>
        <v>0</v>
      </c>
      <c r="W51" s="71">
        <f>IF($D51="",0,IF(AND(OR(fClient="All",$B51=fClient),OR(fCampaign="All",$C51=fCampaign),OR(fTeam="All",$R51=fTeam),OR(fChannel="All",$D51=fChannel)),1,0))</f>
        <v>0</v>
      </c>
    </row>
    <row r="52">
      <c r="A52" s="63" t="n"/>
      <c r="B52" s="64" t="n"/>
      <c r="C52" s="64" t="n"/>
      <c r="D52" s="64" t="n"/>
      <c r="E52" s="64" t="n"/>
      <c r="F52" s="67" t="n"/>
      <c r="G52" s="67" t="n"/>
      <c r="H52" s="67" t="n"/>
      <c r="I52" s="67" t="n"/>
      <c r="J52" s="67" t="n"/>
      <c r="K52" s="76" t="str">
        <f>IF(AND(ISNUMBER($H52),$H52&gt;0,ISNUMBER($J52)),$J52/$H52,"")</f>
        <v/>
      </c>
      <c r="L52" s="77" t="str">
        <f>IF(AND(ISNUMBER($J52),$J52&gt;0,ISNUMBER($G52)),$G52/$J52,"")</f>
        <v/>
      </c>
      <c r="M52" s="67" t="n"/>
      <c r="N52" s="67" t="n"/>
      <c r="O52" s="72" t="str">
        <f>IF(AND(ISNUMBER($M52),$M52&gt;0,ISNUMBER($G52)),$G52/$M52,"")</f>
        <v/>
      </c>
      <c r="P52" s="73" t="str">
        <f>IF(AND(ISNUMBER($J52),$J52&gt;0,ISNUMBER($M52)),$M52/$J52,"")</f>
        <v/>
      </c>
      <c r="Q52" s="64" t="n"/>
      <c r="R52" s="64" t="n"/>
      <c r="S52" s="65" t="n"/>
      <c r="T52" s="65" t="n"/>
      <c r="U52" s="71" t="str">
        <f>IF(ISNUMBER($A52),YEAR($A52)&amp;"-"&amp;TEXT(MONTH($A52),"00"),"")</f>
        <v/>
      </c>
      <c r="V52" s="71">
        <f>IF($D52="",0,IF(AND(OR(fClient="All",$B52=fClient),OR(fCampaign="All",$C52=fCampaign),OR(fTeam="All",$R52=fTeam),OR(fChannel="All",$D52=fChannel),OR(fMonth="All",$U52=fMonth)),1,0))</f>
        <v>0</v>
      </c>
      <c r="W52" s="71">
        <f>IF($D52="",0,IF(AND(OR(fClient="All",$B52=fClient),OR(fCampaign="All",$C52=fCampaign),OR(fTeam="All",$R52=fTeam),OR(fChannel="All",$D52=fChannel)),1,0))</f>
        <v>0</v>
      </c>
    </row>
    <row r="53">
      <c r="A53" s="63" t="n"/>
      <c r="B53" s="64" t="n"/>
      <c r="C53" s="64" t="n"/>
      <c r="D53" s="64" t="n"/>
      <c r="E53" s="64" t="n"/>
      <c r="F53" s="67" t="n"/>
      <c r="G53" s="67" t="n"/>
      <c r="H53" s="67" t="n"/>
      <c r="I53" s="67" t="n"/>
      <c r="J53" s="67" t="n"/>
      <c r="K53" s="76" t="str">
        <f>IF(AND(ISNUMBER($H53),$H53&gt;0,ISNUMBER($J53)),$J53/$H53,"")</f>
        <v/>
      </c>
      <c r="L53" s="77" t="str">
        <f>IF(AND(ISNUMBER($J53),$J53&gt;0,ISNUMBER($G53)),$G53/$J53,"")</f>
        <v/>
      </c>
      <c r="M53" s="67" t="n"/>
      <c r="N53" s="67" t="n"/>
      <c r="O53" s="72" t="str">
        <f>IF(AND(ISNUMBER($M53),$M53&gt;0,ISNUMBER($G53)),$G53/$M53,"")</f>
        <v/>
      </c>
      <c r="P53" s="73" t="str">
        <f>IF(AND(ISNUMBER($J53),$J53&gt;0,ISNUMBER($M53)),$M53/$J53,"")</f>
        <v/>
      </c>
      <c r="Q53" s="64" t="n"/>
      <c r="R53" s="64" t="n"/>
      <c r="S53" s="65" t="n"/>
      <c r="T53" s="65" t="n"/>
      <c r="U53" s="71" t="str">
        <f>IF(ISNUMBER($A53),YEAR($A53)&amp;"-"&amp;TEXT(MONTH($A53),"00"),"")</f>
        <v/>
      </c>
      <c r="V53" s="71">
        <f>IF($D53="",0,IF(AND(OR(fClient="All",$B53=fClient),OR(fCampaign="All",$C53=fCampaign),OR(fTeam="All",$R53=fTeam),OR(fChannel="All",$D53=fChannel),OR(fMonth="All",$U53=fMonth)),1,0))</f>
        <v>0</v>
      </c>
      <c r="W53" s="71">
        <f>IF($D53="",0,IF(AND(OR(fClient="All",$B53=fClient),OR(fCampaign="All",$C53=fCampaign),OR(fTeam="All",$R53=fTeam),OR(fChannel="All",$D53=fChannel)),1,0))</f>
        <v>0</v>
      </c>
    </row>
    <row r="54">
      <c r="A54" s="63" t="n"/>
      <c r="B54" s="64" t="n"/>
      <c r="C54" s="64" t="n"/>
      <c r="D54" s="64" t="n"/>
      <c r="E54" s="64" t="n"/>
      <c r="F54" s="67" t="n"/>
      <c r="G54" s="67" t="n"/>
      <c r="H54" s="67" t="n"/>
      <c r="I54" s="67" t="n"/>
      <c r="J54" s="67" t="n"/>
      <c r="K54" s="76" t="str">
        <f>IF(AND(ISNUMBER($H54),$H54&gt;0,ISNUMBER($J54)),$J54/$H54,"")</f>
        <v/>
      </c>
      <c r="L54" s="77" t="str">
        <f>IF(AND(ISNUMBER($J54),$J54&gt;0,ISNUMBER($G54)),$G54/$J54,"")</f>
        <v/>
      </c>
      <c r="M54" s="67" t="n"/>
      <c r="N54" s="67" t="n"/>
      <c r="O54" s="72" t="str">
        <f>IF(AND(ISNUMBER($M54),$M54&gt;0,ISNUMBER($G54)),$G54/$M54,"")</f>
        <v/>
      </c>
      <c r="P54" s="73" t="str">
        <f>IF(AND(ISNUMBER($J54),$J54&gt;0,ISNUMBER($M54)),$M54/$J54,"")</f>
        <v/>
      </c>
      <c r="Q54" s="64" t="n"/>
      <c r="R54" s="64" t="n"/>
      <c r="S54" s="65" t="n"/>
      <c r="T54" s="65" t="n"/>
      <c r="U54" s="71" t="str">
        <f>IF(ISNUMBER($A54),YEAR($A54)&amp;"-"&amp;TEXT(MONTH($A54),"00"),"")</f>
        <v/>
      </c>
      <c r="V54" s="71">
        <f>IF($D54="",0,IF(AND(OR(fClient="All",$B54=fClient),OR(fCampaign="All",$C54=fCampaign),OR(fTeam="All",$R54=fTeam),OR(fChannel="All",$D54=fChannel),OR(fMonth="All",$U54=fMonth)),1,0))</f>
        <v>0</v>
      </c>
      <c r="W54" s="71">
        <f>IF($D54="",0,IF(AND(OR(fClient="All",$B54=fClient),OR(fCampaign="All",$C54=fCampaign),OR(fTeam="All",$R54=fTeam),OR(fChannel="All",$D54=fChannel)),1,0))</f>
        <v>0</v>
      </c>
    </row>
    <row r="55">
      <c r="A55" s="63" t="n"/>
      <c r="B55" s="64" t="n"/>
      <c r="C55" s="64" t="n"/>
      <c r="D55" s="64" t="n"/>
      <c r="E55" s="64" t="n"/>
      <c r="F55" s="67" t="n"/>
      <c r="G55" s="67" t="n"/>
      <c r="H55" s="67" t="n"/>
      <c r="I55" s="67" t="n"/>
      <c r="J55" s="67" t="n"/>
      <c r="K55" s="76" t="str">
        <f>IF(AND(ISNUMBER($H55),$H55&gt;0,ISNUMBER($J55)),$J55/$H55,"")</f>
        <v/>
      </c>
      <c r="L55" s="77" t="str">
        <f>IF(AND(ISNUMBER($J55),$J55&gt;0,ISNUMBER($G55)),$G55/$J55,"")</f>
        <v/>
      </c>
      <c r="M55" s="67" t="n"/>
      <c r="N55" s="67" t="n"/>
      <c r="O55" s="72" t="str">
        <f>IF(AND(ISNUMBER($M55),$M55&gt;0,ISNUMBER($G55)),$G55/$M55,"")</f>
        <v/>
      </c>
      <c r="P55" s="73" t="str">
        <f>IF(AND(ISNUMBER($J55),$J55&gt;0,ISNUMBER($M55)),$M55/$J55,"")</f>
        <v/>
      </c>
      <c r="Q55" s="64" t="n"/>
      <c r="R55" s="64" t="n"/>
      <c r="S55" s="65" t="n"/>
      <c r="T55" s="65" t="n"/>
      <c r="U55" s="71" t="str">
        <f>IF(ISNUMBER($A55),YEAR($A55)&amp;"-"&amp;TEXT(MONTH($A55),"00"),"")</f>
        <v/>
      </c>
      <c r="V55" s="71">
        <f>IF($D55="",0,IF(AND(OR(fClient="All",$B55=fClient),OR(fCampaign="All",$C55=fCampaign),OR(fTeam="All",$R55=fTeam),OR(fChannel="All",$D55=fChannel),OR(fMonth="All",$U55=fMonth)),1,0))</f>
        <v>0</v>
      </c>
      <c r="W55" s="71">
        <f>IF($D55="",0,IF(AND(OR(fClient="All",$B55=fClient),OR(fCampaign="All",$C55=fCampaign),OR(fTeam="All",$R55=fTeam),OR(fChannel="All",$D55=fChannel)),1,0))</f>
        <v>0</v>
      </c>
    </row>
    <row r="56">
      <c r="A56" s="63" t="n"/>
      <c r="B56" s="64" t="n"/>
      <c r="C56" s="64" t="n"/>
      <c r="D56" s="64" t="n"/>
      <c r="E56" s="64" t="n"/>
      <c r="F56" s="67" t="n"/>
      <c r="G56" s="67" t="n"/>
      <c r="H56" s="67" t="n"/>
      <c r="I56" s="67" t="n"/>
      <c r="J56" s="67" t="n"/>
      <c r="K56" s="76" t="str">
        <f>IF(AND(ISNUMBER($H56),$H56&gt;0,ISNUMBER($J56)),$J56/$H56,"")</f>
        <v/>
      </c>
      <c r="L56" s="77" t="str">
        <f>IF(AND(ISNUMBER($J56),$J56&gt;0,ISNUMBER($G56)),$G56/$J56,"")</f>
        <v/>
      </c>
      <c r="M56" s="67" t="n"/>
      <c r="N56" s="67" t="n"/>
      <c r="O56" s="72" t="str">
        <f>IF(AND(ISNUMBER($M56),$M56&gt;0,ISNUMBER($G56)),$G56/$M56,"")</f>
        <v/>
      </c>
      <c r="P56" s="73" t="str">
        <f>IF(AND(ISNUMBER($J56),$J56&gt;0,ISNUMBER($M56)),$M56/$J56,"")</f>
        <v/>
      </c>
      <c r="Q56" s="64" t="n"/>
      <c r="R56" s="64" t="n"/>
      <c r="S56" s="65" t="n"/>
      <c r="T56" s="65" t="n"/>
      <c r="U56" s="71" t="str">
        <f>IF(ISNUMBER($A56),YEAR($A56)&amp;"-"&amp;TEXT(MONTH($A56),"00"),"")</f>
        <v/>
      </c>
      <c r="V56" s="71">
        <f>IF($D56="",0,IF(AND(OR(fClient="All",$B56=fClient),OR(fCampaign="All",$C56=fCampaign),OR(fTeam="All",$R56=fTeam),OR(fChannel="All",$D56=fChannel),OR(fMonth="All",$U56=fMonth)),1,0))</f>
        <v>0</v>
      </c>
      <c r="W56" s="71">
        <f>IF($D56="",0,IF(AND(OR(fClient="All",$B56=fClient),OR(fCampaign="All",$C56=fCampaign),OR(fTeam="All",$R56=fTeam),OR(fChannel="All",$D56=fChannel)),1,0))</f>
        <v>0</v>
      </c>
    </row>
    <row r="57">
      <c r="A57" s="63" t="n"/>
      <c r="B57" s="64" t="n"/>
      <c r="C57" s="64" t="n"/>
      <c r="D57" s="64" t="n"/>
      <c r="E57" s="64" t="n"/>
      <c r="F57" s="67" t="n"/>
      <c r="G57" s="67" t="n"/>
      <c r="H57" s="67" t="n"/>
      <c r="I57" s="67" t="n"/>
      <c r="J57" s="67" t="n"/>
      <c r="K57" s="76" t="str">
        <f>IF(AND(ISNUMBER($H57),$H57&gt;0,ISNUMBER($J57)),$J57/$H57,"")</f>
        <v/>
      </c>
      <c r="L57" s="77" t="str">
        <f>IF(AND(ISNUMBER($J57),$J57&gt;0,ISNUMBER($G57)),$G57/$J57,"")</f>
        <v/>
      </c>
      <c r="M57" s="67" t="n"/>
      <c r="N57" s="67" t="n"/>
      <c r="O57" s="72" t="str">
        <f>IF(AND(ISNUMBER($M57),$M57&gt;0,ISNUMBER($G57)),$G57/$M57,"")</f>
        <v/>
      </c>
      <c r="P57" s="73" t="str">
        <f>IF(AND(ISNUMBER($J57),$J57&gt;0,ISNUMBER($M57)),$M57/$J57,"")</f>
        <v/>
      </c>
      <c r="Q57" s="64" t="n"/>
      <c r="R57" s="64" t="n"/>
      <c r="S57" s="65" t="n"/>
      <c r="T57" s="65" t="n"/>
      <c r="U57" s="71" t="str">
        <f>IF(ISNUMBER($A57),YEAR($A57)&amp;"-"&amp;TEXT(MONTH($A57),"00"),"")</f>
        <v/>
      </c>
      <c r="V57" s="71">
        <f>IF($D57="",0,IF(AND(OR(fClient="All",$B57=fClient),OR(fCampaign="All",$C57=fCampaign),OR(fTeam="All",$R57=fTeam),OR(fChannel="All",$D57=fChannel),OR(fMonth="All",$U57=fMonth)),1,0))</f>
        <v>0</v>
      </c>
      <c r="W57" s="71">
        <f>IF($D57="",0,IF(AND(OR(fClient="All",$B57=fClient),OR(fCampaign="All",$C57=fCampaign),OR(fTeam="All",$R57=fTeam),OR(fChannel="All",$D57=fChannel)),1,0))</f>
        <v>0</v>
      </c>
    </row>
    <row r="58">
      <c r="A58" s="63" t="n"/>
      <c r="B58" s="64" t="n"/>
      <c r="C58" s="64" t="n"/>
      <c r="D58" s="64" t="n"/>
      <c r="E58" s="64" t="n"/>
      <c r="F58" s="67" t="n"/>
      <c r="G58" s="67" t="n"/>
      <c r="H58" s="67" t="n"/>
      <c r="I58" s="67" t="n"/>
      <c r="J58" s="67" t="n"/>
      <c r="K58" s="76" t="str">
        <f>IF(AND(ISNUMBER($H58),$H58&gt;0,ISNUMBER($J58)),$J58/$H58,"")</f>
        <v/>
      </c>
      <c r="L58" s="77" t="str">
        <f>IF(AND(ISNUMBER($J58),$J58&gt;0,ISNUMBER($G58)),$G58/$J58,"")</f>
        <v/>
      </c>
      <c r="M58" s="67" t="n"/>
      <c r="N58" s="67" t="n"/>
      <c r="O58" s="72" t="str">
        <f>IF(AND(ISNUMBER($M58),$M58&gt;0,ISNUMBER($G58)),$G58/$M58,"")</f>
        <v/>
      </c>
      <c r="P58" s="73" t="str">
        <f>IF(AND(ISNUMBER($J58),$J58&gt;0,ISNUMBER($M58)),$M58/$J58,"")</f>
        <v/>
      </c>
      <c r="Q58" s="64" t="n"/>
      <c r="R58" s="64" t="n"/>
      <c r="S58" s="65" t="n"/>
      <c r="T58" s="65" t="n"/>
      <c r="U58" s="71" t="str">
        <f>IF(ISNUMBER($A58),YEAR($A58)&amp;"-"&amp;TEXT(MONTH($A58),"00"),"")</f>
        <v/>
      </c>
      <c r="V58" s="71">
        <f>IF($D58="",0,IF(AND(OR(fClient="All",$B58=fClient),OR(fCampaign="All",$C58=fCampaign),OR(fTeam="All",$R58=fTeam),OR(fChannel="All",$D58=fChannel),OR(fMonth="All",$U58=fMonth)),1,0))</f>
        <v>0</v>
      </c>
      <c r="W58" s="71">
        <f>IF($D58="",0,IF(AND(OR(fClient="All",$B58=fClient),OR(fCampaign="All",$C58=fCampaign),OR(fTeam="All",$R58=fTeam),OR(fChannel="All",$D58=fChannel)),1,0))</f>
        <v>0</v>
      </c>
    </row>
    <row r="59">
      <c r="A59" s="63" t="n"/>
      <c r="B59" s="64" t="n"/>
      <c r="C59" s="64" t="n"/>
      <c r="D59" s="64" t="n"/>
      <c r="E59" s="64" t="n"/>
      <c r="F59" s="67" t="n"/>
      <c r="G59" s="67" t="n"/>
      <c r="H59" s="67" t="n"/>
      <c r="I59" s="67" t="n"/>
      <c r="J59" s="67" t="n"/>
      <c r="K59" s="76" t="str">
        <f>IF(AND(ISNUMBER($H59),$H59&gt;0,ISNUMBER($J59)),$J59/$H59,"")</f>
        <v/>
      </c>
      <c r="L59" s="77" t="str">
        <f>IF(AND(ISNUMBER($J59),$J59&gt;0,ISNUMBER($G59)),$G59/$J59,"")</f>
        <v/>
      </c>
      <c r="M59" s="67" t="n"/>
      <c r="N59" s="67" t="n"/>
      <c r="O59" s="72" t="str">
        <f>IF(AND(ISNUMBER($M59),$M59&gt;0,ISNUMBER($G59)),$G59/$M59,"")</f>
        <v/>
      </c>
      <c r="P59" s="73" t="str">
        <f>IF(AND(ISNUMBER($J59),$J59&gt;0,ISNUMBER($M59)),$M59/$J59,"")</f>
        <v/>
      </c>
      <c r="Q59" s="64" t="n"/>
      <c r="R59" s="64" t="n"/>
      <c r="S59" s="65" t="n"/>
      <c r="T59" s="65" t="n"/>
      <c r="U59" s="71" t="str">
        <f>IF(ISNUMBER($A59),YEAR($A59)&amp;"-"&amp;TEXT(MONTH($A59),"00"),"")</f>
        <v/>
      </c>
      <c r="V59" s="71">
        <f>IF($D59="",0,IF(AND(OR(fClient="All",$B59=fClient),OR(fCampaign="All",$C59=fCampaign),OR(fTeam="All",$R59=fTeam),OR(fChannel="All",$D59=fChannel),OR(fMonth="All",$U59=fMonth)),1,0))</f>
        <v>0</v>
      </c>
      <c r="W59" s="71">
        <f>IF($D59="",0,IF(AND(OR(fClient="All",$B59=fClient),OR(fCampaign="All",$C59=fCampaign),OR(fTeam="All",$R59=fTeam),OR(fChannel="All",$D59=fChannel)),1,0))</f>
        <v>0</v>
      </c>
    </row>
    <row r="60">
      <c r="A60" s="63" t="n"/>
      <c r="B60" s="64" t="n"/>
      <c r="C60" s="64" t="n"/>
      <c r="D60" s="64" t="n"/>
      <c r="E60" s="64" t="n"/>
      <c r="F60" s="67" t="n"/>
      <c r="G60" s="67" t="n"/>
      <c r="H60" s="67" t="n"/>
      <c r="I60" s="67" t="n"/>
      <c r="J60" s="67" t="n"/>
      <c r="K60" s="76" t="str">
        <f>IF(AND(ISNUMBER($H60),$H60&gt;0,ISNUMBER($J60)),$J60/$H60,"")</f>
        <v/>
      </c>
      <c r="L60" s="77" t="str">
        <f>IF(AND(ISNUMBER($J60),$J60&gt;0,ISNUMBER($G60)),$G60/$J60,"")</f>
        <v/>
      </c>
      <c r="M60" s="67" t="n"/>
      <c r="N60" s="67" t="n"/>
      <c r="O60" s="72" t="str">
        <f>IF(AND(ISNUMBER($M60),$M60&gt;0,ISNUMBER($G60)),$G60/$M60,"")</f>
        <v/>
      </c>
      <c r="P60" s="73" t="str">
        <f>IF(AND(ISNUMBER($J60),$J60&gt;0,ISNUMBER($M60)),$M60/$J60,"")</f>
        <v/>
      </c>
      <c r="Q60" s="64" t="n"/>
      <c r="R60" s="64" t="n"/>
      <c r="S60" s="65" t="n"/>
      <c r="T60" s="65" t="n"/>
      <c r="U60" s="71" t="str">
        <f>IF(ISNUMBER($A60),YEAR($A60)&amp;"-"&amp;TEXT(MONTH($A60),"00"),"")</f>
        <v/>
      </c>
      <c r="V60" s="71">
        <f>IF($D60="",0,IF(AND(OR(fClient="All",$B60=fClient),OR(fCampaign="All",$C60=fCampaign),OR(fTeam="All",$R60=fTeam),OR(fChannel="All",$D60=fChannel),OR(fMonth="All",$U60=fMonth)),1,0))</f>
        <v>0</v>
      </c>
      <c r="W60" s="71">
        <f>IF($D60="",0,IF(AND(OR(fClient="All",$B60=fClient),OR(fCampaign="All",$C60=fCampaign),OR(fTeam="All",$R60=fTeam),OR(fChannel="All",$D60=fChannel)),1,0))</f>
        <v>0</v>
      </c>
    </row>
    <row r="61">
      <c r="A61" s="63" t="n"/>
      <c r="B61" s="64" t="n"/>
      <c r="C61" s="64" t="n"/>
      <c r="D61" s="64" t="n"/>
      <c r="E61" s="64" t="n"/>
      <c r="F61" s="67" t="n"/>
      <c r="G61" s="67" t="n"/>
      <c r="H61" s="67" t="n"/>
      <c r="I61" s="67" t="n"/>
      <c r="J61" s="67" t="n"/>
      <c r="K61" s="76" t="str">
        <f>IF(AND(ISNUMBER($H61),$H61&gt;0,ISNUMBER($J61)),$J61/$H61,"")</f>
        <v/>
      </c>
      <c r="L61" s="77" t="str">
        <f>IF(AND(ISNUMBER($J61),$J61&gt;0,ISNUMBER($G61)),$G61/$J61,"")</f>
        <v/>
      </c>
      <c r="M61" s="67" t="n"/>
      <c r="N61" s="67" t="n"/>
      <c r="O61" s="72" t="str">
        <f>IF(AND(ISNUMBER($M61),$M61&gt;0,ISNUMBER($G61)),$G61/$M61,"")</f>
        <v/>
      </c>
      <c r="P61" s="73" t="str">
        <f>IF(AND(ISNUMBER($J61),$J61&gt;0,ISNUMBER($M61)),$M61/$J61,"")</f>
        <v/>
      </c>
      <c r="Q61" s="64" t="n"/>
      <c r="R61" s="64" t="n"/>
      <c r="S61" s="65" t="n"/>
      <c r="T61" s="65" t="n"/>
      <c r="U61" s="71" t="str">
        <f>IF(ISNUMBER($A61),YEAR($A61)&amp;"-"&amp;TEXT(MONTH($A61),"00"),"")</f>
        <v/>
      </c>
      <c r="V61" s="71">
        <f>IF($D61="",0,IF(AND(OR(fClient="All",$B61=fClient),OR(fCampaign="All",$C61=fCampaign),OR(fTeam="All",$R61=fTeam),OR(fChannel="All",$D61=fChannel),OR(fMonth="All",$U61=fMonth)),1,0))</f>
        <v>0</v>
      </c>
      <c r="W61" s="71">
        <f>IF($D61="",0,IF(AND(OR(fClient="All",$B61=fClient),OR(fCampaign="All",$C61=fCampaign),OR(fTeam="All",$R61=fTeam),OR(fChannel="All",$D61=fChannel)),1,0))</f>
        <v>0</v>
      </c>
    </row>
    <row r="62">
      <c r="A62" s="63" t="n"/>
      <c r="B62" s="64" t="n"/>
      <c r="C62" s="64" t="n"/>
      <c r="D62" s="64" t="n"/>
      <c r="E62" s="64" t="n"/>
      <c r="F62" s="67" t="n"/>
      <c r="G62" s="67" t="n"/>
      <c r="H62" s="67" t="n"/>
      <c r="I62" s="67" t="n"/>
      <c r="J62" s="67" t="n"/>
      <c r="K62" s="76" t="str">
        <f>IF(AND(ISNUMBER($H62),$H62&gt;0,ISNUMBER($J62)),$J62/$H62,"")</f>
        <v/>
      </c>
      <c r="L62" s="77" t="str">
        <f>IF(AND(ISNUMBER($J62),$J62&gt;0,ISNUMBER($G62)),$G62/$J62,"")</f>
        <v/>
      </c>
      <c r="M62" s="67" t="n"/>
      <c r="N62" s="67" t="n"/>
      <c r="O62" s="72" t="str">
        <f>IF(AND(ISNUMBER($M62),$M62&gt;0,ISNUMBER($G62)),$G62/$M62,"")</f>
        <v/>
      </c>
      <c r="P62" s="73" t="str">
        <f>IF(AND(ISNUMBER($J62),$J62&gt;0,ISNUMBER($M62)),$M62/$J62,"")</f>
        <v/>
      </c>
      <c r="Q62" s="64" t="n"/>
      <c r="R62" s="64" t="n"/>
      <c r="S62" s="65" t="n"/>
      <c r="T62" s="65" t="n"/>
      <c r="U62" s="71" t="str">
        <f>IF(ISNUMBER($A62),YEAR($A62)&amp;"-"&amp;TEXT(MONTH($A62),"00"),"")</f>
        <v/>
      </c>
      <c r="V62" s="71">
        <f>IF($D62="",0,IF(AND(OR(fClient="All",$B62=fClient),OR(fCampaign="All",$C62=fCampaign),OR(fTeam="All",$R62=fTeam),OR(fChannel="All",$D62=fChannel),OR(fMonth="All",$U62=fMonth)),1,0))</f>
        <v>0</v>
      </c>
      <c r="W62" s="71">
        <f>IF($D62="",0,IF(AND(OR(fClient="All",$B62=fClient),OR(fCampaign="All",$C62=fCampaign),OR(fTeam="All",$R62=fTeam),OR(fChannel="All",$D62=fChannel)),1,0))</f>
        <v>0</v>
      </c>
    </row>
    <row r="63">
      <c r="A63" s="63" t="n"/>
      <c r="B63" s="64" t="n"/>
      <c r="C63" s="64" t="n"/>
      <c r="D63" s="64" t="n"/>
      <c r="E63" s="64" t="n"/>
      <c r="F63" s="67" t="n"/>
      <c r="G63" s="67" t="n"/>
      <c r="H63" s="67" t="n"/>
      <c r="I63" s="67" t="n"/>
      <c r="J63" s="67" t="n"/>
      <c r="K63" s="76" t="str">
        <f>IF(AND(ISNUMBER($H63),$H63&gt;0,ISNUMBER($J63)),$J63/$H63,"")</f>
        <v/>
      </c>
      <c r="L63" s="77" t="str">
        <f>IF(AND(ISNUMBER($J63),$J63&gt;0,ISNUMBER($G63)),$G63/$J63,"")</f>
        <v/>
      </c>
      <c r="M63" s="67" t="n"/>
      <c r="N63" s="67" t="n"/>
      <c r="O63" s="72" t="str">
        <f>IF(AND(ISNUMBER($M63),$M63&gt;0,ISNUMBER($G63)),$G63/$M63,"")</f>
        <v/>
      </c>
      <c r="P63" s="73" t="str">
        <f>IF(AND(ISNUMBER($J63),$J63&gt;0,ISNUMBER($M63)),$M63/$J63,"")</f>
        <v/>
      </c>
      <c r="Q63" s="64" t="n"/>
      <c r="R63" s="64" t="n"/>
      <c r="S63" s="65" t="n"/>
      <c r="T63" s="65" t="n"/>
      <c r="U63" s="71" t="str">
        <f>IF(ISNUMBER($A63),YEAR($A63)&amp;"-"&amp;TEXT(MONTH($A63),"00"),"")</f>
        <v/>
      </c>
      <c r="V63" s="71">
        <f>IF($D63="",0,IF(AND(OR(fClient="All",$B63=fClient),OR(fCampaign="All",$C63=fCampaign),OR(fTeam="All",$R63=fTeam),OR(fChannel="All",$D63=fChannel),OR(fMonth="All",$U63=fMonth)),1,0))</f>
        <v>0</v>
      </c>
      <c r="W63" s="71">
        <f>IF($D63="",0,IF(AND(OR(fClient="All",$B63=fClient),OR(fCampaign="All",$C63=fCampaign),OR(fTeam="All",$R63=fTeam),OR(fChannel="All",$D63=fChannel)),1,0))</f>
        <v>0</v>
      </c>
    </row>
    <row r="64">
      <c r="A64" s="63" t="n"/>
      <c r="B64" s="64" t="n"/>
      <c r="C64" s="64" t="n"/>
      <c r="D64" s="64" t="n"/>
      <c r="E64" s="64" t="n"/>
      <c r="F64" s="67" t="n"/>
      <c r="G64" s="67" t="n"/>
      <c r="H64" s="67" t="n"/>
      <c r="I64" s="67" t="n"/>
      <c r="J64" s="67" t="n"/>
      <c r="K64" s="76" t="str">
        <f>IF(AND(ISNUMBER($H64),$H64&gt;0,ISNUMBER($J64)),$J64/$H64,"")</f>
        <v/>
      </c>
      <c r="L64" s="77" t="str">
        <f>IF(AND(ISNUMBER($J64),$J64&gt;0,ISNUMBER($G64)),$G64/$J64,"")</f>
        <v/>
      </c>
      <c r="M64" s="67" t="n"/>
      <c r="N64" s="67" t="n"/>
      <c r="O64" s="72" t="str">
        <f>IF(AND(ISNUMBER($M64),$M64&gt;0,ISNUMBER($G64)),$G64/$M64,"")</f>
        <v/>
      </c>
      <c r="P64" s="73" t="str">
        <f>IF(AND(ISNUMBER($J64),$J64&gt;0,ISNUMBER($M64)),$M64/$J64,"")</f>
        <v/>
      </c>
      <c r="Q64" s="64" t="n"/>
      <c r="R64" s="64" t="n"/>
      <c r="S64" s="65" t="n"/>
      <c r="T64" s="65" t="n"/>
      <c r="U64" s="71" t="str">
        <f>IF(ISNUMBER($A64),YEAR($A64)&amp;"-"&amp;TEXT(MONTH($A64),"00"),"")</f>
        <v/>
      </c>
      <c r="V64" s="71">
        <f>IF($D64="",0,IF(AND(OR(fClient="All",$B64=fClient),OR(fCampaign="All",$C64=fCampaign),OR(fTeam="All",$R64=fTeam),OR(fChannel="All",$D64=fChannel),OR(fMonth="All",$U64=fMonth)),1,0))</f>
        <v>0</v>
      </c>
      <c r="W64" s="71">
        <f>IF($D64="",0,IF(AND(OR(fClient="All",$B64=fClient),OR(fCampaign="All",$C64=fCampaign),OR(fTeam="All",$R64=fTeam),OR(fChannel="All",$D64=fChannel)),1,0))</f>
        <v>0</v>
      </c>
    </row>
    <row r="65">
      <c r="A65" s="63" t="n"/>
      <c r="B65" s="64" t="n"/>
      <c r="C65" s="64" t="n"/>
      <c r="D65" s="64" t="n"/>
      <c r="E65" s="64" t="n"/>
      <c r="F65" s="67" t="n"/>
      <c r="G65" s="67" t="n"/>
      <c r="H65" s="67" t="n"/>
      <c r="I65" s="67" t="n"/>
      <c r="J65" s="67" t="n"/>
      <c r="K65" s="76" t="str">
        <f>IF(AND(ISNUMBER($H65),$H65&gt;0,ISNUMBER($J65)),$J65/$H65,"")</f>
        <v/>
      </c>
      <c r="L65" s="77" t="str">
        <f>IF(AND(ISNUMBER($J65),$J65&gt;0,ISNUMBER($G65)),$G65/$J65,"")</f>
        <v/>
      </c>
      <c r="M65" s="67" t="n"/>
      <c r="N65" s="67" t="n"/>
      <c r="O65" s="72" t="str">
        <f>IF(AND(ISNUMBER($M65),$M65&gt;0,ISNUMBER($G65)),$G65/$M65,"")</f>
        <v/>
      </c>
      <c r="P65" s="73" t="str">
        <f>IF(AND(ISNUMBER($J65),$J65&gt;0,ISNUMBER($M65)),$M65/$J65,"")</f>
        <v/>
      </c>
      <c r="Q65" s="64" t="n"/>
      <c r="R65" s="64" t="n"/>
      <c r="S65" s="65" t="n"/>
      <c r="T65" s="65" t="n"/>
      <c r="U65" s="71" t="str">
        <f>IF(ISNUMBER($A65),YEAR($A65)&amp;"-"&amp;TEXT(MONTH($A65),"00"),"")</f>
        <v/>
      </c>
      <c r="V65" s="71">
        <f>IF($D65="",0,IF(AND(OR(fClient="All",$B65=fClient),OR(fCampaign="All",$C65=fCampaign),OR(fTeam="All",$R65=fTeam),OR(fChannel="All",$D65=fChannel),OR(fMonth="All",$U65=fMonth)),1,0))</f>
        <v>0</v>
      </c>
      <c r="W65" s="71">
        <f>IF($D65="",0,IF(AND(OR(fClient="All",$B65=fClient),OR(fCampaign="All",$C65=fCampaign),OR(fTeam="All",$R65=fTeam),OR(fChannel="All",$D65=fChannel)),1,0))</f>
        <v>0</v>
      </c>
    </row>
    <row r="66">
      <c r="A66" s="63" t="n"/>
      <c r="B66" s="64" t="n"/>
      <c r="C66" s="64" t="n"/>
      <c r="D66" s="64" t="n"/>
      <c r="E66" s="64" t="n"/>
      <c r="F66" s="67" t="n"/>
      <c r="G66" s="67" t="n"/>
      <c r="H66" s="67" t="n"/>
      <c r="I66" s="67" t="n"/>
      <c r="J66" s="67" t="n"/>
      <c r="K66" s="76" t="str">
        <f>IF(AND(ISNUMBER($H66),$H66&gt;0,ISNUMBER($J66)),$J66/$H66,"")</f>
        <v/>
      </c>
      <c r="L66" s="77" t="str">
        <f>IF(AND(ISNUMBER($J66),$J66&gt;0,ISNUMBER($G66)),$G66/$J66,"")</f>
        <v/>
      </c>
      <c r="M66" s="67" t="n"/>
      <c r="N66" s="67" t="n"/>
      <c r="O66" s="72" t="str">
        <f>IF(AND(ISNUMBER($M66),$M66&gt;0,ISNUMBER($G66)),$G66/$M66,"")</f>
        <v/>
      </c>
      <c r="P66" s="73" t="str">
        <f>IF(AND(ISNUMBER($J66),$J66&gt;0,ISNUMBER($M66)),$M66/$J66,"")</f>
        <v/>
      </c>
      <c r="Q66" s="64" t="n"/>
      <c r="R66" s="64" t="n"/>
      <c r="S66" s="65" t="n"/>
      <c r="T66" s="65" t="n"/>
      <c r="U66" s="71" t="str">
        <f>IF(ISNUMBER($A66),YEAR($A66)&amp;"-"&amp;TEXT(MONTH($A66),"00"),"")</f>
        <v/>
      </c>
      <c r="V66" s="71">
        <f>IF($D66="",0,IF(AND(OR(fClient="All",$B66=fClient),OR(fCampaign="All",$C66=fCampaign),OR(fTeam="All",$R66=fTeam),OR(fChannel="All",$D66=fChannel),OR(fMonth="All",$U66=fMonth)),1,0))</f>
        <v>0</v>
      </c>
      <c r="W66" s="71">
        <f>IF($D66="",0,IF(AND(OR(fClient="All",$B66=fClient),OR(fCampaign="All",$C66=fCampaign),OR(fTeam="All",$R66=fTeam),OR(fChannel="All",$D66=fChannel)),1,0))</f>
        <v>0</v>
      </c>
    </row>
    <row r="67">
      <c r="A67" s="63" t="n"/>
      <c r="B67" s="64" t="n"/>
      <c r="C67" s="64" t="n"/>
      <c r="D67" s="64" t="n"/>
      <c r="E67" s="64" t="n"/>
      <c r="F67" s="67" t="n"/>
      <c r="G67" s="67" t="n"/>
      <c r="H67" s="67" t="n"/>
      <c r="I67" s="67" t="n"/>
      <c r="J67" s="67" t="n"/>
      <c r="K67" s="76" t="str">
        <f>IF(AND(ISNUMBER($H67),$H67&gt;0,ISNUMBER($J67)),$J67/$H67,"")</f>
        <v/>
      </c>
      <c r="L67" s="77" t="str">
        <f>IF(AND(ISNUMBER($J67),$J67&gt;0,ISNUMBER($G67)),$G67/$J67,"")</f>
        <v/>
      </c>
      <c r="M67" s="67" t="n"/>
      <c r="N67" s="67" t="n"/>
      <c r="O67" s="72" t="str">
        <f>IF(AND(ISNUMBER($M67),$M67&gt;0,ISNUMBER($G67)),$G67/$M67,"")</f>
        <v/>
      </c>
      <c r="P67" s="73" t="str">
        <f>IF(AND(ISNUMBER($J67),$J67&gt;0,ISNUMBER($M67)),$M67/$J67,"")</f>
        <v/>
      </c>
      <c r="Q67" s="64" t="n"/>
      <c r="R67" s="64" t="n"/>
      <c r="S67" s="65" t="n"/>
      <c r="T67" s="65" t="n"/>
      <c r="U67" s="71" t="str">
        <f>IF(ISNUMBER($A67),YEAR($A67)&amp;"-"&amp;TEXT(MONTH($A67),"00"),"")</f>
        <v/>
      </c>
      <c r="V67" s="71">
        <f>IF($D67="",0,IF(AND(OR(fClient="All",$B67=fClient),OR(fCampaign="All",$C67=fCampaign),OR(fTeam="All",$R67=fTeam),OR(fChannel="All",$D67=fChannel),OR(fMonth="All",$U67=fMonth)),1,0))</f>
        <v>0</v>
      </c>
      <c r="W67" s="71">
        <f>IF($D67="",0,IF(AND(OR(fClient="All",$B67=fClient),OR(fCampaign="All",$C67=fCampaign),OR(fTeam="All",$R67=fTeam),OR(fChannel="All",$D67=fChannel)),1,0))</f>
        <v>0</v>
      </c>
    </row>
    <row r="68">
      <c r="A68" s="63" t="n"/>
      <c r="B68" s="64" t="n"/>
      <c r="C68" s="64" t="n"/>
      <c r="D68" s="64" t="n"/>
      <c r="E68" s="64" t="n"/>
      <c r="F68" s="67" t="n"/>
      <c r="G68" s="67" t="n"/>
      <c r="H68" s="67" t="n"/>
      <c r="I68" s="67" t="n"/>
      <c r="J68" s="67" t="n"/>
      <c r="K68" s="76" t="str">
        <f>IF(AND(ISNUMBER($H68),$H68&gt;0,ISNUMBER($J68)),$J68/$H68,"")</f>
        <v/>
      </c>
      <c r="L68" s="77" t="str">
        <f>IF(AND(ISNUMBER($J68),$J68&gt;0,ISNUMBER($G68)),$G68/$J68,"")</f>
        <v/>
      </c>
      <c r="M68" s="67" t="n"/>
      <c r="N68" s="67" t="n"/>
      <c r="O68" s="72" t="str">
        <f>IF(AND(ISNUMBER($M68),$M68&gt;0,ISNUMBER($G68)),$G68/$M68,"")</f>
        <v/>
      </c>
      <c r="P68" s="73" t="str">
        <f>IF(AND(ISNUMBER($J68),$J68&gt;0,ISNUMBER($M68)),$M68/$J68,"")</f>
        <v/>
      </c>
      <c r="Q68" s="64" t="n"/>
      <c r="R68" s="64" t="n"/>
      <c r="S68" s="65" t="n"/>
      <c r="T68" s="65" t="n"/>
      <c r="U68" s="71" t="str">
        <f>IF(ISNUMBER($A68),YEAR($A68)&amp;"-"&amp;TEXT(MONTH($A68),"00"),"")</f>
        <v/>
      </c>
      <c r="V68" s="71">
        <f>IF($D68="",0,IF(AND(OR(fClient="All",$B68=fClient),OR(fCampaign="All",$C68=fCampaign),OR(fTeam="All",$R68=fTeam),OR(fChannel="All",$D68=fChannel),OR(fMonth="All",$U68=fMonth)),1,0))</f>
        <v>0</v>
      </c>
      <c r="W68" s="71">
        <f>IF($D68="",0,IF(AND(OR(fClient="All",$B68=fClient),OR(fCampaign="All",$C68=fCampaign),OR(fTeam="All",$R68=fTeam),OR(fChannel="All",$D68=fChannel)),1,0))</f>
        <v>0</v>
      </c>
    </row>
    <row r="69">
      <c r="A69" s="63" t="n"/>
      <c r="B69" s="64" t="n"/>
      <c r="C69" s="64" t="n"/>
      <c r="D69" s="64" t="n"/>
      <c r="E69" s="64" t="n"/>
      <c r="F69" s="67" t="n"/>
      <c r="G69" s="67" t="n"/>
      <c r="H69" s="67" t="n"/>
      <c r="I69" s="67" t="n"/>
      <c r="J69" s="67" t="n"/>
      <c r="K69" s="76" t="str">
        <f>IF(AND(ISNUMBER($H69),$H69&gt;0,ISNUMBER($J69)),$J69/$H69,"")</f>
        <v/>
      </c>
      <c r="L69" s="77" t="str">
        <f>IF(AND(ISNUMBER($J69),$J69&gt;0,ISNUMBER($G69)),$G69/$J69,"")</f>
        <v/>
      </c>
      <c r="M69" s="67" t="n"/>
      <c r="N69" s="67" t="n"/>
      <c r="O69" s="72" t="str">
        <f>IF(AND(ISNUMBER($M69),$M69&gt;0,ISNUMBER($G69)),$G69/$M69,"")</f>
        <v/>
      </c>
      <c r="P69" s="73" t="str">
        <f>IF(AND(ISNUMBER($J69),$J69&gt;0,ISNUMBER($M69)),$M69/$J69,"")</f>
        <v/>
      </c>
      <c r="Q69" s="64" t="n"/>
      <c r="R69" s="64" t="n"/>
      <c r="S69" s="65" t="n"/>
      <c r="T69" s="65" t="n"/>
      <c r="U69" s="71" t="str">
        <f>IF(ISNUMBER($A69),YEAR($A69)&amp;"-"&amp;TEXT(MONTH($A69),"00"),"")</f>
        <v/>
      </c>
      <c r="V69" s="71">
        <f>IF($D69="",0,IF(AND(OR(fClient="All",$B69=fClient),OR(fCampaign="All",$C69=fCampaign),OR(fTeam="All",$R69=fTeam),OR(fChannel="All",$D69=fChannel),OR(fMonth="All",$U69=fMonth)),1,0))</f>
        <v>0</v>
      </c>
      <c r="W69" s="71">
        <f>IF($D69="",0,IF(AND(OR(fClient="All",$B69=fClient),OR(fCampaign="All",$C69=fCampaign),OR(fTeam="All",$R69=fTeam),OR(fChannel="All",$D69=fChannel)),1,0))</f>
        <v>0</v>
      </c>
    </row>
    <row r="70">
      <c r="A70" s="63" t="n"/>
      <c r="B70" s="64" t="n"/>
      <c r="C70" s="64" t="n"/>
      <c r="D70" s="64" t="n"/>
      <c r="E70" s="64" t="n"/>
      <c r="F70" s="67" t="n"/>
      <c r="G70" s="67" t="n"/>
      <c r="H70" s="67" t="n"/>
      <c r="I70" s="67" t="n"/>
      <c r="J70" s="67" t="n"/>
      <c r="K70" s="76" t="str">
        <f>IF(AND(ISNUMBER($H70),$H70&gt;0,ISNUMBER($J70)),$J70/$H70,"")</f>
        <v/>
      </c>
      <c r="L70" s="77" t="str">
        <f>IF(AND(ISNUMBER($J70),$J70&gt;0,ISNUMBER($G70)),$G70/$J70,"")</f>
        <v/>
      </c>
      <c r="M70" s="67" t="n"/>
      <c r="N70" s="67" t="n"/>
      <c r="O70" s="72" t="str">
        <f>IF(AND(ISNUMBER($M70),$M70&gt;0,ISNUMBER($G70)),$G70/$M70,"")</f>
        <v/>
      </c>
      <c r="P70" s="73" t="str">
        <f>IF(AND(ISNUMBER($J70),$J70&gt;0,ISNUMBER($M70)),$M70/$J70,"")</f>
        <v/>
      </c>
      <c r="Q70" s="64" t="n"/>
      <c r="R70" s="64" t="n"/>
      <c r="S70" s="65" t="n"/>
      <c r="T70" s="65" t="n"/>
      <c r="U70" s="71" t="str">
        <f>IF(ISNUMBER($A70),YEAR($A70)&amp;"-"&amp;TEXT(MONTH($A70),"00"),"")</f>
        <v/>
      </c>
      <c r="V70" s="71">
        <f>IF($D70="",0,IF(AND(OR(fClient="All",$B70=fClient),OR(fCampaign="All",$C70=fCampaign),OR(fTeam="All",$R70=fTeam),OR(fChannel="All",$D70=fChannel),OR(fMonth="All",$U70=fMonth)),1,0))</f>
        <v>0</v>
      </c>
      <c r="W70" s="71">
        <f>IF($D70="",0,IF(AND(OR(fClient="All",$B70=fClient),OR(fCampaign="All",$C70=fCampaign),OR(fTeam="All",$R70=fTeam),OR(fChannel="All",$D70=fChannel)),1,0))</f>
        <v>0</v>
      </c>
    </row>
    <row r="71">
      <c r="A71" s="63" t="n"/>
      <c r="B71" s="64" t="n"/>
      <c r="C71" s="64" t="n"/>
      <c r="D71" s="64" t="n"/>
      <c r="E71" s="64" t="n"/>
      <c r="F71" s="67" t="n"/>
      <c r="G71" s="67" t="n"/>
      <c r="H71" s="67" t="n"/>
      <c r="I71" s="67" t="n"/>
      <c r="J71" s="67" t="n"/>
      <c r="K71" s="76" t="str">
        <f>IF(AND(ISNUMBER($H71),$H71&gt;0,ISNUMBER($J71)),$J71/$H71,"")</f>
        <v/>
      </c>
      <c r="L71" s="77" t="str">
        <f>IF(AND(ISNUMBER($J71),$J71&gt;0,ISNUMBER($G71)),$G71/$J71,"")</f>
        <v/>
      </c>
      <c r="M71" s="67" t="n"/>
      <c r="N71" s="67" t="n"/>
      <c r="O71" s="72" t="str">
        <f>IF(AND(ISNUMBER($M71),$M71&gt;0,ISNUMBER($G71)),$G71/$M71,"")</f>
        <v/>
      </c>
      <c r="P71" s="73" t="str">
        <f>IF(AND(ISNUMBER($J71),$J71&gt;0,ISNUMBER($M71)),$M71/$J71,"")</f>
        <v/>
      </c>
      <c r="Q71" s="64" t="n"/>
      <c r="R71" s="64" t="n"/>
      <c r="S71" s="65" t="n"/>
      <c r="T71" s="65" t="n"/>
      <c r="U71" s="71" t="str">
        <f>IF(ISNUMBER($A71),YEAR($A71)&amp;"-"&amp;TEXT(MONTH($A71),"00"),"")</f>
        <v/>
      </c>
      <c r="V71" s="71">
        <f>IF($D71="",0,IF(AND(OR(fClient="All",$B71=fClient),OR(fCampaign="All",$C71=fCampaign),OR(fTeam="All",$R71=fTeam),OR(fChannel="All",$D71=fChannel),OR(fMonth="All",$U71=fMonth)),1,0))</f>
        <v>0</v>
      </c>
      <c r="W71" s="71">
        <f>IF($D71="",0,IF(AND(OR(fClient="All",$B71=fClient),OR(fCampaign="All",$C71=fCampaign),OR(fTeam="All",$R71=fTeam),OR(fChannel="All",$D71=fChannel)),1,0))</f>
        <v>0</v>
      </c>
    </row>
    <row r="72">
      <c r="A72" s="63" t="n"/>
      <c r="B72" s="64" t="n"/>
      <c r="C72" s="64" t="n"/>
      <c r="D72" s="64" t="n"/>
      <c r="E72" s="64" t="n"/>
      <c r="F72" s="67" t="n"/>
      <c r="G72" s="67" t="n"/>
      <c r="H72" s="67" t="n"/>
      <c r="I72" s="67" t="n"/>
      <c r="J72" s="67" t="n"/>
      <c r="K72" s="76" t="str">
        <f>IF(AND(ISNUMBER($H72),$H72&gt;0,ISNUMBER($J72)),$J72/$H72,"")</f>
        <v/>
      </c>
      <c r="L72" s="77" t="str">
        <f>IF(AND(ISNUMBER($J72),$J72&gt;0,ISNUMBER($G72)),$G72/$J72,"")</f>
        <v/>
      </c>
      <c r="M72" s="67" t="n"/>
      <c r="N72" s="67" t="n"/>
      <c r="O72" s="72" t="str">
        <f>IF(AND(ISNUMBER($M72),$M72&gt;0,ISNUMBER($G72)),$G72/$M72,"")</f>
        <v/>
      </c>
      <c r="P72" s="73" t="str">
        <f>IF(AND(ISNUMBER($J72),$J72&gt;0,ISNUMBER($M72)),$M72/$J72,"")</f>
        <v/>
      </c>
      <c r="Q72" s="64" t="n"/>
      <c r="R72" s="64" t="n"/>
      <c r="S72" s="65" t="n"/>
      <c r="T72" s="65" t="n"/>
      <c r="U72" s="71" t="str">
        <f>IF(ISNUMBER($A72),YEAR($A72)&amp;"-"&amp;TEXT(MONTH($A72),"00"),"")</f>
        <v/>
      </c>
      <c r="V72" s="71">
        <f>IF($D72="",0,IF(AND(OR(fClient="All",$B72=fClient),OR(fCampaign="All",$C72=fCampaign),OR(fTeam="All",$R72=fTeam),OR(fChannel="All",$D72=fChannel),OR(fMonth="All",$U72=fMonth)),1,0))</f>
        <v>0</v>
      </c>
      <c r="W72" s="71">
        <f>IF($D72="",0,IF(AND(OR(fClient="All",$B72=fClient),OR(fCampaign="All",$C72=fCampaign),OR(fTeam="All",$R72=fTeam),OR(fChannel="All",$D72=fChannel)),1,0))</f>
        <v>0</v>
      </c>
    </row>
    <row r="73">
      <c r="A73" s="63" t="n"/>
      <c r="B73" s="64" t="n"/>
      <c r="C73" s="64" t="n"/>
      <c r="D73" s="64" t="n"/>
      <c r="E73" s="64" t="n"/>
      <c r="F73" s="67" t="n"/>
      <c r="G73" s="67" t="n"/>
      <c r="H73" s="67" t="n"/>
      <c r="I73" s="67" t="n"/>
      <c r="J73" s="67" t="n"/>
      <c r="K73" s="76" t="str">
        <f>IF(AND(ISNUMBER($H73),$H73&gt;0,ISNUMBER($J73)),$J73/$H73,"")</f>
        <v/>
      </c>
      <c r="L73" s="77" t="str">
        <f>IF(AND(ISNUMBER($J73),$J73&gt;0,ISNUMBER($G73)),$G73/$J73,"")</f>
        <v/>
      </c>
      <c r="M73" s="67" t="n"/>
      <c r="N73" s="67" t="n"/>
      <c r="O73" s="72" t="str">
        <f>IF(AND(ISNUMBER($M73),$M73&gt;0,ISNUMBER($G73)),$G73/$M73,"")</f>
        <v/>
      </c>
      <c r="P73" s="73" t="str">
        <f>IF(AND(ISNUMBER($J73),$J73&gt;0,ISNUMBER($M73)),$M73/$J73,"")</f>
        <v/>
      </c>
      <c r="Q73" s="64" t="n"/>
      <c r="R73" s="64" t="n"/>
      <c r="S73" s="65" t="n"/>
      <c r="T73" s="65" t="n"/>
      <c r="U73" s="71" t="str">
        <f>IF(ISNUMBER($A73),YEAR($A73)&amp;"-"&amp;TEXT(MONTH($A73),"00"),"")</f>
        <v/>
      </c>
      <c r="V73" s="71">
        <f>IF($D73="",0,IF(AND(OR(fClient="All",$B73=fClient),OR(fCampaign="All",$C73=fCampaign),OR(fTeam="All",$R73=fTeam),OR(fChannel="All",$D73=fChannel),OR(fMonth="All",$U73=fMonth)),1,0))</f>
        <v>0</v>
      </c>
      <c r="W73" s="71">
        <f>IF($D73="",0,IF(AND(OR(fClient="All",$B73=fClient),OR(fCampaign="All",$C73=fCampaign),OR(fTeam="All",$R73=fTeam),OR(fChannel="All",$D73=fChannel)),1,0))</f>
        <v>0</v>
      </c>
    </row>
    <row r="74">
      <c r="A74" s="63" t="n"/>
      <c r="B74" s="64" t="n"/>
      <c r="C74" s="64" t="n"/>
      <c r="D74" s="64" t="n"/>
      <c r="E74" s="64" t="n"/>
      <c r="F74" s="67" t="n"/>
      <c r="G74" s="67" t="n"/>
      <c r="H74" s="67" t="n"/>
      <c r="I74" s="67" t="n"/>
      <c r="J74" s="67" t="n"/>
      <c r="K74" s="76" t="str">
        <f>IF(AND(ISNUMBER($H74),$H74&gt;0,ISNUMBER($J74)),$J74/$H74,"")</f>
        <v/>
      </c>
      <c r="L74" s="77" t="str">
        <f>IF(AND(ISNUMBER($J74),$J74&gt;0,ISNUMBER($G74)),$G74/$J74,"")</f>
        <v/>
      </c>
      <c r="M74" s="67" t="n"/>
      <c r="N74" s="67" t="n"/>
      <c r="O74" s="72" t="str">
        <f>IF(AND(ISNUMBER($M74),$M74&gt;0,ISNUMBER($G74)),$G74/$M74,"")</f>
        <v/>
      </c>
      <c r="P74" s="73" t="str">
        <f>IF(AND(ISNUMBER($J74),$J74&gt;0,ISNUMBER($M74)),$M74/$J74,"")</f>
        <v/>
      </c>
      <c r="Q74" s="64" t="n"/>
      <c r="R74" s="64" t="n"/>
      <c r="S74" s="65" t="n"/>
      <c r="T74" s="65" t="n"/>
      <c r="U74" s="71" t="str">
        <f>IF(ISNUMBER($A74),YEAR($A74)&amp;"-"&amp;TEXT(MONTH($A74),"00"),"")</f>
        <v/>
      </c>
      <c r="V74" s="71">
        <f>IF($D74="",0,IF(AND(OR(fClient="All",$B74=fClient),OR(fCampaign="All",$C74=fCampaign),OR(fTeam="All",$R74=fTeam),OR(fChannel="All",$D74=fChannel),OR(fMonth="All",$U74=fMonth)),1,0))</f>
        <v>0</v>
      </c>
      <c r="W74" s="71">
        <f>IF($D74="",0,IF(AND(OR(fClient="All",$B74=fClient),OR(fCampaign="All",$C74=fCampaign),OR(fTeam="All",$R74=fTeam),OR(fChannel="All",$D74=fChannel)),1,0))</f>
        <v>0</v>
      </c>
    </row>
    <row r="75">
      <c r="A75" s="63" t="n"/>
      <c r="B75" s="64" t="n"/>
      <c r="C75" s="64" t="n"/>
      <c r="D75" s="64" t="n"/>
      <c r="E75" s="64" t="n"/>
      <c r="F75" s="67" t="n"/>
      <c r="G75" s="67" t="n"/>
      <c r="H75" s="67" t="n"/>
      <c r="I75" s="67" t="n"/>
      <c r="J75" s="67" t="n"/>
      <c r="K75" s="76" t="str">
        <f>IF(AND(ISNUMBER($H75),$H75&gt;0,ISNUMBER($J75)),$J75/$H75,"")</f>
        <v/>
      </c>
      <c r="L75" s="77" t="str">
        <f>IF(AND(ISNUMBER($J75),$J75&gt;0,ISNUMBER($G75)),$G75/$J75,"")</f>
        <v/>
      </c>
      <c r="M75" s="67" t="n"/>
      <c r="N75" s="67" t="n"/>
      <c r="O75" s="72" t="str">
        <f>IF(AND(ISNUMBER($M75),$M75&gt;0,ISNUMBER($G75)),$G75/$M75,"")</f>
        <v/>
      </c>
      <c r="P75" s="73" t="str">
        <f>IF(AND(ISNUMBER($J75),$J75&gt;0,ISNUMBER($M75)),$M75/$J75,"")</f>
        <v/>
      </c>
      <c r="Q75" s="64" t="n"/>
      <c r="R75" s="64" t="n"/>
      <c r="S75" s="65" t="n"/>
      <c r="T75" s="65" t="n"/>
      <c r="U75" s="71" t="str">
        <f>IF(ISNUMBER($A75),YEAR($A75)&amp;"-"&amp;TEXT(MONTH($A75),"00"),"")</f>
        <v/>
      </c>
      <c r="V75" s="71">
        <f>IF($D75="",0,IF(AND(OR(fClient="All",$B75=fClient),OR(fCampaign="All",$C75=fCampaign),OR(fTeam="All",$R75=fTeam),OR(fChannel="All",$D75=fChannel),OR(fMonth="All",$U75=fMonth)),1,0))</f>
        <v>0</v>
      </c>
      <c r="W75" s="71">
        <f>IF($D75="",0,IF(AND(OR(fClient="All",$B75=fClient),OR(fCampaign="All",$C75=fCampaign),OR(fTeam="All",$R75=fTeam),OR(fChannel="All",$D75=fChannel)),1,0))</f>
        <v>0</v>
      </c>
    </row>
    <row r="76">
      <c r="A76" s="63" t="n"/>
      <c r="B76" s="64" t="n"/>
      <c r="C76" s="64" t="n"/>
      <c r="D76" s="64" t="n"/>
      <c r="E76" s="64" t="n"/>
      <c r="F76" s="67" t="n"/>
      <c r="G76" s="67" t="n"/>
      <c r="H76" s="67" t="n"/>
      <c r="I76" s="67" t="n"/>
      <c r="J76" s="67" t="n"/>
      <c r="K76" s="76" t="str">
        <f>IF(AND(ISNUMBER($H76),$H76&gt;0,ISNUMBER($J76)),$J76/$H76,"")</f>
        <v/>
      </c>
      <c r="L76" s="77" t="str">
        <f>IF(AND(ISNUMBER($J76),$J76&gt;0,ISNUMBER($G76)),$G76/$J76,"")</f>
        <v/>
      </c>
      <c r="M76" s="67" t="n"/>
      <c r="N76" s="67" t="n"/>
      <c r="O76" s="72" t="str">
        <f>IF(AND(ISNUMBER($M76),$M76&gt;0,ISNUMBER($G76)),$G76/$M76,"")</f>
        <v/>
      </c>
      <c r="P76" s="73" t="str">
        <f>IF(AND(ISNUMBER($J76),$J76&gt;0,ISNUMBER($M76)),$M76/$J76,"")</f>
        <v/>
      </c>
      <c r="Q76" s="64" t="n"/>
      <c r="R76" s="64" t="n"/>
      <c r="S76" s="65" t="n"/>
      <c r="T76" s="65" t="n"/>
      <c r="U76" s="71" t="str">
        <f>IF(ISNUMBER($A76),YEAR($A76)&amp;"-"&amp;TEXT(MONTH($A76),"00"),"")</f>
        <v/>
      </c>
      <c r="V76" s="71">
        <f>IF($D76="",0,IF(AND(OR(fClient="All",$B76=fClient),OR(fCampaign="All",$C76=fCampaign),OR(fTeam="All",$R76=fTeam),OR(fChannel="All",$D76=fChannel),OR(fMonth="All",$U76=fMonth)),1,0))</f>
        <v>0</v>
      </c>
      <c r="W76" s="71">
        <f>IF($D76="",0,IF(AND(OR(fClient="All",$B76=fClient),OR(fCampaign="All",$C76=fCampaign),OR(fTeam="All",$R76=fTeam),OR(fChannel="All",$D76=fChannel)),1,0))</f>
        <v>0</v>
      </c>
    </row>
    <row r="77">
      <c r="A77" s="63" t="n"/>
      <c r="B77" s="64" t="n"/>
      <c r="C77" s="64" t="n"/>
      <c r="D77" s="64" t="n"/>
      <c r="E77" s="64" t="n"/>
      <c r="F77" s="67" t="n"/>
      <c r="G77" s="67" t="n"/>
      <c r="H77" s="67" t="n"/>
      <c r="I77" s="67" t="n"/>
      <c r="J77" s="67" t="n"/>
      <c r="K77" s="76" t="str">
        <f>IF(AND(ISNUMBER($H77),$H77&gt;0,ISNUMBER($J77)),$J77/$H77,"")</f>
        <v/>
      </c>
      <c r="L77" s="77" t="str">
        <f>IF(AND(ISNUMBER($J77),$J77&gt;0,ISNUMBER($G77)),$G77/$J77,"")</f>
        <v/>
      </c>
      <c r="M77" s="67" t="n"/>
      <c r="N77" s="67" t="n"/>
      <c r="O77" s="72" t="str">
        <f>IF(AND(ISNUMBER($M77),$M77&gt;0,ISNUMBER($G77)),$G77/$M77,"")</f>
        <v/>
      </c>
      <c r="P77" s="73" t="str">
        <f>IF(AND(ISNUMBER($J77),$J77&gt;0,ISNUMBER($M77)),$M77/$J77,"")</f>
        <v/>
      </c>
      <c r="Q77" s="64" t="n"/>
      <c r="R77" s="64" t="n"/>
      <c r="S77" s="65" t="n"/>
      <c r="T77" s="65" t="n"/>
      <c r="U77" s="71" t="str">
        <f>IF(ISNUMBER($A77),YEAR($A77)&amp;"-"&amp;TEXT(MONTH($A77),"00"),"")</f>
        <v/>
      </c>
      <c r="V77" s="71">
        <f>IF($D77="",0,IF(AND(OR(fClient="All",$B77=fClient),OR(fCampaign="All",$C77=fCampaign),OR(fTeam="All",$R77=fTeam),OR(fChannel="All",$D77=fChannel),OR(fMonth="All",$U77=fMonth)),1,0))</f>
        <v>0</v>
      </c>
      <c r="W77" s="71">
        <f>IF($D77="",0,IF(AND(OR(fClient="All",$B77=fClient),OR(fCampaign="All",$C77=fCampaign),OR(fTeam="All",$R77=fTeam),OR(fChannel="All",$D77=fChannel)),1,0))</f>
        <v>0</v>
      </c>
    </row>
    <row r="78">
      <c r="A78" s="63" t="n"/>
      <c r="B78" s="64" t="n"/>
      <c r="C78" s="64" t="n"/>
      <c r="D78" s="64" t="n"/>
      <c r="E78" s="64" t="n"/>
      <c r="F78" s="67" t="n"/>
      <c r="G78" s="67" t="n"/>
      <c r="H78" s="67" t="n"/>
      <c r="I78" s="67" t="n"/>
      <c r="J78" s="67" t="n"/>
      <c r="K78" s="76" t="str">
        <f>IF(AND(ISNUMBER($H78),$H78&gt;0,ISNUMBER($J78)),$J78/$H78,"")</f>
        <v/>
      </c>
      <c r="L78" s="77" t="str">
        <f>IF(AND(ISNUMBER($J78),$J78&gt;0,ISNUMBER($G78)),$G78/$J78,"")</f>
        <v/>
      </c>
      <c r="M78" s="67" t="n"/>
      <c r="N78" s="67" t="n"/>
      <c r="O78" s="72" t="str">
        <f>IF(AND(ISNUMBER($M78),$M78&gt;0,ISNUMBER($G78)),$G78/$M78,"")</f>
        <v/>
      </c>
      <c r="P78" s="73" t="str">
        <f>IF(AND(ISNUMBER($J78),$J78&gt;0,ISNUMBER($M78)),$M78/$J78,"")</f>
        <v/>
      </c>
      <c r="Q78" s="64" t="n"/>
      <c r="R78" s="64" t="n"/>
      <c r="S78" s="65" t="n"/>
      <c r="T78" s="65" t="n"/>
      <c r="U78" s="71" t="str">
        <f>IF(ISNUMBER($A78),YEAR($A78)&amp;"-"&amp;TEXT(MONTH($A78),"00"),"")</f>
        <v/>
      </c>
      <c r="V78" s="71">
        <f>IF($D78="",0,IF(AND(OR(fClient="All",$B78=fClient),OR(fCampaign="All",$C78=fCampaign),OR(fTeam="All",$R78=fTeam),OR(fChannel="All",$D78=fChannel),OR(fMonth="All",$U78=fMonth)),1,0))</f>
        <v>0</v>
      </c>
      <c r="W78" s="71">
        <f>IF($D78="",0,IF(AND(OR(fClient="All",$B78=fClient),OR(fCampaign="All",$C78=fCampaign),OR(fTeam="All",$R78=fTeam),OR(fChannel="All",$D78=fChannel)),1,0))</f>
        <v>0</v>
      </c>
    </row>
    <row r="79">
      <c r="A79" s="63" t="n"/>
      <c r="B79" s="64" t="n"/>
      <c r="C79" s="64" t="n"/>
      <c r="D79" s="64" t="n"/>
      <c r="E79" s="64" t="n"/>
      <c r="F79" s="67" t="n"/>
      <c r="G79" s="67" t="n"/>
      <c r="H79" s="67" t="n"/>
      <c r="I79" s="67" t="n"/>
      <c r="J79" s="67" t="n"/>
      <c r="K79" s="76" t="str">
        <f>IF(AND(ISNUMBER($H79),$H79&gt;0,ISNUMBER($J79)),$J79/$H79,"")</f>
        <v/>
      </c>
      <c r="L79" s="77" t="str">
        <f>IF(AND(ISNUMBER($J79),$J79&gt;0,ISNUMBER($G79)),$G79/$J79,"")</f>
        <v/>
      </c>
      <c r="M79" s="67" t="n"/>
      <c r="N79" s="67" t="n"/>
      <c r="O79" s="72" t="str">
        <f>IF(AND(ISNUMBER($M79),$M79&gt;0,ISNUMBER($G79)),$G79/$M79,"")</f>
        <v/>
      </c>
      <c r="P79" s="73" t="str">
        <f>IF(AND(ISNUMBER($J79),$J79&gt;0,ISNUMBER($M79)),$M79/$J79,"")</f>
        <v/>
      </c>
      <c r="Q79" s="64" t="n"/>
      <c r="R79" s="64" t="n"/>
      <c r="S79" s="65" t="n"/>
      <c r="T79" s="65" t="n"/>
      <c r="U79" s="71" t="str">
        <f>IF(ISNUMBER($A79),YEAR($A79)&amp;"-"&amp;TEXT(MONTH($A79),"00"),"")</f>
        <v/>
      </c>
      <c r="V79" s="71">
        <f>IF($D79="",0,IF(AND(OR(fClient="All",$B79=fClient),OR(fCampaign="All",$C79=fCampaign),OR(fTeam="All",$R79=fTeam),OR(fChannel="All",$D79=fChannel),OR(fMonth="All",$U79=fMonth)),1,0))</f>
        <v>0</v>
      </c>
      <c r="W79" s="71">
        <f>IF($D79="",0,IF(AND(OR(fClient="All",$B79=fClient),OR(fCampaign="All",$C79=fCampaign),OR(fTeam="All",$R79=fTeam),OR(fChannel="All",$D79=fChannel)),1,0))</f>
        <v>0</v>
      </c>
    </row>
    <row r="80">
      <c r="A80" s="63" t="n"/>
      <c r="B80" s="64" t="n"/>
      <c r="C80" s="64" t="n"/>
      <c r="D80" s="64" t="n"/>
      <c r="E80" s="64" t="n"/>
      <c r="F80" s="67" t="n"/>
      <c r="G80" s="67" t="n"/>
      <c r="H80" s="67" t="n"/>
      <c r="I80" s="67" t="n"/>
      <c r="J80" s="67" t="n"/>
      <c r="K80" s="76" t="str">
        <f>IF(AND(ISNUMBER($H80),$H80&gt;0,ISNUMBER($J80)),$J80/$H80,"")</f>
        <v/>
      </c>
      <c r="L80" s="77" t="str">
        <f>IF(AND(ISNUMBER($J80),$J80&gt;0,ISNUMBER($G80)),$G80/$J80,"")</f>
        <v/>
      </c>
      <c r="M80" s="67" t="n"/>
      <c r="N80" s="67" t="n"/>
      <c r="O80" s="72" t="str">
        <f>IF(AND(ISNUMBER($M80),$M80&gt;0,ISNUMBER($G80)),$G80/$M80,"")</f>
        <v/>
      </c>
      <c r="P80" s="73" t="str">
        <f>IF(AND(ISNUMBER($J80),$J80&gt;0,ISNUMBER($M80)),$M80/$J80,"")</f>
        <v/>
      </c>
      <c r="Q80" s="64" t="n"/>
      <c r="R80" s="64" t="n"/>
      <c r="S80" s="65" t="n"/>
      <c r="T80" s="65" t="n"/>
      <c r="U80" s="71" t="str">
        <f>IF(ISNUMBER($A80),YEAR($A80)&amp;"-"&amp;TEXT(MONTH($A80),"00"),"")</f>
        <v/>
      </c>
      <c r="V80" s="71">
        <f>IF($D80="",0,IF(AND(OR(fClient="All",$B80=fClient),OR(fCampaign="All",$C80=fCampaign),OR(fTeam="All",$R80=fTeam),OR(fChannel="All",$D80=fChannel),OR(fMonth="All",$U80=fMonth)),1,0))</f>
        <v>0</v>
      </c>
      <c r="W80" s="71">
        <f>IF($D80="",0,IF(AND(OR(fClient="All",$B80=fClient),OR(fCampaign="All",$C80=fCampaign),OR(fTeam="All",$R80=fTeam),OR(fChannel="All",$D80=fChannel)),1,0))</f>
        <v>0</v>
      </c>
    </row>
    <row r="81">
      <c r="A81" s="63" t="n"/>
      <c r="B81" s="64" t="n"/>
      <c r="C81" s="64" t="n"/>
      <c r="D81" s="64" t="n"/>
      <c r="E81" s="64" t="n"/>
      <c r="F81" s="67" t="n"/>
      <c r="G81" s="67" t="n"/>
      <c r="H81" s="67" t="n"/>
      <c r="I81" s="67" t="n"/>
      <c r="J81" s="67" t="n"/>
      <c r="K81" s="76" t="str">
        <f>IF(AND(ISNUMBER($H81),$H81&gt;0,ISNUMBER($J81)),$J81/$H81,"")</f>
        <v/>
      </c>
      <c r="L81" s="77" t="str">
        <f>IF(AND(ISNUMBER($J81),$J81&gt;0,ISNUMBER($G81)),$G81/$J81,"")</f>
        <v/>
      </c>
      <c r="M81" s="67" t="n"/>
      <c r="N81" s="67" t="n"/>
      <c r="O81" s="72" t="str">
        <f>IF(AND(ISNUMBER($M81),$M81&gt;0,ISNUMBER($G81)),$G81/$M81,"")</f>
        <v/>
      </c>
      <c r="P81" s="73" t="str">
        <f>IF(AND(ISNUMBER($J81),$J81&gt;0,ISNUMBER($M81)),$M81/$J81,"")</f>
        <v/>
      </c>
      <c r="Q81" s="64" t="n"/>
      <c r="R81" s="64" t="n"/>
      <c r="S81" s="65" t="n"/>
      <c r="T81" s="65" t="n"/>
      <c r="U81" s="71" t="str">
        <f>IF(ISNUMBER($A81),YEAR($A81)&amp;"-"&amp;TEXT(MONTH($A81),"00"),"")</f>
        <v/>
      </c>
      <c r="V81" s="71">
        <f>IF($D81="",0,IF(AND(OR(fClient="All",$B81=fClient),OR(fCampaign="All",$C81=fCampaign),OR(fTeam="All",$R81=fTeam),OR(fChannel="All",$D81=fChannel),OR(fMonth="All",$U81=fMonth)),1,0))</f>
        <v>0</v>
      </c>
      <c r="W81" s="71">
        <f>IF($D81="",0,IF(AND(OR(fClient="All",$B81=fClient),OR(fCampaign="All",$C81=fCampaign),OR(fTeam="All",$R81=fTeam),OR(fChannel="All",$D81=fChannel)),1,0))</f>
        <v>0</v>
      </c>
    </row>
    <row r="82">
      <c r="A82" s="63" t="n"/>
      <c r="B82" s="64" t="n"/>
      <c r="C82" s="64" t="n"/>
      <c r="D82" s="64" t="n"/>
      <c r="E82" s="64" t="n"/>
      <c r="F82" s="67" t="n"/>
      <c r="G82" s="67" t="n"/>
      <c r="H82" s="67" t="n"/>
      <c r="I82" s="67" t="n"/>
      <c r="J82" s="67" t="n"/>
      <c r="K82" s="76" t="str">
        <f>IF(AND(ISNUMBER($H82),$H82&gt;0,ISNUMBER($J82)),$J82/$H82,"")</f>
        <v/>
      </c>
      <c r="L82" s="77" t="str">
        <f>IF(AND(ISNUMBER($J82),$J82&gt;0,ISNUMBER($G82)),$G82/$J82,"")</f>
        <v/>
      </c>
      <c r="M82" s="67" t="n"/>
      <c r="N82" s="67" t="n"/>
      <c r="O82" s="72" t="str">
        <f>IF(AND(ISNUMBER($M82),$M82&gt;0,ISNUMBER($G82)),$G82/$M82,"")</f>
        <v/>
      </c>
      <c r="P82" s="73" t="str">
        <f>IF(AND(ISNUMBER($J82),$J82&gt;0,ISNUMBER($M82)),$M82/$J82,"")</f>
        <v/>
      </c>
      <c r="Q82" s="64" t="n"/>
      <c r="R82" s="64" t="n"/>
      <c r="S82" s="65" t="n"/>
      <c r="T82" s="65" t="n"/>
      <c r="U82" s="71" t="str">
        <f>IF(ISNUMBER($A82),YEAR($A82)&amp;"-"&amp;TEXT(MONTH($A82),"00"),"")</f>
        <v/>
      </c>
      <c r="V82" s="71">
        <f>IF($D82="",0,IF(AND(OR(fClient="All",$B82=fClient),OR(fCampaign="All",$C82=fCampaign),OR(fTeam="All",$R82=fTeam),OR(fChannel="All",$D82=fChannel),OR(fMonth="All",$U82=fMonth)),1,0))</f>
        <v>0</v>
      </c>
      <c r="W82" s="71">
        <f>IF($D82="",0,IF(AND(OR(fClient="All",$B82=fClient),OR(fCampaign="All",$C82=fCampaign),OR(fTeam="All",$R82=fTeam),OR(fChannel="All",$D82=fChannel)),1,0))</f>
        <v>0</v>
      </c>
    </row>
    <row r="83">
      <c r="A83" s="63" t="n"/>
      <c r="B83" s="64" t="n"/>
      <c r="C83" s="64" t="n"/>
      <c r="D83" s="64" t="n"/>
      <c r="E83" s="64" t="n"/>
      <c r="F83" s="67" t="n"/>
      <c r="G83" s="67" t="n"/>
      <c r="H83" s="67" t="n"/>
      <c r="I83" s="67" t="n"/>
      <c r="J83" s="67" t="n"/>
      <c r="K83" s="76" t="str">
        <f>IF(AND(ISNUMBER($H83),$H83&gt;0,ISNUMBER($J83)),$J83/$H83,"")</f>
        <v/>
      </c>
      <c r="L83" s="77" t="str">
        <f>IF(AND(ISNUMBER($J83),$J83&gt;0,ISNUMBER($G83)),$G83/$J83,"")</f>
        <v/>
      </c>
      <c r="M83" s="67" t="n"/>
      <c r="N83" s="67" t="n"/>
      <c r="O83" s="72" t="str">
        <f>IF(AND(ISNUMBER($M83),$M83&gt;0,ISNUMBER($G83)),$G83/$M83,"")</f>
        <v/>
      </c>
      <c r="P83" s="73" t="str">
        <f>IF(AND(ISNUMBER($J83),$J83&gt;0,ISNUMBER($M83)),$M83/$J83,"")</f>
        <v/>
      </c>
      <c r="Q83" s="64" t="n"/>
      <c r="R83" s="64" t="n"/>
      <c r="S83" s="65" t="n"/>
      <c r="T83" s="65" t="n"/>
      <c r="U83" s="71" t="str">
        <f>IF(ISNUMBER($A83),YEAR($A83)&amp;"-"&amp;TEXT(MONTH($A83),"00"),"")</f>
        <v/>
      </c>
      <c r="V83" s="71">
        <f>IF($D83="",0,IF(AND(OR(fClient="All",$B83=fClient),OR(fCampaign="All",$C83=fCampaign),OR(fTeam="All",$R83=fTeam),OR(fChannel="All",$D83=fChannel),OR(fMonth="All",$U83=fMonth)),1,0))</f>
        <v>0</v>
      </c>
      <c r="W83" s="71">
        <f>IF($D83="",0,IF(AND(OR(fClient="All",$B83=fClient),OR(fCampaign="All",$C83=fCampaign),OR(fTeam="All",$R83=fTeam),OR(fChannel="All",$D83=fChannel)),1,0))</f>
        <v>0</v>
      </c>
    </row>
    <row r="84">
      <c r="A84" s="63" t="n"/>
      <c r="B84" s="64" t="n"/>
      <c r="C84" s="64" t="n"/>
      <c r="D84" s="64" t="n"/>
      <c r="E84" s="64" t="n"/>
      <c r="F84" s="67" t="n"/>
      <c r="G84" s="67" t="n"/>
      <c r="H84" s="67" t="n"/>
      <c r="I84" s="67" t="n"/>
      <c r="J84" s="67" t="n"/>
      <c r="K84" s="76" t="str">
        <f>IF(AND(ISNUMBER($H84),$H84&gt;0,ISNUMBER($J84)),$J84/$H84,"")</f>
        <v/>
      </c>
      <c r="L84" s="77" t="str">
        <f>IF(AND(ISNUMBER($J84),$J84&gt;0,ISNUMBER($G84)),$G84/$J84,"")</f>
        <v/>
      </c>
      <c r="M84" s="67" t="n"/>
      <c r="N84" s="67" t="n"/>
      <c r="O84" s="72" t="str">
        <f>IF(AND(ISNUMBER($M84),$M84&gt;0,ISNUMBER($G84)),$G84/$M84,"")</f>
        <v/>
      </c>
      <c r="P84" s="73" t="str">
        <f>IF(AND(ISNUMBER($J84),$J84&gt;0,ISNUMBER($M84)),$M84/$J84,"")</f>
        <v/>
      </c>
      <c r="Q84" s="64" t="n"/>
      <c r="R84" s="64" t="n"/>
      <c r="S84" s="65" t="n"/>
      <c r="T84" s="65" t="n"/>
      <c r="U84" s="71" t="str">
        <f>IF(ISNUMBER($A84),YEAR($A84)&amp;"-"&amp;TEXT(MONTH($A84),"00"),"")</f>
        <v/>
      </c>
      <c r="V84" s="71">
        <f>IF($D84="",0,IF(AND(OR(fClient="All",$B84=fClient),OR(fCampaign="All",$C84=fCampaign),OR(fTeam="All",$R84=fTeam),OR(fChannel="All",$D84=fChannel),OR(fMonth="All",$U84=fMonth)),1,0))</f>
        <v>0</v>
      </c>
      <c r="W84" s="71">
        <f>IF($D84="",0,IF(AND(OR(fClient="All",$B84=fClient),OR(fCampaign="All",$C84=fCampaign),OR(fTeam="All",$R84=fTeam),OR(fChannel="All",$D84=fChannel)),1,0))</f>
        <v>0</v>
      </c>
    </row>
    <row r="85">
      <c r="A85" s="63" t="n"/>
      <c r="B85" s="64" t="n"/>
      <c r="C85" s="64" t="n"/>
      <c r="D85" s="64" t="n"/>
      <c r="E85" s="64" t="n"/>
      <c r="F85" s="67" t="n"/>
      <c r="G85" s="67" t="n"/>
      <c r="H85" s="67" t="n"/>
      <c r="I85" s="67" t="n"/>
      <c r="J85" s="67" t="n"/>
      <c r="K85" s="76" t="str">
        <f>IF(AND(ISNUMBER($H85),$H85&gt;0,ISNUMBER($J85)),$J85/$H85,"")</f>
        <v/>
      </c>
      <c r="L85" s="77" t="str">
        <f>IF(AND(ISNUMBER($J85),$J85&gt;0,ISNUMBER($G85)),$G85/$J85,"")</f>
        <v/>
      </c>
      <c r="M85" s="67" t="n"/>
      <c r="N85" s="67" t="n"/>
      <c r="O85" s="72" t="str">
        <f>IF(AND(ISNUMBER($M85),$M85&gt;0,ISNUMBER($G85)),$G85/$M85,"")</f>
        <v/>
      </c>
      <c r="P85" s="73" t="str">
        <f>IF(AND(ISNUMBER($J85),$J85&gt;0,ISNUMBER($M85)),$M85/$J85,"")</f>
        <v/>
      </c>
      <c r="Q85" s="64" t="n"/>
      <c r="R85" s="64" t="n"/>
      <c r="S85" s="65" t="n"/>
      <c r="T85" s="65" t="n"/>
      <c r="U85" s="71" t="str">
        <f>IF(ISNUMBER($A85),YEAR($A85)&amp;"-"&amp;TEXT(MONTH($A85),"00"),"")</f>
        <v/>
      </c>
      <c r="V85" s="71">
        <f>IF($D85="",0,IF(AND(OR(fClient="All",$B85=fClient),OR(fCampaign="All",$C85=fCampaign),OR(fTeam="All",$R85=fTeam),OR(fChannel="All",$D85=fChannel),OR(fMonth="All",$U85=fMonth)),1,0))</f>
        <v>0</v>
      </c>
      <c r="W85" s="71">
        <f>IF($D85="",0,IF(AND(OR(fClient="All",$B85=fClient),OR(fCampaign="All",$C85=fCampaign),OR(fTeam="All",$R85=fTeam),OR(fChannel="All",$D85=fChannel)),1,0))</f>
        <v>0</v>
      </c>
    </row>
    <row r="86">
      <c r="A86" s="63" t="n"/>
      <c r="B86" s="64" t="n"/>
      <c r="C86" s="64" t="n"/>
      <c r="D86" s="64" t="n"/>
      <c r="E86" s="64" t="n"/>
      <c r="F86" s="67" t="n"/>
      <c r="G86" s="67" t="n"/>
      <c r="H86" s="67" t="n"/>
      <c r="I86" s="67" t="n"/>
      <c r="J86" s="67" t="n"/>
      <c r="K86" s="76" t="str">
        <f>IF(AND(ISNUMBER($H86),$H86&gt;0,ISNUMBER($J86)),$J86/$H86,"")</f>
        <v/>
      </c>
      <c r="L86" s="77" t="str">
        <f>IF(AND(ISNUMBER($J86),$J86&gt;0,ISNUMBER($G86)),$G86/$J86,"")</f>
        <v/>
      </c>
      <c r="M86" s="67" t="n"/>
      <c r="N86" s="67" t="n"/>
      <c r="O86" s="72" t="str">
        <f>IF(AND(ISNUMBER($M86),$M86&gt;0,ISNUMBER($G86)),$G86/$M86,"")</f>
        <v/>
      </c>
      <c r="P86" s="73" t="str">
        <f>IF(AND(ISNUMBER($J86),$J86&gt;0,ISNUMBER($M86)),$M86/$J86,"")</f>
        <v/>
      </c>
      <c r="Q86" s="64" t="n"/>
      <c r="R86" s="64" t="n"/>
      <c r="S86" s="65" t="n"/>
      <c r="T86" s="65" t="n"/>
      <c r="U86" s="71" t="str">
        <f>IF(ISNUMBER($A86),YEAR($A86)&amp;"-"&amp;TEXT(MONTH($A86),"00"),"")</f>
        <v/>
      </c>
      <c r="V86" s="71">
        <f>IF($D86="",0,IF(AND(OR(fClient="All",$B86=fClient),OR(fCampaign="All",$C86=fCampaign),OR(fTeam="All",$R86=fTeam),OR(fChannel="All",$D86=fChannel),OR(fMonth="All",$U86=fMonth)),1,0))</f>
        <v>0</v>
      </c>
      <c r="W86" s="71">
        <f>IF($D86="",0,IF(AND(OR(fClient="All",$B86=fClient),OR(fCampaign="All",$C86=fCampaign),OR(fTeam="All",$R86=fTeam),OR(fChannel="All",$D86=fChannel)),1,0))</f>
        <v>0</v>
      </c>
    </row>
    <row r="87">
      <c r="A87" s="63" t="n"/>
      <c r="B87" s="64" t="n"/>
      <c r="C87" s="64" t="n"/>
      <c r="D87" s="64" t="n"/>
      <c r="E87" s="64" t="n"/>
      <c r="F87" s="67" t="n"/>
      <c r="G87" s="67" t="n"/>
      <c r="H87" s="67" t="n"/>
      <c r="I87" s="67" t="n"/>
      <c r="J87" s="67" t="n"/>
      <c r="K87" s="76" t="str">
        <f>IF(AND(ISNUMBER($H87),$H87&gt;0,ISNUMBER($J87)),$J87/$H87,"")</f>
        <v/>
      </c>
      <c r="L87" s="77" t="str">
        <f>IF(AND(ISNUMBER($J87),$J87&gt;0,ISNUMBER($G87)),$G87/$J87,"")</f>
        <v/>
      </c>
      <c r="M87" s="67" t="n"/>
      <c r="N87" s="67" t="n"/>
      <c r="O87" s="72" t="str">
        <f>IF(AND(ISNUMBER($M87),$M87&gt;0,ISNUMBER($G87)),$G87/$M87,"")</f>
        <v/>
      </c>
      <c r="P87" s="73" t="str">
        <f>IF(AND(ISNUMBER($J87),$J87&gt;0,ISNUMBER($M87)),$M87/$J87,"")</f>
        <v/>
      </c>
      <c r="Q87" s="64" t="n"/>
      <c r="R87" s="64" t="n"/>
      <c r="S87" s="65" t="n"/>
      <c r="T87" s="65" t="n"/>
      <c r="U87" s="71" t="str">
        <f>IF(ISNUMBER($A87),YEAR($A87)&amp;"-"&amp;TEXT(MONTH($A87),"00"),"")</f>
        <v/>
      </c>
      <c r="V87" s="71">
        <f>IF($D87="",0,IF(AND(OR(fClient="All",$B87=fClient),OR(fCampaign="All",$C87=fCampaign),OR(fTeam="All",$R87=fTeam),OR(fChannel="All",$D87=fChannel),OR(fMonth="All",$U87=fMonth)),1,0))</f>
        <v>0</v>
      </c>
      <c r="W87" s="71">
        <f>IF($D87="",0,IF(AND(OR(fClient="All",$B87=fClient),OR(fCampaign="All",$C87=fCampaign),OR(fTeam="All",$R87=fTeam),OR(fChannel="All",$D87=fChannel)),1,0))</f>
        <v>0</v>
      </c>
    </row>
    <row r="88">
      <c r="A88" s="63" t="n"/>
      <c r="B88" s="64" t="n"/>
      <c r="C88" s="64" t="n"/>
      <c r="D88" s="64" t="n"/>
      <c r="E88" s="64" t="n"/>
      <c r="F88" s="67" t="n"/>
      <c r="G88" s="67" t="n"/>
      <c r="H88" s="67" t="n"/>
      <c r="I88" s="67" t="n"/>
      <c r="J88" s="67" t="n"/>
      <c r="K88" s="76" t="str">
        <f>IF(AND(ISNUMBER($H88),$H88&gt;0,ISNUMBER($J88)),$J88/$H88,"")</f>
        <v/>
      </c>
      <c r="L88" s="77" t="str">
        <f>IF(AND(ISNUMBER($J88),$J88&gt;0,ISNUMBER($G88)),$G88/$J88,"")</f>
        <v/>
      </c>
      <c r="M88" s="67" t="n"/>
      <c r="N88" s="67" t="n"/>
      <c r="O88" s="72" t="str">
        <f>IF(AND(ISNUMBER($M88),$M88&gt;0,ISNUMBER($G88)),$G88/$M88,"")</f>
        <v/>
      </c>
      <c r="P88" s="73" t="str">
        <f>IF(AND(ISNUMBER($J88),$J88&gt;0,ISNUMBER($M88)),$M88/$J88,"")</f>
        <v/>
      </c>
      <c r="Q88" s="64" t="n"/>
      <c r="R88" s="64" t="n"/>
      <c r="S88" s="65" t="n"/>
      <c r="T88" s="65" t="n"/>
      <c r="U88" s="71" t="str">
        <f>IF(ISNUMBER($A88),YEAR($A88)&amp;"-"&amp;TEXT(MONTH($A88),"00"),"")</f>
        <v/>
      </c>
      <c r="V88" s="71">
        <f>IF($D88="",0,IF(AND(OR(fClient="All",$B88=fClient),OR(fCampaign="All",$C88=fCampaign),OR(fTeam="All",$R88=fTeam),OR(fChannel="All",$D88=fChannel),OR(fMonth="All",$U88=fMonth)),1,0))</f>
        <v>0</v>
      </c>
      <c r="W88" s="71">
        <f>IF($D88="",0,IF(AND(OR(fClient="All",$B88=fClient),OR(fCampaign="All",$C88=fCampaign),OR(fTeam="All",$R88=fTeam),OR(fChannel="All",$D88=fChannel)),1,0))</f>
        <v>0</v>
      </c>
    </row>
    <row r="89">
      <c r="A89" s="63" t="n"/>
      <c r="B89" s="64" t="n"/>
      <c r="C89" s="64" t="n"/>
      <c r="D89" s="64" t="n"/>
      <c r="E89" s="64" t="n"/>
      <c r="F89" s="67" t="n"/>
      <c r="G89" s="67" t="n"/>
      <c r="H89" s="67" t="n"/>
      <c r="I89" s="67" t="n"/>
      <c r="J89" s="67" t="n"/>
      <c r="K89" s="76" t="str">
        <f>IF(AND(ISNUMBER($H89),$H89&gt;0,ISNUMBER($J89)),$J89/$H89,"")</f>
        <v/>
      </c>
      <c r="L89" s="77" t="str">
        <f>IF(AND(ISNUMBER($J89),$J89&gt;0,ISNUMBER($G89)),$G89/$J89,"")</f>
        <v/>
      </c>
      <c r="M89" s="67" t="n"/>
      <c r="N89" s="67" t="n"/>
      <c r="O89" s="72" t="str">
        <f>IF(AND(ISNUMBER($M89),$M89&gt;0,ISNUMBER($G89)),$G89/$M89,"")</f>
        <v/>
      </c>
      <c r="P89" s="73" t="str">
        <f>IF(AND(ISNUMBER($J89),$J89&gt;0,ISNUMBER($M89)),$M89/$J89,"")</f>
        <v/>
      </c>
      <c r="Q89" s="64" t="n"/>
      <c r="R89" s="64" t="n"/>
      <c r="S89" s="65" t="n"/>
      <c r="T89" s="65" t="n"/>
      <c r="U89" s="71" t="str">
        <f>IF(ISNUMBER($A89),YEAR($A89)&amp;"-"&amp;TEXT(MONTH($A89),"00"),"")</f>
        <v/>
      </c>
      <c r="V89" s="71">
        <f>IF($D89="",0,IF(AND(OR(fClient="All",$B89=fClient),OR(fCampaign="All",$C89=fCampaign),OR(fTeam="All",$R89=fTeam),OR(fChannel="All",$D89=fChannel),OR(fMonth="All",$U89=fMonth)),1,0))</f>
        <v>0</v>
      </c>
      <c r="W89" s="71">
        <f>IF($D89="",0,IF(AND(OR(fClient="All",$B89=fClient),OR(fCampaign="All",$C89=fCampaign),OR(fTeam="All",$R89=fTeam),OR(fChannel="All",$D89=fChannel)),1,0))</f>
        <v>0</v>
      </c>
    </row>
    <row r="90">
      <c r="A90" s="63" t="n"/>
      <c r="B90" s="64" t="n"/>
      <c r="C90" s="64" t="n"/>
      <c r="D90" s="64" t="n"/>
      <c r="E90" s="64" t="n"/>
      <c r="F90" s="67" t="n"/>
      <c r="G90" s="67" t="n"/>
      <c r="H90" s="67" t="n"/>
      <c r="I90" s="67" t="n"/>
      <c r="J90" s="67" t="n"/>
      <c r="K90" s="76" t="str">
        <f>IF(AND(ISNUMBER($H90),$H90&gt;0,ISNUMBER($J90)),$J90/$H90,"")</f>
        <v/>
      </c>
      <c r="L90" s="77" t="str">
        <f>IF(AND(ISNUMBER($J90),$J90&gt;0,ISNUMBER($G90)),$G90/$J90,"")</f>
        <v/>
      </c>
      <c r="M90" s="67" t="n"/>
      <c r="N90" s="67" t="n"/>
      <c r="O90" s="72" t="str">
        <f>IF(AND(ISNUMBER($M90),$M90&gt;0,ISNUMBER($G90)),$G90/$M90,"")</f>
        <v/>
      </c>
      <c r="P90" s="73" t="str">
        <f>IF(AND(ISNUMBER($J90),$J90&gt;0,ISNUMBER($M90)),$M90/$J90,"")</f>
        <v/>
      </c>
      <c r="Q90" s="64" t="n"/>
      <c r="R90" s="64" t="n"/>
      <c r="S90" s="65" t="n"/>
      <c r="T90" s="65" t="n"/>
      <c r="U90" s="71" t="str">
        <f>IF(ISNUMBER($A90),YEAR($A90)&amp;"-"&amp;TEXT(MONTH($A90),"00"),"")</f>
        <v/>
      </c>
      <c r="V90" s="71">
        <f>IF($D90="",0,IF(AND(OR(fClient="All",$B90=fClient),OR(fCampaign="All",$C90=fCampaign),OR(fTeam="All",$R90=fTeam),OR(fChannel="All",$D90=fChannel),OR(fMonth="All",$U90=fMonth)),1,0))</f>
        <v>0</v>
      </c>
      <c r="W90" s="71">
        <f>IF($D90="",0,IF(AND(OR(fClient="All",$B90=fClient),OR(fCampaign="All",$C90=fCampaign),OR(fTeam="All",$R90=fTeam),OR(fChannel="All",$D90=fChannel)),1,0))</f>
        <v>0</v>
      </c>
    </row>
    <row r="91">
      <c r="A91" s="63" t="n"/>
      <c r="B91" s="64" t="n"/>
      <c r="C91" s="64" t="n"/>
      <c r="D91" s="64" t="n"/>
      <c r="E91" s="64" t="n"/>
      <c r="F91" s="67" t="n"/>
      <c r="G91" s="67" t="n"/>
      <c r="H91" s="67" t="n"/>
      <c r="I91" s="67" t="n"/>
      <c r="J91" s="67" t="n"/>
      <c r="K91" s="76" t="str">
        <f>IF(AND(ISNUMBER($H91),$H91&gt;0,ISNUMBER($J91)),$J91/$H91,"")</f>
        <v/>
      </c>
      <c r="L91" s="77" t="str">
        <f>IF(AND(ISNUMBER($J91),$J91&gt;0,ISNUMBER($G91)),$G91/$J91,"")</f>
        <v/>
      </c>
      <c r="M91" s="67" t="n"/>
      <c r="N91" s="67" t="n"/>
      <c r="O91" s="72" t="str">
        <f>IF(AND(ISNUMBER($M91),$M91&gt;0,ISNUMBER($G91)),$G91/$M91,"")</f>
        <v/>
      </c>
      <c r="P91" s="73" t="str">
        <f>IF(AND(ISNUMBER($J91),$J91&gt;0,ISNUMBER($M91)),$M91/$J91,"")</f>
        <v/>
      </c>
      <c r="Q91" s="64" t="n"/>
      <c r="R91" s="64" t="n"/>
      <c r="S91" s="65" t="n"/>
      <c r="T91" s="65" t="n"/>
      <c r="U91" s="71" t="str">
        <f>IF(ISNUMBER($A91),YEAR($A91)&amp;"-"&amp;TEXT(MONTH($A91),"00"),"")</f>
        <v/>
      </c>
      <c r="V91" s="71">
        <f>IF($D91="",0,IF(AND(OR(fClient="All",$B91=fClient),OR(fCampaign="All",$C91=fCampaign),OR(fTeam="All",$R91=fTeam),OR(fChannel="All",$D91=fChannel),OR(fMonth="All",$U91=fMonth)),1,0))</f>
        <v>0</v>
      </c>
      <c r="W91" s="71">
        <f>IF($D91="",0,IF(AND(OR(fClient="All",$B91=fClient),OR(fCampaign="All",$C91=fCampaign),OR(fTeam="All",$R91=fTeam),OR(fChannel="All",$D91=fChannel)),1,0))</f>
        <v>0</v>
      </c>
    </row>
    <row r="92">
      <c r="A92" s="63" t="n"/>
      <c r="B92" s="64" t="n"/>
      <c r="C92" s="64" t="n"/>
      <c r="D92" s="64" t="n"/>
      <c r="E92" s="64" t="n"/>
      <c r="F92" s="67" t="n"/>
      <c r="G92" s="67" t="n"/>
      <c r="H92" s="67" t="n"/>
      <c r="I92" s="67" t="n"/>
      <c r="J92" s="67" t="n"/>
      <c r="K92" s="76" t="str">
        <f>IF(AND(ISNUMBER($H92),$H92&gt;0,ISNUMBER($J92)),$J92/$H92,"")</f>
        <v/>
      </c>
      <c r="L92" s="77" t="str">
        <f>IF(AND(ISNUMBER($J92),$J92&gt;0,ISNUMBER($G92)),$G92/$J92,"")</f>
        <v/>
      </c>
      <c r="M92" s="67" t="n"/>
      <c r="N92" s="67" t="n"/>
      <c r="O92" s="72" t="str">
        <f>IF(AND(ISNUMBER($M92),$M92&gt;0,ISNUMBER($G92)),$G92/$M92,"")</f>
        <v/>
      </c>
      <c r="P92" s="73" t="str">
        <f>IF(AND(ISNUMBER($J92),$J92&gt;0,ISNUMBER($M92)),$M92/$J92,"")</f>
        <v/>
      </c>
      <c r="Q92" s="64" t="n"/>
      <c r="R92" s="64" t="n"/>
      <c r="S92" s="65" t="n"/>
      <c r="T92" s="65" t="n"/>
      <c r="U92" s="71" t="str">
        <f>IF(ISNUMBER($A92),YEAR($A92)&amp;"-"&amp;TEXT(MONTH($A92),"00"),"")</f>
        <v/>
      </c>
      <c r="V92" s="71">
        <f>IF($D92="",0,IF(AND(OR(fClient="All",$B92=fClient),OR(fCampaign="All",$C92=fCampaign),OR(fTeam="All",$R92=fTeam),OR(fChannel="All",$D92=fChannel),OR(fMonth="All",$U92=fMonth)),1,0))</f>
        <v>0</v>
      </c>
      <c r="W92" s="71">
        <f>IF($D92="",0,IF(AND(OR(fClient="All",$B92=fClient),OR(fCampaign="All",$C92=fCampaign),OR(fTeam="All",$R92=fTeam),OR(fChannel="All",$D92=fChannel)),1,0))</f>
        <v>0</v>
      </c>
    </row>
    <row r="93">
      <c r="A93" s="63" t="n"/>
      <c r="B93" s="64" t="n"/>
      <c r="C93" s="64" t="n"/>
      <c r="D93" s="64" t="n"/>
      <c r="E93" s="64" t="n"/>
      <c r="F93" s="67" t="n"/>
      <c r="G93" s="67" t="n"/>
      <c r="H93" s="67" t="n"/>
      <c r="I93" s="67" t="n"/>
      <c r="J93" s="67" t="n"/>
      <c r="K93" s="76" t="str">
        <f>IF(AND(ISNUMBER($H93),$H93&gt;0,ISNUMBER($J93)),$J93/$H93,"")</f>
        <v/>
      </c>
      <c r="L93" s="77" t="str">
        <f>IF(AND(ISNUMBER($J93),$J93&gt;0,ISNUMBER($G93)),$G93/$J93,"")</f>
        <v/>
      </c>
      <c r="M93" s="67" t="n"/>
      <c r="N93" s="67" t="n"/>
      <c r="O93" s="72" t="str">
        <f>IF(AND(ISNUMBER($M93),$M93&gt;0,ISNUMBER($G93)),$G93/$M93,"")</f>
        <v/>
      </c>
      <c r="P93" s="73" t="str">
        <f>IF(AND(ISNUMBER($J93),$J93&gt;0,ISNUMBER($M93)),$M93/$J93,"")</f>
        <v/>
      </c>
      <c r="Q93" s="64" t="n"/>
      <c r="R93" s="64" t="n"/>
      <c r="S93" s="65" t="n"/>
      <c r="T93" s="65" t="n"/>
      <c r="U93" s="71" t="str">
        <f>IF(ISNUMBER($A93),YEAR($A93)&amp;"-"&amp;TEXT(MONTH($A93),"00"),"")</f>
        <v/>
      </c>
      <c r="V93" s="71">
        <f>IF($D93="",0,IF(AND(OR(fClient="All",$B93=fClient),OR(fCampaign="All",$C93=fCampaign),OR(fTeam="All",$R93=fTeam),OR(fChannel="All",$D93=fChannel),OR(fMonth="All",$U93=fMonth)),1,0))</f>
        <v>0</v>
      </c>
      <c r="W93" s="71">
        <f>IF($D93="",0,IF(AND(OR(fClient="All",$B93=fClient),OR(fCampaign="All",$C93=fCampaign),OR(fTeam="All",$R93=fTeam),OR(fChannel="All",$D93=fChannel)),1,0))</f>
        <v>0</v>
      </c>
    </row>
    <row r="94">
      <c r="A94" s="63" t="n"/>
      <c r="B94" s="64" t="n"/>
      <c r="C94" s="64" t="n"/>
      <c r="D94" s="64" t="n"/>
      <c r="E94" s="64" t="n"/>
      <c r="F94" s="67" t="n"/>
      <c r="G94" s="67" t="n"/>
      <c r="H94" s="67" t="n"/>
      <c r="I94" s="67" t="n"/>
      <c r="J94" s="67" t="n"/>
      <c r="K94" s="76" t="str">
        <f>IF(AND(ISNUMBER($H94),$H94&gt;0,ISNUMBER($J94)),$J94/$H94,"")</f>
        <v/>
      </c>
      <c r="L94" s="77" t="str">
        <f>IF(AND(ISNUMBER($J94),$J94&gt;0,ISNUMBER($G94)),$G94/$J94,"")</f>
        <v/>
      </c>
      <c r="M94" s="67" t="n"/>
      <c r="N94" s="67" t="n"/>
      <c r="O94" s="72" t="str">
        <f>IF(AND(ISNUMBER($M94),$M94&gt;0,ISNUMBER($G94)),$G94/$M94,"")</f>
        <v/>
      </c>
      <c r="P94" s="73" t="str">
        <f>IF(AND(ISNUMBER($J94),$J94&gt;0,ISNUMBER($M94)),$M94/$J94,"")</f>
        <v/>
      </c>
      <c r="Q94" s="64" t="n"/>
      <c r="R94" s="64" t="n"/>
      <c r="S94" s="65" t="n"/>
      <c r="T94" s="65" t="n"/>
      <c r="U94" s="71" t="str">
        <f>IF(ISNUMBER($A94),YEAR($A94)&amp;"-"&amp;TEXT(MONTH($A94),"00"),"")</f>
        <v/>
      </c>
      <c r="V94" s="71">
        <f>IF($D94="",0,IF(AND(OR(fClient="All",$B94=fClient),OR(fCampaign="All",$C94=fCampaign),OR(fTeam="All",$R94=fTeam),OR(fChannel="All",$D94=fChannel),OR(fMonth="All",$U94=fMonth)),1,0))</f>
        <v>0</v>
      </c>
      <c r="W94" s="71">
        <f>IF($D94="",0,IF(AND(OR(fClient="All",$B94=fClient),OR(fCampaign="All",$C94=fCampaign),OR(fTeam="All",$R94=fTeam),OR(fChannel="All",$D94=fChannel)),1,0))</f>
        <v>0</v>
      </c>
    </row>
    <row r="95">
      <c r="A95" s="63" t="n"/>
      <c r="B95" s="64" t="n"/>
      <c r="C95" s="64" t="n"/>
      <c r="D95" s="64" t="n"/>
      <c r="E95" s="64" t="n"/>
      <c r="F95" s="67" t="n"/>
      <c r="G95" s="67" t="n"/>
      <c r="H95" s="67" t="n"/>
      <c r="I95" s="67" t="n"/>
      <c r="J95" s="67" t="n"/>
      <c r="K95" s="76" t="str">
        <f>IF(AND(ISNUMBER($H95),$H95&gt;0,ISNUMBER($J95)),$J95/$H95,"")</f>
        <v/>
      </c>
      <c r="L95" s="77" t="str">
        <f>IF(AND(ISNUMBER($J95),$J95&gt;0,ISNUMBER($G95)),$G95/$J95,"")</f>
        <v/>
      </c>
      <c r="M95" s="67" t="n"/>
      <c r="N95" s="67" t="n"/>
      <c r="O95" s="72" t="str">
        <f>IF(AND(ISNUMBER($M95),$M95&gt;0,ISNUMBER($G95)),$G95/$M95,"")</f>
        <v/>
      </c>
      <c r="P95" s="73" t="str">
        <f>IF(AND(ISNUMBER($J95),$J95&gt;0,ISNUMBER($M95)),$M95/$J95,"")</f>
        <v/>
      </c>
      <c r="Q95" s="64" t="n"/>
      <c r="R95" s="64" t="n"/>
      <c r="S95" s="65" t="n"/>
      <c r="T95" s="65" t="n"/>
      <c r="U95" s="71" t="str">
        <f>IF(ISNUMBER($A95),YEAR($A95)&amp;"-"&amp;TEXT(MONTH($A95),"00"),"")</f>
        <v/>
      </c>
      <c r="V95" s="71">
        <f>IF($D95="",0,IF(AND(OR(fClient="All",$B95=fClient),OR(fCampaign="All",$C95=fCampaign),OR(fTeam="All",$R95=fTeam),OR(fChannel="All",$D95=fChannel),OR(fMonth="All",$U95=fMonth)),1,0))</f>
        <v>0</v>
      </c>
      <c r="W95" s="71">
        <f>IF($D95="",0,IF(AND(OR(fClient="All",$B95=fClient),OR(fCampaign="All",$C95=fCampaign),OR(fTeam="All",$R95=fTeam),OR(fChannel="All",$D95=fChannel)),1,0))</f>
        <v>0</v>
      </c>
    </row>
    <row r="96">
      <c r="A96" s="63" t="n"/>
      <c r="B96" s="64" t="n"/>
      <c r="C96" s="64" t="n"/>
      <c r="D96" s="64" t="n"/>
      <c r="E96" s="64" t="n"/>
      <c r="F96" s="67" t="n"/>
      <c r="G96" s="67" t="n"/>
      <c r="H96" s="67" t="n"/>
      <c r="I96" s="67" t="n"/>
      <c r="J96" s="67" t="n"/>
      <c r="K96" s="76" t="str">
        <f>IF(AND(ISNUMBER($H96),$H96&gt;0,ISNUMBER($J96)),$J96/$H96,"")</f>
        <v/>
      </c>
      <c r="L96" s="77" t="str">
        <f>IF(AND(ISNUMBER($J96),$J96&gt;0,ISNUMBER($G96)),$G96/$J96,"")</f>
        <v/>
      </c>
      <c r="M96" s="67" t="n"/>
      <c r="N96" s="67" t="n"/>
      <c r="O96" s="72" t="str">
        <f>IF(AND(ISNUMBER($M96),$M96&gt;0,ISNUMBER($G96)),$G96/$M96,"")</f>
        <v/>
      </c>
      <c r="P96" s="73" t="str">
        <f>IF(AND(ISNUMBER($J96),$J96&gt;0,ISNUMBER($M96)),$M96/$J96,"")</f>
        <v/>
      </c>
      <c r="Q96" s="64" t="n"/>
      <c r="R96" s="64" t="n"/>
      <c r="S96" s="65" t="n"/>
      <c r="T96" s="65" t="n"/>
      <c r="U96" s="71" t="str">
        <f>IF(ISNUMBER($A96),YEAR($A96)&amp;"-"&amp;TEXT(MONTH($A96),"00"),"")</f>
        <v/>
      </c>
      <c r="V96" s="71">
        <f>IF($D96="",0,IF(AND(OR(fClient="All",$B96=fClient),OR(fCampaign="All",$C96=fCampaign),OR(fTeam="All",$R96=fTeam),OR(fChannel="All",$D96=fChannel),OR(fMonth="All",$U96=fMonth)),1,0))</f>
        <v>0</v>
      </c>
      <c r="W96" s="71">
        <f>IF($D96="",0,IF(AND(OR(fClient="All",$B96=fClient),OR(fCampaign="All",$C96=fCampaign),OR(fTeam="All",$R96=fTeam),OR(fChannel="All",$D96=fChannel)),1,0))</f>
        <v>0</v>
      </c>
    </row>
    <row r="97">
      <c r="A97" s="63" t="n"/>
      <c r="B97" s="64" t="n"/>
      <c r="C97" s="64" t="n"/>
      <c r="D97" s="64" t="n"/>
      <c r="E97" s="64" t="n"/>
      <c r="F97" s="67" t="n"/>
      <c r="G97" s="67" t="n"/>
      <c r="H97" s="67" t="n"/>
      <c r="I97" s="67" t="n"/>
      <c r="J97" s="67" t="n"/>
      <c r="K97" s="76" t="str">
        <f>IF(AND(ISNUMBER($H97),$H97&gt;0,ISNUMBER($J97)),$J97/$H97,"")</f>
        <v/>
      </c>
      <c r="L97" s="77" t="str">
        <f>IF(AND(ISNUMBER($J97),$J97&gt;0,ISNUMBER($G97)),$G97/$J97,"")</f>
        <v/>
      </c>
      <c r="M97" s="67" t="n"/>
      <c r="N97" s="67" t="n"/>
      <c r="O97" s="72" t="str">
        <f>IF(AND(ISNUMBER($M97),$M97&gt;0,ISNUMBER($G97)),$G97/$M97,"")</f>
        <v/>
      </c>
      <c r="P97" s="73" t="str">
        <f>IF(AND(ISNUMBER($J97),$J97&gt;0,ISNUMBER($M97)),$M97/$J97,"")</f>
        <v/>
      </c>
      <c r="Q97" s="64" t="n"/>
      <c r="R97" s="64" t="n"/>
      <c r="S97" s="65" t="n"/>
      <c r="T97" s="65" t="n"/>
      <c r="U97" s="71" t="str">
        <f>IF(ISNUMBER($A97),YEAR($A97)&amp;"-"&amp;TEXT(MONTH($A97),"00"),"")</f>
        <v/>
      </c>
      <c r="V97" s="71">
        <f>IF($D97="",0,IF(AND(OR(fClient="All",$B97=fClient),OR(fCampaign="All",$C97=fCampaign),OR(fTeam="All",$R97=fTeam),OR(fChannel="All",$D97=fChannel),OR(fMonth="All",$U97=fMonth)),1,0))</f>
        <v>0</v>
      </c>
      <c r="W97" s="71">
        <f>IF($D97="",0,IF(AND(OR(fClient="All",$B97=fClient),OR(fCampaign="All",$C97=fCampaign),OR(fTeam="All",$R97=fTeam),OR(fChannel="All",$D97=fChannel)),1,0))</f>
        <v>0</v>
      </c>
    </row>
    <row r="98">
      <c r="A98" s="63" t="n"/>
      <c r="B98" s="64" t="n"/>
      <c r="C98" s="64" t="n"/>
      <c r="D98" s="64" t="n"/>
      <c r="E98" s="64" t="n"/>
      <c r="F98" s="67" t="n"/>
      <c r="G98" s="67" t="n"/>
      <c r="H98" s="67" t="n"/>
      <c r="I98" s="67" t="n"/>
      <c r="J98" s="67" t="n"/>
      <c r="K98" s="76" t="str">
        <f>IF(AND(ISNUMBER($H98),$H98&gt;0,ISNUMBER($J98)),$J98/$H98,"")</f>
        <v/>
      </c>
      <c r="L98" s="77" t="str">
        <f>IF(AND(ISNUMBER($J98),$J98&gt;0,ISNUMBER($G98)),$G98/$J98,"")</f>
        <v/>
      </c>
      <c r="M98" s="67" t="n"/>
      <c r="N98" s="67" t="n"/>
      <c r="O98" s="72" t="str">
        <f>IF(AND(ISNUMBER($M98),$M98&gt;0,ISNUMBER($G98)),$G98/$M98,"")</f>
        <v/>
      </c>
      <c r="P98" s="73" t="str">
        <f>IF(AND(ISNUMBER($J98),$J98&gt;0,ISNUMBER($M98)),$M98/$J98,"")</f>
        <v/>
      </c>
      <c r="Q98" s="64" t="n"/>
      <c r="R98" s="64" t="n"/>
      <c r="S98" s="65" t="n"/>
      <c r="T98" s="65" t="n"/>
      <c r="U98" s="71" t="str">
        <f>IF(ISNUMBER($A98),YEAR($A98)&amp;"-"&amp;TEXT(MONTH($A98),"00"),"")</f>
        <v/>
      </c>
      <c r="V98" s="71">
        <f>IF($D98="",0,IF(AND(OR(fClient="All",$B98=fClient),OR(fCampaign="All",$C98=fCampaign),OR(fTeam="All",$R98=fTeam),OR(fChannel="All",$D98=fChannel),OR(fMonth="All",$U98=fMonth)),1,0))</f>
        <v>0</v>
      </c>
      <c r="W98" s="71">
        <f>IF($D98="",0,IF(AND(OR(fClient="All",$B98=fClient),OR(fCampaign="All",$C98=fCampaign),OR(fTeam="All",$R98=fTeam),OR(fChannel="All",$D98=fChannel)),1,0))</f>
        <v>0</v>
      </c>
    </row>
    <row r="99">
      <c r="A99" s="63" t="n"/>
      <c r="B99" s="64" t="n"/>
      <c r="C99" s="64" t="n"/>
      <c r="D99" s="64" t="n"/>
      <c r="E99" s="64" t="n"/>
      <c r="F99" s="67" t="n"/>
      <c r="G99" s="67" t="n"/>
      <c r="H99" s="67" t="n"/>
      <c r="I99" s="67" t="n"/>
      <c r="J99" s="67" t="n"/>
      <c r="K99" s="76" t="str">
        <f>IF(AND(ISNUMBER($H99),$H99&gt;0,ISNUMBER($J99)),$J99/$H99,"")</f>
        <v/>
      </c>
      <c r="L99" s="77" t="str">
        <f>IF(AND(ISNUMBER($J99),$J99&gt;0,ISNUMBER($G99)),$G99/$J99,"")</f>
        <v/>
      </c>
      <c r="M99" s="67" t="n"/>
      <c r="N99" s="67" t="n"/>
      <c r="O99" s="72" t="str">
        <f>IF(AND(ISNUMBER($M99),$M99&gt;0,ISNUMBER($G99)),$G99/$M99,"")</f>
        <v/>
      </c>
      <c r="P99" s="73" t="str">
        <f>IF(AND(ISNUMBER($J99),$J99&gt;0,ISNUMBER($M99)),$M99/$J99,"")</f>
        <v/>
      </c>
      <c r="Q99" s="64" t="n"/>
      <c r="R99" s="64" t="n"/>
      <c r="S99" s="65" t="n"/>
      <c r="T99" s="65" t="n"/>
      <c r="U99" s="71" t="str">
        <f>IF(ISNUMBER($A99),YEAR($A99)&amp;"-"&amp;TEXT(MONTH($A99),"00"),"")</f>
        <v/>
      </c>
      <c r="V99" s="71">
        <f>IF($D99="",0,IF(AND(OR(fClient="All",$B99=fClient),OR(fCampaign="All",$C99=fCampaign),OR(fTeam="All",$R99=fTeam),OR(fChannel="All",$D99=fChannel),OR(fMonth="All",$U99=fMonth)),1,0))</f>
        <v>0</v>
      </c>
      <c r="W99" s="71">
        <f>IF($D99="",0,IF(AND(OR(fClient="All",$B99=fClient),OR(fCampaign="All",$C99=fCampaign),OR(fTeam="All",$R99=fTeam),OR(fChannel="All",$D99=fChannel)),1,0))</f>
        <v>0</v>
      </c>
    </row>
    <row r="100">
      <c r="A100" s="63" t="n"/>
      <c r="B100" s="64" t="n"/>
      <c r="C100" s="64" t="n"/>
      <c r="D100" s="64" t="n"/>
      <c r="E100" s="64" t="n"/>
      <c r="F100" s="67" t="n"/>
      <c r="G100" s="67" t="n"/>
      <c r="H100" s="67" t="n"/>
      <c r="I100" s="67" t="n"/>
      <c r="J100" s="67" t="n"/>
      <c r="K100" s="76" t="str">
        <f>IF(AND(ISNUMBER($H100),$H100&gt;0,ISNUMBER($J100)),$J100/$H100,"")</f>
        <v/>
      </c>
      <c r="L100" s="77" t="str">
        <f>IF(AND(ISNUMBER($J100),$J100&gt;0,ISNUMBER($G100)),$G100/$J100,"")</f>
        <v/>
      </c>
      <c r="M100" s="67" t="n"/>
      <c r="N100" s="67" t="n"/>
      <c r="O100" s="72" t="str">
        <f>IF(AND(ISNUMBER($M100),$M100&gt;0,ISNUMBER($G100)),$G100/$M100,"")</f>
        <v/>
      </c>
      <c r="P100" s="73" t="str">
        <f>IF(AND(ISNUMBER($J100),$J100&gt;0,ISNUMBER($M100)),$M100/$J100,"")</f>
        <v/>
      </c>
      <c r="Q100" s="64" t="n"/>
      <c r="R100" s="64" t="n"/>
      <c r="S100" s="65" t="n"/>
      <c r="T100" s="65" t="n"/>
      <c r="U100" s="71" t="str">
        <f>IF(ISNUMBER($A100),YEAR($A100)&amp;"-"&amp;TEXT(MONTH($A100),"00"),"")</f>
        <v/>
      </c>
      <c r="V100" s="71">
        <f>IF($D100="",0,IF(AND(OR(fClient="All",$B100=fClient),OR(fCampaign="All",$C100=fCampaign),OR(fTeam="All",$R100=fTeam),OR(fChannel="All",$D100=fChannel),OR(fMonth="All",$U100=fMonth)),1,0))</f>
        <v>0</v>
      </c>
      <c r="W100" s="71">
        <f>IF($D100="",0,IF(AND(OR(fClient="All",$B100=fClient),OR(fCampaign="All",$C100=fCampaign),OR(fTeam="All",$R100=fTeam),OR(fChannel="All",$D100=fChannel)),1,0))</f>
        <v>0</v>
      </c>
    </row>
    <row r="101">
      <c r="A101" s="63" t="n"/>
      <c r="B101" s="64" t="n"/>
      <c r="C101" s="64" t="n"/>
      <c r="D101" s="64" t="n"/>
      <c r="E101" s="64" t="n"/>
      <c r="F101" s="67" t="n"/>
      <c r="G101" s="67" t="n"/>
      <c r="H101" s="67" t="n"/>
      <c r="I101" s="67" t="n"/>
      <c r="J101" s="67" t="n"/>
      <c r="K101" s="76" t="str">
        <f>IF(AND(ISNUMBER($H101),$H101&gt;0,ISNUMBER($J101)),$J101/$H101,"")</f>
        <v/>
      </c>
      <c r="L101" s="77" t="str">
        <f>IF(AND(ISNUMBER($J101),$J101&gt;0,ISNUMBER($G101)),$G101/$J101,"")</f>
        <v/>
      </c>
      <c r="M101" s="67" t="n"/>
      <c r="N101" s="67" t="n"/>
      <c r="O101" s="72" t="str">
        <f>IF(AND(ISNUMBER($M101),$M101&gt;0,ISNUMBER($G101)),$G101/$M101,"")</f>
        <v/>
      </c>
      <c r="P101" s="73" t="str">
        <f>IF(AND(ISNUMBER($J101),$J101&gt;0,ISNUMBER($M101)),$M101/$J101,"")</f>
        <v/>
      </c>
      <c r="Q101" s="64" t="n"/>
      <c r="R101" s="64" t="n"/>
      <c r="S101" s="65" t="n"/>
      <c r="T101" s="65" t="n"/>
      <c r="U101" s="71" t="str">
        <f>IF(ISNUMBER($A101),YEAR($A101)&amp;"-"&amp;TEXT(MONTH($A101),"00"),"")</f>
        <v/>
      </c>
      <c r="V101" s="71">
        <f>IF($D101="",0,IF(AND(OR(fClient="All",$B101=fClient),OR(fCampaign="All",$C101=fCampaign),OR(fTeam="All",$R101=fTeam),OR(fChannel="All",$D101=fChannel),OR(fMonth="All",$U101=fMonth)),1,0))</f>
        <v>0</v>
      </c>
      <c r="W101" s="71">
        <f>IF($D101="",0,IF(AND(OR(fClient="All",$B101=fClient),OR(fCampaign="All",$C101=fCampaign),OR(fTeam="All",$R101=fTeam),OR(fChannel="All",$D101=fChannel)),1,0))</f>
        <v>0</v>
      </c>
    </row>
    <row r="102">
      <c r="A102" s="63" t="n"/>
      <c r="B102" s="64" t="n"/>
      <c r="C102" s="64" t="n"/>
      <c r="D102" s="64" t="n"/>
      <c r="E102" s="64" t="n"/>
      <c r="F102" s="67" t="n"/>
      <c r="G102" s="67" t="n"/>
      <c r="H102" s="67" t="n"/>
      <c r="I102" s="67" t="n"/>
      <c r="J102" s="67" t="n"/>
      <c r="K102" s="76" t="str">
        <f>IF(AND(ISNUMBER($H102),$H102&gt;0,ISNUMBER($J102)),$J102/$H102,"")</f>
        <v/>
      </c>
      <c r="L102" s="77" t="str">
        <f>IF(AND(ISNUMBER($J102),$J102&gt;0,ISNUMBER($G102)),$G102/$J102,"")</f>
        <v/>
      </c>
      <c r="M102" s="67" t="n"/>
      <c r="N102" s="67" t="n"/>
      <c r="O102" s="72" t="str">
        <f>IF(AND(ISNUMBER($M102),$M102&gt;0,ISNUMBER($G102)),$G102/$M102,"")</f>
        <v/>
      </c>
      <c r="P102" s="73" t="str">
        <f>IF(AND(ISNUMBER($J102),$J102&gt;0,ISNUMBER($M102)),$M102/$J102,"")</f>
        <v/>
      </c>
      <c r="Q102" s="64" t="n"/>
      <c r="R102" s="64" t="n"/>
      <c r="S102" s="65" t="n"/>
      <c r="T102" s="65" t="n"/>
      <c r="U102" s="71" t="str">
        <f>IF(ISNUMBER($A102),YEAR($A102)&amp;"-"&amp;TEXT(MONTH($A102),"00"),"")</f>
        <v/>
      </c>
      <c r="V102" s="71">
        <f>IF($D102="",0,IF(AND(OR(fClient="All",$B102=fClient),OR(fCampaign="All",$C102=fCampaign),OR(fTeam="All",$R102=fTeam),OR(fChannel="All",$D102=fChannel),OR(fMonth="All",$U102=fMonth)),1,0))</f>
        <v>0</v>
      </c>
      <c r="W102" s="71">
        <f>IF($D102="",0,IF(AND(OR(fClient="All",$B102=fClient),OR(fCampaign="All",$C102=fCampaign),OR(fTeam="All",$R102=fTeam),OR(fChannel="All",$D102=fChannel)),1,0))</f>
        <v>0</v>
      </c>
    </row>
    <row r="103">
      <c r="A103" s="63" t="n"/>
      <c r="B103" s="64" t="n"/>
      <c r="C103" s="64" t="n"/>
      <c r="D103" s="64" t="n"/>
      <c r="E103" s="64" t="n"/>
      <c r="F103" s="67" t="n"/>
      <c r="G103" s="67" t="n"/>
      <c r="H103" s="67" t="n"/>
      <c r="I103" s="67" t="n"/>
      <c r="J103" s="67" t="n"/>
      <c r="K103" s="76" t="str">
        <f>IF(AND(ISNUMBER($H103),$H103&gt;0,ISNUMBER($J103)),$J103/$H103,"")</f>
        <v/>
      </c>
      <c r="L103" s="77" t="str">
        <f>IF(AND(ISNUMBER($J103),$J103&gt;0,ISNUMBER($G103)),$G103/$J103,"")</f>
        <v/>
      </c>
      <c r="M103" s="67" t="n"/>
      <c r="N103" s="67" t="n"/>
      <c r="O103" s="72" t="str">
        <f>IF(AND(ISNUMBER($M103),$M103&gt;0,ISNUMBER($G103)),$G103/$M103,"")</f>
        <v/>
      </c>
      <c r="P103" s="73" t="str">
        <f>IF(AND(ISNUMBER($J103),$J103&gt;0,ISNUMBER($M103)),$M103/$J103,"")</f>
        <v/>
      </c>
      <c r="Q103" s="64" t="n"/>
      <c r="R103" s="64" t="n"/>
      <c r="S103" s="65" t="n"/>
      <c r="T103" s="65" t="n"/>
      <c r="U103" s="71" t="str">
        <f>IF(ISNUMBER($A103),YEAR($A103)&amp;"-"&amp;TEXT(MONTH($A103),"00"),"")</f>
        <v/>
      </c>
      <c r="V103" s="71">
        <f>IF($D103="",0,IF(AND(OR(fClient="All",$B103=fClient),OR(fCampaign="All",$C103=fCampaign),OR(fTeam="All",$R103=fTeam),OR(fChannel="All",$D103=fChannel),OR(fMonth="All",$U103=fMonth)),1,0))</f>
        <v>0</v>
      </c>
      <c r="W103" s="71">
        <f>IF($D103="",0,IF(AND(OR(fClient="All",$B103=fClient),OR(fCampaign="All",$C103=fCampaign),OR(fTeam="All",$R103=fTeam),OR(fChannel="All",$D103=fChannel)),1,0))</f>
        <v>0</v>
      </c>
    </row>
    <row r="104">
      <c r="A104" s="63" t="n"/>
      <c r="B104" s="64" t="n"/>
      <c r="C104" s="64" t="n"/>
      <c r="D104" s="64" t="n"/>
      <c r="E104" s="64" t="n"/>
      <c r="F104" s="67" t="n"/>
      <c r="G104" s="67" t="n"/>
      <c r="H104" s="67" t="n"/>
      <c r="I104" s="67" t="n"/>
      <c r="J104" s="67" t="n"/>
      <c r="K104" s="76" t="str">
        <f>IF(AND(ISNUMBER($H104),$H104&gt;0,ISNUMBER($J104)),$J104/$H104,"")</f>
        <v/>
      </c>
      <c r="L104" s="77" t="str">
        <f>IF(AND(ISNUMBER($J104),$J104&gt;0,ISNUMBER($G104)),$G104/$J104,"")</f>
        <v/>
      </c>
      <c r="M104" s="67" t="n"/>
      <c r="N104" s="67" t="n"/>
      <c r="O104" s="72" t="str">
        <f>IF(AND(ISNUMBER($M104),$M104&gt;0,ISNUMBER($G104)),$G104/$M104,"")</f>
        <v/>
      </c>
      <c r="P104" s="73" t="str">
        <f>IF(AND(ISNUMBER($J104),$J104&gt;0,ISNUMBER($M104)),$M104/$J104,"")</f>
        <v/>
      </c>
      <c r="Q104" s="64" t="n"/>
      <c r="R104" s="64" t="n"/>
      <c r="S104" s="65" t="n"/>
      <c r="T104" s="65" t="n"/>
      <c r="U104" s="71" t="str">
        <f>IF(ISNUMBER($A104),YEAR($A104)&amp;"-"&amp;TEXT(MONTH($A104),"00"),"")</f>
        <v/>
      </c>
      <c r="V104" s="71">
        <f>IF($D104="",0,IF(AND(OR(fClient="All",$B104=fClient),OR(fCampaign="All",$C104=fCampaign),OR(fTeam="All",$R104=fTeam),OR(fChannel="All",$D104=fChannel),OR(fMonth="All",$U104=fMonth)),1,0))</f>
        <v>0</v>
      </c>
      <c r="W104" s="71">
        <f>IF($D104="",0,IF(AND(OR(fClient="All",$B104=fClient),OR(fCampaign="All",$C104=fCampaign),OR(fTeam="All",$R104=fTeam),OR(fChannel="All",$D104=fChannel)),1,0))</f>
        <v>0</v>
      </c>
    </row>
    <row r="105">
      <c r="A105" s="63" t="n"/>
      <c r="B105" s="64" t="n"/>
      <c r="C105" s="64" t="n"/>
      <c r="D105" s="64" t="n"/>
      <c r="E105" s="64" t="n"/>
      <c r="F105" s="67" t="n"/>
      <c r="G105" s="67" t="n"/>
      <c r="H105" s="67" t="n"/>
      <c r="I105" s="67" t="n"/>
      <c r="J105" s="67" t="n"/>
      <c r="K105" s="76" t="str">
        <f>IF(AND(ISNUMBER($H105),$H105&gt;0,ISNUMBER($J105)),$J105/$H105,"")</f>
        <v/>
      </c>
      <c r="L105" s="77" t="str">
        <f>IF(AND(ISNUMBER($J105),$J105&gt;0,ISNUMBER($G105)),$G105/$J105,"")</f>
        <v/>
      </c>
      <c r="M105" s="67" t="n"/>
      <c r="N105" s="67" t="n"/>
      <c r="O105" s="72" t="str">
        <f>IF(AND(ISNUMBER($M105),$M105&gt;0,ISNUMBER($G105)),$G105/$M105,"")</f>
        <v/>
      </c>
      <c r="P105" s="73" t="str">
        <f>IF(AND(ISNUMBER($J105),$J105&gt;0,ISNUMBER($M105)),$M105/$J105,"")</f>
        <v/>
      </c>
      <c r="Q105" s="64" t="n"/>
      <c r="R105" s="64" t="n"/>
      <c r="S105" s="65" t="n"/>
      <c r="T105" s="65" t="n"/>
      <c r="U105" s="71" t="str">
        <f>IF(ISNUMBER($A105),YEAR($A105)&amp;"-"&amp;TEXT(MONTH($A105),"00"),"")</f>
        <v/>
      </c>
      <c r="V105" s="71">
        <f>IF($D105="",0,IF(AND(OR(fClient="All",$B105=fClient),OR(fCampaign="All",$C105=fCampaign),OR(fTeam="All",$R105=fTeam),OR(fChannel="All",$D105=fChannel),OR(fMonth="All",$U105=fMonth)),1,0))</f>
        <v>0</v>
      </c>
      <c r="W105" s="71">
        <f>IF($D105="",0,IF(AND(OR(fClient="All",$B105=fClient),OR(fCampaign="All",$C105=fCampaign),OR(fTeam="All",$R105=fTeam),OR(fChannel="All",$D105=fChannel)),1,0))</f>
        <v>0</v>
      </c>
    </row>
    <row r="106">
      <c r="A106" s="63" t="n"/>
      <c r="B106" s="64" t="n"/>
      <c r="C106" s="64" t="n"/>
      <c r="D106" s="64" t="n"/>
      <c r="E106" s="64" t="n"/>
      <c r="F106" s="67" t="n"/>
      <c r="G106" s="67" t="n"/>
      <c r="H106" s="67" t="n"/>
      <c r="I106" s="67" t="n"/>
      <c r="J106" s="67" t="n"/>
      <c r="K106" s="76" t="str">
        <f>IF(AND(ISNUMBER($H106),$H106&gt;0,ISNUMBER($J106)),$J106/$H106,"")</f>
        <v/>
      </c>
      <c r="L106" s="77" t="str">
        <f>IF(AND(ISNUMBER($J106),$J106&gt;0,ISNUMBER($G106)),$G106/$J106,"")</f>
        <v/>
      </c>
      <c r="M106" s="67" t="n"/>
      <c r="N106" s="67" t="n"/>
      <c r="O106" s="72" t="str">
        <f>IF(AND(ISNUMBER($M106),$M106&gt;0,ISNUMBER($G106)),$G106/$M106,"")</f>
        <v/>
      </c>
      <c r="P106" s="73" t="str">
        <f>IF(AND(ISNUMBER($J106),$J106&gt;0,ISNUMBER($M106)),$M106/$J106,"")</f>
        <v/>
      </c>
      <c r="Q106" s="64" t="n"/>
      <c r="R106" s="64" t="n"/>
      <c r="S106" s="65" t="n"/>
      <c r="T106" s="65" t="n"/>
      <c r="U106" s="71" t="str">
        <f>IF(ISNUMBER($A106),YEAR($A106)&amp;"-"&amp;TEXT(MONTH($A106),"00"),"")</f>
        <v/>
      </c>
      <c r="V106" s="71">
        <f>IF($D106="",0,IF(AND(OR(fClient="All",$B106=fClient),OR(fCampaign="All",$C106=fCampaign),OR(fTeam="All",$R106=fTeam),OR(fChannel="All",$D106=fChannel),OR(fMonth="All",$U106=fMonth)),1,0))</f>
        <v>0</v>
      </c>
      <c r="W106" s="71">
        <f>IF($D106="",0,IF(AND(OR(fClient="All",$B106=fClient),OR(fCampaign="All",$C106=fCampaign),OR(fTeam="All",$R106=fTeam),OR(fChannel="All",$D106=fChannel)),1,0))</f>
        <v>0</v>
      </c>
    </row>
    <row r="107">
      <c r="A107" s="63" t="n"/>
      <c r="B107" s="64" t="n"/>
      <c r="C107" s="64" t="n"/>
      <c r="D107" s="64" t="n"/>
      <c r="E107" s="64" t="n"/>
      <c r="F107" s="67" t="n"/>
      <c r="G107" s="67" t="n"/>
      <c r="H107" s="67" t="n"/>
      <c r="I107" s="67" t="n"/>
      <c r="J107" s="67" t="n"/>
      <c r="K107" s="76" t="str">
        <f>IF(AND(ISNUMBER($H107),$H107&gt;0,ISNUMBER($J107)),$J107/$H107,"")</f>
        <v/>
      </c>
      <c r="L107" s="77" t="str">
        <f>IF(AND(ISNUMBER($J107),$J107&gt;0,ISNUMBER($G107)),$G107/$J107,"")</f>
        <v/>
      </c>
      <c r="M107" s="67" t="n"/>
      <c r="N107" s="67" t="n"/>
      <c r="O107" s="72" t="str">
        <f>IF(AND(ISNUMBER($M107),$M107&gt;0,ISNUMBER($G107)),$G107/$M107,"")</f>
        <v/>
      </c>
      <c r="P107" s="73" t="str">
        <f>IF(AND(ISNUMBER($J107),$J107&gt;0,ISNUMBER($M107)),$M107/$J107,"")</f>
        <v/>
      </c>
      <c r="Q107" s="64" t="n"/>
      <c r="R107" s="64" t="n"/>
      <c r="S107" s="65" t="n"/>
      <c r="T107" s="65" t="n"/>
      <c r="U107" s="71" t="str">
        <f>IF(ISNUMBER($A107),YEAR($A107)&amp;"-"&amp;TEXT(MONTH($A107),"00"),"")</f>
        <v/>
      </c>
      <c r="V107" s="71">
        <f>IF($D107="",0,IF(AND(OR(fClient="All",$B107=fClient),OR(fCampaign="All",$C107=fCampaign),OR(fTeam="All",$R107=fTeam),OR(fChannel="All",$D107=fChannel),OR(fMonth="All",$U107=fMonth)),1,0))</f>
        <v>0</v>
      </c>
      <c r="W107" s="71">
        <f>IF($D107="",0,IF(AND(OR(fClient="All",$B107=fClient),OR(fCampaign="All",$C107=fCampaign),OR(fTeam="All",$R107=fTeam),OR(fChannel="All",$D107=fChannel)),1,0))</f>
        <v>0</v>
      </c>
    </row>
    <row r="108">
      <c r="A108" s="63" t="n"/>
      <c r="B108" s="64" t="n"/>
      <c r="C108" s="64" t="n"/>
      <c r="D108" s="64" t="n"/>
      <c r="E108" s="64" t="n"/>
      <c r="F108" s="67" t="n"/>
      <c r="G108" s="67" t="n"/>
      <c r="H108" s="67" t="n"/>
      <c r="I108" s="67" t="n"/>
      <c r="J108" s="67" t="n"/>
      <c r="K108" s="76" t="str">
        <f>IF(AND(ISNUMBER($H108),$H108&gt;0,ISNUMBER($J108)),$J108/$H108,"")</f>
        <v/>
      </c>
      <c r="L108" s="77" t="str">
        <f>IF(AND(ISNUMBER($J108),$J108&gt;0,ISNUMBER($G108)),$G108/$J108,"")</f>
        <v/>
      </c>
      <c r="M108" s="67" t="n"/>
      <c r="N108" s="67" t="n"/>
      <c r="O108" s="72" t="str">
        <f>IF(AND(ISNUMBER($M108),$M108&gt;0,ISNUMBER($G108)),$G108/$M108,"")</f>
        <v/>
      </c>
      <c r="P108" s="73" t="str">
        <f>IF(AND(ISNUMBER($J108),$J108&gt;0,ISNUMBER($M108)),$M108/$J108,"")</f>
        <v/>
      </c>
      <c r="Q108" s="64" t="n"/>
      <c r="R108" s="64" t="n"/>
      <c r="S108" s="65" t="n"/>
      <c r="T108" s="65" t="n"/>
      <c r="U108" s="71" t="str">
        <f>IF(ISNUMBER($A108),YEAR($A108)&amp;"-"&amp;TEXT(MONTH($A108),"00"),"")</f>
        <v/>
      </c>
      <c r="V108" s="71">
        <f>IF($D108="",0,IF(AND(OR(fClient="All",$B108=fClient),OR(fCampaign="All",$C108=fCampaign),OR(fTeam="All",$R108=fTeam),OR(fChannel="All",$D108=fChannel),OR(fMonth="All",$U108=fMonth)),1,0))</f>
        <v>0</v>
      </c>
      <c r="W108" s="71">
        <f>IF($D108="",0,IF(AND(OR(fClient="All",$B108=fClient),OR(fCampaign="All",$C108=fCampaign),OR(fTeam="All",$R108=fTeam),OR(fChannel="All",$D108=fChannel)),1,0))</f>
        <v>0</v>
      </c>
    </row>
    <row r="109">
      <c r="A109" s="63" t="n"/>
      <c r="B109" s="64" t="n"/>
      <c r="C109" s="64" t="n"/>
      <c r="D109" s="64" t="n"/>
      <c r="E109" s="64" t="n"/>
      <c r="F109" s="67" t="n"/>
      <c r="G109" s="67" t="n"/>
      <c r="H109" s="67" t="n"/>
      <c r="I109" s="67" t="n"/>
      <c r="J109" s="67" t="n"/>
      <c r="K109" s="76" t="str">
        <f>IF(AND(ISNUMBER($H109),$H109&gt;0,ISNUMBER($J109)),$J109/$H109,"")</f>
        <v/>
      </c>
      <c r="L109" s="77" t="str">
        <f>IF(AND(ISNUMBER($J109),$J109&gt;0,ISNUMBER($G109)),$G109/$J109,"")</f>
        <v/>
      </c>
      <c r="M109" s="67" t="n"/>
      <c r="N109" s="67" t="n"/>
      <c r="O109" s="72" t="str">
        <f>IF(AND(ISNUMBER($M109),$M109&gt;0,ISNUMBER($G109)),$G109/$M109,"")</f>
        <v/>
      </c>
      <c r="P109" s="73" t="str">
        <f>IF(AND(ISNUMBER($J109),$J109&gt;0,ISNUMBER($M109)),$M109/$J109,"")</f>
        <v/>
      </c>
      <c r="Q109" s="64" t="n"/>
      <c r="R109" s="64" t="n"/>
      <c r="S109" s="65" t="n"/>
      <c r="T109" s="65" t="n"/>
      <c r="U109" s="71" t="str">
        <f>IF(ISNUMBER($A109),YEAR($A109)&amp;"-"&amp;TEXT(MONTH($A109),"00"),"")</f>
        <v/>
      </c>
      <c r="V109" s="71">
        <f>IF($D109="",0,IF(AND(OR(fClient="All",$B109=fClient),OR(fCampaign="All",$C109=fCampaign),OR(fTeam="All",$R109=fTeam),OR(fChannel="All",$D109=fChannel),OR(fMonth="All",$U109=fMonth)),1,0))</f>
        <v>0</v>
      </c>
      <c r="W109" s="71">
        <f>IF($D109="",0,IF(AND(OR(fClient="All",$B109=fClient),OR(fCampaign="All",$C109=fCampaign),OR(fTeam="All",$R109=fTeam),OR(fChannel="All",$D109=fChannel)),1,0))</f>
        <v>0</v>
      </c>
    </row>
    <row r="110">
      <c r="A110" s="63" t="n"/>
      <c r="B110" s="64" t="n"/>
      <c r="C110" s="64" t="n"/>
      <c r="D110" s="64" t="n"/>
      <c r="E110" s="64" t="n"/>
      <c r="F110" s="67" t="n"/>
      <c r="G110" s="67" t="n"/>
      <c r="H110" s="67" t="n"/>
      <c r="I110" s="67" t="n"/>
      <c r="J110" s="67" t="n"/>
      <c r="K110" s="76" t="str">
        <f>IF(AND(ISNUMBER($H110),$H110&gt;0,ISNUMBER($J110)),$J110/$H110,"")</f>
        <v/>
      </c>
      <c r="L110" s="77" t="str">
        <f>IF(AND(ISNUMBER($J110),$J110&gt;0,ISNUMBER($G110)),$G110/$J110,"")</f>
        <v/>
      </c>
      <c r="M110" s="67" t="n"/>
      <c r="N110" s="67" t="n"/>
      <c r="O110" s="72" t="str">
        <f>IF(AND(ISNUMBER($M110),$M110&gt;0,ISNUMBER($G110)),$G110/$M110,"")</f>
        <v/>
      </c>
      <c r="P110" s="73" t="str">
        <f>IF(AND(ISNUMBER($J110),$J110&gt;0,ISNUMBER($M110)),$M110/$J110,"")</f>
        <v/>
      </c>
      <c r="Q110" s="64" t="n"/>
      <c r="R110" s="64" t="n"/>
      <c r="S110" s="65" t="n"/>
      <c r="T110" s="65" t="n"/>
      <c r="U110" s="71" t="str">
        <f>IF(ISNUMBER($A110),YEAR($A110)&amp;"-"&amp;TEXT(MONTH($A110),"00"),"")</f>
        <v/>
      </c>
      <c r="V110" s="71">
        <f>IF($D110="",0,IF(AND(OR(fClient="All",$B110=fClient),OR(fCampaign="All",$C110=fCampaign),OR(fTeam="All",$R110=fTeam),OR(fChannel="All",$D110=fChannel),OR(fMonth="All",$U110=fMonth)),1,0))</f>
        <v>0</v>
      </c>
      <c r="W110" s="71">
        <f>IF($D110="",0,IF(AND(OR(fClient="All",$B110=fClient),OR(fCampaign="All",$C110=fCampaign),OR(fTeam="All",$R110=fTeam),OR(fChannel="All",$D110=fChannel)),1,0))</f>
        <v>0</v>
      </c>
    </row>
    <row r="111">
      <c r="A111" s="63" t="n"/>
      <c r="B111" s="64" t="n"/>
      <c r="C111" s="64" t="n"/>
      <c r="D111" s="64" t="n"/>
      <c r="E111" s="64" t="n"/>
      <c r="F111" s="67" t="n"/>
      <c r="G111" s="67" t="n"/>
      <c r="H111" s="67" t="n"/>
      <c r="I111" s="67" t="n"/>
      <c r="J111" s="67" t="n"/>
      <c r="K111" s="76" t="str">
        <f>IF(AND(ISNUMBER($H111),$H111&gt;0,ISNUMBER($J111)),$J111/$H111,"")</f>
        <v/>
      </c>
      <c r="L111" s="77" t="str">
        <f>IF(AND(ISNUMBER($J111),$J111&gt;0,ISNUMBER($G111)),$G111/$J111,"")</f>
        <v/>
      </c>
      <c r="M111" s="67" t="n"/>
      <c r="N111" s="67" t="n"/>
      <c r="O111" s="72" t="str">
        <f>IF(AND(ISNUMBER($M111),$M111&gt;0,ISNUMBER($G111)),$G111/$M111,"")</f>
        <v/>
      </c>
      <c r="P111" s="73" t="str">
        <f>IF(AND(ISNUMBER($J111),$J111&gt;0,ISNUMBER($M111)),$M111/$J111,"")</f>
        <v/>
      </c>
      <c r="Q111" s="64" t="n"/>
      <c r="R111" s="64" t="n"/>
      <c r="S111" s="65" t="n"/>
      <c r="T111" s="65" t="n"/>
      <c r="U111" s="71" t="str">
        <f>IF(ISNUMBER($A111),YEAR($A111)&amp;"-"&amp;TEXT(MONTH($A111),"00"),"")</f>
        <v/>
      </c>
      <c r="V111" s="71">
        <f>IF($D111="",0,IF(AND(OR(fClient="All",$B111=fClient),OR(fCampaign="All",$C111=fCampaign),OR(fTeam="All",$R111=fTeam),OR(fChannel="All",$D111=fChannel),OR(fMonth="All",$U111=fMonth)),1,0))</f>
        <v>0</v>
      </c>
      <c r="W111" s="71">
        <f>IF($D111="",0,IF(AND(OR(fClient="All",$B111=fClient),OR(fCampaign="All",$C111=fCampaign),OR(fTeam="All",$R111=fTeam),OR(fChannel="All",$D111=fChannel)),1,0))</f>
        <v>0</v>
      </c>
    </row>
    <row r="112">
      <c r="A112" s="63" t="n"/>
      <c r="B112" s="64" t="n"/>
      <c r="C112" s="64" t="n"/>
      <c r="D112" s="64" t="n"/>
      <c r="E112" s="64" t="n"/>
      <c r="F112" s="67" t="n"/>
      <c r="G112" s="67" t="n"/>
      <c r="H112" s="67" t="n"/>
      <c r="I112" s="67" t="n"/>
      <c r="J112" s="67" t="n"/>
      <c r="K112" s="76" t="str">
        <f>IF(AND(ISNUMBER($H112),$H112&gt;0,ISNUMBER($J112)),$J112/$H112,"")</f>
        <v/>
      </c>
      <c r="L112" s="77" t="str">
        <f>IF(AND(ISNUMBER($J112),$J112&gt;0,ISNUMBER($G112)),$G112/$J112,"")</f>
        <v/>
      </c>
      <c r="M112" s="67" t="n"/>
      <c r="N112" s="67" t="n"/>
      <c r="O112" s="72" t="str">
        <f>IF(AND(ISNUMBER($M112),$M112&gt;0,ISNUMBER($G112)),$G112/$M112,"")</f>
        <v/>
      </c>
      <c r="P112" s="73" t="str">
        <f>IF(AND(ISNUMBER($J112),$J112&gt;0,ISNUMBER($M112)),$M112/$J112,"")</f>
        <v/>
      </c>
      <c r="Q112" s="64" t="n"/>
      <c r="R112" s="64" t="n"/>
      <c r="S112" s="65" t="n"/>
      <c r="T112" s="65" t="n"/>
      <c r="U112" s="71" t="str">
        <f>IF(ISNUMBER($A112),YEAR($A112)&amp;"-"&amp;TEXT(MONTH($A112),"00"),"")</f>
        <v/>
      </c>
      <c r="V112" s="71">
        <f>IF($D112="",0,IF(AND(OR(fClient="All",$B112=fClient),OR(fCampaign="All",$C112=fCampaign),OR(fTeam="All",$R112=fTeam),OR(fChannel="All",$D112=fChannel),OR(fMonth="All",$U112=fMonth)),1,0))</f>
        <v>0</v>
      </c>
      <c r="W112" s="71">
        <f>IF($D112="",0,IF(AND(OR(fClient="All",$B112=fClient),OR(fCampaign="All",$C112=fCampaign),OR(fTeam="All",$R112=fTeam),OR(fChannel="All",$D112=fChannel)),1,0))</f>
        <v>0</v>
      </c>
    </row>
    <row r="113">
      <c r="A113" s="63" t="n"/>
      <c r="B113" s="64" t="n"/>
      <c r="C113" s="64" t="n"/>
      <c r="D113" s="64" t="n"/>
      <c r="E113" s="64" t="n"/>
      <c r="F113" s="67" t="n"/>
      <c r="G113" s="67" t="n"/>
      <c r="H113" s="67" t="n"/>
      <c r="I113" s="67" t="n"/>
      <c r="J113" s="67" t="n"/>
      <c r="K113" s="76" t="str">
        <f>IF(AND(ISNUMBER($H113),$H113&gt;0,ISNUMBER($J113)),$J113/$H113,"")</f>
        <v/>
      </c>
      <c r="L113" s="77" t="str">
        <f>IF(AND(ISNUMBER($J113),$J113&gt;0,ISNUMBER($G113)),$G113/$J113,"")</f>
        <v/>
      </c>
      <c r="M113" s="67" t="n"/>
      <c r="N113" s="67" t="n"/>
      <c r="O113" s="72" t="str">
        <f>IF(AND(ISNUMBER($M113),$M113&gt;0,ISNUMBER($G113)),$G113/$M113,"")</f>
        <v/>
      </c>
      <c r="P113" s="73" t="str">
        <f>IF(AND(ISNUMBER($J113),$J113&gt;0,ISNUMBER($M113)),$M113/$J113,"")</f>
        <v/>
      </c>
      <c r="Q113" s="64" t="n"/>
      <c r="R113" s="64" t="n"/>
      <c r="S113" s="65" t="n"/>
      <c r="T113" s="65" t="n"/>
      <c r="U113" s="71" t="str">
        <f>IF(ISNUMBER($A113),YEAR($A113)&amp;"-"&amp;TEXT(MONTH($A113),"00"),"")</f>
        <v/>
      </c>
      <c r="V113" s="71">
        <f>IF($D113="",0,IF(AND(OR(fClient="All",$B113=fClient),OR(fCampaign="All",$C113=fCampaign),OR(fTeam="All",$R113=fTeam),OR(fChannel="All",$D113=fChannel),OR(fMonth="All",$U113=fMonth)),1,0))</f>
        <v>0</v>
      </c>
      <c r="W113" s="71">
        <f>IF($D113="",0,IF(AND(OR(fClient="All",$B113=fClient),OR(fCampaign="All",$C113=fCampaign),OR(fTeam="All",$R113=fTeam),OR(fChannel="All",$D113=fChannel)),1,0))</f>
        <v>0</v>
      </c>
    </row>
    <row r="114">
      <c r="A114" s="63" t="n"/>
      <c r="B114" s="64" t="n"/>
      <c r="C114" s="64" t="n"/>
      <c r="D114" s="64" t="n"/>
      <c r="E114" s="64" t="n"/>
      <c r="F114" s="67" t="n"/>
      <c r="G114" s="67" t="n"/>
      <c r="H114" s="67" t="n"/>
      <c r="I114" s="67" t="n"/>
      <c r="J114" s="67" t="n"/>
      <c r="K114" s="76" t="str">
        <f>IF(AND(ISNUMBER($H114),$H114&gt;0,ISNUMBER($J114)),$J114/$H114,"")</f>
        <v/>
      </c>
      <c r="L114" s="77" t="str">
        <f>IF(AND(ISNUMBER($J114),$J114&gt;0,ISNUMBER($G114)),$G114/$J114,"")</f>
        <v/>
      </c>
      <c r="M114" s="67" t="n"/>
      <c r="N114" s="67" t="n"/>
      <c r="O114" s="72" t="str">
        <f>IF(AND(ISNUMBER($M114),$M114&gt;0,ISNUMBER($G114)),$G114/$M114,"")</f>
        <v/>
      </c>
      <c r="P114" s="73" t="str">
        <f>IF(AND(ISNUMBER($J114),$J114&gt;0,ISNUMBER($M114)),$M114/$J114,"")</f>
        <v/>
      </c>
      <c r="Q114" s="64" t="n"/>
      <c r="R114" s="64" t="n"/>
      <c r="S114" s="65" t="n"/>
      <c r="T114" s="65" t="n"/>
      <c r="U114" s="71" t="str">
        <f>IF(ISNUMBER($A114),YEAR($A114)&amp;"-"&amp;TEXT(MONTH($A114),"00"),"")</f>
        <v/>
      </c>
      <c r="V114" s="71">
        <f>IF($D114="",0,IF(AND(OR(fClient="All",$B114=fClient),OR(fCampaign="All",$C114=fCampaign),OR(fTeam="All",$R114=fTeam),OR(fChannel="All",$D114=fChannel),OR(fMonth="All",$U114=fMonth)),1,0))</f>
        <v>0</v>
      </c>
      <c r="W114" s="71">
        <f>IF($D114="",0,IF(AND(OR(fClient="All",$B114=fClient),OR(fCampaign="All",$C114=fCampaign),OR(fTeam="All",$R114=fTeam),OR(fChannel="All",$D114=fChannel)),1,0))</f>
        <v>0</v>
      </c>
    </row>
    <row r="115">
      <c r="A115" s="63" t="n"/>
      <c r="B115" s="64" t="n"/>
      <c r="C115" s="64" t="n"/>
      <c r="D115" s="64" t="n"/>
      <c r="E115" s="64" t="n"/>
      <c r="F115" s="67" t="n"/>
      <c r="G115" s="67" t="n"/>
      <c r="H115" s="67" t="n"/>
      <c r="I115" s="67" t="n"/>
      <c r="J115" s="67" t="n"/>
      <c r="K115" s="76" t="str">
        <f>IF(AND(ISNUMBER($H115),$H115&gt;0,ISNUMBER($J115)),$J115/$H115,"")</f>
        <v/>
      </c>
      <c r="L115" s="77" t="str">
        <f>IF(AND(ISNUMBER($J115),$J115&gt;0,ISNUMBER($G115)),$G115/$J115,"")</f>
        <v/>
      </c>
      <c r="M115" s="67" t="n"/>
      <c r="N115" s="67" t="n"/>
      <c r="O115" s="72" t="str">
        <f>IF(AND(ISNUMBER($M115),$M115&gt;0,ISNUMBER($G115)),$G115/$M115,"")</f>
        <v/>
      </c>
      <c r="P115" s="73" t="str">
        <f>IF(AND(ISNUMBER($J115),$J115&gt;0,ISNUMBER($M115)),$M115/$J115,"")</f>
        <v/>
      </c>
      <c r="Q115" s="64" t="n"/>
      <c r="R115" s="64" t="n"/>
      <c r="S115" s="65" t="n"/>
      <c r="T115" s="65" t="n"/>
      <c r="U115" s="71" t="str">
        <f>IF(ISNUMBER($A115),YEAR($A115)&amp;"-"&amp;TEXT(MONTH($A115),"00"),"")</f>
        <v/>
      </c>
      <c r="V115" s="71">
        <f>IF($D115="",0,IF(AND(OR(fClient="All",$B115=fClient),OR(fCampaign="All",$C115=fCampaign),OR(fTeam="All",$R115=fTeam),OR(fChannel="All",$D115=fChannel),OR(fMonth="All",$U115=fMonth)),1,0))</f>
        <v>0</v>
      </c>
      <c r="W115" s="71">
        <f>IF($D115="",0,IF(AND(OR(fClient="All",$B115=fClient),OR(fCampaign="All",$C115=fCampaign),OR(fTeam="All",$R115=fTeam),OR(fChannel="All",$D115=fChannel)),1,0))</f>
        <v>0</v>
      </c>
    </row>
    <row r="116">
      <c r="A116" s="63" t="n"/>
      <c r="B116" s="64" t="n"/>
      <c r="C116" s="64" t="n"/>
      <c r="D116" s="64" t="n"/>
      <c r="E116" s="64" t="n"/>
      <c r="F116" s="67" t="n"/>
      <c r="G116" s="67" t="n"/>
      <c r="H116" s="67" t="n"/>
      <c r="I116" s="67" t="n"/>
      <c r="J116" s="67" t="n"/>
      <c r="K116" s="76" t="str">
        <f>IF(AND(ISNUMBER($H116),$H116&gt;0,ISNUMBER($J116)),$J116/$H116,"")</f>
        <v/>
      </c>
      <c r="L116" s="77" t="str">
        <f>IF(AND(ISNUMBER($J116),$J116&gt;0,ISNUMBER($G116)),$G116/$J116,"")</f>
        <v/>
      </c>
      <c r="M116" s="67" t="n"/>
      <c r="N116" s="67" t="n"/>
      <c r="O116" s="72" t="str">
        <f>IF(AND(ISNUMBER($M116),$M116&gt;0,ISNUMBER($G116)),$G116/$M116,"")</f>
        <v/>
      </c>
      <c r="P116" s="73" t="str">
        <f>IF(AND(ISNUMBER($J116),$J116&gt;0,ISNUMBER($M116)),$M116/$J116,"")</f>
        <v/>
      </c>
      <c r="Q116" s="64" t="n"/>
      <c r="R116" s="64" t="n"/>
      <c r="S116" s="65" t="n"/>
      <c r="T116" s="65" t="n"/>
      <c r="U116" s="71" t="str">
        <f>IF(ISNUMBER($A116),YEAR($A116)&amp;"-"&amp;TEXT(MONTH($A116),"00"),"")</f>
        <v/>
      </c>
      <c r="V116" s="71">
        <f>IF($D116="",0,IF(AND(OR(fClient="All",$B116=fClient),OR(fCampaign="All",$C116=fCampaign),OR(fTeam="All",$R116=fTeam),OR(fChannel="All",$D116=fChannel),OR(fMonth="All",$U116=fMonth)),1,0))</f>
        <v>0</v>
      </c>
      <c r="W116" s="71">
        <f>IF($D116="",0,IF(AND(OR(fClient="All",$B116=fClient),OR(fCampaign="All",$C116=fCampaign),OR(fTeam="All",$R116=fTeam),OR(fChannel="All",$D116=fChannel)),1,0))</f>
        <v>0</v>
      </c>
    </row>
    <row r="117">
      <c r="A117" s="63" t="n"/>
      <c r="B117" s="64" t="n"/>
      <c r="C117" s="64" t="n"/>
      <c r="D117" s="64" t="n"/>
      <c r="E117" s="64" t="n"/>
      <c r="F117" s="67" t="n"/>
      <c r="G117" s="67" t="n"/>
      <c r="H117" s="67" t="n"/>
      <c r="I117" s="67" t="n"/>
      <c r="J117" s="67" t="n"/>
      <c r="K117" s="76" t="str">
        <f>IF(AND(ISNUMBER($H117),$H117&gt;0,ISNUMBER($J117)),$J117/$H117,"")</f>
        <v/>
      </c>
      <c r="L117" s="77" t="str">
        <f>IF(AND(ISNUMBER($J117),$J117&gt;0,ISNUMBER($G117)),$G117/$J117,"")</f>
        <v/>
      </c>
      <c r="M117" s="67" t="n"/>
      <c r="N117" s="67" t="n"/>
      <c r="O117" s="72" t="str">
        <f>IF(AND(ISNUMBER($M117),$M117&gt;0,ISNUMBER($G117)),$G117/$M117,"")</f>
        <v/>
      </c>
      <c r="P117" s="73" t="str">
        <f>IF(AND(ISNUMBER($J117),$J117&gt;0,ISNUMBER($M117)),$M117/$J117,"")</f>
        <v/>
      </c>
      <c r="Q117" s="64" t="n"/>
      <c r="R117" s="64" t="n"/>
      <c r="S117" s="65" t="n"/>
      <c r="T117" s="65" t="n"/>
      <c r="U117" s="71" t="str">
        <f>IF(ISNUMBER($A117),YEAR($A117)&amp;"-"&amp;TEXT(MONTH($A117),"00"),"")</f>
        <v/>
      </c>
      <c r="V117" s="71">
        <f>IF($D117="",0,IF(AND(OR(fClient="All",$B117=fClient),OR(fCampaign="All",$C117=fCampaign),OR(fTeam="All",$R117=fTeam),OR(fChannel="All",$D117=fChannel),OR(fMonth="All",$U117=fMonth)),1,0))</f>
        <v>0</v>
      </c>
      <c r="W117" s="71">
        <f>IF($D117="",0,IF(AND(OR(fClient="All",$B117=fClient),OR(fCampaign="All",$C117=fCampaign),OR(fTeam="All",$R117=fTeam),OR(fChannel="All",$D117=fChannel)),1,0))</f>
        <v>0</v>
      </c>
    </row>
    <row r="118">
      <c r="A118" s="63" t="n"/>
      <c r="B118" s="64" t="n"/>
      <c r="C118" s="64" t="n"/>
      <c r="D118" s="64" t="n"/>
      <c r="E118" s="64" t="n"/>
      <c r="F118" s="67" t="n"/>
      <c r="G118" s="67" t="n"/>
      <c r="H118" s="67" t="n"/>
      <c r="I118" s="67" t="n"/>
      <c r="J118" s="67" t="n"/>
      <c r="K118" s="76" t="str">
        <f>IF(AND(ISNUMBER($H118),$H118&gt;0,ISNUMBER($J118)),$J118/$H118,"")</f>
        <v/>
      </c>
      <c r="L118" s="77" t="str">
        <f>IF(AND(ISNUMBER($J118),$J118&gt;0,ISNUMBER($G118)),$G118/$J118,"")</f>
        <v/>
      </c>
      <c r="M118" s="67" t="n"/>
      <c r="N118" s="67" t="n"/>
      <c r="O118" s="72" t="str">
        <f>IF(AND(ISNUMBER($M118),$M118&gt;0,ISNUMBER($G118)),$G118/$M118,"")</f>
        <v/>
      </c>
      <c r="P118" s="73" t="str">
        <f>IF(AND(ISNUMBER($J118),$J118&gt;0,ISNUMBER($M118)),$M118/$J118,"")</f>
        <v/>
      </c>
      <c r="Q118" s="64" t="n"/>
      <c r="R118" s="64" t="n"/>
      <c r="S118" s="65" t="n"/>
      <c r="T118" s="65" t="n"/>
      <c r="U118" s="71" t="str">
        <f>IF(ISNUMBER($A118),YEAR($A118)&amp;"-"&amp;TEXT(MONTH($A118),"00"),"")</f>
        <v/>
      </c>
      <c r="V118" s="71">
        <f>IF($D118="",0,IF(AND(OR(fClient="All",$B118=fClient),OR(fCampaign="All",$C118=fCampaign),OR(fTeam="All",$R118=fTeam),OR(fChannel="All",$D118=fChannel),OR(fMonth="All",$U118=fMonth)),1,0))</f>
        <v>0</v>
      </c>
      <c r="W118" s="71">
        <f>IF($D118="",0,IF(AND(OR(fClient="All",$B118=fClient),OR(fCampaign="All",$C118=fCampaign),OR(fTeam="All",$R118=fTeam),OR(fChannel="All",$D118=fChannel)),1,0))</f>
        <v>0</v>
      </c>
    </row>
    <row r="119">
      <c r="A119" s="63" t="n"/>
      <c r="B119" s="64" t="n"/>
      <c r="C119" s="64" t="n"/>
      <c r="D119" s="64" t="n"/>
      <c r="E119" s="64" t="n"/>
      <c r="F119" s="67" t="n"/>
      <c r="G119" s="67" t="n"/>
      <c r="H119" s="67" t="n"/>
      <c r="I119" s="67" t="n"/>
      <c r="J119" s="67" t="n"/>
      <c r="K119" s="76" t="str">
        <f>IF(AND(ISNUMBER($H119),$H119&gt;0,ISNUMBER($J119)),$J119/$H119,"")</f>
        <v/>
      </c>
      <c r="L119" s="77" t="str">
        <f>IF(AND(ISNUMBER($J119),$J119&gt;0,ISNUMBER($G119)),$G119/$J119,"")</f>
        <v/>
      </c>
      <c r="M119" s="67" t="n"/>
      <c r="N119" s="67" t="n"/>
      <c r="O119" s="72" t="str">
        <f>IF(AND(ISNUMBER($M119),$M119&gt;0,ISNUMBER($G119)),$G119/$M119,"")</f>
        <v/>
      </c>
      <c r="P119" s="73" t="str">
        <f>IF(AND(ISNUMBER($J119),$J119&gt;0,ISNUMBER($M119)),$M119/$J119,"")</f>
        <v/>
      </c>
      <c r="Q119" s="64" t="n"/>
      <c r="R119" s="64" t="n"/>
      <c r="S119" s="65" t="n"/>
      <c r="T119" s="65" t="n"/>
      <c r="U119" s="71" t="str">
        <f>IF(ISNUMBER($A119),YEAR($A119)&amp;"-"&amp;TEXT(MONTH($A119),"00"),"")</f>
        <v/>
      </c>
      <c r="V119" s="71">
        <f>IF($D119="",0,IF(AND(OR(fClient="All",$B119=fClient),OR(fCampaign="All",$C119=fCampaign),OR(fTeam="All",$R119=fTeam),OR(fChannel="All",$D119=fChannel),OR(fMonth="All",$U119=fMonth)),1,0))</f>
        <v>0</v>
      </c>
      <c r="W119" s="71">
        <f>IF($D119="",0,IF(AND(OR(fClient="All",$B119=fClient),OR(fCampaign="All",$C119=fCampaign),OR(fTeam="All",$R119=fTeam),OR(fChannel="All",$D119=fChannel)),1,0))</f>
        <v>0</v>
      </c>
    </row>
    <row r="120">
      <c r="A120" s="63" t="n"/>
      <c r="B120" s="64" t="n"/>
      <c r="C120" s="64" t="n"/>
      <c r="D120" s="64" t="n"/>
      <c r="E120" s="64" t="n"/>
      <c r="F120" s="67" t="n"/>
      <c r="G120" s="67" t="n"/>
      <c r="H120" s="67" t="n"/>
      <c r="I120" s="67" t="n"/>
      <c r="J120" s="67" t="n"/>
      <c r="K120" s="76" t="str">
        <f>IF(AND(ISNUMBER($H120),$H120&gt;0,ISNUMBER($J120)),$J120/$H120,"")</f>
        <v/>
      </c>
      <c r="L120" s="77" t="str">
        <f>IF(AND(ISNUMBER($J120),$J120&gt;0,ISNUMBER($G120)),$G120/$J120,"")</f>
        <v/>
      </c>
      <c r="M120" s="67" t="n"/>
      <c r="N120" s="67" t="n"/>
      <c r="O120" s="72" t="str">
        <f>IF(AND(ISNUMBER($M120),$M120&gt;0,ISNUMBER($G120)),$G120/$M120,"")</f>
        <v/>
      </c>
      <c r="P120" s="73" t="str">
        <f>IF(AND(ISNUMBER($J120),$J120&gt;0,ISNUMBER($M120)),$M120/$J120,"")</f>
        <v/>
      </c>
      <c r="Q120" s="64" t="n"/>
      <c r="R120" s="64" t="n"/>
      <c r="S120" s="65" t="n"/>
      <c r="T120" s="65" t="n"/>
      <c r="U120" s="71" t="str">
        <f>IF(ISNUMBER($A120),YEAR($A120)&amp;"-"&amp;TEXT(MONTH($A120),"00"),"")</f>
        <v/>
      </c>
      <c r="V120" s="71">
        <f>IF($D120="",0,IF(AND(OR(fClient="All",$B120=fClient),OR(fCampaign="All",$C120=fCampaign),OR(fTeam="All",$R120=fTeam),OR(fChannel="All",$D120=fChannel),OR(fMonth="All",$U120=fMonth)),1,0))</f>
        <v>0</v>
      </c>
      <c r="W120" s="71">
        <f>IF($D120="",0,IF(AND(OR(fClient="All",$B120=fClient),OR(fCampaign="All",$C120=fCampaign),OR(fTeam="All",$R120=fTeam),OR(fChannel="All",$D120=fChannel)),1,0))</f>
        <v>0</v>
      </c>
    </row>
    <row r="121">
      <c r="A121" s="63" t="n"/>
      <c r="B121" s="64" t="n"/>
      <c r="C121" s="64" t="n"/>
      <c r="D121" s="64" t="n"/>
      <c r="E121" s="64" t="n"/>
      <c r="F121" s="67" t="n"/>
      <c r="G121" s="67" t="n"/>
      <c r="H121" s="67" t="n"/>
      <c r="I121" s="67" t="n"/>
      <c r="J121" s="67" t="n"/>
      <c r="K121" s="76" t="str">
        <f>IF(AND(ISNUMBER($H121),$H121&gt;0,ISNUMBER($J121)),$J121/$H121,"")</f>
        <v/>
      </c>
      <c r="L121" s="77" t="str">
        <f>IF(AND(ISNUMBER($J121),$J121&gt;0,ISNUMBER($G121)),$G121/$J121,"")</f>
        <v/>
      </c>
      <c r="M121" s="67" t="n"/>
      <c r="N121" s="67" t="n"/>
      <c r="O121" s="72" t="str">
        <f>IF(AND(ISNUMBER($M121),$M121&gt;0,ISNUMBER($G121)),$G121/$M121,"")</f>
        <v/>
      </c>
      <c r="P121" s="73" t="str">
        <f>IF(AND(ISNUMBER($J121),$J121&gt;0,ISNUMBER($M121)),$M121/$J121,"")</f>
        <v/>
      </c>
      <c r="Q121" s="64" t="n"/>
      <c r="R121" s="64" t="n"/>
      <c r="S121" s="65" t="n"/>
      <c r="T121" s="65" t="n"/>
      <c r="U121" s="71" t="str">
        <f>IF(ISNUMBER($A121),YEAR($A121)&amp;"-"&amp;TEXT(MONTH($A121),"00"),"")</f>
        <v/>
      </c>
      <c r="V121" s="71">
        <f>IF($D121="",0,IF(AND(OR(fClient="All",$B121=fClient),OR(fCampaign="All",$C121=fCampaign),OR(fTeam="All",$R121=fTeam),OR(fChannel="All",$D121=fChannel),OR(fMonth="All",$U121=fMonth)),1,0))</f>
        <v>0</v>
      </c>
      <c r="W121" s="71">
        <f>IF($D121="",0,IF(AND(OR(fClient="All",$B121=fClient),OR(fCampaign="All",$C121=fCampaign),OR(fTeam="All",$R121=fTeam),OR(fChannel="All",$D121=fChannel)),1,0))</f>
        <v>0</v>
      </c>
    </row>
    <row r="122">
      <c r="A122" s="63" t="n"/>
      <c r="B122" s="64" t="n"/>
      <c r="C122" s="64" t="n"/>
      <c r="D122" s="64" t="n"/>
      <c r="E122" s="64" t="n"/>
      <c r="F122" s="67" t="n"/>
      <c r="G122" s="67" t="n"/>
      <c r="H122" s="67" t="n"/>
      <c r="I122" s="67" t="n"/>
      <c r="J122" s="67" t="n"/>
      <c r="K122" s="76" t="str">
        <f>IF(AND(ISNUMBER($H122),$H122&gt;0,ISNUMBER($J122)),$J122/$H122,"")</f>
        <v/>
      </c>
      <c r="L122" s="77" t="str">
        <f>IF(AND(ISNUMBER($J122),$J122&gt;0,ISNUMBER($G122)),$G122/$J122,"")</f>
        <v/>
      </c>
      <c r="M122" s="67" t="n"/>
      <c r="N122" s="67" t="n"/>
      <c r="O122" s="72" t="str">
        <f>IF(AND(ISNUMBER($M122),$M122&gt;0,ISNUMBER($G122)),$G122/$M122,"")</f>
        <v/>
      </c>
      <c r="P122" s="73" t="str">
        <f>IF(AND(ISNUMBER($J122),$J122&gt;0,ISNUMBER($M122)),$M122/$J122,"")</f>
        <v/>
      </c>
      <c r="Q122" s="64" t="n"/>
      <c r="R122" s="64" t="n"/>
      <c r="S122" s="65" t="n"/>
      <c r="T122" s="65" t="n"/>
      <c r="U122" s="71" t="str">
        <f>IF(ISNUMBER($A122),YEAR($A122)&amp;"-"&amp;TEXT(MONTH($A122),"00"),"")</f>
        <v/>
      </c>
      <c r="V122" s="71">
        <f>IF($D122="",0,IF(AND(OR(fClient="All",$B122=fClient),OR(fCampaign="All",$C122=fCampaign),OR(fTeam="All",$R122=fTeam),OR(fChannel="All",$D122=fChannel),OR(fMonth="All",$U122=fMonth)),1,0))</f>
        <v>0</v>
      </c>
      <c r="W122" s="71">
        <f>IF($D122="",0,IF(AND(OR(fClient="All",$B122=fClient),OR(fCampaign="All",$C122=fCampaign),OR(fTeam="All",$R122=fTeam),OR(fChannel="All",$D122=fChannel)),1,0))</f>
        <v>0</v>
      </c>
    </row>
    <row r="123">
      <c r="A123" s="63" t="n"/>
      <c r="B123" s="64" t="n"/>
      <c r="C123" s="64" t="n"/>
      <c r="D123" s="64" t="n"/>
      <c r="E123" s="64" t="n"/>
      <c r="F123" s="67" t="n"/>
      <c r="G123" s="67" t="n"/>
      <c r="H123" s="67" t="n"/>
      <c r="I123" s="67" t="n"/>
      <c r="J123" s="67" t="n"/>
      <c r="K123" s="76" t="str">
        <f>IF(AND(ISNUMBER($H123),$H123&gt;0,ISNUMBER($J123)),$J123/$H123,"")</f>
        <v/>
      </c>
      <c r="L123" s="77" t="str">
        <f>IF(AND(ISNUMBER($J123),$J123&gt;0,ISNUMBER($G123)),$G123/$J123,"")</f>
        <v/>
      </c>
      <c r="M123" s="67" t="n"/>
      <c r="N123" s="67" t="n"/>
      <c r="O123" s="72" t="str">
        <f>IF(AND(ISNUMBER($M123),$M123&gt;0,ISNUMBER($G123)),$G123/$M123,"")</f>
        <v/>
      </c>
      <c r="P123" s="73" t="str">
        <f>IF(AND(ISNUMBER($J123),$J123&gt;0,ISNUMBER($M123)),$M123/$J123,"")</f>
        <v/>
      </c>
      <c r="Q123" s="64" t="n"/>
      <c r="R123" s="64" t="n"/>
      <c r="S123" s="65" t="n"/>
      <c r="T123" s="65" t="n"/>
      <c r="U123" s="71" t="str">
        <f>IF(ISNUMBER($A123),YEAR($A123)&amp;"-"&amp;TEXT(MONTH($A123),"00"),"")</f>
        <v/>
      </c>
      <c r="V123" s="71">
        <f>IF($D123="",0,IF(AND(OR(fClient="All",$B123=fClient),OR(fCampaign="All",$C123=fCampaign),OR(fTeam="All",$R123=fTeam),OR(fChannel="All",$D123=fChannel),OR(fMonth="All",$U123=fMonth)),1,0))</f>
        <v>0</v>
      </c>
      <c r="W123" s="71">
        <f>IF($D123="",0,IF(AND(OR(fClient="All",$B123=fClient),OR(fCampaign="All",$C123=fCampaign),OR(fTeam="All",$R123=fTeam),OR(fChannel="All",$D123=fChannel)),1,0))</f>
        <v>0</v>
      </c>
    </row>
    <row r="124">
      <c r="A124" s="63" t="n"/>
      <c r="B124" s="64" t="n"/>
      <c r="C124" s="64" t="n"/>
      <c r="D124" s="64" t="n"/>
      <c r="E124" s="64" t="n"/>
      <c r="F124" s="67" t="n"/>
      <c r="G124" s="67" t="n"/>
      <c r="H124" s="67" t="n"/>
      <c r="I124" s="67" t="n"/>
      <c r="J124" s="67" t="n"/>
      <c r="K124" s="76" t="str">
        <f>IF(AND(ISNUMBER($H124),$H124&gt;0,ISNUMBER($J124)),$J124/$H124,"")</f>
        <v/>
      </c>
      <c r="L124" s="77" t="str">
        <f>IF(AND(ISNUMBER($J124),$J124&gt;0,ISNUMBER($G124)),$G124/$J124,"")</f>
        <v/>
      </c>
      <c r="M124" s="67" t="n"/>
      <c r="N124" s="67" t="n"/>
      <c r="O124" s="72" t="str">
        <f>IF(AND(ISNUMBER($M124),$M124&gt;0,ISNUMBER($G124)),$G124/$M124,"")</f>
        <v/>
      </c>
      <c r="P124" s="73" t="str">
        <f>IF(AND(ISNUMBER($J124),$J124&gt;0,ISNUMBER($M124)),$M124/$J124,"")</f>
        <v/>
      </c>
      <c r="Q124" s="64" t="n"/>
      <c r="R124" s="64" t="n"/>
      <c r="S124" s="65" t="n"/>
      <c r="T124" s="65" t="n"/>
      <c r="U124" s="71" t="str">
        <f>IF(ISNUMBER($A124),YEAR($A124)&amp;"-"&amp;TEXT(MONTH($A124),"00"),"")</f>
        <v/>
      </c>
      <c r="V124" s="71">
        <f>IF($D124="",0,IF(AND(OR(fClient="All",$B124=fClient),OR(fCampaign="All",$C124=fCampaign),OR(fTeam="All",$R124=fTeam),OR(fChannel="All",$D124=fChannel),OR(fMonth="All",$U124=fMonth)),1,0))</f>
        <v>0</v>
      </c>
      <c r="W124" s="71">
        <f>IF($D124="",0,IF(AND(OR(fClient="All",$B124=fClient),OR(fCampaign="All",$C124=fCampaign),OR(fTeam="All",$R124=fTeam),OR(fChannel="All",$D124=fChannel)),1,0))</f>
        <v>0</v>
      </c>
    </row>
    <row r="125">
      <c r="A125" s="63" t="n"/>
      <c r="B125" s="64" t="n"/>
      <c r="C125" s="64" t="n"/>
      <c r="D125" s="64" t="n"/>
      <c r="E125" s="64" t="n"/>
      <c r="F125" s="67" t="n"/>
      <c r="G125" s="67" t="n"/>
      <c r="H125" s="67" t="n"/>
      <c r="I125" s="67" t="n"/>
      <c r="J125" s="67" t="n"/>
      <c r="K125" s="76" t="str">
        <f>IF(AND(ISNUMBER($H125),$H125&gt;0,ISNUMBER($J125)),$J125/$H125,"")</f>
        <v/>
      </c>
      <c r="L125" s="77" t="str">
        <f>IF(AND(ISNUMBER($J125),$J125&gt;0,ISNUMBER($G125)),$G125/$J125,"")</f>
        <v/>
      </c>
      <c r="M125" s="67" t="n"/>
      <c r="N125" s="67" t="n"/>
      <c r="O125" s="72" t="str">
        <f>IF(AND(ISNUMBER($M125),$M125&gt;0,ISNUMBER($G125)),$G125/$M125,"")</f>
        <v/>
      </c>
      <c r="P125" s="73" t="str">
        <f>IF(AND(ISNUMBER($J125),$J125&gt;0,ISNUMBER($M125)),$M125/$J125,"")</f>
        <v/>
      </c>
      <c r="Q125" s="64" t="n"/>
      <c r="R125" s="64" t="n"/>
      <c r="S125" s="65" t="n"/>
      <c r="T125" s="65" t="n"/>
      <c r="U125" s="71" t="str">
        <f>IF(ISNUMBER($A125),YEAR($A125)&amp;"-"&amp;TEXT(MONTH($A125),"00"),"")</f>
        <v/>
      </c>
      <c r="V125" s="71">
        <f>IF($D125="",0,IF(AND(OR(fClient="All",$B125=fClient),OR(fCampaign="All",$C125=fCampaign),OR(fTeam="All",$R125=fTeam),OR(fChannel="All",$D125=fChannel),OR(fMonth="All",$U125=fMonth)),1,0))</f>
        <v>0</v>
      </c>
      <c r="W125" s="71">
        <f>IF($D125="",0,IF(AND(OR(fClient="All",$B125=fClient),OR(fCampaign="All",$C125=fCampaign),OR(fTeam="All",$R125=fTeam),OR(fChannel="All",$D125=fChannel)),1,0))</f>
        <v>0</v>
      </c>
    </row>
    <row r="126">
      <c r="A126" s="63" t="n"/>
      <c r="B126" s="64" t="n"/>
      <c r="C126" s="64" t="n"/>
      <c r="D126" s="64" t="n"/>
      <c r="E126" s="64" t="n"/>
      <c r="F126" s="67" t="n"/>
      <c r="G126" s="67" t="n"/>
      <c r="H126" s="67" t="n"/>
      <c r="I126" s="67" t="n"/>
      <c r="J126" s="67" t="n"/>
      <c r="K126" s="76" t="str">
        <f>IF(AND(ISNUMBER($H126),$H126&gt;0,ISNUMBER($J126)),$J126/$H126,"")</f>
        <v/>
      </c>
      <c r="L126" s="77" t="str">
        <f>IF(AND(ISNUMBER($J126),$J126&gt;0,ISNUMBER($G126)),$G126/$J126,"")</f>
        <v/>
      </c>
      <c r="M126" s="67" t="n"/>
      <c r="N126" s="67" t="n"/>
      <c r="O126" s="72" t="str">
        <f>IF(AND(ISNUMBER($M126),$M126&gt;0,ISNUMBER($G126)),$G126/$M126,"")</f>
        <v/>
      </c>
      <c r="P126" s="73" t="str">
        <f>IF(AND(ISNUMBER($J126),$J126&gt;0,ISNUMBER($M126)),$M126/$J126,"")</f>
        <v/>
      </c>
      <c r="Q126" s="64" t="n"/>
      <c r="R126" s="64" t="n"/>
      <c r="S126" s="65" t="n"/>
      <c r="T126" s="65" t="n"/>
      <c r="U126" s="71" t="str">
        <f>IF(ISNUMBER($A126),YEAR($A126)&amp;"-"&amp;TEXT(MONTH($A126),"00"),"")</f>
        <v/>
      </c>
      <c r="V126" s="71">
        <f>IF($D126="",0,IF(AND(OR(fClient="All",$B126=fClient),OR(fCampaign="All",$C126=fCampaign),OR(fTeam="All",$R126=fTeam),OR(fChannel="All",$D126=fChannel),OR(fMonth="All",$U126=fMonth)),1,0))</f>
        <v>0</v>
      </c>
      <c r="W126" s="71">
        <f>IF($D126="",0,IF(AND(OR(fClient="All",$B126=fClient),OR(fCampaign="All",$C126=fCampaign),OR(fTeam="All",$R126=fTeam),OR(fChannel="All",$D126=fChannel)),1,0))</f>
        <v>0</v>
      </c>
    </row>
    <row r="127">
      <c r="A127" s="63" t="n"/>
      <c r="B127" s="64" t="n"/>
      <c r="C127" s="64" t="n"/>
      <c r="D127" s="64" t="n"/>
      <c r="E127" s="64" t="n"/>
      <c r="F127" s="67" t="n"/>
      <c r="G127" s="67" t="n"/>
      <c r="H127" s="67" t="n"/>
      <c r="I127" s="67" t="n"/>
      <c r="J127" s="67" t="n"/>
      <c r="K127" s="76" t="str">
        <f>IF(AND(ISNUMBER($H127),$H127&gt;0,ISNUMBER($J127)),$J127/$H127,"")</f>
        <v/>
      </c>
      <c r="L127" s="77" t="str">
        <f>IF(AND(ISNUMBER($J127),$J127&gt;0,ISNUMBER($G127)),$G127/$J127,"")</f>
        <v/>
      </c>
      <c r="M127" s="67" t="n"/>
      <c r="N127" s="67" t="n"/>
      <c r="O127" s="72" t="str">
        <f>IF(AND(ISNUMBER($M127),$M127&gt;0,ISNUMBER($G127)),$G127/$M127,"")</f>
        <v/>
      </c>
      <c r="P127" s="73" t="str">
        <f>IF(AND(ISNUMBER($J127),$J127&gt;0,ISNUMBER($M127)),$M127/$J127,"")</f>
        <v/>
      </c>
      <c r="Q127" s="64" t="n"/>
      <c r="R127" s="64" t="n"/>
      <c r="S127" s="65" t="n"/>
      <c r="T127" s="65" t="n"/>
      <c r="U127" s="71" t="str">
        <f>IF(ISNUMBER($A127),YEAR($A127)&amp;"-"&amp;TEXT(MONTH($A127),"00"),"")</f>
        <v/>
      </c>
      <c r="V127" s="71">
        <f>IF($D127="",0,IF(AND(OR(fClient="All",$B127=fClient),OR(fCampaign="All",$C127=fCampaign),OR(fTeam="All",$R127=fTeam),OR(fChannel="All",$D127=fChannel),OR(fMonth="All",$U127=fMonth)),1,0))</f>
        <v>0</v>
      </c>
      <c r="W127" s="71">
        <f>IF($D127="",0,IF(AND(OR(fClient="All",$B127=fClient),OR(fCampaign="All",$C127=fCampaign),OR(fTeam="All",$R127=fTeam),OR(fChannel="All",$D127=fChannel)),1,0))</f>
        <v>0</v>
      </c>
    </row>
    <row r="128">
      <c r="A128" s="63" t="n"/>
      <c r="B128" s="64" t="n"/>
      <c r="C128" s="64" t="n"/>
      <c r="D128" s="64" t="n"/>
      <c r="E128" s="64" t="n"/>
      <c r="F128" s="67" t="n"/>
      <c r="G128" s="67" t="n"/>
      <c r="H128" s="67" t="n"/>
      <c r="I128" s="67" t="n"/>
      <c r="J128" s="67" t="n"/>
      <c r="K128" s="76" t="str">
        <f>IF(AND(ISNUMBER($H128),$H128&gt;0,ISNUMBER($J128)),$J128/$H128,"")</f>
        <v/>
      </c>
      <c r="L128" s="77" t="str">
        <f>IF(AND(ISNUMBER($J128),$J128&gt;0,ISNUMBER($G128)),$G128/$J128,"")</f>
        <v/>
      </c>
      <c r="M128" s="67" t="n"/>
      <c r="N128" s="67" t="n"/>
      <c r="O128" s="72" t="str">
        <f>IF(AND(ISNUMBER($M128),$M128&gt;0,ISNUMBER($G128)),$G128/$M128,"")</f>
        <v/>
      </c>
      <c r="P128" s="73" t="str">
        <f>IF(AND(ISNUMBER($J128),$J128&gt;0,ISNUMBER($M128)),$M128/$J128,"")</f>
        <v/>
      </c>
      <c r="Q128" s="64" t="n"/>
      <c r="R128" s="64" t="n"/>
      <c r="S128" s="65" t="n"/>
      <c r="T128" s="65" t="n"/>
      <c r="U128" s="71" t="str">
        <f>IF(ISNUMBER($A128),YEAR($A128)&amp;"-"&amp;TEXT(MONTH($A128),"00"),"")</f>
        <v/>
      </c>
      <c r="V128" s="71">
        <f>IF($D128="",0,IF(AND(OR(fClient="All",$B128=fClient),OR(fCampaign="All",$C128=fCampaign),OR(fTeam="All",$R128=fTeam),OR(fChannel="All",$D128=fChannel),OR(fMonth="All",$U128=fMonth)),1,0))</f>
        <v>0</v>
      </c>
      <c r="W128" s="71">
        <f>IF($D128="",0,IF(AND(OR(fClient="All",$B128=fClient),OR(fCampaign="All",$C128=fCampaign),OR(fTeam="All",$R128=fTeam),OR(fChannel="All",$D128=fChannel)),1,0))</f>
        <v>0</v>
      </c>
    </row>
    <row r="129">
      <c r="A129" s="63" t="n"/>
      <c r="B129" s="64" t="n"/>
      <c r="C129" s="64" t="n"/>
      <c r="D129" s="64" t="n"/>
      <c r="E129" s="64" t="n"/>
      <c r="F129" s="67" t="n"/>
      <c r="G129" s="67" t="n"/>
      <c r="H129" s="67" t="n"/>
      <c r="I129" s="67" t="n"/>
      <c r="J129" s="67" t="n"/>
      <c r="K129" s="76" t="str">
        <f>IF(AND(ISNUMBER($H129),$H129&gt;0,ISNUMBER($J129)),$J129/$H129,"")</f>
        <v/>
      </c>
      <c r="L129" s="77" t="str">
        <f>IF(AND(ISNUMBER($J129),$J129&gt;0,ISNUMBER($G129)),$G129/$J129,"")</f>
        <v/>
      </c>
      <c r="M129" s="67" t="n"/>
      <c r="N129" s="67" t="n"/>
      <c r="O129" s="72" t="str">
        <f>IF(AND(ISNUMBER($M129),$M129&gt;0,ISNUMBER($G129)),$G129/$M129,"")</f>
        <v/>
      </c>
      <c r="P129" s="73" t="str">
        <f>IF(AND(ISNUMBER($J129),$J129&gt;0,ISNUMBER($M129)),$M129/$J129,"")</f>
        <v/>
      </c>
      <c r="Q129" s="64" t="n"/>
      <c r="R129" s="64" t="n"/>
      <c r="S129" s="65" t="n"/>
      <c r="T129" s="65" t="n"/>
      <c r="U129" s="71" t="str">
        <f>IF(ISNUMBER($A129),YEAR($A129)&amp;"-"&amp;TEXT(MONTH($A129),"00"),"")</f>
        <v/>
      </c>
      <c r="V129" s="71">
        <f>IF($D129="",0,IF(AND(OR(fClient="All",$B129=fClient),OR(fCampaign="All",$C129=fCampaign),OR(fTeam="All",$R129=fTeam),OR(fChannel="All",$D129=fChannel),OR(fMonth="All",$U129=fMonth)),1,0))</f>
        <v>0</v>
      </c>
      <c r="W129" s="71">
        <f>IF($D129="",0,IF(AND(OR(fClient="All",$B129=fClient),OR(fCampaign="All",$C129=fCampaign),OR(fTeam="All",$R129=fTeam),OR(fChannel="All",$D129=fChannel)),1,0))</f>
        <v>0</v>
      </c>
    </row>
    <row r="130">
      <c r="A130" s="63" t="n"/>
      <c r="B130" s="64" t="n"/>
      <c r="C130" s="64" t="n"/>
      <c r="D130" s="64" t="n"/>
      <c r="E130" s="64" t="n"/>
      <c r="F130" s="67" t="n"/>
      <c r="G130" s="67" t="n"/>
      <c r="H130" s="67" t="n"/>
      <c r="I130" s="67" t="n"/>
      <c r="J130" s="67" t="n"/>
      <c r="K130" s="76" t="str">
        <f>IF(AND(ISNUMBER($H130),$H130&gt;0,ISNUMBER($J130)),$J130/$H130,"")</f>
        <v/>
      </c>
      <c r="L130" s="77" t="str">
        <f>IF(AND(ISNUMBER($J130),$J130&gt;0,ISNUMBER($G130)),$G130/$J130,"")</f>
        <v/>
      </c>
      <c r="M130" s="67" t="n"/>
      <c r="N130" s="67" t="n"/>
      <c r="O130" s="72" t="str">
        <f>IF(AND(ISNUMBER($M130),$M130&gt;0,ISNUMBER($G130)),$G130/$M130,"")</f>
        <v/>
      </c>
      <c r="P130" s="73" t="str">
        <f>IF(AND(ISNUMBER($J130),$J130&gt;0,ISNUMBER($M130)),$M130/$J130,"")</f>
        <v/>
      </c>
      <c r="Q130" s="64" t="n"/>
      <c r="R130" s="64" t="n"/>
      <c r="S130" s="65" t="n"/>
      <c r="T130" s="65" t="n"/>
      <c r="U130" s="71" t="str">
        <f>IF(ISNUMBER($A130),YEAR($A130)&amp;"-"&amp;TEXT(MONTH($A130),"00"),"")</f>
        <v/>
      </c>
      <c r="V130" s="71">
        <f>IF($D130="",0,IF(AND(OR(fClient="All",$B130=fClient),OR(fCampaign="All",$C130=fCampaign),OR(fTeam="All",$R130=fTeam),OR(fChannel="All",$D130=fChannel),OR(fMonth="All",$U130=fMonth)),1,0))</f>
        <v>0</v>
      </c>
      <c r="W130" s="71">
        <f>IF($D130="",0,IF(AND(OR(fClient="All",$B130=fClient),OR(fCampaign="All",$C130=fCampaign),OR(fTeam="All",$R130=fTeam),OR(fChannel="All",$D130=fChannel)),1,0))</f>
        <v>0</v>
      </c>
    </row>
    <row r="131">
      <c r="A131" s="63" t="n"/>
      <c r="B131" s="64" t="n"/>
      <c r="C131" s="64" t="n"/>
      <c r="D131" s="64" t="n"/>
      <c r="E131" s="64" t="n"/>
      <c r="F131" s="67" t="n"/>
      <c r="G131" s="67" t="n"/>
      <c r="H131" s="67" t="n"/>
      <c r="I131" s="67" t="n"/>
      <c r="J131" s="67" t="n"/>
      <c r="K131" s="76" t="str">
        <f>IF(AND(ISNUMBER($H131),$H131&gt;0,ISNUMBER($J131)),$J131/$H131,"")</f>
        <v/>
      </c>
      <c r="L131" s="77" t="str">
        <f>IF(AND(ISNUMBER($J131),$J131&gt;0,ISNUMBER($G131)),$G131/$J131,"")</f>
        <v/>
      </c>
      <c r="M131" s="67" t="n"/>
      <c r="N131" s="67" t="n"/>
      <c r="O131" s="72" t="str">
        <f>IF(AND(ISNUMBER($M131),$M131&gt;0,ISNUMBER($G131)),$G131/$M131,"")</f>
        <v/>
      </c>
      <c r="P131" s="73" t="str">
        <f>IF(AND(ISNUMBER($J131),$J131&gt;0,ISNUMBER($M131)),$M131/$J131,"")</f>
        <v/>
      </c>
      <c r="Q131" s="64" t="n"/>
      <c r="R131" s="64" t="n"/>
      <c r="S131" s="65" t="n"/>
      <c r="T131" s="65" t="n"/>
      <c r="U131" s="71" t="str">
        <f>IF(ISNUMBER($A131),YEAR($A131)&amp;"-"&amp;TEXT(MONTH($A131),"00"),"")</f>
        <v/>
      </c>
      <c r="V131" s="71">
        <f>IF($D131="",0,IF(AND(OR(fClient="All",$B131=fClient),OR(fCampaign="All",$C131=fCampaign),OR(fTeam="All",$R131=fTeam),OR(fChannel="All",$D131=fChannel),OR(fMonth="All",$U131=fMonth)),1,0))</f>
        <v>0</v>
      </c>
      <c r="W131" s="71">
        <f>IF($D131="",0,IF(AND(OR(fClient="All",$B131=fClient),OR(fCampaign="All",$C131=fCampaign),OR(fTeam="All",$R131=fTeam),OR(fChannel="All",$D131=fChannel)),1,0))</f>
        <v>0</v>
      </c>
    </row>
    <row r="132">
      <c r="A132" s="63" t="n"/>
      <c r="B132" s="64" t="n"/>
      <c r="C132" s="64" t="n"/>
      <c r="D132" s="64" t="n"/>
      <c r="E132" s="64" t="n"/>
      <c r="F132" s="67" t="n"/>
      <c r="G132" s="67" t="n"/>
      <c r="H132" s="67" t="n"/>
      <c r="I132" s="67" t="n"/>
      <c r="J132" s="67" t="n"/>
      <c r="K132" s="76" t="str">
        <f>IF(AND(ISNUMBER($H132),$H132&gt;0,ISNUMBER($J132)),$J132/$H132,"")</f>
        <v/>
      </c>
      <c r="L132" s="77" t="str">
        <f>IF(AND(ISNUMBER($J132),$J132&gt;0,ISNUMBER($G132)),$G132/$J132,"")</f>
        <v/>
      </c>
      <c r="M132" s="67" t="n"/>
      <c r="N132" s="67" t="n"/>
      <c r="O132" s="72" t="str">
        <f>IF(AND(ISNUMBER($M132),$M132&gt;0,ISNUMBER($G132)),$G132/$M132,"")</f>
        <v/>
      </c>
      <c r="P132" s="73" t="str">
        <f>IF(AND(ISNUMBER($J132),$J132&gt;0,ISNUMBER($M132)),$M132/$J132,"")</f>
        <v/>
      </c>
      <c r="Q132" s="64" t="n"/>
      <c r="R132" s="64" t="n"/>
      <c r="S132" s="65" t="n"/>
      <c r="T132" s="65" t="n"/>
      <c r="U132" s="71" t="str">
        <f>IF(ISNUMBER($A132),YEAR($A132)&amp;"-"&amp;TEXT(MONTH($A132),"00"),"")</f>
        <v/>
      </c>
      <c r="V132" s="71">
        <f>IF($D132="",0,IF(AND(OR(fClient="All",$B132=fClient),OR(fCampaign="All",$C132=fCampaign),OR(fTeam="All",$R132=fTeam),OR(fChannel="All",$D132=fChannel),OR(fMonth="All",$U132=fMonth)),1,0))</f>
        <v>0</v>
      </c>
      <c r="W132" s="71">
        <f>IF($D132="",0,IF(AND(OR(fClient="All",$B132=fClient),OR(fCampaign="All",$C132=fCampaign),OR(fTeam="All",$R132=fTeam),OR(fChannel="All",$D132=fChannel)),1,0))</f>
        <v>0</v>
      </c>
    </row>
    <row r="133">
      <c r="A133" s="63" t="n"/>
      <c r="B133" s="64" t="n"/>
      <c r="C133" s="64" t="n"/>
      <c r="D133" s="64" t="n"/>
      <c r="E133" s="64" t="n"/>
      <c r="F133" s="67" t="n"/>
      <c r="G133" s="67" t="n"/>
      <c r="H133" s="67" t="n"/>
      <c r="I133" s="67" t="n"/>
      <c r="J133" s="67" t="n"/>
      <c r="K133" s="76" t="str">
        <f>IF(AND(ISNUMBER($H133),$H133&gt;0,ISNUMBER($J133)),$J133/$H133,"")</f>
        <v/>
      </c>
      <c r="L133" s="77" t="str">
        <f>IF(AND(ISNUMBER($J133),$J133&gt;0,ISNUMBER($G133)),$G133/$J133,"")</f>
        <v/>
      </c>
      <c r="M133" s="67" t="n"/>
      <c r="N133" s="67" t="n"/>
      <c r="O133" s="72" t="str">
        <f>IF(AND(ISNUMBER($M133),$M133&gt;0,ISNUMBER($G133)),$G133/$M133,"")</f>
        <v/>
      </c>
      <c r="P133" s="73" t="str">
        <f>IF(AND(ISNUMBER($J133),$J133&gt;0,ISNUMBER($M133)),$M133/$J133,"")</f>
        <v/>
      </c>
      <c r="Q133" s="64" t="n"/>
      <c r="R133" s="64" t="n"/>
      <c r="S133" s="65" t="n"/>
      <c r="T133" s="65" t="n"/>
      <c r="U133" s="71" t="str">
        <f>IF(ISNUMBER($A133),YEAR($A133)&amp;"-"&amp;TEXT(MONTH($A133),"00"),"")</f>
        <v/>
      </c>
      <c r="V133" s="71">
        <f>IF($D133="",0,IF(AND(OR(fClient="All",$B133=fClient),OR(fCampaign="All",$C133=fCampaign),OR(fTeam="All",$R133=fTeam),OR(fChannel="All",$D133=fChannel),OR(fMonth="All",$U133=fMonth)),1,0))</f>
        <v>0</v>
      </c>
      <c r="W133" s="71">
        <f>IF($D133="",0,IF(AND(OR(fClient="All",$B133=fClient),OR(fCampaign="All",$C133=fCampaign),OR(fTeam="All",$R133=fTeam),OR(fChannel="All",$D133=fChannel)),1,0))</f>
        <v>0</v>
      </c>
    </row>
    <row r="134">
      <c r="A134" s="63" t="n"/>
      <c r="B134" s="64" t="n"/>
      <c r="C134" s="64" t="n"/>
      <c r="D134" s="64" t="n"/>
      <c r="E134" s="64" t="n"/>
      <c r="F134" s="67" t="n"/>
      <c r="G134" s="67" t="n"/>
      <c r="H134" s="67" t="n"/>
      <c r="I134" s="67" t="n"/>
      <c r="J134" s="67" t="n"/>
      <c r="K134" s="76" t="str">
        <f>IF(AND(ISNUMBER($H134),$H134&gt;0,ISNUMBER($J134)),$J134/$H134,"")</f>
        <v/>
      </c>
      <c r="L134" s="77" t="str">
        <f>IF(AND(ISNUMBER($J134),$J134&gt;0,ISNUMBER($G134)),$G134/$J134,"")</f>
        <v/>
      </c>
      <c r="M134" s="67" t="n"/>
      <c r="N134" s="67" t="n"/>
      <c r="O134" s="72" t="str">
        <f>IF(AND(ISNUMBER($M134),$M134&gt;0,ISNUMBER($G134)),$G134/$M134,"")</f>
        <v/>
      </c>
      <c r="P134" s="73" t="str">
        <f>IF(AND(ISNUMBER($J134),$J134&gt;0,ISNUMBER($M134)),$M134/$J134,"")</f>
        <v/>
      </c>
      <c r="Q134" s="64" t="n"/>
      <c r="R134" s="64" t="n"/>
      <c r="S134" s="65" t="n"/>
      <c r="T134" s="65" t="n"/>
      <c r="U134" s="71" t="str">
        <f>IF(ISNUMBER($A134),YEAR($A134)&amp;"-"&amp;TEXT(MONTH($A134),"00"),"")</f>
        <v/>
      </c>
      <c r="V134" s="71">
        <f>IF($D134="",0,IF(AND(OR(fClient="All",$B134=fClient),OR(fCampaign="All",$C134=fCampaign),OR(fTeam="All",$R134=fTeam),OR(fChannel="All",$D134=fChannel),OR(fMonth="All",$U134=fMonth)),1,0))</f>
        <v>0</v>
      </c>
      <c r="W134" s="71">
        <f>IF($D134="",0,IF(AND(OR(fClient="All",$B134=fClient),OR(fCampaign="All",$C134=fCampaign),OR(fTeam="All",$R134=fTeam),OR(fChannel="All",$D134=fChannel)),1,0))</f>
        <v>0</v>
      </c>
    </row>
    <row r="135">
      <c r="A135" s="63" t="n"/>
      <c r="B135" s="64" t="n"/>
      <c r="C135" s="64" t="n"/>
      <c r="D135" s="64" t="n"/>
      <c r="E135" s="64" t="n"/>
      <c r="F135" s="67" t="n"/>
      <c r="G135" s="67" t="n"/>
      <c r="H135" s="67" t="n"/>
      <c r="I135" s="67" t="n"/>
      <c r="J135" s="67" t="n"/>
      <c r="K135" s="76" t="str">
        <f>IF(AND(ISNUMBER($H135),$H135&gt;0,ISNUMBER($J135)),$J135/$H135,"")</f>
        <v/>
      </c>
      <c r="L135" s="77" t="str">
        <f>IF(AND(ISNUMBER($J135),$J135&gt;0,ISNUMBER($G135)),$G135/$J135,"")</f>
        <v/>
      </c>
      <c r="M135" s="67" t="n"/>
      <c r="N135" s="67" t="n"/>
      <c r="O135" s="72" t="str">
        <f>IF(AND(ISNUMBER($M135),$M135&gt;0,ISNUMBER($G135)),$G135/$M135,"")</f>
        <v/>
      </c>
      <c r="P135" s="73" t="str">
        <f>IF(AND(ISNUMBER($J135),$J135&gt;0,ISNUMBER($M135)),$M135/$J135,"")</f>
        <v/>
      </c>
      <c r="Q135" s="64" t="n"/>
      <c r="R135" s="64" t="n"/>
      <c r="S135" s="65" t="n"/>
      <c r="T135" s="65" t="n"/>
      <c r="U135" s="71" t="str">
        <f>IF(ISNUMBER($A135),YEAR($A135)&amp;"-"&amp;TEXT(MONTH($A135),"00"),"")</f>
        <v/>
      </c>
      <c r="V135" s="71">
        <f>IF($D135="",0,IF(AND(OR(fClient="All",$B135=fClient),OR(fCampaign="All",$C135=fCampaign),OR(fTeam="All",$R135=fTeam),OR(fChannel="All",$D135=fChannel),OR(fMonth="All",$U135=fMonth)),1,0))</f>
        <v>0</v>
      </c>
      <c r="W135" s="71">
        <f>IF($D135="",0,IF(AND(OR(fClient="All",$B135=fClient),OR(fCampaign="All",$C135=fCampaign),OR(fTeam="All",$R135=fTeam),OR(fChannel="All",$D135=fChannel)),1,0))</f>
        <v>0</v>
      </c>
    </row>
    <row r="136">
      <c r="A136" s="63" t="n"/>
      <c r="B136" s="64" t="n"/>
      <c r="C136" s="64" t="n"/>
      <c r="D136" s="64" t="n"/>
      <c r="E136" s="64" t="n"/>
      <c r="F136" s="67" t="n"/>
      <c r="G136" s="67" t="n"/>
      <c r="H136" s="67" t="n"/>
      <c r="I136" s="67" t="n"/>
      <c r="J136" s="67" t="n"/>
      <c r="K136" s="76" t="str">
        <f>IF(AND(ISNUMBER($H136),$H136&gt;0,ISNUMBER($J136)),$J136/$H136,"")</f>
        <v/>
      </c>
      <c r="L136" s="77" t="str">
        <f>IF(AND(ISNUMBER($J136),$J136&gt;0,ISNUMBER($G136)),$G136/$J136,"")</f>
        <v/>
      </c>
      <c r="M136" s="67" t="n"/>
      <c r="N136" s="67" t="n"/>
      <c r="O136" s="72" t="str">
        <f>IF(AND(ISNUMBER($M136),$M136&gt;0,ISNUMBER($G136)),$G136/$M136,"")</f>
        <v/>
      </c>
      <c r="P136" s="73" t="str">
        <f>IF(AND(ISNUMBER($J136),$J136&gt;0,ISNUMBER($M136)),$M136/$J136,"")</f>
        <v/>
      </c>
      <c r="Q136" s="64" t="n"/>
      <c r="R136" s="64" t="n"/>
      <c r="S136" s="65" t="n"/>
      <c r="T136" s="65" t="n"/>
      <c r="U136" s="71" t="str">
        <f>IF(ISNUMBER($A136),YEAR($A136)&amp;"-"&amp;TEXT(MONTH($A136),"00"),"")</f>
        <v/>
      </c>
      <c r="V136" s="71">
        <f>IF($D136="",0,IF(AND(OR(fClient="All",$B136=fClient),OR(fCampaign="All",$C136=fCampaign),OR(fTeam="All",$R136=fTeam),OR(fChannel="All",$D136=fChannel),OR(fMonth="All",$U136=fMonth)),1,0))</f>
        <v>0</v>
      </c>
      <c r="W136" s="71">
        <f>IF($D136="",0,IF(AND(OR(fClient="All",$B136=fClient),OR(fCampaign="All",$C136=fCampaign),OR(fTeam="All",$R136=fTeam),OR(fChannel="All",$D136=fChannel)),1,0))</f>
        <v>0</v>
      </c>
    </row>
    <row r="137">
      <c r="A137" s="63" t="n"/>
      <c r="B137" s="64" t="n"/>
      <c r="C137" s="64" t="n"/>
      <c r="D137" s="64" t="n"/>
      <c r="E137" s="64" t="n"/>
      <c r="F137" s="67" t="n"/>
      <c r="G137" s="67" t="n"/>
      <c r="H137" s="67" t="n"/>
      <c r="I137" s="67" t="n"/>
      <c r="J137" s="67" t="n"/>
      <c r="K137" s="76" t="str">
        <f>IF(AND(ISNUMBER($H137),$H137&gt;0,ISNUMBER($J137)),$J137/$H137,"")</f>
        <v/>
      </c>
      <c r="L137" s="77" t="str">
        <f>IF(AND(ISNUMBER($J137),$J137&gt;0,ISNUMBER($G137)),$G137/$J137,"")</f>
        <v/>
      </c>
      <c r="M137" s="67" t="n"/>
      <c r="N137" s="67" t="n"/>
      <c r="O137" s="72" t="str">
        <f>IF(AND(ISNUMBER($M137),$M137&gt;0,ISNUMBER($G137)),$G137/$M137,"")</f>
        <v/>
      </c>
      <c r="P137" s="73" t="str">
        <f>IF(AND(ISNUMBER($J137),$J137&gt;0,ISNUMBER($M137)),$M137/$J137,"")</f>
        <v/>
      </c>
      <c r="Q137" s="64" t="n"/>
      <c r="R137" s="64" t="n"/>
      <c r="S137" s="65" t="n"/>
      <c r="T137" s="65" t="n"/>
      <c r="U137" s="71" t="str">
        <f>IF(ISNUMBER($A137),YEAR($A137)&amp;"-"&amp;TEXT(MONTH($A137),"00"),"")</f>
        <v/>
      </c>
      <c r="V137" s="71">
        <f>IF($D137="",0,IF(AND(OR(fClient="All",$B137=fClient),OR(fCampaign="All",$C137=fCampaign),OR(fTeam="All",$R137=fTeam),OR(fChannel="All",$D137=fChannel),OR(fMonth="All",$U137=fMonth)),1,0))</f>
        <v>0</v>
      </c>
      <c r="W137" s="71">
        <f>IF($D137="",0,IF(AND(OR(fClient="All",$B137=fClient),OR(fCampaign="All",$C137=fCampaign),OR(fTeam="All",$R137=fTeam),OR(fChannel="All",$D137=fChannel)),1,0))</f>
        <v>0</v>
      </c>
    </row>
    <row r="138">
      <c r="A138" s="63" t="n"/>
      <c r="B138" s="64" t="n"/>
      <c r="C138" s="64" t="n"/>
      <c r="D138" s="64" t="n"/>
      <c r="E138" s="64" t="n"/>
      <c r="F138" s="67" t="n"/>
      <c r="G138" s="67" t="n"/>
      <c r="H138" s="67" t="n"/>
      <c r="I138" s="67" t="n"/>
      <c r="J138" s="67" t="n"/>
      <c r="K138" s="76" t="str">
        <f>IF(AND(ISNUMBER($H138),$H138&gt;0,ISNUMBER($J138)),$J138/$H138,"")</f>
        <v/>
      </c>
      <c r="L138" s="77" t="str">
        <f>IF(AND(ISNUMBER($J138),$J138&gt;0,ISNUMBER($G138)),$G138/$J138,"")</f>
        <v/>
      </c>
      <c r="M138" s="67" t="n"/>
      <c r="N138" s="67" t="n"/>
      <c r="O138" s="72" t="str">
        <f>IF(AND(ISNUMBER($M138),$M138&gt;0,ISNUMBER($G138)),$G138/$M138,"")</f>
        <v/>
      </c>
      <c r="P138" s="73" t="str">
        <f>IF(AND(ISNUMBER($J138),$J138&gt;0,ISNUMBER($M138)),$M138/$J138,"")</f>
        <v/>
      </c>
      <c r="Q138" s="64" t="n"/>
      <c r="R138" s="64" t="n"/>
      <c r="S138" s="65" t="n"/>
      <c r="T138" s="65" t="n"/>
      <c r="U138" s="71" t="str">
        <f>IF(ISNUMBER($A138),YEAR($A138)&amp;"-"&amp;TEXT(MONTH($A138),"00"),"")</f>
        <v/>
      </c>
      <c r="V138" s="71">
        <f>IF($D138="",0,IF(AND(OR(fClient="All",$B138=fClient),OR(fCampaign="All",$C138=fCampaign),OR(fTeam="All",$R138=fTeam),OR(fChannel="All",$D138=fChannel),OR(fMonth="All",$U138=fMonth)),1,0))</f>
        <v>0</v>
      </c>
      <c r="W138" s="71">
        <f>IF($D138="",0,IF(AND(OR(fClient="All",$B138=fClient),OR(fCampaign="All",$C138=fCampaign),OR(fTeam="All",$R138=fTeam),OR(fChannel="All",$D138=fChannel)),1,0))</f>
        <v>0</v>
      </c>
    </row>
    <row r="139">
      <c r="A139" s="63" t="n"/>
      <c r="B139" s="64" t="n"/>
      <c r="C139" s="64" t="n"/>
      <c r="D139" s="64" t="n"/>
      <c r="E139" s="64" t="n"/>
      <c r="F139" s="67" t="n"/>
      <c r="G139" s="67" t="n"/>
      <c r="H139" s="67" t="n"/>
      <c r="I139" s="67" t="n"/>
      <c r="J139" s="67" t="n"/>
      <c r="K139" s="76" t="str">
        <f>IF(AND(ISNUMBER($H139),$H139&gt;0,ISNUMBER($J139)),$J139/$H139,"")</f>
        <v/>
      </c>
      <c r="L139" s="77" t="str">
        <f>IF(AND(ISNUMBER($J139),$J139&gt;0,ISNUMBER($G139)),$G139/$J139,"")</f>
        <v/>
      </c>
      <c r="M139" s="67" t="n"/>
      <c r="N139" s="67" t="n"/>
      <c r="O139" s="72" t="str">
        <f>IF(AND(ISNUMBER($M139),$M139&gt;0,ISNUMBER($G139)),$G139/$M139,"")</f>
        <v/>
      </c>
      <c r="P139" s="73" t="str">
        <f>IF(AND(ISNUMBER($J139),$J139&gt;0,ISNUMBER($M139)),$M139/$J139,"")</f>
        <v/>
      </c>
      <c r="Q139" s="64" t="n"/>
      <c r="R139" s="64" t="n"/>
      <c r="S139" s="65" t="n"/>
      <c r="T139" s="65" t="n"/>
      <c r="U139" s="71" t="str">
        <f>IF(ISNUMBER($A139),YEAR($A139)&amp;"-"&amp;TEXT(MONTH($A139),"00"),"")</f>
        <v/>
      </c>
      <c r="V139" s="71">
        <f>IF($D139="",0,IF(AND(OR(fClient="All",$B139=fClient),OR(fCampaign="All",$C139=fCampaign),OR(fTeam="All",$R139=fTeam),OR(fChannel="All",$D139=fChannel),OR(fMonth="All",$U139=fMonth)),1,0))</f>
        <v>0</v>
      </c>
      <c r="W139" s="71">
        <f>IF($D139="",0,IF(AND(OR(fClient="All",$B139=fClient),OR(fCampaign="All",$C139=fCampaign),OR(fTeam="All",$R139=fTeam),OR(fChannel="All",$D139=fChannel)),1,0))</f>
        <v>0</v>
      </c>
    </row>
    <row r="140">
      <c r="A140" s="63" t="n"/>
      <c r="B140" s="64" t="n"/>
      <c r="C140" s="64" t="n"/>
      <c r="D140" s="64" t="n"/>
      <c r="E140" s="64" t="n"/>
      <c r="F140" s="67" t="n"/>
      <c r="G140" s="67" t="n"/>
      <c r="H140" s="67" t="n"/>
      <c r="I140" s="67" t="n"/>
      <c r="J140" s="67" t="n"/>
      <c r="K140" s="76" t="str">
        <f>IF(AND(ISNUMBER($H140),$H140&gt;0,ISNUMBER($J140)),$J140/$H140,"")</f>
        <v/>
      </c>
      <c r="L140" s="77" t="str">
        <f>IF(AND(ISNUMBER($J140),$J140&gt;0,ISNUMBER($G140)),$G140/$J140,"")</f>
        <v/>
      </c>
      <c r="M140" s="67" t="n"/>
      <c r="N140" s="67" t="n"/>
      <c r="O140" s="72" t="str">
        <f>IF(AND(ISNUMBER($M140),$M140&gt;0,ISNUMBER($G140)),$G140/$M140,"")</f>
        <v/>
      </c>
      <c r="P140" s="73" t="str">
        <f>IF(AND(ISNUMBER($J140),$J140&gt;0,ISNUMBER($M140)),$M140/$J140,"")</f>
        <v/>
      </c>
      <c r="Q140" s="64" t="n"/>
      <c r="R140" s="64" t="n"/>
      <c r="S140" s="65" t="n"/>
      <c r="T140" s="65" t="n"/>
      <c r="U140" s="71" t="str">
        <f>IF(ISNUMBER($A140),YEAR($A140)&amp;"-"&amp;TEXT(MONTH($A140),"00"),"")</f>
        <v/>
      </c>
      <c r="V140" s="71">
        <f>IF($D140="",0,IF(AND(OR(fClient="All",$B140=fClient),OR(fCampaign="All",$C140=fCampaign),OR(fTeam="All",$R140=fTeam),OR(fChannel="All",$D140=fChannel),OR(fMonth="All",$U140=fMonth)),1,0))</f>
        <v>0</v>
      </c>
      <c r="W140" s="71">
        <f>IF($D140="",0,IF(AND(OR(fClient="All",$B140=fClient),OR(fCampaign="All",$C140=fCampaign),OR(fTeam="All",$R140=fTeam),OR(fChannel="All",$D140=fChannel)),1,0))</f>
        <v>0</v>
      </c>
    </row>
    <row r="141">
      <c r="A141" s="63" t="n"/>
      <c r="B141" s="64" t="n"/>
      <c r="C141" s="64" t="n"/>
      <c r="D141" s="64" t="n"/>
      <c r="E141" s="64" t="n"/>
      <c r="F141" s="67" t="n"/>
      <c r="G141" s="67" t="n"/>
      <c r="H141" s="67" t="n"/>
      <c r="I141" s="67" t="n"/>
      <c r="J141" s="67" t="n"/>
      <c r="K141" s="76" t="str">
        <f>IF(AND(ISNUMBER($H141),$H141&gt;0,ISNUMBER($J141)),$J141/$H141,"")</f>
        <v/>
      </c>
      <c r="L141" s="77" t="str">
        <f>IF(AND(ISNUMBER($J141),$J141&gt;0,ISNUMBER($G141)),$G141/$J141,"")</f>
        <v/>
      </c>
      <c r="M141" s="67" t="n"/>
      <c r="N141" s="67" t="n"/>
      <c r="O141" s="72" t="str">
        <f>IF(AND(ISNUMBER($M141),$M141&gt;0,ISNUMBER($G141)),$G141/$M141,"")</f>
        <v/>
      </c>
      <c r="P141" s="73" t="str">
        <f>IF(AND(ISNUMBER($J141),$J141&gt;0,ISNUMBER($M141)),$M141/$J141,"")</f>
        <v/>
      </c>
      <c r="Q141" s="64" t="n"/>
      <c r="R141" s="64" t="n"/>
      <c r="S141" s="65" t="n"/>
      <c r="T141" s="65" t="n"/>
      <c r="U141" s="71" t="str">
        <f>IF(ISNUMBER($A141),YEAR($A141)&amp;"-"&amp;TEXT(MONTH($A141),"00"),"")</f>
        <v/>
      </c>
      <c r="V141" s="71">
        <f>IF($D141="",0,IF(AND(OR(fClient="All",$B141=fClient),OR(fCampaign="All",$C141=fCampaign),OR(fTeam="All",$R141=fTeam),OR(fChannel="All",$D141=fChannel),OR(fMonth="All",$U141=fMonth)),1,0))</f>
        <v>0</v>
      </c>
      <c r="W141" s="71">
        <f>IF($D141="",0,IF(AND(OR(fClient="All",$B141=fClient),OR(fCampaign="All",$C141=fCampaign),OR(fTeam="All",$R141=fTeam),OR(fChannel="All",$D141=fChannel)),1,0))</f>
        <v>0</v>
      </c>
    </row>
    <row r="142">
      <c r="A142" s="63" t="n"/>
      <c r="B142" s="64" t="n"/>
      <c r="C142" s="64" t="n"/>
      <c r="D142" s="64" t="n"/>
      <c r="E142" s="64" t="n"/>
      <c r="F142" s="67" t="n"/>
      <c r="G142" s="67" t="n"/>
      <c r="H142" s="67" t="n"/>
      <c r="I142" s="67" t="n"/>
      <c r="J142" s="67" t="n"/>
      <c r="K142" s="76" t="str">
        <f>IF(AND(ISNUMBER($H142),$H142&gt;0,ISNUMBER($J142)),$J142/$H142,"")</f>
        <v/>
      </c>
      <c r="L142" s="77" t="str">
        <f>IF(AND(ISNUMBER($J142),$J142&gt;0,ISNUMBER($G142)),$G142/$J142,"")</f>
        <v/>
      </c>
      <c r="M142" s="67" t="n"/>
      <c r="N142" s="67" t="n"/>
      <c r="O142" s="72" t="str">
        <f>IF(AND(ISNUMBER($M142),$M142&gt;0,ISNUMBER($G142)),$G142/$M142,"")</f>
        <v/>
      </c>
      <c r="P142" s="73" t="str">
        <f>IF(AND(ISNUMBER($J142),$J142&gt;0,ISNUMBER($M142)),$M142/$J142,"")</f>
        <v/>
      </c>
      <c r="Q142" s="64" t="n"/>
      <c r="R142" s="64" t="n"/>
      <c r="S142" s="65" t="n"/>
      <c r="T142" s="65" t="n"/>
      <c r="U142" s="71" t="str">
        <f>IF(ISNUMBER($A142),YEAR($A142)&amp;"-"&amp;TEXT(MONTH($A142),"00"),"")</f>
        <v/>
      </c>
      <c r="V142" s="71">
        <f>IF($D142="",0,IF(AND(OR(fClient="All",$B142=fClient),OR(fCampaign="All",$C142=fCampaign),OR(fTeam="All",$R142=fTeam),OR(fChannel="All",$D142=fChannel),OR(fMonth="All",$U142=fMonth)),1,0))</f>
        <v>0</v>
      </c>
      <c r="W142" s="71">
        <f>IF($D142="",0,IF(AND(OR(fClient="All",$B142=fClient),OR(fCampaign="All",$C142=fCampaign),OR(fTeam="All",$R142=fTeam),OR(fChannel="All",$D142=fChannel)),1,0))</f>
        <v>0</v>
      </c>
    </row>
    <row r="143">
      <c r="A143" s="63" t="n"/>
      <c r="B143" s="64" t="n"/>
      <c r="C143" s="64" t="n"/>
      <c r="D143" s="64" t="n"/>
      <c r="E143" s="64" t="n"/>
      <c r="F143" s="67" t="n"/>
      <c r="G143" s="67" t="n"/>
      <c r="H143" s="67" t="n"/>
      <c r="I143" s="67" t="n"/>
      <c r="J143" s="67" t="n"/>
      <c r="K143" s="76" t="str">
        <f>IF(AND(ISNUMBER($H143),$H143&gt;0,ISNUMBER($J143)),$J143/$H143,"")</f>
        <v/>
      </c>
      <c r="L143" s="77" t="str">
        <f>IF(AND(ISNUMBER($J143),$J143&gt;0,ISNUMBER($G143)),$G143/$J143,"")</f>
        <v/>
      </c>
      <c r="M143" s="67" t="n"/>
      <c r="N143" s="67" t="n"/>
      <c r="O143" s="72" t="str">
        <f>IF(AND(ISNUMBER($M143),$M143&gt;0,ISNUMBER($G143)),$G143/$M143,"")</f>
        <v/>
      </c>
      <c r="P143" s="73" t="str">
        <f>IF(AND(ISNUMBER($J143),$J143&gt;0,ISNUMBER($M143)),$M143/$J143,"")</f>
        <v/>
      </c>
      <c r="Q143" s="64" t="n"/>
      <c r="R143" s="64" t="n"/>
      <c r="S143" s="65" t="n"/>
      <c r="T143" s="65" t="n"/>
      <c r="U143" s="71" t="str">
        <f>IF(ISNUMBER($A143),YEAR($A143)&amp;"-"&amp;TEXT(MONTH($A143),"00"),"")</f>
        <v/>
      </c>
      <c r="V143" s="71">
        <f>IF($D143="",0,IF(AND(OR(fClient="All",$B143=fClient),OR(fCampaign="All",$C143=fCampaign),OR(fTeam="All",$R143=fTeam),OR(fChannel="All",$D143=fChannel),OR(fMonth="All",$U143=fMonth)),1,0))</f>
        <v>0</v>
      </c>
      <c r="W143" s="71">
        <f>IF($D143="",0,IF(AND(OR(fClient="All",$B143=fClient),OR(fCampaign="All",$C143=fCampaign),OR(fTeam="All",$R143=fTeam),OR(fChannel="All",$D143=fChannel)),1,0))</f>
        <v>0</v>
      </c>
    </row>
    <row r="144">
      <c r="A144" s="63" t="n"/>
      <c r="B144" s="64" t="n"/>
      <c r="C144" s="64" t="n"/>
      <c r="D144" s="64" t="n"/>
      <c r="E144" s="64" t="n"/>
      <c r="F144" s="67" t="n"/>
      <c r="G144" s="67" t="n"/>
      <c r="H144" s="67" t="n"/>
      <c r="I144" s="67" t="n"/>
      <c r="J144" s="67" t="n"/>
      <c r="K144" s="76" t="str">
        <f>IF(AND(ISNUMBER($H144),$H144&gt;0,ISNUMBER($J144)),$J144/$H144,"")</f>
        <v/>
      </c>
      <c r="L144" s="77" t="str">
        <f>IF(AND(ISNUMBER($J144),$J144&gt;0,ISNUMBER($G144)),$G144/$J144,"")</f>
        <v/>
      </c>
      <c r="M144" s="67" t="n"/>
      <c r="N144" s="67" t="n"/>
      <c r="O144" s="72" t="str">
        <f>IF(AND(ISNUMBER($M144),$M144&gt;0,ISNUMBER($G144)),$G144/$M144,"")</f>
        <v/>
      </c>
      <c r="P144" s="73" t="str">
        <f>IF(AND(ISNUMBER($J144),$J144&gt;0,ISNUMBER($M144)),$M144/$J144,"")</f>
        <v/>
      </c>
      <c r="Q144" s="64" t="n"/>
      <c r="R144" s="64" t="n"/>
      <c r="S144" s="65" t="n"/>
      <c r="T144" s="65" t="n"/>
      <c r="U144" s="71" t="str">
        <f>IF(ISNUMBER($A144),YEAR($A144)&amp;"-"&amp;TEXT(MONTH($A144),"00"),"")</f>
        <v/>
      </c>
      <c r="V144" s="71">
        <f>IF($D144="",0,IF(AND(OR(fClient="All",$B144=fClient),OR(fCampaign="All",$C144=fCampaign),OR(fTeam="All",$R144=fTeam),OR(fChannel="All",$D144=fChannel),OR(fMonth="All",$U144=fMonth)),1,0))</f>
        <v>0</v>
      </c>
      <c r="W144" s="71">
        <f>IF($D144="",0,IF(AND(OR(fClient="All",$B144=fClient),OR(fCampaign="All",$C144=fCampaign),OR(fTeam="All",$R144=fTeam),OR(fChannel="All",$D144=fChannel)),1,0))</f>
        <v>0</v>
      </c>
    </row>
    <row r="145">
      <c r="A145" s="63" t="n"/>
      <c r="B145" s="64" t="n"/>
      <c r="C145" s="64" t="n"/>
      <c r="D145" s="64" t="n"/>
      <c r="E145" s="64" t="n"/>
      <c r="F145" s="67" t="n"/>
      <c r="G145" s="67" t="n"/>
      <c r="H145" s="67" t="n"/>
      <c r="I145" s="67" t="n"/>
      <c r="J145" s="67" t="n"/>
      <c r="K145" s="76" t="str">
        <f>IF(AND(ISNUMBER($H145),$H145&gt;0,ISNUMBER($J145)),$J145/$H145,"")</f>
        <v/>
      </c>
      <c r="L145" s="77" t="str">
        <f>IF(AND(ISNUMBER($J145),$J145&gt;0,ISNUMBER($G145)),$G145/$J145,"")</f>
        <v/>
      </c>
      <c r="M145" s="67" t="n"/>
      <c r="N145" s="67" t="n"/>
      <c r="O145" s="72" t="str">
        <f>IF(AND(ISNUMBER($M145),$M145&gt;0,ISNUMBER($G145)),$G145/$M145,"")</f>
        <v/>
      </c>
      <c r="P145" s="73" t="str">
        <f>IF(AND(ISNUMBER($J145),$J145&gt;0,ISNUMBER($M145)),$M145/$J145,"")</f>
        <v/>
      </c>
      <c r="Q145" s="64" t="n"/>
      <c r="R145" s="64" t="n"/>
      <c r="S145" s="65" t="n"/>
      <c r="T145" s="65" t="n"/>
      <c r="U145" s="71" t="str">
        <f>IF(ISNUMBER($A145),YEAR($A145)&amp;"-"&amp;TEXT(MONTH($A145),"00"),"")</f>
        <v/>
      </c>
      <c r="V145" s="71">
        <f>IF($D145="",0,IF(AND(OR(fClient="All",$B145=fClient),OR(fCampaign="All",$C145=fCampaign),OR(fTeam="All",$R145=fTeam),OR(fChannel="All",$D145=fChannel),OR(fMonth="All",$U145=fMonth)),1,0))</f>
        <v>0</v>
      </c>
      <c r="W145" s="71">
        <f>IF($D145="",0,IF(AND(OR(fClient="All",$B145=fClient),OR(fCampaign="All",$C145=fCampaign),OR(fTeam="All",$R145=fTeam),OR(fChannel="All",$D145=fChannel)),1,0))</f>
        <v>0</v>
      </c>
    </row>
    <row r="146">
      <c r="A146" s="63" t="n"/>
      <c r="B146" s="64" t="n"/>
      <c r="C146" s="64" t="n"/>
      <c r="D146" s="64" t="n"/>
      <c r="E146" s="64" t="n"/>
      <c r="F146" s="67" t="n"/>
      <c r="G146" s="67" t="n"/>
      <c r="H146" s="67" t="n"/>
      <c r="I146" s="67" t="n"/>
      <c r="J146" s="67" t="n"/>
      <c r="K146" s="76" t="str">
        <f>IF(AND(ISNUMBER($H146),$H146&gt;0,ISNUMBER($J146)),$J146/$H146,"")</f>
        <v/>
      </c>
      <c r="L146" s="77" t="str">
        <f>IF(AND(ISNUMBER($J146),$J146&gt;0,ISNUMBER($G146)),$G146/$J146,"")</f>
        <v/>
      </c>
      <c r="M146" s="67" t="n"/>
      <c r="N146" s="67" t="n"/>
      <c r="O146" s="72" t="str">
        <f>IF(AND(ISNUMBER($M146),$M146&gt;0,ISNUMBER($G146)),$G146/$M146,"")</f>
        <v/>
      </c>
      <c r="P146" s="73" t="str">
        <f>IF(AND(ISNUMBER($J146),$J146&gt;0,ISNUMBER($M146)),$M146/$J146,"")</f>
        <v/>
      </c>
      <c r="Q146" s="64" t="n"/>
      <c r="R146" s="64" t="n"/>
      <c r="S146" s="65" t="n"/>
      <c r="T146" s="65" t="n"/>
      <c r="U146" s="71" t="str">
        <f>IF(ISNUMBER($A146),YEAR($A146)&amp;"-"&amp;TEXT(MONTH($A146),"00"),"")</f>
        <v/>
      </c>
      <c r="V146" s="71">
        <f>IF($D146="",0,IF(AND(OR(fClient="All",$B146=fClient),OR(fCampaign="All",$C146=fCampaign),OR(fTeam="All",$R146=fTeam),OR(fChannel="All",$D146=fChannel),OR(fMonth="All",$U146=fMonth)),1,0))</f>
        <v>0</v>
      </c>
      <c r="W146" s="71">
        <f>IF($D146="",0,IF(AND(OR(fClient="All",$B146=fClient),OR(fCampaign="All",$C146=fCampaign),OR(fTeam="All",$R146=fTeam),OR(fChannel="All",$D146=fChannel)),1,0))</f>
        <v>0</v>
      </c>
    </row>
    <row r="147">
      <c r="A147" s="63" t="n"/>
      <c r="B147" s="64" t="n"/>
      <c r="C147" s="64" t="n"/>
      <c r="D147" s="64" t="n"/>
      <c r="E147" s="64" t="n"/>
      <c r="F147" s="67" t="n"/>
      <c r="G147" s="67" t="n"/>
      <c r="H147" s="67" t="n"/>
      <c r="I147" s="67" t="n"/>
      <c r="J147" s="67" t="n"/>
      <c r="K147" s="76" t="str">
        <f>IF(AND(ISNUMBER($H147),$H147&gt;0,ISNUMBER($J147)),$J147/$H147,"")</f>
        <v/>
      </c>
      <c r="L147" s="77" t="str">
        <f>IF(AND(ISNUMBER($J147),$J147&gt;0,ISNUMBER($G147)),$G147/$J147,"")</f>
        <v/>
      </c>
      <c r="M147" s="67" t="n"/>
      <c r="N147" s="67" t="n"/>
      <c r="O147" s="72" t="str">
        <f>IF(AND(ISNUMBER($M147),$M147&gt;0,ISNUMBER($G147)),$G147/$M147,"")</f>
        <v/>
      </c>
      <c r="P147" s="73" t="str">
        <f>IF(AND(ISNUMBER($J147),$J147&gt;0,ISNUMBER($M147)),$M147/$J147,"")</f>
        <v/>
      </c>
      <c r="Q147" s="64" t="n"/>
      <c r="R147" s="64" t="n"/>
      <c r="S147" s="65" t="n"/>
      <c r="T147" s="65" t="n"/>
      <c r="U147" s="71" t="str">
        <f>IF(ISNUMBER($A147),YEAR($A147)&amp;"-"&amp;TEXT(MONTH($A147),"00"),"")</f>
        <v/>
      </c>
      <c r="V147" s="71">
        <f>IF($D147="",0,IF(AND(OR(fClient="All",$B147=fClient),OR(fCampaign="All",$C147=fCampaign),OR(fTeam="All",$R147=fTeam),OR(fChannel="All",$D147=fChannel),OR(fMonth="All",$U147=fMonth)),1,0))</f>
        <v>0</v>
      </c>
      <c r="W147" s="71">
        <f>IF($D147="",0,IF(AND(OR(fClient="All",$B147=fClient),OR(fCampaign="All",$C147=fCampaign),OR(fTeam="All",$R147=fTeam),OR(fChannel="All",$D147=fChannel)),1,0))</f>
        <v>0</v>
      </c>
    </row>
    <row r="148">
      <c r="A148" s="63" t="n"/>
      <c r="B148" s="64" t="n"/>
      <c r="C148" s="64" t="n"/>
      <c r="D148" s="64" t="n"/>
      <c r="E148" s="64" t="n"/>
      <c r="F148" s="67" t="n"/>
      <c r="G148" s="67" t="n"/>
      <c r="H148" s="67" t="n"/>
      <c r="I148" s="67" t="n"/>
      <c r="J148" s="67" t="n"/>
      <c r="K148" s="76" t="str">
        <f>IF(AND(ISNUMBER($H148),$H148&gt;0,ISNUMBER($J148)),$J148/$H148,"")</f>
        <v/>
      </c>
      <c r="L148" s="77" t="str">
        <f>IF(AND(ISNUMBER($J148),$J148&gt;0,ISNUMBER($G148)),$G148/$J148,"")</f>
        <v/>
      </c>
      <c r="M148" s="67" t="n"/>
      <c r="N148" s="67" t="n"/>
      <c r="O148" s="72" t="str">
        <f>IF(AND(ISNUMBER($M148),$M148&gt;0,ISNUMBER($G148)),$G148/$M148,"")</f>
        <v/>
      </c>
      <c r="P148" s="73" t="str">
        <f>IF(AND(ISNUMBER($J148),$J148&gt;0,ISNUMBER($M148)),$M148/$J148,"")</f>
        <v/>
      </c>
      <c r="Q148" s="64" t="n"/>
      <c r="R148" s="64" t="n"/>
      <c r="S148" s="65" t="n"/>
      <c r="T148" s="65" t="n"/>
      <c r="U148" s="71" t="str">
        <f>IF(ISNUMBER($A148),YEAR($A148)&amp;"-"&amp;TEXT(MONTH($A148),"00"),"")</f>
        <v/>
      </c>
      <c r="V148" s="71">
        <f>IF($D148="",0,IF(AND(OR(fClient="All",$B148=fClient),OR(fCampaign="All",$C148=fCampaign),OR(fTeam="All",$R148=fTeam),OR(fChannel="All",$D148=fChannel),OR(fMonth="All",$U148=fMonth)),1,0))</f>
        <v>0</v>
      </c>
      <c r="W148" s="71">
        <f>IF($D148="",0,IF(AND(OR(fClient="All",$B148=fClient),OR(fCampaign="All",$C148=fCampaign),OR(fTeam="All",$R148=fTeam),OR(fChannel="All",$D148=fChannel)),1,0))</f>
        <v>0</v>
      </c>
    </row>
    <row r="149">
      <c r="A149" s="63" t="n"/>
      <c r="B149" s="64" t="n"/>
      <c r="C149" s="64" t="n"/>
      <c r="D149" s="64" t="n"/>
      <c r="E149" s="64" t="n"/>
      <c r="F149" s="67" t="n"/>
      <c r="G149" s="67" t="n"/>
      <c r="H149" s="67" t="n"/>
      <c r="I149" s="67" t="n"/>
      <c r="J149" s="67" t="n"/>
      <c r="K149" s="76" t="str">
        <f>IF(AND(ISNUMBER($H149),$H149&gt;0,ISNUMBER($J149)),$J149/$H149,"")</f>
        <v/>
      </c>
      <c r="L149" s="77" t="str">
        <f>IF(AND(ISNUMBER($J149),$J149&gt;0,ISNUMBER($G149)),$G149/$J149,"")</f>
        <v/>
      </c>
      <c r="M149" s="67" t="n"/>
      <c r="N149" s="67" t="n"/>
      <c r="O149" s="72" t="str">
        <f>IF(AND(ISNUMBER($M149),$M149&gt;0,ISNUMBER($G149)),$G149/$M149,"")</f>
        <v/>
      </c>
      <c r="P149" s="73" t="str">
        <f>IF(AND(ISNUMBER($J149),$J149&gt;0,ISNUMBER($M149)),$M149/$J149,"")</f>
        <v/>
      </c>
      <c r="Q149" s="64" t="n"/>
      <c r="R149" s="64" t="n"/>
      <c r="S149" s="65" t="n"/>
      <c r="T149" s="65" t="n"/>
      <c r="U149" s="71" t="str">
        <f>IF(ISNUMBER($A149),YEAR($A149)&amp;"-"&amp;TEXT(MONTH($A149),"00"),"")</f>
        <v/>
      </c>
      <c r="V149" s="71">
        <f>IF($D149="",0,IF(AND(OR(fClient="All",$B149=fClient),OR(fCampaign="All",$C149=fCampaign),OR(fTeam="All",$R149=fTeam),OR(fChannel="All",$D149=fChannel),OR(fMonth="All",$U149=fMonth)),1,0))</f>
        <v>0</v>
      </c>
      <c r="W149" s="71">
        <f>IF($D149="",0,IF(AND(OR(fClient="All",$B149=fClient),OR(fCampaign="All",$C149=fCampaign),OR(fTeam="All",$R149=fTeam),OR(fChannel="All",$D149=fChannel)),1,0))</f>
        <v>0</v>
      </c>
    </row>
    <row r="150">
      <c r="A150" s="63" t="n"/>
      <c r="B150" s="64" t="n"/>
      <c r="C150" s="64" t="n"/>
      <c r="D150" s="64" t="n"/>
      <c r="E150" s="64" t="n"/>
      <c r="F150" s="67" t="n"/>
      <c r="G150" s="67" t="n"/>
      <c r="H150" s="67" t="n"/>
      <c r="I150" s="67" t="n"/>
      <c r="J150" s="67" t="n"/>
      <c r="K150" s="76" t="str">
        <f>IF(AND(ISNUMBER($H150),$H150&gt;0,ISNUMBER($J150)),$J150/$H150,"")</f>
        <v/>
      </c>
      <c r="L150" s="77" t="str">
        <f>IF(AND(ISNUMBER($J150),$J150&gt;0,ISNUMBER($G150)),$G150/$J150,"")</f>
        <v/>
      </c>
      <c r="M150" s="67" t="n"/>
      <c r="N150" s="67" t="n"/>
      <c r="O150" s="72" t="str">
        <f>IF(AND(ISNUMBER($M150),$M150&gt;0,ISNUMBER($G150)),$G150/$M150,"")</f>
        <v/>
      </c>
      <c r="P150" s="73" t="str">
        <f>IF(AND(ISNUMBER($J150),$J150&gt;0,ISNUMBER($M150)),$M150/$J150,"")</f>
        <v/>
      </c>
      <c r="Q150" s="64" t="n"/>
      <c r="R150" s="64" t="n"/>
      <c r="S150" s="65" t="n"/>
      <c r="T150" s="65" t="n"/>
      <c r="U150" s="71" t="str">
        <f>IF(ISNUMBER($A150),YEAR($A150)&amp;"-"&amp;TEXT(MONTH($A150),"00"),"")</f>
        <v/>
      </c>
      <c r="V150" s="71">
        <f>IF($D150="",0,IF(AND(OR(fClient="All",$B150=fClient),OR(fCampaign="All",$C150=fCampaign),OR(fTeam="All",$R150=fTeam),OR(fChannel="All",$D150=fChannel),OR(fMonth="All",$U150=fMonth)),1,0))</f>
        <v>0</v>
      </c>
      <c r="W150" s="71">
        <f>IF($D150="",0,IF(AND(OR(fClient="All",$B150=fClient),OR(fCampaign="All",$C150=fCampaign),OR(fTeam="All",$R150=fTeam),OR(fChannel="All",$D150=fChannel)),1,0))</f>
        <v>0</v>
      </c>
    </row>
    <row r="151">
      <c r="A151" s="63" t="n"/>
      <c r="B151" s="64" t="n"/>
      <c r="C151" s="64" t="n"/>
      <c r="D151" s="64" t="n"/>
      <c r="E151" s="64" t="n"/>
      <c r="F151" s="67" t="n"/>
      <c r="G151" s="67" t="n"/>
      <c r="H151" s="67" t="n"/>
      <c r="I151" s="67" t="n"/>
      <c r="J151" s="67" t="n"/>
      <c r="K151" s="76" t="str">
        <f>IF(AND(ISNUMBER($H151),$H151&gt;0,ISNUMBER($J151)),$J151/$H151,"")</f>
        <v/>
      </c>
      <c r="L151" s="77" t="str">
        <f>IF(AND(ISNUMBER($J151),$J151&gt;0,ISNUMBER($G151)),$G151/$J151,"")</f>
        <v/>
      </c>
      <c r="M151" s="67" t="n"/>
      <c r="N151" s="67" t="n"/>
      <c r="O151" s="72" t="str">
        <f>IF(AND(ISNUMBER($M151),$M151&gt;0,ISNUMBER($G151)),$G151/$M151,"")</f>
        <v/>
      </c>
      <c r="P151" s="73" t="str">
        <f>IF(AND(ISNUMBER($J151),$J151&gt;0,ISNUMBER($M151)),$M151/$J151,"")</f>
        <v/>
      </c>
      <c r="Q151" s="64" t="n"/>
      <c r="R151" s="64" t="n"/>
      <c r="S151" s="65" t="n"/>
      <c r="T151" s="65" t="n"/>
      <c r="U151" s="71" t="str">
        <f>IF(ISNUMBER($A151),YEAR($A151)&amp;"-"&amp;TEXT(MONTH($A151),"00"),"")</f>
        <v/>
      </c>
      <c r="V151" s="71">
        <f>IF($D151="",0,IF(AND(OR(fClient="All",$B151=fClient),OR(fCampaign="All",$C151=fCampaign),OR(fTeam="All",$R151=fTeam),OR(fChannel="All",$D151=fChannel),OR(fMonth="All",$U151=fMonth)),1,0))</f>
        <v>0</v>
      </c>
      <c r="W151" s="71">
        <f>IF($D151="",0,IF(AND(OR(fClient="All",$B151=fClient),OR(fCampaign="All",$C151=fCampaign),OR(fTeam="All",$R151=fTeam),OR(fChannel="All",$D151=fChannel)),1,0))</f>
        <v>0</v>
      </c>
    </row>
    <row r="152">
      <c r="A152" s="63" t="n"/>
      <c r="B152" s="64" t="n"/>
      <c r="C152" s="64" t="n"/>
      <c r="D152" s="64" t="n"/>
      <c r="E152" s="64" t="n"/>
      <c r="F152" s="67" t="n"/>
      <c r="G152" s="67" t="n"/>
      <c r="H152" s="67" t="n"/>
      <c r="I152" s="67" t="n"/>
      <c r="J152" s="67" t="n"/>
      <c r="K152" s="76" t="str">
        <f>IF(AND(ISNUMBER($H152),$H152&gt;0,ISNUMBER($J152)),$J152/$H152,"")</f>
        <v/>
      </c>
      <c r="L152" s="77" t="str">
        <f>IF(AND(ISNUMBER($J152),$J152&gt;0,ISNUMBER($G152)),$G152/$J152,"")</f>
        <v/>
      </c>
      <c r="M152" s="67" t="n"/>
      <c r="N152" s="67" t="n"/>
      <c r="O152" s="72" t="str">
        <f>IF(AND(ISNUMBER($M152),$M152&gt;0,ISNUMBER($G152)),$G152/$M152,"")</f>
        <v/>
      </c>
      <c r="P152" s="73" t="str">
        <f>IF(AND(ISNUMBER($J152),$J152&gt;0,ISNUMBER($M152)),$M152/$J152,"")</f>
        <v/>
      </c>
      <c r="Q152" s="64" t="n"/>
      <c r="R152" s="64" t="n"/>
      <c r="S152" s="65" t="n"/>
      <c r="T152" s="65" t="n"/>
      <c r="U152" s="71" t="str">
        <f>IF(ISNUMBER($A152),YEAR($A152)&amp;"-"&amp;TEXT(MONTH($A152),"00"),"")</f>
        <v/>
      </c>
      <c r="V152" s="71">
        <f>IF($D152="",0,IF(AND(OR(fClient="All",$B152=fClient),OR(fCampaign="All",$C152=fCampaign),OR(fTeam="All",$R152=fTeam),OR(fChannel="All",$D152=fChannel),OR(fMonth="All",$U152=fMonth)),1,0))</f>
        <v>0</v>
      </c>
      <c r="W152" s="71">
        <f>IF($D152="",0,IF(AND(OR(fClient="All",$B152=fClient),OR(fCampaign="All",$C152=fCampaign),OR(fTeam="All",$R152=fTeam),OR(fChannel="All",$D152=fChannel)),1,0))</f>
        <v>0</v>
      </c>
    </row>
    <row r="153">
      <c r="A153" s="63" t="n"/>
      <c r="B153" s="64" t="n"/>
      <c r="C153" s="64" t="n"/>
      <c r="D153" s="64" t="n"/>
      <c r="E153" s="64" t="n"/>
      <c r="F153" s="67" t="n"/>
      <c r="G153" s="67" t="n"/>
      <c r="H153" s="67" t="n"/>
      <c r="I153" s="67" t="n"/>
      <c r="J153" s="67" t="n"/>
      <c r="K153" s="76" t="str">
        <f>IF(AND(ISNUMBER($H153),$H153&gt;0,ISNUMBER($J153)),$J153/$H153,"")</f>
        <v/>
      </c>
      <c r="L153" s="77" t="str">
        <f>IF(AND(ISNUMBER($J153),$J153&gt;0,ISNUMBER($G153)),$G153/$J153,"")</f>
        <v/>
      </c>
      <c r="M153" s="67" t="n"/>
      <c r="N153" s="67" t="n"/>
      <c r="O153" s="72" t="str">
        <f>IF(AND(ISNUMBER($M153),$M153&gt;0,ISNUMBER($G153)),$G153/$M153,"")</f>
        <v/>
      </c>
      <c r="P153" s="73" t="str">
        <f>IF(AND(ISNUMBER($J153),$J153&gt;0,ISNUMBER($M153)),$M153/$J153,"")</f>
        <v/>
      </c>
      <c r="Q153" s="64" t="n"/>
      <c r="R153" s="64" t="n"/>
      <c r="S153" s="65" t="n"/>
      <c r="T153" s="65" t="n"/>
      <c r="U153" s="71" t="str">
        <f>IF(ISNUMBER($A153),YEAR($A153)&amp;"-"&amp;TEXT(MONTH($A153),"00"),"")</f>
        <v/>
      </c>
      <c r="V153" s="71">
        <f>IF($D153="",0,IF(AND(OR(fClient="All",$B153=fClient),OR(fCampaign="All",$C153=fCampaign),OR(fTeam="All",$R153=fTeam),OR(fChannel="All",$D153=fChannel),OR(fMonth="All",$U153=fMonth)),1,0))</f>
        <v>0</v>
      </c>
      <c r="W153" s="71">
        <f>IF($D153="",0,IF(AND(OR(fClient="All",$B153=fClient),OR(fCampaign="All",$C153=fCampaign),OR(fTeam="All",$R153=fTeam),OR(fChannel="All",$D153=fChannel)),1,0))</f>
        <v>0</v>
      </c>
    </row>
    <row r="154">
      <c r="A154" s="63" t="n"/>
      <c r="B154" s="64" t="n"/>
      <c r="C154" s="64" t="n"/>
      <c r="D154" s="64" t="n"/>
      <c r="E154" s="64" t="n"/>
      <c r="F154" s="67" t="n"/>
      <c r="G154" s="67" t="n"/>
      <c r="H154" s="67" t="n"/>
      <c r="I154" s="67" t="n"/>
      <c r="J154" s="67" t="n"/>
      <c r="K154" s="76" t="str">
        <f>IF(AND(ISNUMBER($H154),$H154&gt;0,ISNUMBER($J154)),$J154/$H154,"")</f>
        <v/>
      </c>
      <c r="L154" s="77" t="str">
        <f>IF(AND(ISNUMBER($J154),$J154&gt;0,ISNUMBER($G154)),$G154/$J154,"")</f>
        <v/>
      </c>
      <c r="M154" s="67" t="n"/>
      <c r="N154" s="67" t="n"/>
      <c r="O154" s="72" t="str">
        <f>IF(AND(ISNUMBER($M154),$M154&gt;0,ISNUMBER($G154)),$G154/$M154,"")</f>
        <v/>
      </c>
      <c r="P154" s="73" t="str">
        <f>IF(AND(ISNUMBER($J154),$J154&gt;0,ISNUMBER($M154)),$M154/$J154,"")</f>
        <v/>
      </c>
      <c r="Q154" s="64" t="n"/>
      <c r="R154" s="64" t="n"/>
      <c r="S154" s="65" t="n"/>
      <c r="T154" s="65" t="n"/>
      <c r="U154" s="71" t="str">
        <f>IF(ISNUMBER($A154),YEAR($A154)&amp;"-"&amp;TEXT(MONTH($A154),"00"),"")</f>
        <v/>
      </c>
      <c r="V154" s="71">
        <f>IF($D154="",0,IF(AND(OR(fClient="All",$B154=fClient),OR(fCampaign="All",$C154=fCampaign),OR(fTeam="All",$R154=fTeam),OR(fChannel="All",$D154=fChannel),OR(fMonth="All",$U154=fMonth)),1,0))</f>
        <v>0</v>
      </c>
      <c r="W154" s="71">
        <f>IF($D154="",0,IF(AND(OR(fClient="All",$B154=fClient),OR(fCampaign="All",$C154=fCampaign),OR(fTeam="All",$R154=fTeam),OR(fChannel="All",$D154=fChannel)),1,0))</f>
        <v>0</v>
      </c>
    </row>
    <row r="155">
      <c r="A155" s="63" t="n"/>
      <c r="B155" s="64" t="n"/>
      <c r="C155" s="64" t="n"/>
      <c r="D155" s="64" t="n"/>
      <c r="E155" s="64" t="n"/>
      <c r="F155" s="67" t="n"/>
      <c r="G155" s="67" t="n"/>
      <c r="H155" s="67" t="n"/>
      <c r="I155" s="67" t="n"/>
      <c r="J155" s="67" t="n"/>
      <c r="K155" s="76" t="str">
        <f>IF(AND(ISNUMBER($H155),$H155&gt;0,ISNUMBER($J155)),$J155/$H155,"")</f>
        <v/>
      </c>
      <c r="L155" s="77" t="str">
        <f>IF(AND(ISNUMBER($J155),$J155&gt;0,ISNUMBER($G155)),$G155/$J155,"")</f>
        <v/>
      </c>
      <c r="M155" s="67" t="n"/>
      <c r="N155" s="67" t="n"/>
      <c r="O155" s="72" t="str">
        <f>IF(AND(ISNUMBER($M155),$M155&gt;0,ISNUMBER($G155)),$G155/$M155,"")</f>
        <v/>
      </c>
      <c r="P155" s="73" t="str">
        <f>IF(AND(ISNUMBER($J155),$J155&gt;0,ISNUMBER($M155)),$M155/$J155,"")</f>
        <v/>
      </c>
      <c r="Q155" s="64" t="n"/>
      <c r="R155" s="64" t="n"/>
      <c r="S155" s="65" t="n"/>
      <c r="T155" s="65" t="n"/>
      <c r="U155" s="71" t="str">
        <f>IF(ISNUMBER($A155),YEAR($A155)&amp;"-"&amp;TEXT(MONTH($A155),"00"),"")</f>
        <v/>
      </c>
      <c r="V155" s="71">
        <f>IF($D155="",0,IF(AND(OR(fClient="All",$B155=fClient),OR(fCampaign="All",$C155=fCampaign),OR(fTeam="All",$R155=fTeam),OR(fChannel="All",$D155=fChannel),OR(fMonth="All",$U155=fMonth)),1,0))</f>
        <v>0</v>
      </c>
      <c r="W155" s="71">
        <f>IF($D155="",0,IF(AND(OR(fClient="All",$B155=fClient),OR(fCampaign="All",$C155=fCampaign),OR(fTeam="All",$R155=fTeam),OR(fChannel="All",$D155=fChannel)),1,0))</f>
        <v>0</v>
      </c>
    </row>
    <row r="156">
      <c r="A156" s="63" t="n"/>
      <c r="B156" s="64" t="n"/>
      <c r="C156" s="64" t="n"/>
      <c r="D156" s="64" t="n"/>
      <c r="E156" s="64" t="n"/>
      <c r="F156" s="67" t="n"/>
      <c r="G156" s="67" t="n"/>
      <c r="H156" s="67" t="n"/>
      <c r="I156" s="67" t="n"/>
      <c r="J156" s="67" t="n"/>
      <c r="K156" s="76" t="str">
        <f>IF(AND(ISNUMBER($H156),$H156&gt;0,ISNUMBER($J156)),$J156/$H156,"")</f>
        <v/>
      </c>
      <c r="L156" s="77" t="str">
        <f>IF(AND(ISNUMBER($J156),$J156&gt;0,ISNUMBER($G156)),$G156/$J156,"")</f>
        <v/>
      </c>
      <c r="M156" s="67" t="n"/>
      <c r="N156" s="67" t="n"/>
      <c r="O156" s="72" t="str">
        <f>IF(AND(ISNUMBER($M156),$M156&gt;0,ISNUMBER($G156)),$G156/$M156,"")</f>
        <v/>
      </c>
      <c r="P156" s="73" t="str">
        <f>IF(AND(ISNUMBER($J156),$J156&gt;0,ISNUMBER($M156)),$M156/$J156,"")</f>
        <v/>
      </c>
      <c r="Q156" s="64" t="n"/>
      <c r="R156" s="64" t="n"/>
      <c r="S156" s="65" t="n"/>
      <c r="T156" s="65" t="n"/>
      <c r="U156" s="71" t="str">
        <f>IF(ISNUMBER($A156),YEAR($A156)&amp;"-"&amp;TEXT(MONTH($A156),"00"),"")</f>
        <v/>
      </c>
      <c r="V156" s="71">
        <f>IF($D156="",0,IF(AND(OR(fClient="All",$B156=fClient),OR(fCampaign="All",$C156=fCampaign),OR(fTeam="All",$R156=fTeam),OR(fChannel="All",$D156=fChannel),OR(fMonth="All",$U156=fMonth)),1,0))</f>
        <v>0</v>
      </c>
      <c r="W156" s="71">
        <f>IF($D156="",0,IF(AND(OR(fClient="All",$B156=fClient),OR(fCampaign="All",$C156=fCampaign),OR(fTeam="All",$R156=fTeam),OR(fChannel="All",$D156=fChannel)),1,0))</f>
        <v>0</v>
      </c>
    </row>
    <row r="157">
      <c r="A157" s="63" t="n"/>
      <c r="B157" s="64" t="n"/>
      <c r="C157" s="64" t="n"/>
      <c r="D157" s="64" t="n"/>
      <c r="E157" s="64" t="n"/>
      <c r="F157" s="67" t="n"/>
      <c r="G157" s="67" t="n"/>
      <c r="H157" s="67" t="n"/>
      <c r="I157" s="67" t="n"/>
      <c r="J157" s="67" t="n"/>
      <c r="K157" s="76" t="str">
        <f>IF(AND(ISNUMBER($H157),$H157&gt;0,ISNUMBER($J157)),$J157/$H157,"")</f>
        <v/>
      </c>
      <c r="L157" s="77" t="str">
        <f>IF(AND(ISNUMBER($J157),$J157&gt;0,ISNUMBER($G157)),$G157/$J157,"")</f>
        <v/>
      </c>
      <c r="M157" s="67" t="n"/>
      <c r="N157" s="67" t="n"/>
      <c r="O157" s="72" t="str">
        <f>IF(AND(ISNUMBER($M157),$M157&gt;0,ISNUMBER($G157)),$G157/$M157,"")</f>
        <v/>
      </c>
      <c r="P157" s="73" t="str">
        <f>IF(AND(ISNUMBER($J157),$J157&gt;0,ISNUMBER($M157)),$M157/$J157,"")</f>
        <v/>
      </c>
      <c r="Q157" s="64" t="n"/>
      <c r="R157" s="64" t="n"/>
      <c r="S157" s="65" t="n"/>
      <c r="T157" s="65" t="n"/>
      <c r="U157" s="71" t="str">
        <f>IF(ISNUMBER($A157),YEAR($A157)&amp;"-"&amp;TEXT(MONTH($A157),"00"),"")</f>
        <v/>
      </c>
      <c r="V157" s="71">
        <f>IF($D157="",0,IF(AND(OR(fClient="All",$B157=fClient),OR(fCampaign="All",$C157=fCampaign),OR(fTeam="All",$R157=fTeam),OR(fChannel="All",$D157=fChannel),OR(fMonth="All",$U157=fMonth)),1,0))</f>
        <v>0</v>
      </c>
      <c r="W157" s="71">
        <f>IF($D157="",0,IF(AND(OR(fClient="All",$B157=fClient),OR(fCampaign="All",$C157=fCampaign),OR(fTeam="All",$R157=fTeam),OR(fChannel="All",$D157=fChannel)),1,0))</f>
        <v>0</v>
      </c>
    </row>
    <row r="158">
      <c r="A158" s="63" t="n"/>
      <c r="B158" s="64" t="n"/>
      <c r="C158" s="64" t="n"/>
      <c r="D158" s="64" t="n"/>
      <c r="E158" s="64" t="n"/>
      <c r="F158" s="67" t="n"/>
      <c r="G158" s="67" t="n"/>
      <c r="H158" s="67" t="n"/>
      <c r="I158" s="67" t="n"/>
      <c r="J158" s="67" t="n"/>
      <c r="K158" s="76" t="str">
        <f>IF(AND(ISNUMBER($H158),$H158&gt;0,ISNUMBER($J158)),$J158/$H158,"")</f>
        <v/>
      </c>
      <c r="L158" s="77" t="str">
        <f>IF(AND(ISNUMBER($J158),$J158&gt;0,ISNUMBER($G158)),$G158/$J158,"")</f>
        <v/>
      </c>
      <c r="M158" s="67" t="n"/>
      <c r="N158" s="67" t="n"/>
      <c r="O158" s="72" t="str">
        <f>IF(AND(ISNUMBER($M158),$M158&gt;0,ISNUMBER($G158)),$G158/$M158,"")</f>
        <v/>
      </c>
      <c r="P158" s="73" t="str">
        <f>IF(AND(ISNUMBER($J158),$J158&gt;0,ISNUMBER($M158)),$M158/$J158,"")</f>
        <v/>
      </c>
      <c r="Q158" s="64" t="n"/>
      <c r="R158" s="64" t="n"/>
      <c r="S158" s="65" t="n"/>
      <c r="T158" s="65" t="n"/>
      <c r="U158" s="71" t="str">
        <f>IF(ISNUMBER($A158),YEAR($A158)&amp;"-"&amp;TEXT(MONTH($A158),"00"),"")</f>
        <v/>
      </c>
      <c r="V158" s="71">
        <f>IF($D158="",0,IF(AND(OR(fClient="All",$B158=fClient),OR(fCampaign="All",$C158=fCampaign),OR(fTeam="All",$R158=fTeam),OR(fChannel="All",$D158=fChannel),OR(fMonth="All",$U158=fMonth)),1,0))</f>
        <v>0</v>
      </c>
      <c r="W158" s="71">
        <f>IF($D158="",0,IF(AND(OR(fClient="All",$B158=fClient),OR(fCampaign="All",$C158=fCampaign),OR(fTeam="All",$R158=fTeam),OR(fChannel="All",$D158=fChannel)),1,0))</f>
        <v>0</v>
      </c>
    </row>
    <row r="159">
      <c r="A159" s="63" t="n"/>
      <c r="B159" s="64" t="n"/>
      <c r="C159" s="64" t="n"/>
      <c r="D159" s="64" t="n"/>
      <c r="E159" s="64" t="n"/>
      <c r="F159" s="67" t="n"/>
      <c r="G159" s="67" t="n"/>
      <c r="H159" s="67" t="n"/>
      <c r="I159" s="67" t="n"/>
      <c r="J159" s="67" t="n"/>
      <c r="K159" s="76" t="str">
        <f>IF(AND(ISNUMBER($H159),$H159&gt;0,ISNUMBER($J159)),$J159/$H159,"")</f>
        <v/>
      </c>
      <c r="L159" s="77" t="str">
        <f>IF(AND(ISNUMBER($J159),$J159&gt;0,ISNUMBER($G159)),$G159/$J159,"")</f>
        <v/>
      </c>
      <c r="M159" s="67" t="n"/>
      <c r="N159" s="67" t="n"/>
      <c r="O159" s="72" t="str">
        <f>IF(AND(ISNUMBER($M159),$M159&gt;0,ISNUMBER($G159)),$G159/$M159,"")</f>
        <v/>
      </c>
      <c r="P159" s="73" t="str">
        <f>IF(AND(ISNUMBER($J159),$J159&gt;0,ISNUMBER($M159)),$M159/$J159,"")</f>
        <v/>
      </c>
      <c r="Q159" s="64" t="n"/>
      <c r="R159" s="64" t="n"/>
      <c r="S159" s="65" t="n"/>
      <c r="T159" s="65" t="n"/>
      <c r="U159" s="71" t="str">
        <f>IF(ISNUMBER($A159),YEAR($A159)&amp;"-"&amp;TEXT(MONTH($A159),"00"),"")</f>
        <v/>
      </c>
      <c r="V159" s="71">
        <f>IF($D159="",0,IF(AND(OR(fClient="All",$B159=fClient),OR(fCampaign="All",$C159=fCampaign),OR(fTeam="All",$R159=fTeam),OR(fChannel="All",$D159=fChannel),OR(fMonth="All",$U159=fMonth)),1,0))</f>
        <v>0</v>
      </c>
      <c r="W159" s="71">
        <f>IF($D159="",0,IF(AND(OR(fClient="All",$B159=fClient),OR(fCampaign="All",$C159=fCampaign),OR(fTeam="All",$R159=fTeam),OR(fChannel="All",$D159=fChannel)),1,0))</f>
        <v>0</v>
      </c>
    </row>
    <row r="160">
      <c r="A160" s="63" t="n"/>
      <c r="B160" s="64" t="n"/>
      <c r="C160" s="64" t="n"/>
      <c r="D160" s="64" t="n"/>
      <c r="E160" s="64" t="n"/>
      <c r="F160" s="67" t="n"/>
      <c r="G160" s="67" t="n"/>
      <c r="H160" s="67" t="n"/>
      <c r="I160" s="67" t="n"/>
      <c r="J160" s="67" t="n"/>
      <c r="K160" s="76" t="str">
        <f>IF(AND(ISNUMBER($H160),$H160&gt;0,ISNUMBER($J160)),$J160/$H160,"")</f>
        <v/>
      </c>
      <c r="L160" s="77" t="str">
        <f>IF(AND(ISNUMBER($J160),$J160&gt;0,ISNUMBER($G160)),$G160/$J160,"")</f>
        <v/>
      </c>
      <c r="M160" s="67" t="n"/>
      <c r="N160" s="67" t="n"/>
      <c r="O160" s="72" t="str">
        <f>IF(AND(ISNUMBER($M160),$M160&gt;0,ISNUMBER($G160)),$G160/$M160,"")</f>
        <v/>
      </c>
      <c r="P160" s="73" t="str">
        <f>IF(AND(ISNUMBER($J160),$J160&gt;0,ISNUMBER($M160)),$M160/$J160,"")</f>
        <v/>
      </c>
      <c r="Q160" s="64" t="n"/>
      <c r="R160" s="64" t="n"/>
      <c r="S160" s="65" t="n"/>
      <c r="T160" s="65" t="n"/>
      <c r="U160" s="71" t="str">
        <f>IF(ISNUMBER($A160),YEAR($A160)&amp;"-"&amp;TEXT(MONTH($A160),"00"),"")</f>
        <v/>
      </c>
      <c r="V160" s="71">
        <f>IF($D160="",0,IF(AND(OR(fClient="All",$B160=fClient),OR(fCampaign="All",$C160=fCampaign),OR(fTeam="All",$R160=fTeam),OR(fChannel="All",$D160=fChannel),OR(fMonth="All",$U160=fMonth)),1,0))</f>
        <v>0</v>
      </c>
      <c r="W160" s="71">
        <f>IF($D160="",0,IF(AND(OR(fClient="All",$B160=fClient),OR(fCampaign="All",$C160=fCampaign),OR(fTeam="All",$R160=fTeam),OR(fChannel="All",$D160=fChannel)),1,0))</f>
        <v>0</v>
      </c>
    </row>
    <row r="161">
      <c r="A161" s="63" t="n"/>
      <c r="B161" s="64" t="n"/>
      <c r="C161" s="64" t="n"/>
      <c r="D161" s="64" t="n"/>
      <c r="E161" s="64" t="n"/>
      <c r="F161" s="67" t="n"/>
      <c r="G161" s="67" t="n"/>
      <c r="H161" s="67" t="n"/>
      <c r="I161" s="67" t="n"/>
      <c r="J161" s="67" t="n"/>
      <c r="K161" s="76" t="str">
        <f>IF(AND(ISNUMBER($H161),$H161&gt;0,ISNUMBER($J161)),$J161/$H161,"")</f>
        <v/>
      </c>
      <c r="L161" s="77" t="str">
        <f>IF(AND(ISNUMBER($J161),$J161&gt;0,ISNUMBER($G161)),$G161/$J161,"")</f>
        <v/>
      </c>
      <c r="M161" s="67" t="n"/>
      <c r="N161" s="67" t="n"/>
      <c r="O161" s="72" t="str">
        <f>IF(AND(ISNUMBER($M161),$M161&gt;0,ISNUMBER($G161)),$G161/$M161,"")</f>
        <v/>
      </c>
      <c r="P161" s="73" t="str">
        <f>IF(AND(ISNUMBER($J161),$J161&gt;0,ISNUMBER($M161)),$M161/$J161,"")</f>
        <v/>
      </c>
      <c r="Q161" s="64" t="n"/>
      <c r="R161" s="64" t="n"/>
      <c r="S161" s="65" t="n"/>
      <c r="T161" s="65" t="n"/>
      <c r="U161" s="71" t="str">
        <f>IF(ISNUMBER($A161),YEAR($A161)&amp;"-"&amp;TEXT(MONTH($A161),"00"),"")</f>
        <v/>
      </c>
      <c r="V161" s="71">
        <f>IF($D161="",0,IF(AND(OR(fClient="All",$B161=fClient),OR(fCampaign="All",$C161=fCampaign),OR(fTeam="All",$R161=fTeam),OR(fChannel="All",$D161=fChannel),OR(fMonth="All",$U161=fMonth)),1,0))</f>
        <v>0</v>
      </c>
      <c r="W161" s="71">
        <f>IF($D161="",0,IF(AND(OR(fClient="All",$B161=fClient),OR(fCampaign="All",$C161=fCampaign),OR(fTeam="All",$R161=fTeam),OR(fChannel="All",$D161=fChannel)),1,0))</f>
        <v>0</v>
      </c>
    </row>
    <row r="162">
      <c r="A162" s="63" t="n"/>
      <c r="B162" s="64" t="n"/>
      <c r="C162" s="64" t="n"/>
      <c r="D162" s="64" t="n"/>
      <c r="E162" s="64" t="n"/>
      <c r="F162" s="67" t="n"/>
      <c r="G162" s="67" t="n"/>
      <c r="H162" s="67" t="n"/>
      <c r="I162" s="67" t="n"/>
      <c r="J162" s="67" t="n"/>
      <c r="K162" s="76" t="str">
        <f>IF(AND(ISNUMBER($H162),$H162&gt;0,ISNUMBER($J162)),$J162/$H162,"")</f>
        <v/>
      </c>
      <c r="L162" s="77" t="str">
        <f>IF(AND(ISNUMBER($J162),$J162&gt;0,ISNUMBER($G162)),$G162/$J162,"")</f>
        <v/>
      </c>
      <c r="M162" s="67" t="n"/>
      <c r="N162" s="67" t="n"/>
      <c r="O162" s="72" t="str">
        <f>IF(AND(ISNUMBER($M162),$M162&gt;0,ISNUMBER($G162)),$G162/$M162,"")</f>
        <v/>
      </c>
      <c r="P162" s="73" t="str">
        <f>IF(AND(ISNUMBER($J162),$J162&gt;0,ISNUMBER($M162)),$M162/$J162,"")</f>
        <v/>
      </c>
      <c r="Q162" s="64" t="n"/>
      <c r="R162" s="64" t="n"/>
      <c r="S162" s="65" t="n"/>
      <c r="T162" s="65" t="n"/>
      <c r="U162" s="71" t="str">
        <f>IF(ISNUMBER($A162),YEAR($A162)&amp;"-"&amp;TEXT(MONTH($A162),"00"),"")</f>
        <v/>
      </c>
      <c r="V162" s="71">
        <f>IF($D162="",0,IF(AND(OR(fClient="All",$B162=fClient),OR(fCampaign="All",$C162=fCampaign),OR(fTeam="All",$R162=fTeam),OR(fChannel="All",$D162=fChannel),OR(fMonth="All",$U162=fMonth)),1,0))</f>
        <v>0</v>
      </c>
      <c r="W162" s="71">
        <f>IF($D162="",0,IF(AND(OR(fClient="All",$B162=fClient),OR(fCampaign="All",$C162=fCampaign),OR(fTeam="All",$R162=fTeam),OR(fChannel="All",$D162=fChannel)),1,0))</f>
        <v>0</v>
      </c>
    </row>
    <row r="163">
      <c r="A163" s="63" t="n"/>
      <c r="B163" s="64" t="n"/>
      <c r="C163" s="64" t="n"/>
      <c r="D163" s="64" t="n"/>
      <c r="E163" s="64" t="n"/>
      <c r="F163" s="67" t="n"/>
      <c r="G163" s="67" t="n"/>
      <c r="H163" s="67" t="n"/>
      <c r="I163" s="67" t="n"/>
      <c r="J163" s="67" t="n"/>
      <c r="K163" s="76" t="str">
        <f>IF(AND(ISNUMBER($H163),$H163&gt;0,ISNUMBER($J163)),$J163/$H163,"")</f>
        <v/>
      </c>
      <c r="L163" s="77" t="str">
        <f>IF(AND(ISNUMBER($J163),$J163&gt;0,ISNUMBER($G163)),$G163/$J163,"")</f>
        <v/>
      </c>
      <c r="M163" s="67" t="n"/>
      <c r="N163" s="67" t="n"/>
      <c r="O163" s="72" t="str">
        <f>IF(AND(ISNUMBER($M163),$M163&gt;0,ISNUMBER($G163)),$G163/$M163,"")</f>
        <v/>
      </c>
      <c r="P163" s="73" t="str">
        <f>IF(AND(ISNUMBER($J163),$J163&gt;0,ISNUMBER($M163)),$M163/$J163,"")</f>
        <v/>
      </c>
      <c r="Q163" s="64" t="n"/>
      <c r="R163" s="64" t="n"/>
      <c r="S163" s="65" t="n"/>
      <c r="T163" s="65" t="n"/>
      <c r="U163" s="71" t="str">
        <f>IF(ISNUMBER($A163),YEAR($A163)&amp;"-"&amp;TEXT(MONTH($A163),"00"),"")</f>
        <v/>
      </c>
      <c r="V163" s="71">
        <f>IF($D163="",0,IF(AND(OR(fClient="All",$B163=fClient),OR(fCampaign="All",$C163=fCampaign),OR(fTeam="All",$R163=fTeam),OR(fChannel="All",$D163=fChannel),OR(fMonth="All",$U163=fMonth)),1,0))</f>
        <v>0</v>
      </c>
      <c r="W163" s="71">
        <f>IF($D163="",0,IF(AND(OR(fClient="All",$B163=fClient),OR(fCampaign="All",$C163=fCampaign),OR(fTeam="All",$R163=fTeam),OR(fChannel="All",$D163=fChannel)),1,0))</f>
        <v>0</v>
      </c>
    </row>
    <row r="164">
      <c r="A164" s="63" t="n"/>
      <c r="B164" s="64" t="n"/>
      <c r="C164" s="64" t="n"/>
      <c r="D164" s="64" t="n"/>
      <c r="E164" s="64" t="n"/>
      <c r="F164" s="67" t="n"/>
      <c r="G164" s="67" t="n"/>
      <c r="H164" s="67" t="n"/>
      <c r="I164" s="67" t="n"/>
      <c r="J164" s="67" t="n"/>
      <c r="K164" s="76" t="str">
        <f>IF(AND(ISNUMBER($H164),$H164&gt;0,ISNUMBER($J164)),$J164/$H164,"")</f>
        <v/>
      </c>
      <c r="L164" s="77" t="str">
        <f>IF(AND(ISNUMBER($J164),$J164&gt;0,ISNUMBER($G164)),$G164/$J164,"")</f>
        <v/>
      </c>
      <c r="M164" s="67" t="n"/>
      <c r="N164" s="67" t="n"/>
      <c r="O164" s="72" t="str">
        <f>IF(AND(ISNUMBER($M164),$M164&gt;0,ISNUMBER($G164)),$G164/$M164,"")</f>
        <v/>
      </c>
      <c r="P164" s="73" t="str">
        <f>IF(AND(ISNUMBER($J164),$J164&gt;0,ISNUMBER($M164)),$M164/$J164,"")</f>
        <v/>
      </c>
      <c r="Q164" s="64" t="n"/>
      <c r="R164" s="64" t="n"/>
      <c r="S164" s="65" t="n"/>
      <c r="T164" s="65" t="n"/>
      <c r="U164" s="71" t="str">
        <f>IF(ISNUMBER($A164),YEAR($A164)&amp;"-"&amp;TEXT(MONTH($A164),"00"),"")</f>
        <v/>
      </c>
      <c r="V164" s="71">
        <f>IF($D164="",0,IF(AND(OR(fClient="All",$B164=fClient),OR(fCampaign="All",$C164=fCampaign),OR(fTeam="All",$R164=fTeam),OR(fChannel="All",$D164=fChannel),OR(fMonth="All",$U164=fMonth)),1,0))</f>
        <v>0</v>
      </c>
      <c r="W164" s="71">
        <f>IF($D164="",0,IF(AND(OR(fClient="All",$B164=fClient),OR(fCampaign="All",$C164=fCampaign),OR(fTeam="All",$R164=fTeam),OR(fChannel="All",$D164=fChannel)),1,0))</f>
        <v>0</v>
      </c>
    </row>
    <row r="165">
      <c r="A165" s="63" t="n"/>
      <c r="B165" s="64" t="n"/>
      <c r="C165" s="64" t="n"/>
      <c r="D165" s="64" t="n"/>
      <c r="E165" s="64" t="n"/>
      <c r="F165" s="67" t="n"/>
      <c r="G165" s="67" t="n"/>
      <c r="H165" s="67" t="n"/>
      <c r="I165" s="67" t="n"/>
      <c r="J165" s="67" t="n"/>
      <c r="K165" s="76" t="str">
        <f>IF(AND(ISNUMBER($H165),$H165&gt;0,ISNUMBER($J165)),$J165/$H165,"")</f>
        <v/>
      </c>
      <c r="L165" s="77" t="str">
        <f>IF(AND(ISNUMBER($J165),$J165&gt;0,ISNUMBER($G165)),$G165/$J165,"")</f>
        <v/>
      </c>
      <c r="M165" s="67" t="n"/>
      <c r="N165" s="67" t="n"/>
      <c r="O165" s="72" t="str">
        <f>IF(AND(ISNUMBER($M165),$M165&gt;0,ISNUMBER($G165)),$G165/$M165,"")</f>
        <v/>
      </c>
      <c r="P165" s="73" t="str">
        <f>IF(AND(ISNUMBER($J165),$J165&gt;0,ISNUMBER($M165)),$M165/$J165,"")</f>
        <v/>
      </c>
      <c r="Q165" s="64" t="n"/>
      <c r="R165" s="64" t="n"/>
      <c r="S165" s="65" t="n"/>
      <c r="T165" s="65" t="n"/>
      <c r="U165" s="71" t="str">
        <f>IF(ISNUMBER($A165),YEAR($A165)&amp;"-"&amp;TEXT(MONTH($A165),"00"),"")</f>
        <v/>
      </c>
      <c r="V165" s="71">
        <f>IF($D165="",0,IF(AND(OR(fClient="All",$B165=fClient),OR(fCampaign="All",$C165=fCampaign),OR(fTeam="All",$R165=fTeam),OR(fChannel="All",$D165=fChannel),OR(fMonth="All",$U165=fMonth)),1,0))</f>
        <v>0</v>
      </c>
      <c r="W165" s="71">
        <f>IF($D165="",0,IF(AND(OR(fClient="All",$B165=fClient),OR(fCampaign="All",$C165=fCampaign),OR(fTeam="All",$R165=fTeam),OR(fChannel="All",$D165=fChannel)),1,0))</f>
        <v>0</v>
      </c>
    </row>
    <row r="166">
      <c r="A166" s="63" t="n"/>
      <c r="B166" s="64" t="n"/>
      <c r="C166" s="64" t="n"/>
      <c r="D166" s="64" t="n"/>
      <c r="E166" s="64" t="n"/>
      <c r="F166" s="67" t="n"/>
      <c r="G166" s="67" t="n"/>
      <c r="H166" s="67" t="n"/>
      <c r="I166" s="67" t="n"/>
      <c r="J166" s="67" t="n"/>
      <c r="K166" s="76" t="str">
        <f>IF(AND(ISNUMBER($H166),$H166&gt;0,ISNUMBER($J166)),$J166/$H166,"")</f>
        <v/>
      </c>
      <c r="L166" s="77" t="str">
        <f>IF(AND(ISNUMBER($J166),$J166&gt;0,ISNUMBER($G166)),$G166/$J166,"")</f>
        <v/>
      </c>
      <c r="M166" s="67" t="n"/>
      <c r="N166" s="67" t="n"/>
      <c r="O166" s="72" t="str">
        <f>IF(AND(ISNUMBER($M166),$M166&gt;0,ISNUMBER($G166)),$G166/$M166,"")</f>
        <v/>
      </c>
      <c r="P166" s="73" t="str">
        <f>IF(AND(ISNUMBER($J166),$J166&gt;0,ISNUMBER($M166)),$M166/$J166,"")</f>
        <v/>
      </c>
      <c r="Q166" s="64" t="n"/>
      <c r="R166" s="64" t="n"/>
      <c r="S166" s="65" t="n"/>
      <c r="T166" s="65" t="n"/>
      <c r="U166" s="71" t="str">
        <f>IF(ISNUMBER($A166),YEAR($A166)&amp;"-"&amp;TEXT(MONTH($A166),"00"),"")</f>
        <v/>
      </c>
      <c r="V166" s="71">
        <f>IF($D166="",0,IF(AND(OR(fClient="All",$B166=fClient),OR(fCampaign="All",$C166=fCampaign),OR(fTeam="All",$R166=fTeam),OR(fChannel="All",$D166=fChannel),OR(fMonth="All",$U166=fMonth)),1,0))</f>
        <v>0</v>
      </c>
      <c r="W166" s="71">
        <f>IF($D166="",0,IF(AND(OR(fClient="All",$B166=fClient),OR(fCampaign="All",$C166=fCampaign),OR(fTeam="All",$R166=fTeam),OR(fChannel="All",$D166=fChannel)),1,0))</f>
        <v>0</v>
      </c>
    </row>
    <row r="167">
      <c r="A167" s="63" t="n"/>
      <c r="B167" s="64" t="n"/>
      <c r="C167" s="64" t="n"/>
      <c r="D167" s="64" t="n"/>
      <c r="E167" s="64" t="n"/>
      <c r="F167" s="67" t="n"/>
      <c r="G167" s="67" t="n"/>
      <c r="H167" s="67" t="n"/>
      <c r="I167" s="67" t="n"/>
      <c r="J167" s="67" t="n"/>
      <c r="K167" s="76" t="str">
        <f>IF(AND(ISNUMBER($H167),$H167&gt;0,ISNUMBER($J167)),$J167/$H167,"")</f>
        <v/>
      </c>
      <c r="L167" s="77" t="str">
        <f>IF(AND(ISNUMBER($J167),$J167&gt;0,ISNUMBER($G167)),$G167/$J167,"")</f>
        <v/>
      </c>
      <c r="M167" s="67" t="n"/>
      <c r="N167" s="67" t="n"/>
      <c r="O167" s="72" t="str">
        <f>IF(AND(ISNUMBER($M167),$M167&gt;0,ISNUMBER($G167)),$G167/$M167,"")</f>
        <v/>
      </c>
      <c r="P167" s="73" t="str">
        <f>IF(AND(ISNUMBER($J167),$J167&gt;0,ISNUMBER($M167)),$M167/$J167,"")</f>
        <v/>
      </c>
      <c r="Q167" s="64" t="n"/>
      <c r="R167" s="64" t="n"/>
      <c r="S167" s="65" t="n"/>
      <c r="T167" s="65" t="n"/>
      <c r="U167" s="71" t="str">
        <f>IF(ISNUMBER($A167),YEAR($A167)&amp;"-"&amp;TEXT(MONTH($A167),"00"),"")</f>
        <v/>
      </c>
      <c r="V167" s="71">
        <f>IF($D167="",0,IF(AND(OR(fClient="All",$B167=fClient),OR(fCampaign="All",$C167=fCampaign),OR(fTeam="All",$R167=fTeam),OR(fChannel="All",$D167=fChannel),OR(fMonth="All",$U167=fMonth)),1,0))</f>
        <v>0</v>
      </c>
      <c r="W167" s="71">
        <f>IF($D167="",0,IF(AND(OR(fClient="All",$B167=fClient),OR(fCampaign="All",$C167=fCampaign),OR(fTeam="All",$R167=fTeam),OR(fChannel="All",$D167=fChannel)),1,0))</f>
        <v>0</v>
      </c>
    </row>
    <row r="168">
      <c r="A168" s="63" t="n"/>
      <c r="B168" s="64" t="n"/>
      <c r="C168" s="64" t="n"/>
      <c r="D168" s="64" t="n"/>
      <c r="E168" s="64" t="n"/>
      <c r="F168" s="67" t="n"/>
      <c r="G168" s="67" t="n"/>
      <c r="H168" s="67" t="n"/>
      <c r="I168" s="67" t="n"/>
      <c r="J168" s="67" t="n"/>
      <c r="K168" s="76" t="str">
        <f>IF(AND(ISNUMBER($H168),$H168&gt;0,ISNUMBER($J168)),$J168/$H168,"")</f>
        <v/>
      </c>
      <c r="L168" s="77" t="str">
        <f>IF(AND(ISNUMBER($J168),$J168&gt;0,ISNUMBER($G168)),$G168/$J168,"")</f>
        <v/>
      </c>
      <c r="M168" s="67" t="n"/>
      <c r="N168" s="67" t="n"/>
      <c r="O168" s="72" t="str">
        <f>IF(AND(ISNUMBER($M168),$M168&gt;0,ISNUMBER($G168)),$G168/$M168,"")</f>
        <v/>
      </c>
      <c r="P168" s="73" t="str">
        <f>IF(AND(ISNUMBER($J168),$J168&gt;0,ISNUMBER($M168)),$M168/$J168,"")</f>
        <v/>
      </c>
      <c r="Q168" s="64" t="n"/>
      <c r="R168" s="64" t="n"/>
      <c r="S168" s="65" t="n"/>
      <c r="T168" s="65" t="n"/>
      <c r="U168" s="71" t="str">
        <f>IF(ISNUMBER($A168),YEAR($A168)&amp;"-"&amp;TEXT(MONTH($A168),"00"),"")</f>
        <v/>
      </c>
      <c r="V168" s="71">
        <f>IF($D168="",0,IF(AND(OR(fClient="All",$B168=fClient),OR(fCampaign="All",$C168=fCampaign),OR(fTeam="All",$R168=fTeam),OR(fChannel="All",$D168=fChannel),OR(fMonth="All",$U168=fMonth)),1,0))</f>
        <v>0</v>
      </c>
      <c r="W168" s="71">
        <f>IF($D168="",0,IF(AND(OR(fClient="All",$B168=fClient),OR(fCampaign="All",$C168=fCampaign),OR(fTeam="All",$R168=fTeam),OR(fChannel="All",$D168=fChannel)),1,0))</f>
        <v>0</v>
      </c>
    </row>
    <row r="169">
      <c r="A169" s="63" t="n"/>
      <c r="B169" s="64" t="n"/>
      <c r="C169" s="64" t="n"/>
      <c r="D169" s="64" t="n"/>
      <c r="E169" s="64" t="n"/>
      <c r="F169" s="67" t="n"/>
      <c r="G169" s="67" t="n"/>
      <c r="H169" s="67" t="n"/>
      <c r="I169" s="67" t="n"/>
      <c r="J169" s="67" t="n"/>
      <c r="K169" s="76" t="str">
        <f>IF(AND(ISNUMBER($H169),$H169&gt;0,ISNUMBER($J169)),$J169/$H169,"")</f>
        <v/>
      </c>
      <c r="L169" s="77" t="str">
        <f>IF(AND(ISNUMBER($J169),$J169&gt;0,ISNUMBER($G169)),$G169/$J169,"")</f>
        <v/>
      </c>
      <c r="M169" s="67" t="n"/>
      <c r="N169" s="67" t="n"/>
      <c r="O169" s="72" t="str">
        <f>IF(AND(ISNUMBER($M169),$M169&gt;0,ISNUMBER($G169)),$G169/$M169,"")</f>
        <v/>
      </c>
      <c r="P169" s="73" t="str">
        <f>IF(AND(ISNUMBER($J169),$J169&gt;0,ISNUMBER($M169)),$M169/$J169,"")</f>
        <v/>
      </c>
      <c r="Q169" s="64" t="n"/>
      <c r="R169" s="64" t="n"/>
      <c r="S169" s="65" t="n"/>
      <c r="T169" s="65" t="n"/>
      <c r="U169" s="71" t="str">
        <f>IF(ISNUMBER($A169),YEAR($A169)&amp;"-"&amp;TEXT(MONTH($A169),"00"),"")</f>
        <v/>
      </c>
      <c r="V169" s="71">
        <f>IF($D169="",0,IF(AND(OR(fClient="All",$B169=fClient),OR(fCampaign="All",$C169=fCampaign),OR(fTeam="All",$R169=fTeam),OR(fChannel="All",$D169=fChannel),OR(fMonth="All",$U169=fMonth)),1,0))</f>
        <v>0</v>
      </c>
      <c r="W169" s="71">
        <f>IF($D169="",0,IF(AND(OR(fClient="All",$B169=fClient),OR(fCampaign="All",$C169=fCampaign),OR(fTeam="All",$R169=fTeam),OR(fChannel="All",$D169=fChannel)),1,0))</f>
        <v>0</v>
      </c>
    </row>
    <row r="170">
      <c r="A170" s="63" t="n"/>
      <c r="B170" s="64" t="n"/>
      <c r="C170" s="64" t="n"/>
      <c r="D170" s="64" t="n"/>
      <c r="E170" s="64" t="n"/>
      <c r="F170" s="67" t="n"/>
      <c r="G170" s="67" t="n"/>
      <c r="H170" s="67" t="n"/>
      <c r="I170" s="67" t="n"/>
      <c r="J170" s="67" t="n"/>
      <c r="K170" s="76" t="str">
        <f>IF(AND(ISNUMBER($H170),$H170&gt;0,ISNUMBER($J170)),$J170/$H170,"")</f>
        <v/>
      </c>
      <c r="L170" s="77" t="str">
        <f>IF(AND(ISNUMBER($J170),$J170&gt;0,ISNUMBER($G170)),$G170/$J170,"")</f>
        <v/>
      </c>
      <c r="M170" s="67" t="n"/>
      <c r="N170" s="67" t="n"/>
      <c r="O170" s="72" t="str">
        <f>IF(AND(ISNUMBER($M170),$M170&gt;0,ISNUMBER($G170)),$G170/$M170,"")</f>
        <v/>
      </c>
      <c r="P170" s="73" t="str">
        <f>IF(AND(ISNUMBER($J170),$J170&gt;0,ISNUMBER($M170)),$M170/$J170,"")</f>
        <v/>
      </c>
      <c r="Q170" s="64" t="n"/>
      <c r="R170" s="64" t="n"/>
      <c r="S170" s="65" t="n"/>
      <c r="T170" s="65" t="n"/>
      <c r="U170" s="71" t="str">
        <f>IF(ISNUMBER($A170),YEAR($A170)&amp;"-"&amp;TEXT(MONTH($A170),"00"),"")</f>
        <v/>
      </c>
      <c r="V170" s="71">
        <f>IF($D170="",0,IF(AND(OR(fClient="All",$B170=fClient),OR(fCampaign="All",$C170=fCampaign),OR(fTeam="All",$R170=fTeam),OR(fChannel="All",$D170=fChannel),OR(fMonth="All",$U170=fMonth)),1,0))</f>
        <v>0</v>
      </c>
      <c r="W170" s="71">
        <f>IF($D170="",0,IF(AND(OR(fClient="All",$B170=fClient),OR(fCampaign="All",$C170=fCampaign),OR(fTeam="All",$R170=fTeam),OR(fChannel="All",$D170=fChannel)),1,0))</f>
        <v>0</v>
      </c>
    </row>
    <row r="171">
      <c r="A171" s="63" t="n"/>
      <c r="B171" s="64" t="n"/>
      <c r="C171" s="64" t="n"/>
      <c r="D171" s="64" t="n"/>
      <c r="E171" s="64" t="n"/>
      <c r="F171" s="67" t="n"/>
      <c r="G171" s="67" t="n"/>
      <c r="H171" s="67" t="n"/>
      <c r="I171" s="67" t="n"/>
      <c r="J171" s="67" t="n"/>
      <c r="K171" s="76" t="str">
        <f>IF(AND(ISNUMBER($H171),$H171&gt;0,ISNUMBER($J171)),$J171/$H171,"")</f>
        <v/>
      </c>
      <c r="L171" s="77" t="str">
        <f>IF(AND(ISNUMBER($J171),$J171&gt;0,ISNUMBER($G171)),$G171/$J171,"")</f>
        <v/>
      </c>
      <c r="M171" s="67" t="n"/>
      <c r="N171" s="67" t="n"/>
      <c r="O171" s="72" t="str">
        <f>IF(AND(ISNUMBER($M171),$M171&gt;0,ISNUMBER($G171)),$G171/$M171,"")</f>
        <v/>
      </c>
      <c r="P171" s="73" t="str">
        <f>IF(AND(ISNUMBER($J171),$J171&gt;0,ISNUMBER($M171)),$M171/$J171,"")</f>
        <v/>
      </c>
      <c r="Q171" s="64" t="n"/>
      <c r="R171" s="64" t="n"/>
      <c r="S171" s="65" t="n"/>
      <c r="T171" s="65" t="n"/>
      <c r="U171" s="71" t="str">
        <f>IF(ISNUMBER($A171),YEAR($A171)&amp;"-"&amp;TEXT(MONTH($A171),"00"),"")</f>
        <v/>
      </c>
      <c r="V171" s="71">
        <f>IF($D171="",0,IF(AND(OR(fClient="All",$B171=fClient),OR(fCampaign="All",$C171=fCampaign),OR(fTeam="All",$R171=fTeam),OR(fChannel="All",$D171=fChannel),OR(fMonth="All",$U171=fMonth)),1,0))</f>
        <v>0</v>
      </c>
      <c r="W171" s="71">
        <f>IF($D171="",0,IF(AND(OR(fClient="All",$B171=fClient),OR(fCampaign="All",$C171=fCampaign),OR(fTeam="All",$R171=fTeam),OR(fChannel="All",$D171=fChannel)),1,0))</f>
        <v>0</v>
      </c>
    </row>
    <row r="172">
      <c r="A172" s="63" t="n"/>
      <c r="B172" s="64" t="n"/>
      <c r="C172" s="64" t="n"/>
      <c r="D172" s="64" t="n"/>
      <c r="E172" s="64" t="n"/>
      <c r="F172" s="67" t="n"/>
      <c r="G172" s="67" t="n"/>
      <c r="H172" s="67" t="n"/>
      <c r="I172" s="67" t="n"/>
      <c r="J172" s="67" t="n"/>
      <c r="K172" s="76" t="str">
        <f>IF(AND(ISNUMBER($H172),$H172&gt;0,ISNUMBER($J172)),$J172/$H172,"")</f>
        <v/>
      </c>
      <c r="L172" s="77" t="str">
        <f>IF(AND(ISNUMBER($J172),$J172&gt;0,ISNUMBER($G172)),$G172/$J172,"")</f>
        <v/>
      </c>
      <c r="M172" s="67" t="n"/>
      <c r="N172" s="67" t="n"/>
      <c r="O172" s="72" t="str">
        <f>IF(AND(ISNUMBER($M172),$M172&gt;0,ISNUMBER($G172)),$G172/$M172,"")</f>
        <v/>
      </c>
      <c r="P172" s="73" t="str">
        <f>IF(AND(ISNUMBER($J172),$J172&gt;0,ISNUMBER($M172)),$M172/$J172,"")</f>
        <v/>
      </c>
      <c r="Q172" s="64" t="n"/>
      <c r="R172" s="64" t="n"/>
      <c r="S172" s="65" t="n"/>
      <c r="T172" s="65" t="n"/>
      <c r="U172" s="71" t="str">
        <f>IF(ISNUMBER($A172),YEAR($A172)&amp;"-"&amp;TEXT(MONTH($A172),"00"),"")</f>
        <v/>
      </c>
      <c r="V172" s="71">
        <f>IF($D172="",0,IF(AND(OR(fClient="All",$B172=fClient),OR(fCampaign="All",$C172=fCampaign),OR(fTeam="All",$R172=fTeam),OR(fChannel="All",$D172=fChannel),OR(fMonth="All",$U172=fMonth)),1,0))</f>
        <v>0</v>
      </c>
      <c r="W172" s="71">
        <f>IF($D172="",0,IF(AND(OR(fClient="All",$B172=fClient),OR(fCampaign="All",$C172=fCampaign),OR(fTeam="All",$R172=fTeam),OR(fChannel="All",$D172=fChannel)),1,0))</f>
        <v>0</v>
      </c>
    </row>
    <row r="173">
      <c r="A173" s="63" t="n"/>
      <c r="B173" s="64" t="n"/>
      <c r="C173" s="64" t="n"/>
      <c r="D173" s="64" t="n"/>
      <c r="E173" s="64" t="n"/>
      <c r="F173" s="67" t="n"/>
      <c r="G173" s="67" t="n"/>
      <c r="H173" s="67" t="n"/>
      <c r="I173" s="67" t="n"/>
      <c r="J173" s="67" t="n"/>
      <c r="K173" s="76" t="str">
        <f>IF(AND(ISNUMBER($H173),$H173&gt;0,ISNUMBER($J173)),$J173/$H173,"")</f>
        <v/>
      </c>
      <c r="L173" s="77" t="str">
        <f>IF(AND(ISNUMBER($J173),$J173&gt;0,ISNUMBER($G173)),$G173/$J173,"")</f>
        <v/>
      </c>
      <c r="M173" s="67" t="n"/>
      <c r="N173" s="67" t="n"/>
      <c r="O173" s="72" t="str">
        <f>IF(AND(ISNUMBER($M173),$M173&gt;0,ISNUMBER($G173)),$G173/$M173,"")</f>
        <v/>
      </c>
      <c r="P173" s="73" t="str">
        <f>IF(AND(ISNUMBER($J173),$J173&gt;0,ISNUMBER($M173)),$M173/$J173,"")</f>
        <v/>
      </c>
      <c r="Q173" s="64" t="n"/>
      <c r="R173" s="64" t="n"/>
      <c r="S173" s="65" t="n"/>
      <c r="T173" s="65" t="n"/>
      <c r="U173" s="71" t="str">
        <f>IF(ISNUMBER($A173),YEAR($A173)&amp;"-"&amp;TEXT(MONTH($A173),"00"),"")</f>
        <v/>
      </c>
      <c r="V173" s="71">
        <f>IF($D173="",0,IF(AND(OR(fClient="All",$B173=fClient),OR(fCampaign="All",$C173=fCampaign),OR(fTeam="All",$R173=fTeam),OR(fChannel="All",$D173=fChannel),OR(fMonth="All",$U173=fMonth)),1,0))</f>
        <v>0</v>
      </c>
      <c r="W173" s="71">
        <f>IF($D173="",0,IF(AND(OR(fClient="All",$B173=fClient),OR(fCampaign="All",$C173=fCampaign),OR(fTeam="All",$R173=fTeam),OR(fChannel="All",$D173=fChannel)),1,0))</f>
        <v>0</v>
      </c>
    </row>
    <row r="174">
      <c r="A174" s="63" t="n"/>
      <c r="B174" s="64" t="n"/>
      <c r="C174" s="64" t="n"/>
      <c r="D174" s="64" t="n"/>
      <c r="E174" s="64" t="n"/>
      <c r="F174" s="67" t="n"/>
      <c r="G174" s="67" t="n"/>
      <c r="H174" s="67" t="n"/>
      <c r="I174" s="67" t="n"/>
      <c r="J174" s="67" t="n"/>
      <c r="K174" s="76" t="str">
        <f>IF(AND(ISNUMBER($H174),$H174&gt;0,ISNUMBER($J174)),$J174/$H174,"")</f>
        <v/>
      </c>
      <c r="L174" s="77" t="str">
        <f>IF(AND(ISNUMBER($J174),$J174&gt;0,ISNUMBER($G174)),$G174/$J174,"")</f>
        <v/>
      </c>
      <c r="M174" s="67" t="n"/>
      <c r="N174" s="67" t="n"/>
      <c r="O174" s="72" t="str">
        <f>IF(AND(ISNUMBER($M174),$M174&gt;0,ISNUMBER($G174)),$G174/$M174,"")</f>
        <v/>
      </c>
      <c r="P174" s="73" t="str">
        <f>IF(AND(ISNUMBER($J174),$J174&gt;0,ISNUMBER($M174)),$M174/$J174,"")</f>
        <v/>
      </c>
      <c r="Q174" s="64" t="n"/>
      <c r="R174" s="64" t="n"/>
      <c r="S174" s="65" t="n"/>
      <c r="T174" s="65" t="n"/>
      <c r="U174" s="71" t="str">
        <f>IF(ISNUMBER($A174),YEAR($A174)&amp;"-"&amp;TEXT(MONTH($A174),"00"),"")</f>
        <v/>
      </c>
      <c r="V174" s="71">
        <f>IF($D174="",0,IF(AND(OR(fClient="All",$B174=fClient),OR(fCampaign="All",$C174=fCampaign),OR(fTeam="All",$R174=fTeam),OR(fChannel="All",$D174=fChannel),OR(fMonth="All",$U174=fMonth)),1,0))</f>
        <v>0</v>
      </c>
      <c r="W174" s="71">
        <f>IF($D174="",0,IF(AND(OR(fClient="All",$B174=fClient),OR(fCampaign="All",$C174=fCampaign),OR(fTeam="All",$R174=fTeam),OR(fChannel="All",$D174=fChannel)),1,0))</f>
        <v>0</v>
      </c>
    </row>
    <row r="175">
      <c r="A175" s="63" t="n"/>
      <c r="B175" s="64" t="n"/>
      <c r="C175" s="64" t="n"/>
      <c r="D175" s="64" t="n"/>
      <c r="E175" s="64" t="n"/>
      <c r="F175" s="67" t="n"/>
      <c r="G175" s="67" t="n"/>
      <c r="H175" s="67" t="n"/>
      <c r="I175" s="67" t="n"/>
      <c r="J175" s="67" t="n"/>
      <c r="K175" s="76" t="str">
        <f>IF(AND(ISNUMBER($H175),$H175&gt;0,ISNUMBER($J175)),$J175/$H175,"")</f>
        <v/>
      </c>
      <c r="L175" s="77" t="str">
        <f>IF(AND(ISNUMBER($J175),$J175&gt;0,ISNUMBER($G175)),$G175/$J175,"")</f>
        <v/>
      </c>
      <c r="M175" s="67" t="n"/>
      <c r="N175" s="67" t="n"/>
      <c r="O175" s="72" t="str">
        <f>IF(AND(ISNUMBER($M175),$M175&gt;0,ISNUMBER($G175)),$G175/$M175,"")</f>
        <v/>
      </c>
      <c r="P175" s="73" t="str">
        <f>IF(AND(ISNUMBER($J175),$J175&gt;0,ISNUMBER($M175)),$M175/$J175,"")</f>
        <v/>
      </c>
      <c r="Q175" s="64" t="n"/>
      <c r="R175" s="64" t="n"/>
      <c r="S175" s="65" t="n"/>
      <c r="T175" s="65" t="n"/>
      <c r="U175" s="71" t="str">
        <f>IF(ISNUMBER($A175),YEAR($A175)&amp;"-"&amp;TEXT(MONTH($A175),"00"),"")</f>
        <v/>
      </c>
      <c r="V175" s="71">
        <f>IF($D175="",0,IF(AND(OR(fClient="All",$B175=fClient),OR(fCampaign="All",$C175=fCampaign),OR(fTeam="All",$R175=fTeam),OR(fChannel="All",$D175=fChannel),OR(fMonth="All",$U175=fMonth)),1,0))</f>
        <v>0</v>
      </c>
      <c r="W175" s="71">
        <f>IF($D175="",0,IF(AND(OR(fClient="All",$B175=fClient),OR(fCampaign="All",$C175=fCampaign),OR(fTeam="All",$R175=fTeam),OR(fChannel="All",$D175=fChannel)),1,0))</f>
        <v>0</v>
      </c>
    </row>
    <row r="176">
      <c r="A176" s="63" t="n"/>
      <c r="B176" s="64" t="n"/>
      <c r="C176" s="64" t="n"/>
      <c r="D176" s="64" t="n"/>
      <c r="E176" s="64" t="n"/>
      <c r="F176" s="67" t="n"/>
      <c r="G176" s="67" t="n"/>
      <c r="H176" s="67" t="n"/>
      <c r="I176" s="67" t="n"/>
      <c r="J176" s="67" t="n"/>
      <c r="K176" s="76" t="str">
        <f>IF(AND(ISNUMBER($H176),$H176&gt;0,ISNUMBER($J176)),$J176/$H176,"")</f>
        <v/>
      </c>
      <c r="L176" s="77" t="str">
        <f>IF(AND(ISNUMBER($J176),$J176&gt;0,ISNUMBER($G176)),$G176/$J176,"")</f>
        <v/>
      </c>
      <c r="M176" s="67" t="n"/>
      <c r="N176" s="67" t="n"/>
      <c r="O176" s="72" t="str">
        <f>IF(AND(ISNUMBER($M176),$M176&gt;0,ISNUMBER($G176)),$G176/$M176,"")</f>
        <v/>
      </c>
      <c r="P176" s="73" t="str">
        <f>IF(AND(ISNUMBER($J176),$J176&gt;0,ISNUMBER($M176)),$M176/$J176,"")</f>
        <v/>
      </c>
      <c r="Q176" s="64" t="n"/>
      <c r="R176" s="64" t="n"/>
      <c r="S176" s="65" t="n"/>
      <c r="T176" s="65" t="n"/>
      <c r="U176" s="71" t="str">
        <f>IF(ISNUMBER($A176),YEAR($A176)&amp;"-"&amp;TEXT(MONTH($A176),"00"),"")</f>
        <v/>
      </c>
      <c r="V176" s="71">
        <f>IF($D176="",0,IF(AND(OR(fClient="All",$B176=fClient),OR(fCampaign="All",$C176=fCampaign),OR(fTeam="All",$R176=fTeam),OR(fChannel="All",$D176=fChannel),OR(fMonth="All",$U176=fMonth)),1,0))</f>
        <v>0</v>
      </c>
      <c r="W176" s="71">
        <f>IF($D176="",0,IF(AND(OR(fClient="All",$B176=fClient),OR(fCampaign="All",$C176=fCampaign),OR(fTeam="All",$R176=fTeam),OR(fChannel="All",$D176=fChannel)),1,0))</f>
        <v>0</v>
      </c>
    </row>
    <row r="177">
      <c r="A177" s="63" t="n"/>
      <c r="B177" s="64" t="n"/>
      <c r="C177" s="64" t="n"/>
      <c r="D177" s="64" t="n"/>
      <c r="E177" s="64" t="n"/>
      <c r="F177" s="67" t="n"/>
      <c r="G177" s="67" t="n"/>
      <c r="H177" s="67" t="n"/>
      <c r="I177" s="67" t="n"/>
      <c r="J177" s="67" t="n"/>
      <c r="K177" s="76" t="str">
        <f>IF(AND(ISNUMBER($H177),$H177&gt;0,ISNUMBER($J177)),$J177/$H177,"")</f>
        <v/>
      </c>
      <c r="L177" s="77" t="str">
        <f>IF(AND(ISNUMBER($J177),$J177&gt;0,ISNUMBER($G177)),$G177/$J177,"")</f>
        <v/>
      </c>
      <c r="M177" s="67" t="n"/>
      <c r="N177" s="67" t="n"/>
      <c r="O177" s="72" t="str">
        <f>IF(AND(ISNUMBER($M177),$M177&gt;0,ISNUMBER($G177)),$G177/$M177,"")</f>
        <v/>
      </c>
      <c r="P177" s="73" t="str">
        <f>IF(AND(ISNUMBER($J177),$J177&gt;0,ISNUMBER($M177)),$M177/$J177,"")</f>
        <v/>
      </c>
      <c r="Q177" s="64" t="n"/>
      <c r="R177" s="64" t="n"/>
      <c r="S177" s="65" t="n"/>
      <c r="T177" s="65" t="n"/>
      <c r="U177" s="71" t="str">
        <f>IF(ISNUMBER($A177),YEAR($A177)&amp;"-"&amp;TEXT(MONTH($A177),"00"),"")</f>
        <v/>
      </c>
      <c r="V177" s="71">
        <f>IF($D177="",0,IF(AND(OR(fClient="All",$B177=fClient),OR(fCampaign="All",$C177=fCampaign),OR(fTeam="All",$R177=fTeam),OR(fChannel="All",$D177=fChannel),OR(fMonth="All",$U177=fMonth)),1,0))</f>
        <v>0</v>
      </c>
      <c r="W177" s="71">
        <f>IF($D177="",0,IF(AND(OR(fClient="All",$B177=fClient),OR(fCampaign="All",$C177=fCampaign),OR(fTeam="All",$R177=fTeam),OR(fChannel="All",$D177=fChannel)),1,0))</f>
        <v>0</v>
      </c>
    </row>
    <row r="178">
      <c r="A178" s="63" t="n"/>
      <c r="B178" s="64" t="n"/>
      <c r="C178" s="64" t="n"/>
      <c r="D178" s="64" t="n"/>
      <c r="E178" s="64" t="n"/>
      <c r="F178" s="67" t="n"/>
      <c r="G178" s="67" t="n"/>
      <c r="H178" s="67" t="n"/>
      <c r="I178" s="67" t="n"/>
      <c r="J178" s="67" t="n"/>
      <c r="K178" s="76" t="str">
        <f>IF(AND(ISNUMBER($H178),$H178&gt;0,ISNUMBER($J178)),$J178/$H178,"")</f>
        <v/>
      </c>
      <c r="L178" s="77" t="str">
        <f>IF(AND(ISNUMBER($J178),$J178&gt;0,ISNUMBER($G178)),$G178/$J178,"")</f>
        <v/>
      </c>
      <c r="M178" s="67" t="n"/>
      <c r="N178" s="67" t="n"/>
      <c r="O178" s="72" t="str">
        <f>IF(AND(ISNUMBER($M178),$M178&gt;0,ISNUMBER($G178)),$G178/$M178,"")</f>
        <v/>
      </c>
      <c r="P178" s="73" t="str">
        <f>IF(AND(ISNUMBER($J178),$J178&gt;0,ISNUMBER($M178)),$M178/$J178,"")</f>
        <v/>
      </c>
      <c r="Q178" s="64" t="n"/>
      <c r="R178" s="64" t="n"/>
      <c r="S178" s="65" t="n"/>
      <c r="T178" s="65" t="n"/>
      <c r="U178" s="71" t="str">
        <f>IF(ISNUMBER($A178),YEAR($A178)&amp;"-"&amp;TEXT(MONTH($A178),"00"),"")</f>
        <v/>
      </c>
      <c r="V178" s="71">
        <f>IF($D178="",0,IF(AND(OR(fClient="All",$B178=fClient),OR(fCampaign="All",$C178=fCampaign),OR(fTeam="All",$R178=fTeam),OR(fChannel="All",$D178=fChannel),OR(fMonth="All",$U178=fMonth)),1,0))</f>
        <v>0</v>
      </c>
      <c r="W178" s="71">
        <f>IF($D178="",0,IF(AND(OR(fClient="All",$B178=fClient),OR(fCampaign="All",$C178=fCampaign),OR(fTeam="All",$R178=fTeam),OR(fChannel="All",$D178=fChannel)),1,0))</f>
        <v>0</v>
      </c>
    </row>
    <row r="179">
      <c r="A179" s="63" t="n"/>
      <c r="B179" s="64" t="n"/>
      <c r="C179" s="64" t="n"/>
      <c r="D179" s="64" t="n"/>
      <c r="E179" s="64" t="n"/>
      <c r="F179" s="67" t="n"/>
      <c r="G179" s="67" t="n"/>
      <c r="H179" s="67" t="n"/>
      <c r="I179" s="67" t="n"/>
      <c r="J179" s="67" t="n"/>
      <c r="K179" s="76" t="str">
        <f>IF(AND(ISNUMBER($H179),$H179&gt;0,ISNUMBER($J179)),$J179/$H179,"")</f>
        <v/>
      </c>
      <c r="L179" s="77" t="str">
        <f>IF(AND(ISNUMBER($J179),$J179&gt;0,ISNUMBER($G179)),$G179/$J179,"")</f>
        <v/>
      </c>
      <c r="M179" s="67" t="n"/>
      <c r="N179" s="67" t="n"/>
      <c r="O179" s="72" t="str">
        <f>IF(AND(ISNUMBER($M179),$M179&gt;0,ISNUMBER($G179)),$G179/$M179,"")</f>
        <v/>
      </c>
      <c r="P179" s="73" t="str">
        <f>IF(AND(ISNUMBER($J179),$J179&gt;0,ISNUMBER($M179)),$M179/$J179,"")</f>
        <v/>
      </c>
      <c r="Q179" s="64" t="n"/>
      <c r="R179" s="64" t="n"/>
      <c r="S179" s="65" t="n"/>
      <c r="T179" s="65" t="n"/>
      <c r="U179" s="71" t="str">
        <f>IF(ISNUMBER($A179),YEAR($A179)&amp;"-"&amp;TEXT(MONTH($A179),"00"),"")</f>
        <v/>
      </c>
      <c r="V179" s="71">
        <f>IF($D179="",0,IF(AND(OR(fClient="All",$B179=fClient),OR(fCampaign="All",$C179=fCampaign),OR(fTeam="All",$R179=fTeam),OR(fChannel="All",$D179=fChannel),OR(fMonth="All",$U179=fMonth)),1,0))</f>
        <v>0</v>
      </c>
      <c r="W179" s="71">
        <f>IF($D179="",0,IF(AND(OR(fClient="All",$B179=fClient),OR(fCampaign="All",$C179=fCampaign),OR(fTeam="All",$R179=fTeam),OR(fChannel="All",$D179=fChannel)),1,0))</f>
        <v>0</v>
      </c>
    </row>
    <row r="180">
      <c r="A180" s="63" t="n"/>
      <c r="B180" s="64" t="n"/>
      <c r="C180" s="64" t="n"/>
      <c r="D180" s="64" t="n"/>
      <c r="E180" s="64" t="n"/>
      <c r="F180" s="67" t="n"/>
      <c r="G180" s="67" t="n"/>
      <c r="H180" s="67" t="n"/>
      <c r="I180" s="67" t="n"/>
      <c r="J180" s="67" t="n"/>
      <c r="K180" s="76" t="str">
        <f>IF(AND(ISNUMBER($H180),$H180&gt;0,ISNUMBER($J180)),$J180/$H180,"")</f>
        <v/>
      </c>
      <c r="L180" s="77" t="str">
        <f>IF(AND(ISNUMBER($J180),$J180&gt;0,ISNUMBER($G180)),$G180/$J180,"")</f>
        <v/>
      </c>
      <c r="M180" s="67" t="n"/>
      <c r="N180" s="67" t="n"/>
      <c r="O180" s="72" t="str">
        <f>IF(AND(ISNUMBER($M180),$M180&gt;0,ISNUMBER($G180)),$G180/$M180,"")</f>
        <v/>
      </c>
      <c r="P180" s="73" t="str">
        <f>IF(AND(ISNUMBER($J180),$J180&gt;0,ISNUMBER($M180)),$M180/$J180,"")</f>
        <v/>
      </c>
      <c r="Q180" s="64" t="n"/>
      <c r="R180" s="64" t="n"/>
      <c r="S180" s="65" t="n"/>
      <c r="T180" s="65" t="n"/>
      <c r="U180" s="71" t="str">
        <f>IF(ISNUMBER($A180),YEAR($A180)&amp;"-"&amp;TEXT(MONTH($A180),"00"),"")</f>
        <v/>
      </c>
      <c r="V180" s="71">
        <f>IF($D180="",0,IF(AND(OR(fClient="All",$B180=fClient),OR(fCampaign="All",$C180=fCampaign),OR(fTeam="All",$R180=fTeam),OR(fChannel="All",$D180=fChannel),OR(fMonth="All",$U180=fMonth)),1,0))</f>
        <v>0</v>
      </c>
      <c r="W180" s="71">
        <f>IF($D180="",0,IF(AND(OR(fClient="All",$B180=fClient),OR(fCampaign="All",$C180=fCampaign),OR(fTeam="All",$R180=fTeam),OR(fChannel="All",$D180=fChannel)),1,0))</f>
        <v>0</v>
      </c>
    </row>
    <row r="181">
      <c r="A181" s="63" t="n"/>
      <c r="B181" s="64" t="n"/>
      <c r="C181" s="64" t="n"/>
      <c r="D181" s="64" t="n"/>
      <c r="E181" s="64" t="n"/>
      <c r="F181" s="67" t="n"/>
      <c r="G181" s="67" t="n"/>
      <c r="H181" s="67" t="n"/>
      <c r="I181" s="67" t="n"/>
      <c r="J181" s="67" t="n"/>
      <c r="K181" s="76" t="str">
        <f>IF(AND(ISNUMBER($H181),$H181&gt;0,ISNUMBER($J181)),$J181/$H181,"")</f>
        <v/>
      </c>
      <c r="L181" s="77" t="str">
        <f>IF(AND(ISNUMBER($J181),$J181&gt;0,ISNUMBER($G181)),$G181/$J181,"")</f>
        <v/>
      </c>
      <c r="M181" s="67" t="n"/>
      <c r="N181" s="67" t="n"/>
      <c r="O181" s="72" t="str">
        <f>IF(AND(ISNUMBER($M181),$M181&gt;0,ISNUMBER($G181)),$G181/$M181,"")</f>
        <v/>
      </c>
      <c r="P181" s="73" t="str">
        <f>IF(AND(ISNUMBER($J181),$J181&gt;0,ISNUMBER($M181)),$M181/$J181,"")</f>
        <v/>
      </c>
      <c r="Q181" s="64" t="n"/>
      <c r="R181" s="64" t="n"/>
      <c r="S181" s="65" t="n"/>
      <c r="T181" s="65" t="n"/>
      <c r="U181" s="71" t="str">
        <f>IF(ISNUMBER($A181),YEAR($A181)&amp;"-"&amp;TEXT(MONTH($A181),"00"),"")</f>
        <v/>
      </c>
      <c r="V181" s="71">
        <f>IF($D181="",0,IF(AND(OR(fClient="All",$B181=fClient),OR(fCampaign="All",$C181=fCampaign),OR(fTeam="All",$R181=fTeam),OR(fChannel="All",$D181=fChannel),OR(fMonth="All",$U181=fMonth)),1,0))</f>
        <v>0</v>
      </c>
      <c r="W181" s="71">
        <f>IF($D181="",0,IF(AND(OR(fClient="All",$B181=fClient),OR(fCampaign="All",$C181=fCampaign),OR(fTeam="All",$R181=fTeam),OR(fChannel="All",$D181=fChannel)),1,0))</f>
        <v>0</v>
      </c>
    </row>
    <row r="182">
      <c r="A182" s="63" t="n"/>
      <c r="B182" s="64" t="n"/>
      <c r="C182" s="64" t="n"/>
      <c r="D182" s="64" t="n"/>
      <c r="E182" s="64" t="n"/>
      <c r="F182" s="67" t="n"/>
      <c r="G182" s="67" t="n"/>
      <c r="H182" s="67" t="n"/>
      <c r="I182" s="67" t="n"/>
      <c r="J182" s="67" t="n"/>
      <c r="K182" s="76" t="str">
        <f>IF(AND(ISNUMBER($H182),$H182&gt;0,ISNUMBER($J182)),$J182/$H182,"")</f>
        <v/>
      </c>
      <c r="L182" s="77" t="str">
        <f>IF(AND(ISNUMBER($J182),$J182&gt;0,ISNUMBER($G182)),$G182/$J182,"")</f>
        <v/>
      </c>
      <c r="M182" s="67" t="n"/>
      <c r="N182" s="67" t="n"/>
      <c r="O182" s="72" t="str">
        <f>IF(AND(ISNUMBER($M182),$M182&gt;0,ISNUMBER($G182)),$G182/$M182,"")</f>
        <v/>
      </c>
      <c r="P182" s="73" t="str">
        <f>IF(AND(ISNUMBER($J182),$J182&gt;0,ISNUMBER($M182)),$M182/$J182,"")</f>
        <v/>
      </c>
      <c r="Q182" s="64" t="n"/>
      <c r="R182" s="64" t="n"/>
      <c r="S182" s="65" t="n"/>
      <c r="T182" s="65" t="n"/>
      <c r="U182" s="71" t="str">
        <f>IF(ISNUMBER($A182),YEAR($A182)&amp;"-"&amp;TEXT(MONTH($A182),"00"),"")</f>
        <v/>
      </c>
      <c r="V182" s="71">
        <f>IF($D182="",0,IF(AND(OR(fClient="All",$B182=fClient),OR(fCampaign="All",$C182=fCampaign),OR(fTeam="All",$R182=fTeam),OR(fChannel="All",$D182=fChannel),OR(fMonth="All",$U182=fMonth)),1,0))</f>
        <v>0</v>
      </c>
      <c r="W182" s="71">
        <f>IF($D182="",0,IF(AND(OR(fClient="All",$B182=fClient),OR(fCampaign="All",$C182=fCampaign),OR(fTeam="All",$R182=fTeam),OR(fChannel="All",$D182=fChannel)),1,0))</f>
        <v>0</v>
      </c>
    </row>
    <row r="183">
      <c r="A183" s="63" t="n"/>
      <c r="B183" s="64" t="n"/>
      <c r="C183" s="64" t="n"/>
      <c r="D183" s="64" t="n"/>
      <c r="E183" s="64" t="n"/>
      <c r="F183" s="67" t="n"/>
      <c r="G183" s="67" t="n"/>
      <c r="H183" s="67" t="n"/>
      <c r="I183" s="67" t="n"/>
      <c r="J183" s="67" t="n"/>
      <c r="K183" s="76" t="str">
        <f>IF(AND(ISNUMBER($H183),$H183&gt;0,ISNUMBER($J183)),$J183/$H183,"")</f>
        <v/>
      </c>
      <c r="L183" s="77" t="str">
        <f>IF(AND(ISNUMBER($J183),$J183&gt;0,ISNUMBER($G183)),$G183/$J183,"")</f>
        <v/>
      </c>
      <c r="M183" s="67" t="n"/>
      <c r="N183" s="67" t="n"/>
      <c r="O183" s="72" t="str">
        <f>IF(AND(ISNUMBER($M183),$M183&gt;0,ISNUMBER($G183)),$G183/$M183,"")</f>
        <v/>
      </c>
      <c r="P183" s="73" t="str">
        <f>IF(AND(ISNUMBER($J183),$J183&gt;0,ISNUMBER($M183)),$M183/$J183,"")</f>
        <v/>
      </c>
      <c r="Q183" s="64" t="n"/>
      <c r="R183" s="64" t="n"/>
      <c r="S183" s="65" t="n"/>
      <c r="T183" s="65" t="n"/>
      <c r="U183" s="71" t="str">
        <f>IF(ISNUMBER($A183),YEAR($A183)&amp;"-"&amp;TEXT(MONTH($A183),"00"),"")</f>
        <v/>
      </c>
      <c r="V183" s="71">
        <f>IF($D183="",0,IF(AND(OR(fClient="All",$B183=fClient),OR(fCampaign="All",$C183=fCampaign),OR(fTeam="All",$R183=fTeam),OR(fChannel="All",$D183=fChannel),OR(fMonth="All",$U183=fMonth)),1,0))</f>
        <v>0</v>
      </c>
      <c r="W183" s="71">
        <f>IF($D183="",0,IF(AND(OR(fClient="All",$B183=fClient),OR(fCampaign="All",$C183=fCampaign),OR(fTeam="All",$R183=fTeam),OR(fChannel="All",$D183=fChannel)),1,0))</f>
        <v>0</v>
      </c>
    </row>
    <row r="184">
      <c r="A184" s="63" t="n"/>
      <c r="B184" s="64" t="n"/>
      <c r="C184" s="64" t="n"/>
      <c r="D184" s="64" t="n"/>
      <c r="E184" s="64" t="n"/>
      <c r="F184" s="67" t="n"/>
      <c r="G184" s="67" t="n"/>
      <c r="H184" s="67" t="n"/>
      <c r="I184" s="67" t="n"/>
      <c r="J184" s="67" t="n"/>
      <c r="K184" s="76" t="str">
        <f>IF(AND(ISNUMBER($H184),$H184&gt;0,ISNUMBER($J184)),$J184/$H184,"")</f>
        <v/>
      </c>
      <c r="L184" s="77" t="str">
        <f>IF(AND(ISNUMBER($J184),$J184&gt;0,ISNUMBER($G184)),$G184/$J184,"")</f>
        <v/>
      </c>
      <c r="M184" s="67" t="n"/>
      <c r="N184" s="67" t="n"/>
      <c r="O184" s="72" t="str">
        <f>IF(AND(ISNUMBER($M184),$M184&gt;0,ISNUMBER($G184)),$G184/$M184,"")</f>
        <v/>
      </c>
      <c r="P184" s="73" t="str">
        <f>IF(AND(ISNUMBER($J184),$J184&gt;0,ISNUMBER($M184)),$M184/$J184,"")</f>
        <v/>
      </c>
      <c r="Q184" s="64" t="n"/>
      <c r="R184" s="64" t="n"/>
      <c r="S184" s="65" t="n"/>
      <c r="T184" s="65" t="n"/>
      <c r="U184" s="71" t="str">
        <f>IF(ISNUMBER($A184),YEAR($A184)&amp;"-"&amp;TEXT(MONTH($A184),"00"),"")</f>
        <v/>
      </c>
      <c r="V184" s="71">
        <f>IF($D184="",0,IF(AND(OR(fClient="All",$B184=fClient),OR(fCampaign="All",$C184=fCampaign),OR(fTeam="All",$R184=fTeam),OR(fChannel="All",$D184=fChannel),OR(fMonth="All",$U184=fMonth)),1,0))</f>
        <v>0</v>
      </c>
      <c r="W184" s="71">
        <f>IF($D184="",0,IF(AND(OR(fClient="All",$B184=fClient),OR(fCampaign="All",$C184=fCampaign),OR(fTeam="All",$R184=fTeam),OR(fChannel="All",$D184=fChannel)),1,0))</f>
        <v>0</v>
      </c>
    </row>
    <row r="185">
      <c r="A185" s="63" t="n"/>
      <c r="B185" s="64" t="n"/>
      <c r="C185" s="64" t="n"/>
      <c r="D185" s="64" t="n"/>
      <c r="E185" s="64" t="n"/>
      <c r="F185" s="67" t="n"/>
      <c r="G185" s="67" t="n"/>
      <c r="H185" s="67" t="n"/>
      <c r="I185" s="67" t="n"/>
      <c r="J185" s="67" t="n"/>
      <c r="K185" s="76" t="str">
        <f>IF(AND(ISNUMBER($H185),$H185&gt;0,ISNUMBER($J185)),$J185/$H185,"")</f>
        <v/>
      </c>
      <c r="L185" s="77" t="str">
        <f>IF(AND(ISNUMBER($J185),$J185&gt;0,ISNUMBER($G185)),$G185/$J185,"")</f>
        <v/>
      </c>
      <c r="M185" s="67" t="n"/>
      <c r="N185" s="67" t="n"/>
      <c r="O185" s="72" t="str">
        <f>IF(AND(ISNUMBER($M185),$M185&gt;0,ISNUMBER($G185)),$G185/$M185,"")</f>
        <v/>
      </c>
      <c r="P185" s="73" t="str">
        <f>IF(AND(ISNUMBER($J185),$J185&gt;0,ISNUMBER($M185)),$M185/$J185,"")</f>
        <v/>
      </c>
      <c r="Q185" s="64" t="n"/>
      <c r="R185" s="64" t="n"/>
      <c r="S185" s="65" t="n"/>
      <c r="T185" s="65" t="n"/>
      <c r="U185" s="71" t="str">
        <f>IF(ISNUMBER($A185),YEAR($A185)&amp;"-"&amp;TEXT(MONTH($A185),"00"),"")</f>
        <v/>
      </c>
      <c r="V185" s="71">
        <f>IF($D185="",0,IF(AND(OR(fClient="All",$B185=fClient),OR(fCampaign="All",$C185=fCampaign),OR(fTeam="All",$R185=fTeam),OR(fChannel="All",$D185=fChannel),OR(fMonth="All",$U185=fMonth)),1,0))</f>
        <v>0</v>
      </c>
      <c r="W185" s="71">
        <f>IF($D185="",0,IF(AND(OR(fClient="All",$B185=fClient),OR(fCampaign="All",$C185=fCampaign),OR(fTeam="All",$R185=fTeam),OR(fChannel="All",$D185=fChannel)),1,0))</f>
        <v>0</v>
      </c>
    </row>
    <row r="186">
      <c r="A186" s="63" t="n"/>
      <c r="B186" s="64" t="n"/>
      <c r="C186" s="64" t="n"/>
      <c r="D186" s="64" t="n"/>
      <c r="E186" s="64" t="n"/>
      <c r="F186" s="67" t="n"/>
      <c r="G186" s="67" t="n"/>
      <c r="H186" s="67" t="n"/>
      <c r="I186" s="67" t="n"/>
      <c r="J186" s="67" t="n"/>
      <c r="K186" s="76" t="str">
        <f>IF(AND(ISNUMBER($H186),$H186&gt;0,ISNUMBER($J186)),$J186/$H186,"")</f>
        <v/>
      </c>
      <c r="L186" s="77" t="str">
        <f>IF(AND(ISNUMBER($J186),$J186&gt;0,ISNUMBER($G186)),$G186/$J186,"")</f>
        <v/>
      </c>
      <c r="M186" s="67" t="n"/>
      <c r="N186" s="67" t="n"/>
      <c r="O186" s="72" t="str">
        <f>IF(AND(ISNUMBER($M186),$M186&gt;0,ISNUMBER($G186)),$G186/$M186,"")</f>
        <v/>
      </c>
      <c r="P186" s="73" t="str">
        <f>IF(AND(ISNUMBER($J186),$J186&gt;0,ISNUMBER($M186)),$M186/$J186,"")</f>
        <v/>
      </c>
      <c r="Q186" s="64" t="n"/>
      <c r="R186" s="64" t="n"/>
      <c r="S186" s="65" t="n"/>
      <c r="T186" s="65" t="n"/>
      <c r="U186" s="71" t="str">
        <f>IF(ISNUMBER($A186),YEAR($A186)&amp;"-"&amp;TEXT(MONTH($A186),"00"),"")</f>
        <v/>
      </c>
      <c r="V186" s="71">
        <f>IF($D186="",0,IF(AND(OR(fClient="All",$B186=fClient),OR(fCampaign="All",$C186=fCampaign),OR(fTeam="All",$R186=fTeam),OR(fChannel="All",$D186=fChannel),OR(fMonth="All",$U186=fMonth)),1,0))</f>
        <v>0</v>
      </c>
      <c r="W186" s="71">
        <f>IF($D186="",0,IF(AND(OR(fClient="All",$B186=fClient),OR(fCampaign="All",$C186=fCampaign),OR(fTeam="All",$R186=fTeam),OR(fChannel="All",$D186=fChannel)),1,0))</f>
        <v>0</v>
      </c>
    </row>
    <row r="187">
      <c r="A187" s="63" t="n"/>
      <c r="B187" s="64" t="n"/>
      <c r="C187" s="64" t="n"/>
      <c r="D187" s="64" t="n"/>
      <c r="E187" s="64" t="n"/>
      <c r="F187" s="67" t="n"/>
      <c r="G187" s="67" t="n"/>
      <c r="H187" s="67" t="n"/>
      <c r="I187" s="67" t="n"/>
      <c r="J187" s="67" t="n"/>
      <c r="K187" s="76" t="str">
        <f>IF(AND(ISNUMBER($H187),$H187&gt;0,ISNUMBER($J187)),$J187/$H187,"")</f>
        <v/>
      </c>
      <c r="L187" s="77" t="str">
        <f>IF(AND(ISNUMBER($J187),$J187&gt;0,ISNUMBER($G187)),$G187/$J187,"")</f>
        <v/>
      </c>
      <c r="M187" s="67" t="n"/>
      <c r="N187" s="67" t="n"/>
      <c r="O187" s="72" t="str">
        <f>IF(AND(ISNUMBER($M187),$M187&gt;0,ISNUMBER($G187)),$G187/$M187,"")</f>
        <v/>
      </c>
      <c r="P187" s="73" t="str">
        <f>IF(AND(ISNUMBER($J187),$J187&gt;0,ISNUMBER($M187)),$M187/$J187,"")</f>
        <v/>
      </c>
      <c r="Q187" s="64" t="n"/>
      <c r="R187" s="64" t="n"/>
      <c r="S187" s="65" t="n"/>
      <c r="T187" s="65" t="n"/>
      <c r="U187" s="71" t="str">
        <f>IF(ISNUMBER($A187),YEAR($A187)&amp;"-"&amp;TEXT(MONTH($A187),"00"),"")</f>
        <v/>
      </c>
      <c r="V187" s="71">
        <f>IF($D187="",0,IF(AND(OR(fClient="All",$B187=fClient),OR(fCampaign="All",$C187=fCampaign),OR(fTeam="All",$R187=fTeam),OR(fChannel="All",$D187=fChannel),OR(fMonth="All",$U187=fMonth)),1,0))</f>
        <v>0</v>
      </c>
      <c r="W187" s="71">
        <f>IF($D187="",0,IF(AND(OR(fClient="All",$B187=fClient),OR(fCampaign="All",$C187=fCampaign),OR(fTeam="All",$R187=fTeam),OR(fChannel="All",$D187=fChannel)),1,0))</f>
        <v>0</v>
      </c>
    </row>
    <row r="188">
      <c r="A188" s="63" t="n"/>
      <c r="B188" s="64" t="n"/>
      <c r="C188" s="64" t="n"/>
      <c r="D188" s="64" t="n"/>
      <c r="E188" s="64" t="n"/>
      <c r="F188" s="67" t="n"/>
      <c r="G188" s="67" t="n"/>
      <c r="H188" s="67" t="n"/>
      <c r="I188" s="67" t="n"/>
      <c r="J188" s="67" t="n"/>
      <c r="K188" s="76" t="str">
        <f>IF(AND(ISNUMBER($H188),$H188&gt;0,ISNUMBER($J188)),$J188/$H188,"")</f>
        <v/>
      </c>
      <c r="L188" s="77" t="str">
        <f>IF(AND(ISNUMBER($J188),$J188&gt;0,ISNUMBER($G188)),$G188/$J188,"")</f>
        <v/>
      </c>
      <c r="M188" s="67" t="n"/>
      <c r="N188" s="67" t="n"/>
      <c r="O188" s="72" t="str">
        <f>IF(AND(ISNUMBER($M188),$M188&gt;0,ISNUMBER($G188)),$G188/$M188,"")</f>
        <v/>
      </c>
      <c r="P188" s="73" t="str">
        <f>IF(AND(ISNUMBER($J188),$J188&gt;0,ISNUMBER($M188)),$M188/$J188,"")</f>
        <v/>
      </c>
      <c r="Q188" s="64" t="n"/>
      <c r="R188" s="64" t="n"/>
      <c r="S188" s="65" t="n"/>
      <c r="T188" s="65" t="n"/>
      <c r="U188" s="71" t="str">
        <f>IF(ISNUMBER($A188),YEAR($A188)&amp;"-"&amp;TEXT(MONTH($A188),"00"),"")</f>
        <v/>
      </c>
      <c r="V188" s="71">
        <f>IF($D188="",0,IF(AND(OR(fClient="All",$B188=fClient),OR(fCampaign="All",$C188=fCampaign),OR(fTeam="All",$R188=fTeam),OR(fChannel="All",$D188=fChannel),OR(fMonth="All",$U188=fMonth)),1,0))</f>
        <v>0</v>
      </c>
      <c r="W188" s="71">
        <f>IF($D188="",0,IF(AND(OR(fClient="All",$B188=fClient),OR(fCampaign="All",$C188=fCampaign),OR(fTeam="All",$R188=fTeam),OR(fChannel="All",$D188=fChannel)),1,0))</f>
        <v>0</v>
      </c>
    </row>
    <row r="189">
      <c r="A189" s="63" t="n"/>
      <c r="B189" s="64" t="n"/>
      <c r="C189" s="64" t="n"/>
      <c r="D189" s="64" t="n"/>
      <c r="E189" s="64" t="n"/>
      <c r="F189" s="67" t="n"/>
      <c r="G189" s="67" t="n"/>
      <c r="H189" s="67" t="n"/>
      <c r="I189" s="67" t="n"/>
      <c r="J189" s="67" t="n"/>
      <c r="K189" s="76" t="str">
        <f>IF(AND(ISNUMBER($H189),$H189&gt;0,ISNUMBER($J189)),$J189/$H189,"")</f>
        <v/>
      </c>
      <c r="L189" s="77" t="str">
        <f>IF(AND(ISNUMBER($J189),$J189&gt;0,ISNUMBER($G189)),$G189/$J189,"")</f>
        <v/>
      </c>
      <c r="M189" s="67" t="n"/>
      <c r="N189" s="67" t="n"/>
      <c r="O189" s="72" t="str">
        <f>IF(AND(ISNUMBER($M189),$M189&gt;0,ISNUMBER($G189)),$G189/$M189,"")</f>
        <v/>
      </c>
      <c r="P189" s="73" t="str">
        <f>IF(AND(ISNUMBER($J189),$J189&gt;0,ISNUMBER($M189)),$M189/$J189,"")</f>
        <v/>
      </c>
      <c r="Q189" s="64" t="n"/>
      <c r="R189" s="64" t="n"/>
      <c r="S189" s="65" t="n"/>
      <c r="T189" s="65" t="n"/>
      <c r="U189" s="71" t="str">
        <f>IF(ISNUMBER($A189),YEAR($A189)&amp;"-"&amp;TEXT(MONTH($A189),"00"),"")</f>
        <v/>
      </c>
      <c r="V189" s="71">
        <f>IF($D189="",0,IF(AND(OR(fClient="All",$B189=fClient),OR(fCampaign="All",$C189=fCampaign),OR(fTeam="All",$R189=fTeam),OR(fChannel="All",$D189=fChannel),OR(fMonth="All",$U189=fMonth)),1,0))</f>
        <v>0</v>
      </c>
      <c r="W189" s="71">
        <f>IF($D189="",0,IF(AND(OR(fClient="All",$B189=fClient),OR(fCampaign="All",$C189=fCampaign),OR(fTeam="All",$R189=fTeam),OR(fChannel="All",$D189=fChannel)),1,0))</f>
        <v>0</v>
      </c>
    </row>
    <row r="190">
      <c r="A190" s="63" t="n"/>
      <c r="B190" s="64" t="n"/>
      <c r="C190" s="64" t="n"/>
      <c r="D190" s="64" t="n"/>
      <c r="E190" s="64" t="n"/>
      <c r="F190" s="67" t="n"/>
      <c r="G190" s="67" t="n"/>
      <c r="H190" s="67" t="n"/>
      <c r="I190" s="67" t="n"/>
      <c r="J190" s="67" t="n"/>
      <c r="K190" s="76" t="str">
        <f>IF(AND(ISNUMBER($H190),$H190&gt;0,ISNUMBER($J190)),$J190/$H190,"")</f>
        <v/>
      </c>
      <c r="L190" s="77" t="str">
        <f>IF(AND(ISNUMBER($J190),$J190&gt;0,ISNUMBER($G190)),$G190/$J190,"")</f>
        <v/>
      </c>
      <c r="M190" s="67" t="n"/>
      <c r="N190" s="67" t="n"/>
      <c r="O190" s="72" t="str">
        <f>IF(AND(ISNUMBER($M190),$M190&gt;0,ISNUMBER($G190)),$G190/$M190,"")</f>
        <v/>
      </c>
      <c r="P190" s="73" t="str">
        <f>IF(AND(ISNUMBER($J190),$J190&gt;0,ISNUMBER($M190)),$M190/$J190,"")</f>
        <v/>
      </c>
      <c r="Q190" s="64" t="n"/>
      <c r="R190" s="64" t="n"/>
      <c r="S190" s="65" t="n"/>
      <c r="T190" s="65" t="n"/>
      <c r="U190" s="71" t="str">
        <f>IF(ISNUMBER($A190),YEAR($A190)&amp;"-"&amp;TEXT(MONTH($A190),"00"),"")</f>
        <v/>
      </c>
      <c r="V190" s="71">
        <f>IF($D190="",0,IF(AND(OR(fClient="All",$B190=fClient),OR(fCampaign="All",$C190=fCampaign),OR(fTeam="All",$R190=fTeam),OR(fChannel="All",$D190=fChannel),OR(fMonth="All",$U190=fMonth)),1,0))</f>
        <v>0</v>
      </c>
      <c r="W190" s="71">
        <f>IF($D190="",0,IF(AND(OR(fClient="All",$B190=fClient),OR(fCampaign="All",$C190=fCampaign),OR(fTeam="All",$R190=fTeam),OR(fChannel="All",$D190=fChannel)),1,0))</f>
        <v>0</v>
      </c>
    </row>
    <row r="191">
      <c r="A191" s="63" t="n"/>
      <c r="B191" s="64" t="n"/>
      <c r="C191" s="64" t="n"/>
      <c r="D191" s="64" t="n"/>
      <c r="E191" s="64" t="n"/>
      <c r="F191" s="67" t="n"/>
      <c r="G191" s="67" t="n"/>
      <c r="H191" s="67" t="n"/>
      <c r="I191" s="67" t="n"/>
      <c r="J191" s="67" t="n"/>
      <c r="K191" s="76" t="str">
        <f>IF(AND(ISNUMBER($H191),$H191&gt;0,ISNUMBER($J191)),$J191/$H191,"")</f>
        <v/>
      </c>
      <c r="L191" s="77" t="str">
        <f>IF(AND(ISNUMBER($J191),$J191&gt;0,ISNUMBER($G191)),$G191/$J191,"")</f>
        <v/>
      </c>
      <c r="M191" s="67" t="n"/>
      <c r="N191" s="67" t="n"/>
      <c r="O191" s="72" t="str">
        <f>IF(AND(ISNUMBER($M191),$M191&gt;0,ISNUMBER($G191)),$G191/$M191,"")</f>
        <v/>
      </c>
      <c r="P191" s="73" t="str">
        <f>IF(AND(ISNUMBER($J191),$J191&gt;0,ISNUMBER($M191)),$M191/$J191,"")</f>
        <v/>
      </c>
      <c r="Q191" s="64" t="n"/>
      <c r="R191" s="64" t="n"/>
      <c r="S191" s="65" t="n"/>
      <c r="T191" s="65" t="n"/>
      <c r="U191" s="71" t="str">
        <f>IF(ISNUMBER($A191),YEAR($A191)&amp;"-"&amp;TEXT(MONTH($A191),"00"),"")</f>
        <v/>
      </c>
      <c r="V191" s="71">
        <f>IF($D191="",0,IF(AND(OR(fClient="All",$B191=fClient),OR(fCampaign="All",$C191=fCampaign),OR(fTeam="All",$R191=fTeam),OR(fChannel="All",$D191=fChannel),OR(fMonth="All",$U191=fMonth)),1,0))</f>
        <v>0</v>
      </c>
      <c r="W191" s="71">
        <f>IF($D191="",0,IF(AND(OR(fClient="All",$B191=fClient),OR(fCampaign="All",$C191=fCampaign),OR(fTeam="All",$R191=fTeam),OR(fChannel="All",$D191=fChannel)),1,0))</f>
        <v>0</v>
      </c>
    </row>
    <row r="192">
      <c r="A192" s="63" t="n"/>
      <c r="B192" s="64" t="n"/>
      <c r="C192" s="64" t="n"/>
      <c r="D192" s="64" t="n"/>
      <c r="E192" s="64" t="n"/>
      <c r="F192" s="67" t="n"/>
      <c r="G192" s="67" t="n"/>
      <c r="H192" s="67" t="n"/>
      <c r="I192" s="67" t="n"/>
      <c r="J192" s="67" t="n"/>
      <c r="K192" s="76" t="str">
        <f>IF(AND(ISNUMBER($H192),$H192&gt;0,ISNUMBER($J192)),$J192/$H192,"")</f>
        <v/>
      </c>
      <c r="L192" s="77" t="str">
        <f>IF(AND(ISNUMBER($J192),$J192&gt;0,ISNUMBER($G192)),$G192/$J192,"")</f>
        <v/>
      </c>
      <c r="M192" s="67" t="n"/>
      <c r="N192" s="67" t="n"/>
      <c r="O192" s="72" t="str">
        <f>IF(AND(ISNUMBER($M192),$M192&gt;0,ISNUMBER($G192)),$G192/$M192,"")</f>
        <v/>
      </c>
      <c r="P192" s="73" t="str">
        <f>IF(AND(ISNUMBER($J192),$J192&gt;0,ISNUMBER($M192)),$M192/$J192,"")</f>
        <v/>
      </c>
      <c r="Q192" s="64" t="n"/>
      <c r="R192" s="64" t="n"/>
      <c r="S192" s="65" t="n"/>
      <c r="T192" s="65" t="n"/>
      <c r="U192" s="71" t="str">
        <f>IF(ISNUMBER($A192),YEAR($A192)&amp;"-"&amp;TEXT(MONTH($A192),"00"),"")</f>
        <v/>
      </c>
      <c r="V192" s="71">
        <f>IF($D192="",0,IF(AND(OR(fClient="All",$B192=fClient),OR(fCampaign="All",$C192=fCampaign),OR(fTeam="All",$R192=fTeam),OR(fChannel="All",$D192=fChannel),OR(fMonth="All",$U192=fMonth)),1,0))</f>
        <v>0</v>
      </c>
      <c r="W192" s="71">
        <f>IF($D192="",0,IF(AND(OR(fClient="All",$B192=fClient),OR(fCampaign="All",$C192=fCampaign),OR(fTeam="All",$R192=fTeam),OR(fChannel="All",$D192=fChannel)),1,0))</f>
        <v>0</v>
      </c>
    </row>
    <row r="193">
      <c r="A193" s="63" t="n"/>
      <c r="B193" s="64" t="n"/>
      <c r="C193" s="64" t="n"/>
      <c r="D193" s="64" t="n"/>
      <c r="E193" s="64" t="n"/>
      <c r="F193" s="67" t="n"/>
      <c r="G193" s="67" t="n"/>
      <c r="H193" s="67" t="n"/>
      <c r="I193" s="67" t="n"/>
      <c r="J193" s="67" t="n"/>
      <c r="K193" s="76" t="str">
        <f>IF(AND(ISNUMBER($H193),$H193&gt;0,ISNUMBER($J193)),$J193/$H193,"")</f>
        <v/>
      </c>
      <c r="L193" s="77" t="str">
        <f>IF(AND(ISNUMBER($J193),$J193&gt;0,ISNUMBER($G193)),$G193/$J193,"")</f>
        <v/>
      </c>
      <c r="M193" s="67" t="n"/>
      <c r="N193" s="67" t="n"/>
      <c r="O193" s="72" t="str">
        <f>IF(AND(ISNUMBER($M193),$M193&gt;0,ISNUMBER($G193)),$G193/$M193,"")</f>
        <v/>
      </c>
      <c r="P193" s="73" t="str">
        <f>IF(AND(ISNUMBER($J193),$J193&gt;0,ISNUMBER($M193)),$M193/$J193,"")</f>
        <v/>
      </c>
      <c r="Q193" s="64" t="n"/>
      <c r="R193" s="64" t="n"/>
      <c r="S193" s="65" t="n"/>
      <c r="T193" s="65" t="n"/>
      <c r="U193" s="71" t="str">
        <f>IF(ISNUMBER($A193),YEAR($A193)&amp;"-"&amp;TEXT(MONTH($A193),"00"),"")</f>
        <v/>
      </c>
      <c r="V193" s="71">
        <f>IF($D193="",0,IF(AND(OR(fClient="All",$B193=fClient),OR(fCampaign="All",$C193=fCampaign),OR(fTeam="All",$R193=fTeam),OR(fChannel="All",$D193=fChannel),OR(fMonth="All",$U193=fMonth)),1,0))</f>
        <v>0</v>
      </c>
      <c r="W193" s="71">
        <f>IF($D193="",0,IF(AND(OR(fClient="All",$B193=fClient),OR(fCampaign="All",$C193=fCampaign),OR(fTeam="All",$R193=fTeam),OR(fChannel="All",$D193=fChannel)),1,0))</f>
        <v>0</v>
      </c>
    </row>
    <row r="194">
      <c r="A194" s="63" t="n"/>
      <c r="B194" s="64" t="n"/>
      <c r="C194" s="64" t="n"/>
      <c r="D194" s="64" t="n"/>
      <c r="E194" s="64" t="n"/>
      <c r="F194" s="67" t="n"/>
      <c r="G194" s="67" t="n"/>
      <c r="H194" s="67" t="n"/>
      <c r="I194" s="67" t="n"/>
      <c r="J194" s="67" t="n"/>
      <c r="K194" s="76" t="str">
        <f>IF(AND(ISNUMBER($H194),$H194&gt;0,ISNUMBER($J194)),$J194/$H194,"")</f>
        <v/>
      </c>
      <c r="L194" s="77" t="str">
        <f>IF(AND(ISNUMBER($J194),$J194&gt;0,ISNUMBER($G194)),$G194/$J194,"")</f>
        <v/>
      </c>
      <c r="M194" s="67" t="n"/>
      <c r="N194" s="67" t="n"/>
      <c r="O194" s="72" t="str">
        <f>IF(AND(ISNUMBER($M194),$M194&gt;0,ISNUMBER($G194)),$G194/$M194,"")</f>
        <v/>
      </c>
      <c r="P194" s="73" t="str">
        <f>IF(AND(ISNUMBER($J194),$J194&gt;0,ISNUMBER($M194)),$M194/$J194,"")</f>
        <v/>
      </c>
      <c r="Q194" s="64" t="n"/>
      <c r="R194" s="64" t="n"/>
      <c r="S194" s="65" t="n"/>
      <c r="T194" s="65" t="n"/>
      <c r="U194" s="71" t="str">
        <f>IF(ISNUMBER($A194),YEAR($A194)&amp;"-"&amp;TEXT(MONTH($A194),"00"),"")</f>
        <v/>
      </c>
      <c r="V194" s="71">
        <f>IF($D194="",0,IF(AND(OR(fClient="All",$B194=fClient),OR(fCampaign="All",$C194=fCampaign),OR(fTeam="All",$R194=fTeam),OR(fChannel="All",$D194=fChannel),OR(fMonth="All",$U194=fMonth)),1,0))</f>
        <v>0</v>
      </c>
      <c r="W194" s="71">
        <f>IF($D194="",0,IF(AND(OR(fClient="All",$B194=fClient),OR(fCampaign="All",$C194=fCampaign),OR(fTeam="All",$R194=fTeam),OR(fChannel="All",$D194=fChannel)),1,0))</f>
        <v>0</v>
      </c>
    </row>
    <row r="195">
      <c r="A195" s="63" t="n"/>
      <c r="B195" s="64" t="n"/>
      <c r="C195" s="64" t="n"/>
      <c r="D195" s="64" t="n"/>
      <c r="E195" s="64" t="n"/>
      <c r="F195" s="67" t="n"/>
      <c r="G195" s="67" t="n"/>
      <c r="H195" s="67" t="n"/>
      <c r="I195" s="67" t="n"/>
      <c r="J195" s="67" t="n"/>
      <c r="K195" s="76" t="str">
        <f>IF(AND(ISNUMBER($H195),$H195&gt;0,ISNUMBER($J195)),$J195/$H195,"")</f>
        <v/>
      </c>
      <c r="L195" s="77" t="str">
        <f>IF(AND(ISNUMBER($J195),$J195&gt;0,ISNUMBER($G195)),$G195/$J195,"")</f>
        <v/>
      </c>
      <c r="M195" s="67" t="n"/>
      <c r="N195" s="67" t="n"/>
      <c r="O195" s="72" t="str">
        <f>IF(AND(ISNUMBER($M195),$M195&gt;0,ISNUMBER($G195)),$G195/$M195,"")</f>
        <v/>
      </c>
      <c r="P195" s="73" t="str">
        <f>IF(AND(ISNUMBER($J195),$J195&gt;0,ISNUMBER($M195)),$M195/$J195,"")</f>
        <v/>
      </c>
      <c r="Q195" s="64" t="n"/>
      <c r="R195" s="64" t="n"/>
      <c r="S195" s="65" t="n"/>
      <c r="T195" s="65" t="n"/>
      <c r="U195" s="71" t="str">
        <f>IF(ISNUMBER($A195),YEAR($A195)&amp;"-"&amp;TEXT(MONTH($A195),"00"),"")</f>
        <v/>
      </c>
      <c r="V195" s="71">
        <f>IF($D195="",0,IF(AND(OR(fClient="All",$B195=fClient),OR(fCampaign="All",$C195=fCampaign),OR(fTeam="All",$R195=fTeam),OR(fChannel="All",$D195=fChannel),OR(fMonth="All",$U195=fMonth)),1,0))</f>
        <v>0</v>
      </c>
      <c r="W195" s="71">
        <f>IF($D195="",0,IF(AND(OR(fClient="All",$B195=fClient),OR(fCampaign="All",$C195=fCampaign),OR(fTeam="All",$R195=fTeam),OR(fChannel="All",$D195=fChannel)),1,0))</f>
        <v>0</v>
      </c>
    </row>
    <row r="196">
      <c r="A196" s="63" t="n"/>
      <c r="B196" s="64" t="n"/>
      <c r="C196" s="64" t="n"/>
      <c r="D196" s="64" t="n"/>
      <c r="E196" s="64" t="n"/>
      <c r="F196" s="67" t="n"/>
      <c r="G196" s="67" t="n"/>
      <c r="H196" s="67" t="n"/>
      <c r="I196" s="67" t="n"/>
      <c r="J196" s="67" t="n"/>
      <c r="K196" s="76" t="str">
        <f>IF(AND(ISNUMBER($H196),$H196&gt;0,ISNUMBER($J196)),$J196/$H196,"")</f>
        <v/>
      </c>
      <c r="L196" s="77" t="str">
        <f>IF(AND(ISNUMBER($J196),$J196&gt;0,ISNUMBER($G196)),$G196/$J196,"")</f>
        <v/>
      </c>
      <c r="M196" s="67" t="n"/>
      <c r="N196" s="67" t="n"/>
      <c r="O196" s="72" t="str">
        <f>IF(AND(ISNUMBER($M196),$M196&gt;0,ISNUMBER($G196)),$G196/$M196,"")</f>
        <v/>
      </c>
      <c r="P196" s="73" t="str">
        <f>IF(AND(ISNUMBER($J196),$J196&gt;0,ISNUMBER($M196)),$M196/$J196,"")</f>
        <v/>
      </c>
      <c r="Q196" s="64" t="n"/>
      <c r="R196" s="64" t="n"/>
      <c r="S196" s="65" t="n"/>
      <c r="T196" s="65" t="n"/>
      <c r="U196" s="71" t="str">
        <f>IF(ISNUMBER($A196),YEAR($A196)&amp;"-"&amp;TEXT(MONTH($A196),"00"),"")</f>
        <v/>
      </c>
      <c r="V196" s="71">
        <f>IF($D196="",0,IF(AND(OR(fClient="All",$B196=fClient),OR(fCampaign="All",$C196=fCampaign),OR(fTeam="All",$R196=fTeam),OR(fChannel="All",$D196=fChannel),OR(fMonth="All",$U196=fMonth)),1,0))</f>
        <v>0</v>
      </c>
      <c r="W196" s="71">
        <f>IF($D196="",0,IF(AND(OR(fClient="All",$B196=fClient),OR(fCampaign="All",$C196=fCampaign),OR(fTeam="All",$R196=fTeam),OR(fChannel="All",$D196=fChannel)),1,0))</f>
        <v>0</v>
      </c>
    </row>
    <row r="197">
      <c r="A197" s="63" t="n"/>
      <c r="B197" s="64" t="n"/>
      <c r="C197" s="64" t="n"/>
      <c r="D197" s="64" t="n"/>
      <c r="E197" s="64" t="n"/>
      <c r="F197" s="67" t="n"/>
      <c r="G197" s="67" t="n"/>
      <c r="H197" s="67" t="n"/>
      <c r="I197" s="67" t="n"/>
      <c r="J197" s="67" t="n"/>
      <c r="K197" s="76" t="str">
        <f>IF(AND(ISNUMBER($H197),$H197&gt;0,ISNUMBER($J197)),$J197/$H197,"")</f>
        <v/>
      </c>
      <c r="L197" s="77" t="str">
        <f>IF(AND(ISNUMBER($J197),$J197&gt;0,ISNUMBER($G197)),$G197/$J197,"")</f>
        <v/>
      </c>
      <c r="M197" s="67" t="n"/>
      <c r="N197" s="67" t="n"/>
      <c r="O197" s="72" t="str">
        <f>IF(AND(ISNUMBER($M197),$M197&gt;0,ISNUMBER($G197)),$G197/$M197,"")</f>
        <v/>
      </c>
      <c r="P197" s="73" t="str">
        <f>IF(AND(ISNUMBER($J197),$J197&gt;0,ISNUMBER($M197)),$M197/$J197,"")</f>
        <v/>
      </c>
      <c r="Q197" s="64" t="n"/>
      <c r="R197" s="64" t="n"/>
      <c r="S197" s="65" t="n"/>
      <c r="T197" s="65" t="n"/>
      <c r="U197" s="71" t="str">
        <f>IF(ISNUMBER($A197),YEAR($A197)&amp;"-"&amp;TEXT(MONTH($A197),"00"),"")</f>
        <v/>
      </c>
      <c r="V197" s="71">
        <f>IF($D197="",0,IF(AND(OR(fClient="All",$B197=fClient),OR(fCampaign="All",$C197=fCampaign),OR(fTeam="All",$R197=fTeam),OR(fChannel="All",$D197=fChannel),OR(fMonth="All",$U197=fMonth)),1,0))</f>
        <v>0</v>
      </c>
      <c r="W197" s="71">
        <f>IF($D197="",0,IF(AND(OR(fClient="All",$B197=fClient),OR(fCampaign="All",$C197=fCampaign),OR(fTeam="All",$R197=fTeam),OR(fChannel="All",$D197=fChannel)),1,0))</f>
        <v>0</v>
      </c>
    </row>
    <row r="198">
      <c r="A198" s="63" t="n"/>
      <c r="B198" s="64" t="n"/>
      <c r="C198" s="64" t="n"/>
      <c r="D198" s="64" t="n"/>
      <c r="E198" s="64" t="n"/>
      <c r="F198" s="67" t="n"/>
      <c r="G198" s="67" t="n"/>
      <c r="H198" s="67" t="n"/>
      <c r="I198" s="67" t="n"/>
      <c r="J198" s="67" t="n"/>
      <c r="K198" s="76" t="str">
        <f>IF(AND(ISNUMBER($H198),$H198&gt;0,ISNUMBER($J198)),$J198/$H198,"")</f>
        <v/>
      </c>
      <c r="L198" s="77" t="str">
        <f>IF(AND(ISNUMBER($J198),$J198&gt;0,ISNUMBER($G198)),$G198/$J198,"")</f>
        <v/>
      </c>
      <c r="M198" s="67" t="n"/>
      <c r="N198" s="67" t="n"/>
      <c r="O198" s="72" t="str">
        <f>IF(AND(ISNUMBER($M198),$M198&gt;0,ISNUMBER($G198)),$G198/$M198,"")</f>
        <v/>
      </c>
      <c r="P198" s="73" t="str">
        <f>IF(AND(ISNUMBER($J198),$J198&gt;0,ISNUMBER($M198)),$M198/$J198,"")</f>
        <v/>
      </c>
      <c r="Q198" s="64" t="n"/>
      <c r="R198" s="64" t="n"/>
      <c r="S198" s="65" t="n"/>
      <c r="T198" s="65" t="n"/>
      <c r="U198" s="71" t="str">
        <f>IF(ISNUMBER($A198),YEAR($A198)&amp;"-"&amp;TEXT(MONTH($A198),"00"),"")</f>
        <v/>
      </c>
      <c r="V198" s="71">
        <f>IF($D198="",0,IF(AND(OR(fClient="All",$B198=fClient),OR(fCampaign="All",$C198=fCampaign),OR(fTeam="All",$R198=fTeam),OR(fChannel="All",$D198=fChannel),OR(fMonth="All",$U198=fMonth)),1,0))</f>
        <v>0</v>
      </c>
      <c r="W198" s="71">
        <f>IF($D198="",0,IF(AND(OR(fClient="All",$B198=fClient),OR(fCampaign="All",$C198=fCampaign),OR(fTeam="All",$R198=fTeam),OR(fChannel="All",$D198=fChannel)),1,0))</f>
        <v>0</v>
      </c>
    </row>
    <row r="199">
      <c r="A199" s="63" t="n"/>
      <c r="B199" s="64" t="n"/>
      <c r="C199" s="64" t="n"/>
      <c r="D199" s="64" t="n"/>
      <c r="E199" s="64" t="n"/>
      <c r="F199" s="67" t="n"/>
      <c r="G199" s="67" t="n"/>
      <c r="H199" s="67" t="n"/>
      <c r="I199" s="67" t="n"/>
      <c r="J199" s="67" t="n"/>
      <c r="K199" s="76" t="str">
        <f>IF(AND(ISNUMBER($H199),$H199&gt;0,ISNUMBER($J199)),$J199/$H199,"")</f>
        <v/>
      </c>
      <c r="L199" s="77" t="str">
        <f>IF(AND(ISNUMBER($J199),$J199&gt;0,ISNUMBER($G199)),$G199/$J199,"")</f>
        <v/>
      </c>
      <c r="M199" s="67" t="n"/>
      <c r="N199" s="67" t="n"/>
      <c r="O199" s="72" t="str">
        <f>IF(AND(ISNUMBER($M199),$M199&gt;0,ISNUMBER($G199)),$G199/$M199,"")</f>
        <v/>
      </c>
      <c r="P199" s="73" t="str">
        <f>IF(AND(ISNUMBER($J199),$J199&gt;0,ISNUMBER($M199)),$M199/$J199,"")</f>
        <v/>
      </c>
      <c r="Q199" s="64" t="n"/>
      <c r="R199" s="64" t="n"/>
      <c r="S199" s="65" t="n"/>
      <c r="T199" s="65" t="n"/>
      <c r="U199" s="71" t="str">
        <f>IF(ISNUMBER($A199),YEAR($A199)&amp;"-"&amp;TEXT(MONTH($A199),"00"),"")</f>
        <v/>
      </c>
      <c r="V199" s="71">
        <f>IF($D199="",0,IF(AND(OR(fClient="All",$B199=fClient),OR(fCampaign="All",$C199=fCampaign),OR(fTeam="All",$R199=fTeam),OR(fChannel="All",$D199=fChannel),OR(fMonth="All",$U199=fMonth)),1,0))</f>
        <v>0</v>
      </c>
      <c r="W199" s="71">
        <f>IF($D199="",0,IF(AND(OR(fClient="All",$B199=fClient),OR(fCampaign="All",$C199=fCampaign),OR(fTeam="All",$R199=fTeam),OR(fChannel="All",$D199=fChannel)),1,0))</f>
        <v>0</v>
      </c>
    </row>
    <row r="200">
      <c r="A200" s="63" t="n"/>
      <c r="B200" s="64" t="n"/>
      <c r="C200" s="64" t="n"/>
      <c r="D200" s="64" t="n"/>
      <c r="E200" s="64" t="n"/>
      <c r="F200" s="67" t="n"/>
      <c r="G200" s="67" t="n"/>
      <c r="H200" s="67" t="n"/>
      <c r="I200" s="67" t="n"/>
      <c r="J200" s="67" t="n"/>
      <c r="K200" s="76" t="str">
        <f>IF(AND(ISNUMBER($H200),$H200&gt;0,ISNUMBER($J200)),$J200/$H200,"")</f>
        <v/>
      </c>
      <c r="L200" s="77" t="str">
        <f>IF(AND(ISNUMBER($J200),$J200&gt;0,ISNUMBER($G200)),$G200/$J200,"")</f>
        <v/>
      </c>
      <c r="M200" s="67" t="n"/>
      <c r="N200" s="67" t="n"/>
      <c r="O200" s="72" t="str">
        <f>IF(AND(ISNUMBER($M200),$M200&gt;0,ISNUMBER($G200)),$G200/$M200,"")</f>
        <v/>
      </c>
      <c r="P200" s="73" t="str">
        <f>IF(AND(ISNUMBER($J200),$J200&gt;0,ISNUMBER($M200)),$M200/$J200,"")</f>
        <v/>
      </c>
      <c r="Q200" s="64" t="n"/>
      <c r="R200" s="64" t="n"/>
      <c r="S200" s="65" t="n"/>
      <c r="T200" s="65" t="n"/>
      <c r="U200" s="71" t="str">
        <f>IF(ISNUMBER($A200),YEAR($A200)&amp;"-"&amp;TEXT(MONTH($A200),"00"),"")</f>
        <v/>
      </c>
      <c r="V200" s="71">
        <f>IF($D200="",0,IF(AND(OR(fClient="All",$B200=fClient),OR(fCampaign="All",$C200=fCampaign),OR(fTeam="All",$R200=fTeam),OR(fChannel="All",$D200=fChannel),OR(fMonth="All",$U200=fMonth)),1,0))</f>
        <v>0</v>
      </c>
      <c r="W200" s="71">
        <f>IF($D200="",0,IF(AND(OR(fClient="All",$B200=fClient),OR(fCampaign="All",$C200=fCampaign),OR(fTeam="All",$R200=fTeam),OR(fChannel="All",$D200=fChannel)),1,0))</f>
        <v>0</v>
      </c>
    </row>
    <row r="201">
      <c r="A201" s="63" t="n"/>
      <c r="B201" s="64" t="n"/>
      <c r="C201" s="64" t="n"/>
      <c r="D201" s="64" t="n"/>
      <c r="E201" s="64" t="n"/>
      <c r="F201" s="67" t="n"/>
      <c r="G201" s="67" t="n"/>
      <c r="H201" s="67" t="n"/>
      <c r="I201" s="67" t="n"/>
      <c r="J201" s="67" t="n"/>
      <c r="K201" s="76" t="str">
        <f>IF(AND(ISNUMBER($H201),$H201&gt;0,ISNUMBER($J201)),$J201/$H201,"")</f>
        <v/>
      </c>
      <c r="L201" s="77" t="str">
        <f>IF(AND(ISNUMBER($J201),$J201&gt;0,ISNUMBER($G201)),$G201/$J201,"")</f>
        <v/>
      </c>
      <c r="M201" s="67" t="n"/>
      <c r="N201" s="67" t="n"/>
      <c r="O201" s="72" t="str">
        <f>IF(AND(ISNUMBER($M201),$M201&gt;0,ISNUMBER($G201)),$G201/$M201,"")</f>
        <v/>
      </c>
      <c r="P201" s="73" t="str">
        <f>IF(AND(ISNUMBER($J201),$J201&gt;0,ISNUMBER($M201)),$M201/$J201,"")</f>
        <v/>
      </c>
      <c r="Q201" s="64" t="n"/>
      <c r="R201" s="64" t="n"/>
      <c r="S201" s="65" t="n"/>
      <c r="T201" s="65" t="n"/>
      <c r="U201" s="71" t="str">
        <f>IF(ISNUMBER($A201),YEAR($A201)&amp;"-"&amp;TEXT(MONTH($A201),"00"),"")</f>
        <v/>
      </c>
      <c r="V201" s="71">
        <f>IF($D201="",0,IF(AND(OR(fClient="All",$B201=fClient),OR(fCampaign="All",$C201=fCampaign),OR(fTeam="All",$R201=fTeam),OR(fChannel="All",$D201=fChannel),OR(fMonth="All",$U201=fMonth)),1,0))</f>
        <v>0</v>
      </c>
      <c r="W201" s="71">
        <f>IF($D201="",0,IF(AND(OR(fClient="All",$B201=fClient),OR(fCampaign="All",$C201=fCampaign),OR(fTeam="All",$R201=fTeam),OR(fChannel="All",$D201=fChannel)),1,0))</f>
        <v>0</v>
      </c>
    </row>
    <row r="202">
      <c r="A202" s="63" t="n"/>
      <c r="B202" s="64" t="n"/>
      <c r="C202" s="64" t="n"/>
      <c r="D202" s="64" t="n"/>
      <c r="E202" s="64" t="n"/>
      <c r="F202" s="67" t="n"/>
      <c r="G202" s="67" t="n"/>
      <c r="H202" s="67" t="n"/>
      <c r="I202" s="67" t="n"/>
      <c r="J202" s="67" t="n"/>
      <c r="K202" s="76" t="str">
        <f>IF(AND(ISNUMBER($H202),$H202&gt;0,ISNUMBER($J202)),$J202/$H202,"")</f>
        <v/>
      </c>
      <c r="L202" s="77" t="str">
        <f>IF(AND(ISNUMBER($J202),$J202&gt;0,ISNUMBER($G202)),$G202/$J202,"")</f>
        <v/>
      </c>
      <c r="M202" s="67" t="n"/>
      <c r="N202" s="67" t="n"/>
      <c r="O202" s="72" t="str">
        <f>IF(AND(ISNUMBER($M202),$M202&gt;0,ISNUMBER($G202)),$G202/$M202,"")</f>
        <v/>
      </c>
      <c r="P202" s="73" t="str">
        <f>IF(AND(ISNUMBER($J202),$J202&gt;0,ISNUMBER($M202)),$M202/$J202,"")</f>
        <v/>
      </c>
      <c r="Q202" s="64" t="n"/>
      <c r="R202" s="64" t="n"/>
      <c r="S202" s="65" t="n"/>
      <c r="T202" s="65" t="n"/>
      <c r="U202" s="71" t="str">
        <f>IF(ISNUMBER($A202),YEAR($A202)&amp;"-"&amp;TEXT(MONTH($A202),"00"),"")</f>
        <v/>
      </c>
      <c r="V202" s="71">
        <f>IF($D202="",0,IF(AND(OR(fClient="All",$B202=fClient),OR(fCampaign="All",$C202=fCampaign),OR(fTeam="All",$R202=fTeam),OR(fChannel="All",$D202=fChannel),OR(fMonth="All",$U202=fMonth)),1,0))</f>
        <v>0</v>
      </c>
      <c r="W202" s="71">
        <f>IF($D202="",0,IF(AND(OR(fClient="All",$B202=fClient),OR(fCampaign="All",$C202=fCampaign),OR(fTeam="All",$R202=fTeam),OR(fChannel="All",$D202=fChannel)),1,0))</f>
        <v>0</v>
      </c>
    </row>
    <row r="203">
      <c r="A203" s="63" t="n"/>
      <c r="B203" s="64" t="n"/>
      <c r="C203" s="64" t="n"/>
      <c r="D203" s="64" t="n"/>
      <c r="E203" s="64" t="n"/>
      <c r="F203" s="67" t="n"/>
      <c r="G203" s="67" t="n"/>
      <c r="H203" s="67" t="n"/>
      <c r="I203" s="67" t="n"/>
      <c r="J203" s="67" t="n"/>
      <c r="K203" s="76" t="str">
        <f>IF(AND(ISNUMBER($H203),$H203&gt;0,ISNUMBER($J203)),$J203/$H203,"")</f>
        <v/>
      </c>
      <c r="L203" s="77" t="str">
        <f>IF(AND(ISNUMBER($J203),$J203&gt;0,ISNUMBER($G203)),$G203/$J203,"")</f>
        <v/>
      </c>
      <c r="M203" s="67" t="n"/>
      <c r="N203" s="67" t="n"/>
      <c r="O203" s="72" t="str">
        <f>IF(AND(ISNUMBER($M203),$M203&gt;0,ISNUMBER($G203)),$G203/$M203,"")</f>
        <v/>
      </c>
      <c r="P203" s="73" t="str">
        <f>IF(AND(ISNUMBER($J203),$J203&gt;0,ISNUMBER($M203)),$M203/$J203,"")</f>
        <v/>
      </c>
      <c r="Q203" s="64" t="n"/>
      <c r="R203" s="64" t="n"/>
      <c r="S203" s="65" t="n"/>
      <c r="T203" s="65" t="n"/>
      <c r="U203" s="71" t="str">
        <f>IF(ISNUMBER($A203),YEAR($A203)&amp;"-"&amp;TEXT(MONTH($A203),"00"),"")</f>
        <v/>
      </c>
      <c r="V203" s="71">
        <f>IF($D203="",0,IF(AND(OR(fClient="All",$B203=fClient),OR(fCampaign="All",$C203=fCampaign),OR(fTeam="All",$R203=fTeam),OR(fChannel="All",$D203=fChannel),OR(fMonth="All",$U203=fMonth)),1,0))</f>
        <v>0</v>
      </c>
      <c r="W203" s="71">
        <f>IF($D203="",0,IF(AND(OR(fClient="All",$B203=fClient),OR(fCampaign="All",$C203=fCampaign),OR(fTeam="All",$R203=fTeam),OR(fChannel="All",$D203=fChannel)),1,0))</f>
        <v>0</v>
      </c>
    </row>
    <row r="204">
      <c r="A204" s="63" t="n"/>
      <c r="B204" s="64" t="n"/>
      <c r="C204" s="64" t="n"/>
      <c r="D204" s="64" t="n"/>
      <c r="E204" s="64" t="n"/>
      <c r="F204" s="67" t="n"/>
      <c r="G204" s="67" t="n"/>
      <c r="H204" s="67" t="n"/>
      <c r="I204" s="67" t="n"/>
      <c r="J204" s="67" t="n"/>
      <c r="K204" s="76" t="str">
        <f>IF(AND(ISNUMBER($H204),$H204&gt;0,ISNUMBER($J204)),$J204/$H204,"")</f>
        <v/>
      </c>
      <c r="L204" s="77" t="str">
        <f>IF(AND(ISNUMBER($J204),$J204&gt;0,ISNUMBER($G204)),$G204/$J204,"")</f>
        <v/>
      </c>
      <c r="M204" s="67" t="n"/>
      <c r="N204" s="67" t="n"/>
      <c r="O204" s="72" t="str">
        <f>IF(AND(ISNUMBER($M204),$M204&gt;0,ISNUMBER($G204)),$G204/$M204,"")</f>
        <v/>
      </c>
      <c r="P204" s="73" t="str">
        <f>IF(AND(ISNUMBER($J204),$J204&gt;0,ISNUMBER($M204)),$M204/$J204,"")</f>
        <v/>
      </c>
      <c r="Q204" s="64" t="n"/>
      <c r="R204" s="64" t="n"/>
      <c r="S204" s="65" t="n"/>
      <c r="T204" s="65" t="n"/>
      <c r="U204" s="71" t="str">
        <f>IF(ISNUMBER($A204),YEAR($A204)&amp;"-"&amp;TEXT(MONTH($A204),"00"),"")</f>
        <v/>
      </c>
      <c r="V204" s="71">
        <f>IF($D204="",0,IF(AND(OR(fClient="All",$B204=fClient),OR(fCampaign="All",$C204=fCampaign),OR(fTeam="All",$R204=fTeam),OR(fChannel="All",$D204=fChannel),OR(fMonth="All",$U204=fMonth)),1,0))</f>
        <v>0</v>
      </c>
      <c r="W204" s="71">
        <f>IF($D204="",0,IF(AND(OR(fClient="All",$B204=fClient),OR(fCampaign="All",$C204=fCampaign),OR(fTeam="All",$R204=fTeam),OR(fChannel="All",$D204=fChannel)),1,0))</f>
        <v>0</v>
      </c>
    </row>
    <row r="205">
      <c r="A205" s="63" t="n"/>
      <c r="B205" s="64" t="n"/>
      <c r="C205" s="64" t="n"/>
      <c r="D205" s="64" t="n"/>
      <c r="E205" s="64" t="n"/>
      <c r="F205" s="67" t="n"/>
      <c r="G205" s="67" t="n"/>
      <c r="H205" s="67" t="n"/>
      <c r="I205" s="67" t="n"/>
      <c r="J205" s="67" t="n"/>
      <c r="K205" s="76" t="str">
        <f>IF(AND(ISNUMBER($H205),$H205&gt;0,ISNUMBER($J205)),$J205/$H205,"")</f>
        <v/>
      </c>
      <c r="L205" s="77" t="str">
        <f>IF(AND(ISNUMBER($J205),$J205&gt;0,ISNUMBER($G205)),$G205/$J205,"")</f>
        <v/>
      </c>
      <c r="M205" s="67" t="n"/>
      <c r="N205" s="67" t="n"/>
      <c r="O205" s="72" t="str">
        <f>IF(AND(ISNUMBER($M205),$M205&gt;0,ISNUMBER($G205)),$G205/$M205,"")</f>
        <v/>
      </c>
      <c r="P205" s="73" t="str">
        <f>IF(AND(ISNUMBER($J205),$J205&gt;0,ISNUMBER($M205)),$M205/$J205,"")</f>
        <v/>
      </c>
      <c r="Q205" s="64" t="n"/>
      <c r="R205" s="64" t="n"/>
      <c r="S205" s="65" t="n"/>
      <c r="T205" s="65" t="n"/>
      <c r="U205" s="71" t="str">
        <f>IF(ISNUMBER($A205),YEAR($A205)&amp;"-"&amp;TEXT(MONTH($A205),"00"),"")</f>
        <v/>
      </c>
      <c r="V205" s="71">
        <f>IF($D205="",0,IF(AND(OR(fClient="All",$B205=fClient),OR(fCampaign="All",$C205=fCampaign),OR(fTeam="All",$R205=fTeam),OR(fChannel="All",$D205=fChannel),OR(fMonth="All",$U205=fMonth)),1,0))</f>
        <v>0</v>
      </c>
      <c r="W205" s="71">
        <f>IF($D205="",0,IF(AND(OR(fClient="All",$B205=fClient),OR(fCampaign="All",$C205=fCampaign),OR(fTeam="All",$R205=fTeam),OR(fChannel="All",$D205=fChannel)),1,0))</f>
        <v>0</v>
      </c>
    </row>
    <row r="206">
      <c r="A206" s="63" t="n"/>
      <c r="B206" s="64" t="n"/>
      <c r="C206" s="64" t="n"/>
      <c r="D206" s="64" t="n"/>
      <c r="E206" s="64" t="n"/>
      <c r="F206" s="67" t="n"/>
      <c r="G206" s="67" t="n"/>
      <c r="H206" s="67" t="n"/>
      <c r="I206" s="67" t="n"/>
      <c r="J206" s="67" t="n"/>
      <c r="K206" s="76" t="str">
        <f>IF(AND(ISNUMBER($H206),$H206&gt;0,ISNUMBER($J206)),$J206/$H206,"")</f>
        <v/>
      </c>
      <c r="L206" s="77" t="str">
        <f>IF(AND(ISNUMBER($J206),$J206&gt;0,ISNUMBER($G206)),$G206/$J206,"")</f>
        <v/>
      </c>
      <c r="M206" s="67" t="n"/>
      <c r="N206" s="67" t="n"/>
      <c r="O206" s="72" t="str">
        <f>IF(AND(ISNUMBER($M206),$M206&gt;0,ISNUMBER($G206)),$G206/$M206,"")</f>
        <v/>
      </c>
      <c r="P206" s="73" t="str">
        <f>IF(AND(ISNUMBER($J206),$J206&gt;0,ISNUMBER($M206)),$M206/$J206,"")</f>
        <v/>
      </c>
      <c r="Q206" s="64" t="n"/>
      <c r="R206" s="64" t="n"/>
      <c r="S206" s="65" t="n"/>
      <c r="T206" s="65" t="n"/>
      <c r="U206" s="71" t="str">
        <f>IF(ISNUMBER($A206),YEAR($A206)&amp;"-"&amp;TEXT(MONTH($A206),"00"),"")</f>
        <v/>
      </c>
      <c r="V206" s="71">
        <f>IF($D206="",0,IF(AND(OR(fClient="All",$B206=fClient),OR(fCampaign="All",$C206=fCampaign),OR(fTeam="All",$R206=fTeam),OR(fChannel="All",$D206=fChannel),OR(fMonth="All",$U206=fMonth)),1,0))</f>
        <v>0</v>
      </c>
      <c r="W206" s="71">
        <f>IF($D206="",0,IF(AND(OR(fClient="All",$B206=fClient),OR(fCampaign="All",$C206=fCampaign),OR(fTeam="All",$R206=fTeam),OR(fChannel="All",$D206=fChannel)),1,0))</f>
        <v>0</v>
      </c>
    </row>
    <row r="207">
      <c r="A207" s="63" t="n"/>
      <c r="B207" s="64" t="n"/>
      <c r="C207" s="64" t="n"/>
      <c r="D207" s="64" t="n"/>
      <c r="E207" s="64" t="n"/>
      <c r="F207" s="67" t="n"/>
      <c r="G207" s="67" t="n"/>
      <c r="H207" s="67" t="n"/>
      <c r="I207" s="67" t="n"/>
      <c r="J207" s="67" t="n"/>
      <c r="K207" s="76" t="str">
        <f>IF(AND(ISNUMBER($H207),$H207&gt;0,ISNUMBER($J207)),$J207/$H207,"")</f>
        <v/>
      </c>
      <c r="L207" s="77" t="str">
        <f>IF(AND(ISNUMBER($J207),$J207&gt;0,ISNUMBER($G207)),$G207/$J207,"")</f>
        <v/>
      </c>
      <c r="M207" s="67" t="n"/>
      <c r="N207" s="67" t="n"/>
      <c r="O207" s="72" t="str">
        <f>IF(AND(ISNUMBER($M207),$M207&gt;0,ISNUMBER($G207)),$G207/$M207,"")</f>
        <v/>
      </c>
      <c r="P207" s="73" t="str">
        <f>IF(AND(ISNUMBER($J207),$J207&gt;0,ISNUMBER($M207)),$M207/$J207,"")</f>
        <v/>
      </c>
      <c r="Q207" s="64" t="n"/>
      <c r="R207" s="64" t="n"/>
      <c r="S207" s="65" t="n"/>
      <c r="T207" s="65" t="n"/>
      <c r="U207" s="71" t="str">
        <f>IF(ISNUMBER($A207),YEAR($A207)&amp;"-"&amp;TEXT(MONTH($A207),"00"),"")</f>
        <v/>
      </c>
      <c r="V207" s="71">
        <f>IF($D207="",0,IF(AND(OR(fClient="All",$B207=fClient),OR(fCampaign="All",$C207=fCampaign),OR(fTeam="All",$R207=fTeam),OR(fChannel="All",$D207=fChannel),OR(fMonth="All",$U207=fMonth)),1,0))</f>
        <v>0</v>
      </c>
      <c r="W207" s="71">
        <f>IF($D207="",0,IF(AND(OR(fClient="All",$B207=fClient),OR(fCampaign="All",$C207=fCampaign),OR(fTeam="All",$R207=fTeam),OR(fChannel="All",$D207=fChannel)),1,0))</f>
        <v>0</v>
      </c>
    </row>
    <row r="208">
      <c r="A208" s="63" t="n"/>
      <c r="B208" s="64" t="n"/>
      <c r="C208" s="64" t="n"/>
      <c r="D208" s="64" t="n"/>
      <c r="E208" s="64" t="n"/>
      <c r="F208" s="67" t="n"/>
      <c r="G208" s="67" t="n"/>
      <c r="H208" s="67" t="n"/>
      <c r="I208" s="67" t="n"/>
      <c r="J208" s="67" t="n"/>
      <c r="K208" s="76" t="str">
        <f>IF(AND(ISNUMBER($H208),$H208&gt;0,ISNUMBER($J208)),$J208/$H208,"")</f>
        <v/>
      </c>
      <c r="L208" s="77" t="str">
        <f>IF(AND(ISNUMBER($J208),$J208&gt;0,ISNUMBER($G208)),$G208/$J208,"")</f>
        <v/>
      </c>
      <c r="M208" s="67" t="n"/>
      <c r="N208" s="67" t="n"/>
      <c r="O208" s="72" t="str">
        <f>IF(AND(ISNUMBER($M208),$M208&gt;0,ISNUMBER($G208)),$G208/$M208,"")</f>
        <v/>
      </c>
      <c r="P208" s="73" t="str">
        <f>IF(AND(ISNUMBER($J208),$J208&gt;0,ISNUMBER($M208)),$M208/$J208,"")</f>
        <v/>
      </c>
      <c r="Q208" s="64" t="n"/>
      <c r="R208" s="64" t="n"/>
      <c r="S208" s="65" t="n"/>
      <c r="T208" s="65" t="n"/>
      <c r="U208" s="71" t="str">
        <f>IF(ISNUMBER($A208),YEAR($A208)&amp;"-"&amp;TEXT(MONTH($A208),"00"),"")</f>
        <v/>
      </c>
      <c r="V208" s="71">
        <f>IF($D208="",0,IF(AND(OR(fClient="All",$B208=fClient),OR(fCampaign="All",$C208=fCampaign),OR(fTeam="All",$R208=fTeam),OR(fChannel="All",$D208=fChannel),OR(fMonth="All",$U208=fMonth)),1,0))</f>
        <v>0</v>
      </c>
      <c r="W208" s="71">
        <f>IF($D208="",0,IF(AND(OR(fClient="All",$B208=fClient),OR(fCampaign="All",$C208=fCampaign),OR(fTeam="All",$R208=fTeam),OR(fChannel="All",$D208=fChannel)),1,0))</f>
        <v>0</v>
      </c>
    </row>
    <row r="209">
      <c r="A209" s="63" t="n"/>
      <c r="B209" s="64" t="n"/>
      <c r="C209" s="64" t="n"/>
      <c r="D209" s="64" t="n"/>
      <c r="E209" s="64" t="n"/>
      <c r="F209" s="67" t="n"/>
      <c r="G209" s="67" t="n"/>
      <c r="H209" s="67" t="n"/>
      <c r="I209" s="67" t="n"/>
      <c r="J209" s="67" t="n"/>
      <c r="K209" s="76" t="str">
        <f>IF(AND(ISNUMBER($H209),$H209&gt;0,ISNUMBER($J209)),$J209/$H209,"")</f>
        <v/>
      </c>
      <c r="L209" s="77" t="str">
        <f>IF(AND(ISNUMBER($J209),$J209&gt;0,ISNUMBER($G209)),$G209/$J209,"")</f>
        <v/>
      </c>
      <c r="M209" s="67" t="n"/>
      <c r="N209" s="67" t="n"/>
      <c r="O209" s="72" t="str">
        <f>IF(AND(ISNUMBER($M209),$M209&gt;0,ISNUMBER($G209)),$G209/$M209,"")</f>
        <v/>
      </c>
      <c r="P209" s="73" t="str">
        <f>IF(AND(ISNUMBER($J209),$J209&gt;0,ISNUMBER($M209)),$M209/$J209,"")</f>
        <v/>
      </c>
      <c r="Q209" s="64" t="n"/>
      <c r="R209" s="64" t="n"/>
      <c r="S209" s="65" t="n"/>
      <c r="T209" s="65" t="n"/>
      <c r="U209" s="71" t="str">
        <f>IF(ISNUMBER($A209),YEAR($A209)&amp;"-"&amp;TEXT(MONTH($A209),"00"),"")</f>
        <v/>
      </c>
      <c r="V209" s="71">
        <f>IF($D209="",0,IF(AND(OR(fClient="All",$B209=fClient),OR(fCampaign="All",$C209=fCampaign),OR(fTeam="All",$R209=fTeam),OR(fChannel="All",$D209=fChannel),OR(fMonth="All",$U209=fMonth)),1,0))</f>
        <v>0</v>
      </c>
      <c r="W209" s="71">
        <f>IF($D209="",0,IF(AND(OR(fClient="All",$B209=fClient),OR(fCampaign="All",$C209=fCampaign),OR(fTeam="All",$R209=fTeam),OR(fChannel="All",$D209=fChannel)),1,0))</f>
        <v>0</v>
      </c>
    </row>
    <row r="210">
      <c r="A210" s="63" t="n"/>
      <c r="B210" s="64" t="n"/>
      <c r="C210" s="64" t="n"/>
      <c r="D210" s="64" t="n"/>
      <c r="E210" s="64" t="n"/>
      <c r="F210" s="67" t="n"/>
      <c r="G210" s="67" t="n"/>
      <c r="H210" s="67" t="n"/>
      <c r="I210" s="67" t="n"/>
      <c r="J210" s="67" t="n"/>
      <c r="K210" s="76" t="str">
        <f>IF(AND(ISNUMBER($H210),$H210&gt;0,ISNUMBER($J210)),$J210/$H210,"")</f>
        <v/>
      </c>
      <c r="L210" s="77" t="str">
        <f>IF(AND(ISNUMBER($J210),$J210&gt;0,ISNUMBER($G210)),$G210/$J210,"")</f>
        <v/>
      </c>
      <c r="M210" s="67" t="n"/>
      <c r="N210" s="67" t="n"/>
      <c r="O210" s="72" t="str">
        <f>IF(AND(ISNUMBER($M210),$M210&gt;0,ISNUMBER($G210)),$G210/$M210,"")</f>
        <v/>
      </c>
      <c r="P210" s="73" t="str">
        <f>IF(AND(ISNUMBER($J210),$J210&gt;0,ISNUMBER($M210)),$M210/$J210,"")</f>
        <v/>
      </c>
      <c r="Q210" s="64" t="n"/>
      <c r="R210" s="64" t="n"/>
      <c r="S210" s="65" t="n"/>
      <c r="T210" s="65" t="n"/>
      <c r="U210" s="71" t="str">
        <f>IF(ISNUMBER($A210),YEAR($A210)&amp;"-"&amp;TEXT(MONTH($A210),"00"),"")</f>
        <v/>
      </c>
      <c r="V210" s="71">
        <f>IF($D210="",0,IF(AND(OR(fClient="All",$B210=fClient),OR(fCampaign="All",$C210=fCampaign),OR(fTeam="All",$R210=fTeam),OR(fChannel="All",$D210=fChannel),OR(fMonth="All",$U210=fMonth)),1,0))</f>
        <v>0</v>
      </c>
      <c r="W210" s="71">
        <f>IF($D210="",0,IF(AND(OR(fClient="All",$B210=fClient),OR(fCampaign="All",$C210=fCampaign),OR(fTeam="All",$R210=fTeam),OR(fChannel="All",$D210=fChannel)),1,0))</f>
        <v>0</v>
      </c>
    </row>
    <row r="211">
      <c r="A211" s="63" t="n"/>
      <c r="B211" s="64" t="n"/>
      <c r="C211" s="64" t="n"/>
      <c r="D211" s="64" t="n"/>
      <c r="E211" s="64" t="n"/>
      <c r="F211" s="67" t="n"/>
      <c r="G211" s="67" t="n"/>
      <c r="H211" s="67" t="n"/>
      <c r="I211" s="67" t="n"/>
      <c r="J211" s="67" t="n"/>
      <c r="K211" s="76" t="str">
        <f>IF(AND(ISNUMBER($H211),$H211&gt;0,ISNUMBER($J211)),$J211/$H211,"")</f>
        <v/>
      </c>
      <c r="L211" s="77" t="str">
        <f>IF(AND(ISNUMBER($J211),$J211&gt;0,ISNUMBER($G211)),$G211/$J211,"")</f>
        <v/>
      </c>
      <c r="M211" s="67" t="n"/>
      <c r="N211" s="67" t="n"/>
      <c r="O211" s="72" t="str">
        <f>IF(AND(ISNUMBER($M211),$M211&gt;0,ISNUMBER($G211)),$G211/$M211,"")</f>
        <v/>
      </c>
      <c r="P211" s="73" t="str">
        <f>IF(AND(ISNUMBER($J211),$J211&gt;0,ISNUMBER($M211)),$M211/$J211,"")</f>
        <v/>
      </c>
      <c r="Q211" s="64" t="n"/>
      <c r="R211" s="64" t="n"/>
      <c r="S211" s="65" t="n"/>
      <c r="T211" s="65" t="n"/>
      <c r="U211" s="71" t="str">
        <f>IF(ISNUMBER($A211),YEAR($A211)&amp;"-"&amp;TEXT(MONTH($A211),"00"),"")</f>
        <v/>
      </c>
      <c r="V211" s="71">
        <f>IF($D211="",0,IF(AND(OR(fClient="All",$B211=fClient),OR(fCampaign="All",$C211=fCampaign),OR(fTeam="All",$R211=fTeam),OR(fChannel="All",$D211=fChannel),OR(fMonth="All",$U211=fMonth)),1,0))</f>
        <v>0</v>
      </c>
      <c r="W211" s="71">
        <f>IF($D211="",0,IF(AND(OR(fClient="All",$B211=fClient),OR(fCampaign="All",$C211=fCampaign),OR(fTeam="All",$R211=fTeam),OR(fChannel="All",$D211=fChannel)),1,0))</f>
        <v>0</v>
      </c>
    </row>
    <row r="212">
      <c r="A212" s="63" t="n"/>
      <c r="B212" s="64" t="n"/>
      <c r="C212" s="64" t="n"/>
      <c r="D212" s="64" t="n"/>
      <c r="E212" s="64" t="n"/>
      <c r="F212" s="67" t="n"/>
      <c r="G212" s="67" t="n"/>
      <c r="H212" s="67" t="n"/>
      <c r="I212" s="67" t="n"/>
      <c r="J212" s="67" t="n"/>
      <c r="K212" s="76" t="str">
        <f>IF(AND(ISNUMBER($H212),$H212&gt;0,ISNUMBER($J212)),$J212/$H212,"")</f>
        <v/>
      </c>
      <c r="L212" s="77" t="str">
        <f>IF(AND(ISNUMBER($J212),$J212&gt;0,ISNUMBER($G212)),$G212/$J212,"")</f>
        <v/>
      </c>
      <c r="M212" s="67" t="n"/>
      <c r="N212" s="67" t="n"/>
      <c r="O212" s="72" t="str">
        <f>IF(AND(ISNUMBER($M212),$M212&gt;0,ISNUMBER($G212)),$G212/$M212,"")</f>
        <v/>
      </c>
      <c r="P212" s="73" t="str">
        <f>IF(AND(ISNUMBER($J212),$J212&gt;0,ISNUMBER($M212)),$M212/$J212,"")</f>
        <v/>
      </c>
      <c r="Q212" s="64" t="n"/>
      <c r="R212" s="64" t="n"/>
      <c r="S212" s="65" t="n"/>
      <c r="T212" s="65" t="n"/>
      <c r="U212" s="71" t="str">
        <f>IF(ISNUMBER($A212),YEAR($A212)&amp;"-"&amp;TEXT(MONTH($A212),"00"),"")</f>
        <v/>
      </c>
      <c r="V212" s="71">
        <f>IF($D212="",0,IF(AND(OR(fClient="All",$B212=fClient),OR(fCampaign="All",$C212=fCampaign),OR(fTeam="All",$R212=fTeam),OR(fChannel="All",$D212=fChannel),OR(fMonth="All",$U212=fMonth)),1,0))</f>
        <v>0</v>
      </c>
      <c r="W212" s="71">
        <f>IF($D212="",0,IF(AND(OR(fClient="All",$B212=fClient),OR(fCampaign="All",$C212=fCampaign),OR(fTeam="All",$R212=fTeam),OR(fChannel="All",$D212=fChannel)),1,0))</f>
        <v>0</v>
      </c>
    </row>
    <row r="213">
      <c r="A213" s="63" t="n"/>
      <c r="B213" s="64" t="n"/>
      <c r="C213" s="64" t="n"/>
      <c r="D213" s="64" t="n"/>
      <c r="E213" s="64" t="n"/>
      <c r="F213" s="67" t="n"/>
      <c r="G213" s="67" t="n"/>
      <c r="H213" s="67" t="n"/>
      <c r="I213" s="67" t="n"/>
      <c r="J213" s="67" t="n"/>
      <c r="K213" s="76" t="str">
        <f>IF(AND(ISNUMBER($H213),$H213&gt;0,ISNUMBER($J213)),$J213/$H213,"")</f>
        <v/>
      </c>
      <c r="L213" s="77" t="str">
        <f>IF(AND(ISNUMBER($J213),$J213&gt;0,ISNUMBER($G213)),$G213/$J213,"")</f>
        <v/>
      </c>
      <c r="M213" s="67" t="n"/>
      <c r="N213" s="67" t="n"/>
      <c r="O213" s="72" t="str">
        <f>IF(AND(ISNUMBER($M213),$M213&gt;0,ISNUMBER($G213)),$G213/$M213,"")</f>
        <v/>
      </c>
      <c r="P213" s="73" t="str">
        <f>IF(AND(ISNUMBER($J213),$J213&gt;0,ISNUMBER($M213)),$M213/$J213,"")</f>
        <v/>
      </c>
      <c r="Q213" s="64" t="n"/>
      <c r="R213" s="64" t="n"/>
      <c r="S213" s="65" t="n"/>
      <c r="T213" s="65" t="n"/>
      <c r="U213" s="71" t="str">
        <f>IF(ISNUMBER($A213),YEAR($A213)&amp;"-"&amp;TEXT(MONTH($A213),"00"),"")</f>
        <v/>
      </c>
      <c r="V213" s="71">
        <f>IF($D213="",0,IF(AND(OR(fClient="All",$B213=fClient),OR(fCampaign="All",$C213=fCampaign),OR(fTeam="All",$R213=fTeam),OR(fChannel="All",$D213=fChannel),OR(fMonth="All",$U213=fMonth)),1,0))</f>
        <v>0</v>
      </c>
      <c r="W213" s="71">
        <f>IF($D213="",0,IF(AND(OR(fClient="All",$B213=fClient),OR(fCampaign="All",$C213=fCampaign),OR(fTeam="All",$R213=fTeam),OR(fChannel="All",$D213=fChannel)),1,0))</f>
        <v>0</v>
      </c>
    </row>
    <row r="214">
      <c r="A214" s="63" t="n"/>
      <c r="B214" s="64" t="n"/>
      <c r="C214" s="64" t="n"/>
      <c r="D214" s="64" t="n"/>
      <c r="E214" s="64" t="n"/>
      <c r="F214" s="67" t="n"/>
      <c r="G214" s="67" t="n"/>
      <c r="H214" s="67" t="n"/>
      <c r="I214" s="67" t="n"/>
      <c r="J214" s="67" t="n"/>
      <c r="K214" s="76" t="str">
        <f>IF(AND(ISNUMBER($H214),$H214&gt;0,ISNUMBER($J214)),$J214/$H214,"")</f>
        <v/>
      </c>
      <c r="L214" s="77" t="str">
        <f>IF(AND(ISNUMBER($J214),$J214&gt;0,ISNUMBER($G214)),$G214/$J214,"")</f>
        <v/>
      </c>
      <c r="M214" s="67" t="n"/>
      <c r="N214" s="67" t="n"/>
      <c r="O214" s="72" t="str">
        <f>IF(AND(ISNUMBER($M214),$M214&gt;0,ISNUMBER($G214)),$G214/$M214,"")</f>
        <v/>
      </c>
      <c r="P214" s="73" t="str">
        <f>IF(AND(ISNUMBER($J214),$J214&gt;0,ISNUMBER($M214)),$M214/$J214,"")</f>
        <v/>
      </c>
      <c r="Q214" s="64" t="n"/>
      <c r="R214" s="64" t="n"/>
      <c r="S214" s="65" t="n"/>
      <c r="T214" s="65" t="n"/>
      <c r="U214" s="71" t="str">
        <f>IF(ISNUMBER($A214),YEAR($A214)&amp;"-"&amp;TEXT(MONTH($A214),"00"),"")</f>
        <v/>
      </c>
      <c r="V214" s="71">
        <f>IF($D214="",0,IF(AND(OR(fClient="All",$B214=fClient),OR(fCampaign="All",$C214=fCampaign),OR(fTeam="All",$R214=fTeam),OR(fChannel="All",$D214=fChannel),OR(fMonth="All",$U214=fMonth)),1,0))</f>
        <v>0</v>
      </c>
      <c r="W214" s="71">
        <f>IF($D214="",0,IF(AND(OR(fClient="All",$B214=fClient),OR(fCampaign="All",$C214=fCampaign),OR(fTeam="All",$R214=fTeam),OR(fChannel="All",$D214=fChannel)),1,0))</f>
        <v>0</v>
      </c>
    </row>
    <row r="215">
      <c r="A215" s="63" t="n"/>
      <c r="B215" s="64" t="n"/>
      <c r="C215" s="64" t="n"/>
      <c r="D215" s="64" t="n"/>
      <c r="E215" s="64" t="n"/>
      <c r="F215" s="67" t="n"/>
      <c r="G215" s="67" t="n"/>
      <c r="H215" s="67" t="n"/>
      <c r="I215" s="67" t="n"/>
      <c r="J215" s="67" t="n"/>
      <c r="K215" s="76" t="str">
        <f>IF(AND(ISNUMBER($H215),$H215&gt;0,ISNUMBER($J215)),$J215/$H215,"")</f>
        <v/>
      </c>
      <c r="L215" s="77" t="str">
        <f>IF(AND(ISNUMBER($J215),$J215&gt;0,ISNUMBER($G215)),$G215/$J215,"")</f>
        <v/>
      </c>
      <c r="M215" s="67" t="n"/>
      <c r="N215" s="67" t="n"/>
      <c r="O215" s="72" t="str">
        <f>IF(AND(ISNUMBER($M215),$M215&gt;0,ISNUMBER($G215)),$G215/$M215,"")</f>
        <v/>
      </c>
      <c r="P215" s="73" t="str">
        <f>IF(AND(ISNUMBER($J215),$J215&gt;0,ISNUMBER($M215)),$M215/$J215,"")</f>
        <v/>
      </c>
      <c r="Q215" s="64" t="n"/>
      <c r="R215" s="64" t="n"/>
      <c r="S215" s="65" t="n"/>
      <c r="T215" s="65" t="n"/>
      <c r="U215" s="71" t="str">
        <f>IF(ISNUMBER($A215),YEAR($A215)&amp;"-"&amp;TEXT(MONTH($A215),"00"),"")</f>
        <v/>
      </c>
      <c r="V215" s="71">
        <f>IF($D215="",0,IF(AND(OR(fClient="All",$B215=fClient),OR(fCampaign="All",$C215=fCampaign),OR(fTeam="All",$R215=fTeam),OR(fChannel="All",$D215=fChannel),OR(fMonth="All",$U215=fMonth)),1,0))</f>
        <v>0</v>
      </c>
      <c r="W215" s="71">
        <f>IF($D215="",0,IF(AND(OR(fClient="All",$B215=fClient),OR(fCampaign="All",$C215=fCampaign),OR(fTeam="All",$R215=fTeam),OR(fChannel="All",$D215=fChannel)),1,0))</f>
        <v>0</v>
      </c>
    </row>
    <row r="216">
      <c r="A216" s="63" t="n"/>
      <c r="B216" s="64" t="n"/>
      <c r="C216" s="64" t="n"/>
      <c r="D216" s="64" t="n"/>
      <c r="E216" s="64" t="n"/>
      <c r="F216" s="67" t="n"/>
      <c r="G216" s="67" t="n"/>
      <c r="H216" s="67" t="n"/>
      <c r="I216" s="67" t="n"/>
      <c r="J216" s="67" t="n"/>
      <c r="K216" s="76" t="str">
        <f>IF(AND(ISNUMBER($H216),$H216&gt;0,ISNUMBER($J216)),$J216/$H216,"")</f>
        <v/>
      </c>
      <c r="L216" s="77" t="str">
        <f>IF(AND(ISNUMBER($J216),$J216&gt;0,ISNUMBER($G216)),$G216/$J216,"")</f>
        <v/>
      </c>
      <c r="M216" s="67" t="n"/>
      <c r="N216" s="67" t="n"/>
      <c r="O216" s="72" t="str">
        <f>IF(AND(ISNUMBER($M216),$M216&gt;0,ISNUMBER($G216)),$G216/$M216,"")</f>
        <v/>
      </c>
      <c r="P216" s="73" t="str">
        <f>IF(AND(ISNUMBER($J216),$J216&gt;0,ISNUMBER($M216)),$M216/$J216,"")</f>
        <v/>
      </c>
      <c r="Q216" s="64" t="n"/>
      <c r="R216" s="64" t="n"/>
      <c r="S216" s="65" t="n"/>
      <c r="T216" s="65" t="n"/>
      <c r="U216" s="71" t="str">
        <f>IF(ISNUMBER($A216),YEAR($A216)&amp;"-"&amp;TEXT(MONTH($A216),"00"),"")</f>
        <v/>
      </c>
      <c r="V216" s="71">
        <f>IF($D216="",0,IF(AND(OR(fClient="All",$B216=fClient),OR(fCampaign="All",$C216=fCampaign),OR(fTeam="All",$R216=fTeam),OR(fChannel="All",$D216=fChannel),OR(fMonth="All",$U216=fMonth)),1,0))</f>
        <v>0</v>
      </c>
      <c r="W216" s="71">
        <f>IF($D216="",0,IF(AND(OR(fClient="All",$B216=fClient),OR(fCampaign="All",$C216=fCampaign),OR(fTeam="All",$R216=fTeam),OR(fChannel="All",$D216=fChannel)),1,0))</f>
        <v>0</v>
      </c>
    </row>
    <row r="217">
      <c r="A217" s="63" t="n"/>
      <c r="B217" s="64" t="n"/>
      <c r="C217" s="64" t="n"/>
      <c r="D217" s="64" t="n"/>
      <c r="E217" s="64" t="n"/>
      <c r="F217" s="67" t="n"/>
      <c r="G217" s="67" t="n"/>
      <c r="H217" s="67" t="n"/>
      <c r="I217" s="67" t="n"/>
      <c r="J217" s="67" t="n"/>
      <c r="K217" s="76" t="str">
        <f>IF(AND(ISNUMBER($H217),$H217&gt;0,ISNUMBER($J217)),$J217/$H217,"")</f>
        <v/>
      </c>
      <c r="L217" s="77" t="str">
        <f>IF(AND(ISNUMBER($J217),$J217&gt;0,ISNUMBER($G217)),$G217/$J217,"")</f>
        <v/>
      </c>
      <c r="M217" s="67" t="n"/>
      <c r="N217" s="67" t="n"/>
      <c r="O217" s="72" t="str">
        <f>IF(AND(ISNUMBER($M217),$M217&gt;0,ISNUMBER($G217)),$G217/$M217,"")</f>
        <v/>
      </c>
      <c r="P217" s="73" t="str">
        <f>IF(AND(ISNUMBER($J217),$J217&gt;0,ISNUMBER($M217)),$M217/$J217,"")</f>
        <v/>
      </c>
      <c r="Q217" s="64" t="n"/>
      <c r="R217" s="64" t="n"/>
      <c r="S217" s="65" t="n"/>
      <c r="T217" s="65" t="n"/>
      <c r="U217" s="71" t="str">
        <f>IF(ISNUMBER($A217),YEAR($A217)&amp;"-"&amp;TEXT(MONTH($A217),"00"),"")</f>
        <v/>
      </c>
      <c r="V217" s="71">
        <f>IF($D217="",0,IF(AND(OR(fClient="All",$B217=fClient),OR(fCampaign="All",$C217=fCampaign),OR(fTeam="All",$R217=fTeam),OR(fChannel="All",$D217=fChannel),OR(fMonth="All",$U217=fMonth)),1,0))</f>
        <v>0</v>
      </c>
      <c r="W217" s="71">
        <f>IF($D217="",0,IF(AND(OR(fClient="All",$B217=fClient),OR(fCampaign="All",$C217=fCampaign),OR(fTeam="All",$R217=fTeam),OR(fChannel="All",$D217=fChannel)),1,0))</f>
        <v>0</v>
      </c>
    </row>
    <row r="218">
      <c r="A218" s="63" t="n"/>
      <c r="B218" s="64" t="n"/>
      <c r="C218" s="64" t="n"/>
      <c r="D218" s="64" t="n"/>
      <c r="E218" s="64" t="n"/>
      <c r="F218" s="67" t="n"/>
      <c r="G218" s="67" t="n"/>
      <c r="H218" s="67" t="n"/>
      <c r="I218" s="67" t="n"/>
      <c r="J218" s="67" t="n"/>
      <c r="K218" s="76" t="str">
        <f>IF(AND(ISNUMBER($H218),$H218&gt;0,ISNUMBER($J218)),$J218/$H218,"")</f>
        <v/>
      </c>
      <c r="L218" s="77" t="str">
        <f>IF(AND(ISNUMBER($J218),$J218&gt;0,ISNUMBER($G218)),$G218/$J218,"")</f>
        <v/>
      </c>
      <c r="M218" s="67" t="n"/>
      <c r="N218" s="67" t="n"/>
      <c r="O218" s="72" t="str">
        <f>IF(AND(ISNUMBER($M218),$M218&gt;0,ISNUMBER($G218)),$G218/$M218,"")</f>
        <v/>
      </c>
      <c r="P218" s="73" t="str">
        <f>IF(AND(ISNUMBER($J218),$J218&gt;0,ISNUMBER($M218)),$M218/$J218,"")</f>
        <v/>
      </c>
      <c r="Q218" s="64" t="n"/>
      <c r="R218" s="64" t="n"/>
      <c r="S218" s="65" t="n"/>
      <c r="T218" s="65" t="n"/>
      <c r="U218" s="71" t="str">
        <f>IF(ISNUMBER($A218),YEAR($A218)&amp;"-"&amp;TEXT(MONTH($A218),"00"),"")</f>
        <v/>
      </c>
      <c r="V218" s="71">
        <f>IF($D218="",0,IF(AND(OR(fClient="All",$B218=fClient),OR(fCampaign="All",$C218=fCampaign),OR(fTeam="All",$R218=fTeam),OR(fChannel="All",$D218=fChannel),OR(fMonth="All",$U218=fMonth)),1,0))</f>
        <v>0</v>
      </c>
      <c r="W218" s="71">
        <f>IF($D218="",0,IF(AND(OR(fClient="All",$B218=fClient),OR(fCampaign="All",$C218=fCampaign),OR(fTeam="All",$R218=fTeam),OR(fChannel="All",$D218=fChannel)),1,0))</f>
        <v>0</v>
      </c>
    </row>
    <row r="219">
      <c r="A219" s="63" t="n"/>
      <c r="B219" s="64" t="n"/>
      <c r="C219" s="64" t="n"/>
      <c r="D219" s="64" t="n"/>
      <c r="E219" s="64" t="n"/>
      <c r="F219" s="67" t="n"/>
      <c r="G219" s="67" t="n"/>
      <c r="H219" s="67" t="n"/>
      <c r="I219" s="67" t="n"/>
      <c r="J219" s="67" t="n"/>
      <c r="K219" s="76" t="str">
        <f>IF(AND(ISNUMBER($H219),$H219&gt;0,ISNUMBER($J219)),$J219/$H219,"")</f>
        <v/>
      </c>
      <c r="L219" s="77" t="str">
        <f>IF(AND(ISNUMBER($J219),$J219&gt;0,ISNUMBER($G219)),$G219/$J219,"")</f>
        <v/>
      </c>
      <c r="M219" s="67" t="n"/>
      <c r="N219" s="67" t="n"/>
      <c r="O219" s="72" t="str">
        <f>IF(AND(ISNUMBER($M219),$M219&gt;0,ISNUMBER($G219)),$G219/$M219,"")</f>
        <v/>
      </c>
      <c r="P219" s="73" t="str">
        <f>IF(AND(ISNUMBER($J219),$J219&gt;0,ISNUMBER($M219)),$M219/$J219,"")</f>
        <v/>
      </c>
      <c r="Q219" s="64" t="n"/>
      <c r="R219" s="64" t="n"/>
      <c r="S219" s="65" t="n"/>
      <c r="T219" s="65" t="n"/>
      <c r="U219" s="71" t="str">
        <f>IF(ISNUMBER($A219),YEAR($A219)&amp;"-"&amp;TEXT(MONTH($A219),"00"),"")</f>
        <v/>
      </c>
      <c r="V219" s="71">
        <f>IF($D219="",0,IF(AND(OR(fClient="All",$B219=fClient),OR(fCampaign="All",$C219=fCampaign),OR(fTeam="All",$R219=fTeam),OR(fChannel="All",$D219=fChannel),OR(fMonth="All",$U219=fMonth)),1,0))</f>
        <v>0</v>
      </c>
      <c r="W219" s="71">
        <f>IF($D219="",0,IF(AND(OR(fClient="All",$B219=fClient),OR(fCampaign="All",$C219=fCampaign),OR(fTeam="All",$R219=fTeam),OR(fChannel="All",$D219=fChannel)),1,0))</f>
        <v>0</v>
      </c>
    </row>
    <row r="220">
      <c r="A220" s="63" t="n"/>
      <c r="B220" s="64" t="n"/>
      <c r="C220" s="64" t="n"/>
      <c r="D220" s="64" t="n"/>
      <c r="E220" s="64" t="n"/>
      <c r="F220" s="67" t="n"/>
      <c r="G220" s="67" t="n"/>
      <c r="H220" s="67" t="n"/>
      <c r="I220" s="67" t="n"/>
      <c r="J220" s="67" t="n"/>
      <c r="K220" s="76" t="str">
        <f>IF(AND(ISNUMBER($H220),$H220&gt;0,ISNUMBER($J220)),$J220/$H220,"")</f>
        <v/>
      </c>
      <c r="L220" s="77" t="str">
        <f>IF(AND(ISNUMBER($J220),$J220&gt;0,ISNUMBER($G220)),$G220/$J220,"")</f>
        <v/>
      </c>
      <c r="M220" s="67" t="n"/>
      <c r="N220" s="67" t="n"/>
      <c r="O220" s="72" t="str">
        <f>IF(AND(ISNUMBER($M220),$M220&gt;0,ISNUMBER($G220)),$G220/$M220,"")</f>
        <v/>
      </c>
      <c r="P220" s="73" t="str">
        <f>IF(AND(ISNUMBER($J220),$J220&gt;0,ISNUMBER($M220)),$M220/$J220,"")</f>
        <v/>
      </c>
      <c r="Q220" s="64" t="n"/>
      <c r="R220" s="64" t="n"/>
      <c r="S220" s="65" t="n"/>
      <c r="T220" s="65" t="n"/>
      <c r="U220" s="71" t="str">
        <f>IF(ISNUMBER($A220),YEAR($A220)&amp;"-"&amp;TEXT(MONTH($A220),"00"),"")</f>
        <v/>
      </c>
      <c r="V220" s="71">
        <f>IF($D220="",0,IF(AND(OR(fClient="All",$B220=fClient),OR(fCampaign="All",$C220=fCampaign),OR(fTeam="All",$R220=fTeam),OR(fChannel="All",$D220=fChannel),OR(fMonth="All",$U220=fMonth)),1,0))</f>
        <v>0</v>
      </c>
      <c r="W220" s="71">
        <f>IF($D220="",0,IF(AND(OR(fClient="All",$B220=fClient),OR(fCampaign="All",$C220=fCampaign),OR(fTeam="All",$R220=fTeam),OR(fChannel="All",$D220=fChannel)),1,0))</f>
        <v>0</v>
      </c>
    </row>
    <row r="221">
      <c r="A221" s="63" t="n"/>
      <c r="B221" s="64" t="n"/>
      <c r="C221" s="64" t="n"/>
      <c r="D221" s="64" t="n"/>
      <c r="E221" s="64" t="n"/>
      <c r="F221" s="67" t="n"/>
      <c r="G221" s="67" t="n"/>
      <c r="H221" s="67" t="n"/>
      <c r="I221" s="67" t="n"/>
      <c r="J221" s="67" t="n"/>
      <c r="K221" s="76" t="str">
        <f>IF(AND(ISNUMBER($H221),$H221&gt;0,ISNUMBER($J221)),$J221/$H221,"")</f>
        <v/>
      </c>
      <c r="L221" s="77" t="str">
        <f>IF(AND(ISNUMBER($J221),$J221&gt;0,ISNUMBER($G221)),$G221/$J221,"")</f>
        <v/>
      </c>
      <c r="M221" s="67" t="n"/>
      <c r="N221" s="67" t="n"/>
      <c r="O221" s="72" t="str">
        <f>IF(AND(ISNUMBER($M221),$M221&gt;0,ISNUMBER($G221)),$G221/$M221,"")</f>
        <v/>
      </c>
      <c r="P221" s="73" t="str">
        <f>IF(AND(ISNUMBER($J221),$J221&gt;0,ISNUMBER($M221)),$M221/$J221,"")</f>
        <v/>
      </c>
      <c r="Q221" s="64" t="n"/>
      <c r="R221" s="64" t="n"/>
      <c r="S221" s="65" t="n"/>
      <c r="T221" s="65" t="n"/>
      <c r="U221" s="71" t="str">
        <f>IF(ISNUMBER($A221),YEAR($A221)&amp;"-"&amp;TEXT(MONTH($A221),"00"),"")</f>
        <v/>
      </c>
      <c r="V221" s="71">
        <f>IF($D221="",0,IF(AND(OR(fClient="All",$B221=fClient),OR(fCampaign="All",$C221=fCampaign),OR(fTeam="All",$R221=fTeam),OR(fChannel="All",$D221=fChannel),OR(fMonth="All",$U221=fMonth)),1,0))</f>
        <v>0</v>
      </c>
      <c r="W221" s="71">
        <f>IF($D221="",0,IF(AND(OR(fClient="All",$B221=fClient),OR(fCampaign="All",$C221=fCampaign),OR(fTeam="All",$R221=fTeam),OR(fChannel="All",$D221=fChannel)),1,0))</f>
        <v>0</v>
      </c>
    </row>
    <row r="222">
      <c r="A222" s="63" t="n"/>
      <c r="B222" s="64" t="n"/>
      <c r="C222" s="64" t="n"/>
      <c r="D222" s="64" t="n"/>
      <c r="E222" s="64" t="n"/>
      <c r="F222" s="67" t="n"/>
      <c r="G222" s="67" t="n"/>
      <c r="H222" s="67" t="n"/>
      <c r="I222" s="67" t="n"/>
      <c r="J222" s="67" t="n"/>
      <c r="K222" s="76" t="str">
        <f>IF(AND(ISNUMBER($H222),$H222&gt;0,ISNUMBER($J222)),$J222/$H222,"")</f>
        <v/>
      </c>
      <c r="L222" s="77" t="str">
        <f>IF(AND(ISNUMBER($J222),$J222&gt;0,ISNUMBER($G222)),$G222/$J222,"")</f>
        <v/>
      </c>
      <c r="M222" s="67" t="n"/>
      <c r="N222" s="67" t="n"/>
      <c r="O222" s="72" t="str">
        <f>IF(AND(ISNUMBER($M222),$M222&gt;0,ISNUMBER($G222)),$G222/$M222,"")</f>
        <v/>
      </c>
      <c r="P222" s="73" t="str">
        <f>IF(AND(ISNUMBER($J222),$J222&gt;0,ISNUMBER($M222)),$M222/$J222,"")</f>
        <v/>
      </c>
      <c r="Q222" s="64" t="n"/>
      <c r="R222" s="64" t="n"/>
      <c r="S222" s="65" t="n"/>
      <c r="T222" s="65" t="n"/>
      <c r="U222" s="71" t="str">
        <f>IF(ISNUMBER($A222),YEAR($A222)&amp;"-"&amp;TEXT(MONTH($A222),"00"),"")</f>
        <v/>
      </c>
      <c r="V222" s="71">
        <f>IF($D222="",0,IF(AND(OR(fClient="All",$B222=fClient),OR(fCampaign="All",$C222=fCampaign),OR(fTeam="All",$R222=fTeam),OR(fChannel="All",$D222=fChannel),OR(fMonth="All",$U222=fMonth)),1,0))</f>
        <v>0</v>
      </c>
      <c r="W222" s="71">
        <f>IF($D222="",0,IF(AND(OR(fClient="All",$B222=fClient),OR(fCampaign="All",$C222=fCampaign),OR(fTeam="All",$R222=fTeam),OR(fChannel="All",$D222=fChannel)),1,0))</f>
        <v>0</v>
      </c>
    </row>
    <row r="223">
      <c r="A223" s="63" t="n"/>
      <c r="B223" s="64" t="n"/>
      <c r="C223" s="64" t="n"/>
      <c r="D223" s="64" t="n"/>
      <c r="E223" s="64" t="n"/>
      <c r="F223" s="67" t="n"/>
      <c r="G223" s="67" t="n"/>
      <c r="H223" s="67" t="n"/>
      <c r="I223" s="67" t="n"/>
      <c r="J223" s="67" t="n"/>
      <c r="K223" s="76" t="str">
        <f>IF(AND(ISNUMBER($H223),$H223&gt;0,ISNUMBER($J223)),$J223/$H223,"")</f>
        <v/>
      </c>
      <c r="L223" s="77" t="str">
        <f>IF(AND(ISNUMBER($J223),$J223&gt;0,ISNUMBER($G223)),$G223/$J223,"")</f>
        <v/>
      </c>
      <c r="M223" s="67" t="n"/>
      <c r="N223" s="67" t="n"/>
      <c r="O223" s="72" t="str">
        <f>IF(AND(ISNUMBER($M223),$M223&gt;0,ISNUMBER($G223)),$G223/$M223,"")</f>
        <v/>
      </c>
      <c r="P223" s="73" t="str">
        <f>IF(AND(ISNUMBER($J223),$J223&gt;0,ISNUMBER($M223)),$M223/$J223,"")</f>
        <v/>
      </c>
      <c r="Q223" s="64" t="n"/>
      <c r="R223" s="64" t="n"/>
      <c r="S223" s="65" t="n"/>
      <c r="T223" s="65" t="n"/>
      <c r="U223" s="71" t="str">
        <f>IF(ISNUMBER($A223),YEAR($A223)&amp;"-"&amp;TEXT(MONTH($A223),"00"),"")</f>
        <v/>
      </c>
      <c r="V223" s="71">
        <f>IF($D223="",0,IF(AND(OR(fClient="All",$B223=fClient),OR(fCampaign="All",$C223=fCampaign),OR(fTeam="All",$R223=fTeam),OR(fChannel="All",$D223=fChannel),OR(fMonth="All",$U223=fMonth)),1,0))</f>
        <v>0</v>
      </c>
      <c r="W223" s="71">
        <f>IF($D223="",0,IF(AND(OR(fClient="All",$B223=fClient),OR(fCampaign="All",$C223=fCampaign),OR(fTeam="All",$R223=fTeam),OR(fChannel="All",$D223=fChannel)),1,0))</f>
        <v>0</v>
      </c>
    </row>
    <row r="224">
      <c r="A224" s="63" t="n"/>
      <c r="B224" s="64" t="n"/>
      <c r="C224" s="64" t="n"/>
      <c r="D224" s="64" t="n"/>
      <c r="E224" s="64" t="n"/>
      <c r="F224" s="67" t="n"/>
      <c r="G224" s="67" t="n"/>
      <c r="H224" s="67" t="n"/>
      <c r="I224" s="67" t="n"/>
      <c r="J224" s="67" t="n"/>
      <c r="K224" s="76" t="str">
        <f>IF(AND(ISNUMBER($H224),$H224&gt;0,ISNUMBER($J224)),$J224/$H224,"")</f>
        <v/>
      </c>
      <c r="L224" s="77" t="str">
        <f>IF(AND(ISNUMBER($J224),$J224&gt;0,ISNUMBER($G224)),$G224/$J224,"")</f>
        <v/>
      </c>
      <c r="M224" s="67" t="n"/>
      <c r="N224" s="67" t="n"/>
      <c r="O224" s="72" t="str">
        <f>IF(AND(ISNUMBER($M224),$M224&gt;0,ISNUMBER($G224)),$G224/$M224,"")</f>
        <v/>
      </c>
      <c r="P224" s="73" t="str">
        <f>IF(AND(ISNUMBER($J224),$J224&gt;0,ISNUMBER($M224)),$M224/$J224,"")</f>
        <v/>
      </c>
      <c r="Q224" s="64" t="n"/>
      <c r="R224" s="64" t="n"/>
      <c r="S224" s="65" t="n"/>
      <c r="T224" s="65" t="n"/>
      <c r="U224" s="71" t="str">
        <f>IF(ISNUMBER($A224),YEAR($A224)&amp;"-"&amp;TEXT(MONTH($A224),"00"),"")</f>
        <v/>
      </c>
      <c r="V224" s="71">
        <f>IF($D224="",0,IF(AND(OR(fClient="All",$B224=fClient),OR(fCampaign="All",$C224=fCampaign),OR(fTeam="All",$R224=fTeam),OR(fChannel="All",$D224=fChannel),OR(fMonth="All",$U224=fMonth)),1,0))</f>
        <v>0</v>
      </c>
      <c r="W224" s="71">
        <f>IF($D224="",0,IF(AND(OR(fClient="All",$B224=fClient),OR(fCampaign="All",$C224=fCampaign),OR(fTeam="All",$R224=fTeam),OR(fChannel="All",$D224=fChannel)),1,0))</f>
        <v>0</v>
      </c>
    </row>
    <row r="225">
      <c r="A225" s="63" t="n"/>
      <c r="B225" s="64" t="n"/>
      <c r="C225" s="64" t="n"/>
      <c r="D225" s="64" t="n"/>
      <c r="E225" s="64" t="n"/>
      <c r="F225" s="67" t="n"/>
      <c r="G225" s="67" t="n"/>
      <c r="H225" s="67" t="n"/>
      <c r="I225" s="67" t="n"/>
      <c r="J225" s="67" t="n"/>
      <c r="K225" s="76" t="str">
        <f>IF(AND(ISNUMBER($H225),$H225&gt;0,ISNUMBER($J225)),$J225/$H225,"")</f>
        <v/>
      </c>
      <c r="L225" s="77" t="str">
        <f>IF(AND(ISNUMBER($J225),$J225&gt;0,ISNUMBER($G225)),$G225/$J225,"")</f>
        <v/>
      </c>
      <c r="M225" s="67" t="n"/>
      <c r="N225" s="67" t="n"/>
      <c r="O225" s="72" t="str">
        <f>IF(AND(ISNUMBER($M225),$M225&gt;0,ISNUMBER($G225)),$G225/$M225,"")</f>
        <v/>
      </c>
      <c r="P225" s="73" t="str">
        <f>IF(AND(ISNUMBER($J225),$J225&gt;0,ISNUMBER($M225)),$M225/$J225,"")</f>
        <v/>
      </c>
      <c r="Q225" s="64" t="n"/>
      <c r="R225" s="64" t="n"/>
      <c r="S225" s="65" t="n"/>
      <c r="T225" s="65" t="n"/>
      <c r="U225" s="71" t="str">
        <f>IF(ISNUMBER($A225),YEAR($A225)&amp;"-"&amp;TEXT(MONTH($A225),"00"),"")</f>
        <v/>
      </c>
      <c r="V225" s="71">
        <f>IF($D225="",0,IF(AND(OR(fClient="All",$B225=fClient),OR(fCampaign="All",$C225=fCampaign),OR(fTeam="All",$R225=fTeam),OR(fChannel="All",$D225=fChannel),OR(fMonth="All",$U225=fMonth)),1,0))</f>
        <v>0</v>
      </c>
      <c r="W225" s="71">
        <f>IF($D225="",0,IF(AND(OR(fClient="All",$B225=fClient),OR(fCampaign="All",$C225=fCampaign),OR(fTeam="All",$R225=fTeam),OR(fChannel="All",$D225=fChannel)),1,0))</f>
        <v>0</v>
      </c>
    </row>
    <row r="226">
      <c r="A226" s="63" t="n"/>
      <c r="B226" s="64" t="n"/>
      <c r="C226" s="64" t="n"/>
      <c r="D226" s="64" t="n"/>
      <c r="E226" s="64" t="n"/>
      <c r="F226" s="67" t="n"/>
      <c r="G226" s="67" t="n"/>
      <c r="H226" s="67" t="n"/>
      <c r="I226" s="67" t="n"/>
      <c r="J226" s="67" t="n"/>
      <c r="K226" s="76" t="str">
        <f>IF(AND(ISNUMBER($H226),$H226&gt;0,ISNUMBER($J226)),$J226/$H226,"")</f>
        <v/>
      </c>
      <c r="L226" s="77" t="str">
        <f>IF(AND(ISNUMBER($J226),$J226&gt;0,ISNUMBER($G226)),$G226/$J226,"")</f>
        <v/>
      </c>
      <c r="M226" s="67" t="n"/>
      <c r="N226" s="67" t="n"/>
      <c r="O226" s="72" t="str">
        <f>IF(AND(ISNUMBER($M226),$M226&gt;0,ISNUMBER($G226)),$G226/$M226,"")</f>
        <v/>
      </c>
      <c r="P226" s="73" t="str">
        <f>IF(AND(ISNUMBER($J226),$J226&gt;0,ISNUMBER($M226)),$M226/$J226,"")</f>
        <v/>
      </c>
      <c r="Q226" s="64" t="n"/>
      <c r="R226" s="64" t="n"/>
      <c r="S226" s="65" t="n"/>
      <c r="T226" s="65" t="n"/>
      <c r="U226" s="71" t="str">
        <f>IF(ISNUMBER($A226),YEAR($A226)&amp;"-"&amp;TEXT(MONTH($A226),"00"),"")</f>
        <v/>
      </c>
      <c r="V226" s="71">
        <f>IF($D226="",0,IF(AND(OR(fClient="All",$B226=fClient),OR(fCampaign="All",$C226=fCampaign),OR(fTeam="All",$R226=fTeam),OR(fChannel="All",$D226=fChannel),OR(fMonth="All",$U226=fMonth)),1,0))</f>
        <v>0</v>
      </c>
      <c r="W226" s="71">
        <f>IF($D226="",0,IF(AND(OR(fClient="All",$B226=fClient),OR(fCampaign="All",$C226=fCampaign),OR(fTeam="All",$R226=fTeam),OR(fChannel="All",$D226=fChannel)),1,0))</f>
        <v>0</v>
      </c>
    </row>
    <row r="227">
      <c r="A227" s="63" t="n"/>
      <c r="B227" s="64" t="n"/>
      <c r="C227" s="64" t="n"/>
      <c r="D227" s="64" t="n"/>
      <c r="E227" s="64" t="n"/>
      <c r="F227" s="67" t="n"/>
      <c r="G227" s="67" t="n"/>
      <c r="H227" s="67" t="n"/>
      <c r="I227" s="67" t="n"/>
      <c r="J227" s="67" t="n"/>
      <c r="K227" s="76" t="str">
        <f>IF(AND(ISNUMBER($H227),$H227&gt;0,ISNUMBER($J227)),$J227/$H227,"")</f>
        <v/>
      </c>
      <c r="L227" s="77" t="str">
        <f>IF(AND(ISNUMBER($J227),$J227&gt;0,ISNUMBER($G227)),$G227/$J227,"")</f>
        <v/>
      </c>
      <c r="M227" s="67" t="n"/>
      <c r="N227" s="67" t="n"/>
      <c r="O227" s="72" t="str">
        <f>IF(AND(ISNUMBER($M227),$M227&gt;0,ISNUMBER($G227)),$G227/$M227,"")</f>
        <v/>
      </c>
      <c r="P227" s="73" t="str">
        <f>IF(AND(ISNUMBER($J227),$J227&gt;0,ISNUMBER($M227)),$M227/$J227,"")</f>
        <v/>
      </c>
      <c r="Q227" s="64" t="n"/>
      <c r="R227" s="64" t="n"/>
      <c r="S227" s="65" t="n"/>
      <c r="T227" s="65" t="n"/>
      <c r="U227" s="71" t="str">
        <f>IF(ISNUMBER($A227),YEAR($A227)&amp;"-"&amp;TEXT(MONTH($A227),"00"),"")</f>
        <v/>
      </c>
      <c r="V227" s="71">
        <f>IF($D227="",0,IF(AND(OR(fClient="All",$B227=fClient),OR(fCampaign="All",$C227=fCampaign),OR(fTeam="All",$R227=fTeam),OR(fChannel="All",$D227=fChannel),OR(fMonth="All",$U227=fMonth)),1,0))</f>
        <v>0</v>
      </c>
      <c r="W227" s="71">
        <f>IF($D227="",0,IF(AND(OR(fClient="All",$B227=fClient),OR(fCampaign="All",$C227=fCampaign),OR(fTeam="All",$R227=fTeam),OR(fChannel="All",$D227=fChannel)),1,0))</f>
        <v>0</v>
      </c>
    </row>
    <row r="228">
      <c r="A228" s="63" t="n"/>
      <c r="B228" s="64" t="n"/>
      <c r="C228" s="64" t="n"/>
      <c r="D228" s="64" t="n"/>
      <c r="E228" s="64" t="n"/>
      <c r="F228" s="67" t="n"/>
      <c r="G228" s="67" t="n"/>
      <c r="H228" s="67" t="n"/>
      <c r="I228" s="67" t="n"/>
      <c r="J228" s="67" t="n"/>
      <c r="K228" s="76" t="str">
        <f>IF(AND(ISNUMBER($H228),$H228&gt;0,ISNUMBER($J228)),$J228/$H228,"")</f>
        <v/>
      </c>
      <c r="L228" s="77" t="str">
        <f>IF(AND(ISNUMBER($J228),$J228&gt;0,ISNUMBER($G228)),$G228/$J228,"")</f>
        <v/>
      </c>
      <c r="M228" s="67" t="n"/>
      <c r="N228" s="67" t="n"/>
      <c r="O228" s="72" t="str">
        <f>IF(AND(ISNUMBER($M228),$M228&gt;0,ISNUMBER($G228)),$G228/$M228,"")</f>
        <v/>
      </c>
      <c r="P228" s="73" t="str">
        <f>IF(AND(ISNUMBER($J228),$J228&gt;0,ISNUMBER($M228)),$M228/$J228,"")</f>
        <v/>
      </c>
      <c r="Q228" s="64" t="n"/>
      <c r="R228" s="64" t="n"/>
      <c r="S228" s="65" t="n"/>
      <c r="T228" s="65" t="n"/>
      <c r="U228" s="71" t="str">
        <f>IF(ISNUMBER($A228),YEAR($A228)&amp;"-"&amp;TEXT(MONTH($A228),"00"),"")</f>
        <v/>
      </c>
      <c r="V228" s="71">
        <f>IF($D228="",0,IF(AND(OR(fClient="All",$B228=fClient),OR(fCampaign="All",$C228=fCampaign),OR(fTeam="All",$R228=fTeam),OR(fChannel="All",$D228=fChannel),OR(fMonth="All",$U228=fMonth)),1,0))</f>
        <v>0</v>
      </c>
      <c r="W228" s="71">
        <f>IF($D228="",0,IF(AND(OR(fClient="All",$B228=fClient),OR(fCampaign="All",$C228=fCampaign),OR(fTeam="All",$R228=fTeam),OR(fChannel="All",$D228=fChannel)),1,0))</f>
        <v>0</v>
      </c>
    </row>
    <row r="229">
      <c r="A229" s="63" t="n"/>
      <c r="B229" s="64" t="n"/>
      <c r="C229" s="64" t="n"/>
      <c r="D229" s="64" t="n"/>
      <c r="E229" s="64" t="n"/>
      <c r="F229" s="67" t="n"/>
      <c r="G229" s="67" t="n"/>
      <c r="H229" s="67" t="n"/>
      <c r="I229" s="67" t="n"/>
      <c r="J229" s="67" t="n"/>
      <c r="K229" s="76" t="str">
        <f>IF(AND(ISNUMBER($H229),$H229&gt;0,ISNUMBER($J229)),$J229/$H229,"")</f>
        <v/>
      </c>
      <c r="L229" s="77" t="str">
        <f>IF(AND(ISNUMBER($J229),$J229&gt;0,ISNUMBER($G229)),$G229/$J229,"")</f>
        <v/>
      </c>
      <c r="M229" s="67" t="n"/>
      <c r="N229" s="67" t="n"/>
      <c r="O229" s="72" t="str">
        <f>IF(AND(ISNUMBER($M229),$M229&gt;0,ISNUMBER($G229)),$G229/$M229,"")</f>
        <v/>
      </c>
      <c r="P229" s="73" t="str">
        <f>IF(AND(ISNUMBER($J229),$J229&gt;0,ISNUMBER($M229)),$M229/$J229,"")</f>
        <v/>
      </c>
      <c r="Q229" s="64" t="n"/>
      <c r="R229" s="64" t="n"/>
      <c r="S229" s="65" t="n"/>
      <c r="T229" s="65" t="n"/>
      <c r="U229" s="71" t="str">
        <f>IF(ISNUMBER($A229),YEAR($A229)&amp;"-"&amp;TEXT(MONTH($A229),"00"),"")</f>
        <v/>
      </c>
      <c r="V229" s="71">
        <f>IF($D229="",0,IF(AND(OR(fClient="All",$B229=fClient),OR(fCampaign="All",$C229=fCampaign),OR(fTeam="All",$R229=fTeam),OR(fChannel="All",$D229=fChannel),OR(fMonth="All",$U229=fMonth)),1,0))</f>
        <v>0</v>
      </c>
      <c r="W229" s="71">
        <f>IF($D229="",0,IF(AND(OR(fClient="All",$B229=fClient),OR(fCampaign="All",$C229=fCampaign),OR(fTeam="All",$R229=fTeam),OR(fChannel="All",$D229=fChannel)),1,0))</f>
        <v>0</v>
      </c>
    </row>
    <row r="230">
      <c r="A230" s="63" t="n"/>
      <c r="B230" s="64" t="n"/>
      <c r="C230" s="64" t="n"/>
      <c r="D230" s="64" t="n"/>
      <c r="E230" s="64" t="n"/>
      <c r="F230" s="67" t="n"/>
      <c r="G230" s="67" t="n"/>
      <c r="H230" s="67" t="n"/>
      <c r="I230" s="67" t="n"/>
      <c r="J230" s="67" t="n"/>
      <c r="K230" s="76" t="str">
        <f>IF(AND(ISNUMBER($H230),$H230&gt;0,ISNUMBER($J230)),$J230/$H230,"")</f>
        <v/>
      </c>
      <c r="L230" s="77" t="str">
        <f>IF(AND(ISNUMBER($J230),$J230&gt;0,ISNUMBER($G230)),$G230/$J230,"")</f>
        <v/>
      </c>
      <c r="M230" s="67" t="n"/>
      <c r="N230" s="67" t="n"/>
      <c r="O230" s="72" t="str">
        <f>IF(AND(ISNUMBER($M230),$M230&gt;0,ISNUMBER($G230)),$G230/$M230,"")</f>
        <v/>
      </c>
      <c r="P230" s="73" t="str">
        <f>IF(AND(ISNUMBER($J230),$J230&gt;0,ISNUMBER($M230)),$M230/$J230,"")</f>
        <v/>
      </c>
      <c r="Q230" s="64" t="n"/>
      <c r="R230" s="64" t="n"/>
      <c r="S230" s="65" t="n"/>
      <c r="T230" s="65" t="n"/>
      <c r="U230" s="71" t="str">
        <f>IF(ISNUMBER($A230),YEAR($A230)&amp;"-"&amp;TEXT(MONTH($A230),"00"),"")</f>
        <v/>
      </c>
      <c r="V230" s="71">
        <f>IF($D230="",0,IF(AND(OR(fClient="All",$B230=fClient),OR(fCampaign="All",$C230=fCampaign),OR(fTeam="All",$R230=fTeam),OR(fChannel="All",$D230=fChannel),OR(fMonth="All",$U230=fMonth)),1,0))</f>
        <v>0</v>
      </c>
      <c r="W230" s="71">
        <f>IF($D230="",0,IF(AND(OR(fClient="All",$B230=fClient),OR(fCampaign="All",$C230=fCampaign),OR(fTeam="All",$R230=fTeam),OR(fChannel="All",$D230=fChannel)),1,0))</f>
        <v>0</v>
      </c>
    </row>
    <row r="231">
      <c r="A231" s="63" t="n"/>
      <c r="B231" s="64" t="n"/>
      <c r="C231" s="64" t="n"/>
      <c r="D231" s="64" t="n"/>
      <c r="E231" s="64" t="n"/>
      <c r="F231" s="67" t="n"/>
      <c r="G231" s="67" t="n"/>
      <c r="H231" s="67" t="n"/>
      <c r="I231" s="67" t="n"/>
      <c r="J231" s="67" t="n"/>
      <c r="K231" s="76" t="str">
        <f>IF(AND(ISNUMBER($H231),$H231&gt;0,ISNUMBER($J231)),$J231/$H231,"")</f>
        <v/>
      </c>
      <c r="L231" s="77" t="str">
        <f>IF(AND(ISNUMBER($J231),$J231&gt;0,ISNUMBER($G231)),$G231/$J231,"")</f>
        <v/>
      </c>
      <c r="M231" s="67" t="n"/>
      <c r="N231" s="67" t="n"/>
      <c r="O231" s="72" t="str">
        <f>IF(AND(ISNUMBER($M231),$M231&gt;0,ISNUMBER($G231)),$G231/$M231,"")</f>
        <v/>
      </c>
      <c r="P231" s="73" t="str">
        <f>IF(AND(ISNUMBER($J231),$J231&gt;0,ISNUMBER($M231)),$M231/$J231,"")</f>
        <v/>
      </c>
      <c r="Q231" s="64" t="n"/>
      <c r="R231" s="64" t="n"/>
      <c r="S231" s="65" t="n"/>
      <c r="T231" s="65" t="n"/>
      <c r="U231" s="71" t="str">
        <f>IF(ISNUMBER($A231),YEAR($A231)&amp;"-"&amp;TEXT(MONTH($A231),"00"),"")</f>
        <v/>
      </c>
      <c r="V231" s="71">
        <f>IF($D231="",0,IF(AND(OR(fClient="All",$B231=fClient),OR(fCampaign="All",$C231=fCampaign),OR(fTeam="All",$R231=fTeam),OR(fChannel="All",$D231=fChannel),OR(fMonth="All",$U231=fMonth)),1,0))</f>
        <v>0</v>
      </c>
      <c r="W231" s="71">
        <f>IF($D231="",0,IF(AND(OR(fClient="All",$B231=fClient),OR(fCampaign="All",$C231=fCampaign),OR(fTeam="All",$R231=fTeam),OR(fChannel="All",$D231=fChannel)),1,0))</f>
        <v>0</v>
      </c>
    </row>
    <row r="232">
      <c r="A232" s="63" t="n"/>
      <c r="B232" s="64" t="n"/>
      <c r="C232" s="64" t="n"/>
      <c r="D232" s="64" t="n"/>
      <c r="E232" s="64" t="n"/>
      <c r="F232" s="67" t="n"/>
      <c r="G232" s="67" t="n"/>
      <c r="H232" s="67" t="n"/>
      <c r="I232" s="67" t="n"/>
      <c r="J232" s="67" t="n"/>
      <c r="K232" s="76" t="str">
        <f>IF(AND(ISNUMBER($H232),$H232&gt;0,ISNUMBER($J232)),$J232/$H232,"")</f>
        <v/>
      </c>
      <c r="L232" s="77" t="str">
        <f>IF(AND(ISNUMBER($J232),$J232&gt;0,ISNUMBER($G232)),$G232/$J232,"")</f>
        <v/>
      </c>
      <c r="M232" s="67" t="n"/>
      <c r="N232" s="67" t="n"/>
      <c r="O232" s="72" t="str">
        <f>IF(AND(ISNUMBER($M232),$M232&gt;0,ISNUMBER($G232)),$G232/$M232,"")</f>
        <v/>
      </c>
      <c r="P232" s="73" t="str">
        <f>IF(AND(ISNUMBER($J232),$J232&gt;0,ISNUMBER($M232)),$M232/$J232,"")</f>
        <v/>
      </c>
      <c r="Q232" s="64" t="n"/>
      <c r="R232" s="64" t="n"/>
      <c r="S232" s="65" t="n"/>
      <c r="T232" s="65" t="n"/>
      <c r="U232" s="71" t="str">
        <f>IF(ISNUMBER($A232),YEAR($A232)&amp;"-"&amp;TEXT(MONTH($A232),"00"),"")</f>
        <v/>
      </c>
      <c r="V232" s="71">
        <f>IF($D232="",0,IF(AND(OR(fClient="All",$B232=fClient),OR(fCampaign="All",$C232=fCampaign),OR(fTeam="All",$R232=fTeam),OR(fChannel="All",$D232=fChannel),OR(fMonth="All",$U232=fMonth)),1,0))</f>
        <v>0</v>
      </c>
      <c r="W232" s="71">
        <f>IF($D232="",0,IF(AND(OR(fClient="All",$B232=fClient),OR(fCampaign="All",$C232=fCampaign),OR(fTeam="All",$R232=fTeam),OR(fChannel="All",$D232=fChannel)),1,0))</f>
        <v>0</v>
      </c>
    </row>
    <row r="233">
      <c r="A233" s="63" t="n"/>
      <c r="B233" s="64" t="n"/>
      <c r="C233" s="64" t="n"/>
      <c r="D233" s="64" t="n"/>
      <c r="E233" s="64" t="n"/>
      <c r="F233" s="67" t="n"/>
      <c r="G233" s="67" t="n"/>
      <c r="H233" s="67" t="n"/>
      <c r="I233" s="67" t="n"/>
      <c r="J233" s="67" t="n"/>
      <c r="K233" s="76" t="str">
        <f>IF(AND(ISNUMBER($H233),$H233&gt;0,ISNUMBER($J233)),$J233/$H233,"")</f>
        <v/>
      </c>
      <c r="L233" s="77" t="str">
        <f>IF(AND(ISNUMBER($J233),$J233&gt;0,ISNUMBER($G233)),$G233/$J233,"")</f>
        <v/>
      </c>
      <c r="M233" s="67" t="n"/>
      <c r="N233" s="67" t="n"/>
      <c r="O233" s="72" t="str">
        <f>IF(AND(ISNUMBER($M233),$M233&gt;0,ISNUMBER($G233)),$G233/$M233,"")</f>
        <v/>
      </c>
      <c r="P233" s="73" t="str">
        <f>IF(AND(ISNUMBER($J233),$J233&gt;0,ISNUMBER($M233)),$M233/$J233,"")</f>
        <v/>
      </c>
      <c r="Q233" s="64" t="n"/>
      <c r="R233" s="64" t="n"/>
      <c r="S233" s="65" t="n"/>
      <c r="T233" s="65" t="n"/>
      <c r="U233" s="71" t="str">
        <f>IF(ISNUMBER($A233),YEAR($A233)&amp;"-"&amp;TEXT(MONTH($A233),"00"),"")</f>
        <v/>
      </c>
      <c r="V233" s="71">
        <f>IF($D233="",0,IF(AND(OR(fClient="All",$B233=fClient),OR(fCampaign="All",$C233=fCampaign),OR(fTeam="All",$R233=fTeam),OR(fChannel="All",$D233=fChannel),OR(fMonth="All",$U233=fMonth)),1,0))</f>
        <v>0</v>
      </c>
      <c r="W233" s="71">
        <f>IF($D233="",0,IF(AND(OR(fClient="All",$B233=fClient),OR(fCampaign="All",$C233=fCampaign),OR(fTeam="All",$R233=fTeam),OR(fChannel="All",$D233=fChannel)),1,0))</f>
        <v>0</v>
      </c>
    </row>
    <row r="234">
      <c r="A234" s="63" t="n"/>
      <c r="B234" s="64" t="n"/>
      <c r="C234" s="64" t="n"/>
      <c r="D234" s="64" t="n"/>
      <c r="E234" s="64" t="n"/>
      <c r="F234" s="67" t="n"/>
      <c r="G234" s="67" t="n"/>
      <c r="H234" s="67" t="n"/>
      <c r="I234" s="67" t="n"/>
      <c r="J234" s="67" t="n"/>
      <c r="K234" s="76" t="str">
        <f>IF(AND(ISNUMBER($H234),$H234&gt;0,ISNUMBER($J234)),$J234/$H234,"")</f>
        <v/>
      </c>
      <c r="L234" s="77" t="str">
        <f>IF(AND(ISNUMBER($J234),$J234&gt;0,ISNUMBER($G234)),$G234/$J234,"")</f>
        <v/>
      </c>
      <c r="M234" s="67" t="n"/>
      <c r="N234" s="67" t="n"/>
      <c r="O234" s="72" t="str">
        <f>IF(AND(ISNUMBER($M234),$M234&gt;0,ISNUMBER($G234)),$G234/$M234,"")</f>
        <v/>
      </c>
      <c r="P234" s="73" t="str">
        <f>IF(AND(ISNUMBER($J234),$J234&gt;0,ISNUMBER($M234)),$M234/$J234,"")</f>
        <v/>
      </c>
      <c r="Q234" s="64" t="n"/>
      <c r="R234" s="64" t="n"/>
      <c r="S234" s="65" t="n"/>
      <c r="T234" s="65" t="n"/>
      <c r="U234" s="71" t="str">
        <f>IF(ISNUMBER($A234),YEAR($A234)&amp;"-"&amp;TEXT(MONTH($A234),"00"),"")</f>
        <v/>
      </c>
      <c r="V234" s="71">
        <f>IF($D234="",0,IF(AND(OR(fClient="All",$B234=fClient),OR(fCampaign="All",$C234=fCampaign),OR(fTeam="All",$R234=fTeam),OR(fChannel="All",$D234=fChannel),OR(fMonth="All",$U234=fMonth)),1,0))</f>
        <v>0</v>
      </c>
      <c r="W234" s="71">
        <f>IF($D234="",0,IF(AND(OR(fClient="All",$B234=fClient),OR(fCampaign="All",$C234=fCampaign),OR(fTeam="All",$R234=fTeam),OR(fChannel="All",$D234=fChannel)),1,0))</f>
        <v>0</v>
      </c>
    </row>
    <row r="235">
      <c r="A235" s="63" t="n"/>
      <c r="B235" s="64" t="n"/>
      <c r="C235" s="64" t="n"/>
      <c r="D235" s="64" t="n"/>
      <c r="E235" s="64" t="n"/>
      <c r="F235" s="67" t="n"/>
      <c r="G235" s="67" t="n"/>
      <c r="H235" s="67" t="n"/>
      <c r="I235" s="67" t="n"/>
      <c r="J235" s="67" t="n"/>
      <c r="K235" s="76" t="str">
        <f>IF(AND(ISNUMBER($H235),$H235&gt;0,ISNUMBER($J235)),$J235/$H235,"")</f>
        <v/>
      </c>
      <c r="L235" s="77" t="str">
        <f>IF(AND(ISNUMBER($J235),$J235&gt;0,ISNUMBER($G235)),$G235/$J235,"")</f>
        <v/>
      </c>
      <c r="M235" s="67" t="n"/>
      <c r="N235" s="67" t="n"/>
      <c r="O235" s="72" t="str">
        <f>IF(AND(ISNUMBER($M235),$M235&gt;0,ISNUMBER($G235)),$G235/$M235,"")</f>
        <v/>
      </c>
      <c r="P235" s="73" t="str">
        <f>IF(AND(ISNUMBER($J235),$J235&gt;0,ISNUMBER($M235)),$M235/$J235,"")</f>
        <v/>
      </c>
      <c r="Q235" s="64" t="n"/>
      <c r="R235" s="64" t="n"/>
      <c r="S235" s="65" t="n"/>
      <c r="T235" s="65" t="n"/>
      <c r="U235" s="71" t="str">
        <f>IF(ISNUMBER($A235),YEAR($A235)&amp;"-"&amp;TEXT(MONTH($A235),"00"),"")</f>
        <v/>
      </c>
      <c r="V235" s="71">
        <f>IF($D235="",0,IF(AND(OR(fClient="All",$B235=fClient),OR(fCampaign="All",$C235=fCampaign),OR(fTeam="All",$R235=fTeam),OR(fChannel="All",$D235=fChannel),OR(fMonth="All",$U235=fMonth)),1,0))</f>
        <v>0</v>
      </c>
      <c r="W235" s="71">
        <f>IF($D235="",0,IF(AND(OR(fClient="All",$B235=fClient),OR(fCampaign="All",$C235=fCampaign),OR(fTeam="All",$R235=fTeam),OR(fChannel="All",$D235=fChannel)),1,0))</f>
        <v>0</v>
      </c>
    </row>
    <row r="236">
      <c r="A236" s="63" t="n"/>
      <c r="B236" s="64" t="n"/>
      <c r="C236" s="64" t="n"/>
      <c r="D236" s="64" t="n"/>
      <c r="E236" s="64" t="n"/>
      <c r="F236" s="67" t="n"/>
      <c r="G236" s="67" t="n"/>
      <c r="H236" s="67" t="n"/>
      <c r="I236" s="67" t="n"/>
      <c r="J236" s="67" t="n"/>
      <c r="K236" s="76" t="str">
        <f>IF(AND(ISNUMBER($H236),$H236&gt;0,ISNUMBER($J236)),$J236/$H236,"")</f>
        <v/>
      </c>
      <c r="L236" s="77" t="str">
        <f>IF(AND(ISNUMBER($J236),$J236&gt;0,ISNUMBER($G236)),$G236/$J236,"")</f>
        <v/>
      </c>
      <c r="M236" s="67" t="n"/>
      <c r="N236" s="67" t="n"/>
      <c r="O236" s="72" t="str">
        <f>IF(AND(ISNUMBER($M236),$M236&gt;0,ISNUMBER($G236)),$G236/$M236,"")</f>
        <v/>
      </c>
      <c r="P236" s="73" t="str">
        <f>IF(AND(ISNUMBER($J236),$J236&gt;0,ISNUMBER($M236)),$M236/$J236,"")</f>
        <v/>
      </c>
      <c r="Q236" s="64" t="n"/>
      <c r="R236" s="64" t="n"/>
      <c r="S236" s="65" t="n"/>
      <c r="T236" s="65" t="n"/>
      <c r="U236" s="71" t="str">
        <f>IF(ISNUMBER($A236),YEAR($A236)&amp;"-"&amp;TEXT(MONTH($A236),"00"),"")</f>
        <v/>
      </c>
      <c r="V236" s="71">
        <f>IF($D236="",0,IF(AND(OR(fClient="All",$B236=fClient),OR(fCampaign="All",$C236=fCampaign),OR(fTeam="All",$R236=fTeam),OR(fChannel="All",$D236=fChannel),OR(fMonth="All",$U236=fMonth)),1,0))</f>
        <v>0</v>
      </c>
      <c r="W236" s="71">
        <f>IF($D236="",0,IF(AND(OR(fClient="All",$B236=fClient),OR(fCampaign="All",$C236=fCampaign),OR(fTeam="All",$R236=fTeam),OR(fChannel="All",$D236=fChannel)),1,0))</f>
        <v>0</v>
      </c>
    </row>
    <row r="237">
      <c r="A237" s="63" t="n"/>
      <c r="B237" s="64" t="n"/>
      <c r="C237" s="64" t="n"/>
      <c r="D237" s="64" t="n"/>
      <c r="E237" s="64" t="n"/>
      <c r="F237" s="67" t="n"/>
      <c r="G237" s="67" t="n"/>
      <c r="H237" s="67" t="n"/>
      <c r="I237" s="67" t="n"/>
      <c r="J237" s="67" t="n"/>
      <c r="K237" s="76" t="str">
        <f>IF(AND(ISNUMBER($H237),$H237&gt;0,ISNUMBER($J237)),$J237/$H237,"")</f>
        <v/>
      </c>
      <c r="L237" s="77" t="str">
        <f>IF(AND(ISNUMBER($J237),$J237&gt;0,ISNUMBER($G237)),$G237/$J237,"")</f>
        <v/>
      </c>
      <c r="M237" s="67" t="n"/>
      <c r="N237" s="67" t="n"/>
      <c r="O237" s="72" t="str">
        <f>IF(AND(ISNUMBER($M237),$M237&gt;0,ISNUMBER($G237)),$G237/$M237,"")</f>
        <v/>
      </c>
      <c r="P237" s="73" t="str">
        <f>IF(AND(ISNUMBER($J237),$J237&gt;0,ISNUMBER($M237)),$M237/$J237,"")</f>
        <v/>
      </c>
      <c r="Q237" s="64" t="n"/>
      <c r="R237" s="64" t="n"/>
      <c r="S237" s="65" t="n"/>
      <c r="T237" s="65" t="n"/>
      <c r="U237" s="71" t="str">
        <f>IF(ISNUMBER($A237),YEAR($A237)&amp;"-"&amp;TEXT(MONTH($A237),"00"),"")</f>
        <v/>
      </c>
      <c r="V237" s="71">
        <f>IF($D237="",0,IF(AND(OR(fClient="All",$B237=fClient),OR(fCampaign="All",$C237=fCampaign),OR(fTeam="All",$R237=fTeam),OR(fChannel="All",$D237=fChannel),OR(fMonth="All",$U237=fMonth)),1,0))</f>
        <v>0</v>
      </c>
      <c r="W237" s="71">
        <f>IF($D237="",0,IF(AND(OR(fClient="All",$B237=fClient),OR(fCampaign="All",$C237=fCampaign),OR(fTeam="All",$R237=fTeam),OR(fChannel="All",$D237=fChannel)),1,0))</f>
        <v>0</v>
      </c>
    </row>
    <row r="238">
      <c r="A238" s="63" t="n"/>
      <c r="B238" s="64" t="n"/>
      <c r="C238" s="64" t="n"/>
      <c r="D238" s="64" t="n"/>
      <c r="E238" s="64" t="n"/>
      <c r="F238" s="67" t="n"/>
      <c r="G238" s="67" t="n"/>
      <c r="H238" s="67" t="n"/>
      <c r="I238" s="67" t="n"/>
      <c r="J238" s="67" t="n"/>
      <c r="K238" s="76" t="str">
        <f>IF(AND(ISNUMBER($H238),$H238&gt;0,ISNUMBER($J238)),$J238/$H238,"")</f>
        <v/>
      </c>
      <c r="L238" s="77" t="str">
        <f>IF(AND(ISNUMBER($J238),$J238&gt;0,ISNUMBER($G238)),$G238/$J238,"")</f>
        <v/>
      </c>
      <c r="M238" s="67" t="n"/>
      <c r="N238" s="67" t="n"/>
      <c r="O238" s="72" t="str">
        <f>IF(AND(ISNUMBER($M238),$M238&gt;0,ISNUMBER($G238)),$G238/$M238,"")</f>
        <v/>
      </c>
      <c r="P238" s="73" t="str">
        <f>IF(AND(ISNUMBER($J238),$J238&gt;0,ISNUMBER($M238)),$M238/$J238,"")</f>
        <v/>
      </c>
      <c r="Q238" s="64" t="n"/>
      <c r="R238" s="64" t="n"/>
      <c r="S238" s="65" t="n"/>
      <c r="T238" s="65" t="n"/>
      <c r="U238" s="71" t="str">
        <f>IF(ISNUMBER($A238),YEAR($A238)&amp;"-"&amp;TEXT(MONTH($A238),"00"),"")</f>
        <v/>
      </c>
      <c r="V238" s="71">
        <f>IF($D238="",0,IF(AND(OR(fClient="All",$B238=fClient),OR(fCampaign="All",$C238=fCampaign),OR(fTeam="All",$R238=fTeam),OR(fChannel="All",$D238=fChannel),OR(fMonth="All",$U238=fMonth)),1,0))</f>
        <v>0</v>
      </c>
      <c r="W238" s="71">
        <f>IF($D238="",0,IF(AND(OR(fClient="All",$B238=fClient),OR(fCampaign="All",$C238=fCampaign),OR(fTeam="All",$R238=fTeam),OR(fChannel="All",$D238=fChannel)),1,0))</f>
        <v>0</v>
      </c>
    </row>
    <row r="239">
      <c r="A239" s="63" t="n"/>
      <c r="B239" s="64" t="n"/>
      <c r="C239" s="64" t="n"/>
      <c r="D239" s="64" t="n"/>
      <c r="E239" s="64" t="n"/>
      <c r="F239" s="67" t="n"/>
      <c r="G239" s="67" t="n"/>
      <c r="H239" s="67" t="n"/>
      <c r="I239" s="67" t="n"/>
      <c r="J239" s="67" t="n"/>
      <c r="K239" s="76" t="str">
        <f>IF(AND(ISNUMBER($H239),$H239&gt;0,ISNUMBER($J239)),$J239/$H239,"")</f>
        <v/>
      </c>
      <c r="L239" s="77" t="str">
        <f>IF(AND(ISNUMBER($J239),$J239&gt;0,ISNUMBER($G239)),$G239/$J239,"")</f>
        <v/>
      </c>
      <c r="M239" s="67" t="n"/>
      <c r="N239" s="67" t="n"/>
      <c r="O239" s="72" t="str">
        <f>IF(AND(ISNUMBER($M239),$M239&gt;0,ISNUMBER($G239)),$G239/$M239,"")</f>
        <v/>
      </c>
      <c r="P239" s="73" t="str">
        <f>IF(AND(ISNUMBER($J239),$J239&gt;0,ISNUMBER($M239)),$M239/$J239,"")</f>
        <v/>
      </c>
      <c r="Q239" s="64" t="n"/>
      <c r="R239" s="64" t="n"/>
      <c r="S239" s="65" t="n"/>
      <c r="T239" s="65" t="n"/>
      <c r="U239" s="71" t="str">
        <f>IF(ISNUMBER($A239),YEAR($A239)&amp;"-"&amp;TEXT(MONTH($A239),"00"),"")</f>
        <v/>
      </c>
      <c r="V239" s="71">
        <f>IF($D239="",0,IF(AND(OR(fClient="All",$B239=fClient),OR(fCampaign="All",$C239=fCampaign),OR(fTeam="All",$R239=fTeam),OR(fChannel="All",$D239=fChannel),OR(fMonth="All",$U239=fMonth)),1,0))</f>
        <v>0</v>
      </c>
      <c r="W239" s="71">
        <f>IF($D239="",0,IF(AND(OR(fClient="All",$B239=fClient),OR(fCampaign="All",$C239=fCampaign),OR(fTeam="All",$R239=fTeam),OR(fChannel="All",$D239=fChannel)),1,0))</f>
        <v>0</v>
      </c>
    </row>
    <row r="240">
      <c r="A240" s="63" t="n"/>
      <c r="B240" s="64" t="n"/>
      <c r="C240" s="64" t="n"/>
      <c r="D240" s="64" t="n"/>
      <c r="E240" s="64" t="n"/>
      <c r="F240" s="67" t="n"/>
      <c r="G240" s="67" t="n"/>
      <c r="H240" s="67" t="n"/>
      <c r="I240" s="67" t="n"/>
      <c r="J240" s="67" t="n"/>
      <c r="K240" s="76" t="str">
        <f>IF(AND(ISNUMBER($H240),$H240&gt;0,ISNUMBER($J240)),$J240/$H240,"")</f>
        <v/>
      </c>
      <c r="L240" s="77" t="str">
        <f>IF(AND(ISNUMBER($J240),$J240&gt;0,ISNUMBER($G240)),$G240/$J240,"")</f>
        <v/>
      </c>
      <c r="M240" s="67" t="n"/>
      <c r="N240" s="67" t="n"/>
      <c r="O240" s="72" t="str">
        <f>IF(AND(ISNUMBER($M240),$M240&gt;0,ISNUMBER($G240)),$G240/$M240,"")</f>
        <v/>
      </c>
      <c r="P240" s="73" t="str">
        <f>IF(AND(ISNUMBER($J240),$J240&gt;0,ISNUMBER($M240)),$M240/$J240,"")</f>
        <v/>
      </c>
      <c r="Q240" s="64" t="n"/>
      <c r="R240" s="64" t="n"/>
      <c r="S240" s="65" t="n"/>
      <c r="T240" s="65" t="n"/>
      <c r="U240" s="71" t="str">
        <f>IF(ISNUMBER($A240),YEAR($A240)&amp;"-"&amp;TEXT(MONTH($A240),"00"),"")</f>
        <v/>
      </c>
      <c r="V240" s="71">
        <f>IF($D240="",0,IF(AND(OR(fClient="All",$B240=fClient),OR(fCampaign="All",$C240=fCampaign),OR(fTeam="All",$R240=fTeam),OR(fChannel="All",$D240=fChannel),OR(fMonth="All",$U240=fMonth)),1,0))</f>
        <v>0</v>
      </c>
      <c r="W240" s="71">
        <f>IF($D240="",0,IF(AND(OR(fClient="All",$B240=fClient),OR(fCampaign="All",$C240=fCampaign),OR(fTeam="All",$R240=fTeam),OR(fChannel="All",$D240=fChannel)),1,0))</f>
        <v>0</v>
      </c>
    </row>
    <row r="241">
      <c r="A241" s="63" t="n"/>
      <c r="B241" s="64" t="n"/>
      <c r="C241" s="64" t="n"/>
      <c r="D241" s="64" t="n"/>
      <c r="E241" s="64" t="n"/>
      <c r="F241" s="67" t="n"/>
      <c r="G241" s="67" t="n"/>
      <c r="H241" s="67" t="n"/>
      <c r="I241" s="67" t="n"/>
      <c r="J241" s="67" t="n"/>
      <c r="K241" s="76" t="str">
        <f>IF(AND(ISNUMBER($H241),$H241&gt;0,ISNUMBER($J241)),$J241/$H241,"")</f>
        <v/>
      </c>
      <c r="L241" s="77" t="str">
        <f>IF(AND(ISNUMBER($J241),$J241&gt;0,ISNUMBER($G241)),$G241/$J241,"")</f>
        <v/>
      </c>
      <c r="M241" s="67" t="n"/>
      <c r="N241" s="67" t="n"/>
      <c r="O241" s="72" t="str">
        <f>IF(AND(ISNUMBER($M241),$M241&gt;0,ISNUMBER($G241)),$G241/$M241,"")</f>
        <v/>
      </c>
      <c r="P241" s="73" t="str">
        <f>IF(AND(ISNUMBER($J241),$J241&gt;0,ISNUMBER($M241)),$M241/$J241,"")</f>
        <v/>
      </c>
      <c r="Q241" s="64" t="n"/>
      <c r="R241" s="64" t="n"/>
      <c r="S241" s="65" t="n"/>
      <c r="T241" s="65" t="n"/>
      <c r="U241" s="71" t="str">
        <f>IF(ISNUMBER($A241),YEAR($A241)&amp;"-"&amp;TEXT(MONTH($A241),"00"),"")</f>
        <v/>
      </c>
      <c r="V241" s="71">
        <f>IF($D241="",0,IF(AND(OR(fClient="All",$B241=fClient),OR(fCampaign="All",$C241=fCampaign),OR(fTeam="All",$R241=fTeam),OR(fChannel="All",$D241=fChannel),OR(fMonth="All",$U241=fMonth)),1,0))</f>
        <v>0</v>
      </c>
      <c r="W241" s="71">
        <f>IF($D241="",0,IF(AND(OR(fClient="All",$B241=fClient),OR(fCampaign="All",$C241=fCampaign),OR(fTeam="All",$R241=fTeam),OR(fChannel="All",$D241=fChannel)),1,0))</f>
        <v>0</v>
      </c>
    </row>
    <row r="242">
      <c r="A242" s="63" t="n"/>
      <c r="B242" s="64" t="n"/>
      <c r="C242" s="64" t="n"/>
      <c r="D242" s="64" t="n"/>
      <c r="E242" s="64" t="n"/>
      <c r="F242" s="67" t="n"/>
      <c r="G242" s="67" t="n"/>
      <c r="H242" s="67" t="n"/>
      <c r="I242" s="67" t="n"/>
      <c r="J242" s="67" t="n"/>
      <c r="K242" s="76" t="str">
        <f>IF(AND(ISNUMBER($H242),$H242&gt;0,ISNUMBER($J242)),$J242/$H242,"")</f>
        <v/>
      </c>
      <c r="L242" s="77" t="str">
        <f>IF(AND(ISNUMBER($J242),$J242&gt;0,ISNUMBER($G242)),$G242/$J242,"")</f>
        <v/>
      </c>
      <c r="M242" s="67" t="n"/>
      <c r="N242" s="67" t="n"/>
      <c r="O242" s="72" t="str">
        <f>IF(AND(ISNUMBER($M242),$M242&gt;0,ISNUMBER($G242)),$G242/$M242,"")</f>
        <v/>
      </c>
      <c r="P242" s="73" t="str">
        <f>IF(AND(ISNUMBER($J242),$J242&gt;0,ISNUMBER($M242)),$M242/$J242,"")</f>
        <v/>
      </c>
      <c r="Q242" s="64" t="n"/>
      <c r="R242" s="64" t="n"/>
      <c r="S242" s="65" t="n"/>
      <c r="T242" s="65" t="n"/>
      <c r="U242" s="71" t="str">
        <f>IF(ISNUMBER($A242),YEAR($A242)&amp;"-"&amp;TEXT(MONTH($A242),"00"),"")</f>
        <v/>
      </c>
      <c r="V242" s="71">
        <f>IF($D242="",0,IF(AND(OR(fClient="All",$B242=fClient),OR(fCampaign="All",$C242=fCampaign),OR(fTeam="All",$R242=fTeam),OR(fChannel="All",$D242=fChannel),OR(fMonth="All",$U242=fMonth)),1,0))</f>
        <v>0</v>
      </c>
      <c r="W242" s="71">
        <f>IF($D242="",0,IF(AND(OR(fClient="All",$B242=fClient),OR(fCampaign="All",$C242=fCampaign),OR(fTeam="All",$R242=fTeam),OR(fChannel="All",$D242=fChannel)),1,0))</f>
        <v>0</v>
      </c>
    </row>
    <row r="243">
      <c r="A243" s="63" t="n"/>
      <c r="B243" s="64" t="n"/>
      <c r="C243" s="64" t="n"/>
      <c r="D243" s="64" t="n"/>
      <c r="E243" s="64" t="n"/>
      <c r="F243" s="67" t="n"/>
      <c r="G243" s="67" t="n"/>
      <c r="H243" s="67" t="n"/>
      <c r="I243" s="67" t="n"/>
      <c r="J243" s="67" t="n"/>
      <c r="K243" s="76" t="str">
        <f>IF(AND(ISNUMBER($H243),$H243&gt;0,ISNUMBER($J243)),$J243/$H243,"")</f>
        <v/>
      </c>
      <c r="L243" s="77" t="str">
        <f>IF(AND(ISNUMBER($J243),$J243&gt;0,ISNUMBER($G243)),$G243/$J243,"")</f>
        <v/>
      </c>
      <c r="M243" s="67" t="n"/>
      <c r="N243" s="67" t="n"/>
      <c r="O243" s="72" t="str">
        <f>IF(AND(ISNUMBER($M243),$M243&gt;0,ISNUMBER($G243)),$G243/$M243,"")</f>
        <v/>
      </c>
      <c r="P243" s="73" t="str">
        <f>IF(AND(ISNUMBER($J243),$J243&gt;0,ISNUMBER($M243)),$M243/$J243,"")</f>
        <v/>
      </c>
      <c r="Q243" s="64" t="n"/>
      <c r="R243" s="64" t="n"/>
      <c r="S243" s="65" t="n"/>
      <c r="T243" s="65" t="n"/>
      <c r="U243" s="71" t="str">
        <f>IF(ISNUMBER($A243),YEAR($A243)&amp;"-"&amp;TEXT(MONTH($A243),"00"),"")</f>
        <v/>
      </c>
      <c r="V243" s="71">
        <f>IF($D243="",0,IF(AND(OR(fClient="All",$B243=fClient),OR(fCampaign="All",$C243=fCampaign),OR(fTeam="All",$R243=fTeam),OR(fChannel="All",$D243=fChannel),OR(fMonth="All",$U243=fMonth)),1,0))</f>
        <v>0</v>
      </c>
      <c r="W243" s="71">
        <f>IF($D243="",0,IF(AND(OR(fClient="All",$B243=fClient),OR(fCampaign="All",$C243=fCampaign),OR(fTeam="All",$R243=fTeam),OR(fChannel="All",$D243=fChannel)),1,0))</f>
        <v>0</v>
      </c>
    </row>
    <row r="244">
      <c r="A244" s="63" t="n"/>
      <c r="B244" s="64" t="n"/>
      <c r="C244" s="64" t="n"/>
      <c r="D244" s="64" t="n"/>
      <c r="E244" s="64" t="n"/>
      <c r="F244" s="67" t="n"/>
      <c r="G244" s="67" t="n"/>
      <c r="H244" s="67" t="n"/>
      <c r="I244" s="67" t="n"/>
      <c r="J244" s="67" t="n"/>
      <c r="K244" s="76" t="str">
        <f>IF(AND(ISNUMBER($H244),$H244&gt;0,ISNUMBER($J244)),$J244/$H244,"")</f>
        <v/>
      </c>
      <c r="L244" s="77" t="str">
        <f>IF(AND(ISNUMBER($J244),$J244&gt;0,ISNUMBER($G244)),$G244/$J244,"")</f>
        <v/>
      </c>
      <c r="M244" s="67" t="n"/>
      <c r="N244" s="67" t="n"/>
      <c r="O244" s="72" t="str">
        <f>IF(AND(ISNUMBER($M244),$M244&gt;0,ISNUMBER($G244)),$G244/$M244,"")</f>
        <v/>
      </c>
      <c r="P244" s="73" t="str">
        <f>IF(AND(ISNUMBER($J244),$J244&gt;0,ISNUMBER($M244)),$M244/$J244,"")</f>
        <v/>
      </c>
      <c r="Q244" s="64" t="n"/>
      <c r="R244" s="64" t="n"/>
      <c r="S244" s="65" t="n"/>
      <c r="T244" s="65" t="n"/>
      <c r="U244" s="71" t="str">
        <f>IF(ISNUMBER($A244),YEAR($A244)&amp;"-"&amp;TEXT(MONTH($A244),"00"),"")</f>
        <v/>
      </c>
      <c r="V244" s="71">
        <f>IF($D244="",0,IF(AND(OR(fClient="All",$B244=fClient),OR(fCampaign="All",$C244=fCampaign),OR(fTeam="All",$R244=fTeam),OR(fChannel="All",$D244=fChannel),OR(fMonth="All",$U244=fMonth)),1,0))</f>
        <v>0</v>
      </c>
      <c r="W244" s="71">
        <f>IF($D244="",0,IF(AND(OR(fClient="All",$B244=fClient),OR(fCampaign="All",$C244=fCampaign),OR(fTeam="All",$R244=fTeam),OR(fChannel="All",$D244=fChannel)),1,0))</f>
        <v>0</v>
      </c>
    </row>
    <row r="245">
      <c r="A245" s="63" t="n"/>
      <c r="B245" s="64" t="n"/>
      <c r="C245" s="64" t="n"/>
      <c r="D245" s="64" t="n"/>
      <c r="E245" s="64" t="n"/>
      <c r="F245" s="67" t="n"/>
      <c r="G245" s="67" t="n"/>
      <c r="H245" s="67" t="n"/>
      <c r="I245" s="67" t="n"/>
      <c r="J245" s="67" t="n"/>
      <c r="K245" s="76" t="str">
        <f>IF(AND(ISNUMBER($H245),$H245&gt;0,ISNUMBER($J245)),$J245/$H245,"")</f>
        <v/>
      </c>
      <c r="L245" s="77" t="str">
        <f>IF(AND(ISNUMBER($J245),$J245&gt;0,ISNUMBER($G245)),$G245/$J245,"")</f>
        <v/>
      </c>
      <c r="M245" s="67" t="n"/>
      <c r="N245" s="67" t="n"/>
      <c r="O245" s="72" t="str">
        <f>IF(AND(ISNUMBER($M245),$M245&gt;0,ISNUMBER($G245)),$G245/$M245,"")</f>
        <v/>
      </c>
      <c r="P245" s="73" t="str">
        <f>IF(AND(ISNUMBER($J245),$J245&gt;0,ISNUMBER($M245)),$M245/$J245,"")</f>
        <v/>
      </c>
      <c r="Q245" s="64" t="n"/>
      <c r="R245" s="64" t="n"/>
      <c r="S245" s="65" t="n"/>
      <c r="T245" s="65" t="n"/>
      <c r="U245" s="71" t="str">
        <f>IF(ISNUMBER($A245),YEAR($A245)&amp;"-"&amp;TEXT(MONTH($A245),"00"),"")</f>
        <v/>
      </c>
      <c r="V245" s="71">
        <f>IF($D245="",0,IF(AND(OR(fClient="All",$B245=fClient),OR(fCampaign="All",$C245=fCampaign),OR(fTeam="All",$R245=fTeam),OR(fChannel="All",$D245=fChannel),OR(fMonth="All",$U245=fMonth)),1,0))</f>
        <v>0</v>
      </c>
      <c r="W245" s="71">
        <f>IF($D245="",0,IF(AND(OR(fClient="All",$B245=fClient),OR(fCampaign="All",$C245=fCampaign),OR(fTeam="All",$R245=fTeam),OR(fChannel="All",$D245=fChannel)),1,0))</f>
        <v>0</v>
      </c>
    </row>
    <row r="246">
      <c r="A246" s="63" t="n"/>
      <c r="B246" s="64" t="n"/>
      <c r="C246" s="64" t="n"/>
      <c r="D246" s="64" t="n"/>
      <c r="E246" s="64" t="n"/>
      <c r="F246" s="67" t="n"/>
      <c r="G246" s="67" t="n"/>
      <c r="H246" s="67" t="n"/>
      <c r="I246" s="67" t="n"/>
      <c r="J246" s="67" t="n"/>
      <c r="K246" s="76" t="str">
        <f>IF(AND(ISNUMBER($H246),$H246&gt;0,ISNUMBER($J246)),$J246/$H246,"")</f>
        <v/>
      </c>
      <c r="L246" s="77" t="str">
        <f>IF(AND(ISNUMBER($J246),$J246&gt;0,ISNUMBER($G246)),$G246/$J246,"")</f>
        <v/>
      </c>
      <c r="M246" s="67" t="n"/>
      <c r="N246" s="67" t="n"/>
      <c r="O246" s="72" t="str">
        <f>IF(AND(ISNUMBER($M246),$M246&gt;0,ISNUMBER($G246)),$G246/$M246,"")</f>
        <v/>
      </c>
      <c r="P246" s="73" t="str">
        <f>IF(AND(ISNUMBER($J246),$J246&gt;0,ISNUMBER($M246)),$M246/$J246,"")</f>
        <v/>
      </c>
      <c r="Q246" s="64" t="n"/>
      <c r="R246" s="64" t="n"/>
      <c r="S246" s="65" t="n"/>
      <c r="T246" s="65" t="n"/>
      <c r="U246" s="71" t="str">
        <f>IF(ISNUMBER($A246),YEAR($A246)&amp;"-"&amp;TEXT(MONTH($A246),"00"),"")</f>
        <v/>
      </c>
      <c r="V246" s="71">
        <f>IF($D246="",0,IF(AND(OR(fClient="All",$B246=fClient),OR(fCampaign="All",$C246=fCampaign),OR(fTeam="All",$R246=fTeam),OR(fChannel="All",$D246=fChannel),OR(fMonth="All",$U246=fMonth)),1,0))</f>
        <v>0</v>
      </c>
      <c r="W246" s="71">
        <f>IF($D246="",0,IF(AND(OR(fClient="All",$B246=fClient),OR(fCampaign="All",$C246=fCampaign),OR(fTeam="All",$R246=fTeam),OR(fChannel="All",$D246=fChannel)),1,0))</f>
        <v>0</v>
      </c>
    </row>
    <row r="247">
      <c r="A247" s="63" t="n"/>
      <c r="B247" s="64" t="n"/>
      <c r="C247" s="64" t="n"/>
      <c r="D247" s="64" t="n"/>
      <c r="E247" s="64" t="n"/>
      <c r="F247" s="67" t="n"/>
      <c r="G247" s="67" t="n"/>
      <c r="H247" s="67" t="n"/>
      <c r="I247" s="67" t="n"/>
      <c r="J247" s="67" t="n"/>
      <c r="K247" s="76" t="str">
        <f>IF(AND(ISNUMBER($H247),$H247&gt;0,ISNUMBER($J247)),$J247/$H247,"")</f>
        <v/>
      </c>
      <c r="L247" s="77" t="str">
        <f>IF(AND(ISNUMBER($J247),$J247&gt;0,ISNUMBER($G247)),$G247/$J247,"")</f>
        <v/>
      </c>
      <c r="M247" s="67" t="n"/>
      <c r="N247" s="67" t="n"/>
      <c r="O247" s="72" t="str">
        <f>IF(AND(ISNUMBER($M247),$M247&gt;0,ISNUMBER($G247)),$G247/$M247,"")</f>
        <v/>
      </c>
      <c r="P247" s="73" t="str">
        <f>IF(AND(ISNUMBER($J247),$J247&gt;0,ISNUMBER($M247)),$M247/$J247,"")</f>
        <v/>
      </c>
      <c r="Q247" s="64" t="n"/>
      <c r="R247" s="64" t="n"/>
      <c r="S247" s="65" t="n"/>
      <c r="T247" s="65" t="n"/>
      <c r="U247" s="71" t="str">
        <f>IF(ISNUMBER($A247),YEAR($A247)&amp;"-"&amp;TEXT(MONTH($A247),"00"),"")</f>
        <v/>
      </c>
      <c r="V247" s="71">
        <f>IF($D247="",0,IF(AND(OR(fClient="All",$B247=fClient),OR(fCampaign="All",$C247=fCampaign),OR(fTeam="All",$R247=fTeam),OR(fChannel="All",$D247=fChannel),OR(fMonth="All",$U247=fMonth)),1,0))</f>
        <v>0</v>
      </c>
      <c r="W247" s="71">
        <f>IF($D247="",0,IF(AND(OR(fClient="All",$B247=fClient),OR(fCampaign="All",$C247=fCampaign),OR(fTeam="All",$R247=fTeam),OR(fChannel="All",$D247=fChannel)),1,0))</f>
        <v>0</v>
      </c>
    </row>
    <row r="248">
      <c r="A248" s="63" t="n"/>
      <c r="B248" s="64" t="n"/>
      <c r="C248" s="64" t="n"/>
      <c r="D248" s="64" t="n"/>
      <c r="E248" s="64" t="n"/>
      <c r="F248" s="67" t="n"/>
      <c r="G248" s="67" t="n"/>
      <c r="H248" s="67" t="n"/>
      <c r="I248" s="67" t="n"/>
      <c r="J248" s="67" t="n"/>
      <c r="K248" s="76" t="str">
        <f>IF(AND(ISNUMBER($H248),$H248&gt;0,ISNUMBER($J248)),$J248/$H248,"")</f>
        <v/>
      </c>
      <c r="L248" s="77" t="str">
        <f>IF(AND(ISNUMBER($J248),$J248&gt;0,ISNUMBER($G248)),$G248/$J248,"")</f>
        <v/>
      </c>
      <c r="M248" s="67" t="n"/>
      <c r="N248" s="67" t="n"/>
      <c r="O248" s="72" t="str">
        <f>IF(AND(ISNUMBER($M248),$M248&gt;0,ISNUMBER($G248)),$G248/$M248,"")</f>
        <v/>
      </c>
      <c r="P248" s="73" t="str">
        <f>IF(AND(ISNUMBER($J248),$J248&gt;0,ISNUMBER($M248)),$M248/$J248,"")</f>
        <v/>
      </c>
      <c r="Q248" s="64" t="n"/>
      <c r="R248" s="64" t="n"/>
      <c r="S248" s="65" t="n"/>
      <c r="T248" s="65" t="n"/>
      <c r="U248" s="71" t="str">
        <f>IF(ISNUMBER($A248),YEAR($A248)&amp;"-"&amp;TEXT(MONTH($A248),"00"),"")</f>
        <v/>
      </c>
      <c r="V248" s="71">
        <f>IF($D248="",0,IF(AND(OR(fClient="All",$B248=fClient),OR(fCampaign="All",$C248=fCampaign),OR(fTeam="All",$R248=fTeam),OR(fChannel="All",$D248=fChannel),OR(fMonth="All",$U248=fMonth)),1,0))</f>
        <v>0</v>
      </c>
      <c r="W248" s="71">
        <f>IF($D248="",0,IF(AND(OR(fClient="All",$B248=fClient),OR(fCampaign="All",$C248=fCampaign),OR(fTeam="All",$R248=fTeam),OR(fChannel="All",$D248=fChannel)),1,0))</f>
        <v>0</v>
      </c>
    </row>
    <row r="249">
      <c r="A249" s="63" t="n"/>
      <c r="B249" s="64" t="n"/>
      <c r="C249" s="64" t="n"/>
      <c r="D249" s="64" t="n"/>
      <c r="E249" s="64" t="n"/>
      <c r="F249" s="67" t="n"/>
      <c r="G249" s="67" t="n"/>
      <c r="H249" s="67" t="n"/>
      <c r="I249" s="67" t="n"/>
      <c r="J249" s="67" t="n"/>
      <c r="K249" s="76" t="str">
        <f>IF(AND(ISNUMBER($H249),$H249&gt;0,ISNUMBER($J249)),$J249/$H249,"")</f>
        <v/>
      </c>
      <c r="L249" s="77" t="str">
        <f>IF(AND(ISNUMBER($J249),$J249&gt;0,ISNUMBER($G249)),$G249/$J249,"")</f>
        <v/>
      </c>
      <c r="M249" s="67" t="n"/>
      <c r="N249" s="67" t="n"/>
      <c r="O249" s="72" t="str">
        <f>IF(AND(ISNUMBER($M249),$M249&gt;0,ISNUMBER($G249)),$G249/$M249,"")</f>
        <v/>
      </c>
      <c r="P249" s="73" t="str">
        <f>IF(AND(ISNUMBER($J249),$J249&gt;0,ISNUMBER($M249)),$M249/$J249,"")</f>
        <v/>
      </c>
      <c r="Q249" s="64" t="n"/>
      <c r="R249" s="64" t="n"/>
      <c r="S249" s="65" t="n"/>
      <c r="T249" s="65" t="n"/>
      <c r="U249" s="71" t="str">
        <f>IF(ISNUMBER($A249),YEAR($A249)&amp;"-"&amp;TEXT(MONTH($A249),"00"),"")</f>
        <v/>
      </c>
      <c r="V249" s="71">
        <f>IF($D249="",0,IF(AND(OR(fClient="All",$B249=fClient),OR(fCampaign="All",$C249=fCampaign),OR(fTeam="All",$R249=fTeam),OR(fChannel="All",$D249=fChannel),OR(fMonth="All",$U249=fMonth)),1,0))</f>
        <v>0</v>
      </c>
      <c r="W249" s="71">
        <f>IF($D249="",0,IF(AND(OR(fClient="All",$B249=fClient),OR(fCampaign="All",$C249=fCampaign),OR(fTeam="All",$R249=fTeam),OR(fChannel="All",$D249=fChannel)),1,0))</f>
        <v>0</v>
      </c>
    </row>
    <row r="250">
      <c r="A250" s="63" t="n"/>
      <c r="B250" s="64" t="n"/>
      <c r="C250" s="64" t="n"/>
      <c r="D250" s="64" t="n"/>
      <c r="E250" s="64" t="n"/>
      <c r="F250" s="67" t="n"/>
      <c r="G250" s="67" t="n"/>
      <c r="H250" s="67" t="n"/>
      <c r="I250" s="67" t="n"/>
      <c r="J250" s="67" t="n"/>
      <c r="K250" s="76" t="str">
        <f>IF(AND(ISNUMBER($H250),$H250&gt;0,ISNUMBER($J250)),$J250/$H250,"")</f>
        <v/>
      </c>
      <c r="L250" s="77" t="str">
        <f>IF(AND(ISNUMBER($J250),$J250&gt;0,ISNUMBER($G250)),$G250/$J250,"")</f>
        <v/>
      </c>
      <c r="M250" s="67" t="n"/>
      <c r="N250" s="67" t="n"/>
      <c r="O250" s="72" t="str">
        <f>IF(AND(ISNUMBER($M250),$M250&gt;0,ISNUMBER($G250)),$G250/$M250,"")</f>
        <v/>
      </c>
      <c r="P250" s="73" t="str">
        <f>IF(AND(ISNUMBER($J250),$J250&gt;0,ISNUMBER($M250)),$M250/$J250,"")</f>
        <v/>
      </c>
      <c r="Q250" s="64" t="n"/>
      <c r="R250" s="64" t="n"/>
      <c r="S250" s="65" t="n"/>
      <c r="T250" s="65" t="n"/>
      <c r="U250" s="71" t="str">
        <f>IF(ISNUMBER($A250),YEAR($A250)&amp;"-"&amp;TEXT(MONTH($A250),"00"),"")</f>
        <v/>
      </c>
      <c r="V250" s="71">
        <f>IF($D250="",0,IF(AND(OR(fClient="All",$B250=fClient),OR(fCampaign="All",$C250=fCampaign),OR(fTeam="All",$R250=fTeam),OR(fChannel="All",$D250=fChannel),OR(fMonth="All",$U250=fMonth)),1,0))</f>
        <v>0</v>
      </c>
      <c r="W250" s="71">
        <f>IF($D250="",0,IF(AND(OR(fClient="All",$B250=fClient),OR(fCampaign="All",$C250=fCampaign),OR(fTeam="All",$R250=fTeam),OR(fChannel="All",$D250=fChannel)),1,0))</f>
        <v>0</v>
      </c>
    </row>
    <row r="251">
      <c r="A251" s="63" t="n"/>
      <c r="B251" s="64" t="n"/>
      <c r="C251" s="64" t="n"/>
      <c r="D251" s="64" t="n"/>
      <c r="E251" s="64" t="n"/>
      <c r="F251" s="67" t="n"/>
      <c r="G251" s="67" t="n"/>
      <c r="H251" s="67" t="n"/>
      <c r="I251" s="67" t="n"/>
      <c r="J251" s="67" t="n"/>
      <c r="K251" s="76" t="str">
        <f>IF(AND(ISNUMBER($H251),$H251&gt;0,ISNUMBER($J251)),$J251/$H251,"")</f>
        <v/>
      </c>
      <c r="L251" s="77" t="str">
        <f>IF(AND(ISNUMBER($J251),$J251&gt;0,ISNUMBER($G251)),$G251/$J251,"")</f>
        <v/>
      </c>
      <c r="M251" s="67" t="n"/>
      <c r="N251" s="67" t="n"/>
      <c r="O251" s="72" t="str">
        <f>IF(AND(ISNUMBER($M251),$M251&gt;0,ISNUMBER($G251)),$G251/$M251,"")</f>
        <v/>
      </c>
      <c r="P251" s="73" t="str">
        <f>IF(AND(ISNUMBER($J251),$J251&gt;0,ISNUMBER($M251)),$M251/$J251,"")</f>
        <v/>
      </c>
      <c r="Q251" s="64" t="n"/>
      <c r="R251" s="64" t="n"/>
      <c r="S251" s="65" t="n"/>
      <c r="T251" s="65" t="n"/>
      <c r="U251" s="71" t="str">
        <f>IF(ISNUMBER($A251),YEAR($A251)&amp;"-"&amp;TEXT(MONTH($A251),"00"),"")</f>
        <v/>
      </c>
      <c r="V251" s="71">
        <f>IF($D251="",0,IF(AND(OR(fClient="All",$B251=fClient),OR(fCampaign="All",$C251=fCampaign),OR(fTeam="All",$R251=fTeam),OR(fChannel="All",$D251=fChannel),OR(fMonth="All",$U251=fMonth)),1,0))</f>
        <v>0</v>
      </c>
      <c r="W251" s="71">
        <f>IF($D251="",0,IF(AND(OR(fClient="All",$B251=fClient),OR(fCampaign="All",$C251=fCampaign),OR(fTeam="All",$R251=fTeam),OR(fChannel="All",$D251=fChannel)),1,0))</f>
        <v>0</v>
      </c>
    </row>
    <row r="252">
      <c r="A252" s="63" t="n"/>
      <c r="B252" s="64" t="n"/>
      <c r="C252" s="64" t="n"/>
      <c r="D252" s="64" t="n"/>
      <c r="E252" s="64" t="n"/>
      <c r="F252" s="67" t="n"/>
      <c r="G252" s="67" t="n"/>
      <c r="H252" s="67" t="n"/>
      <c r="I252" s="67" t="n"/>
      <c r="J252" s="67" t="n"/>
      <c r="K252" s="76" t="str">
        <f>IF(AND(ISNUMBER($H252),$H252&gt;0,ISNUMBER($J252)),$J252/$H252,"")</f>
        <v/>
      </c>
      <c r="L252" s="77" t="str">
        <f>IF(AND(ISNUMBER($J252),$J252&gt;0,ISNUMBER($G252)),$G252/$J252,"")</f>
        <v/>
      </c>
      <c r="M252" s="67" t="n"/>
      <c r="N252" s="67" t="n"/>
      <c r="O252" s="72" t="str">
        <f>IF(AND(ISNUMBER($M252),$M252&gt;0,ISNUMBER($G252)),$G252/$M252,"")</f>
        <v/>
      </c>
      <c r="P252" s="73" t="str">
        <f>IF(AND(ISNUMBER($J252),$J252&gt;0,ISNUMBER($M252)),$M252/$J252,"")</f>
        <v/>
      </c>
      <c r="Q252" s="64" t="n"/>
      <c r="R252" s="64" t="n"/>
      <c r="S252" s="65" t="n"/>
      <c r="T252" s="65" t="n"/>
      <c r="U252" s="71" t="str">
        <f>IF(ISNUMBER($A252),YEAR($A252)&amp;"-"&amp;TEXT(MONTH($A252),"00"),"")</f>
        <v/>
      </c>
      <c r="V252" s="71">
        <f>IF($D252="",0,IF(AND(OR(fClient="All",$B252=fClient),OR(fCampaign="All",$C252=fCampaign),OR(fTeam="All",$R252=fTeam),OR(fChannel="All",$D252=fChannel),OR(fMonth="All",$U252=fMonth)),1,0))</f>
        <v>0</v>
      </c>
      <c r="W252" s="71">
        <f>IF($D252="",0,IF(AND(OR(fClient="All",$B252=fClient),OR(fCampaign="All",$C252=fCampaign),OR(fTeam="All",$R252=fTeam),OR(fChannel="All",$D252=fChannel)),1,0))</f>
        <v>0</v>
      </c>
    </row>
    <row r="253">
      <c r="A253" s="63" t="n"/>
      <c r="B253" s="64" t="n"/>
      <c r="C253" s="64" t="n"/>
      <c r="D253" s="64" t="n"/>
      <c r="E253" s="64" t="n"/>
      <c r="F253" s="67" t="n"/>
      <c r="G253" s="67" t="n"/>
      <c r="H253" s="67" t="n"/>
      <c r="I253" s="67" t="n"/>
      <c r="J253" s="67" t="n"/>
      <c r="K253" s="76" t="str">
        <f>IF(AND(ISNUMBER($H253),$H253&gt;0,ISNUMBER($J253)),$J253/$H253,"")</f>
        <v/>
      </c>
      <c r="L253" s="77" t="str">
        <f>IF(AND(ISNUMBER($J253),$J253&gt;0,ISNUMBER($G253)),$G253/$J253,"")</f>
        <v/>
      </c>
      <c r="M253" s="67" t="n"/>
      <c r="N253" s="67" t="n"/>
      <c r="O253" s="72" t="str">
        <f>IF(AND(ISNUMBER($M253),$M253&gt;0,ISNUMBER($G253)),$G253/$M253,"")</f>
        <v/>
      </c>
      <c r="P253" s="73" t="str">
        <f>IF(AND(ISNUMBER($J253),$J253&gt;0,ISNUMBER($M253)),$M253/$J253,"")</f>
        <v/>
      </c>
      <c r="Q253" s="64" t="n"/>
      <c r="R253" s="64" t="n"/>
      <c r="S253" s="65" t="n"/>
      <c r="T253" s="65" t="n"/>
      <c r="U253" s="71" t="str">
        <f>IF(ISNUMBER($A253),YEAR($A253)&amp;"-"&amp;TEXT(MONTH($A253),"00"),"")</f>
        <v/>
      </c>
      <c r="V253" s="71">
        <f>IF($D253="",0,IF(AND(OR(fClient="All",$B253=fClient),OR(fCampaign="All",$C253=fCampaign),OR(fTeam="All",$R253=fTeam),OR(fChannel="All",$D253=fChannel),OR(fMonth="All",$U253=fMonth)),1,0))</f>
        <v>0</v>
      </c>
      <c r="W253" s="71">
        <f>IF($D253="",0,IF(AND(OR(fClient="All",$B253=fClient),OR(fCampaign="All",$C253=fCampaign),OR(fTeam="All",$R253=fTeam),OR(fChannel="All",$D253=fChannel)),1,0))</f>
        <v>0</v>
      </c>
    </row>
    <row r="254">
      <c r="A254" s="63" t="n"/>
      <c r="B254" s="64" t="n"/>
      <c r="C254" s="64" t="n"/>
      <c r="D254" s="64" t="n"/>
      <c r="E254" s="64" t="n"/>
      <c r="F254" s="67" t="n"/>
      <c r="G254" s="67" t="n"/>
      <c r="H254" s="67" t="n"/>
      <c r="I254" s="67" t="n"/>
      <c r="J254" s="67" t="n"/>
      <c r="K254" s="76" t="str">
        <f>IF(AND(ISNUMBER($H254),$H254&gt;0,ISNUMBER($J254)),$J254/$H254,"")</f>
        <v/>
      </c>
      <c r="L254" s="77" t="str">
        <f>IF(AND(ISNUMBER($J254),$J254&gt;0,ISNUMBER($G254)),$G254/$J254,"")</f>
        <v/>
      </c>
      <c r="M254" s="67" t="n"/>
      <c r="N254" s="67" t="n"/>
      <c r="O254" s="72" t="str">
        <f>IF(AND(ISNUMBER($M254),$M254&gt;0,ISNUMBER($G254)),$G254/$M254,"")</f>
        <v/>
      </c>
      <c r="P254" s="73" t="str">
        <f>IF(AND(ISNUMBER($J254),$J254&gt;0,ISNUMBER($M254)),$M254/$J254,"")</f>
        <v/>
      </c>
      <c r="Q254" s="64" t="n"/>
      <c r="R254" s="64" t="n"/>
      <c r="S254" s="65" t="n"/>
      <c r="T254" s="65" t="n"/>
      <c r="U254" s="71" t="str">
        <f>IF(ISNUMBER($A254),YEAR($A254)&amp;"-"&amp;TEXT(MONTH($A254),"00"),"")</f>
        <v/>
      </c>
      <c r="V254" s="71">
        <f>IF($D254="",0,IF(AND(OR(fClient="All",$B254=fClient),OR(fCampaign="All",$C254=fCampaign),OR(fTeam="All",$R254=fTeam),OR(fChannel="All",$D254=fChannel),OR(fMonth="All",$U254=fMonth)),1,0))</f>
        <v>0</v>
      </c>
      <c r="W254" s="71">
        <f>IF($D254="",0,IF(AND(OR(fClient="All",$B254=fClient),OR(fCampaign="All",$C254=fCampaign),OR(fTeam="All",$R254=fTeam),OR(fChannel="All",$D254=fChannel)),1,0))</f>
        <v>0</v>
      </c>
    </row>
    <row r="255">
      <c r="A255" s="63" t="n"/>
      <c r="B255" s="64" t="n"/>
      <c r="C255" s="64" t="n"/>
      <c r="D255" s="64" t="n"/>
      <c r="E255" s="64" t="n"/>
      <c r="F255" s="67" t="n"/>
      <c r="G255" s="67" t="n"/>
      <c r="H255" s="67" t="n"/>
      <c r="I255" s="67" t="n"/>
      <c r="J255" s="67" t="n"/>
      <c r="K255" s="76" t="str">
        <f>IF(AND(ISNUMBER($H255),$H255&gt;0,ISNUMBER($J255)),$J255/$H255,"")</f>
        <v/>
      </c>
      <c r="L255" s="77" t="str">
        <f>IF(AND(ISNUMBER($J255),$J255&gt;0,ISNUMBER($G255)),$G255/$J255,"")</f>
        <v/>
      </c>
      <c r="M255" s="67" t="n"/>
      <c r="N255" s="67" t="n"/>
      <c r="O255" s="72" t="str">
        <f>IF(AND(ISNUMBER($M255),$M255&gt;0,ISNUMBER($G255)),$G255/$M255,"")</f>
        <v/>
      </c>
      <c r="P255" s="73" t="str">
        <f>IF(AND(ISNUMBER($J255),$J255&gt;0,ISNUMBER($M255)),$M255/$J255,"")</f>
        <v/>
      </c>
      <c r="Q255" s="64" t="n"/>
      <c r="R255" s="64" t="n"/>
      <c r="S255" s="65" t="n"/>
      <c r="T255" s="65" t="n"/>
      <c r="U255" s="71" t="str">
        <f>IF(ISNUMBER($A255),YEAR($A255)&amp;"-"&amp;TEXT(MONTH($A255),"00"),"")</f>
        <v/>
      </c>
      <c r="V255" s="71">
        <f>IF($D255="",0,IF(AND(OR(fClient="All",$B255=fClient),OR(fCampaign="All",$C255=fCampaign),OR(fTeam="All",$R255=fTeam),OR(fChannel="All",$D255=fChannel),OR(fMonth="All",$U255=fMonth)),1,0))</f>
        <v>0</v>
      </c>
      <c r="W255" s="71">
        <f>IF($D255="",0,IF(AND(OR(fClient="All",$B255=fClient),OR(fCampaign="All",$C255=fCampaign),OR(fTeam="All",$R255=fTeam),OR(fChannel="All",$D255=fChannel)),1,0))</f>
        <v>0</v>
      </c>
    </row>
    <row r="256">
      <c r="A256" s="63" t="n"/>
      <c r="B256" s="64" t="n"/>
      <c r="C256" s="64" t="n"/>
      <c r="D256" s="64" t="n"/>
      <c r="E256" s="64" t="n"/>
      <c r="F256" s="67" t="n"/>
      <c r="G256" s="67" t="n"/>
      <c r="H256" s="67" t="n"/>
      <c r="I256" s="67" t="n"/>
      <c r="J256" s="67" t="n"/>
      <c r="K256" s="76" t="str">
        <f>IF(AND(ISNUMBER($H256),$H256&gt;0,ISNUMBER($J256)),$J256/$H256,"")</f>
        <v/>
      </c>
      <c r="L256" s="77" t="str">
        <f>IF(AND(ISNUMBER($J256),$J256&gt;0,ISNUMBER($G256)),$G256/$J256,"")</f>
        <v/>
      </c>
      <c r="M256" s="67" t="n"/>
      <c r="N256" s="67" t="n"/>
      <c r="O256" s="72" t="str">
        <f>IF(AND(ISNUMBER($M256),$M256&gt;0,ISNUMBER($G256)),$G256/$M256,"")</f>
        <v/>
      </c>
      <c r="P256" s="73" t="str">
        <f>IF(AND(ISNUMBER($J256),$J256&gt;0,ISNUMBER($M256)),$M256/$J256,"")</f>
        <v/>
      </c>
      <c r="Q256" s="64" t="n"/>
      <c r="R256" s="64" t="n"/>
      <c r="S256" s="65" t="n"/>
      <c r="T256" s="65" t="n"/>
      <c r="U256" s="71" t="str">
        <f>IF(ISNUMBER($A256),YEAR($A256)&amp;"-"&amp;TEXT(MONTH($A256),"00"),"")</f>
        <v/>
      </c>
      <c r="V256" s="71">
        <f>IF($D256="",0,IF(AND(OR(fClient="All",$B256=fClient),OR(fCampaign="All",$C256=fCampaign),OR(fTeam="All",$R256=fTeam),OR(fChannel="All",$D256=fChannel),OR(fMonth="All",$U256=fMonth)),1,0))</f>
        <v>0</v>
      </c>
      <c r="W256" s="71">
        <f>IF($D256="",0,IF(AND(OR(fClient="All",$B256=fClient),OR(fCampaign="All",$C256=fCampaign),OR(fTeam="All",$R256=fTeam),OR(fChannel="All",$D256=fChannel)),1,0))</f>
        <v>0</v>
      </c>
    </row>
    <row r="257">
      <c r="A257" s="63" t="n"/>
      <c r="B257" s="64" t="n"/>
      <c r="C257" s="64" t="n"/>
      <c r="D257" s="64" t="n"/>
      <c r="E257" s="64" t="n"/>
      <c r="F257" s="67" t="n"/>
      <c r="G257" s="67" t="n"/>
      <c r="H257" s="67" t="n"/>
      <c r="I257" s="67" t="n"/>
      <c r="J257" s="67" t="n"/>
      <c r="K257" s="76" t="str">
        <f>IF(AND(ISNUMBER($H257),$H257&gt;0,ISNUMBER($J257)),$J257/$H257,"")</f>
        <v/>
      </c>
      <c r="L257" s="77" t="str">
        <f>IF(AND(ISNUMBER($J257),$J257&gt;0,ISNUMBER($G257)),$G257/$J257,"")</f>
        <v/>
      </c>
      <c r="M257" s="67" t="n"/>
      <c r="N257" s="67" t="n"/>
      <c r="O257" s="72" t="str">
        <f>IF(AND(ISNUMBER($M257),$M257&gt;0,ISNUMBER($G257)),$G257/$M257,"")</f>
        <v/>
      </c>
      <c r="P257" s="73" t="str">
        <f>IF(AND(ISNUMBER($J257),$J257&gt;0,ISNUMBER($M257)),$M257/$J257,"")</f>
        <v/>
      </c>
      <c r="Q257" s="64" t="n"/>
      <c r="R257" s="64" t="n"/>
      <c r="S257" s="65" t="n"/>
      <c r="T257" s="65" t="n"/>
      <c r="U257" s="71" t="str">
        <f>IF(ISNUMBER($A257),YEAR($A257)&amp;"-"&amp;TEXT(MONTH($A257),"00"),"")</f>
        <v/>
      </c>
      <c r="V257" s="71">
        <f>IF($D257="",0,IF(AND(OR(fClient="All",$B257=fClient),OR(fCampaign="All",$C257=fCampaign),OR(fTeam="All",$R257=fTeam),OR(fChannel="All",$D257=fChannel),OR(fMonth="All",$U257=fMonth)),1,0))</f>
        <v>0</v>
      </c>
      <c r="W257" s="71">
        <f>IF($D257="",0,IF(AND(OR(fClient="All",$B257=fClient),OR(fCampaign="All",$C257=fCampaign),OR(fTeam="All",$R257=fTeam),OR(fChannel="All",$D257=fChannel)),1,0))</f>
        <v>0</v>
      </c>
    </row>
    <row r="258">
      <c r="A258" s="63" t="n"/>
      <c r="B258" s="64" t="n"/>
      <c r="C258" s="64" t="n"/>
      <c r="D258" s="64" t="n"/>
      <c r="E258" s="64" t="n"/>
      <c r="F258" s="67" t="n"/>
      <c r="G258" s="67" t="n"/>
      <c r="H258" s="67" t="n"/>
      <c r="I258" s="67" t="n"/>
      <c r="J258" s="67" t="n"/>
      <c r="K258" s="76" t="str">
        <f>IF(AND(ISNUMBER($H258),$H258&gt;0,ISNUMBER($J258)),$J258/$H258,"")</f>
        <v/>
      </c>
      <c r="L258" s="77" t="str">
        <f>IF(AND(ISNUMBER($J258),$J258&gt;0,ISNUMBER($G258)),$G258/$J258,"")</f>
        <v/>
      </c>
      <c r="M258" s="67" t="n"/>
      <c r="N258" s="67" t="n"/>
      <c r="O258" s="72" t="str">
        <f>IF(AND(ISNUMBER($M258),$M258&gt;0,ISNUMBER($G258)),$G258/$M258,"")</f>
        <v/>
      </c>
      <c r="P258" s="73" t="str">
        <f>IF(AND(ISNUMBER($J258),$J258&gt;0,ISNUMBER($M258)),$M258/$J258,"")</f>
        <v/>
      </c>
      <c r="Q258" s="64" t="n"/>
      <c r="R258" s="64" t="n"/>
      <c r="S258" s="65" t="n"/>
      <c r="T258" s="65" t="n"/>
      <c r="U258" s="71" t="str">
        <f>IF(ISNUMBER($A258),YEAR($A258)&amp;"-"&amp;TEXT(MONTH($A258),"00"),"")</f>
        <v/>
      </c>
      <c r="V258" s="71">
        <f>IF($D258="",0,IF(AND(OR(fClient="All",$B258=fClient),OR(fCampaign="All",$C258=fCampaign),OR(fTeam="All",$R258=fTeam),OR(fChannel="All",$D258=fChannel),OR(fMonth="All",$U258=fMonth)),1,0))</f>
        <v>0</v>
      </c>
      <c r="W258" s="71">
        <f>IF($D258="",0,IF(AND(OR(fClient="All",$B258=fClient),OR(fCampaign="All",$C258=fCampaign),OR(fTeam="All",$R258=fTeam),OR(fChannel="All",$D258=fChannel)),1,0))</f>
        <v>0</v>
      </c>
    </row>
    <row r="259">
      <c r="A259" s="63" t="n"/>
      <c r="B259" s="64" t="n"/>
      <c r="C259" s="64" t="n"/>
      <c r="D259" s="64" t="n"/>
      <c r="E259" s="64" t="n"/>
      <c r="F259" s="67" t="n"/>
      <c r="G259" s="67" t="n"/>
      <c r="H259" s="67" t="n"/>
      <c r="I259" s="67" t="n"/>
      <c r="J259" s="67" t="n"/>
      <c r="K259" s="76" t="str">
        <f>IF(AND(ISNUMBER($H259),$H259&gt;0,ISNUMBER($J259)),$J259/$H259,"")</f>
        <v/>
      </c>
      <c r="L259" s="77" t="str">
        <f>IF(AND(ISNUMBER($J259),$J259&gt;0,ISNUMBER($G259)),$G259/$J259,"")</f>
        <v/>
      </c>
      <c r="M259" s="67" t="n"/>
      <c r="N259" s="67" t="n"/>
      <c r="O259" s="72" t="str">
        <f>IF(AND(ISNUMBER($M259),$M259&gt;0,ISNUMBER($G259)),$G259/$M259,"")</f>
        <v/>
      </c>
      <c r="P259" s="73" t="str">
        <f>IF(AND(ISNUMBER($J259),$J259&gt;0,ISNUMBER($M259)),$M259/$J259,"")</f>
        <v/>
      </c>
      <c r="Q259" s="64" t="n"/>
      <c r="R259" s="64" t="n"/>
      <c r="S259" s="65" t="n"/>
      <c r="T259" s="65" t="n"/>
      <c r="U259" s="71" t="str">
        <f>IF(ISNUMBER($A259),YEAR($A259)&amp;"-"&amp;TEXT(MONTH($A259),"00"),"")</f>
        <v/>
      </c>
      <c r="V259" s="71">
        <f>IF($D259="",0,IF(AND(OR(fClient="All",$B259=fClient),OR(fCampaign="All",$C259=fCampaign),OR(fTeam="All",$R259=fTeam),OR(fChannel="All",$D259=fChannel),OR(fMonth="All",$U259=fMonth)),1,0))</f>
        <v>0</v>
      </c>
      <c r="W259" s="71">
        <f>IF($D259="",0,IF(AND(OR(fClient="All",$B259=fClient),OR(fCampaign="All",$C259=fCampaign),OR(fTeam="All",$R259=fTeam),OR(fChannel="All",$D259=fChannel)),1,0))</f>
        <v>0</v>
      </c>
    </row>
    <row r="260">
      <c r="A260" s="63" t="n"/>
      <c r="B260" s="64" t="n"/>
      <c r="C260" s="64" t="n"/>
      <c r="D260" s="64" t="n"/>
      <c r="E260" s="64" t="n"/>
      <c r="F260" s="67" t="n"/>
      <c r="G260" s="67" t="n"/>
      <c r="H260" s="67" t="n"/>
      <c r="I260" s="67" t="n"/>
      <c r="J260" s="67" t="n"/>
      <c r="K260" s="76" t="str">
        <f>IF(AND(ISNUMBER($H260),$H260&gt;0,ISNUMBER($J260)),$J260/$H260,"")</f>
        <v/>
      </c>
      <c r="L260" s="77" t="str">
        <f>IF(AND(ISNUMBER($J260),$J260&gt;0,ISNUMBER($G260)),$G260/$J260,"")</f>
        <v/>
      </c>
      <c r="M260" s="67" t="n"/>
      <c r="N260" s="67" t="n"/>
      <c r="O260" s="72" t="str">
        <f>IF(AND(ISNUMBER($M260),$M260&gt;0,ISNUMBER($G260)),$G260/$M260,"")</f>
        <v/>
      </c>
      <c r="P260" s="73" t="str">
        <f>IF(AND(ISNUMBER($J260),$J260&gt;0,ISNUMBER($M260)),$M260/$J260,"")</f>
        <v/>
      </c>
      <c r="Q260" s="64" t="n"/>
      <c r="R260" s="64" t="n"/>
      <c r="S260" s="65" t="n"/>
      <c r="T260" s="65" t="n"/>
      <c r="U260" s="71" t="str">
        <f>IF(ISNUMBER($A260),YEAR($A260)&amp;"-"&amp;TEXT(MONTH($A260),"00"),"")</f>
        <v/>
      </c>
      <c r="V260" s="71">
        <f>IF($D260="",0,IF(AND(OR(fClient="All",$B260=fClient),OR(fCampaign="All",$C260=fCampaign),OR(fTeam="All",$R260=fTeam),OR(fChannel="All",$D260=fChannel),OR(fMonth="All",$U260=fMonth)),1,0))</f>
        <v>0</v>
      </c>
      <c r="W260" s="71">
        <f>IF($D260="",0,IF(AND(OR(fClient="All",$B260=fClient),OR(fCampaign="All",$C260=fCampaign),OR(fTeam="All",$R260=fTeam),OR(fChannel="All",$D260=fChannel)),1,0))</f>
        <v>0</v>
      </c>
    </row>
    <row r="261">
      <c r="A261" s="63" t="n"/>
      <c r="B261" s="64" t="n"/>
      <c r="C261" s="64" t="n"/>
      <c r="D261" s="64" t="n"/>
      <c r="E261" s="64" t="n"/>
      <c r="F261" s="67" t="n"/>
      <c r="G261" s="67" t="n"/>
      <c r="H261" s="67" t="n"/>
      <c r="I261" s="67" t="n"/>
      <c r="J261" s="67" t="n"/>
      <c r="K261" s="76" t="str">
        <f>IF(AND(ISNUMBER($H261),$H261&gt;0,ISNUMBER($J261)),$J261/$H261,"")</f>
        <v/>
      </c>
      <c r="L261" s="77" t="str">
        <f>IF(AND(ISNUMBER($J261),$J261&gt;0,ISNUMBER($G261)),$G261/$J261,"")</f>
        <v/>
      </c>
      <c r="M261" s="67" t="n"/>
      <c r="N261" s="67" t="n"/>
      <c r="O261" s="72" t="str">
        <f>IF(AND(ISNUMBER($M261),$M261&gt;0,ISNUMBER($G261)),$G261/$M261,"")</f>
        <v/>
      </c>
      <c r="P261" s="73" t="str">
        <f>IF(AND(ISNUMBER($J261),$J261&gt;0,ISNUMBER($M261)),$M261/$J261,"")</f>
        <v/>
      </c>
      <c r="Q261" s="64" t="n"/>
      <c r="R261" s="64" t="n"/>
      <c r="S261" s="65" t="n"/>
      <c r="T261" s="65" t="n"/>
      <c r="U261" s="71" t="str">
        <f>IF(ISNUMBER($A261),YEAR($A261)&amp;"-"&amp;TEXT(MONTH($A261),"00"),"")</f>
        <v/>
      </c>
      <c r="V261" s="71">
        <f>IF($D261="",0,IF(AND(OR(fClient="All",$B261=fClient),OR(fCampaign="All",$C261=fCampaign),OR(fTeam="All",$R261=fTeam),OR(fChannel="All",$D261=fChannel),OR(fMonth="All",$U261=fMonth)),1,0))</f>
        <v>0</v>
      </c>
      <c r="W261" s="71">
        <f>IF($D261="",0,IF(AND(OR(fClient="All",$B261=fClient),OR(fCampaign="All",$C261=fCampaign),OR(fTeam="All",$R261=fTeam),OR(fChannel="All",$D261=fChannel)),1,0))</f>
        <v>0</v>
      </c>
    </row>
    <row r="262">
      <c r="A262" s="63" t="n"/>
      <c r="B262" s="64" t="n"/>
      <c r="C262" s="64" t="n"/>
      <c r="D262" s="64" t="n"/>
      <c r="E262" s="64" t="n"/>
      <c r="F262" s="67" t="n"/>
      <c r="G262" s="67" t="n"/>
      <c r="H262" s="67" t="n"/>
      <c r="I262" s="67" t="n"/>
      <c r="J262" s="67" t="n"/>
      <c r="K262" s="76" t="str">
        <f>IF(AND(ISNUMBER($H262),$H262&gt;0,ISNUMBER($J262)),$J262/$H262,"")</f>
        <v/>
      </c>
      <c r="L262" s="77" t="str">
        <f>IF(AND(ISNUMBER($J262),$J262&gt;0,ISNUMBER($G262)),$G262/$J262,"")</f>
        <v/>
      </c>
      <c r="M262" s="67" t="n"/>
      <c r="N262" s="67" t="n"/>
      <c r="O262" s="72" t="str">
        <f>IF(AND(ISNUMBER($M262),$M262&gt;0,ISNUMBER($G262)),$G262/$M262,"")</f>
        <v/>
      </c>
      <c r="P262" s="73" t="str">
        <f>IF(AND(ISNUMBER($J262),$J262&gt;0,ISNUMBER($M262)),$M262/$J262,"")</f>
        <v/>
      </c>
      <c r="Q262" s="64" t="n"/>
      <c r="R262" s="64" t="n"/>
      <c r="S262" s="65" t="n"/>
      <c r="T262" s="65" t="n"/>
      <c r="U262" s="71" t="str">
        <f>IF(ISNUMBER($A262),YEAR($A262)&amp;"-"&amp;TEXT(MONTH($A262),"00"),"")</f>
        <v/>
      </c>
      <c r="V262" s="71">
        <f>IF($D262="",0,IF(AND(OR(fClient="All",$B262=fClient),OR(fCampaign="All",$C262=fCampaign),OR(fTeam="All",$R262=fTeam),OR(fChannel="All",$D262=fChannel),OR(fMonth="All",$U262=fMonth)),1,0))</f>
        <v>0</v>
      </c>
      <c r="W262" s="71">
        <f>IF($D262="",0,IF(AND(OR(fClient="All",$B262=fClient),OR(fCampaign="All",$C262=fCampaign),OR(fTeam="All",$R262=fTeam),OR(fChannel="All",$D262=fChannel)),1,0))</f>
        <v>0</v>
      </c>
    </row>
    <row r="263">
      <c r="A263" s="63" t="n"/>
      <c r="B263" s="64" t="n"/>
      <c r="C263" s="64" t="n"/>
      <c r="D263" s="64" t="n"/>
      <c r="E263" s="64" t="n"/>
      <c r="F263" s="67" t="n"/>
      <c r="G263" s="67" t="n"/>
      <c r="H263" s="67" t="n"/>
      <c r="I263" s="67" t="n"/>
      <c r="J263" s="67" t="n"/>
      <c r="K263" s="76" t="str">
        <f>IF(AND(ISNUMBER($H263),$H263&gt;0,ISNUMBER($J263)),$J263/$H263,"")</f>
        <v/>
      </c>
      <c r="L263" s="77" t="str">
        <f>IF(AND(ISNUMBER($J263),$J263&gt;0,ISNUMBER($G263)),$G263/$J263,"")</f>
        <v/>
      </c>
      <c r="M263" s="67" t="n"/>
      <c r="N263" s="67" t="n"/>
      <c r="O263" s="72" t="str">
        <f>IF(AND(ISNUMBER($M263),$M263&gt;0,ISNUMBER($G263)),$G263/$M263,"")</f>
        <v/>
      </c>
      <c r="P263" s="73" t="str">
        <f>IF(AND(ISNUMBER($J263),$J263&gt;0,ISNUMBER($M263)),$M263/$J263,"")</f>
        <v/>
      </c>
      <c r="Q263" s="64" t="n"/>
      <c r="R263" s="64" t="n"/>
      <c r="S263" s="65" t="n"/>
      <c r="T263" s="65" t="n"/>
      <c r="U263" s="71" t="str">
        <f>IF(ISNUMBER($A263),YEAR($A263)&amp;"-"&amp;TEXT(MONTH($A263),"00"),"")</f>
        <v/>
      </c>
      <c r="V263" s="71">
        <f>IF($D263="",0,IF(AND(OR(fClient="All",$B263=fClient),OR(fCampaign="All",$C263=fCampaign),OR(fTeam="All",$R263=fTeam),OR(fChannel="All",$D263=fChannel),OR(fMonth="All",$U263=fMonth)),1,0))</f>
        <v>0</v>
      </c>
      <c r="W263" s="71">
        <f>IF($D263="",0,IF(AND(OR(fClient="All",$B263=fClient),OR(fCampaign="All",$C263=fCampaign),OR(fTeam="All",$R263=fTeam),OR(fChannel="All",$D263=fChannel)),1,0))</f>
        <v>0</v>
      </c>
    </row>
    <row r="264">
      <c r="A264" s="63" t="n"/>
      <c r="B264" s="64" t="n"/>
      <c r="C264" s="64" t="n"/>
      <c r="D264" s="64" t="n"/>
      <c r="E264" s="64" t="n"/>
      <c r="F264" s="67" t="n"/>
      <c r="G264" s="67" t="n"/>
      <c r="H264" s="67" t="n"/>
      <c r="I264" s="67" t="n"/>
      <c r="J264" s="67" t="n"/>
      <c r="K264" s="76" t="str">
        <f>IF(AND(ISNUMBER($H264),$H264&gt;0,ISNUMBER($J264)),$J264/$H264,"")</f>
        <v/>
      </c>
      <c r="L264" s="77" t="str">
        <f>IF(AND(ISNUMBER($J264),$J264&gt;0,ISNUMBER($G264)),$G264/$J264,"")</f>
        <v/>
      </c>
      <c r="M264" s="67" t="n"/>
      <c r="N264" s="67" t="n"/>
      <c r="O264" s="72" t="str">
        <f>IF(AND(ISNUMBER($M264),$M264&gt;0,ISNUMBER($G264)),$G264/$M264,"")</f>
        <v/>
      </c>
      <c r="P264" s="73" t="str">
        <f>IF(AND(ISNUMBER($J264),$J264&gt;0,ISNUMBER($M264)),$M264/$J264,"")</f>
        <v/>
      </c>
      <c r="Q264" s="64" t="n"/>
      <c r="R264" s="64" t="n"/>
      <c r="S264" s="65" t="n"/>
      <c r="T264" s="65" t="n"/>
      <c r="U264" s="71" t="str">
        <f>IF(ISNUMBER($A264),YEAR($A264)&amp;"-"&amp;TEXT(MONTH($A264),"00"),"")</f>
        <v/>
      </c>
      <c r="V264" s="71">
        <f>IF($D264="",0,IF(AND(OR(fClient="All",$B264=fClient),OR(fCampaign="All",$C264=fCampaign),OR(fTeam="All",$R264=fTeam),OR(fChannel="All",$D264=fChannel),OR(fMonth="All",$U264=fMonth)),1,0))</f>
        <v>0</v>
      </c>
      <c r="W264" s="71">
        <f>IF($D264="",0,IF(AND(OR(fClient="All",$B264=fClient),OR(fCampaign="All",$C264=fCampaign),OR(fTeam="All",$R264=fTeam),OR(fChannel="All",$D264=fChannel)),1,0))</f>
        <v>0</v>
      </c>
    </row>
    <row r="265">
      <c r="A265" s="63" t="n"/>
      <c r="B265" s="64" t="n"/>
      <c r="C265" s="64" t="n"/>
      <c r="D265" s="64" t="n"/>
      <c r="E265" s="64" t="n"/>
      <c r="F265" s="67" t="n"/>
      <c r="G265" s="67" t="n"/>
      <c r="H265" s="67" t="n"/>
      <c r="I265" s="67" t="n"/>
      <c r="J265" s="67" t="n"/>
      <c r="K265" s="76" t="str">
        <f>IF(AND(ISNUMBER($H265),$H265&gt;0,ISNUMBER($J265)),$J265/$H265,"")</f>
        <v/>
      </c>
      <c r="L265" s="77" t="str">
        <f>IF(AND(ISNUMBER($J265),$J265&gt;0,ISNUMBER($G265)),$G265/$J265,"")</f>
        <v/>
      </c>
      <c r="M265" s="67" t="n"/>
      <c r="N265" s="67" t="n"/>
      <c r="O265" s="72" t="str">
        <f>IF(AND(ISNUMBER($M265),$M265&gt;0,ISNUMBER($G265)),$G265/$M265,"")</f>
        <v/>
      </c>
      <c r="P265" s="73" t="str">
        <f>IF(AND(ISNUMBER($J265),$J265&gt;0,ISNUMBER($M265)),$M265/$J265,"")</f>
        <v/>
      </c>
      <c r="Q265" s="64" t="n"/>
      <c r="R265" s="64" t="n"/>
      <c r="S265" s="65" t="n"/>
      <c r="T265" s="65" t="n"/>
      <c r="U265" s="71" t="str">
        <f>IF(ISNUMBER($A265),YEAR($A265)&amp;"-"&amp;TEXT(MONTH($A265),"00"),"")</f>
        <v/>
      </c>
      <c r="V265" s="71">
        <f>IF($D265="",0,IF(AND(OR(fClient="All",$B265=fClient),OR(fCampaign="All",$C265=fCampaign),OR(fTeam="All",$R265=fTeam),OR(fChannel="All",$D265=fChannel),OR(fMonth="All",$U265=fMonth)),1,0))</f>
        <v>0</v>
      </c>
      <c r="W265" s="71">
        <f>IF($D265="",0,IF(AND(OR(fClient="All",$B265=fClient),OR(fCampaign="All",$C265=fCampaign),OR(fTeam="All",$R265=fTeam),OR(fChannel="All",$D265=fChannel)),1,0))</f>
        <v>0</v>
      </c>
    </row>
    <row r="266">
      <c r="A266" s="63" t="n"/>
      <c r="B266" s="64" t="n"/>
      <c r="C266" s="64" t="n"/>
      <c r="D266" s="64" t="n"/>
      <c r="E266" s="64" t="n"/>
      <c r="F266" s="67" t="n"/>
      <c r="G266" s="67" t="n"/>
      <c r="H266" s="67" t="n"/>
      <c r="I266" s="67" t="n"/>
      <c r="J266" s="67" t="n"/>
      <c r="K266" s="76" t="str">
        <f>IF(AND(ISNUMBER($H266),$H266&gt;0,ISNUMBER($J266)),$J266/$H266,"")</f>
        <v/>
      </c>
      <c r="L266" s="77" t="str">
        <f>IF(AND(ISNUMBER($J266),$J266&gt;0,ISNUMBER($G266)),$G266/$J266,"")</f>
        <v/>
      </c>
      <c r="M266" s="67" t="n"/>
      <c r="N266" s="67" t="n"/>
      <c r="O266" s="72" t="str">
        <f>IF(AND(ISNUMBER($M266),$M266&gt;0,ISNUMBER($G266)),$G266/$M266,"")</f>
        <v/>
      </c>
      <c r="P266" s="73" t="str">
        <f>IF(AND(ISNUMBER($J266),$J266&gt;0,ISNUMBER($M266)),$M266/$J266,"")</f>
        <v/>
      </c>
      <c r="Q266" s="64" t="n"/>
      <c r="R266" s="64" t="n"/>
      <c r="S266" s="65" t="n"/>
      <c r="T266" s="65" t="n"/>
      <c r="U266" s="71" t="str">
        <f>IF(ISNUMBER($A266),YEAR($A266)&amp;"-"&amp;TEXT(MONTH($A266),"00"),"")</f>
        <v/>
      </c>
      <c r="V266" s="71">
        <f>IF($D266="",0,IF(AND(OR(fClient="All",$B266=fClient),OR(fCampaign="All",$C266=fCampaign),OR(fTeam="All",$R266=fTeam),OR(fChannel="All",$D266=fChannel),OR(fMonth="All",$U266=fMonth)),1,0))</f>
        <v>0</v>
      </c>
      <c r="W266" s="71">
        <f>IF($D266="",0,IF(AND(OR(fClient="All",$B266=fClient),OR(fCampaign="All",$C266=fCampaign),OR(fTeam="All",$R266=fTeam),OR(fChannel="All",$D266=fChannel)),1,0))</f>
        <v>0</v>
      </c>
    </row>
    <row r="267">
      <c r="A267" s="63" t="n"/>
      <c r="B267" s="64" t="n"/>
      <c r="C267" s="64" t="n"/>
      <c r="D267" s="64" t="n"/>
      <c r="E267" s="64" t="n"/>
      <c r="F267" s="67" t="n"/>
      <c r="G267" s="67" t="n"/>
      <c r="H267" s="67" t="n"/>
      <c r="I267" s="67" t="n"/>
      <c r="J267" s="67" t="n"/>
      <c r="K267" s="76" t="str">
        <f>IF(AND(ISNUMBER($H267),$H267&gt;0,ISNUMBER($J267)),$J267/$H267,"")</f>
        <v/>
      </c>
      <c r="L267" s="77" t="str">
        <f>IF(AND(ISNUMBER($J267),$J267&gt;0,ISNUMBER($G267)),$G267/$J267,"")</f>
        <v/>
      </c>
      <c r="M267" s="67" t="n"/>
      <c r="N267" s="67" t="n"/>
      <c r="O267" s="72" t="str">
        <f>IF(AND(ISNUMBER($M267),$M267&gt;0,ISNUMBER($G267)),$G267/$M267,"")</f>
        <v/>
      </c>
      <c r="P267" s="73" t="str">
        <f>IF(AND(ISNUMBER($J267),$J267&gt;0,ISNUMBER($M267)),$M267/$J267,"")</f>
        <v/>
      </c>
      <c r="Q267" s="64" t="n"/>
      <c r="R267" s="64" t="n"/>
      <c r="S267" s="65" t="n"/>
      <c r="T267" s="65" t="n"/>
      <c r="U267" s="71" t="str">
        <f>IF(ISNUMBER($A267),YEAR($A267)&amp;"-"&amp;TEXT(MONTH($A267),"00"),"")</f>
        <v/>
      </c>
      <c r="V267" s="71">
        <f>IF($D267="",0,IF(AND(OR(fClient="All",$B267=fClient),OR(fCampaign="All",$C267=fCampaign),OR(fTeam="All",$R267=fTeam),OR(fChannel="All",$D267=fChannel),OR(fMonth="All",$U267=fMonth)),1,0))</f>
        <v>0</v>
      </c>
      <c r="W267" s="71">
        <f>IF($D267="",0,IF(AND(OR(fClient="All",$B267=fClient),OR(fCampaign="All",$C267=fCampaign),OR(fTeam="All",$R267=fTeam),OR(fChannel="All",$D267=fChannel)),1,0))</f>
        <v>0</v>
      </c>
    </row>
    <row r="268">
      <c r="A268" s="63" t="n"/>
      <c r="B268" s="64" t="n"/>
      <c r="C268" s="64" t="n"/>
      <c r="D268" s="64" t="n"/>
      <c r="E268" s="64" t="n"/>
      <c r="F268" s="67" t="n"/>
      <c r="G268" s="67" t="n"/>
      <c r="H268" s="67" t="n"/>
      <c r="I268" s="67" t="n"/>
      <c r="J268" s="67" t="n"/>
      <c r="K268" s="76" t="str">
        <f>IF(AND(ISNUMBER($H268),$H268&gt;0,ISNUMBER($J268)),$J268/$H268,"")</f>
        <v/>
      </c>
      <c r="L268" s="77" t="str">
        <f>IF(AND(ISNUMBER($J268),$J268&gt;0,ISNUMBER($G268)),$G268/$J268,"")</f>
        <v/>
      </c>
      <c r="M268" s="67" t="n"/>
      <c r="N268" s="67" t="n"/>
      <c r="O268" s="72" t="str">
        <f>IF(AND(ISNUMBER($M268),$M268&gt;0,ISNUMBER($G268)),$G268/$M268,"")</f>
        <v/>
      </c>
      <c r="P268" s="73" t="str">
        <f>IF(AND(ISNUMBER($J268),$J268&gt;0,ISNUMBER($M268)),$M268/$J268,"")</f>
        <v/>
      </c>
      <c r="Q268" s="64" t="n"/>
      <c r="R268" s="64" t="n"/>
      <c r="S268" s="65" t="n"/>
      <c r="T268" s="65" t="n"/>
      <c r="U268" s="71" t="str">
        <f>IF(ISNUMBER($A268),YEAR($A268)&amp;"-"&amp;TEXT(MONTH($A268),"00"),"")</f>
        <v/>
      </c>
      <c r="V268" s="71">
        <f>IF($D268="",0,IF(AND(OR(fClient="All",$B268=fClient),OR(fCampaign="All",$C268=fCampaign),OR(fTeam="All",$R268=fTeam),OR(fChannel="All",$D268=fChannel),OR(fMonth="All",$U268=fMonth)),1,0))</f>
        <v>0</v>
      </c>
      <c r="W268" s="71">
        <f>IF($D268="",0,IF(AND(OR(fClient="All",$B268=fClient),OR(fCampaign="All",$C268=fCampaign),OR(fTeam="All",$R268=fTeam),OR(fChannel="All",$D268=fChannel)),1,0))</f>
        <v>0</v>
      </c>
    </row>
    <row r="269">
      <c r="A269" s="63" t="n"/>
      <c r="B269" s="64" t="n"/>
      <c r="C269" s="64" t="n"/>
      <c r="D269" s="64" t="n"/>
      <c r="E269" s="64" t="n"/>
      <c r="F269" s="67" t="n"/>
      <c r="G269" s="67" t="n"/>
      <c r="H269" s="67" t="n"/>
      <c r="I269" s="67" t="n"/>
      <c r="J269" s="67" t="n"/>
      <c r="K269" s="76" t="str">
        <f>IF(AND(ISNUMBER($H269),$H269&gt;0,ISNUMBER($J269)),$J269/$H269,"")</f>
        <v/>
      </c>
      <c r="L269" s="77" t="str">
        <f>IF(AND(ISNUMBER($J269),$J269&gt;0,ISNUMBER($G269)),$G269/$J269,"")</f>
        <v/>
      </c>
      <c r="M269" s="67" t="n"/>
      <c r="N269" s="67" t="n"/>
      <c r="O269" s="72" t="str">
        <f>IF(AND(ISNUMBER($M269),$M269&gt;0,ISNUMBER($G269)),$G269/$M269,"")</f>
        <v/>
      </c>
      <c r="P269" s="73" t="str">
        <f>IF(AND(ISNUMBER($J269),$J269&gt;0,ISNUMBER($M269)),$M269/$J269,"")</f>
        <v/>
      </c>
      <c r="Q269" s="64" t="n"/>
      <c r="R269" s="64" t="n"/>
      <c r="S269" s="65" t="n"/>
      <c r="T269" s="65" t="n"/>
      <c r="U269" s="71" t="str">
        <f>IF(ISNUMBER($A269),YEAR($A269)&amp;"-"&amp;TEXT(MONTH($A269),"00"),"")</f>
        <v/>
      </c>
      <c r="V269" s="71">
        <f>IF($D269="",0,IF(AND(OR(fClient="All",$B269=fClient),OR(fCampaign="All",$C269=fCampaign),OR(fTeam="All",$R269=fTeam),OR(fChannel="All",$D269=fChannel),OR(fMonth="All",$U269=fMonth)),1,0))</f>
        <v>0</v>
      </c>
      <c r="W269" s="71">
        <f>IF($D269="",0,IF(AND(OR(fClient="All",$B269=fClient),OR(fCampaign="All",$C269=fCampaign),OR(fTeam="All",$R269=fTeam),OR(fChannel="All",$D269=fChannel)),1,0))</f>
        <v>0</v>
      </c>
    </row>
    <row r="270">
      <c r="A270" s="63" t="n"/>
      <c r="B270" s="64" t="n"/>
      <c r="C270" s="64" t="n"/>
      <c r="D270" s="64" t="n"/>
      <c r="E270" s="64" t="n"/>
      <c r="F270" s="67" t="n"/>
      <c r="G270" s="67" t="n"/>
      <c r="H270" s="67" t="n"/>
      <c r="I270" s="67" t="n"/>
      <c r="J270" s="67" t="n"/>
      <c r="K270" s="76" t="str">
        <f>IF(AND(ISNUMBER($H270),$H270&gt;0,ISNUMBER($J270)),$J270/$H270,"")</f>
        <v/>
      </c>
      <c r="L270" s="77" t="str">
        <f>IF(AND(ISNUMBER($J270),$J270&gt;0,ISNUMBER($G270)),$G270/$J270,"")</f>
        <v/>
      </c>
      <c r="M270" s="67" t="n"/>
      <c r="N270" s="67" t="n"/>
      <c r="O270" s="72" t="str">
        <f>IF(AND(ISNUMBER($M270),$M270&gt;0,ISNUMBER($G270)),$G270/$M270,"")</f>
        <v/>
      </c>
      <c r="P270" s="73" t="str">
        <f>IF(AND(ISNUMBER($J270),$J270&gt;0,ISNUMBER($M270)),$M270/$J270,"")</f>
        <v/>
      </c>
      <c r="Q270" s="64" t="n"/>
      <c r="R270" s="64" t="n"/>
      <c r="S270" s="65" t="n"/>
      <c r="T270" s="65" t="n"/>
      <c r="U270" s="71" t="str">
        <f>IF(ISNUMBER($A270),YEAR($A270)&amp;"-"&amp;TEXT(MONTH($A270),"00"),"")</f>
        <v/>
      </c>
      <c r="V270" s="71">
        <f>IF($D270="",0,IF(AND(OR(fClient="All",$B270=fClient),OR(fCampaign="All",$C270=fCampaign),OR(fTeam="All",$R270=fTeam),OR(fChannel="All",$D270=fChannel),OR(fMonth="All",$U270=fMonth)),1,0))</f>
        <v>0</v>
      </c>
      <c r="W270" s="71">
        <f>IF($D270="",0,IF(AND(OR(fClient="All",$B270=fClient),OR(fCampaign="All",$C270=fCampaign),OR(fTeam="All",$R270=fTeam),OR(fChannel="All",$D270=fChannel)),1,0))</f>
        <v>0</v>
      </c>
    </row>
    <row r="271">
      <c r="A271" s="63" t="n"/>
      <c r="B271" s="64" t="n"/>
      <c r="C271" s="64" t="n"/>
      <c r="D271" s="64" t="n"/>
      <c r="E271" s="64" t="n"/>
      <c r="F271" s="67" t="n"/>
      <c r="G271" s="67" t="n"/>
      <c r="H271" s="67" t="n"/>
      <c r="I271" s="67" t="n"/>
      <c r="J271" s="67" t="n"/>
      <c r="K271" s="76" t="str">
        <f>IF(AND(ISNUMBER($H271),$H271&gt;0,ISNUMBER($J271)),$J271/$H271,"")</f>
        <v/>
      </c>
      <c r="L271" s="77" t="str">
        <f>IF(AND(ISNUMBER($J271),$J271&gt;0,ISNUMBER($G271)),$G271/$J271,"")</f>
        <v/>
      </c>
      <c r="M271" s="67" t="n"/>
      <c r="N271" s="67" t="n"/>
      <c r="O271" s="72" t="str">
        <f>IF(AND(ISNUMBER($M271),$M271&gt;0,ISNUMBER($G271)),$G271/$M271,"")</f>
        <v/>
      </c>
      <c r="P271" s="73" t="str">
        <f>IF(AND(ISNUMBER($J271),$J271&gt;0,ISNUMBER($M271)),$M271/$J271,"")</f>
        <v/>
      </c>
      <c r="Q271" s="64" t="n"/>
      <c r="R271" s="64" t="n"/>
      <c r="S271" s="65" t="n"/>
      <c r="T271" s="65" t="n"/>
      <c r="U271" s="71" t="str">
        <f>IF(ISNUMBER($A271),YEAR($A271)&amp;"-"&amp;TEXT(MONTH($A271),"00"),"")</f>
        <v/>
      </c>
      <c r="V271" s="71">
        <f>IF($D271="",0,IF(AND(OR(fClient="All",$B271=fClient),OR(fCampaign="All",$C271=fCampaign),OR(fTeam="All",$R271=fTeam),OR(fChannel="All",$D271=fChannel),OR(fMonth="All",$U271=fMonth)),1,0))</f>
        <v>0</v>
      </c>
      <c r="W271" s="71">
        <f>IF($D271="",0,IF(AND(OR(fClient="All",$B271=fClient),OR(fCampaign="All",$C271=fCampaign),OR(fTeam="All",$R271=fTeam),OR(fChannel="All",$D271=fChannel)),1,0))</f>
        <v>0</v>
      </c>
    </row>
    <row r="272">
      <c r="A272" s="63" t="n"/>
      <c r="B272" s="64" t="n"/>
      <c r="C272" s="64" t="n"/>
      <c r="D272" s="64" t="n"/>
      <c r="E272" s="64" t="n"/>
      <c r="F272" s="67" t="n"/>
      <c r="G272" s="67" t="n"/>
      <c r="H272" s="67" t="n"/>
      <c r="I272" s="67" t="n"/>
      <c r="J272" s="67" t="n"/>
      <c r="K272" s="76" t="str">
        <f>IF(AND(ISNUMBER($H272),$H272&gt;0,ISNUMBER($J272)),$J272/$H272,"")</f>
        <v/>
      </c>
      <c r="L272" s="77" t="str">
        <f>IF(AND(ISNUMBER($J272),$J272&gt;0,ISNUMBER($G272)),$G272/$J272,"")</f>
        <v/>
      </c>
      <c r="M272" s="67" t="n"/>
      <c r="N272" s="67" t="n"/>
      <c r="O272" s="72" t="str">
        <f>IF(AND(ISNUMBER($M272),$M272&gt;0,ISNUMBER($G272)),$G272/$M272,"")</f>
        <v/>
      </c>
      <c r="P272" s="73" t="str">
        <f>IF(AND(ISNUMBER($J272),$J272&gt;0,ISNUMBER($M272)),$M272/$J272,"")</f>
        <v/>
      </c>
      <c r="Q272" s="64" t="n"/>
      <c r="R272" s="64" t="n"/>
      <c r="S272" s="65" t="n"/>
      <c r="T272" s="65" t="n"/>
      <c r="U272" s="71" t="str">
        <f>IF(ISNUMBER($A272),YEAR($A272)&amp;"-"&amp;TEXT(MONTH($A272),"00"),"")</f>
        <v/>
      </c>
      <c r="V272" s="71">
        <f>IF($D272="",0,IF(AND(OR(fClient="All",$B272=fClient),OR(fCampaign="All",$C272=fCampaign),OR(fTeam="All",$R272=fTeam),OR(fChannel="All",$D272=fChannel),OR(fMonth="All",$U272=fMonth)),1,0))</f>
        <v>0</v>
      </c>
      <c r="W272" s="71">
        <f>IF($D272="",0,IF(AND(OR(fClient="All",$B272=fClient),OR(fCampaign="All",$C272=fCampaign),OR(fTeam="All",$R272=fTeam),OR(fChannel="All",$D272=fChannel)),1,0))</f>
        <v>0</v>
      </c>
    </row>
    <row r="273">
      <c r="A273" s="63" t="n"/>
      <c r="B273" s="64" t="n"/>
      <c r="C273" s="64" t="n"/>
      <c r="D273" s="64" t="n"/>
      <c r="E273" s="64" t="n"/>
      <c r="F273" s="67" t="n"/>
      <c r="G273" s="67" t="n"/>
      <c r="H273" s="67" t="n"/>
      <c r="I273" s="67" t="n"/>
      <c r="J273" s="67" t="n"/>
      <c r="K273" s="76" t="str">
        <f>IF(AND(ISNUMBER($H273),$H273&gt;0,ISNUMBER($J273)),$J273/$H273,"")</f>
        <v/>
      </c>
      <c r="L273" s="77" t="str">
        <f>IF(AND(ISNUMBER($J273),$J273&gt;0,ISNUMBER($G273)),$G273/$J273,"")</f>
        <v/>
      </c>
      <c r="M273" s="67" t="n"/>
      <c r="N273" s="67" t="n"/>
      <c r="O273" s="72" t="str">
        <f>IF(AND(ISNUMBER($M273),$M273&gt;0,ISNUMBER($G273)),$G273/$M273,"")</f>
        <v/>
      </c>
      <c r="P273" s="73" t="str">
        <f>IF(AND(ISNUMBER($J273),$J273&gt;0,ISNUMBER($M273)),$M273/$J273,"")</f>
        <v/>
      </c>
      <c r="Q273" s="64" t="n"/>
      <c r="R273" s="64" t="n"/>
      <c r="S273" s="65" t="n"/>
      <c r="T273" s="65" t="n"/>
      <c r="U273" s="71" t="str">
        <f>IF(ISNUMBER($A273),YEAR($A273)&amp;"-"&amp;TEXT(MONTH($A273),"00"),"")</f>
        <v/>
      </c>
      <c r="V273" s="71">
        <f>IF($D273="",0,IF(AND(OR(fClient="All",$B273=fClient),OR(fCampaign="All",$C273=fCampaign),OR(fTeam="All",$R273=fTeam),OR(fChannel="All",$D273=fChannel),OR(fMonth="All",$U273=fMonth)),1,0))</f>
        <v>0</v>
      </c>
      <c r="W273" s="71">
        <f>IF($D273="",0,IF(AND(OR(fClient="All",$B273=fClient),OR(fCampaign="All",$C273=fCampaign),OR(fTeam="All",$R273=fTeam),OR(fChannel="All",$D273=fChannel)),1,0))</f>
        <v>0</v>
      </c>
    </row>
    <row r="274">
      <c r="A274" s="63" t="n"/>
      <c r="B274" s="64" t="n"/>
      <c r="C274" s="64" t="n"/>
      <c r="D274" s="64" t="n"/>
      <c r="E274" s="64" t="n"/>
      <c r="F274" s="67" t="n"/>
      <c r="G274" s="67" t="n"/>
      <c r="H274" s="67" t="n"/>
      <c r="I274" s="67" t="n"/>
      <c r="J274" s="67" t="n"/>
      <c r="K274" s="76" t="str">
        <f>IF(AND(ISNUMBER($H274),$H274&gt;0,ISNUMBER($J274)),$J274/$H274,"")</f>
        <v/>
      </c>
      <c r="L274" s="77" t="str">
        <f>IF(AND(ISNUMBER($J274),$J274&gt;0,ISNUMBER($G274)),$G274/$J274,"")</f>
        <v/>
      </c>
      <c r="M274" s="67" t="n"/>
      <c r="N274" s="67" t="n"/>
      <c r="O274" s="72" t="str">
        <f>IF(AND(ISNUMBER($M274),$M274&gt;0,ISNUMBER($G274)),$G274/$M274,"")</f>
        <v/>
      </c>
      <c r="P274" s="73" t="str">
        <f>IF(AND(ISNUMBER($J274),$J274&gt;0,ISNUMBER($M274)),$M274/$J274,"")</f>
        <v/>
      </c>
      <c r="Q274" s="64" t="n"/>
      <c r="R274" s="64" t="n"/>
      <c r="S274" s="65" t="n"/>
      <c r="T274" s="65" t="n"/>
      <c r="U274" s="71" t="str">
        <f>IF(ISNUMBER($A274),YEAR($A274)&amp;"-"&amp;TEXT(MONTH($A274),"00"),"")</f>
        <v/>
      </c>
      <c r="V274" s="71">
        <f>IF($D274="",0,IF(AND(OR(fClient="All",$B274=fClient),OR(fCampaign="All",$C274=fCampaign),OR(fTeam="All",$R274=fTeam),OR(fChannel="All",$D274=fChannel),OR(fMonth="All",$U274=fMonth)),1,0))</f>
        <v>0</v>
      </c>
      <c r="W274" s="71">
        <f>IF($D274="",0,IF(AND(OR(fClient="All",$B274=fClient),OR(fCampaign="All",$C274=fCampaign),OR(fTeam="All",$R274=fTeam),OR(fChannel="All",$D274=fChannel)),1,0))</f>
        <v>0</v>
      </c>
    </row>
    <row r="275">
      <c r="A275" s="63" t="n"/>
      <c r="B275" s="64" t="n"/>
      <c r="C275" s="64" t="n"/>
      <c r="D275" s="64" t="n"/>
      <c r="E275" s="64" t="n"/>
      <c r="F275" s="67" t="n"/>
      <c r="G275" s="67" t="n"/>
      <c r="H275" s="67" t="n"/>
      <c r="I275" s="67" t="n"/>
      <c r="J275" s="67" t="n"/>
      <c r="K275" s="76" t="str">
        <f>IF(AND(ISNUMBER($H275),$H275&gt;0,ISNUMBER($J275)),$J275/$H275,"")</f>
        <v/>
      </c>
      <c r="L275" s="77" t="str">
        <f>IF(AND(ISNUMBER($J275),$J275&gt;0,ISNUMBER($G275)),$G275/$J275,"")</f>
        <v/>
      </c>
      <c r="M275" s="67" t="n"/>
      <c r="N275" s="67" t="n"/>
      <c r="O275" s="72" t="str">
        <f>IF(AND(ISNUMBER($M275),$M275&gt;0,ISNUMBER($G275)),$G275/$M275,"")</f>
        <v/>
      </c>
      <c r="P275" s="73" t="str">
        <f>IF(AND(ISNUMBER($J275),$J275&gt;0,ISNUMBER($M275)),$M275/$J275,"")</f>
        <v/>
      </c>
      <c r="Q275" s="64" t="n"/>
      <c r="R275" s="64" t="n"/>
      <c r="S275" s="65" t="n"/>
      <c r="T275" s="65" t="n"/>
      <c r="U275" s="71" t="str">
        <f>IF(ISNUMBER($A275),YEAR($A275)&amp;"-"&amp;TEXT(MONTH($A275),"00"),"")</f>
        <v/>
      </c>
      <c r="V275" s="71">
        <f>IF($D275="",0,IF(AND(OR(fClient="All",$B275=fClient),OR(fCampaign="All",$C275=fCampaign),OR(fTeam="All",$R275=fTeam),OR(fChannel="All",$D275=fChannel),OR(fMonth="All",$U275=fMonth)),1,0))</f>
        <v>0</v>
      </c>
      <c r="W275" s="71">
        <f>IF($D275="",0,IF(AND(OR(fClient="All",$B275=fClient),OR(fCampaign="All",$C275=fCampaign),OR(fTeam="All",$R275=fTeam),OR(fChannel="All",$D275=fChannel)),1,0))</f>
        <v>0</v>
      </c>
    </row>
    <row r="276">
      <c r="A276" s="63" t="n"/>
      <c r="B276" s="64" t="n"/>
      <c r="C276" s="64" t="n"/>
      <c r="D276" s="64" t="n"/>
      <c r="E276" s="64" t="n"/>
      <c r="F276" s="67" t="n"/>
      <c r="G276" s="67" t="n"/>
      <c r="H276" s="67" t="n"/>
      <c r="I276" s="67" t="n"/>
      <c r="J276" s="67" t="n"/>
      <c r="K276" s="76" t="str">
        <f>IF(AND(ISNUMBER($H276),$H276&gt;0,ISNUMBER($J276)),$J276/$H276,"")</f>
        <v/>
      </c>
      <c r="L276" s="77" t="str">
        <f>IF(AND(ISNUMBER($J276),$J276&gt;0,ISNUMBER($G276)),$G276/$J276,"")</f>
        <v/>
      </c>
      <c r="M276" s="67" t="n"/>
      <c r="N276" s="67" t="n"/>
      <c r="O276" s="72" t="str">
        <f>IF(AND(ISNUMBER($M276),$M276&gt;0,ISNUMBER($G276)),$G276/$M276,"")</f>
        <v/>
      </c>
      <c r="P276" s="73" t="str">
        <f>IF(AND(ISNUMBER($J276),$J276&gt;0,ISNUMBER($M276)),$M276/$J276,"")</f>
        <v/>
      </c>
      <c r="Q276" s="64" t="n"/>
      <c r="R276" s="64" t="n"/>
      <c r="S276" s="65" t="n"/>
      <c r="T276" s="65" t="n"/>
      <c r="U276" s="71" t="str">
        <f>IF(ISNUMBER($A276),YEAR($A276)&amp;"-"&amp;TEXT(MONTH($A276),"00"),"")</f>
        <v/>
      </c>
      <c r="V276" s="71">
        <f>IF($D276="",0,IF(AND(OR(fClient="All",$B276=fClient),OR(fCampaign="All",$C276=fCampaign),OR(fTeam="All",$R276=fTeam),OR(fChannel="All",$D276=fChannel),OR(fMonth="All",$U276=fMonth)),1,0))</f>
        <v>0</v>
      </c>
      <c r="W276" s="71">
        <f>IF($D276="",0,IF(AND(OR(fClient="All",$B276=fClient),OR(fCampaign="All",$C276=fCampaign),OR(fTeam="All",$R276=fTeam),OR(fChannel="All",$D276=fChannel)),1,0))</f>
        <v>0</v>
      </c>
    </row>
    <row r="277">
      <c r="A277" s="63" t="n"/>
      <c r="B277" s="64" t="n"/>
      <c r="C277" s="64" t="n"/>
      <c r="D277" s="64" t="n"/>
      <c r="E277" s="64" t="n"/>
      <c r="F277" s="67" t="n"/>
      <c r="G277" s="67" t="n"/>
      <c r="H277" s="67" t="n"/>
      <c r="I277" s="67" t="n"/>
      <c r="J277" s="67" t="n"/>
      <c r="K277" s="76" t="str">
        <f>IF(AND(ISNUMBER($H277),$H277&gt;0,ISNUMBER($J277)),$J277/$H277,"")</f>
        <v/>
      </c>
      <c r="L277" s="77" t="str">
        <f>IF(AND(ISNUMBER($J277),$J277&gt;0,ISNUMBER($G277)),$G277/$J277,"")</f>
        <v/>
      </c>
      <c r="M277" s="67" t="n"/>
      <c r="N277" s="67" t="n"/>
      <c r="O277" s="72" t="str">
        <f>IF(AND(ISNUMBER($M277),$M277&gt;0,ISNUMBER($G277)),$G277/$M277,"")</f>
        <v/>
      </c>
      <c r="P277" s="73" t="str">
        <f>IF(AND(ISNUMBER($J277),$J277&gt;0,ISNUMBER($M277)),$M277/$J277,"")</f>
        <v/>
      </c>
      <c r="Q277" s="64" t="n"/>
      <c r="R277" s="64" t="n"/>
      <c r="S277" s="65" t="n"/>
      <c r="T277" s="65" t="n"/>
      <c r="U277" s="71" t="str">
        <f>IF(ISNUMBER($A277),YEAR($A277)&amp;"-"&amp;TEXT(MONTH($A277),"00"),"")</f>
        <v/>
      </c>
      <c r="V277" s="71">
        <f>IF($D277="",0,IF(AND(OR(fClient="All",$B277=fClient),OR(fCampaign="All",$C277=fCampaign),OR(fTeam="All",$R277=fTeam),OR(fChannel="All",$D277=fChannel),OR(fMonth="All",$U277=fMonth)),1,0))</f>
        <v>0</v>
      </c>
      <c r="W277" s="71">
        <f>IF($D277="",0,IF(AND(OR(fClient="All",$B277=fClient),OR(fCampaign="All",$C277=fCampaign),OR(fTeam="All",$R277=fTeam),OR(fChannel="All",$D277=fChannel)),1,0))</f>
        <v>0</v>
      </c>
    </row>
    <row r="278">
      <c r="A278" s="63" t="n"/>
      <c r="B278" s="64" t="n"/>
      <c r="C278" s="64" t="n"/>
      <c r="D278" s="64" t="n"/>
      <c r="E278" s="64" t="n"/>
      <c r="F278" s="67" t="n"/>
      <c r="G278" s="67" t="n"/>
      <c r="H278" s="67" t="n"/>
      <c r="I278" s="67" t="n"/>
      <c r="J278" s="67" t="n"/>
      <c r="K278" s="76" t="str">
        <f>IF(AND(ISNUMBER($H278),$H278&gt;0,ISNUMBER($J278)),$J278/$H278,"")</f>
        <v/>
      </c>
      <c r="L278" s="77" t="str">
        <f>IF(AND(ISNUMBER($J278),$J278&gt;0,ISNUMBER($G278)),$G278/$J278,"")</f>
        <v/>
      </c>
      <c r="M278" s="67" t="n"/>
      <c r="N278" s="67" t="n"/>
      <c r="O278" s="72" t="str">
        <f>IF(AND(ISNUMBER($M278),$M278&gt;0,ISNUMBER($G278)),$G278/$M278,"")</f>
        <v/>
      </c>
      <c r="P278" s="73" t="str">
        <f>IF(AND(ISNUMBER($J278),$J278&gt;0,ISNUMBER($M278)),$M278/$J278,"")</f>
        <v/>
      </c>
      <c r="Q278" s="64" t="n"/>
      <c r="R278" s="64" t="n"/>
      <c r="S278" s="65" t="n"/>
      <c r="T278" s="65" t="n"/>
      <c r="U278" s="71" t="str">
        <f>IF(ISNUMBER($A278),YEAR($A278)&amp;"-"&amp;TEXT(MONTH($A278),"00"),"")</f>
        <v/>
      </c>
      <c r="V278" s="71">
        <f>IF($D278="",0,IF(AND(OR(fClient="All",$B278=fClient),OR(fCampaign="All",$C278=fCampaign),OR(fTeam="All",$R278=fTeam),OR(fChannel="All",$D278=fChannel),OR(fMonth="All",$U278=fMonth)),1,0))</f>
        <v>0</v>
      </c>
      <c r="W278" s="71">
        <f>IF($D278="",0,IF(AND(OR(fClient="All",$B278=fClient),OR(fCampaign="All",$C278=fCampaign),OR(fTeam="All",$R278=fTeam),OR(fChannel="All",$D278=fChannel)),1,0))</f>
        <v>0</v>
      </c>
    </row>
    <row r="279">
      <c r="A279" s="63" t="n"/>
      <c r="B279" s="64" t="n"/>
      <c r="C279" s="64" t="n"/>
      <c r="D279" s="64" t="n"/>
      <c r="E279" s="64" t="n"/>
      <c r="F279" s="67" t="n"/>
      <c r="G279" s="67" t="n"/>
      <c r="H279" s="67" t="n"/>
      <c r="I279" s="67" t="n"/>
      <c r="J279" s="67" t="n"/>
      <c r="K279" s="76" t="str">
        <f>IF(AND(ISNUMBER($H279),$H279&gt;0,ISNUMBER($J279)),$J279/$H279,"")</f>
        <v/>
      </c>
      <c r="L279" s="77" t="str">
        <f>IF(AND(ISNUMBER($J279),$J279&gt;0,ISNUMBER($G279)),$G279/$J279,"")</f>
        <v/>
      </c>
      <c r="M279" s="67" t="n"/>
      <c r="N279" s="67" t="n"/>
      <c r="O279" s="72" t="str">
        <f>IF(AND(ISNUMBER($M279),$M279&gt;0,ISNUMBER($G279)),$G279/$M279,"")</f>
        <v/>
      </c>
      <c r="P279" s="73" t="str">
        <f>IF(AND(ISNUMBER($J279),$J279&gt;0,ISNUMBER($M279)),$M279/$J279,"")</f>
        <v/>
      </c>
      <c r="Q279" s="64" t="n"/>
      <c r="R279" s="64" t="n"/>
      <c r="S279" s="65" t="n"/>
      <c r="T279" s="65" t="n"/>
      <c r="U279" s="71" t="str">
        <f>IF(ISNUMBER($A279),YEAR($A279)&amp;"-"&amp;TEXT(MONTH($A279),"00"),"")</f>
        <v/>
      </c>
      <c r="V279" s="71">
        <f>IF($D279="",0,IF(AND(OR(fClient="All",$B279=fClient),OR(fCampaign="All",$C279=fCampaign),OR(fTeam="All",$R279=fTeam),OR(fChannel="All",$D279=fChannel),OR(fMonth="All",$U279=fMonth)),1,0))</f>
        <v>0</v>
      </c>
      <c r="W279" s="71">
        <f>IF($D279="",0,IF(AND(OR(fClient="All",$B279=fClient),OR(fCampaign="All",$C279=fCampaign),OR(fTeam="All",$R279=fTeam),OR(fChannel="All",$D279=fChannel)),1,0))</f>
        <v>0</v>
      </c>
    </row>
    <row r="280">
      <c r="A280" s="63" t="n"/>
      <c r="B280" s="64" t="n"/>
      <c r="C280" s="64" t="n"/>
      <c r="D280" s="64" t="n"/>
      <c r="E280" s="64" t="n"/>
      <c r="F280" s="67" t="n"/>
      <c r="G280" s="67" t="n"/>
      <c r="H280" s="67" t="n"/>
      <c r="I280" s="67" t="n"/>
      <c r="J280" s="67" t="n"/>
      <c r="K280" s="76" t="str">
        <f>IF(AND(ISNUMBER($H280),$H280&gt;0,ISNUMBER($J280)),$J280/$H280,"")</f>
        <v/>
      </c>
      <c r="L280" s="77" t="str">
        <f>IF(AND(ISNUMBER($J280),$J280&gt;0,ISNUMBER($G280)),$G280/$J280,"")</f>
        <v/>
      </c>
      <c r="M280" s="67" t="n"/>
      <c r="N280" s="67" t="n"/>
      <c r="O280" s="72" t="str">
        <f>IF(AND(ISNUMBER($M280),$M280&gt;0,ISNUMBER($G280)),$G280/$M280,"")</f>
        <v/>
      </c>
      <c r="P280" s="73" t="str">
        <f>IF(AND(ISNUMBER($J280),$J280&gt;0,ISNUMBER($M280)),$M280/$J280,"")</f>
        <v/>
      </c>
      <c r="Q280" s="64" t="n"/>
      <c r="R280" s="64" t="n"/>
      <c r="S280" s="65" t="n"/>
      <c r="T280" s="65" t="n"/>
      <c r="U280" s="71" t="str">
        <f>IF(ISNUMBER($A280),YEAR($A280)&amp;"-"&amp;TEXT(MONTH($A280),"00"),"")</f>
        <v/>
      </c>
      <c r="V280" s="71">
        <f>IF($D280="",0,IF(AND(OR(fClient="All",$B280=fClient),OR(fCampaign="All",$C280=fCampaign),OR(fTeam="All",$R280=fTeam),OR(fChannel="All",$D280=fChannel),OR(fMonth="All",$U280=fMonth)),1,0))</f>
        <v>0</v>
      </c>
      <c r="W280" s="71">
        <f>IF($D280="",0,IF(AND(OR(fClient="All",$B280=fClient),OR(fCampaign="All",$C280=fCampaign),OR(fTeam="All",$R280=fTeam),OR(fChannel="All",$D280=fChannel)),1,0))</f>
        <v>0</v>
      </c>
    </row>
    <row r="281">
      <c r="A281" s="63" t="n"/>
      <c r="B281" s="64" t="n"/>
      <c r="C281" s="64" t="n"/>
      <c r="D281" s="64" t="n"/>
      <c r="E281" s="64" t="n"/>
      <c r="F281" s="67" t="n"/>
      <c r="G281" s="67" t="n"/>
      <c r="H281" s="67" t="n"/>
      <c r="I281" s="67" t="n"/>
      <c r="J281" s="67" t="n"/>
      <c r="K281" s="76" t="str">
        <f>IF(AND(ISNUMBER($H281),$H281&gt;0,ISNUMBER($J281)),$J281/$H281,"")</f>
        <v/>
      </c>
      <c r="L281" s="77" t="str">
        <f>IF(AND(ISNUMBER($J281),$J281&gt;0,ISNUMBER($G281)),$G281/$J281,"")</f>
        <v/>
      </c>
      <c r="M281" s="67" t="n"/>
      <c r="N281" s="67" t="n"/>
      <c r="O281" s="72" t="str">
        <f>IF(AND(ISNUMBER($M281),$M281&gt;0,ISNUMBER($G281)),$G281/$M281,"")</f>
        <v/>
      </c>
      <c r="P281" s="73" t="str">
        <f>IF(AND(ISNUMBER($J281),$J281&gt;0,ISNUMBER($M281)),$M281/$J281,"")</f>
        <v/>
      </c>
      <c r="Q281" s="64" t="n"/>
      <c r="R281" s="64" t="n"/>
      <c r="S281" s="65" t="n"/>
      <c r="T281" s="65" t="n"/>
      <c r="U281" s="71" t="str">
        <f>IF(ISNUMBER($A281),YEAR($A281)&amp;"-"&amp;TEXT(MONTH($A281),"00"),"")</f>
        <v/>
      </c>
      <c r="V281" s="71">
        <f>IF($D281="",0,IF(AND(OR(fClient="All",$B281=fClient),OR(fCampaign="All",$C281=fCampaign),OR(fTeam="All",$R281=fTeam),OR(fChannel="All",$D281=fChannel),OR(fMonth="All",$U281=fMonth)),1,0))</f>
        <v>0</v>
      </c>
      <c r="W281" s="71">
        <f>IF($D281="",0,IF(AND(OR(fClient="All",$B281=fClient),OR(fCampaign="All",$C281=fCampaign),OR(fTeam="All",$R281=fTeam),OR(fChannel="All",$D281=fChannel)),1,0))</f>
        <v>0</v>
      </c>
    </row>
    <row r="282">
      <c r="A282" s="63" t="n"/>
      <c r="B282" s="64" t="n"/>
      <c r="C282" s="64" t="n"/>
      <c r="D282" s="64" t="n"/>
      <c r="E282" s="64" t="n"/>
      <c r="F282" s="67" t="n"/>
      <c r="G282" s="67" t="n"/>
      <c r="H282" s="67" t="n"/>
      <c r="I282" s="67" t="n"/>
      <c r="J282" s="67" t="n"/>
      <c r="K282" s="76" t="str">
        <f>IF(AND(ISNUMBER($H282),$H282&gt;0,ISNUMBER($J282)),$J282/$H282,"")</f>
        <v/>
      </c>
      <c r="L282" s="77" t="str">
        <f>IF(AND(ISNUMBER($J282),$J282&gt;0,ISNUMBER($G282)),$G282/$J282,"")</f>
        <v/>
      </c>
      <c r="M282" s="67" t="n"/>
      <c r="N282" s="67" t="n"/>
      <c r="O282" s="72" t="str">
        <f>IF(AND(ISNUMBER($M282),$M282&gt;0,ISNUMBER($G282)),$G282/$M282,"")</f>
        <v/>
      </c>
      <c r="P282" s="73" t="str">
        <f>IF(AND(ISNUMBER($J282),$J282&gt;0,ISNUMBER($M282)),$M282/$J282,"")</f>
        <v/>
      </c>
      <c r="Q282" s="64" t="n"/>
      <c r="R282" s="64" t="n"/>
      <c r="S282" s="65" t="n"/>
      <c r="T282" s="65" t="n"/>
      <c r="U282" s="71" t="str">
        <f>IF(ISNUMBER($A282),YEAR($A282)&amp;"-"&amp;TEXT(MONTH($A282),"00"),"")</f>
        <v/>
      </c>
      <c r="V282" s="71">
        <f>IF($D282="",0,IF(AND(OR(fClient="All",$B282=fClient),OR(fCampaign="All",$C282=fCampaign),OR(fTeam="All",$R282=fTeam),OR(fChannel="All",$D282=fChannel),OR(fMonth="All",$U282=fMonth)),1,0))</f>
        <v>0</v>
      </c>
      <c r="W282" s="71">
        <f>IF($D282="",0,IF(AND(OR(fClient="All",$B282=fClient),OR(fCampaign="All",$C282=fCampaign),OR(fTeam="All",$R282=fTeam),OR(fChannel="All",$D282=fChannel)),1,0))</f>
        <v>0</v>
      </c>
    </row>
    <row r="283">
      <c r="A283" s="63" t="n"/>
      <c r="B283" s="64" t="n"/>
      <c r="C283" s="64" t="n"/>
      <c r="D283" s="64" t="n"/>
      <c r="E283" s="64" t="n"/>
      <c r="F283" s="67" t="n"/>
      <c r="G283" s="67" t="n"/>
      <c r="H283" s="67" t="n"/>
      <c r="I283" s="67" t="n"/>
      <c r="J283" s="67" t="n"/>
      <c r="K283" s="76" t="str">
        <f>IF(AND(ISNUMBER($H283),$H283&gt;0,ISNUMBER($J283)),$J283/$H283,"")</f>
        <v/>
      </c>
      <c r="L283" s="77" t="str">
        <f>IF(AND(ISNUMBER($J283),$J283&gt;0,ISNUMBER($G283)),$G283/$J283,"")</f>
        <v/>
      </c>
      <c r="M283" s="67" t="n"/>
      <c r="N283" s="67" t="n"/>
      <c r="O283" s="72" t="str">
        <f>IF(AND(ISNUMBER($M283),$M283&gt;0,ISNUMBER($G283)),$G283/$M283,"")</f>
        <v/>
      </c>
      <c r="P283" s="73" t="str">
        <f>IF(AND(ISNUMBER($J283),$J283&gt;0,ISNUMBER($M283)),$M283/$J283,"")</f>
        <v/>
      </c>
      <c r="Q283" s="64" t="n"/>
      <c r="R283" s="64" t="n"/>
      <c r="S283" s="65" t="n"/>
      <c r="T283" s="65" t="n"/>
      <c r="U283" s="71" t="str">
        <f>IF(ISNUMBER($A283),YEAR($A283)&amp;"-"&amp;TEXT(MONTH($A283),"00"),"")</f>
        <v/>
      </c>
      <c r="V283" s="71">
        <f>IF($D283="",0,IF(AND(OR(fClient="All",$B283=fClient),OR(fCampaign="All",$C283=fCampaign),OR(fTeam="All",$R283=fTeam),OR(fChannel="All",$D283=fChannel),OR(fMonth="All",$U283=fMonth)),1,0))</f>
        <v>0</v>
      </c>
      <c r="W283" s="71">
        <f>IF($D283="",0,IF(AND(OR(fClient="All",$B283=fClient),OR(fCampaign="All",$C283=fCampaign),OR(fTeam="All",$R283=fTeam),OR(fChannel="All",$D283=fChannel)),1,0))</f>
        <v>0</v>
      </c>
    </row>
    <row r="284">
      <c r="A284" s="63" t="n"/>
      <c r="B284" s="64" t="n"/>
      <c r="C284" s="64" t="n"/>
      <c r="D284" s="64" t="n"/>
      <c r="E284" s="64" t="n"/>
      <c r="F284" s="67" t="n"/>
      <c r="G284" s="67" t="n"/>
      <c r="H284" s="67" t="n"/>
      <c r="I284" s="67" t="n"/>
      <c r="J284" s="67" t="n"/>
      <c r="K284" s="76" t="str">
        <f>IF(AND(ISNUMBER($H284),$H284&gt;0,ISNUMBER($J284)),$J284/$H284,"")</f>
        <v/>
      </c>
      <c r="L284" s="77" t="str">
        <f>IF(AND(ISNUMBER($J284),$J284&gt;0,ISNUMBER($G284)),$G284/$J284,"")</f>
        <v/>
      </c>
      <c r="M284" s="67" t="n"/>
      <c r="N284" s="67" t="n"/>
      <c r="O284" s="72" t="str">
        <f>IF(AND(ISNUMBER($M284),$M284&gt;0,ISNUMBER($G284)),$G284/$M284,"")</f>
        <v/>
      </c>
      <c r="P284" s="73" t="str">
        <f>IF(AND(ISNUMBER($J284),$J284&gt;0,ISNUMBER($M284)),$M284/$J284,"")</f>
        <v/>
      </c>
      <c r="Q284" s="64" t="n"/>
      <c r="R284" s="64" t="n"/>
      <c r="S284" s="65" t="n"/>
      <c r="T284" s="65" t="n"/>
      <c r="U284" s="71" t="str">
        <f>IF(ISNUMBER($A284),YEAR($A284)&amp;"-"&amp;TEXT(MONTH($A284),"00"),"")</f>
        <v/>
      </c>
      <c r="V284" s="71">
        <f>IF($D284="",0,IF(AND(OR(fClient="All",$B284=fClient),OR(fCampaign="All",$C284=fCampaign),OR(fTeam="All",$R284=fTeam),OR(fChannel="All",$D284=fChannel),OR(fMonth="All",$U284=fMonth)),1,0))</f>
        <v>0</v>
      </c>
      <c r="W284" s="71">
        <f>IF($D284="",0,IF(AND(OR(fClient="All",$B284=fClient),OR(fCampaign="All",$C284=fCampaign),OR(fTeam="All",$R284=fTeam),OR(fChannel="All",$D284=fChannel)),1,0))</f>
        <v>0</v>
      </c>
    </row>
    <row r="285">
      <c r="A285" s="63" t="n"/>
      <c r="B285" s="64" t="n"/>
      <c r="C285" s="64" t="n"/>
      <c r="D285" s="64" t="n"/>
      <c r="E285" s="64" t="n"/>
      <c r="F285" s="67" t="n"/>
      <c r="G285" s="67" t="n"/>
      <c r="H285" s="67" t="n"/>
      <c r="I285" s="67" t="n"/>
      <c r="J285" s="67" t="n"/>
      <c r="K285" s="76" t="str">
        <f>IF(AND(ISNUMBER($H285),$H285&gt;0,ISNUMBER($J285)),$J285/$H285,"")</f>
        <v/>
      </c>
      <c r="L285" s="77" t="str">
        <f>IF(AND(ISNUMBER($J285),$J285&gt;0,ISNUMBER($G285)),$G285/$J285,"")</f>
        <v/>
      </c>
      <c r="M285" s="67" t="n"/>
      <c r="N285" s="67" t="n"/>
      <c r="O285" s="72" t="str">
        <f>IF(AND(ISNUMBER($M285),$M285&gt;0,ISNUMBER($G285)),$G285/$M285,"")</f>
        <v/>
      </c>
      <c r="P285" s="73" t="str">
        <f>IF(AND(ISNUMBER($J285),$J285&gt;0,ISNUMBER($M285)),$M285/$J285,"")</f>
        <v/>
      </c>
      <c r="Q285" s="64" t="n"/>
      <c r="R285" s="64" t="n"/>
      <c r="S285" s="65" t="n"/>
      <c r="T285" s="65" t="n"/>
      <c r="U285" s="71" t="str">
        <f>IF(ISNUMBER($A285),YEAR($A285)&amp;"-"&amp;TEXT(MONTH($A285),"00"),"")</f>
        <v/>
      </c>
      <c r="V285" s="71">
        <f>IF($D285="",0,IF(AND(OR(fClient="All",$B285=fClient),OR(fCampaign="All",$C285=fCampaign),OR(fTeam="All",$R285=fTeam),OR(fChannel="All",$D285=fChannel),OR(fMonth="All",$U285=fMonth)),1,0))</f>
        <v>0</v>
      </c>
      <c r="W285" s="71">
        <f>IF($D285="",0,IF(AND(OR(fClient="All",$B285=fClient),OR(fCampaign="All",$C285=fCampaign),OR(fTeam="All",$R285=fTeam),OR(fChannel="All",$D285=fChannel)),1,0))</f>
        <v>0</v>
      </c>
    </row>
    <row r="286">
      <c r="A286" s="63" t="n"/>
      <c r="B286" s="64" t="n"/>
      <c r="C286" s="64" t="n"/>
      <c r="D286" s="64" t="n"/>
      <c r="E286" s="64" t="n"/>
      <c r="F286" s="67" t="n"/>
      <c r="G286" s="67" t="n"/>
      <c r="H286" s="67" t="n"/>
      <c r="I286" s="67" t="n"/>
      <c r="J286" s="67" t="n"/>
      <c r="K286" s="76" t="str">
        <f>IF(AND(ISNUMBER($H286),$H286&gt;0,ISNUMBER($J286)),$J286/$H286,"")</f>
        <v/>
      </c>
      <c r="L286" s="77" t="str">
        <f>IF(AND(ISNUMBER($J286),$J286&gt;0,ISNUMBER($G286)),$G286/$J286,"")</f>
        <v/>
      </c>
      <c r="M286" s="67" t="n"/>
      <c r="N286" s="67" t="n"/>
      <c r="O286" s="72" t="str">
        <f>IF(AND(ISNUMBER($M286),$M286&gt;0,ISNUMBER($G286)),$G286/$M286,"")</f>
        <v/>
      </c>
      <c r="P286" s="73" t="str">
        <f>IF(AND(ISNUMBER($J286),$J286&gt;0,ISNUMBER($M286)),$M286/$J286,"")</f>
        <v/>
      </c>
      <c r="Q286" s="64" t="n"/>
      <c r="R286" s="64" t="n"/>
      <c r="S286" s="65" t="n"/>
      <c r="T286" s="65" t="n"/>
      <c r="U286" s="71" t="str">
        <f>IF(ISNUMBER($A286),YEAR($A286)&amp;"-"&amp;TEXT(MONTH($A286),"00"),"")</f>
        <v/>
      </c>
      <c r="V286" s="71">
        <f>IF($D286="",0,IF(AND(OR(fClient="All",$B286=fClient),OR(fCampaign="All",$C286=fCampaign),OR(fTeam="All",$R286=fTeam),OR(fChannel="All",$D286=fChannel),OR(fMonth="All",$U286=fMonth)),1,0))</f>
        <v>0</v>
      </c>
      <c r="W286" s="71">
        <f>IF($D286="",0,IF(AND(OR(fClient="All",$B286=fClient),OR(fCampaign="All",$C286=fCampaign),OR(fTeam="All",$R286=fTeam),OR(fChannel="All",$D286=fChannel)),1,0))</f>
        <v>0</v>
      </c>
    </row>
    <row r="287">
      <c r="A287" s="63" t="n"/>
      <c r="B287" s="64" t="n"/>
      <c r="C287" s="64" t="n"/>
      <c r="D287" s="64" t="n"/>
      <c r="E287" s="64" t="n"/>
      <c r="F287" s="67" t="n"/>
      <c r="G287" s="67" t="n"/>
      <c r="H287" s="67" t="n"/>
      <c r="I287" s="67" t="n"/>
      <c r="J287" s="67" t="n"/>
      <c r="K287" s="76" t="str">
        <f>IF(AND(ISNUMBER($H287),$H287&gt;0,ISNUMBER($J287)),$J287/$H287,"")</f>
        <v/>
      </c>
      <c r="L287" s="77" t="str">
        <f>IF(AND(ISNUMBER($J287),$J287&gt;0,ISNUMBER($G287)),$G287/$J287,"")</f>
        <v/>
      </c>
      <c r="M287" s="67" t="n"/>
      <c r="N287" s="67" t="n"/>
      <c r="O287" s="72" t="str">
        <f>IF(AND(ISNUMBER($M287),$M287&gt;0,ISNUMBER($G287)),$G287/$M287,"")</f>
        <v/>
      </c>
      <c r="P287" s="73" t="str">
        <f>IF(AND(ISNUMBER($J287),$J287&gt;0,ISNUMBER($M287)),$M287/$J287,"")</f>
        <v/>
      </c>
      <c r="Q287" s="64" t="n"/>
      <c r="R287" s="64" t="n"/>
      <c r="S287" s="65" t="n"/>
      <c r="T287" s="65" t="n"/>
      <c r="U287" s="71" t="str">
        <f>IF(ISNUMBER($A287),YEAR($A287)&amp;"-"&amp;TEXT(MONTH($A287),"00"),"")</f>
        <v/>
      </c>
      <c r="V287" s="71">
        <f>IF($D287="",0,IF(AND(OR(fClient="All",$B287=fClient),OR(fCampaign="All",$C287=fCampaign),OR(fTeam="All",$R287=fTeam),OR(fChannel="All",$D287=fChannel),OR(fMonth="All",$U287=fMonth)),1,0))</f>
        <v>0</v>
      </c>
      <c r="W287" s="71">
        <f>IF($D287="",0,IF(AND(OR(fClient="All",$B287=fClient),OR(fCampaign="All",$C287=fCampaign),OR(fTeam="All",$R287=fTeam),OR(fChannel="All",$D287=fChannel)),1,0))</f>
        <v>0</v>
      </c>
    </row>
    <row r="288">
      <c r="A288" s="63" t="n"/>
      <c r="B288" s="64" t="n"/>
      <c r="C288" s="64" t="n"/>
      <c r="D288" s="64" t="n"/>
      <c r="E288" s="64" t="n"/>
      <c r="F288" s="67" t="n"/>
      <c r="G288" s="67" t="n"/>
      <c r="H288" s="67" t="n"/>
      <c r="I288" s="67" t="n"/>
      <c r="J288" s="67" t="n"/>
      <c r="K288" s="76" t="str">
        <f>IF(AND(ISNUMBER($H288),$H288&gt;0,ISNUMBER($J288)),$J288/$H288,"")</f>
        <v/>
      </c>
      <c r="L288" s="77" t="str">
        <f>IF(AND(ISNUMBER($J288),$J288&gt;0,ISNUMBER($G288)),$G288/$J288,"")</f>
        <v/>
      </c>
      <c r="M288" s="67" t="n"/>
      <c r="N288" s="67" t="n"/>
      <c r="O288" s="72" t="str">
        <f>IF(AND(ISNUMBER($M288),$M288&gt;0,ISNUMBER($G288)),$G288/$M288,"")</f>
        <v/>
      </c>
      <c r="P288" s="73" t="str">
        <f>IF(AND(ISNUMBER($J288),$J288&gt;0,ISNUMBER($M288)),$M288/$J288,"")</f>
        <v/>
      </c>
      <c r="Q288" s="64" t="n"/>
      <c r="R288" s="64" t="n"/>
      <c r="S288" s="65" t="n"/>
      <c r="T288" s="65" t="n"/>
      <c r="U288" s="71" t="str">
        <f>IF(ISNUMBER($A288),YEAR($A288)&amp;"-"&amp;TEXT(MONTH($A288),"00"),"")</f>
        <v/>
      </c>
      <c r="V288" s="71">
        <f>IF($D288="",0,IF(AND(OR(fClient="All",$B288=fClient),OR(fCampaign="All",$C288=fCampaign),OR(fTeam="All",$R288=fTeam),OR(fChannel="All",$D288=fChannel),OR(fMonth="All",$U288=fMonth)),1,0))</f>
        <v>0</v>
      </c>
      <c r="W288" s="71">
        <f>IF($D288="",0,IF(AND(OR(fClient="All",$B288=fClient),OR(fCampaign="All",$C288=fCampaign),OR(fTeam="All",$R288=fTeam),OR(fChannel="All",$D288=fChannel)),1,0))</f>
        <v>0</v>
      </c>
    </row>
    <row r="289">
      <c r="A289" s="63" t="n"/>
      <c r="B289" s="64" t="n"/>
      <c r="C289" s="64" t="n"/>
      <c r="D289" s="64" t="n"/>
      <c r="E289" s="64" t="n"/>
      <c r="F289" s="67" t="n"/>
      <c r="G289" s="67" t="n"/>
      <c r="H289" s="67" t="n"/>
      <c r="I289" s="67" t="n"/>
      <c r="J289" s="67" t="n"/>
      <c r="K289" s="76" t="str">
        <f>IF(AND(ISNUMBER($H289),$H289&gt;0,ISNUMBER($J289)),$J289/$H289,"")</f>
        <v/>
      </c>
      <c r="L289" s="77" t="str">
        <f>IF(AND(ISNUMBER($J289),$J289&gt;0,ISNUMBER($G289)),$G289/$J289,"")</f>
        <v/>
      </c>
      <c r="M289" s="67" t="n"/>
      <c r="N289" s="67" t="n"/>
      <c r="O289" s="72" t="str">
        <f>IF(AND(ISNUMBER($M289),$M289&gt;0,ISNUMBER($G289)),$G289/$M289,"")</f>
        <v/>
      </c>
      <c r="P289" s="73" t="str">
        <f>IF(AND(ISNUMBER($J289),$J289&gt;0,ISNUMBER($M289)),$M289/$J289,"")</f>
        <v/>
      </c>
      <c r="Q289" s="64" t="n"/>
      <c r="R289" s="64" t="n"/>
      <c r="S289" s="65" t="n"/>
      <c r="T289" s="65" t="n"/>
      <c r="U289" s="71" t="str">
        <f>IF(ISNUMBER($A289),YEAR($A289)&amp;"-"&amp;TEXT(MONTH($A289),"00"),"")</f>
        <v/>
      </c>
      <c r="V289" s="71">
        <f>IF($D289="",0,IF(AND(OR(fClient="All",$B289=fClient),OR(fCampaign="All",$C289=fCampaign),OR(fTeam="All",$R289=fTeam),OR(fChannel="All",$D289=fChannel),OR(fMonth="All",$U289=fMonth)),1,0))</f>
        <v>0</v>
      </c>
      <c r="W289" s="71">
        <f>IF($D289="",0,IF(AND(OR(fClient="All",$B289=fClient),OR(fCampaign="All",$C289=fCampaign),OR(fTeam="All",$R289=fTeam),OR(fChannel="All",$D289=fChannel)),1,0))</f>
        <v>0</v>
      </c>
    </row>
    <row r="290">
      <c r="A290" s="63" t="n"/>
      <c r="B290" s="64" t="n"/>
      <c r="C290" s="64" t="n"/>
      <c r="D290" s="64" t="n"/>
      <c r="E290" s="64" t="n"/>
      <c r="F290" s="67" t="n"/>
      <c r="G290" s="67" t="n"/>
      <c r="H290" s="67" t="n"/>
      <c r="I290" s="67" t="n"/>
      <c r="J290" s="67" t="n"/>
      <c r="K290" s="76" t="str">
        <f>IF(AND(ISNUMBER($H290),$H290&gt;0,ISNUMBER($J290)),$J290/$H290,"")</f>
        <v/>
      </c>
      <c r="L290" s="77" t="str">
        <f>IF(AND(ISNUMBER($J290),$J290&gt;0,ISNUMBER($G290)),$G290/$J290,"")</f>
        <v/>
      </c>
      <c r="M290" s="67" t="n"/>
      <c r="N290" s="67" t="n"/>
      <c r="O290" s="72" t="str">
        <f>IF(AND(ISNUMBER($M290),$M290&gt;0,ISNUMBER($G290)),$G290/$M290,"")</f>
        <v/>
      </c>
      <c r="P290" s="73" t="str">
        <f>IF(AND(ISNUMBER($J290),$J290&gt;0,ISNUMBER($M290)),$M290/$J290,"")</f>
        <v/>
      </c>
      <c r="Q290" s="64" t="n"/>
      <c r="R290" s="64" t="n"/>
      <c r="S290" s="65" t="n"/>
      <c r="T290" s="65" t="n"/>
      <c r="U290" s="71" t="str">
        <f>IF(ISNUMBER($A290),YEAR($A290)&amp;"-"&amp;TEXT(MONTH($A290),"00"),"")</f>
        <v/>
      </c>
      <c r="V290" s="71">
        <f>IF($D290="",0,IF(AND(OR(fClient="All",$B290=fClient),OR(fCampaign="All",$C290=fCampaign),OR(fTeam="All",$R290=fTeam),OR(fChannel="All",$D290=fChannel),OR(fMonth="All",$U290=fMonth)),1,0))</f>
        <v>0</v>
      </c>
      <c r="W290" s="71">
        <f>IF($D290="",0,IF(AND(OR(fClient="All",$B290=fClient),OR(fCampaign="All",$C290=fCampaign),OR(fTeam="All",$R290=fTeam),OR(fChannel="All",$D290=fChannel)),1,0))</f>
        <v>0</v>
      </c>
    </row>
    <row r="291">
      <c r="A291" s="63" t="n"/>
      <c r="B291" s="64" t="n"/>
      <c r="C291" s="64" t="n"/>
      <c r="D291" s="64" t="n"/>
      <c r="E291" s="64" t="n"/>
      <c r="F291" s="67" t="n"/>
      <c r="G291" s="67" t="n"/>
      <c r="H291" s="67" t="n"/>
      <c r="I291" s="67" t="n"/>
      <c r="J291" s="67" t="n"/>
      <c r="K291" s="76" t="str">
        <f>IF(AND(ISNUMBER($H291),$H291&gt;0,ISNUMBER($J291)),$J291/$H291,"")</f>
        <v/>
      </c>
      <c r="L291" s="77" t="str">
        <f>IF(AND(ISNUMBER($J291),$J291&gt;0,ISNUMBER($G291)),$G291/$J291,"")</f>
        <v/>
      </c>
      <c r="M291" s="67" t="n"/>
      <c r="N291" s="67" t="n"/>
      <c r="O291" s="72" t="str">
        <f>IF(AND(ISNUMBER($M291),$M291&gt;0,ISNUMBER($G291)),$G291/$M291,"")</f>
        <v/>
      </c>
      <c r="P291" s="73" t="str">
        <f>IF(AND(ISNUMBER($J291),$J291&gt;0,ISNUMBER($M291)),$M291/$J291,"")</f>
        <v/>
      </c>
      <c r="Q291" s="64" t="n"/>
      <c r="R291" s="64" t="n"/>
      <c r="S291" s="65" t="n"/>
      <c r="T291" s="65" t="n"/>
      <c r="U291" s="71" t="str">
        <f>IF(ISNUMBER($A291),YEAR($A291)&amp;"-"&amp;TEXT(MONTH($A291),"00"),"")</f>
        <v/>
      </c>
      <c r="V291" s="71">
        <f>IF($D291="",0,IF(AND(OR(fClient="All",$B291=fClient),OR(fCampaign="All",$C291=fCampaign),OR(fTeam="All",$R291=fTeam),OR(fChannel="All",$D291=fChannel),OR(fMonth="All",$U291=fMonth)),1,0))</f>
        <v>0</v>
      </c>
      <c r="W291" s="71">
        <f>IF($D291="",0,IF(AND(OR(fClient="All",$B291=fClient),OR(fCampaign="All",$C291=fCampaign),OR(fTeam="All",$R291=fTeam),OR(fChannel="All",$D291=fChannel)),1,0))</f>
        <v>0</v>
      </c>
    </row>
    <row r="292">
      <c r="A292" s="63" t="n"/>
      <c r="B292" s="64" t="n"/>
      <c r="C292" s="64" t="n"/>
      <c r="D292" s="64" t="n"/>
      <c r="E292" s="64" t="n"/>
      <c r="F292" s="67" t="n"/>
      <c r="G292" s="67" t="n"/>
      <c r="H292" s="67" t="n"/>
      <c r="I292" s="67" t="n"/>
      <c r="J292" s="67" t="n"/>
      <c r="K292" s="76" t="str">
        <f>IF(AND(ISNUMBER($H292),$H292&gt;0,ISNUMBER($J292)),$J292/$H292,"")</f>
        <v/>
      </c>
      <c r="L292" s="77" t="str">
        <f>IF(AND(ISNUMBER($J292),$J292&gt;0,ISNUMBER($G292)),$G292/$J292,"")</f>
        <v/>
      </c>
      <c r="M292" s="67" t="n"/>
      <c r="N292" s="67" t="n"/>
      <c r="O292" s="72" t="str">
        <f>IF(AND(ISNUMBER($M292),$M292&gt;0,ISNUMBER($G292)),$G292/$M292,"")</f>
        <v/>
      </c>
      <c r="P292" s="73" t="str">
        <f>IF(AND(ISNUMBER($J292),$J292&gt;0,ISNUMBER($M292)),$M292/$J292,"")</f>
        <v/>
      </c>
      <c r="Q292" s="64" t="n"/>
      <c r="R292" s="64" t="n"/>
      <c r="S292" s="65" t="n"/>
      <c r="T292" s="65" t="n"/>
      <c r="U292" s="71" t="str">
        <f>IF(ISNUMBER($A292),YEAR($A292)&amp;"-"&amp;TEXT(MONTH($A292),"00"),"")</f>
        <v/>
      </c>
      <c r="V292" s="71">
        <f>IF($D292="",0,IF(AND(OR(fClient="All",$B292=fClient),OR(fCampaign="All",$C292=fCampaign),OR(fTeam="All",$R292=fTeam),OR(fChannel="All",$D292=fChannel),OR(fMonth="All",$U292=fMonth)),1,0))</f>
        <v>0</v>
      </c>
      <c r="W292" s="71">
        <f>IF($D292="",0,IF(AND(OR(fClient="All",$B292=fClient),OR(fCampaign="All",$C292=fCampaign),OR(fTeam="All",$R292=fTeam),OR(fChannel="All",$D292=fChannel)),1,0))</f>
        <v>0</v>
      </c>
    </row>
    <row r="293">
      <c r="A293" s="63" t="n"/>
      <c r="B293" s="64" t="n"/>
      <c r="C293" s="64" t="n"/>
      <c r="D293" s="64" t="n"/>
      <c r="E293" s="64" t="n"/>
      <c r="F293" s="67" t="n"/>
      <c r="G293" s="67" t="n"/>
      <c r="H293" s="67" t="n"/>
      <c r="I293" s="67" t="n"/>
      <c r="J293" s="67" t="n"/>
      <c r="K293" s="76" t="str">
        <f>IF(AND(ISNUMBER($H293),$H293&gt;0,ISNUMBER($J293)),$J293/$H293,"")</f>
        <v/>
      </c>
      <c r="L293" s="77" t="str">
        <f>IF(AND(ISNUMBER($J293),$J293&gt;0,ISNUMBER($G293)),$G293/$J293,"")</f>
        <v/>
      </c>
      <c r="M293" s="67" t="n"/>
      <c r="N293" s="67" t="n"/>
      <c r="O293" s="72" t="str">
        <f>IF(AND(ISNUMBER($M293),$M293&gt;0,ISNUMBER($G293)),$G293/$M293,"")</f>
        <v/>
      </c>
      <c r="P293" s="73" t="str">
        <f>IF(AND(ISNUMBER($J293),$J293&gt;0,ISNUMBER($M293)),$M293/$J293,"")</f>
        <v/>
      </c>
      <c r="Q293" s="64" t="n"/>
      <c r="R293" s="64" t="n"/>
      <c r="S293" s="65" t="n"/>
      <c r="T293" s="65" t="n"/>
      <c r="U293" s="71" t="str">
        <f>IF(ISNUMBER($A293),YEAR($A293)&amp;"-"&amp;TEXT(MONTH($A293),"00"),"")</f>
        <v/>
      </c>
      <c r="V293" s="71">
        <f>IF($D293="",0,IF(AND(OR(fClient="All",$B293=fClient),OR(fCampaign="All",$C293=fCampaign),OR(fTeam="All",$R293=fTeam),OR(fChannel="All",$D293=fChannel),OR(fMonth="All",$U293=fMonth)),1,0))</f>
        <v>0</v>
      </c>
      <c r="W293" s="71">
        <f>IF($D293="",0,IF(AND(OR(fClient="All",$B293=fClient),OR(fCampaign="All",$C293=fCampaign),OR(fTeam="All",$R293=fTeam),OR(fChannel="All",$D293=fChannel)),1,0))</f>
        <v>0</v>
      </c>
    </row>
    <row r="294">
      <c r="A294" s="63" t="n"/>
      <c r="B294" s="64" t="n"/>
      <c r="C294" s="64" t="n"/>
      <c r="D294" s="64" t="n"/>
      <c r="E294" s="64" t="n"/>
      <c r="F294" s="67" t="n"/>
      <c r="G294" s="67" t="n"/>
      <c r="H294" s="67" t="n"/>
      <c r="I294" s="67" t="n"/>
      <c r="J294" s="67" t="n"/>
      <c r="K294" s="76" t="str">
        <f>IF(AND(ISNUMBER($H294),$H294&gt;0,ISNUMBER($J294)),$J294/$H294,"")</f>
        <v/>
      </c>
      <c r="L294" s="77" t="str">
        <f>IF(AND(ISNUMBER($J294),$J294&gt;0,ISNUMBER($G294)),$G294/$J294,"")</f>
        <v/>
      </c>
      <c r="M294" s="67" t="n"/>
      <c r="N294" s="67" t="n"/>
      <c r="O294" s="72" t="str">
        <f>IF(AND(ISNUMBER($M294),$M294&gt;0,ISNUMBER($G294)),$G294/$M294,"")</f>
        <v/>
      </c>
      <c r="P294" s="73" t="str">
        <f>IF(AND(ISNUMBER($J294),$J294&gt;0,ISNUMBER($M294)),$M294/$J294,"")</f>
        <v/>
      </c>
      <c r="Q294" s="64" t="n"/>
      <c r="R294" s="64" t="n"/>
      <c r="S294" s="65" t="n"/>
      <c r="T294" s="65" t="n"/>
      <c r="U294" s="71" t="str">
        <f>IF(ISNUMBER($A294),YEAR($A294)&amp;"-"&amp;TEXT(MONTH($A294),"00"),"")</f>
        <v/>
      </c>
      <c r="V294" s="71">
        <f>IF($D294="",0,IF(AND(OR(fClient="All",$B294=fClient),OR(fCampaign="All",$C294=fCampaign),OR(fTeam="All",$R294=fTeam),OR(fChannel="All",$D294=fChannel),OR(fMonth="All",$U294=fMonth)),1,0))</f>
        <v>0</v>
      </c>
      <c r="W294" s="71">
        <f>IF($D294="",0,IF(AND(OR(fClient="All",$B294=fClient),OR(fCampaign="All",$C294=fCampaign),OR(fTeam="All",$R294=fTeam),OR(fChannel="All",$D294=fChannel)),1,0))</f>
        <v>0</v>
      </c>
    </row>
    <row r="295">
      <c r="A295" s="63" t="n"/>
      <c r="B295" s="64" t="n"/>
      <c r="C295" s="64" t="n"/>
      <c r="D295" s="64" t="n"/>
      <c r="E295" s="64" t="n"/>
      <c r="F295" s="67" t="n"/>
      <c r="G295" s="67" t="n"/>
      <c r="H295" s="67" t="n"/>
      <c r="I295" s="67" t="n"/>
      <c r="J295" s="67" t="n"/>
      <c r="K295" s="76" t="str">
        <f>IF(AND(ISNUMBER($H295),$H295&gt;0,ISNUMBER($J295)),$J295/$H295,"")</f>
        <v/>
      </c>
      <c r="L295" s="77" t="str">
        <f>IF(AND(ISNUMBER($J295),$J295&gt;0,ISNUMBER($G295)),$G295/$J295,"")</f>
        <v/>
      </c>
      <c r="M295" s="67" t="n"/>
      <c r="N295" s="67" t="n"/>
      <c r="O295" s="72" t="str">
        <f>IF(AND(ISNUMBER($M295),$M295&gt;0,ISNUMBER($G295)),$G295/$M295,"")</f>
        <v/>
      </c>
      <c r="P295" s="73" t="str">
        <f>IF(AND(ISNUMBER($J295),$J295&gt;0,ISNUMBER($M295)),$M295/$J295,"")</f>
        <v/>
      </c>
      <c r="Q295" s="64" t="n"/>
      <c r="R295" s="64" t="n"/>
      <c r="S295" s="65" t="n"/>
      <c r="T295" s="65" t="n"/>
      <c r="U295" s="71" t="str">
        <f>IF(ISNUMBER($A295),YEAR($A295)&amp;"-"&amp;TEXT(MONTH($A295),"00"),"")</f>
        <v/>
      </c>
      <c r="V295" s="71">
        <f>IF($D295="",0,IF(AND(OR(fClient="All",$B295=fClient),OR(fCampaign="All",$C295=fCampaign),OR(fTeam="All",$R295=fTeam),OR(fChannel="All",$D295=fChannel),OR(fMonth="All",$U295=fMonth)),1,0))</f>
        <v>0</v>
      </c>
      <c r="W295" s="71">
        <f>IF($D295="",0,IF(AND(OR(fClient="All",$B295=fClient),OR(fCampaign="All",$C295=fCampaign),OR(fTeam="All",$R295=fTeam),OR(fChannel="All",$D295=fChannel)),1,0))</f>
        <v>0</v>
      </c>
    </row>
    <row r="296">
      <c r="A296" s="63" t="n"/>
      <c r="B296" s="64" t="n"/>
      <c r="C296" s="64" t="n"/>
      <c r="D296" s="64" t="n"/>
      <c r="E296" s="64" t="n"/>
      <c r="F296" s="67" t="n"/>
      <c r="G296" s="67" t="n"/>
      <c r="H296" s="67" t="n"/>
      <c r="I296" s="67" t="n"/>
      <c r="J296" s="67" t="n"/>
      <c r="K296" s="76" t="str">
        <f>IF(AND(ISNUMBER($H296),$H296&gt;0,ISNUMBER($J296)),$J296/$H296,"")</f>
        <v/>
      </c>
      <c r="L296" s="77" t="str">
        <f>IF(AND(ISNUMBER($J296),$J296&gt;0,ISNUMBER($G296)),$G296/$J296,"")</f>
        <v/>
      </c>
      <c r="M296" s="67" t="n"/>
      <c r="N296" s="67" t="n"/>
      <c r="O296" s="72" t="str">
        <f>IF(AND(ISNUMBER($M296),$M296&gt;0,ISNUMBER($G296)),$G296/$M296,"")</f>
        <v/>
      </c>
      <c r="P296" s="73" t="str">
        <f>IF(AND(ISNUMBER($J296),$J296&gt;0,ISNUMBER($M296)),$M296/$J296,"")</f>
        <v/>
      </c>
      <c r="Q296" s="64" t="n"/>
      <c r="R296" s="64" t="n"/>
      <c r="S296" s="65" t="n"/>
      <c r="T296" s="65" t="n"/>
      <c r="U296" s="71" t="str">
        <f>IF(ISNUMBER($A296),YEAR($A296)&amp;"-"&amp;TEXT(MONTH($A296),"00"),"")</f>
        <v/>
      </c>
      <c r="V296" s="71">
        <f>IF($D296="",0,IF(AND(OR(fClient="All",$B296=fClient),OR(fCampaign="All",$C296=fCampaign),OR(fTeam="All",$R296=fTeam),OR(fChannel="All",$D296=fChannel),OR(fMonth="All",$U296=fMonth)),1,0))</f>
        <v>0</v>
      </c>
      <c r="W296" s="71">
        <f>IF($D296="",0,IF(AND(OR(fClient="All",$B296=fClient),OR(fCampaign="All",$C296=fCampaign),OR(fTeam="All",$R296=fTeam),OR(fChannel="All",$D296=fChannel)),1,0))</f>
        <v>0</v>
      </c>
    </row>
    <row r="297">
      <c r="A297" s="63" t="n"/>
      <c r="B297" s="64" t="n"/>
      <c r="C297" s="64" t="n"/>
      <c r="D297" s="64" t="n"/>
      <c r="E297" s="64" t="n"/>
      <c r="F297" s="67" t="n"/>
      <c r="G297" s="67" t="n"/>
      <c r="H297" s="67" t="n"/>
      <c r="I297" s="67" t="n"/>
      <c r="J297" s="67" t="n"/>
      <c r="K297" s="76" t="str">
        <f>IF(AND(ISNUMBER($H297),$H297&gt;0,ISNUMBER($J297)),$J297/$H297,"")</f>
        <v/>
      </c>
      <c r="L297" s="77" t="str">
        <f>IF(AND(ISNUMBER($J297),$J297&gt;0,ISNUMBER($G297)),$G297/$J297,"")</f>
        <v/>
      </c>
      <c r="M297" s="67" t="n"/>
      <c r="N297" s="67" t="n"/>
      <c r="O297" s="72" t="str">
        <f>IF(AND(ISNUMBER($M297),$M297&gt;0,ISNUMBER($G297)),$G297/$M297,"")</f>
        <v/>
      </c>
      <c r="P297" s="73" t="str">
        <f>IF(AND(ISNUMBER($J297),$J297&gt;0,ISNUMBER($M297)),$M297/$J297,"")</f>
        <v/>
      </c>
      <c r="Q297" s="64" t="n"/>
      <c r="R297" s="64" t="n"/>
      <c r="S297" s="65" t="n"/>
      <c r="T297" s="65" t="n"/>
      <c r="U297" s="71" t="str">
        <f>IF(ISNUMBER($A297),YEAR($A297)&amp;"-"&amp;TEXT(MONTH($A297),"00"),"")</f>
        <v/>
      </c>
      <c r="V297" s="71">
        <f>IF($D297="",0,IF(AND(OR(fClient="All",$B297=fClient),OR(fCampaign="All",$C297=fCampaign),OR(fTeam="All",$R297=fTeam),OR(fChannel="All",$D297=fChannel),OR(fMonth="All",$U297=fMonth)),1,0))</f>
        <v>0</v>
      </c>
      <c r="W297" s="71">
        <f>IF($D297="",0,IF(AND(OR(fClient="All",$B297=fClient),OR(fCampaign="All",$C297=fCampaign),OR(fTeam="All",$R297=fTeam),OR(fChannel="All",$D297=fChannel)),1,0))</f>
        <v>0</v>
      </c>
    </row>
    <row r="298">
      <c r="A298" s="63" t="n"/>
      <c r="B298" s="64" t="n"/>
      <c r="C298" s="64" t="n"/>
      <c r="D298" s="64" t="n"/>
      <c r="E298" s="64" t="n"/>
      <c r="F298" s="67" t="n"/>
      <c r="G298" s="67" t="n"/>
      <c r="H298" s="67" t="n"/>
      <c r="I298" s="67" t="n"/>
      <c r="J298" s="67" t="n"/>
      <c r="K298" s="76" t="str">
        <f>IF(AND(ISNUMBER($H298),$H298&gt;0,ISNUMBER($J298)),$J298/$H298,"")</f>
        <v/>
      </c>
      <c r="L298" s="77" t="str">
        <f>IF(AND(ISNUMBER($J298),$J298&gt;0,ISNUMBER($G298)),$G298/$J298,"")</f>
        <v/>
      </c>
      <c r="M298" s="67" t="n"/>
      <c r="N298" s="67" t="n"/>
      <c r="O298" s="72" t="str">
        <f>IF(AND(ISNUMBER($M298),$M298&gt;0,ISNUMBER($G298)),$G298/$M298,"")</f>
        <v/>
      </c>
      <c r="P298" s="73" t="str">
        <f>IF(AND(ISNUMBER($J298),$J298&gt;0,ISNUMBER($M298)),$M298/$J298,"")</f>
        <v/>
      </c>
      <c r="Q298" s="64" t="n"/>
      <c r="R298" s="64" t="n"/>
      <c r="S298" s="65" t="n"/>
      <c r="T298" s="65" t="n"/>
      <c r="U298" s="71" t="str">
        <f>IF(ISNUMBER($A298),YEAR($A298)&amp;"-"&amp;TEXT(MONTH($A298),"00"),"")</f>
        <v/>
      </c>
      <c r="V298" s="71">
        <f>IF($D298="",0,IF(AND(OR(fClient="All",$B298=fClient),OR(fCampaign="All",$C298=fCampaign),OR(fTeam="All",$R298=fTeam),OR(fChannel="All",$D298=fChannel),OR(fMonth="All",$U298=fMonth)),1,0))</f>
        <v>0</v>
      </c>
      <c r="W298" s="71">
        <f>IF($D298="",0,IF(AND(OR(fClient="All",$B298=fClient),OR(fCampaign="All",$C298=fCampaign),OR(fTeam="All",$R298=fTeam),OR(fChannel="All",$D298=fChannel)),1,0))</f>
        <v>0</v>
      </c>
    </row>
    <row r="299">
      <c r="A299" s="63" t="n"/>
      <c r="B299" s="64" t="n"/>
      <c r="C299" s="64" t="n"/>
      <c r="D299" s="64" t="n"/>
      <c r="E299" s="64" t="n"/>
      <c r="F299" s="67" t="n"/>
      <c r="G299" s="67" t="n"/>
      <c r="H299" s="67" t="n"/>
      <c r="I299" s="67" t="n"/>
      <c r="J299" s="67" t="n"/>
      <c r="K299" s="76" t="str">
        <f>IF(AND(ISNUMBER($H299),$H299&gt;0,ISNUMBER($J299)),$J299/$H299,"")</f>
        <v/>
      </c>
      <c r="L299" s="77" t="str">
        <f>IF(AND(ISNUMBER($J299),$J299&gt;0,ISNUMBER($G299)),$G299/$J299,"")</f>
        <v/>
      </c>
      <c r="M299" s="67" t="n"/>
      <c r="N299" s="67" t="n"/>
      <c r="O299" s="72" t="str">
        <f>IF(AND(ISNUMBER($M299),$M299&gt;0,ISNUMBER($G299)),$G299/$M299,"")</f>
        <v/>
      </c>
      <c r="P299" s="73" t="str">
        <f>IF(AND(ISNUMBER($J299),$J299&gt;0,ISNUMBER($M299)),$M299/$J299,"")</f>
        <v/>
      </c>
      <c r="Q299" s="64" t="n"/>
      <c r="R299" s="64" t="n"/>
      <c r="S299" s="65" t="n"/>
      <c r="T299" s="65" t="n"/>
      <c r="U299" s="71" t="str">
        <f>IF(ISNUMBER($A299),YEAR($A299)&amp;"-"&amp;TEXT(MONTH($A299),"00"),"")</f>
        <v/>
      </c>
      <c r="V299" s="71">
        <f>IF($D299="",0,IF(AND(OR(fClient="All",$B299=fClient),OR(fCampaign="All",$C299=fCampaign),OR(fTeam="All",$R299=fTeam),OR(fChannel="All",$D299=fChannel),OR(fMonth="All",$U299=fMonth)),1,0))</f>
        <v>0</v>
      </c>
      <c r="W299" s="71">
        <f>IF($D299="",0,IF(AND(OR(fClient="All",$B299=fClient),OR(fCampaign="All",$C299=fCampaign),OR(fTeam="All",$R299=fTeam),OR(fChannel="All",$D299=fChannel)),1,0))</f>
        <v>0</v>
      </c>
    </row>
    <row r="300">
      <c r="A300" s="63" t="n"/>
      <c r="B300" s="64" t="n"/>
      <c r="C300" s="64" t="n"/>
      <c r="D300" s="64" t="n"/>
      <c r="E300" s="64" t="n"/>
      <c r="F300" s="67" t="n"/>
      <c r="G300" s="67" t="n"/>
      <c r="H300" s="67" t="n"/>
      <c r="I300" s="67" t="n"/>
      <c r="J300" s="67" t="n"/>
      <c r="K300" s="76" t="str">
        <f>IF(AND(ISNUMBER($H300),$H300&gt;0,ISNUMBER($J300)),$J300/$H300,"")</f>
        <v/>
      </c>
      <c r="L300" s="77" t="str">
        <f>IF(AND(ISNUMBER($J300),$J300&gt;0,ISNUMBER($G300)),$G300/$J300,"")</f>
        <v/>
      </c>
      <c r="M300" s="67" t="n"/>
      <c r="N300" s="67" t="n"/>
      <c r="O300" s="72" t="str">
        <f>IF(AND(ISNUMBER($M300),$M300&gt;0,ISNUMBER($G300)),$G300/$M300,"")</f>
        <v/>
      </c>
      <c r="P300" s="73" t="str">
        <f>IF(AND(ISNUMBER($J300),$J300&gt;0,ISNUMBER($M300)),$M300/$J300,"")</f>
        <v/>
      </c>
      <c r="Q300" s="64" t="n"/>
      <c r="R300" s="64" t="n"/>
      <c r="S300" s="65" t="n"/>
      <c r="T300" s="65" t="n"/>
      <c r="U300" s="71" t="str">
        <f>IF(ISNUMBER($A300),YEAR($A300)&amp;"-"&amp;TEXT(MONTH($A300),"00"),"")</f>
        <v/>
      </c>
      <c r="V300" s="71">
        <f>IF($D300="",0,IF(AND(OR(fClient="All",$B300=fClient),OR(fCampaign="All",$C300=fCampaign),OR(fTeam="All",$R300=fTeam),OR(fChannel="All",$D300=fChannel),OR(fMonth="All",$U300=fMonth)),1,0))</f>
        <v>0</v>
      </c>
      <c r="W300" s="71">
        <f>IF($D300="",0,IF(AND(OR(fClient="All",$B300=fClient),OR(fCampaign="All",$C300=fCampaign),OR(fTeam="All",$R300=fTeam),OR(fChannel="All",$D300=fChannel)),1,0))</f>
        <v>0</v>
      </c>
    </row>
    <row r="301">
      <c r="A301" s="63" t="n"/>
      <c r="B301" s="64" t="n"/>
      <c r="C301" s="64" t="n"/>
      <c r="D301" s="64" t="n"/>
      <c r="E301" s="64" t="n"/>
      <c r="F301" s="67" t="n"/>
      <c r="G301" s="67" t="n"/>
      <c r="H301" s="67" t="n"/>
      <c r="I301" s="67" t="n"/>
      <c r="J301" s="67" t="n"/>
      <c r="K301" s="76" t="str">
        <f>IF(AND(ISNUMBER($H301),$H301&gt;0,ISNUMBER($J301)),$J301/$H301,"")</f>
        <v/>
      </c>
      <c r="L301" s="77" t="str">
        <f>IF(AND(ISNUMBER($J301),$J301&gt;0,ISNUMBER($G301)),$G301/$J301,"")</f>
        <v/>
      </c>
      <c r="M301" s="67" t="n"/>
      <c r="N301" s="67" t="n"/>
      <c r="O301" s="72" t="str">
        <f>IF(AND(ISNUMBER($M301),$M301&gt;0,ISNUMBER($G301)),$G301/$M301,"")</f>
        <v/>
      </c>
      <c r="P301" s="73" t="str">
        <f>IF(AND(ISNUMBER($J301),$J301&gt;0,ISNUMBER($M301)),$M301/$J301,"")</f>
        <v/>
      </c>
      <c r="Q301" s="64" t="n"/>
      <c r="R301" s="64" t="n"/>
      <c r="S301" s="65" t="n"/>
      <c r="T301" s="65" t="n"/>
      <c r="U301" s="71" t="str">
        <f>IF(ISNUMBER($A301),YEAR($A301)&amp;"-"&amp;TEXT(MONTH($A301),"00"),"")</f>
        <v/>
      </c>
      <c r="V301" s="71">
        <f>IF($D301="",0,IF(AND(OR(fClient="All",$B301=fClient),OR(fCampaign="All",$C301=fCampaign),OR(fTeam="All",$R301=fTeam),OR(fChannel="All",$D301=fChannel),OR(fMonth="All",$U301=fMonth)),1,0))</f>
        <v>0</v>
      </c>
      <c r="W301" s="71">
        <f>IF($D301="",0,IF(AND(OR(fClient="All",$B301=fClient),OR(fCampaign="All",$C301=fCampaign),OR(fTeam="All",$R301=fTeam),OR(fChannel="All",$D301=fChannel)),1,0))</f>
        <v>0</v>
      </c>
    </row>
    <row r="302">
      <c r="A302" s="63" t="n"/>
      <c r="B302" s="64" t="n"/>
      <c r="C302" s="64" t="n"/>
      <c r="D302" s="64" t="n"/>
      <c r="E302" s="64" t="n"/>
      <c r="F302" s="67" t="n"/>
      <c r="G302" s="67" t="n"/>
      <c r="H302" s="67" t="n"/>
      <c r="I302" s="67" t="n"/>
      <c r="J302" s="67" t="n"/>
      <c r="K302" s="76" t="str">
        <f>IF(AND(ISNUMBER($H302),$H302&gt;0,ISNUMBER($J302)),$J302/$H302,"")</f>
        <v/>
      </c>
      <c r="L302" s="77" t="str">
        <f>IF(AND(ISNUMBER($J302),$J302&gt;0,ISNUMBER($G302)),$G302/$J302,"")</f>
        <v/>
      </c>
      <c r="M302" s="67" t="n"/>
      <c r="N302" s="67" t="n"/>
      <c r="O302" s="72" t="str">
        <f>IF(AND(ISNUMBER($M302),$M302&gt;0,ISNUMBER($G302)),$G302/$M302,"")</f>
        <v/>
      </c>
      <c r="P302" s="73" t="str">
        <f>IF(AND(ISNUMBER($J302),$J302&gt;0,ISNUMBER($M302)),$M302/$J302,"")</f>
        <v/>
      </c>
      <c r="Q302" s="64" t="n"/>
      <c r="R302" s="64" t="n"/>
      <c r="S302" s="65" t="n"/>
      <c r="T302" s="65" t="n"/>
      <c r="U302" s="71" t="str">
        <f>IF(ISNUMBER($A302),YEAR($A302)&amp;"-"&amp;TEXT(MONTH($A302),"00"),"")</f>
        <v/>
      </c>
      <c r="V302" s="71">
        <f>IF($D302="",0,IF(AND(OR(fClient="All",$B302=fClient),OR(fCampaign="All",$C302=fCampaign),OR(fTeam="All",$R302=fTeam),OR(fChannel="All",$D302=fChannel),OR(fMonth="All",$U302=fMonth)),1,0))</f>
        <v>0</v>
      </c>
      <c r="W302" s="71">
        <f>IF($D302="",0,IF(AND(OR(fClient="All",$B302=fClient),OR(fCampaign="All",$C302=fCampaign),OR(fTeam="All",$R302=fTeam),OR(fChannel="All",$D302=fChannel)),1,0))</f>
        <v>0</v>
      </c>
    </row>
    <row r="303">
      <c r="A303" s="63" t="n"/>
      <c r="B303" s="64" t="n"/>
      <c r="C303" s="64" t="n"/>
      <c r="D303" s="64" t="n"/>
      <c r="E303" s="64" t="n"/>
      <c r="F303" s="67" t="n"/>
      <c r="G303" s="67" t="n"/>
      <c r="H303" s="67" t="n"/>
      <c r="I303" s="67" t="n"/>
      <c r="J303" s="67" t="n"/>
      <c r="K303" s="76" t="str">
        <f>IF(AND(ISNUMBER($H303),$H303&gt;0,ISNUMBER($J303)),$J303/$H303,"")</f>
        <v/>
      </c>
      <c r="L303" s="77" t="str">
        <f>IF(AND(ISNUMBER($J303),$J303&gt;0,ISNUMBER($G303)),$G303/$J303,"")</f>
        <v/>
      </c>
      <c r="M303" s="67" t="n"/>
      <c r="N303" s="67" t="n"/>
      <c r="O303" s="72" t="str">
        <f>IF(AND(ISNUMBER($M303),$M303&gt;0,ISNUMBER($G303)),$G303/$M303,"")</f>
        <v/>
      </c>
      <c r="P303" s="73" t="str">
        <f>IF(AND(ISNUMBER($J303),$J303&gt;0,ISNUMBER($M303)),$M303/$J303,"")</f>
        <v/>
      </c>
      <c r="Q303" s="64" t="n"/>
      <c r="R303" s="64" t="n"/>
      <c r="S303" s="65" t="n"/>
      <c r="T303" s="65" t="n"/>
      <c r="U303" s="71" t="str">
        <f>IF(ISNUMBER($A303),YEAR($A303)&amp;"-"&amp;TEXT(MONTH($A303),"00"),"")</f>
        <v/>
      </c>
      <c r="V303" s="71">
        <f>IF($D303="",0,IF(AND(OR(fClient="All",$B303=fClient),OR(fCampaign="All",$C303=fCampaign),OR(fTeam="All",$R303=fTeam),OR(fChannel="All",$D303=fChannel),OR(fMonth="All",$U303=fMonth)),1,0))</f>
        <v>0</v>
      </c>
      <c r="W303" s="71">
        <f>IF($D303="",0,IF(AND(OR(fClient="All",$B303=fClient),OR(fCampaign="All",$C303=fCampaign),OR(fTeam="All",$R303=fTeam),OR(fChannel="All",$D303=fChannel)),1,0))</f>
        <v>0</v>
      </c>
    </row>
    <row r="304">
      <c r="A304" s="63" t="n"/>
      <c r="B304" s="64" t="n"/>
      <c r="C304" s="64" t="n"/>
      <c r="D304" s="64" t="n"/>
      <c r="E304" s="64" t="n"/>
      <c r="F304" s="67" t="n"/>
      <c r="G304" s="67" t="n"/>
      <c r="H304" s="67" t="n"/>
      <c r="I304" s="67" t="n"/>
      <c r="J304" s="67" t="n"/>
      <c r="K304" s="76" t="str">
        <f>IF(AND(ISNUMBER($H304),$H304&gt;0,ISNUMBER($J304)),$J304/$H304,"")</f>
        <v/>
      </c>
      <c r="L304" s="77" t="str">
        <f>IF(AND(ISNUMBER($J304),$J304&gt;0,ISNUMBER($G304)),$G304/$J304,"")</f>
        <v/>
      </c>
      <c r="M304" s="67" t="n"/>
      <c r="N304" s="67" t="n"/>
      <c r="O304" s="72" t="str">
        <f>IF(AND(ISNUMBER($M304),$M304&gt;0,ISNUMBER($G304)),$G304/$M304,"")</f>
        <v/>
      </c>
      <c r="P304" s="73" t="str">
        <f>IF(AND(ISNUMBER($J304),$J304&gt;0,ISNUMBER($M304)),$M304/$J304,"")</f>
        <v/>
      </c>
      <c r="Q304" s="64" t="n"/>
      <c r="R304" s="64" t="n"/>
      <c r="S304" s="65" t="n"/>
      <c r="T304" s="65" t="n"/>
      <c r="U304" s="71" t="str">
        <f>IF(ISNUMBER($A304),YEAR($A304)&amp;"-"&amp;TEXT(MONTH($A304),"00"),"")</f>
        <v/>
      </c>
      <c r="V304" s="71">
        <f>IF($D304="",0,IF(AND(OR(fClient="All",$B304=fClient),OR(fCampaign="All",$C304=fCampaign),OR(fTeam="All",$R304=fTeam),OR(fChannel="All",$D304=fChannel),OR(fMonth="All",$U304=fMonth)),1,0))</f>
        <v>0</v>
      </c>
      <c r="W304" s="71">
        <f>IF($D304="",0,IF(AND(OR(fClient="All",$B304=fClient),OR(fCampaign="All",$C304=fCampaign),OR(fTeam="All",$R304=fTeam),OR(fChannel="All",$D304=fChannel)),1,0))</f>
        <v>0</v>
      </c>
    </row>
  </sheetData>
  <mergeCells count="1">
    <mergeCell ref="A1:N1"/>
  </mergeCells>
  <dataValidations count="13">
    <dataValidation sqref="A5:A304" showDropDown="0" showInputMessage="0" showErrorMessage="1" allowBlank="1" errorTitle="Invalid date" error="Enter a valid date, e.g. 05-Oct-2026." type="date" operator="greaterThan">
      <formula1>36526</formula1>
    </dataValidation>
    <dataValidation sqref="B5:B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C5:C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=lst_Campaign</formula1>
    </dataValidation>
    <dataValidation sqref="D5:D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=lst_Platform</formula1>
    </dataValidation>
    <dataValidation sqref="F5:F304" showDropDown="0" showInputMessage="0" showErrorMessage="1" allowBlank="1" errorTitle="Invalid number" error="Enter a number (0 or more)." type="decimal" operator="greaterThanOrEqual">
      <formula1>0</formula1>
    </dataValidation>
    <dataValidation sqref="G5:G304" showDropDown="0" showInputMessage="0" showErrorMessage="1" allowBlank="1" errorTitle="Invalid number" error="Enter a number (0 or more)." type="decimal" operator="greaterThanOrEqual">
      <formula1>0</formula1>
    </dataValidation>
    <dataValidation sqref="H5:H304" showDropDown="0" showInputMessage="0" showErrorMessage="1" allowBlank="1" errorTitle="Invalid number" error="Enter a number (0 or more)." type="decimal" operator="greaterThanOrEqual">
      <formula1>0</formula1>
    </dataValidation>
    <dataValidation sqref="I5:I304" showDropDown="0" showInputMessage="0" showErrorMessage="1" allowBlank="1" errorTitle="Invalid number" error="Enter a number (0 or more)." type="decimal" operator="greaterThanOrEqual">
      <formula1>0</formula1>
    </dataValidation>
    <dataValidation sqref="J5:J304" showDropDown="0" showInputMessage="0" showErrorMessage="1" allowBlank="1" errorTitle="Invalid number" error="Enter a number (0 or more)." type="decimal" operator="greaterThanOrEqual">
      <formula1>0</formula1>
    </dataValidation>
    <dataValidation sqref="M5:M304" showDropDown="0" showInputMessage="0" showErrorMessage="1" allowBlank="1" errorTitle="Invalid number" error="Enter a number (0 or more)." type="decimal" operator="greaterThanOrEqual">
      <formula1>0</formula1>
    </dataValidation>
    <dataValidation sqref="N5:N304" showDropDown="0" showInputMessage="0" showErrorMessage="1" allowBlank="1" errorTitle="Invalid number" error="Enter a number (0 or more)." type="decimal" operator="greaterThanOrEqual">
      <formula1>0</formula1>
    </dataValidation>
    <dataValidation sqref="Q5:Q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=lst_AdStatus</formula1>
    </dataValidation>
    <dataValidation sqref="R5:R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U204"/>
  <sheetViews>
    <sheetView showGridLines="0" tabSelected="0"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22" customWidth="1" min="4" max="4"/>
    <col width="12" customWidth="1" min="5" max="5"/>
    <col width="11" customWidth="1" min="6" max="6"/>
    <col width="10" customWidth="1" min="7" max="7"/>
    <col width="10" customWidth="1" min="8" max="8"/>
    <col width="9" customWidth="1" min="9" max="9"/>
    <col width="9" customWidth="1" min="10" max="10"/>
    <col width="10" customWidth="1" min="11" max="11"/>
    <col width="11" customWidth="1" min="12" max="12"/>
    <col width="11" customWidth="1" min="13" max="13"/>
    <col width="9" customWidth="1" min="14" max="14"/>
    <col width="9" customWidth="1" min="15" max="15"/>
    <col width="16" customWidth="1" min="16" max="16"/>
    <col width="12" customWidth="1" min="17" max="17"/>
    <col width="28" customWidth="1" min="18" max="18"/>
    <col hidden="1" outlineLevel="1" width="8" customWidth="1" min="19" max="21"/>
  </cols>
  <sheetData>
    <row r="1" ht="30" customHeight="1">
      <c r="A1" s="57" t="inlineStr">
        <is>
          <t>LINKEDIN OUTREACH - Dripify / Sales Navigator / organic outreach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8" t="inlineStr">
        <is>
          <t>BLUE cells = team enters data   |   GREY cells = automatic formulas (do not edit)   |   Added because LinkedIn outreach is a core channel (e.g. SAP HRMS, TCL) but had no tracker. Enter period counts, not cumulative.</t>
        </is>
      </c>
    </row>
    <row r="3">
      <c r="A3" s="59" t="inlineStr">
        <is>
          <t>Example: 05-Oct-26 | SAP | SAP HRMS | Dripify | 100 | 32 | 80 | 9 | 3 | 2 | 2 | 1 ...</t>
        </is>
      </c>
    </row>
    <row r="4" ht="34" customHeight="1">
      <c r="A4" s="60" t="inlineStr">
        <is>
          <t>Date</t>
        </is>
      </c>
      <c r="B4" s="60" t="inlineStr">
        <is>
          <t>Client</t>
        </is>
      </c>
      <c r="C4" s="60" t="inlineStr">
        <is>
          <t>Campaign</t>
        </is>
      </c>
      <c r="D4" s="60" t="inlineStr">
        <is>
          <t>Tool / Profile</t>
        </is>
      </c>
      <c r="E4" s="60" t="inlineStr">
        <is>
          <t>Connection Requests Sent</t>
        </is>
      </c>
      <c r="F4" s="60" t="inlineStr">
        <is>
          <t>Requests Accepted</t>
        </is>
      </c>
      <c r="G4" s="61" t="inlineStr">
        <is>
          <t>Acceptance Rate</t>
        </is>
      </c>
      <c r="H4" s="60" t="inlineStr">
        <is>
          <t>Messages Sent</t>
        </is>
      </c>
      <c r="I4" s="60" t="inlineStr">
        <is>
          <t>Replies</t>
        </is>
      </c>
      <c r="J4" s="61" t="inlineStr">
        <is>
          <t>Reply Rate</t>
        </is>
      </c>
      <c r="K4" s="60" t="inlineStr">
        <is>
          <t>Positive Responses</t>
        </is>
      </c>
      <c r="L4" s="61" t="inlineStr">
        <is>
          <t>Positive Response Rate</t>
        </is>
      </c>
      <c r="M4" s="60" t="inlineStr">
        <is>
          <t>Digital Handraisers</t>
        </is>
      </c>
      <c r="N4" s="60" t="inlineStr">
        <is>
          <t>Leads</t>
        </is>
      </c>
      <c r="O4" s="60" t="inlineStr">
        <is>
          <t>MQLs</t>
        </is>
      </c>
      <c r="P4" s="60" t="inlineStr">
        <is>
          <t>Owner</t>
        </is>
      </c>
      <c r="Q4" s="60" t="inlineStr">
        <is>
          <t>Status</t>
        </is>
      </c>
      <c r="R4" s="60" t="inlineStr">
        <is>
          <t>Remarks</t>
        </is>
      </c>
      <c r="S4" s="62" t="inlineStr">
        <is>
          <t>Month Key</t>
        </is>
      </c>
      <c r="T4" s="62" t="inlineStr">
        <is>
          <t>In Filter</t>
        </is>
      </c>
      <c r="U4" s="62" t="inlineStr">
        <is>
          <t>In List</t>
        </is>
      </c>
    </row>
    <row r="5">
      <c r="A5" s="63" t="n"/>
      <c r="B5" s="64" t="n"/>
      <c r="C5" s="64" t="n"/>
      <c r="D5" s="64" t="n"/>
      <c r="E5" s="67" t="n"/>
      <c r="F5" s="67" t="n"/>
      <c r="G5" s="73" t="str">
        <f>IF(AND(ISNUMBER($E5),$E5&gt;0,ISNUMBER($F5)),$F5/$E5,"")</f>
        <v/>
      </c>
      <c r="H5" s="67" t="n"/>
      <c r="I5" s="67" t="n"/>
      <c r="J5" s="73" t="str">
        <f>IF(AND(ISNUMBER($H5),$H5&gt;0,ISNUMBER($I5)),$I5/$H5,"")</f>
        <v/>
      </c>
      <c r="K5" s="67" t="n"/>
      <c r="L5" s="73" t="str">
        <f>IF(AND(ISNUMBER($H5),$H5&gt;0,ISNUMBER($K5)),$K5/$H5,"")</f>
        <v/>
      </c>
      <c r="M5" s="67" t="n"/>
      <c r="N5" s="67" t="n"/>
      <c r="O5" s="67" t="n"/>
      <c r="P5" s="64" t="n"/>
      <c r="Q5" s="64" t="n"/>
      <c r="R5" s="65" t="n"/>
      <c r="S5" s="71" t="str">
        <f>IF(ISNUMBER($A5),YEAR($A5)&amp;"-"&amp;TEXT(MONTH($A5),"00"),"")</f>
        <v/>
      </c>
      <c r="T5" s="71">
        <f>IF($C5="",0,IF(AND(OR(fClient="All",$B5=fClient),OR(fCampaign="All",$C5=fCampaign),OR(fTeam="All",$P5=fTeam),OR(fChannel="All",fChannel="LinkedIn Outreach"),OR(fMonth="All",$S5=fMonth)),1,0))</f>
        <v>0</v>
      </c>
      <c r="U5" s="71">
        <f>IF($C5="",0,IF(AND(OR(fClient="All",$B5=fClient),OR(fCampaign="All",$C5=fCampaign),OR(fTeam="All",$P5=fTeam),OR(fChannel="All",fChannel="LinkedIn Outreach")),1,0))</f>
        <v>0</v>
      </c>
    </row>
    <row r="6">
      <c r="A6" s="63" t="n"/>
      <c r="B6" s="64" t="n"/>
      <c r="C6" s="64" t="n"/>
      <c r="D6" s="64" t="n"/>
      <c r="E6" s="67" t="n"/>
      <c r="F6" s="67" t="n"/>
      <c r="G6" s="73" t="str">
        <f>IF(AND(ISNUMBER($E6),$E6&gt;0,ISNUMBER($F6)),$F6/$E6,"")</f>
        <v/>
      </c>
      <c r="H6" s="67" t="n"/>
      <c r="I6" s="67" t="n"/>
      <c r="J6" s="73" t="str">
        <f>IF(AND(ISNUMBER($H6),$H6&gt;0,ISNUMBER($I6)),$I6/$H6,"")</f>
        <v/>
      </c>
      <c r="K6" s="67" t="n"/>
      <c r="L6" s="73" t="str">
        <f>IF(AND(ISNUMBER($H6),$H6&gt;0,ISNUMBER($K6)),$K6/$H6,"")</f>
        <v/>
      </c>
      <c r="M6" s="67" t="n"/>
      <c r="N6" s="67" t="n"/>
      <c r="O6" s="67" t="n"/>
      <c r="P6" s="64" t="n"/>
      <c r="Q6" s="64" t="n"/>
      <c r="R6" s="65" t="n"/>
      <c r="S6" s="71" t="str">
        <f>IF(ISNUMBER($A6),YEAR($A6)&amp;"-"&amp;TEXT(MONTH($A6),"00"),"")</f>
        <v/>
      </c>
      <c r="T6" s="71">
        <f>IF($C6="",0,IF(AND(OR(fClient="All",$B6=fClient),OR(fCampaign="All",$C6=fCampaign),OR(fTeam="All",$P6=fTeam),OR(fChannel="All",fChannel="LinkedIn Outreach"),OR(fMonth="All",$S6=fMonth)),1,0))</f>
        <v>0</v>
      </c>
      <c r="U6" s="71">
        <f>IF($C6="",0,IF(AND(OR(fClient="All",$B6=fClient),OR(fCampaign="All",$C6=fCampaign),OR(fTeam="All",$P6=fTeam),OR(fChannel="All",fChannel="LinkedIn Outreach")),1,0))</f>
        <v>0</v>
      </c>
    </row>
    <row r="7">
      <c r="A7" s="63" t="n"/>
      <c r="B7" s="64" t="n"/>
      <c r="C7" s="64" t="n"/>
      <c r="D7" s="64" t="n"/>
      <c r="E7" s="67" t="n"/>
      <c r="F7" s="67" t="n"/>
      <c r="G7" s="73" t="str">
        <f>IF(AND(ISNUMBER($E7),$E7&gt;0,ISNUMBER($F7)),$F7/$E7,"")</f>
        <v/>
      </c>
      <c r="H7" s="67" t="n"/>
      <c r="I7" s="67" t="n"/>
      <c r="J7" s="73" t="str">
        <f>IF(AND(ISNUMBER($H7),$H7&gt;0,ISNUMBER($I7)),$I7/$H7,"")</f>
        <v/>
      </c>
      <c r="K7" s="67" t="n"/>
      <c r="L7" s="73" t="str">
        <f>IF(AND(ISNUMBER($H7),$H7&gt;0,ISNUMBER($K7)),$K7/$H7,"")</f>
        <v/>
      </c>
      <c r="M7" s="67" t="n"/>
      <c r="N7" s="67" t="n"/>
      <c r="O7" s="67" t="n"/>
      <c r="P7" s="64" t="n"/>
      <c r="Q7" s="64" t="n"/>
      <c r="R7" s="65" t="n"/>
      <c r="S7" s="71" t="str">
        <f>IF(ISNUMBER($A7),YEAR($A7)&amp;"-"&amp;TEXT(MONTH($A7),"00"),"")</f>
        <v/>
      </c>
      <c r="T7" s="71">
        <f>IF($C7="",0,IF(AND(OR(fClient="All",$B7=fClient),OR(fCampaign="All",$C7=fCampaign),OR(fTeam="All",$P7=fTeam),OR(fChannel="All",fChannel="LinkedIn Outreach"),OR(fMonth="All",$S7=fMonth)),1,0))</f>
        <v>0</v>
      </c>
      <c r="U7" s="71">
        <f>IF($C7="",0,IF(AND(OR(fClient="All",$B7=fClient),OR(fCampaign="All",$C7=fCampaign),OR(fTeam="All",$P7=fTeam),OR(fChannel="All",fChannel="LinkedIn Outreach")),1,0))</f>
        <v>0</v>
      </c>
    </row>
    <row r="8">
      <c r="A8" s="63" t="n"/>
      <c r="B8" s="64" t="n"/>
      <c r="C8" s="64" t="n"/>
      <c r="D8" s="64" t="n"/>
      <c r="E8" s="67" t="n"/>
      <c r="F8" s="67" t="n"/>
      <c r="G8" s="73" t="str">
        <f>IF(AND(ISNUMBER($E8),$E8&gt;0,ISNUMBER($F8)),$F8/$E8,"")</f>
        <v/>
      </c>
      <c r="H8" s="67" t="n"/>
      <c r="I8" s="67" t="n"/>
      <c r="J8" s="73" t="str">
        <f>IF(AND(ISNUMBER($H8),$H8&gt;0,ISNUMBER($I8)),$I8/$H8,"")</f>
        <v/>
      </c>
      <c r="K8" s="67" t="n"/>
      <c r="L8" s="73" t="str">
        <f>IF(AND(ISNUMBER($H8),$H8&gt;0,ISNUMBER($K8)),$K8/$H8,"")</f>
        <v/>
      </c>
      <c r="M8" s="67" t="n"/>
      <c r="N8" s="67" t="n"/>
      <c r="O8" s="67" t="n"/>
      <c r="P8" s="64" t="n"/>
      <c r="Q8" s="64" t="n"/>
      <c r="R8" s="65" t="n"/>
      <c r="S8" s="71" t="str">
        <f>IF(ISNUMBER($A8),YEAR($A8)&amp;"-"&amp;TEXT(MONTH($A8),"00"),"")</f>
        <v/>
      </c>
      <c r="T8" s="71">
        <f>IF($C8="",0,IF(AND(OR(fClient="All",$B8=fClient),OR(fCampaign="All",$C8=fCampaign),OR(fTeam="All",$P8=fTeam),OR(fChannel="All",fChannel="LinkedIn Outreach"),OR(fMonth="All",$S8=fMonth)),1,0))</f>
        <v>0</v>
      </c>
      <c r="U8" s="71">
        <f>IF($C8="",0,IF(AND(OR(fClient="All",$B8=fClient),OR(fCampaign="All",$C8=fCampaign),OR(fTeam="All",$P8=fTeam),OR(fChannel="All",fChannel="LinkedIn Outreach")),1,0))</f>
        <v>0</v>
      </c>
    </row>
    <row r="9">
      <c r="A9" s="63" t="n"/>
      <c r="B9" s="64" t="n"/>
      <c r="C9" s="64" t="n"/>
      <c r="D9" s="64" t="n"/>
      <c r="E9" s="67" t="n"/>
      <c r="F9" s="67" t="n"/>
      <c r="G9" s="73" t="str">
        <f>IF(AND(ISNUMBER($E9),$E9&gt;0,ISNUMBER($F9)),$F9/$E9,"")</f>
        <v/>
      </c>
      <c r="H9" s="67" t="n"/>
      <c r="I9" s="67" t="n"/>
      <c r="J9" s="73" t="str">
        <f>IF(AND(ISNUMBER($H9),$H9&gt;0,ISNUMBER($I9)),$I9/$H9,"")</f>
        <v/>
      </c>
      <c r="K9" s="67" t="n"/>
      <c r="L9" s="73" t="str">
        <f>IF(AND(ISNUMBER($H9),$H9&gt;0,ISNUMBER($K9)),$K9/$H9,"")</f>
        <v/>
      </c>
      <c r="M9" s="67" t="n"/>
      <c r="N9" s="67" t="n"/>
      <c r="O9" s="67" t="n"/>
      <c r="P9" s="64" t="n"/>
      <c r="Q9" s="64" t="n"/>
      <c r="R9" s="65" t="n"/>
      <c r="S9" s="71" t="str">
        <f>IF(ISNUMBER($A9),YEAR($A9)&amp;"-"&amp;TEXT(MONTH($A9),"00"),"")</f>
        <v/>
      </c>
      <c r="T9" s="71">
        <f>IF($C9="",0,IF(AND(OR(fClient="All",$B9=fClient),OR(fCampaign="All",$C9=fCampaign),OR(fTeam="All",$P9=fTeam),OR(fChannel="All",fChannel="LinkedIn Outreach"),OR(fMonth="All",$S9=fMonth)),1,0))</f>
        <v>0</v>
      </c>
      <c r="U9" s="71">
        <f>IF($C9="",0,IF(AND(OR(fClient="All",$B9=fClient),OR(fCampaign="All",$C9=fCampaign),OR(fTeam="All",$P9=fTeam),OR(fChannel="All",fChannel="LinkedIn Outreach")),1,0))</f>
        <v>0</v>
      </c>
    </row>
    <row r="10">
      <c r="A10" s="63" t="n"/>
      <c r="B10" s="64" t="n"/>
      <c r="C10" s="64" t="n"/>
      <c r="D10" s="64" t="n"/>
      <c r="E10" s="67" t="n"/>
      <c r="F10" s="67" t="n"/>
      <c r="G10" s="73" t="str">
        <f>IF(AND(ISNUMBER($E10),$E10&gt;0,ISNUMBER($F10)),$F10/$E10,"")</f>
        <v/>
      </c>
      <c r="H10" s="67" t="n"/>
      <c r="I10" s="67" t="n"/>
      <c r="J10" s="73" t="str">
        <f>IF(AND(ISNUMBER($H10),$H10&gt;0,ISNUMBER($I10)),$I10/$H10,"")</f>
        <v/>
      </c>
      <c r="K10" s="67" t="n"/>
      <c r="L10" s="73" t="str">
        <f>IF(AND(ISNUMBER($H10),$H10&gt;0,ISNUMBER($K10)),$K10/$H10,"")</f>
        <v/>
      </c>
      <c r="M10" s="67" t="n"/>
      <c r="N10" s="67" t="n"/>
      <c r="O10" s="67" t="n"/>
      <c r="P10" s="64" t="n"/>
      <c r="Q10" s="64" t="n"/>
      <c r="R10" s="65" t="n"/>
      <c r="S10" s="71" t="str">
        <f>IF(ISNUMBER($A10),YEAR($A10)&amp;"-"&amp;TEXT(MONTH($A10),"00"),"")</f>
        <v/>
      </c>
      <c r="T10" s="71">
        <f>IF($C10="",0,IF(AND(OR(fClient="All",$B10=fClient),OR(fCampaign="All",$C10=fCampaign),OR(fTeam="All",$P10=fTeam),OR(fChannel="All",fChannel="LinkedIn Outreach"),OR(fMonth="All",$S10=fMonth)),1,0))</f>
        <v>0</v>
      </c>
      <c r="U10" s="71">
        <f>IF($C10="",0,IF(AND(OR(fClient="All",$B10=fClient),OR(fCampaign="All",$C10=fCampaign),OR(fTeam="All",$P10=fTeam),OR(fChannel="All",fChannel="LinkedIn Outreach")),1,0))</f>
        <v>0</v>
      </c>
    </row>
    <row r="11">
      <c r="A11" s="63" t="n"/>
      <c r="B11" s="64" t="n"/>
      <c r="C11" s="64" t="n"/>
      <c r="D11" s="64" t="n"/>
      <c r="E11" s="67" t="n"/>
      <c r="F11" s="67" t="n"/>
      <c r="G11" s="73" t="str">
        <f>IF(AND(ISNUMBER($E11),$E11&gt;0,ISNUMBER($F11)),$F11/$E11,"")</f>
        <v/>
      </c>
      <c r="H11" s="67" t="n"/>
      <c r="I11" s="67" t="n"/>
      <c r="J11" s="73" t="str">
        <f>IF(AND(ISNUMBER($H11),$H11&gt;0,ISNUMBER($I11)),$I11/$H11,"")</f>
        <v/>
      </c>
      <c r="K11" s="67" t="n"/>
      <c r="L11" s="73" t="str">
        <f>IF(AND(ISNUMBER($H11),$H11&gt;0,ISNUMBER($K11)),$K11/$H11,"")</f>
        <v/>
      </c>
      <c r="M11" s="67" t="n"/>
      <c r="N11" s="67" t="n"/>
      <c r="O11" s="67" t="n"/>
      <c r="P11" s="64" t="n"/>
      <c r="Q11" s="64" t="n"/>
      <c r="R11" s="65" t="n"/>
      <c r="S11" s="71" t="str">
        <f>IF(ISNUMBER($A11),YEAR($A11)&amp;"-"&amp;TEXT(MONTH($A11),"00"),"")</f>
        <v/>
      </c>
      <c r="T11" s="71">
        <f>IF($C11="",0,IF(AND(OR(fClient="All",$B11=fClient),OR(fCampaign="All",$C11=fCampaign),OR(fTeam="All",$P11=fTeam),OR(fChannel="All",fChannel="LinkedIn Outreach"),OR(fMonth="All",$S11=fMonth)),1,0))</f>
        <v>0</v>
      </c>
      <c r="U11" s="71">
        <f>IF($C11="",0,IF(AND(OR(fClient="All",$B11=fClient),OR(fCampaign="All",$C11=fCampaign),OR(fTeam="All",$P11=fTeam),OR(fChannel="All",fChannel="LinkedIn Outreach")),1,0))</f>
        <v>0</v>
      </c>
    </row>
    <row r="12">
      <c r="A12" s="63" t="n"/>
      <c r="B12" s="64" t="n"/>
      <c r="C12" s="64" t="n"/>
      <c r="D12" s="64" t="n"/>
      <c r="E12" s="67" t="n"/>
      <c r="F12" s="67" t="n"/>
      <c r="G12" s="73" t="str">
        <f>IF(AND(ISNUMBER($E12),$E12&gt;0,ISNUMBER($F12)),$F12/$E12,"")</f>
        <v/>
      </c>
      <c r="H12" s="67" t="n"/>
      <c r="I12" s="67" t="n"/>
      <c r="J12" s="73" t="str">
        <f>IF(AND(ISNUMBER($H12),$H12&gt;0,ISNUMBER($I12)),$I12/$H12,"")</f>
        <v/>
      </c>
      <c r="K12" s="67" t="n"/>
      <c r="L12" s="73" t="str">
        <f>IF(AND(ISNUMBER($H12),$H12&gt;0,ISNUMBER($K12)),$K12/$H12,"")</f>
        <v/>
      </c>
      <c r="M12" s="67" t="n"/>
      <c r="N12" s="67" t="n"/>
      <c r="O12" s="67" t="n"/>
      <c r="P12" s="64" t="n"/>
      <c r="Q12" s="64" t="n"/>
      <c r="R12" s="65" t="n"/>
      <c r="S12" s="71" t="str">
        <f>IF(ISNUMBER($A12),YEAR($A12)&amp;"-"&amp;TEXT(MONTH($A12),"00"),"")</f>
        <v/>
      </c>
      <c r="T12" s="71">
        <f>IF($C12="",0,IF(AND(OR(fClient="All",$B12=fClient),OR(fCampaign="All",$C12=fCampaign),OR(fTeam="All",$P12=fTeam),OR(fChannel="All",fChannel="LinkedIn Outreach"),OR(fMonth="All",$S12=fMonth)),1,0))</f>
        <v>0</v>
      </c>
      <c r="U12" s="71">
        <f>IF($C12="",0,IF(AND(OR(fClient="All",$B12=fClient),OR(fCampaign="All",$C12=fCampaign),OR(fTeam="All",$P12=fTeam),OR(fChannel="All",fChannel="LinkedIn Outreach")),1,0))</f>
        <v>0</v>
      </c>
    </row>
    <row r="13">
      <c r="A13" s="63" t="n"/>
      <c r="B13" s="64" t="n"/>
      <c r="C13" s="64" t="n"/>
      <c r="D13" s="64" t="n"/>
      <c r="E13" s="67" t="n"/>
      <c r="F13" s="67" t="n"/>
      <c r="G13" s="73" t="str">
        <f>IF(AND(ISNUMBER($E13),$E13&gt;0,ISNUMBER($F13)),$F13/$E13,"")</f>
        <v/>
      </c>
      <c r="H13" s="67" t="n"/>
      <c r="I13" s="67" t="n"/>
      <c r="J13" s="73" t="str">
        <f>IF(AND(ISNUMBER($H13),$H13&gt;0,ISNUMBER($I13)),$I13/$H13,"")</f>
        <v/>
      </c>
      <c r="K13" s="67" t="n"/>
      <c r="L13" s="73" t="str">
        <f>IF(AND(ISNUMBER($H13),$H13&gt;0,ISNUMBER($K13)),$K13/$H13,"")</f>
        <v/>
      </c>
      <c r="M13" s="67" t="n"/>
      <c r="N13" s="67" t="n"/>
      <c r="O13" s="67" t="n"/>
      <c r="P13" s="64" t="n"/>
      <c r="Q13" s="64" t="n"/>
      <c r="R13" s="65" t="n"/>
      <c r="S13" s="71" t="str">
        <f>IF(ISNUMBER($A13),YEAR($A13)&amp;"-"&amp;TEXT(MONTH($A13),"00"),"")</f>
        <v/>
      </c>
      <c r="T13" s="71">
        <f>IF($C13="",0,IF(AND(OR(fClient="All",$B13=fClient),OR(fCampaign="All",$C13=fCampaign),OR(fTeam="All",$P13=fTeam),OR(fChannel="All",fChannel="LinkedIn Outreach"),OR(fMonth="All",$S13=fMonth)),1,0))</f>
        <v>0</v>
      </c>
      <c r="U13" s="71">
        <f>IF($C13="",0,IF(AND(OR(fClient="All",$B13=fClient),OR(fCampaign="All",$C13=fCampaign),OR(fTeam="All",$P13=fTeam),OR(fChannel="All",fChannel="LinkedIn Outreach")),1,0))</f>
        <v>0</v>
      </c>
    </row>
    <row r="14">
      <c r="A14" s="63" t="n"/>
      <c r="B14" s="64" t="n"/>
      <c r="C14" s="64" t="n"/>
      <c r="D14" s="64" t="n"/>
      <c r="E14" s="67" t="n"/>
      <c r="F14" s="67" t="n"/>
      <c r="G14" s="73" t="str">
        <f>IF(AND(ISNUMBER($E14),$E14&gt;0,ISNUMBER($F14)),$F14/$E14,"")</f>
        <v/>
      </c>
      <c r="H14" s="67" t="n"/>
      <c r="I14" s="67" t="n"/>
      <c r="J14" s="73" t="str">
        <f>IF(AND(ISNUMBER($H14),$H14&gt;0,ISNUMBER($I14)),$I14/$H14,"")</f>
        <v/>
      </c>
      <c r="K14" s="67" t="n"/>
      <c r="L14" s="73" t="str">
        <f>IF(AND(ISNUMBER($H14),$H14&gt;0,ISNUMBER($K14)),$K14/$H14,"")</f>
        <v/>
      </c>
      <c r="M14" s="67" t="n"/>
      <c r="N14" s="67" t="n"/>
      <c r="O14" s="67" t="n"/>
      <c r="P14" s="64" t="n"/>
      <c r="Q14" s="64" t="n"/>
      <c r="R14" s="65" t="n"/>
      <c r="S14" s="71" t="str">
        <f>IF(ISNUMBER($A14),YEAR($A14)&amp;"-"&amp;TEXT(MONTH($A14),"00"),"")</f>
        <v/>
      </c>
      <c r="T14" s="71">
        <f>IF($C14="",0,IF(AND(OR(fClient="All",$B14=fClient),OR(fCampaign="All",$C14=fCampaign),OR(fTeam="All",$P14=fTeam),OR(fChannel="All",fChannel="LinkedIn Outreach"),OR(fMonth="All",$S14=fMonth)),1,0))</f>
        <v>0</v>
      </c>
      <c r="U14" s="71">
        <f>IF($C14="",0,IF(AND(OR(fClient="All",$B14=fClient),OR(fCampaign="All",$C14=fCampaign),OR(fTeam="All",$P14=fTeam),OR(fChannel="All",fChannel="LinkedIn Outreach")),1,0))</f>
        <v>0</v>
      </c>
    </row>
    <row r="15">
      <c r="A15" s="63" t="n"/>
      <c r="B15" s="64" t="n"/>
      <c r="C15" s="64" t="n"/>
      <c r="D15" s="64" t="n"/>
      <c r="E15" s="67" t="n"/>
      <c r="F15" s="67" t="n"/>
      <c r="G15" s="73" t="str">
        <f>IF(AND(ISNUMBER($E15),$E15&gt;0,ISNUMBER($F15)),$F15/$E15,"")</f>
        <v/>
      </c>
      <c r="H15" s="67" t="n"/>
      <c r="I15" s="67" t="n"/>
      <c r="J15" s="73" t="str">
        <f>IF(AND(ISNUMBER($H15),$H15&gt;0,ISNUMBER($I15)),$I15/$H15,"")</f>
        <v/>
      </c>
      <c r="K15" s="67" t="n"/>
      <c r="L15" s="73" t="str">
        <f>IF(AND(ISNUMBER($H15),$H15&gt;0,ISNUMBER($K15)),$K15/$H15,"")</f>
        <v/>
      </c>
      <c r="M15" s="67" t="n"/>
      <c r="N15" s="67" t="n"/>
      <c r="O15" s="67" t="n"/>
      <c r="P15" s="64" t="n"/>
      <c r="Q15" s="64" t="n"/>
      <c r="R15" s="65" t="n"/>
      <c r="S15" s="71" t="str">
        <f>IF(ISNUMBER($A15),YEAR($A15)&amp;"-"&amp;TEXT(MONTH($A15),"00"),"")</f>
        <v/>
      </c>
      <c r="T15" s="71">
        <f>IF($C15="",0,IF(AND(OR(fClient="All",$B15=fClient),OR(fCampaign="All",$C15=fCampaign),OR(fTeam="All",$P15=fTeam),OR(fChannel="All",fChannel="LinkedIn Outreach"),OR(fMonth="All",$S15=fMonth)),1,0))</f>
        <v>0</v>
      </c>
      <c r="U15" s="71">
        <f>IF($C15="",0,IF(AND(OR(fClient="All",$B15=fClient),OR(fCampaign="All",$C15=fCampaign),OR(fTeam="All",$P15=fTeam),OR(fChannel="All",fChannel="LinkedIn Outreach")),1,0))</f>
        <v>0</v>
      </c>
    </row>
    <row r="16">
      <c r="A16" s="63" t="n"/>
      <c r="B16" s="64" t="n"/>
      <c r="C16" s="64" t="n"/>
      <c r="D16" s="64" t="n"/>
      <c r="E16" s="67" t="n"/>
      <c r="F16" s="67" t="n"/>
      <c r="G16" s="73" t="str">
        <f>IF(AND(ISNUMBER($E16),$E16&gt;0,ISNUMBER($F16)),$F16/$E16,"")</f>
        <v/>
      </c>
      <c r="H16" s="67" t="n"/>
      <c r="I16" s="67" t="n"/>
      <c r="J16" s="73" t="str">
        <f>IF(AND(ISNUMBER($H16),$H16&gt;0,ISNUMBER($I16)),$I16/$H16,"")</f>
        <v/>
      </c>
      <c r="K16" s="67" t="n"/>
      <c r="L16" s="73" t="str">
        <f>IF(AND(ISNUMBER($H16),$H16&gt;0,ISNUMBER($K16)),$K16/$H16,"")</f>
        <v/>
      </c>
      <c r="M16" s="67" t="n"/>
      <c r="N16" s="67" t="n"/>
      <c r="O16" s="67" t="n"/>
      <c r="P16" s="64" t="n"/>
      <c r="Q16" s="64" t="n"/>
      <c r="R16" s="65" t="n"/>
      <c r="S16" s="71" t="str">
        <f>IF(ISNUMBER($A16),YEAR($A16)&amp;"-"&amp;TEXT(MONTH($A16),"00"),"")</f>
        <v/>
      </c>
      <c r="T16" s="71">
        <f>IF($C16="",0,IF(AND(OR(fClient="All",$B16=fClient),OR(fCampaign="All",$C16=fCampaign),OR(fTeam="All",$P16=fTeam),OR(fChannel="All",fChannel="LinkedIn Outreach"),OR(fMonth="All",$S16=fMonth)),1,0))</f>
        <v>0</v>
      </c>
      <c r="U16" s="71">
        <f>IF($C16="",0,IF(AND(OR(fClient="All",$B16=fClient),OR(fCampaign="All",$C16=fCampaign),OR(fTeam="All",$P16=fTeam),OR(fChannel="All",fChannel="LinkedIn Outreach")),1,0))</f>
        <v>0</v>
      </c>
    </row>
    <row r="17">
      <c r="A17" s="63" t="n"/>
      <c r="B17" s="64" t="n"/>
      <c r="C17" s="64" t="n"/>
      <c r="D17" s="64" t="n"/>
      <c r="E17" s="67" t="n"/>
      <c r="F17" s="67" t="n"/>
      <c r="G17" s="73" t="str">
        <f>IF(AND(ISNUMBER($E17),$E17&gt;0,ISNUMBER($F17)),$F17/$E17,"")</f>
        <v/>
      </c>
      <c r="H17" s="67" t="n"/>
      <c r="I17" s="67" t="n"/>
      <c r="J17" s="73" t="str">
        <f>IF(AND(ISNUMBER($H17),$H17&gt;0,ISNUMBER($I17)),$I17/$H17,"")</f>
        <v/>
      </c>
      <c r="K17" s="67" t="n"/>
      <c r="L17" s="73" t="str">
        <f>IF(AND(ISNUMBER($H17),$H17&gt;0,ISNUMBER($K17)),$K17/$H17,"")</f>
        <v/>
      </c>
      <c r="M17" s="67" t="n"/>
      <c r="N17" s="67" t="n"/>
      <c r="O17" s="67" t="n"/>
      <c r="P17" s="64" t="n"/>
      <c r="Q17" s="64" t="n"/>
      <c r="R17" s="65" t="n"/>
      <c r="S17" s="71" t="str">
        <f>IF(ISNUMBER($A17),YEAR($A17)&amp;"-"&amp;TEXT(MONTH($A17),"00"),"")</f>
        <v/>
      </c>
      <c r="T17" s="71">
        <f>IF($C17="",0,IF(AND(OR(fClient="All",$B17=fClient),OR(fCampaign="All",$C17=fCampaign),OR(fTeam="All",$P17=fTeam),OR(fChannel="All",fChannel="LinkedIn Outreach"),OR(fMonth="All",$S17=fMonth)),1,0))</f>
        <v>0</v>
      </c>
      <c r="U17" s="71">
        <f>IF($C17="",0,IF(AND(OR(fClient="All",$B17=fClient),OR(fCampaign="All",$C17=fCampaign),OR(fTeam="All",$P17=fTeam),OR(fChannel="All",fChannel="LinkedIn Outreach")),1,0))</f>
        <v>0</v>
      </c>
    </row>
    <row r="18">
      <c r="A18" s="63" t="n"/>
      <c r="B18" s="64" t="n"/>
      <c r="C18" s="64" t="n"/>
      <c r="D18" s="64" t="n"/>
      <c r="E18" s="67" t="n"/>
      <c r="F18" s="67" t="n"/>
      <c r="G18" s="73" t="str">
        <f>IF(AND(ISNUMBER($E18),$E18&gt;0,ISNUMBER($F18)),$F18/$E18,"")</f>
        <v/>
      </c>
      <c r="H18" s="67" t="n"/>
      <c r="I18" s="67" t="n"/>
      <c r="J18" s="73" t="str">
        <f>IF(AND(ISNUMBER($H18),$H18&gt;0,ISNUMBER($I18)),$I18/$H18,"")</f>
        <v/>
      </c>
      <c r="K18" s="67" t="n"/>
      <c r="L18" s="73" t="str">
        <f>IF(AND(ISNUMBER($H18),$H18&gt;0,ISNUMBER($K18)),$K18/$H18,"")</f>
        <v/>
      </c>
      <c r="M18" s="67" t="n"/>
      <c r="N18" s="67" t="n"/>
      <c r="O18" s="67" t="n"/>
      <c r="P18" s="64" t="n"/>
      <c r="Q18" s="64" t="n"/>
      <c r="R18" s="65" t="n"/>
      <c r="S18" s="71" t="str">
        <f>IF(ISNUMBER($A18),YEAR($A18)&amp;"-"&amp;TEXT(MONTH($A18),"00"),"")</f>
        <v/>
      </c>
      <c r="T18" s="71">
        <f>IF($C18="",0,IF(AND(OR(fClient="All",$B18=fClient),OR(fCampaign="All",$C18=fCampaign),OR(fTeam="All",$P18=fTeam),OR(fChannel="All",fChannel="LinkedIn Outreach"),OR(fMonth="All",$S18=fMonth)),1,0))</f>
        <v>0</v>
      </c>
      <c r="U18" s="71">
        <f>IF($C18="",0,IF(AND(OR(fClient="All",$B18=fClient),OR(fCampaign="All",$C18=fCampaign),OR(fTeam="All",$P18=fTeam),OR(fChannel="All",fChannel="LinkedIn Outreach")),1,0))</f>
        <v>0</v>
      </c>
    </row>
    <row r="19">
      <c r="A19" s="63" t="n"/>
      <c r="B19" s="64" t="n"/>
      <c r="C19" s="64" t="n"/>
      <c r="D19" s="64" t="n"/>
      <c r="E19" s="67" t="n"/>
      <c r="F19" s="67" t="n"/>
      <c r="G19" s="73" t="str">
        <f>IF(AND(ISNUMBER($E19),$E19&gt;0,ISNUMBER($F19)),$F19/$E19,"")</f>
        <v/>
      </c>
      <c r="H19" s="67" t="n"/>
      <c r="I19" s="67" t="n"/>
      <c r="J19" s="73" t="str">
        <f>IF(AND(ISNUMBER($H19),$H19&gt;0,ISNUMBER($I19)),$I19/$H19,"")</f>
        <v/>
      </c>
      <c r="K19" s="67" t="n"/>
      <c r="L19" s="73" t="str">
        <f>IF(AND(ISNUMBER($H19),$H19&gt;0,ISNUMBER($K19)),$K19/$H19,"")</f>
        <v/>
      </c>
      <c r="M19" s="67" t="n"/>
      <c r="N19" s="67" t="n"/>
      <c r="O19" s="67" t="n"/>
      <c r="P19" s="64" t="n"/>
      <c r="Q19" s="64" t="n"/>
      <c r="R19" s="65" t="n"/>
      <c r="S19" s="71" t="str">
        <f>IF(ISNUMBER($A19),YEAR($A19)&amp;"-"&amp;TEXT(MONTH($A19),"00"),"")</f>
        <v/>
      </c>
      <c r="T19" s="71">
        <f>IF($C19="",0,IF(AND(OR(fClient="All",$B19=fClient),OR(fCampaign="All",$C19=fCampaign),OR(fTeam="All",$P19=fTeam),OR(fChannel="All",fChannel="LinkedIn Outreach"),OR(fMonth="All",$S19=fMonth)),1,0))</f>
        <v>0</v>
      </c>
      <c r="U19" s="71">
        <f>IF($C19="",0,IF(AND(OR(fClient="All",$B19=fClient),OR(fCampaign="All",$C19=fCampaign),OR(fTeam="All",$P19=fTeam),OR(fChannel="All",fChannel="LinkedIn Outreach")),1,0))</f>
        <v>0</v>
      </c>
    </row>
    <row r="20">
      <c r="A20" s="63" t="n"/>
      <c r="B20" s="64" t="n"/>
      <c r="C20" s="64" t="n"/>
      <c r="D20" s="64" t="n"/>
      <c r="E20" s="67" t="n"/>
      <c r="F20" s="67" t="n"/>
      <c r="G20" s="73" t="str">
        <f>IF(AND(ISNUMBER($E20),$E20&gt;0,ISNUMBER($F20)),$F20/$E20,"")</f>
        <v/>
      </c>
      <c r="H20" s="67" t="n"/>
      <c r="I20" s="67" t="n"/>
      <c r="J20" s="73" t="str">
        <f>IF(AND(ISNUMBER($H20),$H20&gt;0,ISNUMBER($I20)),$I20/$H20,"")</f>
        <v/>
      </c>
      <c r="K20" s="67" t="n"/>
      <c r="L20" s="73" t="str">
        <f>IF(AND(ISNUMBER($H20),$H20&gt;0,ISNUMBER($K20)),$K20/$H20,"")</f>
        <v/>
      </c>
      <c r="M20" s="67" t="n"/>
      <c r="N20" s="67" t="n"/>
      <c r="O20" s="67" t="n"/>
      <c r="P20" s="64" t="n"/>
      <c r="Q20" s="64" t="n"/>
      <c r="R20" s="65" t="n"/>
      <c r="S20" s="71" t="str">
        <f>IF(ISNUMBER($A20),YEAR($A20)&amp;"-"&amp;TEXT(MONTH($A20),"00"),"")</f>
        <v/>
      </c>
      <c r="T20" s="71">
        <f>IF($C20="",0,IF(AND(OR(fClient="All",$B20=fClient),OR(fCampaign="All",$C20=fCampaign),OR(fTeam="All",$P20=fTeam),OR(fChannel="All",fChannel="LinkedIn Outreach"),OR(fMonth="All",$S20=fMonth)),1,0))</f>
        <v>0</v>
      </c>
      <c r="U20" s="71">
        <f>IF($C20="",0,IF(AND(OR(fClient="All",$B20=fClient),OR(fCampaign="All",$C20=fCampaign),OR(fTeam="All",$P20=fTeam),OR(fChannel="All",fChannel="LinkedIn Outreach")),1,0))</f>
        <v>0</v>
      </c>
    </row>
    <row r="21">
      <c r="A21" s="63" t="n"/>
      <c r="B21" s="64" t="n"/>
      <c r="C21" s="64" t="n"/>
      <c r="D21" s="64" t="n"/>
      <c r="E21" s="67" t="n"/>
      <c r="F21" s="67" t="n"/>
      <c r="G21" s="73" t="str">
        <f>IF(AND(ISNUMBER($E21),$E21&gt;0,ISNUMBER($F21)),$F21/$E21,"")</f>
        <v/>
      </c>
      <c r="H21" s="67" t="n"/>
      <c r="I21" s="67" t="n"/>
      <c r="J21" s="73" t="str">
        <f>IF(AND(ISNUMBER($H21),$H21&gt;0,ISNUMBER($I21)),$I21/$H21,"")</f>
        <v/>
      </c>
      <c r="K21" s="67" t="n"/>
      <c r="L21" s="73" t="str">
        <f>IF(AND(ISNUMBER($H21),$H21&gt;0,ISNUMBER($K21)),$K21/$H21,"")</f>
        <v/>
      </c>
      <c r="M21" s="67" t="n"/>
      <c r="N21" s="67" t="n"/>
      <c r="O21" s="67" t="n"/>
      <c r="P21" s="64" t="n"/>
      <c r="Q21" s="64" t="n"/>
      <c r="R21" s="65" t="n"/>
      <c r="S21" s="71" t="str">
        <f>IF(ISNUMBER($A21),YEAR($A21)&amp;"-"&amp;TEXT(MONTH($A21),"00"),"")</f>
        <v/>
      </c>
      <c r="T21" s="71">
        <f>IF($C21="",0,IF(AND(OR(fClient="All",$B21=fClient),OR(fCampaign="All",$C21=fCampaign),OR(fTeam="All",$P21=fTeam),OR(fChannel="All",fChannel="LinkedIn Outreach"),OR(fMonth="All",$S21=fMonth)),1,0))</f>
        <v>0</v>
      </c>
      <c r="U21" s="71">
        <f>IF($C21="",0,IF(AND(OR(fClient="All",$B21=fClient),OR(fCampaign="All",$C21=fCampaign),OR(fTeam="All",$P21=fTeam),OR(fChannel="All",fChannel="LinkedIn Outreach")),1,0))</f>
        <v>0</v>
      </c>
    </row>
    <row r="22">
      <c r="A22" s="63" t="n"/>
      <c r="B22" s="64" t="n"/>
      <c r="C22" s="64" t="n"/>
      <c r="D22" s="64" t="n"/>
      <c r="E22" s="67" t="n"/>
      <c r="F22" s="67" t="n"/>
      <c r="G22" s="73" t="str">
        <f>IF(AND(ISNUMBER($E22),$E22&gt;0,ISNUMBER($F22)),$F22/$E22,"")</f>
        <v/>
      </c>
      <c r="H22" s="67" t="n"/>
      <c r="I22" s="67" t="n"/>
      <c r="J22" s="73" t="str">
        <f>IF(AND(ISNUMBER($H22),$H22&gt;0,ISNUMBER($I22)),$I22/$H22,"")</f>
        <v/>
      </c>
      <c r="K22" s="67" t="n"/>
      <c r="L22" s="73" t="str">
        <f>IF(AND(ISNUMBER($H22),$H22&gt;0,ISNUMBER($K22)),$K22/$H22,"")</f>
        <v/>
      </c>
      <c r="M22" s="67" t="n"/>
      <c r="N22" s="67" t="n"/>
      <c r="O22" s="67" t="n"/>
      <c r="P22" s="64" t="n"/>
      <c r="Q22" s="64" t="n"/>
      <c r="R22" s="65" t="n"/>
      <c r="S22" s="71" t="str">
        <f>IF(ISNUMBER($A22),YEAR($A22)&amp;"-"&amp;TEXT(MONTH($A22),"00"),"")</f>
        <v/>
      </c>
      <c r="T22" s="71">
        <f>IF($C22="",0,IF(AND(OR(fClient="All",$B22=fClient),OR(fCampaign="All",$C22=fCampaign),OR(fTeam="All",$P22=fTeam),OR(fChannel="All",fChannel="LinkedIn Outreach"),OR(fMonth="All",$S22=fMonth)),1,0))</f>
        <v>0</v>
      </c>
      <c r="U22" s="71">
        <f>IF($C22="",0,IF(AND(OR(fClient="All",$B22=fClient),OR(fCampaign="All",$C22=fCampaign),OR(fTeam="All",$P22=fTeam),OR(fChannel="All",fChannel="LinkedIn Outreach")),1,0))</f>
        <v>0</v>
      </c>
    </row>
    <row r="23">
      <c r="A23" s="63" t="n"/>
      <c r="B23" s="64" t="n"/>
      <c r="C23" s="64" t="n"/>
      <c r="D23" s="64" t="n"/>
      <c r="E23" s="67" t="n"/>
      <c r="F23" s="67" t="n"/>
      <c r="G23" s="73" t="str">
        <f>IF(AND(ISNUMBER($E23),$E23&gt;0,ISNUMBER($F23)),$F23/$E23,"")</f>
        <v/>
      </c>
      <c r="H23" s="67" t="n"/>
      <c r="I23" s="67" t="n"/>
      <c r="J23" s="73" t="str">
        <f>IF(AND(ISNUMBER($H23),$H23&gt;0,ISNUMBER($I23)),$I23/$H23,"")</f>
        <v/>
      </c>
      <c r="K23" s="67" t="n"/>
      <c r="L23" s="73" t="str">
        <f>IF(AND(ISNUMBER($H23),$H23&gt;0,ISNUMBER($K23)),$K23/$H23,"")</f>
        <v/>
      </c>
      <c r="M23" s="67" t="n"/>
      <c r="N23" s="67" t="n"/>
      <c r="O23" s="67" t="n"/>
      <c r="P23" s="64" t="n"/>
      <c r="Q23" s="64" t="n"/>
      <c r="R23" s="65" t="n"/>
      <c r="S23" s="71" t="str">
        <f>IF(ISNUMBER($A23),YEAR($A23)&amp;"-"&amp;TEXT(MONTH($A23),"00"),"")</f>
        <v/>
      </c>
      <c r="T23" s="71">
        <f>IF($C23="",0,IF(AND(OR(fClient="All",$B23=fClient),OR(fCampaign="All",$C23=fCampaign),OR(fTeam="All",$P23=fTeam),OR(fChannel="All",fChannel="LinkedIn Outreach"),OR(fMonth="All",$S23=fMonth)),1,0))</f>
        <v>0</v>
      </c>
      <c r="U23" s="71">
        <f>IF($C23="",0,IF(AND(OR(fClient="All",$B23=fClient),OR(fCampaign="All",$C23=fCampaign),OR(fTeam="All",$P23=fTeam),OR(fChannel="All",fChannel="LinkedIn Outreach")),1,0))</f>
        <v>0</v>
      </c>
    </row>
    <row r="24">
      <c r="A24" s="63" t="n"/>
      <c r="B24" s="64" t="n"/>
      <c r="C24" s="64" t="n"/>
      <c r="D24" s="64" t="n"/>
      <c r="E24" s="67" t="n"/>
      <c r="F24" s="67" t="n"/>
      <c r="G24" s="73" t="str">
        <f>IF(AND(ISNUMBER($E24),$E24&gt;0,ISNUMBER($F24)),$F24/$E24,"")</f>
        <v/>
      </c>
      <c r="H24" s="67" t="n"/>
      <c r="I24" s="67" t="n"/>
      <c r="J24" s="73" t="str">
        <f>IF(AND(ISNUMBER($H24),$H24&gt;0,ISNUMBER($I24)),$I24/$H24,"")</f>
        <v/>
      </c>
      <c r="K24" s="67" t="n"/>
      <c r="L24" s="73" t="str">
        <f>IF(AND(ISNUMBER($H24),$H24&gt;0,ISNUMBER($K24)),$K24/$H24,"")</f>
        <v/>
      </c>
      <c r="M24" s="67" t="n"/>
      <c r="N24" s="67" t="n"/>
      <c r="O24" s="67" t="n"/>
      <c r="P24" s="64" t="n"/>
      <c r="Q24" s="64" t="n"/>
      <c r="R24" s="65" t="n"/>
      <c r="S24" s="71" t="str">
        <f>IF(ISNUMBER($A24),YEAR($A24)&amp;"-"&amp;TEXT(MONTH($A24),"00"),"")</f>
        <v/>
      </c>
      <c r="T24" s="71">
        <f>IF($C24="",0,IF(AND(OR(fClient="All",$B24=fClient),OR(fCampaign="All",$C24=fCampaign),OR(fTeam="All",$P24=fTeam),OR(fChannel="All",fChannel="LinkedIn Outreach"),OR(fMonth="All",$S24=fMonth)),1,0))</f>
        <v>0</v>
      </c>
      <c r="U24" s="71">
        <f>IF($C24="",0,IF(AND(OR(fClient="All",$B24=fClient),OR(fCampaign="All",$C24=fCampaign),OR(fTeam="All",$P24=fTeam),OR(fChannel="All",fChannel="LinkedIn Outreach")),1,0))</f>
        <v>0</v>
      </c>
    </row>
    <row r="25">
      <c r="A25" s="63" t="n"/>
      <c r="B25" s="64" t="n"/>
      <c r="C25" s="64" t="n"/>
      <c r="D25" s="64" t="n"/>
      <c r="E25" s="67" t="n"/>
      <c r="F25" s="67" t="n"/>
      <c r="G25" s="73" t="str">
        <f>IF(AND(ISNUMBER($E25),$E25&gt;0,ISNUMBER($F25)),$F25/$E25,"")</f>
        <v/>
      </c>
      <c r="H25" s="67" t="n"/>
      <c r="I25" s="67" t="n"/>
      <c r="J25" s="73" t="str">
        <f>IF(AND(ISNUMBER($H25),$H25&gt;0,ISNUMBER($I25)),$I25/$H25,"")</f>
        <v/>
      </c>
      <c r="K25" s="67" t="n"/>
      <c r="L25" s="73" t="str">
        <f>IF(AND(ISNUMBER($H25),$H25&gt;0,ISNUMBER($K25)),$K25/$H25,"")</f>
        <v/>
      </c>
      <c r="M25" s="67" t="n"/>
      <c r="N25" s="67" t="n"/>
      <c r="O25" s="67" t="n"/>
      <c r="P25" s="64" t="n"/>
      <c r="Q25" s="64" t="n"/>
      <c r="R25" s="65" t="n"/>
      <c r="S25" s="71" t="str">
        <f>IF(ISNUMBER($A25),YEAR($A25)&amp;"-"&amp;TEXT(MONTH($A25),"00"),"")</f>
        <v/>
      </c>
      <c r="T25" s="71">
        <f>IF($C25="",0,IF(AND(OR(fClient="All",$B25=fClient),OR(fCampaign="All",$C25=fCampaign),OR(fTeam="All",$P25=fTeam),OR(fChannel="All",fChannel="LinkedIn Outreach"),OR(fMonth="All",$S25=fMonth)),1,0))</f>
        <v>0</v>
      </c>
      <c r="U25" s="71">
        <f>IF($C25="",0,IF(AND(OR(fClient="All",$B25=fClient),OR(fCampaign="All",$C25=fCampaign),OR(fTeam="All",$P25=fTeam),OR(fChannel="All",fChannel="LinkedIn Outreach")),1,0))</f>
        <v>0</v>
      </c>
    </row>
    <row r="26">
      <c r="A26" s="63" t="n"/>
      <c r="B26" s="64" t="n"/>
      <c r="C26" s="64" t="n"/>
      <c r="D26" s="64" t="n"/>
      <c r="E26" s="67" t="n"/>
      <c r="F26" s="67" t="n"/>
      <c r="G26" s="73" t="str">
        <f>IF(AND(ISNUMBER($E26),$E26&gt;0,ISNUMBER($F26)),$F26/$E26,"")</f>
        <v/>
      </c>
      <c r="H26" s="67" t="n"/>
      <c r="I26" s="67" t="n"/>
      <c r="J26" s="73" t="str">
        <f>IF(AND(ISNUMBER($H26),$H26&gt;0,ISNUMBER($I26)),$I26/$H26,"")</f>
        <v/>
      </c>
      <c r="K26" s="67" t="n"/>
      <c r="L26" s="73" t="str">
        <f>IF(AND(ISNUMBER($H26),$H26&gt;0,ISNUMBER($K26)),$K26/$H26,"")</f>
        <v/>
      </c>
      <c r="M26" s="67" t="n"/>
      <c r="N26" s="67" t="n"/>
      <c r="O26" s="67" t="n"/>
      <c r="P26" s="64" t="n"/>
      <c r="Q26" s="64" t="n"/>
      <c r="R26" s="65" t="n"/>
      <c r="S26" s="71" t="str">
        <f>IF(ISNUMBER($A26),YEAR($A26)&amp;"-"&amp;TEXT(MONTH($A26),"00"),"")</f>
        <v/>
      </c>
      <c r="T26" s="71">
        <f>IF($C26="",0,IF(AND(OR(fClient="All",$B26=fClient),OR(fCampaign="All",$C26=fCampaign),OR(fTeam="All",$P26=fTeam),OR(fChannel="All",fChannel="LinkedIn Outreach"),OR(fMonth="All",$S26=fMonth)),1,0))</f>
        <v>0</v>
      </c>
      <c r="U26" s="71">
        <f>IF($C26="",0,IF(AND(OR(fClient="All",$B26=fClient),OR(fCampaign="All",$C26=fCampaign),OR(fTeam="All",$P26=fTeam),OR(fChannel="All",fChannel="LinkedIn Outreach")),1,0))</f>
        <v>0</v>
      </c>
    </row>
    <row r="27">
      <c r="A27" s="63" t="n"/>
      <c r="B27" s="64" t="n"/>
      <c r="C27" s="64" t="n"/>
      <c r="D27" s="64" t="n"/>
      <c r="E27" s="67" t="n"/>
      <c r="F27" s="67" t="n"/>
      <c r="G27" s="73" t="str">
        <f>IF(AND(ISNUMBER($E27),$E27&gt;0,ISNUMBER($F27)),$F27/$E27,"")</f>
        <v/>
      </c>
      <c r="H27" s="67" t="n"/>
      <c r="I27" s="67" t="n"/>
      <c r="J27" s="73" t="str">
        <f>IF(AND(ISNUMBER($H27),$H27&gt;0,ISNUMBER($I27)),$I27/$H27,"")</f>
        <v/>
      </c>
      <c r="K27" s="67" t="n"/>
      <c r="L27" s="73" t="str">
        <f>IF(AND(ISNUMBER($H27),$H27&gt;0,ISNUMBER($K27)),$K27/$H27,"")</f>
        <v/>
      </c>
      <c r="M27" s="67" t="n"/>
      <c r="N27" s="67" t="n"/>
      <c r="O27" s="67" t="n"/>
      <c r="P27" s="64" t="n"/>
      <c r="Q27" s="64" t="n"/>
      <c r="R27" s="65" t="n"/>
      <c r="S27" s="71" t="str">
        <f>IF(ISNUMBER($A27),YEAR($A27)&amp;"-"&amp;TEXT(MONTH($A27),"00"),"")</f>
        <v/>
      </c>
      <c r="T27" s="71">
        <f>IF($C27="",0,IF(AND(OR(fClient="All",$B27=fClient),OR(fCampaign="All",$C27=fCampaign),OR(fTeam="All",$P27=fTeam),OR(fChannel="All",fChannel="LinkedIn Outreach"),OR(fMonth="All",$S27=fMonth)),1,0))</f>
        <v>0</v>
      </c>
      <c r="U27" s="71">
        <f>IF($C27="",0,IF(AND(OR(fClient="All",$B27=fClient),OR(fCampaign="All",$C27=fCampaign),OR(fTeam="All",$P27=fTeam),OR(fChannel="All",fChannel="LinkedIn Outreach")),1,0))</f>
        <v>0</v>
      </c>
    </row>
    <row r="28">
      <c r="A28" s="63" t="n"/>
      <c r="B28" s="64" t="n"/>
      <c r="C28" s="64" t="n"/>
      <c r="D28" s="64" t="n"/>
      <c r="E28" s="67" t="n"/>
      <c r="F28" s="67" t="n"/>
      <c r="G28" s="73" t="str">
        <f>IF(AND(ISNUMBER($E28),$E28&gt;0,ISNUMBER($F28)),$F28/$E28,"")</f>
        <v/>
      </c>
      <c r="H28" s="67" t="n"/>
      <c r="I28" s="67" t="n"/>
      <c r="J28" s="73" t="str">
        <f>IF(AND(ISNUMBER($H28),$H28&gt;0,ISNUMBER($I28)),$I28/$H28,"")</f>
        <v/>
      </c>
      <c r="K28" s="67" t="n"/>
      <c r="L28" s="73" t="str">
        <f>IF(AND(ISNUMBER($H28),$H28&gt;0,ISNUMBER($K28)),$K28/$H28,"")</f>
        <v/>
      </c>
      <c r="M28" s="67" t="n"/>
      <c r="N28" s="67" t="n"/>
      <c r="O28" s="67" t="n"/>
      <c r="P28" s="64" t="n"/>
      <c r="Q28" s="64" t="n"/>
      <c r="R28" s="65" t="n"/>
      <c r="S28" s="71" t="str">
        <f>IF(ISNUMBER($A28),YEAR($A28)&amp;"-"&amp;TEXT(MONTH($A28),"00"),"")</f>
        <v/>
      </c>
      <c r="T28" s="71">
        <f>IF($C28="",0,IF(AND(OR(fClient="All",$B28=fClient),OR(fCampaign="All",$C28=fCampaign),OR(fTeam="All",$P28=fTeam),OR(fChannel="All",fChannel="LinkedIn Outreach"),OR(fMonth="All",$S28=fMonth)),1,0))</f>
        <v>0</v>
      </c>
      <c r="U28" s="71">
        <f>IF($C28="",0,IF(AND(OR(fClient="All",$B28=fClient),OR(fCampaign="All",$C28=fCampaign),OR(fTeam="All",$P28=fTeam),OR(fChannel="All",fChannel="LinkedIn Outreach")),1,0))</f>
        <v>0</v>
      </c>
    </row>
    <row r="29">
      <c r="A29" s="63" t="n"/>
      <c r="B29" s="64" t="n"/>
      <c r="C29" s="64" t="n"/>
      <c r="D29" s="64" t="n"/>
      <c r="E29" s="67" t="n"/>
      <c r="F29" s="67" t="n"/>
      <c r="G29" s="73" t="str">
        <f>IF(AND(ISNUMBER($E29),$E29&gt;0,ISNUMBER($F29)),$F29/$E29,"")</f>
        <v/>
      </c>
      <c r="H29" s="67" t="n"/>
      <c r="I29" s="67" t="n"/>
      <c r="J29" s="73" t="str">
        <f>IF(AND(ISNUMBER($H29),$H29&gt;0,ISNUMBER($I29)),$I29/$H29,"")</f>
        <v/>
      </c>
      <c r="K29" s="67" t="n"/>
      <c r="L29" s="73" t="str">
        <f>IF(AND(ISNUMBER($H29),$H29&gt;0,ISNUMBER($K29)),$K29/$H29,"")</f>
        <v/>
      </c>
      <c r="M29" s="67" t="n"/>
      <c r="N29" s="67" t="n"/>
      <c r="O29" s="67" t="n"/>
      <c r="P29" s="64" t="n"/>
      <c r="Q29" s="64" t="n"/>
      <c r="R29" s="65" t="n"/>
      <c r="S29" s="71" t="str">
        <f>IF(ISNUMBER($A29),YEAR($A29)&amp;"-"&amp;TEXT(MONTH($A29),"00"),"")</f>
        <v/>
      </c>
      <c r="T29" s="71">
        <f>IF($C29="",0,IF(AND(OR(fClient="All",$B29=fClient),OR(fCampaign="All",$C29=fCampaign),OR(fTeam="All",$P29=fTeam),OR(fChannel="All",fChannel="LinkedIn Outreach"),OR(fMonth="All",$S29=fMonth)),1,0))</f>
        <v>0</v>
      </c>
      <c r="U29" s="71">
        <f>IF($C29="",0,IF(AND(OR(fClient="All",$B29=fClient),OR(fCampaign="All",$C29=fCampaign),OR(fTeam="All",$P29=fTeam),OR(fChannel="All",fChannel="LinkedIn Outreach")),1,0))</f>
        <v>0</v>
      </c>
    </row>
    <row r="30">
      <c r="A30" s="63" t="n"/>
      <c r="B30" s="64" t="n"/>
      <c r="C30" s="64" t="n"/>
      <c r="D30" s="64" t="n"/>
      <c r="E30" s="67" t="n"/>
      <c r="F30" s="67" t="n"/>
      <c r="G30" s="73" t="str">
        <f>IF(AND(ISNUMBER($E30),$E30&gt;0,ISNUMBER($F30)),$F30/$E30,"")</f>
        <v/>
      </c>
      <c r="H30" s="67" t="n"/>
      <c r="I30" s="67" t="n"/>
      <c r="J30" s="73" t="str">
        <f>IF(AND(ISNUMBER($H30),$H30&gt;0,ISNUMBER($I30)),$I30/$H30,"")</f>
        <v/>
      </c>
      <c r="K30" s="67" t="n"/>
      <c r="L30" s="73" t="str">
        <f>IF(AND(ISNUMBER($H30),$H30&gt;0,ISNUMBER($K30)),$K30/$H30,"")</f>
        <v/>
      </c>
      <c r="M30" s="67" t="n"/>
      <c r="N30" s="67" t="n"/>
      <c r="O30" s="67" t="n"/>
      <c r="P30" s="64" t="n"/>
      <c r="Q30" s="64" t="n"/>
      <c r="R30" s="65" t="n"/>
      <c r="S30" s="71" t="str">
        <f>IF(ISNUMBER($A30),YEAR($A30)&amp;"-"&amp;TEXT(MONTH($A30),"00"),"")</f>
        <v/>
      </c>
      <c r="T30" s="71">
        <f>IF($C30="",0,IF(AND(OR(fClient="All",$B30=fClient),OR(fCampaign="All",$C30=fCampaign),OR(fTeam="All",$P30=fTeam),OR(fChannel="All",fChannel="LinkedIn Outreach"),OR(fMonth="All",$S30=fMonth)),1,0))</f>
        <v>0</v>
      </c>
      <c r="U30" s="71">
        <f>IF($C30="",0,IF(AND(OR(fClient="All",$B30=fClient),OR(fCampaign="All",$C30=fCampaign),OR(fTeam="All",$P30=fTeam),OR(fChannel="All",fChannel="LinkedIn Outreach")),1,0))</f>
        <v>0</v>
      </c>
    </row>
    <row r="31">
      <c r="A31" s="63" t="n"/>
      <c r="B31" s="64" t="n"/>
      <c r="C31" s="64" t="n"/>
      <c r="D31" s="64" t="n"/>
      <c r="E31" s="67" t="n"/>
      <c r="F31" s="67" t="n"/>
      <c r="G31" s="73" t="str">
        <f>IF(AND(ISNUMBER($E31),$E31&gt;0,ISNUMBER($F31)),$F31/$E31,"")</f>
        <v/>
      </c>
      <c r="H31" s="67" t="n"/>
      <c r="I31" s="67" t="n"/>
      <c r="J31" s="73" t="str">
        <f>IF(AND(ISNUMBER($H31),$H31&gt;0,ISNUMBER($I31)),$I31/$H31,"")</f>
        <v/>
      </c>
      <c r="K31" s="67" t="n"/>
      <c r="L31" s="73" t="str">
        <f>IF(AND(ISNUMBER($H31),$H31&gt;0,ISNUMBER($K31)),$K31/$H31,"")</f>
        <v/>
      </c>
      <c r="M31" s="67" t="n"/>
      <c r="N31" s="67" t="n"/>
      <c r="O31" s="67" t="n"/>
      <c r="P31" s="64" t="n"/>
      <c r="Q31" s="64" t="n"/>
      <c r="R31" s="65" t="n"/>
      <c r="S31" s="71" t="str">
        <f>IF(ISNUMBER($A31),YEAR($A31)&amp;"-"&amp;TEXT(MONTH($A31),"00"),"")</f>
        <v/>
      </c>
      <c r="T31" s="71">
        <f>IF($C31="",0,IF(AND(OR(fClient="All",$B31=fClient),OR(fCampaign="All",$C31=fCampaign),OR(fTeam="All",$P31=fTeam),OR(fChannel="All",fChannel="LinkedIn Outreach"),OR(fMonth="All",$S31=fMonth)),1,0))</f>
        <v>0</v>
      </c>
      <c r="U31" s="71">
        <f>IF($C31="",0,IF(AND(OR(fClient="All",$B31=fClient),OR(fCampaign="All",$C31=fCampaign),OR(fTeam="All",$P31=fTeam),OR(fChannel="All",fChannel="LinkedIn Outreach")),1,0))</f>
        <v>0</v>
      </c>
    </row>
    <row r="32">
      <c r="A32" s="63" t="n"/>
      <c r="B32" s="64" t="n"/>
      <c r="C32" s="64" t="n"/>
      <c r="D32" s="64" t="n"/>
      <c r="E32" s="67" t="n"/>
      <c r="F32" s="67" t="n"/>
      <c r="G32" s="73" t="str">
        <f>IF(AND(ISNUMBER($E32),$E32&gt;0,ISNUMBER($F32)),$F32/$E32,"")</f>
        <v/>
      </c>
      <c r="H32" s="67" t="n"/>
      <c r="I32" s="67" t="n"/>
      <c r="J32" s="73" t="str">
        <f>IF(AND(ISNUMBER($H32),$H32&gt;0,ISNUMBER($I32)),$I32/$H32,"")</f>
        <v/>
      </c>
      <c r="K32" s="67" t="n"/>
      <c r="L32" s="73" t="str">
        <f>IF(AND(ISNUMBER($H32),$H32&gt;0,ISNUMBER($K32)),$K32/$H32,"")</f>
        <v/>
      </c>
      <c r="M32" s="67" t="n"/>
      <c r="N32" s="67" t="n"/>
      <c r="O32" s="67" t="n"/>
      <c r="P32" s="64" t="n"/>
      <c r="Q32" s="64" t="n"/>
      <c r="R32" s="65" t="n"/>
      <c r="S32" s="71" t="str">
        <f>IF(ISNUMBER($A32),YEAR($A32)&amp;"-"&amp;TEXT(MONTH($A32),"00"),"")</f>
        <v/>
      </c>
      <c r="T32" s="71">
        <f>IF($C32="",0,IF(AND(OR(fClient="All",$B32=fClient),OR(fCampaign="All",$C32=fCampaign),OR(fTeam="All",$P32=fTeam),OR(fChannel="All",fChannel="LinkedIn Outreach"),OR(fMonth="All",$S32=fMonth)),1,0))</f>
        <v>0</v>
      </c>
      <c r="U32" s="71">
        <f>IF($C32="",0,IF(AND(OR(fClient="All",$B32=fClient),OR(fCampaign="All",$C32=fCampaign),OR(fTeam="All",$P32=fTeam),OR(fChannel="All",fChannel="LinkedIn Outreach")),1,0))</f>
        <v>0</v>
      </c>
    </row>
    <row r="33">
      <c r="A33" s="63" t="n"/>
      <c r="B33" s="64" t="n"/>
      <c r="C33" s="64" t="n"/>
      <c r="D33" s="64" t="n"/>
      <c r="E33" s="67" t="n"/>
      <c r="F33" s="67" t="n"/>
      <c r="G33" s="73" t="str">
        <f>IF(AND(ISNUMBER($E33),$E33&gt;0,ISNUMBER($F33)),$F33/$E33,"")</f>
        <v/>
      </c>
      <c r="H33" s="67" t="n"/>
      <c r="I33" s="67" t="n"/>
      <c r="J33" s="73" t="str">
        <f>IF(AND(ISNUMBER($H33),$H33&gt;0,ISNUMBER($I33)),$I33/$H33,"")</f>
        <v/>
      </c>
      <c r="K33" s="67" t="n"/>
      <c r="L33" s="73" t="str">
        <f>IF(AND(ISNUMBER($H33),$H33&gt;0,ISNUMBER($K33)),$K33/$H33,"")</f>
        <v/>
      </c>
      <c r="M33" s="67" t="n"/>
      <c r="N33" s="67" t="n"/>
      <c r="O33" s="67" t="n"/>
      <c r="P33" s="64" t="n"/>
      <c r="Q33" s="64" t="n"/>
      <c r="R33" s="65" t="n"/>
      <c r="S33" s="71" t="str">
        <f>IF(ISNUMBER($A33),YEAR($A33)&amp;"-"&amp;TEXT(MONTH($A33),"00"),"")</f>
        <v/>
      </c>
      <c r="T33" s="71">
        <f>IF($C33="",0,IF(AND(OR(fClient="All",$B33=fClient),OR(fCampaign="All",$C33=fCampaign),OR(fTeam="All",$P33=fTeam),OR(fChannel="All",fChannel="LinkedIn Outreach"),OR(fMonth="All",$S33=fMonth)),1,0))</f>
        <v>0</v>
      </c>
      <c r="U33" s="71">
        <f>IF($C33="",0,IF(AND(OR(fClient="All",$B33=fClient),OR(fCampaign="All",$C33=fCampaign),OR(fTeam="All",$P33=fTeam),OR(fChannel="All",fChannel="LinkedIn Outreach")),1,0))</f>
        <v>0</v>
      </c>
    </row>
    <row r="34">
      <c r="A34" s="63" t="n"/>
      <c r="B34" s="64" t="n"/>
      <c r="C34" s="64" t="n"/>
      <c r="D34" s="64" t="n"/>
      <c r="E34" s="67" t="n"/>
      <c r="F34" s="67" t="n"/>
      <c r="G34" s="73" t="str">
        <f>IF(AND(ISNUMBER($E34),$E34&gt;0,ISNUMBER($F34)),$F34/$E34,"")</f>
        <v/>
      </c>
      <c r="H34" s="67" t="n"/>
      <c r="I34" s="67" t="n"/>
      <c r="J34" s="73" t="str">
        <f>IF(AND(ISNUMBER($H34),$H34&gt;0,ISNUMBER($I34)),$I34/$H34,"")</f>
        <v/>
      </c>
      <c r="K34" s="67" t="n"/>
      <c r="L34" s="73" t="str">
        <f>IF(AND(ISNUMBER($H34),$H34&gt;0,ISNUMBER($K34)),$K34/$H34,"")</f>
        <v/>
      </c>
      <c r="M34" s="67" t="n"/>
      <c r="N34" s="67" t="n"/>
      <c r="O34" s="67" t="n"/>
      <c r="P34" s="64" t="n"/>
      <c r="Q34" s="64" t="n"/>
      <c r="R34" s="65" t="n"/>
      <c r="S34" s="71" t="str">
        <f>IF(ISNUMBER($A34),YEAR($A34)&amp;"-"&amp;TEXT(MONTH($A34),"00"),"")</f>
        <v/>
      </c>
      <c r="T34" s="71">
        <f>IF($C34="",0,IF(AND(OR(fClient="All",$B34=fClient),OR(fCampaign="All",$C34=fCampaign),OR(fTeam="All",$P34=fTeam),OR(fChannel="All",fChannel="LinkedIn Outreach"),OR(fMonth="All",$S34=fMonth)),1,0))</f>
        <v>0</v>
      </c>
      <c r="U34" s="71">
        <f>IF($C34="",0,IF(AND(OR(fClient="All",$B34=fClient),OR(fCampaign="All",$C34=fCampaign),OR(fTeam="All",$P34=fTeam),OR(fChannel="All",fChannel="LinkedIn Outreach")),1,0))</f>
        <v>0</v>
      </c>
    </row>
    <row r="35">
      <c r="A35" s="63" t="n"/>
      <c r="B35" s="64" t="n"/>
      <c r="C35" s="64" t="n"/>
      <c r="D35" s="64" t="n"/>
      <c r="E35" s="67" t="n"/>
      <c r="F35" s="67" t="n"/>
      <c r="G35" s="73" t="str">
        <f>IF(AND(ISNUMBER($E35),$E35&gt;0,ISNUMBER($F35)),$F35/$E35,"")</f>
        <v/>
      </c>
      <c r="H35" s="67" t="n"/>
      <c r="I35" s="67" t="n"/>
      <c r="J35" s="73" t="str">
        <f>IF(AND(ISNUMBER($H35),$H35&gt;0,ISNUMBER($I35)),$I35/$H35,"")</f>
        <v/>
      </c>
      <c r="K35" s="67" t="n"/>
      <c r="L35" s="73" t="str">
        <f>IF(AND(ISNUMBER($H35),$H35&gt;0,ISNUMBER($K35)),$K35/$H35,"")</f>
        <v/>
      </c>
      <c r="M35" s="67" t="n"/>
      <c r="N35" s="67" t="n"/>
      <c r="O35" s="67" t="n"/>
      <c r="P35" s="64" t="n"/>
      <c r="Q35" s="64" t="n"/>
      <c r="R35" s="65" t="n"/>
      <c r="S35" s="71" t="str">
        <f>IF(ISNUMBER($A35),YEAR($A35)&amp;"-"&amp;TEXT(MONTH($A35),"00"),"")</f>
        <v/>
      </c>
      <c r="T35" s="71">
        <f>IF($C35="",0,IF(AND(OR(fClient="All",$B35=fClient),OR(fCampaign="All",$C35=fCampaign),OR(fTeam="All",$P35=fTeam),OR(fChannel="All",fChannel="LinkedIn Outreach"),OR(fMonth="All",$S35=fMonth)),1,0))</f>
        <v>0</v>
      </c>
      <c r="U35" s="71">
        <f>IF($C35="",0,IF(AND(OR(fClient="All",$B35=fClient),OR(fCampaign="All",$C35=fCampaign),OR(fTeam="All",$P35=fTeam),OR(fChannel="All",fChannel="LinkedIn Outreach")),1,0))</f>
        <v>0</v>
      </c>
    </row>
    <row r="36">
      <c r="A36" s="63" t="n"/>
      <c r="B36" s="64" t="n"/>
      <c r="C36" s="64" t="n"/>
      <c r="D36" s="64" t="n"/>
      <c r="E36" s="67" t="n"/>
      <c r="F36" s="67" t="n"/>
      <c r="G36" s="73" t="str">
        <f>IF(AND(ISNUMBER($E36),$E36&gt;0,ISNUMBER($F36)),$F36/$E36,"")</f>
        <v/>
      </c>
      <c r="H36" s="67" t="n"/>
      <c r="I36" s="67" t="n"/>
      <c r="J36" s="73" t="str">
        <f>IF(AND(ISNUMBER($H36),$H36&gt;0,ISNUMBER($I36)),$I36/$H36,"")</f>
        <v/>
      </c>
      <c r="K36" s="67" t="n"/>
      <c r="L36" s="73" t="str">
        <f>IF(AND(ISNUMBER($H36),$H36&gt;0,ISNUMBER($K36)),$K36/$H36,"")</f>
        <v/>
      </c>
      <c r="M36" s="67" t="n"/>
      <c r="N36" s="67" t="n"/>
      <c r="O36" s="67" t="n"/>
      <c r="P36" s="64" t="n"/>
      <c r="Q36" s="64" t="n"/>
      <c r="R36" s="65" t="n"/>
      <c r="S36" s="71" t="str">
        <f>IF(ISNUMBER($A36),YEAR($A36)&amp;"-"&amp;TEXT(MONTH($A36),"00"),"")</f>
        <v/>
      </c>
      <c r="T36" s="71">
        <f>IF($C36="",0,IF(AND(OR(fClient="All",$B36=fClient),OR(fCampaign="All",$C36=fCampaign),OR(fTeam="All",$P36=fTeam),OR(fChannel="All",fChannel="LinkedIn Outreach"),OR(fMonth="All",$S36=fMonth)),1,0))</f>
        <v>0</v>
      </c>
      <c r="U36" s="71">
        <f>IF($C36="",0,IF(AND(OR(fClient="All",$B36=fClient),OR(fCampaign="All",$C36=fCampaign),OR(fTeam="All",$P36=fTeam),OR(fChannel="All",fChannel="LinkedIn Outreach")),1,0))</f>
        <v>0</v>
      </c>
    </row>
    <row r="37">
      <c r="A37" s="63" t="n"/>
      <c r="B37" s="64" t="n"/>
      <c r="C37" s="64" t="n"/>
      <c r="D37" s="64" t="n"/>
      <c r="E37" s="67" t="n"/>
      <c r="F37" s="67" t="n"/>
      <c r="G37" s="73" t="str">
        <f>IF(AND(ISNUMBER($E37),$E37&gt;0,ISNUMBER($F37)),$F37/$E37,"")</f>
        <v/>
      </c>
      <c r="H37" s="67" t="n"/>
      <c r="I37" s="67" t="n"/>
      <c r="J37" s="73" t="str">
        <f>IF(AND(ISNUMBER($H37),$H37&gt;0,ISNUMBER($I37)),$I37/$H37,"")</f>
        <v/>
      </c>
      <c r="K37" s="67" t="n"/>
      <c r="L37" s="73" t="str">
        <f>IF(AND(ISNUMBER($H37),$H37&gt;0,ISNUMBER($K37)),$K37/$H37,"")</f>
        <v/>
      </c>
      <c r="M37" s="67" t="n"/>
      <c r="N37" s="67" t="n"/>
      <c r="O37" s="67" t="n"/>
      <c r="P37" s="64" t="n"/>
      <c r="Q37" s="64" t="n"/>
      <c r="R37" s="65" t="n"/>
      <c r="S37" s="71" t="str">
        <f>IF(ISNUMBER($A37),YEAR($A37)&amp;"-"&amp;TEXT(MONTH($A37),"00"),"")</f>
        <v/>
      </c>
      <c r="T37" s="71">
        <f>IF($C37="",0,IF(AND(OR(fClient="All",$B37=fClient),OR(fCampaign="All",$C37=fCampaign),OR(fTeam="All",$P37=fTeam),OR(fChannel="All",fChannel="LinkedIn Outreach"),OR(fMonth="All",$S37=fMonth)),1,0))</f>
        <v>0</v>
      </c>
      <c r="U37" s="71">
        <f>IF($C37="",0,IF(AND(OR(fClient="All",$B37=fClient),OR(fCampaign="All",$C37=fCampaign),OR(fTeam="All",$P37=fTeam),OR(fChannel="All",fChannel="LinkedIn Outreach")),1,0))</f>
        <v>0</v>
      </c>
    </row>
    <row r="38">
      <c r="A38" s="63" t="n"/>
      <c r="B38" s="64" t="n"/>
      <c r="C38" s="64" t="n"/>
      <c r="D38" s="64" t="n"/>
      <c r="E38" s="67" t="n"/>
      <c r="F38" s="67" t="n"/>
      <c r="G38" s="73" t="str">
        <f>IF(AND(ISNUMBER($E38),$E38&gt;0,ISNUMBER($F38)),$F38/$E38,"")</f>
        <v/>
      </c>
      <c r="H38" s="67" t="n"/>
      <c r="I38" s="67" t="n"/>
      <c r="J38" s="73" t="str">
        <f>IF(AND(ISNUMBER($H38),$H38&gt;0,ISNUMBER($I38)),$I38/$H38,"")</f>
        <v/>
      </c>
      <c r="K38" s="67" t="n"/>
      <c r="L38" s="73" t="str">
        <f>IF(AND(ISNUMBER($H38),$H38&gt;0,ISNUMBER($K38)),$K38/$H38,"")</f>
        <v/>
      </c>
      <c r="M38" s="67" t="n"/>
      <c r="N38" s="67" t="n"/>
      <c r="O38" s="67" t="n"/>
      <c r="P38" s="64" t="n"/>
      <c r="Q38" s="64" t="n"/>
      <c r="R38" s="65" t="n"/>
      <c r="S38" s="71" t="str">
        <f>IF(ISNUMBER($A38),YEAR($A38)&amp;"-"&amp;TEXT(MONTH($A38),"00"),"")</f>
        <v/>
      </c>
      <c r="T38" s="71">
        <f>IF($C38="",0,IF(AND(OR(fClient="All",$B38=fClient),OR(fCampaign="All",$C38=fCampaign),OR(fTeam="All",$P38=fTeam),OR(fChannel="All",fChannel="LinkedIn Outreach"),OR(fMonth="All",$S38=fMonth)),1,0))</f>
        <v>0</v>
      </c>
      <c r="U38" s="71">
        <f>IF($C38="",0,IF(AND(OR(fClient="All",$B38=fClient),OR(fCampaign="All",$C38=fCampaign),OR(fTeam="All",$P38=fTeam),OR(fChannel="All",fChannel="LinkedIn Outreach")),1,0))</f>
        <v>0</v>
      </c>
    </row>
    <row r="39">
      <c r="A39" s="63" t="n"/>
      <c r="B39" s="64" t="n"/>
      <c r="C39" s="64" t="n"/>
      <c r="D39" s="64" t="n"/>
      <c r="E39" s="67" t="n"/>
      <c r="F39" s="67" t="n"/>
      <c r="G39" s="73" t="str">
        <f>IF(AND(ISNUMBER($E39),$E39&gt;0,ISNUMBER($F39)),$F39/$E39,"")</f>
        <v/>
      </c>
      <c r="H39" s="67" t="n"/>
      <c r="I39" s="67" t="n"/>
      <c r="J39" s="73" t="str">
        <f>IF(AND(ISNUMBER($H39),$H39&gt;0,ISNUMBER($I39)),$I39/$H39,"")</f>
        <v/>
      </c>
      <c r="K39" s="67" t="n"/>
      <c r="L39" s="73" t="str">
        <f>IF(AND(ISNUMBER($H39),$H39&gt;0,ISNUMBER($K39)),$K39/$H39,"")</f>
        <v/>
      </c>
      <c r="M39" s="67" t="n"/>
      <c r="N39" s="67" t="n"/>
      <c r="O39" s="67" t="n"/>
      <c r="P39" s="64" t="n"/>
      <c r="Q39" s="64" t="n"/>
      <c r="R39" s="65" t="n"/>
      <c r="S39" s="71" t="str">
        <f>IF(ISNUMBER($A39),YEAR($A39)&amp;"-"&amp;TEXT(MONTH($A39),"00"),"")</f>
        <v/>
      </c>
      <c r="T39" s="71">
        <f>IF($C39="",0,IF(AND(OR(fClient="All",$B39=fClient),OR(fCampaign="All",$C39=fCampaign),OR(fTeam="All",$P39=fTeam),OR(fChannel="All",fChannel="LinkedIn Outreach"),OR(fMonth="All",$S39=fMonth)),1,0))</f>
        <v>0</v>
      </c>
      <c r="U39" s="71">
        <f>IF($C39="",0,IF(AND(OR(fClient="All",$B39=fClient),OR(fCampaign="All",$C39=fCampaign),OR(fTeam="All",$P39=fTeam),OR(fChannel="All",fChannel="LinkedIn Outreach")),1,0))</f>
        <v>0</v>
      </c>
    </row>
    <row r="40">
      <c r="A40" s="63" t="n"/>
      <c r="B40" s="64" t="n"/>
      <c r="C40" s="64" t="n"/>
      <c r="D40" s="64" t="n"/>
      <c r="E40" s="67" t="n"/>
      <c r="F40" s="67" t="n"/>
      <c r="G40" s="73" t="str">
        <f>IF(AND(ISNUMBER($E40),$E40&gt;0,ISNUMBER($F40)),$F40/$E40,"")</f>
        <v/>
      </c>
      <c r="H40" s="67" t="n"/>
      <c r="I40" s="67" t="n"/>
      <c r="J40" s="73" t="str">
        <f>IF(AND(ISNUMBER($H40),$H40&gt;0,ISNUMBER($I40)),$I40/$H40,"")</f>
        <v/>
      </c>
      <c r="K40" s="67" t="n"/>
      <c r="L40" s="73" t="str">
        <f>IF(AND(ISNUMBER($H40),$H40&gt;0,ISNUMBER($K40)),$K40/$H40,"")</f>
        <v/>
      </c>
      <c r="M40" s="67" t="n"/>
      <c r="N40" s="67" t="n"/>
      <c r="O40" s="67" t="n"/>
      <c r="P40" s="64" t="n"/>
      <c r="Q40" s="64" t="n"/>
      <c r="R40" s="65" t="n"/>
      <c r="S40" s="71" t="str">
        <f>IF(ISNUMBER($A40),YEAR($A40)&amp;"-"&amp;TEXT(MONTH($A40),"00"),"")</f>
        <v/>
      </c>
      <c r="T40" s="71">
        <f>IF($C40="",0,IF(AND(OR(fClient="All",$B40=fClient),OR(fCampaign="All",$C40=fCampaign),OR(fTeam="All",$P40=fTeam),OR(fChannel="All",fChannel="LinkedIn Outreach"),OR(fMonth="All",$S40=fMonth)),1,0))</f>
        <v>0</v>
      </c>
      <c r="U40" s="71">
        <f>IF($C40="",0,IF(AND(OR(fClient="All",$B40=fClient),OR(fCampaign="All",$C40=fCampaign),OR(fTeam="All",$P40=fTeam),OR(fChannel="All",fChannel="LinkedIn Outreach")),1,0))</f>
        <v>0</v>
      </c>
    </row>
    <row r="41">
      <c r="A41" s="63" t="n"/>
      <c r="B41" s="64" t="n"/>
      <c r="C41" s="64" t="n"/>
      <c r="D41" s="64" t="n"/>
      <c r="E41" s="67" t="n"/>
      <c r="F41" s="67" t="n"/>
      <c r="G41" s="73" t="str">
        <f>IF(AND(ISNUMBER($E41),$E41&gt;0,ISNUMBER($F41)),$F41/$E41,"")</f>
        <v/>
      </c>
      <c r="H41" s="67" t="n"/>
      <c r="I41" s="67" t="n"/>
      <c r="J41" s="73" t="str">
        <f>IF(AND(ISNUMBER($H41),$H41&gt;0,ISNUMBER($I41)),$I41/$H41,"")</f>
        <v/>
      </c>
      <c r="K41" s="67" t="n"/>
      <c r="L41" s="73" t="str">
        <f>IF(AND(ISNUMBER($H41),$H41&gt;0,ISNUMBER($K41)),$K41/$H41,"")</f>
        <v/>
      </c>
      <c r="M41" s="67" t="n"/>
      <c r="N41" s="67" t="n"/>
      <c r="O41" s="67" t="n"/>
      <c r="P41" s="64" t="n"/>
      <c r="Q41" s="64" t="n"/>
      <c r="R41" s="65" t="n"/>
      <c r="S41" s="71" t="str">
        <f>IF(ISNUMBER($A41),YEAR($A41)&amp;"-"&amp;TEXT(MONTH($A41),"00"),"")</f>
        <v/>
      </c>
      <c r="T41" s="71">
        <f>IF($C41="",0,IF(AND(OR(fClient="All",$B41=fClient),OR(fCampaign="All",$C41=fCampaign),OR(fTeam="All",$P41=fTeam),OR(fChannel="All",fChannel="LinkedIn Outreach"),OR(fMonth="All",$S41=fMonth)),1,0))</f>
        <v>0</v>
      </c>
      <c r="U41" s="71">
        <f>IF($C41="",0,IF(AND(OR(fClient="All",$B41=fClient),OR(fCampaign="All",$C41=fCampaign),OR(fTeam="All",$P41=fTeam),OR(fChannel="All",fChannel="LinkedIn Outreach")),1,0))</f>
        <v>0</v>
      </c>
    </row>
    <row r="42">
      <c r="A42" s="63" t="n"/>
      <c r="B42" s="64" t="n"/>
      <c r="C42" s="64" t="n"/>
      <c r="D42" s="64" t="n"/>
      <c r="E42" s="67" t="n"/>
      <c r="F42" s="67" t="n"/>
      <c r="G42" s="73" t="str">
        <f>IF(AND(ISNUMBER($E42),$E42&gt;0,ISNUMBER($F42)),$F42/$E42,"")</f>
        <v/>
      </c>
      <c r="H42" s="67" t="n"/>
      <c r="I42" s="67" t="n"/>
      <c r="J42" s="73" t="str">
        <f>IF(AND(ISNUMBER($H42),$H42&gt;0,ISNUMBER($I42)),$I42/$H42,"")</f>
        <v/>
      </c>
      <c r="K42" s="67" t="n"/>
      <c r="L42" s="73" t="str">
        <f>IF(AND(ISNUMBER($H42),$H42&gt;0,ISNUMBER($K42)),$K42/$H42,"")</f>
        <v/>
      </c>
      <c r="M42" s="67" t="n"/>
      <c r="N42" s="67" t="n"/>
      <c r="O42" s="67" t="n"/>
      <c r="P42" s="64" t="n"/>
      <c r="Q42" s="64" t="n"/>
      <c r="R42" s="65" t="n"/>
      <c r="S42" s="71" t="str">
        <f>IF(ISNUMBER($A42),YEAR($A42)&amp;"-"&amp;TEXT(MONTH($A42),"00"),"")</f>
        <v/>
      </c>
      <c r="T42" s="71">
        <f>IF($C42="",0,IF(AND(OR(fClient="All",$B42=fClient),OR(fCampaign="All",$C42=fCampaign),OR(fTeam="All",$P42=fTeam),OR(fChannel="All",fChannel="LinkedIn Outreach"),OR(fMonth="All",$S42=fMonth)),1,0))</f>
        <v>0</v>
      </c>
      <c r="U42" s="71">
        <f>IF($C42="",0,IF(AND(OR(fClient="All",$B42=fClient),OR(fCampaign="All",$C42=fCampaign),OR(fTeam="All",$P42=fTeam),OR(fChannel="All",fChannel="LinkedIn Outreach")),1,0))</f>
        <v>0</v>
      </c>
    </row>
    <row r="43">
      <c r="A43" s="63" t="n"/>
      <c r="B43" s="64" t="n"/>
      <c r="C43" s="64" t="n"/>
      <c r="D43" s="64" t="n"/>
      <c r="E43" s="67" t="n"/>
      <c r="F43" s="67" t="n"/>
      <c r="G43" s="73" t="str">
        <f>IF(AND(ISNUMBER($E43),$E43&gt;0,ISNUMBER($F43)),$F43/$E43,"")</f>
        <v/>
      </c>
      <c r="H43" s="67" t="n"/>
      <c r="I43" s="67" t="n"/>
      <c r="J43" s="73" t="str">
        <f>IF(AND(ISNUMBER($H43),$H43&gt;0,ISNUMBER($I43)),$I43/$H43,"")</f>
        <v/>
      </c>
      <c r="K43" s="67" t="n"/>
      <c r="L43" s="73" t="str">
        <f>IF(AND(ISNUMBER($H43),$H43&gt;0,ISNUMBER($K43)),$K43/$H43,"")</f>
        <v/>
      </c>
      <c r="M43" s="67" t="n"/>
      <c r="N43" s="67" t="n"/>
      <c r="O43" s="67" t="n"/>
      <c r="P43" s="64" t="n"/>
      <c r="Q43" s="64" t="n"/>
      <c r="R43" s="65" t="n"/>
      <c r="S43" s="71" t="str">
        <f>IF(ISNUMBER($A43),YEAR($A43)&amp;"-"&amp;TEXT(MONTH($A43),"00"),"")</f>
        <v/>
      </c>
      <c r="T43" s="71">
        <f>IF($C43="",0,IF(AND(OR(fClient="All",$B43=fClient),OR(fCampaign="All",$C43=fCampaign),OR(fTeam="All",$P43=fTeam),OR(fChannel="All",fChannel="LinkedIn Outreach"),OR(fMonth="All",$S43=fMonth)),1,0))</f>
        <v>0</v>
      </c>
      <c r="U43" s="71">
        <f>IF($C43="",0,IF(AND(OR(fClient="All",$B43=fClient),OR(fCampaign="All",$C43=fCampaign),OR(fTeam="All",$P43=fTeam),OR(fChannel="All",fChannel="LinkedIn Outreach")),1,0))</f>
        <v>0</v>
      </c>
    </row>
    <row r="44">
      <c r="A44" s="63" t="n"/>
      <c r="B44" s="64" t="n"/>
      <c r="C44" s="64" t="n"/>
      <c r="D44" s="64" t="n"/>
      <c r="E44" s="67" t="n"/>
      <c r="F44" s="67" t="n"/>
      <c r="G44" s="73" t="str">
        <f>IF(AND(ISNUMBER($E44),$E44&gt;0,ISNUMBER($F44)),$F44/$E44,"")</f>
        <v/>
      </c>
      <c r="H44" s="67" t="n"/>
      <c r="I44" s="67" t="n"/>
      <c r="J44" s="73" t="str">
        <f>IF(AND(ISNUMBER($H44),$H44&gt;0,ISNUMBER($I44)),$I44/$H44,"")</f>
        <v/>
      </c>
      <c r="K44" s="67" t="n"/>
      <c r="L44" s="73" t="str">
        <f>IF(AND(ISNUMBER($H44),$H44&gt;0,ISNUMBER($K44)),$K44/$H44,"")</f>
        <v/>
      </c>
      <c r="M44" s="67" t="n"/>
      <c r="N44" s="67" t="n"/>
      <c r="O44" s="67" t="n"/>
      <c r="P44" s="64" t="n"/>
      <c r="Q44" s="64" t="n"/>
      <c r="R44" s="65" t="n"/>
      <c r="S44" s="71" t="str">
        <f>IF(ISNUMBER($A44),YEAR($A44)&amp;"-"&amp;TEXT(MONTH($A44),"00"),"")</f>
        <v/>
      </c>
      <c r="T44" s="71">
        <f>IF($C44="",0,IF(AND(OR(fClient="All",$B44=fClient),OR(fCampaign="All",$C44=fCampaign),OR(fTeam="All",$P44=fTeam),OR(fChannel="All",fChannel="LinkedIn Outreach"),OR(fMonth="All",$S44=fMonth)),1,0))</f>
        <v>0</v>
      </c>
      <c r="U44" s="71">
        <f>IF($C44="",0,IF(AND(OR(fClient="All",$B44=fClient),OR(fCampaign="All",$C44=fCampaign),OR(fTeam="All",$P44=fTeam),OR(fChannel="All",fChannel="LinkedIn Outreach")),1,0))</f>
        <v>0</v>
      </c>
    </row>
    <row r="45">
      <c r="A45" s="63" t="n"/>
      <c r="B45" s="64" t="n"/>
      <c r="C45" s="64" t="n"/>
      <c r="D45" s="64" t="n"/>
      <c r="E45" s="67" t="n"/>
      <c r="F45" s="67" t="n"/>
      <c r="G45" s="73" t="str">
        <f>IF(AND(ISNUMBER($E45),$E45&gt;0,ISNUMBER($F45)),$F45/$E45,"")</f>
        <v/>
      </c>
      <c r="H45" s="67" t="n"/>
      <c r="I45" s="67" t="n"/>
      <c r="J45" s="73" t="str">
        <f>IF(AND(ISNUMBER($H45),$H45&gt;0,ISNUMBER($I45)),$I45/$H45,"")</f>
        <v/>
      </c>
      <c r="K45" s="67" t="n"/>
      <c r="L45" s="73" t="str">
        <f>IF(AND(ISNUMBER($H45),$H45&gt;0,ISNUMBER($K45)),$K45/$H45,"")</f>
        <v/>
      </c>
      <c r="M45" s="67" t="n"/>
      <c r="N45" s="67" t="n"/>
      <c r="O45" s="67" t="n"/>
      <c r="P45" s="64" t="n"/>
      <c r="Q45" s="64" t="n"/>
      <c r="R45" s="65" t="n"/>
      <c r="S45" s="71" t="str">
        <f>IF(ISNUMBER($A45),YEAR($A45)&amp;"-"&amp;TEXT(MONTH($A45),"00"),"")</f>
        <v/>
      </c>
      <c r="T45" s="71">
        <f>IF($C45="",0,IF(AND(OR(fClient="All",$B45=fClient),OR(fCampaign="All",$C45=fCampaign),OR(fTeam="All",$P45=fTeam),OR(fChannel="All",fChannel="LinkedIn Outreach"),OR(fMonth="All",$S45=fMonth)),1,0))</f>
        <v>0</v>
      </c>
      <c r="U45" s="71">
        <f>IF($C45="",0,IF(AND(OR(fClient="All",$B45=fClient),OR(fCampaign="All",$C45=fCampaign),OR(fTeam="All",$P45=fTeam),OR(fChannel="All",fChannel="LinkedIn Outreach")),1,0))</f>
        <v>0</v>
      </c>
    </row>
    <row r="46">
      <c r="A46" s="63" t="n"/>
      <c r="B46" s="64" t="n"/>
      <c r="C46" s="64" t="n"/>
      <c r="D46" s="64" t="n"/>
      <c r="E46" s="67" t="n"/>
      <c r="F46" s="67" t="n"/>
      <c r="G46" s="73" t="str">
        <f>IF(AND(ISNUMBER($E46),$E46&gt;0,ISNUMBER($F46)),$F46/$E46,"")</f>
        <v/>
      </c>
      <c r="H46" s="67" t="n"/>
      <c r="I46" s="67" t="n"/>
      <c r="J46" s="73" t="str">
        <f>IF(AND(ISNUMBER($H46),$H46&gt;0,ISNUMBER($I46)),$I46/$H46,"")</f>
        <v/>
      </c>
      <c r="K46" s="67" t="n"/>
      <c r="L46" s="73" t="str">
        <f>IF(AND(ISNUMBER($H46),$H46&gt;0,ISNUMBER($K46)),$K46/$H46,"")</f>
        <v/>
      </c>
      <c r="M46" s="67" t="n"/>
      <c r="N46" s="67" t="n"/>
      <c r="O46" s="67" t="n"/>
      <c r="P46" s="64" t="n"/>
      <c r="Q46" s="64" t="n"/>
      <c r="R46" s="65" t="n"/>
      <c r="S46" s="71" t="str">
        <f>IF(ISNUMBER($A46),YEAR($A46)&amp;"-"&amp;TEXT(MONTH($A46),"00"),"")</f>
        <v/>
      </c>
      <c r="T46" s="71">
        <f>IF($C46="",0,IF(AND(OR(fClient="All",$B46=fClient),OR(fCampaign="All",$C46=fCampaign),OR(fTeam="All",$P46=fTeam),OR(fChannel="All",fChannel="LinkedIn Outreach"),OR(fMonth="All",$S46=fMonth)),1,0))</f>
        <v>0</v>
      </c>
      <c r="U46" s="71">
        <f>IF($C46="",0,IF(AND(OR(fClient="All",$B46=fClient),OR(fCampaign="All",$C46=fCampaign),OR(fTeam="All",$P46=fTeam),OR(fChannel="All",fChannel="LinkedIn Outreach")),1,0))</f>
        <v>0</v>
      </c>
    </row>
    <row r="47">
      <c r="A47" s="63" t="n"/>
      <c r="B47" s="64" t="n"/>
      <c r="C47" s="64" t="n"/>
      <c r="D47" s="64" t="n"/>
      <c r="E47" s="67" t="n"/>
      <c r="F47" s="67" t="n"/>
      <c r="G47" s="73" t="str">
        <f>IF(AND(ISNUMBER($E47),$E47&gt;0,ISNUMBER($F47)),$F47/$E47,"")</f>
        <v/>
      </c>
      <c r="H47" s="67" t="n"/>
      <c r="I47" s="67" t="n"/>
      <c r="J47" s="73" t="str">
        <f>IF(AND(ISNUMBER($H47),$H47&gt;0,ISNUMBER($I47)),$I47/$H47,"")</f>
        <v/>
      </c>
      <c r="K47" s="67" t="n"/>
      <c r="L47" s="73" t="str">
        <f>IF(AND(ISNUMBER($H47),$H47&gt;0,ISNUMBER($K47)),$K47/$H47,"")</f>
        <v/>
      </c>
      <c r="M47" s="67" t="n"/>
      <c r="N47" s="67" t="n"/>
      <c r="O47" s="67" t="n"/>
      <c r="P47" s="64" t="n"/>
      <c r="Q47" s="64" t="n"/>
      <c r="R47" s="65" t="n"/>
      <c r="S47" s="71" t="str">
        <f>IF(ISNUMBER($A47),YEAR($A47)&amp;"-"&amp;TEXT(MONTH($A47),"00"),"")</f>
        <v/>
      </c>
      <c r="T47" s="71">
        <f>IF($C47="",0,IF(AND(OR(fClient="All",$B47=fClient),OR(fCampaign="All",$C47=fCampaign),OR(fTeam="All",$P47=fTeam),OR(fChannel="All",fChannel="LinkedIn Outreach"),OR(fMonth="All",$S47=fMonth)),1,0))</f>
        <v>0</v>
      </c>
      <c r="U47" s="71">
        <f>IF($C47="",0,IF(AND(OR(fClient="All",$B47=fClient),OR(fCampaign="All",$C47=fCampaign),OR(fTeam="All",$P47=fTeam),OR(fChannel="All",fChannel="LinkedIn Outreach")),1,0))</f>
        <v>0</v>
      </c>
    </row>
    <row r="48">
      <c r="A48" s="63" t="n"/>
      <c r="B48" s="64" t="n"/>
      <c r="C48" s="64" t="n"/>
      <c r="D48" s="64" t="n"/>
      <c r="E48" s="67" t="n"/>
      <c r="F48" s="67" t="n"/>
      <c r="G48" s="73" t="str">
        <f>IF(AND(ISNUMBER($E48),$E48&gt;0,ISNUMBER($F48)),$F48/$E48,"")</f>
        <v/>
      </c>
      <c r="H48" s="67" t="n"/>
      <c r="I48" s="67" t="n"/>
      <c r="J48" s="73" t="str">
        <f>IF(AND(ISNUMBER($H48),$H48&gt;0,ISNUMBER($I48)),$I48/$H48,"")</f>
        <v/>
      </c>
      <c r="K48" s="67" t="n"/>
      <c r="L48" s="73" t="str">
        <f>IF(AND(ISNUMBER($H48),$H48&gt;0,ISNUMBER($K48)),$K48/$H48,"")</f>
        <v/>
      </c>
      <c r="M48" s="67" t="n"/>
      <c r="N48" s="67" t="n"/>
      <c r="O48" s="67" t="n"/>
      <c r="P48" s="64" t="n"/>
      <c r="Q48" s="64" t="n"/>
      <c r="R48" s="65" t="n"/>
      <c r="S48" s="71" t="str">
        <f>IF(ISNUMBER($A48),YEAR($A48)&amp;"-"&amp;TEXT(MONTH($A48),"00"),"")</f>
        <v/>
      </c>
      <c r="T48" s="71">
        <f>IF($C48="",0,IF(AND(OR(fClient="All",$B48=fClient),OR(fCampaign="All",$C48=fCampaign),OR(fTeam="All",$P48=fTeam),OR(fChannel="All",fChannel="LinkedIn Outreach"),OR(fMonth="All",$S48=fMonth)),1,0))</f>
        <v>0</v>
      </c>
      <c r="U48" s="71">
        <f>IF($C48="",0,IF(AND(OR(fClient="All",$B48=fClient),OR(fCampaign="All",$C48=fCampaign),OR(fTeam="All",$P48=fTeam),OR(fChannel="All",fChannel="LinkedIn Outreach")),1,0))</f>
        <v>0</v>
      </c>
    </row>
    <row r="49">
      <c r="A49" s="63" t="n"/>
      <c r="B49" s="64" t="n"/>
      <c r="C49" s="64" t="n"/>
      <c r="D49" s="64" t="n"/>
      <c r="E49" s="67" t="n"/>
      <c r="F49" s="67" t="n"/>
      <c r="G49" s="73" t="str">
        <f>IF(AND(ISNUMBER($E49),$E49&gt;0,ISNUMBER($F49)),$F49/$E49,"")</f>
        <v/>
      </c>
      <c r="H49" s="67" t="n"/>
      <c r="I49" s="67" t="n"/>
      <c r="J49" s="73" t="str">
        <f>IF(AND(ISNUMBER($H49),$H49&gt;0,ISNUMBER($I49)),$I49/$H49,"")</f>
        <v/>
      </c>
      <c r="K49" s="67" t="n"/>
      <c r="L49" s="73" t="str">
        <f>IF(AND(ISNUMBER($H49),$H49&gt;0,ISNUMBER($K49)),$K49/$H49,"")</f>
        <v/>
      </c>
      <c r="M49" s="67" t="n"/>
      <c r="N49" s="67" t="n"/>
      <c r="O49" s="67" t="n"/>
      <c r="P49" s="64" t="n"/>
      <c r="Q49" s="64" t="n"/>
      <c r="R49" s="65" t="n"/>
      <c r="S49" s="71" t="str">
        <f>IF(ISNUMBER($A49),YEAR($A49)&amp;"-"&amp;TEXT(MONTH($A49),"00"),"")</f>
        <v/>
      </c>
      <c r="T49" s="71">
        <f>IF($C49="",0,IF(AND(OR(fClient="All",$B49=fClient),OR(fCampaign="All",$C49=fCampaign),OR(fTeam="All",$P49=fTeam),OR(fChannel="All",fChannel="LinkedIn Outreach"),OR(fMonth="All",$S49=fMonth)),1,0))</f>
        <v>0</v>
      </c>
      <c r="U49" s="71">
        <f>IF($C49="",0,IF(AND(OR(fClient="All",$B49=fClient),OR(fCampaign="All",$C49=fCampaign),OR(fTeam="All",$P49=fTeam),OR(fChannel="All",fChannel="LinkedIn Outreach")),1,0))</f>
        <v>0</v>
      </c>
    </row>
    <row r="50">
      <c r="A50" s="63" t="n"/>
      <c r="B50" s="64" t="n"/>
      <c r="C50" s="64" t="n"/>
      <c r="D50" s="64" t="n"/>
      <c r="E50" s="67" t="n"/>
      <c r="F50" s="67" t="n"/>
      <c r="G50" s="73" t="str">
        <f>IF(AND(ISNUMBER($E50),$E50&gt;0,ISNUMBER($F50)),$F50/$E50,"")</f>
        <v/>
      </c>
      <c r="H50" s="67" t="n"/>
      <c r="I50" s="67" t="n"/>
      <c r="J50" s="73" t="str">
        <f>IF(AND(ISNUMBER($H50),$H50&gt;0,ISNUMBER($I50)),$I50/$H50,"")</f>
        <v/>
      </c>
      <c r="K50" s="67" t="n"/>
      <c r="L50" s="73" t="str">
        <f>IF(AND(ISNUMBER($H50),$H50&gt;0,ISNUMBER($K50)),$K50/$H50,"")</f>
        <v/>
      </c>
      <c r="M50" s="67" t="n"/>
      <c r="N50" s="67" t="n"/>
      <c r="O50" s="67" t="n"/>
      <c r="P50" s="64" t="n"/>
      <c r="Q50" s="64" t="n"/>
      <c r="R50" s="65" t="n"/>
      <c r="S50" s="71" t="str">
        <f>IF(ISNUMBER($A50),YEAR($A50)&amp;"-"&amp;TEXT(MONTH($A50),"00"),"")</f>
        <v/>
      </c>
      <c r="T50" s="71">
        <f>IF($C50="",0,IF(AND(OR(fClient="All",$B50=fClient),OR(fCampaign="All",$C50=fCampaign),OR(fTeam="All",$P50=fTeam),OR(fChannel="All",fChannel="LinkedIn Outreach"),OR(fMonth="All",$S50=fMonth)),1,0))</f>
        <v>0</v>
      </c>
      <c r="U50" s="71">
        <f>IF($C50="",0,IF(AND(OR(fClient="All",$B50=fClient),OR(fCampaign="All",$C50=fCampaign),OR(fTeam="All",$P50=fTeam),OR(fChannel="All",fChannel="LinkedIn Outreach")),1,0))</f>
        <v>0</v>
      </c>
    </row>
    <row r="51">
      <c r="A51" s="63" t="n"/>
      <c r="B51" s="64" t="n"/>
      <c r="C51" s="64" t="n"/>
      <c r="D51" s="64" t="n"/>
      <c r="E51" s="67" t="n"/>
      <c r="F51" s="67" t="n"/>
      <c r="G51" s="73" t="str">
        <f>IF(AND(ISNUMBER($E51),$E51&gt;0,ISNUMBER($F51)),$F51/$E51,"")</f>
        <v/>
      </c>
      <c r="H51" s="67" t="n"/>
      <c r="I51" s="67" t="n"/>
      <c r="J51" s="73" t="str">
        <f>IF(AND(ISNUMBER($H51),$H51&gt;0,ISNUMBER($I51)),$I51/$H51,"")</f>
        <v/>
      </c>
      <c r="K51" s="67" t="n"/>
      <c r="L51" s="73" t="str">
        <f>IF(AND(ISNUMBER($H51),$H51&gt;0,ISNUMBER($K51)),$K51/$H51,"")</f>
        <v/>
      </c>
      <c r="M51" s="67" t="n"/>
      <c r="N51" s="67" t="n"/>
      <c r="O51" s="67" t="n"/>
      <c r="P51" s="64" t="n"/>
      <c r="Q51" s="64" t="n"/>
      <c r="R51" s="65" t="n"/>
      <c r="S51" s="71" t="str">
        <f>IF(ISNUMBER($A51),YEAR($A51)&amp;"-"&amp;TEXT(MONTH($A51),"00"),"")</f>
        <v/>
      </c>
      <c r="T51" s="71">
        <f>IF($C51="",0,IF(AND(OR(fClient="All",$B51=fClient),OR(fCampaign="All",$C51=fCampaign),OR(fTeam="All",$P51=fTeam),OR(fChannel="All",fChannel="LinkedIn Outreach"),OR(fMonth="All",$S51=fMonth)),1,0))</f>
        <v>0</v>
      </c>
      <c r="U51" s="71">
        <f>IF($C51="",0,IF(AND(OR(fClient="All",$B51=fClient),OR(fCampaign="All",$C51=fCampaign),OR(fTeam="All",$P51=fTeam),OR(fChannel="All",fChannel="LinkedIn Outreach")),1,0))</f>
        <v>0</v>
      </c>
    </row>
    <row r="52">
      <c r="A52" s="63" t="n"/>
      <c r="B52" s="64" t="n"/>
      <c r="C52" s="64" t="n"/>
      <c r="D52" s="64" t="n"/>
      <c r="E52" s="67" t="n"/>
      <c r="F52" s="67" t="n"/>
      <c r="G52" s="73" t="str">
        <f>IF(AND(ISNUMBER($E52),$E52&gt;0,ISNUMBER($F52)),$F52/$E52,"")</f>
        <v/>
      </c>
      <c r="H52" s="67" t="n"/>
      <c r="I52" s="67" t="n"/>
      <c r="J52" s="73" t="str">
        <f>IF(AND(ISNUMBER($H52),$H52&gt;0,ISNUMBER($I52)),$I52/$H52,"")</f>
        <v/>
      </c>
      <c r="K52" s="67" t="n"/>
      <c r="L52" s="73" t="str">
        <f>IF(AND(ISNUMBER($H52),$H52&gt;0,ISNUMBER($K52)),$K52/$H52,"")</f>
        <v/>
      </c>
      <c r="M52" s="67" t="n"/>
      <c r="N52" s="67" t="n"/>
      <c r="O52" s="67" t="n"/>
      <c r="P52" s="64" t="n"/>
      <c r="Q52" s="64" t="n"/>
      <c r="R52" s="65" t="n"/>
      <c r="S52" s="71" t="str">
        <f>IF(ISNUMBER($A52),YEAR($A52)&amp;"-"&amp;TEXT(MONTH($A52),"00"),"")</f>
        <v/>
      </c>
      <c r="T52" s="71">
        <f>IF($C52="",0,IF(AND(OR(fClient="All",$B52=fClient),OR(fCampaign="All",$C52=fCampaign),OR(fTeam="All",$P52=fTeam),OR(fChannel="All",fChannel="LinkedIn Outreach"),OR(fMonth="All",$S52=fMonth)),1,0))</f>
        <v>0</v>
      </c>
      <c r="U52" s="71">
        <f>IF($C52="",0,IF(AND(OR(fClient="All",$B52=fClient),OR(fCampaign="All",$C52=fCampaign),OR(fTeam="All",$P52=fTeam),OR(fChannel="All",fChannel="LinkedIn Outreach")),1,0))</f>
        <v>0</v>
      </c>
    </row>
    <row r="53">
      <c r="A53" s="63" t="n"/>
      <c r="B53" s="64" t="n"/>
      <c r="C53" s="64" t="n"/>
      <c r="D53" s="64" t="n"/>
      <c r="E53" s="67" t="n"/>
      <c r="F53" s="67" t="n"/>
      <c r="G53" s="73" t="str">
        <f>IF(AND(ISNUMBER($E53),$E53&gt;0,ISNUMBER($F53)),$F53/$E53,"")</f>
        <v/>
      </c>
      <c r="H53" s="67" t="n"/>
      <c r="I53" s="67" t="n"/>
      <c r="J53" s="73" t="str">
        <f>IF(AND(ISNUMBER($H53),$H53&gt;0,ISNUMBER($I53)),$I53/$H53,"")</f>
        <v/>
      </c>
      <c r="K53" s="67" t="n"/>
      <c r="L53" s="73" t="str">
        <f>IF(AND(ISNUMBER($H53),$H53&gt;0,ISNUMBER($K53)),$K53/$H53,"")</f>
        <v/>
      </c>
      <c r="M53" s="67" t="n"/>
      <c r="N53" s="67" t="n"/>
      <c r="O53" s="67" t="n"/>
      <c r="P53" s="64" t="n"/>
      <c r="Q53" s="64" t="n"/>
      <c r="R53" s="65" t="n"/>
      <c r="S53" s="71" t="str">
        <f>IF(ISNUMBER($A53),YEAR($A53)&amp;"-"&amp;TEXT(MONTH($A53),"00"),"")</f>
        <v/>
      </c>
      <c r="T53" s="71">
        <f>IF($C53="",0,IF(AND(OR(fClient="All",$B53=fClient),OR(fCampaign="All",$C53=fCampaign),OR(fTeam="All",$P53=fTeam),OR(fChannel="All",fChannel="LinkedIn Outreach"),OR(fMonth="All",$S53=fMonth)),1,0))</f>
        <v>0</v>
      </c>
      <c r="U53" s="71">
        <f>IF($C53="",0,IF(AND(OR(fClient="All",$B53=fClient),OR(fCampaign="All",$C53=fCampaign),OR(fTeam="All",$P53=fTeam),OR(fChannel="All",fChannel="LinkedIn Outreach")),1,0))</f>
        <v>0</v>
      </c>
    </row>
    <row r="54">
      <c r="A54" s="63" t="n"/>
      <c r="B54" s="64" t="n"/>
      <c r="C54" s="64" t="n"/>
      <c r="D54" s="64" t="n"/>
      <c r="E54" s="67" t="n"/>
      <c r="F54" s="67" t="n"/>
      <c r="G54" s="73" t="str">
        <f>IF(AND(ISNUMBER($E54),$E54&gt;0,ISNUMBER($F54)),$F54/$E54,"")</f>
        <v/>
      </c>
      <c r="H54" s="67" t="n"/>
      <c r="I54" s="67" t="n"/>
      <c r="J54" s="73" t="str">
        <f>IF(AND(ISNUMBER($H54),$H54&gt;0,ISNUMBER($I54)),$I54/$H54,"")</f>
        <v/>
      </c>
      <c r="K54" s="67" t="n"/>
      <c r="L54" s="73" t="str">
        <f>IF(AND(ISNUMBER($H54),$H54&gt;0,ISNUMBER($K54)),$K54/$H54,"")</f>
        <v/>
      </c>
      <c r="M54" s="67" t="n"/>
      <c r="N54" s="67" t="n"/>
      <c r="O54" s="67" t="n"/>
      <c r="P54" s="64" t="n"/>
      <c r="Q54" s="64" t="n"/>
      <c r="R54" s="65" t="n"/>
      <c r="S54" s="71" t="str">
        <f>IF(ISNUMBER($A54),YEAR($A54)&amp;"-"&amp;TEXT(MONTH($A54),"00"),"")</f>
        <v/>
      </c>
      <c r="T54" s="71">
        <f>IF($C54="",0,IF(AND(OR(fClient="All",$B54=fClient),OR(fCampaign="All",$C54=fCampaign),OR(fTeam="All",$P54=fTeam),OR(fChannel="All",fChannel="LinkedIn Outreach"),OR(fMonth="All",$S54=fMonth)),1,0))</f>
        <v>0</v>
      </c>
      <c r="U54" s="71">
        <f>IF($C54="",0,IF(AND(OR(fClient="All",$B54=fClient),OR(fCampaign="All",$C54=fCampaign),OR(fTeam="All",$P54=fTeam),OR(fChannel="All",fChannel="LinkedIn Outreach")),1,0))</f>
        <v>0</v>
      </c>
    </row>
    <row r="55">
      <c r="A55" s="63" t="n"/>
      <c r="B55" s="64" t="n"/>
      <c r="C55" s="64" t="n"/>
      <c r="D55" s="64" t="n"/>
      <c r="E55" s="67" t="n"/>
      <c r="F55" s="67" t="n"/>
      <c r="G55" s="73" t="str">
        <f>IF(AND(ISNUMBER($E55),$E55&gt;0,ISNUMBER($F55)),$F55/$E55,"")</f>
        <v/>
      </c>
      <c r="H55" s="67" t="n"/>
      <c r="I55" s="67" t="n"/>
      <c r="J55" s="73" t="str">
        <f>IF(AND(ISNUMBER($H55),$H55&gt;0,ISNUMBER($I55)),$I55/$H55,"")</f>
        <v/>
      </c>
      <c r="K55" s="67" t="n"/>
      <c r="L55" s="73" t="str">
        <f>IF(AND(ISNUMBER($H55),$H55&gt;0,ISNUMBER($K55)),$K55/$H55,"")</f>
        <v/>
      </c>
      <c r="M55" s="67" t="n"/>
      <c r="N55" s="67" t="n"/>
      <c r="O55" s="67" t="n"/>
      <c r="P55" s="64" t="n"/>
      <c r="Q55" s="64" t="n"/>
      <c r="R55" s="65" t="n"/>
      <c r="S55" s="71" t="str">
        <f>IF(ISNUMBER($A55),YEAR($A55)&amp;"-"&amp;TEXT(MONTH($A55),"00"),"")</f>
        <v/>
      </c>
      <c r="T55" s="71">
        <f>IF($C55="",0,IF(AND(OR(fClient="All",$B55=fClient),OR(fCampaign="All",$C55=fCampaign),OR(fTeam="All",$P55=fTeam),OR(fChannel="All",fChannel="LinkedIn Outreach"),OR(fMonth="All",$S55=fMonth)),1,0))</f>
        <v>0</v>
      </c>
      <c r="U55" s="71">
        <f>IF($C55="",0,IF(AND(OR(fClient="All",$B55=fClient),OR(fCampaign="All",$C55=fCampaign),OR(fTeam="All",$P55=fTeam),OR(fChannel="All",fChannel="LinkedIn Outreach")),1,0))</f>
        <v>0</v>
      </c>
    </row>
    <row r="56">
      <c r="A56" s="63" t="n"/>
      <c r="B56" s="64" t="n"/>
      <c r="C56" s="64" t="n"/>
      <c r="D56" s="64" t="n"/>
      <c r="E56" s="67" t="n"/>
      <c r="F56" s="67" t="n"/>
      <c r="G56" s="73" t="str">
        <f>IF(AND(ISNUMBER($E56),$E56&gt;0,ISNUMBER($F56)),$F56/$E56,"")</f>
        <v/>
      </c>
      <c r="H56" s="67" t="n"/>
      <c r="I56" s="67" t="n"/>
      <c r="J56" s="73" t="str">
        <f>IF(AND(ISNUMBER($H56),$H56&gt;0,ISNUMBER($I56)),$I56/$H56,"")</f>
        <v/>
      </c>
      <c r="K56" s="67" t="n"/>
      <c r="L56" s="73" t="str">
        <f>IF(AND(ISNUMBER($H56),$H56&gt;0,ISNUMBER($K56)),$K56/$H56,"")</f>
        <v/>
      </c>
      <c r="M56" s="67" t="n"/>
      <c r="N56" s="67" t="n"/>
      <c r="O56" s="67" t="n"/>
      <c r="P56" s="64" t="n"/>
      <c r="Q56" s="64" t="n"/>
      <c r="R56" s="65" t="n"/>
      <c r="S56" s="71" t="str">
        <f>IF(ISNUMBER($A56),YEAR($A56)&amp;"-"&amp;TEXT(MONTH($A56),"00"),"")</f>
        <v/>
      </c>
      <c r="T56" s="71">
        <f>IF($C56="",0,IF(AND(OR(fClient="All",$B56=fClient),OR(fCampaign="All",$C56=fCampaign),OR(fTeam="All",$P56=fTeam),OR(fChannel="All",fChannel="LinkedIn Outreach"),OR(fMonth="All",$S56=fMonth)),1,0))</f>
        <v>0</v>
      </c>
      <c r="U56" s="71">
        <f>IF($C56="",0,IF(AND(OR(fClient="All",$B56=fClient),OR(fCampaign="All",$C56=fCampaign),OR(fTeam="All",$P56=fTeam),OR(fChannel="All",fChannel="LinkedIn Outreach")),1,0))</f>
        <v>0</v>
      </c>
    </row>
    <row r="57">
      <c r="A57" s="63" t="n"/>
      <c r="B57" s="64" t="n"/>
      <c r="C57" s="64" t="n"/>
      <c r="D57" s="64" t="n"/>
      <c r="E57" s="67" t="n"/>
      <c r="F57" s="67" t="n"/>
      <c r="G57" s="73" t="str">
        <f>IF(AND(ISNUMBER($E57),$E57&gt;0,ISNUMBER($F57)),$F57/$E57,"")</f>
        <v/>
      </c>
      <c r="H57" s="67" t="n"/>
      <c r="I57" s="67" t="n"/>
      <c r="J57" s="73" t="str">
        <f>IF(AND(ISNUMBER($H57),$H57&gt;0,ISNUMBER($I57)),$I57/$H57,"")</f>
        <v/>
      </c>
      <c r="K57" s="67" t="n"/>
      <c r="L57" s="73" t="str">
        <f>IF(AND(ISNUMBER($H57),$H57&gt;0,ISNUMBER($K57)),$K57/$H57,"")</f>
        <v/>
      </c>
      <c r="M57" s="67" t="n"/>
      <c r="N57" s="67" t="n"/>
      <c r="O57" s="67" t="n"/>
      <c r="P57" s="64" t="n"/>
      <c r="Q57" s="64" t="n"/>
      <c r="R57" s="65" t="n"/>
      <c r="S57" s="71" t="str">
        <f>IF(ISNUMBER($A57),YEAR($A57)&amp;"-"&amp;TEXT(MONTH($A57),"00"),"")</f>
        <v/>
      </c>
      <c r="T57" s="71">
        <f>IF($C57="",0,IF(AND(OR(fClient="All",$B57=fClient),OR(fCampaign="All",$C57=fCampaign),OR(fTeam="All",$P57=fTeam),OR(fChannel="All",fChannel="LinkedIn Outreach"),OR(fMonth="All",$S57=fMonth)),1,0))</f>
        <v>0</v>
      </c>
      <c r="U57" s="71">
        <f>IF($C57="",0,IF(AND(OR(fClient="All",$B57=fClient),OR(fCampaign="All",$C57=fCampaign),OR(fTeam="All",$P57=fTeam),OR(fChannel="All",fChannel="LinkedIn Outreach")),1,0))</f>
        <v>0</v>
      </c>
    </row>
    <row r="58">
      <c r="A58" s="63" t="n"/>
      <c r="B58" s="64" t="n"/>
      <c r="C58" s="64" t="n"/>
      <c r="D58" s="64" t="n"/>
      <c r="E58" s="67" t="n"/>
      <c r="F58" s="67" t="n"/>
      <c r="G58" s="73" t="str">
        <f>IF(AND(ISNUMBER($E58),$E58&gt;0,ISNUMBER($F58)),$F58/$E58,"")</f>
        <v/>
      </c>
      <c r="H58" s="67" t="n"/>
      <c r="I58" s="67" t="n"/>
      <c r="J58" s="73" t="str">
        <f>IF(AND(ISNUMBER($H58),$H58&gt;0,ISNUMBER($I58)),$I58/$H58,"")</f>
        <v/>
      </c>
      <c r="K58" s="67" t="n"/>
      <c r="L58" s="73" t="str">
        <f>IF(AND(ISNUMBER($H58),$H58&gt;0,ISNUMBER($K58)),$K58/$H58,"")</f>
        <v/>
      </c>
      <c r="M58" s="67" t="n"/>
      <c r="N58" s="67" t="n"/>
      <c r="O58" s="67" t="n"/>
      <c r="P58" s="64" t="n"/>
      <c r="Q58" s="64" t="n"/>
      <c r="R58" s="65" t="n"/>
      <c r="S58" s="71" t="str">
        <f>IF(ISNUMBER($A58),YEAR($A58)&amp;"-"&amp;TEXT(MONTH($A58),"00"),"")</f>
        <v/>
      </c>
      <c r="T58" s="71">
        <f>IF($C58="",0,IF(AND(OR(fClient="All",$B58=fClient),OR(fCampaign="All",$C58=fCampaign),OR(fTeam="All",$P58=fTeam),OR(fChannel="All",fChannel="LinkedIn Outreach"),OR(fMonth="All",$S58=fMonth)),1,0))</f>
        <v>0</v>
      </c>
      <c r="U58" s="71">
        <f>IF($C58="",0,IF(AND(OR(fClient="All",$B58=fClient),OR(fCampaign="All",$C58=fCampaign),OR(fTeam="All",$P58=fTeam),OR(fChannel="All",fChannel="LinkedIn Outreach")),1,0))</f>
        <v>0</v>
      </c>
    </row>
    <row r="59">
      <c r="A59" s="63" t="n"/>
      <c r="B59" s="64" t="n"/>
      <c r="C59" s="64" t="n"/>
      <c r="D59" s="64" t="n"/>
      <c r="E59" s="67" t="n"/>
      <c r="F59" s="67" t="n"/>
      <c r="G59" s="73" t="str">
        <f>IF(AND(ISNUMBER($E59),$E59&gt;0,ISNUMBER($F59)),$F59/$E59,"")</f>
        <v/>
      </c>
      <c r="H59" s="67" t="n"/>
      <c r="I59" s="67" t="n"/>
      <c r="J59" s="73" t="str">
        <f>IF(AND(ISNUMBER($H59),$H59&gt;0,ISNUMBER($I59)),$I59/$H59,"")</f>
        <v/>
      </c>
      <c r="K59" s="67" t="n"/>
      <c r="L59" s="73" t="str">
        <f>IF(AND(ISNUMBER($H59),$H59&gt;0,ISNUMBER($K59)),$K59/$H59,"")</f>
        <v/>
      </c>
      <c r="M59" s="67" t="n"/>
      <c r="N59" s="67" t="n"/>
      <c r="O59" s="67" t="n"/>
      <c r="P59" s="64" t="n"/>
      <c r="Q59" s="64" t="n"/>
      <c r="R59" s="65" t="n"/>
      <c r="S59" s="71" t="str">
        <f>IF(ISNUMBER($A59),YEAR($A59)&amp;"-"&amp;TEXT(MONTH($A59),"00"),"")</f>
        <v/>
      </c>
      <c r="T59" s="71">
        <f>IF($C59="",0,IF(AND(OR(fClient="All",$B59=fClient),OR(fCampaign="All",$C59=fCampaign),OR(fTeam="All",$P59=fTeam),OR(fChannel="All",fChannel="LinkedIn Outreach"),OR(fMonth="All",$S59=fMonth)),1,0))</f>
        <v>0</v>
      </c>
      <c r="U59" s="71">
        <f>IF($C59="",0,IF(AND(OR(fClient="All",$B59=fClient),OR(fCampaign="All",$C59=fCampaign),OR(fTeam="All",$P59=fTeam),OR(fChannel="All",fChannel="LinkedIn Outreach")),1,0))</f>
        <v>0</v>
      </c>
    </row>
    <row r="60">
      <c r="A60" s="63" t="n"/>
      <c r="B60" s="64" t="n"/>
      <c r="C60" s="64" t="n"/>
      <c r="D60" s="64" t="n"/>
      <c r="E60" s="67" t="n"/>
      <c r="F60" s="67" t="n"/>
      <c r="G60" s="73" t="str">
        <f>IF(AND(ISNUMBER($E60),$E60&gt;0,ISNUMBER($F60)),$F60/$E60,"")</f>
        <v/>
      </c>
      <c r="H60" s="67" t="n"/>
      <c r="I60" s="67" t="n"/>
      <c r="J60" s="73" t="str">
        <f>IF(AND(ISNUMBER($H60),$H60&gt;0,ISNUMBER($I60)),$I60/$H60,"")</f>
        <v/>
      </c>
      <c r="K60" s="67" t="n"/>
      <c r="L60" s="73" t="str">
        <f>IF(AND(ISNUMBER($H60),$H60&gt;0,ISNUMBER($K60)),$K60/$H60,"")</f>
        <v/>
      </c>
      <c r="M60" s="67" t="n"/>
      <c r="N60" s="67" t="n"/>
      <c r="O60" s="67" t="n"/>
      <c r="P60" s="64" t="n"/>
      <c r="Q60" s="64" t="n"/>
      <c r="R60" s="65" t="n"/>
      <c r="S60" s="71" t="str">
        <f>IF(ISNUMBER($A60),YEAR($A60)&amp;"-"&amp;TEXT(MONTH($A60),"00"),"")</f>
        <v/>
      </c>
      <c r="T60" s="71">
        <f>IF($C60="",0,IF(AND(OR(fClient="All",$B60=fClient),OR(fCampaign="All",$C60=fCampaign),OR(fTeam="All",$P60=fTeam),OR(fChannel="All",fChannel="LinkedIn Outreach"),OR(fMonth="All",$S60=fMonth)),1,0))</f>
        <v>0</v>
      </c>
      <c r="U60" s="71">
        <f>IF($C60="",0,IF(AND(OR(fClient="All",$B60=fClient),OR(fCampaign="All",$C60=fCampaign),OR(fTeam="All",$P60=fTeam),OR(fChannel="All",fChannel="LinkedIn Outreach")),1,0))</f>
        <v>0</v>
      </c>
    </row>
    <row r="61">
      <c r="A61" s="63" t="n"/>
      <c r="B61" s="64" t="n"/>
      <c r="C61" s="64" t="n"/>
      <c r="D61" s="64" t="n"/>
      <c r="E61" s="67" t="n"/>
      <c r="F61" s="67" t="n"/>
      <c r="G61" s="73" t="str">
        <f>IF(AND(ISNUMBER($E61),$E61&gt;0,ISNUMBER($F61)),$F61/$E61,"")</f>
        <v/>
      </c>
      <c r="H61" s="67" t="n"/>
      <c r="I61" s="67" t="n"/>
      <c r="J61" s="73" t="str">
        <f>IF(AND(ISNUMBER($H61),$H61&gt;0,ISNUMBER($I61)),$I61/$H61,"")</f>
        <v/>
      </c>
      <c r="K61" s="67" t="n"/>
      <c r="L61" s="73" t="str">
        <f>IF(AND(ISNUMBER($H61),$H61&gt;0,ISNUMBER($K61)),$K61/$H61,"")</f>
        <v/>
      </c>
      <c r="M61" s="67" t="n"/>
      <c r="N61" s="67" t="n"/>
      <c r="O61" s="67" t="n"/>
      <c r="P61" s="64" t="n"/>
      <c r="Q61" s="64" t="n"/>
      <c r="R61" s="65" t="n"/>
      <c r="S61" s="71" t="str">
        <f>IF(ISNUMBER($A61),YEAR($A61)&amp;"-"&amp;TEXT(MONTH($A61),"00"),"")</f>
        <v/>
      </c>
      <c r="T61" s="71">
        <f>IF($C61="",0,IF(AND(OR(fClient="All",$B61=fClient),OR(fCampaign="All",$C61=fCampaign),OR(fTeam="All",$P61=fTeam),OR(fChannel="All",fChannel="LinkedIn Outreach"),OR(fMonth="All",$S61=fMonth)),1,0))</f>
        <v>0</v>
      </c>
      <c r="U61" s="71">
        <f>IF($C61="",0,IF(AND(OR(fClient="All",$B61=fClient),OR(fCampaign="All",$C61=fCampaign),OR(fTeam="All",$P61=fTeam),OR(fChannel="All",fChannel="LinkedIn Outreach")),1,0))</f>
        <v>0</v>
      </c>
    </row>
    <row r="62">
      <c r="A62" s="63" t="n"/>
      <c r="B62" s="64" t="n"/>
      <c r="C62" s="64" t="n"/>
      <c r="D62" s="64" t="n"/>
      <c r="E62" s="67" t="n"/>
      <c r="F62" s="67" t="n"/>
      <c r="G62" s="73" t="str">
        <f>IF(AND(ISNUMBER($E62),$E62&gt;0,ISNUMBER($F62)),$F62/$E62,"")</f>
        <v/>
      </c>
      <c r="H62" s="67" t="n"/>
      <c r="I62" s="67" t="n"/>
      <c r="J62" s="73" t="str">
        <f>IF(AND(ISNUMBER($H62),$H62&gt;0,ISNUMBER($I62)),$I62/$H62,"")</f>
        <v/>
      </c>
      <c r="K62" s="67" t="n"/>
      <c r="L62" s="73" t="str">
        <f>IF(AND(ISNUMBER($H62),$H62&gt;0,ISNUMBER($K62)),$K62/$H62,"")</f>
        <v/>
      </c>
      <c r="M62" s="67" t="n"/>
      <c r="N62" s="67" t="n"/>
      <c r="O62" s="67" t="n"/>
      <c r="P62" s="64" t="n"/>
      <c r="Q62" s="64" t="n"/>
      <c r="R62" s="65" t="n"/>
      <c r="S62" s="71" t="str">
        <f>IF(ISNUMBER($A62),YEAR($A62)&amp;"-"&amp;TEXT(MONTH($A62),"00"),"")</f>
        <v/>
      </c>
      <c r="T62" s="71">
        <f>IF($C62="",0,IF(AND(OR(fClient="All",$B62=fClient),OR(fCampaign="All",$C62=fCampaign),OR(fTeam="All",$P62=fTeam),OR(fChannel="All",fChannel="LinkedIn Outreach"),OR(fMonth="All",$S62=fMonth)),1,0))</f>
        <v>0</v>
      </c>
      <c r="U62" s="71">
        <f>IF($C62="",0,IF(AND(OR(fClient="All",$B62=fClient),OR(fCampaign="All",$C62=fCampaign),OR(fTeam="All",$P62=fTeam),OR(fChannel="All",fChannel="LinkedIn Outreach")),1,0))</f>
        <v>0</v>
      </c>
    </row>
    <row r="63">
      <c r="A63" s="63" t="n"/>
      <c r="B63" s="64" t="n"/>
      <c r="C63" s="64" t="n"/>
      <c r="D63" s="64" t="n"/>
      <c r="E63" s="67" t="n"/>
      <c r="F63" s="67" t="n"/>
      <c r="G63" s="73" t="str">
        <f>IF(AND(ISNUMBER($E63),$E63&gt;0,ISNUMBER($F63)),$F63/$E63,"")</f>
        <v/>
      </c>
      <c r="H63" s="67" t="n"/>
      <c r="I63" s="67" t="n"/>
      <c r="J63" s="73" t="str">
        <f>IF(AND(ISNUMBER($H63),$H63&gt;0,ISNUMBER($I63)),$I63/$H63,"")</f>
        <v/>
      </c>
      <c r="K63" s="67" t="n"/>
      <c r="L63" s="73" t="str">
        <f>IF(AND(ISNUMBER($H63),$H63&gt;0,ISNUMBER($K63)),$K63/$H63,"")</f>
        <v/>
      </c>
      <c r="M63" s="67" t="n"/>
      <c r="N63" s="67" t="n"/>
      <c r="O63" s="67" t="n"/>
      <c r="P63" s="64" t="n"/>
      <c r="Q63" s="64" t="n"/>
      <c r="R63" s="65" t="n"/>
      <c r="S63" s="71" t="str">
        <f>IF(ISNUMBER($A63),YEAR($A63)&amp;"-"&amp;TEXT(MONTH($A63),"00"),"")</f>
        <v/>
      </c>
      <c r="T63" s="71">
        <f>IF($C63="",0,IF(AND(OR(fClient="All",$B63=fClient),OR(fCampaign="All",$C63=fCampaign),OR(fTeam="All",$P63=fTeam),OR(fChannel="All",fChannel="LinkedIn Outreach"),OR(fMonth="All",$S63=fMonth)),1,0))</f>
        <v>0</v>
      </c>
      <c r="U63" s="71">
        <f>IF($C63="",0,IF(AND(OR(fClient="All",$B63=fClient),OR(fCampaign="All",$C63=fCampaign),OR(fTeam="All",$P63=fTeam),OR(fChannel="All",fChannel="LinkedIn Outreach")),1,0))</f>
        <v>0</v>
      </c>
    </row>
    <row r="64">
      <c r="A64" s="63" t="n"/>
      <c r="B64" s="64" t="n"/>
      <c r="C64" s="64" t="n"/>
      <c r="D64" s="64" t="n"/>
      <c r="E64" s="67" t="n"/>
      <c r="F64" s="67" t="n"/>
      <c r="G64" s="73" t="str">
        <f>IF(AND(ISNUMBER($E64),$E64&gt;0,ISNUMBER($F64)),$F64/$E64,"")</f>
        <v/>
      </c>
      <c r="H64" s="67" t="n"/>
      <c r="I64" s="67" t="n"/>
      <c r="J64" s="73" t="str">
        <f>IF(AND(ISNUMBER($H64),$H64&gt;0,ISNUMBER($I64)),$I64/$H64,"")</f>
        <v/>
      </c>
      <c r="K64" s="67" t="n"/>
      <c r="L64" s="73" t="str">
        <f>IF(AND(ISNUMBER($H64),$H64&gt;0,ISNUMBER($K64)),$K64/$H64,"")</f>
        <v/>
      </c>
      <c r="M64" s="67" t="n"/>
      <c r="N64" s="67" t="n"/>
      <c r="O64" s="67" t="n"/>
      <c r="P64" s="64" t="n"/>
      <c r="Q64" s="64" t="n"/>
      <c r="R64" s="65" t="n"/>
      <c r="S64" s="71" t="str">
        <f>IF(ISNUMBER($A64),YEAR($A64)&amp;"-"&amp;TEXT(MONTH($A64),"00"),"")</f>
        <v/>
      </c>
      <c r="T64" s="71">
        <f>IF($C64="",0,IF(AND(OR(fClient="All",$B64=fClient),OR(fCampaign="All",$C64=fCampaign),OR(fTeam="All",$P64=fTeam),OR(fChannel="All",fChannel="LinkedIn Outreach"),OR(fMonth="All",$S64=fMonth)),1,0))</f>
        <v>0</v>
      </c>
      <c r="U64" s="71">
        <f>IF($C64="",0,IF(AND(OR(fClient="All",$B64=fClient),OR(fCampaign="All",$C64=fCampaign),OR(fTeam="All",$P64=fTeam),OR(fChannel="All",fChannel="LinkedIn Outreach")),1,0))</f>
        <v>0</v>
      </c>
    </row>
    <row r="65">
      <c r="A65" s="63" t="n"/>
      <c r="B65" s="64" t="n"/>
      <c r="C65" s="64" t="n"/>
      <c r="D65" s="64" t="n"/>
      <c r="E65" s="67" t="n"/>
      <c r="F65" s="67" t="n"/>
      <c r="G65" s="73" t="str">
        <f>IF(AND(ISNUMBER($E65),$E65&gt;0,ISNUMBER($F65)),$F65/$E65,"")</f>
        <v/>
      </c>
      <c r="H65" s="67" t="n"/>
      <c r="I65" s="67" t="n"/>
      <c r="J65" s="73" t="str">
        <f>IF(AND(ISNUMBER($H65),$H65&gt;0,ISNUMBER($I65)),$I65/$H65,"")</f>
        <v/>
      </c>
      <c r="K65" s="67" t="n"/>
      <c r="L65" s="73" t="str">
        <f>IF(AND(ISNUMBER($H65),$H65&gt;0,ISNUMBER($K65)),$K65/$H65,"")</f>
        <v/>
      </c>
      <c r="M65" s="67" t="n"/>
      <c r="N65" s="67" t="n"/>
      <c r="O65" s="67" t="n"/>
      <c r="P65" s="64" t="n"/>
      <c r="Q65" s="64" t="n"/>
      <c r="R65" s="65" t="n"/>
      <c r="S65" s="71" t="str">
        <f>IF(ISNUMBER($A65),YEAR($A65)&amp;"-"&amp;TEXT(MONTH($A65),"00"),"")</f>
        <v/>
      </c>
      <c r="T65" s="71">
        <f>IF($C65="",0,IF(AND(OR(fClient="All",$B65=fClient),OR(fCampaign="All",$C65=fCampaign),OR(fTeam="All",$P65=fTeam),OR(fChannel="All",fChannel="LinkedIn Outreach"),OR(fMonth="All",$S65=fMonth)),1,0))</f>
        <v>0</v>
      </c>
      <c r="U65" s="71">
        <f>IF($C65="",0,IF(AND(OR(fClient="All",$B65=fClient),OR(fCampaign="All",$C65=fCampaign),OR(fTeam="All",$P65=fTeam),OR(fChannel="All",fChannel="LinkedIn Outreach")),1,0))</f>
        <v>0</v>
      </c>
    </row>
    <row r="66">
      <c r="A66" s="63" t="n"/>
      <c r="B66" s="64" t="n"/>
      <c r="C66" s="64" t="n"/>
      <c r="D66" s="64" t="n"/>
      <c r="E66" s="67" t="n"/>
      <c r="F66" s="67" t="n"/>
      <c r="G66" s="73" t="str">
        <f>IF(AND(ISNUMBER($E66),$E66&gt;0,ISNUMBER($F66)),$F66/$E66,"")</f>
        <v/>
      </c>
      <c r="H66" s="67" t="n"/>
      <c r="I66" s="67" t="n"/>
      <c r="J66" s="73" t="str">
        <f>IF(AND(ISNUMBER($H66),$H66&gt;0,ISNUMBER($I66)),$I66/$H66,"")</f>
        <v/>
      </c>
      <c r="K66" s="67" t="n"/>
      <c r="L66" s="73" t="str">
        <f>IF(AND(ISNUMBER($H66),$H66&gt;0,ISNUMBER($K66)),$K66/$H66,"")</f>
        <v/>
      </c>
      <c r="M66" s="67" t="n"/>
      <c r="N66" s="67" t="n"/>
      <c r="O66" s="67" t="n"/>
      <c r="P66" s="64" t="n"/>
      <c r="Q66" s="64" t="n"/>
      <c r="R66" s="65" t="n"/>
      <c r="S66" s="71" t="str">
        <f>IF(ISNUMBER($A66),YEAR($A66)&amp;"-"&amp;TEXT(MONTH($A66),"00"),"")</f>
        <v/>
      </c>
      <c r="T66" s="71">
        <f>IF($C66="",0,IF(AND(OR(fClient="All",$B66=fClient),OR(fCampaign="All",$C66=fCampaign),OR(fTeam="All",$P66=fTeam),OR(fChannel="All",fChannel="LinkedIn Outreach"),OR(fMonth="All",$S66=fMonth)),1,0))</f>
        <v>0</v>
      </c>
      <c r="U66" s="71">
        <f>IF($C66="",0,IF(AND(OR(fClient="All",$B66=fClient),OR(fCampaign="All",$C66=fCampaign),OR(fTeam="All",$P66=fTeam),OR(fChannel="All",fChannel="LinkedIn Outreach")),1,0))</f>
        <v>0</v>
      </c>
    </row>
    <row r="67">
      <c r="A67" s="63" t="n"/>
      <c r="B67" s="64" t="n"/>
      <c r="C67" s="64" t="n"/>
      <c r="D67" s="64" t="n"/>
      <c r="E67" s="67" t="n"/>
      <c r="F67" s="67" t="n"/>
      <c r="G67" s="73" t="str">
        <f>IF(AND(ISNUMBER($E67),$E67&gt;0,ISNUMBER($F67)),$F67/$E67,"")</f>
        <v/>
      </c>
      <c r="H67" s="67" t="n"/>
      <c r="I67" s="67" t="n"/>
      <c r="J67" s="73" t="str">
        <f>IF(AND(ISNUMBER($H67),$H67&gt;0,ISNUMBER($I67)),$I67/$H67,"")</f>
        <v/>
      </c>
      <c r="K67" s="67" t="n"/>
      <c r="L67" s="73" t="str">
        <f>IF(AND(ISNUMBER($H67),$H67&gt;0,ISNUMBER($K67)),$K67/$H67,"")</f>
        <v/>
      </c>
      <c r="M67" s="67" t="n"/>
      <c r="N67" s="67" t="n"/>
      <c r="O67" s="67" t="n"/>
      <c r="P67" s="64" t="n"/>
      <c r="Q67" s="64" t="n"/>
      <c r="R67" s="65" t="n"/>
      <c r="S67" s="71" t="str">
        <f>IF(ISNUMBER($A67),YEAR($A67)&amp;"-"&amp;TEXT(MONTH($A67),"00"),"")</f>
        <v/>
      </c>
      <c r="T67" s="71">
        <f>IF($C67="",0,IF(AND(OR(fClient="All",$B67=fClient),OR(fCampaign="All",$C67=fCampaign),OR(fTeam="All",$P67=fTeam),OR(fChannel="All",fChannel="LinkedIn Outreach"),OR(fMonth="All",$S67=fMonth)),1,0))</f>
        <v>0</v>
      </c>
      <c r="U67" s="71">
        <f>IF($C67="",0,IF(AND(OR(fClient="All",$B67=fClient),OR(fCampaign="All",$C67=fCampaign),OR(fTeam="All",$P67=fTeam),OR(fChannel="All",fChannel="LinkedIn Outreach")),1,0))</f>
        <v>0</v>
      </c>
    </row>
    <row r="68">
      <c r="A68" s="63" t="n"/>
      <c r="B68" s="64" t="n"/>
      <c r="C68" s="64" t="n"/>
      <c r="D68" s="64" t="n"/>
      <c r="E68" s="67" t="n"/>
      <c r="F68" s="67" t="n"/>
      <c r="G68" s="73" t="str">
        <f>IF(AND(ISNUMBER($E68),$E68&gt;0,ISNUMBER($F68)),$F68/$E68,"")</f>
        <v/>
      </c>
      <c r="H68" s="67" t="n"/>
      <c r="I68" s="67" t="n"/>
      <c r="J68" s="73" t="str">
        <f>IF(AND(ISNUMBER($H68),$H68&gt;0,ISNUMBER($I68)),$I68/$H68,"")</f>
        <v/>
      </c>
      <c r="K68" s="67" t="n"/>
      <c r="L68" s="73" t="str">
        <f>IF(AND(ISNUMBER($H68),$H68&gt;0,ISNUMBER($K68)),$K68/$H68,"")</f>
        <v/>
      </c>
      <c r="M68" s="67" t="n"/>
      <c r="N68" s="67" t="n"/>
      <c r="O68" s="67" t="n"/>
      <c r="P68" s="64" t="n"/>
      <c r="Q68" s="64" t="n"/>
      <c r="R68" s="65" t="n"/>
      <c r="S68" s="71" t="str">
        <f>IF(ISNUMBER($A68),YEAR($A68)&amp;"-"&amp;TEXT(MONTH($A68),"00"),"")</f>
        <v/>
      </c>
      <c r="T68" s="71">
        <f>IF($C68="",0,IF(AND(OR(fClient="All",$B68=fClient),OR(fCampaign="All",$C68=fCampaign),OR(fTeam="All",$P68=fTeam),OR(fChannel="All",fChannel="LinkedIn Outreach"),OR(fMonth="All",$S68=fMonth)),1,0))</f>
        <v>0</v>
      </c>
      <c r="U68" s="71">
        <f>IF($C68="",0,IF(AND(OR(fClient="All",$B68=fClient),OR(fCampaign="All",$C68=fCampaign),OR(fTeam="All",$P68=fTeam),OR(fChannel="All",fChannel="LinkedIn Outreach")),1,0))</f>
        <v>0</v>
      </c>
    </row>
    <row r="69">
      <c r="A69" s="63" t="n"/>
      <c r="B69" s="64" t="n"/>
      <c r="C69" s="64" t="n"/>
      <c r="D69" s="64" t="n"/>
      <c r="E69" s="67" t="n"/>
      <c r="F69" s="67" t="n"/>
      <c r="G69" s="73" t="str">
        <f>IF(AND(ISNUMBER($E69),$E69&gt;0,ISNUMBER($F69)),$F69/$E69,"")</f>
        <v/>
      </c>
      <c r="H69" s="67" t="n"/>
      <c r="I69" s="67" t="n"/>
      <c r="J69" s="73" t="str">
        <f>IF(AND(ISNUMBER($H69),$H69&gt;0,ISNUMBER($I69)),$I69/$H69,"")</f>
        <v/>
      </c>
      <c r="K69" s="67" t="n"/>
      <c r="L69" s="73" t="str">
        <f>IF(AND(ISNUMBER($H69),$H69&gt;0,ISNUMBER($K69)),$K69/$H69,"")</f>
        <v/>
      </c>
      <c r="M69" s="67" t="n"/>
      <c r="N69" s="67" t="n"/>
      <c r="O69" s="67" t="n"/>
      <c r="P69" s="64" t="n"/>
      <c r="Q69" s="64" t="n"/>
      <c r="R69" s="65" t="n"/>
      <c r="S69" s="71" t="str">
        <f>IF(ISNUMBER($A69),YEAR($A69)&amp;"-"&amp;TEXT(MONTH($A69),"00"),"")</f>
        <v/>
      </c>
      <c r="T69" s="71">
        <f>IF($C69="",0,IF(AND(OR(fClient="All",$B69=fClient),OR(fCampaign="All",$C69=fCampaign),OR(fTeam="All",$P69=fTeam),OR(fChannel="All",fChannel="LinkedIn Outreach"),OR(fMonth="All",$S69=fMonth)),1,0))</f>
        <v>0</v>
      </c>
      <c r="U69" s="71">
        <f>IF($C69="",0,IF(AND(OR(fClient="All",$B69=fClient),OR(fCampaign="All",$C69=fCampaign),OR(fTeam="All",$P69=fTeam),OR(fChannel="All",fChannel="LinkedIn Outreach")),1,0))</f>
        <v>0</v>
      </c>
    </row>
    <row r="70">
      <c r="A70" s="63" t="n"/>
      <c r="B70" s="64" t="n"/>
      <c r="C70" s="64" t="n"/>
      <c r="D70" s="64" t="n"/>
      <c r="E70" s="67" t="n"/>
      <c r="F70" s="67" t="n"/>
      <c r="G70" s="73" t="str">
        <f>IF(AND(ISNUMBER($E70),$E70&gt;0,ISNUMBER($F70)),$F70/$E70,"")</f>
        <v/>
      </c>
      <c r="H70" s="67" t="n"/>
      <c r="I70" s="67" t="n"/>
      <c r="J70" s="73" t="str">
        <f>IF(AND(ISNUMBER($H70),$H70&gt;0,ISNUMBER($I70)),$I70/$H70,"")</f>
        <v/>
      </c>
      <c r="K70" s="67" t="n"/>
      <c r="L70" s="73" t="str">
        <f>IF(AND(ISNUMBER($H70),$H70&gt;0,ISNUMBER($K70)),$K70/$H70,"")</f>
        <v/>
      </c>
      <c r="M70" s="67" t="n"/>
      <c r="N70" s="67" t="n"/>
      <c r="O70" s="67" t="n"/>
      <c r="P70" s="64" t="n"/>
      <c r="Q70" s="64" t="n"/>
      <c r="R70" s="65" t="n"/>
      <c r="S70" s="71" t="str">
        <f>IF(ISNUMBER($A70),YEAR($A70)&amp;"-"&amp;TEXT(MONTH($A70),"00"),"")</f>
        <v/>
      </c>
      <c r="T70" s="71">
        <f>IF($C70="",0,IF(AND(OR(fClient="All",$B70=fClient),OR(fCampaign="All",$C70=fCampaign),OR(fTeam="All",$P70=fTeam),OR(fChannel="All",fChannel="LinkedIn Outreach"),OR(fMonth="All",$S70=fMonth)),1,0))</f>
        <v>0</v>
      </c>
      <c r="U70" s="71">
        <f>IF($C70="",0,IF(AND(OR(fClient="All",$B70=fClient),OR(fCampaign="All",$C70=fCampaign),OR(fTeam="All",$P70=fTeam),OR(fChannel="All",fChannel="LinkedIn Outreach")),1,0))</f>
        <v>0</v>
      </c>
    </row>
    <row r="71">
      <c r="A71" s="63" t="n"/>
      <c r="B71" s="64" t="n"/>
      <c r="C71" s="64" t="n"/>
      <c r="D71" s="64" t="n"/>
      <c r="E71" s="67" t="n"/>
      <c r="F71" s="67" t="n"/>
      <c r="G71" s="73" t="str">
        <f>IF(AND(ISNUMBER($E71),$E71&gt;0,ISNUMBER($F71)),$F71/$E71,"")</f>
        <v/>
      </c>
      <c r="H71" s="67" t="n"/>
      <c r="I71" s="67" t="n"/>
      <c r="J71" s="73" t="str">
        <f>IF(AND(ISNUMBER($H71),$H71&gt;0,ISNUMBER($I71)),$I71/$H71,"")</f>
        <v/>
      </c>
      <c r="K71" s="67" t="n"/>
      <c r="L71" s="73" t="str">
        <f>IF(AND(ISNUMBER($H71),$H71&gt;0,ISNUMBER($K71)),$K71/$H71,"")</f>
        <v/>
      </c>
      <c r="M71" s="67" t="n"/>
      <c r="N71" s="67" t="n"/>
      <c r="O71" s="67" t="n"/>
      <c r="P71" s="64" t="n"/>
      <c r="Q71" s="64" t="n"/>
      <c r="R71" s="65" t="n"/>
      <c r="S71" s="71" t="str">
        <f>IF(ISNUMBER($A71),YEAR($A71)&amp;"-"&amp;TEXT(MONTH($A71),"00"),"")</f>
        <v/>
      </c>
      <c r="T71" s="71">
        <f>IF($C71="",0,IF(AND(OR(fClient="All",$B71=fClient),OR(fCampaign="All",$C71=fCampaign),OR(fTeam="All",$P71=fTeam),OR(fChannel="All",fChannel="LinkedIn Outreach"),OR(fMonth="All",$S71=fMonth)),1,0))</f>
        <v>0</v>
      </c>
      <c r="U71" s="71">
        <f>IF($C71="",0,IF(AND(OR(fClient="All",$B71=fClient),OR(fCampaign="All",$C71=fCampaign),OR(fTeam="All",$P71=fTeam),OR(fChannel="All",fChannel="LinkedIn Outreach")),1,0))</f>
        <v>0</v>
      </c>
    </row>
    <row r="72">
      <c r="A72" s="63" t="n"/>
      <c r="B72" s="64" t="n"/>
      <c r="C72" s="64" t="n"/>
      <c r="D72" s="64" t="n"/>
      <c r="E72" s="67" t="n"/>
      <c r="F72" s="67" t="n"/>
      <c r="G72" s="73" t="str">
        <f>IF(AND(ISNUMBER($E72),$E72&gt;0,ISNUMBER($F72)),$F72/$E72,"")</f>
        <v/>
      </c>
      <c r="H72" s="67" t="n"/>
      <c r="I72" s="67" t="n"/>
      <c r="J72" s="73" t="str">
        <f>IF(AND(ISNUMBER($H72),$H72&gt;0,ISNUMBER($I72)),$I72/$H72,"")</f>
        <v/>
      </c>
      <c r="K72" s="67" t="n"/>
      <c r="L72" s="73" t="str">
        <f>IF(AND(ISNUMBER($H72),$H72&gt;0,ISNUMBER($K72)),$K72/$H72,"")</f>
        <v/>
      </c>
      <c r="M72" s="67" t="n"/>
      <c r="N72" s="67" t="n"/>
      <c r="O72" s="67" t="n"/>
      <c r="P72" s="64" t="n"/>
      <c r="Q72" s="64" t="n"/>
      <c r="R72" s="65" t="n"/>
      <c r="S72" s="71" t="str">
        <f>IF(ISNUMBER($A72),YEAR($A72)&amp;"-"&amp;TEXT(MONTH($A72),"00"),"")</f>
        <v/>
      </c>
      <c r="T72" s="71">
        <f>IF($C72="",0,IF(AND(OR(fClient="All",$B72=fClient),OR(fCampaign="All",$C72=fCampaign),OR(fTeam="All",$P72=fTeam),OR(fChannel="All",fChannel="LinkedIn Outreach"),OR(fMonth="All",$S72=fMonth)),1,0))</f>
        <v>0</v>
      </c>
      <c r="U72" s="71">
        <f>IF($C72="",0,IF(AND(OR(fClient="All",$B72=fClient),OR(fCampaign="All",$C72=fCampaign),OR(fTeam="All",$P72=fTeam),OR(fChannel="All",fChannel="LinkedIn Outreach")),1,0))</f>
        <v>0</v>
      </c>
    </row>
    <row r="73">
      <c r="A73" s="63" t="n"/>
      <c r="B73" s="64" t="n"/>
      <c r="C73" s="64" t="n"/>
      <c r="D73" s="64" t="n"/>
      <c r="E73" s="67" t="n"/>
      <c r="F73" s="67" t="n"/>
      <c r="G73" s="73" t="str">
        <f>IF(AND(ISNUMBER($E73),$E73&gt;0,ISNUMBER($F73)),$F73/$E73,"")</f>
        <v/>
      </c>
      <c r="H73" s="67" t="n"/>
      <c r="I73" s="67" t="n"/>
      <c r="J73" s="73" t="str">
        <f>IF(AND(ISNUMBER($H73),$H73&gt;0,ISNUMBER($I73)),$I73/$H73,"")</f>
        <v/>
      </c>
      <c r="K73" s="67" t="n"/>
      <c r="L73" s="73" t="str">
        <f>IF(AND(ISNUMBER($H73),$H73&gt;0,ISNUMBER($K73)),$K73/$H73,"")</f>
        <v/>
      </c>
      <c r="M73" s="67" t="n"/>
      <c r="N73" s="67" t="n"/>
      <c r="O73" s="67" t="n"/>
      <c r="P73" s="64" t="n"/>
      <c r="Q73" s="64" t="n"/>
      <c r="R73" s="65" t="n"/>
      <c r="S73" s="71" t="str">
        <f>IF(ISNUMBER($A73),YEAR($A73)&amp;"-"&amp;TEXT(MONTH($A73),"00"),"")</f>
        <v/>
      </c>
      <c r="T73" s="71">
        <f>IF($C73="",0,IF(AND(OR(fClient="All",$B73=fClient),OR(fCampaign="All",$C73=fCampaign),OR(fTeam="All",$P73=fTeam),OR(fChannel="All",fChannel="LinkedIn Outreach"),OR(fMonth="All",$S73=fMonth)),1,0))</f>
        <v>0</v>
      </c>
      <c r="U73" s="71">
        <f>IF($C73="",0,IF(AND(OR(fClient="All",$B73=fClient),OR(fCampaign="All",$C73=fCampaign),OR(fTeam="All",$P73=fTeam),OR(fChannel="All",fChannel="LinkedIn Outreach")),1,0))</f>
        <v>0</v>
      </c>
    </row>
    <row r="74">
      <c r="A74" s="63" t="n"/>
      <c r="B74" s="64" t="n"/>
      <c r="C74" s="64" t="n"/>
      <c r="D74" s="64" t="n"/>
      <c r="E74" s="67" t="n"/>
      <c r="F74" s="67" t="n"/>
      <c r="G74" s="73" t="str">
        <f>IF(AND(ISNUMBER($E74),$E74&gt;0,ISNUMBER($F74)),$F74/$E74,"")</f>
        <v/>
      </c>
      <c r="H74" s="67" t="n"/>
      <c r="I74" s="67" t="n"/>
      <c r="J74" s="73" t="str">
        <f>IF(AND(ISNUMBER($H74),$H74&gt;0,ISNUMBER($I74)),$I74/$H74,"")</f>
        <v/>
      </c>
      <c r="K74" s="67" t="n"/>
      <c r="L74" s="73" t="str">
        <f>IF(AND(ISNUMBER($H74),$H74&gt;0,ISNUMBER($K74)),$K74/$H74,"")</f>
        <v/>
      </c>
      <c r="M74" s="67" t="n"/>
      <c r="N74" s="67" t="n"/>
      <c r="O74" s="67" t="n"/>
      <c r="P74" s="64" t="n"/>
      <c r="Q74" s="64" t="n"/>
      <c r="R74" s="65" t="n"/>
      <c r="S74" s="71" t="str">
        <f>IF(ISNUMBER($A74),YEAR($A74)&amp;"-"&amp;TEXT(MONTH($A74),"00"),"")</f>
        <v/>
      </c>
      <c r="T74" s="71">
        <f>IF($C74="",0,IF(AND(OR(fClient="All",$B74=fClient),OR(fCampaign="All",$C74=fCampaign),OR(fTeam="All",$P74=fTeam),OR(fChannel="All",fChannel="LinkedIn Outreach"),OR(fMonth="All",$S74=fMonth)),1,0))</f>
        <v>0</v>
      </c>
      <c r="U74" s="71">
        <f>IF($C74="",0,IF(AND(OR(fClient="All",$B74=fClient),OR(fCampaign="All",$C74=fCampaign),OR(fTeam="All",$P74=fTeam),OR(fChannel="All",fChannel="LinkedIn Outreach")),1,0))</f>
        <v>0</v>
      </c>
    </row>
    <row r="75">
      <c r="A75" s="63" t="n"/>
      <c r="B75" s="64" t="n"/>
      <c r="C75" s="64" t="n"/>
      <c r="D75" s="64" t="n"/>
      <c r="E75" s="67" t="n"/>
      <c r="F75" s="67" t="n"/>
      <c r="G75" s="73" t="str">
        <f>IF(AND(ISNUMBER($E75),$E75&gt;0,ISNUMBER($F75)),$F75/$E75,"")</f>
        <v/>
      </c>
      <c r="H75" s="67" t="n"/>
      <c r="I75" s="67" t="n"/>
      <c r="J75" s="73" t="str">
        <f>IF(AND(ISNUMBER($H75),$H75&gt;0,ISNUMBER($I75)),$I75/$H75,"")</f>
        <v/>
      </c>
      <c r="K75" s="67" t="n"/>
      <c r="L75" s="73" t="str">
        <f>IF(AND(ISNUMBER($H75),$H75&gt;0,ISNUMBER($K75)),$K75/$H75,"")</f>
        <v/>
      </c>
      <c r="M75" s="67" t="n"/>
      <c r="N75" s="67" t="n"/>
      <c r="O75" s="67" t="n"/>
      <c r="P75" s="64" t="n"/>
      <c r="Q75" s="64" t="n"/>
      <c r="R75" s="65" t="n"/>
      <c r="S75" s="71" t="str">
        <f>IF(ISNUMBER($A75),YEAR($A75)&amp;"-"&amp;TEXT(MONTH($A75),"00"),"")</f>
        <v/>
      </c>
      <c r="T75" s="71">
        <f>IF($C75="",0,IF(AND(OR(fClient="All",$B75=fClient),OR(fCampaign="All",$C75=fCampaign),OR(fTeam="All",$P75=fTeam),OR(fChannel="All",fChannel="LinkedIn Outreach"),OR(fMonth="All",$S75=fMonth)),1,0))</f>
        <v>0</v>
      </c>
      <c r="U75" s="71">
        <f>IF($C75="",0,IF(AND(OR(fClient="All",$B75=fClient),OR(fCampaign="All",$C75=fCampaign),OR(fTeam="All",$P75=fTeam),OR(fChannel="All",fChannel="LinkedIn Outreach")),1,0))</f>
        <v>0</v>
      </c>
    </row>
    <row r="76">
      <c r="A76" s="63" t="n"/>
      <c r="B76" s="64" t="n"/>
      <c r="C76" s="64" t="n"/>
      <c r="D76" s="64" t="n"/>
      <c r="E76" s="67" t="n"/>
      <c r="F76" s="67" t="n"/>
      <c r="G76" s="73" t="str">
        <f>IF(AND(ISNUMBER($E76),$E76&gt;0,ISNUMBER($F76)),$F76/$E76,"")</f>
        <v/>
      </c>
      <c r="H76" s="67" t="n"/>
      <c r="I76" s="67" t="n"/>
      <c r="J76" s="73" t="str">
        <f>IF(AND(ISNUMBER($H76),$H76&gt;0,ISNUMBER($I76)),$I76/$H76,"")</f>
        <v/>
      </c>
      <c r="K76" s="67" t="n"/>
      <c r="L76" s="73" t="str">
        <f>IF(AND(ISNUMBER($H76),$H76&gt;0,ISNUMBER($K76)),$K76/$H76,"")</f>
        <v/>
      </c>
      <c r="M76" s="67" t="n"/>
      <c r="N76" s="67" t="n"/>
      <c r="O76" s="67" t="n"/>
      <c r="P76" s="64" t="n"/>
      <c r="Q76" s="64" t="n"/>
      <c r="R76" s="65" t="n"/>
      <c r="S76" s="71" t="str">
        <f>IF(ISNUMBER($A76),YEAR($A76)&amp;"-"&amp;TEXT(MONTH($A76),"00"),"")</f>
        <v/>
      </c>
      <c r="T76" s="71">
        <f>IF($C76="",0,IF(AND(OR(fClient="All",$B76=fClient),OR(fCampaign="All",$C76=fCampaign),OR(fTeam="All",$P76=fTeam),OR(fChannel="All",fChannel="LinkedIn Outreach"),OR(fMonth="All",$S76=fMonth)),1,0))</f>
        <v>0</v>
      </c>
      <c r="U76" s="71">
        <f>IF($C76="",0,IF(AND(OR(fClient="All",$B76=fClient),OR(fCampaign="All",$C76=fCampaign),OR(fTeam="All",$P76=fTeam),OR(fChannel="All",fChannel="LinkedIn Outreach")),1,0))</f>
        <v>0</v>
      </c>
    </row>
    <row r="77">
      <c r="A77" s="63" t="n"/>
      <c r="B77" s="64" t="n"/>
      <c r="C77" s="64" t="n"/>
      <c r="D77" s="64" t="n"/>
      <c r="E77" s="67" t="n"/>
      <c r="F77" s="67" t="n"/>
      <c r="G77" s="73" t="str">
        <f>IF(AND(ISNUMBER($E77),$E77&gt;0,ISNUMBER($F77)),$F77/$E77,"")</f>
        <v/>
      </c>
      <c r="H77" s="67" t="n"/>
      <c r="I77" s="67" t="n"/>
      <c r="J77" s="73" t="str">
        <f>IF(AND(ISNUMBER($H77),$H77&gt;0,ISNUMBER($I77)),$I77/$H77,"")</f>
        <v/>
      </c>
      <c r="K77" s="67" t="n"/>
      <c r="L77" s="73" t="str">
        <f>IF(AND(ISNUMBER($H77),$H77&gt;0,ISNUMBER($K77)),$K77/$H77,"")</f>
        <v/>
      </c>
      <c r="M77" s="67" t="n"/>
      <c r="N77" s="67" t="n"/>
      <c r="O77" s="67" t="n"/>
      <c r="P77" s="64" t="n"/>
      <c r="Q77" s="64" t="n"/>
      <c r="R77" s="65" t="n"/>
      <c r="S77" s="71" t="str">
        <f>IF(ISNUMBER($A77),YEAR($A77)&amp;"-"&amp;TEXT(MONTH($A77),"00"),"")</f>
        <v/>
      </c>
      <c r="T77" s="71">
        <f>IF($C77="",0,IF(AND(OR(fClient="All",$B77=fClient),OR(fCampaign="All",$C77=fCampaign),OR(fTeam="All",$P77=fTeam),OR(fChannel="All",fChannel="LinkedIn Outreach"),OR(fMonth="All",$S77=fMonth)),1,0))</f>
        <v>0</v>
      </c>
      <c r="U77" s="71">
        <f>IF($C77="",0,IF(AND(OR(fClient="All",$B77=fClient),OR(fCampaign="All",$C77=fCampaign),OR(fTeam="All",$P77=fTeam),OR(fChannel="All",fChannel="LinkedIn Outreach")),1,0))</f>
        <v>0</v>
      </c>
    </row>
    <row r="78">
      <c r="A78" s="63" t="n"/>
      <c r="B78" s="64" t="n"/>
      <c r="C78" s="64" t="n"/>
      <c r="D78" s="64" t="n"/>
      <c r="E78" s="67" t="n"/>
      <c r="F78" s="67" t="n"/>
      <c r="G78" s="73" t="str">
        <f>IF(AND(ISNUMBER($E78),$E78&gt;0,ISNUMBER($F78)),$F78/$E78,"")</f>
        <v/>
      </c>
      <c r="H78" s="67" t="n"/>
      <c r="I78" s="67" t="n"/>
      <c r="J78" s="73" t="str">
        <f>IF(AND(ISNUMBER($H78),$H78&gt;0,ISNUMBER($I78)),$I78/$H78,"")</f>
        <v/>
      </c>
      <c r="K78" s="67" t="n"/>
      <c r="L78" s="73" t="str">
        <f>IF(AND(ISNUMBER($H78),$H78&gt;0,ISNUMBER($K78)),$K78/$H78,"")</f>
        <v/>
      </c>
      <c r="M78" s="67" t="n"/>
      <c r="N78" s="67" t="n"/>
      <c r="O78" s="67" t="n"/>
      <c r="P78" s="64" t="n"/>
      <c r="Q78" s="64" t="n"/>
      <c r="R78" s="65" t="n"/>
      <c r="S78" s="71" t="str">
        <f>IF(ISNUMBER($A78),YEAR($A78)&amp;"-"&amp;TEXT(MONTH($A78),"00"),"")</f>
        <v/>
      </c>
      <c r="T78" s="71">
        <f>IF($C78="",0,IF(AND(OR(fClient="All",$B78=fClient),OR(fCampaign="All",$C78=fCampaign),OR(fTeam="All",$P78=fTeam),OR(fChannel="All",fChannel="LinkedIn Outreach"),OR(fMonth="All",$S78=fMonth)),1,0))</f>
        <v>0</v>
      </c>
      <c r="U78" s="71">
        <f>IF($C78="",0,IF(AND(OR(fClient="All",$B78=fClient),OR(fCampaign="All",$C78=fCampaign),OR(fTeam="All",$P78=fTeam),OR(fChannel="All",fChannel="LinkedIn Outreach")),1,0))</f>
        <v>0</v>
      </c>
    </row>
    <row r="79">
      <c r="A79" s="63" t="n"/>
      <c r="B79" s="64" t="n"/>
      <c r="C79" s="64" t="n"/>
      <c r="D79" s="64" t="n"/>
      <c r="E79" s="67" t="n"/>
      <c r="F79" s="67" t="n"/>
      <c r="G79" s="73" t="str">
        <f>IF(AND(ISNUMBER($E79),$E79&gt;0,ISNUMBER($F79)),$F79/$E79,"")</f>
        <v/>
      </c>
      <c r="H79" s="67" t="n"/>
      <c r="I79" s="67" t="n"/>
      <c r="J79" s="73" t="str">
        <f>IF(AND(ISNUMBER($H79),$H79&gt;0,ISNUMBER($I79)),$I79/$H79,"")</f>
        <v/>
      </c>
      <c r="K79" s="67" t="n"/>
      <c r="L79" s="73" t="str">
        <f>IF(AND(ISNUMBER($H79),$H79&gt;0,ISNUMBER($K79)),$K79/$H79,"")</f>
        <v/>
      </c>
      <c r="M79" s="67" t="n"/>
      <c r="N79" s="67" t="n"/>
      <c r="O79" s="67" t="n"/>
      <c r="P79" s="64" t="n"/>
      <c r="Q79" s="64" t="n"/>
      <c r="R79" s="65" t="n"/>
      <c r="S79" s="71" t="str">
        <f>IF(ISNUMBER($A79),YEAR($A79)&amp;"-"&amp;TEXT(MONTH($A79),"00"),"")</f>
        <v/>
      </c>
      <c r="T79" s="71">
        <f>IF($C79="",0,IF(AND(OR(fClient="All",$B79=fClient),OR(fCampaign="All",$C79=fCampaign),OR(fTeam="All",$P79=fTeam),OR(fChannel="All",fChannel="LinkedIn Outreach"),OR(fMonth="All",$S79=fMonth)),1,0))</f>
        <v>0</v>
      </c>
      <c r="U79" s="71">
        <f>IF($C79="",0,IF(AND(OR(fClient="All",$B79=fClient),OR(fCampaign="All",$C79=fCampaign),OR(fTeam="All",$P79=fTeam),OR(fChannel="All",fChannel="LinkedIn Outreach")),1,0))</f>
        <v>0</v>
      </c>
    </row>
    <row r="80">
      <c r="A80" s="63" t="n"/>
      <c r="B80" s="64" t="n"/>
      <c r="C80" s="64" t="n"/>
      <c r="D80" s="64" t="n"/>
      <c r="E80" s="67" t="n"/>
      <c r="F80" s="67" t="n"/>
      <c r="G80" s="73" t="str">
        <f>IF(AND(ISNUMBER($E80),$E80&gt;0,ISNUMBER($F80)),$F80/$E80,"")</f>
        <v/>
      </c>
      <c r="H80" s="67" t="n"/>
      <c r="I80" s="67" t="n"/>
      <c r="J80" s="73" t="str">
        <f>IF(AND(ISNUMBER($H80),$H80&gt;0,ISNUMBER($I80)),$I80/$H80,"")</f>
        <v/>
      </c>
      <c r="K80" s="67" t="n"/>
      <c r="L80" s="73" t="str">
        <f>IF(AND(ISNUMBER($H80),$H80&gt;0,ISNUMBER($K80)),$K80/$H80,"")</f>
        <v/>
      </c>
      <c r="M80" s="67" t="n"/>
      <c r="N80" s="67" t="n"/>
      <c r="O80" s="67" t="n"/>
      <c r="P80" s="64" t="n"/>
      <c r="Q80" s="64" t="n"/>
      <c r="R80" s="65" t="n"/>
      <c r="S80" s="71" t="str">
        <f>IF(ISNUMBER($A80),YEAR($A80)&amp;"-"&amp;TEXT(MONTH($A80),"00"),"")</f>
        <v/>
      </c>
      <c r="T80" s="71">
        <f>IF($C80="",0,IF(AND(OR(fClient="All",$B80=fClient),OR(fCampaign="All",$C80=fCampaign),OR(fTeam="All",$P80=fTeam),OR(fChannel="All",fChannel="LinkedIn Outreach"),OR(fMonth="All",$S80=fMonth)),1,0))</f>
        <v>0</v>
      </c>
      <c r="U80" s="71">
        <f>IF($C80="",0,IF(AND(OR(fClient="All",$B80=fClient),OR(fCampaign="All",$C80=fCampaign),OR(fTeam="All",$P80=fTeam),OR(fChannel="All",fChannel="LinkedIn Outreach")),1,0))</f>
        <v>0</v>
      </c>
    </row>
    <row r="81">
      <c r="A81" s="63" t="n"/>
      <c r="B81" s="64" t="n"/>
      <c r="C81" s="64" t="n"/>
      <c r="D81" s="64" t="n"/>
      <c r="E81" s="67" t="n"/>
      <c r="F81" s="67" t="n"/>
      <c r="G81" s="73" t="str">
        <f>IF(AND(ISNUMBER($E81),$E81&gt;0,ISNUMBER($F81)),$F81/$E81,"")</f>
        <v/>
      </c>
      <c r="H81" s="67" t="n"/>
      <c r="I81" s="67" t="n"/>
      <c r="J81" s="73" t="str">
        <f>IF(AND(ISNUMBER($H81),$H81&gt;0,ISNUMBER($I81)),$I81/$H81,"")</f>
        <v/>
      </c>
      <c r="K81" s="67" t="n"/>
      <c r="L81" s="73" t="str">
        <f>IF(AND(ISNUMBER($H81),$H81&gt;0,ISNUMBER($K81)),$K81/$H81,"")</f>
        <v/>
      </c>
      <c r="M81" s="67" t="n"/>
      <c r="N81" s="67" t="n"/>
      <c r="O81" s="67" t="n"/>
      <c r="P81" s="64" t="n"/>
      <c r="Q81" s="64" t="n"/>
      <c r="R81" s="65" t="n"/>
      <c r="S81" s="71" t="str">
        <f>IF(ISNUMBER($A81),YEAR($A81)&amp;"-"&amp;TEXT(MONTH($A81),"00"),"")</f>
        <v/>
      </c>
      <c r="T81" s="71">
        <f>IF($C81="",0,IF(AND(OR(fClient="All",$B81=fClient),OR(fCampaign="All",$C81=fCampaign),OR(fTeam="All",$P81=fTeam),OR(fChannel="All",fChannel="LinkedIn Outreach"),OR(fMonth="All",$S81=fMonth)),1,0))</f>
        <v>0</v>
      </c>
      <c r="U81" s="71">
        <f>IF($C81="",0,IF(AND(OR(fClient="All",$B81=fClient),OR(fCampaign="All",$C81=fCampaign),OR(fTeam="All",$P81=fTeam),OR(fChannel="All",fChannel="LinkedIn Outreach")),1,0))</f>
        <v>0</v>
      </c>
    </row>
    <row r="82">
      <c r="A82" s="63" t="n"/>
      <c r="B82" s="64" t="n"/>
      <c r="C82" s="64" t="n"/>
      <c r="D82" s="64" t="n"/>
      <c r="E82" s="67" t="n"/>
      <c r="F82" s="67" t="n"/>
      <c r="G82" s="73" t="str">
        <f>IF(AND(ISNUMBER($E82),$E82&gt;0,ISNUMBER($F82)),$F82/$E82,"")</f>
        <v/>
      </c>
      <c r="H82" s="67" t="n"/>
      <c r="I82" s="67" t="n"/>
      <c r="J82" s="73" t="str">
        <f>IF(AND(ISNUMBER($H82),$H82&gt;0,ISNUMBER($I82)),$I82/$H82,"")</f>
        <v/>
      </c>
      <c r="K82" s="67" t="n"/>
      <c r="L82" s="73" t="str">
        <f>IF(AND(ISNUMBER($H82),$H82&gt;0,ISNUMBER($K82)),$K82/$H82,"")</f>
        <v/>
      </c>
      <c r="M82" s="67" t="n"/>
      <c r="N82" s="67" t="n"/>
      <c r="O82" s="67" t="n"/>
      <c r="P82" s="64" t="n"/>
      <c r="Q82" s="64" t="n"/>
      <c r="R82" s="65" t="n"/>
      <c r="S82" s="71" t="str">
        <f>IF(ISNUMBER($A82),YEAR($A82)&amp;"-"&amp;TEXT(MONTH($A82),"00"),"")</f>
        <v/>
      </c>
      <c r="T82" s="71">
        <f>IF($C82="",0,IF(AND(OR(fClient="All",$B82=fClient),OR(fCampaign="All",$C82=fCampaign),OR(fTeam="All",$P82=fTeam),OR(fChannel="All",fChannel="LinkedIn Outreach"),OR(fMonth="All",$S82=fMonth)),1,0))</f>
        <v>0</v>
      </c>
      <c r="U82" s="71">
        <f>IF($C82="",0,IF(AND(OR(fClient="All",$B82=fClient),OR(fCampaign="All",$C82=fCampaign),OR(fTeam="All",$P82=fTeam),OR(fChannel="All",fChannel="LinkedIn Outreach")),1,0))</f>
        <v>0</v>
      </c>
    </row>
    <row r="83">
      <c r="A83" s="63" t="n"/>
      <c r="B83" s="64" t="n"/>
      <c r="C83" s="64" t="n"/>
      <c r="D83" s="64" t="n"/>
      <c r="E83" s="67" t="n"/>
      <c r="F83" s="67" t="n"/>
      <c r="G83" s="73" t="str">
        <f>IF(AND(ISNUMBER($E83),$E83&gt;0,ISNUMBER($F83)),$F83/$E83,"")</f>
        <v/>
      </c>
      <c r="H83" s="67" t="n"/>
      <c r="I83" s="67" t="n"/>
      <c r="J83" s="73" t="str">
        <f>IF(AND(ISNUMBER($H83),$H83&gt;0,ISNUMBER($I83)),$I83/$H83,"")</f>
        <v/>
      </c>
      <c r="K83" s="67" t="n"/>
      <c r="L83" s="73" t="str">
        <f>IF(AND(ISNUMBER($H83),$H83&gt;0,ISNUMBER($K83)),$K83/$H83,"")</f>
        <v/>
      </c>
      <c r="M83" s="67" t="n"/>
      <c r="N83" s="67" t="n"/>
      <c r="O83" s="67" t="n"/>
      <c r="P83" s="64" t="n"/>
      <c r="Q83" s="64" t="n"/>
      <c r="R83" s="65" t="n"/>
      <c r="S83" s="71" t="str">
        <f>IF(ISNUMBER($A83),YEAR($A83)&amp;"-"&amp;TEXT(MONTH($A83),"00"),"")</f>
        <v/>
      </c>
      <c r="T83" s="71">
        <f>IF($C83="",0,IF(AND(OR(fClient="All",$B83=fClient),OR(fCampaign="All",$C83=fCampaign),OR(fTeam="All",$P83=fTeam),OR(fChannel="All",fChannel="LinkedIn Outreach"),OR(fMonth="All",$S83=fMonth)),1,0))</f>
        <v>0</v>
      </c>
      <c r="U83" s="71">
        <f>IF($C83="",0,IF(AND(OR(fClient="All",$B83=fClient),OR(fCampaign="All",$C83=fCampaign),OR(fTeam="All",$P83=fTeam),OR(fChannel="All",fChannel="LinkedIn Outreach")),1,0))</f>
        <v>0</v>
      </c>
    </row>
    <row r="84">
      <c r="A84" s="63" t="n"/>
      <c r="B84" s="64" t="n"/>
      <c r="C84" s="64" t="n"/>
      <c r="D84" s="64" t="n"/>
      <c r="E84" s="67" t="n"/>
      <c r="F84" s="67" t="n"/>
      <c r="G84" s="73" t="str">
        <f>IF(AND(ISNUMBER($E84),$E84&gt;0,ISNUMBER($F84)),$F84/$E84,"")</f>
        <v/>
      </c>
      <c r="H84" s="67" t="n"/>
      <c r="I84" s="67" t="n"/>
      <c r="J84" s="73" t="str">
        <f>IF(AND(ISNUMBER($H84),$H84&gt;0,ISNUMBER($I84)),$I84/$H84,"")</f>
        <v/>
      </c>
      <c r="K84" s="67" t="n"/>
      <c r="L84" s="73" t="str">
        <f>IF(AND(ISNUMBER($H84),$H84&gt;0,ISNUMBER($K84)),$K84/$H84,"")</f>
        <v/>
      </c>
      <c r="M84" s="67" t="n"/>
      <c r="N84" s="67" t="n"/>
      <c r="O84" s="67" t="n"/>
      <c r="P84" s="64" t="n"/>
      <c r="Q84" s="64" t="n"/>
      <c r="R84" s="65" t="n"/>
      <c r="S84" s="71" t="str">
        <f>IF(ISNUMBER($A84),YEAR($A84)&amp;"-"&amp;TEXT(MONTH($A84),"00"),"")</f>
        <v/>
      </c>
      <c r="T84" s="71">
        <f>IF($C84="",0,IF(AND(OR(fClient="All",$B84=fClient),OR(fCampaign="All",$C84=fCampaign),OR(fTeam="All",$P84=fTeam),OR(fChannel="All",fChannel="LinkedIn Outreach"),OR(fMonth="All",$S84=fMonth)),1,0))</f>
        <v>0</v>
      </c>
      <c r="U84" s="71">
        <f>IF($C84="",0,IF(AND(OR(fClient="All",$B84=fClient),OR(fCampaign="All",$C84=fCampaign),OR(fTeam="All",$P84=fTeam),OR(fChannel="All",fChannel="LinkedIn Outreach")),1,0))</f>
        <v>0</v>
      </c>
    </row>
    <row r="85">
      <c r="A85" s="63" t="n"/>
      <c r="B85" s="64" t="n"/>
      <c r="C85" s="64" t="n"/>
      <c r="D85" s="64" t="n"/>
      <c r="E85" s="67" t="n"/>
      <c r="F85" s="67" t="n"/>
      <c r="G85" s="73" t="str">
        <f>IF(AND(ISNUMBER($E85),$E85&gt;0,ISNUMBER($F85)),$F85/$E85,"")</f>
        <v/>
      </c>
      <c r="H85" s="67" t="n"/>
      <c r="I85" s="67" t="n"/>
      <c r="J85" s="73" t="str">
        <f>IF(AND(ISNUMBER($H85),$H85&gt;0,ISNUMBER($I85)),$I85/$H85,"")</f>
        <v/>
      </c>
      <c r="K85" s="67" t="n"/>
      <c r="L85" s="73" t="str">
        <f>IF(AND(ISNUMBER($H85),$H85&gt;0,ISNUMBER($K85)),$K85/$H85,"")</f>
        <v/>
      </c>
      <c r="M85" s="67" t="n"/>
      <c r="N85" s="67" t="n"/>
      <c r="O85" s="67" t="n"/>
      <c r="P85" s="64" t="n"/>
      <c r="Q85" s="64" t="n"/>
      <c r="R85" s="65" t="n"/>
      <c r="S85" s="71" t="str">
        <f>IF(ISNUMBER($A85),YEAR($A85)&amp;"-"&amp;TEXT(MONTH($A85),"00"),"")</f>
        <v/>
      </c>
      <c r="T85" s="71">
        <f>IF($C85="",0,IF(AND(OR(fClient="All",$B85=fClient),OR(fCampaign="All",$C85=fCampaign),OR(fTeam="All",$P85=fTeam),OR(fChannel="All",fChannel="LinkedIn Outreach"),OR(fMonth="All",$S85=fMonth)),1,0))</f>
        <v>0</v>
      </c>
      <c r="U85" s="71">
        <f>IF($C85="",0,IF(AND(OR(fClient="All",$B85=fClient),OR(fCampaign="All",$C85=fCampaign),OR(fTeam="All",$P85=fTeam),OR(fChannel="All",fChannel="LinkedIn Outreach")),1,0))</f>
        <v>0</v>
      </c>
    </row>
    <row r="86">
      <c r="A86" s="63" t="n"/>
      <c r="B86" s="64" t="n"/>
      <c r="C86" s="64" t="n"/>
      <c r="D86" s="64" t="n"/>
      <c r="E86" s="67" t="n"/>
      <c r="F86" s="67" t="n"/>
      <c r="G86" s="73" t="str">
        <f>IF(AND(ISNUMBER($E86),$E86&gt;0,ISNUMBER($F86)),$F86/$E86,"")</f>
        <v/>
      </c>
      <c r="H86" s="67" t="n"/>
      <c r="I86" s="67" t="n"/>
      <c r="J86" s="73" t="str">
        <f>IF(AND(ISNUMBER($H86),$H86&gt;0,ISNUMBER($I86)),$I86/$H86,"")</f>
        <v/>
      </c>
      <c r="K86" s="67" t="n"/>
      <c r="L86" s="73" t="str">
        <f>IF(AND(ISNUMBER($H86),$H86&gt;0,ISNUMBER($K86)),$K86/$H86,"")</f>
        <v/>
      </c>
      <c r="M86" s="67" t="n"/>
      <c r="N86" s="67" t="n"/>
      <c r="O86" s="67" t="n"/>
      <c r="P86" s="64" t="n"/>
      <c r="Q86" s="64" t="n"/>
      <c r="R86" s="65" t="n"/>
      <c r="S86" s="71" t="str">
        <f>IF(ISNUMBER($A86),YEAR($A86)&amp;"-"&amp;TEXT(MONTH($A86),"00"),"")</f>
        <v/>
      </c>
      <c r="T86" s="71">
        <f>IF($C86="",0,IF(AND(OR(fClient="All",$B86=fClient),OR(fCampaign="All",$C86=fCampaign),OR(fTeam="All",$P86=fTeam),OR(fChannel="All",fChannel="LinkedIn Outreach"),OR(fMonth="All",$S86=fMonth)),1,0))</f>
        <v>0</v>
      </c>
      <c r="U86" s="71">
        <f>IF($C86="",0,IF(AND(OR(fClient="All",$B86=fClient),OR(fCampaign="All",$C86=fCampaign),OR(fTeam="All",$P86=fTeam),OR(fChannel="All",fChannel="LinkedIn Outreach")),1,0))</f>
        <v>0</v>
      </c>
    </row>
    <row r="87">
      <c r="A87" s="63" t="n"/>
      <c r="B87" s="64" t="n"/>
      <c r="C87" s="64" t="n"/>
      <c r="D87" s="64" t="n"/>
      <c r="E87" s="67" t="n"/>
      <c r="F87" s="67" t="n"/>
      <c r="G87" s="73" t="str">
        <f>IF(AND(ISNUMBER($E87),$E87&gt;0,ISNUMBER($F87)),$F87/$E87,"")</f>
        <v/>
      </c>
      <c r="H87" s="67" t="n"/>
      <c r="I87" s="67" t="n"/>
      <c r="J87" s="73" t="str">
        <f>IF(AND(ISNUMBER($H87),$H87&gt;0,ISNUMBER($I87)),$I87/$H87,"")</f>
        <v/>
      </c>
      <c r="K87" s="67" t="n"/>
      <c r="L87" s="73" t="str">
        <f>IF(AND(ISNUMBER($H87),$H87&gt;0,ISNUMBER($K87)),$K87/$H87,"")</f>
        <v/>
      </c>
      <c r="M87" s="67" t="n"/>
      <c r="N87" s="67" t="n"/>
      <c r="O87" s="67" t="n"/>
      <c r="P87" s="64" t="n"/>
      <c r="Q87" s="64" t="n"/>
      <c r="R87" s="65" t="n"/>
      <c r="S87" s="71" t="str">
        <f>IF(ISNUMBER($A87),YEAR($A87)&amp;"-"&amp;TEXT(MONTH($A87),"00"),"")</f>
        <v/>
      </c>
      <c r="T87" s="71">
        <f>IF($C87="",0,IF(AND(OR(fClient="All",$B87=fClient),OR(fCampaign="All",$C87=fCampaign),OR(fTeam="All",$P87=fTeam),OR(fChannel="All",fChannel="LinkedIn Outreach"),OR(fMonth="All",$S87=fMonth)),1,0))</f>
        <v>0</v>
      </c>
      <c r="U87" s="71">
        <f>IF($C87="",0,IF(AND(OR(fClient="All",$B87=fClient),OR(fCampaign="All",$C87=fCampaign),OR(fTeam="All",$P87=fTeam),OR(fChannel="All",fChannel="LinkedIn Outreach")),1,0))</f>
        <v>0</v>
      </c>
    </row>
    <row r="88">
      <c r="A88" s="63" t="n"/>
      <c r="B88" s="64" t="n"/>
      <c r="C88" s="64" t="n"/>
      <c r="D88" s="64" t="n"/>
      <c r="E88" s="67" t="n"/>
      <c r="F88" s="67" t="n"/>
      <c r="G88" s="73" t="str">
        <f>IF(AND(ISNUMBER($E88),$E88&gt;0,ISNUMBER($F88)),$F88/$E88,"")</f>
        <v/>
      </c>
      <c r="H88" s="67" t="n"/>
      <c r="I88" s="67" t="n"/>
      <c r="J88" s="73" t="str">
        <f>IF(AND(ISNUMBER($H88),$H88&gt;0,ISNUMBER($I88)),$I88/$H88,"")</f>
        <v/>
      </c>
      <c r="K88" s="67" t="n"/>
      <c r="L88" s="73" t="str">
        <f>IF(AND(ISNUMBER($H88),$H88&gt;0,ISNUMBER($K88)),$K88/$H88,"")</f>
        <v/>
      </c>
      <c r="M88" s="67" t="n"/>
      <c r="N88" s="67" t="n"/>
      <c r="O88" s="67" t="n"/>
      <c r="P88" s="64" t="n"/>
      <c r="Q88" s="64" t="n"/>
      <c r="R88" s="65" t="n"/>
      <c r="S88" s="71" t="str">
        <f>IF(ISNUMBER($A88),YEAR($A88)&amp;"-"&amp;TEXT(MONTH($A88),"00"),"")</f>
        <v/>
      </c>
      <c r="T88" s="71">
        <f>IF($C88="",0,IF(AND(OR(fClient="All",$B88=fClient),OR(fCampaign="All",$C88=fCampaign),OR(fTeam="All",$P88=fTeam),OR(fChannel="All",fChannel="LinkedIn Outreach"),OR(fMonth="All",$S88=fMonth)),1,0))</f>
        <v>0</v>
      </c>
      <c r="U88" s="71">
        <f>IF($C88="",0,IF(AND(OR(fClient="All",$B88=fClient),OR(fCampaign="All",$C88=fCampaign),OR(fTeam="All",$P88=fTeam),OR(fChannel="All",fChannel="LinkedIn Outreach")),1,0))</f>
        <v>0</v>
      </c>
    </row>
    <row r="89">
      <c r="A89" s="63" t="n"/>
      <c r="B89" s="64" t="n"/>
      <c r="C89" s="64" t="n"/>
      <c r="D89" s="64" t="n"/>
      <c r="E89" s="67" t="n"/>
      <c r="F89" s="67" t="n"/>
      <c r="G89" s="73" t="str">
        <f>IF(AND(ISNUMBER($E89),$E89&gt;0,ISNUMBER($F89)),$F89/$E89,"")</f>
        <v/>
      </c>
      <c r="H89" s="67" t="n"/>
      <c r="I89" s="67" t="n"/>
      <c r="J89" s="73" t="str">
        <f>IF(AND(ISNUMBER($H89),$H89&gt;0,ISNUMBER($I89)),$I89/$H89,"")</f>
        <v/>
      </c>
      <c r="K89" s="67" t="n"/>
      <c r="L89" s="73" t="str">
        <f>IF(AND(ISNUMBER($H89),$H89&gt;0,ISNUMBER($K89)),$K89/$H89,"")</f>
        <v/>
      </c>
      <c r="M89" s="67" t="n"/>
      <c r="N89" s="67" t="n"/>
      <c r="O89" s="67" t="n"/>
      <c r="P89" s="64" t="n"/>
      <c r="Q89" s="64" t="n"/>
      <c r="R89" s="65" t="n"/>
      <c r="S89" s="71" t="str">
        <f>IF(ISNUMBER($A89),YEAR($A89)&amp;"-"&amp;TEXT(MONTH($A89),"00"),"")</f>
        <v/>
      </c>
      <c r="T89" s="71">
        <f>IF($C89="",0,IF(AND(OR(fClient="All",$B89=fClient),OR(fCampaign="All",$C89=fCampaign),OR(fTeam="All",$P89=fTeam),OR(fChannel="All",fChannel="LinkedIn Outreach"),OR(fMonth="All",$S89=fMonth)),1,0))</f>
        <v>0</v>
      </c>
      <c r="U89" s="71">
        <f>IF($C89="",0,IF(AND(OR(fClient="All",$B89=fClient),OR(fCampaign="All",$C89=fCampaign),OR(fTeam="All",$P89=fTeam),OR(fChannel="All",fChannel="LinkedIn Outreach")),1,0))</f>
        <v>0</v>
      </c>
    </row>
    <row r="90">
      <c r="A90" s="63" t="n"/>
      <c r="B90" s="64" t="n"/>
      <c r="C90" s="64" t="n"/>
      <c r="D90" s="64" t="n"/>
      <c r="E90" s="67" t="n"/>
      <c r="F90" s="67" t="n"/>
      <c r="G90" s="73" t="str">
        <f>IF(AND(ISNUMBER($E90),$E90&gt;0,ISNUMBER($F90)),$F90/$E90,"")</f>
        <v/>
      </c>
      <c r="H90" s="67" t="n"/>
      <c r="I90" s="67" t="n"/>
      <c r="J90" s="73" t="str">
        <f>IF(AND(ISNUMBER($H90),$H90&gt;0,ISNUMBER($I90)),$I90/$H90,"")</f>
        <v/>
      </c>
      <c r="K90" s="67" t="n"/>
      <c r="L90" s="73" t="str">
        <f>IF(AND(ISNUMBER($H90),$H90&gt;0,ISNUMBER($K90)),$K90/$H90,"")</f>
        <v/>
      </c>
      <c r="M90" s="67" t="n"/>
      <c r="N90" s="67" t="n"/>
      <c r="O90" s="67" t="n"/>
      <c r="P90" s="64" t="n"/>
      <c r="Q90" s="64" t="n"/>
      <c r="R90" s="65" t="n"/>
      <c r="S90" s="71" t="str">
        <f>IF(ISNUMBER($A90),YEAR($A90)&amp;"-"&amp;TEXT(MONTH($A90),"00"),"")</f>
        <v/>
      </c>
      <c r="T90" s="71">
        <f>IF($C90="",0,IF(AND(OR(fClient="All",$B90=fClient),OR(fCampaign="All",$C90=fCampaign),OR(fTeam="All",$P90=fTeam),OR(fChannel="All",fChannel="LinkedIn Outreach"),OR(fMonth="All",$S90=fMonth)),1,0))</f>
        <v>0</v>
      </c>
      <c r="U90" s="71">
        <f>IF($C90="",0,IF(AND(OR(fClient="All",$B90=fClient),OR(fCampaign="All",$C90=fCampaign),OR(fTeam="All",$P90=fTeam),OR(fChannel="All",fChannel="LinkedIn Outreach")),1,0))</f>
        <v>0</v>
      </c>
    </row>
    <row r="91">
      <c r="A91" s="63" t="n"/>
      <c r="B91" s="64" t="n"/>
      <c r="C91" s="64" t="n"/>
      <c r="D91" s="64" t="n"/>
      <c r="E91" s="67" t="n"/>
      <c r="F91" s="67" t="n"/>
      <c r="G91" s="73" t="str">
        <f>IF(AND(ISNUMBER($E91),$E91&gt;0,ISNUMBER($F91)),$F91/$E91,"")</f>
        <v/>
      </c>
      <c r="H91" s="67" t="n"/>
      <c r="I91" s="67" t="n"/>
      <c r="J91" s="73" t="str">
        <f>IF(AND(ISNUMBER($H91),$H91&gt;0,ISNUMBER($I91)),$I91/$H91,"")</f>
        <v/>
      </c>
      <c r="K91" s="67" t="n"/>
      <c r="L91" s="73" t="str">
        <f>IF(AND(ISNUMBER($H91),$H91&gt;0,ISNUMBER($K91)),$K91/$H91,"")</f>
        <v/>
      </c>
      <c r="M91" s="67" t="n"/>
      <c r="N91" s="67" t="n"/>
      <c r="O91" s="67" t="n"/>
      <c r="P91" s="64" t="n"/>
      <c r="Q91" s="64" t="n"/>
      <c r="R91" s="65" t="n"/>
      <c r="S91" s="71" t="str">
        <f>IF(ISNUMBER($A91),YEAR($A91)&amp;"-"&amp;TEXT(MONTH($A91),"00"),"")</f>
        <v/>
      </c>
      <c r="T91" s="71">
        <f>IF($C91="",0,IF(AND(OR(fClient="All",$B91=fClient),OR(fCampaign="All",$C91=fCampaign),OR(fTeam="All",$P91=fTeam),OR(fChannel="All",fChannel="LinkedIn Outreach"),OR(fMonth="All",$S91=fMonth)),1,0))</f>
        <v>0</v>
      </c>
      <c r="U91" s="71">
        <f>IF($C91="",0,IF(AND(OR(fClient="All",$B91=fClient),OR(fCampaign="All",$C91=fCampaign),OR(fTeam="All",$P91=fTeam),OR(fChannel="All",fChannel="LinkedIn Outreach")),1,0))</f>
        <v>0</v>
      </c>
    </row>
    <row r="92">
      <c r="A92" s="63" t="n"/>
      <c r="B92" s="64" t="n"/>
      <c r="C92" s="64" t="n"/>
      <c r="D92" s="64" t="n"/>
      <c r="E92" s="67" t="n"/>
      <c r="F92" s="67" t="n"/>
      <c r="G92" s="73" t="str">
        <f>IF(AND(ISNUMBER($E92),$E92&gt;0,ISNUMBER($F92)),$F92/$E92,"")</f>
        <v/>
      </c>
      <c r="H92" s="67" t="n"/>
      <c r="I92" s="67" t="n"/>
      <c r="J92" s="73" t="str">
        <f>IF(AND(ISNUMBER($H92),$H92&gt;0,ISNUMBER($I92)),$I92/$H92,"")</f>
        <v/>
      </c>
      <c r="K92" s="67" t="n"/>
      <c r="L92" s="73" t="str">
        <f>IF(AND(ISNUMBER($H92),$H92&gt;0,ISNUMBER($K92)),$K92/$H92,"")</f>
        <v/>
      </c>
      <c r="M92" s="67" t="n"/>
      <c r="N92" s="67" t="n"/>
      <c r="O92" s="67" t="n"/>
      <c r="P92" s="64" t="n"/>
      <c r="Q92" s="64" t="n"/>
      <c r="R92" s="65" t="n"/>
      <c r="S92" s="71" t="str">
        <f>IF(ISNUMBER($A92),YEAR($A92)&amp;"-"&amp;TEXT(MONTH($A92),"00"),"")</f>
        <v/>
      </c>
      <c r="T92" s="71">
        <f>IF($C92="",0,IF(AND(OR(fClient="All",$B92=fClient),OR(fCampaign="All",$C92=fCampaign),OR(fTeam="All",$P92=fTeam),OR(fChannel="All",fChannel="LinkedIn Outreach"),OR(fMonth="All",$S92=fMonth)),1,0))</f>
        <v>0</v>
      </c>
      <c r="U92" s="71">
        <f>IF($C92="",0,IF(AND(OR(fClient="All",$B92=fClient),OR(fCampaign="All",$C92=fCampaign),OR(fTeam="All",$P92=fTeam),OR(fChannel="All",fChannel="LinkedIn Outreach")),1,0))</f>
        <v>0</v>
      </c>
    </row>
    <row r="93">
      <c r="A93" s="63" t="n"/>
      <c r="B93" s="64" t="n"/>
      <c r="C93" s="64" t="n"/>
      <c r="D93" s="64" t="n"/>
      <c r="E93" s="67" t="n"/>
      <c r="F93" s="67" t="n"/>
      <c r="G93" s="73" t="str">
        <f>IF(AND(ISNUMBER($E93),$E93&gt;0,ISNUMBER($F93)),$F93/$E93,"")</f>
        <v/>
      </c>
      <c r="H93" s="67" t="n"/>
      <c r="I93" s="67" t="n"/>
      <c r="J93" s="73" t="str">
        <f>IF(AND(ISNUMBER($H93),$H93&gt;0,ISNUMBER($I93)),$I93/$H93,"")</f>
        <v/>
      </c>
      <c r="K93" s="67" t="n"/>
      <c r="L93" s="73" t="str">
        <f>IF(AND(ISNUMBER($H93),$H93&gt;0,ISNUMBER($K93)),$K93/$H93,"")</f>
        <v/>
      </c>
      <c r="M93" s="67" t="n"/>
      <c r="N93" s="67" t="n"/>
      <c r="O93" s="67" t="n"/>
      <c r="P93" s="64" t="n"/>
      <c r="Q93" s="64" t="n"/>
      <c r="R93" s="65" t="n"/>
      <c r="S93" s="71" t="str">
        <f>IF(ISNUMBER($A93),YEAR($A93)&amp;"-"&amp;TEXT(MONTH($A93),"00"),"")</f>
        <v/>
      </c>
      <c r="T93" s="71">
        <f>IF($C93="",0,IF(AND(OR(fClient="All",$B93=fClient),OR(fCampaign="All",$C93=fCampaign),OR(fTeam="All",$P93=fTeam),OR(fChannel="All",fChannel="LinkedIn Outreach"),OR(fMonth="All",$S93=fMonth)),1,0))</f>
        <v>0</v>
      </c>
      <c r="U93" s="71">
        <f>IF($C93="",0,IF(AND(OR(fClient="All",$B93=fClient),OR(fCampaign="All",$C93=fCampaign),OR(fTeam="All",$P93=fTeam),OR(fChannel="All",fChannel="LinkedIn Outreach")),1,0))</f>
        <v>0</v>
      </c>
    </row>
    <row r="94">
      <c r="A94" s="63" t="n"/>
      <c r="B94" s="64" t="n"/>
      <c r="C94" s="64" t="n"/>
      <c r="D94" s="64" t="n"/>
      <c r="E94" s="67" t="n"/>
      <c r="F94" s="67" t="n"/>
      <c r="G94" s="73" t="str">
        <f>IF(AND(ISNUMBER($E94),$E94&gt;0,ISNUMBER($F94)),$F94/$E94,"")</f>
        <v/>
      </c>
      <c r="H94" s="67" t="n"/>
      <c r="I94" s="67" t="n"/>
      <c r="J94" s="73" t="str">
        <f>IF(AND(ISNUMBER($H94),$H94&gt;0,ISNUMBER($I94)),$I94/$H94,"")</f>
        <v/>
      </c>
      <c r="K94" s="67" t="n"/>
      <c r="L94" s="73" t="str">
        <f>IF(AND(ISNUMBER($H94),$H94&gt;0,ISNUMBER($K94)),$K94/$H94,"")</f>
        <v/>
      </c>
      <c r="M94" s="67" t="n"/>
      <c r="N94" s="67" t="n"/>
      <c r="O94" s="67" t="n"/>
      <c r="P94" s="64" t="n"/>
      <c r="Q94" s="64" t="n"/>
      <c r="R94" s="65" t="n"/>
      <c r="S94" s="71" t="str">
        <f>IF(ISNUMBER($A94),YEAR($A94)&amp;"-"&amp;TEXT(MONTH($A94),"00"),"")</f>
        <v/>
      </c>
      <c r="T94" s="71">
        <f>IF($C94="",0,IF(AND(OR(fClient="All",$B94=fClient),OR(fCampaign="All",$C94=fCampaign),OR(fTeam="All",$P94=fTeam),OR(fChannel="All",fChannel="LinkedIn Outreach"),OR(fMonth="All",$S94=fMonth)),1,0))</f>
        <v>0</v>
      </c>
      <c r="U94" s="71">
        <f>IF($C94="",0,IF(AND(OR(fClient="All",$B94=fClient),OR(fCampaign="All",$C94=fCampaign),OR(fTeam="All",$P94=fTeam),OR(fChannel="All",fChannel="LinkedIn Outreach")),1,0))</f>
        <v>0</v>
      </c>
    </row>
    <row r="95">
      <c r="A95" s="63" t="n"/>
      <c r="B95" s="64" t="n"/>
      <c r="C95" s="64" t="n"/>
      <c r="D95" s="64" t="n"/>
      <c r="E95" s="67" t="n"/>
      <c r="F95" s="67" t="n"/>
      <c r="G95" s="73" t="str">
        <f>IF(AND(ISNUMBER($E95),$E95&gt;0,ISNUMBER($F95)),$F95/$E95,"")</f>
        <v/>
      </c>
      <c r="H95" s="67" t="n"/>
      <c r="I95" s="67" t="n"/>
      <c r="J95" s="73" t="str">
        <f>IF(AND(ISNUMBER($H95),$H95&gt;0,ISNUMBER($I95)),$I95/$H95,"")</f>
        <v/>
      </c>
      <c r="K95" s="67" t="n"/>
      <c r="L95" s="73" t="str">
        <f>IF(AND(ISNUMBER($H95),$H95&gt;0,ISNUMBER($K95)),$K95/$H95,"")</f>
        <v/>
      </c>
      <c r="M95" s="67" t="n"/>
      <c r="N95" s="67" t="n"/>
      <c r="O95" s="67" t="n"/>
      <c r="P95" s="64" t="n"/>
      <c r="Q95" s="64" t="n"/>
      <c r="R95" s="65" t="n"/>
      <c r="S95" s="71" t="str">
        <f>IF(ISNUMBER($A95),YEAR($A95)&amp;"-"&amp;TEXT(MONTH($A95),"00"),"")</f>
        <v/>
      </c>
      <c r="T95" s="71">
        <f>IF($C95="",0,IF(AND(OR(fClient="All",$B95=fClient),OR(fCampaign="All",$C95=fCampaign),OR(fTeam="All",$P95=fTeam),OR(fChannel="All",fChannel="LinkedIn Outreach"),OR(fMonth="All",$S95=fMonth)),1,0))</f>
        <v>0</v>
      </c>
      <c r="U95" s="71">
        <f>IF($C95="",0,IF(AND(OR(fClient="All",$B95=fClient),OR(fCampaign="All",$C95=fCampaign),OR(fTeam="All",$P95=fTeam),OR(fChannel="All",fChannel="LinkedIn Outreach")),1,0))</f>
        <v>0</v>
      </c>
    </row>
    <row r="96">
      <c r="A96" s="63" t="n"/>
      <c r="B96" s="64" t="n"/>
      <c r="C96" s="64" t="n"/>
      <c r="D96" s="64" t="n"/>
      <c r="E96" s="67" t="n"/>
      <c r="F96" s="67" t="n"/>
      <c r="G96" s="73" t="str">
        <f>IF(AND(ISNUMBER($E96),$E96&gt;0,ISNUMBER($F96)),$F96/$E96,"")</f>
        <v/>
      </c>
      <c r="H96" s="67" t="n"/>
      <c r="I96" s="67" t="n"/>
      <c r="J96" s="73" t="str">
        <f>IF(AND(ISNUMBER($H96),$H96&gt;0,ISNUMBER($I96)),$I96/$H96,"")</f>
        <v/>
      </c>
      <c r="K96" s="67" t="n"/>
      <c r="L96" s="73" t="str">
        <f>IF(AND(ISNUMBER($H96),$H96&gt;0,ISNUMBER($K96)),$K96/$H96,"")</f>
        <v/>
      </c>
      <c r="M96" s="67" t="n"/>
      <c r="N96" s="67" t="n"/>
      <c r="O96" s="67" t="n"/>
      <c r="P96" s="64" t="n"/>
      <c r="Q96" s="64" t="n"/>
      <c r="R96" s="65" t="n"/>
      <c r="S96" s="71" t="str">
        <f>IF(ISNUMBER($A96),YEAR($A96)&amp;"-"&amp;TEXT(MONTH($A96),"00"),"")</f>
        <v/>
      </c>
      <c r="T96" s="71">
        <f>IF($C96="",0,IF(AND(OR(fClient="All",$B96=fClient),OR(fCampaign="All",$C96=fCampaign),OR(fTeam="All",$P96=fTeam),OR(fChannel="All",fChannel="LinkedIn Outreach"),OR(fMonth="All",$S96=fMonth)),1,0))</f>
        <v>0</v>
      </c>
      <c r="U96" s="71">
        <f>IF($C96="",0,IF(AND(OR(fClient="All",$B96=fClient),OR(fCampaign="All",$C96=fCampaign),OR(fTeam="All",$P96=fTeam),OR(fChannel="All",fChannel="LinkedIn Outreach")),1,0))</f>
        <v>0</v>
      </c>
    </row>
    <row r="97">
      <c r="A97" s="63" t="n"/>
      <c r="B97" s="64" t="n"/>
      <c r="C97" s="64" t="n"/>
      <c r="D97" s="64" t="n"/>
      <c r="E97" s="67" t="n"/>
      <c r="F97" s="67" t="n"/>
      <c r="G97" s="73" t="str">
        <f>IF(AND(ISNUMBER($E97),$E97&gt;0,ISNUMBER($F97)),$F97/$E97,"")</f>
        <v/>
      </c>
      <c r="H97" s="67" t="n"/>
      <c r="I97" s="67" t="n"/>
      <c r="J97" s="73" t="str">
        <f>IF(AND(ISNUMBER($H97),$H97&gt;0,ISNUMBER($I97)),$I97/$H97,"")</f>
        <v/>
      </c>
      <c r="K97" s="67" t="n"/>
      <c r="L97" s="73" t="str">
        <f>IF(AND(ISNUMBER($H97),$H97&gt;0,ISNUMBER($K97)),$K97/$H97,"")</f>
        <v/>
      </c>
      <c r="M97" s="67" t="n"/>
      <c r="N97" s="67" t="n"/>
      <c r="O97" s="67" t="n"/>
      <c r="P97" s="64" t="n"/>
      <c r="Q97" s="64" t="n"/>
      <c r="R97" s="65" t="n"/>
      <c r="S97" s="71" t="str">
        <f>IF(ISNUMBER($A97),YEAR($A97)&amp;"-"&amp;TEXT(MONTH($A97),"00"),"")</f>
        <v/>
      </c>
      <c r="T97" s="71">
        <f>IF($C97="",0,IF(AND(OR(fClient="All",$B97=fClient),OR(fCampaign="All",$C97=fCampaign),OR(fTeam="All",$P97=fTeam),OR(fChannel="All",fChannel="LinkedIn Outreach"),OR(fMonth="All",$S97=fMonth)),1,0))</f>
        <v>0</v>
      </c>
      <c r="U97" s="71">
        <f>IF($C97="",0,IF(AND(OR(fClient="All",$B97=fClient),OR(fCampaign="All",$C97=fCampaign),OR(fTeam="All",$P97=fTeam),OR(fChannel="All",fChannel="LinkedIn Outreach")),1,0))</f>
        <v>0</v>
      </c>
    </row>
    <row r="98">
      <c r="A98" s="63" t="n"/>
      <c r="B98" s="64" t="n"/>
      <c r="C98" s="64" t="n"/>
      <c r="D98" s="64" t="n"/>
      <c r="E98" s="67" t="n"/>
      <c r="F98" s="67" t="n"/>
      <c r="G98" s="73" t="str">
        <f>IF(AND(ISNUMBER($E98),$E98&gt;0,ISNUMBER($F98)),$F98/$E98,"")</f>
        <v/>
      </c>
      <c r="H98" s="67" t="n"/>
      <c r="I98" s="67" t="n"/>
      <c r="J98" s="73" t="str">
        <f>IF(AND(ISNUMBER($H98),$H98&gt;0,ISNUMBER($I98)),$I98/$H98,"")</f>
        <v/>
      </c>
      <c r="K98" s="67" t="n"/>
      <c r="L98" s="73" t="str">
        <f>IF(AND(ISNUMBER($H98),$H98&gt;0,ISNUMBER($K98)),$K98/$H98,"")</f>
        <v/>
      </c>
      <c r="M98" s="67" t="n"/>
      <c r="N98" s="67" t="n"/>
      <c r="O98" s="67" t="n"/>
      <c r="P98" s="64" t="n"/>
      <c r="Q98" s="64" t="n"/>
      <c r="R98" s="65" t="n"/>
      <c r="S98" s="71" t="str">
        <f>IF(ISNUMBER($A98),YEAR($A98)&amp;"-"&amp;TEXT(MONTH($A98),"00"),"")</f>
        <v/>
      </c>
      <c r="T98" s="71">
        <f>IF($C98="",0,IF(AND(OR(fClient="All",$B98=fClient),OR(fCampaign="All",$C98=fCampaign),OR(fTeam="All",$P98=fTeam),OR(fChannel="All",fChannel="LinkedIn Outreach"),OR(fMonth="All",$S98=fMonth)),1,0))</f>
        <v>0</v>
      </c>
      <c r="U98" s="71">
        <f>IF($C98="",0,IF(AND(OR(fClient="All",$B98=fClient),OR(fCampaign="All",$C98=fCampaign),OR(fTeam="All",$P98=fTeam),OR(fChannel="All",fChannel="LinkedIn Outreach")),1,0))</f>
        <v>0</v>
      </c>
    </row>
    <row r="99">
      <c r="A99" s="63" t="n"/>
      <c r="B99" s="64" t="n"/>
      <c r="C99" s="64" t="n"/>
      <c r="D99" s="64" t="n"/>
      <c r="E99" s="67" t="n"/>
      <c r="F99" s="67" t="n"/>
      <c r="G99" s="73" t="str">
        <f>IF(AND(ISNUMBER($E99),$E99&gt;0,ISNUMBER($F99)),$F99/$E99,"")</f>
        <v/>
      </c>
      <c r="H99" s="67" t="n"/>
      <c r="I99" s="67" t="n"/>
      <c r="J99" s="73" t="str">
        <f>IF(AND(ISNUMBER($H99),$H99&gt;0,ISNUMBER($I99)),$I99/$H99,"")</f>
        <v/>
      </c>
      <c r="K99" s="67" t="n"/>
      <c r="L99" s="73" t="str">
        <f>IF(AND(ISNUMBER($H99),$H99&gt;0,ISNUMBER($K99)),$K99/$H99,"")</f>
        <v/>
      </c>
      <c r="M99" s="67" t="n"/>
      <c r="N99" s="67" t="n"/>
      <c r="O99" s="67" t="n"/>
      <c r="P99" s="64" t="n"/>
      <c r="Q99" s="64" t="n"/>
      <c r="R99" s="65" t="n"/>
      <c r="S99" s="71" t="str">
        <f>IF(ISNUMBER($A99),YEAR($A99)&amp;"-"&amp;TEXT(MONTH($A99),"00"),"")</f>
        <v/>
      </c>
      <c r="T99" s="71">
        <f>IF($C99="",0,IF(AND(OR(fClient="All",$B99=fClient),OR(fCampaign="All",$C99=fCampaign),OR(fTeam="All",$P99=fTeam),OR(fChannel="All",fChannel="LinkedIn Outreach"),OR(fMonth="All",$S99=fMonth)),1,0))</f>
        <v>0</v>
      </c>
      <c r="U99" s="71">
        <f>IF($C99="",0,IF(AND(OR(fClient="All",$B99=fClient),OR(fCampaign="All",$C99=fCampaign),OR(fTeam="All",$P99=fTeam),OR(fChannel="All",fChannel="LinkedIn Outreach")),1,0))</f>
        <v>0</v>
      </c>
    </row>
    <row r="100">
      <c r="A100" s="63" t="n"/>
      <c r="B100" s="64" t="n"/>
      <c r="C100" s="64" t="n"/>
      <c r="D100" s="64" t="n"/>
      <c r="E100" s="67" t="n"/>
      <c r="F100" s="67" t="n"/>
      <c r="G100" s="73" t="str">
        <f>IF(AND(ISNUMBER($E100),$E100&gt;0,ISNUMBER($F100)),$F100/$E100,"")</f>
        <v/>
      </c>
      <c r="H100" s="67" t="n"/>
      <c r="I100" s="67" t="n"/>
      <c r="J100" s="73" t="str">
        <f>IF(AND(ISNUMBER($H100),$H100&gt;0,ISNUMBER($I100)),$I100/$H100,"")</f>
        <v/>
      </c>
      <c r="K100" s="67" t="n"/>
      <c r="L100" s="73" t="str">
        <f>IF(AND(ISNUMBER($H100),$H100&gt;0,ISNUMBER($K100)),$K100/$H100,"")</f>
        <v/>
      </c>
      <c r="M100" s="67" t="n"/>
      <c r="N100" s="67" t="n"/>
      <c r="O100" s="67" t="n"/>
      <c r="P100" s="64" t="n"/>
      <c r="Q100" s="64" t="n"/>
      <c r="R100" s="65" t="n"/>
      <c r="S100" s="71" t="str">
        <f>IF(ISNUMBER($A100),YEAR($A100)&amp;"-"&amp;TEXT(MONTH($A100),"00"),"")</f>
        <v/>
      </c>
      <c r="T100" s="71">
        <f>IF($C100="",0,IF(AND(OR(fClient="All",$B100=fClient),OR(fCampaign="All",$C100=fCampaign),OR(fTeam="All",$P100=fTeam),OR(fChannel="All",fChannel="LinkedIn Outreach"),OR(fMonth="All",$S100=fMonth)),1,0))</f>
        <v>0</v>
      </c>
      <c r="U100" s="71">
        <f>IF($C100="",0,IF(AND(OR(fClient="All",$B100=fClient),OR(fCampaign="All",$C100=fCampaign),OR(fTeam="All",$P100=fTeam),OR(fChannel="All",fChannel="LinkedIn Outreach")),1,0))</f>
        <v>0</v>
      </c>
    </row>
    <row r="101">
      <c r="A101" s="63" t="n"/>
      <c r="B101" s="64" t="n"/>
      <c r="C101" s="64" t="n"/>
      <c r="D101" s="64" t="n"/>
      <c r="E101" s="67" t="n"/>
      <c r="F101" s="67" t="n"/>
      <c r="G101" s="73" t="str">
        <f>IF(AND(ISNUMBER($E101),$E101&gt;0,ISNUMBER($F101)),$F101/$E101,"")</f>
        <v/>
      </c>
      <c r="H101" s="67" t="n"/>
      <c r="I101" s="67" t="n"/>
      <c r="J101" s="73" t="str">
        <f>IF(AND(ISNUMBER($H101),$H101&gt;0,ISNUMBER($I101)),$I101/$H101,"")</f>
        <v/>
      </c>
      <c r="K101" s="67" t="n"/>
      <c r="L101" s="73" t="str">
        <f>IF(AND(ISNUMBER($H101),$H101&gt;0,ISNUMBER($K101)),$K101/$H101,"")</f>
        <v/>
      </c>
      <c r="M101" s="67" t="n"/>
      <c r="N101" s="67" t="n"/>
      <c r="O101" s="67" t="n"/>
      <c r="P101" s="64" t="n"/>
      <c r="Q101" s="64" t="n"/>
      <c r="R101" s="65" t="n"/>
      <c r="S101" s="71" t="str">
        <f>IF(ISNUMBER($A101),YEAR($A101)&amp;"-"&amp;TEXT(MONTH($A101),"00"),"")</f>
        <v/>
      </c>
      <c r="T101" s="71">
        <f>IF($C101="",0,IF(AND(OR(fClient="All",$B101=fClient),OR(fCampaign="All",$C101=fCampaign),OR(fTeam="All",$P101=fTeam),OR(fChannel="All",fChannel="LinkedIn Outreach"),OR(fMonth="All",$S101=fMonth)),1,0))</f>
        <v>0</v>
      </c>
      <c r="U101" s="71">
        <f>IF($C101="",0,IF(AND(OR(fClient="All",$B101=fClient),OR(fCampaign="All",$C101=fCampaign),OR(fTeam="All",$P101=fTeam),OR(fChannel="All",fChannel="LinkedIn Outreach")),1,0))</f>
        <v>0</v>
      </c>
    </row>
    <row r="102">
      <c r="A102" s="63" t="n"/>
      <c r="B102" s="64" t="n"/>
      <c r="C102" s="64" t="n"/>
      <c r="D102" s="64" t="n"/>
      <c r="E102" s="67" t="n"/>
      <c r="F102" s="67" t="n"/>
      <c r="G102" s="73" t="str">
        <f>IF(AND(ISNUMBER($E102),$E102&gt;0,ISNUMBER($F102)),$F102/$E102,"")</f>
        <v/>
      </c>
      <c r="H102" s="67" t="n"/>
      <c r="I102" s="67" t="n"/>
      <c r="J102" s="73" t="str">
        <f>IF(AND(ISNUMBER($H102),$H102&gt;0,ISNUMBER($I102)),$I102/$H102,"")</f>
        <v/>
      </c>
      <c r="K102" s="67" t="n"/>
      <c r="L102" s="73" t="str">
        <f>IF(AND(ISNUMBER($H102),$H102&gt;0,ISNUMBER($K102)),$K102/$H102,"")</f>
        <v/>
      </c>
      <c r="M102" s="67" t="n"/>
      <c r="N102" s="67" t="n"/>
      <c r="O102" s="67" t="n"/>
      <c r="P102" s="64" t="n"/>
      <c r="Q102" s="64" t="n"/>
      <c r="R102" s="65" t="n"/>
      <c r="S102" s="71" t="str">
        <f>IF(ISNUMBER($A102),YEAR($A102)&amp;"-"&amp;TEXT(MONTH($A102),"00"),"")</f>
        <v/>
      </c>
      <c r="T102" s="71">
        <f>IF($C102="",0,IF(AND(OR(fClient="All",$B102=fClient),OR(fCampaign="All",$C102=fCampaign),OR(fTeam="All",$P102=fTeam),OR(fChannel="All",fChannel="LinkedIn Outreach"),OR(fMonth="All",$S102=fMonth)),1,0))</f>
        <v>0</v>
      </c>
      <c r="U102" s="71">
        <f>IF($C102="",0,IF(AND(OR(fClient="All",$B102=fClient),OR(fCampaign="All",$C102=fCampaign),OR(fTeam="All",$P102=fTeam),OR(fChannel="All",fChannel="LinkedIn Outreach")),1,0))</f>
        <v>0</v>
      </c>
    </row>
    <row r="103">
      <c r="A103" s="63" t="n"/>
      <c r="B103" s="64" t="n"/>
      <c r="C103" s="64" t="n"/>
      <c r="D103" s="64" t="n"/>
      <c r="E103" s="67" t="n"/>
      <c r="F103" s="67" t="n"/>
      <c r="G103" s="73" t="str">
        <f>IF(AND(ISNUMBER($E103),$E103&gt;0,ISNUMBER($F103)),$F103/$E103,"")</f>
        <v/>
      </c>
      <c r="H103" s="67" t="n"/>
      <c r="I103" s="67" t="n"/>
      <c r="J103" s="73" t="str">
        <f>IF(AND(ISNUMBER($H103),$H103&gt;0,ISNUMBER($I103)),$I103/$H103,"")</f>
        <v/>
      </c>
      <c r="K103" s="67" t="n"/>
      <c r="L103" s="73" t="str">
        <f>IF(AND(ISNUMBER($H103),$H103&gt;0,ISNUMBER($K103)),$K103/$H103,"")</f>
        <v/>
      </c>
      <c r="M103" s="67" t="n"/>
      <c r="N103" s="67" t="n"/>
      <c r="O103" s="67" t="n"/>
      <c r="P103" s="64" t="n"/>
      <c r="Q103" s="64" t="n"/>
      <c r="R103" s="65" t="n"/>
      <c r="S103" s="71" t="str">
        <f>IF(ISNUMBER($A103),YEAR($A103)&amp;"-"&amp;TEXT(MONTH($A103),"00"),"")</f>
        <v/>
      </c>
      <c r="T103" s="71">
        <f>IF($C103="",0,IF(AND(OR(fClient="All",$B103=fClient),OR(fCampaign="All",$C103=fCampaign),OR(fTeam="All",$P103=fTeam),OR(fChannel="All",fChannel="LinkedIn Outreach"),OR(fMonth="All",$S103=fMonth)),1,0))</f>
        <v>0</v>
      </c>
      <c r="U103" s="71">
        <f>IF($C103="",0,IF(AND(OR(fClient="All",$B103=fClient),OR(fCampaign="All",$C103=fCampaign),OR(fTeam="All",$P103=fTeam),OR(fChannel="All",fChannel="LinkedIn Outreach")),1,0))</f>
        <v>0</v>
      </c>
    </row>
    <row r="104">
      <c r="A104" s="63" t="n"/>
      <c r="B104" s="64" t="n"/>
      <c r="C104" s="64" t="n"/>
      <c r="D104" s="64" t="n"/>
      <c r="E104" s="67" t="n"/>
      <c r="F104" s="67" t="n"/>
      <c r="G104" s="73" t="str">
        <f>IF(AND(ISNUMBER($E104),$E104&gt;0,ISNUMBER($F104)),$F104/$E104,"")</f>
        <v/>
      </c>
      <c r="H104" s="67" t="n"/>
      <c r="I104" s="67" t="n"/>
      <c r="J104" s="73" t="str">
        <f>IF(AND(ISNUMBER($H104),$H104&gt;0,ISNUMBER($I104)),$I104/$H104,"")</f>
        <v/>
      </c>
      <c r="K104" s="67" t="n"/>
      <c r="L104" s="73" t="str">
        <f>IF(AND(ISNUMBER($H104),$H104&gt;0,ISNUMBER($K104)),$K104/$H104,"")</f>
        <v/>
      </c>
      <c r="M104" s="67" t="n"/>
      <c r="N104" s="67" t="n"/>
      <c r="O104" s="67" t="n"/>
      <c r="P104" s="64" t="n"/>
      <c r="Q104" s="64" t="n"/>
      <c r="R104" s="65" t="n"/>
      <c r="S104" s="71" t="str">
        <f>IF(ISNUMBER($A104),YEAR($A104)&amp;"-"&amp;TEXT(MONTH($A104),"00"),"")</f>
        <v/>
      </c>
      <c r="T104" s="71">
        <f>IF($C104="",0,IF(AND(OR(fClient="All",$B104=fClient),OR(fCampaign="All",$C104=fCampaign),OR(fTeam="All",$P104=fTeam),OR(fChannel="All",fChannel="LinkedIn Outreach"),OR(fMonth="All",$S104=fMonth)),1,0))</f>
        <v>0</v>
      </c>
      <c r="U104" s="71">
        <f>IF($C104="",0,IF(AND(OR(fClient="All",$B104=fClient),OR(fCampaign="All",$C104=fCampaign),OR(fTeam="All",$P104=fTeam),OR(fChannel="All",fChannel="LinkedIn Outreach")),1,0))</f>
        <v>0</v>
      </c>
    </row>
    <row r="105">
      <c r="A105" s="63" t="n"/>
      <c r="B105" s="64" t="n"/>
      <c r="C105" s="64" t="n"/>
      <c r="D105" s="64" t="n"/>
      <c r="E105" s="67" t="n"/>
      <c r="F105" s="67" t="n"/>
      <c r="G105" s="73" t="str">
        <f>IF(AND(ISNUMBER($E105),$E105&gt;0,ISNUMBER($F105)),$F105/$E105,"")</f>
        <v/>
      </c>
      <c r="H105" s="67" t="n"/>
      <c r="I105" s="67" t="n"/>
      <c r="J105" s="73" t="str">
        <f>IF(AND(ISNUMBER($H105),$H105&gt;0,ISNUMBER($I105)),$I105/$H105,"")</f>
        <v/>
      </c>
      <c r="K105" s="67" t="n"/>
      <c r="L105" s="73" t="str">
        <f>IF(AND(ISNUMBER($H105),$H105&gt;0,ISNUMBER($K105)),$K105/$H105,"")</f>
        <v/>
      </c>
      <c r="M105" s="67" t="n"/>
      <c r="N105" s="67" t="n"/>
      <c r="O105" s="67" t="n"/>
      <c r="P105" s="64" t="n"/>
      <c r="Q105" s="64" t="n"/>
      <c r="R105" s="65" t="n"/>
      <c r="S105" s="71" t="str">
        <f>IF(ISNUMBER($A105),YEAR($A105)&amp;"-"&amp;TEXT(MONTH($A105),"00"),"")</f>
        <v/>
      </c>
      <c r="T105" s="71">
        <f>IF($C105="",0,IF(AND(OR(fClient="All",$B105=fClient),OR(fCampaign="All",$C105=fCampaign),OR(fTeam="All",$P105=fTeam),OR(fChannel="All",fChannel="LinkedIn Outreach"),OR(fMonth="All",$S105=fMonth)),1,0))</f>
        <v>0</v>
      </c>
      <c r="U105" s="71">
        <f>IF($C105="",0,IF(AND(OR(fClient="All",$B105=fClient),OR(fCampaign="All",$C105=fCampaign),OR(fTeam="All",$P105=fTeam),OR(fChannel="All",fChannel="LinkedIn Outreach")),1,0))</f>
        <v>0</v>
      </c>
    </row>
    <row r="106">
      <c r="A106" s="63" t="n"/>
      <c r="B106" s="64" t="n"/>
      <c r="C106" s="64" t="n"/>
      <c r="D106" s="64" t="n"/>
      <c r="E106" s="67" t="n"/>
      <c r="F106" s="67" t="n"/>
      <c r="G106" s="73" t="str">
        <f>IF(AND(ISNUMBER($E106),$E106&gt;0,ISNUMBER($F106)),$F106/$E106,"")</f>
        <v/>
      </c>
      <c r="H106" s="67" t="n"/>
      <c r="I106" s="67" t="n"/>
      <c r="J106" s="73" t="str">
        <f>IF(AND(ISNUMBER($H106),$H106&gt;0,ISNUMBER($I106)),$I106/$H106,"")</f>
        <v/>
      </c>
      <c r="K106" s="67" t="n"/>
      <c r="L106" s="73" t="str">
        <f>IF(AND(ISNUMBER($H106),$H106&gt;0,ISNUMBER($K106)),$K106/$H106,"")</f>
        <v/>
      </c>
      <c r="M106" s="67" t="n"/>
      <c r="N106" s="67" t="n"/>
      <c r="O106" s="67" t="n"/>
      <c r="P106" s="64" t="n"/>
      <c r="Q106" s="64" t="n"/>
      <c r="R106" s="65" t="n"/>
      <c r="S106" s="71" t="str">
        <f>IF(ISNUMBER($A106),YEAR($A106)&amp;"-"&amp;TEXT(MONTH($A106),"00"),"")</f>
        <v/>
      </c>
      <c r="T106" s="71">
        <f>IF($C106="",0,IF(AND(OR(fClient="All",$B106=fClient),OR(fCampaign="All",$C106=fCampaign),OR(fTeam="All",$P106=fTeam),OR(fChannel="All",fChannel="LinkedIn Outreach"),OR(fMonth="All",$S106=fMonth)),1,0))</f>
        <v>0</v>
      </c>
      <c r="U106" s="71">
        <f>IF($C106="",0,IF(AND(OR(fClient="All",$B106=fClient),OR(fCampaign="All",$C106=fCampaign),OR(fTeam="All",$P106=fTeam),OR(fChannel="All",fChannel="LinkedIn Outreach")),1,0))</f>
        <v>0</v>
      </c>
    </row>
    <row r="107">
      <c r="A107" s="63" t="n"/>
      <c r="B107" s="64" t="n"/>
      <c r="C107" s="64" t="n"/>
      <c r="D107" s="64" t="n"/>
      <c r="E107" s="67" t="n"/>
      <c r="F107" s="67" t="n"/>
      <c r="G107" s="73" t="str">
        <f>IF(AND(ISNUMBER($E107),$E107&gt;0,ISNUMBER($F107)),$F107/$E107,"")</f>
        <v/>
      </c>
      <c r="H107" s="67" t="n"/>
      <c r="I107" s="67" t="n"/>
      <c r="J107" s="73" t="str">
        <f>IF(AND(ISNUMBER($H107),$H107&gt;0,ISNUMBER($I107)),$I107/$H107,"")</f>
        <v/>
      </c>
      <c r="K107" s="67" t="n"/>
      <c r="L107" s="73" t="str">
        <f>IF(AND(ISNUMBER($H107),$H107&gt;0,ISNUMBER($K107)),$K107/$H107,"")</f>
        <v/>
      </c>
      <c r="M107" s="67" t="n"/>
      <c r="N107" s="67" t="n"/>
      <c r="O107" s="67" t="n"/>
      <c r="P107" s="64" t="n"/>
      <c r="Q107" s="64" t="n"/>
      <c r="R107" s="65" t="n"/>
      <c r="S107" s="71" t="str">
        <f>IF(ISNUMBER($A107),YEAR($A107)&amp;"-"&amp;TEXT(MONTH($A107),"00"),"")</f>
        <v/>
      </c>
      <c r="T107" s="71">
        <f>IF($C107="",0,IF(AND(OR(fClient="All",$B107=fClient),OR(fCampaign="All",$C107=fCampaign),OR(fTeam="All",$P107=fTeam),OR(fChannel="All",fChannel="LinkedIn Outreach"),OR(fMonth="All",$S107=fMonth)),1,0))</f>
        <v>0</v>
      </c>
      <c r="U107" s="71">
        <f>IF($C107="",0,IF(AND(OR(fClient="All",$B107=fClient),OR(fCampaign="All",$C107=fCampaign),OR(fTeam="All",$P107=fTeam),OR(fChannel="All",fChannel="LinkedIn Outreach")),1,0))</f>
        <v>0</v>
      </c>
    </row>
    <row r="108">
      <c r="A108" s="63" t="n"/>
      <c r="B108" s="64" t="n"/>
      <c r="C108" s="64" t="n"/>
      <c r="D108" s="64" t="n"/>
      <c r="E108" s="67" t="n"/>
      <c r="F108" s="67" t="n"/>
      <c r="G108" s="73" t="str">
        <f>IF(AND(ISNUMBER($E108),$E108&gt;0,ISNUMBER($F108)),$F108/$E108,"")</f>
        <v/>
      </c>
      <c r="H108" s="67" t="n"/>
      <c r="I108" s="67" t="n"/>
      <c r="J108" s="73" t="str">
        <f>IF(AND(ISNUMBER($H108),$H108&gt;0,ISNUMBER($I108)),$I108/$H108,"")</f>
        <v/>
      </c>
      <c r="K108" s="67" t="n"/>
      <c r="L108" s="73" t="str">
        <f>IF(AND(ISNUMBER($H108),$H108&gt;0,ISNUMBER($K108)),$K108/$H108,"")</f>
        <v/>
      </c>
      <c r="M108" s="67" t="n"/>
      <c r="N108" s="67" t="n"/>
      <c r="O108" s="67" t="n"/>
      <c r="P108" s="64" t="n"/>
      <c r="Q108" s="64" t="n"/>
      <c r="R108" s="65" t="n"/>
      <c r="S108" s="71" t="str">
        <f>IF(ISNUMBER($A108),YEAR($A108)&amp;"-"&amp;TEXT(MONTH($A108),"00"),"")</f>
        <v/>
      </c>
      <c r="T108" s="71">
        <f>IF($C108="",0,IF(AND(OR(fClient="All",$B108=fClient),OR(fCampaign="All",$C108=fCampaign),OR(fTeam="All",$P108=fTeam),OR(fChannel="All",fChannel="LinkedIn Outreach"),OR(fMonth="All",$S108=fMonth)),1,0))</f>
        <v>0</v>
      </c>
      <c r="U108" s="71">
        <f>IF($C108="",0,IF(AND(OR(fClient="All",$B108=fClient),OR(fCampaign="All",$C108=fCampaign),OR(fTeam="All",$P108=fTeam),OR(fChannel="All",fChannel="LinkedIn Outreach")),1,0))</f>
        <v>0</v>
      </c>
    </row>
    <row r="109">
      <c r="A109" s="63" t="n"/>
      <c r="B109" s="64" t="n"/>
      <c r="C109" s="64" t="n"/>
      <c r="D109" s="64" t="n"/>
      <c r="E109" s="67" t="n"/>
      <c r="F109" s="67" t="n"/>
      <c r="G109" s="73" t="str">
        <f>IF(AND(ISNUMBER($E109),$E109&gt;0,ISNUMBER($F109)),$F109/$E109,"")</f>
        <v/>
      </c>
      <c r="H109" s="67" t="n"/>
      <c r="I109" s="67" t="n"/>
      <c r="J109" s="73" t="str">
        <f>IF(AND(ISNUMBER($H109),$H109&gt;0,ISNUMBER($I109)),$I109/$H109,"")</f>
        <v/>
      </c>
      <c r="K109" s="67" t="n"/>
      <c r="L109" s="73" t="str">
        <f>IF(AND(ISNUMBER($H109),$H109&gt;0,ISNUMBER($K109)),$K109/$H109,"")</f>
        <v/>
      </c>
      <c r="M109" s="67" t="n"/>
      <c r="N109" s="67" t="n"/>
      <c r="O109" s="67" t="n"/>
      <c r="P109" s="64" t="n"/>
      <c r="Q109" s="64" t="n"/>
      <c r="R109" s="65" t="n"/>
      <c r="S109" s="71" t="str">
        <f>IF(ISNUMBER($A109),YEAR($A109)&amp;"-"&amp;TEXT(MONTH($A109),"00"),"")</f>
        <v/>
      </c>
      <c r="T109" s="71">
        <f>IF($C109="",0,IF(AND(OR(fClient="All",$B109=fClient),OR(fCampaign="All",$C109=fCampaign),OR(fTeam="All",$P109=fTeam),OR(fChannel="All",fChannel="LinkedIn Outreach"),OR(fMonth="All",$S109=fMonth)),1,0))</f>
        <v>0</v>
      </c>
      <c r="U109" s="71">
        <f>IF($C109="",0,IF(AND(OR(fClient="All",$B109=fClient),OR(fCampaign="All",$C109=fCampaign),OR(fTeam="All",$P109=fTeam),OR(fChannel="All",fChannel="LinkedIn Outreach")),1,0))</f>
        <v>0</v>
      </c>
    </row>
    <row r="110">
      <c r="A110" s="63" t="n"/>
      <c r="B110" s="64" t="n"/>
      <c r="C110" s="64" t="n"/>
      <c r="D110" s="64" t="n"/>
      <c r="E110" s="67" t="n"/>
      <c r="F110" s="67" t="n"/>
      <c r="G110" s="73" t="str">
        <f>IF(AND(ISNUMBER($E110),$E110&gt;0,ISNUMBER($F110)),$F110/$E110,"")</f>
        <v/>
      </c>
      <c r="H110" s="67" t="n"/>
      <c r="I110" s="67" t="n"/>
      <c r="J110" s="73" t="str">
        <f>IF(AND(ISNUMBER($H110),$H110&gt;0,ISNUMBER($I110)),$I110/$H110,"")</f>
        <v/>
      </c>
      <c r="K110" s="67" t="n"/>
      <c r="L110" s="73" t="str">
        <f>IF(AND(ISNUMBER($H110),$H110&gt;0,ISNUMBER($K110)),$K110/$H110,"")</f>
        <v/>
      </c>
      <c r="M110" s="67" t="n"/>
      <c r="N110" s="67" t="n"/>
      <c r="O110" s="67" t="n"/>
      <c r="P110" s="64" t="n"/>
      <c r="Q110" s="64" t="n"/>
      <c r="R110" s="65" t="n"/>
      <c r="S110" s="71" t="str">
        <f>IF(ISNUMBER($A110),YEAR($A110)&amp;"-"&amp;TEXT(MONTH($A110),"00"),"")</f>
        <v/>
      </c>
      <c r="T110" s="71">
        <f>IF($C110="",0,IF(AND(OR(fClient="All",$B110=fClient),OR(fCampaign="All",$C110=fCampaign),OR(fTeam="All",$P110=fTeam),OR(fChannel="All",fChannel="LinkedIn Outreach"),OR(fMonth="All",$S110=fMonth)),1,0))</f>
        <v>0</v>
      </c>
      <c r="U110" s="71">
        <f>IF($C110="",0,IF(AND(OR(fClient="All",$B110=fClient),OR(fCampaign="All",$C110=fCampaign),OR(fTeam="All",$P110=fTeam),OR(fChannel="All",fChannel="LinkedIn Outreach")),1,0))</f>
        <v>0</v>
      </c>
    </row>
    <row r="111">
      <c r="A111" s="63" t="n"/>
      <c r="B111" s="64" t="n"/>
      <c r="C111" s="64" t="n"/>
      <c r="D111" s="64" t="n"/>
      <c r="E111" s="67" t="n"/>
      <c r="F111" s="67" t="n"/>
      <c r="G111" s="73" t="str">
        <f>IF(AND(ISNUMBER($E111),$E111&gt;0,ISNUMBER($F111)),$F111/$E111,"")</f>
        <v/>
      </c>
      <c r="H111" s="67" t="n"/>
      <c r="I111" s="67" t="n"/>
      <c r="J111" s="73" t="str">
        <f>IF(AND(ISNUMBER($H111),$H111&gt;0,ISNUMBER($I111)),$I111/$H111,"")</f>
        <v/>
      </c>
      <c r="K111" s="67" t="n"/>
      <c r="L111" s="73" t="str">
        <f>IF(AND(ISNUMBER($H111),$H111&gt;0,ISNUMBER($K111)),$K111/$H111,"")</f>
        <v/>
      </c>
      <c r="M111" s="67" t="n"/>
      <c r="N111" s="67" t="n"/>
      <c r="O111" s="67" t="n"/>
      <c r="P111" s="64" t="n"/>
      <c r="Q111" s="64" t="n"/>
      <c r="R111" s="65" t="n"/>
      <c r="S111" s="71" t="str">
        <f>IF(ISNUMBER($A111),YEAR($A111)&amp;"-"&amp;TEXT(MONTH($A111),"00"),"")</f>
        <v/>
      </c>
      <c r="T111" s="71">
        <f>IF($C111="",0,IF(AND(OR(fClient="All",$B111=fClient),OR(fCampaign="All",$C111=fCampaign),OR(fTeam="All",$P111=fTeam),OR(fChannel="All",fChannel="LinkedIn Outreach"),OR(fMonth="All",$S111=fMonth)),1,0))</f>
        <v>0</v>
      </c>
      <c r="U111" s="71">
        <f>IF($C111="",0,IF(AND(OR(fClient="All",$B111=fClient),OR(fCampaign="All",$C111=fCampaign),OR(fTeam="All",$P111=fTeam),OR(fChannel="All",fChannel="LinkedIn Outreach")),1,0))</f>
        <v>0</v>
      </c>
    </row>
    <row r="112">
      <c r="A112" s="63" t="n"/>
      <c r="B112" s="64" t="n"/>
      <c r="C112" s="64" t="n"/>
      <c r="D112" s="64" t="n"/>
      <c r="E112" s="67" t="n"/>
      <c r="F112" s="67" t="n"/>
      <c r="G112" s="73" t="str">
        <f>IF(AND(ISNUMBER($E112),$E112&gt;0,ISNUMBER($F112)),$F112/$E112,"")</f>
        <v/>
      </c>
      <c r="H112" s="67" t="n"/>
      <c r="I112" s="67" t="n"/>
      <c r="J112" s="73" t="str">
        <f>IF(AND(ISNUMBER($H112),$H112&gt;0,ISNUMBER($I112)),$I112/$H112,"")</f>
        <v/>
      </c>
      <c r="K112" s="67" t="n"/>
      <c r="L112" s="73" t="str">
        <f>IF(AND(ISNUMBER($H112),$H112&gt;0,ISNUMBER($K112)),$K112/$H112,"")</f>
        <v/>
      </c>
      <c r="M112" s="67" t="n"/>
      <c r="N112" s="67" t="n"/>
      <c r="O112" s="67" t="n"/>
      <c r="P112" s="64" t="n"/>
      <c r="Q112" s="64" t="n"/>
      <c r="R112" s="65" t="n"/>
      <c r="S112" s="71" t="str">
        <f>IF(ISNUMBER($A112),YEAR($A112)&amp;"-"&amp;TEXT(MONTH($A112),"00"),"")</f>
        <v/>
      </c>
      <c r="T112" s="71">
        <f>IF($C112="",0,IF(AND(OR(fClient="All",$B112=fClient),OR(fCampaign="All",$C112=fCampaign),OR(fTeam="All",$P112=fTeam),OR(fChannel="All",fChannel="LinkedIn Outreach"),OR(fMonth="All",$S112=fMonth)),1,0))</f>
        <v>0</v>
      </c>
      <c r="U112" s="71">
        <f>IF($C112="",0,IF(AND(OR(fClient="All",$B112=fClient),OR(fCampaign="All",$C112=fCampaign),OR(fTeam="All",$P112=fTeam),OR(fChannel="All",fChannel="LinkedIn Outreach")),1,0))</f>
        <v>0</v>
      </c>
    </row>
    <row r="113">
      <c r="A113" s="63" t="n"/>
      <c r="B113" s="64" t="n"/>
      <c r="C113" s="64" t="n"/>
      <c r="D113" s="64" t="n"/>
      <c r="E113" s="67" t="n"/>
      <c r="F113" s="67" t="n"/>
      <c r="G113" s="73" t="str">
        <f>IF(AND(ISNUMBER($E113),$E113&gt;0,ISNUMBER($F113)),$F113/$E113,"")</f>
        <v/>
      </c>
      <c r="H113" s="67" t="n"/>
      <c r="I113" s="67" t="n"/>
      <c r="J113" s="73" t="str">
        <f>IF(AND(ISNUMBER($H113),$H113&gt;0,ISNUMBER($I113)),$I113/$H113,"")</f>
        <v/>
      </c>
      <c r="K113" s="67" t="n"/>
      <c r="L113" s="73" t="str">
        <f>IF(AND(ISNUMBER($H113),$H113&gt;0,ISNUMBER($K113)),$K113/$H113,"")</f>
        <v/>
      </c>
      <c r="M113" s="67" t="n"/>
      <c r="N113" s="67" t="n"/>
      <c r="O113" s="67" t="n"/>
      <c r="P113" s="64" t="n"/>
      <c r="Q113" s="64" t="n"/>
      <c r="R113" s="65" t="n"/>
      <c r="S113" s="71" t="str">
        <f>IF(ISNUMBER($A113),YEAR($A113)&amp;"-"&amp;TEXT(MONTH($A113),"00"),"")</f>
        <v/>
      </c>
      <c r="T113" s="71">
        <f>IF($C113="",0,IF(AND(OR(fClient="All",$B113=fClient),OR(fCampaign="All",$C113=fCampaign),OR(fTeam="All",$P113=fTeam),OR(fChannel="All",fChannel="LinkedIn Outreach"),OR(fMonth="All",$S113=fMonth)),1,0))</f>
        <v>0</v>
      </c>
      <c r="U113" s="71">
        <f>IF($C113="",0,IF(AND(OR(fClient="All",$B113=fClient),OR(fCampaign="All",$C113=fCampaign),OR(fTeam="All",$P113=fTeam),OR(fChannel="All",fChannel="LinkedIn Outreach")),1,0))</f>
        <v>0</v>
      </c>
    </row>
    <row r="114">
      <c r="A114" s="63" t="n"/>
      <c r="B114" s="64" t="n"/>
      <c r="C114" s="64" t="n"/>
      <c r="D114" s="64" t="n"/>
      <c r="E114" s="67" t="n"/>
      <c r="F114" s="67" t="n"/>
      <c r="G114" s="73" t="str">
        <f>IF(AND(ISNUMBER($E114),$E114&gt;0,ISNUMBER($F114)),$F114/$E114,"")</f>
        <v/>
      </c>
      <c r="H114" s="67" t="n"/>
      <c r="I114" s="67" t="n"/>
      <c r="J114" s="73" t="str">
        <f>IF(AND(ISNUMBER($H114),$H114&gt;0,ISNUMBER($I114)),$I114/$H114,"")</f>
        <v/>
      </c>
      <c r="K114" s="67" t="n"/>
      <c r="L114" s="73" t="str">
        <f>IF(AND(ISNUMBER($H114),$H114&gt;0,ISNUMBER($K114)),$K114/$H114,"")</f>
        <v/>
      </c>
      <c r="M114" s="67" t="n"/>
      <c r="N114" s="67" t="n"/>
      <c r="O114" s="67" t="n"/>
      <c r="P114" s="64" t="n"/>
      <c r="Q114" s="64" t="n"/>
      <c r="R114" s="65" t="n"/>
      <c r="S114" s="71" t="str">
        <f>IF(ISNUMBER($A114),YEAR($A114)&amp;"-"&amp;TEXT(MONTH($A114),"00"),"")</f>
        <v/>
      </c>
      <c r="T114" s="71">
        <f>IF($C114="",0,IF(AND(OR(fClient="All",$B114=fClient),OR(fCampaign="All",$C114=fCampaign),OR(fTeam="All",$P114=fTeam),OR(fChannel="All",fChannel="LinkedIn Outreach"),OR(fMonth="All",$S114=fMonth)),1,0))</f>
        <v>0</v>
      </c>
      <c r="U114" s="71">
        <f>IF($C114="",0,IF(AND(OR(fClient="All",$B114=fClient),OR(fCampaign="All",$C114=fCampaign),OR(fTeam="All",$P114=fTeam),OR(fChannel="All",fChannel="LinkedIn Outreach")),1,0))</f>
        <v>0</v>
      </c>
    </row>
    <row r="115">
      <c r="A115" s="63" t="n"/>
      <c r="B115" s="64" t="n"/>
      <c r="C115" s="64" t="n"/>
      <c r="D115" s="64" t="n"/>
      <c r="E115" s="67" t="n"/>
      <c r="F115" s="67" t="n"/>
      <c r="G115" s="73" t="str">
        <f>IF(AND(ISNUMBER($E115),$E115&gt;0,ISNUMBER($F115)),$F115/$E115,"")</f>
        <v/>
      </c>
      <c r="H115" s="67" t="n"/>
      <c r="I115" s="67" t="n"/>
      <c r="J115" s="73" t="str">
        <f>IF(AND(ISNUMBER($H115),$H115&gt;0,ISNUMBER($I115)),$I115/$H115,"")</f>
        <v/>
      </c>
      <c r="K115" s="67" t="n"/>
      <c r="L115" s="73" t="str">
        <f>IF(AND(ISNUMBER($H115),$H115&gt;0,ISNUMBER($K115)),$K115/$H115,"")</f>
        <v/>
      </c>
      <c r="M115" s="67" t="n"/>
      <c r="N115" s="67" t="n"/>
      <c r="O115" s="67" t="n"/>
      <c r="P115" s="64" t="n"/>
      <c r="Q115" s="64" t="n"/>
      <c r="R115" s="65" t="n"/>
      <c r="S115" s="71" t="str">
        <f>IF(ISNUMBER($A115),YEAR($A115)&amp;"-"&amp;TEXT(MONTH($A115),"00"),"")</f>
        <v/>
      </c>
      <c r="T115" s="71">
        <f>IF($C115="",0,IF(AND(OR(fClient="All",$B115=fClient),OR(fCampaign="All",$C115=fCampaign),OR(fTeam="All",$P115=fTeam),OR(fChannel="All",fChannel="LinkedIn Outreach"),OR(fMonth="All",$S115=fMonth)),1,0))</f>
        <v>0</v>
      </c>
      <c r="U115" s="71">
        <f>IF($C115="",0,IF(AND(OR(fClient="All",$B115=fClient),OR(fCampaign="All",$C115=fCampaign),OR(fTeam="All",$P115=fTeam),OR(fChannel="All",fChannel="LinkedIn Outreach")),1,0))</f>
        <v>0</v>
      </c>
    </row>
    <row r="116">
      <c r="A116" s="63" t="n"/>
      <c r="B116" s="64" t="n"/>
      <c r="C116" s="64" t="n"/>
      <c r="D116" s="64" t="n"/>
      <c r="E116" s="67" t="n"/>
      <c r="F116" s="67" t="n"/>
      <c r="G116" s="73" t="str">
        <f>IF(AND(ISNUMBER($E116),$E116&gt;0,ISNUMBER($F116)),$F116/$E116,"")</f>
        <v/>
      </c>
      <c r="H116" s="67" t="n"/>
      <c r="I116" s="67" t="n"/>
      <c r="J116" s="73" t="str">
        <f>IF(AND(ISNUMBER($H116),$H116&gt;0,ISNUMBER($I116)),$I116/$H116,"")</f>
        <v/>
      </c>
      <c r="K116" s="67" t="n"/>
      <c r="L116" s="73" t="str">
        <f>IF(AND(ISNUMBER($H116),$H116&gt;0,ISNUMBER($K116)),$K116/$H116,"")</f>
        <v/>
      </c>
      <c r="M116" s="67" t="n"/>
      <c r="N116" s="67" t="n"/>
      <c r="O116" s="67" t="n"/>
      <c r="P116" s="64" t="n"/>
      <c r="Q116" s="64" t="n"/>
      <c r="R116" s="65" t="n"/>
      <c r="S116" s="71" t="str">
        <f>IF(ISNUMBER($A116),YEAR($A116)&amp;"-"&amp;TEXT(MONTH($A116),"00"),"")</f>
        <v/>
      </c>
      <c r="T116" s="71">
        <f>IF($C116="",0,IF(AND(OR(fClient="All",$B116=fClient),OR(fCampaign="All",$C116=fCampaign),OR(fTeam="All",$P116=fTeam),OR(fChannel="All",fChannel="LinkedIn Outreach"),OR(fMonth="All",$S116=fMonth)),1,0))</f>
        <v>0</v>
      </c>
      <c r="U116" s="71">
        <f>IF($C116="",0,IF(AND(OR(fClient="All",$B116=fClient),OR(fCampaign="All",$C116=fCampaign),OR(fTeam="All",$P116=fTeam),OR(fChannel="All",fChannel="LinkedIn Outreach")),1,0))</f>
        <v>0</v>
      </c>
    </row>
    <row r="117">
      <c r="A117" s="63" t="n"/>
      <c r="B117" s="64" t="n"/>
      <c r="C117" s="64" t="n"/>
      <c r="D117" s="64" t="n"/>
      <c r="E117" s="67" t="n"/>
      <c r="F117" s="67" t="n"/>
      <c r="G117" s="73" t="str">
        <f>IF(AND(ISNUMBER($E117),$E117&gt;0,ISNUMBER($F117)),$F117/$E117,"")</f>
        <v/>
      </c>
      <c r="H117" s="67" t="n"/>
      <c r="I117" s="67" t="n"/>
      <c r="J117" s="73" t="str">
        <f>IF(AND(ISNUMBER($H117),$H117&gt;0,ISNUMBER($I117)),$I117/$H117,"")</f>
        <v/>
      </c>
      <c r="K117" s="67" t="n"/>
      <c r="L117" s="73" t="str">
        <f>IF(AND(ISNUMBER($H117),$H117&gt;0,ISNUMBER($K117)),$K117/$H117,"")</f>
        <v/>
      </c>
      <c r="M117" s="67" t="n"/>
      <c r="N117" s="67" t="n"/>
      <c r="O117" s="67" t="n"/>
      <c r="P117" s="64" t="n"/>
      <c r="Q117" s="64" t="n"/>
      <c r="R117" s="65" t="n"/>
      <c r="S117" s="71" t="str">
        <f>IF(ISNUMBER($A117),YEAR($A117)&amp;"-"&amp;TEXT(MONTH($A117),"00"),"")</f>
        <v/>
      </c>
      <c r="T117" s="71">
        <f>IF($C117="",0,IF(AND(OR(fClient="All",$B117=fClient),OR(fCampaign="All",$C117=fCampaign),OR(fTeam="All",$P117=fTeam),OR(fChannel="All",fChannel="LinkedIn Outreach"),OR(fMonth="All",$S117=fMonth)),1,0))</f>
        <v>0</v>
      </c>
      <c r="U117" s="71">
        <f>IF($C117="",0,IF(AND(OR(fClient="All",$B117=fClient),OR(fCampaign="All",$C117=fCampaign),OR(fTeam="All",$P117=fTeam),OR(fChannel="All",fChannel="LinkedIn Outreach")),1,0))</f>
        <v>0</v>
      </c>
    </row>
    <row r="118">
      <c r="A118" s="63" t="n"/>
      <c r="B118" s="64" t="n"/>
      <c r="C118" s="64" t="n"/>
      <c r="D118" s="64" t="n"/>
      <c r="E118" s="67" t="n"/>
      <c r="F118" s="67" t="n"/>
      <c r="G118" s="73" t="str">
        <f>IF(AND(ISNUMBER($E118),$E118&gt;0,ISNUMBER($F118)),$F118/$E118,"")</f>
        <v/>
      </c>
      <c r="H118" s="67" t="n"/>
      <c r="I118" s="67" t="n"/>
      <c r="J118" s="73" t="str">
        <f>IF(AND(ISNUMBER($H118),$H118&gt;0,ISNUMBER($I118)),$I118/$H118,"")</f>
        <v/>
      </c>
      <c r="K118" s="67" t="n"/>
      <c r="L118" s="73" t="str">
        <f>IF(AND(ISNUMBER($H118),$H118&gt;0,ISNUMBER($K118)),$K118/$H118,"")</f>
        <v/>
      </c>
      <c r="M118" s="67" t="n"/>
      <c r="N118" s="67" t="n"/>
      <c r="O118" s="67" t="n"/>
      <c r="P118" s="64" t="n"/>
      <c r="Q118" s="64" t="n"/>
      <c r="R118" s="65" t="n"/>
      <c r="S118" s="71" t="str">
        <f>IF(ISNUMBER($A118),YEAR($A118)&amp;"-"&amp;TEXT(MONTH($A118),"00"),"")</f>
        <v/>
      </c>
      <c r="T118" s="71">
        <f>IF($C118="",0,IF(AND(OR(fClient="All",$B118=fClient),OR(fCampaign="All",$C118=fCampaign),OR(fTeam="All",$P118=fTeam),OR(fChannel="All",fChannel="LinkedIn Outreach"),OR(fMonth="All",$S118=fMonth)),1,0))</f>
        <v>0</v>
      </c>
      <c r="U118" s="71">
        <f>IF($C118="",0,IF(AND(OR(fClient="All",$B118=fClient),OR(fCampaign="All",$C118=fCampaign),OR(fTeam="All",$P118=fTeam),OR(fChannel="All",fChannel="LinkedIn Outreach")),1,0))</f>
        <v>0</v>
      </c>
    </row>
    <row r="119">
      <c r="A119" s="63" t="n"/>
      <c r="B119" s="64" t="n"/>
      <c r="C119" s="64" t="n"/>
      <c r="D119" s="64" t="n"/>
      <c r="E119" s="67" t="n"/>
      <c r="F119" s="67" t="n"/>
      <c r="G119" s="73" t="str">
        <f>IF(AND(ISNUMBER($E119),$E119&gt;0,ISNUMBER($F119)),$F119/$E119,"")</f>
        <v/>
      </c>
      <c r="H119" s="67" t="n"/>
      <c r="I119" s="67" t="n"/>
      <c r="J119" s="73" t="str">
        <f>IF(AND(ISNUMBER($H119),$H119&gt;0,ISNUMBER($I119)),$I119/$H119,"")</f>
        <v/>
      </c>
      <c r="K119" s="67" t="n"/>
      <c r="L119" s="73" t="str">
        <f>IF(AND(ISNUMBER($H119),$H119&gt;0,ISNUMBER($K119)),$K119/$H119,"")</f>
        <v/>
      </c>
      <c r="M119" s="67" t="n"/>
      <c r="N119" s="67" t="n"/>
      <c r="O119" s="67" t="n"/>
      <c r="P119" s="64" t="n"/>
      <c r="Q119" s="64" t="n"/>
      <c r="R119" s="65" t="n"/>
      <c r="S119" s="71" t="str">
        <f>IF(ISNUMBER($A119),YEAR($A119)&amp;"-"&amp;TEXT(MONTH($A119),"00"),"")</f>
        <v/>
      </c>
      <c r="T119" s="71">
        <f>IF($C119="",0,IF(AND(OR(fClient="All",$B119=fClient),OR(fCampaign="All",$C119=fCampaign),OR(fTeam="All",$P119=fTeam),OR(fChannel="All",fChannel="LinkedIn Outreach"),OR(fMonth="All",$S119=fMonth)),1,0))</f>
        <v>0</v>
      </c>
      <c r="U119" s="71">
        <f>IF($C119="",0,IF(AND(OR(fClient="All",$B119=fClient),OR(fCampaign="All",$C119=fCampaign),OR(fTeam="All",$P119=fTeam),OR(fChannel="All",fChannel="LinkedIn Outreach")),1,0))</f>
        <v>0</v>
      </c>
    </row>
    <row r="120">
      <c r="A120" s="63" t="n"/>
      <c r="B120" s="64" t="n"/>
      <c r="C120" s="64" t="n"/>
      <c r="D120" s="64" t="n"/>
      <c r="E120" s="67" t="n"/>
      <c r="F120" s="67" t="n"/>
      <c r="G120" s="73" t="str">
        <f>IF(AND(ISNUMBER($E120),$E120&gt;0,ISNUMBER($F120)),$F120/$E120,"")</f>
        <v/>
      </c>
      <c r="H120" s="67" t="n"/>
      <c r="I120" s="67" t="n"/>
      <c r="J120" s="73" t="str">
        <f>IF(AND(ISNUMBER($H120),$H120&gt;0,ISNUMBER($I120)),$I120/$H120,"")</f>
        <v/>
      </c>
      <c r="K120" s="67" t="n"/>
      <c r="L120" s="73" t="str">
        <f>IF(AND(ISNUMBER($H120),$H120&gt;0,ISNUMBER($K120)),$K120/$H120,"")</f>
        <v/>
      </c>
      <c r="M120" s="67" t="n"/>
      <c r="N120" s="67" t="n"/>
      <c r="O120" s="67" t="n"/>
      <c r="P120" s="64" t="n"/>
      <c r="Q120" s="64" t="n"/>
      <c r="R120" s="65" t="n"/>
      <c r="S120" s="71" t="str">
        <f>IF(ISNUMBER($A120),YEAR($A120)&amp;"-"&amp;TEXT(MONTH($A120),"00"),"")</f>
        <v/>
      </c>
      <c r="T120" s="71">
        <f>IF($C120="",0,IF(AND(OR(fClient="All",$B120=fClient),OR(fCampaign="All",$C120=fCampaign),OR(fTeam="All",$P120=fTeam),OR(fChannel="All",fChannel="LinkedIn Outreach"),OR(fMonth="All",$S120=fMonth)),1,0))</f>
        <v>0</v>
      </c>
      <c r="U120" s="71">
        <f>IF($C120="",0,IF(AND(OR(fClient="All",$B120=fClient),OR(fCampaign="All",$C120=fCampaign),OR(fTeam="All",$P120=fTeam),OR(fChannel="All",fChannel="LinkedIn Outreach")),1,0))</f>
        <v>0</v>
      </c>
    </row>
    <row r="121">
      <c r="A121" s="63" t="n"/>
      <c r="B121" s="64" t="n"/>
      <c r="C121" s="64" t="n"/>
      <c r="D121" s="64" t="n"/>
      <c r="E121" s="67" t="n"/>
      <c r="F121" s="67" t="n"/>
      <c r="G121" s="73" t="str">
        <f>IF(AND(ISNUMBER($E121),$E121&gt;0,ISNUMBER($F121)),$F121/$E121,"")</f>
        <v/>
      </c>
      <c r="H121" s="67" t="n"/>
      <c r="I121" s="67" t="n"/>
      <c r="J121" s="73" t="str">
        <f>IF(AND(ISNUMBER($H121),$H121&gt;0,ISNUMBER($I121)),$I121/$H121,"")</f>
        <v/>
      </c>
      <c r="K121" s="67" t="n"/>
      <c r="L121" s="73" t="str">
        <f>IF(AND(ISNUMBER($H121),$H121&gt;0,ISNUMBER($K121)),$K121/$H121,"")</f>
        <v/>
      </c>
      <c r="M121" s="67" t="n"/>
      <c r="N121" s="67" t="n"/>
      <c r="O121" s="67" t="n"/>
      <c r="P121" s="64" t="n"/>
      <c r="Q121" s="64" t="n"/>
      <c r="R121" s="65" t="n"/>
      <c r="S121" s="71" t="str">
        <f>IF(ISNUMBER($A121),YEAR($A121)&amp;"-"&amp;TEXT(MONTH($A121),"00"),"")</f>
        <v/>
      </c>
      <c r="T121" s="71">
        <f>IF($C121="",0,IF(AND(OR(fClient="All",$B121=fClient),OR(fCampaign="All",$C121=fCampaign),OR(fTeam="All",$P121=fTeam),OR(fChannel="All",fChannel="LinkedIn Outreach"),OR(fMonth="All",$S121=fMonth)),1,0))</f>
        <v>0</v>
      </c>
      <c r="U121" s="71">
        <f>IF($C121="",0,IF(AND(OR(fClient="All",$B121=fClient),OR(fCampaign="All",$C121=fCampaign),OR(fTeam="All",$P121=fTeam),OR(fChannel="All",fChannel="LinkedIn Outreach")),1,0))</f>
        <v>0</v>
      </c>
    </row>
    <row r="122">
      <c r="A122" s="63" t="n"/>
      <c r="B122" s="64" t="n"/>
      <c r="C122" s="64" t="n"/>
      <c r="D122" s="64" t="n"/>
      <c r="E122" s="67" t="n"/>
      <c r="F122" s="67" t="n"/>
      <c r="G122" s="73" t="str">
        <f>IF(AND(ISNUMBER($E122),$E122&gt;0,ISNUMBER($F122)),$F122/$E122,"")</f>
        <v/>
      </c>
      <c r="H122" s="67" t="n"/>
      <c r="I122" s="67" t="n"/>
      <c r="J122" s="73" t="str">
        <f>IF(AND(ISNUMBER($H122),$H122&gt;0,ISNUMBER($I122)),$I122/$H122,"")</f>
        <v/>
      </c>
      <c r="K122" s="67" t="n"/>
      <c r="L122" s="73" t="str">
        <f>IF(AND(ISNUMBER($H122),$H122&gt;0,ISNUMBER($K122)),$K122/$H122,"")</f>
        <v/>
      </c>
      <c r="M122" s="67" t="n"/>
      <c r="N122" s="67" t="n"/>
      <c r="O122" s="67" t="n"/>
      <c r="P122" s="64" t="n"/>
      <c r="Q122" s="64" t="n"/>
      <c r="R122" s="65" t="n"/>
      <c r="S122" s="71" t="str">
        <f>IF(ISNUMBER($A122),YEAR($A122)&amp;"-"&amp;TEXT(MONTH($A122),"00"),"")</f>
        <v/>
      </c>
      <c r="T122" s="71">
        <f>IF($C122="",0,IF(AND(OR(fClient="All",$B122=fClient),OR(fCampaign="All",$C122=fCampaign),OR(fTeam="All",$P122=fTeam),OR(fChannel="All",fChannel="LinkedIn Outreach"),OR(fMonth="All",$S122=fMonth)),1,0))</f>
        <v>0</v>
      </c>
      <c r="U122" s="71">
        <f>IF($C122="",0,IF(AND(OR(fClient="All",$B122=fClient),OR(fCampaign="All",$C122=fCampaign),OR(fTeam="All",$P122=fTeam),OR(fChannel="All",fChannel="LinkedIn Outreach")),1,0))</f>
        <v>0</v>
      </c>
    </row>
    <row r="123">
      <c r="A123" s="63" t="n"/>
      <c r="B123" s="64" t="n"/>
      <c r="C123" s="64" t="n"/>
      <c r="D123" s="64" t="n"/>
      <c r="E123" s="67" t="n"/>
      <c r="F123" s="67" t="n"/>
      <c r="G123" s="73" t="str">
        <f>IF(AND(ISNUMBER($E123),$E123&gt;0,ISNUMBER($F123)),$F123/$E123,"")</f>
        <v/>
      </c>
      <c r="H123" s="67" t="n"/>
      <c r="I123" s="67" t="n"/>
      <c r="J123" s="73" t="str">
        <f>IF(AND(ISNUMBER($H123),$H123&gt;0,ISNUMBER($I123)),$I123/$H123,"")</f>
        <v/>
      </c>
      <c r="K123" s="67" t="n"/>
      <c r="L123" s="73" t="str">
        <f>IF(AND(ISNUMBER($H123),$H123&gt;0,ISNUMBER($K123)),$K123/$H123,"")</f>
        <v/>
      </c>
      <c r="M123" s="67" t="n"/>
      <c r="N123" s="67" t="n"/>
      <c r="O123" s="67" t="n"/>
      <c r="P123" s="64" t="n"/>
      <c r="Q123" s="64" t="n"/>
      <c r="R123" s="65" t="n"/>
      <c r="S123" s="71" t="str">
        <f>IF(ISNUMBER($A123),YEAR($A123)&amp;"-"&amp;TEXT(MONTH($A123),"00"),"")</f>
        <v/>
      </c>
      <c r="T123" s="71">
        <f>IF($C123="",0,IF(AND(OR(fClient="All",$B123=fClient),OR(fCampaign="All",$C123=fCampaign),OR(fTeam="All",$P123=fTeam),OR(fChannel="All",fChannel="LinkedIn Outreach"),OR(fMonth="All",$S123=fMonth)),1,0))</f>
        <v>0</v>
      </c>
      <c r="U123" s="71">
        <f>IF($C123="",0,IF(AND(OR(fClient="All",$B123=fClient),OR(fCampaign="All",$C123=fCampaign),OR(fTeam="All",$P123=fTeam),OR(fChannel="All",fChannel="LinkedIn Outreach")),1,0))</f>
        <v>0</v>
      </c>
    </row>
    <row r="124">
      <c r="A124" s="63" t="n"/>
      <c r="B124" s="64" t="n"/>
      <c r="C124" s="64" t="n"/>
      <c r="D124" s="64" t="n"/>
      <c r="E124" s="67" t="n"/>
      <c r="F124" s="67" t="n"/>
      <c r="G124" s="73" t="str">
        <f>IF(AND(ISNUMBER($E124),$E124&gt;0,ISNUMBER($F124)),$F124/$E124,"")</f>
        <v/>
      </c>
      <c r="H124" s="67" t="n"/>
      <c r="I124" s="67" t="n"/>
      <c r="J124" s="73" t="str">
        <f>IF(AND(ISNUMBER($H124),$H124&gt;0,ISNUMBER($I124)),$I124/$H124,"")</f>
        <v/>
      </c>
      <c r="K124" s="67" t="n"/>
      <c r="L124" s="73" t="str">
        <f>IF(AND(ISNUMBER($H124),$H124&gt;0,ISNUMBER($K124)),$K124/$H124,"")</f>
        <v/>
      </c>
      <c r="M124" s="67" t="n"/>
      <c r="N124" s="67" t="n"/>
      <c r="O124" s="67" t="n"/>
      <c r="P124" s="64" t="n"/>
      <c r="Q124" s="64" t="n"/>
      <c r="R124" s="65" t="n"/>
      <c r="S124" s="71" t="str">
        <f>IF(ISNUMBER($A124),YEAR($A124)&amp;"-"&amp;TEXT(MONTH($A124),"00"),"")</f>
        <v/>
      </c>
      <c r="T124" s="71">
        <f>IF($C124="",0,IF(AND(OR(fClient="All",$B124=fClient),OR(fCampaign="All",$C124=fCampaign),OR(fTeam="All",$P124=fTeam),OR(fChannel="All",fChannel="LinkedIn Outreach"),OR(fMonth="All",$S124=fMonth)),1,0))</f>
        <v>0</v>
      </c>
      <c r="U124" s="71">
        <f>IF($C124="",0,IF(AND(OR(fClient="All",$B124=fClient),OR(fCampaign="All",$C124=fCampaign),OR(fTeam="All",$P124=fTeam),OR(fChannel="All",fChannel="LinkedIn Outreach")),1,0))</f>
        <v>0</v>
      </c>
    </row>
    <row r="125">
      <c r="A125" s="63" t="n"/>
      <c r="B125" s="64" t="n"/>
      <c r="C125" s="64" t="n"/>
      <c r="D125" s="64" t="n"/>
      <c r="E125" s="67" t="n"/>
      <c r="F125" s="67" t="n"/>
      <c r="G125" s="73" t="str">
        <f>IF(AND(ISNUMBER($E125),$E125&gt;0,ISNUMBER($F125)),$F125/$E125,"")</f>
        <v/>
      </c>
      <c r="H125" s="67" t="n"/>
      <c r="I125" s="67" t="n"/>
      <c r="J125" s="73" t="str">
        <f>IF(AND(ISNUMBER($H125),$H125&gt;0,ISNUMBER($I125)),$I125/$H125,"")</f>
        <v/>
      </c>
      <c r="K125" s="67" t="n"/>
      <c r="L125" s="73" t="str">
        <f>IF(AND(ISNUMBER($H125),$H125&gt;0,ISNUMBER($K125)),$K125/$H125,"")</f>
        <v/>
      </c>
      <c r="M125" s="67" t="n"/>
      <c r="N125" s="67" t="n"/>
      <c r="O125" s="67" t="n"/>
      <c r="P125" s="64" t="n"/>
      <c r="Q125" s="64" t="n"/>
      <c r="R125" s="65" t="n"/>
      <c r="S125" s="71" t="str">
        <f>IF(ISNUMBER($A125),YEAR($A125)&amp;"-"&amp;TEXT(MONTH($A125),"00"),"")</f>
        <v/>
      </c>
      <c r="T125" s="71">
        <f>IF($C125="",0,IF(AND(OR(fClient="All",$B125=fClient),OR(fCampaign="All",$C125=fCampaign),OR(fTeam="All",$P125=fTeam),OR(fChannel="All",fChannel="LinkedIn Outreach"),OR(fMonth="All",$S125=fMonth)),1,0))</f>
        <v>0</v>
      </c>
      <c r="U125" s="71">
        <f>IF($C125="",0,IF(AND(OR(fClient="All",$B125=fClient),OR(fCampaign="All",$C125=fCampaign),OR(fTeam="All",$P125=fTeam),OR(fChannel="All",fChannel="LinkedIn Outreach")),1,0))</f>
        <v>0</v>
      </c>
    </row>
    <row r="126">
      <c r="A126" s="63" t="n"/>
      <c r="B126" s="64" t="n"/>
      <c r="C126" s="64" t="n"/>
      <c r="D126" s="64" t="n"/>
      <c r="E126" s="67" t="n"/>
      <c r="F126" s="67" t="n"/>
      <c r="G126" s="73" t="str">
        <f>IF(AND(ISNUMBER($E126),$E126&gt;0,ISNUMBER($F126)),$F126/$E126,"")</f>
        <v/>
      </c>
      <c r="H126" s="67" t="n"/>
      <c r="I126" s="67" t="n"/>
      <c r="J126" s="73" t="str">
        <f>IF(AND(ISNUMBER($H126),$H126&gt;0,ISNUMBER($I126)),$I126/$H126,"")</f>
        <v/>
      </c>
      <c r="K126" s="67" t="n"/>
      <c r="L126" s="73" t="str">
        <f>IF(AND(ISNUMBER($H126),$H126&gt;0,ISNUMBER($K126)),$K126/$H126,"")</f>
        <v/>
      </c>
      <c r="M126" s="67" t="n"/>
      <c r="N126" s="67" t="n"/>
      <c r="O126" s="67" t="n"/>
      <c r="P126" s="64" t="n"/>
      <c r="Q126" s="64" t="n"/>
      <c r="R126" s="65" t="n"/>
      <c r="S126" s="71" t="str">
        <f>IF(ISNUMBER($A126),YEAR($A126)&amp;"-"&amp;TEXT(MONTH($A126),"00"),"")</f>
        <v/>
      </c>
      <c r="T126" s="71">
        <f>IF($C126="",0,IF(AND(OR(fClient="All",$B126=fClient),OR(fCampaign="All",$C126=fCampaign),OR(fTeam="All",$P126=fTeam),OR(fChannel="All",fChannel="LinkedIn Outreach"),OR(fMonth="All",$S126=fMonth)),1,0))</f>
        <v>0</v>
      </c>
      <c r="U126" s="71">
        <f>IF($C126="",0,IF(AND(OR(fClient="All",$B126=fClient),OR(fCampaign="All",$C126=fCampaign),OR(fTeam="All",$P126=fTeam),OR(fChannel="All",fChannel="LinkedIn Outreach")),1,0))</f>
        <v>0</v>
      </c>
    </row>
    <row r="127">
      <c r="A127" s="63" t="n"/>
      <c r="B127" s="64" t="n"/>
      <c r="C127" s="64" t="n"/>
      <c r="D127" s="64" t="n"/>
      <c r="E127" s="67" t="n"/>
      <c r="F127" s="67" t="n"/>
      <c r="G127" s="73" t="str">
        <f>IF(AND(ISNUMBER($E127),$E127&gt;0,ISNUMBER($F127)),$F127/$E127,"")</f>
        <v/>
      </c>
      <c r="H127" s="67" t="n"/>
      <c r="I127" s="67" t="n"/>
      <c r="J127" s="73" t="str">
        <f>IF(AND(ISNUMBER($H127),$H127&gt;0,ISNUMBER($I127)),$I127/$H127,"")</f>
        <v/>
      </c>
      <c r="K127" s="67" t="n"/>
      <c r="L127" s="73" t="str">
        <f>IF(AND(ISNUMBER($H127),$H127&gt;0,ISNUMBER($K127)),$K127/$H127,"")</f>
        <v/>
      </c>
      <c r="M127" s="67" t="n"/>
      <c r="N127" s="67" t="n"/>
      <c r="O127" s="67" t="n"/>
      <c r="P127" s="64" t="n"/>
      <c r="Q127" s="64" t="n"/>
      <c r="R127" s="65" t="n"/>
      <c r="S127" s="71" t="str">
        <f>IF(ISNUMBER($A127),YEAR($A127)&amp;"-"&amp;TEXT(MONTH($A127),"00"),"")</f>
        <v/>
      </c>
      <c r="T127" s="71">
        <f>IF($C127="",0,IF(AND(OR(fClient="All",$B127=fClient),OR(fCampaign="All",$C127=fCampaign),OR(fTeam="All",$P127=fTeam),OR(fChannel="All",fChannel="LinkedIn Outreach"),OR(fMonth="All",$S127=fMonth)),1,0))</f>
        <v>0</v>
      </c>
      <c r="U127" s="71">
        <f>IF($C127="",0,IF(AND(OR(fClient="All",$B127=fClient),OR(fCampaign="All",$C127=fCampaign),OR(fTeam="All",$P127=fTeam),OR(fChannel="All",fChannel="LinkedIn Outreach")),1,0))</f>
        <v>0</v>
      </c>
    </row>
    <row r="128">
      <c r="A128" s="63" t="n"/>
      <c r="B128" s="64" t="n"/>
      <c r="C128" s="64" t="n"/>
      <c r="D128" s="64" t="n"/>
      <c r="E128" s="67" t="n"/>
      <c r="F128" s="67" t="n"/>
      <c r="G128" s="73" t="str">
        <f>IF(AND(ISNUMBER($E128),$E128&gt;0,ISNUMBER($F128)),$F128/$E128,"")</f>
        <v/>
      </c>
      <c r="H128" s="67" t="n"/>
      <c r="I128" s="67" t="n"/>
      <c r="J128" s="73" t="str">
        <f>IF(AND(ISNUMBER($H128),$H128&gt;0,ISNUMBER($I128)),$I128/$H128,"")</f>
        <v/>
      </c>
      <c r="K128" s="67" t="n"/>
      <c r="L128" s="73" t="str">
        <f>IF(AND(ISNUMBER($H128),$H128&gt;0,ISNUMBER($K128)),$K128/$H128,"")</f>
        <v/>
      </c>
      <c r="M128" s="67" t="n"/>
      <c r="N128" s="67" t="n"/>
      <c r="O128" s="67" t="n"/>
      <c r="P128" s="64" t="n"/>
      <c r="Q128" s="64" t="n"/>
      <c r="R128" s="65" t="n"/>
      <c r="S128" s="71" t="str">
        <f>IF(ISNUMBER($A128),YEAR($A128)&amp;"-"&amp;TEXT(MONTH($A128),"00"),"")</f>
        <v/>
      </c>
      <c r="T128" s="71">
        <f>IF($C128="",0,IF(AND(OR(fClient="All",$B128=fClient),OR(fCampaign="All",$C128=fCampaign),OR(fTeam="All",$P128=fTeam),OR(fChannel="All",fChannel="LinkedIn Outreach"),OR(fMonth="All",$S128=fMonth)),1,0))</f>
        <v>0</v>
      </c>
      <c r="U128" s="71">
        <f>IF($C128="",0,IF(AND(OR(fClient="All",$B128=fClient),OR(fCampaign="All",$C128=fCampaign),OR(fTeam="All",$P128=fTeam),OR(fChannel="All",fChannel="LinkedIn Outreach")),1,0))</f>
        <v>0</v>
      </c>
    </row>
    <row r="129">
      <c r="A129" s="63" t="n"/>
      <c r="B129" s="64" t="n"/>
      <c r="C129" s="64" t="n"/>
      <c r="D129" s="64" t="n"/>
      <c r="E129" s="67" t="n"/>
      <c r="F129" s="67" t="n"/>
      <c r="G129" s="73" t="str">
        <f>IF(AND(ISNUMBER($E129),$E129&gt;0,ISNUMBER($F129)),$F129/$E129,"")</f>
        <v/>
      </c>
      <c r="H129" s="67" t="n"/>
      <c r="I129" s="67" t="n"/>
      <c r="J129" s="73" t="str">
        <f>IF(AND(ISNUMBER($H129),$H129&gt;0,ISNUMBER($I129)),$I129/$H129,"")</f>
        <v/>
      </c>
      <c r="K129" s="67" t="n"/>
      <c r="L129" s="73" t="str">
        <f>IF(AND(ISNUMBER($H129),$H129&gt;0,ISNUMBER($K129)),$K129/$H129,"")</f>
        <v/>
      </c>
      <c r="M129" s="67" t="n"/>
      <c r="N129" s="67" t="n"/>
      <c r="O129" s="67" t="n"/>
      <c r="P129" s="64" t="n"/>
      <c r="Q129" s="64" t="n"/>
      <c r="R129" s="65" t="n"/>
      <c r="S129" s="71" t="str">
        <f>IF(ISNUMBER($A129),YEAR($A129)&amp;"-"&amp;TEXT(MONTH($A129),"00"),"")</f>
        <v/>
      </c>
      <c r="T129" s="71">
        <f>IF($C129="",0,IF(AND(OR(fClient="All",$B129=fClient),OR(fCampaign="All",$C129=fCampaign),OR(fTeam="All",$P129=fTeam),OR(fChannel="All",fChannel="LinkedIn Outreach"),OR(fMonth="All",$S129=fMonth)),1,0))</f>
        <v>0</v>
      </c>
      <c r="U129" s="71">
        <f>IF($C129="",0,IF(AND(OR(fClient="All",$B129=fClient),OR(fCampaign="All",$C129=fCampaign),OR(fTeam="All",$P129=fTeam),OR(fChannel="All",fChannel="LinkedIn Outreach")),1,0))</f>
        <v>0</v>
      </c>
    </row>
    <row r="130">
      <c r="A130" s="63" t="n"/>
      <c r="B130" s="64" t="n"/>
      <c r="C130" s="64" t="n"/>
      <c r="D130" s="64" t="n"/>
      <c r="E130" s="67" t="n"/>
      <c r="F130" s="67" t="n"/>
      <c r="G130" s="73" t="str">
        <f>IF(AND(ISNUMBER($E130),$E130&gt;0,ISNUMBER($F130)),$F130/$E130,"")</f>
        <v/>
      </c>
      <c r="H130" s="67" t="n"/>
      <c r="I130" s="67" t="n"/>
      <c r="J130" s="73" t="str">
        <f>IF(AND(ISNUMBER($H130),$H130&gt;0,ISNUMBER($I130)),$I130/$H130,"")</f>
        <v/>
      </c>
      <c r="K130" s="67" t="n"/>
      <c r="L130" s="73" t="str">
        <f>IF(AND(ISNUMBER($H130),$H130&gt;0,ISNUMBER($K130)),$K130/$H130,"")</f>
        <v/>
      </c>
      <c r="M130" s="67" t="n"/>
      <c r="N130" s="67" t="n"/>
      <c r="O130" s="67" t="n"/>
      <c r="P130" s="64" t="n"/>
      <c r="Q130" s="64" t="n"/>
      <c r="R130" s="65" t="n"/>
      <c r="S130" s="71" t="str">
        <f>IF(ISNUMBER($A130),YEAR($A130)&amp;"-"&amp;TEXT(MONTH($A130),"00"),"")</f>
        <v/>
      </c>
      <c r="T130" s="71">
        <f>IF($C130="",0,IF(AND(OR(fClient="All",$B130=fClient),OR(fCampaign="All",$C130=fCampaign),OR(fTeam="All",$P130=fTeam),OR(fChannel="All",fChannel="LinkedIn Outreach"),OR(fMonth="All",$S130=fMonth)),1,0))</f>
        <v>0</v>
      </c>
      <c r="U130" s="71">
        <f>IF($C130="",0,IF(AND(OR(fClient="All",$B130=fClient),OR(fCampaign="All",$C130=fCampaign),OR(fTeam="All",$P130=fTeam),OR(fChannel="All",fChannel="LinkedIn Outreach")),1,0))</f>
        <v>0</v>
      </c>
    </row>
    <row r="131">
      <c r="A131" s="63" t="n"/>
      <c r="B131" s="64" t="n"/>
      <c r="C131" s="64" t="n"/>
      <c r="D131" s="64" t="n"/>
      <c r="E131" s="67" t="n"/>
      <c r="F131" s="67" t="n"/>
      <c r="G131" s="73" t="str">
        <f>IF(AND(ISNUMBER($E131),$E131&gt;0,ISNUMBER($F131)),$F131/$E131,"")</f>
        <v/>
      </c>
      <c r="H131" s="67" t="n"/>
      <c r="I131" s="67" t="n"/>
      <c r="J131" s="73" t="str">
        <f>IF(AND(ISNUMBER($H131),$H131&gt;0,ISNUMBER($I131)),$I131/$H131,"")</f>
        <v/>
      </c>
      <c r="K131" s="67" t="n"/>
      <c r="L131" s="73" t="str">
        <f>IF(AND(ISNUMBER($H131),$H131&gt;0,ISNUMBER($K131)),$K131/$H131,"")</f>
        <v/>
      </c>
      <c r="M131" s="67" t="n"/>
      <c r="N131" s="67" t="n"/>
      <c r="O131" s="67" t="n"/>
      <c r="P131" s="64" t="n"/>
      <c r="Q131" s="64" t="n"/>
      <c r="R131" s="65" t="n"/>
      <c r="S131" s="71" t="str">
        <f>IF(ISNUMBER($A131),YEAR($A131)&amp;"-"&amp;TEXT(MONTH($A131),"00"),"")</f>
        <v/>
      </c>
      <c r="T131" s="71">
        <f>IF($C131="",0,IF(AND(OR(fClient="All",$B131=fClient),OR(fCampaign="All",$C131=fCampaign),OR(fTeam="All",$P131=fTeam),OR(fChannel="All",fChannel="LinkedIn Outreach"),OR(fMonth="All",$S131=fMonth)),1,0))</f>
        <v>0</v>
      </c>
      <c r="U131" s="71">
        <f>IF($C131="",0,IF(AND(OR(fClient="All",$B131=fClient),OR(fCampaign="All",$C131=fCampaign),OR(fTeam="All",$P131=fTeam),OR(fChannel="All",fChannel="LinkedIn Outreach")),1,0))</f>
        <v>0</v>
      </c>
    </row>
    <row r="132">
      <c r="A132" s="63" t="n"/>
      <c r="B132" s="64" t="n"/>
      <c r="C132" s="64" t="n"/>
      <c r="D132" s="64" t="n"/>
      <c r="E132" s="67" t="n"/>
      <c r="F132" s="67" t="n"/>
      <c r="G132" s="73" t="str">
        <f>IF(AND(ISNUMBER($E132),$E132&gt;0,ISNUMBER($F132)),$F132/$E132,"")</f>
        <v/>
      </c>
      <c r="H132" s="67" t="n"/>
      <c r="I132" s="67" t="n"/>
      <c r="J132" s="73" t="str">
        <f>IF(AND(ISNUMBER($H132),$H132&gt;0,ISNUMBER($I132)),$I132/$H132,"")</f>
        <v/>
      </c>
      <c r="K132" s="67" t="n"/>
      <c r="L132" s="73" t="str">
        <f>IF(AND(ISNUMBER($H132),$H132&gt;0,ISNUMBER($K132)),$K132/$H132,"")</f>
        <v/>
      </c>
      <c r="M132" s="67" t="n"/>
      <c r="N132" s="67" t="n"/>
      <c r="O132" s="67" t="n"/>
      <c r="P132" s="64" t="n"/>
      <c r="Q132" s="64" t="n"/>
      <c r="R132" s="65" t="n"/>
      <c r="S132" s="71" t="str">
        <f>IF(ISNUMBER($A132),YEAR($A132)&amp;"-"&amp;TEXT(MONTH($A132),"00"),"")</f>
        <v/>
      </c>
      <c r="T132" s="71">
        <f>IF($C132="",0,IF(AND(OR(fClient="All",$B132=fClient),OR(fCampaign="All",$C132=fCampaign),OR(fTeam="All",$P132=fTeam),OR(fChannel="All",fChannel="LinkedIn Outreach"),OR(fMonth="All",$S132=fMonth)),1,0))</f>
        <v>0</v>
      </c>
      <c r="U132" s="71">
        <f>IF($C132="",0,IF(AND(OR(fClient="All",$B132=fClient),OR(fCampaign="All",$C132=fCampaign),OR(fTeam="All",$P132=fTeam),OR(fChannel="All",fChannel="LinkedIn Outreach")),1,0))</f>
        <v>0</v>
      </c>
    </row>
    <row r="133">
      <c r="A133" s="63" t="n"/>
      <c r="B133" s="64" t="n"/>
      <c r="C133" s="64" t="n"/>
      <c r="D133" s="64" t="n"/>
      <c r="E133" s="67" t="n"/>
      <c r="F133" s="67" t="n"/>
      <c r="G133" s="73" t="str">
        <f>IF(AND(ISNUMBER($E133),$E133&gt;0,ISNUMBER($F133)),$F133/$E133,"")</f>
        <v/>
      </c>
      <c r="H133" s="67" t="n"/>
      <c r="I133" s="67" t="n"/>
      <c r="J133" s="73" t="str">
        <f>IF(AND(ISNUMBER($H133),$H133&gt;0,ISNUMBER($I133)),$I133/$H133,"")</f>
        <v/>
      </c>
      <c r="K133" s="67" t="n"/>
      <c r="L133" s="73" t="str">
        <f>IF(AND(ISNUMBER($H133),$H133&gt;0,ISNUMBER($K133)),$K133/$H133,"")</f>
        <v/>
      </c>
      <c r="M133" s="67" t="n"/>
      <c r="N133" s="67" t="n"/>
      <c r="O133" s="67" t="n"/>
      <c r="P133" s="64" t="n"/>
      <c r="Q133" s="64" t="n"/>
      <c r="R133" s="65" t="n"/>
      <c r="S133" s="71" t="str">
        <f>IF(ISNUMBER($A133),YEAR($A133)&amp;"-"&amp;TEXT(MONTH($A133),"00"),"")</f>
        <v/>
      </c>
      <c r="T133" s="71">
        <f>IF($C133="",0,IF(AND(OR(fClient="All",$B133=fClient),OR(fCampaign="All",$C133=fCampaign),OR(fTeam="All",$P133=fTeam),OR(fChannel="All",fChannel="LinkedIn Outreach"),OR(fMonth="All",$S133=fMonth)),1,0))</f>
        <v>0</v>
      </c>
      <c r="U133" s="71">
        <f>IF($C133="",0,IF(AND(OR(fClient="All",$B133=fClient),OR(fCampaign="All",$C133=fCampaign),OR(fTeam="All",$P133=fTeam),OR(fChannel="All",fChannel="LinkedIn Outreach")),1,0))</f>
        <v>0</v>
      </c>
    </row>
    <row r="134">
      <c r="A134" s="63" t="n"/>
      <c r="B134" s="64" t="n"/>
      <c r="C134" s="64" t="n"/>
      <c r="D134" s="64" t="n"/>
      <c r="E134" s="67" t="n"/>
      <c r="F134" s="67" t="n"/>
      <c r="G134" s="73" t="str">
        <f>IF(AND(ISNUMBER($E134),$E134&gt;0,ISNUMBER($F134)),$F134/$E134,"")</f>
        <v/>
      </c>
      <c r="H134" s="67" t="n"/>
      <c r="I134" s="67" t="n"/>
      <c r="J134" s="73" t="str">
        <f>IF(AND(ISNUMBER($H134),$H134&gt;0,ISNUMBER($I134)),$I134/$H134,"")</f>
        <v/>
      </c>
      <c r="K134" s="67" t="n"/>
      <c r="L134" s="73" t="str">
        <f>IF(AND(ISNUMBER($H134),$H134&gt;0,ISNUMBER($K134)),$K134/$H134,"")</f>
        <v/>
      </c>
      <c r="M134" s="67" t="n"/>
      <c r="N134" s="67" t="n"/>
      <c r="O134" s="67" t="n"/>
      <c r="P134" s="64" t="n"/>
      <c r="Q134" s="64" t="n"/>
      <c r="R134" s="65" t="n"/>
      <c r="S134" s="71" t="str">
        <f>IF(ISNUMBER($A134),YEAR($A134)&amp;"-"&amp;TEXT(MONTH($A134),"00"),"")</f>
        <v/>
      </c>
      <c r="T134" s="71">
        <f>IF($C134="",0,IF(AND(OR(fClient="All",$B134=fClient),OR(fCampaign="All",$C134=fCampaign),OR(fTeam="All",$P134=fTeam),OR(fChannel="All",fChannel="LinkedIn Outreach"),OR(fMonth="All",$S134=fMonth)),1,0))</f>
        <v>0</v>
      </c>
      <c r="U134" s="71">
        <f>IF($C134="",0,IF(AND(OR(fClient="All",$B134=fClient),OR(fCampaign="All",$C134=fCampaign),OR(fTeam="All",$P134=fTeam),OR(fChannel="All",fChannel="LinkedIn Outreach")),1,0))</f>
        <v>0</v>
      </c>
    </row>
    <row r="135">
      <c r="A135" s="63" t="n"/>
      <c r="B135" s="64" t="n"/>
      <c r="C135" s="64" t="n"/>
      <c r="D135" s="64" t="n"/>
      <c r="E135" s="67" t="n"/>
      <c r="F135" s="67" t="n"/>
      <c r="G135" s="73" t="str">
        <f>IF(AND(ISNUMBER($E135),$E135&gt;0,ISNUMBER($F135)),$F135/$E135,"")</f>
        <v/>
      </c>
      <c r="H135" s="67" t="n"/>
      <c r="I135" s="67" t="n"/>
      <c r="J135" s="73" t="str">
        <f>IF(AND(ISNUMBER($H135),$H135&gt;0,ISNUMBER($I135)),$I135/$H135,"")</f>
        <v/>
      </c>
      <c r="K135" s="67" t="n"/>
      <c r="L135" s="73" t="str">
        <f>IF(AND(ISNUMBER($H135),$H135&gt;0,ISNUMBER($K135)),$K135/$H135,"")</f>
        <v/>
      </c>
      <c r="M135" s="67" t="n"/>
      <c r="N135" s="67" t="n"/>
      <c r="O135" s="67" t="n"/>
      <c r="P135" s="64" t="n"/>
      <c r="Q135" s="64" t="n"/>
      <c r="R135" s="65" t="n"/>
      <c r="S135" s="71" t="str">
        <f>IF(ISNUMBER($A135),YEAR($A135)&amp;"-"&amp;TEXT(MONTH($A135),"00"),"")</f>
        <v/>
      </c>
      <c r="T135" s="71">
        <f>IF($C135="",0,IF(AND(OR(fClient="All",$B135=fClient),OR(fCampaign="All",$C135=fCampaign),OR(fTeam="All",$P135=fTeam),OR(fChannel="All",fChannel="LinkedIn Outreach"),OR(fMonth="All",$S135=fMonth)),1,0))</f>
        <v>0</v>
      </c>
      <c r="U135" s="71">
        <f>IF($C135="",0,IF(AND(OR(fClient="All",$B135=fClient),OR(fCampaign="All",$C135=fCampaign),OR(fTeam="All",$P135=fTeam),OR(fChannel="All",fChannel="LinkedIn Outreach")),1,0))</f>
        <v>0</v>
      </c>
    </row>
    <row r="136">
      <c r="A136" s="63" t="n"/>
      <c r="B136" s="64" t="n"/>
      <c r="C136" s="64" t="n"/>
      <c r="D136" s="64" t="n"/>
      <c r="E136" s="67" t="n"/>
      <c r="F136" s="67" t="n"/>
      <c r="G136" s="73" t="str">
        <f>IF(AND(ISNUMBER($E136),$E136&gt;0,ISNUMBER($F136)),$F136/$E136,"")</f>
        <v/>
      </c>
      <c r="H136" s="67" t="n"/>
      <c r="I136" s="67" t="n"/>
      <c r="J136" s="73" t="str">
        <f>IF(AND(ISNUMBER($H136),$H136&gt;0,ISNUMBER($I136)),$I136/$H136,"")</f>
        <v/>
      </c>
      <c r="K136" s="67" t="n"/>
      <c r="L136" s="73" t="str">
        <f>IF(AND(ISNUMBER($H136),$H136&gt;0,ISNUMBER($K136)),$K136/$H136,"")</f>
        <v/>
      </c>
      <c r="M136" s="67" t="n"/>
      <c r="N136" s="67" t="n"/>
      <c r="O136" s="67" t="n"/>
      <c r="P136" s="64" t="n"/>
      <c r="Q136" s="64" t="n"/>
      <c r="R136" s="65" t="n"/>
      <c r="S136" s="71" t="str">
        <f>IF(ISNUMBER($A136),YEAR($A136)&amp;"-"&amp;TEXT(MONTH($A136),"00"),"")</f>
        <v/>
      </c>
      <c r="T136" s="71">
        <f>IF($C136="",0,IF(AND(OR(fClient="All",$B136=fClient),OR(fCampaign="All",$C136=fCampaign),OR(fTeam="All",$P136=fTeam),OR(fChannel="All",fChannel="LinkedIn Outreach"),OR(fMonth="All",$S136=fMonth)),1,0))</f>
        <v>0</v>
      </c>
      <c r="U136" s="71">
        <f>IF($C136="",0,IF(AND(OR(fClient="All",$B136=fClient),OR(fCampaign="All",$C136=fCampaign),OR(fTeam="All",$P136=fTeam),OR(fChannel="All",fChannel="LinkedIn Outreach")),1,0))</f>
        <v>0</v>
      </c>
    </row>
    <row r="137">
      <c r="A137" s="63" t="n"/>
      <c r="B137" s="64" t="n"/>
      <c r="C137" s="64" t="n"/>
      <c r="D137" s="64" t="n"/>
      <c r="E137" s="67" t="n"/>
      <c r="F137" s="67" t="n"/>
      <c r="G137" s="73" t="str">
        <f>IF(AND(ISNUMBER($E137),$E137&gt;0,ISNUMBER($F137)),$F137/$E137,"")</f>
        <v/>
      </c>
      <c r="H137" s="67" t="n"/>
      <c r="I137" s="67" t="n"/>
      <c r="J137" s="73" t="str">
        <f>IF(AND(ISNUMBER($H137),$H137&gt;0,ISNUMBER($I137)),$I137/$H137,"")</f>
        <v/>
      </c>
      <c r="K137" s="67" t="n"/>
      <c r="L137" s="73" t="str">
        <f>IF(AND(ISNUMBER($H137),$H137&gt;0,ISNUMBER($K137)),$K137/$H137,"")</f>
        <v/>
      </c>
      <c r="M137" s="67" t="n"/>
      <c r="N137" s="67" t="n"/>
      <c r="O137" s="67" t="n"/>
      <c r="P137" s="64" t="n"/>
      <c r="Q137" s="64" t="n"/>
      <c r="R137" s="65" t="n"/>
      <c r="S137" s="71" t="str">
        <f>IF(ISNUMBER($A137),YEAR($A137)&amp;"-"&amp;TEXT(MONTH($A137),"00"),"")</f>
        <v/>
      </c>
      <c r="T137" s="71">
        <f>IF($C137="",0,IF(AND(OR(fClient="All",$B137=fClient),OR(fCampaign="All",$C137=fCampaign),OR(fTeam="All",$P137=fTeam),OR(fChannel="All",fChannel="LinkedIn Outreach"),OR(fMonth="All",$S137=fMonth)),1,0))</f>
        <v>0</v>
      </c>
      <c r="U137" s="71">
        <f>IF($C137="",0,IF(AND(OR(fClient="All",$B137=fClient),OR(fCampaign="All",$C137=fCampaign),OR(fTeam="All",$P137=fTeam),OR(fChannel="All",fChannel="LinkedIn Outreach")),1,0))</f>
        <v>0</v>
      </c>
    </row>
    <row r="138">
      <c r="A138" s="63" t="n"/>
      <c r="B138" s="64" t="n"/>
      <c r="C138" s="64" t="n"/>
      <c r="D138" s="64" t="n"/>
      <c r="E138" s="67" t="n"/>
      <c r="F138" s="67" t="n"/>
      <c r="G138" s="73" t="str">
        <f>IF(AND(ISNUMBER($E138),$E138&gt;0,ISNUMBER($F138)),$F138/$E138,"")</f>
        <v/>
      </c>
      <c r="H138" s="67" t="n"/>
      <c r="I138" s="67" t="n"/>
      <c r="J138" s="73" t="str">
        <f>IF(AND(ISNUMBER($H138),$H138&gt;0,ISNUMBER($I138)),$I138/$H138,"")</f>
        <v/>
      </c>
      <c r="K138" s="67" t="n"/>
      <c r="L138" s="73" t="str">
        <f>IF(AND(ISNUMBER($H138),$H138&gt;0,ISNUMBER($K138)),$K138/$H138,"")</f>
        <v/>
      </c>
      <c r="M138" s="67" t="n"/>
      <c r="N138" s="67" t="n"/>
      <c r="O138" s="67" t="n"/>
      <c r="P138" s="64" t="n"/>
      <c r="Q138" s="64" t="n"/>
      <c r="R138" s="65" t="n"/>
      <c r="S138" s="71" t="str">
        <f>IF(ISNUMBER($A138),YEAR($A138)&amp;"-"&amp;TEXT(MONTH($A138),"00"),"")</f>
        <v/>
      </c>
      <c r="T138" s="71">
        <f>IF($C138="",0,IF(AND(OR(fClient="All",$B138=fClient),OR(fCampaign="All",$C138=fCampaign),OR(fTeam="All",$P138=fTeam),OR(fChannel="All",fChannel="LinkedIn Outreach"),OR(fMonth="All",$S138=fMonth)),1,0))</f>
        <v>0</v>
      </c>
      <c r="U138" s="71">
        <f>IF($C138="",0,IF(AND(OR(fClient="All",$B138=fClient),OR(fCampaign="All",$C138=fCampaign),OR(fTeam="All",$P138=fTeam),OR(fChannel="All",fChannel="LinkedIn Outreach")),1,0))</f>
        <v>0</v>
      </c>
    </row>
    <row r="139">
      <c r="A139" s="63" t="n"/>
      <c r="B139" s="64" t="n"/>
      <c r="C139" s="64" t="n"/>
      <c r="D139" s="64" t="n"/>
      <c r="E139" s="67" t="n"/>
      <c r="F139" s="67" t="n"/>
      <c r="G139" s="73" t="str">
        <f>IF(AND(ISNUMBER($E139),$E139&gt;0,ISNUMBER($F139)),$F139/$E139,"")</f>
        <v/>
      </c>
      <c r="H139" s="67" t="n"/>
      <c r="I139" s="67" t="n"/>
      <c r="J139" s="73" t="str">
        <f>IF(AND(ISNUMBER($H139),$H139&gt;0,ISNUMBER($I139)),$I139/$H139,"")</f>
        <v/>
      </c>
      <c r="K139" s="67" t="n"/>
      <c r="L139" s="73" t="str">
        <f>IF(AND(ISNUMBER($H139),$H139&gt;0,ISNUMBER($K139)),$K139/$H139,"")</f>
        <v/>
      </c>
      <c r="M139" s="67" t="n"/>
      <c r="N139" s="67" t="n"/>
      <c r="O139" s="67" t="n"/>
      <c r="P139" s="64" t="n"/>
      <c r="Q139" s="64" t="n"/>
      <c r="R139" s="65" t="n"/>
      <c r="S139" s="71" t="str">
        <f>IF(ISNUMBER($A139),YEAR($A139)&amp;"-"&amp;TEXT(MONTH($A139),"00"),"")</f>
        <v/>
      </c>
      <c r="T139" s="71">
        <f>IF($C139="",0,IF(AND(OR(fClient="All",$B139=fClient),OR(fCampaign="All",$C139=fCampaign),OR(fTeam="All",$P139=fTeam),OR(fChannel="All",fChannel="LinkedIn Outreach"),OR(fMonth="All",$S139=fMonth)),1,0))</f>
        <v>0</v>
      </c>
      <c r="U139" s="71">
        <f>IF($C139="",0,IF(AND(OR(fClient="All",$B139=fClient),OR(fCampaign="All",$C139=fCampaign),OR(fTeam="All",$P139=fTeam),OR(fChannel="All",fChannel="LinkedIn Outreach")),1,0))</f>
        <v>0</v>
      </c>
    </row>
    <row r="140">
      <c r="A140" s="63" t="n"/>
      <c r="B140" s="64" t="n"/>
      <c r="C140" s="64" t="n"/>
      <c r="D140" s="64" t="n"/>
      <c r="E140" s="67" t="n"/>
      <c r="F140" s="67" t="n"/>
      <c r="G140" s="73" t="str">
        <f>IF(AND(ISNUMBER($E140),$E140&gt;0,ISNUMBER($F140)),$F140/$E140,"")</f>
        <v/>
      </c>
      <c r="H140" s="67" t="n"/>
      <c r="I140" s="67" t="n"/>
      <c r="J140" s="73" t="str">
        <f>IF(AND(ISNUMBER($H140),$H140&gt;0,ISNUMBER($I140)),$I140/$H140,"")</f>
        <v/>
      </c>
      <c r="K140" s="67" t="n"/>
      <c r="L140" s="73" t="str">
        <f>IF(AND(ISNUMBER($H140),$H140&gt;0,ISNUMBER($K140)),$K140/$H140,"")</f>
        <v/>
      </c>
      <c r="M140" s="67" t="n"/>
      <c r="N140" s="67" t="n"/>
      <c r="O140" s="67" t="n"/>
      <c r="P140" s="64" t="n"/>
      <c r="Q140" s="64" t="n"/>
      <c r="R140" s="65" t="n"/>
      <c r="S140" s="71" t="str">
        <f>IF(ISNUMBER($A140),YEAR($A140)&amp;"-"&amp;TEXT(MONTH($A140),"00"),"")</f>
        <v/>
      </c>
      <c r="T140" s="71">
        <f>IF($C140="",0,IF(AND(OR(fClient="All",$B140=fClient),OR(fCampaign="All",$C140=fCampaign),OR(fTeam="All",$P140=fTeam),OR(fChannel="All",fChannel="LinkedIn Outreach"),OR(fMonth="All",$S140=fMonth)),1,0))</f>
        <v>0</v>
      </c>
      <c r="U140" s="71">
        <f>IF($C140="",0,IF(AND(OR(fClient="All",$B140=fClient),OR(fCampaign="All",$C140=fCampaign),OR(fTeam="All",$P140=fTeam),OR(fChannel="All",fChannel="LinkedIn Outreach")),1,0))</f>
        <v>0</v>
      </c>
    </row>
    <row r="141">
      <c r="A141" s="63" t="n"/>
      <c r="B141" s="64" t="n"/>
      <c r="C141" s="64" t="n"/>
      <c r="D141" s="64" t="n"/>
      <c r="E141" s="67" t="n"/>
      <c r="F141" s="67" t="n"/>
      <c r="G141" s="73" t="str">
        <f>IF(AND(ISNUMBER($E141),$E141&gt;0,ISNUMBER($F141)),$F141/$E141,"")</f>
        <v/>
      </c>
      <c r="H141" s="67" t="n"/>
      <c r="I141" s="67" t="n"/>
      <c r="J141" s="73" t="str">
        <f>IF(AND(ISNUMBER($H141),$H141&gt;0,ISNUMBER($I141)),$I141/$H141,"")</f>
        <v/>
      </c>
      <c r="K141" s="67" t="n"/>
      <c r="L141" s="73" t="str">
        <f>IF(AND(ISNUMBER($H141),$H141&gt;0,ISNUMBER($K141)),$K141/$H141,"")</f>
        <v/>
      </c>
      <c r="M141" s="67" t="n"/>
      <c r="N141" s="67" t="n"/>
      <c r="O141" s="67" t="n"/>
      <c r="P141" s="64" t="n"/>
      <c r="Q141" s="64" t="n"/>
      <c r="R141" s="65" t="n"/>
      <c r="S141" s="71" t="str">
        <f>IF(ISNUMBER($A141),YEAR($A141)&amp;"-"&amp;TEXT(MONTH($A141),"00"),"")</f>
        <v/>
      </c>
      <c r="T141" s="71">
        <f>IF($C141="",0,IF(AND(OR(fClient="All",$B141=fClient),OR(fCampaign="All",$C141=fCampaign),OR(fTeam="All",$P141=fTeam),OR(fChannel="All",fChannel="LinkedIn Outreach"),OR(fMonth="All",$S141=fMonth)),1,0))</f>
        <v>0</v>
      </c>
      <c r="U141" s="71">
        <f>IF($C141="",0,IF(AND(OR(fClient="All",$B141=fClient),OR(fCampaign="All",$C141=fCampaign),OR(fTeam="All",$P141=fTeam),OR(fChannel="All",fChannel="LinkedIn Outreach")),1,0))</f>
        <v>0</v>
      </c>
    </row>
    <row r="142">
      <c r="A142" s="63" t="n"/>
      <c r="B142" s="64" t="n"/>
      <c r="C142" s="64" t="n"/>
      <c r="D142" s="64" t="n"/>
      <c r="E142" s="67" t="n"/>
      <c r="F142" s="67" t="n"/>
      <c r="G142" s="73" t="str">
        <f>IF(AND(ISNUMBER($E142),$E142&gt;0,ISNUMBER($F142)),$F142/$E142,"")</f>
        <v/>
      </c>
      <c r="H142" s="67" t="n"/>
      <c r="I142" s="67" t="n"/>
      <c r="J142" s="73" t="str">
        <f>IF(AND(ISNUMBER($H142),$H142&gt;0,ISNUMBER($I142)),$I142/$H142,"")</f>
        <v/>
      </c>
      <c r="K142" s="67" t="n"/>
      <c r="L142" s="73" t="str">
        <f>IF(AND(ISNUMBER($H142),$H142&gt;0,ISNUMBER($K142)),$K142/$H142,"")</f>
        <v/>
      </c>
      <c r="M142" s="67" t="n"/>
      <c r="N142" s="67" t="n"/>
      <c r="O142" s="67" t="n"/>
      <c r="P142" s="64" t="n"/>
      <c r="Q142" s="64" t="n"/>
      <c r="R142" s="65" t="n"/>
      <c r="S142" s="71" t="str">
        <f>IF(ISNUMBER($A142),YEAR($A142)&amp;"-"&amp;TEXT(MONTH($A142),"00"),"")</f>
        <v/>
      </c>
      <c r="T142" s="71">
        <f>IF($C142="",0,IF(AND(OR(fClient="All",$B142=fClient),OR(fCampaign="All",$C142=fCampaign),OR(fTeam="All",$P142=fTeam),OR(fChannel="All",fChannel="LinkedIn Outreach"),OR(fMonth="All",$S142=fMonth)),1,0))</f>
        <v>0</v>
      </c>
      <c r="U142" s="71">
        <f>IF($C142="",0,IF(AND(OR(fClient="All",$B142=fClient),OR(fCampaign="All",$C142=fCampaign),OR(fTeam="All",$P142=fTeam),OR(fChannel="All",fChannel="LinkedIn Outreach")),1,0))</f>
        <v>0</v>
      </c>
    </row>
    <row r="143">
      <c r="A143" s="63" t="n"/>
      <c r="B143" s="64" t="n"/>
      <c r="C143" s="64" t="n"/>
      <c r="D143" s="64" t="n"/>
      <c r="E143" s="67" t="n"/>
      <c r="F143" s="67" t="n"/>
      <c r="G143" s="73" t="str">
        <f>IF(AND(ISNUMBER($E143),$E143&gt;0,ISNUMBER($F143)),$F143/$E143,"")</f>
        <v/>
      </c>
      <c r="H143" s="67" t="n"/>
      <c r="I143" s="67" t="n"/>
      <c r="J143" s="73" t="str">
        <f>IF(AND(ISNUMBER($H143),$H143&gt;0,ISNUMBER($I143)),$I143/$H143,"")</f>
        <v/>
      </c>
      <c r="K143" s="67" t="n"/>
      <c r="L143" s="73" t="str">
        <f>IF(AND(ISNUMBER($H143),$H143&gt;0,ISNUMBER($K143)),$K143/$H143,"")</f>
        <v/>
      </c>
      <c r="M143" s="67" t="n"/>
      <c r="N143" s="67" t="n"/>
      <c r="O143" s="67" t="n"/>
      <c r="P143" s="64" t="n"/>
      <c r="Q143" s="64" t="n"/>
      <c r="R143" s="65" t="n"/>
      <c r="S143" s="71" t="str">
        <f>IF(ISNUMBER($A143),YEAR($A143)&amp;"-"&amp;TEXT(MONTH($A143),"00"),"")</f>
        <v/>
      </c>
      <c r="T143" s="71">
        <f>IF($C143="",0,IF(AND(OR(fClient="All",$B143=fClient),OR(fCampaign="All",$C143=fCampaign),OR(fTeam="All",$P143=fTeam),OR(fChannel="All",fChannel="LinkedIn Outreach"),OR(fMonth="All",$S143=fMonth)),1,0))</f>
        <v>0</v>
      </c>
      <c r="U143" s="71">
        <f>IF($C143="",0,IF(AND(OR(fClient="All",$B143=fClient),OR(fCampaign="All",$C143=fCampaign),OR(fTeam="All",$P143=fTeam),OR(fChannel="All",fChannel="LinkedIn Outreach")),1,0))</f>
        <v>0</v>
      </c>
    </row>
    <row r="144">
      <c r="A144" s="63" t="n"/>
      <c r="B144" s="64" t="n"/>
      <c r="C144" s="64" t="n"/>
      <c r="D144" s="64" t="n"/>
      <c r="E144" s="67" t="n"/>
      <c r="F144" s="67" t="n"/>
      <c r="G144" s="73" t="str">
        <f>IF(AND(ISNUMBER($E144),$E144&gt;0,ISNUMBER($F144)),$F144/$E144,"")</f>
        <v/>
      </c>
      <c r="H144" s="67" t="n"/>
      <c r="I144" s="67" t="n"/>
      <c r="J144" s="73" t="str">
        <f>IF(AND(ISNUMBER($H144),$H144&gt;0,ISNUMBER($I144)),$I144/$H144,"")</f>
        <v/>
      </c>
      <c r="K144" s="67" t="n"/>
      <c r="L144" s="73" t="str">
        <f>IF(AND(ISNUMBER($H144),$H144&gt;0,ISNUMBER($K144)),$K144/$H144,"")</f>
        <v/>
      </c>
      <c r="M144" s="67" t="n"/>
      <c r="N144" s="67" t="n"/>
      <c r="O144" s="67" t="n"/>
      <c r="P144" s="64" t="n"/>
      <c r="Q144" s="64" t="n"/>
      <c r="R144" s="65" t="n"/>
      <c r="S144" s="71" t="str">
        <f>IF(ISNUMBER($A144),YEAR($A144)&amp;"-"&amp;TEXT(MONTH($A144),"00"),"")</f>
        <v/>
      </c>
      <c r="T144" s="71">
        <f>IF($C144="",0,IF(AND(OR(fClient="All",$B144=fClient),OR(fCampaign="All",$C144=fCampaign),OR(fTeam="All",$P144=fTeam),OR(fChannel="All",fChannel="LinkedIn Outreach"),OR(fMonth="All",$S144=fMonth)),1,0))</f>
        <v>0</v>
      </c>
      <c r="U144" s="71">
        <f>IF($C144="",0,IF(AND(OR(fClient="All",$B144=fClient),OR(fCampaign="All",$C144=fCampaign),OR(fTeam="All",$P144=fTeam),OR(fChannel="All",fChannel="LinkedIn Outreach")),1,0))</f>
        <v>0</v>
      </c>
    </row>
    <row r="145">
      <c r="A145" s="63" t="n"/>
      <c r="B145" s="64" t="n"/>
      <c r="C145" s="64" t="n"/>
      <c r="D145" s="64" t="n"/>
      <c r="E145" s="67" t="n"/>
      <c r="F145" s="67" t="n"/>
      <c r="G145" s="73" t="str">
        <f>IF(AND(ISNUMBER($E145),$E145&gt;0,ISNUMBER($F145)),$F145/$E145,"")</f>
        <v/>
      </c>
      <c r="H145" s="67" t="n"/>
      <c r="I145" s="67" t="n"/>
      <c r="J145" s="73" t="str">
        <f>IF(AND(ISNUMBER($H145),$H145&gt;0,ISNUMBER($I145)),$I145/$H145,"")</f>
        <v/>
      </c>
      <c r="K145" s="67" t="n"/>
      <c r="L145" s="73" t="str">
        <f>IF(AND(ISNUMBER($H145),$H145&gt;0,ISNUMBER($K145)),$K145/$H145,"")</f>
        <v/>
      </c>
      <c r="M145" s="67" t="n"/>
      <c r="N145" s="67" t="n"/>
      <c r="O145" s="67" t="n"/>
      <c r="P145" s="64" t="n"/>
      <c r="Q145" s="64" t="n"/>
      <c r="R145" s="65" t="n"/>
      <c r="S145" s="71" t="str">
        <f>IF(ISNUMBER($A145),YEAR($A145)&amp;"-"&amp;TEXT(MONTH($A145),"00"),"")</f>
        <v/>
      </c>
      <c r="T145" s="71">
        <f>IF($C145="",0,IF(AND(OR(fClient="All",$B145=fClient),OR(fCampaign="All",$C145=fCampaign),OR(fTeam="All",$P145=fTeam),OR(fChannel="All",fChannel="LinkedIn Outreach"),OR(fMonth="All",$S145=fMonth)),1,0))</f>
        <v>0</v>
      </c>
      <c r="U145" s="71">
        <f>IF($C145="",0,IF(AND(OR(fClient="All",$B145=fClient),OR(fCampaign="All",$C145=fCampaign),OR(fTeam="All",$P145=fTeam),OR(fChannel="All",fChannel="LinkedIn Outreach")),1,0))</f>
        <v>0</v>
      </c>
    </row>
    <row r="146">
      <c r="A146" s="63" t="n"/>
      <c r="B146" s="64" t="n"/>
      <c r="C146" s="64" t="n"/>
      <c r="D146" s="64" t="n"/>
      <c r="E146" s="67" t="n"/>
      <c r="F146" s="67" t="n"/>
      <c r="G146" s="73" t="str">
        <f>IF(AND(ISNUMBER($E146),$E146&gt;0,ISNUMBER($F146)),$F146/$E146,"")</f>
        <v/>
      </c>
      <c r="H146" s="67" t="n"/>
      <c r="I146" s="67" t="n"/>
      <c r="J146" s="73" t="str">
        <f>IF(AND(ISNUMBER($H146),$H146&gt;0,ISNUMBER($I146)),$I146/$H146,"")</f>
        <v/>
      </c>
      <c r="K146" s="67" t="n"/>
      <c r="L146" s="73" t="str">
        <f>IF(AND(ISNUMBER($H146),$H146&gt;0,ISNUMBER($K146)),$K146/$H146,"")</f>
        <v/>
      </c>
      <c r="M146" s="67" t="n"/>
      <c r="N146" s="67" t="n"/>
      <c r="O146" s="67" t="n"/>
      <c r="P146" s="64" t="n"/>
      <c r="Q146" s="64" t="n"/>
      <c r="R146" s="65" t="n"/>
      <c r="S146" s="71" t="str">
        <f>IF(ISNUMBER($A146),YEAR($A146)&amp;"-"&amp;TEXT(MONTH($A146),"00"),"")</f>
        <v/>
      </c>
      <c r="T146" s="71">
        <f>IF($C146="",0,IF(AND(OR(fClient="All",$B146=fClient),OR(fCampaign="All",$C146=fCampaign),OR(fTeam="All",$P146=fTeam),OR(fChannel="All",fChannel="LinkedIn Outreach"),OR(fMonth="All",$S146=fMonth)),1,0))</f>
        <v>0</v>
      </c>
      <c r="U146" s="71">
        <f>IF($C146="",0,IF(AND(OR(fClient="All",$B146=fClient),OR(fCampaign="All",$C146=fCampaign),OR(fTeam="All",$P146=fTeam),OR(fChannel="All",fChannel="LinkedIn Outreach")),1,0))</f>
        <v>0</v>
      </c>
    </row>
    <row r="147">
      <c r="A147" s="63" t="n"/>
      <c r="B147" s="64" t="n"/>
      <c r="C147" s="64" t="n"/>
      <c r="D147" s="64" t="n"/>
      <c r="E147" s="67" t="n"/>
      <c r="F147" s="67" t="n"/>
      <c r="G147" s="73" t="str">
        <f>IF(AND(ISNUMBER($E147),$E147&gt;0,ISNUMBER($F147)),$F147/$E147,"")</f>
        <v/>
      </c>
      <c r="H147" s="67" t="n"/>
      <c r="I147" s="67" t="n"/>
      <c r="J147" s="73" t="str">
        <f>IF(AND(ISNUMBER($H147),$H147&gt;0,ISNUMBER($I147)),$I147/$H147,"")</f>
        <v/>
      </c>
      <c r="K147" s="67" t="n"/>
      <c r="L147" s="73" t="str">
        <f>IF(AND(ISNUMBER($H147),$H147&gt;0,ISNUMBER($K147)),$K147/$H147,"")</f>
        <v/>
      </c>
      <c r="M147" s="67" t="n"/>
      <c r="N147" s="67" t="n"/>
      <c r="O147" s="67" t="n"/>
      <c r="P147" s="64" t="n"/>
      <c r="Q147" s="64" t="n"/>
      <c r="R147" s="65" t="n"/>
      <c r="S147" s="71" t="str">
        <f>IF(ISNUMBER($A147),YEAR($A147)&amp;"-"&amp;TEXT(MONTH($A147),"00"),"")</f>
        <v/>
      </c>
      <c r="T147" s="71">
        <f>IF($C147="",0,IF(AND(OR(fClient="All",$B147=fClient),OR(fCampaign="All",$C147=fCampaign),OR(fTeam="All",$P147=fTeam),OR(fChannel="All",fChannel="LinkedIn Outreach"),OR(fMonth="All",$S147=fMonth)),1,0))</f>
        <v>0</v>
      </c>
      <c r="U147" s="71">
        <f>IF($C147="",0,IF(AND(OR(fClient="All",$B147=fClient),OR(fCampaign="All",$C147=fCampaign),OR(fTeam="All",$P147=fTeam),OR(fChannel="All",fChannel="LinkedIn Outreach")),1,0))</f>
        <v>0</v>
      </c>
    </row>
    <row r="148">
      <c r="A148" s="63" t="n"/>
      <c r="B148" s="64" t="n"/>
      <c r="C148" s="64" t="n"/>
      <c r="D148" s="64" t="n"/>
      <c r="E148" s="67" t="n"/>
      <c r="F148" s="67" t="n"/>
      <c r="G148" s="73" t="str">
        <f>IF(AND(ISNUMBER($E148),$E148&gt;0,ISNUMBER($F148)),$F148/$E148,"")</f>
        <v/>
      </c>
      <c r="H148" s="67" t="n"/>
      <c r="I148" s="67" t="n"/>
      <c r="J148" s="73" t="str">
        <f>IF(AND(ISNUMBER($H148),$H148&gt;0,ISNUMBER($I148)),$I148/$H148,"")</f>
        <v/>
      </c>
      <c r="K148" s="67" t="n"/>
      <c r="L148" s="73" t="str">
        <f>IF(AND(ISNUMBER($H148),$H148&gt;0,ISNUMBER($K148)),$K148/$H148,"")</f>
        <v/>
      </c>
      <c r="M148" s="67" t="n"/>
      <c r="N148" s="67" t="n"/>
      <c r="O148" s="67" t="n"/>
      <c r="P148" s="64" t="n"/>
      <c r="Q148" s="64" t="n"/>
      <c r="R148" s="65" t="n"/>
      <c r="S148" s="71" t="str">
        <f>IF(ISNUMBER($A148),YEAR($A148)&amp;"-"&amp;TEXT(MONTH($A148),"00"),"")</f>
        <v/>
      </c>
      <c r="T148" s="71">
        <f>IF($C148="",0,IF(AND(OR(fClient="All",$B148=fClient),OR(fCampaign="All",$C148=fCampaign),OR(fTeam="All",$P148=fTeam),OR(fChannel="All",fChannel="LinkedIn Outreach"),OR(fMonth="All",$S148=fMonth)),1,0))</f>
        <v>0</v>
      </c>
      <c r="U148" s="71">
        <f>IF($C148="",0,IF(AND(OR(fClient="All",$B148=fClient),OR(fCampaign="All",$C148=fCampaign),OR(fTeam="All",$P148=fTeam),OR(fChannel="All",fChannel="LinkedIn Outreach")),1,0))</f>
        <v>0</v>
      </c>
    </row>
    <row r="149">
      <c r="A149" s="63" t="n"/>
      <c r="B149" s="64" t="n"/>
      <c r="C149" s="64" t="n"/>
      <c r="D149" s="64" t="n"/>
      <c r="E149" s="67" t="n"/>
      <c r="F149" s="67" t="n"/>
      <c r="G149" s="73" t="str">
        <f>IF(AND(ISNUMBER($E149),$E149&gt;0,ISNUMBER($F149)),$F149/$E149,"")</f>
        <v/>
      </c>
      <c r="H149" s="67" t="n"/>
      <c r="I149" s="67" t="n"/>
      <c r="J149" s="73" t="str">
        <f>IF(AND(ISNUMBER($H149),$H149&gt;0,ISNUMBER($I149)),$I149/$H149,"")</f>
        <v/>
      </c>
      <c r="K149" s="67" t="n"/>
      <c r="L149" s="73" t="str">
        <f>IF(AND(ISNUMBER($H149),$H149&gt;0,ISNUMBER($K149)),$K149/$H149,"")</f>
        <v/>
      </c>
      <c r="M149" s="67" t="n"/>
      <c r="N149" s="67" t="n"/>
      <c r="O149" s="67" t="n"/>
      <c r="P149" s="64" t="n"/>
      <c r="Q149" s="64" t="n"/>
      <c r="R149" s="65" t="n"/>
      <c r="S149" s="71" t="str">
        <f>IF(ISNUMBER($A149),YEAR($A149)&amp;"-"&amp;TEXT(MONTH($A149),"00"),"")</f>
        <v/>
      </c>
      <c r="T149" s="71">
        <f>IF($C149="",0,IF(AND(OR(fClient="All",$B149=fClient),OR(fCampaign="All",$C149=fCampaign),OR(fTeam="All",$P149=fTeam),OR(fChannel="All",fChannel="LinkedIn Outreach"),OR(fMonth="All",$S149=fMonth)),1,0))</f>
        <v>0</v>
      </c>
      <c r="U149" s="71">
        <f>IF($C149="",0,IF(AND(OR(fClient="All",$B149=fClient),OR(fCampaign="All",$C149=fCampaign),OR(fTeam="All",$P149=fTeam),OR(fChannel="All",fChannel="LinkedIn Outreach")),1,0))</f>
        <v>0</v>
      </c>
    </row>
    <row r="150">
      <c r="A150" s="63" t="n"/>
      <c r="B150" s="64" t="n"/>
      <c r="C150" s="64" t="n"/>
      <c r="D150" s="64" t="n"/>
      <c r="E150" s="67" t="n"/>
      <c r="F150" s="67" t="n"/>
      <c r="G150" s="73" t="str">
        <f>IF(AND(ISNUMBER($E150),$E150&gt;0,ISNUMBER($F150)),$F150/$E150,"")</f>
        <v/>
      </c>
      <c r="H150" s="67" t="n"/>
      <c r="I150" s="67" t="n"/>
      <c r="J150" s="73" t="str">
        <f>IF(AND(ISNUMBER($H150),$H150&gt;0,ISNUMBER($I150)),$I150/$H150,"")</f>
        <v/>
      </c>
      <c r="K150" s="67" t="n"/>
      <c r="L150" s="73" t="str">
        <f>IF(AND(ISNUMBER($H150),$H150&gt;0,ISNUMBER($K150)),$K150/$H150,"")</f>
        <v/>
      </c>
      <c r="M150" s="67" t="n"/>
      <c r="N150" s="67" t="n"/>
      <c r="O150" s="67" t="n"/>
      <c r="P150" s="64" t="n"/>
      <c r="Q150" s="64" t="n"/>
      <c r="R150" s="65" t="n"/>
      <c r="S150" s="71" t="str">
        <f>IF(ISNUMBER($A150),YEAR($A150)&amp;"-"&amp;TEXT(MONTH($A150),"00"),"")</f>
        <v/>
      </c>
      <c r="T150" s="71">
        <f>IF($C150="",0,IF(AND(OR(fClient="All",$B150=fClient),OR(fCampaign="All",$C150=fCampaign),OR(fTeam="All",$P150=fTeam),OR(fChannel="All",fChannel="LinkedIn Outreach"),OR(fMonth="All",$S150=fMonth)),1,0))</f>
        <v>0</v>
      </c>
      <c r="U150" s="71">
        <f>IF($C150="",0,IF(AND(OR(fClient="All",$B150=fClient),OR(fCampaign="All",$C150=fCampaign),OR(fTeam="All",$P150=fTeam),OR(fChannel="All",fChannel="LinkedIn Outreach")),1,0))</f>
        <v>0</v>
      </c>
    </row>
    <row r="151">
      <c r="A151" s="63" t="n"/>
      <c r="B151" s="64" t="n"/>
      <c r="C151" s="64" t="n"/>
      <c r="D151" s="64" t="n"/>
      <c r="E151" s="67" t="n"/>
      <c r="F151" s="67" t="n"/>
      <c r="G151" s="73" t="str">
        <f>IF(AND(ISNUMBER($E151),$E151&gt;0,ISNUMBER($F151)),$F151/$E151,"")</f>
        <v/>
      </c>
      <c r="H151" s="67" t="n"/>
      <c r="I151" s="67" t="n"/>
      <c r="J151" s="73" t="str">
        <f>IF(AND(ISNUMBER($H151),$H151&gt;0,ISNUMBER($I151)),$I151/$H151,"")</f>
        <v/>
      </c>
      <c r="K151" s="67" t="n"/>
      <c r="L151" s="73" t="str">
        <f>IF(AND(ISNUMBER($H151),$H151&gt;0,ISNUMBER($K151)),$K151/$H151,"")</f>
        <v/>
      </c>
      <c r="M151" s="67" t="n"/>
      <c r="N151" s="67" t="n"/>
      <c r="O151" s="67" t="n"/>
      <c r="P151" s="64" t="n"/>
      <c r="Q151" s="64" t="n"/>
      <c r="R151" s="65" t="n"/>
      <c r="S151" s="71" t="str">
        <f>IF(ISNUMBER($A151),YEAR($A151)&amp;"-"&amp;TEXT(MONTH($A151),"00"),"")</f>
        <v/>
      </c>
      <c r="T151" s="71">
        <f>IF($C151="",0,IF(AND(OR(fClient="All",$B151=fClient),OR(fCampaign="All",$C151=fCampaign),OR(fTeam="All",$P151=fTeam),OR(fChannel="All",fChannel="LinkedIn Outreach"),OR(fMonth="All",$S151=fMonth)),1,0))</f>
        <v>0</v>
      </c>
      <c r="U151" s="71">
        <f>IF($C151="",0,IF(AND(OR(fClient="All",$B151=fClient),OR(fCampaign="All",$C151=fCampaign),OR(fTeam="All",$P151=fTeam),OR(fChannel="All",fChannel="LinkedIn Outreach")),1,0))</f>
        <v>0</v>
      </c>
    </row>
    <row r="152">
      <c r="A152" s="63" t="n"/>
      <c r="B152" s="64" t="n"/>
      <c r="C152" s="64" t="n"/>
      <c r="D152" s="64" t="n"/>
      <c r="E152" s="67" t="n"/>
      <c r="F152" s="67" t="n"/>
      <c r="G152" s="73" t="str">
        <f>IF(AND(ISNUMBER($E152),$E152&gt;0,ISNUMBER($F152)),$F152/$E152,"")</f>
        <v/>
      </c>
      <c r="H152" s="67" t="n"/>
      <c r="I152" s="67" t="n"/>
      <c r="J152" s="73" t="str">
        <f>IF(AND(ISNUMBER($H152),$H152&gt;0,ISNUMBER($I152)),$I152/$H152,"")</f>
        <v/>
      </c>
      <c r="K152" s="67" t="n"/>
      <c r="L152" s="73" t="str">
        <f>IF(AND(ISNUMBER($H152),$H152&gt;0,ISNUMBER($K152)),$K152/$H152,"")</f>
        <v/>
      </c>
      <c r="M152" s="67" t="n"/>
      <c r="N152" s="67" t="n"/>
      <c r="O152" s="67" t="n"/>
      <c r="P152" s="64" t="n"/>
      <c r="Q152" s="64" t="n"/>
      <c r="R152" s="65" t="n"/>
      <c r="S152" s="71" t="str">
        <f>IF(ISNUMBER($A152),YEAR($A152)&amp;"-"&amp;TEXT(MONTH($A152),"00"),"")</f>
        <v/>
      </c>
      <c r="T152" s="71">
        <f>IF($C152="",0,IF(AND(OR(fClient="All",$B152=fClient),OR(fCampaign="All",$C152=fCampaign),OR(fTeam="All",$P152=fTeam),OR(fChannel="All",fChannel="LinkedIn Outreach"),OR(fMonth="All",$S152=fMonth)),1,0))</f>
        <v>0</v>
      </c>
      <c r="U152" s="71">
        <f>IF($C152="",0,IF(AND(OR(fClient="All",$B152=fClient),OR(fCampaign="All",$C152=fCampaign),OR(fTeam="All",$P152=fTeam),OR(fChannel="All",fChannel="LinkedIn Outreach")),1,0))</f>
        <v>0</v>
      </c>
    </row>
    <row r="153">
      <c r="A153" s="63" t="n"/>
      <c r="B153" s="64" t="n"/>
      <c r="C153" s="64" t="n"/>
      <c r="D153" s="64" t="n"/>
      <c r="E153" s="67" t="n"/>
      <c r="F153" s="67" t="n"/>
      <c r="G153" s="73" t="str">
        <f>IF(AND(ISNUMBER($E153),$E153&gt;0,ISNUMBER($F153)),$F153/$E153,"")</f>
        <v/>
      </c>
      <c r="H153" s="67" t="n"/>
      <c r="I153" s="67" t="n"/>
      <c r="J153" s="73" t="str">
        <f>IF(AND(ISNUMBER($H153),$H153&gt;0,ISNUMBER($I153)),$I153/$H153,"")</f>
        <v/>
      </c>
      <c r="K153" s="67" t="n"/>
      <c r="L153" s="73" t="str">
        <f>IF(AND(ISNUMBER($H153),$H153&gt;0,ISNUMBER($K153)),$K153/$H153,"")</f>
        <v/>
      </c>
      <c r="M153" s="67" t="n"/>
      <c r="N153" s="67" t="n"/>
      <c r="O153" s="67" t="n"/>
      <c r="P153" s="64" t="n"/>
      <c r="Q153" s="64" t="n"/>
      <c r="R153" s="65" t="n"/>
      <c r="S153" s="71" t="str">
        <f>IF(ISNUMBER($A153),YEAR($A153)&amp;"-"&amp;TEXT(MONTH($A153),"00"),"")</f>
        <v/>
      </c>
      <c r="T153" s="71">
        <f>IF($C153="",0,IF(AND(OR(fClient="All",$B153=fClient),OR(fCampaign="All",$C153=fCampaign),OR(fTeam="All",$P153=fTeam),OR(fChannel="All",fChannel="LinkedIn Outreach"),OR(fMonth="All",$S153=fMonth)),1,0))</f>
        <v>0</v>
      </c>
      <c r="U153" s="71">
        <f>IF($C153="",0,IF(AND(OR(fClient="All",$B153=fClient),OR(fCampaign="All",$C153=fCampaign),OR(fTeam="All",$P153=fTeam),OR(fChannel="All",fChannel="LinkedIn Outreach")),1,0))</f>
        <v>0</v>
      </c>
    </row>
    <row r="154">
      <c r="A154" s="63" t="n"/>
      <c r="B154" s="64" t="n"/>
      <c r="C154" s="64" t="n"/>
      <c r="D154" s="64" t="n"/>
      <c r="E154" s="67" t="n"/>
      <c r="F154" s="67" t="n"/>
      <c r="G154" s="73" t="str">
        <f>IF(AND(ISNUMBER($E154),$E154&gt;0,ISNUMBER($F154)),$F154/$E154,"")</f>
        <v/>
      </c>
      <c r="H154" s="67" t="n"/>
      <c r="I154" s="67" t="n"/>
      <c r="J154" s="73" t="str">
        <f>IF(AND(ISNUMBER($H154),$H154&gt;0,ISNUMBER($I154)),$I154/$H154,"")</f>
        <v/>
      </c>
      <c r="K154" s="67" t="n"/>
      <c r="L154" s="73" t="str">
        <f>IF(AND(ISNUMBER($H154),$H154&gt;0,ISNUMBER($K154)),$K154/$H154,"")</f>
        <v/>
      </c>
      <c r="M154" s="67" t="n"/>
      <c r="N154" s="67" t="n"/>
      <c r="O154" s="67" t="n"/>
      <c r="P154" s="64" t="n"/>
      <c r="Q154" s="64" t="n"/>
      <c r="R154" s="65" t="n"/>
      <c r="S154" s="71" t="str">
        <f>IF(ISNUMBER($A154),YEAR($A154)&amp;"-"&amp;TEXT(MONTH($A154),"00"),"")</f>
        <v/>
      </c>
      <c r="T154" s="71">
        <f>IF($C154="",0,IF(AND(OR(fClient="All",$B154=fClient),OR(fCampaign="All",$C154=fCampaign),OR(fTeam="All",$P154=fTeam),OR(fChannel="All",fChannel="LinkedIn Outreach"),OR(fMonth="All",$S154=fMonth)),1,0))</f>
        <v>0</v>
      </c>
      <c r="U154" s="71">
        <f>IF($C154="",0,IF(AND(OR(fClient="All",$B154=fClient),OR(fCampaign="All",$C154=fCampaign),OR(fTeam="All",$P154=fTeam),OR(fChannel="All",fChannel="LinkedIn Outreach")),1,0))</f>
        <v>0</v>
      </c>
    </row>
    <row r="155">
      <c r="A155" s="63" t="n"/>
      <c r="B155" s="64" t="n"/>
      <c r="C155" s="64" t="n"/>
      <c r="D155" s="64" t="n"/>
      <c r="E155" s="67" t="n"/>
      <c r="F155" s="67" t="n"/>
      <c r="G155" s="73" t="str">
        <f>IF(AND(ISNUMBER($E155),$E155&gt;0,ISNUMBER($F155)),$F155/$E155,"")</f>
        <v/>
      </c>
      <c r="H155" s="67" t="n"/>
      <c r="I155" s="67" t="n"/>
      <c r="J155" s="73" t="str">
        <f>IF(AND(ISNUMBER($H155),$H155&gt;0,ISNUMBER($I155)),$I155/$H155,"")</f>
        <v/>
      </c>
      <c r="K155" s="67" t="n"/>
      <c r="L155" s="73" t="str">
        <f>IF(AND(ISNUMBER($H155),$H155&gt;0,ISNUMBER($K155)),$K155/$H155,"")</f>
        <v/>
      </c>
      <c r="M155" s="67" t="n"/>
      <c r="N155" s="67" t="n"/>
      <c r="O155" s="67" t="n"/>
      <c r="P155" s="64" t="n"/>
      <c r="Q155" s="64" t="n"/>
      <c r="R155" s="65" t="n"/>
      <c r="S155" s="71" t="str">
        <f>IF(ISNUMBER($A155),YEAR($A155)&amp;"-"&amp;TEXT(MONTH($A155),"00"),"")</f>
        <v/>
      </c>
      <c r="T155" s="71">
        <f>IF($C155="",0,IF(AND(OR(fClient="All",$B155=fClient),OR(fCampaign="All",$C155=fCampaign),OR(fTeam="All",$P155=fTeam),OR(fChannel="All",fChannel="LinkedIn Outreach"),OR(fMonth="All",$S155=fMonth)),1,0))</f>
        <v>0</v>
      </c>
      <c r="U155" s="71">
        <f>IF($C155="",0,IF(AND(OR(fClient="All",$B155=fClient),OR(fCampaign="All",$C155=fCampaign),OR(fTeam="All",$P155=fTeam),OR(fChannel="All",fChannel="LinkedIn Outreach")),1,0))</f>
        <v>0</v>
      </c>
    </row>
    <row r="156">
      <c r="A156" s="63" t="n"/>
      <c r="B156" s="64" t="n"/>
      <c r="C156" s="64" t="n"/>
      <c r="D156" s="64" t="n"/>
      <c r="E156" s="67" t="n"/>
      <c r="F156" s="67" t="n"/>
      <c r="G156" s="73" t="str">
        <f>IF(AND(ISNUMBER($E156),$E156&gt;0,ISNUMBER($F156)),$F156/$E156,"")</f>
        <v/>
      </c>
      <c r="H156" s="67" t="n"/>
      <c r="I156" s="67" t="n"/>
      <c r="J156" s="73" t="str">
        <f>IF(AND(ISNUMBER($H156),$H156&gt;0,ISNUMBER($I156)),$I156/$H156,"")</f>
        <v/>
      </c>
      <c r="K156" s="67" t="n"/>
      <c r="L156" s="73" t="str">
        <f>IF(AND(ISNUMBER($H156),$H156&gt;0,ISNUMBER($K156)),$K156/$H156,"")</f>
        <v/>
      </c>
      <c r="M156" s="67" t="n"/>
      <c r="N156" s="67" t="n"/>
      <c r="O156" s="67" t="n"/>
      <c r="P156" s="64" t="n"/>
      <c r="Q156" s="64" t="n"/>
      <c r="R156" s="65" t="n"/>
      <c r="S156" s="71" t="str">
        <f>IF(ISNUMBER($A156),YEAR($A156)&amp;"-"&amp;TEXT(MONTH($A156),"00"),"")</f>
        <v/>
      </c>
      <c r="T156" s="71">
        <f>IF($C156="",0,IF(AND(OR(fClient="All",$B156=fClient),OR(fCampaign="All",$C156=fCampaign),OR(fTeam="All",$P156=fTeam),OR(fChannel="All",fChannel="LinkedIn Outreach"),OR(fMonth="All",$S156=fMonth)),1,0))</f>
        <v>0</v>
      </c>
      <c r="U156" s="71">
        <f>IF($C156="",0,IF(AND(OR(fClient="All",$B156=fClient),OR(fCampaign="All",$C156=fCampaign),OR(fTeam="All",$P156=fTeam),OR(fChannel="All",fChannel="LinkedIn Outreach")),1,0))</f>
        <v>0</v>
      </c>
    </row>
    <row r="157">
      <c r="A157" s="63" t="n"/>
      <c r="B157" s="64" t="n"/>
      <c r="C157" s="64" t="n"/>
      <c r="D157" s="64" t="n"/>
      <c r="E157" s="67" t="n"/>
      <c r="F157" s="67" t="n"/>
      <c r="G157" s="73" t="str">
        <f>IF(AND(ISNUMBER($E157),$E157&gt;0,ISNUMBER($F157)),$F157/$E157,"")</f>
        <v/>
      </c>
      <c r="H157" s="67" t="n"/>
      <c r="I157" s="67" t="n"/>
      <c r="J157" s="73" t="str">
        <f>IF(AND(ISNUMBER($H157),$H157&gt;0,ISNUMBER($I157)),$I157/$H157,"")</f>
        <v/>
      </c>
      <c r="K157" s="67" t="n"/>
      <c r="L157" s="73" t="str">
        <f>IF(AND(ISNUMBER($H157),$H157&gt;0,ISNUMBER($K157)),$K157/$H157,"")</f>
        <v/>
      </c>
      <c r="M157" s="67" t="n"/>
      <c r="N157" s="67" t="n"/>
      <c r="O157" s="67" t="n"/>
      <c r="P157" s="64" t="n"/>
      <c r="Q157" s="64" t="n"/>
      <c r="R157" s="65" t="n"/>
      <c r="S157" s="71" t="str">
        <f>IF(ISNUMBER($A157),YEAR($A157)&amp;"-"&amp;TEXT(MONTH($A157),"00"),"")</f>
        <v/>
      </c>
      <c r="T157" s="71">
        <f>IF($C157="",0,IF(AND(OR(fClient="All",$B157=fClient),OR(fCampaign="All",$C157=fCampaign),OR(fTeam="All",$P157=fTeam),OR(fChannel="All",fChannel="LinkedIn Outreach"),OR(fMonth="All",$S157=fMonth)),1,0))</f>
        <v>0</v>
      </c>
      <c r="U157" s="71">
        <f>IF($C157="",0,IF(AND(OR(fClient="All",$B157=fClient),OR(fCampaign="All",$C157=fCampaign),OR(fTeam="All",$P157=fTeam),OR(fChannel="All",fChannel="LinkedIn Outreach")),1,0))</f>
        <v>0</v>
      </c>
    </row>
    <row r="158">
      <c r="A158" s="63" t="n"/>
      <c r="B158" s="64" t="n"/>
      <c r="C158" s="64" t="n"/>
      <c r="D158" s="64" t="n"/>
      <c r="E158" s="67" t="n"/>
      <c r="F158" s="67" t="n"/>
      <c r="G158" s="73" t="str">
        <f>IF(AND(ISNUMBER($E158),$E158&gt;0,ISNUMBER($F158)),$F158/$E158,"")</f>
        <v/>
      </c>
      <c r="H158" s="67" t="n"/>
      <c r="I158" s="67" t="n"/>
      <c r="J158" s="73" t="str">
        <f>IF(AND(ISNUMBER($H158),$H158&gt;0,ISNUMBER($I158)),$I158/$H158,"")</f>
        <v/>
      </c>
      <c r="K158" s="67" t="n"/>
      <c r="L158" s="73" t="str">
        <f>IF(AND(ISNUMBER($H158),$H158&gt;0,ISNUMBER($K158)),$K158/$H158,"")</f>
        <v/>
      </c>
      <c r="M158" s="67" t="n"/>
      <c r="N158" s="67" t="n"/>
      <c r="O158" s="67" t="n"/>
      <c r="P158" s="64" t="n"/>
      <c r="Q158" s="64" t="n"/>
      <c r="R158" s="65" t="n"/>
      <c r="S158" s="71" t="str">
        <f>IF(ISNUMBER($A158),YEAR($A158)&amp;"-"&amp;TEXT(MONTH($A158),"00"),"")</f>
        <v/>
      </c>
      <c r="T158" s="71">
        <f>IF($C158="",0,IF(AND(OR(fClient="All",$B158=fClient),OR(fCampaign="All",$C158=fCampaign),OR(fTeam="All",$P158=fTeam),OR(fChannel="All",fChannel="LinkedIn Outreach"),OR(fMonth="All",$S158=fMonth)),1,0))</f>
        <v>0</v>
      </c>
      <c r="U158" s="71">
        <f>IF($C158="",0,IF(AND(OR(fClient="All",$B158=fClient),OR(fCampaign="All",$C158=fCampaign),OR(fTeam="All",$P158=fTeam),OR(fChannel="All",fChannel="LinkedIn Outreach")),1,0))</f>
        <v>0</v>
      </c>
    </row>
    <row r="159">
      <c r="A159" s="63" t="n"/>
      <c r="B159" s="64" t="n"/>
      <c r="C159" s="64" t="n"/>
      <c r="D159" s="64" t="n"/>
      <c r="E159" s="67" t="n"/>
      <c r="F159" s="67" t="n"/>
      <c r="G159" s="73" t="str">
        <f>IF(AND(ISNUMBER($E159),$E159&gt;0,ISNUMBER($F159)),$F159/$E159,"")</f>
        <v/>
      </c>
      <c r="H159" s="67" t="n"/>
      <c r="I159" s="67" t="n"/>
      <c r="J159" s="73" t="str">
        <f>IF(AND(ISNUMBER($H159),$H159&gt;0,ISNUMBER($I159)),$I159/$H159,"")</f>
        <v/>
      </c>
      <c r="K159" s="67" t="n"/>
      <c r="L159" s="73" t="str">
        <f>IF(AND(ISNUMBER($H159),$H159&gt;0,ISNUMBER($K159)),$K159/$H159,"")</f>
        <v/>
      </c>
      <c r="M159" s="67" t="n"/>
      <c r="N159" s="67" t="n"/>
      <c r="O159" s="67" t="n"/>
      <c r="P159" s="64" t="n"/>
      <c r="Q159" s="64" t="n"/>
      <c r="R159" s="65" t="n"/>
      <c r="S159" s="71" t="str">
        <f>IF(ISNUMBER($A159),YEAR($A159)&amp;"-"&amp;TEXT(MONTH($A159),"00"),"")</f>
        <v/>
      </c>
      <c r="T159" s="71">
        <f>IF($C159="",0,IF(AND(OR(fClient="All",$B159=fClient),OR(fCampaign="All",$C159=fCampaign),OR(fTeam="All",$P159=fTeam),OR(fChannel="All",fChannel="LinkedIn Outreach"),OR(fMonth="All",$S159=fMonth)),1,0))</f>
        <v>0</v>
      </c>
      <c r="U159" s="71">
        <f>IF($C159="",0,IF(AND(OR(fClient="All",$B159=fClient),OR(fCampaign="All",$C159=fCampaign),OR(fTeam="All",$P159=fTeam),OR(fChannel="All",fChannel="LinkedIn Outreach")),1,0))</f>
        <v>0</v>
      </c>
    </row>
    <row r="160">
      <c r="A160" s="63" t="n"/>
      <c r="B160" s="64" t="n"/>
      <c r="C160" s="64" t="n"/>
      <c r="D160" s="64" t="n"/>
      <c r="E160" s="67" t="n"/>
      <c r="F160" s="67" t="n"/>
      <c r="G160" s="73" t="str">
        <f>IF(AND(ISNUMBER($E160),$E160&gt;0,ISNUMBER($F160)),$F160/$E160,"")</f>
        <v/>
      </c>
      <c r="H160" s="67" t="n"/>
      <c r="I160" s="67" t="n"/>
      <c r="J160" s="73" t="str">
        <f>IF(AND(ISNUMBER($H160),$H160&gt;0,ISNUMBER($I160)),$I160/$H160,"")</f>
        <v/>
      </c>
      <c r="K160" s="67" t="n"/>
      <c r="L160" s="73" t="str">
        <f>IF(AND(ISNUMBER($H160),$H160&gt;0,ISNUMBER($K160)),$K160/$H160,"")</f>
        <v/>
      </c>
      <c r="M160" s="67" t="n"/>
      <c r="N160" s="67" t="n"/>
      <c r="O160" s="67" t="n"/>
      <c r="P160" s="64" t="n"/>
      <c r="Q160" s="64" t="n"/>
      <c r="R160" s="65" t="n"/>
      <c r="S160" s="71" t="str">
        <f>IF(ISNUMBER($A160),YEAR($A160)&amp;"-"&amp;TEXT(MONTH($A160),"00"),"")</f>
        <v/>
      </c>
      <c r="T160" s="71">
        <f>IF($C160="",0,IF(AND(OR(fClient="All",$B160=fClient),OR(fCampaign="All",$C160=fCampaign),OR(fTeam="All",$P160=fTeam),OR(fChannel="All",fChannel="LinkedIn Outreach"),OR(fMonth="All",$S160=fMonth)),1,0))</f>
        <v>0</v>
      </c>
      <c r="U160" s="71">
        <f>IF($C160="",0,IF(AND(OR(fClient="All",$B160=fClient),OR(fCampaign="All",$C160=fCampaign),OR(fTeam="All",$P160=fTeam),OR(fChannel="All",fChannel="LinkedIn Outreach")),1,0))</f>
        <v>0</v>
      </c>
    </row>
    <row r="161">
      <c r="A161" s="63" t="n"/>
      <c r="B161" s="64" t="n"/>
      <c r="C161" s="64" t="n"/>
      <c r="D161" s="64" t="n"/>
      <c r="E161" s="67" t="n"/>
      <c r="F161" s="67" t="n"/>
      <c r="G161" s="73" t="str">
        <f>IF(AND(ISNUMBER($E161),$E161&gt;0,ISNUMBER($F161)),$F161/$E161,"")</f>
        <v/>
      </c>
      <c r="H161" s="67" t="n"/>
      <c r="I161" s="67" t="n"/>
      <c r="J161" s="73" t="str">
        <f>IF(AND(ISNUMBER($H161),$H161&gt;0,ISNUMBER($I161)),$I161/$H161,"")</f>
        <v/>
      </c>
      <c r="K161" s="67" t="n"/>
      <c r="L161" s="73" t="str">
        <f>IF(AND(ISNUMBER($H161),$H161&gt;0,ISNUMBER($K161)),$K161/$H161,"")</f>
        <v/>
      </c>
      <c r="M161" s="67" t="n"/>
      <c r="N161" s="67" t="n"/>
      <c r="O161" s="67" t="n"/>
      <c r="P161" s="64" t="n"/>
      <c r="Q161" s="64" t="n"/>
      <c r="R161" s="65" t="n"/>
      <c r="S161" s="71" t="str">
        <f>IF(ISNUMBER($A161),YEAR($A161)&amp;"-"&amp;TEXT(MONTH($A161),"00"),"")</f>
        <v/>
      </c>
      <c r="T161" s="71">
        <f>IF($C161="",0,IF(AND(OR(fClient="All",$B161=fClient),OR(fCampaign="All",$C161=fCampaign),OR(fTeam="All",$P161=fTeam),OR(fChannel="All",fChannel="LinkedIn Outreach"),OR(fMonth="All",$S161=fMonth)),1,0))</f>
        <v>0</v>
      </c>
      <c r="U161" s="71">
        <f>IF($C161="",0,IF(AND(OR(fClient="All",$B161=fClient),OR(fCampaign="All",$C161=fCampaign),OR(fTeam="All",$P161=fTeam),OR(fChannel="All",fChannel="LinkedIn Outreach")),1,0))</f>
        <v>0</v>
      </c>
    </row>
    <row r="162">
      <c r="A162" s="63" t="n"/>
      <c r="B162" s="64" t="n"/>
      <c r="C162" s="64" t="n"/>
      <c r="D162" s="64" t="n"/>
      <c r="E162" s="67" t="n"/>
      <c r="F162" s="67" t="n"/>
      <c r="G162" s="73" t="str">
        <f>IF(AND(ISNUMBER($E162),$E162&gt;0,ISNUMBER($F162)),$F162/$E162,"")</f>
        <v/>
      </c>
      <c r="H162" s="67" t="n"/>
      <c r="I162" s="67" t="n"/>
      <c r="J162" s="73" t="str">
        <f>IF(AND(ISNUMBER($H162),$H162&gt;0,ISNUMBER($I162)),$I162/$H162,"")</f>
        <v/>
      </c>
      <c r="K162" s="67" t="n"/>
      <c r="L162" s="73" t="str">
        <f>IF(AND(ISNUMBER($H162),$H162&gt;0,ISNUMBER($K162)),$K162/$H162,"")</f>
        <v/>
      </c>
      <c r="M162" s="67" t="n"/>
      <c r="N162" s="67" t="n"/>
      <c r="O162" s="67" t="n"/>
      <c r="P162" s="64" t="n"/>
      <c r="Q162" s="64" t="n"/>
      <c r="R162" s="65" t="n"/>
      <c r="S162" s="71" t="str">
        <f>IF(ISNUMBER($A162),YEAR($A162)&amp;"-"&amp;TEXT(MONTH($A162),"00"),"")</f>
        <v/>
      </c>
      <c r="T162" s="71">
        <f>IF($C162="",0,IF(AND(OR(fClient="All",$B162=fClient),OR(fCampaign="All",$C162=fCampaign),OR(fTeam="All",$P162=fTeam),OR(fChannel="All",fChannel="LinkedIn Outreach"),OR(fMonth="All",$S162=fMonth)),1,0))</f>
        <v>0</v>
      </c>
      <c r="U162" s="71">
        <f>IF($C162="",0,IF(AND(OR(fClient="All",$B162=fClient),OR(fCampaign="All",$C162=fCampaign),OR(fTeam="All",$P162=fTeam),OR(fChannel="All",fChannel="LinkedIn Outreach")),1,0))</f>
        <v>0</v>
      </c>
    </row>
    <row r="163">
      <c r="A163" s="63" t="n"/>
      <c r="B163" s="64" t="n"/>
      <c r="C163" s="64" t="n"/>
      <c r="D163" s="64" t="n"/>
      <c r="E163" s="67" t="n"/>
      <c r="F163" s="67" t="n"/>
      <c r="G163" s="73" t="str">
        <f>IF(AND(ISNUMBER($E163),$E163&gt;0,ISNUMBER($F163)),$F163/$E163,"")</f>
        <v/>
      </c>
      <c r="H163" s="67" t="n"/>
      <c r="I163" s="67" t="n"/>
      <c r="J163" s="73" t="str">
        <f>IF(AND(ISNUMBER($H163),$H163&gt;0,ISNUMBER($I163)),$I163/$H163,"")</f>
        <v/>
      </c>
      <c r="K163" s="67" t="n"/>
      <c r="L163" s="73" t="str">
        <f>IF(AND(ISNUMBER($H163),$H163&gt;0,ISNUMBER($K163)),$K163/$H163,"")</f>
        <v/>
      </c>
      <c r="M163" s="67" t="n"/>
      <c r="N163" s="67" t="n"/>
      <c r="O163" s="67" t="n"/>
      <c r="P163" s="64" t="n"/>
      <c r="Q163" s="64" t="n"/>
      <c r="R163" s="65" t="n"/>
      <c r="S163" s="71" t="str">
        <f>IF(ISNUMBER($A163),YEAR($A163)&amp;"-"&amp;TEXT(MONTH($A163),"00"),"")</f>
        <v/>
      </c>
      <c r="T163" s="71">
        <f>IF($C163="",0,IF(AND(OR(fClient="All",$B163=fClient),OR(fCampaign="All",$C163=fCampaign),OR(fTeam="All",$P163=fTeam),OR(fChannel="All",fChannel="LinkedIn Outreach"),OR(fMonth="All",$S163=fMonth)),1,0))</f>
        <v>0</v>
      </c>
      <c r="U163" s="71">
        <f>IF($C163="",0,IF(AND(OR(fClient="All",$B163=fClient),OR(fCampaign="All",$C163=fCampaign),OR(fTeam="All",$P163=fTeam),OR(fChannel="All",fChannel="LinkedIn Outreach")),1,0))</f>
        <v>0</v>
      </c>
    </row>
    <row r="164">
      <c r="A164" s="63" t="n"/>
      <c r="B164" s="64" t="n"/>
      <c r="C164" s="64" t="n"/>
      <c r="D164" s="64" t="n"/>
      <c r="E164" s="67" t="n"/>
      <c r="F164" s="67" t="n"/>
      <c r="G164" s="73" t="str">
        <f>IF(AND(ISNUMBER($E164),$E164&gt;0,ISNUMBER($F164)),$F164/$E164,"")</f>
        <v/>
      </c>
      <c r="H164" s="67" t="n"/>
      <c r="I164" s="67" t="n"/>
      <c r="J164" s="73" t="str">
        <f>IF(AND(ISNUMBER($H164),$H164&gt;0,ISNUMBER($I164)),$I164/$H164,"")</f>
        <v/>
      </c>
      <c r="K164" s="67" t="n"/>
      <c r="L164" s="73" t="str">
        <f>IF(AND(ISNUMBER($H164),$H164&gt;0,ISNUMBER($K164)),$K164/$H164,"")</f>
        <v/>
      </c>
      <c r="M164" s="67" t="n"/>
      <c r="N164" s="67" t="n"/>
      <c r="O164" s="67" t="n"/>
      <c r="P164" s="64" t="n"/>
      <c r="Q164" s="64" t="n"/>
      <c r="R164" s="65" t="n"/>
      <c r="S164" s="71" t="str">
        <f>IF(ISNUMBER($A164),YEAR($A164)&amp;"-"&amp;TEXT(MONTH($A164),"00"),"")</f>
        <v/>
      </c>
      <c r="T164" s="71">
        <f>IF($C164="",0,IF(AND(OR(fClient="All",$B164=fClient),OR(fCampaign="All",$C164=fCampaign),OR(fTeam="All",$P164=fTeam),OR(fChannel="All",fChannel="LinkedIn Outreach"),OR(fMonth="All",$S164=fMonth)),1,0))</f>
        <v>0</v>
      </c>
      <c r="U164" s="71">
        <f>IF($C164="",0,IF(AND(OR(fClient="All",$B164=fClient),OR(fCampaign="All",$C164=fCampaign),OR(fTeam="All",$P164=fTeam),OR(fChannel="All",fChannel="LinkedIn Outreach")),1,0))</f>
        <v>0</v>
      </c>
    </row>
    <row r="165">
      <c r="A165" s="63" t="n"/>
      <c r="B165" s="64" t="n"/>
      <c r="C165" s="64" t="n"/>
      <c r="D165" s="64" t="n"/>
      <c r="E165" s="67" t="n"/>
      <c r="F165" s="67" t="n"/>
      <c r="G165" s="73" t="str">
        <f>IF(AND(ISNUMBER($E165),$E165&gt;0,ISNUMBER($F165)),$F165/$E165,"")</f>
        <v/>
      </c>
      <c r="H165" s="67" t="n"/>
      <c r="I165" s="67" t="n"/>
      <c r="J165" s="73" t="str">
        <f>IF(AND(ISNUMBER($H165),$H165&gt;0,ISNUMBER($I165)),$I165/$H165,"")</f>
        <v/>
      </c>
      <c r="K165" s="67" t="n"/>
      <c r="L165" s="73" t="str">
        <f>IF(AND(ISNUMBER($H165),$H165&gt;0,ISNUMBER($K165)),$K165/$H165,"")</f>
        <v/>
      </c>
      <c r="M165" s="67" t="n"/>
      <c r="N165" s="67" t="n"/>
      <c r="O165" s="67" t="n"/>
      <c r="P165" s="64" t="n"/>
      <c r="Q165" s="64" t="n"/>
      <c r="R165" s="65" t="n"/>
      <c r="S165" s="71" t="str">
        <f>IF(ISNUMBER($A165),YEAR($A165)&amp;"-"&amp;TEXT(MONTH($A165),"00"),"")</f>
        <v/>
      </c>
      <c r="T165" s="71">
        <f>IF($C165="",0,IF(AND(OR(fClient="All",$B165=fClient),OR(fCampaign="All",$C165=fCampaign),OR(fTeam="All",$P165=fTeam),OR(fChannel="All",fChannel="LinkedIn Outreach"),OR(fMonth="All",$S165=fMonth)),1,0))</f>
        <v>0</v>
      </c>
      <c r="U165" s="71">
        <f>IF($C165="",0,IF(AND(OR(fClient="All",$B165=fClient),OR(fCampaign="All",$C165=fCampaign),OR(fTeam="All",$P165=fTeam),OR(fChannel="All",fChannel="LinkedIn Outreach")),1,0))</f>
        <v>0</v>
      </c>
    </row>
    <row r="166">
      <c r="A166" s="63" t="n"/>
      <c r="B166" s="64" t="n"/>
      <c r="C166" s="64" t="n"/>
      <c r="D166" s="64" t="n"/>
      <c r="E166" s="67" t="n"/>
      <c r="F166" s="67" t="n"/>
      <c r="G166" s="73" t="str">
        <f>IF(AND(ISNUMBER($E166),$E166&gt;0,ISNUMBER($F166)),$F166/$E166,"")</f>
        <v/>
      </c>
      <c r="H166" s="67" t="n"/>
      <c r="I166" s="67" t="n"/>
      <c r="J166" s="73" t="str">
        <f>IF(AND(ISNUMBER($H166),$H166&gt;0,ISNUMBER($I166)),$I166/$H166,"")</f>
        <v/>
      </c>
      <c r="K166" s="67" t="n"/>
      <c r="L166" s="73" t="str">
        <f>IF(AND(ISNUMBER($H166),$H166&gt;0,ISNUMBER($K166)),$K166/$H166,"")</f>
        <v/>
      </c>
      <c r="M166" s="67" t="n"/>
      <c r="N166" s="67" t="n"/>
      <c r="O166" s="67" t="n"/>
      <c r="P166" s="64" t="n"/>
      <c r="Q166" s="64" t="n"/>
      <c r="R166" s="65" t="n"/>
      <c r="S166" s="71" t="str">
        <f>IF(ISNUMBER($A166),YEAR($A166)&amp;"-"&amp;TEXT(MONTH($A166),"00"),"")</f>
        <v/>
      </c>
      <c r="T166" s="71">
        <f>IF($C166="",0,IF(AND(OR(fClient="All",$B166=fClient),OR(fCampaign="All",$C166=fCampaign),OR(fTeam="All",$P166=fTeam),OR(fChannel="All",fChannel="LinkedIn Outreach"),OR(fMonth="All",$S166=fMonth)),1,0))</f>
        <v>0</v>
      </c>
      <c r="U166" s="71">
        <f>IF($C166="",0,IF(AND(OR(fClient="All",$B166=fClient),OR(fCampaign="All",$C166=fCampaign),OR(fTeam="All",$P166=fTeam),OR(fChannel="All",fChannel="LinkedIn Outreach")),1,0))</f>
        <v>0</v>
      </c>
    </row>
    <row r="167">
      <c r="A167" s="63" t="n"/>
      <c r="B167" s="64" t="n"/>
      <c r="C167" s="64" t="n"/>
      <c r="D167" s="64" t="n"/>
      <c r="E167" s="67" t="n"/>
      <c r="F167" s="67" t="n"/>
      <c r="G167" s="73" t="str">
        <f>IF(AND(ISNUMBER($E167),$E167&gt;0,ISNUMBER($F167)),$F167/$E167,"")</f>
        <v/>
      </c>
      <c r="H167" s="67" t="n"/>
      <c r="I167" s="67" t="n"/>
      <c r="J167" s="73" t="str">
        <f>IF(AND(ISNUMBER($H167),$H167&gt;0,ISNUMBER($I167)),$I167/$H167,"")</f>
        <v/>
      </c>
      <c r="K167" s="67" t="n"/>
      <c r="L167" s="73" t="str">
        <f>IF(AND(ISNUMBER($H167),$H167&gt;0,ISNUMBER($K167)),$K167/$H167,"")</f>
        <v/>
      </c>
      <c r="M167" s="67" t="n"/>
      <c r="N167" s="67" t="n"/>
      <c r="O167" s="67" t="n"/>
      <c r="P167" s="64" t="n"/>
      <c r="Q167" s="64" t="n"/>
      <c r="R167" s="65" t="n"/>
      <c r="S167" s="71" t="str">
        <f>IF(ISNUMBER($A167),YEAR($A167)&amp;"-"&amp;TEXT(MONTH($A167),"00"),"")</f>
        <v/>
      </c>
      <c r="T167" s="71">
        <f>IF($C167="",0,IF(AND(OR(fClient="All",$B167=fClient),OR(fCampaign="All",$C167=fCampaign),OR(fTeam="All",$P167=fTeam),OR(fChannel="All",fChannel="LinkedIn Outreach"),OR(fMonth="All",$S167=fMonth)),1,0))</f>
        <v>0</v>
      </c>
      <c r="U167" s="71">
        <f>IF($C167="",0,IF(AND(OR(fClient="All",$B167=fClient),OR(fCampaign="All",$C167=fCampaign),OR(fTeam="All",$P167=fTeam),OR(fChannel="All",fChannel="LinkedIn Outreach")),1,0))</f>
        <v>0</v>
      </c>
    </row>
    <row r="168">
      <c r="A168" s="63" t="n"/>
      <c r="B168" s="64" t="n"/>
      <c r="C168" s="64" t="n"/>
      <c r="D168" s="64" t="n"/>
      <c r="E168" s="67" t="n"/>
      <c r="F168" s="67" t="n"/>
      <c r="G168" s="73" t="str">
        <f>IF(AND(ISNUMBER($E168),$E168&gt;0,ISNUMBER($F168)),$F168/$E168,"")</f>
        <v/>
      </c>
      <c r="H168" s="67" t="n"/>
      <c r="I168" s="67" t="n"/>
      <c r="J168" s="73" t="str">
        <f>IF(AND(ISNUMBER($H168),$H168&gt;0,ISNUMBER($I168)),$I168/$H168,"")</f>
        <v/>
      </c>
      <c r="K168" s="67" t="n"/>
      <c r="L168" s="73" t="str">
        <f>IF(AND(ISNUMBER($H168),$H168&gt;0,ISNUMBER($K168)),$K168/$H168,"")</f>
        <v/>
      </c>
      <c r="M168" s="67" t="n"/>
      <c r="N168" s="67" t="n"/>
      <c r="O168" s="67" t="n"/>
      <c r="P168" s="64" t="n"/>
      <c r="Q168" s="64" t="n"/>
      <c r="R168" s="65" t="n"/>
      <c r="S168" s="71" t="str">
        <f>IF(ISNUMBER($A168),YEAR($A168)&amp;"-"&amp;TEXT(MONTH($A168),"00"),"")</f>
        <v/>
      </c>
      <c r="T168" s="71">
        <f>IF($C168="",0,IF(AND(OR(fClient="All",$B168=fClient),OR(fCampaign="All",$C168=fCampaign),OR(fTeam="All",$P168=fTeam),OR(fChannel="All",fChannel="LinkedIn Outreach"),OR(fMonth="All",$S168=fMonth)),1,0))</f>
        <v>0</v>
      </c>
      <c r="U168" s="71">
        <f>IF($C168="",0,IF(AND(OR(fClient="All",$B168=fClient),OR(fCampaign="All",$C168=fCampaign),OR(fTeam="All",$P168=fTeam),OR(fChannel="All",fChannel="LinkedIn Outreach")),1,0))</f>
        <v>0</v>
      </c>
    </row>
    <row r="169">
      <c r="A169" s="63" t="n"/>
      <c r="B169" s="64" t="n"/>
      <c r="C169" s="64" t="n"/>
      <c r="D169" s="64" t="n"/>
      <c r="E169" s="67" t="n"/>
      <c r="F169" s="67" t="n"/>
      <c r="G169" s="73" t="str">
        <f>IF(AND(ISNUMBER($E169),$E169&gt;0,ISNUMBER($F169)),$F169/$E169,"")</f>
        <v/>
      </c>
      <c r="H169" s="67" t="n"/>
      <c r="I169" s="67" t="n"/>
      <c r="J169" s="73" t="str">
        <f>IF(AND(ISNUMBER($H169),$H169&gt;0,ISNUMBER($I169)),$I169/$H169,"")</f>
        <v/>
      </c>
      <c r="K169" s="67" t="n"/>
      <c r="L169" s="73" t="str">
        <f>IF(AND(ISNUMBER($H169),$H169&gt;0,ISNUMBER($K169)),$K169/$H169,"")</f>
        <v/>
      </c>
      <c r="M169" s="67" t="n"/>
      <c r="N169" s="67" t="n"/>
      <c r="O169" s="67" t="n"/>
      <c r="P169" s="64" t="n"/>
      <c r="Q169" s="64" t="n"/>
      <c r="R169" s="65" t="n"/>
      <c r="S169" s="71" t="str">
        <f>IF(ISNUMBER($A169),YEAR($A169)&amp;"-"&amp;TEXT(MONTH($A169),"00"),"")</f>
        <v/>
      </c>
      <c r="T169" s="71">
        <f>IF($C169="",0,IF(AND(OR(fClient="All",$B169=fClient),OR(fCampaign="All",$C169=fCampaign),OR(fTeam="All",$P169=fTeam),OR(fChannel="All",fChannel="LinkedIn Outreach"),OR(fMonth="All",$S169=fMonth)),1,0))</f>
        <v>0</v>
      </c>
      <c r="U169" s="71">
        <f>IF($C169="",0,IF(AND(OR(fClient="All",$B169=fClient),OR(fCampaign="All",$C169=fCampaign),OR(fTeam="All",$P169=fTeam),OR(fChannel="All",fChannel="LinkedIn Outreach")),1,0))</f>
        <v>0</v>
      </c>
    </row>
    <row r="170">
      <c r="A170" s="63" t="n"/>
      <c r="B170" s="64" t="n"/>
      <c r="C170" s="64" t="n"/>
      <c r="D170" s="64" t="n"/>
      <c r="E170" s="67" t="n"/>
      <c r="F170" s="67" t="n"/>
      <c r="G170" s="73" t="str">
        <f>IF(AND(ISNUMBER($E170),$E170&gt;0,ISNUMBER($F170)),$F170/$E170,"")</f>
        <v/>
      </c>
      <c r="H170" s="67" t="n"/>
      <c r="I170" s="67" t="n"/>
      <c r="J170" s="73" t="str">
        <f>IF(AND(ISNUMBER($H170),$H170&gt;0,ISNUMBER($I170)),$I170/$H170,"")</f>
        <v/>
      </c>
      <c r="K170" s="67" t="n"/>
      <c r="L170" s="73" t="str">
        <f>IF(AND(ISNUMBER($H170),$H170&gt;0,ISNUMBER($K170)),$K170/$H170,"")</f>
        <v/>
      </c>
      <c r="M170" s="67" t="n"/>
      <c r="N170" s="67" t="n"/>
      <c r="O170" s="67" t="n"/>
      <c r="P170" s="64" t="n"/>
      <c r="Q170" s="64" t="n"/>
      <c r="R170" s="65" t="n"/>
      <c r="S170" s="71" t="str">
        <f>IF(ISNUMBER($A170),YEAR($A170)&amp;"-"&amp;TEXT(MONTH($A170),"00"),"")</f>
        <v/>
      </c>
      <c r="T170" s="71">
        <f>IF($C170="",0,IF(AND(OR(fClient="All",$B170=fClient),OR(fCampaign="All",$C170=fCampaign),OR(fTeam="All",$P170=fTeam),OR(fChannel="All",fChannel="LinkedIn Outreach"),OR(fMonth="All",$S170=fMonth)),1,0))</f>
        <v>0</v>
      </c>
      <c r="U170" s="71">
        <f>IF($C170="",0,IF(AND(OR(fClient="All",$B170=fClient),OR(fCampaign="All",$C170=fCampaign),OR(fTeam="All",$P170=fTeam),OR(fChannel="All",fChannel="LinkedIn Outreach")),1,0))</f>
        <v>0</v>
      </c>
    </row>
    <row r="171">
      <c r="A171" s="63" t="n"/>
      <c r="B171" s="64" t="n"/>
      <c r="C171" s="64" t="n"/>
      <c r="D171" s="64" t="n"/>
      <c r="E171" s="67" t="n"/>
      <c r="F171" s="67" t="n"/>
      <c r="G171" s="73" t="str">
        <f>IF(AND(ISNUMBER($E171),$E171&gt;0,ISNUMBER($F171)),$F171/$E171,"")</f>
        <v/>
      </c>
      <c r="H171" s="67" t="n"/>
      <c r="I171" s="67" t="n"/>
      <c r="J171" s="73" t="str">
        <f>IF(AND(ISNUMBER($H171),$H171&gt;0,ISNUMBER($I171)),$I171/$H171,"")</f>
        <v/>
      </c>
      <c r="K171" s="67" t="n"/>
      <c r="L171" s="73" t="str">
        <f>IF(AND(ISNUMBER($H171),$H171&gt;0,ISNUMBER($K171)),$K171/$H171,"")</f>
        <v/>
      </c>
      <c r="M171" s="67" t="n"/>
      <c r="N171" s="67" t="n"/>
      <c r="O171" s="67" t="n"/>
      <c r="P171" s="64" t="n"/>
      <c r="Q171" s="64" t="n"/>
      <c r="R171" s="65" t="n"/>
      <c r="S171" s="71" t="str">
        <f>IF(ISNUMBER($A171),YEAR($A171)&amp;"-"&amp;TEXT(MONTH($A171),"00"),"")</f>
        <v/>
      </c>
      <c r="T171" s="71">
        <f>IF($C171="",0,IF(AND(OR(fClient="All",$B171=fClient),OR(fCampaign="All",$C171=fCampaign),OR(fTeam="All",$P171=fTeam),OR(fChannel="All",fChannel="LinkedIn Outreach"),OR(fMonth="All",$S171=fMonth)),1,0))</f>
        <v>0</v>
      </c>
      <c r="U171" s="71">
        <f>IF($C171="",0,IF(AND(OR(fClient="All",$B171=fClient),OR(fCampaign="All",$C171=fCampaign),OR(fTeam="All",$P171=fTeam),OR(fChannel="All",fChannel="LinkedIn Outreach")),1,0))</f>
        <v>0</v>
      </c>
    </row>
    <row r="172">
      <c r="A172" s="63" t="n"/>
      <c r="B172" s="64" t="n"/>
      <c r="C172" s="64" t="n"/>
      <c r="D172" s="64" t="n"/>
      <c r="E172" s="67" t="n"/>
      <c r="F172" s="67" t="n"/>
      <c r="G172" s="73" t="str">
        <f>IF(AND(ISNUMBER($E172),$E172&gt;0,ISNUMBER($F172)),$F172/$E172,"")</f>
        <v/>
      </c>
      <c r="H172" s="67" t="n"/>
      <c r="I172" s="67" t="n"/>
      <c r="J172" s="73" t="str">
        <f>IF(AND(ISNUMBER($H172),$H172&gt;0,ISNUMBER($I172)),$I172/$H172,"")</f>
        <v/>
      </c>
      <c r="K172" s="67" t="n"/>
      <c r="L172" s="73" t="str">
        <f>IF(AND(ISNUMBER($H172),$H172&gt;0,ISNUMBER($K172)),$K172/$H172,"")</f>
        <v/>
      </c>
      <c r="M172" s="67" t="n"/>
      <c r="N172" s="67" t="n"/>
      <c r="O172" s="67" t="n"/>
      <c r="P172" s="64" t="n"/>
      <c r="Q172" s="64" t="n"/>
      <c r="R172" s="65" t="n"/>
      <c r="S172" s="71" t="str">
        <f>IF(ISNUMBER($A172),YEAR($A172)&amp;"-"&amp;TEXT(MONTH($A172),"00"),"")</f>
        <v/>
      </c>
      <c r="T172" s="71">
        <f>IF($C172="",0,IF(AND(OR(fClient="All",$B172=fClient),OR(fCampaign="All",$C172=fCampaign),OR(fTeam="All",$P172=fTeam),OR(fChannel="All",fChannel="LinkedIn Outreach"),OR(fMonth="All",$S172=fMonth)),1,0))</f>
        <v>0</v>
      </c>
      <c r="U172" s="71">
        <f>IF($C172="",0,IF(AND(OR(fClient="All",$B172=fClient),OR(fCampaign="All",$C172=fCampaign),OR(fTeam="All",$P172=fTeam),OR(fChannel="All",fChannel="LinkedIn Outreach")),1,0))</f>
        <v>0</v>
      </c>
    </row>
    <row r="173">
      <c r="A173" s="63" t="n"/>
      <c r="B173" s="64" t="n"/>
      <c r="C173" s="64" t="n"/>
      <c r="D173" s="64" t="n"/>
      <c r="E173" s="67" t="n"/>
      <c r="F173" s="67" t="n"/>
      <c r="G173" s="73" t="str">
        <f>IF(AND(ISNUMBER($E173),$E173&gt;0,ISNUMBER($F173)),$F173/$E173,"")</f>
        <v/>
      </c>
      <c r="H173" s="67" t="n"/>
      <c r="I173" s="67" t="n"/>
      <c r="J173" s="73" t="str">
        <f>IF(AND(ISNUMBER($H173),$H173&gt;0,ISNUMBER($I173)),$I173/$H173,"")</f>
        <v/>
      </c>
      <c r="K173" s="67" t="n"/>
      <c r="L173" s="73" t="str">
        <f>IF(AND(ISNUMBER($H173),$H173&gt;0,ISNUMBER($K173)),$K173/$H173,"")</f>
        <v/>
      </c>
      <c r="M173" s="67" t="n"/>
      <c r="N173" s="67" t="n"/>
      <c r="O173" s="67" t="n"/>
      <c r="P173" s="64" t="n"/>
      <c r="Q173" s="64" t="n"/>
      <c r="R173" s="65" t="n"/>
      <c r="S173" s="71" t="str">
        <f>IF(ISNUMBER($A173),YEAR($A173)&amp;"-"&amp;TEXT(MONTH($A173),"00"),"")</f>
        <v/>
      </c>
      <c r="T173" s="71">
        <f>IF($C173="",0,IF(AND(OR(fClient="All",$B173=fClient),OR(fCampaign="All",$C173=fCampaign),OR(fTeam="All",$P173=fTeam),OR(fChannel="All",fChannel="LinkedIn Outreach"),OR(fMonth="All",$S173=fMonth)),1,0))</f>
        <v>0</v>
      </c>
      <c r="U173" s="71">
        <f>IF($C173="",0,IF(AND(OR(fClient="All",$B173=fClient),OR(fCampaign="All",$C173=fCampaign),OR(fTeam="All",$P173=fTeam),OR(fChannel="All",fChannel="LinkedIn Outreach")),1,0))</f>
        <v>0</v>
      </c>
    </row>
    <row r="174">
      <c r="A174" s="63" t="n"/>
      <c r="B174" s="64" t="n"/>
      <c r="C174" s="64" t="n"/>
      <c r="D174" s="64" t="n"/>
      <c r="E174" s="67" t="n"/>
      <c r="F174" s="67" t="n"/>
      <c r="G174" s="73" t="str">
        <f>IF(AND(ISNUMBER($E174),$E174&gt;0,ISNUMBER($F174)),$F174/$E174,"")</f>
        <v/>
      </c>
      <c r="H174" s="67" t="n"/>
      <c r="I174" s="67" t="n"/>
      <c r="J174" s="73" t="str">
        <f>IF(AND(ISNUMBER($H174),$H174&gt;0,ISNUMBER($I174)),$I174/$H174,"")</f>
        <v/>
      </c>
      <c r="K174" s="67" t="n"/>
      <c r="L174" s="73" t="str">
        <f>IF(AND(ISNUMBER($H174),$H174&gt;0,ISNUMBER($K174)),$K174/$H174,"")</f>
        <v/>
      </c>
      <c r="M174" s="67" t="n"/>
      <c r="N174" s="67" t="n"/>
      <c r="O174" s="67" t="n"/>
      <c r="P174" s="64" t="n"/>
      <c r="Q174" s="64" t="n"/>
      <c r="R174" s="65" t="n"/>
      <c r="S174" s="71" t="str">
        <f>IF(ISNUMBER($A174),YEAR($A174)&amp;"-"&amp;TEXT(MONTH($A174),"00"),"")</f>
        <v/>
      </c>
      <c r="T174" s="71">
        <f>IF($C174="",0,IF(AND(OR(fClient="All",$B174=fClient),OR(fCampaign="All",$C174=fCampaign),OR(fTeam="All",$P174=fTeam),OR(fChannel="All",fChannel="LinkedIn Outreach"),OR(fMonth="All",$S174=fMonth)),1,0))</f>
        <v>0</v>
      </c>
      <c r="U174" s="71">
        <f>IF($C174="",0,IF(AND(OR(fClient="All",$B174=fClient),OR(fCampaign="All",$C174=fCampaign),OR(fTeam="All",$P174=fTeam),OR(fChannel="All",fChannel="LinkedIn Outreach")),1,0))</f>
        <v>0</v>
      </c>
    </row>
    <row r="175">
      <c r="A175" s="63" t="n"/>
      <c r="B175" s="64" t="n"/>
      <c r="C175" s="64" t="n"/>
      <c r="D175" s="64" t="n"/>
      <c r="E175" s="67" t="n"/>
      <c r="F175" s="67" t="n"/>
      <c r="G175" s="73" t="str">
        <f>IF(AND(ISNUMBER($E175),$E175&gt;0,ISNUMBER($F175)),$F175/$E175,"")</f>
        <v/>
      </c>
      <c r="H175" s="67" t="n"/>
      <c r="I175" s="67" t="n"/>
      <c r="J175" s="73" t="str">
        <f>IF(AND(ISNUMBER($H175),$H175&gt;0,ISNUMBER($I175)),$I175/$H175,"")</f>
        <v/>
      </c>
      <c r="K175" s="67" t="n"/>
      <c r="L175" s="73" t="str">
        <f>IF(AND(ISNUMBER($H175),$H175&gt;0,ISNUMBER($K175)),$K175/$H175,"")</f>
        <v/>
      </c>
      <c r="M175" s="67" t="n"/>
      <c r="N175" s="67" t="n"/>
      <c r="O175" s="67" t="n"/>
      <c r="P175" s="64" t="n"/>
      <c r="Q175" s="64" t="n"/>
      <c r="R175" s="65" t="n"/>
      <c r="S175" s="71" t="str">
        <f>IF(ISNUMBER($A175),YEAR($A175)&amp;"-"&amp;TEXT(MONTH($A175),"00"),"")</f>
        <v/>
      </c>
      <c r="T175" s="71">
        <f>IF($C175="",0,IF(AND(OR(fClient="All",$B175=fClient),OR(fCampaign="All",$C175=fCampaign),OR(fTeam="All",$P175=fTeam),OR(fChannel="All",fChannel="LinkedIn Outreach"),OR(fMonth="All",$S175=fMonth)),1,0))</f>
        <v>0</v>
      </c>
      <c r="U175" s="71">
        <f>IF($C175="",0,IF(AND(OR(fClient="All",$B175=fClient),OR(fCampaign="All",$C175=fCampaign),OR(fTeam="All",$P175=fTeam),OR(fChannel="All",fChannel="LinkedIn Outreach")),1,0))</f>
        <v>0</v>
      </c>
    </row>
    <row r="176">
      <c r="A176" s="63" t="n"/>
      <c r="B176" s="64" t="n"/>
      <c r="C176" s="64" t="n"/>
      <c r="D176" s="64" t="n"/>
      <c r="E176" s="67" t="n"/>
      <c r="F176" s="67" t="n"/>
      <c r="G176" s="73" t="str">
        <f>IF(AND(ISNUMBER($E176),$E176&gt;0,ISNUMBER($F176)),$F176/$E176,"")</f>
        <v/>
      </c>
      <c r="H176" s="67" t="n"/>
      <c r="I176" s="67" t="n"/>
      <c r="J176" s="73" t="str">
        <f>IF(AND(ISNUMBER($H176),$H176&gt;0,ISNUMBER($I176)),$I176/$H176,"")</f>
        <v/>
      </c>
      <c r="K176" s="67" t="n"/>
      <c r="L176" s="73" t="str">
        <f>IF(AND(ISNUMBER($H176),$H176&gt;0,ISNUMBER($K176)),$K176/$H176,"")</f>
        <v/>
      </c>
      <c r="M176" s="67" t="n"/>
      <c r="N176" s="67" t="n"/>
      <c r="O176" s="67" t="n"/>
      <c r="P176" s="64" t="n"/>
      <c r="Q176" s="64" t="n"/>
      <c r="R176" s="65" t="n"/>
      <c r="S176" s="71" t="str">
        <f>IF(ISNUMBER($A176),YEAR($A176)&amp;"-"&amp;TEXT(MONTH($A176),"00"),"")</f>
        <v/>
      </c>
      <c r="T176" s="71">
        <f>IF($C176="",0,IF(AND(OR(fClient="All",$B176=fClient),OR(fCampaign="All",$C176=fCampaign),OR(fTeam="All",$P176=fTeam),OR(fChannel="All",fChannel="LinkedIn Outreach"),OR(fMonth="All",$S176=fMonth)),1,0))</f>
        <v>0</v>
      </c>
      <c r="U176" s="71">
        <f>IF($C176="",0,IF(AND(OR(fClient="All",$B176=fClient),OR(fCampaign="All",$C176=fCampaign),OR(fTeam="All",$P176=fTeam),OR(fChannel="All",fChannel="LinkedIn Outreach")),1,0))</f>
        <v>0</v>
      </c>
    </row>
    <row r="177">
      <c r="A177" s="63" t="n"/>
      <c r="B177" s="64" t="n"/>
      <c r="C177" s="64" t="n"/>
      <c r="D177" s="64" t="n"/>
      <c r="E177" s="67" t="n"/>
      <c r="F177" s="67" t="n"/>
      <c r="G177" s="73" t="str">
        <f>IF(AND(ISNUMBER($E177),$E177&gt;0,ISNUMBER($F177)),$F177/$E177,"")</f>
        <v/>
      </c>
      <c r="H177" s="67" t="n"/>
      <c r="I177" s="67" t="n"/>
      <c r="J177" s="73" t="str">
        <f>IF(AND(ISNUMBER($H177),$H177&gt;0,ISNUMBER($I177)),$I177/$H177,"")</f>
        <v/>
      </c>
      <c r="K177" s="67" t="n"/>
      <c r="L177" s="73" t="str">
        <f>IF(AND(ISNUMBER($H177),$H177&gt;0,ISNUMBER($K177)),$K177/$H177,"")</f>
        <v/>
      </c>
      <c r="M177" s="67" t="n"/>
      <c r="N177" s="67" t="n"/>
      <c r="O177" s="67" t="n"/>
      <c r="P177" s="64" t="n"/>
      <c r="Q177" s="64" t="n"/>
      <c r="R177" s="65" t="n"/>
      <c r="S177" s="71" t="str">
        <f>IF(ISNUMBER($A177),YEAR($A177)&amp;"-"&amp;TEXT(MONTH($A177),"00"),"")</f>
        <v/>
      </c>
      <c r="T177" s="71">
        <f>IF($C177="",0,IF(AND(OR(fClient="All",$B177=fClient),OR(fCampaign="All",$C177=fCampaign),OR(fTeam="All",$P177=fTeam),OR(fChannel="All",fChannel="LinkedIn Outreach"),OR(fMonth="All",$S177=fMonth)),1,0))</f>
        <v>0</v>
      </c>
      <c r="U177" s="71">
        <f>IF($C177="",0,IF(AND(OR(fClient="All",$B177=fClient),OR(fCampaign="All",$C177=fCampaign),OR(fTeam="All",$P177=fTeam),OR(fChannel="All",fChannel="LinkedIn Outreach")),1,0))</f>
        <v>0</v>
      </c>
    </row>
    <row r="178">
      <c r="A178" s="63" t="n"/>
      <c r="B178" s="64" t="n"/>
      <c r="C178" s="64" t="n"/>
      <c r="D178" s="64" t="n"/>
      <c r="E178" s="67" t="n"/>
      <c r="F178" s="67" t="n"/>
      <c r="G178" s="73" t="str">
        <f>IF(AND(ISNUMBER($E178),$E178&gt;0,ISNUMBER($F178)),$F178/$E178,"")</f>
        <v/>
      </c>
      <c r="H178" s="67" t="n"/>
      <c r="I178" s="67" t="n"/>
      <c r="J178" s="73" t="str">
        <f>IF(AND(ISNUMBER($H178),$H178&gt;0,ISNUMBER($I178)),$I178/$H178,"")</f>
        <v/>
      </c>
      <c r="K178" s="67" t="n"/>
      <c r="L178" s="73" t="str">
        <f>IF(AND(ISNUMBER($H178),$H178&gt;0,ISNUMBER($K178)),$K178/$H178,"")</f>
        <v/>
      </c>
      <c r="M178" s="67" t="n"/>
      <c r="N178" s="67" t="n"/>
      <c r="O178" s="67" t="n"/>
      <c r="P178" s="64" t="n"/>
      <c r="Q178" s="64" t="n"/>
      <c r="R178" s="65" t="n"/>
      <c r="S178" s="71" t="str">
        <f>IF(ISNUMBER($A178),YEAR($A178)&amp;"-"&amp;TEXT(MONTH($A178),"00"),"")</f>
        <v/>
      </c>
      <c r="T178" s="71">
        <f>IF($C178="",0,IF(AND(OR(fClient="All",$B178=fClient),OR(fCampaign="All",$C178=fCampaign),OR(fTeam="All",$P178=fTeam),OR(fChannel="All",fChannel="LinkedIn Outreach"),OR(fMonth="All",$S178=fMonth)),1,0))</f>
        <v>0</v>
      </c>
      <c r="U178" s="71">
        <f>IF($C178="",0,IF(AND(OR(fClient="All",$B178=fClient),OR(fCampaign="All",$C178=fCampaign),OR(fTeam="All",$P178=fTeam),OR(fChannel="All",fChannel="LinkedIn Outreach")),1,0))</f>
        <v>0</v>
      </c>
    </row>
    <row r="179">
      <c r="A179" s="63" t="n"/>
      <c r="B179" s="64" t="n"/>
      <c r="C179" s="64" t="n"/>
      <c r="D179" s="64" t="n"/>
      <c r="E179" s="67" t="n"/>
      <c r="F179" s="67" t="n"/>
      <c r="G179" s="73" t="str">
        <f>IF(AND(ISNUMBER($E179),$E179&gt;0,ISNUMBER($F179)),$F179/$E179,"")</f>
        <v/>
      </c>
      <c r="H179" s="67" t="n"/>
      <c r="I179" s="67" t="n"/>
      <c r="J179" s="73" t="str">
        <f>IF(AND(ISNUMBER($H179),$H179&gt;0,ISNUMBER($I179)),$I179/$H179,"")</f>
        <v/>
      </c>
      <c r="K179" s="67" t="n"/>
      <c r="L179" s="73" t="str">
        <f>IF(AND(ISNUMBER($H179),$H179&gt;0,ISNUMBER($K179)),$K179/$H179,"")</f>
        <v/>
      </c>
      <c r="M179" s="67" t="n"/>
      <c r="N179" s="67" t="n"/>
      <c r="O179" s="67" t="n"/>
      <c r="P179" s="64" t="n"/>
      <c r="Q179" s="64" t="n"/>
      <c r="R179" s="65" t="n"/>
      <c r="S179" s="71" t="str">
        <f>IF(ISNUMBER($A179),YEAR($A179)&amp;"-"&amp;TEXT(MONTH($A179),"00"),"")</f>
        <v/>
      </c>
      <c r="T179" s="71">
        <f>IF($C179="",0,IF(AND(OR(fClient="All",$B179=fClient),OR(fCampaign="All",$C179=fCampaign),OR(fTeam="All",$P179=fTeam),OR(fChannel="All",fChannel="LinkedIn Outreach"),OR(fMonth="All",$S179=fMonth)),1,0))</f>
        <v>0</v>
      </c>
      <c r="U179" s="71">
        <f>IF($C179="",0,IF(AND(OR(fClient="All",$B179=fClient),OR(fCampaign="All",$C179=fCampaign),OR(fTeam="All",$P179=fTeam),OR(fChannel="All",fChannel="LinkedIn Outreach")),1,0))</f>
        <v>0</v>
      </c>
    </row>
    <row r="180">
      <c r="A180" s="63" t="n"/>
      <c r="B180" s="64" t="n"/>
      <c r="C180" s="64" t="n"/>
      <c r="D180" s="64" t="n"/>
      <c r="E180" s="67" t="n"/>
      <c r="F180" s="67" t="n"/>
      <c r="G180" s="73" t="str">
        <f>IF(AND(ISNUMBER($E180),$E180&gt;0,ISNUMBER($F180)),$F180/$E180,"")</f>
        <v/>
      </c>
      <c r="H180" s="67" t="n"/>
      <c r="I180" s="67" t="n"/>
      <c r="J180" s="73" t="str">
        <f>IF(AND(ISNUMBER($H180),$H180&gt;0,ISNUMBER($I180)),$I180/$H180,"")</f>
        <v/>
      </c>
      <c r="K180" s="67" t="n"/>
      <c r="L180" s="73" t="str">
        <f>IF(AND(ISNUMBER($H180),$H180&gt;0,ISNUMBER($K180)),$K180/$H180,"")</f>
        <v/>
      </c>
      <c r="M180" s="67" t="n"/>
      <c r="N180" s="67" t="n"/>
      <c r="O180" s="67" t="n"/>
      <c r="P180" s="64" t="n"/>
      <c r="Q180" s="64" t="n"/>
      <c r="R180" s="65" t="n"/>
      <c r="S180" s="71" t="str">
        <f>IF(ISNUMBER($A180),YEAR($A180)&amp;"-"&amp;TEXT(MONTH($A180),"00"),"")</f>
        <v/>
      </c>
      <c r="T180" s="71">
        <f>IF($C180="",0,IF(AND(OR(fClient="All",$B180=fClient),OR(fCampaign="All",$C180=fCampaign),OR(fTeam="All",$P180=fTeam),OR(fChannel="All",fChannel="LinkedIn Outreach"),OR(fMonth="All",$S180=fMonth)),1,0))</f>
        <v>0</v>
      </c>
      <c r="U180" s="71">
        <f>IF($C180="",0,IF(AND(OR(fClient="All",$B180=fClient),OR(fCampaign="All",$C180=fCampaign),OR(fTeam="All",$P180=fTeam),OR(fChannel="All",fChannel="LinkedIn Outreach")),1,0))</f>
        <v>0</v>
      </c>
    </row>
    <row r="181">
      <c r="A181" s="63" t="n"/>
      <c r="B181" s="64" t="n"/>
      <c r="C181" s="64" t="n"/>
      <c r="D181" s="64" t="n"/>
      <c r="E181" s="67" t="n"/>
      <c r="F181" s="67" t="n"/>
      <c r="G181" s="73" t="str">
        <f>IF(AND(ISNUMBER($E181),$E181&gt;0,ISNUMBER($F181)),$F181/$E181,"")</f>
        <v/>
      </c>
      <c r="H181" s="67" t="n"/>
      <c r="I181" s="67" t="n"/>
      <c r="J181" s="73" t="str">
        <f>IF(AND(ISNUMBER($H181),$H181&gt;0,ISNUMBER($I181)),$I181/$H181,"")</f>
        <v/>
      </c>
      <c r="K181" s="67" t="n"/>
      <c r="L181" s="73" t="str">
        <f>IF(AND(ISNUMBER($H181),$H181&gt;0,ISNUMBER($K181)),$K181/$H181,"")</f>
        <v/>
      </c>
      <c r="M181" s="67" t="n"/>
      <c r="N181" s="67" t="n"/>
      <c r="O181" s="67" t="n"/>
      <c r="P181" s="64" t="n"/>
      <c r="Q181" s="64" t="n"/>
      <c r="R181" s="65" t="n"/>
      <c r="S181" s="71" t="str">
        <f>IF(ISNUMBER($A181),YEAR($A181)&amp;"-"&amp;TEXT(MONTH($A181),"00"),"")</f>
        <v/>
      </c>
      <c r="T181" s="71">
        <f>IF($C181="",0,IF(AND(OR(fClient="All",$B181=fClient),OR(fCampaign="All",$C181=fCampaign),OR(fTeam="All",$P181=fTeam),OR(fChannel="All",fChannel="LinkedIn Outreach"),OR(fMonth="All",$S181=fMonth)),1,0))</f>
        <v>0</v>
      </c>
      <c r="U181" s="71">
        <f>IF($C181="",0,IF(AND(OR(fClient="All",$B181=fClient),OR(fCampaign="All",$C181=fCampaign),OR(fTeam="All",$P181=fTeam),OR(fChannel="All",fChannel="LinkedIn Outreach")),1,0))</f>
        <v>0</v>
      </c>
    </row>
    <row r="182">
      <c r="A182" s="63" t="n"/>
      <c r="B182" s="64" t="n"/>
      <c r="C182" s="64" t="n"/>
      <c r="D182" s="64" t="n"/>
      <c r="E182" s="67" t="n"/>
      <c r="F182" s="67" t="n"/>
      <c r="G182" s="73" t="str">
        <f>IF(AND(ISNUMBER($E182),$E182&gt;0,ISNUMBER($F182)),$F182/$E182,"")</f>
        <v/>
      </c>
      <c r="H182" s="67" t="n"/>
      <c r="I182" s="67" t="n"/>
      <c r="J182" s="73" t="str">
        <f>IF(AND(ISNUMBER($H182),$H182&gt;0,ISNUMBER($I182)),$I182/$H182,"")</f>
        <v/>
      </c>
      <c r="K182" s="67" t="n"/>
      <c r="L182" s="73" t="str">
        <f>IF(AND(ISNUMBER($H182),$H182&gt;0,ISNUMBER($K182)),$K182/$H182,"")</f>
        <v/>
      </c>
      <c r="M182" s="67" t="n"/>
      <c r="N182" s="67" t="n"/>
      <c r="O182" s="67" t="n"/>
      <c r="P182" s="64" t="n"/>
      <c r="Q182" s="64" t="n"/>
      <c r="R182" s="65" t="n"/>
      <c r="S182" s="71" t="str">
        <f>IF(ISNUMBER($A182),YEAR($A182)&amp;"-"&amp;TEXT(MONTH($A182),"00"),"")</f>
        <v/>
      </c>
      <c r="T182" s="71">
        <f>IF($C182="",0,IF(AND(OR(fClient="All",$B182=fClient),OR(fCampaign="All",$C182=fCampaign),OR(fTeam="All",$P182=fTeam),OR(fChannel="All",fChannel="LinkedIn Outreach"),OR(fMonth="All",$S182=fMonth)),1,0))</f>
        <v>0</v>
      </c>
      <c r="U182" s="71">
        <f>IF($C182="",0,IF(AND(OR(fClient="All",$B182=fClient),OR(fCampaign="All",$C182=fCampaign),OR(fTeam="All",$P182=fTeam),OR(fChannel="All",fChannel="LinkedIn Outreach")),1,0))</f>
        <v>0</v>
      </c>
    </row>
    <row r="183">
      <c r="A183" s="63" t="n"/>
      <c r="B183" s="64" t="n"/>
      <c r="C183" s="64" t="n"/>
      <c r="D183" s="64" t="n"/>
      <c r="E183" s="67" t="n"/>
      <c r="F183" s="67" t="n"/>
      <c r="G183" s="73" t="str">
        <f>IF(AND(ISNUMBER($E183),$E183&gt;0,ISNUMBER($F183)),$F183/$E183,"")</f>
        <v/>
      </c>
      <c r="H183" s="67" t="n"/>
      <c r="I183" s="67" t="n"/>
      <c r="J183" s="73" t="str">
        <f>IF(AND(ISNUMBER($H183),$H183&gt;0,ISNUMBER($I183)),$I183/$H183,"")</f>
        <v/>
      </c>
      <c r="K183" s="67" t="n"/>
      <c r="L183" s="73" t="str">
        <f>IF(AND(ISNUMBER($H183),$H183&gt;0,ISNUMBER($K183)),$K183/$H183,"")</f>
        <v/>
      </c>
      <c r="M183" s="67" t="n"/>
      <c r="N183" s="67" t="n"/>
      <c r="O183" s="67" t="n"/>
      <c r="P183" s="64" t="n"/>
      <c r="Q183" s="64" t="n"/>
      <c r="R183" s="65" t="n"/>
      <c r="S183" s="71" t="str">
        <f>IF(ISNUMBER($A183),YEAR($A183)&amp;"-"&amp;TEXT(MONTH($A183),"00"),"")</f>
        <v/>
      </c>
      <c r="T183" s="71">
        <f>IF($C183="",0,IF(AND(OR(fClient="All",$B183=fClient),OR(fCampaign="All",$C183=fCampaign),OR(fTeam="All",$P183=fTeam),OR(fChannel="All",fChannel="LinkedIn Outreach"),OR(fMonth="All",$S183=fMonth)),1,0))</f>
        <v>0</v>
      </c>
      <c r="U183" s="71">
        <f>IF($C183="",0,IF(AND(OR(fClient="All",$B183=fClient),OR(fCampaign="All",$C183=fCampaign),OR(fTeam="All",$P183=fTeam),OR(fChannel="All",fChannel="LinkedIn Outreach")),1,0))</f>
        <v>0</v>
      </c>
    </row>
    <row r="184">
      <c r="A184" s="63" t="n"/>
      <c r="B184" s="64" t="n"/>
      <c r="C184" s="64" t="n"/>
      <c r="D184" s="64" t="n"/>
      <c r="E184" s="67" t="n"/>
      <c r="F184" s="67" t="n"/>
      <c r="G184" s="73" t="str">
        <f>IF(AND(ISNUMBER($E184),$E184&gt;0,ISNUMBER($F184)),$F184/$E184,"")</f>
        <v/>
      </c>
      <c r="H184" s="67" t="n"/>
      <c r="I184" s="67" t="n"/>
      <c r="J184" s="73" t="str">
        <f>IF(AND(ISNUMBER($H184),$H184&gt;0,ISNUMBER($I184)),$I184/$H184,"")</f>
        <v/>
      </c>
      <c r="K184" s="67" t="n"/>
      <c r="L184" s="73" t="str">
        <f>IF(AND(ISNUMBER($H184),$H184&gt;0,ISNUMBER($K184)),$K184/$H184,"")</f>
        <v/>
      </c>
      <c r="M184" s="67" t="n"/>
      <c r="N184" s="67" t="n"/>
      <c r="O184" s="67" t="n"/>
      <c r="P184" s="64" t="n"/>
      <c r="Q184" s="64" t="n"/>
      <c r="R184" s="65" t="n"/>
      <c r="S184" s="71" t="str">
        <f>IF(ISNUMBER($A184),YEAR($A184)&amp;"-"&amp;TEXT(MONTH($A184),"00"),"")</f>
        <v/>
      </c>
      <c r="T184" s="71">
        <f>IF($C184="",0,IF(AND(OR(fClient="All",$B184=fClient),OR(fCampaign="All",$C184=fCampaign),OR(fTeam="All",$P184=fTeam),OR(fChannel="All",fChannel="LinkedIn Outreach"),OR(fMonth="All",$S184=fMonth)),1,0))</f>
        <v>0</v>
      </c>
      <c r="U184" s="71">
        <f>IF($C184="",0,IF(AND(OR(fClient="All",$B184=fClient),OR(fCampaign="All",$C184=fCampaign),OR(fTeam="All",$P184=fTeam),OR(fChannel="All",fChannel="LinkedIn Outreach")),1,0))</f>
        <v>0</v>
      </c>
    </row>
    <row r="185">
      <c r="A185" s="63" t="n"/>
      <c r="B185" s="64" t="n"/>
      <c r="C185" s="64" t="n"/>
      <c r="D185" s="64" t="n"/>
      <c r="E185" s="67" t="n"/>
      <c r="F185" s="67" t="n"/>
      <c r="G185" s="73" t="str">
        <f>IF(AND(ISNUMBER($E185),$E185&gt;0,ISNUMBER($F185)),$F185/$E185,"")</f>
        <v/>
      </c>
      <c r="H185" s="67" t="n"/>
      <c r="I185" s="67" t="n"/>
      <c r="J185" s="73" t="str">
        <f>IF(AND(ISNUMBER($H185),$H185&gt;0,ISNUMBER($I185)),$I185/$H185,"")</f>
        <v/>
      </c>
      <c r="K185" s="67" t="n"/>
      <c r="L185" s="73" t="str">
        <f>IF(AND(ISNUMBER($H185),$H185&gt;0,ISNUMBER($K185)),$K185/$H185,"")</f>
        <v/>
      </c>
      <c r="M185" s="67" t="n"/>
      <c r="N185" s="67" t="n"/>
      <c r="O185" s="67" t="n"/>
      <c r="P185" s="64" t="n"/>
      <c r="Q185" s="64" t="n"/>
      <c r="R185" s="65" t="n"/>
      <c r="S185" s="71" t="str">
        <f>IF(ISNUMBER($A185),YEAR($A185)&amp;"-"&amp;TEXT(MONTH($A185),"00"),"")</f>
        <v/>
      </c>
      <c r="T185" s="71">
        <f>IF($C185="",0,IF(AND(OR(fClient="All",$B185=fClient),OR(fCampaign="All",$C185=fCampaign),OR(fTeam="All",$P185=fTeam),OR(fChannel="All",fChannel="LinkedIn Outreach"),OR(fMonth="All",$S185=fMonth)),1,0))</f>
        <v>0</v>
      </c>
      <c r="U185" s="71">
        <f>IF($C185="",0,IF(AND(OR(fClient="All",$B185=fClient),OR(fCampaign="All",$C185=fCampaign),OR(fTeam="All",$P185=fTeam),OR(fChannel="All",fChannel="LinkedIn Outreach")),1,0))</f>
        <v>0</v>
      </c>
    </row>
    <row r="186">
      <c r="A186" s="63" t="n"/>
      <c r="B186" s="64" t="n"/>
      <c r="C186" s="64" t="n"/>
      <c r="D186" s="64" t="n"/>
      <c r="E186" s="67" t="n"/>
      <c r="F186" s="67" t="n"/>
      <c r="G186" s="73" t="str">
        <f>IF(AND(ISNUMBER($E186),$E186&gt;0,ISNUMBER($F186)),$F186/$E186,"")</f>
        <v/>
      </c>
      <c r="H186" s="67" t="n"/>
      <c r="I186" s="67" t="n"/>
      <c r="J186" s="73" t="str">
        <f>IF(AND(ISNUMBER($H186),$H186&gt;0,ISNUMBER($I186)),$I186/$H186,"")</f>
        <v/>
      </c>
      <c r="K186" s="67" t="n"/>
      <c r="L186" s="73" t="str">
        <f>IF(AND(ISNUMBER($H186),$H186&gt;0,ISNUMBER($K186)),$K186/$H186,"")</f>
        <v/>
      </c>
      <c r="M186" s="67" t="n"/>
      <c r="N186" s="67" t="n"/>
      <c r="O186" s="67" t="n"/>
      <c r="P186" s="64" t="n"/>
      <c r="Q186" s="64" t="n"/>
      <c r="R186" s="65" t="n"/>
      <c r="S186" s="71" t="str">
        <f>IF(ISNUMBER($A186),YEAR($A186)&amp;"-"&amp;TEXT(MONTH($A186),"00"),"")</f>
        <v/>
      </c>
      <c r="T186" s="71">
        <f>IF($C186="",0,IF(AND(OR(fClient="All",$B186=fClient),OR(fCampaign="All",$C186=fCampaign),OR(fTeam="All",$P186=fTeam),OR(fChannel="All",fChannel="LinkedIn Outreach"),OR(fMonth="All",$S186=fMonth)),1,0))</f>
        <v>0</v>
      </c>
      <c r="U186" s="71">
        <f>IF($C186="",0,IF(AND(OR(fClient="All",$B186=fClient),OR(fCampaign="All",$C186=fCampaign),OR(fTeam="All",$P186=fTeam),OR(fChannel="All",fChannel="LinkedIn Outreach")),1,0))</f>
        <v>0</v>
      </c>
    </row>
    <row r="187">
      <c r="A187" s="63" t="n"/>
      <c r="B187" s="64" t="n"/>
      <c r="C187" s="64" t="n"/>
      <c r="D187" s="64" t="n"/>
      <c r="E187" s="67" t="n"/>
      <c r="F187" s="67" t="n"/>
      <c r="G187" s="73" t="str">
        <f>IF(AND(ISNUMBER($E187),$E187&gt;0,ISNUMBER($F187)),$F187/$E187,"")</f>
        <v/>
      </c>
      <c r="H187" s="67" t="n"/>
      <c r="I187" s="67" t="n"/>
      <c r="J187" s="73" t="str">
        <f>IF(AND(ISNUMBER($H187),$H187&gt;0,ISNUMBER($I187)),$I187/$H187,"")</f>
        <v/>
      </c>
      <c r="K187" s="67" t="n"/>
      <c r="L187" s="73" t="str">
        <f>IF(AND(ISNUMBER($H187),$H187&gt;0,ISNUMBER($K187)),$K187/$H187,"")</f>
        <v/>
      </c>
      <c r="M187" s="67" t="n"/>
      <c r="N187" s="67" t="n"/>
      <c r="O187" s="67" t="n"/>
      <c r="P187" s="64" t="n"/>
      <c r="Q187" s="64" t="n"/>
      <c r="R187" s="65" t="n"/>
      <c r="S187" s="71" t="str">
        <f>IF(ISNUMBER($A187),YEAR($A187)&amp;"-"&amp;TEXT(MONTH($A187),"00"),"")</f>
        <v/>
      </c>
      <c r="T187" s="71">
        <f>IF($C187="",0,IF(AND(OR(fClient="All",$B187=fClient),OR(fCampaign="All",$C187=fCampaign),OR(fTeam="All",$P187=fTeam),OR(fChannel="All",fChannel="LinkedIn Outreach"),OR(fMonth="All",$S187=fMonth)),1,0))</f>
        <v>0</v>
      </c>
      <c r="U187" s="71">
        <f>IF($C187="",0,IF(AND(OR(fClient="All",$B187=fClient),OR(fCampaign="All",$C187=fCampaign),OR(fTeam="All",$P187=fTeam),OR(fChannel="All",fChannel="LinkedIn Outreach")),1,0))</f>
        <v>0</v>
      </c>
    </row>
    <row r="188">
      <c r="A188" s="63" t="n"/>
      <c r="B188" s="64" t="n"/>
      <c r="C188" s="64" t="n"/>
      <c r="D188" s="64" t="n"/>
      <c r="E188" s="67" t="n"/>
      <c r="F188" s="67" t="n"/>
      <c r="G188" s="73" t="str">
        <f>IF(AND(ISNUMBER($E188),$E188&gt;0,ISNUMBER($F188)),$F188/$E188,"")</f>
        <v/>
      </c>
      <c r="H188" s="67" t="n"/>
      <c r="I188" s="67" t="n"/>
      <c r="J188" s="73" t="str">
        <f>IF(AND(ISNUMBER($H188),$H188&gt;0,ISNUMBER($I188)),$I188/$H188,"")</f>
        <v/>
      </c>
      <c r="K188" s="67" t="n"/>
      <c r="L188" s="73" t="str">
        <f>IF(AND(ISNUMBER($H188),$H188&gt;0,ISNUMBER($K188)),$K188/$H188,"")</f>
        <v/>
      </c>
      <c r="M188" s="67" t="n"/>
      <c r="N188" s="67" t="n"/>
      <c r="O188" s="67" t="n"/>
      <c r="P188" s="64" t="n"/>
      <c r="Q188" s="64" t="n"/>
      <c r="R188" s="65" t="n"/>
      <c r="S188" s="71" t="str">
        <f>IF(ISNUMBER($A188),YEAR($A188)&amp;"-"&amp;TEXT(MONTH($A188),"00"),"")</f>
        <v/>
      </c>
      <c r="T188" s="71">
        <f>IF($C188="",0,IF(AND(OR(fClient="All",$B188=fClient),OR(fCampaign="All",$C188=fCampaign),OR(fTeam="All",$P188=fTeam),OR(fChannel="All",fChannel="LinkedIn Outreach"),OR(fMonth="All",$S188=fMonth)),1,0))</f>
        <v>0</v>
      </c>
      <c r="U188" s="71">
        <f>IF($C188="",0,IF(AND(OR(fClient="All",$B188=fClient),OR(fCampaign="All",$C188=fCampaign),OR(fTeam="All",$P188=fTeam),OR(fChannel="All",fChannel="LinkedIn Outreach")),1,0))</f>
        <v>0</v>
      </c>
    </row>
    <row r="189">
      <c r="A189" s="63" t="n"/>
      <c r="B189" s="64" t="n"/>
      <c r="C189" s="64" t="n"/>
      <c r="D189" s="64" t="n"/>
      <c r="E189" s="67" t="n"/>
      <c r="F189" s="67" t="n"/>
      <c r="G189" s="73" t="str">
        <f>IF(AND(ISNUMBER($E189),$E189&gt;0,ISNUMBER($F189)),$F189/$E189,"")</f>
        <v/>
      </c>
      <c r="H189" s="67" t="n"/>
      <c r="I189" s="67" t="n"/>
      <c r="J189" s="73" t="str">
        <f>IF(AND(ISNUMBER($H189),$H189&gt;0,ISNUMBER($I189)),$I189/$H189,"")</f>
        <v/>
      </c>
      <c r="K189" s="67" t="n"/>
      <c r="L189" s="73" t="str">
        <f>IF(AND(ISNUMBER($H189),$H189&gt;0,ISNUMBER($K189)),$K189/$H189,"")</f>
        <v/>
      </c>
      <c r="M189" s="67" t="n"/>
      <c r="N189" s="67" t="n"/>
      <c r="O189" s="67" t="n"/>
      <c r="P189" s="64" t="n"/>
      <c r="Q189" s="64" t="n"/>
      <c r="R189" s="65" t="n"/>
      <c r="S189" s="71" t="str">
        <f>IF(ISNUMBER($A189),YEAR($A189)&amp;"-"&amp;TEXT(MONTH($A189),"00"),"")</f>
        <v/>
      </c>
      <c r="T189" s="71">
        <f>IF($C189="",0,IF(AND(OR(fClient="All",$B189=fClient),OR(fCampaign="All",$C189=fCampaign),OR(fTeam="All",$P189=fTeam),OR(fChannel="All",fChannel="LinkedIn Outreach"),OR(fMonth="All",$S189=fMonth)),1,0))</f>
        <v>0</v>
      </c>
      <c r="U189" s="71">
        <f>IF($C189="",0,IF(AND(OR(fClient="All",$B189=fClient),OR(fCampaign="All",$C189=fCampaign),OR(fTeam="All",$P189=fTeam),OR(fChannel="All",fChannel="LinkedIn Outreach")),1,0))</f>
        <v>0</v>
      </c>
    </row>
    <row r="190">
      <c r="A190" s="63" t="n"/>
      <c r="B190" s="64" t="n"/>
      <c r="C190" s="64" t="n"/>
      <c r="D190" s="64" t="n"/>
      <c r="E190" s="67" t="n"/>
      <c r="F190" s="67" t="n"/>
      <c r="G190" s="73" t="str">
        <f>IF(AND(ISNUMBER($E190),$E190&gt;0,ISNUMBER($F190)),$F190/$E190,"")</f>
        <v/>
      </c>
      <c r="H190" s="67" t="n"/>
      <c r="I190" s="67" t="n"/>
      <c r="J190" s="73" t="str">
        <f>IF(AND(ISNUMBER($H190),$H190&gt;0,ISNUMBER($I190)),$I190/$H190,"")</f>
        <v/>
      </c>
      <c r="K190" s="67" t="n"/>
      <c r="L190" s="73" t="str">
        <f>IF(AND(ISNUMBER($H190),$H190&gt;0,ISNUMBER($K190)),$K190/$H190,"")</f>
        <v/>
      </c>
      <c r="M190" s="67" t="n"/>
      <c r="N190" s="67" t="n"/>
      <c r="O190" s="67" t="n"/>
      <c r="P190" s="64" t="n"/>
      <c r="Q190" s="64" t="n"/>
      <c r="R190" s="65" t="n"/>
      <c r="S190" s="71" t="str">
        <f>IF(ISNUMBER($A190),YEAR($A190)&amp;"-"&amp;TEXT(MONTH($A190),"00"),"")</f>
        <v/>
      </c>
      <c r="T190" s="71">
        <f>IF($C190="",0,IF(AND(OR(fClient="All",$B190=fClient),OR(fCampaign="All",$C190=fCampaign),OR(fTeam="All",$P190=fTeam),OR(fChannel="All",fChannel="LinkedIn Outreach"),OR(fMonth="All",$S190=fMonth)),1,0))</f>
        <v>0</v>
      </c>
      <c r="U190" s="71">
        <f>IF($C190="",0,IF(AND(OR(fClient="All",$B190=fClient),OR(fCampaign="All",$C190=fCampaign),OR(fTeam="All",$P190=fTeam),OR(fChannel="All",fChannel="LinkedIn Outreach")),1,0))</f>
        <v>0</v>
      </c>
    </row>
    <row r="191">
      <c r="A191" s="63" t="n"/>
      <c r="B191" s="64" t="n"/>
      <c r="C191" s="64" t="n"/>
      <c r="D191" s="64" t="n"/>
      <c r="E191" s="67" t="n"/>
      <c r="F191" s="67" t="n"/>
      <c r="G191" s="73" t="str">
        <f>IF(AND(ISNUMBER($E191),$E191&gt;0,ISNUMBER($F191)),$F191/$E191,"")</f>
        <v/>
      </c>
      <c r="H191" s="67" t="n"/>
      <c r="I191" s="67" t="n"/>
      <c r="J191" s="73" t="str">
        <f>IF(AND(ISNUMBER($H191),$H191&gt;0,ISNUMBER($I191)),$I191/$H191,"")</f>
        <v/>
      </c>
      <c r="K191" s="67" t="n"/>
      <c r="L191" s="73" t="str">
        <f>IF(AND(ISNUMBER($H191),$H191&gt;0,ISNUMBER($K191)),$K191/$H191,"")</f>
        <v/>
      </c>
      <c r="M191" s="67" t="n"/>
      <c r="N191" s="67" t="n"/>
      <c r="O191" s="67" t="n"/>
      <c r="P191" s="64" t="n"/>
      <c r="Q191" s="64" t="n"/>
      <c r="R191" s="65" t="n"/>
      <c r="S191" s="71" t="str">
        <f>IF(ISNUMBER($A191),YEAR($A191)&amp;"-"&amp;TEXT(MONTH($A191),"00"),"")</f>
        <v/>
      </c>
      <c r="T191" s="71">
        <f>IF($C191="",0,IF(AND(OR(fClient="All",$B191=fClient),OR(fCampaign="All",$C191=fCampaign),OR(fTeam="All",$P191=fTeam),OR(fChannel="All",fChannel="LinkedIn Outreach"),OR(fMonth="All",$S191=fMonth)),1,0))</f>
        <v>0</v>
      </c>
      <c r="U191" s="71">
        <f>IF($C191="",0,IF(AND(OR(fClient="All",$B191=fClient),OR(fCampaign="All",$C191=fCampaign),OR(fTeam="All",$P191=fTeam),OR(fChannel="All",fChannel="LinkedIn Outreach")),1,0))</f>
        <v>0</v>
      </c>
    </row>
    <row r="192">
      <c r="A192" s="63" t="n"/>
      <c r="B192" s="64" t="n"/>
      <c r="C192" s="64" t="n"/>
      <c r="D192" s="64" t="n"/>
      <c r="E192" s="67" t="n"/>
      <c r="F192" s="67" t="n"/>
      <c r="G192" s="73" t="str">
        <f>IF(AND(ISNUMBER($E192),$E192&gt;0,ISNUMBER($F192)),$F192/$E192,"")</f>
        <v/>
      </c>
      <c r="H192" s="67" t="n"/>
      <c r="I192" s="67" t="n"/>
      <c r="J192" s="73" t="str">
        <f>IF(AND(ISNUMBER($H192),$H192&gt;0,ISNUMBER($I192)),$I192/$H192,"")</f>
        <v/>
      </c>
      <c r="K192" s="67" t="n"/>
      <c r="L192" s="73" t="str">
        <f>IF(AND(ISNUMBER($H192),$H192&gt;0,ISNUMBER($K192)),$K192/$H192,"")</f>
        <v/>
      </c>
      <c r="M192" s="67" t="n"/>
      <c r="N192" s="67" t="n"/>
      <c r="O192" s="67" t="n"/>
      <c r="P192" s="64" t="n"/>
      <c r="Q192" s="64" t="n"/>
      <c r="R192" s="65" t="n"/>
      <c r="S192" s="71" t="str">
        <f>IF(ISNUMBER($A192),YEAR($A192)&amp;"-"&amp;TEXT(MONTH($A192),"00"),"")</f>
        <v/>
      </c>
      <c r="T192" s="71">
        <f>IF($C192="",0,IF(AND(OR(fClient="All",$B192=fClient),OR(fCampaign="All",$C192=fCampaign),OR(fTeam="All",$P192=fTeam),OR(fChannel="All",fChannel="LinkedIn Outreach"),OR(fMonth="All",$S192=fMonth)),1,0))</f>
        <v>0</v>
      </c>
      <c r="U192" s="71">
        <f>IF($C192="",0,IF(AND(OR(fClient="All",$B192=fClient),OR(fCampaign="All",$C192=fCampaign),OR(fTeam="All",$P192=fTeam),OR(fChannel="All",fChannel="LinkedIn Outreach")),1,0))</f>
        <v>0</v>
      </c>
    </row>
    <row r="193">
      <c r="A193" s="63" t="n"/>
      <c r="B193" s="64" t="n"/>
      <c r="C193" s="64" t="n"/>
      <c r="D193" s="64" t="n"/>
      <c r="E193" s="67" t="n"/>
      <c r="F193" s="67" t="n"/>
      <c r="G193" s="73" t="str">
        <f>IF(AND(ISNUMBER($E193),$E193&gt;0,ISNUMBER($F193)),$F193/$E193,"")</f>
        <v/>
      </c>
      <c r="H193" s="67" t="n"/>
      <c r="I193" s="67" t="n"/>
      <c r="J193" s="73" t="str">
        <f>IF(AND(ISNUMBER($H193),$H193&gt;0,ISNUMBER($I193)),$I193/$H193,"")</f>
        <v/>
      </c>
      <c r="K193" s="67" t="n"/>
      <c r="L193" s="73" t="str">
        <f>IF(AND(ISNUMBER($H193),$H193&gt;0,ISNUMBER($K193)),$K193/$H193,"")</f>
        <v/>
      </c>
      <c r="M193" s="67" t="n"/>
      <c r="N193" s="67" t="n"/>
      <c r="O193" s="67" t="n"/>
      <c r="P193" s="64" t="n"/>
      <c r="Q193" s="64" t="n"/>
      <c r="R193" s="65" t="n"/>
      <c r="S193" s="71" t="str">
        <f>IF(ISNUMBER($A193),YEAR($A193)&amp;"-"&amp;TEXT(MONTH($A193),"00"),"")</f>
        <v/>
      </c>
      <c r="T193" s="71">
        <f>IF($C193="",0,IF(AND(OR(fClient="All",$B193=fClient),OR(fCampaign="All",$C193=fCampaign),OR(fTeam="All",$P193=fTeam),OR(fChannel="All",fChannel="LinkedIn Outreach"),OR(fMonth="All",$S193=fMonth)),1,0))</f>
        <v>0</v>
      </c>
      <c r="U193" s="71">
        <f>IF($C193="",0,IF(AND(OR(fClient="All",$B193=fClient),OR(fCampaign="All",$C193=fCampaign),OR(fTeam="All",$P193=fTeam),OR(fChannel="All",fChannel="LinkedIn Outreach")),1,0))</f>
        <v>0</v>
      </c>
    </row>
    <row r="194">
      <c r="A194" s="63" t="n"/>
      <c r="B194" s="64" t="n"/>
      <c r="C194" s="64" t="n"/>
      <c r="D194" s="64" t="n"/>
      <c r="E194" s="67" t="n"/>
      <c r="F194" s="67" t="n"/>
      <c r="G194" s="73" t="str">
        <f>IF(AND(ISNUMBER($E194),$E194&gt;0,ISNUMBER($F194)),$F194/$E194,"")</f>
        <v/>
      </c>
      <c r="H194" s="67" t="n"/>
      <c r="I194" s="67" t="n"/>
      <c r="J194" s="73" t="str">
        <f>IF(AND(ISNUMBER($H194),$H194&gt;0,ISNUMBER($I194)),$I194/$H194,"")</f>
        <v/>
      </c>
      <c r="K194" s="67" t="n"/>
      <c r="L194" s="73" t="str">
        <f>IF(AND(ISNUMBER($H194),$H194&gt;0,ISNUMBER($K194)),$K194/$H194,"")</f>
        <v/>
      </c>
      <c r="M194" s="67" t="n"/>
      <c r="N194" s="67" t="n"/>
      <c r="O194" s="67" t="n"/>
      <c r="P194" s="64" t="n"/>
      <c r="Q194" s="64" t="n"/>
      <c r="R194" s="65" t="n"/>
      <c r="S194" s="71" t="str">
        <f>IF(ISNUMBER($A194),YEAR($A194)&amp;"-"&amp;TEXT(MONTH($A194),"00"),"")</f>
        <v/>
      </c>
      <c r="T194" s="71">
        <f>IF($C194="",0,IF(AND(OR(fClient="All",$B194=fClient),OR(fCampaign="All",$C194=fCampaign),OR(fTeam="All",$P194=fTeam),OR(fChannel="All",fChannel="LinkedIn Outreach"),OR(fMonth="All",$S194=fMonth)),1,0))</f>
        <v>0</v>
      </c>
      <c r="U194" s="71">
        <f>IF($C194="",0,IF(AND(OR(fClient="All",$B194=fClient),OR(fCampaign="All",$C194=fCampaign),OR(fTeam="All",$P194=fTeam),OR(fChannel="All",fChannel="LinkedIn Outreach")),1,0))</f>
        <v>0</v>
      </c>
    </row>
    <row r="195">
      <c r="A195" s="63" t="n"/>
      <c r="B195" s="64" t="n"/>
      <c r="C195" s="64" t="n"/>
      <c r="D195" s="64" t="n"/>
      <c r="E195" s="67" t="n"/>
      <c r="F195" s="67" t="n"/>
      <c r="G195" s="73" t="str">
        <f>IF(AND(ISNUMBER($E195),$E195&gt;0,ISNUMBER($F195)),$F195/$E195,"")</f>
        <v/>
      </c>
      <c r="H195" s="67" t="n"/>
      <c r="I195" s="67" t="n"/>
      <c r="J195" s="73" t="str">
        <f>IF(AND(ISNUMBER($H195),$H195&gt;0,ISNUMBER($I195)),$I195/$H195,"")</f>
        <v/>
      </c>
      <c r="K195" s="67" t="n"/>
      <c r="L195" s="73" t="str">
        <f>IF(AND(ISNUMBER($H195),$H195&gt;0,ISNUMBER($K195)),$K195/$H195,"")</f>
        <v/>
      </c>
      <c r="M195" s="67" t="n"/>
      <c r="N195" s="67" t="n"/>
      <c r="O195" s="67" t="n"/>
      <c r="P195" s="64" t="n"/>
      <c r="Q195" s="64" t="n"/>
      <c r="R195" s="65" t="n"/>
      <c r="S195" s="71" t="str">
        <f>IF(ISNUMBER($A195),YEAR($A195)&amp;"-"&amp;TEXT(MONTH($A195),"00"),"")</f>
        <v/>
      </c>
      <c r="T195" s="71">
        <f>IF($C195="",0,IF(AND(OR(fClient="All",$B195=fClient),OR(fCampaign="All",$C195=fCampaign),OR(fTeam="All",$P195=fTeam),OR(fChannel="All",fChannel="LinkedIn Outreach"),OR(fMonth="All",$S195=fMonth)),1,0))</f>
        <v>0</v>
      </c>
      <c r="U195" s="71">
        <f>IF($C195="",0,IF(AND(OR(fClient="All",$B195=fClient),OR(fCampaign="All",$C195=fCampaign),OR(fTeam="All",$P195=fTeam),OR(fChannel="All",fChannel="LinkedIn Outreach")),1,0))</f>
        <v>0</v>
      </c>
    </row>
    <row r="196">
      <c r="A196" s="63" t="n"/>
      <c r="B196" s="64" t="n"/>
      <c r="C196" s="64" t="n"/>
      <c r="D196" s="64" t="n"/>
      <c r="E196" s="67" t="n"/>
      <c r="F196" s="67" t="n"/>
      <c r="G196" s="73" t="str">
        <f>IF(AND(ISNUMBER($E196),$E196&gt;0,ISNUMBER($F196)),$F196/$E196,"")</f>
        <v/>
      </c>
      <c r="H196" s="67" t="n"/>
      <c r="I196" s="67" t="n"/>
      <c r="J196" s="73" t="str">
        <f>IF(AND(ISNUMBER($H196),$H196&gt;0,ISNUMBER($I196)),$I196/$H196,"")</f>
        <v/>
      </c>
      <c r="K196" s="67" t="n"/>
      <c r="L196" s="73" t="str">
        <f>IF(AND(ISNUMBER($H196),$H196&gt;0,ISNUMBER($K196)),$K196/$H196,"")</f>
        <v/>
      </c>
      <c r="M196" s="67" t="n"/>
      <c r="N196" s="67" t="n"/>
      <c r="O196" s="67" t="n"/>
      <c r="P196" s="64" t="n"/>
      <c r="Q196" s="64" t="n"/>
      <c r="R196" s="65" t="n"/>
      <c r="S196" s="71" t="str">
        <f>IF(ISNUMBER($A196),YEAR($A196)&amp;"-"&amp;TEXT(MONTH($A196),"00"),"")</f>
        <v/>
      </c>
      <c r="T196" s="71">
        <f>IF($C196="",0,IF(AND(OR(fClient="All",$B196=fClient),OR(fCampaign="All",$C196=fCampaign),OR(fTeam="All",$P196=fTeam),OR(fChannel="All",fChannel="LinkedIn Outreach"),OR(fMonth="All",$S196=fMonth)),1,0))</f>
        <v>0</v>
      </c>
      <c r="U196" s="71">
        <f>IF($C196="",0,IF(AND(OR(fClient="All",$B196=fClient),OR(fCampaign="All",$C196=fCampaign),OR(fTeam="All",$P196=fTeam),OR(fChannel="All",fChannel="LinkedIn Outreach")),1,0))</f>
        <v>0</v>
      </c>
    </row>
    <row r="197">
      <c r="A197" s="63" t="n"/>
      <c r="B197" s="64" t="n"/>
      <c r="C197" s="64" t="n"/>
      <c r="D197" s="64" t="n"/>
      <c r="E197" s="67" t="n"/>
      <c r="F197" s="67" t="n"/>
      <c r="G197" s="73" t="str">
        <f>IF(AND(ISNUMBER($E197),$E197&gt;0,ISNUMBER($F197)),$F197/$E197,"")</f>
        <v/>
      </c>
      <c r="H197" s="67" t="n"/>
      <c r="I197" s="67" t="n"/>
      <c r="J197" s="73" t="str">
        <f>IF(AND(ISNUMBER($H197),$H197&gt;0,ISNUMBER($I197)),$I197/$H197,"")</f>
        <v/>
      </c>
      <c r="K197" s="67" t="n"/>
      <c r="L197" s="73" t="str">
        <f>IF(AND(ISNUMBER($H197),$H197&gt;0,ISNUMBER($K197)),$K197/$H197,"")</f>
        <v/>
      </c>
      <c r="M197" s="67" t="n"/>
      <c r="N197" s="67" t="n"/>
      <c r="O197" s="67" t="n"/>
      <c r="P197" s="64" t="n"/>
      <c r="Q197" s="64" t="n"/>
      <c r="R197" s="65" t="n"/>
      <c r="S197" s="71" t="str">
        <f>IF(ISNUMBER($A197),YEAR($A197)&amp;"-"&amp;TEXT(MONTH($A197),"00"),"")</f>
        <v/>
      </c>
      <c r="T197" s="71">
        <f>IF($C197="",0,IF(AND(OR(fClient="All",$B197=fClient),OR(fCampaign="All",$C197=fCampaign),OR(fTeam="All",$P197=fTeam),OR(fChannel="All",fChannel="LinkedIn Outreach"),OR(fMonth="All",$S197=fMonth)),1,0))</f>
        <v>0</v>
      </c>
      <c r="U197" s="71">
        <f>IF($C197="",0,IF(AND(OR(fClient="All",$B197=fClient),OR(fCampaign="All",$C197=fCampaign),OR(fTeam="All",$P197=fTeam),OR(fChannel="All",fChannel="LinkedIn Outreach")),1,0))</f>
        <v>0</v>
      </c>
    </row>
    <row r="198">
      <c r="A198" s="63" t="n"/>
      <c r="B198" s="64" t="n"/>
      <c r="C198" s="64" t="n"/>
      <c r="D198" s="64" t="n"/>
      <c r="E198" s="67" t="n"/>
      <c r="F198" s="67" t="n"/>
      <c r="G198" s="73" t="str">
        <f>IF(AND(ISNUMBER($E198),$E198&gt;0,ISNUMBER($F198)),$F198/$E198,"")</f>
        <v/>
      </c>
      <c r="H198" s="67" t="n"/>
      <c r="I198" s="67" t="n"/>
      <c r="J198" s="73" t="str">
        <f>IF(AND(ISNUMBER($H198),$H198&gt;0,ISNUMBER($I198)),$I198/$H198,"")</f>
        <v/>
      </c>
      <c r="K198" s="67" t="n"/>
      <c r="L198" s="73" t="str">
        <f>IF(AND(ISNUMBER($H198),$H198&gt;0,ISNUMBER($K198)),$K198/$H198,"")</f>
        <v/>
      </c>
      <c r="M198" s="67" t="n"/>
      <c r="N198" s="67" t="n"/>
      <c r="O198" s="67" t="n"/>
      <c r="P198" s="64" t="n"/>
      <c r="Q198" s="64" t="n"/>
      <c r="R198" s="65" t="n"/>
      <c r="S198" s="71" t="str">
        <f>IF(ISNUMBER($A198),YEAR($A198)&amp;"-"&amp;TEXT(MONTH($A198),"00"),"")</f>
        <v/>
      </c>
      <c r="T198" s="71">
        <f>IF($C198="",0,IF(AND(OR(fClient="All",$B198=fClient),OR(fCampaign="All",$C198=fCampaign),OR(fTeam="All",$P198=fTeam),OR(fChannel="All",fChannel="LinkedIn Outreach"),OR(fMonth="All",$S198=fMonth)),1,0))</f>
        <v>0</v>
      </c>
      <c r="U198" s="71">
        <f>IF($C198="",0,IF(AND(OR(fClient="All",$B198=fClient),OR(fCampaign="All",$C198=fCampaign),OR(fTeam="All",$P198=fTeam),OR(fChannel="All",fChannel="LinkedIn Outreach")),1,0))</f>
        <v>0</v>
      </c>
    </row>
    <row r="199">
      <c r="A199" s="63" t="n"/>
      <c r="B199" s="64" t="n"/>
      <c r="C199" s="64" t="n"/>
      <c r="D199" s="64" t="n"/>
      <c r="E199" s="67" t="n"/>
      <c r="F199" s="67" t="n"/>
      <c r="G199" s="73" t="str">
        <f>IF(AND(ISNUMBER($E199),$E199&gt;0,ISNUMBER($F199)),$F199/$E199,"")</f>
        <v/>
      </c>
      <c r="H199" s="67" t="n"/>
      <c r="I199" s="67" t="n"/>
      <c r="J199" s="73" t="str">
        <f>IF(AND(ISNUMBER($H199),$H199&gt;0,ISNUMBER($I199)),$I199/$H199,"")</f>
        <v/>
      </c>
      <c r="K199" s="67" t="n"/>
      <c r="L199" s="73" t="str">
        <f>IF(AND(ISNUMBER($H199),$H199&gt;0,ISNUMBER($K199)),$K199/$H199,"")</f>
        <v/>
      </c>
      <c r="M199" s="67" t="n"/>
      <c r="N199" s="67" t="n"/>
      <c r="O199" s="67" t="n"/>
      <c r="P199" s="64" t="n"/>
      <c r="Q199" s="64" t="n"/>
      <c r="R199" s="65" t="n"/>
      <c r="S199" s="71" t="str">
        <f>IF(ISNUMBER($A199),YEAR($A199)&amp;"-"&amp;TEXT(MONTH($A199),"00"),"")</f>
        <v/>
      </c>
      <c r="T199" s="71">
        <f>IF($C199="",0,IF(AND(OR(fClient="All",$B199=fClient),OR(fCampaign="All",$C199=fCampaign),OR(fTeam="All",$P199=fTeam),OR(fChannel="All",fChannel="LinkedIn Outreach"),OR(fMonth="All",$S199=fMonth)),1,0))</f>
        <v>0</v>
      </c>
      <c r="U199" s="71">
        <f>IF($C199="",0,IF(AND(OR(fClient="All",$B199=fClient),OR(fCampaign="All",$C199=fCampaign),OR(fTeam="All",$P199=fTeam),OR(fChannel="All",fChannel="LinkedIn Outreach")),1,0))</f>
        <v>0</v>
      </c>
    </row>
    <row r="200">
      <c r="A200" s="63" t="n"/>
      <c r="B200" s="64" t="n"/>
      <c r="C200" s="64" t="n"/>
      <c r="D200" s="64" t="n"/>
      <c r="E200" s="67" t="n"/>
      <c r="F200" s="67" t="n"/>
      <c r="G200" s="73" t="str">
        <f>IF(AND(ISNUMBER($E200),$E200&gt;0,ISNUMBER($F200)),$F200/$E200,"")</f>
        <v/>
      </c>
      <c r="H200" s="67" t="n"/>
      <c r="I200" s="67" t="n"/>
      <c r="J200" s="73" t="str">
        <f>IF(AND(ISNUMBER($H200),$H200&gt;0,ISNUMBER($I200)),$I200/$H200,"")</f>
        <v/>
      </c>
      <c r="K200" s="67" t="n"/>
      <c r="L200" s="73" t="str">
        <f>IF(AND(ISNUMBER($H200),$H200&gt;0,ISNUMBER($K200)),$K200/$H200,"")</f>
        <v/>
      </c>
      <c r="M200" s="67" t="n"/>
      <c r="N200" s="67" t="n"/>
      <c r="O200" s="67" t="n"/>
      <c r="P200" s="64" t="n"/>
      <c r="Q200" s="64" t="n"/>
      <c r="R200" s="65" t="n"/>
      <c r="S200" s="71" t="str">
        <f>IF(ISNUMBER($A200),YEAR($A200)&amp;"-"&amp;TEXT(MONTH($A200),"00"),"")</f>
        <v/>
      </c>
      <c r="T200" s="71">
        <f>IF($C200="",0,IF(AND(OR(fClient="All",$B200=fClient),OR(fCampaign="All",$C200=fCampaign),OR(fTeam="All",$P200=fTeam),OR(fChannel="All",fChannel="LinkedIn Outreach"),OR(fMonth="All",$S200=fMonth)),1,0))</f>
        <v>0</v>
      </c>
      <c r="U200" s="71">
        <f>IF($C200="",0,IF(AND(OR(fClient="All",$B200=fClient),OR(fCampaign="All",$C200=fCampaign),OR(fTeam="All",$P200=fTeam),OR(fChannel="All",fChannel="LinkedIn Outreach")),1,0))</f>
        <v>0</v>
      </c>
    </row>
    <row r="201">
      <c r="A201" s="63" t="n"/>
      <c r="B201" s="64" t="n"/>
      <c r="C201" s="64" t="n"/>
      <c r="D201" s="64" t="n"/>
      <c r="E201" s="67" t="n"/>
      <c r="F201" s="67" t="n"/>
      <c r="G201" s="73" t="str">
        <f>IF(AND(ISNUMBER($E201),$E201&gt;0,ISNUMBER($F201)),$F201/$E201,"")</f>
        <v/>
      </c>
      <c r="H201" s="67" t="n"/>
      <c r="I201" s="67" t="n"/>
      <c r="J201" s="73" t="str">
        <f>IF(AND(ISNUMBER($H201),$H201&gt;0,ISNUMBER($I201)),$I201/$H201,"")</f>
        <v/>
      </c>
      <c r="K201" s="67" t="n"/>
      <c r="L201" s="73" t="str">
        <f>IF(AND(ISNUMBER($H201),$H201&gt;0,ISNUMBER($K201)),$K201/$H201,"")</f>
        <v/>
      </c>
      <c r="M201" s="67" t="n"/>
      <c r="N201" s="67" t="n"/>
      <c r="O201" s="67" t="n"/>
      <c r="P201" s="64" t="n"/>
      <c r="Q201" s="64" t="n"/>
      <c r="R201" s="65" t="n"/>
      <c r="S201" s="71" t="str">
        <f>IF(ISNUMBER($A201),YEAR($A201)&amp;"-"&amp;TEXT(MONTH($A201),"00"),"")</f>
        <v/>
      </c>
      <c r="T201" s="71">
        <f>IF($C201="",0,IF(AND(OR(fClient="All",$B201=fClient),OR(fCampaign="All",$C201=fCampaign),OR(fTeam="All",$P201=fTeam),OR(fChannel="All",fChannel="LinkedIn Outreach"),OR(fMonth="All",$S201=fMonth)),1,0))</f>
        <v>0</v>
      </c>
      <c r="U201" s="71">
        <f>IF($C201="",0,IF(AND(OR(fClient="All",$B201=fClient),OR(fCampaign="All",$C201=fCampaign),OR(fTeam="All",$P201=fTeam),OR(fChannel="All",fChannel="LinkedIn Outreach")),1,0))</f>
        <v>0</v>
      </c>
    </row>
    <row r="202">
      <c r="A202" s="63" t="n"/>
      <c r="B202" s="64" t="n"/>
      <c r="C202" s="64" t="n"/>
      <c r="D202" s="64" t="n"/>
      <c r="E202" s="67" t="n"/>
      <c r="F202" s="67" t="n"/>
      <c r="G202" s="73" t="str">
        <f>IF(AND(ISNUMBER($E202),$E202&gt;0,ISNUMBER($F202)),$F202/$E202,"")</f>
        <v/>
      </c>
      <c r="H202" s="67" t="n"/>
      <c r="I202" s="67" t="n"/>
      <c r="J202" s="73" t="str">
        <f>IF(AND(ISNUMBER($H202),$H202&gt;0,ISNUMBER($I202)),$I202/$H202,"")</f>
        <v/>
      </c>
      <c r="K202" s="67" t="n"/>
      <c r="L202" s="73" t="str">
        <f>IF(AND(ISNUMBER($H202),$H202&gt;0,ISNUMBER($K202)),$K202/$H202,"")</f>
        <v/>
      </c>
      <c r="M202" s="67" t="n"/>
      <c r="N202" s="67" t="n"/>
      <c r="O202" s="67" t="n"/>
      <c r="P202" s="64" t="n"/>
      <c r="Q202" s="64" t="n"/>
      <c r="R202" s="65" t="n"/>
      <c r="S202" s="71" t="str">
        <f>IF(ISNUMBER($A202),YEAR($A202)&amp;"-"&amp;TEXT(MONTH($A202),"00"),"")</f>
        <v/>
      </c>
      <c r="T202" s="71">
        <f>IF($C202="",0,IF(AND(OR(fClient="All",$B202=fClient),OR(fCampaign="All",$C202=fCampaign),OR(fTeam="All",$P202=fTeam),OR(fChannel="All",fChannel="LinkedIn Outreach"),OR(fMonth="All",$S202=fMonth)),1,0))</f>
        <v>0</v>
      </c>
      <c r="U202" s="71">
        <f>IF($C202="",0,IF(AND(OR(fClient="All",$B202=fClient),OR(fCampaign="All",$C202=fCampaign),OR(fTeam="All",$P202=fTeam),OR(fChannel="All",fChannel="LinkedIn Outreach")),1,0))</f>
        <v>0</v>
      </c>
    </row>
    <row r="203">
      <c r="A203" s="63" t="n"/>
      <c r="B203" s="64" t="n"/>
      <c r="C203" s="64" t="n"/>
      <c r="D203" s="64" t="n"/>
      <c r="E203" s="67" t="n"/>
      <c r="F203" s="67" t="n"/>
      <c r="G203" s="73" t="str">
        <f>IF(AND(ISNUMBER($E203),$E203&gt;0,ISNUMBER($F203)),$F203/$E203,"")</f>
        <v/>
      </c>
      <c r="H203" s="67" t="n"/>
      <c r="I203" s="67" t="n"/>
      <c r="J203" s="73" t="str">
        <f>IF(AND(ISNUMBER($H203),$H203&gt;0,ISNUMBER($I203)),$I203/$H203,"")</f>
        <v/>
      </c>
      <c r="K203" s="67" t="n"/>
      <c r="L203" s="73" t="str">
        <f>IF(AND(ISNUMBER($H203),$H203&gt;0,ISNUMBER($K203)),$K203/$H203,"")</f>
        <v/>
      </c>
      <c r="M203" s="67" t="n"/>
      <c r="N203" s="67" t="n"/>
      <c r="O203" s="67" t="n"/>
      <c r="P203" s="64" t="n"/>
      <c r="Q203" s="64" t="n"/>
      <c r="R203" s="65" t="n"/>
      <c r="S203" s="71" t="str">
        <f>IF(ISNUMBER($A203),YEAR($A203)&amp;"-"&amp;TEXT(MONTH($A203),"00"),"")</f>
        <v/>
      </c>
      <c r="T203" s="71">
        <f>IF($C203="",0,IF(AND(OR(fClient="All",$B203=fClient),OR(fCampaign="All",$C203=fCampaign),OR(fTeam="All",$P203=fTeam),OR(fChannel="All",fChannel="LinkedIn Outreach"),OR(fMonth="All",$S203=fMonth)),1,0))</f>
        <v>0</v>
      </c>
      <c r="U203" s="71">
        <f>IF($C203="",0,IF(AND(OR(fClient="All",$B203=fClient),OR(fCampaign="All",$C203=fCampaign),OR(fTeam="All",$P203=fTeam),OR(fChannel="All",fChannel="LinkedIn Outreach")),1,0))</f>
        <v>0</v>
      </c>
    </row>
    <row r="204">
      <c r="A204" s="63" t="n"/>
      <c r="B204" s="64" t="n"/>
      <c r="C204" s="64" t="n"/>
      <c r="D204" s="64" t="n"/>
      <c r="E204" s="67" t="n"/>
      <c r="F204" s="67" t="n"/>
      <c r="G204" s="73" t="str">
        <f>IF(AND(ISNUMBER($E204),$E204&gt;0,ISNUMBER($F204)),$F204/$E204,"")</f>
        <v/>
      </c>
      <c r="H204" s="67" t="n"/>
      <c r="I204" s="67" t="n"/>
      <c r="J204" s="73" t="str">
        <f>IF(AND(ISNUMBER($H204),$H204&gt;0,ISNUMBER($I204)),$I204/$H204,"")</f>
        <v/>
      </c>
      <c r="K204" s="67" t="n"/>
      <c r="L204" s="73" t="str">
        <f>IF(AND(ISNUMBER($H204),$H204&gt;0,ISNUMBER($K204)),$K204/$H204,"")</f>
        <v/>
      </c>
      <c r="M204" s="67" t="n"/>
      <c r="N204" s="67" t="n"/>
      <c r="O204" s="67" t="n"/>
      <c r="P204" s="64" t="n"/>
      <c r="Q204" s="64" t="n"/>
      <c r="R204" s="65" t="n"/>
      <c r="S204" s="71" t="str">
        <f>IF(ISNUMBER($A204),YEAR($A204)&amp;"-"&amp;TEXT(MONTH($A204),"00"),"")</f>
        <v/>
      </c>
      <c r="T204" s="71">
        <f>IF($C204="",0,IF(AND(OR(fClient="All",$B204=fClient),OR(fCampaign="All",$C204=fCampaign),OR(fTeam="All",$P204=fTeam),OR(fChannel="All",fChannel="LinkedIn Outreach"),OR(fMonth="All",$S204=fMonth)),1,0))</f>
        <v>0</v>
      </c>
      <c r="U204" s="71">
        <f>IF($C204="",0,IF(AND(OR(fClient="All",$B204=fClient),OR(fCampaign="All",$C204=fCampaign),OR(fTeam="All",$P204=fTeam),OR(fChannel="All",fChannel="LinkedIn Outreach")),1,0))</f>
        <v>0</v>
      </c>
    </row>
  </sheetData>
  <mergeCells count="1">
    <mergeCell ref="A1:N1"/>
  </mergeCells>
  <dataValidations count="13">
    <dataValidation sqref="A5:A204" showDropDown="0" showInputMessage="0" showErrorMessage="1" allowBlank="1" errorTitle="Invalid date" error="Enter a valid date, e.g. 05-Oct-2026." type="date" operator="greaterThan">
      <formula1>36526</formula1>
    </dataValidation>
    <dataValidation sqref="B5:B2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C5:C2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=lst_Campaign</formula1>
    </dataValidation>
    <dataValidation sqref="E5:E204" showDropDown="0" showInputMessage="0" showErrorMessage="1" allowBlank="1" errorTitle="Invalid number" error="Enter a number (0 or more)." type="decimal" operator="greaterThanOrEqual">
      <formula1>0</formula1>
    </dataValidation>
    <dataValidation sqref="F5:F204" showDropDown="0" showInputMessage="0" showErrorMessage="1" allowBlank="1" errorTitle="Invalid number" error="Enter a number (0 or more)." type="decimal" operator="greaterThanOrEqual">
      <formula1>0</formula1>
    </dataValidation>
    <dataValidation sqref="H5:H204" showDropDown="0" showInputMessage="0" showErrorMessage="1" allowBlank="1" errorTitle="Invalid number" error="Enter a number (0 or more)." type="decimal" operator="greaterThanOrEqual">
      <formula1>0</formula1>
    </dataValidation>
    <dataValidation sqref="I5:I204" showDropDown="0" showInputMessage="0" showErrorMessage="1" allowBlank="1" errorTitle="Invalid number" error="Enter a number (0 or more)." type="decimal" operator="greaterThanOrEqual">
      <formula1>0</formula1>
    </dataValidation>
    <dataValidation sqref="K5:K204" showDropDown="0" showInputMessage="0" showErrorMessage="1" allowBlank="1" errorTitle="Invalid number" error="Enter a number (0 or more)." type="decimal" operator="greaterThanOrEqual">
      <formula1>0</formula1>
    </dataValidation>
    <dataValidation sqref="M5:M204" showDropDown="0" showInputMessage="0" showErrorMessage="1" allowBlank="1" errorTitle="Invalid number" error="Enter a number (0 or more)." type="decimal" operator="greaterThanOrEqual">
      <formula1>0</formula1>
    </dataValidation>
    <dataValidation sqref="N5:N204" showDropDown="0" showInputMessage="0" showErrorMessage="1" allowBlank="1" errorTitle="Invalid number" error="Enter a number (0 or more)." type="decimal" operator="greaterThanOrEqual">
      <formula1>0</formula1>
    </dataValidation>
    <dataValidation sqref="O5:O204" showDropDown="0" showInputMessage="0" showErrorMessage="1" allowBlank="1" errorTitle="Invalid number" error="Enter a number (0 or more)." type="decimal" operator="greaterThanOrEqual">
      <formula1>0</formula1>
    </dataValidation>
    <dataValidation sqref="P5:P2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Q5:Q204" showDropDown="0" showInputMessage="0" showErrorMessage="1" allowBlank="1" errorTitle="Pick from list" error="Please choose a value from the dropdown (lists are maintained in MASTER DATA / CLIENT MASTER / CAMPAIGN MASTER)." type="list" errorStyle="stop">
      <formula1>=lst_AdStatus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X304"/>
  <sheetViews>
    <sheetView showGridLines="0" tabSelected="0"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30" customWidth="1" min="4" max="4"/>
    <col width="16" customWidth="1" min="5" max="5"/>
    <col width="22" customWidth="1" min="6" max="6"/>
    <col width="12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11" customWidth="1" min="13" max="13"/>
    <col width="24" customWidth="1" min="14" max="14"/>
    <col width="20" customWidth="1" min="15" max="15"/>
    <col width="9" customWidth="1" min="16" max="16"/>
    <col width="24" customWidth="1" min="17" max="17"/>
    <col width="24" customWidth="1" min="18" max="18"/>
    <col width="26" customWidth="1" min="19" max="19"/>
    <col hidden="1" outlineLevel="1" width="6" customWidth="1" min="20" max="24"/>
  </cols>
  <sheetData>
    <row r="1" ht="30" customHeight="1">
      <c r="A1" s="57" t="inlineStr">
        <is>
          <t>WEBSITE / CONTENT / SEO - non-paid digital activities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58" t="inlineStr">
        <is>
          <t>BLUE cells = team enters data   |   GREY cells = automatic formulas (do not edit)   |   One row per asset/page/activity. Traffic and Leads here count toward dashboard totals.</t>
        </is>
      </c>
    </row>
    <row r="3">
      <c r="A3" s="59" t="inlineStr">
        <is>
          <t>Example: 05-Oct-26 | Vestrics | Blog | 'Top 5 HR tech trends' | Riya Diwan | Organic traffic | In Progress | 01-Oct-26 | 08-Oct-26 ...</t>
        </is>
      </c>
    </row>
    <row r="4" ht="34" customHeight="1">
      <c r="A4" s="60" t="inlineStr">
        <is>
          <t>Date</t>
        </is>
      </c>
      <c r="B4" s="60" t="inlineStr">
        <is>
          <t>Client</t>
        </is>
      </c>
      <c r="C4" s="60" t="inlineStr">
        <is>
          <t>Activity Type</t>
        </is>
      </c>
      <c r="D4" s="60" t="inlineStr">
        <is>
          <t>Asset / Page</t>
        </is>
      </c>
      <c r="E4" s="60" t="inlineStr">
        <is>
          <t>Owner</t>
        </is>
      </c>
      <c r="F4" s="60" t="inlineStr">
        <is>
          <t>Objective</t>
        </is>
      </c>
      <c r="G4" s="60" t="inlineStr">
        <is>
          <t>Status</t>
        </is>
      </c>
      <c r="H4" s="60" t="inlineStr">
        <is>
          <t>Planned Date</t>
        </is>
      </c>
      <c r="I4" s="60" t="inlineStr">
        <is>
          <t>Due Date</t>
        </is>
      </c>
      <c r="J4" s="60" t="inlineStr">
        <is>
          <t>Published Date</t>
        </is>
      </c>
      <c r="K4" s="60" t="inlineStr">
        <is>
          <t>Traffic</t>
        </is>
      </c>
      <c r="L4" s="60" t="inlineStr">
        <is>
          <t>Leads</t>
        </is>
      </c>
      <c r="M4" s="60" t="inlineStr">
        <is>
          <t>Conversions</t>
        </is>
      </c>
      <c r="N4" s="60" t="inlineStr">
        <is>
          <t>Result</t>
        </is>
      </c>
      <c r="O4" s="60" t="inlineStr">
        <is>
          <t>SEO Keyword</t>
        </is>
      </c>
      <c r="P4" s="60" t="inlineStr">
        <is>
          <t>Ranking</t>
        </is>
      </c>
      <c r="Q4" s="60" t="inlineStr">
        <is>
          <t>Issue</t>
        </is>
      </c>
      <c r="R4" s="60" t="inlineStr">
        <is>
          <t>Next Action</t>
        </is>
      </c>
      <c r="S4" s="60" t="inlineStr">
        <is>
          <t>Remarks</t>
        </is>
      </c>
      <c r="T4" s="62" t="inlineStr">
        <is>
          <t>Open</t>
        </is>
      </c>
      <c r="U4" s="61" t="inlineStr">
        <is>
          <t>Days Overdue</t>
        </is>
      </c>
      <c r="V4" s="62" t="inlineStr">
        <is>
          <t>Month Key</t>
        </is>
      </c>
      <c r="W4" s="62" t="inlineStr">
        <is>
          <t>In Filter</t>
        </is>
      </c>
      <c r="X4" s="62" t="inlineStr">
        <is>
          <t>In List</t>
        </is>
      </c>
    </row>
    <row r="5">
      <c r="A5" s="63" t="n"/>
      <c r="B5" s="64" t="n"/>
      <c r="C5" s="64" t="n"/>
      <c r="D5" s="65" t="n"/>
      <c r="E5" s="64" t="n"/>
      <c r="F5" s="64" t="n"/>
      <c r="G5" s="64" t="n"/>
      <c r="H5" s="63" t="n"/>
      <c r="I5" s="63" t="n"/>
      <c r="J5" s="63" t="n"/>
      <c r="K5" s="67" t="n"/>
      <c r="L5" s="67" t="n"/>
      <c r="M5" s="67" t="n"/>
      <c r="N5" s="65" t="n"/>
      <c r="O5" s="64" t="n"/>
      <c r="P5" s="67" t="n"/>
      <c r="Q5" s="65" t="n"/>
      <c r="R5" s="65" t="n"/>
      <c r="S5" s="65" t="n"/>
      <c r="T5" s="71">
        <f>IF($D5="",0,IF(OR($G5="Published",$G5="Completed",$G5="Cancelled"),0,1))</f>
        <v>0</v>
      </c>
      <c r="U5" s="69" t="str">
        <f>IF($D5="","",IF(AND($T5=1,ISNUMBER($I5)),IF($I5&lt;ReportDate,ReportDate-$I5,0),0))</f>
        <v/>
      </c>
      <c r="V5" s="71" t="str">
        <f>IF($D5="","",IF(ISNUMBER($A5),IF(ISNUMBER($A5),YEAR($A5)&amp;"-"&amp;TEXT(MONTH($A5),"00"),""),IF(ISNUMBER($I5),IF(ISNUMBER($I5),YEAR($I5)&amp;"-"&amp;TEXT(MONTH($I5),"00"),""),IF(ISNUMBER($H5),IF(ISNUMBER($H5),YEAR($H5)&amp;"-"&amp;TEXT(MONTH($H5),"00"),""),""))))</f>
        <v/>
      </c>
      <c r="W5" s="71">
        <f>IF($D5="",0,IF(AND(OR(fClient="All",$B5=fClient),fCampaign="All",OR(fTeam="All",$E5=fTeam),OR(fChannel="All",$C5=fChannel,AND(fChannel="Content",OR($C5="Blog",$C5="Case Study",$C5="Whitepaper")),AND(fChannel="Webinar / Events",$C5="Webinar")),OR(fMonth="All",$V5=fMonth)),1,0))</f>
        <v>0</v>
      </c>
      <c r="X5" s="71">
        <f>IF($D5="",0,IF(AND(OR(fClient="All",$B5=fClient),fCampaign="All",OR(fTeam="All",$E5=fTeam),OR(fChannel="All",$C5=fChannel,AND(fChannel="Content",OR($C5="Blog",$C5="Case Study",$C5="Whitepaper")),AND(fChannel="Webinar / Events",$C5="Webinar"))),1,0))</f>
        <v>0</v>
      </c>
    </row>
    <row r="6">
      <c r="A6" s="63" t="n"/>
      <c r="B6" s="64" t="n"/>
      <c r="C6" s="64" t="n"/>
      <c r="D6" s="65" t="n"/>
      <c r="E6" s="64" t="n"/>
      <c r="F6" s="64" t="n"/>
      <c r="G6" s="64" t="n"/>
      <c r="H6" s="63" t="n"/>
      <c r="I6" s="63" t="n"/>
      <c r="J6" s="63" t="n"/>
      <c r="K6" s="67" t="n"/>
      <c r="L6" s="67" t="n"/>
      <c r="M6" s="67" t="n"/>
      <c r="N6" s="65" t="n"/>
      <c r="O6" s="64" t="n"/>
      <c r="P6" s="67" t="n"/>
      <c r="Q6" s="65" t="n"/>
      <c r="R6" s="65" t="n"/>
      <c r="S6" s="65" t="n"/>
      <c r="T6" s="71">
        <f>IF($D6="",0,IF(OR($G6="Published",$G6="Completed",$G6="Cancelled"),0,1))</f>
        <v>0</v>
      </c>
      <c r="U6" s="69" t="str">
        <f>IF($D6="","",IF(AND($T6=1,ISNUMBER($I6)),IF($I6&lt;ReportDate,ReportDate-$I6,0),0))</f>
        <v/>
      </c>
      <c r="V6" s="71" t="str">
        <f>IF($D6="","",IF(ISNUMBER($A6),IF(ISNUMBER($A6),YEAR($A6)&amp;"-"&amp;TEXT(MONTH($A6),"00"),""),IF(ISNUMBER($I6),IF(ISNUMBER($I6),YEAR($I6)&amp;"-"&amp;TEXT(MONTH($I6),"00"),""),IF(ISNUMBER($H6),IF(ISNUMBER($H6),YEAR($H6)&amp;"-"&amp;TEXT(MONTH($H6),"00"),""),""))))</f>
        <v/>
      </c>
      <c r="W6" s="71">
        <f>IF($D6="",0,IF(AND(OR(fClient="All",$B6=fClient),fCampaign="All",OR(fTeam="All",$E6=fTeam),OR(fChannel="All",$C6=fChannel,AND(fChannel="Content",OR($C6="Blog",$C6="Case Study",$C6="Whitepaper")),AND(fChannel="Webinar / Events",$C6="Webinar")),OR(fMonth="All",$V6=fMonth)),1,0))</f>
        <v>0</v>
      </c>
      <c r="X6" s="71">
        <f>IF($D6="",0,IF(AND(OR(fClient="All",$B6=fClient),fCampaign="All",OR(fTeam="All",$E6=fTeam),OR(fChannel="All",$C6=fChannel,AND(fChannel="Content",OR($C6="Blog",$C6="Case Study",$C6="Whitepaper")),AND(fChannel="Webinar / Events",$C6="Webinar"))),1,0))</f>
        <v>0</v>
      </c>
    </row>
    <row r="7">
      <c r="A7" s="63" t="n"/>
      <c r="B7" s="64" t="n"/>
      <c r="C7" s="64" t="n"/>
      <c r="D7" s="65" t="n"/>
      <c r="E7" s="64" t="n"/>
      <c r="F7" s="64" t="n"/>
      <c r="G7" s="64" t="n"/>
      <c r="H7" s="63" t="n"/>
      <c r="I7" s="63" t="n"/>
      <c r="J7" s="63" t="n"/>
      <c r="K7" s="67" t="n"/>
      <c r="L7" s="67" t="n"/>
      <c r="M7" s="67" t="n"/>
      <c r="N7" s="65" t="n"/>
      <c r="O7" s="64" t="n"/>
      <c r="P7" s="67" t="n"/>
      <c r="Q7" s="65" t="n"/>
      <c r="R7" s="65" t="n"/>
      <c r="S7" s="65" t="n"/>
      <c r="T7" s="71">
        <f>IF($D7="",0,IF(OR($G7="Published",$G7="Completed",$G7="Cancelled"),0,1))</f>
        <v>0</v>
      </c>
      <c r="U7" s="69" t="str">
        <f>IF($D7="","",IF(AND($T7=1,ISNUMBER($I7)),IF($I7&lt;ReportDate,ReportDate-$I7,0),0))</f>
        <v/>
      </c>
      <c r="V7" s="71" t="str">
        <f>IF($D7="","",IF(ISNUMBER($A7),IF(ISNUMBER($A7),YEAR($A7)&amp;"-"&amp;TEXT(MONTH($A7),"00"),""),IF(ISNUMBER($I7),IF(ISNUMBER($I7),YEAR($I7)&amp;"-"&amp;TEXT(MONTH($I7),"00"),""),IF(ISNUMBER($H7),IF(ISNUMBER($H7),YEAR($H7)&amp;"-"&amp;TEXT(MONTH($H7),"00"),""),""))))</f>
        <v/>
      </c>
      <c r="W7" s="71">
        <f>IF($D7="",0,IF(AND(OR(fClient="All",$B7=fClient),fCampaign="All",OR(fTeam="All",$E7=fTeam),OR(fChannel="All",$C7=fChannel,AND(fChannel="Content",OR($C7="Blog",$C7="Case Study",$C7="Whitepaper")),AND(fChannel="Webinar / Events",$C7="Webinar")),OR(fMonth="All",$V7=fMonth)),1,0))</f>
        <v>0</v>
      </c>
      <c r="X7" s="71">
        <f>IF($D7="",0,IF(AND(OR(fClient="All",$B7=fClient),fCampaign="All",OR(fTeam="All",$E7=fTeam),OR(fChannel="All",$C7=fChannel,AND(fChannel="Content",OR($C7="Blog",$C7="Case Study",$C7="Whitepaper")),AND(fChannel="Webinar / Events",$C7="Webinar"))),1,0))</f>
        <v>0</v>
      </c>
    </row>
    <row r="8">
      <c r="A8" s="63" t="n"/>
      <c r="B8" s="64" t="n"/>
      <c r="C8" s="64" t="n"/>
      <c r="D8" s="65" t="n"/>
      <c r="E8" s="64" t="n"/>
      <c r="F8" s="64" t="n"/>
      <c r="G8" s="64" t="n"/>
      <c r="H8" s="63" t="n"/>
      <c r="I8" s="63" t="n"/>
      <c r="J8" s="63" t="n"/>
      <c r="K8" s="67" t="n"/>
      <c r="L8" s="67" t="n"/>
      <c r="M8" s="67" t="n"/>
      <c r="N8" s="65" t="n"/>
      <c r="O8" s="64" t="n"/>
      <c r="P8" s="67" t="n"/>
      <c r="Q8" s="65" t="n"/>
      <c r="R8" s="65" t="n"/>
      <c r="S8" s="65" t="n"/>
      <c r="T8" s="71">
        <f>IF($D8="",0,IF(OR($G8="Published",$G8="Completed",$G8="Cancelled"),0,1))</f>
        <v>0</v>
      </c>
      <c r="U8" s="69" t="str">
        <f>IF($D8="","",IF(AND($T8=1,ISNUMBER($I8)),IF($I8&lt;ReportDate,ReportDate-$I8,0),0))</f>
        <v/>
      </c>
      <c r="V8" s="71" t="str">
        <f>IF($D8="","",IF(ISNUMBER($A8),IF(ISNUMBER($A8),YEAR($A8)&amp;"-"&amp;TEXT(MONTH($A8),"00"),""),IF(ISNUMBER($I8),IF(ISNUMBER($I8),YEAR($I8)&amp;"-"&amp;TEXT(MONTH($I8),"00"),""),IF(ISNUMBER($H8),IF(ISNUMBER($H8),YEAR($H8)&amp;"-"&amp;TEXT(MONTH($H8),"00"),""),""))))</f>
        <v/>
      </c>
      <c r="W8" s="71">
        <f>IF($D8="",0,IF(AND(OR(fClient="All",$B8=fClient),fCampaign="All",OR(fTeam="All",$E8=fTeam),OR(fChannel="All",$C8=fChannel,AND(fChannel="Content",OR($C8="Blog",$C8="Case Study",$C8="Whitepaper")),AND(fChannel="Webinar / Events",$C8="Webinar")),OR(fMonth="All",$V8=fMonth)),1,0))</f>
        <v>0</v>
      </c>
      <c r="X8" s="71">
        <f>IF($D8="",0,IF(AND(OR(fClient="All",$B8=fClient),fCampaign="All",OR(fTeam="All",$E8=fTeam),OR(fChannel="All",$C8=fChannel,AND(fChannel="Content",OR($C8="Blog",$C8="Case Study",$C8="Whitepaper")),AND(fChannel="Webinar / Events",$C8="Webinar"))),1,0))</f>
        <v>0</v>
      </c>
    </row>
    <row r="9">
      <c r="A9" s="63" t="n"/>
      <c r="B9" s="64" t="n"/>
      <c r="C9" s="64" t="n"/>
      <c r="D9" s="65" t="n"/>
      <c r="E9" s="64" t="n"/>
      <c r="F9" s="64" t="n"/>
      <c r="G9" s="64" t="n"/>
      <c r="H9" s="63" t="n"/>
      <c r="I9" s="63" t="n"/>
      <c r="J9" s="63" t="n"/>
      <c r="K9" s="67" t="n"/>
      <c r="L9" s="67" t="n"/>
      <c r="M9" s="67" t="n"/>
      <c r="N9" s="65" t="n"/>
      <c r="O9" s="64" t="n"/>
      <c r="P9" s="67" t="n"/>
      <c r="Q9" s="65" t="n"/>
      <c r="R9" s="65" t="n"/>
      <c r="S9" s="65" t="n"/>
      <c r="T9" s="71">
        <f>IF($D9="",0,IF(OR($G9="Published",$G9="Completed",$G9="Cancelled"),0,1))</f>
        <v>0</v>
      </c>
      <c r="U9" s="69" t="str">
        <f>IF($D9="","",IF(AND($T9=1,ISNUMBER($I9)),IF($I9&lt;ReportDate,ReportDate-$I9,0),0))</f>
        <v/>
      </c>
      <c r="V9" s="71" t="str">
        <f>IF($D9="","",IF(ISNUMBER($A9),IF(ISNUMBER($A9),YEAR($A9)&amp;"-"&amp;TEXT(MONTH($A9),"00"),""),IF(ISNUMBER($I9),IF(ISNUMBER($I9),YEAR($I9)&amp;"-"&amp;TEXT(MONTH($I9),"00"),""),IF(ISNUMBER($H9),IF(ISNUMBER($H9),YEAR($H9)&amp;"-"&amp;TEXT(MONTH($H9),"00"),""),""))))</f>
        <v/>
      </c>
      <c r="W9" s="71">
        <f>IF($D9="",0,IF(AND(OR(fClient="All",$B9=fClient),fCampaign="All",OR(fTeam="All",$E9=fTeam),OR(fChannel="All",$C9=fChannel,AND(fChannel="Content",OR($C9="Blog",$C9="Case Study",$C9="Whitepaper")),AND(fChannel="Webinar / Events",$C9="Webinar")),OR(fMonth="All",$V9=fMonth)),1,0))</f>
        <v>0</v>
      </c>
      <c r="X9" s="71">
        <f>IF($D9="",0,IF(AND(OR(fClient="All",$B9=fClient),fCampaign="All",OR(fTeam="All",$E9=fTeam),OR(fChannel="All",$C9=fChannel,AND(fChannel="Content",OR($C9="Blog",$C9="Case Study",$C9="Whitepaper")),AND(fChannel="Webinar / Events",$C9="Webinar"))),1,0))</f>
        <v>0</v>
      </c>
    </row>
    <row r="10">
      <c r="A10" s="63" t="n"/>
      <c r="B10" s="64" t="n"/>
      <c r="C10" s="64" t="n"/>
      <c r="D10" s="65" t="n"/>
      <c r="E10" s="64" t="n"/>
      <c r="F10" s="64" t="n"/>
      <c r="G10" s="64" t="n"/>
      <c r="H10" s="63" t="n"/>
      <c r="I10" s="63" t="n"/>
      <c r="J10" s="63" t="n"/>
      <c r="K10" s="67" t="n"/>
      <c r="L10" s="67" t="n"/>
      <c r="M10" s="67" t="n"/>
      <c r="N10" s="65" t="n"/>
      <c r="O10" s="64" t="n"/>
      <c r="P10" s="67" t="n"/>
      <c r="Q10" s="65" t="n"/>
      <c r="R10" s="65" t="n"/>
      <c r="S10" s="65" t="n"/>
      <c r="T10" s="71">
        <f>IF($D10="",0,IF(OR($G10="Published",$G10="Completed",$G10="Cancelled"),0,1))</f>
        <v>0</v>
      </c>
      <c r="U10" s="69" t="str">
        <f>IF($D10="","",IF(AND($T10=1,ISNUMBER($I10)),IF($I10&lt;ReportDate,ReportDate-$I10,0),0))</f>
        <v/>
      </c>
      <c r="V10" s="71" t="str">
        <f>IF($D10="","",IF(ISNUMBER($A10),IF(ISNUMBER($A10),YEAR($A10)&amp;"-"&amp;TEXT(MONTH($A10),"00"),""),IF(ISNUMBER($I10),IF(ISNUMBER($I10),YEAR($I10)&amp;"-"&amp;TEXT(MONTH($I10),"00"),""),IF(ISNUMBER($H10),IF(ISNUMBER($H10),YEAR($H10)&amp;"-"&amp;TEXT(MONTH($H10),"00"),""),""))))</f>
        <v/>
      </c>
      <c r="W10" s="71">
        <f>IF($D10="",0,IF(AND(OR(fClient="All",$B10=fClient),fCampaign="All",OR(fTeam="All",$E10=fTeam),OR(fChannel="All",$C10=fChannel,AND(fChannel="Content",OR($C10="Blog",$C10="Case Study",$C10="Whitepaper")),AND(fChannel="Webinar / Events",$C10="Webinar")),OR(fMonth="All",$V10=fMonth)),1,0))</f>
        <v>0</v>
      </c>
      <c r="X10" s="71">
        <f>IF($D10="",0,IF(AND(OR(fClient="All",$B10=fClient),fCampaign="All",OR(fTeam="All",$E10=fTeam),OR(fChannel="All",$C10=fChannel,AND(fChannel="Content",OR($C10="Blog",$C10="Case Study",$C10="Whitepaper")),AND(fChannel="Webinar / Events",$C10="Webinar"))),1,0))</f>
        <v>0</v>
      </c>
    </row>
    <row r="11">
      <c r="A11" s="63" t="n"/>
      <c r="B11" s="64" t="n"/>
      <c r="C11" s="64" t="n"/>
      <c r="D11" s="65" t="n"/>
      <c r="E11" s="64" t="n"/>
      <c r="F11" s="64" t="n"/>
      <c r="G11" s="64" t="n"/>
      <c r="H11" s="63" t="n"/>
      <c r="I11" s="63" t="n"/>
      <c r="J11" s="63" t="n"/>
      <c r="K11" s="67" t="n"/>
      <c r="L11" s="67" t="n"/>
      <c r="M11" s="67" t="n"/>
      <c r="N11" s="65" t="n"/>
      <c r="O11" s="64" t="n"/>
      <c r="P11" s="67" t="n"/>
      <c r="Q11" s="65" t="n"/>
      <c r="R11" s="65" t="n"/>
      <c r="S11" s="65" t="n"/>
      <c r="T11" s="71">
        <f>IF($D11="",0,IF(OR($G11="Published",$G11="Completed",$G11="Cancelled"),0,1))</f>
        <v>0</v>
      </c>
      <c r="U11" s="69" t="str">
        <f>IF($D11="","",IF(AND($T11=1,ISNUMBER($I11)),IF($I11&lt;ReportDate,ReportDate-$I11,0),0))</f>
        <v/>
      </c>
      <c r="V11" s="71" t="str">
        <f>IF($D11="","",IF(ISNUMBER($A11),IF(ISNUMBER($A11),YEAR($A11)&amp;"-"&amp;TEXT(MONTH($A11),"00"),""),IF(ISNUMBER($I11),IF(ISNUMBER($I11),YEAR($I11)&amp;"-"&amp;TEXT(MONTH($I11),"00"),""),IF(ISNUMBER($H11),IF(ISNUMBER($H11),YEAR($H11)&amp;"-"&amp;TEXT(MONTH($H11),"00"),""),""))))</f>
        <v/>
      </c>
      <c r="W11" s="71">
        <f>IF($D11="",0,IF(AND(OR(fClient="All",$B11=fClient),fCampaign="All",OR(fTeam="All",$E11=fTeam),OR(fChannel="All",$C11=fChannel,AND(fChannel="Content",OR($C11="Blog",$C11="Case Study",$C11="Whitepaper")),AND(fChannel="Webinar / Events",$C11="Webinar")),OR(fMonth="All",$V11=fMonth)),1,0))</f>
        <v>0</v>
      </c>
      <c r="X11" s="71">
        <f>IF($D11="",0,IF(AND(OR(fClient="All",$B11=fClient),fCampaign="All",OR(fTeam="All",$E11=fTeam),OR(fChannel="All",$C11=fChannel,AND(fChannel="Content",OR($C11="Blog",$C11="Case Study",$C11="Whitepaper")),AND(fChannel="Webinar / Events",$C11="Webinar"))),1,0))</f>
        <v>0</v>
      </c>
    </row>
    <row r="12">
      <c r="A12" s="63" t="n"/>
      <c r="B12" s="64" t="n"/>
      <c r="C12" s="64" t="n"/>
      <c r="D12" s="65" t="n"/>
      <c r="E12" s="64" t="n"/>
      <c r="F12" s="64" t="n"/>
      <c r="G12" s="64" t="n"/>
      <c r="H12" s="63" t="n"/>
      <c r="I12" s="63" t="n"/>
      <c r="J12" s="63" t="n"/>
      <c r="K12" s="67" t="n"/>
      <c r="L12" s="67" t="n"/>
      <c r="M12" s="67" t="n"/>
      <c r="N12" s="65" t="n"/>
      <c r="O12" s="64" t="n"/>
      <c r="P12" s="67" t="n"/>
      <c r="Q12" s="65" t="n"/>
      <c r="R12" s="65" t="n"/>
      <c r="S12" s="65" t="n"/>
      <c r="T12" s="71">
        <f>IF($D12="",0,IF(OR($G12="Published",$G12="Completed",$G12="Cancelled"),0,1))</f>
        <v>0</v>
      </c>
      <c r="U12" s="69" t="str">
        <f>IF($D12="","",IF(AND($T12=1,ISNUMBER($I12)),IF($I12&lt;ReportDate,ReportDate-$I12,0),0))</f>
        <v/>
      </c>
      <c r="V12" s="71" t="str">
        <f>IF($D12="","",IF(ISNUMBER($A12),IF(ISNUMBER($A12),YEAR($A12)&amp;"-"&amp;TEXT(MONTH($A12),"00"),""),IF(ISNUMBER($I12),IF(ISNUMBER($I12),YEAR($I12)&amp;"-"&amp;TEXT(MONTH($I12),"00"),""),IF(ISNUMBER($H12),IF(ISNUMBER($H12),YEAR($H12)&amp;"-"&amp;TEXT(MONTH($H12),"00"),""),""))))</f>
        <v/>
      </c>
      <c r="W12" s="71">
        <f>IF($D12="",0,IF(AND(OR(fClient="All",$B12=fClient),fCampaign="All",OR(fTeam="All",$E12=fTeam),OR(fChannel="All",$C12=fChannel,AND(fChannel="Content",OR($C12="Blog",$C12="Case Study",$C12="Whitepaper")),AND(fChannel="Webinar / Events",$C12="Webinar")),OR(fMonth="All",$V12=fMonth)),1,0))</f>
        <v>0</v>
      </c>
      <c r="X12" s="71">
        <f>IF($D12="",0,IF(AND(OR(fClient="All",$B12=fClient),fCampaign="All",OR(fTeam="All",$E12=fTeam),OR(fChannel="All",$C12=fChannel,AND(fChannel="Content",OR($C12="Blog",$C12="Case Study",$C12="Whitepaper")),AND(fChannel="Webinar / Events",$C12="Webinar"))),1,0))</f>
        <v>0</v>
      </c>
    </row>
    <row r="13">
      <c r="A13" s="63" t="n"/>
      <c r="B13" s="64" t="n"/>
      <c r="C13" s="64" t="n"/>
      <c r="D13" s="65" t="n"/>
      <c r="E13" s="64" t="n"/>
      <c r="F13" s="64" t="n"/>
      <c r="G13" s="64" t="n"/>
      <c r="H13" s="63" t="n"/>
      <c r="I13" s="63" t="n"/>
      <c r="J13" s="63" t="n"/>
      <c r="K13" s="67" t="n"/>
      <c r="L13" s="67" t="n"/>
      <c r="M13" s="67" t="n"/>
      <c r="N13" s="65" t="n"/>
      <c r="O13" s="64" t="n"/>
      <c r="P13" s="67" t="n"/>
      <c r="Q13" s="65" t="n"/>
      <c r="R13" s="65" t="n"/>
      <c r="S13" s="65" t="n"/>
      <c r="T13" s="71">
        <f>IF($D13="",0,IF(OR($G13="Published",$G13="Completed",$G13="Cancelled"),0,1))</f>
        <v>0</v>
      </c>
      <c r="U13" s="69" t="str">
        <f>IF($D13="","",IF(AND($T13=1,ISNUMBER($I13)),IF($I13&lt;ReportDate,ReportDate-$I13,0),0))</f>
        <v/>
      </c>
      <c r="V13" s="71" t="str">
        <f>IF($D13="","",IF(ISNUMBER($A13),IF(ISNUMBER($A13),YEAR($A13)&amp;"-"&amp;TEXT(MONTH($A13),"00"),""),IF(ISNUMBER($I13),IF(ISNUMBER($I13),YEAR($I13)&amp;"-"&amp;TEXT(MONTH($I13),"00"),""),IF(ISNUMBER($H13),IF(ISNUMBER($H13),YEAR($H13)&amp;"-"&amp;TEXT(MONTH($H13),"00"),""),""))))</f>
        <v/>
      </c>
      <c r="W13" s="71">
        <f>IF($D13="",0,IF(AND(OR(fClient="All",$B13=fClient),fCampaign="All",OR(fTeam="All",$E13=fTeam),OR(fChannel="All",$C13=fChannel,AND(fChannel="Content",OR($C13="Blog",$C13="Case Study",$C13="Whitepaper")),AND(fChannel="Webinar / Events",$C13="Webinar")),OR(fMonth="All",$V13=fMonth)),1,0))</f>
        <v>0</v>
      </c>
      <c r="X13" s="71">
        <f>IF($D13="",0,IF(AND(OR(fClient="All",$B13=fClient),fCampaign="All",OR(fTeam="All",$E13=fTeam),OR(fChannel="All",$C13=fChannel,AND(fChannel="Content",OR($C13="Blog",$C13="Case Study",$C13="Whitepaper")),AND(fChannel="Webinar / Events",$C13="Webinar"))),1,0))</f>
        <v>0</v>
      </c>
    </row>
    <row r="14">
      <c r="A14" s="63" t="n"/>
      <c r="B14" s="64" t="n"/>
      <c r="C14" s="64" t="n"/>
      <c r="D14" s="65" t="n"/>
      <c r="E14" s="64" t="n"/>
      <c r="F14" s="64" t="n"/>
      <c r="G14" s="64" t="n"/>
      <c r="H14" s="63" t="n"/>
      <c r="I14" s="63" t="n"/>
      <c r="J14" s="63" t="n"/>
      <c r="K14" s="67" t="n"/>
      <c r="L14" s="67" t="n"/>
      <c r="M14" s="67" t="n"/>
      <c r="N14" s="65" t="n"/>
      <c r="O14" s="64" t="n"/>
      <c r="P14" s="67" t="n"/>
      <c r="Q14" s="65" t="n"/>
      <c r="R14" s="65" t="n"/>
      <c r="S14" s="65" t="n"/>
      <c r="T14" s="71">
        <f>IF($D14="",0,IF(OR($G14="Published",$G14="Completed",$G14="Cancelled"),0,1))</f>
        <v>0</v>
      </c>
      <c r="U14" s="69" t="str">
        <f>IF($D14="","",IF(AND($T14=1,ISNUMBER($I14)),IF($I14&lt;ReportDate,ReportDate-$I14,0),0))</f>
        <v/>
      </c>
      <c r="V14" s="71" t="str">
        <f>IF($D14="","",IF(ISNUMBER($A14),IF(ISNUMBER($A14),YEAR($A14)&amp;"-"&amp;TEXT(MONTH($A14),"00"),""),IF(ISNUMBER($I14),IF(ISNUMBER($I14),YEAR($I14)&amp;"-"&amp;TEXT(MONTH($I14),"00"),""),IF(ISNUMBER($H14),IF(ISNUMBER($H14),YEAR($H14)&amp;"-"&amp;TEXT(MONTH($H14),"00"),""),""))))</f>
        <v/>
      </c>
      <c r="W14" s="71">
        <f>IF($D14="",0,IF(AND(OR(fClient="All",$B14=fClient),fCampaign="All",OR(fTeam="All",$E14=fTeam),OR(fChannel="All",$C14=fChannel,AND(fChannel="Content",OR($C14="Blog",$C14="Case Study",$C14="Whitepaper")),AND(fChannel="Webinar / Events",$C14="Webinar")),OR(fMonth="All",$V14=fMonth)),1,0))</f>
        <v>0</v>
      </c>
      <c r="X14" s="71">
        <f>IF($D14="",0,IF(AND(OR(fClient="All",$B14=fClient),fCampaign="All",OR(fTeam="All",$E14=fTeam),OR(fChannel="All",$C14=fChannel,AND(fChannel="Content",OR($C14="Blog",$C14="Case Study",$C14="Whitepaper")),AND(fChannel="Webinar / Events",$C14="Webinar"))),1,0))</f>
        <v>0</v>
      </c>
    </row>
    <row r="15">
      <c r="A15" s="63" t="n"/>
      <c r="B15" s="64" t="n"/>
      <c r="C15" s="64" t="n"/>
      <c r="D15" s="65" t="n"/>
      <c r="E15" s="64" t="n"/>
      <c r="F15" s="64" t="n"/>
      <c r="G15" s="64" t="n"/>
      <c r="H15" s="63" t="n"/>
      <c r="I15" s="63" t="n"/>
      <c r="J15" s="63" t="n"/>
      <c r="K15" s="67" t="n"/>
      <c r="L15" s="67" t="n"/>
      <c r="M15" s="67" t="n"/>
      <c r="N15" s="65" t="n"/>
      <c r="O15" s="64" t="n"/>
      <c r="P15" s="67" t="n"/>
      <c r="Q15" s="65" t="n"/>
      <c r="R15" s="65" t="n"/>
      <c r="S15" s="65" t="n"/>
      <c r="T15" s="71">
        <f>IF($D15="",0,IF(OR($G15="Published",$G15="Completed",$G15="Cancelled"),0,1))</f>
        <v>0</v>
      </c>
      <c r="U15" s="69" t="str">
        <f>IF($D15="","",IF(AND($T15=1,ISNUMBER($I15)),IF($I15&lt;ReportDate,ReportDate-$I15,0),0))</f>
        <v/>
      </c>
      <c r="V15" s="71" t="str">
        <f>IF($D15="","",IF(ISNUMBER($A15),IF(ISNUMBER($A15),YEAR($A15)&amp;"-"&amp;TEXT(MONTH($A15),"00"),""),IF(ISNUMBER($I15),IF(ISNUMBER($I15),YEAR($I15)&amp;"-"&amp;TEXT(MONTH($I15),"00"),""),IF(ISNUMBER($H15),IF(ISNUMBER($H15),YEAR($H15)&amp;"-"&amp;TEXT(MONTH($H15),"00"),""),""))))</f>
        <v/>
      </c>
      <c r="W15" s="71">
        <f>IF($D15="",0,IF(AND(OR(fClient="All",$B15=fClient),fCampaign="All",OR(fTeam="All",$E15=fTeam),OR(fChannel="All",$C15=fChannel,AND(fChannel="Content",OR($C15="Blog",$C15="Case Study",$C15="Whitepaper")),AND(fChannel="Webinar / Events",$C15="Webinar")),OR(fMonth="All",$V15=fMonth)),1,0))</f>
        <v>0</v>
      </c>
      <c r="X15" s="71">
        <f>IF($D15="",0,IF(AND(OR(fClient="All",$B15=fClient),fCampaign="All",OR(fTeam="All",$E15=fTeam),OR(fChannel="All",$C15=fChannel,AND(fChannel="Content",OR($C15="Blog",$C15="Case Study",$C15="Whitepaper")),AND(fChannel="Webinar / Events",$C15="Webinar"))),1,0))</f>
        <v>0</v>
      </c>
    </row>
    <row r="16">
      <c r="A16" s="63" t="n"/>
      <c r="B16" s="64" t="n"/>
      <c r="C16" s="64" t="n"/>
      <c r="D16" s="65" t="n"/>
      <c r="E16" s="64" t="n"/>
      <c r="F16" s="64" t="n"/>
      <c r="G16" s="64" t="n"/>
      <c r="H16" s="63" t="n"/>
      <c r="I16" s="63" t="n"/>
      <c r="J16" s="63" t="n"/>
      <c r="K16" s="67" t="n"/>
      <c r="L16" s="67" t="n"/>
      <c r="M16" s="67" t="n"/>
      <c r="N16" s="65" t="n"/>
      <c r="O16" s="64" t="n"/>
      <c r="P16" s="67" t="n"/>
      <c r="Q16" s="65" t="n"/>
      <c r="R16" s="65" t="n"/>
      <c r="S16" s="65" t="n"/>
      <c r="T16" s="71">
        <f>IF($D16="",0,IF(OR($G16="Published",$G16="Completed",$G16="Cancelled"),0,1))</f>
        <v>0</v>
      </c>
      <c r="U16" s="69" t="str">
        <f>IF($D16="","",IF(AND($T16=1,ISNUMBER($I16)),IF($I16&lt;ReportDate,ReportDate-$I16,0),0))</f>
        <v/>
      </c>
      <c r="V16" s="71" t="str">
        <f>IF($D16="","",IF(ISNUMBER($A16),IF(ISNUMBER($A16),YEAR($A16)&amp;"-"&amp;TEXT(MONTH($A16),"00"),""),IF(ISNUMBER($I16),IF(ISNUMBER($I16),YEAR($I16)&amp;"-"&amp;TEXT(MONTH($I16),"00"),""),IF(ISNUMBER($H16),IF(ISNUMBER($H16),YEAR($H16)&amp;"-"&amp;TEXT(MONTH($H16),"00"),""),""))))</f>
        <v/>
      </c>
      <c r="W16" s="71">
        <f>IF($D16="",0,IF(AND(OR(fClient="All",$B16=fClient),fCampaign="All",OR(fTeam="All",$E16=fTeam),OR(fChannel="All",$C16=fChannel,AND(fChannel="Content",OR($C16="Blog",$C16="Case Study",$C16="Whitepaper")),AND(fChannel="Webinar / Events",$C16="Webinar")),OR(fMonth="All",$V16=fMonth)),1,0))</f>
        <v>0</v>
      </c>
      <c r="X16" s="71">
        <f>IF($D16="",0,IF(AND(OR(fClient="All",$B16=fClient),fCampaign="All",OR(fTeam="All",$E16=fTeam),OR(fChannel="All",$C16=fChannel,AND(fChannel="Content",OR($C16="Blog",$C16="Case Study",$C16="Whitepaper")),AND(fChannel="Webinar / Events",$C16="Webinar"))),1,0))</f>
        <v>0</v>
      </c>
    </row>
    <row r="17">
      <c r="A17" s="63" t="n"/>
      <c r="B17" s="64" t="n"/>
      <c r="C17" s="64" t="n"/>
      <c r="D17" s="65" t="n"/>
      <c r="E17" s="64" t="n"/>
      <c r="F17" s="64" t="n"/>
      <c r="G17" s="64" t="n"/>
      <c r="H17" s="63" t="n"/>
      <c r="I17" s="63" t="n"/>
      <c r="J17" s="63" t="n"/>
      <c r="K17" s="67" t="n"/>
      <c r="L17" s="67" t="n"/>
      <c r="M17" s="67" t="n"/>
      <c r="N17" s="65" t="n"/>
      <c r="O17" s="64" t="n"/>
      <c r="P17" s="67" t="n"/>
      <c r="Q17" s="65" t="n"/>
      <c r="R17" s="65" t="n"/>
      <c r="S17" s="65" t="n"/>
      <c r="T17" s="71">
        <f>IF($D17="",0,IF(OR($G17="Published",$G17="Completed",$G17="Cancelled"),0,1))</f>
        <v>0</v>
      </c>
      <c r="U17" s="69" t="str">
        <f>IF($D17="","",IF(AND($T17=1,ISNUMBER($I17)),IF($I17&lt;ReportDate,ReportDate-$I17,0),0))</f>
        <v/>
      </c>
      <c r="V17" s="71" t="str">
        <f>IF($D17="","",IF(ISNUMBER($A17),IF(ISNUMBER($A17),YEAR($A17)&amp;"-"&amp;TEXT(MONTH($A17),"00"),""),IF(ISNUMBER($I17),IF(ISNUMBER($I17),YEAR($I17)&amp;"-"&amp;TEXT(MONTH($I17),"00"),""),IF(ISNUMBER($H17),IF(ISNUMBER($H17),YEAR($H17)&amp;"-"&amp;TEXT(MONTH($H17),"00"),""),""))))</f>
        <v/>
      </c>
      <c r="W17" s="71">
        <f>IF($D17="",0,IF(AND(OR(fClient="All",$B17=fClient),fCampaign="All",OR(fTeam="All",$E17=fTeam),OR(fChannel="All",$C17=fChannel,AND(fChannel="Content",OR($C17="Blog",$C17="Case Study",$C17="Whitepaper")),AND(fChannel="Webinar / Events",$C17="Webinar")),OR(fMonth="All",$V17=fMonth)),1,0))</f>
        <v>0</v>
      </c>
      <c r="X17" s="71">
        <f>IF($D17="",0,IF(AND(OR(fClient="All",$B17=fClient),fCampaign="All",OR(fTeam="All",$E17=fTeam),OR(fChannel="All",$C17=fChannel,AND(fChannel="Content",OR($C17="Blog",$C17="Case Study",$C17="Whitepaper")),AND(fChannel="Webinar / Events",$C17="Webinar"))),1,0))</f>
        <v>0</v>
      </c>
    </row>
    <row r="18">
      <c r="A18" s="63" t="n"/>
      <c r="B18" s="64" t="n"/>
      <c r="C18" s="64" t="n"/>
      <c r="D18" s="65" t="n"/>
      <c r="E18" s="64" t="n"/>
      <c r="F18" s="64" t="n"/>
      <c r="G18" s="64" t="n"/>
      <c r="H18" s="63" t="n"/>
      <c r="I18" s="63" t="n"/>
      <c r="J18" s="63" t="n"/>
      <c r="K18" s="67" t="n"/>
      <c r="L18" s="67" t="n"/>
      <c r="M18" s="67" t="n"/>
      <c r="N18" s="65" t="n"/>
      <c r="O18" s="64" t="n"/>
      <c r="P18" s="67" t="n"/>
      <c r="Q18" s="65" t="n"/>
      <c r="R18" s="65" t="n"/>
      <c r="S18" s="65" t="n"/>
      <c r="T18" s="71">
        <f>IF($D18="",0,IF(OR($G18="Published",$G18="Completed",$G18="Cancelled"),0,1))</f>
        <v>0</v>
      </c>
      <c r="U18" s="69" t="str">
        <f>IF($D18="","",IF(AND($T18=1,ISNUMBER($I18)),IF($I18&lt;ReportDate,ReportDate-$I18,0),0))</f>
        <v/>
      </c>
      <c r="V18" s="71" t="str">
        <f>IF($D18="","",IF(ISNUMBER($A18),IF(ISNUMBER($A18),YEAR($A18)&amp;"-"&amp;TEXT(MONTH($A18),"00"),""),IF(ISNUMBER($I18),IF(ISNUMBER($I18),YEAR($I18)&amp;"-"&amp;TEXT(MONTH($I18),"00"),""),IF(ISNUMBER($H18),IF(ISNUMBER($H18),YEAR($H18)&amp;"-"&amp;TEXT(MONTH($H18),"00"),""),""))))</f>
        <v/>
      </c>
      <c r="W18" s="71">
        <f>IF($D18="",0,IF(AND(OR(fClient="All",$B18=fClient),fCampaign="All",OR(fTeam="All",$E18=fTeam),OR(fChannel="All",$C18=fChannel,AND(fChannel="Content",OR($C18="Blog",$C18="Case Study",$C18="Whitepaper")),AND(fChannel="Webinar / Events",$C18="Webinar")),OR(fMonth="All",$V18=fMonth)),1,0))</f>
        <v>0</v>
      </c>
      <c r="X18" s="71">
        <f>IF($D18="",0,IF(AND(OR(fClient="All",$B18=fClient),fCampaign="All",OR(fTeam="All",$E18=fTeam),OR(fChannel="All",$C18=fChannel,AND(fChannel="Content",OR($C18="Blog",$C18="Case Study",$C18="Whitepaper")),AND(fChannel="Webinar / Events",$C18="Webinar"))),1,0))</f>
        <v>0</v>
      </c>
    </row>
    <row r="19">
      <c r="A19" s="63" t="n"/>
      <c r="B19" s="64" t="n"/>
      <c r="C19" s="64" t="n"/>
      <c r="D19" s="65" t="n"/>
      <c r="E19" s="64" t="n"/>
      <c r="F19" s="64" t="n"/>
      <c r="G19" s="64" t="n"/>
      <c r="H19" s="63" t="n"/>
      <c r="I19" s="63" t="n"/>
      <c r="J19" s="63" t="n"/>
      <c r="K19" s="67" t="n"/>
      <c r="L19" s="67" t="n"/>
      <c r="M19" s="67" t="n"/>
      <c r="N19" s="65" t="n"/>
      <c r="O19" s="64" t="n"/>
      <c r="P19" s="67" t="n"/>
      <c r="Q19" s="65" t="n"/>
      <c r="R19" s="65" t="n"/>
      <c r="S19" s="65" t="n"/>
      <c r="T19" s="71">
        <f>IF($D19="",0,IF(OR($G19="Published",$G19="Completed",$G19="Cancelled"),0,1))</f>
        <v>0</v>
      </c>
      <c r="U19" s="69" t="str">
        <f>IF($D19="","",IF(AND($T19=1,ISNUMBER($I19)),IF($I19&lt;ReportDate,ReportDate-$I19,0),0))</f>
        <v/>
      </c>
      <c r="V19" s="71" t="str">
        <f>IF($D19="","",IF(ISNUMBER($A19),IF(ISNUMBER($A19),YEAR($A19)&amp;"-"&amp;TEXT(MONTH($A19),"00"),""),IF(ISNUMBER($I19),IF(ISNUMBER($I19),YEAR($I19)&amp;"-"&amp;TEXT(MONTH($I19),"00"),""),IF(ISNUMBER($H19),IF(ISNUMBER($H19),YEAR($H19)&amp;"-"&amp;TEXT(MONTH($H19),"00"),""),""))))</f>
        <v/>
      </c>
      <c r="W19" s="71">
        <f>IF($D19="",0,IF(AND(OR(fClient="All",$B19=fClient),fCampaign="All",OR(fTeam="All",$E19=fTeam),OR(fChannel="All",$C19=fChannel,AND(fChannel="Content",OR($C19="Blog",$C19="Case Study",$C19="Whitepaper")),AND(fChannel="Webinar / Events",$C19="Webinar")),OR(fMonth="All",$V19=fMonth)),1,0))</f>
        <v>0</v>
      </c>
      <c r="X19" s="71">
        <f>IF($D19="",0,IF(AND(OR(fClient="All",$B19=fClient),fCampaign="All",OR(fTeam="All",$E19=fTeam),OR(fChannel="All",$C19=fChannel,AND(fChannel="Content",OR($C19="Blog",$C19="Case Study",$C19="Whitepaper")),AND(fChannel="Webinar / Events",$C19="Webinar"))),1,0))</f>
        <v>0</v>
      </c>
    </row>
    <row r="20">
      <c r="A20" s="63" t="n"/>
      <c r="B20" s="64" t="n"/>
      <c r="C20" s="64" t="n"/>
      <c r="D20" s="65" t="n"/>
      <c r="E20" s="64" t="n"/>
      <c r="F20" s="64" t="n"/>
      <c r="G20" s="64" t="n"/>
      <c r="H20" s="63" t="n"/>
      <c r="I20" s="63" t="n"/>
      <c r="J20" s="63" t="n"/>
      <c r="K20" s="67" t="n"/>
      <c r="L20" s="67" t="n"/>
      <c r="M20" s="67" t="n"/>
      <c r="N20" s="65" t="n"/>
      <c r="O20" s="64" t="n"/>
      <c r="P20" s="67" t="n"/>
      <c r="Q20" s="65" t="n"/>
      <c r="R20" s="65" t="n"/>
      <c r="S20" s="65" t="n"/>
      <c r="T20" s="71">
        <f>IF($D20="",0,IF(OR($G20="Published",$G20="Completed",$G20="Cancelled"),0,1))</f>
        <v>0</v>
      </c>
      <c r="U20" s="69" t="str">
        <f>IF($D20="","",IF(AND($T20=1,ISNUMBER($I20)),IF($I20&lt;ReportDate,ReportDate-$I20,0),0))</f>
        <v/>
      </c>
      <c r="V20" s="71" t="str">
        <f>IF($D20="","",IF(ISNUMBER($A20),IF(ISNUMBER($A20),YEAR($A20)&amp;"-"&amp;TEXT(MONTH($A20),"00"),""),IF(ISNUMBER($I20),IF(ISNUMBER($I20),YEAR($I20)&amp;"-"&amp;TEXT(MONTH($I20),"00"),""),IF(ISNUMBER($H20),IF(ISNUMBER($H20),YEAR($H20)&amp;"-"&amp;TEXT(MONTH($H20),"00"),""),""))))</f>
        <v/>
      </c>
      <c r="W20" s="71">
        <f>IF($D20="",0,IF(AND(OR(fClient="All",$B20=fClient),fCampaign="All",OR(fTeam="All",$E20=fTeam),OR(fChannel="All",$C20=fChannel,AND(fChannel="Content",OR($C20="Blog",$C20="Case Study",$C20="Whitepaper")),AND(fChannel="Webinar / Events",$C20="Webinar")),OR(fMonth="All",$V20=fMonth)),1,0))</f>
        <v>0</v>
      </c>
      <c r="X20" s="71">
        <f>IF($D20="",0,IF(AND(OR(fClient="All",$B20=fClient),fCampaign="All",OR(fTeam="All",$E20=fTeam),OR(fChannel="All",$C20=fChannel,AND(fChannel="Content",OR($C20="Blog",$C20="Case Study",$C20="Whitepaper")),AND(fChannel="Webinar / Events",$C20="Webinar"))),1,0))</f>
        <v>0</v>
      </c>
    </row>
    <row r="21">
      <c r="A21" s="63" t="n"/>
      <c r="B21" s="64" t="n"/>
      <c r="C21" s="64" t="n"/>
      <c r="D21" s="65" t="n"/>
      <c r="E21" s="64" t="n"/>
      <c r="F21" s="64" t="n"/>
      <c r="G21" s="64" t="n"/>
      <c r="H21" s="63" t="n"/>
      <c r="I21" s="63" t="n"/>
      <c r="J21" s="63" t="n"/>
      <c r="K21" s="67" t="n"/>
      <c r="L21" s="67" t="n"/>
      <c r="M21" s="67" t="n"/>
      <c r="N21" s="65" t="n"/>
      <c r="O21" s="64" t="n"/>
      <c r="P21" s="67" t="n"/>
      <c r="Q21" s="65" t="n"/>
      <c r="R21" s="65" t="n"/>
      <c r="S21" s="65" t="n"/>
      <c r="T21" s="71">
        <f>IF($D21="",0,IF(OR($G21="Published",$G21="Completed",$G21="Cancelled"),0,1))</f>
        <v>0</v>
      </c>
      <c r="U21" s="69" t="str">
        <f>IF($D21="","",IF(AND($T21=1,ISNUMBER($I21)),IF($I21&lt;ReportDate,ReportDate-$I21,0),0))</f>
        <v/>
      </c>
      <c r="V21" s="71" t="str">
        <f>IF($D21="","",IF(ISNUMBER($A21),IF(ISNUMBER($A21),YEAR($A21)&amp;"-"&amp;TEXT(MONTH($A21),"00"),""),IF(ISNUMBER($I21),IF(ISNUMBER($I21),YEAR($I21)&amp;"-"&amp;TEXT(MONTH($I21),"00"),""),IF(ISNUMBER($H21),IF(ISNUMBER($H21),YEAR($H21)&amp;"-"&amp;TEXT(MONTH($H21),"00"),""),""))))</f>
        <v/>
      </c>
      <c r="W21" s="71">
        <f>IF($D21="",0,IF(AND(OR(fClient="All",$B21=fClient),fCampaign="All",OR(fTeam="All",$E21=fTeam),OR(fChannel="All",$C21=fChannel,AND(fChannel="Content",OR($C21="Blog",$C21="Case Study",$C21="Whitepaper")),AND(fChannel="Webinar / Events",$C21="Webinar")),OR(fMonth="All",$V21=fMonth)),1,0))</f>
        <v>0</v>
      </c>
      <c r="X21" s="71">
        <f>IF($D21="",0,IF(AND(OR(fClient="All",$B21=fClient),fCampaign="All",OR(fTeam="All",$E21=fTeam),OR(fChannel="All",$C21=fChannel,AND(fChannel="Content",OR($C21="Blog",$C21="Case Study",$C21="Whitepaper")),AND(fChannel="Webinar / Events",$C21="Webinar"))),1,0))</f>
        <v>0</v>
      </c>
    </row>
    <row r="22">
      <c r="A22" s="63" t="n"/>
      <c r="B22" s="64" t="n"/>
      <c r="C22" s="64" t="n"/>
      <c r="D22" s="65" t="n"/>
      <c r="E22" s="64" t="n"/>
      <c r="F22" s="64" t="n"/>
      <c r="G22" s="64" t="n"/>
      <c r="H22" s="63" t="n"/>
      <c r="I22" s="63" t="n"/>
      <c r="J22" s="63" t="n"/>
      <c r="K22" s="67" t="n"/>
      <c r="L22" s="67" t="n"/>
      <c r="M22" s="67" t="n"/>
      <c r="N22" s="65" t="n"/>
      <c r="O22" s="64" t="n"/>
      <c r="P22" s="67" t="n"/>
      <c r="Q22" s="65" t="n"/>
      <c r="R22" s="65" t="n"/>
      <c r="S22" s="65" t="n"/>
      <c r="T22" s="71">
        <f>IF($D22="",0,IF(OR($G22="Published",$G22="Completed",$G22="Cancelled"),0,1))</f>
        <v>0</v>
      </c>
      <c r="U22" s="69" t="str">
        <f>IF($D22="","",IF(AND($T22=1,ISNUMBER($I22)),IF($I22&lt;ReportDate,ReportDate-$I22,0),0))</f>
        <v/>
      </c>
      <c r="V22" s="71" t="str">
        <f>IF($D22="","",IF(ISNUMBER($A22),IF(ISNUMBER($A22),YEAR($A22)&amp;"-"&amp;TEXT(MONTH($A22),"00"),""),IF(ISNUMBER($I22),IF(ISNUMBER($I22),YEAR($I22)&amp;"-"&amp;TEXT(MONTH($I22),"00"),""),IF(ISNUMBER($H22),IF(ISNUMBER($H22),YEAR($H22)&amp;"-"&amp;TEXT(MONTH($H22),"00"),""),""))))</f>
        <v/>
      </c>
      <c r="W22" s="71">
        <f>IF($D22="",0,IF(AND(OR(fClient="All",$B22=fClient),fCampaign="All",OR(fTeam="All",$E22=fTeam),OR(fChannel="All",$C22=fChannel,AND(fChannel="Content",OR($C22="Blog",$C22="Case Study",$C22="Whitepaper")),AND(fChannel="Webinar / Events",$C22="Webinar")),OR(fMonth="All",$V22=fMonth)),1,0))</f>
        <v>0</v>
      </c>
      <c r="X22" s="71">
        <f>IF($D22="",0,IF(AND(OR(fClient="All",$B22=fClient),fCampaign="All",OR(fTeam="All",$E22=fTeam),OR(fChannel="All",$C22=fChannel,AND(fChannel="Content",OR($C22="Blog",$C22="Case Study",$C22="Whitepaper")),AND(fChannel="Webinar / Events",$C22="Webinar"))),1,0))</f>
        <v>0</v>
      </c>
    </row>
    <row r="23">
      <c r="A23" s="63" t="n"/>
      <c r="B23" s="64" t="n"/>
      <c r="C23" s="64" t="n"/>
      <c r="D23" s="65" t="n"/>
      <c r="E23" s="64" t="n"/>
      <c r="F23" s="64" t="n"/>
      <c r="G23" s="64" t="n"/>
      <c r="H23" s="63" t="n"/>
      <c r="I23" s="63" t="n"/>
      <c r="J23" s="63" t="n"/>
      <c r="K23" s="67" t="n"/>
      <c r="L23" s="67" t="n"/>
      <c r="M23" s="67" t="n"/>
      <c r="N23" s="65" t="n"/>
      <c r="O23" s="64" t="n"/>
      <c r="P23" s="67" t="n"/>
      <c r="Q23" s="65" t="n"/>
      <c r="R23" s="65" t="n"/>
      <c r="S23" s="65" t="n"/>
      <c r="T23" s="71">
        <f>IF($D23="",0,IF(OR($G23="Published",$G23="Completed",$G23="Cancelled"),0,1))</f>
        <v>0</v>
      </c>
      <c r="U23" s="69" t="str">
        <f>IF($D23="","",IF(AND($T23=1,ISNUMBER($I23)),IF($I23&lt;ReportDate,ReportDate-$I23,0),0))</f>
        <v/>
      </c>
      <c r="V23" s="71" t="str">
        <f>IF($D23="","",IF(ISNUMBER($A23),IF(ISNUMBER($A23),YEAR($A23)&amp;"-"&amp;TEXT(MONTH($A23),"00"),""),IF(ISNUMBER($I23),IF(ISNUMBER($I23),YEAR($I23)&amp;"-"&amp;TEXT(MONTH($I23),"00"),""),IF(ISNUMBER($H23),IF(ISNUMBER($H23),YEAR($H23)&amp;"-"&amp;TEXT(MONTH($H23),"00"),""),""))))</f>
        <v/>
      </c>
      <c r="W23" s="71">
        <f>IF($D23="",0,IF(AND(OR(fClient="All",$B23=fClient),fCampaign="All",OR(fTeam="All",$E23=fTeam),OR(fChannel="All",$C23=fChannel,AND(fChannel="Content",OR($C23="Blog",$C23="Case Study",$C23="Whitepaper")),AND(fChannel="Webinar / Events",$C23="Webinar")),OR(fMonth="All",$V23=fMonth)),1,0))</f>
        <v>0</v>
      </c>
      <c r="X23" s="71">
        <f>IF($D23="",0,IF(AND(OR(fClient="All",$B23=fClient),fCampaign="All",OR(fTeam="All",$E23=fTeam),OR(fChannel="All",$C23=fChannel,AND(fChannel="Content",OR($C23="Blog",$C23="Case Study",$C23="Whitepaper")),AND(fChannel="Webinar / Events",$C23="Webinar"))),1,0))</f>
        <v>0</v>
      </c>
    </row>
    <row r="24">
      <c r="A24" s="63" t="n"/>
      <c r="B24" s="64" t="n"/>
      <c r="C24" s="64" t="n"/>
      <c r="D24" s="65" t="n"/>
      <c r="E24" s="64" t="n"/>
      <c r="F24" s="64" t="n"/>
      <c r="G24" s="64" t="n"/>
      <c r="H24" s="63" t="n"/>
      <c r="I24" s="63" t="n"/>
      <c r="J24" s="63" t="n"/>
      <c r="K24" s="67" t="n"/>
      <c r="L24" s="67" t="n"/>
      <c r="M24" s="67" t="n"/>
      <c r="N24" s="65" t="n"/>
      <c r="O24" s="64" t="n"/>
      <c r="P24" s="67" t="n"/>
      <c r="Q24" s="65" t="n"/>
      <c r="R24" s="65" t="n"/>
      <c r="S24" s="65" t="n"/>
      <c r="T24" s="71">
        <f>IF($D24="",0,IF(OR($G24="Published",$G24="Completed",$G24="Cancelled"),0,1))</f>
        <v>0</v>
      </c>
      <c r="U24" s="69" t="str">
        <f>IF($D24="","",IF(AND($T24=1,ISNUMBER($I24)),IF($I24&lt;ReportDate,ReportDate-$I24,0),0))</f>
        <v/>
      </c>
      <c r="V24" s="71" t="str">
        <f>IF($D24="","",IF(ISNUMBER($A24),IF(ISNUMBER($A24),YEAR($A24)&amp;"-"&amp;TEXT(MONTH($A24),"00"),""),IF(ISNUMBER($I24),IF(ISNUMBER($I24),YEAR($I24)&amp;"-"&amp;TEXT(MONTH($I24),"00"),""),IF(ISNUMBER($H24),IF(ISNUMBER($H24),YEAR($H24)&amp;"-"&amp;TEXT(MONTH($H24),"00"),""),""))))</f>
        <v/>
      </c>
      <c r="W24" s="71">
        <f>IF($D24="",0,IF(AND(OR(fClient="All",$B24=fClient),fCampaign="All",OR(fTeam="All",$E24=fTeam),OR(fChannel="All",$C24=fChannel,AND(fChannel="Content",OR($C24="Blog",$C24="Case Study",$C24="Whitepaper")),AND(fChannel="Webinar / Events",$C24="Webinar")),OR(fMonth="All",$V24=fMonth)),1,0))</f>
        <v>0</v>
      </c>
      <c r="X24" s="71">
        <f>IF($D24="",0,IF(AND(OR(fClient="All",$B24=fClient),fCampaign="All",OR(fTeam="All",$E24=fTeam),OR(fChannel="All",$C24=fChannel,AND(fChannel="Content",OR($C24="Blog",$C24="Case Study",$C24="Whitepaper")),AND(fChannel="Webinar / Events",$C24="Webinar"))),1,0))</f>
        <v>0</v>
      </c>
    </row>
    <row r="25">
      <c r="A25" s="63" t="n"/>
      <c r="B25" s="64" t="n"/>
      <c r="C25" s="64" t="n"/>
      <c r="D25" s="65" t="n"/>
      <c r="E25" s="64" t="n"/>
      <c r="F25" s="64" t="n"/>
      <c r="G25" s="64" t="n"/>
      <c r="H25" s="63" t="n"/>
      <c r="I25" s="63" t="n"/>
      <c r="J25" s="63" t="n"/>
      <c r="K25" s="67" t="n"/>
      <c r="L25" s="67" t="n"/>
      <c r="M25" s="67" t="n"/>
      <c r="N25" s="65" t="n"/>
      <c r="O25" s="64" t="n"/>
      <c r="P25" s="67" t="n"/>
      <c r="Q25" s="65" t="n"/>
      <c r="R25" s="65" t="n"/>
      <c r="S25" s="65" t="n"/>
      <c r="T25" s="71">
        <f>IF($D25="",0,IF(OR($G25="Published",$G25="Completed",$G25="Cancelled"),0,1))</f>
        <v>0</v>
      </c>
      <c r="U25" s="69" t="str">
        <f>IF($D25="","",IF(AND($T25=1,ISNUMBER($I25)),IF($I25&lt;ReportDate,ReportDate-$I25,0),0))</f>
        <v/>
      </c>
      <c r="V25" s="71" t="str">
        <f>IF($D25="","",IF(ISNUMBER($A25),IF(ISNUMBER($A25),YEAR($A25)&amp;"-"&amp;TEXT(MONTH($A25),"00"),""),IF(ISNUMBER($I25),IF(ISNUMBER($I25),YEAR($I25)&amp;"-"&amp;TEXT(MONTH($I25),"00"),""),IF(ISNUMBER($H25),IF(ISNUMBER($H25),YEAR($H25)&amp;"-"&amp;TEXT(MONTH($H25),"00"),""),""))))</f>
        <v/>
      </c>
      <c r="W25" s="71">
        <f>IF($D25="",0,IF(AND(OR(fClient="All",$B25=fClient),fCampaign="All",OR(fTeam="All",$E25=fTeam),OR(fChannel="All",$C25=fChannel,AND(fChannel="Content",OR($C25="Blog",$C25="Case Study",$C25="Whitepaper")),AND(fChannel="Webinar / Events",$C25="Webinar")),OR(fMonth="All",$V25=fMonth)),1,0))</f>
        <v>0</v>
      </c>
      <c r="X25" s="71">
        <f>IF($D25="",0,IF(AND(OR(fClient="All",$B25=fClient),fCampaign="All",OR(fTeam="All",$E25=fTeam),OR(fChannel="All",$C25=fChannel,AND(fChannel="Content",OR($C25="Blog",$C25="Case Study",$C25="Whitepaper")),AND(fChannel="Webinar / Events",$C25="Webinar"))),1,0))</f>
        <v>0</v>
      </c>
    </row>
    <row r="26">
      <c r="A26" s="63" t="n"/>
      <c r="B26" s="64" t="n"/>
      <c r="C26" s="64" t="n"/>
      <c r="D26" s="65" t="n"/>
      <c r="E26" s="64" t="n"/>
      <c r="F26" s="64" t="n"/>
      <c r="G26" s="64" t="n"/>
      <c r="H26" s="63" t="n"/>
      <c r="I26" s="63" t="n"/>
      <c r="J26" s="63" t="n"/>
      <c r="K26" s="67" t="n"/>
      <c r="L26" s="67" t="n"/>
      <c r="M26" s="67" t="n"/>
      <c r="N26" s="65" t="n"/>
      <c r="O26" s="64" t="n"/>
      <c r="P26" s="67" t="n"/>
      <c r="Q26" s="65" t="n"/>
      <c r="R26" s="65" t="n"/>
      <c r="S26" s="65" t="n"/>
      <c r="T26" s="71">
        <f>IF($D26="",0,IF(OR($G26="Published",$G26="Completed",$G26="Cancelled"),0,1))</f>
        <v>0</v>
      </c>
      <c r="U26" s="69" t="str">
        <f>IF($D26="","",IF(AND($T26=1,ISNUMBER($I26)),IF($I26&lt;ReportDate,ReportDate-$I26,0),0))</f>
        <v/>
      </c>
      <c r="V26" s="71" t="str">
        <f>IF($D26="","",IF(ISNUMBER($A26),IF(ISNUMBER($A26),YEAR($A26)&amp;"-"&amp;TEXT(MONTH($A26),"00"),""),IF(ISNUMBER($I26),IF(ISNUMBER($I26),YEAR($I26)&amp;"-"&amp;TEXT(MONTH($I26),"00"),""),IF(ISNUMBER($H26),IF(ISNUMBER($H26),YEAR($H26)&amp;"-"&amp;TEXT(MONTH($H26),"00"),""),""))))</f>
        <v/>
      </c>
      <c r="W26" s="71">
        <f>IF($D26="",0,IF(AND(OR(fClient="All",$B26=fClient),fCampaign="All",OR(fTeam="All",$E26=fTeam),OR(fChannel="All",$C26=fChannel,AND(fChannel="Content",OR($C26="Blog",$C26="Case Study",$C26="Whitepaper")),AND(fChannel="Webinar / Events",$C26="Webinar")),OR(fMonth="All",$V26=fMonth)),1,0))</f>
        <v>0</v>
      </c>
      <c r="X26" s="71">
        <f>IF($D26="",0,IF(AND(OR(fClient="All",$B26=fClient),fCampaign="All",OR(fTeam="All",$E26=fTeam),OR(fChannel="All",$C26=fChannel,AND(fChannel="Content",OR($C26="Blog",$C26="Case Study",$C26="Whitepaper")),AND(fChannel="Webinar / Events",$C26="Webinar"))),1,0))</f>
        <v>0</v>
      </c>
    </row>
    <row r="27">
      <c r="A27" s="63" t="n"/>
      <c r="B27" s="64" t="n"/>
      <c r="C27" s="64" t="n"/>
      <c r="D27" s="65" t="n"/>
      <c r="E27" s="64" t="n"/>
      <c r="F27" s="64" t="n"/>
      <c r="G27" s="64" t="n"/>
      <c r="H27" s="63" t="n"/>
      <c r="I27" s="63" t="n"/>
      <c r="J27" s="63" t="n"/>
      <c r="K27" s="67" t="n"/>
      <c r="L27" s="67" t="n"/>
      <c r="M27" s="67" t="n"/>
      <c r="N27" s="65" t="n"/>
      <c r="O27" s="64" t="n"/>
      <c r="P27" s="67" t="n"/>
      <c r="Q27" s="65" t="n"/>
      <c r="R27" s="65" t="n"/>
      <c r="S27" s="65" t="n"/>
      <c r="T27" s="71">
        <f>IF($D27="",0,IF(OR($G27="Published",$G27="Completed",$G27="Cancelled"),0,1))</f>
        <v>0</v>
      </c>
      <c r="U27" s="69" t="str">
        <f>IF($D27="","",IF(AND($T27=1,ISNUMBER($I27)),IF($I27&lt;ReportDate,ReportDate-$I27,0),0))</f>
        <v/>
      </c>
      <c r="V27" s="71" t="str">
        <f>IF($D27="","",IF(ISNUMBER($A27),IF(ISNUMBER($A27),YEAR($A27)&amp;"-"&amp;TEXT(MONTH($A27),"00"),""),IF(ISNUMBER($I27),IF(ISNUMBER($I27),YEAR($I27)&amp;"-"&amp;TEXT(MONTH($I27),"00"),""),IF(ISNUMBER($H27),IF(ISNUMBER($H27),YEAR($H27)&amp;"-"&amp;TEXT(MONTH($H27),"00"),""),""))))</f>
        <v/>
      </c>
      <c r="W27" s="71">
        <f>IF($D27="",0,IF(AND(OR(fClient="All",$B27=fClient),fCampaign="All",OR(fTeam="All",$E27=fTeam),OR(fChannel="All",$C27=fChannel,AND(fChannel="Content",OR($C27="Blog",$C27="Case Study",$C27="Whitepaper")),AND(fChannel="Webinar / Events",$C27="Webinar")),OR(fMonth="All",$V27=fMonth)),1,0))</f>
        <v>0</v>
      </c>
      <c r="X27" s="71">
        <f>IF($D27="",0,IF(AND(OR(fClient="All",$B27=fClient),fCampaign="All",OR(fTeam="All",$E27=fTeam),OR(fChannel="All",$C27=fChannel,AND(fChannel="Content",OR($C27="Blog",$C27="Case Study",$C27="Whitepaper")),AND(fChannel="Webinar / Events",$C27="Webinar"))),1,0))</f>
        <v>0</v>
      </c>
    </row>
    <row r="28">
      <c r="A28" s="63" t="n"/>
      <c r="B28" s="64" t="n"/>
      <c r="C28" s="64" t="n"/>
      <c r="D28" s="65" t="n"/>
      <c r="E28" s="64" t="n"/>
      <c r="F28" s="64" t="n"/>
      <c r="G28" s="64" t="n"/>
      <c r="H28" s="63" t="n"/>
      <c r="I28" s="63" t="n"/>
      <c r="J28" s="63" t="n"/>
      <c r="K28" s="67" t="n"/>
      <c r="L28" s="67" t="n"/>
      <c r="M28" s="67" t="n"/>
      <c r="N28" s="65" t="n"/>
      <c r="O28" s="64" t="n"/>
      <c r="P28" s="67" t="n"/>
      <c r="Q28" s="65" t="n"/>
      <c r="R28" s="65" t="n"/>
      <c r="S28" s="65" t="n"/>
      <c r="T28" s="71">
        <f>IF($D28="",0,IF(OR($G28="Published",$G28="Completed",$G28="Cancelled"),0,1))</f>
        <v>0</v>
      </c>
      <c r="U28" s="69" t="str">
        <f>IF($D28="","",IF(AND($T28=1,ISNUMBER($I28)),IF($I28&lt;ReportDate,ReportDate-$I28,0),0))</f>
        <v/>
      </c>
      <c r="V28" s="71" t="str">
        <f>IF($D28="","",IF(ISNUMBER($A28),IF(ISNUMBER($A28),YEAR($A28)&amp;"-"&amp;TEXT(MONTH($A28),"00"),""),IF(ISNUMBER($I28),IF(ISNUMBER($I28),YEAR($I28)&amp;"-"&amp;TEXT(MONTH($I28),"00"),""),IF(ISNUMBER($H28),IF(ISNUMBER($H28),YEAR($H28)&amp;"-"&amp;TEXT(MONTH($H28),"00"),""),""))))</f>
        <v/>
      </c>
      <c r="W28" s="71">
        <f>IF($D28="",0,IF(AND(OR(fClient="All",$B28=fClient),fCampaign="All",OR(fTeam="All",$E28=fTeam),OR(fChannel="All",$C28=fChannel,AND(fChannel="Content",OR($C28="Blog",$C28="Case Study",$C28="Whitepaper")),AND(fChannel="Webinar / Events",$C28="Webinar")),OR(fMonth="All",$V28=fMonth)),1,0))</f>
        <v>0</v>
      </c>
      <c r="X28" s="71">
        <f>IF($D28="",0,IF(AND(OR(fClient="All",$B28=fClient),fCampaign="All",OR(fTeam="All",$E28=fTeam),OR(fChannel="All",$C28=fChannel,AND(fChannel="Content",OR($C28="Blog",$C28="Case Study",$C28="Whitepaper")),AND(fChannel="Webinar / Events",$C28="Webinar"))),1,0))</f>
        <v>0</v>
      </c>
    </row>
    <row r="29">
      <c r="A29" s="63" t="n"/>
      <c r="B29" s="64" t="n"/>
      <c r="C29" s="64" t="n"/>
      <c r="D29" s="65" t="n"/>
      <c r="E29" s="64" t="n"/>
      <c r="F29" s="64" t="n"/>
      <c r="G29" s="64" t="n"/>
      <c r="H29" s="63" t="n"/>
      <c r="I29" s="63" t="n"/>
      <c r="J29" s="63" t="n"/>
      <c r="K29" s="67" t="n"/>
      <c r="L29" s="67" t="n"/>
      <c r="M29" s="67" t="n"/>
      <c r="N29" s="65" t="n"/>
      <c r="O29" s="64" t="n"/>
      <c r="P29" s="67" t="n"/>
      <c r="Q29" s="65" t="n"/>
      <c r="R29" s="65" t="n"/>
      <c r="S29" s="65" t="n"/>
      <c r="T29" s="71">
        <f>IF($D29="",0,IF(OR($G29="Published",$G29="Completed",$G29="Cancelled"),0,1))</f>
        <v>0</v>
      </c>
      <c r="U29" s="69" t="str">
        <f>IF($D29="","",IF(AND($T29=1,ISNUMBER($I29)),IF($I29&lt;ReportDate,ReportDate-$I29,0),0))</f>
        <v/>
      </c>
      <c r="V29" s="71" t="str">
        <f>IF($D29="","",IF(ISNUMBER($A29),IF(ISNUMBER($A29),YEAR($A29)&amp;"-"&amp;TEXT(MONTH($A29),"00"),""),IF(ISNUMBER($I29),IF(ISNUMBER($I29),YEAR($I29)&amp;"-"&amp;TEXT(MONTH($I29),"00"),""),IF(ISNUMBER($H29),IF(ISNUMBER($H29),YEAR($H29)&amp;"-"&amp;TEXT(MONTH($H29),"00"),""),""))))</f>
        <v/>
      </c>
      <c r="W29" s="71">
        <f>IF($D29="",0,IF(AND(OR(fClient="All",$B29=fClient),fCampaign="All",OR(fTeam="All",$E29=fTeam),OR(fChannel="All",$C29=fChannel,AND(fChannel="Content",OR($C29="Blog",$C29="Case Study",$C29="Whitepaper")),AND(fChannel="Webinar / Events",$C29="Webinar")),OR(fMonth="All",$V29=fMonth)),1,0))</f>
        <v>0</v>
      </c>
      <c r="X29" s="71">
        <f>IF($D29="",0,IF(AND(OR(fClient="All",$B29=fClient),fCampaign="All",OR(fTeam="All",$E29=fTeam),OR(fChannel="All",$C29=fChannel,AND(fChannel="Content",OR($C29="Blog",$C29="Case Study",$C29="Whitepaper")),AND(fChannel="Webinar / Events",$C29="Webinar"))),1,0))</f>
        <v>0</v>
      </c>
    </row>
    <row r="30">
      <c r="A30" s="63" t="n"/>
      <c r="B30" s="64" t="n"/>
      <c r="C30" s="64" t="n"/>
      <c r="D30" s="65" t="n"/>
      <c r="E30" s="64" t="n"/>
      <c r="F30" s="64" t="n"/>
      <c r="G30" s="64" t="n"/>
      <c r="H30" s="63" t="n"/>
      <c r="I30" s="63" t="n"/>
      <c r="J30" s="63" t="n"/>
      <c r="K30" s="67" t="n"/>
      <c r="L30" s="67" t="n"/>
      <c r="M30" s="67" t="n"/>
      <c r="N30" s="65" t="n"/>
      <c r="O30" s="64" t="n"/>
      <c r="P30" s="67" t="n"/>
      <c r="Q30" s="65" t="n"/>
      <c r="R30" s="65" t="n"/>
      <c r="S30" s="65" t="n"/>
      <c r="T30" s="71">
        <f>IF($D30="",0,IF(OR($G30="Published",$G30="Completed",$G30="Cancelled"),0,1))</f>
        <v>0</v>
      </c>
      <c r="U30" s="69" t="str">
        <f>IF($D30="","",IF(AND($T30=1,ISNUMBER($I30)),IF($I30&lt;ReportDate,ReportDate-$I30,0),0))</f>
        <v/>
      </c>
      <c r="V30" s="71" t="str">
        <f>IF($D30="","",IF(ISNUMBER($A30),IF(ISNUMBER($A30),YEAR($A30)&amp;"-"&amp;TEXT(MONTH($A30),"00"),""),IF(ISNUMBER($I30),IF(ISNUMBER($I30),YEAR($I30)&amp;"-"&amp;TEXT(MONTH($I30),"00"),""),IF(ISNUMBER($H30),IF(ISNUMBER($H30),YEAR($H30)&amp;"-"&amp;TEXT(MONTH($H30),"00"),""),""))))</f>
        <v/>
      </c>
      <c r="W30" s="71">
        <f>IF($D30="",0,IF(AND(OR(fClient="All",$B30=fClient),fCampaign="All",OR(fTeam="All",$E30=fTeam),OR(fChannel="All",$C30=fChannel,AND(fChannel="Content",OR($C30="Blog",$C30="Case Study",$C30="Whitepaper")),AND(fChannel="Webinar / Events",$C30="Webinar")),OR(fMonth="All",$V30=fMonth)),1,0))</f>
        <v>0</v>
      </c>
      <c r="X30" s="71">
        <f>IF($D30="",0,IF(AND(OR(fClient="All",$B30=fClient),fCampaign="All",OR(fTeam="All",$E30=fTeam),OR(fChannel="All",$C30=fChannel,AND(fChannel="Content",OR($C30="Blog",$C30="Case Study",$C30="Whitepaper")),AND(fChannel="Webinar / Events",$C30="Webinar"))),1,0))</f>
        <v>0</v>
      </c>
    </row>
    <row r="31">
      <c r="A31" s="63" t="n"/>
      <c r="B31" s="64" t="n"/>
      <c r="C31" s="64" t="n"/>
      <c r="D31" s="65" t="n"/>
      <c r="E31" s="64" t="n"/>
      <c r="F31" s="64" t="n"/>
      <c r="G31" s="64" t="n"/>
      <c r="H31" s="63" t="n"/>
      <c r="I31" s="63" t="n"/>
      <c r="J31" s="63" t="n"/>
      <c r="K31" s="67" t="n"/>
      <c r="L31" s="67" t="n"/>
      <c r="M31" s="67" t="n"/>
      <c r="N31" s="65" t="n"/>
      <c r="O31" s="64" t="n"/>
      <c r="P31" s="67" t="n"/>
      <c r="Q31" s="65" t="n"/>
      <c r="R31" s="65" t="n"/>
      <c r="S31" s="65" t="n"/>
      <c r="T31" s="71">
        <f>IF($D31="",0,IF(OR($G31="Published",$G31="Completed",$G31="Cancelled"),0,1))</f>
        <v>0</v>
      </c>
      <c r="U31" s="69" t="str">
        <f>IF($D31="","",IF(AND($T31=1,ISNUMBER($I31)),IF($I31&lt;ReportDate,ReportDate-$I31,0),0))</f>
        <v/>
      </c>
      <c r="V31" s="71" t="str">
        <f>IF($D31="","",IF(ISNUMBER($A31),IF(ISNUMBER($A31),YEAR($A31)&amp;"-"&amp;TEXT(MONTH($A31),"00"),""),IF(ISNUMBER($I31),IF(ISNUMBER($I31),YEAR($I31)&amp;"-"&amp;TEXT(MONTH($I31),"00"),""),IF(ISNUMBER($H31),IF(ISNUMBER($H31),YEAR($H31)&amp;"-"&amp;TEXT(MONTH($H31),"00"),""),""))))</f>
        <v/>
      </c>
      <c r="W31" s="71">
        <f>IF($D31="",0,IF(AND(OR(fClient="All",$B31=fClient),fCampaign="All",OR(fTeam="All",$E31=fTeam),OR(fChannel="All",$C31=fChannel,AND(fChannel="Content",OR($C31="Blog",$C31="Case Study",$C31="Whitepaper")),AND(fChannel="Webinar / Events",$C31="Webinar")),OR(fMonth="All",$V31=fMonth)),1,0))</f>
        <v>0</v>
      </c>
      <c r="X31" s="71">
        <f>IF($D31="",0,IF(AND(OR(fClient="All",$B31=fClient),fCampaign="All",OR(fTeam="All",$E31=fTeam),OR(fChannel="All",$C31=fChannel,AND(fChannel="Content",OR($C31="Blog",$C31="Case Study",$C31="Whitepaper")),AND(fChannel="Webinar / Events",$C31="Webinar"))),1,0))</f>
        <v>0</v>
      </c>
    </row>
    <row r="32">
      <c r="A32" s="63" t="n"/>
      <c r="B32" s="64" t="n"/>
      <c r="C32" s="64" t="n"/>
      <c r="D32" s="65" t="n"/>
      <c r="E32" s="64" t="n"/>
      <c r="F32" s="64" t="n"/>
      <c r="G32" s="64" t="n"/>
      <c r="H32" s="63" t="n"/>
      <c r="I32" s="63" t="n"/>
      <c r="J32" s="63" t="n"/>
      <c r="K32" s="67" t="n"/>
      <c r="L32" s="67" t="n"/>
      <c r="M32" s="67" t="n"/>
      <c r="N32" s="65" t="n"/>
      <c r="O32" s="64" t="n"/>
      <c r="P32" s="67" t="n"/>
      <c r="Q32" s="65" t="n"/>
      <c r="R32" s="65" t="n"/>
      <c r="S32" s="65" t="n"/>
      <c r="T32" s="71">
        <f>IF($D32="",0,IF(OR($G32="Published",$G32="Completed",$G32="Cancelled"),0,1))</f>
        <v>0</v>
      </c>
      <c r="U32" s="69" t="str">
        <f>IF($D32="","",IF(AND($T32=1,ISNUMBER($I32)),IF($I32&lt;ReportDate,ReportDate-$I32,0),0))</f>
        <v/>
      </c>
      <c r="V32" s="71" t="str">
        <f>IF($D32="","",IF(ISNUMBER($A32),IF(ISNUMBER($A32),YEAR($A32)&amp;"-"&amp;TEXT(MONTH($A32),"00"),""),IF(ISNUMBER($I32),IF(ISNUMBER($I32),YEAR($I32)&amp;"-"&amp;TEXT(MONTH($I32),"00"),""),IF(ISNUMBER($H32),IF(ISNUMBER($H32),YEAR($H32)&amp;"-"&amp;TEXT(MONTH($H32),"00"),""),""))))</f>
        <v/>
      </c>
      <c r="W32" s="71">
        <f>IF($D32="",0,IF(AND(OR(fClient="All",$B32=fClient),fCampaign="All",OR(fTeam="All",$E32=fTeam),OR(fChannel="All",$C32=fChannel,AND(fChannel="Content",OR($C32="Blog",$C32="Case Study",$C32="Whitepaper")),AND(fChannel="Webinar / Events",$C32="Webinar")),OR(fMonth="All",$V32=fMonth)),1,0))</f>
        <v>0</v>
      </c>
      <c r="X32" s="71">
        <f>IF($D32="",0,IF(AND(OR(fClient="All",$B32=fClient),fCampaign="All",OR(fTeam="All",$E32=fTeam),OR(fChannel="All",$C32=fChannel,AND(fChannel="Content",OR($C32="Blog",$C32="Case Study",$C32="Whitepaper")),AND(fChannel="Webinar / Events",$C32="Webinar"))),1,0))</f>
        <v>0</v>
      </c>
    </row>
    <row r="33">
      <c r="A33" s="63" t="n"/>
      <c r="B33" s="64" t="n"/>
      <c r="C33" s="64" t="n"/>
      <c r="D33" s="65" t="n"/>
      <c r="E33" s="64" t="n"/>
      <c r="F33" s="64" t="n"/>
      <c r="G33" s="64" t="n"/>
      <c r="H33" s="63" t="n"/>
      <c r="I33" s="63" t="n"/>
      <c r="J33" s="63" t="n"/>
      <c r="K33" s="67" t="n"/>
      <c r="L33" s="67" t="n"/>
      <c r="M33" s="67" t="n"/>
      <c r="N33" s="65" t="n"/>
      <c r="O33" s="64" t="n"/>
      <c r="P33" s="67" t="n"/>
      <c r="Q33" s="65" t="n"/>
      <c r="R33" s="65" t="n"/>
      <c r="S33" s="65" t="n"/>
      <c r="T33" s="71">
        <f>IF($D33="",0,IF(OR($G33="Published",$G33="Completed",$G33="Cancelled"),0,1))</f>
        <v>0</v>
      </c>
      <c r="U33" s="69" t="str">
        <f>IF($D33="","",IF(AND($T33=1,ISNUMBER($I33)),IF($I33&lt;ReportDate,ReportDate-$I33,0),0))</f>
        <v/>
      </c>
      <c r="V33" s="71" t="str">
        <f>IF($D33="","",IF(ISNUMBER($A33),IF(ISNUMBER($A33),YEAR($A33)&amp;"-"&amp;TEXT(MONTH($A33),"00"),""),IF(ISNUMBER($I33),IF(ISNUMBER($I33),YEAR($I33)&amp;"-"&amp;TEXT(MONTH($I33),"00"),""),IF(ISNUMBER($H33),IF(ISNUMBER($H33),YEAR($H33)&amp;"-"&amp;TEXT(MONTH($H33),"00"),""),""))))</f>
        <v/>
      </c>
      <c r="W33" s="71">
        <f>IF($D33="",0,IF(AND(OR(fClient="All",$B33=fClient),fCampaign="All",OR(fTeam="All",$E33=fTeam),OR(fChannel="All",$C33=fChannel,AND(fChannel="Content",OR($C33="Blog",$C33="Case Study",$C33="Whitepaper")),AND(fChannel="Webinar / Events",$C33="Webinar")),OR(fMonth="All",$V33=fMonth)),1,0))</f>
        <v>0</v>
      </c>
      <c r="X33" s="71">
        <f>IF($D33="",0,IF(AND(OR(fClient="All",$B33=fClient),fCampaign="All",OR(fTeam="All",$E33=fTeam),OR(fChannel="All",$C33=fChannel,AND(fChannel="Content",OR($C33="Blog",$C33="Case Study",$C33="Whitepaper")),AND(fChannel="Webinar / Events",$C33="Webinar"))),1,0))</f>
        <v>0</v>
      </c>
    </row>
    <row r="34">
      <c r="A34" s="63" t="n"/>
      <c r="B34" s="64" t="n"/>
      <c r="C34" s="64" t="n"/>
      <c r="D34" s="65" t="n"/>
      <c r="E34" s="64" t="n"/>
      <c r="F34" s="64" t="n"/>
      <c r="G34" s="64" t="n"/>
      <c r="H34" s="63" t="n"/>
      <c r="I34" s="63" t="n"/>
      <c r="J34" s="63" t="n"/>
      <c r="K34" s="67" t="n"/>
      <c r="L34" s="67" t="n"/>
      <c r="M34" s="67" t="n"/>
      <c r="N34" s="65" t="n"/>
      <c r="O34" s="64" t="n"/>
      <c r="P34" s="67" t="n"/>
      <c r="Q34" s="65" t="n"/>
      <c r="R34" s="65" t="n"/>
      <c r="S34" s="65" t="n"/>
      <c r="T34" s="71">
        <f>IF($D34="",0,IF(OR($G34="Published",$G34="Completed",$G34="Cancelled"),0,1))</f>
        <v>0</v>
      </c>
      <c r="U34" s="69" t="str">
        <f>IF($D34="","",IF(AND($T34=1,ISNUMBER($I34)),IF($I34&lt;ReportDate,ReportDate-$I34,0),0))</f>
        <v/>
      </c>
      <c r="V34" s="71" t="str">
        <f>IF($D34="","",IF(ISNUMBER($A34),IF(ISNUMBER($A34),YEAR($A34)&amp;"-"&amp;TEXT(MONTH($A34),"00"),""),IF(ISNUMBER($I34),IF(ISNUMBER($I34),YEAR($I34)&amp;"-"&amp;TEXT(MONTH($I34),"00"),""),IF(ISNUMBER($H34),IF(ISNUMBER($H34),YEAR($H34)&amp;"-"&amp;TEXT(MONTH($H34),"00"),""),""))))</f>
        <v/>
      </c>
      <c r="W34" s="71">
        <f>IF($D34="",0,IF(AND(OR(fClient="All",$B34=fClient),fCampaign="All",OR(fTeam="All",$E34=fTeam),OR(fChannel="All",$C34=fChannel,AND(fChannel="Content",OR($C34="Blog",$C34="Case Study",$C34="Whitepaper")),AND(fChannel="Webinar / Events",$C34="Webinar")),OR(fMonth="All",$V34=fMonth)),1,0))</f>
        <v>0</v>
      </c>
      <c r="X34" s="71">
        <f>IF($D34="",0,IF(AND(OR(fClient="All",$B34=fClient),fCampaign="All",OR(fTeam="All",$E34=fTeam),OR(fChannel="All",$C34=fChannel,AND(fChannel="Content",OR($C34="Blog",$C34="Case Study",$C34="Whitepaper")),AND(fChannel="Webinar / Events",$C34="Webinar"))),1,0))</f>
        <v>0</v>
      </c>
    </row>
    <row r="35">
      <c r="A35" s="63" t="n"/>
      <c r="B35" s="64" t="n"/>
      <c r="C35" s="64" t="n"/>
      <c r="D35" s="65" t="n"/>
      <c r="E35" s="64" t="n"/>
      <c r="F35" s="64" t="n"/>
      <c r="G35" s="64" t="n"/>
      <c r="H35" s="63" t="n"/>
      <c r="I35" s="63" t="n"/>
      <c r="J35" s="63" t="n"/>
      <c r="K35" s="67" t="n"/>
      <c r="L35" s="67" t="n"/>
      <c r="M35" s="67" t="n"/>
      <c r="N35" s="65" t="n"/>
      <c r="O35" s="64" t="n"/>
      <c r="P35" s="67" t="n"/>
      <c r="Q35" s="65" t="n"/>
      <c r="R35" s="65" t="n"/>
      <c r="S35" s="65" t="n"/>
      <c r="T35" s="71">
        <f>IF($D35="",0,IF(OR($G35="Published",$G35="Completed",$G35="Cancelled"),0,1))</f>
        <v>0</v>
      </c>
      <c r="U35" s="69" t="str">
        <f>IF($D35="","",IF(AND($T35=1,ISNUMBER($I35)),IF($I35&lt;ReportDate,ReportDate-$I35,0),0))</f>
        <v/>
      </c>
      <c r="V35" s="71" t="str">
        <f>IF($D35="","",IF(ISNUMBER($A35),IF(ISNUMBER($A35),YEAR($A35)&amp;"-"&amp;TEXT(MONTH($A35),"00"),""),IF(ISNUMBER($I35),IF(ISNUMBER($I35),YEAR($I35)&amp;"-"&amp;TEXT(MONTH($I35),"00"),""),IF(ISNUMBER($H35),IF(ISNUMBER($H35),YEAR($H35)&amp;"-"&amp;TEXT(MONTH($H35),"00"),""),""))))</f>
        <v/>
      </c>
      <c r="W35" s="71">
        <f>IF($D35="",0,IF(AND(OR(fClient="All",$B35=fClient),fCampaign="All",OR(fTeam="All",$E35=fTeam),OR(fChannel="All",$C35=fChannel,AND(fChannel="Content",OR($C35="Blog",$C35="Case Study",$C35="Whitepaper")),AND(fChannel="Webinar / Events",$C35="Webinar")),OR(fMonth="All",$V35=fMonth)),1,0))</f>
        <v>0</v>
      </c>
      <c r="X35" s="71">
        <f>IF($D35="",0,IF(AND(OR(fClient="All",$B35=fClient),fCampaign="All",OR(fTeam="All",$E35=fTeam),OR(fChannel="All",$C35=fChannel,AND(fChannel="Content",OR($C35="Blog",$C35="Case Study",$C35="Whitepaper")),AND(fChannel="Webinar / Events",$C35="Webinar"))),1,0))</f>
        <v>0</v>
      </c>
    </row>
    <row r="36">
      <c r="A36" s="63" t="n"/>
      <c r="B36" s="64" t="n"/>
      <c r="C36" s="64" t="n"/>
      <c r="D36" s="65" t="n"/>
      <c r="E36" s="64" t="n"/>
      <c r="F36" s="64" t="n"/>
      <c r="G36" s="64" t="n"/>
      <c r="H36" s="63" t="n"/>
      <c r="I36" s="63" t="n"/>
      <c r="J36" s="63" t="n"/>
      <c r="K36" s="67" t="n"/>
      <c r="L36" s="67" t="n"/>
      <c r="M36" s="67" t="n"/>
      <c r="N36" s="65" t="n"/>
      <c r="O36" s="64" t="n"/>
      <c r="P36" s="67" t="n"/>
      <c r="Q36" s="65" t="n"/>
      <c r="R36" s="65" t="n"/>
      <c r="S36" s="65" t="n"/>
      <c r="T36" s="71">
        <f>IF($D36="",0,IF(OR($G36="Published",$G36="Completed",$G36="Cancelled"),0,1))</f>
        <v>0</v>
      </c>
      <c r="U36" s="69" t="str">
        <f>IF($D36="","",IF(AND($T36=1,ISNUMBER($I36)),IF($I36&lt;ReportDate,ReportDate-$I36,0),0))</f>
        <v/>
      </c>
      <c r="V36" s="71" t="str">
        <f>IF($D36="","",IF(ISNUMBER($A36),IF(ISNUMBER($A36),YEAR($A36)&amp;"-"&amp;TEXT(MONTH($A36),"00"),""),IF(ISNUMBER($I36),IF(ISNUMBER($I36),YEAR($I36)&amp;"-"&amp;TEXT(MONTH($I36),"00"),""),IF(ISNUMBER($H36),IF(ISNUMBER($H36),YEAR($H36)&amp;"-"&amp;TEXT(MONTH($H36),"00"),""),""))))</f>
        <v/>
      </c>
      <c r="W36" s="71">
        <f>IF($D36="",0,IF(AND(OR(fClient="All",$B36=fClient),fCampaign="All",OR(fTeam="All",$E36=fTeam),OR(fChannel="All",$C36=fChannel,AND(fChannel="Content",OR($C36="Blog",$C36="Case Study",$C36="Whitepaper")),AND(fChannel="Webinar / Events",$C36="Webinar")),OR(fMonth="All",$V36=fMonth)),1,0))</f>
        <v>0</v>
      </c>
      <c r="X36" s="71">
        <f>IF($D36="",0,IF(AND(OR(fClient="All",$B36=fClient),fCampaign="All",OR(fTeam="All",$E36=fTeam),OR(fChannel="All",$C36=fChannel,AND(fChannel="Content",OR($C36="Blog",$C36="Case Study",$C36="Whitepaper")),AND(fChannel="Webinar / Events",$C36="Webinar"))),1,0))</f>
        <v>0</v>
      </c>
    </row>
    <row r="37">
      <c r="A37" s="63" t="n"/>
      <c r="B37" s="64" t="n"/>
      <c r="C37" s="64" t="n"/>
      <c r="D37" s="65" t="n"/>
      <c r="E37" s="64" t="n"/>
      <c r="F37" s="64" t="n"/>
      <c r="G37" s="64" t="n"/>
      <c r="H37" s="63" t="n"/>
      <c r="I37" s="63" t="n"/>
      <c r="J37" s="63" t="n"/>
      <c r="K37" s="67" t="n"/>
      <c r="L37" s="67" t="n"/>
      <c r="M37" s="67" t="n"/>
      <c r="N37" s="65" t="n"/>
      <c r="O37" s="64" t="n"/>
      <c r="P37" s="67" t="n"/>
      <c r="Q37" s="65" t="n"/>
      <c r="R37" s="65" t="n"/>
      <c r="S37" s="65" t="n"/>
      <c r="T37" s="71">
        <f>IF($D37="",0,IF(OR($G37="Published",$G37="Completed",$G37="Cancelled"),0,1))</f>
        <v>0</v>
      </c>
      <c r="U37" s="69" t="str">
        <f>IF($D37="","",IF(AND($T37=1,ISNUMBER($I37)),IF($I37&lt;ReportDate,ReportDate-$I37,0),0))</f>
        <v/>
      </c>
      <c r="V37" s="71" t="str">
        <f>IF($D37="","",IF(ISNUMBER($A37),IF(ISNUMBER($A37),YEAR($A37)&amp;"-"&amp;TEXT(MONTH($A37),"00"),""),IF(ISNUMBER($I37),IF(ISNUMBER($I37),YEAR($I37)&amp;"-"&amp;TEXT(MONTH($I37),"00"),""),IF(ISNUMBER($H37),IF(ISNUMBER($H37),YEAR($H37)&amp;"-"&amp;TEXT(MONTH($H37),"00"),""),""))))</f>
        <v/>
      </c>
      <c r="W37" s="71">
        <f>IF($D37="",0,IF(AND(OR(fClient="All",$B37=fClient),fCampaign="All",OR(fTeam="All",$E37=fTeam),OR(fChannel="All",$C37=fChannel,AND(fChannel="Content",OR($C37="Blog",$C37="Case Study",$C37="Whitepaper")),AND(fChannel="Webinar / Events",$C37="Webinar")),OR(fMonth="All",$V37=fMonth)),1,0))</f>
        <v>0</v>
      </c>
      <c r="X37" s="71">
        <f>IF($D37="",0,IF(AND(OR(fClient="All",$B37=fClient),fCampaign="All",OR(fTeam="All",$E37=fTeam),OR(fChannel="All",$C37=fChannel,AND(fChannel="Content",OR($C37="Blog",$C37="Case Study",$C37="Whitepaper")),AND(fChannel="Webinar / Events",$C37="Webinar"))),1,0))</f>
        <v>0</v>
      </c>
    </row>
    <row r="38">
      <c r="A38" s="63" t="n"/>
      <c r="B38" s="64" t="n"/>
      <c r="C38" s="64" t="n"/>
      <c r="D38" s="65" t="n"/>
      <c r="E38" s="64" t="n"/>
      <c r="F38" s="64" t="n"/>
      <c r="G38" s="64" t="n"/>
      <c r="H38" s="63" t="n"/>
      <c r="I38" s="63" t="n"/>
      <c r="J38" s="63" t="n"/>
      <c r="K38" s="67" t="n"/>
      <c r="L38" s="67" t="n"/>
      <c r="M38" s="67" t="n"/>
      <c r="N38" s="65" t="n"/>
      <c r="O38" s="64" t="n"/>
      <c r="P38" s="67" t="n"/>
      <c r="Q38" s="65" t="n"/>
      <c r="R38" s="65" t="n"/>
      <c r="S38" s="65" t="n"/>
      <c r="T38" s="71">
        <f>IF($D38="",0,IF(OR($G38="Published",$G38="Completed",$G38="Cancelled"),0,1))</f>
        <v>0</v>
      </c>
      <c r="U38" s="69" t="str">
        <f>IF($D38="","",IF(AND($T38=1,ISNUMBER($I38)),IF($I38&lt;ReportDate,ReportDate-$I38,0),0))</f>
        <v/>
      </c>
      <c r="V38" s="71" t="str">
        <f>IF($D38="","",IF(ISNUMBER($A38),IF(ISNUMBER($A38),YEAR($A38)&amp;"-"&amp;TEXT(MONTH($A38),"00"),""),IF(ISNUMBER($I38),IF(ISNUMBER($I38),YEAR($I38)&amp;"-"&amp;TEXT(MONTH($I38),"00"),""),IF(ISNUMBER($H38),IF(ISNUMBER($H38),YEAR($H38)&amp;"-"&amp;TEXT(MONTH($H38),"00"),""),""))))</f>
        <v/>
      </c>
      <c r="W38" s="71">
        <f>IF($D38="",0,IF(AND(OR(fClient="All",$B38=fClient),fCampaign="All",OR(fTeam="All",$E38=fTeam),OR(fChannel="All",$C38=fChannel,AND(fChannel="Content",OR($C38="Blog",$C38="Case Study",$C38="Whitepaper")),AND(fChannel="Webinar / Events",$C38="Webinar")),OR(fMonth="All",$V38=fMonth)),1,0))</f>
        <v>0</v>
      </c>
      <c r="X38" s="71">
        <f>IF($D38="",0,IF(AND(OR(fClient="All",$B38=fClient),fCampaign="All",OR(fTeam="All",$E38=fTeam),OR(fChannel="All",$C38=fChannel,AND(fChannel="Content",OR($C38="Blog",$C38="Case Study",$C38="Whitepaper")),AND(fChannel="Webinar / Events",$C38="Webinar"))),1,0))</f>
        <v>0</v>
      </c>
    </row>
    <row r="39">
      <c r="A39" s="63" t="n"/>
      <c r="B39" s="64" t="n"/>
      <c r="C39" s="64" t="n"/>
      <c r="D39" s="65" t="n"/>
      <c r="E39" s="64" t="n"/>
      <c r="F39" s="64" t="n"/>
      <c r="G39" s="64" t="n"/>
      <c r="H39" s="63" t="n"/>
      <c r="I39" s="63" t="n"/>
      <c r="J39" s="63" t="n"/>
      <c r="K39" s="67" t="n"/>
      <c r="L39" s="67" t="n"/>
      <c r="M39" s="67" t="n"/>
      <c r="N39" s="65" t="n"/>
      <c r="O39" s="64" t="n"/>
      <c r="P39" s="67" t="n"/>
      <c r="Q39" s="65" t="n"/>
      <c r="R39" s="65" t="n"/>
      <c r="S39" s="65" t="n"/>
      <c r="T39" s="71">
        <f>IF($D39="",0,IF(OR($G39="Published",$G39="Completed",$G39="Cancelled"),0,1))</f>
        <v>0</v>
      </c>
      <c r="U39" s="69" t="str">
        <f>IF($D39="","",IF(AND($T39=1,ISNUMBER($I39)),IF($I39&lt;ReportDate,ReportDate-$I39,0),0))</f>
        <v/>
      </c>
      <c r="V39" s="71" t="str">
        <f>IF($D39="","",IF(ISNUMBER($A39),IF(ISNUMBER($A39),YEAR($A39)&amp;"-"&amp;TEXT(MONTH($A39),"00"),""),IF(ISNUMBER($I39),IF(ISNUMBER($I39),YEAR($I39)&amp;"-"&amp;TEXT(MONTH($I39),"00"),""),IF(ISNUMBER($H39),IF(ISNUMBER($H39),YEAR($H39)&amp;"-"&amp;TEXT(MONTH($H39),"00"),""),""))))</f>
        <v/>
      </c>
      <c r="W39" s="71">
        <f>IF($D39="",0,IF(AND(OR(fClient="All",$B39=fClient),fCampaign="All",OR(fTeam="All",$E39=fTeam),OR(fChannel="All",$C39=fChannel,AND(fChannel="Content",OR($C39="Blog",$C39="Case Study",$C39="Whitepaper")),AND(fChannel="Webinar / Events",$C39="Webinar")),OR(fMonth="All",$V39=fMonth)),1,0))</f>
        <v>0</v>
      </c>
      <c r="X39" s="71">
        <f>IF($D39="",0,IF(AND(OR(fClient="All",$B39=fClient),fCampaign="All",OR(fTeam="All",$E39=fTeam),OR(fChannel="All",$C39=fChannel,AND(fChannel="Content",OR($C39="Blog",$C39="Case Study",$C39="Whitepaper")),AND(fChannel="Webinar / Events",$C39="Webinar"))),1,0))</f>
        <v>0</v>
      </c>
    </row>
    <row r="40">
      <c r="A40" s="63" t="n"/>
      <c r="B40" s="64" t="n"/>
      <c r="C40" s="64" t="n"/>
      <c r="D40" s="65" t="n"/>
      <c r="E40" s="64" t="n"/>
      <c r="F40" s="64" t="n"/>
      <c r="G40" s="64" t="n"/>
      <c r="H40" s="63" t="n"/>
      <c r="I40" s="63" t="n"/>
      <c r="J40" s="63" t="n"/>
      <c r="K40" s="67" t="n"/>
      <c r="L40" s="67" t="n"/>
      <c r="M40" s="67" t="n"/>
      <c r="N40" s="65" t="n"/>
      <c r="O40" s="64" t="n"/>
      <c r="P40" s="67" t="n"/>
      <c r="Q40" s="65" t="n"/>
      <c r="R40" s="65" t="n"/>
      <c r="S40" s="65" t="n"/>
      <c r="T40" s="71">
        <f>IF($D40="",0,IF(OR($G40="Published",$G40="Completed",$G40="Cancelled"),0,1))</f>
        <v>0</v>
      </c>
      <c r="U40" s="69" t="str">
        <f>IF($D40="","",IF(AND($T40=1,ISNUMBER($I40)),IF($I40&lt;ReportDate,ReportDate-$I40,0),0))</f>
        <v/>
      </c>
      <c r="V40" s="71" t="str">
        <f>IF($D40="","",IF(ISNUMBER($A40),IF(ISNUMBER($A40),YEAR($A40)&amp;"-"&amp;TEXT(MONTH($A40),"00"),""),IF(ISNUMBER($I40),IF(ISNUMBER($I40),YEAR($I40)&amp;"-"&amp;TEXT(MONTH($I40),"00"),""),IF(ISNUMBER($H40),IF(ISNUMBER($H40),YEAR($H40)&amp;"-"&amp;TEXT(MONTH($H40),"00"),""),""))))</f>
        <v/>
      </c>
      <c r="W40" s="71">
        <f>IF($D40="",0,IF(AND(OR(fClient="All",$B40=fClient),fCampaign="All",OR(fTeam="All",$E40=fTeam),OR(fChannel="All",$C40=fChannel,AND(fChannel="Content",OR($C40="Blog",$C40="Case Study",$C40="Whitepaper")),AND(fChannel="Webinar / Events",$C40="Webinar")),OR(fMonth="All",$V40=fMonth)),1,0))</f>
        <v>0</v>
      </c>
      <c r="X40" s="71">
        <f>IF($D40="",0,IF(AND(OR(fClient="All",$B40=fClient),fCampaign="All",OR(fTeam="All",$E40=fTeam),OR(fChannel="All",$C40=fChannel,AND(fChannel="Content",OR($C40="Blog",$C40="Case Study",$C40="Whitepaper")),AND(fChannel="Webinar / Events",$C40="Webinar"))),1,0))</f>
        <v>0</v>
      </c>
    </row>
    <row r="41">
      <c r="A41" s="63" t="n"/>
      <c r="B41" s="64" t="n"/>
      <c r="C41" s="64" t="n"/>
      <c r="D41" s="65" t="n"/>
      <c r="E41" s="64" t="n"/>
      <c r="F41" s="64" t="n"/>
      <c r="G41" s="64" t="n"/>
      <c r="H41" s="63" t="n"/>
      <c r="I41" s="63" t="n"/>
      <c r="J41" s="63" t="n"/>
      <c r="K41" s="67" t="n"/>
      <c r="L41" s="67" t="n"/>
      <c r="M41" s="67" t="n"/>
      <c r="N41" s="65" t="n"/>
      <c r="O41" s="64" t="n"/>
      <c r="P41" s="67" t="n"/>
      <c r="Q41" s="65" t="n"/>
      <c r="R41" s="65" t="n"/>
      <c r="S41" s="65" t="n"/>
      <c r="T41" s="71">
        <f>IF($D41="",0,IF(OR($G41="Published",$G41="Completed",$G41="Cancelled"),0,1))</f>
        <v>0</v>
      </c>
      <c r="U41" s="69" t="str">
        <f>IF($D41="","",IF(AND($T41=1,ISNUMBER($I41)),IF($I41&lt;ReportDate,ReportDate-$I41,0),0))</f>
        <v/>
      </c>
      <c r="V41" s="71" t="str">
        <f>IF($D41="","",IF(ISNUMBER($A41),IF(ISNUMBER($A41),YEAR($A41)&amp;"-"&amp;TEXT(MONTH($A41),"00"),""),IF(ISNUMBER($I41),IF(ISNUMBER($I41),YEAR($I41)&amp;"-"&amp;TEXT(MONTH($I41),"00"),""),IF(ISNUMBER($H41),IF(ISNUMBER($H41),YEAR($H41)&amp;"-"&amp;TEXT(MONTH($H41),"00"),""),""))))</f>
        <v/>
      </c>
      <c r="W41" s="71">
        <f>IF($D41="",0,IF(AND(OR(fClient="All",$B41=fClient),fCampaign="All",OR(fTeam="All",$E41=fTeam),OR(fChannel="All",$C41=fChannel,AND(fChannel="Content",OR($C41="Blog",$C41="Case Study",$C41="Whitepaper")),AND(fChannel="Webinar / Events",$C41="Webinar")),OR(fMonth="All",$V41=fMonth)),1,0))</f>
        <v>0</v>
      </c>
      <c r="X41" s="71">
        <f>IF($D41="",0,IF(AND(OR(fClient="All",$B41=fClient),fCampaign="All",OR(fTeam="All",$E41=fTeam),OR(fChannel="All",$C41=fChannel,AND(fChannel="Content",OR($C41="Blog",$C41="Case Study",$C41="Whitepaper")),AND(fChannel="Webinar / Events",$C41="Webinar"))),1,0))</f>
        <v>0</v>
      </c>
    </row>
    <row r="42">
      <c r="A42" s="63" t="n"/>
      <c r="B42" s="64" t="n"/>
      <c r="C42" s="64" t="n"/>
      <c r="D42" s="65" t="n"/>
      <c r="E42" s="64" t="n"/>
      <c r="F42" s="64" t="n"/>
      <c r="G42" s="64" t="n"/>
      <c r="H42" s="63" t="n"/>
      <c r="I42" s="63" t="n"/>
      <c r="J42" s="63" t="n"/>
      <c r="K42" s="67" t="n"/>
      <c r="L42" s="67" t="n"/>
      <c r="M42" s="67" t="n"/>
      <c r="N42" s="65" t="n"/>
      <c r="O42" s="64" t="n"/>
      <c r="P42" s="67" t="n"/>
      <c r="Q42" s="65" t="n"/>
      <c r="R42" s="65" t="n"/>
      <c r="S42" s="65" t="n"/>
      <c r="T42" s="71">
        <f>IF($D42="",0,IF(OR($G42="Published",$G42="Completed",$G42="Cancelled"),0,1))</f>
        <v>0</v>
      </c>
      <c r="U42" s="69" t="str">
        <f>IF($D42="","",IF(AND($T42=1,ISNUMBER($I42)),IF($I42&lt;ReportDate,ReportDate-$I42,0),0))</f>
        <v/>
      </c>
      <c r="V42" s="71" t="str">
        <f>IF($D42="","",IF(ISNUMBER($A42),IF(ISNUMBER($A42),YEAR($A42)&amp;"-"&amp;TEXT(MONTH($A42),"00"),""),IF(ISNUMBER($I42),IF(ISNUMBER($I42),YEAR($I42)&amp;"-"&amp;TEXT(MONTH($I42),"00"),""),IF(ISNUMBER($H42),IF(ISNUMBER($H42),YEAR($H42)&amp;"-"&amp;TEXT(MONTH($H42),"00"),""),""))))</f>
        <v/>
      </c>
      <c r="W42" s="71">
        <f>IF($D42="",0,IF(AND(OR(fClient="All",$B42=fClient),fCampaign="All",OR(fTeam="All",$E42=fTeam),OR(fChannel="All",$C42=fChannel,AND(fChannel="Content",OR($C42="Blog",$C42="Case Study",$C42="Whitepaper")),AND(fChannel="Webinar / Events",$C42="Webinar")),OR(fMonth="All",$V42=fMonth)),1,0))</f>
        <v>0</v>
      </c>
      <c r="X42" s="71">
        <f>IF($D42="",0,IF(AND(OR(fClient="All",$B42=fClient),fCampaign="All",OR(fTeam="All",$E42=fTeam),OR(fChannel="All",$C42=fChannel,AND(fChannel="Content",OR($C42="Blog",$C42="Case Study",$C42="Whitepaper")),AND(fChannel="Webinar / Events",$C42="Webinar"))),1,0))</f>
        <v>0</v>
      </c>
    </row>
    <row r="43">
      <c r="A43" s="63" t="n"/>
      <c r="B43" s="64" t="n"/>
      <c r="C43" s="64" t="n"/>
      <c r="D43" s="65" t="n"/>
      <c r="E43" s="64" t="n"/>
      <c r="F43" s="64" t="n"/>
      <c r="G43" s="64" t="n"/>
      <c r="H43" s="63" t="n"/>
      <c r="I43" s="63" t="n"/>
      <c r="J43" s="63" t="n"/>
      <c r="K43" s="67" t="n"/>
      <c r="L43" s="67" t="n"/>
      <c r="M43" s="67" t="n"/>
      <c r="N43" s="65" t="n"/>
      <c r="O43" s="64" t="n"/>
      <c r="P43" s="67" t="n"/>
      <c r="Q43" s="65" t="n"/>
      <c r="R43" s="65" t="n"/>
      <c r="S43" s="65" t="n"/>
      <c r="T43" s="71">
        <f>IF($D43="",0,IF(OR($G43="Published",$G43="Completed",$G43="Cancelled"),0,1))</f>
        <v>0</v>
      </c>
      <c r="U43" s="69" t="str">
        <f>IF($D43="","",IF(AND($T43=1,ISNUMBER($I43)),IF($I43&lt;ReportDate,ReportDate-$I43,0),0))</f>
        <v/>
      </c>
      <c r="V43" s="71" t="str">
        <f>IF($D43="","",IF(ISNUMBER($A43),IF(ISNUMBER($A43),YEAR($A43)&amp;"-"&amp;TEXT(MONTH($A43),"00"),""),IF(ISNUMBER($I43),IF(ISNUMBER($I43),YEAR($I43)&amp;"-"&amp;TEXT(MONTH($I43),"00"),""),IF(ISNUMBER($H43),IF(ISNUMBER($H43),YEAR($H43)&amp;"-"&amp;TEXT(MONTH($H43),"00"),""),""))))</f>
        <v/>
      </c>
      <c r="W43" s="71">
        <f>IF($D43="",0,IF(AND(OR(fClient="All",$B43=fClient),fCampaign="All",OR(fTeam="All",$E43=fTeam),OR(fChannel="All",$C43=fChannel,AND(fChannel="Content",OR($C43="Blog",$C43="Case Study",$C43="Whitepaper")),AND(fChannel="Webinar / Events",$C43="Webinar")),OR(fMonth="All",$V43=fMonth)),1,0))</f>
        <v>0</v>
      </c>
      <c r="X43" s="71">
        <f>IF($D43="",0,IF(AND(OR(fClient="All",$B43=fClient),fCampaign="All",OR(fTeam="All",$E43=fTeam),OR(fChannel="All",$C43=fChannel,AND(fChannel="Content",OR($C43="Blog",$C43="Case Study",$C43="Whitepaper")),AND(fChannel="Webinar / Events",$C43="Webinar"))),1,0))</f>
        <v>0</v>
      </c>
    </row>
    <row r="44">
      <c r="A44" s="63" t="n"/>
      <c r="B44" s="64" t="n"/>
      <c r="C44" s="64" t="n"/>
      <c r="D44" s="65" t="n"/>
      <c r="E44" s="64" t="n"/>
      <c r="F44" s="64" t="n"/>
      <c r="G44" s="64" t="n"/>
      <c r="H44" s="63" t="n"/>
      <c r="I44" s="63" t="n"/>
      <c r="J44" s="63" t="n"/>
      <c r="K44" s="67" t="n"/>
      <c r="L44" s="67" t="n"/>
      <c r="M44" s="67" t="n"/>
      <c r="N44" s="65" t="n"/>
      <c r="O44" s="64" t="n"/>
      <c r="P44" s="67" t="n"/>
      <c r="Q44" s="65" t="n"/>
      <c r="R44" s="65" t="n"/>
      <c r="S44" s="65" t="n"/>
      <c r="T44" s="71">
        <f>IF($D44="",0,IF(OR($G44="Published",$G44="Completed",$G44="Cancelled"),0,1))</f>
        <v>0</v>
      </c>
      <c r="U44" s="69" t="str">
        <f>IF($D44="","",IF(AND($T44=1,ISNUMBER($I44)),IF($I44&lt;ReportDate,ReportDate-$I44,0),0))</f>
        <v/>
      </c>
      <c r="V44" s="71" t="str">
        <f>IF($D44="","",IF(ISNUMBER($A44),IF(ISNUMBER($A44),YEAR($A44)&amp;"-"&amp;TEXT(MONTH($A44),"00"),""),IF(ISNUMBER($I44),IF(ISNUMBER($I44),YEAR($I44)&amp;"-"&amp;TEXT(MONTH($I44),"00"),""),IF(ISNUMBER($H44),IF(ISNUMBER($H44),YEAR($H44)&amp;"-"&amp;TEXT(MONTH($H44),"00"),""),""))))</f>
        <v/>
      </c>
      <c r="W44" s="71">
        <f>IF($D44="",0,IF(AND(OR(fClient="All",$B44=fClient),fCampaign="All",OR(fTeam="All",$E44=fTeam),OR(fChannel="All",$C44=fChannel,AND(fChannel="Content",OR($C44="Blog",$C44="Case Study",$C44="Whitepaper")),AND(fChannel="Webinar / Events",$C44="Webinar")),OR(fMonth="All",$V44=fMonth)),1,0))</f>
        <v>0</v>
      </c>
      <c r="X44" s="71">
        <f>IF($D44="",0,IF(AND(OR(fClient="All",$B44=fClient),fCampaign="All",OR(fTeam="All",$E44=fTeam),OR(fChannel="All",$C44=fChannel,AND(fChannel="Content",OR($C44="Blog",$C44="Case Study",$C44="Whitepaper")),AND(fChannel="Webinar / Events",$C44="Webinar"))),1,0))</f>
        <v>0</v>
      </c>
    </row>
    <row r="45">
      <c r="A45" s="63" t="n"/>
      <c r="B45" s="64" t="n"/>
      <c r="C45" s="64" t="n"/>
      <c r="D45" s="65" t="n"/>
      <c r="E45" s="64" t="n"/>
      <c r="F45" s="64" t="n"/>
      <c r="G45" s="64" t="n"/>
      <c r="H45" s="63" t="n"/>
      <c r="I45" s="63" t="n"/>
      <c r="J45" s="63" t="n"/>
      <c r="K45" s="67" t="n"/>
      <c r="L45" s="67" t="n"/>
      <c r="M45" s="67" t="n"/>
      <c r="N45" s="65" t="n"/>
      <c r="O45" s="64" t="n"/>
      <c r="P45" s="67" t="n"/>
      <c r="Q45" s="65" t="n"/>
      <c r="R45" s="65" t="n"/>
      <c r="S45" s="65" t="n"/>
      <c r="T45" s="71">
        <f>IF($D45="",0,IF(OR($G45="Published",$G45="Completed",$G45="Cancelled"),0,1))</f>
        <v>0</v>
      </c>
      <c r="U45" s="69" t="str">
        <f>IF($D45="","",IF(AND($T45=1,ISNUMBER($I45)),IF($I45&lt;ReportDate,ReportDate-$I45,0),0))</f>
        <v/>
      </c>
      <c r="V45" s="71" t="str">
        <f>IF($D45="","",IF(ISNUMBER($A45),IF(ISNUMBER($A45),YEAR($A45)&amp;"-"&amp;TEXT(MONTH($A45),"00"),""),IF(ISNUMBER($I45),IF(ISNUMBER($I45),YEAR($I45)&amp;"-"&amp;TEXT(MONTH($I45),"00"),""),IF(ISNUMBER($H45),IF(ISNUMBER($H45),YEAR($H45)&amp;"-"&amp;TEXT(MONTH($H45),"00"),""),""))))</f>
        <v/>
      </c>
      <c r="W45" s="71">
        <f>IF($D45="",0,IF(AND(OR(fClient="All",$B45=fClient),fCampaign="All",OR(fTeam="All",$E45=fTeam),OR(fChannel="All",$C45=fChannel,AND(fChannel="Content",OR($C45="Blog",$C45="Case Study",$C45="Whitepaper")),AND(fChannel="Webinar / Events",$C45="Webinar")),OR(fMonth="All",$V45=fMonth)),1,0))</f>
        <v>0</v>
      </c>
      <c r="X45" s="71">
        <f>IF($D45="",0,IF(AND(OR(fClient="All",$B45=fClient),fCampaign="All",OR(fTeam="All",$E45=fTeam),OR(fChannel="All",$C45=fChannel,AND(fChannel="Content",OR($C45="Blog",$C45="Case Study",$C45="Whitepaper")),AND(fChannel="Webinar / Events",$C45="Webinar"))),1,0))</f>
        <v>0</v>
      </c>
    </row>
    <row r="46">
      <c r="A46" s="63" t="n"/>
      <c r="B46" s="64" t="n"/>
      <c r="C46" s="64" t="n"/>
      <c r="D46" s="65" t="n"/>
      <c r="E46" s="64" t="n"/>
      <c r="F46" s="64" t="n"/>
      <c r="G46" s="64" t="n"/>
      <c r="H46" s="63" t="n"/>
      <c r="I46" s="63" t="n"/>
      <c r="J46" s="63" t="n"/>
      <c r="K46" s="67" t="n"/>
      <c r="L46" s="67" t="n"/>
      <c r="M46" s="67" t="n"/>
      <c r="N46" s="65" t="n"/>
      <c r="O46" s="64" t="n"/>
      <c r="P46" s="67" t="n"/>
      <c r="Q46" s="65" t="n"/>
      <c r="R46" s="65" t="n"/>
      <c r="S46" s="65" t="n"/>
      <c r="T46" s="71">
        <f>IF($D46="",0,IF(OR($G46="Published",$G46="Completed",$G46="Cancelled"),0,1))</f>
        <v>0</v>
      </c>
      <c r="U46" s="69" t="str">
        <f>IF($D46="","",IF(AND($T46=1,ISNUMBER($I46)),IF($I46&lt;ReportDate,ReportDate-$I46,0),0))</f>
        <v/>
      </c>
      <c r="V46" s="71" t="str">
        <f>IF($D46="","",IF(ISNUMBER($A46),IF(ISNUMBER($A46),YEAR($A46)&amp;"-"&amp;TEXT(MONTH($A46),"00"),""),IF(ISNUMBER($I46),IF(ISNUMBER($I46),YEAR($I46)&amp;"-"&amp;TEXT(MONTH($I46),"00"),""),IF(ISNUMBER($H46),IF(ISNUMBER($H46),YEAR($H46)&amp;"-"&amp;TEXT(MONTH($H46),"00"),""),""))))</f>
        <v/>
      </c>
      <c r="W46" s="71">
        <f>IF($D46="",0,IF(AND(OR(fClient="All",$B46=fClient),fCampaign="All",OR(fTeam="All",$E46=fTeam),OR(fChannel="All",$C46=fChannel,AND(fChannel="Content",OR($C46="Blog",$C46="Case Study",$C46="Whitepaper")),AND(fChannel="Webinar / Events",$C46="Webinar")),OR(fMonth="All",$V46=fMonth)),1,0))</f>
        <v>0</v>
      </c>
      <c r="X46" s="71">
        <f>IF($D46="",0,IF(AND(OR(fClient="All",$B46=fClient),fCampaign="All",OR(fTeam="All",$E46=fTeam),OR(fChannel="All",$C46=fChannel,AND(fChannel="Content",OR($C46="Blog",$C46="Case Study",$C46="Whitepaper")),AND(fChannel="Webinar / Events",$C46="Webinar"))),1,0))</f>
        <v>0</v>
      </c>
    </row>
    <row r="47">
      <c r="A47" s="63" t="n"/>
      <c r="B47" s="64" t="n"/>
      <c r="C47" s="64" t="n"/>
      <c r="D47" s="65" t="n"/>
      <c r="E47" s="64" t="n"/>
      <c r="F47" s="64" t="n"/>
      <c r="G47" s="64" t="n"/>
      <c r="H47" s="63" t="n"/>
      <c r="I47" s="63" t="n"/>
      <c r="J47" s="63" t="n"/>
      <c r="K47" s="67" t="n"/>
      <c r="L47" s="67" t="n"/>
      <c r="M47" s="67" t="n"/>
      <c r="N47" s="65" t="n"/>
      <c r="O47" s="64" t="n"/>
      <c r="P47" s="67" t="n"/>
      <c r="Q47" s="65" t="n"/>
      <c r="R47" s="65" t="n"/>
      <c r="S47" s="65" t="n"/>
      <c r="T47" s="71">
        <f>IF($D47="",0,IF(OR($G47="Published",$G47="Completed",$G47="Cancelled"),0,1))</f>
        <v>0</v>
      </c>
      <c r="U47" s="69" t="str">
        <f>IF($D47="","",IF(AND($T47=1,ISNUMBER($I47)),IF($I47&lt;ReportDate,ReportDate-$I47,0),0))</f>
        <v/>
      </c>
      <c r="V47" s="71" t="str">
        <f>IF($D47="","",IF(ISNUMBER($A47),IF(ISNUMBER($A47),YEAR($A47)&amp;"-"&amp;TEXT(MONTH($A47),"00"),""),IF(ISNUMBER($I47),IF(ISNUMBER($I47),YEAR($I47)&amp;"-"&amp;TEXT(MONTH($I47),"00"),""),IF(ISNUMBER($H47),IF(ISNUMBER($H47),YEAR($H47)&amp;"-"&amp;TEXT(MONTH($H47),"00"),""),""))))</f>
        <v/>
      </c>
      <c r="W47" s="71">
        <f>IF($D47="",0,IF(AND(OR(fClient="All",$B47=fClient),fCampaign="All",OR(fTeam="All",$E47=fTeam),OR(fChannel="All",$C47=fChannel,AND(fChannel="Content",OR($C47="Blog",$C47="Case Study",$C47="Whitepaper")),AND(fChannel="Webinar / Events",$C47="Webinar")),OR(fMonth="All",$V47=fMonth)),1,0))</f>
        <v>0</v>
      </c>
      <c r="X47" s="71">
        <f>IF($D47="",0,IF(AND(OR(fClient="All",$B47=fClient),fCampaign="All",OR(fTeam="All",$E47=fTeam),OR(fChannel="All",$C47=fChannel,AND(fChannel="Content",OR($C47="Blog",$C47="Case Study",$C47="Whitepaper")),AND(fChannel="Webinar / Events",$C47="Webinar"))),1,0))</f>
        <v>0</v>
      </c>
    </row>
    <row r="48">
      <c r="A48" s="63" t="n"/>
      <c r="B48" s="64" t="n"/>
      <c r="C48" s="64" t="n"/>
      <c r="D48" s="65" t="n"/>
      <c r="E48" s="64" t="n"/>
      <c r="F48" s="64" t="n"/>
      <c r="G48" s="64" t="n"/>
      <c r="H48" s="63" t="n"/>
      <c r="I48" s="63" t="n"/>
      <c r="J48" s="63" t="n"/>
      <c r="K48" s="67" t="n"/>
      <c r="L48" s="67" t="n"/>
      <c r="M48" s="67" t="n"/>
      <c r="N48" s="65" t="n"/>
      <c r="O48" s="64" t="n"/>
      <c r="P48" s="67" t="n"/>
      <c r="Q48" s="65" t="n"/>
      <c r="R48" s="65" t="n"/>
      <c r="S48" s="65" t="n"/>
      <c r="T48" s="71">
        <f>IF($D48="",0,IF(OR($G48="Published",$G48="Completed",$G48="Cancelled"),0,1))</f>
        <v>0</v>
      </c>
      <c r="U48" s="69" t="str">
        <f>IF($D48="","",IF(AND($T48=1,ISNUMBER($I48)),IF($I48&lt;ReportDate,ReportDate-$I48,0),0))</f>
        <v/>
      </c>
      <c r="V48" s="71" t="str">
        <f>IF($D48="","",IF(ISNUMBER($A48),IF(ISNUMBER($A48),YEAR($A48)&amp;"-"&amp;TEXT(MONTH($A48),"00"),""),IF(ISNUMBER($I48),IF(ISNUMBER($I48),YEAR($I48)&amp;"-"&amp;TEXT(MONTH($I48),"00"),""),IF(ISNUMBER($H48),IF(ISNUMBER($H48),YEAR($H48)&amp;"-"&amp;TEXT(MONTH($H48),"00"),""),""))))</f>
        <v/>
      </c>
      <c r="W48" s="71">
        <f>IF($D48="",0,IF(AND(OR(fClient="All",$B48=fClient),fCampaign="All",OR(fTeam="All",$E48=fTeam),OR(fChannel="All",$C48=fChannel,AND(fChannel="Content",OR($C48="Blog",$C48="Case Study",$C48="Whitepaper")),AND(fChannel="Webinar / Events",$C48="Webinar")),OR(fMonth="All",$V48=fMonth)),1,0))</f>
        <v>0</v>
      </c>
      <c r="X48" s="71">
        <f>IF($D48="",0,IF(AND(OR(fClient="All",$B48=fClient),fCampaign="All",OR(fTeam="All",$E48=fTeam),OR(fChannel="All",$C48=fChannel,AND(fChannel="Content",OR($C48="Blog",$C48="Case Study",$C48="Whitepaper")),AND(fChannel="Webinar / Events",$C48="Webinar"))),1,0))</f>
        <v>0</v>
      </c>
    </row>
    <row r="49">
      <c r="A49" s="63" t="n"/>
      <c r="B49" s="64" t="n"/>
      <c r="C49" s="64" t="n"/>
      <c r="D49" s="65" t="n"/>
      <c r="E49" s="64" t="n"/>
      <c r="F49" s="64" t="n"/>
      <c r="G49" s="64" t="n"/>
      <c r="H49" s="63" t="n"/>
      <c r="I49" s="63" t="n"/>
      <c r="J49" s="63" t="n"/>
      <c r="K49" s="67" t="n"/>
      <c r="L49" s="67" t="n"/>
      <c r="M49" s="67" t="n"/>
      <c r="N49" s="65" t="n"/>
      <c r="O49" s="64" t="n"/>
      <c r="P49" s="67" t="n"/>
      <c r="Q49" s="65" t="n"/>
      <c r="R49" s="65" t="n"/>
      <c r="S49" s="65" t="n"/>
      <c r="T49" s="71">
        <f>IF($D49="",0,IF(OR($G49="Published",$G49="Completed",$G49="Cancelled"),0,1))</f>
        <v>0</v>
      </c>
      <c r="U49" s="69" t="str">
        <f>IF($D49="","",IF(AND($T49=1,ISNUMBER($I49)),IF($I49&lt;ReportDate,ReportDate-$I49,0),0))</f>
        <v/>
      </c>
      <c r="V49" s="71" t="str">
        <f>IF($D49="","",IF(ISNUMBER($A49),IF(ISNUMBER($A49),YEAR($A49)&amp;"-"&amp;TEXT(MONTH($A49),"00"),""),IF(ISNUMBER($I49),IF(ISNUMBER($I49),YEAR($I49)&amp;"-"&amp;TEXT(MONTH($I49),"00"),""),IF(ISNUMBER($H49),IF(ISNUMBER($H49),YEAR($H49)&amp;"-"&amp;TEXT(MONTH($H49),"00"),""),""))))</f>
        <v/>
      </c>
      <c r="W49" s="71">
        <f>IF($D49="",0,IF(AND(OR(fClient="All",$B49=fClient),fCampaign="All",OR(fTeam="All",$E49=fTeam),OR(fChannel="All",$C49=fChannel,AND(fChannel="Content",OR($C49="Blog",$C49="Case Study",$C49="Whitepaper")),AND(fChannel="Webinar / Events",$C49="Webinar")),OR(fMonth="All",$V49=fMonth)),1,0))</f>
        <v>0</v>
      </c>
      <c r="X49" s="71">
        <f>IF($D49="",0,IF(AND(OR(fClient="All",$B49=fClient),fCampaign="All",OR(fTeam="All",$E49=fTeam),OR(fChannel="All",$C49=fChannel,AND(fChannel="Content",OR($C49="Blog",$C49="Case Study",$C49="Whitepaper")),AND(fChannel="Webinar / Events",$C49="Webinar"))),1,0))</f>
        <v>0</v>
      </c>
    </row>
    <row r="50">
      <c r="A50" s="63" t="n"/>
      <c r="B50" s="64" t="n"/>
      <c r="C50" s="64" t="n"/>
      <c r="D50" s="65" t="n"/>
      <c r="E50" s="64" t="n"/>
      <c r="F50" s="64" t="n"/>
      <c r="G50" s="64" t="n"/>
      <c r="H50" s="63" t="n"/>
      <c r="I50" s="63" t="n"/>
      <c r="J50" s="63" t="n"/>
      <c r="K50" s="67" t="n"/>
      <c r="L50" s="67" t="n"/>
      <c r="M50" s="67" t="n"/>
      <c r="N50" s="65" t="n"/>
      <c r="O50" s="64" t="n"/>
      <c r="P50" s="67" t="n"/>
      <c r="Q50" s="65" t="n"/>
      <c r="R50" s="65" t="n"/>
      <c r="S50" s="65" t="n"/>
      <c r="T50" s="71">
        <f>IF($D50="",0,IF(OR($G50="Published",$G50="Completed",$G50="Cancelled"),0,1))</f>
        <v>0</v>
      </c>
      <c r="U50" s="69" t="str">
        <f>IF($D50="","",IF(AND($T50=1,ISNUMBER($I50)),IF($I50&lt;ReportDate,ReportDate-$I50,0),0))</f>
        <v/>
      </c>
      <c r="V50" s="71" t="str">
        <f>IF($D50="","",IF(ISNUMBER($A50),IF(ISNUMBER($A50),YEAR($A50)&amp;"-"&amp;TEXT(MONTH($A50),"00"),""),IF(ISNUMBER($I50),IF(ISNUMBER($I50),YEAR($I50)&amp;"-"&amp;TEXT(MONTH($I50),"00"),""),IF(ISNUMBER($H50),IF(ISNUMBER($H50),YEAR($H50)&amp;"-"&amp;TEXT(MONTH($H50),"00"),""),""))))</f>
        <v/>
      </c>
      <c r="W50" s="71">
        <f>IF($D50="",0,IF(AND(OR(fClient="All",$B50=fClient),fCampaign="All",OR(fTeam="All",$E50=fTeam),OR(fChannel="All",$C50=fChannel,AND(fChannel="Content",OR($C50="Blog",$C50="Case Study",$C50="Whitepaper")),AND(fChannel="Webinar / Events",$C50="Webinar")),OR(fMonth="All",$V50=fMonth)),1,0))</f>
        <v>0</v>
      </c>
      <c r="X50" s="71">
        <f>IF($D50="",0,IF(AND(OR(fClient="All",$B50=fClient),fCampaign="All",OR(fTeam="All",$E50=fTeam),OR(fChannel="All",$C50=fChannel,AND(fChannel="Content",OR($C50="Blog",$C50="Case Study",$C50="Whitepaper")),AND(fChannel="Webinar / Events",$C50="Webinar"))),1,0))</f>
        <v>0</v>
      </c>
    </row>
    <row r="51">
      <c r="A51" s="63" t="n"/>
      <c r="B51" s="64" t="n"/>
      <c r="C51" s="64" t="n"/>
      <c r="D51" s="65" t="n"/>
      <c r="E51" s="64" t="n"/>
      <c r="F51" s="64" t="n"/>
      <c r="G51" s="64" t="n"/>
      <c r="H51" s="63" t="n"/>
      <c r="I51" s="63" t="n"/>
      <c r="J51" s="63" t="n"/>
      <c r="K51" s="67" t="n"/>
      <c r="L51" s="67" t="n"/>
      <c r="M51" s="67" t="n"/>
      <c r="N51" s="65" t="n"/>
      <c r="O51" s="64" t="n"/>
      <c r="P51" s="67" t="n"/>
      <c r="Q51" s="65" t="n"/>
      <c r="R51" s="65" t="n"/>
      <c r="S51" s="65" t="n"/>
      <c r="T51" s="71">
        <f>IF($D51="",0,IF(OR($G51="Published",$G51="Completed",$G51="Cancelled"),0,1))</f>
        <v>0</v>
      </c>
      <c r="U51" s="69" t="str">
        <f>IF($D51="","",IF(AND($T51=1,ISNUMBER($I51)),IF($I51&lt;ReportDate,ReportDate-$I51,0),0))</f>
        <v/>
      </c>
      <c r="V51" s="71" t="str">
        <f>IF($D51="","",IF(ISNUMBER($A51),IF(ISNUMBER($A51),YEAR($A51)&amp;"-"&amp;TEXT(MONTH($A51),"00"),""),IF(ISNUMBER($I51),IF(ISNUMBER($I51),YEAR($I51)&amp;"-"&amp;TEXT(MONTH($I51),"00"),""),IF(ISNUMBER($H51),IF(ISNUMBER($H51),YEAR($H51)&amp;"-"&amp;TEXT(MONTH($H51),"00"),""),""))))</f>
        <v/>
      </c>
      <c r="W51" s="71">
        <f>IF($D51="",0,IF(AND(OR(fClient="All",$B51=fClient),fCampaign="All",OR(fTeam="All",$E51=fTeam),OR(fChannel="All",$C51=fChannel,AND(fChannel="Content",OR($C51="Blog",$C51="Case Study",$C51="Whitepaper")),AND(fChannel="Webinar / Events",$C51="Webinar")),OR(fMonth="All",$V51=fMonth)),1,0))</f>
        <v>0</v>
      </c>
      <c r="X51" s="71">
        <f>IF($D51="",0,IF(AND(OR(fClient="All",$B51=fClient),fCampaign="All",OR(fTeam="All",$E51=fTeam),OR(fChannel="All",$C51=fChannel,AND(fChannel="Content",OR($C51="Blog",$C51="Case Study",$C51="Whitepaper")),AND(fChannel="Webinar / Events",$C51="Webinar"))),1,0))</f>
        <v>0</v>
      </c>
    </row>
    <row r="52">
      <c r="A52" s="63" t="n"/>
      <c r="B52" s="64" t="n"/>
      <c r="C52" s="64" t="n"/>
      <c r="D52" s="65" t="n"/>
      <c r="E52" s="64" t="n"/>
      <c r="F52" s="64" t="n"/>
      <c r="G52" s="64" t="n"/>
      <c r="H52" s="63" t="n"/>
      <c r="I52" s="63" t="n"/>
      <c r="J52" s="63" t="n"/>
      <c r="K52" s="67" t="n"/>
      <c r="L52" s="67" t="n"/>
      <c r="M52" s="67" t="n"/>
      <c r="N52" s="65" t="n"/>
      <c r="O52" s="64" t="n"/>
      <c r="P52" s="67" t="n"/>
      <c r="Q52" s="65" t="n"/>
      <c r="R52" s="65" t="n"/>
      <c r="S52" s="65" t="n"/>
      <c r="T52" s="71">
        <f>IF($D52="",0,IF(OR($G52="Published",$G52="Completed",$G52="Cancelled"),0,1))</f>
        <v>0</v>
      </c>
      <c r="U52" s="69" t="str">
        <f>IF($D52="","",IF(AND($T52=1,ISNUMBER($I52)),IF($I52&lt;ReportDate,ReportDate-$I52,0),0))</f>
        <v/>
      </c>
      <c r="V52" s="71" t="str">
        <f>IF($D52="","",IF(ISNUMBER($A52),IF(ISNUMBER($A52),YEAR($A52)&amp;"-"&amp;TEXT(MONTH($A52),"00"),""),IF(ISNUMBER($I52),IF(ISNUMBER($I52),YEAR($I52)&amp;"-"&amp;TEXT(MONTH($I52),"00"),""),IF(ISNUMBER($H52),IF(ISNUMBER($H52),YEAR($H52)&amp;"-"&amp;TEXT(MONTH($H52),"00"),""),""))))</f>
        <v/>
      </c>
      <c r="W52" s="71">
        <f>IF($D52="",0,IF(AND(OR(fClient="All",$B52=fClient),fCampaign="All",OR(fTeam="All",$E52=fTeam),OR(fChannel="All",$C52=fChannel,AND(fChannel="Content",OR($C52="Blog",$C52="Case Study",$C52="Whitepaper")),AND(fChannel="Webinar / Events",$C52="Webinar")),OR(fMonth="All",$V52=fMonth)),1,0))</f>
        <v>0</v>
      </c>
      <c r="X52" s="71">
        <f>IF($D52="",0,IF(AND(OR(fClient="All",$B52=fClient),fCampaign="All",OR(fTeam="All",$E52=fTeam),OR(fChannel="All",$C52=fChannel,AND(fChannel="Content",OR($C52="Blog",$C52="Case Study",$C52="Whitepaper")),AND(fChannel="Webinar / Events",$C52="Webinar"))),1,0))</f>
        <v>0</v>
      </c>
    </row>
    <row r="53">
      <c r="A53" s="63" t="n"/>
      <c r="B53" s="64" t="n"/>
      <c r="C53" s="64" t="n"/>
      <c r="D53" s="65" t="n"/>
      <c r="E53" s="64" t="n"/>
      <c r="F53" s="64" t="n"/>
      <c r="G53" s="64" t="n"/>
      <c r="H53" s="63" t="n"/>
      <c r="I53" s="63" t="n"/>
      <c r="J53" s="63" t="n"/>
      <c r="K53" s="67" t="n"/>
      <c r="L53" s="67" t="n"/>
      <c r="M53" s="67" t="n"/>
      <c r="N53" s="65" t="n"/>
      <c r="O53" s="64" t="n"/>
      <c r="P53" s="67" t="n"/>
      <c r="Q53" s="65" t="n"/>
      <c r="R53" s="65" t="n"/>
      <c r="S53" s="65" t="n"/>
      <c r="T53" s="71">
        <f>IF($D53="",0,IF(OR($G53="Published",$G53="Completed",$G53="Cancelled"),0,1))</f>
        <v>0</v>
      </c>
      <c r="U53" s="69" t="str">
        <f>IF($D53="","",IF(AND($T53=1,ISNUMBER($I53)),IF($I53&lt;ReportDate,ReportDate-$I53,0),0))</f>
        <v/>
      </c>
      <c r="V53" s="71" t="str">
        <f>IF($D53="","",IF(ISNUMBER($A53),IF(ISNUMBER($A53),YEAR($A53)&amp;"-"&amp;TEXT(MONTH($A53),"00"),""),IF(ISNUMBER($I53),IF(ISNUMBER($I53),YEAR($I53)&amp;"-"&amp;TEXT(MONTH($I53),"00"),""),IF(ISNUMBER($H53),IF(ISNUMBER($H53),YEAR($H53)&amp;"-"&amp;TEXT(MONTH($H53),"00"),""),""))))</f>
        <v/>
      </c>
      <c r="W53" s="71">
        <f>IF($D53="",0,IF(AND(OR(fClient="All",$B53=fClient),fCampaign="All",OR(fTeam="All",$E53=fTeam),OR(fChannel="All",$C53=fChannel,AND(fChannel="Content",OR($C53="Blog",$C53="Case Study",$C53="Whitepaper")),AND(fChannel="Webinar / Events",$C53="Webinar")),OR(fMonth="All",$V53=fMonth)),1,0))</f>
        <v>0</v>
      </c>
      <c r="X53" s="71">
        <f>IF($D53="",0,IF(AND(OR(fClient="All",$B53=fClient),fCampaign="All",OR(fTeam="All",$E53=fTeam),OR(fChannel="All",$C53=fChannel,AND(fChannel="Content",OR($C53="Blog",$C53="Case Study",$C53="Whitepaper")),AND(fChannel="Webinar / Events",$C53="Webinar"))),1,0))</f>
        <v>0</v>
      </c>
    </row>
    <row r="54">
      <c r="A54" s="63" t="n"/>
      <c r="B54" s="64" t="n"/>
      <c r="C54" s="64" t="n"/>
      <c r="D54" s="65" t="n"/>
      <c r="E54" s="64" t="n"/>
      <c r="F54" s="64" t="n"/>
      <c r="G54" s="64" t="n"/>
      <c r="H54" s="63" t="n"/>
      <c r="I54" s="63" t="n"/>
      <c r="J54" s="63" t="n"/>
      <c r="K54" s="67" t="n"/>
      <c r="L54" s="67" t="n"/>
      <c r="M54" s="67" t="n"/>
      <c r="N54" s="65" t="n"/>
      <c r="O54" s="64" t="n"/>
      <c r="P54" s="67" t="n"/>
      <c r="Q54" s="65" t="n"/>
      <c r="R54" s="65" t="n"/>
      <c r="S54" s="65" t="n"/>
      <c r="T54" s="71">
        <f>IF($D54="",0,IF(OR($G54="Published",$G54="Completed",$G54="Cancelled"),0,1))</f>
        <v>0</v>
      </c>
      <c r="U54" s="69" t="str">
        <f>IF($D54="","",IF(AND($T54=1,ISNUMBER($I54)),IF($I54&lt;ReportDate,ReportDate-$I54,0),0))</f>
        <v/>
      </c>
      <c r="V54" s="71" t="str">
        <f>IF($D54="","",IF(ISNUMBER($A54),IF(ISNUMBER($A54),YEAR($A54)&amp;"-"&amp;TEXT(MONTH($A54),"00"),""),IF(ISNUMBER($I54),IF(ISNUMBER($I54),YEAR($I54)&amp;"-"&amp;TEXT(MONTH($I54),"00"),""),IF(ISNUMBER($H54),IF(ISNUMBER($H54),YEAR($H54)&amp;"-"&amp;TEXT(MONTH($H54),"00"),""),""))))</f>
        <v/>
      </c>
      <c r="W54" s="71">
        <f>IF($D54="",0,IF(AND(OR(fClient="All",$B54=fClient),fCampaign="All",OR(fTeam="All",$E54=fTeam),OR(fChannel="All",$C54=fChannel,AND(fChannel="Content",OR($C54="Blog",$C54="Case Study",$C54="Whitepaper")),AND(fChannel="Webinar / Events",$C54="Webinar")),OR(fMonth="All",$V54=fMonth)),1,0))</f>
        <v>0</v>
      </c>
      <c r="X54" s="71">
        <f>IF($D54="",0,IF(AND(OR(fClient="All",$B54=fClient),fCampaign="All",OR(fTeam="All",$E54=fTeam),OR(fChannel="All",$C54=fChannel,AND(fChannel="Content",OR($C54="Blog",$C54="Case Study",$C54="Whitepaper")),AND(fChannel="Webinar / Events",$C54="Webinar"))),1,0))</f>
        <v>0</v>
      </c>
    </row>
    <row r="55">
      <c r="A55" s="63" t="n"/>
      <c r="B55" s="64" t="n"/>
      <c r="C55" s="64" t="n"/>
      <c r="D55" s="65" t="n"/>
      <c r="E55" s="64" t="n"/>
      <c r="F55" s="64" t="n"/>
      <c r="G55" s="64" t="n"/>
      <c r="H55" s="63" t="n"/>
      <c r="I55" s="63" t="n"/>
      <c r="J55" s="63" t="n"/>
      <c r="K55" s="67" t="n"/>
      <c r="L55" s="67" t="n"/>
      <c r="M55" s="67" t="n"/>
      <c r="N55" s="65" t="n"/>
      <c r="O55" s="64" t="n"/>
      <c r="P55" s="67" t="n"/>
      <c r="Q55" s="65" t="n"/>
      <c r="R55" s="65" t="n"/>
      <c r="S55" s="65" t="n"/>
      <c r="T55" s="71">
        <f>IF($D55="",0,IF(OR($G55="Published",$G55="Completed",$G55="Cancelled"),0,1))</f>
        <v>0</v>
      </c>
      <c r="U55" s="69" t="str">
        <f>IF($D55="","",IF(AND($T55=1,ISNUMBER($I55)),IF($I55&lt;ReportDate,ReportDate-$I55,0),0))</f>
        <v/>
      </c>
      <c r="V55" s="71" t="str">
        <f>IF($D55="","",IF(ISNUMBER($A55),IF(ISNUMBER($A55),YEAR($A55)&amp;"-"&amp;TEXT(MONTH($A55),"00"),""),IF(ISNUMBER($I55),IF(ISNUMBER($I55),YEAR($I55)&amp;"-"&amp;TEXT(MONTH($I55),"00"),""),IF(ISNUMBER($H55),IF(ISNUMBER($H55),YEAR($H55)&amp;"-"&amp;TEXT(MONTH($H55),"00"),""),""))))</f>
        <v/>
      </c>
      <c r="W55" s="71">
        <f>IF($D55="",0,IF(AND(OR(fClient="All",$B55=fClient),fCampaign="All",OR(fTeam="All",$E55=fTeam),OR(fChannel="All",$C55=fChannel,AND(fChannel="Content",OR($C55="Blog",$C55="Case Study",$C55="Whitepaper")),AND(fChannel="Webinar / Events",$C55="Webinar")),OR(fMonth="All",$V55=fMonth)),1,0))</f>
        <v>0</v>
      </c>
      <c r="X55" s="71">
        <f>IF($D55="",0,IF(AND(OR(fClient="All",$B55=fClient),fCampaign="All",OR(fTeam="All",$E55=fTeam),OR(fChannel="All",$C55=fChannel,AND(fChannel="Content",OR($C55="Blog",$C55="Case Study",$C55="Whitepaper")),AND(fChannel="Webinar / Events",$C55="Webinar"))),1,0))</f>
        <v>0</v>
      </c>
    </row>
    <row r="56">
      <c r="A56" s="63" t="n"/>
      <c r="B56" s="64" t="n"/>
      <c r="C56" s="64" t="n"/>
      <c r="D56" s="65" t="n"/>
      <c r="E56" s="64" t="n"/>
      <c r="F56" s="64" t="n"/>
      <c r="G56" s="64" t="n"/>
      <c r="H56" s="63" t="n"/>
      <c r="I56" s="63" t="n"/>
      <c r="J56" s="63" t="n"/>
      <c r="K56" s="67" t="n"/>
      <c r="L56" s="67" t="n"/>
      <c r="M56" s="67" t="n"/>
      <c r="N56" s="65" t="n"/>
      <c r="O56" s="64" t="n"/>
      <c r="P56" s="67" t="n"/>
      <c r="Q56" s="65" t="n"/>
      <c r="R56" s="65" t="n"/>
      <c r="S56" s="65" t="n"/>
      <c r="T56" s="71">
        <f>IF($D56="",0,IF(OR($G56="Published",$G56="Completed",$G56="Cancelled"),0,1))</f>
        <v>0</v>
      </c>
      <c r="U56" s="69" t="str">
        <f>IF($D56="","",IF(AND($T56=1,ISNUMBER($I56)),IF($I56&lt;ReportDate,ReportDate-$I56,0),0))</f>
        <v/>
      </c>
      <c r="V56" s="71" t="str">
        <f>IF($D56="","",IF(ISNUMBER($A56),IF(ISNUMBER($A56),YEAR($A56)&amp;"-"&amp;TEXT(MONTH($A56),"00"),""),IF(ISNUMBER($I56),IF(ISNUMBER($I56),YEAR($I56)&amp;"-"&amp;TEXT(MONTH($I56),"00"),""),IF(ISNUMBER($H56),IF(ISNUMBER($H56),YEAR($H56)&amp;"-"&amp;TEXT(MONTH($H56),"00"),""),""))))</f>
        <v/>
      </c>
      <c r="W56" s="71">
        <f>IF($D56="",0,IF(AND(OR(fClient="All",$B56=fClient),fCampaign="All",OR(fTeam="All",$E56=fTeam),OR(fChannel="All",$C56=fChannel,AND(fChannel="Content",OR($C56="Blog",$C56="Case Study",$C56="Whitepaper")),AND(fChannel="Webinar / Events",$C56="Webinar")),OR(fMonth="All",$V56=fMonth)),1,0))</f>
        <v>0</v>
      </c>
      <c r="X56" s="71">
        <f>IF($D56="",0,IF(AND(OR(fClient="All",$B56=fClient),fCampaign="All",OR(fTeam="All",$E56=fTeam),OR(fChannel="All",$C56=fChannel,AND(fChannel="Content",OR($C56="Blog",$C56="Case Study",$C56="Whitepaper")),AND(fChannel="Webinar / Events",$C56="Webinar"))),1,0))</f>
        <v>0</v>
      </c>
    </row>
    <row r="57">
      <c r="A57" s="63" t="n"/>
      <c r="B57" s="64" t="n"/>
      <c r="C57" s="64" t="n"/>
      <c r="D57" s="65" t="n"/>
      <c r="E57" s="64" t="n"/>
      <c r="F57" s="64" t="n"/>
      <c r="G57" s="64" t="n"/>
      <c r="H57" s="63" t="n"/>
      <c r="I57" s="63" t="n"/>
      <c r="J57" s="63" t="n"/>
      <c r="K57" s="67" t="n"/>
      <c r="L57" s="67" t="n"/>
      <c r="M57" s="67" t="n"/>
      <c r="N57" s="65" t="n"/>
      <c r="O57" s="64" t="n"/>
      <c r="P57" s="67" t="n"/>
      <c r="Q57" s="65" t="n"/>
      <c r="R57" s="65" t="n"/>
      <c r="S57" s="65" t="n"/>
      <c r="T57" s="71">
        <f>IF($D57="",0,IF(OR($G57="Published",$G57="Completed",$G57="Cancelled"),0,1))</f>
        <v>0</v>
      </c>
      <c r="U57" s="69" t="str">
        <f>IF($D57="","",IF(AND($T57=1,ISNUMBER($I57)),IF($I57&lt;ReportDate,ReportDate-$I57,0),0))</f>
        <v/>
      </c>
      <c r="V57" s="71" t="str">
        <f>IF($D57="","",IF(ISNUMBER($A57),IF(ISNUMBER($A57),YEAR($A57)&amp;"-"&amp;TEXT(MONTH($A57),"00"),""),IF(ISNUMBER($I57),IF(ISNUMBER($I57),YEAR($I57)&amp;"-"&amp;TEXT(MONTH($I57),"00"),""),IF(ISNUMBER($H57),IF(ISNUMBER($H57),YEAR($H57)&amp;"-"&amp;TEXT(MONTH($H57),"00"),""),""))))</f>
        <v/>
      </c>
      <c r="W57" s="71">
        <f>IF($D57="",0,IF(AND(OR(fClient="All",$B57=fClient),fCampaign="All",OR(fTeam="All",$E57=fTeam),OR(fChannel="All",$C57=fChannel,AND(fChannel="Content",OR($C57="Blog",$C57="Case Study",$C57="Whitepaper")),AND(fChannel="Webinar / Events",$C57="Webinar")),OR(fMonth="All",$V57=fMonth)),1,0))</f>
        <v>0</v>
      </c>
      <c r="X57" s="71">
        <f>IF($D57="",0,IF(AND(OR(fClient="All",$B57=fClient),fCampaign="All",OR(fTeam="All",$E57=fTeam),OR(fChannel="All",$C57=fChannel,AND(fChannel="Content",OR($C57="Blog",$C57="Case Study",$C57="Whitepaper")),AND(fChannel="Webinar / Events",$C57="Webinar"))),1,0))</f>
        <v>0</v>
      </c>
    </row>
    <row r="58">
      <c r="A58" s="63" t="n"/>
      <c r="B58" s="64" t="n"/>
      <c r="C58" s="64" t="n"/>
      <c r="D58" s="65" t="n"/>
      <c r="E58" s="64" t="n"/>
      <c r="F58" s="64" t="n"/>
      <c r="G58" s="64" t="n"/>
      <c r="H58" s="63" t="n"/>
      <c r="I58" s="63" t="n"/>
      <c r="J58" s="63" t="n"/>
      <c r="K58" s="67" t="n"/>
      <c r="L58" s="67" t="n"/>
      <c r="M58" s="67" t="n"/>
      <c r="N58" s="65" t="n"/>
      <c r="O58" s="64" t="n"/>
      <c r="P58" s="67" t="n"/>
      <c r="Q58" s="65" t="n"/>
      <c r="R58" s="65" t="n"/>
      <c r="S58" s="65" t="n"/>
      <c r="T58" s="71">
        <f>IF($D58="",0,IF(OR($G58="Published",$G58="Completed",$G58="Cancelled"),0,1))</f>
        <v>0</v>
      </c>
      <c r="U58" s="69" t="str">
        <f>IF($D58="","",IF(AND($T58=1,ISNUMBER($I58)),IF($I58&lt;ReportDate,ReportDate-$I58,0),0))</f>
        <v/>
      </c>
      <c r="V58" s="71" t="str">
        <f>IF($D58="","",IF(ISNUMBER($A58),IF(ISNUMBER($A58),YEAR($A58)&amp;"-"&amp;TEXT(MONTH($A58),"00"),""),IF(ISNUMBER($I58),IF(ISNUMBER($I58),YEAR($I58)&amp;"-"&amp;TEXT(MONTH($I58),"00"),""),IF(ISNUMBER($H58),IF(ISNUMBER($H58),YEAR($H58)&amp;"-"&amp;TEXT(MONTH($H58),"00"),""),""))))</f>
        <v/>
      </c>
      <c r="W58" s="71">
        <f>IF($D58="",0,IF(AND(OR(fClient="All",$B58=fClient),fCampaign="All",OR(fTeam="All",$E58=fTeam),OR(fChannel="All",$C58=fChannel,AND(fChannel="Content",OR($C58="Blog",$C58="Case Study",$C58="Whitepaper")),AND(fChannel="Webinar / Events",$C58="Webinar")),OR(fMonth="All",$V58=fMonth)),1,0))</f>
        <v>0</v>
      </c>
      <c r="X58" s="71">
        <f>IF($D58="",0,IF(AND(OR(fClient="All",$B58=fClient),fCampaign="All",OR(fTeam="All",$E58=fTeam),OR(fChannel="All",$C58=fChannel,AND(fChannel="Content",OR($C58="Blog",$C58="Case Study",$C58="Whitepaper")),AND(fChannel="Webinar / Events",$C58="Webinar"))),1,0))</f>
        <v>0</v>
      </c>
    </row>
    <row r="59">
      <c r="A59" s="63" t="n"/>
      <c r="B59" s="64" t="n"/>
      <c r="C59" s="64" t="n"/>
      <c r="D59" s="65" t="n"/>
      <c r="E59" s="64" t="n"/>
      <c r="F59" s="64" t="n"/>
      <c r="G59" s="64" t="n"/>
      <c r="H59" s="63" t="n"/>
      <c r="I59" s="63" t="n"/>
      <c r="J59" s="63" t="n"/>
      <c r="K59" s="67" t="n"/>
      <c r="L59" s="67" t="n"/>
      <c r="M59" s="67" t="n"/>
      <c r="N59" s="65" t="n"/>
      <c r="O59" s="64" t="n"/>
      <c r="P59" s="67" t="n"/>
      <c r="Q59" s="65" t="n"/>
      <c r="R59" s="65" t="n"/>
      <c r="S59" s="65" t="n"/>
      <c r="T59" s="71">
        <f>IF($D59="",0,IF(OR($G59="Published",$G59="Completed",$G59="Cancelled"),0,1))</f>
        <v>0</v>
      </c>
      <c r="U59" s="69" t="str">
        <f>IF($D59="","",IF(AND($T59=1,ISNUMBER($I59)),IF($I59&lt;ReportDate,ReportDate-$I59,0),0))</f>
        <v/>
      </c>
      <c r="V59" s="71" t="str">
        <f>IF($D59="","",IF(ISNUMBER($A59),IF(ISNUMBER($A59),YEAR($A59)&amp;"-"&amp;TEXT(MONTH($A59),"00"),""),IF(ISNUMBER($I59),IF(ISNUMBER($I59),YEAR($I59)&amp;"-"&amp;TEXT(MONTH($I59),"00"),""),IF(ISNUMBER($H59),IF(ISNUMBER($H59),YEAR($H59)&amp;"-"&amp;TEXT(MONTH($H59),"00"),""),""))))</f>
        <v/>
      </c>
      <c r="W59" s="71">
        <f>IF($D59="",0,IF(AND(OR(fClient="All",$B59=fClient),fCampaign="All",OR(fTeam="All",$E59=fTeam),OR(fChannel="All",$C59=fChannel,AND(fChannel="Content",OR($C59="Blog",$C59="Case Study",$C59="Whitepaper")),AND(fChannel="Webinar / Events",$C59="Webinar")),OR(fMonth="All",$V59=fMonth)),1,0))</f>
        <v>0</v>
      </c>
      <c r="X59" s="71">
        <f>IF($D59="",0,IF(AND(OR(fClient="All",$B59=fClient),fCampaign="All",OR(fTeam="All",$E59=fTeam),OR(fChannel="All",$C59=fChannel,AND(fChannel="Content",OR($C59="Blog",$C59="Case Study",$C59="Whitepaper")),AND(fChannel="Webinar / Events",$C59="Webinar"))),1,0))</f>
        <v>0</v>
      </c>
    </row>
    <row r="60">
      <c r="A60" s="63" t="n"/>
      <c r="B60" s="64" t="n"/>
      <c r="C60" s="64" t="n"/>
      <c r="D60" s="65" t="n"/>
      <c r="E60" s="64" t="n"/>
      <c r="F60" s="64" t="n"/>
      <c r="G60" s="64" t="n"/>
      <c r="H60" s="63" t="n"/>
      <c r="I60" s="63" t="n"/>
      <c r="J60" s="63" t="n"/>
      <c r="K60" s="67" t="n"/>
      <c r="L60" s="67" t="n"/>
      <c r="M60" s="67" t="n"/>
      <c r="N60" s="65" t="n"/>
      <c r="O60" s="64" t="n"/>
      <c r="P60" s="67" t="n"/>
      <c r="Q60" s="65" t="n"/>
      <c r="R60" s="65" t="n"/>
      <c r="S60" s="65" t="n"/>
      <c r="T60" s="71">
        <f>IF($D60="",0,IF(OR($G60="Published",$G60="Completed",$G60="Cancelled"),0,1))</f>
        <v>0</v>
      </c>
      <c r="U60" s="69" t="str">
        <f>IF($D60="","",IF(AND($T60=1,ISNUMBER($I60)),IF($I60&lt;ReportDate,ReportDate-$I60,0),0))</f>
        <v/>
      </c>
      <c r="V60" s="71" t="str">
        <f>IF($D60="","",IF(ISNUMBER($A60),IF(ISNUMBER($A60),YEAR($A60)&amp;"-"&amp;TEXT(MONTH($A60),"00"),""),IF(ISNUMBER($I60),IF(ISNUMBER($I60),YEAR($I60)&amp;"-"&amp;TEXT(MONTH($I60),"00"),""),IF(ISNUMBER($H60),IF(ISNUMBER($H60),YEAR($H60)&amp;"-"&amp;TEXT(MONTH($H60),"00"),""),""))))</f>
        <v/>
      </c>
      <c r="W60" s="71">
        <f>IF($D60="",0,IF(AND(OR(fClient="All",$B60=fClient),fCampaign="All",OR(fTeam="All",$E60=fTeam),OR(fChannel="All",$C60=fChannel,AND(fChannel="Content",OR($C60="Blog",$C60="Case Study",$C60="Whitepaper")),AND(fChannel="Webinar / Events",$C60="Webinar")),OR(fMonth="All",$V60=fMonth)),1,0))</f>
        <v>0</v>
      </c>
      <c r="X60" s="71">
        <f>IF($D60="",0,IF(AND(OR(fClient="All",$B60=fClient),fCampaign="All",OR(fTeam="All",$E60=fTeam),OR(fChannel="All",$C60=fChannel,AND(fChannel="Content",OR($C60="Blog",$C60="Case Study",$C60="Whitepaper")),AND(fChannel="Webinar / Events",$C60="Webinar"))),1,0))</f>
        <v>0</v>
      </c>
    </row>
    <row r="61">
      <c r="A61" s="63" t="n"/>
      <c r="B61" s="64" t="n"/>
      <c r="C61" s="64" t="n"/>
      <c r="D61" s="65" t="n"/>
      <c r="E61" s="64" t="n"/>
      <c r="F61" s="64" t="n"/>
      <c r="G61" s="64" t="n"/>
      <c r="H61" s="63" t="n"/>
      <c r="I61" s="63" t="n"/>
      <c r="J61" s="63" t="n"/>
      <c r="K61" s="67" t="n"/>
      <c r="L61" s="67" t="n"/>
      <c r="M61" s="67" t="n"/>
      <c r="N61" s="65" t="n"/>
      <c r="O61" s="64" t="n"/>
      <c r="P61" s="67" t="n"/>
      <c r="Q61" s="65" t="n"/>
      <c r="R61" s="65" t="n"/>
      <c r="S61" s="65" t="n"/>
      <c r="T61" s="71">
        <f>IF($D61="",0,IF(OR($G61="Published",$G61="Completed",$G61="Cancelled"),0,1))</f>
        <v>0</v>
      </c>
      <c r="U61" s="69" t="str">
        <f>IF($D61="","",IF(AND($T61=1,ISNUMBER($I61)),IF($I61&lt;ReportDate,ReportDate-$I61,0),0))</f>
        <v/>
      </c>
      <c r="V61" s="71" t="str">
        <f>IF($D61="","",IF(ISNUMBER($A61),IF(ISNUMBER($A61),YEAR($A61)&amp;"-"&amp;TEXT(MONTH($A61),"00"),""),IF(ISNUMBER($I61),IF(ISNUMBER($I61),YEAR($I61)&amp;"-"&amp;TEXT(MONTH($I61),"00"),""),IF(ISNUMBER($H61),IF(ISNUMBER($H61),YEAR($H61)&amp;"-"&amp;TEXT(MONTH($H61),"00"),""),""))))</f>
        <v/>
      </c>
      <c r="W61" s="71">
        <f>IF($D61="",0,IF(AND(OR(fClient="All",$B61=fClient),fCampaign="All",OR(fTeam="All",$E61=fTeam),OR(fChannel="All",$C61=fChannel,AND(fChannel="Content",OR($C61="Blog",$C61="Case Study",$C61="Whitepaper")),AND(fChannel="Webinar / Events",$C61="Webinar")),OR(fMonth="All",$V61=fMonth)),1,0))</f>
        <v>0</v>
      </c>
      <c r="X61" s="71">
        <f>IF($D61="",0,IF(AND(OR(fClient="All",$B61=fClient),fCampaign="All",OR(fTeam="All",$E61=fTeam),OR(fChannel="All",$C61=fChannel,AND(fChannel="Content",OR($C61="Blog",$C61="Case Study",$C61="Whitepaper")),AND(fChannel="Webinar / Events",$C61="Webinar"))),1,0))</f>
        <v>0</v>
      </c>
    </row>
    <row r="62">
      <c r="A62" s="63" t="n"/>
      <c r="B62" s="64" t="n"/>
      <c r="C62" s="64" t="n"/>
      <c r="D62" s="65" t="n"/>
      <c r="E62" s="64" t="n"/>
      <c r="F62" s="64" t="n"/>
      <c r="G62" s="64" t="n"/>
      <c r="H62" s="63" t="n"/>
      <c r="I62" s="63" t="n"/>
      <c r="J62" s="63" t="n"/>
      <c r="K62" s="67" t="n"/>
      <c r="L62" s="67" t="n"/>
      <c r="M62" s="67" t="n"/>
      <c r="N62" s="65" t="n"/>
      <c r="O62" s="64" t="n"/>
      <c r="P62" s="67" t="n"/>
      <c r="Q62" s="65" t="n"/>
      <c r="R62" s="65" t="n"/>
      <c r="S62" s="65" t="n"/>
      <c r="T62" s="71">
        <f>IF($D62="",0,IF(OR($G62="Published",$G62="Completed",$G62="Cancelled"),0,1))</f>
        <v>0</v>
      </c>
      <c r="U62" s="69" t="str">
        <f>IF($D62="","",IF(AND($T62=1,ISNUMBER($I62)),IF($I62&lt;ReportDate,ReportDate-$I62,0),0))</f>
        <v/>
      </c>
      <c r="V62" s="71" t="str">
        <f>IF($D62="","",IF(ISNUMBER($A62),IF(ISNUMBER($A62),YEAR($A62)&amp;"-"&amp;TEXT(MONTH($A62),"00"),""),IF(ISNUMBER($I62),IF(ISNUMBER($I62),YEAR($I62)&amp;"-"&amp;TEXT(MONTH($I62),"00"),""),IF(ISNUMBER($H62),IF(ISNUMBER($H62),YEAR($H62)&amp;"-"&amp;TEXT(MONTH($H62),"00"),""),""))))</f>
        <v/>
      </c>
      <c r="W62" s="71">
        <f>IF($D62="",0,IF(AND(OR(fClient="All",$B62=fClient),fCampaign="All",OR(fTeam="All",$E62=fTeam),OR(fChannel="All",$C62=fChannel,AND(fChannel="Content",OR($C62="Blog",$C62="Case Study",$C62="Whitepaper")),AND(fChannel="Webinar / Events",$C62="Webinar")),OR(fMonth="All",$V62=fMonth)),1,0))</f>
        <v>0</v>
      </c>
      <c r="X62" s="71">
        <f>IF($D62="",0,IF(AND(OR(fClient="All",$B62=fClient),fCampaign="All",OR(fTeam="All",$E62=fTeam),OR(fChannel="All",$C62=fChannel,AND(fChannel="Content",OR($C62="Blog",$C62="Case Study",$C62="Whitepaper")),AND(fChannel="Webinar / Events",$C62="Webinar"))),1,0))</f>
        <v>0</v>
      </c>
    </row>
    <row r="63">
      <c r="A63" s="63" t="n"/>
      <c r="B63" s="64" t="n"/>
      <c r="C63" s="64" t="n"/>
      <c r="D63" s="65" t="n"/>
      <c r="E63" s="64" t="n"/>
      <c r="F63" s="64" t="n"/>
      <c r="G63" s="64" t="n"/>
      <c r="H63" s="63" t="n"/>
      <c r="I63" s="63" t="n"/>
      <c r="J63" s="63" t="n"/>
      <c r="K63" s="67" t="n"/>
      <c r="L63" s="67" t="n"/>
      <c r="M63" s="67" t="n"/>
      <c r="N63" s="65" t="n"/>
      <c r="O63" s="64" t="n"/>
      <c r="P63" s="67" t="n"/>
      <c r="Q63" s="65" t="n"/>
      <c r="R63" s="65" t="n"/>
      <c r="S63" s="65" t="n"/>
      <c r="T63" s="71">
        <f>IF($D63="",0,IF(OR($G63="Published",$G63="Completed",$G63="Cancelled"),0,1))</f>
        <v>0</v>
      </c>
      <c r="U63" s="69" t="str">
        <f>IF($D63="","",IF(AND($T63=1,ISNUMBER($I63)),IF($I63&lt;ReportDate,ReportDate-$I63,0),0))</f>
        <v/>
      </c>
      <c r="V63" s="71" t="str">
        <f>IF($D63="","",IF(ISNUMBER($A63),IF(ISNUMBER($A63),YEAR($A63)&amp;"-"&amp;TEXT(MONTH($A63),"00"),""),IF(ISNUMBER($I63),IF(ISNUMBER($I63),YEAR($I63)&amp;"-"&amp;TEXT(MONTH($I63),"00"),""),IF(ISNUMBER($H63),IF(ISNUMBER($H63),YEAR($H63)&amp;"-"&amp;TEXT(MONTH($H63),"00"),""),""))))</f>
        <v/>
      </c>
      <c r="W63" s="71">
        <f>IF($D63="",0,IF(AND(OR(fClient="All",$B63=fClient),fCampaign="All",OR(fTeam="All",$E63=fTeam),OR(fChannel="All",$C63=fChannel,AND(fChannel="Content",OR($C63="Blog",$C63="Case Study",$C63="Whitepaper")),AND(fChannel="Webinar / Events",$C63="Webinar")),OR(fMonth="All",$V63=fMonth)),1,0))</f>
        <v>0</v>
      </c>
      <c r="X63" s="71">
        <f>IF($D63="",0,IF(AND(OR(fClient="All",$B63=fClient),fCampaign="All",OR(fTeam="All",$E63=fTeam),OR(fChannel="All",$C63=fChannel,AND(fChannel="Content",OR($C63="Blog",$C63="Case Study",$C63="Whitepaper")),AND(fChannel="Webinar / Events",$C63="Webinar"))),1,0))</f>
        <v>0</v>
      </c>
    </row>
    <row r="64">
      <c r="A64" s="63" t="n"/>
      <c r="B64" s="64" t="n"/>
      <c r="C64" s="64" t="n"/>
      <c r="D64" s="65" t="n"/>
      <c r="E64" s="64" t="n"/>
      <c r="F64" s="64" t="n"/>
      <c r="G64" s="64" t="n"/>
      <c r="H64" s="63" t="n"/>
      <c r="I64" s="63" t="n"/>
      <c r="J64" s="63" t="n"/>
      <c r="K64" s="67" t="n"/>
      <c r="L64" s="67" t="n"/>
      <c r="M64" s="67" t="n"/>
      <c r="N64" s="65" t="n"/>
      <c r="O64" s="64" t="n"/>
      <c r="P64" s="67" t="n"/>
      <c r="Q64" s="65" t="n"/>
      <c r="R64" s="65" t="n"/>
      <c r="S64" s="65" t="n"/>
      <c r="T64" s="71">
        <f>IF($D64="",0,IF(OR($G64="Published",$G64="Completed",$G64="Cancelled"),0,1))</f>
        <v>0</v>
      </c>
      <c r="U64" s="69" t="str">
        <f>IF($D64="","",IF(AND($T64=1,ISNUMBER($I64)),IF($I64&lt;ReportDate,ReportDate-$I64,0),0))</f>
        <v/>
      </c>
      <c r="V64" s="71" t="str">
        <f>IF($D64="","",IF(ISNUMBER($A64),IF(ISNUMBER($A64),YEAR($A64)&amp;"-"&amp;TEXT(MONTH($A64),"00"),""),IF(ISNUMBER($I64),IF(ISNUMBER($I64),YEAR($I64)&amp;"-"&amp;TEXT(MONTH($I64),"00"),""),IF(ISNUMBER($H64),IF(ISNUMBER($H64),YEAR($H64)&amp;"-"&amp;TEXT(MONTH($H64),"00"),""),""))))</f>
        <v/>
      </c>
      <c r="W64" s="71">
        <f>IF($D64="",0,IF(AND(OR(fClient="All",$B64=fClient),fCampaign="All",OR(fTeam="All",$E64=fTeam),OR(fChannel="All",$C64=fChannel,AND(fChannel="Content",OR($C64="Blog",$C64="Case Study",$C64="Whitepaper")),AND(fChannel="Webinar / Events",$C64="Webinar")),OR(fMonth="All",$V64=fMonth)),1,0))</f>
        <v>0</v>
      </c>
      <c r="X64" s="71">
        <f>IF($D64="",0,IF(AND(OR(fClient="All",$B64=fClient),fCampaign="All",OR(fTeam="All",$E64=fTeam),OR(fChannel="All",$C64=fChannel,AND(fChannel="Content",OR($C64="Blog",$C64="Case Study",$C64="Whitepaper")),AND(fChannel="Webinar / Events",$C64="Webinar"))),1,0))</f>
        <v>0</v>
      </c>
    </row>
    <row r="65">
      <c r="A65" s="63" t="n"/>
      <c r="B65" s="64" t="n"/>
      <c r="C65" s="64" t="n"/>
      <c r="D65" s="65" t="n"/>
      <c r="E65" s="64" t="n"/>
      <c r="F65" s="64" t="n"/>
      <c r="G65" s="64" t="n"/>
      <c r="H65" s="63" t="n"/>
      <c r="I65" s="63" t="n"/>
      <c r="J65" s="63" t="n"/>
      <c r="K65" s="67" t="n"/>
      <c r="L65" s="67" t="n"/>
      <c r="M65" s="67" t="n"/>
      <c r="N65" s="65" t="n"/>
      <c r="O65" s="64" t="n"/>
      <c r="P65" s="67" t="n"/>
      <c r="Q65" s="65" t="n"/>
      <c r="R65" s="65" t="n"/>
      <c r="S65" s="65" t="n"/>
      <c r="T65" s="71">
        <f>IF($D65="",0,IF(OR($G65="Published",$G65="Completed",$G65="Cancelled"),0,1))</f>
        <v>0</v>
      </c>
      <c r="U65" s="69" t="str">
        <f>IF($D65="","",IF(AND($T65=1,ISNUMBER($I65)),IF($I65&lt;ReportDate,ReportDate-$I65,0),0))</f>
        <v/>
      </c>
      <c r="V65" s="71" t="str">
        <f>IF($D65="","",IF(ISNUMBER($A65),IF(ISNUMBER($A65),YEAR($A65)&amp;"-"&amp;TEXT(MONTH($A65),"00"),""),IF(ISNUMBER($I65),IF(ISNUMBER($I65),YEAR($I65)&amp;"-"&amp;TEXT(MONTH($I65),"00"),""),IF(ISNUMBER($H65),IF(ISNUMBER($H65),YEAR($H65)&amp;"-"&amp;TEXT(MONTH($H65),"00"),""),""))))</f>
        <v/>
      </c>
      <c r="W65" s="71">
        <f>IF($D65="",0,IF(AND(OR(fClient="All",$B65=fClient),fCampaign="All",OR(fTeam="All",$E65=fTeam),OR(fChannel="All",$C65=fChannel,AND(fChannel="Content",OR($C65="Blog",$C65="Case Study",$C65="Whitepaper")),AND(fChannel="Webinar / Events",$C65="Webinar")),OR(fMonth="All",$V65=fMonth)),1,0))</f>
        <v>0</v>
      </c>
      <c r="X65" s="71">
        <f>IF($D65="",0,IF(AND(OR(fClient="All",$B65=fClient),fCampaign="All",OR(fTeam="All",$E65=fTeam),OR(fChannel="All",$C65=fChannel,AND(fChannel="Content",OR($C65="Blog",$C65="Case Study",$C65="Whitepaper")),AND(fChannel="Webinar / Events",$C65="Webinar"))),1,0))</f>
        <v>0</v>
      </c>
    </row>
    <row r="66">
      <c r="A66" s="63" t="n"/>
      <c r="B66" s="64" t="n"/>
      <c r="C66" s="64" t="n"/>
      <c r="D66" s="65" t="n"/>
      <c r="E66" s="64" t="n"/>
      <c r="F66" s="64" t="n"/>
      <c r="G66" s="64" t="n"/>
      <c r="H66" s="63" t="n"/>
      <c r="I66" s="63" t="n"/>
      <c r="J66" s="63" t="n"/>
      <c r="K66" s="67" t="n"/>
      <c r="L66" s="67" t="n"/>
      <c r="M66" s="67" t="n"/>
      <c r="N66" s="65" t="n"/>
      <c r="O66" s="64" t="n"/>
      <c r="P66" s="67" t="n"/>
      <c r="Q66" s="65" t="n"/>
      <c r="R66" s="65" t="n"/>
      <c r="S66" s="65" t="n"/>
      <c r="T66" s="71">
        <f>IF($D66="",0,IF(OR($G66="Published",$G66="Completed",$G66="Cancelled"),0,1))</f>
        <v>0</v>
      </c>
      <c r="U66" s="69" t="str">
        <f>IF($D66="","",IF(AND($T66=1,ISNUMBER($I66)),IF($I66&lt;ReportDate,ReportDate-$I66,0),0))</f>
        <v/>
      </c>
      <c r="V66" s="71" t="str">
        <f>IF($D66="","",IF(ISNUMBER($A66),IF(ISNUMBER($A66),YEAR($A66)&amp;"-"&amp;TEXT(MONTH($A66),"00"),""),IF(ISNUMBER($I66),IF(ISNUMBER($I66),YEAR($I66)&amp;"-"&amp;TEXT(MONTH($I66),"00"),""),IF(ISNUMBER($H66),IF(ISNUMBER($H66),YEAR($H66)&amp;"-"&amp;TEXT(MONTH($H66),"00"),""),""))))</f>
        <v/>
      </c>
      <c r="W66" s="71">
        <f>IF($D66="",0,IF(AND(OR(fClient="All",$B66=fClient),fCampaign="All",OR(fTeam="All",$E66=fTeam),OR(fChannel="All",$C66=fChannel,AND(fChannel="Content",OR($C66="Blog",$C66="Case Study",$C66="Whitepaper")),AND(fChannel="Webinar / Events",$C66="Webinar")),OR(fMonth="All",$V66=fMonth)),1,0))</f>
        <v>0</v>
      </c>
      <c r="X66" s="71">
        <f>IF($D66="",0,IF(AND(OR(fClient="All",$B66=fClient),fCampaign="All",OR(fTeam="All",$E66=fTeam),OR(fChannel="All",$C66=fChannel,AND(fChannel="Content",OR($C66="Blog",$C66="Case Study",$C66="Whitepaper")),AND(fChannel="Webinar / Events",$C66="Webinar"))),1,0))</f>
        <v>0</v>
      </c>
    </row>
    <row r="67">
      <c r="A67" s="63" t="n"/>
      <c r="B67" s="64" t="n"/>
      <c r="C67" s="64" t="n"/>
      <c r="D67" s="65" t="n"/>
      <c r="E67" s="64" t="n"/>
      <c r="F67" s="64" t="n"/>
      <c r="G67" s="64" t="n"/>
      <c r="H67" s="63" t="n"/>
      <c r="I67" s="63" t="n"/>
      <c r="J67" s="63" t="n"/>
      <c r="K67" s="67" t="n"/>
      <c r="L67" s="67" t="n"/>
      <c r="M67" s="67" t="n"/>
      <c r="N67" s="65" t="n"/>
      <c r="O67" s="64" t="n"/>
      <c r="P67" s="67" t="n"/>
      <c r="Q67" s="65" t="n"/>
      <c r="R67" s="65" t="n"/>
      <c r="S67" s="65" t="n"/>
      <c r="T67" s="71">
        <f>IF($D67="",0,IF(OR($G67="Published",$G67="Completed",$G67="Cancelled"),0,1))</f>
        <v>0</v>
      </c>
      <c r="U67" s="69" t="str">
        <f>IF($D67="","",IF(AND($T67=1,ISNUMBER($I67)),IF($I67&lt;ReportDate,ReportDate-$I67,0),0))</f>
        <v/>
      </c>
      <c r="V67" s="71" t="str">
        <f>IF($D67="","",IF(ISNUMBER($A67),IF(ISNUMBER($A67),YEAR($A67)&amp;"-"&amp;TEXT(MONTH($A67),"00"),""),IF(ISNUMBER($I67),IF(ISNUMBER($I67),YEAR($I67)&amp;"-"&amp;TEXT(MONTH($I67),"00"),""),IF(ISNUMBER($H67),IF(ISNUMBER($H67),YEAR($H67)&amp;"-"&amp;TEXT(MONTH($H67),"00"),""),""))))</f>
        <v/>
      </c>
      <c r="W67" s="71">
        <f>IF($D67="",0,IF(AND(OR(fClient="All",$B67=fClient),fCampaign="All",OR(fTeam="All",$E67=fTeam),OR(fChannel="All",$C67=fChannel,AND(fChannel="Content",OR($C67="Blog",$C67="Case Study",$C67="Whitepaper")),AND(fChannel="Webinar / Events",$C67="Webinar")),OR(fMonth="All",$V67=fMonth)),1,0))</f>
        <v>0</v>
      </c>
      <c r="X67" s="71">
        <f>IF($D67="",0,IF(AND(OR(fClient="All",$B67=fClient),fCampaign="All",OR(fTeam="All",$E67=fTeam),OR(fChannel="All",$C67=fChannel,AND(fChannel="Content",OR($C67="Blog",$C67="Case Study",$C67="Whitepaper")),AND(fChannel="Webinar / Events",$C67="Webinar"))),1,0))</f>
        <v>0</v>
      </c>
    </row>
    <row r="68">
      <c r="A68" s="63" t="n"/>
      <c r="B68" s="64" t="n"/>
      <c r="C68" s="64" t="n"/>
      <c r="D68" s="65" t="n"/>
      <c r="E68" s="64" t="n"/>
      <c r="F68" s="64" t="n"/>
      <c r="G68" s="64" t="n"/>
      <c r="H68" s="63" t="n"/>
      <c r="I68" s="63" t="n"/>
      <c r="J68" s="63" t="n"/>
      <c r="K68" s="67" t="n"/>
      <c r="L68" s="67" t="n"/>
      <c r="M68" s="67" t="n"/>
      <c r="N68" s="65" t="n"/>
      <c r="O68" s="64" t="n"/>
      <c r="P68" s="67" t="n"/>
      <c r="Q68" s="65" t="n"/>
      <c r="R68" s="65" t="n"/>
      <c r="S68" s="65" t="n"/>
      <c r="T68" s="71">
        <f>IF($D68="",0,IF(OR($G68="Published",$G68="Completed",$G68="Cancelled"),0,1))</f>
        <v>0</v>
      </c>
      <c r="U68" s="69" t="str">
        <f>IF($D68="","",IF(AND($T68=1,ISNUMBER($I68)),IF($I68&lt;ReportDate,ReportDate-$I68,0),0))</f>
        <v/>
      </c>
      <c r="V68" s="71" t="str">
        <f>IF($D68="","",IF(ISNUMBER($A68),IF(ISNUMBER($A68),YEAR($A68)&amp;"-"&amp;TEXT(MONTH($A68),"00"),""),IF(ISNUMBER($I68),IF(ISNUMBER($I68),YEAR($I68)&amp;"-"&amp;TEXT(MONTH($I68),"00"),""),IF(ISNUMBER($H68),IF(ISNUMBER($H68),YEAR($H68)&amp;"-"&amp;TEXT(MONTH($H68),"00"),""),""))))</f>
        <v/>
      </c>
      <c r="W68" s="71">
        <f>IF($D68="",0,IF(AND(OR(fClient="All",$B68=fClient),fCampaign="All",OR(fTeam="All",$E68=fTeam),OR(fChannel="All",$C68=fChannel,AND(fChannel="Content",OR($C68="Blog",$C68="Case Study",$C68="Whitepaper")),AND(fChannel="Webinar / Events",$C68="Webinar")),OR(fMonth="All",$V68=fMonth)),1,0))</f>
        <v>0</v>
      </c>
      <c r="X68" s="71">
        <f>IF($D68="",0,IF(AND(OR(fClient="All",$B68=fClient),fCampaign="All",OR(fTeam="All",$E68=fTeam),OR(fChannel="All",$C68=fChannel,AND(fChannel="Content",OR($C68="Blog",$C68="Case Study",$C68="Whitepaper")),AND(fChannel="Webinar / Events",$C68="Webinar"))),1,0))</f>
        <v>0</v>
      </c>
    </row>
    <row r="69">
      <c r="A69" s="63" t="n"/>
      <c r="B69" s="64" t="n"/>
      <c r="C69" s="64" t="n"/>
      <c r="D69" s="65" t="n"/>
      <c r="E69" s="64" t="n"/>
      <c r="F69" s="64" t="n"/>
      <c r="G69" s="64" t="n"/>
      <c r="H69" s="63" t="n"/>
      <c r="I69" s="63" t="n"/>
      <c r="J69" s="63" t="n"/>
      <c r="K69" s="67" t="n"/>
      <c r="L69" s="67" t="n"/>
      <c r="M69" s="67" t="n"/>
      <c r="N69" s="65" t="n"/>
      <c r="O69" s="64" t="n"/>
      <c r="P69" s="67" t="n"/>
      <c r="Q69" s="65" t="n"/>
      <c r="R69" s="65" t="n"/>
      <c r="S69" s="65" t="n"/>
      <c r="T69" s="71">
        <f>IF($D69="",0,IF(OR($G69="Published",$G69="Completed",$G69="Cancelled"),0,1))</f>
        <v>0</v>
      </c>
      <c r="U69" s="69" t="str">
        <f>IF($D69="","",IF(AND($T69=1,ISNUMBER($I69)),IF($I69&lt;ReportDate,ReportDate-$I69,0),0))</f>
        <v/>
      </c>
      <c r="V69" s="71" t="str">
        <f>IF($D69="","",IF(ISNUMBER($A69),IF(ISNUMBER($A69),YEAR($A69)&amp;"-"&amp;TEXT(MONTH($A69),"00"),""),IF(ISNUMBER($I69),IF(ISNUMBER($I69),YEAR($I69)&amp;"-"&amp;TEXT(MONTH($I69),"00"),""),IF(ISNUMBER($H69),IF(ISNUMBER($H69),YEAR($H69)&amp;"-"&amp;TEXT(MONTH($H69),"00"),""),""))))</f>
        <v/>
      </c>
      <c r="W69" s="71">
        <f>IF($D69="",0,IF(AND(OR(fClient="All",$B69=fClient),fCampaign="All",OR(fTeam="All",$E69=fTeam),OR(fChannel="All",$C69=fChannel,AND(fChannel="Content",OR($C69="Blog",$C69="Case Study",$C69="Whitepaper")),AND(fChannel="Webinar / Events",$C69="Webinar")),OR(fMonth="All",$V69=fMonth)),1,0))</f>
        <v>0</v>
      </c>
      <c r="X69" s="71">
        <f>IF($D69="",0,IF(AND(OR(fClient="All",$B69=fClient),fCampaign="All",OR(fTeam="All",$E69=fTeam),OR(fChannel="All",$C69=fChannel,AND(fChannel="Content",OR($C69="Blog",$C69="Case Study",$C69="Whitepaper")),AND(fChannel="Webinar / Events",$C69="Webinar"))),1,0))</f>
        <v>0</v>
      </c>
    </row>
    <row r="70">
      <c r="A70" s="63" t="n"/>
      <c r="B70" s="64" t="n"/>
      <c r="C70" s="64" t="n"/>
      <c r="D70" s="65" t="n"/>
      <c r="E70" s="64" t="n"/>
      <c r="F70" s="64" t="n"/>
      <c r="G70" s="64" t="n"/>
      <c r="H70" s="63" t="n"/>
      <c r="I70" s="63" t="n"/>
      <c r="J70" s="63" t="n"/>
      <c r="K70" s="67" t="n"/>
      <c r="L70" s="67" t="n"/>
      <c r="M70" s="67" t="n"/>
      <c r="N70" s="65" t="n"/>
      <c r="O70" s="64" t="n"/>
      <c r="P70" s="67" t="n"/>
      <c r="Q70" s="65" t="n"/>
      <c r="R70" s="65" t="n"/>
      <c r="S70" s="65" t="n"/>
      <c r="T70" s="71">
        <f>IF($D70="",0,IF(OR($G70="Published",$G70="Completed",$G70="Cancelled"),0,1))</f>
        <v>0</v>
      </c>
      <c r="U70" s="69" t="str">
        <f>IF($D70="","",IF(AND($T70=1,ISNUMBER($I70)),IF($I70&lt;ReportDate,ReportDate-$I70,0),0))</f>
        <v/>
      </c>
      <c r="V70" s="71" t="str">
        <f>IF($D70="","",IF(ISNUMBER($A70),IF(ISNUMBER($A70),YEAR($A70)&amp;"-"&amp;TEXT(MONTH($A70),"00"),""),IF(ISNUMBER($I70),IF(ISNUMBER($I70),YEAR($I70)&amp;"-"&amp;TEXT(MONTH($I70),"00"),""),IF(ISNUMBER($H70),IF(ISNUMBER($H70),YEAR($H70)&amp;"-"&amp;TEXT(MONTH($H70),"00"),""),""))))</f>
        <v/>
      </c>
      <c r="W70" s="71">
        <f>IF($D70="",0,IF(AND(OR(fClient="All",$B70=fClient),fCampaign="All",OR(fTeam="All",$E70=fTeam),OR(fChannel="All",$C70=fChannel,AND(fChannel="Content",OR($C70="Blog",$C70="Case Study",$C70="Whitepaper")),AND(fChannel="Webinar / Events",$C70="Webinar")),OR(fMonth="All",$V70=fMonth)),1,0))</f>
        <v>0</v>
      </c>
      <c r="X70" s="71">
        <f>IF($D70="",0,IF(AND(OR(fClient="All",$B70=fClient),fCampaign="All",OR(fTeam="All",$E70=fTeam),OR(fChannel="All",$C70=fChannel,AND(fChannel="Content",OR($C70="Blog",$C70="Case Study",$C70="Whitepaper")),AND(fChannel="Webinar / Events",$C70="Webinar"))),1,0))</f>
        <v>0</v>
      </c>
    </row>
    <row r="71">
      <c r="A71" s="63" t="n"/>
      <c r="B71" s="64" t="n"/>
      <c r="C71" s="64" t="n"/>
      <c r="D71" s="65" t="n"/>
      <c r="E71" s="64" t="n"/>
      <c r="F71" s="64" t="n"/>
      <c r="G71" s="64" t="n"/>
      <c r="H71" s="63" t="n"/>
      <c r="I71" s="63" t="n"/>
      <c r="J71" s="63" t="n"/>
      <c r="K71" s="67" t="n"/>
      <c r="L71" s="67" t="n"/>
      <c r="M71" s="67" t="n"/>
      <c r="N71" s="65" t="n"/>
      <c r="O71" s="64" t="n"/>
      <c r="P71" s="67" t="n"/>
      <c r="Q71" s="65" t="n"/>
      <c r="R71" s="65" t="n"/>
      <c r="S71" s="65" t="n"/>
      <c r="T71" s="71">
        <f>IF($D71="",0,IF(OR($G71="Published",$G71="Completed",$G71="Cancelled"),0,1))</f>
        <v>0</v>
      </c>
      <c r="U71" s="69" t="str">
        <f>IF($D71="","",IF(AND($T71=1,ISNUMBER($I71)),IF($I71&lt;ReportDate,ReportDate-$I71,0),0))</f>
        <v/>
      </c>
      <c r="V71" s="71" t="str">
        <f>IF($D71="","",IF(ISNUMBER($A71),IF(ISNUMBER($A71),YEAR($A71)&amp;"-"&amp;TEXT(MONTH($A71),"00"),""),IF(ISNUMBER($I71),IF(ISNUMBER($I71),YEAR($I71)&amp;"-"&amp;TEXT(MONTH($I71),"00"),""),IF(ISNUMBER($H71),IF(ISNUMBER($H71),YEAR($H71)&amp;"-"&amp;TEXT(MONTH($H71),"00"),""),""))))</f>
        <v/>
      </c>
      <c r="W71" s="71">
        <f>IF($D71="",0,IF(AND(OR(fClient="All",$B71=fClient),fCampaign="All",OR(fTeam="All",$E71=fTeam),OR(fChannel="All",$C71=fChannel,AND(fChannel="Content",OR($C71="Blog",$C71="Case Study",$C71="Whitepaper")),AND(fChannel="Webinar / Events",$C71="Webinar")),OR(fMonth="All",$V71=fMonth)),1,0))</f>
        <v>0</v>
      </c>
      <c r="X71" s="71">
        <f>IF($D71="",0,IF(AND(OR(fClient="All",$B71=fClient),fCampaign="All",OR(fTeam="All",$E71=fTeam),OR(fChannel="All",$C71=fChannel,AND(fChannel="Content",OR($C71="Blog",$C71="Case Study",$C71="Whitepaper")),AND(fChannel="Webinar / Events",$C71="Webinar"))),1,0))</f>
        <v>0</v>
      </c>
    </row>
    <row r="72">
      <c r="A72" s="63" t="n"/>
      <c r="B72" s="64" t="n"/>
      <c r="C72" s="64" t="n"/>
      <c r="D72" s="65" t="n"/>
      <c r="E72" s="64" t="n"/>
      <c r="F72" s="64" t="n"/>
      <c r="G72" s="64" t="n"/>
      <c r="H72" s="63" t="n"/>
      <c r="I72" s="63" t="n"/>
      <c r="J72" s="63" t="n"/>
      <c r="K72" s="67" t="n"/>
      <c r="L72" s="67" t="n"/>
      <c r="M72" s="67" t="n"/>
      <c r="N72" s="65" t="n"/>
      <c r="O72" s="64" t="n"/>
      <c r="P72" s="67" t="n"/>
      <c r="Q72" s="65" t="n"/>
      <c r="R72" s="65" t="n"/>
      <c r="S72" s="65" t="n"/>
      <c r="T72" s="71">
        <f>IF($D72="",0,IF(OR($G72="Published",$G72="Completed",$G72="Cancelled"),0,1))</f>
        <v>0</v>
      </c>
      <c r="U72" s="69" t="str">
        <f>IF($D72="","",IF(AND($T72=1,ISNUMBER($I72)),IF($I72&lt;ReportDate,ReportDate-$I72,0),0))</f>
        <v/>
      </c>
      <c r="V72" s="71" t="str">
        <f>IF($D72="","",IF(ISNUMBER($A72),IF(ISNUMBER($A72),YEAR($A72)&amp;"-"&amp;TEXT(MONTH($A72),"00"),""),IF(ISNUMBER($I72),IF(ISNUMBER($I72),YEAR($I72)&amp;"-"&amp;TEXT(MONTH($I72),"00"),""),IF(ISNUMBER($H72),IF(ISNUMBER($H72),YEAR($H72)&amp;"-"&amp;TEXT(MONTH($H72),"00"),""),""))))</f>
        <v/>
      </c>
      <c r="W72" s="71">
        <f>IF($D72="",0,IF(AND(OR(fClient="All",$B72=fClient),fCampaign="All",OR(fTeam="All",$E72=fTeam),OR(fChannel="All",$C72=fChannel,AND(fChannel="Content",OR($C72="Blog",$C72="Case Study",$C72="Whitepaper")),AND(fChannel="Webinar / Events",$C72="Webinar")),OR(fMonth="All",$V72=fMonth)),1,0))</f>
        <v>0</v>
      </c>
      <c r="X72" s="71">
        <f>IF($D72="",0,IF(AND(OR(fClient="All",$B72=fClient),fCampaign="All",OR(fTeam="All",$E72=fTeam),OR(fChannel="All",$C72=fChannel,AND(fChannel="Content",OR($C72="Blog",$C72="Case Study",$C72="Whitepaper")),AND(fChannel="Webinar / Events",$C72="Webinar"))),1,0))</f>
        <v>0</v>
      </c>
    </row>
    <row r="73">
      <c r="A73" s="63" t="n"/>
      <c r="B73" s="64" t="n"/>
      <c r="C73" s="64" t="n"/>
      <c r="D73" s="65" t="n"/>
      <c r="E73" s="64" t="n"/>
      <c r="F73" s="64" t="n"/>
      <c r="G73" s="64" t="n"/>
      <c r="H73" s="63" t="n"/>
      <c r="I73" s="63" t="n"/>
      <c r="J73" s="63" t="n"/>
      <c r="K73" s="67" t="n"/>
      <c r="L73" s="67" t="n"/>
      <c r="M73" s="67" t="n"/>
      <c r="N73" s="65" t="n"/>
      <c r="O73" s="64" t="n"/>
      <c r="P73" s="67" t="n"/>
      <c r="Q73" s="65" t="n"/>
      <c r="R73" s="65" t="n"/>
      <c r="S73" s="65" t="n"/>
      <c r="T73" s="71">
        <f>IF($D73="",0,IF(OR($G73="Published",$G73="Completed",$G73="Cancelled"),0,1))</f>
        <v>0</v>
      </c>
      <c r="U73" s="69" t="str">
        <f>IF($D73="","",IF(AND($T73=1,ISNUMBER($I73)),IF($I73&lt;ReportDate,ReportDate-$I73,0),0))</f>
        <v/>
      </c>
      <c r="V73" s="71" t="str">
        <f>IF($D73="","",IF(ISNUMBER($A73),IF(ISNUMBER($A73),YEAR($A73)&amp;"-"&amp;TEXT(MONTH($A73),"00"),""),IF(ISNUMBER($I73),IF(ISNUMBER($I73),YEAR($I73)&amp;"-"&amp;TEXT(MONTH($I73),"00"),""),IF(ISNUMBER($H73),IF(ISNUMBER($H73),YEAR($H73)&amp;"-"&amp;TEXT(MONTH($H73),"00"),""),""))))</f>
        <v/>
      </c>
      <c r="W73" s="71">
        <f>IF($D73="",0,IF(AND(OR(fClient="All",$B73=fClient),fCampaign="All",OR(fTeam="All",$E73=fTeam),OR(fChannel="All",$C73=fChannel,AND(fChannel="Content",OR($C73="Blog",$C73="Case Study",$C73="Whitepaper")),AND(fChannel="Webinar / Events",$C73="Webinar")),OR(fMonth="All",$V73=fMonth)),1,0))</f>
        <v>0</v>
      </c>
      <c r="X73" s="71">
        <f>IF($D73="",0,IF(AND(OR(fClient="All",$B73=fClient),fCampaign="All",OR(fTeam="All",$E73=fTeam),OR(fChannel="All",$C73=fChannel,AND(fChannel="Content",OR($C73="Blog",$C73="Case Study",$C73="Whitepaper")),AND(fChannel="Webinar / Events",$C73="Webinar"))),1,0))</f>
        <v>0</v>
      </c>
    </row>
    <row r="74">
      <c r="A74" s="63" t="n"/>
      <c r="B74" s="64" t="n"/>
      <c r="C74" s="64" t="n"/>
      <c r="D74" s="65" t="n"/>
      <c r="E74" s="64" t="n"/>
      <c r="F74" s="64" t="n"/>
      <c r="G74" s="64" t="n"/>
      <c r="H74" s="63" t="n"/>
      <c r="I74" s="63" t="n"/>
      <c r="J74" s="63" t="n"/>
      <c r="K74" s="67" t="n"/>
      <c r="L74" s="67" t="n"/>
      <c r="M74" s="67" t="n"/>
      <c r="N74" s="65" t="n"/>
      <c r="O74" s="64" t="n"/>
      <c r="P74" s="67" t="n"/>
      <c r="Q74" s="65" t="n"/>
      <c r="R74" s="65" t="n"/>
      <c r="S74" s="65" t="n"/>
      <c r="T74" s="71">
        <f>IF($D74="",0,IF(OR($G74="Published",$G74="Completed",$G74="Cancelled"),0,1))</f>
        <v>0</v>
      </c>
      <c r="U74" s="69" t="str">
        <f>IF($D74="","",IF(AND($T74=1,ISNUMBER($I74)),IF($I74&lt;ReportDate,ReportDate-$I74,0),0))</f>
        <v/>
      </c>
      <c r="V74" s="71" t="str">
        <f>IF($D74="","",IF(ISNUMBER($A74),IF(ISNUMBER($A74),YEAR($A74)&amp;"-"&amp;TEXT(MONTH($A74),"00"),""),IF(ISNUMBER($I74),IF(ISNUMBER($I74),YEAR($I74)&amp;"-"&amp;TEXT(MONTH($I74),"00"),""),IF(ISNUMBER($H74),IF(ISNUMBER($H74),YEAR($H74)&amp;"-"&amp;TEXT(MONTH($H74),"00"),""),""))))</f>
        <v/>
      </c>
      <c r="W74" s="71">
        <f>IF($D74="",0,IF(AND(OR(fClient="All",$B74=fClient),fCampaign="All",OR(fTeam="All",$E74=fTeam),OR(fChannel="All",$C74=fChannel,AND(fChannel="Content",OR($C74="Blog",$C74="Case Study",$C74="Whitepaper")),AND(fChannel="Webinar / Events",$C74="Webinar")),OR(fMonth="All",$V74=fMonth)),1,0))</f>
        <v>0</v>
      </c>
      <c r="X74" s="71">
        <f>IF($D74="",0,IF(AND(OR(fClient="All",$B74=fClient),fCampaign="All",OR(fTeam="All",$E74=fTeam),OR(fChannel="All",$C74=fChannel,AND(fChannel="Content",OR($C74="Blog",$C74="Case Study",$C74="Whitepaper")),AND(fChannel="Webinar / Events",$C74="Webinar"))),1,0))</f>
        <v>0</v>
      </c>
    </row>
    <row r="75">
      <c r="A75" s="63" t="n"/>
      <c r="B75" s="64" t="n"/>
      <c r="C75" s="64" t="n"/>
      <c r="D75" s="65" t="n"/>
      <c r="E75" s="64" t="n"/>
      <c r="F75" s="64" t="n"/>
      <c r="G75" s="64" t="n"/>
      <c r="H75" s="63" t="n"/>
      <c r="I75" s="63" t="n"/>
      <c r="J75" s="63" t="n"/>
      <c r="K75" s="67" t="n"/>
      <c r="L75" s="67" t="n"/>
      <c r="M75" s="67" t="n"/>
      <c r="N75" s="65" t="n"/>
      <c r="O75" s="64" t="n"/>
      <c r="P75" s="67" t="n"/>
      <c r="Q75" s="65" t="n"/>
      <c r="R75" s="65" t="n"/>
      <c r="S75" s="65" t="n"/>
      <c r="T75" s="71">
        <f>IF($D75="",0,IF(OR($G75="Published",$G75="Completed",$G75="Cancelled"),0,1))</f>
        <v>0</v>
      </c>
      <c r="U75" s="69" t="str">
        <f>IF($D75="","",IF(AND($T75=1,ISNUMBER($I75)),IF($I75&lt;ReportDate,ReportDate-$I75,0),0))</f>
        <v/>
      </c>
      <c r="V75" s="71" t="str">
        <f>IF($D75="","",IF(ISNUMBER($A75),IF(ISNUMBER($A75),YEAR($A75)&amp;"-"&amp;TEXT(MONTH($A75),"00"),""),IF(ISNUMBER($I75),IF(ISNUMBER($I75),YEAR($I75)&amp;"-"&amp;TEXT(MONTH($I75),"00"),""),IF(ISNUMBER($H75),IF(ISNUMBER($H75),YEAR($H75)&amp;"-"&amp;TEXT(MONTH($H75),"00"),""),""))))</f>
        <v/>
      </c>
      <c r="W75" s="71">
        <f>IF($D75="",0,IF(AND(OR(fClient="All",$B75=fClient),fCampaign="All",OR(fTeam="All",$E75=fTeam),OR(fChannel="All",$C75=fChannel,AND(fChannel="Content",OR($C75="Blog",$C75="Case Study",$C75="Whitepaper")),AND(fChannel="Webinar / Events",$C75="Webinar")),OR(fMonth="All",$V75=fMonth)),1,0))</f>
        <v>0</v>
      </c>
      <c r="X75" s="71">
        <f>IF($D75="",0,IF(AND(OR(fClient="All",$B75=fClient),fCampaign="All",OR(fTeam="All",$E75=fTeam),OR(fChannel="All",$C75=fChannel,AND(fChannel="Content",OR($C75="Blog",$C75="Case Study",$C75="Whitepaper")),AND(fChannel="Webinar / Events",$C75="Webinar"))),1,0))</f>
        <v>0</v>
      </c>
    </row>
    <row r="76">
      <c r="A76" s="63" t="n"/>
      <c r="B76" s="64" t="n"/>
      <c r="C76" s="64" t="n"/>
      <c r="D76" s="65" t="n"/>
      <c r="E76" s="64" t="n"/>
      <c r="F76" s="64" t="n"/>
      <c r="G76" s="64" t="n"/>
      <c r="H76" s="63" t="n"/>
      <c r="I76" s="63" t="n"/>
      <c r="J76" s="63" t="n"/>
      <c r="K76" s="67" t="n"/>
      <c r="L76" s="67" t="n"/>
      <c r="M76" s="67" t="n"/>
      <c r="N76" s="65" t="n"/>
      <c r="O76" s="64" t="n"/>
      <c r="P76" s="67" t="n"/>
      <c r="Q76" s="65" t="n"/>
      <c r="R76" s="65" t="n"/>
      <c r="S76" s="65" t="n"/>
      <c r="T76" s="71">
        <f>IF($D76="",0,IF(OR($G76="Published",$G76="Completed",$G76="Cancelled"),0,1))</f>
        <v>0</v>
      </c>
      <c r="U76" s="69" t="str">
        <f>IF($D76="","",IF(AND($T76=1,ISNUMBER($I76)),IF($I76&lt;ReportDate,ReportDate-$I76,0),0))</f>
        <v/>
      </c>
      <c r="V76" s="71" t="str">
        <f>IF($D76="","",IF(ISNUMBER($A76),IF(ISNUMBER($A76),YEAR($A76)&amp;"-"&amp;TEXT(MONTH($A76),"00"),""),IF(ISNUMBER($I76),IF(ISNUMBER($I76),YEAR($I76)&amp;"-"&amp;TEXT(MONTH($I76),"00"),""),IF(ISNUMBER($H76),IF(ISNUMBER($H76),YEAR($H76)&amp;"-"&amp;TEXT(MONTH($H76),"00"),""),""))))</f>
        <v/>
      </c>
      <c r="W76" s="71">
        <f>IF($D76="",0,IF(AND(OR(fClient="All",$B76=fClient),fCampaign="All",OR(fTeam="All",$E76=fTeam),OR(fChannel="All",$C76=fChannel,AND(fChannel="Content",OR($C76="Blog",$C76="Case Study",$C76="Whitepaper")),AND(fChannel="Webinar / Events",$C76="Webinar")),OR(fMonth="All",$V76=fMonth)),1,0))</f>
        <v>0</v>
      </c>
      <c r="X76" s="71">
        <f>IF($D76="",0,IF(AND(OR(fClient="All",$B76=fClient),fCampaign="All",OR(fTeam="All",$E76=fTeam),OR(fChannel="All",$C76=fChannel,AND(fChannel="Content",OR($C76="Blog",$C76="Case Study",$C76="Whitepaper")),AND(fChannel="Webinar / Events",$C76="Webinar"))),1,0))</f>
        <v>0</v>
      </c>
    </row>
    <row r="77">
      <c r="A77" s="63" t="n"/>
      <c r="B77" s="64" t="n"/>
      <c r="C77" s="64" t="n"/>
      <c r="D77" s="65" t="n"/>
      <c r="E77" s="64" t="n"/>
      <c r="F77" s="64" t="n"/>
      <c r="G77" s="64" t="n"/>
      <c r="H77" s="63" t="n"/>
      <c r="I77" s="63" t="n"/>
      <c r="J77" s="63" t="n"/>
      <c r="K77" s="67" t="n"/>
      <c r="L77" s="67" t="n"/>
      <c r="M77" s="67" t="n"/>
      <c r="N77" s="65" t="n"/>
      <c r="O77" s="64" t="n"/>
      <c r="P77" s="67" t="n"/>
      <c r="Q77" s="65" t="n"/>
      <c r="R77" s="65" t="n"/>
      <c r="S77" s="65" t="n"/>
      <c r="T77" s="71">
        <f>IF($D77="",0,IF(OR($G77="Published",$G77="Completed",$G77="Cancelled"),0,1))</f>
        <v>0</v>
      </c>
      <c r="U77" s="69" t="str">
        <f>IF($D77="","",IF(AND($T77=1,ISNUMBER($I77)),IF($I77&lt;ReportDate,ReportDate-$I77,0),0))</f>
        <v/>
      </c>
      <c r="V77" s="71" t="str">
        <f>IF($D77="","",IF(ISNUMBER($A77),IF(ISNUMBER($A77),YEAR($A77)&amp;"-"&amp;TEXT(MONTH($A77),"00"),""),IF(ISNUMBER($I77),IF(ISNUMBER($I77),YEAR($I77)&amp;"-"&amp;TEXT(MONTH($I77),"00"),""),IF(ISNUMBER($H77),IF(ISNUMBER($H77),YEAR($H77)&amp;"-"&amp;TEXT(MONTH($H77),"00"),""),""))))</f>
        <v/>
      </c>
      <c r="W77" s="71">
        <f>IF($D77="",0,IF(AND(OR(fClient="All",$B77=fClient),fCampaign="All",OR(fTeam="All",$E77=fTeam),OR(fChannel="All",$C77=fChannel,AND(fChannel="Content",OR($C77="Blog",$C77="Case Study",$C77="Whitepaper")),AND(fChannel="Webinar / Events",$C77="Webinar")),OR(fMonth="All",$V77=fMonth)),1,0))</f>
        <v>0</v>
      </c>
      <c r="X77" s="71">
        <f>IF($D77="",0,IF(AND(OR(fClient="All",$B77=fClient),fCampaign="All",OR(fTeam="All",$E77=fTeam),OR(fChannel="All",$C77=fChannel,AND(fChannel="Content",OR($C77="Blog",$C77="Case Study",$C77="Whitepaper")),AND(fChannel="Webinar / Events",$C77="Webinar"))),1,0))</f>
        <v>0</v>
      </c>
    </row>
    <row r="78">
      <c r="A78" s="63" t="n"/>
      <c r="B78" s="64" t="n"/>
      <c r="C78" s="64" t="n"/>
      <c r="D78" s="65" t="n"/>
      <c r="E78" s="64" t="n"/>
      <c r="F78" s="64" t="n"/>
      <c r="G78" s="64" t="n"/>
      <c r="H78" s="63" t="n"/>
      <c r="I78" s="63" t="n"/>
      <c r="J78" s="63" t="n"/>
      <c r="K78" s="67" t="n"/>
      <c r="L78" s="67" t="n"/>
      <c r="M78" s="67" t="n"/>
      <c r="N78" s="65" t="n"/>
      <c r="O78" s="64" t="n"/>
      <c r="P78" s="67" t="n"/>
      <c r="Q78" s="65" t="n"/>
      <c r="R78" s="65" t="n"/>
      <c r="S78" s="65" t="n"/>
      <c r="T78" s="71">
        <f>IF($D78="",0,IF(OR($G78="Published",$G78="Completed",$G78="Cancelled"),0,1))</f>
        <v>0</v>
      </c>
      <c r="U78" s="69" t="str">
        <f>IF($D78="","",IF(AND($T78=1,ISNUMBER($I78)),IF($I78&lt;ReportDate,ReportDate-$I78,0),0))</f>
        <v/>
      </c>
      <c r="V78" s="71" t="str">
        <f>IF($D78="","",IF(ISNUMBER($A78),IF(ISNUMBER($A78),YEAR($A78)&amp;"-"&amp;TEXT(MONTH($A78),"00"),""),IF(ISNUMBER($I78),IF(ISNUMBER($I78),YEAR($I78)&amp;"-"&amp;TEXT(MONTH($I78),"00"),""),IF(ISNUMBER($H78),IF(ISNUMBER($H78),YEAR($H78)&amp;"-"&amp;TEXT(MONTH($H78),"00"),""),""))))</f>
        <v/>
      </c>
      <c r="W78" s="71">
        <f>IF($D78="",0,IF(AND(OR(fClient="All",$B78=fClient),fCampaign="All",OR(fTeam="All",$E78=fTeam),OR(fChannel="All",$C78=fChannel,AND(fChannel="Content",OR($C78="Blog",$C78="Case Study",$C78="Whitepaper")),AND(fChannel="Webinar / Events",$C78="Webinar")),OR(fMonth="All",$V78=fMonth)),1,0))</f>
        <v>0</v>
      </c>
      <c r="X78" s="71">
        <f>IF($D78="",0,IF(AND(OR(fClient="All",$B78=fClient),fCampaign="All",OR(fTeam="All",$E78=fTeam),OR(fChannel="All",$C78=fChannel,AND(fChannel="Content",OR($C78="Blog",$C78="Case Study",$C78="Whitepaper")),AND(fChannel="Webinar / Events",$C78="Webinar"))),1,0))</f>
        <v>0</v>
      </c>
    </row>
    <row r="79">
      <c r="A79" s="63" t="n"/>
      <c r="B79" s="64" t="n"/>
      <c r="C79" s="64" t="n"/>
      <c r="D79" s="65" t="n"/>
      <c r="E79" s="64" t="n"/>
      <c r="F79" s="64" t="n"/>
      <c r="G79" s="64" t="n"/>
      <c r="H79" s="63" t="n"/>
      <c r="I79" s="63" t="n"/>
      <c r="J79" s="63" t="n"/>
      <c r="K79" s="67" t="n"/>
      <c r="L79" s="67" t="n"/>
      <c r="M79" s="67" t="n"/>
      <c r="N79" s="65" t="n"/>
      <c r="O79" s="64" t="n"/>
      <c r="P79" s="67" t="n"/>
      <c r="Q79" s="65" t="n"/>
      <c r="R79" s="65" t="n"/>
      <c r="S79" s="65" t="n"/>
      <c r="T79" s="71">
        <f>IF($D79="",0,IF(OR($G79="Published",$G79="Completed",$G79="Cancelled"),0,1))</f>
        <v>0</v>
      </c>
      <c r="U79" s="69" t="str">
        <f>IF($D79="","",IF(AND($T79=1,ISNUMBER($I79)),IF($I79&lt;ReportDate,ReportDate-$I79,0),0))</f>
        <v/>
      </c>
      <c r="V79" s="71" t="str">
        <f>IF($D79="","",IF(ISNUMBER($A79),IF(ISNUMBER($A79),YEAR($A79)&amp;"-"&amp;TEXT(MONTH($A79),"00"),""),IF(ISNUMBER($I79),IF(ISNUMBER($I79),YEAR($I79)&amp;"-"&amp;TEXT(MONTH($I79),"00"),""),IF(ISNUMBER($H79),IF(ISNUMBER($H79),YEAR($H79)&amp;"-"&amp;TEXT(MONTH($H79),"00"),""),""))))</f>
        <v/>
      </c>
      <c r="W79" s="71">
        <f>IF($D79="",0,IF(AND(OR(fClient="All",$B79=fClient),fCampaign="All",OR(fTeam="All",$E79=fTeam),OR(fChannel="All",$C79=fChannel,AND(fChannel="Content",OR($C79="Blog",$C79="Case Study",$C79="Whitepaper")),AND(fChannel="Webinar / Events",$C79="Webinar")),OR(fMonth="All",$V79=fMonth)),1,0))</f>
        <v>0</v>
      </c>
      <c r="X79" s="71">
        <f>IF($D79="",0,IF(AND(OR(fClient="All",$B79=fClient),fCampaign="All",OR(fTeam="All",$E79=fTeam),OR(fChannel="All",$C79=fChannel,AND(fChannel="Content",OR($C79="Blog",$C79="Case Study",$C79="Whitepaper")),AND(fChannel="Webinar / Events",$C79="Webinar"))),1,0))</f>
        <v>0</v>
      </c>
    </row>
    <row r="80">
      <c r="A80" s="63" t="n"/>
      <c r="B80" s="64" t="n"/>
      <c r="C80" s="64" t="n"/>
      <c r="D80" s="65" t="n"/>
      <c r="E80" s="64" t="n"/>
      <c r="F80" s="64" t="n"/>
      <c r="G80" s="64" t="n"/>
      <c r="H80" s="63" t="n"/>
      <c r="I80" s="63" t="n"/>
      <c r="J80" s="63" t="n"/>
      <c r="K80" s="67" t="n"/>
      <c r="L80" s="67" t="n"/>
      <c r="M80" s="67" t="n"/>
      <c r="N80" s="65" t="n"/>
      <c r="O80" s="64" t="n"/>
      <c r="P80" s="67" t="n"/>
      <c r="Q80" s="65" t="n"/>
      <c r="R80" s="65" t="n"/>
      <c r="S80" s="65" t="n"/>
      <c r="T80" s="71">
        <f>IF($D80="",0,IF(OR($G80="Published",$G80="Completed",$G80="Cancelled"),0,1))</f>
        <v>0</v>
      </c>
      <c r="U80" s="69" t="str">
        <f>IF($D80="","",IF(AND($T80=1,ISNUMBER($I80)),IF($I80&lt;ReportDate,ReportDate-$I80,0),0))</f>
        <v/>
      </c>
      <c r="V80" s="71" t="str">
        <f>IF($D80="","",IF(ISNUMBER($A80),IF(ISNUMBER($A80),YEAR($A80)&amp;"-"&amp;TEXT(MONTH($A80),"00"),""),IF(ISNUMBER($I80),IF(ISNUMBER($I80),YEAR($I80)&amp;"-"&amp;TEXT(MONTH($I80),"00"),""),IF(ISNUMBER($H80),IF(ISNUMBER($H80),YEAR($H80)&amp;"-"&amp;TEXT(MONTH($H80),"00"),""),""))))</f>
        <v/>
      </c>
      <c r="W80" s="71">
        <f>IF($D80="",0,IF(AND(OR(fClient="All",$B80=fClient),fCampaign="All",OR(fTeam="All",$E80=fTeam),OR(fChannel="All",$C80=fChannel,AND(fChannel="Content",OR($C80="Blog",$C80="Case Study",$C80="Whitepaper")),AND(fChannel="Webinar / Events",$C80="Webinar")),OR(fMonth="All",$V80=fMonth)),1,0))</f>
        <v>0</v>
      </c>
      <c r="X80" s="71">
        <f>IF($D80="",0,IF(AND(OR(fClient="All",$B80=fClient),fCampaign="All",OR(fTeam="All",$E80=fTeam),OR(fChannel="All",$C80=fChannel,AND(fChannel="Content",OR($C80="Blog",$C80="Case Study",$C80="Whitepaper")),AND(fChannel="Webinar / Events",$C80="Webinar"))),1,0))</f>
        <v>0</v>
      </c>
    </row>
    <row r="81">
      <c r="A81" s="63" t="n"/>
      <c r="B81" s="64" t="n"/>
      <c r="C81" s="64" t="n"/>
      <c r="D81" s="65" t="n"/>
      <c r="E81" s="64" t="n"/>
      <c r="F81" s="64" t="n"/>
      <c r="G81" s="64" t="n"/>
      <c r="H81" s="63" t="n"/>
      <c r="I81" s="63" t="n"/>
      <c r="J81" s="63" t="n"/>
      <c r="K81" s="67" t="n"/>
      <c r="L81" s="67" t="n"/>
      <c r="M81" s="67" t="n"/>
      <c r="N81" s="65" t="n"/>
      <c r="O81" s="64" t="n"/>
      <c r="P81" s="67" t="n"/>
      <c r="Q81" s="65" t="n"/>
      <c r="R81" s="65" t="n"/>
      <c r="S81" s="65" t="n"/>
      <c r="T81" s="71">
        <f>IF($D81="",0,IF(OR($G81="Published",$G81="Completed",$G81="Cancelled"),0,1))</f>
        <v>0</v>
      </c>
      <c r="U81" s="69" t="str">
        <f>IF($D81="","",IF(AND($T81=1,ISNUMBER($I81)),IF($I81&lt;ReportDate,ReportDate-$I81,0),0))</f>
        <v/>
      </c>
      <c r="V81" s="71" t="str">
        <f>IF($D81="","",IF(ISNUMBER($A81),IF(ISNUMBER($A81),YEAR($A81)&amp;"-"&amp;TEXT(MONTH($A81),"00"),""),IF(ISNUMBER($I81),IF(ISNUMBER($I81),YEAR($I81)&amp;"-"&amp;TEXT(MONTH($I81),"00"),""),IF(ISNUMBER($H81),IF(ISNUMBER($H81),YEAR($H81)&amp;"-"&amp;TEXT(MONTH($H81),"00"),""),""))))</f>
        <v/>
      </c>
      <c r="W81" s="71">
        <f>IF($D81="",0,IF(AND(OR(fClient="All",$B81=fClient),fCampaign="All",OR(fTeam="All",$E81=fTeam),OR(fChannel="All",$C81=fChannel,AND(fChannel="Content",OR($C81="Blog",$C81="Case Study",$C81="Whitepaper")),AND(fChannel="Webinar / Events",$C81="Webinar")),OR(fMonth="All",$V81=fMonth)),1,0))</f>
        <v>0</v>
      </c>
      <c r="X81" s="71">
        <f>IF($D81="",0,IF(AND(OR(fClient="All",$B81=fClient),fCampaign="All",OR(fTeam="All",$E81=fTeam),OR(fChannel="All",$C81=fChannel,AND(fChannel="Content",OR($C81="Blog",$C81="Case Study",$C81="Whitepaper")),AND(fChannel="Webinar / Events",$C81="Webinar"))),1,0))</f>
        <v>0</v>
      </c>
    </row>
    <row r="82">
      <c r="A82" s="63" t="n"/>
      <c r="B82" s="64" t="n"/>
      <c r="C82" s="64" t="n"/>
      <c r="D82" s="65" t="n"/>
      <c r="E82" s="64" t="n"/>
      <c r="F82" s="64" t="n"/>
      <c r="G82" s="64" t="n"/>
      <c r="H82" s="63" t="n"/>
      <c r="I82" s="63" t="n"/>
      <c r="J82" s="63" t="n"/>
      <c r="K82" s="67" t="n"/>
      <c r="L82" s="67" t="n"/>
      <c r="M82" s="67" t="n"/>
      <c r="N82" s="65" t="n"/>
      <c r="O82" s="64" t="n"/>
      <c r="P82" s="67" t="n"/>
      <c r="Q82" s="65" t="n"/>
      <c r="R82" s="65" t="n"/>
      <c r="S82" s="65" t="n"/>
      <c r="T82" s="71">
        <f>IF($D82="",0,IF(OR($G82="Published",$G82="Completed",$G82="Cancelled"),0,1))</f>
        <v>0</v>
      </c>
      <c r="U82" s="69" t="str">
        <f>IF($D82="","",IF(AND($T82=1,ISNUMBER($I82)),IF($I82&lt;ReportDate,ReportDate-$I82,0),0))</f>
        <v/>
      </c>
      <c r="V82" s="71" t="str">
        <f>IF($D82="","",IF(ISNUMBER($A82),IF(ISNUMBER($A82),YEAR($A82)&amp;"-"&amp;TEXT(MONTH($A82),"00"),""),IF(ISNUMBER($I82),IF(ISNUMBER($I82),YEAR($I82)&amp;"-"&amp;TEXT(MONTH($I82),"00"),""),IF(ISNUMBER($H82),IF(ISNUMBER($H82),YEAR($H82)&amp;"-"&amp;TEXT(MONTH($H82),"00"),""),""))))</f>
        <v/>
      </c>
      <c r="W82" s="71">
        <f>IF($D82="",0,IF(AND(OR(fClient="All",$B82=fClient),fCampaign="All",OR(fTeam="All",$E82=fTeam),OR(fChannel="All",$C82=fChannel,AND(fChannel="Content",OR($C82="Blog",$C82="Case Study",$C82="Whitepaper")),AND(fChannel="Webinar / Events",$C82="Webinar")),OR(fMonth="All",$V82=fMonth)),1,0))</f>
        <v>0</v>
      </c>
      <c r="X82" s="71">
        <f>IF($D82="",0,IF(AND(OR(fClient="All",$B82=fClient),fCampaign="All",OR(fTeam="All",$E82=fTeam),OR(fChannel="All",$C82=fChannel,AND(fChannel="Content",OR($C82="Blog",$C82="Case Study",$C82="Whitepaper")),AND(fChannel="Webinar / Events",$C82="Webinar"))),1,0))</f>
        <v>0</v>
      </c>
    </row>
    <row r="83">
      <c r="A83" s="63" t="n"/>
      <c r="B83" s="64" t="n"/>
      <c r="C83" s="64" t="n"/>
      <c r="D83" s="65" t="n"/>
      <c r="E83" s="64" t="n"/>
      <c r="F83" s="64" t="n"/>
      <c r="G83" s="64" t="n"/>
      <c r="H83" s="63" t="n"/>
      <c r="I83" s="63" t="n"/>
      <c r="J83" s="63" t="n"/>
      <c r="K83" s="67" t="n"/>
      <c r="L83" s="67" t="n"/>
      <c r="M83" s="67" t="n"/>
      <c r="N83" s="65" t="n"/>
      <c r="O83" s="64" t="n"/>
      <c r="P83" s="67" t="n"/>
      <c r="Q83" s="65" t="n"/>
      <c r="R83" s="65" t="n"/>
      <c r="S83" s="65" t="n"/>
      <c r="T83" s="71">
        <f>IF($D83="",0,IF(OR($G83="Published",$G83="Completed",$G83="Cancelled"),0,1))</f>
        <v>0</v>
      </c>
      <c r="U83" s="69" t="str">
        <f>IF($D83="","",IF(AND($T83=1,ISNUMBER($I83)),IF($I83&lt;ReportDate,ReportDate-$I83,0),0))</f>
        <v/>
      </c>
      <c r="V83" s="71" t="str">
        <f>IF($D83="","",IF(ISNUMBER($A83),IF(ISNUMBER($A83),YEAR($A83)&amp;"-"&amp;TEXT(MONTH($A83),"00"),""),IF(ISNUMBER($I83),IF(ISNUMBER($I83),YEAR($I83)&amp;"-"&amp;TEXT(MONTH($I83),"00"),""),IF(ISNUMBER($H83),IF(ISNUMBER($H83),YEAR($H83)&amp;"-"&amp;TEXT(MONTH($H83),"00"),""),""))))</f>
        <v/>
      </c>
      <c r="W83" s="71">
        <f>IF($D83="",0,IF(AND(OR(fClient="All",$B83=fClient),fCampaign="All",OR(fTeam="All",$E83=fTeam),OR(fChannel="All",$C83=fChannel,AND(fChannel="Content",OR($C83="Blog",$C83="Case Study",$C83="Whitepaper")),AND(fChannel="Webinar / Events",$C83="Webinar")),OR(fMonth="All",$V83=fMonth)),1,0))</f>
        <v>0</v>
      </c>
      <c r="X83" s="71">
        <f>IF($D83="",0,IF(AND(OR(fClient="All",$B83=fClient),fCampaign="All",OR(fTeam="All",$E83=fTeam),OR(fChannel="All",$C83=fChannel,AND(fChannel="Content",OR($C83="Blog",$C83="Case Study",$C83="Whitepaper")),AND(fChannel="Webinar / Events",$C83="Webinar"))),1,0))</f>
        <v>0</v>
      </c>
    </row>
    <row r="84">
      <c r="A84" s="63" t="n"/>
      <c r="B84" s="64" t="n"/>
      <c r="C84" s="64" t="n"/>
      <c r="D84" s="65" t="n"/>
      <c r="E84" s="64" t="n"/>
      <c r="F84" s="64" t="n"/>
      <c r="G84" s="64" t="n"/>
      <c r="H84" s="63" t="n"/>
      <c r="I84" s="63" t="n"/>
      <c r="J84" s="63" t="n"/>
      <c r="K84" s="67" t="n"/>
      <c r="L84" s="67" t="n"/>
      <c r="M84" s="67" t="n"/>
      <c r="N84" s="65" t="n"/>
      <c r="O84" s="64" t="n"/>
      <c r="P84" s="67" t="n"/>
      <c r="Q84" s="65" t="n"/>
      <c r="R84" s="65" t="n"/>
      <c r="S84" s="65" t="n"/>
      <c r="T84" s="71">
        <f>IF($D84="",0,IF(OR($G84="Published",$G84="Completed",$G84="Cancelled"),0,1))</f>
        <v>0</v>
      </c>
      <c r="U84" s="69" t="str">
        <f>IF($D84="","",IF(AND($T84=1,ISNUMBER($I84)),IF($I84&lt;ReportDate,ReportDate-$I84,0),0))</f>
        <v/>
      </c>
      <c r="V84" s="71" t="str">
        <f>IF($D84="","",IF(ISNUMBER($A84),IF(ISNUMBER($A84),YEAR($A84)&amp;"-"&amp;TEXT(MONTH($A84),"00"),""),IF(ISNUMBER($I84),IF(ISNUMBER($I84),YEAR($I84)&amp;"-"&amp;TEXT(MONTH($I84),"00"),""),IF(ISNUMBER($H84),IF(ISNUMBER($H84),YEAR($H84)&amp;"-"&amp;TEXT(MONTH($H84),"00"),""),""))))</f>
        <v/>
      </c>
      <c r="W84" s="71">
        <f>IF($D84="",0,IF(AND(OR(fClient="All",$B84=fClient),fCampaign="All",OR(fTeam="All",$E84=fTeam),OR(fChannel="All",$C84=fChannel,AND(fChannel="Content",OR($C84="Blog",$C84="Case Study",$C84="Whitepaper")),AND(fChannel="Webinar / Events",$C84="Webinar")),OR(fMonth="All",$V84=fMonth)),1,0))</f>
        <v>0</v>
      </c>
      <c r="X84" s="71">
        <f>IF($D84="",0,IF(AND(OR(fClient="All",$B84=fClient),fCampaign="All",OR(fTeam="All",$E84=fTeam),OR(fChannel="All",$C84=fChannel,AND(fChannel="Content",OR($C84="Blog",$C84="Case Study",$C84="Whitepaper")),AND(fChannel="Webinar / Events",$C84="Webinar"))),1,0))</f>
        <v>0</v>
      </c>
    </row>
    <row r="85">
      <c r="A85" s="63" t="n"/>
      <c r="B85" s="64" t="n"/>
      <c r="C85" s="64" t="n"/>
      <c r="D85" s="65" t="n"/>
      <c r="E85" s="64" t="n"/>
      <c r="F85" s="64" t="n"/>
      <c r="G85" s="64" t="n"/>
      <c r="H85" s="63" t="n"/>
      <c r="I85" s="63" t="n"/>
      <c r="J85" s="63" t="n"/>
      <c r="K85" s="67" t="n"/>
      <c r="L85" s="67" t="n"/>
      <c r="M85" s="67" t="n"/>
      <c r="N85" s="65" t="n"/>
      <c r="O85" s="64" t="n"/>
      <c r="P85" s="67" t="n"/>
      <c r="Q85" s="65" t="n"/>
      <c r="R85" s="65" t="n"/>
      <c r="S85" s="65" t="n"/>
      <c r="T85" s="71">
        <f>IF($D85="",0,IF(OR($G85="Published",$G85="Completed",$G85="Cancelled"),0,1))</f>
        <v>0</v>
      </c>
      <c r="U85" s="69" t="str">
        <f>IF($D85="","",IF(AND($T85=1,ISNUMBER($I85)),IF($I85&lt;ReportDate,ReportDate-$I85,0),0))</f>
        <v/>
      </c>
      <c r="V85" s="71" t="str">
        <f>IF($D85="","",IF(ISNUMBER($A85),IF(ISNUMBER($A85),YEAR($A85)&amp;"-"&amp;TEXT(MONTH($A85),"00"),""),IF(ISNUMBER($I85),IF(ISNUMBER($I85),YEAR($I85)&amp;"-"&amp;TEXT(MONTH($I85),"00"),""),IF(ISNUMBER($H85),IF(ISNUMBER($H85),YEAR($H85)&amp;"-"&amp;TEXT(MONTH($H85),"00"),""),""))))</f>
        <v/>
      </c>
      <c r="W85" s="71">
        <f>IF($D85="",0,IF(AND(OR(fClient="All",$B85=fClient),fCampaign="All",OR(fTeam="All",$E85=fTeam),OR(fChannel="All",$C85=fChannel,AND(fChannel="Content",OR($C85="Blog",$C85="Case Study",$C85="Whitepaper")),AND(fChannel="Webinar / Events",$C85="Webinar")),OR(fMonth="All",$V85=fMonth)),1,0))</f>
        <v>0</v>
      </c>
      <c r="X85" s="71">
        <f>IF($D85="",0,IF(AND(OR(fClient="All",$B85=fClient),fCampaign="All",OR(fTeam="All",$E85=fTeam),OR(fChannel="All",$C85=fChannel,AND(fChannel="Content",OR($C85="Blog",$C85="Case Study",$C85="Whitepaper")),AND(fChannel="Webinar / Events",$C85="Webinar"))),1,0))</f>
        <v>0</v>
      </c>
    </row>
    <row r="86">
      <c r="A86" s="63" t="n"/>
      <c r="B86" s="64" t="n"/>
      <c r="C86" s="64" t="n"/>
      <c r="D86" s="65" t="n"/>
      <c r="E86" s="64" t="n"/>
      <c r="F86" s="64" t="n"/>
      <c r="G86" s="64" t="n"/>
      <c r="H86" s="63" t="n"/>
      <c r="I86" s="63" t="n"/>
      <c r="J86" s="63" t="n"/>
      <c r="K86" s="67" t="n"/>
      <c r="L86" s="67" t="n"/>
      <c r="M86" s="67" t="n"/>
      <c r="N86" s="65" t="n"/>
      <c r="O86" s="64" t="n"/>
      <c r="P86" s="67" t="n"/>
      <c r="Q86" s="65" t="n"/>
      <c r="R86" s="65" t="n"/>
      <c r="S86" s="65" t="n"/>
      <c r="T86" s="71">
        <f>IF($D86="",0,IF(OR($G86="Published",$G86="Completed",$G86="Cancelled"),0,1))</f>
        <v>0</v>
      </c>
      <c r="U86" s="69" t="str">
        <f>IF($D86="","",IF(AND($T86=1,ISNUMBER($I86)),IF($I86&lt;ReportDate,ReportDate-$I86,0),0))</f>
        <v/>
      </c>
      <c r="V86" s="71" t="str">
        <f>IF($D86="","",IF(ISNUMBER($A86),IF(ISNUMBER($A86),YEAR($A86)&amp;"-"&amp;TEXT(MONTH($A86),"00"),""),IF(ISNUMBER($I86),IF(ISNUMBER($I86),YEAR($I86)&amp;"-"&amp;TEXT(MONTH($I86),"00"),""),IF(ISNUMBER($H86),IF(ISNUMBER($H86),YEAR($H86)&amp;"-"&amp;TEXT(MONTH($H86),"00"),""),""))))</f>
        <v/>
      </c>
      <c r="W86" s="71">
        <f>IF($D86="",0,IF(AND(OR(fClient="All",$B86=fClient),fCampaign="All",OR(fTeam="All",$E86=fTeam),OR(fChannel="All",$C86=fChannel,AND(fChannel="Content",OR($C86="Blog",$C86="Case Study",$C86="Whitepaper")),AND(fChannel="Webinar / Events",$C86="Webinar")),OR(fMonth="All",$V86=fMonth)),1,0))</f>
        <v>0</v>
      </c>
      <c r="X86" s="71">
        <f>IF($D86="",0,IF(AND(OR(fClient="All",$B86=fClient),fCampaign="All",OR(fTeam="All",$E86=fTeam),OR(fChannel="All",$C86=fChannel,AND(fChannel="Content",OR($C86="Blog",$C86="Case Study",$C86="Whitepaper")),AND(fChannel="Webinar / Events",$C86="Webinar"))),1,0))</f>
        <v>0</v>
      </c>
    </row>
    <row r="87">
      <c r="A87" s="63" t="n"/>
      <c r="B87" s="64" t="n"/>
      <c r="C87" s="64" t="n"/>
      <c r="D87" s="65" t="n"/>
      <c r="E87" s="64" t="n"/>
      <c r="F87" s="64" t="n"/>
      <c r="G87" s="64" t="n"/>
      <c r="H87" s="63" t="n"/>
      <c r="I87" s="63" t="n"/>
      <c r="J87" s="63" t="n"/>
      <c r="K87" s="67" t="n"/>
      <c r="L87" s="67" t="n"/>
      <c r="M87" s="67" t="n"/>
      <c r="N87" s="65" t="n"/>
      <c r="O87" s="64" t="n"/>
      <c r="P87" s="67" t="n"/>
      <c r="Q87" s="65" t="n"/>
      <c r="R87" s="65" t="n"/>
      <c r="S87" s="65" t="n"/>
      <c r="T87" s="71">
        <f>IF($D87="",0,IF(OR($G87="Published",$G87="Completed",$G87="Cancelled"),0,1))</f>
        <v>0</v>
      </c>
      <c r="U87" s="69" t="str">
        <f>IF($D87="","",IF(AND($T87=1,ISNUMBER($I87)),IF($I87&lt;ReportDate,ReportDate-$I87,0),0))</f>
        <v/>
      </c>
      <c r="V87" s="71" t="str">
        <f>IF($D87="","",IF(ISNUMBER($A87),IF(ISNUMBER($A87),YEAR($A87)&amp;"-"&amp;TEXT(MONTH($A87),"00"),""),IF(ISNUMBER($I87),IF(ISNUMBER($I87),YEAR($I87)&amp;"-"&amp;TEXT(MONTH($I87),"00"),""),IF(ISNUMBER($H87),IF(ISNUMBER($H87),YEAR($H87)&amp;"-"&amp;TEXT(MONTH($H87),"00"),""),""))))</f>
        <v/>
      </c>
      <c r="W87" s="71">
        <f>IF($D87="",0,IF(AND(OR(fClient="All",$B87=fClient),fCampaign="All",OR(fTeam="All",$E87=fTeam),OR(fChannel="All",$C87=fChannel,AND(fChannel="Content",OR($C87="Blog",$C87="Case Study",$C87="Whitepaper")),AND(fChannel="Webinar / Events",$C87="Webinar")),OR(fMonth="All",$V87=fMonth)),1,0))</f>
        <v>0</v>
      </c>
      <c r="X87" s="71">
        <f>IF($D87="",0,IF(AND(OR(fClient="All",$B87=fClient),fCampaign="All",OR(fTeam="All",$E87=fTeam),OR(fChannel="All",$C87=fChannel,AND(fChannel="Content",OR($C87="Blog",$C87="Case Study",$C87="Whitepaper")),AND(fChannel="Webinar / Events",$C87="Webinar"))),1,0))</f>
        <v>0</v>
      </c>
    </row>
    <row r="88">
      <c r="A88" s="63" t="n"/>
      <c r="B88" s="64" t="n"/>
      <c r="C88" s="64" t="n"/>
      <c r="D88" s="65" t="n"/>
      <c r="E88" s="64" t="n"/>
      <c r="F88" s="64" t="n"/>
      <c r="G88" s="64" t="n"/>
      <c r="H88" s="63" t="n"/>
      <c r="I88" s="63" t="n"/>
      <c r="J88" s="63" t="n"/>
      <c r="K88" s="67" t="n"/>
      <c r="L88" s="67" t="n"/>
      <c r="M88" s="67" t="n"/>
      <c r="N88" s="65" t="n"/>
      <c r="O88" s="64" t="n"/>
      <c r="P88" s="67" t="n"/>
      <c r="Q88" s="65" t="n"/>
      <c r="R88" s="65" t="n"/>
      <c r="S88" s="65" t="n"/>
      <c r="T88" s="71">
        <f>IF($D88="",0,IF(OR($G88="Published",$G88="Completed",$G88="Cancelled"),0,1))</f>
        <v>0</v>
      </c>
      <c r="U88" s="69" t="str">
        <f>IF($D88="","",IF(AND($T88=1,ISNUMBER($I88)),IF($I88&lt;ReportDate,ReportDate-$I88,0),0))</f>
        <v/>
      </c>
      <c r="V88" s="71" t="str">
        <f>IF($D88="","",IF(ISNUMBER($A88),IF(ISNUMBER($A88),YEAR($A88)&amp;"-"&amp;TEXT(MONTH($A88),"00"),""),IF(ISNUMBER($I88),IF(ISNUMBER($I88),YEAR($I88)&amp;"-"&amp;TEXT(MONTH($I88),"00"),""),IF(ISNUMBER($H88),IF(ISNUMBER($H88),YEAR($H88)&amp;"-"&amp;TEXT(MONTH($H88),"00"),""),""))))</f>
        <v/>
      </c>
      <c r="W88" s="71">
        <f>IF($D88="",0,IF(AND(OR(fClient="All",$B88=fClient),fCampaign="All",OR(fTeam="All",$E88=fTeam),OR(fChannel="All",$C88=fChannel,AND(fChannel="Content",OR($C88="Blog",$C88="Case Study",$C88="Whitepaper")),AND(fChannel="Webinar / Events",$C88="Webinar")),OR(fMonth="All",$V88=fMonth)),1,0))</f>
        <v>0</v>
      </c>
      <c r="X88" s="71">
        <f>IF($D88="",0,IF(AND(OR(fClient="All",$B88=fClient),fCampaign="All",OR(fTeam="All",$E88=fTeam),OR(fChannel="All",$C88=fChannel,AND(fChannel="Content",OR($C88="Blog",$C88="Case Study",$C88="Whitepaper")),AND(fChannel="Webinar / Events",$C88="Webinar"))),1,0))</f>
        <v>0</v>
      </c>
    </row>
    <row r="89">
      <c r="A89" s="63" t="n"/>
      <c r="B89" s="64" t="n"/>
      <c r="C89" s="64" t="n"/>
      <c r="D89" s="65" t="n"/>
      <c r="E89" s="64" t="n"/>
      <c r="F89" s="64" t="n"/>
      <c r="G89" s="64" t="n"/>
      <c r="H89" s="63" t="n"/>
      <c r="I89" s="63" t="n"/>
      <c r="J89" s="63" t="n"/>
      <c r="K89" s="67" t="n"/>
      <c r="L89" s="67" t="n"/>
      <c r="M89" s="67" t="n"/>
      <c r="N89" s="65" t="n"/>
      <c r="O89" s="64" t="n"/>
      <c r="P89" s="67" t="n"/>
      <c r="Q89" s="65" t="n"/>
      <c r="R89" s="65" t="n"/>
      <c r="S89" s="65" t="n"/>
      <c r="T89" s="71">
        <f>IF($D89="",0,IF(OR($G89="Published",$G89="Completed",$G89="Cancelled"),0,1))</f>
        <v>0</v>
      </c>
      <c r="U89" s="69" t="str">
        <f>IF($D89="","",IF(AND($T89=1,ISNUMBER($I89)),IF($I89&lt;ReportDate,ReportDate-$I89,0),0))</f>
        <v/>
      </c>
      <c r="V89" s="71" t="str">
        <f>IF($D89="","",IF(ISNUMBER($A89),IF(ISNUMBER($A89),YEAR($A89)&amp;"-"&amp;TEXT(MONTH($A89),"00"),""),IF(ISNUMBER($I89),IF(ISNUMBER($I89),YEAR($I89)&amp;"-"&amp;TEXT(MONTH($I89),"00"),""),IF(ISNUMBER($H89),IF(ISNUMBER($H89),YEAR($H89)&amp;"-"&amp;TEXT(MONTH($H89),"00"),""),""))))</f>
        <v/>
      </c>
      <c r="W89" s="71">
        <f>IF($D89="",0,IF(AND(OR(fClient="All",$B89=fClient),fCampaign="All",OR(fTeam="All",$E89=fTeam),OR(fChannel="All",$C89=fChannel,AND(fChannel="Content",OR($C89="Blog",$C89="Case Study",$C89="Whitepaper")),AND(fChannel="Webinar / Events",$C89="Webinar")),OR(fMonth="All",$V89=fMonth)),1,0))</f>
        <v>0</v>
      </c>
      <c r="X89" s="71">
        <f>IF($D89="",0,IF(AND(OR(fClient="All",$B89=fClient),fCampaign="All",OR(fTeam="All",$E89=fTeam),OR(fChannel="All",$C89=fChannel,AND(fChannel="Content",OR($C89="Blog",$C89="Case Study",$C89="Whitepaper")),AND(fChannel="Webinar / Events",$C89="Webinar"))),1,0))</f>
        <v>0</v>
      </c>
    </row>
    <row r="90">
      <c r="A90" s="63" t="n"/>
      <c r="B90" s="64" t="n"/>
      <c r="C90" s="64" t="n"/>
      <c r="D90" s="65" t="n"/>
      <c r="E90" s="64" t="n"/>
      <c r="F90" s="64" t="n"/>
      <c r="G90" s="64" t="n"/>
      <c r="H90" s="63" t="n"/>
      <c r="I90" s="63" t="n"/>
      <c r="J90" s="63" t="n"/>
      <c r="K90" s="67" t="n"/>
      <c r="L90" s="67" t="n"/>
      <c r="M90" s="67" t="n"/>
      <c r="N90" s="65" t="n"/>
      <c r="O90" s="64" t="n"/>
      <c r="P90" s="67" t="n"/>
      <c r="Q90" s="65" t="n"/>
      <c r="R90" s="65" t="n"/>
      <c r="S90" s="65" t="n"/>
      <c r="T90" s="71">
        <f>IF($D90="",0,IF(OR($G90="Published",$G90="Completed",$G90="Cancelled"),0,1))</f>
        <v>0</v>
      </c>
      <c r="U90" s="69" t="str">
        <f>IF($D90="","",IF(AND($T90=1,ISNUMBER($I90)),IF($I90&lt;ReportDate,ReportDate-$I90,0),0))</f>
        <v/>
      </c>
      <c r="V90" s="71" t="str">
        <f>IF($D90="","",IF(ISNUMBER($A90),IF(ISNUMBER($A90),YEAR($A90)&amp;"-"&amp;TEXT(MONTH($A90),"00"),""),IF(ISNUMBER($I90),IF(ISNUMBER($I90),YEAR($I90)&amp;"-"&amp;TEXT(MONTH($I90),"00"),""),IF(ISNUMBER($H90),IF(ISNUMBER($H90),YEAR($H90)&amp;"-"&amp;TEXT(MONTH($H90),"00"),""),""))))</f>
        <v/>
      </c>
      <c r="W90" s="71">
        <f>IF($D90="",0,IF(AND(OR(fClient="All",$B90=fClient),fCampaign="All",OR(fTeam="All",$E90=fTeam),OR(fChannel="All",$C90=fChannel,AND(fChannel="Content",OR($C90="Blog",$C90="Case Study",$C90="Whitepaper")),AND(fChannel="Webinar / Events",$C90="Webinar")),OR(fMonth="All",$V90=fMonth)),1,0))</f>
        <v>0</v>
      </c>
      <c r="X90" s="71">
        <f>IF($D90="",0,IF(AND(OR(fClient="All",$B90=fClient),fCampaign="All",OR(fTeam="All",$E90=fTeam),OR(fChannel="All",$C90=fChannel,AND(fChannel="Content",OR($C90="Blog",$C90="Case Study",$C90="Whitepaper")),AND(fChannel="Webinar / Events",$C90="Webinar"))),1,0))</f>
        <v>0</v>
      </c>
    </row>
    <row r="91">
      <c r="A91" s="63" t="n"/>
      <c r="B91" s="64" t="n"/>
      <c r="C91" s="64" t="n"/>
      <c r="D91" s="65" t="n"/>
      <c r="E91" s="64" t="n"/>
      <c r="F91" s="64" t="n"/>
      <c r="G91" s="64" t="n"/>
      <c r="H91" s="63" t="n"/>
      <c r="I91" s="63" t="n"/>
      <c r="J91" s="63" t="n"/>
      <c r="K91" s="67" t="n"/>
      <c r="L91" s="67" t="n"/>
      <c r="M91" s="67" t="n"/>
      <c r="N91" s="65" t="n"/>
      <c r="O91" s="64" t="n"/>
      <c r="P91" s="67" t="n"/>
      <c r="Q91" s="65" t="n"/>
      <c r="R91" s="65" t="n"/>
      <c r="S91" s="65" t="n"/>
      <c r="T91" s="71">
        <f>IF($D91="",0,IF(OR($G91="Published",$G91="Completed",$G91="Cancelled"),0,1))</f>
        <v>0</v>
      </c>
      <c r="U91" s="69" t="str">
        <f>IF($D91="","",IF(AND($T91=1,ISNUMBER($I91)),IF($I91&lt;ReportDate,ReportDate-$I91,0),0))</f>
        <v/>
      </c>
      <c r="V91" s="71" t="str">
        <f>IF($D91="","",IF(ISNUMBER($A91),IF(ISNUMBER($A91),YEAR($A91)&amp;"-"&amp;TEXT(MONTH($A91),"00"),""),IF(ISNUMBER($I91),IF(ISNUMBER($I91),YEAR($I91)&amp;"-"&amp;TEXT(MONTH($I91),"00"),""),IF(ISNUMBER($H91),IF(ISNUMBER($H91),YEAR($H91)&amp;"-"&amp;TEXT(MONTH($H91),"00"),""),""))))</f>
        <v/>
      </c>
      <c r="W91" s="71">
        <f>IF($D91="",0,IF(AND(OR(fClient="All",$B91=fClient),fCampaign="All",OR(fTeam="All",$E91=fTeam),OR(fChannel="All",$C91=fChannel,AND(fChannel="Content",OR($C91="Blog",$C91="Case Study",$C91="Whitepaper")),AND(fChannel="Webinar / Events",$C91="Webinar")),OR(fMonth="All",$V91=fMonth)),1,0))</f>
        <v>0</v>
      </c>
      <c r="X91" s="71">
        <f>IF($D91="",0,IF(AND(OR(fClient="All",$B91=fClient),fCampaign="All",OR(fTeam="All",$E91=fTeam),OR(fChannel="All",$C91=fChannel,AND(fChannel="Content",OR($C91="Blog",$C91="Case Study",$C91="Whitepaper")),AND(fChannel="Webinar / Events",$C91="Webinar"))),1,0))</f>
        <v>0</v>
      </c>
    </row>
    <row r="92">
      <c r="A92" s="63" t="n"/>
      <c r="B92" s="64" t="n"/>
      <c r="C92" s="64" t="n"/>
      <c r="D92" s="65" t="n"/>
      <c r="E92" s="64" t="n"/>
      <c r="F92" s="64" t="n"/>
      <c r="G92" s="64" t="n"/>
      <c r="H92" s="63" t="n"/>
      <c r="I92" s="63" t="n"/>
      <c r="J92" s="63" t="n"/>
      <c r="K92" s="67" t="n"/>
      <c r="L92" s="67" t="n"/>
      <c r="M92" s="67" t="n"/>
      <c r="N92" s="65" t="n"/>
      <c r="O92" s="64" t="n"/>
      <c r="P92" s="67" t="n"/>
      <c r="Q92" s="65" t="n"/>
      <c r="R92" s="65" t="n"/>
      <c r="S92" s="65" t="n"/>
      <c r="T92" s="71">
        <f>IF($D92="",0,IF(OR($G92="Published",$G92="Completed",$G92="Cancelled"),0,1))</f>
        <v>0</v>
      </c>
      <c r="U92" s="69" t="str">
        <f>IF($D92="","",IF(AND($T92=1,ISNUMBER($I92)),IF($I92&lt;ReportDate,ReportDate-$I92,0),0))</f>
        <v/>
      </c>
      <c r="V92" s="71" t="str">
        <f>IF($D92="","",IF(ISNUMBER($A92),IF(ISNUMBER($A92),YEAR($A92)&amp;"-"&amp;TEXT(MONTH($A92),"00"),""),IF(ISNUMBER($I92),IF(ISNUMBER($I92),YEAR($I92)&amp;"-"&amp;TEXT(MONTH($I92),"00"),""),IF(ISNUMBER($H92),IF(ISNUMBER($H92),YEAR($H92)&amp;"-"&amp;TEXT(MONTH($H92),"00"),""),""))))</f>
        <v/>
      </c>
      <c r="W92" s="71">
        <f>IF($D92="",0,IF(AND(OR(fClient="All",$B92=fClient),fCampaign="All",OR(fTeam="All",$E92=fTeam),OR(fChannel="All",$C92=fChannel,AND(fChannel="Content",OR($C92="Blog",$C92="Case Study",$C92="Whitepaper")),AND(fChannel="Webinar / Events",$C92="Webinar")),OR(fMonth="All",$V92=fMonth)),1,0))</f>
        <v>0</v>
      </c>
      <c r="X92" s="71">
        <f>IF($D92="",0,IF(AND(OR(fClient="All",$B92=fClient),fCampaign="All",OR(fTeam="All",$E92=fTeam),OR(fChannel="All",$C92=fChannel,AND(fChannel="Content",OR($C92="Blog",$C92="Case Study",$C92="Whitepaper")),AND(fChannel="Webinar / Events",$C92="Webinar"))),1,0))</f>
        <v>0</v>
      </c>
    </row>
    <row r="93">
      <c r="A93" s="63" t="n"/>
      <c r="B93" s="64" t="n"/>
      <c r="C93" s="64" t="n"/>
      <c r="D93" s="65" t="n"/>
      <c r="E93" s="64" t="n"/>
      <c r="F93" s="64" t="n"/>
      <c r="G93" s="64" t="n"/>
      <c r="H93" s="63" t="n"/>
      <c r="I93" s="63" t="n"/>
      <c r="J93" s="63" t="n"/>
      <c r="K93" s="67" t="n"/>
      <c r="L93" s="67" t="n"/>
      <c r="M93" s="67" t="n"/>
      <c r="N93" s="65" t="n"/>
      <c r="O93" s="64" t="n"/>
      <c r="P93" s="67" t="n"/>
      <c r="Q93" s="65" t="n"/>
      <c r="R93" s="65" t="n"/>
      <c r="S93" s="65" t="n"/>
      <c r="T93" s="71">
        <f>IF($D93="",0,IF(OR($G93="Published",$G93="Completed",$G93="Cancelled"),0,1))</f>
        <v>0</v>
      </c>
      <c r="U93" s="69" t="str">
        <f>IF($D93="","",IF(AND($T93=1,ISNUMBER($I93)),IF($I93&lt;ReportDate,ReportDate-$I93,0),0))</f>
        <v/>
      </c>
      <c r="V93" s="71" t="str">
        <f>IF($D93="","",IF(ISNUMBER($A93),IF(ISNUMBER($A93),YEAR($A93)&amp;"-"&amp;TEXT(MONTH($A93),"00"),""),IF(ISNUMBER($I93),IF(ISNUMBER($I93),YEAR($I93)&amp;"-"&amp;TEXT(MONTH($I93),"00"),""),IF(ISNUMBER($H93),IF(ISNUMBER($H93),YEAR($H93)&amp;"-"&amp;TEXT(MONTH($H93),"00"),""),""))))</f>
        <v/>
      </c>
      <c r="W93" s="71">
        <f>IF($D93="",0,IF(AND(OR(fClient="All",$B93=fClient),fCampaign="All",OR(fTeam="All",$E93=fTeam),OR(fChannel="All",$C93=fChannel,AND(fChannel="Content",OR($C93="Blog",$C93="Case Study",$C93="Whitepaper")),AND(fChannel="Webinar / Events",$C93="Webinar")),OR(fMonth="All",$V93=fMonth)),1,0))</f>
        <v>0</v>
      </c>
      <c r="X93" s="71">
        <f>IF($D93="",0,IF(AND(OR(fClient="All",$B93=fClient),fCampaign="All",OR(fTeam="All",$E93=fTeam),OR(fChannel="All",$C93=fChannel,AND(fChannel="Content",OR($C93="Blog",$C93="Case Study",$C93="Whitepaper")),AND(fChannel="Webinar / Events",$C93="Webinar"))),1,0))</f>
        <v>0</v>
      </c>
    </row>
    <row r="94">
      <c r="A94" s="63" t="n"/>
      <c r="B94" s="64" t="n"/>
      <c r="C94" s="64" t="n"/>
      <c r="D94" s="65" t="n"/>
      <c r="E94" s="64" t="n"/>
      <c r="F94" s="64" t="n"/>
      <c r="G94" s="64" t="n"/>
      <c r="H94" s="63" t="n"/>
      <c r="I94" s="63" t="n"/>
      <c r="J94" s="63" t="n"/>
      <c r="K94" s="67" t="n"/>
      <c r="L94" s="67" t="n"/>
      <c r="M94" s="67" t="n"/>
      <c r="N94" s="65" t="n"/>
      <c r="O94" s="64" t="n"/>
      <c r="P94" s="67" t="n"/>
      <c r="Q94" s="65" t="n"/>
      <c r="R94" s="65" t="n"/>
      <c r="S94" s="65" t="n"/>
      <c r="T94" s="71">
        <f>IF($D94="",0,IF(OR($G94="Published",$G94="Completed",$G94="Cancelled"),0,1))</f>
        <v>0</v>
      </c>
      <c r="U94" s="69" t="str">
        <f>IF($D94="","",IF(AND($T94=1,ISNUMBER($I94)),IF($I94&lt;ReportDate,ReportDate-$I94,0),0))</f>
        <v/>
      </c>
      <c r="V94" s="71" t="str">
        <f>IF($D94="","",IF(ISNUMBER($A94),IF(ISNUMBER($A94),YEAR($A94)&amp;"-"&amp;TEXT(MONTH($A94),"00"),""),IF(ISNUMBER($I94),IF(ISNUMBER($I94),YEAR($I94)&amp;"-"&amp;TEXT(MONTH($I94),"00"),""),IF(ISNUMBER($H94),IF(ISNUMBER($H94),YEAR($H94)&amp;"-"&amp;TEXT(MONTH($H94),"00"),""),""))))</f>
        <v/>
      </c>
      <c r="W94" s="71">
        <f>IF($D94="",0,IF(AND(OR(fClient="All",$B94=fClient),fCampaign="All",OR(fTeam="All",$E94=fTeam),OR(fChannel="All",$C94=fChannel,AND(fChannel="Content",OR($C94="Blog",$C94="Case Study",$C94="Whitepaper")),AND(fChannel="Webinar / Events",$C94="Webinar")),OR(fMonth="All",$V94=fMonth)),1,0))</f>
        <v>0</v>
      </c>
      <c r="X94" s="71">
        <f>IF($D94="",0,IF(AND(OR(fClient="All",$B94=fClient),fCampaign="All",OR(fTeam="All",$E94=fTeam),OR(fChannel="All",$C94=fChannel,AND(fChannel="Content",OR($C94="Blog",$C94="Case Study",$C94="Whitepaper")),AND(fChannel="Webinar / Events",$C94="Webinar"))),1,0))</f>
        <v>0</v>
      </c>
    </row>
    <row r="95">
      <c r="A95" s="63" t="n"/>
      <c r="B95" s="64" t="n"/>
      <c r="C95" s="64" t="n"/>
      <c r="D95" s="65" t="n"/>
      <c r="E95" s="64" t="n"/>
      <c r="F95" s="64" t="n"/>
      <c r="G95" s="64" t="n"/>
      <c r="H95" s="63" t="n"/>
      <c r="I95" s="63" t="n"/>
      <c r="J95" s="63" t="n"/>
      <c r="K95" s="67" t="n"/>
      <c r="L95" s="67" t="n"/>
      <c r="M95" s="67" t="n"/>
      <c r="N95" s="65" t="n"/>
      <c r="O95" s="64" t="n"/>
      <c r="P95" s="67" t="n"/>
      <c r="Q95" s="65" t="n"/>
      <c r="R95" s="65" t="n"/>
      <c r="S95" s="65" t="n"/>
      <c r="T95" s="71">
        <f>IF($D95="",0,IF(OR($G95="Published",$G95="Completed",$G95="Cancelled"),0,1))</f>
        <v>0</v>
      </c>
      <c r="U95" s="69" t="str">
        <f>IF($D95="","",IF(AND($T95=1,ISNUMBER($I95)),IF($I95&lt;ReportDate,ReportDate-$I95,0),0))</f>
        <v/>
      </c>
      <c r="V95" s="71" t="str">
        <f>IF($D95="","",IF(ISNUMBER($A95),IF(ISNUMBER($A95),YEAR($A95)&amp;"-"&amp;TEXT(MONTH($A95),"00"),""),IF(ISNUMBER($I95),IF(ISNUMBER($I95),YEAR($I95)&amp;"-"&amp;TEXT(MONTH($I95),"00"),""),IF(ISNUMBER($H95),IF(ISNUMBER($H95),YEAR($H95)&amp;"-"&amp;TEXT(MONTH($H95),"00"),""),""))))</f>
        <v/>
      </c>
      <c r="W95" s="71">
        <f>IF($D95="",0,IF(AND(OR(fClient="All",$B95=fClient),fCampaign="All",OR(fTeam="All",$E95=fTeam),OR(fChannel="All",$C95=fChannel,AND(fChannel="Content",OR($C95="Blog",$C95="Case Study",$C95="Whitepaper")),AND(fChannel="Webinar / Events",$C95="Webinar")),OR(fMonth="All",$V95=fMonth)),1,0))</f>
        <v>0</v>
      </c>
      <c r="X95" s="71">
        <f>IF($D95="",0,IF(AND(OR(fClient="All",$B95=fClient),fCampaign="All",OR(fTeam="All",$E95=fTeam),OR(fChannel="All",$C95=fChannel,AND(fChannel="Content",OR($C95="Blog",$C95="Case Study",$C95="Whitepaper")),AND(fChannel="Webinar / Events",$C95="Webinar"))),1,0))</f>
        <v>0</v>
      </c>
    </row>
    <row r="96">
      <c r="A96" s="63" t="n"/>
      <c r="B96" s="64" t="n"/>
      <c r="C96" s="64" t="n"/>
      <c r="D96" s="65" t="n"/>
      <c r="E96" s="64" t="n"/>
      <c r="F96" s="64" t="n"/>
      <c r="G96" s="64" t="n"/>
      <c r="H96" s="63" t="n"/>
      <c r="I96" s="63" t="n"/>
      <c r="J96" s="63" t="n"/>
      <c r="K96" s="67" t="n"/>
      <c r="L96" s="67" t="n"/>
      <c r="M96" s="67" t="n"/>
      <c r="N96" s="65" t="n"/>
      <c r="O96" s="64" t="n"/>
      <c r="P96" s="67" t="n"/>
      <c r="Q96" s="65" t="n"/>
      <c r="R96" s="65" t="n"/>
      <c r="S96" s="65" t="n"/>
      <c r="T96" s="71">
        <f>IF($D96="",0,IF(OR($G96="Published",$G96="Completed",$G96="Cancelled"),0,1))</f>
        <v>0</v>
      </c>
      <c r="U96" s="69" t="str">
        <f>IF($D96="","",IF(AND($T96=1,ISNUMBER($I96)),IF($I96&lt;ReportDate,ReportDate-$I96,0),0))</f>
        <v/>
      </c>
      <c r="V96" s="71" t="str">
        <f>IF($D96="","",IF(ISNUMBER($A96),IF(ISNUMBER($A96),YEAR($A96)&amp;"-"&amp;TEXT(MONTH($A96),"00"),""),IF(ISNUMBER($I96),IF(ISNUMBER($I96),YEAR($I96)&amp;"-"&amp;TEXT(MONTH($I96),"00"),""),IF(ISNUMBER($H96),IF(ISNUMBER($H96),YEAR($H96)&amp;"-"&amp;TEXT(MONTH($H96),"00"),""),""))))</f>
        <v/>
      </c>
      <c r="W96" s="71">
        <f>IF($D96="",0,IF(AND(OR(fClient="All",$B96=fClient),fCampaign="All",OR(fTeam="All",$E96=fTeam),OR(fChannel="All",$C96=fChannel,AND(fChannel="Content",OR($C96="Blog",$C96="Case Study",$C96="Whitepaper")),AND(fChannel="Webinar / Events",$C96="Webinar")),OR(fMonth="All",$V96=fMonth)),1,0))</f>
        <v>0</v>
      </c>
      <c r="X96" s="71">
        <f>IF($D96="",0,IF(AND(OR(fClient="All",$B96=fClient),fCampaign="All",OR(fTeam="All",$E96=fTeam),OR(fChannel="All",$C96=fChannel,AND(fChannel="Content",OR($C96="Blog",$C96="Case Study",$C96="Whitepaper")),AND(fChannel="Webinar / Events",$C96="Webinar"))),1,0))</f>
        <v>0</v>
      </c>
    </row>
    <row r="97">
      <c r="A97" s="63" t="n"/>
      <c r="B97" s="64" t="n"/>
      <c r="C97" s="64" t="n"/>
      <c r="D97" s="65" t="n"/>
      <c r="E97" s="64" t="n"/>
      <c r="F97" s="64" t="n"/>
      <c r="G97" s="64" t="n"/>
      <c r="H97" s="63" t="n"/>
      <c r="I97" s="63" t="n"/>
      <c r="J97" s="63" t="n"/>
      <c r="K97" s="67" t="n"/>
      <c r="L97" s="67" t="n"/>
      <c r="M97" s="67" t="n"/>
      <c r="N97" s="65" t="n"/>
      <c r="O97" s="64" t="n"/>
      <c r="P97" s="67" t="n"/>
      <c r="Q97" s="65" t="n"/>
      <c r="R97" s="65" t="n"/>
      <c r="S97" s="65" t="n"/>
      <c r="T97" s="71">
        <f>IF($D97="",0,IF(OR($G97="Published",$G97="Completed",$G97="Cancelled"),0,1))</f>
        <v>0</v>
      </c>
      <c r="U97" s="69" t="str">
        <f>IF($D97="","",IF(AND($T97=1,ISNUMBER($I97)),IF($I97&lt;ReportDate,ReportDate-$I97,0),0))</f>
        <v/>
      </c>
      <c r="V97" s="71" t="str">
        <f>IF($D97="","",IF(ISNUMBER($A97),IF(ISNUMBER($A97),YEAR($A97)&amp;"-"&amp;TEXT(MONTH($A97),"00"),""),IF(ISNUMBER($I97),IF(ISNUMBER($I97),YEAR($I97)&amp;"-"&amp;TEXT(MONTH($I97),"00"),""),IF(ISNUMBER($H97),IF(ISNUMBER($H97),YEAR($H97)&amp;"-"&amp;TEXT(MONTH($H97),"00"),""),""))))</f>
        <v/>
      </c>
      <c r="W97" s="71">
        <f>IF($D97="",0,IF(AND(OR(fClient="All",$B97=fClient),fCampaign="All",OR(fTeam="All",$E97=fTeam),OR(fChannel="All",$C97=fChannel,AND(fChannel="Content",OR($C97="Blog",$C97="Case Study",$C97="Whitepaper")),AND(fChannel="Webinar / Events",$C97="Webinar")),OR(fMonth="All",$V97=fMonth)),1,0))</f>
        <v>0</v>
      </c>
      <c r="X97" s="71">
        <f>IF($D97="",0,IF(AND(OR(fClient="All",$B97=fClient),fCampaign="All",OR(fTeam="All",$E97=fTeam),OR(fChannel="All",$C97=fChannel,AND(fChannel="Content",OR($C97="Blog",$C97="Case Study",$C97="Whitepaper")),AND(fChannel="Webinar / Events",$C97="Webinar"))),1,0))</f>
        <v>0</v>
      </c>
    </row>
    <row r="98">
      <c r="A98" s="63" t="n"/>
      <c r="B98" s="64" t="n"/>
      <c r="C98" s="64" t="n"/>
      <c r="D98" s="65" t="n"/>
      <c r="E98" s="64" t="n"/>
      <c r="F98" s="64" t="n"/>
      <c r="G98" s="64" t="n"/>
      <c r="H98" s="63" t="n"/>
      <c r="I98" s="63" t="n"/>
      <c r="J98" s="63" t="n"/>
      <c r="K98" s="67" t="n"/>
      <c r="L98" s="67" t="n"/>
      <c r="M98" s="67" t="n"/>
      <c r="N98" s="65" t="n"/>
      <c r="O98" s="64" t="n"/>
      <c r="P98" s="67" t="n"/>
      <c r="Q98" s="65" t="n"/>
      <c r="R98" s="65" t="n"/>
      <c r="S98" s="65" t="n"/>
      <c r="T98" s="71">
        <f>IF($D98="",0,IF(OR($G98="Published",$G98="Completed",$G98="Cancelled"),0,1))</f>
        <v>0</v>
      </c>
      <c r="U98" s="69" t="str">
        <f>IF($D98="","",IF(AND($T98=1,ISNUMBER($I98)),IF($I98&lt;ReportDate,ReportDate-$I98,0),0))</f>
        <v/>
      </c>
      <c r="V98" s="71" t="str">
        <f>IF($D98="","",IF(ISNUMBER($A98),IF(ISNUMBER($A98),YEAR($A98)&amp;"-"&amp;TEXT(MONTH($A98),"00"),""),IF(ISNUMBER($I98),IF(ISNUMBER($I98),YEAR($I98)&amp;"-"&amp;TEXT(MONTH($I98),"00"),""),IF(ISNUMBER($H98),IF(ISNUMBER($H98),YEAR($H98)&amp;"-"&amp;TEXT(MONTH($H98),"00"),""),""))))</f>
        <v/>
      </c>
      <c r="W98" s="71">
        <f>IF($D98="",0,IF(AND(OR(fClient="All",$B98=fClient),fCampaign="All",OR(fTeam="All",$E98=fTeam),OR(fChannel="All",$C98=fChannel,AND(fChannel="Content",OR($C98="Blog",$C98="Case Study",$C98="Whitepaper")),AND(fChannel="Webinar / Events",$C98="Webinar")),OR(fMonth="All",$V98=fMonth)),1,0))</f>
        <v>0</v>
      </c>
      <c r="X98" s="71">
        <f>IF($D98="",0,IF(AND(OR(fClient="All",$B98=fClient),fCampaign="All",OR(fTeam="All",$E98=fTeam),OR(fChannel="All",$C98=fChannel,AND(fChannel="Content",OR($C98="Blog",$C98="Case Study",$C98="Whitepaper")),AND(fChannel="Webinar / Events",$C98="Webinar"))),1,0))</f>
        <v>0</v>
      </c>
    </row>
    <row r="99">
      <c r="A99" s="63" t="n"/>
      <c r="B99" s="64" t="n"/>
      <c r="C99" s="64" t="n"/>
      <c r="D99" s="65" t="n"/>
      <c r="E99" s="64" t="n"/>
      <c r="F99" s="64" t="n"/>
      <c r="G99" s="64" t="n"/>
      <c r="H99" s="63" t="n"/>
      <c r="I99" s="63" t="n"/>
      <c r="J99" s="63" t="n"/>
      <c r="K99" s="67" t="n"/>
      <c r="L99" s="67" t="n"/>
      <c r="M99" s="67" t="n"/>
      <c r="N99" s="65" t="n"/>
      <c r="O99" s="64" t="n"/>
      <c r="P99" s="67" t="n"/>
      <c r="Q99" s="65" t="n"/>
      <c r="R99" s="65" t="n"/>
      <c r="S99" s="65" t="n"/>
      <c r="T99" s="71">
        <f>IF($D99="",0,IF(OR($G99="Published",$G99="Completed",$G99="Cancelled"),0,1))</f>
        <v>0</v>
      </c>
      <c r="U99" s="69" t="str">
        <f>IF($D99="","",IF(AND($T99=1,ISNUMBER($I99)),IF($I99&lt;ReportDate,ReportDate-$I99,0),0))</f>
        <v/>
      </c>
      <c r="V99" s="71" t="str">
        <f>IF($D99="","",IF(ISNUMBER($A99),IF(ISNUMBER($A99),YEAR($A99)&amp;"-"&amp;TEXT(MONTH($A99),"00"),""),IF(ISNUMBER($I99),IF(ISNUMBER($I99),YEAR($I99)&amp;"-"&amp;TEXT(MONTH($I99),"00"),""),IF(ISNUMBER($H99),IF(ISNUMBER($H99),YEAR($H99)&amp;"-"&amp;TEXT(MONTH($H99),"00"),""),""))))</f>
        <v/>
      </c>
      <c r="W99" s="71">
        <f>IF($D99="",0,IF(AND(OR(fClient="All",$B99=fClient),fCampaign="All",OR(fTeam="All",$E99=fTeam),OR(fChannel="All",$C99=fChannel,AND(fChannel="Content",OR($C99="Blog",$C99="Case Study",$C99="Whitepaper")),AND(fChannel="Webinar / Events",$C99="Webinar")),OR(fMonth="All",$V99=fMonth)),1,0))</f>
        <v>0</v>
      </c>
      <c r="X99" s="71">
        <f>IF($D99="",0,IF(AND(OR(fClient="All",$B99=fClient),fCampaign="All",OR(fTeam="All",$E99=fTeam),OR(fChannel="All",$C99=fChannel,AND(fChannel="Content",OR($C99="Blog",$C99="Case Study",$C99="Whitepaper")),AND(fChannel="Webinar / Events",$C99="Webinar"))),1,0))</f>
        <v>0</v>
      </c>
    </row>
    <row r="100">
      <c r="A100" s="63" t="n"/>
      <c r="B100" s="64" t="n"/>
      <c r="C100" s="64" t="n"/>
      <c r="D100" s="65" t="n"/>
      <c r="E100" s="64" t="n"/>
      <c r="F100" s="64" t="n"/>
      <c r="G100" s="64" t="n"/>
      <c r="H100" s="63" t="n"/>
      <c r="I100" s="63" t="n"/>
      <c r="J100" s="63" t="n"/>
      <c r="K100" s="67" t="n"/>
      <c r="L100" s="67" t="n"/>
      <c r="M100" s="67" t="n"/>
      <c r="N100" s="65" t="n"/>
      <c r="O100" s="64" t="n"/>
      <c r="P100" s="67" t="n"/>
      <c r="Q100" s="65" t="n"/>
      <c r="R100" s="65" t="n"/>
      <c r="S100" s="65" t="n"/>
      <c r="T100" s="71">
        <f>IF($D100="",0,IF(OR($G100="Published",$G100="Completed",$G100="Cancelled"),0,1))</f>
        <v>0</v>
      </c>
      <c r="U100" s="69" t="str">
        <f>IF($D100="","",IF(AND($T100=1,ISNUMBER($I100)),IF($I100&lt;ReportDate,ReportDate-$I100,0),0))</f>
        <v/>
      </c>
      <c r="V100" s="71" t="str">
        <f>IF($D100="","",IF(ISNUMBER($A100),IF(ISNUMBER($A100),YEAR($A100)&amp;"-"&amp;TEXT(MONTH($A100),"00"),""),IF(ISNUMBER($I100),IF(ISNUMBER($I100),YEAR($I100)&amp;"-"&amp;TEXT(MONTH($I100),"00"),""),IF(ISNUMBER($H100),IF(ISNUMBER($H100),YEAR($H100)&amp;"-"&amp;TEXT(MONTH($H100),"00"),""),""))))</f>
        <v/>
      </c>
      <c r="W100" s="71">
        <f>IF($D100="",0,IF(AND(OR(fClient="All",$B100=fClient),fCampaign="All",OR(fTeam="All",$E100=fTeam),OR(fChannel="All",$C100=fChannel,AND(fChannel="Content",OR($C100="Blog",$C100="Case Study",$C100="Whitepaper")),AND(fChannel="Webinar / Events",$C100="Webinar")),OR(fMonth="All",$V100=fMonth)),1,0))</f>
        <v>0</v>
      </c>
      <c r="X100" s="71">
        <f>IF($D100="",0,IF(AND(OR(fClient="All",$B100=fClient),fCampaign="All",OR(fTeam="All",$E100=fTeam),OR(fChannel="All",$C100=fChannel,AND(fChannel="Content",OR($C100="Blog",$C100="Case Study",$C100="Whitepaper")),AND(fChannel="Webinar / Events",$C100="Webinar"))),1,0))</f>
        <v>0</v>
      </c>
    </row>
    <row r="101">
      <c r="A101" s="63" t="n"/>
      <c r="B101" s="64" t="n"/>
      <c r="C101" s="64" t="n"/>
      <c r="D101" s="65" t="n"/>
      <c r="E101" s="64" t="n"/>
      <c r="F101" s="64" t="n"/>
      <c r="G101" s="64" t="n"/>
      <c r="H101" s="63" t="n"/>
      <c r="I101" s="63" t="n"/>
      <c r="J101" s="63" t="n"/>
      <c r="K101" s="67" t="n"/>
      <c r="L101" s="67" t="n"/>
      <c r="M101" s="67" t="n"/>
      <c r="N101" s="65" t="n"/>
      <c r="O101" s="64" t="n"/>
      <c r="P101" s="67" t="n"/>
      <c r="Q101" s="65" t="n"/>
      <c r="R101" s="65" t="n"/>
      <c r="S101" s="65" t="n"/>
      <c r="T101" s="71">
        <f>IF($D101="",0,IF(OR($G101="Published",$G101="Completed",$G101="Cancelled"),0,1))</f>
        <v>0</v>
      </c>
      <c r="U101" s="69" t="str">
        <f>IF($D101="","",IF(AND($T101=1,ISNUMBER($I101)),IF($I101&lt;ReportDate,ReportDate-$I101,0),0))</f>
        <v/>
      </c>
      <c r="V101" s="71" t="str">
        <f>IF($D101="","",IF(ISNUMBER($A101),IF(ISNUMBER($A101),YEAR($A101)&amp;"-"&amp;TEXT(MONTH($A101),"00"),""),IF(ISNUMBER($I101),IF(ISNUMBER($I101),YEAR($I101)&amp;"-"&amp;TEXT(MONTH($I101),"00"),""),IF(ISNUMBER($H101),IF(ISNUMBER($H101),YEAR($H101)&amp;"-"&amp;TEXT(MONTH($H101),"00"),""),""))))</f>
        <v/>
      </c>
      <c r="W101" s="71">
        <f>IF($D101="",0,IF(AND(OR(fClient="All",$B101=fClient),fCampaign="All",OR(fTeam="All",$E101=fTeam),OR(fChannel="All",$C101=fChannel,AND(fChannel="Content",OR($C101="Blog",$C101="Case Study",$C101="Whitepaper")),AND(fChannel="Webinar / Events",$C101="Webinar")),OR(fMonth="All",$V101=fMonth)),1,0))</f>
        <v>0</v>
      </c>
      <c r="X101" s="71">
        <f>IF($D101="",0,IF(AND(OR(fClient="All",$B101=fClient),fCampaign="All",OR(fTeam="All",$E101=fTeam),OR(fChannel="All",$C101=fChannel,AND(fChannel="Content",OR($C101="Blog",$C101="Case Study",$C101="Whitepaper")),AND(fChannel="Webinar / Events",$C101="Webinar"))),1,0))</f>
        <v>0</v>
      </c>
    </row>
    <row r="102">
      <c r="A102" s="63" t="n"/>
      <c r="B102" s="64" t="n"/>
      <c r="C102" s="64" t="n"/>
      <c r="D102" s="65" t="n"/>
      <c r="E102" s="64" t="n"/>
      <c r="F102" s="64" t="n"/>
      <c r="G102" s="64" t="n"/>
      <c r="H102" s="63" t="n"/>
      <c r="I102" s="63" t="n"/>
      <c r="J102" s="63" t="n"/>
      <c r="K102" s="67" t="n"/>
      <c r="L102" s="67" t="n"/>
      <c r="M102" s="67" t="n"/>
      <c r="N102" s="65" t="n"/>
      <c r="O102" s="64" t="n"/>
      <c r="P102" s="67" t="n"/>
      <c r="Q102" s="65" t="n"/>
      <c r="R102" s="65" t="n"/>
      <c r="S102" s="65" t="n"/>
      <c r="T102" s="71">
        <f>IF($D102="",0,IF(OR($G102="Published",$G102="Completed",$G102="Cancelled"),0,1))</f>
        <v>0</v>
      </c>
      <c r="U102" s="69" t="str">
        <f>IF($D102="","",IF(AND($T102=1,ISNUMBER($I102)),IF($I102&lt;ReportDate,ReportDate-$I102,0),0))</f>
        <v/>
      </c>
      <c r="V102" s="71" t="str">
        <f>IF($D102="","",IF(ISNUMBER($A102),IF(ISNUMBER($A102),YEAR($A102)&amp;"-"&amp;TEXT(MONTH($A102),"00"),""),IF(ISNUMBER($I102),IF(ISNUMBER($I102),YEAR($I102)&amp;"-"&amp;TEXT(MONTH($I102),"00"),""),IF(ISNUMBER($H102),IF(ISNUMBER($H102),YEAR($H102)&amp;"-"&amp;TEXT(MONTH($H102),"00"),""),""))))</f>
        <v/>
      </c>
      <c r="W102" s="71">
        <f>IF($D102="",0,IF(AND(OR(fClient="All",$B102=fClient),fCampaign="All",OR(fTeam="All",$E102=fTeam),OR(fChannel="All",$C102=fChannel,AND(fChannel="Content",OR($C102="Blog",$C102="Case Study",$C102="Whitepaper")),AND(fChannel="Webinar / Events",$C102="Webinar")),OR(fMonth="All",$V102=fMonth)),1,0))</f>
        <v>0</v>
      </c>
      <c r="X102" s="71">
        <f>IF($D102="",0,IF(AND(OR(fClient="All",$B102=fClient),fCampaign="All",OR(fTeam="All",$E102=fTeam),OR(fChannel="All",$C102=fChannel,AND(fChannel="Content",OR($C102="Blog",$C102="Case Study",$C102="Whitepaper")),AND(fChannel="Webinar / Events",$C102="Webinar"))),1,0))</f>
        <v>0</v>
      </c>
    </row>
    <row r="103">
      <c r="A103" s="63" t="n"/>
      <c r="B103" s="64" t="n"/>
      <c r="C103" s="64" t="n"/>
      <c r="D103" s="65" t="n"/>
      <c r="E103" s="64" t="n"/>
      <c r="F103" s="64" t="n"/>
      <c r="G103" s="64" t="n"/>
      <c r="H103" s="63" t="n"/>
      <c r="I103" s="63" t="n"/>
      <c r="J103" s="63" t="n"/>
      <c r="K103" s="67" t="n"/>
      <c r="L103" s="67" t="n"/>
      <c r="M103" s="67" t="n"/>
      <c r="N103" s="65" t="n"/>
      <c r="O103" s="64" t="n"/>
      <c r="P103" s="67" t="n"/>
      <c r="Q103" s="65" t="n"/>
      <c r="R103" s="65" t="n"/>
      <c r="S103" s="65" t="n"/>
      <c r="T103" s="71">
        <f>IF($D103="",0,IF(OR($G103="Published",$G103="Completed",$G103="Cancelled"),0,1))</f>
        <v>0</v>
      </c>
      <c r="U103" s="69" t="str">
        <f>IF($D103="","",IF(AND($T103=1,ISNUMBER($I103)),IF($I103&lt;ReportDate,ReportDate-$I103,0),0))</f>
        <v/>
      </c>
      <c r="V103" s="71" t="str">
        <f>IF($D103="","",IF(ISNUMBER($A103),IF(ISNUMBER($A103),YEAR($A103)&amp;"-"&amp;TEXT(MONTH($A103),"00"),""),IF(ISNUMBER($I103),IF(ISNUMBER($I103),YEAR($I103)&amp;"-"&amp;TEXT(MONTH($I103),"00"),""),IF(ISNUMBER($H103),IF(ISNUMBER($H103),YEAR($H103)&amp;"-"&amp;TEXT(MONTH($H103),"00"),""),""))))</f>
        <v/>
      </c>
      <c r="W103" s="71">
        <f>IF($D103="",0,IF(AND(OR(fClient="All",$B103=fClient),fCampaign="All",OR(fTeam="All",$E103=fTeam),OR(fChannel="All",$C103=fChannel,AND(fChannel="Content",OR($C103="Blog",$C103="Case Study",$C103="Whitepaper")),AND(fChannel="Webinar / Events",$C103="Webinar")),OR(fMonth="All",$V103=fMonth)),1,0))</f>
        <v>0</v>
      </c>
      <c r="X103" s="71">
        <f>IF($D103="",0,IF(AND(OR(fClient="All",$B103=fClient),fCampaign="All",OR(fTeam="All",$E103=fTeam),OR(fChannel="All",$C103=fChannel,AND(fChannel="Content",OR($C103="Blog",$C103="Case Study",$C103="Whitepaper")),AND(fChannel="Webinar / Events",$C103="Webinar"))),1,0))</f>
        <v>0</v>
      </c>
    </row>
    <row r="104">
      <c r="A104" s="63" t="n"/>
      <c r="B104" s="64" t="n"/>
      <c r="C104" s="64" t="n"/>
      <c r="D104" s="65" t="n"/>
      <c r="E104" s="64" t="n"/>
      <c r="F104" s="64" t="n"/>
      <c r="G104" s="64" t="n"/>
      <c r="H104" s="63" t="n"/>
      <c r="I104" s="63" t="n"/>
      <c r="J104" s="63" t="n"/>
      <c r="K104" s="67" t="n"/>
      <c r="L104" s="67" t="n"/>
      <c r="M104" s="67" t="n"/>
      <c r="N104" s="65" t="n"/>
      <c r="O104" s="64" t="n"/>
      <c r="P104" s="67" t="n"/>
      <c r="Q104" s="65" t="n"/>
      <c r="R104" s="65" t="n"/>
      <c r="S104" s="65" t="n"/>
      <c r="T104" s="71">
        <f>IF($D104="",0,IF(OR($G104="Published",$G104="Completed",$G104="Cancelled"),0,1))</f>
        <v>0</v>
      </c>
      <c r="U104" s="69" t="str">
        <f>IF($D104="","",IF(AND($T104=1,ISNUMBER($I104)),IF($I104&lt;ReportDate,ReportDate-$I104,0),0))</f>
        <v/>
      </c>
      <c r="V104" s="71" t="str">
        <f>IF($D104="","",IF(ISNUMBER($A104),IF(ISNUMBER($A104),YEAR($A104)&amp;"-"&amp;TEXT(MONTH($A104),"00"),""),IF(ISNUMBER($I104),IF(ISNUMBER($I104),YEAR($I104)&amp;"-"&amp;TEXT(MONTH($I104),"00"),""),IF(ISNUMBER($H104),IF(ISNUMBER($H104),YEAR($H104)&amp;"-"&amp;TEXT(MONTH($H104),"00"),""),""))))</f>
        <v/>
      </c>
      <c r="W104" s="71">
        <f>IF($D104="",0,IF(AND(OR(fClient="All",$B104=fClient),fCampaign="All",OR(fTeam="All",$E104=fTeam),OR(fChannel="All",$C104=fChannel,AND(fChannel="Content",OR($C104="Blog",$C104="Case Study",$C104="Whitepaper")),AND(fChannel="Webinar / Events",$C104="Webinar")),OR(fMonth="All",$V104=fMonth)),1,0))</f>
        <v>0</v>
      </c>
      <c r="X104" s="71">
        <f>IF($D104="",0,IF(AND(OR(fClient="All",$B104=fClient),fCampaign="All",OR(fTeam="All",$E104=fTeam),OR(fChannel="All",$C104=fChannel,AND(fChannel="Content",OR($C104="Blog",$C104="Case Study",$C104="Whitepaper")),AND(fChannel="Webinar / Events",$C104="Webinar"))),1,0))</f>
        <v>0</v>
      </c>
    </row>
    <row r="105">
      <c r="A105" s="63" t="n"/>
      <c r="B105" s="64" t="n"/>
      <c r="C105" s="64" t="n"/>
      <c r="D105" s="65" t="n"/>
      <c r="E105" s="64" t="n"/>
      <c r="F105" s="64" t="n"/>
      <c r="G105" s="64" t="n"/>
      <c r="H105" s="63" t="n"/>
      <c r="I105" s="63" t="n"/>
      <c r="J105" s="63" t="n"/>
      <c r="K105" s="67" t="n"/>
      <c r="L105" s="67" t="n"/>
      <c r="M105" s="67" t="n"/>
      <c r="N105" s="65" t="n"/>
      <c r="O105" s="64" t="n"/>
      <c r="P105" s="67" t="n"/>
      <c r="Q105" s="65" t="n"/>
      <c r="R105" s="65" t="n"/>
      <c r="S105" s="65" t="n"/>
      <c r="T105" s="71">
        <f>IF($D105="",0,IF(OR($G105="Published",$G105="Completed",$G105="Cancelled"),0,1))</f>
        <v>0</v>
      </c>
      <c r="U105" s="69" t="str">
        <f>IF($D105="","",IF(AND($T105=1,ISNUMBER($I105)),IF($I105&lt;ReportDate,ReportDate-$I105,0),0))</f>
        <v/>
      </c>
      <c r="V105" s="71" t="str">
        <f>IF($D105="","",IF(ISNUMBER($A105),IF(ISNUMBER($A105),YEAR($A105)&amp;"-"&amp;TEXT(MONTH($A105),"00"),""),IF(ISNUMBER($I105),IF(ISNUMBER($I105),YEAR($I105)&amp;"-"&amp;TEXT(MONTH($I105),"00"),""),IF(ISNUMBER($H105),IF(ISNUMBER($H105),YEAR($H105)&amp;"-"&amp;TEXT(MONTH($H105),"00"),""),""))))</f>
        <v/>
      </c>
      <c r="W105" s="71">
        <f>IF($D105="",0,IF(AND(OR(fClient="All",$B105=fClient),fCampaign="All",OR(fTeam="All",$E105=fTeam),OR(fChannel="All",$C105=fChannel,AND(fChannel="Content",OR($C105="Blog",$C105="Case Study",$C105="Whitepaper")),AND(fChannel="Webinar / Events",$C105="Webinar")),OR(fMonth="All",$V105=fMonth)),1,0))</f>
        <v>0</v>
      </c>
      <c r="X105" s="71">
        <f>IF($D105="",0,IF(AND(OR(fClient="All",$B105=fClient),fCampaign="All",OR(fTeam="All",$E105=fTeam),OR(fChannel="All",$C105=fChannel,AND(fChannel="Content",OR($C105="Blog",$C105="Case Study",$C105="Whitepaper")),AND(fChannel="Webinar / Events",$C105="Webinar"))),1,0))</f>
        <v>0</v>
      </c>
    </row>
    <row r="106">
      <c r="A106" s="63" t="n"/>
      <c r="B106" s="64" t="n"/>
      <c r="C106" s="64" t="n"/>
      <c r="D106" s="65" t="n"/>
      <c r="E106" s="64" t="n"/>
      <c r="F106" s="64" t="n"/>
      <c r="G106" s="64" t="n"/>
      <c r="H106" s="63" t="n"/>
      <c r="I106" s="63" t="n"/>
      <c r="J106" s="63" t="n"/>
      <c r="K106" s="67" t="n"/>
      <c r="L106" s="67" t="n"/>
      <c r="M106" s="67" t="n"/>
      <c r="N106" s="65" t="n"/>
      <c r="O106" s="64" t="n"/>
      <c r="P106" s="67" t="n"/>
      <c r="Q106" s="65" t="n"/>
      <c r="R106" s="65" t="n"/>
      <c r="S106" s="65" t="n"/>
      <c r="T106" s="71">
        <f>IF($D106="",0,IF(OR($G106="Published",$G106="Completed",$G106="Cancelled"),0,1))</f>
        <v>0</v>
      </c>
      <c r="U106" s="69" t="str">
        <f>IF($D106="","",IF(AND($T106=1,ISNUMBER($I106)),IF($I106&lt;ReportDate,ReportDate-$I106,0),0))</f>
        <v/>
      </c>
      <c r="V106" s="71" t="str">
        <f>IF($D106="","",IF(ISNUMBER($A106),IF(ISNUMBER($A106),YEAR($A106)&amp;"-"&amp;TEXT(MONTH($A106),"00"),""),IF(ISNUMBER($I106),IF(ISNUMBER($I106),YEAR($I106)&amp;"-"&amp;TEXT(MONTH($I106),"00"),""),IF(ISNUMBER($H106),IF(ISNUMBER($H106),YEAR($H106)&amp;"-"&amp;TEXT(MONTH($H106),"00"),""),""))))</f>
        <v/>
      </c>
      <c r="W106" s="71">
        <f>IF($D106="",0,IF(AND(OR(fClient="All",$B106=fClient),fCampaign="All",OR(fTeam="All",$E106=fTeam),OR(fChannel="All",$C106=fChannel,AND(fChannel="Content",OR($C106="Blog",$C106="Case Study",$C106="Whitepaper")),AND(fChannel="Webinar / Events",$C106="Webinar")),OR(fMonth="All",$V106=fMonth)),1,0))</f>
        <v>0</v>
      </c>
      <c r="X106" s="71">
        <f>IF($D106="",0,IF(AND(OR(fClient="All",$B106=fClient),fCampaign="All",OR(fTeam="All",$E106=fTeam),OR(fChannel="All",$C106=fChannel,AND(fChannel="Content",OR($C106="Blog",$C106="Case Study",$C106="Whitepaper")),AND(fChannel="Webinar / Events",$C106="Webinar"))),1,0))</f>
        <v>0</v>
      </c>
    </row>
    <row r="107">
      <c r="A107" s="63" t="n"/>
      <c r="B107" s="64" t="n"/>
      <c r="C107" s="64" t="n"/>
      <c r="D107" s="65" t="n"/>
      <c r="E107" s="64" t="n"/>
      <c r="F107" s="64" t="n"/>
      <c r="G107" s="64" t="n"/>
      <c r="H107" s="63" t="n"/>
      <c r="I107" s="63" t="n"/>
      <c r="J107" s="63" t="n"/>
      <c r="K107" s="67" t="n"/>
      <c r="L107" s="67" t="n"/>
      <c r="M107" s="67" t="n"/>
      <c r="N107" s="65" t="n"/>
      <c r="O107" s="64" t="n"/>
      <c r="P107" s="67" t="n"/>
      <c r="Q107" s="65" t="n"/>
      <c r="R107" s="65" t="n"/>
      <c r="S107" s="65" t="n"/>
      <c r="T107" s="71">
        <f>IF($D107="",0,IF(OR($G107="Published",$G107="Completed",$G107="Cancelled"),0,1))</f>
        <v>0</v>
      </c>
      <c r="U107" s="69" t="str">
        <f>IF($D107="","",IF(AND($T107=1,ISNUMBER($I107)),IF($I107&lt;ReportDate,ReportDate-$I107,0),0))</f>
        <v/>
      </c>
      <c r="V107" s="71" t="str">
        <f>IF($D107="","",IF(ISNUMBER($A107),IF(ISNUMBER($A107),YEAR($A107)&amp;"-"&amp;TEXT(MONTH($A107),"00"),""),IF(ISNUMBER($I107),IF(ISNUMBER($I107),YEAR($I107)&amp;"-"&amp;TEXT(MONTH($I107),"00"),""),IF(ISNUMBER($H107),IF(ISNUMBER($H107),YEAR($H107)&amp;"-"&amp;TEXT(MONTH($H107),"00"),""),""))))</f>
        <v/>
      </c>
      <c r="W107" s="71">
        <f>IF($D107="",0,IF(AND(OR(fClient="All",$B107=fClient),fCampaign="All",OR(fTeam="All",$E107=fTeam),OR(fChannel="All",$C107=fChannel,AND(fChannel="Content",OR($C107="Blog",$C107="Case Study",$C107="Whitepaper")),AND(fChannel="Webinar / Events",$C107="Webinar")),OR(fMonth="All",$V107=fMonth)),1,0))</f>
        <v>0</v>
      </c>
      <c r="X107" s="71">
        <f>IF($D107="",0,IF(AND(OR(fClient="All",$B107=fClient),fCampaign="All",OR(fTeam="All",$E107=fTeam),OR(fChannel="All",$C107=fChannel,AND(fChannel="Content",OR($C107="Blog",$C107="Case Study",$C107="Whitepaper")),AND(fChannel="Webinar / Events",$C107="Webinar"))),1,0))</f>
        <v>0</v>
      </c>
    </row>
    <row r="108">
      <c r="A108" s="63" t="n"/>
      <c r="B108" s="64" t="n"/>
      <c r="C108" s="64" t="n"/>
      <c r="D108" s="65" t="n"/>
      <c r="E108" s="64" t="n"/>
      <c r="F108" s="64" t="n"/>
      <c r="G108" s="64" t="n"/>
      <c r="H108" s="63" t="n"/>
      <c r="I108" s="63" t="n"/>
      <c r="J108" s="63" t="n"/>
      <c r="K108" s="67" t="n"/>
      <c r="L108" s="67" t="n"/>
      <c r="M108" s="67" t="n"/>
      <c r="N108" s="65" t="n"/>
      <c r="O108" s="64" t="n"/>
      <c r="P108" s="67" t="n"/>
      <c r="Q108" s="65" t="n"/>
      <c r="R108" s="65" t="n"/>
      <c r="S108" s="65" t="n"/>
      <c r="T108" s="71">
        <f>IF($D108="",0,IF(OR($G108="Published",$G108="Completed",$G108="Cancelled"),0,1))</f>
        <v>0</v>
      </c>
      <c r="U108" s="69" t="str">
        <f>IF($D108="","",IF(AND($T108=1,ISNUMBER($I108)),IF($I108&lt;ReportDate,ReportDate-$I108,0),0))</f>
        <v/>
      </c>
      <c r="V108" s="71" t="str">
        <f>IF($D108="","",IF(ISNUMBER($A108),IF(ISNUMBER($A108),YEAR($A108)&amp;"-"&amp;TEXT(MONTH($A108),"00"),""),IF(ISNUMBER($I108),IF(ISNUMBER($I108),YEAR($I108)&amp;"-"&amp;TEXT(MONTH($I108),"00"),""),IF(ISNUMBER($H108),IF(ISNUMBER($H108),YEAR($H108)&amp;"-"&amp;TEXT(MONTH($H108),"00"),""),""))))</f>
        <v/>
      </c>
      <c r="W108" s="71">
        <f>IF($D108="",0,IF(AND(OR(fClient="All",$B108=fClient),fCampaign="All",OR(fTeam="All",$E108=fTeam),OR(fChannel="All",$C108=fChannel,AND(fChannel="Content",OR($C108="Blog",$C108="Case Study",$C108="Whitepaper")),AND(fChannel="Webinar / Events",$C108="Webinar")),OR(fMonth="All",$V108=fMonth)),1,0))</f>
        <v>0</v>
      </c>
      <c r="X108" s="71">
        <f>IF($D108="",0,IF(AND(OR(fClient="All",$B108=fClient),fCampaign="All",OR(fTeam="All",$E108=fTeam),OR(fChannel="All",$C108=fChannel,AND(fChannel="Content",OR($C108="Blog",$C108="Case Study",$C108="Whitepaper")),AND(fChannel="Webinar / Events",$C108="Webinar"))),1,0))</f>
        <v>0</v>
      </c>
    </row>
    <row r="109">
      <c r="A109" s="63" t="n"/>
      <c r="B109" s="64" t="n"/>
      <c r="C109" s="64" t="n"/>
      <c r="D109" s="65" t="n"/>
      <c r="E109" s="64" t="n"/>
      <c r="F109" s="64" t="n"/>
      <c r="G109" s="64" t="n"/>
      <c r="H109" s="63" t="n"/>
      <c r="I109" s="63" t="n"/>
      <c r="J109" s="63" t="n"/>
      <c r="K109" s="67" t="n"/>
      <c r="L109" s="67" t="n"/>
      <c r="M109" s="67" t="n"/>
      <c r="N109" s="65" t="n"/>
      <c r="O109" s="64" t="n"/>
      <c r="P109" s="67" t="n"/>
      <c r="Q109" s="65" t="n"/>
      <c r="R109" s="65" t="n"/>
      <c r="S109" s="65" t="n"/>
      <c r="T109" s="71">
        <f>IF($D109="",0,IF(OR($G109="Published",$G109="Completed",$G109="Cancelled"),0,1))</f>
        <v>0</v>
      </c>
      <c r="U109" s="69" t="str">
        <f>IF($D109="","",IF(AND($T109=1,ISNUMBER($I109)),IF($I109&lt;ReportDate,ReportDate-$I109,0),0))</f>
        <v/>
      </c>
      <c r="V109" s="71" t="str">
        <f>IF($D109="","",IF(ISNUMBER($A109),IF(ISNUMBER($A109),YEAR($A109)&amp;"-"&amp;TEXT(MONTH($A109),"00"),""),IF(ISNUMBER($I109),IF(ISNUMBER($I109),YEAR($I109)&amp;"-"&amp;TEXT(MONTH($I109),"00"),""),IF(ISNUMBER($H109),IF(ISNUMBER($H109),YEAR($H109)&amp;"-"&amp;TEXT(MONTH($H109),"00"),""),""))))</f>
        <v/>
      </c>
      <c r="W109" s="71">
        <f>IF($D109="",0,IF(AND(OR(fClient="All",$B109=fClient),fCampaign="All",OR(fTeam="All",$E109=fTeam),OR(fChannel="All",$C109=fChannel,AND(fChannel="Content",OR($C109="Blog",$C109="Case Study",$C109="Whitepaper")),AND(fChannel="Webinar / Events",$C109="Webinar")),OR(fMonth="All",$V109=fMonth)),1,0))</f>
        <v>0</v>
      </c>
      <c r="X109" s="71">
        <f>IF($D109="",0,IF(AND(OR(fClient="All",$B109=fClient),fCampaign="All",OR(fTeam="All",$E109=fTeam),OR(fChannel="All",$C109=fChannel,AND(fChannel="Content",OR($C109="Blog",$C109="Case Study",$C109="Whitepaper")),AND(fChannel="Webinar / Events",$C109="Webinar"))),1,0))</f>
        <v>0</v>
      </c>
    </row>
    <row r="110">
      <c r="A110" s="63" t="n"/>
      <c r="B110" s="64" t="n"/>
      <c r="C110" s="64" t="n"/>
      <c r="D110" s="65" t="n"/>
      <c r="E110" s="64" t="n"/>
      <c r="F110" s="64" t="n"/>
      <c r="G110" s="64" t="n"/>
      <c r="H110" s="63" t="n"/>
      <c r="I110" s="63" t="n"/>
      <c r="J110" s="63" t="n"/>
      <c r="K110" s="67" t="n"/>
      <c r="L110" s="67" t="n"/>
      <c r="M110" s="67" t="n"/>
      <c r="N110" s="65" t="n"/>
      <c r="O110" s="64" t="n"/>
      <c r="P110" s="67" t="n"/>
      <c r="Q110" s="65" t="n"/>
      <c r="R110" s="65" t="n"/>
      <c r="S110" s="65" t="n"/>
      <c r="T110" s="71">
        <f>IF($D110="",0,IF(OR($G110="Published",$G110="Completed",$G110="Cancelled"),0,1))</f>
        <v>0</v>
      </c>
      <c r="U110" s="69" t="str">
        <f>IF($D110="","",IF(AND($T110=1,ISNUMBER($I110)),IF($I110&lt;ReportDate,ReportDate-$I110,0),0))</f>
        <v/>
      </c>
      <c r="V110" s="71" t="str">
        <f>IF($D110="","",IF(ISNUMBER($A110),IF(ISNUMBER($A110),YEAR($A110)&amp;"-"&amp;TEXT(MONTH($A110),"00"),""),IF(ISNUMBER($I110),IF(ISNUMBER($I110),YEAR($I110)&amp;"-"&amp;TEXT(MONTH($I110),"00"),""),IF(ISNUMBER($H110),IF(ISNUMBER($H110),YEAR($H110)&amp;"-"&amp;TEXT(MONTH($H110),"00"),""),""))))</f>
        <v/>
      </c>
      <c r="W110" s="71">
        <f>IF($D110="",0,IF(AND(OR(fClient="All",$B110=fClient),fCampaign="All",OR(fTeam="All",$E110=fTeam),OR(fChannel="All",$C110=fChannel,AND(fChannel="Content",OR($C110="Blog",$C110="Case Study",$C110="Whitepaper")),AND(fChannel="Webinar / Events",$C110="Webinar")),OR(fMonth="All",$V110=fMonth)),1,0))</f>
        <v>0</v>
      </c>
      <c r="X110" s="71">
        <f>IF($D110="",0,IF(AND(OR(fClient="All",$B110=fClient),fCampaign="All",OR(fTeam="All",$E110=fTeam),OR(fChannel="All",$C110=fChannel,AND(fChannel="Content",OR($C110="Blog",$C110="Case Study",$C110="Whitepaper")),AND(fChannel="Webinar / Events",$C110="Webinar"))),1,0))</f>
        <v>0</v>
      </c>
    </row>
    <row r="111">
      <c r="A111" s="63" t="n"/>
      <c r="B111" s="64" t="n"/>
      <c r="C111" s="64" t="n"/>
      <c r="D111" s="65" t="n"/>
      <c r="E111" s="64" t="n"/>
      <c r="F111" s="64" t="n"/>
      <c r="G111" s="64" t="n"/>
      <c r="H111" s="63" t="n"/>
      <c r="I111" s="63" t="n"/>
      <c r="J111" s="63" t="n"/>
      <c r="K111" s="67" t="n"/>
      <c r="L111" s="67" t="n"/>
      <c r="M111" s="67" t="n"/>
      <c r="N111" s="65" t="n"/>
      <c r="O111" s="64" t="n"/>
      <c r="P111" s="67" t="n"/>
      <c r="Q111" s="65" t="n"/>
      <c r="R111" s="65" t="n"/>
      <c r="S111" s="65" t="n"/>
      <c r="T111" s="71">
        <f>IF($D111="",0,IF(OR($G111="Published",$G111="Completed",$G111="Cancelled"),0,1))</f>
        <v>0</v>
      </c>
      <c r="U111" s="69" t="str">
        <f>IF($D111="","",IF(AND($T111=1,ISNUMBER($I111)),IF($I111&lt;ReportDate,ReportDate-$I111,0),0))</f>
        <v/>
      </c>
      <c r="V111" s="71" t="str">
        <f>IF($D111="","",IF(ISNUMBER($A111),IF(ISNUMBER($A111),YEAR($A111)&amp;"-"&amp;TEXT(MONTH($A111),"00"),""),IF(ISNUMBER($I111),IF(ISNUMBER($I111),YEAR($I111)&amp;"-"&amp;TEXT(MONTH($I111),"00"),""),IF(ISNUMBER($H111),IF(ISNUMBER($H111),YEAR($H111)&amp;"-"&amp;TEXT(MONTH($H111),"00"),""),""))))</f>
        <v/>
      </c>
      <c r="W111" s="71">
        <f>IF($D111="",0,IF(AND(OR(fClient="All",$B111=fClient),fCampaign="All",OR(fTeam="All",$E111=fTeam),OR(fChannel="All",$C111=fChannel,AND(fChannel="Content",OR($C111="Blog",$C111="Case Study",$C111="Whitepaper")),AND(fChannel="Webinar / Events",$C111="Webinar")),OR(fMonth="All",$V111=fMonth)),1,0))</f>
        <v>0</v>
      </c>
      <c r="X111" s="71">
        <f>IF($D111="",0,IF(AND(OR(fClient="All",$B111=fClient),fCampaign="All",OR(fTeam="All",$E111=fTeam),OR(fChannel="All",$C111=fChannel,AND(fChannel="Content",OR($C111="Blog",$C111="Case Study",$C111="Whitepaper")),AND(fChannel="Webinar / Events",$C111="Webinar"))),1,0))</f>
        <v>0</v>
      </c>
    </row>
    <row r="112">
      <c r="A112" s="63" t="n"/>
      <c r="B112" s="64" t="n"/>
      <c r="C112" s="64" t="n"/>
      <c r="D112" s="65" t="n"/>
      <c r="E112" s="64" t="n"/>
      <c r="F112" s="64" t="n"/>
      <c r="G112" s="64" t="n"/>
      <c r="H112" s="63" t="n"/>
      <c r="I112" s="63" t="n"/>
      <c r="J112" s="63" t="n"/>
      <c r="K112" s="67" t="n"/>
      <c r="L112" s="67" t="n"/>
      <c r="M112" s="67" t="n"/>
      <c r="N112" s="65" t="n"/>
      <c r="O112" s="64" t="n"/>
      <c r="P112" s="67" t="n"/>
      <c r="Q112" s="65" t="n"/>
      <c r="R112" s="65" t="n"/>
      <c r="S112" s="65" t="n"/>
      <c r="T112" s="71">
        <f>IF($D112="",0,IF(OR($G112="Published",$G112="Completed",$G112="Cancelled"),0,1))</f>
        <v>0</v>
      </c>
      <c r="U112" s="69" t="str">
        <f>IF($D112="","",IF(AND($T112=1,ISNUMBER($I112)),IF($I112&lt;ReportDate,ReportDate-$I112,0),0))</f>
        <v/>
      </c>
      <c r="V112" s="71" t="str">
        <f>IF($D112="","",IF(ISNUMBER($A112),IF(ISNUMBER($A112),YEAR($A112)&amp;"-"&amp;TEXT(MONTH($A112),"00"),""),IF(ISNUMBER($I112),IF(ISNUMBER($I112),YEAR($I112)&amp;"-"&amp;TEXT(MONTH($I112),"00"),""),IF(ISNUMBER($H112),IF(ISNUMBER($H112),YEAR($H112)&amp;"-"&amp;TEXT(MONTH($H112),"00"),""),""))))</f>
        <v/>
      </c>
      <c r="W112" s="71">
        <f>IF($D112="",0,IF(AND(OR(fClient="All",$B112=fClient),fCampaign="All",OR(fTeam="All",$E112=fTeam),OR(fChannel="All",$C112=fChannel,AND(fChannel="Content",OR($C112="Blog",$C112="Case Study",$C112="Whitepaper")),AND(fChannel="Webinar / Events",$C112="Webinar")),OR(fMonth="All",$V112=fMonth)),1,0))</f>
        <v>0</v>
      </c>
      <c r="X112" s="71">
        <f>IF($D112="",0,IF(AND(OR(fClient="All",$B112=fClient),fCampaign="All",OR(fTeam="All",$E112=fTeam),OR(fChannel="All",$C112=fChannel,AND(fChannel="Content",OR($C112="Blog",$C112="Case Study",$C112="Whitepaper")),AND(fChannel="Webinar / Events",$C112="Webinar"))),1,0))</f>
        <v>0</v>
      </c>
    </row>
    <row r="113">
      <c r="A113" s="63" t="n"/>
      <c r="B113" s="64" t="n"/>
      <c r="C113" s="64" t="n"/>
      <c r="D113" s="65" t="n"/>
      <c r="E113" s="64" t="n"/>
      <c r="F113" s="64" t="n"/>
      <c r="G113" s="64" t="n"/>
      <c r="H113" s="63" t="n"/>
      <c r="I113" s="63" t="n"/>
      <c r="J113" s="63" t="n"/>
      <c r="K113" s="67" t="n"/>
      <c r="L113" s="67" t="n"/>
      <c r="M113" s="67" t="n"/>
      <c r="N113" s="65" t="n"/>
      <c r="O113" s="64" t="n"/>
      <c r="P113" s="67" t="n"/>
      <c r="Q113" s="65" t="n"/>
      <c r="R113" s="65" t="n"/>
      <c r="S113" s="65" t="n"/>
      <c r="T113" s="71">
        <f>IF($D113="",0,IF(OR($G113="Published",$G113="Completed",$G113="Cancelled"),0,1))</f>
        <v>0</v>
      </c>
      <c r="U113" s="69" t="str">
        <f>IF($D113="","",IF(AND($T113=1,ISNUMBER($I113)),IF($I113&lt;ReportDate,ReportDate-$I113,0),0))</f>
        <v/>
      </c>
      <c r="V113" s="71" t="str">
        <f>IF($D113="","",IF(ISNUMBER($A113),IF(ISNUMBER($A113),YEAR($A113)&amp;"-"&amp;TEXT(MONTH($A113),"00"),""),IF(ISNUMBER($I113),IF(ISNUMBER($I113),YEAR($I113)&amp;"-"&amp;TEXT(MONTH($I113),"00"),""),IF(ISNUMBER($H113),IF(ISNUMBER($H113),YEAR($H113)&amp;"-"&amp;TEXT(MONTH($H113),"00"),""),""))))</f>
        <v/>
      </c>
      <c r="W113" s="71">
        <f>IF($D113="",0,IF(AND(OR(fClient="All",$B113=fClient),fCampaign="All",OR(fTeam="All",$E113=fTeam),OR(fChannel="All",$C113=fChannel,AND(fChannel="Content",OR($C113="Blog",$C113="Case Study",$C113="Whitepaper")),AND(fChannel="Webinar / Events",$C113="Webinar")),OR(fMonth="All",$V113=fMonth)),1,0))</f>
        <v>0</v>
      </c>
      <c r="X113" s="71">
        <f>IF($D113="",0,IF(AND(OR(fClient="All",$B113=fClient),fCampaign="All",OR(fTeam="All",$E113=fTeam),OR(fChannel="All",$C113=fChannel,AND(fChannel="Content",OR($C113="Blog",$C113="Case Study",$C113="Whitepaper")),AND(fChannel="Webinar / Events",$C113="Webinar"))),1,0))</f>
        <v>0</v>
      </c>
    </row>
    <row r="114">
      <c r="A114" s="63" t="n"/>
      <c r="B114" s="64" t="n"/>
      <c r="C114" s="64" t="n"/>
      <c r="D114" s="65" t="n"/>
      <c r="E114" s="64" t="n"/>
      <c r="F114" s="64" t="n"/>
      <c r="G114" s="64" t="n"/>
      <c r="H114" s="63" t="n"/>
      <c r="I114" s="63" t="n"/>
      <c r="J114" s="63" t="n"/>
      <c r="K114" s="67" t="n"/>
      <c r="L114" s="67" t="n"/>
      <c r="M114" s="67" t="n"/>
      <c r="N114" s="65" t="n"/>
      <c r="O114" s="64" t="n"/>
      <c r="P114" s="67" t="n"/>
      <c r="Q114" s="65" t="n"/>
      <c r="R114" s="65" t="n"/>
      <c r="S114" s="65" t="n"/>
      <c r="T114" s="71">
        <f>IF($D114="",0,IF(OR($G114="Published",$G114="Completed",$G114="Cancelled"),0,1))</f>
        <v>0</v>
      </c>
      <c r="U114" s="69" t="str">
        <f>IF($D114="","",IF(AND($T114=1,ISNUMBER($I114)),IF($I114&lt;ReportDate,ReportDate-$I114,0),0))</f>
        <v/>
      </c>
      <c r="V114" s="71" t="str">
        <f>IF($D114="","",IF(ISNUMBER($A114),IF(ISNUMBER($A114),YEAR($A114)&amp;"-"&amp;TEXT(MONTH($A114),"00"),""),IF(ISNUMBER($I114),IF(ISNUMBER($I114),YEAR($I114)&amp;"-"&amp;TEXT(MONTH($I114),"00"),""),IF(ISNUMBER($H114),IF(ISNUMBER($H114),YEAR($H114)&amp;"-"&amp;TEXT(MONTH($H114),"00"),""),""))))</f>
        <v/>
      </c>
      <c r="W114" s="71">
        <f>IF($D114="",0,IF(AND(OR(fClient="All",$B114=fClient),fCampaign="All",OR(fTeam="All",$E114=fTeam),OR(fChannel="All",$C114=fChannel,AND(fChannel="Content",OR($C114="Blog",$C114="Case Study",$C114="Whitepaper")),AND(fChannel="Webinar / Events",$C114="Webinar")),OR(fMonth="All",$V114=fMonth)),1,0))</f>
        <v>0</v>
      </c>
      <c r="X114" s="71">
        <f>IF($D114="",0,IF(AND(OR(fClient="All",$B114=fClient),fCampaign="All",OR(fTeam="All",$E114=fTeam),OR(fChannel="All",$C114=fChannel,AND(fChannel="Content",OR($C114="Blog",$C114="Case Study",$C114="Whitepaper")),AND(fChannel="Webinar / Events",$C114="Webinar"))),1,0))</f>
        <v>0</v>
      </c>
    </row>
    <row r="115">
      <c r="A115" s="63" t="n"/>
      <c r="B115" s="64" t="n"/>
      <c r="C115" s="64" t="n"/>
      <c r="D115" s="65" t="n"/>
      <c r="E115" s="64" t="n"/>
      <c r="F115" s="64" t="n"/>
      <c r="G115" s="64" t="n"/>
      <c r="H115" s="63" t="n"/>
      <c r="I115" s="63" t="n"/>
      <c r="J115" s="63" t="n"/>
      <c r="K115" s="67" t="n"/>
      <c r="L115" s="67" t="n"/>
      <c r="M115" s="67" t="n"/>
      <c r="N115" s="65" t="n"/>
      <c r="O115" s="64" t="n"/>
      <c r="P115" s="67" t="n"/>
      <c r="Q115" s="65" t="n"/>
      <c r="R115" s="65" t="n"/>
      <c r="S115" s="65" t="n"/>
      <c r="T115" s="71">
        <f>IF($D115="",0,IF(OR($G115="Published",$G115="Completed",$G115="Cancelled"),0,1))</f>
        <v>0</v>
      </c>
      <c r="U115" s="69" t="str">
        <f>IF($D115="","",IF(AND($T115=1,ISNUMBER($I115)),IF($I115&lt;ReportDate,ReportDate-$I115,0),0))</f>
        <v/>
      </c>
      <c r="V115" s="71" t="str">
        <f>IF($D115="","",IF(ISNUMBER($A115),IF(ISNUMBER($A115),YEAR($A115)&amp;"-"&amp;TEXT(MONTH($A115),"00"),""),IF(ISNUMBER($I115),IF(ISNUMBER($I115),YEAR($I115)&amp;"-"&amp;TEXT(MONTH($I115),"00"),""),IF(ISNUMBER($H115),IF(ISNUMBER($H115),YEAR($H115)&amp;"-"&amp;TEXT(MONTH($H115),"00"),""),""))))</f>
        <v/>
      </c>
      <c r="W115" s="71">
        <f>IF($D115="",0,IF(AND(OR(fClient="All",$B115=fClient),fCampaign="All",OR(fTeam="All",$E115=fTeam),OR(fChannel="All",$C115=fChannel,AND(fChannel="Content",OR($C115="Blog",$C115="Case Study",$C115="Whitepaper")),AND(fChannel="Webinar / Events",$C115="Webinar")),OR(fMonth="All",$V115=fMonth)),1,0))</f>
        <v>0</v>
      </c>
      <c r="X115" s="71">
        <f>IF($D115="",0,IF(AND(OR(fClient="All",$B115=fClient),fCampaign="All",OR(fTeam="All",$E115=fTeam),OR(fChannel="All",$C115=fChannel,AND(fChannel="Content",OR($C115="Blog",$C115="Case Study",$C115="Whitepaper")),AND(fChannel="Webinar / Events",$C115="Webinar"))),1,0))</f>
        <v>0</v>
      </c>
    </row>
    <row r="116">
      <c r="A116" s="63" t="n"/>
      <c r="B116" s="64" t="n"/>
      <c r="C116" s="64" t="n"/>
      <c r="D116" s="65" t="n"/>
      <c r="E116" s="64" t="n"/>
      <c r="F116" s="64" t="n"/>
      <c r="G116" s="64" t="n"/>
      <c r="H116" s="63" t="n"/>
      <c r="I116" s="63" t="n"/>
      <c r="J116" s="63" t="n"/>
      <c r="K116" s="67" t="n"/>
      <c r="L116" s="67" t="n"/>
      <c r="M116" s="67" t="n"/>
      <c r="N116" s="65" t="n"/>
      <c r="O116" s="64" t="n"/>
      <c r="P116" s="67" t="n"/>
      <c r="Q116" s="65" t="n"/>
      <c r="R116" s="65" t="n"/>
      <c r="S116" s="65" t="n"/>
      <c r="T116" s="71">
        <f>IF($D116="",0,IF(OR($G116="Published",$G116="Completed",$G116="Cancelled"),0,1))</f>
        <v>0</v>
      </c>
      <c r="U116" s="69" t="str">
        <f>IF($D116="","",IF(AND($T116=1,ISNUMBER($I116)),IF($I116&lt;ReportDate,ReportDate-$I116,0),0))</f>
        <v/>
      </c>
      <c r="V116" s="71" t="str">
        <f>IF($D116="","",IF(ISNUMBER($A116),IF(ISNUMBER($A116),YEAR($A116)&amp;"-"&amp;TEXT(MONTH($A116),"00"),""),IF(ISNUMBER($I116),IF(ISNUMBER($I116),YEAR($I116)&amp;"-"&amp;TEXT(MONTH($I116),"00"),""),IF(ISNUMBER($H116),IF(ISNUMBER($H116),YEAR($H116)&amp;"-"&amp;TEXT(MONTH($H116),"00"),""),""))))</f>
        <v/>
      </c>
      <c r="W116" s="71">
        <f>IF($D116="",0,IF(AND(OR(fClient="All",$B116=fClient),fCampaign="All",OR(fTeam="All",$E116=fTeam),OR(fChannel="All",$C116=fChannel,AND(fChannel="Content",OR($C116="Blog",$C116="Case Study",$C116="Whitepaper")),AND(fChannel="Webinar / Events",$C116="Webinar")),OR(fMonth="All",$V116=fMonth)),1,0))</f>
        <v>0</v>
      </c>
      <c r="X116" s="71">
        <f>IF($D116="",0,IF(AND(OR(fClient="All",$B116=fClient),fCampaign="All",OR(fTeam="All",$E116=fTeam),OR(fChannel="All",$C116=fChannel,AND(fChannel="Content",OR($C116="Blog",$C116="Case Study",$C116="Whitepaper")),AND(fChannel="Webinar / Events",$C116="Webinar"))),1,0))</f>
        <v>0</v>
      </c>
    </row>
    <row r="117">
      <c r="A117" s="63" t="n"/>
      <c r="B117" s="64" t="n"/>
      <c r="C117" s="64" t="n"/>
      <c r="D117" s="65" t="n"/>
      <c r="E117" s="64" t="n"/>
      <c r="F117" s="64" t="n"/>
      <c r="G117" s="64" t="n"/>
      <c r="H117" s="63" t="n"/>
      <c r="I117" s="63" t="n"/>
      <c r="J117" s="63" t="n"/>
      <c r="K117" s="67" t="n"/>
      <c r="L117" s="67" t="n"/>
      <c r="M117" s="67" t="n"/>
      <c r="N117" s="65" t="n"/>
      <c r="O117" s="64" t="n"/>
      <c r="P117" s="67" t="n"/>
      <c r="Q117" s="65" t="n"/>
      <c r="R117" s="65" t="n"/>
      <c r="S117" s="65" t="n"/>
      <c r="T117" s="71">
        <f>IF($D117="",0,IF(OR($G117="Published",$G117="Completed",$G117="Cancelled"),0,1))</f>
        <v>0</v>
      </c>
      <c r="U117" s="69" t="str">
        <f>IF($D117="","",IF(AND($T117=1,ISNUMBER($I117)),IF($I117&lt;ReportDate,ReportDate-$I117,0),0))</f>
        <v/>
      </c>
      <c r="V117" s="71" t="str">
        <f>IF($D117="","",IF(ISNUMBER($A117),IF(ISNUMBER($A117),YEAR($A117)&amp;"-"&amp;TEXT(MONTH($A117),"00"),""),IF(ISNUMBER($I117),IF(ISNUMBER($I117),YEAR($I117)&amp;"-"&amp;TEXT(MONTH($I117),"00"),""),IF(ISNUMBER($H117),IF(ISNUMBER($H117),YEAR($H117)&amp;"-"&amp;TEXT(MONTH($H117),"00"),""),""))))</f>
        <v/>
      </c>
      <c r="W117" s="71">
        <f>IF($D117="",0,IF(AND(OR(fClient="All",$B117=fClient),fCampaign="All",OR(fTeam="All",$E117=fTeam),OR(fChannel="All",$C117=fChannel,AND(fChannel="Content",OR($C117="Blog",$C117="Case Study",$C117="Whitepaper")),AND(fChannel="Webinar / Events",$C117="Webinar")),OR(fMonth="All",$V117=fMonth)),1,0))</f>
        <v>0</v>
      </c>
      <c r="X117" s="71">
        <f>IF($D117="",0,IF(AND(OR(fClient="All",$B117=fClient),fCampaign="All",OR(fTeam="All",$E117=fTeam),OR(fChannel="All",$C117=fChannel,AND(fChannel="Content",OR($C117="Blog",$C117="Case Study",$C117="Whitepaper")),AND(fChannel="Webinar / Events",$C117="Webinar"))),1,0))</f>
        <v>0</v>
      </c>
    </row>
    <row r="118">
      <c r="A118" s="63" t="n"/>
      <c r="B118" s="64" t="n"/>
      <c r="C118" s="64" t="n"/>
      <c r="D118" s="65" t="n"/>
      <c r="E118" s="64" t="n"/>
      <c r="F118" s="64" t="n"/>
      <c r="G118" s="64" t="n"/>
      <c r="H118" s="63" t="n"/>
      <c r="I118" s="63" t="n"/>
      <c r="J118" s="63" t="n"/>
      <c r="K118" s="67" t="n"/>
      <c r="L118" s="67" t="n"/>
      <c r="M118" s="67" t="n"/>
      <c r="N118" s="65" t="n"/>
      <c r="O118" s="64" t="n"/>
      <c r="P118" s="67" t="n"/>
      <c r="Q118" s="65" t="n"/>
      <c r="R118" s="65" t="n"/>
      <c r="S118" s="65" t="n"/>
      <c r="T118" s="71">
        <f>IF($D118="",0,IF(OR($G118="Published",$G118="Completed",$G118="Cancelled"),0,1))</f>
        <v>0</v>
      </c>
      <c r="U118" s="69" t="str">
        <f>IF($D118="","",IF(AND($T118=1,ISNUMBER($I118)),IF($I118&lt;ReportDate,ReportDate-$I118,0),0))</f>
        <v/>
      </c>
      <c r="V118" s="71" t="str">
        <f>IF($D118="","",IF(ISNUMBER($A118),IF(ISNUMBER($A118),YEAR($A118)&amp;"-"&amp;TEXT(MONTH($A118),"00"),""),IF(ISNUMBER($I118),IF(ISNUMBER($I118),YEAR($I118)&amp;"-"&amp;TEXT(MONTH($I118),"00"),""),IF(ISNUMBER($H118),IF(ISNUMBER($H118),YEAR($H118)&amp;"-"&amp;TEXT(MONTH($H118),"00"),""),""))))</f>
        <v/>
      </c>
      <c r="W118" s="71">
        <f>IF($D118="",0,IF(AND(OR(fClient="All",$B118=fClient),fCampaign="All",OR(fTeam="All",$E118=fTeam),OR(fChannel="All",$C118=fChannel,AND(fChannel="Content",OR($C118="Blog",$C118="Case Study",$C118="Whitepaper")),AND(fChannel="Webinar / Events",$C118="Webinar")),OR(fMonth="All",$V118=fMonth)),1,0))</f>
        <v>0</v>
      </c>
      <c r="X118" s="71">
        <f>IF($D118="",0,IF(AND(OR(fClient="All",$B118=fClient),fCampaign="All",OR(fTeam="All",$E118=fTeam),OR(fChannel="All",$C118=fChannel,AND(fChannel="Content",OR($C118="Blog",$C118="Case Study",$C118="Whitepaper")),AND(fChannel="Webinar / Events",$C118="Webinar"))),1,0))</f>
        <v>0</v>
      </c>
    </row>
    <row r="119">
      <c r="A119" s="63" t="n"/>
      <c r="B119" s="64" t="n"/>
      <c r="C119" s="64" t="n"/>
      <c r="D119" s="65" t="n"/>
      <c r="E119" s="64" t="n"/>
      <c r="F119" s="64" t="n"/>
      <c r="G119" s="64" t="n"/>
      <c r="H119" s="63" t="n"/>
      <c r="I119" s="63" t="n"/>
      <c r="J119" s="63" t="n"/>
      <c r="K119" s="67" t="n"/>
      <c r="L119" s="67" t="n"/>
      <c r="M119" s="67" t="n"/>
      <c r="N119" s="65" t="n"/>
      <c r="O119" s="64" t="n"/>
      <c r="P119" s="67" t="n"/>
      <c r="Q119" s="65" t="n"/>
      <c r="R119" s="65" t="n"/>
      <c r="S119" s="65" t="n"/>
      <c r="T119" s="71">
        <f>IF($D119="",0,IF(OR($G119="Published",$G119="Completed",$G119="Cancelled"),0,1))</f>
        <v>0</v>
      </c>
      <c r="U119" s="69" t="str">
        <f>IF($D119="","",IF(AND($T119=1,ISNUMBER($I119)),IF($I119&lt;ReportDate,ReportDate-$I119,0),0))</f>
        <v/>
      </c>
      <c r="V119" s="71" t="str">
        <f>IF($D119="","",IF(ISNUMBER($A119),IF(ISNUMBER($A119),YEAR($A119)&amp;"-"&amp;TEXT(MONTH($A119),"00"),""),IF(ISNUMBER($I119),IF(ISNUMBER($I119),YEAR($I119)&amp;"-"&amp;TEXT(MONTH($I119),"00"),""),IF(ISNUMBER($H119),IF(ISNUMBER($H119),YEAR($H119)&amp;"-"&amp;TEXT(MONTH($H119),"00"),""),""))))</f>
        <v/>
      </c>
      <c r="W119" s="71">
        <f>IF($D119="",0,IF(AND(OR(fClient="All",$B119=fClient),fCampaign="All",OR(fTeam="All",$E119=fTeam),OR(fChannel="All",$C119=fChannel,AND(fChannel="Content",OR($C119="Blog",$C119="Case Study",$C119="Whitepaper")),AND(fChannel="Webinar / Events",$C119="Webinar")),OR(fMonth="All",$V119=fMonth)),1,0))</f>
        <v>0</v>
      </c>
      <c r="X119" s="71">
        <f>IF($D119="",0,IF(AND(OR(fClient="All",$B119=fClient),fCampaign="All",OR(fTeam="All",$E119=fTeam),OR(fChannel="All",$C119=fChannel,AND(fChannel="Content",OR($C119="Blog",$C119="Case Study",$C119="Whitepaper")),AND(fChannel="Webinar / Events",$C119="Webinar"))),1,0))</f>
        <v>0</v>
      </c>
    </row>
    <row r="120">
      <c r="A120" s="63" t="n"/>
      <c r="B120" s="64" t="n"/>
      <c r="C120" s="64" t="n"/>
      <c r="D120" s="65" t="n"/>
      <c r="E120" s="64" t="n"/>
      <c r="F120" s="64" t="n"/>
      <c r="G120" s="64" t="n"/>
      <c r="H120" s="63" t="n"/>
      <c r="I120" s="63" t="n"/>
      <c r="J120" s="63" t="n"/>
      <c r="K120" s="67" t="n"/>
      <c r="L120" s="67" t="n"/>
      <c r="M120" s="67" t="n"/>
      <c r="N120" s="65" t="n"/>
      <c r="O120" s="64" t="n"/>
      <c r="P120" s="67" t="n"/>
      <c r="Q120" s="65" t="n"/>
      <c r="R120" s="65" t="n"/>
      <c r="S120" s="65" t="n"/>
      <c r="T120" s="71">
        <f>IF($D120="",0,IF(OR($G120="Published",$G120="Completed",$G120="Cancelled"),0,1))</f>
        <v>0</v>
      </c>
      <c r="U120" s="69" t="str">
        <f>IF($D120="","",IF(AND($T120=1,ISNUMBER($I120)),IF($I120&lt;ReportDate,ReportDate-$I120,0),0))</f>
        <v/>
      </c>
      <c r="V120" s="71" t="str">
        <f>IF($D120="","",IF(ISNUMBER($A120),IF(ISNUMBER($A120),YEAR($A120)&amp;"-"&amp;TEXT(MONTH($A120),"00"),""),IF(ISNUMBER($I120),IF(ISNUMBER($I120),YEAR($I120)&amp;"-"&amp;TEXT(MONTH($I120),"00"),""),IF(ISNUMBER($H120),IF(ISNUMBER($H120),YEAR($H120)&amp;"-"&amp;TEXT(MONTH($H120),"00"),""),""))))</f>
        <v/>
      </c>
      <c r="W120" s="71">
        <f>IF($D120="",0,IF(AND(OR(fClient="All",$B120=fClient),fCampaign="All",OR(fTeam="All",$E120=fTeam),OR(fChannel="All",$C120=fChannel,AND(fChannel="Content",OR($C120="Blog",$C120="Case Study",$C120="Whitepaper")),AND(fChannel="Webinar / Events",$C120="Webinar")),OR(fMonth="All",$V120=fMonth)),1,0))</f>
        <v>0</v>
      </c>
      <c r="X120" s="71">
        <f>IF($D120="",0,IF(AND(OR(fClient="All",$B120=fClient),fCampaign="All",OR(fTeam="All",$E120=fTeam),OR(fChannel="All",$C120=fChannel,AND(fChannel="Content",OR($C120="Blog",$C120="Case Study",$C120="Whitepaper")),AND(fChannel="Webinar / Events",$C120="Webinar"))),1,0))</f>
        <v>0</v>
      </c>
    </row>
    <row r="121">
      <c r="A121" s="63" t="n"/>
      <c r="B121" s="64" t="n"/>
      <c r="C121" s="64" t="n"/>
      <c r="D121" s="65" t="n"/>
      <c r="E121" s="64" t="n"/>
      <c r="F121" s="64" t="n"/>
      <c r="G121" s="64" t="n"/>
      <c r="H121" s="63" t="n"/>
      <c r="I121" s="63" t="n"/>
      <c r="J121" s="63" t="n"/>
      <c r="K121" s="67" t="n"/>
      <c r="L121" s="67" t="n"/>
      <c r="M121" s="67" t="n"/>
      <c r="N121" s="65" t="n"/>
      <c r="O121" s="64" t="n"/>
      <c r="P121" s="67" t="n"/>
      <c r="Q121" s="65" t="n"/>
      <c r="R121" s="65" t="n"/>
      <c r="S121" s="65" t="n"/>
      <c r="T121" s="71">
        <f>IF($D121="",0,IF(OR($G121="Published",$G121="Completed",$G121="Cancelled"),0,1))</f>
        <v>0</v>
      </c>
      <c r="U121" s="69" t="str">
        <f>IF($D121="","",IF(AND($T121=1,ISNUMBER($I121)),IF($I121&lt;ReportDate,ReportDate-$I121,0),0))</f>
        <v/>
      </c>
      <c r="V121" s="71" t="str">
        <f>IF($D121="","",IF(ISNUMBER($A121),IF(ISNUMBER($A121),YEAR($A121)&amp;"-"&amp;TEXT(MONTH($A121),"00"),""),IF(ISNUMBER($I121),IF(ISNUMBER($I121),YEAR($I121)&amp;"-"&amp;TEXT(MONTH($I121),"00"),""),IF(ISNUMBER($H121),IF(ISNUMBER($H121),YEAR($H121)&amp;"-"&amp;TEXT(MONTH($H121),"00"),""),""))))</f>
        <v/>
      </c>
      <c r="W121" s="71">
        <f>IF($D121="",0,IF(AND(OR(fClient="All",$B121=fClient),fCampaign="All",OR(fTeam="All",$E121=fTeam),OR(fChannel="All",$C121=fChannel,AND(fChannel="Content",OR($C121="Blog",$C121="Case Study",$C121="Whitepaper")),AND(fChannel="Webinar / Events",$C121="Webinar")),OR(fMonth="All",$V121=fMonth)),1,0))</f>
        <v>0</v>
      </c>
      <c r="X121" s="71">
        <f>IF($D121="",0,IF(AND(OR(fClient="All",$B121=fClient),fCampaign="All",OR(fTeam="All",$E121=fTeam),OR(fChannel="All",$C121=fChannel,AND(fChannel="Content",OR($C121="Blog",$C121="Case Study",$C121="Whitepaper")),AND(fChannel="Webinar / Events",$C121="Webinar"))),1,0))</f>
        <v>0</v>
      </c>
    </row>
    <row r="122">
      <c r="A122" s="63" t="n"/>
      <c r="B122" s="64" t="n"/>
      <c r="C122" s="64" t="n"/>
      <c r="D122" s="65" t="n"/>
      <c r="E122" s="64" t="n"/>
      <c r="F122" s="64" t="n"/>
      <c r="G122" s="64" t="n"/>
      <c r="H122" s="63" t="n"/>
      <c r="I122" s="63" t="n"/>
      <c r="J122" s="63" t="n"/>
      <c r="K122" s="67" t="n"/>
      <c r="L122" s="67" t="n"/>
      <c r="M122" s="67" t="n"/>
      <c r="N122" s="65" t="n"/>
      <c r="O122" s="64" t="n"/>
      <c r="P122" s="67" t="n"/>
      <c r="Q122" s="65" t="n"/>
      <c r="R122" s="65" t="n"/>
      <c r="S122" s="65" t="n"/>
      <c r="T122" s="71">
        <f>IF($D122="",0,IF(OR($G122="Published",$G122="Completed",$G122="Cancelled"),0,1))</f>
        <v>0</v>
      </c>
      <c r="U122" s="69" t="str">
        <f>IF($D122="","",IF(AND($T122=1,ISNUMBER($I122)),IF($I122&lt;ReportDate,ReportDate-$I122,0),0))</f>
        <v/>
      </c>
      <c r="V122" s="71" t="str">
        <f>IF($D122="","",IF(ISNUMBER($A122),IF(ISNUMBER($A122),YEAR($A122)&amp;"-"&amp;TEXT(MONTH($A122),"00"),""),IF(ISNUMBER($I122),IF(ISNUMBER($I122),YEAR($I122)&amp;"-"&amp;TEXT(MONTH($I122),"00"),""),IF(ISNUMBER($H122),IF(ISNUMBER($H122),YEAR($H122)&amp;"-"&amp;TEXT(MONTH($H122),"00"),""),""))))</f>
        <v/>
      </c>
      <c r="W122" s="71">
        <f>IF($D122="",0,IF(AND(OR(fClient="All",$B122=fClient),fCampaign="All",OR(fTeam="All",$E122=fTeam),OR(fChannel="All",$C122=fChannel,AND(fChannel="Content",OR($C122="Blog",$C122="Case Study",$C122="Whitepaper")),AND(fChannel="Webinar / Events",$C122="Webinar")),OR(fMonth="All",$V122=fMonth)),1,0))</f>
        <v>0</v>
      </c>
      <c r="X122" s="71">
        <f>IF($D122="",0,IF(AND(OR(fClient="All",$B122=fClient),fCampaign="All",OR(fTeam="All",$E122=fTeam),OR(fChannel="All",$C122=fChannel,AND(fChannel="Content",OR($C122="Blog",$C122="Case Study",$C122="Whitepaper")),AND(fChannel="Webinar / Events",$C122="Webinar"))),1,0))</f>
        <v>0</v>
      </c>
    </row>
    <row r="123">
      <c r="A123" s="63" t="n"/>
      <c r="B123" s="64" t="n"/>
      <c r="C123" s="64" t="n"/>
      <c r="D123" s="65" t="n"/>
      <c r="E123" s="64" t="n"/>
      <c r="F123" s="64" t="n"/>
      <c r="G123" s="64" t="n"/>
      <c r="H123" s="63" t="n"/>
      <c r="I123" s="63" t="n"/>
      <c r="J123" s="63" t="n"/>
      <c r="K123" s="67" t="n"/>
      <c r="L123" s="67" t="n"/>
      <c r="M123" s="67" t="n"/>
      <c r="N123" s="65" t="n"/>
      <c r="O123" s="64" t="n"/>
      <c r="P123" s="67" t="n"/>
      <c r="Q123" s="65" t="n"/>
      <c r="R123" s="65" t="n"/>
      <c r="S123" s="65" t="n"/>
      <c r="T123" s="71">
        <f>IF($D123="",0,IF(OR($G123="Published",$G123="Completed",$G123="Cancelled"),0,1))</f>
        <v>0</v>
      </c>
      <c r="U123" s="69" t="str">
        <f>IF($D123="","",IF(AND($T123=1,ISNUMBER($I123)),IF($I123&lt;ReportDate,ReportDate-$I123,0),0))</f>
        <v/>
      </c>
      <c r="V123" s="71" t="str">
        <f>IF($D123="","",IF(ISNUMBER($A123),IF(ISNUMBER($A123),YEAR($A123)&amp;"-"&amp;TEXT(MONTH($A123),"00"),""),IF(ISNUMBER($I123),IF(ISNUMBER($I123),YEAR($I123)&amp;"-"&amp;TEXT(MONTH($I123),"00"),""),IF(ISNUMBER($H123),IF(ISNUMBER($H123),YEAR($H123)&amp;"-"&amp;TEXT(MONTH($H123),"00"),""),""))))</f>
        <v/>
      </c>
      <c r="W123" s="71">
        <f>IF($D123="",0,IF(AND(OR(fClient="All",$B123=fClient),fCampaign="All",OR(fTeam="All",$E123=fTeam),OR(fChannel="All",$C123=fChannel,AND(fChannel="Content",OR($C123="Blog",$C123="Case Study",$C123="Whitepaper")),AND(fChannel="Webinar / Events",$C123="Webinar")),OR(fMonth="All",$V123=fMonth)),1,0))</f>
        <v>0</v>
      </c>
      <c r="X123" s="71">
        <f>IF($D123="",0,IF(AND(OR(fClient="All",$B123=fClient),fCampaign="All",OR(fTeam="All",$E123=fTeam),OR(fChannel="All",$C123=fChannel,AND(fChannel="Content",OR($C123="Blog",$C123="Case Study",$C123="Whitepaper")),AND(fChannel="Webinar / Events",$C123="Webinar"))),1,0))</f>
        <v>0</v>
      </c>
    </row>
    <row r="124">
      <c r="A124" s="63" t="n"/>
      <c r="B124" s="64" t="n"/>
      <c r="C124" s="64" t="n"/>
      <c r="D124" s="65" t="n"/>
      <c r="E124" s="64" t="n"/>
      <c r="F124" s="64" t="n"/>
      <c r="G124" s="64" t="n"/>
      <c r="H124" s="63" t="n"/>
      <c r="I124" s="63" t="n"/>
      <c r="J124" s="63" t="n"/>
      <c r="K124" s="67" t="n"/>
      <c r="L124" s="67" t="n"/>
      <c r="M124" s="67" t="n"/>
      <c r="N124" s="65" t="n"/>
      <c r="O124" s="64" t="n"/>
      <c r="P124" s="67" t="n"/>
      <c r="Q124" s="65" t="n"/>
      <c r="R124" s="65" t="n"/>
      <c r="S124" s="65" t="n"/>
      <c r="T124" s="71">
        <f>IF($D124="",0,IF(OR($G124="Published",$G124="Completed",$G124="Cancelled"),0,1))</f>
        <v>0</v>
      </c>
      <c r="U124" s="69" t="str">
        <f>IF($D124="","",IF(AND($T124=1,ISNUMBER($I124)),IF($I124&lt;ReportDate,ReportDate-$I124,0),0))</f>
        <v/>
      </c>
      <c r="V124" s="71" t="str">
        <f>IF($D124="","",IF(ISNUMBER($A124),IF(ISNUMBER($A124),YEAR($A124)&amp;"-"&amp;TEXT(MONTH($A124),"00"),""),IF(ISNUMBER($I124),IF(ISNUMBER($I124),YEAR($I124)&amp;"-"&amp;TEXT(MONTH($I124),"00"),""),IF(ISNUMBER($H124),IF(ISNUMBER($H124),YEAR($H124)&amp;"-"&amp;TEXT(MONTH($H124),"00"),""),""))))</f>
        <v/>
      </c>
      <c r="W124" s="71">
        <f>IF($D124="",0,IF(AND(OR(fClient="All",$B124=fClient),fCampaign="All",OR(fTeam="All",$E124=fTeam),OR(fChannel="All",$C124=fChannel,AND(fChannel="Content",OR($C124="Blog",$C124="Case Study",$C124="Whitepaper")),AND(fChannel="Webinar / Events",$C124="Webinar")),OR(fMonth="All",$V124=fMonth)),1,0))</f>
        <v>0</v>
      </c>
      <c r="X124" s="71">
        <f>IF($D124="",0,IF(AND(OR(fClient="All",$B124=fClient),fCampaign="All",OR(fTeam="All",$E124=fTeam),OR(fChannel="All",$C124=fChannel,AND(fChannel="Content",OR($C124="Blog",$C124="Case Study",$C124="Whitepaper")),AND(fChannel="Webinar / Events",$C124="Webinar"))),1,0))</f>
        <v>0</v>
      </c>
    </row>
    <row r="125">
      <c r="A125" s="63" t="n"/>
      <c r="B125" s="64" t="n"/>
      <c r="C125" s="64" t="n"/>
      <c r="D125" s="65" t="n"/>
      <c r="E125" s="64" t="n"/>
      <c r="F125" s="64" t="n"/>
      <c r="G125" s="64" t="n"/>
      <c r="H125" s="63" t="n"/>
      <c r="I125" s="63" t="n"/>
      <c r="J125" s="63" t="n"/>
      <c r="K125" s="67" t="n"/>
      <c r="L125" s="67" t="n"/>
      <c r="M125" s="67" t="n"/>
      <c r="N125" s="65" t="n"/>
      <c r="O125" s="64" t="n"/>
      <c r="P125" s="67" t="n"/>
      <c r="Q125" s="65" t="n"/>
      <c r="R125" s="65" t="n"/>
      <c r="S125" s="65" t="n"/>
      <c r="T125" s="71">
        <f>IF($D125="",0,IF(OR($G125="Published",$G125="Completed",$G125="Cancelled"),0,1))</f>
        <v>0</v>
      </c>
      <c r="U125" s="69" t="str">
        <f>IF($D125="","",IF(AND($T125=1,ISNUMBER($I125)),IF($I125&lt;ReportDate,ReportDate-$I125,0),0))</f>
        <v/>
      </c>
      <c r="V125" s="71" t="str">
        <f>IF($D125="","",IF(ISNUMBER($A125),IF(ISNUMBER($A125),YEAR($A125)&amp;"-"&amp;TEXT(MONTH($A125),"00"),""),IF(ISNUMBER($I125),IF(ISNUMBER($I125),YEAR($I125)&amp;"-"&amp;TEXT(MONTH($I125),"00"),""),IF(ISNUMBER($H125),IF(ISNUMBER($H125),YEAR($H125)&amp;"-"&amp;TEXT(MONTH($H125),"00"),""),""))))</f>
        <v/>
      </c>
      <c r="W125" s="71">
        <f>IF($D125="",0,IF(AND(OR(fClient="All",$B125=fClient),fCampaign="All",OR(fTeam="All",$E125=fTeam),OR(fChannel="All",$C125=fChannel,AND(fChannel="Content",OR($C125="Blog",$C125="Case Study",$C125="Whitepaper")),AND(fChannel="Webinar / Events",$C125="Webinar")),OR(fMonth="All",$V125=fMonth)),1,0))</f>
        <v>0</v>
      </c>
      <c r="X125" s="71">
        <f>IF($D125="",0,IF(AND(OR(fClient="All",$B125=fClient),fCampaign="All",OR(fTeam="All",$E125=fTeam),OR(fChannel="All",$C125=fChannel,AND(fChannel="Content",OR($C125="Blog",$C125="Case Study",$C125="Whitepaper")),AND(fChannel="Webinar / Events",$C125="Webinar"))),1,0))</f>
        <v>0</v>
      </c>
    </row>
    <row r="126">
      <c r="A126" s="63" t="n"/>
      <c r="B126" s="64" t="n"/>
      <c r="C126" s="64" t="n"/>
      <c r="D126" s="65" t="n"/>
      <c r="E126" s="64" t="n"/>
      <c r="F126" s="64" t="n"/>
      <c r="G126" s="64" t="n"/>
      <c r="H126" s="63" t="n"/>
      <c r="I126" s="63" t="n"/>
      <c r="J126" s="63" t="n"/>
      <c r="K126" s="67" t="n"/>
      <c r="L126" s="67" t="n"/>
      <c r="M126" s="67" t="n"/>
      <c r="N126" s="65" t="n"/>
      <c r="O126" s="64" t="n"/>
      <c r="P126" s="67" t="n"/>
      <c r="Q126" s="65" t="n"/>
      <c r="R126" s="65" t="n"/>
      <c r="S126" s="65" t="n"/>
      <c r="T126" s="71">
        <f>IF($D126="",0,IF(OR($G126="Published",$G126="Completed",$G126="Cancelled"),0,1))</f>
        <v>0</v>
      </c>
      <c r="U126" s="69" t="str">
        <f>IF($D126="","",IF(AND($T126=1,ISNUMBER($I126)),IF($I126&lt;ReportDate,ReportDate-$I126,0),0))</f>
        <v/>
      </c>
      <c r="V126" s="71" t="str">
        <f>IF($D126="","",IF(ISNUMBER($A126),IF(ISNUMBER($A126),YEAR($A126)&amp;"-"&amp;TEXT(MONTH($A126),"00"),""),IF(ISNUMBER($I126),IF(ISNUMBER($I126),YEAR($I126)&amp;"-"&amp;TEXT(MONTH($I126),"00"),""),IF(ISNUMBER($H126),IF(ISNUMBER($H126),YEAR($H126)&amp;"-"&amp;TEXT(MONTH($H126),"00"),""),""))))</f>
        <v/>
      </c>
      <c r="W126" s="71">
        <f>IF($D126="",0,IF(AND(OR(fClient="All",$B126=fClient),fCampaign="All",OR(fTeam="All",$E126=fTeam),OR(fChannel="All",$C126=fChannel,AND(fChannel="Content",OR($C126="Blog",$C126="Case Study",$C126="Whitepaper")),AND(fChannel="Webinar / Events",$C126="Webinar")),OR(fMonth="All",$V126=fMonth)),1,0))</f>
        <v>0</v>
      </c>
      <c r="X126" s="71">
        <f>IF($D126="",0,IF(AND(OR(fClient="All",$B126=fClient),fCampaign="All",OR(fTeam="All",$E126=fTeam),OR(fChannel="All",$C126=fChannel,AND(fChannel="Content",OR($C126="Blog",$C126="Case Study",$C126="Whitepaper")),AND(fChannel="Webinar / Events",$C126="Webinar"))),1,0))</f>
        <v>0</v>
      </c>
    </row>
    <row r="127">
      <c r="A127" s="63" t="n"/>
      <c r="B127" s="64" t="n"/>
      <c r="C127" s="64" t="n"/>
      <c r="D127" s="65" t="n"/>
      <c r="E127" s="64" t="n"/>
      <c r="F127" s="64" t="n"/>
      <c r="G127" s="64" t="n"/>
      <c r="H127" s="63" t="n"/>
      <c r="I127" s="63" t="n"/>
      <c r="J127" s="63" t="n"/>
      <c r="K127" s="67" t="n"/>
      <c r="L127" s="67" t="n"/>
      <c r="M127" s="67" t="n"/>
      <c r="N127" s="65" t="n"/>
      <c r="O127" s="64" t="n"/>
      <c r="P127" s="67" t="n"/>
      <c r="Q127" s="65" t="n"/>
      <c r="R127" s="65" t="n"/>
      <c r="S127" s="65" t="n"/>
      <c r="T127" s="71">
        <f>IF($D127="",0,IF(OR($G127="Published",$G127="Completed",$G127="Cancelled"),0,1))</f>
        <v>0</v>
      </c>
      <c r="U127" s="69" t="str">
        <f>IF($D127="","",IF(AND($T127=1,ISNUMBER($I127)),IF($I127&lt;ReportDate,ReportDate-$I127,0),0))</f>
        <v/>
      </c>
      <c r="V127" s="71" t="str">
        <f>IF($D127="","",IF(ISNUMBER($A127),IF(ISNUMBER($A127),YEAR($A127)&amp;"-"&amp;TEXT(MONTH($A127),"00"),""),IF(ISNUMBER($I127),IF(ISNUMBER($I127),YEAR($I127)&amp;"-"&amp;TEXT(MONTH($I127),"00"),""),IF(ISNUMBER($H127),IF(ISNUMBER($H127),YEAR($H127)&amp;"-"&amp;TEXT(MONTH($H127),"00"),""),""))))</f>
        <v/>
      </c>
      <c r="W127" s="71">
        <f>IF($D127="",0,IF(AND(OR(fClient="All",$B127=fClient),fCampaign="All",OR(fTeam="All",$E127=fTeam),OR(fChannel="All",$C127=fChannel,AND(fChannel="Content",OR($C127="Blog",$C127="Case Study",$C127="Whitepaper")),AND(fChannel="Webinar / Events",$C127="Webinar")),OR(fMonth="All",$V127=fMonth)),1,0))</f>
        <v>0</v>
      </c>
      <c r="X127" s="71">
        <f>IF($D127="",0,IF(AND(OR(fClient="All",$B127=fClient),fCampaign="All",OR(fTeam="All",$E127=fTeam),OR(fChannel="All",$C127=fChannel,AND(fChannel="Content",OR($C127="Blog",$C127="Case Study",$C127="Whitepaper")),AND(fChannel="Webinar / Events",$C127="Webinar"))),1,0))</f>
        <v>0</v>
      </c>
    </row>
    <row r="128">
      <c r="A128" s="63" t="n"/>
      <c r="B128" s="64" t="n"/>
      <c r="C128" s="64" t="n"/>
      <c r="D128" s="65" t="n"/>
      <c r="E128" s="64" t="n"/>
      <c r="F128" s="64" t="n"/>
      <c r="G128" s="64" t="n"/>
      <c r="H128" s="63" t="n"/>
      <c r="I128" s="63" t="n"/>
      <c r="J128" s="63" t="n"/>
      <c r="K128" s="67" t="n"/>
      <c r="L128" s="67" t="n"/>
      <c r="M128" s="67" t="n"/>
      <c r="N128" s="65" t="n"/>
      <c r="O128" s="64" t="n"/>
      <c r="P128" s="67" t="n"/>
      <c r="Q128" s="65" t="n"/>
      <c r="R128" s="65" t="n"/>
      <c r="S128" s="65" t="n"/>
      <c r="T128" s="71">
        <f>IF($D128="",0,IF(OR($G128="Published",$G128="Completed",$G128="Cancelled"),0,1))</f>
        <v>0</v>
      </c>
      <c r="U128" s="69" t="str">
        <f>IF($D128="","",IF(AND($T128=1,ISNUMBER($I128)),IF($I128&lt;ReportDate,ReportDate-$I128,0),0))</f>
        <v/>
      </c>
      <c r="V128" s="71" t="str">
        <f>IF($D128="","",IF(ISNUMBER($A128),IF(ISNUMBER($A128),YEAR($A128)&amp;"-"&amp;TEXT(MONTH($A128),"00"),""),IF(ISNUMBER($I128),IF(ISNUMBER($I128),YEAR($I128)&amp;"-"&amp;TEXT(MONTH($I128),"00"),""),IF(ISNUMBER($H128),IF(ISNUMBER($H128),YEAR($H128)&amp;"-"&amp;TEXT(MONTH($H128),"00"),""),""))))</f>
        <v/>
      </c>
      <c r="W128" s="71">
        <f>IF($D128="",0,IF(AND(OR(fClient="All",$B128=fClient),fCampaign="All",OR(fTeam="All",$E128=fTeam),OR(fChannel="All",$C128=fChannel,AND(fChannel="Content",OR($C128="Blog",$C128="Case Study",$C128="Whitepaper")),AND(fChannel="Webinar / Events",$C128="Webinar")),OR(fMonth="All",$V128=fMonth)),1,0))</f>
        <v>0</v>
      </c>
      <c r="X128" s="71">
        <f>IF($D128="",0,IF(AND(OR(fClient="All",$B128=fClient),fCampaign="All",OR(fTeam="All",$E128=fTeam),OR(fChannel="All",$C128=fChannel,AND(fChannel="Content",OR($C128="Blog",$C128="Case Study",$C128="Whitepaper")),AND(fChannel="Webinar / Events",$C128="Webinar"))),1,0))</f>
        <v>0</v>
      </c>
    </row>
    <row r="129">
      <c r="A129" s="63" t="n"/>
      <c r="B129" s="64" t="n"/>
      <c r="C129" s="64" t="n"/>
      <c r="D129" s="65" t="n"/>
      <c r="E129" s="64" t="n"/>
      <c r="F129" s="64" t="n"/>
      <c r="G129" s="64" t="n"/>
      <c r="H129" s="63" t="n"/>
      <c r="I129" s="63" t="n"/>
      <c r="J129" s="63" t="n"/>
      <c r="K129" s="67" t="n"/>
      <c r="L129" s="67" t="n"/>
      <c r="M129" s="67" t="n"/>
      <c r="N129" s="65" t="n"/>
      <c r="O129" s="64" t="n"/>
      <c r="P129" s="67" t="n"/>
      <c r="Q129" s="65" t="n"/>
      <c r="R129" s="65" t="n"/>
      <c r="S129" s="65" t="n"/>
      <c r="T129" s="71">
        <f>IF($D129="",0,IF(OR($G129="Published",$G129="Completed",$G129="Cancelled"),0,1))</f>
        <v>0</v>
      </c>
      <c r="U129" s="69" t="str">
        <f>IF($D129="","",IF(AND($T129=1,ISNUMBER($I129)),IF($I129&lt;ReportDate,ReportDate-$I129,0),0))</f>
        <v/>
      </c>
      <c r="V129" s="71" t="str">
        <f>IF($D129="","",IF(ISNUMBER($A129),IF(ISNUMBER($A129),YEAR($A129)&amp;"-"&amp;TEXT(MONTH($A129),"00"),""),IF(ISNUMBER($I129),IF(ISNUMBER($I129),YEAR($I129)&amp;"-"&amp;TEXT(MONTH($I129),"00"),""),IF(ISNUMBER($H129),IF(ISNUMBER($H129),YEAR($H129)&amp;"-"&amp;TEXT(MONTH($H129),"00"),""),""))))</f>
        <v/>
      </c>
      <c r="W129" s="71">
        <f>IF($D129="",0,IF(AND(OR(fClient="All",$B129=fClient),fCampaign="All",OR(fTeam="All",$E129=fTeam),OR(fChannel="All",$C129=fChannel,AND(fChannel="Content",OR($C129="Blog",$C129="Case Study",$C129="Whitepaper")),AND(fChannel="Webinar / Events",$C129="Webinar")),OR(fMonth="All",$V129=fMonth)),1,0))</f>
        <v>0</v>
      </c>
      <c r="X129" s="71">
        <f>IF($D129="",0,IF(AND(OR(fClient="All",$B129=fClient),fCampaign="All",OR(fTeam="All",$E129=fTeam),OR(fChannel="All",$C129=fChannel,AND(fChannel="Content",OR($C129="Blog",$C129="Case Study",$C129="Whitepaper")),AND(fChannel="Webinar / Events",$C129="Webinar"))),1,0))</f>
        <v>0</v>
      </c>
    </row>
    <row r="130">
      <c r="A130" s="63" t="n"/>
      <c r="B130" s="64" t="n"/>
      <c r="C130" s="64" t="n"/>
      <c r="D130" s="65" t="n"/>
      <c r="E130" s="64" t="n"/>
      <c r="F130" s="64" t="n"/>
      <c r="G130" s="64" t="n"/>
      <c r="H130" s="63" t="n"/>
      <c r="I130" s="63" t="n"/>
      <c r="J130" s="63" t="n"/>
      <c r="K130" s="67" t="n"/>
      <c r="L130" s="67" t="n"/>
      <c r="M130" s="67" t="n"/>
      <c r="N130" s="65" t="n"/>
      <c r="O130" s="64" t="n"/>
      <c r="P130" s="67" t="n"/>
      <c r="Q130" s="65" t="n"/>
      <c r="R130" s="65" t="n"/>
      <c r="S130" s="65" t="n"/>
      <c r="T130" s="71">
        <f>IF($D130="",0,IF(OR($G130="Published",$G130="Completed",$G130="Cancelled"),0,1))</f>
        <v>0</v>
      </c>
      <c r="U130" s="69" t="str">
        <f>IF($D130="","",IF(AND($T130=1,ISNUMBER($I130)),IF($I130&lt;ReportDate,ReportDate-$I130,0),0))</f>
        <v/>
      </c>
      <c r="V130" s="71" t="str">
        <f>IF($D130="","",IF(ISNUMBER($A130),IF(ISNUMBER($A130),YEAR($A130)&amp;"-"&amp;TEXT(MONTH($A130),"00"),""),IF(ISNUMBER($I130),IF(ISNUMBER($I130),YEAR($I130)&amp;"-"&amp;TEXT(MONTH($I130),"00"),""),IF(ISNUMBER($H130),IF(ISNUMBER($H130),YEAR($H130)&amp;"-"&amp;TEXT(MONTH($H130),"00"),""),""))))</f>
        <v/>
      </c>
      <c r="W130" s="71">
        <f>IF($D130="",0,IF(AND(OR(fClient="All",$B130=fClient),fCampaign="All",OR(fTeam="All",$E130=fTeam),OR(fChannel="All",$C130=fChannel,AND(fChannel="Content",OR($C130="Blog",$C130="Case Study",$C130="Whitepaper")),AND(fChannel="Webinar / Events",$C130="Webinar")),OR(fMonth="All",$V130=fMonth)),1,0))</f>
        <v>0</v>
      </c>
      <c r="X130" s="71">
        <f>IF($D130="",0,IF(AND(OR(fClient="All",$B130=fClient),fCampaign="All",OR(fTeam="All",$E130=fTeam),OR(fChannel="All",$C130=fChannel,AND(fChannel="Content",OR($C130="Blog",$C130="Case Study",$C130="Whitepaper")),AND(fChannel="Webinar / Events",$C130="Webinar"))),1,0))</f>
        <v>0</v>
      </c>
    </row>
    <row r="131">
      <c r="A131" s="63" t="n"/>
      <c r="B131" s="64" t="n"/>
      <c r="C131" s="64" t="n"/>
      <c r="D131" s="65" t="n"/>
      <c r="E131" s="64" t="n"/>
      <c r="F131" s="64" t="n"/>
      <c r="G131" s="64" t="n"/>
      <c r="H131" s="63" t="n"/>
      <c r="I131" s="63" t="n"/>
      <c r="J131" s="63" t="n"/>
      <c r="K131" s="67" t="n"/>
      <c r="L131" s="67" t="n"/>
      <c r="M131" s="67" t="n"/>
      <c r="N131" s="65" t="n"/>
      <c r="O131" s="64" t="n"/>
      <c r="P131" s="67" t="n"/>
      <c r="Q131" s="65" t="n"/>
      <c r="R131" s="65" t="n"/>
      <c r="S131" s="65" t="n"/>
      <c r="T131" s="71">
        <f>IF($D131="",0,IF(OR($G131="Published",$G131="Completed",$G131="Cancelled"),0,1))</f>
        <v>0</v>
      </c>
      <c r="U131" s="69" t="str">
        <f>IF($D131="","",IF(AND($T131=1,ISNUMBER($I131)),IF($I131&lt;ReportDate,ReportDate-$I131,0),0))</f>
        <v/>
      </c>
      <c r="V131" s="71" t="str">
        <f>IF($D131="","",IF(ISNUMBER($A131),IF(ISNUMBER($A131),YEAR($A131)&amp;"-"&amp;TEXT(MONTH($A131),"00"),""),IF(ISNUMBER($I131),IF(ISNUMBER($I131),YEAR($I131)&amp;"-"&amp;TEXT(MONTH($I131),"00"),""),IF(ISNUMBER($H131),IF(ISNUMBER($H131),YEAR($H131)&amp;"-"&amp;TEXT(MONTH($H131),"00"),""),""))))</f>
        <v/>
      </c>
      <c r="W131" s="71">
        <f>IF($D131="",0,IF(AND(OR(fClient="All",$B131=fClient),fCampaign="All",OR(fTeam="All",$E131=fTeam),OR(fChannel="All",$C131=fChannel,AND(fChannel="Content",OR($C131="Blog",$C131="Case Study",$C131="Whitepaper")),AND(fChannel="Webinar / Events",$C131="Webinar")),OR(fMonth="All",$V131=fMonth)),1,0))</f>
        <v>0</v>
      </c>
      <c r="X131" s="71">
        <f>IF($D131="",0,IF(AND(OR(fClient="All",$B131=fClient),fCampaign="All",OR(fTeam="All",$E131=fTeam),OR(fChannel="All",$C131=fChannel,AND(fChannel="Content",OR($C131="Blog",$C131="Case Study",$C131="Whitepaper")),AND(fChannel="Webinar / Events",$C131="Webinar"))),1,0))</f>
        <v>0</v>
      </c>
    </row>
    <row r="132">
      <c r="A132" s="63" t="n"/>
      <c r="B132" s="64" t="n"/>
      <c r="C132" s="64" t="n"/>
      <c r="D132" s="65" t="n"/>
      <c r="E132" s="64" t="n"/>
      <c r="F132" s="64" t="n"/>
      <c r="G132" s="64" t="n"/>
      <c r="H132" s="63" t="n"/>
      <c r="I132" s="63" t="n"/>
      <c r="J132" s="63" t="n"/>
      <c r="K132" s="67" t="n"/>
      <c r="L132" s="67" t="n"/>
      <c r="M132" s="67" t="n"/>
      <c r="N132" s="65" t="n"/>
      <c r="O132" s="64" t="n"/>
      <c r="P132" s="67" t="n"/>
      <c r="Q132" s="65" t="n"/>
      <c r="R132" s="65" t="n"/>
      <c r="S132" s="65" t="n"/>
      <c r="T132" s="71">
        <f>IF($D132="",0,IF(OR($G132="Published",$G132="Completed",$G132="Cancelled"),0,1))</f>
        <v>0</v>
      </c>
      <c r="U132" s="69" t="str">
        <f>IF($D132="","",IF(AND($T132=1,ISNUMBER($I132)),IF($I132&lt;ReportDate,ReportDate-$I132,0),0))</f>
        <v/>
      </c>
      <c r="V132" s="71" t="str">
        <f>IF($D132="","",IF(ISNUMBER($A132),IF(ISNUMBER($A132),YEAR($A132)&amp;"-"&amp;TEXT(MONTH($A132),"00"),""),IF(ISNUMBER($I132),IF(ISNUMBER($I132),YEAR($I132)&amp;"-"&amp;TEXT(MONTH($I132),"00"),""),IF(ISNUMBER($H132),IF(ISNUMBER($H132),YEAR($H132)&amp;"-"&amp;TEXT(MONTH($H132),"00"),""),""))))</f>
        <v/>
      </c>
      <c r="W132" s="71">
        <f>IF($D132="",0,IF(AND(OR(fClient="All",$B132=fClient),fCampaign="All",OR(fTeam="All",$E132=fTeam),OR(fChannel="All",$C132=fChannel,AND(fChannel="Content",OR($C132="Blog",$C132="Case Study",$C132="Whitepaper")),AND(fChannel="Webinar / Events",$C132="Webinar")),OR(fMonth="All",$V132=fMonth)),1,0))</f>
        <v>0</v>
      </c>
      <c r="X132" s="71">
        <f>IF($D132="",0,IF(AND(OR(fClient="All",$B132=fClient),fCampaign="All",OR(fTeam="All",$E132=fTeam),OR(fChannel="All",$C132=fChannel,AND(fChannel="Content",OR($C132="Blog",$C132="Case Study",$C132="Whitepaper")),AND(fChannel="Webinar / Events",$C132="Webinar"))),1,0))</f>
        <v>0</v>
      </c>
    </row>
    <row r="133">
      <c r="A133" s="63" t="n"/>
      <c r="B133" s="64" t="n"/>
      <c r="C133" s="64" t="n"/>
      <c r="D133" s="65" t="n"/>
      <c r="E133" s="64" t="n"/>
      <c r="F133" s="64" t="n"/>
      <c r="G133" s="64" t="n"/>
      <c r="H133" s="63" t="n"/>
      <c r="I133" s="63" t="n"/>
      <c r="J133" s="63" t="n"/>
      <c r="K133" s="67" t="n"/>
      <c r="L133" s="67" t="n"/>
      <c r="M133" s="67" t="n"/>
      <c r="N133" s="65" t="n"/>
      <c r="O133" s="64" t="n"/>
      <c r="P133" s="67" t="n"/>
      <c r="Q133" s="65" t="n"/>
      <c r="R133" s="65" t="n"/>
      <c r="S133" s="65" t="n"/>
      <c r="T133" s="71">
        <f>IF($D133="",0,IF(OR($G133="Published",$G133="Completed",$G133="Cancelled"),0,1))</f>
        <v>0</v>
      </c>
      <c r="U133" s="69" t="str">
        <f>IF($D133="","",IF(AND($T133=1,ISNUMBER($I133)),IF($I133&lt;ReportDate,ReportDate-$I133,0),0))</f>
        <v/>
      </c>
      <c r="V133" s="71" t="str">
        <f>IF($D133="","",IF(ISNUMBER($A133),IF(ISNUMBER($A133),YEAR($A133)&amp;"-"&amp;TEXT(MONTH($A133),"00"),""),IF(ISNUMBER($I133),IF(ISNUMBER($I133),YEAR($I133)&amp;"-"&amp;TEXT(MONTH($I133),"00"),""),IF(ISNUMBER($H133),IF(ISNUMBER($H133),YEAR($H133)&amp;"-"&amp;TEXT(MONTH($H133),"00"),""),""))))</f>
        <v/>
      </c>
      <c r="W133" s="71">
        <f>IF($D133="",0,IF(AND(OR(fClient="All",$B133=fClient),fCampaign="All",OR(fTeam="All",$E133=fTeam),OR(fChannel="All",$C133=fChannel,AND(fChannel="Content",OR($C133="Blog",$C133="Case Study",$C133="Whitepaper")),AND(fChannel="Webinar / Events",$C133="Webinar")),OR(fMonth="All",$V133=fMonth)),1,0))</f>
        <v>0</v>
      </c>
      <c r="X133" s="71">
        <f>IF($D133="",0,IF(AND(OR(fClient="All",$B133=fClient),fCampaign="All",OR(fTeam="All",$E133=fTeam),OR(fChannel="All",$C133=fChannel,AND(fChannel="Content",OR($C133="Blog",$C133="Case Study",$C133="Whitepaper")),AND(fChannel="Webinar / Events",$C133="Webinar"))),1,0))</f>
        <v>0</v>
      </c>
    </row>
    <row r="134">
      <c r="A134" s="63" t="n"/>
      <c r="B134" s="64" t="n"/>
      <c r="C134" s="64" t="n"/>
      <c r="D134" s="65" t="n"/>
      <c r="E134" s="64" t="n"/>
      <c r="F134" s="64" t="n"/>
      <c r="G134" s="64" t="n"/>
      <c r="H134" s="63" t="n"/>
      <c r="I134" s="63" t="n"/>
      <c r="J134" s="63" t="n"/>
      <c r="K134" s="67" t="n"/>
      <c r="L134" s="67" t="n"/>
      <c r="M134" s="67" t="n"/>
      <c r="N134" s="65" t="n"/>
      <c r="O134" s="64" t="n"/>
      <c r="P134" s="67" t="n"/>
      <c r="Q134" s="65" t="n"/>
      <c r="R134" s="65" t="n"/>
      <c r="S134" s="65" t="n"/>
      <c r="T134" s="71">
        <f>IF($D134="",0,IF(OR($G134="Published",$G134="Completed",$G134="Cancelled"),0,1))</f>
        <v>0</v>
      </c>
      <c r="U134" s="69" t="str">
        <f>IF($D134="","",IF(AND($T134=1,ISNUMBER($I134)),IF($I134&lt;ReportDate,ReportDate-$I134,0),0))</f>
        <v/>
      </c>
      <c r="V134" s="71" t="str">
        <f>IF($D134="","",IF(ISNUMBER($A134),IF(ISNUMBER($A134),YEAR($A134)&amp;"-"&amp;TEXT(MONTH($A134),"00"),""),IF(ISNUMBER($I134),IF(ISNUMBER($I134),YEAR($I134)&amp;"-"&amp;TEXT(MONTH($I134),"00"),""),IF(ISNUMBER($H134),IF(ISNUMBER($H134),YEAR($H134)&amp;"-"&amp;TEXT(MONTH($H134),"00"),""),""))))</f>
        <v/>
      </c>
      <c r="W134" s="71">
        <f>IF($D134="",0,IF(AND(OR(fClient="All",$B134=fClient),fCampaign="All",OR(fTeam="All",$E134=fTeam),OR(fChannel="All",$C134=fChannel,AND(fChannel="Content",OR($C134="Blog",$C134="Case Study",$C134="Whitepaper")),AND(fChannel="Webinar / Events",$C134="Webinar")),OR(fMonth="All",$V134=fMonth)),1,0))</f>
        <v>0</v>
      </c>
      <c r="X134" s="71">
        <f>IF($D134="",0,IF(AND(OR(fClient="All",$B134=fClient),fCampaign="All",OR(fTeam="All",$E134=fTeam),OR(fChannel="All",$C134=fChannel,AND(fChannel="Content",OR($C134="Blog",$C134="Case Study",$C134="Whitepaper")),AND(fChannel="Webinar / Events",$C134="Webinar"))),1,0))</f>
        <v>0</v>
      </c>
    </row>
    <row r="135">
      <c r="A135" s="63" t="n"/>
      <c r="B135" s="64" t="n"/>
      <c r="C135" s="64" t="n"/>
      <c r="D135" s="65" t="n"/>
      <c r="E135" s="64" t="n"/>
      <c r="F135" s="64" t="n"/>
      <c r="G135" s="64" t="n"/>
      <c r="H135" s="63" t="n"/>
      <c r="I135" s="63" t="n"/>
      <c r="J135" s="63" t="n"/>
      <c r="K135" s="67" t="n"/>
      <c r="L135" s="67" t="n"/>
      <c r="M135" s="67" t="n"/>
      <c r="N135" s="65" t="n"/>
      <c r="O135" s="64" t="n"/>
      <c r="P135" s="67" t="n"/>
      <c r="Q135" s="65" t="n"/>
      <c r="R135" s="65" t="n"/>
      <c r="S135" s="65" t="n"/>
      <c r="T135" s="71">
        <f>IF($D135="",0,IF(OR($G135="Published",$G135="Completed",$G135="Cancelled"),0,1))</f>
        <v>0</v>
      </c>
      <c r="U135" s="69" t="str">
        <f>IF($D135="","",IF(AND($T135=1,ISNUMBER($I135)),IF($I135&lt;ReportDate,ReportDate-$I135,0),0))</f>
        <v/>
      </c>
      <c r="V135" s="71" t="str">
        <f>IF($D135="","",IF(ISNUMBER($A135),IF(ISNUMBER($A135),YEAR($A135)&amp;"-"&amp;TEXT(MONTH($A135),"00"),""),IF(ISNUMBER($I135),IF(ISNUMBER($I135),YEAR($I135)&amp;"-"&amp;TEXT(MONTH($I135),"00"),""),IF(ISNUMBER($H135),IF(ISNUMBER($H135),YEAR($H135)&amp;"-"&amp;TEXT(MONTH($H135),"00"),""),""))))</f>
        <v/>
      </c>
      <c r="W135" s="71">
        <f>IF($D135="",0,IF(AND(OR(fClient="All",$B135=fClient),fCampaign="All",OR(fTeam="All",$E135=fTeam),OR(fChannel="All",$C135=fChannel,AND(fChannel="Content",OR($C135="Blog",$C135="Case Study",$C135="Whitepaper")),AND(fChannel="Webinar / Events",$C135="Webinar")),OR(fMonth="All",$V135=fMonth)),1,0))</f>
        <v>0</v>
      </c>
      <c r="X135" s="71">
        <f>IF($D135="",0,IF(AND(OR(fClient="All",$B135=fClient),fCampaign="All",OR(fTeam="All",$E135=fTeam),OR(fChannel="All",$C135=fChannel,AND(fChannel="Content",OR($C135="Blog",$C135="Case Study",$C135="Whitepaper")),AND(fChannel="Webinar / Events",$C135="Webinar"))),1,0))</f>
        <v>0</v>
      </c>
    </row>
    <row r="136">
      <c r="A136" s="63" t="n"/>
      <c r="B136" s="64" t="n"/>
      <c r="C136" s="64" t="n"/>
      <c r="D136" s="65" t="n"/>
      <c r="E136" s="64" t="n"/>
      <c r="F136" s="64" t="n"/>
      <c r="G136" s="64" t="n"/>
      <c r="H136" s="63" t="n"/>
      <c r="I136" s="63" t="n"/>
      <c r="J136" s="63" t="n"/>
      <c r="K136" s="67" t="n"/>
      <c r="L136" s="67" t="n"/>
      <c r="M136" s="67" t="n"/>
      <c r="N136" s="65" t="n"/>
      <c r="O136" s="64" t="n"/>
      <c r="P136" s="67" t="n"/>
      <c r="Q136" s="65" t="n"/>
      <c r="R136" s="65" t="n"/>
      <c r="S136" s="65" t="n"/>
      <c r="T136" s="71">
        <f>IF($D136="",0,IF(OR($G136="Published",$G136="Completed",$G136="Cancelled"),0,1))</f>
        <v>0</v>
      </c>
      <c r="U136" s="69" t="str">
        <f>IF($D136="","",IF(AND($T136=1,ISNUMBER($I136)),IF($I136&lt;ReportDate,ReportDate-$I136,0),0))</f>
        <v/>
      </c>
      <c r="V136" s="71" t="str">
        <f>IF($D136="","",IF(ISNUMBER($A136),IF(ISNUMBER($A136),YEAR($A136)&amp;"-"&amp;TEXT(MONTH($A136),"00"),""),IF(ISNUMBER($I136),IF(ISNUMBER($I136),YEAR($I136)&amp;"-"&amp;TEXT(MONTH($I136),"00"),""),IF(ISNUMBER($H136),IF(ISNUMBER($H136),YEAR($H136)&amp;"-"&amp;TEXT(MONTH($H136),"00"),""),""))))</f>
        <v/>
      </c>
      <c r="W136" s="71">
        <f>IF($D136="",0,IF(AND(OR(fClient="All",$B136=fClient),fCampaign="All",OR(fTeam="All",$E136=fTeam),OR(fChannel="All",$C136=fChannel,AND(fChannel="Content",OR($C136="Blog",$C136="Case Study",$C136="Whitepaper")),AND(fChannel="Webinar / Events",$C136="Webinar")),OR(fMonth="All",$V136=fMonth)),1,0))</f>
        <v>0</v>
      </c>
      <c r="X136" s="71">
        <f>IF($D136="",0,IF(AND(OR(fClient="All",$B136=fClient),fCampaign="All",OR(fTeam="All",$E136=fTeam),OR(fChannel="All",$C136=fChannel,AND(fChannel="Content",OR($C136="Blog",$C136="Case Study",$C136="Whitepaper")),AND(fChannel="Webinar / Events",$C136="Webinar"))),1,0))</f>
        <v>0</v>
      </c>
    </row>
    <row r="137">
      <c r="A137" s="63" t="n"/>
      <c r="B137" s="64" t="n"/>
      <c r="C137" s="64" t="n"/>
      <c r="D137" s="65" t="n"/>
      <c r="E137" s="64" t="n"/>
      <c r="F137" s="64" t="n"/>
      <c r="G137" s="64" t="n"/>
      <c r="H137" s="63" t="n"/>
      <c r="I137" s="63" t="n"/>
      <c r="J137" s="63" t="n"/>
      <c r="K137" s="67" t="n"/>
      <c r="L137" s="67" t="n"/>
      <c r="M137" s="67" t="n"/>
      <c r="N137" s="65" t="n"/>
      <c r="O137" s="64" t="n"/>
      <c r="P137" s="67" t="n"/>
      <c r="Q137" s="65" t="n"/>
      <c r="R137" s="65" t="n"/>
      <c r="S137" s="65" t="n"/>
      <c r="T137" s="71">
        <f>IF($D137="",0,IF(OR($G137="Published",$G137="Completed",$G137="Cancelled"),0,1))</f>
        <v>0</v>
      </c>
      <c r="U137" s="69" t="str">
        <f>IF($D137="","",IF(AND($T137=1,ISNUMBER($I137)),IF($I137&lt;ReportDate,ReportDate-$I137,0),0))</f>
        <v/>
      </c>
      <c r="V137" s="71" t="str">
        <f>IF($D137="","",IF(ISNUMBER($A137),IF(ISNUMBER($A137),YEAR($A137)&amp;"-"&amp;TEXT(MONTH($A137),"00"),""),IF(ISNUMBER($I137),IF(ISNUMBER($I137),YEAR($I137)&amp;"-"&amp;TEXT(MONTH($I137),"00"),""),IF(ISNUMBER($H137),IF(ISNUMBER($H137),YEAR($H137)&amp;"-"&amp;TEXT(MONTH($H137),"00"),""),""))))</f>
        <v/>
      </c>
      <c r="W137" s="71">
        <f>IF($D137="",0,IF(AND(OR(fClient="All",$B137=fClient),fCampaign="All",OR(fTeam="All",$E137=fTeam),OR(fChannel="All",$C137=fChannel,AND(fChannel="Content",OR($C137="Blog",$C137="Case Study",$C137="Whitepaper")),AND(fChannel="Webinar / Events",$C137="Webinar")),OR(fMonth="All",$V137=fMonth)),1,0))</f>
        <v>0</v>
      </c>
      <c r="X137" s="71">
        <f>IF($D137="",0,IF(AND(OR(fClient="All",$B137=fClient),fCampaign="All",OR(fTeam="All",$E137=fTeam),OR(fChannel="All",$C137=fChannel,AND(fChannel="Content",OR($C137="Blog",$C137="Case Study",$C137="Whitepaper")),AND(fChannel="Webinar / Events",$C137="Webinar"))),1,0))</f>
        <v>0</v>
      </c>
    </row>
    <row r="138">
      <c r="A138" s="63" t="n"/>
      <c r="B138" s="64" t="n"/>
      <c r="C138" s="64" t="n"/>
      <c r="D138" s="65" t="n"/>
      <c r="E138" s="64" t="n"/>
      <c r="F138" s="64" t="n"/>
      <c r="G138" s="64" t="n"/>
      <c r="H138" s="63" t="n"/>
      <c r="I138" s="63" t="n"/>
      <c r="J138" s="63" t="n"/>
      <c r="K138" s="67" t="n"/>
      <c r="L138" s="67" t="n"/>
      <c r="M138" s="67" t="n"/>
      <c r="N138" s="65" t="n"/>
      <c r="O138" s="64" t="n"/>
      <c r="P138" s="67" t="n"/>
      <c r="Q138" s="65" t="n"/>
      <c r="R138" s="65" t="n"/>
      <c r="S138" s="65" t="n"/>
      <c r="T138" s="71">
        <f>IF($D138="",0,IF(OR($G138="Published",$G138="Completed",$G138="Cancelled"),0,1))</f>
        <v>0</v>
      </c>
      <c r="U138" s="69" t="str">
        <f>IF($D138="","",IF(AND($T138=1,ISNUMBER($I138)),IF($I138&lt;ReportDate,ReportDate-$I138,0),0))</f>
        <v/>
      </c>
      <c r="V138" s="71" t="str">
        <f>IF($D138="","",IF(ISNUMBER($A138),IF(ISNUMBER($A138),YEAR($A138)&amp;"-"&amp;TEXT(MONTH($A138),"00"),""),IF(ISNUMBER($I138),IF(ISNUMBER($I138),YEAR($I138)&amp;"-"&amp;TEXT(MONTH($I138),"00"),""),IF(ISNUMBER($H138),IF(ISNUMBER($H138),YEAR($H138)&amp;"-"&amp;TEXT(MONTH($H138),"00"),""),""))))</f>
        <v/>
      </c>
      <c r="W138" s="71">
        <f>IF($D138="",0,IF(AND(OR(fClient="All",$B138=fClient),fCampaign="All",OR(fTeam="All",$E138=fTeam),OR(fChannel="All",$C138=fChannel,AND(fChannel="Content",OR($C138="Blog",$C138="Case Study",$C138="Whitepaper")),AND(fChannel="Webinar / Events",$C138="Webinar")),OR(fMonth="All",$V138=fMonth)),1,0))</f>
        <v>0</v>
      </c>
      <c r="X138" s="71">
        <f>IF($D138="",0,IF(AND(OR(fClient="All",$B138=fClient),fCampaign="All",OR(fTeam="All",$E138=fTeam),OR(fChannel="All",$C138=fChannel,AND(fChannel="Content",OR($C138="Blog",$C138="Case Study",$C138="Whitepaper")),AND(fChannel="Webinar / Events",$C138="Webinar"))),1,0))</f>
        <v>0</v>
      </c>
    </row>
    <row r="139">
      <c r="A139" s="63" t="n"/>
      <c r="B139" s="64" t="n"/>
      <c r="C139" s="64" t="n"/>
      <c r="D139" s="65" t="n"/>
      <c r="E139" s="64" t="n"/>
      <c r="F139" s="64" t="n"/>
      <c r="G139" s="64" t="n"/>
      <c r="H139" s="63" t="n"/>
      <c r="I139" s="63" t="n"/>
      <c r="J139" s="63" t="n"/>
      <c r="K139" s="67" t="n"/>
      <c r="L139" s="67" t="n"/>
      <c r="M139" s="67" t="n"/>
      <c r="N139" s="65" t="n"/>
      <c r="O139" s="64" t="n"/>
      <c r="P139" s="67" t="n"/>
      <c r="Q139" s="65" t="n"/>
      <c r="R139" s="65" t="n"/>
      <c r="S139" s="65" t="n"/>
      <c r="T139" s="71">
        <f>IF($D139="",0,IF(OR($G139="Published",$G139="Completed",$G139="Cancelled"),0,1))</f>
        <v>0</v>
      </c>
      <c r="U139" s="69" t="str">
        <f>IF($D139="","",IF(AND($T139=1,ISNUMBER($I139)),IF($I139&lt;ReportDate,ReportDate-$I139,0),0))</f>
        <v/>
      </c>
      <c r="V139" s="71" t="str">
        <f>IF($D139="","",IF(ISNUMBER($A139),IF(ISNUMBER($A139),YEAR($A139)&amp;"-"&amp;TEXT(MONTH($A139),"00"),""),IF(ISNUMBER($I139),IF(ISNUMBER($I139),YEAR($I139)&amp;"-"&amp;TEXT(MONTH($I139),"00"),""),IF(ISNUMBER($H139),IF(ISNUMBER($H139),YEAR($H139)&amp;"-"&amp;TEXT(MONTH($H139),"00"),""),""))))</f>
        <v/>
      </c>
      <c r="W139" s="71">
        <f>IF($D139="",0,IF(AND(OR(fClient="All",$B139=fClient),fCampaign="All",OR(fTeam="All",$E139=fTeam),OR(fChannel="All",$C139=fChannel,AND(fChannel="Content",OR($C139="Blog",$C139="Case Study",$C139="Whitepaper")),AND(fChannel="Webinar / Events",$C139="Webinar")),OR(fMonth="All",$V139=fMonth)),1,0))</f>
        <v>0</v>
      </c>
      <c r="X139" s="71">
        <f>IF($D139="",0,IF(AND(OR(fClient="All",$B139=fClient),fCampaign="All",OR(fTeam="All",$E139=fTeam),OR(fChannel="All",$C139=fChannel,AND(fChannel="Content",OR($C139="Blog",$C139="Case Study",$C139="Whitepaper")),AND(fChannel="Webinar / Events",$C139="Webinar"))),1,0))</f>
        <v>0</v>
      </c>
    </row>
    <row r="140">
      <c r="A140" s="63" t="n"/>
      <c r="B140" s="64" t="n"/>
      <c r="C140" s="64" t="n"/>
      <c r="D140" s="65" t="n"/>
      <c r="E140" s="64" t="n"/>
      <c r="F140" s="64" t="n"/>
      <c r="G140" s="64" t="n"/>
      <c r="H140" s="63" t="n"/>
      <c r="I140" s="63" t="n"/>
      <c r="J140" s="63" t="n"/>
      <c r="K140" s="67" t="n"/>
      <c r="L140" s="67" t="n"/>
      <c r="M140" s="67" t="n"/>
      <c r="N140" s="65" t="n"/>
      <c r="O140" s="64" t="n"/>
      <c r="P140" s="67" t="n"/>
      <c r="Q140" s="65" t="n"/>
      <c r="R140" s="65" t="n"/>
      <c r="S140" s="65" t="n"/>
      <c r="T140" s="71">
        <f>IF($D140="",0,IF(OR($G140="Published",$G140="Completed",$G140="Cancelled"),0,1))</f>
        <v>0</v>
      </c>
      <c r="U140" s="69" t="str">
        <f>IF($D140="","",IF(AND($T140=1,ISNUMBER($I140)),IF($I140&lt;ReportDate,ReportDate-$I140,0),0))</f>
        <v/>
      </c>
      <c r="V140" s="71" t="str">
        <f>IF($D140="","",IF(ISNUMBER($A140),IF(ISNUMBER($A140),YEAR($A140)&amp;"-"&amp;TEXT(MONTH($A140),"00"),""),IF(ISNUMBER($I140),IF(ISNUMBER($I140),YEAR($I140)&amp;"-"&amp;TEXT(MONTH($I140),"00"),""),IF(ISNUMBER($H140),IF(ISNUMBER($H140),YEAR($H140)&amp;"-"&amp;TEXT(MONTH($H140),"00"),""),""))))</f>
        <v/>
      </c>
      <c r="W140" s="71">
        <f>IF($D140="",0,IF(AND(OR(fClient="All",$B140=fClient),fCampaign="All",OR(fTeam="All",$E140=fTeam),OR(fChannel="All",$C140=fChannel,AND(fChannel="Content",OR($C140="Blog",$C140="Case Study",$C140="Whitepaper")),AND(fChannel="Webinar / Events",$C140="Webinar")),OR(fMonth="All",$V140=fMonth)),1,0))</f>
        <v>0</v>
      </c>
      <c r="X140" s="71">
        <f>IF($D140="",0,IF(AND(OR(fClient="All",$B140=fClient),fCampaign="All",OR(fTeam="All",$E140=fTeam),OR(fChannel="All",$C140=fChannel,AND(fChannel="Content",OR($C140="Blog",$C140="Case Study",$C140="Whitepaper")),AND(fChannel="Webinar / Events",$C140="Webinar"))),1,0))</f>
        <v>0</v>
      </c>
    </row>
    <row r="141">
      <c r="A141" s="63" t="n"/>
      <c r="B141" s="64" t="n"/>
      <c r="C141" s="64" t="n"/>
      <c r="D141" s="65" t="n"/>
      <c r="E141" s="64" t="n"/>
      <c r="F141" s="64" t="n"/>
      <c r="G141" s="64" t="n"/>
      <c r="H141" s="63" t="n"/>
      <c r="I141" s="63" t="n"/>
      <c r="J141" s="63" t="n"/>
      <c r="K141" s="67" t="n"/>
      <c r="L141" s="67" t="n"/>
      <c r="M141" s="67" t="n"/>
      <c r="N141" s="65" t="n"/>
      <c r="O141" s="64" t="n"/>
      <c r="P141" s="67" t="n"/>
      <c r="Q141" s="65" t="n"/>
      <c r="R141" s="65" t="n"/>
      <c r="S141" s="65" t="n"/>
      <c r="T141" s="71">
        <f>IF($D141="",0,IF(OR($G141="Published",$G141="Completed",$G141="Cancelled"),0,1))</f>
        <v>0</v>
      </c>
      <c r="U141" s="69" t="str">
        <f>IF($D141="","",IF(AND($T141=1,ISNUMBER($I141)),IF($I141&lt;ReportDate,ReportDate-$I141,0),0))</f>
        <v/>
      </c>
      <c r="V141" s="71" t="str">
        <f>IF($D141="","",IF(ISNUMBER($A141),IF(ISNUMBER($A141),YEAR($A141)&amp;"-"&amp;TEXT(MONTH($A141),"00"),""),IF(ISNUMBER($I141),IF(ISNUMBER($I141),YEAR($I141)&amp;"-"&amp;TEXT(MONTH($I141),"00"),""),IF(ISNUMBER($H141),IF(ISNUMBER($H141),YEAR($H141)&amp;"-"&amp;TEXT(MONTH($H141),"00"),""),""))))</f>
        <v/>
      </c>
      <c r="W141" s="71">
        <f>IF($D141="",0,IF(AND(OR(fClient="All",$B141=fClient),fCampaign="All",OR(fTeam="All",$E141=fTeam),OR(fChannel="All",$C141=fChannel,AND(fChannel="Content",OR($C141="Blog",$C141="Case Study",$C141="Whitepaper")),AND(fChannel="Webinar / Events",$C141="Webinar")),OR(fMonth="All",$V141=fMonth)),1,0))</f>
        <v>0</v>
      </c>
      <c r="X141" s="71">
        <f>IF($D141="",0,IF(AND(OR(fClient="All",$B141=fClient),fCampaign="All",OR(fTeam="All",$E141=fTeam),OR(fChannel="All",$C141=fChannel,AND(fChannel="Content",OR($C141="Blog",$C141="Case Study",$C141="Whitepaper")),AND(fChannel="Webinar / Events",$C141="Webinar"))),1,0))</f>
        <v>0</v>
      </c>
    </row>
    <row r="142">
      <c r="A142" s="63" t="n"/>
      <c r="B142" s="64" t="n"/>
      <c r="C142" s="64" t="n"/>
      <c r="D142" s="65" t="n"/>
      <c r="E142" s="64" t="n"/>
      <c r="F142" s="64" t="n"/>
      <c r="G142" s="64" t="n"/>
      <c r="H142" s="63" t="n"/>
      <c r="I142" s="63" t="n"/>
      <c r="J142" s="63" t="n"/>
      <c r="K142" s="67" t="n"/>
      <c r="L142" s="67" t="n"/>
      <c r="M142" s="67" t="n"/>
      <c r="N142" s="65" t="n"/>
      <c r="O142" s="64" t="n"/>
      <c r="P142" s="67" t="n"/>
      <c r="Q142" s="65" t="n"/>
      <c r="R142" s="65" t="n"/>
      <c r="S142" s="65" t="n"/>
      <c r="T142" s="71">
        <f>IF($D142="",0,IF(OR($G142="Published",$G142="Completed",$G142="Cancelled"),0,1))</f>
        <v>0</v>
      </c>
      <c r="U142" s="69" t="str">
        <f>IF($D142="","",IF(AND($T142=1,ISNUMBER($I142)),IF($I142&lt;ReportDate,ReportDate-$I142,0),0))</f>
        <v/>
      </c>
      <c r="V142" s="71" t="str">
        <f>IF($D142="","",IF(ISNUMBER($A142),IF(ISNUMBER($A142),YEAR($A142)&amp;"-"&amp;TEXT(MONTH($A142),"00"),""),IF(ISNUMBER($I142),IF(ISNUMBER($I142),YEAR($I142)&amp;"-"&amp;TEXT(MONTH($I142),"00"),""),IF(ISNUMBER($H142),IF(ISNUMBER($H142),YEAR($H142)&amp;"-"&amp;TEXT(MONTH($H142),"00"),""),""))))</f>
        <v/>
      </c>
      <c r="W142" s="71">
        <f>IF($D142="",0,IF(AND(OR(fClient="All",$B142=fClient),fCampaign="All",OR(fTeam="All",$E142=fTeam),OR(fChannel="All",$C142=fChannel,AND(fChannel="Content",OR($C142="Blog",$C142="Case Study",$C142="Whitepaper")),AND(fChannel="Webinar / Events",$C142="Webinar")),OR(fMonth="All",$V142=fMonth)),1,0))</f>
        <v>0</v>
      </c>
      <c r="X142" s="71">
        <f>IF($D142="",0,IF(AND(OR(fClient="All",$B142=fClient),fCampaign="All",OR(fTeam="All",$E142=fTeam),OR(fChannel="All",$C142=fChannel,AND(fChannel="Content",OR($C142="Blog",$C142="Case Study",$C142="Whitepaper")),AND(fChannel="Webinar / Events",$C142="Webinar"))),1,0))</f>
        <v>0</v>
      </c>
    </row>
    <row r="143">
      <c r="A143" s="63" t="n"/>
      <c r="B143" s="64" t="n"/>
      <c r="C143" s="64" t="n"/>
      <c r="D143" s="65" t="n"/>
      <c r="E143" s="64" t="n"/>
      <c r="F143" s="64" t="n"/>
      <c r="G143" s="64" t="n"/>
      <c r="H143" s="63" t="n"/>
      <c r="I143" s="63" t="n"/>
      <c r="J143" s="63" t="n"/>
      <c r="K143" s="67" t="n"/>
      <c r="L143" s="67" t="n"/>
      <c r="M143" s="67" t="n"/>
      <c r="N143" s="65" t="n"/>
      <c r="O143" s="64" t="n"/>
      <c r="P143" s="67" t="n"/>
      <c r="Q143" s="65" t="n"/>
      <c r="R143" s="65" t="n"/>
      <c r="S143" s="65" t="n"/>
      <c r="T143" s="71">
        <f>IF($D143="",0,IF(OR($G143="Published",$G143="Completed",$G143="Cancelled"),0,1))</f>
        <v>0</v>
      </c>
      <c r="U143" s="69" t="str">
        <f>IF($D143="","",IF(AND($T143=1,ISNUMBER($I143)),IF($I143&lt;ReportDate,ReportDate-$I143,0),0))</f>
        <v/>
      </c>
      <c r="V143" s="71" t="str">
        <f>IF($D143="","",IF(ISNUMBER($A143),IF(ISNUMBER($A143),YEAR($A143)&amp;"-"&amp;TEXT(MONTH($A143),"00"),""),IF(ISNUMBER($I143),IF(ISNUMBER($I143),YEAR($I143)&amp;"-"&amp;TEXT(MONTH($I143),"00"),""),IF(ISNUMBER($H143),IF(ISNUMBER($H143),YEAR($H143)&amp;"-"&amp;TEXT(MONTH($H143),"00"),""),""))))</f>
        <v/>
      </c>
      <c r="W143" s="71">
        <f>IF($D143="",0,IF(AND(OR(fClient="All",$B143=fClient),fCampaign="All",OR(fTeam="All",$E143=fTeam),OR(fChannel="All",$C143=fChannel,AND(fChannel="Content",OR($C143="Blog",$C143="Case Study",$C143="Whitepaper")),AND(fChannel="Webinar / Events",$C143="Webinar")),OR(fMonth="All",$V143=fMonth)),1,0))</f>
        <v>0</v>
      </c>
      <c r="X143" s="71">
        <f>IF($D143="",0,IF(AND(OR(fClient="All",$B143=fClient),fCampaign="All",OR(fTeam="All",$E143=fTeam),OR(fChannel="All",$C143=fChannel,AND(fChannel="Content",OR($C143="Blog",$C143="Case Study",$C143="Whitepaper")),AND(fChannel="Webinar / Events",$C143="Webinar"))),1,0))</f>
        <v>0</v>
      </c>
    </row>
    <row r="144">
      <c r="A144" s="63" t="n"/>
      <c r="B144" s="64" t="n"/>
      <c r="C144" s="64" t="n"/>
      <c r="D144" s="65" t="n"/>
      <c r="E144" s="64" t="n"/>
      <c r="F144" s="64" t="n"/>
      <c r="G144" s="64" t="n"/>
      <c r="H144" s="63" t="n"/>
      <c r="I144" s="63" t="n"/>
      <c r="J144" s="63" t="n"/>
      <c r="K144" s="67" t="n"/>
      <c r="L144" s="67" t="n"/>
      <c r="M144" s="67" t="n"/>
      <c r="N144" s="65" t="n"/>
      <c r="O144" s="64" t="n"/>
      <c r="P144" s="67" t="n"/>
      <c r="Q144" s="65" t="n"/>
      <c r="R144" s="65" t="n"/>
      <c r="S144" s="65" t="n"/>
      <c r="T144" s="71">
        <f>IF($D144="",0,IF(OR($G144="Published",$G144="Completed",$G144="Cancelled"),0,1))</f>
        <v>0</v>
      </c>
      <c r="U144" s="69" t="str">
        <f>IF($D144="","",IF(AND($T144=1,ISNUMBER($I144)),IF($I144&lt;ReportDate,ReportDate-$I144,0),0))</f>
        <v/>
      </c>
      <c r="V144" s="71" t="str">
        <f>IF($D144="","",IF(ISNUMBER($A144),IF(ISNUMBER($A144),YEAR($A144)&amp;"-"&amp;TEXT(MONTH($A144),"00"),""),IF(ISNUMBER($I144),IF(ISNUMBER($I144),YEAR($I144)&amp;"-"&amp;TEXT(MONTH($I144),"00"),""),IF(ISNUMBER($H144),IF(ISNUMBER($H144),YEAR($H144)&amp;"-"&amp;TEXT(MONTH($H144),"00"),""),""))))</f>
        <v/>
      </c>
      <c r="W144" s="71">
        <f>IF($D144="",0,IF(AND(OR(fClient="All",$B144=fClient),fCampaign="All",OR(fTeam="All",$E144=fTeam),OR(fChannel="All",$C144=fChannel,AND(fChannel="Content",OR($C144="Blog",$C144="Case Study",$C144="Whitepaper")),AND(fChannel="Webinar / Events",$C144="Webinar")),OR(fMonth="All",$V144=fMonth)),1,0))</f>
        <v>0</v>
      </c>
      <c r="X144" s="71">
        <f>IF($D144="",0,IF(AND(OR(fClient="All",$B144=fClient),fCampaign="All",OR(fTeam="All",$E144=fTeam),OR(fChannel="All",$C144=fChannel,AND(fChannel="Content",OR($C144="Blog",$C144="Case Study",$C144="Whitepaper")),AND(fChannel="Webinar / Events",$C144="Webinar"))),1,0))</f>
        <v>0</v>
      </c>
    </row>
    <row r="145">
      <c r="A145" s="63" t="n"/>
      <c r="B145" s="64" t="n"/>
      <c r="C145" s="64" t="n"/>
      <c r="D145" s="65" t="n"/>
      <c r="E145" s="64" t="n"/>
      <c r="F145" s="64" t="n"/>
      <c r="G145" s="64" t="n"/>
      <c r="H145" s="63" t="n"/>
      <c r="I145" s="63" t="n"/>
      <c r="J145" s="63" t="n"/>
      <c r="K145" s="67" t="n"/>
      <c r="L145" s="67" t="n"/>
      <c r="M145" s="67" t="n"/>
      <c r="N145" s="65" t="n"/>
      <c r="O145" s="64" t="n"/>
      <c r="P145" s="67" t="n"/>
      <c r="Q145" s="65" t="n"/>
      <c r="R145" s="65" t="n"/>
      <c r="S145" s="65" t="n"/>
      <c r="T145" s="71">
        <f>IF($D145="",0,IF(OR($G145="Published",$G145="Completed",$G145="Cancelled"),0,1))</f>
        <v>0</v>
      </c>
      <c r="U145" s="69" t="str">
        <f>IF($D145="","",IF(AND($T145=1,ISNUMBER($I145)),IF($I145&lt;ReportDate,ReportDate-$I145,0),0))</f>
        <v/>
      </c>
      <c r="V145" s="71" t="str">
        <f>IF($D145="","",IF(ISNUMBER($A145),IF(ISNUMBER($A145),YEAR($A145)&amp;"-"&amp;TEXT(MONTH($A145),"00"),""),IF(ISNUMBER($I145),IF(ISNUMBER($I145),YEAR($I145)&amp;"-"&amp;TEXT(MONTH($I145),"00"),""),IF(ISNUMBER($H145),IF(ISNUMBER($H145),YEAR($H145)&amp;"-"&amp;TEXT(MONTH($H145),"00"),""),""))))</f>
        <v/>
      </c>
      <c r="W145" s="71">
        <f>IF($D145="",0,IF(AND(OR(fClient="All",$B145=fClient),fCampaign="All",OR(fTeam="All",$E145=fTeam),OR(fChannel="All",$C145=fChannel,AND(fChannel="Content",OR($C145="Blog",$C145="Case Study",$C145="Whitepaper")),AND(fChannel="Webinar / Events",$C145="Webinar")),OR(fMonth="All",$V145=fMonth)),1,0))</f>
        <v>0</v>
      </c>
      <c r="X145" s="71">
        <f>IF($D145="",0,IF(AND(OR(fClient="All",$B145=fClient),fCampaign="All",OR(fTeam="All",$E145=fTeam),OR(fChannel="All",$C145=fChannel,AND(fChannel="Content",OR($C145="Blog",$C145="Case Study",$C145="Whitepaper")),AND(fChannel="Webinar / Events",$C145="Webinar"))),1,0))</f>
        <v>0</v>
      </c>
    </row>
    <row r="146">
      <c r="A146" s="63" t="n"/>
      <c r="B146" s="64" t="n"/>
      <c r="C146" s="64" t="n"/>
      <c r="D146" s="65" t="n"/>
      <c r="E146" s="64" t="n"/>
      <c r="F146" s="64" t="n"/>
      <c r="G146" s="64" t="n"/>
      <c r="H146" s="63" t="n"/>
      <c r="I146" s="63" t="n"/>
      <c r="J146" s="63" t="n"/>
      <c r="K146" s="67" t="n"/>
      <c r="L146" s="67" t="n"/>
      <c r="M146" s="67" t="n"/>
      <c r="N146" s="65" t="n"/>
      <c r="O146" s="64" t="n"/>
      <c r="P146" s="67" t="n"/>
      <c r="Q146" s="65" t="n"/>
      <c r="R146" s="65" t="n"/>
      <c r="S146" s="65" t="n"/>
      <c r="T146" s="71">
        <f>IF($D146="",0,IF(OR($G146="Published",$G146="Completed",$G146="Cancelled"),0,1))</f>
        <v>0</v>
      </c>
      <c r="U146" s="69" t="str">
        <f>IF($D146="","",IF(AND($T146=1,ISNUMBER($I146)),IF($I146&lt;ReportDate,ReportDate-$I146,0),0))</f>
        <v/>
      </c>
      <c r="V146" s="71" t="str">
        <f>IF($D146="","",IF(ISNUMBER($A146),IF(ISNUMBER($A146),YEAR($A146)&amp;"-"&amp;TEXT(MONTH($A146),"00"),""),IF(ISNUMBER($I146),IF(ISNUMBER($I146),YEAR($I146)&amp;"-"&amp;TEXT(MONTH($I146),"00"),""),IF(ISNUMBER($H146),IF(ISNUMBER($H146),YEAR($H146)&amp;"-"&amp;TEXT(MONTH($H146),"00"),""),""))))</f>
        <v/>
      </c>
      <c r="W146" s="71">
        <f>IF($D146="",0,IF(AND(OR(fClient="All",$B146=fClient),fCampaign="All",OR(fTeam="All",$E146=fTeam),OR(fChannel="All",$C146=fChannel,AND(fChannel="Content",OR($C146="Blog",$C146="Case Study",$C146="Whitepaper")),AND(fChannel="Webinar / Events",$C146="Webinar")),OR(fMonth="All",$V146=fMonth)),1,0))</f>
        <v>0</v>
      </c>
      <c r="X146" s="71">
        <f>IF($D146="",0,IF(AND(OR(fClient="All",$B146=fClient),fCampaign="All",OR(fTeam="All",$E146=fTeam),OR(fChannel="All",$C146=fChannel,AND(fChannel="Content",OR($C146="Blog",$C146="Case Study",$C146="Whitepaper")),AND(fChannel="Webinar / Events",$C146="Webinar"))),1,0))</f>
        <v>0</v>
      </c>
    </row>
    <row r="147">
      <c r="A147" s="63" t="n"/>
      <c r="B147" s="64" t="n"/>
      <c r="C147" s="64" t="n"/>
      <c r="D147" s="65" t="n"/>
      <c r="E147" s="64" t="n"/>
      <c r="F147" s="64" t="n"/>
      <c r="G147" s="64" t="n"/>
      <c r="H147" s="63" t="n"/>
      <c r="I147" s="63" t="n"/>
      <c r="J147" s="63" t="n"/>
      <c r="K147" s="67" t="n"/>
      <c r="L147" s="67" t="n"/>
      <c r="M147" s="67" t="n"/>
      <c r="N147" s="65" t="n"/>
      <c r="O147" s="64" t="n"/>
      <c r="P147" s="67" t="n"/>
      <c r="Q147" s="65" t="n"/>
      <c r="R147" s="65" t="n"/>
      <c r="S147" s="65" t="n"/>
      <c r="T147" s="71">
        <f>IF($D147="",0,IF(OR($G147="Published",$G147="Completed",$G147="Cancelled"),0,1))</f>
        <v>0</v>
      </c>
      <c r="U147" s="69" t="str">
        <f>IF($D147="","",IF(AND($T147=1,ISNUMBER($I147)),IF($I147&lt;ReportDate,ReportDate-$I147,0),0))</f>
        <v/>
      </c>
      <c r="V147" s="71" t="str">
        <f>IF($D147="","",IF(ISNUMBER($A147),IF(ISNUMBER($A147),YEAR($A147)&amp;"-"&amp;TEXT(MONTH($A147),"00"),""),IF(ISNUMBER($I147),IF(ISNUMBER($I147),YEAR($I147)&amp;"-"&amp;TEXT(MONTH($I147),"00"),""),IF(ISNUMBER($H147),IF(ISNUMBER($H147),YEAR($H147)&amp;"-"&amp;TEXT(MONTH($H147),"00"),""),""))))</f>
        <v/>
      </c>
      <c r="W147" s="71">
        <f>IF($D147="",0,IF(AND(OR(fClient="All",$B147=fClient),fCampaign="All",OR(fTeam="All",$E147=fTeam),OR(fChannel="All",$C147=fChannel,AND(fChannel="Content",OR($C147="Blog",$C147="Case Study",$C147="Whitepaper")),AND(fChannel="Webinar / Events",$C147="Webinar")),OR(fMonth="All",$V147=fMonth)),1,0))</f>
        <v>0</v>
      </c>
      <c r="X147" s="71">
        <f>IF($D147="",0,IF(AND(OR(fClient="All",$B147=fClient),fCampaign="All",OR(fTeam="All",$E147=fTeam),OR(fChannel="All",$C147=fChannel,AND(fChannel="Content",OR($C147="Blog",$C147="Case Study",$C147="Whitepaper")),AND(fChannel="Webinar / Events",$C147="Webinar"))),1,0))</f>
        <v>0</v>
      </c>
    </row>
    <row r="148">
      <c r="A148" s="63" t="n"/>
      <c r="B148" s="64" t="n"/>
      <c r="C148" s="64" t="n"/>
      <c r="D148" s="65" t="n"/>
      <c r="E148" s="64" t="n"/>
      <c r="F148" s="64" t="n"/>
      <c r="G148" s="64" t="n"/>
      <c r="H148" s="63" t="n"/>
      <c r="I148" s="63" t="n"/>
      <c r="J148" s="63" t="n"/>
      <c r="K148" s="67" t="n"/>
      <c r="L148" s="67" t="n"/>
      <c r="M148" s="67" t="n"/>
      <c r="N148" s="65" t="n"/>
      <c r="O148" s="64" t="n"/>
      <c r="P148" s="67" t="n"/>
      <c r="Q148" s="65" t="n"/>
      <c r="R148" s="65" t="n"/>
      <c r="S148" s="65" t="n"/>
      <c r="T148" s="71">
        <f>IF($D148="",0,IF(OR($G148="Published",$G148="Completed",$G148="Cancelled"),0,1))</f>
        <v>0</v>
      </c>
      <c r="U148" s="69" t="str">
        <f>IF($D148="","",IF(AND($T148=1,ISNUMBER($I148)),IF($I148&lt;ReportDate,ReportDate-$I148,0),0))</f>
        <v/>
      </c>
      <c r="V148" s="71" t="str">
        <f>IF($D148="","",IF(ISNUMBER($A148),IF(ISNUMBER($A148),YEAR($A148)&amp;"-"&amp;TEXT(MONTH($A148),"00"),""),IF(ISNUMBER($I148),IF(ISNUMBER($I148),YEAR($I148)&amp;"-"&amp;TEXT(MONTH($I148),"00"),""),IF(ISNUMBER($H148),IF(ISNUMBER($H148),YEAR($H148)&amp;"-"&amp;TEXT(MONTH($H148),"00"),""),""))))</f>
        <v/>
      </c>
      <c r="W148" s="71">
        <f>IF($D148="",0,IF(AND(OR(fClient="All",$B148=fClient),fCampaign="All",OR(fTeam="All",$E148=fTeam),OR(fChannel="All",$C148=fChannel,AND(fChannel="Content",OR($C148="Blog",$C148="Case Study",$C148="Whitepaper")),AND(fChannel="Webinar / Events",$C148="Webinar")),OR(fMonth="All",$V148=fMonth)),1,0))</f>
        <v>0</v>
      </c>
      <c r="X148" s="71">
        <f>IF($D148="",0,IF(AND(OR(fClient="All",$B148=fClient),fCampaign="All",OR(fTeam="All",$E148=fTeam),OR(fChannel="All",$C148=fChannel,AND(fChannel="Content",OR($C148="Blog",$C148="Case Study",$C148="Whitepaper")),AND(fChannel="Webinar / Events",$C148="Webinar"))),1,0))</f>
        <v>0</v>
      </c>
    </row>
    <row r="149">
      <c r="A149" s="63" t="n"/>
      <c r="B149" s="64" t="n"/>
      <c r="C149" s="64" t="n"/>
      <c r="D149" s="65" t="n"/>
      <c r="E149" s="64" t="n"/>
      <c r="F149" s="64" t="n"/>
      <c r="G149" s="64" t="n"/>
      <c r="H149" s="63" t="n"/>
      <c r="I149" s="63" t="n"/>
      <c r="J149" s="63" t="n"/>
      <c r="K149" s="67" t="n"/>
      <c r="L149" s="67" t="n"/>
      <c r="M149" s="67" t="n"/>
      <c r="N149" s="65" t="n"/>
      <c r="O149" s="64" t="n"/>
      <c r="P149" s="67" t="n"/>
      <c r="Q149" s="65" t="n"/>
      <c r="R149" s="65" t="n"/>
      <c r="S149" s="65" t="n"/>
      <c r="T149" s="71">
        <f>IF($D149="",0,IF(OR($G149="Published",$G149="Completed",$G149="Cancelled"),0,1))</f>
        <v>0</v>
      </c>
      <c r="U149" s="69" t="str">
        <f>IF($D149="","",IF(AND($T149=1,ISNUMBER($I149)),IF($I149&lt;ReportDate,ReportDate-$I149,0),0))</f>
        <v/>
      </c>
      <c r="V149" s="71" t="str">
        <f>IF($D149="","",IF(ISNUMBER($A149),IF(ISNUMBER($A149),YEAR($A149)&amp;"-"&amp;TEXT(MONTH($A149),"00"),""),IF(ISNUMBER($I149),IF(ISNUMBER($I149),YEAR($I149)&amp;"-"&amp;TEXT(MONTH($I149),"00"),""),IF(ISNUMBER($H149),IF(ISNUMBER($H149),YEAR($H149)&amp;"-"&amp;TEXT(MONTH($H149),"00"),""),""))))</f>
        <v/>
      </c>
      <c r="W149" s="71">
        <f>IF($D149="",0,IF(AND(OR(fClient="All",$B149=fClient),fCampaign="All",OR(fTeam="All",$E149=fTeam),OR(fChannel="All",$C149=fChannel,AND(fChannel="Content",OR($C149="Blog",$C149="Case Study",$C149="Whitepaper")),AND(fChannel="Webinar / Events",$C149="Webinar")),OR(fMonth="All",$V149=fMonth)),1,0))</f>
        <v>0</v>
      </c>
      <c r="X149" s="71">
        <f>IF($D149="",0,IF(AND(OR(fClient="All",$B149=fClient),fCampaign="All",OR(fTeam="All",$E149=fTeam),OR(fChannel="All",$C149=fChannel,AND(fChannel="Content",OR($C149="Blog",$C149="Case Study",$C149="Whitepaper")),AND(fChannel="Webinar / Events",$C149="Webinar"))),1,0))</f>
        <v>0</v>
      </c>
    </row>
    <row r="150">
      <c r="A150" s="63" t="n"/>
      <c r="B150" s="64" t="n"/>
      <c r="C150" s="64" t="n"/>
      <c r="D150" s="65" t="n"/>
      <c r="E150" s="64" t="n"/>
      <c r="F150" s="64" t="n"/>
      <c r="G150" s="64" t="n"/>
      <c r="H150" s="63" t="n"/>
      <c r="I150" s="63" t="n"/>
      <c r="J150" s="63" t="n"/>
      <c r="K150" s="67" t="n"/>
      <c r="L150" s="67" t="n"/>
      <c r="M150" s="67" t="n"/>
      <c r="N150" s="65" t="n"/>
      <c r="O150" s="64" t="n"/>
      <c r="P150" s="67" t="n"/>
      <c r="Q150" s="65" t="n"/>
      <c r="R150" s="65" t="n"/>
      <c r="S150" s="65" t="n"/>
      <c r="T150" s="71">
        <f>IF($D150="",0,IF(OR($G150="Published",$G150="Completed",$G150="Cancelled"),0,1))</f>
        <v>0</v>
      </c>
      <c r="U150" s="69" t="str">
        <f>IF($D150="","",IF(AND($T150=1,ISNUMBER($I150)),IF($I150&lt;ReportDate,ReportDate-$I150,0),0))</f>
        <v/>
      </c>
      <c r="V150" s="71" t="str">
        <f>IF($D150="","",IF(ISNUMBER($A150),IF(ISNUMBER($A150),YEAR($A150)&amp;"-"&amp;TEXT(MONTH($A150),"00"),""),IF(ISNUMBER($I150),IF(ISNUMBER($I150),YEAR($I150)&amp;"-"&amp;TEXT(MONTH($I150),"00"),""),IF(ISNUMBER($H150),IF(ISNUMBER($H150),YEAR($H150)&amp;"-"&amp;TEXT(MONTH($H150),"00"),""),""))))</f>
        <v/>
      </c>
      <c r="W150" s="71">
        <f>IF($D150="",0,IF(AND(OR(fClient="All",$B150=fClient),fCampaign="All",OR(fTeam="All",$E150=fTeam),OR(fChannel="All",$C150=fChannel,AND(fChannel="Content",OR($C150="Blog",$C150="Case Study",$C150="Whitepaper")),AND(fChannel="Webinar / Events",$C150="Webinar")),OR(fMonth="All",$V150=fMonth)),1,0))</f>
        <v>0</v>
      </c>
      <c r="X150" s="71">
        <f>IF($D150="",0,IF(AND(OR(fClient="All",$B150=fClient),fCampaign="All",OR(fTeam="All",$E150=fTeam),OR(fChannel="All",$C150=fChannel,AND(fChannel="Content",OR($C150="Blog",$C150="Case Study",$C150="Whitepaper")),AND(fChannel="Webinar / Events",$C150="Webinar"))),1,0))</f>
        <v>0</v>
      </c>
    </row>
    <row r="151">
      <c r="A151" s="63" t="n"/>
      <c r="B151" s="64" t="n"/>
      <c r="C151" s="64" t="n"/>
      <c r="D151" s="65" t="n"/>
      <c r="E151" s="64" t="n"/>
      <c r="F151" s="64" t="n"/>
      <c r="G151" s="64" t="n"/>
      <c r="H151" s="63" t="n"/>
      <c r="I151" s="63" t="n"/>
      <c r="J151" s="63" t="n"/>
      <c r="K151" s="67" t="n"/>
      <c r="L151" s="67" t="n"/>
      <c r="M151" s="67" t="n"/>
      <c r="N151" s="65" t="n"/>
      <c r="O151" s="64" t="n"/>
      <c r="P151" s="67" t="n"/>
      <c r="Q151" s="65" t="n"/>
      <c r="R151" s="65" t="n"/>
      <c r="S151" s="65" t="n"/>
      <c r="T151" s="71">
        <f>IF($D151="",0,IF(OR($G151="Published",$G151="Completed",$G151="Cancelled"),0,1))</f>
        <v>0</v>
      </c>
      <c r="U151" s="69" t="str">
        <f>IF($D151="","",IF(AND($T151=1,ISNUMBER($I151)),IF($I151&lt;ReportDate,ReportDate-$I151,0),0))</f>
        <v/>
      </c>
      <c r="V151" s="71" t="str">
        <f>IF($D151="","",IF(ISNUMBER($A151),IF(ISNUMBER($A151),YEAR($A151)&amp;"-"&amp;TEXT(MONTH($A151),"00"),""),IF(ISNUMBER($I151),IF(ISNUMBER($I151),YEAR($I151)&amp;"-"&amp;TEXT(MONTH($I151),"00"),""),IF(ISNUMBER($H151),IF(ISNUMBER($H151),YEAR($H151)&amp;"-"&amp;TEXT(MONTH($H151),"00"),""),""))))</f>
        <v/>
      </c>
      <c r="W151" s="71">
        <f>IF($D151="",0,IF(AND(OR(fClient="All",$B151=fClient),fCampaign="All",OR(fTeam="All",$E151=fTeam),OR(fChannel="All",$C151=fChannel,AND(fChannel="Content",OR($C151="Blog",$C151="Case Study",$C151="Whitepaper")),AND(fChannel="Webinar / Events",$C151="Webinar")),OR(fMonth="All",$V151=fMonth)),1,0))</f>
        <v>0</v>
      </c>
      <c r="X151" s="71">
        <f>IF($D151="",0,IF(AND(OR(fClient="All",$B151=fClient),fCampaign="All",OR(fTeam="All",$E151=fTeam),OR(fChannel="All",$C151=fChannel,AND(fChannel="Content",OR($C151="Blog",$C151="Case Study",$C151="Whitepaper")),AND(fChannel="Webinar / Events",$C151="Webinar"))),1,0))</f>
        <v>0</v>
      </c>
    </row>
    <row r="152">
      <c r="A152" s="63" t="n"/>
      <c r="B152" s="64" t="n"/>
      <c r="C152" s="64" t="n"/>
      <c r="D152" s="65" t="n"/>
      <c r="E152" s="64" t="n"/>
      <c r="F152" s="64" t="n"/>
      <c r="G152" s="64" t="n"/>
      <c r="H152" s="63" t="n"/>
      <c r="I152" s="63" t="n"/>
      <c r="J152" s="63" t="n"/>
      <c r="K152" s="67" t="n"/>
      <c r="L152" s="67" t="n"/>
      <c r="M152" s="67" t="n"/>
      <c r="N152" s="65" t="n"/>
      <c r="O152" s="64" t="n"/>
      <c r="P152" s="67" t="n"/>
      <c r="Q152" s="65" t="n"/>
      <c r="R152" s="65" t="n"/>
      <c r="S152" s="65" t="n"/>
      <c r="T152" s="71">
        <f>IF($D152="",0,IF(OR($G152="Published",$G152="Completed",$G152="Cancelled"),0,1))</f>
        <v>0</v>
      </c>
      <c r="U152" s="69" t="str">
        <f>IF($D152="","",IF(AND($T152=1,ISNUMBER($I152)),IF($I152&lt;ReportDate,ReportDate-$I152,0),0))</f>
        <v/>
      </c>
      <c r="V152" s="71" t="str">
        <f>IF($D152="","",IF(ISNUMBER($A152),IF(ISNUMBER($A152),YEAR($A152)&amp;"-"&amp;TEXT(MONTH($A152),"00"),""),IF(ISNUMBER($I152),IF(ISNUMBER($I152),YEAR($I152)&amp;"-"&amp;TEXT(MONTH($I152),"00"),""),IF(ISNUMBER($H152),IF(ISNUMBER($H152),YEAR($H152)&amp;"-"&amp;TEXT(MONTH($H152),"00"),""),""))))</f>
        <v/>
      </c>
      <c r="W152" s="71">
        <f>IF($D152="",0,IF(AND(OR(fClient="All",$B152=fClient),fCampaign="All",OR(fTeam="All",$E152=fTeam),OR(fChannel="All",$C152=fChannel,AND(fChannel="Content",OR($C152="Blog",$C152="Case Study",$C152="Whitepaper")),AND(fChannel="Webinar / Events",$C152="Webinar")),OR(fMonth="All",$V152=fMonth)),1,0))</f>
        <v>0</v>
      </c>
      <c r="X152" s="71">
        <f>IF($D152="",0,IF(AND(OR(fClient="All",$B152=fClient),fCampaign="All",OR(fTeam="All",$E152=fTeam),OR(fChannel="All",$C152=fChannel,AND(fChannel="Content",OR($C152="Blog",$C152="Case Study",$C152="Whitepaper")),AND(fChannel="Webinar / Events",$C152="Webinar"))),1,0))</f>
        <v>0</v>
      </c>
    </row>
    <row r="153">
      <c r="A153" s="63" t="n"/>
      <c r="B153" s="64" t="n"/>
      <c r="C153" s="64" t="n"/>
      <c r="D153" s="65" t="n"/>
      <c r="E153" s="64" t="n"/>
      <c r="F153" s="64" t="n"/>
      <c r="G153" s="64" t="n"/>
      <c r="H153" s="63" t="n"/>
      <c r="I153" s="63" t="n"/>
      <c r="J153" s="63" t="n"/>
      <c r="K153" s="67" t="n"/>
      <c r="L153" s="67" t="n"/>
      <c r="M153" s="67" t="n"/>
      <c r="N153" s="65" t="n"/>
      <c r="O153" s="64" t="n"/>
      <c r="P153" s="67" t="n"/>
      <c r="Q153" s="65" t="n"/>
      <c r="R153" s="65" t="n"/>
      <c r="S153" s="65" t="n"/>
      <c r="T153" s="71">
        <f>IF($D153="",0,IF(OR($G153="Published",$G153="Completed",$G153="Cancelled"),0,1))</f>
        <v>0</v>
      </c>
      <c r="U153" s="69" t="str">
        <f>IF($D153="","",IF(AND($T153=1,ISNUMBER($I153)),IF($I153&lt;ReportDate,ReportDate-$I153,0),0))</f>
        <v/>
      </c>
      <c r="V153" s="71" t="str">
        <f>IF($D153="","",IF(ISNUMBER($A153),IF(ISNUMBER($A153),YEAR($A153)&amp;"-"&amp;TEXT(MONTH($A153),"00"),""),IF(ISNUMBER($I153),IF(ISNUMBER($I153),YEAR($I153)&amp;"-"&amp;TEXT(MONTH($I153),"00"),""),IF(ISNUMBER($H153),IF(ISNUMBER($H153),YEAR($H153)&amp;"-"&amp;TEXT(MONTH($H153),"00"),""),""))))</f>
        <v/>
      </c>
      <c r="W153" s="71">
        <f>IF($D153="",0,IF(AND(OR(fClient="All",$B153=fClient),fCampaign="All",OR(fTeam="All",$E153=fTeam),OR(fChannel="All",$C153=fChannel,AND(fChannel="Content",OR($C153="Blog",$C153="Case Study",$C153="Whitepaper")),AND(fChannel="Webinar / Events",$C153="Webinar")),OR(fMonth="All",$V153=fMonth)),1,0))</f>
        <v>0</v>
      </c>
      <c r="X153" s="71">
        <f>IF($D153="",0,IF(AND(OR(fClient="All",$B153=fClient),fCampaign="All",OR(fTeam="All",$E153=fTeam),OR(fChannel="All",$C153=fChannel,AND(fChannel="Content",OR($C153="Blog",$C153="Case Study",$C153="Whitepaper")),AND(fChannel="Webinar / Events",$C153="Webinar"))),1,0))</f>
        <v>0</v>
      </c>
    </row>
    <row r="154">
      <c r="A154" s="63" t="n"/>
      <c r="B154" s="64" t="n"/>
      <c r="C154" s="64" t="n"/>
      <c r="D154" s="65" t="n"/>
      <c r="E154" s="64" t="n"/>
      <c r="F154" s="64" t="n"/>
      <c r="G154" s="64" t="n"/>
      <c r="H154" s="63" t="n"/>
      <c r="I154" s="63" t="n"/>
      <c r="J154" s="63" t="n"/>
      <c r="K154" s="67" t="n"/>
      <c r="L154" s="67" t="n"/>
      <c r="M154" s="67" t="n"/>
      <c r="N154" s="65" t="n"/>
      <c r="O154" s="64" t="n"/>
      <c r="P154" s="67" t="n"/>
      <c r="Q154" s="65" t="n"/>
      <c r="R154" s="65" t="n"/>
      <c r="S154" s="65" t="n"/>
      <c r="T154" s="71">
        <f>IF($D154="",0,IF(OR($G154="Published",$G154="Completed",$G154="Cancelled"),0,1))</f>
        <v>0</v>
      </c>
      <c r="U154" s="69" t="str">
        <f>IF($D154="","",IF(AND($T154=1,ISNUMBER($I154)),IF($I154&lt;ReportDate,ReportDate-$I154,0),0))</f>
        <v/>
      </c>
      <c r="V154" s="71" t="str">
        <f>IF($D154="","",IF(ISNUMBER($A154),IF(ISNUMBER($A154),YEAR($A154)&amp;"-"&amp;TEXT(MONTH($A154),"00"),""),IF(ISNUMBER($I154),IF(ISNUMBER($I154),YEAR($I154)&amp;"-"&amp;TEXT(MONTH($I154),"00"),""),IF(ISNUMBER($H154),IF(ISNUMBER($H154),YEAR($H154)&amp;"-"&amp;TEXT(MONTH($H154),"00"),""),""))))</f>
        <v/>
      </c>
      <c r="W154" s="71">
        <f>IF($D154="",0,IF(AND(OR(fClient="All",$B154=fClient),fCampaign="All",OR(fTeam="All",$E154=fTeam),OR(fChannel="All",$C154=fChannel,AND(fChannel="Content",OR($C154="Blog",$C154="Case Study",$C154="Whitepaper")),AND(fChannel="Webinar / Events",$C154="Webinar")),OR(fMonth="All",$V154=fMonth)),1,0))</f>
        <v>0</v>
      </c>
      <c r="X154" s="71">
        <f>IF($D154="",0,IF(AND(OR(fClient="All",$B154=fClient),fCampaign="All",OR(fTeam="All",$E154=fTeam),OR(fChannel="All",$C154=fChannel,AND(fChannel="Content",OR($C154="Blog",$C154="Case Study",$C154="Whitepaper")),AND(fChannel="Webinar / Events",$C154="Webinar"))),1,0))</f>
        <v>0</v>
      </c>
    </row>
    <row r="155">
      <c r="A155" s="63" t="n"/>
      <c r="B155" s="64" t="n"/>
      <c r="C155" s="64" t="n"/>
      <c r="D155" s="65" t="n"/>
      <c r="E155" s="64" t="n"/>
      <c r="F155" s="64" t="n"/>
      <c r="G155" s="64" t="n"/>
      <c r="H155" s="63" t="n"/>
      <c r="I155" s="63" t="n"/>
      <c r="J155" s="63" t="n"/>
      <c r="K155" s="67" t="n"/>
      <c r="L155" s="67" t="n"/>
      <c r="M155" s="67" t="n"/>
      <c r="N155" s="65" t="n"/>
      <c r="O155" s="64" t="n"/>
      <c r="P155" s="67" t="n"/>
      <c r="Q155" s="65" t="n"/>
      <c r="R155" s="65" t="n"/>
      <c r="S155" s="65" t="n"/>
      <c r="T155" s="71">
        <f>IF($D155="",0,IF(OR($G155="Published",$G155="Completed",$G155="Cancelled"),0,1))</f>
        <v>0</v>
      </c>
      <c r="U155" s="69" t="str">
        <f>IF($D155="","",IF(AND($T155=1,ISNUMBER($I155)),IF($I155&lt;ReportDate,ReportDate-$I155,0),0))</f>
        <v/>
      </c>
      <c r="V155" s="71" t="str">
        <f>IF($D155="","",IF(ISNUMBER($A155),IF(ISNUMBER($A155),YEAR($A155)&amp;"-"&amp;TEXT(MONTH($A155),"00"),""),IF(ISNUMBER($I155),IF(ISNUMBER($I155),YEAR($I155)&amp;"-"&amp;TEXT(MONTH($I155),"00"),""),IF(ISNUMBER($H155),IF(ISNUMBER($H155),YEAR($H155)&amp;"-"&amp;TEXT(MONTH($H155),"00"),""),""))))</f>
        <v/>
      </c>
      <c r="W155" s="71">
        <f>IF($D155="",0,IF(AND(OR(fClient="All",$B155=fClient),fCampaign="All",OR(fTeam="All",$E155=fTeam),OR(fChannel="All",$C155=fChannel,AND(fChannel="Content",OR($C155="Blog",$C155="Case Study",$C155="Whitepaper")),AND(fChannel="Webinar / Events",$C155="Webinar")),OR(fMonth="All",$V155=fMonth)),1,0))</f>
        <v>0</v>
      </c>
      <c r="X155" s="71">
        <f>IF($D155="",0,IF(AND(OR(fClient="All",$B155=fClient),fCampaign="All",OR(fTeam="All",$E155=fTeam),OR(fChannel="All",$C155=fChannel,AND(fChannel="Content",OR($C155="Blog",$C155="Case Study",$C155="Whitepaper")),AND(fChannel="Webinar / Events",$C155="Webinar"))),1,0))</f>
        <v>0</v>
      </c>
    </row>
    <row r="156">
      <c r="A156" s="63" t="n"/>
      <c r="B156" s="64" t="n"/>
      <c r="C156" s="64" t="n"/>
      <c r="D156" s="65" t="n"/>
      <c r="E156" s="64" t="n"/>
      <c r="F156" s="64" t="n"/>
      <c r="G156" s="64" t="n"/>
      <c r="H156" s="63" t="n"/>
      <c r="I156" s="63" t="n"/>
      <c r="J156" s="63" t="n"/>
      <c r="K156" s="67" t="n"/>
      <c r="L156" s="67" t="n"/>
      <c r="M156" s="67" t="n"/>
      <c r="N156" s="65" t="n"/>
      <c r="O156" s="64" t="n"/>
      <c r="P156" s="67" t="n"/>
      <c r="Q156" s="65" t="n"/>
      <c r="R156" s="65" t="n"/>
      <c r="S156" s="65" t="n"/>
      <c r="T156" s="71">
        <f>IF($D156="",0,IF(OR($G156="Published",$G156="Completed",$G156="Cancelled"),0,1))</f>
        <v>0</v>
      </c>
      <c r="U156" s="69" t="str">
        <f>IF($D156="","",IF(AND($T156=1,ISNUMBER($I156)),IF($I156&lt;ReportDate,ReportDate-$I156,0),0))</f>
        <v/>
      </c>
      <c r="V156" s="71" t="str">
        <f>IF($D156="","",IF(ISNUMBER($A156),IF(ISNUMBER($A156),YEAR($A156)&amp;"-"&amp;TEXT(MONTH($A156),"00"),""),IF(ISNUMBER($I156),IF(ISNUMBER($I156),YEAR($I156)&amp;"-"&amp;TEXT(MONTH($I156),"00"),""),IF(ISNUMBER($H156),IF(ISNUMBER($H156),YEAR($H156)&amp;"-"&amp;TEXT(MONTH($H156),"00"),""),""))))</f>
        <v/>
      </c>
      <c r="W156" s="71">
        <f>IF($D156="",0,IF(AND(OR(fClient="All",$B156=fClient),fCampaign="All",OR(fTeam="All",$E156=fTeam),OR(fChannel="All",$C156=fChannel,AND(fChannel="Content",OR($C156="Blog",$C156="Case Study",$C156="Whitepaper")),AND(fChannel="Webinar / Events",$C156="Webinar")),OR(fMonth="All",$V156=fMonth)),1,0))</f>
        <v>0</v>
      </c>
      <c r="X156" s="71">
        <f>IF($D156="",0,IF(AND(OR(fClient="All",$B156=fClient),fCampaign="All",OR(fTeam="All",$E156=fTeam),OR(fChannel="All",$C156=fChannel,AND(fChannel="Content",OR($C156="Blog",$C156="Case Study",$C156="Whitepaper")),AND(fChannel="Webinar / Events",$C156="Webinar"))),1,0))</f>
        <v>0</v>
      </c>
    </row>
    <row r="157">
      <c r="A157" s="63" t="n"/>
      <c r="B157" s="64" t="n"/>
      <c r="C157" s="64" t="n"/>
      <c r="D157" s="65" t="n"/>
      <c r="E157" s="64" t="n"/>
      <c r="F157" s="64" t="n"/>
      <c r="G157" s="64" t="n"/>
      <c r="H157" s="63" t="n"/>
      <c r="I157" s="63" t="n"/>
      <c r="J157" s="63" t="n"/>
      <c r="K157" s="67" t="n"/>
      <c r="L157" s="67" t="n"/>
      <c r="M157" s="67" t="n"/>
      <c r="N157" s="65" t="n"/>
      <c r="O157" s="64" t="n"/>
      <c r="P157" s="67" t="n"/>
      <c r="Q157" s="65" t="n"/>
      <c r="R157" s="65" t="n"/>
      <c r="S157" s="65" t="n"/>
      <c r="T157" s="71">
        <f>IF($D157="",0,IF(OR($G157="Published",$G157="Completed",$G157="Cancelled"),0,1))</f>
        <v>0</v>
      </c>
      <c r="U157" s="69" t="str">
        <f>IF($D157="","",IF(AND($T157=1,ISNUMBER($I157)),IF($I157&lt;ReportDate,ReportDate-$I157,0),0))</f>
        <v/>
      </c>
      <c r="V157" s="71" t="str">
        <f>IF($D157="","",IF(ISNUMBER($A157),IF(ISNUMBER($A157),YEAR($A157)&amp;"-"&amp;TEXT(MONTH($A157),"00"),""),IF(ISNUMBER($I157),IF(ISNUMBER($I157),YEAR($I157)&amp;"-"&amp;TEXT(MONTH($I157),"00"),""),IF(ISNUMBER($H157),IF(ISNUMBER($H157),YEAR($H157)&amp;"-"&amp;TEXT(MONTH($H157),"00"),""),""))))</f>
        <v/>
      </c>
      <c r="W157" s="71">
        <f>IF($D157="",0,IF(AND(OR(fClient="All",$B157=fClient),fCampaign="All",OR(fTeam="All",$E157=fTeam),OR(fChannel="All",$C157=fChannel,AND(fChannel="Content",OR($C157="Blog",$C157="Case Study",$C157="Whitepaper")),AND(fChannel="Webinar / Events",$C157="Webinar")),OR(fMonth="All",$V157=fMonth)),1,0))</f>
        <v>0</v>
      </c>
      <c r="X157" s="71">
        <f>IF($D157="",0,IF(AND(OR(fClient="All",$B157=fClient),fCampaign="All",OR(fTeam="All",$E157=fTeam),OR(fChannel="All",$C157=fChannel,AND(fChannel="Content",OR($C157="Blog",$C157="Case Study",$C157="Whitepaper")),AND(fChannel="Webinar / Events",$C157="Webinar"))),1,0))</f>
        <v>0</v>
      </c>
    </row>
    <row r="158">
      <c r="A158" s="63" t="n"/>
      <c r="B158" s="64" t="n"/>
      <c r="C158" s="64" t="n"/>
      <c r="D158" s="65" t="n"/>
      <c r="E158" s="64" t="n"/>
      <c r="F158" s="64" t="n"/>
      <c r="G158" s="64" t="n"/>
      <c r="H158" s="63" t="n"/>
      <c r="I158" s="63" t="n"/>
      <c r="J158" s="63" t="n"/>
      <c r="K158" s="67" t="n"/>
      <c r="L158" s="67" t="n"/>
      <c r="M158" s="67" t="n"/>
      <c r="N158" s="65" t="n"/>
      <c r="O158" s="64" t="n"/>
      <c r="P158" s="67" t="n"/>
      <c r="Q158" s="65" t="n"/>
      <c r="R158" s="65" t="n"/>
      <c r="S158" s="65" t="n"/>
      <c r="T158" s="71">
        <f>IF($D158="",0,IF(OR($G158="Published",$G158="Completed",$G158="Cancelled"),0,1))</f>
        <v>0</v>
      </c>
      <c r="U158" s="69" t="str">
        <f>IF($D158="","",IF(AND($T158=1,ISNUMBER($I158)),IF($I158&lt;ReportDate,ReportDate-$I158,0),0))</f>
        <v/>
      </c>
      <c r="V158" s="71" t="str">
        <f>IF($D158="","",IF(ISNUMBER($A158),IF(ISNUMBER($A158),YEAR($A158)&amp;"-"&amp;TEXT(MONTH($A158),"00"),""),IF(ISNUMBER($I158),IF(ISNUMBER($I158),YEAR($I158)&amp;"-"&amp;TEXT(MONTH($I158),"00"),""),IF(ISNUMBER($H158),IF(ISNUMBER($H158),YEAR($H158)&amp;"-"&amp;TEXT(MONTH($H158),"00"),""),""))))</f>
        <v/>
      </c>
      <c r="W158" s="71">
        <f>IF($D158="",0,IF(AND(OR(fClient="All",$B158=fClient),fCampaign="All",OR(fTeam="All",$E158=fTeam),OR(fChannel="All",$C158=fChannel,AND(fChannel="Content",OR($C158="Blog",$C158="Case Study",$C158="Whitepaper")),AND(fChannel="Webinar / Events",$C158="Webinar")),OR(fMonth="All",$V158=fMonth)),1,0))</f>
        <v>0</v>
      </c>
      <c r="X158" s="71">
        <f>IF($D158="",0,IF(AND(OR(fClient="All",$B158=fClient),fCampaign="All",OR(fTeam="All",$E158=fTeam),OR(fChannel="All",$C158=fChannel,AND(fChannel="Content",OR($C158="Blog",$C158="Case Study",$C158="Whitepaper")),AND(fChannel="Webinar / Events",$C158="Webinar"))),1,0))</f>
        <v>0</v>
      </c>
    </row>
    <row r="159">
      <c r="A159" s="63" t="n"/>
      <c r="B159" s="64" t="n"/>
      <c r="C159" s="64" t="n"/>
      <c r="D159" s="65" t="n"/>
      <c r="E159" s="64" t="n"/>
      <c r="F159" s="64" t="n"/>
      <c r="G159" s="64" t="n"/>
      <c r="H159" s="63" t="n"/>
      <c r="I159" s="63" t="n"/>
      <c r="J159" s="63" t="n"/>
      <c r="K159" s="67" t="n"/>
      <c r="L159" s="67" t="n"/>
      <c r="M159" s="67" t="n"/>
      <c r="N159" s="65" t="n"/>
      <c r="O159" s="64" t="n"/>
      <c r="P159" s="67" t="n"/>
      <c r="Q159" s="65" t="n"/>
      <c r="R159" s="65" t="n"/>
      <c r="S159" s="65" t="n"/>
      <c r="T159" s="71">
        <f>IF($D159="",0,IF(OR($G159="Published",$G159="Completed",$G159="Cancelled"),0,1))</f>
        <v>0</v>
      </c>
      <c r="U159" s="69" t="str">
        <f>IF($D159="","",IF(AND($T159=1,ISNUMBER($I159)),IF($I159&lt;ReportDate,ReportDate-$I159,0),0))</f>
        <v/>
      </c>
      <c r="V159" s="71" t="str">
        <f>IF($D159="","",IF(ISNUMBER($A159),IF(ISNUMBER($A159),YEAR($A159)&amp;"-"&amp;TEXT(MONTH($A159),"00"),""),IF(ISNUMBER($I159),IF(ISNUMBER($I159),YEAR($I159)&amp;"-"&amp;TEXT(MONTH($I159),"00"),""),IF(ISNUMBER($H159),IF(ISNUMBER($H159),YEAR($H159)&amp;"-"&amp;TEXT(MONTH($H159),"00"),""),""))))</f>
        <v/>
      </c>
      <c r="W159" s="71">
        <f>IF($D159="",0,IF(AND(OR(fClient="All",$B159=fClient),fCampaign="All",OR(fTeam="All",$E159=fTeam),OR(fChannel="All",$C159=fChannel,AND(fChannel="Content",OR($C159="Blog",$C159="Case Study",$C159="Whitepaper")),AND(fChannel="Webinar / Events",$C159="Webinar")),OR(fMonth="All",$V159=fMonth)),1,0))</f>
        <v>0</v>
      </c>
      <c r="X159" s="71">
        <f>IF($D159="",0,IF(AND(OR(fClient="All",$B159=fClient),fCampaign="All",OR(fTeam="All",$E159=fTeam),OR(fChannel="All",$C159=fChannel,AND(fChannel="Content",OR($C159="Blog",$C159="Case Study",$C159="Whitepaper")),AND(fChannel="Webinar / Events",$C159="Webinar"))),1,0))</f>
        <v>0</v>
      </c>
    </row>
    <row r="160">
      <c r="A160" s="63" t="n"/>
      <c r="B160" s="64" t="n"/>
      <c r="C160" s="64" t="n"/>
      <c r="D160" s="65" t="n"/>
      <c r="E160" s="64" t="n"/>
      <c r="F160" s="64" t="n"/>
      <c r="G160" s="64" t="n"/>
      <c r="H160" s="63" t="n"/>
      <c r="I160" s="63" t="n"/>
      <c r="J160" s="63" t="n"/>
      <c r="K160" s="67" t="n"/>
      <c r="L160" s="67" t="n"/>
      <c r="M160" s="67" t="n"/>
      <c r="N160" s="65" t="n"/>
      <c r="O160" s="64" t="n"/>
      <c r="P160" s="67" t="n"/>
      <c r="Q160" s="65" t="n"/>
      <c r="R160" s="65" t="n"/>
      <c r="S160" s="65" t="n"/>
      <c r="T160" s="71">
        <f>IF($D160="",0,IF(OR($G160="Published",$G160="Completed",$G160="Cancelled"),0,1))</f>
        <v>0</v>
      </c>
      <c r="U160" s="69" t="str">
        <f>IF($D160="","",IF(AND($T160=1,ISNUMBER($I160)),IF($I160&lt;ReportDate,ReportDate-$I160,0),0))</f>
        <v/>
      </c>
      <c r="V160" s="71" t="str">
        <f>IF($D160="","",IF(ISNUMBER($A160),IF(ISNUMBER($A160),YEAR($A160)&amp;"-"&amp;TEXT(MONTH($A160),"00"),""),IF(ISNUMBER($I160),IF(ISNUMBER($I160),YEAR($I160)&amp;"-"&amp;TEXT(MONTH($I160),"00"),""),IF(ISNUMBER($H160),IF(ISNUMBER($H160),YEAR($H160)&amp;"-"&amp;TEXT(MONTH($H160),"00"),""),""))))</f>
        <v/>
      </c>
      <c r="W160" s="71">
        <f>IF($D160="",0,IF(AND(OR(fClient="All",$B160=fClient),fCampaign="All",OR(fTeam="All",$E160=fTeam),OR(fChannel="All",$C160=fChannel,AND(fChannel="Content",OR($C160="Blog",$C160="Case Study",$C160="Whitepaper")),AND(fChannel="Webinar / Events",$C160="Webinar")),OR(fMonth="All",$V160=fMonth)),1,0))</f>
        <v>0</v>
      </c>
      <c r="X160" s="71">
        <f>IF($D160="",0,IF(AND(OR(fClient="All",$B160=fClient),fCampaign="All",OR(fTeam="All",$E160=fTeam),OR(fChannel="All",$C160=fChannel,AND(fChannel="Content",OR($C160="Blog",$C160="Case Study",$C160="Whitepaper")),AND(fChannel="Webinar / Events",$C160="Webinar"))),1,0))</f>
        <v>0</v>
      </c>
    </row>
    <row r="161">
      <c r="A161" s="63" t="n"/>
      <c r="B161" s="64" t="n"/>
      <c r="C161" s="64" t="n"/>
      <c r="D161" s="65" t="n"/>
      <c r="E161" s="64" t="n"/>
      <c r="F161" s="64" t="n"/>
      <c r="G161" s="64" t="n"/>
      <c r="H161" s="63" t="n"/>
      <c r="I161" s="63" t="n"/>
      <c r="J161" s="63" t="n"/>
      <c r="K161" s="67" t="n"/>
      <c r="L161" s="67" t="n"/>
      <c r="M161" s="67" t="n"/>
      <c r="N161" s="65" t="n"/>
      <c r="O161" s="64" t="n"/>
      <c r="P161" s="67" t="n"/>
      <c r="Q161" s="65" t="n"/>
      <c r="R161" s="65" t="n"/>
      <c r="S161" s="65" t="n"/>
      <c r="T161" s="71">
        <f>IF($D161="",0,IF(OR($G161="Published",$G161="Completed",$G161="Cancelled"),0,1))</f>
        <v>0</v>
      </c>
      <c r="U161" s="69" t="str">
        <f>IF($D161="","",IF(AND($T161=1,ISNUMBER($I161)),IF($I161&lt;ReportDate,ReportDate-$I161,0),0))</f>
        <v/>
      </c>
      <c r="V161" s="71" t="str">
        <f>IF($D161="","",IF(ISNUMBER($A161),IF(ISNUMBER($A161),YEAR($A161)&amp;"-"&amp;TEXT(MONTH($A161),"00"),""),IF(ISNUMBER($I161),IF(ISNUMBER($I161),YEAR($I161)&amp;"-"&amp;TEXT(MONTH($I161),"00"),""),IF(ISNUMBER($H161),IF(ISNUMBER($H161),YEAR($H161)&amp;"-"&amp;TEXT(MONTH($H161),"00"),""),""))))</f>
        <v/>
      </c>
      <c r="W161" s="71">
        <f>IF($D161="",0,IF(AND(OR(fClient="All",$B161=fClient),fCampaign="All",OR(fTeam="All",$E161=fTeam),OR(fChannel="All",$C161=fChannel,AND(fChannel="Content",OR($C161="Blog",$C161="Case Study",$C161="Whitepaper")),AND(fChannel="Webinar / Events",$C161="Webinar")),OR(fMonth="All",$V161=fMonth)),1,0))</f>
        <v>0</v>
      </c>
      <c r="X161" s="71">
        <f>IF($D161="",0,IF(AND(OR(fClient="All",$B161=fClient),fCampaign="All",OR(fTeam="All",$E161=fTeam),OR(fChannel="All",$C161=fChannel,AND(fChannel="Content",OR($C161="Blog",$C161="Case Study",$C161="Whitepaper")),AND(fChannel="Webinar / Events",$C161="Webinar"))),1,0))</f>
        <v>0</v>
      </c>
    </row>
    <row r="162">
      <c r="A162" s="63" t="n"/>
      <c r="B162" s="64" t="n"/>
      <c r="C162" s="64" t="n"/>
      <c r="D162" s="65" t="n"/>
      <c r="E162" s="64" t="n"/>
      <c r="F162" s="64" t="n"/>
      <c r="G162" s="64" t="n"/>
      <c r="H162" s="63" t="n"/>
      <c r="I162" s="63" t="n"/>
      <c r="J162" s="63" t="n"/>
      <c r="K162" s="67" t="n"/>
      <c r="L162" s="67" t="n"/>
      <c r="M162" s="67" t="n"/>
      <c r="N162" s="65" t="n"/>
      <c r="O162" s="64" t="n"/>
      <c r="P162" s="67" t="n"/>
      <c r="Q162" s="65" t="n"/>
      <c r="R162" s="65" t="n"/>
      <c r="S162" s="65" t="n"/>
      <c r="T162" s="71">
        <f>IF($D162="",0,IF(OR($G162="Published",$G162="Completed",$G162="Cancelled"),0,1))</f>
        <v>0</v>
      </c>
      <c r="U162" s="69" t="str">
        <f>IF($D162="","",IF(AND($T162=1,ISNUMBER($I162)),IF($I162&lt;ReportDate,ReportDate-$I162,0),0))</f>
        <v/>
      </c>
      <c r="V162" s="71" t="str">
        <f>IF($D162="","",IF(ISNUMBER($A162),IF(ISNUMBER($A162),YEAR($A162)&amp;"-"&amp;TEXT(MONTH($A162),"00"),""),IF(ISNUMBER($I162),IF(ISNUMBER($I162),YEAR($I162)&amp;"-"&amp;TEXT(MONTH($I162),"00"),""),IF(ISNUMBER($H162),IF(ISNUMBER($H162),YEAR($H162)&amp;"-"&amp;TEXT(MONTH($H162),"00"),""),""))))</f>
        <v/>
      </c>
      <c r="W162" s="71">
        <f>IF($D162="",0,IF(AND(OR(fClient="All",$B162=fClient),fCampaign="All",OR(fTeam="All",$E162=fTeam),OR(fChannel="All",$C162=fChannel,AND(fChannel="Content",OR($C162="Blog",$C162="Case Study",$C162="Whitepaper")),AND(fChannel="Webinar / Events",$C162="Webinar")),OR(fMonth="All",$V162=fMonth)),1,0))</f>
        <v>0</v>
      </c>
      <c r="X162" s="71">
        <f>IF($D162="",0,IF(AND(OR(fClient="All",$B162=fClient),fCampaign="All",OR(fTeam="All",$E162=fTeam),OR(fChannel="All",$C162=fChannel,AND(fChannel="Content",OR($C162="Blog",$C162="Case Study",$C162="Whitepaper")),AND(fChannel="Webinar / Events",$C162="Webinar"))),1,0))</f>
        <v>0</v>
      </c>
    </row>
    <row r="163">
      <c r="A163" s="63" t="n"/>
      <c r="B163" s="64" t="n"/>
      <c r="C163" s="64" t="n"/>
      <c r="D163" s="65" t="n"/>
      <c r="E163" s="64" t="n"/>
      <c r="F163" s="64" t="n"/>
      <c r="G163" s="64" t="n"/>
      <c r="H163" s="63" t="n"/>
      <c r="I163" s="63" t="n"/>
      <c r="J163" s="63" t="n"/>
      <c r="K163" s="67" t="n"/>
      <c r="L163" s="67" t="n"/>
      <c r="M163" s="67" t="n"/>
      <c r="N163" s="65" t="n"/>
      <c r="O163" s="64" t="n"/>
      <c r="P163" s="67" t="n"/>
      <c r="Q163" s="65" t="n"/>
      <c r="R163" s="65" t="n"/>
      <c r="S163" s="65" t="n"/>
      <c r="T163" s="71">
        <f>IF($D163="",0,IF(OR($G163="Published",$G163="Completed",$G163="Cancelled"),0,1))</f>
        <v>0</v>
      </c>
      <c r="U163" s="69" t="str">
        <f>IF($D163="","",IF(AND($T163=1,ISNUMBER($I163)),IF($I163&lt;ReportDate,ReportDate-$I163,0),0))</f>
        <v/>
      </c>
      <c r="V163" s="71" t="str">
        <f>IF($D163="","",IF(ISNUMBER($A163),IF(ISNUMBER($A163),YEAR($A163)&amp;"-"&amp;TEXT(MONTH($A163),"00"),""),IF(ISNUMBER($I163),IF(ISNUMBER($I163),YEAR($I163)&amp;"-"&amp;TEXT(MONTH($I163),"00"),""),IF(ISNUMBER($H163),IF(ISNUMBER($H163),YEAR($H163)&amp;"-"&amp;TEXT(MONTH($H163),"00"),""),""))))</f>
        <v/>
      </c>
      <c r="W163" s="71">
        <f>IF($D163="",0,IF(AND(OR(fClient="All",$B163=fClient),fCampaign="All",OR(fTeam="All",$E163=fTeam),OR(fChannel="All",$C163=fChannel,AND(fChannel="Content",OR($C163="Blog",$C163="Case Study",$C163="Whitepaper")),AND(fChannel="Webinar / Events",$C163="Webinar")),OR(fMonth="All",$V163=fMonth)),1,0))</f>
        <v>0</v>
      </c>
      <c r="X163" s="71">
        <f>IF($D163="",0,IF(AND(OR(fClient="All",$B163=fClient),fCampaign="All",OR(fTeam="All",$E163=fTeam),OR(fChannel="All",$C163=fChannel,AND(fChannel="Content",OR($C163="Blog",$C163="Case Study",$C163="Whitepaper")),AND(fChannel="Webinar / Events",$C163="Webinar"))),1,0))</f>
        <v>0</v>
      </c>
    </row>
    <row r="164">
      <c r="A164" s="63" t="n"/>
      <c r="B164" s="64" t="n"/>
      <c r="C164" s="64" t="n"/>
      <c r="D164" s="65" t="n"/>
      <c r="E164" s="64" t="n"/>
      <c r="F164" s="64" t="n"/>
      <c r="G164" s="64" t="n"/>
      <c r="H164" s="63" t="n"/>
      <c r="I164" s="63" t="n"/>
      <c r="J164" s="63" t="n"/>
      <c r="K164" s="67" t="n"/>
      <c r="L164" s="67" t="n"/>
      <c r="M164" s="67" t="n"/>
      <c r="N164" s="65" t="n"/>
      <c r="O164" s="64" t="n"/>
      <c r="P164" s="67" t="n"/>
      <c r="Q164" s="65" t="n"/>
      <c r="R164" s="65" t="n"/>
      <c r="S164" s="65" t="n"/>
      <c r="T164" s="71">
        <f>IF($D164="",0,IF(OR($G164="Published",$G164="Completed",$G164="Cancelled"),0,1))</f>
        <v>0</v>
      </c>
      <c r="U164" s="69" t="str">
        <f>IF($D164="","",IF(AND($T164=1,ISNUMBER($I164)),IF($I164&lt;ReportDate,ReportDate-$I164,0),0))</f>
        <v/>
      </c>
      <c r="V164" s="71" t="str">
        <f>IF($D164="","",IF(ISNUMBER($A164),IF(ISNUMBER($A164),YEAR($A164)&amp;"-"&amp;TEXT(MONTH($A164),"00"),""),IF(ISNUMBER($I164),IF(ISNUMBER($I164),YEAR($I164)&amp;"-"&amp;TEXT(MONTH($I164),"00"),""),IF(ISNUMBER($H164),IF(ISNUMBER($H164),YEAR($H164)&amp;"-"&amp;TEXT(MONTH($H164),"00"),""),""))))</f>
        <v/>
      </c>
      <c r="W164" s="71">
        <f>IF($D164="",0,IF(AND(OR(fClient="All",$B164=fClient),fCampaign="All",OR(fTeam="All",$E164=fTeam),OR(fChannel="All",$C164=fChannel,AND(fChannel="Content",OR($C164="Blog",$C164="Case Study",$C164="Whitepaper")),AND(fChannel="Webinar / Events",$C164="Webinar")),OR(fMonth="All",$V164=fMonth)),1,0))</f>
        <v>0</v>
      </c>
      <c r="X164" s="71">
        <f>IF($D164="",0,IF(AND(OR(fClient="All",$B164=fClient),fCampaign="All",OR(fTeam="All",$E164=fTeam),OR(fChannel="All",$C164=fChannel,AND(fChannel="Content",OR($C164="Blog",$C164="Case Study",$C164="Whitepaper")),AND(fChannel="Webinar / Events",$C164="Webinar"))),1,0))</f>
        <v>0</v>
      </c>
    </row>
    <row r="165">
      <c r="A165" s="63" t="n"/>
      <c r="B165" s="64" t="n"/>
      <c r="C165" s="64" t="n"/>
      <c r="D165" s="65" t="n"/>
      <c r="E165" s="64" t="n"/>
      <c r="F165" s="64" t="n"/>
      <c r="G165" s="64" t="n"/>
      <c r="H165" s="63" t="n"/>
      <c r="I165" s="63" t="n"/>
      <c r="J165" s="63" t="n"/>
      <c r="K165" s="67" t="n"/>
      <c r="L165" s="67" t="n"/>
      <c r="M165" s="67" t="n"/>
      <c r="N165" s="65" t="n"/>
      <c r="O165" s="64" t="n"/>
      <c r="P165" s="67" t="n"/>
      <c r="Q165" s="65" t="n"/>
      <c r="R165" s="65" t="n"/>
      <c r="S165" s="65" t="n"/>
      <c r="T165" s="71">
        <f>IF($D165="",0,IF(OR($G165="Published",$G165="Completed",$G165="Cancelled"),0,1))</f>
        <v>0</v>
      </c>
      <c r="U165" s="69" t="str">
        <f>IF($D165="","",IF(AND($T165=1,ISNUMBER($I165)),IF($I165&lt;ReportDate,ReportDate-$I165,0),0))</f>
        <v/>
      </c>
      <c r="V165" s="71" t="str">
        <f>IF($D165="","",IF(ISNUMBER($A165),IF(ISNUMBER($A165),YEAR($A165)&amp;"-"&amp;TEXT(MONTH($A165),"00"),""),IF(ISNUMBER($I165),IF(ISNUMBER($I165),YEAR($I165)&amp;"-"&amp;TEXT(MONTH($I165),"00"),""),IF(ISNUMBER($H165),IF(ISNUMBER($H165),YEAR($H165)&amp;"-"&amp;TEXT(MONTH($H165),"00"),""),""))))</f>
        <v/>
      </c>
      <c r="W165" s="71">
        <f>IF($D165="",0,IF(AND(OR(fClient="All",$B165=fClient),fCampaign="All",OR(fTeam="All",$E165=fTeam),OR(fChannel="All",$C165=fChannel,AND(fChannel="Content",OR($C165="Blog",$C165="Case Study",$C165="Whitepaper")),AND(fChannel="Webinar / Events",$C165="Webinar")),OR(fMonth="All",$V165=fMonth)),1,0))</f>
        <v>0</v>
      </c>
      <c r="X165" s="71">
        <f>IF($D165="",0,IF(AND(OR(fClient="All",$B165=fClient),fCampaign="All",OR(fTeam="All",$E165=fTeam),OR(fChannel="All",$C165=fChannel,AND(fChannel="Content",OR($C165="Blog",$C165="Case Study",$C165="Whitepaper")),AND(fChannel="Webinar / Events",$C165="Webinar"))),1,0))</f>
        <v>0</v>
      </c>
    </row>
    <row r="166">
      <c r="A166" s="63" t="n"/>
      <c r="B166" s="64" t="n"/>
      <c r="C166" s="64" t="n"/>
      <c r="D166" s="65" t="n"/>
      <c r="E166" s="64" t="n"/>
      <c r="F166" s="64" t="n"/>
      <c r="G166" s="64" t="n"/>
      <c r="H166" s="63" t="n"/>
      <c r="I166" s="63" t="n"/>
      <c r="J166" s="63" t="n"/>
      <c r="K166" s="67" t="n"/>
      <c r="L166" s="67" t="n"/>
      <c r="M166" s="67" t="n"/>
      <c r="N166" s="65" t="n"/>
      <c r="O166" s="64" t="n"/>
      <c r="P166" s="67" t="n"/>
      <c r="Q166" s="65" t="n"/>
      <c r="R166" s="65" t="n"/>
      <c r="S166" s="65" t="n"/>
      <c r="T166" s="71">
        <f>IF($D166="",0,IF(OR($G166="Published",$G166="Completed",$G166="Cancelled"),0,1))</f>
        <v>0</v>
      </c>
      <c r="U166" s="69" t="str">
        <f>IF($D166="","",IF(AND($T166=1,ISNUMBER($I166)),IF($I166&lt;ReportDate,ReportDate-$I166,0),0))</f>
        <v/>
      </c>
      <c r="V166" s="71" t="str">
        <f>IF($D166="","",IF(ISNUMBER($A166),IF(ISNUMBER($A166),YEAR($A166)&amp;"-"&amp;TEXT(MONTH($A166),"00"),""),IF(ISNUMBER($I166),IF(ISNUMBER($I166),YEAR($I166)&amp;"-"&amp;TEXT(MONTH($I166),"00"),""),IF(ISNUMBER($H166),IF(ISNUMBER($H166),YEAR($H166)&amp;"-"&amp;TEXT(MONTH($H166),"00"),""),""))))</f>
        <v/>
      </c>
      <c r="W166" s="71">
        <f>IF($D166="",0,IF(AND(OR(fClient="All",$B166=fClient),fCampaign="All",OR(fTeam="All",$E166=fTeam),OR(fChannel="All",$C166=fChannel,AND(fChannel="Content",OR($C166="Blog",$C166="Case Study",$C166="Whitepaper")),AND(fChannel="Webinar / Events",$C166="Webinar")),OR(fMonth="All",$V166=fMonth)),1,0))</f>
        <v>0</v>
      </c>
      <c r="X166" s="71">
        <f>IF($D166="",0,IF(AND(OR(fClient="All",$B166=fClient),fCampaign="All",OR(fTeam="All",$E166=fTeam),OR(fChannel="All",$C166=fChannel,AND(fChannel="Content",OR($C166="Blog",$C166="Case Study",$C166="Whitepaper")),AND(fChannel="Webinar / Events",$C166="Webinar"))),1,0))</f>
        <v>0</v>
      </c>
    </row>
    <row r="167">
      <c r="A167" s="63" t="n"/>
      <c r="B167" s="64" t="n"/>
      <c r="C167" s="64" t="n"/>
      <c r="D167" s="65" t="n"/>
      <c r="E167" s="64" t="n"/>
      <c r="F167" s="64" t="n"/>
      <c r="G167" s="64" t="n"/>
      <c r="H167" s="63" t="n"/>
      <c r="I167" s="63" t="n"/>
      <c r="J167" s="63" t="n"/>
      <c r="K167" s="67" t="n"/>
      <c r="L167" s="67" t="n"/>
      <c r="M167" s="67" t="n"/>
      <c r="N167" s="65" t="n"/>
      <c r="O167" s="64" t="n"/>
      <c r="P167" s="67" t="n"/>
      <c r="Q167" s="65" t="n"/>
      <c r="R167" s="65" t="n"/>
      <c r="S167" s="65" t="n"/>
      <c r="T167" s="71">
        <f>IF($D167="",0,IF(OR($G167="Published",$G167="Completed",$G167="Cancelled"),0,1))</f>
        <v>0</v>
      </c>
      <c r="U167" s="69" t="str">
        <f>IF($D167="","",IF(AND($T167=1,ISNUMBER($I167)),IF($I167&lt;ReportDate,ReportDate-$I167,0),0))</f>
        <v/>
      </c>
      <c r="V167" s="71" t="str">
        <f>IF($D167="","",IF(ISNUMBER($A167),IF(ISNUMBER($A167),YEAR($A167)&amp;"-"&amp;TEXT(MONTH($A167),"00"),""),IF(ISNUMBER($I167),IF(ISNUMBER($I167),YEAR($I167)&amp;"-"&amp;TEXT(MONTH($I167),"00"),""),IF(ISNUMBER($H167),IF(ISNUMBER($H167),YEAR($H167)&amp;"-"&amp;TEXT(MONTH($H167),"00"),""),""))))</f>
        <v/>
      </c>
      <c r="W167" s="71">
        <f>IF($D167="",0,IF(AND(OR(fClient="All",$B167=fClient),fCampaign="All",OR(fTeam="All",$E167=fTeam),OR(fChannel="All",$C167=fChannel,AND(fChannel="Content",OR($C167="Blog",$C167="Case Study",$C167="Whitepaper")),AND(fChannel="Webinar / Events",$C167="Webinar")),OR(fMonth="All",$V167=fMonth)),1,0))</f>
        <v>0</v>
      </c>
      <c r="X167" s="71">
        <f>IF($D167="",0,IF(AND(OR(fClient="All",$B167=fClient),fCampaign="All",OR(fTeam="All",$E167=fTeam),OR(fChannel="All",$C167=fChannel,AND(fChannel="Content",OR($C167="Blog",$C167="Case Study",$C167="Whitepaper")),AND(fChannel="Webinar / Events",$C167="Webinar"))),1,0))</f>
        <v>0</v>
      </c>
    </row>
    <row r="168">
      <c r="A168" s="63" t="n"/>
      <c r="B168" s="64" t="n"/>
      <c r="C168" s="64" t="n"/>
      <c r="D168" s="65" t="n"/>
      <c r="E168" s="64" t="n"/>
      <c r="F168" s="64" t="n"/>
      <c r="G168" s="64" t="n"/>
      <c r="H168" s="63" t="n"/>
      <c r="I168" s="63" t="n"/>
      <c r="J168" s="63" t="n"/>
      <c r="K168" s="67" t="n"/>
      <c r="L168" s="67" t="n"/>
      <c r="M168" s="67" t="n"/>
      <c r="N168" s="65" t="n"/>
      <c r="O168" s="64" t="n"/>
      <c r="P168" s="67" t="n"/>
      <c r="Q168" s="65" t="n"/>
      <c r="R168" s="65" t="n"/>
      <c r="S168" s="65" t="n"/>
      <c r="T168" s="71">
        <f>IF($D168="",0,IF(OR($G168="Published",$G168="Completed",$G168="Cancelled"),0,1))</f>
        <v>0</v>
      </c>
      <c r="U168" s="69" t="str">
        <f>IF($D168="","",IF(AND($T168=1,ISNUMBER($I168)),IF($I168&lt;ReportDate,ReportDate-$I168,0),0))</f>
        <v/>
      </c>
      <c r="V168" s="71" t="str">
        <f>IF($D168="","",IF(ISNUMBER($A168),IF(ISNUMBER($A168),YEAR($A168)&amp;"-"&amp;TEXT(MONTH($A168),"00"),""),IF(ISNUMBER($I168),IF(ISNUMBER($I168),YEAR($I168)&amp;"-"&amp;TEXT(MONTH($I168),"00"),""),IF(ISNUMBER($H168),IF(ISNUMBER($H168),YEAR($H168)&amp;"-"&amp;TEXT(MONTH($H168),"00"),""),""))))</f>
        <v/>
      </c>
      <c r="W168" s="71">
        <f>IF($D168="",0,IF(AND(OR(fClient="All",$B168=fClient),fCampaign="All",OR(fTeam="All",$E168=fTeam),OR(fChannel="All",$C168=fChannel,AND(fChannel="Content",OR($C168="Blog",$C168="Case Study",$C168="Whitepaper")),AND(fChannel="Webinar / Events",$C168="Webinar")),OR(fMonth="All",$V168=fMonth)),1,0))</f>
        <v>0</v>
      </c>
      <c r="X168" s="71">
        <f>IF($D168="",0,IF(AND(OR(fClient="All",$B168=fClient),fCampaign="All",OR(fTeam="All",$E168=fTeam),OR(fChannel="All",$C168=fChannel,AND(fChannel="Content",OR($C168="Blog",$C168="Case Study",$C168="Whitepaper")),AND(fChannel="Webinar / Events",$C168="Webinar"))),1,0))</f>
        <v>0</v>
      </c>
    </row>
    <row r="169">
      <c r="A169" s="63" t="n"/>
      <c r="B169" s="64" t="n"/>
      <c r="C169" s="64" t="n"/>
      <c r="D169" s="65" t="n"/>
      <c r="E169" s="64" t="n"/>
      <c r="F169" s="64" t="n"/>
      <c r="G169" s="64" t="n"/>
      <c r="H169" s="63" t="n"/>
      <c r="I169" s="63" t="n"/>
      <c r="J169" s="63" t="n"/>
      <c r="K169" s="67" t="n"/>
      <c r="L169" s="67" t="n"/>
      <c r="M169" s="67" t="n"/>
      <c r="N169" s="65" t="n"/>
      <c r="O169" s="64" t="n"/>
      <c r="P169" s="67" t="n"/>
      <c r="Q169" s="65" t="n"/>
      <c r="R169" s="65" t="n"/>
      <c r="S169" s="65" t="n"/>
      <c r="T169" s="71">
        <f>IF($D169="",0,IF(OR($G169="Published",$G169="Completed",$G169="Cancelled"),0,1))</f>
        <v>0</v>
      </c>
      <c r="U169" s="69" t="str">
        <f>IF($D169="","",IF(AND($T169=1,ISNUMBER($I169)),IF($I169&lt;ReportDate,ReportDate-$I169,0),0))</f>
        <v/>
      </c>
      <c r="V169" s="71" t="str">
        <f>IF($D169="","",IF(ISNUMBER($A169),IF(ISNUMBER($A169),YEAR($A169)&amp;"-"&amp;TEXT(MONTH($A169),"00"),""),IF(ISNUMBER($I169),IF(ISNUMBER($I169),YEAR($I169)&amp;"-"&amp;TEXT(MONTH($I169),"00"),""),IF(ISNUMBER($H169),IF(ISNUMBER($H169),YEAR($H169)&amp;"-"&amp;TEXT(MONTH($H169),"00"),""),""))))</f>
        <v/>
      </c>
      <c r="W169" s="71">
        <f>IF($D169="",0,IF(AND(OR(fClient="All",$B169=fClient),fCampaign="All",OR(fTeam="All",$E169=fTeam),OR(fChannel="All",$C169=fChannel,AND(fChannel="Content",OR($C169="Blog",$C169="Case Study",$C169="Whitepaper")),AND(fChannel="Webinar / Events",$C169="Webinar")),OR(fMonth="All",$V169=fMonth)),1,0))</f>
        <v>0</v>
      </c>
      <c r="X169" s="71">
        <f>IF($D169="",0,IF(AND(OR(fClient="All",$B169=fClient),fCampaign="All",OR(fTeam="All",$E169=fTeam),OR(fChannel="All",$C169=fChannel,AND(fChannel="Content",OR($C169="Blog",$C169="Case Study",$C169="Whitepaper")),AND(fChannel="Webinar / Events",$C169="Webinar"))),1,0))</f>
        <v>0</v>
      </c>
    </row>
    <row r="170">
      <c r="A170" s="63" t="n"/>
      <c r="B170" s="64" t="n"/>
      <c r="C170" s="64" t="n"/>
      <c r="D170" s="65" t="n"/>
      <c r="E170" s="64" t="n"/>
      <c r="F170" s="64" t="n"/>
      <c r="G170" s="64" t="n"/>
      <c r="H170" s="63" t="n"/>
      <c r="I170" s="63" t="n"/>
      <c r="J170" s="63" t="n"/>
      <c r="K170" s="67" t="n"/>
      <c r="L170" s="67" t="n"/>
      <c r="M170" s="67" t="n"/>
      <c r="N170" s="65" t="n"/>
      <c r="O170" s="64" t="n"/>
      <c r="P170" s="67" t="n"/>
      <c r="Q170" s="65" t="n"/>
      <c r="R170" s="65" t="n"/>
      <c r="S170" s="65" t="n"/>
      <c r="T170" s="71">
        <f>IF($D170="",0,IF(OR($G170="Published",$G170="Completed",$G170="Cancelled"),0,1))</f>
        <v>0</v>
      </c>
      <c r="U170" s="69" t="str">
        <f>IF($D170="","",IF(AND($T170=1,ISNUMBER($I170)),IF($I170&lt;ReportDate,ReportDate-$I170,0),0))</f>
        <v/>
      </c>
      <c r="V170" s="71" t="str">
        <f>IF($D170="","",IF(ISNUMBER($A170),IF(ISNUMBER($A170),YEAR($A170)&amp;"-"&amp;TEXT(MONTH($A170),"00"),""),IF(ISNUMBER($I170),IF(ISNUMBER($I170),YEAR($I170)&amp;"-"&amp;TEXT(MONTH($I170),"00"),""),IF(ISNUMBER($H170),IF(ISNUMBER($H170),YEAR($H170)&amp;"-"&amp;TEXT(MONTH($H170),"00"),""),""))))</f>
        <v/>
      </c>
      <c r="W170" s="71">
        <f>IF($D170="",0,IF(AND(OR(fClient="All",$B170=fClient),fCampaign="All",OR(fTeam="All",$E170=fTeam),OR(fChannel="All",$C170=fChannel,AND(fChannel="Content",OR($C170="Blog",$C170="Case Study",$C170="Whitepaper")),AND(fChannel="Webinar / Events",$C170="Webinar")),OR(fMonth="All",$V170=fMonth)),1,0))</f>
        <v>0</v>
      </c>
      <c r="X170" s="71">
        <f>IF($D170="",0,IF(AND(OR(fClient="All",$B170=fClient),fCampaign="All",OR(fTeam="All",$E170=fTeam),OR(fChannel="All",$C170=fChannel,AND(fChannel="Content",OR($C170="Blog",$C170="Case Study",$C170="Whitepaper")),AND(fChannel="Webinar / Events",$C170="Webinar"))),1,0))</f>
        <v>0</v>
      </c>
    </row>
    <row r="171">
      <c r="A171" s="63" t="n"/>
      <c r="B171" s="64" t="n"/>
      <c r="C171" s="64" t="n"/>
      <c r="D171" s="65" t="n"/>
      <c r="E171" s="64" t="n"/>
      <c r="F171" s="64" t="n"/>
      <c r="G171" s="64" t="n"/>
      <c r="H171" s="63" t="n"/>
      <c r="I171" s="63" t="n"/>
      <c r="J171" s="63" t="n"/>
      <c r="K171" s="67" t="n"/>
      <c r="L171" s="67" t="n"/>
      <c r="M171" s="67" t="n"/>
      <c r="N171" s="65" t="n"/>
      <c r="O171" s="64" t="n"/>
      <c r="P171" s="67" t="n"/>
      <c r="Q171" s="65" t="n"/>
      <c r="R171" s="65" t="n"/>
      <c r="S171" s="65" t="n"/>
      <c r="T171" s="71">
        <f>IF($D171="",0,IF(OR($G171="Published",$G171="Completed",$G171="Cancelled"),0,1))</f>
        <v>0</v>
      </c>
      <c r="U171" s="69" t="str">
        <f>IF($D171="","",IF(AND($T171=1,ISNUMBER($I171)),IF($I171&lt;ReportDate,ReportDate-$I171,0),0))</f>
        <v/>
      </c>
      <c r="V171" s="71" t="str">
        <f>IF($D171="","",IF(ISNUMBER($A171),IF(ISNUMBER($A171),YEAR($A171)&amp;"-"&amp;TEXT(MONTH($A171),"00"),""),IF(ISNUMBER($I171),IF(ISNUMBER($I171),YEAR($I171)&amp;"-"&amp;TEXT(MONTH($I171),"00"),""),IF(ISNUMBER($H171),IF(ISNUMBER($H171),YEAR($H171)&amp;"-"&amp;TEXT(MONTH($H171),"00"),""),""))))</f>
        <v/>
      </c>
      <c r="W171" s="71">
        <f>IF($D171="",0,IF(AND(OR(fClient="All",$B171=fClient),fCampaign="All",OR(fTeam="All",$E171=fTeam),OR(fChannel="All",$C171=fChannel,AND(fChannel="Content",OR($C171="Blog",$C171="Case Study",$C171="Whitepaper")),AND(fChannel="Webinar / Events",$C171="Webinar")),OR(fMonth="All",$V171=fMonth)),1,0))</f>
        <v>0</v>
      </c>
      <c r="X171" s="71">
        <f>IF($D171="",0,IF(AND(OR(fClient="All",$B171=fClient),fCampaign="All",OR(fTeam="All",$E171=fTeam),OR(fChannel="All",$C171=fChannel,AND(fChannel="Content",OR($C171="Blog",$C171="Case Study",$C171="Whitepaper")),AND(fChannel="Webinar / Events",$C171="Webinar"))),1,0))</f>
        <v>0</v>
      </c>
    </row>
    <row r="172">
      <c r="A172" s="63" t="n"/>
      <c r="B172" s="64" t="n"/>
      <c r="C172" s="64" t="n"/>
      <c r="D172" s="65" t="n"/>
      <c r="E172" s="64" t="n"/>
      <c r="F172" s="64" t="n"/>
      <c r="G172" s="64" t="n"/>
      <c r="H172" s="63" t="n"/>
      <c r="I172" s="63" t="n"/>
      <c r="J172" s="63" t="n"/>
      <c r="K172" s="67" t="n"/>
      <c r="L172" s="67" t="n"/>
      <c r="M172" s="67" t="n"/>
      <c r="N172" s="65" t="n"/>
      <c r="O172" s="64" t="n"/>
      <c r="P172" s="67" t="n"/>
      <c r="Q172" s="65" t="n"/>
      <c r="R172" s="65" t="n"/>
      <c r="S172" s="65" t="n"/>
      <c r="T172" s="71">
        <f>IF($D172="",0,IF(OR($G172="Published",$G172="Completed",$G172="Cancelled"),0,1))</f>
        <v>0</v>
      </c>
      <c r="U172" s="69" t="str">
        <f>IF($D172="","",IF(AND($T172=1,ISNUMBER($I172)),IF($I172&lt;ReportDate,ReportDate-$I172,0),0))</f>
        <v/>
      </c>
      <c r="V172" s="71" t="str">
        <f>IF($D172="","",IF(ISNUMBER($A172),IF(ISNUMBER($A172),YEAR($A172)&amp;"-"&amp;TEXT(MONTH($A172),"00"),""),IF(ISNUMBER($I172),IF(ISNUMBER($I172),YEAR($I172)&amp;"-"&amp;TEXT(MONTH($I172),"00"),""),IF(ISNUMBER($H172),IF(ISNUMBER($H172),YEAR($H172)&amp;"-"&amp;TEXT(MONTH($H172),"00"),""),""))))</f>
        <v/>
      </c>
      <c r="W172" s="71">
        <f>IF($D172="",0,IF(AND(OR(fClient="All",$B172=fClient),fCampaign="All",OR(fTeam="All",$E172=fTeam),OR(fChannel="All",$C172=fChannel,AND(fChannel="Content",OR($C172="Blog",$C172="Case Study",$C172="Whitepaper")),AND(fChannel="Webinar / Events",$C172="Webinar")),OR(fMonth="All",$V172=fMonth)),1,0))</f>
        <v>0</v>
      </c>
      <c r="X172" s="71">
        <f>IF($D172="",0,IF(AND(OR(fClient="All",$B172=fClient),fCampaign="All",OR(fTeam="All",$E172=fTeam),OR(fChannel="All",$C172=fChannel,AND(fChannel="Content",OR($C172="Blog",$C172="Case Study",$C172="Whitepaper")),AND(fChannel="Webinar / Events",$C172="Webinar"))),1,0))</f>
        <v>0</v>
      </c>
    </row>
    <row r="173">
      <c r="A173" s="63" t="n"/>
      <c r="B173" s="64" t="n"/>
      <c r="C173" s="64" t="n"/>
      <c r="D173" s="65" t="n"/>
      <c r="E173" s="64" t="n"/>
      <c r="F173" s="64" t="n"/>
      <c r="G173" s="64" t="n"/>
      <c r="H173" s="63" t="n"/>
      <c r="I173" s="63" t="n"/>
      <c r="J173" s="63" t="n"/>
      <c r="K173" s="67" t="n"/>
      <c r="L173" s="67" t="n"/>
      <c r="M173" s="67" t="n"/>
      <c r="N173" s="65" t="n"/>
      <c r="O173" s="64" t="n"/>
      <c r="P173" s="67" t="n"/>
      <c r="Q173" s="65" t="n"/>
      <c r="R173" s="65" t="n"/>
      <c r="S173" s="65" t="n"/>
      <c r="T173" s="71">
        <f>IF($D173="",0,IF(OR($G173="Published",$G173="Completed",$G173="Cancelled"),0,1))</f>
        <v>0</v>
      </c>
      <c r="U173" s="69" t="str">
        <f>IF($D173="","",IF(AND($T173=1,ISNUMBER($I173)),IF($I173&lt;ReportDate,ReportDate-$I173,0),0))</f>
        <v/>
      </c>
      <c r="V173" s="71" t="str">
        <f>IF($D173="","",IF(ISNUMBER($A173),IF(ISNUMBER($A173),YEAR($A173)&amp;"-"&amp;TEXT(MONTH($A173),"00"),""),IF(ISNUMBER($I173),IF(ISNUMBER($I173),YEAR($I173)&amp;"-"&amp;TEXT(MONTH($I173),"00"),""),IF(ISNUMBER($H173),IF(ISNUMBER($H173),YEAR($H173)&amp;"-"&amp;TEXT(MONTH($H173),"00"),""),""))))</f>
        <v/>
      </c>
      <c r="W173" s="71">
        <f>IF($D173="",0,IF(AND(OR(fClient="All",$B173=fClient),fCampaign="All",OR(fTeam="All",$E173=fTeam),OR(fChannel="All",$C173=fChannel,AND(fChannel="Content",OR($C173="Blog",$C173="Case Study",$C173="Whitepaper")),AND(fChannel="Webinar / Events",$C173="Webinar")),OR(fMonth="All",$V173=fMonth)),1,0))</f>
        <v>0</v>
      </c>
      <c r="X173" s="71">
        <f>IF($D173="",0,IF(AND(OR(fClient="All",$B173=fClient),fCampaign="All",OR(fTeam="All",$E173=fTeam),OR(fChannel="All",$C173=fChannel,AND(fChannel="Content",OR($C173="Blog",$C173="Case Study",$C173="Whitepaper")),AND(fChannel="Webinar / Events",$C173="Webinar"))),1,0))</f>
        <v>0</v>
      </c>
    </row>
    <row r="174">
      <c r="A174" s="63" t="n"/>
      <c r="B174" s="64" t="n"/>
      <c r="C174" s="64" t="n"/>
      <c r="D174" s="65" t="n"/>
      <c r="E174" s="64" t="n"/>
      <c r="F174" s="64" t="n"/>
      <c r="G174" s="64" t="n"/>
      <c r="H174" s="63" t="n"/>
      <c r="I174" s="63" t="n"/>
      <c r="J174" s="63" t="n"/>
      <c r="K174" s="67" t="n"/>
      <c r="L174" s="67" t="n"/>
      <c r="M174" s="67" t="n"/>
      <c r="N174" s="65" t="n"/>
      <c r="O174" s="64" t="n"/>
      <c r="P174" s="67" t="n"/>
      <c r="Q174" s="65" t="n"/>
      <c r="R174" s="65" t="n"/>
      <c r="S174" s="65" t="n"/>
      <c r="T174" s="71">
        <f>IF($D174="",0,IF(OR($G174="Published",$G174="Completed",$G174="Cancelled"),0,1))</f>
        <v>0</v>
      </c>
      <c r="U174" s="69" t="str">
        <f>IF($D174="","",IF(AND($T174=1,ISNUMBER($I174)),IF($I174&lt;ReportDate,ReportDate-$I174,0),0))</f>
        <v/>
      </c>
      <c r="V174" s="71" t="str">
        <f>IF($D174="","",IF(ISNUMBER($A174),IF(ISNUMBER($A174),YEAR($A174)&amp;"-"&amp;TEXT(MONTH($A174),"00"),""),IF(ISNUMBER($I174),IF(ISNUMBER($I174),YEAR($I174)&amp;"-"&amp;TEXT(MONTH($I174),"00"),""),IF(ISNUMBER($H174),IF(ISNUMBER($H174),YEAR($H174)&amp;"-"&amp;TEXT(MONTH($H174),"00"),""),""))))</f>
        <v/>
      </c>
      <c r="W174" s="71">
        <f>IF($D174="",0,IF(AND(OR(fClient="All",$B174=fClient),fCampaign="All",OR(fTeam="All",$E174=fTeam),OR(fChannel="All",$C174=fChannel,AND(fChannel="Content",OR($C174="Blog",$C174="Case Study",$C174="Whitepaper")),AND(fChannel="Webinar / Events",$C174="Webinar")),OR(fMonth="All",$V174=fMonth)),1,0))</f>
        <v>0</v>
      </c>
      <c r="X174" s="71">
        <f>IF($D174="",0,IF(AND(OR(fClient="All",$B174=fClient),fCampaign="All",OR(fTeam="All",$E174=fTeam),OR(fChannel="All",$C174=fChannel,AND(fChannel="Content",OR($C174="Blog",$C174="Case Study",$C174="Whitepaper")),AND(fChannel="Webinar / Events",$C174="Webinar"))),1,0))</f>
        <v>0</v>
      </c>
    </row>
    <row r="175">
      <c r="A175" s="63" t="n"/>
      <c r="B175" s="64" t="n"/>
      <c r="C175" s="64" t="n"/>
      <c r="D175" s="65" t="n"/>
      <c r="E175" s="64" t="n"/>
      <c r="F175" s="64" t="n"/>
      <c r="G175" s="64" t="n"/>
      <c r="H175" s="63" t="n"/>
      <c r="I175" s="63" t="n"/>
      <c r="J175" s="63" t="n"/>
      <c r="K175" s="67" t="n"/>
      <c r="L175" s="67" t="n"/>
      <c r="M175" s="67" t="n"/>
      <c r="N175" s="65" t="n"/>
      <c r="O175" s="64" t="n"/>
      <c r="P175" s="67" t="n"/>
      <c r="Q175" s="65" t="n"/>
      <c r="R175" s="65" t="n"/>
      <c r="S175" s="65" t="n"/>
      <c r="T175" s="71">
        <f>IF($D175="",0,IF(OR($G175="Published",$G175="Completed",$G175="Cancelled"),0,1))</f>
        <v>0</v>
      </c>
      <c r="U175" s="69" t="str">
        <f>IF($D175="","",IF(AND($T175=1,ISNUMBER($I175)),IF($I175&lt;ReportDate,ReportDate-$I175,0),0))</f>
        <v/>
      </c>
      <c r="V175" s="71" t="str">
        <f>IF($D175="","",IF(ISNUMBER($A175),IF(ISNUMBER($A175),YEAR($A175)&amp;"-"&amp;TEXT(MONTH($A175),"00"),""),IF(ISNUMBER($I175),IF(ISNUMBER($I175),YEAR($I175)&amp;"-"&amp;TEXT(MONTH($I175),"00"),""),IF(ISNUMBER($H175),IF(ISNUMBER($H175),YEAR($H175)&amp;"-"&amp;TEXT(MONTH($H175),"00"),""),""))))</f>
        <v/>
      </c>
      <c r="W175" s="71">
        <f>IF($D175="",0,IF(AND(OR(fClient="All",$B175=fClient),fCampaign="All",OR(fTeam="All",$E175=fTeam),OR(fChannel="All",$C175=fChannel,AND(fChannel="Content",OR($C175="Blog",$C175="Case Study",$C175="Whitepaper")),AND(fChannel="Webinar / Events",$C175="Webinar")),OR(fMonth="All",$V175=fMonth)),1,0))</f>
        <v>0</v>
      </c>
      <c r="X175" s="71">
        <f>IF($D175="",0,IF(AND(OR(fClient="All",$B175=fClient),fCampaign="All",OR(fTeam="All",$E175=fTeam),OR(fChannel="All",$C175=fChannel,AND(fChannel="Content",OR($C175="Blog",$C175="Case Study",$C175="Whitepaper")),AND(fChannel="Webinar / Events",$C175="Webinar"))),1,0))</f>
        <v>0</v>
      </c>
    </row>
    <row r="176">
      <c r="A176" s="63" t="n"/>
      <c r="B176" s="64" t="n"/>
      <c r="C176" s="64" t="n"/>
      <c r="D176" s="65" t="n"/>
      <c r="E176" s="64" t="n"/>
      <c r="F176" s="64" t="n"/>
      <c r="G176" s="64" t="n"/>
      <c r="H176" s="63" t="n"/>
      <c r="I176" s="63" t="n"/>
      <c r="J176" s="63" t="n"/>
      <c r="K176" s="67" t="n"/>
      <c r="L176" s="67" t="n"/>
      <c r="M176" s="67" t="n"/>
      <c r="N176" s="65" t="n"/>
      <c r="O176" s="64" t="n"/>
      <c r="P176" s="67" t="n"/>
      <c r="Q176" s="65" t="n"/>
      <c r="R176" s="65" t="n"/>
      <c r="S176" s="65" t="n"/>
      <c r="T176" s="71">
        <f>IF($D176="",0,IF(OR($G176="Published",$G176="Completed",$G176="Cancelled"),0,1))</f>
        <v>0</v>
      </c>
      <c r="U176" s="69" t="str">
        <f>IF($D176="","",IF(AND($T176=1,ISNUMBER($I176)),IF($I176&lt;ReportDate,ReportDate-$I176,0),0))</f>
        <v/>
      </c>
      <c r="V176" s="71" t="str">
        <f>IF($D176="","",IF(ISNUMBER($A176),IF(ISNUMBER($A176),YEAR($A176)&amp;"-"&amp;TEXT(MONTH($A176),"00"),""),IF(ISNUMBER($I176),IF(ISNUMBER($I176),YEAR($I176)&amp;"-"&amp;TEXT(MONTH($I176),"00"),""),IF(ISNUMBER($H176),IF(ISNUMBER($H176),YEAR($H176)&amp;"-"&amp;TEXT(MONTH($H176),"00"),""),""))))</f>
        <v/>
      </c>
      <c r="W176" s="71">
        <f>IF($D176="",0,IF(AND(OR(fClient="All",$B176=fClient),fCampaign="All",OR(fTeam="All",$E176=fTeam),OR(fChannel="All",$C176=fChannel,AND(fChannel="Content",OR($C176="Blog",$C176="Case Study",$C176="Whitepaper")),AND(fChannel="Webinar / Events",$C176="Webinar")),OR(fMonth="All",$V176=fMonth)),1,0))</f>
        <v>0</v>
      </c>
      <c r="X176" s="71">
        <f>IF($D176="",0,IF(AND(OR(fClient="All",$B176=fClient),fCampaign="All",OR(fTeam="All",$E176=fTeam),OR(fChannel="All",$C176=fChannel,AND(fChannel="Content",OR($C176="Blog",$C176="Case Study",$C176="Whitepaper")),AND(fChannel="Webinar / Events",$C176="Webinar"))),1,0))</f>
        <v>0</v>
      </c>
    </row>
    <row r="177">
      <c r="A177" s="63" t="n"/>
      <c r="B177" s="64" t="n"/>
      <c r="C177" s="64" t="n"/>
      <c r="D177" s="65" t="n"/>
      <c r="E177" s="64" t="n"/>
      <c r="F177" s="64" t="n"/>
      <c r="G177" s="64" t="n"/>
      <c r="H177" s="63" t="n"/>
      <c r="I177" s="63" t="n"/>
      <c r="J177" s="63" t="n"/>
      <c r="K177" s="67" t="n"/>
      <c r="L177" s="67" t="n"/>
      <c r="M177" s="67" t="n"/>
      <c r="N177" s="65" t="n"/>
      <c r="O177" s="64" t="n"/>
      <c r="P177" s="67" t="n"/>
      <c r="Q177" s="65" t="n"/>
      <c r="R177" s="65" t="n"/>
      <c r="S177" s="65" t="n"/>
      <c r="T177" s="71">
        <f>IF($D177="",0,IF(OR($G177="Published",$G177="Completed",$G177="Cancelled"),0,1))</f>
        <v>0</v>
      </c>
      <c r="U177" s="69" t="str">
        <f>IF($D177="","",IF(AND($T177=1,ISNUMBER($I177)),IF($I177&lt;ReportDate,ReportDate-$I177,0),0))</f>
        <v/>
      </c>
      <c r="V177" s="71" t="str">
        <f>IF($D177="","",IF(ISNUMBER($A177),IF(ISNUMBER($A177),YEAR($A177)&amp;"-"&amp;TEXT(MONTH($A177),"00"),""),IF(ISNUMBER($I177),IF(ISNUMBER($I177),YEAR($I177)&amp;"-"&amp;TEXT(MONTH($I177),"00"),""),IF(ISNUMBER($H177),IF(ISNUMBER($H177),YEAR($H177)&amp;"-"&amp;TEXT(MONTH($H177),"00"),""),""))))</f>
        <v/>
      </c>
      <c r="W177" s="71">
        <f>IF($D177="",0,IF(AND(OR(fClient="All",$B177=fClient),fCampaign="All",OR(fTeam="All",$E177=fTeam),OR(fChannel="All",$C177=fChannel,AND(fChannel="Content",OR($C177="Blog",$C177="Case Study",$C177="Whitepaper")),AND(fChannel="Webinar / Events",$C177="Webinar")),OR(fMonth="All",$V177=fMonth)),1,0))</f>
        <v>0</v>
      </c>
      <c r="X177" s="71">
        <f>IF($D177="",0,IF(AND(OR(fClient="All",$B177=fClient),fCampaign="All",OR(fTeam="All",$E177=fTeam),OR(fChannel="All",$C177=fChannel,AND(fChannel="Content",OR($C177="Blog",$C177="Case Study",$C177="Whitepaper")),AND(fChannel="Webinar / Events",$C177="Webinar"))),1,0))</f>
        <v>0</v>
      </c>
    </row>
    <row r="178">
      <c r="A178" s="63" t="n"/>
      <c r="B178" s="64" t="n"/>
      <c r="C178" s="64" t="n"/>
      <c r="D178" s="65" t="n"/>
      <c r="E178" s="64" t="n"/>
      <c r="F178" s="64" t="n"/>
      <c r="G178" s="64" t="n"/>
      <c r="H178" s="63" t="n"/>
      <c r="I178" s="63" t="n"/>
      <c r="J178" s="63" t="n"/>
      <c r="K178" s="67" t="n"/>
      <c r="L178" s="67" t="n"/>
      <c r="M178" s="67" t="n"/>
      <c r="N178" s="65" t="n"/>
      <c r="O178" s="64" t="n"/>
      <c r="P178" s="67" t="n"/>
      <c r="Q178" s="65" t="n"/>
      <c r="R178" s="65" t="n"/>
      <c r="S178" s="65" t="n"/>
      <c r="T178" s="71">
        <f>IF($D178="",0,IF(OR($G178="Published",$G178="Completed",$G178="Cancelled"),0,1))</f>
        <v>0</v>
      </c>
      <c r="U178" s="69" t="str">
        <f>IF($D178="","",IF(AND($T178=1,ISNUMBER($I178)),IF($I178&lt;ReportDate,ReportDate-$I178,0),0))</f>
        <v/>
      </c>
      <c r="V178" s="71" t="str">
        <f>IF($D178="","",IF(ISNUMBER($A178),IF(ISNUMBER($A178),YEAR($A178)&amp;"-"&amp;TEXT(MONTH($A178),"00"),""),IF(ISNUMBER($I178),IF(ISNUMBER($I178),YEAR($I178)&amp;"-"&amp;TEXT(MONTH($I178),"00"),""),IF(ISNUMBER($H178),IF(ISNUMBER($H178),YEAR($H178)&amp;"-"&amp;TEXT(MONTH($H178),"00"),""),""))))</f>
        <v/>
      </c>
      <c r="W178" s="71">
        <f>IF($D178="",0,IF(AND(OR(fClient="All",$B178=fClient),fCampaign="All",OR(fTeam="All",$E178=fTeam),OR(fChannel="All",$C178=fChannel,AND(fChannel="Content",OR($C178="Blog",$C178="Case Study",$C178="Whitepaper")),AND(fChannel="Webinar / Events",$C178="Webinar")),OR(fMonth="All",$V178=fMonth)),1,0))</f>
        <v>0</v>
      </c>
      <c r="X178" s="71">
        <f>IF($D178="",0,IF(AND(OR(fClient="All",$B178=fClient),fCampaign="All",OR(fTeam="All",$E178=fTeam),OR(fChannel="All",$C178=fChannel,AND(fChannel="Content",OR($C178="Blog",$C178="Case Study",$C178="Whitepaper")),AND(fChannel="Webinar / Events",$C178="Webinar"))),1,0))</f>
        <v>0</v>
      </c>
    </row>
    <row r="179">
      <c r="A179" s="63" t="n"/>
      <c r="B179" s="64" t="n"/>
      <c r="C179" s="64" t="n"/>
      <c r="D179" s="65" t="n"/>
      <c r="E179" s="64" t="n"/>
      <c r="F179" s="64" t="n"/>
      <c r="G179" s="64" t="n"/>
      <c r="H179" s="63" t="n"/>
      <c r="I179" s="63" t="n"/>
      <c r="J179" s="63" t="n"/>
      <c r="K179" s="67" t="n"/>
      <c r="L179" s="67" t="n"/>
      <c r="M179" s="67" t="n"/>
      <c r="N179" s="65" t="n"/>
      <c r="O179" s="64" t="n"/>
      <c r="P179" s="67" t="n"/>
      <c r="Q179" s="65" t="n"/>
      <c r="R179" s="65" t="n"/>
      <c r="S179" s="65" t="n"/>
      <c r="T179" s="71">
        <f>IF($D179="",0,IF(OR($G179="Published",$G179="Completed",$G179="Cancelled"),0,1))</f>
        <v>0</v>
      </c>
      <c r="U179" s="69" t="str">
        <f>IF($D179="","",IF(AND($T179=1,ISNUMBER($I179)),IF($I179&lt;ReportDate,ReportDate-$I179,0),0))</f>
        <v/>
      </c>
      <c r="V179" s="71" t="str">
        <f>IF($D179="","",IF(ISNUMBER($A179),IF(ISNUMBER($A179),YEAR($A179)&amp;"-"&amp;TEXT(MONTH($A179),"00"),""),IF(ISNUMBER($I179),IF(ISNUMBER($I179),YEAR($I179)&amp;"-"&amp;TEXT(MONTH($I179),"00"),""),IF(ISNUMBER($H179),IF(ISNUMBER($H179),YEAR($H179)&amp;"-"&amp;TEXT(MONTH($H179),"00"),""),""))))</f>
        <v/>
      </c>
      <c r="W179" s="71">
        <f>IF($D179="",0,IF(AND(OR(fClient="All",$B179=fClient),fCampaign="All",OR(fTeam="All",$E179=fTeam),OR(fChannel="All",$C179=fChannel,AND(fChannel="Content",OR($C179="Blog",$C179="Case Study",$C179="Whitepaper")),AND(fChannel="Webinar / Events",$C179="Webinar")),OR(fMonth="All",$V179=fMonth)),1,0))</f>
        <v>0</v>
      </c>
      <c r="X179" s="71">
        <f>IF($D179="",0,IF(AND(OR(fClient="All",$B179=fClient),fCampaign="All",OR(fTeam="All",$E179=fTeam),OR(fChannel="All",$C179=fChannel,AND(fChannel="Content",OR($C179="Blog",$C179="Case Study",$C179="Whitepaper")),AND(fChannel="Webinar / Events",$C179="Webinar"))),1,0))</f>
        <v>0</v>
      </c>
    </row>
    <row r="180">
      <c r="A180" s="63" t="n"/>
      <c r="B180" s="64" t="n"/>
      <c r="C180" s="64" t="n"/>
      <c r="D180" s="65" t="n"/>
      <c r="E180" s="64" t="n"/>
      <c r="F180" s="64" t="n"/>
      <c r="G180" s="64" t="n"/>
      <c r="H180" s="63" t="n"/>
      <c r="I180" s="63" t="n"/>
      <c r="J180" s="63" t="n"/>
      <c r="K180" s="67" t="n"/>
      <c r="L180" s="67" t="n"/>
      <c r="M180" s="67" t="n"/>
      <c r="N180" s="65" t="n"/>
      <c r="O180" s="64" t="n"/>
      <c r="P180" s="67" t="n"/>
      <c r="Q180" s="65" t="n"/>
      <c r="R180" s="65" t="n"/>
      <c r="S180" s="65" t="n"/>
      <c r="T180" s="71">
        <f>IF($D180="",0,IF(OR($G180="Published",$G180="Completed",$G180="Cancelled"),0,1))</f>
        <v>0</v>
      </c>
      <c r="U180" s="69" t="str">
        <f>IF($D180="","",IF(AND($T180=1,ISNUMBER($I180)),IF($I180&lt;ReportDate,ReportDate-$I180,0),0))</f>
        <v/>
      </c>
      <c r="V180" s="71" t="str">
        <f>IF($D180="","",IF(ISNUMBER($A180),IF(ISNUMBER($A180),YEAR($A180)&amp;"-"&amp;TEXT(MONTH($A180),"00"),""),IF(ISNUMBER($I180),IF(ISNUMBER($I180),YEAR($I180)&amp;"-"&amp;TEXT(MONTH($I180),"00"),""),IF(ISNUMBER($H180),IF(ISNUMBER($H180),YEAR($H180)&amp;"-"&amp;TEXT(MONTH($H180),"00"),""),""))))</f>
        <v/>
      </c>
      <c r="W180" s="71">
        <f>IF($D180="",0,IF(AND(OR(fClient="All",$B180=fClient),fCampaign="All",OR(fTeam="All",$E180=fTeam),OR(fChannel="All",$C180=fChannel,AND(fChannel="Content",OR($C180="Blog",$C180="Case Study",$C180="Whitepaper")),AND(fChannel="Webinar / Events",$C180="Webinar")),OR(fMonth="All",$V180=fMonth)),1,0))</f>
        <v>0</v>
      </c>
      <c r="X180" s="71">
        <f>IF($D180="",0,IF(AND(OR(fClient="All",$B180=fClient),fCampaign="All",OR(fTeam="All",$E180=fTeam),OR(fChannel="All",$C180=fChannel,AND(fChannel="Content",OR($C180="Blog",$C180="Case Study",$C180="Whitepaper")),AND(fChannel="Webinar / Events",$C180="Webinar"))),1,0))</f>
        <v>0</v>
      </c>
    </row>
    <row r="181">
      <c r="A181" s="63" t="n"/>
      <c r="B181" s="64" t="n"/>
      <c r="C181" s="64" t="n"/>
      <c r="D181" s="65" t="n"/>
      <c r="E181" s="64" t="n"/>
      <c r="F181" s="64" t="n"/>
      <c r="G181" s="64" t="n"/>
      <c r="H181" s="63" t="n"/>
      <c r="I181" s="63" t="n"/>
      <c r="J181" s="63" t="n"/>
      <c r="K181" s="67" t="n"/>
      <c r="L181" s="67" t="n"/>
      <c r="M181" s="67" t="n"/>
      <c r="N181" s="65" t="n"/>
      <c r="O181" s="64" t="n"/>
      <c r="P181" s="67" t="n"/>
      <c r="Q181" s="65" t="n"/>
      <c r="R181" s="65" t="n"/>
      <c r="S181" s="65" t="n"/>
      <c r="T181" s="71">
        <f>IF($D181="",0,IF(OR($G181="Published",$G181="Completed",$G181="Cancelled"),0,1))</f>
        <v>0</v>
      </c>
      <c r="U181" s="69" t="str">
        <f>IF($D181="","",IF(AND($T181=1,ISNUMBER($I181)),IF($I181&lt;ReportDate,ReportDate-$I181,0),0))</f>
        <v/>
      </c>
      <c r="V181" s="71" t="str">
        <f>IF($D181="","",IF(ISNUMBER($A181),IF(ISNUMBER($A181),YEAR($A181)&amp;"-"&amp;TEXT(MONTH($A181),"00"),""),IF(ISNUMBER($I181),IF(ISNUMBER($I181),YEAR($I181)&amp;"-"&amp;TEXT(MONTH($I181),"00"),""),IF(ISNUMBER($H181),IF(ISNUMBER($H181),YEAR($H181)&amp;"-"&amp;TEXT(MONTH($H181),"00"),""),""))))</f>
        <v/>
      </c>
      <c r="W181" s="71">
        <f>IF($D181="",0,IF(AND(OR(fClient="All",$B181=fClient),fCampaign="All",OR(fTeam="All",$E181=fTeam),OR(fChannel="All",$C181=fChannel,AND(fChannel="Content",OR($C181="Blog",$C181="Case Study",$C181="Whitepaper")),AND(fChannel="Webinar / Events",$C181="Webinar")),OR(fMonth="All",$V181=fMonth)),1,0))</f>
        <v>0</v>
      </c>
      <c r="X181" s="71">
        <f>IF($D181="",0,IF(AND(OR(fClient="All",$B181=fClient),fCampaign="All",OR(fTeam="All",$E181=fTeam),OR(fChannel="All",$C181=fChannel,AND(fChannel="Content",OR($C181="Blog",$C181="Case Study",$C181="Whitepaper")),AND(fChannel="Webinar / Events",$C181="Webinar"))),1,0))</f>
        <v>0</v>
      </c>
    </row>
    <row r="182">
      <c r="A182" s="63" t="n"/>
      <c r="B182" s="64" t="n"/>
      <c r="C182" s="64" t="n"/>
      <c r="D182" s="65" t="n"/>
      <c r="E182" s="64" t="n"/>
      <c r="F182" s="64" t="n"/>
      <c r="G182" s="64" t="n"/>
      <c r="H182" s="63" t="n"/>
      <c r="I182" s="63" t="n"/>
      <c r="J182" s="63" t="n"/>
      <c r="K182" s="67" t="n"/>
      <c r="L182" s="67" t="n"/>
      <c r="M182" s="67" t="n"/>
      <c r="N182" s="65" t="n"/>
      <c r="O182" s="64" t="n"/>
      <c r="P182" s="67" t="n"/>
      <c r="Q182" s="65" t="n"/>
      <c r="R182" s="65" t="n"/>
      <c r="S182" s="65" t="n"/>
      <c r="T182" s="71">
        <f>IF($D182="",0,IF(OR($G182="Published",$G182="Completed",$G182="Cancelled"),0,1))</f>
        <v>0</v>
      </c>
      <c r="U182" s="69" t="str">
        <f>IF($D182="","",IF(AND($T182=1,ISNUMBER($I182)),IF($I182&lt;ReportDate,ReportDate-$I182,0),0))</f>
        <v/>
      </c>
      <c r="V182" s="71" t="str">
        <f>IF($D182="","",IF(ISNUMBER($A182),IF(ISNUMBER($A182),YEAR($A182)&amp;"-"&amp;TEXT(MONTH($A182),"00"),""),IF(ISNUMBER($I182),IF(ISNUMBER($I182),YEAR($I182)&amp;"-"&amp;TEXT(MONTH($I182),"00"),""),IF(ISNUMBER($H182),IF(ISNUMBER($H182),YEAR($H182)&amp;"-"&amp;TEXT(MONTH($H182),"00"),""),""))))</f>
        <v/>
      </c>
      <c r="W182" s="71">
        <f>IF($D182="",0,IF(AND(OR(fClient="All",$B182=fClient),fCampaign="All",OR(fTeam="All",$E182=fTeam),OR(fChannel="All",$C182=fChannel,AND(fChannel="Content",OR($C182="Blog",$C182="Case Study",$C182="Whitepaper")),AND(fChannel="Webinar / Events",$C182="Webinar")),OR(fMonth="All",$V182=fMonth)),1,0))</f>
        <v>0</v>
      </c>
      <c r="X182" s="71">
        <f>IF($D182="",0,IF(AND(OR(fClient="All",$B182=fClient),fCampaign="All",OR(fTeam="All",$E182=fTeam),OR(fChannel="All",$C182=fChannel,AND(fChannel="Content",OR($C182="Blog",$C182="Case Study",$C182="Whitepaper")),AND(fChannel="Webinar / Events",$C182="Webinar"))),1,0))</f>
        <v>0</v>
      </c>
    </row>
    <row r="183">
      <c r="A183" s="63" t="n"/>
      <c r="B183" s="64" t="n"/>
      <c r="C183" s="64" t="n"/>
      <c r="D183" s="65" t="n"/>
      <c r="E183" s="64" t="n"/>
      <c r="F183" s="64" t="n"/>
      <c r="G183" s="64" t="n"/>
      <c r="H183" s="63" t="n"/>
      <c r="I183" s="63" t="n"/>
      <c r="J183" s="63" t="n"/>
      <c r="K183" s="67" t="n"/>
      <c r="L183" s="67" t="n"/>
      <c r="M183" s="67" t="n"/>
      <c r="N183" s="65" t="n"/>
      <c r="O183" s="64" t="n"/>
      <c r="P183" s="67" t="n"/>
      <c r="Q183" s="65" t="n"/>
      <c r="R183" s="65" t="n"/>
      <c r="S183" s="65" t="n"/>
      <c r="T183" s="71">
        <f>IF($D183="",0,IF(OR($G183="Published",$G183="Completed",$G183="Cancelled"),0,1))</f>
        <v>0</v>
      </c>
      <c r="U183" s="69" t="str">
        <f>IF($D183="","",IF(AND($T183=1,ISNUMBER($I183)),IF($I183&lt;ReportDate,ReportDate-$I183,0),0))</f>
        <v/>
      </c>
      <c r="V183" s="71" t="str">
        <f>IF($D183="","",IF(ISNUMBER($A183),IF(ISNUMBER($A183),YEAR($A183)&amp;"-"&amp;TEXT(MONTH($A183),"00"),""),IF(ISNUMBER($I183),IF(ISNUMBER($I183),YEAR($I183)&amp;"-"&amp;TEXT(MONTH($I183),"00"),""),IF(ISNUMBER($H183),IF(ISNUMBER($H183),YEAR($H183)&amp;"-"&amp;TEXT(MONTH($H183),"00"),""),""))))</f>
        <v/>
      </c>
      <c r="W183" s="71">
        <f>IF($D183="",0,IF(AND(OR(fClient="All",$B183=fClient),fCampaign="All",OR(fTeam="All",$E183=fTeam),OR(fChannel="All",$C183=fChannel,AND(fChannel="Content",OR($C183="Blog",$C183="Case Study",$C183="Whitepaper")),AND(fChannel="Webinar / Events",$C183="Webinar")),OR(fMonth="All",$V183=fMonth)),1,0))</f>
        <v>0</v>
      </c>
      <c r="X183" s="71">
        <f>IF($D183="",0,IF(AND(OR(fClient="All",$B183=fClient),fCampaign="All",OR(fTeam="All",$E183=fTeam),OR(fChannel="All",$C183=fChannel,AND(fChannel="Content",OR($C183="Blog",$C183="Case Study",$C183="Whitepaper")),AND(fChannel="Webinar / Events",$C183="Webinar"))),1,0))</f>
        <v>0</v>
      </c>
    </row>
    <row r="184">
      <c r="A184" s="63" t="n"/>
      <c r="B184" s="64" t="n"/>
      <c r="C184" s="64" t="n"/>
      <c r="D184" s="65" t="n"/>
      <c r="E184" s="64" t="n"/>
      <c r="F184" s="64" t="n"/>
      <c r="G184" s="64" t="n"/>
      <c r="H184" s="63" t="n"/>
      <c r="I184" s="63" t="n"/>
      <c r="J184" s="63" t="n"/>
      <c r="K184" s="67" t="n"/>
      <c r="L184" s="67" t="n"/>
      <c r="M184" s="67" t="n"/>
      <c r="N184" s="65" t="n"/>
      <c r="O184" s="64" t="n"/>
      <c r="P184" s="67" t="n"/>
      <c r="Q184" s="65" t="n"/>
      <c r="R184" s="65" t="n"/>
      <c r="S184" s="65" t="n"/>
      <c r="T184" s="71">
        <f>IF($D184="",0,IF(OR($G184="Published",$G184="Completed",$G184="Cancelled"),0,1))</f>
        <v>0</v>
      </c>
      <c r="U184" s="69" t="str">
        <f>IF($D184="","",IF(AND($T184=1,ISNUMBER($I184)),IF($I184&lt;ReportDate,ReportDate-$I184,0),0))</f>
        <v/>
      </c>
      <c r="V184" s="71" t="str">
        <f>IF($D184="","",IF(ISNUMBER($A184),IF(ISNUMBER($A184),YEAR($A184)&amp;"-"&amp;TEXT(MONTH($A184),"00"),""),IF(ISNUMBER($I184),IF(ISNUMBER($I184),YEAR($I184)&amp;"-"&amp;TEXT(MONTH($I184),"00"),""),IF(ISNUMBER($H184),IF(ISNUMBER($H184),YEAR($H184)&amp;"-"&amp;TEXT(MONTH($H184),"00"),""),""))))</f>
        <v/>
      </c>
      <c r="W184" s="71">
        <f>IF($D184="",0,IF(AND(OR(fClient="All",$B184=fClient),fCampaign="All",OR(fTeam="All",$E184=fTeam),OR(fChannel="All",$C184=fChannel,AND(fChannel="Content",OR($C184="Blog",$C184="Case Study",$C184="Whitepaper")),AND(fChannel="Webinar / Events",$C184="Webinar")),OR(fMonth="All",$V184=fMonth)),1,0))</f>
        <v>0</v>
      </c>
      <c r="X184" s="71">
        <f>IF($D184="",0,IF(AND(OR(fClient="All",$B184=fClient),fCampaign="All",OR(fTeam="All",$E184=fTeam),OR(fChannel="All",$C184=fChannel,AND(fChannel="Content",OR($C184="Blog",$C184="Case Study",$C184="Whitepaper")),AND(fChannel="Webinar / Events",$C184="Webinar"))),1,0))</f>
        <v>0</v>
      </c>
    </row>
    <row r="185">
      <c r="A185" s="63" t="n"/>
      <c r="B185" s="64" t="n"/>
      <c r="C185" s="64" t="n"/>
      <c r="D185" s="65" t="n"/>
      <c r="E185" s="64" t="n"/>
      <c r="F185" s="64" t="n"/>
      <c r="G185" s="64" t="n"/>
      <c r="H185" s="63" t="n"/>
      <c r="I185" s="63" t="n"/>
      <c r="J185" s="63" t="n"/>
      <c r="K185" s="67" t="n"/>
      <c r="L185" s="67" t="n"/>
      <c r="M185" s="67" t="n"/>
      <c r="N185" s="65" t="n"/>
      <c r="O185" s="64" t="n"/>
      <c r="P185" s="67" t="n"/>
      <c r="Q185" s="65" t="n"/>
      <c r="R185" s="65" t="n"/>
      <c r="S185" s="65" t="n"/>
      <c r="T185" s="71">
        <f>IF($D185="",0,IF(OR($G185="Published",$G185="Completed",$G185="Cancelled"),0,1))</f>
        <v>0</v>
      </c>
      <c r="U185" s="69" t="str">
        <f>IF($D185="","",IF(AND($T185=1,ISNUMBER($I185)),IF($I185&lt;ReportDate,ReportDate-$I185,0),0))</f>
        <v/>
      </c>
      <c r="V185" s="71" t="str">
        <f>IF($D185="","",IF(ISNUMBER($A185),IF(ISNUMBER($A185),YEAR($A185)&amp;"-"&amp;TEXT(MONTH($A185),"00"),""),IF(ISNUMBER($I185),IF(ISNUMBER($I185),YEAR($I185)&amp;"-"&amp;TEXT(MONTH($I185),"00"),""),IF(ISNUMBER($H185),IF(ISNUMBER($H185),YEAR($H185)&amp;"-"&amp;TEXT(MONTH($H185),"00"),""),""))))</f>
        <v/>
      </c>
      <c r="W185" s="71">
        <f>IF($D185="",0,IF(AND(OR(fClient="All",$B185=fClient),fCampaign="All",OR(fTeam="All",$E185=fTeam),OR(fChannel="All",$C185=fChannel,AND(fChannel="Content",OR($C185="Blog",$C185="Case Study",$C185="Whitepaper")),AND(fChannel="Webinar / Events",$C185="Webinar")),OR(fMonth="All",$V185=fMonth)),1,0))</f>
        <v>0</v>
      </c>
      <c r="X185" s="71">
        <f>IF($D185="",0,IF(AND(OR(fClient="All",$B185=fClient),fCampaign="All",OR(fTeam="All",$E185=fTeam),OR(fChannel="All",$C185=fChannel,AND(fChannel="Content",OR($C185="Blog",$C185="Case Study",$C185="Whitepaper")),AND(fChannel="Webinar / Events",$C185="Webinar"))),1,0))</f>
        <v>0</v>
      </c>
    </row>
    <row r="186">
      <c r="A186" s="63" t="n"/>
      <c r="B186" s="64" t="n"/>
      <c r="C186" s="64" t="n"/>
      <c r="D186" s="65" t="n"/>
      <c r="E186" s="64" t="n"/>
      <c r="F186" s="64" t="n"/>
      <c r="G186" s="64" t="n"/>
      <c r="H186" s="63" t="n"/>
      <c r="I186" s="63" t="n"/>
      <c r="J186" s="63" t="n"/>
      <c r="K186" s="67" t="n"/>
      <c r="L186" s="67" t="n"/>
      <c r="M186" s="67" t="n"/>
      <c r="N186" s="65" t="n"/>
      <c r="O186" s="64" t="n"/>
      <c r="P186" s="67" t="n"/>
      <c r="Q186" s="65" t="n"/>
      <c r="R186" s="65" t="n"/>
      <c r="S186" s="65" t="n"/>
      <c r="T186" s="71">
        <f>IF($D186="",0,IF(OR($G186="Published",$G186="Completed",$G186="Cancelled"),0,1))</f>
        <v>0</v>
      </c>
      <c r="U186" s="69" t="str">
        <f>IF($D186="","",IF(AND($T186=1,ISNUMBER($I186)),IF($I186&lt;ReportDate,ReportDate-$I186,0),0))</f>
        <v/>
      </c>
      <c r="V186" s="71" t="str">
        <f>IF($D186="","",IF(ISNUMBER($A186),IF(ISNUMBER($A186),YEAR($A186)&amp;"-"&amp;TEXT(MONTH($A186),"00"),""),IF(ISNUMBER($I186),IF(ISNUMBER($I186),YEAR($I186)&amp;"-"&amp;TEXT(MONTH($I186),"00"),""),IF(ISNUMBER($H186),IF(ISNUMBER($H186),YEAR($H186)&amp;"-"&amp;TEXT(MONTH($H186),"00"),""),""))))</f>
        <v/>
      </c>
      <c r="W186" s="71">
        <f>IF($D186="",0,IF(AND(OR(fClient="All",$B186=fClient),fCampaign="All",OR(fTeam="All",$E186=fTeam),OR(fChannel="All",$C186=fChannel,AND(fChannel="Content",OR($C186="Blog",$C186="Case Study",$C186="Whitepaper")),AND(fChannel="Webinar / Events",$C186="Webinar")),OR(fMonth="All",$V186=fMonth)),1,0))</f>
        <v>0</v>
      </c>
      <c r="X186" s="71">
        <f>IF($D186="",0,IF(AND(OR(fClient="All",$B186=fClient),fCampaign="All",OR(fTeam="All",$E186=fTeam),OR(fChannel="All",$C186=fChannel,AND(fChannel="Content",OR($C186="Blog",$C186="Case Study",$C186="Whitepaper")),AND(fChannel="Webinar / Events",$C186="Webinar"))),1,0))</f>
        <v>0</v>
      </c>
    </row>
    <row r="187">
      <c r="A187" s="63" t="n"/>
      <c r="B187" s="64" t="n"/>
      <c r="C187" s="64" t="n"/>
      <c r="D187" s="65" t="n"/>
      <c r="E187" s="64" t="n"/>
      <c r="F187" s="64" t="n"/>
      <c r="G187" s="64" t="n"/>
      <c r="H187" s="63" t="n"/>
      <c r="I187" s="63" t="n"/>
      <c r="J187" s="63" t="n"/>
      <c r="K187" s="67" t="n"/>
      <c r="L187" s="67" t="n"/>
      <c r="M187" s="67" t="n"/>
      <c r="N187" s="65" t="n"/>
      <c r="O187" s="64" t="n"/>
      <c r="P187" s="67" t="n"/>
      <c r="Q187" s="65" t="n"/>
      <c r="R187" s="65" t="n"/>
      <c r="S187" s="65" t="n"/>
      <c r="T187" s="71">
        <f>IF($D187="",0,IF(OR($G187="Published",$G187="Completed",$G187="Cancelled"),0,1))</f>
        <v>0</v>
      </c>
      <c r="U187" s="69" t="str">
        <f>IF($D187="","",IF(AND($T187=1,ISNUMBER($I187)),IF($I187&lt;ReportDate,ReportDate-$I187,0),0))</f>
        <v/>
      </c>
      <c r="V187" s="71" t="str">
        <f>IF($D187="","",IF(ISNUMBER($A187),IF(ISNUMBER($A187),YEAR($A187)&amp;"-"&amp;TEXT(MONTH($A187),"00"),""),IF(ISNUMBER($I187),IF(ISNUMBER($I187),YEAR($I187)&amp;"-"&amp;TEXT(MONTH($I187),"00"),""),IF(ISNUMBER($H187),IF(ISNUMBER($H187),YEAR($H187)&amp;"-"&amp;TEXT(MONTH($H187),"00"),""),""))))</f>
        <v/>
      </c>
      <c r="W187" s="71">
        <f>IF($D187="",0,IF(AND(OR(fClient="All",$B187=fClient),fCampaign="All",OR(fTeam="All",$E187=fTeam),OR(fChannel="All",$C187=fChannel,AND(fChannel="Content",OR($C187="Blog",$C187="Case Study",$C187="Whitepaper")),AND(fChannel="Webinar / Events",$C187="Webinar")),OR(fMonth="All",$V187=fMonth)),1,0))</f>
        <v>0</v>
      </c>
      <c r="X187" s="71">
        <f>IF($D187="",0,IF(AND(OR(fClient="All",$B187=fClient),fCampaign="All",OR(fTeam="All",$E187=fTeam),OR(fChannel="All",$C187=fChannel,AND(fChannel="Content",OR($C187="Blog",$C187="Case Study",$C187="Whitepaper")),AND(fChannel="Webinar / Events",$C187="Webinar"))),1,0))</f>
        <v>0</v>
      </c>
    </row>
    <row r="188">
      <c r="A188" s="63" t="n"/>
      <c r="B188" s="64" t="n"/>
      <c r="C188" s="64" t="n"/>
      <c r="D188" s="65" t="n"/>
      <c r="E188" s="64" t="n"/>
      <c r="F188" s="64" t="n"/>
      <c r="G188" s="64" t="n"/>
      <c r="H188" s="63" t="n"/>
      <c r="I188" s="63" t="n"/>
      <c r="J188" s="63" t="n"/>
      <c r="K188" s="67" t="n"/>
      <c r="L188" s="67" t="n"/>
      <c r="M188" s="67" t="n"/>
      <c r="N188" s="65" t="n"/>
      <c r="O188" s="64" t="n"/>
      <c r="P188" s="67" t="n"/>
      <c r="Q188" s="65" t="n"/>
      <c r="R188" s="65" t="n"/>
      <c r="S188" s="65" t="n"/>
      <c r="T188" s="71">
        <f>IF($D188="",0,IF(OR($G188="Published",$G188="Completed",$G188="Cancelled"),0,1))</f>
        <v>0</v>
      </c>
      <c r="U188" s="69" t="str">
        <f>IF($D188="","",IF(AND($T188=1,ISNUMBER($I188)),IF($I188&lt;ReportDate,ReportDate-$I188,0),0))</f>
        <v/>
      </c>
      <c r="V188" s="71" t="str">
        <f>IF($D188="","",IF(ISNUMBER($A188),IF(ISNUMBER($A188),YEAR($A188)&amp;"-"&amp;TEXT(MONTH($A188),"00"),""),IF(ISNUMBER($I188),IF(ISNUMBER($I188),YEAR($I188)&amp;"-"&amp;TEXT(MONTH($I188),"00"),""),IF(ISNUMBER($H188),IF(ISNUMBER($H188),YEAR($H188)&amp;"-"&amp;TEXT(MONTH($H188),"00"),""),""))))</f>
        <v/>
      </c>
      <c r="W188" s="71">
        <f>IF($D188="",0,IF(AND(OR(fClient="All",$B188=fClient),fCampaign="All",OR(fTeam="All",$E188=fTeam),OR(fChannel="All",$C188=fChannel,AND(fChannel="Content",OR($C188="Blog",$C188="Case Study",$C188="Whitepaper")),AND(fChannel="Webinar / Events",$C188="Webinar")),OR(fMonth="All",$V188=fMonth)),1,0))</f>
        <v>0</v>
      </c>
      <c r="X188" s="71">
        <f>IF($D188="",0,IF(AND(OR(fClient="All",$B188=fClient),fCampaign="All",OR(fTeam="All",$E188=fTeam),OR(fChannel="All",$C188=fChannel,AND(fChannel="Content",OR($C188="Blog",$C188="Case Study",$C188="Whitepaper")),AND(fChannel="Webinar / Events",$C188="Webinar"))),1,0))</f>
        <v>0</v>
      </c>
    </row>
    <row r="189">
      <c r="A189" s="63" t="n"/>
      <c r="B189" s="64" t="n"/>
      <c r="C189" s="64" t="n"/>
      <c r="D189" s="65" t="n"/>
      <c r="E189" s="64" t="n"/>
      <c r="F189" s="64" t="n"/>
      <c r="G189" s="64" t="n"/>
      <c r="H189" s="63" t="n"/>
      <c r="I189" s="63" t="n"/>
      <c r="J189" s="63" t="n"/>
      <c r="K189" s="67" t="n"/>
      <c r="L189" s="67" t="n"/>
      <c r="M189" s="67" t="n"/>
      <c r="N189" s="65" t="n"/>
      <c r="O189" s="64" t="n"/>
      <c r="P189" s="67" t="n"/>
      <c r="Q189" s="65" t="n"/>
      <c r="R189" s="65" t="n"/>
      <c r="S189" s="65" t="n"/>
      <c r="T189" s="71">
        <f>IF($D189="",0,IF(OR($G189="Published",$G189="Completed",$G189="Cancelled"),0,1))</f>
        <v>0</v>
      </c>
      <c r="U189" s="69" t="str">
        <f>IF($D189="","",IF(AND($T189=1,ISNUMBER($I189)),IF($I189&lt;ReportDate,ReportDate-$I189,0),0))</f>
        <v/>
      </c>
      <c r="V189" s="71" t="str">
        <f>IF($D189="","",IF(ISNUMBER($A189),IF(ISNUMBER($A189),YEAR($A189)&amp;"-"&amp;TEXT(MONTH($A189),"00"),""),IF(ISNUMBER($I189),IF(ISNUMBER($I189),YEAR($I189)&amp;"-"&amp;TEXT(MONTH($I189),"00"),""),IF(ISNUMBER($H189),IF(ISNUMBER($H189),YEAR($H189)&amp;"-"&amp;TEXT(MONTH($H189),"00"),""),""))))</f>
        <v/>
      </c>
      <c r="W189" s="71">
        <f>IF($D189="",0,IF(AND(OR(fClient="All",$B189=fClient),fCampaign="All",OR(fTeam="All",$E189=fTeam),OR(fChannel="All",$C189=fChannel,AND(fChannel="Content",OR($C189="Blog",$C189="Case Study",$C189="Whitepaper")),AND(fChannel="Webinar / Events",$C189="Webinar")),OR(fMonth="All",$V189=fMonth)),1,0))</f>
        <v>0</v>
      </c>
      <c r="X189" s="71">
        <f>IF($D189="",0,IF(AND(OR(fClient="All",$B189=fClient),fCampaign="All",OR(fTeam="All",$E189=fTeam),OR(fChannel="All",$C189=fChannel,AND(fChannel="Content",OR($C189="Blog",$C189="Case Study",$C189="Whitepaper")),AND(fChannel="Webinar / Events",$C189="Webinar"))),1,0))</f>
        <v>0</v>
      </c>
    </row>
    <row r="190">
      <c r="A190" s="63" t="n"/>
      <c r="B190" s="64" t="n"/>
      <c r="C190" s="64" t="n"/>
      <c r="D190" s="65" t="n"/>
      <c r="E190" s="64" t="n"/>
      <c r="F190" s="64" t="n"/>
      <c r="G190" s="64" t="n"/>
      <c r="H190" s="63" t="n"/>
      <c r="I190" s="63" t="n"/>
      <c r="J190" s="63" t="n"/>
      <c r="K190" s="67" t="n"/>
      <c r="L190" s="67" t="n"/>
      <c r="M190" s="67" t="n"/>
      <c r="N190" s="65" t="n"/>
      <c r="O190" s="64" t="n"/>
      <c r="P190" s="67" t="n"/>
      <c r="Q190" s="65" t="n"/>
      <c r="R190" s="65" t="n"/>
      <c r="S190" s="65" t="n"/>
      <c r="T190" s="71">
        <f>IF($D190="",0,IF(OR($G190="Published",$G190="Completed",$G190="Cancelled"),0,1))</f>
        <v>0</v>
      </c>
      <c r="U190" s="69" t="str">
        <f>IF($D190="","",IF(AND($T190=1,ISNUMBER($I190)),IF($I190&lt;ReportDate,ReportDate-$I190,0),0))</f>
        <v/>
      </c>
      <c r="V190" s="71" t="str">
        <f>IF($D190="","",IF(ISNUMBER($A190),IF(ISNUMBER($A190),YEAR($A190)&amp;"-"&amp;TEXT(MONTH($A190),"00"),""),IF(ISNUMBER($I190),IF(ISNUMBER($I190),YEAR($I190)&amp;"-"&amp;TEXT(MONTH($I190),"00"),""),IF(ISNUMBER($H190),IF(ISNUMBER($H190),YEAR($H190)&amp;"-"&amp;TEXT(MONTH($H190),"00"),""),""))))</f>
        <v/>
      </c>
      <c r="W190" s="71">
        <f>IF($D190="",0,IF(AND(OR(fClient="All",$B190=fClient),fCampaign="All",OR(fTeam="All",$E190=fTeam),OR(fChannel="All",$C190=fChannel,AND(fChannel="Content",OR($C190="Blog",$C190="Case Study",$C190="Whitepaper")),AND(fChannel="Webinar / Events",$C190="Webinar")),OR(fMonth="All",$V190=fMonth)),1,0))</f>
        <v>0</v>
      </c>
      <c r="X190" s="71">
        <f>IF($D190="",0,IF(AND(OR(fClient="All",$B190=fClient),fCampaign="All",OR(fTeam="All",$E190=fTeam),OR(fChannel="All",$C190=fChannel,AND(fChannel="Content",OR($C190="Blog",$C190="Case Study",$C190="Whitepaper")),AND(fChannel="Webinar / Events",$C190="Webinar"))),1,0))</f>
        <v>0</v>
      </c>
    </row>
    <row r="191">
      <c r="A191" s="63" t="n"/>
      <c r="B191" s="64" t="n"/>
      <c r="C191" s="64" t="n"/>
      <c r="D191" s="65" t="n"/>
      <c r="E191" s="64" t="n"/>
      <c r="F191" s="64" t="n"/>
      <c r="G191" s="64" t="n"/>
      <c r="H191" s="63" t="n"/>
      <c r="I191" s="63" t="n"/>
      <c r="J191" s="63" t="n"/>
      <c r="K191" s="67" t="n"/>
      <c r="L191" s="67" t="n"/>
      <c r="M191" s="67" t="n"/>
      <c r="N191" s="65" t="n"/>
      <c r="O191" s="64" t="n"/>
      <c r="P191" s="67" t="n"/>
      <c r="Q191" s="65" t="n"/>
      <c r="R191" s="65" t="n"/>
      <c r="S191" s="65" t="n"/>
      <c r="T191" s="71">
        <f>IF($D191="",0,IF(OR($G191="Published",$G191="Completed",$G191="Cancelled"),0,1))</f>
        <v>0</v>
      </c>
      <c r="U191" s="69" t="str">
        <f>IF($D191="","",IF(AND($T191=1,ISNUMBER($I191)),IF($I191&lt;ReportDate,ReportDate-$I191,0),0))</f>
        <v/>
      </c>
      <c r="V191" s="71" t="str">
        <f>IF($D191="","",IF(ISNUMBER($A191),IF(ISNUMBER($A191),YEAR($A191)&amp;"-"&amp;TEXT(MONTH($A191),"00"),""),IF(ISNUMBER($I191),IF(ISNUMBER($I191),YEAR($I191)&amp;"-"&amp;TEXT(MONTH($I191),"00"),""),IF(ISNUMBER($H191),IF(ISNUMBER($H191),YEAR($H191)&amp;"-"&amp;TEXT(MONTH($H191),"00"),""),""))))</f>
        <v/>
      </c>
      <c r="W191" s="71">
        <f>IF($D191="",0,IF(AND(OR(fClient="All",$B191=fClient),fCampaign="All",OR(fTeam="All",$E191=fTeam),OR(fChannel="All",$C191=fChannel,AND(fChannel="Content",OR($C191="Blog",$C191="Case Study",$C191="Whitepaper")),AND(fChannel="Webinar / Events",$C191="Webinar")),OR(fMonth="All",$V191=fMonth)),1,0))</f>
        <v>0</v>
      </c>
      <c r="X191" s="71">
        <f>IF($D191="",0,IF(AND(OR(fClient="All",$B191=fClient),fCampaign="All",OR(fTeam="All",$E191=fTeam),OR(fChannel="All",$C191=fChannel,AND(fChannel="Content",OR($C191="Blog",$C191="Case Study",$C191="Whitepaper")),AND(fChannel="Webinar / Events",$C191="Webinar"))),1,0))</f>
        <v>0</v>
      </c>
    </row>
    <row r="192">
      <c r="A192" s="63" t="n"/>
      <c r="B192" s="64" t="n"/>
      <c r="C192" s="64" t="n"/>
      <c r="D192" s="65" t="n"/>
      <c r="E192" s="64" t="n"/>
      <c r="F192" s="64" t="n"/>
      <c r="G192" s="64" t="n"/>
      <c r="H192" s="63" t="n"/>
      <c r="I192" s="63" t="n"/>
      <c r="J192" s="63" t="n"/>
      <c r="K192" s="67" t="n"/>
      <c r="L192" s="67" t="n"/>
      <c r="M192" s="67" t="n"/>
      <c r="N192" s="65" t="n"/>
      <c r="O192" s="64" t="n"/>
      <c r="P192" s="67" t="n"/>
      <c r="Q192" s="65" t="n"/>
      <c r="R192" s="65" t="n"/>
      <c r="S192" s="65" t="n"/>
      <c r="T192" s="71">
        <f>IF($D192="",0,IF(OR($G192="Published",$G192="Completed",$G192="Cancelled"),0,1))</f>
        <v>0</v>
      </c>
      <c r="U192" s="69" t="str">
        <f>IF($D192="","",IF(AND($T192=1,ISNUMBER($I192)),IF($I192&lt;ReportDate,ReportDate-$I192,0),0))</f>
        <v/>
      </c>
      <c r="V192" s="71" t="str">
        <f>IF($D192="","",IF(ISNUMBER($A192),IF(ISNUMBER($A192),YEAR($A192)&amp;"-"&amp;TEXT(MONTH($A192),"00"),""),IF(ISNUMBER($I192),IF(ISNUMBER($I192),YEAR($I192)&amp;"-"&amp;TEXT(MONTH($I192),"00"),""),IF(ISNUMBER($H192),IF(ISNUMBER($H192),YEAR($H192)&amp;"-"&amp;TEXT(MONTH($H192),"00"),""),""))))</f>
        <v/>
      </c>
      <c r="W192" s="71">
        <f>IF($D192="",0,IF(AND(OR(fClient="All",$B192=fClient),fCampaign="All",OR(fTeam="All",$E192=fTeam),OR(fChannel="All",$C192=fChannel,AND(fChannel="Content",OR($C192="Blog",$C192="Case Study",$C192="Whitepaper")),AND(fChannel="Webinar / Events",$C192="Webinar")),OR(fMonth="All",$V192=fMonth)),1,0))</f>
        <v>0</v>
      </c>
      <c r="X192" s="71">
        <f>IF($D192="",0,IF(AND(OR(fClient="All",$B192=fClient),fCampaign="All",OR(fTeam="All",$E192=fTeam),OR(fChannel="All",$C192=fChannel,AND(fChannel="Content",OR($C192="Blog",$C192="Case Study",$C192="Whitepaper")),AND(fChannel="Webinar / Events",$C192="Webinar"))),1,0))</f>
        <v>0</v>
      </c>
    </row>
    <row r="193">
      <c r="A193" s="63" t="n"/>
      <c r="B193" s="64" t="n"/>
      <c r="C193" s="64" t="n"/>
      <c r="D193" s="65" t="n"/>
      <c r="E193" s="64" t="n"/>
      <c r="F193" s="64" t="n"/>
      <c r="G193" s="64" t="n"/>
      <c r="H193" s="63" t="n"/>
      <c r="I193" s="63" t="n"/>
      <c r="J193" s="63" t="n"/>
      <c r="K193" s="67" t="n"/>
      <c r="L193" s="67" t="n"/>
      <c r="M193" s="67" t="n"/>
      <c r="N193" s="65" t="n"/>
      <c r="O193" s="64" t="n"/>
      <c r="P193" s="67" t="n"/>
      <c r="Q193" s="65" t="n"/>
      <c r="R193" s="65" t="n"/>
      <c r="S193" s="65" t="n"/>
      <c r="T193" s="71">
        <f>IF($D193="",0,IF(OR($G193="Published",$G193="Completed",$G193="Cancelled"),0,1))</f>
        <v>0</v>
      </c>
      <c r="U193" s="69" t="str">
        <f>IF($D193="","",IF(AND($T193=1,ISNUMBER($I193)),IF($I193&lt;ReportDate,ReportDate-$I193,0),0))</f>
        <v/>
      </c>
      <c r="V193" s="71" t="str">
        <f>IF($D193="","",IF(ISNUMBER($A193),IF(ISNUMBER($A193),YEAR($A193)&amp;"-"&amp;TEXT(MONTH($A193),"00"),""),IF(ISNUMBER($I193),IF(ISNUMBER($I193),YEAR($I193)&amp;"-"&amp;TEXT(MONTH($I193),"00"),""),IF(ISNUMBER($H193),IF(ISNUMBER($H193),YEAR($H193)&amp;"-"&amp;TEXT(MONTH($H193),"00"),""),""))))</f>
        <v/>
      </c>
      <c r="W193" s="71">
        <f>IF($D193="",0,IF(AND(OR(fClient="All",$B193=fClient),fCampaign="All",OR(fTeam="All",$E193=fTeam),OR(fChannel="All",$C193=fChannel,AND(fChannel="Content",OR($C193="Blog",$C193="Case Study",$C193="Whitepaper")),AND(fChannel="Webinar / Events",$C193="Webinar")),OR(fMonth="All",$V193=fMonth)),1,0))</f>
        <v>0</v>
      </c>
      <c r="X193" s="71">
        <f>IF($D193="",0,IF(AND(OR(fClient="All",$B193=fClient),fCampaign="All",OR(fTeam="All",$E193=fTeam),OR(fChannel="All",$C193=fChannel,AND(fChannel="Content",OR($C193="Blog",$C193="Case Study",$C193="Whitepaper")),AND(fChannel="Webinar / Events",$C193="Webinar"))),1,0))</f>
        <v>0</v>
      </c>
    </row>
    <row r="194">
      <c r="A194" s="63" t="n"/>
      <c r="B194" s="64" t="n"/>
      <c r="C194" s="64" t="n"/>
      <c r="D194" s="65" t="n"/>
      <c r="E194" s="64" t="n"/>
      <c r="F194" s="64" t="n"/>
      <c r="G194" s="64" t="n"/>
      <c r="H194" s="63" t="n"/>
      <c r="I194" s="63" t="n"/>
      <c r="J194" s="63" t="n"/>
      <c r="K194" s="67" t="n"/>
      <c r="L194" s="67" t="n"/>
      <c r="M194" s="67" t="n"/>
      <c r="N194" s="65" t="n"/>
      <c r="O194" s="64" t="n"/>
      <c r="P194" s="67" t="n"/>
      <c r="Q194" s="65" t="n"/>
      <c r="R194" s="65" t="n"/>
      <c r="S194" s="65" t="n"/>
      <c r="T194" s="71">
        <f>IF($D194="",0,IF(OR($G194="Published",$G194="Completed",$G194="Cancelled"),0,1))</f>
        <v>0</v>
      </c>
      <c r="U194" s="69" t="str">
        <f>IF($D194="","",IF(AND($T194=1,ISNUMBER($I194)),IF($I194&lt;ReportDate,ReportDate-$I194,0),0))</f>
        <v/>
      </c>
      <c r="V194" s="71" t="str">
        <f>IF($D194="","",IF(ISNUMBER($A194),IF(ISNUMBER($A194),YEAR($A194)&amp;"-"&amp;TEXT(MONTH($A194),"00"),""),IF(ISNUMBER($I194),IF(ISNUMBER($I194),YEAR($I194)&amp;"-"&amp;TEXT(MONTH($I194),"00"),""),IF(ISNUMBER($H194),IF(ISNUMBER($H194),YEAR($H194)&amp;"-"&amp;TEXT(MONTH($H194),"00"),""),""))))</f>
        <v/>
      </c>
      <c r="W194" s="71">
        <f>IF($D194="",0,IF(AND(OR(fClient="All",$B194=fClient),fCampaign="All",OR(fTeam="All",$E194=fTeam),OR(fChannel="All",$C194=fChannel,AND(fChannel="Content",OR($C194="Blog",$C194="Case Study",$C194="Whitepaper")),AND(fChannel="Webinar / Events",$C194="Webinar")),OR(fMonth="All",$V194=fMonth)),1,0))</f>
        <v>0</v>
      </c>
      <c r="X194" s="71">
        <f>IF($D194="",0,IF(AND(OR(fClient="All",$B194=fClient),fCampaign="All",OR(fTeam="All",$E194=fTeam),OR(fChannel="All",$C194=fChannel,AND(fChannel="Content",OR($C194="Blog",$C194="Case Study",$C194="Whitepaper")),AND(fChannel="Webinar / Events",$C194="Webinar"))),1,0))</f>
        <v>0</v>
      </c>
    </row>
    <row r="195">
      <c r="A195" s="63" t="n"/>
      <c r="B195" s="64" t="n"/>
      <c r="C195" s="64" t="n"/>
      <c r="D195" s="65" t="n"/>
      <c r="E195" s="64" t="n"/>
      <c r="F195" s="64" t="n"/>
      <c r="G195" s="64" t="n"/>
      <c r="H195" s="63" t="n"/>
      <c r="I195" s="63" t="n"/>
      <c r="J195" s="63" t="n"/>
      <c r="K195" s="67" t="n"/>
      <c r="L195" s="67" t="n"/>
      <c r="M195" s="67" t="n"/>
      <c r="N195" s="65" t="n"/>
      <c r="O195" s="64" t="n"/>
      <c r="P195" s="67" t="n"/>
      <c r="Q195" s="65" t="n"/>
      <c r="R195" s="65" t="n"/>
      <c r="S195" s="65" t="n"/>
      <c r="T195" s="71">
        <f>IF($D195="",0,IF(OR($G195="Published",$G195="Completed",$G195="Cancelled"),0,1))</f>
        <v>0</v>
      </c>
      <c r="U195" s="69" t="str">
        <f>IF($D195="","",IF(AND($T195=1,ISNUMBER($I195)),IF($I195&lt;ReportDate,ReportDate-$I195,0),0))</f>
        <v/>
      </c>
      <c r="V195" s="71" t="str">
        <f>IF($D195="","",IF(ISNUMBER($A195),IF(ISNUMBER($A195),YEAR($A195)&amp;"-"&amp;TEXT(MONTH($A195),"00"),""),IF(ISNUMBER($I195),IF(ISNUMBER($I195),YEAR($I195)&amp;"-"&amp;TEXT(MONTH($I195),"00"),""),IF(ISNUMBER($H195),IF(ISNUMBER($H195),YEAR($H195)&amp;"-"&amp;TEXT(MONTH($H195),"00"),""),""))))</f>
        <v/>
      </c>
      <c r="W195" s="71">
        <f>IF($D195="",0,IF(AND(OR(fClient="All",$B195=fClient),fCampaign="All",OR(fTeam="All",$E195=fTeam),OR(fChannel="All",$C195=fChannel,AND(fChannel="Content",OR($C195="Blog",$C195="Case Study",$C195="Whitepaper")),AND(fChannel="Webinar / Events",$C195="Webinar")),OR(fMonth="All",$V195=fMonth)),1,0))</f>
        <v>0</v>
      </c>
      <c r="X195" s="71">
        <f>IF($D195="",0,IF(AND(OR(fClient="All",$B195=fClient),fCampaign="All",OR(fTeam="All",$E195=fTeam),OR(fChannel="All",$C195=fChannel,AND(fChannel="Content",OR($C195="Blog",$C195="Case Study",$C195="Whitepaper")),AND(fChannel="Webinar / Events",$C195="Webinar"))),1,0))</f>
        <v>0</v>
      </c>
    </row>
    <row r="196">
      <c r="A196" s="63" t="n"/>
      <c r="B196" s="64" t="n"/>
      <c r="C196" s="64" t="n"/>
      <c r="D196" s="65" t="n"/>
      <c r="E196" s="64" t="n"/>
      <c r="F196" s="64" t="n"/>
      <c r="G196" s="64" t="n"/>
      <c r="H196" s="63" t="n"/>
      <c r="I196" s="63" t="n"/>
      <c r="J196" s="63" t="n"/>
      <c r="K196" s="67" t="n"/>
      <c r="L196" s="67" t="n"/>
      <c r="M196" s="67" t="n"/>
      <c r="N196" s="65" t="n"/>
      <c r="O196" s="64" t="n"/>
      <c r="P196" s="67" t="n"/>
      <c r="Q196" s="65" t="n"/>
      <c r="R196" s="65" t="n"/>
      <c r="S196" s="65" t="n"/>
      <c r="T196" s="71">
        <f>IF($D196="",0,IF(OR($G196="Published",$G196="Completed",$G196="Cancelled"),0,1))</f>
        <v>0</v>
      </c>
      <c r="U196" s="69" t="str">
        <f>IF($D196="","",IF(AND($T196=1,ISNUMBER($I196)),IF($I196&lt;ReportDate,ReportDate-$I196,0),0))</f>
        <v/>
      </c>
      <c r="V196" s="71" t="str">
        <f>IF($D196="","",IF(ISNUMBER($A196),IF(ISNUMBER($A196),YEAR($A196)&amp;"-"&amp;TEXT(MONTH($A196),"00"),""),IF(ISNUMBER($I196),IF(ISNUMBER($I196),YEAR($I196)&amp;"-"&amp;TEXT(MONTH($I196),"00"),""),IF(ISNUMBER($H196),IF(ISNUMBER($H196),YEAR($H196)&amp;"-"&amp;TEXT(MONTH($H196),"00"),""),""))))</f>
        <v/>
      </c>
      <c r="W196" s="71">
        <f>IF($D196="",0,IF(AND(OR(fClient="All",$B196=fClient),fCampaign="All",OR(fTeam="All",$E196=fTeam),OR(fChannel="All",$C196=fChannel,AND(fChannel="Content",OR($C196="Blog",$C196="Case Study",$C196="Whitepaper")),AND(fChannel="Webinar / Events",$C196="Webinar")),OR(fMonth="All",$V196=fMonth)),1,0))</f>
        <v>0</v>
      </c>
      <c r="X196" s="71">
        <f>IF($D196="",0,IF(AND(OR(fClient="All",$B196=fClient),fCampaign="All",OR(fTeam="All",$E196=fTeam),OR(fChannel="All",$C196=fChannel,AND(fChannel="Content",OR($C196="Blog",$C196="Case Study",$C196="Whitepaper")),AND(fChannel="Webinar / Events",$C196="Webinar"))),1,0))</f>
        <v>0</v>
      </c>
    </row>
    <row r="197">
      <c r="A197" s="63" t="n"/>
      <c r="B197" s="64" t="n"/>
      <c r="C197" s="64" t="n"/>
      <c r="D197" s="65" t="n"/>
      <c r="E197" s="64" t="n"/>
      <c r="F197" s="64" t="n"/>
      <c r="G197" s="64" t="n"/>
      <c r="H197" s="63" t="n"/>
      <c r="I197" s="63" t="n"/>
      <c r="J197" s="63" t="n"/>
      <c r="K197" s="67" t="n"/>
      <c r="L197" s="67" t="n"/>
      <c r="M197" s="67" t="n"/>
      <c r="N197" s="65" t="n"/>
      <c r="O197" s="64" t="n"/>
      <c r="P197" s="67" t="n"/>
      <c r="Q197" s="65" t="n"/>
      <c r="R197" s="65" t="n"/>
      <c r="S197" s="65" t="n"/>
      <c r="T197" s="71">
        <f>IF($D197="",0,IF(OR($G197="Published",$G197="Completed",$G197="Cancelled"),0,1))</f>
        <v>0</v>
      </c>
      <c r="U197" s="69" t="str">
        <f>IF($D197="","",IF(AND($T197=1,ISNUMBER($I197)),IF($I197&lt;ReportDate,ReportDate-$I197,0),0))</f>
        <v/>
      </c>
      <c r="V197" s="71" t="str">
        <f>IF($D197="","",IF(ISNUMBER($A197),IF(ISNUMBER($A197),YEAR($A197)&amp;"-"&amp;TEXT(MONTH($A197),"00"),""),IF(ISNUMBER($I197),IF(ISNUMBER($I197),YEAR($I197)&amp;"-"&amp;TEXT(MONTH($I197),"00"),""),IF(ISNUMBER($H197),IF(ISNUMBER($H197),YEAR($H197)&amp;"-"&amp;TEXT(MONTH($H197),"00"),""),""))))</f>
        <v/>
      </c>
      <c r="W197" s="71">
        <f>IF($D197="",0,IF(AND(OR(fClient="All",$B197=fClient),fCampaign="All",OR(fTeam="All",$E197=fTeam),OR(fChannel="All",$C197=fChannel,AND(fChannel="Content",OR($C197="Blog",$C197="Case Study",$C197="Whitepaper")),AND(fChannel="Webinar / Events",$C197="Webinar")),OR(fMonth="All",$V197=fMonth)),1,0))</f>
        <v>0</v>
      </c>
      <c r="X197" s="71">
        <f>IF($D197="",0,IF(AND(OR(fClient="All",$B197=fClient),fCampaign="All",OR(fTeam="All",$E197=fTeam),OR(fChannel="All",$C197=fChannel,AND(fChannel="Content",OR($C197="Blog",$C197="Case Study",$C197="Whitepaper")),AND(fChannel="Webinar / Events",$C197="Webinar"))),1,0))</f>
        <v>0</v>
      </c>
    </row>
    <row r="198">
      <c r="A198" s="63" t="n"/>
      <c r="B198" s="64" t="n"/>
      <c r="C198" s="64" t="n"/>
      <c r="D198" s="65" t="n"/>
      <c r="E198" s="64" t="n"/>
      <c r="F198" s="64" t="n"/>
      <c r="G198" s="64" t="n"/>
      <c r="H198" s="63" t="n"/>
      <c r="I198" s="63" t="n"/>
      <c r="J198" s="63" t="n"/>
      <c r="K198" s="67" t="n"/>
      <c r="L198" s="67" t="n"/>
      <c r="M198" s="67" t="n"/>
      <c r="N198" s="65" t="n"/>
      <c r="O198" s="64" t="n"/>
      <c r="P198" s="67" t="n"/>
      <c r="Q198" s="65" t="n"/>
      <c r="R198" s="65" t="n"/>
      <c r="S198" s="65" t="n"/>
      <c r="T198" s="71">
        <f>IF($D198="",0,IF(OR($G198="Published",$G198="Completed",$G198="Cancelled"),0,1))</f>
        <v>0</v>
      </c>
      <c r="U198" s="69" t="str">
        <f>IF($D198="","",IF(AND($T198=1,ISNUMBER($I198)),IF($I198&lt;ReportDate,ReportDate-$I198,0),0))</f>
        <v/>
      </c>
      <c r="V198" s="71" t="str">
        <f>IF($D198="","",IF(ISNUMBER($A198),IF(ISNUMBER($A198),YEAR($A198)&amp;"-"&amp;TEXT(MONTH($A198),"00"),""),IF(ISNUMBER($I198),IF(ISNUMBER($I198),YEAR($I198)&amp;"-"&amp;TEXT(MONTH($I198),"00"),""),IF(ISNUMBER($H198),IF(ISNUMBER($H198),YEAR($H198)&amp;"-"&amp;TEXT(MONTH($H198),"00"),""),""))))</f>
        <v/>
      </c>
      <c r="W198" s="71">
        <f>IF($D198="",0,IF(AND(OR(fClient="All",$B198=fClient),fCampaign="All",OR(fTeam="All",$E198=fTeam),OR(fChannel="All",$C198=fChannel,AND(fChannel="Content",OR($C198="Blog",$C198="Case Study",$C198="Whitepaper")),AND(fChannel="Webinar / Events",$C198="Webinar")),OR(fMonth="All",$V198=fMonth)),1,0))</f>
        <v>0</v>
      </c>
      <c r="X198" s="71">
        <f>IF($D198="",0,IF(AND(OR(fClient="All",$B198=fClient),fCampaign="All",OR(fTeam="All",$E198=fTeam),OR(fChannel="All",$C198=fChannel,AND(fChannel="Content",OR($C198="Blog",$C198="Case Study",$C198="Whitepaper")),AND(fChannel="Webinar / Events",$C198="Webinar"))),1,0))</f>
        <v>0</v>
      </c>
    </row>
    <row r="199">
      <c r="A199" s="63" t="n"/>
      <c r="B199" s="64" t="n"/>
      <c r="C199" s="64" t="n"/>
      <c r="D199" s="65" t="n"/>
      <c r="E199" s="64" t="n"/>
      <c r="F199" s="64" t="n"/>
      <c r="G199" s="64" t="n"/>
      <c r="H199" s="63" t="n"/>
      <c r="I199" s="63" t="n"/>
      <c r="J199" s="63" t="n"/>
      <c r="K199" s="67" t="n"/>
      <c r="L199" s="67" t="n"/>
      <c r="M199" s="67" t="n"/>
      <c r="N199" s="65" t="n"/>
      <c r="O199" s="64" t="n"/>
      <c r="P199" s="67" t="n"/>
      <c r="Q199" s="65" t="n"/>
      <c r="R199" s="65" t="n"/>
      <c r="S199" s="65" t="n"/>
      <c r="T199" s="71">
        <f>IF($D199="",0,IF(OR($G199="Published",$G199="Completed",$G199="Cancelled"),0,1))</f>
        <v>0</v>
      </c>
      <c r="U199" s="69" t="str">
        <f>IF($D199="","",IF(AND($T199=1,ISNUMBER($I199)),IF($I199&lt;ReportDate,ReportDate-$I199,0),0))</f>
        <v/>
      </c>
      <c r="V199" s="71" t="str">
        <f>IF($D199="","",IF(ISNUMBER($A199),IF(ISNUMBER($A199),YEAR($A199)&amp;"-"&amp;TEXT(MONTH($A199),"00"),""),IF(ISNUMBER($I199),IF(ISNUMBER($I199),YEAR($I199)&amp;"-"&amp;TEXT(MONTH($I199),"00"),""),IF(ISNUMBER($H199),IF(ISNUMBER($H199),YEAR($H199)&amp;"-"&amp;TEXT(MONTH($H199),"00"),""),""))))</f>
        <v/>
      </c>
      <c r="W199" s="71">
        <f>IF($D199="",0,IF(AND(OR(fClient="All",$B199=fClient),fCampaign="All",OR(fTeam="All",$E199=fTeam),OR(fChannel="All",$C199=fChannel,AND(fChannel="Content",OR($C199="Blog",$C199="Case Study",$C199="Whitepaper")),AND(fChannel="Webinar / Events",$C199="Webinar")),OR(fMonth="All",$V199=fMonth)),1,0))</f>
        <v>0</v>
      </c>
      <c r="X199" s="71">
        <f>IF($D199="",0,IF(AND(OR(fClient="All",$B199=fClient),fCampaign="All",OR(fTeam="All",$E199=fTeam),OR(fChannel="All",$C199=fChannel,AND(fChannel="Content",OR($C199="Blog",$C199="Case Study",$C199="Whitepaper")),AND(fChannel="Webinar / Events",$C199="Webinar"))),1,0))</f>
        <v>0</v>
      </c>
    </row>
    <row r="200">
      <c r="A200" s="63" t="n"/>
      <c r="B200" s="64" t="n"/>
      <c r="C200" s="64" t="n"/>
      <c r="D200" s="65" t="n"/>
      <c r="E200" s="64" t="n"/>
      <c r="F200" s="64" t="n"/>
      <c r="G200" s="64" t="n"/>
      <c r="H200" s="63" t="n"/>
      <c r="I200" s="63" t="n"/>
      <c r="J200" s="63" t="n"/>
      <c r="K200" s="67" t="n"/>
      <c r="L200" s="67" t="n"/>
      <c r="M200" s="67" t="n"/>
      <c r="N200" s="65" t="n"/>
      <c r="O200" s="64" t="n"/>
      <c r="P200" s="67" t="n"/>
      <c r="Q200" s="65" t="n"/>
      <c r="R200" s="65" t="n"/>
      <c r="S200" s="65" t="n"/>
      <c r="T200" s="71">
        <f>IF($D200="",0,IF(OR($G200="Published",$G200="Completed",$G200="Cancelled"),0,1))</f>
        <v>0</v>
      </c>
      <c r="U200" s="69" t="str">
        <f>IF($D200="","",IF(AND($T200=1,ISNUMBER($I200)),IF($I200&lt;ReportDate,ReportDate-$I200,0),0))</f>
        <v/>
      </c>
      <c r="V200" s="71" t="str">
        <f>IF($D200="","",IF(ISNUMBER($A200),IF(ISNUMBER($A200),YEAR($A200)&amp;"-"&amp;TEXT(MONTH($A200),"00"),""),IF(ISNUMBER($I200),IF(ISNUMBER($I200),YEAR($I200)&amp;"-"&amp;TEXT(MONTH($I200),"00"),""),IF(ISNUMBER($H200),IF(ISNUMBER($H200),YEAR($H200)&amp;"-"&amp;TEXT(MONTH($H200),"00"),""),""))))</f>
        <v/>
      </c>
      <c r="W200" s="71">
        <f>IF($D200="",0,IF(AND(OR(fClient="All",$B200=fClient),fCampaign="All",OR(fTeam="All",$E200=fTeam),OR(fChannel="All",$C200=fChannel,AND(fChannel="Content",OR($C200="Blog",$C200="Case Study",$C200="Whitepaper")),AND(fChannel="Webinar / Events",$C200="Webinar")),OR(fMonth="All",$V200=fMonth)),1,0))</f>
        <v>0</v>
      </c>
      <c r="X200" s="71">
        <f>IF($D200="",0,IF(AND(OR(fClient="All",$B200=fClient),fCampaign="All",OR(fTeam="All",$E200=fTeam),OR(fChannel="All",$C200=fChannel,AND(fChannel="Content",OR($C200="Blog",$C200="Case Study",$C200="Whitepaper")),AND(fChannel="Webinar / Events",$C200="Webinar"))),1,0))</f>
        <v>0</v>
      </c>
    </row>
    <row r="201">
      <c r="A201" s="63" t="n"/>
      <c r="B201" s="64" t="n"/>
      <c r="C201" s="64" t="n"/>
      <c r="D201" s="65" t="n"/>
      <c r="E201" s="64" t="n"/>
      <c r="F201" s="64" t="n"/>
      <c r="G201" s="64" t="n"/>
      <c r="H201" s="63" t="n"/>
      <c r="I201" s="63" t="n"/>
      <c r="J201" s="63" t="n"/>
      <c r="K201" s="67" t="n"/>
      <c r="L201" s="67" t="n"/>
      <c r="M201" s="67" t="n"/>
      <c r="N201" s="65" t="n"/>
      <c r="O201" s="64" t="n"/>
      <c r="P201" s="67" t="n"/>
      <c r="Q201" s="65" t="n"/>
      <c r="R201" s="65" t="n"/>
      <c r="S201" s="65" t="n"/>
      <c r="T201" s="71">
        <f>IF($D201="",0,IF(OR($G201="Published",$G201="Completed",$G201="Cancelled"),0,1))</f>
        <v>0</v>
      </c>
      <c r="U201" s="69" t="str">
        <f>IF($D201="","",IF(AND($T201=1,ISNUMBER($I201)),IF($I201&lt;ReportDate,ReportDate-$I201,0),0))</f>
        <v/>
      </c>
      <c r="V201" s="71" t="str">
        <f>IF($D201="","",IF(ISNUMBER($A201),IF(ISNUMBER($A201),YEAR($A201)&amp;"-"&amp;TEXT(MONTH($A201),"00"),""),IF(ISNUMBER($I201),IF(ISNUMBER($I201),YEAR($I201)&amp;"-"&amp;TEXT(MONTH($I201),"00"),""),IF(ISNUMBER($H201),IF(ISNUMBER($H201),YEAR($H201)&amp;"-"&amp;TEXT(MONTH($H201),"00"),""),""))))</f>
        <v/>
      </c>
      <c r="W201" s="71">
        <f>IF($D201="",0,IF(AND(OR(fClient="All",$B201=fClient),fCampaign="All",OR(fTeam="All",$E201=fTeam),OR(fChannel="All",$C201=fChannel,AND(fChannel="Content",OR($C201="Blog",$C201="Case Study",$C201="Whitepaper")),AND(fChannel="Webinar / Events",$C201="Webinar")),OR(fMonth="All",$V201=fMonth)),1,0))</f>
        <v>0</v>
      </c>
      <c r="X201" s="71">
        <f>IF($D201="",0,IF(AND(OR(fClient="All",$B201=fClient),fCampaign="All",OR(fTeam="All",$E201=fTeam),OR(fChannel="All",$C201=fChannel,AND(fChannel="Content",OR($C201="Blog",$C201="Case Study",$C201="Whitepaper")),AND(fChannel="Webinar / Events",$C201="Webinar"))),1,0))</f>
        <v>0</v>
      </c>
    </row>
    <row r="202">
      <c r="A202" s="63" t="n"/>
      <c r="B202" s="64" t="n"/>
      <c r="C202" s="64" t="n"/>
      <c r="D202" s="65" t="n"/>
      <c r="E202" s="64" t="n"/>
      <c r="F202" s="64" t="n"/>
      <c r="G202" s="64" t="n"/>
      <c r="H202" s="63" t="n"/>
      <c r="I202" s="63" t="n"/>
      <c r="J202" s="63" t="n"/>
      <c r="K202" s="67" t="n"/>
      <c r="L202" s="67" t="n"/>
      <c r="M202" s="67" t="n"/>
      <c r="N202" s="65" t="n"/>
      <c r="O202" s="64" t="n"/>
      <c r="P202" s="67" t="n"/>
      <c r="Q202" s="65" t="n"/>
      <c r="R202" s="65" t="n"/>
      <c r="S202" s="65" t="n"/>
      <c r="T202" s="71">
        <f>IF($D202="",0,IF(OR($G202="Published",$G202="Completed",$G202="Cancelled"),0,1))</f>
        <v>0</v>
      </c>
      <c r="U202" s="69" t="str">
        <f>IF($D202="","",IF(AND($T202=1,ISNUMBER($I202)),IF($I202&lt;ReportDate,ReportDate-$I202,0),0))</f>
        <v/>
      </c>
      <c r="V202" s="71" t="str">
        <f>IF($D202="","",IF(ISNUMBER($A202),IF(ISNUMBER($A202),YEAR($A202)&amp;"-"&amp;TEXT(MONTH($A202),"00"),""),IF(ISNUMBER($I202),IF(ISNUMBER($I202),YEAR($I202)&amp;"-"&amp;TEXT(MONTH($I202),"00"),""),IF(ISNUMBER($H202),IF(ISNUMBER($H202),YEAR($H202)&amp;"-"&amp;TEXT(MONTH($H202),"00"),""),""))))</f>
        <v/>
      </c>
      <c r="W202" s="71">
        <f>IF($D202="",0,IF(AND(OR(fClient="All",$B202=fClient),fCampaign="All",OR(fTeam="All",$E202=fTeam),OR(fChannel="All",$C202=fChannel,AND(fChannel="Content",OR($C202="Blog",$C202="Case Study",$C202="Whitepaper")),AND(fChannel="Webinar / Events",$C202="Webinar")),OR(fMonth="All",$V202=fMonth)),1,0))</f>
        <v>0</v>
      </c>
      <c r="X202" s="71">
        <f>IF($D202="",0,IF(AND(OR(fClient="All",$B202=fClient),fCampaign="All",OR(fTeam="All",$E202=fTeam),OR(fChannel="All",$C202=fChannel,AND(fChannel="Content",OR($C202="Blog",$C202="Case Study",$C202="Whitepaper")),AND(fChannel="Webinar / Events",$C202="Webinar"))),1,0))</f>
        <v>0</v>
      </c>
    </row>
    <row r="203">
      <c r="A203" s="63" t="n"/>
      <c r="B203" s="64" t="n"/>
      <c r="C203" s="64" t="n"/>
      <c r="D203" s="65" t="n"/>
      <c r="E203" s="64" t="n"/>
      <c r="F203" s="64" t="n"/>
      <c r="G203" s="64" t="n"/>
      <c r="H203" s="63" t="n"/>
      <c r="I203" s="63" t="n"/>
      <c r="J203" s="63" t="n"/>
      <c r="K203" s="67" t="n"/>
      <c r="L203" s="67" t="n"/>
      <c r="M203" s="67" t="n"/>
      <c r="N203" s="65" t="n"/>
      <c r="O203" s="64" t="n"/>
      <c r="P203" s="67" t="n"/>
      <c r="Q203" s="65" t="n"/>
      <c r="R203" s="65" t="n"/>
      <c r="S203" s="65" t="n"/>
      <c r="T203" s="71">
        <f>IF($D203="",0,IF(OR($G203="Published",$G203="Completed",$G203="Cancelled"),0,1))</f>
        <v>0</v>
      </c>
      <c r="U203" s="69" t="str">
        <f>IF($D203="","",IF(AND($T203=1,ISNUMBER($I203)),IF($I203&lt;ReportDate,ReportDate-$I203,0),0))</f>
        <v/>
      </c>
      <c r="V203" s="71" t="str">
        <f>IF($D203="","",IF(ISNUMBER($A203),IF(ISNUMBER($A203),YEAR($A203)&amp;"-"&amp;TEXT(MONTH($A203),"00"),""),IF(ISNUMBER($I203),IF(ISNUMBER($I203),YEAR($I203)&amp;"-"&amp;TEXT(MONTH($I203),"00"),""),IF(ISNUMBER($H203),IF(ISNUMBER($H203),YEAR($H203)&amp;"-"&amp;TEXT(MONTH($H203),"00"),""),""))))</f>
        <v/>
      </c>
      <c r="W203" s="71">
        <f>IF($D203="",0,IF(AND(OR(fClient="All",$B203=fClient),fCampaign="All",OR(fTeam="All",$E203=fTeam),OR(fChannel="All",$C203=fChannel,AND(fChannel="Content",OR($C203="Blog",$C203="Case Study",$C203="Whitepaper")),AND(fChannel="Webinar / Events",$C203="Webinar")),OR(fMonth="All",$V203=fMonth)),1,0))</f>
        <v>0</v>
      </c>
      <c r="X203" s="71">
        <f>IF($D203="",0,IF(AND(OR(fClient="All",$B203=fClient),fCampaign="All",OR(fTeam="All",$E203=fTeam),OR(fChannel="All",$C203=fChannel,AND(fChannel="Content",OR($C203="Blog",$C203="Case Study",$C203="Whitepaper")),AND(fChannel="Webinar / Events",$C203="Webinar"))),1,0))</f>
        <v>0</v>
      </c>
    </row>
    <row r="204">
      <c r="A204" s="63" t="n"/>
      <c r="B204" s="64" t="n"/>
      <c r="C204" s="64" t="n"/>
      <c r="D204" s="65" t="n"/>
      <c r="E204" s="64" t="n"/>
      <c r="F204" s="64" t="n"/>
      <c r="G204" s="64" t="n"/>
      <c r="H204" s="63" t="n"/>
      <c r="I204" s="63" t="n"/>
      <c r="J204" s="63" t="n"/>
      <c r="K204" s="67" t="n"/>
      <c r="L204" s="67" t="n"/>
      <c r="M204" s="67" t="n"/>
      <c r="N204" s="65" t="n"/>
      <c r="O204" s="64" t="n"/>
      <c r="P204" s="67" t="n"/>
      <c r="Q204" s="65" t="n"/>
      <c r="R204" s="65" t="n"/>
      <c r="S204" s="65" t="n"/>
      <c r="T204" s="71">
        <f>IF($D204="",0,IF(OR($G204="Published",$G204="Completed",$G204="Cancelled"),0,1))</f>
        <v>0</v>
      </c>
      <c r="U204" s="69" t="str">
        <f>IF($D204="","",IF(AND($T204=1,ISNUMBER($I204)),IF($I204&lt;ReportDate,ReportDate-$I204,0),0))</f>
        <v/>
      </c>
      <c r="V204" s="71" t="str">
        <f>IF($D204="","",IF(ISNUMBER($A204),IF(ISNUMBER($A204),YEAR($A204)&amp;"-"&amp;TEXT(MONTH($A204),"00"),""),IF(ISNUMBER($I204),IF(ISNUMBER($I204),YEAR($I204)&amp;"-"&amp;TEXT(MONTH($I204),"00"),""),IF(ISNUMBER($H204),IF(ISNUMBER($H204),YEAR($H204)&amp;"-"&amp;TEXT(MONTH($H204),"00"),""),""))))</f>
        <v/>
      </c>
      <c r="W204" s="71">
        <f>IF($D204="",0,IF(AND(OR(fClient="All",$B204=fClient),fCampaign="All",OR(fTeam="All",$E204=fTeam),OR(fChannel="All",$C204=fChannel,AND(fChannel="Content",OR($C204="Blog",$C204="Case Study",$C204="Whitepaper")),AND(fChannel="Webinar / Events",$C204="Webinar")),OR(fMonth="All",$V204=fMonth)),1,0))</f>
        <v>0</v>
      </c>
      <c r="X204" s="71">
        <f>IF($D204="",0,IF(AND(OR(fClient="All",$B204=fClient),fCampaign="All",OR(fTeam="All",$E204=fTeam),OR(fChannel="All",$C204=fChannel,AND(fChannel="Content",OR($C204="Blog",$C204="Case Study",$C204="Whitepaper")),AND(fChannel="Webinar / Events",$C204="Webinar"))),1,0))</f>
        <v>0</v>
      </c>
    </row>
    <row r="205">
      <c r="A205" s="63" t="n"/>
      <c r="B205" s="64" t="n"/>
      <c r="C205" s="64" t="n"/>
      <c r="D205" s="65" t="n"/>
      <c r="E205" s="64" t="n"/>
      <c r="F205" s="64" t="n"/>
      <c r="G205" s="64" t="n"/>
      <c r="H205" s="63" t="n"/>
      <c r="I205" s="63" t="n"/>
      <c r="J205" s="63" t="n"/>
      <c r="K205" s="67" t="n"/>
      <c r="L205" s="67" t="n"/>
      <c r="M205" s="67" t="n"/>
      <c r="N205" s="65" t="n"/>
      <c r="O205" s="64" t="n"/>
      <c r="P205" s="67" t="n"/>
      <c r="Q205" s="65" t="n"/>
      <c r="R205" s="65" t="n"/>
      <c r="S205" s="65" t="n"/>
      <c r="T205" s="71">
        <f>IF($D205="",0,IF(OR($G205="Published",$G205="Completed",$G205="Cancelled"),0,1))</f>
        <v>0</v>
      </c>
      <c r="U205" s="69" t="str">
        <f>IF($D205="","",IF(AND($T205=1,ISNUMBER($I205)),IF($I205&lt;ReportDate,ReportDate-$I205,0),0))</f>
        <v/>
      </c>
      <c r="V205" s="71" t="str">
        <f>IF($D205="","",IF(ISNUMBER($A205),IF(ISNUMBER($A205),YEAR($A205)&amp;"-"&amp;TEXT(MONTH($A205),"00"),""),IF(ISNUMBER($I205),IF(ISNUMBER($I205),YEAR($I205)&amp;"-"&amp;TEXT(MONTH($I205),"00"),""),IF(ISNUMBER($H205),IF(ISNUMBER($H205),YEAR($H205)&amp;"-"&amp;TEXT(MONTH($H205),"00"),""),""))))</f>
        <v/>
      </c>
      <c r="W205" s="71">
        <f>IF($D205="",0,IF(AND(OR(fClient="All",$B205=fClient),fCampaign="All",OR(fTeam="All",$E205=fTeam),OR(fChannel="All",$C205=fChannel,AND(fChannel="Content",OR($C205="Blog",$C205="Case Study",$C205="Whitepaper")),AND(fChannel="Webinar / Events",$C205="Webinar")),OR(fMonth="All",$V205=fMonth)),1,0))</f>
        <v>0</v>
      </c>
      <c r="X205" s="71">
        <f>IF($D205="",0,IF(AND(OR(fClient="All",$B205=fClient),fCampaign="All",OR(fTeam="All",$E205=fTeam),OR(fChannel="All",$C205=fChannel,AND(fChannel="Content",OR($C205="Blog",$C205="Case Study",$C205="Whitepaper")),AND(fChannel="Webinar / Events",$C205="Webinar"))),1,0))</f>
        <v>0</v>
      </c>
    </row>
    <row r="206">
      <c r="A206" s="63" t="n"/>
      <c r="B206" s="64" t="n"/>
      <c r="C206" s="64" t="n"/>
      <c r="D206" s="65" t="n"/>
      <c r="E206" s="64" t="n"/>
      <c r="F206" s="64" t="n"/>
      <c r="G206" s="64" t="n"/>
      <c r="H206" s="63" t="n"/>
      <c r="I206" s="63" t="n"/>
      <c r="J206" s="63" t="n"/>
      <c r="K206" s="67" t="n"/>
      <c r="L206" s="67" t="n"/>
      <c r="M206" s="67" t="n"/>
      <c r="N206" s="65" t="n"/>
      <c r="O206" s="64" t="n"/>
      <c r="P206" s="67" t="n"/>
      <c r="Q206" s="65" t="n"/>
      <c r="R206" s="65" t="n"/>
      <c r="S206" s="65" t="n"/>
      <c r="T206" s="71">
        <f>IF($D206="",0,IF(OR($G206="Published",$G206="Completed",$G206="Cancelled"),0,1))</f>
        <v>0</v>
      </c>
      <c r="U206" s="69" t="str">
        <f>IF($D206="","",IF(AND($T206=1,ISNUMBER($I206)),IF($I206&lt;ReportDate,ReportDate-$I206,0),0))</f>
        <v/>
      </c>
      <c r="V206" s="71" t="str">
        <f>IF($D206="","",IF(ISNUMBER($A206),IF(ISNUMBER($A206),YEAR($A206)&amp;"-"&amp;TEXT(MONTH($A206),"00"),""),IF(ISNUMBER($I206),IF(ISNUMBER($I206),YEAR($I206)&amp;"-"&amp;TEXT(MONTH($I206),"00"),""),IF(ISNUMBER($H206),IF(ISNUMBER($H206),YEAR($H206)&amp;"-"&amp;TEXT(MONTH($H206),"00"),""),""))))</f>
        <v/>
      </c>
      <c r="W206" s="71">
        <f>IF($D206="",0,IF(AND(OR(fClient="All",$B206=fClient),fCampaign="All",OR(fTeam="All",$E206=fTeam),OR(fChannel="All",$C206=fChannel,AND(fChannel="Content",OR($C206="Blog",$C206="Case Study",$C206="Whitepaper")),AND(fChannel="Webinar / Events",$C206="Webinar")),OR(fMonth="All",$V206=fMonth)),1,0))</f>
        <v>0</v>
      </c>
      <c r="X206" s="71">
        <f>IF($D206="",0,IF(AND(OR(fClient="All",$B206=fClient),fCampaign="All",OR(fTeam="All",$E206=fTeam),OR(fChannel="All",$C206=fChannel,AND(fChannel="Content",OR($C206="Blog",$C206="Case Study",$C206="Whitepaper")),AND(fChannel="Webinar / Events",$C206="Webinar"))),1,0))</f>
        <v>0</v>
      </c>
    </row>
    <row r="207">
      <c r="A207" s="63" t="n"/>
      <c r="B207" s="64" t="n"/>
      <c r="C207" s="64" t="n"/>
      <c r="D207" s="65" t="n"/>
      <c r="E207" s="64" t="n"/>
      <c r="F207" s="64" t="n"/>
      <c r="G207" s="64" t="n"/>
      <c r="H207" s="63" t="n"/>
      <c r="I207" s="63" t="n"/>
      <c r="J207" s="63" t="n"/>
      <c r="K207" s="67" t="n"/>
      <c r="L207" s="67" t="n"/>
      <c r="M207" s="67" t="n"/>
      <c r="N207" s="65" t="n"/>
      <c r="O207" s="64" t="n"/>
      <c r="P207" s="67" t="n"/>
      <c r="Q207" s="65" t="n"/>
      <c r="R207" s="65" t="n"/>
      <c r="S207" s="65" t="n"/>
      <c r="T207" s="71">
        <f>IF($D207="",0,IF(OR($G207="Published",$G207="Completed",$G207="Cancelled"),0,1))</f>
        <v>0</v>
      </c>
      <c r="U207" s="69" t="str">
        <f>IF($D207="","",IF(AND($T207=1,ISNUMBER($I207)),IF($I207&lt;ReportDate,ReportDate-$I207,0),0))</f>
        <v/>
      </c>
      <c r="V207" s="71" t="str">
        <f>IF($D207="","",IF(ISNUMBER($A207),IF(ISNUMBER($A207),YEAR($A207)&amp;"-"&amp;TEXT(MONTH($A207),"00"),""),IF(ISNUMBER($I207),IF(ISNUMBER($I207),YEAR($I207)&amp;"-"&amp;TEXT(MONTH($I207),"00"),""),IF(ISNUMBER($H207),IF(ISNUMBER($H207),YEAR($H207)&amp;"-"&amp;TEXT(MONTH($H207),"00"),""),""))))</f>
        <v/>
      </c>
      <c r="W207" s="71">
        <f>IF($D207="",0,IF(AND(OR(fClient="All",$B207=fClient),fCampaign="All",OR(fTeam="All",$E207=fTeam),OR(fChannel="All",$C207=fChannel,AND(fChannel="Content",OR($C207="Blog",$C207="Case Study",$C207="Whitepaper")),AND(fChannel="Webinar / Events",$C207="Webinar")),OR(fMonth="All",$V207=fMonth)),1,0))</f>
        <v>0</v>
      </c>
      <c r="X207" s="71">
        <f>IF($D207="",0,IF(AND(OR(fClient="All",$B207=fClient),fCampaign="All",OR(fTeam="All",$E207=fTeam),OR(fChannel="All",$C207=fChannel,AND(fChannel="Content",OR($C207="Blog",$C207="Case Study",$C207="Whitepaper")),AND(fChannel="Webinar / Events",$C207="Webinar"))),1,0))</f>
        <v>0</v>
      </c>
    </row>
    <row r="208">
      <c r="A208" s="63" t="n"/>
      <c r="B208" s="64" t="n"/>
      <c r="C208" s="64" t="n"/>
      <c r="D208" s="65" t="n"/>
      <c r="E208" s="64" t="n"/>
      <c r="F208" s="64" t="n"/>
      <c r="G208" s="64" t="n"/>
      <c r="H208" s="63" t="n"/>
      <c r="I208" s="63" t="n"/>
      <c r="J208" s="63" t="n"/>
      <c r="K208" s="67" t="n"/>
      <c r="L208" s="67" t="n"/>
      <c r="M208" s="67" t="n"/>
      <c r="N208" s="65" t="n"/>
      <c r="O208" s="64" t="n"/>
      <c r="P208" s="67" t="n"/>
      <c r="Q208" s="65" t="n"/>
      <c r="R208" s="65" t="n"/>
      <c r="S208" s="65" t="n"/>
      <c r="T208" s="71">
        <f>IF($D208="",0,IF(OR($G208="Published",$G208="Completed",$G208="Cancelled"),0,1))</f>
        <v>0</v>
      </c>
      <c r="U208" s="69" t="str">
        <f>IF($D208="","",IF(AND($T208=1,ISNUMBER($I208)),IF($I208&lt;ReportDate,ReportDate-$I208,0),0))</f>
        <v/>
      </c>
      <c r="V208" s="71" t="str">
        <f>IF($D208="","",IF(ISNUMBER($A208),IF(ISNUMBER($A208),YEAR($A208)&amp;"-"&amp;TEXT(MONTH($A208),"00"),""),IF(ISNUMBER($I208),IF(ISNUMBER($I208),YEAR($I208)&amp;"-"&amp;TEXT(MONTH($I208),"00"),""),IF(ISNUMBER($H208),IF(ISNUMBER($H208),YEAR($H208)&amp;"-"&amp;TEXT(MONTH($H208),"00"),""),""))))</f>
        <v/>
      </c>
      <c r="W208" s="71">
        <f>IF($D208="",0,IF(AND(OR(fClient="All",$B208=fClient),fCampaign="All",OR(fTeam="All",$E208=fTeam),OR(fChannel="All",$C208=fChannel,AND(fChannel="Content",OR($C208="Blog",$C208="Case Study",$C208="Whitepaper")),AND(fChannel="Webinar / Events",$C208="Webinar")),OR(fMonth="All",$V208=fMonth)),1,0))</f>
        <v>0</v>
      </c>
      <c r="X208" s="71">
        <f>IF($D208="",0,IF(AND(OR(fClient="All",$B208=fClient),fCampaign="All",OR(fTeam="All",$E208=fTeam),OR(fChannel="All",$C208=fChannel,AND(fChannel="Content",OR($C208="Blog",$C208="Case Study",$C208="Whitepaper")),AND(fChannel="Webinar / Events",$C208="Webinar"))),1,0))</f>
        <v>0</v>
      </c>
    </row>
    <row r="209">
      <c r="A209" s="63" t="n"/>
      <c r="B209" s="64" t="n"/>
      <c r="C209" s="64" t="n"/>
      <c r="D209" s="65" t="n"/>
      <c r="E209" s="64" t="n"/>
      <c r="F209" s="64" t="n"/>
      <c r="G209" s="64" t="n"/>
      <c r="H209" s="63" t="n"/>
      <c r="I209" s="63" t="n"/>
      <c r="J209" s="63" t="n"/>
      <c r="K209" s="67" t="n"/>
      <c r="L209" s="67" t="n"/>
      <c r="M209" s="67" t="n"/>
      <c r="N209" s="65" t="n"/>
      <c r="O209" s="64" t="n"/>
      <c r="P209" s="67" t="n"/>
      <c r="Q209" s="65" t="n"/>
      <c r="R209" s="65" t="n"/>
      <c r="S209" s="65" t="n"/>
      <c r="T209" s="71">
        <f>IF($D209="",0,IF(OR($G209="Published",$G209="Completed",$G209="Cancelled"),0,1))</f>
        <v>0</v>
      </c>
      <c r="U209" s="69" t="str">
        <f>IF($D209="","",IF(AND($T209=1,ISNUMBER($I209)),IF($I209&lt;ReportDate,ReportDate-$I209,0),0))</f>
        <v/>
      </c>
      <c r="V209" s="71" t="str">
        <f>IF($D209="","",IF(ISNUMBER($A209),IF(ISNUMBER($A209),YEAR($A209)&amp;"-"&amp;TEXT(MONTH($A209),"00"),""),IF(ISNUMBER($I209),IF(ISNUMBER($I209),YEAR($I209)&amp;"-"&amp;TEXT(MONTH($I209),"00"),""),IF(ISNUMBER($H209),IF(ISNUMBER($H209),YEAR($H209)&amp;"-"&amp;TEXT(MONTH($H209),"00"),""),""))))</f>
        <v/>
      </c>
      <c r="W209" s="71">
        <f>IF($D209="",0,IF(AND(OR(fClient="All",$B209=fClient),fCampaign="All",OR(fTeam="All",$E209=fTeam),OR(fChannel="All",$C209=fChannel,AND(fChannel="Content",OR($C209="Blog",$C209="Case Study",$C209="Whitepaper")),AND(fChannel="Webinar / Events",$C209="Webinar")),OR(fMonth="All",$V209=fMonth)),1,0))</f>
        <v>0</v>
      </c>
      <c r="X209" s="71">
        <f>IF($D209="",0,IF(AND(OR(fClient="All",$B209=fClient),fCampaign="All",OR(fTeam="All",$E209=fTeam),OR(fChannel="All",$C209=fChannel,AND(fChannel="Content",OR($C209="Blog",$C209="Case Study",$C209="Whitepaper")),AND(fChannel="Webinar / Events",$C209="Webinar"))),1,0))</f>
        <v>0</v>
      </c>
    </row>
    <row r="210">
      <c r="A210" s="63" t="n"/>
      <c r="B210" s="64" t="n"/>
      <c r="C210" s="64" t="n"/>
      <c r="D210" s="65" t="n"/>
      <c r="E210" s="64" t="n"/>
      <c r="F210" s="64" t="n"/>
      <c r="G210" s="64" t="n"/>
      <c r="H210" s="63" t="n"/>
      <c r="I210" s="63" t="n"/>
      <c r="J210" s="63" t="n"/>
      <c r="K210" s="67" t="n"/>
      <c r="L210" s="67" t="n"/>
      <c r="M210" s="67" t="n"/>
      <c r="N210" s="65" t="n"/>
      <c r="O210" s="64" t="n"/>
      <c r="P210" s="67" t="n"/>
      <c r="Q210" s="65" t="n"/>
      <c r="R210" s="65" t="n"/>
      <c r="S210" s="65" t="n"/>
      <c r="T210" s="71">
        <f>IF($D210="",0,IF(OR($G210="Published",$G210="Completed",$G210="Cancelled"),0,1))</f>
        <v>0</v>
      </c>
      <c r="U210" s="69" t="str">
        <f>IF($D210="","",IF(AND($T210=1,ISNUMBER($I210)),IF($I210&lt;ReportDate,ReportDate-$I210,0),0))</f>
        <v/>
      </c>
      <c r="V210" s="71" t="str">
        <f>IF($D210="","",IF(ISNUMBER($A210),IF(ISNUMBER($A210),YEAR($A210)&amp;"-"&amp;TEXT(MONTH($A210),"00"),""),IF(ISNUMBER($I210),IF(ISNUMBER($I210),YEAR($I210)&amp;"-"&amp;TEXT(MONTH($I210),"00"),""),IF(ISNUMBER($H210),IF(ISNUMBER($H210),YEAR($H210)&amp;"-"&amp;TEXT(MONTH($H210),"00"),""),""))))</f>
        <v/>
      </c>
      <c r="W210" s="71">
        <f>IF($D210="",0,IF(AND(OR(fClient="All",$B210=fClient),fCampaign="All",OR(fTeam="All",$E210=fTeam),OR(fChannel="All",$C210=fChannel,AND(fChannel="Content",OR($C210="Blog",$C210="Case Study",$C210="Whitepaper")),AND(fChannel="Webinar / Events",$C210="Webinar")),OR(fMonth="All",$V210=fMonth)),1,0))</f>
        <v>0</v>
      </c>
      <c r="X210" s="71">
        <f>IF($D210="",0,IF(AND(OR(fClient="All",$B210=fClient),fCampaign="All",OR(fTeam="All",$E210=fTeam),OR(fChannel="All",$C210=fChannel,AND(fChannel="Content",OR($C210="Blog",$C210="Case Study",$C210="Whitepaper")),AND(fChannel="Webinar / Events",$C210="Webinar"))),1,0))</f>
        <v>0</v>
      </c>
    </row>
    <row r="211">
      <c r="A211" s="63" t="n"/>
      <c r="B211" s="64" t="n"/>
      <c r="C211" s="64" t="n"/>
      <c r="D211" s="65" t="n"/>
      <c r="E211" s="64" t="n"/>
      <c r="F211" s="64" t="n"/>
      <c r="G211" s="64" t="n"/>
      <c r="H211" s="63" t="n"/>
      <c r="I211" s="63" t="n"/>
      <c r="J211" s="63" t="n"/>
      <c r="K211" s="67" t="n"/>
      <c r="L211" s="67" t="n"/>
      <c r="M211" s="67" t="n"/>
      <c r="N211" s="65" t="n"/>
      <c r="O211" s="64" t="n"/>
      <c r="P211" s="67" t="n"/>
      <c r="Q211" s="65" t="n"/>
      <c r="R211" s="65" t="n"/>
      <c r="S211" s="65" t="n"/>
      <c r="T211" s="71">
        <f>IF($D211="",0,IF(OR($G211="Published",$G211="Completed",$G211="Cancelled"),0,1))</f>
        <v>0</v>
      </c>
      <c r="U211" s="69" t="str">
        <f>IF($D211="","",IF(AND($T211=1,ISNUMBER($I211)),IF($I211&lt;ReportDate,ReportDate-$I211,0),0))</f>
        <v/>
      </c>
      <c r="V211" s="71" t="str">
        <f>IF($D211="","",IF(ISNUMBER($A211),IF(ISNUMBER($A211),YEAR($A211)&amp;"-"&amp;TEXT(MONTH($A211),"00"),""),IF(ISNUMBER($I211),IF(ISNUMBER($I211),YEAR($I211)&amp;"-"&amp;TEXT(MONTH($I211),"00"),""),IF(ISNUMBER($H211),IF(ISNUMBER($H211),YEAR($H211)&amp;"-"&amp;TEXT(MONTH($H211),"00"),""),""))))</f>
        <v/>
      </c>
      <c r="W211" s="71">
        <f>IF($D211="",0,IF(AND(OR(fClient="All",$B211=fClient),fCampaign="All",OR(fTeam="All",$E211=fTeam),OR(fChannel="All",$C211=fChannel,AND(fChannel="Content",OR($C211="Blog",$C211="Case Study",$C211="Whitepaper")),AND(fChannel="Webinar / Events",$C211="Webinar")),OR(fMonth="All",$V211=fMonth)),1,0))</f>
        <v>0</v>
      </c>
      <c r="X211" s="71">
        <f>IF($D211="",0,IF(AND(OR(fClient="All",$B211=fClient),fCampaign="All",OR(fTeam="All",$E211=fTeam),OR(fChannel="All",$C211=fChannel,AND(fChannel="Content",OR($C211="Blog",$C211="Case Study",$C211="Whitepaper")),AND(fChannel="Webinar / Events",$C211="Webinar"))),1,0))</f>
        <v>0</v>
      </c>
    </row>
    <row r="212">
      <c r="A212" s="63" t="n"/>
      <c r="B212" s="64" t="n"/>
      <c r="C212" s="64" t="n"/>
      <c r="D212" s="65" t="n"/>
      <c r="E212" s="64" t="n"/>
      <c r="F212" s="64" t="n"/>
      <c r="G212" s="64" t="n"/>
      <c r="H212" s="63" t="n"/>
      <c r="I212" s="63" t="n"/>
      <c r="J212" s="63" t="n"/>
      <c r="K212" s="67" t="n"/>
      <c r="L212" s="67" t="n"/>
      <c r="M212" s="67" t="n"/>
      <c r="N212" s="65" t="n"/>
      <c r="O212" s="64" t="n"/>
      <c r="P212" s="67" t="n"/>
      <c r="Q212" s="65" t="n"/>
      <c r="R212" s="65" t="n"/>
      <c r="S212" s="65" t="n"/>
      <c r="T212" s="71">
        <f>IF($D212="",0,IF(OR($G212="Published",$G212="Completed",$G212="Cancelled"),0,1))</f>
        <v>0</v>
      </c>
      <c r="U212" s="69" t="str">
        <f>IF($D212="","",IF(AND($T212=1,ISNUMBER($I212)),IF($I212&lt;ReportDate,ReportDate-$I212,0),0))</f>
        <v/>
      </c>
      <c r="V212" s="71" t="str">
        <f>IF($D212="","",IF(ISNUMBER($A212),IF(ISNUMBER($A212),YEAR($A212)&amp;"-"&amp;TEXT(MONTH($A212),"00"),""),IF(ISNUMBER($I212),IF(ISNUMBER($I212),YEAR($I212)&amp;"-"&amp;TEXT(MONTH($I212),"00"),""),IF(ISNUMBER($H212),IF(ISNUMBER($H212),YEAR($H212)&amp;"-"&amp;TEXT(MONTH($H212),"00"),""),""))))</f>
        <v/>
      </c>
      <c r="W212" s="71">
        <f>IF($D212="",0,IF(AND(OR(fClient="All",$B212=fClient),fCampaign="All",OR(fTeam="All",$E212=fTeam),OR(fChannel="All",$C212=fChannel,AND(fChannel="Content",OR($C212="Blog",$C212="Case Study",$C212="Whitepaper")),AND(fChannel="Webinar / Events",$C212="Webinar")),OR(fMonth="All",$V212=fMonth)),1,0))</f>
        <v>0</v>
      </c>
      <c r="X212" s="71">
        <f>IF($D212="",0,IF(AND(OR(fClient="All",$B212=fClient),fCampaign="All",OR(fTeam="All",$E212=fTeam),OR(fChannel="All",$C212=fChannel,AND(fChannel="Content",OR($C212="Blog",$C212="Case Study",$C212="Whitepaper")),AND(fChannel="Webinar / Events",$C212="Webinar"))),1,0))</f>
        <v>0</v>
      </c>
    </row>
    <row r="213">
      <c r="A213" s="63" t="n"/>
      <c r="B213" s="64" t="n"/>
      <c r="C213" s="64" t="n"/>
      <c r="D213" s="65" t="n"/>
      <c r="E213" s="64" t="n"/>
      <c r="F213" s="64" t="n"/>
      <c r="G213" s="64" t="n"/>
      <c r="H213" s="63" t="n"/>
      <c r="I213" s="63" t="n"/>
      <c r="J213" s="63" t="n"/>
      <c r="K213" s="67" t="n"/>
      <c r="L213" s="67" t="n"/>
      <c r="M213" s="67" t="n"/>
      <c r="N213" s="65" t="n"/>
      <c r="O213" s="64" t="n"/>
      <c r="P213" s="67" t="n"/>
      <c r="Q213" s="65" t="n"/>
      <c r="R213" s="65" t="n"/>
      <c r="S213" s="65" t="n"/>
      <c r="T213" s="71">
        <f>IF($D213="",0,IF(OR($G213="Published",$G213="Completed",$G213="Cancelled"),0,1))</f>
        <v>0</v>
      </c>
      <c r="U213" s="69" t="str">
        <f>IF($D213="","",IF(AND($T213=1,ISNUMBER($I213)),IF($I213&lt;ReportDate,ReportDate-$I213,0),0))</f>
        <v/>
      </c>
      <c r="V213" s="71" t="str">
        <f>IF($D213="","",IF(ISNUMBER($A213),IF(ISNUMBER($A213),YEAR($A213)&amp;"-"&amp;TEXT(MONTH($A213),"00"),""),IF(ISNUMBER($I213),IF(ISNUMBER($I213),YEAR($I213)&amp;"-"&amp;TEXT(MONTH($I213),"00"),""),IF(ISNUMBER($H213),IF(ISNUMBER($H213),YEAR($H213)&amp;"-"&amp;TEXT(MONTH($H213),"00"),""),""))))</f>
        <v/>
      </c>
      <c r="W213" s="71">
        <f>IF($D213="",0,IF(AND(OR(fClient="All",$B213=fClient),fCampaign="All",OR(fTeam="All",$E213=fTeam),OR(fChannel="All",$C213=fChannel,AND(fChannel="Content",OR($C213="Blog",$C213="Case Study",$C213="Whitepaper")),AND(fChannel="Webinar / Events",$C213="Webinar")),OR(fMonth="All",$V213=fMonth)),1,0))</f>
        <v>0</v>
      </c>
      <c r="X213" s="71">
        <f>IF($D213="",0,IF(AND(OR(fClient="All",$B213=fClient),fCampaign="All",OR(fTeam="All",$E213=fTeam),OR(fChannel="All",$C213=fChannel,AND(fChannel="Content",OR($C213="Blog",$C213="Case Study",$C213="Whitepaper")),AND(fChannel="Webinar / Events",$C213="Webinar"))),1,0))</f>
        <v>0</v>
      </c>
    </row>
    <row r="214">
      <c r="A214" s="63" t="n"/>
      <c r="B214" s="64" t="n"/>
      <c r="C214" s="64" t="n"/>
      <c r="D214" s="65" t="n"/>
      <c r="E214" s="64" t="n"/>
      <c r="F214" s="64" t="n"/>
      <c r="G214" s="64" t="n"/>
      <c r="H214" s="63" t="n"/>
      <c r="I214" s="63" t="n"/>
      <c r="J214" s="63" t="n"/>
      <c r="K214" s="67" t="n"/>
      <c r="L214" s="67" t="n"/>
      <c r="M214" s="67" t="n"/>
      <c r="N214" s="65" t="n"/>
      <c r="O214" s="64" t="n"/>
      <c r="P214" s="67" t="n"/>
      <c r="Q214" s="65" t="n"/>
      <c r="R214" s="65" t="n"/>
      <c r="S214" s="65" t="n"/>
      <c r="T214" s="71">
        <f>IF($D214="",0,IF(OR($G214="Published",$G214="Completed",$G214="Cancelled"),0,1))</f>
        <v>0</v>
      </c>
      <c r="U214" s="69" t="str">
        <f>IF($D214="","",IF(AND($T214=1,ISNUMBER($I214)),IF($I214&lt;ReportDate,ReportDate-$I214,0),0))</f>
        <v/>
      </c>
      <c r="V214" s="71" t="str">
        <f>IF($D214="","",IF(ISNUMBER($A214),IF(ISNUMBER($A214),YEAR($A214)&amp;"-"&amp;TEXT(MONTH($A214),"00"),""),IF(ISNUMBER($I214),IF(ISNUMBER($I214),YEAR($I214)&amp;"-"&amp;TEXT(MONTH($I214),"00"),""),IF(ISNUMBER($H214),IF(ISNUMBER($H214),YEAR($H214)&amp;"-"&amp;TEXT(MONTH($H214),"00"),""),""))))</f>
        <v/>
      </c>
      <c r="W214" s="71">
        <f>IF($D214="",0,IF(AND(OR(fClient="All",$B214=fClient),fCampaign="All",OR(fTeam="All",$E214=fTeam),OR(fChannel="All",$C214=fChannel,AND(fChannel="Content",OR($C214="Blog",$C214="Case Study",$C214="Whitepaper")),AND(fChannel="Webinar / Events",$C214="Webinar")),OR(fMonth="All",$V214=fMonth)),1,0))</f>
        <v>0</v>
      </c>
      <c r="X214" s="71">
        <f>IF($D214="",0,IF(AND(OR(fClient="All",$B214=fClient),fCampaign="All",OR(fTeam="All",$E214=fTeam),OR(fChannel="All",$C214=fChannel,AND(fChannel="Content",OR($C214="Blog",$C214="Case Study",$C214="Whitepaper")),AND(fChannel="Webinar / Events",$C214="Webinar"))),1,0))</f>
        <v>0</v>
      </c>
    </row>
    <row r="215">
      <c r="A215" s="63" t="n"/>
      <c r="B215" s="64" t="n"/>
      <c r="C215" s="64" t="n"/>
      <c r="D215" s="65" t="n"/>
      <c r="E215" s="64" t="n"/>
      <c r="F215" s="64" t="n"/>
      <c r="G215" s="64" t="n"/>
      <c r="H215" s="63" t="n"/>
      <c r="I215" s="63" t="n"/>
      <c r="J215" s="63" t="n"/>
      <c r="K215" s="67" t="n"/>
      <c r="L215" s="67" t="n"/>
      <c r="M215" s="67" t="n"/>
      <c r="N215" s="65" t="n"/>
      <c r="O215" s="64" t="n"/>
      <c r="P215" s="67" t="n"/>
      <c r="Q215" s="65" t="n"/>
      <c r="R215" s="65" t="n"/>
      <c r="S215" s="65" t="n"/>
      <c r="T215" s="71">
        <f>IF($D215="",0,IF(OR($G215="Published",$G215="Completed",$G215="Cancelled"),0,1))</f>
        <v>0</v>
      </c>
      <c r="U215" s="69" t="str">
        <f>IF($D215="","",IF(AND($T215=1,ISNUMBER($I215)),IF($I215&lt;ReportDate,ReportDate-$I215,0),0))</f>
        <v/>
      </c>
      <c r="V215" s="71" t="str">
        <f>IF($D215="","",IF(ISNUMBER($A215),IF(ISNUMBER($A215),YEAR($A215)&amp;"-"&amp;TEXT(MONTH($A215),"00"),""),IF(ISNUMBER($I215),IF(ISNUMBER($I215),YEAR($I215)&amp;"-"&amp;TEXT(MONTH($I215),"00"),""),IF(ISNUMBER($H215),IF(ISNUMBER($H215),YEAR($H215)&amp;"-"&amp;TEXT(MONTH($H215),"00"),""),""))))</f>
        <v/>
      </c>
      <c r="W215" s="71">
        <f>IF($D215="",0,IF(AND(OR(fClient="All",$B215=fClient),fCampaign="All",OR(fTeam="All",$E215=fTeam),OR(fChannel="All",$C215=fChannel,AND(fChannel="Content",OR($C215="Blog",$C215="Case Study",$C215="Whitepaper")),AND(fChannel="Webinar / Events",$C215="Webinar")),OR(fMonth="All",$V215=fMonth)),1,0))</f>
        <v>0</v>
      </c>
      <c r="X215" s="71">
        <f>IF($D215="",0,IF(AND(OR(fClient="All",$B215=fClient),fCampaign="All",OR(fTeam="All",$E215=fTeam),OR(fChannel="All",$C215=fChannel,AND(fChannel="Content",OR($C215="Blog",$C215="Case Study",$C215="Whitepaper")),AND(fChannel="Webinar / Events",$C215="Webinar"))),1,0))</f>
        <v>0</v>
      </c>
    </row>
    <row r="216">
      <c r="A216" s="63" t="n"/>
      <c r="B216" s="64" t="n"/>
      <c r="C216" s="64" t="n"/>
      <c r="D216" s="65" t="n"/>
      <c r="E216" s="64" t="n"/>
      <c r="F216" s="64" t="n"/>
      <c r="G216" s="64" t="n"/>
      <c r="H216" s="63" t="n"/>
      <c r="I216" s="63" t="n"/>
      <c r="J216" s="63" t="n"/>
      <c r="K216" s="67" t="n"/>
      <c r="L216" s="67" t="n"/>
      <c r="M216" s="67" t="n"/>
      <c r="N216" s="65" t="n"/>
      <c r="O216" s="64" t="n"/>
      <c r="P216" s="67" t="n"/>
      <c r="Q216" s="65" t="n"/>
      <c r="R216" s="65" t="n"/>
      <c r="S216" s="65" t="n"/>
      <c r="T216" s="71">
        <f>IF($D216="",0,IF(OR($G216="Published",$G216="Completed",$G216="Cancelled"),0,1))</f>
        <v>0</v>
      </c>
      <c r="U216" s="69" t="str">
        <f>IF($D216="","",IF(AND($T216=1,ISNUMBER($I216)),IF($I216&lt;ReportDate,ReportDate-$I216,0),0))</f>
        <v/>
      </c>
      <c r="V216" s="71" t="str">
        <f>IF($D216="","",IF(ISNUMBER($A216),IF(ISNUMBER($A216),YEAR($A216)&amp;"-"&amp;TEXT(MONTH($A216),"00"),""),IF(ISNUMBER($I216),IF(ISNUMBER($I216),YEAR($I216)&amp;"-"&amp;TEXT(MONTH($I216),"00"),""),IF(ISNUMBER($H216),IF(ISNUMBER($H216),YEAR($H216)&amp;"-"&amp;TEXT(MONTH($H216),"00"),""),""))))</f>
        <v/>
      </c>
      <c r="W216" s="71">
        <f>IF($D216="",0,IF(AND(OR(fClient="All",$B216=fClient),fCampaign="All",OR(fTeam="All",$E216=fTeam),OR(fChannel="All",$C216=fChannel,AND(fChannel="Content",OR($C216="Blog",$C216="Case Study",$C216="Whitepaper")),AND(fChannel="Webinar / Events",$C216="Webinar")),OR(fMonth="All",$V216=fMonth)),1,0))</f>
        <v>0</v>
      </c>
      <c r="X216" s="71">
        <f>IF($D216="",0,IF(AND(OR(fClient="All",$B216=fClient),fCampaign="All",OR(fTeam="All",$E216=fTeam),OR(fChannel="All",$C216=fChannel,AND(fChannel="Content",OR($C216="Blog",$C216="Case Study",$C216="Whitepaper")),AND(fChannel="Webinar / Events",$C216="Webinar"))),1,0))</f>
        <v>0</v>
      </c>
    </row>
    <row r="217">
      <c r="A217" s="63" t="n"/>
      <c r="B217" s="64" t="n"/>
      <c r="C217" s="64" t="n"/>
      <c r="D217" s="65" t="n"/>
      <c r="E217" s="64" t="n"/>
      <c r="F217" s="64" t="n"/>
      <c r="G217" s="64" t="n"/>
      <c r="H217" s="63" t="n"/>
      <c r="I217" s="63" t="n"/>
      <c r="J217" s="63" t="n"/>
      <c r="K217" s="67" t="n"/>
      <c r="L217" s="67" t="n"/>
      <c r="M217" s="67" t="n"/>
      <c r="N217" s="65" t="n"/>
      <c r="O217" s="64" t="n"/>
      <c r="P217" s="67" t="n"/>
      <c r="Q217" s="65" t="n"/>
      <c r="R217" s="65" t="n"/>
      <c r="S217" s="65" t="n"/>
      <c r="T217" s="71">
        <f>IF($D217="",0,IF(OR($G217="Published",$G217="Completed",$G217="Cancelled"),0,1))</f>
        <v>0</v>
      </c>
      <c r="U217" s="69" t="str">
        <f>IF($D217="","",IF(AND($T217=1,ISNUMBER($I217)),IF($I217&lt;ReportDate,ReportDate-$I217,0),0))</f>
        <v/>
      </c>
      <c r="V217" s="71" t="str">
        <f>IF($D217="","",IF(ISNUMBER($A217),IF(ISNUMBER($A217),YEAR($A217)&amp;"-"&amp;TEXT(MONTH($A217),"00"),""),IF(ISNUMBER($I217),IF(ISNUMBER($I217),YEAR($I217)&amp;"-"&amp;TEXT(MONTH($I217),"00"),""),IF(ISNUMBER($H217),IF(ISNUMBER($H217),YEAR($H217)&amp;"-"&amp;TEXT(MONTH($H217),"00"),""),""))))</f>
        <v/>
      </c>
      <c r="W217" s="71">
        <f>IF($D217="",0,IF(AND(OR(fClient="All",$B217=fClient),fCampaign="All",OR(fTeam="All",$E217=fTeam),OR(fChannel="All",$C217=fChannel,AND(fChannel="Content",OR($C217="Blog",$C217="Case Study",$C217="Whitepaper")),AND(fChannel="Webinar / Events",$C217="Webinar")),OR(fMonth="All",$V217=fMonth)),1,0))</f>
        <v>0</v>
      </c>
      <c r="X217" s="71">
        <f>IF($D217="",0,IF(AND(OR(fClient="All",$B217=fClient),fCampaign="All",OR(fTeam="All",$E217=fTeam),OR(fChannel="All",$C217=fChannel,AND(fChannel="Content",OR($C217="Blog",$C217="Case Study",$C217="Whitepaper")),AND(fChannel="Webinar / Events",$C217="Webinar"))),1,0))</f>
        <v>0</v>
      </c>
    </row>
    <row r="218">
      <c r="A218" s="63" t="n"/>
      <c r="B218" s="64" t="n"/>
      <c r="C218" s="64" t="n"/>
      <c r="D218" s="65" t="n"/>
      <c r="E218" s="64" t="n"/>
      <c r="F218" s="64" t="n"/>
      <c r="G218" s="64" t="n"/>
      <c r="H218" s="63" t="n"/>
      <c r="I218" s="63" t="n"/>
      <c r="J218" s="63" t="n"/>
      <c r="K218" s="67" t="n"/>
      <c r="L218" s="67" t="n"/>
      <c r="M218" s="67" t="n"/>
      <c r="N218" s="65" t="n"/>
      <c r="O218" s="64" t="n"/>
      <c r="P218" s="67" t="n"/>
      <c r="Q218" s="65" t="n"/>
      <c r="R218" s="65" t="n"/>
      <c r="S218" s="65" t="n"/>
      <c r="T218" s="71">
        <f>IF($D218="",0,IF(OR($G218="Published",$G218="Completed",$G218="Cancelled"),0,1))</f>
        <v>0</v>
      </c>
      <c r="U218" s="69" t="str">
        <f>IF($D218="","",IF(AND($T218=1,ISNUMBER($I218)),IF($I218&lt;ReportDate,ReportDate-$I218,0),0))</f>
        <v/>
      </c>
      <c r="V218" s="71" t="str">
        <f>IF($D218="","",IF(ISNUMBER($A218),IF(ISNUMBER($A218),YEAR($A218)&amp;"-"&amp;TEXT(MONTH($A218),"00"),""),IF(ISNUMBER($I218),IF(ISNUMBER($I218),YEAR($I218)&amp;"-"&amp;TEXT(MONTH($I218),"00"),""),IF(ISNUMBER($H218),IF(ISNUMBER($H218),YEAR($H218)&amp;"-"&amp;TEXT(MONTH($H218),"00"),""),""))))</f>
        <v/>
      </c>
      <c r="W218" s="71">
        <f>IF($D218="",0,IF(AND(OR(fClient="All",$B218=fClient),fCampaign="All",OR(fTeam="All",$E218=fTeam),OR(fChannel="All",$C218=fChannel,AND(fChannel="Content",OR($C218="Blog",$C218="Case Study",$C218="Whitepaper")),AND(fChannel="Webinar / Events",$C218="Webinar")),OR(fMonth="All",$V218=fMonth)),1,0))</f>
        <v>0</v>
      </c>
      <c r="X218" s="71">
        <f>IF($D218="",0,IF(AND(OR(fClient="All",$B218=fClient),fCampaign="All",OR(fTeam="All",$E218=fTeam),OR(fChannel="All",$C218=fChannel,AND(fChannel="Content",OR($C218="Blog",$C218="Case Study",$C218="Whitepaper")),AND(fChannel="Webinar / Events",$C218="Webinar"))),1,0))</f>
        <v>0</v>
      </c>
    </row>
    <row r="219">
      <c r="A219" s="63" t="n"/>
      <c r="B219" s="64" t="n"/>
      <c r="C219" s="64" t="n"/>
      <c r="D219" s="65" t="n"/>
      <c r="E219" s="64" t="n"/>
      <c r="F219" s="64" t="n"/>
      <c r="G219" s="64" t="n"/>
      <c r="H219" s="63" t="n"/>
      <c r="I219" s="63" t="n"/>
      <c r="J219" s="63" t="n"/>
      <c r="K219" s="67" t="n"/>
      <c r="L219" s="67" t="n"/>
      <c r="M219" s="67" t="n"/>
      <c r="N219" s="65" t="n"/>
      <c r="O219" s="64" t="n"/>
      <c r="P219" s="67" t="n"/>
      <c r="Q219" s="65" t="n"/>
      <c r="R219" s="65" t="n"/>
      <c r="S219" s="65" t="n"/>
      <c r="T219" s="71">
        <f>IF($D219="",0,IF(OR($G219="Published",$G219="Completed",$G219="Cancelled"),0,1))</f>
        <v>0</v>
      </c>
      <c r="U219" s="69" t="str">
        <f>IF($D219="","",IF(AND($T219=1,ISNUMBER($I219)),IF($I219&lt;ReportDate,ReportDate-$I219,0),0))</f>
        <v/>
      </c>
      <c r="V219" s="71" t="str">
        <f>IF($D219="","",IF(ISNUMBER($A219),IF(ISNUMBER($A219),YEAR($A219)&amp;"-"&amp;TEXT(MONTH($A219),"00"),""),IF(ISNUMBER($I219),IF(ISNUMBER($I219),YEAR($I219)&amp;"-"&amp;TEXT(MONTH($I219),"00"),""),IF(ISNUMBER($H219),IF(ISNUMBER($H219),YEAR($H219)&amp;"-"&amp;TEXT(MONTH($H219),"00"),""),""))))</f>
        <v/>
      </c>
      <c r="W219" s="71">
        <f>IF($D219="",0,IF(AND(OR(fClient="All",$B219=fClient),fCampaign="All",OR(fTeam="All",$E219=fTeam),OR(fChannel="All",$C219=fChannel,AND(fChannel="Content",OR($C219="Blog",$C219="Case Study",$C219="Whitepaper")),AND(fChannel="Webinar / Events",$C219="Webinar")),OR(fMonth="All",$V219=fMonth)),1,0))</f>
        <v>0</v>
      </c>
      <c r="X219" s="71">
        <f>IF($D219="",0,IF(AND(OR(fClient="All",$B219=fClient),fCampaign="All",OR(fTeam="All",$E219=fTeam),OR(fChannel="All",$C219=fChannel,AND(fChannel="Content",OR($C219="Blog",$C219="Case Study",$C219="Whitepaper")),AND(fChannel="Webinar / Events",$C219="Webinar"))),1,0))</f>
        <v>0</v>
      </c>
    </row>
    <row r="220">
      <c r="A220" s="63" t="n"/>
      <c r="B220" s="64" t="n"/>
      <c r="C220" s="64" t="n"/>
      <c r="D220" s="65" t="n"/>
      <c r="E220" s="64" t="n"/>
      <c r="F220" s="64" t="n"/>
      <c r="G220" s="64" t="n"/>
      <c r="H220" s="63" t="n"/>
      <c r="I220" s="63" t="n"/>
      <c r="J220" s="63" t="n"/>
      <c r="K220" s="67" t="n"/>
      <c r="L220" s="67" t="n"/>
      <c r="M220" s="67" t="n"/>
      <c r="N220" s="65" t="n"/>
      <c r="O220" s="64" t="n"/>
      <c r="P220" s="67" t="n"/>
      <c r="Q220" s="65" t="n"/>
      <c r="R220" s="65" t="n"/>
      <c r="S220" s="65" t="n"/>
      <c r="T220" s="71">
        <f>IF($D220="",0,IF(OR($G220="Published",$G220="Completed",$G220="Cancelled"),0,1))</f>
        <v>0</v>
      </c>
      <c r="U220" s="69" t="str">
        <f>IF($D220="","",IF(AND($T220=1,ISNUMBER($I220)),IF($I220&lt;ReportDate,ReportDate-$I220,0),0))</f>
        <v/>
      </c>
      <c r="V220" s="71" t="str">
        <f>IF($D220="","",IF(ISNUMBER($A220),IF(ISNUMBER($A220),YEAR($A220)&amp;"-"&amp;TEXT(MONTH($A220),"00"),""),IF(ISNUMBER($I220),IF(ISNUMBER($I220),YEAR($I220)&amp;"-"&amp;TEXT(MONTH($I220),"00"),""),IF(ISNUMBER($H220),IF(ISNUMBER($H220),YEAR($H220)&amp;"-"&amp;TEXT(MONTH($H220),"00"),""),""))))</f>
        <v/>
      </c>
      <c r="W220" s="71">
        <f>IF($D220="",0,IF(AND(OR(fClient="All",$B220=fClient),fCampaign="All",OR(fTeam="All",$E220=fTeam),OR(fChannel="All",$C220=fChannel,AND(fChannel="Content",OR($C220="Blog",$C220="Case Study",$C220="Whitepaper")),AND(fChannel="Webinar / Events",$C220="Webinar")),OR(fMonth="All",$V220=fMonth)),1,0))</f>
        <v>0</v>
      </c>
      <c r="X220" s="71">
        <f>IF($D220="",0,IF(AND(OR(fClient="All",$B220=fClient),fCampaign="All",OR(fTeam="All",$E220=fTeam),OR(fChannel="All",$C220=fChannel,AND(fChannel="Content",OR($C220="Blog",$C220="Case Study",$C220="Whitepaper")),AND(fChannel="Webinar / Events",$C220="Webinar"))),1,0))</f>
        <v>0</v>
      </c>
    </row>
    <row r="221">
      <c r="A221" s="63" t="n"/>
      <c r="B221" s="64" t="n"/>
      <c r="C221" s="64" t="n"/>
      <c r="D221" s="65" t="n"/>
      <c r="E221" s="64" t="n"/>
      <c r="F221" s="64" t="n"/>
      <c r="G221" s="64" t="n"/>
      <c r="H221" s="63" t="n"/>
      <c r="I221" s="63" t="n"/>
      <c r="J221" s="63" t="n"/>
      <c r="K221" s="67" t="n"/>
      <c r="L221" s="67" t="n"/>
      <c r="M221" s="67" t="n"/>
      <c r="N221" s="65" t="n"/>
      <c r="O221" s="64" t="n"/>
      <c r="P221" s="67" t="n"/>
      <c r="Q221" s="65" t="n"/>
      <c r="R221" s="65" t="n"/>
      <c r="S221" s="65" t="n"/>
      <c r="T221" s="71">
        <f>IF($D221="",0,IF(OR($G221="Published",$G221="Completed",$G221="Cancelled"),0,1))</f>
        <v>0</v>
      </c>
      <c r="U221" s="69" t="str">
        <f>IF($D221="","",IF(AND($T221=1,ISNUMBER($I221)),IF($I221&lt;ReportDate,ReportDate-$I221,0),0))</f>
        <v/>
      </c>
      <c r="V221" s="71" t="str">
        <f>IF($D221="","",IF(ISNUMBER($A221),IF(ISNUMBER($A221),YEAR($A221)&amp;"-"&amp;TEXT(MONTH($A221),"00"),""),IF(ISNUMBER($I221),IF(ISNUMBER($I221),YEAR($I221)&amp;"-"&amp;TEXT(MONTH($I221),"00"),""),IF(ISNUMBER($H221),IF(ISNUMBER($H221),YEAR($H221)&amp;"-"&amp;TEXT(MONTH($H221),"00"),""),""))))</f>
        <v/>
      </c>
      <c r="W221" s="71">
        <f>IF($D221="",0,IF(AND(OR(fClient="All",$B221=fClient),fCampaign="All",OR(fTeam="All",$E221=fTeam),OR(fChannel="All",$C221=fChannel,AND(fChannel="Content",OR($C221="Blog",$C221="Case Study",$C221="Whitepaper")),AND(fChannel="Webinar / Events",$C221="Webinar")),OR(fMonth="All",$V221=fMonth)),1,0))</f>
        <v>0</v>
      </c>
      <c r="X221" s="71">
        <f>IF($D221="",0,IF(AND(OR(fClient="All",$B221=fClient),fCampaign="All",OR(fTeam="All",$E221=fTeam),OR(fChannel="All",$C221=fChannel,AND(fChannel="Content",OR($C221="Blog",$C221="Case Study",$C221="Whitepaper")),AND(fChannel="Webinar / Events",$C221="Webinar"))),1,0))</f>
        <v>0</v>
      </c>
    </row>
    <row r="222">
      <c r="A222" s="63" t="n"/>
      <c r="B222" s="64" t="n"/>
      <c r="C222" s="64" t="n"/>
      <c r="D222" s="65" t="n"/>
      <c r="E222" s="64" t="n"/>
      <c r="F222" s="64" t="n"/>
      <c r="G222" s="64" t="n"/>
      <c r="H222" s="63" t="n"/>
      <c r="I222" s="63" t="n"/>
      <c r="J222" s="63" t="n"/>
      <c r="K222" s="67" t="n"/>
      <c r="L222" s="67" t="n"/>
      <c r="M222" s="67" t="n"/>
      <c r="N222" s="65" t="n"/>
      <c r="O222" s="64" t="n"/>
      <c r="P222" s="67" t="n"/>
      <c r="Q222" s="65" t="n"/>
      <c r="R222" s="65" t="n"/>
      <c r="S222" s="65" t="n"/>
      <c r="T222" s="71">
        <f>IF($D222="",0,IF(OR($G222="Published",$G222="Completed",$G222="Cancelled"),0,1))</f>
        <v>0</v>
      </c>
      <c r="U222" s="69" t="str">
        <f>IF($D222="","",IF(AND($T222=1,ISNUMBER($I222)),IF($I222&lt;ReportDate,ReportDate-$I222,0),0))</f>
        <v/>
      </c>
      <c r="V222" s="71" t="str">
        <f>IF($D222="","",IF(ISNUMBER($A222),IF(ISNUMBER($A222),YEAR($A222)&amp;"-"&amp;TEXT(MONTH($A222),"00"),""),IF(ISNUMBER($I222),IF(ISNUMBER($I222),YEAR($I222)&amp;"-"&amp;TEXT(MONTH($I222),"00"),""),IF(ISNUMBER($H222),IF(ISNUMBER($H222),YEAR($H222)&amp;"-"&amp;TEXT(MONTH($H222),"00"),""),""))))</f>
        <v/>
      </c>
      <c r="W222" s="71">
        <f>IF($D222="",0,IF(AND(OR(fClient="All",$B222=fClient),fCampaign="All",OR(fTeam="All",$E222=fTeam),OR(fChannel="All",$C222=fChannel,AND(fChannel="Content",OR($C222="Blog",$C222="Case Study",$C222="Whitepaper")),AND(fChannel="Webinar / Events",$C222="Webinar")),OR(fMonth="All",$V222=fMonth)),1,0))</f>
        <v>0</v>
      </c>
      <c r="X222" s="71">
        <f>IF($D222="",0,IF(AND(OR(fClient="All",$B222=fClient),fCampaign="All",OR(fTeam="All",$E222=fTeam),OR(fChannel="All",$C222=fChannel,AND(fChannel="Content",OR($C222="Blog",$C222="Case Study",$C222="Whitepaper")),AND(fChannel="Webinar / Events",$C222="Webinar"))),1,0))</f>
        <v>0</v>
      </c>
    </row>
    <row r="223">
      <c r="A223" s="63" t="n"/>
      <c r="B223" s="64" t="n"/>
      <c r="C223" s="64" t="n"/>
      <c r="D223" s="65" t="n"/>
      <c r="E223" s="64" t="n"/>
      <c r="F223" s="64" t="n"/>
      <c r="G223" s="64" t="n"/>
      <c r="H223" s="63" t="n"/>
      <c r="I223" s="63" t="n"/>
      <c r="J223" s="63" t="n"/>
      <c r="K223" s="67" t="n"/>
      <c r="L223" s="67" t="n"/>
      <c r="M223" s="67" t="n"/>
      <c r="N223" s="65" t="n"/>
      <c r="O223" s="64" t="n"/>
      <c r="P223" s="67" t="n"/>
      <c r="Q223" s="65" t="n"/>
      <c r="R223" s="65" t="n"/>
      <c r="S223" s="65" t="n"/>
      <c r="T223" s="71">
        <f>IF($D223="",0,IF(OR($G223="Published",$G223="Completed",$G223="Cancelled"),0,1))</f>
        <v>0</v>
      </c>
      <c r="U223" s="69" t="str">
        <f>IF($D223="","",IF(AND($T223=1,ISNUMBER($I223)),IF($I223&lt;ReportDate,ReportDate-$I223,0),0))</f>
        <v/>
      </c>
      <c r="V223" s="71" t="str">
        <f>IF($D223="","",IF(ISNUMBER($A223),IF(ISNUMBER($A223),YEAR($A223)&amp;"-"&amp;TEXT(MONTH($A223),"00"),""),IF(ISNUMBER($I223),IF(ISNUMBER($I223),YEAR($I223)&amp;"-"&amp;TEXT(MONTH($I223),"00"),""),IF(ISNUMBER($H223),IF(ISNUMBER($H223),YEAR($H223)&amp;"-"&amp;TEXT(MONTH($H223),"00"),""),""))))</f>
        <v/>
      </c>
      <c r="W223" s="71">
        <f>IF($D223="",0,IF(AND(OR(fClient="All",$B223=fClient),fCampaign="All",OR(fTeam="All",$E223=fTeam),OR(fChannel="All",$C223=fChannel,AND(fChannel="Content",OR($C223="Blog",$C223="Case Study",$C223="Whitepaper")),AND(fChannel="Webinar / Events",$C223="Webinar")),OR(fMonth="All",$V223=fMonth)),1,0))</f>
        <v>0</v>
      </c>
      <c r="X223" s="71">
        <f>IF($D223="",0,IF(AND(OR(fClient="All",$B223=fClient),fCampaign="All",OR(fTeam="All",$E223=fTeam),OR(fChannel="All",$C223=fChannel,AND(fChannel="Content",OR($C223="Blog",$C223="Case Study",$C223="Whitepaper")),AND(fChannel="Webinar / Events",$C223="Webinar"))),1,0))</f>
        <v>0</v>
      </c>
    </row>
    <row r="224">
      <c r="A224" s="63" t="n"/>
      <c r="B224" s="64" t="n"/>
      <c r="C224" s="64" t="n"/>
      <c r="D224" s="65" t="n"/>
      <c r="E224" s="64" t="n"/>
      <c r="F224" s="64" t="n"/>
      <c r="G224" s="64" t="n"/>
      <c r="H224" s="63" t="n"/>
      <c r="I224" s="63" t="n"/>
      <c r="J224" s="63" t="n"/>
      <c r="K224" s="67" t="n"/>
      <c r="L224" s="67" t="n"/>
      <c r="M224" s="67" t="n"/>
      <c r="N224" s="65" t="n"/>
      <c r="O224" s="64" t="n"/>
      <c r="P224" s="67" t="n"/>
      <c r="Q224" s="65" t="n"/>
      <c r="R224" s="65" t="n"/>
      <c r="S224" s="65" t="n"/>
      <c r="T224" s="71">
        <f>IF($D224="",0,IF(OR($G224="Published",$G224="Completed",$G224="Cancelled"),0,1))</f>
        <v>0</v>
      </c>
      <c r="U224" s="69" t="str">
        <f>IF($D224="","",IF(AND($T224=1,ISNUMBER($I224)),IF($I224&lt;ReportDate,ReportDate-$I224,0),0))</f>
        <v/>
      </c>
      <c r="V224" s="71" t="str">
        <f>IF($D224="","",IF(ISNUMBER($A224),IF(ISNUMBER($A224),YEAR($A224)&amp;"-"&amp;TEXT(MONTH($A224),"00"),""),IF(ISNUMBER($I224),IF(ISNUMBER($I224),YEAR($I224)&amp;"-"&amp;TEXT(MONTH($I224),"00"),""),IF(ISNUMBER($H224),IF(ISNUMBER($H224),YEAR($H224)&amp;"-"&amp;TEXT(MONTH($H224),"00"),""),""))))</f>
        <v/>
      </c>
      <c r="W224" s="71">
        <f>IF($D224="",0,IF(AND(OR(fClient="All",$B224=fClient),fCampaign="All",OR(fTeam="All",$E224=fTeam),OR(fChannel="All",$C224=fChannel,AND(fChannel="Content",OR($C224="Blog",$C224="Case Study",$C224="Whitepaper")),AND(fChannel="Webinar / Events",$C224="Webinar")),OR(fMonth="All",$V224=fMonth)),1,0))</f>
        <v>0</v>
      </c>
      <c r="X224" s="71">
        <f>IF($D224="",0,IF(AND(OR(fClient="All",$B224=fClient),fCampaign="All",OR(fTeam="All",$E224=fTeam),OR(fChannel="All",$C224=fChannel,AND(fChannel="Content",OR($C224="Blog",$C224="Case Study",$C224="Whitepaper")),AND(fChannel="Webinar / Events",$C224="Webinar"))),1,0))</f>
        <v>0</v>
      </c>
    </row>
    <row r="225">
      <c r="A225" s="63" t="n"/>
      <c r="B225" s="64" t="n"/>
      <c r="C225" s="64" t="n"/>
      <c r="D225" s="65" t="n"/>
      <c r="E225" s="64" t="n"/>
      <c r="F225" s="64" t="n"/>
      <c r="G225" s="64" t="n"/>
      <c r="H225" s="63" t="n"/>
      <c r="I225" s="63" t="n"/>
      <c r="J225" s="63" t="n"/>
      <c r="K225" s="67" t="n"/>
      <c r="L225" s="67" t="n"/>
      <c r="M225" s="67" t="n"/>
      <c r="N225" s="65" t="n"/>
      <c r="O225" s="64" t="n"/>
      <c r="P225" s="67" t="n"/>
      <c r="Q225" s="65" t="n"/>
      <c r="R225" s="65" t="n"/>
      <c r="S225" s="65" t="n"/>
      <c r="T225" s="71">
        <f>IF($D225="",0,IF(OR($G225="Published",$G225="Completed",$G225="Cancelled"),0,1))</f>
        <v>0</v>
      </c>
      <c r="U225" s="69" t="str">
        <f>IF($D225="","",IF(AND($T225=1,ISNUMBER($I225)),IF($I225&lt;ReportDate,ReportDate-$I225,0),0))</f>
        <v/>
      </c>
      <c r="V225" s="71" t="str">
        <f>IF($D225="","",IF(ISNUMBER($A225),IF(ISNUMBER($A225),YEAR($A225)&amp;"-"&amp;TEXT(MONTH($A225),"00"),""),IF(ISNUMBER($I225),IF(ISNUMBER($I225),YEAR($I225)&amp;"-"&amp;TEXT(MONTH($I225),"00"),""),IF(ISNUMBER($H225),IF(ISNUMBER($H225),YEAR($H225)&amp;"-"&amp;TEXT(MONTH($H225),"00"),""),""))))</f>
        <v/>
      </c>
      <c r="W225" s="71">
        <f>IF($D225="",0,IF(AND(OR(fClient="All",$B225=fClient),fCampaign="All",OR(fTeam="All",$E225=fTeam),OR(fChannel="All",$C225=fChannel,AND(fChannel="Content",OR($C225="Blog",$C225="Case Study",$C225="Whitepaper")),AND(fChannel="Webinar / Events",$C225="Webinar")),OR(fMonth="All",$V225=fMonth)),1,0))</f>
        <v>0</v>
      </c>
      <c r="X225" s="71">
        <f>IF($D225="",0,IF(AND(OR(fClient="All",$B225=fClient),fCampaign="All",OR(fTeam="All",$E225=fTeam),OR(fChannel="All",$C225=fChannel,AND(fChannel="Content",OR($C225="Blog",$C225="Case Study",$C225="Whitepaper")),AND(fChannel="Webinar / Events",$C225="Webinar"))),1,0))</f>
        <v>0</v>
      </c>
    </row>
    <row r="226">
      <c r="A226" s="63" t="n"/>
      <c r="B226" s="64" t="n"/>
      <c r="C226" s="64" t="n"/>
      <c r="D226" s="65" t="n"/>
      <c r="E226" s="64" t="n"/>
      <c r="F226" s="64" t="n"/>
      <c r="G226" s="64" t="n"/>
      <c r="H226" s="63" t="n"/>
      <c r="I226" s="63" t="n"/>
      <c r="J226" s="63" t="n"/>
      <c r="K226" s="67" t="n"/>
      <c r="L226" s="67" t="n"/>
      <c r="M226" s="67" t="n"/>
      <c r="N226" s="65" t="n"/>
      <c r="O226" s="64" t="n"/>
      <c r="P226" s="67" t="n"/>
      <c r="Q226" s="65" t="n"/>
      <c r="R226" s="65" t="n"/>
      <c r="S226" s="65" t="n"/>
      <c r="T226" s="71">
        <f>IF($D226="",0,IF(OR($G226="Published",$G226="Completed",$G226="Cancelled"),0,1))</f>
        <v>0</v>
      </c>
      <c r="U226" s="69" t="str">
        <f>IF($D226="","",IF(AND($T226=1,ISNUMBER($I226)),IF($I226&lt;ReportDate,ReportDate-$I226,0),0))</f>
        <v/>
      </c>
      <c r="V226" s="71" t="str">
        <f>IF($D226="","",IF(ISNUMBER($A226),IF(ISNUMBER($A226),YEAR($A226)&amp;"-"&amp;TEXT(MONTH($A226),"00"),""),IF(ISNUMBER($I226),IF(ISNUMBER($I226),YEAR($I226)&amp;"-"&amp;TEXT(MONTH($I226),"00"),""),IF(ISNUMBER($H226),IF(ISNUMBER($H226),YEAR($H226)&amp;"-"&amp;TEXT(MONTH($H226),"00"),""),""))))</f>
        <v/>
      </c>
      <c r="W226" s="71">
        <f>IF($D226="",0,IF(AND(OR(fClient="All",$B226=fClient),fCampaign="All",OR(fTeam="All",$E226=fTeam),OR(fChannel="All",$C226=fChannel,AND(fChannel="Content",OR($C226="Blog",$C226="Case Study",$C226="Whitepaper")),AND(fChannel="Webinar / Events",$C226="Webinar")),OR(fMonth="All",$V226=fMonth)),1,0))</f>
        <v>0</v>
      </c>
      <c r="X226" s="71">
        <f>IF($D226="",0,IF(AND(OR(fClient="All",$B226=fClient),fCampaign="All",OR(fTeam="All",$E226=fTeam),OR(fChannel="All",$C226=fChannel,AND(fChannel="Content",OR($C226="Blog",$C226="Case Study",$C226="Whitepaper")),AND(fChannel="Webinar / Events",$C226="Webinar"))),1,0))</f>
        <v>0</v>
      </c>
    </row>
    <row r="227">
      <c r="A227" s="63" t="n"/>
      <c r="B227" s="64" t="n"/>
      <c r="C227" s="64" t="n"/>
      <c r="D227" s="65" t="n"/>
      <c r="E227" s="64" t="n"/>
      <c r="F227" s="64" t="n"/>
      <c r="G227" s="64" t="n"/>
      <c r="H227" s="63" t="n"/>
      <c r="I227" s="63" t="n"/>
      <c r="J227" s="63" t="n"/>
      <c r="K227" s="67" t="n"/>
      <c r="L227" s="67" t="n"/>
      <c r="M227" s="67" t="n"/>
      <c r="N227" s="65" t="n"/>
      <c r="O227" s="64" t="n"/>
      <c r="P227" s="67" t="n"/>
      <c r="Q227" s="65" t="n"/>
      <c r="R227" s="65" t="n"/>
      <c r="S227" s="65" t="n"/>
      <c r="T227" s="71">
        <f>IF($D227="",0,IF(OR($G227="Published",$G227="Completed",$G227="Cancelled"),0,1))</f>
        <v>0</v>
      </c>
      <c r="U227" s="69" t="str">
        <f>IF($D227="","",IF(AND($T227=1,ISNUMBER($I227)),IF($I227&lt;ReportDate,ReportDate-$I227,0),0))</f>
        <v/>
      </c>
      <c r="V227" s="71" t="str">
        <f>IF($D227="","",IF(ISNUMBER($A227),IF(ISNUMBER($A227),YEAR($A227)&amp;"-"&amp;TEXT(MONTH($A227),"00"),""),IF(ISNUMBER($I227),IF(ISNUMBER($I227),YEAR($I227)&amp;"-"&amp;TEXT(MONTH($I227),"00"),""),IF(ISNUMBER($H227),IF(ISNUMBER($H227),YEAR($H227)&amp;"-"&amp;TEXT(MONTH($H227),"00"),""),""))))</f>
        <v/>
      </c>
      <c r="W227" s="71">
        <f>IF($D227="",0,IF(AND(OR(fClient="All",$B227=fClient),fCampaign="All",OR(fTeam="All",$E227=fTeam),OR(fChannel="All",$C227=fChannel,AND(fChannel="Content",OR($C227="Blog",$C227="Case Study",$C227="Whitepaper")),AND(fChannel="Webinar / Events",$C227="Webinar")),OR(fMonth="All",$V227=fMonth)),1,0))</f>
        <v>0</v>
      </c>
      <c r="X227" s="71">
        <f>IF($D227="",0,IF(AND(OR(fClient="All",$B227=fClient),fCampaign="All",OR(fTeam="All",$E227=fTeam),OR(fChannel="All",$C227=fChannel,AND(fChannel="Content",OR($C227="Blog",$C227="Case Study",$C227="Whitepaper")),AND(fChannel="Webinar / Events",$C227="Webinar"))),1,0))</f>
        <v>0</v>
      </c>
    </row>
    <row r="228">
      <c r="A228" s="63" t="n"/>
      <c r="B228" s="64" t="n"/>
      <c r="C228" s="64" t="n"/>
      <c r="D228" s="65" t="n"/>
      <c r="E228" s="64" t="n"/>
      <c r="F228" s="64" t="n"/>
      <c r="G228" s="64" t="n"/>
      <c r="H228" s="63" t="n"/>
      <c r="I228" s="63" t="n"/>
      <c r="J228" s="63" t="n"/>
      <c r="K228" s="67" t="n"/>
      <c r="L228" s="67" t="n"/>
      <c r="M228" s="67" t="n"/>
      <c r="N228" s="65" t="n"/>
      <c r="O228" s="64" t="n"/>
      <c r="P228" s="67" t="n"/>
      <c r="Q228" s="65" t="n"/>
      <c r="R228" s="65" t="n"/>
      <c r="S228" s="65" t="n"/>
      <c r="T228" s="71">
        <f>IF($D228="",0,IF(OR($G228="Published",$G228="Completed",$G228="Cancelled"),0,1))</f>
        <v>0</v>
      </c>
      <c r="U228" s="69" t="str">
        <f>IF($D228="","",IF(AND($T228=1,ISNUMBER($I228)),IF($I228&lt;ReportDate,ReportDate-$I228,0),0))</f>
        <v/>
      </c>
      <c r="V228" s="71" t="str">
        <f>IF($D228="","",IF(ISNUMBER($A228),IF(ISNUMBER($A228),YEAR($A228)&amp;"-"&amp;TEXT(MONTH($A228),"00"),""),IF(ISNUMBER($I228),IF(ISNUMBER($I228),YEAR($I228)&amp;"-"&amp;TEXT(MONTH($I228),"00"),""),IF(ISNUMBER($H228),IF(ISNUMBER($H228),YEAR($H228)&amp;"-"&amp;TEXT(MONTH($H228),"00"),""),""))))</f>
        <v/>
      </c>
      <c r="W228" s="71">
        <f>IF($D228="",0,IF(AND(OR(fClient="All",$B228=fClient),fCampaign="All",OR(fTeam="All",$E228=fTeam),OR(fChannel="All",$C228=fChannel,AND(fChannel="Content",OR($C228="Blog",$C228="Case Study",$C228="Whitepaper")),AND(fChannel="Webinar / Events",$C228="Webinar")),OR(fMonth="All",$V228=fMonth)),1,0))</f>
        <v>0</v>
      </c>
      <c r="X228" s="71">
        <f>IF($D228="",0,IF(AND(OR(fClient="All",$B228=fClient),fCampaign="All",OR(fTeam="All",$E228=fTeam),OR(fChannel="All",$C228=fChannel,AND(fChannel="Content",OR($C228="Blog",$C228="Case Study",$C228="Whitepaper")),AND(fChannel="Webinar / Events",$C228="Webinar"))),1,0))</f>
        <v>0</v>
      </c>
    </row>
    <row r="229">
      <c r="A229" s="63" t="n"/>
      <c r="B229" s="64" t="n"/>
      <c r="C229" s="64" t="n"/>
      <c r="D229" s="65" t="n"/>
      <c r="E229" s="64" t="n"/>
      <c r="F229" s="64" t="n"/>
      <c r="G229" s="64" t="n"/>
      <c r="H229" s="63" t="n"/>
      <c r="I229" s="63" t="n"/>
      <c r="J229" s="63" t="n"/>
      <c r="K229" s="67" t="n"/>
      <c r="L229" s="67" t="n"/>
      <c r="M229" s="67" t="n"/>
      <c r="N229" s="65" t="n"/>
      <c r="O229" s="64" t="n"/>
      <c r="P229" s="67" t="n"/>
      <c r="Q229" s="65" t="n"/>
      <c r="R229" s="65" t="n"/>
      <c r="S229" s="65" t="n"/>
      <c r="T229" s="71">
        <f>IF($D229="",0,IF(OR($G229="Published",$G229="Completed",$G229="Cancelled"),0,1))</f>
        <v>0</v>
      </c>
      <c r="U229" s="69" t="str">
        <f>IF($D229="","",IF(AND($T229=1,ISNUMBER($I229)),IF($I229&lt;ReportDate,ReportDate-$I229,0),0))</f>
        <v/>
      </c>
      <c r="V229" s="71" t="str">
        <f>IF($D229="","",IF(ISNUMBER($A229),IF(ISNUMBER($A229),YEAR($A229)&amp;"-"&amp;TEXT(MONTH($A229),"00"),""),IF(ISNUMBER($I229),IF(ISNUMBER($I229),YEAR($I229)&amp;"-"&amp;TEXT(MONTH($I229),"00"),""),IF(ISNUMBER($H229),IF(ISNUMBER($H229),YEAR($H229)&amp;"-"&amp;TEXT(MONTH($H229),"00"),""),""))))</f>
        <v/>
      </c>
      <c r="W229" s="71">
        <f>IF($D229="",0,IF(AND(OR(fClient="All",$B229=fClient),fCampaign="All",OR(fTeam="All",$E229=fTeam),OR(fChannel="All",$C229=fChannel,AND(fChannel="Content",OR($C229="Blog",$C229="Case Study",$C229="Whitepaper")),AND(fChannel="Webinar / Events",$C229="Webinar")),OR(fMonth="All",$V229=fMonth)),1,0))</f>
        <v>0</v>
      </c>
      <c r="X229" s="71">
        <f>IF($D229="",0,IF(AND(OR(fClient="All",$B229=fClient),fCampaign="All",OR(fTeam="All",$E229=fTeam),OR(fChannel="All",$C229=fChannel,AND(fChannel="Content",OR($C229="Blog",$C229="Case Study",$C229="Whitepaper")),AND(fChannel="Webinar / Events",$C229="Webinar"))),1,0))</f>
        <v>0</v>
      </c>
    </row>
    <row r="230">
      <c r="A230" s="63" t="n"/>
      <c r="B230" s="64" t="n"/>
      <c r="C230" s="64" t="n"/>
      <c r="D230" s="65" t="n"/>
      <c r="E230" s="64" t="n"/>
      <c r="F230" s="64" t="n"/>
      <c r="G230" s="64" t="n"/>
      <c r="H230" s="63" t="n"/>
      <c r="I230" s="63" t="n"/>
      <c r="J230" s="63" t="n"/>
      <c r="K230" s="67" t="n"/>
      <c r="L230" s="67" t="n"/>
      <c r="M230" s="67" t="n"/>
      <c r="N230" s="65" t="n"/>
      <c r="O230" s="64" t="n"/>
      <c r="P230" s="67" t="n"/>
      <c r="Q230" s="65" t="n"/>
      <c r="R230" s="65" t="n"/>
      <c r="S230" s="65" t="n"/>
      <c r="T230" s="71">
        <f>IF($D230="",0,IF(OR($G230="Published",$G230="Completed",$G230="Cancelled"),0,1))</f>
        <v>0</v>
      </c>
      <c r="U230" s="69" t="str">
        <f>IF($D230="","",IF(AND($T230=1,ISNUMBER($I230)),IF($I230&lt;ReportDate,ReportDate-$I230,0),0))</f>
        <v/>
      </c>
      <c r="V230" s="71" t="str">
        <f>IF($D230="","",IF(ISNUMBER($A230),IF(ISNUMBER($A230),YEAR($A230)&amp;"-"&amp;TEXT(MONTH($A230),"00"),""),IF(ISNUMBER($I230),IF(ISNUMBER($I230),YEAR($I230)&amp;"-"&amp;TEXT(MONTH($I230),"00"),""),IF(ISNUMBER($H230),IF(ISNUMBER($H230),YEAR($H230)&amp;"-"&amp;TEXT(MONTH($H230),"00"),""),""))))</f>
        <v/>
      </c>
      <c r="W230" s="71">
        <f>IF($D230="",0,IF(AND(OR(fClient="All",$B230=fClient),fCampaign="All",OR(fTeam="All",$E230=fTeam),OR(fChannel="All",$C230=fChannel,AND(fChannel="Content",OR($C230="Blog",$C230="Case Study",$C230="Whitepaper")),AND(fChannel="Webinar / Events",$C230="Webinar")),OR(fMonth="All",$V230=fMonth)),1,0))</f>
        <v>0</v>
      </c>
      <c r="X230" s="71">
        <f>IF($D230="",0,IF(AND(OR(fClient="All",$B230=fClient),fCampaign="All",OR(fTeam="All",$E230=fTeam),OR(fChannel="All",$C230=fChannel,AND(fChannel="Content",OR($C230="Blog",$C230="Case Study",$C230="Whitepaper")),AND(fChannel="Webinar / Events",$C230="Webinar"))),1,0))</f>
        <v>0</v>
      </c>
    </row>
    <row r="231">
      <c r="A231" s="63" t="n"/>
      <c r="B231" s="64" t="n"/>
      <c r="C231" s="64" t="n"/>
      <c r="D231" s="65" t="n"/>
      <c r="E231" s="64" t="n"/>
      <c r="F231" s="64" t="n"/>
      <c r="G231" s="64" t="n"/>
      <c r="H231" s="63" t="n"/>
      <c r="I231" s="63" t="n"/>
      <c r="J231" s="63" t="n"/>
      <c r="K231" s="67" t="n"/>
      <c r="L231" s="67" t="n"/>
      <c r="M231" s="67" t="n"/>
      <c r="N231" s="65" t="n"/>
      <c r="O231" s="64" t="n"/>
      <c r="P231" s="67" t="n"/>
      <c r="Q231" s="65" t="n"/>
      <c r="R231" s="65" t="n"/>
      <c r="S231" s="65" t="n"/>
      <c r="T231" s="71">
        <f>IF($D231="",0,IF(OR($G231="Published",$G231="Completed",$G231="Cancelled"),0,1))</f>
        <v>0</v>
      </c>
      <c r="U231" s="69" t="str">
        <f>IF($D231="","",IF(AND($T231=1,ISNUMBER($I231)),IF($I231&lt;ReportDate,ReportDate-$I231,0),0))</f>
        <v/>
      </c>
      <c r="V231" s="71" t="str">
        <f>IF($D231="","",IF(ISNUMBER($A231),IF(ISNUMBER($A231),YEAR($A231)&amp;"-"&amp;TEXT(MONTH($A231),"00"),""),IF(ISNUMBER($I231),IF(ISNUMBER($I231),YEAR($I231)&amp;"-"&amp;TEXT(MONTH($I231),"00"),""),IF(ISNUMBER($H231),IF(ISNUMBER($H231),YEAR($H231)&amp;"-"&amp;TEXT(MONTH($H231),"00"),""),""))))</f>
        <v/>
      </c>
      <c r="W231" s="71">
        <f>IF($D231="",0,IF(AND(OR(fClient="All",$B231=fClient),fCampaign="All",OR(fTeam="All",$E231=fTeam),OR(fChannel="All",$C231=fChannel,AND(fChannel="Content",OR($C231="Blog",$C231="Case Study",$C231="Whitepaper")),AND(fChannel="Webinar / Events",$C231="Webinar")),OR(fMonth="All",$V231=fMonth)),1,0))</f>
        <v>0</v>
      </c>
      <c r="X231" s="71">
        <f>IF($D231="",0,IF(AND(OR(fClient="All",$B231=fClient),fCampaign="All",OR(fTeam="All",$E231=fTeam),OR(fChannel="All",$C231=fChannel,AND(fChannel="Content",OR($C231="Blog",$C231="Case Study",$C231="Whitepaper")),AND(fChannel="Webinar / Events",$C231="Webinar"))),1,0))</f>
        <v>0</v>
      </c>
    </row>
    <row r="232">
      <c r="A232" s="63" t="n"/>
      <c r="B232" s="64" t="n"/>
      <c r="C232" s="64" t="n"/>
      <c r="D232" s="65" t="n"/>
      <c r="E232" s="64" t="n"/>
      <c r="F232" s="64" t="n"/>
      <c r="G232" s="64" t="n"/>
      <c r="H232" s="63" t="n"/>
      <c r="I232" s="63" t="n"/>
      <c r="J232" s="63" t="n"/>
      <c r="K232" s="67" t="n"/>
      <c r="L232" s="67" t="n"/>
      <c r="M232" s="67" t="n"/>
      <c r="N232" s="65" t="n"/>
      <c r="O232" s="64" t="n"/>
      <c r="P232" s="67" t="n"/>
      <c r="Q232" s="65" t="n"/>
      <c r="R232" s="65" t="n"/>
      <c r="S232" s="65" t="n"/>
      <c r="T232" s="71">
        <f>IF($D232="",0,IF(OR($G232="Published",$G232="Completed",$G232="Cancelled"),0,1))</f>
        <v>0</v>
      </c>
      <c r="U232" s="69" t="str">
        <f>IF($D232="","",IF(AND($T232=1,ISNUMBER($I232)),IF($I232&lt;ReportDate,ReportDate-$I232,0),0))</f>
        <v/>
      </c>
      <c r="V232" s="71" t="str">
        <f>IF($D232="","",IF(ISNUMBER($A232),IF(ISNUMBER($A232),YEAR($A232)&amp;"-"&amp;TEXT(MONTH($A232),"00"),""),IF(ISNUMBER($I232),IF(ISNUMBER($I232),YEAR($I232)&amp;"-"&amp;TEXT(MONTH($I232),"00"),""),IF(ISNUMBER($H232),IF(ISNUMBER($H232),YEAR($H232)&amp;"-"&amp;TEXT(MONTH($H232),"00"),""),""))))</f>
        <v/>
      </c>
      <c r="W232" s="71">
        <f>IF($D232="",0,IF(AND(OR(fClient="All",$B232=fClient),fCampaign="All",OR(fTeam="All",$E232=fTeam),OR(fChannel="All",$C232=fChannel,AND(fChannel="Content",OR($C232="Blog",$C232="Case Study",$C232="Whitepaper")),AND(fChannel="Webinar / Events",$C232="Webinar")),OR(fMonth="All",$V232=fMonth)),1,0))</f>
        <v>0</v>
      </c>
      <c r="X232" s="71">
        <f>IF($D232="",0,IF(AND(OR(fClient="All",$B232=fClient),fCampaign="All",OR(fTeam="All",$E232=fTeam),OR(fChannel="All",$C232=fChannel,AND(fChannel="Content",OR($C232="Blog",$C232="Case Study",$C232="Whitepaper")),AND(fChannel="Webinar / Events",$C232="Webinar"))),1,0))</f>
        <v>0</v>
      </c>
    </row>
    <row r="233">
      <c r="A233" s="63" t="n"/>
      <c r="B233" s="64" t="n"/>
      <c r="C233" s="64" t="n"/>
      <c r="D233" s="65" t="n"/>
      <c r="E233" s="64" t="n"/>
      <c r="F233" s="64" t="n"/>
      <c r="G233" s="64" t="n"/>
      <c r="H233" s="63" t="n"/>
      <c r="I233" s="63" t="n"/>
      <c r="J233" s="63" t="n"/>
      <c r="K233" s="67" t="n"/>
      <c r="L233" s="67" t="n"/>
      <c r="M233" s="67" t="n"/>
      <c r="N233" s="65" t="n"/>
      <c r="O233" s="64" t="n"/>
      <c r="P233" s="67" t="n"/>
      <c r="Q233" s="65" t="n"/>
      <c r="R233" s="65" t="n"/>
      <c r="S233" s="65" t="n"/>
      <c r="T233" s="71">
        <f>IF($D233="",0,IF(OR($G233="Published",$G233="Completed",$G233="Cancelled"),0,1))</f>
        <v>0</v>
      </c>
      <c r="U233" s="69" t="str">
        <f>IF($D233="","",IF(AND($T233=1,ISNUMBER($I233)),IF($I233&lt;ReportDate,ReportDate-$I233,0),0))</f>
        <v/>
      </c>
      <c r="V233" s="71" t="str">
        <f>IF($D233="","",IF(ISNUMBER($A233),IF(ISNUMBER($A233),YEAR($A233)&amp;"-"&amp;TEXT(MONTH($A233),"00"),""),IF(ISNUMBER($I233),IF(ISNUMBER($I233),YEAR($I233)&amp;"-"&amp;TEXT(MONTH($I233),"00"),""),IF(ISNUMBER($H233),IF(ISNUMBER($H233),YEAR($H233)&amp;"-"&amp;TEXT(MONTH($H233),"00"),""),""))))</f>
        <v/>
      </c>
      <c r="W233" s="71">
        <f>IF($D233="",0,IF(AND(OR(fClient="All",$B233=fClient),fCampaign="All",OR(fTeam="All",$E233=fTeam),OR(fChannel="All",$C233=fChannel,AND(fChannel="Content",OR($C233="Blog",$C233="Case Study",$C233="Whitepaper")),AND(fChannel="Webinar / Events",$C233="Webinar")),OR(fMonth="All",$V233=fMonth)),1,0))</f>
        <v>0</v>
      </c>
      <c r="X233" s="71">
        <f>IF($D233="",0,IF(AND(OR(fClient="All",$B233=fClient),fCampaign="All",OR(fTeam="All",$E233=fTeam),OR(fChannel="All",$C233=fChannel,AND(fChannel="Content",OR($C233="Blog",$C233="Case Study",$C233="Whitepaper")),AND(fChannel="Webinar / Events",$C233="Webinar"))),1,0))</f>
        <v>0</v>
      </c>
    </row>
    <row r="234">
      <c r="A234" s="63" t="n"/>
      <c r="B234" s="64" t="n"/>
      <c r="C234" s="64" t="n"/>
      <c r="D234" s="65" t="n"/>
      <c r="E234" s="64" t="n"/>
      <c r="F234" s="64" t="n"/>
      <c r="G234" s="64" t="n"/>
      <c r="H234" s="63" t="n"/>
      <c r="I234" s="63" t="n"/>
      <c r="J234" s="63" t="n"/>
      <c r="K234" s="67" t="n"/>
      <c r="L234" s="67" t="n"/>
      <c r="M234" s="67" t="n"/>
      <c r="N234" s="65" t="n"/>
      <c r="O234" s="64" t="n"/>
      <c r="P234" s="67" t="n"/>
      <c r="Q234" s="65" t="n"/>
      <c r="R234" s="65" t="n"/>
      <c r="S234" s="65" t="n"/>
      <c r="T234" s="71">
        <f>IF($D234="",0,IF(OR($G234="Published",$G234="Completed",$G234="Cancelled"),0,1))</f>
        <v>0</v>
      </c>
      <c r="U234" s="69" t="str">
        <f>IF($D234="","",IF(AND($T234=1,ISNUMBER($I234)),IF($I234&lt;ReportDate,ReportDate-$I234,0),0))</f>
        <v/>
      </c>
      <c r="V234" s="71" t="str">
        <f>IF($D234="","",IF(ISNUMBER($A234),IF(ISNUMBER($A234),YEAR($A234)&amp;"-"&amp;TEXT(MONTH($A234),"00"),""),IF(ISNUMBER($I234),IF(ISNUMBER($I234),YEAR($I234)&amp;"-"&amp;TEXT(MONTH($I234),"00"),""),IF(ISNUMBER($H234),IF(ISNUMBER($H234),YEAR($H234)&amp;"-"&amp;TEXT(MONTH($H234),"00"),""),""))))</f>
        <v/>
      </c>
      <c r="W234" s="71">
        <f>IF($D234="",0,IF(AND(OR(fClient="All",$B234=fClient),fCampaign="All",OR(fTeam="All",$E234=fTeam),OR(fChannel="All",$C234=fChannel,AND(fChannel="Content",OR($C234="Blog",$C234="Case Study",$C234="Whitepaper")),AND(fChannel="Webinar / Events",$C234="Webinar")),OR(fMonth="All",$V234=fMonth)),1,0))</f>
        <v>0</v>
      </c>
      <c r="X234" s="71">
        <f>IF($D234="",0,IF(AND(OR(fClient="All",$B234=fClient),fCampaign="All",OR(fTeam="All",$E234=fTeam),OR(fChannel="All",$C234=fChannel,AND(fChannel="Content",OR($C234="Blog",$C234="Case Study",$C234="Whitepaper")),AND(fChannel="Webinar / Events",$C234="Webinar"))),1,0))</f>
        <v>0</v>
      </c>
    </row>
    <row r="235">
      <c r="A235" s="63" t="n"/>
      <c r="B235" s="64" t="n"/>
      <c r="C235" s="64" t="n"/>
      <c r="D235" s="65" t="n"/>
      <c r="E235" s="64" t="n"/>
      <c r="F235" s="64" t="n"/>
      <c r="G235" s="64" t="n"/>
      <c r="H235" s="63" t="n"/>
      <c r="I235" s="63" t="n"/>
      <c r="J235" s="63" t="n"/>
      <c r="K235" s="67" t="n"/>
      <c r="L235" s="67" t="n"/>
      <c r="M235" s="67" t="n"/>
      <c r="N235" s="65" t="n"/>
      <c r="O235" s="64" t="n"/>
      <c r="P235" s="67" t="n"/>
      <c r="Q235" s="65" t="n"/>
      <c r="R235" s="65" t="n"/>
      <c r="S235" s="65" t="n"/>
      <c r="T235" s="71">
        <f>IF($D235="",0,IF(OR($G235="Published",$G235="Completed",$G235="Cancelled"),0,1))</f>
        <v>0</v>
      </c>
      <c r="U235" s="69" t="str">
        <f>IF($D235="","",IF(AND($T235=1,ISNUMBER($I235)),IF($I235&lt;ReportDate,ReportDate-$I235,0),0))</f>
        <v/>
      </c>
      <c r="V235" s="71" t="str">
        <f>IF($D235="","",IF(ISNUMBER($A235),IF(ISNUMBER($A235),YEAR($A235)&amp;"-"&amp;TEXT(MONTH($A235),"00"),""),IF(ISNUMBER($I235),IF(ISNUMBER($I235),YEAR($I235)&amp;"-"&amp;TEXT(MONTH($I235),"00"),""),IF(ISNUMBER($H235),IF(ISNUMBER($H235),YEAR($H235)&amp;"-"&amp;TEXT(MONTH($H235),"00"),""),""))))</f>
        <v/>
      </c>
      <c r="W235" s="71">
        <f>IF($D235="",0,IF(AND(OR(fClient="All",$B235=fClient),fCampaign="All",OR(fTeam="All",$E235=fTeam),OR(fChannel="All",$C235=fChannel,AND(fChannel="Content",OR($C235="Blog",$C235="Case Study",$C235="Whitepaper")),AND(fChannel="Webinar / Events",$C235="Webinar")),OR(fMonth="All",$V235=fMonth)),1,0))</f>
        <v>0</v>
      </c>
      <c r="X235" s="71">
        <f>IF($D235="",0,IF(AND(OR(fClient="All",$B235=fClient),fCampaign="All",OR(fTeam="All",$E235=fTeam),OR(fChannel="All",$C235=fChannel,AND(fChannel="Content",OR($C235="Blog",$C235="Case Study",$C235="Whitepaper")),AND(fChannel="Webinar / Events",$C235="Webinar"))),1,0))</f>
        <v>0</v>
      </c>
    </row>
    <row r="236">
      <c r="A236" s="63" t="n"/>
      <c r="B236" s="64" t="n"/>
      <c r="C236" s="64" t="n"/>
      <c r="D236" s="65" t="n"/>
      <c r="E236" s="64" t="n"/>
      <c r="F236" s="64" t="n"/>
      <c r="G236" s="64" t="n"/>
      <c r="H236" s="63" t="n"/>
      <c r="I236" s="63" t="n"/>
      <c r="J236" s="63" t="n"/>
      <c r="K236" s="67" t="n"/>
      <c r="L236" s="67" t="n"/>
      <c r="M236" s="67" t="n"/>
      <c r="N236" s="65" t="n"/>
      <c r="O236" s="64" t="n"/>
      <c r="P236" s="67" t="n"/>
      <c r="Q236" s="65" t="n"/>
      <c r="R236" s="65" t="n"/>
      <c r="S236" s="65" t="n"/>
      <c r="T236" s="71">
        <f>IF($D236="",0,IF(OR($G236="Published",$G236="Completed",$G236="Cancelled"),0,1))</f>
        <v>0</v>
      </c>
      <c r="U236" s="69" t="str">
        <f>IF($D236="","",IF(AND($T236=1,ISNUMBER($I236)),IF($I236&lt;ReportDate,ReportDate-$I236,0),0))</f>
        <v/>
      </c>
      <c r="V236" s="71" t="str">
        <f>IF($D236="","",IF(ISNUMBER($A236),IF(ISNUMBER($A236),YEAR($A236)&amp;"-"&amp;TEXT(MONTH($A236),"00"),""),IF(ISNUMBER($I236),IF(ISNUMBER($I236),YEAR($I236)&amp;"-"&amp;TEXT(MONTH($I236),"00"),""),IF(ISNUMBER($H236),IF(ISNUMBER($H236),YEAR($H236)&amp;"-"&amp;TEXT(MONTH($H236),"00"),""),""))))</f>
        <v/>
      </c>
      <c r="W236" s="71">
        <f>IF($D236="",0,IF(AND(OR(fClient="All",$B236=fClient),fCampaign="All",OR(fTeam="All",$E236=fTeam),OR(fChannel="All",$C236=fChannel,AND(fChannel="Content",OR($C236="Blog",$C236="Case Study",$C236="Whitepaper")),AND(fChannel="Webinar / Events",$C236="Webinar")),OR(fMonth="All",$V236=fMonth)),1,0))</f>
        <v>0</v>
      </c>
      <c r="X236" s="71">
        <f>IF($D236="",0,IF(AND(OR(fClient="All",$B236=fClient),fCampaign="All",OR(fTeam="All",$E236=fTeam),OR(fChannel="All",$C236=fChannel,AND(fChannel="Content",OR($C236="Blog",$C236="Case Study",$C236="Whitepaper")),AND(fChannel="Webinar / Events",$C236="Webinar"))),1,0))</f>
        <v>0</v>
      </c>
    </row>
    <row r="237">
      <c r="A237" s="63" t="n"/>
      <c r="B237" s="64" t="n"/>
      <c r="C237" s="64" t="n"/>
      <c r="D237" s="65" t="n"/>
      <c r="E237" s="64" t="n"/>
      <c r="F237" s="64" t="n"/>
      <c r="G237" s="64" t="n"/>
      <c r="H237" s="63" t="n"/>
      <c r="I237" s="63" t="n"/>
      <c r="J237" s="63" t="n"/>
      <c r="K237" s="67" t="n"/>
      <c r="L237" s="67" t="n"/>
      <c r="M237" s="67" t="n"/>
      <c r="N237" s="65" t="n"/>
      <c r="O237" s="64" t="n"/>
      <c r="P237" s="67" t="n"/>
      <c r="Q237" s="65" t="n"/>
      <c r="R237" s="65" t="n"/>
      <c r="S237" s="65" t="n"/>
      <c r="T237" s="71">
        <f>IF($D237="",0,IF(OR($G237="Published",$G237="Completed",$G237="Cancelled"),0,1))</f>
        <v>0</v>
      </c>
      <c r="U237" s="69" t="str">
        <f>IF($D237="","",IF(AND($T237=1,ISNUMBER($I237)),IF($I237&lt;ReportDate,ReportDate-$I237,0),0))</f>
        <v/>
      </c>
      <c r="V237" s="71" t="str">
        <f>IF($D237="","",IF(ISNUMBER($A237),IF(ISNUMBER($A237),YEAR($A237)&amp;"-"&amp;TEXT(MONTH($A237),"00"),""),IF(ISNUMBER($I237),IF(ISNUMBER($I237),YEAR($I237)&amp;"-"&amp;TEXT(MONTH($I237),"00"),""),IF(ISNUMBER($H237),IF(ISNUMBER($H237),YEAR($H237)&amp;"-"&amp;TEXT(MONTH($H237),"00"),""),""))))</f>
        <v/>
      </c>
      <c r="W237" s="71">
        <f>IF($D237="",0,IF(AND(OR(fClient="All",$B237=fClient),fCampaign="All",OR(fTeam="All",$E237=fTeam),OR(fChannel="All",$C237=fChannel,AND(fChannel="Content",OR($C237="Blog",$C237="Case Study",$C237="Whitepaper")),AND(fChannel="Webinar / Events",$C237="Webinar")),OR(fMonth="All",$V237=fMonth)),1,0))</f>
        <v>0</v>
      </c>
      <c r="X237" s="71">
        <f>IF($D237="",0,IF(AND(OR(fClient="All",$B237=fClient),fCampaign="All",OR(fTeam="All",$E237=fTeam),OR(fChannel="All",$C237=fChannel,AND(fChannel="Content",OR($C237="Blog",$C237="Case Study",$C237="Whitepaper")),AND(fChannel="Webinar / Events",$C237="Webinar"))),1,0))</f>
        <v>0</v>
      </c>
    </row>
    <row r="238">
      <c r="A238" s="63" t="n"/>
      <c r="B238" s="64" t="n"/>
      <c r="C238" s="64" t="n"/>
      <c r="D238" s="65" t="n"/>
      <c r="E238" s="64" t="n"/>
      <c r="F238" s="64" t="n"/>
      <c r="G238" s="64" t="n"/>
      <c r="H238" s="63" t="n"/>
      <c r="I238" s="63" t="n"/>
      <c r="J238" s="63" t="n"/>
      <c r="K238" s="67" t="n"/>
      <c r="L238" s="67" t="n"/>
      <c r="M238" s="67" t="n"/>
      <c r="N238" s="65" t="n"/>
      <c r="O238" s="64" t="n"/>
      <c r="P238" s="67" t="n"/>
      <c r="Q238" s="65" t="n"/>
      <c r="R238" s="65" t="n"/>
      <c r="S238" s="65" t="n"/>
      <c r="T238" s="71">
        <f>IF($D238="",0,IF(OR($G238="Published",$G238="Completed",$G238="Cancelled"),0,1))</f>
        <v>0</v>
      </c>
      <c r="U238" s="69" t="str">
        <f>IF($D238="","",IF(AND($T238=1,ISNUMBER($I238)),IF($I238&lt;ReportDate,ReportDate-$I238,0),0))</f>
        <v/>
      </c>
      <c r="V238" s="71" t="str">
        <f>IF($D238="","",IF(ISNUMBER($A238),IF(ISNUMBER($A238),YEAR($A238)&amp;"-"&amp;TEXT(MONTH($A238),"00"),""),IF(ISNUMBER($I238),IF(ISNUMBER($I238),YEAR($I238)&amp;"-"&amp;TEXT(MONTH($I238),"00"),""),IF(ISNUMBER($H238),IF(ISNUMBER($H238),YEAR($H238)&amp;"-"&amp;TEXT(MONTH($H238),"00"),""),""))))</f>
        <v/>
      </c>
      <c r="W238" s="71">
        <f>IF($D238="",0,IF(AND(OR(fClient="All",$B238=fClient),fCampaign="All",OR(fTeam="All",$E238=fTeam),OR(fChannel="All",$C238=fChannel,AND(fChannel="Content",OR($C238="Blog",$C238="Case Study",$C238="Whitepaper")),AND(fChannel="Webinar / Events",$C238="Webinar")),OR(fMonth="All",$V238=fMonth)),1,0))</f>
        <v>0</v>
      </c>
      <c r="X238" s="71">
        <f>IF($D238="",0,IF(AND(OR(fClient="All",$B238=fClient),fCampaign="All",OR(fTeam="All",$E238=fTeam),OR(fChannel="All",$C238=fChannel,AND(fChannel="Content",OR($C238="Blog",$C238="Case Study",$C238="Whitepaper")),AND(fChannel="Webinar / Events",$C238="Webinar"))),1,0))</f>
        <v>0</v>
      </c>
    </row>
    <row r="239">
      <c r="A239" s="63" t="n"/>
      <c r="B239" s="64" t="n"/>
      <c r="C239" s="64" t="n"/>
      <c r="D239" s="65" t="n"/>
      <c r="E239" s="64" t="n"/>
      <c r="F239" s="64" t="n"/>
      <c r="G239" s="64" t="n"/>
      <c r="H239" s="63" t="n"/>
      <c r="I239" s="63" t="n"/>
      <c r="J239" s="63" t="n"/>
      <c r="K239" s="67" t="n"/>
      <c r="L239" s="67" t="n"/>
      <c r="M239" s="67" t="n"/>
      <c r="N239" s="65" t="n"/>
      <c r="O239" s="64" t="n"/>
      <c r="P239" s="67" t="n"/>
      <c r="Q239" s="65" t="n"/>
      <c r="R239" s="65" t="n"/>
      <c r="S239" s="65" t="n"/>
      <c r="T239" s="71">
        <f>IF($D239="",0,IF(OR($G239="Published",$G239="Completed",$G239="Cancelled"),0,1))</f>
        <v>0</v>
      </c>
      <c r="U239" s="69" t="str">
        <f>IF($D239="","",IF(AND($T239=1,ISNUMBER($I239)),IF($I239&lt;ReportDate,ReportDate-$I239,0),0))</f>
        <v/>
      </c>
      <c r="V239" s="71" t="str">
        <f>IF($D239="","",IF(ISNUMBER($A239),IF(ISNUMBER($A239),YEAR($A239)&amp;"-"&amp;TEXT(MONTH($A239),"00"),""),IF(ISNUMBER($I239),IF(ISNUMBER($I239),YEAR($I239)&amp;"-"&amp;TEXT(MONTH($I239),"00"),""),IF(ISNUMBER($H239),IF(ISNUMBER($H239),YEAR($H239)&amp;"-"&amp;TEXT(MONTH($H239),"00"),""),""))))</f>
        <v/>
      </c>
      <c r="W239" s="71">
        <f>IF($D239="",0,IF(AND(OR(fClient="All",$B239=fClient),fCampaign="All",OR(fTeam="All",$E239=fTeam),OR(fChannel="All",$C239=fChannel,AND(fChannel="Content",OR($C239="Blog",$C239="Case Study",$C239="Whitepaper")),AND(fChannel="Webinar / Events",$C239="Webinar")),OR(fMonth="All",$V239=fMonth)),1,0))</f>
        <v>0</v>
      </c>
      <c r="X239" s="71">
        <f>IF($D239="",0,IF(AND(OR(fClient="All",$B239=fClient),fCampaign="All",OR(fTeam="All",$E239=fTeam),OR(fChannel="All",$C239=fChannel,AND(fChannel="Content",OR($C239="Blog",$C239="Case Study",$C239="Whitepaper")),AND(fChannel="Webinar / Events",$C239="Webinar"))),1,0))</f>
        <v>0</v>
      </c>
    </row>
    <row r="240">
      <c r="A240" s="63" t="n"/>
      <c r="B240" s="64" t="n"/>
      <c r="C240" s="64" t="n"/>
      <c r="D240" s="65" t="n"/>
      <c r="E240" s="64" t="n"/>
      <c r="F240" s="64" t="n"/>
      <c r="G240" s="64" t="n"/>
      <c r="H240" s="63" t="n"/>
      <c r="I240" s="63" t="n"/>
      <c r="J240" s="63" t="n"/>
      <c r="K240" s="67" t="n"/>
      <c r="L240" s="67" t="n"/>
      <c r="M240" s="67" t="n"/>
      <c r="N240" s="65" t="n"/>
      <c r="O240" s="64" t="n"/>
      <c r="P240" s="67" t="n"/>
      <c r="Q240" s="65" t="n"/>
      <c r="R240" s="65" t="n"/>
      <c r="S240" s="65" t="n"/>
      <c r="T240" s="71">
        <f>IF($D240="",0,IF(OR($G240="Published",$G240="Completed",$G240="Cancelled"),0,1))</f>
        <v>0</v>
      </c>
      <c r="U240" s="69" t="str">
        <f>IF($D240="","",IF(AND($T240=1,ISNUMBER($I240)),IF($I240&lt;ReportDate,ReportDate-$I240,0),0))</f>
        <v/>
      </c>
      <c r="V240" s="71" t="str">
        <f>IF($D240="","",IF(ISNUMBER($A240),IF(ISNUMBER($A240),YEAR($A240)&amp;"-"&amp;TEXT(MONTH($A240),"00"),""),IF(ISNUMBER($I240),IF(ISNUMBER($I240),YEAR($I240)&amp;"-"&amp;TEXT(MONTH($I240),"00"),""),IF(ISNUMBER($H240),IF(ISNUMBER($H240),YEAR($H240)&amp;"-"&amp;TEXT(MONTH($H240),"00"),""),""))))</f>
        <v/>
      </c>
      <c r="W240" s="71">
        <f>IF($D240="",0,IF(AND(OR(fClient="All",$B240=fClient),fCampaign="All",OR(fTeam="All",$E240=fTeam),OR(fChannel="All",$C240=fChannel,AND(fChannel="Content",OR($C240="Blog",$C240="Case Study",$C240="Whitepaper")),AND(fChannel="Webinar / Events",$C240="Webinar")),OR(fMonth="All",$V240=fMonth)),1,0))</f>
        <v>0</v>
      </c>
      <c r="X240" s="71">
        <f>IF($D240="",0,IF(AND(OR(fClient="All",$B240=fClient),fCampaign="All",OR(fTeam="All",$E240=fTeam),OR(fChannel="All",$C240=fChannel,AND(fChannel="Content",OR($C240="Blog",$C240="Case Study",$C240="Whitepaper")),AND(fChannel="Webinar / Events",$C240="Webinar"))),1,0))</f>
        <v>0</v>
      </c>
    </row>
    <row r="241">
      <c r="A241" s="63" t="n"/>
      <c r="B241" s="64" t="n"/>
      <c r="C241" s="64" t="n"/>
      <c r="D241" s="65" t="n"/>
      <c r="E241" s="64" t="n"/>
      <c r="F241" s="64" t="n"/>
      <c r="G241" s="64" t="n"/>
      <c r="H241" s="63" t="n"/>
      <c r="I241" s="63" t="n"/>
      <c r="J241" s="63" t="n"/>
      <c r="K241" s="67" t="n"/>
      <c r="L241" s="67" t="n"/>
      <c r="M241" s="67" t="n"/>
      <c r="N241" s="65" t="n"/>
      <c r="O241" s="64" t="n"/>
      <c r="P241" s="67" t="n"/>
      <c r="Q241" s="65" t="n"/>
      <c r="R241" s="65" t="n"/>
      <c r="S241" s="65" t="n"/>
      <c r="T241" s="71">
        <f>IF($D241="",0,IF(OR($G241="Published",$G241="Completed",$G241="Cancelled"),0,1))</f>
        <v>0</v>
      </c>
      <c r="U241" s="69" t="str">
        <f>IF($D241="","",IF(AND($T241=1,ISNUMBER($I241)),IF($I241&lt;ReportDate,ReportDate-$I241,0),0))</f>
        <v/>
      </c>
      <c r="V241" s="71" t="str">
        <f>IF($D241="","",IF(ISNUMBER($A241),IF(ISNUMBER($A241),YEAR($A241)&amp;"-"&amp;TEXT(MONTH($A241),"00"),""),IF(ISNUMBER($I241),IF(ISNUMBER($I241),YEAR($I241)&amp;"-"&amp;TEXT(MONTH($I241),"00"),""),IF(ISNUMBER($H241),IF(ISNUMBER($H241),YEAR($H241)&amp;"-"&amp;TEXT(MONTH($H241),"00"),""),""))))</f>
        <v/>
      </c>
      <c r="W241" s="71">
        <f>IF($D241="",0,IF(AND(OR(fClient="All",$B241=fClient),fCampaign="All",OR(fTeam="All",$E241=fTeam),OR(fChannel="All",$C241=fChannel,AND(fChannel="Content",OR($C241="Blog",$C241="Case Study",$C241="Whitepaper")),AND(fChannel="Webinar / Events",$C241="Webinar")),OR(fMonth="All",$V241=fMonth)),1,0))</f>
        <v>0</v>
      </c>
      <c r="X241" s="71">
        <f>IF($D241="",0,IF(AND(OR(fClient="All",$B241=fClient),fCampaign="All",OR(fTeam="All",$E241=fTeam),OR(fChannel="All",$C241=fChannel,AND(fChannel="Content",OR($C241="Blog",$C241="Case Study",$C241="Whitepaper")),AND(fChannel="Webinar / Events",$C241="Webinar"))),1,0))</f>
        <v>0</v>
      </c>
    </row>
    <row r="242">
      <c r="A242" s="63" t="n"/>
      <c r="B242" s="64" t="n"/>
      <c r="C242" s="64" t="n"/>
      <c r="D242" s="65" t="n"/>
      <c r="E242" s="64" t="n"/>
      <c r="F242" s="64" t="n"/>
      <c r="G242" s="64" t="n"/>
      <c r="H242" s="63" t="n"/>
      <c r="I242" s="63" t="n"/>
      <c r="J242" s="63" t="n"/>
      <c r="K242" s="67" t="n"/>
      <c r="L242" s="67" t="n"/>
      <c r="M242" s="67" t="n"/>
      <c r="N242" s="65" t="n"/>
      <c r="O242" s="64" t="n"/>
      <c r="P242" s="67" t="n"/>
      <c r="Q242" s="65" t="n"/>
      <c r="R242" s="65" t="n"/>
      <c r="S242" s="65" t="n"/>
      <c r="T242" s="71">
        <f>IF($D242="",0,IF(OR($G242="Published",$G242="Completed",$G242="Cancelled"),0,1))</f>
        <v>0</v>
      </c>
      <c r="U242" s="69" t="str">
        <f>IF($D242="","",IF(AND($T242=1,ISNUMBER($I242)),IF($I242&lt;ReportDate,ReportDate-$I242,0),0))</f>
        <v/>
      </c>
      <c r="V242" s="71" t="str">
        <f>IF($D242="","",IF(ISNUMBER($A242),IF(ISNUMBER($A242),YEAR($A242)&amp;"-"&amp;TEXT(MONTH($A242),"00"),""),IF(ISNUMBER($I242),IF(ISNUMBER($I242),YEAR($I242)&amp;"-"&amp;TEXT(MONTH($I242),"00"),""),IF(ISNUMBER($H242),IF(ISNUMBER($H242),YEAR($H242)&amp;"-"&amp;TEXT(MONTH($H242),"00"),""),""))))</f>
        <v/>
      </c>
      <c r="W242" s="71">
        <f>IF($D242="",0,IF(AND(OR(fClient="All",$B242=fClient),fCampaign="All",OR(fTeam="All",$E242=fTeam),OR(fChannel="All",$C242=fChannel,AND(fChannel="Content",OR($C242="Blog",$C242="Case Study",$C242="Whitepaper")),AND(fChannel="Webinar / Events",$C242="Webinar")),OR(fMonth="All",$V242=fMonth)),1,0))</f>
        <v>0</v>
      </c>
      <c r="X242" s="71">
        <f>IF($D242="",0,IF(AND(OR(fClient="All",$B242=fClient),fCampaign="All",OR(fTeam="All",$E242=fTeam),OR(fChannel="All",$C242=fChannel,AND(fChannel="Content",OR($C242="Blog",$C242="Case Study",$C242="Whitepaper")),AND(fChannel="Webinar / Events",$C242="Webinar"))),1,0))</f>
        <v>0</v>
      </c>
    </row>
    <row r="243">
      <c r="A243" s="63" t="n"/>
      <c r="B243" s="64" t="n"/>
      <c r="C243" s="64" t="n"/>
      <c r="D243" s="65" t="n"/>
      <c r="E243" s="64" t="n"/>
      <c r="F243" s="64" t="n"/>
      <c r="G243" s="64" t="n"/>
      <c r="H243" s="63" t="n"/>
      <c r="I243" s="63" t="n"/>
      <c r="J243" s="63" t="n"/>
      <c r="K243" s="67" t="n"/>
      <c r="L243" s="67" t="n"/>
      <c r="M243" s="67" t="n"/>
      <c r="N243" s="65" t="n"/>
      <c r="O243" s="64" t="n"/>
      <c r="P243" s="67" t="n"/>
      <c r="Q243" s="65" t="n"/>
      <c r="R243" s="65" t="n"/>
      <c r="S243" s="65" t="n"/>
      <c r="T243" s="71">
        <f>IF($D243="",0,IF(OR($G243="Published",$G243="Completed",$G243="Cancelled"),0,1))</f>
        <v>0</v>
      </c>
      <c r="U243" s="69" t="str">
        <f>IF($D243="","",IF(AND($T243=1,ISNUMBER($I243)),IF($I243&lt;ReportDate,ReportDate-$I243,0),0))</f>
        <v/>
      </c>
      <c r="V243" s="71" t="str">
        <f>IF($D243="","",IF(ISNUMBER($A243),IF(ISNUMBER($A243),YEAR($A243)&amp;"-"&amp;TEXT(MONTH($A243),"00"),""),IF(ISNUMBER($I243),IF(ISNUMBER($I243),YEAR($I243)&amp;"-"&amp;TEXT(MONTH($I243),"00"),""),IF(ISNUMBER($H243),IF(ISNUMBER($H243),YEAR($H243)&amp;"-"&amp;TEXT(MONTH($H243),"00"),""),""))))</f>
        <v/>
      </c>
      <c r="W243" s="71">
        <f>IF($D243="",0,IF(AND(OR(fClient="All",$B243=fClient),fCampaign="All",OR(fTeam="All",$E243=fTeam),OR(fChannel="All",$C243=fChannel,AND(fChannel="Content",OR($C243="Blog",$C243="Case Study",$C243="Whitepaper")),AND(fChannel="Webinar / Events",$C243="Webinar")),OR(fMonth="All",$V243=fMonth)),1,0))</f>
        <v>0</v>
      </c>
      <c r="X243" s="71">
        <f>IF($D243="",0,IF(AND(OR(fClient="All",$B243=fClient),fCampaign="All",OR(fTeam="All",$E243=fTeam),OR(fChannel="All",$C243=fChannel,AND(fChannel="Content",OR($C243="Blog",$C243="Case Study",$C243="Whitepaper")),AND(fChannel="Webinar / Events",$C243="Webinar"))),1,0))</f>
        <v>0</v>
      </c>
    </row>
    <row r="244">
      <c r="A244" s="63" t="n"/>
      <c r="B244" s="64" t="n"/>
      <c r="C244" s="64" t="n"/>
      <c r="D244" s="65" t="n"/>
      <c r="E244" s="64" t="n"/>
      <c r="F244" s="64" t="n"/>
      <c r="G244" s="64" t="n"/>
      <c r="H244" s="63" t="n"/>
      <c r="I244" s="63" t="n"/>
      <c r="J244" s="63" t="n"/>
      <c r="K244" s="67" t="n"/>
      <c r="L244" s="67" t="n"/>
      <c r="M244" s="67" t="n"/>
      <c r="N244" s="65" t="n"/>
      <c r="O244" s="64" t="n"/>
      <c r="P244" s="67" t="n"/>
      <c r="Q244" s="65" t="n"/>
      <c r="R244" s="65" t="n"/>
      <c r="S244" s="65" t="n"/>
      <c r="T244" s="71">
        <f>IF($D244="",0,IF(OR($G244="Published",$G244="Completed",$G244="Cancelled"),0,1))</f>
        <v>0</v>
      </c>
      <c r="U244" s="69" t="str">
        <f>IF($D244="","",IF(AND($T244=1,ISNUMBER($I244)),IF($I244&lt;ReportDate,ReportDate-$I244,0),0))</f>
        <v/>
      </c>
      <c r="V244" s="71" t="str">
        <f>IF($D244="","",IF(ISNUMBER($A244),IF(ISNUMBER($A244),YEAR($A244)&amp;"-"&amp;TEXT(MONTH($A244),"00"),""),IF(ISNUMBER($I244),IF(ISNUMBER($I244),YEAR($I244)&amp;"-"&amp;TEXT(MONTH($I244),"00"),""),IF(ISNUMBER($H244),IF(ISNUMBER($H244),YEAR($H244)&amp;"-"&amp;TEXT(MONTH($H244),"00"),""),""))))</f>
        <v/>
      </c>
      <c r="W244" s="71">
        <f>IF($D244="",0,IF(AND(OR(fClient="All",$B244=fClient),fCampaign="All",OR(fTeam="All",$E244=fTeam),OR(fChannel="All",$C244=fChannel,AND(fChannel="Content",OR($C244="Blog",$C244="Case Study",$C244="Whitepaper")),AND(fChannel="Webinar / Events",$C244="Webinar")),OR(fMonth="All",$V244=fMonth)),1,0))</f>
        <v>0</v>
      </c>
      <c r="X244" s="71">
        <f>IF($D244="",0,IF(AND(OR(fClient="All",$B244=fClient),fCampaign="All",OR(fTeam="All",$E244=fTeam),OR(fChannel="All",$C244=fChannel,AND(fChannel="Content",OR($C244="Blog",$C244="Case Study",$C244="Whitepaper")),AND(fChannel="Webinar / Events",$C244="Webinar"))),1,0))</f>
        <v>0</v>
      </c>
    </row>
    <row r="245">
      <c r="A245" s="63" t="n"/>
      <c r="B245" s="64" t="n"/>
      <c r="C245" s="64" t="n"/>
      <c r="D245" s="65" t="n"/>
      <c r="E245" s="64" t="n"/>
      <c r="F245" s="64" t="n"/>
      <c r="G245" s="64" t="n"/>
      <c r="H245" s="63" t="n"/>
      <c r="I245" s="63" t="n"/>
      <c r="J245" s="63" t="n"/>
      <c r="K245" s="67" t="n"/>
      <c r="L245" s="67" t="n"/>
      <c r="M245" s="67" t="n"/>
      <c r="N245" s="65" t="n"/>
      <c r="O245" s="64" t="n"/>
      <c r="P245" s="67" t="n"/>
      <c r="Q245" s="65" t="n"/>
      <c r="R245" s="65" t="n"/>
      <c r="S245" s="65" t="n"/>
      <c r="T245" s="71">
        <f>IF($D245="",0,IF(OR($G245="Published",$G245="Completed",$G245="Cancelled"),0,1))</f>
        <v>0</v>
      </c>
      <c r="U245" s="69" t="str">
        <f>IF($D245="","",IF(AND($T245=1,ISNUMBER($I245)),IF($I245&lt;ReportDate,ReportDate-$I245,0),0))</f>
        <v/>
      </c>
      <c r="V245" s="71" t="str">
        <f>IF($D245="","",IF(ISNUMBER($A245),IF(ISNUMBER($A245),YEAR($A245)&amp;"-"&amp;TEXT(MONTH($A245),"00"),""),IF(ISNUMBER($I245),IF(ISNUMBER($I245),YEAR($I245)&amp;"-"&amp;TEXT(MONTH($I245),"00"),""),IF(ISNUMBER($H245),IF(ISNUMBER($H245),YEAR($H245)&amp;"-"&amp;TEXT(MONTH($H245),"00"),""),""))))</f>
        <v/>
      </c>
      <c r="W245" s="71">
        <f>IF($D245="",0,IF(AND(OR(fClient="All",$B245=fClient),fCampaign="All",OR(fTeam="All",$E245=fTeam),OR(fChannel="All",$C245=fChannel,AND(fChannel="Content",OR($C245="Blog",$C245="Case Study",$C245="Whitepaper")),AND(fChannel="Webinar / Events",$C245="Webinar")),OR(fMonth="All",$V245=fMonth)),1,0))</f>
        <v>0</v>
      </c>
      <c r="X245" s="71">
        <f>IF($D245="",0,IF(AND(OR(fClient="All",$B245=fClient),fCampaign="All",OR(fTeam="All",$E245=fTeam),OR(fChannel="All",$C245=fChannel,AND(fChannel="Content",OR($C245="Blog",$C245="Case Study",$C245="Whitepaper")),AND(fChannel="Webinar / Events",$C245="Webinar"))),1,0))</f>
        <v>0</v>
      </c>
    </row>
    <row r="246">
      <c r="A246" s="63" t="n"/>
      <c r="B246" s="64" t="n"/>
      <c r="C246" s="64" t="n"/>
      <c r="D246" s="65" t="n"/>
      <c r="E246" s="64" t="n"/>
      <c r="F246" s="64" t="n"/>
      <c r="G246" s="64" t="n"/>
      <c r="H246" s="63" t="n"/>
      <c r="I246" s="63" t="n"/>
      <c r="J246" s="63" t="n"/>
      <c r="K246" s="67" t="n"/>
      <c r="L246" s="67" t="n"/>
      <c r="M246" s="67" t="n"/>
      <c r="N246" s="65" t="n"/>
      <c r="O246" s="64" t="n"/>
      <c r="P246" s="67" t="n"/>
      <c r="Q246" s="65" t="n"/>
      <c r="R246" s="65" t="n"/>
      <c r="S246" s="65" t="n"/>
      <c r="T246" s="71">
        <f>IF($D246="",0,IF(OR($G246="Published",$G246="Completed",$G246="Cancelled"),0,1))</f>
        <v>0</v>
      </c>
      <c r="U246" s="69" t="str">
        <f>IF($D246="","",IF(AND($T246=1,ISNUMBER($I246)),IF($I246&lt;ReportDate,ReportDate-$I246,0),0))</f>
        <v/>
      </c>
      <c r="V246" s="71" t="str">
        <f>IF($D246="","",IF(ISNUMBER($A246),IF(ISNUMBER($A246),YEAR($A246)&amp;"-"&amp;TEXT(MONTH($A246),"00"),""),IF(ISNUMBER($I246),IF(ISNUMBER($I246),YEAR($I246)&amp;"-"&amp;TEXT(MONTH($I246),"00"),""),IF(ISNUMBER($H246),IF(ISNUMBER($H246),YEAR($H246)&amp;"-"&amp;TEXT(MONTH($H246),"00"),""),""))))</f>
        <v/>
      </c>
      <c r="W246" s="71">
        <f>IF($D246="",0,IF(AND(OR(fClient="All",$B246=fClient),fCampaign="All",OR(fTeam="All",$E246=fTeam),OR(fChannel="All",$C246=fChannel,AND(fChannel="Content",OR($C246="Blog",$C246="Case Study",$C246="Whitepaper")),AND(fChannel="Webinar / Events",$C246="Webinar")),OR(fMonth="All",$V246=fMonth)),1,0))</f>
        <v>0</v>
      </c>
      <c r="X246" s="71">
        <f>IF($D246="",0,IF(AND(OR(fClient="All",$B246=fClient),fCampaign="All",OR(fTeam="All",$E246=fTeam),OR(fChannel="All",$C246=fChannel,AND(fChannel="Content",OR($C246="Blog",$C246="Case Study",$C246="Whitepaper")),AND(fChannel="Webinar / Events",$C246="Webinar"))),1,0))</f>
        <v>0</v>
      </c>
    </row>
    <row r="247">
      <c r="A247" s="63" t="n"/>
      <c r="B247" s="64" t="n"/>
      <c r="C247" s="64" t="n"/>
      <c r="D247" s="65" t="n"/>
      <c r="E247" s="64" t="n"/>
      <c r="F247" s="64" t="n"/>
      <c r="G247" s="64" t="n"/>
      <c r="H247" s="63" t="n"/>
      <c r="I247" s="63" t="n"/>
      <c r="J247" s="63" t="n"/>
      <c r="K247" s="67" t="n"/>
      <c r="L247" s="67" t="n"/>
      <c r="M247" s="67" t="n"/>
      <c r="N247" s="65" t="n"/>
      <c r="O247" s="64" t="n"/>
      <c r="P247" s="67" t="n"/>
      <c r="Q247" s="65" t="n"/>
      <c r="R247" s="65" t="n"/>
      <c r="S247" s="65" t="n"/>
      <c r="T247" s="71">
        <f>IF($D247="",0,IF(OR($G247="Published",$G247="Completed",$G247="Cancelled"),0,1))</f>
        <v>0</v>
      </c>
      <c r="U247" s="69" t="str">
        <f>IF($D247="","",IF(AND($T247=1,ISNUMBER($I247)),IF($I247&lt;ReportDate,ReportDate-$I247,0),0))</f>
        <v/>
      </c>
      <c r="V247" s="71" t="str">
        <f>IF($D247="","",IF(ISNUMBER($A247),IF(ISNUMBER($A247),YEAR($A247)&amp;"-"&amp;TEXT(MONTH($A247),"00"),""),IF(ISNUMBER($I247),IF(ISNUMBER($I247),YEAR($I247)&amp;"-"&amp;TEXT(MONTH($I247),"00"),""),IF(ISNUMBER($H247),IF(ISNUMBER($H247),YEAR($H247)&amp;"-"&amp;TEXT(MONTH($H247),"00"),""),""))))</f>
        <v/>
      </c>
      <c r="W247" s="71">
        <f>IF($D247="",0,IF(AND(OR(fClient="All",$B247=fClient),fCampaign="All",OR(fTeam="All",$E247=fTeam),OR(fChannel="All",$C247=fChannel,AND(fChannel="Content",OR($C247="Blog",$C247="Case Study",$C247="Whitepaper")),AND(fChannel="Webinar / Events",$C247="Webinar")),OR(fMonth="All",$V247=fMonth)),1,0))</f>
        <v>0</v>
      </c>
      <c r="X247" s="71">
        <f>IF($D247="",0,IF(AND(OR(fClient="All",$B247=fClient),fCampaign="All",OR(fTeam="All",$E247=fTeam),OR(fChannel="All",$C247=fChannel,AND(fChannel="Content",OR($C247="Blog",$C247="Case Study",$C247="Whitepaper")),AND(fChannel="Webinar / Events",$C247="Webinar"))),1,0))</f>
        <v>0</v>
      </c>
    </row>
    <row r="248">
      <c r="A248" s="63" t="n"/>
      <c r="B248" s="64" t="n"/>
      <c r="C248" s="64" t="n"/>
      <c r="D248" s="65" t="n"/>
      <c r="E248" s="64" t="n"/>
      <c r="F248" s="64" t="n"/>
      <c r="G248" s="64" t="n"/>
      <c r="H248" s="63" t="n"/>
      <c r="I248" s="63" t="n"/>
      <c r="J248" s="63" t="n"/>
      <c r="K248" s="67" t="n"/>
      <c r="L248" s="67" t="n"/>
      <c r="M248" s="67" t="n"/>
      <c r="N248" s="65" t="n"/>
      <c r="O248" s="64" t="n"/>
      <c r="P248" s="67" t="n"/>
      <c r="Q248" s="65" t="n"/>
      <c r="R248" s="65" t="n"/>
      <c r="S248" s="65" t="n"/>
      <c r="T248" s="71">
        <f>IF($D248="",0,IF(OR($G248="Published",$G248="Completed",$G248="Cancelled"),0,1))</f>
        <v>0</v>
      </c>
      <c r="U248" s="69" t="str">
        <f>IF($D248="","",IF(AND($T248=1,ISNUMBER($I248)),IF($I248&lt;ReportDate,ReportDate-$I248,0),0))</f>
        <v/>
      </c>
      <c r="V248" s="71" t="str">
        <f>IF($D248="","",IF(ISNUMBER($A248),IF(ISNUMBER($A248),YEAR($A248)&amp;"-"&amp;TEXT(MONTH($A248),"00"),""),IF(ISNUMBER($I248),IF(ISNUMBER($I248),YEAR($I248)&amp;"-"&amp;TEXT(MONTH($I248),"00"),""),IF(ISNUMBER($H248),IF(ISNUMBER($H248),YEAR($H248)&amp;"-"&amp;TEXT(MONTH($H248),"00"),""),""))))</f>
        <v/>
      </c>
      <c r="W248" s="71">
        <f>IF($D248="",0,IF(AND(OR(fClient="All",$B248=fClient),fCampaign="All",OR(fTeam="All",$E248=fTeam),OR(fChannel="All",$C248=fChannel,AND(fChannel="Content",OR($C248="Blog",$C248="Case Study",$C248="Whitepaper")),AND(fChannel="Webinar / Events",$C248="Webinar")),OR(fMonth="All",$V248=fMonth)),1,0))</f>
        <v>0</v>
      </c>
      <c r="X248" s="71">
        <f>IF($D248="",0,IF(AND(OR(fClient="All",$B248=fClient),fCampaign="All",OR(fTeam="All",$E248=fTeam),OR(fChannel="All",$C248=fChannel,AND(fChannel="Content",OR($C248="Blog",$C248="Case Study",$C248="Whitepaper")),AND(fChannel="Webinar / Events",$C248="Webinar"))),1,0))</f>
        <v>0</v>
      </c>
    </row>
    <row r="249">
      <c r="A249" s="63" t="n"/>
      <c r="B249" s="64" t="n"/>
      <c r="C249" s="64" t="n"/>
      <c r="D249" s="65" t="n"/>
      <c r="E249" s="64" t="n"/>
      <c r="F249" s="64" t="n"/>
      <c r="G249" s="64" t="n"/>
      <c r="H249" s="63" t="n"/>
      <c r="I249" s="63" t="n"/>
      <c r="J249" s="63" t="n"/>
      <c r="K249" s="67" t="n"/>
      <c r="L249" s="67" t="n"/>
      <c r="M249" s="67" t="n"/>
      <c r="N249" s="65" t="n"/>
      <c r="O249" s="64" t="n"/>
      <c r="P249" s="67" t="n"/>
      <c r="Q249" s="65" t="n"/>
      <c r="R249" s="65" t="n"/>
      <c r="S249" s="65" t="n"/>
      <c r="T249" s="71">
        <f>IF($D249="",0,IF(OR($G249="Published",$G249="Completed",$G249="Cancelled"),0,1))</f>
        <v>0</v>
      </c>
      <c r="U249" s="69" t="str">
        <f>IF($D249="","",IF(AND($T249=1,ISNUMBER($I249)),IF($I249&lt;ReportDate,ReportDate-$I249,0),0))</f>
        <v/>
      </c>
      <c r="V249" s="71" t="str">
        <f>IF($D249="","",IF(ISNUMBER($A249),IF(ISNUMBER($A249),YEAR($A249)&amp;"-"&amp;TEXT(MONTH($A249),"00"),""),IF(ISNUMBER($I249),IF(ISNUMBER($I249),YEAR($I249)&amp;"-"&amp;TEXT(MONTH($I249),"00"),""),IF(ISNUMBER($H249),IF(ISNUMBER($H249),YEAR($H249)&amp;"-"&amp;TEXT(MONTH($H249),"00"),""),""))))</f>
        <v/>
      </c>
      <c r="W249" s="71">
        <f>IF($D249="",0,IF(AND(OR(fClient="All",$B249=fClient),fCampaign="All",OR(fTeam="All",$E249=fTeam),OR(fChannel="All",$C249=fChannel,AND(fChannel="Content",OR($C249="Blog",$C249="Case Study",$C249="Whitepaper")),AND(fChannel="Webinar / Events",$C249="Webinar")),OR(fMonth="All",$V249=fMonth)),1,0))</f>
        <v>0</v>
      </c>
      <c r="X249" s="71">
        <f>IF($D249="",0,IF(AND(OR(fClient="All",$B249=fClient),fCampaign="All",OR(fTeam="All",$E249=fTeam),OR(fChannel="All",$C249=fChannel,AND(fChannel="Content",OR($C249="Blog",$C249="Case Study",$C249="Whitepaper")),AND(fChannel="Webinar / Events",$C249="Webinar"))),1,0))</f>
        <v>0</v>
      </c>
    </row>
    <row r="250">
      <c r="A250" s="63" t="n"/>
      <c r="B250" s="64" t="n"/>
      <c r="C250" s="64" t="n"/>
      <c r="D250" s="65" t="n"/>
      <c r="E250" s="64" t="n"/>
      <c r="F250" s="64" t="n"/>
      <c r="G250" s="64" t="n"/>
      <c r="H250" s="63" t="n"/>
      <c r="I250" s="63" t="n"/>
      <c r="J250" s="63" t="n"/>
      <c r="K250" s="67" t="n"/>
      <c r="L250" s="67" t="n"/>
      <c r="M250" s="67" t="n"/>
      <c r="N250" s="65" t="n"/>
      <c r="O250" s="64" t="n"/>
      <c r="P250" s="67" t="n"/>
      <c r="Q250" s="65" t="n"/>
      <c r="R250" s="65" t="n"/>
      <c r="S250" s="65" t="n"/>
      <c r="T250" s="71">
        <f>IF($D250="",0,IF(OR($G250="Published",$G250="Completed",$G250="Cancelled"),0,1))</f>
        <v>0</v>
      </c>
      <c r="U250" s="69" t="str">
        <f>IF($D250="","",IF(AND($T250=1,ISNUMBER($I250)),IF($I250&lt;ReportDate,ReportDate-$I250,0),0))</f>
        <v/>
      </c>
      <c r="V250" s="71" t="str">
        <f>IF($D250="","",IF(ISNUMBER($A250),IF(ISNUMBER($A250),YEAR($A250)&amp;"-"&amp;TEXT(MONTH($A250),"00"),""),IF(ISNUMBER($I250),IF(ISNUMBER($I250),YEAR($I250)&amp;"-"&amp;TEXT(MONTH($I250),"00"),""),IF(ISNUMBER($H250),IF(ISNUMBER($H250),YEAR($H250)&amp;"-"&amp;TEXT(MONTH($H250),"00"),""),""))))</f>
        <v/>
      </c>
      <c r="W250" s="71">
        <f>IF($D250="",0,IF(AND(OR(fClient="All",$B250=fClient),fCampaign="All",OR(fTeam="All",$E250=fTeam),OR(fChannel="All",$C250=fChannel,AND(fChannel="Content",OR($C250="Blog",$C250="Case Study",$C250="Whitepaper")),AND(fChannel="Webinar / Events",$C250="Webinar")),OR(fMonth="All",$V250=fMonth)),1,0))</f>
        <v>0</v>
      </c>
      <c r="X250" s="71">
        <f>IF($D250="",0,IF(AND(OR(fClient="All",$B250=fClient),fCampaign="All",OR(fTeam="All",$E250=fTeam),OR(fChannel="All",$C250=fChannel,AND(fChannel="Content",OR($C250="Blog",$C250="Case Study",$C250="Whitepaper")),AND(fChannel="Webinar / Events",$C250="Webinar"))),1,0))</f>
        <v>0</v>
      </c>
    </row>
    <row r="251">
      <c r="A251" s="63" t="n"/>
      <c r="B251" s="64" t="n"/>
      <c r="C251" s="64" t="n"/>
      <c r="D251" s="65" t="n"/>
      <c r="E251" s="64" t="n"/>
      <c r="F251" s="64" t="n"/>
      <c r="G251" s="64" t="n"/>
      <c r="H251" s="63" t="n"/>
      <c r="I251" s="63" t="n"/>
      <c r="J251" s="63" t="n"/>
      <c r="K251" s="67" t="n"/>
      <c r="L251" s="67" t="n"/>
      <c r="M251" s="67" t="n"/>
      <c r="N251" s="65" t="n"/>
      <c r="O251" s="64" t="n"/>
      <c r="P251" s="67" t="n"/>
      <c r="Q251" s="65" t="n"/>
      <c r="R251" s="65" t="n"/>
      <c r="S251" s="65" t="n"/>
      <c r="T251" s="71">
        <f>IF($D251="",0,IF(OR($G251="Published",$G251="Completed",$G251="Cancelled"),0,1))</f>
        <v>0</v>
      </c>
      <c r="U251" s="69" t="str">
        <f>IF($D251="","",IF(AND($T251=1,ISNUMBER($I251)),IF($I251&lt;ReportDate,ReportDate-$I251,0),0))</f>
        <v/>
      </c>
      <c r="V251" s="71" t="str">
        <f>IF($D251="","",IF(ISNUMBER($A251),IF(ISNUMBER($A251),YEAR($A251)&amp;"-"&amp;TEXT(MONTH($A251),"00"),""),IF(ISNUMBER($I251),IF(ISNUMBER($I251),YEAR($I251)&amp;"-"&amp;TEXT(MONTH($I251),"00"),""),IF(ISNUMBER($H251),IF(ISNUMBER($H251),YEAR($H251)&amp;"-"&amp;TEXT(MONTH($H251),"00"),""),""))))</f>
        <v/>
      </c>
      <c r="W251" s="71">
        <f>IF($D251="",0,IF(AND(OR(fClient="All",$B251=fClient),fCampaign="All",OR(fTeam="All",$E251=fTeam),OR(fChannel="All",$C251=fChannel,AND(fChannel="Content",OR($C251="Blog",$C251="Case Study",$C251="Whitepaper")),AND(fChannel="Webinar / Events",$C251="Webinar")),OR(fMonth="All",$V251=fMonth)),1,0))</f>
        <v>0</v>
      </c>
      <c r="X251" s="71">
        <f>IF($D251="",0,IF(AND(OR(fClient="All",$B251=fClient),fCampaign="All",OR(fTeam="All",$E251=fTeam),OR(fChannel="All",$C251=fChannel,AND(fChannel="Content",OR($C251="Blog",$C251="Case Study",$C251="Whitepaper")),AND(fChannel="Webinar / Events",$C251="Webinar"))),1,0))</f>
        <v>0</v>
      </c>
    </row>
    <row r="252">
      <c r="A252" s="63" t="n"/>
      <c r="B252" s="64" t="n"/>
      <c r="C252" s="64" t="n"/>
      <c r="D252" s="65" t="n"/>
      <c r="E252" s="64" t="n"/>
      <c r="F252" s="64" t="n"/>
      <c r="G252" s="64" t="n"/>
      <c r="H252" s="63" t="n"/>
      <c r="I252" s="63" t="n"/>
      <c r="J252" s="63" t="n"/>
      <c r="K252" s="67" t="n"/>
      <c r="L252" s="67" t="n"/>
      <c r="M252" s="67" t="n"/>
      <c r="N252" s="65" t="n"/>
      <c r="O252" s="64" t="n"/>
      <c r="P252" s="67" t="n"/>
      <c r="Q252" s="65" t="n"/>
      <c r="R252" s="65" t="n"/>
      <c r="S252" s="65" t="n"/>
      <c r="T252" s="71">
        <f>IF($D252="",0,IF(OR($G252="Published",$G252="Completed",$G252="Cancelled"),0,1))</f>
        <v>0</v>
      </c>
      <c r="U252" s="69" t="str">
        <f>IF($D252="","",IF(AND($T252=1,ISNUMBER($I252)),IF($I252&lt;ReportDate,ReportDate-$I252,0),0))</f>
        <v/>
      </c>
      <c r="V252" s="71" t="str">
        <f>IF($D252="","",IF(ISNUMBER($A252),IF(ISNUMBER($A252),YEAR($A252)&amp;"-"&amp;TEXT(MONTH($A252),"00"),""),IF(ISNUMBER($I252),IF(ISNUMBER($I252),YEAR($I252)&amp;"-"&amp;TEXT(MONTH($I252),"00"),""),IF(ISNUMBER($H252),IF(ISNUMBER($H252),YEAR($H252)&amp;"-"&amp;TEXT(MONTH($H252),"00"),""),""))))</f>
        <v/>
      </c>
      <c r="W252" s="71">
        <f>IF($D252="",0,IF(AND(OR(fClient="All",$B252=fClient),fCampaign="All",OR(fTeam="All",$E252=fTeam),OR(fChannel="All",$C252=fChannel,AND(fChannel="Content",OR($C252="Blog",$C252="Case Study",$C252="Whitepaper")),AND(fChannel="Webinar / Events",$C252="Webinar")),OR(fMonth="All",$V252=fMonth)),1,0))</f>
        <v>0</v>
      </c>
      <c r="X252" s="71">
        <f>IF($D252="",0,IF(AND(OR(fClient="All",$B252=fClient),fCampaign="All",OR(fTeam="All",$E252=fTeam),OR(fChannel="All",$C252=fChannel,AND(fChannel="Content",OR($C252="Blog",$C252="Case Study",$C252="Whitepaper")),AND(fChannel="Webinar / Events",$C252="Webinar"))),1,0))</f>
        <v>0</v>
      </c>
    </row>
    <row r="253">
      <c r="A253" s="63" t="n"/>
      <c r="B253" s="64" t="n"/>
      <c r="C253" s="64" t="n"/>
      <c r="D253" s="65" t="n"/>
      <c r="E253" s="64" t="n"/>
      <c r="F253" s="64" t="n"/>
      <c r="G253" s="64" t="n"/>
      <c r="H253" s="63" t="n"/>
      <c r="I253" s="63" t="n"/>
      <c r="J253" s="63" t="n"/>
      <c r="K253" s="67" t="n"/>
      <c r="L253" s="67" t="n"/>
      <c r="M253" s="67" t="n"/>
      <c r="N253" s="65" t="n"/>
      <c r="O253" s="64" t="n"/>
      <c r="P253" s="67" t="n"/>
      <c r="Q253" s="65" t="n"/>
      <c r="R253" s="65" t="n"/>
      <c r="S253" s="65" t="n"/>
      <c r="T253" s="71">
        <f>IF($D253="",0,IF(OR($G253="Published",$G253="Completed",$G253="Cancelled"),0,1))</f>
        <v>0</v>
      </c>
      <c r="U253" s="69" t="str">
        <f>IF($D253="","",IF(AND($T253=1,ISNUMBER($I253)),IF($I253&lt;ReportDate,ReportDate-$I253,0),0))</f>
        <v/>
      </c>
      <c r="V253" s="71" t="str">
        <f>IF($D253="","",IF(ISNUMBER($A253),IF(ISNUMBER($A253),YEAR($A253)&amp;"-"&amp;TEXT(MONTH($A253),"00"),""),IF(ISNUMBER($I253),IF(ISNUMBER($I253),YEAR($I253)&amp;"-"&amp;TEXT(MONTH($I253),"00"),""),IF(ISNUMBER($H253),IF(ISNUMBER($H253),YEAR($H253)&amp;"-"&amp;TEXT(MONTH($H253),"00"),""),""))))</f>
        <v/>
      </c>
      <c r="W253" s="71">
        <f>IF($D253="",0,IF(AND(OR(fClient="All",$B253=fClient),fCampaign="All",OR(fTeam="All",$E253=fTeam),OR(fChannel="All",$C253=fChannel,AND(fChannel="Content",OR($C253="Blog",$C253="Case Study",$C253="Whitepaper")),AND(fChannel="Webinar / Events",$C253="Webinar")),OR(fMonth="All",$V253=fMonth)),1,0))</f>
        <v>0</v>
      </c>
      <c r="X253" s="71">
        <f>IF($D253="",0,IF(AND(OR(fClient="All",$B253=fClient),fCampaign="All",OR(fTeam="All",$E253=fTeam),OR(fChannel="All",$C253=fChannel,AND(fChannel="Content",OR($C253="Blog",$C253="Case Study",$C253="Whitepaper")),AND(fChannel="Webinar / Events",$C253="Webinar"))),1,0))</f>
        <v>0</v>
      </c>
    </row>
    <row r="254">
      <c r="A254" s="63" t="n"/>
      <c r="B254" s="64" t="n"/>
      <c r="C254" s="64" t="n"/>
      <c r="D254" s="65" t="n"/>
      <c r="E254" s="64" t="n"/>
      <c r="F254" s="64" t="n"/>
      <c r="G254" s="64" t="n"/>
      <c r="H254" s="63" t="n"/>
      <c r="I254" s="63" t="n"/>
      <c r="J254" s="63" t="n"/>
      <c r="K254" s="67" t="n"/>
      <c r="L254" s="67" t="n"/>
      <c r="M254" s="67" t="n"/>
      <c r="N254" s="65" t="n"/>
      <c r="O254" s="64" t="n"/>
      <c r="P254" s="67" t="n"/>
      <c r="Q254" s="65" t="n"/>
      <c r="R254" s="65" t="n"/>
      <c r="S254" s="65" t="n"/>
      <c r="T254" s="71">
        <f>IF($D254="",0,IF(OR($G254="Published",$G254="Completed",$G254="Cancelled"),0,1))</f>
        <v>0</v>
      </c>
      <c r="U254" s="69" t="str">
        <f>IF($D254="","",IF(AND($T254=1,ISNUMBER($I254)),IF($I254&lt;ReportDate,ReportDate-$I254,0),0))</f>
        <v/>
      </c>
      <c r="V254" s="71" t="str">
        <f>IF($D254="","",IF(ISNUMBER($A254),IF(ISNUMBER($A254),YEAR($A254)&amp;"-"&amp;TEXT(MONTH($A254),"00"),""),IF(ISNUMBER($I254),IF(ISNUMBER($I254),YEAR($I254)&amp;"-"&amp;TEXT(MONTH($I254),"00"),""),IF(ISNUMBER($H254),IF(ISNUMBER($H254),YEAR($H254)&amp;"-"&amp;TEXT(MONTH($H254),"00"),""),""))))</f>
        <v/>
      </c>
      <c r="W254" s="71">
        <f>IF($D254="",0,IF(AND(OR(fClient="All",$B254=fClient),fCampaign="All",OR(fTeam="All",$E254=fTeam),OR(fChannel="All",$C254=fChannel,AND(fChannel="Content",OR($C254="Blog",$C254="Case Study",$C254="Whitepaper")),AND(fChannel="Webinar / Events",$C254="Webinar")),OR(fMonth="All",$V254=fMonth)),1,0))</f>
        <v>0</v>
      </c>
      <c r="X254" s="71">
        <f>IF($D254="",0,IF(AND(OR(fClient="All",$B254=fClient),fCampaign="All",OR(fTeam="All",$E254=fTeam),OR(fChannel="All",$C254=fChannel,AND(fChannel="Content",OR($C254="Blog",$C254="Case Study",$C254="Whitepaper")),AND(fChannel="Webinar / Events",$C254="Webinar"))),1,0))</f>
        <v>0</v>
      </c>
    </row>
    <row r="255">
      <c r="A255" s="63" t="n"/>
      <c r="B255" s="64" t="n"/>
      <c r="C255" s="64" t="n"/>
      <c r="D255" s="65" t="n"/>
      <c r="E255" s="64" t="n"/>
      <c r="F255" s="64" t="n"/>
      <c r="G255" s="64" t="n"/>
      <c r="H255" s="63" t="n"/>
      <c r="I255" s="63" t="n"/>
      <c r="J255" s="63" t="n"/>
      <c r="K255" s="67" t="n"/>
      <c r="L255" s="67" t="n"/>
      <c r="M255" s="67" t="n"/>
      <c r="N255" s="65" t="n"/>
      <c r="O255" s="64" t="n"/>
      <c r="P255" s="67" t="n"/>
      <c r="Q255" s="65" t="n"/>
      <c r="R255" s="65" t="n"/>
      <c r="S255" s="65" t="n"/>
      <c r="T255" s="71">
        <f>IF($D255="",0,IF(OR($G255="Published",$G255="Completed",$G255="Cancelled"),0,1))</f>
        <v>0</v>
      </c>
      <c r="U255" s="69" t="str">
        <f>IF($D255="","",IF(AND($T255=1,ISNUMBER($I255)),IF($I255&lt;ReportDate,ReportDate-$I255,0),0))</f>
        <v/>
      </c>
      <c r="V255" s="71" t="str">
        <f>IF($D255="","",IF(ISNUMBER($A255),IF(ISNUMBER($A255),YEAR($A255)&amp;"-"&amp;TEXT(MONTH($A255),"00"),""),IF(ISNUMBER($I255),IF(ISNUMBER($I255),YEAR($I255)&amp;"-"&amp;TEXT(MONTH($I255),"00"),""),IF(ISNUMBER($H255),IF(ISNUMBER($H255),YEAR($H255)&amp;"-"&amp;TEXT(MONTH($H255),"00"),""),""))))</f>
        <v/>
      </c>
      <c r="W255" s="71">
        <f>IF($D255="",0,IF(AND(OR(fClient="All",$B255=fClient),fCampaign="All",OR(fTeam="All",$E255=fTeam),OR(fChannel="All",$C255=fChannel,AND(fChannel="Content",OR($C255="Blog",$C255="Case Study",$C255="Whitepaper")),AND(fChannel="Webinar / Events",$C255="Webinar")),OR(fMonth="All",$V255=fMonth)),1,0))</f>
        <v>0</v>
      </c>
      <c r="X255" s="71">
        <f>IF($D255="",0,IF(AND(OR(fClient="All",$B255=fClient),fCampaign="All",OR(fTeam="All",$E255=fTeam),OR(fChannel="All",$C255=fChannel,AND(fChannel="Content",OR($C255="Blog",$C255="Case Study",$C255="Whitepaper")),AND(fChannel="Webinar / Events",$C255="Webinar"))),1,0))</f>
        <v>0</v>
      </c>
    </row>
    <row r="256">
      <c r="A256" s="63" t="n"/>
      <c r="B256" s="64" t="n"/>
      <c r="C256" s="64" t="n"/>
      <c r="D256" s="65" t="n"/>
      <c r="E256" s="64" t="n"/>
      <c r="F256" s="64" t="n"/>
      <c r="G256" s="64" t="n"/>
      <c r="H256" s="63" t="n"/>
      <c r="I256" s="63" t="n"/>
      <c r="J256" s="63" t="n"/>
      <c r="K256" s="67" t="n"/>
      <c r="L256" s="67" t="n"/>
      <c r="M256" s="67" t="n"/>
      <c r="N256" s="65" t="n"/>
      <c r="O256" s="64" t="n"/>
      <c r="P256" s="67" t="n"/>
      <c r="Q256" s="65" t="n"/>
      <c r="R256" s="65" t="n"/>
      <c r="S256" s="65" t="n"/>
      <c r="T256" s="71">
        <f>IF($D256="",0,IF(OR($G256="Published",$G256="Completed",$G256="Cancelled"),0,1))</f>
        <v>0</v>
      </c>
      <c r="U256" s="69" t="str">
        <f>IF($D256="","",IF(AND($T256=1,ISNUMBER($I256)),IF($I256&lt;ReportDate,ReportDate-$I256,0),0))</f>
        <v/>
      </c>
      <c r="V256" s="71" t="str">
        <f>IF($D256="","",IF(ISNUMBER($A256),IF(ISNUMBER($A256),YEAR($A256)&amp;"-"&amp;TEXT(MONTH($A256),"00"),""),IF(ISNUMBER($I256),IF(ISNUMBER($I256),YEAR($I256)&amp;"-"&amp;TEXT(MONTH($I256),"00"),""),IF(ISNUMBER($H256),IF(ISNUMBER($H256),YEAR($H256)&amp;"-"&amp;TEXT(MONTH($H256),"00"),""),""))))</f>
        <v/>
      </c>
      <c r="W256" s="71">
        <f>IF($D256="",0,IF(AND(OR(fClient="All",$B256=fClient),fCampaign="All",OR(fTeam="All",$E256=fTeam),OR(fChannel="All",$C256=fChannel,AND(fChannel="Content",OR($C256="Blog",$C256="Case Study",$C256="Whitepaper")),AND(fChannel="Webinar / Events",$C256="Webinar")),OR(fMonth="All",$V256=fMonth)),1,0))</f>
        <v>0</v>
      </c>
      <c r="X256" s="71">
        <f>IF($D256="",0,IF(AND(OR(fClient="All",$B256=fClient),fCampaign="All",OR(fTeam="All",$E256=fTeam),OR(fChannel="All",$C256=fChannel,AND(fChannel="Content",OR($C256="Blog",$C256="Case Study",$C256="Whitepaper")),AND(fChannel="Webinar / Events",$C256="Webinar"))),1,0))</f>
        <v>0</v>
      </c>
    </row>
    <row r="257">
      <c r="A257" s="63" t="n"/>
      <c r="B257" s="64" t="n"/>
      <c r="C257" s="64" t="n"/>
      <c r="D257" s="65" t="n"/>
      <c r="E257" s="64" t="n"/>
      <c r="F257" s="64" t="n"/>
      <c r="G257" s="64" t="n"/>
      <c r="H257" s="63" t="n"/>
      <c r="I257" s="63" t="n"/>
      <c r="J257" s="63" t="n"/>
      <c r="K257" s="67" t="n"/>
      <c r="L257" s="67" t="n"/>
      <c r="M257" s="67" t="n"/>
      <c r="N257" s="65" t="n"/>
      <c r="O257" s="64" t="n"/>
      <c r="P257" s="67" t="n"/>
      <c r="Q257" s="65" t="n"/>
      <c r="R257" s="65" t="n"/>
      <c r="S257" s="65" t="n"/>
      <c r="T257" s="71">
        <f>IF($D257="",0,IF(OR($G257="Published",$G257="Completed",$G257="Cancelled"),0,1))</f>
        <v>0</v>
      </c>
      <c r="U257" s="69" t="str">
        <f>IF($D257="","",IF(AND($T257=1,ISNUMBER($I257)),IF($I257&lt;ReportDate,ReportDate-$I257,0),0))</f>
        <v/>
      </c>
      <c r="V257" s="71" t="str">
        <f>IF($D257="","",IF(ISNUMBER($A257),IF(ISNUMBER($A257),YEAR($A257)&amp;"-"&amp;TEXT(MONTH($A257),"00"),""),IF(ISNUMBER($I257),IF(ISNUMBER($I257),YEAR($I257)&amp;"-"&amp;TEXT(MONTH($I257),"00"),""),IF(ISNUMBER($H257),IF(ISNUMBER($H257),YEAR($H257)&amp;"-"&amp;TEXT(MONTH($H257),"00"),""),""))))</f>
        <v/>
      </c>
      <c r="W257" s="71">
        <f>IF($D257="",0,IF(AND(OR(fClient="All",$B257=fClient),fCampaign="All",OR(fTeam="All",$E257=fTeam),OR(fChannel="All",$C257=fChannel,AND(fChannel="Content",OR($C257="Blog",$C257="Case Study",$C257="Whitepaper")),AND(fChannel="Webinar / Events",$C257="Webinar")),OR(fMonth="All",$V257=fMonth)),1,0))</f>
        <v>0</v>
      </c>
      <c r="X257" s="71">
        <f>IF($D257="",0,IF(AND(OR(fClient="All",$B257=fClient),fCampaign="All",OR(fTeam="All",$E257=fTeam),OR(fChannel="All",$C257=fChannel,AND(fChannel="Content",OR($C257="Blog",$C257="Case Study",$C257="Whitepaper")),AND(fChannel="Webinar / Events",$C257="Webinar"))),1,0))</f>
        <v>0</v>
      </c>
    </row>
    <row r="258">
      <c r="A258" s="63" t="n"/>
      <c r="B258" s="64" t="n"/>
      <c r="C258" s="64" t="n"/>
      <c r="D258" s="65" t="n"/>
      <c r="E258" s="64" t="n"/>
      <c r="F258" s="64" t="n"/>
      <c r="G258" s="64" t="n"/>
      <c r="H258" s="63" t="n"/>
      <c r="I258" s="63" t="n"/>
      <c r="J258" s="63" t="n"/>
      <c r="K258" s="67" t="n"/>
      <c r="L258" s="67" t="n"/>
      <c r="M258" s="67" t="n"/>
      <c r="N258" s="65" t="n"/>
      <c r="O258" s="64" t="n"/>
      <c r="P258" s="67" t="n"/>
      <c r="Q258" s="65" t="n"/>
      <c r="R258" s="65" t="n"/>
      <c r="S258" s="65" t="n"/>
      <c r="T258" s="71">
        <f>IF($D258="",0,IF(OR($G258="Published",$G258="Completed",$G258="Cancelled"),0,1))</f>
        <v>0</v>
      </c>
      <c r="U258" s="69" t="str">
        <f>IF($D258="","",IF(AND($T258=1,ISNUMBER($I258)),IF($I258&lt;ReportDate,ReportDate-$I258,0),0))</f>
        <v/>
      </c>
      <c r="V258" s="71" t="str">
        <f>IF($D258="","",IF(ISNUMBER($A258),IF(ISNUMBER($A258),YEAR($A258)&amp;"-"&amp;TEXT(MONTH($A258),"00"),""),IF(ISNUMBER($I258),IF(ISNUMBER($I258),YEAR($I258)&amp;"-"&amp;TEXT(MONTH($I258),"00"),""),IF(ISNUMBER($H258),IF(ISNUMBER($H258),YEAR($H258)&amp;"-"&amp;TEXT(MONTH($H258),"00"),""),""))))</f>
        <v/>
      </c>
      <c r="W258" s="71">
        <f>IF($D258="",0,IF(AND(OR(fClient="All",$B258=fClient),fCampaign="All",OR(fTeam="All",$E258=fTeam),OR(fChannel="All",$C258=fChannel,AND(fChannel="Content",OR($C258="Blog",$C258="Case Study",$C258="Whitepaper")),AND(fChannel="Webinar / Events",$C258="Webinar")),OR(fMonth="All",$V258=fMonth)),1,0))</f>
        <v>0</v>
      </c>
      <c r="X258" s="71">
        <f>IF($D258="",0,IF(AND(OR(fClient="All",$B258=fClient),fCampaign="All",OR(fTeam="All",$E258=fTeam),OR(fChannel="All",$C258=fChannel,AND(fChannel="Content",OR($C258="Blog",$C258="Case Study",$C258="Whitepaper")),AND(fChannel="Webinar / Events",$C258="Webinar"))),1,0))</f>
        <v>0</v>
      </c>
    </row>
    <row r="259">
      <c r="A259" s="63" t="n"/>
      <c r="B259" s="64" t="n"/>
      <c r="C259" s="64" t="n"/>
      <c r="D259" s="65" t="n"/>
      <c r="E259" s="64" t="n"/>
      <c r="F259" s="64" t="n"/>
      <c r="G259" s="64" t="n"/>
      <c r="H259" s="63" t="n"/>
      <c r="I259" s="63" t="n"/>
      <c r="J259" s="63" t="n"/>
      <c r="K259" s="67" t="n"/>
      <c r="L259" s="67" t="n"/>
      <c r="M259" s="67" t="n"/>
      <c r="N259" s="65" t="n"/>
      <c r="O259" s="64" t="n"/>
      <c r="P259" s="67" t="n"/>
      <c r="Q259" s="65" t="n"/>
      <c r="R259" s="65" t="n"/>
      <c r="S259" s="65" t="n"/>
      <c r="T259" s="71">
        <f>IF($D259="",0,IF(OR($G259="Published",$G259="Completed",$G259="Cancelled"),0,1))</f>
        <v>0</v>
      </c>
      <c r="U259" s="69" t="str">
        <f>IF($D259="","",IF(AND($T259=1,ISNUMBER($I259)),IF($I259&lt;ReportDate,ReportDate-$I259,0),0))</f>
        <v/>
      </c>
      <c r="V259" s="71" t="str">
        <f>IF($D259="","",IF(ISNUMBER($A259),IF(ISNUMBER($A259),YEAR($A259)&amp;"-"&amp;TEXT(MONTH($A259),"00"),""),IF(ISNUMBER($I259),IF(ISNUMBER($I259),YEAR($I259)&amp;"-"&amp;TEXT(MONTH($I259),"00"),""),IF(ISNUMBER($H259),IF(ISNUMBER($H259),YEAR($H259)&amp;"-"&amp;TEXT(MONTH($H259),"00"),""),""))))</f>
        <v/>
      </c>
      <c r="W259" s="71">
        <f>IF($D259="",0,IF(AND(OR(fClient="All",$B259=fClient),fCampaign="All",OR(fTeam="All",$E259=fTeam),OR(fChannel="All",$C259=fChannel,AND(fChannel="Content",OR($C259="Blog",$C259="Case Study",$C259="Whitepaper")),AND(fChannel="Webinar / Events",$C259="Webinar")),OR(fMonth="All",$V259=fMonth)),1,0))</f>
        <v>0</v>
      </c>
      <c r="X259" s="71">
        <f>IF($D259="",0,IF(AND(OR(fClient="All",$B259=fClient),fCampaign="All",OR(fTeam="All",$E259=fTeam),OR(fChannel="All",$C259=fChannel,AND(fChannel="Content",OR($C259="Blog",$C259="Case Study",$C259="Whitepaper")),AND(fChannel="Webinar / Events",$C259="Webinar"))),1,0))</f>
        <v>0</v>
      </c>
    </row>
    <row r="260">
      <c r="A260" s="63" t="n"/>
      <c r="B260" s="64" t="n"/>
      <c r="C260" s="64" t="n"/>
      <c r="D260" s="65" t="n"/>
      <c r="E260" s="64" t="n"/>
      <c r="F260" s="64" t="n"/>
      <c r="G260" s="64" t="n"/>
      <c r="H260" s="63" t="n"/>
      <c r="I260" s="63" t="n"/>
      <c r="J260" s="63" t="n"/>
      <c r="K260" s="67" t="n"/>
      <c r="L260" s="67" t="n"/>
      <c r="M260" s="67" t="n"/>
      <c r="N260" s="65" t="n"/>
      <c r="O260" s="64" t="n"/>
      <c r="P260" s="67" t="n"/>
      <c r="Q260" s="65" t="n"/>
      <c r="R260" s="65" t="n"/>
      <c r="S260" s="65" t="n"/>
      <c r="T260" s="71">
        <f>IF($D260="",0,IF(OR($G260="Published",$G260="Completed",$G260="Cancelled"),0,1))</f>
        <v>0</v>
      </c>
      <c r="U260" s="69" t="str">
        <f>IF($D260="","",IF(AND($T260=1,ISNUMBER($I260)),IF($I260&lt;ReportDate,ReportDate-$I260,0),0))</f>
        <v/>
      </c>
      <c r="V260" s="71" t="str">
        <f>IF($D260="","",IF(ISNUMBER($A260),IF(ISNUMBER($A260),YEAR($A260)&amp;"-"&amp;TEXT(MONTH($A260),"00"),""),IF(ISNUMBER($I260),IF(ISNUMBER($I260),YEAR($I260)&amp;"-"&amp;TEXT(MONTH($I260),"00"),""),IF(ISNUMBER($H260),IF(ISNUMBER($H260),YEAR($H260)&amp;"-"&amp;TEXT(MONTH($H260),"00"),""),""))))</f>
        <v/>
      </c>
      <c r="W260" s="71">
        <f>IF($D260="",0,IF(AND(OR(fClient="All",$B260=fClient),fCampaign="All",OR(fTeam="All",$E260=fTeam),OR(fChannel="All",$C260=fChannel,AND(fChannel="Content",OR($C260="Blog",$C260="Case Study",$C260="Whitepaper")),AND(fChannel="Webinar / Events",$C260="Webinar")),OR(fMonth="All",$V260=fMonth)),1,0))</f>
        <v>0</v>
      </c>
      <c r="X260" s="71">
        <f>IF($D260="",0,IF(AND(OR(fClient="All",$B260=fClient),fCampaign="All",OR(fTeam="All",$E260=fTeam),OR(fChannel="All",$C260=fChannel,AND(fChannel="Content",OR($C260="Blog",$C260="Case Study",$C260="Whitepaper")),AND(fChannel="Webinar / Events",$C260="Webinar"))),1,0))</f>
        <v>0</v>
      </c>
    </row>
    <row r="261">
      <c r="A261" s="63" t="n"/>
      <c r="B261" s="64" t="n"/>
      <c r="C261" s="64" t="n"/>
      <c r="D261" s="65" t="n"/>
      <c r="E261" s="64" t="n"/>
      <c r="F261" s="64" t="n"/>
      <c r="G261" s="64" t="n"/>
      <c r="H261" s="63" t="n"/>
      <c r="I261" s="63" t="n"/>
      <c r="J261" s="63" t="n"/>
      <c r="K261" s="67" t="n"/>
      <c r="L261" s="67" t="n"/>
      <c r="M261" s="67" t="n"/>
      <c r="N261" s="65" t="n"/>
      <c r="O261" s="64" t="n"/>
      <c r="P261" s="67" t="n"/>
      <c r="Q261" s="65" t="n"/>
      <c r="R261" s="65" t="n"/>
      <c r="S261" s="65" t="n"/>
      <c r="T261" s="71">
        <f>IF($D261="",0,IF(OR($G261="Published",$G261="Completed",$G261="Cancelled"),0,1))</f>
        <v>0</v>
      </c>
      <c r="U261" s="69" t="str">
        <f>IF($D261="","",IF(AND($T261=1,ISNUMBER($I261)),IF($I261&lt;ReportDate,ReportDate-$I261,0),0))</f>
        <v/>
      </c>
      <c r="V261" s="71" t="str">
        <f>IF($D261="","",IF(ISNUMBER($A261),IF(ISNUMBER($A261),YEAR($A261)&amp;"-"&amp;TEXT(MONTH($A261),"00"),""),IF(ISNUMBER($I261),IF(ISNUMBER($I261),YEAR($I261)&amp;"-"&amp;TEXT(MONTH($I261),"00"),""),IF(ISNUMBER($H261),IF(ISNUMBER($H261),YEAR($H261)&amp;"-"&amp;TEXT(MONTH($H261),"00"),""),""))))</f>
        <v/>
      </c>
      <c r="W261" s="71">
        <f>IF($D261="",0,IF(AND(OR(fClient="All",$B261=fClient),fCampaign="All",OR(fTeam="All",$E261=fTeam),OR(fChannel="All",$C261=fChannel,AND(fChannel="Content",OR($C261="Blog",$C261="Case Study",$C261="Whitepaper")),AND(fChannel="Webinar / Events",$C261="Webinar")),OR(fMonth="All",$V261=fMonth)),1,0))</f>
        <v>0</v>
      </c>
      <c r="X261" s="71">
        <f>IF($D261="",0,IF(AND(OR(fClient="All",$B261=fClient),fCampaign="All",OR(fTeam="All",$E261=fTeam),OR(fChannel="All",$C261=fChannel,AND(fChannel="Content",OR($C261="Blog",$C261="Case Study",$C261="Whitepaper")),AND(fChannel="Webinar / Events",$C261="Webinar"))),1,0))</f>
        <v>0</v>
      </c>
    </row>
    <row r="262">
      <c r="A262" s="63" t="n"/>
      <c r="B262" s="64" t="n"/>
      <c r="C262" s="64" t="n"/>
      <c r="D262" s="65" t="n"/>
      <c r="E262" s="64" t="n"/>
      <c r="F262" s="64" t="n"/>
      <c r="G262" s="64" t="n"/>
      <c r="H262" s="63" t="n"/>
      <c r="I262" s="63" t="n"/>
      <c r="J262" s="63" t="n"/>
      <c r="K262" s="67" t="n"/>
      <c r="L262" s="67" t="n"/>
      <c r="M262" s="67" t="n"/>
      <c r="N262" s="65" t="n"/>
      <c r="O262" s="64" t="n"/>
      <c r="P262" s="67" t="n"/>
      <c r="Q262" s="65" t="n"/>
      <c r="R262" s="65" t="n"/>
      <c r="S262" s="65" t="n"/>
      <c r="T262" s="71">
        <f>IF($D262="",0,IF(OR($G262="Published",$G262="Completed",$G262="Cancelled"),0,1))</f>
        <v>0</v>
      </c>
      <c r="U262" s="69" t="str">
        <f>IF($D262="","",IF(AND($T262=1,ISNUMBER($I262)),IF($I262&lt;ReportDate,ReportDate-$I262,0),0))</f>
        <v/>
      </c>
      <c r="V262" s="71" t="str">
        <f>IF($D262="","",IF(ISNUMBER($A262),IF(ISNUMBER($A262),YEAR($A262)&amp;"-"&amp;TEXT(MONTH($A262),"00"),""),IF(ISNUMBER($I262),IF(ISNUMBER($I262),YEAR($I262)&amp;"-"&amp;TEXT(MONTH($I262),"00"),""),IF(ISNUMBER($H262),IF(ISNUMBER($H262),YEAR($H262)&amp;"-"&amp;TEXT(MONTH($H262),"00"),""),""))))</f>
        <v/>
      </c>
      <c r="W262" s="71">
        <f>IF($D262="",0,IF(AND(OR(fClient="All",$B262=fClient),fCampaign="All",OR(fTeam="All",$E262=fTeam),OR(fChannel="All",$C262=fChannel,AND(fChannel="Content",OR($C262="Blog",$C262="Case Study",$C262="Whitepaper")),AND(fChannel="Webinar / Events",$C262="Webinar")),OR(fMonth="All",$V262=fMonth)),1,0))</f>
        <v>0</v>
      </c>
      <c r="X262" s="71">
        <f>IF($D262="",0,IF(AND(OR(fClient="All",$B262=fClient),fCampaign="All",OR(fTeam="All",$E262=fTeam),OR(fChannel="All",$C262=fChannel,AND(fChannel="Content",OR($C262="Blog",$C262="Case Study",$C262="Whitepaper")),AND(fChannel="Webinar / Events",$C262="Webinar"))),1,0))</f>
        <v>0</v>
      </c>
    </row>
    <row r="263">
      <c r="A263" s="63" t="n"/>
      <c r="B263" s="64" t="n"/>
      <c r="C263" s="64" t="n"/>
      <c r="D263" s="65" t="n"/>
      <c r="E263" s="64" t="n"/>
      <c r="F263" s="64" t="n"/>
      <c r="G263" s="64" t="n"/>
      <c r="H263" s="63" t="n"/>
      <c r="I263" s="63" t="n"/>
      <c r="J263" s="63" t="n"/>
      <c r="K263" s="67" t="n"/>
      <c r="L263" s="67" t="n"/>
      <c r="M263" s="67" t="n"/>
      <c r="N263" s="65" t="n"/>
      <c r="O263" s="64" t="n"/>
      <c r="P263" s="67" t="n"/>
      <c r="Q263" s="65" t="n"/>
      <c r="R263" s="65" t="n"/>
      <c r="S263" s="65" t="n"/>
      <c r="T263" s="71">
        <f>IF($D263="",0,IF(OR($G263="Published",$G263="Completed",$G263="Cancelled"),0,1))</f>
        <v>0</v>
      </c>
      <c r="U263" s="69" t="str">
        <f>IF($D263="","",IF(AND($T263=1,ISNUMBER($I263)),IF($I263&lt;ReportDate,ReportDate-$I263,0),0))</f>
        <v/>
      </c>
      <c r="V263" s="71" t="str">
        <f>IF($D263="","",IF(ISNUMBER($A263),IF(ISNUMBER($A263),YEAR($A263)&amp;"-"&amp;TEXT(MONTH($A263),"00"),""),IF(ISNUMBER($I263),IF(ISNUMBER($I263),YEAR($I263)&amp;"-"&amp;TEXT(MONTH($I263),"00"),""),IF(ISNUMBER($H263),IF(ISNUMBER($H263),YEAR($H263)&amp;"-"&amp;TEXT(MONTH($H263),"00"),""),""))))</f>
        <v/>
      </c>
      <c r="W263" s="71">
        <f>IF($D263="",0,IF(AND(OR(fClient="All",$B263=fClient),fCampaign="All",OR(fTeam="All",$E263=fTeam),OR(fChannel="All",$C263=fChannel,AND(fChannel="Content",OR($C263="Blog",$C263="Case Study",$C263="Whitepaper")),AND(fChannel="Webinar / Events",$C263="Webinar")),OR(fMonth="All",$V263=fMonth)),1,0))</f>
        <v>0</v>
      </c>
      <c r="X263" s="71">
        <f>IF($D263="",0,IF(AND(OR(fClient="All",$B263=fClient),fCampaign="All",OR(fTeam="All",$E263=fTeam),OR(fChannel="All",$C263=fChannel,AND(fChannel="Content",OR($C263="Blog",$C263="Case Study",$C263="Whitepaper")),AND(fChannel="Webinar / Events",$C263="Webinar"))),1,0))</f>
        <v>0</v>
      </c>
    </row>
    <row r="264">
      <c r="A264" s="63" t="n"/>
      <c r="B264" s="64" t="n"/>
      <c r="C264" s="64" t="n"/>
      <c r="D264" s="65" t="n"/>
      <c r="E264" s="64" t="n"/>
      <c r="F264" s="64" t="n"/>
      <c r="G264" s="64" t="n"/>
      <c r="H264" s="63" t="n"/>
      <c r="I264" s="63" t="n"/>
      <c r="J264" s="63" t="n"/>
      <c r="K264" s="67" t="n"/>
      <c r="L264" s="67" t="n"/>
      <c r="M264" s="67" t="n"/>
      <c r="N264" s="65" t="n"/>
      <c r="O264" s="64" t="n"/>
      <c r="P264" s="67" t="n"/>
      <c r="Q264" s="65" t="n"/>
      <c r="R264" s="65" t="n"/>
      <c r="S264" s="65" t="n"/>
      <c r="T264" s="71">
        <f>IF($D264="",0,IF(OR($G264="Published",$G264="Completed",$G264="Cancelled"),0,1))</f>
        <v>0</v>
      </c>
      <c r="U264" s="69" t="str">
        <f>IF($D264="","",IF(AND($T264=1,ISNUMBER($I264)),IF($I264&lt;ReportDate,ReportDate-$I264,0),0))</f>
        <v/>
      </c>
      <c r="V264" s="71" t="str">
        <f>IF($D264="","",IF(ISNUMBER($A264),IF(ISNUMBER($A264),YEAR($A264)&amp;"-"&amp;TEXT(MONTH($A264),"00"),""),IF(ISNUMBER($I264),IF(ISNUMBER($I264),YEAR($I264)&amp;"-"&amp;TEXT(MONTH($I264),"00"),""),IF(ISNUMBER($H264),IF(ISNUMBER($H264),YEAR($H264)&amp;"-"&amp;TEXT(MONTH($H264),"00"),""),""))))</f>
        <v/>
      </c>
      <c r="W264" s="71">
        <f>IF($D264="",0,IF(AND(OR(fClient="All",$B264=fClient),fCampaign="All",OR(fTeam="All",$E264=fTeam),OR(fChannel="All",$C264=fChannel,AND(fChannel="Content",OR($C264="Blog",$C264="Case Study",$C264="Whitepaper")),AND(fChannel="Webinar / Events",$C264="Webinar")),OR(fMonth="All",$V264=fMonth)),1,0))</f>
        <v>0</v>
      </c>
      <c r="X264" s="71">
        <f>IF($D264="",0,IF(AND(OR(fClient="All",$B264=fClient),fCampaign="All",OR(fTeam="All",$E264=fTeam),OR(fChannel="All",$C264=fChannel,AND(fChannel="Content",OR($C264="Blog",$C264="Case Study",$C264="Whitepaper")),AND(fChannel="Webinar / Events",$C264="Webinar"))),1,0))</f>
        <v>0</v>
      </c>
    </row>
    <row r="265">
      <c r="A265" s="63" t="n"/>
      <c r="B265" s="64" t="n"/>
      <c r="C265" s="64" t="n"/>
      <c r="D265" s="65" t="n"/>
      <c r="E265" s="64" t="n"/>
      <c r="F265" s="64" t="n"/>
      <c r="G265" s="64" t="n"/>
      <c r="H265" s="63" t="n"/>
      <c r="I265" s="63" t="n"/>
      <c r="J265" s="63" t="n"/>
      <c r="K265" s="67" t="n"/>
      <c r="L265" s="67" t="n"/>
      <c r="M265" s="67" t="n"/>
      <c r="N265" s="65" t="n"/>
      <c r="O265" s="64" t="n"/>
      <c r="P265" s="67" t="n"/>
      <c r="Q265" s="65" t="n"/>
      <c r="R265" s="65" t="n"/>
      <c r="S265" s="65" t="n"/>
      <c r="T265" s="71">
        <f>IF($D265="",0,IF(OR($G265="Published",$G265="Completed",$G265="Cancelled"),0,1))</f>
        <v>0</v>
      </c>
      <c r="U265" s="69" t="str">
        <f>IF($D265="","",IF(AND($T265=1,ISNUMBER($I265)),IF($I265&lt;ReportDate,ReportDate-$I265,0),0))</f>
        <v/>
      </c>
      <c r="V265" s="71" t="str">
        <f>IF($D265="","",IF(ISNUMBER($A265),IF(ISNUMBER($A265),YEAR($A265)&amp;"-"&amp;TEXT(MONTH($A265),"00"),""),IF(ISNUMBER($I265),IF(ISNUMBER($I265),YEAR($I265)&amp;"-"&amp;TEXT(MONTH($I265),"00"),""),IF(ISNUMBER($H265),IF(ISNUMBER($H265),YEAR($H265)&amp;"-"&amp;TEXT(MONTH($H265),"00"),""),""))))</f>
        <v/>
      </c>
      <c r="W265" s="71">
        <f>IF($D265="",0,IF(AND(OR(fClient="All",$B265=fClient),fCampaign="All",OR(fTeam="All",$E265=fTeam),OR(fChannel="All",$C265=fChannel,AND(fChannel="Content",OR($C265="Blog",$C265="Case Study",$C265="Whitepaper")),AND(fChannel="Webinar / Events",$C265="Webinar")),OR(fMonth="All",$V265=fMonth)),1,0))</f>
        <v>0</v>
      </c>
      <c r="X265" s="71">
        <f>IF($D265="",0,IF(AND(OR(fClient="All",$B265=fClient),fCampaign="All",OR(fTeam="All",$E265=fTeam),OR(fChannel="All",$C265=fChannel,AND(fChannel="Content",OR($C265="Blog",$C265="Case Study",$C265="Whitepaper")),AND(fChannel="Webinar / Events",$C265="Webinar"))),1,0))</f>
        <v>0</v>
      </c>
    </row>
    <row r="266">
      <c r="A266" s="63" t="n"/>
      <c r="B266" s="64" t="n"/>
      <c r="C266" s="64" t="n"/>
      <c r="D266" s="65" t="n"/>
      <c r="E266" s="64" t="n"/>
      <c r="F266" s="64" t="n"/>
      <c r="G266" s="64" t="n"/>
      <c r="H266" s="63" t="n"/>
      <c r="I266" s="63" t="n"/>
      <c r="J266" s="63" t="n"/>
      <c r="K266" s="67" t="n"/>
      <c r="L266" s="67" t="n"/>
      <c r="M266" s="67" t="n"/>
      <c r="N266" s="65" t="n"/>
      <c r="O266" s="64" t="n"/>
      <c r="P266" s="67" t="n"/>
      <c r="Q266" s="65" t="n"/>
      <c r="R266" s="65" t="n"/>
      <c r="S266" s="65" t="n"/>
      <c r="T266" s="71">
        <f>IF($D266="",0,IF(OR($G266="Published",$G266="Completed",$G266="Cancelled"),0,1))</f>
        <v>0</v>
      </c>
      <c r="U266" s="69" t="str">
        <f>IF($D266="","",IF(AND($T266=1,ISNUMBER($I266)),IF($I266&lt;ReportDate,ReportDate-$I266,0),0))</f>
        <v/>
      </c>
      <c r="V266" s="71" t="str">
        <f>IF($D266="","",IF(ISNUMBER($A266),IF(ISNUMBER($A266),YEAR($A266)&amp;"-"&amp;TEXT(MONTH($A266),"00"),""),IF(ISNUMBER($I266),IF(ISNUMBER($I266),YEAR($I266)&amp;"-"&amp;TEXT(MONTH($I266),"00"),""),IF(ISNUMBER($H266),IF(ISNUMBER($H266),YEAR($H266)&amp;"-"&amp;TEXT(MONTH($H266),"00"),""),""))))</f>
        <v/>
      </c>
      <c r="W266" s="71">
        <f>IF($D266="",0,IF(AND(OR(fClient="All",$B266=fClient),fCampaign="All",OR(fTeam="All",$E266=fTeam),OR(fChannel="All",$C266=fChannel,AND(fChannel="Content",OR($C266="Blog",$C266="Case Study",$C266="Whitepaper")),AND(fChannel="Webinar / Events",$C266="Webinar")),OR(fMonth="All",$V266=fMonth)),1,0))</f>
        <v>0</v>
      </c>
      <c r="X266" s="71">
        <f>IF($D266="",0,IF(AND(OR(fClient="All",$B266=fClient),fCampaign="All",OR(fTeam="All",$E266=fTeam),OR(fChannel="All",$C266=fChannel,AND(fChannel="Content",OR($C266="Blog",$C266="Case Study",$C266="Whitepaper")),AND(fChannel="Webinar / Events",$C266="Webinar"))),1,0))</f>
        <v>0</v>
      </c>
    </row>
    <row r="267">
      <c r="A267" s="63" t="n"/>
      <c r="B267" s="64" t="n"/>
      <c r="C267" s="64" t="n"/>
      <c r="D267" s="65" t="n"/>
      <c r="E267" s="64" t="n"/>
      <c r="F267" s="64" t="n"/>
      <c r="G267" s="64" t="n"/>
      <c r="H267" s="63" t="n"/>
      <c r="I267" s="63" t="n"/>
      <c r="J267" s="63" t="n"/>
      <c r="K267" s="67" t="n"/>
      <c r="L267" s="67" t="n"/>
      <c r="M267" s="67" t="n"/>
      <c r="N267" s="65" t="n"/>
      <c r="O267" s="64" t="n"/>
      <c r="P267" s="67" t="n"/>
      <c r="Q267" s="65" t="n"/>
      <c r="R267" s="65" t="n"/>
      <c r="S267" s="65" t="n"/>
      <c r="T267" s="71">
        <f>IF($D267="",0,IF(OR($G267="Published",$G267="Completed",$G267="Cancelled"),0,1))</f>
        <v>0</v>
      </c>
      <c r="U267" s="69" t="str">
        <f>IF($D267="","",IF(AND($T267=1,ISNUMBER($I267)),IF($I267&lt;ReportDate,ReportDate-$I267,0),0))</f>
        <v/>
      </c>
      <c r="V267" s="71" t="str">
        <f>IF($D267="","",IF(ISNUMBER($A267),IF(ISNUMBER($A267),YEAR($A267)&amp;"-"&amp;TEXT(MONTH($A267),"00"),""),IF(ISNUMBER($I267),IF(ISNUMBER($I267),YEAR($I267)&amp;"-"&amp;TEXT(MONTH($I267),"00"),""),IF(ISNUMBER($H267),IF(ISNUMBER($H267),YEAR($H267)&amp;"-"&amp;TEXT(MONTH($H267),"00"),""),""))))</f>
        <v/>
      </c>
      <c r="W267" s="71">
        <f>IF($D267="",0,IF(AND(OR(fClient="All",$B267=fClient),fCampaign="All",OR(fTeam="All",$E267=fTeam),OR(fChannel="All",$C267=fChannel,AND(fChannel="Content",OR($C267="Blog",$C267="Case Study",$C267="Whitepaper")),AND(fChannel="Webinar / Events",$C267="Webinar")),OR(fMonth="All",$V267=fMonth)),1,0))</f>
        <v>0</v>
      </c>
      <c r="X267" s="71">
        <f>IF($D267="",0,IF(AND(OR(fClient="All",$B267=fClient),fCampaign="All",OR(fTeam="All",$E267=fTeam),OR(fChannel="All",$C267=fChannel,AND(fChannel="Content",OR($C267="Blog",$C267="Case Study",$C267="Whitepaper")),AND(fChannel="Webinar / Events",$C267="Webinar"))),1,0))</f>
        <v>0</v>
      </c>
    </row>
    <row r="268">
      <c r="A268" s="63" t="n"/>
      <c r="B268" s="64" t="n"/>
      <c r="C268" s="64" t="n"/>
      <c r="D268" s="65" t="n"/>
      <c r="E268" s="64" t="n"/>
      <c r="F268" s="64" t="n"/>
      <c r="G268" s="64" t="n"/>
      <c r="H268" s="63" t="n"/>
      <c r="I268" s="63" t="n"/>
      <c r="J268" s="63" t="n"/>
      <c r="K268" s="67" t="n"/>
      <c r="L268" s="67" t="n"/>
      <c r="M268" s="67" t="n"/>
      <c r="N268" s="65" t="n"/>
      <c r="O268" s="64" t="n"/>
      <c r="P268" s="67" t="n"/>
      <c r="Q268" s="65" t="n"/>
      <c r="R268" s="65" t="n"/>
      <c r="S268" s="65" t="n"/>
      <c r="T268" s="71">
        <f>IF($D268="",0,IF(OR($G268="Published",$G268="Completed",$G268="Cancelled"),0,1))</f>
        <v>0</v>
      </c>
      <c r="U268" s="69" t="str">
        <f>IF($D268="","",IF(AND($T268=1,ISNUMBER($I268)),IF($I268&lt;ReportDate,ReportDate-$I268,0),0))</f>
        <v/>
      </c>
      <c r="V268" s="71" t="str">
        <f>IF($D268="","",IF(ISNUMBER($A268),IF(ISNUMBER($A268),YEAR($A268)&amp;"-"&amp;TEXT(MONTH($A268),"00"),""),IF(ISNUMBER($I268),IF(ISNUMBER($I268),YEAR($I268)&amp;"-"&amp;TEXT(MONTH($I268),"00"),""),IF(ISNUMBER($H268),IF(ISNUMBER($H268),YEAR($H268)&amp;"-"&amp;TEXT(MONTH($H268),"00"),""),""))))</f>
        <v/>
      </c>
      <c r="W268" s="71">
        <f>IF($D268="",0,IF(AND(OR(fClient="All",$B268=fClient),fCampaign="All",OR(fTeam="All",$E268=fTeam),OR(fChannel="All",$C268=fChannel,AND(fChannel="Content",OR($C268="Blog",$C268="Case Study",$C268="Whitepaper")),AND(fChannel="Webinar / Events",$C268="Webinar")),OR(fMonth="All",$V268=fMonth)),1,0))</f>
        <v>0</v>
      </c>
      <c r="X268" s="71">
        <f>IF($D268="",0,IF(AND(OR(fClient="All",$B268=fClient),fCampaign="All",OR(fTeam="All",$E268=fTeam),OR(fChannel="All",$C268=fChannel,AND(fChannel="Content",OR($C268="Blog",$C268="Case Study",$C268="Whitepaper")),AND(fChannel="Webinar / Events",$C268="Webinar"))),1,0))</f>
        <v>0</v>
      </c>
    </row>
    <row r="269">
      <c r="A269" s="63" t="n"/>
      <c r="B269" s="64" t="n"/>
      <c r="C269" s="64" t="n"/>
      <c r="D269" s="65" t="n"/>
      <c r="E269" s="64" t="n"/>
      <c r="F269" s="64" t="n"/>
      <c r="G269" s="64" t="n"/>
      <c r="H269" s="63" t="n"/>
      <c r="I269" s="63" t="n"/>
      <c r="J269" s="63" t="n"/>
      <c r="K269" s="67" t="n"/>
      <c r="L269" s="67" t="n"/>
      <c r="M269" s="67" t="n"/>
      <c r="N269" s="65" t="n"/>
      <c r="O269" s="64" t="n"/>
      <c r="P269" s="67" t="n"/>
      <c r="Q269" s="65" t="n"/>
      <c r="R269" s="65" t="n"/>
      <c r="S269" s="65" t="n"/>
      <c r="T269" s="71">
        <f>IF($D269="",0,IF(OR($G269="Published",$G269="Completed",$G269="Cancelled"),0,1))</f>
        <v>0</v>
      </c>
      <c r="U269" s="69" t="str">
        <f>IF($D269="","",IF(AND($T269=1,ISNUMBER($I269)),IF($I269&lt;ReportDate,ReportDate-$I269,0),0))</f>
        <v/>
      </c>
      <c r="V269" s="71" t="str">
        <f>IF($D269="","",IF(ISNUMBER($A269),IF(ISNUMBER($A269),YEAR($A269)&amp;"-"&amp;TEXT(MONTH($A269),"00"),""),IF(ISNUMBER($I269),IF(ISNUMBER($I269),YEAR($I269)&amp;"-"&amp;TEXT(MONTH($I269),"00"),""),IF(ISNUMBER($H269),IF(ISNUMBER($H269),YEAR($H269)&amp;"-"&amp;TEXT(MONTH($H269),"00"),""),""))))</f>
        <v/>
      </c>
      <c r="W269" s="71">
        <f>IF($D269="",0,IF(AND(OR(fClient="All",$B269=fClient),fCampaign="All",OR(fTeam="All",$E269=fTeam),OR(fChannel="All",$C269=fChannel,AND(fChannel="Content",OR($C269="Blog",$C269="Case Study",$C269="Whitepaper")),AND(fChannel="Webinar / Events",$C269="Webinar")),OR(fMonth="All",$V269=fMonth)),1,0))</f>
        <v>0</v>
      </c>
      <c r="X269" s="71">
        <f>IF($D269="",0,IF(AND(OR(fClient="All",$B269=fClient),fCampaign="All",OR(fTeam="All",$E269=fTeam),OR(fChannel="All",$C269=fChannel,AND(fChannel="Content",OR($C269="Blog",$C269="Case Study",$C269="Whitepaper")),AND(fChannel="Webinar / Events",$C269="Webinar"))),1,0))</f>
        <v>0</v>
      </c>
    </row>
    <row r="270">
      <c r="A270" s="63" t="n"/>
      <c r="B270" s="64" t="n"/>
      <c r="C270" s="64" t="n"/>
      <c r="D270" s="65" t="n"/>
      <c r="E270" s="64" t="n"/>
      <c r="F270" s="64" t="n"/>
      <c r="G270" s="64" t="n"/>
      <c r="H270" s="63" t="n"/>
      <c r="I270" s="63" t="n"/>
      <c r="J270" s="63" t="n"/>
      <c r="K270" s="67" t="n"/>
      <c r="L270" s="67" t="n"/>
      <c r="M270" s="67" t="n"/>
      <c r="N270" s="65" t="n"/>
      <c r="O270" s="64" t="n"/>
      <c r="P270" s="67" t="n"/>
      <c r="Q270" s="65" t="n"/>
      <c r="R270" s="65" t="n"/>
      <c r="S270" s="65" t="n"/>
      <c r="T270" s="71">
        <f>IF($D270="",0,IF(OR($G270="Published",$G270="Completed",$G270="Cancelled"),0,1))</f>
        <v>0</v>
      </c>
      <c r="U270" s="69" t="str">
        <f>IF($D270="","",IF(AND($T270=1,ISNUMBER($I270)),IF($I270&lt;ReportDate,ReportDate-$I270,0),0))</f>
        <v/>
      </c>
      <c r="V270" s="71" t="str">
        <f>IF($D270="","",IF(ISNUMBER($A270),IF(ISNUMBER($A270),YEAR($A270)&amp;"-"&amp;TEXT(MONTH($A270),"00"),""),IF(ISNUMBER($I270),IF(ISNUMBER($I270),YEAR($I270)&amp;"-"&amp;TEXT(MONTH($I270),"00"),""),IF(ISNUMBER($H270),IF(ISNUMBER($H270),YEAR($H270)&amp;"-"&amp;TEXT(MONTH($H270),"00"),""),""))))</f>
        <v/>
      </c>
      <c r="W270" s="71">
        <f>IF($D270="",0,IF(AND(OR(fClient="All",$B270=fClient),fCampaign="All",OR(fTeam="All",$E270=fTeam),OR(fChannel="All",$C270=fChannel,AND(fChannel="Content",OR($C270="Blog",$C270="Case Study",$C270="Whitepaper")),AND(fChannel="Webinar / Events",$C270="Webinar")),OR(fMonth="All",$V270=fMonth)),1,0))</f>
        <v>0</v>
      </c>
      <c r="X270" s="71">
        <f>IF($D270="",0,IF(AND(OR(fClient="All",$B270=fClient),fCampaign="All",OR(fTeam="All",$E270=fTeam),OR(fChannel="All",$C270=fChannel,AND(fChannel="Content",OR($C270="Blog",$C270="Case Study",$C270="Whitepaper")),AND(fChannel="Webinar / Events",$C270="Webinar"))),1,0))</f>
        <v>0</v>
      </c>
    </row>
    <row r="271">
      <c r="A271" s="63" t="n"/>
      <c r="B271" s="64" t="n"/>
      <c r="C271" s="64" t="n"/>
      <c r="D271" s="65" t="n"/>
      <c r="E271" s="64" t="n"/>
      <c r="F271" s="64" t="n"/>
      <c r="G271" s="64" t="n"/>
      <c r="H271" s="63" t="n"/>
      <c r="I271" s="63" t="n"/>
      <c r="J271" s="63" t="n"/>
      <c r="K271" s="67" t="n"/>
      <c r="L271" s="67" t="n"/>
      <c r="M271" s="67" t="n"/>
      <c r="N271" s="65" t="n"/>
      <c r="O271" s="64" t="n"/>
      <c r="P271" s="67" t="n"/>
      <c r="Q271" s="65" t="n"/>
      <c r="R271" s="65" t="n"/>
      <c r="S271" s="65" t="n"/>
      <c r="T271" s="71">
        <f>IF($D271="",0,IF(OR($G271="Published",$G271="Completed",$G271="Cancelled"),0,1))</f>
        <v>0</v>
      </c>
      <c r="U271" s="69" t="str">
        <f>IF($D271="","",IF(AND($T271=1,ISNUMBER($I271)),IF($I271&lt;ReportDate,ReportDate-$I271,0),0))</f>
        <v/>
      </c>
      <c r="V271" s="71" t="str">
        <f>IF($D271="","",IF(ISNUMBER($A271),IF(ISNUMBER($A271),YEAR($A271)&amp;"-"&amp;TEXT(MONTH($A271),"00"),""),IF(ISNUMBER($I271),IF(ISNUMBER($I271),YEAR($I271)&amp;"-"&amp;TEXT(MONTH($I271),"00"),""),IF(ISNUMBER($H271),IF(ISNUMBER($H271),YEAR($H271)&amp;"-"&amp;TEXT(MONTH($H271),"00"),""),""))))</f>
        <v/>
      </c>
      <c r="W271" s="71">
        <f>IF($D271="",0,IF(AND(OR(fClient="All",$B271=fClient),fCampaign="All",OR(fTeam="All",$E271=fTeam),OR(fChannel="All",$C271=fChannel,AND(fChannel="Content",OR($C271="Blog",$C271="Case Study",$C271="Whitepaper")),AND(fChannel="Webinar / Events",$C271="Webinar")),OR(fMonth="All",$V271=fMonth)),1,0))</f>
        <v>0</v>
      </c>
      <c r="X271" s="71">
        <f>IF($D271="",0,IF(AND(OR(fClient="All",$B271=fClient),fCampaign="All",OR(fTeam="All",$E271=fTeam),OR(fChannel="All",$C271=fChannel,AND(fChannel="Content",OR($C271="Blog",$C271="Case Study",$C271="Whitepaper")),AND(fChannel="Webinar / Events",$C271="Webinar"))),1,0))</f>
        <v>0</v>
      </c>
    </row>
    <row r="272">
      <c r="A272" s="63" t="n"/>
      <c r="B272" s="64" t="n"/>
      <c r="C272" s="64" t="n"/>
      <c r="D272" s="65" t="n"/>
      <c r="E272" s="64" t="n"/>
      <c r="F272" s="64" t="n"/>
      <c r="G272" s="64" t="n"/>
      <c r="H272" s="63" t="n"/>
      <c r="I272" s="63" t="n"/>
      <c r="J272" s="63" t="n"/>
      <c r="K272" s="67" t="n"/>
      <c r="L272" s="67" t="n"/>
      <c r="M272" s="67" t="n"/>
      <c r="N272" s="65" t="n"/>
      <c r="O272" s="64" t="n"/>
      <c r="P272" s="67" t="n"/>
      <c r="Q272" s="65" t="n"/>
      <c r="R272" s="65" t="n"/>
      <c r="S272" s="65" t="n"/>
      <c r="T272" s="71">
        <f>IF($D272="",0,IF(OR($G272="Published",$G272="Completed",$G272="Cancelled"),0,1))</f>
        <v>0</v>
      </c>
      <c r="U272" s="69" t="str">
        <f>IF($D272="","",IF(AND($T272=1,ISNUMBER($I272)),IF($I272&lt;ReportDate,ReportDate-$I272,0),0))</f>
        <v/>
      </c>
      <c r="V272" s="71" t="str">
        <f>IF($D272="","",IF(ISNUMBER($A272),IF(ISNUMBER($A272),YEAR($A272)&amp;"-"&amp;TEXT(MONTH($A272),"00"),""),IF(ISNUMBER($I272),IF(ISNUMBER($I272),YEAR($I272)&amp;"-"&amp;TEXT(MONTH($I272),"00"),""),IF(ISNUMBER($H272),IF(ISNUMBER($H272),YEAR($H272)&amp;"-"&amp;TEXT(MONTH($H272),"00"),""),""))))</f>
        <v/>
      </c>
      <c r="W272" s="71">
        <f>IF($D272="",0,IF(AND(OR(fClient="All",$B272=fClient),fCampaign="All",OR(fTeam="All",$E272=fTeam),OR(fChannel="All",$C272=fChannel,AND(fChannel="Content",OR($C272="Blog",$C272="Case Study",$C272="Whitepaper")),AND(fChannel="Webinar / Events",$C272="Webinar")),OR(fMonth="All",$V272=fMonth)),1,0))</f>
        <v>0</v>
      </c>
      <c r="X272" s="71">
        <f>IF($D272="",0,IF(AND(OR(fClient="All",$B272=fClient),fCampaign="All",OR(fTeam="All",$E272=fTeam),OR(fChannel="All",$C272=fChannel,AND(fChannel="Content",OR($C272="Blog",$C272="Case Study",$C272="Whitepaper")),AND(fChannel="Webinar / Events",$C272="Webinar"))),1,0))</f>
        <v>0</v>
      </c>
    </row>
    <row r="273">
      <c r="A273" s="63" t="n"/>
      <c r="B273" s="64" t="n"/>
      <c r="C273" s="64" t="n"/>
      <c r="D273" s="65" t="n"/>
      <c r="E273" s="64" t="n"/>
      <c r="F273" s="64" t="n"/>
      <c r="G273" s="64" t="n"/>
      <c r="H273" s="63" t="n"/>
      <c r="I273" s="63" t="n"/>
      <c r="J273" s="63" t="n"/>
      <c r="K273" s="67" t="n"/>
      <c r="L273" s="67" t="n"/>
      <c r="M273" s="67" t="n"/>
      <c r="N273" s="65" t="n"/>
      <c r="O273" s="64" t="n"/>
      <c r="P273" s="67" t="n"/>
      <c r="Q273" s="65" t="n"/>
      <c r="R273" s="65" t="n"/>
      <c r="S273" s="65" t="n"/>
      <c r="T273" s="71">
        <f>IF($D273="",0,IF(OR($G273="Published",$G273="Completed",$G273="Cancelled"),0,1))</f>
        <v>0</v>
      </c>
      <c r="U273" s="69" t="str">
        <f>IF($D273="","",IF(AND($T273=1,ISNUMBER($I273)),IF($I273&lt;ReportDate,ReportDate-$I273,0),0))</f>
        <v/>
      </c>
      <c r="V273" s="71" t="str">
        <f>IF($D273="","",IF(ISNUMBER($A273),IF(ISNUMBER($A273),YEAR($A273)&amp;"-"&amp;TEXT(MONTH($A273),"00"),""),IF(ISNUMBER($I273),IF(ISNUMBER($I273),YEAR($I273)&amp;"-"&amp;TEXT(MONTH($I273),"00"),""),IF(ISNUMBER($H273),IF(ISNUMBER($H273),YEAR($H273)&amp;"-"&amp;TEXT(MONTH($H273),"00"),""),""))))</f>
        <v/>
      </c>
      <c r="W273" s="71">
        <f>IF($D273="",0,IF(AND(OR(fClient="All",$B273=fClient),fCampaign="All",OR(fTeam="All",$E273=fTeam),OR(fChannel="All",$C273=fChannel,AND(fChannel="Content",OR($C273="Blog",$C273="Case Study",$C273="Whitepaper")),AND(fChannel="Webinar / Events",$C273="Webinar")),OR(fMonth="All",$V273=fMonth)),1,0))</f>
        <v>0</v>
      </c>
      <c r="X273" s="71">
        <f>IF($D273="",0,IF(AND(OR(fClient="All",$B273=fClient),fCampaign="All",OR(fTeam="All",$E273=fTeam),OR(fChannel="All",$C273=fChannel,AND(fChannel="Content",OR($C273="Blog",$C273="Case Study",$C273="Whitepaper")),AND(fChannel="Webinar / Events",$C273="Webinar"))),1,0))</f>
        <v>0</v>
      </c>
    </row>
    <row r="274">
      <c r="A274" s="63" t="n"/>
      <c r="B274" s="64" t="n"/>
      <c r="C274" s="64" t="n"/>
      <c r="D274" s="65" t="n"/>
      <c r="E274" s="64" t="n"/>
      <c r="F274" s="64" t="n"/>
      <c r="G274" s="64" t="n"/>
      <c r="H274" s="63" t="n"/>
      <c r="I274" s="63" t="n"/>
      <c r="J274" s="63" t="n"/>
      <c r="K274" s="67" t="n"/>
      <c r="L274" s="67" t="n"/>
      <c r="M274" s="67" t="n"/>
      <c r="N274" s="65" t="n"/>
      <c r="O274" s="64" t="n"/>
      <c r="P274" s="67" t="n"/>
      <c r="Q274" s="65" t="n"/>
      <c r="R274" s="65" t="n"/>
      <c r="S274" s="65" t="n"/>
      <c r="T274" s="71">
        <f>IF($D274="",0,IF(OR($G274="Published",$G274="Completed",$G274="Cancelled"),0,1))</f>
        <v>0</v>
      </c>
      <c r="U274" s="69" t="str">
        <f>IF($D274="","",IF(AND($T274=1,ISNUMBER($I274)),IF($I274&lt;ReportDate,ReportDate-$I274,0),0))</f>
        <v/>
      </c>
      <c r="V274" s="71" t="str">
        <f>IF($D274="","",IF(ISNUMBER($A274),IF(ISNUMBER($A274),YEAR($A274)&amp;"-"&amp;TEXT(MONTH($A274),"00"),""),IF(ISNUMBER($I274),IF(ISNUMBER($I274),YEAR($I274)&amp;"-"&amp;TEXT(MONTH($I274),"00"),""),IF(ISNUMBER($H274),IF(ISNUMBER($H274),YEAR($H274)&amp;"-"&amp;TEXT(MONTH($H274),"00"),""),""))))</f>
        <v/>
      </c>
      <c r="W274" s="71">
        <f>IF($D274="",0,IF(AND(OR(fClient="All",$B274=fClient),fCampaign="All",OR(fTeam="All",$E274=fTeam),OR(fChannel="All",$C274=fChannel,AND(fChannel="Content",OR($C274="Blog",$C274="Case Study",$C274="Whitepaper")),AND(fChannel="Webinar / Events",$C274="Webinar")),OR(fMonth="All",$V274=fMonth)),1,0))</f>
        <v>0</v>
      </c>
      <c r="X274" s="71">
        <f>IF($D274="",0,IF(AND(OR(fClient="All",$B274=fClient),fCampaign="All",OR(fTeam="All",$E274=fTeam),OR(fChannel="All",$C274=fChannel,AND(fChannel="Content",OR($C274="Blog",$C274="Case Study",$C274="Whitepaper")),AND(fChannel="Webinar / Events",$C274="Webinar"))),1,0))</f>
        <v>0</v>
      </c>
    </row>
    <row r="275">
      <c r="A275" s="63" t="n"/>
      <c r="B275" s="64" t="n"/>
      <c r="C275" s="64" t="n"/>
      <c r="D275" s="65" t="n"/>
      <c r="E275" s="64" t="n"/>
      <c r="F275" s="64" t="n"/>
      <c r="G275" s="64" t="n"/>
      <c r="H275" s="63" t="n"/>
      <c r="I275" s="63" t="n"/>
      <c r="J275" s="63" t="n"/>
      <c r="K275" s="67" t="n"/>
      <c r="L275" s="67" t="n"/>
      <c r="M275" s="67" t="n"/>
      <c r="N275" s="65" t="n"/>
      <c r="O275" s="64" t="n"/>
      <c r="P275" s="67" t="n"/>
      <c r="Q275" s="65" t="n"/>
      <c r="R275" s="65" t="n"/>
      <c r="S275" s="65" t="n"/>
      <c r="T275" s="71">
        <f>IF($D275="",0,IF(OR($G275="Published",$G275="Completed",$G275="Cancelled"),0,1))</f>
        <v>0</v>
      </c>
      <c r="U275" s="69" t="str">
        <f>IF($D275="","",IF(AND($T275=1,ISNUMBER($I275)),IF($I275&lt;ReportDate,ReportDate-$I275,0),0))</f>
        <v/>
      </c>
      <c r="V275" s="71" t="str">
        <f>IF($D275="","",IF(ISNUMBER($A275),IF(ISNUMBER($A275),YEAR($A275)&amp;"-"&amp;TEXT(MONTH($A275),"00"),""),IF(ISNUMBER($I275),IF(ISNUMBER($I275),YEAR($I275)&amp;"-"&amp;TEXT(MONTH($I275),"00"),""),IF(ISNUMBER($H275),IF(ISNUMBER($H275),YEAR($H275)&amp;"-"&amp;TEXT(MONTH($H275),"00"),""),""))))</f>
        <v/>
      </c>
      <c r="W275" s="71">
        <f>IF($D275="",0,IF(AND(OR(fClient="All",$B275=fClient),fCampaign="All",OR(fTeam="All",$E275=fTeam),OR(fChannel="All",$C275=fChannel,AND(fChannel="Content",OR($C275="Blog",$C275="Case Study",$C275="Whitepaper")),AND(fChannel="Webinar / Events",$C275="Webinar")),OR(fMonth="All",$V275=fMonth)),1,0))</f>
        <v>0</v>
      </c>
      <c r="X275" s="71">
        <f>IF($D275="",0,IF(AND(OR(fClient="All",$B275=fClient),fCampaign="All",OR(fTeam="All",$E275=fTeam),OR(fChannel="All",$C275=fChannel,AND(fChannel="Content",OR($C275="Blog",$C275="Case Study",$C275="Whitepaper")),AND(fChannel="Webinar / Events",$C275="Webinar"))),1,0))</f>
        <v>0</v>
      </c>
    </row>
    <row r="276">
      <c r="A276" s="63" t="n"/>
      <c r="B276" s="64" t="n"/>
      <c r="C276" s="64" t="n"/>
      <c r="D276" s="65" t="n"/>
      <c r="E276" s="64" t="n"/>
      <c r="F276" s="64" t="n"/>
      <c r="G276" s="64" t="n"/>
      <c r="H276" s="63" t="n"/>
      <c r="I276" s="63" t="n"/>
      <c r="J276" s="63" t="n"/>
      <c r="K276" s="67" t="n"/>
      <c r="L276" s="67" t="n"/>
      <c r="M276" s="67" t="n"/>
      <c r="N276" s="65" t="n"/>
      <c r="O276" s="64" t="n"/>
      <c r="P276" s="67" t="n"/>
      <c r="Q276" s="65" t="n"/>
      <c r="R276" s="65" t="n"/>
      <c r="S276" s="65" t="n"/>
      <c r="T276" s="71">
        <f>IF($D276="",0,IF(OR($G276="Published",$G276="Completed",$G276="Cancelled"),0,1))</f>
        <v>0</v>
      </c>
      <c r="U276" s="69" t="str">
        <f>IF($D276="","",IF(AND($T276=1,ISNUMBER($I276)),IF($I276&lt;ReportDate,ReportDate-$I276,0),0))</f>
        <v/>
      </c>
      <c r="V276" s="71" t="str">
        <f>IF($D276="","",IF(ISNUMBER($A276),IF(ISNUMBER($A276),YEAR($A276)&amp;"-"&amp;TEXT(MONTH($A276),"00"),""),IF(ISNUMBER($I276),IF(ISNUMBER($I276),YEAR($I276)&amp;"-"&amp;TEXT(MONTH($I276),"00"),""),IF(ISNUMBER($H276),IF(ISNUMBER($H276),YEAR($H276)&amp;"-"&amp;TEXT(MONTH($H276),"00"),""),""))))</f>
        <v/>
      </c>
      <c r="W276" s="71">
        <f>IF($D276="",0,IF(AND(OR(fClient="All",$B276=fClient),fCampaign="All",OR(fTeam="All",$E276=fTeam),OR(fChannel="All",$C276=fChannel,AND(fChannel="Content",OR($C276="Blog",$C276="Case Study",$C276="Whitepaper")),AND(fChannel="Webinar / Events",$C276="Webinar")),OR(fMonth="All",$V276=fMonth)),1,0))</f>
        <v>0</v>
      </c>
      <c r="X276" s="71">
        <f>IF($D276="",0,IF(AND(OR(fClient="All",$B276=fClient),fCampaign="All",OR(fTeam="All",$E276=fTeam),OR(fChannel="All",$C276=fChannel,AND(fChannel="Content",OR($C276="Blog",$C276="Case Study",$C276="Whitepaper")),AND(fChannel="Webinar / Events",$C276="Webinar"))),1,0))</f>
        <v>0</v>
      </c>
    </row>
    <row r="277">
      <c r="A277" s="63" t="n"/>
      <c r="B277" s="64" t="n"/>
      <c r="C277" s="64" t="n"/>
      <c r="D277" s="65" t="n"/>
      <c r="E277" s="64" t="n"/>
      <c r="F277" s="64" t="n"/>
      <c r="G277" s="64" t="n"/>
      <c r="H277" s="63" t="n"/>
      <c r="I277" s="63" t="n"/>
      <c r="J277" s="63" t="n"/>
      <c r="K277" s="67" t="n"/>
      <c r="L277" s="67" t="n"/>
      <c r="M277" s="67" t="n"/>
      <c r="N277" s="65" t="n"/>
      <c r="O277" s="64" t="n"/>
      <c r="P277" s="67" t="n"/>
      <c r="Q277" s="65" t="n"/>
      <c r="R277" s="65" t="n"/>
      <c r="S277" s="65" t="n"/>
      <c r="T277" s="71">
        <f>IF($D277="",0,IF(OR($G277="Published",$G277="Completed",$G277="Cancelled"),0,1))</f>
        <v>0</v>
      </c>
      <c r="U277" s="69" t="str">
        <f>IF($D277="","",IF(AND($T277=1,ISNUMBER($I277)),IF($I277&lt;ReportDate,ReportDate-$I277,0),0))</f>
        <v/>
      </c>
      <c r="V277" s="71" t="str">
        <f>IF($D277="","",IF(ISNUMBER($A277),IF(ISNUMBER($A277),YEAR($A277)&amp;"-"&amp;TEXT(MONTH($A277),"00"),""),IF(ISNUMBER($I277),IF(ISNUMBER($I277),YEAR($I277)&amp;"-"&amp;TEXT(MONTH($I277),"00"),""),IF(ISNUMBER($H277),IF(ISNUMBER($H277),YEAR($H277)&amp;"-"&amp;TEXT(MONTH($H277),"00"),""),""))))</f>
        <v/>
      </c>
      <c r="W277" s="71">
        <f>IF($D277="",0,IF(AND(OR(fClient="All",$B277=fClient),fCampaign="All",OR(fTeam="All",$E277=fTeam),OR(fChannel="All",$C277=fChannel,AND(fChannel="Content",OR($C277="Blog",$C277="Case Study",$C277="Whitepaper")),AND(fChannel="Webinar / Events",$C277="Webinar")),OR(fMonth="All",$V277=fMonth)),1,0))</f>
        <v>0</v>
      </c>
      <c r="X277" s="71">
        <f>IF($D277="",0,IF(AND(OR(fClient="All",$B277=fClient),fCampaign="All",OR(fTeam="All",$E277=fTeam),OR(fChannel="All",$C277=fChannel,AND(fChannel="Content",OR($C277="Blog",$C277="Case Study",$C277="Whitepaper")),AND(fChannel="Webinar / Events",$C277="Webinar"))),1,0))</f>
        <v>0</v>
      </c>
    </row>
    <row r="278">
      <c r="A278" s="63" t="n"/>
      <c r="B278" s="64" t="n"/>
      <c r="C278" s="64" t="n"/>
      <c r="D278" s="65" t="n"/>
      <c r="E278" s="64" t="n"/>
      <c r="F278" s="64" t="n"/>
      <c r="G278" s="64" t="n"/>
      <c r="H278" s="63" t="n"/>
      <c r="I278" s="63" t="n"/>
      <c r="J278" s="63" t="n"/>
      <c r="K278" s="67" t="n"/>
      <c r="L278" s="67" t="n"/>
      <c r="M278" s="67" t="n"/>
      <c r="N278" s="65" t="n"/>
      <c r="O278" s="64" t="n"/>
      <c r="P278" s="67" t="n"/>
      <c r="Q278" s="65" t="n"/>
      <c r="R278" s="65" t="n"/>
      <c r="S278" s="65" t="n"/>
      <c r="T278" s="71">
        <f>IF($D278="",0,IF(OR($G278="Published",$G278="Completed",$G278="Cancelled"),0,1))</f>
        <v>0</v>
      </c>
      <c r="U278" s="69" t="str">
        <f>IF($D278="","",IF(AND($T278=1,ISNUMBER($I278)),IF($I278&lt;ReportDate,ReportDate-$I278,0),0))</f>
        <v/>
      </c>
      <c r="V278" s="71" t="str">
        <f>IF($D278="","",IF(ISNUMBER($A278),IF(ISNUMBER($A278),YEAR($A278)&amp;"-"&amp;TEXT(MONTH($A278),"00"),""),IF(ISNUMBER($I278),IF(ISNUMBER($I278),YEAR($I278)&amp;"-"&amp;TEXT(MONTH($I278),"00"),""),IF(ISNUMBER($H278),IF(ISNUMBER($H278),YEAR($H278)&amp;"-"&amp;TEXT(MONTH($H278),"00"),""),""))))</f>
        <v/>
      </c>
      <c r="W278" s="71">
        <f>IF($D278="",0,IF(AND(OR(fClient="All",$B278=fClient),fCampaign="All",OR(fTeam="All",$E278=fTeam),OR(fChannel="All",$C278=fChannel,AND(fChannel="Content",OR($C278="Blog",$C278="Case Study",$C278="Whitepaper")),AND(fChannel="Webinar / Events",$C278="Webinar")),OR(fMonth="All",$V278=fMonth)),1,0))</f>
        <v>0</v>
      </c>
      <c r="X278" s="71">
        <f>IF($D278="",0,IF(AND(OR(fClient="All",$B278=fClient),fCampaign="All",OR(fTeam="All",$E278=fTeam),OR(fChannel="All",$C278=fChannel,AND(fChannel="Content",OR($C278="Blog",$C278="Case Study",$C278="Whitepaper")),AND(fChannel="Webinar / Events",$C278="Webinar"))),1,0))</f>
        <v>0</v>
      </c>
    </row>
    <row r="279">
      <c r="A279" s="63" t="n"/>
      <c r="B279" s="64" t="n"/>
      <c r="C279" s="64" t="n"/>
      <c r="D279" s="65" t="n"/>
      <c r="E279" s="64" t="n"/>
      <c r="F279" s="64" t="n"/>
      <c r="G279" s="64" t="n"/>
      <c r="H279" s="63" t="n"/>
      <c r="I279" s="63" t="n"/>
      <c r="J279" s="63" t="n"/>
      <c r="K279" s="67" t="n"/>
      <c r="L279" s="67" t="n"/>
      <c r="M279" s="67" t="n"/>
      <c r="N279" s="65" t="n"/>
      <c r="O279" s="64" t="n"/>
      <c r="P279" s="67" t="n"/>
      <c r="Q279" s="65" t="n"/>
      <c r="R279" s="65" t="n"/>
      <c r="S279" s="65" t="n"/>
      <c r="T279" s="71">
        <f>IF($D279="",0,IF(OR($G279="Published",$G279="Completed",$G279="Cancelled"),0,1))</f>
        <v>0</v>
      </c>
      <c r="U279" s="69" t="str">
        <f>IF($D279="","",IF(AND($T279=1,ISNUMBER($I279)),IF($I279&lt;ReportDate,ReportDate-$I279,0),0))</f>
        <v/>
      </c>
      <c r="V279" s="71" t="str">
        <f>IF($D279="","",IF(ISNUMBER($A279),IF(ISNUMBER($A279),YEAR($A279)&amp;"-"&amp;TEXT(MONTH($A279),"00"),""),IF(ISNUMBER($I279),IF(ISNUMBER($I279),YEAR($I279)&amp;"-"&amp;TEXT(MONTH($I279),"00"),""),IF(ISNUMBER($H279),IF(ISNUMBER($H279),YEAR($H279)&amp;"-"&amp;TEXT(MONTH($H279),"00"),""),""))))</f>
        <v/>
      </c>
      <c r="W279" s="71">
        <f>IF($D279="",0,IF(AND(OR(fClient="All",$B279=fClient),fCampaign="All",OR(fTeam="All",$E279=fTeam),OR(fChannel="All",$C279=fChannel,AND(fChannel="Content",OR($C279="Blog",$C279="Case Study",$C279="Whitepaper")),AND(fChannel="Webinar / Events",$C279="Webinar")),OR(fMonth="All",$V279=fMonth)),1,0))</f>
        <v>0</v>
      </c>
      <c r="X279" s="71">
        <f>IF($D279="",0,IF(AND(OR(fClient="All",$B279=fClient),fCampaign="All",OR(fTeam="All",$E279=fTeam),OR(fChannel="All",$C279=fChannel,AND(fChannel="Content",OR($C279="Blog",$C279="Case Study",$C279="Whitepaper")),AND(fChannel="Webinar / Events",$C279="Webinar"))),1,0))</f>
        <v>0</v>
      </c>
    </row>
    <row r="280">
      <c r="A280" s="63" t="n"/>
      <c r="B280" s="64" t="n"/>
      <c r="C280" s="64" t="n"/>
      <c r="D280" s="65" t="n"/>
      <c r="E280" s="64" t="n"/>
      <c r="F280" s="64" t="n"/>
      <c r="G280" s="64" t="n"/>
      <c r="H280" s="63" t="n"/>
      <c r="I280" s="63" t="n"/>
      <c r="J280" s="63" t="n"/>
      <c r="K280" s="67" t="n"/>
      <c r="L280" s="67" t="n"/>
      <c r="M280" s="67" t="n"/>
      <c r="N280" s="65" t="n"/>
      <c r="O280" s="64" t="n"/>
      <c r="P280" s="67" t="n"/>
      <c r="Q280" s="65" t="n"/>
      <c r="R280" s="65" t="n"/>
      <c r="S280" s="65" t="n"/>
      <c r="T280" s="71">
        <f>IF($D280="",0,IF(OR($G280="Published",$G280="Completed",$G280="Cancelled"),0,1))</f>
        <v>0</v>
      </c>
      <c r="U280" s="69" t="str">
        <f>IF($D280="","",IF(AND($T280=1,ISNUMBER($I280)),IF($I280&lt;ReportDate,ReportDate-$I280,0),0))</f>
        <v/>
      </c>
      <c r="V280" s="71" t="str">
        <f>IF($D280="","",IF(ISNUMBER($A280),IF(ISNUMBER($A280),YEAR($A280)&amp;"-"&amp;TEXT(MONTH($A280),"00"),""),IF(ISNUMBER($I280),IF(ISNUMBER($I280),YEAR($I280)&amp;"-"&amp;TEXT(MONTH($I280),"00"),""),IF(ISNUMBER($H280),IF(ISNUMBER($H280),YEAR($H280)&amp;"-"&amp;TEXT(MONTH($H280),"00"),""),""))))</f>
        <v/>
      </c>
      <c r="W280" s="71">
        <f>IF($D280="",0,IF(AND(OR(fClient="All",$B280=fClient),fCampaign="All",OR(fTeam="All",$E280=fTeam),OR(fChannel="All",$C280=fChannel,AND(fChannel="Content",OR($C280="Blog",$C280="Case Study",$C280="Whitepaper")),AND(fChannel="Webinar / Events",$C280="Webinar")),OR(fMonth="All",$V280=fMonth)),1,0))</f>
        <v>0</v>
      </c>
      <c r="X280" s="71">
        <f>IF($D280="",0,IF(AND(OR(fClient="All",$B280=fClient),fCampaign="All",OR(fTeam="All",$E280=fTeam),OR(fChannel="All",$C280=fChannel,AND(fChannel="Content",OR($C280="Blog",$C280="Case Study",$C280="Whitepaper")),AND(fChannel="Webinar / Events",$C280="Webinar"))),1,0))</f>
        <v>0</v>
      </c>
    </row>
    <row r="281">
      <c r="A281" s="63" t="n"/>
      <c r="B281" s="64" t="n"/>
      <c r="C281" s="64" t="n"/>
      <c r="D281" s="65" t="n"/>
      <c r="E281" s="64" t="n"/>
      <c r="F281" s="64" t="n"/>
      <c r="G281" s="64" t="n"/>
      <c r="H281" s="63" t="n"/>
      <c r="I281" s="63" t="n"/>
      <c r="J281" s="63" t="n"/>
      <c r="K281" s="67" t="n"/>
      <c r="L281" s="67" t="n"/>
      <c r="M281" s="67" t="n"/>
      <c r="N281" s="65" t="n"/>
      <c r="O281" s="64" t="n"/>
      <c r="P281" s="67" t="n"/>
      <c r="Q281" s="65" t="n"/>
      <c r="R281" s="65" t="n"/>
      <c r="S281" s="65" t="n"/>
      <c r="T281" s="71">
        <f>IF($D281="",0,IF(OR($G281="Published",$G281="Completed",$G281="Cancelled"),0,1))</f>
        <v>0</v>
      </c>
      <c r="U281" s="69" t="str">
        <f>IF($D281="","",IF(AND($T281=1,ISNUMBER($I281)),IF($I281&lt;ReportDate,ReportDate-$I281,0),0))</f>
        <v/>
      </c>
      <c r="V281" s="71" t="str">
        <f>IF($D281="","",IF(ISNUMBER($A281),IF(ISNUMBER($A281),YEAR($A281)&amp;"-"&amp;TEXT(MONTH($A281),"00"),""),IF(ISNUMBER($I281),IF(ISNUMBER($I281),YEAR($I281)&amp;"-"&amp;TEXT(MONTH($I281),"00"),""),IF(ISNUMBER($H281),IF(ISNUMBER($H281),YEAR($H281)&amp;"-"&amp;TEXT(MONTH($H281),"00"),""),""))))</f>
        <v/>
      </c>
      <c r="W281" s="71">
        <f>IF($D281="",0,IF(AND(OR(fClient="All",$B281=fClient),fCampaign="All",OR(fTeam="All",$E281=fTeam),OR(fChannel="All",$C281=fChannel,AND(fChannel="Content",OR($C281="Blog",$C281="Case Study",$C281="Whitepaper")),AND(fChannel="Webinar / Events",$C281="Webinar")),OR(fMonth="All",$V281=fMonth)),1,0))</f>
        <v>0</v>
      </c>
      <c r="X281" s="71">
        <f>IF($D281="",0,IF(AND(OR(fClient="All",$B281=fClient),fCampaign="All",OR(fTeam="All",$E281=fTeam),OR(fChannel="All",$C281=fChannel,AND(fChannel="Content",OR($C281="Blog",$C281="Case Study",$C281="Whitepaper")),AND(fChannel="Webinar / Events",$C281="Webinar"))),1,0))</f>
        <v>0</v>
      </c>
    </row>
    <row r="282">
      <c r="A282" s="63" t="n"/>
      <c r="B282" s="64" t="n"/>
      <c r="C282" s="64" t="n"/>
      <c r="D282" s="65" t="n"/>
      <c r="E282" s="64" t="n"/>
      <c r="F282" s="64" t="n"/>
      <c r="G282" s="64" t="n"/>
      <c r="H282" s="63" t="n"/>
      <c r="I282" s="63" t="n"/>
      <c r="J282" s="63" t="n"/>
      <c r="K282" s="67" t="n"/>
      <c r="L282" s="67" t="n"/>
      <c r="M282" s="67" t="n"/>
      <c r="N282" s="65" t="n"/>
      <c r="O282" s="64" t="n"/>
      <c r="P282" s="67" t="n"/>
      <c r="Q282" s="65" t="n"/>
      <c r="R282" s="65" t="n"/>
      <c r="S282" s="65" t="n"/>
      <c r="T282" s="71">
        <f>IF($D282="",0,IF(OR($G282="Published",$G282="Completed",$G282="Cancelled"),0,1))</f>
        <v>0</v>
      </c>
      <c r="U282" s="69" t="str">
        <f>IF($D282="","",IF(AND($T282=1,ISNUMBER($I282)),IF($I282&lt;ReportDate,ReportDate-$I282,0),0))</f>
        <v/>
      </c>
      <c r="V282" s="71" t="str">
        <f>IF($D282="","",IF(ISNUMBER($A282),IF(ISNUMBER($A282),YEAR($A282)&amp;"-"&amp;TEXT(MONTH($A282),"00"),""),IF(ISNUMBER($I282),IF(ISNUMBER($I282),YEAR($I282)&amp;"-"&amp;TEXT(MONTH($I282),"00"),""),IF(ISNUMBER($H282),IF(ISNUMBER($H282),YEAR($H282)&amp;"-"&amp;TEXT(MONTH($H282),"00"),""),""))))</f>
        <v/>
      </c>
      <c r="W282" s="71">
        <f>IF($D282="",0,IF(AND(OR(fClient="All",$B282=fClient),fCampaign="All",OR(fTeam="All",$E282=fTeam),OR(fChannel="All",$C282=fChannel,AND(fChannel="Content",OR($C282="Blog",$C282="Case Study",$C282="Whitepaper")),AND(fChannel="Webinar / Events",$C282="Webinar")),OR(fMonth="All",$V282=fMonth)),1,0))</f>
        <v>0</v>
      </c>
      <c r="X282" s="71">
        <f>IF($D282="",0,IF(AND(OR(fClient="All",$B282=fClient),fCampaign="All",OR(fTeam="All",$E282=fTeam),OR(fChannel="All",$C282=fChannel,AND(fChannel="Content",OR($C282="Blog",$C282="Case Study",$C282="Whitepaper")),AND(fChannel="Webinar / Events",$C282="Webinar"))),1,0))</f>
        <v>0</v>
      </c>
    </row>
    <row r="283">
      <c r="A283" s="63" t="n"/>
      <c r="B283" s="64" t="n"/>
      <c r="C283" s="64" t="n"/>
      <c r="D283" s="65" t="n"/>
      <c r="E283" s="64" t="n"/>
      <c r="F283" s="64" t="n"/>
      <c r="G283" s="64" t="n"/>
      <c r="H283" s="63" t="n"/>
      <c r="I283" s="63" t="n"/>
      <c r="J283" s="63" t="n"/>
      <c r="K283" s="67" t="n"/>
      <c r="L283" s="67" t="n"/>
      <c r="M283" s="67" t="n"/>
      <c r="N283" s="65" t="n"/>
      <c r="O283" s="64" t="n"/>
      <c r="P283" s="67" t="n"/>
      <c r="Q283" s="65" t="n"/>
      <c r="R283" s="65" t="n"/>
      <c r="S283" s="65" t="n"/>
      <c r="T283" s="71">
        <f>IF($D283="",0,IF(OR($G283="Published",$G283="Completed",$G283="Cancelled"),0,1))</f>
        <v>0</v>
      </c>
      <c r="U283" s="69" t="str">
        <f>IF($D283="","",IF(AND($T283=1,ISNUMBER($I283)),IF($I283&lt;ReportDate,ReportDate-$I283,0),0))</f>
        <v/>
      </c>
      <c r="V283" s="71" t="str">
        <f>IF($D283="","",IF(ISNUMBER($A283),IF(ISNUMBER($A283),YEAR($A283)&amp;"-"&amp;TEXT(MONTH($A283),"00"),""),IF(ISNUMBER($I283),IF(ISNUMBER($I283),YEAR($I283)&amp;"-"&amp;TEXT(MONTH($I283),"00"),""),IF(ISNUMBER($H283),IF(ISNUMBER($H283),YEAR($H283)&amp;"-"&amp;TEXT(MONTH($H283),"00"),""),""))))</f>
        <v/>
      </c>
      <c r="W283" s="71">
        <f>IF($D283="",0,IF(AND(OR(fClient="All",$B283=fClient),fCampaign="All",OR(fTeam="All",$E283=fTeam),OR(fChannel="All",$C283=fChannel,AND(fChannel="Content",OR($C283="Blog",$C283="Case Study",$C283="Whitepaper")),AND(fChannel="Webinar / Events",$C283="Webinar")),OR(fMonth="All",$V283=fMonth)),1,0))</f>
        <v>0</v>
      </c>
      <c r="X283" s="71">
        <f>IF($D283="",0,IF(AND(OR(fClient="All",$B283=fClient),fCampaign="All",OR(fTeam="All",$E283=fTeam),OR(fChannel="All",$C283=fChannel,AND(fChannel="Content",OR($C283="Blog",$C283="Case Study",$C283="Whitepaper")),AND(fChannel="Webinar / Events",$C283="Webinar"))),1,0))</f>
        <v>0</v>
      </c>
    </row>
    <row r="284">
      <c r="A284" s="63" t="n"/>
      <c r="B284" s="64" t="n"/>
      <c r="C284" s="64" t="n"/>
      <c r="D284" s="65" t="n"/>
      <c r="E284" s="64" t="n"/>
      <c r="F284" s="64" t="n"/>
      <c r="G284" s="64" t="n"/>
      <c r="H284" s="63" t="n"/>
      <c r="I284" s="63" t="n"/>
      <c r="J284" s="63" t="n"/>
      <c r="K284" s="67" t="n"/>
      <c r="L284" s="67" t="n"/>
      <c r="M284" s="67" t="n"/>
      <c r="N284" s="65" t="n"/>
      <c r="O284" s="64" t="n"/>
      <c r="P284" s="67" t="n"/>
      <c r="Q284" s="65" t="n"/>
      <c r="R284" s="65" t="n"/>
      <c r="S284" s="65" t="n"/>
      <c r="T284" s="71">
        <f>IF($D284="",0,IF(OR($G284="Published",$G284="Completed",$G284="Cancelled"),0,1))</f>
        <v>0</v>
      </c>
      <c r="U284" s="69" t="str">
        <f>IF($D284="","",IF(AND($T284=1,ISNUMBER($I284)),IF($I284&lt;ReportDate,ReportDate-$I284,0),0))</f>
        <v/>
      </c>
      <c r="V284" s="71" t="str">
        <f>IF($D284="","",IF(ISNUMBER($A284),IF(ISNUMBER($A284),YEAR($A284)&amp;"-"&amp;TEXT(MONTH($A284),"00"),""),IF(ISNUMBER($I284),IF(ISNUMBER($I284),YEAR($I284)&amp;"-"&amp;TEXT(MONTH($I284),"00"),""),IF(ISNUMBER($H284),IF(ISNUMBER($H284),YEAR($H284)&amp;"-"&amp;TEXT(MONTH($H284),"00"),""),""))))</f>
        <v/>
      </c>
      <c r="W284" s="71">
        <f>IF($D284="",0,IF(AND(OR(fClient="All",$B284=fClient),fCampaign="All",OR(fTeam="All",$E284=fTeam),OR(fChannel="All",$C284=fChannel,AND(fChannel="Content",OR($C284="Blog",$C284="Case Study",$C284="Whitepaper")),AND(fChannel="Webinar / Events",$C284="Webinar")),OR(fMonth="All",$V284=fMonth)),1,0))</f>
        <v>0</v>
      </c>
      <c r="X284" s="71">
        <f>IF($D284="",0,IF(AND(OR(fClient="All",$B284=fClient),fCampaign="All",OR(fTeam="All",$E284=fTeam),OR(fChannel="All",$C284=fChannel,AND(fChannel="Content",OR($C284="Blog",$C284="Case Study",$C284="Whitepaper")),AND(fChannel="Webinar / Events",$C284="Webinar"))),1,0))</f>
        <v>0</v>
      </c>
    </row>
    <row r="285">
      <c r="A285" s="63" t="n"/>
      <c r="B285" s="64" t="n"/>
      <c r="C285" s="64" t="n"/>
      <c r="D285" s="65" t="n"/>
      <c r="E285" s="64" t="n"/>
      <c r="F285" s="64" t="n"/>
      <c r="G285" s="64" t="n"/>
      <c r="H285" s="63" t="n"/>
      <c r="I285" s="63" t="n"/>
      <c r="J285" s="63" t="n"/>
      <c r="K285" s="67" t="n"/>
      <c r="L285" s="67" t="n"/>
      <c r="M285" s="67" t="n"/>
      <c r="N285" s="65" t="n"/>
      <c r="O285" s="64" t="n"/>
      <c r="P285" s="67" t="n"/>
      <c r="Q285" s="65" t="n"/>
      <c r="R285" s="65" t="n"/>
      <c r="S285" s="65" t="n"/>
      <c r="T285" s="71">
        <f>IF($D285="",0,IF(OR($G285="Published",$G285="Completed",$G285="Cancelled"),0,1))</f>
        <v>0</v>
      </c>
      <c r="U285" s="69" t="str">
        <f>IF($D285="","",IF(AND($T285=1,ISNUMBER($I285)),IF($I285&lt;ReportDate,ReportDate-$I285,0),0))</f>
        <v/>
      </c>
      <c r="V285" s="71" t="str">
        <f>IF($D285="","",IF(ISNUMBER($A285),IF(ISNUMBER($A285),YEAR($A285)&amp;"-"&amp;TEXT(MONTH($A285),"00"),""),IF(ISNUMBER($I285),IF(ISNUMBER($I285),YEAR($I285)&amp;"-"&amp;TEXT(MONTH($I285),"00"),""),IF(ISNUMBER($H285),IF(ISNUMBER($H285),YEAR($H285)&amp;"-"&amp;TEXT(MONTH($H285),"00"),""),""))))</f>
        <v/>
      </c>
      <c r="W285" s="71">
        <f>IF($D285="",0,IF(AND(OR(fClient="All",$B285=fClient),fCampaign="All",OR(fTeam="All",$E285=fTeam),OR(fChannel="All",$C285=fChannel,AND(fChannel="Content",OR($C285="Blog",$C285="Case Study",$C285="Whitepaper")),AND(fChannel="Webinar / Events",$C285="Webinar")),OR(fMonth="All",$V285=fMonth)),1,0))</f>
        <v>0</v>
      </c>
      <c r="X285" s="71">
        <f>IF($D285="",0,IF(AND(OR(fClient="All",$B285=fClient),fCampaign="All",OR(fTeam="All",$E285=fTeam),OR(fChannel="All",$C285=fChannel,AND(fChannel="Content",OR($C285="Blog",$C285="Case Study",$C285="Whitepaper")),AND(fChannel="Webinar / Events",$C285="Webinar"))),1,0))</f>
        <v>0</v>
      </c>
    </row>
    <row r="286">
      <c r="A286" s="63" t="n"/>
      <c r="B286" s="64" t="n"/>
      <c r="C286" s="64" t="n"/>
      <c r="D286" s="65" t="n"/>
      <c r="E286" s="64" t="n"/>
      <c r="F286" s="64" t="n"/>
      <c r="G286" s="64" t="n"/>
      <c r="H286" s="63" t="n"/>
      <c r="I286" s="63" t="n"/>
      <c r="J286" s="63" t="n"/>
      <c r="K286" s="67" t="n"/>
      <c r="L286" s="67" t="n"/>
      <c r="M286" s="67" t="n"/>
      <c r="N286" s="65" t="n"/>
      <c r="O286" s="64" t="n"/>
      <c r="P286" s="67" t="n"/>
      <c r="Q286" s="65" t="n"/>
      <c r="R286" s="65" t="n"/>
      <c r="S286" s="65" t="n"/>
      <c r="T286" s="71">
        <f>IF($D286="",0,IF(OR($G286="Published",$G286="Completed",$G286="Cancelled"),0,1))</f>
        <v>0</v>
      </c>
      <c r="U286" s="69" t="str">
        <f>IF($D286="","",IF(AND($T286=1,ISNUMBER($I286)),IF($I286&lt;ReportDate,ReportDate-$I286,0),0))</f>
        <v/>
      </c>
      <c r="V286" s="71" t="str">
        <f>IF($D286="","",IF(ISNUMBER($A286),IF(ISNUMBER($A286),YEAR($A286)&amp;"-"&amp;TEXT(MONTH($A286),"00"),""),IF(ISNUMBER($I286),IF(ISNUMBER($I286),YEAR($I286)&amp;"-"&amp;TEXT(MONTH($I286),"00"),""),IF(ISNUMBER($H286),IF(ISNUMBER($H286),YEAR($H286)&amp;"-"&amp;TEXT(MONTH($H286),"00"),""),""))))</f>
        <v/>
      </c>
      <c r="W286" s="71">
        <f>IF($D286="",0,IF(AND(OR(fClient="All",$B286=fClient),fCampaign="All",OR(fTeam="All",$E286=fTeam),OR(fChannel="All",$C286=fChannel,AND(fChannel="Content",OR($C286="Blog",$C286="Case Study",$C286="Whitepaper")),AND(fChannel="Webinar / Events",$C286="Webinar")),OR(fMonth="All",$V286=fMonth)),1,0))</f>
        <v>0</v>
      </c>
      <c r="X286" s="71">
        <f>IF($D286="",0,IF(AND(OR(fClient="All",$B286=fClient),fCampaign="All",OR(fTeam="All",$E286=fTeam),OR(fChannel="All",$C286=fChannel,AND(fChannel="Content",OR($C286="Blog",$C286="Case Study",$C286="Whitepaper")),AND(fChannel="Webinar / Events",$C286="Webinar"))),1,0))</f>
        <v>0</v>
      </c>
    </row>
    <row r="287">
      <c r="A287" s="63" t="n"/>
      <c r="B287" s="64" t="n"/>
      <c r="C287" s="64" t="n"/>
      <c r="D287" s="65" t="n"/>
      <c r="E287" s="64" t="n"/>
      <c r="F287" s="64" t="n"/>
      <c r="G287" s="64" t="n"/>
      <c r="H287" s="63" t="n"/>
      <c r="I287" s="63" t="n"/>
      <c r="J287" s="63" t="n"/>
      <c r="K287" s="67" t="n"/>
      <c r="L287" s="67" t="n"/>
      <c r="M287" s="67" t="n"/>
      <c r="N287" s="65" t="n"/>
      <c r="O287" s="64" t="n"/>
      <c r="P287" s="67" t="n"/>
      <c r="Q287" s="65" t="n"/>
      <c r="R287" s="65" t="n"/>
      <c r="S287" s="65" t="n"/>
      <c r="T287" s="71">
        <f>IF($D287="",0,IF(OR($G287="Published",$G287="Completed",$G287="Cancelled"),0,1))</f>
        <v>0</v>
      </c>
      <c r="U287" s="69" t="str">
        <f>IF($D287="","",IF(AND($T287=1,ISNUMBER($I287)),IF($I287&lt;ReportDate,ReportDate-$I287,0),0))</f>
        <v/>
      </c>
      <c r="V287" s="71" t="str">
        <f>IF($D287="","",IF(ISNUMBER($A287),IF(ISNUMBER($A287),YEAR($A287)&amp;"-"&amp;TEXT(MONTH($A287),"00"),""),IF(ISNUMBER($I287),IF(ISNUMBER($I287),YEAR($I287)&amp;"-"&amp;TEXT(MONTH($I287),"00"),""),IF(ISNUMBER($H287),IF(ISNUMBER($H287),YEAR($H287)&amp;"-"&amp;TEXT(MONTH($H287),"00"),""),""))))</f>
        <v/>
      </c>
      <c r="W287" s="71">
        <f>IF($D287="",0,IF(AND(OR(fClient="All",$B287=fClient),fCampaign="All",OR(fTeam="All",$E287=fTeam),OR(fChannel="All",$C287=fChannel,AND(fChannel="Content",OR($C287="Blog",$C287="Case Study",$C287="Whitepaper")),AND(fChannel="Webinar / Events",$C287="Webinar")),OR(fMonth="All",$V287=fMonth)),1,0))</f>
        <v>0</v>
      </c>
      <c r="X287" s="71">
        <f>IF($D287="",0,IF(AND(OR(fClient="All",$B287=fClient),fCampaign="All",OR(fTeam="All",$E287=fTeam),OR(fChannel="All",$C287=fChannel,AND(fChannel="Content",OR($C287="Blog",$C287="Case Study",$C287="Whitepaper")),AND(fChannel="Webinar / Events",$C287="Webinar"))),1,0))</f>
        <v>0</v>
      </c>
    </row>
    <row r="288">
      <c r="A288" s="63" t="n"/>
      <c r="B288" s="64" t="n"/>
      <c r="C288" s="64" t="n"/>
      <c r="D288" s="65" t="n"/>
      <c r="E288" s="64" t="n"/>
      <c r="F288" s="64" t="n"/>
      <c r="G288" s="64" t="n"/>
      <c r="H288" s="63" t="n"/>
      <c r="I288" s="63" t="n"/>
      <c r="J288" s="63" t="n"/>
      <c r="K288" s="67" t="n"/>
      <c r="L288" s="67" t="n"/>
      <c r="M288" s="67" t="n"/>
      <c r="N288" s="65" t="n"/>
      <c r="O288" s="64" t="n"/>
      <c r="P288" s="67" t="n"/>
      <c r="Q288" s="65" t="n"/>
      <c r="R288" s="65" t="n"/>
      <c r="S288" s="65" t="n"/>
      <c r="T288" s="71">
        <f>IF($D288="",0,IF(OR($G288="Published",$G288="Completed",$G288="Cancelled"),0,1))</f>
        <v>0</v>
      </c>
      <c r="U288" s="69" t="str">
        <f>IF($D288="","",IF(AND($T288=1,ISNUMBER($I288)),IF($I288&lt;ReportDate,ReportDate-$I288,0),0))</f>
        <v/>
      </c>
      <c r="V288" s="71" t="str">
        <f>IF($D288="","",IF(ISNUMBER($A288),IF(ISNUMBER($A288),YEAR($A288)&amp;"-"&amp;TEXT(MONTH($A288),"00"),""),IF(ISNUMBER($I288),IF(ISNUMBER($I288),YEAR($I288)&amp;"-"&amp;TEXT(MONTH($I288),"00"),""),IF(ISNUMBER($H288),IF(ISNUMBER($H288),YEAR($H288)&amp;"-"&amp;TEXT(MONTH($H288),"00"),""),""))))</f>
        <v/>
      </c>
      <c r="W288" s="71">
        <f>IF($D288="",0,IF(AND(OR(fClient="All",$B288=fClient),fCampaign="All",OR(fTeam="All",$E288=fTeam),OR(fChannel="All",$C288=fChannel,AND(fChannel="Content",OR($C288="Blog",$C288="Case Study",$C288="Whitepaper")),AND(fChannel="Webinar / Events",$C288="Webinar")),OR(fMonth="All",$V288=fMonth)),1,0))</f>
        <v>0</v>
      </c>
      <c r="X288" s="71">
        <f>IF($D288="",0,IF(AND(OR(fClient="All",$B288=fClient),fCampaign="All",OR(fTeam="All",$E288=fTeam),OR(fChannel="All",$C288=fChannel,AND(fChannel="Content",OR($C288="Blog",$C288="Case Study",$C288="Whitepaper")),AND(fChannel="Webinar / Events",$C288="Webinar"))),1,0))</f>
        <v>0</v>
      </c>
    </row>
    <row r="289">
      <c r="A289" s="63" t="n"/>
      <c r="B289" s="64" t="n"/>
      <c r="C289" s="64" t="n"/>
      <c r="D289" s="65" t="n"/>
      <c r="E289" s="64" t="n"/>
      <c r="F289" s="64" t="n"/>
      <c r="G289" s="64" t="n"/>
      <c r="H289" s="63" t="n"/>
      <c r="I289" s="63" t="n"/>
      <c r="J289" s="63" t="n"/>
      <c r="K289" s="67" t="n"/>
      <c r="L289" s="67" t="n"/>
      <c r="M289" s="67" t="n"/>
      <c r="N289" s="65" t="n"/>
      <c r="O289" s="64" t="n"/>
      <c r="P289" s="67" t="n"/>
      <c r="Q289" s="65" t="n"/>
      <c r="R289" s="65" t="n"/>
      <c r="S289" s="65" t="n"/>
      <c r="T289" s="71">
        <f>IF($D289="",0,IF(OR($G289="Published",$G289="Completed",$G289="Cancelled"),0,1))</f>
        <v>0</v>
      </c>
      <c r="U289" s="69" t="str">
        <f>IF($D289="","",IF(AND($T289=1,ISNUMBER($I289)),IF($I289&lt;ReportDate,ReportDate-$I289,0),0))</f>
        <v/>
      </c>
      <c r="V289" s="71" t="str">
        <f>IF($D289="","",IF(ISNUMBER($A289),IF(ISNUMBER($A289),YEAR($A289)&amp;"-"&amp;TEXT(MONTH($A289),"00"),""),IF(ISNUMBER($I289),IF(ISNUMBER($I289),YEAR($I289)&amp;"-"&amp;TEXT(MONTH($I289),"00"),""),IF(ISNUMBER($H289),IF(ISNUMBER($H289),YEAR($H289)&amp;"-"&amp;TEXT(MONTH($H289),"00"),""),""))))</f>
        <v/>
      </c>
      <c r="W289" s="71">
        <f>IF($D289="",0,IF(AND(OR(fClient="All",$B289=fClient),fCampaign="All",OR(fTeam="All",$E289=fTeam),OR(fChannel="All",$C289=fChannel,AND(fChannel="Content",OR($C289="Blog",$C289="Case Study",$C289="Whitepaper")),AND(fChannel="Webinar / Events",$C289="Webinar")),OR(fMonth="All",$V289=fMonth)),1,0))</f>
        <v>0</v>
      </c>
      <c r="X289" s="71">
        <f>IF($D289="",0,IF(AND(OR(fClient="All",$B289=fClient),fCampaign="All",OR(fTeam="All",$E289=fTeam),OR(fChannel="All",$C289=fChannel,AND(fChannel="Content",OR($C289="Blog",$C289="Case Study",$C289="Whitepaper")),AND(fChannel="Webinar / Events",$C289="Webinar"))),1,0))</f>
        <v>0</v>
      </c>
    </row>
    <row r="290">
      <c r="A290" s="63" t="n"/>
      <c r="B290" s="64" t="n"/>
      <c r="C290" s="64" t="n"/>
      <c r="D290" s="65" t="n"/>
      <c r="E290" s="64" t="n"/>
      <c r="F290" s="64" t="n"/>
      <c r="G290" s="64" t="n"/>
      <c r="H290" s="63" t="n"/>
      <c r="I290" s="63" t="n"/>
      <c r="J290" s="63" t="n"/>
      <c r="K290" s="67" t="n"/>
      <c r="L290" s="67" t="n"/>
      <c r="M290" s="67" t="n"/>
      <c r="N290" s="65" t="n"/>
      <c r="O290" s="64" t="n"/>
      <c r="P290" s="67" t="n"/>
      <c r="Q290" s="65" t="n"/>
      <c r="R290" s="65" t="n"/>
      <c r="S290" s="65" t="n"/>
      <c r="T290" s="71">
        <f>IF($D290="",0,IF(OR($G290="Published",$G290="Completed",$G290="Cancelled"),0,1))</f>
        <v>0</v>
      </c>
      <c r="U290" s="69" t="str">
        <f>IF($D290="","",IF(AND($T290=1,ISNUMBER($I290)),IF($I290&lt;ReportDate,ReportDate-$I290,0),0))</f>
        <v/>
      </c>
      <c r="V290" s="71" t="str">
        <f>IF($D290="","",IF(ISNUMBER($A290),IF(ISNUMBER($A290),YEAR($A290)&amp;"-"&amp;TEXT(MONTH($A290),"00"),""),IF(ISNUMBER($I290),IF(ISNUMBER($I290),YEAR($I290)&amp;"-"&amp;TEXT(MONTH($I290),"00"),""),IF(ISNUMBER($H290),IF(ISNUMBER($H290),YEAR($H290)&amp;"-"&amp;TEXT(MONTH($H290),"00"),""),""))))</f>
        <v/>
      </c>
      <c r="W290" s="71">
        <f>IF($D290="",0,IF(AND(OR(fClient="All",$B290=fClient),fCampaign="All",OR(fTeam="All",$E290=fTeam),OR(fChannel="All",$C290=fChannel,AND(fChannel="Content",OR($C290="Blog",$C290="Case Study",$C290="Whitepaper")),AND(fChannel="Webinar / Events",$C290="Webinar")),OR(fMonth="All",$V290=fMonth)),1,0))</f>
        <v>0</v>
      </c>
      <c r="X290" s="71">
        <f>IF($D290="",0,IF(AND(OR(fClient="All",$B290=fClient),fCampaign="All",OR(fTeam="All",$E290=fTeam),OR(fChannel="All",$C290=fChannel,AND(fChannel="Content",OR($C290="Blog",$C290="Case Study",$C290="Whitepaper")),AND(fChannel="Webinar / Events",$C290="Webinar"))),1,0))</f>
        <v>0</v>
      </c>
    </row>
    <row r="291">
      <c r="A291" s="63" t="n"/>
      <c r="B291" s="64" t="n"/>
      <c r="C291" s="64" t="n"/>
      <c r="D291" s="65" t="n"/>
      <c r="E291" s="64" t="n"/>
      <c r="F291" s="64" t="n"/>
      <c r="G291" s="64" t="n"/>
      <c r="H291" s="63" t="n"/>
      <c r="I291" s="63" t="n"/>
      <c r="J291" s="63" t="n"/>
      <c r="K291" s="67" t="n"/>
      <c r="L291" s="67" t="n"/>
      <c r="M291" s="67" t="n"/>
      <c r="N291" s="65" t="n"/>
      <c r="O291" s="64" t="n"/>
      <c r="P291" s="67" t="n"/>
      <c r="Q291" s="65" t="n"/>
      <c r="R291" s="65" t="n"/>
      <c r="S291" s="65" t="n"/>
      <c r="T291" s="71">
        <f>IF($D291="",0,IF(OR($G291="Published",$G291="Completed",$G291="Cancelled"),0,1))</f>
        <v>0</v>
      </c>
      <c r="U291" s="69" t="str">
        <f>IF($D291="","",IF(AND($T291=1,ISNUMBER($I291)),IF($I291&lt;ReportDate,ReportDate-$I291,0),0))</f>
        <v/>
      </c>
      <c r="V291" s="71" t="str">
        <f>IF($D291="","",IF(ISNUMBER($A291),IF(ISNUMBER($A291),YEAR($A291)&amp;"-"&amp;TEXT(MONTH($A291),"00"),""),IF(ISNUMBER($I291),IF(ISNUMBER($I291),YEAR($I291)&amp;"-"&amp;TEXT(MONTH($I291),"00"),""),IF(ISNUMBER($H291),IF(ISNUMBER($H291),YEAR($H291)&amp;"-"&amp;TEXT(MONTH($H291),"00"),""),""))))</f>
        <v/>
      </c>
      <c r="W291" s="71">
        <f>IF($D291="",0,IF(AND(OR(fClient="All",$B291=fClient),fCampaign="All",OR(fTeam="All",$E291=fTeam),OR(fChannel="All",$C291=fChannel,AND(fChannel="Content",OR($C291="Blog",$C291="Case Study",$C291="Whitepaper")),AND(fChannel="Webinar / Events",$C291="Webinar")),OR(fMonth="All",$V291=fMonth)),1,0))</f>
        <v>0</v>
      </c>
      <c r="X291" s="71">
        <f>IF($D291="",0,IF(AND(OR(fClient="All",$B291=fClient),fCampaign="All",OR(fTeam="All",$E291=fTeam),OR(fChannel="All",$C291=fChannel,AND(fChannel="Content",OR($C291="Blog",$C291="Case Study",$C291="Whitepaper")),AND(fChannel="Webinar / Events",$C291="Webinar"))),1,0))</f>
        <v>0</v>
      </c>
    </row>
    <row r="292">
      <c r="A292" s="63" t="n"/>
      <c r="B292" s="64" t="n"/>
      <c r="C292" s="64" t="n"/>
      <c r="D292" s="65" t="n"/>
      <c r="E292" s="64" t="n"/>
      <c r="F292" s="64" t="n"/>
      <c r="G292" s="64" t="n"/>
      <c r="H292" s="63" t="n"/>
      <c r="I292" s="63" t="n"/>
      <c r="J292" s="63" t="n"/>
      <c r="K292" s="67" t="n"/>
      <c r="L292" s="67" t="n"/>
      <c r="M292" s="67" t="n"/>
      <c r="N292" s="65" t="n"/>
      <c r="O292" s="64" t="n"/>
      <c r="P292" s="67" t="n"/>
      <c r="Q292" s="65" t="n"/>
      <c r="R292" s="65" t="n"/>
      <c r="S292" s="65" t="n"/>
      <c r="T292" s="71">
        <f>IF($D292="",0,IF(OR($G292="Published",$G292="Completed",$G292="Cancelled"),0,1))</f>
        <v>0</v>
      </c>
      <c r="U292" s="69" t="str">
        <f>IF($D292="","",IF(AND($T292=1,ISNUMBER($I292)),IF($I292&lt;ReportDate,ReportDate-$I292,0),0))</f>
        <v/>
      </c>
      <c r="V292" s="71" t="str">
        <f>IF($D292="","",IF(ISNUMBER($A292),IF(ISNUMBER($A292),YEAR($A292)&amp;"-"&amp;TEXT(MONTH($A292),"00"),""),IF(ISNUMBER($I292),IF(ISNUMBER($I292),YEAR($I292)&amp;"-"&amp;TEXT(MONTH($I292),"00"),""),IF(ISNUMBER($H292),IF(ISNUMBER($H292),YEAR($H292)&amp;"-"&amp;TEXT(MONTH($H292),"00"),""),""))))</f>
        <v/>
      </c>
      <c r="W292" s="71">
        <f>IF($D292="",0,IF(AND(OR(fClient="All",$B292=fClient),fCampaign="All",OR(fTeam="All",$E292=fTeam),OR(fChannel="All",$C292=fChannel,AND(fChannel="Content",OR($C292="Blog",$C292="Case Study",$C292="Whitepaper")),AND(fChannel="Webinar / Events",$C292="Webinar")),OR(fMonth="All",$V292=fMonth)),1,0))</f>
        <v>0</v>
      </c>
      <c r="X292" s="71">
        <f>IF($D292="",0,IF(AND(OR(fClient="All",$B292=fClient),fCampaign="All",OR(fTeam="All",$E292=fTeam),OR(fChannel="All",$C292=fChannel,AND(fChannel="Content",OR($C292="Blog",$C292="Case Study",$C292="Whitepaper")),AND(fChannel="Webinar / Events",$C292="Webinar"))),1,0))</f>
        <v>0</v>
      </c>
    </row>
    <row r="293">
      <c r="A293" s="63" t="n"/>
      <c r="B293" s="64" t="n"/>
      <c r="C293" s="64" t="n"/>
      <c r="D293" s="65" t="n"/>
      <c r="E293" s="64" t="n"/>
      <c r="F293" s="64" t="n"/>
      <c r="G293" s="64" t="n"/>
      <c r="H293" s="63" t="n"/>
      <c r="I293" s="63" t="n"/>
      <c r="J293" s="63" t="n"/>
      <c r="K293" s="67" t="n"/>
      <c r="L293" s="67" t="n"/>
      <c r="M293" s="67" t="n"/>
      <c r="N293" s="65" t="n"/>
      <c r="O293" s="64" t="n"/>
      <c r="P293" s="67" t="n"/>
      <c r="Q293" s="65" t="n"/>
      <c r="R293" s="65" t="n"/>
      <c r="S293" s="65" t="n"/>
      <c r="T293" s="71">
        <f>IF($D293="",0,IF(OR($G293="Published",$G293="Completed",$G293="Cancelled"),0,1))</f>
        <v>0</v>
      </c>
      <c r="U293" s="69" t="str">
        <f>IF($D293="","",IF(AND($T293=1,ISNUMBER($I293)),IF($I293&lt;ReportDate,ReportDate-$I293,0),0))</f>
        <v/>
      </c>
      <c r="V293" s="71" t="str">
        <f>IF($D293="","",IF(ISNUMBER($A293),IF(ISNUMBER($A293),YEAR($A293)&amp;"-"&amp;TEXT(MONTH($A293),"00"),""),IF(ISNUMBER($I293),IF(ISNUMBER($I293),YEAR($I293)&amp;"-"&amp;TEXT(MONTH($I293),"00"),""),IF(ISNUMBER($H293),IF(ISNUMBER($H293),YEAR($H293)&amp;"-"&amp;TEXT(MONTH($H293),"00"),""),""))))</f>
        <v/>
      </c>
      <c r="W293" s="71">
        <f>IF($D293="",0,IF(AND(OR(fClient="All",$B293=fClient),fCampaign="All",OR(fTeam="All",$E293=fTeam),OR(fChannel="All",$C293=fChannel,AND(fChannel="Content",OR($C293="Blog",$C293="Case Study",$C293="Whitepaper")),AND(fChannel="Webinar / Events",$C293="Webinar")),OR(fMonth="All",$V293=fMonth)),1,0))</f>
        <v>0</v>
      </c>
      <c r="X293" s="71">
        <f>IF($D293="",0,IF(AND(OR(fClient="All",$B293=fClient),fCampaign="All",OR(fTeam="All",$E293=fTeam),OR(fChannel="All",$C293=fChannel,AND(fChannel="Content",OR($C293="Blog",$C293="Case Study",$C293="Whitepaper")),AND(fChannel="Webinar / Events",$C293="Webinar"))),1,0))</f>
        <v>0</v>
      </c>
    </row>
    <row r="294">
      <c r="A294" s="63" t="n"/>
      <c r="B294" s="64" t="n"/>
      <c r="C294" s="64" t="n"/>
      <c r="D294" s="65" t="n"/>
      <c r="E294" s="64" t="n"/>
      <c r="F294" s="64" t="n"/>
      <c r="G294" s="64" t="n"/>
      <c r="H294" s="63" t="n"/>
      <c r="I294" s="63" t="n"/>
      <c r="J294" s="63" t="n"/>
      <c r="K294" s="67" t="n"/>
      <c r="L294" s="67" t="n"/>
      <c r="M294" s="67" t="n"/>
      <c r="N294" s="65" t="n"/>
      <c r="O294" s="64" t="n"/>
      <c r="P294" s="67" t="n"/>
      <c r="Q294" s="65" t="n"/>
      <c r="R294" s="65" t="n"/>
      <c r="S294" s="65" t="n"/>
      <c r="T294" s="71">
        <f>IF($D294="",0,IF(OR($G294="Published",$G294="Completed",$G294="Cancelled"),0,1))</f>
        <v>0</v>
      </c>
      <c r="U294" s="69" t="str">
        <f>IF($D294="","",IF(AND($T294=1,ISNUMBER($I294)),IF($I294&lt;ReportDate,ReportDate-$I294,0),0))</f>
        <v/>
      </c>
      <c r="V294" s="71" t="str">
        <f>IF($D294="","",IF(ISNUMBER($A294),IF(ISNUMBER($A294),YEAR($A294)&amp;"-"&amp;TEXT(MONTH($A294),"00"),""),IF(ISNUMBER($I294),IF(ISNUMBER($I294),YEAR($I294)&amp;"-"&amp;TEXT(MONTH($I294),"00"),""),IF(ISNUMBER($H294),IF(ISNUMBER($H294),YEAR($H294)&amp;"-"&amp;TEXT(MONTH($H294),"00"),""),""))))</f>
        <v/>
      </c>
      <c r="W294" s="71">
        <f>IF($D294="",0,IF(AND(OR(fClient="All",$B294=fClient),fCampaign="All",OR(fTeam="All",$E294=fTeam),OR(fChannel="All",$C294=fChannel,AND(fChannel="Content",OR($C294="Blog",$C294="Case Study",$C294="Whitepaper")),AND(fChannel="Webinar / Events",$C294="Webinar")),OR(fMonth="All",$V294=fMonth)),1,0))</f>
        <v>0</v>
      </c>
      <c r="X294" s="71">
        <f>IF($D294="",0,IF(AND(OR(fClient="All",$B294=fClient),fCampaign="All",OR(fTeam="All",$E294=fTeam),OR(fChannel="All",$C294=fChannel,AND(fChannel="Content",OR($C294="Blog",$C294="Case Study",$C294="Whitepaper")),AND(fChannel="Webinar / Events",$C294="Webinar"))),1,0))</f>
        <v>0</v>
      </c>
    </row>
    <row r="295">
      <c r="A295" s="63" t="n"/>
      <c r="B295" s="64" t="n"/>
      <c r="C295" s="64" t="n"/>
      <c r="D295" s="65" t="n"/>
      <c r="E295" s="64" t="n"/>
      <c r="F295" s="64" t="n"/>
      <c r="G295" s="64" t="n"/>
      <c r="H295" s="63" t="n"/>
      <c r="I295" s="63" t="n"/>
      <c r="J295" s="63" t="n"/>
      <c r="K295" s="67" t="n"/>
      <c r="L295" s="67" t="n"/>
      <c r="M295" s="67" t="n"/>
      <c r="N295" s="65" t="n"/>
      <c r="O295" s="64" t="n"/>
      <c r="P295" s="67" t="n"/>
      <c r="Q295" s="65" t="n"/>
      <c r="R295" s="65" t="n"/>
      <c r="S295" s="65" t="n"/>
      <c r="T295" s="71">
        <f>IF($D295="",0,IF(OR($G295="Published",$G295="Completed",$G295="Cancelled"),0,1))</f>
        <v>0</v>
      </c>
      <c r="U295" s="69" t="str">
        <f>IF($D295="","",IF(AND($T295=1,ISNUMBER($I295)),IF($I295&lt;ReportDate,ReportDate-$I295,0),0))</f>
        <v/>
      </c>
      <c r="V295" s="71" t="str">
        <f>IF($D295="","",IF(ISNUMBER($A295),IF(ISNUMBER($A295),YEAR($A295)&amp;"-"&amp;TEXT(MONTH($A295),"00"),""),IF(ISNUMBER($I295),IF(ISNUMBER($I295),YEAR($I295)&amp;"-"&amp;TEXT(MONTH($I295),"00"),""),IF(ISNUMBER($H295),IF(ISNUMBER($H295),YEAR($H295)&amp;"-"&amp;TEXT(MONTH($H295),"00"),""),""))))</f>
        <v/>
      </c>
      <c r="W295" s="71">
        <f>IF($D295="",0,IF(AND(OR(fClient="All",$B295=fClient),fCampaign="All",OR(fTeam="All",$E295=fTeam),OR(fChannel="All",$C295=fChannel,AND(fChannel="Content",OR($C295="Blog",$C295="Case Study",$C295="Whitepaper")),AND(fChannel="Webinar / Events",$C295="Webinar")),OR(fMonth="All",$V295=fMonth)),1,0))</f>
        <v>0</v>
      </c>
      <c r="X295" s="71">
        <f>IF($D295="",0,IF(AND(OR(fClient="All",$B295=fClient),fCampaign="All",OR(fTeam="All",$E295=fTeam),OR(fChannel="All",$C295=fChannel,AND(fChannel="Content",OR($C295="Blog",$C295="Case Study",$C295="Whitepaper")),AND(fChannel="Webinar / Events",$C295="Webinar"))),1,0))</f>
        <v>0</v>
      </c>
    </row>
    <row r="296">
      <c r="A296" s="63" t="n"/>
      <c r="B296" s="64" t="n"/>
      <c r="C296" s="64" t="n"/>
      <c r="D296" s="65" t="n"/>
      <c r="E296" s="64" t="n"/>
      <c r="F296" s="64" t="n"/>
      <c r="G296" s="64" t="n"/>
      <c r="H296" s="63" t="n"/>
      <c r="I296" s="63" t="n"/>
      <c r="J296" s="63" t="n"/>
      <c r="K296" s="67" t="n"/>
      <c r="L296" s="67" t="n"/>
      <c r="M296" s="67" t="n"/>
      <c r="N296" s="65" t="n"/>
      <c r="O296" s="64" t="n"/>
      <c r="P296" s="67" t="n"/>
      <c r="Q296" s="65" t="n"/>
      <c r="R296" s="65" t="n"/>
      <c r="S296" s="65" t="n"/>
      <c r="T296" s="71">
        <f>IF($D296="",0,IF(OR($G296="Published",$G296="Completed",$G296="Cancelled"),0,1))</f>
        <v>0</v>
      </c>
      <c r="U296" s="69" t="str">
        <f>IF($D296="","",IF(AND($T296=1,ISNUMBER($I296)),IF($I296&lt;ReportDate,ReportDate-$I296,0),0))</f>
        <v/>
      </c>
      <c r="V296" s="71" t="str">
        <f>IF($D296="","",IF(ISNUMBER($A296),IF(ISNUMBER($A296),YEAR($A296)&amp;"-"&amp;TEXT(MONTH($A296),"00"),""),IF(ISNUMBER($I296),IF(ISNUMBER($I296),YEAR($I296)&amp;"-"&amp;TEXT(MONTH($I296),"00"),""),IF(ISNUMBER($H296),IF(ISNUMBER($H296),YEAR($H296)&amp;"-"&amp;TEXT(MONTH($H296),"00"),""),""))))</f>
        <v/>
      </c>
      <c r="W296" s="71">
        <f>IF($D296="",0,IF(AND(OR(fClient="All",$B296=fClient),fCampaign="All",OR(fTeam="All",$E296=fTeam),OR(fChannel="All",$C296=fChannel,AND(fChannel="Content",OR($C296="Blog",$C296="Case Study",$C296="Whitepaper")),AND(fChannel="Webinar / Events",$C296="Webinar")),OR(fMonth="All",$V296=fMonth)),1,0))</f>
        <v>0</v>
      </c>
      <c r="X296" s="71">
        <f>IF($D296="",0,IF(AND(OR(fClient="All",$B296=fClient),fCampaign="All",OR(fTeam="All",$E296=fTeam),OR(fChannel="All",$C296=fChannel,AND(fChannel="Content",OR($C296="Blog",$C296="Case Study",$C296="Whitepaper")),AND(fChannel="Webinar / Events",$C296="Webinar"))),1,0))</f>
        <v>0</v>
      </c>
    </row>
    <row r="297">
      <c r="A297" s="63" t="n"/>
      <c r="B297" s="64" t="n"/>
      <c r="C297" s="64" t="n"/>
      <c r="D297" s="65" t="n"/>
      <c r="E297" s="64" t="n"/>
      <c r="F297" s="64" t="n"/>
      <c r="G297" s="64" t="n"/>
      <c r="H297" s="63" t="n"/>
      <c r="I297" s="63" t="n"/>
      <c r="J297" s="63" t="n"/>
      <c r="K297" s="67" t="n"/>
      <c r="L297" s="67" t="n"/>
      <c r="M297" s="67" t="n"/>
      <c r="N297" s="65" t="n"/>
      <c r="O297" s="64" t="n"/>
      <c r="P297" s="67" t="n"/>
      <c r="Q297" s="65" t="n"/>
      <c r="R297" s="65" t="n"/>
      <c r="S297" s="65" t="n"/>
      <c r="T297" s="71">
        <f>IF($D297="",0,IF(OR($G297="Published",$G297="Completed",$G297="Cancelled"),0,1))</f>
        <v>0</v>
      </c>
      <c r="U297" s="69" t="str">
        <f>IF($D297="","",IF(AND($T297=1,ISNUMBER($I297)),IF($I297&lt;ReportDate,ReportDate-$I297,0),0))</f>
        <v/>
      </c>
      <c r="V297" s="71" t="str">
        <f>IF($D297="","",IF(ISNUMBER($A297),IF(ISNUMBER($A297),YEAR($A297)&amp;"-"&amp;TEXT(MONTH($A297),"00"),""),IF(ISNUMBER($I297),IF(ISNUMBER($I297),YEAR($I297)&amp;"-"&amp;TEXT(MONTH($I297),"00"),""),IF(ISNUMBER($H297),IF(ISNUMBER($H297),YEAR($H297)&amp;"-"&amp;TEXT(MONTH($H297),"00"),""),""))))</f>
        <v/>
      </c>
      <c r="W297" s="71">
        <f>IF($D297="",0,IF(AND(OR(fClient="All",$B297=fClient),fCampaign="All",OR(fTeam="All",$E297=fTeam),OR(fChannel="All",$C297=fChannel,AND(fChannel="Content",OR($C297="Blog",$C297="Case Study",$C297="Whitepaper")),AND(fChannel="Webinar / Events",$C297="Webinar")),OR(fMonth="All",$V297=fMonth)),1,0))</f>
        <v>0</v>
      </c>
      <c r="X297" s="71">
        <f>IF($D297="",0,IF(AND(OR(fClient="All",$B297=fClient),fCampaign="All",OR(fTeam="All",$E297=fTeam),OR(fChannel="All",$C297=fChannel,AND(fChannel="Content",OR($C297="Blog",$C297="Case Study",$C297="Whitepaper")),AND(fChannel="Webinar / Events",$C297="Webinar"))),1,0))</f>
        <v>0</v>
      </c>
    </row>
    <row r="298">
      <c r="A298" s="63" t="n"/>
      <c r="B298" s="64" t="n"/>
      <c r="C298" s="64" t="n"/>
      <c r="D298" s="65" t="n"/>
      <c r="E298" s="64" t="n"/>
      <c r="F298" s="64" t="n"/>
      <c r="G298" s="64" t="n"/>
      <c r="H298" s="63" t="n"/>
      <c r="I298" s="63" t="n"/>
      <c r="J298" s="63" t="n"/>
      <c r="K298" s="67" t="n"/>
      <c r="L298" s="67" t="n"/>
      <c r="M298" s="67" t="n"/>
      <c r="N298" s="65" t="n"/>
      <c r="O298" s="64" t="n"/>
      <c r="P298" s="67" t="n"/>
      <c r="Q298" s="65" t="n"/>
      <c r="R298" s="65" t="n"/>
      <c r="S298" s="65" t="n"/>
      <c r="T298" s="71">
        <f>IF($D298="",0,IF(OR($G298="Published",$G298="Completed",$G298="Cancelled"),0,1))</f>
        <v>0</v>
      </c>
      <c r="U298" s="69" t="str">
        <f>IF($D298="","",IF(AND($T298=1,ISNUMBER($I298)),IF($I298&lt;ReportDate,ReportDate-$I298,0),0))</f>
        <v/>
      </c>
      <c r="V298" s="71" t="str">
        <f>IF($D298="","",IF(ISNUMBER($A298),IF(ISNUMBER($A298),YEAR($A298)&amp;"-"&amp;TEXT(MONTH($A298),"00"),""),IF(ISNUMBER($I298),IF(ISNUMBER($I298),YEAR($I298)&amp;"-"&amp;TEXT(MONTH($I298),"00"),""),IF(ISNUMBER($H298),IF(ISNUMBER($H298),YEAR($H298)&amp;"-"&amp;TEXT(MONTH($H298),"00"),""),""))))</f>
        <v/>
      </c>
      <c r="W298" s="71">
        <f>IF($D298="",0,IF(AND(OR(fClient="All",$B298=fClient),fCampaign="All",OR(fTeam="All",$E298=fTeam),OR(fChannel="All",$C298=fChannel,AND(fChannel="Content",OR($C298="Blog",$C298="Case Study",$C298="Whitepaper")),AND(fChannel="Webinar / Events",$C298="Webinar")),OR(fMonth="All",$V298=fMonth)),1,0))</f>
        <v>0</v>
      </c>
      <c r="X298" s="71">
        <f>IF($D298="",0,IF(AND(OR(fClient="All",$B298=fClient),fCampaign="All",OR(fTeam="All",$E298=fTeam),OR(fChannel="All",$C298=fChannel,AND(fChannel="Content",OR($C298="Blog",$C298="Case Study",$C298="Whitepaper")),AND(fChannel="Webinar / Events",$C298="Webinar"))),1,0))</f>
        <v>0</v>
      </c>
    </row>
    <row r="299">
      <c r="A299" s="63" t="n"/>
      <c r="B299" s="64" t="n"/>
      <c r="C299" s="64" t="n"/>
      <c r="D299" s="65" t="n"/>
      <c r="E299" s="64" t="n"/>
      <c r="F299" s="64" t="n"/>
      <c r="G299" s="64" t="n"/>
      <c r="H299" s="63" t="n"/>
      <c r="I299" s="63" t="n"/>
      <c r="J299" s="63" t="n"/>
      <c r="K299" s="67" t="n"/>
      <c r="L299" s="67" t="n"/>
      <c r="M299" s="67" t="n"/>
      <c r="N299" s="65" t="n"/>
      <c r="O299" s="64" t="n"/>
      <c r="P299" s="67" t="n"/>
      <c r="Q299" s="65" t="n"/>
      <c r="R299" s="65" t="n"/>
      <c r="S299" s="65" t="n"/>
      <c r="T299" s="71">
        <f>IF($D299="",0,IF(OR($G299="Published",$G299="Completed",$G299="Cancelled"),0,1))</f>
        <v>0</v>
      </c>
      <c r="U299" s="69" t="str">
        <f>IF($D299="","",IF(AND($T299=1,ISNUMBER($I299)),IF($I299&lt;ReportDate,ReportDate-$I299,0),0))</f>
        <v/>
      </c>
      <c r="V299" s="71" t="str">
        <f>IF($D299="","",IF(ISNUMBER($A299),IF(ISNUMBER($A299),YEAR($A299)&amp;"-"&amp;TEXT(MONTH($A299),"00"),""),IF(ISNUMBER($I299),IF(ISNUMBER($I299),YEAR($I299)&amp;"-"&amp;TEXT(MONTH($I299),"00"),""),IF(ISNUMBER($H299),IF(ISNUMBER($H299),YEAR($H299)&amp;"-"&amp;TEXT(MONTH($H299),"00"),""),""))))</f>
        <v/>
      </c>
      <c r="W299" s="71">
        <f>IF($D299="",0,IF(AND(OR(fClient="All",$B299=fClient),fCampaign="All",OR(fTeam="All",$E299=fTeam),OR(fChannel="All",$C299=fChannel,AND(fChannel="Content",OR($C299="Blog",$C299="Case Study",$C299="Whitepaper")),AND(fChannel="Webinar / Events",$C299="Webinar")),OR(fMonth="All",$V299=fMonth)),1,0))</f>
        <v>0</v>
      </c>
      <c r="X299" s="71">
        <f>IF($D299="",0,IF(AND(OR(fClient="All",$B299=fClient),fCampaign="All",OR(fTeam="All",$E299=fTeam),OR(fChannel="All",$C299=fChannel,AND(fChannel="Content",OR($C299="Blog",$C299="Case Study",$C299="Whitepaper")),AND(fChannel="Webinar / Events",$C299="Webinar"))),1,0))</f>
        <v>0</v>
      </c>
    </row>
    <row r="300">
      <c r="A300" s="63" t="n"/>
      <c r="B300" s="64" t="n"/>
      <c r="C300" s="64" t="n"/>
      <c r="D300" s="65" t="n"/>
      <c r="E300" s="64" t="n"/>
      <c r="F300" s="64" t="n"/>
      <c r="G300" s="64" t="n"/>
      <c r="H300" s="63" t="n"/>
      <c r="I300" s="63" t="n"/>
      <c r="J300" s="63" t="n"/>
      <c r="K300" s="67" t="n"/>
      <c r="L300" s="67" t="n"/>
      <c r="M300" s="67" t="n"/>
      <c r="N300" s="65" t="n"/>
      <c r="O300" s="64" t="n"/>
      <c r="P300" s="67" t="n"/>
      <c r="Q300" s="65" t="n"/>
      <c r="R300" s="65" t="n"/>
      <c r="S300" s="65" t="n"/>
      <c r="T300" s="71">
        <f>IF($D300="",0,IF(OR($G300="Published",$G300="Completed",$G300="Cancelled"),0,1))</f>
        <v>0</v>
      </c>
      <c r="U300" s="69" t="str">
        <f>IF($D300="","",IF(AND($T300=1,ISNUMBER($I300)),IF($I300&lt;ReportDate,ReportDate-$I300,0),0))</f>
        <v/>
      </c>
      <c r="V300" s="71" t="str">
        <f>IF($D300="","",IF(ISNUMBER($A300),IF(ISNUMBER($A300),YEAR($A300)&amp;"-"&amp;TEXT(MONTH($A300),"00"),""),IF(ISNUMBER($I300),IF(ISNUMBER($I300),YEAR($I300)&amp;"-"&amp;TEXT(MONTH($I300),"00"),""),IF(ISNUMBER($H300),IF(ISNUMBER($H300),YEAR($H300)&amp;"-"&amp;TEXT(MONTH($H300),"00"),""),""))))</f>
        <v/>
      </c>
      <c r="W300" s="71">
        <f>IF($D300="",0,IF(AND(OR(fClient="All",$B300=fClient),fCampaign="All",OR(fTeam="All",$E300=fTeam),OR(fChannel="All",$C300=fChannel,AND(fChannel="Content",OR($C300="Blog",$C300="Case Study",$C300="Whitepaper")),AND(fChannel="Webinar / Events",$C300="Webinar")),OR(fMonth="All",$V300=fMonth)),1,0))</f>
        <v>0</v>
      </c>
      <c r="X300" s="71">
        <f>IF($D300="",0,IF(AND(OR(fClient="All",$B300=fClient),fCampaign="All",OR(fTeam="All",$E300=fTeam),OR(fChannel="All",$C300=fChannel,AND(fChannel="Content",OR($C300="Blog",$C300="Case Study",$C300="Whitepaper")),AND(fChannel="Webinar / Events",$C300="Webinar"))),1,0))</f>
        <v>0</v>
      </c>
    </row>
    <row r="301">
      <c r="A301" s="63" t="n"/>
      <c r="B301" s="64" t="n"/>
      <c r="C301" s="64" t="n"/>
      <c r="D301" s="65" t="n"/>
      <c r="E301" s="64" t="n"/>
      <c r="F301" s="64" t="n"/>
      <c r="G301" s="64" t="n"/>
      <c r="H301" s="63" t="n"/>
      <c r="I301" s="63" t="n"/>
      <c r="J301" s="63" t="n"/>
      <c r="K301" s="67" t="n"/>
      <c r="L301" s="67" t="n"/>
      <c r="M301" s="67" t="n"/>
      <c r="N301" s="65" t="n"/>
      <c r="O301" s="64" t="n"/>
      <c r="P301" s="67" t="n"/>
      <c r="Q301" s="65" t="n"/>
      <c r="R301" s="65" t="n"/>
      <c r="S301" s="65" t="n"/>
      <c r="T301" s="71">
        <f>IF($D301="",0,IF(OR($G301="Published",$G301="Completed",$G301="Cancelled"),0,1))</f>
        <v>0</v>
      </c>
      <c r="U301" s="69" t="str">
        <f>IF($D301="","",IF(AND($T301=1,ISNUMBER($I301)),IF($I301&lt;ReportDate,ReportDate-$I301,0),0))</f>
        <v/>
      </c>
      <c r="V301" s="71" t="str">
        <f>IF($D301="","",IF(ISNUMBER($A301),IF(ISNUMBER($A301),YEAR($A301)&amp;"-"&amp;TEXT(MONTH($A301),"00"),""),IF(ISNUMBER($I301),IF(ISNUMBER($I301),YEAR($I301)&amp;"-"&amp;TEXT(MONTH($I301),"00"),""),IF(ISNUMBER($H301),IF(ISNUMBER($H301),YEAR($H301)&amp;"-"&amp;TEXT(MONTH($H301),"00"),""),""))))</f>
        <v/>
      </c>
      <c r="W301" s="71">
        <f>IF($D301="",0,IF(AND(OR(fClient="All",$B301=fClient),fCampaign="All",OR(fTeam="All",$E301=fTeam),OR(fChannel="All",$C301=fChannel,AND(fChannel="Content",OR($C301="Blog",$C301="Case Study",$C301="Whitepaper")),AND(fChannel="Webinar / Events",$C301="Webinar")),OR(fMonth="All",$V301=fMonth)),1,0))</f>
        <v>0</v>
      </c>
      <c r="X301" s="71">
        <f>IF($D301="",0,IF(AND(OR(fClient="All",$B301=fClient),fCampaign="All",OR(fTeam="All",$E301=fTeam),OR(fChannel="All",$C301=fChannel,AND(fChannel="Content",OR($C301="Blog",$C301="Case Study",$C301="Whitepaper")),AND(fChannel="Webinar / Events",$C301="Webinar"))),1,0))</f>
        <v>0</v>
      </c>
    </row>
    <row r="302">
      <c r="A302" s="63" t="n"/>
      <c r="B302" s="64" t="n"/>
      <c r="C302" s="64" t="n"/>
      <c r="D302" s="65" t="n"/>
      <c r="E302" s="64" t="n"/>
      <c r="F302" s="64" t="n"/>
      <c r="G302" s="64" t="n"/>
      <c r="H302" s="63" t="n"/>
      <c r="I302" s="63" t="n"/>
      <c r="J302" s="63" t="n"/>
      <c r="K302" s="67" t="n"/>
      <c r="L302" s="67" t="n"/>
      <c r="M302" s="67" t="n"/>
      <c r="N302" s="65" t="n"/>
      <c r="O302" s="64" t="n"/>
      <c r="P302" s="67" t="n"/>
      <c r="Q302" s="65" t="n"/>
      <c r="R302" s="65" t="n"/>
      <c r="S302" s="65" t="n"/>
      <c r="T302" s="71">
        <f>IF($D302="",0,IF(OR($G302="Published",$G302="Completed",$G302="Cancelled"),0,1))</f>
        <v>0</v>
      </c>
      <c r="U302" s="69" t="str">
        <f>IF($D302="","",IF(AND($T302=1,ISNUMBER($I302)),IF($I302&lt;ReportDate,ReportDate-$I302,0),0))</f>
        <v/>
      </c>
      <c r="V302" s="71" t="str">
        <f>IF($D302="","",IF(ISNUMBER($A302),IF(ISNUMBER($A302),YEAR($A302)&amp;"-"&amp;TEXT(MONTH($A302),"00"),""),IF(ISNUMBER($I302),IF(ISNUMBER($I302),YEAR($I302)&amp;"-"&amp;TEXT(MONTH($I302),"00"),""),IF(ISNUMBER($H302),IF(ISNUMBER($H302),YEAR($H302)&amp;"-"&amp;TEXT(MONTH($H302),"00"),""),""))))</f>
        <v/>
      </c>
      <c r="W302" s="71">
        <f>IF($D302="",0,IF(AND(OR(fClient="All",$B302=fClient),fCampaign="All",OR(fTeam="All",$E302=fTeam),OR(fChannel="All",$C302=fChannel,AND(fChannel="Content",OR($C302="Blog",$C302="Case Study",$C302="Whitepaper")),AND(fChannel="Webinar / Events",$C302="Webinar")),OR(fMonth="All",$V302=fMonth)),1,0))</f>
        <v>0</v>
      </c>
      <c r="X302" s="71">
        <f>IF($D302="",0,IF(AND(OR(fClient="All",$B302=fClient),fCampaign="All",OR(fTeam="All",$E302=fTeam),OR(fChannel="All",$C302=fChannel,AND(fChannel="Content",OR($C302="Blog",$C302="Case Study",$C302="Whitepaper")),AND(fChannel="Webinar / Events",$C302="Webinar"))),1,0))</f>
        <v>0</v>
      </c>
    </row>
    <row r="303">
      <c r="A303" s="63" t="n"/>
      <c r="B303" s="64" t="n"/>
      <c r="C303" s="64" t="n"/>
      <c r="D303" s="65" t="n"/>
      <c r="E303" s="64" t="n"/>
      <c r="F303" s="64" t="n"/>
      <c r="G303" s="64" t="n"/>
      <c r="H303" s="63" t="n"/>
      <c r="I303" s="63" t="n"/>
      <c r="J303" s="63" t="n"/>
      <c r="K303" s="67" t="n"/>
      <c r="L303" s="67" t="n"/>
      <c r="M303" s="67" t="n"/>
      <c r="N303" s="65" t="n"/>
      <c r="O303" s="64" t="n"/>
      <c r="P303" s="67" t="n"/>
      <c r="Q303" s="65" t="n"/>
      <c r="R303" s="65" t="n"/>
      <c r="S303" s="65" t="n"/>
      <c r="T303" s="71">
        <f>IF($D303="",0,IF(OR($G303="Published",$G303="Completed",$G303="Cancelled"),0,1))</f>
        <v>0</v>
      </c>
      <c r="U303" s="69" t="str">
        <f>IF($D303="","",IF(AND($T303=1,ISNUMBER($I303)),IF($I303&lt;ReportDate,ReportDate-$I303,0),0))</f>
        <v/>
      </c>
      <c r="V303" s="71" t="str">
        <f>IF($D303="","",IF(ISNUMBER($A303),IF(ISNUMBER($A303),YEAR($A303)&amp;"-"&amp;TEXT(MONTH($A303),"00"),""),IF(ISNUMBER($I303),IF(ISNUMBER($I303),YEAR($I303)&amp;"-"&amp;TEXT(MONTH($I303),"00"),""),IF(ISNUMBER($H303),IF(ISNUMBER($H303),YEAR($H303)&amp;"-"&amp;TEXT(MONTH($H303),"00"),""),""))))</f>
        <v/>
      </c>
      <c r="W303" s="71">
        <f>IF($D303="",0,IF(AND(OR(fClient="All",$B303=fClient),fCampaign="All",OR(fTeam="All",$E303=fTeam),OR(fChannel="All",$C303=fChannel,AND(fChannel="Content",OR($C303="Blog",$C303="Case Study",$C303="Whitepaper")),AND(fChannel="Webinar / Events",$C303="Webinar")),OR(fMonth="All",$V303=fMonth)),1,0))</f>
        <v>0</v>
      </c>
      <c r="X303" s="71">
        <f>IF($D303="",0,IF(AND(OR(fClient="All",$B303=fClient),fCampaign="All",OR(fTeam="All",$E303=fTeam),OR(fChannel="All",$C303=fChannel,AND(fChannel="Content",OR($C303="Blog",$C303="Case Study",$C303="Whitepaper")),AND(fChannel="Webinar / Events",$C303="Webinar"))),1,0))</f>
        <v>0</v>
      </c>
    </row>
    <row r="304">
      <c r="A304" s="63" t="n"/>
      <c r="B304" s="64" t="n"/>
      <c r="C304" s="64" t="n"/>
      <c r="D304" s="65" t="n"/>
      <c r="E304" s="64" t="n"/>
      <c r="F304" s="64" t="n"/>
      <c r="G304" s="64" t="n"/>
      <c r="H304" s="63" t="n"/>
      <c r="I304" s="63" t="n"/>
      <c r="J304" s="63" t="n"/>
      <c r="K304" s="67" t="n"/>
      <c r="L304" s="67" t="n"/>
      <c r="M304" s="67" t="n"/>
      <c r="N304" s="65" t="n"/>
      <c r="O304" s="64" t="n"/>
      <c r="P304" s="67" t="n"/>
      <c r="Q304" s="65" t="n"/>
      <c r="R304" s="65" t="n"/>
      <c r="S304" s="65" t="n"/>
      <c r="T304" s="71">
        <f>IF($D304="",0,IF(OR($G304="Published",$G304="Completed",$G304="Cancelled"),0,1))</f>
        <v>0</v>
      </c>
      <c r="U304" s="69" t="str">
        <f>IF($D304="","",IF(AND($T304=1,ISNUMBER($I304)),IF($I304&lt;ReportDate,ReportDate-$I304,0),0))</f>
        <v/>
      </c>
      <c r="V304" s="71" t="str">
        <f>IF($D304="","",IF(ISNUMBER($A304),IF(ISNUMBER($A304),YEAR($A304)&amp;"-"&amp;TEXT(MONTH($A304),"00"),""),IF(ISNUMBER($I304),IF(ISNUMBER($I304),YEAR($I304)&amp;"-"&amp;TEXT(MONTH($I304),"00"),""),IF(ISNUMBER($H304),IF(ISNUMBER($H304),YEAR($H304)&amp;"-"&amp;TEXT(MONTH($H304),"00"),""),""))))</f>
        <v/>
      </c>
      <c r="W304" s="71">
        <f>IF($D304="",0,IF(AND(OR(fClient="All",$B304=fClient),fCampaign="All",OR(fTeam="All",$E304=fTeam),OR(fChannel="All",$C304=fChannel,AND(fChannel="Content",OR($C304="Blog",$C304="Case Study",$C304="Whitepaper")),AND(fChannel="Webinar / Events",$C304="Webinar")),OR(fMonth="All",$V304=fMonth)),1,0))</f>
        <v>0</v>
      </c>
      <c r="X304" s="71">
        <f>IF($D304="",0,IF(AND(OR(fClient="All",$B304=fClient),fCampaign="All",OR(fTeam="All",$E304=fTeam),OR(fChannel="All",$C304=fChannel,AND(fChannel="Content",OR($C304="Blog",$C304="Case Study",$C304="Whitepaper")),AND(fChannel="Webinar / Events",$C304="Webinar"))),1,0))</f>
        <v>0</v>
      </c>
    </row>
  </sheetData>
  <mergeCells count="1">
    <mergeCell ref="A1:N1"/>
  </mergeCells>
  <conditionalFormatting sqref="A5:S304">
    <cfRule type="expression" priority="1" dxfId="3">
      <formula>AND(ISNUMBER($U5),$U5&gt;0)</formula>
    </cfRule>
  </conditionalFormatting>
  <dataValidations count="12">
    <dataValidation sqref="A5:A304" showDropDown="0" showInputMessage="0" showErrorMessage="1" allowBlank="1" errorTitle="Invalid date" error="Enter a valid date, e.g. 05-Oct-2026." type="date" operator="greaterThan">
      <formula1>36526</formula1>
    </dataValidation>
    <dataValidation sqref="B5:B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C5:C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=lst_ActType</formula1>
    </dataValidation>
    <dataValidation sqref="E5:E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G5:G304" showDropDown="0" showInputMessage="0" showErrorMessage="1" allowBlank="1" errorTitle="Pick from list" error="Please choose a value from the dropdown (lists are maintained in MASTER DATA / CLIENT MASTER / CAMPAIGN MASTER)." type="list" errorStyle="stop">
      <formula1>=lst_WebStatus</formula1>
    </dataValidation>
    <dataValidation sqref="H5:H304" showDropDown="0" showInputMessage="0" showErrorMessage="1" allowBlank="1" errorTitle="Invalid date" error="Enter a valid date, e.g. 05-Oct-2026." type="date" operator="greaterThan">
      <formula1>36526</formula1>
    </dataValidation>
    <dataValidation sqref="I5:I304" showDropDown="0" showInputMessage="0" showErrorMessage="1" allowBlank="1" errorTitle="Invalid date" error="Enter a valid date, e.g. 05-Oct-2026." type="date" operator="greaterThan">
      <formula1>36526</formula1>
    </dataValidation>
    <dataValidation sqref="J5:J304" showDropDown="0" showInputMessage="0" showErrorMessage="1" allowBlank="1" errorTitle="Invalid date" error="Enter a valid date, e.g. 05-Oct-2026." type="date" operator="greaterThan">
      <formula1>36526</formula1>
    </dataValidation>
    <dataValidation sqref="K5:K304" showDropDown="0" showInputMessage="0" showErrorMessage="1" allowBlank="1" errorTitle="Invalid number" error="Enter a number (0 or more)." type="decimal" operator="greaterThanOrEqual">
      <formula1>0</formula1>
    </dataValidation>
    <dataValidation sqref="L5:L304" showDropDown="0" showInputMessage="0" showErrorMessage="1" allowBlank="1" errorTitle="Invalid number" error="Enter a number (0 or more)." type="decimal" operator="greaterThanOrEqual">
      <formula1>0</formula1>
    </dataValidation>
    <dataValidation sqref="M5:M304" showDropDown="0" showInputMessage="0" showErrorMessage="1" allowBlank="1" errorTitle="Invalid number" error="Enter a number (0 or more)." type="decimal" operator="greaterThanOrEqual">
      <formula1>0</formula1>
    </dataValidation>
    <dataValidation sqref="P5:P304" showDropDown="0" showInputMessage="0" showErrorMessage="1" allowBlank="1" errorTitle="Invalid number" error="Enter a number (0 or more)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46"/>
  <sheetViews>
    <sheetView showGridLines="0" tabSelected="0" zoomScale="85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7" customWidth="1" min="20" max="20"/>
    <col width="44" customWidth="1" min="21" max="21"/>
  </cols>
  <sheetData>
    <row r="1" ht="38" customHeight="1">
      <c r="A1" s="1" t="inlineStr">
        <is>
          <t>TEAM PERFORMANCE - workload, delivery &amp; support needs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14" t="inlineStr">
        <is>
          <t>Automatic. Purpose: management visibility, workload balancing and spotting where support is needed - not an employee ranking.</t>
        </is>
      </c>
    </row>
    <row r="3">
      <c r="A3" s="78" t="inlineStr">
        <is>
          <t>Period (Month):</t>
        </is>
      </c>
      <c r="B3" s="19" t="inlineStr">
        <is>
          <t>All</t>
        </is>
      </c>
      <c r="C3" s="79" t="str">
        <f>IF(B3="All","&lt;&gt;@@",B3)</f>
        <v>&lt;&gt;@@</v>
      </c>
      <c r="D3" s="56" t="inlineStr">
        <is>
          <t>Month filter uses the date logged on each row (tasks: Date or Due Date; leads: Date Generated).</t>
        </is>
      </c>
    </row>
    <row r="5" ht="22" customHeight="1">
      <c r="A5" s="3" t="inlineStr">
        <is>
          <t>TEAM SCORECARD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40" customHeight="1">
      <c r="A6" s="80" t="inlineStr">
        <is>
          <t>Team Member</t>
        </is>
      </c>
      <c r="B6" s="80" t="inlineStr">
        <is>
          <t>Role</t>
        </is>
      </c>
      <c r="C6" s="80" t="inlineStr">
        <is>
          <t>Tasks Assigned</t>
        </is>
      </c>
      <c r="D6" s="80" t="inlineStr">
        <is>
          <t>Tasks Completed</t>
        </is>
      </c>
      <c r="E6" s="80" t="inlineStr">
        <is>
          <t>Completion %</t>
        </is>
      </c>
      <c r="F6" s="80" t="inlineStr">
        <is>
          <t>Overdue Tasks</t>
        </is>
      </c>
      <c r="G6" s="80" t="inlineStr">
        <is>
          <t>Blocked Tasks</t>
        </is>
      </c>
      <c r="H6" s="80" t="inlineStr">
        <is>
          <t>Pending Actions</t>
        </is>
      </c>
      <c r="I6" s="80" t="inlineStr">
        <is>
          <t>Due &lt;=2 Days</t>
        </is>
      </c>
      <c r="J6" s="80" t="inlineStr">
        <is>
          <t>Active Campaigns</t>
        </is>
      </c>
      <c r="K6" s="80" t="inlineStr">
        <is>
          <t>Campaigns Completed</t>
        </is>
      </c>
      <c r="L6" s="80" t="inlineStr">
        <is>
          <t>Leads Generated</t>
        </is>
      </c>
      <c r="M6" s="80" t="inlineStr">
        <is>
          <t>MQLs</t>
        </is>
      </c>
      <c r="N6" s="80" t="inlineStr">
        <is>
          <t>SQLs</t>
        </is>
      </c>
      <c r="O6" s="80" t="inlineStr">
        <is>
          <t>Digital Handraisers</t>
        </is>
      </c>
      <c r="P6" s="80" t="inlineStr">
        <is>
          <t>Emails Sent</t>
        </is>
      </c>
      <c r="Q6" s="80" t="inlineStr">
        <is>
          <t>Positive Responses</t>
        </is>
      </c>
      <c r="R6" s="80" t="inlineStr">
        <is>
          <t>Major Deliverables</t>
        </is>
      </c>
      <c r="S6" s="80" t="inlineStr">
        <is>
          <t>Workload Index</t>
        </is>
      </c>
      <c r="T6" s="80" t="inlineStr">
        <is>
          <t>Support Indicator</t>
        </is>
      </c>
      <c r="U6" s="80" t="inlineStr">
        <is>
          <t>Clients with open work</t>
        </is>
      </c>
    </row>
    <row r="7" ht="28" customHeight="1">
      <c r="A7" s="81" t="str">
        <f>IF('MASTER DATA'!A15="","",'MASTER DATA'!A15)</f>
        <v>Ayush Jain</v>
      </c>
      <c r="B7" s="82" t="str">
        <f>IF($A7="","",'MASTER DATA'!B15)</f>
        <v>Program Manager</v>
      </c>
      <c r="C7" s="83">
        <f>IF($A7="","",COUNTIFS('DAILY TASK TRACKER'!$B$5:$B$1504,$A7,'DAILY TASK TRACKER'!$G$5:$G$1504,"&lt;&gt;",'DAILY TASK TRACKER'!$AH$5:$AH$1504,tpCrit))</f>
        <v>16</v>
      </c>
      <c r="D7" s="83">
        <f>IF($A7="","",COUNTIFS('DAILY TASK TRACKER'!$B$5:$B$1504,$A7,'DAILY TASK TRACKER'!$M$5:$M$1504,"Completed",'DAILY TASK TRACKER'!$AH$5:$AH$1504,tpCrit))</f>
        <v>0</v>
      </c>
      <c r="E7" s="70">
        <f>IF($A7="","",IF(C7&gt;0,D7/C7,""))</f>
        <v>0</v>
      </c>
      <c r="F7" s="83">
        <f>IF($A7="","",SUMIFS('DAILY TASK TRACKER'!$AL$5:$AL$1504,'DAILY TASK TRACKER'!$B$5:$B$1504,$A7,'DAILY TASK TRACKER'!$AH$5:$AH$1504,tpCrit))</f>
        <v>0</v>
      </c>
      <c r="G7" s="83">
        <f>IF($A7="","",SUMIFS('DAILY TASK TRACKER'!$AM$5:$AM$1504,'DAILY TASK TRACKER'!$B$5:$B$1504,$A7,'DAILY TASK TRACKER'!$AH$5:$AH$1504,tpCrit))</f>
        <v>0</v>
      </c>
      <c r="H7" s="83">
        <f>IF($A7="","",SUMIFS('DAILY TASK TRACKER'!$AK$5:$AK$1504,'DAILY TASK TRACKER'!$B$5:$B$1504,$A7,'DAILY TASK TRACKER'!$AH$5:$AH$1504,tpCrit))</f>
        <v>16</v>
      </c>
      <c r="I7" s="83">
        <f>IF($A7="","",SUMIFS('DAILY TASK TRACKER'!$AP$5:$AP$1504,'DAILY TASK TRACKER'!$B$5:$B$1504,$A7,'DAILY TASK TRACKER'!$AH$5:$AH$1504,tpCrit))</f>
        <v>0</v>
      </c>
      <c r="J7" s="83">
        <f>IF($A7="","",COUNTIFS('CAMPAIGN MASTER'!$I$5:$I$704,$A7,'CAMPAIGN MASTER'!$N$5:$N$704,"Live")+COUNTIFS('CAMPAIGN MASTER'!$I$5:$I$704,$A7,'CAMPAIGN MASTER'!$N$5:$N$704,"Optimizing"))</f>
        <v>0</v>
      </c>
      <c r="K7" s="83">
        <f>IF($A7="","",COUNTIFS('CAMPAIGN MASTER'!$I$5:$I$704,$A7,'CAMPAIGN MASTER'!$N$5:$N$704,"Completed"))</f>
        <v>0</v>
      </c>
      <c r="L7" s="83">
        <f>IF($A7="","",COUNTIFS('LEAD MQL TRACKER'!$L$5:$L$1004,$A7,'LEAD MQL TRACKER'!$AB$5:$AB$1004,1,'LEAD MQL TRACKER'!$AA$5:$AA$1004,tpCrit)+SUMIFS('EMAIL MARKETING'!$Q$5:$Q$804,'EMAIL MARKETING'!$T$5:$T$804,$A7,'EMAIL MARKETING'!$X$5:$X$804,tpCrit)+SUMIFS('PAID MEDIA ADS'!$M$5:$M$804,'PAID MEDIA ADS'!$R$5:$R$804,$A7,'PAID MEDIA ADS'!$U$5:$U$804,tpCrit)+SUMIFS('LINKEDIN OUTREACH'!$N$5:$N$704,'LINKEDIN OUTREACH'!$P$5:$P$704,$A7,'LINKEDIN OUTREACH'!$S$5:$S$704,tpCrit)+SUMIFS('WEBSITE CONTENT SEO'!$L$5:$L$804,'WEBSITE CONTENT SEO'!$E$5:$E$804,$A7,'WEBSITE CONTENT SEO'!$V$5:$V$804,tpCrit))</f>
        <v>0</v>
      </c>
      <c r="M7" s="83">
        <f>IF($A7="","",COUNTIFS('LEAD MQL TRACKER'!$L$5:$L$1004,$A7,'LEAD MQL TRACKER'!$AD$5:$AD$1004,1,'LEAD MQL TRACKER'!$AA$5:$AA$1004,tpCrit)+SUMIFS('EMAIL MARKETING'!$R$5:$R$804,'EMAIL MARKETING'!$T$5:$T$804,$A7,'EMAIL MARKETING'!$X$5:$X$804,tpCrit)+SUMIFS('PAID MEDIA ADS'!$N$5:$N$804,'PAID MEDIA ADS'!$R$5:$R$804,$A7,'PAID MEDIA ADS'!$U$5:$U$804,tpCrit)+SUMIFS('LINKEDIN OUTREACH'!$O$5:$O$704,'LINKEDIN OUTREACH'!$P$5:$P$704,$A7,'LINKEDIN OUTREACH'!$S$5:$S$704,tpCrit))</f>
        <v>0</v>
      </c>
      <c r="N7" s="83">
        <f>IF($A7="","",COUNTIFS('LEAD MQL TRACKER'!$L$5:$L$1004,$A7,'LEAD MQL TRACKER'!$AE$5:$AE$1004,1,'LEAD MQL TRACKER'!$AA$5:$AA$1004,tpCrit))</f>
        <v>0</v>
      </c>
      <c r="O7" s="83">
        <f>IF($A7="","",COUNTIFS('LEAD MQL TRACKER'!$L$5:$L$1004,$A7,'LEAD MQL TRACKER'!$AC$5:$AC$1004,1,'LEAD MQL TRACKER'!$AA$5:$AA$1004,tpCrit)+SUMIFS('LINKEDIN OUTREACH'!$M$5:$M$704,'LINKEDIN OUTREACH'!$P$5:$P$704,$A7,'LINKEDIN OUTREACH'!$S$5:$S$704,tpCrit))</f>
        <v>0</v>
      </c>
      <c r="P7" s="83">
        <f>IF($A7="","",SUMIFS('EMAIL MARKETING'!$F$5:$F$804,'EMAIL MARKETING'!$T$5:$T$804,$A7,'EMAIL MARKETING'!$X$5:$X$804,tpCrit))</f>
        <v>0</v>
      </c>
      <c r="Q7" s="83">
        <f>IF($A7="","",SUMIFS('EMAIL MARKETING'!$O$5:$O$804,'EMAIL MARKETING'!$T$5:$T$804,$A7,'EMAIL MARKETING'!$X$5:$X$804,tpCrit)+SUMIFS('LINKEDIN OUTREACH'!$K$5:$K$704,'LINKEDIN OUTREACH'!$P$5:$P$704,$A7,'LINKEDIN OUTREACH'!$S$5:$S$704,tpCrit))</f>
        <v>0</v>
      </c>
      <c r="R7" s="83">
        <f>IF($A7="","",COUNTIFS('DAILY TASK TRACKER'!$B$5:$B$1504,$A7,'DAILY TASK TRACKER'!$M$5:$M$1504,"Completed",'DAILY TASK TRACKER'!$I$5:$I$1504,"Critical",'DAILY TASK TRACKER'!$AH$5:$AH$1504,tpCrit)+COUNTIFS('DAILY TASK TRACKER'!$B$5:$B$1504,$A7,'DAILY TASK TRACKER'!$M$5:$M$1504,"Completed",'DAILY TASK TRACKER'!$I$5:$I$1504,"High",'DAILY TASK TRACKER'!$AH$5:$AH$1504,tpCrit))</f>
        <v>0</v>
      </c>
      <c r="S7" s="74">
        <f>IF($A7="","",IF(COUNTIF($H$7:$H$21,"&gt;0")&gt;0,H7/(SUM($H$7:$H$21)/COUNTIF($H$7:$H$21,"&gt;0")),""))</f>
        <v>1.10344827586207</v>
      </c>
      <c r="T7" s="83" t="str">
        <f>IF($A7="","",IF(OR(F7&gt;0,G7&gt;0),"Support needed",IF(AND(ISNUMBER(S7),S7&gt;1.3),"Workload high",IF(C7=0,"No tasks logged","OK"))))</f>
        <v>OK</v>
      </c>
      <c r="U7" s="82" t="str">
        <f t="array" ref="U7">IF($A7="","",_xlfn.TEXTJOIN(", ",TRUE,IF(COUNTIFS('DAILY TASK TRACKER'!$B$5:$B$1504,$A7,'DAILY TASK TRACKER'!$C$5:$C$1504,'CLIENT MASTER'!$A$5:$A$64,'DAILY TASK TRACKER'!$AK$5:$AK$1504,1)&gt;0,'CLIENT MASTER'!$A$5:$A$64,"")))</f>
        <v>Chola MS, Magnasoft, Eternelle, Vestrics, Google Chrome Enterprise</v>
      </c>
    </row>
    <row r="8" ht="28" customHeight="1">
      <c r="A8" s="81" t="str">
        <f>IF('MASTER DATA'!A16="","",'MASTER DATA'!A16)</f>
        <v>Piyush Sambria</v>
      </c>
      <c r="B8" s="82" t="str">
        <f>IF($A8="","",'MASTER DATA'!B16)</f>
        <v>Creative Lead</v>
      </c>
      <c r="C8" s="83">
        <f>IF($A8="","",COUNTIFS('DAILY TASK TRACKER'!$B$5:$B$1504,$A8,'DAILY TASK TRACKER'!$G$5:$G$1504,"&lt;&gt;",'DAILY TASK TRACKER'!$AH$5:$AH$1504,tpCrit))</f>
        <v>0</v>
      </c>
      <c r="D8" s="83">
        <f>IF($A8="","",COUNTIFS('DAILY TASK TRACKER'!$B$5:$B$1504,$A8,'DAILY TASK TRACKER'!$M$5:$M$1504,"Completed",'DAILY TASK TRACKER'!$AH$5:$AH$1504,tpCrit))</f>
        <v>0</v>
      </c>
      <c r="E8" s="70" t="str">
        <f>IF($A8="","",IF(C8&gt;0,D8/C8,""))</f>
        <v/>
      </c>
      <c r="F8" s="83">
        <f>IF($A8="","",SUMIFS('DAILY TASK TRACKER'!$AL$5:$AL$1504,'DAILY TASK TRACKER'!$B$5:$B$1504,$A8,'DAILY TASK TRACKER'!$AH$5:$AH$1504,tpCrit))</f>
        <v>0</v>
      </c>
      <c r="G8" s="83">
        <f>IF($A8="","",SUMIFS('DAILY TASK TRACKER'!$AM$5:$AM$1504,'DAILY TASK TRACKER'!$B$5:$B$1504,$A8,'DAILY TASK TRACKER'!$AH$5:$AH$1504,tpCrit))</f>
        <v>0</v>
      </c>
      <c r="H8" s="83">
        <f>IF($A8="","",SUMIFS('DAILY TASK TRACKER'!$AK$5:$AK$1504,'DAILY TASK TRACKER'!$B$5:$B$1504,$A8,'DAILY TASK TRACKER'!$AH$5:$AH$1504,tpCrit))</f>
        <v>0</v>
      </c>
      <c r="I8" s="83">
        <f>IF($A8="","",SUMIFS('DAILY TASK TRACKER'!$AP$5:$AP$1504,'DAILY TASK TRACKER'!$B$5:$B$1504,$A8,'DAILY TASK TRACKER'!$AH$5:$AH$1504,tpCrit))</f>
        <v>0</v>
      </c>
      <c r="J8" s="83">
        <f>IF($A8="","",COUNTIFS('CAMPAIGN MASTER'!$I$5:$I$704,$A8,'CAMPAIGN MASTER'!$N$5:$N$704,"Live")+COUNTIFS('CAMPAIGN MASTER'!$I$5:$I$704,$A8,'CAMPAIGN MASTER'!$N$5:$N$704,"Optimizing"))</f>
        <v>0</v>
      </c>
      <c r="K8" s="83">
        <f>IF($A8="","",COUNTIFS('CAMPAIGN MASTER'!$I$5:$I$704,$A8,'CAMPAIGN MASTER'!$N$5:$N$704,"Completed"))</f>
        <v>0</v>
      </c>
      <c r="L8" s="83">
        <f>IF($A8="","",COUNTIFS('LEAD MQL TRACKER'!$L$5:$L$1004,$A8,'LEAD MQL TRACKER'!$AB$5:$AB$1004,1,'LEAD MQL TRACKER'!$AA$5:$AA$1004,tpCrit)+SUMIFS('EMAIL MARKETING'!$Q$5:$Q$804,'EMAIL MARKETING'!$T$5:$T$804,$A8,'EMAIL MARKETING'!$X$5:$X$804,tpCrit)+SUMIFS('PAID MEDIA ADS'!$M$5:$M$804,'PAID MEDIA ADS'!$R$5:$R$804,$A8,'PAID MEDIA ADS'!$U$5:$U$804,tpCrit)+SUMIFS('LINKEDIN OUTREACH'!$N$5:$N$704,'LINKEDIN OUTREACH'!$P$5:$P$704,$A8,'LINKEDIN OUTREACH'!$S$5:$S$704,tpCrit)+SUMIFS('WEBSITE CONTENT SEO'!$L$5:$L$804,'WEBSITE CONTENT SEO'!$E$5:$E$804,$A8,'WEBSITE CONTENT SEO'!$V$5:$V$804,tpCrit))</f>
        <v>0</v>
      </c>
      <c r="M8" s="83">
        <f>IF($A8="","",COUNTIFS('LEAD MQL TRACKER'!$L$5:$L$1004,$A8,'LEAD MQL TRACKER'!$AD$5:$AD$1004,1,'LEAD MQL TRACKER'!$AA$5:$AA$1004,tpCrit)+SUMIFS('EMAIL MARKETING'!$R$5:$R$804,'EMAIL MARKETING'!$T$5:$T$804,$A8,'EMAIL MARKETING'!$X$5:$X$804,tpCrit)+SUMIFS('PAID MEDIA ADS'!$N$5:$N$804,'PAID MEDIA ADS'!$R$5:$R$804,$A8,'PAID MEDIA ADS'!$U$5:$U$804,tpCrit)+SUMIFS('LINKEDIN OUTREACH'!$O$5:$O$704,'LINKEDIN OUTREACH'!$P$5:$P$704,$A8,'LINKEDIN OUTREACH'!$S$5:$S$704,tpCrit))</f>
        <v>0</v>
      </c>
      <c r="N8" s="83">
        <f>IF($A8="","",COUNTIFS('LEAD MQL TRACKER'!$L$5:$L$1004,$A8,'LEAD MQL TRACKER'!$AE$5:$AE$1004,1,'LEAD MQL TRACKER'!$AA$5:$AA$1004,tpCrit))</f>
        <v>0</v>
      </c>
      <c r="O8" s="83">
        <f>IF($A8="","",COUNTIFS('LEAD MQL TRACKER'!$L$5:$L$1004,$A8,'LEAD MQL TRACKER'!$AC$5:$AC$1004,1,'LEAD MQL TRACKER'!$AA$5:$AA$1004,tpCrit)+SUMIFS('LINKEDIN OUTREACH'!$M$5:$M$704,'LINKEDIN OUTREACH'!$P$5:$P$704,$A8,'LINKEDIN OUTREACH'!$S$5:$S$704,tpCrit))</f>
        <v>0</v>
      </c>
      <c r="P8" s="83">
        <f>IF($A8="","",SUMIFS('EMAIL MARKETING'!$F$5:$F$804,'EMAIL MARKETING'!$T$5:$T$804,$A8,'EMAIL MARKETING'!$X$5:$X$804,tpCrit))</f>
        <v>0</v>
      </c>
      <c r="Q8" s="83">
        <f>IF($A8="","",SUMIFS('EMAIL MARKETING'!$O$5:$O$804,'EMAIL MARKETING'!$T$5:$T$804,$A8,'EMAIL MARKETING'!$X$5:$X$804,tpCrit)+SUMIFS('LINKEDIN OUTREACH'!$K$5:$K$704,'LINKEDIN OUTREACH'!$P$5:$P$704,$A8,'LINKEDIN OUTREACH'!$S$5:$S$704,tpCrit))</f>
        <v>0</v>
      </c>
      <c r="R8" s="83">
        <f>IF($A8="","",COUNTIFS('DAILY TASK TRACKER'!$B$5:$B$1504,$A8,'DAILY TASK TRACKER'!$M$5:$M$1504,"Completed",'DAILY TASK TRACKER'!$I$5:$I$1504,"Critical",'DAILY TASK TRACKER'!$AH$5:$AH$1504,tpCrit)+COUNTIFS('DAILY TASK TRACKER'!$B$5:$B$1504,$A8,'DAILY TASK TRACKER'!$M$5:$M$1504,"Completed",'DAILY TASK TRACKER'!$I$5:$I$1504,"High",'DAILY TASK TRACKER'!$AH$5:$AH$1504,tpCrit))</f>
        <v>0</v>
      </c>
      <c r="S8" s="74">
        <f>IF($A8="","",IF(COUNTIF($H$7:$H$21,"&gt;0")&gt;0,H8/(SUM($H$7:$H$21)/COUNTIF($H$7:$H$21,"&gt;0")),""))</f>
        <v>0</v>
      </c>
      <c r="T8" s="83" t="str">
        <f>IF($A8="","",IF(OR(F8&gt;0,G8&gt;0),"Support needed",IF(AND(ISNUMBER(S8),S8&gt;1.3),"Workload high",IF(C8=0,"No tasks logged","OK"))))</f>
        <v>No tasks logged</v>
      </c>
      <c r="U8" s="82" t="str">
        <f t="array" ref="U8">IF($A8="","",_xlfn.TEXTJOIN(", ",TRUE,IF(COUNTIFS('DAILY TASK TRACKER'!$B$5:$B$1504,$A8,'DAILY TASK TRACKER'!$C$5:$C$1504,'CLIENT MASTER'!$A$5:$A$64,'DAILY TASK TRACKER'!$AK$5:$AK$1504,1)&gt;0,'CLIENT MASTER'!$A$5:$A$64,"")))</f>
        <v/>
      </c>
    </row>
    <row r="9" ht="28" customHeight="1">
      <c r="A9" s="81" t="str">
        <f>IF('MASTER DATA'!A17="","",'MASTER DATA'!A17)</f>
        <v>Riya Diwan</v>
      </c>
      <c r="B9" s="82" t="str">
        <f>IF($A9="","",'MASTER DATA'!B17)</f>
        <v>Program Execution Expert</v>
      </c>
      <c r="C9" s="83">
        <f>IF($A9="","",COUNTIFS('DAILY TASK TRACKER'!$B$5:$B$1504,$A9,'DAILY TASK TRACKER'!$G$5:$G$1504,"&lt;&gt;",'DAILY TASK TRACKER'!$AH$5:$AH$1504,tpCrit))</f>
        <v>16</v>
      </c>
      <c r="D9" s="83">
        <f>IF($A9="","",COUNTIFS('DAILY TASK TRACKER'!$B$5:$B$1504,$A9,'DAILY TASK TRACKER'!$M$5:$M$1504,"Completed",'DAILY TASK TRACKER'!$AH$5:$AH$1504,tpCrit))</f>
        <v>0</v>
      </c>
      <c r="E9" s="70">
        <f>IF($A9="","",IF(C9&gt;0,D9/C9,""))</f>
        <v>0</v>
      </c>
      <c r="F9" s="83">
        <f>IF($A9="","",SUMIFS('DAILY TASK TRACKER'!$AL$5:$AL$1504,'DAILY TASK TRACKER'!$B$5:$B$1504,$A9,'DAILY TASK TRACKER'!$AH$5:$AH$1504,tpCrit))</f>
        <v>0</v>
      </c>
      <c r="G9" s="83">
        <f>IF($A9="","",SUMIFS('DAILY TASK TRACKER'!$AM$5:$AM$1504,'DAILY TASK TRACKER'!$B$5:$B$1504,$A9,'DAILY TASK TRACKER'!$AH$5:$AH$1504,tpCrit))</f>
        <v>0</v>
      </c>
      <c r="H9" s="83">
        <f>IF($A9="","",SUMIFS('DAILY TASK TRACKER'!$AK$5:$AK$1504,'DAILY TASK TRACKER'!$B$5:$B$1504,$A9,'DAILY TASK TRACKER'!$AH$5:$AH$1504,tpCrit))</f>
        <v>16</v>
      </c>
      <c r="I9" s="83">
        <f>IF($A9="","",SUMIFS('DAILY TASK TRACKER'!$AP$5:$AP$1504,'DAILY TASK TRACKER'!$B$5:$B$1504,$A9,'DAILY TASK TRACKER'!$AH$5:$AH$1504,tpCrit))</f>
        <v>0</v>
      </c>
      <c r="J9" s="83">
        <f>IF($A9="","",COUNTIFS('CAMPAIGN MASTER'!$I$5:$I$704,$A9,'CAMPAIGN MASTER'!$N$5:$N$704,"Live")+COUNTIFS('CAMPAIGN MASTER'!$I$5:$I$704,$A9,'CAMPAIGN MASTER'!$N$5:$N$704,"Optimizing"))</f>
        <v>0</v>
      </c>
      <c r="K9" s="83">
        <f>IF($A9="","",COUNTIFS('CAMPAIGN MASTER'!$I$5:$I$704,$A9,'CAMPAIGN MASTER'!$N$5:$N$704,"Completed"))</f>
        <v>0</v>
      </c>
      <c r="L9" s="83">
        <f>IF($A9="","",COUNTIFS('LEAD MQL TRACKER'!$L$5:$L$1004,$A9,'LEAD MQL TRACKER'!$AB$5:$AB$1004,1,'LEAD MQL TRACKER'!$AA$5:$AA$1004,tpCrit)+SUMIFS('EMAIL MARKETING'!$Q$5:$Q$804,'EMAIL MARKETING'!$T$5:$T$804,$A9,'EMAIL MARKETING'!$X$5:$X$804,tpCrit)+SUMIFS('PAID MEDIA ADS'!$M$5:$M$804,'PAID MEDIA ADS'!$R$5:$R$804,$A9,'PAID MEDIA ADS'!$U$5:$U$804,tpCrit)+SUMIFS('LINKEDIN OUTREACH'!$N$5:$N$704,'LINKEDIN OUTREACH'!$P$5:$P$704,$A9,'LINKEDIN OUTREACH'!$S$5:$S$704,tpCrit)+SUMIFS('WEBSITE CONTENT SEO'!$L$5:$L$804,'WEBSITE CONTENT SEO'!$E$5:$E$804,$A9,'WEBSITE CONTENT SEO'!$V$5:$V$804,tpCrit))</f>
        <v>0</v>
      </c>
      <c r="M9" s="83">
        <f>IF($A9="","",COUNTIFS('LEAD MQL TRACKER'!$L$5:$L$1004,$A9,'LEAD MQL TRACKER'!$AD$5:$AD$1004,1,'LEAD MQL TRACKER'!$AA$5:$AA$1004,tpCrit)+SUMIFS('EMAIL MARKETING'!$R$5:$R$804,'EMAIL MARKETING'!$T$5:$T$804,$A9,'EMAIL MARKETING'!$X$5:$X$804,tpCrit)+SUMIFS('PAID MEDIA ADS'!$N$5:$N$804,'PAID MEDIA ADS'!$R$5:$R$804,$A9,'PAID MEDIA ADS'!$U$5:$U$804,tpCrit)+SUMIFS('LINKEDIN OUTREACH'!$O$5:$O$704,'LINKEDIN OUTREACH'!$P$5:$P$704,$A9,'LINKEDIN OUTREACH'!$S$5:$S$704,tpCrit))</f>
        <v>0</v>
      </c>
      <c r="N9" s="83">
        <f>IF($A9="","",COUNTIFS('LEAD MQL TRACKER'!$L$5:$L$1004,$A9,'LEAD MQL TRACKER'!$AE$5:$AE$1004,1,'LEAD MQL TRACKER'!$AA$5:$AA$1004,tpCrit))</f>
        <v>0</v>
      </c>
      <c r="O9" s="83">
        <f>IF($A9="","",COUNTIFS('LEAD MQL TRACKER'!$L$5:$L$1004,$A9,'LEAD MQL TRACKER'!$AC$5:$AC$1004,1,'LEAD MQL TRACKER'!$AA$5:$AA$1004,tpCrit)+SUMIFS('LINKEDIN OUTREACH'!$M$5:$M$704,'LINKEDIN OUTREACH'!$P$5:$P$704,$A9,'LINKEDIN OUTREACH'!$S$5:$S$704,tpCrit))</f>
        <v>0</v>
      </c>
      <c r="P9" s="83">
        <f>IF($A9="","",SUMIFS('EMAIL MARKETING'!$F$5:$F$804,'EMAIL MARKETING'!$T$5:$T$804,$A9,'EMAIL MARKETING'!$X$5:$X$804,tpCrit))</f>
        <v>0</v>
      </c>
      <c r="Q9" s="83">
        <f>IF($A9="","",SUMIFS('EMAIL MARKETING'!$O$5:$O$804,'EMAIL MARKETING'!$T$5:$T$804,$A9,'EMAIL MARKETING'!$X$5:$X$804,tpCrit)+SUMIFS('LINKEDIN OUTREACH'!$K$5:$K$704,'LINKEDIN OUTREACH'!$P$5:$P$704,$A9,'LINKEDIN OUTREACH'!$S$5:$S$704,tpCrit))</f>
        <v>0</v>
      </c>
      <c r="R9" s="83">
        <f>IF($A9="","",COUNTIFS('DAILY TASK TRACKER'!$B$5:$B$1504,$A9,'DAILY TASK TRACKER'!$M$5:$M$1504,"Completed",'DAILY TASK TRACKER'!$I$5:$I$1504,"Critical",'DAILY TASK TRACKER'!$AH$5:$AH$1504,tpCrit)+COUNTIFS('DAILY TASK TRACKER'!$B$5:$B$1504,$A9,'DAILY TASK TRACKER'!$M$5:$M$1504,"Completed",'DAILY TASK TRACKER'!$I$5:$I$1504,"High",'DAILY TASK TRACKER'!$AH$5:$AH$1504,tpCrit))</f>
        <v>0</v>
      </c>
      <c r="S9" s="74">
        <f>IF($A9="","",IF(COUNTIF($H$7:$H$21,"&gt;0")&gt;0,H9/(SUM($H$7:$H$21)/COUNTIF($H$7:$H$21,"&gt;0")),""))</f>
        <v>1.10344827586207</v>
      </c>
      <c r="T9" s="83" t="str">
        <f>IF($A9="","",IF(OR(F9&gt;0,G9&gt;0),"Support needed",IF(AND(ISNUMBER(S9),S9&gt;1.3),"Workload high",IF(C9=0,"No tasks logged","OK"))))</f>
        <v>OK</v>
      </c>
      <c r="U9" s="82" t="str">
        <f t="array" ref="U9">IF($A9="","",_xlfn.TEXTJOIN(", ",TRUE,IF(COUNTIFS('DAILY TASK TRACKER'!$B$5:$B$1504,$A9,'DAILY TASK TRACKER'!$C$5:$C$1504,'CLIENT MASTER'!$A$5:$A$64,'DAILY TASK TRACKER'!$AK$5:$AK$1504,1)&gt;0,'CLIENT MASTER'!$A$5:$A$64,"")))</f>
        <v>Chola MS, Magnasoft, Eternelle, Vestrics, SAP, Google Chrome Enterprise</v>
      </c>
    </row>
    <row r="10" ht="28" customHeight="1">
      <c r="A10" s="81" t="str">
        <f>IF('MASTER DATA'!A18="","",'MASTER DATA'!A18)</f>
        <v>Surbhi Pandey</v>
      </c>
      <c r="B10" s="82" t="str">
        <f>IF($A10="","",'MASTER DATA'!B18)</f>
        <v>Program Execution Expert</v>
      </c>
      <c r="C10" s="83">
        <f>IF($A10="","",COUNTIFS('DAILY TASK TRACKER'!$B$5:$B$1504,$A10,'DAILY TASK TRACKER'!$G$5:$G$1504,"&lt;&gt;",'DAILY TASK TRACKER'!$AH$5:$AH$1504,tpCrit))</f>
        <v>19</v>
      </c>
      <c r="D10" s="83">
        <f>IF($A10="","",COUNTIFS('DAILY TASK TRACKER'!$B$5:$B$1504,$A10,'DAILY TASK TRACKER'!$M$5:$M$1504,"Completed",'DAILY TASK TRACKER'!$AH$5:$AH$1504,tpCrit))</f>
        <v>0</v>
      </c>
      <c r="E10" s="70">
        <f>IF($A10="","",IF(C10&gt;0,D10/C10,""))</f>
        <v>0</v>
      </c>
      <c r="F10" s="83">
        <f>IF($A10="","",SUMIFS('DAILY TASK TRACKER'!$AL$5:$AL$1504,'DAILY TASK TRACKER'!$B$5:$B$1504,$A10,'DAILY TASK TRACKER'!$AH$5:$AH$1504,tpCrit))</f>
        <v>3</v>
      </c>
      <c r="G10" s="83">
        <f>IF($A10="","",SUMIFS('DAILY TASK TRACKER'!$AM$5:$AM$1504,'DAILY TASK TRACKER'!$B$5:$B$1504,$A10,'DAILY TASK TRACKER'!$AH$5:$AH$1504,tpCrit))</f>
        <v>0</v>
      </c>
      <c r="H10" s="83">
        <f>IF($A10="","",SUMIFS('DAILY TASK TRACKER'!$AK$5:$AK$1504,'DAILY TASK TRACKER'!$B$5:$B$1504,$A10,'DAILY TASK TRACKER'!$AH$5:$AH$1504,tpCrit))</f>
        <v>19</v>
      </c>
      <c r="I10" s="83">
        <f>IF($A10="","",SUMIFS('DAILY TASK TRACKER'!$AP$5:$AP$1504,'DAILY TASK TRACKER'!$B$5:$B$1504,$A10,'DAILY TASK TRACKER'!$AH$5:$AH$1504,tpCrit))</f>
        <v>1</v>
      </c>
      <c r="J10" s="83">
        <f>IF($A10="","",COUNTIFS('CAMPAIGN MASTER'!$I$5:$I$704,$A10,'CAMPAIGN MASTER'!$N$5:$N$704,"Live")+COUNTIFS('CAMPAIGN MASTER'!$I$5:$I$704,$A10,'CAMPAIGN MASTER'!$N$5:$N$704,"Optimizing"))</f>
        <v>0</v>
      </c>
      <c r="K10" s="83">
        <f>IF($A10="","",COUNTIFS('CAMPAIGN MASTER'!$I$5:$I$704,$A10,'CAMPAIGN MASTER'!$N$5:$N$704,"Completed"))</f>
        <v>0</v>
      </c>
      <c r="L10" s="83">
        <f>IF($A10="","",COUNTIFS('LEAD MQL TRACKER'!$L$5:$L$1004,$A10,'LEAD MQL TRACKER'!$AB$5:$AB$1004,1,'LEAD MQL TRACKER'!$AA$5:$AA$1004,tpCrit)+SUMIFS('EMAIL MARKETING'!$Q$5:$Q$804,'EMAIL MARKETING'!$T$5:$T$804,$A10,'EMAIL MARKETING'!$X$5:$X$804,tpCrit)+SUMIFS('PAID MEDIA ADS'!$M$5:$M$804,'PAID MEDIA ADS'!$R$5:$R$804,$A10,'PAID MEDIA ADS'!$U$5:$U$804,tpCrit)+SUMIFS('LINKEDIN OUTREACH'!$N$5:$N$704,'LINKEDIN OUTREACH'!$P$5:$P$704,$A10,'LINKEDIN OUTREACH'!$S$5:$S$704,tpCrit)+SUMIFS('WEBSITE CONTENT SEO'!$L$5:$L$804,'WEBSITE CONTENT SEO'!$E$5:$E$804,$A10,'WEBSITE CONTENT SEO'!$V$5:$V$804,tpCrit))</f>
        <v>0</v>
      </c>
      <c r="M10" s="83">
        <f>IF($A10="","",COUNTIFS('LEAD MQL TRACKER'!$L$5:$L$1004,$A10,'LEAD MQL TRACKER'!$AD$5:$AD$1004,1,'LEAD MQL TRACKER'!$AA$5:$AA$1004,tpCrit)+SUMIFS('EMAIL MARKETING'!$R$5:$R$804,'EMAIL MARKETING'!$T$5:$T$804,$A10,'EMAIL MARKETING'!$X$5:$X$804,tpCrit)+SUMIFS('PAID MEDIA ADS'!$N$5:$N$804,'PAID MEDIA ADS'!$R$5:$R$804,$A10,'PAID MEDIA ADS'!$U$5:$U$804,tpCrit)+SUMIFS('LINKEDIN OUTREACH'!$O$5:$O$704,'LINKEDIN OUTREACH'!$P$5:$P$704,$A10,'LINKEDIN OUTREACH'!$S$5:$S$704,tpCrit))</f>
        <v>0</v>
      </c>
      <c r="N10" s="83">
        <f>IF($A10="","",COUNTIFS('LEAD MQL TRACKER'!$L$5:$L$1004,$A10,'LEAD MQL TRACKER'!$AE$5:$AE$1004,1,'LEAD MQL TRACKER'!$AA$5:$AA$1004,tpCrit))</f>
        <v>0</v>
      </c>
      <c r="O10" s="83">
        <f>IF($A10="","",COUNTIFS('LEAD MQL TRACKER'!$L$5:$L$1004,$A10,'LEAD MQL TRACKER'!$AC$5:$AC$1004,1,'LEAD MQL TRACKER'!$AA$5:$AA$1004,tpCrit)+SUMIFS('LINKEDIN OUTREACH'!$M$5:$M$704,'LINKEDIN OUTREACH'!$P$5:$P$704,$A10,'LINKEDIN OUTREACH'!$S$5:$S$704,tpCrit))</f>
        <v>0</v>
      </c>
      <c r="P10" s="83">
        <f>IF($A10="","",SUMIFS('EMAIL MARKETING'!$F$5:$F$804,'EMAIL MARKETING'!$T$5:$T$804,$A10,'EMAIL MARKETING'!$X$5:$X$804,tpCrit))</f>
        <v>0</v>
      </c>
      <c r="Q10" s="83">
        <f>IF($A10="","",SUMIFS('EMAIL MARKETING'!$O$5:$O$804,'EMAIL MARKETING'!$T$5:$T$804,$A10,'EMAIL MARKETING'!$X$5:$X$804,tpCrit)+SUMIFS('LINKEDIN OUTREACH'!$K$5:$K$704,'LINKEDIN OUTREACH'!$P$5:$P$704,$A10,'LINKEDIN OUTREACH'!$S$5:$S$704,tpCrit))</f>
        <v>0</v>
      </c>
      <c r="R10" s="83">
        <f>IF($A10="","",COUNTIFS('DAILY TASK TRACKER'!$B$5:$B$1504,$A10,'DAILY TASK TRACKER'!$M$5:$M$1504,"Completed",'DAILY TASK TRACKER'!$I$5:$I$1504,"Critical",'DAILY TASK TRACKER'!$AH$5:$AH$1504,tpCrit)+COUNTIFS('DAILY TASK TRACKER'!$B$5:$B$1504,$A10,'DAILY TASK TRACKER'!$M$5:$M$1504,"Completed",'DAILY TASK TRACKER'!$I$5:$I$1504,"High",'DAILY TASK TRACKER'!$AH$5:$AH$1504,tpCrit))</f>
        <v>0</v>
      </c>
      <c r="S10" s="74">
        <f>IF($A10="","",IF(COUNTIF($H$7:$H$21,"&gt;0")&gt;0,H10/(SUM($H$7:$H$21)/COUNTIF($H$7:$H$21,"&gt;0")),""))</f>
        <v>1.31034482758621</v>
      </c>
      <c r="T10" s="83" t="str">
        <f>IF($A10="","",IF(OR(F10&gt;0,G10&gt;0),"Support needed",IF(AND(ISNUMBER(S10),S10&gt;1.3),"Workload high",IF(C10=0,"No tasks logged","OK"))))</f>
        <v>Support needed</v>
      </c>
      <c r="U10" s="82" t="str">
        <f t="array" ref="U10">IF($A10="","",_xlfn.TEXTJOIN(", ",TRUE,IF(COUNTIFS('DAILY TASK TRACKER'!$B$5:$B$1504,$A10,'DAILY TASK TRACKER'!$C$5:$C$1504,'CLIENT MASTER'!$A$5:$A$64,'DAILY TASK TRACKER'!$AK$5:$AK$1504,1)&gt;0,'CLIENT MASTER'!$A$5:$A$64,"")))</f>
        <v>SAP, Utimaco Singapore</v>
      </c>
    </row>
    <row r="11" ht="28" customHeight="1">
      <c r="A11" s="81" t="str">
        <f>IF('MASTER DATA'!A19="","",'MASTER DATA'!A19)</f>
        <v>Rahul Sondhi</v>
      </c>
      <c r="B11" s="82" t="str">
        <f>IF($A11="","",'MASTER DATA'!B19)</f>
        <v>Video Lead</v>
      </c>
      <c r="C11" s="83">
        <f>IF($A11="","",COUNTIFS('DAILY TASK TRACKER'!$B$5:$B$1504,$A11,'DAILY TASK TRACKER'!$G$5:$G$1504,"&lt;&gt;",'DAILY TASK TRACKER'!$AH$5:$AH$1504,tpCrit))</f>
        <v>0</v>
      </c>
      <c r="D11" s="83">
        <f>IF($A11="","",COUNTIFS('DAILY TASK TRACKER'!$B$5:$B$1504,$A11,'DAILY TASK TRACKER'!$M$5:$M$1504,"Completed",'DAILY TASK TRACKER'!$AH$5:$AH$1504,tpCrit))</f>
        <v>0</v>
      </c>
      <c r="E11" s="70" t="str">
        <f>IF($A11="","",IF(C11&gt;0,D11/C11,""))</f>
        <v/>
      </c>
      <c r="F11" s="83">
        <f>IF($A11="","",SUMIFS('DAILY TASK TRACKER'!$AL$5:$AL$1504,'DAILY TASK TRACKER'!$B$5:$B$1504,$A11,'DAILY TASK TRACKER'!$AH$5:$AH$1504,tpCrit))</f>
        <v>0</v>
      </c>
      <c r="G11" s="83">
        <f>IF($A11="","",SUMIFS('DAILY TASK TRACKER'!$AM$5:$AM$1504,'DAILY TASK TRACKER'!$B$5:$B$1504,$A11,'DAILY TASK TRACKER'!$AH$5:$AH$1504,tpCrit))</f>
        <v>0</v>
      </c>
      <c r="H11" s="83">
        <f>IF($A11="","",SUMIFS('DAILY TASK TRACKER'!$AK$5:$AK$1504,'DAILY TASK TRACKER'!$B$5:$B$1504,$A11,'DAILY TASK TRACKER'!$AH$5:$AH$1504,tpCrit))</f>
        <v>0</v>
      </c>
      <c r="I11" s="83">
        <f>IF($A11="","",SUMIFS('DAILY TASK TRACKER'!$AP$5:$AP$1504,'DAILY TASK TRACKER'!$B$5:$B$1504,$A11,'DAILY TASK TRACKER'!$AH$5:$AH$1504,tpCrit))</f>
        <v>0</v>
      </c>
      <c r="J11" s="83">
        <f>IF($A11="","",COUNTIFS('CAMPAIGN MASTER'!$I$5:$I$704,$A11,'CAMPAIGN MASTER'!$N$5:$N$704,"Live")+COUNTIFS('CAMPAIGN MASTER'!$I$5:$I$704,$A11,'CAMPAIGN MASTER'!$N$5:$N$704,"Optimizing"))</f>
        <v>0</v>
      </c>
      <c r="K11" s="83">
        <f>IF($A11="","",COUNTIFS('CAMPAIGN MASTER'!$I$5:$I$704,$A11,'CAMPAIGN MASTER'!$N$5:$N$704,"Completed"))</f>
        <v>0</v>
      </c>
      <c r="L11" s="83">
        <f>IF($A11="","",COUNTIFS('LEAD MQL TRACKER'!$L$5:$L$1004,$A11,'LEAD MQL TRACKER'!$AB$5:$AB$1004,1,'LEAD MQL TRACKER'!$AA$5:$AA$1004,tpCrit)+SUMIFS('EMAIL MARKETING'!$Q$5:$Q$804,'EMAIL MARKETING'!$T$5:$T$804,$A11,'EMAIL MARKETING'!$X$5:$X$804,tpCrit)+SUMIFS('PAID MEDIA ADS'!$M$5:$M$804,'PAID MEDIA ADS'!$R$5:$R$804,$A11,'PAID MEDIA ADS'!$U$5:$U$804,tpCrit)+SUMIFS('LINKEDIN OUTREACH'!$N$5:$N$704,'LINKEDIN OUTREACH'!$P$5:$P$704,$A11,'LINKEDIN OUTREACH'!$S$5:$S$704,tpCrit)+SUMIFS('WEBSITE CONTENT SEO'!$L$5:$L$804,'WEBSITE CONTENT SEO'!$E$5:$E$804,$A11,'WEBSITE CONTENT SEO'!$V$5:$V$804,tpCrit))</f>
        <v>0</v>
      </c>
      <c r="M11" s="83">
        <f>IF($A11="","",COUNTIFS('LEAD MQL TRACKER'!$L$5:$L$1004,$A11,'LEAD MQL TRACKER'!$AD$5:$AD$1004,1,'LEAD MQL TRACKER'!$AA$5:$AA$1004,tpCrit)+SUMIFS('EMAIL MARKETING'!$R$5:$R$804,'EMAIL MARKETING'!$T$5:$T$804,$A11,'EMAIL MARKETING'!$X$5:$X$804,tpCrit)+SUMIFS('PAID MEDIA ADS'!$N$5:$N$804,'PAID MEDIA ADS'!$R$5:$R$804,$A11,'PAID MEDIA ADS'!$U$5:$U$804,tpCrit)+SUMIFS('LINKEDIN OUTREACH'!$O$5:$O$704,'LINKEDIN OUTREACH'!$P$5:$P$704,$A11,'LINKEDIN OUTREACH'!$S$5:$S$704,tpCrit))</f>
        <v>0</v>
      </c>
      <c r="N11" s="83">
        <f>IF($A11="","",COUNTIFS('LEAD MQL TRACKER'!$L$5:$L$1004,$A11,'LEAD MQL TRACKER'!$AE$5:$AE$1004,1,'LEAD MQL TRACKER'!$AA$5:$AA$1004,tpCrit))</f>
        <v>0</v>
      </c>
      <c r="O11" s="83">
        <f>IF($A11="","",COUNTIFS('LEAD MQL TRACKER'!$L$5:$L$1004,$A11,'LEAD MQL TRACKER'!$AC$5:$AC$1004,1,'LEAD MQL TRACKER'!$AA$5:$AA$1004,tpCrit)+SUMIFS('LINKEDIN OUTREACH'!$M$5:$M$704,'LINKEDIN OUTREACH'!$P$5:$P$704,$A11,'LINKEDIN OUTREACH'!$S$5:$S$704,tpCrit))</f>
        <v>0</v>
      </c>
      <c r="P11" s="83">
        <f>IF($A11="","",SUMIFS('EMAIL MARKETING'!$F$5:$F$804,'EMAIL MARKETING'!$T$5:$T$804,$A11,'EMAIL MARKETING'!$X$5:$X$804,tpCrit))</f>
        <v>0</v>
      </c>
      <c r="Q11" s="83">
        <f>IF($A11="","",SUMIFS('EMAIL MARKETING'!$O$5:$O$804,'EMAIL MARKETING'!$T$5:$T$804,$A11,'EMAIL MARKETING'!$X$5:$X$804,tpCrit)+SUMIFS('LINKEDIN OUTREACH'!$K$5:$K$704,'LINKEDIN OUTREACH'!$P$5:$P$704,$A11,'LINKEDIN OUTREACH'!$S$5:$S$704,tpCrit))</f>
        <v>0</v>
      </c>
      <c r="R11" s="83">
        <f>IF($A11="","",COUNTIFS('DAILY TASK TRACKER'!$B$5:$B$1504,$A11,'DAILY TASK TRACKER'!$M$5:$M$1504,"Completed",'DAILY TASK TRACKER'!$I$5:$I$1504,"Critical",'DAILY TASK TRACKER'!$AH$5:$AH$1504,tpCrit)+COUNTIFS('DAILY TASK TRACKER'!$B$5:$B$1504,$A11,'DAILY TASK TRACKER'!$M$5:$M$1504,"Completed",'DAILY TASK TRACKER'!$I$5:$I$1504,"High",'DAILY TASK TRACKER'!$AH$5:$AH$1504,tpCrit))</f>
        <v>0</v>
      </c>
      <c r="S11" s="74">
        <f>IF($A11="","",IF(COUNTIF($H$7:$H$21,"&gt;0")&gt;0,H11/(SUM($H$7:$H$21)/COUNTIF($H$7:$H$21,"&gt;0")),""))</f>
        <v>0</v>
      </c>
      <c r="T11" s="83" t="str">
        <f>IF($A11="","",IF(OR(F11&gt;0,G11&gt;0),"Support needed",IF(AND(ISNUMBER(S11),S11&gt;1.3),"Workload high",IF(C11=0,"No tasks logged","OK"))))</f>
        <v>No tasks logged</v>
      </c>
      <c r="U11" s="82" t="str">
        <f t="array" ref="U11">IF($A11="","",_xlfn.TEXTJOIN(", ",TRUE,IF(COUNTIFS('DAILY TASK TRACKER'!$B$5:$B$1504,$A11,'DAILY TASK TRACKER'!$C$5:$C$1504,'CLIENT MASTER'!$A$5:$A$64,'DAILY TASK TRACKER'!$AK$5:$AK$1504,1)&gt;0,'CLIENT MASTER'!$A$5:$A$64,"")))</f>
        <v/>
      </c>
    </row>
    <row r="12" ht="28" customHeight="1">
      <c r="A12" s="81" t="str">
        <f>IF('MASTER DATA'!A20="","",'MASTER DATA'!A20)</f>
        <v>Priyanshu</v>
      </c>
      <c r="B12" s="82" t="str">
        <f>IF($A12="","",'MASTER DATA'!B20)</f>
        <v>Content Lead</v>
      </c>
      <c r="C12" s="83">
        <f>IF($A12="","",COUNTIFS('DAILY TASK TRACKER'!$B$5:$B$1504,$A12,'DAILY TASK TRACKER'!$G$5:$G$1504,"&lt;&gt;",'DAILY TASK TRACKER'!$AH$5:$AH$1504,tpCrit))</f>
        <v>0</v>
      </c>
      <c r="D12" s="83">
        <f>IF($A12="","",COUNTIFS('DAILY TASK TRACKER'!$B$5:$B$1504,$A12,'DAILY TASK TRACKER'!$M$5:$M$1504,"Completed",'DAILY TASK TRACKER'!$AH$5:$AH$1504,tpCrit))</f>
        <v>0</v>
      </c>
      <c r="E12" s="70" t="str">
        <f>IF($A12="","",IF(C12&gt;0,D12/C12,""))</f>
        <v/>
      </c>
      <c r="F12" s="83">
        <f>IF($A12="","",SUMIFS('DAILY TASK TRACKER'!$AL$5:$AL$1504,'DAILY TASK TRACKER'!$B$5:$B$1504,$A12,'DAILY TASK TRACKER'!$AH$5:$AH$1504,tpCrit))</f>
        <v>0</v>
      </c>
      <c r="G12" s="83">
        <f>IF($A12="","",SUMIFS('DAILY TASK TRACKER'!$AM$5:$AM$1504,'DAILY TASK TRACKER'!$B$5:$B$1504,$A12,'DAILY TASK TRACKER'!$AH$5:$AH$1504,tpCrit))</f>
        <v>0</v>
      </c>
      <c r="H12" s="83">
        <f>IF($A12="","",SUMIFS('DAILY TASK TRACKER'!$AK$5:$AK$1504,'DAILY TASK TRACKER'!$B$5:$B$1504,$A12,'DAILY TASK TRACKER'!$AH$5:$AH$1504,tpCrit))</f>
        <v>0</v>
      </c>
      <c r="I12" s="83">
        <f>IF($A12="","",SUMIFS('DAILY TASK TRACKER'!$AP$5:$AP$1504,'DAILY TASK TRACKER'!$B$5:$B$1504,$A12,'DAILY TASK TRACKER'!$AH$5:$AH$1504,tpCrit))</f>
        <v>0</v>
      </c>
      <c r="J12" s="83">
        <f>IF($A12="","",COUNTIFS('CAMPAIGN MASTER'!$I$5:$I$704,$A12,'CAMPAIGN MASTER'!$N$5:$N$704,"Live")+COUNTIFS('CAMPAIGN MASTER'!$I$5:$I$704,$A12,'CAMPAIGN MASTER'!$N$5:$N$704,"Optimizing"))</f>
        <v>0</v>
      </c>
      <c r="K12" s="83">
        <f>IF($A12="","",COUNTIFS('CAMPAIGN MASTER'!$I$5:$I$704,$A12,'CAMPAIGN MASTER'!$N$5:$N$704,"Completed"))</f>
        <v>0</v>
      </c>
      <c r="L12" s="83">
        <f>IF($A12="","",COUNTIFS('LEAD MQL TRACKER'!$L$5:$L$1004,$A12,'LEAD MQL TRACKER'!$AB$5:$AB$1004,1,'LEAD MQL TRACKER'!$AA$5:$AA$1004,tpCrit)+SUMIFS('EMAIL MARKETING'!$Q$5:$Q$804,'EMAIL MARKETING'!$T$5:$T$804,$A12,'EMAIL MARKETING'!$X$5:$X$804,tpCrit)+SUMIFS('PAID MEDIA ADS'!$M$5:$M$804,'PAID MEDIA ADS'!$R$5:$R$804,$A12,'PAID MEDIA ADS'!$U$5:$U$804,tpCrit)+SUMIFS('LINKEDIN OUTREACH'!$N$5:$N$704,'LINKEDIN OUTREACH'!$P$5:$P$704,$A12,'LINKEDIN OUTREACH'!$S$5:$S$704,tpCrit)+SUMIFS('WEBSITE CONTENT SEO'!$L$5:$L$804,'WEBSITE CONTENT SEO'!$E$5:$E$804,$A12,'WEBSITE CONTENT SEO'!$V$5:$V$804,tpCrit))</f>
        <v>0</v>
      </c>
      <c r="M12" s="83">
        <f>IF($A12="","",COUNTIFS('LEAD MQL TRACKER'!$L$5:$L$1004,$A12,'LEAD MQL TRACKER'!$AD$5:$AD$1004,1,'LEAD MQL TRACKER'!$AA$5:$AA$1004,tpCrit)+SUMIFS('EMAIL MARKETING'!$R$5:$R$804,'EMAIL MARKETING'!$T$5:$T$804,$A12,'EMAIL MARKETING'!$X$5:$X$804,tpCrit)+SUMIFS('PAID MEDIA ADS'!$N$5:$N$804,'PAID MEDIA ADS'!$R$5:$R$804,$A12,'PAID MEDIA ADS'!$U$5:$U$804,tpCrit)+SUMIFS('LINKEDIN OUTREACH'!$O$5:$O$704,'LINKEDIN OUTREACH'!$P$5:$P$704,$A12,'LINKEDIN OUTREACH'!$S$5:$S$704,tpCrit))</f>
        <v>0</v>
      </c>
      <c r="N12" s="83">
        <f>IF($A12="","",COUNTIFS('LEAD MQL TRACKER'!$L$5:$L$1004,$A12,'LEAD MQL TRACKER'!$AE$5:$AE$1004,1,'LEAD MQL TRACKER'!$AA$5:$AA$1004,tpCrit))</f>
        <v>0</v>
      </c>
      <c r="O12" s="83">
        <f>IF($A12="","",COUNTIFS('LEAD MQL TRACKER'!$L$5:$L$1004,$A12,'LEAD MQL TRACKER'!$AC$5:$AC$1004,1,'LEAD MQL TRACKER'!$AA$5:$AA$1004,tpCrit)+SUMIFS('LINKEDIN OUTREACH'!$M$5:$M$704,'LINKEDIN OUTREACH'!$P$5:$P$704,$A12,'LINKEDIN OUTREACH'!$S$5:$S$704,tpCrit))</f>
        <v>0</v>
      </c>
      <c r="P12" s="83">
        <f>IF($A12="","",SUMIFS('EMAIL MARKETING'!$F$5:$F$804,'EMAIL MARKETING'!$T$5:$T$804,$A12,'EMAIL MARKETING'!$X$5:$X$804,tpCrit))</f>
        <v>0</v>
      </c>
      <c r="Q12" s="83">
        <f>IF($A12="","",SUMIFS('EMAIL MARKETING'!$O$5:$O$804,'EMAIL MARKETING'!$T$5:$T$804,$A12,'EMAIL MARKETING'!$X$5:$X$804,tpCrit)+SUMIFS('LINKEDIN OUTREACH'!$K$5:$K$704,'LINKEDIN OUTREACH'!$P$5:$P$704,$A12,'LINKEDIN OUTREACH'!$S$5:$S$704,tpCrit))</f>
        <v>0</v>
      </c>
      <c r="R12" s="83">
        <f>IF($A12="","",COUNTIFS('DAILY TASK TRACKER'!$B$5:$B$1504,$A12,'DAILY TASK TRACKER'!$M$5:$M$1504,"Completed",'DAILY TASK TRACKER'!$I$5:$I$1504,"Critical",'DAILY TASK TRACKER'!$AH$5:$AH$1504,tpCrit)+COUNTIFS('DAILY TASK TRACKER'!$B$5:$B$1504,$A12,'DAILY TASK TRACKER'!$M$5:$M$1504,"Completed",'DAILY TASK TRACKER'!$I$5:$I$1504,"High",'DAILY TASK TRACKER'!$AH$5:$AH$1504,tpCrit))</f>
        <v>0</v>
      </c>
      <c r="S12" s="74">
        <f>IF($A12="","",IF(COUNTIF($H$7:$H$21,"&gt;0")&gt;0,H12/(SUM($H$7:$H$21)/COUNTIF($H$7:$H$21,"&gt;0")),""))</f>
        <v>0</v>
      </c>
      <c r="T12" s="83" t="str">
        <f>IF($A12="","",IF(OR(F12&gt;0,G12&gt;0),"Support needed",IF(AND(ISNUMBER(S12),S12&gt;1.3),"Workload high",IF(C12=0,"No tasks logged","OK"))))</f>
        <v>No tasks logged</v>
      </c>
      <c r="U12" s="82" t="str">
        <f t="array" ref="U12">IF($A12="","",_xlfn.TEXTJOIN(", ",TRUE,IF(COUNTIFS('DAILY TASK TRACKER'!$B$5:$B$1504,$A12,'DAILY TASK TRACKER'!$C$5:$C$1504,'CLIENT MASTER'!$A$5:$A$64,'DAILY TASK TRACKER'!$AK$5:$AK$1504,1)&gt;0,'CLIENT MASTER'!$A$5:$A$64,"")))</f>
        <v/>
      </c>
    </row>
    <row r="13" ht="28" customHeight="1">
      <c r="A13" s="81" t="str">
        <f>IF('MASTER DATA'!A21="","",'MASTER DATA'!A21)</f>
        <v>Richi Bagla</v>
      </c>
      <c r="B13" s="82" t="str">
        <f>IF($A13="","",'MASTER DATA'!B21)</f>
        <v>Paid Ads Specialist / Program Manager</v>
      </c>
      <c r="C13" s="83">
        <f>IF($A13="","",COUNTIFS('DAILY TASK TRACKER'!$B$5:$B$1504,$A13,'DAILY TASK TRACKER'!$G$5:$G$1504,"&lt;&gt;",'DAILY TASK TRACKER'!$AH$5:$AH$1504,tpCrit))</f>
        <v>7</v>
      </c>
      <c r="D13" s="83">
        <f>IF($A13="","",COUNTIFS('DAILY TASK TRACKER'!$B$5:$B$1504,$A13,'DAILY TASK TRACKER'!$M$5:$M$1504,"Completed",'DAILY TASK TRACKER'!$AH$5:$AH$1504,tpCrit))</f>
        <v>0</v>
      </c>
      <c r="E13" s="70">
        <f>IF($A13="","",IF(C13&gt;0,D13/C13,""))</f>
        <v>0</v>
      </c>
      <c r="F13" s="83">
        <f>IF($A13="","",SUMIFS('DAILY TASK TRACKER'!$AL$5:$AL$1504,'DAILY TASK TRACKER'!$B$5:$B$1504,$A13,'DAILY TASK TRACKER'!$AH$5:$AH$1504,tpCrit))</f>
        <v>0</v>
      </c>
      <c r="G13" s="83">
        <f>IF($A13="","",SUMIFS('DAILY TASK TRACKER'!$AM$5:$AM$1504,'DAILY TASK TRACKER'!$B$5:$B$1504,$A13,'DAILY TASK TRACKER'!$AH$5:$AH$1504,tpCrit))</f>
        <v>0</v>
      </c>
      <c r="H13" s="83">
        <f>IF($A13="","",SUMIFS('DAILY TASK TRACKER'!$AK$5:$AK$1504,'DAILY TASK TRACKER'!$B$5:$B$1504,$A13,'DAILY TASK TRACKER'!$AH$5:$AH$1504,tpCrit))</f>
        <v>7</v>
      </c>
      <c r="I13" s="83">
        <f>IF($A13="","",SUMIFS('DAILY TASK TRACKER'!$AP$5:$AP$1504,'DAILY TASK TRACKER'!$B$5:$B$1504,$A13,'DAILY TASK TRACKER'!$AH$5:$AH$1504,tpCrit))</f>
        <v>0</v>
      </c>
      <c r="J13" s="83">
        <f>IF($A13="","",COUNTIFS('CAMPAIGN MASTER'!$I$5:$I$704,$A13,'CAMPAIGN MASTER'!$N$5:$N$704,"Live")+COUNTIFS('CAMPAIGN MASTER'!$I$5:$I$704,$A13,'CAMPAIGN MASTER'!$N$5:$N$704,"Optimizing"))</f>
        <v>0</v>
      </c>
      <c r="K13" s="83">
        <f>IF($A13="","",COUNTIFS('CAMPAIGN MASTER'!$I$5:$I$704,$A13,'CAMPAIGN MASTER'!$N$5:$N$704,"Completed"))</f>
        <v>0</v>
      </c>
      <c r="L13" s="83">
        <f>IF($A13="","",COUNTIFS('LEAD MQL TRACKER'!$L$5:$L$1004,$A13,'LEAD MQL TRACKER'!$AB$5:$AB$1004,1,'LEAD MQL TRACKER'!$AA$5:$AA$1004,tpCrit)+SUMIFS('EMAIL MARKETING'!$Q$5:$Q$804,'EMAIL MARKETING'!$T$5:$T$804,$A13,'EMAIL MARKETING'!$X$5:$X$804,tpCrit)+SUMIFS('PAID MEDIA ADS'!$M$5:$M$804,'PAID MEDIA ADS'!$R$5:$R$804,$A13,'PAID MEDIA ADS'!$U$5:$U$804,tpCrit)+SUMIFS('LINKEDIN OUTREACH'!$N$5:$N$704,'LINKEDIN OUTREACH'!$P$5:$P$704,$A13,'LINKEDIN OUTREACH'!$S$5:$S$704,tpCrit)+SUMIFS('WEBSITE CONTENT SEO'!$L$5:$L$804,'WEBSITE CONTENT SEO'!$E$5:$E$804,$A13,'WEBSITE CONTENT SEO'!$V$5:$V$804,tpCrit))</f>
        <v>0</v>
      </c>
      <c r="M13" s="83">
        <f>IF($A13="","",COUNTIFS('LEAD MQL TRACKER'!$L$5:$L$1004,$A13,'LEAD MQL TRACKER'!$AD$5:$AD$1004,1,'LEAD MQL TRACKER'!$AA$5:$AA$1004,tpCrit)+SUMIFS('EMAIL MARKETING'!$R$5:$R$804,'EMAIL MARKETING'!$T$5:$T$804,$A13,'EMAIL MARKETING'!$X$5:$X$804,tpCrit)+SUMIFS('PAID MEDIA ADS'!$N$5:$N$804,'PAID MEDIA ADS'!$R$5:$R$804,$A13,'PAID MEDIA ADS'!$U$5:$U$804,tpCrit)+SUMIFS('LINKEDIN OUTREACH'!$O$5:$O$704,'LINKEDIN OUTREACH'!$P$5:$P$704,$A13,'LINKEDIN OUTREACH'!$S$5:$S$704,tpCrit))</f>
        <v>0</v>
      </c>
      <c r="N13" s="83">
        <f>IF($A13="","",COUNTIFS('LEAD MQL TRACKER'!$L$5:$L$1004,$A13,'LEAD MQL TRACKER'!$AE$5:$AE$1004,1,'LEAD MQL TRACKER'!$AA$5:$AA$1004,tpCrit))</f>
        <v>0</v>
      </c>
      <c r="O13" s="83">
        <f>IF($A13="","",COUNTIFS('LEAD MQL TRACKER'!$L$5:$L$1004,$A13,'LEAD MQL TRACKER'!$AC$5:$AC$1004,1,'LEAD MQL TRACKER'!$AA$5:$AA$1004,tpCrit)+SUMIFS('LINKEDIN OUTREACH'!$M$5:$M$704,'LINKEDIN OUTREACH'!$P$5:$P$704,$A13,'LINKEDIN OUTREACH'!$S$5:$S$704,tpCrit))</f>
        <v>0</v>
      </c>
      <c r="P13" s="83">
        <f>IF($A13="","",SUMIFS('EMAIL MARKETING'!$F$5:$F$804,'EMAIL MARKETING'!$T$5:$T$804,$A13,'EMAIL MARKETING'!$X$5:$X$804,tpCrit))</f>
        <v>0</v>
      </c>
      <c r="Q13" s="83">
        <f>IF($A13="","",SUMIFS('EMAIL MARKETING'!$O$5:$O$804,'EMAIL MARKETING'!$T$5:$T$804,$A13,'EMAIL MARKETING'!$X$5:$X$804,tpCrit)+SUMIFS('LINKEDIN OUTREACH'!$K$5:$K$704,'LINKEDIN OUTREACH'!$P$5:$P$704,$A13,'LINKEDIN OUTREACH'!$S$5:$S$704,tpCrit))</f>
        <v>0</v>
      </c>
      <c r="R13" s="83">
        <f>IF($A13="","",COUNTIFS('DAILY TASK TRACKER'!$B$5:$B$1504,$A13,'DAILY TASK TRACKER'!$M$5:$M$1504,"Completed",'DAILY TASK TRACKER'!$I$5:$I$1504,"Critical",'DAILY TASK TRACKER'!$AH$5:$AH$1504,tpCrit)+COUNTIFS('DAILY TASK TRACKER'!$B$5:$B$1504,$A13,'DAILY TASK TRACKER'!$M$5:$M$1504,"Completed",'DAILY TASK TRACKER'!$I$5:$I$1504,"High",'DAILY TASK TRACKER'!$AH$5:$AH$1504,tpCrit))</f>
        <v>0</v>
      </c>
      <c r="S13" s="74">
        <f>IF($A13="","",IF(COUNTIF($H$7:$H$21,"&gt;0")&gt;0,H13/(SUM($H$7:$H$21)/COUNTIF($H$7:$H$21,"&gt;0")),""))</f>
        <v>0.482758620689655</v>
      </c>
      <c r="T13" s="83" t="str">
        <f>IF($A13="","",IF(OR(F13&gt;0,G13&gt;0),"Support needed",IF(AND(ISNUMBER(S13),S13&gt;1.3),"Workload high",IF(C13=0,"No tasks logged","OK"))))</f>
        <v>OK</v>
      </c>
      <c r="U13" s="82" t="str">
        <f t="array" ref="U13">IF($A13="","",_xlfn.TEXTJOIN(", ",TRUE,IF(COUNTIFS('DAILY TASK TRACKER'!$B$5:$B$1504,$A13,'DAILY TASK TRACKER'!$C$5:$C$1504,'CLIENT MASTER'!$A$5:$A$64,'DAILY TASK TRACKER'!$AK$5:$AK$1504,1)&gt;0,'CLIENT MASTER'!$A$5:$A$64,"")))</f>
        <v>Magnasoft, Eternelle, Vestrics, SAP, Ruckus Networks, Equinix</v>
      </c>
    </row>
    <row r="14" ht="28" customHeight="1">
      <c r="A14" s="81" t="str">
        <f>IF('MASTER DATA'!A22="","",'MASTER DATA'!A22)</f>
        <v>Kapil Chadha</v>
      </c>
      <c r="B14" s="82" t="str">
        <f>IF($A14="","",'MASTER DATA'!B22)</f>
        <v>Consultant - SEO</v>
      </c>
      <c r="C14" s="83">
        <f>IF($A14="","",COUNTIFS('DAILY TASK TRACKER'!$B$5:$B$1504,$A14,'DAILY TASK TRACKER'!$G$5:$G$1504,"&lt;&gt;",'DAILY TASK TRACKER'!$AH$5:$AH$1504,tpCrit))</f>
        <v>0</v>
      </c>
      <c r="D14" s="83">
        <f>IF($A14="","",COUNTIFS('DAILY TASK TRACKER'!$B$5:$B$1504,$A14,'DAILY TASK TRACKER'!$M$5:$M$1504,"Completed",'DAILY TASK TRACKER'!$AH$5:$AH$1504,tpCrit))</f>
        <v>0</v>
      </c>
      <c r="E14" s="70" t="str">
        <f>IF($A14="","",IF(C14&gt;0,D14/C14,""))</f>
        <v/>
      </c>
      <c r="F14" s="83">
        <f>IF($A14="","",SUMIFS('DAILY TASK TRACKER'!$AL$5:$AL$1504,'DAILY TASK TRACKER'!$B$5:$B$1504,$A14,'DAILY TASK TRACKER'!$AH$5:$AH$1504,tpCrit))</f>
        <v>0</v>
      </c>
      <c r="G14" s="83">
        <f>IF($A14="","",SUMIFS('DAILY TASK TRACKER'!$AM$5:$AM$1504,'DAILY TASK TRACKER'!$B$5:$B$1504,$A14,'DAILY TASK TRACKER'!$AH$5:$AH$1504,tpCrit))</f>
        <v>0</v>
      </c>
      <c r="H14" s="83">
        <f>IF($A14="","",SUMIFS('DAILY TASK TRACKER'!$AK$5:$AK$1504,'DAILY TASK TRACKER'!$B$5:$B$1504,$A14,'DAILY TASK TRACKER'!$AH$5:$AH$1504,tpCrit))</f>
        <v>0</v>
      </c>
      <c r="I14" s="83">
        <f>IF($A14="","",SUMIFS('DAILY TASK TRACKER'!$AP$5:$AP$1504,'DAILY TASK TRACKER'!$B$5:$B$1504,$A14,'DAILY TASK TRACKER'!$AH$5:$AH$1504,tpCrit))</f>
        <v>0</v>
      </c>
      <c r="J14" s="83">
        <f>IF($A14="","",COUNTIFS('CAMPAIGN MASTER'!$I$5:$I$704,$A14,'CAMPAIGN MASTER'!$N$5:$N$704,"Live")+COUNTIFS('CAMPAIGN MASTER'!$I$5:$I$704,$A14,'CAMPAIGN MASTER'!$N$5:$N$704,"Optimizing"))</f>
        <v>0</v>
      </c>
      <c r="K14" s="83">
        <f>IF($A14="","",COUNTIFS('CAMPAIGN MASTER'!$I$5:$I$704,$A14,'CAMPAIGN MASTER'!$N$5:$N$704,"Completed"))</f>
        <v>0</v>
      </c>
      <c r="L14" s="83">
        <f>IF($A14="","",COUNTIFS('LEAD MQL TRACKER'!$L$5:$L$1004,$A14,'LEAD MQL TRACKER'!$AB$5:$AB$1004,1,'LEAD MQL TRACKER'!$AA$5:$AA$1004,tpCrit)+SUMIFS('EMAIL MARKETING'!$Q$5:$Q$804,'EMAIL MARKETING'!$T$5:$T$804,$A14,'EMAIL MARKETING'!$X$5:$X$804,tpCrit)+SUMIFS('PAID MEDIA ADS'!$M$5:$M$804,'PAID MEDIA ADS'!$R$5:$R$804,$A14,'PAID MEDIA ADS'!$U$5:$U$804,tpCrit)+SUMIFS('LINKEDIN OUTREACH'!$N$5:$N$704,'LINKEDIN OUTREACH'!$P$5:$P$704,$A14,'LINKEDIN OUTREACH'!$S$5:$S$704,tpCrit)+SUMIFS('WEBSITE CONTENT SEO'!$L$5:$L$804,'WEBSITE CONTENT SEO'!$E$5:$E$804,$A14,'WEBSITE CONTENT SEO'!$V$5:$V$804,tpCrit))</f>
        <v>0</v>
      </c>
      <c r="M14" s="83">
        <f>IF($A14="","",COUNTIFS('LEAD MQL TRACKER'!$L$5:$L$1004,$A14,'LEAD MQL TRACKER'!$AD$5:$AD$1004,1,'LEAD MQL TRACKER'!$AA$5:$AA$1004,tpCrit)+SUMIFS('EMAIL MARKETING'!$R$5:$R$804,'EMAIL MARKETING'!$T$5:$T$804,$A14,'EMAIL MARKETING'!$X$5:$X$804,tpCrit)+SUMIFS('PAID MEDIA ADS'!$N$5:$N$804,'PAID MEDIA ADS'!$R$5:$R$804,$A14,'PAID MEDIA ADS'!$U$5:$U$804,tpCrit)+SUMIFS('LINKEDIN OUTREACH'!$O$5:$O$704,'LINKEDIN OUTREACH'!$P$5:$P$704,$A14,'LINKEDIN OUTREACH'!$S$5:$S$704,tpCrit))</f>
        <v>0</v>
      </c>
      <c r="N14" s="83">
        <f>IF($A14="","",COUNTIFS('LEAD MQL TRACKER'!$L$5:$L$1004,$A14,'LEAD MQL TRACKER'!$AE$5:$AE$1004,1,'LEAD MQL TRACKER'!$AA$5:$AA$1004,tpCrit))</f>
        <v>0</v>
      </c>
      <c r="O14" s="83">
        <f>IF($A14="","",COUNTIFS('LEAD MQL TRACKER'!$L$5:$L$1004,$A14,'LEAD MQL TRACKER'!$AC$5:$AC$1004,1,'LEAD MQL TRACKER'!$AA$5:$AA$1004,tpCrit)+SUMIFS('LINKEDIN OUTREACH'!$M$5:$M$704,'LINKEDIN OUTREACH'!$P$5:$P$704,$A14,'LINKEDIN OUTREACH'!$S$5:$S$704,tpCrit))</f>
        <v>0</v>
      </c>
      <c r="P14" s="83">
        <f>IF($A14="","",SUMIFS('EMAIL MARKETING'!$F$5:$F$804,'EMAIL MARKETING'!$T$5:$T$804,$A14,'EMAIL MARKETING'!$X$5:$X$804,tpCrit))</f>
        <v>0</v>
      </c>
      <c r="Q14" s="83">
        <f>IF($A14="","",SUMIFS('EMAIL MARKETING'!$O$5:$O$804,'EMAIL MARKETING'!$T$5:$T$804,$A14,'EMAIL MARKETING'!$X$5:$X$804,tpCrit)+SUMIFS('LINKEDIN OUTREACH'!$K$5:$K$704,'LINKEDIN OUTREACH'!$P$5:$P$704,$A14,'LINKEDIN OUTREACH'!$S$5:$S$704,tpCrit))</f>
        <v>0</v>
      </c>
      <c r="R14" s="83">
        <f>IF($A14="","",COUNTIFS('DAILY TASK TRACKER'!$B$5:$B$1504,$A14,'DAILY TASK TRACKER'!$M$5:$M$1504,"Completed",'DAILY TASK TRACKER'!$I$5:$I$1504,"Critical",'DAILY TASK TRACKER'!$AH$5:$AH$1504,tpCrit)+COUNTIFS('DAILY TASK TRACKER'!$B$5:$B$1504,$A14,'DAILY TASK TRACKER'!$M$5:$M$1504,"Completed",'DAILY TASK TRACKER'!$I$5:$I$1504,"High",'DAILY TASK TRACKER'!$AH$5:$AH$1504,tpCrit))</f>
        <v>0</v>
      </c>
      <c r="S14" s="74">
        <f>IF($A14="","",IF(COUNTIF($H$7:$H$21,"&gt;0")&gt;0,H14/(SUM($H$7:$H$21)/COUNTIF($H$7:$H$21,"&gt;0")),""))</f>
        <v>0</v>
      </c>
      <c r="T14" s="83" t="str">
        <f>IF($A14="","",IF(OR(F14&gt;0,G14&gt;0),"Support needed",IF(AND(ISNUMBER(S14),S14&gt;1.3),"Workload high",IF(C14=0,"No tasks logged","OK"))))</f>
        <v>No tasks logged</v>
      </c>
      <c r="U14" s="82" t="str">
        <f t="array" ref="U14">IF($A14="","",_xlfn.TEXTJOIN(", ",TRUE,IF(COUNTIFS('DAILY TASK TRACKER'!$B$5:$B$1504,$A14,'DAILY TASK TRACKER'!$C$5:$C$1504,'CLIENT MASTER'!$A$5:$A$64,'DAILY TASK TRACKER'!$AK$5:$AK$1504,1)&gt;0,'CLIENT MASTER'!$A$5:$A$64,"")))</f>
        <v/>
      </c>
    </row>
    <row r="15" ht="28" customHeight="1">
      <c r="A15" s="81" t="str">
        <f>IF('MASTER DATA'!A23="","",'MASTER DATA'!A23)</f>
        <v/>
      </c>
      <c r="B15" s="82" t="str">
        <f>IF($A15="","",'MASTER DATA'!B23)</f>
        <v/>
      </c>
      <c r="C15" s="83" t="str">
        <f>IF($A15="","",COUNTIFS('DAILY TASK TRACKER'!$B$5:$B$1504,$A15,'DAILY TASK TRACKER'!$G$5:$G$1504,"&lt;&gt;",'DAILY TASK TRACKER'!$AH$5:$AH$1504,tpCrit))</f>
        <v/>
      </c>
      <c r="D15" s="83" t="str">
        <f>IF($A15="","",COUNTIFS('DAILY TASK TRACKER'!$B$5:$B$1504,$A15,'DAILY TASK TRACKER'!$M$5:$M$1504,"Completed",'DAILY TASK TRACKER'!$AH$5:$AH$1504,tpCrit))</f>
        <v/>
      </c>
      <c r="E15" s="70" t="str">
        <f>IF($A15="","",IF(C15&gt;0,D15/C15,""))</f>
        <v/>
      </c>
      <c r="F15" s="83" t="str">
        <f>IF($A15="","",SUMIFS('DAILY TASK TRACKER'!$AL$5:$AL$1504,'DAILY TASK TRACKER'!$B$5:$B$1504,$A15,'DAILY TASK TRACKER'!$AH$5:$AH$1504,tpCrit))</f>
        <v/>
      </c>
      <c r="G15" s="83" t="str">
        <f>IF($A15="","",SUMIFS('DAILY TASK TRACKER'!$AM$5:$AM$1504,'DAILY TASK TRACKER'!$B$5:$B$1504,$A15,'DAILY TASK TRACKER'!$AH$5:$AH$1504,tpCrit))</f>
        <v/>
      </c>
      <c r="H15" s="83" t="str">
        <f>IF($A15="","",SUMIFS('DAILY TASK TRACKER'!$AK$5:$AK$1504,'DAILY TASK TRACKER'!$B$5:$B$1504,$A15,'DAILY TASK TRACKER'!$AH$5:$AH$1504,tpCrit))</f>
        <v/>
      </c>
      <c r="I15" s="83" t="str">
        <f>IF($A15="","",SUMIFS('DAILY TASK TRACKER'!$AP$5:$AP$1504,'DAILY TASK TRACKER'!$B$5:$B$1504,$A15,'DAILY TASK TRACKER'!$AH$5:$AH$1504,tpCrit))</f>
        <v/>
      </c>
      <c r="J15" s="83" t="str">
        <f>IF($A15="","",COUNTIFS('CAMPAIGN MASTER'!$I$5:$I$704,$A15,'CAMPAIGN MASTER'!$N$5:$N$704,"Live")+COUNTIFS('CAMPAIGN MASTER'!$I$5:$I$704,$A15,'CAMPAIGN MASTER'!$N$5:$N$704,"Optimizing"))</f>
        <v/>
      </c>
      <c r="K15" s="83" t="str">
        <f>IF($A15="","",COUNTIFS('CAMPAIGN MASTER'!$I$5:$I$704,$A15,'CAMPAIGN MASTER'!$N$5:$N$704,"Completed"))</f>
        <v/>
      </c>
      <c r="L15" s="83" t="str">
        <f>IF($A15="","",COUNTIFS('LEAD MQL TRACKER'!$L$5:$L$1004,$A15,'LEAD MQL TRACKER'!$AB$5:$AB$1004,1,'LEAD MQL TRACKER'!$AA$5:$AA$1004,tpCrit)+SUMIFS('EMAIL MARKETING'!$Q$5:$Q$804,'EMAIL MARKETING'!$T$5:$T$804,$A15,'EMAIL MARKETING'!$X$5:$X$804,tpCrit)+SUMIFS('PAID MEDIA ADS'!$M$5:$M$804,'PAID MEDIA ADS'!$R$5:$R$804,$A15,'PAID MEDIA ADS'!$U$5:$U$804,tpCrit)+SUMIFS('LINKEDIN OUTREACH'!$N$5:$N$704,'LINKEDIN OUTREACH'!$P$5:$P$704,$A15,'LINKEDIN OUTREACH'!$S$5:$S$704,tpCrit)+SUMIFS('WEBSITE CONTENT SEO'!$L$5:$L$804,'WEBSITE CONTENT SEO'!$E$5:$E$804,$A15,'WEBSITE CONTENT SEO'!$V$5:$V$804,tpCrit))</f>
        <v/>
      </c>
      <c r="M15" s="83" t="str">
        <f>IF($A15="","",COUNTIFS('LEAD MQL TRACKER'!$L$5:$L$1004,$A15,'LEAD MQL TRACKER'!$AD$5:$AD$1004,1,'LEAD MQL TRACKER'!$AA$5:$AA$1004,tpCrit)+SUMIFS('EMAIL MARKETING'!$R$5:$R$804,'EMAIL MARKETING'!$T$5:$T$804,$A15,'EMAIL MARKETING'!$X$5:$X$804,tpCrit)+SUMIFS('PAID MEDIA ADS'!$N$5:$N$804,'PAID MEDIA ADS'!$R$5:$R$804,$A15,'PAID MEDIA ADS'!$U$5:$U$804,tpCrit)+SUMIFS('LINKEDIN OUTREACH'!$O$5:$O$704,'LINKEDIN OUTREACH'!$P$5:$P$704,$A15,'LINKEDIN OUTREACH'!$S$5:$S$704,tpCrit))</f>
        <v/>
      </c>
      <c r="N15" s="83" t="str">
        <f>IF($A15="","",COUNTIFS('LEAD MQL TRACKER'!$L$5:$L$1004,$A15,'LEAD MQL TRACKER'!$AE$5:$AE$1004,1,'LEAD MQL TRACKER'!$AA$5:$AA$1004,tpCrit))</f>
        <v/>
      </c>
      <c r="O15" s="83" t="str">
        <f>IF($A15="","",COUNTIFS('LEAD MQL TRACKER'!$L$5:$L$1004,$A15,'LEAD MQL TRACKER'!$AC$5:$AC$1004,1,'LEAD MQL TRACKER'!$AA$5:$AA$1004,tpCrit)+SUMIFS('LINKEDIN OUTREACH'!$M$5:$M$704,'LINKEDIN OUTREACH'!$P$5:$P$704,$A15,'LINKEDIN OUTREACH'!$S$5:$S$704,tpCrit))</f>
        <v/>
      </c>
      <c r="P15" s="83" t="str">
        <f>IF($A15="","",SUMIFS('EMAIL MARKETING'!$F$5:$F$804,'EMAIL MARKETING'!$T$5:$T$804,$A15,'EMAIL MARKETING'!$X$5:$X$804,tpCrit))</f>
        <v/>
      </c>
      <c r="Q15" s="83" t="str">
        <f>IF($A15="","",SUMIFS('EMAIL MARKETING'!$O$5:$O$804,'EMAIL MARKETING'!$T$5:$T$804,$A15,'EMAIL MARKETING'!$X$5:$X$804,tpCrit)+SUMIFS('LINKEDIN OUTREACH'!$K$5:$K$704,'LINKEDIN OUTREACH'!$P$5:$P$704,$A15,'LINKEDIN OUTREACH'!$S$5:$S$704,tpCrit))</f>
        <v/>
      </c>
      <c r="R15" s="83" t="str">
        <f>IF($A15="","",COUNTIFS('DAILY TASK TRACKER'!$B$5:$B$1504,$A15,'DAILY TASK TRACKER'!$M$5:$M$1504,"Completed",'DAILY TASK TRACKER'!$I$5:$I$1504,"Critical",'DAILY TASK TRACKER'!$AH$5:$AH$1504,tpCrit)+COUNTIFS('DAILY TASK TRACKER'!$B$5:$B$1504,$A15,'DAILY TASK TRACKER'!$M$5:$M$1504,"Completed",'DAILY TASK TRACKER'!$I$5:$I$1504,"High",'DAILY TASK TRACKER'!$AH$5:$AH$1504,tpCrit))</f>
        <v/>
      </c>
      <c r="S15" s="74" t="str">
        <f>IF($A15="","",IF(COUNTIF($H$7:$H$21,"&gt;0")&gt;0,H15/(SUM($H$7:$H$21)/COUNTIF($H$7:$H$21,"&gt;0")),""))</f>
        <v/>
      </c>
      <c r="T15" s="83" t="str">
        <f>IF($A15="","",IF(OR(F15&gt;0,G15&gt;0),"Support needed",IF(AND(ISNUMBER(S15),S15&gt;1.3),"Workload high",IF(C15=0,"No tasks logged","OK"))))</f>
        <v/>
      </c>
      <c r="U15" s="82" t="str">
        <f t="array" ref="U15">IF($A15="","",_xlfn.TEXTJOIN(", ",TRUE,IF(COUNTIFS('DAILY TASK TRACKER'!$B$5:$B$1504,$A15,'DAILY TASK TRACKER'!$C$5:$C$1504,'CLIENT MASTER'!$A$5:$A$64,'DAILY TASK TRACKER'!$AK$5:$AK$1504,1)&gt;0,'CLIENT MASTER'!$A$5:$A$64,"")))</f>
        <v/>
      </c>
    </row>
    <row r="16" ht="28" customHeight="1">
      <c r="A16" s="81" t="str">
        <f>IF('MASTER DATA'!A24="","",'MASTER DATA'!A24)</f>
        <v/>
      </c>
      <c r="B16" s="82" t="str">
        <f>IF($A16="","",'MASTER DATA'!B24)</f>
        <v/>
      </c>
      <c r="C16" s="83" t="str">
        <f>IF($A16="","",COUNTIFS('DAILY TASK TRACKER'!$B$5:$B$1504,$A16,'DAILY TASK TRACKER'!$G$5:$G$1504,"&lt;&gt;",'DAILY TASK TRACKER'!$AH$5:$AH$1504,tpCrit))</f>
        <v/>
      </c>
      <c r="D16" s="83" t="str">
        <f>IF($A16="","",COUNTIFS('DAILY TASK TRACKER'!$B$5:$B$1504,$A16,'DAILY TASK TRACKER'!$M$5:$M$1504,"Completed",'DAILY TASK TRACKER'!$AH$5:$AH$1504,tpCrit))</f>
        <v/>
      </c>
      <c r="E16" s="70" t="str">
        <f>IF($A16="","",IF(C16&gt;0,D16/C16,""))</f>
        <v/>
      </c>
      <c r="F16" s="83" t="str">
        <f>IF($A16="","",SUMIFS('DAILY TASK TRACKER'!$AL$5:$AL$1504,'DAILY TASK TRACKER'!$B$5:$B$1504,$A16,'DAILY TASK TRACKER'!$AH$5:$AH$1504,tpCrit))</f>
        <v/>
      </c>
      <c r="G16" s="83" t="str">
        <f>IF($A16="","",SUMIFS('DAILY TASK TRACKER'!$AM$5:$AM$1504,'DAILY TASK TRACKER'!$B$5:$B$1504,$A16,'DAILY TASK TRACKER'!$AH$5:$AH$1504,tpCrit))</f>
        <v/>
      </c>
      <c r="H16" s="83" t="str">
        <f>IF($A16="","",SUMIFS('DAILY TASK TRACKER'!$AK$5:$AK$1504,'DAILY TASK TRACKER'!$B$5:$B$1504,$A16,'DAILY TASK TRACKER'!$AH$5:$AH$1504,tpCrit))</f>
        <v/>
      </c>
      <c r="I16" s="83" t="str">
        <f>IF($A16="","",SUMIFS('DAILY TASK TRACKER'!$AP$5:$AP$1504,'DAILY TASK TRACKER'!$B$5:$B$1504,$A16,'DAILY TASK TRACKER'!$AH$5:$AH$1504,tpCrit))</f>
        <v/>
      </c>
      <c r="J16" s="83" t="str">
        <f>IF($A16="","",COUNTIFS('CAMPAIGN MASTER'!$I$5:$I$704,$A16,'CAMPAIGN MASTER'!$N$5:$N$704,"Live")+COUNTIFS('CAMPAIGN MASTER'!$I$5:$I$704,$A16,'CAMPAIGN MASTER'!$N$5:$N$704,"Optimizing"))</f>
        <v/>
      </c>
      <c r="K16" s="83" t="str">
        <f>IF($A16="","",COUNTIFS('CAMPAIGN MASTER'!$I$5:$I$704,$A16,'CAMPAIGN MASTER'!$N$5:$N$704,"Completed"))</f>
        <v/>
      </c>
      <c r="L16" s="83" t="str">
        <f>IF($A16="","",COUNTIFS('LEAD MQL TRACKER'!$L$5:$L$1004,$A16,'LEAD MQL TRACKER'!$AB$5:$AB$1004,1,'LEAD MQL TRACKER'!$AA$5:$AA$1004,tpCrit)+SUMIFS('EMAIL MARKETING'!$Q$5:$Q$804,'EMAIL MARKETING'!$T$5:$T$804,$A16,'EMAIL MARKETING'!$X$5:$X$804,tpCrit)+SUMIFS('PAID MEDIA ADS'!$M$5:$M$804,'PAID MEDIA ADS'!$R$5:$R$804,$A16,'PAID MEDIA ADS'!$U$5:$U$804,tpCrit)+SUMIFS('LINKEDIN OUTREACH'!$N$5:$N$704,'LINKEDIN OUTREACH'!$P$5:$P$704,$A16,'LINKEDIN OUTREACH'!$S$5:$S$704,tpCrit)+SUMIFS('WEBSITE CONTENT SEO'!$L$5:$L$804,'WEBSITE CONTENT SEO'!$E$5:$E$804,$A16,'WEBSITE CONTENT SEO'!$V$5:$V$804,tpCrit))</f>
        <v/>
      </c>
      <c r="M16" s="83" t="str">
        <f>IF($A16="","",COUNTIFS('LEAD MQL TRACKER'!$L$5:$L$1004,$A16,'LEAD MQL TRACKER'!$AD$5:$AD$1004,1,'LEAD MQL TRACKER'!$AA$5:$AA$1004,tpCrit)+SUMIFS('EMAIL MARKETING'!$R$5:$R$804,'EMAIL MARKETING'!$T$5:$T$804,$A16,'EMAIL MARKETING'!$X$5:$X$804,tpCrit)+SUMIFS('PAID MEDIA ADS'!$N$5:$N$804,'PAID MEDIA ADS'!$R$5:$R$804,$A16,'PAID MEDIA ADS'!$U$5:$U$804,tpCrit)+SUMIFS('LINKEDIN OUTREACH'!$O$5:$O$704,'LINKEDIN OUTREACH'!$P$5:$P$704,$A16,'LINKEDIN OUTREACH'!$S$5:$S$704,tpCrit))</f>
        <v/>
      </c>
      <c r="N16" s="83" t="str">
        <f>IF($A16="","",COUNTIFS('LEAD MQL TRACKER'!$L$5:$L$1004,$A16,'LEAD MQL TRACKER'!$AE$5:$AE$1004,1,'LEAD MQL TRACKER'!$AA$5:$AA$1004,tpCrit))</f>
        <v/>
      </c>
      <c r="O16" s="83" t="str">
        <f>IF($A16="","",COUNTIFS('LEAD MQL TRACKER'!$L$5:$L$1004,$A16,'LEAD MQL TRACKER'!$AC$5:$AC$1004,1,'LEAD MQL TRACKER'!$AA$5:$AA$1004,tpCrit)+SUMIFS('LINKEDIN OUTREACH'!$M$5:$M$704,'LINKEDIN OUTREACH'!$P$5:$P$704,$A16,'LINKEDIN OUTREACH'!$S$5:$S$704,tpCrit))</f>
        <v/>
      </c>
      <c r="P16" s="83" t="str">
        <f>IF($A16="","",SUMIFS('EMAIL MARKETING'!$F$5:$F$804,'EMAIL MARKETING'!$T$5:$T$804,$A16,'EMAIL MARKETING'!$X$5:$X$804,tpCrit))</f>
        <v/>
      </c>
      <c r="Q16" s="83" t="str">
        <f>IF($A16="","",SUMIFS('EMAIL MARKETING'!$O$5:$O$804,'EMAIL MARKETING'!$T$5:$T$804,$A16,'EMAIL MARKETING'!$X$5:$X$804,tpCrit)+SUMIFS('LINKEDIN OUTREACH'!$K$5:$K$704,'LINKEDIN OUTREACH'!$P$5:$P$704,$A16,'LINKEDIN OUTREACH'!$S$5:$S$704,tpCrit))</f>
        <v/>
      </c>
      <c r="R16" s="83" t="str">
        <f>IF($A16="","",COUNTIFS('DAILY TASK TRACKER'!$B$5:$B$1504,$A16,'DAILY TASK TRACKER'!$M$5:$M$1504,"Completed",'DAILY TASK TRACKER'!$I$5:$I$1504,"Critical",'DAILY TASK TRACKER'!$AH$5:$AH$1504,tpCrit)+COUNTIFS('DAILY TASK TRACKER'!$B$5:$B$1504,$A16,'DAILY TASK TRACKER'!$M$5:$M$1504,"Completed",'DAILY TASK TRACKER'!$I$5:$I$1504,"High",'DAILY TASK TRACKER'!$AH$5:$AH$1504,tpCrit))</f>
        <v/>
      </c>
      <c r="S16" s="74" t="str">
        <f>IF($A16="","",IF(COUNTIF($H$7:$H$21,"&gt;0")&gt;0,H16/(SUM($H$7:$H$21)/COUNTIF($H$7:$H$21,"&gt;0")),""))</f>
        <v/>
      </c>
      <c r="T16" s="83" t="str">
        <f>IF($A16="","",IF(OR(F16&gt;0,G16&gt;0),"Support needed",IF(AND(ISNUMBER(S16),S16&gt;1.3),"Workload high",IF(C16=0,"No tasks logged","OK"))))</f>
        <v/>
      </c>
      <c r="U16" s="82" t="str">
        <f t="array" ref="U16">IF($A16="","",_xlfn.TEXTJOIN(", ",TRUE,IF(COUNTIFS('DAILY TASK TRACKER'!$B$5:$B$1504,$A16,'DAILY TASK TRACKER'!$C$5:$C$1504,'CLIENT MASTER'!$A$5:$A$64,'DAILY TASK TRACKER'!$AK$5:$AK$1504,1)&gt;0,'CLIENT MASTER'!$A$5:$A$64,"")))</f>
        <v/>
      </c>
    </row>
    <row r="17" ht="28" customHeight="1">
      <c r="A17" s="81" t="str">
        <f>IF('MASTER DATA'!A25="","",'MASTER DATA'!A25)</f>
        <v/>
      </c>
      <c r="B17" s="82" t="str">
        <f>IF($A17="","",'MASTER DATA'!B25)</f>
        <v/>
      </c>
      <c r="C17" s="83" t="str">
        <f>IF($A17="","",COUNTIFS('DAILY TASK TRACKER'!$B$5:$B$1504,$A17,'DAILY TASK TRACKER'!$G$5:$G$1504,"&lt;&gt;",'DAILY TASK TRACKER'!$AH$5:$AH$1504,tpCrit))</f>
        <v/>
      </c>
      <c r="D17" s="83" t="str">
        <f>IF($A17="","",COUNTIFS('DAILY TASK TRACKER'!$B$5:$B$1504,$A17,'DAILY TASK TRACKER'!$M$5:$M$1504,"Completed",'DAILY TASK TRACKER'!$AH$5:$AH$1504,tpCrit))</f>
        <v/>
      </c>
      <c r="E17" s="70" t="str">
        <f>IF($A17="","",IF(C17&gt;0,D17/C17,""))</f>
        <v/>
      </c>
      <c r="F17" s="83" t="str">
        <f>IF($A17="","",SUMIFS('DAILY TASK TRACKER'!$AL$5:$AL$1504,'DAILY TASK TRACKER'!$B$5:$B$1504,$A17,'DAILY TASK TRACKER'!$AH$5:$AH$1504,tpCrit))</f>
        <v/>
      </c>
      <c r="G17" s="83" t="str">
        <f>IF($A17="","",SUMIFS('DAILY TASK TRACKER'!$AM$5:$AM$1504,'DAILY TASK TRACKER'!$B$5:$B$1504,$A17,'DAILY TASK TRACKER'!$AH$5:$AH$1504,tpCrit))</f>
        <v/>
      </c>
      <c r="H17" s="83" t="str">
        <f>IF($A17="","",SUMIFS('DAILY TASK TRACKER'!$AK$5:$AK$1504,'DAILY TASK TRACKER'!$B$5:$B$1504,$A17,'DAILY TASK TRACKER'!$AH$5:$AH$1504,tpCrit))</f>
        <v/>
      </c>
      <c r="I17" s="83" t="str">
        <f>IF($A17="","",SUMIFS('DAILY TASK TRACKER'!$AP$5:$AP$1504,'DAILY TASK TRACKER'!$B$5:$B$1504,$A17,'DAILY TASK TRACKER'!$AH$5:$AH$1504,tpCrit))</f>
        <v/>
      </c>
      <c r="J17" s="83" t="str">
        <f>IF($A17="","",COUNTIFS('CAMPAIGN MASTER'!$I$5:$I$704,$A17,'CAMPAIGN MASTER'!$N$5:$N$704,"Live")+COUNTIFS('CAMPAIGN MASTER'!$I$5:$I$704,$A17,'CAMPAIGN MASTER'!$N$5:$N$704,"Optimizing"))</f>
        <v/>
      </c>
      <c r="K17" s="83" t="str">
        <f>IF($A17="","",COUNTIFS('CAMPAIGN MASTER'!$I$5:$I$704,$A17,'CAMPAIGN MASTER'!$N$5:$N$704,"Completed"))</f>
        <v/>
      </c>
      <c r="L17" s="83" t="str">
        <f>IF($A17="","",COUNTIFS('LEAD MQL TRACKER'!$L$5:$L$1004,$A17,'LEAD MQL TRACKER'!$AB$5:$AB$1004,1,'LEAD MQL TRACKER'!$AA$5:$AA$1004,tpCrit)+SUMIFS('EMAIL MARKETING'!$Q$5:$Q$804,'EMAIL MARKETING'!$T$5:$T$804,$A17,'EMAIL MARKETING'!$X$5:$X$804,tpCrit)+SUMIFS('PAID MEDIA ADS'!$M$5:$M$804,'PAID MEDIA ADS'!$R$5:$R$804,$A17,'PAID MEDIA ADS'!$U$5:$U$804,tpCrit)+SUMIFS('LINKEDIN OUTREACH'!$N$5:$N$704,'LINKEDIN OUTREACH'!$P$5:$P$704,$A17,'LINKEDIN OUTREACH'!$S$5:$S$704,tpCrit)+SUMIFS('WEBSITE CONTENT SEO'!$L$5:$L$804,'WEBSITE CONTENT SEO'!$E$5:$E$804,$A17,'WEBSITE CONTENT SEO'!$V$5:$V$804,tpCrit))</f>
        <v/>
      </c>
      <c r="M17" s="83" t="str">
        <f>IF($A17="","",COUNTIFS('LEAD MQL TRACKER'!$L$5:$L$1004,$A17,'LEAD MQL TRACKER'!$AD$5:$AD$1004,1,'LEAD MQL TRACKER'!$AA$5:$AA$1004,tpCrit)+SUMIFS('EMAIL MARKETING'!$R$5:$R$804,'EMAIL MARKETING'!$T$5:$T$804,$A17,'EMAIL MARKETING'!$X$5:$X$804,tpCrit)+SUMIFS('PAID MEDIA ADS'!$N$5:$N$804,'PAID MEDIA ADS'!$R$5:$R$804,$A17,'PAID MEDIA ADS'!$U$5:$U$804,tpCrit)+SUMIFS('LINKEDIN OUTREACH'!$O$5:$O$704,'LINKEDIN OUTREACH'!$P$5:$P$704,$A17,'LINKEDIN OUTREACH'!$S$5:$S$704,tpCrit))</f>
        <v/>
      </c>
      <c r="N17" s="83" t="str">
        <f>IF($A17="","",COUNTIFS('LEAD MQL TRACKER'!$L$5:$L$1004,$A17,'LEAD MQL TRACKER'!$AE$5:$AE$1004,1,'LEAD MQL TRACKER'!$AA$5:$AA$1004,tpCrit))</f>
        <v/>
      </c>
      <c r="O17" s="83" t="str">
        <f>IF($A17="","",COUNTIFS('LEAD MQL TRACKER'!$L$5:$L$1004,$A17,'LEAD MQL TRACKER'!$AC$5:$AC$1004,1,'LEAD MQL TRACKER'!$AA$5:$AA$1004,tpCrit)+SUMIFS('LINKEDIN OUTREACH'!$M$5:$M$704,'LINKEDIN OUTREACH'!$P$5:$P$704,$A17,'LINKEDIN OUTREACH'!$S$5:$S$704,tpCrit))</f>
        <v/>
      </c>
      <c r="P17" s="83" t="str">
        <f>IF($A17="","",SUMIFS('EMAIL MARKETING'!$F$5:$F$804,'EMAIL MARKETING'!$T$5:$T$804,$A17,'EMAIL MARKETING'!$X$5:$X$804,tpCrit))</f>
        <v/>
      </c>
      <c r="Q17" s="83" t="str">
        <f>IF($A17="","",SUMIFS('EMAIL MARKETING'!$O$5:$O$804,'EMAIL MARKETING'!$T$5:$T$804,$A17,'EMAIL MARKETING'!$X$5:$X$804,tpCrit)+SUMIFS('LINKEDIN OUTREACH'!$K$5:$K$704,'LINKEDIN OUTREACH'!$P$5:$P$704,$A17,'LINKEDIN OUTREACH'!$S$5:$S$704,tpCrit))</f>
        <v/>
      </c>
      <c r="R17" s="83" t="str">
        <f>IF($A17="","",COUNTIFS('DAILY TASK TRACKER'!$B$5:$B$1504,$A17,'DAILY TASK TRACKER'!$M$5:$M$1504,"Completed",'DAILY TASK TRACKER'!$I$5:$I$1504,"Critical",'DAILY TASK TRACKER'!$AH$5:$AH$1504,tpCrit)+COUNTIFS('DAILY TASK TRACKER'!$B$5:$B$1504,$A17,'DAILY TASK TRACKER'!$M$5:$M$1504,"Completed",'DAILY TASK TRACKER'!$I$5:$I$1504,"High",'DAILY TASK TRACKER'!$AH$5:$AH$1504,tpCrit))</f>
        <v/>
      </c>
      <c r="S17" s="74" t="str">
        <f>IF($A17="","",IF(COUNTIF($H$7:$H$21,"&gt;0")&gt;0,H17/(SUM($H$7:$H$21)/COUNTIF($H$7:$H$21,"&gt;0")),""))</f>
        <v/>
      </c>
      <c r="T17" s="83" t="str">
        <f>IF($A17="","",IF(OR(F17&gt;0,G17&gt;0),"Support needed",IF(AND(ISNUMBER(S17),S17&gt;1.3),"Workload high",IF(C17=0,"No tasks logged","OK"))))</f>
        <v/>
      </c>
      <c r="U17" s="82" t="str">
        <f t="array" ref="U17">IF($A17="","",_xlfn.TEXTJOIN(", ",TRUE,IF(COUNTIFS('DAILY TASK TRACKER'!$B$5:$B$1504,$A17,'DAILY TASK TRACKER'!$C$5:$C$1504,'CLIENT MASTER'!$A$5:$A$64,'DAILY TASK TRACKER'!$AK$5:$AK$1504,1)&gt;0,'CLIENT MASTER'!$A$5:$A$64,"")))</f>
        <v/>
      </c>
    </row>
    <row r="18" ht="28" customHeight="1">
      <c r="A18" s="81" t="str">
        <f>IF('MASTER DATA'!A26="","",'MASTER DATA'!A26)</f>
        <v/>
      </c>
      <c r="B18" s="82" t="str">
        <f>IF($A18="","",'MASTER DATA'!B26)</f>
        <v/>
      </c>
      <c r="C18" s="83" t="str">
        <f>IF($A18="","",COUNTIFS('DAILY TASK TRACKER'!$B$5:$B$1504,$A18,'DAILY TASK TRACKER'!$G$5:$G$1504,"&lt;&gt;",'DAILY TASK TRACKER'!$AH$5:$AH$1504,tpCrit))</f>
        <v/>
      </c>
      <c r="D18" s="83" t="str">
        <f>IF($A18="","",COUNTIFS('DAILY TASK TRACKER'!$B$5:$B$1504,$A18,'DAILY TASK TRACKER'!$M$5:$M$1504,"Completed",'DAILY TASK TRACKER'!$AH$5:$AH$1504,tpCrit))</f>
        <v/>
      </c>
      <c r="E18" s="70" t="str">
        <f>IF($A18="","",IF(C18&gt;0,D18/C18,""))</f>
        <v/>
      </c>
      <c r="F18" s="83" t="str">
        <f>IF($A18="","",SUMIFS('DAILY TASK TRACKER'!$AL$5:$AL$1504,'DAILY TASK TRACKER'!$B$5:$B$1504,$A18,'DAILY TASK TRACKER'!$AH$5:$AH$1504,tpCrit))</f>
        <v/>
      </c>
      <c r="G18" s="83" t="str">
        <f>IF($A18="","",SUMIFS('DAILY TASK TRACKER'!$AM$5:$AM$1504,'DAILY TASK TRACKER'!$B$5:$B$1504,$A18,'DAILY TASK TRACKER'!$AH$5:$AH$1504,tpCrit))</f>
        <v/>
      </c>
      <c r="H18" s="83" t="str">
        <f>IF($A18="","",SUMIFS('DAILY TASK TRACKER'!$AK$5:$AK$1504,'DAILY TASK TRACKER'!$B$5:$B$1504,$A18,'DAILY TASK TRACKER'!$AH$5:$AH$1504,tpCrit))</f>
        <v/>
      </c>
      <c r="I18" s="83" t="str">
        <f>IF($A18="","",SUMIFS('DAILY TASK TRACKER'!$AP$5:$AP$1504,'DAILY TASK TRACKER'!$B$5:$B$1504,$A18,'DAILY TASK TRACKER'!$AH$5:$AH$1504,tpCrit))</f>
        <v/>
      </c>
      <c r="J18" s="83" t="str">
        <f>IF($A18="","",COUNTIFS('CAMPAIGN MASTER'!$I$5:$I$704,$A18,'CAMPAIGN MASTER'!$N$5:$N$704,"Live")+COUNTIFS('CAMPAIGN MASTER'!$I$5:$I$704,$A18,'CAMPAIGN MASTER'!$N$5:$N$704,"Optimizing"))</f>
        <v/>
      </c>
      <c r="K18" s="83" t="str">
        <f>IF($A18="","",COUNTIFS('CAMPAIGN MASTER'!$I$5:$I$704,$A18,'CAMPAIGN MASTER'!$N$5:$N$704,"Completed"))</f>
        <v/>
      </c>
      <c r="L18" s="83" t="str">
        <f>IF($A18="","",COUNTIFS('LEAD MQL TRACKER'!$L$5:$L$1004,$A18,'LEAD MQL TRACKER'!$AB$5:$AB$1004,1,'LEAD MQL TRACKER'!$AA$5:$AA$1004,tpCrit)+SUMIFS('EMAIL MARKETING'!$Q$5:$Q$804,'EMAIL MARKETING'!$T$5:$T$804,$A18,'EMAIL MARKETING'!$X$5:$X$804,tpCrit)+SUMIFS('PAID MEDIA ADS'!$M$5:$M$804,'PAID MEDIA ADS'!$R$5:$R$804,$A18,'PAID MEDIA ADS'!$U$5:$U$804,tpCrit)+SUMIFS('LINKEDIN OUTREACH'!$N$5:$N$704,'LINKEDIN OUTREACH'!$P$5:$P$704,$A18,'LINKEDIN OUTREACH'!$S$5:$S$704,tpCrit)+SUMIFS('WEBSITE CONTENT SEO'!$L$5:$L$804,'WEBSITE CONTENT SEO'!$E$5:$E$804,$A18,'WEBSITE CONTENT SEO'!$V$5:$V$804,tpCrit))</f>
        <v/>
      </c>
      <c r="M18" s="83" t="str">
        <f>IF($A18="","",COUNTIFS('LEAD MQL TRACKER'!$L$5:$L$1004,$A18,'LEAD MQL TRACKER'!$AD$5:$AD$1004,1,'LEAD MQL TRACKER'!$AA$5:$AA$1004,tpCrit)+SUMIFS('EMAIL MARKETING'!$R$5:$R$804,'EMAIL MARKETING'!$T$5:$T$804,$A18,'EMAIL MARKETING'!$X$5:$X$804,tpCrit)+SUMIFS('PAID MEDIA ADS'!$N$5:$N$804,'PAID MEDIA ADS'!$R$5:$R$804,$A18,'PAID MEDIA ADS'!$U$5:$U$804,tpCrit)+SUMIFS('LINKEDIN OUTREACH'!$O$5:$O$704,'LINKEDIN OUTREACH'!$P$5:$P$704,$A18,'LINKEDIN OUTREACH'!$S$5:$S$704,tpCrit))</f>
        <v/>
      </c>
      <c r="N18" s="83" t="str">
        <f>IF($A18="","",COUNTIFS('LEAD MQL TRACKER'!$L$5:$L$1004,$A18,'LEAD MQL TRACKER'!$AE$5:$AE$1004,1,'LEAD MQL TRACKER'!$AA$5:$AA$1004,tpCrit))</f>
        <v/>
      </c>
      <c r="O18" s="83" t="str">
        <f>IF($A18="","",COUNTIFS('LEAD MQL TRACKER'!$L$5:$L$1004,$A18,'LEAD MQL TRACKER'!$AC$5:$AC$1004,1,'LEAD MQL TRACKER'!$AA$5:$AA$1004,tpCrit)+SUMIFS('LINKEDIN OUTREACH'!$M$5:$M$704,'LINKEDIN OUTREACH'!$P$5:$P$704,$A18,'LINKEDIN OUTREACH'!$S$5:$S$704,tpCrit))</f>
        <v/>
      </c>
      <c r="P18" s="83" t="str">
        <f>IF($A18="","",SUMIFS('EMAIL MARKETING'!$F$5:$F$804,'EMAIL MARKETING'!$T$5:$T$804,$A18,'EMAIL MARKETING'!$X$5:$X$804,tpCrit))</f>
        <v/>
      </c>
      <c r="Q18" s="83" t="str">
        <f>IF($A18="","",SUMIFS('EMAIL MARKETING'!$O$5:$O$804,'EMAIL MARKETING'!$T$5:$T$804,$A18,'EMAIL MARKETING'!$X$5:$X$804,tpCrit)+SUMIFS('LINKEDIN OUTREACH'!$K$5:$K$704,'LINKEDIN OUTREACH'!$P$5:$P$704,$A18,'LINKEDIN OUTREACH'!$S$5:$S$704,tpCrit))</f>
        <v/>
      </c>
      <c r="R18" s="83" t="str">
        <f>IF($A18="","",COUNTIFS('DAILY TASK TRACKER'!$B$5:$B$1504,$A18,'DAILY TASK TRACKER'!$M$5:$M$1504,"Completed",'DAILY TASK TRACKER'!$I$5:$I$1504,"Critical",'DAILY TASK TRACKER'!$AH$5:$AH$1504,tpCrit)+COUNTIFS('DAILY TASK TRACKER'!$B$5:$B$1504,$A18,'DAILY TASK TRACKER'!$M$5:$M$1504,"Completed",'DAILY TASK TRACKER'!$I$5:$I$1504,"High",'DAILY TASK TRACKER'!$AH$5:$AH$1504,tpCrit))</f>
        <v/>
      </c>
      <c r="S18" s="74" t="str">
        <f>IF($A18="","",IF(COUNTIF($H$7:$H$21,"&gt;0")&gt;0,H18/(SUM($H$7:$H$21)/COUNTIF($H$7:$H$21,"&gt;0")),""))</f>
        <v/>
      </c>
      <c r="T18" s="83" t="str">
        <f>IF($A18="","",IF(OR(F18&gt;0,G18&gt;0),"Support needed",IF(AND(ISNUMBER(S18),S18&gt;1.3),"Workload high",IF(C18=0,"No tasks logged","OK"))))</f>
        <v/>
      </c>
      <c r="U18" s="82" t="str">
        <f t="array" ref="U18">IF($A18="","",_xlfn.TEXTJOIN(", ",TRUE,IF(COUNTIFS('DAILY TASK TRACKER'!$B$5:$B$1504,$A18,'DAILY TASK TRACKER'!$C$5:$C$1504,'CLIENT MASTER'!$A$5:$A$64,'DAILY TASK TRACKER'!$AK$5:$AK$1504,1)&gt;0,'CLIENT MASTER'!$A$5:$A$64,"")))</f>
        <v/>
      </c>
    </row>
    <row r="19" ht="28" customHeight="1">
      <c r="A19" s="81" t="str">
        <f>IF('MASTER DATA'!A27="","",'MASTER DATA'!A27)</f>
        <v/>
      </c>
      <c r="B19" s="82" t="str">
        <f>IF($A19="","",'MASTER DATA'!B27)</f>
        <v/>
      </c>
      <c r="C19" s="83" t="str">
        <f>IF($A19="","",COUNTIFS('DAILY TASK TRACKER'!$B$5:$B$1504,$A19,'DAILY TASK TRACKER'!$G$5:$G$1504,"&lt;&gt;",'DAILY TASK TRACKER'!$AH$5:$AH$1504,tpCrit))</f>
        <v/>
      </c>
      <c r="D19" s="83" t="str">
        <f>IF($A19="","",COUNTIFS('DAILY TASK TRACKER'!$B$5:$B$1504,$A19,'DAILY TASK TRACKER'!$M$5:$M$1504,"Completed",'DAILY TASK TRACKER'!$AH$5:$AH$1504,tpCrit))</f>
        <v/>
      </c>
      <c r="E19" s="70" t="str">
        <f>IF($A19="","",IF(C19&gt;0,D19/C19,""))</f>
        <v/>
      </c>
      <c r="F19" s="83" t="str">
        <f>IF($A19="","",SUMIFS('DAILY TASK TRACKER'!$AL$5:$AL$1504,'DAILY TASK TRACKER'!$B$5:$B$1504,$A19,'DAILY TASK TRACKER'!$AH$5:$AH$1504,tpCrit))</f>
        <v/>
      </c>
      <c r="G19" s="83" t="str">
        <f>IF($A19="","",SUMIFS('DAILY TASK TRACKER'!$AM$5:$AM$1504,'DAILY TASK TRACKER'!$B$5:$B$1504,$A19,'DAILY TASK TRACKER'!$AH$5:$AH$1504,tpCrit))</f>
        <v/>
      </c>
      <c r="H19" s="83" t="str">
        <f>IF($A19="","",SUMIFS('DAILY TASK TRACKER'!$AK$5:$AK$1504,'DAILY TASK TRACKER'!$B$5:$B$1504,$A19,'DAILY TASK TRACKER'!$AH$5:$AH$1504,tpCrit))</f>
        <v/>
      </c>
      <c r="I19" s="83" t="str">
        <f>IF($A19="","",SUMIFS('DAILY TASK TRACKER'!$AP$5:$AP$1504,'DAILY TASK TRACKER'!$B$5:$B$1504,$A19,'DAILY TASK TRACKER'!$AH$5:$AH$1504,tpCrit))</f>
        <v/>
      </c>
      <c r="J19" s="83" t="str">
        <f>IF($A19="","",COUNTIFS('CAMPAIGN MASTER'!$I$5:$I$704,$A19,'CAMPAIGN MASTER'!$N$5:$N$704,"Live")+COUNTIFS('CAMPAIGN MASTER'!$I$5:$I$704,$A19,'CAMPAIGN MASTER'!$N$5:$N$704,"Optimizing"))</f>
        <v/>
      </c>
      <c r="K19" s="83" t="str">
        <f>IF($A19="","",COUNTIFS('CAMPAIGN MASTER'!$I$5:$I$704,$A19,'CAMPAIGN MASTER'!$N$5:$N$704,"Completed"))</f>
        <v/>
      </c>
      <c r="L19" s="83" t="str">
        <f>IF($A19="","",COUNTIFS('LEAD MQL TRACKER'!$L$5:$L$1004,$A19,'LEAD MQL TRACKER'!$AB$5:$AB$1004,1,'LEAD MQL TRACKER'!$AA$5:$AA$1004,tpCrit)+SUMIFS('EMAIL MARKETING'!$Q$5:$Q$804,'EMAIL MARKETING'!$T$5:$T$804,$A19,'EMAIL MARKETING'!$X$5:$X$804,tpCrit)+SUMIFS('PAID MEDIA ADS'!$M$5:$M$804,'PAID MEDIA ADS'!$R$5:$R$804,$A19,'PAID MEDIA ADS'!$U$5:$U$804,tpCrit)+SUMIFS('LINKEDIN OUTREACH'!$N$5:$N$704,'LINKEDIN OUTREACH'!$P$5:$P$704,$A19,'LINKEDIN OUTREACH'!$S$5:$S$704,tpCrit)+SUMIFS('WEBSITE CONTENT SEO'!$L$5:$L$804,'WEBSITE CONTENT SEO'!$E$5:$E$804,$A19,'WEBSITE CONTENT SEO'!$V$5:$V$804,tpCrit))</f>
        <v/>
      </c>
      <c r="M19" s="83" t="str">
        <f>IF($A19="","",COUNTIFS('LEAD MQL TRACKER'!$L$5:$L$1004,$A19,'LEAD MQL TRACKER'!$AD$5:$AD$1004,1,'LEAD MQL TRACKER'!$AA$5:$AA$1004,tpCrit)+SUMIFS('EMAIL MARKETING'!$R$5:$R$804,'EMAIL MARKETING'!$T$5:$T$804,$A19,'EMAIL MARKETING'!$X$5:$X$804,tpCrit)+SUMIFS('PAID MEDIA ADS'!$N$5:$N$804,'PAID MEDIA ADS'!$R$5:$R$804,$A19,'PAID MEDIA ADS'!$U$5:$U$804,tpCrit)+SUMIFS('LINKEDIN OUTREACH'!$O$5:$O$704,'LINKEDIN OUTREACH'!$P$5:$P$704,$A19,'LINKEDIN OUTREACH'!$S$5:$S$704,tpCrit))</f>
        <v/>
      </c>
      <c r="N19" s="83" t="str">
        <f>IF($A19="","",COUNTIFS('LEAD MQL TRACKER'!$L$5:$L$1004,$A19,'LEAD MQL TRACKER'!$AE$5:$AE$1004,1,'LEAD MQL TRACKER'!$AA$5:$AA$1004,tpCrit))</f>
        <v/>
      </c>
      <c r="O19" s="83" t="str">
        <f>IF($A19="","",COUNTIFS('LEAD MQL TRACKER'!$L$5:$L$1004,$A19,'LEAD MQL TRACKER'!$AC$5:$AC$1004,1,'LEAD MQL TRACKER'!$AA$5:$AA$1004,tpCrit)+SUMIFS('LINKEDIN OUTREACH'!$M$5:$M$704,'LINKEDIN OUTREACH'!$P$5:$P$704,$A19,'LINKEDIN OUTREACH'!$S$5:$S$704,tpCrit))</f>
        <v/>
      </c>
      <c r="P19" s="83" t="str">
        <f>IF($A19="","",SUMIFS('EMAIL MARKETING'!$F$5:$F$804,'EMAIL MARKETING'!$T$5:$T$804,$A19,'EMAIL MARKETING'!$X$5:$X$804,tpCrit))</f>
        <v/>
      </c>
      <c r="Q19" s="83" t="str">
        <f>IF($A19="","",SUMIFS('EMAIL MARKETING'!$O$5:$O$804,'EMAIL MARKETING'!$T$5:$T$804,$A19,'EMAIL MARKETING'!$X$5:$X$804,tpCrit)+SUMIFS('LINKEDIN OUTREACH'!$K$5:$K$704,'LINKEDIN OUTREACH'!$P$5:$P$704,$A19,'LINKEDIN OUTREACH'!$S$5:$S$704,tpCrit))</f>
        <v/>
      </c>
      <c r="R19" s="83" t="str">
        <f>IF($A19="","",COUNTIFS('DAILY TASK TRACKER'!$B$5:$B$1504,$A19,'DAILY TASK TRACKER'!$M$5:$M$1504,"Completed",'DAILY TASK TRACKER'!$I$5:$I$1504,"Critical",'DAILY TASK TRACKER'!$AH$5:$AH$1504,tpCrit)+COUNTIFS('DAILY TASK TRACKER'!$B$5:$B$1504,$A19,'DAILY TASK TRACKER'!$M$5:$M$1504,"Completed",'DAILY TASK TRACKER'!$I$5:$I$1504,"High",'DAILY TASK TRACKER'!$AH$5:$AH$1504,tpCrit))</f>
        <v/>
      </c>
      <c r="S19" s="74" t="str">
        <f>IF($A19="","",IF(COUNTIF($H$7:$H$21,"&gt;0")&gt;0,H19/(SUM($H$7:$H$21)/COUNTIF($H$7:$H$21,"&gt;0")),""))</f>
        <v/>
      </c>
      <c r="T19" s="83" t="str">
        <f>IF($A19="","",IF(OR(F19&gt;0,G19&gt;0),"Support needed",IF(AND(ISNUMBER(S19),S19&gt;1.3),"Workload high",IF(C19=0,"No tasks logged","OK"))))</f>
        <v/>
      </c>
      <c r="U19" s="82" t="str">
        <f t="array" ref="U19">IF($A19="","",_xlfn.TEXTJOIN(", ",TRUE,IF(COUNTIFS('DAILY TASK TRACKER'!$B$5:$B$1504,$A19,'DAILY TASK TRACKER'!$C$5:$C$1504,'CLIENT MASTER'!$A$5:$A$64,'DAILY TASK TRACKER'!$AK$5:$AK$1504,1)&gt;0,'CLIENT MASTER'!$A$5:$A$64,"")))</f>
        <v/>
      </c>
    </row>
    <row r="20" ht="28" customHeight="1">
      <c r="A20" s="81" t="str">
        <f>IF('MASTER DATA'!A28="","",'MASTER DATA'!A28)</f>
        <v/>
      </c>
      <c r="B20" s="82" t="str">
        <f>IF($A20="","",'MASTER DATA'!B28)</f>
        <v/>
      </c>
      <c r="C20" s="83" t="str">
        <f>IF($A20="","",COUNTIFS('DAILY TASK TRACKER'!$B$5:$B$1504,$A20,'DAILY TASK TRACKER'!$G$5:$G$1504,"&lt;&gt;",'DAILY TASK TRACKER'!$AH$5:$AH$1504,tpCrit))</f>
        <v/>
      </c>
      <c r="D20" s="83" t="str">
        <f>IF($A20="","",COUNTIFS('DAILY TASK TRACKER'!$B$5:$B$1504,$A20,'DAILY TASK TRACKER'!$M$5:$M$1504,"Completed",'DAILY TASK TRACKER'!$AH$5:$AH$1504,tpCrit))</f>
        <v/>
      </c>
      <c r="E20" s="70" t="str">
        <f>IF($A20="","",IF(C20&gt;0,D20/C20,""))</f>
        <v/>
      </c>
      <c r="F20" s="83" t="str">
        <f>IF($A20="","",SUMIFS('DAILY TASK TRACKER'!$AL$5:$AL$1504,'DAILY TASK TRACKER'!$B$5:$B$1504,$A20,'DAILY TASK TRACKER'!$AH$5:$AH$1504,tpCrit))</f>
        <v/>
      </c>
      <c r="G20" s="83" t="str">
        <f>IF($A20="","",SUMIFS('DAILY TASK TRACKER'!$AM$5:$AM$1504,'DAILY TASK TRACKER'!$B$5:$B$1504,$A20,'DAILY TASK TRACKER'!$AH$5:$AH$1504,tpCrit))</f>
        <v/>
      </c>
      <c r="H20" s="83" t="str">
        <f>IF($A20="","",SUMIFS('DAILY TASK TRACKER'!$AK$5:$AK$1504,'DAILY TASK TRACKER'!$B$5:$B$1504,$A20,'DAILY TASK TRACKER'!$AH$5:$AH$1504,tpCrit))</f>
        <v/>
      </c>
      <c r="I20" s="83" t="str">
        <f>IF($A20="","",SUMIFS('DAILY TASK TRACKER'!$AP$5:$AP$1504,'DAILY TASK TRACKER'!$B$5:$B$1504,$A20,'DAILY TASK TRACKER'!$AH$5:$AH$1504,tpCrit))</f>
        <v/>
      </c>
      <c r="J20" s="83" t="str">
        <f>IF($A20="","",COUNTIFS('CAMPAIGN MASTER'!$I$5:$I$704,$A20,'CAMPAIGN MASTER'!$N$5:$N$704,"Live")+COUNTIFS('CAMPAIGN MASTER'!$I$5:$I$704,$A20,'CAMPAIGN MASTER'!$N$5:$N$704,"Optimizing"))</f>
        <v/>
      </c>
      <c r="K20" s="83" t="str">
        <f>IF($A20="","",COUNTIFS('CAMPAIGN MASTER'!$I$5:$I$704,$A20,'CAMPAIGN MASTER'!$N$5:$N$704,"Completed"))</f>
        <v/>
      </c>
      <c r="L20" s="83" t="str">
        <f>IF($A20="","",COUNTIFS('LEAD MQL TRACKER'!$L$5:$L$1004,$A20,'LEAD MQL TRACKER'!$AB$5:$AB$1004,1,'LEAD MQL TRACKER'!$AA$5:$AA$1004,tpCrit)+SUMIFS('EMAIL MARKETING'!$Q$5:$Q$804,'EMAIL MARKETING'!$T$5:$T$804,$A20,'EMAIL MARKETING'!$X$5:$X$804,tpCrit)+SUMIFS('PAID MEDIA ADS'!$M$5:$M$804,'PAID MEDIA ADS'!$R$5:$R$804,$A20,'PAID MEDIA ADS'!$U$5:$U$804,tpCrit)+SUMIFS('LINKEDIN OUTREACH'!$N$5:$N$704,'LINKEDIN OUTREACH'!$P$5:$P$704,$A20,'LINKEDIN OUTREACH'!$S$5:$S$704,tpCrit)+SUMIFS('WEBSITE CONTENT SEO'!$L$5:$L$804,'WEBSITE CONTENT SEO'!$E$5:$E$804,$A20,'WEBSITE CONTENT SEO'!$V$5:$V$804,tpCrit))</f>
        <v/>
      </c>
      <c r="M20" s="83" t="str">
        <f>IF($A20="","",COUNTIFS('LEAD MQL TRACKER'!$L$5:$L$1004,$A20,'LEAD MQL TRACKER'!$AD$5:$AD$1004,1,'LEAD MQL TRACKER'!$AA$5:$AA$1004,tpCrit)+SUMIFS('EMAIL MARKETING'!$R$5:$R$804,'EMAIL MARKETING'!$T$5:$T$804,$A20,'EMAIL MARKETING'!$X$5:$X$804,tpCrit)+SUMIFS('PAID MEDIA ADS'!$N$5:$N$804,'PAID MEDIA ADS'!$R$5:$R$804,$A20,'PAID MEDIA ADS'!$U$5:$U$804,tpCrit)+SUMIFS('LINKEDIN OUTREACH'!$O$5:$O$704,'LINKEDIN OUTREACH'!$P$5:$P$704,$A20,'LINKEDIN OUTREACH'!$S$5:$S$704,tpCrit))</f>
        <v/>
      </c>
      <c r="N20" s="83" t="str">
        <f>IF($A20="","",COUNTIFS('LEAD MQL TRACKER'!$L$5:$L$1004,$A20,'LEAD MQL TRACKER'!$AE$5:$AE$1004,1,'LEAD MQL TRACKER'!$AA$5:$AA$1004,tpCrit))</f>
        <v/>
      </c>
      <c r="O20" s="83" t="str">
        <f>IF($A20="","",COUNTIFS('LEAD MQL TRACKER'!$L$5:$L$1004,$A20,'LEAD MQL TRACKER'!$AC$5:$AC$1004,1,'LEAD MQL TRACKER'!$AA$5:$AA$1004,tpCrit)+SUMIFS('LINKEDIN OUTREACH'!$M$5:$M$704,'LINKEDIN OUTREACH'!$P$5:$P$704,$A20,'LINKEDIN OUTREACH'!$S$5:$S$704,tpCrit))</f>
        <v/>
      </c>
      <c r="P20" s="83" t="str">
        <f>IF($A20="","",SUMIFS('EMAIL MARKETING'!$F$5:$F$804,'EMAIL MARKETING'!$T$5:$T$804,$A20,'EMAIL MARKETING'!$X$5:$X$804,tpCrit))</f>
        <v/>
      </c>
      <c r="Q20" s="83" t="str">
        <f>IF($A20="","",SUMIFS('EMAIL MARKETING'!$O$5:$O$804,'EMAIL MARKETING'!$T$5:$T$804,$A20,'EMAIL MARKETING'!$X$5:$X$804,tpCrit)+SUMIFS('LINKEDIN OUTREACH'!$K$5:$K$704,'LINKEDIN OUTREACH'!$P$5:$P$704,$A20,'LINKEDIN OUTREACH'!$S$5:$S$704,tpCrit))</f>
        <v/>
      </c>
      <c r="R20" s="83" t="str">
        <f>IF($A20="","",COUNTIFS('DAILY TASK TRACKER'!$B$5:$B$1504,$A20,'DAILY TASK TRACKER'!$M$5:$M$1504,"Completed",'DAILY TASK TRACKER'!$I$5:$I$1504,"Critical",'DAILY TASK TRACKER'!$AH$5:$AH$1504,tpCrit)+COUNTIFS('DAILY TASK TRACKER'!$B$5:$B$1504,$A20,'DAILY TASK TRACKER'!$M$5:$M$1504,"Completed",'DAILY TASK TRACKER'!$I$5:$I$1504,"High",'DAILY TASK TRACKER'!$AH$5:$AH$1504,tpCrit))</f>
        <v/>
      </c>
      <c r="S20" s="74" t="str">
        <f>IF($A20="","",IF(COUNTIF($H$7:$H$21,"&gt;0")&gt;0,H20/(SUM($H$7:$H$21)/COUNTIF($H$7:$H$21,"&gt;0")),""))</f>
        <v/>
      </c>
      <c r="T20" s="83" t="str">
        <f>IF($A20="","",IF(OR(F20&gt;0,G20&gt;0),"Support needed",IF(AND(ISNUMBER(S20),S20&gt;1.3),"Workload high",IF(C20=0,"No tasks logged","OK"))))</f>
        <v/>
      </c>
      <c r="U20" s="82" t="str">
        <f t="array" ref="U20">IF($A20="","",_xlfn.TEXTJOIN(", ",TRUE,IF(COUNTIFS('DAILY TASK TRACKER'!$B$5:$B$1504,$A20,'DAILY TASK TRACKER'!$C$5:$C$1504,'CLIENT MASTER'!$A$5:$A$64,'DAILY TASK TRACKER'!$AK$5:$AK$1504,1)&gt;0,'CLIENT MASTER'!$A$5:$A$64,"")))</f>
        <v/>
      </c>
    </row>
    <row r="21" ht="28" customHeight="1">
      <c r="A21" s="81" t="str">
        <f>IF('MASTER DATA'!A29="","",'MASTER DATA'!A29)</f>
        <v/>
      </c>
      <c r="B21" s="82" t="str">
        <f>IF($A21="","",'MASTER DATA'!B29)</f>
        <v/>
      </c>
      <c r="C21" s="83" t="str">
        <f>IF($A21="","",COUNTIFS('DAILY TASK TRACKER'!$B$5:$B$1504,$A21,'DAILY TASK TRACKER'!$G$5:$G$1504,"&lt;&gt;",'DAILY TASK TRACKER'!$AH$5:$AH$1504,tpCrit))</f>
        <v/>
      </c>
      <c r="D21" s="83" t="str">
        <f>IF($A21="","",COUNTIFS('DAILY TASK TRACKER'!$B$5:$B$1504,$A21,'DAILY TASK TRACKER'!$M$5:$M$1504,"Completed",'DAILY TASK TRACKER'!$AH$5:$AH$1504,tpCrit))</f>
        <v/>
      </c>
      <c r="E21" s="70" t="str">
        <f>IF($A21="","",IF(C21&gt;0,D21/C21,""))</f>
        <v/>
      </c>
      <c r="F21" s="83" t="str">
        <f>IF($A21="","",SUMIFS('DAILY TASK TRACKER'!$AL$5:$AL$1504,'DAILY TASK TRACKER'!$B$5:$B$1504,$A21,'DAILY TASK TRACKER'!$AH$5:$AH$1504,tpCrit))</f>
        <v/>
      </c>
      <c r="G21" s="83" t="str">
        <f>IF($A21="","",SUMIFS('DAILY TASK TRACKER'!$AM$5:$AM$1504,'DAILY TASK TRACKER'!$B$5:$B$1504,$A21,'DAILY TASK TRACKER'!$AH$5:$AH$1504,tpCrit))</f>
        <v/>
      </c>
      <c r="H21" s="83" t="str">
        <f>IF($A21="","",SUMIFS('DAILY TASK TRACKER'!$AK$5:$AK$1504,'DAILY TASK TRACKER'!$B$5:$B$1504,$A21,'DAILY TASK TRACKER'!$AH$5:$AH$1504,tpCrit))</f>
        <v/>
      </c>
      <c r="I21" s="83" t="str">
        <f>IF($A21="","",SUMIFS('DAILY TASK TRACKER'!$AP$5:$AP$1504,'DAILY TASK TRACKER'!$B$5:$B$1504,$A21,'DAILY TASK TRACKER'!$AH$5:$AH$1504,tpCrit))</f>
        <v/>
      </c>
      <c r="J21" s="83" t="str">
        <f>IF($A21="","",COUNTIFS('CAMPAIGN MASTER'!$I$5:$I$704,$A21,'CAMPAIGN MASTER'!$N$5:$N$704,"Live")+COUNTIFS('CAMPAIGN MASTER'!$I$5:$I$704,$A21,'CAMPAIGN MASTER'!$N$5:$N$704,"Optimizing"))</f>
        <v/>
      </c>
      <c r="K21" s="83" t="str">
        <f>IF($A21="","",COUNTIFS('CAMPAIGN MASTER'!$I$5:$I$704,$A21,'CAMPAIGN MASTER'!$N$5:$N$704,"Completed"))</f>
        <v/>
      </c>
      <c r="L21" s="83" t="str">
        <f>IF($A21="","",COUNTIFS('LEAD MQL TRACKER'!$L$5:$L$1004,$A21,'LEAD MQL TRACKER'!$AB$5:$AB$1004,1,'LEAD MQL TRACKER'!$AA$5:$AA$1004,tpCrit)+SUMIFS('EMAIL MARKETING'!$Q$5:$Q$804,'EMAIL MARKETING'!$T$5:$T$804,$A21,'EMAIL MARKETING'!$X$5:$X$804,tpCrit)+SUMIFS('PAID MEDIA ADS'!$M$5:$M$804,'PAID MEDIA ADS'!$R$5:$R$804,$A21,'PAID MEDIA ADS'!$U$5:$U$804,tpCrit)+SUMIFS('LINKEDIN OUTREACH'!$N$5:$N$704,'LINKEDIN OUTREACH'!$P$5:$P$704,$A21,'LINKEDIN OUTREACH'!$S$5:$S$704,tpCrit)+SUMIFS('WEBSITE CONTENT SEO'!$L$5:$L$804,'WEBSITE CONTENT SEO'!$E$5:$E$804,$A21,'WEBSITE CONTENT SEO'!$V$5:$V$804,tpCrit))</f>
        <v/>
      </c>
      <c r="M21" s="83" t="str">
        <f>IF($A21="","",COUNTIFS('LEAD MQL TRACKER'!$L$5:$L$1004,$A21,'LEAD MQL TRACKER'!$AD$5:$AD$1004,1,'LEAD MQL TRACKER'!$AA$5:$AA$1004,tpCrit)+SUMIFS('EMAIL MARKETING'!$R$5:$R$804,'EMAIL MARKETING'!$T$5:$T$804,$A21,'EMAIL MARKETING'!$X$5:$X$804,tpCrit)+SUMIFS('PAID MEDIA ADS'!$N$5:$N$804,'PAID MEDIA ADS'!$R$5:$R$804,$A21,'PAID MEDIA ADS'!$U$5:$U$804,tpCrit)+SUMIFS('LINKEDIN OUTREACH'!$O$5:$O$704,'LINKEDIN OUTREACH'!$P$5:$P$704,$A21,'LINKEDIN OUTREACH'!$S$5:$S$704,tpCrit))</f>
        <v/>
      </c>
      <c r="N21" s="83" t="str">
        <f>IF($A21="","",COUNTIFS('LEAD MQL TRACKER'!$L$5:$L$1004,$A21,'LEAD MQL TRACKER'!$AE$5:$AE$1004,1,'LEAD MQL TRACKER'!$AA$5:$AA$1004,tpCrit))</f>
        <v/>
      </c>
      <c r="O21" s="83" t="str">
        <f>IF($A21="","",COUNTIFS('LEAD MQL TRACKER'!$L$5:$L$1004,$A21,'LEAD MQL TRACKER'!$AC$5:$AC$1004,1,'LEAD MQL TRACKER'!$AA$5:$AA$1004,tpCrit)+SUMIFS('LINKEDIN OUTREACH'!$M$5:$M$704,'LINKEDIN OUTREACH'!$P$5:$P$704,$A21,'LINKEDIN OUTREACH'!$S$5:$S$704,tpCrit))</f>
        <v/>
      </c>
      <c r="P21" s="83" t="str">
        <f>IF($A21="","",SUMIFS('EMAIL MARKETING'!$F$5:$F$804,'EMAIL MARKETING'!$T$5:$T$804,$A21,'EMAIL MARKETING'!$X$5:$X$804,tpCrit))</f>
        <v/>
      </c>
      <c r="Q21" s="83" t="str">
        <f>IF($A21="","",SUMIFS('EMAIL MARKETING'!$O$5:$O$804,'EMAIL MARKETING'!$T$5:$T$804,$A21,'EMAIL MARKETING'!$X$5:$X$804,tpCrit)+SUMIFS('LINKEDIN OUTREACH'!$K$5:$K$704,'LINKEDIN OUTREACH'!$P$5:$P$704,$A21,'LINKEDIN OUTREACH'!$S$5:$S$704,tpCrit))</f>
        <v/>
      </c>
      <c r="R21" s="83" t="str">
        <f>IF($A21="","",COUNTIFS('DAILY TASK TRACKER'!$B$5:$B$1504,$A21,'DAILY TASK TRACKER'!$M$5:$M$1504,"Completed",'DAILY TASK TRACKER'!$I$5:$I$1504,"Critical",'DAILY TASK TRACKER'!$AH$5:$AH$1504,tpCrit)+COUNTIFS('DAILY TASK TRACKER'!$B$5:$B$1504,$A21,'DAILY TASK TRACKER'!$M$5:$M$1504,"Completed",'DAILY TASK TRACKER'!$I$5:$I$1504,"High",'DAILY TASK TRACKER'!$AH$5:$AH$1504,tpCrit))</f>
        <v/>
      </c>
      <c r="S21" s="74" t="str">
        <f>IF($A21="","",IF(COUNTIF($H$7:$H$21,"&gt;0")&gt;0,H21/(SUM($H$7:$H$21)/COUNTIF($H$7:$H$21,"&gt;0")),""))</f>
        <v/>
      </c>
      <c r="T21" s="83" t="str">
        <f>IF($A21="","",IF(OR(F21&gt;0,G21&gt;0),"Support needed",IF(AND(ISNUMBER(S21),S21&gt;1.3),"Workload high",IF(C21=0,"No tasks logged","OK"))))</f>
        <v/>
      </c>
      <c r="U21" s="82" t="str">
        <f t="array" ref="U21">IF($A21="","",_xlfn.TEXTJOIN(", ",TRUE,IF(COUNTIFS('DAILY TASK TRACKER'!$B$5:$B$1504,$A21,'DAILY TASK TRACKER'!$C$5:$C$1504,'CLIENT MASTER'!$A$5:$A$64,'DAILY TASK TRACKER'!$AK$5:$AK$1504,1)&gt;0,'CLIENT MASTER'!$A$5:$A$64,"")))</f>
        <v/>
      </c>
    </row>
    <row r="22">
      <c r="A22" s="84" t="inlineStr">
        <is>
          <t>TOTAL</t>
        </is>
      </c>
      <c r="B22" s="84" t="n"/>
      <c r="C22" s="84">
        <f>SUM(C7:C21)</f>
        <v>58</v>
      </c>
      <c r="D22" s="84">
        <f>SUM(D7:D21)</f>
        <v>0</v>
      </c>
      <c r="E22" s="85">
        <f>IF(C22&gt;0,D22/C22,"")</f>
        <v>0</v>
      </c>
      <c r="F22" s="84">
        <f>SUM(F7:F21)</f>
        <v>3</v>
      </c>
      <c r="G22" s="84">
        <f>SUM(G7:G21)</f>
        <v>0</v>
      </c>
      <c r="H22" s="84">
        <f>SUM(H7:H21)</f>
        <v>58</v>
      </c>
      <c r="I22" s="84">
        <f>SUM(I7:I21)</f>
        <v>1</v>
      </c>
      <c r="J22" s="84">
        <f>SUM(J7:J21)</f>
        <v>0</v>
      </c>
      <c r="K22" s="84">
        <f>SUM(K7:K21)</f>
        <v>0</v>
      </c>
      <c r="L22" s="84">
        <f>SUM(L7:L21)</f>
        <v>0</v>
      </c>
      <c r="M22" s="84">
        <f>SUM(M7:M21)</f>
        <v>0</v>
      </c>
      <c r="N22" s="84">
        <f>SUM(N7:N21)</f>
        <v>0</v>
      </c>
      <c r="O22" s="84">
        <f>SUM(O7:O21)</f>
        <v>0</v>
      </c>
      <c r="P22" s="84">
        <f>SUM(P7:P21)</f>
        <v>0</v>
      </c>
      <c r="Q22" s="84">
        <f>SUM(Q7:Q21)</f>
        <v>0</v>
      </c>
      <c r="R22" s="84">
        <f>SUM(R7:R21)</f>
        <v>0</v>
      </c>
      <c r="S22" s="84" t="n"/>
      <c r="T22" s="84" t="n"/>
      <c r="U22" s="84" t="n"/>
    </row>
    <row r="25" ht="22" customHeight="1">
      <c r="A25" s="3" t="inlineStr">
        <is>
          <t>WHO IS WORKING ON WHAT - open tasks by client x team member (current)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 ht="34" customHeight="1">
      <c r="A26" s="86" t="inlineStr">
        <is>
          <t>Client \ Team Member</t>
        </is>
      </c>
      <c r="B26" s="2" t="n"/>
      <c r="C26" s="80" t="str">
        <f>IF('MASTER DATA'!A15="","",'MASTER DATA'!A15)</f>
        <v>Ayush Jain</v>
      </c>
      <c r="D26" s="80" t="str">
        <f>IF('MASTER DATA'!A16="","",'MASTER DATA'!A16)</f>
        <v>Piyush Sambria</v>
      </c>
      <c r="E26" s="80" t="str">
        <f>IF('MASTER DATA'!A17="","",'MASTER DATA'!A17)</f>
        <v>Riya Diwan</v>
      </c>
      <c r="F26" s="80" t="str">
        <f>IF('MASTER DATA'!A18="","",'MASTER DATA'!A18)</f>
        <v>Surbhi Pandey</v>
      </c>
      <c r="G26" s="80" t="str">
        <f>IF('MASTER DATA'!A19="","",'MASTER DATA'!A19)</f>
        <v>Rahul Sondhi</v>
      </c>
      <c r="H26" s="80" t="str">
        <f>IF('MASTER DATA'!A20="","",'MASTER DATA'!A20)</f>
        <v>Priyanshu</v>
      </c>
      <c r="I26" s="80" t="str">
        <f>IF('MASTER DATA'!A21="","",'MASTER DATA'!A21)</f>
        <v>Richi Bagla</v>
      </c>
      <c r="J26" s="80" t="str">
        <f>IF('MASTER DATA'!A22="","",'MASTER DATA'!A22)</f>
        <v>Kapil Chadha</v>
      </c>
      <c r="K26" s="80" t="str">
        <f>IF('MASTER DATA'!A23="","",'MASTER DATA'!A23)</f>
        <v/>
      </c>
      <c r="L26" s="80" t="str">
        <f>IF('MASTER DATA'!A24="","",'MASTER DATA'!A24)</f>
        <v/>
      </c>
      <c r="M26" s="87" t="inlineStr">
        <is>
          <t>Total</t>
        </is>
      </c>
    </row>
    <row r="27">
      <c r="A27" s="88" t="str">
        <f>IF('CLIENT MASTER'!A5="","",'CLIENT MASTER'!A5)</f>
        <v>Chola MS</v>
      </c>
      <c r="C27" s="89">
        <f>IF(OR($A27="",C$26=""),"",COUNTIFS('DAILY TASK TRACKER'!$B$5:$B$1504,C$26,'DAILY TASK TRACKER'!$C$5:$C$1504,$A27,'DAILY TASK TRACKER'!$AK$5:$AK$1504,1))</f>
        <v>2</v>
      </c>
      <c r="D27" s="89">
        <f>IF(OR($A27="",D$26=""),"",COUNTIFS('DAILY TASK TRACKER'!$B$5:$B$1504,D$26,'DAILY TASK TRACKER'!$C$5:$C$1504,$A27,'DAILY TASK TRACKER'!$AK$5:$AK$1504,1))</f>
        <v>0</v>
      </c>
      <c r="E27" s="89">
        <f>IF(OR($A27="",E$26=""),"",COUNTIFS('DAILY TASK TRACKER'!$B$5:$B$1504,E$26,'DAILY TASK TRACKER'!$C$5:$C$1504,$A27,'DAILY TASK TRACKER'!$AK$5:$AK$1504,1))</f>
        <v>5</v>
      </c>
      <c r="F27" s="89">
        <f>IF(OR($A27="",F$26=""),"",COUNTIFS('DAILY TASK TRACKER'!$B$5:$B$1504,F$26,'DAILY TASK TRACKER'!$C$5:$C$1504,$A27,'DAILY TASK TRACKER'!$AK$5:$AK$1504,1))</f>
        <v>0</v>
      </c>
      <c r="G27" s="89">
        <f>IF(OR($A27="",G$26=""),"",COUNTIFS('DAILY TASK TRACKER'!$B$5:$B$1504,G$26,'DAILY TASK TRACKER'!$C$5:$C$1504,$A27,'DAILY TASK TRACKER'!$AK$5:$AK$1504,1))</f>
        <v>0</v>
      </c>
      <c r="H27" s="89">
        <f>IF(OR($A27="",H$26=""),"",COUNTIFS('DAILY TASK TRACKER'!$B$5:$B$1504,H$26,'DAILY TASK TRACKER'!$C$5:$C$1504,$A27,'DAILY TASK TRACKER'!$AK$5:$AK$1504,1))</f>
        <v>0</v>
      </c>
      <c r="I27" s="89">
        <f>IF(OR($A27="",I$26=""),"",COUNTIFS('DAILY TASK TRACKER'!$B$5:$B$1504,I$26,'DAILY TASK TRACKER'!$C$5:$C$1504,$A27,'DAILY TASK TRACKER'!$AK$5:$AK$1504,1))</f>
        <v>0</v>
      </c>
      <c r="J27" s="89">
        <f>IF(OR($A27="",J$26=""),"",COUNTIFS('DAILY TASK TRACKER'!$B$5:$B$1504,J$26,'DAILY TASK TRACKER'!$C$5:$C$1504,$A27,'DAILY TASK TRACKER'!$AK$5:$AK$1504,1))</f>
        <v>0</v>
      </c>
      <c r="K27" s="89" t="str">
        <f>IF(OR($A27="",K$26=""),"",COUNTIFS('DAILY TASK TRACKER'!$B$5:$B$1504,K$26,'DAILY TASK TRACKER'!$C$5:$C$1504,$A27,'DAILY TASK TRACKER'!$AK$5:$AK$1504,1))</f>
        <v/>
      </c>
      <c r="L27" s="89" t="str">
        <f>IF(OR($A27="",L$26=""),"",COUNTIFS('DAILY TASK TRACKER'!$B$5:$B$1504,L$26,'DAILY TASK TRACKER'!$C$5:$C$1504,$A27,'DAILY TASK TRACKER'!$AK$5:$AK$1504,1))</f>
        <v/>
      </c>
      <c r="M27" s="90">
        <f>IF($A27="","",SUM(C27:L27))</f>
        <v>7</v>
      </c>
    </row>
    <row r="28">
      <c r="A28" s="88" t="str">
        <f>IF('CLIENT MASTER'!A6="","",'CLIENT MASTER'!A6)</f>
        <v>Magnasoft</v>
      </c>
      <c r="C28" s="89">
        <f>IF(OR($A28="",C$26=""),"",COUNTIFS('DAILY TASK TRACKER'!$B$5:$B$1504,C$26,'DAILY TASK TRACKER'!$C$5:$C$1504,$A28,'DAILY TASK TRACKER'!$AK$5:$AK$1504,1))</f>
        <v>5</v>
      </c>
      <c r="D28" s="89">
        <f>IF(OR($A28="",D$26=""),"",COUNTIFS('DAILY TASK TRACKER'!$B$5:$B$1504,D$26,'DAILY TASK TRACKER'!$C$5:$C$1504,$A28,'DAILY TASK TRACKER'!$AK$5:$AK$1504,1))</f>
        <v>0</v>
      </c>
      <c r="E28" s="89">
        <f>IF(OR($A28="",E$26=""),"",COUNTIFS('DAILY TASK TRACKER'!$B$5:$B$1504,E$26,'DAILY TASK TRACKER'!$C$5:$C$1504,$A28,'DAILY TASK TRACKER'!$AK$5:$AK$1504,1))</f>
        <v>3</v>
      </c>
      <c r="F28" s="89">
        <f>IF(OR($A28="",F$26=""),"",COUNTIFS('DAILY TASK TRACKER'!$B$5:$B$1504,F$26,'DAILY TASK TRACKER'!$C$5:$C$1504,$A28,'DAILY TASK TRACKER'!$AK$5:$AK$1504,1))</f>
        <v>0</v>
      </c>
      <c r="G28" s="89">
        <f>IF(OR($A28="",G$26=""),"",COUNTIFS('DAILY TASK TRACKER'!$B$5:$B$1504,G$26,'DAILY TASK TRACKER'!$C$5:$C$1504,$A28,'DAILY TASK TRACKER'!$AK$5:$AK$1504,1))</f>
        <v>0</v>
      </c>
      <c r="H28" s="89">
        <f>IF(OR($A28="",H$26=""),"",COUNTIFS('DAILY TASK TRACKER'!$B$5:$B$1504,H$26,'DAILY TASK TRACKER'!$C$5:$C$1504,$A28,'DAILY TASK TRACKER'!$AK$5:$AK$1504,1))</f>
        <v>0</v>
      </c>
      <c r="I28" s="89">
        <f>IF(OR($A28="",I$26=""),"",COUNTIFS('DAILY TASK TRACKER'!$B$5:$B$1504,I$26,'DAILY TASK TRACKER'!$C$5:$C$1504,$A28,'DAILY TASK TRACKER'!$AK$5:$AK$1504,1))</f>
        <v>1</v>
      </c>
      <c r="J28" s="89">
        <f>IF(OR($A28="",J$26=""),"",COUNTIFS('DAILY TASK TRACKER'!$B$5:$B$1504,J$26,'DAILY TASK TRACKER'!$C$5:$C$1504,$A28,'DAILY TASK TRACKER'!$AK$5:$AK$1504,1))</f>
        <v>0</v>
      </c>
      <c r="K28" s="89" t="str">
        <f>IF(OR($A28="",K$26=""),"",COUNTIFS('DAILY TASK TRACKER'!$B$5:$B$1504,K$26,'DAILY TASK TRACKER'!$C$5:$C$1504,$A28,'DAILY TASK TRACKER'!$AK$5:$AK$1504,1))</f>
        <v/>
      </c>
      <c r="L28" s="89" t="str">
        <f>IF(OR($A28="",L$26=""),"",COUNTIFS('DAILY TASK TRACKER'!$B$5:$B$1504,L$26,'DAILY TASK TRACKER'!$C$5:$C$1504,$A28,'DAILY TASK TRACKER'!$AK$5:$AK$1504,1))</f>
        <v/>
      </c>
      <c r="M28" s="90">
        <f>IF($A28="","",SUM(C28:L28))</f>
        <v>9</v>
      </c>
    </row>
    <row r="29">
      <c r="A29" s="88" t="str">
        <f>IF('CLIENT MASTER'!A7="","",'CLIENT MASTER'!A7)</f>
        <v>Eternelle</v>
      </c>
      <c r="C29" s="89">
        <f>IF(OR($A29="",C$26=""),"",COUNTIFS('DAILY TASK TRACKER'!$B$5:$B$1504,C$26,'DAILY TASK TRACKER'!$C$5:$C$1504,$A29,'DAILY TASK TRACKER'!$AK$5:$AK$1504,1))</f>
        <v>2</v>
      </c>
      <c r="D29" s="89">
        <f>IF(OR($A29="",D$26=""),"",COUNTIFS('DAILY TASK TRACKER'!$B$5:$B$1504,D$26,'DAILY TASK TRACKER'!$C$5:$C$1504,$A29,'DAILY TASK TRACKER'!$AK$5:$AK$1504,1))</f>
        <v>0</v>
      </c>
      <c r="E29" s="89">
        <f>IF(OR($A29="",E$26=""),"",COUNTIFS('DAILY TASK TRACKER'!$B$5:$B$1504,E$26,'DAILY TASK TRACKER'!$C$5:$C$1504,$A29,'DAILY TASK TRACKER'!$AK$5:$AK$1504,1))</f>
        <v>1</v>
      </c>
      <c r="F29" s="89">
        <f>IF(OR($A29="",F$26=""),"",COUNTIFS('DAILY TASK TRACKER'!$B$5:$B$1504,F$26,'DAILY TASK TRACKER'!$C$5:$C$1504,$A29,'DAILY TASK TRACKER'!$AK$5:$AK$1504,1))</f>
        <v>0</v>
      </c>
      <c r="G29" s="89">
        <f>IF(OR($A29="",G$26=""),"",COUNTIFS('DAILY TASK TRACKER'!$B$5:$B$1504,G$26,'DAILY TASK TRACKER'!$C$5:$C$1504,$A29,'DAILY TASK TRACKER'!$AK$5:$AK$1504,1))</f>
        <v>0</v>
      </c>
      <c r="H29" s="89">
        <f>IF(OR($A29="",H$26=""),"",COUNTIFS('DAILY TASK TRACKER'!$B$5:$B$1504,H$26,'DAILY TASK TRACKER'!$C$5:$C$1504,$A29,'DAILY TASK TRACKER'!$AK$5:$AK$1504,1))</f>
        <v>0</v>
      </c>
      <c r="I29" s="89">
        <f>IF(OR($A29="",I$26=""),"",COUNTIFS('DAILY TASK TRACKER'!$B$5:$B$1504,I$26,'DAILY TASK TRACKER'!$C$5:$C$1504,$A29,'DAILY TASK TRACKER'!$AK$5:$AK$1504,1))</f>
        <v>2</v>
      </c>
      <c r="J29" s="89">
        <f>IF(OR($A29="",J$26=""),"",COUNTIFS('DAILY TASK TRACKER'!$B$5:$B$1504,J$26,'DAILY TASK TRACKER'!$C$5:$C$1504,$A29,'DAILY TASK TRACKER'!$AK$5:$AK$1504,1))</f>
        <v>0</v>
      </c>
      <c r="K29" s="89" t="str">
        <f>IF(OR($A29="",K$26=""),"",COUNTIFS('DAILY TASK TRACKER'!$B$5:$B$1504,K$26,'DAILY TASK TRACKER'!$C$5:$C$1504,$A29,'DAILY TASK TRACKER'!$AK$5:$AK$1504,1))</f>
        <v/>
      </c>
      <c r="L29" s="89" t="str">
        <f>IF(OR($A29="",L$26=""),"",COUNTIFS('DAILY TASK TRACKER'!$B$5:$B$1504,L$26,'DAILY TASK TRACKER'!$C$5:$C$1504,$A29,'DAILY TASK TRACKER'!$AK$5:$AK$1504,1))</f>
        <v/>
      </c>
      <c r="M29" s="90">
        <f>IF($A29="","",SUM(C29:L29))</f>
        <v>5</v>
      </c>
    </row>
    <row r="30">
      <c r="A30" s="88" t="str">
        <f>IF('CLIENT MASTER'!A8="","",'CLIENT MASTER'!A8)</f>
        <v>Vestrics</v>
      </c>
      <c r="C30" s="89">
        <f>IF(OR($A30="",C$26=""),"",COUNTIFS('DAILY TASK TRACKER'!$B$5:$B$1504,C$26,'DAILY TASK TRACKER'!$C$5:$C$1504,$A30,'DAILY TASK TRACKER'!$AK$5:$AK$1504,1))</f>
        <v>6</v>
      </c>
      <c r="D30" s="89">
        <f>IF(OR($A30="",D$26=""),"",COUNTIFS('DAILY TASK TRACKER'!$B$5:$B$1504,D$26,'DAILY TASK TRACKER'!$C$5:$C$1504,$A30,'DAILY TASK TRACKER'!$AK$5:$AK$1504,1))</f>
        <v>0</v>
      </c>
      <c r="E30" s="89">
        <f>IF(OR($A30="",E$26=""),"",COUNTIFS('DAILY TASK TRACKER'!$B$5:$B$1504,E$26,'DAILY TASK TRACKER'!$C$5:$C$1504,$A30,'DAILY TASK TRACKER'!$AK$5:$AK$1504,1))</f>
        <v>4</v>
      </c>
      <c r="F30" s="89">
        <f>IF(OR($A30="",F$26=""),"",COUNTIFS('DAILY TASK TRACKER'!$B$5:$B$1504,F$26,'DAILY TASK TRACKER'!$C$5:$C$1504,$A30,'DAILY TASK TRACKER'!$AK$5:$AK$1504,1))</f>
        <v>0</v>
      </c>
      <c r="G30" s="89">
        <f>IF(OR($A30="",G$26=""),"",COUNTIFS('DAILY TASK TRACKER'!$B$5:$B$1504,G$26,'DAILY TASK TRACKER'!$C$5:$C$1504,$A30,'DAILY TASK TRACKER'!$AK$5:$AK$1504,1))</f>
        <v>0</v>
      </c>
      <c r="H30" s="89">
        <f>IF(OR($A30="",H$26=""),"",COUNTIFS('DAILY TASK TRACKER'!$B$5:$B$1504,H$26,'DAILY TASK TRACKER'!$C$5:$C$1504,$A30,'DAILY TASK TRACKER'!$AK$5:$AK$1504,1))</f>
        <v>0</v>
      </c>
      <c r="I30" s="89">
        <f>IF(OR($A30="",I$26=""),"",COUNTIFS('DAILY TASK TRACKER'!$B$5:$B$1504,I$26,'DAILY TASK TRACKER'!$C$5:$C$1504,$A30,'DAILY TASK TRACKER'!$AK$5:$AK$1504,1))</f>
        <v>1</v>
      </c>
      <c r="J30" s="89">
        <f>IF(OR($A30="",J$26=""),"",COUNTIFS('DAILY TASK TRACKER'!$B$5:$B$1504,J$26,'DAILY TASK TRACKER'!$C$5:$C$1504,$A30,'DAILY TASK TRACKER'!$AK$5:$AK$1504,1))</f>
        <v>0</v>
      </c>
      <c r="K30" s="89" t="str">
        <f>IF(OR($A30="",K$26=""),"",COUNTIFS('DAILY TASK TRACKER'!$B$5:$B$1504,K$26,'DAILY TASK TRACKER'!$C$5:$C$1504,$A30,'DAILY TASK TRACKER'!$AK$5:$AK$1504,1))</f>
        <v/>
      </c>
      <c r="L30" s="89" t="str">
        <f>IF(OR($A30="",L$26=""),"",COUNTIFS('DAILY TASK TRACKER'!$B$5:$B$1504,L$26,'DAILY TASK TRACKER'!$C$5:$C$1504,$A30,'DAILY TASK TRACKER'!$AK$5:$AK$1504,1))</f>
        <v/>
      </c>
      <c r="M30" s="90">
        <f>IF($A30="","",SUM(C30:L30))</f>
        <v>11</v>
      </c>
    </row>
    <row r="31">
      <c r="A31" s="88" t="str">
        <f>IF('CLIENT MASTER'!A9="","",'CLIENT MASTER'!A9)</f>
        <v>Lenovo</v>
      </c>
      <c r="C31" s="89">
        <f>IF(OR($A31="",C$26=""),"",COUNTIFS('DAILY TASK TRACKER'!$B$5:$B$1504,C$26,'DAILY TASK TRACKER'!$C$5:$C$1504,$A31,'DAILY TASK TRACKER'!$AK$5:$AK$1504,1))</f>
        <v>0</v>
      </c>
      <c r="D31" s="89">
        <f>IF(OR($A31="",D$26=""),"",COUNTIFS('DAILY TASK TRACKER'!$B$5:$B$1504,D$26,'DAILY TASK TRACKER'!$C$5:$C$1504,$A31,'DAILY TASK TRACKER'!$AK$5:$AK$1504,1))</f>
        <v>0</v>
      </c>
      <c r="E31" s="89">
        <f>IF(OR($A31="",E$26=""),"",COUNTIFS('DAILY TASK TRACKER'!$B$5:$B$1504,E$26,'DAILY TASK TRACKER'!$C$5:$C$1504,$A31,'DAILY TASK TRACKER'!$AK$5:$AK$1504,1))</f>
        <v>0</v>
      </c>
      <c r="F31" s="89">
        <f>IF(OR($A31="",F$26=""),"",COUNTIFS('DAILY TASK TRACKER'!$B$5:$B$1504,F$26,'DAILY TASK TRACKER'!$C$5:$C$1504,$A31,'DAILY TASK TRACKER'!$AK$5:$AK$1504,1))</f>
        <v>0</v>
      </c>
      <c r="G31" s="89">
        <f>IF(OR($A31="",G$26=""),"",COUNTIFS('DAILY TASK TRACKER'!$B$5:$B$1504,G$26,'DAILY TASK TRACKER'!$C$5:$C$1504,$A31,'DAILY TASK TRACKER'!$AK$5:$AK$1504,1))</f>
        <v>0</v>
      </c>
      <c r="H31" s="89">
        <f>IF(OR($A31="",H$26=""),"",COUNTIFS('DAILY TASK TRACKER'!$B$5:$B$1504,H$26,'DAILY TASK TRACKER'!$C$5:$C$1504,$A31,'DAILY TASK TRACKER'!$AK$5:$AK$1504,1))</f>
        <v>0</v>
      </c>
      <c r="I31" s="89">
        <f>IF(OR($A31="",I$26=""),"",COUNTIFS('DAILY TASK TRACKER'!$B$5:$B$1504,I$26,'DAILY TASK TRACKER'!$C$5:$C$1504,$A31,'DAILY TASK TRACKER'!$AK$5:$AK$1504,1))</f>
        <v>0</v>
      </c>
      <c r="J31" s="89">
        <f>IF(OR($A31="",J$26=""),"",COUNTIFS('DAILY TASK TRACKER'!$B$5:$B$1504,J$26,'DAILY TASK TRACKER'!$C$5:$C$1504,$A31,'DAILY TASK TRACKER'!$AK$5:$AK$1504,1))</f>
        <v>0</v>
      </c>
      <c r="K31" s="89" t="str">
        <f>IF(OR($A31="",K$26=""),"",COUNTIFS('DAILY TASK TRACKER'!$B$5:$B$1504,K$26,'DAILY TASK TRACKER'!$C$5:$C$1504,$A31,'DAILY TASK TRACKER'!$AK$5:$AK$1504,1))</f>
        <v/>
      </c>
      <c r="L31" s="89" t="str">
        <f>IF(OR($A31="",L$26=""),"",COUNTIFS('DAILY TASK TRACKER'!$B$5:$B$1504,L$26,'DAILY TASK TRACKER'!$C$5:$C$1504,$A31,'DAILY TASK TRACKER'!$AK$5:$AK$1504,1))</f>
        <v/>
      </c>
      <c r="M31" s="90">
        <f>IF($A31="","",SUM(C31:L31))</f>
        <v>0</v>
      </c>
    </row>
    <row r="32">
      <c r="A32" s="88" t="str">
        <f>IF('CLIENT MASTER'!A10="","",'CLIENT MASTER'!A10)</f>
        <v>SAP</v>
      </c>
      <c r="C32" s="89">
        <f>IF(OR($A32="",C$26=""),"",COUNTIFS('DAILY TASK TRACKER'!$B$5:$B$1504,C$26,'DAILY TASK TRACKER'!$C$5:$C$1504,$A32,'DAILY TASK TRACKER'!$AK$5:$AK$1504,1))</f>
        <v>0</v>
      </c>
      <c r="D32" s="89">
        <f>IF(OR($A32="",D$26=""),"",COUNTIFS('DAILY TASK TRACKER'!$B$5:$B$1504,D$26,'DAILY TASK TRACKER'!$C$5:$C$1504,$A32,'DAILY TASK TRACKER'!$AK$5:$AK$1504,1))</f>
        <v>0</v>
      </c>
      <c r="E32" s="89">
        <f>IF(OR($A32="",E$26=""),"",COUNTIFS('DAILY TASK TRACKER'!$B$5:$B$1504,E$26,'DAILY TASK TRACKER'!$C$5:$C$1504,$A32,'DAILY TASK TRACKER'!$AK$5:$AK$1504,1))</f>
        <v>1</v>
      </c>
      <c r="F32" s="89">
        <f>IF(OR($A32="",F$26=""),"",COUNTIFS('DAILY TASK TRACKER'!$B$5:$B$1504,F$26,'DAILY TASK TRACKER'!$C$5:$C$1504,$A32,'DAILY TASK TRACKER'!$AK$5:$AK$1504,1))</f>
        <v>18</v>
      </c>
      <c r="G32" s="89">
        <f>IF(OR($A32="",G$26=""),"",COUNTIFS('DAILY TASK TRACKER'!$B$5:$B$1504,G$26,'DAILY TASK TRACKER'!$C$5:$C$1504,$A32,'DAILY TASK TRACKER'!$AK$5:$AK$1504,1))</f>
        <v>0</v>
      </c>
      <c r="H32" s="89">
        <f>IF(OR($A32="",H$26=""),"",COUNTIFS('DAILY TASK TRACKER'!$B$5:$B$1504,H$26,'DAILY TASK TRACKER'!$C$5:$C$1504,$A32,'DAILY TASK TRACKER'!$AK$5:$AK$1504,1))</f>
        <v>0</v>
      </c>
      <c r="I32" s="89">
        <f>IF(OR($A32="",I$26=""),"",COUNTIFS('DAILY TASK TRACKER'!$B$5:$B$1504,I$26,'DAILY TASK TRACKER'!$C$5:$C$1504,$A32,'DAILY TASK TRACKER'!$AK$5:$AK$1504,1))</f>
        <v>1</v>
      </c>
      <c r="J32" s="89">
        <f>IF(OR($A32="",J$26=""),"",COUNTIFS('DAILY TASK TRACKER'!$B$5:$B$1504,J$26,'DAILY TASK TRACKER'!$C$5:$C$1504,$A32,'DAILY TASK TRACKER'!$AK$5:$AK$1504,1))</f>
        <v>0</v>
      </c>
      <c r="K32" s="89" t="str">
        <f>IF(OR($A32="",K$26=""),"",COUNTIFS('DAILY TASK TRACKER'!$B$5:$B$1504,K$26,'DAILY TASK TRACKER'!$C$5:$C$1504,$A32,'DAILY TASK TRACKER'!$AK$5:$AK$1504,1))</f>
        <v/>
      </c>
      <c r="L32" s="89" t="str">
        <f>IF(OR($A32="",L$26=""),"",COUNTIFS('DAILY TASK TRACKER'!$B$5:$B$1504,L$26,'DAILY TASK TRACKER'!$C$5:$C$1504,$A32,'DAILY TASK TRACKER'!$AK$5:$AK$1504,1))</f>
        <v/>
      </c>
      <c r="M32" s="90">
        <f>IF($A32="","",SUM(C32:L32))</f>
        <v>20</v>
      </c>
    </row>
    <row r="33">
      <c r="A33" s="88" t="str">
        <f>IF('CLIENT MASTER'!A11="","",'CLIENT MASTER'!A11)</f>
        <v>Tata Communications</v>
      </c>
      <c r="C33" s="89">
        <f>IF(OR($A33="",C$26=""),"",COUNTIFS('DAILY TASK TRACKER'!$B$5:$B$1504,C$26,'DAILY TASK TRACKER'!$C$5:$C$1504,$A33,'DAILY TASK TRACKER'!$AK$5:$AK$1504,1))</f>
        <v>0</v>
      </c>
      <c r="D33" s="89">
        <f>IF(OR($A33="",D$26=""),"",COUNTIFS('DAILY TASK TRACKER'!$B$5:$B$1504,D$26,'DAILY TASK TRACKER'!$C$5:$C$1504,$A33,'DAILY TASK TRACKER'!$AK$5:$AK$1504,1))</f>
        <v>0</v>
      </c>
      <c r="E33" s="89">
        <f>IF(OR($A33="",E$26=""),"",COUNTIFS('DAILY TASK TRACKER'!$B$5:$B$1504,E$26,'DAILY TASK TRACKER'!$C$5:$C$1504,$A33,'DAILY TASK TRACKER'!$AK$5:$AK$1504,1))</f>
        <v>0</v>
      </c>
      <c r="F33" s="89">
        <f>IF(OR($A33="",F$26=""),"",COUNTIFS('DAILY TASK TRACKER'!$B$5:$B$1504,F$26,'DAILY TASK TRACKER'!$C$5:$C$1504,$A33,'DAILY TASK TRACKER'!$AK$5:$AK$1504,1))</f>
        <v>0</v>
      </c>
      <c r="G33" s="89">
        <f>IF(OR($A33="",G$26=""),"",COUNTIFS('DAILY TASK TRACKER'!$B$5:$B$1504,G$26,'DAILY TASK TRACKER'!$C$5:$C$1504,$A33,'DAILY TASK TRACKER'!$AK$5:$AK$1504,1))</f>
        <v>0</v>
      </c>
      <c r="H33" s="89">
        <f>IF(OR($A33="",H$26=""),"",COUNTIFS('DAILY TASK TRACKER'!$B$5:$B$1504,H$26,'DAILY TASK TRACKER'!$C$5:$C$1504,$A33,'DAILY TASK TRACKER'!$AK$5:$AK$1504,1))</f>
        <v>0</v>
      </c>
      <c r="I33" s="89">
        <f>IF(OR($A33="",I$26=""),"",COUNTIFS('DAILY TASK TRACKER'!$B$5:$B$1504,I$26,'DAILY TASK TRACKER'!$C$5:$C$1504,$A33,'DAILY TASK TRACKER'!$AK$5:$AK$1504,1))</f>
        <v>0</v>
      </c>
      <c r="J33" s="89">
        <f>IF(OR($A33="",J$26=""),"",COUNTIFS('DAILY TASK TRACKER'!$B$5:$B$1504,J$26,'DAILY TASK TRACKER'!$C$5:$C$1504,$A33,'DAILY TASK TRACKER'!$AK$5:$AK$1504,1))</f>
        <v>0</v>
      </c>
      <c r="K33" s="89" t="str">
        <f>IF(OR($A33="",K$26=""),"",COUNTIFS('DAILY TASK TRACKER'!$B$5:$B$1504,K$26,'DAILY TASK TRACKER'!$C$5:$C$1504,$A33,'DAILY TASK TRACKER'!$AK$5:$AK$1504,1))</f>
        <v/>
      </c>
      <c r="L33" s="89" t="str">
        <f>IF(OR($A33="",L$26=""),"",COUNTIFS('DAILY TASK TRACKER'!$B$5:$B$1504,L$26,'DAILY TASK TRACKER'!$C$5:$C$1504,$A33,'DAILY TASK TRACKER'!$AK$5:$AK$1504,1))</f>
        <v/>
      </c>
      <c r="M33" s="90">
        <f>IF($A33="","",SUM(C33:L33))</f>
        <v>0</v>
      </c>
    </row>
    <row r="34">
      <c r="A34" s="88" t="str">
        <f>IF('CLIENT MASTER'!A12="","",'CLIENT MASTER'!A12)</f>
        <v>Tata Communications MECCA</v>
      </c>
      <c r="C34" s="89">
        <f>IF(OR($A34="",C$26=""),"",COUNTIFS('DAILY TASK TRACKER'!$B$5:$B$1504,C$26,'DAILY TASK TRACKER'!$C$5:$C$1504,$A34,'DAILY TASK TRACKER'!$AK$5:$AK$1504,1))</f>
        <v>0</v>
      </c>
      <c r="D34" s="89">
        <f>IF(OR($A34="",D$26=""),"",COUNTIFS('DAILY TASK TRACKER'!$B$5:$B$1504,D$26,'DAILY TASK TRACKER'!$C$5:$C$1504,$A34,'DAILY TASK TRACKER'!$AK$5:$AK$1504,1))</f>
        <v>0</v>
      </c>
      <c r="E34" s="89">
        <f>IF(OR($A34="",E$26=""),"",COUNTIFS('DAILY TASK TRACKER'!$B$5:$B$1504,E$26,'DAILY TASK TRACKER'!$C$5:$C$1504,$A34,'DAILY TASK TRACKER'!$AK$5:$AK$1504,1))</f>
        <v>0</v>
      </c>
      <c r="F34" s="89">
        <f>IF(OR($A34="",F$26=""),"",COUNTIFS('DAILY TASK TRACKER'!$B$5:$B$1504,F$26,'DAILY TASK TRACKER'!$C$5:$C$1504,$A34,'DAILY TASK TRACKER'!$AK$5:$AK$1504,1))</f>
        <v>0</v>
      </c>
      <c r="G34" s="89">
        <f>IF(OR($A34="",G$26=""),"",COUNTIFS('DAILY TASK TRACKER'!$B$5:$B$1504,G$26,'DAILY TASK TRACKER'!$C$5:$C$1504,$A34,'DAILY TASK TRACKER'!$AK$5:$AK$1504,1))</f>
        <v>0</v>
      </c>
      <c r="H34" s="89">
        <f>IF(OR($A34="",H$26=""),"",COUNTIFS('DAILY TASK TRACKER'!$B$5:$B$1504,H$26,'DAILY TASK TRACKER'!$C$5:$C$1504,$A34,'DAILY TASK TRACKER'!$AK$5:$AK$1504,1))</f>
        <v>0</v>
      </c>
      <c r="I34" s="89">
        <f>IF(OR($A34="",I$26=""),"",COUNTIFS('DAILY TASK TRACKER'!$B$5:$B$1504,I$26,'DAILY TASK TRACKER'!$C$5:$C$1504,$A34,'DAILY TASK TRACKER'!$AK$5:$AK$1504,1))</f>
        <v>0</v>
      </c>
      <c r="J34" s="89">
        <f>IF(OR($A34="",J$26=""),"",COUNTIFS('DAILY TASK TRACKER'!$B$5:$B$1504,J$26,'DAILY TASK TRACKER'!$C$5:$C$1504,$A34,'DAILY TASK TRACKER'!$AK$5:$AK$1504,1))</f>
        <v>0</v>
      </c>
      <c r="K34" s="89" t="str">
        <f>IF(OR($A34="",K$26=""),"",COUNTIFS('DAILY TASK TRACKER'!$B$5:$B$1504,K$26,'DAILY TASK TRACKER'!$C$5:$C$1504,$A34,'DAILY TASK TRACKER'!$AK$5:$AK$1504,1))</f>
        <v/>
      </c>
      <c r="L34" s="89" t="str">
        <f>IF(OR($A34="",L$26=""),"",COUNTIFS('DAILY TASK TRACKER'!$B$5:$B$1504,L$26,'DAILY TASK TRACKER'!$C$5:$C$1504,$A34,'DAILY TASK TRACKER'!$AK$5:$AK$1504,1))</f>
        <v/>
      </c>
      <c r="M34" s="90">
        <f>IF($A34="","",SUM(C34:L34))</f>
        <v>0</v>
      </c>
    </row>
    <row r="35">
      <c r="A35" s="88" t="str">
        <f>IF('CLIENT MASTER'!A13="","",'CLIENT MASTER'!A13)</f>
        <v>Salesforce</v>
      </c>
      <c r="C35" s="89">
        <f>IF(OR($A35="",C$26=""),"",COUNTIFS('DAILY TASK TRACKER'!$B$5:$B$1504,C$26,'DAILY TASK TRACKER'!$C$5:$C$1504,$A35,'DAILY TASK TRACKER'!$AK$5:$AK$1504,1))</f>
        <v>0</v>
      </c>
      <c r="D35" s="89">
        <f>IF(OR($A35="",D$26=""),"",COUNTIFS('DAILY TASK TRACKER'!$B$5:$B$1504,D$26,'DAILY TASK TRACKER'!$C$5:$C$1504,$A35,'DAILY TASK TRACKER'!$AK$5:$AK$1504,1))</f>
        <v>0</v>
      </c>
      <c r="E35" s="89">
        <f>IF(OR($A35="",E$26=""),"",COUNTIFS('DAILY TASK TRACKER'!$B$5:$B$1504,E$26,'DAILY TASK TRACKER'!$C$5:$C$1504,$A35,'DAILY TASK TRACKER'!$AK$5:$AK$1504,1))</f>
        <v>0</v>
      </c>
      <c r="F35" s="89">
        <f>IF(OR($A35="",F$26=""),"",COUNTIFS('DAILY TASK TRACKER'!$B$5:$B$1504,F$26,'DAILY TASK TRACKER'!$C$5:$C$1504,$A35,'DAILY TASK TRACKER'!$AK$5:$AK$1504,1))</f>
        <v>0</v>
      </c>
      <c r="G35" s="89">
        <f>IF(OR($A35="",G$26=""),"",COUNTIFS('DAILY TASK TRACKER'!$B$5:$B$1504,G$26,'DAILY TASK TRACKER'!$C$5:$C$1504,$A35,'DAILY TASK TRACKER'!$AK$5:$AK$1504,1))</f>
        <v>0</v>
      </c>
      <c r="H35" s="89">
        <f>IF(OR($A35="",H$26=""),"",COUNTIFS('DAILY TASK TRACKER'!$B$5:$B$1504,H$26,'DAILY TASK TRACKER'!$C$5:$C$1504,$A35,'DAILY TASK TRACKER'!$AK$5:$AK$1504,1))</f>
        <v>0</v>
      </c>
      <c r="I35" s="89">
        <f>IF(OR($A35="",I$26=""),"",COUNTIFS('DAILY TASK TRACKER'!$B$5:$B$1504,I$26,'DAILY TASK TRACKER'!$C$5:$C$1504,$A35,'DAILY TASK TRACKER'!$AK$5:$AK$1504,1))</f>
        <v>0</v>
      </c>
      <c r="J35" s="89">
        <f>IF(OR($A35="",J$26=""),"",COUNTIFS('DAILY TASK TRACKER'!$B$5:$B$1504,J$26,'DAILY TASK TRACKER'!$C$5:$C$1504,$A35,'DAILY TASK TRACKER'!$AK$5:$AK$1504,1))</f>
        <v>0</v>
      </c>
      <c r="K35" s="89" t="str">
        <f>IF(OR($A35="",K$26=""),"",COUNTIFS('DAILY TASK TRACKER'!$B$5:$B$1504,K$26,'DAILY TASK TRACKER'!$C$5:$C$1504,$A35,'DAILY TASK TRACKER'!$AK$5:$AK$1504,1))</f>
        <v/>
      </c>
      <c r="L35" s="89" t="str">
        <f>IF(OR($A35="",L$26=""),"",COUNTIFS('DAILY TASK TRACKER'!$B$5:$B$1504,L$26,'DAILY TASK TRACKER'!$C$5:$C$1504,$A35,'DAILY TASK TRACKER'!$AK$5:$AK$1504,1))</f>
        <v/>
      </c>
      <c r="M35" s="90">
        <f>IF($A35="","",SUM(C35:L35))</f>
        <v>0</v>
      </c>
    </row>
    <row r="36">
      <c r="A36" s="88" t="str">
        <f>IF('CLIENT MASTER'!A14="","",'CLIENT MASTER'!A14)</f>
        <v>Ruckus Networks</v>
      </c>
      <c r="C36" s="89">
        <f>IF(OR($A36="",C$26=""),"",COUNTIFS('DAILY TASK TRACKER'!$B$5:$B$1504,C$26,'DAILY TASK TRACKER'!$C$5:$C$1504,$A36,'DAILY TASK TRACKER'!$AK$5:$AK$1504,1))</f>
        <v>0</v>
      </c>
      <c r="D36" s="89">
        <f>IF(OR($A36="",D$26=""),"",COUNTIFS('DAILY TASK TRACKER'!$B$5:$B$1504,D$26,'DAILY TASK TRACKER'!$C$5:$C$1504,$A36,'DAILY TASK TRACKER'!$AK$5:$AK$1504,1))</f>
        <v>0</v>
      </c>
      <c r="E36" s="89">
        <f>IF(OR($A36="",E$26=""),"",COUNTIFS('DAILY TASK TRACKER'!$B$5:$B$1504,E$26,'DAILY TASK TRACKER'!$C$5:$C$1504,$A36,'DAILY TASK TRACKER'!$AK$5:$AK$1504,1))</f>
        <v>0</v>
      </c>
      <c r="F36" s="89">
        <f>IF(OR($A36="",F$26=""),"",COUNTIFS('DAILY TASK TRACKER'!$B$5:$B$1504,F$26,'DAILY TASK TRACKER'!$C$5:$C$1504,$A36,'DAILY TASK TRACKER'!$AK$5:$AK$1504,1))</f>
        <v>0</v>
      </c>
      <c r="G36" s="89">
        <f>IF(OR($A36="",G$26=""),"",COUNTIFS('DAILY TASK TRACKER'!$B$5:$B$1504,G$26,'DAILY TASK TRACKER'!$C$5:$C$1504,$A36,'DAILY TASK TRACKER'!$AK$5:$AK$1504,1))</f>
        <v>0</v>
      </c>
      <c r="H36" s="89">
        <f>IF(OR($A36="",H$26=""),"",COUNTIFS('DAILY TASK TRACKER'!$B$5:$B$1504,H$26,'DAILY TASK TRACKER'!$C$5:$C$1504,$A36,'DAILY TASK TRACKER'!$AK$5:$AK$1504,1))</f>
        <v>0</v>
      </c>
      <c r="I36" s="89">
        <f>IF(OR($A36="",I$26=""),"",COUNTIFS('DAILY TASK TRACKER'!$B$5:$B$1504,I$26,'DAILY TASK TRACKER'!$C$5:$C$1504,$A36,'DAILY TASK TRACKER'!$AK$5:$AK$1504,1))</f>
        <v>1</v>
      </c>
      <c r="J36" s="89">
        <f>IF(OR($A36="",J$26=""),"",COUNTIFS('DAILY TASK TRACKER'!$B$5:$B$1504,J$26,'DAILY TASK TRACKER'!$C$5:$C$1504,$A36,'DAILY TASK TRACKER'!$AK$5:$AK$1504,1))</f>
        <v>0</v>
      </c>
      <c r="K36" s="89" t="str">
        <f>IF(OR($A36="",K$26=""),"",COUNTIFS('DAILY TASK TRACKER'!$B$5:$B$1504,K$26,'DAILY TASK TRACKER'!$C$5:$C$1504,$A36,'DAILY TASK TRACKER'!$AK$5:$AK$1504,1))</f>
        <v/>
      </c>
      <c r="L36" s="89" t="str">
        <f>IF(OR($A36="",L$26=""),"",COUNTIFS('DAILY TASK TRACKER'!$B$5:$B$1504,L$26,'DAILY TASK TRACKER'!$C$5:$C$1504,$A36,'DAILY TASK TRACKER'!$AK$5:$AK$1504,1))</f>
        <v/>
      </c>
      <c r="M36" s="90">
        <f>IF($A36="","",SUM(C36:L36))</f>
        <v>1</v>
      </c>
    </row>
    <row r="37">
      <c r="A37" s="88" t="str">
        <f>IF('CLIENT MASTER'!A15="","",'CLIENT MASTER'!A15)</f>
        <v>Google Chrome Enterprise</v>
      </c>
      <c r="C37" s="89">
        <f>IF(OR($A37="",C$26=""),"",COUNTIFS('DAILY TASK TRACKER'!$B$5:$B$1504,C$26,'DAILY TASK TRACKER'!$C$5:$C$1504,$A37,'DAILY TASK TRACKER'!$AK$5:$AK$1504,1))</f>
        <v>1</v>
      </c>
      <c r="D37" s="89">
        <f>IF(OR($A37="",D$26=""),"",COUNTIFS('DAILY TASK TRACKER'!$B$5:$B$1504,D$26,'DAILY TASK TRACKER'!$C$5:$C$1504,$A37,'DAILY TASK TRACKER'!$AK$5:$AK$1504,1))</f>
        <v>0</v>
      </c>
      <c r="E37" s="89">
        <f>IF(OR($A37="",E$26=""),"",COUNTIFS('DAILY TASK TRACKER'!$B$5:$B$1504,E$26,'DAILY TASK TRACKER'!$C$5:$C$1504,$A37,'DAILY TASK TRACKER'!$AK$5:$AK$1504,1))</f>
        <v>2</v>
      </c>
      <c r="F37" s="89">
        <f>IF(OR($A37="",F$26=""),"",COUNTIFS('DAILY TASK TRACKER'!$B$5:$B$1504,F$26,'DAILY TASK TRACKER'!$C$5:$C$1504,$A37,'DAILY TASK TRACKER'!$AK$5:$AK$1504,1))</f>
        <v>0</v>
      </c>
      <c r="G37" s="89">
        <f>IF(OR($A37="",G$26=""),"",COUNTIFS('DAILY TASK TRACKER'!$B$5:$B$1504,G$26,'DAILY TASK TRACKER'!$C$5:$C$1504,$A37,'DAILY TASK TRACKER'!$AK$5:$AK$1504,1))</f>
        <v>0</v>
      </c>
      <c r="H37" s="89">
        <f>IF(OR($A37="",H$26=""),"",COUNTIFS('DAILY TASK TRACKER'!$B$5:$B$1504,H$26,'DAILY TASK TRACKER'!$C$5:$C$1504,$A37,'DAILY TASK TRACKER'!$AK$5:$AK$1504,1))</f>
        <v>0</v>
      </c>
      <c r="I37" s="89">
        <f>IF(OR($A37="",I$26=""),"",COUNTIFS('DAILY TASK TRACKER'!$B$5:$B$1504,I$26,'DAILY TASK TRACKER'!$C$5:$C$1504,$A37,'DAILY TASK TRACKER'!$AK$5:$AK$1504,1))</f>
        <v>0</v>
      </c>
      <c r="J37" s="89">
        <f>IF(OR($A37="",J$26=""),"",COUNTIFS('DAILY TASK TRACKER'!$B$5:$B$1504,J$26,'DAILY TASK TRACKER'!$C$5:$C$1504,$A37,'DAILY TASK TRACKER'!$AK$5:$AK$1504,1))</f>
        <v>0</v>
      </c>
      <c r="K37" s="89" t="str">
        <f>IF(OR($A37="",K$26=""),"",COUNTIFS('DAILY TASK TRACKER'!$B$5:$B$1504,K$26,'DAILY TASK TRACKER'!$C$5:$C$1504,$A37,'DAILY TASK TRACKER'!$AK$5:$AK$1504,1))</f>
        <v/>
      </c>
      <c r="L37" s="89" t="str">
        <f>IF(OR($A37="",L$26=""),"",COUNTIFS('DAILY TASK TRACKER'!$B$5:$B$1504,L$26,'DAILY TASK TRACKER'!$C$5:$C$1504,$A37,'DAILY TASK TRACKER'!$AK$5:$AK$1504,1))</f>
        <v/>
      </c>
      <c r="M37" s="90">
        <f>IF($A37="","",SUM(C37:L37))</f>
        <v>3</v>
      </c>
    </row>
    <row r="38">
      <c r="A38" s="88" t="str">
        <f>IF('CLIENT MASTER'!A16="","",'CLIENT MASTER'!A16)</f>
        <v>Equinix</v>
      </c>
      <c r="C38" s="89">
        <f>IF(OR($A38="",C$26=""),"",COUNTIFS('DAILY TASK TRACKER'!$B$5:$B$1504,C$26,'DAILY TASK TRACKER'!$C$5:$C$1504,$A38,'DAILY TASK TRACKER'!$AK$5:$AK$1504,1))</f>
        <v>0</v>
      </c>
      <c r="D38" s="89">
        <f>IF(OR($A38="",D$26=""),"",COUNTIFS('DAILY TASK TRACKER'!$B$5:$B$1504,D$26,'DAILY TASK TRACKER'!$C$5:$C$1504,$A38,'DAILY TASK TRACKER'!$AK$5:$AK$1504,1))</f>
        <v>0</v>
      </c>
      <c r="E38" s="89">
        <f>IF(OR($A38="",E$26=""),"",COUNTIFS('DAILY TASK TRACKER'!$B$5:$B$1504,E$26,'DAILY TASK TRACKER'!$C$5:$C$1504,$A38,'DAILY TASK TRACKER'!$AK$5:$AK$1504,1))</f>
        <v>0</v>
      </c>
      <c r="F38" s="89">
        <f>IF(OR($A38="",F$26=""),"",COUNTIFS('DAILY TASK TRACKER'!$B$5:$B$1504,F$26,'DAILY TASK TRACKER'!$C$5:$C$1504,$A38,'DAILY TASK TRACKER'!$AK$5:$AK$1504,1))</f>
        <v>0</v>
      </c>
      <c r="G38" s="89">
        <f>IF(OR($A38="",G$26=""),"",COUNTIFS('DAILY TASK TRACKER'!$B$5:$B$1504,G$26,'DAILY TASK TRACKER'!$C$5:$C$1504,$A38,'DAILY TASK TRACKER'!$AK$5:$AK$1504,1))</f>
        <v>0</v>
      </c>
      <c r="H38" s="89">
        <f>IF(OR($A38="",H$26=""),"",COUNTIFS('DAILY TASK TRACKER'!$B$5:$B$1504,H$26,'DAILY TASK TRACKER'!$C$5:$C$1504,$A38,'DAILY TASK TRACKER'!$AK$5:$AK$1504,1))</f>
        <v>0</v>
      </c>
      <c r="I38" s="89">
        <f>IF(OR($A38="",I$26=""),"",COUNTIFS('DAILY TASK TRACKER'!$B$5:$B$1504,I$26,'DAILY TASK TRACKER'!$C$5:$C$1504,$A38,'DAILY TASK TRACKER'!$AK$5:$AK$1504,1))</f>
        <v>1</v>
      </c>
      <c r="J38" s="89">
        <f>IF(OR($A38="",J$26=""),"",COUNTIFS('DAILY TASK TRACKER'!$B$5:$B$1504,J$26,'DAILY TASK TRACKER'!$C$5:$C$1504,$A38,'DAILY TASK TRACKER'!$AK$5:$AK$1504,1))</f>
        <v>0</v>
      </c>
      <c r="K38" s="89" t="str">
        <f>IF(OR($A38="",K$26=""),"",COUNTIFS('DAILY TASK TRACKER'!$B$5:$B$1504,K$26,'DAILY TASK TRACKER'!$C$5:$C$1504,$A38,'DAILY TASK TRACKER'!$AK$5:$AK$1504,1))</f>
        <v/>
      </c>
      <c r="L38" s="89" t="str">
        <f>IF(OR($A38="",L$26=""),"",COUNTIFS('DAILY TASK TRACKER'!$B$5:$B$1504,L$26,'DAILY TASK TRACKER'!$C$5:$C$1504,$A38,'DAILY TASK TRACKER'!$AK$5:$AK$1504,1))</f>
        <v/>
      </c>
      <c r="M38" s="90">
        <f>IF($A38="","",SUM(C38:L38))</f>
        <v>1</v>
      </c>
    </row>
    <row r="39">
      <c r="A39" s="88" t="str">
        <f>IF('CLIENT MASTER'!A17="","",'CLIENT MASTER'!A17)</f>
        <v>Sonalika Tractors</v>
      </c>
      <c r="C39" s="89">
        <f>IF(OR($A39="",C$26=""),"",COUNTIFS('DAILY TASK TRACKER'!$B$5:$B$1504,C$26,'DAILY TASK TRACKER'!$C$5:$C$1504,$A39,'DAILY TASK TRACKER'!$AK$5:$AK$1504,1))</f>
        <v>0</v>
      </c>
      <c r="D39" s="89">
        <f>IF(OR($A39="",D$26=""),"",COUNTIFS('DAILY TASK TRACKER'!$B$5:$B$1504,D$26,'DAILY TASK TRACKER'!$C$5:$C$1504,$A39,'DAILY TASK TRACKER'!$AK$5:$AK$1504,1))</f>
        <v>0</v>
      </c>
      <c r="E39" s="89">
        <f>IF(OR($A39="",E$26=""),"",COUNTIFS('DAILY TASK TRACKER'!$B$5:$B$1504,E$26,'DAILY TASK TRACKER'!$C$5:$C$1504,$A39,'DAILY TASK TRACKER'!$AK$5:$AK$1504,1))</f>
        <v>0</v>
      </c>
      <c r="F39" s="89">
        <f>IF(OR($A39="",F$26=""),"",COUNTIFS('DAILY TASK TRACKER'!$B$5:$B$1504,F$26,'DAILY TASK TRACKER'!$C$5:$C$1504,$A39,'DAILY TASK TRACKER'!$AK$5:$AK$1504,1))</f>
        <v>0</v>
      </c>
      <c r="G39" s="89">
        <f>IF(OR($A39="",G$26=""),"",COUNTIFS('DAILY TASK TRACKER'!$B$5:$B$1504,G$26,'DAILY TASK TRACKER'!$C$5:$C$1504,$A39,'DAILY TASK TRACKER'!$AK$5:$AK$1504,1))</f>
        <v>0</v>
      </c>
      <c r="H39" s="89">
        <f>IF(OR($A39="",H$26=""),"",COUNTIFS('DAILY TASK TRACKER'!$B$5:$B$1504,H$26,'DAILY TASK TRACKER'!$C$5:$C$1504,$A39,'DAILY TASK TRACKER'!$AK$5:$AK$1504,1))</f>
        <v>0</v>
      </c>
      <c r="I39" s="89">
        <f>IF(OR($A39="",I$26=""),"",COUNTIFS('DAILY TASK TRACKER'!$B$5:$B$1504,I$26,'DAILY TASK TRACKER'!$C$5:$C$1504,$A39,'DAILY TASK TRACKER'!$AK$5:$AK$1504,1))</f>
        <v>0</v>
      </c>
      <c r="J39" s="89">
        <f>IF(OR($A39="",J$26=""),"",COUNTIFS('DAILY TASK TRACKER'!$B$5:$B$1504,J$26,'DAILY TASK TRACKER'!$C$5:$C$1504,$A39,'DAILY TASK TRACKER'!$AK$5:$AK$1504,1))</f>
        <v>0</v>
      </c>
      <c r="K39" s="89" t="str">
        <f>IF(OR($A39="",K$26=""),"",COUNTIFS('DAILY TASK TRACKER'!$B$5:$B$1504,K$26,'DAILY TASK TRACKER'!$C$5:$C$1504,$A39,'DAILY TASK TRACKER'!$AK$5:$AK$1504,1))</f>
        <v/>
      </c>
      <c r="L39" s="89" t="str">
        <f>IF(OR($A39="",L$26=""),"",COUNTIFS('DAILY TASK TRACKER'!$B$5:$B$1504,L$26,'DAILY TASK TRACKER'!$C$5:$C$1504,$A39,'DAILY TASK TRACKER'!$AK$5:$AK$1504,1))</f>
        <v/>
      </c>
      <c r="M39" s="90">
        <f>IF($A39="","",SUM(C39:L39))</f>
        <v>0</v>
      </c>
    </row>
    <row r="40">
      <c r="A40" s="88" t="str">
        <f>IF('CLIENT MASTER'!A18="","",'CLIENT MASTER'!A18)</f>
        <v>AMEX</v>
      </c>
      <c r="C40" s="89">
        <f>IF(OR($A40="",C$26=""),"",COUNTIFS('DAILY TASK TRACKER'!$B$5:$B$1504,C$26,'DAILY TASK TRACKER'!$C$5:$C$1504,$A40,'DAILY TASK TRACKER'!$AK$5:$AK$1504,1))</f>
        <v>0</v>
      </c>
      <c r="D40" s="89">
        <f>IF(OR($A40="",D$26=""),"",COUNTIFS('DAILY TASK TRACKER'!$B$5:$B$1504,D$26,'DAILY TASK TRACKER'!$C$5:$C$1504,$A40,'DAILY TASK TRACKER'!$AK$5:$AK$1504,1))</f>
        <v>0</v>
      </c>
      <c r="E40" s="89">
        <f>IF(OR($A40="",E$26=""),"",COUNTIFS('DAILY TASK TRACKER'!$B$5:$B$1504,E$26,'DAILY TASK TRACKER'!$C$5:$C$1504,$A40,'DAILY TASK TRACKER'!$AK$5:$AK$1504,1))</f>
        <v>0</v>
      </c>
      <c r="F40" s="89">
        <f>IF(OR($A40="",F$26=""),"",COUNTIFS('DAILY TASK TRACKER'!$B$5:$B$1504,F$26,'DAILY TASK TRACKER'!$C$5:$C$1504,$A40,'DAILY TASK TRACKER'!$AK$5:$AK$1504,1))</f>
        <v>0</v>
      </c>
      <c r="G40" s="89">
        <f>IF(OR($A40="",G$26=""),"",COUNTIFS('DAILY TASK TRACKER'!$B$5:$B$1504,G$26,'DAILY TASK TRACKER'!$C$5:$C$1504,$A40,'DAILY TASK TRACKER'!$AK$5:$AK$1504,1))</f>
        <v>0</v>
      </c>
      <c r="H40" s="89">
        <f>IF(OR($A40="",H$26=""),"",COUNTIFS('DAILY TASK TRACKER'!$B$5:$B$1504,H$26,'DAILY TASK TRACKER'!$C$5:$C$1504,$A40,'DAILY TASK TRACKER'!$AK$5:$AK$1504,1))</f>
        <v>0</v>
      </c>
      <c r="I40" s="89">
        <f>IF(OR($A40="",I$26=""),"",COUNTIFS('DAILY TASK TRACKER'!$B$5:$B$1504,I$26,'DAILY TASK TRACKER'!$C$5:$C$1504,$A40,'DAILY TASK TRACKER'!$AK$5:$AK$1504,1))</f>
        <v>0</v>
      </c>
      <c r="J40" s="89">
        <f>IF(OR($A40="",J$26=""),"",COUNTIFS('DAILY TASK TRACKER'!$B$5:$B$1504,J$26,'DAILY TASK TRACKER'!$C$5:$C$1504,$A40,'DAILY TASK TRACKER'!$AK$5:$AK$1504,1))</f>
        <v>0</v>
      </c>
      <c r="K40" s="89" t="str">
        <f>IF(OR($A40="",K$26=""),"",COUNTIFS('DAILY TASK TRACKER'!$B$5:$B$1504,K$26,'DAILY TASK TRACKER'!$C$5:$C$1504,$A40,'DAILY TASK TRACKER'!$AK$5:$AK$1504,1))</f>
        <v/>
      </c>
      <c r="L40" s="89" t="str">
        <f>IF(OR($A40="",L$26=""),"",COUNTIFS('DAILY TASK TRACKER'!$B$5:$B$1504,L$26,'DAILY TASK TRACKER'!$C$5:$C$1504,$A40,'DAILY TASK TRACKER'!$AK$5:$AK$1504,1))</f>
        <v/>
      </c>
      <c r="M40" s="90">
        <f>IF($A40="","",SUM(C40:L40))</f>
        <v>0</v>
      </c>
    </row>
    <row r="41">
      <c r="A41" s="88" t="str">
        <f>IF('CLIENT MASTER'!A19="","",'CLIENT MASTER'!A19)</f>
        <v>Marg Business Transformation</v>
      </c>
      <c r="C41" s="89">
        <f>IF(OR($A41="",C$26=""),"",COUNTIFS('DAILY TASK TRACKER'!$B$5:$B$1504,C$26,'DAILY TASK TRACKER'!$C$5:$C$1504,$A41,'DAILY TASK TRACKER'!$AK$5:$AK$1504,1))</f>
        <v>0</v>
      </c>
      <c r="D41" s="89">
        <f>IF(OR($A41="",D$26=""),"",COUNTIFS('DAILY TASK TRACKER'!$B$5:$B$1504,D$26,'DAILY TASK TRACKER'!$C$5:$C$1504,$A41,'DAILY TASK TRACKER'!$AK$5:$AK$1504,1))</f>
        <v>0</v>
      </c>
      <c r="E41" s="89">
        <f>IF(OR($A41="",E$26=""),"",COUNTIFS('DAILY TASK TRACKER'!$B$5:$B$1504,E$26,'DAILY TASK TRACKER'!$C$5:$C$1504,$A41,'DAILY TASK TRACKER'!$AK$5:$AK$1504,1))</f>
        <v>0</v>
      </c>
      <c r="F41" s="89">
        <f>IF(OR($A41="",F$26=""),"",COUNTIFS('DAILY TASK TRACKER'!$B$5:$B$1504,F$26,'DAILY TASK TRACKER'!$C$5:$C$1504,$A41,'DAILY TASK TRACKER'!$AK$5:$AK$1504,1))</f>
        <v>0</v>
      </c>
      <c r="G41" s="89">
        <f>IF(OR($A41="",G$26=""),"",COUNTIFS('DAILY TASK TRACKER'!$B$5:$B$1504,G$26,'DAILY TASK TRACKER'!$C$5:$C$1504,$A41,'DAILY TASK TRACKER'!$AK$5:$AK$1504,1))</f>
        <v>0</v>
      </c>
      <c r="H41" s="89">
        <f>IF(OR($A41="",H$26=""),"",COUNTIFS('DAILY TASK TRACKER'!$B$5:$B$1504,H$26,'DAILY TASK TRACKER'!$C$5:$C$1504,$A41,'DAILY TASK TRACKER'!$AK$5:$AK$1504,1))</f>
        <v>0</v>
      </c>
      <c r="I41" s="89">
        <f>IF(OR($A41="",I$26=""),"",COUNTIFS('DAILY TASK TRACKER'!$B$5:$B$1504,I$26,'DAILY TASK TRACKER'!$C$5:$C$1504,$A41,'DAILY TASK TRACKER'!$AK$5:$AK$1504,1))</f>
        <v>0</v>
      </c>
      <c r="J41" s="89">
        <f>IF(OR($A41="",J$26=""),"",COUNTIFS('DAILY TASK TRACKER'!$B$5:$B$1504,J$26,'DAILY TASK TRACKER'!$C$5:$C$1504,$A41,'DAILY TASK TRACKER'!$AK$5:$AK$1504,1))</f>
        <v>0</v>
      </c>
      <c r="K41" s="89" t="str">
        <f>IF(OR($A41="",K$26=""),"",COUNTIFS('DAILY TASK TRACKER'!$B$5:$B$1504,K$26,'DAILY TASK TRACKER'!$C$5:$C$1504,$A41,'DAILY TASK TRACKER'!$AK$5:$AK$1504,1))</f>
        <v/>
      </c>
      <c r="L41" s="89" t="str">
        <f>IF(OR($A41="",L$26=""),"",COUNTIFS('DAILY TASK TRACKER'!$B$5:$B$1504,L$26,'DAILY TASK TRACKER'!$C$5:$C$1504,$A41,'DAILY TASK TRACKER'!$AK$5:$AK$1504,1))</f>
        <v/>
      </c>
      <c r="M41" s="90">
        <f>IF($A41="","",SUM(C41:L41))</f>
        <v>0</v>
      </c>
    </row>
    <row r="42">
      <c r="A42" s="88" t="str">
        <f>IF('CLIENT MASTER'!A20="","",'CLIENT MASTER'!A20)</f>
        <v>Utimaco Singapore</v>
      </c>
      <c r="C42" s="89">
        <f>IF(OR($A42="",C$26=""),"",COUNTIFS('DAILY TASK TRACKER'!$B$5:$B$1504,C$26,'DAILY TASK TRACKER'!$C$5:$C$1504,$A42,'DAILY TASK TRACKER'!$AK$5:$AK$1504,1))</f>
        <v>0</v>
      </c>
      <c r="D42" s="89">
        <f>IF(OR($A42="",D$26=""),"",COUNTIFS('DAILY TASK TRACKER'!$B$5:$B$1504,D$26,'DAILY TASK TRACKER'!$C$5:$C$1504,$A42,'DAILY TASK TRACKER'!$AK$5:$AK$1504,1))</f>
        <v>0</v>
      </c>
      <c r="E42" s="89">
        <f>IF(OR($A42="",E$26=""),"",COUNTIFS('DAILY TASK TRACKER'!$B$5:$B$1504,E$26,'DAILY TASK TRACKER'!$C$5:$C$1504,$A42,'DAILY TASK TRACKER'!$AK$5:$AK$1504,1))</f>
        <v>0</v>
      </c>
      <c r="F42" s="89">
        <f>IF(OR($A42="",F$26=""),"",COUNTIFS('DAILY TASK TRACKER'!$B$5:$B$1504,F$26,'DAILY TASK TRACKER'!$C$5:$C$1504,$A42,'DAILY TASK TRACKER'!$AK$5:$AK$1504,1))</f>
        <v>1</v>
      </c>
      <c r="G42" s="89">
        <f>IF(OR($A42="",G$26=""),"",COUNTIFS('DAILY TASK TRACKER'!$B$5:$B$1504,G$26,'DAILY TASK TRACKER'!$C$5:$C$1504,$A42,'DAILY TASK TRACKER'!$AK$5:$AK$1504,1))</f>
        <v>0</v>
      </c>
      <c r="H42" s="89">
        <f>IF(OR($A42="",H$26=""),"",COUNTIFS('DAILY TASK TRACKER'!$B$5:$B$1504,H$26,'DAILY TASK TRACKER'!$C$5:$C$1504,$A42,'DAILY TASK TRACKER'!$AK$5:$AK$1504,1))</f>
        <v>0</v>
      </c>
      <c r="I42" s="89">
        <f>IF(OR($A42="",I$26=""),"",COUNTIFS('DAILY TASK TRACKER'!$B$5:$B$1504,I$26,'DAILY TASK TRACKER'!$C$5:$C$1504,$A42,'DAILY TASK TRACKER'!$AK$5:$AK$1504,1))</f>
        <v>0</v>
      </c>
      <c r="J42" s="89">
        <f>IF(OR($A42="",J$26=""),"",COUNTIFS('DAILY TASK TRACKER'!$B$5:$B$1504,J$26,'DAILY TASK TRACKER'!$C$5:$C$1504,$A42,'DAILY TASK TRACKER'!$AK$5:$AK$1504,1))</f>
        <v>0</v>
      </c>
      <c r="K42" s="89" t="str">
        <f>IF(OR($A42="",K$26=""),"",COUNTIFS('DAILY TASK TRACKER'!$B$5:$B$1504,K$26,'DAILY TASK TRACKER'!$C$5:$C$1504,$A42,'DAILY TASK TRACKER'!$AK$5:$AK$1504,1))</f>
        <v/>
      </c>
      <c r="L42" s="89" t="str">
        <f>IF(OR($A42="",L$26=""),"",COUNTIFS('DAILY TASK TRACKER'!$B$5:$B$1504,L$26,'DAILY TASK TRACKER'!$C$5:$C$1504,$A42,'DAILY TASK TRACKER'!$AK$5:$AK$1504,1))</f>
        <v/>
      </c>
      <c r="M42" s="90">
        <f>IF($A42="","",SUM(C42:L42))</f>
        <v>1</v>
      </c>
    </row>
    <row r="43">
      <c r="A43" s="88" t="str">
        <f>IF('CLIENT MASTER'!A21="","",'CLIENT MASTER'!A21)</f>
        <v/>
      </c>
      <c r="C43" s="89" t="str">
        <f>IF(OR($A43="",C$26=""),"",COUNTIFS('DAILY TASK TRACKER'!$B$5:$B$1504,C$26,'DAILY TASK TRACKER'!$C$5:$C$1504,$A43,'DAILY TASK TRACKER'!$AK$5:$AK$1504,1))</f>
        <v/>
      </c>
      <c r="D43" s="89" t="str">
        <f>IF(OR($A43="",D$26=""),"",COUNTIFS('DAILY TASK TRACKER'!$B$5:$B$1504,D$26,'DAILY TASK TRACKER'!$C$5:$C$1504,$A43,'DAILY TASK TRACKER'!$AK$5:$AK$1504,1))</f>
        <v/>
      </c>
      <c r="E43" s="89" t="str">
        <f>IF(OR($A43="",E$26=""),"",COUNTIFS('DAILY TASK TRACKER'!$B$5:$B$1504,E$26,'DAILY TASK TRACKER'!$C$5:$C$1504,$A43,'DAILY TASK TRACKER'!$AK$5:$AK$1504,1))</f>
        <v/>
      </c>
      <c r="F43" s="89" t="str">
        <f>IF(OR($A43="",F$26=""),"",COUNTIFS('DAILY TASK TRACKER'!$B$5:$B$1504,F$26,'DAILY TASK TRACKER'!$C$5:$C$1504,$A43,'DAILY TASK TRACKER'!$AK$5:$AK$1504,1))</f>
        <v/>
      </c>
      <c r="G43" s="89" t="str">
        <f>IF(OR($A43="",G$26=""),"",COUNTIFS('DAILY TASK TRACKER'!$B$5:$B$1504,G$26,'DAILY TASK TRACKER'!$C$5:$C$1504,$A43,'DAILY TASK TRACKER'!$AK$5:$AK$1504,1))</f>
        <v/>
      </c>
      <c r="H43" s="89" t="str">
        <f>IF(OR($A43="",H$26=""),"",COUNTIFS('DAILY TASK TRACKER'!$B$5:$B$1504,H$26,'DAILY TASK TRACKER'!$C$5:$C$1504,$A43,'DAILY TASK TRACKER'!$AK$5:$AK$1504,1))</f>
        <v/>
      </c>
      <c r="I43" s="89" t="str">
        <f>IF(OR($A43="",I$26=""),"",COUNTIFS('DAILY TASK TRACKER'!$B$5:$B$1504,I$26,'DAILY TASK TRACKER'!$C$5:$C$1504,$A43,'DAILY TASK TRACKER'!$AK$5:$AK$1504,1))</f>
        <v/>
      </c>
      <c r="J43" s="89" t="str">
        <f>IF(OR($A43="",J$26=""),"",COUNTIFS('DAILY TASK TRACKER'!$B$5:$B$1504,J$26,'DAILY TASK TRACKER'!$C$5:$C$1504,$A43,'DAILY TASK TRACKER'!$AK$5:$AK$1504,1))</f>
        <v/>
      </c>
      <c r="K43" s="89" t="str">
        <f>IF(OR($A43="",K$26=""),"",COUNTIFS('DAILY TASK TRACKER'!$B$5:$B$1504,K$26,'DAILY TASK TRACKER'!$C$5:$C$1504,$A43,'DAILY TASK TRACKER'!$AK$5:$AK$1504,1))</f>
        <v/>
      </c>
      <c r="L43" s="89" t="str">
        <f>IF(OR($A43="",L$26=""),"",COUNTIFS('DAILY TASK TRACKER'!$B$5:$B$1504,L$26,'DAILY TASK TRACKER'!$C$5:$C$1504,$A43,'DAILY TASK TRACKER'!$AK$5:$AK$1504,1))</f>
        <v/>
      </c>
      <c r="M43" s="90" t="str">
        <f>IF($A43="","",SUM(C43:L43))</f>
        <v/>
      </c>
    </row>
    <row r="44">
      <c r="A44" s="88" t="str">
        <f>IF('CLIENT MASTER'!A22="","",'CLIENT MASTER'!A22)</f>
        <v/>
      </c>
      <c r="C44" s="89" t="str">
        <f>IF(OR($A44="",C$26=""),"",COUNTIFS('DAILY TASK TRACKER'!$B$5:$B$1504,C$26,'DAILY TASK TRACKER'!$C$5:$C$1504,$A44,'DAILY TASK TRACKER'!$AK$5:$AK$1504,1))</f>
        <v/>
      </c>
      <c r="D44" s="89" t="str">
        <f>IF(OR($A44="",D$26=""),"",COUNTIFS('DAILY TASK TRACKER'!$B$5:$B$1504,D$26,'DAILY TASK TRACKER'!$C$5:$C$1504,$A44,'DAILY TASK TRACKER'!$AK$5:$AK$1504,1))</f>
        <v/>
      </c>
      <c r="E44" s="89" t="str">
        <f>IF(OR($A44="",E$26=""),"",COUNTIFS('DAILY TASK TRACKER'!$B$5:$B$1504,E$26,'DAILY TASK TRACKER'!$C$5:$C$1504,$A44,'DAILY TASK TRACKER'!$AK$5:$AK$1504,1))</f>
        <v/>
      </c>
      <c r="F44" s="89" t="str">
        <f>IF(OR($A44="",F$26=""),"",COUNTIFS('DAILY TASK TRACKER'!$B$5:$B$1504,F$26,'DAILY TASK TRACKER'!$C$5:$C$1504,$A44,'DAILY TASK TRACKER'!$AK$5:$AK$1504,1))</f>
        <v/>
      </c>
      <c r="G44" s="89" t="str">
        <f>IF(OR($A44="",G$26=""),"",COUNTIFS('DAILY TASK TRACKER'!$B$5:$B$1504,G$26,'DAILY TASK TRACKER'!$C$5:$C$1504,$A44,'DAILY TASK TRACKER'!$AK$5:$AK$1504,1))</f>
        <v/>
      </c>
      <c r="H44" s="89" t="str">
        <f>IF(OR($A44="",H$26=""),"",COUNTIFS('DAILY TASK TRACKER'!$B$5:$B$1504,H$26,'DAILY TASK TRACKER'!$C$5:$C$1504,$A44,'DAILY TASK TRACKER'!$AK$5:$AK$1504,1))</f>
        <v/>
      </c>
      <c r="I44" s="89" t="str">
        <f>IF(OR($A44="",I$26=""),"",COUNTIFS('DAILY TASK TRACKER'!$B$5:$B$1504,I$26,'DAILY TASK TRACKER'!$C$5:$C$1504,$A44,'DAILY TASK TRACKER'!$AK$5:$AK$1504,1))</f>
        <v/>
      </c>
      <c r="J44" s="89" t="str">
        <f>IF(OR($A44="",J$26=""),"",COUNTIFS('DAILY TASK TRACKER'!$B$5:$B$1504,J$26,'DAILY TASK TRACKER'!$C$5:$C$1504,$A44,'DAILY TASK TRACKER'!$AK$5:$AK$1504,1))</f>
        <v/>
      </c>
      <c r="K44" s="89" t="str">
        <f>IF(OR($A44="",K$26=""),"",COUNTIFS('DAILY TASK TRACKER'!$B$5:$B$1504,K$26,'DAILY TASK TRACKER'!$C$5:$C$1504,$A44,'DAILY TASK TRACKER'!$AK$5:$AK$1504,1))</f>
        <v/>
      </c>
      <c r="L44" s="89" t="str">
        <f>IF(OR($A44="",L$26=""),"",COUNTIFS('DAILY TASK TRACKER'!$B$5:$B$1504,L$26,'DAILY TASK TRACKER'!$C$5:$C$1504,$A44,'DAILY TASK TRACKER'!$AK$5:$AK$1504,1))</f>
        <v/>
      </c>
      <c r="M44" s="90" t="str">
        <f>IF($A44="","",SUM(C44:L44))</f>
        <v/>
      </c>
    </row>
    <row r="45">
      <c r="A45" s="88" t="str">
        <f>IF('CLIENT MASTER'!A23="","",'CLIENT MASTER'!A23)</f>
        <v/>
      </c>
      <c r="C45" s="89" t="str">
        <f>IF(OR($A45="",C$26=""),"",COUNTIFS('DAILY TASK TRACKER'!$B$5:$B$1504,C$26,'DAILY TASK TRACKER'!$C$5:$C$1504,$A45,'DAILY TASK TRACKER'!$AK$5:$AK$1504,1))</f>
        <v/>
      </c>
      <c r="D45" s="89" t="str">
        <f>IF(OR($A45="",D$26=""),"",COUNTIFS('DAILY TASK TRACKER'!$B$5:$B$1504,D$26,'DAILY TASK TRACKER'!$C$5:$C$1504,$A45,'DAILY TASK TRACKER'!$AK$5:$AK$1504,1))</f>
        <v/>
      </c>
      <c r="E45" s="89" t="str">
        <f>IF(OR($A45="",E$26=""),"",COUNTIFS('DAILY TASK TRACKER'!$B$5:$B$1504,E$26,'DAILY TASK TRACKER'!$C$5:$C$1504,$A45,'DAILY TASK TRACKER'!$AK$5:$AK$1504,1))</f>
        <v/>
      </c>
      <c r="F45" s="89" t="str">
        <f>IF(OR($A45="",F$26=""),"",COUNTIFS('DAILY TASK TRACKER'!$B$5:$B$1504,F$26,'DAILY TASK TRACKER'!$C$5:$C$1504,$A45,'DAILY TASK TRACKER'!$AK$5:$AK$1504,1))</f>
        <v/>
      </c>
      <c r="G45" s="89" t="str">
        <f>IF(OR($A45="",G$26=""),"",COUNTIFS('DAILY TASK TRACKER'!$B$5:$B$1504,G$26,'DAILY TASK TRACKER'!$C$5:$C$1504,$A45,'DAILY TASK TRACKER'!$AK$5:$AK$1504,1))</f>
        <v/>
      </c>
      <c r="H45" s="89" t="str">
        <f>IF(OR($A45="",H$26=""),"",COUNTIFS('DAILY TASK TRACKER'!$B$5:$B$1504,H$26,'DAILY TASK TRACKER'!$C$5:$C$1504,$A45,'DAILY TASK TRACKER'!$AK$5:$AK$1504,1))</f>
        <v/>
      </c>
      <c r="I45" s="89" t="str">
        <f>IF(OR($A45="",I$26=""),"",COUNTIFS('DAILY TASK TRACKER'!$B$5:$B$1504,I$26,'DAILY TASK TRACKER'!$C$5:$C$1504,$A45,'DAILY TASK TRACKER'!$AK$5:$AK$1504,1))</f>
        <v/>
      </c>
      <c r="J45" s="89" t="str">
        <f>IF(OR($A45="",J$26=""),"",COUNTIFS('DAILY TASK TRACKER'!$B$5:$B$1504,J$26,'DAILY TASK TRACKER'!$C$5:$C$1504,$A45,'DAILY TASK TRACKER'!$AK$5:$AK$1504,1))</f>
        <v/>
      </c>
      <c r="K45" s="89" t="str">
        <f>IF(OR($A45="",K$26=""),"",COUNTIFS('DAILY TASK TRACKER'!$B$5:$B$1504,K$26,'DAILY TASK TRACKER'!$C$5:$C$1504,$A45,'DAILY TASK TRACKER'!$AK$5:$AK$1504,1))</f>
        <v/>
      </c>
      <c r="L45" s="89" t="str">
        <f>IF(OR($A45="",L$26=""),"",COUNTIFS('DAILY TASK TRACKER'!$B$5:$B$1504,L$26,'DAILY TASK TRACKER'!$C$5:$C$1504,$A45,'DAILY TASK TRACKER'!$AK$5:$AK$1504,1))</f>
        <v/>
      </c>
      <c r="M45" s="90" t="str">
        <f>IF($A45="","",SUM(C45:L45))</f>
        <v/>
      </c>
    </row>
    <row r="46">
      <c r="A46" s="88" t="str">
        <f>IF('CLIENT MASTER'!A24="","",'CLIENT MASTER'!A24)</f>
        <v/>
      </c>
      <c r="C46" s="89" t="str">
        <f>IF(OR($A46="",C$26=""),"",COUNTIFS('DAILY TASK TRACKER'!$B$5:$B$1504,C$26,'DAILY TASK TRACKER'!$C$5:$C$1504,$A46,'DAILY TASK TRACKER'!$AK$5:$AK$1504,1))</f>
        <v/>
      </c>
      <c r="D46" s="89" t="str">
        <f>IF(OR($A46="",D$26=""),"",COUNTIFS('DAILY TASK TRACKER'!$B$5:$B$1504,D$26,'DAILY TASK TRACKER'!$C$5:$C$1504,$A46,'DAILY TASK TRACKER'!$AK$5:$AK$1504,1))</f>
        <v/>
      </c>
      <c r="E46" s="89" t="str">
        <f>IF(OR($A46="",E$26=""),"",COUNTIFS('DAILY TASK TRACKER'!$B$5:$B$1504,E$26,'DAILY TASK TRACKER'!$C$5:$C$1504,$A46,'DAILY TASK TRACKER'!$AK$5:$AK$1504,1))</f>
        <v/>
      </c>
      <c r="F46" s="89" t="str">
        <f>IF(OR($A46="",F$26=""),"",COUNTIFS('DAILY TASK TRACKER'!$B$5:$B$1504,F$26,'DAILY TASK TRACKER'!$C$5:$C$1504,$A46,'DAILY TASK TRACKER'!$AK$5:$AK$1504,1))</f>
        <v/>
      </c>
      <c r="G46" s="89" t="str">
        <f>IF(OR($A46="",G$26=""),"",COUNTIFS('DAILY TASK TRACKER'!$B$5:$B$1504,G$26,'DAILY TASK TRACKER'!$C$5:$C$1504,$A46,'DAILY TASK TRACKER'!$AK$5:$AK$1504,1))</f>
        <v/>
      </c>
      <c r="H46" s="89" t="str">
        <f>IF(OR($A46="",H$26=""),"",COUNTIFS('DAILY TASK TRACKER'!$B$5:$B$1504,H$26,'DAILY TASK TRACKER'!$C$5:$C$1504,$A46,'DAILY TASK TRACKER'!$AK$5:$AK$1504,1))</f>
        <v/>
      </c>
      <c r="I46" s="89" t="str">
        <f>IF(OR($A46="",I$26=""),"",COUNTIFS('DAILY TASK TRACKER'!$B$5:$B$1504,I$26,'DAILY TASK TRACKER'!$C$5:$C$1504,$A46,'DAILY TASK TRACKER'!$AK$5:$AK$1504,1))</f>
        <v/>
      </c>
      <c r="J46" s="89" t="str">
        <f>IF(OR($A46="",J$26=""),"",COUNTIFS('DAILY TASK TRACKER'!$B$5:$B$1504,J$26,'DAILY TASK TRACKER'!$C$5:$C$1504,$A46,'DAILY TASK TRACKER'!$AK$5:$AK$1504,1))</f>
        <v/>
      </c>
      <c r="K46" s="89" t="str">
        <f>IF(OR($A46="",K$26=""),"",COUNTIFS('DAILY TASK TRACKER'!$B$5:$B$1504,K$26,'DAILY TASK TRACKER'!$C$5:$C$1504,$A46,'DAILY TASK TRACKER'!$AK$5:$AK$1504,1))</f>
        <v/>
      </c>
      <c r="L46" s="89" t="str">
        <f>IF(OR($A46="",L$26=""),"",COUNTIFS('DAILY TASK TRACKER'!$B$5:$B$1504,L$26,'DAILY TASK TRACKER'!$C$5:$C$1504,$A46,'DAILY TASK TRACKER'!$AK$5:$AK$1504,1))</f>
        <v/>
      </c>
      <c r="M46" s="90" t="str">
        <f>IF($A46="","",SUM(C46:L46))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A1:U1"/>
    <mergeCell ref="A5:U5"/>
    <mergeCell ref="A25:U25"/>
    <mergeCell ref="A2:U2"/>
  </mergeCells>
  <conditionalFormatting sqref="F7:F21">
    <cfRule type="cellIs" priority="1" operator="greaterThan" dxfId="2">
      <formula>0</formula>
    </cfRule>
  </conditionalFormatting>
  <conditionalFormatting sqref="G7:G21">
    <cfRule type="cellIs" priority="2" operator="greaterThan" dxfId="15">
      <formula>0</formula>
    </cfRule>
  </conditionalFormatting>
  <conditionalFormatting sqref="T7:T21">
    <cfRule type="expression" priority="3" dxfId="2">
      <formula>$T7="Support needed"</formula>
    </cfRule>
    <cfRule type="expression" priority="4" dxfId="15">
      <formula>$T7="Workload high"</formula>
    </cfRule>
    <cfRule type="expression" priority="5" dxfId="17">
      <formula>$T7="OK"</formula>
    </cfRule>
  </conditionalFormatting>
  <conditionalFormatting sqref="S7:S21">
    <cfRule type="cellIs" priority="6" operator="greaterThan" dxfId="1">
      <formula>1.3</formula>
    </cfRule>
  </conditionalFormatting>
  <conditionalFormatting sqref="C27:L46">
    <cfRule type="colorScale" priority="7">
      <colorScale>
        <cfvo type="num" val="1"/>
        <cfvo type="max"/>
        <color rgb="00DDEBF7"/>
        <color rgb="002F5597"/>
      </colorScale>
    </cfRule>
  </conditionalFormatting>
  <dataValidations count="1">
    <dataValidation sqref="B3" showDropDown="0" showInputMessage="0" showErrorMessage="1" allowBlank="1" errorTitle="Pick from list" error="Please choose a value from the dropdown (lists are maintained in MASTER DATA / CLIENT MASTER / CAMPAIGN MASTER)." type="list" errorStyle="stop">
      <formula1>=lst_FMonth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E37"/>
  <sheetViews>
    <sheetView showGridLines="0" tabSelected="0" zoomScale="85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6" customWidth="1" min="26" max="26"/>
    <col width="36" customWidth="1" min="27" max="27"/>
    <col width="30" customWidth="1" min="28" max="28"/>
    <col width="30" customWidth="1" min="29" max="29"/>
    <col hidden="1" outlineLevel="1" width="6" customWidth="1" min="30" max="31"/>
    <col width="6" customWidth="1" min="31" max="31"/>
  </cols>
  <sheetData>
    <row r="1" ht="38" customHeight="1">
      <c r="A1" s="1" t="inlineStr">
        <is>
          <t>CLIENT PERFORMANCE - where we spend time, where leads come from, who needs attention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14" t="inlineStr">
        <is>
          <t>Automatic. Key Issues / Current Priority / Next Action are maintained in CLIENT MASTER.</t>
        </is>
      </c>
    </row>
    <row r="3">
      <c r="A3" s="78" t="inlineStr">
        <is>
          <t>Period (Month):</t>
        </is>
      </c>
      <c r="B3" s="19" t="inlineStr">
        <is>
          <t>All</t>
        </is>
      </c>
      <c r="C3" s="79" t="str">
        <f>IF(B3="All","&lt;&gt;@@",B3)</f>
        <v>&lt;&gt;@@</v>
      </c>
    </row>
    <row r="5" ht="22" customHeight="1">
      <c r="A5" s="3" t="inlineStr">
        <is>
          <t>CLIENT SCORECARD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42" customHeight="1">
      <c r="A6" s="80" t="inlineStr">
        <is>
          <t>Client</t>
        </is>
      </c>
      <c r="B6" s="80" t="inlineStr">
        <is>
          <t>Type</t>
        </is>
      </c>
      <c r="C6" s="80" t="inlineStr">
        <is>
          <t>Account Status</t>
        </is>
      </c>
      <c r="D6" s="80" t="inlineStr">
        <is>
          <t>Active Campaigns</t>
        </is>
      </c>
      <c r="E6" s="80" t="inlineStr">
        <is>
          <t>Tasks</t>
        </is>
      </c>
      <c r="F6" s="80" t="inlineStr">
        <is>
          <t>Completed</t>
        </is>
      </c>
      <c r="G6" s="80" t="inlineStr">
        <is>
          <t>Pending</t>
        </is>
      </c>
      <c r="H6" s="80" t="inlineStr">
        <is>
          <t>Overdue</t>
        </is>
      </c>
      <c r="I6" s="80" t="inlineStr">
        <is>
          <t>Blocked</t>
        </is>
      </c>
      <c r="J6" s="80" t="inlineStr">
        <is>
          <t>Completion %</t>
        </is>
      </c>
      <c r="K6" s="80" t="inlineStr">
        <is>
          <t>Share of Team Effort</t>
        </is>
      </c>
      <c r="L6" s="80" t="inlineStr">
        <is>
          <t>Leads</t>
        </is>
      </c>
      <c r="M6" s="80" t="inlineStr">
        <is>
          <t>MQLs</t>
        </is>
      </c>
      <c r="N6" s="80" t="inlineStr">
        <is>
          <t>SQLs</t>
        </is>
      </c>
      <c r="O6" s="80" t="inlineStr">
        <is>
          <t>Digital Handraisers</t>
        </is>
      </c>
      <c r="P6" s="80" t="inlineStr">
        <is>
          <t>Share of Leads</t>
        </is>
      </c>
      <c r="Q6" s="80" t="inlineStr">
        <is>
          <t>Emails Sent</t>
        </is>
      </c>
      <c r="R6" s="80" t="inlineStr">
        <is>
          <t>Open Rate</t>
        </is>
      </c>
      <c r="S6" s="80" t="inlineStr">
        <is>
          <t>CTR</t>
        </is>
      </c>
      <c r="T6" s="80" t="inlineStr">
        <is>
          <t>Positive Resp. Rate</t>
        </is>
      </c>
      <c r="U6" s="80" t="inlineStr">
        <is>
          <t>Ad Spend</t>
        </is>
      </c>
      <c r="V6" s="80" t="inlineStr">
        <is>
          <t>Paid Leads</t>
        </is>
      </c>
      <c r="W6" s="80" t="inlineStr">
        <is>
          <t>CPL</t>
        </is>
      </c>
      <c r="X6" s="80" t="inlineStr">
        <is>
          <t>Web / Content Activities</t>
        </is>
      </c>
      <c r="Y6" s="80" t="inlineStr">
        <is>
          <t>Campaigns Needing Attention</t>
        </is>
      </c>
      <c r="Z6" s="80" t="inlineStr">
        <is>
          <t>Health</t>
        </is>
      </c>
      <c r="AA6" s="80" t="inlineStr">
        <is>
          <t>Key Issues</t>
        </is>
      </c>
      <c r="AB6" s="80" t="inlineStr">
        <is>
          <t>Current Priority</t>
        </is>
      </c>
      <c r="AC6" s="80" t="inlineStr">
        <is>
          <t>Next Action</t>
        </is>
      </c>
      <c r="AD6" s="91" t="inlineStr">
        <is>
          <t>Rank Attn</t>
        </is>
      </c>
      <c r="AE6" s="91" t="inlineStr">
        <is>
          <t>Rank Good</t>
        </is>
      </c>
    </row>
    <row r="7" ht="28" customHeight="1">
      <c r="A7" s="81" t="str">
        <f>IF('CLIENT MASTER'!A5="","",'CLIENT MASTER'!A5)</f>
        <v>Chola MS</v>
      </c>
      <c r="B7" s="83" t="str">
        <f>IF($A7="","",IFERROR(IF(INDEX('CLIENT MASTER'!$C$5:$C$64,MATCH($A7,'CLIENT MASTER'!$A$5:$A$64,0))="","",INDEX('CLIENT MASTER'!$C$5:$C$64,MATCH($A7,'CLIENT MASTER'!$A$5:$A$64,0))),""))</f>
        <v>External</v>
      </c>
      <c r="C7" s="83" t="str">
        <f>IF($A7="","",IFERROR(IF(INDEX('CLIENT MASTER'!$D$5:$D$64,MATCH($A7,'CLIENT MASTER'!$A$5:$A$64,0))="","",INDEX('CLIENT MASTER'!$D$5:$D$64,MATCH($A7,'CLIENT MASTER'!$A$5:$A$64,0))),""))</f>
        <v>Active</v>
      </c>
      <c r="D7" s="83">
        <f>IF($A7="","",COUNTIFS('CAMPAIGN MASTER'!$A$5:$A$704,$A7,'CAMPAIGN MASTER'!$AM$5:$AM$704,1))</f>
        <v>0</v>
      </c>
      <c r="E7" s="83">
        <f>IF($A7="","",COUNTIFS('DAILY TASK TRACKER'!$C$5:$C$1504,$A7,'DAILY TASK TRACKER'!$G$5:$G$1504,"&lt;&gt;",'DAILY TASK TRACKER'!$AH$5:$AH$1504,cpCrit))</f>
        <v>7</v>
      </c>
      <c r="F7" s="83">
        <f>IF($A7="","",COUNTIFS('DAILY TASK TRACKER'!$C$5:$C$1504,$A7,'DAILY TASK TRACKER'!$M$5:$M$1504,"Completed",'DAILY TASK TRACKER'!$AH$5:$AH$1504,cpCrit))</f>
        <v>0</v>
      </c>
      <c r="G7" s="83">
        <f>IF($A7="","",SUMIFS('DAILY TASK TRACKER'!$AK$5:$AK$1504,'DAILY TASK TRACKER'!$C$5:$C$1504,$A7,'DAILY TASK TRACKER'!$AH$5:$AH$1504,cpCrit))</f>
        <v>7</v>
      </c>
      <c r="H7" s="83">
        <f>IF($A7="","",SUMIFS('DAILY TASK TRACKER'!$AL$5:$AL$1504,'DAILY TASK TRACKER'!$C$5:$C$1504,$A7,'DAILY TASK TRACKER'!$AH$5:$AH$1504,cpCrit))</f>
        <v>0</v>
      </c>
      <c r="I7" s="83">
        <f>IF($A7="","",SUMIFS('DAILY TASK TRACKER'!$AM$5:$AM$1504,'DAILY TASK TRACKER'!$C$5:$C$1504,$A7,'DAILY TASK TRACKER'!$AH$5:$AH$1504,cpCrit))</f>
        <v>0</v>
      </c>
      <c r="J7" s="73">
        <f>IF($A7="","",IF(E7&gt;0,F7/E7,""))</f>
        <v>0</v>
      </c>
      <c r="K7" s="73">
        <f>IF($A7="","",IF($E$37&gt;0,E7/$E$37,""))</f>
        <v>0.120689655172414</v>
      </c>
      <c r="L7" s="83">
        <f>IF($A7="","",COUNTIFS('LEAD MQL TRACKER'!$B$5:$B$1004,$A7,'LEAD MQL TRACKER'!$AB$5:$AB$1004,1,'LEAD MQL TRACKER'!$AA$5:$AA$1004,cpCrit)+SUMIFS('EMAIL MARKETING'!$Q$5:$Q$804,'EMAIL MARKETING'!$B$5:$B$804,$A7,'EMAIL MARKETING'!$X$5:$X$804,cpCrit)+SUMIFS('PAID MEDIA ADS'!$M$5:$M$804,'PAID MEDIA ADS'!$B$5:$B$804,$A7,'PAID MEDIA ADS'!$U$5:$U$804,cpCrit)+SUMIFS('LINKEDIN OUTREACH'!$N$5:$N$704,'LINKEDIN OUTREACH'!$B$5:$B$704,$A7,'LINKEDIN OUTREACH'!$S$5:$S$704,cpCrit)+SUMIFS('WEBSITE CONTENT SEO'!$L$5:$L$804,'WEBSITE CONTENT SEO'!$B$5:$B$804,$A7,'WEBSITE CONTENT SEO'!$V$5:$V$804,cpCrit))</f>
        <v>0</v>
      </c>
      <c r="M7" s="83">
        <f>IF($A7="","",COUNTIFS('LEAD MQL TRACKER'!$B$5:$B$1004,$A7,'LEAD MQL TRACKER'!$AD$5:$AD$1004,1,'LEAD MQL TRACKER'!$AA$5:$AA$1004,cpCrit)+SUMIFS('EMAIL MARKETING'!$R$5:$R$804,'EMAIL MARKETING'!$B$5:$B$804,$A7,'EMAIL MARKETING'!$X$5:$X$804,cpCrit)+SUMIFS('PAID MEDIA ADS'!$N$5:$N$804,'PAID MEDIA ADS'!$B$5:$B$804,$A7,'PAID MEDIA ADS'!$U$5:$U$804,cpCrit)+SUMIFS('LINKEDIN OUTREACH'!$O$5:$O$704,'LINKEDIN OUTREACH'!$B$5:$B$704,$A7,'LINKEDIN OUTREACH'!$S$5:$S$704,cpCrit))</f>
        <v>0</v>
      </c>
      <c r="N7" s="83">
        <f>IF($A7="","",COUNTIFS('LEAD MQL TRACKER'!$B$5:$B$1004,$A7,'LEAD MQL TRACKER'!$AE$5:$AE$1004,1,'LEAD MQL TRACKER'!$AA$5:$AA$1004,cpCrit))</f>
        <v>0</v>
      </c>
      <c r="O7" s="83">
        <f>IF($A7="","",COUNTIFS('LEAD MQL TRACKER'!$B$5:$B$1004,$A7,'LEAD MQL TRACKER'!$AC$5:$AC$1004,1,'LEAD MQL TRACKER'!$AA$5:$AA$1004,cpCrit)+SUMIFS('LINKEDIN OUTREACH'!$M$5:$M$704,'LINKEDIN OUTREACH'!$B$5:$B$704,$A7,'LINKEDIN OUTREACH'!$S$5:$S$704,cpCrit))</f>
        <v>0</v>
      </c>
      <c r="P7" s="73" t="str">
        <f>IF($A7="","",IF($L$37&gt;0,L7/$L$37,""))</f>
        <v/>
      </c>
      <c r="Q7" s="83">
        <f>IF($A7="","",SUMIFS('EMAIL MARKETING'!$F$5:$F$804,'EMAIL MARKETING'!$B$5:$B$804,$A7,'EMAIL MARKETING'!$X$5:$X$804,cpCrit))</f>
        <v>0</v>
      </c>
      <c r="R7" s="73" t="str">
        <f>IF($A7="","",IFERROR(SUMIFS('EMAIL MARKETING'!$I$5:$I$804,'EMAIL MARKETING'!$B$5:$B$804,$A7,'EMAIL MARKETING'!$X$5:$X$804,cpCrit)/SUMIFS('EMAIL MARKETING'!$W$5:$W$804,'EMAIL MARKETING'!$B$5:$B$804,$A7,'EMAIL MARKETING'!$X$5:$X$804,cpCrit),""))</f>
        <v/>
      </c>
      <c r="S7" s="73" t="str">
        <f>IF($A7="","",IFERROR(SUMIFS('EMAIL MARKETING'!$K$5:$K$804,'EMAIL MARKETING'!$B$5:$B$804,$A7,'EMAIL MARKETING'!$X$5:$X$804,cpCrit)/SUMIFS('EMAIL MARKETING'!$W$5:$W$804,'EMAIL MARKETING'!$B$5:$B$804,$A7,'EMAIL MARKETING'!$X$5:$X$804,cpCrit),""))</f>
        <v/>
      </c>
      <c r="T7" s="73" t="str">
        <f>IF($A7="","",IFERROR(SUMIFS('EMAIL MARKETING'!$O$5:$O$804,'EMAIL MARKETING'!$B$5:$B$804,$A7,'EMAIL MARKETING'!$X$5:$X$804,cpCrit)/SUMIFS('EMAIL MARKETING'!$W$5:$W$804,'EMAIL MARKETING'!$B$5:$B$804,$A7,'EMAIL MARKETING'!$X$5:$X$804,cpCrit),""))</f>
        <v/>
      </c>
      <c r="U7" s="72">
        <f>IF($A7="","",SUMIFS('PAID MEDIA ADS'!$G$5:$G$804,'PAID MEDIA ADS'!$B$5:$B$804,$A7,'PAID MEDIA ADS'!$U$5:$U$804,cpCrit))</f>
        <v>0</v>
      </c>
      <c r="V7" s="83">
        <f>IF($A7="","",SUMIFS('PAID MEDIA ADS'!$M$5:$M$804,'PAID MEDIA ADS'!$B$5:$B$804,$A7,'PAID MEDIA ADS'!$U$5:$U$804,cpCrit))</f>
        <v>0</v>
      </c>
      <c r="W7" s="72" t="str">
        <f>IF($A7="","",IF(AND(U7&gt;0,V7&gt;0),U7/V7,""))</f>
        <v/>
      </c>
      <c r="X7" s="83">
        <f>IF($A7="","",COUNTIFS('WEBSITE CONTENT SEO'!$B$5:$B$804,$A7,'WEBSITE CONTENT SEO'!$D$5:$D$804,"&lt;&gt;",'WEBSITE CONTENT SEO'!$V$5:$V$804,cpCrit))</f>
        <v>0</v>
      </c>
      <c r="Y7" s="83">
        <f>IF($A7="","",SUMIFS('CAMPAIGN MASTER'!$AS$5:$AS$704,'CAMPAIGN MASTER'!$A$5:$A$704,$A7))</f>
        <v>0</v>
      </c>
      <c r="Z7" s="83" t="str">
        <f>IF($A7="","",IF(AND(E7=0,COUNTIFS('CAMPAIGN MASTER'!$A$5:$A$704,$A7)=0),"No Activity",IF(OR(H7&gt;0,I7&gt;0,Y7&gt;0),"Needs Attention",IF(E7=0,"No Tasks Logged",IF(AND(ISNUMBER(J7),J7&gt;=0.7),"Performing","In Progress")))))</f>
        <v>In Progress</v>
      </c>
      <c r="AA7" s="82" t="str">
        <f>IF($A7="","",IFERROR(IF(INDEX('CLIENT MASTER'!$H$5:$H$64,MATCH($A7,'CLIENT MASTER'!$A$5:$A$64,0))="","",INDEX('CLIENT MASTER'!$H$5:$H$64,MATCH($A7,'CLIENT MASTER'!$A$5:$A$64,0))),""))</f>
        <v/>
      </c>
      <c r="AB7" s="82" t="str">
        <f>IF($A7="","",IFERROR(IF(INDEX('CLIENT MASTER'!$I$5:$I$64,MATCH($A7,'CLIENT MASTER'!$A$5:$A$64,0))="","",INDEX('CLIENT MASTER'!$I$5:$I$64,MATCH($A7,'CLIENT MASTER'!$A$5:$A$64,0))),""))</f>
        <v/>
      </c>
      <c r="AC7" s="82" t="str">
        <f>IF($A7="","",IFERROR(IF(INDEX('CLIENT MASTER'!$J$5:$J$64,MATCH($A7,'CLIENT MASTER'!$A$5:$A$64,0))="","",INDEX('CLIENT MASTER'!$J$5:$J$64,MATCH($A7,'CLIENT MASTER'!$A$5:$A$64,0))),""))</f>
        <v/>
      </c>
      <c r="AD7" s="92" t="str">
        <f>IF($Z7="Needs Attention",ROW(),"")</f>
        <v/>
      </c>
      <c r="AE7" s="92" t="str">
        <f>IF($Z7="Performing",ROW(),"")</f>
        <v/>
      </c>
    </row>
    <row r="8" ht="28" customHeight="1">
      <c r="A8" s="81" t="str">
        <f>IF('CLIENT MASTER'!A6="","",'CLIENT MASTER'!A6)</f>
        <v>Magnasoft</v>
      </c>
      <c r="B8" s="83" t="str">
        <f>IF($A8="","",IFERROR(IF(INDEX('CLIENT MASTER'!$C$5:$C$64,MATCH($A8,'CLIENT MASTER'!$A$5:$A$64,0))="","",INDEX('CLIENT MASTER'!$C$5:$C$64,MATCH($A8,'CLIENT MASTER'!$A$5:$A$64,0))),""))</f>
        <v>External</v>
      </c>
      <c r="C8" s="83" t="str">
        <f>IF($A8="","",IFERROR(IF(INDEX('CLIENT MASTER'!$D$5:$D$64,MATCH($A8,'CLIENT MASTER'!$A$5:$A$64,0))="","",INDEX('CLIENT MASTER'!$D$5:$D$64,MATCH($A8,'CLIENT MASTER'!$A$5:$A$64,0))),""))</f>
        <v>Active</v>
      </c>
      <c r="D8" s="83">
        <f>IF($A8="","",COUNTIFS('CAMPAIGN MASTER'!$A$5:$A$704,$A8,'CAMPAIGN MASTER'!$AM$5:$AM$704,1))</f>
        <v>0</v>
      </c>
      <c r="E8" s="83">
        <f>IF($A8="","",COUNTIFS('DAILY TASK TRACKER'!$C$5:$C$1504,$A8,'DAILY TASK TRACKER'!$G$5:$G$1504,"&lt;&gt;",'DAILY TASK TRACKER'!$AH$5:$AH$1504,cpCrit))</f>
        <v>9</v>
      </c>
      <c r="F8" s="83">
        <f>IF($A8="","",COUNTIFS('DAILY TASK TRACKER'!$C$5:$C$1504,$A8,'DAILY TASK TRACKER'!$M$5:$M$1504,"Completed",'DAILY TASK TRACKER'!$AH$5:$AH$1504,cpCrit))</f>
        <v>0</v>
      </c>
      <c r="G8" s="83">
        <f>IF($A8="","",SUMIFS('DAILY TASK TRACKER'!$AK$5:$AK$1504,'DAILY TASK TRACKER'!$C$5:$C$1504,$A8,'DAILY TASK TRACKER'!$AH$5:$AH$1504,cpCrit))</f>
        <v>9</v>
      </c>
      <c r="H8" s="83">
        <f>IF($A8="","",SUMIFS('DAILY TASK TRACKER'!$AL$5:$AL$1504,'DAILY TASK TRACKER'!$C$5:$C$1504,$A8,'DAILY TASK TRACKER'!$AH$5:$AH$1504,cpCrit))</f>
        <v>0</v>
      </c>
      <c r="I8" s="83">
        <f>IF($A8="","",SUMIFS('DAILY TASK TRACKER'!$AM$5:$AM$1504,'DAILY TASK TRACKER'!$C$5:$C$1504,$A8,'DAILY TASK TRACKER'!$AH$5:$AH$1504,cpCrit))</f>
        <v>0</v>
      </c>
      <c r="J8" s="73">
        <f>IF($A8="","",IF(E8&gt;0,F8/E8,""))</f>
        <v>0</v>
      </c>
      <c r="K8" s="73">
        <f>IF($A8="","",IF($E$37&gt;0,E8/$E$37,""))</f>
        <v>0.155172413793103</v>
      </c>
      <c r="L8" s="83">
        <f>IF($A8="","",COUNTIFS('LEAD MQL TRACKER'!$B$5:$B$1004,$A8,'LEAD MQL TRACKER'!$AB$5:$AB$1004,1,'LEAD MQL TRACKER'!$AA$5:$AA$1004,cpCrit)+SUMIFS('EMAIL MARKETING'!$Q$5:$Q$804,'EMAIL MARKETING'!$B$5:$B$804,$A8,'EMAIL MARKETING'!$X$5:$X$804,cpCrit)+SUMIFS('PAID MEDIA ADS'!$M$5:$M$804,'PAID MEDIA ADS'!$B$5:$B$804,$A8,'PAID MEDIA ADS'!$U$5:$U$804,cpCrit)+SUMIFS('LINKEDIN OUTREACH'!$N$5:$N$704,'LINKEDIN OUTREACH'!$B$5:$B$704,$A8,'LINKEDIN OUTREACH'!$S$5:$S$704,cpCrit)+SUMIFS('WEBSITE CONTENT SEO'!$L$5:$L$804,'WEBSITE CONTENT SEO'!$B$5:$B$804,$A8,'WEBSITE CONTENT SEO'!$V$5:$V$804,cpCrit))</f>
        <v>0</v>
      </c>
      <c r="M8" s="83">
        <f>IF($A8="","",COUNTIFS('LEAD MQL TRACKER'!$B$5:$B$1004,$A8,'LEAD MQL TRACKER'!$AD$5:$AD$1004,1,'LEAD MQL TRACKER'!$AA$5:$AA$1004,cpCrit)+SUMIFS('EMAIL MARKETING'!$R$5:$R$804,'EMAIL MARKETING'!$B$5:$B$804,$A8,'EMAIL MARKETING'!$X$5:$X$804,cpCrit)+SUMIFS('PAID MEDIA ADS'!$N$5:$N$804,'PAID MEDIA ADS'!$B$5:$B$804,$A8,'PAID MEDIA ADS'!$U$5:$U$804,cpCrit)+SUMIFS('LINKEDIN OUTREACH'!$O$5:$O$704,'LINKEDIN OUTREACH'!$B$5:$B$704,$A8,'LINKEDIN OUTREACH'!$S$5:$S$704,cpCrit))</f>
        <v>0</v>
      </c>
      <c r="N8" s="83">
        <f>IF($A8="","",COUNTIFS('LEAD MQL TRACKER'!$B$5:$B$1004,$A8,'LEAD MQL TRACKER'!$AE$5:$AE$1004,1,'LEAD MQL TRACKER'!$AA$5:$AA$1004,cpCrit))</f>
        <v>0</v>
      </c>
      <c r="O8" s="83">
        <f>IF($A8="","",COUNTIFS('LEAD MQL TRACKER'!$B$5:$B$1004,$A8,'LEAD MQL TRACKER'!$AC$5:$AC$1004,1,'LEAD MQL TRACKER'!$AA$5:$AA$1004,cpCrit)+SUMIFS('LINKEDIN OUTREACH'!$M$5:$M$704,'LINKEDIN OUTREACH'!$B$5:$B$704,$A8,'LINKEDIN OUTREACH'!$S$5:$S$704,cpCrit))</f>
        <v>0</v>
      </c>
      <c r="P8" s="73" t="str">
        <f>IF($A8="","",IF($L$37&gt;0,L8/$L$37,""))</f>
        <v/>
      </c>
      <c r="Q8" s="83">
        <f>IF($A8="","",SUMIFS('EMAIL MARKETING'!$F$5:$F$804,'EMAIL MARKETING'!$B$5:$B$804,$A8,'EMAIL MARKETING'!$X$5:$X$804,cpCrit))</f>
        <v>0</v>
      </c>
      <c r="R8" s="73" t="str">
        <f>IF($A8="","",IFERROR(SUMIFS('EMAIL MARKETING'!$I$5:$I$804,'EMAIL MARKETING'!$B$5:$B$804,$A8,'EMAIL MARKETING'!$X$5:$X$804,cpCrit)/SUMIFS('EMAIL MARKETING'!$W$5:$W$804,'EMAIL MARKETING'!$B$5:$B$804,$A8,'EMAIL MARKETING'!$X$5:$X$804,cpCrit),""))</f>
        <v/>
      </c>
      <c r="S8" s="73" t="str">
        <f>IF($A8="","",IFERROR(SUMIFS('EMAIL MARKETING'!$K$5:$K$804,'EMAIL MARKETING'!$B$5:$B$804,$A8,'EMAIL MARKETING'!$X$5:$X$804,cpCrit)/SUMIFS('EMAIL MARKETING'!$W$5:$W$804,'EMAIL MARKETING'!$B$5:$B$804,$A8,'EMAIL MARKETING'!$X$5:$X$804,cpCrit),""))</f>
        <v/>
      </c>
      <c r="T8" s="73" t="str">
        <f>IF($A8="","",IFERROR(SUMIFS('EMAIL MARKETING'!$O$5:$O$804,'EMAIL MARKETING'!$B$5:$B$804,$A8,'EMAIL MARKETING'!$X$5:$X$804,cpCrit)/SUMIFS('EMAIL MARKETING'!$W$5:$W$804,'EMAIL MARKETING'!$B$5:$B$804,$A8,'EMAIL MARKETING'!$X$5:$X$804,cpCrit),""))</f>
        <v/>
      </c>
      <c r="U8" s="72">
        <f>IF($A8="","",SUMIFS('PAID MEDIA ADS'!$G$5:$G$804,'PAID MEDIA ADS'!$B$5:$B$804,$A8,'PAID MEDIA ADS'!$U$5:$U$804,cpCrit))</f>
        <v>0</v>
      </c>
      <c r="V8" s="83">
        <f>IF($A8="","",SUMIFS('PAID MEDIA ADS'!$M$5:$M$804,'PAID MEDIA ADS'!$B$5:$B$804,$A8,'PAID MEDIA ADS'!$U$5:$U$804,cpCrit))</f>
        <v>0</v>
      </c>
      <c r="W8" s="72" t="str">
        <f>IF($A8="","",IF(AND(U8&gt;0,V8&gt;0),U8/V8,""))</f>
        <v/>
      </c>
      <c r="X8" s="83">
        <f>IF($A8="","",COUNTIFS('WEBSITE CONTENT SEO'!$B$5:$B$804,$A8,'WEBSITE CONTENT SEO'!$D$5:$D$804,"&lt;&gt;",'WEBSITE CONTENT SEO'!$V$5:$V$804,cpCrit))</f>
        <v>0</v>
      </c>
      <c r="Y8" s="83">
        <f>IF($A8="","",SUMIFS('CAMPAIGN MASTER'!$AS$5:$AS$704,'CAMPAIGN MASTER'!$A$5:$A$704,$A8))</f>
        <v>0</v>
      </c>
      <c r="Z8" s="83" t="str">
        <f>IF($A8="","",IF(AND(E8=0,COUNTIFS('CAMPAIGN MASTER'!$A$5:$A$704,$A8)=0),"No Activity",IF(OR(H8&gt;0,I8&gt;0,Y8&gt;0),"Needs Attention",IF(E8=0,"No Tasks Logged",IF(AND(ISNUMBER(J8),J8&gt;=0.7),"Performing","In Progress")))))</f>
        <v>In Progress</v>
      </c>
      <c r="AA8" s="82" t="str">
        <f>IF($A8="","",IFERROR(IF(INDEX('CLIENT MASTER'!$H$5:$H$64,MATCH($A8,'CLIENT MASTER'!$A$5:$A$64,0))="","",INDEX('CLIENT MASTER'!$H$5:$H$64,MATCH($A8,'CLIENT MASTER'!$A$5:$A$64,0))),""))</f>
        <v/>
      </c>
      <c r="AB8" s="82" t="str">
        <f>IF($A8="","",IFERROR(IF(INDEX('CLIENT MASTER'!$I$5:$I$64,MATCH($A8,'CLIENT MASTER'!$A$5:$A$64,0))="","",INDEX('CLIENT MASTER'!$I$5:$I$64,MATCH($A8,'CLIENT MASTER'!$A$5:$A$64,0))),""))</f>
        <v/>
      </c>
      <c r="AC8" s="82" t="str">
        <f>IF($A8="","",IFERROR(IF(INDEX('CLIENT MASTER'!$J$5:$J$64,MATCH($A8,'CLIENT MASTER'!$A$5:$A$64,0))="","",INDEX('CLIENT MASTER'!$J$5:$J$64,MATCH($A8,'CLIENT MASTER'!$A$5:$A$64,0))),""))</f>
        <v/>
      </c>
      <c r="AD8" s="92" t="str">
        <f>IF($Z8="Needs Attention",ROW(),"")</f>
        <v/>
      </c>
      <c r="AE8" s="92" t="str">
        <f>IF($Z8="Performing",ROW(),"")</f>
        <v/>
      </c>
    </row>
    <row r="9" ht="28" customHeight="1">
      <c r="A9" s="81" t="str">
        <f>IF('CLIENT MASTER'!A7="","",'CLIENT MASTER'!A7)</f>
        <v>Eternelle</v>
      </c>
      <c r="B9" s="83" t="str">
        <f>IF($A9="","",IFERROR(IF(INDEX('CLIENT MASTER'!$C$5:$C$64,MATCH($A9,'CLIENT MASTER'!$A$5:$A$64,0))="","",INDEX('CLIENT MASTER'!$C$5:$C$64,MATCH($A9,'CLIENT MASTER'!$A$5:$A$64,0))),""))</f>
        <v>External</v>
      </c>
      <c r="C9" s="83" t="str">
        <f>IF($A9="","",IFERROR(IF(INDEX('CLIENT MASTER'!$D$5:$D$64,MATCH($A9,'CLIENT MASTER'!$A$5:$A$64,0))="","",INDEX('CLIENT MASTER'!$D$5:$D$64,MATCH($A9,'CLIENT MASTER'!$A$5:$A$64,0))),""))</f>
        <v>Active</v>
      </c>
      <c r="D9" s="83">
        <f>IF($A9="","",COUNTIFS('CAMPAIGN MASTER'!$A$5:$A$704,$A9,'CAMPAIGN MASTER'!$AM$5:$AM$704,1))</f>
        <v>0</v>
      </c>
      <c r="E9" s="83">
        <f>IF($A9="","",COUNTIFS('DAILY TASK TRACKER'!$C$5:$C$1504,$A9,'DAILY TASK TRACKER'!$G$5:$G$1504,"&lt;&gt;",'DAILY TASK TRACKER'!$AH$5:$AH$1504,cpCrit))</f>
        <v>5</v>
      </c>
      <c r="F9" s="83">
        <f>IF($A9="","",COUNTIFS('DAILY TASK TRACKER'!$C$5:$C$1504,$A9,'DAILY TASK TRACKER'!$M$5:$M$1504,"Completed",'DAILY TASK TRACKER'!$AH$5:$AH$1504,cpCrit))</f>
        <v>0</v>
      </c>
      <c r="G9" s="83">
        <f>IF($A9="","",SUMIFS('DAILY TASK TRACKER'!$AK$5:$AK$1504,'DAILY TASK TRACKER'!$C$5:$C$1504,$A9,'DAILY TASK TRACKER'!$AH$5:$AH$1504,cpCrit))</f>
        <v>5</v>
      </c>
      <c r="H9" s="83">
        <f>IF($A9="","",SUMIFS('DAILY TASK TRACKER'!$AL$5:$AL$1504,'DAILY TASK TRACKER'!$C$5:$C$1504,$A9,'DAILY TASK TRACKER'!$AH$5:$AH$1504,cpCrit))</f>
        <v>0</v>
      </c>
      <c r="I9" s="83">
        <f>IF($A9="","",SUMIFS('DAILY TASK TRACKER'!$AM$5:$AM$1504,'DAILY TASK TRACKER'!$C$5:$C$1504,$A9,'DAILY TASK TRACKER'!$AH$5:$AH$1504,cpCrit))</f>
        <v>0</v>
      </c>
      <c r="J9" s="73">
        <f>IF($A9="","",IF(E9&gt;0,F9/E9,""))</f>
        <v>0</v>
      </c>
      <c r="K9" s="73">
        <f>IF($A9="","",IF($E$37&gt;0,E9/$E$37,""))</f>
        <v>0.0862068965517241</v>
      </c>
      <c r="L9" s="83">
        <f>IF($A9="","",COUNTIFS('LEAD MQL TRACKER'!$B$5:$B$1004,$A9,'LEAD MQL TRACKER'!$AB$5:$AB$1004,1,'LEAD MQL TRACKER'!$AA$5:$AA$1004,cpCrit)+SUMIFS('EMAIL MARKETING'!$Q$5:$Q$804,'EMAIL MARKETING'!$B$5:$B$804,$A9,'EMAIL MARKETING'!$X$5:$X$804,cpCrit)+SUMIFS('PAID MEDIA ADS'!$M$5:$M$804,'PAID MEDIA ADS'!$B$5:$B$804,$A9,'PAID MEDIA ADS'!$U$5:$U$804,cpCrit)+SUMIFS('LINKEDIN OUTREACH'!$N$5:$N$704,'LINKEDIN OUTREACH'!$B$5:$B$704,$A9,'LINKEDIN OUTREACH'!$S$5:$S$704,cpCrit)+SUMIFS('WEBSITE CONTENT SEO'!$L$5:$L$804,'WEBSITE CONTENT SEO'!$B$5:$B$804,$A9,'WEBSITE CONTENT SEO'!$V$5:$V$804,cpCrit))</f>
        <v>0</v>
      </c>
      <c r="M9" s="83">
        <f>IF($A9="","",COUNTIFS('LEAD MQL TRACKER'!$B$5:$B$1004,$A9,'LEAD MQL TRACKER'!$AD$5:$AD$1004,1,'LEAD MQL TRACKER'!$AA$5:$AA$1004,cpCrit)+SUMIFS('EMAIL MARKETING'!$R$5:$R$804,'EMAIL MARKETING'!$B$5:$B$804,$A9,'EMAIL MARKETING'!$X$5:$X$804,cpCrit)+SUMIFS('PAID MEDIA ADS'!$N$5:$N$804,'PAID MEDIA ADS'!$B$5:$B$804,$A9,'PAID MEDIA ADS'!$U$5:$U$804,cpCrit)+SUMIFS('LINKEDIN OUTREACH'!$O$5:$O$704,'LINKEDIN OUTREACH'!$B$5:$B$704,$A9,'LINKEDIN OUTREACH'!$S$5:$S$704,cpCrit))</f>
        <v>0</v>
      </c>
      <c r="N9" s="83">
        <f>IF($A9="","",COUNTIFS('LEAD MQL TRACKER'!$B$5:$B$1004,$A9,'LEAD MQL TRACKER'!$AE$5:$AE$1004,1,'LEAD MQL TRACKER'!$AA$5:$AA$1004,cpCrit))</f>
        <v>0</v>
      </c>
      <c r="O9" s="83">
        <f>IF($A9="","",COUNTIFS('LEAD MQL TRACKER'!$B$5:$B$1004,$A9,'LEAD MQL TRACKER'!$AC$5:$AC$1004,1,'LEAD MQL TRACKER'!$AA$5:$AA$1004,cpCrit)+SUMIFS('LINKEDIN OUTREACH'!$M$5:$M$704,'LINKEDIN OUTREACH'!$B$5:$B$704,$A9,'LINKEDIN OUTREACH'!$S$5:$S$704,cpCrit))</f>
        <v>0</v>
      </c>
      <c r="P9" s="73" t="str">
        <f>IF($A9="","",IF($L$37&gt;0,L9/$L$37,""))</f>
        <v/>
      </c>
      <c r="Q9" s="83">
        <f>IF($A9="","",SUMIFS('EMAIL MARKETING'!$F$5:$F$804,'EMAIL MARKETING'!$B$5:$B$804,$A9,'EMAIL MARKETING'!$X$5:$X$804,cpCrit))</f>
        <v>0</v>
      </c>
      <c r="R9" s="73" t="str">
        <f>IF($A9="","",IFERROR(SUMIFS('EMAIL MARKETING'!$I$5:$I$804,'EMAIL MARKETING'!$B$5:$B$804,$A9,'EMAIL MARKETING'!$X$5:$X$804,cpCrit)/SUMIFS('EMAIL MARKETING'!$W$5:$W$804,'EMAIL MARKETING'!$B$5:$B$804,$A9,'EMAIL MARKETING'!$X$5:$X$804,cpCrit),""))</f>
        <v/>
      </c>
      <c r="S9" s="73" t="str">
        <f>IF($A9="","",IFERROR(SUMIFS('EMAIL MARKETING'!$K$5:$K$804,'EMAIL MARKETING'!$B$5:$B$804,$A9,'EMAIL MARKETING'!$X$5:$X$804,cpCrit)/SUMIFS('EMAIL MARKETING'!$W$5:$W$804,'EMAIL MARKETING'!$B$5:$B$804,$A9,'EMAIL MARKETING'!$X$5:$X$804,cpCrit),""))</f>
        <v/>
      </c>
      <c r="T9" s="73" t="str">
        <f>IF($A9="","",IFERROR(SUMIFS('EMAIL MARKETING'!$O$5:$O$804,'EMAIL MARKETING'!$B$5:$B$804,$A9,'EMAIL MARKETING'!$X$5:$X$804,cpCrit)/SUMIFS('EMAIL MARKETING'!$W$5:$W$804,'EMAIL MARKETING'!$B$5:$B$804,$A9,'EMAIL MARKETING'!$X$5:$X$804,cpCrit),""))</f>
        <v/>
      </c>
      <c r="U9" s="72">
        <f>IF($A9="","",SUMIFS('PAID MEDIA ADS'!$G$5:$G$804,'PAID MEDIA ADS'!$B$5:$B$804,$A9,'PAID MEDIA ADS'!$U$5:$U$804,cpCrit))</f>
        <v>0</v>
      </c>
      <c r="V9" s="83">
        <f>IF($A9="","",SUMIFS('PAID MEDIA ADS'!$M$5:$M$804,'PAID MEDIA ADS'!$B$5:$B$804,$A9,'PAID MEDIA ADS'!$U$5:$U$804,cpCrit))</f>
        <v>0</v>
      </c>
      <c r="W9" s="72" t="str">
        <f>IF($A9="","",IF(AND(U9&gt;0,V9&gt;0),U9/V9,""))</f>
        <v/>
      </c>
      <c r="X9" s="83">
        <f>IF($A9="","",COUNTIFS('WEBSITE CONTENT SEO'!$B$5:$B$804,$A9,'WEBSITE CONTENT SEO'!$D$5:$D$804,"&lt;&gt;",'WEBSITE CONTENT SEO'!$V$5:$V$804,cpCrit))</f>
        <v>0</v>
      </c>
      <c r="Y9" s="83">
        <f>IF($A9="","",SUMIFS('CAMPAIGN MASTER'!$AS$5:$AS$704,'CAMPAIGN MASTER'!$A$5:$A$704,$A9))</f>
        <v>0</v>
      </c>
      <c r="Z9" s="83" t="str">
        <f>IF($A9="","",IF(AND(E9=0,COUNTIFS('CAMPAIGN MASTER'!$A$5:$A$704,$A9)=0),"No Activity",IF(OR(H9&gt;0,I9&gt;0,Y9&gt;0),"Needs Attention",IF(E9=0,"No Tasks Logged",IF(AND(ISNUMBER(J9),J9&gt;=0.7),"Performing","In Progress")))))</f>
        <v>In Progress</v>
      </c>
      <c r="AA9" s="82" t="str">
        <f>IF($A9="","",IFERROR(IF(INDEX('CLIENT MASTER'!$H$5:$H$64,MATCH($A9,'CLIENT MASTER'!$A$5:$A$64,0))="","",INDEX('CLIENT MASTER'!$H$5:$H$64,MATCH($A9,'CLIENT MASTER'!$A$5:$A$64,0))),""))</f>
        <v/>
      </c>
      <c r="AB9" s="82" t="str">
        <f>IF($A9="","",IFERROR(IF(INDEX('CLIENT MASTER'!$I$5:$I$64,MATCH($A9,'CLIENT MASTER'!$A$5:$A$64,0))="","",INDEX('CLIENT MASTER'!$I$5:$I$64,MATCH($A9,'CLIENT MASTER'!$A$5:$A$64,0))),""))</f>
        <v/>
      </c>
      <c r="AC9" s="82" t="str">
        <f>IF($A9="","",IFERROR(IF(INDEX('CLIENT MASTER'!$J$5:$J$64,MATCH($A9,'CLIENT MASTER'!$A$5:$A$64,0))="","",INDEX('CLIENT MASTER'!$J$5:$J$64,MATCH($A9,'CLIENT MASTER'!$A$5:$A$64,0))),""))</f>
        <v/>
      </c>
      <c r="AD9" s="92" t="str">
        <f>IF($Z9="Needs Attention",ROW(),"")</f>
        <v/>
      </c>
      <c r="AE9" s="92" t="str">
        <f>IF($Z9="Performing",ROW(),"")</f>
        <v/>
      </c>
    </row>
    <row r="10" ht="28" customHeight="1">
      <c r="A10" s="81" t="str">
        <f>IF('CLIENT MASTER'!A8="","",'CLIENT MASTER'!A8)</f>
        <v>Vestrics</v>
      </c>
      <c r="B10" s="83" t="str">
        <f>IF($A10="","",IFERROR(IF(INDEX('CLIENT MASTER'!$C$5:$C$64,MATCH($A10,'CLIENT MASTER'!$A$5:$A$64,0))="","",INDEX('CLIENT MASTER'!$C$5:$C$64,MATCH($A10,'CLIENT MASTER'!$A$5:$A$64,0))),""))</f>
        <v>External</v>
      </c>
      <c r="C10" s="83" t="str">
        <f>IF($A10="","",IFERROR(IF(INDEX('CLIENT MASTER'!$D$5:$D$64,MATCH($A10,'CLIENT MASTER'!$A$5:$A$64,0))="","",INDEX('CLIENT MASTER'!$D$5:$D$64,MATCH($A10,'CLIENT MASTER'!$A$5:$A$64,0))),""))</f>
        <v>Active</v>
      </c>
      <c r="D10" s="83">
        <f>IF($A10="","",COUNTIFS('CAMPAIGN MASTER'!$A$5:$A$704,$A10,'CAMPAIGN MASTER'!$AM$5:$AM$704,1))</f>
        <v>0</v>
      </c>
      <c r="E10" s="83">
        <f>IF($A10="","",COUNTIFS('DAILY TASK TRACKER'!$C$5:$C$1504,$A10,'DAILY TASK TRACKER'!$G$5:$G$1504,"&lt;&gt;",'DAILY TASK TRACKER'!$AH$5:$AH$1504,cpCrit))</f>
        <v>11</v>
      </c>
      <c r="F10" s="83">
        <f>IF($A10="","",COUNTIFS('DAILY TASK TRACKER'!$C$5:$C$1504,$A10,'DAILY TASK TRACKER'!$M$5:$M$1504,"Completed",'DAILY TASK TRACKER'!$AH$5:$AH$1504,cpCrit))</f>
        <v>0</v>
      </c>
      <c r="G10" s="83">
        <f>IF($A10="","",SUMIFS('DAILY TASK TRACKER'!$AK$5:$AK$1504,'DAILY TASK TRACKER'!$C$5:$C$1504,$A10,'DAILY TASK TRACKER'!$AH$5:$AH$1504,cpCrit))</f>
        <v>11</v>
      </c>
      <c r="H10" s="83">
        <f>IF($A10="","",SUMIFS('DAILY TASK TRACKER'!$AL$5:$AL$1504,'DAILY TASK TRACKER'!$C$5:$C$1504,$A10,'DAILY TASK TRACKER'!$AH$5:$AH$1504,cpCrit))</f>
        <v>0</v>
      </c>
      <c r="I10" s="83">
        <f>IF($A10="","",SUMIFS('DAILY TASK TRACKER'!$AM$5:$AM$1504,'DAILY TASK TRACKER'!$C$5:$C$1504,$A10,'DAILY TASK TRACKER'!$AH$5:$AH$1504,cpCrit))</f>
        <v>0</v>
      </c>
      <c r="J10" s="73">
        <f>IF($A10="","",IF(E10&gt;0,F10/E10,""))</f>
        <v>0</v>
      </c>
      <c r="K10" s="73">
        <f>IF($A10="","",IF($E$37&gt;0,E10/$E$37,""))</f>
        <v>0.189655172413793</v>
      </c>
      <c r="L10" s="83">
        <f>IF($A10="","",COUNTIFS('LEAD MQL TRACKER'!$B$5:$B$1004,$A10,'LEAD MQL TRACKER'!$AB$5:$AB$1004,1,'LEAD MQL TRACKER'!$AA$5:$AA$1004,cpCrit)+SUMIFS('EMAIL MARKETING'!$Q$5:$Q$804,'EMAIL MARKETING'!$B$5:$B$804,$A10,'EMAIL MARKETING'!$X$5:$X$804,cpCrit)+SUMIFS('PAID MEDIA ADS'!$M$5:$M$804,'PAID MEDIA ADS'!$B$5:$B$804,$A10,'PAID MEDIA ADS'!$U$5:$U$804,cpCrit)+SUMIFS('LINKEDIN OUTREACH'!$N$5:$N$704,'LINKEDIN OUTREACH'!$B$5:$B$704,$A10,'LINKEDIN OUTREACH'!$S$5:$S$704,cpCrit)+SUMIFS('WEBSITE CONTENT SEO'!$L$5:$L$804,'WEBSITE CONTENT SEO'!$B$5:$B$804,$A10,'WEBSITE CONTENT SEO'!$V$5:$V$804,cpCrit))</f>
        <v>0</v>
      </c>
      <c r="M10" s="83">
        <f>IF($A10="","",COUNTIFS('LEAD MQL TRACKER'!$B$5:$B$1004,$A10,'LEAD MQL TRACKER'!$AD$5:$AD$1004,1,'LEAD MQL TRACKER'!$AA$5:$AA$1004,cpCrit)+SUMIFS('EMAIL MARKETING'!$R$5:$R$804,'EMAIL MARKETING'!$B$5:$B$804,$A10,'EMAIL MARKETING'!$X$5:$X$804,cpCrit)+SUMIFS('PAID MEDIA ADS'!$N$5:$N$804,'PAID MEDIA ADS'!$B$5:$B$804,$A10,'PAID MEDIA ADS'!$U$5:$U$804,cpCrit)+SUMIFS('LINKEDIN OUTREACH'!$O$5:$O$704,'LINKEDIN OUTREACH'!$B$5:$B$704,$A10,'LINKEDIN OUTREACH'!$S$5:$S$704,cpCrit))</f>
        <v>0</v>
      </c>
      <c r="N10" s="83">
        <f>IF($A10="","",COUNTIFS('LEAD MQL TRACKER'!$B$5:$B$1004,$A10,'LEAD MQL TRACKER'!$AE$5:$AE$1004,1,'LEAD MQL TRACKER'!$AA$5:$AA$1004,cpCrit))</f>
        <v>0</v>
      </c>
      <c r="O10" s="83">
        <f>IF($A10="","",COUNTIFS('LEAD MQL TRACKER'!$B$5:$B$1004,$A10,'LEAD MQL TRACKER'!$AC$5:$AC$1004,1,'LEAD MQL TRACKER'!$AA$5:$AA$1004,cpCrit)+SUMIFS('LINKEDIN OUTREACH'!$M$5:$M$704,'LINKEDIN OUTREACH'!$B$5:$B$704,$A10,'LINKEDIN OUTREACH'!$S$5:$S$704,cpCrit))</f>
        <v>0</v>
      </c>
      <c r="P10" s="73" t="str">
        <f>IF($A10="","",IF($L$37&gt;0,L10/$L$37,""))</f>
        <v/>
      </c>
      <c r="Q10" s="83">
        <f>IF($A10="","",SUMIFS('EMAIL MARKETING'!$F$5:$F$804,'EMAIL MARKETING'!$B$5:$B$804,$A10,'EMAIL MARKETING'!$X$5:$X$804,cpCrit))</f>
        <v>0</v>
      </c>
      <c r="R10" s="73" t="str">
        <f>IF($A10="","",IFERROR(SUMIFS('EMAIL MARKETING'!$I$5:$I$804,'EMAIL MARKETING'!$B$5:$B$804,$A10,'EMAIL MARKETING'!$X$5:$X$804,cpCrit)/SUMIFS('EMAIL MARKETING'!$W$5:$W$804,'EMAIL MARKETING'!$B$5:$B$804,$A10,'EMAIL MARKETING'!$X$5:$X$804,cpCrit),""))</f>
        <v/>
      </c>
      <c r="S10" s="73" t="str">
        <f>IF($A10="","",IFERROR(SUMIFS('EMAIL MARKETING'!$K$5:$K$804,'EMAIL MARKETING'!$B$5:$B$804,$A10,'EMAIL MARKETING'!$X$5:$X$804,cpCrit)/SUMIFS('EMAIL MARKETING'!$W$5:$W$804,'EMAIL MARKETING'!$B$5:$B$804,$A10,'EMAIL MARKETING'!$X$5:$X$804,cpCrit),""))</f>
        <v/>
      </c>
      <c r="T10" s="73" t="str">
        <f>IF($A10="","",IFERROR(SUMIFS('EMAIL MARKETING'!$O$5:$O$804,'EMAIL MARKETING'!$B$5:$B$804,$A10,'EMAIL MARKETING'!$X$5:$X$804,cpCrit)/SUMIFS('EMAIL MARKETING'!$W$5:$W$804,'EMAIL MARKETING'!$B$5:$B$804,$A10,'EMAIL MARKETING'!$X$5:$X$804,cpCrit),""))</f>
        <v/>
      </c>
      <c r="U10" s="72">
        <f>IF($A10="","",SUMIFS('PAID MEDIA ADS'!$G$5:$G$804,'PAID MEDIA ADS'!$B$5:$B$804,$A10,'PAID MEDIA ADS'!$U$5:$U$804,cpCrit))</f>
        <v>0</v>
      </c>
      <c r="V10" s="83">
        <f>IF($A10="","",SUMIFS('PAID MEDIA ADS'!$M$5:$M$804,'PAID MEDIA ADS'!$B$5:$B$804,$A10,'PAID MEDIA ADS'!$U$5:$U$804,cpCrit))</f>
        <v>0</v>
      </c>
      <c r="W10" s="72" t="str">
        <f>IF($A10="","",IF(AND(U10&gt;0,V10&gt;0),U10/V10,""))</f>
        <v/>
      </c>
      <c r="X10" s="83">
        <f>IF($A10="","",COUNTIFS('WEBSITE CONTENT SEO'!$B$5:$B$804,$A10,'WEBSITE CONTENT SEO'!$D$5:$D$804,"&lt;&gt;",'WEBSITE CONTENT SEO'!$V$5:$V$804,cpCrit))</f>
        <v>0</v>
      </c>
      <c r="Y10" s="83">
        <f>IF($A10="","",SUMIFS('CAMPAIGN MASTER'!$AS$5:$AS$704,'CAMPAIGN MASTER'!$A$5:$A$704,$A10))</f>
        <v>0</v>
      </c>
      <c r="Z10" s="83" t="str">
        <f>IF($A10="","",IF(AND(E10=0,COUNTIFS('CAMPAIGN MASTER'!$A$5:$A$704,$A10)=0),"No Activity",IF(OR(H10&gt;0,I10&gt;0,Y10&gt;0),"Needs Attention",IF(E10=0,"No Tasks Logged",IF(AND(ISNUMBER(J10),J10&gt;=0.7),"Performing","In Progress")))))</f>
        <v>In Progress</v>
      </c>
      <c r="AA10" s="82" t="str">
        <f>IF($A10="","",IFERROR(IF(INDEX('CLIENT MASTER'!$H$5:$H$64,MATCH($A10,'CLIENT MASTER'!$A$5:$A$64,0))="","",INDEX('CLIENT MASTER'!$H$5:$H$64,MATCH($A10,'CLIENT MASTER'!$A$5:$A$64,0))),""))</f>
        <v/>
      </c>
      <c r="AB10" s="82" t="str">
        <f>IF($A10="","",IFERROR(IF(INDEX('CLIENT MASTER'!$I$5:$I$64,MATCH($A10,'CLIENT MASTER'!$A$5:$A$64,0))="","",INDEX('CLIENT MASTER'!$I$5:$I$64,MATCH($A10,'CLIENT MASTER'!$A$5:$A$64,0))),""))</f>
        <v/>
      </c>
      <c r="AC10" s="82" t="str">
        <f>IF($A10="","",IFERROR(IF(INDEX('CLIENT MASTER'!$J$5:$J$64,MATCH($A10,'CLIENT MASTER'!$A$5:$A$64,0))="","",INDEX('CLIENT MASTER'!$J$5:$J$64,MATCH($A10,'CLIENT MASTER'!$A$5:$A$64,0))),""))</f>
        <v/>
      </c>
      <c r="AD10" s="92" t="str">
        <f>IF($Z10="Needs Attention",ROW(),"")</f>
        <v/>
      </c>
      <c r="AE10" s="92" t="str">
        <f>IF($Z10="Performing",ROW(),"")</f>
        <v/>
      </c>
    </row>
    <row r="11" ht="28" customHeight="1">
      <c r="A11" s="81" t="str">
        <f>IF('CLIENT MASTER'!A9="","",'CLIENT MASTER'!A9)</f>
        <v>Lenovo</v>
      </c>
      <c r="B11" s="83" t="str">
        <f>IF($A11="","",IFERROR(IF(INDEX('CLIENT MASTER'!$C$5:$C$64,MATCH($A11,'CLIENT MASTER'!$A$5:$A$64,0))="","",INDEX('CLIENT MASTER'!$C$5:$C$64,MATCH($A11,'CLIENT MASTER'!$A$5:$A$64,0))),""))</f>
        <v>External</v>
      </c>
      <c r="C11" s="83" t="str">
        <f>IF($A11="","",IFERROR(IF(INDEX('CLIENT MASTER'!$D$5:$D$64,MATCH($A11,'CLIENT MASTER'!$A$5:$A$64,0))="","",INDEX('CLIENT MASTER'!$D$5:$D$64,MATCH($A11,'CLIENT MASTER'!$A$5:$A$64,0))),""))</f>
        <v>Active</v>
      </c>
      <c r="D11" s="83">
        <f>IF($A11="","",COUNTIFS('CAMPAIGN MASTER'!$A$5:$A$704,$A11,'CAMPAIGN MASTER'!$AM$5:$AM$704,1))</f>
        <v>0</v>
      </c>
      <c r="E11" s="83">
        <f>IF($A11="","",COUNTIFS('DAILY TASK TRACKER'!$C$5:$C$1504,$A11,'DAILY TASK TRACKER'!$G$5:$G$1504,"&lt;&gt;",'DAILY TASK TRACKER'!$AH$5:$AH$1504,cpCrit))</f>
        <v>0</v>
      </c>
      <c r="F11" s="83">
        <f>IF($A11="","",COUNTIFS('DAILY TASK TRACKER'!$C$5:$C$1504,$A11,'DAILY TASK TRACKER'!$M$5:$M$1504,"Completed",'DAILY TASK TRACKER'!$AH$5:$AH$1504,cpCrit))</f>
        <v>0</v>
      </c>
      <c r="G11" s="83">
        <f>IF($A11="","",SUMIFS('DAILY TASK TRACKER'!$AK$5:$AK$1504,'DAILY TASK TRACKER'!$C$5:$C$1504,$A11,'DAILY TASK TRACKER'!$AH$5:$AH$1504,cpCrit))</f>
        <v>0</v>
      </c>
      <c r="H11" s="83">
        <f>IF($A11="","",SUMIFS('DAILY TASK TRACKER'!$AL$5:$AL$1504,'DAILY TASK TRACKER'!$C$5:$C$1504,$A11,'DAILY TASK TRACKER'!$AH$5:$AH$1504,cpCrit))</f>
        <v>0</v>
      </c>
      <c r="I11" s="83">
        <f>IF($A11="","",SUMIFS('DAILY TASK TRACKER'!$AM$5:$AM$1504,'DAILY TASK TRACKER'!$C$5:$C$1504,$A11,'DAILY TASK TRACKER'!$AH$5:$AH$1504,cpCrit))</f>
        <v>0</v>
      </c>
      <c r="J11" s="73" t="str">
        <f>IF($A11="","",IF(E11&gt;0,F11/E11,""))</f>
        <v/>
      </c>
      <c r="K11" s="73">
        <f>IF($A11="","",IF($E$37&gt;0,E11/$E$37,""))</f>
        <v>0</v>
      </c>
      <c r="L11" s="83">
        <f>IF($A11="","",COUNTIFS('LEAD MQL TRACKER'!$B$5:$B$1004,$A11,'LEAD MQL TRACKER'!$AB$5:$AB$1004,1,'LEAD MQL TRACKER'!$AA$5:$AA$1004,cpCrit)+SUMIFS('EMAIL MARKETING'!$Q$5:$Q$804,'EMAIL MARKETING'!$B$5:$B$804,$A11,'EMAIL MARKETING'!$X$5:$X$804,cpCrit)+SUMIFS('PAID MEDIA ADS'!$M$5:$M$804,'PAID MEDIA ADS'!$B$5:$B$804,$A11,'PAID MEDIA ADS'!$U$5:$U$804,cpCrit)+SUMIFS('LINKEDIN OUTREACH'!$N$5:$N$704,'LINKEDIN OUTREACH'!$B$5:$B$704,$A11,'LINKEDIN OUTREACH'!$S$5:$S$704,cpCrit)+SUMIFS('WEBSITE CONTENT SEO'!$L$5:$L$804,'WEBSITE CONTENT SEO'!$B$5:$B$804,$A11,'WEBSITE CONTENT SEO'!$V$5:$V$804,cpCrit))</f>
        <v>0</v>
      </c>
      <c r="M11" s="83">
        <f>IF($A11="","",COUNTIFS('LEAD MQL TRACKER'!$B$5:$B$1004,$A11,'LEAD MQL TRACKER'!$AD$5:$AD$1004,1,'LEAD MQL TRACKER'!$AA$5:$AA$1004,cpCrit)+SUMIFS('EMAIL MARKETING'!$R$5:$R$804,'EMAIL MARKETING'!$B$5:$B$804,$A11,'EMAIL MARKETING'!$X$5:$X$804,cpCrit)+SUMIFS('PAID MEDIA ADS'!$N$5:$N$804,'PAID MEDIA ADS'!$B$5:$B$804,$A11,'PAID MEDIA ADS'!$U$5:$U$804,cpCrit)+SUMIFS('LINKEDIN OUTREACH'!$O$5:$O$704,'LINKEDIN OUTREACH'!$B$5:$B$704,$A11,'LINKEDIN OUTREACH'!$S$5:$S$704,cpCrit))</f>
        <v>0</v>
      </c>
      <c r="N11" s="83">
        <f>IF($A11="","",COUNTIFS('LEAD MQL TRACKER'!$B$5:$B$1004,$A11,'LEAD MQL TRACKER'!$AE$5:$AE$1004,1,'LEAD MQL TRACKER'!$AA$5:$AA$1004,cpCrit))</f>
        <v>0</v>
      </c>
      <c r="O11" s="83">
        <f>IF($A11="","",COUNTIFS('LEAD MQL TRACKER'!$B$5:$B$1004,$A11,'LEAD MQL TRACKER'!$AC$5:$AC$1004,1,'LEAD MQL TRACKER'!$AA$5:$AA$1004,cpCrit)+SUMIFS('LINKEDIN OUTREACH'!$M$5:$M$704,'LINKEDIN OUTREACH'!$B$5:$B$704,$A11,'LINKEDIN OUTREACH'!$S$5:$S$704,cpCrit))</f>
        <v>0</v>
      </c>
      <c r="P11" s="73" t="str">
        <f>IF($A11="","",IF($L$37&gt;0,L11/$L$37,""))</f>
        <v/>
      </c>
      <c r="Q11" s="83">
        <f>IF($A11="","",SUMIFS('EMAIL MARKETING'!$F$5:$F$804,'EMAIL MARKETING'!$B$5:$B$804,$A11,'EMAIL MARKETING'!$X$5:$X$804,cpCrit))</f>
        <v>0</v>
      </c>
      <c r="R11" s="73" t="str">
        <f>IF($A11="","",IFERROR(SUMIFS('EMAIL MARKETING'!$I$5:$I$804,'EMAIL MARKETING'!$B$5:$B$804,$A11,'EMAIL MARKETING'!$X$5:$X$804,cpCrit)/SUMIFS('EMAIL MARKETING'!$W$5:$W$804,'EMAIL MARKETING'!$B$5:$B$804,$A11,'EMAIL MARKETING'!$X$5:$X$804,cpCrit),""))</f>
        <v/>
      </c>
      <c r="S11" s="73" t="str">
        <f>IF($A11="","",IFERROR(SUMIFS('EMAIL MARKETING'!$K$5:$K$804,'EMAIL MARKETING'!$B$5:$B$804,$A11,'EMAIL MARKETING'!$X$5:$X$804,cpCrit)/SUMIFS('EMAIL MARKETING'!$W$5:$W$804,'EMAIL MARKETING'!$B$5:$B$804,$A11,'EMAIL MARKETING'!$X$5:$X$804,cpCrit),""))</f>
        <v/>
      </c>
      <c r="T11" s="73" t="str">
        <f>IF($A11="","",IFERROR(SUMIFS('EMAIL MARKETING'!$O$5:$O$804,'EMAIL MARKETING'!$B$5:$B$804,$A11,'EMAIL MARKETING'!$X$5:$X$804,cpCrit)/SUMIFS('EMAIL MARKETING'!$W$5:$W$804,'EMAIL MARKETING'!$B$5:$B$804,$A11,'EMAIL MARKETING'!$X$5:$X$804,cpCrit),""))</f>
        <v/>
      </c>
      <c r="U11" s="72">
        <f>IF($A11="","",SUMIFS('PAID MEDIA ADS'!$G$5:$G$804,'PAID MEDIA ADS'!$B$5:$B$804,$A11,'PAID MEDIA ADS'!$U$5:$U$804,cpCrit))</f>
        <v>0</v>
      </c>
      <c r="V11" s="83">
        <f>IF($A11="","",SUMIFS('PAID MEDIA ADS'!$M$5:$M$804,'PAID MEDIA ADS'!$B$5:$B$804,$A11,'PAID MEDIA ADS'!$U$5:$U$804,cpCrit))</f>
        <v>0</v>
      </c>
      <c r="W11" s="72" t="str">
        <f>IF($A11="","",IF(AND(U11&gt;0,V11&gt;0),U11/V11,""))</f>
        <v/>
      </c>
      <c r="X11" s="83">
        <f>IF($A11="","",COUNTIFS('WEBSITE CONTENT SEO'!$B$5:$B$804,$A11,'WEBSITE CONTENT SEO'!$D$5:$D$804,"&lt;&gt;",'WEBSITE CONTENT SEO'!$V$5:$V$804,cpCrit))</f>
        <v>0</v>
      </c>
      <c r="Y11" s="83">
        <f>IF($A11="","",SUMIFS('CAMPAIGN MASTER'!$AS$5:$AS$704,'CAMPAIGN MASTER'!$A$5:$A$704,$A11))</f>
        <v>0</v>
      </c>
      <c r="Z11" s="83" t="str">
        <f>IF($A11="","",IF(AND(E11=0,COUNTIFS('CAMPAIGN MASTER'!$A$5:$A$704,$A11)=0),"No Activity",IF(OR(H11&gt;0,I11&gt;0,Y11&gt;0),"Needs Attention",IF(E11=0,"No Tasks Logged",IF(AND(ISNUMBER(J11),J11&gt;=0.7),"Performing","In Progress")))))</f>
        <v>No Tasks Logged</v>
      </c>
      <c r="AA11" s="82" t="str">
        <f>IF($A11="","",IFERROR(IF(INDEX('CLIENT MASTER'!$H$5:$H$64,MATCH($A11,'CLIENT MASTER'!$A$5:$A$64,0))="","",INDEX('CLIENT MASTER'!$H$5:$H$64,MATCH($A11,'CLIENT MASTER'!$A$5:$A$64,0))),""))</f>
        <v/>
      </c>
      <c r="AB11" s="82" t="str">
        <f>IF($A11="","",IFERROR(IF(INDEX('CLIENT MASTER'!$I$5:$I$64,MATCH($A11,'CLIENT MASTER'!$A$5:$A$64,0))="","",INDEX('CLIENT MASTER'!$I$5:$I$64,MATCH($A11,'CLIENT MASTER'!$A$5:$A$64,0))),""))</f>
        <v/>
      </c>
      <c r="AC11" s="82" t="str">
        <f>IF($A11="","",IFERROR(IF(INDEX('CLIENT MASTER'!$J$5:$J$64,MATCH($A11,'CLIENT MASTER'!$A$5:$A$64,0))="","",INDEX('CLIENT MASTER'!$J$5:$J$64,MATCH($A11,'CLIENT MASTER'!$A$5:$A$64,0))),""))</f>
        <v/>
      </c>
      <c r="AD11" s="92" t="str">
        <f>IF($Z11="Needs Attention",ROW(),"")</f>
        <v/>
      </c>
      <c r="AE11" s="92" t="str">
        <f>IF($Z11="Performing",ROW(),"")</f>
        <v/>
      </c>
    </row>
    <row r="12" ht="28" customHeight="1">
      <c r="A12" s="81" t="str">
        <f>IF('CLIENT MASTER'!A10="","",'CLIENT MASTER'!A10)</f>
        <v>SAP</v>
      </c>
      <c r="B12" s="83" t="str">
        <f>IF($A12="","",IFERROR(IF(INDEX('CLIENT MASTER'!$C$5:$C$64,MATCH($A12,'CLIENT MASTER'!$A$5:$A$64,0))="","",INDEX('CLIENT MASTER'!$C$5:$C$64,MATCH($A12,'CLIENT MASTER'!$A$5:$A$64,0))),""))</f>
        <v>Internal</v>
      </c>
      <c r="C12" s="83" t="str">
        <f>IF($A12="","",IFERROR(IF(INDEX('CLIENT MASTER'!$D$5:$D$64,MATCH($A12,'CLIENT MASTER'!$A$5:$A$64,0))="","",INDEX('CLIENT MASTER'!$D$5:$D$64,MATCH($A12,'CLIENT MASTER'!$A$5:$A$64,0))),""))</f>
        <v>Active</v>
      </c>
      <c r="D12" s="83">
        <f>IF($A12="","",COUNTIFS('CAMPAIGN MASTER'!$A$5:$A$704,$A12,'CAMPAIGN MASTER'!$AM$5:$AM$704,1))</f>
        <v>0</v>
      </c>
      <c r="E12" s="83">
        <f>IF($A12="","",COUNTIFS('DAILY TASK TRACKER'!$C$5:$C$1504,$A12,'DAILY TASK TRACKER'!$G$5:$G$1504,"&lt;&gt;",'DAILY TASK TRACKER'!$AH$5:$AH$1504,cpCrit))</f>
        <v>20</v>
      </c>
      <c r="F12" s="83">
        <f>IF($A12="","",COUNTIFS('DAILY TASK TRACKER'!$C$5:$C$1504,$A12,'DAILY TASK TRACKER'!$M$5:$M$1504,"Completed",'DAILY TASK TRACKER'!$AH$5:$AH$1504,cpCrit))</f>
        <v>0</v>
      </c>
      <c r="G12" s="83">
        <f>IF($A12="","",SUMIFS('DAILY TASK TRACKER'!$AK$5:$AK$1504,'DAILY TASK TRACKER'!$C$5:$C$1504,$A12,'DAILY TASK TRACKER'!$AH$5:$AH$1504,cpCrit))</f>
        <v>20</v>
      </c>
      <c r="H12" s="83">
        <f>IF($A12="","",SUMIFS('DAILY TASK TRACKER'!$AL$5:$AL$1504,'DAILY TASK TRACKER'!$C$5:$C$1504,$A12,'DAILY TASK TRACKER'!$AH$5:$AH$1504,cpCrit))</f>
        <v>3</v>
      </c>
      <c r="I12" s="83">
        <f>IF($A12="","",SUMIFS('DAILY TASK TRACKER'!$AM$5:$AM$1504,'DAILY TASK TRACKER'!$C$5:$C$1504,$A12,'DAILY TASK TRACKER'!$AH$5:$AH$1504,cpCrit))</f>
        <v>0</v>
      </c>
      <c r="J12" s="73">
        <f>IF($A12="","",IF(E12&gt;0,F12/E12,""))</f>
        <v>0</v>
      </c>
      <c r="K12" s="73">
        <f>IF($A12="","",IF($E$37&gt;0,E12/$E$37,""))</f>
        <v>0.344827586206897</v>
      </c>
      <c r="L12" s="83">
        <f>IF($A12="","",COUNTIFS('LEAD MQL TRACKER'!$B$5:$B$1004,$A12,'LEAD MQL TRACKER'!$AB$5:$AB$1004,1,'LEAD MQL TRACKER'!$AA$5:$AA$1004,cpCrit)+SUMIFS('EMAIL MARKETING'!$Q$5:$Q$804,'EMAIL MARKETING'!$B$5:$B$804,$A12,'EMAIL MARKETING'!$X$5:$X$804,cpCrit)+SUMIFS('PAID MEDIA ADS'!$M$5:$M$804,'PAID MEDIA ADS'!$B$5:$B$804,$A12,'PAID MEDIA ADS'!$U$5:$U$804,cpCrit)+SUMIFS('LINKEDIN OUTREACH'!$N$5:$N$704,'LINKEDIN OUTREACH'!$B$5:$B$704,$A12,'LINKEDIN OUTREACH'!$S$5:$S$704,cpCrit)+SUMIFS('WEBSITE CONTENT SEO'!$L$5:$L$804,'WEBSITE CONTENT SEO'!$B$5:$B$804,$A12,'WEBSITE CONTENT SEO'!$V$5:$V$804,cpCrit))</f>
        <v>0</v>
      </c>
      <c r="M12" s="83">
        <f>IF($A12="","",COUNTIFS('LEAD MQL TRACKER'!$B$5:$B$1004,$A12,'LEAD MQL TRACKER'!$AD$5:$AD$1004,1,'LEAD MQL TRACKER'!$AA$5:$AA$1004,cpCrit)+SUMIFS('EMAIL MARKETING'!$R$5:$R$804,'EMAIL MARKETING'!$B$5:$B$804,$A12,'EMAIL MARKETING'!$X$5:$X$804,cpCrit)+SUMIFS('PAID MEDIA ADS'!$N$5:$N$804,'PAID MEDIA ADS'!$B$5:$B$804,$A12,'PAID MEDIA ADS'!$U$5:$U$804,cpCrit)+SUMIFS('LINKEDIN OUTREACH'!$O$5:$O$704,'LINKEDIN OUTREACH'!$B$5:$B$704,$A12,'LINKEDIN OUTREACH'!$S$5:$S$704,cpCrit))</f>
        <v>0</v>
      </c>
      <c r="N12" s="83">
        <f>IF($A12="","",COUNTIFS('LEAD MQL TRACKER'!$B$5:$B$1004,$A12,'LEAD MQL TRACKER'!$AE$5:$AE$1004,1,'LEAD MQL TRACKER'!$AA$5:$AA$1004,cpCrit))</f>
        <v>0</v>
      </c>
      <c r="O12" s="83">
        <f>IF($A12="","",COUNTIFS('LEAD MQL TRACKER'!$B$5:$B$1004,$A12,'LEAD MQL TRACKER'!$AC$5:$AC$1004,1,'LEAD MQL TRACKER'!$AA$5:$AA$1004,cpCrit)+SUMIFS('LINKEDIN OUTREACH'!$M$5:$M$704,'LINKEDIN OUTREACH'!$B$5:$B$704,$A12,'LINKEDIN OUTREACH'!$S$5:$S$704,cpCrit))</f>
        <v>0</v>
      </c>
      <c r="P12" s="73" t="str">
        <f>IF($A12="","",IF($L$37&gt;0,L12/$L$37,""))</f>
        <v/>
      </c>
      <c r="Q12" s="83">
        <f>IF($A12="","",SUMIFS('EMAIL MARKETING'!$F$5:$F$804,'EMAIL MARKETING'!$B$5:$B$804,$A12,'EMAIL MARKETING'!$X$5:$X$804,cpCrit))</f>
        <v>0</v>
      </c>
      <c r="R12" s="73" t="str">
        <f>IF($A12="","",IFERROR(SUMIFS('EMAIL MARKETING'!$I$5:$I$804,'EMAIL MARKETING'!$B$5:$B$804,$A12,'EMAIL MARKETING'!$X$5:$X$804,cpCrit)/SUMIFS('EMAIL MARKETING'!$W$5:$W$804,'EMAIL MARKETING'!$B$5:$B$804,$A12,'EMAIL MARKETING'!$X$5:$X$804,cpCrit),""))</f>
        <v/>
      </c>
      <c r="S12" s="73" t="str">
        <f>IF($A12="","",IFERROR(SUMIFS('EMAIL MARKETING'!$K$5:$K$804,'EMAIL MARKETING'!$B$5:$B$804,$A12,'EMAIL MARKETING'!$X$5:$X$804,cpCrit)/SUMIFS('EMAIL MARKETING'!$W$5:$W$804,'EMAIL MARKETING'!$B$5:$B$804,$A12,'EMAIL MARKETING'!$X$5:$X$804,cpCrit),""))</f>
        <v/>
      </c>
      <c r="T12" s="73" t="str">
        <f>IF($A12="","",IFERROR(SUMIFS('EMAIL MARKETING'!$O$5:$O$804,'EMAIL MARKETING'!$B$5:$B$804,$A12,'EMAIL MARKETING'!$X$5:$X$804,cpCrit)/SUMIFS('EMAIL MARKETING'!$W$5:$W$804,'EMAIL MARKETING'!$B$5:$B$804,$A12,'EMAIL MARKETING'!$X$5:$X$804,cpCrit),""))</f>
        <v/>
      </c>
      <c r="U12" s="72">
        <f>IF($A12="","",SUMIFS('PAID MEDIA ADS'!$G$5:$G$804,'PAID MEDIA ADS'!$B$5:$B$804,$A12,'PAID MEDIA ADS'!$U$5:$U$804,cpCrit))</f>
        <v>0</v>
      </c>
      <c r="V12" s="83">
        <f>IF($A12="","",SUMIFS('PAID MEDIA ADS'!$M$5:$M$804,'PAID MEDIA ADS'!$B$5:$B$804,$A12,'PAID MEDIA ADS'!$U$5:$U$804,cpCrit))</f>
        <v>0</v>
      </c>
      <c r="W12" s="72" t="str">
        <f>IF($A12="","",IF(AND(U12&gt;0,V12&gt;0),U12/V12,""))</f>
        <v/>
      </c>
      <c r="X12" s="83">
        <f>IF($A12="","",COUNTIFS('WEBSITE CONTENT SEO'!$B$5:$B$804,$A12,'WEBSITE CONTENT SEO'!$D$5:$D$804,"&lt;&gt;",'WEBSITE CONTENT SEO'!$V$5:$V$804,cpCrit))</f>
        <v>0</v>
      </c>
      <c r="Y12" s="83">
        <f>IF($A12="","",SUMIFS('CAMPAIGN MASTER'!$AS$5:$AS$704,'CAMPAIGN MASTER'!$A$5:$A$704,$A12))</f>
        <v>0</v>
      </c>
      <c r="Z12" s="83" t="str">
        <f>IF($A12="","",IF(AND(E12=0,COUNTIFS('CAMPAIGN MASTER'!$A$5:$A$704,$A12)=0),"No Activity",IF(OR(H12&gt;0,I12&gt;0,Y12&gt;0),"Needs Attention",IF(E12=0,"No Tasks Logged",IF(AND(ISNUMBER(J12),J12&gt;=0.7),"Performing","In Progress")))))</f>
        <v>Needs Attention</v>
      </c>
      <c r="AA12" s="82" t="str">
        <f>IF($A12="","",IFERROR(IF(INDEX('CLIENT MASTER'!$H$5:$H$64,MATCH($A12,'CLIENT MASTER'!$A$5:$A$64,0))="","",INDEX('CLIENT MASTER'!$H$5:$H$64,MATCH($A12,'CLIENT MASTER'!$A$5:$A$64,0))),""))</f>
        <v/>
      </c>
      <c r="AB12" s="82" t="str">
        <f>IF($A12="","",IFERROR(IF(INDEX('CLIENT MASTER'!$I$5:$I$64,MATCH($A12,'CLIENT MASTER'!$A$5:$A$64,0))="","",INDEX('CLIENT MASTER'!$I$5:$I$64,MATCH($A12,'CLIENT MASTER'!$A$5:$A$64,0))),""))</f>
        <v/>
      </c>
      <c r="AC12" s="82" t="str">
        <f>IF($A12="","",IFERROR(IF(INDEX('CLIENT MASTER'!$J$5:$J$64,MATCH($A12,'CLIENT MASTER'!$A$5:$A$64,0))="","",INDEX('CLIENT MASTER'!$J$5:$J$64,MATCH($A12,'CLIENT MASTER'!$A$5:$A$64,0))),""))</f>
        <v/>
      </c>
      <c r="AD12" s="92">
        <f>IF($Z12="Needs Attention",ROW(),"")</f>
        <v>12</v>
      </c>
      <c r="AE12" s="92" t="str">
        <f>IF($Z12="Performing",ROW(),"")</f>
        <v/>
      </c>
    </row>
    <row r="13" ht="28" customHeight="1">
      <c r="A13" s="81" t="str">
        <f>IF('CLIENT MASTER'!A11="","",'CLIENT MASTER'!A11)</f>
        <v>Tata Communications</v>
      </c>
      <c r="B13" s="83" t="str">
        <f>IF($A13="","",IFERROR(IF(INDEX('CLIENT MASTER'!$C$5:$C$64,MATCH($A13,'CLIENT MASTER'!$A$5:$A$64,0))="","",INDEX('CLIENT MASTER'!$C$5:$C$64,MATCH($A13,'CLIENT MASTER'!$A$5:$A$64,0))),""))</f>
        <v>Internal</v>
      </c>
      <c r="C13" s="83" t="str">
        <f>IF($A13="","",IFERROR(IF(INDEX('CLIENT MASTER'!$D$5:$D$64,MATCH($A13,'CLIENT MASTER'!$A$5:$A$64,0))="","",INDEX('CLIENT MASTER'!$D$5:$D$64,MATCH($A13,'CLIENT MASTER'!$A$5:$A$64,0))),""))</f>
        <v>Active</v>
      </c>
      <c r="D13" s="83">
        <f>IF($A13="","",COUNTIFS('CAMPAIGN MASTER'!$A$5:$A$704,$A13,'CAMPAIGN MASTER'!$AM$5:$AM$704,1))</f>
        <v>0</v>
      </c>
      <c r="E13" s="83">
        <f>IF($A13="","",COUNTIFS('DAILY TASK TRACKER'!$C$5:$C$1504,$A13,'DAILY TASK TRACKER'!$G$5:$G$1504,"&lt;&gt;",'DAILY TASK TRACKER'!$AH$5:$AH$1504,cpCrit))</f>
        <v>0</v>
      </c>
      <c r="F13" s="83">
        <f>IF($A13="","",COUNTIFS('DAILY TASK TRACKER'!$C$5:$C$1504,$A13,'DAILY TASK TRACKER'!$M$5:$M$1504,"Completed",'DAILY TASK TRACKER'!$AH$5:$AH$1504,cpCrit))</f>
        <v>0</v>
      </c>
      <c r="G13" s="83">
        <f>IF($A13="","",SUMIFS('DAILY TASK TRACKER'!$AK$5:$AK$1504,'DAILY TASK TRACKER'!$C$5:$C$1504,$A13,'DAILY TASK TRACKER'!$AH$5:$AH$1504,cpCrit))</f>
        <v>0</v>
      </c>
      <c r="H13" s="83">
        <f>IF($A13="","",SUMIFS('DAILY TASK TRACKER'!$AL$5:$AL$1504,'DAILY TASK TRACKER'!$C$5:$C$1504,$A13,'DAILY TASK TRACKER'!$AH$5:$AH$1504,cpCrit))</f>
        <v>0</v>
      </c>
      <c r="I13" s="83">
        <f>IF($A13="","",SUMIFS('DAILY TASK TRACKER'!$AM$5:$AM$1504,'DAILY TASK TRACKER'!$C$5:$C$1504,$A13,'DAILY TASK TRACKER'!$AH$5:$AH$1504,cpCrit))</f>
        <v>0</v>
      </c>
      <c r="J13" s="73" t="str">
        <f>IF($A13="","",IF(E13&gt;0,F13/E13,""))</f>
        <v/>
      </c>
      <c r="K13" s="73">
        <f>IF($A13="","",IF($E$37&gt;0,E13/$E$37,""))</f>
        <v>0</v>
      </c>
      <c r="L13" s="83">
        <f>IF($A13="","",COUNTIFS('LEAD MQL TRACKER'!$B$5:$B$1004,$A13,'LEAD MQL TRACKER'!$AB$5:$AB$1004,1,'LEAD MQL TRACKER'!$AA$5:$AA$1004,cpCrit)+SUMIFS('EMAIL MARKETING'!$Q$5:$Q$804,'EMAIL MARKETING'!$B$5:$B$804,$A13,'EMAIL MARKETING'!$X$5:$X$804,cpCrit)+SUMIFS('PAID MEDIA ADS'!$M$5:$M$804,'PAID MEDIA ADS'!$B$5:$B$804,$A13,'PAID MEDIA ADS'!$U$5:$U$804,cpCrit)+SUMIFS('LINKEDIN OUTREACH'!$N$5:$N$704,'LINKEDIN OUTREACH'!$B$5:$B$704,$A13,'LINKEDIN OUTREACH'!$S$5:$S$704,cpCrit)+SUMIFS('WEBSITE CONTENT SEO'!$L$5:$L$804,'WEBSITE CONTENT SEO'!$B$5:$B$804,$A13,'WEBSITE CONTENT SEO'!$V$5:$V$804,cpCrit))</f>
        <v>0</v>
      </c>
      <c r="M13" s="83">
        <f>IF($A13="","",COUNTIFS('LEAD MQL TRACKER'!$B$5:$B$1004,$A13,'LEAD MQL TRACKER'!$AD$5:$AD$1004,1,'LEAD MQL TRACKER'!$AA$5:$AA$1004,cpCrit)+SUMIFS('EMAIL MARKETING'!$R$5:$R$804,'EMAIL MARKETING'!$B$5:$B$804,$A13,'EMAIL MARKETING'!$X$5:$X$804,cpCrit)+SUMIFS('PAID MEDIA ADS'!$N$5:$N$804,'PAID MEDIA ADS'!$B$5:$B$804,$A13,'PAID MEDIA ADS'!$U$5:$U$804,cpCrit)+SUMIFS('LINKEDIN OUTREACH'!$O$5:$O$704,'LINKEDIN OUTREACH'!$B$5:$B$704,$A13,'LINKEDIN OUTREACH'!$S$5:$S$704,cpCrit))</f>
        <v>0</v>
      </c>
      <c r="N13" s="83">
        <f>IF($A13="","",COUNTIFS('LEAD MQL TRACKER'!$B$5:$B$1004,$A13,'LEAD MQL TRACKER'!$AE$5:$AE$1004,1,'LEAD MQL TRACKER'!$AA$5:$AA$1004,cpCrit))</f>
        <v>0</v>
      </c>
      <c r="O13" s="83">
        <f>IF($A13="","",COUNTIFS('LEAD MQL TRACKER'!$B$5:$B$1004,$A13,'LEAD MQL TRACKER'!$AC$5:$AC$1004,1,'LEAD MQL TRACKER'!$AA$5:$AA$1004,cpCrit)+SUMIFS('LINKEDIN OUTREACH'!$M$5:$M$704,'LINKEDIN OUTREACH'!$B$5:$B$704,$A13,'LINKEDIN OUTREACH'!$S$5:$S$704,cpCrit))</f>
        <v>0</v>
      </c>
      <c r="P13" s="73" t="str">
        <f>IF($A13="","",IF($L$37&gt;0,L13/$L$37,""))</f>
        <v/>
      </c>
      <c r="Q13" s="83">
        <f>IF($A13="","",SUMIFS('EMAIL MARKETING'!$F$5:$F$804,'EMAIL MARKETING'!$B$5:$B$804,$A13,'EMAIL MARKETING'!$X$5:$X$804,cpCrit))</f>
        <v>0</v>
      </c>
      <c r="R13" s="73" t="str">
        <f>IF($A13="","",IFERROR(SUMIFS('EMAIL MARKETING'!$I$5:$I$804,'EMAIL MARKETING'!$B$5:$B$804,$A13,'EMAIL MARKETING'!$X$5:$X$804,cpCrit)/SUMIFS('EMAIL MARKETING'!$W$5:$W$804,'EMAIL MARKETING'!$B$5:$B$804,$A13,'EMAIL MARKETING'!$X$5:$X$804,cpCrit),""))</f>
        <v/>
      </c>
      <c r="S13" s="73" t="str">
        <f>IF($A13="","",IFERROR(SUMIFS('EMAIL MARKETING'!$K$5:$K$804,'EMAIL MARKETING'!$B$5:$B$804,$A13,'EMAIL MARKETING'!$X$5:$X$804,cpCrit)/SUMIFS('EMAIL MARKETING'!$W$5:$W$804,'EMAIL MARKETING'!$B$5:$B$804,$A13,'EMAIL MARKETING'!$X$5:$X$804,cpCrit),""))</f>
        <v/>
      </c>
      <c r="T13" s="73" t="str">
        <f>IF($A13="","",IFERROR(SUMIFS('EMAIL MARKETING'!$O$5:$O$804,'EMAIL MARKETING'!$B$5:$B$804,$A13,'EMAIL MARKETING'!$X$5:$X$804,cpCrit)/SUMIFS('EMAIL MARKETING'!$W$5:$W$804,'EMAIL MARKETING'!$B$5:$B$804,$A13,'EMAIL MARKETING'!$X$5:$X$804,cpCrit),""))</f>
        <v/>
      </c>
      <c r="U13" s="72">
        <f>IF($A13="","",SUMIFS('PAID MEDIA ADS'!$G$5:$G$804,'PAID MEDIA ADS'!$B$5:$B$804,$A13,'PAID MEDIA ADS'!$U$5:$U$804,cpCrit))</f>
        <v>0</v>
      </c>
      <c r="V13" s="83">
        <f>IF($A13="","",SUMIFS('PAID MEDIA ADS'!$M$5:$M$804,'PAID MEDIA ADS'!$B$5:$B$804,$A13,'PAID MEDIA ADS'!$U$5:$U$804,cpCrit))</f>
        <v>0</v>
      </c>
      <c r="W13" s="72" t="str">
        <f>IF($A13="","",IF(AND(U13&gt;0,V13&gt;0),U13/V13,""))</f>
        <v/>
      </c>
      <c r="X13" s="83">
        <f>IF($A13="","",COUNTIFS('WEBSITE CONTENT SEO'!$B$5:$B$804,$A13,'WEBSITE CONTENT SEO'!$D$5:$D$804,"&lt;&gt;",'WEBSITE CONTENT SEO'!$V$5:$V$804,cpCrit))</f>
        <v>0</v>
      </c>
      <c r="Y13" s="83">
        <f>IF($A13="","",SUMIFS('CAMPAIGN MASTER'!$AS$5:$AS$704,'CAMPAIGN MASTER'!$A$5:$A$704,$A13))</f>
        <v>0</v>
      </c>
      <c r="Z13" s="83" t="str">
        <f>IF($A13="","",IF(AND(E13=0,COUNTIFS('CAMPAIGN MASTER'!$A$5:$A$704,$A13)=0),"No Activity",IF(OR(H13&gt;0,I13&gt;0,Y13&gt;0),"Needs Attention",IF(E13=0,"No Tasks Logged",IF(AND(ISNUMBER(J13),J13&gt;=0.7),"Performing","In Progress")))))</f>
        <v>No Activity</v>
      </c>
      <c r="AA13" s="82" t="str">
        <f>IF($A13="","",IFERROR(IF(INDEX('CLIENT MASTER'!$H$5:$H$64,MATCH($A13,'CLIENT MASTER'!$A$5:$A$64,0))="","",INDEX('CLIENT MASTER'!$H$5:$H$64,MATCH($A13,'CLIENT MASTER'!$A$5:$A$64,0))),""))</f>
        <v/>
      </c>
      <c r="AB13" s="82" t="str">
        <f>IF($A13="","",IFERROR(IF(INDEX('CLIENT MASTER'!$I$5:$I$64,MATCH($A13,'CLIENT MASTER'!$A$5:$A$64,0))="","",INDEX('CLIENT MASTER'!$I$5:$I$64,MATCH($A13,'CLIENT MASTER'!$A$5:$A$64,0))),""))</f>
        <v/>
      </c>
      <c r="AC13" s="82" t="str">
        <f>IF($A13="","",IFERROR(IF(INDEX('CLIENT MASTER'!$J$5:$J$64,MATCH($A13,'CLIENT MASTER'!$A$5:$A$64,0))="","",INDEX('CLIENT MASTER'!$J$5:$J$64,MATCH($A13,'CLIENT MASTER'!$A$5:$A$64,0))),""))</f>
        <v/>
      </c>
      <c r="AD13" s="92" t="str">
        <f>IF($Z13="Needs Attention",ROW(),"")</f>
        <v/>
      </c>
      <c r="AE13" s="92" t="str">
        <f>IF($Z13="Performing",ROW(),"")</f>
        <v/>
      </c>
    </row>
    <row r="14" ht="28" customHeight="1">
      <c r="A14" s="81" t="str">
        <f>IF('CLIENT MASTER'!A12="","",'CLIENT MASTER'!A12)</f>
        <v>Tata Communications MECCA</v>
      </c>
      <c r="B14" s="83" t="str">
        <f>IF($A14="","",IFERROR(IF(INDEX('CLIENT MASTER'!$C$5:$C$64,MATCH($A14,'CLIENT MASTER'!$A$5:$A$64,0))="","",INDEX('CLIENT MASTER'!$C$5:$C$64,MATCH($A14,'CLIENT MASTER'!$A$5:$A$64,0))),""))</f>
        <v>Internal</v>
      </c>
      <c r="C14" s="83" t="str">
        <f>IF($A14="","",IFERROR(IF(INDEX('CLIENT MASTER'!$D$5:$D$64,MATCH($A14,'CLIENT MASTER'!$A$5:$A$64,0))="","",INDEX('CLIENT MASTER'!$D$5:$D$64,MATCH($A14,'CLIENT MASTER'!$A$5:$A$64,0))),""))</f>
        <v>Active</v>
      </c>
      <c r="D14" s="83">
        <f>IF($A14="","",COUNTIFS('CAMPAIGN MASTER'!$A$5:$A$704,$A14,'CAMPAIGN MASTER'!$AM$5:$AM$704,1))</f>
        <v>0</v>
      </c>
      <c r="E14" s="83">
        <f>IF($A14="","",COUNTIFS('DAILY TASK TRACKER'!$C$5:$C$1504,$A14,'DAILY TASK TRACKER'!$G$5:$G$1504,"&lt;&gt;",'DAILY TASK TRACKER'!$AH$5:$AH$1504,cpCrit))</f>
        <v>0</v>
      </c>
      <c r="F14" s="83">
        <f>IF($A14="","",COUNTIFS('DAILY TASK TRACKER'!$C$5:$C$1504,$A14,'DAILY TASK TRACKER'!$M$5:$M$1504,"Completed",'DAILY TASK TRACKER'!$AH$5:$AH$1504,cpCrit))</f>
        <v>0</v>
      </c>
      <c r="G14" s="83">
        <f>IF($A14="","",SUMIFS('DAILY TASK TRACKER'!$AK$5:$AK$1504,'DAILY TASK TRACKER'!$C$5:$C$1504,$A14,'DAILY TASK TRACKER'!$AH$5:$AH$1504,cpCrit))</f>
        <v>0</v>
      </c>
      <c r="H14" s="83">
        <f>IF($A14="","",SUMIFS('DAILY TASK TRACKER'!$AL$5:$AL$1504,'DAILY TASK TRACKER'!$C$5:$C$1504,$A14,'DAILY TASK TRACKER'!$AH$5:$AH$1504,cpCrit))</f>
        <v>0</v>
      </c>
      <c r="I14" s="83">
        <f>IF($A14="","",SUMIFS('DAILY TASK TRACKER'!$AM$5:$AM$1504,'DAILY TASK TRACKER'!$C$5:$C$1504,$A14,'DAILY TASK TRACKER'!$AH$5:$AH$1504,cpCrit))</f>
        <v>0</v>
      </c>
      <c r="J14" s="73" t="str">
        <f>IF($A14="","",IF(E14&gt;0,F14/E14,""))</f>
        <v/>
      </c>
      <c r="K14" s="73">
        <f>IF($A14="","",IF($E$37&gt;0,E14/$E$37,""))</f>
        <v>0</v>
      </c>
      <c r="L14" s="83">
        <f>IF($A14="","",COUNTIFS('LEAD MQL TRACKER'!$B$5:$B$1004,$A14,'LEAD MQL TRACKER'!$AB$5:$AB$1004,1,'LEAD MQL TRACKER'!$AA$5:$AA$1004,cpCrit)+SUMIFS('EMAIL MARKETING'!$Q$5:$Q$804,'EMAIL MARKETING'!$B$5:$B$804,$A14,'EMAIL MARKETING'!$X$5:$X$804,cpCrit)+SUMIFS('PAID MEDIA ADS'!$M$5:$M$804,'PAID MEDIA ADS'!$B$5:$B$804,$A14,'PAID MEDIA ADS'!$U$5:$U$804,cpCrit)+SUMIFS('LINKEDIN OUTREACH'!$N$5:$N$704,'LINKEDIN OUTREACH'!$B$5:$B$704,$A14,'LINKEDIN OUTREACH'!$S$5:$S$704,cpCrit)+SUMIFS('WEBSITE CONTENT SEO'!$L$5:$L$804,'WEBSITE CONTENT SEO'!$B$5:$B$804,$A14,'WEBSITE CONTENT SEO'!$V$5:$V$804,cpCrit))</f>
        <v>0</v>
      </c>
      <c r="M14" s="83">
        <f>IF($A14="","",COUNTIFS('LEAD MQL TRACKER'!$B$5:$B$1004,$A14,'LEAD MQL TRACKER'!$AD$5:$AD$1004,1,'LEAD MQL TRACKER'!$AA$5:$AA$1004,cpCrit)+SUMIFS('EMAIL MARKETING'!$R$5:$R$804,'EMAIL MARKETING'!$B$5:$B$804,$A14,'EMAIL MARKETING'!$X$5:$X$804,cpCrit)+SUMIFS('PAID MEDIA ADS'!$N$5:$N$804,'PAID MEDIA ADS'!$B$5:$B$804,$A14,'PAID MEDIA ADS'!$U$5:$U$804,cpCrit)+SUMIFS('LINKEDIN OUTREACH'!$O$5:$O$704,'LINKEDIN OUTREACH'!$B$5:$B$704,$A14,'LINKEDIN OUTREACH'!$S$5:$S$704,cpCrit))</f>
        <v>0</v>
      </c>
      <c r="N14" s="83">
        <f>IF($A14="","",COUNTIFS('LEAD MQL TRACKER'!$B$5:$B$1004,$A14,'LEAD MQL TRACKER'!$AE$5:$AE$1004,1,'LEAD MQL TRACKER'!$AA$5:$AA$1004,cpCrit))</f>
        <v>0</v>
      </c>
      <c r="O14" s="83">
        <f>IF($A14="","",COUNTIFS('LEAD MQL TRACKER'!$B$5:$B$1004,$A14,'LEAD MQL TRACKER'!$AC$5:$AC$1004,1,'LEAD MQL TRACKER'!$AA$5:$AA$1004,cpCrit)+SUMIFS('LINKEDIN OUTREACH'!$M$5:$M$704,'LINKEDIN OUTREACH'!$B$5:$B$704,$A14,'LINKEDIN OUTREACH'!$S$5:$S$704,cpCrit))</f>
        <v>0</v>
      </c>
      <c r="P14" s="73" t="str">
        <f>IF($A14="","",IF($L$37&gt;0,L14/$L$37,""))</f>
        <v/>
      </c>
      <c r="Q14" s="83">
        <f>IF($A14="","",SUMIFS('EMAIL MARKETING'!$F$5:$F$804,'EMAIL MARKETING'!$B$5:$B$804,$A14,'EMAIL MARKETING'!$X$5:$X$804,cpCrit))</f>
        <v>0</v>
      </c>
      <c r="R14" s="73" t="str">
        <f>IF($A14="","",IFERROR(SUMIFS('EMAIL MARKETING'!$I$5:$I$804,'EMAIL MARKETING'!$B$5:$B$804,$A14,'EMAIL MARKETING'!$X$5:$X$804,cpCrit)/SUMIFS('EMAIL MARKETING'!$W$5:$W$804,'EMAIL MARKETING'!$B$5:$B$804,$A14,'EMAIL MARKETING'!$X$5:$X$804,cpCrit),""))</f>
        <v/>
      </c>
      <c r="S14" s="73" t="str">
        <f>IF($A14="","",IFERROR(SUMIFS('EMAIL MARKETING'!$K$5:$K$804,'EMAIL MARKETING'!$B$5:$B$804,$A14,'EMAIL MARKETING'!$X$5:$X$804,cpCrit)/SUMIFS('EMAIL MARKETING'!$W$5:$W$804,'EMAIL MARKETING'!$B$5:$B$804,$A14,'EMAIL MARKETING'!$X$5:$X$804,cpCrit),""))</f>
        <v/>
      </c>
      <c r="T14" s="73" t="str">
        <f>IF($A14="","",IFERROR(SUMIFS('EMAIL MARKETING'!$O$5:$O$804,'EMAIL MARKETING'!$B$5:$B$804,$A14,'EMAIL MARKETING'!$X$5:$X$804,cpCrit)/SUMIFS('EMAIL MARKETING'!$W$5:$W$804,'EMAIL MARKETING'!$B$5:$B$804,$A14,'EMAIL MARKETING'!$X$5:$X$804,cpCrit),""))</f>
        <v/>
      </c>
      <c r="U14" s="72">
        <f>IF($A14="","",SUMIFS('PAID MEDIA ADS'!$G$5:$G$804,'PAID MEDIA ADS'!$B$5:$B$804,$A14,'PAID MEDIA ADS'!$U$5:$U$804,cpCrit))</f>
        <v>0</v>
      </c>
      <c r="V14" s="83">
        <f>IF($A14="","",SUMIFS('PAID MEDIA ADS'!$M$5:$M$804,'PAID MEDIA ADS'!$B$5:$B$804,$A14,'PAID MEDIA ADS'!$U$5:$U$804,cpCrit))</f>
        <v>0</v>
      </c>
      <c r="W14" s="72" t="str">
        <f>IF($A14="","",IF(AND(U14&gt;0,V14&gt;0),U14/V14,""))</f>
        <v/>
      </c>
      <c r="X14" s="83">
        <f>IF($A14="","",COUNTIFS('WEBSITE CONTENT SEO'!$B$5:$B$804,$A14,'WEBSITE CONTENT SEO'!$D$5:$D$804,"&lt;&gt;",'WEBSITE CONTENT SEO'!$V$5:$V$804,cpCrit))</f>
        <v>0</v>
      </c>
      <c r="Y14" s="83">
        <f>IF($A14="","",SUMIFS('CAMPAIGN MASTER'!$AS$5:$AS$704,'CAMPAIGN MASTER'!$A$5:$A$704,$A14))</f>
        <v>0</v>
      </c>
      <c r="Z14" s="83" t="str">
        <f>IF($A14="","",IF(AND(E14=0,COUNTIFS('CAMPAIGN MASTER'!$A$5:$A$704,$A14)=0),"No Activity",IF(OR(H14&gt;0,I14&gt;0,Y14&gt;0),"Needs Attention",IF(E14=0,"No Tasks Logged",IF(AND(ISNUMBER(J14),J14&gt;=0.7),"Performing","In Progress")))))</f>
        <v>No Tasks Logged</v>
      </c>
      <c r="AA14" s="82" t="str">
        <f>IF($A14="","",IFERROR(IF(INDEX('CLIENT MASTER'!$H$5:$H$64,MATCH($A14,'CLIENT MASTER'!$A$5:$A$64,0))="","",INDEX('CLIENT MASTER'!$H$5:$H$64,MATCH($A14,'CLIENT MASTER'!$A$5:$A$64,0))),""))</f>
        <v/>
      </c>
      <c r="AB14" s="82" t="str">
        <f>IF($A14="","",IFERROR(IF(INDEX('CLIENT MASTER'!$I$5:$I$64,MATCH($A14,'CLIENT MASTER'!$A$5:$A$64,0))="","",INDEX('CLIENT MASTER'!$I$5:$I$64,MATCH($A14,'CLIENT MASTER'!$A$5:$A$64,0))),""))</f>
        <v/>
      </c>
      <c r="AC14" s="82" t="str">
        <f>IF($A14="","",IFERROR(IF(INDEX('CLIENT MASTER'!$J$5:$J$64,MATCH($A14,'CLIENT MASTER'!$A$5:$A$64,0))="","",INDEX('CLIENT MASTER'!$J$5:$J$64,MATCH($A14,'CLIENT MASTER'!$A$5:$A$64,0))),""))</f>
        <v/>
      </c>
      <c r="AD14" s="92" t="str">
        <f>IF($Z14="Needs Attention",ROW(),"")</f>
        <v/>
      </c>
      <c r="AE14" s="92" t="str">
        <f>IF($Z14="Performing",ROW(),"")</f>
        <v/>
      </c>
    </row>
    <row r="15" ht="28" customHeight="1">
      <c r="A15" s="81" t="str">
        <f>IF('CLIENT MASTER'!A13="","",'CLIENT MASTER'!A13)</f>
        <v>Salesforce</v>
      </c>
      <c r="B15" s="83" t="str">
        <f>IF($A15="","",IFERROR(IF(INDEX('CLIENT MASTER'!$C$5:$C$64,MATCH($A15,'CLIENT MASTER'!$A$5:$A$64,0))="","",INDEX('CLIENT MASTER'!$C$5:$C$64,MATCH($A15,'CLIENT MASTER'!$A$5:$A$64,0))),""))</f>
        <v>Internal</v>
      </c>
      <c r="C15" s="83" t="str">
        <f>IF($A15="","",IFERROR(IF(INDEX('CLIENT MASTER'!$D$5:$D$64,MATCH($A15,'CLIENT MASTER'!$A$5:$A$64,0))="","",INDEX('CLIENT MASTER'!$D$5:$D$64,MATCH($A15,'CLIENT MASTER'!$A$5:$A$64,0))),""))</f>
        <v>Active</v>
      </c>
      <c r="D15" s="83">
        <f>IF($A15="","",COUNTIFS('CAMPAIGN MASTER'!$A$5:$A$704,$A15,'CAMPAIGN MASTER'!$AM$5:$AM$704,1))</f>
        <v>0</v>
      </c>
      <c r="E15" s="83">
        <f>IF($A15="","",COUNTIFS('DAILY TASK TRACKER'!$C$5:$C$1504,$A15,'DAILY TASK TRACKER'!$G$5:$G$1504,"&lt;&gt;",'DAILY TASK TRACKER'!$AH$5:$AH$1504,cpCrit))</f>
        <v>0</v>
      </c>
      <c r="F15" s="83">
        <f>IF($A15="","",COUNTIFS('DAILY TASK TRACKER'!$C$5:$C$1504,$A15,'DAILY TASK TRACKER'!$M$5:$M$1504,"Completed",'DAILY TASK TRACKER'!$AH$5:$AH$1504,cpCrit))</f>
        <v>0</v>
      </c>
      <c r="G15" s="83">
        <f>IF($A15="","",SUMIFS('DAILY TASK TRACKER'!$AK$5:$AK$1504,'DAILY TASK TRACKER'!$C$5:$C$1504,$A15,'DAILY TASK TRACKER'!$AH$5:$AH$1504,cpCrit))</f>
        <v>0</v>
      </c>
      <c r="H15" s="83">
        <f>IF($A15="","",SUMIFS('DAILY TASK TRACKER'!$AL$5:$AL$1504,'DAILY TASK TRACKER'!$C$5:$C$1504,$A15,'DAILY TASK TRACKER'!$AH$5:$AH$1504,cpCrit))</f>
        <v>0</v>
      </c>
      <c r="I15" s="83">
        <f>IF($A15="","",SUMIFS('DAILY TASK TRACKER'!$AM$5:$AM$1504,'DAILY TASK TRACKER'!$C$5:$C$1504,$A15,'DAILY TASK TRACKER'!$AH$5:$AH$1504,cpCrit))</f>
        <v>0</v>
      </c>
      <c r="J15" s="73" t="str">
        <f>IF($A15="","",IF(E15&gt;0,F15/E15,""))</f>
        <v/>
      </c>
      <c r="K15" s="73">
        <f>IF($A15="","",IF($E$37&gt;0,E15/$E$37,""))</f>
        <v>0</v>
      </c>
      <c r="L15" s="83">
        <f>IF($A15="","",COUNTIFS('LEAD MQL TRACKER'!$B$5:$B$1004,$A15,'LEAD MQL TRACKER'!$AB$5:$AB$1004,1,'LEAD MQL TRACKER'!$AA$5:$AA$1004,cpCrit)+SUMIFS('EMAIL MARKETING'!$Q$5:$Q$804,'EMAIL MARKETING'!$B$5:$B$804,$A15,'EMAIL MARKETING'!$X$5:$X$804,cpCrit)+SUMIFS('PAID MEDIA ADS'!$M$5:$M$804,'PAID MEDIA ADS'!$B$5:$B$804,$A15,'PAID MEDIA ADS'!$U$5:$U$804,cpCrit)+SUMIFS('LINKEDIN OUTREACH'!$N$5:$N$704,'LINKEDIN OUTREACH'!$B$5:$B$704,$A15,'LINKEDIN OUTREACH'!$S$5:$S$704,cpCrit)+SUMIFS('WEBSITE CONTENT SEO'!$L$5:$L$804,'WEBSITE CONTENT SEO'!$B$5:$B$804,$A15,'WEBSITE CONTENT SEO'!$V$5:$V$804,cpCrit))</f>
        <v>0</v>
      </c>
      <c r="M15" s="83">
        <f>IF($A15="","",COUNTIFS('LEAD MQL TRACKER'!$B$5:$B$1004,$A15,'LEAD MQL TRACKER'!$AD$5:$AD$1004,1,'LEAD MQL TRACKER'!$AA$5:$AA$1004,cpCrit)+SUMIFS('EMAIL MARKETING'!$R$5:$R$804,'EMAIL MARKETING'!$B$5:$B$804,$A15,'EMAIL MARKETING'!$X$5:$X$804,cpCrit)+SUMIFS('PAID MEDIA ADS'!$N$5:$N$804,'PAID MEDIA ADS'!$B$5:$B$804,$A15,'PAID MEDIA ADS'!$U$5:$U$804,cpCrit)+SUMIFS('LINKEDIN OUTREACH'!$O$5:$O$704,'LINKEDIN OUTREACH'!$B$5:$B$704,$A15,'LINKEDIN OUTREACH'!$S$5:$S$704,cpCrit))</f>
        <v>0</v>
      </c>
      <c r="N15" s="83">
        <f>IF($A15="","",COUNTIFS('LEAD MQL TRACKER'!$B$5:$B$1004,$A15,'LEAD MQL TRACKER'!$AE$5:$AE$1004,1,'LEAD MQL TRACKER'!$AA$5:$AA$1004,cpCrit))</f>
        <v>0</v>
      </c>
      <c r="O15" s="83">
        <f>IF($A15="","",COUNTIFS('LEAD MQL TRACKER'!$B$5:$B$1004,$A15,'LEAD MQL TRACKER'!$AC$5:$AC$1004,1,'LEAD MQL TRACKER'!$AA$5:$AA$1004,cpCrit)+SUMIFS('LINKEDIN OUTREACH'!$M$5:$M$704,'LINKEDIN OUTREACH'!$B$5:$B$704,$A15,'LINKEDIN OUTREACH'!$S$5:$S$704,cpCrit))</f>
        <v>0</v>
      </c>
      <c r="P15" s="73" t="str">
        <f>IF($A15="","",IF($L$37&gt;0,L15/$L$37,""))</f>
        <v/>
      </c>
      <c r="Q15" s="83">
        <f>IF($A15="","",SUMIFS('EMAIL MARKETING'!$F$5:$F$804,'EMAIL MARKETING'!$B$5:$B$804,$A15,'EMAIL MARKETING'!$X$5:$X$804,cpCrit))</f>
        <v>0</v>
      </c>
      <c r="R15" s="73" t="str">
        <f>IF($A15="","",IFERROR(SUMIFS('EMAIL MARKETING'!$I$5:$I$804,'EMAIL MARKETING'!$B$5:$B$804,$A15,'EMAIL MARKETING'!$X$5:$X$804,cpCrit)/SUMIFS('EMAIL MARKETING'!$W$5:$W$804,'EMAIL MARKETING'!$B$5:$B$804,$A15,'EMAIL MARKETING'!$X$5:$X$804,cpCrit),""))</f>
        <v/>
      </c>
      <c r="S15" s="73" t="str">
        <f>IF($A15="","",IFERROR(SUMIFS('EMAIL MARKETING'!$K$5:$K$804,'EMAIL MARKETING'!$B$5:$B$804,$A15,'EMAIL MARKETING'!$X$5:$X$804,cpCrit)/SUMIFS('EMAIL MARKETING'!$W$5:$W$804,'EMAIL MARKETING'!$B$5:$B$804,$A15,'EMAIL MARKETING'!$X$5:$X$804,cpCrit),""))</f>
        <v/>
      </c>
      <c r="T15" s="73" t="str">
        <f>IF($A15="","",IFERROR(SUMIFS('EMAIL MARKETING'!$O$5:$O$804,'EMAIL MARKETING'!$B$5:$B$804,$A15,'EMAIL MARKETING'!$X$5:$X$804,cpCrit)/SUMIFS('EMAIL MARKETING'!$W$5:$W$804,'EMAIL MARKETING'!$B$5:$B$804,$A15,'EMAIL MARKETING'!$X$5:$X$804,cpCrit),""))</f>
        <v/>
      </c>
      <c r="U15" s="72">
        <f>IF($A15="","",SUMIFS('PAID MEDIA ADS'!$G$5:$G$804,'PAID MEDIA ADS'!$B$5:$B$804,$A15,'PAID MEDIA ADS'!$U$5:$U$804,cpCrit))</f>
        <v>0</v>
      </c>
      <c r="V15" s="83">
        <f>IF($A15="","",SUMIFS('PAID MEDIA ADS'!$M$5:$M$804,'PAID MEDIA ADS'!$B$5:$B$804,$A15,'PAID MEDIA ADS'!$U$5:$U$804,cpCrit))</f>
        <v>0</v>
      </c>
      <c r="W15" s="72" t="str">
        <f>IF($A15="","",IF(AND(U15&gt;0,V15&gt;0),U15/V15,""))</f>
        <v/>
      </c>
      <c r="X15" s="83">
        <f>IF($A15="","",COUNTIFS('WEBSITE CONTENT SEO'!$B$5:$B$804,$A15,'WEBSITE CONTENT SEO'!$D$5:$D$804,"&lt;&gt;",'WEBSITE CONTENT SEO'!$V$5:$V$804,cpCrit))</f>
        <v>0</v>
      </c>
      <c r="Y15" s="83">
        <f>IF($A15="","",SUMIFS('CAMPAIGN MASTER'!$AS$5:$AS$704,'CAMPAIGN MASTER'!$A$5:$A$704,$A15))</f>
        <v>0</v>
      </c>
      <c r="Z15" s="83" t="str">
        <f>IF($A15="","",IF(AND(E15=0,COUNTIFS('CAMPAIGN MASTER'!$A$5:$A$704,$A15)=0),"No Activity",IF(OR(H15&gt;0,I15&gt;0,Y15&gt;0),"Needs Attention",IF(E15=0,"No Tasks Logged",IF(AND(ISNUMBER(J15),J15&gt;=0.7),"Performing","In Progress")))))</f>
        <v>No Activity</v>
      </c>
      <c r="AA15" s="82" t="str">
        <f>IF($A15="","",IFERROR(IF(INDEX('CLIENT MASTER'!$H$5:$H$64,MATCH($A15,'CLIENT MASTER'!$A$5:$A$64,0))="","",INDEX('CLIENT MASTER'!$H$5:$H$64,MATCH($A15,'CLIENT MASTER'!$A$5:$A$64,0))),""))</f>
        <v/>
      </c>
      <c r="AB15" s="82" t="str">
        <f>IF($A15="","",IFERROR(IF(INDEX('CLIENT MASTER'!$I$5:$I$64,MATCH($A15,'CLIENT MASTER'!$A$5:$A$64,0))="","",INDEX('CLIENT MASTER'!$I$5:$I$64,MATCH($A15,'CLIENT MASTER'!$A$5:$A$64,0))),""))</f>
        <v/>
      </c>
      <c r="AC15" s="82" t="str">
        <f>IF($A15="","",IFERROR(IF(INDEX('CLIENT MASTER'!$J$5:$J$64,MATCH($A15,'CLIENT MASTER'!$A$5:$A$64,0))="","",INDEX('CLIENT MASTER'!$J$5:$J$64,MATCH($A15,'CLIENT MASTER'!$A$5:$A$64,0))),""))</f>
        <v/>
      </c>
      <c r="AD15" s="92" t="str">
        <f>IF($Z15="Needs Attention",ROW(),"")</f>
        <v/>
      </c>
      <c r="AE15" s="92" t="str">
        <f>IF($Z15="Performing",ROW(),"")</f>
        <v/>
      </c>
    </row>
    <row r="16" ht="28" customHeight="1">
      <c r="A16" s="81" t="str">
        <f>IF('CLIENT MASTER'!A14="","",'CLIENT MASTER'!A14)</f>
        <v>Ruckus Networks</v>
      </c>
      <c r="B16" s="83" t="str">
        <f>IF($A16="","",IFERROR(IF(INDEX('CLIENT MASTER'!$C$5:$C$64,MATCH($A16,'CLIENT MASTER'!$A$5:$A$64,0))="","",INDEX('CLIENT MASTER'!$C$5:$C$64,MATCH($A16,'CLIENT MASTER'!$A$5:$A$64,0))),""))</f>
        <v>External</v>
      </c>
      <c r="C16" s="83" t="str">
        <f>IF($A16="","",IFERROR(IF(INDEX('CLIENT MASTER'!$D$5:$D$64,MATCH($A16,'CLIENT MASTER'!$A$5:$A$64,0))="","",INDEX('CLIENT MASTER'!$D$5:$D$64,MATCH($A16,'CLIENT MASTER'!$A$5:$A$64,0))),""))</f>
        <v>Active</v>
      </c>
      <c r="D16" s="83">
        <f>IF($A16="","",COUNTIFS('CAMPAIGN MASTER'!$A$5:$A$704,$A16,'CAMPAIGN MASTER'!$AM$5:$AM$704,1))</f>
        <v>0</v>
      </c>
      <c r="E16" s="83">
        <f>IF($A16="","",COUNTIFS('DAILY TASK TRACKER'!$C$5:$C$1504,$A16,'DAILY TASK TRACKER'!$G$5:$G$1504,"&lt;&gt;",'DAILY TASK TRACKER'!$AH$5:$AH$1504,cpCrit))</f>
        <v>1</v>
      </c>
      <c r="F16" s="83">
        <f>IF($A16="","",COUNTIFS('DAILY TASK TRACKER'!$C$5:$C$1504,$A16,'DAILY TASK TRACKER'!$M$5:$M$1504,"Completed",'DAILY TASK TRACKER'!$AH$5:$AH$1504,cpCrit))</f>
        <v>0</v>
      </c>
      <c r="G16" s="83">
        <f>IF($A16="","",SUMIFS('DAILY TASK TRACKER'!$AK$5:$AK$1504,'DAILY TASK TRACKER'!$C$5:$C$1504,$A16,'DAILY TASK TRACKER'!$AH$5:$AH$1504,cpCrit))</f>
        <v>1</v>
      </c>
      <c r="H16" s="83">
        <f>IF($A16="","",SUMIFS('DAILY TASK TRACKER'!$AL$5:$AL$1504,'DAILY TASK TRACKER'!$C$5:$C$1504,$A16,'DAILY TASK TRACKER'!$AH$5:$AH$1504,cpCrit))</f>
        <v>0</v>
      </c>
      <c r="I16" s="83">
        <f>IF($A16="","",SUMIFS('DAILY TASK TRACKER'!$AM$5:$AM$1504,'DAILY TASK TRACKER'!$C$5:$C$1504,$A16,'DAILY TASK TRACKER'!$AH$5:$AH$1504,cpCrit))</f>
        <v>0</v>
      </c>
      <c r="J16" s="73">
        <f>IF($A16="","",IF(E16&gt;0,F16/E16,""))</f>
        <v>0</v>
      </c>
      <c r="K16" s="73">
        <f>IF($A16="","",IF($E$37&gt;0,E16/$E$37,""))</f>
        <v>0.0172413793103448</v>
      </c>
      <c r="L16" s="83">
        <f>IF($A16="","",COUNTIFS('LEAD MQL TRACKER'!$B$5:$B$1004,$A16,'LEAD MQL TRACKER'!$AB$5:$AB$1004,1,'LEAD MQL TRACKER'!$AA$5:$AA$1004,cpCrit)+SUMIFS('EMAIL MARKETING'!$Q$5:$Q$804,'EMAIL MARKETING'!$B$5:$B$804,$A16,'EMAIL MARKETING'!$X$5:$X$804,cpCrit)+SUMIFS('PAID MEDIA ADS'!$M$5:$M$804,'PAID MEDIA ADS'!$B$5:$B$804,$A16,'PAID MEDIA ADS'!$U$5:$U$804,cpCrit)+SUMIFS('LINKEDIN OUTREACH'!$N$5:$N$704,'LINKEDIN OUTREACH'!$B$5:$B$704,$A16,'LINKEDIN OUTREACH'!$S$5:$S$704,cpCrit)+SUMIFS('WEBSITE CONTENT SEO'!$L$5:$L$804,'WEBSITE CONTENT SEO'!$B$5:$B$804,$A16,'WEBSITE CONTENT SEO'!$V$5:$V$804,cpCrit))</f>
        <v>0</v>
      </c>
      <c r="M16" s="83">
        <f>IF($A16="","",COUNTIFS('LEAD MQL TRACKER'!$B$5:$B$1004,$A16,'LEAD MQL TRACKER'!$AD$5:$AD$1004,1,'LEAD MQL TRACKER'!$AA$5:$AA$1004,cpCrit)+SUMIFS('EMAIL MARKETING'!$R$5:$R$804,'EMAIL MARKETING'!$B$5:$B$804,$A16,'EMAIL MARKETING'!$X$5:$X$804,cpCrit)+SUMIFS('PAID MEDIA ADS'!$N$5:$N$804,'PAID MEDIA ADS'!$B$5:$B$804,$A16,'PAID MEDIA ADS'!$U$5:$U$804,cpCrit)+SUMIFS('LINKEDIN OUTREACH'!$O$5:$O$704,'LINKEDIN OUTREACH'!$B$5:$B$704,$A16,'LINKEDIN OUTREACH'!$S$5:$S$704,cpCrit))</f>
        <v>0</v>
      </c>
      <c r="N16" s="83">
        <f>IF($A16="","",COUNTIFS('LEAD MQL TRACKER'!$B$5:$B$1004,$A16,'LEAD MQL TRACKER'!$AE$5:$AE$1004,1,'LEAD MQL TRACKER'!$AA$5:$AA$1004,cpCrit))</f>
        <v>0</v>
      </c>
      <c r="O16" s="83">
        <f>IF($A16="","",COUNTIFS('LEAD MQL TRACKER'!$B$5:$B$1004,$A16,'LEAD MQL TRACKER'!$AC$5:$AC$1004,1,'LEAD MQL TRACKER'!$AA$5:$AA$1004,cpCrit)+SUMIFS('LINKEDIN OUTREACH'!$M$5:$M$704,'LINKEDIN OUTREACH'!$B$5:$B$704,$A16,'LINKEDIN OUTREACH'!$S$5:$S$704,cpCrit))</f>
        <v>0</v>
      </c>
      <c r="P16" s="73" t="str">
        <f>IF($A16="","",IF($L$37&gt;0,L16/$L$37,""))</f>
        <v/>
      </c>
      <c r="Q16" s="83">
        <f>IF($A16="","",SUMIFS('EMAIL MARKETING'!$F$5:$F$804,'EMAIL MARKETING'!$B$5:$B$804,$A16,'EMAIL MARKETING'!$X$5:$X$804,cpCrit))</f>
        <v>0</v>
      </c>
      <c r="R16" s="73" t="str">
        <f>IF($A16="","",IFERROR(SUMIFS('EMAIL MARKETING'!$I$5:$I$804,'EMAIL MARKETING'!$B$5:$B$804,$A16,'EMAIL MARKETING'!$X$5:$X$804,cpCrit)/SUMIFS('EMAIL MARKETING'!$W$5:$W$804,'EMAIL MARKETING'!$B$5:$B$804,$A16,'EMAIL MARKETING'!$X$5:$X$804,cpCrit),""))</f>
        <v/>
      </c>
      <c r="S16" s="73" t="str">
        <f>IF($A16="","",IFERROR(SUMIFS('EMAIL MARKETING'!$K$5:$K$804,'EMAIL MARKETING'!$B$5:$B$804,$A16,'EMAIL MARKETING'!$X$5:$X$804,cpCrit)/SUMIFS('EMAIL MARKETING'!$W$5:$W$804,'EMAIL MARKETING'!$B$5:$B$804,$A16,'EMAIL MARKETING'!$X$5:$X$804,cpCrit),""))</f>
        <v/>
      </c>
      <c r="T16" s="73" t="str">
        <f>IF($A16="","",IFERROR(SUMIFS('EMAIL MARKETING'!$O$5:$O$804,'EMAIL MARKETING'!$B$5:$B$804,$A16,'EMAIL MARKETING'!$X$5:$X$804,cpCrit)/SUMIFS('EMAIL MARKETING'!$W$5:$W$804,'EMAIL MARKETING'!$B$5:$B$804,$A16,'EMAIL MARKETING'!$X$5:$X$804,cpCrit),""))</f>
        <v/>
      </c>
      <c r="U16" s="72">
        <f>IF($A16="","",SUMIFS('PAID MEDIA ADS'!$G$5:$G$804,'PAID MEDIA ADS'!$B$5:$B$804,$A16,'PAID MEDIA ADS'!$U$5:$U$804,cpCrit))</f>
        <v>0</v>
      </c>
      <c r="V16" s="83">
        <f>IF($A16="","",SUMIFS('PAID MEDIA ADS'!$M$5:$M$804,'PAID MEDIA ADS'!$B$5:$B$804,$A16,'PAID MEDIA ADS'!$U$5:$U$804,cpCrit))</f>
        <v>0</v>
      </c>
      <c r="W16" s="72" t="str">
        <f>IF($A16="","",IF(AND(U16&gt;0,V16&gt;0),U16/V16,""))</f>
        <v/>
      </c>
      <c r="X16" s="83">
        <f>IF($A16="","",COUNTIFS('WEBSITE CONTENT SEO'!$B$5:$B$804,$A16,'WEBSITE CONTENT SEO'!$D$5:$D$804,"&lt;&gt;",'WEBSITE CONTENT SEO'!$V$5:$V$804,cpCrit))</f>
        <v>0</v>
      </c>
      <c r="Y16" s="83">
        <f>IF($A16="","",SUMIFS('CAMPAIGN MASTER'!$AS$5:$AS$704,'CAMPAIGN MASTER'!$A$5:$A$704,$A16))</f>
        <v>0</v>
      </c>
      <c r="Z16" s="83" t="str">
        <f>IF($A16="","",IF(AND(E16=0,COUNTIFS('CAMPAIGN MASTER'!$A$5:$A$704,$A16)=0),"No Activity",IF(OR(H16&gt;0,I16&gt;0,Y16&gt;0),"Needs Attention",IF(E16=0,"No Tasks Logged",IF(AND(ISNUMBER(J16),J16&gt;=0.7),"Performing","In Progress")))))</f>
        <v>In Progress</v>
      </c>
      <c r="AA16" s="82" t="str">
        <f>IF($A16="","",IFERROR(IF(INDEX('CLIENT MASTER'!$H$5:$H$64,MATCH($A16,'CLIENT MASTER'!$A$5:$A$64,0))="","",INDEX('CLIENT MASTER'!$H$5:$H$64,MATCH($A16,'CLIENT MASTER'!$A$5:$A$64,0))),""))</f>
        <v/>
      </c>
      <c r="AB16" s="82" t="str">
        <f>IF($A16="","",IFERROR(IF(INDEX('CLIENT MASTER'!$I$5:$I$64,MATCH($A16,'CLIENT MASTER'!$A$5:$A$64,0))="","",INDEX('CLIENT MASTER'!$I$5:$I$64,MATCH($A16,'CLIENT MASTER'!$A$5:$A$64,0))),""))</f>
        <v/>
      </c>
      <c r="AC16" s="82" t="str">
        <f>IF($A16="","",IFERROR(IF(INDEX('CLIENT MASTER'!$J$5:$J$64,MATCH($A16,'CLIENT MASTER'!$A$5:$A$64,0))="","",INDEX('CLIENT MASTER'!$J$5:$J$64,MATCH($A16,'CLIENT MASTER'!$A$5:$A$64,0))),""))</f>
        <v/>
      </c>
      <c r="AD16" s="92" t="str">
        <f>IF($Z16="Needs Attention",ROW(),"")</f>
        <v/>
      </c>
      <c r="AE16" s="92" t="str">
        <f>IF($Z16="Performing",ROW(),"")</f>
        <v/>
      </c>
    </row>
    <row r="17" ht="28" customHeight="1">
      <c r="A17" s="81" t="str">
        <f>IF('CLIENT MASTER'!A15="","",'CLIENT MASTER'!A15)</f>
        <v>Google Chrome Enterprise</v>
      </c>
      <c r="B17" s="83" t="str">
        <f>IF($A17="","",IFERROR(IF(INDEX('CLIENT MASTER'!$C$5:$C$64,MATCH($A17,'CLIENT MASTER'!$A$5:$A$64,0))="","",INDEX('CLIENT MASTER'!$C$5:$C$64,MATCH($A17,'CLIENT MASTER'!$A$5:$A$64,0))),""))</f>
        <v>Internal</v>
      </c>
      <c r="C17" s="83" t="str">
        <f>IF($A17="","",IFERROR(IF(INDEX('CLIENT MASTER'!$D$5:$D$64,MATCH($A17,'CLIENT MASTER'!$A$5:$A$64,0))="","",INDEX('CLIENT MASTER'!$D$5:$D$64,MATCH($A17,'CLIENT MASTER'!$A$5:$A$64,0))),""))</f>
        <v>Active</v>
      </c>
      <c r="D17" s="83">
        <f>IF($A17="","",COUNTIFS('CAMPAIGN MASTER'!$A$5:$A$704,$A17,'CAMPAIGN MASTER'!$AM$5:$AM$704,1))</f>
        <v>0</v>
      </c>
      <c r="E17" s="83">
        <f>IF($A17="","",COUNTIFS('DAILY TASK TRACKER'!$C$5:$C$1504,$A17,'DAILY TASK TRACKER'!$G$5:$G$1504,"&lt;&gt;",'DAILY TASK TRACKER'!$AH$5:$AH$1504,cpCrit))</f>
        <v>3</v>
      </c>
      <c r="F17" s="83">
        <f>IF($A17="","",COUNTIFS('DAILY TASK TRACKER'!$C$5:$C$1504,$A17,'DAILY TASK TRACKER'!$M$5:$M$1504,"Completed",'DAILY TASK TRACKER'!$AH$5:$AH$1504,cpCrit))</f>
        <v>0</v>
      </c>
      <c r="G17" s="83">
        <f>IF($A17="","",SUMIFS('DAILY TASK TRACKER'!$AK$5:$AK$1504,'DAILY TASK TRACKER'!$C$5:$C$1504,$A17,'DAILY TASK TRACKER'!$AH$5:$AH$1504,cpCrit))</f>
        <v>3</v>
      </c>
      <c r="H17" s="83">
        <f>IF($A17="","",SUMIFS('DAILY TASK TRACKER'!$AL$5:$AL$1504,'DAILY TASK TRACKER'!$C$5:$C$1504,$A17,'DAILY TASK TRACKER'!$AH$5:$AH$1504,cpCrit))</f>
        <v>0</v>
      </c>
      <c r="I17" s="83">
        <f>IF($A17="","",SUMIFS('DAILY TASK TRACKER'!$AM$5:$AM$1504,'DAILY TASK TRACKER'!$C$5:$C$1504,$A17,'DAILY TASK TRACKER'!$AH$5:$AH$1504,cpCrit))</f>
        <v>0</v>
      </c>
      <c r="J17" s="73">
        <f>IF($A17="","",IF(E17&gt;0,F17/E17,""))</f>
        <v>0</v>
      </c>
      <c r="K17" s="73">
        <f>IF($A17="","",IF($E$37&gt;0,E17/$E$37,""))</f>
        <v>0.0517241379310345</v>
      </c>
      <c r="L17" s="83">
        <f>IF($A17="","",COUNTIFS('LEAD MQL TRACKER'!$B$5:$B$1004,$A17,'LEAD MQL TRACKER'!$AB$5:$AB$1004,1,'LEAD MQL TRACKER'!$AA$5:$AA$1004,cpCrit)+SUMIFS('EMAIL MARKETING'!$Q$5:$Q$804,'EMAIL MARKETING'!$B$5:$B$804,$A17,'EMAIL MARKETING'!$X$5:$X$804,cpCrit)+SUMIFS('PAID MEDIA ADS'!$M$5:$M$804,'PAID MEDIA ADS'!$B$5:$B$804,$A17,'PAID MEDIA ADS'!$U$5:$U$804,cpCrit)+SUMIFS('LINKEDIN OUTREACH'!$N$5:$N$704,'LINKEDIN OUTREACH'!$B$5:$B$704,$A17,'LINKEDIN OUTREACH'!$S$5:$S$704,cpCrit)+SUMIFS('WEBSITE CONTENT SEO'!$L$5:$L$804,'WEBSITE CONTENT SEO'!$B$5:$B$804,$A17,'WEBSITE CONTENT SEO'!$V$5:$V$804,cpCrit))</f>
        <v>0</v>
      </c>
      <c r="M17" s="83">
        <f>IF($A17="","",COUNTIFS('LEAD MQL TRACKER'!$B$5:$B$1004,$A17,'LEAD MQL TRACKER'!$AD$5:$AD$1004,1,'LEAD MQL TRACKER'!$AA$5:$AA$1004,cpCrit)+SUMIFS('EMAIL MARKETING'!$R$5:$R$804,'EMAIL MARKETING'!$B$5:$B$804,$A17,'EMAIL MARKETING'!$X$5:$X$804,cpCrit)+SUMIFS('PAID MEDIA ADS'!$N$5:$N$804,'PAID MEDIA ADS'!$B$5:$B$804,$A17,'PAID MEDIA ADS'!$U$5:$U$804,cpCrit)+SUMIFS('LINKEDIN OUTREACH'!$O$5:$O$704,'LINKEDIN OUTREACH'!$B$5:$B$704,$A17,'LINKEDIN OUTREACH'!$S$5:$S$704,cpCrit))</f>
        <v>0</v>
      </c>
      <c r="N17" s="83">
        <f>IF($A17="","",COUNTIFS('LEAD MQL TRACKER'!$B$5:$B$1004,$A17,'LEAD MQL TRACKER'!$AE$5:$AE$1004,1,'LEAD MQL TRACKER'!$AA$5:$AA$1004,cpCrit))</f>
        <v>0</v>
      </c>
      <c r="O17" s="83">
        <f>IF($A17="","",COUNTIFS('LEAD MQL TRACKER'!$B$5:$B$1004,$A17,'LEAD MQL TRACKER'!$AC$5:$AC$1004,1,'LEAD MQL TRACKER'!$AA$5:$AA$1004,cpCrit)+SUMIFS('LINKEDIN OUTREACH'!$M$5:$M$704,'LINKEDIN OUTREACH'!$B$5:$B$704,$A17,'LINKEDIN OUTREACH'!$S$5:$S$704,cpCrit))</f>
        <v>0</v>
      </c>
      <c r="P17" s="73" t="str">
        <f>IF($A17="","",IF($L$37&gt;0,L17/$L$37,""))</f>
        <v/>
      </c>
      <c r="Q17" s="83">
        <f>IF($A17="","",SUMIFS('EMAIL MARKETING'!$F$5:$F$804,'EMAIL MARKETING'!$B$5:$B$804,$A17,'EMAIL MARKETING'!$X$5:$X$804,cpCrit))</f>
        <v>0</v>
      </c>
      <c r="R17" s="73" t="str">
        <f>IF($A17="","",IFERROR(SUMIFS('EMAIL MARKETING'!$I$5:$I$804,'EMAIL MARKETING'!$B$5:$B$804,$A17,'EMAIL MARKETING'!$X$5:$X$804,cpCrit)/SUMIFS('EMAIL MARKETING'!$W$5:$W$804,'EMAIL MARKETING'!$B$5:$B$804,$A17,'EMAIL MARKETING'!$X$5:$X$804,cpCrit),""))</f>
        <v/>
      </c>
      <c r="S17" s="73" t="str">
        <f>IF($A17="","",IFERROR(SUMIFS('EMAIL MARKETING'!$K$5:$K$804,'EMAIL MARKETING'!$B$5:$B$804,$A17,'EMAIL MARKETING'!$X$5:$X$804,cpCrit)/SUMIFS('EMAIL MARKETING'!$W$5:$W$804,'EMAIL MARKETING'!$B$5:$B$804,$A17,'EMAIL MARKETING'!$X$5:$X$804,cpCrit),""))</f>
        <v/>
      </c>
      <c r="T17" s="73" t="str">
        <f>IF($A17="","",IFERROR(SUMIFS('EMAIL MARKETING'!$O$5:$O$804,'EMAIL MARKETING'!$B$5:$B$804,$A17,'EMAIL MARKETING'!$X$5:$X$804,cpCrit)/SUMIFS('EMAIL MARKETING'!$W$5:$W$804,'EMAIL MARKETING'!$B$5:$B$804,$A17,'EMAIL MARKETING'!$X$5:$X$804,cpCrit),""))</f>
        <v/>
      </c>
      <c r="U17" s="72">
        <f>IF($A17="","",SUMIFS('PAID MEDIA ADS'!$G$5:$G$804,'PAID MEDIA ADS'!$B$5:$B$804,$A17,'PAID MEDIA ADS'!$U$5:$U$804,cpCrit))</f>
        <v>0</v>
      </c>
      <c r="V17" s="83">
        <f>IF($A17="","",SUMIFS('PAID MEDIA ADS'!$M$5:$M$804,'PAID MEDIA ADS'!$B$5:$B$804,$A17,'PAID MEDIA ADS'!$U$5:$U$804,cpCrit))</f>
        <v>0</v>
      </c>
      <c r="W17" s="72" t="str">
        <f>IF($A17="","",IF(AND(U17&gt;0,V17&gt;0),U17/V17,""))</f>
        <v/>
      </c>
      <c r="X17" s="83">
        <f>IF($A17="","",COUNTIFS('WEBSITE CONTENT SEO'!$B$5:$B$804,$A17,'WEBSITE CONTENT SEO'!$D$5:$D$804,"&lt;&gt;",'WEBSITE CONTENT SEO'!$V$5:$V$804,cpCrit))</f>
        <v>0</v>
      </c>
      <c r="Y17" s="83">
        <f>IF($A17="","",SUMIFS('CAMPAIGN MASTER'!$AS$5:$AS$704,'CAMPAIGN MASTER'!$A$5:$A$704,$A17))</f>
        <v>0</v>
      </c>
      <c r="Z17" s="83" t="str">
        <f>IF($A17="","",IF(AND(E17=0,COUNTIFS('CAMPAIGN MASTER'!$A$5:$A$704,$A17)=0),"No Activity",IF(OR(H17&gt;0,I17&gt;0,Y17&gt;0),"Needs Attention",IF(E17=0,"No Tasks Logged",IF(AND(ISNUMBER(J17),J17&gt;=0.7),"Performing","In Progress")))))</f>
        <v>In Progress</v>
      </c>
      <c r="AA17" s="82" t="str">
        <f>IF($A17="","",IFERROR(IF(INDEX('CLIENT MASTER'!$H$5:$H$64,MATCH($A17,'CLIENT MASTER'!$A$5:$A$64,0))="","",INDEX('CLIENT MASTER'!$H$5:$H$64,MATCH($A17,'CLIENT MASTER'!$A$5:$A$64,0))),""))</f>
        <v/>
      </c>
      <c r="AB17" s="82" t="str">
        <f>IF($A17="","",IFERROR(IF(INDEX('CLIENT MASTER'!$I$5:$I$64,MATCH($A17,'CLIENT MASTER'!$A$5:$A$64,0))="","",INDEX('CLIENT MASTER'!$I$5:$I$64,MATCH($A17,'CLIENT MASTER'!$A$5:$A$64,0))),""))</f>
        <v/>
      </c>
      <c r="AC17" s="82" t="str">
        <f>IF($A17="","",IFERROR(IF(INDEX('CLIENT MASTER'!$J$5:$J$64,MATCH($A17,'CLIENT MASTER'!$A$5:$A$64,0))="","",INDEX('CLIENT MASTER'!$J$5:$J$64,MATCH($A17,'CLIENT MASTER'!$A$5:$A$64,0))),""))</f>
        <v/>
      </c>
      <c r="AD17" s="92" t="str">
        <f>IF($Z17="Needs Attention",ROW(),"")</f>
        <v/>
      </c>
      <c r="AE17" s="92" t="str">
        <f>IF($Z17="Performing",ROW(),"")</f>
        <v/>
      </c>
    </row>
    <row r="18" ht="28" customHeight="1">
      <c r="A18" s="81" t="str">
        <f>IF('CLIENT MASTER'!A16="","",'CLIENT MASTER'!A16)</f>
        <v>Equinix</v>
      </c>
      <c r="B18" s="83" t="str">
        <f>IF($A18="","",IFERROR(IF(INDEX('CLIENT MASTER'!$C$5:$C$64,MATCH($A18,'CLIENT MASTER'!$A$5:$A$64,0))="","",INDEX('CLIENT MASTER'!$C$5:$C$64,MATCH($A18,'CLIENT MASTER'!$A$5:$A$64,0))),""))</f>
        <v>Internal</v>
      </c>
      <c r="C18" s="83" t="str">
        <f>IF($A18="","",IFERROR(IF(INDEX('CLIENT MASTER'!$D$5:$D$64,MATCH($A18,'CLIENT MASTER'!$A$5:$A$64,0))="","",INDEX('CLIENT MASTER'!$D$5:$D$64,MATCH($A18,'CLIENT MASTER'!$A$5:$A$64,0))),""))</f>
        <v>Active</v>
      </c>
      <c r="D18" s="83">
        <f>IF($A18="","",COUNTIFS('CAMPAIGN MASTER'!$A$5:$A$704,$A18,'CAMPAIGN MASTER'!$AM$5:$AM$704,1))</f>
        <v>0</v>
      </c>
      <c r="E18" s="83">
        <f>IF($A18="","",COUNTIFS('DAILY TASK TRACKER'!$C$5:$C$1504,$A18,'DAILY TASK TRACKER'!$G$5:$G$1504,"&lt;&gt;",'DAILY TASK TRACKER'!$AH$5:$AH$1504,cpCrit))</f>
        <v>1</v>
      </c>
      <c r="F18" s="83">
        <f>IF($A18="","",COUNTIFS('DAILY TASK TRACKER'!$C$5:$C$1504,$A18,'DAILY TASK TRACKER'!$M$5:$M$1504,"Completed",'DAILY TASK TRACKER'!$AH$5:$AH$1504,cpCrit))</f>
        <v>0</v>
      </c>
      <c r="G18" s="83">
        <f>IF($A18="","",SUMIFS('DAILY TASK TRACKER'!$AK$5:$AK$1504,'DAILY TASK TRACKER'!$C$5:$C$1504,$A18,'DAILY TASK TRACKER'!$AH$5:$AH$1504,cpCrit))</f>
        <v>1</v>
      </c>
      <c r="H18" s="83">
        <f>IF($A18="","",SUMIFS('DAILY TASK TRACKER'!$AL$5:$AL$1504,'DAILY TASK TRACKER'!$C$5:$C$1504,$A18,'DAILY TASK TRACKER'!$AH$5:$AH$1504,cpCrit))</f>
        <v>0</v>
      </c>
      <c r="I18" s="83">
        <f>IF($A18="","",SUMIFS('DAILY TASK TRACKER'!$AM$5:$AM$1504,'DAILY TASK TRACKER'!$C$5:$C$1504,$A18,'DAILY TASK TRACKER'!$AH$5:$AH$1504,cpCrit))</f>
        <v>0</v>
      </c>
      <c r="J18" s="73">
        <f>IF($A18="","",IF(E18&gt;0,F18/E18,""))</f>
        <v>0</v>
      </c>
      <c r="K18" s="73">
        <f>IF($A18="","",IF($E$37&gt;0,E18/$E$37,""))</f>
        <v>0.0172413793103448</v>
      </c>
      <c r="L18" s="83">
        <f>IF($A18="","",COUNTIFS('LEAD MQL TRACKER'!$B$5:$B$1004,$A18,'LEAD MQL TRACKER'!$AB$5:$AB$1004,1,'LEAD MQL TRACKER'!$AA$5:$AA$1004,cpCrit)+SUMIFS('EMAIL MARKETING'!$Q$5:$Q$804,'EMAIL MARKETING'!$B$5:$B$804,$A18,'EMAIL MARKETING'!$X$5:$X$804,cpCrit)+SUMIFS('PAID MEDIA ADS'!$M$5:$M$804,'PAID MEDIA ADS'!$B$5:$B$804,$A18,'PAID MEDIA ADS'!$U$5:$U$804,cpCrit)+SUMIFS('LINKEDIN OUTREACH'!$N$5:$N$704,'LINKEDIN OUTREACH'!$B$5:$B$704,$A18,'LINKEDIN OUTREACH'!$S$5:$S$704,cpCrit)+SUMIFS('WEBSITE CONTENT SEO'!$L$5:$L$804,'WEBSITE CONTENT SEO'!$B$5:$B$804,$A18,'WEBSITE CONTENT SEO'!$V$5:$V$804,cpCrit))</f>
        <v>0</v>
      </c>
      <c r="M18" s="83">
        <f>IF($A18="","",COUNTIFS('LEAD MQL TRACKER'!$B$5:$B$1004,$A18,'LEAD MQL TRACKER'!$AD$5:$AD$1004,1,'LEAD MQL TRACKER'!$AA$5:$AA$1004,cpCrit)+SUMIFS('EMAIL MARKETING'!$R$5:$R$804,'EMAIL MARKETING'!$B$5:$B$804,$A18,'EMAIL MARKETING'!$X$5:$X$804,cpCrit)+SUMIFS('PAID MEDIA ADS'!$N$5:$N$804,'PAID MEDIA ADS'!$B$5:$B$804,$A18,'PAID MEDIA ADS'!$U$5:$U$804,cpCrit)+SUMIFS('LINKEDIN OUTREACH'!$O$5:$O$704,'LINKEDIN OUTREACH'!$B$5:$B$704,$A18,'LINKEDIN OUTREACH'!$S$5:$S$704,cpCrit))</f>
        <v>0</v>
      </c>
      <c r="N18" s="83">
        <f>IF($A18="","",COUNTIFS('LEAD MQL TRACKER'!$B$5:$B$1004,$A18,'LEAD MQL TRACKER'!$AE$5:$AE$1004,1,'LEAD MQL TRACKER'!$AA$5:$AA$1004,cpCrit))</f>
        <v>0</v>
      </c>
      <c r="O18" s="83">
        <f>IF($A18="","",COUNTIFS('LEAD MQL TRACKER'!$B$5:$B$1004,$A18,'LEAD MQL TRACKER'!$AC$5:$AC$1004,1,'LEAD MQL TRACKER'!$AA$5:$AA$1004,cpCrit)+SUMIFS('LINKEDIN OUTREACH'!$M$5:$M$704,'LINKEDIN OUTREACH'!$B$5:$B$704,$A18,'LINKEDIN OUTREACH'!$S$5:$S$704,cpCrit))</f>
        <v>0</v>
      </c>
      <c r="P18" s="73" t="str">
        <f>IF($A18="","",IF($L$37&gt;0,L18/$L$37,""))</f>
        <v/>
      </c>
      <c r="Q18" s="83">
        <f>IF($A18="","",SUMIFS('EMAIL MARKETING'!$F$5:$F$804,'EMAIL MARKETING'!$B$5:$B$804,$A18,'EMAIL MARKETING'!$X$5:$X$804,cpCrit))</f>
        <v>0</v>
      </c>
      <c r="R18" s="73" t="str">
        <f>IF($A18="","",IFERROR(SUMIFS('EMAIL MARKETING'!$I$5:$I$804,'EMAIL MARKETING'!$B$5:$B$804,$A18,'EMAIL MARKETING'!$X$5:$X$804,cpCrit)/SUMIFS('EMAIL MARKETING'!$W$5:$W$804,'EMAIL MARKETING'!$B$5:$B$804,$A18,'EMAIL MARKETING'!$X$5:$X$804,cpCrit),""))</f>
        <v/>
      </c>
      <c r="S18" s="73" t="str">
        <f>IF($A18="","",IFERROR(SUMIFS('EMAIL MARKETING'!$K$5:$K$804,'EMAIL MARKETING'!$B$5:$B$804,$A18,'EMAIL MARKETING'!$X$5:$X$804,cpCrit)/SUMIFS('EMAIL MARKETING'!$W$5:$W$804,'EMAIL MARKETING'!$B$5:$B$804,$A18,'EMAIL MARKETING'!$X$5:$X$804,cpCrit),""))</f>
        <v/>
      </c>
      <c r="T18" s="73" t="str">
        <f>IF($A18="","",IFERROR(SUMIFS('EMAIL MARKETING'!$O$5:$O$804,'EMAIL MARKETING'!$B$5:$B$804,$A18,'EMAIL MARKETING'!$X$5:$X$804,cpCrit)/SUMIFS('EMAIL MARKETING'!$W$5:$W$804,'EMAIL MARKETING'!$B$5:$B$804,$A18,'EMAIL MARKETING'!$X$5:$X$804,cpCrit),""))</f>
        <v/>
      </c>
      <c r="U18" s="72">
        <f>IF($A18="","",SUMIFS('PAID MEDIA ADS'!$G$5:$G$804,'PAID MEDIA ADS'!$B$5:$B$804,$A18,'PAID MEDIA ADS'!$U$5:$U$804,cpCrit))</f>
        <v>0</v>
      </c>
      <c r="V18" s="83">
        <f>IF($A18="","",SUMIFS('PAID MEDIA ADS'!$M$5:$M$804,'PAID MEDIA ADS'!$B$5:$B$804,$A18,'PAID MEDIA ADS'!$U$5:$U$804,cpCrit))</f>
        <v>0</v>
      </c>
      <c r="W18" s="72" t="str">
        <f>IF($A18="","",IF(AND(U18&gt;0,V18&gt;0),U18/V18,""))</f>
        <v/>
      </c>
      <c r="X18" s="83">
        <f>IF($A18="","",COUNTIFS('WEBSITE CONTENT SEO'!$B$5:$B$804,$A18,'WEBSITE CONTENT SEO'!$D$5:$D$804,"&lt;&gt;",'WEBSITE CONTENT SEO'!$V$5:$V$804,cpCrit))</f>
        <v>0</v>
      </c>
      <c r="Y18" s="83">
        <f>IF($A18="","",SUMIFS('CAMPAIGN MASTER'!$AS$5:$AS$704,'CAMPAIGN MASTER'!$A$5:$A$704,$A18))</f>
        <v>0</v>
      </c>
      <c r="Z18" s="83" t="str">
        <f>IF($A18="","",IF(AND(E18=0,COUNTIFS('CAMPAIGN MASTER'!$A$5:$A$704,$A18)=0),"No Activity",IF(OR(H18&gt;0,I18&gt;0,Y18&gt;0),"Needs Attention",IF(E18=0,"No Tasks Logged",IF(AND(ISNUMBER(J18),J18&gt;=0.7),"Performing","In Progress")))))</f>
        <v>In Progress</v>
      </c>
      <c r="AA18" s="82" t="str">
        <f>IF($A18="","",IFERROR(IF(INDEX('CLIENT MASTER'!$H$5:$H$64,MATCH($A18,'CLIENT MASTER'!$A$5:$A$64,0))="","",INDEX('CLIENT MASTER'!$H$5:$H$64,MATCH($A18,'CLIENT MASTER'!$A$5:$A$64,0))),""))</f>
        <v/>
      </c>
      <c r="AB18" s="82" t="str">
        <f>IF($A18="","",IFERROR(IF(INDEX('CLIENT MASTER'!$I$5:$I$64,MATCH($A18,'CLIENT MASTER'!$A$5:$A$64,0))="","",INDEX('CLIENT MASTER'!$I$5:$I$64,MATCH($A18,'CLIENT MASTER'!$A$5:$A$64,0))),""))</f>
        <v/>
      </c>
      <c r="AC18" s="82" t="str">
        <f>IF($A18="","",IFERROR(IF(INDEX('CLIENT MASTER'!$J$5:$J$64,MATCH($A18,'CLIENT MASTER'!$A$5:$A$64,0))="","",INDEX('CLIENT MASTER'!$J$5:$J$64,MATCH($A18,'CLIENT MASTER'!$A$5:$A$64,0))),""))</f>
        <v/>
      </c>
      <c r="AD18" s="92" t="str">
        <f>IF($Z18="Needs Attention",ROW(),"")</f>
        <v/>
      </c>
      <c r="AE18" s="92" t="str">
        <f>IF($Z18="Performing",ROW(),"")</f>
        <v/>
      </c>
    </row>
    <row r="19" ht="28" customHeight="1">
      <c r="A19" s="81" t="str">
        <f>IF('CLIENT MASTER'!A17="","",'CLIENT MASTER'!A17)</f>
        <v>Sonalika Tractors</v>
      </c>
      <c r="B19" s="83" t="str">
        <f>IF($A19="","",IFERROR(IF(INDEX('CLIENT MASTER'!$C$5:$C$64,MATCH($A19,'CLIENT MASTER'!$A$5:$A$64,0))="","",INDEX('CLIENT MASTER'!$C$5:$C$64,MATCH($A19,'CLIENT MASTER'!$A$5:$A$64,0))),""))</f>
        <v>External</v>
      </c>
      <c r="C19" s="83" t="str">
        <f>IF($A19="","",IFERROR(IF(INDEX('CLIENT MASTER'!$D$5:$D$64,MATCH($A19,'CLIENT MASTER'!$A$5:$A$64,0))="","",INDEX('CLIENT MASTER'!$D$5:$D$64,MATCH($A19,'CLIENT MASTER'!$A$5:$A$64,0))),""))</f>
        <v>Pipeline</v>
      </c>
      <c r="D19" s="83">
        <f>IF($A19="","",COUNTIFS('CAMPAIGN MASTER'!$A$5:$A$704,$A19,'CAMPAIGN MASTER'!$AM$5:$AM$704,1))</f>
        <v>0</v>
      </c>
      <c r="E19" s="83">
        <f>IF($A19="","",COUNTIFS('DAILY TASK TRACKER'!$C$5:$C$1504,$A19,'DAILY TASK TRACKER'!$G$5:$G$1504,"&lt;&gt;",'DAILY TASK TRACKER'!$AH$5:$AH$1504,cpCrit))</f>
        <v>0</v>
      </c>
      <c r="F19" s="83">
        <f>IF($A19="","",COUNTIFS('DAILY TASK TRACKER'!$C$5:$C$1504,$A19,'DAILY TASK TRACKER'!$M$5:$M$1504,"Completed",'DAILY TASK TRACKER'!$AH$5:$AH$1504,cpCrit))</f>
        <v>0</v>
      </c>
      <c r="G19" s="83">
        <f>IF($A19="","",SUMIFS('DAILY TASK TRACKER'!$AK$5:$AK$1504,'DAILY TASK TRACKER'!$C$5:$C$1504,$A19,'DAILY TASK TRACKER'!$AH$5:$AH$1504,cpCrit))</f>
        <v>0</v>
      </c>
      <c r="H19" s="83">
        <f>IF($A19="","",SUMIFS('DAILY TASK TRACKER'!$AL$5:$AL$1504,'DAILY TASK TRACKER'!$C$5:$C$1504,$A19,'DAILY TASK TRACKER'!$AH$5:$AH$1504,cpCrit))</f>
        <v>0</v>
      </c>
      <c r="I19" s="83">
        <f>IF($A19="","",SUMIFS('DAILY TASK TRACKER'!$AM$5:$AM$1504,'DAILY TASK TRACKER'!$C$5:$C$1504,$A19,'DAILY TASK TRACKER'!$AH$5:$AH$1504,cpCrit))</f>
        <v>0</v>
      </c>
      <c r="J19" s="73" t="str">
        <f>IF($A19="","",IF(E19&gt;0,F19/E19,""))</f>
        <v/>
      </c>
      <c r="K19" s="73">
        <f>IF($A19="","",IF($E$37&gt;0,E19/$E$37,""))</f>
        <v>0</v>
      </c>
      <c r="L19" s="83">
        <f>IF($A19="","",COUNTIFS('LEAD MQL TRACKER'!$B$5:$B$1004,$A19,'LEAD MQL TRACKER'!$AB$5:$AB$1004,1,'LEAD MQL TRACKER'!$AA$5:$AA$1004,cpCrit)+SUMIFS('EMAIL MARKETING'!$Q$5:$Q$804,'EMAIL MARKETING'!$B$5:$B$804,$A19,'EMAIL MARKETING'!$X$5:$X$804,cpCrit)+SUMIFS('PAID MEDIA ADS'!$M$5:$M$804,'PAID MEDIA ADS'!$B$5:$B$804,$A19,'PAID MEDIA ADS'!$U$5:$U$804,cpCrit)+SUMIFS('LINKEDIN OUTREACH'!$N$5:$N$704,'LINKEDIN OUTREACH'!$B$5:$B$704,$A19,'LINKEDIN OUTREACH'!$S$5:$S$704,cpCrit)+SUMIFS('WEBSITE CONTENT SEO'!$L$5:$L$804,'WEBSITE CONTENT SEO'!$B$5:$B$804,$A19,'WEBSITE CONTENT SEO'!$V$5:$V$804,cpCrit))</f>
        <v>0</v>
      </c>
      <c r="M19" s="83">
        <f>IF($A19="","",COUNTIFS('LEAD MQL TRACKER'!$B$5:$B$1004,$A19,'LEAD MQL TRACKER'!$AD$5:$AD$1004,1,'LEAD MQL TRACKER'!$AA$5:$AA$1004,cpCrit)+SUMIFS('EMAIL MARKETING'!$R$5:$R$804,'EMAIL MARKETING'!$B$5:$B$804,$A19,'EMAIL MARKETING'!$X$5:$X$804,cpCrit)+SUMIFS('PAID MEDIA ADS'!$N$5:$N$804,'PAID MEDIA ADS'!$B$5:$B$804,$A19,'PAID MEDIA ADS'!$U$5:$U$804,cpCrit)+SUMIFS('LINKEDIN OUTREACH'!$O$5:$O$704,'LINKEDIN OUTREACH'!$B$5:$B$704,$A19,'LINKEDIN OUTREACH'!$S$5:$S$704,cpCrit))</f>
        <v>0</v>
      </c>
      <c r="N19" s="83">
        <f>IF($A19="","",COUNTIFS('LEAD MQL TRACKER'!$B$5:$B$1004,$A19,'LEAD MQL TRACKER'!$AE$5:$AE$1004,1,'LEAD MQL TRACKER'!$AA$5:$AA$1004,cpCrit))</f>
        <v>0</v>
      </c>
      <c r="O19" s="83">
        <f>IF($A19="","",COUNTIFS('LEAD MQL TRACKER'!$B$5:$B$1004,$A19,'LEAD MQL TRACKER'!$AC$5:$AC$1004,1,'LEAD MQL TRACKER'!$AA$5:$AA$1004,cpCrit)+SUMIFS('LINKEDIN OUTREACH'!$M$5:$M$704,'LINKEDIN OUTREACH'!$B$5:$B$704,$A19,'LINKEDIN OUTREACH'!$S$5:$S$704,cpCrit))</f>
        <v>0</v>
      </c>
      <c r="P19" s="73" t="str">
        <f>IF($A19="","",IF($L$37&gt;0,L19/$L$37,""))</f>
        <v/>
      </c>
      <c r="Q19" s="83">
        <f>IF($A19="","",SUMIFS('EMAIL MARKETING'!$F$5:$F$804,'EMAIL MARKETING'!$B$5:$B$804,$A19,'EMAIL MARKETING'!$X$5:$X$804,cpCrit))</f>
        <v>0</v>
      </c>
      <c r="R19" s="73" t="str">
        <f>IF($A19="","",IFERROR(SUMIFS('EMAIL MARKETING'!$I$5:$I$804,'EMAIL MARKETING'!$B$5:$B$804,$A19,'EMAIL MARKETING'!$X$5:$X$804,cpCrit)/SUMIFS('EMAIL MARKETING'!$W$5:$W$804,'EMAIL MARKETING'!$B$5:$B$804,$A19,'EMAIL MARKETING'!$X$5:$X$804,cpCrit),""))</f>
        <v/>
      </c>
      <c r="S19" s="73" t="str">
        <f>IF($A19="","",IFERROR(SUMIFS('EMAIL MARKETING'!$K$5:$K$804,'EMAIL MARKETING'!$B$5:$B$804,$A19,'EMAIL MARKETING'!$X$5:$X$804,cpCrit)/SUMIFS('EMAIL MARKETING'!$W$5:$W$804,'EMAIL MARKETING'!$B$5:$B$804,$A19,'EMAIL MARKETING'!$X$5:$X$804,cpCrit),""))</f>
        <v/>
      </c>
      <c r="T19" s="73" t="str">
        <f>IF($A19="","",IFERROR(SUMIFS('EMAIL MARKETING'!$O$5:$O$804,'EMAIL MARKETING'!$B$5:$B$804,$A19,'EMAIL MARKETING'!$X$5:$X$804,cpCrit)/SUMIFS('EMAIL MARKETING'!$W$5:$W$804,'EMAIL MARKETING'!$B$5:$B$804,$A19,'EMAIL MARKETING'!$X$5:$X$804,cpCrit),""))</f>
        <v/>
      </c>
      <c r="U19" s="72">
        <f>IF($A19="","",SUMIFS('PAID MEDIA ADS'!$G$5:$G$804,'PAID MEDIA ADS'!$B$5:$B$804,$A19,'PAID MEDIA ADS'!$U$5:$U$804,cpCrit))</f>
        <v>0</v>
      </c>
      <c r="V19" s="83">
        <f>IF($A19="","",SUMIFS('PAID MEDIA ADS'!$M$5:$M$804,'PAID MEDIA ADS'!$B$5:$B$804,$A19,'PAID MEDIA ADS'!$U$5:$U$804,cpCrit))</f>
        <v>0</v>
      </c>
      <c r="W19" s="72" t="str">
        <f>IF($A19="","",IF(AND(U19&gt;0,V19&gt;0),U19/V19,""))</f>
        <v/>
      </c>
      <c r="X19" s="83">
        <f>IF($A19="","",COUNTIFS('WEBSITE CONTENT SEO'!$B$5:$B$804,$A19,'WEBSITE CONTENT SEO'!$D$5:$D$804,"&lt;&gt;",'WEBSITE CONTENT SEO'!$V$5:$V$804,cpCrit))</f>
        <v>0</v>
      </c>
      <c r="Y19" s="83">
        <f>IF($A19="","",SUMIFS('CAMPAIGN MASTER'!$AS$5:$AS$704,'CAMPAIGN MASTER'!$A$5:$A$704,$A19))</f>
        <v>0</v>
      </c>
      <c r="Z19" s="83" t="str">
        <f>IF($A19="","",IF(AND(E19=0,COUNTIFS('CAMPAIGN MASTER'!$A$5:$A$704,$A19)=0),"No Activity",IF(OR(H19&gt;0,I19&gt;0,Y19&gt;0),"Needs Attention",IF(E19=0,"No Tasks Logged",IF(AND(ISNUMBER(J19),J19&gt;=0.7),"Performing","In Progress")))))</f>
        <v>No Tasks Logged</v>
      </c>
      <c r="AA19" s="82" t="str">
        <f>IF($A19="","",IFERROR(IF(INDEX('CLIENT MASTER'!$H$5:$H$64,MATCH($A19,'CLIENT MASTER'!$A$5:$A$64,0))="","",INDEX('CLIENT MASTER'!$H$5:$H$64,MATCH($A19,'CLIENT MASTER'!$A$5:$A$64,0))),""))</f>
        <v/>
      </c>
      <c r="AB19" s="82" t="str">
        <f>IF($A19="","",IFERROR(IF(INDEX('CLIENT MASTER'!$I$5:$I$64,MATCH($A19,'CLIENT MASTER'!$A$5:$A$64,0))="","",INDEX('CLIENT MASTER'!$I$5:$I$64,MATCH($A19,'CLIENT MASTER'!$A$5:$A$64,0))),""))</f>
        <v/>
      </c>
      <c r="AC19" s="82" t="str">
        <f>IF($A19="","",IFERROR(IF(INDEX('CLIENT MASTER'!$J$5:$J$64,MATCH($A19,'CLIENT MASTER'!$A$5:$A$64,0))="","",INDEX('CLIENT MASTER'!$J$5:$J$64,MATCH($A19,'CLIENT MASTER'!$A$5:$A$64,0))),""))</f>
        <v/>
      </c>
      <c r="AD19" s="92" t="str">
        <f>IF($Z19="Needs Attention",ROW(),"")</f>
        <v/>
      </c>
      <c r="AE19" s="92" t="str">
        <f>IF($Z19="Performing",ROW(),"")</f>
        <v/>
      </c>
    </row>
    <row r="20" ht="28" customHeight="1">
      <c r="A20" s="81" t="str">
        <f>IF('CLIENT MASTER'!A18="","",'CLIENT MASTER'!A18)</f>
        <v>AMEX</v>
      </c>
      <c r="B20" s="83" t="str">
        <f>IF($A20="","",IFERROR(IF(INDEX('CLIENT MASTER'!$C$5:$C$64,MATCH($A20,'CLIENT MASTER'!$A$5:$A$64,0))="","",INDEX('CLIENT MASTER'!$C$5:$C$64,MATCH($A20,'CLIENT MASTER'!$A$5:$A$64,0))),""))</f>
        <v>External</v>
      </c>
      <c r="C20" s="83" t="str">
        <f>IF($A20="","",IFERROR(IF(INDEX('CLIENT MASTER'!$D$5:$D$64,MATCH($A20,'CLIENT MASTER'!$A$5:$A$64,0))="","",INDEX('CLIENT MASTER'!$D$5:$D$64,MATCH($A20,'CLIENT MASTER'!$A$5:$A$64,0))),""))</f>
        <v>Pipeline</v>
      </c>
      <c r="D20" s="83">
        <f>IF($A20="","",COUNTIFS('CAMPAIGN MASTER'!$A$5:$A$704,$A20,'CAMPAIGN MASTER'!$AM$5:$AM$704,1))</f>
        <v>0</v>
      </c>
      <c r="E20" s="83">
        <f>IF($A20="","",COUNTIFS('DAILY TASK TRACKER'!$C$5:$C$1504,$A20,'DAILY TASK TRACKER'!$G$5:$G$1504,"&lt;&gt;",'DAILY TASK TRACKER'!$AH$5:$AH$1504,cpCrit))</f>
        <v>0</v>
      </c>
      <c r="F20" s="83">
        <f>IF($A20="","",COUNTIFS('DAILY TASK TRACKER'!$C$5:$C$1504,$A20,'DAILY TASK TRACKER'!$M$5:$M$1504,"Completed",'DAILY TASK TRACKER'!$AH$5:$AH$1504,cpCrit))</f>
        <v>0</v>
      </c>
      <c r="G20" s="83">
        <f>IF($A20="","",SUMIFS('DAILY TASK TRACKER'!$AK$5:$AK$1504,'DAILY TASK TRACKER'!$C$5:$C$1504,$A20,'DAILY TASK TRACKER'!$AH$5:$AH$1504,cpCrit))</f>
        <v>0</v>
      </c>
      <c r="H20" s="83">
        <f>IF($A20="","",SUMIFS('DAILY TASK TRACKER'!$AL$5:$AL$1504,'DAILY TASK TRACKER'!$C$5:$C$1504,$A20,'DAILY TASK TRACKER'!$AH$5:$AH$1504,cpCrit))</f>
        <v>0</v>
      </c>
      <c r="I20" s="83">
        <f>IF($A20="","",SUMIFS('DAILY TASK TRACKER'!$AM$5:$AM$1504,'DAILY TASK TRACKER'!$C$5:$C$1504,$A20,'DAILY TASK TRACKER'!$AH$5:$AH$1504,cpCrit))</f>
        <v>0</v>
      </c>
      <c r="J20" s="73" t="str">
        <f>IF($A20="","",IF(E20&gt;0,F20/E20,""))</f>
        <v/>
      </c>
      <c r="K20" s="73">
        <f>IF($A20="","",IF($E$37&gt;0,E20/$E$37,""))</f>
        <v>0</v>
      </c>
      <c r="L20" s="83">
        <f>IF($A20="","",COUNTIFS('LEAD MQL TRACKER'!$B$5:$B$1004,$A20,'LEAD MQL TRACKER'!$AB$5:$AB$1004,1,'LEAD MQL TRACKER'!$AA$5:$AA$1004,cpCrit)+SUMIFS('EMAIL MARKETING'!$Q$5:$Q$804,'EMAIL MARKETING'!$B$5:$B$804,$A20,'EMAIL MARKETING'!$X$5:$X$804,cpCrit)+SUMIFS('PAID MEDIA ADS'!$M$5:$M$804,'PAID MEDIA ADS'!$B$5:$B$804,$A20,'PAID MEDIA ADS'!$U$5:$U$804,cpCrit)+SUMIFS('LINKEDIN OUTREACH'!$N$5:$N$704,'LINKEDIN OUTREACH'!$B$5:$B$704,$A20,'LINKEDIN OUTREACH'!$S$5:$S$704,cpCrit)+SUMIFS('WEBSITE CONTENT SEO'!$L$5:$L$804,'WEBSITE CONTENT SEO'!$B$5:$B$804,$A20,'WEBSITE CONTENT SEO'!$V$5:$V$804,cpCrit))</f>
        <v>0</v>
      </c>
      <c r="M20" s="83">
        <f>IF($A20="","",COUNTIFS('LEAD MQL TRACKER'!$B$5:$B$1004,$A20,'LEAD MQL TRACKER'!$AD$5:$AD$1004,1,'LEAD MQL TRACKER'!$AA$5:$AA$1004,cpCrit)+SUMIFS('EMAIL MARKETING'!$R$5:$R$804,'EMAIL MARKETING'!$B$5:$B$804,$A20,'EMAIL MARKETING'!$X$5:$X$804,cpCrit)+SUMIFS('PAID MEDIA ADS'!$N$5:$N$804,'PAID MEDIA ADS'!$B$5:$B$804,$A20,'PAID MEDIA ADS'!$U$5:$U$804,cpCrit)+SUMIFS('LINKEDIN OUTREACH'!$O$5:$O$704,'LINKEDIN OUTREACH'!$B$5:$B$704,$A20,'LINKEDIN OUTREACH'!$S$5:$S$704,cpCrit))</f>
        <v>0</v>
      </c>
      <c r="N20" s="83">
        <f>IF($A20="","",COUNTIFS('LEAD MQL TRACKER'!$B$5:$B$1004,$A20,'LEAD MQL TRACKER'!$AE$5:$AE$1004,1,'LEAD MQL TRACKER'!$AA$5:$AA$1004,cpCrit))</f>
        <v>0</v>
      </c>
      <c r="O20" s="83">
        <f>IF($A20="","",COUNTIFS('LEAD MQL TRACKER'!$B$5:$B$1004,$A20,'LEAD MQL TRACKER'!$AC$5:$AC$1004,1,'LEAD MQL TRACKER'!$AA$5:$AA$1004,cpCrit)+SUMIFS('LINKEDIN OUTREACH'!$M$5:$M$704,'LINKEDIN OUTREACH'!$B$5:$B$704,$A20,'LINKEDIN OUTREACH'!$S$5:$S$704,cpCrit))</f>
        <v>0</v>
      </c>
      <c r="P20" s="73" t="str">
        <f>IF($A20="","",IF($L$37&gt;0,L20/$L$37,""))</f>
        <v/>
      </c>
      <c r="Q20" s="83">
        <f>IF($A20="","",SUMIFS('EMAIL MARKETING'!$F$5:$F$804,'EMAIL MARKETING'!$B$5:$B$804,$A20,'EMAIL MARKETING'!$X$5:$X$804,cpCrit))</f>
        <v>0</v>
      </c>
      <c r="R20" s="73" t="str">
        <f>IF($A20="","",IFERROR(SUMIFS('EMAIL MARKETING'!$I$5:$I$804,'EMAIL MARKETING'!$B$5:$B$804,$A20,'EMAIL MARKETING'!$X$5:$X$804,cpCrit)/SUMIFS('EMAIL MARKETING'!$W$5:$W$804,'EMAIL MARKETING'!$B$5:$B$804,$A20,'EMAIL MARKETING'!$X$5:$X$804,cpCrit),""))</f>
        <v/>
      </c>
      <c r="S20" s="73" t="str">
        <f>IF($A20="","",IFERROR(SUMIFS('EMAIL MARKETING'!$K$5:$K$804,'EMAIL MARKETING'!$B$5:$B$804,$A20,'EMAIL MARKETING'!$X$5:$X$804,cpCrit)/SUMIFS('EMAIL MARKETING'!$W$5:$W$804,'EMAIL MARKETING'!$B$5:$B$804,$A20,'EMAIL MARKETING'!$X$5:$X$804,cpCrit),""))</f>
        <v/>
      </c>
      <c r="T20" s="73" t="str">
        <f>IF($A20="","",IFERROR(SUMIFS('EMAIL MARKETING'!$O$5:$O$804,'EMAIL MARKETING'!$B$5:$B$804,$A20,'EMAIL MARKETING'!$X$5:$X$804,cpCrit)/SUMIFS('EMAIL MARKETING'!$W$5:$W$804,'EMAIL MARKETING'!$B$5:$B$804,$A20,'EMAIL MARKETING'!$X$5:$X$804,cpCrit),""))</f>
        <v/>
      </c>
      <c r="U20" s="72">
        <f>IF($A20="","",SUMIFS('PAID MEDIA ADS'!$G$5:$G$804,'PAID MEDIA ADS'!$B$5:$B$804,$A20,'PAID MEDIA ADS'!$U$5:$U$804,cpCrit))</f>
        <v>0</v>
      </c>
      <c r="V20" s="83">
        <f>IF($A20="","",SUMIFS('PAID MEDIA ADS'!$M$5:$M$804,'PAID MEDIA ADS'!$B$5:$B$804,$A20,'PAID MEDIA ADS'!$U$5:$U$804,cpCrit))</f>
        <v>0</v>
      </c>
      <c r="W20" s="72" t="str">
        <f>IF($A20="","",IF(AND(U20&gt;0,V20&gt;0),U20/V20,""))</f>
        <v/>
      </c>
      <c r="X20" s="83">
        <f>IF($A20="","",COUNTIFS('WEBSITE CONTENT SEO'!$B$5:$B$804,$A20,'WEBSITE CONTENT SEO'!$D$5:$D$804,"&lt;&gt;",'WEBSITE CONTENT SEO'!$V$5:$V$804,cpCrit))</f>
        <v>0</v>
      </c>
      <c r="Y20" s="83">
        <f>IF($A20="","",SUMIFS('CAMPAIGN MASTER'!$AS$5:$AS$704,'CAMPAIGN MASTER'!$A$5:$A$704,$A20))</f>
        <v>0</v>
      </c>
      <c r="Z20" s="83" t="str">
        <f>IF($A20="","",IF(AND(E20=0,COUNTIFS('CAMPAIGN MASTER'!$A$5:$A$704,$A20)=0),"No Activity",IF(OR(H20&gt;0,I20&gt;0,Y20&gt;0),"Needs Attention",IF(E20=0,"No Tasks Logged",IF(AND(ISNUMBER(J20),J20&gt;=0.7),"Performing","In Progress")))))</f>
        <v>No Activity</v>
      </c>
      <c r="AA20" s="82" t="str">
        <f>IF($A20="","",IFERROR(IF(INDEX('CLIENT MASTER'!$H$5:$H$64,MATCH($A20,'CLIENT MASTER'!$A$5:$A$64,0))="","",INDEX('CLIENT MASTER'!$H$5:$H$64,MATCH($A20,'CLIENT MASTER'!$A$5:$A$64,0))),""))</f>
        <v/>
      </c>
      <c r="AB20" s="82" t="str">
        <f>IF($A20="","",IFERROR(IF(INDEX('CLIENT MASTER'!$I$5:$I$64,MATCH($A20,'CLIENT MASTER'!$A$5:$A$64,0))="","",INDEX('CLIENT MASTER'!$I$5:$I$64,MATCH($A20,'CLIENT MASTER'!$A$5:$A$64,0))),""))</f>
        <v/>
      </c>
      <c r="AC20" s="82" t="str">
        <f>IF($A20="","",IFERROR(IF(INDEX('CLIENT MASTER'!$J$5:$J$64,MATCH($A20,'CLIENT MASTER'!$A$5:$A$64,0))="","",INDEX('CLIENT MASTER'!$J$5:$J$64,MATCH($A20,'CLIENT MASTER'!$A$5:$A$64,0))),""))</f>
        <v/>
      </c>
      <c r="AD20" s="92" t="str">
        <f>IF($Z20="Needs Attention",ROW(),"")</f>
        <v/>
      </c>
      <c r="AE20" s="92" t="str">
        <f>IF($Z20="Performing",ROW(),"")</f>
        <v/>
      </c>
    </row>
    <row r="21" ht="28" customHeight="1">
      <c r="A21" s="81" t="str">
        <f>IF('CLIENT MASTER'!A19="","",'CLIENT MASTER'!A19)</f>
        <v>Marg Business Transformation</v>
      </c>
      <c r="B21" s="83" t="str">
        <f>IF($A21="","",IFERROR(IF(INDEX('CLIENT MASTER'!$C$5:$C$64,MATCH($A21,'CLIENT MASTER'!$A$5:$A$64,0))="","",INDEX('CLIENT MASTER'!$C$5:$C$64,MATCH($A21,'CLIENT MASTER'!$A$5:$A$64,0))),""))</f>
        <v>External</v>
      </c>
      <c r="C21" s="83" t="str">
        <f>IF($A21="","",IFERROR(IF(INDEX('CLIENT MASTER'!$D$5:$D$64,MATCH($A21,'CLIENT MASTER'!$A$5:$A$64,0))="","",INDEX('CLIENT MASTER'!$D$5:$D$64,MATCH($A21,'CLIENT MASTER'!$A$5:$A$64,0))),""))</f>
        <v>Ended</v>
      </c>
      <c r="D21" s="83">
        <f>IF($A21="","",COUNTIFS('CAMPAIGN MASTER'!$A$5:$A$704,$A21,'CAMPAIGN MASTER'!$AM$5:$AM$704,1))</f>
        <v>0</v>
      </c>
      <c r="E21" s="83">
        <f>IF($A21="","",COUNTIFS('DAILY TASK TRACKER'!$C$5:$C$1504,$A21,'DAILY TASK TRACKER'!$G$5:$G$1504,"&lt;&gt;",'DAILY TASK TRACKER'!$AH$5:$AH$1504,cpCrit))</f>
        <v>0</v>
      </c>
      <c r="F21" s="83">
        <f>IF($A21="","",COUNTIFS('DAILY TASK TRACKER'!$C$5:$C$1504,$A21,'DAILY TASK TRACKER'!$M$5:$M$1504,"Completed",'DAILY TASK TRACKER'!$AH$5:$AH$1504,cpCrit))</f>
        <v>0</v>
      </c>
      <c r="G21" s="83">
        <f>IF($A21="","",SUMIFS('DAILY TASK TRACKER'!$AK$5:$AK$1504,'DAILY TASK TRACKER'!$C$5:$C$1504,$A21,'DAILY TASK TRACKER'!$AH$5:$AH$1504,cpCrit))</f>
        <v>0</v>
      </c>
      <c r="H21" s="83">
        <f>IF($A21="","",SUMIFS('DAILY TASK TRACKER'!$AL$5:$AL$1504,'DAILY TASK TRACKER'!$C$5:$C$1504,$A21,'DAILY TASK TRACKER'!$AH$5:$AH$1504,cpCrit))</f>
        <v>0</v>
      </c>
      <c r="I21" s="83">
        <f>IF($A21="","",SUMIFS('DAILY TASK TRACKER'!$AM$5:$AM$1504,'DAILY TASK TRACKER'!$C$5:$C$1504,$A21,'DAILY TASK TRACKER'!$AH$5:$AH$1504,cpCrit))</f>
        <v>0</v>
      </c>
      <c r="J21" s="73" t="str">
        <f>IF($A21="","",IF(E21&gt;0,F21/E21,""))</f>
        <v/>
      </c>
      <c r="K21" s="73">
        <f>IF($A21="","",IF($E$37&gt;0,E21/$E$37,""))</f>
        <v>0</v>
      </c>
      <c r="L21" s="83">
        <f>IF($A21="","",COUNTIFS('LEAD MQL TRACKER'!$B$5:$B$1004,$A21,'LEAD MQL TRACKER'!$AB$5:$AB$1004,1,'LEAD MQL TRACKER'!$AA$5:$AA$1004,cpCrit)+SUMIFS('EMAIL MARKETING'!$Q$5:$Q$804,'EMAIL MARKETING'!$B$5:$B$804,$A21,'EMAIL MARKETING'!$X$5:$X$804,cpCrit)+SUMIFS('PAID MEDIA ADS'!$M$5:$M$804,'PAID MEDIA ADS'!$B$5:$B$804,$A21,'PAID MEDIA ADS'!$U$5:$U$804,cpCrit)+SUMIFS('LINKEDIN OUTREACH'!$N$5:$N$704,'LINKEDIN OUTREACH'!$B$5:$B$704,$A21,'LINKEDIN OUTREACH'!$S$5:$S$704,cpCrit)+SUMIFS('WEBSITE CONTENT SEO'!$L$5:$L$804,'WEBSITE CONTENT SEO'!$B$5:$B$804,$A21,'WEBSITE CONTENT SEO'!$V$5:$V$804,cpCrit))</f>
        <v>0</v>
      </c>
      <c r="M21" s="83">
        <f>IF($A21="","",COUNTIFS('LEAD MQL TRACKER'!$B$5:$B$1004,$A21,'LEAD MQL TRACKER'!$AD$5:$AD$1004,1,'LEAD MQL TRACKER'!$AA$5:$AA$1004,cpCrit)+SUMIFS('EMAIL MARKETING'!$R$5:$R$804,'EMAIL MARKETING'!$B$5:$B$804,$A21,'EMAIL MARKETING'!$X$5:$X$804,cpCrit)+SUMIFS('PAID MEDIA ADS'!$N$5:$N$804,'PAID MEDIA ADS'!$B$5:$B$804,$A21,'PAID MEDIA ADS'!$U$5:$U$804,cpCrit)+SUMIFS('LINKEDIN OUTREACH'!$O$5:$O$704,'LINKEDIN OUTREACH'!$B$5:$B$704,$A21,'LINKEDIN OUTREACH'!$S$5:$S$704,cpCrit))</f>
        <v>0</v>
      </c>
      <c r="N21" s="83">
        <f>IF($A21="","",COUNTIFS('LEAD MQL TRACKER'!$B$5:$B$1004,$A21,'LEAD MQL TRACKER'!$AE$5:$AE$1004,1,'LEAD MQL TRACKER'!$AA$5:$AA$1004,cpCrit))</f>
        <v>0</v>
      </c>
      <c r="O21" s="83">
        <f>IF($A21="","",COUNTIFS('LEAD MQL TRACKER'!$B$5:$B$1004,$A21,'LEAD MQL TRACKER'!$AC$5:$AC$1004,1,'LEAD MQL TRACKER'!$AA$5:$AA$1004,cpCrit)+SUMIFS('LINKEDIN OUTREACH'!$M$5:$M$704,'LINKEDIN OUTREACH'!$B$5:$B$704,$A21,'LINKEDIN OUTREACH'!$S$5:$S$704,cpCrit))</f>
        <v>0</v>
      </c>
      <c r="P21" s="73" t="str">
        <f>IF($A21="","",IF($L$37&gt;0,L21/$L$37,""))</f>
        <v/>
      </c>
      <c r="Q21" s="83">
        <f>IF($A21="","",SUMIFS('EMAIL MARKETING'!$F$5:$F$804,'EMAIL MARKETING'!$B$5:$B$804,$A21,'EMAIL MARKETING'!$X$5:$X$804,cpCrit))</f>
        <v>0</v>
      </c>
      <c r="R21" s="73" t="str">
        <f>IF($A21="","",IFERROR(SUMIFS('EMAIL MARKETING'!$I$5:$I$804,'EMAIL MARKETING'!$B$5:$B$804,$A21,'EMAIL MARKETING'!$X$5:$X$804,cpCrit)/SUMIFS('EMAIL MARKETING'!$W$5:$W$804,'EMAIL MARKETING'!$B$5:$B$804,$A21,'EMAIL MARKETING'!$X$5:$X$804,cpCrit),""))</f>
        <v/>
      </c>
      <c r="S21" s="73" t="str">
        <f>IF($A21="","",IFERROR(SUMIFS('EMAIL MARKETING'!$K$5:$K$804,'EMAIL MARKETING'!$B$5:$B$804,$A21,'EMAIL MARKETING'!$X$5:$X$804,cpCrit)/SUMIFS('EMAIL MARKETING'!$W$5:$W$804,'EMAIL MARKETING'!$B$5:$B$804,$A21,'EMAIL MARKETING'!$X$5:$X$804,cpCrit),""))</f>
        <v/>
      </c>
      <c r="T21" s="73" t="str">
        <f>IF($A21="","",IFERROR(SUMIFS('EMAIL MARKETING'!$O$5:$O$804,'EMAIL MARKETING'!$B$5:$B$804,$A21,'EMAIL MARKETING'!$X$5:$X$804,cpCrit)/SUMIFS('EMAIL MARKETING'!$W$5:$W$804,'EMAIL MARKETING'!$B$5:$B$804,$A21,'EMAIL MARKETING'!$X$5:$X$804,cpCrit),""))</f>
        <v/>
      </c>
      <c r="U21" s="72">
        <f>IF($A21="","",SUMIFS('PAID MEDIA ADS'!$G$5:$G$804,'PAID MEDIA ADS'!$B$5:$B$804,$A21,'PAID MEDIA ADS'!$U$5:$U$804,cpCrit))</f>
        <v>0</v>
      </c>
      <c r="V21" s="83">
        <f>IF($A21="","",SUMIFS('PAID MEDIA ADS'!$M$5:$M$804,'PAID MEDIA ADS'!$B$5:$B$804,$A21,'PAID MEDIA ADS'!$U$5:$U$804,cpCrit))</f>
        <v>0</v>
      </c>
      <c r="W21" s="72" t="str">
        <f>IF($A21="","",IF(AND(U21&gt;0,V21&gt;0),U21/V21,""))</f>
        <v/>
      </c>
      <c r="X21" s="83">
        <f>IF($A21="","",COUNTIFS('WEBSITE CONTENT SEO'!$B$5:$B$804,$A21,'WEBSITE CONTENT SEO'!$D$5:$D$804,"&lt;&gt;",'WEBSITE CONTENT SEO'!$V$5:$V$804,cpCrit))</f>
        <v>0</v>
      </c>
      <c r="Y21" s="83">
        <f>IF($A21="","",SUMIFS('CAMPAIGN MASTER'!$AS$5:$AS$704,'CAMPAIGN MASTER'!$A$5:$A$704,$A21))</f>
        <v>0</v>
      </c>
      <c r="Z21" s="83" t="str">
        <f>IF($A21="","",IF(AND(E21=0,COUNTIFS('CAMPAIGN MASTER'!$A$5:$A$704,$A21)=0),"No Activity",IF(OR(H21&gt;0,I21&gt;0,Y21&gt;0),"Needs Attention",IF(E21=0,"No Tasks Logged",IF(AND(ISNUMBER(J21),J21&gt;=0.7),"Performing","In Progress")))))</f>
        <v>No Activity</v>
      </c>
      <c r="AA21" s="82" t="str">
        <f>IF($A21="","",IFERROR(IF(INDEX('CLIENT MASTER'!$H$5:$H$64,MATCH($A21,'CLIENT MASTER'!$A$5:$A$64,0))="","",INDEX('CLIENT MASTER'!$H$5:$H$64,MATCH($A21,'CLIENT MASTER'!$A$5:$A$64,0))),""))</f>
        <v/>
      </c>
      <c r="AB21" s="82" t="str">
        <f>IF($A21="","",IFERROR(IF(INDEX('CLIENT MASTER'!$I$5:$I$64,MATCH($A21,'CLIENT MASTER'!$A$5:$A$64,0))="","",INDEX('CLIENT MASTER'!$I$5:$I$64,MATCH($A21,'CLIENT MASTER'!$A$5:$A$64,0))),""))</f>
        <v/>
      </c>
      <c r="AC21" s="82" t="str">
        <f>IF($A21="","",IFERROR(IF(INDEX('CLIENT MASTER'!$J$5:$J$64,MATCH($A21,'CLIENT MASTER'!$A$5:$A$64,0))="","",INDEX('CLIENT MASTER'!$J$5:$J$64,MATCH($A21,'CLIENT MASTER'!$A$5:$A$64,0))),""))</f>
        <v/>
      </c>
      <c r="AD21" s="92" t="str">
        <f>IF($Z21="Needs Attention",ROW(),"")</f>
        <v/>
      </c>
      <c r="AE21" s="92" t="str">
        <f>IF($Z21="Performing",ROW(),"")</f>
        <v/>
      </c>
    </row>
    <row r="22" ht="28" customHeight="1">
      <c r="A22" s="81" t="str">
        <f>IF('CLIENT MASTER'!A20="","",'CLIENT MASTER'!A20)</f>
        <v>Utimaco Singapore</v>
      </c>
      <c r="B22" s="83" t="str">
        <f>IF($A22="","",IFERROR(IF(INDEX('CLIENT MASTER'!$C$5:$C$64,MATCH($A22,'CLIENT MASTER'!$A$5:$A$64,0))="","",INDEX('CLIENT MASTER'!$C$5:$C$64,MATCH($A22,'CLIENT MASTER'!$A$5:$A$64,0))),""))</f>
        <v/>
      </c>
      <c r="C22" s="83" t="str">
        <f>IF($A22="","",IFERROR(IF(INDEX('CLIENT MASTER'!$D$5:$D$64,MATCH($A22,'CLIENT MASTER'!$A$5:$A$64,0))="","",INDEX('CLIENT MASTER'!$D$5:$D$64,MATCH($A22,'CLIENT MASTER'!$A$5:$A$64,0))),""))</f>
        <v>To Confirm</v>
      </c>
      <c r="D22" s="83">
        <f>IF($A22="","",COUNTIFS('CAMPAIGN MASTER'!$A$5:$A$704,$A22,'CAMPAIGN MASTER'!$AM$5:$AM$704,1))</f>
        <v>0</v>
      </c>
      <c r="E22" s="83">
        <f>IF($A22="","",COUNTIFS('DAILY TASK TRACKER'!$C$5:$C$1504,$A22,'DAILY TASK TRACKER'!$G$5:$G$1504,"&lt;&gt;",'DAILY TASK TRACKER'!$AH$5:$AH$1504,cpCrit))</f>
        <v>1</v>
      </c>
      <c r="F22" s="83">
        <f>IF($A22="","",COUNTIFS('DAILY TASK TRACKER'!$C$5:$C$1504,$A22,'DAILY TASK TRACKER'!$M$5:$M$1504,"Completed",'DAILY TASK TRACKER'!$AH$5:$AH$1504,cpCrit))</f>
        <v>0</v>
      </c>
      <c r="G22" s="83">
        <f>IF($A22="","",SUMIFS('DAILY TASK TRACKER'!$AK$5:$AK$1504,'DAILY TASK TRACKER'!$C$5:$C$1504,$A22,'DAILY TASK TRACKER'!$AH$5:$AH$1504,cpCrit))</f>
        <v>1</v>
      </c>
      <c r="H22" s="83">
        <f>IF($A22="","",SUMIFS('DAILY TASK TRACKER'!$AL$5:$AL$1504,'DAILY TASK TRACKER'!$C$5:$C$1504,$A22,'DAILY TASK TRACKER'!$AH$5:$AH$1504,cpCrit))</f>
        <v>0</v>
      </c>
      <c r="I22" s="83">
        <f>IF($A22="","",SUMIFS('DAILY TASK TRACKER'!$AM$5:$AM$1504,'DAILY TASK TRACKER'!$C$5:$C$1504,$A22,'DAILY TASK TRACKER'!$AH$5:$AH$1504,cpCrit))</f>
        <v>0</v>
      </c>
      <c r="J22" s="73">
        <f>IF($A22="","",IF(E22&gt;0,F22/E22,""))</f>
        <v>0</v>
      </c>
      <c r="K22" s="73">
        <f>IF($A22="","",IF($E$37&gt;0,E22/$E$37,""))</f>
        <v>0.0172413793103448</v>
      </c>
      <c r="L22" s="83">
        <f>IF($A22="","",COUNTIFS('LEAD MQL TRACKER'!$B$5:$B$1004,$A22,'LEAD MQL TRACKER'!$AB$5:$AB$1004,1,'LEAD MQL TRACKER'!$AA$5:$AA$1004,cpCrit)+SUMIFS('EMAIL MARKETING'!$Q$5:$Q$804,'EMAIL MARKETING'!$B$5:$B$804,$A22,'EMAIL MARKETING'!$X$5:$X$804,cpCrit)+SUMIFS('PAID MEDIA ADS'!$M$5:$M$804,'PAID MEDIA ADS'!$B$5:$B$804,$A22,'PAID MEDIA ADS'!$U$5:$U$804,cpCrit)+SUMIFS('LINKEDIN OUTREACH'!$N$5:$N$704,'LINKEDIN OUTREACH'!$B$5:$B$704,$A22,'LINKEDIN OUTREACH'!$S$5:$S$704,cpCrit)+SUMIFS('WEBSITE CONTENT SEO'!$L$5:$L$804,'WEBSITE CONTENT SEO'!$B$5:$B$804,$A22,'WEBSITE CONTENT SEO'!$V$5:$V$804,cpCrit))</f>
        <v>0</v>
      </c>
      <c r="M22" s="83">
        <f>IF($A22="","",COUNTIFS('LEAD MQL TRACKER'!$B$5:$B$1004,$A22,'LEAD MQL TRACKER'!$AD$5:$AD$1004,1,'LEAD MQL TRACKER'!$AA$5:$AA$1004,cpCrit)+SUMIFS('EMAIL MARKETING'!$R$5:$R$804,'EMAIL MARKETING'!$B$5:$B$804,$A22,'EMAIL MARKETING'!$X$5:$X$804,cpCrit)+SUMIFS('PAID MEDIA ADS'!$N$5:$N$804,'PAID MEDIA ADS'!$B$5:$B$804,$A22,'PAID MEDIA ADS'!$U$5:$U$804,cpCrit)+SUMIFS('LINKEDIN OUTREACH'!$O$5:$O$704,'LINKEDIN OUTREACH'!$B$5:$B$704,$A22,'LINKEDIN OUTREACH'!$S$5:$S$704,cpCrit))</f>
        <v>0</v>
      </c>
      <c r="N22" s="83">
        <f>IF($A22="","",COUNTIFS('LEAD MQL TRACKER'!$B$5:$B$1004,$A22,'LEAD MQL TRACKER'!$AE$5:$AE$1004,1,'LEAD MQL TRACKER'!$AA$5:$AA$1004,cpCrit))</f>
        <v>0</v>
      </c>
      <c r="O22" s="83">
        <f>IF($A22="","",COUNTIFS('LEAD MQL TRACKER'!$B$5:$B$1004,$A22,'LEAD MQL TRACKER'!$AC$5:$AC$1004,1,'LEAD MQL TRACKER'!$AA$5:$AA$1004,cpCrit)+SUMIFS('LINKEDIN OUTREACH'!$M$5:$M$704,'LINKEDIN OUTREACH'!$B$5:$B$704,$A22,'LINKEDIN OUTREACH'!$S$5:$S$704,cpCrit))</f>
        <v>0</v>
      </c>
      <c r="P22" s="73" t="str">
        <f>IF($A22="","",IF($L$37&gt;0,L22/$L$37,""))</f>
        <v/>
      </c>
      <c r="Q22" s="83">
        <f>IF($A22="","",SUMIFS('EMAIL MARKETING'!$F$5:$F$804,'EMAIL MARKETING'!$B$5:$B$804,$A22,'EMAIL MARKETING'!$X$5:$X$804,cpCrit))</f>
        <v>0</v>
      </c>
      <c r="R22" s="73" t="str">
        <f>IF($A22="","",IFERROR(SUMIFS('EMAIL MARKETING'!$I$5:$I$804,'EMAIL MARKETING'!$B$5:$B$804,$A22,'EMAIL MARKETING'!$X$5:$X$804,cpCrit)/SUMIFS('EMAIL MARKETING'!$W$5:$W$804,'EMAIL MARKETING'!$B$5:$B$804,$A22,'EMAIL MARKETING'!$X$5:$X$804,cpCrit),""))</f>
        <v/>
      </c>
      <c r="S22" s="73" t="str">
        <f>IF($A22="","",IFERROR(SUMIFS('EMAIL MARKETING'!$K$5:$K$804,'EMAIL MARKETING'!$B$5:$B$804,$A22,'EMAIL MARKETING'!$X$5:$X$804,cpCrit)/SUMIFS('EMAIL MARKETING'!$W$5:$W$804,'EMAIL MARKETING'!$B$5:$B$804,$A22,'EMAIL MARKETING'!$X$5:$X$804,cpCrit),""))</f>
        <v/>
      </c>
      <c r="T22" s="73" t="str">
        <f>IF($A22="","",IFERROR(SUMIFS('EMAIL MARKETING'!$O$5:$O$804,'EMAIL MARKETING'!$B$5:$B$804,$A22,'EMAIL MARKETING'!$X$5:$X$804,cpCrit)/SUMIFS('EMAIL MARKETING'!$W$5:$W$804,'EMAIL MARKETING'!$B$5:$B$804,$A22,'EMAIL MARKETING'!$X$5:$X$804,cpCrit),""))</f>
        <v/>
      </c>
      <c r="U22" s="72">
        <f>IF($A22="","",SUMIFS('PAID MEDIA ADS'!$G$5:$G$804,'PAID MEDIA ADS'!$B$5:$B$804,$A22,'PAID MEDIA ADS'!$U$5:$U$804,cpCrit))</f>
        <v>0</v>
      </c>
      <c r="V22" s="83">
        <f>IF($A22="","",SUMIFS('PAID MEDIA ADS'!$M$5:$M$804,'PAID MEDIA ADS'!$B$5:$B$804,$A22,'PAID MEDIA ADS'!$U$5:$U$804,cpCrit))</f>
        <v>0</v>
      </c>
      <c r="W22" s="72" t="str">
        <f>IF($A22="","",IF(AND(U22&gt;0,V22&gt;0),U22/V22,""))</f>
        <v/>
      </c>
      <c r="X22" s="83">
        <f>IF($A22="","",COUNTIFS('WEBSITE CONTENT SEO'!$B$5:$B$804,$A22,'WEBSITE CONTENT SEO'!$D$5:$D$804,"&lt;&gt;",'WEBSITE CONTENT SEO'!$V$5:$V$804,cpCrit))</f>
        <v>0</v>
      </c>
      <c r="Y22" s="83">
        <f>IF($A22="","",SUMIFS('CAMPAIGN MASTER'!$AS$5:$AS$704,'CAMPAIGN MASTER'!$A$5:$A$704,$A22))</f>
        <v>0</v>
      </c>
      <c r="Z22" s="83" t="str">
        <f>IF($A22="","",IF(AND(E22=0,COUNTIFS('CAMPAIGN MASTER'!$A$5:$A$704,$A22)=0),"No Activity",IF(OR(H22&gt;0,I22&gt;0,Y22&gt;0),"Needs Attention",IF(E22=0,"No Tasks Logged",IF(AND(ISNUMBER(J22),J22&gt;=0.7),"Performing","In Progress")))))</f>
        <v>In Progress</v>
      </c>
      <c r="AA22" s="82" t="str">
        <f>IF($A22="","",IFERROR(IF(INDEX('CLIENT MASTER'!$H$5:$H$64,MATCH($A22,'CLIENT MASTER'!$A$5:$A$64,0))="","",INDEX('CLIENT MASTER'!$H$5:$H$64,MATCH($A22,'CLIENT MASTER'!$A$5:$A$64,0))),""))</f>
        <v/>
      </c>
      <c r="AB22" s="82" t="str">
        <f>IF($A22="","",IFERROR(IF(INDEX('CLIENT MASTER'!$I$5:$I$64,MATCH($A22,'CLIENT MASTER'!$A$5:$A$64,0))="","",INDEX('CLIENT MASTER'!$I$5:$I$64,MATCH($A22,'CLIENT MASTER'!$A$5:$A$64,0))),""))</f>
        <v/>
      </c>
      <c r="AC22" s="82" t="str">
        <f>IF($A22="","",IFERROR(IF(INDEX('CLIENT MASTER'!$J$5:$J$64,MATCH($A22,'CLIENT MASTER'!$A$5:$A$64,0))="","",INDEX('CLIENT MASTER'!$J$5:$J$64,MATCH($A22,'CLIENT MASTER'!$A$5:$A$64,0))),""))</f>
        <v/>
      </c>
      <c r="AD22" s="92" t="str">
        <f>IF($Z22="Needs Attention",ROW(),"")</f>
        <v/>
      </c>
      <c r="AE22" s="92" t="str">
        <f>IF($Z22="Performing",ROW(),"")</f>
        <v/>
      </c>
    </row>
    <row r="23" ht="28" customHeight="1">
      <c r="A23" s="81" t="str">
        <f>IF('CLIENT MASTER'!A21="","",'CLIENT MASTER'!A21)</f>
        <v/>
      </c>
      <c r="B23" s="83" t="str">
        <f>IF($A23="","",IFERROR(IF(INDEX('CLIENT MASTER'!$C$5:$C$64,MATCH($A23,'CLIENT MASTER'!$A$5:$A$64,0))="","",INDEX('CLIENT MASTER'!$C$5:$C$64,MATCH($A23,'CLIENT MASTER'!$A$5:$A$64,0))),""))</f>
        <v/>
      </c>
      <c r="C23" s="83" t="str">
        <f>IF($A23="","",IFERROR(IF(INDEX('CLIENT MASTER'!$D$5:$D$64,MATCH($A23,'CLIENT MASTER'!$A$5:$A$64,0))="","",INDEX('CLIENT MASTER'!$D$5:$D$64,MATCH($A23,'CLIENT MASTER'!$A$5:$A$64,0))),""))</f>
        <v/>
      </c>
      <c r="D23" s="83" t="str">
        <f>IF($A23="","",COUNTIFS('CAMPAIGN MASTER'!$A$5:$A$704,$A23,'CAMPAIGN MASTER'!$AM$5:$AM$704,1))</f>
        <v/>
      </c>
      <c r="E23" s="83" t="str">
        <f>IF($A23="","",COUNTIFS('DAILY TASK TRACKER'!$C$5:$C$1504,$A23,'DAILY TASK TRACKER'!$G$5:$G$1504,"&lt;&gt;",'DAILY TASK TRACKER'!$AH$5:$AH$1504,cpCrit))</f>
        <v/>
      </c>
      <c r="F23" s="83" t="str">
        <f>IF($A23="","",COUNTIFS('DAILY TASK TRACKER'!$C$5:$C$1504,$A23,'DAILY TASK TRACKER'!$M$5:$M$1504,"Completed",'DAILY TASK TRACKER'!$AH$5:$AH$1504,cpCrit))</f>
        <v/>
      </c>
      <c r="G23" s="83" t="str">
        <f>IF($A23="","",SUMIFS('DAILY TASK TRACKER'!$AK$5:$AK$1504,'DAILY TASK TRACKER'!$C$5:$C$1504,$A23,'DAILY TASK TRACKER'!$AH$5:$AH$1504,cpCrit))</f>
        <v/>
      </c>
      <c r="H23" s="83" t="str">
        <f>IF($A23="","",SUMIFS('DAILY TASK TRACKER'!$AL$5:$AL$1504,'DAILY TASK TRACKER'!$C$5:$C$1504,$A23,'DAILY TASK TRACKER'!$AH$5:$AH$1504,cpCrit))</f>
        <v/>
      </c>
      <c r="I23" s="83" t="str">
        <f>IF($A23="","",SUMIFS('DAILY TASK TRACKER'!$AM$5:$AM$1504,'DAILY TASK TRACKER'!$C$5:$C$1504,$A23,'DAILY TASK TRACKER'!$AH$5:$AH$1504,cpCrit))</f>
        <v/>
      </c>
      <c r="J23" s="73" t="str">
        <f>IF($A23="","",IF(E23&gt;0,F23/E23,""))</f>
        <v/>
      </c>
      <c r="K23" s="73" t="str">
        <f>IF($A23="","",IF($E$37&gt;0,E23/$E$37,""))</f>
        <v/>
      </c>
      <c r="L23" s="83" t="str">
        <f>IF($A23="","",COUNTIFS('LEAD MQL TRACKER'!$B$5:$B$1004,$A23,'LEAD MQL TRACKER'!$AB$5:$AB$1004,1,'LEAD MQL TRACKER'!$AA$5:$AA$1004,cpCrit)+SUMIFS('EMAIL MARKETING'!$Q$5:$Q$804,'EMAIL MARKETING'!$B$5:$B$804,$A23,'EMAIL MARKETING'!$X$5:$X$804,cpCrit)+SUMIFS('PAID MEDIA ADS'!$M$5:$M$804,'PAID MEDIA ADS'!$B$5:$B$804,$A23,'PAID MEDIA ADS'!$U$5:$U$804,cpCrit)+SUMIFS('LINKEDIN OUTREACH'!$N$5:$N$704,'LINKEDIN OUTREACH'!$B$5:$B$704,$A23,'LINKEDIN OUTREACH'!$S$5:$S$704,cpCrit)+SUMIFS('WEBSITE CONTENT SEO'!$L$5:$L$804,'WEBSITE CONTENT SEO'!$B$5:$B$804,$A23,'WEBSITE CONTENT SEO'!$V$5:$V$804,cpCrit))</f>
        <v/>
      </c>
      <c r="M23" s="83" t="str">
        <f>IF($A23="","",COUNTIFS('LEAD MQL TRACKER'!$B$5:$B$1004,$A23,'LEAD MQL TRACKER'!$AD$5:$AD$1004,1,'LEAD MQL TRACKER'!$AA$5:$AA$1004,cpCrit)+SUMIFS('EMAIL MARKETING'!$R$5:$R$804,'EMAIL MARKETING'!$B$5:$B$804,$A23,'EMAIL MARKETING'!$X$5:$X$804,cpCrit)+SUMIFS('PAID MEDIA ADS'!$N$5:$N$804,'PAID MEDIA ADS'!$B$5:$B$804,$A23,'PAID MEDIA ADS'!$U$5:$U$804,cpCrit)+SUMIFS('LINKEDIN OUTREACH'!$O$5:$O$704,'LINKEDIN OUTREACH'!$B$5:$B$704,$A23,'LINKEDIN OUTREACH'!$S$5:$S$704,cpCrit))</f>
        <v/>
      </c>
      <c r="N23" s="83" t="str">
        <f>IF($A23="","",COUNTIFS('LEAD MQL TRACKER'!$B$5:$B$1004,$A23,'LEAD MQL TRACKER'!$AE$5:$AE$1004,1,'LEAD MQL TRACKER'!$AA$5:$AA$1004,cpCrit))</f>
        <v/>
      </c>
      <c r="O23" s="83" t="str">
        <f>IF($A23="","",COUNTIFS('LEAD MQL TRACKER'!$B$5:$B$1004,$A23,'LEAD MQL TRACKER'!$AC$5:$AC$1004,1,'LEAD MQL TRACKER'!$AA$5:$AA$1004,cpCrit)+SUMIFS('LINKEDIN OUTREACH'!$M$5:$M$704,'LINKEDIN OUTREACH'!$B$5:$B$704,$A23,'LINKEDIN OUTREACH'!$S$5:$S$704,cpCrit))</f>
        <v/>
      </c>
      <c r="P23" s="73" t="str">
        <f>IF($A23="","",IF($L$37&gt;0,L23/$L$37,""))</f>
        <v/>
      </c>
      <c r="Q23" s="83" t="str">
        <f>IF($A23="","",SUMIFS('EMAIL MARKETING'!$F$5:$F$804,'EMAIL MARKETING'!$B$5:$B$804,$A23,'EMAIL MARKETING'!$X$5:$X$804,cpCrit))</f>
        <v/>
      </c>
      <c r="R23" s="73" t="str">
        <f>IF($A23="","",IFERROR(SUMIFS('EMAIL MARKETING'!$I$5:$I$804,'EMAIL MARKETING'!$B$5:$B$804,$A23,'EMAIL MARKETING'!$X$5:$X$804,cpCrit)/SUMIFS('EMAIL MARKETING'!$W$5:$W$804,'EMAIL MARKETING'!$B$5:$B$804,$A23,'EMAIL MARKETING'!$X$5:$X$804,cpCrit),""))</f>
        <v/>
      </c>
      <c r="S23" s="73" t="str">
        <f>IF($A23="","",IFERROR(SUMIFS('EMAIL MARKETING'!$K$5:$K$804,'EMAIL MARKETING'!$B$5:$B$804,$A23,'EMAIL MARKETING'!$X$5:$X$804,cpCrit)/SUMIFS('EMAIL MARKETING'!$W$5:$W$804,'EMAIL MARKETING'!$B$5:$B$804,$A23,'EMAIL MARKETING'!$X$5:$X$804,cpCrit),""))</f>
        <v/>
      </c>
      <c r="T23" s="73" t="str">
        <f>IF($A23="","",IFERROR(SUMIFS('EMAIL MARKETING'!$O$5:$O$804,'EMAIL MARKETING'!$B$5:$B$804,$A23,'EMAIL MARKETING'!$X$5:$X$804,cpCrit)/SUMIFS('EMAIL MARKETING'!$W$5:$W$804,'EMAIL MARKETING'!$B$5:$B$804,$A23,'EMAIL MARKETING'!$X$5:$X$804,cpCrit),""))</f>
        <v/>
      </c>
      <c r="U23" s="72" t="str">
        <f>IF($A23="","",SUMIFS('PAID MEDIA ADS'!$G$5:$G$804,'PAID MEDIA ADS'!$B$5:$B$804,$A23,'PAID MEDIA ADS'!$U$5:$U$804,cpCrit))</f>
        <v/>
      </c>
      <c r="V23" s="83" t="str">
        <f>IF($A23="","",SUMIFS('PAID MEDIA ADS'!$M$5:$M$804,'PAID MEDIA ADS'!$B$5:$B$804,$A23,'PAID MEDIA ADS'!$U$5:$U$804,cpCrit))</f>
        <v/>
      </c>
      <c r="W23" s="72" t="str">
        <f>IF($A23="","",IF(AND(U23&gt;0,V23&gt;0),U23/V23,""))</f>
        <v/>
      </c>
      <c r="X23" s="83" t="str">
        <f>IF($A23="","",COUNTIFS('WEBSITE CONTENT SEO'!$B$5:$B$804,$A23,'WEBSITE CONTENT SEO'!$D$5:$D$804,"&lt;&gt;",'WEBSITE CONTENT SEO'!$V$5:$V$804,cpCrit))</f>
        <v/>
      </c>
      <c r="Y23" s="83" t="str">
        <f>IF($A23="","",SUMIFS('CAMPAIGN MASTER'!$AS$5:$AS$704,'CAMPAIGN MASTER'!$A$5:$A$704,$A23))</f>
        <v/>
      </c>
      <c r="Z23" s="83" t="str">
        <f>IF($A23="","",IF(AND(E23=0,COUNTIFS('CAMPAIGN MASTER'!$A$5:$A$704,$A23)=0),"No Activity",IF(OR(H23&gt;0,I23&gt;0,Y23&gt;0),"Needs Attention",IF(E23=0,"No Tasks Logged",IF(AND(ISNUMBER(J23),J23&gt;=0.7),"Performing","In Progress")))))</f>
        <v/>
      </c>
      <c r="AA23" s="82" t="str">
        <f>IF($A23="","",IFERROR(IF(INDEX('CLIENT MASTER'!$H$5:$H$64,MATCH($A23,'CLIENT MASTER'!$A$5:$A$64,0))="","",INDEX('CLIENT MASTER'!$H$5:$H$64,MATCH($A23,'CLIENT MASTER'!$A$5:$A$64,0))),""))</f>
        <v/>
      </c>
      <c r="AB23" s="82" t="str">
        <f>IF($A23="","",IFERROR(IF(INDEX('CLIENT MASTER'!$I$5:$I$64,MATCH($A23,'CLIENT MASTER'!$A$5:$A$64,0))="","",INDEX('CLIENT MASTER'!$I$5:$I$64,MATCH($A23,'CLIENT MASTER'!$A$5:$A$64,0))),""))</f>
        <v/>
      </c>
      <c r="AC23" s="82" t="str">
        <f>IF($A23="","",IFERROR(IF(INDEX('CLIENT MASTER'!$J$5:$J$64,MATCH($A23,'CLIENT MASTER'!$A$5:$A$64,0))="","",INDEX('CLIENT MASTER'!$J$5:$J$64,MATCH($A23,'CLIENT MASTER'!$A$5:$A$64,0))),""))</f>
        <v/>
      </c>
      <c r="AD23" s="92" t="str">
        <f>IF($Z23="Needs Attention",ROW(),"")</f>
        <v/>
      </c>
      <c r="AE23" s="92" t="str">
        <f>IF($Z23="Performing",ROW(),"")</f>
        <v/>
      </c>
    </row>
    <row r="24" ht="28" customHeight="1">
      <c r="A24" s="81" t="str">
        <f>IF('CLIENT MASTER'!A22="","",'CLIENT MASTER'!A22)</f>
        <v/>
      </c>
      <c r="B24" s="83" t="str">
        <f>IF($A24="","",IFERROR(IF(INDEX('CLIENT MASTER'!$C$5:$C$64,MATCH($A24,'CLIENT MASTER'!$A$5:$A$64,0))="","",INDEX('CLIENT MASTER'!$C$5:$C$64,MATCH($A24,'CLIENT MASTER'!$A$5:$A$64,0))),""))</f>
        <v/>
      </c>
      <c r="C24" s="83" t="str">
        <f>IF($A24="","",IFERROR(IF(INDEX('CLIENT MASTER'!$D$5:$D$64,MATCH($A24,'CLIENT MASTER'!$A$5:$A$64,0))="","",INDEX('CLIENT MASTER'!$D$5:$D$64,MATCH($A24,'CLIENT MASTER'!$A$5:$A$64,0))),""))</f>
        <v/>
      </c>
      <c r="D24" s="83" t="str">
        <f>IF($A24="","",COUNTIFS('CAMPAIGN MASTER'!$A$5:$A$704,$A24,'CAMPAIGN MASTER'!$AM$5:$AM$704,1))</f>
        <v/>
      </c>
      <c r="E24" s="83" t="str">
        <f>IF($A24="","",COUNTIFS('DAILY TASK TRACKER'!$C$5:$C$1504,$A24,'DAILY TASK TRACKER'!$G$5:$G$1504,"&lt;&gt;",'DAILY TASK TRACKER'!$AH$5:$AH$1504,cpCrit))</f>
        <v/>
      </c>
      <c r="F24" s="83" t="str">
        <f>IF($A24="","",COUNTIFS('DAILY TASK TRACKER'!$C$5:$C$1504,$A24,'DAILY TASK TRACKER'!$M$5:$M$1504,"Completed",'DAILY TASK TRACKER'!$AH$5:$AH$1504,cpCrit))</f>
        <v/>
      </c>
      <c r="G24" s="83" t="str">
        <f>IF($A24="","",SUMIFS('DAILY TASK TRACKER'!$AK$5:$AK$1504,'DAILY TASK TRACKER'!$C$5:$C$1504,$A24,'DAILY TASK TRACKER'!$AH$5:$AH$1504,cpCrit))</f>
        <v/>
      </c>
      <c r="H24" s="83" t="str">
        <f>IF($A24="","",SUMIFS('DAILY TASK TRACKER'!$AL$5:$AL$1504,'DAILY TASK TRACKER'!$C$5:$C$1504,$A24,'DAILY TASK TRACKER'!$AH$5:$AH$1504,cpCrit))</f>
        <v/>
      </c>
      <c r="I24" s="83" t="str">
        <f>IF($A24="","",SUMIFS('DAILY TASK TRACKER'!$AM$5:$AM$1504,'DAILY TASK TRACKER'!$C$5:$C$1504,$A24,'DAILY TASK TRACKER'!$AH$5:$AH$1504,cpCrit))</f>
        <v/>
      </c>
      <c r="J24" s="73" t="str">
        <f>IF($A24="","",IF(E24&gt;0,F24/E24,""))</f>
        <v/>
      </c>
      <c r="K24" s="73" t="str">
        <f>IF($A24="","",IF($E$37&gt;0,E24/$E$37,""))</f>
        <v/>
      </c>
      <c r="L24" s="83" t="str">
        <f>IF($A24="","",COUNTIFS('LEAD MQL TRACKER'!$B$5:$B$1004,$A24,'LEAD MQL TRACKER'!$AB$5:$AB$1004,1,'LEAD MQL TRACKER'!$AA$5:$AA$1004,cpCrit)+SUMIFS('EMAIL MARKETING'!$Q$5:$Q$804,'EMAIL MARKETING'!$B$5:$B$804,$A24,'EMAIL MARKETING'!$X$5:$X$804,cpCrit)+SUMIFS('PAID MEDIA ADS'!$M$5:$M$804,'PAID MEDIA ADS'!$B$5:$B$804,$A24,'PAID MEDIA ADS'!$U$5:$U$804,cpCrit)+SUMIFS('LINKEDIN OUTREACH'!$N$5:$N$704,'LINKEDIN OUTREACH'!$B$5:$B$704,$A24,'LINKEDIN OUTREACH'!$S$5:$S$704,cpCrit)+SUMIFS('WEBSITE CONTENT SEO'!$L$5:$L$804,'WEBSITE CONTENT SEO'!$B$5:$B$804,$A24,'WEBSITE CONTENT SEO'!$V$5:$V$804,cpCrit))</f>
        <v/>
      </c>
      <c r="M24" s="83" t="str">
        <f>IF($A24="","",COUNTIFS('LEAD MQL TRACKER'!$B$5:$B$1004,$A24,'LEAD MQL TRACKER'!$AD$5:$AD$1004,1,'LEAD MQL TRACKER'!$AA$5:$AA$1004,cpCrit)+SUMIFS('EMAIL MARKETING'!$R$5:$R$804,'EMAIL MARKETING'!$B$5:$B$804,$A24,'EMAIL MARKETING'!$X$5:$X$804,cpCrit)+SUMIFS('PAID MEDIA ADS'!$N$5:$N$804,'PAID MEDIA ADS'!$B$5:$B$804,$A24,'PAID MEDIA ADS'!$U$5:$U$804,cpCrit)+SUMIFS('LINKEDIN OUTREACH'!$O$5:$O$704,'LINKEDIN OUTREACH'!$B$5:$B$704,$A24,'LINKEDIN OUTREACH'!$S$5:$S$704,cpCrit))</f>
        <v/>
      </c>
      <c r="N24" s="83" t="str">
        <f>IF($A24="","",COUNTIFS('LEAD MQL TRACKER'!$B$5:$B$1004,$A24,'LEAD MQL TRACKER'!$AE$5:$AE$1004,1,'LEAD MQL TRACKER'!$AA$5:$AA$1004,cpCrit))</f>
        <v/>
      </c>
      <c r="O24" s="83" t="str">
        <f>IF($A24="","",COUNTIFS('LEAD MQL TRACKER'!$B$5:$B$1004,$A24,'LEAD MQL TRACKER'!$AC$5:$AC$1004,1,'LEAD MQL TRACKER'!$AA$5:$AA$1004,cpCrit)+SUMIFS('LINKEDIN OUTREACH'!$M$5:$M$704,'LINKEDIN OUTREACH'!$B$5:$B$704,$A24,'LINKEDIN OUTREACH'!$S$5:$S$704,cpCrit))</f>
        <v/>
      </c>
      <c r="P24" s="73" t="str">
        <f>IF($A24="","",IF($L$37&gt;0,L24/$L$37,""))</f>
        <v/>
      </c>
      <c r="Q24" s="83" t="str">
        <f>IF($A24="","",SUMIFS('EMAIL MARKETING'!$F$5:$F$804,'EMAIL MARKETING'!$B$5:$B$804,$A24,'EMAIL MARKETING'!$X$5:$X$804,cpCrit))</f>
        <v/>
      </c>
      <c r="R24" s="73" t="str">
        <f>IF($A24="","",IFERROR(SUMIFS('EMAIL MARKETING'!$I$5:$I$804,'EMAIL MARKETING'!$B$5:$B$804,$A24,'EMAIL MARKETING'!$X$5:$X$804,cpCrit)/SUMIFS('EMAIL MARKETING'!$W$5:$W$804,'EMAIL MARKETING'!$B$5:$B$804,$A24,'EMAIL MARKETING'!$X$5:$X$804,cpCrit),""))</f>
        <v/>
      </c>
      <c r="S24" s="73" t="str">
        <f>IF($A24="","",IFERROR(SUMIFS('EMAIL MARKETING'!$K$5:$K$804,'EMAIL MARKETING'!$B$5:$B$804,$A24,'EMAIL MARKETING'!$X$5:$X$804,cpCrit)/SUMIFS('EMAIL MARKETING'!$W$5:$W$804,'EMAIL MARKETING'!$B$5:$B$804,$A24,'EMAIL MARKETING'!$X$5:$X$804,cpCrit),""))</f>
        <v/>
      </c>
      <c r="T24" s="73" t="str">
        <f>IF($A24="","",IFERROR(SUMIFS('EMAIL MARKETING'!$O$5:$O$804,'EMAIL MARKETING'!$B$5:$B$804,$A24,'EMAIL MARKETING'!$X$5:$X$804,cpCrit)/SUMIFS('EMAIL MARKETING'!$W$5:$W$804,'EMAIL MARKETING'!$B$5:$B$804,$A24,'EMAIL MARKETING'!$X$5:$X$804,cpCrit),""))</f>
        <v/>
      </c>
      <c r="U24" s="72" t="str">
        <f>IF($A24="","",SUMIFS('PAID MEDIA ADS'!$G$5:$G$804,'PAID MEDIA ADS'!$B$5:$B$804,$A24,'PAID MEDIA ADS'!$U$5:$U$804,cpCrit))</f>
        <v/>
      </c>
      <c r="V24" s="83" t="str">
        <f>IF($A24="","",SUMIFS('PAID MEDIA ADS'!$M$5:$M$804,'PAID MEDIA ADS'!$B$5:$B$804,$A24,'PAID MEDIA ADS'!$U$5:$U$804,cpCrit))</f>
        <v/>
      </c>
      <c r="W24" s="72" t="str">
        <f>IF($A24="","",IF(AND(U24&gt;0,V24&gt;0),U24/V24,""))</f>
        <v/>
      </c>
      <c r="X24" s="83" t="str">
        <f>IF($A24="","",COUNTIFS('WEBSITE CONTENT SEO'!$B$5:$B$804,$A24,'WEBSITE CONTENT SEO'!$D$5:$D$804,"&lt;&gt;",'WEBSITE CONTENT SEO'!$V$5:$V$804,cpCrit))</f>
        <v/>
      </c>
      <c r="Y24" s="83" t="str">
        <f>IF($A24="","",SUMIFS('CAMPAIGN MASTER'!$AS$5:$AS$704,'CAMPAIGN MASTER'!$A$5:$A$704,$A24))</f>
        <v/>
      </c>
      <c r="Z24" s="83" t="str">
        <f>IF($A24="","",IF(AND(E24=0,COUNTIFS('CAMPAIGN MASTER'!$A$5:$A$704,$A24)=0),"No Activity",IF(OR(H24&gt;0,I24&gt;0,Y24&gt;0),"Needs Attention",IF(E24=0,"No Tasks Logged",IF(AND(ISNUMBER(J24),J24&gt;=0.7),"Performing","In Progress")))))</f>
        <v/>
      </c>
      <c r="AA24" s="82" t="str">
        <f>IF($A24="","",IFERROR(IF(INDEX('CLIENT MASTER'!$H$5:$H$64,MATCH($A24,'CLIENT MASTER'!$A$5:$A$64,0))="","",INDEX('CLIENT MASTER'!$H$5:$H$64,MATCH($A24,'CLIENT MASTER'!$A$5:$A$64,0))),""))</f>
        <v/>
      </c>
      <c r="AB24" s="82" t="str">
        <f>IF($A24="","",IFERROR(IF(INDEX('CLIENT MASTER'!$I$5:$I$64,MATCH($A24,'CLIENT MASTER'!$A$5:$A$64,0))="","",INDEX('CLIENT MASTER'!$I$5:$I$64,MATCH($A24,'CLIENT MASTER'!$A$5:$A$64,0))),""))</f>
        <v/>
      </c>
      <c r="AC24" s="82" t="str">
        <f>IF($A24="","",IFERROR(IF(INDEX('CLIENT MASTER'!$J$5:$J$64,MATCH($A24,'CLIENT MASTER'!$A$5:$A$64,0))="","",INDEX('CLIENT MASTER'!$J$5:$J$64,MATCH($A24,'CLIENT MASTER'!$A$5:$A$64,0))),""))</f>
        <v/>
      </c>
      <c r="AD24" s="92" t="str">
        <f>IF($Z24="Needs Attention",ROW(),"")</f>
        <v/>
      </c>
      <c r="AE24" s="92" t="str">
        <f>IF($Z24="Performing",ROW(),"")</f>
        <v/>
      </c>
    </row>
    <row r="25" ht="28" customHeight="1">
      <c r="A25" s="81" t="str">
        <f>IF('CLIENT MASTER'!A23="","",'CLIENT MASTER'!A23)</f>
        <v/>
      </c>
      <c r="B25" s="83" t="str">
        <f>IF($A25="","",IFERROR(IF(INDEX('CLIENT MASTER'!$C$5:$C$64,MATCH($A25,'CLIENT MASTER'!$A$5:$A$64,0))="","",INDEX('CLIENT MASTER'!$C$5:$C$64,MATCH($A25,'CLIENT MASTER'!$A$5:$A$64,0))),""))</f>
        <v/>
      </c>
      <c r="C25" s="83" t="str">
        <f>IF($A25="","",IFERROR(IF(INDEX('CLIENT MASTER'!$D$5:$D$64,MATCH($A25,'CLIENT MASTER'!$A$5:$A$64,0))="","",INDEX('CLIENT MASTER'!$D$5:$D$64,MATCH($A25,'CLIENT MASTER'!$A$5:$A$64,0))),""))</f>
        <v/>
      </c>
      <c r="D25" s="83" t="str">
        <f>IF($A25="","",COUNTIFS('CAMPAIGN MASTER'!$A$5:$A$704,$A25,'CAMPAIGN MASTER'!$AM$5:$AM$704,1))</f>
        <v/>
      </c>
      <c r="E25" s="83" t="str">
        <f>IF($A25="","",COUNTIFS('DAILY TASK TRACKER'!$C$5:$C$1504,$A25,'DAILY TASK TRACKER'!$G$5:$G$1504,"&lt;&gt;",'DAILY TASK TRACKER'!$AH$5:$AH$1504,cpCrit))</f>
        <v/>
      </c>
      <c r="F25" s="83" t="str">
        <f>IF($A25="","",COUNTIFS('DAILY TASK TRACKER'!$C$5:$C$1504,$A25,'DAILY TASK TRACKER'!$M$5:$M$1504,"Completed",'DAILY TASK TRACKER'!$AH$5:$AH$1504,cpCrit))</f>
        <v/>
      </c>
      <c r="G25" s="83" t="str">
        <f>IF($A25="","",SUMIFS('DAILY TASK TRACKER'!$AK$5:$AK$1504,'DAILY TASK TRACKER'!$C$5:$C$1504,$A25,'DAILY TASK TRACKER'!$AH$5:$AH$1504,cpCrit))</f>
        <v/>
      </c>
      <c r="H25" s="83" t="str">
        <f>IF($A25="","",SUMIFS('DAILY TASK TRACKER'!$AL$5:$AL$1504,'DAILY TASK TRACKER'!$C$5:$C$1504,$A25,'DAILY TASK TRACKER'!$AH$5:$AH$1504,cpCrit))</f>
        <v/>
      </c>
      <c r="I25" s="83" t="str">
        <f>IF($A25="","",SUMIFS('DAILY TASK TRACKER'!$AM$5:$AM$1504,'DAILY TASK TRACKER'!$C$5:$C$1504,$A25,'DAILY TASK TRACKER'!$AH$5:$AH$1504,cpCrit))</f>
        <v/>
      </c>
      <c r="J25" s="73" t="str">
        <f>IF($A25="","",IF(E25&gt;0,F25/E25,""))</f>
        <v/>
      </c>
      <c r="K25" s="73" t="str">
        <f>IF($A25="","",IF($E$37&gt;0,E25/$E$37,""))</f>
        <v/>
      </c>
      <c r="L25" s="83" t="str">
        <f>IF($A25="","",COUNTIFS('LEAD MQL TRACKER'!$B$5:$B$1004,$A25,'LEAD MQL TRACKER'!$AB$5:$AB$1004,1,'LEAD MQL TRACKER'!$AA$5:$AA$1004,cpCrit)+SUMIFS('EMAIL MARKETING'!$Q$5:$Q$804,'EMAIL MARKETING'!$B$5:$B$804,$A25,'EMAIL MARKETING'!$X$5:$X$804,cpCrit)+SUMIFS('PAID MEDIA ADS'!$M$5:$M$804,'PAID MEDIA ADS'!$B$5:$B$804,$A25,'PAID MEDIA ADS'!$U$5:$U$804,cpCrit)+SUMIFS('LINKEDIN OUTREACH'!$N$5:$N$704,'LINKEDIN OUTREACH'!$B$5:$B$704,$A25,'LINKEDIN OUTREACH'!$S$5:$S$704,cpCrit)+SUMIFS('WEBSITE CONTENT SEO'!$L$5:$L$804,'WEBSITE CONTENT SEO'!$B$5:$B$804,$A25,'WEBSITE CONTENT SEO'!$V$5:$V$804,cpCrit))</f>
        <v/>
      </c>
      <c r="M25" s="83" t="str">
        <f>IF($A25="","",COUNTIFS('LEAD MQL TRACKER'!$B$5:$B$1004,$A25,'LEAD MQL TRACKER'!$AD$5:$AD$1004,1,'LEAD MQL TRACKER'!$AA$5:$AA$1004,cpCrit)+SUMIFS('EMAIL MARKETING'!$R$5:$R$804,'EMAIL MARKETING'!$B$5:$B$804,$A25,'EMAIL MARKETING'!$X$5:$X$804,cpCrit)+SUMIFS('PAID MEDIA ADS'!$N$5:$N$804,'PAID MEDIA ADS'!$B$5:$B$804,$A25,'PAID MEDIA ADS'!$U$5:$U$804,cpCrit)+SUMIFS('LINKEDIN OUTREACH'!$O$5:$O$704,'LINKEDIN OUTREACH'!$B$5:$B$704,$A25,'LINKEDIN OUTREACH'!$S$5:$S$704,cpCrit))</f>
        <v/>
      </c>
      <c r="N25" s="83" t="str">
        <f>IF($A25="","",COUNTIFS('LEAD MQL TRACKER'!$B$5:$B$1004,$A25,'LEAD MQL TRACKER'!$AE$5:$AE$1004,1,'LEAD MQL TRACKER'!$AA$5:$AA$1004,cpCrit))</f>
        <v/>
      </c>
      <c r="O25" s="83" t="str">
        <f>IF($A25="","",COUNTIFS('LEAD MQL TRACKER'!$B$5:$B$1004,$A25,'LEAD MQL TRACKER'!$AC$5:$AC$1004,1,'LEAD MQL TRACKER'!$AA$5:$AA$1004,cpCrit)+SUMIFS('LINKEDIN OUTREACH'!$M$5:$M$704,'LINKEDIN OUTREACH'!$B$5:$B$704,$A25,'LINKEDIN OUTREACH'!$S$5:$S$704,cpCrit))</f>
        <v/>
      </c>
      <c r="P25" s="73" t="str">
        <f>IF($A25="","",IF($L$37&gt;0,L25/$L$37,""))</f>
        <v/>
      </c>
      <c r="Q25" s="83" t="str">
        <f>IF($A25="","",SUMIFS('EMAIL MARKETING'!$F$5:$F$804,'EMAIL MARKETING'!$B$5:$B$804,$A25,'EMAIL MARKETING'!$X$5:$X$804,cpCrit))</f>
        <v/>
      </c>
      <c r="R25" s="73" t="str">
        <f>IF($A25="","",IFERROR(SUMIFS('EMAIL MARKETING'!$I$5:$I$804,'EMAIL MARKETING'!$B$5:$B$804,$A25,'EMAIL MARKETING'!$X$5:$X$804,cpCrit)/SUMIFS('EMAIL MARKETING'!$W$5:$W$804,'EMAIL MARKETING'!$B$5:$B$804,$A25,'EMAIL MARKETING'!$X$5:$X$804,cpCrit),""))</f>
        <v/>
      </c>
      <c r="S25" s="73" t="str">
        <f>IF($A25="","",IFERROR(SUMIFS('EMAIL MARKETING'!$K$5:$K$804,'EMAIL MARKETING'!$B$5:$B$804,$A25,'EMAIL MARKETING'!$X$5:$X$804,cpCrit)/SUMIFS('EMAIL MARKETING'!$W$5:$W$804,'EMAIL MARKETING'!$B$5:$B$804,$A25,'EMAIL MARKETING'!$X$5:$X$804,cpCrit),""))</f>
        <v/>
      </c>
      <c r="T25" s="73" t="str">
        <f>IF($A25="","",IFERROR(SUMIFS('EMAIL MARKETING'!$O$5:$O$804,'EMAIL MARKETING'!$B$5:$B$804,$A25,'EMAIL MARKETING'!$X$5:$X$804,cpCrit)/SUMIFS('EMAIL MARKETING'!$W$5:$W$804,'EMAIL MARKETING'!$B$5:$B$804,$A25,'EMAIL MARKETING'!$X$5:$X$804,cpCrit),""))</f>
        <v/>
      </c>
      <c r="U25" s="72" t="str">
        <f>IF($A25="","",SUMIFS('PAID MEDIA ADS'!$G$5:$G$804,'PAID MEDIA ADS'!$B$5:$B$804,$A25,'PAID MEDIA ADS'!$U$5:$U$804,cpCrit))</f>
        <v/>
      </c>
      <c r="V25" s="83" t="str">
        <f>IF($A25="","",SUMIFS('PAID MEDIA ADS'!$M$5:$M$804,'PAID MEDIA ADS'!$B$5:$B$804,$A25,'PAID MEDIA ADS'!$U$5:$U$804,cpCrit))</f>
        <v/>
      </c>
      <c r="W25" s="72" t="str">
        <f>IF($A25="","",IF(AND(U25&gt;0,V25&gt;0),U25/V25,""))</f>
        <v/>
      </c>
      <c r="X25" s="83" t="str">
        <f>IF($A25="","",COUNTIFS('WEBSITE CONTENT SEO'!$B$5:$B$804,$A25,'WEBSITE CONTENT SEO'!$D$5:$D$804,"&lt;&gt;",'WEBSITE CONTENT SEO'!$V$5:$V$804,cpCrit))</f>
        <v/>
      </c>
      <c r="Y25" s="83" t="str">
        <f>IF($A25="","",SUMIFS('CAMPAIGN MASTER'!$AS$5:$AS$704,'CAMPAIGN MASTER'!$A$5:$A$704,$A25))</f>
        <v/>
      </c>
      <c r="Z25" s="83" t="str">
        <f>IF($A25="","",IF(AND(E25=0,COUNTIFS('CAMPAIGN MASTER'!$A$5:$A$704,$A25)=0),"No Activity",IF(OR(H25&gt;0,I25&gt;0,Y25&gt;0),"Needs Attention",IF(E25=0,"No Tasks Logged",IF(AND(ISNUMBER(J25),J25&gt;=0.7),"Performing","In Progress")))))</f>
        <v/>
      </c>
      <c r="AA25" s="82" t="str">
        <f>IF($A25="","",IFERROR(IF(INDEX('CLIENT MASTER'!$H$5:$H$64,MATCH($A25,'CLIENT MASTER'!$A$5:$A$64,0))="","",INDEX('CLIENT MASTER'!$H$5:$H$64,MATCH($A25,'CLIENT MASTER'!$A$5:$A$64,0))),""))</f>
        <v/>
      </c>
      <c r="AB25" s="82" t="str">
        <f>IF($A25="","",IFERROR(IF(INDEX('CLIENT MASTER'!$I$5:$I$64,MATCH($A25,'CLIENT MASTER'!$A$5:$A$64,0))="","",INDEX('CLIENT MASTER'!$I$5:$I$64,MATCH($A25,'CLIENT MASTER'!$A$5:$A$64,0))),""))</f>
        <v/>
      </c>
      <c r="AC25" s="82" t="str">
        <f>IF($A25="","",IFERROR(IF(INDEX('CLIENT MASTER'!$J$5:$J$64,MATCH($A25,'CLIENT MASTER'!$A$5:$A$64,0))="","",INDEX('CLIENT MASTER'!$J$5:$J$64,MATCH($A25,'CLIENT MASTER'!$A$5:$A$64,0))),""))</f>
        <v/>
      </c>
      <c r="AD25" s="92" t="str">
        <f>IF($Z25="Needs Attention",ROW(),"")</f>
        <v/>
      </c>
      <c r="AE25" s="92" t="str">
        <f>IF($Z25="Performing",ROW(),"")</f>
        <v/>
      </c>
    </row>
    <row r="26" ht="28" customHeight="1">
      <c r="A26" s="81" t="str">
        <f>IF('CLIENT MASTER'!A24="","",'CLIENT MASTER'!A24)</f>
        <v/>
      </c>
      <c r="B26" s="83" t="str">
        <f>IF($A26="","",IFERROR(IF(INDEX('CLIENT MASTER'!$C$5:$C$64,MATCH($A26,'CLIENT MASTER'!$A$5:$A$64,0))="","",INDEX('CLIENT MASTER'!$C$5:$C$64,MATCH($A26,'CLIENT MASTER'!$A$5:$A$64,0))),""))</f>
        <v/>
      </c>
      <c r="C26" s="83" t="str">
        <f>IF($A26="","",IFERROR(IF(INDEX('CLIENT MASTER'!$D$5:$D$64,MATCH($A26,'CLIENT MASTER'!$A$5:$A$64,0))="","",INDEX('CLIENT MASTER'!$D$5:$D$64,MATCH($A26,'CLIENT MASTER'!$A$5:$A$64,0))),""))</f>
        <v/>
      </c>
      <c r="D26" s="83" t="str">
        <f>IF($A26="","",COUNTIFS('CAMPAIGN MASTER'!$A$5:$A$704,$A26,'CAMPAIGN MASTER'!$AM$5:$AM$704,1))</f>
        <v/>
      </c>
      <c r="E26" s="83" t="str">
        <f>IF($A26="","",COUNTIFS('DAILY TASK TRACKER'!$C$5:$C$1504,$A26,'DAILY TASK TRACKER'!$G$5:$G$1504,"&lt;&gt;",'DAILY TASK TRACKER'!$AH$5:$AH$1504,cpCrit))</f>
        <v/>
      </c>
      <c r="F26" s="83" t="str">
        <f>IF($A26="","",COUNTIFS('DAILY TASK TRACKER'!$C$5:$C$1504,$A26,'DAILY TASK TRACKER'!$M$5:$M$1504,"Completed",'DAILY TASK TRACKER'!$AH$5:$AH$1504,cpCrit))</f>
        <v/>
      </c>
      <c r="G26" s="83" t="str">
        <f>IF($A26="","",SUMIFS('DAILY TASK TRACKER'!$AK$5:$AK$1504,'DAILY TASK TRACKER'!$C$5:$C$1504,$A26,'DAILY TASK TRACKER'!$AH$5:$AH$1504,cpCrit))</f>
        <v/>
      </c>
      <c r="H26" s="83" t="str">
        <f>IF($A26="","",SUMIFS('DAILY TASK TRACKER'!$AL$5:$AL$1504,'DAILY TASK TRACKER'!$C$5:$C$1504,$A26,'DAILY TASK TRACKER'!$AH$5:$AH$1504,cpCrit))</f>
        <v/>
      </c>
      <c r="I26" s="83" t="str">
        <f>IF($A26="","",SUMIFS('DAILY TASK TRACKER'!$AM$5:$AM$1504,'DAILY TASK TRACKER'!$C$5:$C$1504,$A26,'DAILY TASK TRACKER'!$AH$5:$AH$1504,cpCrit))</f>
        <v/>
      </c>
      <c r="J26" s="73" t="str">
        <f>IF($A26="","",IF(E26&gt;0,F26/E26,""))</f>
        <v/>
      </c>
      <c r="K26" s="73" t="str">
        <f>IF($A26="","",IF($E$37&gt;0,E26/$E$37,""))</f>
        <v/>
      </c>
      <c r="L26" s="83" t="str">
        <f>IF($A26="","",COUNTIFS('LEAD MQL TRACKER'!$B$5:$B$1004,$A26,'LEAD MQL TRACKER'!$AB$5:$AB$1004,1,'LEAD MQL TRACKER'!$AA$5:$AA$1004,cpCrit)+SUMIFS('EMAIL MARKETING'!$Q$5:$Q$804,'EMAIL MARKETING'!$B$5:$B$804,$A26,'EMAIL MARKETING'!$X$5:$X$804,cpCrit)+SUMIFS('PAID MEDIA ADS'!$M$5:$M$804,'PAID MEDIA ADS'!$B$5:$B$804,$A26,'PAID MEDIA ADS'!$U$5:$U$804,cpCrit)+SUMIFS('LINKEDIN OUTREACH'!$N$5:$N$704,'LINKEDIN OUTREACH'!$B$5:$B$704,$A26,'LINKEDIN OUTREACH'!$S$5:$S$704,cpCrit)+SUMIFS('WEBSITE CONTENT SEO'!$L$5:$L$804,'WEBSITE CONTENT SEO'!$B$5:$B$804,$A26,'WEBSITE CONTENT SEO'!$V$5:$V$804,cpCrit))</f>
        <v/>
      </c>
      <c r="M26" s="83" t="str">
        <f>IF($A26="","",COUNTIFS('LEAD MQL TRACKER'!$B$5:$B$1004,$A26,'LEAD MQL TRACKER'!$AD$5:$AD$1004,1,'LEAD MQL TRACKER'!$AA$5:$AA$1004,cpCrit)+SUMIFS('EMAIL MARKETING'!$R$5:$R$804,'EMAIL MARKETING'!$B$5:$B$804,$A26,'EMAIL MARKETING'!$X$5:$X$804,cpCrit)+SUMIFS('PAID MEDIA ADS'!$N$5:$N$804,'PAID MEDIA ADS'!$B$5:$B$804,$A26,'PAID MEDIA ADS'!$U$5:$U$804,cpCrit)+SUMIFS('LINKEDIN OUTREACH'!$O$5:$O$704,'LINKEDIN OUTREACH'!$B$5:$B$704,$A26,'LINKEDIN OUTREACH'!$S$5:$S$704,cpCrit))</f>
        <v/>
      </c>
      <c r="N26" s="83" t="str">
        <f>IF($A26="","",COUNTIFS('LEAD MQL TRACKER'!$B$5:$B$1004,$A26,'LEAD MQL TRACKER'!$AE$5:$AE$1004,1,'LEAD MQL TRACKER'!$AA$5:$AA$1004,cpCrit))</f>
        <v/>
      </c>
      <c r="O26" s="83" t="str">
        <f>IF($A26="","",COUNTIFS('LEAD MQL TRACKER'!$B$5:$B$1004,$A26,'LEAD MQL TRACKER'!$AC$5:$AC$1004,1,'LEAD MQL TRACKER'!$AA$5:$AA$1004,cpCrit)+SUMIFS('LINKEDIN OUTREACH'!$M$5:$M$704,'LINKEDIN OUTREACH'!$B$5:$B$704,$A26,'LINKEDIN OUTREACH'!$S$5:$S$704,cpCrit))</f>
        <v/>
      </c>
      <c r="P26" s="73" t="str">
        <f>IF($A26="","",IF($L$37&gt;0,L26/$L$37,""))</f>
        <v/>
      </c>
      <c r="Q26" s="83" t="str">
        <f>IF($A26="","",SUMIFS('EMAIL MARKETING'!$F$5:$F$804,'EMAIL MARKETING'!$B$5:$B$804,$A26,'EMAIL MARKETING'!$X$5:$X$804,cpCrit))</f>
        <v/>
      </c>
      <c r="R26" s="73" t="str">
        <f>IF($A26="","",IFERROR(SUMIFS('EMAIL MARKETING'!$I$5:$I$804,'EMAIL MARKETING'!$B$5:$B$804,$A26,'EMAIL MARKETING'!$X$5:$X$804,cpCrit)/SUMIFS('EMAIL MARKETING'!$W$5:$W$804,'EMAIL MARKETING'!$B$5:$B$804,$A26,'EMAIL MARKETING'!$X$5:$X$804,cpCrit),""))</f>
        <v/>
      </c>
      <c r="S26" s="73" t="str">
        <f>IF($A26="","",IFERROR(SUMIFS('EMAIL MARKETING'!$K$5:$K$804,'EMAIL MARKETING'!$B$5:$B$804,$A26,'EMAIL MARKETING'!$X$5:$X$804,cpCrit)/SUMIFS('EMAIL MARKETING'!$W$5:$W$804,'EMAIL MARKETING'!$B$5:$B$804,$A26,'EMAIL MARKETING'!$X$5:$X$804,cpCrit),""))</f>
        <v/>
      </c>
      <c r="T26" s="73" t="str">
        <f>IF($A26="","",IFERROR(SUMIFS('EMAIL MARKETING'!$O$5:$O$804,'EMAIL MARKETING'!$B$5:$B$804,$A26,'EMAIL MARKETING'!$X$5:$X$804,cpCrit)/SUMIFS('EMAIL MARKETING'!$W$5:$W$804,'EMAIL MARKETING'!$B$5:$B$804,$A26,'EMAIL MARKETING'!$X$5:$X$804,cpCrit),""))</f>
        <v/>
      </c>
      <c r="U26" s="72" t="str">
        <f>IF($A26="","",SUMIFS('PAID MEDIA ADS'!$G$5:$G$804,'PAID MEDIA ADS'!$B$5:$B$804,$A26,'PAID MEDIA ADS'!$U$5:$U$804,cpCrit))</f>
        <v/>
      </c>
      <c r="V26" s="83" t="str">
        <f>IF($A26="","",SUMIFS('PAID MEDIA ADS'!$M$5:$M$804,'PAID MEDIA ADS'!$B$5:$B$804,$A26,'PAID MEDIA ADS'!$U$5:$U$804,cpCrit))</f>
        <v/>
      </c>
      <c r="W26" s="72" t="str">
        <f>IF($A26="","",IF(AND(U26&gt;0,V26&gt;0),U26/V26,""))</f>
        <v/>
      </c>
      <c r="X26" s="83" t="str">
        <f>IF($A26="","",COUNTIFS('WEBSITE CONTENT SEO'!$B$5:$B$804,$A26,'WEBSITE CONTENT SEO'!$D$5:$D$804,"&lt;&gt;",'WEBSITE CONTENT SEO'!$V$5:$V$804,cpCrit))</f>
        <v/>
      </c>
      <c r="Y26" s="83" t="str">
        <f>IF($A26="","",SUMIFS('CAMPAIGN MASTER'!$AS$5:$AS$704,'CAMPAIGN MASTER'!$A$5:$A$704,$A26))</f>
        <v/>
      </c>
      <c r="Z26" s="83" t="str">
        <f>IF($A26="","",IF(AND(E26=0,COUNTIFS('CAMPAIGN MASTER'!$A$5:$A$704,$A26)=0),"No Activity",IF(OR(H26&gt;0,I26&gt;0,Y26&gt;0),"Needs Attention",IF(E26=0,"No Tasks Logged",IF(AND(ISNUMBER(J26),J26&gt;=0.7),"Performing","In Progress")))))</f>
        <v/>
      </c>
      <c r="AA26" s="82" t="str">
        <f>IF($A26="","",IFERROR(IF(INDEX('CLIENT MASTER'!$H$5:$H$64,MATCH($A26,'CLIENT MASTER'!$A$5:$A$64,0))="","",INDEX('CLIENT MASTER'!$H$5:$H$64,MATCH($A26,'CLIENT MASTER'!$A$5:$A$64,0))),""))</f>
        <v/>
      </c>
      <c r="AB26" s="82" t="str">
        <f>IF($A26="","",IFERROR(IF(INDEX('CLIENT MASTER'!$I$5:$I$64,MATCH($A26,'CLIENT MASTER'!$A$5:$A$64,0))="","",INDEX('CLIENT MASTER'!$I$5:$I$64,MATCH($A26,'CLIENT MASTER'!$A$5:$A$64,0))),""))</f>
        <v/>
      </c>
      <c r="AC26" s="82" t="str">
        <f>IF($A26="","",IFERROR(IF(INDEX('CLIENT MASTER'!$J$5:$J$64,MATCH($A26,'CLIENT MASTER'!$A$5:$A$64,0))="","",INDEX('CLIENT MASTER'!$J$5:$J$64,MATCH($A26,'CLIENT MASTER'!$A$5:$A$64,0))),""))</f>
        <v/>
      </c>
      <c r="AD26" s="92" t="str">
        <f>IF($Z26="Needs Attention",ROW(),"")</f>
        <v/>
      </c>
      <c r="AE26" s="92" t="str">
        <f>IF($Z26="Performing",ROW(),"")</f>
        <v/>
      </c>
    </row>
    <row r="27" ht="28" customHeight="1">
      <c r="A27" s="81" t="str">
        <f>IF('CLIENT MASTER'!A25="","",'CLIENT MASTER'!A25)</f>
        <v/>
      </c>
      <c r="B27" s="83" t="str">
        <f>IF($A27="","",IFERROR(IF(INDEX('CLIENT MASTER'!$C$5:$C$64,MATCH($A27,'CLIENT MASTER'!$A$5:$A$64,0))="","",INDEX('CLIENT MASTER'!$C$5:$C$64,MATCH($A27,'CLIENT MASTER'!$A$5:$A$64,0))),""))</f>
        <v/>
      </c>
      <c r="C27" s="83" t="str">
        <f>IF($A27="","",IFERROR(IF(INDEX('CLIENT MASTER'!$D$5:$D$64,MATCH($A27,'CLIENT MASTER'!$A$5:$A$64,0))="","",INDEX('CLIENT MASTER'!$D$5:$D$64,MATCH($A27,'CLIENT MASTER'!$A$5:$A$64,0))),""))</f>
        <v/>
      </c>
      <c r="D27" s="83" t="str">
        <f>IF($A27="","",COUNTIFS('CAMPAIGN MASTER'!$A$5:$A$704,$A27,'CAMPAIGN MASTER'!$AM$5:$AM$704,1))</f>
        <v/>
      </c>
      <c r="E27" s="83" t="str">
        <f>IF($A27="","",COUNTIFS('DAILY TASK TRACKER'!$C$5:$C$1504,$A27,'DAILY TASK TRACKER'!$G$5:$G$1504,"&lt;&gt;",'DAILY TASK TRACKER'!$AH$5:$AH$1504,cpCrit))</f>
        <v/>
      </c>
      <c r="F27" s="83" t="str">
        <f>IF($A27="","",COUNTIFS('DAILY TASK TRACKER'!$C$5:$C$1504,$A27,'DAILY TASK TRACKER'!$M$5:$M$1504,"Completed",'DAILY TASK TRACKER'!$AH$5:$AH$1504,cpCrit))</f>
        <v/>
      </c>
      <c r="G27" s="83" t="str">
        <f>IF($A27="","",SUMIFS('DAILY TASK TRACKER'!$AK$5:$AK$1504,'DAILY TASK TRACKER'!$C$5:$C$1504,$A27,'DAILY TASK TRACKER'!$AH$5:$AH$1504,cpCrit))</f>
        <v/>
      </c>
      <c r="H27" s="83" t="str">
        <f>IF($A27="","",SUMIFS('DAILY TASK TRACKER'!$AL$5:$AL$1504,'DAILY TASK TRACKER'!$C$5:$C$1504,$A27,'DAILY TASK TRACKER'!$AH$5:$AH$1504,cpCrit))</f>
        <v/>
      </c>
      <c r="I27" s="83" t="str">
        <f>IF($A27="","",SUMIFS('DAILY TASK TRACKER'!$AM$5:$AM$1504,'DAILY TASK TRACKER'!$C$5:$C$1504,$A27,'DAILY TASK TRACKER'!$AH$5:$AH$1504,cpCrit))</f>
        <v/>
      </c>
      <c r="J27" s="73" t="str">
        <f>IF($A27="","",IF(E27&gt;0,F27/E27,""))</f>
        <v/>
      </c>
      <c r="K27" s="73" t="str">
        <f>IF($A27="","",IF($E$37&gt;0,E27/$E$37,""))</f>
        <v/>
      </c>
      <c r="L27" s="83" t="str">
        <f>IF($A27="","",COUNTIFS('LEAD MQL TRACKER'!$B$5:$B$1004,$A27,'LEAD MQL TRACKER'!$AB$5:$AB$1004,1,'LEAD MQL TRACKER'!$AA$5:$AA$1004,cpCrit)+SUMIFS('EMAIL MARKETING'!$Q$5:$Q$804,'EMAIL MARKETING'!$B$5:$B$804,$A27,'EMAIL MARKETING'!$X$5:$X$804,cpCrit)+SUMIFS('PAID MEDIA ADS'!$M$5:$M$804,'PAID MEDIA ADS'!$B$5:$B$804,$A27,'PAID MEDIA ADS'!$U$5:$U$804,cpCrit)+SUMIFS('LINKEDIN OUTREACH'!$N$5:$N$704,'LINKEDIN OUTREACH'!$B$5:$B$704,$A27,'LINKEDIN OUTREACH'!$S$5:$S$704,cpCrit)+SUMIFS('WEBSITE CONTENT SEO'!$L$5:$L$804,'WEBSITE CONTENT SEO'!$B$5:$B$804,$A27,'WEBSITE CONTENT SEO'!$V$5:$V$804,cpCrit))</f>
        <v/>
      </c>
      <c r="M27" s="83" t="str">
        <f>IF($A27="","",COUNTIFS('LEAD MQL TRACKER'!$B$5:$B$1004,$A27,'LEAD MQL TRACKER'!$AD$5:$AD$1004,1,'LEAD MQL TRACKER'!$AA$5:$AA$1004,cpCrit)+SUMIFS('EMAIL MARKETING'!$R$5:$R$804,'EMAIL MARKETING'!$B$5:$B$804,$A27,'EMAIL MARKETING'!$X$5:$X$804,cpCrit)+SUMIFS('PAID MEDIA ADS'!$N$5:$N$804,'PAID MEDIA ADS'!$B$5:$B$804,$A27,'PAID MEDIA ADS'!$U$5:$U$804,cpCrit)+SUMIFS('LINKEDIN OUTREACH'!$O$5:$O$704,'LINKEDIN OUTREACH'!$B$5:$B$704,$A27,'LINKEDIN OUTREACH'!$S$5:$S$704,cpCrit))</f>
        <v/>
      </c>
      <c r="N27" s="83" t="str">
        <f>IF($A27="","",COUNTIFS('LEAD MQL TRACKER'!$B$5:$B$1004,$A27,'LEAD MQL TRACKER'!$AE$5:$AE$1004,1,'LEAD MQL TRACKER'!$AA$5:$AA$1004,cpCrit))</f>
        <v/>
      </c>
      <c r="O27" s="83" t="str">
        <f>IF($A27="","",COUNTIFS('LEAD MQL TRACKER'!$B$5:$B$1004,$A27,'LEAD MQL TRACKER'!$AC$5:$AC$1004,1,'LEAD MQL TRACKER'!$AA$5:$AA$1004,cpCrit)+SUMIFS('LINKEDIN OUTREACH'!$M$5:$M$704,'LINKEDIN OUTREACH'!$B$5:$B$704,$A27,'LINKEDIN OUTREACH'!$S$5:$S$704,cpCrit))</f>
        <v/>
      </c>
      <c r="P27" s="73" t="str">
        <f>IF($A27="","",IF($L$37&gt;0,L27/$L$37,""))</f>
        <v/>
      </c>
      <c r="Q27" s="83" t="str">
        <f>IF($A27="","",SUMIFS('EMAIL MARKETING'!$F$5:$F$804,'EMAIL MARKETING'!$B$5:$B$804,$A27,'EMAIL MARKETING'!$X$5:$X$804,cpCrit))</f>
        <v/>
      </c>
      <c r="R27" s="73" t="str">
        <f>IF($A27="","",IFERROR(SUMIFS('EMAIL MARKETING'!$I$5:$I$804,'EMAIL MARKETING'!$B$5:$B$804,$A27,'EMAIL MARKETING'!$X$5:$X$804,cpCrit)/SUMIFS('EMAIL MARKETING'!$W$5:$W$804,'EMAIL MARKETING'!$B$5:$B$804,$A27,'EMAIL MARKETING'!$X$5:$X$804,cpCrit),""))</f>
        <v/>
      </c>
      <c r="S27" s="73" t="str">
        <f>IF($A27="","",IFERROR(SUMIFS('EMAIL MARKETING'!$K$5:$K$804,'EMAIL MARKETING'!$B$5:$B$804,$A27,'EMAIL MARKETING'!$X$5:$X$804,cpCrit)/SUMIFS('EMAIL MARKETING'!$W$5:$W$804,'EMAIL MARKETING'!$B$5:$B$804,$A27,'EMAIL MARKETING'!$X$5:$X$804,cpCrit),""))</f>
        <v/>
      </c>
      <c r="T27" s="73" t="str">
        <f>IF($A27="","",IFERROR(SUMIFS('EMAIL MARKETING'!$O$5:$O$804,'EMAIL MARKETING'!$B$5:$B$804,$A27,'EMAIL MARKETING'!$X$5:$X$804,cpCrit)/SUMIFS('EMAIL MARKETING'!$W$5:$W$804,'EMAIL MARKETING'!$B$5:$B$804,$A27,'EMAIL MARKETING'!$X$5:$X$804,cpCrit),""))</f>
        <v/>
      </c>
      <c r="U27" s="72" t="str">
        <f>IF($A27="","",SUMIFS('PAID MEDIA ADS'!$G$5:$G$804,'PAID MEDIA ADS'!$B$5:$B$804,$A27,'PAID MEDIA ADS'!$U$5:$U$804,cpCrit))</f>
        <v/>
      </c>
      <c r="V27" s="83" t="str">
        <f>IF($A27="","",SUMIFS('PAID MEDIA ADS'!$M$5:$M$804,'PAID MEDIA ADS'!$B$5:$B$804,$A27,'PAID MEDIA ADS'!$U$5:$U$804,cpCrit))</f>
        <v/>
      </c>
      <c r="W27" s="72" t="str">
        <f>IF($A27="","",IF(AND(U27&gt;0,V27&gt;0),U27/V27,""))</f>
        <v/>
      </c>
      <c r="X27" s="83" t="str">
        <f>IF($A27="","",COUNTIFS('WEBSITE CONTENT SEO'!$B$5:$B$804,$A27,'WEBSITE CONTENT SEO'!$D$5:$D$804,"&lt;&gt;",'WEBSITE CONTENT SEO'!$V$5:$V$804,cpCrit))</f>
        <v/>
      </c>
      <c r="Y27" s="83" t="str">
        <f>IF($A27="","",SUMIFS('CAMPAIGN MASTER'!$AS$5:$AS$704,'CAMPAIGN MASTER'!$A$5:$A$704,$A27))</f>
        <v/>
      </c>
      <c r="Z27" s="83" t="str">
        <f>IF($A27="","",IF(AND(E27=0,COUNTIFS('CAMPAIGN MASTER'!$A$5:$A$704,$A27)=0),"No Activity",IF(OR(H27&gt;0,I27&gt;0,Y27&gt;0),"Needs Attention",IF(E27=0,"No Tasks Logged",IF(AND(ISNUMBER(J27),J27&gt;=0.7),"Performing","In Progress")))))</f>
        <v/>
      </c>
      <c r="AA27" s="82" t="str">
        <f>IF($A27="","",IFERROR(IF(INDEX('CLIENT MASTER'!$H$5:$H$64,MATCH($A27,'CLIENT MASTER'!$A$5:$A$64,0))="","",INDEX('CLIENT MASTER'!$H$5:$H$64,MATCH($A27,'CLIENT MASTER'!$A$5:$A$64,0))),""))</f>
        <v/>
      </c>
      <c r="AB27" s="82" t="str">
        <f>IF($A27="","",IFERROR(IF(INDEX('CLIENT MASTER'!$I$5:$I$64,MATCH($A27,'CLIENT MASTER'!$A$5:$A$64,0))="","",INDEX('CLIENT MASTER'!$I$5:$I$64,MATCH($A27,'CLIENT MASTER'!$A$5:$A$64,0))),""))</f>
        <v/>
      </c>
      <c r="AC27" s="82" t="str">
        <f>IF($A27="","",IFERROR(IF(INDEX('CLIENT MASTER'!$J$5:$J$64,MATCH($A27,'CLIENT MASTER'!$A$5:$A$64,0))="","",INDEX('CLIENT MASTER'!$J$5:$J$64,MATCH($A27,'CLIENT MASTER'!$A$5:$A$64,0))),""))</f>
        <v/>
      </c>
      <c r="AD27" s="92" t="str">
        <f>IF($Z27="Needs Attention",ROW(),"")</f>
        <v/>
      </c>
      <c r="AE27" s="92" t="str">
        <f>IF($Z27="Performing",ROW(),"")</f>
        <v/>
      </c>
    </row>
    <row r="28" ht="28" customHeight="1">
      <c r="A28" s="81" t="str">
        <f>IF('CLIENT MASTER'!A26="","",'CLIENT MASTER'!A26)</f>
        <v/>
      </c>
      <c r="B28" s="83" t="str">
        <f>IF($A28="","",IFERROR(IF(INDEX('CLIENT MASTER'!$C$5:$C$64,MATCH($A28,'CLIENT MASTER'!$A$5:$A$64,0))="","",INDEX('CLIENT MASTER'!$C$5:$C$64,MATCH($A28,'CLIENT MASTER'!$A$5:$A$64,0))),""))</f>
        <v/>
      </c>
      <c r="C28" s="83" t="str">
        <f>IF($A28="","",IFERROR(IF(INDEX('CLIENT MASTER'!$D$5:$D$64,MATCH($A28,'CLIENT MASTER'!$A$5:$A$64,0))="","",INDEX('CLIENT MASTER'!$D$5:$D$64,MATCH($A28,'CLIENT MASTER'!$A$5:$A$64,0))),""))</f>
        <v/>
      </c>
      <c r="D28" s="83" t="str">
        <f>IF($A28="","",COUNTIFS('CAMPAIGN MASTER'!$A$5:$A$704,$A28,'CAMPAIGN MASTER'!$AM$5:$AM$704,1))</f>
        <v/>
      </c>
      <c r="E28" s="83" t="str">
        <f>IF($A28="","",COUNTIFS('DAILY TASK TRACKER'!$C$5:$C$1504,$A28,'DAILY TASK TRACKER'!$G$5:$G$1504,"&lt;&gt;",'DAILY TASK TRACKER'!$AH$5:$AH$1504,cpCrit))</f>
        <v/>
      </c>
      <c r="F28" s="83" t="str">
        <f>IF($A28="","",COUNTIFS('DAILY TASK TRACKER'!$C$5:$C$1504,$A28,'DAILY TASK TRACKER'!$M$5:$M$1504,"Completed",'DAILY TASK TRACKER'!$AH$5:$AH$1504,cpCrit))</f>
        <v/>
      </c>
      <c r="G28" s="83" t="str">
        <f>IF($A28="","",SUMIFS('DAILY TASK TRACKER'!$AK$5:$AK$1504,'DAILY TASK TRACKER'!$C$5:$C$1504,$A28,'DAILY TASK TRACKER'!$AH$5:$AH$1504,cpCrit))</f>
        <v/>
      </c>
      <c r="H28" s="83" t="str">
        <f>IF($A28="","",SUMIFS('DAILY TASK TRACKER'!$AL$5:$AL$1504,'DAILY TASK TRACKER'!$C$5:$C$1504,$A28,'DAILY TASK TRACKER'!$AH$5:$AH$1504,cpCrit))</f>
        <v/>
      </c>
      <c r="I28" s="83" t="str">
        <f>IF($A28="","",SUMIFS('DAILY TASK TRACKER'!$AM$5:$AM$1504,'DAILY TASK TRACKER'!$C$5:$C$1504,$A28,'DAILY TASK TRACKER'!$AH$5:$AH$1504,cpCrit))</f>
        <v/>
      </c>
      <c r="J28" s="73" t="str">
        <f>IF($A28="","",IF(E28&gt;0,F28/E28,""))</f>
        <v/>
      </c>
      <c r="K28" s="73" t="str">
        <f>IF($A28="","",IF($E$37&gt;0,E28/$E$37,""))</f>
        <v/>
      </c>
      <c r="L28" s="83" t="str">
        <f>IF($A28="","",COUNTIFS('LEAD MQL TRACKER'!$B$5:$B$1004,$A28,'LEAD MQL TRACKER'!$AB$5:$AB$1004,1,'LEAD MQL TRACKER'!$AA$5:$AA$1004,cpCrit)+SUMIFS('EMAIL MARKETING'!$Q$5:$Q$804,'EMAIL MARKETING'!$B$5:$B$804,$A28,'EMAIL MARKETING'!$X$5:$X$804,cpCrit)+SUMIFS('PAID MEDIA ADS'!$M$5:$M$804,'PAID MEDIA ADS'!$B$5:$B$804,$A28,'PAID MEDIA ADS'!$U$5:$U$804,cpCrit)+SUMIFS('LINKEDIN OUTREACH'!$N$5:$N$704,'LINKEDIN OUTREACH'!$B$5:$B$704,$A28,'LINKEDIN OUTREACH'!$S$5:$S$704,cpCrit)+SUMIFS('WEBSITE CONTENT SEO'!$L$5:$L$804,'WEBSITE CONTENT SEO'!$B$5:$B$804,$A28,'WEBSITE CONTENT SEO'!$V$5:$V$804,cpCrit))</f>
        <v/>
      </c>
      <c r="M28" s="83" t="str">
        <f>IF($A28="","",COUNTIFS('LEAD MQL TRACKER'!$B$5:$B$1004,$A28,'LEAD MQL TRACKER'!$AD$5:$AD$1004,1,'LEAD MQL TRACKER'!$AA$5:$AA$1004,cpCrit)+SUMIFS('EMAIL MARKETING'!$R$5:$R$804,'EMAIL MARKETING'!$B$5:$B$804,$A28,'EMAIL MARKETING'!$X$5:$X$804,cpCrit)+SUMIFS('PAID MEDIA ADS'!$N$5:$N$804,'PAID MEDIA ADS'!$B$5:$B$804,$A28,'PAID MEDIA ADS'!$U$5:$U$804,cpCrit)+SUMIFS('LINKEDIN OUTREACH'!$O$5:$O$704,'LINKEDIN OUTREACH'!$B$5:$B$704,$A28,'LINKEDIN OUTREACH'!$S$5:$S$704,cpCrit))</f>
        <v/>
      </c>
      <c r="N28" s="83" t="str">
        <f>IF($A28="","",COUNTIFS('LEAD MQL TRACKER'!$B$5:$B$1004,$A28,'LEAD MQL TRACKER'!$AE$5:$AE$1004,1,'LEAD MQL TRACKER'!$AA$5:$AA$1004,cpCrit))</f>
        <v/>
      </c>
      <c r="O28" s="83" t="str">
        <f>IF($A28="","",COUNTIFS('LEAD MQL TRACKER'!$B$5:$B$1004,$A28,'LEAD MQL TRACKER'!$AC$5:$AC$1004,1,'LEAD MQL TRACKER'!$AA$5:$AA$1004,cpCrit)+SUMIFS('LINKEDIN OUTREACH'!$M$5:$M$704,'LINKEDIN OUTREACH'!$B$5:$B$704,$A28,'LINKEDIN OUTREACH'!$S$5:$S$704,cpCrit))</f>
        <v/>
      </c>
      <c r="P28" s="73" t="str">
        <f>IF($A28="","",IF($L$37&gt;0,L28/$L$37,""))</f>
        <v/>
      </c>
      <c r="Q28" s="83" t="str">
        <f>IF($A28="","",SUMIFS('EMAIL MARKETING'!$F$5:$F$804,'EMAIL MARKETING'!$B$5:$B$804,$A28,'EMAIL MARKETING'!$X$5:$X$804,cpCrit))</f>
        <v/>
      </c>
      <c r="R28" s="73" t="str">
        <f>IF($A28="","",IFERROR(SUMIFS('EMAIL MARKETING'!$I$5:$I$804,'EMAIL MARKETING'!$B$5:$B$804,$A28,'EMAIL MARKETING'!$X$5:$X$804,cpCrit)/SUMIFS('EMAIL MARKETING'!$W$5:$W$804,'EMAIL MARKETING'!$B$5:$B$804,$A28,'EMAIL MARKETING'!$X$5:$X$804,cpCrit),""))</f>
        <v/>
      </c>
      <c r="S28" s="73" t="str">
        <f>IF($A28="","",IFERROR(SUMIFS('EMAIL MARKETING'!$K$5:$K$804,'EMAIL MARKETING'!$B$5:$B$804,$A28,'EMAIL MARKETING'!$X$5:$X$804,cpCrit)/SUMIFS('EMAIL MARKETING'!$W$5:$W$804,'EMAIL MARKETING'!$B$5:$B$804,$A28,'EMAIL MARKETING'!$X$5:$X$804,cpCrit),""))</f>
        <v/>
      </c>
      <c r="T28" s="73" t="str">
        <f>IF($A28="","",IFERROR(SUMIFS('EMAIL MARKETING'!$O$5:$O$804,'EMAIL MARKETING'!$B$5:$B$804,$A28,'EMAIL MARKETING'!$X$5:$X$804,cpCrit)/SUMIFS('EMAIL MARKETING'!$W$5:$W$804,'EMAIL MARKETING'!$B$5:$B$804,$A28,'EMAIL MARKETING'!$X$5:$X$804,cpCrit),""))</f>
        <v/>
      </c>
      <c r="U28" s="72" t="str">
        <f>IF($A28="","",SUMIFS('PAID MEDIA ADS'!$G$5:$G$804,'PAID MEDIA ADS'!$B$5:$B$804,$A28,'PAID MEDIA ADS'!$U$5:$U$804,cpCrit))</f>
        <v/>
      </c>
      <c r="V28" s="83" t="str">
        <f>IF($A28="","",SUMIFS('PAID MEDIA ADS'!$M$5:$M$804,'PAID MEDIA ADS'!$B$5:$B$804,$A28,'PAID MEDIA ADS'!$U$5:$U$804,cpCrit))</f>
        <v/>
      </c>
      <c r="W28" s="72" t="str">
        <f>IF($A28="","",IF(AND(U28&gt;0,V28&gt;0),U28/V28,""))</f>
        <v/>
      </c>
      <c r="X28" s="83" t="str">
        <f>IF($A28="","",COUNTIFS('WEBSITE CONTENT SEO'!$B$5:$B$804,$A28,'WEBSITE CONTENT SEO'!$D$5:$D$804,"&lt;&gt;",'WEBSITE CONTENT SEO'!$V$5:$V$804,cpCrit))</f>
        <v/>
      </c>
      <c r="Y28" s="83" t="str">
        <f>IF($A28="","",SUMIFS('CAMPAIGN MASTER'!$AS$5:$AS$704,'CAMPAIGN MASTER'!$A$5:$A$704,$A28))</f>
        <v/>
      </c>
      <c r="Z28" s="83" t="str">
        <f>IF($A28="","",IF(AND(E28=0,COUNTIFS('CAMPAIGN MASTER'!$A$5:$A$704,$A28)=0),"No Activity",IF(OR(H28&gt;0,I28&gt;0,Y28&gt;0),"Needs Attention",IF(E28=0,"No Tasks Logged",IF(AND(ISNUMBER(J28),J28&gt;=0.7),"Performing","In Progress")))))</f>
        <v/>
      </c>
      <c r="AA28" s="82" t="str">
        <f>IF($A28="","",IFERROR(IF(INDEX('CLIENT MASTER'!$H$5:$H$64,MATCH($A28,'CLIENT MASTER'!$A$5:$A$64,0))="","",INDEX('CLIENT MASTER'!$H$5:$H$64,MATCH($A28,'CLIENT MASTER'!$A$5:$A$64,0))),""))</f>
        <v/>
      </c>
      <c r="AB28" s="82" t="str">
        <f>IF($A28="","",IFERROR(IF(INDEX('CLIENT MASTER'!$I$5:$I$64,MATCH($A28,'CLIENT MASTER'!$A$5:$A$64,0))="","",INDEX('CLIENT MASTER'!$I$5:$I$64,MATCH($A28,'CLIENT MASTER'!$A$5:$A$64,0))),""))</f>
        <v/>
      </c>
      <c r="AC28" s="82" t="str">
        <f>IF($A28="","",IFERROR(IF(INDEX('CLIENT MASTER'!$J$5:$J$64,MATCH($A28,'CLIENT MASTER'!$A$5:$A$64,0))="","",INDEX('CLIENT MASTER'!$J$5:$J$64,MATCH($A28,'CLIENT MASTER'!$A$5:$A$64,0))),""))</f>
        <v/>
      </c>
      <c r="AD28" s="92" t="str">
        <f>IF($Z28="Needs Attention",ROW(),"")</f>
        <v/>
      </c>
      <c r="AE28" s="92" t="str">
        <f>IF($Z28="Performing",ROW(),"")</f>
        <v/>
      </c>
    </row>
    <row r="29" ht="28" customHeight="1">
      <c r="A29" s="81" t="str">
        <f>IF('CLIENT MASTER'!A27="","",'CLIENT MASTER'!A27)</f>
        <v/>
      </c>
      <c r="B29" s="83" t="str">
        <f>IF($A29="","",IFERROR(IF(INDEX('CLIENT MASTER'!$C$5:$C$64,MATCH($A29,'CLIENT MASTER'!$A$5:$A$64,0))="","",INDEX('CLIENT MASTER'!$C$5:$C$64,MATCH($A29,'CLIENT MASTER'!$A$5:$A$64,0))),""))</f>
        <v/>
      </c>
      <c r="C29" s="83" t="str">
        <f>IF($A29="","",IFERROR(IF(INDEX('CLIENT MASTER'!$D$5:$D$64,MATCH($A29,'CLIENT MASTER'!$A$5:$A$64,0))="","",INDEX('CLIENT MASTER'!$D$5:$D$64,MATCH($A29,'CLIENT MASTER'!$A$5:$A$64,0))),""))</f>
        <v/>
      </c>
      <c r="D29" s="83" t="str">
        <f>IF($A29="","",COUNTIFS('CAMPAIGN MASTER'!$A$5:$A$704,$A29,'CAMPAIGN MASTER'!$AM$5:$AM$704,1))</f>
        <v/>
      </c>
      <c r="E29" s="83" t="str">
        <f>IF($A29="","",COUNTIFS('DAILY TASK TRACKER'!$C$5:$C$1504,$A29,'DAILY TASK TRACKER'!$G$5:$G$1504,"&lt;&gt;",'DAILY TASK TRACKER'!$AH$5:$AH$1504,cpCrit))</f>
        <v/>
      </c>
      <c r="F29" s="83" t="str">
        <f>IF($A29="","",COUNTIFS('DAILY TASK TRACKER'!$C$5:$C$1504,$A29,'DAILY TASK TRACKER'!$M$5:$M$1504,"Completed",'DAILY TASK TRACKER'!$AH$5:$AH$1504,cpCrit))</f>
        <v/>
      </c>
      <c r="G29" s="83" t="str">
        <f>IF($A29="","",SUMIFS('DAILY TASK TRACKER'!$AK$5:$AK$1504,'DAILY TASK TRACKER'!$C$5:$C$1504,$A29,'DAILY TASK TRACKER'!$AH$5:$AH$1504,cpCrit))</f>
        <v/>
      </c>
      <c r="H29" s="83" t="str">
        <f>IF($A29="","",SUMIFS('DAILY TASK TRACKER'!$AL$5:$AL$1504,'DAILY TASK TRACKER'!$C$5:$C$1504,$A29,'DAILY TASK TRACKER'!$AH$5:$AH$1504,cpCrit))</f>
        <v/>
      </c>
      <c r="I29" s="83" t="str">
        <f>IF($A29="","",SUMIFS('DAILY TASK TRACKER'!$AM$5:$AM$1504,'DAILY TASK TRACKER'!$C$5:$C$1504,$A29,'DAILY TASK TRACKER'!$AH$5:$AH$1504,cpCrit))</f>
        <v/>
      </c>
      <c r="J29" s="73" t="str">
        <f>IF($A29="","",IF(E29&gt;0,F29/E29,""))</f>
        <v/>
      </c>
      <c r="K29" s="73" t="str">
        <f>IF($A29="","",IF($E$37&gt;0,E29/$E$37,""))</f>
        <v/>
      </c>
      <c r="L29" s="83" t="str">
        <f>IF($A29="","",COUNTIFS('LEAD MQL TRACKER'!$B$5:$B$1004,$A29,'LEAD MQL TRACKER'!$AB$5:$AB$1004,1,'LEAD MQL TRACKER'!$AA$5:$AA$1004,cpCrit)+SUMIFS('EMAIL MARKETING'!$Q$5:$Q$804,'EMAIL MARKETING'!$B$5:$B$804,$A29,'EMAIL MARKETING'!$X$5:$X$804,cpCrit)+SUMIFS('PAID MEDIA ADS'!$M$5:$M$804,'PAID MEDIA ADS'!$B$5:$B$804,$A29,'PAID MEDIA ADS'!$U$5:$U$804,cpCrit)+SUMIFS('LINKEDIN OUTREACH'!$N$5:$N$704,'LINKEDIN OUTREACH'!$B$5:$B$704,$A29,'LINKEDIN OUTREACH'!$S$5:$S$704,cpCrit)+SUMIFS('WEBSITE CONTENT SEO'!$L$5:$L$804,'WEBSITE CONTENT SEO'!$B$5:$B$804,$A29,'WEBSITE CONTENT SEO'!$V$5:$V$804,cpCrit))</f>
        <v/>
      </c>
      <c r="M29" s="83" t="str">
        <f>IF($A29="","",COUNTIFS('LEAD MQL TRACKER'!$B$5:$B$1004,$A29,'LEAD MQL TRACKER'!$AD$5:$AD$1004,1,'LEAD MQL TRACKER'!$AA$5:$AA$1004,cpCrit)+SUMIFS('EMAIL MARKETING'!$R$5:$R$804,'EMAIL MARKETING'!$B$5:$B$804,$A29,'EMAIL MARKETING'!$X$5:$X$804,cpCrit)+SUMIFS('PAID MEDIA ADS'!$N$5:$N$804,'PAID MEDIA ADS'!$B$5:$B$804,$A29,'PAID MEDIA ADS'!$U$5:$U$804,cpCrit)+SUMIFS('LINKEDIN OUTREACH'!$O$5:$O$704,'LINKEDIN OUTREACH'!$B$5:$B$704,$A29,'LINKEDIN OUTREACH'!$S$5:$S$704,cpCrit))</f>
        <v/>
      </c>
      <c r="N29" s="83" t="str">
        <f>IF($A29="","",COUNTIFS('LEAD MQL TRACKER'!$B$5:$B$1004,$A29,'LEAD MQL TRACKER'!$AE$5:$AE$1004,1,'LEAD MQL TRACKER'!$AA$5:$AA$1004,cpCrit))</f>
        <v/>
      </c>
      <c r="O29" s="83" t="str">
        <f>IF($A29="","",COUNTIFS('LEAD MQL TRACKER'!$B$5:$B$1004,$A29,'LEAD MQL TRACKER'!$AC$5:$AC$1004,1,'LEAD MQL TRACKER'!$AA$5:$AA$1004,cpCrit)+SUMIFS('LINKEDIN OUTREACH'!$M$5:$M$704,'LINKEDIN OUTREACH'!$B$5:$B$704,$A29,'LINKEDIN OUTREACH'!$S$5:$S$704,cpCrit))</f>
        <v/>
      </c>
      <c r="P29" s="73" t="str">
        <f>IF($A29="","",IF($L$37&gt;0,L29/$L$37,""))</f>
        <v/>
      </c>
      <c r="Q29" s="83" t="str">
        <f>IF($A29="","",SUMIFS('EMAIL MARKETING'!$F$5:$F$804,'EMAIL MARKETING'!$B$5:$B$804,$A29,'EMAIL MARKETING'!$X$5:$X$804,cpCrit))</f>
        <v/>
      </c>
      <c r="R29" s="73" t="str">
        <f>IF($A29="","",IFERROR(SUMIFS('EMAIL MARKETING'!$I$5:$I$804,'EMAIL MARKETING'!$B$5:$B$804,$A29,'EMAIL MARKETING'!$X$5:$X$804,cpCrit)/SUMIFS('EMAIL MARKETING'!$W$5:$W$804,'EMAIL MARKETING'!$B$5:$B$804,$A29,'EMAIL MARKETING'!$X$5:$X$804,cpCrit),""))</f>
        <v/>
      </c>
      <c r="S29" s="73" t="str">
        <f>IF($A29="","",IFERROR(SUMIFS('EMAIL MARKETING'!$K$5:$K$804,'EMAIL MARKETING'!$B$5:$B$804,$A29,'EMAIL MARKETING'!$X$5:$X$804,cpCrit)/SUMIFS('EMAIL MARKETING'!$W$5:$W$804,'EMAIL MARKETING'!$B$5:$B$804,$A29,'EMAIL MARKETING'!$X$5:$X$804,cpCrit),""))</f>
        <v/>
      </c>
      <c r="T29" s="73" t="str">
        <f>IF($A29="","",IFERROR(SUMIFS('EMAIL MARKETING'!$O$5:$O$804,'EMAIL MARKETING'!$B$5:$B$804,$A29,'EMAIL MARKETING'!$X$5:$X$804,cpCrit)/SUMIFS('EMAIL MARKETING'!$W$5:$W$804,'EMAIL MARKETING'!$B$5:$B$804,$A29,'EMAIL MARKETING'!$X$5:$X$804,cpCrit),""))</f>
        <v/>
      </c>
      <c r="U29" s="72" t="str">
        <f>IF($A29="","",SUMIFS('PAID MEDIA ADS'!$G$5:$G$804,'PAID MEDIA ADS'!$B$5:$B$804,$A29,'PAID MEDIA ADS'!$U$5:$U$804,cpCrit))</f>
        <v/>
      </c>
      <c r="V29" s="83" t="str">
        <f>IF($A29="","",SUMIFS('PAID MEDIA ADS'!$M$5:$M$804,'PAID MEDIA ADS'!$B$5:$B$804,$A29,'PAID MEDIA ADS'!$U$5:$U$804,cpCrit))</f>
        <v/>
      </c>
      <c r="W29" s="72" t="str">
        <f>IF($A29="","",IF(AND(U29&gt;0,V29&gt;0),U29/V29,""))</f>
        <v/>
      </c>
      <c r="X29" s="83" t="str">
        <f>IF($A29="","",COUNTIFS('WEBSITE CONTENT SEO'!$B$5:$B$804,$A29,'WEBSITE CONTENT SEO'!$D$5:$D$804,"&lt;&gt;",'WEBSITE CONTENT SEO'!$V$5:$V$804,cpCrit))</f>
        <v/>
      </c>
      <c r="Y29" s="83" t="str">
        <f>IF($A29="","",SUMIFS('CAMPAIGN MASTER'!$AS$5:$AS$704,'CAMPAIGN MASTER'!$A$5:$A$704,$A29))</f>
        <v/>
      </c>
      <c r="Z29" s="83" t="str">
        <f>IF($A29="","",IF(AND(E29=0,COUNTIFS('CAMPAIGN MASTER'!$A$5:$A$704,$A29)=0),"No Activity",IF(OR(H29&gt;0,I29&gt;0,Y29&gt;0),"Needs Attention",IF(E29=0,"No Tasks Logged",IF(AND(ISNUMBER(J29),J29&gt;=0.7),"Performing","In Progress")))))</f>
        <v/>
      </c>
      <c r="AA29" s="82" t="str">
        <f>IF($A29="","",IFERROR(IF(INDEX('CLIENT MASTER'!$H$5:$H$64,MATCH($A29,'CLIENT MASTER'!$A$5:$A$64,0))="","",INDEX('CLIENT MASTER'!$H$5:$H$64,MATCH($A29,'CLIENT MASTER'!$A$5:$A$64,0))),""))</f>
        <v/>
      </c>
      <c r="AB29" s="82" t="str">
        <f>IF($A29="","",IFERROR(IF(INDEX('CLIENT MASTER'!$I$5:$I$64,MATCH($A29,'CLIENT MASTER'!$A$5:$A$64,0))="","",INDEX('CLIENT MASTER'!$I$5:$I$64,MATCH($A29,'CLIENT MASTER'!$A$5:$A$64,0))),""))</f>
        <v/>
      </c>
      <c r="AC29" s="82" t="str">
        <f>IF($A29="","",IFERROR(IF(INDEX('CLIENT MASTER'!$J$5:$J$64,MATCH($A29,'CLIENT MASTER'!$A$5:$A$64,0))="","",INDEX('CLIENT MASTER'!$J$5:$J$64,MATCH($A29,'CLIENT MASTER'!$A$5:$A$64,0))),""))</f>
        <v/>
      </c>
      <c r="AD29" s="92" t="str">
        <f>IF($Z29="Needs Attention",ROW(),"")</f>
        <v/>
      </c>
      <c r="AE29" s="92" t="str">
        <f>IF($Z29="Performing",ROW(),"")</f>
        <v/>
      </c>
    </row>
    <row r="30" ht="28" customHeight="1">
      <c r="A30" s="81" t="str">
        <f>IF('CLIENT MASTER'!A28="","",'CLIENT MASTER'!A28)</f>
        <v/>
      </c>
      <c r="B30" s="83" t="str">
        <f>IF($A30="","",IFERROR(IF(INDEX('CLIENT MASTER'!$C$5:$C$64,MATCH($A30,'CLIENT MASTER'!$A$5:$A$64,0))="","",INDEX('CLIENT MASTER'!$C$5:$C$64,MATCH($A30,'CLIENT MASTER'!$A$5:$A$64,0))),""))</f>
        <v/>
      </c>
      <c r="C30" s="83" t="str">
        <f>IF($A30="","",IFERROR(IF(INDEX('CLIENT MASTER'!$D$5:$D$64,MATCH($A30,'CLIENT MASTER'!$A$5:$A$64,0))="","",INDEX('CLIENT MASTER'!$D$5:$D$64,MATCH($A30,'CLIENT MASTER'!$A$5:$A$64,0))),""))</f>
        <v/>
      </c>
      <c r="D30" s="83" t="str">
        <f>IF($A30="","",COUNTIFS('CAMPAIGN MASTER'!$A$5:$A$704,$A30,'CAMPAIGN MASTER'!$AM$5:$AM$704,1))</f>
        <v/>
      </c>
      <c r="E30" s="83" t="str">
        <f>IF($A30="","",COUNTIFS('DAILY TASK TRACKER'!$C$5:$C$1504,$A30,'DAILY TASK TRACKER'!$G$5:$G$1504,"&lt;&gt;",'DAILY TASK TRACKER'!$AH$5:$AH$1504,cpCrit))</f>
        <v/>
      </c>
      <c r="F30" s="83" t="str">
        <f>IF($A30="","",COUNTIFS('DAILY TASK TRACKER'!$C$5:$C$1504,$A30,'DAILY TASK TRACKER'!$M$5:$M$1504,"Completed",'DAILY TASK TRACKER'!$AH$5:$AH$1504,cpCrit))</f>
        <v/>
      </c>
      <c r="G30" s="83" t="str">
        <f>IF($A30="","",SUMIFS('DAILY TASK TRACKER'!$AK$5:$AK$1504,'DAILY TASK TRACKER'!$C$5:$C$1504,$A30,'DAILY TASK TRACKER'!$AH$5:$AH$1504,cpCrit))</f>
        <v/>
      </c>
      <c r="H30" s="83" t="str">
        <f>IF($A30="","",SUMIFS('DAILY TASK TRACKER'!$AL$5:$AL$1504,'DAILY TASK TRACKER'!$C$5:$C$1504,$A30,'DAILY TASK TRACKER'!$AH$5:$AH$1504,cpCrit))</f>
        <v/>
      </c>
      <c r="I30" s="83" t="str">
        <f>IF($A30="","",SUMIFS('DAILY TASK TRACKER'!$AM$5:$AM$1504,'DAILY TASK TRACKER'!$C$5:$C$1504,$A30,'DAILY TASK TRACKER'!$AH$5:$AH$1504,cpCrit))</f>
        <v/>
      </c>
      <c r="J30" s="73" t="str">
        <f>IF($A30="","",IF(E30&gt;0,F30/E30,""))</f>
        <v/>
      </c>
      <c r="K30" s="73" t="str">
        <f>IF($A30="","",IF($E$37&gt;0,E30/$E$37,""))</f>
        <v/>
      </c>
      <c r="L30" s="83" t="str">
        <f>IF($A30="","",COUNTIFS('LEAD MQL TRACKER'!$B$5:$B$1004,$A30,'LEAD MQL TRACKER'!$AB$5:$AB$1004,1,'LEAD MQL TRACKER'!$AA$5:$AA$1004,cpCrit)+SUMIFS('EMAIL MARKETING'!$Q$5:$Q$804,'EMAIL MARKETING'!$B$5:$B$804,$A30,'EMAIL MARKETING'!$X$5:$X$804,cpCrit)+SUMIFS('PAID MEDIA ADS'!$M$5:$M$804,'PAID MEDIA ADS'!$B$5:$B$804,$A30,'PAID MEDIA ADS'!$U$5:$U$804,cpCrit)+SUMIFS('LINKEDIN OUTREACH'!$N$5:$N$704,'LINKEDIN OUTREACH'!$B$5:$B$704,$A30,'LINKEDIN OUTREACH'!$S$5:$S$704,cpCrit)+SUMIFS('WEBSITE CONTENT SEO'!$L$5:$L$804,'WEBSITE CONTENT SEO'!$B$5:$B$804,$A30,'WEBSITE CONTENT SEO'!$V$5:$V$804,cpCrit))</f>
        <v/>
      </c>
      <c r="M30" s="83" t="str">
        <f>IF($A30="","",COUNTIFS('LEAD MQL TRACKER'!$B$5:$B$1004,$A30,'LEAD MQL TRACKER'!$AD$5:$AD$1004,1,'LEAD MQL TRACKER'!$AA$5:$AA$1004,cpCrit)+SUMIFS('EMAIL MARKETING'!$R$5:$R$804,'EMAIL MARKETING'!$B$5:$B$804,$A30,'EMAIL MARKETING'!$X$5:$X$804,cpCrit)+SUMIFS('PAID MEDIA ADS'!$N$5:$N$804,'PAID MEDIA ADS'!$B$5:$B$804,$A30,'PAID MEDIA ADS'!$U$5:$U$804,cpCrit)+SUMIFS('LINKEDIN OUTREACH'!$O$5:$O$704,'LINKEDIN OUTREACH'!$B$5:$B$704,$A30,'LINKEDIN OUTREACH'!$S$5:$S$704,cpCrit))</f>
        <v/>
      </c>
      <c r="N30" s="83" t="str">
        <f>IF($A30="","",COUNTIFS('LEAD MQL TRACKER'!$B$5:$B$1004,$A30,'LEAD MQL TRACKER'!$AE$5:$AE$1004,1,'LEAD MQL TRACKER'!$AA$5:$AA$1004,cpCrit))</f>
        <v/>
      </c>
      <c r="O30" s="83" t="str">
        <f>IF($A30="","",COUNTIFS('LEAD MQL TRACKER'!$B$5:$B$1004,$A30,'LEAD MQL TRACKER'!$AC$5:$AC$1004,1,'LEAD MQL TRACKER'!$AA$5:$AA$1004,cpCrit)+SUMIFS('LINKEDIN OUTREACH'!$M$5:$M$704,'LINKEDIN OUTREACH'!$B$5:$B$704,$A30,'LINKEDIN OUTREACH'!$S$5:$S$704,cpCrit))</f>
        <v/>
      </c>
      <c r="P30" s="73" t="str">
        <f>IF($A30="","",IF($L$37&gt;0,L30/$L$37,""))</f>
        <v/>
      </c>
      <c r="Q30" s="83" t="str">
        <f>IF($A30="","",SUMIFS('EMAIL MARKETING'!$F$5:$F$804,'EMAIL MARKETING'!$B$5:$B$804,$A30,'EMAIL MARKETING'!$X$5:$X$804,cpCrit))</f>
        <v/>
      </c>
      <c r="R30" s="73" t="str">
        <f>IF($A30="","",IFERROR(SUMIFS('EMAIL MARKETING'!$I$5:$I$804,'EMAIL MARKETING'!$B$5:$B$804,$A30,'EMAIL MARKETING'!$X$5:$X$804,cpCrit)/SUMIFS('EMAIL MARKETING'!$W$5:$W$804,'EMAIL MARKETING'!$B$5:$B$804,$A30,'EMAIL MARKETING'!$X$5:$X$804,cpCrit),""))</f>
        <v/>
      </c>
      <c r="S30" s="73" t="str">
        <f>IF($A30="","",IFERROR(SUMIFS('EMAIL MARKETING'!$K$5:$K$804,'EMAIL MARKETING'!$B$5:$B$804,$A30,'EMAIL MARKETING'!$X$5:$X$804,cpCrit)/SUMIFS('EMAIL MARKETING'!$W$5:$W$804,'EMAIL MARKETING'!$B$5:$B$804,$A30,'EMAIL MARKETING'!$X$5:$X$804,cpCrit),""))</f>
        <v/>
      </c>
      <c r="T30" s="73" t="str">
        <f>IF($A30="","",IFERROR(SUMIFS('EMAIL MARKETING'!$O$5:$O$804,'EMAIL MARKETING'!$B$5:$B$804,$A30,'EMAIL MARKETING'!$X$5:$X$804,cpCrit)/SUMIFS('EMAIL MARKETING'!$W$5:$W$804,'EMAIL MARKETING'!$B$5:$B$804,$A30,'EMAIL MARKETING'!$X$5:$X$804,cpCrit),""))</f>
        <v/>
      </c>
      <c r="U30" s="72" t="str">
        <f>IF($A30="","",SUMIFS('PAID MEDIA ADS'!$G$5:$G$804,'PAID MEDIA ADS'!$B$5:$B$804,$A30,'PAID MEDIA ADS'!$U$5:$U$804,cpCrit))</f>
        <v/>
      </c>
      <c r="V30" s="83" t="str">
        <f>IF($A30="","",SUMIFS('PAID MEDIA ADS'!$M$5:$M$804,'PAID MEDIA ADS'!$B$5:$B$804,$A30,'PAID MEDIA ADS'!$U$5:$U$804,cpCrit))</f>
        <v/>
      </c>
      <c r="W30" s="72" t="str">
        <f>IF($A30="","",IF(AND(U30&gt;0,V30&gt;0),U30/V30,""))</f>
        <v/>
      </c>
      <c r="X30" s="83" t="str">
        <f>IF($A30="","",COUNTIFS('WEBSITE CONTENT SEO'!$B$5:$B$804,$A30,'WEBSITE CONTENT SEO'!$D$5:$D$804,"&lt;&gt;",'WEBSITE CONTENT SEO'!$V$5:$V$804,cpCrit))</f>
        <v/>
      </c>
      <c r="Y30" s="83" t="str">
        <f>IF($A30="","",SUMIFS('CAMPAIGN MASTER'!$AS$5:$AS$704,'CAMPAIGN MASTER'!$A$5:$A$704,$A30))</f>
        <v/>
      </c>
      <c r="Z30" s="83" t="str">
        <f>IF($A30="","",IF(AND(E30=0,COUNTIFS('CAMPAIGN MASTER'!$A$5:$A$704,$A30)=0),"No Activity",IF(OR(H30&gt;0,I30&gt;0,Y30&gt;0),"Needs Attention",IF(E30=0,"No Tasks Logged",IF(AND(ISNUMBER(J30),J30&gt;=0.7),"Performing","In Progress")))))</f>
        <v/>
      </c>
      <c r="AA30" s="82" t="str">
        <f>IF($A30="","",IFERROR(IF(INDEX('CLIENT MASTER'!$H$5:$H$64,MATCH($A30,'CLIENT MASTER'!$A$5:$A$64,0))="","",INDEX('CLIENT MASTER'!$H$5:$H$64,MATCH($A30,'CLIENT MASTER'!$A$5:$A$64,0))),""))</f>
        <v/>
      </c>
      <c r="AB30" s="82" t="str">
        <f>IF($A30="","",IFERROR(IF(INDEX('CLIENT MASTER'!$I$5:$I$64,MATCH($A30,'CLIENT MASTER'!$A$5:$A$64,0))="","",INDEX('CLIENT MASTER'!$I$5:$I$64,MATCH($A30,'CLIENT MASTER'!$A$5:$A$64,0))),""))</f>
        <v/>
      </c>
      <c r="AC30" s="82" t="str">
        <f>IF($A30="","",IFERROR(IF(INDEX('CLIENT MASTER'!$J$5:$J$64,MATCH($A30,'CLIENT MASTER'!$A$5:$A$64,0))="","",INDEX('CLIENT MASTER'!$J$5:$J$64,MATCH($A30,'CLIENT MASTER'!$A$5:$A$64,0))),""))</f>
        <v/>
      </c>
      <c r="AD30" s="92" t="str">
        <f>IF($Z30="Needs Attention",ROW(),"")</f>
        <v/>
      </c>
      <c r="AE30" s="92" t="str">
        <f>IF($Z30="Performing",ROW(),"")</f>
        <v/>
      </c>
    </row>
    <row r="31" ht="28" customHeight="1">
      <c r="A31" s="81" t="str">
        <f>IF('CLIENT MASTER'!A29="","",'CLIENT MASTER'!A29)</f>
        <v/>
      </c>
      <c r="B31" s="83" t="str">
        <f>IF($A31="","",IFERROR(IF(INDEX('CLIENT MASTER'!$C$5:$C$64,MATCH($A31,'CLIENT MASTER'!$A$5:$A$64,0))="","",INDEX('CLIENT MASTER'!$C$5:$C$64,MATCH($A31,'CLIENT MASTER'!$A$5:$A$64,0))),""))</f>
        <v/>
      </c>
      <c r="C31" s="83" t="str">
        <f>IF($A31="","",IFERROR(IF(INDEX('CLIENT MASTER'!$D$5:$D$64,MATCH($A31,'CLIENT MASTER'!$A$5:$A$64,0))="","",INDEX('CLIENT MASTER'!$D$5:$D$64,MATCH($A31,'CLIENT MASTER'!$A$5:$A$64,0))),""))</f>
        <v/>
      </c>
      <c r="D31" s="83" t="str">
        <f>IF($A31="","",COUNTIFS('CAMPAIGN MASTER'!$A$5:$A$704,$A31,'CAMPAIGN MASTER'!$AM$5:$AM$704,1))</f>
        <v/>
      </c>
      <c r="E31" s="83" t="str">
        <f>IF($A31="","",COUNTIFS('DAILY TASK TRACKER'!$C$5:$C$1504,$A31,'DAILY TASK TRACKER'!$G$5:$G$1504,"&lt;&gt;",'DAILY TASK TRACKER'!$AH$5:$AH$1504,cpCrit))</f>
        <v/>
      </c>
      <c r="F31" s="83" t="str">
        <f>IF($A31="","",COUNTIFS('DAILY TASK TRACKER'!$C$5:$C$1504,$A31,'DAILY TASK TRACKER'!$M$5:$M$1504,"Completed",'DAILY TASK TRACKER'!$AH$5:$AH$1504,cpCrit))</f>
        <v/>
      </c>
      <c r="G31" s="83" t="str">
        <f>IF($A31="","",SUMIFS('DAILY TASK TRACKER'!$AK$5:$AK$1504,'DAILY TASK TRACKER'!$C$5:$C$1504,$A31,'DAILY TASK TRACKER'!$AH$5:$AH$1504,cpCrit))</f>
        <v/>
      </c>
      <c r="H31" s="83" t="str">
        <f>IF($A31="","",SUMIFS('DAILY TASK TRACKER'!$AL$5:$AL$1504,'DAILY TASK TRACKER'!$C$5:$C$1504,$A31,'DAILY TASK TRACKER'!$AH$5:$AH$1504,cpCrit))</f>
        <v/>
      </c>
      <c r="I31" s="83" t="str">
        <f>IF($A31="","",SUMIFS('DAILY TASK TRACKER'!$AM$5:$AM$1504,'DAILY TASK TRACKER'!$C$5:$C$1504,$A31,'DAILY TASK TRACKER'!$AH$5:$AH$1504,cpCrit))</f>
        <v/>
      </c>
      <c r="J31" s="73" t="str">
        <f>IF($A31="","",IF(E31&gt;0,F31/E31,""))</f>
        <v/>
      </c>
      <c r="K31" s="73" t="str">
        <f>IF($A31="","",IF($E$37&gt;0,E31/$E$37,""))</f>
        <v/>
      </c>
      <c r="L31" s="83" t="str">
        <f>IF($A31="","",COUNTIFS('LEAD MQL TRACKER'!$B$5:$B$1004,$A31,'LEAD MQL TRACKER'!$AB$5:$AB$1004,1,'LEAD MQL TRACKER'!$AA$5:$AA$1004,cpCrit)+SUMIFS('EMAIL MARKETING'!$Q$5:$Q$804,'EMAIL MARKETING'!$B$5:$B$804,$A31,'EMAIL MARKETING'!$X$5:$X$804,cpCrit)+SUMIFS('PAID MEDIA ADS'!$M$5:$M$804,'PAID MEDIA ADS'!$B$5:$B$804,$A31,'PAID MEDIA ADS'!$U$5:$U$804,cpCrit)+SUMIFS('LINKEDIN OUTREACH'!$N$5:$N$704,'LINKEDIN OUTREACH'!$B$5:$B$704,$A31,'LINKEDIN OUTREACH'!$S$5:$S$704,cpCrit)+SUMIFS('WEBSITE CONTENT SEO'!$L$5:$L$804,'WEBSITE CONTENT SEO'!$B$5:$B$804,$A31,'WEBSITE CONTENT SEO'!$V$5:$V$804,cpCrit))</f>
        <v/>
      </c>
      <c r="M31" s="83" t="str">
        <f>IF($A31="","",COUNTIFS('LEAD MQL TRACKER'!$B$5:$B$1004,$A31,'LEAD MQL TRACKER'!$AD$5:$AD$1004,1,'LEAD MQL TRACKER'!$AA$5:$AA$1004,cpCrit)+SUMIFS('EMAIL MARKETING'!$R$5:$R$804,'EMAIL MARKETING'!$B$5:$B$804,$A31,'EMAIL MARKETING'!$X$5:$X$804,cpCrit)+SUMIFS('PAID MEDIA ADS'!$N$5:$N$804,'PAID MEDIA ADS'!$B$5:$B$804,$A31,'PAID MEDIA ADS'!$U$5:$U$804,cpCrit)+SUMIFS('LINKEDIN OUTREACH'!$O$5:$O$704,'LINKEDIN OUTREACH'!$B$5:$B$704,$A31,'LINKEDIN OUTREACH'!$S$5:$S$704,cpCrit))</f>
        <v/>
      </c>
      <c r="N31" s="83" t="str">
        <f>IF($A31="","",COUNTIFS('LEAD MQL TRACKER'!$B$5:$B$1004,$A31,'LEAD MQL TRACKER'!$AE$5:$AE$1004,1,'LEAD MQL TRACKER'!$AA$5:$AA$1004,cpCrit))</f>
        <v/>
      </c>
      <c r="O31" s="83" t="str">
        <f>IF($A31="","",COUNTIFS('LEAD MQL TRACKER'!$B$5:$B$1004,$A31,'LEAD MQL TRACKER'!$AC$5:$AC$1004,1,'LEAD MQL TRACKER'!$AA$5:$AA$1004,cpCrit)+SUMIFS('LINKEDIN OUTREACH'!$M$5:$M$704,'LINKEDIN OUTREACH'!$B$5:$B$704,$A31,'LINKEDIN OUTREACH'!$S$5:$S$704,cpCrit))</f>
        <v/>
      </c>
      <c r="P31" s="73" t="str">
        <f>IF($A31="","",IF($L$37&gt;0,L31/$L$37,""))</f>
        <v/>
      </c>
      <c r="Q31" s="83" t="str">
        <f>IF($A31="","",SUMIFS('EMAIL MARKETING'!$F$5:$F$804,'EMAIL MARKETING'!$B$5:$B$804,$A31,'EMAIL MARKETING'!$X$5:$X$804,cpCrit))</f>
        <v/>
      </c>
      <c r="R31" s="73" t="str">
        <f>IF($A31="","",IFERROR(SUMIFS('EMAIL MARKETING'!$I$5:$I$804,'EMAIL MARKETING'!$B$5:$B$804,$A31,'EMAIL MARKETING'!$X$5:$X$804,cpCrit)/SUMIFS('EMAIL MARKETING'!$W$5:$W$804,'EMAIL MARKETING'!$B$5:$B$804,$A31,'EMAIL MARKETING'!$X$5:$X$804,cpCrit),""))</f>
        <v/>
      </c>
      <c r="S31" s="73" t="str">
        <f>IF($A31="","",IFERROR(SUMIFS('EMAIL MARKETING'!$K$5:$K$804,'EMAIL MARKETING'!$B$5:$B$804,$A31,'EMAIL MARKETING'!$X$5:$X$804,cpCrit)/SUMIFS('EMAIL MARKETING'!$W$5:$W$804,'EMAIL MARKETING'!$B$5:$B$804,$A31,'EMAIL MARKETING'!$X$5:$X$804,cpCrit),""))</f>
        <v/>
      </c>
      <c r="T31" s="73" t="str">
        <f>IF($A31="","",IFERROR(SUMIFS('EMAIL MARKETING'!$O$5:$O$804,'EMAIL MARKETING'!$B$5:$B$804,$A31,'EMAIL MARKETING'!$X$5:$X$804,cpCrit)/SUMIFS('EMAIL MARKETING'!$W$5:$W$804,'EMAIL MARKETING'!$B$5:$B$804,$A31,'EMAIL MARKETING'!$X$5:$X$804,cpCrit),""))</f>
        <v/>
      </c>
      <c r="U31" s="72" t="str">
        <f>IF($A31="","",SUMIFS('PAID MEDIA ADS'!$G$5:$G$804,'PAID MEDIA ADS'!$B$5:$B$804,$A31,'PAID MEDIA ADS'!$U$5:$U$804,cpCrit))</f>
        <v/>
      </c>
      <c r="V31" s="83" t="str">
        <f>IF($A31="","",SUMIFS('PAID MEDIA ADS'!$M$5:$M$804,'PAID MEDIA ADS'!$B$5:$B$804,$A31,'PAID MEDIA ADS'!$U$5:$U$804,cpCrit))</f>
        <v/>
      </c>
      <c r="W31" s="72" t="str">
        <f>IF($A31="","",IF(AND(U31&gt;0,V31&gt;0),U31/V31,""))</f>
        <v/>
      </c>
      <c r="X31" s="83" t="str">
        <f>IF($A31="","",COUNTIFS('WEBSITE CONTENT SEO'!$B$5:$B$804,$A31,'WEBSITE CONTENT SEO'!$D$5:$D$804,"&lt;&gt;",'WEBSITE CONTENT SEO'!$V$5:$V$804,cpCrit))</f>
        <v/>
      </c>
      <c r="Y31" s="83" t="str">
        <f>IF($A31="","",SUMIFS('CAMPAIGN MASTER'!$AS$5:$AS$704,'CAMPAIGN MASTER'!$A$5:$A$704,$A31))</f>
        <v/>
      </c>
      <c r="Z31" s="83" t="str">
        <f>IF($A31="","",IF(AND(E31=0,COUNTIFS('CAMPAIGN MASTER'!$A$5:$A$704,$A31)=0),"No Activity",IF(OR(H31&gt;0,I31&gt;0,Y31&gt;0),"Needs Attention",IF(E31=0,"No Tasks Logged",IF(AND(ISNUMBER(J31),J31&gt;=0.7),"Performing","In Progress")))))</f>
        <v/>
      </c>
      <c r="AA31" s="82" t="str">
        <f>IF($A31="","",IFERROR(IF(INDEX('CLIENT MASTER'!$H$5:$H$64,MATCH($A31,'CLIENT MASTER'!$A$5:$A$64,0))="","",INDEX('CLIENT MASTER'!$H$5:$H$64,MATCH($A31,'CLIENT MASTER'!$A$5:$A$64,0))),""))</f>
        <v/>
      </c>
      <c r="AB31" s="82" t="str">
        <f>IF($A31="","",IFERROR(IF(INDEX('CLIENT MASTER'!$I$5:$I$64,MATCH($A31,'CLIENT MASTER'!$A$5:$A$64,0))="","",INDEX('CLIENT MASTER'!$I$5:$I$64,MATCH($A31,'CLIENT MASTER'!$A$5:$A$64,0))),""))</f>
        <v/>
      </c>
      <c r="AC31" s="82" t="str">
        <f>IF($A31="","",IFERROR(IF(INDEX('CLIENT MASTER'!$J$5:$J$64,MATCH($A31,'CLIENT MASTER'!$A$5:$A$64,0))="","",INDEX('CLIENT MASTER'!$J$5:$J$64,MATCH($A31,'CLIENT MASTER'!$A$5:$A$64,0))),""))</f>
        <v/>
      </c>
      <c r="AD31" s="92" t="str">
        <f>IF($Z31="Needs Attention",ROW(),"")</f>
        <v/>
      </c>
      <c r="AE31" s="92" t="str">
        <f>IF($Z31="Performing",ROW(),"")</f>
        <v/>
      </c>
    </row>
    <row r="32" ht="28" customHeight="1">
      <c r="A32" s="81" t="str">
        <f>IF('CLIENT MASTER'!A30="","",'CLIENT MASTER'!A30)</f>
        <v/>
      </c>
      <c r="B32" s="83" t="str">
        <f>IF($A32="","",IFERROR(IF(INDEX('CLIENT MASTER'!$C$5:$C$64,MATCH($A32,'CLIENT MASTER'!$A$5:$A$64,0))="","",INDEX('CLIENT MASTER'!$C$5:$C$64,MATCH($A32,'CLIENT MASTER'!$A$5:$A$64,0))),""))</f>
        <v/>
      </c>
      <c r="C32" s="83" t="str">
        <f>IF($A32="","",IFERROR(IF(INDEX('CLIENT MASTER'!$D$5:$D$64,MATCH($A32,'CLIENT MASTER'!$A$5:$A$64,0))="","",INDEX('CLIENT MASTER'!$D$5:$D$64,MATCH($A32,'CLIENT MASTER'!$A$5:$A$64,0))),""))</f>
        <v/>
      </c>
      <c r="D32" s="83" t="str">
        <f>IF($A32="","",COUNTIFS('CAMPAIGN MASTER'!$A$5:$A$704,$A32,'CAMPAIGN MASTER'!$AM$5:$AM$704,1))</f>
        <v/>
      </c>
      <c r="E32" s="83" t="str">
        <f>IF($A32="","",COUNTIFS('DAILY TASK TRACKER'!$C$5:$C$1504,$A32,'DAILY TASK TRACKER'!$G$5:$G$1504,"&lt;&gt;",'DAILY TASK TRACKER'!$AH$5:$AH$1504,cpCrit))</f>
        <v/>
      </c>
      <c r="F32" s="83" t="str">
        <f>IF($A32="","",COUNTIFS('DAILY TASK TRACKER'!$C$5:$C$1504,$A32,'DAILY TASK TRACKER'!$M$5:$M$1504,"Completed",'DAILY TASK TRACKER'!$AH$5:$AH$1504,cpCrit))</f>
        <v/>
      </c>
      <c r="G32" s="83" t="str">
        <f>IF($A32="","",SUMIFS('DAILY TASK TRACKER'!$AK$5:$AK$1504,'DAILY TASK TRACKER'!$C$5:$C$1504,$A32,'DAILY TASK TRACKER'!$AH$5:$AH$1504,cpCrit))</f>
        <v/>
      </c>
      <c r="H32" s="83" t="str">
        <f>IF($A32="","",SUMIFS('DAILY TASK TRACKER'!$AL$5:$AL$1504,'DAILY TASK TRACKER'!$C$5:$C$1504,$A32,'DAILY TASK TRACKER'!$AH$5:$AH$1504,cpCrit))</f>
        <v/>
      </c>
      <c r="I32" s="83" t="str">
        <f>IF($A32="","",SUMIFS('DAILY TASK TRACKER'!$AM$5:$AM$1504,'DAILY TASK TRACKER'!$C$5:$C$1504,$A32,'DAILY TASK TRACKER'!$AH$5:$AH$1504,cpCrit))</f>
        <v/>
      </c>
      <c r="J32" s="73" t="str">
        <f>IF($A32="","",IF(E32&gt;0,F32/E32,""))</f>
        <v/>
      </c>
      <c r="K32" s="73" t="str">
        <f>IF($A32="","",IF($E$37&gt;0,E32/$E$37,""))</f>
        <v/>
      </c>
      <c r="L32" s="83" t="str">
        <f>IF($A32="","",COUNTIFS('LEAD MQL TRACKER'!$B$5:$B$1004,$A32,'LEAD MQL TRACKER'!$AB$5:$AB$1004,1,'LEAD MQL TRACKER'!$AA$5:$AA$1004,cpCrit)+SUMIFS('EMAIL MARKETING'!$Q$5:$Q$804,'EMAIL MARKETING'!$B$5:$B$804,$A32,'EMAIL MARKETING'!$X$5:$X$804,cpCrit)+SUMIFS('PAID MEDIA ADS'!$M$5:$M$804,'PAID MEDIA ADS'!$B$5:$B$804,$A32,'PAID MEDIA ADS'!$U$5:$U$804,cpCrit)+SUMIFS('LINKEDIN OUTREACH'!$N$5:$N$704,'LINKEDIN OUTREACH'!$B$5:$B$704,$A32,'LINKEDIN OUTREACH'!$S$5:$S$704,cpCrit)+SUMIFS('WEBSITE CONTENT SEO'!$L$5:$L$804,'WEBSITE CONTENT SEO'!$B$5:$B$804,$A32,'WEBSITE CONTENT SEO'!$V$5:$V$804,cpCrit))</f>
        <v/>
      </c>
      <c r="M32" s="83" t="str">
        <f>IF($A32="","",COUNTIFS('LEAD MQL TRACKER'!$B$5:$B$1004,$A32,'LEAD MQL TRACKER'!$AD$5:$AD$1004,1,'LEAD MQL TRACKER'!$AA$5:$AA$1004,cpCrit)+SUMIFS('EMAIL MARKETING'!$R$5:$R$804,'EMAIL MARKETING'!$B$5:$B$804,$A32,'EMAIL MARKETING'!$X$5:$X$804,cpCrit)+SUMIFS('PAID MEDIA ADS'!$N$5:$N$804,'PAID MEDIA ADS'!$B$5:$B$804,$A32,'PAID MEDIA ADS'!$U$5:$U$804,cpCrit)+SUMIFS('LINKEDIN OUTREACH'!$O$5:$O$704,'LINKEDIN OUTREACH'!$B$5:$B$704,$A32,'LINKEDIN OUTREACH'!$S$5:$S$704,cpCrit))</f>
        <v/>
      </c>
      <c r="N32" s="83" t="str">
        <f>IF($A32="","",COUNTIFS('LEAD MQL TRACKER'!$B$5:$B$1004,$A32,'LEAD MQL TRACKER'!$AE$5:$AE$1004,1,'LEAD MQL TRACKER'!$AA$5:$AA$1004,cpCrit))</f>
        <v/>
      </c>
      <c r="O32" s="83" t="str">
        <f>IF($A32="","",COUNTIFS('LEAD MQL TRACKER'!$B$5:$B$1004,$A32,'LEAD MQL TRACKER'!$AC$5:$AC$1004,1,'LEAD MQL TRACKER'!$AA$5:$AA$1004,cpCrit)+SUMIFS('LINKEDIN OUTREACH'!$M$5:$M$704,'LINKEDIN OUTREACH'!$B$5:$B$704,$A32,'LINKEDIN OUTREACH'!$S$5:$S$704,cpCrit))</f>
        <v/>
      </c>
      <c r="P32" s="73" t="str">
        <f>IF($A32="","",IF($L$37&gt;0,L32/$L$37,""))</f>
        <v/>
      </c>
      <c r="Q32" s="83" t="str">
        <f>IF($A32="","",SUMIFS('EMAIL MARKETING'!$F$5:$F$804,'EMAIL MARKETING'!$B$5:$B$804,$A32,'EMAIL MARKETING'!$X$5:$X$804,cpCrit))</f>
        <v/>
      </c>
      <c r="R32" s="73" t="str">
        <f>IF($A32="","",IFERROR(SUMIFS('EMAIL MARKETING'!$I$5:$I$804,'EMAIL MARKETING'!$B$5:$B$804,$A32,'EMAIL MARKETING'!$X$5:$X$804,cpCrit)/SUMIFS('EMAIL MARKETING'!$W$5:$W$804,'EMAIL MARKETING'!$B$5:$B$804,$A32,'EMAIL MARKETING'!$X$5:$X$804,cpCrit),""))</f>
        <v/>
      </c>
      <c r="S32" s="73" t="str">
        <f>IF($A32="","",IFERROR(SUMIFS('EMAIL MARKETING'!$K$5:$K$804,'EMAIL MARKETING'!$B$5:$B$804,$A32,'EMAIL MARKETING'!$X$5:$X$804,cpCrit)/SUMIFS('EMAIL MARKETING'!$W$5:$W$804,'EMAIL MARKETING'!$B$5:$B$804,$A32,'EMAIL MARKETING'!$X$5:$X$804,cpCrit),""))</f>
        <v/>
      </c>
      <c r="T32" s="73" t="str">
        <f>IF($A32="","",IFERROR(SUMIFS('EMAIL MARKETING'!$O$5:$O$804,'EMAIL MARKETING'!$B$5:$B$804,$A32,'EMAIL MARKETING'!$X$5:$X$804,cpCrit)/SUMIFS('EMAIL MARKETING'!$W$5:$W$804,'EMAIL MARKETING'!$B$5:$B$804,$A32,'EMAIL MARKETING'!$X$5:$X$804,cpCrit),""))</f>
        <v/>
      </c>
      <c r="U32" s="72" t="str">
        <f>IF($A32="","",SUMIFS('PAID MEDIA ADS'!$G$5:$G$804,'PAID MEDIA ADS'!$B$5:$B$804,$A32,'PAID MEDIA ADS'!$U$5:$U$804,cpCrit))</f>
        <v/>
      </c>
      <c r="V32" s="83" t="str">
        <f>IF($A32="","",SUMIFS('PAID MEDIA ADS'!$M$5:$M$804,'PAID MEDIA ADS'!$B$5:$B$804,$A32,'PAID MEDIA ADS'!$U$5:$U$804,cpCrit))</f>
        <v/>
      </c>
      <c r="W32" s="72" t="str">
        <f>IF($A32="","",IF(AND(U32&gt;0,V32&gt;0),U32/V32,""))</f>
        <v/>
      </c>
      <c r="X32" s="83" t="str">
        <f>IF($A32="","",COUNTIFS('WEBSITE CONTENT SEO'!$B$5:$B$804,$A32,'WEBSITE CONTENT SEO'!$D$5:$D$804,"&lt;&gt;",'WEBSITE CONTENT SEO'!$V$5:$V$804,cpCrit))</f>
        <v/>
      </c>
      <c r="Y32" s="83" t="str">
        <f>IF($A32="","",SUMIFS('CAMPAIGN MASTER'!$AS$5:$AS$704,'CAMPAIGN MASTER'!$A$5:$A$704,$A32))</f>
        <v/>
      </c>
      <c r="Z32" s="83" t="str">
        <f>IF($A32="","",IF(AND(E32=0,COUNTIFS('CAMPAIGN MASTER'!$A$5:$A$704,$A32)=0),"No Activity",IF(OR(H32&gt;0,I32&gt;0,Y32&gt;0),"Needs Attention",IF(E32=0,"No Tasks Logged",IF(AND(ISNUMBER(J32),J32&gt;=0.7),"Performing","In Progress")))))</f>
        <v/>
      </c>
      <c r="AA32" s="82" t="str">
        <f>IF($A32="","",IFERROR(IF(INDEX('CLIENT MASTER'!$H$5:$H$64,MATCH($A32,'CLIENT MASTER'!$A$5:$A$64,0))="","",INDEX('CLIENT MASTER'!$H$5:$H$64,MATCH($A32,'CLIENT MASTER'!$A$5:$A$64,0))),""))</f>
        <v/>
      </c>
      <c r="AB32" s="82" t="str">
        <f>IF($A32="","",IFERROR(IF(INDEX('CLIENT MASTER'!$I$5:$I$64,MATCH($A32,'CLIENT MASTER'!$A$5:$A$64,0))="","",INDEX('CLIENT MASTER'!$I$5:$I$64,MATCH($A32,'CLIENT MASTER'!$A$5:$A$64,0))),""))</f>
        <v/>
      </c>
      <c r="AC32" s="82" t="str">
        <f>IF($A32="","",IFERROR(IF(INDEX('CLIENT MASTER'!$J$5:$J$64,MATCH($A32,'CLIENT MASTER'!$A$5:$A$64,0))="","",INDEX('CLIENT MASTER'!$J$5:$J$64,MATCH($A32,'CLIENT MASTER'!$A$5:$A$64,0))),""))</f>
        <v/>
      </c>
      <c r="AD32" s="92" t="str">
        <f>IF($Z32="Needs Attention",ROW(),"")</f>
        <v/>
      </c>
      <c r="AE32" s="92" t="str">
        <f>IF($Z32="Performing",ROW(),"")</f>
        <v/>
      </c>
    </row>
    <row r="33" ht="28" customHeight="1">
      <c r="A33" s="81" t="str">
        <f>IF('CLIENT MASTER'!A31="","",'CLIENT MASTER'!A31)</f>
        <v/>
      </c>
      <c r="B33" s="83" t="str">
        <f>IF($A33="","",IFERROR(IF(INDEX('CLIENT MASTER'!$C$5:$C$64,MATCH($A33,'CLIENT MASTER'!$A$5:$A$64,0))="","",INDEX('CLIENT MASTER'!$C$5:$C$64,MATCH($A33,'CLIENT MASTER'!$A$5:$A$64,0))),""))</f>
        <v/>
      </c>
      <c r="C33" s="83" t="str">
        <f>IF($A33="","",IFERROR(IF(INDEX('CLIENT MASTER'!$D$5:$D$64,MATCH($A33,'CLIENT MASTER'!$A$5:$A$64,0))="","",INDEX('CLIENT MASTER'!$D$5:$D$64,MATCH($A33,'CLIENT MASTER'!$A$5:$A$64,0))),""))</f>
        <v/>
      </c>
      <c r="D33" s="83" t="str">
        <f>IF($A33="","",COUNTIFS('CAMPAIGN MASTER'!$A$5:$A$704,$A33,'CAMPAIGN MASTER'!$AM$5:$AM$704,1))</f>
        <v/>
      </c>
      <c r="E33" s="83" t="str">
        <f>IF($A33="","",COUNTIFS('DAILY TASK TRACKER'!$C$5:$C$1504,$A33,'DAILY TASK TRACKER'!$G$5:$G$1504,"&lt;&gt;",'DAILY TASK TRACKER'!$AH$5:$AH$1504,cpCrit))</f>
        <v/>
      </c>
      <c r="F33" s="83" t="str">
        <f>IF($A33="","",COUNTIFS('DAILY TASK TRACKER'!$C$5:$C$1504,$A33,'DAILY TASK TRACKER'!$M$5:$M$1504,"Completed",'DAILY TASK TRACKER'!$AH$5:$AH$1504,cpCrit))</f>
        <v/>
      </c>
      <c r="G33" s="83" t="str">
        <f>IF($A33="","",SUMIFS('DAILY TASK TRACKER'!$AK$5:$AK$1504,'DAILY TASK TRACKER'!$C$5:$C$1504,$A33,'DAILY TASK TRACKER'!$AH$5:$AH$1504,cpCrit))</f>
        <v/>
      </c>
      <c r="H33" s="83" t="str">
        <f>IF($A33="","",SUMIFS('DAILY TASK TRACKER'!$AL$5:$AL$1504,'DAILY TASK TRACKER'!$C$5:$C$1504,$A33,'DAILY TASK TRACKER'!$AH$5:$AH$1504,cpCrit))</f>
        <v/>
      </c>
      <c r="I33" s="83" t="str">
        <f>IF($A33="","",SUMIFS('DAILY TASK TRACKER'!$AM$5:$AM$1504,'DAILY TASK TRACKER'!$C$5:$C$1504,$A33,'DAILY TASK TRACKER'!$AH$5:$AH$1504,cpCrit))</f>
        <v/>
      </c>
      <c r="J33" s="73" t="str">
        <f>IF($A33="","",IF(E33&gt;0,F33/E33,""))</f>
        <v/>
      </c>
      <c r="K33" s="73" t="str">
        <f>IF($A33="","",IF($E$37&gt;0,E33/$E$37,""))</f>
        <v/>
      </c>
      <c r="L33" s="83" t="str">
        <f>IF($A33="","",COUNTIFS('LEAD MQL TRACKER'!$B$5:$B$1004,$A33,'LEAD MQL TRACKER'!$AB$5:$AB$1004,1,'LEAD MQL TRACKER'!$AA$5:$AA$1004,cpCrit)+SUMIFS('EMAIL MARKETING'!$Q$5:$Q$804,'EMAIL MARKETING'!$B$5:$B$804,$A33,'EMAIL MARKETING'!$X$5:$X$804,cpCrit)+SUMIFS('PAID MEDIA ADS'!$M$5:$M$804,'PAID MEDIA ADS'!$B$5:$B$804,$A33,'PAID MEDIA ADS'!$U$5:$U$804,cpCrit)+SUMIFS('LINKEDIN OUTREACH'!$N$5:$N$704,'LINKEDIN OUTREACH'!$B$5:$B$704,$A33,'LINKEDIN OUTREACH'!$S$5:$S$704,cpCrit)+SUMIFS('WEBSITE CONTENT SEO'!$L$5:$L$804,'WEBSITE CONTENT SEO'!$B$5:$B$804,$A33,'WEBSITE CONTENT SEO'!$V$5:$V$804,cpCrit))</f>
        <v/>
      </c>
      <c r="M33" s="83" t="str">
        <f>IF($A33="","",COUNTIFS('LEAD MQL TRACKER'!$B$5:$B$1004,$A33,'LEAD MQL TRACKER'!$AD$5:$AD$1004,1,'LEAD MQL TRACKER'!$AA$5:$AA$1004,cpCrit)+SUMIFS('EMAIL MARKETING'!$R$5:$R$804,'EMAIL MARKETING'!$B$5:$B$804,$A33,'EMAIL MARKETING'!$X$5:$X$804,cpCrit)+SUMIFS('PAID MEDIA ADS'!$N$5:$N$804,'PAID MEDIA ADS'!$B$5:$B$804,$A33,'PAID MEDIA ADS'!$U$5:$U$804,cpCrit)+SUMIFS('LINKEDIN OUTREACH'!$O$5:$O$704,'LINKEDIN OUTREACH'!$B$5:$B$704,$A33,'LINKEDIN OUTREACH'!$S$5:$S$704,cpCrit))</f>
        <v/>
      </c>
      <c r="N33" s="83" t="str">
        <f>IF($A33="","",COUNTIFS('LEAD MQL TRACKER'!$B$5:$B$1004,$A33,'LEAD MQL TRACKER'!$AE$5:$AE$1004,1,'LEAD MQL TRACKER'!$AA$5:$AA$1004,cpCrit))</f>
        <v/>
      </c>
      <c r="O33" s="83" t="str">
        <f>IF($A33="","",COUNTIFS('LEAD MQL TRACKER'!$B$5:$B$1004,$A33,'LEAD MQL TRACKER'!$AC$5:$AC$1004,1,'LEAD MQL TRACKER'!$AA$5:$AA$1004,cpCrit)+SUMIFS('LINKEDIN OUTREACH'!$M$5:$M$704,'LINKEDIN OUTREACH'!$B$5:$B$704,$A33,'LINKEDIN OUTREACH'!$S$5:$S$704,cpCrit))</f>
        <v/>
      </c>
      <c r="P33" s="73" t="str">
        <f>IF($A33="","",IF($L$37&gt;0,L33/$L$37,""))</f>
        <v/>
      </c>
      <c r="Q33" s="83" t="str">
        <f>IF($A33="","",SUMIFS('EMAIL MARKETING'!$F$5:$F$804,'EMAIL MARKETING'!$B$5:$B$804,$A33,'EMAIL MARKETING'!$X$5:$X$804,cpCrit))</f>
        <v/>
      </c>
      <c r="R33" s="73" t="str">
        <f>IF($A33="","",IFERROR(SUMIFS('EMAIL MARKETING'!$I$5:$I$804,'EMAIL MARKETING'!$B$5:$B$804,$A33,'EMAIL MARKETING'!$X$5:$X$804,cpCrit)/SUMIFS('EMAIL MARKETING'!$W$5:$W$804,'EMAIL MARKETING'!$B$5:$B$804,$A33,'EMAIL MARKETING'!$X$5:$X$804,cpCrit),""))</f>
        <v/>
      </c>
      <c r="S33" s="73" t="str">
        <f>IF($A33="","",IFERROR(SUMIFS('EMAIL MARKETING'!$K$5:$K$804,'EMAIL MARKETING'!$B$5:$B$804,$A33,'EMAIL MARKETING'!$X$5:$X$804,cpCrit)/SUMIFS('EMAIL MARKETING'!$W$5:$W$804,'EMAIL MARKETING'!$B$5:$B$804,$A33,'EMAIL MARKETING'!$X$5:$X$804,cpCrit),""))</f>
        <v/>
      </c>
      <c r="T33" s="73" t="str">
        <f>IF($A33="","",IFERROR(SUMIFS('EMAIL MARKETING'!$O$5:$O$804,'EMAIL MARKETING'!$B$5:$B$804,$A33,'EMAIL MARKETING'!$X$5:$X$804,cpCrit)/SUMIFS('EMAIL MARKETING'!$W$5:$W$804,'EMAIL MARKETING'!$B$5:$B$804,$A33,'EMAIL MARKETING'!$X$5:$X$804,cpCrit),""))</f>
        <v/>
      </c>
      <c r="U33" s="72" t="str">
        <f>IF($A33="","",SUMIFS('PAID MEDIA ADS'!$G$5:$G$804,'PAID MEDIA ADS'!$B$5:$B$804,$A33,'PAID MEDIA ADS'!$U$5:$U$804,cpCrit))</f>
        <v/>
      </c>
      <c r="V33" s="83" t="str">
        <f>IF($A33="","",SUMIFS('PAID MEDIA ADS'!$M$5:$M$804,'PAID MEDIA ADS'!$B$5:$B$804,$A33,'PAID MEDIA ADS'!$U$5:$U$804,cpCrit))</f>
        <v/>
      </c>
      <c r="W33" s="72" t="str">
        <f>IF($A33="","",IF(AND(U33&gt;0,V33&gt;0),U33/V33,""))</f>
        <v/>
      </c>
      <c r="X33" s="83" t="str">
        <f>IF($A33="","",COUNTIFS('WEBSITE CONTENT SEO'!$B$5:$B$804,$A33,'WEBSITE CONTENT SEO'!$D$5:$D$804,"&lt;&gt;",'WEBSITE CONTENT SEO'!$V$5:$V$804,cpCrit))</f>
        <v/>
      </c>
      <c r="Y33" s="83" t="str">
        <f>IF($A33="","",SUMIFS('CAMPAIGN MASTER'!$AS$5:$AS$704,'CAMPAIGN MASTER'!$A$5:$A$704,$A33))</f>
        <v/>
      </c>
      <c r="Z33" s="83" t="str">
        <f>IF($A33="","",IF(AND(E33=0,COUNTIFS('CAMPAIGN MASTER'!$A$5:$A$704,$A33)=0),"No Activity",IF(OR(H33&gt;0,I33&gt;0,Y33&gt;0),"Needs Attention",IF(E33=0,"No Tasks Logged",IF(AND(ISNUMBER(J33),J33&gt;=0.7),"Performing","In Progress")))))</f>
        <v/>
      </c>
      <c r="AA33" s="82" t="str">
        <f>IF($A33="","",IFERROR(IF(INDEX('CLIENT MASTER'!$H$5:$H$64,MATCH($A33,'CLIENT MASTER'!$A$5:$A$64,0))="","",INDEX('CLIENT MASTER'!$H$5:$H$64,MATCH($A33,'CLIENT MASTER'!$A$5:$A$64,0))),""))</f>
        <v/>
      </c>
      <c r="AB33" s="82" t="str">
        <f>IF($A33="","",IFERROR(IF(INDEX('CLIENT MASTER'!$I$5:$I$64,MATCH($A33,'CLIENT MASTER'!$A$5:$A$64,0))="","",INDEX('CLIENT MASTER'!$I$5:$I$64,MATCH($A33,'CLIENT MASTER'!$A$5:$A$64,0))),""))</f>
        <v/>
      </c>
      <c r="AC33" s="82" t="str">
        <f>IF($A33="","",IFERROR(IF(INDEX('CLIENT MASTER'!$J$5:$J$64,MATCH($A33,'CLIENT MASTER'!$A$5:$A$64,0))="","",INDEX('CLIENT MASTER'!$J$5:$J$64,MATCH($A33,'CLIENT MASTER'!$A$5:$A$64,0))),""))</f>
        <v/>
      </c>
      <c r="AD33" s="92" t="str">
        <f>IF($Z33="Needs Attention",ROW(),"")</f>
        <v/>
      </c>
      <c r="AE33" s="92" t="str">
        <f>IF($Z33="Performing",ROW(),"")</f>
        <v/>
      </c>
    </row>
    <row r="34" ht="28" customHeight="1">
      <c r="A34" s="81" t="str">
        <f>IF('CLIENT MASTER'!A32="","",'CLIENT MASTER'!A32)</f>
        <v/>
      </c>
      <c r="B34" s="83" t="str">
        <f>IF($A34="","",IFERROR(IF(INDEX('CLIENT MASTER'!$C$5:$C$64,MATCH($A34,'CLIENT MASTER'!$A$5:$A$64,0))="","",INDEX('CLIENT MASTER'!$C$5:$C$64,MATCH($A34,'CLIENT MASTER'!$A$5:$A$64,0))),""))</f>
        <v/>
      </c>
      <c r="C34" s="83" t="str">
        <f>IF($A34="","",IFERROR(IF(INDEX('CLIENT MASTER'!$D$5:$D$64,MATCH($A34,'CLIENT MASTER'!$A$5:$A$64,0))="","",INDEX('CLIENT MASTER'!$D$5:$D$64,MATCH($A34,'CLIENT MASTER'!$A$5:$A$64,0))),""))</f>
        <v/>
      </c>
      <c r="D34" s="83" t="str">
        <f>IF($A34="","",COUNTIFS('CAMPAIGN MASTER'!$A$5:$A$704,$A34,'CAMPAIGN MASTER'!$AM$5:$AM$704,1))</f>
        <v/>
      </c>
      <c r="E34" s="83" t="str">
        <f>IF($A34="","",COUNTIFS('DAILY TASK TRACKER'!$C$5:$C$1504,$A34,'DAILY TASK TRACKER'!$G$5:$G$1504,"&lt;&gt;",'DAILY TASK TRACKER'!$AH$5:$AH$1504,cpCrit))</f>
        <v/>
      </c>
      <c r="F34" s="83" t="str">
        <f>IF($A34="","",COUNTIFS('DAILY TASK TRACKER'!$C$5:$C$1504,$A34,'DAILY TASK TRACKER'!$M$5:$M$1504,"Completed",'DAILY TASK TRACKER'!$AH$5:$AH$1504,cpCrit))</f>
        <v/>
      </c>
      <c r="G34" s="83" t="str">
        <f>IF($A34="","",SUMIFS('DAILY TASK TRACKER'!$AK$5:$AK$1504,'DAILY TASK TRACKER'!$C$5:$C$1504,$A34,'DAILY TASK TRACKER'!$AH$5:$AH$1504,cpCrit))</f>
        <v/>
      </c>
      <c r="H34" s="83" t="str">
        <f>IF($A34="","",SUMIFS('DAILY TASK TRACKER'!$AL$5:$AL$1504,'DAILY TASK TRACKER'!$C$5:$C$1504,$A34,'DAILY TASK TRACKER'!$AH$5:$AH$1504,cpCrit))</f>
        <v/>
      </c>
      <c r="I34" s="83" t="str">
        <f>IF($A34="","",SUMIFS('DAILY TASK TRACKER'!$AM$5:$AM$1504,'DAILY TASK TRACKER'!$C$5:$C$1504,$A34,'DAILY TASK TRACKER'!$AH$5:$AH$1504,cpCrit))</f>
        <v/>
      </c>
      <c r="J34" s="73" t="str">
        <f>IF($A34="","",IF(E34&gt;0,F34/E34,""))</f>
        <v/>
      </c>
      <c r="K34" s="73" t="str">
        <f>IF($A34="","",IF($E$37&gt;0,E34/$E$37,""))</f>
        <v/>
      </c>
      <c r="L34" s="83" t="str">
        <f>IF($A34="","",COUNTIFS('LEAD MQL TRACKER'!$B$5:$B$1004,$A34,'LEAD MQL TRACKER'!$AB$5:$AB$1004,1,'LEAD MQL TRACKER'!$AA$5:$AA$1004,cpCrit)+SUMIFS('EMAIL MARKETING'!$Q$5:$Q$804,'EMAIL MARKETING'!$B$5:$B$804,$A34,'EMAIL MARKETING'!$X$5:$X$804,cpCrit)+SUMIFS('PAID MEDIA ADS'!$M$5:$M$804,'PAID MEDIA ADS'!$B$5:$B$804,$A34,'PAID MEDIA ADS'!$U$5:$U$804,cpCrit)+SUMIFS('LINKEDIN OUTREACH'!$N$5:$N$704,'LINKEDIN OUTREACH'!$B$5:$B$704,$A34,'LINKEDIN OUTREACH'!$S$5:$S$704,cpCrit)+SUMIFS('WEBSITE CONTENT SEO'!$L$5:$L$804,'WEBSITE CONTENT SEO'!$B$5:$B$804,$A34,'WEBSITE CONTENT SEO'!$V$5:$V$804,cpCrit))</f>
        <v/>
      </c>
      <c r="M34" s="83" t="str">
        <f>IF($A34="","",COUNTIFS('LEAD MQL TRACKER'!$B$5:$B$1004,$A34,'LEAD MQL TRACKER'!$AD$5:$AD$1004,1,'LEAD MQL TRACKER'!$AA$5:$AA$1004,cpCrit)+SUMIFS('EMAIL MARKETING'!$R$5:$R$804,'EMAIL MARKETING'!$B$5:$B$804,$A34,'EMAIL MARKETING'!$X$5:$X$804,cpCrit)+SUMIFS('PAID MEDIA ADS'!$N$5:$N$804,'PAID MEDIA ADS'!$B$5:$B$804,$A34,'PAID MEDIA ADS'!$U$5:$U$804,cpCrit)+SUMIFS('LINKEDIN OUTREACH'!$O$5:$O$704,'LINKEDIN OUTREACH'!$B$5:$B$704,$A34,'LINKEDIN OUTREACH'!$S$5:$S$704,cpCrit))</f>
        <v/>
      </c>
      <c r="N34" s="83" t="str">
        <f>IF($A34="","",COUNTIFS('LEAD MQL TRACKER'!$B$5:$B$1004,$A34,'LEAD MQL TRACKER'!$AE$5:$AE$1004,1,'LEAD MQL TRACKER'!$AA$5:$AA$1004,cpCrit))</f>
        <v/>
      </c>
      <c r="O34" s="83" t="str">
        <f>IF($A34="","",COUNTIFS('LEAD MQL TRACKER'!$B$5:$B$1004,$A34,'LEAD MQL TRACKER'!$AC$5:$AC$1004,1,'LEAD MQL TRACKER'!$AA$5:$AA$1004,cpCrit)+SUMIFS('LINKEDIN OUTREACH'!$M$5:$M$704,'LINKEDIN OUTREACH'!$B$5:$B$704,$A34,'LINKEDIN OUTREACH'!$S$5:$S$704,cpCrit))</f>
        <v/>
      </c>
      <c r="P34" s="73" t="str">
        <f>IF($A34="","",IF($L$37&gt;0,L34/$L$37,""))</f>
        <v/>
      </c>
      <c r="Q34" s="83" t="str">
        <f>IF($A34="","",SUMIFS('EMAIL MARKETING'!$F$5:$F$804,'EMAIL MARKETING'!$B$5:$B$804,$A34,'EMAIL MARKETING'!$X$5:$X$804,cpCrit))</f>
        <v/>
      </c>
      <c r="R34" s="73" t="str">
        <f>IF($A34="","",IFERROR(SUMIFS('EMAIL MARKETING'!$I$5:$I$804,'EMAIL MARKETING'!$B$5:$B$804,$A34,'EMAIL MARKETING'!$X$5:$X$804,cpCrit)/SUMIFS('EMAIL MARKETING'!$W$5:$W$804,'EMAIL MARKETING'!$B$5:$B$804,$A34,'EMAIL MARKETING'!$X$5:$X$804,cpCrit),""))</f>
        <v/>
      </c>
      <c r="S34" s="73" t="str">
        <f>IF($A34="","",IFERROR(SUMIFS('EMAIL MARKETING'!$K$5:$K$804,'EMAIL MARKETING'!$B$5:$B$804,$A34,'EMAIL MARKETING'!$X$5:$X$804,cpCrit)/SUMIFS('EMAIL MARKETING'!$W$5:$W$804,'EMAIL MARKETING'!$B$5:$B$804,$A34,'EMAIL MARKETING'!$X$5:$X$804,cpCrit),""))</f>
        <v/>
      </c>
      <c r="T34" s="73" t="str">
        <f>IF($A34="","",IFERROR(SUMIFS('EMAIL MARKETING'!$O$5:$O$804,'EMAIL MARKETING'!$B$5:$B$804,$A34,'EMAIL MARKETING'!$X$5:$X$804,cpCrit)/SUMIFS('EMAIL MARKETING'!$W$5:$W$804,'EMAIL MARKETING'!$B$5:$B$804,$A34,'EMAIL MARKETING'!$X$5:$X$804,cpCrit),""))</f>
        <v/>
      </c>
      <c r="U34" s="72" t="str">
        <f>IF($A34="","",SUMIFS('PAID MEDIA ADS'!$G$5:$G$804,'PAID MEDIA ADS'!$B$5:$B$804,$A34,'PAID MEDIA ADS'!$U$5:$U$804,cpCrit))</f>
        <v/>
      </c>
      <c r="V34" s="83" t="str">
        <f>IF($A34="","",SUMIFS('PAID MEDIA ADS'!$M$5:$M$804,'PAID MEDIA ADS'!$B$5:$B$804,$A34,'PAID MEDIA ADS'!$U$5:$U$804,cpCrit))</f>
        <v/>
      </c>
      <c r="W34" s="72" t="str">
        <f>IF($A34="","",IF(AND(U34&gt;0,V34&gt;0),U34/V34,""))</f>
        <v/>
      </c>
      <c r="X34" s="83" t="str">
        <f>IF($A34="","",COUNTIFS('WEBSITE CONTENT SEO'!$B$5:$B$804,$A34,'WEBSITE CONTENT SEO'!$D$5:$D$804,"&lt;&gt;",'WEBSITE CONTENT SEO'!$V$5:$V$804,cpCrit))</f>
        <v/>
      </c>
      <c r="Y34" s="83" t="str">
        <f>IF($A34="","",SUMIFS('CAMPAIGN MASTER'!$AS$5:$AS$704,'CAMPAIGN MASTER'!$A$5:$A$704,$A34))</f>
        <v/>
      </c>
      <c r="Z34" s="83" t="str">
        <f>IF($A34="","",IF(AND(E34=0,COUNTIFS('CAMPAIGN MASTER'!$A$5:$A$704,$A34)=0),"No Activity",IF(OR(H34&gt;0,I34&gt;0,Y34&gt;0),"Needs Attention",IF(E34=0,"No Tasks Logged",IF(AND(ISNUMBER(J34),J34&gt;=0.7),"Performing","In Progress")))))</f>
        <v/>
      </c>
      <c r="AA34" s="82" t="str">
        <f>IF($A34="","",IFERROR(IF(INDEX('CLIENT MASTER'!$H$5:$H$64,MATCH($A34,'CLIENT MASTER'!$A$5:$A$64,0))="","",INDEX('CLIENT MASTER'!$H$5:$H$64,MATCH($A34,'CLIENT MASTER'!$A$5:$A$64,0))),""))</f>
        <v/>
      </c>
      <c r="AB34" s="82" t="str">
        <f>IF($A34="","",IFERROR(IF(INDEX('CLIENT MASTER'!$I$5:$I$64,MATCH($A34,'CLIENT MASTER'!$A$5:$A$64,0))="","",INDEX('CLIENT MASTER'!$I$5:$I$64,MATCH($A34,'CLIENT MASTER'!$A$5:$A$64,0))),""))</f>
        <v/>
      </c>
      <c r="AC34" s="82" t="str">
        <f>IF($A34="","",IFERROR(IF(INDEX('CLIENT MASTER'!$J$5:$J$64,MATCH($A34,'CLIENT MASTER'!$A$5:$A$64,0))="","",INDEX('CLIENT MASTER'!$J$5:$J$64,MATCH($A34,'CLIENT MASTER'!$A$5:$A$64,0))),""))</f>
        <v/>
      </c>
      <c r="AD34" s="92" t="str">
        <f>IF($Z34="Needs Attention",ROW(),"")</f>
        <v/>
      </c>
      <c r="AE34" s="92" t="str">
        <f>IF($Z34="Performing",ROW(),"")</f>
        <v/>
      </c>
    </row>
    <row r="35" ht="28" customHeight="1">
      <c r="A35" s="81" t="str">
        <f>IF('CLIENT MASTER'!A33="","",'CLIENT MASTER'!A33)</f>
        <v/>
      </c>
      <c r="B35" s="83" t="str">
        <f>IF($A35="","",IFERROR(IF(INDEX('CLIENT MASTER'!$C$5:$C$64,MATCH($A35,'CLIENT MASTER'!$A$5:$A$64,0))="","",INDEX('CLIENT MASTER'!$C$5:$C$64,MATCH($A35,'CLIENT MASTER'!$A$5:$A$64,0))),""))</f>
        <v/>
      </c>
      <c r="C35" s="83" t="str">
        <f>IF($A35="","",IFERROR(IF(INDEX('CLIENT MASTER'!$D$5:$D$64,MATCH($A35,'CLIENT MASTER'!$A$5:$A$64,0))="","",INDEX('CLIENT MASTER'!$D$5:$D$64,MATCH($A35,'CLIENT MASTER'!$A$5:$A$64,0))),""))</f>
        <v/>
      </c>
      <c r="D35" s="83" t="str">
        <f>IF($A35="","",COUNTIFS('CAMPAIGN MASTER'!$A$5:$A$704,$A35,'CAMPAIGN MASTER'!$AM$5:$AM$704,1))</f>
        <v/>
      </c>
      <c r="E35" s="83" t="str">
        <f>IF($A35="","",COUNTIFS('DAILY TASK TRACKER'!$C$5:$C$1504,$A35,'DAILY TASK TRACKER'!$G$5:$G$1504,"&lt;&gt;",'DAILY TASK TRACKER'!$AH$5:$AH$1504,cpCrit))</f>
        <v/>
      </c>
      <c r="F35" s="83" t="str">
        <f>IF($A35="","",COUNTIFS('DAILY TASK TRACKER'!$C$5:$C$1504,$A35,'DAILY TASK TRACKER'!$M$5:$M$1504,"Completed",'DAILY TASK TRACKER'!$AH$5:$AH$1504,cpCrit))</f>
        <v/>
      </c>
      <c r="G35" s="83" t="str">
        <f>IF($A35="","",SUMIFS('DAILY TASK TRACKER'!$AK$5:$AK$1504,'DAILY TASK TRACKER'!$C$5:$C$1504,$A35,'DAILY TASK TRACKER'!$AH$5:$AH$1504,cpCrit))</f>
        <v/>
      </c>
      <c r="H35" s="83" t="str">
        <f>IF($A35="","",SUMIFS('DAILY TASK TRACKER'!$AL$5:$AL$1504,'DAILY TASK TRACKER'!$C$5:$C$1504,$A35,'DAILY TASK TRACKER'!$AH$5:$AH$1504,cpCrit))</f>
        <v/>
      </c>
      <c r="I35" s="83" t="str">
        <f>IF($A35="","",SUMIFS('DAILY TASK TRACKER'!$AM$5:$AM$1504,'DAILY TASK TRACKER'!$C$5:$C$1504,$A35,'DAILY TASK TRACKER'!$AH$5:$AH$1504,cpCrit))</f>
        <v/>
      </c>
      <c r="J35" s="73" t="str">
        <f>IF($A35="","",IF(E35&gt;0,F35/E35,""))</f>
        <v/>
      </c>
      <c r="K35" s="73" t="str">
        <f>IF($A35="","",IF($E$37&gt;0,E35/$E$37,""))</f>
        <v/>
      </c>
      <c r="L35" s="83" t="str">
        <f>IF($A35="","",COUNTIFS('LEAD MQL TRACKER'!$B$5:$B$1004,$A35,'LEAD MQL TRACKER'!$AB$5:$AB$1004,1,'LEAD MQL TRACKER'!$AA$5:$AA$1004,cpCrit)+SUMIFS('EMAIL MARKETING'!$Q$5:$Q$804,'EMAIL MARKETING'!$B$5:$B$804,$A35,'EMAIL MARKETING'!$X$5:$X$804,cpCrit)+SUMIFS('PAID MEDIA ADS'!$M$5:$M$804,'PAID MEDIA ADS'!$B$5:$B$804,$A35,'PAID MEDIA ADS'!$U$5:$U$804,cpCrit)+SUMIFS('LINKEDIN OUTREACH'!$N$5:$N$704,'LINKEDIN OUTREACH'!$B$5:$B$704,$A35,'LINKEDIN OUTREACH'!$S$5:$S$704,cpCrit)+SUMIFS('WEBSITE CONTENT SEO'!$L$5:$L$804,'WEBSITE CONTENT SEO'!$B$5:$B$804,$A35,'WEBSITE CONTENT SEO'!$V$5:$V$804,cpCrit))</f>
        <v/>
      </c>
      <c r="M35" s="83" t="str">
        <f>IF($A35="","",COUNTIFS('LEAD MQL TRACKER'!$B$5:$B$1004,$A35,'LEAD MQL TRACKER'!$AD$5:$AD$1004,1,'LEAD MQL TRACKER'!$AA$5:$AA$1004,cpCrit)+SUMIFS('EMAIL MARKETING'!$R$5:$R$804,'EMAIL MARKETING'!$B$5:$B$804,$A35,'EMAIL MARKETING'!$X$5:$X$804,cpCrit)+SUMIFS('PAID MEDIA ADS'!$N$5:$N$804,'PAID MEDIA ADS'!$B$5:$B$804,$A35,'PAID MEDIA ADS'!$U$5:$U$804,cpCrit)+SUMIFS('LINKEDIN OUTREACH'!$O$5:$O$704,'LINKEDIN OUTREACH'!$B$5:$B$704,$A35,'LINKEDIN OUTREACH'!$S$5:$S$704,cpCrit))</f>
        <v/>
      </c>
      <c r="N35" s="83" t="str">
        <f>IF($A35="","",COUNTIFS('LEAD MQL TRACKER'!$B$5:$B$1004,$A35,'LEAD MQL TRACKER'!$AE$5:$AE$1004,1,'LEAD MQL TRACKER'!$AA$5:$AA$1004,cpCrit))</f>
        <v/>
      </c>
      <c r="O35" s="83" t="str">
        <f>IF($A35="","",COUNTIFS('LEAD MQL TRACKER'!$B$5:$B$1004,$A35,'LEAD MQL TRACKER'!$AC$5:$AC$1004,1,'LEAD MQL TRACKER'!$AA$5:$AA$1004,cpCrit)+SUMIFS('LINKEDIN OUTREACH'!$M$5:$M$704,'LINKEDIN OUTREACH'!$B$5:$B$704,$A35,'LINKEDIN OUTREACH'!$S$5:$S$704,cpCrit))</f>
        <v/>
      </c>
      <c r="P35" s="73" t="str">
        <f>IF($A35="","",IF($L$37&gt;0,L35/$L$37,""))</f>
        <v/>
      </c>
      <c r="Q35" s="83" t="str">
        <f>IF($A35="","",SUMIFS('EMAIL MARKETING'!$F$5:$F$804,'EMAIL MARKETING'!$B$5:$B$804,$A35,'EMAIL MARKETING'!$X$5:$X$804,cpCrit))</f>
        <v/>
      </c>
      <c r="R35" s="73" t="str">
        <f>IF($A35="","",IFERROR(SUMIFS('EMAIL MARKETING'!$I$5:$I$804,'EMAIL MARKETING'!$B$5:$B$804,$A35,'EMAIL MARKETING'!$X$5:$X$804,cpCrit)/SUMIFS('EMAIL MARKETING'!$W$5:$W$804,'EMAIL MARKETING'!$B$5:$B$804,$A35,'EMAIL MARKETING'!$X$5:$X$804,cpCrit),""))</f>
        <v/>
      </c>
      <c r="S35" s="73" t="str">
        <f>IF($A35="","",IFERROR(SUMIFS('EMAIL MARKETING'!$K$5:$K$804,'EMAIL MARKETING'!$B$5:$B$804,$A35,'EMAIL MARKETING'!$X$5:$X$804,cpCrit)/SUMIFS('EMAIL MARKETING'!$W$5:$W$804,'EMAIL MARKETING'!$B$5:$B$804,$A35,'EMAIL MARKETING'!$X$5:$X$804,cpCrit),""))</f>
        <v/>
      </c>
      <c r="T35" s="73" t="str">
        <f>IF($A35="","",IFERROR(SUMIFS('EMAIL MARKETING'!$O$5:$O$804,'EMAIL MARKETING'!$B$5:$B$804,$A35,'EMAIL MARKETING'!$X$5:$X$804,cpCrit)/SUMIFS('EMAIL MARKETING'!$W$5:$W$804,'EMAIL MARKETING'!$B$5:$B$804,$A35,'EMAIL MARKETING'!$X$5:$X$804,cpCrit),""))</f>
        <v/>
      </c>
      <c r="U35" s="72" t="str">
        <f>IF($A35="","",SUMIFS('PAID MEDIA ADS'!$G$5:$G$804,'PAID MEDIA ADS'!$B$5:$B$804,$A35,'PAID MEDIA ADS'!$U$5:$U$804,cpCrit))</f>
        <v/>
      </c>
      <c r="V35" s="83" t="str">
        <f>IF($A35="","",SUMIFS('PAID MEDIA ADS'!$M$5:$M$804,'PAID MEDIA ADS'!$B$5:$B$804,$A35,'PAID MEDIA ADS'!$U$5:$U$804,cpCrit))</f>
        <v/>
      </c>
      <c r="W35" s="72" t="str">
        <f>IF($A35="","",IF(AND(U35&gt;0,V35&gt;0),U35/V35,""))</f>
        <v/>
      </c>
      <c r="X35" s="83" t="str">
        <f>IF($A35="","",COUNTIFS('WEBSITE CONTENT SEO'!$B$5:$B$804,$A35,'WEBSITE CONTENT SEO'!$D$5:$D$804,"&lt;&gt;",'WEBSITE CONTENT SEO'!$V$5:$V$804,cpCrit))</f>
        <v/>
      </c>
      <c r="Y35" s="83" t="str">
        <f>IF($A35="","",SUMIFS('CAMPAIGN MASTER'!$AS$5:$AS$704,'CAMPAIGN MASTER'!$A$5:$A$704,$A35))</f>
        <v/>
      </c>
      <c r="Z35" s="83" t="str">
        <f>IF($A35="","",IF(AND(E35=0,COUNTIFS('CAMPAIGN MASTER'!$A$5:$A$704,$A35)=0),"No Activity",IF(OR(H35&gt;0,I35&gt;0,Y35&gt;0),"Needs Attention",IF(E35=0,"No Tasks Logged",IF(AND(ISNUMBER(J35),J35&gt;=0.7),"Performing","In Progress")))))</f>
        <v/>
      </c>
      <c r="AA35" s="82" t="str">
        <f>IF($A35="","",IFERROR(IF(INDEX('CLIENT MASTER'!$H$5:$H$64,MATCH($A35,'CLIENT MASTER'!$A$5:$A$64,0))="","",INDEX('CLIENT MASTER'!$H$5:$H$64,MATCH($A35,'CLIENT MASTER'!$A$5:$A$64,0))),""))</f>
        <v/>
      </c>
      <c r="AB35" s="82" t="str">
        <f>IF($A35="","",IFERROR(IF(INDEX('CLIENT MASTER'!$I$5:$I$64,MATCH($A35,'CLIENT MASTER'!$A$5:$A$64,0))="","",INDEX('CLIENT MASTER'!$I$5:$I$64,MATCH($A35,'CLIENT MASTER'!$A$5:$A$64,0))),""))</f>
        <v/>
      </c>
      <c r="AC35" s="82" t="str">
        <f>IF($A35="","",IFERROR(IF(INDEX('CLIENT MASTER'!$J$5:$J$64,MATCH($A35,'CLIENT MASTER'!$A$5:$A$64,0))="","",INDEX('CLIENT MASTER'!$J$5:$J$64,MATCH($A35,'CLIENT MASTER'!$A$5:$A$64,0))),""))</f>
        <v/>
      </c>
      <c r="AD35" s="92" t="str">
        <f>IF($Z35="Needs Attention",ROW(),"")</f>
        <v/>
      </c>
      <c r="AE35" s="92" t="str">
        <f>IF($Z35="Performing",ROW(),"")</f>
        <v/>
      </c>
    </row>
    <row r="36" ht="28" customHeight="1">
      <c r="A36" s="81" t="str">
        <f>IF('CLIENT MASTER'!A34="","",'CLIENT MASTER'!A34)</f>
        <v/>
      </c>
      <c r="B36" s="83" t="str">
        <f>IF($A36="","",IFERROR(IF(INDEX('CLIENT MASTER'!$C$5:$C$64,MATCH($A36,'CLIENT MASTER'!$A$5:$A$64,0))="","",INDEX('CLIENT MASTER'!$C$5:$C$64,MATCH($A36,'CLIENT MASTER'!$A$5:$A$64,0))),""))</f>
        <v/>
      </c>
      <c r="C36" s="83" t="str">
        <f>IF($A36="","",IFERROR(IF(INDEX('CLIENT MASTER'!$D$5:$D$64,MATCH($A36,'CLIENT MASTER'!$A$5:$A$64,0))="","",INDEX('CLIENT MASTER'!$D$5:$D$64,MATCH($A36,'CLIENT MASTER'!$A$5:$A$64,0))),""))</f>
        <v/>
      </c>
      <c r="D36" s="83" t="str">
        <f>IF($A36="","",COUNTIFS('CAMPAIGN MASTER'!$A$5:$A$704,$A36,'CAMPAIGN MASTER'!$AM$5:$AM$704,1))</f>
        <v/>
      </c>
      <c r="E36" s="83" t="str">
        <f>IF($A36="","",COUNTIFS('DAILY TASK TRACKER'!$C$5:$C$1504,$A36,'DAILY TASK TRACKER'!$G$5:$G$1504,"&lt;&gt;",'DAILY TASK TRACKER'!$AH$5:$AH$1504,cpCrit))</f>
        <v/>
      </c>
      <c r="F36" s="83" t="str">
        <f>IF($A36="","",COUNTIFS('DAILY TASK TRACKER'!$C$5:$C$1504,$A36,'DAILY TASK TRACKER'!$M$5:$M$1504,"Completed",'DAILY TASK TRACKER'!$AH$5:$AH$1504,cpCrit))</f>
        <v/>
      </c>
      <c r="G36" s="83" t="str">
        <f>IF($A36="","",SUMIFS('DAILY TASK TRACKER'!$AK$5:$AK$1504,'DAILY TASK TRACKER'!$C$5:$C$1504,$A36,'DAILY TASK TRACKER'!$AH$5:$AH$1504,cpCrit))</f>
        <v/>
      </c>
      <c r="H36" s="83" t="str">
        <f>IF($A36="","",SUMIFS('DAILY TASK TRACKER'!$AL$5:$AL$1504,'DAILY TASK TRACKER'!$C$5:$C$1504,$A36,'DAILY TASK TRACKER'!$AH$5:$AH$1504,cpCrit))</f>
        <v/>
      </c>
      <c r="I36" s="83" t="str">
        <f>IF($A36="","",SUMIFS('DAILY TASK TRACKER'!$AM$5:$AM$1504,'DAILY TASK TRACKER'!$C$5:$C$1504,$A36,'DAILY TASK TRACKER'!$AH$5:$AH$1504,cpCrit))</f>
        <v/>
      </c>
      <c r="J36" s="73" t="str">
        <f>IF($A36="","",IF(E36&gt;0,F36/E36,""))</f>
        <v/>
      </c>
      <c r="K36" s="73" t="str">
        <f>IF($A36="","",IF($E$37&gt;0,E36/$E$37,""))</f>
        <v/>
      </c>
      <c r="L36" s="83" t="str">
        <f>IF($A36="","",COUNTIFS('LEAD MQL TRACKER'!$B$5:$B$1004,$A36,'LEAD MQL TRACKER'!$AB$5:$AB$1004,1,'LEAD MQL TRACKER'!$AA$5:$AA$1004,cpCrit)+SUMIFS('EMAIL MARKETING'!$Q$5:$Q$804,'EMAIL MARKETING'!$B$5:$B$804,$A36,'EMAIL MARKETING'!$X$5:$X$804,cpCrit)+SUMIFS('PAID MEDIA ADS'!$M$5:$M$804,'PAID MEDIA ADS'!$B$5:$B$804,$A36,'PAID MEDIA ADS'!$U$5:$U$804,cpCrit)+SUMIFS('LINKEDIN OUTREACH'!$N$5:$N$704,'LINKEDIN OUTREACH'!$B$5:$B$704,$A36,'LINKEDIN OUTREACH'!$S$5:$S$704,cpCrit)+SUMIFS('WEBSITE CONTENT SEO'!$L$5:$L$804,'WEBSITE CONTENT SEO'!$B$5:$B$804,$A36,'WEBSITE CONTENT SEO'!$V$5:$V$804,cpCrit))</f>
        <v/>
      </c>
      <c r="M36" s="83" t="str">
        <f>IF($A36="","",COUNTIFS('LEAD MQL TRACKER'!$B$5:$B$1004,$A36,'LEAD MQL TRACKER'!$AD$5:$AD$1004,1,'LEAD MQL TRACKER'!$AA$5:$AA$1004,cpCrit)+SUMIFS('EMAIL MARKETING'!$R$5:$R$804,'EMAIL MARKETING'!$B$5:$B$804,$A36,'EMAIL MARKETING'!$X$5:$X$804,cpCrit)+SUMIFS('PAID MEDIA ADS'!$N$5:$N$804,'PAID MEDIA ADS'!$B$5:$B$804,$A36,'PAID MEDIA ADS'!$U$5:$U$804,cpCrit)+SUMIFS('LINKEDIN OUTREACH'!$O$5:$O$704,'LINKEDIN OUTREACH'!$B$5:$B$704,$A36,'LINKEDIN OUTREACH'!$S$5:$S$704,cpCrit))</f>
        <v/>
      </c>
      <c r="N36" s="83" t="str">
        <f>IF($A36="","",COUNTIFS('LEAD MQL TRACKER'!$B$5:$B$1004,$A36,'LEAD MQL TRACKER'!$AE$5:$AE$1004,1,'LEAD MQL TRACKER'!$AA$5:$AA$1004,cpCrit))</f>
        <v/>
      </c>
      <c r="O36" s="83" t="str">
        <f>IF($A36="","",COUNTIFS('LEAD MQL TRACKER'!$B$5:$B$1004,$A36,'LEAD MQL TRACKER'!$AC$5:$AC$1004,1,'LEAD MQL TRACKER'!$AA$5:$AA$1004,cpCrit)+SUMIFS('LINKEDIN OUTREACH'!$M$5:$M$704,'LINKEDIN OUTREACH'!$B$5:$B$704,$A36,'LINKEDIN OUTREACH'!$S$5:$S$704,cpCrit))</f>
        <v/>
      </c>
      <c r="P36" s="73" t="str">
        <f>IF($A36="","",IF($L$37&gt;0,L36/$L$37,""))</f>
        <v/>
      </c>
      <c r="Q36" s="83" t="str">
        <f>IF($A36="","",SUMIFS('EMAIL MARKETING'!$F$5:$F$804,'EMAIL MARKETING'!$B$5:$B$804,$A36,'EMAIL MARKETING'!$X$5:$X$804,cpCrit))</f>
        <v/>
      </c>
      <c r="R36" s="73" t="str">
        <f>IF($A36="","",IFERROR(SUMIFS('EMAIL MARKETING'!$I$5:$I$804,'EMAIL MARKETING'!$B$5:$B$804,$A36,'EMAIL MARKETING'!$X$5:$X$804,cpCrit)/SUMIFS('EMAIL MARKETING'!$W$5:$W$804,'EMAIL MARKETING'!$B$5:$B$804,$A36,'EMAIL MARKETING'!$X$5:$X$804,cpCrit),""))</f>
        <v/>
      </c>
      <c r="S36" s="73" t="str">
        <f>IF($A36="","",IFERROR(SUMIFS('EMAIL MARKETING'!$K$5:$K$804,'EMAIL MARKETING'!$B$5:$B$804,$A36,'EMAIL MARKETING'!$X$5:$X$804,cpCrit)/SUMIFS('EMAIL MARKETING'!$W$5:$W$804,'EMAIL MARKETING'!$B$5:$B$804,$A36,'EMAIL MARKETING'!$X$5:$X$804,cpCrit),""))</f>
        <v/>
      </c>
      <c r="T36" s="73" t="str">
        <f>IF($A36="","",IFERROR(SUMIFS('EMAIL MARKETING'!$O$5:$O$804,'EMAIL MARKETING'!$B$5:$B$804,$A36,'EMAIL MARKETING'!$X$5:$X$804,cpCrit)/SUMIFS('EMAIL MARKETING'!$W$5:$W$804,'EMAIL MARKETING'!$B$5:$B$804,$A36,'EMAIL MARKETING'!$X$5:$X$804,cpCrit),""))</f>
        <v/>
      </c>
      <c r="U36" s="72" t="str">
        <f>IF($A36="","",SUMIFS('PAID MEDIA ADS'!$G$5:$G$804,'PAID MEDIA ADS'!$B$5:$B$804,$A36,'PAID MEDIA ADS'!$U$5:$U$804,cpCrit))</f>
        <v/>
      </c>
      <c r="V36" s="83" t="str">
        <f>IF($A36="","",SUMIFS('PAID MEDIA ADS'!$M$5:$M$804,'PAID MEDIA ADS'!$B$5:$B$804,$A36,'PAID MEDIA ADS'!$U$5:$U$804,cpCrit))</f>
        <v/>
      </c>
      <c r="W36" s="72" t="str">
        <f>IF($A36="","",IF(AND(U36&gt;0,V36&gt;0),U36/V36,""))</f>
        <v/>
      </c>
      <c r="X36" s="83" t="str">
        <f>IF($A36="","",COUNTIFS('WEBSITE CONTENT SEO'!$B$5:$B$804,$A36,'WEBSITE CONTENT SEO'!$D$5:$D$804,"&lt;&gt;",'WEBSITE CONTENT SEO'!$V$5:$V$804,cpCrit))</f>
        <v/>
      </c>
      <c r="Y36" s="83" t="str">
        <f>IF($A36="","",SUMIFS('CAMPAIGN MASTER'!$AS$5:$AS$704,'CAMPAIGN MASTER'!$A$5:$A$704,$A36))</f>
        <v/>
      </c>
      <c r="Z36" s="83" t="str">
        <f>IF($A36="","",IF(AND(E36=0,COUNTIFS('CAMPAIGN MASTER'!$A$5:$A$704,$A36)=0),"No Activity",IF(OR(H36&gt;0,I36&gt;0,Y36&gt;0),"Needs Attention",IF(E36=0,"No Tasks Logged",IF(AND(ISNUMBER(J36),J36&gt;=0.7),"Performing","In Progress")))))</f>
        <v/>
      </c>
      <c r="AA36" s="82" t="str">
        <f>IF($A36="","",IFERROR(IF(INDEX('CLIENT MASTER'!$H$5:$H$64,MATCH($A36,'CLIENT MASTER'!$A$5:$A$64,0))="","",INDEX('CLIENT MASTER'!$H$5:$H$64,MATCH($A36,'CLIENT MASTER'!$A$5:$A$64,0))),""))</f>
        <v/>
      </c>
      <c r="AB36" s="82" t="str">
        <f>IF($A36="","",IFERROR(IF(INDEX('CLIENT MASTER'!$I$5:$I$64,MATCH($A36,'CLIENT MASTER'!$A$5:$A$64,0))="","",INDEX('CLIENT MASTER'!$I$5:$I$64,MATCH($A36,'CLIENT MASTER'!$A$5:$A$64,0))),""))</f>
        <v/>
      </c>
      <c r="AC36" s="82" t="str">
        <f>IF($A36="","",IFERROR(IF(INDEX('CLIENT MASTER'!$J$5:$J$64,MATCH($A36,'CLIENT MASTER'!$A$5:$A$64,0))="","",INDEX('CLIENT MASTER'!$J$5:$J$64,MATCH($A36,'CLIENT MASTER'!$A$5:$A$64,0))),""))</f>
        <v/>
      </c>
      <c r="AD36" s="92" t="str">
        <f>IF($Z36="Needs Attention",ROW(),"")</f>
        <v/>
      </c>
      <c r="AE36" s="92" t="str">
        <f>IF($Z36="Performing",ROW(),"")</f>
        <v/>
      </c>
    </row>
    <row r="37">
      <c r="A37" s="84" t="inlineStr">
        <is>
          <t>TOTAL</t>
        </is>
      </c>
      <c r="B37" s="84" t="n"/>
      <c r="C37" s="84" t="n"/>
      <c r="D37" s="84">
        <f>SUM(D7:D36)</f>
        <v>0</v>
      </c>
      <c r="E37" s="84">
        <f>SUM(E7:E36)</f>
        <v>58</v>
      </c>
      <c r="F37" s="84">
        <f>SUM(F7:F36)</f>
        <v>0</v>
      </c>
      <c r="G37" s="84">
        <f>SUM(G7:G36)</f>
        <v>58</v>
      </c>
      <c r="H37" s="84">
        <f>SUM(H7:H36)</f>
        <v>3</v>
      </c>
      <c r="I37" s="84">
        <f>SUM(I7:I36)</f>
        <v>0</v>
      </c>
      <c r="J37" s="93">
        <f>IF(E37&gt;0,F37/E37,"")</f>
        <v>0</v>
      </c>
      <c r="K37" s="84" t="n"/>
      <c r="L37" s="84">
        <f>SUM(L7:L36)</f>
        <v>0</v>
      </c>
      <c r="M37" s="84">
        <f>SUM(M7:M36)</f>
        <v>0</v>
      </c>
      <c r="N37" s="84">
        <f>SUM(N7:N36)</f>
        <v>0</v>
      </c>
      <c r="O37" s="84">
        <f>SUM(O7:O36)</f>
        <v>0</v>
      </c>
      <c r="P37" s="84" t="n"/>
      <c r="Q37" s="84">
        <f>SUM(Q7:Q36)</f>
        <v>0</v>
      </c>
      <c r="R37" s="84" t="n"/>
      <c r="S37" s="84" t="n"/>
      <c r="T37" s="84" t="n"/>
      <c r="U37" s="84">
        <f>SUM(U7:U36)</f>
        <v>0</v>
      </c>
      <c r="V37" s="84">
        <f>SUM(V7:V36)</f>
        <v>0</v>
      </c>
      <c r="W37" s="84" t="n"/>
      <c r="X37" s="84">
        <f>SUM(X7:X36)</f>
        <v>0</v>
      </c>
      <c r="Y37" s="84">
        <f>SUM(Y7:Y36)</f>
        <v>0</v>
      </c>
      <c r="Z37" s="84" t="n"/>
      <c r="AA37" s="84" t="n"/>
      <c r="AB37" s="84" t="n"/>
      <c r="AC37" s="8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5:AC5"/>
    <mergeCell ref="A2:AC2"/>
    <mergeCell ref="A1:AC1"/>
  </mergeCells>
  <conditionalFormatting sqref="Z7:Z36">
    <cfRule type="expression" priority="1" dxfId="2">
      <formula>$Z7="Needs Attention"</formula>
    </cfRule>
    <cfRule type="expression" priority="2" dxfId="14">
      <formula>$Z7="Performing"</formula>
    </cfRule>
    <cfRule type="expression" priority="3" dxfId="19">
      <formula>$Z7="No Activity"</formula>
    </cfRule>
  </conditionalFormatting>
  <conditionalFormatting sqref="H7:H36">
    <cfRule type="cellIs" priority="4" operator="greaterThan" dxfId="2">
      <formula>0</formula>
    </cfRule>
  </conditionalFormatting>
  <conditionalFormatting sqref="I7:I36">
    <cfRule type="cellIs" priority="5" operator="greaterThan" dxfId="1">
      <formula>0</formula>
    </cfRule>
  </conditionalFormatting>
  <conditionalFormatting sqref="K7:K36">
    <cfRule type="colorScale" priority="6">
      <colorScale>
        <cfvo type="num" val="0"/>
        <cfvo type="max"/>
        <color rgb="00FFFFFF"/>
        <color rgb="009DC3E6"/>
      </colorScale>
    </cfRule>
  </conditionalFormatting>
  <conditionalFormatting sqref="P7:P36">
    <cfRule type="colorScale" priority="7">
      <colorScale>
        <cfvo type="num" val="0"/>
        <cfvo type="max"/>
        <color rgb="00FFFFFF"/>
        <color rgb="00A9D18E"/>
      </colorScale>
    </cfRule>
  </conditionalFormatting>
  <dataValidations count="1">
    <dataValidation sqref="B3" showDropDown="0" showInputMessage="0" showErrorMessage="1" allowBlank="1" errorTitle="Pick from list" error="Please choose a value from the dropdown (lists are maintained in MASTER DATA / CLIENT MASTER / CAMPAIGN MASTER)." type="list" errorStyle="stop">
      <formula1>=lst_FMonth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J88"/>
  <sheetViews>
    <sheetView showGridLines="0" tabSelected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24" customWidth="1" min="7" max="7"/>
    <col width="24" customWidth="1" min="8" max="8"/>
    <col width="16" customWidth="1" min="9" max="9"/>
    <col width="16" customWidth="1" min="10" max="10"/>
    <col width="4" customWidth="1" min="11" max="11"/>
  </cols>
  <sheetData>
    <row r="1" ht="38" customHeight="1">
      <c r="A1" s="1" t="inlineStr">
        <is>
          <t>TCL (TATA COMMUNICATIONS) DIGITAL DASHBOARD + MECCA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4" t="inlineStr">
        <is>
          <t>Automatic view of everything tagged to the TCL / MECCA client names below. Blue cells (client names &amp; MECCA tracker) are editable.</t>
        </is>
      </c>
    </row>
    <row r="3">
      <c r="A3" s="78" t="inlineStr">
        <is>
          <t>TCL client name (as in CLIENT MASTER)</t>
        </is>
      </c>
      <c r="B3" s="94" t="inlineStr">
        <is>
          <t>Tata Communications</t>
        </is>
      </c>
    </row>
    <row r="4">
      <c r="A4" s="78" t="inlineStr">
        <is>
          <t>MECCA client name (as in CLIENT MASTER)</t>
        </is>
      </c>
      <c r="B4" s="94" t="inlineStr">
        <is>
          <t>Tata Communications MECCA</t>
        </is>
      </c>
    </row>
    <row r="6" ht="22" customHeight="1">
      <c r="A6" s="3" t="inlineStr">
        <is>
          <t>1. TCL CAMPAIGNS (from CAMPAIGN MASTER)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8" t="inlineStr">
        <is>
          <t>Campaign</t>
        </is>
      </c>
      <c r="B7" s="38" t="inlineStr">
        <is>
          <t>Product</t>
        </is>
      </c>
      <c r="C7" s="38" t="inlineStr">
        <is>
          <t>Market</t>
        </is>
      </c>
      <c r="D7" s="38" t="inlineStr">
        <is>
          <t>Channel</t>
        </is>
      </c>
      <c r="E7" s="38" t="inlineStr">
        <is>
          <t>Status</t>
        </is>
      </c>
      <c r="F7" s="38" t="inlineStr">
        <is>
          <t>Owner</t>
        </is>
      </c>
      <c r="G7" s="38" t="inlineStr">
        <is>
          <t>Leads</t>
        </is>
      </c>
      <c r="H7" s="38" t="inlineStr">
        <is>
          <t>MQLs</t>
        </is>
      </c>
      <c r="I7" s="38" t="inlineStr">
        <is>
          <t>Performance</t>
        </is>
      </c>
      <c r="J7" s="38" t="inlineStr">
        <is>
          <t>Next Action</t>
        </is>
      </c>
    </row>
    <row r="8" ht="24" customHeight="1">
      <c r="A8" s="49" t="str">
        <f>IFERROR(IF(INDEX('CAMPAIGN MASTER'!$B$5:$B$704,MATCH(SMALL('CAMPAIGN MASTER'!$AZ$5:$AZ$704,1),'CAMPAIGN MASTER'!$AZ$5:$AZ$704,0))="","",INDEX('CAMPAIGN MASTER'!$B$5:$B$704,MATCH(SMALL('CAMPAIGN MASTER'!$AZ$5:$AZ$704,1),'CAMPAIGN MASTER'!$AZ$5:$AZ$704,0))),"- none yet -")</f>
        <v>- none yet -</v>
      </c>
      <c r="B8" s="50" t="str">
        <f>IFERROR(IF(INDEX('CAMPAIGN MASTER'!$D$5:$D$704,MATCH(SMALL('CAMPAIGN MASTER'!$AZ$5:$AZ$704,1),'CAMPAIGN MASTER'!$AZ$5:$AZ$704,0))="","",INDEX('CAMPAIGN MASTER'!$D$5:$D$704,MATCH(SMALL('CAMPAIGN MASTER'!$AZ$5:$AZ$704,1),'CAMPAIGN MASTER'!$AZ$5:$AZ$704,0))),"")</f>
        <v/>
      </c>
      <c r="C8" s="50" t="str">
        <f>IFERROR(IF(INDEX('CAMPAIGN MASTER'!$E$5:$E$704,MATCH(SMALL('CAMPAIGN MASTER'!$AZ$5:$AZ$704,1),'CAMPAIGN MASTER'!$AZ$5:$AZ$704,0))="","",INDEX('CAMPAIGN MASTER'!$E$5:$E$704,MATCH(SMALL('CAMPAIGN MASTER'!$AZ$5:$AZ$704,1),'CAMPAIGN MASTER'!$AZ$5:$AZ$704,0))),"")</f>
        <v/>
      </c>
      <c r="D8" s="50" t="str">
        <f>IFERROR(IF(INDEX('CAMPAIGN MASTER'!$H$5:$H$704,MATCH(SMALL('CAMPAIGN MASTER'!$AZ$5:$AZ$704,1),'CAMPAIGN MASTER'!$AZ$5:$AZ$704,0))="","",INDEX('CAMPAIGN MASTER'!$H$5:$H$704,MATCH(SMALL('CAMPAIGN MASTER'!$AZ$5:$AZ$704,1),'CAMPAIGN MASTER'!$AZ$5:$AZ$704,0))),"")</f>
        <v/>
      </c>
      <c r="E8" s="50" t="str">
        <f>IFERROR(IF(INDEX('CAMPAIGN MASTER'!$N$5:$N$704,MATCH(SMALL('CAMPAIGN MASTER'!$AZ$5:$AZ$704,1),'CAMPAIGN MASTER'!$AZ$5:$AZ$704,0))="","",INDEX('CAMPAIGN MASTER'!$N$5:$N$704,MATCH(SMALL('CAMPAIGN MASTER'!$AZ$5:$AZ$704,1),'CAMPAIGN MASTER'!$AZ$5:$AZ$704,0))),"")</f>
        <v/>
      </c>
      <c r="F8" s="50" t="str">
        <f>IFERROR(IF(INDEX('CAMPAIGN MASTER'!$I$5:$I$704,MATCH(SMALL('CAMPAIGN MASTER'!$AZ$5:$AZ$704,1),'CAMPAIGN MASTER'!$AZ$5:$AZ$704,0))="","",INDEX('CAMPAIGN MASTER'!$I$5:$I$704,MATCH(SMALL('CAMPAIGN MASTER'!$AZ$5:$AZ$704,1),'CAMPAIGN MASTER'!$AZ$5:$AZ$704,0))),"")</f>
        <v/>
      </c>
      <c r="G8" s="95" t="str">
        <f>IFERROR(IF(INDEX('CAMPAIGN MASTER'!$R$5:$R$704,MATCH(SMALL('CAMPAIGN MASTER'!$AZ$5:$AZ$704,1),'CAMPAIGN MASTER'!$AZ$5:$AZ$704,0))="","",INDEX('CAMPAIGN MASTER'!$R$5:$R$704,MATCH(SMALL('CAMPAIGN MASTER'!$AZ$5:$AZ$704,1),'CAMPAIGN MASTER'!$AZ$5:$AZ$704,0))),"")</f>
        <v/>
      </c>
      <c r="H8" s="95" t="str">
        <f>IFERROR(IF(INDEX('CAMPAIGN MASTER'!$T$5:$T$704,MATCH(SMALL('CAMPAIGN MASTER'!$AZ$5:$AZ$704,1),'CAMPAIGN MASTER'!$AZ$5:$AZ$704,0))="","",INDEX('CAMPAIGN MASTER'!$T$5:$T$704,MATCH(SMALL('CAMPAIGN MASTER'!$AZ$5:$AZ$704,1),'CAMPAIGN MASTER'!$AZ$5:$AZ$704,0))),"")</f>
        <v/>
      </c>
      <c r="I8" s="50" t="str">
        <f>IFERROR(IF(INDEX('CAMPAIGN MASTER'!$AA$5:$AA$704,MATCH(SMALL('CAMPAIGN MASTER'!$AZ$5:$AZ$704,1),'CAMPAIGN MASTER'!$AZ$5:$AZ$704,0))="","",INDEX('CAMPAIGN MASTER'!$AA$5:$AA$704,MATCH(SMALL('CAMPAIGN MASTER'!$AZ$5:$AZ$704,1),'CAMPAIGN MASTER'!$AZ$5:$AZ$704,0))),"")</f>
        <v/>
      </c>
      <c r="J8" s="50" t="str">
        <f>IFERROR(IF(INDEX('CAMPAIGN MASTER'!$AC$5:$AC$704,MATCH(SMALL('CAMPAIGN MASTER'!$AZ$5:$AZ$704,1),'CAMPAIGN MASTER'!$AZ$5:$AZ$704,0))="","",INDEX('CAMPAIGN MASTER'!$AC$5:$AC$704,MATCH(SMALL('CAMPAIGN MASTER'!$AZ$5:$AZ$704,1),'CAMPAIGN MASTER'!$AZ$5:$AZ$704,0))),"")</f>
        <v/>
      </c>
    </row>
    <row r="9" ht="24" customHeight="1">
      <c r="A9" s="50" t="str">
        <f>IFERROR(IF(INDEX('CAMPAIGN MASTER'!$B$5:$B$704,MATCH(SMALL('CAMPAIGN MASTER'!$AZ$5:$AZ$704,2),'CAMPAIGN MASTER'!$AZ$5:$AZ$704,0))="","",INDEX('CAMPAIGN MASTER'!$B$5:$B$704,MATCH(SMALL('CAMPAIGN MASTER'!$AZ$5:$AZ$704,2),'CAMPAIGN MASTER'!$AZ$5:$AZ$704,0))),"")</f>
        <v/>
      </c>
      <c r="B9" s="50" t="str">
        <f>IFERROR(IF(INDEX('CAMPAIGN MASTER'!$D$5:$D$704,MATCH(SMALL('CAMPAIGN MASTER'!$AZ$5:$AZ$704,2),'CAMPAIGN MASTER'!$AZ$5:$AZ$704,0))="","",INDEX('CAMPAIGN MASTER'!$D$5:$D$704,MATCH(SMALL('CAMPAIGN MASTER'!$AZ$5:$AZ$704,2),'CAMPAIGN MASTER'!$AZ$5:$AZ$704,0))),"")</f>
        <v/>
      </c>
      <c r="C9" s="50" t="str">
        <f>IFERROR(IF(INDEX('CAMPAIGN MASTER'!$E$5:$E$704,MATCH(SMALL('CAMPAIGN MASTER'!$AZ$5:$AZ$704,2),'CAMPAIGN MASTER'!$AZ$5:$AZ$704,0))="","",INDEX('CAMPAIGN MASTER'!$E$5:$E$704,MATCH(SMALL('CAMPAIGN MASTER'!$AZ$5:$AZ$704,2),'CAMPAIGN MASTER'!$AZ$5:$AZ$704,0))),"")</f>
        <v/>
      </c>
      <c r="D9" s="50" t="str">
        <f>IFERROR(IF(INDEX('CAMPAIGN MASTER'!$H$5:$H$704,MATCH(SMALL('CAMPAIGN MASTER'!$AZ$5:$AZ$704,2),'CAMPAIGN MASTER'!$AZ$5:$AZ$704,0))="","",INDEX('CAMPAIGN MASTER'!$H$5:$H$704,MATCH(SMALL('CAMPAIGN MASTER'!$AZ$5:$AZ$704,2),'CAMPAIGN MASTER'!$AZ$5:$AZ$704,0))),"")</f>
        <v/>
      </c>
      <c r="E9" s="50" t="str">
        <f>IFERROR(IF(INDEX('CAMPAIGN MASTER'!$N$5:$N$704,MATCH(SMALL('CAMPAIGN MASTER'!$AZ$5:$AZ$704,2),'CAMPAIGN MASTER'!$AZ$5:$AZ$704,0))="","",INDEX('CAMPAIGN MASTER'!$N$5:$N$704,MATCH(SMALL('CAMPAIGN MASTER'!$AZ$5:$AZ$704,2),'CAMPAIGN MASTER'!$AZ$5:$AZ$704,0))),"")</f>
        <v/>
      </c>
      <c r="F9" s="50" t="str">
        <f>IFERROR(IF(INDEX('CAMPAIGN MASTER'!$I$5:$I$704,MATCH(SMALL('CAMPAIGN MASTER'!$AZ$5:$AZ$704,2),'CAMPAIGN MASTER'!$AZ$5:$AZ$704,0))="","",INDEX('CAMPAIGN MASTER'!$I$5:$I$704,MATCH(SMALL('CAMPAIGN MASTER'!$AZ$5:$AZ$704,2),'CAMPAIGN MASTER'!$AZ$5:$AZ$704,0))),"")</f>
        <v/>
      </c>
      <c r="G9" s="95" t="str">
        <f>IFERROR(IF(INDEX('CAMPAIGN MASTER'!$R$5:$R$704,MATCH(SMALL('CAMPAIGN MASTER'!$AZ$5:$AZ$704,2),'CAMPAIGN MASTER'!$AZ$5:$AZ$704,0))="","",INDEX('CAMPAIGN MASTER'!$R$5:$R$704,MATCH(SMALL('CAMPAIGN MASTER'!$AZ$5:$AZ$704,2),'CAMPAIGN MASTER'!$AZ$5:$AZ$704,0))),"")</f>
        <v/>
      </c>
      <c r="H9" s="95" t="str">
        <f>IFERROR(IF(INDEX('CAMPAIGN MASTER'!$T$5:$T$704,MATCH(SMALL('CAMPAIGN MASTER'!$AZ$5:$AZ$704,2),'CAMPAIGN MASTER'!$AZ$5:$AZ$704,0))="","",INDEX('CAMPAIGN MASTER'!$T$5:$T$704,MATCH(SMALL('CAMPAIGN MASTER'!$AZ$5:$AZ$704,2),'CAMPAIGN MASTER'!$AZ$5:$AZ$704,0))),"")</f>
        <v/>
      </c>
      <c r="I9" s="50" t="str">
        <f>IFERROR(IF(INDEX('CAMPAIGN MASTER'!$AA$5:$AA$704,MATCH(SMALL('CAMPAIGN MASTER'!$AZ$5:$AZ$704,2),'CAMPAIGN MASTER'!$AZ$5:$AZ$704,0))="","",INDEX('CAMPAIGN MASTER'!$AA$5:$AA$704,MATCH(SMALL('CAMPAIGN MASTER'!$AZ$5:$AZ$704,2),'CAMPAIGN MASTER'!$AZ$5:$AZ$704,0))),"")</f>
        <v/>
      </c>
      <c r="J9" s="50" t="str">
        <f>IFERROR(IF(INDEX('CAMPAIGN MASTER'!$AC$5:$AC$704,MATCH(SMALL('CAMPAIGN MASTER'!$AZ$5:$AZ$704,2),'CAMPAIGN MASTER'!$AZ$5:$AZ$704,0))="","",INDEX('CAMPAIGN MASTER'!$AC$5:$AC$704,MATCH(SMALL('CAMPAIGN MASTER'!$AZ$5:$AZ$704,2),'CAMPAIGN MASTER'!$AZ$5:$AZ$704,0))),"")</f>
        <v/>
      </c>
    </row>
    <row r="10" ht="24" customHeight="1">
      <c r="A10" s="50" t="str">
        <f>IFERROR(IF(INDEX('CAMPAIGN MASTER'!$B$5:$B$704,MATCH(SMALL('CAMPAIGN MASTER'!$AZ$5:$AZ$704,3),'CAMPAIGN MASTER'!$AZ$5:$AZ$704,0))="","",INDEX('CAMPAIGN MASTER'!$B$5:$B$704,MATCH(SMALL('CAMPAIGN MASTER'!$AZ$5:$AZ$704,3),'CAMPAIGN MASTER'!$AZ$5:$AZ$704,0))),"")</f>
        <v/>
      </c>
      <c r="B10" s="50" t="str">
        <f>IFERROR(IF(INDEX('CAMPAIGN MASTER'!$D$5:$D$704,MATCH(SMALL('CAMPAIGN MASTER'!$AZ$5:$AZ$704,3),'CAMPAIGN MASTER'!$AZ$5:$AZ$704,0))="","",INDEX('CAMPAIGN MASTER'!$D$5:$D$704,MATCH(SMALL('CAMPAIGN MASTER'!$AZ$5:$AZ$704,3),'CAMPAIGN MASTER'!$AZ$5:$AZ$704,0))),"")</f>
        <v/>
      </c>
      <c r="C10" s="50" t="str">
        <f>IFERROR(IF(INDEX('CAMPAIGN MASTER'!$E$5:$E$704,MATCH(SMALL('CAMPAIGN MASTER'!$AZ$5:$AZ$704,3),'CAMPAIGN MASTER'!$AZ$5:$AZ$704,0))="","",INDEX('CAMPAIGN MASTER'!$E$5:$E$704,MATCH(SMALL('CAMPAIGN MASTER'!$AZ$5:$AZ$704,3),'CAMPAIGN MASTER'!$AZ$5:$AZ$704,0))),"")</f>
        <v/>
      </c>
      <c r="D10" s="50" t="str">
        <f>IFERROR(IF(INDEX('CAMPAIGN MASTER'!$H$5:$H$704,MATCH(SMALL('CAMPAIGN MASTER'!$AZ$5:$AZ$704,3),'CAMPAIGN MASTER'!$AZ$5:$AZ$704,0))="","",INDEX('CAMPAIGN MASTER'!$H$5:$H$704,MATCH(SMALL('CAMPAIGN MASTER'!$AZ$5:$AZ$704,3),'CAMPAIGN MASTER'!$AZ$5:$AZ$704,0))),"")</f>
        <v/>
      </c>
      <c r="E10" s="50" t="str">
        <f>IFERROR(IF(INDEX('CAMPAIGN MASTER'!$N$5:$N$704,MATCH(SMALL('CAMPAIGN MASTER'!$AZ$5:$AZ$704,3),'CAMPAIGN MASTER'!$AZ$5:$AZ$704,0))="","",INDEX('CAMPAIGN MASTER'!$N$5:$N$704,MATCH(SMALL('CAMPAIGN MASTER'!$AZ$5:$AZ$704,3),'CAMPAIGN MASTER'!$AZ$5:$AZ$704,0))),"")</f>
        <v/>
      </c>
      <c r="F10" s="50" t="str">
        <f>IFERROR(IF(INDEX('CAMPAIGN MASTER'!$I$5:$I$704,MATCH(SMALL('CAMPAIGN MASTER'!$AZ$5:$AZ$704,3),'CAMPAIGN MASTER'!$AZ$5:$AZ$704,0))="","",INDEX('CAMPAIGN MASTER'!$I$5:$I$704,MATCH(SMALL('CAMPAIGN MASTER'!$AZ$5:$AZ$704,3),'CAMPAIGN MASTER'!$AZ$5:$AZ$704,0))),"")</f>
        <v/>
      </c>
      <c r="G10" s="95" t="str">
        <f>IFERROR(IF(INDEX('CAMPAIGN MASTER'!$R$5:$R$704,MATCH(SMALL('CAMPAIGN MASTER'!$AZ$5:$AZ$704,3),'CAMPAIGN MASTER'!$AZ$5:$AZ$704,0))="","",INDEX('CAMPAIGN MASTER'!$R$5:$R$704,MATCH(SMALL('CAMPAIGN MASTER'!$AZ$5:$AZ$704,3),'CAMPAIGN MASTER'!$AZ$5:$AZ$704,0))),"")</f>
        <v/>
      </c>
      <c r="H10" s="95" t="str">
        <f>IFERROR(IF(INDEX('CAMPAIGN MASTER'!$T$5:$T$704,MATCH(SMALL('CAMPAIGN MASTER'!$AZ$5:$AZ$704,3),'CAMPAIGN MASTER'!$AZ$5:$AZ$704,0))="","",INDEX('CAMPAIGN MASTER'!$T$5:$T$704,MATCH(SMALL('CAMPAIGN MASTER'!$AZ$5:$AZ$704,3),'CAMPAIGN MASTER'!$AZ$5:$AZ$704,0))),"")</f>
        <v/>
      </c>
      <c r="I10" s="50" t="str">
        <f>IFERROR(IF(INDEX('CAMPAIGN MASTER'!$AA$5:$AA$704,MATCH(SMALL('CAMPAIGN MASTER'!$AZ$5:$AZ$704,3),'CAMPAIGN MASTER'!$AZ$5:$AZ$704,0))="","",INDEX('CAMPAIGN MASTER'!$AA$5:$AA$704,MATCH(SMALL('CAMPAIGN MASTER'!$AZ$5:$AZ$704,3),'CAMPAIGN MASTER'!$AZ$5:$AZ$704,0))),"")</f>
        <v/>
      </c>
      <c r="J10" s="50" t="str">
        <f>IFERROR(IF(INDEX('CAMPAIGN MASTER'!$AC$5:$AC$704,MATCH(SMALL('CAMPAIGN MASTER'!$AZ$5:$AZ$704,3),'CAMPAIGN MASTER'!$AZ$5:$AZ$704,0))="","",INDEX('CAMPAIGN MASTER'!$AC$5:$AC$704,MATCH(SMALL('CAMPAIGN MASTER'!$AZ$5:$AZ$704,3),'CAMPAIGN MASTER'!$AZ$5:$AZ$704,0))),"")</f>
        <v/>
      </c>
    </row>
    <row r="11" ht="24" customHeight="1">
      <c r="A11" s="50" t="str">
        <f>IFERROR(IF(INDEX('CAMPAIGN MASTER'!$B$5:$B$704,MATCH(SMALL('CAMPAIGN MASTER'!$AZ$5:$AZ$704,4),'CAMPAIGN MASTER'!$AZ$5:$AZ$704,0))="","",INDEX('CAMPAIGN MASTER'!$B$5:$B$704,MATCH(SMALL('CAMPAIGN MASTER'!$AZ$5:$AZ$704,4),'CAMPAIGN MASTER'!$AZ$5:$AZ$704,0))),"")</f>
        <v/>
      </c>
      <c r="B11" s="50" t="str">
        <f>IFERROR(IF(INDEX('CAMPAIGN MASTER'!$D$5:$D$704,MATCH(SMALL('CAMPAIGN MASTER'!$AZ$5:$AZ$704,4),'CAMPAIGN MASTER'!$AZ$5:$AZ$704,0))="","",INDEX('CAMPAIGN MASTER'!$D$5:$D$704,MATCH(SMALL('CAMPAIGN MASTER'!$AZ$5:$AZ$704,4),'CAMPAIGN MASTER'!$AZ$5:$AZ$704,0))),"")</f>
        <v/>
      </c>
      <c r="C11" s="50" t="str">
        <f>IFERROR(IF(INDEX('CAMPAIGN MASTER'!$E$5:$E$704,MATCH(SMALL('CAMPAIGN MASTER'!$AZ$5:$AZ$704,4),'CAMPAIGN MASTER'!$AZ$5:$AZ$704,0))="","",INDEX('CAMPAIGN MASTER'!$E$5:$E$704,MATCH(SMALL('CAMPAIGN MASTER'!$AZ$5:$AZ$704,4),'CAMPAIGN MASTER'!$AZ$5:$AZ$704,0))),"")</f>
        <v/>
      </c>
      <c r="D11" s="50" t="str">
        <f>IFERROR(IF(INDEX('CAMPAIGN MASTER'!$H$5:$H$704,MATCH(SMALL('CAMPAIGN MASTER'!$AZ$5:$AZ$704,4),'CAMPAIGN MASTER'!$AZ$5:$AZ$704,0))="","",INDEX('CAMPAIGN MASTER'!$H$5:$H$704,MATCH(SMALL('CAMPAIGN MASTER'!$AZ$5:$AZ$704,4),'CAMPAIGN MASTER'!$AZ$5:$AZ$704,0))),"")</f>
        <v/>
      </c>
      <c r="E11" s="50" t="str">
        <f>IFERROR(IF(INDEX('CAMPAIGN MASTER'!$N$5:$N$704,MATCH(SMALL('CAMPAIGN MASTER'!$AZ$5:$AZ$704,4),'CAMPAIGN MASTER'!$AZ$5:$AZ$704,0))="","",INDEX('CAMPAIGN MASTER'!$N$5:$N$704,MATCH(SMALL('CAMPAIGN MASTER'!$AZ$5:$AZ$704,4),'CAMPAIGN MASTER'!$AZ$5:$AZ$704,0))),"")</f>
        <v/>
      </c>
      <c r="F11" s="50" t="str">
        <f>IFERROR(IF(INDEX('CAMPAIGN MASTER'!$I$5:$I$704,MATCH(SMALL('CAMPAIGN MASTER'!$AZ$5:$AZ$704,4),'CAMPAIGN MASTER'!$AZ$5:$AZ$704,0))="","",INDEX('CAMPAIGN MASTER'!$I$5:$I$704,MATCH(SMALL('CAMPAIGN MASTER'!$AZ$5:$AZ$704,4),'CAMPAIGN MASTER'!$AZ$5:$AZ$704,0))),"")</f>
        <v/>
      </c>
      <c r="G11" s="95" t="str">
        <f>IFERROR(IF(INDEX('CAMPAIGN MASTER'!$R$5:$R$704,MATCH(SMALL('CAMPAIGN MASTER'!$AZ$5:$AZ$704,4),'CAMPAIGN MASTER'!$AZ$5:$AZ$704,0))="","",INDEX('CAMPAIGN MASTER'!$R$5:$R$704,MATCH(SMALL('CAMPAIGN MASTER'!$AZ$5:$AZ$704,4),'CAMPAIGN MASTER'!$AZ$5:$AZ$704,0))),"")</f>
        <v/>
      </c>
      <c r="H11" s="95" t="str">
        <f>IFERROR(IF(INDEX('CAMPAIGN MASTER'!$T$5:$T$704,MATCH(SMALL('CAMPAIGN MASTER'!$AZ$5:$AZ$704,4),'CAMPAIGN MASTER'!$AZ$5:$AZ$704,0))="","",INDEX('CAMPAIGN MASTER'!$T$5:$T$704,MATCH(SMALL('CAMPAIGN MASTER'!$AZ$5:$AZ$704,4),'CAMPAIGN MASTER'!$AZ$5:$AZ$704,0))),"")</f>
        <v/>
      </c>
      <c r="I11" s="50" t="str">
        <f>IFERROR(IF(INDEX('CAMPAIGN MASTER'!$AA$5:$AA$704,MATCH(SMALL('CAMPAIGN MASTER'!$AZ$5:$AZ$704,4),'CAMPAIGN MASTER'!$AZ$5:$AZ$704,0))="","",INDEX('CAMPAIGN MASTER'!$AA$5:$AA$704,MATCH(SMALL('CAMPAIGN MASTER'!$AZ$5:$AZ$704,4),'CAMPAIGN MASTER'!$AZ$5:$AZ$704,0))),"")</f>
        <v/>
      </c>
      <c r="J11" s="50" t="str">
        <f>IFERROR(IF(INDEX('CAMPAIGN MASTER'!$AC$5:$AC$704,MATCH(SMALL('CAMPAIGN MASTER'!$AZ$5:$AZ$704,4),'CAMPAIGN MASTER'!$AZ$5:$AZ$704,0))="","",INDEX('CAMPAIGN MASTER'!$AC$5:$AC$704,MATCH(SMALL('CAMPAIGN MASTER'!$AZ$5:$AZ$704,4),'CAMPAIGN MASTER'!$AZ$5:$AZ$704,0))),"")</f>
        <v/>
      </c>
    </row>
    <row r="12" ht="24" customHeight="1">
      <c r="A12" s="50" t="str">
        <f>IFERROR(IF(INDEX('CAMPAIGN MASTER'!$B$5:$B$704,MATCH(SMALL('CAMPAIGN MASTER'!$AZ$5:$AZ$704,5),'CAMPAIGN MASTER'!$AZ$5:$AZ$704,0))="","",INDEX('CAMPAIGN MASTER'!$B$5:$B$704,MATCH(SMALL('CAMPAIGN MASTER'!$AZ$5:$AZ$704,5),'CAMPAIGN MASTER'!$AZ$5:$AZ$704,0))),"")</f>
        <v/>
      </c>
      <c r="B12" s="50" t="str">
        <f>IFERROR(IF(INDEX('CAMPAIGN MASTER'!$D$5:$D$704,MATCH(SMALL('CAMPAIGN MASTER'!$AZ$5:$AZ$704,5),'CAMPAIGN MASTER'!$AZ$5:$AZ$704,0))="","",INDEX('CAMPAIGN MASTER'!$D$5:$D$704,MATCH(SMALL('CAMPAIGN MASTER'!$AZ$5:$AZ$704,5),'CAMPAIGN MASTER'!$AZ$5:$AZ$704,0))),"")</f>
        <v/>
      </c>
      <c r="C12" s="50" t="str">
        <f>IFERROR(IF(INDEX('CAMPAIGN MASTER'!$E$5:$E$704,MATCH(SMALL('CAMPAIGN MASTER'!$AZ$5:$AZ$704,5),'CAMPAIGN MASTER'!$AZ$5:$AZ$704,0))="","",INDEX('CAMPAIGN MASTER'!$E$5:$E$704,MATCH(SMALL('CAMPAIGN MASTER'!$AZ$5:$AZ$704,5),'CAMPAIGN MASTER'!$AZ$5:$AZ$704,0))),"")</f>
        <v/>
      </c>
      <c r="D12" s="50" t="str">
        <f>IFERROR(IF(INDEX('CAMPAIGN MASTER'!$H$5:$H$704,MATCH(SMALL('CAMPAIGN MASTER'!$AZ$5:$AZ$704,5),'CAMPAIGN MASTER'!$AZ$5:$AZ$704,0))="","",INDEX('CAMPAIGN MASTER'!$H$5:$H$704,MATCH(SMALL('CAMPAIGN MASTER'!$AZ$5:$AZ$704,5),'CAMPAIGN MASTER'!$AZ$5:$AZ$704,0))),"")</f>
        <v/>
      </c>
      <c r="E12" s="50" t="str">
        <f>IFERROR(IF(INDEX('CAMPAIGN MASTER'!$N$5:$N$704,MATCH(SMALL('CAMPAIGN MASTER'!$AZ$5:$AZ$704,5),'CAMPAIGN MASTER'!$AZ$5:$AZ$704,0))="","",INDEX('CAMPAIGN MASTER'!$N$5:$N$704,MATCH(SMALL('CAMPAIGN MASTER'!$AZ$5:$AZ$704,5),'CAMPAIGN MASTER'!$AZ$5:$AZ$704,0))),"")</f>
        <v/>
      </c>
      <c r="F12" s="50" t="str">
        <f>IFERROR(IF(INDEX('CAMPAIGN MASTER'!$I$5:$I$704,MATCH(SMALL('CAMPAIGN MASTER'!$AZ$5:$AZ$704,5),'CAMPAIGN MASTER'!$AZ$5:$AZ$704,0))="","",INDEX('CAMPAIGN MASTER'!$I$5:$I$704,MATCH(SMALL('CAMPAIGN MASTER'!$AZ$5:$AZ$704,5),'CAMPAIGN MASTER'!$AZ$5:$AZ$704,0))),"")</f>
        <v/>
      </c>
      <c r="G12" s="95" t="str">
        <f>IFERROR(IF(INDEX('CAMPAIGN MASTER'!$R$5:$R$704,MATCH(SMALL('CAMPAIGN MASTER'!$AZ$5:$AZ$704,5),'CAMPAIGN MASTER'!$AZ$5:$AZ$704,0))="","",INDEX('CAMPAIGN MASTER'!$R$5:$R$704,MATCH(SMALL('CAMPAIGN MASTER'!$AZ$5:$AZ$704,5),'CAMPAIGN MASTER'!$AZ$5:$AZ$704,0))),"")</f>
        <v/>
      </c>
      <c r="H12" s="95" t="str">
        <f>IFERROR(IF(INDEX('CAMPAIGN MASTER'!$T$5:$T$704,MATCH(SMALL('CAMPAIGN MASTER'!$AZ$5:$AZ$704,5),'CAMPAIGN MASTER'!$AZ$5:$AZ$704,0))="","",INDEX('CAMPAIGN MASTER'!$T$5:$T$704,MATCH(SMALL('CAMPAIGN MASTER'!$AZ$5:$AZ$704,5),'CAMPAIGN MASTER'!$AZ$5:$AZ$704,0))),"")</f>
        <v/>
      </c>
      <c r="I12" s="50" t="str">
        <f>IFERROR(IF(INDEX('CAMPAIGN MASTER'!$AA$5:$AA$704,MATCH(SMALL('CAMPAIGN MASTER'!$AZ$5:$AZ$704,5),'CAMPAIGN MASTER'!$AZ$5:$AZ$704,0))="","",INDEX('CAMPAIGN MASTER'!$AA$5:$AA$704,MATCH(SMALL('CAMPAIGN MASTER'!$AZ$5:$AZ$704,5),'CAMPAIGN MASTER'!$AZ$5:$AZ$704,0))),"")</f>
        <v/>
      </c>
      <c r="J12" s="50" t="str">
        <f>IFERROR(IF(INDEX('CAMPAIGN MASTER'!$AC$5:$AC$704,MATCH(SMALL('CAMPAIGN MASTER'!$AZ$5:$AZ$704,5),'CAMPAIGN MASTER'!$AZ$5:$AZ$704,0))="","",INDEX('CAMPAIGN MASTER'!$AC$5:$AC$704,MATCH(SMALL('CAMPAIGN MASTER'!$AZ$5:$AZ$704,5),'CAMPAIGN MASTER'!$AZ$5:$AZ$704,0))),"")</f>
        <v/>
      </c>
    </row>
    <row r="13" ht="24" customHeight="1">
      <c r="A13" s="50" t="str">
        <f>IFERROR(IF(INDEX('CAMPAIGN MASTER'!$B$5:$B$704,MATCH(SMALL('CAMPAIGN MASTER'!$AZ$5:$AZ$704,6),'CAMPAIGN MASTER'!$AZ$5:$AZ$704,0))="","",INDEX('CAMPAIGN MASTER'!$B$5:$B$704,MATCH(SMALL('CAMPAIGN MASTER'!$AZ$5:$AZ$704,6),'CAMPAIGN MASTER'!$AZ$5:$AZ$704,0))),"")</f>
        <v/>
      </c>
      <c r="B13" s="50" t="str">
        <f>IFERROR(IF(INDEX('CAMPAIGN MASTER'!$D$5:$D$704,MATCH(SMALL('CAMPAIGN MASTER'!$AZ$5:$AZ$704,6),'CAMPAIGN MASTER'!$AZ$5:$AZ$704,0))="","",INDEX('CAMPAIGN MASTER'!$D$5:$D$704,MATCH(SMALL('CAMPAIGN MASTER'!$AZ$5:$AZ$704,6),'CAMPAIGN MASTER'!$AZ$5:$AZ$704,0))),"")</f>
        <v/>
      </c>
      <c r="C13" s="50" t="str">
        <f>IFERROR(IF(INDEX('CAMPAIGN MASTER'!$E$5:$E$704,MATCH(SMALL('CAMPAIGN MASTER'!$AZ$5:$AZ$704,6),'CAMPAIGN MASTER'!$AZ$5:$AZ$704,0))="","",INDEX('CAMPAIGN MASTER'!$E$5:$E$704,MATCH(SMALL('CAMPAIGN MASTER'!$AZ$5:$AZ$704,6),'CAMPAIGN MASTER'!$AZ$5:$AZ$704,0))),"")</f>
        <v/>
      </c>
      <c r="D13" s="50" t="str">
        <f>IFERROR(IF(INDEX('CAMPAIGN MASTER'!$H$5:$H$704,MATCH(SMALL('CAMPAIGN MASTER'!$AZ$5:$AZ$704,6),'CAMPAIGN MASTER'!$AZ$5:$AZ$704,0))="","",INDEX('CAMPAIGN MASTER'!$H$5:$H$704,MATCH(SMALL('CAMPAIGN MASTER'!$AZ$5:$AZ$704,6),'CAMPAIGN MASTER'!$AZ$5:$AZ$704,0))),"")</f>
        <v/>
      </c>
      <c r="E13" s="50" t="str">
        <f>IFERROR(IF(INDEX('CAMPAIGN MASTER'!$N$5:$N$704,MATCH(SMALL('CAMPAIGN MASTER'!$AZ$5:$AZ$704,6),'CAMPAIGN MASTER'!$AZ$5:$AZ$704,0))="","",INDEX('CAMPAIGN MASTER'!$N$5:$N$704,MATCH(SMALL('CAMPAIGN MASTER'!$AZ$5:$AZ$704,6),'CAMPAIGN MASTER'!$AZ$5:$AZ$704,0))),"")</f>
        <v/>
      </c>
      <c r="F13" s="50" t="str">
        <f>IFERROR(IF(INDEX('CAMPAIGN MASTER'!$I$5:$I$704,MATCH(SMALL('CAMPAIGN MASTER'!$AZ$5:$AZ$704,6),'CAMPAIGN MASTER'!$AZ$5:$AZ$704,0))="","",INDEX('CAMPAIGN MASTER'!$I$5:$I$704,MATCH(SMALL('CAMPAIGN MASTER'!$AZ$5:$AZ$704,6),'CAMPAIGN MASTER'!$AZ$5:$AZ$704,0))),"")</f>
        <v/>
      </c>
      <c r="G13" s="95" t="str">
        <f>IFERROR(IF(INDEX('CAMPAIGN MASTER'!$R$5:$R$704,MATCH(SMALL('CAMPAIGN MASTER'!$AZ$5:$AZ$704,6),'CAMPAIGN MASTER'!$AZ$5:$AZ$704,0))="","",INDEX('CAMPAIGN MASTER'!$R$5:$R$704,MATCH(SMALL('CAMPAIGN MASTER'!$AZ$5:$AZ$704,6),'CAMPAIGN MASTER'!$AZ$5:$AZ$704,0))),"")</f>
        <v/>
      </c>
      <c r="H13" s="95" t="str">
        <f>IFERROR(IF(INDEX('CAMPAIGN MASTER'!$T$5:$T$704,MATCH(SMALL('CAMPAIGN MASTER'!$AZ$5:$AZ$704,6),'CAMPAIGN MASTER'!$AZ$5:$AZ$704,0))="","",INDEX('CAMPAIGN MASTER'!$T$5:$T$704,MATCH(SMALL('CAMPAIGN MASTER'!$AZ$5:$AZ$704,6),'CAMPAIGN MASTER'!$AZ$5:$AZ$704,0))),"")</f>
        <v/>
      </c>
      <c r="I13" s="50" t="str">
        <f>IFERROR(IF(INDEX('CAMPAIGN MASTER'!$AA$5:$AA$704,MATCH(SMALL('CAMPAIGN MASTER'!$AZ$5:$AZ$704,6),'CAMPAIGN MASTER'!$AZ$5:$AZ$704,0))="","",INDEX('CAMPAIGN MASTER'!$AA$5:$AA$704,MATCH(SMALL('CAMPAIGN MASTER'!$AZ$5:$AZ$704,6),'CAMPAIGN MASTER'!$AZ$5:$AZ$704,0))),"")</f>
        <v/>
      </c>
      <c r="J13" s="50" t="str">
        <f>IFERROR(IF(INDEX('CAMPAIGN MASTER'!$AC$5:$AC$704,MATCH(SMALL('CAMPAIGN MASTER'!$AZ$5:$AZ$704,6),'CAMPAIGN MASTER'!$AZ$5:$AZ$704,0))="","",INDEX('CAMPAIGN MASTER'!$AC$5:$AC$704,MATCH(SMALL('CAMPAIGN MASTER'!$AZ$5:$AZ$704,6),'CAMPAIGN MASTER'!$AZ$5:$AZ$704,0))),"")</f>
        <v/>
      </c>
    </row>
    <row r="14" ht="24" customHeight="1">
      <c r="A14" s="50" t="str">
        <f>IFERROR(IF(INDEX('CAMPAIGN MASTER'!$B$5:$B$704,MATCH(SMALL('CAMPAIGN MASTER'!$AZ$5:$AZ$704,7),'CAMPAIGN MASTER'!$AZ$5:$AZ$704,0))="","",INDEX('CAMPAIGN MASTER'!$B$5:$B$704,MATCH(SMALL('CAMPAIGN MASTER'!$AZ$5:$AZ$704,7),'CAMPAIGN MASTER'!$AZ$5:$AZ$704,0))),"")</f>
        <v/>
      </c>
      <c r="B14" s="50" t="str">
        <f>IFERROR(IF(INDEX('CAMPAIGN MASTER'!$D$5:$D$704,MATCH(SMALL('CAMPAIGN MASTER'!$AZ$5:$AZ$704,7),'CAMPAIGN MASTER'!$AZ$5:$AZ$704,0))="","",INDEX('CAMPAIGN MASTER'!$D$5:$D$704,MATCH(SMALL('CAMPAIGN MASTER'!$AZ$5:$AZ$704,7),'CAMPAIGN MASTER'!$AZ$5:$AZ$704,0))),"")</f>
        <v/>
      </c>
      <c r="C14" s="50" t="str">
        <f>IFERROR(IF(INDEX('CAMPAIGN MASTER'!$E$5:$E$704,MATCH(SMALL('CAMPAIGN MASTER'!$AZ$5:$AZ$704,7),'CAMPAIGN MASTER'!$AZ$5:$AZ$704,0))="","",INDEX('CAMPAIGN MASTER'!$E$5:$E$704,MATCH(SMALL('CAMPAIGN MASTER'!$AZ$5:$AZ$704,7),'CAMPAIGN MASTER'!$AZ$5:$AZ$704,0))),"")</f>
        <v/>
      </c>
      <c r="D14" s="50" t="str">
        <f>IFERROR(IF(INDEX('CAMPAIGN MASTER'!$H$5:$H$704,MATCH(SMALL('CAMPAIGN MASTER'!$AZ$5:$AZ$704,7),'CAMPAIGN MASTER'!$AZ$5:$AZ$704,0))="","",INDEX('CAMPAIGN MASTER'!$H$5:$H$704,MATCH(SMALL('CAMPAIGN MASTER'!$AZ$5:$AZ$704,7),'CAMPAIGN MASTER'!$AZ$5:$AZ$704,0))),"")</f>
        <v/>
      </c>
      <c r="E14" s="50" t="str">
        <f>IFERROR(IF(INDEX('CAMPAIGN MASTER'!$N$5:$N$704,MATCH(SMALL('CAMPAIGN MASTER'!$AZ$5:$AZ$704,7),'CAMPAIGN MASTER'!$AZ$5:$AZ$704,0))="","",INDEX('CAMPAIGN MASTER'!$N$5:$N$704,MATCH(SMALL('CAMPAIGN MASTER'!$AZ$5:$AZ$704,7),'CAMPAIGN MASTER'!$AZ$5:$AZ$704,0))),"")</f>
        <v/>
      </c>
      <c r="F14" s="50" t="str">
        <f>IFERROR(IF(INDEX('CAMPAIGN MASTER'!$I$5:$I$704,MATCH(SMALL('CAMPAIGN MASTER'!$AZ$5:$AZ$704,7),'CAMPAIGN MASTER'!$AZ$5:$AZ$704,0))="","",INDEX('CAMPAIGN MASTER'!$I$5:$I$704,MATCH(SMALL('CAMPAIGN MASTER'!$AZ$5:$AZ$704,7),'CAMPAIGN MASTER'!$AZ$5:$AZ$704,0))),"")</f>
        <v/>
      </c>
      <c r="G14" s="95" t="str">
        <f>IFERROR(IF(INDEX('CAMPAIGN MASTER'!$R$5:$R$704,MATCH(SMALL('CAMPAIGN MASTER'!$AZ$5:$AZ$704,7),'CAMPAIGN MASTER'!$AZ$5:$AZ$704,0))="","",INDEX('CAMPAIGN MASTER'!$R$5:$R$704,MATCH(SMALL('CAMPAIGN MASTER'!$AZ$5:$AZ$704,7),'CAMPAIGN MASTER'!$AZ$5:$AZ$704,0))),"")</f>
        <v/>
      </c>
      <c r="H14" s="95" t="str">
        <f>IFERROR(IF(INDEX('CAMPAIGN MASTER'!$T$5:$T$704,MATCH(SMALL('CAMPAIGN MASTER'!$AZ$5:$AZ$704,7),'CAMPAIGN MASTER'!$AZ$5:$AZ$704,0))="","",INDEX('CAMPAIGN MASTER'!$T$5:$T$704,MATCH(SMALL('CAMPAIGN MASTER'!$AZ$5:$AZ$704,7),'CAMPAIGN MASTER'!$AZ$5:$AZ$704,0))),"")</f>
        <v/>
      </c>
      <c r="I14" s="50" t="str">
        <f>IFERROR(IF(INDEX('CAMPAIGN MASTER'!$AA$5:$AA$704,MATCH(SMALL('CAMPAIGN MASTER'!$AZ$5:$AZ$704,7),'CAMPAIGN MASTER'!$AZ$5:$AZ$704,0))="","",INDEX('CAMPAIGN MASTER'!$AA$5:$AA$704,MATCH(SMALL('CAMPAIGN MASTER'!$AZ$5:$AZ$704,7),'CAMPAIGN MASTER'!$AZ$5:$AZ$704,0))),"")</f>
        <v/>
      </c>
      <c r="J14" s="50" t="str">
        <f>IFERROR(IF(INDEX('CAMPAIGN MASTER'!$AC$5:$AC$704,MATCH(SMALL('CAMPAIGN MASTER'!$AZ$5:$AZ$704,7),'CAMPAIGN MASTER'!$AZ$5:$AZ$704,0))="","",INDEX('CAMPAIGN MASTER'!$AC$5:$AC$704,MATCH(SMALL('CAMPAIGN MASTER'!$AZ$5:$AZ$704,7),'CAMPAIGN MASTER'!$AZ$5:$AZ$704,0))),"")</f>
        <v/>
      </c>
    </row>
    <row r="15" ht="24" customHeight="1">
      <c r="A15" s="50" t="str">
        <f>IFERROR(IF(INDEX('CAMPAIGN MASTER'!$B$5:$B$704,MATCH(SMALL('CAMPAIGN MASTER'!$AZ$5:$AZ$704,8),'CAMPAIGN MASTER'!$AZ$5:$AZ$704,0))="","",INDEX('CAMPAIGN MASTER'!$B$5:$B$704,MATCH(SMALL('CAMPAIGN MASTER'!$AZ$5:$AZ$704,8),'CAMPAIGN MASTER'!$AZ$5:$AZ$704,0))),"")</f>
        <v/>
      </c>
      <c r="B15" s="50" t="str">
        <f>IFERROR(IF(INDEX('CAMPAIGN MASTER'!$D$5:$D$704,MATCH(SMALL('CAMPAIGN MASTER'!$AZ$5:$AZ$704,8),'CAMPAIGN MASTER'!$AZ$5:$AZ$704,0))="","",INDEX('CAMPAIGN MASTER'!$D$5:$D$704,MATCH(SMALL('CAMPAIGN MASTER'!$AZ$5:$AZ$704,8),'CAMPAIGN MASTER'!$AZ$5:$AZ$704,0))),"")</f>
        <v/>
      </c>
      <c r="C15" s="50" t="str">
        <f>IFERROR(IF(INDEX('CAMPAIGN MASTER'!$E$5:$E$704,MATCH(SMALL('CAMPAIGN MASTER'!$AZ$5:$AZ$704,8),'CAMPAIGN MASTER'!$AZ$5:$AZ$704,0))="","",INDEX('CAMPAIGN MASTER'!$E$5:$E$704,MATCH(SMALL('CAMPAIGN MASTER'!$AZ$5:$AZ$704,8),'CAMPAIGN MASTER'!$AZ$5:$AZ$704,0))),"")</f>
        <v/>
      </c>
      <c r="D15" s="50" t="str">
        <f>IFERROR(IF(INDEX('CAMPAIGN MASTER'!$H$5:$H$704,MATCH(SMALL('CAMPAIGN MASTER'!$AZ$5:$AZ$704,8),'CAMPAIGN MASTER'!$AZ$5:$AZ$704,0))="","",INDEX('CAMPAIGN MASTER'!$H$5:$H$704,MATCH(SMALL('CAMPAIGN MASTER'!$AZ$5:$AZ$704,8),'CAMPAIGN MASTER'!$AZ$5:$AZ$704,0))),"")</f>
        <v/>
      </c>
      <c r="E15" s="50" t="str">
        <f>IFERROR(IF(INDEX('CAMPAIGN MASTER'!$N$5:$N$704,MATCH(SMALL('CAMPAIGN MASTER'!$AZ$5:$AZ$704,8),'CAMPAIGN MASTER'!$AZ$5:$AZ$704,0))="","",INDEX('CAMPAIGN MASTER'!$N$5:$N$704,MATCH(SMALL('CAMPAIGN MASTER'!$AZ$5:$AZ$704,8),'CAMPAIGN MASTER'!$AZ$5:$AZ$704,0))),"")</f>
        <v/>
      </c>
      <c r="F15" s="50" t="str">
        <f>IFERROR(IF(INDEX('CAMPAIGN MASTER'!$I$5:$I$704,MATCH(SMALL('CAMPAIGN MASTER'!$AZ$5:$AZ$704,8),'CAMPAIGN MASTER'!$AZ$5:$AZ$704,0))="","",INDEX('CAMPAIGN MASTER'!$I$5:$I$704,MATCH(SMALL('CAMPAIGN MASTER'!$AZ$5:$AZ$704,8),'CAMPAIGN MASTER'!$AZ$5:$AZ$704,0))),"")</f>
        <v/>
      </c>
      <c r="G15" s="95" t="str">
        <f>IFERROR(IF(INDEX('CAMPAIGN MASTER'!$R$5:$R$704,MATCH(SMALL('CAMPAIGN MASTER'!$AZ$5:$AZ$704,8),'CAMPAIGN MASTER'!$AZ$5:$AZ$704,0))="","",INDEX('CAMPAIGN MASTER'!$R$5:$R$704,MATCH(SMALL('CAMPAIGN MASTER'!$AZ$5:$AZ$704,8),'CAMPAIGN MASTER'!$AZ$5:$AZ$704,0))),"")</f>
        <v/>
      </c>
      <c r="H15" s="95" t="str">
        <f>IFERROR(IF(INDEX('CAMPAIGN MASTER'!$T$5:$T$704,MATCH(SMALL('CAMPAIGN MASTER'!$AZ$5:$AZ$704,8),'CAMPAIGN MASTER'!$AZ$5:$AZ$704,0))="","",INDEX('CAMPAIGN MASTER'!$T$5:$T$704,MATCH(SMALL('CAMPAIGN MASTER'!$AZ$5:$AZ$704,8),'CAMPAIGN MASTER'!$AZ$5:$AZ$704,0))),"")</f>
        <v/>
      </c>
      <c r="I15" s="50" t="str">
        <f>IFERROR(IF(INDEX('CAMPAIGN MASTER'!$AA$5:$AA$704,MATCH(SMALL('CAMPAIGN MASTER'!$AZ$5:$AZ$704,8),'CAMPAIGN MASTER'!$AZ$5:$AZ$704,0))="","",INDEX('CAMPAIGN MASTER'!$AA$5:$AA$704,MATCH(SMALL('CAMPAIGN MASTER'!$AZ$5:$AZ$704,8),'CAMPAIGN MASTER'!$AZ$5:$AZ$704,0))),"")</f>
        <v/>
      </c>
      <c r="J15" s="50" t="str">
        <f>IFERROR(IF(INDEX('CAMPAIGN MASTER'!$AC$5:$AC$704,MATCH(SMALL('CAMPAIGN MASTER'!$AZ$5:$AZ$704,8),'CAMPAIGN MASTER'!$AZ$5:$AZ$704,0))="","",INDEX('CAMPAIGN MASTER'!$AC$5:$AC$704,MATCH(SMALL('CAMPAIGN MASTER'!$AZ$5:$AZ$704,8),'CAMPAIGN MASTER'!$AZ$5:$AZ$704,0))),"")</f>
        <v/>
      </c>
    </row>
    <row r="16" ht="24" customHeight="1">
      <c r="A16" s="50" t="str">
        <f>IFERROR(IF(INDEX('CAMPAIGN MASTER'!$B$5:$B$704,MATCH(SMALL('CAMPAIGN MASTER'!$AZ$5:$AZ$704,9),'CAMPAIGN MASTER'!$AZ$5:$AZ$704,0))="","",INDEX('CAMPAIGN MASTER'!$B$5:$B$704,MATCH(SMALL('CAMPAIGN MASTER'!$AZ$5:$AZ$704,9),'CAMPAIGN MASTER'!$AZ$5:$AZ$704,0))),"")</f>
        <v/>
      </c>
      <c r="B16" s="50" t="str">
        <f>IFERROR(IF(INDEX('CAMPAIGN MASTER'!$D$5:$D$704,MATCH(SMALL('CAMPAIGN MASTER'!$AZ$5:$AZ$704,9),'CAMPAIGN MASTER'!$AZ$5:$AZ$704,0))="","",INDEX('CAMPAIGN MASTER'!$D$5:$D$704,MATCH(SMALL('CAMPAIGN MASTER'!$AZ$5:$AZ$704,9),'CAMPAIGN MASTER'!$AZ$5:$AZ$704,0))),"")</f>
        <v/>
      </c>
      <c r="C16" s="50" t="str">
        <f>IFERROR(IF(INDEX('CAMPAIGN MASTER'!$E$5:$E$704,MATCH(SMALL('CAMPAIGN MASTER'!$AZ$5:$AZ$704,9),'CAMPAIGN MASTER'!$AZ$5:$AZ$704,0))="","",INDEX('CAMPAIGN MASTER'!$E$5:$E$704,MATCH(SMALL('CAMPAIGN MASTER'!$AZ$5:$AZ$704,9),'CAMPAIGN MASTER'!$AZ$5:$AZ$704,0))),"")</f>
        <v/>
      </c>
      <c r="D16" s="50" t="str">
        <f>IFERROR(IF(INDEX('CAMPAIGN MASTER'!$H$5:$H$704,MATCH(SMALL('CAMPAIGN MASTER'!$AZ$5:$AZ$704,9),'CAMPAIGN MASTER'!$AZ$5:$AZ$704,0))="","",INDEX('CAMPAIGN MASTER'!$H$5:$H$704,MATCH(SMALL('CAMPAIGN MASTER'!$AZ$5:$AZ$704,9),'CAMPAIGN MASTER'!$AZ$5:$AZ$704,0))),"")</f>
        <v/>
      </c>
      <c r="E16" s="50" t="str">
        <f>IFERROR(IF(INDEX('CAMPAIGN MASTER'!$N$5:$N$704,MATCH(SMALL('CAMPAIGN MASTER'!$AZ$5:$AZ$704,9),'CAMPAIGN MASTER'!$AZ$5:$AZ$704,0))="","",INDEX('CAMPAIGN MASTER'!$N$5:$N$704,MATCH(SMALL('CAMPAIGN MASTER'!$AZ$5:$AZ$704,9),'CAMPAIGN MASTER'!$AZ$5:$AZ$704,0))),"")</f>
        <v/>
      </c>
      <c r="F16" s="50" t="str">
        <f>IFERROR(IF(INDEX('CAMPAIGN MASTER'!$I$5:$I$704,MATCH(SMALL('CAMPAIGN MASTER'!$AZ$5:$AZ$704,9),'CAMPAIGN MASTER'!$AZ$5:$AZ$704,0))="","",INDEX('CAMPAIGN MASTER'!$I$5:$I$704,MATCH(SMALL('CAMPAIGN MASTER'!$AZ$5:$AZ$704,9),'CAMPAIGN MASTER'!$AZ$5:$AZ$704,0))),"")</f>
        <v/>
      </c>
      <c r="G16" s="95" t="str">
        <f>IFERROR(IF(INDEX('CAMPAIGN MASTER'!$R$5:$R$704,MATCH(SMALL('CAMPAIGN MASTER'!$AZ$5:$AZ$704,9),'CAMPAIGN MASTER'!$AZ$5:$AZ$704,0))="","",INDEX('CAMPAIGN MASTER'!$R$5:$R$704,MATCH(SMALL('CAMPAIGN MASTER'!$AZ$5:$AZ$704,9),'CAMPAIGN MASTER'!$AZ$5:$AZ$704,0))),"")</f>
        <v/>
      </c>
      <c r="H16" s="95" t="str">
        <f>IFERROR(IF(INDEX('CAMPAIGN MASTER'!$T$5:$T$704,MATCH(SMALL('CAMPAIGN MASTER'!$AZ$5:$AZ$704,9),'CAMPAIGN MASTER'!$AZ$5:$AZ$704,0))="","",INDEX('CAMPAIGN MASTER'!$T$5:$T$704,MATCH(SMALL('CAMPAIGN MASTER'!$AZ$5:$AZ$704,9),'CAMPAIGN MASTER'!$AZ$5:$AZ$704,0))),"")</f>
        <v/>
      </c>
      <c r="I16" s="50" t="str">
        <f>IFERROR(IF(INDEX('CAMPAIGN MASTER'!$AA$5:$AA$704,MATCH(SMALL('CAMPAIGN MASTER'!$AZ$5:$AZ$704,9),'CAMPAIGN MASTER'!$AZ$5:$AZ$704,0))="","",INDEX('CAMPAIGN MASTER'!$AA$5:$AA$704,MATCH(SMALL('CAMPAIGN MASTER'!$AZ$5:$AZ$704,9),'CAMPAIGN MASTER'!$AZ$5:$AZ$704,0))),"")</f>
        <v/>
      </c>
      <c r="J16" s="50" t="str">
        <f>IFERROR(IF(INDEX('CAMPAIGN MASTER'!$AC$5:$AC$704,MATCH(SMALL('CAMPAIGN MASTER'!$AZ$5:$AZ$704,9),'CAMPAIGN MASTER'!$AZ$5:$AZ$704,0))="","",INDEX('CAMPAIGN MASTER'!$AC$5:$AC$704,MATCH(SMALL('CAMPAIGN MASTER'!$AZ$5:$AZ$704,9),'CAMPAIGN MASTER'!$AZ$5:$AZ$704,0))),"")</f>
        <v/>
      </c>
    </row>
    <row r="17" ht="24" customHeight="1">
      <c r="A17" s="50" t="str">
        <f>IFERROR(IF(INDEX('CAMPAIGN MASTER'!$B$5:$B$704,MATCH(SMALL('CAMPAIGN MASTER'!$AZ$5:$AZ$704,10),'CAMPAIGN MASTER'!$AZ$5:$AZ$704,0))="","",INDEX('CAMPAIGN MASTER'!$B$5:$B$704,MATCH(SMALL('CAMPAIGN MASTER'!$AZ$5:$AZ$704,10),'CAMPAIGN MASTER'!$AZ$5:$AZ$704,0))),"")</f>
        <v/>
      </c>
      <c r="B17" s="50" t="str">
        <f>IFERROR(IF(INDEX('CAMPAIGN MASTER'!$D$5:$D$704,MATCH(SMALL('CAMPAIGN MASTER'!$AZ$5:$AZ$704,10),'CAMPAIGN MASTER'!$AZ$5:$AZ$704,0))="","",INDEX('CAMPAIGN MASTER'!$D$5:$D$704,MATCH(SMALL('CAMPAIGN MASTER'!$AZ$5:$AZ$704,10),'CAMPAIGN MASTER'!$AZ$5:$AZ$704,0))),"")</f>
        <v/>
      </c>
      <c r="C17" s="50" t="str">
        <f>IFERROR(IF(INDEX('CAMPAIGN MASTER'!$E$5:$E$704,MATCH(SMALL('CAMPAIGN MASTER'!$AZ$5:$AZ$704,10),'CAMPAIGN MASTER'!$AZ$5:$AZ$704,0))="","",INDEX('CAMPAIGN MASTER'!$E$5:$E$704,MATCH(SMALL('CAMPAIGN MASTER'!$AZ$5:$AZ$704,10),'CAMPAIGN MASTER'!$AZ$5:$AZ$704,0))),"")</f>
        <v/>
      </c>
      <c r="D17" s="50" t="str">
        <f>IFERROR(IF(INDEX('CAMPAIGN MASTER'!$H$5:$H$704,MATCH(SMALL('CAMPAIGN MASTER'!$AZ$5:$AZ$704,10),'CAMPAIGN MASTER'!$AZ$5:$AZ$704,0))="","",INDEX('CAMPAIGN MASTER'!$H$5:$H$704,MATCH(SMALL('CAMPAIGN MASTER'!$AZ$5:$AZ$704,10),'CAMPAIGN MASTER'!$AZ$5:$AZ$704,0))),"")</f>
        <v/>
      </c>
      <c r="E17" s="50" t="str">
        <f>IFERROR(IF(INDEX('CAMPAIGN MASTER'!$N$5:$N$704,MATCH(SMALL('CAMPAIGN MASTER'!$AZ$5:$AZ$704,10),'CAMPAIGN MASTER'!$AZ$5:$AZ$704,0))="","",INDEX('CAMPAIGN MASTER'!$N$5:$N$704,MATCH(SMALL('CAMPAIGN MASTER'!$AZ$5:$AZ$704,10),'CAMPAIGN MASTER'!$AZ$5:$AZ$704,0))),"")</f>
        <v/>
      </c>
      <c r="F17" s="50" t="str">
        <f>IFERROR(IF(INDEX('CAMPAIGN MASTER'!$I$5:$I$704,MATCH(SMALL('CAMPAIGN MASTER'!$AZ$5:$AZ$704,10),'CAMPAIGN MASTER'!$AZ$5:$AZ$704,0))="","",INDEX('CAMPAIGN MASTER'!$I$5:$I$704,MATCH(SMALL('CAMPAIGN MASTER'!$AZ$5:$AZ$704,10),'CAMPAIGN MASTER'!$AZ$5:$AZ$704,0))),"")</f>
        <v/>
      </c>
      <c r="G17" s="95" t="str">
        <f>IFERROR(IF(INDEX('CAMPAIGN MASTER'!$R$5:$R$704,MATCH(SMALL('CAMPAIGN MASTER'!$AZ$5:$AZ$704,10),'CAMPAIGN MASTER'!$AZ$5:$AZ$704,0))="","",INDEX('CAMPAIGN MASTER'!$R$5:$R$704,MATCH(SMALL('CAMPAIGN MASTER'!$AZ$5:$AZ$704,10),'CAMPAIGN MASTER'!$AZ$5:$AZ$704,0))),"")</f>
        <v/>
      </c>
      <c r="H17" s="95" t="str">
        <f>IFERROR(IF(INDEX('CAMPAIGN MASTER'!$T$5:$T$704,MATCH(SMALL('CAMPAIGN MASTER'!$AZ$5:$AZ$704,10),'CAMPAIGN MASTER'!$AZ$5:$AZ$704,0))="","",INDEX('CAMPAIGN MASTER'!$T$5:$T$704,MATCH(SMALL('CAMPAIGN MASTER'!$AZ$5:$AZ$704,10),'CAMPAIGN MASTER'!$AZ$5:$AZ$704,0))),"")</f>
        <v/>
      </c>
      <c r="I17" s="50" t="str">
        <f>IFERROR(IF(INDEX('CAMPAIGN MASTER'!$AA$5:$AA$704,MATCH(SMALL('CAMPAIGN MASTER'!$AZ$5:$AZ$704,10),'CAMPAIGN MASTER'!$AZ$5:$AZ$704,0))="","",INDEX('CAMPAIGN MASTER'!$AA$5:$AA$704,MATCH(SMALL('CAMPAIGN MASTER'!$AZ$5:$AZ$704,10),'CAMPAIGN MASTER'!$AZ$5:$AZ$704,0))),"")</f>
        <v/>
      </c>
      <c r="J17" s="50" t="str">
        <f>IFERROR(IF(INDEX('CAMPAIGN MASTER'!$AC$5:$AC$704,MATCH(SMALL('CAMPAIGN MASTER'!$AZ$5:$AZ$704,10),'CAMPAIGN MASTER'!$AZ$5:$AZ$704,0))="","",INDEX('CAMPAIGN MASTER'!$AC$5:$AC$704,MATCH(SMALL('CAMPAIGN MASTER'!$AZ$5:$AZ$704,10),'CAMPAIGN MASTER'!$AZ$5:$AZ$704,0))),"")</f>
        <v/>
      </c>
    </row>
    <row r="19" ht="22" customHeight="1">
      <c r="A19" s="3" t="inlineStr">
        <is>
          <t>2. FUNNEL - TCL vs MECCA</t>
        </is>
      </c>
      <c r="B19" s="2" t="n"/>
      <c r="C19" s="2" t="n"/>
      <c r="D19" s="2" t="n"/>
    </row>
    <row r="20">
      <c r="A20" s="38" t="inlineStr">
        <is>
          <t>Metric</t>
        </is>
      </c>
      <c r="B20" s="38" t="inlineStr">
        <is>
          <t>TCL</t>
        </is>
      </c>
      <c r="C20" s="38" t="inlineStr">
        <is>
          <t>MECCA</t>
        </is>
      </c>
      <c r="D20" s="38" t="inlineStr">
        <is>
          <t>Combined</t>
        </is>
      </c>
    </row>
    <row r="21">
      <c r="A21" s="40" t="inlineStr">
        <is>
          <t>Accounts targeted</t>
        </is>
      </c>
      <c r="B21" s="96">
        <f>SUMIFS('CAMPAIGN MASTER'!$AE$5:$AE$704,'CAMPAIGN MASTER'!$A$5:$A$704,TCL_Client)</f>
        <v>0</v>
      </c>
      <c r="C21" s="96">
        <f>SUMIFS('CAMPAIGN MASTER'!$AE$5:$AE$704,'CAMPAIGN MASTER'!$A$5:$A$704,MECCA_Client)</f>
        <v>0</v>
      </c>
      <c r="D21" s="46">
        <f>B21+C21</f>
        <v>0</v>
      </c>
    </row>
    <row r="22">
      <c r="A22" s="40" t="inlineStr">
        <is>
          <t>Contacts reached</t>
        </is>
      </c>
      <c r="B22" s="96">
        <f>SUMIFS('CAMPAIGN MASTER'!$AF$5:$AF$704,'CAMPAIGN MASTER'!$A$5:$A$704,TCL_Client)</f>
        <v>0</v>
      </c>
      <c r="C22" s="96">
        <f>SUMIFS('CAMPAIGN MASTER'!$AF$5:$AF$704,'CAMPAIGN MASTER'!$A$5:$A$704,MECCA_Client)</f>
        <v>0</v>
      </c>
      <c r="D22" s="46">
        <f>B22+C22</f>
        <v>0</v>
      </c>
    </row>
    <row r="23">
      <c r="A23" s="40" t="inlineStr">
        <is>
          <t>Emails sent</t>
        </is>
      </c>
      <c r="B23" s="96">
        <f>SUMIFS('EMAIL MARKETING'!$F$5:$F$804,'EMAIL MARKETING'!$B$5:$B$804,TCL_Client)</f>
        <v>0</v>
      </c>
      <c r="C23" s="96">
        <f>SUMIFS('EMAIL MARKETING'!$F$5:$F$804,'EMAIL MARKETING'!$B$5:$B$804,MECCA_Client)</f>
        <v>0</v>
      </c>
      <c r="D23" s="46">
        <f>B23+C23</f>
        <v>0</v>
      </c>
    </row>
    <row r="24">
      <c r="A24" s="40" t="inlineStr">
        <is>
          <t>LinkedIn outreach (requests + messages)</t>
        </is>
      </c>
      <c r="B24" s="96">
        <f>(SUMIFS('LINKEDIN OUTREACH'!$E$5:$E$704,'LINKEDIN OUTREACH'!$B$5:$B$704,TCL_Client)+SUMIFS('LINKEDIN OUTREACH'!$H$5:$H$704,'LINKEDIN OUTREACH'!$B$5:$B$704,TCL_Client))</f>
        <v>0</v>
      </c>
      <c r="C24" s="96">
        <f>(SUMIFS('LINKEDIN OUTREACH'!$E$5:$E$704,'LINKEDIN OUTREACH'!$B$5:$B$704,MECCA_Client)+SUMIFS('LINKEDIN OUTREACH'!$H$5:$H$704,'LINKEDIN OUTREACH'!$B$5:$B$704,MECCA_Client))</f>
        <v>0</v>
      </c>
      <c r="D24" s="46">
        <f>B24+C24</f>
        <v>0</v>
      </c>
    </row>
    <row r="25">
      <c r="A25" s="40" t="inlineStr">
        <is>
          <t>Engagement (clicks + replies + accepts)</t>
        </is>
      </c>
      <c r="B25" s="96">
        <f>(SUMIFS('EMAIL MARKETING'!$K$5:$K$804,'EMAIL MARKETING'!$B$5:$B$804,TCL_Client)+SUMIFS('EMAIL MARKETING'!$M$5:$M$804,'EMAIL MARKETING'!$B$5:$B$804,TCL_Client)+SUMIFS('LINKEDIN OUTREACH'!$I$5:$I$704,'LINKEDIN OUTREACH'!$B$5:$B$704,TCL_Client)+SUMIFS('LINKEDIN OUTREACH'!$F$5:$F$704,'LINKEDIN OUTREACH'!$B$5:$B$704,TCL_Client))</f>
        <v>0</v>
      </c>
      <c r="C25" s="96">
        <f>(SUMIFS('EMAIL MARKETING'!$K$5:$K$804,'EMAIL MARKETING'!$B$5:$B$804,MECCA_Client)+SUMIFS('EMAIL MARKETING'!$M$5:$M$804,'EMAIL MARKETING'!$B$5:$B$804,MECCA_Client)+SUMIFS('LINKEDIN OUTREACH'!$I$5:$I$704,'LINKEDIN OUTREACH'!$B$5:$B$704,MECCA_Client)+SUMIFS('LINKEDIN OUTREACH'!$F$5:$F$704,'LINKEDIN OUTREACH'!$B$5:$B$704,MECCA_Client))</f>
        <v>0</v>
      </c>
      <c r="D25" s="46">
        <f>B25+C25</f>
        <v>0</v>
      </c>
    </row>
    <row r="26">
      <c r="A26" s="40" t="inlineStr">
        <is>
          <t>Digital handraisers</t>
        </is>
      </c>
      <c r="B26" s="96">
        <f>(COUNTIFS('LEAD MQL TRACKER'!$B$5:$B$1004,TCL_Client,'LEAD MQL TRACKER'!$AC$5:$AC$1004,1)+SUMIFS('LINKEDIN OUTREACH'!$M$5:$M$704,'LINKEDIN OUTREACH'!$B$5:$B$704,TCL_Client))</f>
        <v>0</v>
      </c>
      <c r="C26" s="96">
        <f>(COUNTIFS('LEAD MQL TRACKER'!$B$5:$B$1004,MECCA_Client,'LEAD MQL TRACKER'!$AC$5:$AC$1004,1)+SUMIFS('LINKEDIN OUTREACH'!$M$5:$M$704,'LINKEDIN OUTREACH'!$B$5:$B$704,MECCA_Client))</f>
        <v>0</v>
      </c>
      <c r="D26" s="46">
        <f>B26+C26</f>
        <v>0</v>
      </c>
    </row>
    <row r="27">
      <c r="A27" s="40" t="inlineStr">
        <is>
          <t>Leads</t>
        </is>
      </c>
      <c r="B27" s="96">
        <f>(COUNTIFS('LEAD MQL TRACKER'!$B$5:$B$1004,TCL_Client,'LEAD MQL TRACKER'!$AB$5:$AB$1004,1)+SUMIFS('EMAIL MARKETING'!$Q$5:$Q$804,'EMAIL MARKETING'!$B$5:$B$804,TCL_Client)+SUMIFS('PAID MEDIA ADS'!$M$5:$M$804,'PAID MEDIA ADS'!$B$5:$B$804,TCL_Client)+SUMIFS('LINKEDIN OUTREACH'!$N$5:$N$704,'LINKEDIN OUTREACH'!$B$5:$B$704,TCL_Client)+SUMIFS('WEBSITE CONTENT SEO'!$L$5:$L$804,'WEBSITE CONTENT SEO'!$B$5:$B$804,TCL_Client))</f>
        <v>0</v>
      </c>
      <c r="C27" s="96">
        <f>(COUNTIFS('LEAD MQL TRACKER'!$B$5:$B$1004,MECCA_Client,'LEAD MQL TRACKER'!$AB$5:$AB$1004,1)+SUMIFS('EMAIL MARKETING'!$Q$5:$Q$804,'EMAIL MARKETING'!$B$5:$B$804,MECCA_Client)+SUMIFS('PAID MEDIA ADS'!$M$5:$M$804,'PAID MEDIA ADS'!$B$5:$B$804,MECCA_Client)+SUMIFS('LINKEDIN OUTREACH'!$N$5:$N$704,'LINKEDIN OUTREACH'!$B$5:$B$704,MECCA_Client)+SUMIFS('WEBSITE CONTENT SEO'!$L$5:$L$804,'WEBSITE CONTENT SEO'!$B$5:$B$804,MECCA_Client))</f>
        <v>0</v>
      </c>
      <c r="D27" s="46">
        <f>B27+C27</f>
        <v>0</v>
      </c>
    </row>
    <row r="28">
      <c r="A28" s="40" t="inlineStr">
        <is>
          <t>MQLs</t>
        </is>
      </c>
      <c r="B28" s="96">
        <f>(COUNTIFS('LEAD MQL TRACKER'!$B$5:$B$1004,TCL_Client,'LEAD MQL TRACKER'!$AD$5:$AD$1004,1)+SUMIFS('EMAIL MARKETING'!$R$5:$R$804,'EMAIL MARKETING'!$B$5:$B$804,TCL_Client)+SUMIFS('PAID MEDIA ADS'!$N$5:$N$804,'PAID MEDIA ADS'!$B$5:$B$804,TCL_Client)+SUMIFS('LINKEDIN OUTREACH'!$O$5:$O$704,'LINKEDIN OUTREACH'!$B$5:$B$704,TCL_Client))</f>
        <v>0</v>
      </c>
      <c r="C28" s="96">
        <f>(COUNTIFS('LEAD MQL TRACKER'!$B$5:$B$1004,MECCA_Client,'LEAD MQL TRACKER'!$AD$5:$AD$1004,1)+SUMIFS('EMAIL MARKETING'!$R$5:$R$804,'EMAIL MARKETING'!$B$5:$B$804,MECCA_Client)+SUMIFS('PAID MEDIA ADS'!$N$5:$N$804,'PAID MEDIA ADS'!$B$5:$B$804,MECCA_Client)+SUMIFS('LINKEDIN OUTREACH'!$O$5:$O$704,'LINKEDIN OUTREACH'!$B$5:$B$704,MECCA_Client))</f>
        <v>0</v>
      </c>
      <c r="D28" s="46">
        <f>B28+C28</f>
        <v>0</v>
      </c>
    </row>
    <row r="29">
      <c r="A29" s="40" t="inlineStr">
        <is>
          <t>SQLs</t>
        </is>
      </c>
      <c r="B29" s="96">
        <f>COUNTIFS('LEAD MQL TRACKER'!$B$5:$B$1004,TCL_Client,'LEAD MQL TRACKER'!$AE$5:$AE$1004,1)</f>
        <v>0</v>
      </c>
      <c r="C29" s="96">
        <f>COUNTIFS('LEAD MQL TRACKER'!$B$5:$B$1004,MECCA_Client,'LEAD MQL TRACKER'!$AE$5:$AE$1004,1)</f>
        <v>0</v>
      </c>
      <c r="D29" s="46">
        <f>B29+C29</f>
        <v>0</v>
      </c>
    </row>
    <row r="30">
      <c r="A30" s="40" t="inlineStr">
        <is>
          <t>Opportunities</t>
        </is>
      </c>
      <c r="B30" s="96">
        <f>COUNTIFS('LEAD MQL TRACKER'!$B$5:$B$1004,TCL_Client,'LEAD MQL TRACKER'!$AF$5:$AF$1004,1)</f>
        <v>0</v>
      </c>
      <c r="C30" s="96">
        <f>COUNTIFS('LEAD MQL TRACKER'!$B$5:$B$1004,MECCA_Client,'LEAD MQL TRACKER'!$AF$5:$AF$1004,1)</f>
        <v>0</v>
      </c>
      <c r="D30" s="46">
        <f>B30+C30</f>
        <v>0</v>
      </c>
    </row>
    <row r="31">
      <c r="A31" s="40" t="inlineStr">
        <is>
          <t>Converted / Won</t>
        </is>
      </c>
      <c r="B31" s="96">
        <f>COUNTIFS('LEAD MQL TRACKER'!$B$5:$B$1004,TCL_Client,'LEAD MQL TRACKER'!$AG$5:$AG$1004,1)</f>
        <v>0</v>
      </c>
      <c r="C31" s="96">
        <f>COUNTIFS('LEAD MQL TRACKER'!$B$5:$B$1004,MECCA_Client,'LEAD MQL TRACKER'!$AG$5:$AG$1004,1)</f>
        <v>0</v>
      </c>
      <c r="D31" s="46">
        <f>B31+C31</f>
        <v>0</v>
      </c>
    </row>
    <row r="33" ht="22" customHeight="1">
      <c r="A33" s="3" t="inlineStr">
        <is>
          <t>3. PERFORMANCE</t>
        </is>
      </c>
      <c r="B33" s="2" t="n"/>
      <c r="C33" s="2" t="n"/>
      <c r="D33" s="2" t="n"/>
    </row>
    <row r="34">
      <c r="A34" s="38" t="inlineStr">
        <is>
          <t>Metric</t>
        </is>
      </c>
      <c r="B34" s="38" t="inlineStr">
        <is>
          <t>TCL</t>
        </is>
      </c>
      <c r="C34" s="38" t="inlineStr">
        <is>
          <t>MECCA</t>
        </is>
      </c>
      <c r="D34" s="38" t="inlineStr">
        <is>
          <t>Combined</t>
        </is>
      </c>
    </row>
    <row r="35">
      <c r="A35" s="40" t="inlineStr">
        <is>
          <t>Response rate (replies / outreach)</t>
        </is>
      </c>
      <c r="B35" s="43" t="str">
        <f>IFERROR((SUMIFS('EMAIL MARKETING'!$M$5:$M$804,'EMAIL MARKETING'!$B$5:$B$804,TCL_Client)+SUMIFS('LINKEDIN OUTREACH'!$I$5:$I$704,'LINKEDIN OUTREACH'!$B$5:$B$704,TCL_Client))/(SUMIFS('EMAIL MARKETING'!$W$5:$W$804,'EMAIL MARKETING'!$B$5:$B$804,TCL_Client)+SUMIFS('LINKEDIN OUTREACH'!$H$5:$H$704,'LINKEDIN OUTREACH'!$B$5:$B$704,TCL_Client)),"N/A")</f>
        <v>N/A</v>
      </c>
      <c r="C35" s="43" t="str">
        <f>IFERROR((SUMIFS('EMAIL MARKETING'!$M$5:$M$804,'EMAIL MARKETING'!$B$5:$B$804,MECCA_Client)+SUMIFS('LINKEDIN OUTREACH'!$I$5:$I$704,'LINKEDIN OUTREACH'!$B$5:$B$704,MECCA_Client))/(SUMIFS('EMAIL MARKETING'!$W$5:$W$804,'EMAIL MARKETING'!$B$5:$B$804,MECCA_Client)+SUMIFS('LINKEDIN OUTREACH'!$H$5:$H$704,'LINKEDIN OUTREACH'!$B$5:$B$704,MECCA_Client)),"N/A")</f>
        <v>N/A</v>
      </c>
      <c r="D35" s="97" t="str">
        <f>IFERROR(((SUMIFS('EMAIL MARKETING'!$M$5:$M$804,'EMAIL MARKETING'!$B$5:$B$804,TCL_Client)+SUMIFS('LINKEDIN OUTREACH'!$I$5:$I$704,'LINKEDIN OUTREACH'!$B$5:$B$704,TCL_Client))+(SUMIFS('EMAIL MARKETING'!$M$5:$M$804,'EMAIL MARKETING'!$B$5:$B$804,MECCA_Client)+SUMIFS('LINKEDIN OUTREACH'!$I$5:$I$704,'LINKEDIN OUTREACH'!$B$5:$B$704,MECCA_Client)))/((SUMIFS('EMAIL MARKETING'!$W$5:$W$804,'EMAIL MARKETING'!$B$5:$B$804,TCL_Client)+SUMIFS('LINKEDIN OUTREACH'!$H$5:$H$704,'LINKEDIN OUTREACH'!$B$5:$B$704,TCL_Client))+(SUMIFS('EMAIL MARKETING'!$W$5:$W$804,'EMAIL MARKETING'!$B$5:$B$804,MECCA_Client)+SUMIFS('LINKEDIN OUTREACH'!$H$5:$H$704,'LINKEDIN OUTREACH'!$B$5:$B$704,MECCA_Client))),"N/A")</f>
        <v>N/A</v>
      </c>
    </row>
    <row r="36">
      <c r="A36" s="40" t="inlineStr">
        <is>
          <t>Positive response rate</t>
        </is>
      </c>
      <c r="B36" s="43" t="str">
        <f>IFERROR((SUMIFS('EMAIL MARKETING'!$O$5:$O$804,'EMAIL MARKETING'!$B$5:$B$804,TCL_Client)+SUMIFS('LINKEDIN OUTREACH'!$K$5:$K$704,'LINKEDIN OUTREACH'!$B$5:$B$704,TCL_Client))/(SUMIFS('EMAIL MARKETING'!$W$5:$W$804,'EMAIL MARKETING'!$B$5:$B$804,TCL_Client)+SUMIFS('LINKEDIN OUTREACH'!$H$5:$H$704,'LINKEDIN OUTREACH'!$B$5:$B$704,TCL_Client)),"N/A")</f>
        <v>N/A</v>
      </c>
      <c r="C36" s="43" t="str">
        <f>IFERROR((SUMIFS('EMAIL MARKETING'!$O$5:$O$804,'EMAIL MARKETING'!$B$5:$B$804,MECCA_Client)+SUMIFS('LINKEDIN OUTREACH'!$K$5:$K$704,'LINKEDIN OUTREACH'!$B$5:$B$704,MECCA_Client))/(SUMIFS('EMAIL MARKETING'!$W$5:$W$804,'EMAIL MARKETING'!$B$5:$B$804,MECCA_Client)+SUMIFS('LINKEDIN OUTREACH'!$H$5:$H$704,'LINKEDIN OUTREACH'!$B$5:$B$704,MECCA_Client)),"N/A")</f>
        <v>N/A</v>
      </c>
      <c r="D36" s="97" t="str">
        <f>IFERROR(((SUMIFS('EMAIL MARKETING'!$O$5:$O$804,'EMAIL MARKETING'!$B$5:$B$804,TCL_Client)+SUMIFS('LINKEDIN OUTREACH'!$K$5:$K$704,'LINKEDIN OUTREACH'!$B$5:$B$704,TCL_Client))+(SUMIFS('EMAIL MARKETING'!$O$5:$O$804,'EMAIL MARKETING'!$B$5:$B$804,MECCA_Client)+SUMIFS('LINKEDIN OUTREACH'!$K$5:$K$704,'LINKEDIN OUTREACH'!$B$5:$B$704,MECCA_Client)))/((SUMIFS('EMAIL MARKETING'!$W$5:$W$804,'EMAIL MARKETING'!$B$5:$B$804,TCL_Client)+SUMIFS('LINKEDIN OUTREACH'!$H$5:$H$704,'LINKEDIN OUTREACH'!$B$5:$B$704,TCL_Client))+(SUMIFS('EMAIL MARKETING'!$W$5:$W$804,'EMAIL MARKETING'!$B$5:$B$804,MECCA_Client)+SUMIFS('LINKEDIN OUTREACH'!$H$5:$H$704,'LINKEDIN OUTREACH'!$B$5:$B$704,MECCA_Client))),"N/A")</f>
        <v>N/A</v>
      </c>
    </row>
    <row r="37">
      <c r="A37" s="40" t="inlineStr">
        <is>
          <t>Conversion rate (Lead &gt; MQL)</t>
        </is>
      </c>
      <c r="B37" s="43" t="str">
        <f>IFERROR((COUNTIFS('LEAD MQL TRACKER'!$B$5:$B$1004,TCL_Client,'LEAD MQL TRACKER'!$AD$5:$AD$1004,1)+SUMIFS('EMAIL MARKETING'!$R$5:$R$804,'EMAIL MARKETING'!$B$5:$B$804,TCL_Client)+SUMIFS('PAID MEDIA ADS'!$N$5:$N$804,'PAID MEDIA ADS'!$B$5:$B$804,TCL_Client)+SUMIFS('LINKEDIN OUTREACH'!$O$5:$O$704,'LINKEDIN OUTREACH'!$B$5:$B$704,TCL_Client))/(COUNTIFS('LEAD MQL TRACKER'!$B$5:$B$1004,TCL_Client,'LEAD MQL TRACKER'!$AB$5:$AB$1004,1)+SUMIFS('EMAIL MARKETING'!$Q$5:$Q$804,'EMAIL MARKETING'!$B$5:$B$804,TCL_Client)+SUMIFS('PAID MEDIA ADS'!$M$5:$M$804,'PAID MEDIA ADS'!$B$5:$B$804,TCL_Client)+SUMIFS('LINKEDIN OUTREACH'!$N$5:$N$704,'LINKEDIN OUTREACH'!$B$5:$B$704,TCL_Client)+SUMIFS('WEBSITE CONTENT SEO'!$L$5:$L$804,'WEBSITE CONTENT SEO'!$B$5:$B$804,TCL_Client)),"N/A")</f>
        <v>N/A</v>
      </c>
      <c r="C37" s="43" t="str">
        <f>IFERROR((COUNTIFS('LEAD MQL TRACKER'!$B$5:$B$1004,MECCA_Client,'LEAD MQL TRACKER'!$AD$5:$AD$1004,1)+SUMIFS('EMAIL MARKETING'!$R$5:$R$804,'EMAIL MARKETING'!$B$5:$B$804,MECCA_Client)+SUMIFS('PAID MEDIA ADS'!$N$5:$N$804,'PAID MEDIA ADS'!$B$5:$B$804,MECCA_Client)+SUMIFS('LINKEDIN OUTREACH'!$O$5:$O$704,'LINKEDIN OUTREACH'!$B$5:$B$704,MECCA_Client))/(COUNTIFS('LEAD MQL TRACKER'!$B$5:$B$1004,MECCA_Client,'LEAD MQL TRACKER'!$AB$5:$AB$1004,1)+SUMIFS('EMAIL MARKETING'!$Q$5:$Q$804,'EMAIL MARKETING'!$B$5:$B$804,MECCA_Client)+SUMIFS('PAID MEDIA ADS'!$M$5:$M$804,'PAID MEDIA ADS'!$B$5:$B$804,MECCA_Client)+SUMIFS('LINKEDIN OUTREACH'!$N$5:$N$704,'LINKEDIN OUTREACH'!$B$5:$B$704,MECCA_Client)+SUMIFS('WEBSITE CONTENT SEO'!$L$5:$L$804,'WEBSITE CONTENT SEO'!$B$5:$B$804,MECCA_Client)),"N/A")</f>
        <v>N/A</v>
      </c>
      <c r="D37" s="97" t="str">
        <f>IFERROR(((COUNTIFS('LEAD MQL TRACKER'!$B$5:$B$1004,TCL_Client,'LEAD MQL TRACKER'!$AD$5:$AD$1004,1)+SUMIFS('EMAIL MARKETING'!$R$5:$R$804,'EMAIL MARKETING'!$B$5:$B$804,TCL_Client)+SUMIFS('PAID MEDIA ADS'!$N$5:$N$804,'PAID MEDIA ADS'!$B$5:$B$804,TCL_Client)+SUMIFS('LINKEDIN OUTREACH'!$O$5:$O$704,'LINKEDIN OUTREACH'!$B$5:$B$704,TCL_Client))+(COUNTIFS('LEAD MQL TRACKER'!$B$5:$B$1004,MECCA_Client,'LEAD MQL TRACKER'!$AD$5:$AD$1004,1)+SUMIFS('EMAIL MARKETING'!$R$5:$R$804,'EMAIL MARKETING'!$B$5:$B$804,MECCA_Client)+SUMIFS('PAID MEDIA ADS'!$N$5:$N$804,'PAID MEDIA ADS'!$B$5:$B$804,MECCA_Client)+SUMIFS('LINKEDIN OUTREACH'!$O$5:$O$704,'LINKEDIN OUTREACH'!$B$5:$B$704,MECCA_Client)))/((COUNTIFS('LEAD MQL TRACKER'!$B$5:$B$1004,TCL_Client,'LEAD MQL TRACKER'!$AB$5:$AB$1004,1)+SUMIFS('EMAIL MARKETING'!$Q$5:$Q$804,'EMAIL MARKETING'!$B$5:$B$804,TCL_Client)+SUMIFS('PAID MEDIA ADS'!$M$5:$M$804,'PAID MEDIA ADS'!$B$5:$B$804,TCL_Client)+SUMIFS('LINKEDIN OUTREACH'!$N$5:$N$704,'LINKEDIN OUTREACH'!$B$5:$B$704,TCL_Client)+SUMIFS('WEBSITE CONTENT SEO'!$L$5:$L$804,'WEBSITE CONTENT SEO'!$B$5:$B$804,TCL_Client))+(COUNTIFS('LEAD MQL TRACKER'!$B$5:$B$1004,MECCA_Client,'LEAD MQL TRACKER'!$AB$5:$AB$1004,1)+SUMIFS('EMAIL MARKETING'!$Q$5:$Q$804,'EMAIL MARKETING'!$B$5:$B$804,MECCA_Client)+SUMIFS('PAID MEDIA ADS'!$M$5:$M$804,'PAID MEDIA ADS'!$B$5:$B$804,MECCA_Client)+SUMIFS('LINKEDIN OUTREACH'!$N$5:$N$704,'LINKEDIN OUTREACH'!$B$5:$B$704,MECCA_Client)+SUMIFS('WEBSITE CONTENT SEO'!$L$5:$L$804,'WEBSITE CONTENT SEO'!$B$5:$B$804,MECCA_Client))),"N/A")</f>
        <v>N/A</v>
      </c>
    </row>
    <row r="38">
      <c r="A38" s="40" t="inlineStr">
        <is>
          <t>CPL (paid spend / leads)</t>
        </is>
      </c>
      <c r="B38" s="98" t="str">
        <f>IF(SUMIFS('PAID MEDIA ADS'!$G$5:$G$804,'PAID MEDIA ADS'!$B$5:$B$804,TCL_Client)&gt;0,IFERROR(SUMIFS('PAID MEDIA ADS'!$G$5:$G$804,'PAID MEDIA ADS'!$B$5:$B$804,TCL_Client)/(COUNTIFS('LEAD MQL TRACKER'!$B$5:$B$1004,TCL_Client,'LEAD MQL TRACKER'!$AB$5:$AB$1004,1)+SUMIFS('EMAIL MARKETING'!$Q$5:$Q$804,'EMAIL MARKETING'!$B$5:$B$804,TCL_Client)+SUMIFS('PAID MEDIA ADS'!$M$5:$M$804,'PAID MEDIA ADS'!$B$5:$B$804,TCL_Client)+SUMIFS('LINKEDIN OUTREACH'!$N$5:$N$704,'LINKEDIN OUTREACH'!$B$5:$B$704,TCL_Client)+SUMIFS('WEBSITE CONTENT SEO'!$L$5:$L$804,'WEBSITE CONTENT SEO'!$B$5:$B$804,TCL_Client)),"N/A"),"N/A")</f>
        <v>N/A</v>
      </c>
      <c r="C38" s="98" t="str">
        <f>IF(SUMIFS('PAID MEDIA ADS'!$G$5:$G$804,'PAID MEDIA ADS'!$B$5:$B$804,MECCA_Client)&gt;0,IFERROR(SUMIFS('PAID MEDIA ADS'!$G$5:$G$804,'PAID MEDIA ADS'!$B$5:$B$804,MECCA_Client)/(COUNTIFS('LEAD MQL TRACKER'!$B$5:$B$1004,MECCA_Client,'LEAD MQL TRACKER'!$AB$5:$AB$1004,1)+SUMIFS('EMAIL MARKETING'!$Q$5:$Q$804,'EMAIL MARKETING'!$B$5:$B$804,MECCA_Client)+SUMIFS('PAID MEDIA ADS'!$M$5:$M$804,'PAID MEDIA ADS'!$B$5:$B$804,MECCA_Client)+SUMIFS('LINKEDIN OUTREACH'!$N$5:$N$704,'LINKEDIN OUTREACH'!$B$5:$B$704,MECCA_Client)+SUMIFS('WEBSITE CONTENT SEO'!$L$5:$L$804,'WEBSITE CONTENT SEO'!$B$5:$B$804,MECCA_Client)),"N/A"),"N/A")</f>
        <v>N/A</v>
      </c>
      <c r="D38" s="99" t="str">
        <f>IF((SUMIFS('PAID MEDIA ADS'!$G$5:$G$804,'PAID MEDIA ADS'!$B$5:$B$804,TCL_Client)+SUMIFS('PAID MEDIA ADS'!$G$5:$G$804,'PAID MEDIA ADS'!$B$5:$B$804,MECCA_Client))&gt;0,IFERROR((SUMIFS('PAID MEDIA ADS'!$G$5:$G$804,'PAID MEDIA ADS'!$B$5:$B$804,TCL_Client)+SUMIFS('PAID MEDIA ADS'!$G$5:$G$804,'PAID MEDIA ADS'!$B$5:$B$804,MECCA_Client))/((COUNTIFS('LEAD MQL TRACKER'!$B$5:$B$1004,TCL_Client,'LEAD MQL TRACKER'!$AB$5:$AB$1004,1)+SUMIFS('EMAIL MARKETING'!$Q$5:$Q$804,'EMAIL MARKETING'!$B$5:$B$804,TCL_Client)+SUMIFS('PAID MEDIA ADS'!$M$5:$M$804,'PAID MEDIA ADS'!$B$5:$B$804,TCL_Client)+SUMIFS('LINKEDIN OUTREACH'!$N$5:$N$704,'LINKEDIN OUTREACH'!$B$5:$B$704,TCL_Client)+SUMIFS('WEBSITE CONTENT SEO'!$L$5:$L$804,'WEBSITE CONTENT SEO'!$B$5:$B$804,TCL_Client))+(COUNTIFS('LEAD MQL TRACKER'!$B$5:$B$1004,MECCA_Client,'LEAD MQL TRACKER'!$AB$5:$AB$1004,1)+SUMIFS('EMAIL MARKETING'!$Q$5:$Q$804,'EMAIL MARKETING'!$B$5:$B$804,MECCA_Client)+SUMIFS('PAID MEDIA ADS'!$M$5:$M$804,'PAID MEDIA ADS'!$B$5:$B$804,MECCA_Client)+SUMIFS('LINKEDIN OUTREACH'!$N$5:$N$704,'LINKEDIN OUTREACH'!$B$5:$B$704,MECCA_Client)+SUMIFS('WEBSITE CONTENT SEO'!$L$5:$L$804,'WEBSITE CONTENT SEO'!$B$5:$B$804,MECCA_Client))),"N/A"),"N/A")</f>
        <v>N/A</v>
      </c>
    </row>
    <row r="39">
      <c r="A39" s="40" t="inlineStr">
        <is>
          <t>Campaigns live / optimizing</t>
        </is>
      </c>
      <c r="B39" s="96">
        <f>(COUNTIFS('CAMPAIGN MASTER'!$A$5:$A$704,TCL_Client,'CAMPAIGN MASTER'!$AM$5:$AM$704,1))</f>
        <v>0</v>
      </c>
      <c r="C39" s="96">
        <f>(COUNTIFS('CAMPAIGN MASTER'!$A$5:$A$704,MECCA_Client,'CAMPAIGN MASTER'!$AM$5:$AM$704,1))</f>
        <v>0</v>
      </c>
      <c r="D39" s="46">
        <f>B39+C39</f>
        <v>0</v>
      </c>
    </row>
    <row r="40">
      <c r="A40" s="40" t="inlineStr">
        <is>
          <t>Campaigns performing well (Ahead / On Track)</t>
        </is>
      </c>
      <c r="B40" s="96">
        <f>(COUNTIFS('CAMPAIGN MASTER'!$A$5:$A$704,TCL_Client,'CAMPAIGN MASTER'!$AA$5:$AA$704,"Ahead")+COUNTIFS('CAMPAIGN MASTER'!$A$5:$A$704,TCL_Client,'CAMPAIGN MASTER'!$AA$5:$AA$704,"On Track"))</f>
        <v>0</v>
      </c>
      <c r="C40" s="96">
        <f>(COUNTIFS('CAMPAIGN MASTER'!$A$5:$A$704,MECCA_Client,'CAMPAIGN MASTER'!$AA$5:$AA$704,"Ahead")+COUNTIFS('CAMPAIGN MASTER'!$A$5:$A$704,MECCA_Client,'CAMPAIGN MASTER'!$AA$5:$AA$704,"On Track"))</f>
        <v>0</v>
      </c>
      <c r="D40" s="46">
        <f>B40+C40</f>
        <v>0</v>
      </c>
    </row>
    <row r="41">
      <c r="A41" s="40" t="inlineStr">
        <is>
          <t>Campaigns under-performing (Behind / At Risk)</t>
        </is>
      </c>
      <c r="B41" s="96">
        <f>(COUNTIFS('CAMPAIGN MASTER'!$A$5:$A$704,TCL_Client,'CAMPAIGN MASTER'!$AA$5:$AA$704,"Behind")+COUNTIFS('CAMPAIGN MASTER'!$A$5:$A$704,TCL_Client,'CAMPAIGN MASTER'!$AA$5:$AA$704,"At Risk"))</f>
        <v>0</v>
      </c>
      <c r="C41" s="96">
        <f>(COUNTIFS('CAMPAIGN MASTER'!$A$5:$A$704,MECCA_Client,'CAMPAIGN MASTER'!$AA$5:$AA$704,"Behind")+COUNTIFS('CAMPAIGN MASTER'!$A$5:$A$704,MECCA_Client,'CAMPAIGN MASTER'!$AA$5:$AA$704,"At Risk"))</f>
        <v>0</v>
      </c>
      <c r="D41" s="46">
        <f>B41+C41</f>
        <v>0</v>
      </c>
    </row>
    <row r="43" ht="22" customHeight="1">
      <c r="A43" s="3" t="inlineStr">
        <is>
          <t>4. EXECUTION</t>
        </is>
      </c>
      <c r="B43" s="2" t="n"/>
      <c r="C43" s="2" t="n"/>
      <c r="D43" s="2" t="n"/>
    </row>
    <row r="44">
      <c r="A44" s="38" t="inlineStr">
        <is>
          <t>Metric</t>
        </is>
      </c>
      <c r="B44" s="38" t="inlineStr">
        <is>
          <t>TCL</t>
        </is>
      </c>
      <c r="C44" s="38" t="inlineStr">
        <is>
          <t>MECCA</t>
        </is>
      </c>
      <c r="D44" s="38" t="inlineStr">
        <is>
          <t>Combined</t>
        </is>
      </c>
    </row>
    <row r="45">
      <c r="A45" s="40" t="inlineStr">
        <is>
          <t>Total tasks</t>
        </is>
      </c>
      <c r="B45" s="96">
        <f>COUNTIFS('DAILY TASK TRACKER'!$C$5:$C$1504,TCL_Client,'DAILY TASK TRACKER'!$G$5:$G$1504,"&lt;&gt;")</f>
        <v>0</v>
      </c>
      <c r="C45" s="96">
        <f>COUNTIFS('DAILY TASK TRACKER'!$C$5:$C$1504,MECCA_Client,'DAILY TASK TRACKER'!$G$5:$G$1504,"&lt;&gt;")</f>
        <v>0</v>
      </c>
      <c r="D45" s="46">
        <f>B45+C45</f>
        <v>0</v>
      </c>
    </row>
    <row r="46">
      <c r="A46" s="40" t="inlineStr">
        <is>
          <t>Tasks completed</t>
        </is>
      </c>
      <c r="B46" s="96">
        <f>COUNTIFS('DAILY TASK TRACKER'!$C$5:$C$1504,TCL_Client,'DAILY TASK TRACKER'!$M$5:$M$1504,"Completed")</f>
        <v>0</v>
      </c>
      <c r="C46" s="96">
        <f>COUNTIFS('DAILY TASK TRACKER'!$C$5:$C$1504,MECCA_Client,'DAILY TASK TRACKER'!$M$5:$M$1504,"Completed")</f>
        <v>0</v>
      </c>
      <c r="D46" s="46">
        <f>B46+C46</f>
        <v>0</v>
      </c>
    </row>
    <row r="47">
      <c r="A47" s="40" t="inlineStr">
        <is>
          <t>Pending tasks</t>
        </is>
      </c>
      <c r="B47" s="96">
        <f>SUMIFS('DAILY TASK TRACKER'!$AK$5:$AK$1504,'DAILY TASK TRACKER'!$C$5:$C$1504,TCL_Client)</f>
        <v>0</v>
      </c>
      <c r="C47" s="96">
        <f>SUMIFS('DAILY TASK TRACKER'!$AK$5:$AK$1504,'DAILY TASK TRACKER'!$C$5:$C$1504,MECCA_Client)</f>
        <v>0</v>
      </c>
      <c r="D47" s="46">
        <f>B47+C47</f>
        <v>0</v>
      </c>
    </row>
    <row r="48">
      <c r="A48" s="40" t="inlineStr">
        <is>
          <t>Overdue tasks</t>
        </is>
      </c>
      <c r="B48" s="96">
        <f>SUMIFS('DAILY TASK TRACKER'!$AL$5:$AL$1504,'DAILY TASK TRACKER'!$C$5:$C$1504,TCL_Client)</f>
        <v>0</v>
      </c>
      <c r="C48" s="96">
        <f>SUMIFS('DAILY TASK TRACKER'!$AL$5:$AL$1504,'DAILY TASK TRACKER'!$C$5:$C$1504,MECCA_Client)</f>
        <v>0</v>
      </c>
      <c r="D48" s="46">
        <f>B48+C48</f>
        <v>0</v>
      </c>
    </row>
    <row r="49">
      <c r="A49" s="40" t="inlineStr">
        <is>
          <t>Blockers (blocked tasks)</t>
        </is>
      </c>
      <c r="B49" s="96">
        <f>SUMIFS('DAILY TASK TRACKER'!$AM$5:$AM$1504,'DAILY TASK TRACKER'!$C$5:$C$1504,TCL_Client)</f>
        <v>0</v>
      </c>
      <c r="C49" s="96">
        <f>SUMIFS('DAILY TASK TRACKER'!$AM$5:$AM$1504,'DAILY TASK TRACKER'!$C$5:$C$1504,MECCA_Client)</f>
        <v>0</v>
      </c>
      <c r="D49" s="46">
        <f>B49+C49</f>
        <v>0</v>
      </c>
    </row>
    <row r="51" ht="22" customHeight="1">
      <c r="A51" s="3" t="inlineStr">
        <is>
          <t>Open TCL / MECCA tasks - blockers &amp; next actions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38" t="inlineStr">
        <is>
          <t>Task</t>
        </is>
      </c>
      <c r="B52" s="38" t="inlineStr">
        <is>
          <t>Client</t>
        </is>
      </c>
      <c r="C52" s="38" t="inlineStr">
        <is>
          <t>Owner</t>
        </is>
      </c>
      <c r="D52" s="38" t="inlineStr">
        <is>
          <t>Priority</t>
        </is>
      </c>
      <c r="E52" s="38" t="inlineStr">
        <is>
          <t>Status</t>
        </is>
      </c>
      <c r="F52" s="38" t="inlineStr">
        <is>
          <t>Due</t>
        </is>
      </c>
      <c r="G52" s="38" t="inlineStr">
        <is>
          <t>Blocker</t>
        </is>
      </c>
      <c r="H52" s="38" t="inlineStr">
        <is>
          <t>Next Action</t>
        </is>
      </c>
      <c r="I52" s="38" t="inlineStr">
        <is>
          <t>Next Action Date</t>
        </is>
      </c>
    </row>
    <row r="53" ht="24" customHeight="1">
      <c r="A53" s="49" t="str">
        <f>IFERROR(IF(INDEX('DAILY TASK TRACKER'!$G$5:$G$1504,MATCH(SMALL('DAILY TASK TRACKER'!$BL$5:$BL$1504,1),'DAILY TASK TRACKER'!$BL$5:$BL$1504,0))="","",INDEX('DAILY TASK TRACKER'!$G$5:$G$1504,MATCH(SMALL('DAILY TASK TRACKER'!$BL$5:$BL$1504,1),'DAILY TASK TRACKER'!$BL$5:$BL$1504,0))),"- none yet -")</f>
        <v>- none yet -</v>
      </c>
      <c r="B53" s="50" t="str">
        <f>IFERROR(IF(INDEX('DAILY TASK TRACKER'!$C$5:$C$1504,MATCH(SMALL('DAILY TASK TRACKER'!$BL$5:$BL$1504,1),'DAILY TASK TRACKER'!$BL$5:$BL$1504,0))="","",INDEX('DAILY TASK TRACKER'!$C$5:$C$1504,MATCH(SMALL('DAILY TASK TRACKER'!$BL$5:$BL$1504,1),'DAILY TASK TRACKER'!$BL$5:$BL$1504,0))),"")</f>
        <v/>
      </c>
      <c r="C53" s="50" t="str">
        <f>IFERROR(IF(INDEX('DAILY TASK TRACKER'!$B$5:$B$1504,MATCH(SMALL('DAILY TASK TRACKER'!$BL$5:$BL$1504,1),'DAILY TASK TRACKER'!$BL$5:$BL$1504,0))="","",INDEX('DAILY TASK TRACKER'!$B$5:$B$1504,MATCH(SMALL('DAILY TASK TRACKER'!$BL$5:$BL$1504,1),'DAILY TASK TRACKER'!$BL$5:$BL$1504,0))),"")</f>
        <v/>
      </c>
      <c r="D53" s="50" t="str">
        <f>IFERROR(IF(INDEX('DAILY TASK TRACKER'!$I$5:$I$1504,MATCH(SMALL('DAILY TASK TRACKER'!$BL$5:$BL$1504,1),'DAILY TASK TRACKER'!$BL$5:$BL$1504,0))="","",INDEX('DAILY TASK TRACKER'!$I$5:$I$1504,MATCH(SMALL('DAILY TASK TRACKER'!$BL$5:$BL$1504,1),'DAILY TASK TRACKER'!$BL$5:$BL$1504,0))),"")</f>
        <v/>
      </c>
      <c r="E53" s="50" t="str">
        <f>IFERROR(IF(INDEX('DAILY TASK TRACKER'!$M$5:$M$1504,MATCH(SMALL('DAILY TASK TRACKER'!$BL$5:$BL$1504,1),'DAILY TASK TRACKER'!$BL$5:$BL$1504,0))="","",INDEX('DAILY TASK TRACKER'!$M$5:$M$1504,MATCH(SMALL('DAILY TASK TRACKER'!$BL$5:$BL$1504,1),'DAILY TASK TRACKER'!$BL$5:$BL$1504,0))),"")</f>
        <v/>
      </c>
      <c r="F53" s="100" t="str">
        <f>IFERROR(IF(INDEX('DAILY TASK TRACKER'!$L$5:$L$1504,MATCH(SMALL('DAILY TASK TRACKER'!$BL$5:$BL$1504,1),'DAILY TASK TRACKER'!$BL$5:$BL$1504,0))="","",INDEX('DAILY TASK TRACKER'!$L$5:$L$1504,MATCH(SMALL('DAILY TASK TRACKER'!$BL$5:$BL$1504,1),'DAILY TASK TRACKER'!$BL$5:$BL$1504,0))),"")</f>
        <v/>
      </c>
      <c r="G53" s="50" t="str">
        <f>IFERROR(IF(INDEX('DAILY TASK TRACKER'!$T$5:$T$1504,MATCH(SMALL('DAILY TASK TRACKER'!$BL$5:$BL$1504,1),'DAILY TASK TRACKER'!$BL$5:$BL$1504,0))="","",INDEX('DAILY TASK TRACKER'!$T$5:$T$1504,MATCH(SMALL('DAILY TASK TRACKER'!$BL$5:$BL$1504,1),'DAILY TASK TRACKER'!$BL$5:$BL$1504,0))),"")</f>
        <v/>
      </c>
      <c r="H53" s="50" t="str">
        <f>IFERROR(IF(INDEX('DAILY TASK TRACKER'!$V$5:$V$1504,MATCH(SMALL('DAILY TASK TRACKER'!$BL$5:$BL$1504,1),'DAILY TASK TRACKER'!$BL$5:$BL$1504,0))="","",INDEX('DAILY TASK TRACKER'!$V$5:$V$1504,MATCH(SMALL('DAILY TASK TRACKER'!$BL$5:$BL$1504,1),'DAILY TASK TRACKER'!$BL$5:$BL$1504,0))),"")</f>
        <v/>
      </c>
      <c r="I53" s="100" t="str">
        <f>IFERROR(IF(INDEX('DAILY TASK TRACKER'!$W$5:$W$1504,MATCH(SMALL('DAILY TASK TRACKER'!$BL$5:$BL$1504,1),'DAILY TASK TRACKER'!$BL$5:$BL$1504,0))="","",INDEX('DAILY TASK TRACKER'!$W$5:$W$1504,MATCH(SMALL('DAILY TASK TRACKER'!$BL$5:$BL$1504,1),'DAILY TASK TRACKER'!$BL$5:$BL$1504,0))),"")</f>
        <v/>
      </c>
    </row>
    <row r="54" ht="24" customHeight="1">
      <c r="A54" s="50" t="str">
        <f>IFERROR(IF(INDEX('DAILY TASK TRACKER'!$G$5:$G$1504,MATCH(SMALL('DAILY TASK TRACKER'!$BL$5:$BL$1504,2),'DAILY TASK TRACKER'!$BL$5:$BL$1504,0))="","",INDEX('DAILY TASK TRACKER'!$G$5:$G$1504,MATCH(SMALL('DAILY TASK TRACKER'!$BL$5:$BL$1504,2),'DAILY TASK TRACKER'!$BL$5:$BL$1504,0))),"")</f>
        <v/>
      </c>
      <c r="B54" s="50" t="str">
        <f>IFERROR(IF(INDEX('DAILY TASK TRACKER'!$C$5:$C$1504,MATCH(SMALL('DAILY TASK TRACKER'!$BL$5:$BL$1504,2),'DAILY TASK TRACKER'!$BL$5:$BL$1504,0))="","",INDEX('DAILY TASK TRACKER'!$C$5:$C$1504,MATCH(SMALL('DAILY TASK TRACKER'!$BL$5:$BL$1504,2),'DAILY TASK TRACKER'!$BL$5:$BL$1504,0))),"")</f>
        <v/>
      </c>
      <c r="C54" s="50" t="str">
        <f>IFERROR(IF(INDEX('DAILY TASK TRACKER'!$B$5:$B$1504,MATCH(SMALL('DAILY TASK TRACKER'!$BL$5:$BL$1504,2),'DAILY TASK TRACKER'!$BL$5:$BL$1504,0))="","",INDEX('DAILY TASK TRACKER'!$B$5:$B$1504,MATCH(SMALL('DAILY TASK TRACKER'!$BL$5:$BL$1504,2),'DAILY TASK TRACKER'!$BL$5:$BL$1504,0))),"")</f>
        <v/>
      </c>
      <c r="D54" s="50" t="str">
        <f>IFERROR(IF(INDEX('DAILY TASK TRACKER'!$I$5:$I$1504,MATCH(SMALL('DAILY TASK TRACKER'!$BL$5:$BL$1504,2),'DAILY TASK TRACKER'!$BL$5:$BL$1504,0))="","",INDEX('DAILY TASK TRACKER'!$I$5:$I$1504,MATCH(SMALL('DAILY TASK TRACKER'!$BL$5:$BL$1504,2),'DAILY TASK TRACKER'!$BL$5:$BL$1504,0))),"")</f>
        <v/>
      </c>
      <c r="E54" s="50" t="str">
        <f>IFERROR(IF(INDEX('DAILY TASK TRACKER'!$M$5:$M$1504,MATCH(SMALL('DAILY TASK TRACKER'!$BL$5:$BL$1504,2),'DAILY TASK TRACKER'!$BL$5:$BL$1504,0))="","",INDEX('DAILY TASK TRACKER'!$M$5:$M$1504,MATCH(SMALL('DAILY TASK TRACKER'!$BL$5:$BL$1504,2),'DAILY TASK TRACKER'!$BL$5:$BL$1504,0))),"")</f>
        <v/>
      </c>
      <c r="F54" s="100" t="str">
        <f>IFERROR(IF(INDEX('DAILY TASK TRACKER'!$L$5:$L$1504,MATCH(SMALL('DAILY TASK TRACKER'!$BL$5:$BL$1504,2),'DAILY TASK TRACKER'!$BL$5:$BL$1504,0))="","",INDEX('DAILY TASK TRACKER'!$L$5:$L$1504,MATCH(SMALL('DAILY TASK TRACKER'!$BL$5:$BL$1504,2),'DAILY TASK TRACKER'!$BL$5:$BL$1504,0))),"")</f>
        <v/>
      </c>
      <c r="G54" s="50" t="str">
        <f>IFERROR(IF(INDEX('DAILY TASK TRACKER'!$T$5:$T$1504,MATCH(SMALL('DAILY TASK TRACKER'!$BL$5:$BL$1504,2),'DAILY TASK TRACKER'!$BL$5:$BL$1504,0))="","",INDEX('DAILY TASK TRACKER'!$T$5:$T$1504,MATCH(SMALL('DAILY TASK TRACKER'!$BL$5:$BL$1504,2),'DAILY TASK TRACKER'!$BL$5:$BL$1504,0))),"")</f>
        <v/>
      </c>
      <c r="H54" s="50" t="str">
        <f>IFERROR(IF(INDEX('DAILY TASK TRACKER'!$V$5:$V$1504,MATCH(SMALL('DAILY TASK TRACKER'!$BL$5:$BL$1504,2),'DAILY TASK TRACKER'!$BL$5:$BL$1504,0))="","",INDEX('DAILY TASK TRACKER'!$V$5:$V$1504,MATCH(SMALL('DAILY TASK TRACKER'!$BL$5:$BL$1504,2),'DAILY TASK TRACKER'!$BL$5:$BL$1504,0))),"")</f>
        <v/>
      </c>
      <c r="I54" s="100" t="str">
        <f>IFERROR(IF(INDEX('DAILY TASK TRACKER'!$W$5:$W$1504,MATCH(SMALL('DAILY TASK TRACKER'!$BL$5:$BL$1504,2),'DAILY TASK TRACKER'!$BL$5:$BL$1504,0))="","",INDEX('DAILY TASK TRACKER'!$W$5:$W$1504,MATCH(SMALL('DAILY TASK TRACKER'!$BL$5:$BL$1504,2),'DAILY TASK TRACKER'!$BL$5:$BL$1504,0))),"")</f>
        <v/>
      </c>
    </row>
    <row r="55" ht="24" customHeight="1">
      <c r="A55" s="50" t="str">
        <f>IFERROR(IF(INDEX('DAILY TASK TRACKER'!$G$5:$G$1504,MATCH(SMALL('DAILY TASK TRACKER'!$BL$5:$BL$1504,3),'DAILY TASK TRACKER'!$BL$5:$BL$1504,0))="","",INDEX('DAILY TASK TRACKER'!$G$5:$G$1504,MATCH(SMALL('DAILY TASK TRACKER'!$BL$5:$BL$1504,3),'DAILY TASK TRACKER'!$BL$5:$BL$1504,0))),"")</f>
        <v/>
      </c>
      <c r="B55" s="50" t="str">
        <f>IFERROR(IF(INDEX('DAILY TASK TRACKER'!$C$5:$C$1504,MATCH(SMALL('DAILY TASK TRACKER'!$BL$5:$BL$1504,3),'DAILY TASK TRACKER'!$BL$5:$BL$1504,0))="","",INDEX('DAILY TASK TRACKER'!$C$5:$C$1504,MATCH(SMALL('DAILY TASK TRACKER'!$BL$5:$BL$1504,3),'DAILY TASK TRACKER'!$BL$5:$BL$1504,0))),"")</f>
        <v/>
      </c>
      <c r="C55" s="50" t="str">
        <f>IFERROR(IF(INDEX('DAILY TASK TRACKER'!$B$5:$B$1504,MATCH(SMALL('DAILY TASK TRACKER'!$BL$5:$BL$1504,3),'DAILY TASK TRACKER'!$BL$5:$BL$1504,0))="","",INDEX('DAILY TASK TRACKER'!$B$5:$B$1504,MATCH(SMALL('DAILY TASK TRACKER'!$BL$5:$BL$1504,3),'DAILY TASK TRACKER'!$BL$5:$BL$1504,0))),"")</f>
        <v/>
      </c>
      <c r="D55" s="50" t="str">
        <f>IFERROR(IF(INDEX('DAILY TASK TRACKER'!$I$5:$I$1504,MATCH(SMALL('DAILY TASK TRACKER'!$BL$5:$BL$1504,3),'DAILY TASK TRACKER'!$BL$5:$BL$1504,0))="","",INDEX('DAILY TASK TRACKER'!$I$5:$I$1504,MATCH(SMALL('DAILY TASK TRACKER'!$BL$5:$BL$1504,3),'DAILY TASK TRACKER'!$BL$5:$BL$1504,0))),"")</f>
        <v/>
      </c>
      <c r="E55" s="50" t="str">
        <f>IFERROR(IF(INDEX('DAILY TASK TRACKER'!$M$5:$M$1504,MATCH(SMALL('DAILY TASK TRACKER'!$BL$5:$BL$1504,3),'DAILY TASK TRACKER'!$BL$5:$BL$1504,0))="","",INDEX('DAILY TASK TRACKER'!$M$5:$M$1504,MATCH(SMALL('DAILY TASK TRACKER'!$BL$5:$BL$1504,3),'DAILY TASK TRACKER'!$BL$5:$BL$1504,0))),"")</f>
        <v/>
      </c>
      <c r="F55" s="100" t="str">
        <f>IFERROR(IF(INDEX('DAILY TASK TRACKER'!$L$5:$L$1504,MATCH(SMALL('DAILY TASK TRACKER'!$BL$5:$BL$1504,3),'DAILY TASK TRACKER'!$BL$5:$BL$1504,0))="","",INDEX('DAILY TASK TRACKER'!$L$5:$L$1504,MATCH(SMALL('DAILY TASK TRACKER'!$BL$5:$BL$1504,3),'DAILY TASK TRACKER'!$BL$5:$BL$1504,0))),"")</f>
        <v/>
      </c>
      <c r="G55" s="50" t="str">
        <f>IFERROR(IF(INDEX('DAILY TASK TRACKER'!$T$5:$T$1504,MATCH(SMALL('DAILY TASK TRACKER'!$BL$5:$BL$1504,3),'DAILY TASK TRACKER'!$BL$5:$BL$1504,0))="","",INDEX('DAILY TASK TRACKER'!$T$5:$T$1504,MATCH(SMALL('DAILY TASK TRACKER'!$BL$5:$BL$1504,3),'DAILY TASK TRACKER'!$BL$5:$BL$1504,0))),"")</f>
        <v/>
      </c>
      <c r="H55" s="50" t="str">
        <f>IFERROR(IF(INDEX('DAILY TASK TRACKER'!$V$5:$V$1504,MATCH(SMALL('DAILY TASK TRACKER'!$BL$5:$BL$1504,3),'DAILY TASK TRACKER'!$BL$5:$BL$1504,0))="","",INDEX('DAILY TASK TRACKER'!$V$5:$V$1504,MATCH(SMALL('DAILY TASK TRACKER'!$BL$5:$BL$1504,3),'DAILY TASK TRACKER'!$BL$5:$BL$1504,0))),"")</f>
        <v/>
      </c>
      <c r="I55" s="100" t="str">
        <f>IFERROR(IF(INDEX('DAILY TASK TRACKER'!$W$5:$W$1504,MATCH(SMALL('DAILY TASK TRACKER'!$BL$5:$BL$1504,3),'DAILY TASK TRACKER'!$BL$5:$BL$1504,0))="","",INDEX('DAILY TASK TRACKER'!$W$5:$W$1504,MATCH(SMALL('DAILY TASK TRACKER'!$BL$5:$BL$1504,3),'DAILY TASK TRACKER'!$BL$5:$BL$1504,0))),"")</f>
        <v/>
      </c>
    </row>
    <row r="56" ht="24" customHeight="1">
      <c r="A56" s="50" t="str">
        <f>IFERROR(IF(INDEX('DAILY TASK TRACKER'!$G$5:$G$1504,MATCH(SMALL('DAILY TASK TRACKER'!$BL$5:$BL$1504,4),'DAILY TASK TRACKER'!$BL$5:$BL$1504,0))="","",INDEX('DAILY TASK TRACKER'!$G$5:$G$1504,MATCH(SMALL('DAILY TASK TRACKER'!$BL$5:$BL$1504,4),'DAILY TASK TRACKER'!$BL$5:$BL$1504,0))),"")</f>
        <v/>
      </c>
      <c r="B56" s="50" t="str">
        <f>IFERROR(IF(INDEX('DAILY TASK TRACKER'!$C$5:$C$1504,MATCH(SMALL('DAILY TASK TRACKER'!$BL$5:$BL$1504,4),'DAILY TASK TRACKER'!$BL$5:$BL$1504,0))="","",INDEX('DAILY TASK TRACKER'!$C$5:$C$1504,MATCH(SMALL('DAILY TASK TRACKER'!$BL$5:$BL$1504,4),'DAILY TASK TRACKER'!$BL$5:$BL$1504,0))),"")</f>
        <v/>
      </c>
      <c r="C56" s="50" t="str">
        <f>IFERROR(IF(INDEX('DAILY TASK TRACKER'!$B$5:$B$1504,MATCH(SMALL('DAILY TASK TRACKER'!$BL$5:$BL$1504,4),'DAILY TASK TRACKER'!$BL$5:$BL$1504,0))="","",INDEX('DAILY TASK TRACKER'!$B$5:$B$1504,MATCH(SMALL('DAILY TASK TRACKER'!$BL$5:$BL$1504,4),'DAILY TASK TRACKER'!$BL$5:$BL$1504,0))),"")</f>
        <v/>
      </c>
      <c r="D56" s="50" t="str">
        <f>IFERROR(IF(INDEX('DAILY TASK TRACKER'!$I$5:$I$1504,MATCH(SMALL('DAILY TASK TRACKER'!$BL$5:$BL$1504,4),'DAILY TASK TRACKER'!$BL$5:$BL$1504,0))="","",INDEX('DAILY TASK TRACKER'!$I$5:$I$1504,MATCH(SMALL('DAILY TASK TRACKER'!$BL$5:$BL$1504,4),'DAILY TASK TRACKER'!$BL$5:$BL$1504,0))),"")</f>
        <v/>
      </c>
      <c r="E56" s="50" t="str">
        <f>IFERROR(IF(INDEX('DAILY TASK TRACKER'!$M$5:$M$1504,MATCH(SMALL('DAILY TASK TRACKER'!$BL$5:$BL$1504,4),'DAILY TASK TRACKER'!$BL$5:$BL$1504,0))="","",INDEX('DAILY TASK TRACKER'!$M$5:$M$1504,MATCH(SMALL('DAILY TASK TRACKER'!$BL$5:$BL$1504,4),'DAILY TASK TRACKER'!$BL$5:$BL$1504,0))),"")</f>
        <v/>
      </c>
      <c r="F56" s="100" t="str">
        <f>IFERROR(IF(INDEX('DAILY TASK TRACKER'!$L$5:$L$1504,MATCH(SMALL('DAILY TASK TRACKER'!$BL$5:$BL$1504,4),'DAILY TASK TRACKER'!$BL$5:$BL$1504,0))="","",INDEX('DAILY TASK TRACKER'!$L$5:$L$1504,MATCH(SMALL('DAILY TASK TRACKER'!$BL$5:$BL$1504,4),'DAILY TASK TRACKER'!$BL$5:$BL$1504,0))),"")</f>
        <v/>
      </c>
      <c r="G56" s="50" t="str">
        <f>IFERROR(IF(INDEX('DAILY TASK TRACKER'!$T$5:$T$1504,MATCH(SMALL('DAILY TASK TRACKER'!$BL$5:$BL$1504,4),'DAILY TASK TRACKER'!$BL$5:$BL$1504,0))="","",INDEX('DAILY TASK TRACKER'!$T$5:$T$1504,MATCH(SMALL('DAILY TASK TRACKER'!$BL$5:$BL$1504,4),'DAILY TASK TRACKER'!$BL$5:$BL$1504,0))),"")</f>
        <v/>
      </c>
      <c r="H56" s="50" t="str">
        <f>IFERROR(IF(INDEX('DAILY TASK TRACKER'!$V$5:$V$1504,MATCH(SMALL('DAILY TASK TRACKER'!$BL$5:$BL$1504,4),'DAILY TASK TRACKER'!$BL$5:$BL$1504,0))="","",INDEX('DAILY TASK TRACKER'!$V$5:$V$1504,MATCH(SMALL('DAILY TASK TRACKER'!$BL$5:$BL$1504,4),'DAILY TASK TRACKER'!$BL$5:$BL$1504,0))),"")</f>
        <v/>
      </c>
      <c r="I56" s="100" t="str">
        <f>IFERROR(IF(INDEX('DAILY TASK TRACKER'!$W$5:$W$1504,MATCH(SMALL('DAILY TASK TRACKER'!$BL$5:$BL$1504,4),'DAILY TASK TRACKER'!$BL$5:$BL$1504,0))="","",INDEX('DAILY TASK TRACKER'!$W$5:$W$1504,MATCH(SMALL('DAILY TASK TRACKER'!$BL$5:$BL$1504,4),'DAILY TASK TRACKER'!$BL$5:$BL$1504,0))),"")</f>
        <v/>
      </c>
    </row>
    <row r="57" ht="24" customHeight="1">
      <c r="A57" s="50" t="str">
        <f>IFERROR(IF(INDEX('DAILY TASK TRACKER'!$G$5:$G$1504,MATCH(SMALL('DAILY TASK TRACKER'!$BL$5:$BL$1504,5),'DAILY TASK TRACKER'!$BL$5:$BL$1504,0))="","",INDEX('DAILY TASK TRACKER'!$G$5:$G$1504,MATCH(SMALL('DAILY TASK TRACKER'!$BL$5:$BL$1504,5),'DAILY TASK TRACKER'!$BL$5:$BL$1504,0))),"")</f>
        <v/>
      </c>
      <c r="B57" s="50" t="str">
        <f>IFERROR(IF(INDEX('DAILY TASK TRACKER'!$C$5:$C$1504,MATCH(SMALL('DAILY TASK TRACKER'!$BL$5:$BL$1504,5),'DAILY TASK TRACKER'!$BL$5:$BL$1504,0))="","",INDEX('DAILY TASK TRACKER'!$C$5:$C$1504,MATCH(SMALL('DAILY TASK TRACKER'!$BL$5:$BL$1504,5),'DAILY TASK TRACKER'!$BL$5:$BL$1504,0))),"")</f>
        <v/>
      </c>
      <c r="C57" s="50" t="str">
        <f>IFERROR(IF(INDEX('DAILY TASK TRACKER'!$B$5:$B$1504,MATCH(SMALL('DAILY TASK TRACKER'!$BL$5:$BL$1504,5),'DAILY TASK TRACKER'!$BL$5:$BL$1504,0))="","",INDEX('DAILY TASK TRACKER'!$B$5:$B$1504,MATCH(SMALL('DAILY TASK TRACKER'!$BL$5:$BL$1504,5),'DAILY TASK TRACKER'!$BL$5:$BL$1504,0))),"")</f>
        <v/>
      </c>
      <c r="D57" s="50" t="str">
        <f>IFERROR(IF(INDEX('DAILY TASK TRACKER'!$I$5:$I$1504,MATCH(SMALL('DAILY TASK TRACKER'!$BL$5:$BL$1504,5),'DAILY TASK TRACKER'!$BL$5:$BL$1504,0))="","",INDEX('DAILY TASK TRACKER'!$I$5:$I$1504,MATCH(SMALL('DAILY TASK TRACKER'!$BL$5:$BL$1504,5),'DAILY TASK TRACKER'!$BL$5:$BL$1504,0))),"")</f>
        <v/>
      </c>
      <c r="E57" s="50" t="str">
        <f>IFERROR(IF(INDEX('DAILY TASK TRACKER'!$M$5:$M$1504,MATCH(SMALL('DAILY TASK TRACKER'!$BL$5:$BL$1504,5),'DAILY TASK TRACKER'!$BL$5:$BL$1504,0))="","",INDEX('DAILY TASK TRACKER'!$M$5:$M$1504,MATCH(SMALL('DAILY TASK TRACKER'!$BL$5:$BL$1504,5),'DAILY TASK TRACKER'!$BL$5:$BL$1504,0))),"")</f>
        <v/>
      </c>
      <c r="F57" s="100" t="str">
        <f>IFERROR(IF(INDEX('DAILY TASK TRACKER'!$L$5:$L$1504,MATCH(SMALL('DAILY TASK TRACKER'!$BL$5:$BL$1504,5),'DAILY TASK TRACKER'!$BL$5:$BL$1504,0))="","",INDEX('DAILY TASK TRACKER'!$L$5:$L$1504,MATCH(SMALL('DAILY TASK TRACKER'!$BL$5:$BL$1504,5),'DAILY TASK TRACKER'!$BL$5:$BL$1504,0))),"")</f>
        <v/>
      </c>
      <c r="G57" s="50" t="str">
        <f>IFERROR(IF(INDEX('DAILY TASK TRACKER'!$T$5:$T$1504,MATCH(SMALL('DAILY TASK TRACKER'!$BL$5:$BL$1504,5),'DAILY TASK TRACKER'!$BL$5:$BL$1504,0))="","",INDEX('DAILY TASK TRACKER'!$T$5:$T$1504,MATCH(SMALL('DAILY TASK TRACKER'!$BL$5:$BL$1504,5),'DAILY TASK TRACKER'!$BL$5:$BL$1504,0))),"")</f>
        <v/>
      </c>
      <c r="H57" s="50" t="str">
        <f>IFERROR(IF(INDEX('DAILY TASK TRACKER'!$V$5:$V$1504,MATCH(SMALL('DAILY TASK TRACKER'!$BL$5:$BL$1504,5),'DAILY TASK TRACKER'!$BL$5:$BL$1504,0))="","",INDEX('DAILY TASK TRACKER'!$V$5:$V$1504,MATCH(SMALL('DAILY TASK TRACKER'!$BL$5:$BL$1504,5),'DAILY TASK TRACKER'!$BL$5:$BL$1504,0))),"")</f>
        <v/>
      </c>
      <c r="I57" s="100" t="str">
        <f>IFERROR(IF(INDEX('DAILY TASK TRACKER'!$W$5:$W$1504,MATCH(SMALL('DAILY TASK TRACKER'!$BL$5:$BL$1504,5),'DAILY TASK TRACKER'!$BL$5:$BL$1504,0))="","",INDEX('DAILY TASK TRACKER'!$W$5:$W$1504,MATCH(SMALL('DAILY TASK TRACKER'!$BL$5:$BL$1504,5),'DAILY TASK TRACKER'!$BL$5:$BL$1504,0))),"")</f>
        <v/>
      </c>
    </row>
    <row r="58" ht="24" customHeight="1">
      <c r="A58" s="50" t="str">
        <f>IFERROR(IF(INDEX('DAILY TASK TRACKER'!$G$5:$G$1504,MATCH(SMALL('DAILY TASK TRACKER'!$BL$5:$BL$1504,6),'DAILY TASK TRACKER'!$BL$5:$BL$1504,0))="","",INDEX('DAILY TASK TRACKER'!$G$5:$G$1504,MATCH(SMALL('DAILY TASK TRACKER'!$BL$5:$BL$1504,6),'DAILY TASK TRACKER'!$BL$5:$BL$1504,0))),"")</f>
        <v/>
      </c>
      <c r="B58" s="50" t="str">
        <f>IFERROR(IF(INDEX('DAILY TASK TRACKER'!$C$5:$C$1504,MATCH(SMALL('DAILY TASK TRACKER'!$BL$5:$BL$1504,6),'DAILY TASK TRACKER'!$BL$5:$BL$1504,0))="","",INDEX('DAILY TASK TRACKER'!$C$5:$C$1504,MATCH(SMALL('DAILY TASK TRACKER'!$BL$5:$BL$1504,6),'DAILY TASK TRACKER'!$BL$5:$BL$1504,0))),"")</f>
        <v/>
      </c>
      <c r="C58" s="50" t="str">
        <f>IFERROR(IF(INDEX('DAILY TASK TRACKER'!$B$5:$B$1504,MATCH(SMALL('DAILY TASK TRACKER'!$BL$5:$BL$1504,6),'DAILY TASK TRACKER'!$BL$5:$BL$1504,0))="","",INDEX('DAILY TASK TRACKER'!$B$5:$B$1504,MATCH(SMALL('DAILY TASK TRACKER'!$BL$5:$BL$1504,6),'DAILY TASK TRACKER'!$BL$5:$BL$1504,0))),"")</f>
        <v/>
      </c>
      <c r="D58" s="50" t="str">
        <f>IFERROR(IF(INDEX('DAILY TASK TRACKER'!$I$5:$I$1504,MATCH(SMALL('DAILY TASK TRACKER'!$BL$5:$BL$1504,6),'DAILY TASK TRACKER'!$BL$5:$BL$1504,0))="","",INDEX('DAILY TASK TRACKER'!$I$5:$I$1504,MATCH(SMALL('DAILY TASK TRACKER'!$BL$5:$BL$1504,6),'DAILY TASK TRACKER'!$BL$5:$BL$1504,0))),"")</f>
        <v/>
      </c>
      <c r="E58" s="50" t="str">
        <f>IFERROR(IF(INDEX('DAILY TASK TRACKER'!$M$5:$M$1504,MATCH(SMALL('DAILY TASK TRACKER'!$BL$5:$BL$1504,6),'DAILY TASK TRACKER'!$BL$5:$BL$1504,0))="","",INDEX('DAILY TASK TRACKER'!$M$5:$M$1504,MATCH(SMALL('DAILY TASK TRACKER'!$BL$5:$BL$1504,6),'DAILY TASK TRACKER'!$BL$5:$BL$1504,0))),"")</f>
        <v/>
      </c>
      <c r="F58" s="100" t="str">
        <f>IFERROR(IF(INDEX('DAILY TASK TRACKER'!$L$5:$L$1504,MATCH(SMALL('DAILY TASK TRACKER'!$BL$5:$BL$1504,6),'DAILY TASK TRACKER'!$BL$5:$BL$1504,0))="","",INDEX('DAILY TASK TRACKER'!$L$5:$L$1504,MATCH(SMALL('DAILY TASK TRACKER'!$BL$5:$BL$1504,6),'DAILY TASK TRACKER'!$BL$5:$BL$1504,0))),"")</f>
        <v/>
      </c>
      <c r="G58" s="50" t="str">
        <f>IFERROR(IF(INDEX('DAILY TASK TRACKER'!$T$5:$T$1504,MATCH(SMALL('DAILY TASK TRACKER'!$BL$5:$BL$1504,6),'DAILY TASK TRACKER'!$BL$5:$BL$1504,0))="","",INDEX('DAILY TASK TRACKER'!$T$5:$T$1504,MATCH(SMALL('DAILY TASK TRACKER'!$BL$5:$BL$1504,6),'DAILY TASK TRACKER'!$BL$5:$BL$1504,0))),"")</f>
        <v/>
      </c>
      <c r="H58" s="50" t="str">
        <f>IFERROR(IF(INDEX('DAILY TASK TRACKER'!$V$5:$V$1504,MATCH(SMALL('DAILY TASK TRACKER'!$BL$5:$BL$1504,6),'DAILY TASK TRACKER'!$BL$5:$BL$1504,0))="","",INDEX('DAILY TASK TRACKER'!$V$5:$V$1504,MATCH(SMALL('DAILY TASK TRACKER'!$BL$5:$BL$1504,6),'DAILY TASK TRACKER'!$BL$5:$BL$1504,0))),"")</f>
        <v/>
      </c>
      <c r="I58" s="100" t="str">
        <f>IFERROR(IF(INDEX('DAILY TASK TRACKER'!$W$5:$W$1504,MATCH(SMALL('DAILY TASK TRACKER'!$BL$5:$BL$1504,6),'DAILY TASK TRACKER'!$BL$5:$BL$1504,0))="","",INDEX('DAILY TASK TRACKER'!$W$5:$W$1504,MATCH(SMALL('DAILY TASK TRACKER'!$BL$5:$BL$1504,6),'DAILY TASK TRACKER'!$BL$5:$BL$1504,0))),"")</f>
        <v/>
      </c>
    </row>
    <row r="59" ht="24" customHeight="1">
      <c r="A59" s="50" t="str">
        <f>IFERROR(IF(INDEX('DAILY TASK TRACKER'!$G$5:$G$1504,MATCH(SMALL('DAILY TASK TRACKER'!$BL$5:$BL$1504,7),'DAILY TASK TRACKER'!$BL$5:$BL$1504,0))="","",INDEX('DAILY TASK TRACKER'!$G$5:$G$1504,MATCH(SMALL('DAILY TASK TRACKER'!$BL$5:$BL$1504,7),'DAILY TASK TRACKER'!$BL$5:$BL$1504,0))),"")</f>
        <v/>
      </c>
      <c r="B59" s="50" t="str">
        <f>IFERROR(IF(INDEX('DAILY TASK TRACKER'!$C$5:$C$1504,MATCH(SMALL('DAILY TASK TRACKER'!$BL$5:$BL$1504,7),'DAILY TASK TRACKER'!$BL$5:$BL$1504,0))="","",INDEX('DAILY TASK TRACKER'!$C$5:$C$1504,MATCH(SMALL('DAILY TASK TRACKER'!$BL$5:$BL$1504,7),'DAILY TASK TRACKER'!$BL$5:$BL$1504,0))),"")</f>
        <v/>
      </c>
      <c r="C59" s="50" t="str">
        <f>IFERROR(IF(INDEX('DAILY TASK TRACKER'!$B$5:$B$1504,MATCH(SMALL('DAILY TASK TRACKER'!$BL$5:$BL$1504,7),'DAILY TASK TRACKER'!$BL$5:$BL$1504,0))="","",INDEX('DAILY TASK TRACKER'!$B$5:$B$1504,MATCH(SMALL('DAILY TASK TRACKER'!$BL$5:$BL$1504,7),'DAILY TASK TRACKER'!$BL$5:$BL$1504,0))),"")</f>
        <v/>
      </c>
      <c r="D59" s="50" t="str">
        <f>IFERROR(IF(INDEX('DAILY TASK TRACKER'!$I$5:$I$1504,MATCH(SMALL('DAILY TASK TRACKER'!$BL$5:$BL$1504,7),'DAILY TASK TRACKER'!$BL$5:$BL$1504,0))="","",INDEX('DAILY TASK TRACKER'!$I$5:$I$1504,MATCH(SMALL('DAILY TASK TRACKER'!$BL$5:$BL$1504,7),'DAILY TASK TRACKER'!$BL$5:$BL$1504,0))),"")</f>
        <v/>
      </c>
      <c r="E59" s="50" t="str">
        <f>IFERROR(IF(INDEX('DAILY TASK TRACKER'!$M$5:$M$1504,MATCH(SMALL('DAILY TASK TRACKER'!$BL$5:$BL$1504,7),'DAILY TASK TRACKER'!$BL$5:$BL$1504,0))="","",INDEX('DAILY TASK TRACKER'!$M$5:$M$1504,MATCH(SMALL('DAILY TASK TRACKER'!$BL$5:$BL$1504,7),'DAILY TASK TRACKER'!$BL$5:$BL$1504,0))),"")</f>
        <v/>
      </c>
      <c r="F59" s="100" t="str">
        <f>IFERROR(IF(INDEX('DAILY TASK TRACKER'!$L$5:$L$1504,MATCH(SMALL('DAILY TASK TRACKER'!$BL$5:$BL$1504,7),'DAILY TASK TRACKER'!$BL$5:$BL$1504,0))="","",INDEX('DAILY TASK TRACKER'!$L$5:$L$1504,MATCH(SMALL('DAILY TASK TRACKER'!$BL$5:$BL$1504,7),'DAILY TASK TRACKER'!$BL$5:$BL$1504,0))),"")</f>
        <v/>
      </c>
      <c r="G59" s="50" t="str">
        <f>IFERROR(IF(INDEX('DAILY TASK TRACKER'!$T$5:$T$1504,MATCH(SMALL('DAILY TASK TRACKER'!$BL$5:$BL$1504,7),'DAILY TASK TRACKER'!$BL$5:$BL$1504,0))="","",INDEX('DAILY TASK TRACKER'!$T$5:$T$1504,MATCH(SMALL('DAILY TASK TRACKER'!$BL$5:$BL$1504,7),'DAILY TASK TRACKER'!$BL$5:$BL$1504,0))),"")</f>
        <v/>
      </c>
      <c r="H59" s="50" t="str">
        <f>IFERROR(IF(INDEX('DAILY TASK TRACKER'!$V$5:$V$1504,MATCH(SMALL('DAILY TASK TRACKER'!$BL$5:$BL$1504,7),'DAILY TASK TRACKER'!$BL$5:$BL$1504,0))="","",INDEX('DAILY TASK TRACKER'!$V$5:$V$1504,MATCH(SMALL('DAILY TASK TRACKER'!$BL$5:$BL$1504,7),'DAILY TASK TRACKER'!$BL$5:$BL$1504,0))),"")</f>
        <v/>
      </c>
      <c r="I59" s="100" t="str">
        <f>IFERROR(IF(INDEX('DAILY TASK TRACKER'!$W$5:$W$1504,MATCH(SMALL('DAILY TASK TRACKER'!$BL$5:$BL$1504,7),'DAILY TASK TRACKER'!$BL$5:$BL$1504,0))="","",INDEX('DAILY TASK TRACKER'!$W$5:$W$1504,MATCH(SMALL('DAILY TASK TRACKER'!$BL$5:$BL$1504,7),'DAILY TASK TRACKER'!$BL$5:$BL$1504,0))),"")</f>
        <v/>
      </c>
    </row>
    <row r="60" ht="24" customHeight="1">
      <c r="A60" s="50" t="str">
        <f>IFERROR(IF(INDEX('DAILY TASK TRACKER'!$G$5:$G$1504,MATCH(SMALL('DAILY TASK TRACKER'!$BL$5:$BL$1504,8),'DAILY TASK TRACKER'!$BL$5:$BL$1504,0))="","",INDEX('DAILY TASK TRACKER'!$G$5:$G$1504,MATCH(SMALL('DAILY TASK TRACKER'!$BL$5:$BL$1504,8),'DAILY TASK TRACKER'!$BL$5:$BL$1504,0))),"")</f>
        <v/>
      </c>
      <c r="B60" s="50" t="str">
        <f>IFERROR(IF(INDEX('DAILY TASK TRACKER'!$C$5:$C$1504,MATCH(SMALL('DAILY TASK TRACKER'!$BL$5:$BL$1504,8),'DAILY TASK TRACKER'!$BL$5:$BL$1504,0))="","",INDEX('DAILY TASK TRACKER'!$C$5:$C$1504,MATCH(SMALL('DAILY TASK TRACKER'!$BL$5:$BL$1504,8),'DAILY TASK TRACKER'!$BL$5:$BL$1504,0))),"")</f>
        <v/>
      </c>
      <c r="C60" s="50" t="str">
        <f>IFERROR(IF(INDEX('DAILY TASK TRACKER'!$B$5:$B$1504,MATCH(SMALL('DAILY TASK TRACKER'!$BL$5:$BL$1504,8),'DAILY TASK TRACKER'!$BL$5:$BL$1504,0))="","",INDEX('DAILY TASK TRACKER'!$B$5:$B$1504,MATCH(SMALL('DAILY TASK TRACKER'!$BL$5:$BL$1504,8),'DAILY TASK TRACKER'!$BL$5:$BL$1504,0))),"")</f>
        <v/>
      </c>
      <c r="D60" s="50" t="str">
        <f>IFERROR(IF(INDEX('DAILY TASK TRACKER'!$I$5:$I$1504,MATCH(SMALL('DAILY TASK TRACKER'!$BL$5:$BL$1504,8),'DAILY TASK TRACKER'!$BL$5:$BL$1504,0))="","",INDEX('DAILY TASK TRACKER'!$I$5:$I$1504,MATCH(SMALL('DAILY TASK TRACKER'!$BL$5:$BL$1504,8),'DAILY TASK TRACKER'!$BL$5:$BL$1504,0))),"")</f>
        <v/>
      </c>
      <c r="E60" s="50" t="str">
        <f>IFERROR(IF(INDEX('DAILY TASK TRACKER'!$M$5:$M$1504,MATCH(SMALL('DAILY TASK TRACKER'!$BL$5:$BL$1504,8),'DAILY TASK TRACKER'!$BL$5:$BL$1504,0))="","",INDEX('DAILY TASK TRACKER'!$M$5:$M$1504,MATCH(SMALL('DAILY TASK TRACKER'!$BL$5:$BL$1504,8),'DAILY TASK TRACKER'!$BL$5:$BL$1504,0))),"")</f>
        <v/>
      </c>
      <c r="F60" s="100" t="str">
        <f>IFERROR(IF(INDEX('DAILY TASK TRACKER'!$L$5:$L$1504,MATCH(SMALL('DAILY TASK TRACKER'!$BL$5:$BL$1504,8),'DAILY TASK TRACKER'!$BL$5:$BL$1504,0))="","",INDEX('DAILY TASK TRACKER'!$L$5:$L$1504,MATCH(SMALL('DAILY TASK TRACKER'!$BL$5:$BL$1504,8),'DAILY TASK TRACKER'!$BL$5:$BL$1504,0))),"")</f>
        <v/>
      </c>
      <c r="G60" s="50" t="str">
        <f>IFERROR(IF(INDEX('DAILY TASK TRACKER'!$T$5:$T$1504,MATCH(SMALL('DAILY TASK TRACKER'!$BL$5:$BL$1504,8),'DAILY TASK TRACKER'!$BL$5:$BL$1504,0))="","",INDEX('DAILY TASK TRACKER'!$T$5:$T$1504,MATCH(SMALL('DAILY TASK TRACKER'!$BL$5:$BL$1504,8),'DAILY TASK TRACKER'!$BL$5:$BL$1504,0))),"")</f>
        <v/>
      </c>
      <c r="H60" s="50" t="str">
        <f>IFERROR(IF(INDEX('DAILY TASK TRACKER'!$V$5:$V$1504,MATCH(SMALL('DAILY TASK TRACKER'!$BL$5:$BL$1504,8),'DAILY TASK TRACKER'!$BL$5:$BL$1504,0))="","",INDEX('DAILY TASK TRACKER'!$V$5:$V$1504,MATCH(SMALL('DAILY TASK TRACKER'!$BL$5:$BL$1504,8),'DAILY TASK TRACKER'!$BL$5:$BL$1504,0))),"")</f>
        <v/>
      </c>
      <c r="I60" s="100" t="str">
        <f>IFERROR(IF(INDEX('DAILY TASK TRACKER'!$W$5:$W$1504,MATCH(SMALL('DAILY TASK TRACKER'!$BL$5:$BL$1504,8),'DAILY TASK TRACKER'!$BL$5:$BL$1504,0))="","",INDEX('DAILY TASK TRACKER'!$W$5:$W$1504,MATCH(SMALL('DAILY TASK TRACKER'!$BL$5:$BL$1504,8),'DAILY TASK TRACKER'!$BL$5:$BL$1504,0))),"")</f>
        <v/>
      </c>
    </row>
    <row r="61" ht="24" customHeight="1">
      <c r="A61" s="50" t="str">
        <f>IFERROR(IF(INDEX('DAILY TASK TRACKER'!$G$5:$G$1504,MATCH(SMALL('DAILY TASK TRACKER'!$BL$5:$BL$1504,9),'DAILY TASK TRACKER'!$BL$5:$BL$1504,0))="","",INDEX('DAILY TASK TRACKER'!$G$5:$G$1504,MATCH(SMALL('DAILY TASK TRACKER'!$BL$5:$BL$1504,9),'DAILY TASK TRACKER'!$BL$5:$BL$1504,0))),"")</f>
        <v/>
      </c>
      <c r="B61" s="50" t="str">
        <f>IFERROR(IF(INDEX('DAILY TASK TRACKER'!$C$5:$C$1504,MATCH(SMALL('DAILY TASK TRACKER'!$BL$5:$BL$1504,9),'DAILY TASK TRACKER'!$BL$5:$BL$1504,0))="","",INDEX('DAILY TASK TRACKER'!$C$5:$C$1504,MATCH(SMALL('DAILY TASK TRACKER'!$BL$5:$BL$1504,9),'DAILY TASK TRACKER'!$BL$5:$BL$1504,0))),"")</f>
        <v/>
      </c>
      <c r="C61" s="50" t="str">
        <f>IFERROR(IF(INDEX('DAILY TASK TRACKER'!$B$5:$B$1504,MATCH(SMALL('DAILY TASK TRACKER'!$BL$5:$BL$1504,9),'DAILY TASK TRACKER'!$BL$5:$BL$1504,0))="","",INDEX('DAILY TASK TRACKER'!$B$5:$B$1504,MATCH(SMALL('DAILY TASK TRACKER'!$BL$5:$BL$1504,9),'DAILY TASK TRACKER'!$BL$5:$BL$1504,0))),"")</f>
        <v/>
      </c>
      <c r="D61" s="50" t="str">
        <f>IFERROR(IF(INDEX('DAILY TASK TRACKER'!$I$5:$I$1504,MATCH(SMALL('DAILY TASK TRACKER'!$BL$5:$BL$1504,9),'DAILY TASK TRACKER'!$BL$5:$BL$1504,0))="","",INDEX('DAILY TASK TRACKER'!$I$5:$I$1504,MATCH(SMALL('DAILY TASK TRACKER'!$BL$5:$BL$1504,9),'DAILY TASK TRACKER'!$BL$5:$BL$1504,0))),"")</f>
        <v/>
      </c>
      <c r="E61" s="50" t="str">
        <f>IFERROR(IF(INDEX('DAILY TASK TRACKER'!$M$5:$M$1504,MATCH(SMALL('DAILY TASK TRACKER'!$BL$5:$BL$1504,9),'DAILY TASK TRACKER'!$BL$5:$BL$1504,0))="","",INDEX('DAILY TASK TRACKER'!$M$5:$M$1504,MATCH(SMALL('DAILY TASK TRACKER'!$BL$5:$BL$1504,9),'DAILY TASK TRACKER'!$BL$5:$BL$1504,0))),"")</f>
        <v/>
      </c>
      <c r="F61" s="100" t="str">
        <f>IFERROR(IF(INDEX('DAILY TASK TRACKER'!$L$5:$L$1504,MATCH(SMALL('DAILY TASK TRACKER'!$BL$5:$BL$1504,9),'DAILY TASK TRACKER'!$BL$5:$BL$1504,0))="","",INDEX('DAILY TASK TRACKER'!$L$5:$L$1504,MATCH(SMALL('DAILY TASK TRACKER'!$BL$5:$BL$1504,9),'DAILY TASK TRACKER'!$BL$5:$BL$1504,0))),"")</f>
        <v/>
      </c>
      <c r="G61" s="50" t="str">
        <f>IFERROR(IF(INDEX('DAILY TASK TRACKER'!$T$5:$T$1504,MATCH(SMALL('DAILY TASK TRACKER'!$BL$5:$BL$1504,9),'DAILY TASK TRACKER'!$BL$5:$BL$1504,0))="","",INDEX('DAILY TASK TRACKER'!$T$5:$T$1504,MATCH(SMALL('DAILY TASK TRACKER'!$BL$5:$BL$1504,9),'DAILY TASK TRACKER'!$BL$5:$BL$1504,0))),"")</f>
        <v/>
      </c>
      <c r="H61" s="50" t="str">
        <f>IFERROR(IF(INDEX('DAILY TASK TRACKER'!$V$5:$V$1504,MATCH(SMALL('DAILY TASK TRACKER'!$BL$5:$BL$1504,9),'DAILY TASK TRACKER'!$BL$5:$BL$1504,0))="","",INDEX('DAILY TASK TRACKER'!$V$5:$V$1504,MATCH(SMALL('DAILY TASK TRACKER'!$BL$5:$BL$1504,9),'DAILY TASK TRACKER'!$BL$5:$BL$1504,0))),"")</f>
        <v/>
      </c>
      <c r="I61" s="100" t="str">
        <f>IFERROR(IF(INDEX('DAILY TASK TRACKER'!$W$5:$W$1504,MATCH(SMALL('DAILY TASK TRACKER'!$BL$5:$BL$1504,9),'DAILY TASK TRACKER'!$BL$5:$BL$1504,0))="","",INDEX('DAILY TASK TRACKER'!$W$5:$W$1504,MATCH(SMALL('DAILY TASK TRACKER'!$BL$5:$BL$1504,9),'DAILY TASK TRACKER'!$BL$5:$BL$1504,0))),"")</f>
        <v/>
      </c>
    </row>
    <row r="62" ht="24" customHeight="1">
      <c r="A62" s="50" t="str">
        <f>IFERROR(IF(INDEX('DAILY TASK TRACKER'!$G$5:$G$1504,MATCH(SMALL('DAILY TASK TRACKER'!$BL$5:$BL$1504,10),'DAILY TASK TRACKER'!$BL$5:$BL$1504,0))="","",INDEX('DAILY TASK TRACKER'!$G$5:$G$1504,MATCH(SMALL('DAILY TASK TRACKER'!$BL$5:$BL$1504,10),'DAILY TASK TRACKER'!$BL$5:$BL$1504,0))),"")</f>
        <v/>
      </c>
      <c r="B62" s="50" t="str">
        <f>IFERROR(IF(INDEX('DAILY TASK TRACKER'!$C$5:$C$1504,MATCH(SMALL('DAILY TASK TRACKER'!$BL$5:$BL$1504,10),'DAILY TASK TRACKER'!$BL$5:$BL$1504,0))="","",INDEX('DAILY TASK TRACKER'!$C$5:$C$1504,MATCH(SMALL('DAILY TASK TRACKER'!$BL$5:$BL$1504,10),'DAILY TASK TRACKER'!$BL$5:$BL$1504,0))),"")</f>
        <v/>
      </c>
      <c r="C62" s="50" t="str">
        <f>IFERROR(IF(INDEX('DAILY TASK TRACKER'!$B$5:$B$1504,MATCH(SMALL('DAILY TASK TRACKER'!$BL$5:$BL$1504,10),'DAILY TASK TRACKER'!$BL$5:$BL$1504,0))="","",INDEX('DAILY TASK TRACKER'!$B$5:$B$1504,MATCH(SMALL('DAILY TASK TRACKER'!$BL$5:$BL$1504,10),'DAILY TASK TRACKER'!$BL$5:$BL$1504,0))),"")</f>
        <v/>
      </c>
      <c r="D62" s="50" t="str">
        <f>IFERROR(IF(INDEX('DAILY TASK TRACKER'!$I$5:$I$1504,MATCH(SMALL('DAILY TASK TRACKER'!$BL$5:$BL$1504,10),'DAILY TASK TRACKER'!$BL$5:$BL$1504,0))="","",INDEX('DAILY TASK TRACKER'!$I$5:$I$1504,MATCH(SMALL('DAILY TASK TRACKER'!$BL$5:$BL$1504,10),'DAILY TASK TRACKER'!$BL$5:$BL$1504,0))),"")</f>
        <v/>
      </c>
      <c r="E62" s="50" t="str">
        <f>IFERROR(IF(INDEX('DAILY TASK TRACKER'!$M$5:$M$1504,MATCH(SMALL('DAILY TASK TRACKER'!$BL$5:$BL$1504,10),'DAILY TASK TRACKER'!$BL$5:$BL$1504,0))="","",INDEX('DAILY TASK TRACKER'!$M$5:$M$1504,MATCH(SMALL('DAILY TASK TRACKER'!$BL$5:$BL$1504,10),'DAILY TASK TRACKER'!$BL$5:$BL$1504,0))),"")</f>
        <v/>
      </c>
      <c r="F62" s="100" t="str">
        <f>IFERROR(IF(INDEX('DAILY TASK TRACKER'!$L$5:$L$1504,MATCH(SMALL('DAILY TASK TRACKER'!$BL$5:$BL$1504,10),'DAILY TASK TRACKER'!$BL$5:$BL$1504,0))="","",INDEX('DAILY TASK TRACKER'!$L$5:$L$1504,MATCH(SMALL('DAILY TASK TRACKER'!$BL$5:$BL$1504,10),'DAILY TASK TRACKER'!$BL$5:$BL$1504,0))),"")</f>
        <v/>
      </c>
      <c r="G62" s="50" t="str">
        <f>IFERROR(IF(INDEX('DAILY TASK TRACKER'!$T$5:$T$1504,MATCH(SMALL('DAILY TASK TRACKER'!$BL$5:$BL$1504,10),'DAILY TASK TRACKER'!$BL$5:$BL$1504,0))="","",INDEX('DAILY TASK TRACKER'!$T$5:$T$1504,MATCH(SMALL('DAILY TASK TRACKER'!$BL$5:$BL$1504,10),'DAILY TASK TRACKER'!$BL$5:$BL$1504,0))),"")</f>
        <v/>
      </c>
      <c r="H62" s="50" t="str">
        <f>IFERROR(IF(INDEX('DAILY TASK TRACKER'!$V$5:$V$1504,MATCH(SMALL('DAILY TASK TRACKER'!$BL$5:$BL$1504,10),'DAILY TASK TRACKER'!$BL$5:$BL$1504,0))="","",INDEX('DAILY TASK TRACKER'!$V$5:$V$1504,MATCH(SMALL('DAILY TASK TRACKER'!$BL$5:$BL$1504,10),'DAILY TASK TRACKER'!$BL$5:$BL$1504,0))),"")</f>
        <v/>
      </c>
      <c r="I62" s="100" t="str">
        <f>IFERROR(IF(INDEX('DAILY TASK TRACKER'!$W$5:$W$1504,MATCH(SMALL('DAILY TASK TRACKER'!$BL$5:$BL$1504,10),'DAILY TASK TRACKER'!$BL$5:$BL$1504,0))="","",INDEX('DAILY TASK TRACKER'!$W$5:$W$1504,MATCH(SMALL('DAILY TASK TRACKER'!$BL$5:$BL$1504,10),'DAILY TASK TRACKER'!$BL$5:$BL$1504,0))),"")</f>
        <v/>
      </c>
    </row>
    <row r="63" ht="24" customHeight="1">
      <c r="A63" s="50" t="str">
        <f>IFERROR(IF(INDEX('DAILY TASK TRACKER'!$G$5:$G$1504,MATCH(SMALL('DAILY TASK TRACKER'!$BL$5:$BL$1504,11),'DAILY TASK TRACKER'!$BL$5:$BL$1504,0))="","",INDEX('DAILY TASK TRACKER'!$G$5:$G$1504,MATCH(SMALL('DAILY TASK TRACKER'!$BL$5:$BL$1504,11),'DAILY TASK TRACKER'!$BL$5:$BL$1504,0))),"")</f>
        <v/>
      </c>
      <c r="B63" s="50" t="str">
        <f>IFERROR(IF(INDEX('DAILY TASK TRACKER'!$C$5:$C$1504,MATCH(SMALL('DAILY TASK TRACKER'!$BL$5:$BL$1504,11),'DAILY TASK TRACKER'!$BL$5:$BL$1504,0))="","",INDEX('DAILY TASK TRACKER'!$C$5:$C$1504,MATCH(SMALL('DAILY TASK TRACKER'!$BL$5:$BL$1504,11),'DAILY TASK TRACKER'!$BL$5:$BL$1504,0))),"")</f>
        <v/>
      </c>
      <c r="C63" s="50" t="str">
        <f>IFERROR(IF(INDEX('DAILY TASK TRACKER'!$B$5:$B$1504,MATCH(SMALL('DAILY TASK TRACKER'!$BL$5:$BL$1504,11),'DAILY TASK TRACKER'!$BL$5:$BL$1504,0))="","",INDEX('DAILY TASK TRACKER'!$B$5:$B$1504,MATCH(SMALL('DAILY TASK TRACKER'!$BL$5:$BL$1504,11),'DAILY TASK TRACKER'!$BL$5:$BL$1504,0))),"")</f>
        <v/>
      </c>
      <c r="D63" s="50" t="str">
        <f>IFERROR(IF(INDEX('DAILY TASK TRACKER'!$I$5:$I$1504,MATCH(SMALL('DAILY TASK TRACKER'!$BL$5:$BL$1504,11),'DAILY TASK TRACKER'!$BL$5:$BL$1504,0))="","",INDEX('DAILY TASK TRACKER'!$I$5:$I$1504,MATCH(SMALL('DAILY TASK TRACKER'!$BL$5:$BL$1504,11),'DAILY TASK TRACKER'!$BL$5:$BL$1504,0))),"")</f>
        <v/>
      </c>
      <c r="E63" s="50" t="str">
        <f>IFERROR(IF(INDEX('DAILY TASK TRACKER'!$M$5:$M$1504,MATCH(SMALL('DAILY TASK TRACKER'!$BL$5:$BL$1504,11),'DAILY TASK TRACKER'!$BL$5:$BL$1504,0))="","",INDEX('DAILY TASK TRACKER'!$M$5:$M$1504,MATCH(SMALL('DAILY TASK TRACKER'!$BL$5:$BL$1504,11),'DAILY TASK TRACKER'!$BL$5:$BL$1504,0))),"")</f>
        <v/>
      </c>
      <c r="F63" s="100" t="str">
        <f>IFERROR(IF(INDEX('DAILY TASK TRACKER'!$L$5:$L$1504,MATCH(SMALL('DAILY TASK TRACKER'!$BL$5:$BL$1504,11),'DAILY TASK TRACKER'!$BL$5:$BL$1504,0))="","",INDEX('DAILY TASK TRACKER'!$L$5:$L$1504,MATCH(SMALL('DAILY TASK TRACKER'!$BL$5:$BL$1504,11),'DAILY TASK TRACKER'!$BL$5:$BL$1504,0))),"")</f>
        <v/>
      </c>
      <c r="G63" s="50" t="str">
        <f>IFERROR(IF(INDEX('DAILY TASK TRACKER'!$T$5:$T$1504,MATCH(SMALL('DAILY TASK TRACKER'!$BL$5:$BL$1504,11),'DAILY TASK TRACKER'!$BL$5:$BL$1504,0))="","",INDEX('DAILY TASK TRACKER'!$T$5:$T$1504,MATCH(SMALL('DAILY TASK TRACKER'!$BL$5:$BL$1504,11),'DAILY TASK TRACKER'!$BL$5:$BL$1504,0))),"")</f>
        <v/>
      </c>
      <c r="H63" s="50" t="str">
        <f>IFERROR(IF(INDEX('DAILY TASK TRACKER'!$V$5:$V$1504,MATCH(SMALL('DAILY TASK TRACKER'!$BL$5:$BL$1504,11),'DAILY TASK TRACKER'!$BL$5:$BL$1504,0))="","",INDEX('DAILY TASK TRACKER'!$V$5:$V$1504,MATCH(SMALL('DAILY TASK TRACKER'!$BL$5:$BL$1504,11),'DAILY TASK TRACKER'!$BL$5:$BL$1504,0))),"")</f>
        <v/>
      </c>
      <c r="I63" s="100" t="str">
        <f>IFERROR(IF(INDEX('DAILY TASK TRACKER'!$W$5:$W$1504,MATCH(SMALL('DAILY TASK TRACKER'!$BL$5:$BL$1504,11),'DAILY TASK TRACKER'!$BL$5:$BL$1504,0))="","",INDEX('DAILY TASK TRACKER'!$W$5:$W$1504,MATCH(SMALL('DAILY TASK TRACKER'!$BL$5:$BL$1504,11),'DAILY TASK TRACKER'!$BL$5:$BL$1504,0))),"")</f>
        <v/>
      </c>
    </row>
    <row r="64" ht="24" customHeight="1">
      <c r="A64" s="50" t="str">
        <f>IFERROR(IF(INDEX('DAILY TASK TRACKER'!$G$5:$G$1504,MATCH(SMALL('DAILY TASK TRACKER'!$BL$5:$BL$1504,12),'DAILY TASK TRACKER'!$BL$5:$BL$1504,0))="","",INDEX('DAILY TASK TRACKER'!$G$5:$G$1504,MATCH(SMALL('DAILY TASK TRACKER'!$BL$5:$BL$1504,12),'DAILY TASK TRACKER'!$BL$5:$BL$1504,0))),"")</f>
        <v/>
      </c>
      <c r="B64" s="50" t="str">
        <f>IFERROR(IF(INDEX('DAILY TASK TRACKER'!$C$5:$C$1504,MATCH(SMALL('DAILY TASK TRACKER'!$BL$5:$BL$1504,12),'DAILY TASK TRACKER'!$BL$5:$BL$1504,0))="","",INDEX('DAILY TASK TRACKER'!$C$5:$C$1504,MATCH(SMALL('DAILY TASK TRACKER'!$BL$5:$BL$1504,12),'DAILY TASK TRACKER'!$BL$5:$BL$1504,0))),"")</f>
        <v/>
      </c>
      <c r="C64" s="50" t="str">
        <f>IFERROR(IF(INDEX('DAILY TASK TRACKER'!$B$5:$B$1504,MATCH(SMALL('DAILY TASK TRACKER'!$BL$5:$BL$1504,12),'DAILY TASK TRACKER'!$BL$5:$BL$1504,0))="","",INDEX('DAILY TASK TRACKER'!$B$5:$B$1504,MATCH(SMALL('DAILY TASK TRACKER'!$BL$5:$BL$1504,12),'DAILY TASK TRACKER'!$BL$5:$BL$1504,0))),"")</f>
        <v/>
      </c>
      <c r="D64" s="50" t="str">
        <f>IFERROR(IF(INDEX('DAILY TASK TRACKER'!$I$5:$I$1504,MATCH(SMALL('DAILY TASK TRACKER'!$BL$5:$BL$1504,12),'DAILY TASK TRACKER'!$BL$5:$BL$1504,0))="","",INDEX('DAILY TASK TRACKER'!$I$5:$I$1504,MATCH(SMALL('DAILY TASK TRACKER'!$BL$5:$BL$1504,12),'DAILY TASK TRACKER'!$BL$5:$BL$1504,0))),"")</f>
        <v/>
      </c>
      <c r="E64" s="50" t="str">
        <f>IFERROR(IF(INDEX('DAILY TASK TRACKER'!$M$5:$M$1504,MATCH(SMALL('DAILY TASK TRACKER'!$BL$5:$BL$1504,12),'DAILY TASK TRACKER'!$BL$5:$BL$1504,0))="","",INDEX('DAILY TASK TRACKER'!$M$5:$M$1504,MATCH(SMALL('DAILY TASK TRACKER'!$BL$5:$BL$1504,12),'DAILY TASK TRACKER'!$BL$5:$BL$1504,0))),"")</f>
        <v/>
      </c>
      <c r="F64" s="100" t="str">
        <f>IFERROR(IF(INDEX('DAILY TASK TRACKER'!$L$5:$L$1504,MATCH(SMALL('DAILY TASK TRACKER'!$BL$5:$BL$1504,12),'DAILY TASK TRACKER'!$BL$5:$BL$1504,0))="","",INDEX('DAILY TASK TRACKER'!$L$5:$L$1504,MATCH(SMALL('DAILY TASK TRACKER'!$BL$5:$BL$1504,12),'DAILY TASK TRACKER'!$BL$5:$BL$1504,0))),"")</f>
        <v/>
      </c>
      <c r="G64" s="50" t="str">
        <f>IFERROR(IF(INDEX('DAILY TASK TRACKER'!$T$5:$T$1504,MATCH(SMALL('DAILY TASK TRACKER'!$BL$5:$BL$1504,12),'DAILY TASK TRACKER'!$BL$5:$BL$1504,0))="","",INDEX('DAILY TASK TRACKER'!$T$5:$T$1504,MATCH(SMALL('DAILY TASK TRACKER'!$BL$5:$BL$1504,12),'DAILY TASK TRACKER'!$BL$5:$BL$1504,0))),"")</f>
        <v/>
      </c>
      <c r="H64" s="50" t="str">
        <f>IFERROR(IF(INDEX('DAILY TASK TRACKER'!$V$5:$V$1504,MATCH(SMALL('DAILY TASK TRACKER'!$BL$5:$BL$1504,12),'DAILY TASK TRACKER'!$BL$5:$BL$1504,0))="","",INDEX('DAILY TASK TRACKER'!$V$5:$V$1504,MATCH(SMALL('DAILY TASK TRACKER'!$BL$5:$BL$1504,12),'DAILY TASK TRACKER'!$BL$5:$BL$1504,0))),"")</f>
        <v/>
      </c>
      <c r="I64" s="100" t="str">
        <f>IFERROR(IF(INDEX('DAILY TASK TRACKER'!$W$5:$W$1504,MATCH(SMALL('DAILY TASK TRACKER'!$BL$5:$BL$1504,12),'DAILY TASK TRACKER'!$BL$5:$BL$1504,0))="","",INDEX('DAILY TASK TRACKER'!$W$5:$W$1504,MATCH(SMALL('DAILY TASK TRACKER'!$BL$5:$BL$1504,12),'DAILY TASK TRACKER'!$BL$5:$BL$1504,0))),"")</f>
        <v/>
      </c>
    </row>
    <row r="67" ht="22" customHeight="1">
      <c r="A67" s="3" t="inlineStr">
        <is>
          <t>5. MECCA - CAMPAIGNS (from CAMPAIGN MASTER)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38" t="inlineStr">
        <is>
          <t>Campaign</t>
        </is>
      </c>
      <c r="B68" s="38" t="inlineStr">
        <is>
          <t>Product</t>
        </is>
      </c>
      <c r="C68" s="38" t="inlineStr">
        <is>
          <t>Market</t>
        </is>
      </c>
      <c r="D68" s="38" t="inlineStr">
        <is>
          <t>Channel</t>
        </is>
      </c>
      <c r="E68" s="38" t="inlineStr">
        <is>
          <t>Status</t>
        </is>
      </c>
      <c r="F68" s="38" t="inlineStr">
        <is>
          <t>Owner</t>
        </is>
      </c>
      <c r="G68" s="38" t="inlineStr">
        <is>
          <t>Leads</t>
        </is>
      </c>
      <c r="H68" s="38" t="inlineStr">
        <is>
          <t>MQLs</t>
        </is>
      </c>
      <c r="I68" s="38" t="inlineStr">
        <is>
          <t>Performance</t>
        </is>
      </c>
      <c r="J68" s="38" t="inlineStr">
        <is>
          <t>Next Action</t>
        </is>
      </c>
    </row>
    <row r="69" ht="24" customHeight="1">
      <c r="A69" s="49" t="str">
        <f>IFERROR(IF(INDEX('CAMPAIGN MASTER'!$B$5:$B$704,MATCH(SMALL('CAMPAIGN MASTER'!$BB$5:$BB$704,1),'CAMPAIGN MASTER'!$BB$5:$BB$704,0))="","",INDEX('CAMPAIGN MASTER'!$B$5:$B$704,MATCH(SMALL('CAMPAIGN MASTER'!$BB$5:$BB$704,1),'CAMPAIGN MASTER'!$BB$5:$BB$704,0))),"- none yet -")</f>
        <v>Tata MECCA Campaign</v>
      </c>
      <c r="B69" s="50" t="str">
        <f>IFERROR(IF(INDEX('CAMPAIGN MASTER'!$D$5:$D$704,MATCH(SMALL('CAMPAIGN MASTER'!$BB$5:$BB$704,1),'CAMPAIGN MASTER'!$BB$5:$BB$704,0))="","",INDEX('CAMPAIGN MASTER'!$D$5:$D$704,MATCH(SMALL('CAMPAIGN MASTER'!$BB$5:$BB$704,1),'CAMPAIGN MASTER'!$BB$5:$BB$704,0))),"")</f>
        <v/>
      </c>
      <c r="C69" s="50" t="str">
        <f>IFERROR(IF(INDEX('CAMPAIGN MASTER'!$E$5:$E$704,MATCH(SMALL('CAMPAIGN MASTER'!$BB$5:$BB$704,1),'CAMPAIGN MASTER'!$BB$5:$BB$704,0))="","",INDEX('CAMPAIGN MASTER'!$E$5:$E$704,MATCH(SMALL('CAMPAIGN MASTER'!$BB$5:$BB$704,1),'CAMPAIGN MASTER'!$BB$5:$BB$704,0))),"")</f>
        <v/>
      </c>
      <c r="D69" s="50" t="str">
        <f>IFERROR(IF(INDEX('CAMPAIGN MASTER'!$H$5:$H$704,MATCH(SMALL('CAMPAIGN MASTER'!$BB$5:$BB$704,1),'CAMPAIGN MASTER'!$BB$5:$BB$704,0))="","",INDEX('CAMPAIGN MASTER'!$H$5:$H$704,MATCH(SMALL('CAMPAIGN MASTER'!$BB$5:$BB$704,1),'CAMPAIGN MASTER'!$BB$5:$BB$704,0))),"")</f>
        <v>Multi-channel</v>
      </c>
      <c r="E69" s="50" t="str">
        <f>IFERROR(IF(INDEX('CAMPAIGN MASTER'!$N$5:$N$704,MATCH(SMALL('CAMPAIGN MASTER'!$BB$5:$BB$704,1),'CAMPAIGN MASTER'!$BB$5:$BB$704,0))="","",INDEX('CAMPAIGN MASTER'!$N$5:$N$704,MATCH(SMALL('CAMPAIGN MASTER'!$BB$5:$BB$704,1),'CAMPAIGN MASTER'!$BB$5:$BB$704,0))),"")</f>
        <v/>
      </c>
      <c r="F69" s="50" t="str">
        <f>IFERROR(IF(INDEX('CAMPAIGN MASTER'!$I$5:$I$704,MATCH(SMALL('CAMPAIGN MASTER'!$BB$5:$BB$704,1),'CAMPAIGN MASTER'!$BB$5:$BB$704,0))="","",INDEX('CAMPAIGN MASTER'!$I$5:$I$704,MATCH(SMALL('CAMPAIGN MASTER'!$BB$5:$BB$704,1),'CAMPAIGN MASTER'!$BB$5:$BB$704,0))),"")</f>
        <v/>
      </c>
      <c r="G69" s="95">
        <f>IFERROR(IF(INDEX('CAMPAIGN MASTER'!$R$5:$R$704,MATCH(SMALL('CAMPAIGN MASTER'!$BB$5:$BB$704,1),'CAMPAIGN MASTER'!$BB$5:$BB$704,0))="","",INDEX('CAMPAIGN MASTER'!$R$5:$R$704,MATCH(SMALL('CAMPAIGN MASTER'!$BB$5:$BB$704,1),'CAMPAIGN MASTER'!$BB$5:$BB$704,0))),"")</f>
        <v>0</v>
      </c>
      <c r="H69" s="95">
        <f>IFERROR(IF(INDEX('CAMPAIGN MASTER'!$T$5:$T$704,MATCH(SMALL('CAMPAIGN MASTER'!$BB$5:$BB$704,1),'CAMPAIGN MASTER'!$BB$5:$BB$704,0))="","",INDEX('CAMPAIGN MASTER'!$T$5:$T$704,MATCH(SMALL('CAMPAIGN MASTER'!$BB$5:$BB$704,1),'CAMPAIGN MASTER'!$BB$5:$BB$704,0))),"")</f>
        <v>0</v>
      </c>
      <c r="I69" s="50" t="str">
        <f>IFERROR(IF(INDEX('CAMPAIGN MASTER'!$AA$5:$AA$704,MATCH(SMALL('CAMPAIGN MASTER'!$BB$5:$BB$704,1),'CAMPAIGN MASTER'!$BB$5:$BB$704,0))="","",INDEX('CAMPAIGN MASTER'!$AA$5:$AA$704,MATCH(SMALL('CAMPAIGN MASTER'!$BB$5:$BB$704,1),'CAMPAIGN MASTER'!$BB$5:$BB$704,0))),"")</f>
        <v>Not Live</v>
      </c>
      <c r="J69" s="50" t="str">
        <f>IFERROR(IF(INDEX('CAMPAIGN MASTER'!$AC$5:$AC$704,MATCH(SMALL('CAMPAIGN MASTER'!$BB$5:$BB$704,1),'CAMPAIGN MASTER'!$BB$5:$BB$704,0))="","",INDEX('CAMPAIGN MASTER'!$AC$5:$AC$704,MATCH(SMALL('CAMPAIGN MASTER'!$BB$5:$BB$704,1),'CAMPAIGN MASTER'!$BB$5:$BB$704,0))),"")</f>
        <v/>
      </c>
    </row>
    <row r="70" ht="24" customHeight="1">
      <c r="A70" s="50" t="str">
        <f>IFERROR(IF(INDEX('CAMPAIGN MASTER'!$B$5:$B$704,MATCH(SMALL('CAMPAIGN MASTER'!$BB$5:$BB$704,2),'CAMPAIGN MASTER'!$BB$5:$BB$704,0))="","",INDEX('CAMPAIGN MASTER'!$B$5:$B$704,MATCH(SMALL('CAMPAIGN MASTER'!$BB$5:$BB$704,2),'CAMPAIGN MASTER'!$BB$5:$BB$704,0))),"")</f>
        <v/>
      </c>
      <c r="B70" s="50" t="str">
        <f>IFERROR(IF(INDEX('CAMPAIGN MASTER'!$D$5:$D$704,MATCH(SMALL('CAMPAIGN MASTER'!$BB$5:$BB$704,2),'CAMPAIGN MASTER'!$BB$5:$BB$704,0))="","",INDEX('CAMPAIGN MASTER'!$D$5:$D$704,MATCH(SMALL('CAMPAIGN MASTER'!$BB$5:$BB$704,2),'CAMPAIGN MASTER'!$BB$5:$BB$704,0))),"")</f>
        <v/>
      </c>
      <c r="C70" s="50" t="str">
        <f>IFERROR(IF(INDEX('CAMPAIGN MASTER'!$E$5:$E$704,MATCH(SMALL('CAMPAIGN MASTER'!$BB$5:$BB$704,2),'CAMPAIGN MASTER'!$BB$5:$BB$704,0))="","",INDEX('CAMPAIGN MASTER'!$E$5:$E$704,MATCH(SMALL('CAMPAIGN MASTER'!$BB$5:$BB$704,2),'CAMPAIGN MASTER'!$BB$5:$BB$704,0))),"")</f>
        <v/>
      </c>
      <c r="D70" s="50" t="str">
        <f>IFERROR(IF(INDEX('CAMPAIGN MASTER'!$H$5:$H$704,MATCH(SMALL('CAMPAIGN MASTER'!$BB$5:$BB$704,2),'CAMPAIGN MASTER'!$BB$5:$BB$704,0))="","",INDEX('CAMPAIGN MASTER'!$H$5:$H$704,MATCH(SMALL('CAMPAIGN MASTER'!$BB$5:$BB$704,2),'CAMPAIGN MASTER'!$BB$5:$BB$704,0))),"")</f>
        <v/>
      </c>
      <c r="E70" s="50" t="str">
        <f>IFERROR(IF(INDEX('CAMPAIGN MASTER'!$N$5:$N$704,MATCH(SMALL('CAMPAIGN MASTER'!$BB$5:$BB$704,2),'CAMPAIGN MASTER'!$BB$5:$BB$704,0))="","",INDEX('CAMPAIGN MASTER'!$N$5:$N$704,MATCH(SMALL('CAMPAIGN MASTER'!$BB$5:$BB$704,2),'CAMPAIGN MASTER'!$BB$5:$BB$704,0))),"")</f>
        <v/>
      </c>
      <c r="F70" s="50" t="str">
        <f>IFERROR(IF(INDEX('CAMPAIGN MASTER'!$I$5:$I$704,MATCH(SMALL('CAMPAIGN MASTER'!$BB$5:$BB$704,2),'CAMPAIGN MASTER'!$BB$5:$BB$704,0))="","",INDEX('CAMPAIGN MASTER'!$I$5:$I$704,MATCH(SMALL('CAMPAIGN MASTER'!$BB$5:$BB$704,2),'CAMPAIGN MASTER'!$BB$5:$BB$704,0))),"")</f>
        <v/>
      </c>
      <c r="G70" s="95" t="str">
        <f>IFERROR(IF(INDEX('CAMPAIGN MASTER'!$R$5:$R$704,MATCH(SMALL('CAMPAIGN MASTER'!$BB$5:$BB$704,2),'CAMPAIGN MASTER'!$BB$5:$BB$704,0))="","",INDEX('CAMPAIGN MASTER'!$R$5:$R$704,MATCH(SMALL('CAMPAIGN MASTER'!$BB$5:$BB$704,2),'CAMPAIGN MASTER'!$BB$5:$BB$704,0))),"")</f>
        <v/>
      </c>
      <c r="H70" s="95" t="str">
        <f>IFERROR(IF(INDEX('CAMPAIGN MASTER'!$T$5:$T$704,MATCH(SMALL('CAMPAIGN MASTER'!$BB$5:$BB$704,2),'CAMPAIGN MASTER'!$BB$5:$BB$704,0))="","",INDEX('CAMPAIGN MASTER'!$T$5:$T$704,MATCH(SMALL('CAMPAIGN MASTER'!$BB$5:$BB$704,2),'CAMPAIGN MASTER'!$BB$5:$BB$704,0))),"")</f>
        <v/>
      </c>
      <c r="I70" s="50" t="str">
        <f>IFERROR(IF(INDEX('CAMPAIGN MASTER'!$AA$5:$AA$704,MATCH(SMALL('CAMPAIGN MASTER'!$BB$5:$BB$704,2),'CAMPAIGN MASTER'!$BB$5:$BB$704,0))="","",INDEX('CAMPAIGN MASTER'!$AA$5:$AA$704,MATCH(SMALL('CAMPAIGN MASTER'!$BB$5:$BB$704,2),'CAMPAIGN MASTER'!$BB$5:$BB$704,0))),"")</f>
        <v/>
      </c>
      <c r="J70" s="50" t="str">
        <f>IFERROR(IF(INDEX('CAMPAIGN MASTER'!$AC$5:$AC$704,MATCH(SMALL('CAMPAIGN MASTER'!$BB$5:$BB$704,2),'CAMPAIGN MASTER'!$BB$5:$BB$704,0))="","",INDEX('CAMPAIGN MASTER'!$AC$5:$AC$704,MATCH(SMALL('CAMPAIGN MASTER'!$BB$5:$BB$704,2),'CAMPAIGN MASTER'!$BB$5:$BB$704,0))),"")</f>
        <v/>
      </c>
    </row>
    <row r="71" ht="24" customHeight="1">
      <c r="A71" s="50" t="str">
        <f>IFERROR(IF(INDEX('CAMPAIGN MASTER'!$B$5:$B$704,MATCH(SMALL('CAMPAIGN MASTER'!$BB$5:$BB$704,3),'CAMPAIGN MASTER'!$BB$5:$BB$704,0))="","",INDEX('CAMPAIGN MASTER'!$B$5:$B$704,MATCH(SMALL('CAMPAIGN MASTER'!$BB$5:$BB$704,3),'CAMPAIGN MASTER'!$BB$5:$BB$704,0))),"")</f>
        <v/>
      </c>
      <c r="B71" s="50" t="str">
        <f>IFERROR(IF(INDEX('CAMPAIGN MASTER'!$D$5:$D$704,MATCH(SMALL('CAMPAIGN MASTER'!$BB$5:$BB$704,3),'CAMPAIGN MASTER'!$BB$5:$BB$704,0))="","",INDEX('CAMPAIGN MASTER'!$D$5:$D$704,MATCH(SMALL('CAMPAIGN MASTER'!$BB$5:$BB$704,3),'CAMPAIGN MASTER'!$BB$5:$BB$704,0))),"")</f>
        <v/>
      </c>
      <c r="C71" s="50" t="str">
        <f>IFERROR(IF(INDEX('CAMPAIGN MASTER'!$E$5:$E$704,MATCH(SMALL('CAMPAIGN MASTER'!$BB$5:$BB$704,3),'CAMPAIGN MASTER'!$BB$5:$BB$704,0))="","",INDEX('CAMPAIGN MASTER'!$E$5:$E$704,MATCH(SMALL('CAMPAIGN MASTER'!$BB$5:$BB$704,3),'CAMPAIGN MASTER'!$BB$5:$BB$704,0))),"")</f>
        <v/>
      </c>
      <c r="D71" s="50" t="str">
        <f>IFERROR(IF(INDEX('CAMPAIGN MASTER'!$H$5:$H$704,MATCH(SMALL('CAMPAIGN MASTER'!$BB$5:$BB$704,3),'CAMPAIGN MASTER'!$BB$5:$BB$704,0))="","",INDEX('CAMPAIGN MASTER'!$H$5:$H$704,MATCH(SMALL('CAMPAIGN MASTER'!$BB$5:$BB$704,3),'CAMPAIGN MASTER'!$BB$5:$BB$704,0))),"")</f>
        <v/>
      </c>
      <c r="E71" s="50" t="str">
        <f>IFERROR(IF(INDEX('CAMPAIGN MASTER'!$N$5:$N$704,MATCH(SMALL('CAMPAIGN MASTER'!$BB$5:$BB$704,3),'CAMPAIGN MASTER'!$BB$5:$BB$704,0))="","",INDEX('CAMPAIGN MASTER'!$N$5:$N$704,MATCH(SMALL('CAMPAIGN MASTER'!$BB$5:$BB$704,3),'CAMPAIGN MASTER'!$BB$5:$BB$704,0))),"")</f>
        <v/>
      </c>
      <c r="F71" s="50" t="str">
        <f>IFERROR(IF(INDEX('CAMPAIGN MASTER'!$I$5:$I$704,MATCH(SMALL('CAMPAIGN MASTER'!$BB$5:$BB$704,3),'CAMPAIGN MASTER'!$BB$5:$BB$704,0))="","",INDEX('CAMPAIGN MASTER'!$I$5:$I$704,MATCH(SMALL('CAMPAIGN MASTER'!$BB$5:$BB$704,3),'CAMPAIGN MASTER'!$BB$5:$BB$704,0))),"")</f>
        <v/>
      </c>
      <c r="G71" s="95" t="str">
        <f>IFERROR(IF(INDEX('CAMPAIGN MASTER'!$R$5:$R$704,MATCH(SMALL('CAMPAIGN MASTER'!$BB$5:$BB$704,3),'CAMPAIGN MASTER'!$BB$5:$BB$704,0))="","",INDEX('CAMPAIGN MASTER'!$R$5:$R$704,MATCH(SMALL('CAMPAIGN MASTER'!$BB$5:$BB$704,3),'CAMPAIGN MASTER'!$BB$5:$BB$704,0))),"")</f>
        <v/>
      </c>
      <c r="H71" s="95" t="str">
        <f>IFERROR(IF(INDEX('CAMPAIGN MASTER'!$T$5:$T$704,MATCH(SMALL('CAMPAIGN MASTER'!$BB$5:$BB$704,3),'CAMPAIGN MASTER'!$BB$5:$BB$704,0))="","",INDEX('CAMPAIGN MASTER'!$T$5:$T$704,MATCH(SMALL('CAMPAIGN MASTER'!$BB$5:$BB$704,3),'CAMPAIGN MASTER'!$BB$5:$BB$704,0))),"")</f>
        <v/>
      </c>
      <c r="I71" s="50" t="str">
        <f>IFERROR(IF(INDEX('CAMPAIGN MASTER'!$AA$5:$AA$704,MATCH(SMALL('CAMPAIGN MASTER'!$BB$5:$BB$704,3),'CAMPAIGN MASTER'!$BB$5:$BB$704,0))="","",INDEX('CAMPAIGN MASTER'!$AA$5:$AA$704,MATCH(SMALL('CAMPAIGN MASTER'!$BB$5:$BB$704,3),'CAMPAIGN MASTER'!$BB$5:$BB$704,0))),"")</f>
        <v/>
      </c>
      <c r="J71" s="50" t="str">
        <f>IFERROR(IF(INDEX('CAMPAIGN MASTER'!$AC$5:$AC$704,MATCH(SMALL('CAMPAIGN MASTER'!$BB$5:$BB$704,3),'CAMPAIGN MASTER'!$BB$5:$BB$704,0))="","",INDEX('CAMPAIGN MASTER'!$AC$5:$AC$704,MATCH(SMALL('CAMPAIGN MASTER'!$BB$5:$BB$704,3),'CAMPAIGN MASTER'!$BB$5:$BB$704,0))),"")</f>
        <v/>
      </c>
    </row>
    <row r="72" ht="24" customHeight="1">
      <c r="A72" s="50" t="str">
        <f>IFERROR(IF(INDEX('CAMPAIGN MASTER'!$B$5:$B$704,MATCH(SMALL('CAMPAIGN MASTER'!$BB$5:$BB$704,4),'CAMPAIGN MASTER'!$BB$5:$BB$704,0))="","",INDEX('CAMPAIGN MASTER'!$B$5:$B$704,MATCH(SMALL('CAMPAIGN MASTER'!$BB$5:$BB$704,4),'CAMPAIGN MASTER'!$BB$5:$BB$704,0))),"")</f>
        <v/>
      </c>
      <c r="B72" s="50" t="str">
        <f>IFERROR(IF(INDEX('CAMPAIGN MASTER'!$D$5:$D$704,MATCH(SMALL('CAMPAIGN MASTER'!$BB$5:$BB$704,4),'CAMPAIGN MASTER'!$BB$5:$BB$704,0))="","",INDEX('CAMPAIGN MASTER'!$D$5:$D$704,MATCH(SMALL('CAMPAIGN MASTER'!$BB$5:$BB$704,4),'CAMPAIGN MASTER'!$BB$5:$BB$704,0))),"")</f>
        <v/>
      </c>
      <c r="C72" s="50" t="str">
        <f>IFERROR(IF(INDEX('CAMPAIGN MASTER'!$E$5:$E$704,MATCH(SMALL('CAMPAIGN MASTER'!$BB$5:$BB$704,4),'CAMPAIGN MASTER'!$BB$5:$BB$704,0))="","",INDEX('CAMPAIGN MASTER'!$E$5:$E$704,MATCH(SMALL('CAMPAIGN MASTER'!$BB$5:$BB$704,4),'CAMPAIGN MASTER'!$BB$5:$BB$704,0))),"")</f>
        <v/>
      </c>
      <c r="D72" s="50" t="str">
        <f>IFERROR(IF(INDEX('CAMPAIGN MASTER'!$H$5:$H$704,MATCH(SMALL('CAMPAIGN MASTER'!$BB$5:$BB$704,4),'CAMPAIGN MASTER'!$BB$5:$BB$704,0))="","",INDEX('CAMPAIGN MASTER'!$H$5:$H$704,MATCH(SMALL('CAMPAIGN MASTER'!$BB$5:$BB$704,4),'CAMPAIGN MASTER'!$BB$5:$BB$704,0))),"")</f>
        <v/>
      </c>
      <c r="E72" s="50" t="str">
        <f>IFERROR(IF(INDEX('CAMPAIGN MASTER'!$N$5:$N$704,MATCH(SMALL('CAMPAIGN MASTER'!$BB$5:$BB$704,4),'CAMPAIGN MASTER'!$BB$5:$BB$704,0))="","",INDEX('CAMPAIGN MASTER'!$N$5:$N$704,MATCH(SMALL('CAMPAIGN MASTER'!$BB$5:$BB$704,4),'CAMPAIGN MASTER'!$BB$5:$BB$704,0))),"")</f>
        <v/>
      </c>
      <c r="F72" s="50" t="str">
        <f>IFERROR(IF(INDEX('CAMPAIGN MASTER'!$I$5:$I$704,MATCH(SMALL('CAMPAIGN MASTER'!$BB$5:$BB$704,4),'CAMPAIGN MASTER'!$BB$5:$BB$704,0))="","",INDEX('CAMPAIGN MASTER'!$I$5:$I$704,MATCH(SMALL('CAMPAIGN MASTER'!$BB$5:$BB$704,4),'CAMPAIGN MASTER'!$BB$5:$BB$704,0))),"")</f>
        <v/>
      </c>
      <c r="G72" s="95" t="str">
        <f>IFERROR(IF(INDEX('CAMPAIGN MASTER'!$R$5:$R$704,MATCH(SMALL('CAMPAIGN MASTER'!$BB$5:$BB$704,4),'CAMPAIGN MASTER'!$BB$5:$BB$704,0))="","",INDEX('CAMPAIGN MASTER'!$R$5:$R$704,MATCH(SMALL('CAMPAIGN MASTER'!$BB$5:$BB$704,4),'CAMPAIGN MASTER'!$BB$5:$BB$704,0))),"")</f>
        <v/>
      </c>
      <c r="H72" s="95" t="str">
        <f>IFERROR(IF(INDEX('CAMPAIGN MASTER'!$T$5:$T$704,MATCH(SMALL('CAMPAIGN MASTER'!$BB$5:$BB$704,4),'CAMPAIGN MASTER'!$BB$5:$BB$704,0))="","",INDEX('CAMPAIGN MASTER'!$T$5:$T$704,MATCH(SMALL('CAMPAIGN MASTER'!$BB$5:$BB$704,4),'CAMPAIGN MASTER'!$BB$5:$BB$704,0))),"")</f>
        <v/>
      </c>
      <c r="I72" s="50" t="str">
        <f>IFERROR(IF(INDEX('CAMPAIGN MASTER'!$AA$5:$AA$704,MATCH(SMALL('CAMPAIGN MASTER'!$BB$5:$BB$704,4),'CAMPAIGN MASTER'!$BB$5:$BB$704,0))="","",INDEX('CAMPAIGN MASTER'!$AA$5:$AA$704,MATCH(SMALL('CAMPAIGN MASTER'!$BB$5:$BB$704,4),'CAMPAIGN MASTER'!$BB$5:$BB$704,0))),"")</f>
        <v/>
      </c>
      <c r="J72" s="50" t="str">
        <f>IFERROR(IF(INDEX('CAMPAIGN MASTER'!$AC$5:$AC$704,MATCH(SMALL('CAMPAIGN MASTER'!$BB$5:$BB$704,4),'CAMPAIGN MASTER'!$BB$5:$BB$704,0))="","",INDEX('CAMPAIGN MASTER'!$AC$5:$AC$704,MATCH(SMALL('CAMPAIGN MASTER'!$BB$5:$BB$704,4),'CAMPAIGN MASTER'!$BB$5:$BB$704,0))),"")</f>
        <v/>
      </c>
    </row>
    <row r="73" ht="24" customHeight="1">
      <c r="A73" s="50" t="str">
        <f>IFERROR(IF(INDEX('CAMPAIGN MASTER'!$B$5:$B$704,MATCH(SMALL('CAMPAIGN MASTER'!$BB$5:$BB$704,5),'CAMPAIGN MASTER'!$BB$5:$BB$704,0))="","",INDEX('CAMPAIGN MASTER'!$B$5:$B$704,MATCH(SMALL('CAMPAIGN MASTER'!$BB$5:$BB$704,5),'CAMPAIGN MASTER'!$BB$5:$BB$704,0))),"")</f>
        <v/>
      </c>
      <c r="B73" s="50" t="str">
        <f>IFERROR(IF(INDEX('CAMPAIGN MASTER'!$D$5:$D$704,MATCH(SMALL('CAMPAIGN MASTER'!$BB$5:$BB$704,5),'CAMPAIGN MASTER'!$BB$5:$BB$704,0))="","",INDEX('CAMPAIGN MASTER'!$D$5:$D$704,MATCH(SMALL('CAMPAIGN MASTER'!$BB$5:$BB$704,5),'CAMPAIGN MASTER'!$BB$5:$BB$704,0))),"")</f>
        <v/>
      </c>
      <c r="C73" s="50" t="str">
        <f>IFERROR(IF(INDEX('CAMPAIGN MASTER'!$E$5:$E$704,MATCH(SMALL('CAMPAIGN MASTER'!$BB$5:$BB$704,5),'CAMPAIGN MASTER'!$BB$5:$BB$704,0))="","",INDEX('CAMPAIGN MASTER'!$E$5:$E$704,MATCH(SMALL('CAMPAIGN MASTER'!$BB$5:$BB$704,5),'CAMPAIGN MASTER'!$BB$5:$BB$704,0))),"")</f>
        <v/>
      </c>
      <c r="D73" s="50" t="str">
        <f>IFERROR(IF(INDEX('CAMPAIGN MASTER'!$H$5:$H$704,MATCH(SMALL('CAMPAIGN MASTER'!$BB$5:$BB$704,5),'CAMPAIGN MASTER'!$BB$5:$BB$704,0))="","",INDEX('CAMPAIGN MASTER'!$H$5:$H$704,MATCH(SMALL('CAMPAIGN MASTER'!$BB$5:$BB$704,5),'CAMPAIGN MASTER'!$BB$5:$BB$704,0))),"")</f>
        <v/>
      </c>
      <c r="E73" s="50" t="str">
        <f>IFERROR(IF(INDEX('CAMPAIGN MASTER'!$N$5:$N$704,MATCH(SMALL('CAMPAIGN MASTER'!$BB$5:$BB$704,5),'CAMPAIGN MASTER'!$BB$5:$BB$704,0))="","",INDEX('CAMPAIGN MASTER'!$N$5:$N$704,MATCH(SMALL('CAMPAIGN MASTER'!$BB$5:$BB$704,5),'CAMPAIGN MASTER'!$BB$5:$BB$704,0))),"")</f>
        <v/>
      </c>
      <c r="F73" s="50" t="str">
        <f>IFERROR(IF(INDEX('CAMPAIGN MASTER'!$I$5:$I$704,MATCH(SMALL('CAMPAIGN MASTER'!$BB$5:$BB$704,5),'CAMPAIGN MASTER'!$BB$5:$BB$704,0))="","",INDEX('CAMPAIGN MASTER'!$I$5:$I$704,MATCH(SMALL('CAMPAIGN MASTER'!$BB$5:$BB$704,5),'CAMPAIGN MASTER'!$BB$5:$BB$704,0))),"")</f>
        <v/>
      </c>
      <c r="G73" s="95" t="str">
        <f>IFERROR(IF(INDEX('CAMPAIGN MASTER'!$R$5:$R$704,MATCH(SMALL('CAMPAIGN MASTER'!$BB$5:$BB$704,5),'CAMPAIGN MASTER'!$BB$5:$BB$704,0))="","",INDEX('CAMPAIGN MASTER'!$R$5:$R$704,MATCH(SMALL('CAMPAIGN MASTER'!$BB$5:$BB$704,5),'CAMPAIGN MASTER'!$BB$5:$BB$704,0))),"")</f>
        <v/>
      </c>
      <c r="H73" s="95" t="str">
        <f>IFERROR(IF(INDEX('CAMPAIGN MASTER'!$T$5:$T$704,MATCH(SMALL('CAMPAIGN MASTER'!$BB$5:$BB$704,5),'CAMPAIGN MASTER'!$BB$5:$BB$704,0))="","",INDEX('CAMPAIGN MASTER'!$T$5:$T$704,MATCH(SMALL('CAMPAIGN MASTER'!$BB$5:$BB$704,5),'CAMPAIGN MASTER'!$BB$5:$BB$704,0))),"")</f>
        <v/>
      </c>
      <c r="I73" s="50" t="str">
        <f>IFERROR(IF(INDEX('CAMPAIGN MASTER'!$AA$5:$AA$704,MATCH(SMALL('CAMPAIGN MASTER'!$BB$5:$BB$704,5),'CAMPAIGN MASTER'!$BB$5:$BB$704,0))="","",INDEX('CAMPAIGN MASTER'!$AA$5:$AA$704,MATCH(SMALL('CAMPAIGN MASTER'!$BB$5:$BB$704,5),'CAMPAIGN MASTER'!$BB$5:$BB$704,0))),"")</f>
        <v/>
      </c>
      <c r="J73" s="50" t="str">
        <f>IFERROR(IF(INDEX('CAMPAIGN MASTER'!$AC$5:$AC$704,MATCH(SMALL('CAMPAIGN MASTER'!$BB$5:$BB$704,5),'CAMPAIGN MASTER'!$BB$5:$BB$704,0))="","",INDEX('CAMPAIGN MASTER'!$AC$5:$AC$704,MATCH(SMALL('CAMPAIGN MASTER'!$BB$5:$BB$704,5),'CAMPAIGN MASTER'!$BB$5:$BB$704,0))),"")</f>
        <v/>
      </c>
    </row>
    <row r="75" ht="22" customHeight="1">
      <c r="A75" s="3" t="inlineStr">
        <is>
          <t>5b. MECCA READINESS TRACKER (team updates the BLUE cells)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80" t="inlineStr">
        <is>
          <t>Workstream</t>
        </is>
      </c>
      <c r="B76" s="80" t="inlineStr">
        <is>
          <t>Status</t>
        </is>
      </c>
      <c r="C76" s="80" t="inlineStr">
        <is>
          <t>Owner</t>
        </is>
      </c>
      <c r="D76" s="80" t="inlineStr">
        <is>
          <t>Target Date</t>
        </is>
      </c>
      <c r="E76" s="80" t="inlineStr">
        <is>
          <t>Auto Data</t>
        </is>
      </c>
      <c r="F76" s="80" t="inlineStr">
        <is>
          <t>Notes / Next steps</t>
        </is>
      </c>
      <c r="G76" s="12" t="n"/>
      <c r="H76" s="12" t="n"/>
      <c r="I76" s="12" t="n"/>
      <c r="J76" s="13" t="n"/>
    </row>
    <row r="77" ht="24" customHeight="1">
      <c r="A77" s="40" t="inlineStr">
        <is>
          <t>Strategy status</t>
        </is>
      </c>
      <c r="B77" s="101" t="inlineStr">
        <is>
          <t>Not Available</t>
        </is>
      </c>
      <c r="C77" s="101" t="n"/>
      <c r="D77" s="102" t="n"/>
      <c r="E77" s="103" t="inlineStr"/>
      <c r="F77" s="104" t="n"/>
      <c r="G77" s="105" t="n"/>
      <c r="H77" s="105" t="n"/>
      <c r="I77" s="105" t="n"/>
      <c r="J77" s="105" t="n"/>
    </row>
    <row r="78" ht="24" customHeight="1">
      <c r="A78" s="40" t="inlineStr">
        <is>
          <t>Market research</t>
        </is>
      </c>
      <c r="B78" s="101" t="inlineStr">
        <is>
          <t>Not Available</t>
        </is>
      </c>
      <c r="C78" s="101" t="n"/>
      <c r="D78" s="102" t="n"/>
      <c r="E78" s="103" t="inlineStr"/>
      <c r="F78" s="104" t="n"/>
      <c r="G78" s="105" t="n"/>
      <c r="H78" s="105" t="n"/>
      <c r="I78" s="105" t="n"/>
      <c r="J78" s="105" t="n"/>
    </row>
    <row r="79" ht="24" customHeight="1">
      <c r="A79" s="40" t="inlineStr">
        <is>
          <t>ICP (Ideal Customer Profile)</t>
        </is>
      </c>
      <c r="B79" s="101" t="inlineStr">
        <is>
          <t>Not Available</t>
        </is>
      </c>
      <c r="C79" s="101" t="n"/>
      <c r="D79" s="102" t="n"/>
      <c r="E79" s="103" t="inlineStr"/>
      <c r="F79" s="104" t="n"/>
      <c r="G79" s="105" t="n"/>
      <c r="H79" s="105" t="n"/>
      <c r="I79" s="105" t="n"/>
      <c r="J79" s="105" t="n"/>
    </row>
    <row r="80" ht="24" customHeight="1">
      <c r="A80" s="40" t="inlineStr">
        <is>
          <t>Target accounts</t>
        </is>
      </c>
      <c r="B80" s="101" t="inlineStr">
        <is>
          <t>Not Available</t>
        </is>
      </c>
      <c r="C80" s="101" t="n"/>
      <c r="D80" s="102" t="n"/>
      <c r="E80" s="103" t="str">
        <f>"Accounts targeted: "&amp;SUMIFS('CAMPAIGN MASTER'!$AE$5:$AE$704,'CAMPAIGN MASTER'!$A$5:$A$704,MECCA_Client)</f>
        <v>Accounts targeted: 0</v>
      </c>
      <c r="F80" s="104" t="n"/>
      <c r="G80" s="105" t="n"/>
      <c r="H80" s="105" t="n"/>
      <c r="I80" s="105" t="n"/>
      <c r="J80" s="105" t="n"/>
    </row>
    <row r="81" ht="24" customHeight="1">
      <c r="A81" s="40" t="inlineStr">
        <is>
          <t>Campaign preparation</t>
        </is>
      </c>
      <c r="B81" s="101" t="inlineStr">
        <is>
          <t>Not Available</t>
        </is>
      </c>
      <c r="C81" s="101" t="n"/>
      <c r="D81" s="102" t="n"/>
      <c r="E81" s="103" t="str">
        <f>"Tasks logged: "&amp;COUNTIFS('DAILY TASK TRACKER'!$C$5:$C$1504,MECCA_Client,'DAILY TASK TRACKER'!$G$5:$G$1504,"&lt;&gt;")&amp;" | pending: "&amp;SUMIFS('DAILY TASK TRACKER'!$AK$5:$AK$1504,'DAILY TASK TRACKER'!$C$5:$C$1504,MECCA_Client)</f>
        <v>Tasks logged: 0 | pending: 0</v>
      </c>
      <c r="F81" s="104" t="n"/>
      <c r="G81" s="105" t="n"/>
      <c r="H81" s="105" t="n"/>
      <c r="I81" s="105" t="n"/>
      <c r="J81" s="105" t="n"/>
    </row>
    <row r="82" ht="24" customHeight="1">
      <c r="A82" s="40" t="inlineStr">
        <is>
          <t>Content</t>
        </is>
      </c>
      <c r="B82" s="101" t="inlineStr">
        <is>
          <t>Not Available</t>
        </is>
      </c>
      <c r="C82" s="101" t="n"/>
      <c r="D82" s="102" t="n"/>
      <c r="E82" s="103" t="str">
        <f>"Content tasks: "&amp;COUNTIFS('DAILY TASK TRACKER'!$C$5:$C$1504,MECCA_Client,'DAILY TASK TRACKER'!$E$5:$E$1504,"Content")</f>
        <v>Content tasks: 0</v>
      </c>
      <c r="F82" s="104" t="n"/>
      <c r="G82" s="105" t="n"/>
      <c r="H82" s="105" t="n"/>
      <c r="I82" s="105" t="n"/>
      <c r="J82" s="105" t="n"/>
    </row>
    <row r="83" ht="24" customHeight="1">
      <c r="A83" s="40" t="inlineStr">
        <is>
          <t>Outreach</t>
        </is>
      </c>
      <c r="B83" s="101" t="inlineStr">
        <is>
          <t>Not Available</t>
        </is>
      </c>
      <c r="C83" s="101" t="n"/>
      <c r="D83" s="102" t="n"/>
      <c r="E83" s="103" t="str">
        <f>"Emails: "&amp;SUMIFS('EMAIL MARKETING'!$F$5:$F$804,'EMAIL MARKETING'!$B$5:$B$804,MECCA_Client)&amp;" | LinkedIn: "&amp;(SUMIFS('LINKEDIN OUTREACH'!$E$5:$E$704,'LINKEDIN OUTREACH'!$B$5:$B$704,MECCA_Client)+SUMIFS('LINKEDIN OUTREACH'!$H$5:$H$704,'LINKEDIN OUTREACH'!$B$5:$B$704,MECCA_Client))</f>
        <v>Emails: 0 | LinkedIn: 0</v>
      </c>
      <c r="F83" s="104" t="n"/>
      <c r="G83" s="105" t="n"/>
      <c r="H83" s="105" t="n"/>
      <c r="I83" s="105" t="n"/>
      <c r="J83" s="105" t="n"/>
    </row>
    <row r="84" ht="24" customHeight="1">
      <c r="A84" s="40" t="inlineStr">
        <is>
          <t>Lead generation</t>
        </is>
      </c>
      <c r="B84" s="101" t="inlineStr">
        <is>
          <t>Not Available</t>
        </is>
      </c>
      <c r="C84" s="101" t="n"/>
      <c r="D84" s="102" t="n"/>
      <c r="E84" s="103" t="str">
        <f>"Leads: "&amp;(COUNTIFS('LEAD MQL TRACKER'!$B$5:$B$1004,MECCA_Client,'LEAD MQL TRACKER'!$AB$5:$AB$1004,1)+SUMIFS('EMAIL MARKETING'!$Q$5:$Q$804,'EMAIL MARKETING'!$B$5:$B$804,MECCA_Client)+SUMIFS('PAID MEDIA ADS'!$M$5:$M$804,'PAID MEDIA ADS'!$B$5:$B$804,MECCA_Client)+SUMIFS('LINKEDIN OUTREACH'!$N$5:$N$704,'LINKEDIN OUTREACH'!$B$5:$B$704,MECCA_Client)+SUMIFS('WEBSITE CONTENT SEO'!$L$5:$L$804,'WEBSITE CONTENT SEO'!$B$5:$B$804,MECCA_Client))&amp;" | MQLs: "&amp;(COUNTIFS('LEAD MQL TRACKER'!$B$5:$B$1004,MECCA_Client,'LEAD MQL TRACKER'!$AD$5:$AD$1004,1)+SUMIFS('EMAIL MARKETING'!$R$5:$R$804,'EMAIL MARKETING'!$B$5:$B$804,MECCA_Client)+SUMIFS('PAID MEDIA ADS'!$N$5:$N$804,'PAID MEDIA ADS'!$B$5:$B$804,MECCA_Client)+SUMIFS('LINKEDIN OUTREACH'!$O$5:$O$704,'LINKEDIN OUTREACH'!$B$5:$B$704,MECCA_Client))</f>
        <v>Leads: 0 | MQLs: 0</v>
      </c>
      <c r="F84" s="104" t="n"/>
      <c r="G84" s="105" t="n"/>
      <c r="H84" s="105" t="n"/>
      <c r="I84" s="105" t="n"/>
      <c r="J84" s="105" t="n"/>
    </row>
    <row r="85" ht="24" customHeight="1">
      <c r="A85" s="40" t="inlineStr">
        <is>
          <t>Campaign launch status</t>
        </is>
      </c>
      <c r="B85" s="101" t="inlineStr">
        <is>
          <t>Not Available</t>
        </is>
      </c>
      <c r="C85" s="101" t="n"/>
      <c r="D85" s="102" t="n"/>
      <c r="E85" s="103" t="str">
        <f>IFERROR(IF(INDEX('CAMPAIGN MASTER'!$N$5:$N$704,MATCH(1,'CAMPAIGN MASTER'!$BA$5:$BA$704,0))="","Not Available",INDEX('CAMPAIGN MASTER'!$N$5:$N$704,MATCH(1,'CAMPAIGN MASTER'!$BA$5:$BA$704,0))),"Not Available")</f>
        <v>Not Available</v>
      </c>
      <c r="F85" s="104" t="n"/>
      <c r="G85" s="105" t="n"/>
      <c r="H85" s="105" t="n"/>
      <c r="I85" s="105" t="n"/>
      <c r="J85" s="105" t="n"/>
    </row>
    <row r="86" ht="24" customHeight="1">
      <c r="A86" s="40" t="inlineStr">
        <is>
          <t>Performance</t>
        </is>
      </c>
      <c r="B86" s="101" t="inlineStr">
        <is>
          <t>Not Available</t>
        </is>
      </c>
      <c r="C86" s="101" t="n"/>
      <c r="D86" s="102" t="n"/>
      <c r="E86" s="103" t="str">
        <f>"SQLs: "&amp;COUNTIFS('LEAD MQL TRACKER'!$B$5:$B$1004,MECCA_Client,'LEAD MQL TRACKER'!$AE$5:$AE$1004,1)&amp;" | Opps: "&amp;COUNTIFS('LEAD MQL TRACKER'!$B$5:$B$1004,MECCA_Client,'LEAD MQL TRACKER'!$AF$5:$AF$1004,1)</f>
        <v>SQLs: 0 | Opps: 0</v>
      </c>
      <c r="F86" s="104" t="n"/>
      <c r="G86" s="105" t="n"/>
      <c r="H86" s="105" t="n"/>
      <c r="I86" s="105" t="n"/>
      <c r="J86" s="105" t="n"/>
    </row>
    <row r="87" ht="24" customHeight="1">
      <c r="A87" s="40" t="inlineStr">
        <is>
          <t>Next steps</t>
        </is>
      </c>
      <c r="B87" s="101" t="inlineStr">
        <is>
          <t>Not Available</t>
        </is>
      </c>
      <c r="C87" s="101" t="n"/>
      <c r="D87" s="102" t="n"/>
      <c r="E87" s="103" t="inlineStr"/>
      <c r="F87" s="104" t="n"/>
      <c r="G87" s="105" t="n"/>
      <c r="H87" s="105" t="n"/>
      <c r="I87" s="105" t="n"/>
      <c r="J87" s="105" t="n"/>
    </row>
    <row r="88">
      <c r="A88" s="106" t="inlineStr">
        <is>
          <t>MECCA readiness (workstreams completed)</t>
        </is>
      </c>
      <c r="B88" s="107">
        <f>COUNTIF(B77:B87,"Completed")/11</f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1">
    <mergeCell ref="F78:J78"/>
    <mergeCell ref="F87:J87"/>
    <mergeCell ref="A43:D43"/>
    <mergeCell ref="A19:D19"/>
    <mergeCell ref="F84:J84"/>
    <mergeCell ref="F83:J83"/>
    <mergeCell ref="A67:J67"/>
    <mergeCell ref="F86:J86"/>
    <mergeCell ref="F80:J80"/>
    <mergeCell ref="F76:J76"/>
    <mergeCell ref="F85:J85"/>
    <mergeCell ref="F79:J79"/>
    <mergeCell ref="A51:J51"/>
    <mergeCell ref="A1:J1"/>
    <mergeCell ref="A6:J6"/>
    <mergeCell ref="F81:J81"/>
    <mergeCell ref="A75:J75"/>
    <mergeCell ref="F77:J77"/>
    <mergeCell ref="F82:J82"/>
    <mergeCell ref="A33:D33"/>
    <mergeCell ref="A2:J2"/>
  </mergeCells>
  <conditionalFormatting sqref="B48:D49">
    <cfRule type="cellIs" priority="1" operator="greaterThan" dxfId="2">
      <formula>0</formula>
    </cfRule>
  </conditionalFormatting>
  <conditionalFormatting sqref="B77:B87">
    <cfRule type="expression" priority="2" dxfId="14">
      <formula>$B77="Completed"</formula>
    </cfRule>
    <cfRule type="expression" priority="3" dxfId="20">
      <formula>$B77="In Progress"</formula>
    </cfRule>
    <cfRule type="expression" priority="4" dxfId="2">
      <formula>$B77="Blocked"</formula>
    </cfRule>
    <cfRule type="expression" priority="5" dxfId="15">
      <formula>$B77="On Hold"</formula>
    </cfRule>
  </conditionalFormatting>
  <dataValidations count="5">
    <dataValidation sqref="B3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B4" showDropDown="0" showInputMessage="0" showErrorMessage="1" allowBlank="1" errorTitle="Pick from list" error="Please choose a value from the dropdown (lists are maintained in MASTER DATA / CLIENT MASTER / CAMPAIGN MASTER)." type="list" errorStyle="stop">
      <formula1>=lst_Client</formula1>
    </dataValidation>
    <dataValidation sqref="B77:B87" showDropDown="0" showInputMessage="0" showErrorMessage="1" allowBlank="1" errorTitle="Pick from list" error="Please choose a value from the dropdown (lists are maintained in MASTER DATA / CLIENT MASTER / CAMPAIGN MASTER)." type="list" errorStyle="stop">
      <formula1>=lst_MilestoneStatus</formula1>
    </dataValidation>
    <dataValidation sqref="C77:C87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  <dataValidation sqref="D77:D87" showDropDown="0" showInputMessage="0" showErrorMessage="1" allowBlank="1" errorTitle="Invalid date" error="Enter a valid date, e.g. 05-Oct-2026." type="date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123"/>
  <sheetViews>
    <sheetView showGridLines="0" tabSelected="0" zoomScale="85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8" customHeight="1">
      <c r="A1" s="1" t="inlineStr">
        <is>
          <t>WEEKLY REVIEW - last 8 weeks (Mon-Sun)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4" t="inlineStr">
        <is>
          <t>Automatic. Choose the week to review; the right-most column is the selected week. Management Attention lists below are as of the Reporting Date.</t>
        </is>
      </c>
    </row>
    <row r="3">
      <c r="A3" s="78" t="inlineStr">
        <is>
          <t>Week commencing (Monday) to review:</t>
        </is>
      </c>
      <c r="B3" s="108">
        <f>ReportDate-WEEKDAY(ReportDate,2)+1</f>
        <v>46300.0</v>
      </c>
      <c r="C3" s="13" t="n"/>
      <c r="D3" s="56" t="inlineStr">
        <is>
          <t>(default = current week; type any Monday date to look back)</t>
        </is>
      </c>
    </row>
    <row r="4">
      <c r="A4" s="109" t="str">
        <f>"Filters from Executive Dashboard -&gt; Client: "&amp;fClient&amp;"  |  Campaign: "&amp;fCampaign&amp;"  |  Team: "&amp;fTeam&amp;"  |  Channel: "&amp;fChannel&amp;"   (set all to 'All' for the full-team view)"</f>
        <v>Filters from Executive Dashboard -&gt; Client: All  |  Campaign: All  |  Team: All  |  Channel: All   (set all to 'All' for the full-team view)</v>
      </c>
    </row>
    <row r="6">
      <c r="A6" s="86" t="inlineStr">
        <is>
          <t>Week</t>
        </is>
      </c>
      <c r="B6" s="86" t="str">
        <f>"Wk "&amp;WEEKNUM(B7,21)</f>
        <v>Wk 34</v>
      </c>
      <c r="C6" s="86" t="str">
        <f>"Wk "&amp;WEEKNUM(C7,21)</f>
        <v>Wk 35</v>
      </c>
      <c r="D6" s="86" t="str">
        <f>"Wk "&amp;WEEKNUM(D7,21)</f>
        <v>Wk 36</v>
      </c>
      <c r="E6" s="86" t="str">
        <f>"Wk "&amp;WEEKNUM(E7,21)</f>
        <v>Wk 37</v>
      </c>
      <c r="F6" s="86" t="str">
        <f>"Wk "&amp;WEEKNUM(F7,21)</f>
        <v>Wk 38</v>
      </c>
      <c r="G6" s="86" t="str">
        <f>"Wk "&amp;WEEKNUM(G7,21)</f>
        <v>Wk 39</v>
      </c>
      <c r="H6" s="86" t="str">
        <f>"Wk "&amp;WEEKNUM(H7,21)</f>
        <v>Wk 40</v>
      </c>
      <c r="I6" s="86" t="str">
        <f>"Wk "&amp;WEEKNUM(I7,21)</f>
        <v>Wk 41</v>
      </c>
    </row>
    <row r="7">
      <c r="A7" s="86" t="inlineStr">
        <is>
          <t>Week commencing</t>
        </is>
      </c>
      <c r="B7" s="110">
        <f>C7-7</f>
        <v>46251.0</v>
      </c>
      <c r="C7" s="110">
        <f>D7-7</f>
        <v>46258.0</v>
      </c>
      <c r="D7" s="110">
        <f>E7-7</f>
        <v>46265.0</v>
      </c>
      <c r="E7" s="110">
        <f>F7-7</f>
        <v>46272.0</v>
      </c>
      <c r="F7" s="110">
        <f>G7-7</f>
        <v>46279.0</v>
      </c>
      <c r="G7" s="110">
        <f>H7-7</f>
        <v>46286.0</v>
      </c>
      <c r="H7" s="110">
        <f>I7-7</f>
        <v>46293.0</v>
      </c>
      <c r="I7" s="110">
        <f>$B$3</f>
        <v>46300.0</v>
      </c>
    </row>
    <row r="8">
      <c r="A8" s="86" t="inlineStr">
        <is>
          <t>Week ending</t>
        </is>
      </c>
      <c r="B8" s="111">
        <f>B7+6</f>
        <v>46257.0</v>
      </c>
      <c r="C8" s="111">
        <f>C7+6</f>
        <v>46264.0</v>
      </c>
      <c r="D8" s="111">
        <f>D7+6</f>
        <v>46271.0</v>
      </c>
      <c r="E8" s="111">
        <f>E7+6</f>
        <v>46278.0</v>
      </c>
      <c r="F8" s="111">
        <f>F7+6</f>
        <v>46285.0</v>
      </c>
      <c r="G8" s="111">
        <f>G7+6</f>
        <v>46292.0</v>
      </c>
      <c r="H8" s="111">
        <f>H7+6</f>
        <v>46299.0</v>
      </c>
      <c r="I8" s="111">
        <f>I7+6</f>
        <v>46306.0</v>
      </c>
    </row>
    <row r="10" ht="20" customHeight="1">
      <c r="A10" s="37" t="inlineStr">
        <is>
          <t>OVERALL</t>
        </is>
      </c>
      <c r="B10" s="33" t="n"/>
      <c r="C10" s="33" t="n"/>
      <c r="D10" s="33" t="n"/>
      <c r="E10" s="33" t="n"/>
      <c r="F10" s="33" t="n"/>
      <c r="G10" s="33" t="n"/>
      <c r="H10" s="33" t="n"/>
      <c r="I10" s="33" t="n"/>
    </row>
    <row r="11">
      <c r="A11" s="40" t="inlineStr">
        <is>
          <t>Tasks logged</t>
        </is>
      </c>
      <c r="B11" s="45">
        <f>COUNTIFS('DAILY TASK TRACKER'!$AJ$5:$AJ$1504,1,'DAILY TASK TRACKER'!$A$5:$A$1504,"&gt;="&amp;B$7,'DAILY TASK TRACKER'!$A$5:$A$1504,"&lt;="&amp;B$8)</f>
        <v>0</v>
      </c>
      <c r="C11" s="45">
        <f>COUNTIFS('DAILY TASK TRACKER'!$AJ$5:$AJ$1504,1,'DAILY TASK TRACKER'!$A$5:$A$1504,"&gt;="&amp;C$7,'DAILY TASK TRACKER'!$A$5:$A$1504,"&lt;="&amp;C$8)</f>
        <v>0</v>
      </c>
      <c r="D11" s="45">
        <f>COUNTIFS('DAILY TASK TRACKER'!$AJ$5:$AJ$1504,1,'DAILY TASK TRACKER'!$A$5:$A$1504,"&gt;="&amp;D$7,'DAILY TASK TRACKER'!$A$5:$A$1504,"&lt;="&amp;D$8)</f>
        <v>0</v>
      </c>
      <c r="E11" s="45">
        <f>COUNTIFS('DAILY TASK TRACKER'!$AJ$5:$AJ$1504,1,'DAILY TASK TRACKER'!$A$5:$A$1504,"&gt;="&amp;E$7,'DAILY TASK TRACKER'!$A$5:$A$1504,"&lt;="&amp;E$8)</f>
        <v>0</v>
      </c>
      <c r="F11" s="45">
        <f>COUNTIFS('DAILY TASK TRACKER'!$AJ$5:$AJ$1504,1,'DAILY TASK TRACKER'!$A$5:$A$1504,"&gt;="&amp;F$7,'DAILY TASK TRACKER'!$A$5:$A$1504,"&lt;="&amp;F$8)</f>
        <v>0</v>
      </c>
      <c r="G11" s="45">
        <f>COUNTIFS('DAILY TASK TRACKER'!$AJ$5:$AJ$1504,1,'DAILY TASK TRACKER'!$A$5:$A$1504,"&gt;="&amp;G$7,'DAILY TASK TRACKER'!$A$5:$A$1504,"&lt;="&amp;G$8)</f>
        <v>0</v>
      </c>
      <c r="H11" s="45">
        <f>COUNTIFS('DAILY TASK TRACKER'!$AJ$5:$AJ$1504,1,'DAILY TASK TRACKER'!$A$5:$A$1504,"&gt;="&amp;H$7,'DAILY TASK TRACKER'!$A$5:$A$1504,"&lt;="&amp;H$8)</f>
        <v>0</v>
      </c>
      <c r="I11" s="45">
        <f>COUNTIFS('DAILY TASK TRACKER'!$AJ$5:$AJ$1504,1,'DAILY TASK TRACKER'!$A$5:$A$1504,"&gt;="&amp;I$7,'DAILY TASK TRACKER'!$A$5:$A$1504,"&lt;="&amp;I$8)</f>
        <v>0</v>
      </c>
    </row>
    <row r="12">
      <c r="A12" s="44" t="inlineStr">
        <is>
          <t>Tasks completed</t>
        </is>
      </c>
      <c r="B12" s="96">
        <f>COUNTIFS('DAILY TASK TRACKER'!$AJ$5:$AJ$1504,1,'DAILY TASK TRACKER'!$A$5:$A$1504,"&gt;="&amp;B$7,'DAILY TASK TRACKER'!$A$5:$A$1504,"&lt;="&amp;B$8,'DAILY TASK TRACKER'!$M$5:$M$1504,"Completed")</f>
        <v>0</v>
      </c>
      <c r="C12" s="96">
        <f>COUNTIFS('DAILY TASK TRACKER'!$AJ$5:$AJ$1504,1,'DAILY TASK TRACKER'!$A$5:$A$1504,"&gt;="&amp;C$7,'DAILY TASK TRACKER'!$A$5:$A$1504,"&lt;="&amp;C$8,'DAILY TASK TRACKER'!$M$5:$M$1504,"Completed")</f>
        <v>0</v>
      </c>
      <c r="D12" s="96">
        <f>COUNTIFS('DAILY TASK TRACKER'!$AJ$5:$AJ$1504,1,'DAILY TASK TRACKER'!$A$5:$A$1504,"&gt;="&amp;D$7,'DAILY TASK TRACKER'!$A$5:$A$1504,"&lt;="&amp;D$8,'DAILY TASK TRACKER'!$M$5:$M$1504,"Completed")</f>
        <v>0</v>
      </c>
      <c r="E12" s="96">
        <f>COUNTIFS('DAILY TASK TRACKER'!$AJ$5:$AJ$1504,1,'DAILY TASK TRACKER'!$A$5:$A$1504,"&gt;="&amp;E$7,'DAILY TASK TRACKER'!$A$5:$A$1504,"&lt;="&amp;E$8,'DAILY TASK TRACKER'!$M$5:$M$1504,"Completed")</f>
        <v>0</v>
      </c>
      <c r="F12" s="96">
        <f>COUNTIFS('DAILY TASK TRACKER'!$AJ$5:$AJ$1504,1,'DAILY TASK TRACKER'!$A$5:$A$1504,"&gt;="&amp;F$7,'DAILY TASK TRACKER'!$A$5:$A$1504,"&lt;="&amp;F$8,'DAILY TASK TRACKER'!$M$5:$M$1504,"Completed")</f>
        <v>0</v>
      </c>
      <c r="G12" s="96">
        <f>COUNTIFS('DAILY TASK TRACKER'!$AJ$5:$AJ$1504,1,'DAILY TASK TRACKER'!$A$5:$A$1504,"&gt;="&amp;G$7,'DAILY TASK TRACKER'!$A$5:$A$1504,"&lt;="&amp;G$8,'DAILY TASK TRACKER'!$M$5:$M$1504,"Completed")</f>
        <v>0</v>
      </c>
      <c r="H12" s="96">
        <f>COUNTIFS('DAILY TASK TRACKER'!$AJ$5:$AJ$1504,1,'DAILY TASK TRACKER'!$A$5:$A$1504,"&gt;="&amp;H$7,'DAILY TASK TRACKER'!$A$5:$A$1504,"&lt;="&amp;H$8,'DAILY TASK TRACKER'!$M$5:$M$1504,"Completed")</f>
        <v>0</v>
      </c>
      <c r="I12" s="96">
        <f>COUNTIFS('DAILY TASK TRACKER'!$AJ$5:$AJ$1504,1,'DAILY TASK TRACKER'!$A$5:$A$1504,"&gt;="&amp;I$7,'DAILY TASK TRACKER'!$A$5:$A$1504,"&lt;="&amp;I$8,'DAILY TASK TRACKER'!$M$5:$M$1504,"Completed")</f>
        <v>0</v>
      </c>
    </row>
    <row r="13">
      <c r="A13" s="44" t="inlineStr">
        <is>
          <t>Completion %</t>
        </is>
      </c>
      <c r="B13" s="43" t="str">
        <f>IFERROR((B12)/(B11),"–")</f>
        <v>–</v>
      </c>
      <c r="C13" s="43" t="str">
        <f>IFERROR((C12)/(C11),"–")</f>
        <v>–</v>
      </c>
      <c r="D13" s="43" t="str">
        <f>IFERROR((D12)/(D11),"–")</f>
        <v>–</v>
      </c>
      <c r="E13" s="43" t="str">
        <f>IFERROR((E12)/(E11),"–")</f>
        <v>–</v>
      </c>
      <c r="F13" s="43" t="str">
        <f>IFERROR((F12)/(F11),"–")</f>
        <v>–</v>
      </c>
      <c r="G13" s="43" t="str">
        <f>IFERROR((G12)/(G11),"–")</f>
        <v>–</v>
      </c>
      <c r="H13" s="43" t="str">
        <f>IFERROR((H12)/(H11),"–")</f>
        <v>–</v>
      </c>
      <c r="I13" s="43" t="str">
        <f>IFERROR((I12)/(I11),"–")</f>
        <v>–</v>
      </c>
    </row>
    <row r="14">
      <c r="A14" s="44" t="inlineStr">
        <is>
          <t>Overdue (due in period, still open)</t>
        </is>
      </c>
      <c r="B14" s="96">
        <f>COUNTIFS('DAILY TASK TRACKER'!$AJ$5:$AJ$1504,1,'DAILY TASK TRACKER'!$L$5:$L$1504,"&gt;="&amp;B$7,'DAILY TASK TRACKER'!$L$5:$L$1504,"&lt;="&amp;B$8,'DAILY TASK TRACKER'!$AL$5:$AL$1504,1)</f>
        <v>0</v>
      </c>
      <c r="C14" s="96">
        <f>COUNTIFS('DAILY TASK TRACKER'!$AJ$5:$AJ$1504,1,'DAILY TASK TRACKER'!$L$5:$L$1504,"&gt;="&amp;C$7,'DAILY TASK TRACKER'!$L$5:$L$1504,"&lt;="&amp;C$8,'DAILY TASK TRACKER'!$AL$5:$AL$1504,1)</f>
        <v>0</v>
      </c>
      <c r="D14" s="96">
        <f>COUNTIFS('DAILY TASK TRACKER'!$AJ$5:$AJ$1504,1,'DAILY TASK TRACKER'!$L$5:$L$1504,"&gt;="&amp;D$7,'DAILY TASK TRACKER'!$L$5:$L$1504,"&lt;="&amp;D$8,'DAILY TASK TRACKER'!$AL$5:$AL$1504,1)</f>
        <v>0</v>
      </c>
      <c r="E14" s="96">
        <f>COUNTIFS('DAILY TASK TRACKER'!$AJ$5:$AJ$1504,1,'DAILY TASK TRACKER'!$L$5:$L$1504,"&gt;="&amp;E$7,'DAILY TASK TRACKER'!$L$5:$L$1504,"&lt;="&amp;E$8,'DAILY TASK TRACKER'!$AL$5:$AL$1504,1)</f>
        <v>0</v>
      </c>
      <c r="F14" s="96">
        <f>COUNTIFS('DAILY TASK TRACKER'!$AJ$5:$AJ$1504,1,'DAILY TASK TRACKER'!$L$5:$L$1504,"&gt;="&amp;F$7,'DAILY TASK TRACKER'!$L$5:$L$1504,"&lt;="&amp;F$8,'DAILY TASK TRACKER'!$AL$5:$AL$1504,1)</f>
        <v>0</v>
      </c>
      <c r="G14" s="96">
        <f>COUNTIFS('DAILY TASK TRACKER'!$AJ$5:$AJ$1504,1,'DAILY TASK TRACKER'!$L$5:$L$1504,"&gt;="&amp;G$7,'DAILY TASK TRACKER'!$L$5:$L$1504,"&lt;="&amp;G$8,'DAILY TASK TRACKER'!$AL$5:$AL$1504,1)</f>
        <v>2</v>
      </c>
      <c r="H14" s="96">
        <f>COUNTIFS('DAILY TASK TRACKER'!$AJ$5:$AJ$1504,1,'DAILY TASK TRACKER'!$L$5:$L$1504,"&gt;="&amp;H$7,'DAILY TASK TRACKER'!$L$5:$L$1504,"&lt;="&amp;H$8,'DAILY TASK TRACKER'!$AL$5:$AL$1504,1)</f>
        <v>1</v>
      </c>
      <c r="I14" s="96">
        <f>COUNTIFS('DAILY TASK TRACKER'!$AJ$5:$AJ$1504,1,'DAILY TASK TRACKER'!$L$5:$L$1504,"&gt;="&amp;I$7,'DAILY TASK TRACKER'!$L$5:$L$1504,"&lt;="&amp;I$8,'DAILY TASK TRACKER'!$AL$5:$AL$1504,1)</f>
        <v>0</v>
      </c>
    </row>
    <row r="15">
      <c r="A15" s="44" t="inlineStr">
        <is>
          <t>Blocked</t>
        </is>
      </c>
      <c r="B15" s="96">
        <f>COUNTIFS('DAILY TASK TRACKER'!$AJ$5:$AJ$1504,1,'DAILY TASK TRACKER'!$A$5:$A$1504,"&gt;="&amp;B$7,'DAILY TASK TRACKER'!$A$5:$A$1504,"&lt;="&amp;B$8,'DAILY TASK TRACKER'!$AM$5:$AM$1504,1)</f>
        <v>0</v>
      </c>
      <c r="C15" s="96">
        <f>COUNTIFS('DAILY TASK TRACKER'!$AJ$5:$AJ$1504,1,'DAILY TASK TRACKER'!$A$5:$A$1504,"&gt;="&amp;C$7,'DAILY TASK TRACKER'!$A$5:$A$1504,"&lt;="&amp;C$8,'DAILY TASK TRACKER'!$AM$5:$AM$1504,1)</f>
        <v>0</v>
      </c>
      <c r="D15" s="96">
        <f>COUNTIFS('DAILY TASK TRACKER'!$AJ$5:$AJ$1504,1,'DAILY TASK TRACKER'!$A$5:$A$1504,"&gt;="&amp;D$7,'DAILY TASK TRACKER'!$A$5:$A$1504,"&lt;="&amp;D$8,'DAILY TASK TRACKER'!$AM$5:$AM$1504,1)</f>
        <v>0</v>
      </c>
      <c r="E15" s="96">
        <f>COUNTIFS('DAILY TASK TRACKER'!$AJ$5:$AJ$1504,1,'DAILY TASK TRACKER'!$A$5:$A$1504,"&gt;="&amp;E$7,'DAILY TASK TRACKER'!$A$5:$A$1504,"&lt;="&amp;E$8,'DAILY TASK TRACKER'!$AM$5:$AM$1504,1)</f>
        <v>0</v>
      </c>
      <c r="F15" s="96">
        <f>COUNTIFS('DAILY TASK TRACKER'!$AJ$5:$AJ$1504,1,'DAILY TASK TRACKER'!$A$5:$A$1504,"&gt;="&amp;F$7,'DAILY TASK TRACKER'!$A$5:$A$1504,"&lt;="&amp;F$8,'DAILY TASK TRACKER'!$AM$5:$AM$1504,1)</f>
        <v>0</v>
      </c>
      <c r="G15" s="96">
        <f>COUNTIFS('DAILY TASK TRACKER'!$AJ$5:$AJ$1504,1,'DAILY TASK TRACKER'!$A$5:$A$1504,"&gt;="&amp;G$7,'DAILY TASK TRACKER'!$A$5:$A$1504,"&lt;="&amp;G$8,'DAILY TASK TRACKER'!$AM$5:$AM$1504,1)</f>
        <v>0</v>
      </c>
      <c r="H15" s="96">
        <f>COUNTIFS('DAILY TASK TRACKER'!$AJ$5:$AJ$1504,1,'DAILY TASK TRACKER'!$A$5:$A$1504,"&gt;="&amp;H$7,'DAILY TASK TRACKER'!$A$5:$A$1504,"&lt;="&amp;H$8,'DAILY TASK TRACKER'!$AM$5:$AM$1504,1)</f>
        <v>0</v>
      </c>
      <c r="I15" s="96">
        <f>COUNTIFS('DAILY TASK TRACKER'!$AJ$5:$AJ$1504,1,'DAILY TASK TRACKER'!$A$5:$A$1504,"&gt;="&amp;I$7,'DAILY TASK TRACKER'!$A$5:$A$1504,"&lt;="&amp;I$8,'DAILY TASK TRACKER'!$AM$5:$AM$1504,1)</f>
        <v>0</v>
      </c>
    </row>
    <row r="16" ht="20" customHeight="1">
      <c r="A16" s="37" t="inlineStr">
        <is>
          <t>LEAD GENERATION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</row>
    <row r="17">
      <c r="A17" s="44" t="inlineStr">
        <is>
          <t>Digital handraisers</t>
        </is>
      </c>
      <c r="B17" s="96">
        <f>(COUNTIFS('LEAD MQL TRACKER'!$AI$5:$AI$1004,1,'LEAD MQL TRACKER'!$Z$5:$Z$1004,"&gt;="&amp;B$7,'LEAD MQL TRACKER'!$Z$5:$Z$1004,"&lt;="&amp;B$8,'LEAD MQL TRACKER'!$AC$5:$AC$1004,1)+SUMIFS('LINKEDIN OUTREACH'!$M$5:$M$704,'LINKEDIN OUTREACH'!$U$5:$U$704,1,'LINKEDIN OUTREACH'!$A$5:$A$704,"&gt;="&amp;B$7,'LINKEDIN OUTREACH'!$A$5:$A$704,"&lt;="&amp;B$8))</f>
        <v>0</v>
      </c>
      <c r="C17" s="96">
        <f>(COUNTIFS('LEAD MQL TRACKER'!$AI$5:$AI$1004,1,'LEAD MQL TRACKER'!$Z$5:$Z$1004,"&gt;="&amp;C$7,'LEAD MQL TRACKER'!$Z$5:$Z$1004,"&lt;="&amp;C$8,'LEAD MQL TRACKER'!$AC$5:$AC$1004,1)+SUMIFS('LINKEDIN OUTREACH'!$M$5:$M$704,'LINKEDIN OUTREACH'!$U$5:$U$704,1,'LINKEDIN OUTREACH'!$A$5:$A$704,"&gt;="&amp;C$7,'LINKEDIN OUTREACH'!$A$5:$A$704,"&lt;="&amp;C$8))</f>
        <v>0</v>
      </c>
      <c r="D17" s="96">
        <f>(COUNTIFS('LEAD MQL TRACKER'!$AI$5:$AI$1004,1,'LEAD MQL TRACKER'!$Z$5:$Z$1004,"&gt;="&amp;D$7,'LEAD MQL TRACKER'!$Z$5:$Z$1004,"&lt;="&amp;D$8,'LEAD MQL TRACKER'!$AC$5:$AC$1004,1)+SUMIFS('LINKEDIN OUTREACH'!$M$5:$M$704,'LINKEDIN OUTREACH'!$U$5:$U$704,1,'LINKEDIN OUTREACH'!$A$5:$A$704,"&gt;="&amp;D$7,'LINKEDIN OUTREACH'!$A$5:$A$704,"&lt;="&amp;D$8))</f>
        <v>0</v>
      </c>
      <c r="E17" s="96">
        <f>(COUNTIFS('LEAD MQL TRACKER'!$AI$5:$AI$1004,1,'LEAD MQL TRACKER'!$Z$5:$Z$1004,"&gt;="&amp;E$7,'LEAD MQL TRACKER'!$Z$5:$Z$1004,"&lt;="&amp;E$8,'LEAD MQL TRACKER'!$AC$5:$AC$1004,1)+SUMIFS('LINKEDIN OUTREACH'!$M$5:$M$704,'LINKEDIN OUTREACH'!$U$5:$U$704,1,'LINKEDIN OUTREACH'!$A$5:$A$704,"&gt;="&amp;E$7,'LINKEDIN OUTREACH'!$A$5:$A$704,"&lt;="&amp;E$8))</f>
        <v>0</v>
      </c>
      <c r="F17" s="96">
        <f>(COUNTIFS('LEAD MQL TRACKER'!$AI$5:$AI$1004,1,'LEAD MQL TRACKER'!$Z$5:$Z$1004,"&gt;="&amp;F$7,'LEAD MQL TRACKER'!$Z$5:$Z$1004,"&lt;="&amp;F$8,'LEAD MQL TRACKER'!$AC$5:$AC$1004,1)+SUMIFS('LINKEDIN OUTREACH'!$M$5:$M$704,'LINKEDIN OUTREACH'!$U$5:$U$704,1,'LINKEDIN OUTREACH'!$A$5:$A$704,"&gt;="&amp;F$7,'LINKEDIN OUTREACH'!$A$5:$A$704,"&lt;="&amp;F$8))</f>
        <v>0</v>
      </c>
      <c r="G17" s="96">
        <f>(COUNTIFS('LEAD MQL TRACKER'!$AI$5:$AI$1004,1,'LEAD MQL TRACKER'!$Z$5:$Z$1004,"&gt;="&amp;G$7,'LEAD MQL TRACKER'!$Z$5:$Z$1004,"&lt;="&amp;G$8,'LEAD MQL TRACKER'!$AC$5:$AC$1004,1)+SUMIFS('LINKEDIN OUTREACH'!$M$5:$M$704,'LINKEDIN OUTREACH'!$U$5:$U$704,1,'LINKEDIN OUTREACH'!$A$5:$A$704,"&gt;="&amp;G$7,'LINKEDIN OUTREACH'!$A$5:$A$704,"&lt;="&amp;G$8))</f>
        <v>0</v>
      </c>
      <c r="H17" s="96">
        <f>(COUNTIFS('LEAD MQL TRACKER'!$AI$5:$AI$1004,1,'LEAD MQL TRACKER'!$Z$5:$Z$1004,"&gt;="&amp;H$7,'LEAD MQL TRACKER'!$Z$5:$Z$1004,"&lt;="&amp;H$8,'LEAD MQL TRACKER'!$AC$5:$AC$1004,1)+SUMIFS('LINKEDIN OUTREACH'!$M$5:$M$704,'LINKEDIN OUTREACH'!$U$5:$U$704,1,'LINKEDIN OUTREACH'!$A$5:$A$704,"&gt;="&amp;H$7,'LINKEDIN OUTREACH'!$A$5:$A$704,"&lt;="&amp;H$8))</f>
        <v>0</v>
      </c>
      <c r="I17" s="96">
        <f>(COUNTIFS('LEAD MQL TRACKER'!$AI$5:$AI$1004,1,'LEAD MQL TRACKER'!$Z$5:$Z$1004,"&gt;="&amp;I$7,'LEAD MQL TRACKER'!$Z$5:$Z$1004,"&lt;="&amp;I$8,'LEAD MQL TRACKER'!$AC$5:$AC$1004,1)+SUMIFS('LINKEDIN OUTREACH'!$M$5:$M$704,'LINKEDIN OUTREACH'!$U$5:$U$704,1,'LINKEDIN OUTREACH'!$A$5:$A$704,"&gt;="&amp;I$7,'LINKEDIN OUTREACH'!$A$5:$A$704,"&lt;="&amp;I$8))</f>
        <v>0</v>
      </c>
    </row>
    <row r="18">
      <c r="A18" s="40" t="inlineStr">
        <is>
          <t>Leads</t>
        </is>
      </c>
      <c r="B18" s="45">
        <f>(COUNTIFS('LEAD MQL TRACKER'!$AI$5:$AI$1004,1,'LEAD MQL TRACKER'!$Z$5:$Z$1004,"&gt;="&amp;B$7,'LEAD MQL TRACKER'!$Z$5:$Z$1004,"&lt;="&amp;B$8)+SUMIFS('EMAIL MARKETING'!$Q$5:$Q$804,'EMAIL MARKETING'!$Z$5:$Z$804,1,'EMAIL MARKETING'!$A$5:$A$804,"&gt;="&amp;B$7,'EMAIL MARKETING'!$A$5:$A$804,"&lt;="&amp;B$8)+SUMIFS('PAID MEDIA ADS'!$M$5:$M$804,'PAID MEDIA ADS'!$W$5:$W$804,1,'PAID MEDIA ADS'!$A$5:$A$804,"&gt;="&amp;B$7,'PAID MEDIA ADS'!$A$5:$A$804,"&lt;="&amp;B$8)+SUMIFS('LINKEDIN OUTREACH'!$N$5:$N$704,'LINKEDIN OUTREACH'!$U$5:$U$704,1,'LINKEDIN OUTREACH'!$A$5:$A$704,"&gt;="&amp;B$7,'LINKEDIN OUTREACH'!$A$5:$A$704,"&lt;="&amp;B$8)+SUMIFS('WEBSITE CONTENT SEO'!$L$5:$L$804,'WEBSITE CONTENT SEO'!$X$5:$X$804,1,'WEBSITE CONTENT SEO'!$A$5:$A$804,"&gt;="&amp;B$7,'WEBSITE CONTENT SEO'!$A$5:$A$804,"&lt;="&amp;B$8))</f>
        <v>0</v>
      </c>
      <c r="C18" s="45">
        <f>(COUNTIFS('LEAD MQL TRACKER'!$AI$5:$AI$1004,1,'LEAD MQL TRACKER'!$Z$5:$Z$1004,"&gt;="&amp;C$7,'LEAD MQL TRACKER'!$Z$5:$Z$1004,"&lt;="&amp;C$8)+SUMIFS('EMAIL MARKETING'!$Q$5:$Q$804,'EMAIL MARKETING'!$Z$5:$Z$804,1,'EMAIL MARKETING'!$A$5:$A$804,"&gt;="&amp;C$7,'EMAIL MARKETING'!$A$5:$A$804,"&lt;="&amp;C$8)+SUMIFS('PAID MEDIA ADS'!$M$5:$M$804,'PAID MEDIA ADS'!$W$5:$W$804,1,'PAID MEDIA ADS'!$A$5:$A$804,"&gt;="&amp;C$7,'PAID MEDIA ADS'!$A$5:$A$804,"&lt;="&amp;C$8)+SUMIFS('LINKEDIN OUTREACH'!$N$5:$N$704,'LINKEDIN OUTREACH'!$U$5:$U$704,1,'LINKEDIN OUTREACH'!$A$5:$A$704,"&gt;="&amp;C$7,'LINKEDIN OUTREACH'!$A$5:$A$704,"&lt;="&amp;C$8)+SUMIFS('WEBSITE CONTENT SEO'!$L$5:$L$804,'WEBSITE CONTENT SEO'!$X$5:$X$804,1,'WEBSITE CONTENT SEO'!$A$5:$A$804,"&gt;="&amp;C$7,'WEBSITE CONTENT SEO'!$A$5:$A$804,"&lt;="&amp;C$8))</f>
        <v>0</v>
      </c>
      <c r="D18" s="45">
        <f>(COUNTIFS('LEAD MQL TRACKER'!$AI$5:$AI$1004,1,'LEAD MQL TRACKER'!$Z$5:$Z$1004,"&gt;="&amp;D$7,'LEAD MQL TRACKER'!$Z$5:$Z$1004,"&lt;="&amp;D$8)+SUMIFS('EMAIL MARKETING'!$Q$5:$Q$804,'EMAIL MARKETING'!$Z$5:$Z$804,1,'EMAIL MARKETING'!$A$5:$A$804,"&gt;="&amp;D$7,'EMAIL MARKETING'!$A$5:$A$804,"&lt;="&amp;D$8)+SUMIFS('PAID MEDIA ADS'!$M$5:$M$804,'PAID MEDIA ADS'!$W$5:$W$804,1,'PAID MEDIA ADS'!$A$5:$A$804,"&gt;="&amp;D$7,'PAID MEDIA ADS'!$A$5:$A$804,"&lt;="&amp;D$8)+SUMIFS('LINKEDIN OUTREACH'!$N$5:$N$704,'LINKEDIN OUTREACH'!$U$5:$U$704,1,'LINKEDIN OUTREACH'!$A$5:$A$704,"&gt;="&amp;D$7,'LINKEDIN OUTREACH'!$A$5:$A$704,"&lt;="&amp;D$8)+SUMIFS('WEBSITE CONTENT SEO'!$L$5:$L$804,'WEBSITE CONTENT SEO'!$X$5:$X$804,1,'WEBSITE CONTENT SEO'!$A$5:$A$804,"&gt;="&amp;D$7,'WEBSITE CONTENT SEO'!$A$5:$A$804,"&lt;="&amp;D$8))</f>
        <v>0</v>
      </c>
      <c r="E18" s="45">
        <f>(COUNTIFS('LEAD MQL TRACKER'!$AI$5:$AI$1004,1,'LEAD MQL TRACKER'!$Z$5:$Z$1004,"&gt;="&amp;E$7,'LEAD MQL TRACKER'!$Z$5:$Z$1004,"&lt;="&amp;E$8)+SUMIFS('EMAIL MARKETING'!$Q$5:$Q$804,'EMAIL MARKETING'!$Z$5:$Z$804,1,'EMAIL MARKETING'!$A$5:$A$804,"&gt;="&amp;E$7,'EMAIL MARKETING'!$A$5:$A$804,"&lt;="&amp;E$8)+SUMIFS('PAID MEDIA ADS'!$M$5:$M$804,'PAID MEDIA ADS'!$W$5:$W$804,1,'PAID MEDIA ADS'!$A$5:$A$804,"&gt;="&amp;E$7,'PAID MEDIA ADS'!$A$5:$A$804,"&lt;="&amp;E$8)+SUMIFS('LINKEDIN OUTREACH'!$N$5:$N$704,'LINKEDIN OUTREACH'!$U$5:$U$704,1,'LINKEDIN OUTREACH'!$A$5:$A$704,"&gt;="&amp;E$7,'LINKEDIN OUTREACH'!$A$5:$A$704,"&lt;="&amp;E$8)+SUMIFS('WEBSITE CONTENT SEO'!$L$5:$L$804,'WEBSITE CONTENT SEO'!$X$5:$X$804,1,'WEBSITE CONTENT SEO'!$A$5:$A$804,"&gt;="&amp;E$7,'WEBSITE CONTENT SEO'!$A$5:$A$804,"&lt;="&amp;E$8))</f>
        <v>0</v>
      </c>
      <c r="F18" s="45">
        <f>(COUNTIFS('LEAD MQL TRACKER'!$AI$5:$AI$1004,1,'LEAD MQL TRACKER'!$Z$5:$Z$1004,"&gt;="&amp;F$7,'LEAD MQL TRACKER'!$Z$5:$Z$1004,"&lt;="&amp;F$8)+SUMIFS('EMAIL MARKETING'!$Q$5:$Q$804,'EMAIL MARKETING'!$Z$5:$Z$804,1,'EMAIL MARKETING'!$A$5:$A$804,"&gt;="&amp;F$7,'EMAIL MARKETING'!$A$5:$A$804,"&lt;="&amp;F$8)+SUMIFS('PAID MEDIA ADS'!$M$5:$M$804,'PAID MEDIA ADS'!$W$5:$W$804,1,'PAID MEDIA ADS'!$A$5:$A$804,"&gt;="&amp;F$7,'PAID MEDIA ADS'!$A$5:$A$804,"&lt;="&amp;F$8)+SUMIFS('LINKEDIN OUTREACH'!$N$5:$N$704,'LINKEDIN OUTREACH'!$U$5:$U$704,1,'LINKEDIN OUTREACH'!$A$5:$A$704,"&gt;="&amp;F$7,'LINKEDIN OUTREACH'!$A$5:$A$704,"&lt;="&amp;F$8)+SUMIFS('WEBSITE CONTENT SEO'!$L$5:$L$804,'WEBSITE CONTENT SEO'!$X$5:$X$804,1,'WEBSITE CONTENT SEO'!$A$5:$A$804,"&gt;="&amp;F$7,'WEBSITE CONTENT SEO'!$A$5:$A$804,"&lt;="&amp;F$8))</f>
        <v>0</v>
      </c>
      <c r="G18" s="45">
        <f>(COUNTIFS('LEAD MQL TRACKER'!$AI$5:$AI$1004,1,'LEAD MQL TRACKER'!$Z$5:$Z$1004,"&gt;="&amp;G$7,'LEAD MQL TRACKER'!$Z$5:$Z$1004,"&lt;="&amp;G$8)+SUMIFS('EMAIL MARKETING'!$Q$5:$Q$804,'EMAIL MARKETING'!$Z$5:$Z$804,1,'EMAIL MARKETING'!$A$5:$A$804,"&gt;="&amp;G$7,'EMAIL MARKETING'!$A$5:$A$804,"&lt;="&amp;G$8)+SUMIFS('PAID MEDIA ADS'!$M$5:$M$804,'PAID MEDIA ADS'!$W$5:$W$804,1,'PAID MEDIA ADS'!$A$5:$A$804,"&gt;="&amp;G$7,'PAID MEDIA ADS'!$A$5:$A$804,"&lt;="&amp;G$8)+SUMIFS('LINKEDIN OUTREACH'!$N$5:$N$704,'LINKEDIN OUTREACH'!$U$5:$U$704,1,'LINKEDIN OUTREACH'!$A$5:$A$704,"&gt;="&amp;G$7,'LINKEDIN OUTREACH'!$A$5:$A$704,"&lt;="&amp;G$8)+SUMIFS('WEBSITE CONTENT SEO'!$L$5:$L$804,'WEBSITE CONTENT SEO'!$X$5:$X$804,1,'WEBSITE CONTENT SEO'!$A$5:$A$804,"&gt;="&amp;G$7,'WEBSITE CONTENT SEO'!$A$5:$A$804,"&lt;="&amp;G$8))</f>
        <v>0</v>
      </c>
      <c r="H18" s="45">
        <f>(COUNTIFS('LEAD MQL TRACKER'!$AI$5:$AI$1004,1,'LEAD MQL TRACKER'!$Z$5:$Z$1004,"&gt;="&amp;H$7,'LEAD MQL TRACKER'!$Z$5:$Z$1004,"&lt;="&amp;H$8)+SUMIFS('EMAIL MARKETING'!$Q$5:$Q$804,'EMAIL MARKETING'!$Z$5:$Z$804,1,'EMAIL MARKETING'!$A$5:$A$804,"&gt;="&amp;H$7,'EMAIL MARKETING'!$A$5:$A$804,"&lt;="&amp;H$8)+SUMIFS('PAID MEDIA ADS'!$M$5:$M$804,'PAID MEDIA ADS'!$W$5:$W$804,1,'PAID MEDIA ADS'!$A$5:$A$804,"&gt;="&amp;H$7,'PAID MEDIA ADS'!$A$5:$A$804,"&lt;="&amp;H$8)+SUMIFS('LINKEDIN OUTREACH'!$N$5:$N$704,'LINKEDIN OUTREACH'!$U$5:$U$704,1,'LINKEDIN OUTREACH'!$A$5:$A$704,"&gt;="&amp;H$7,'LINKEDIN OUTREACH'!$A$5:$A$704,"&lt;="&amp;H$8)+SUMIFS('WEBSITE CONTENT SEO'!$L$5:$L$804,'WEBSITE CONTENT SEO'!$X$5:$X$804,1,'WEBSITE CONTENT SEO'!$A$5:$A$804,"&gt;="&amp;H$7,'WEBSITE CONTENT SEO'!$A$5:$A$804,"&lt;="&amp;H$8))</f>
        <v>0</v>
      </c>
      <c r="I18" s="45">
        <f>(COUNTIFS('LEAD MQL TRACKER'!$AI$5:$AI$1004,1,'LEAD MQL TRACKER'!$Z$5:$Z$1004,"&gt;="&amp;I$7,'LEAD MQL TRACKER'!$Z$5:$Z$1004,"&lt;="&amp;I$8)+SUMIFS('EMAIL MARKETING'!$Q$5:$Q$804,'EMAIL MARKETING'!$Z$5:$Z$804,1,'EMAIL MARKETING'!$A$5:$A$804,"&gt;="&amp;I$7,'EMAIL MARKETING'!$A$5:$A$804,"&lt;="&amp;I$8)+SUMIFS('PAID MEDIA ADS'!$M$5:$M$804,'PAID MEDIA ADS'!$W$5:$W$804,1,'PAID MEDIA ADS'!$A$5:$A$804,"&gt;="&amp;I$7,'PAID MEDIA ADS'!$A$5:$A$804,"&lt;="&amp;I$8)+SUMIFS('LINKEDIN OUTREACH'!$N$5:$N$704,'LINKEDIN OUTREACH'!$U$5:$U$704,1,'LINKEDIN OUTREACH'!$A$5:$A$704,"&gt;="&amp;I$7,'LINKEDIN OUTREACH'!$A$5:$A$704,"&lt;="&amp;I$8)+SUMIFS('WEBSITE CONTENT SEO'!$L$5:$L$804,'WEBSITE CONTENT SEO'!$X$5:$X$804,1,'WEBSITE CONTENT SEO'!$A$5:$A$804,"&gt;="&amp;I$7,'WEBSITE CONTENT SEO'!$A$5:$A$804,"&lt;="&amp;I$8))</f>
        <v>0</v>
      </c>
    </row>
    <row r="19">
      <c r="A19" s="40" t="inlineStr">
        <is>
          <t>MQLs</t>
        </is>
      </c>
      <c r="B19" s="45">
        <f>(COUNTIFS('LEAD MQL TRACKER'!$AI$5:$AI$1004,1,'LEAD MQL TRACKER'!$Z$5:$Z$1004,"&gt;="&amp;B$7,'LEAD MQL TRACKER'!$Z$5:$Z$1004,"&lt;="&amp;B$8,'LEAD MQL TRACKER'!$AD$5:$AD$1004,1)+SUMIFS('EMAIL MARKETING'!$R$5:$R$804,'EMAIL MARKETING'!$Z$5:$Z$804,1,'EMAIL MARKETING'!$A$5:$A$804,"&gt;="&amp;B$7,'EMAIL MARKETING'!$A$5:$A$804,"&lt;="&amp;B$8)+SUMIFS('PAID MEDIA ADS'!$N$5:$N$804,'PAID MEDIA ADS'!$W$5:$W$804,1,'PAID MEDIA ADS'!$A$5:$A$804,"&gt;="&amp;B$7,'PAID MEDIA ADS'!$A$5:$A$804,"&lt;="&amp;B$8)+SUMIFS('LINKEDIN OUTREACH'!$O$5:$O$704,'LINKEDIN OUTREACH'!$U$5:$U$704,1,'LINKEDIN OUTREACH'!$A$5:$A$704,"&gt;="&amp;B$7,'LINKEDIN OUTREACH'!$A$5:$A$704,"&lt;="&amp;B$8))</f>
        <v>0</v>
      </c>
      <c r="C19" s="45">
        <f>(COUNTIFS('LEAD MQL TRACKER'!$AI$5:$AI$1004,1,'LEAD MQL TRACKER'!$Z$5:$Z$1004,"&gt;="&amp;C$7,'LEAD MQL TRACKER'!$Z$5:$Z$1004,"&lt;="&amp;C$8,'LEAD MQL TRACKER'!$AD$5:$AD$1004,1)+SUMIFS('EMAIL MARKETING'!$R$5:$R$804,'EMAIL MARKETING'!$Z$5:$Z$804,1,'EMAIL MARKETING'!$A$5:$A$804,"&gt;="&amp;C$7,'EMAIL MARKETING'!$A$5:$A$804,"&lt;="&amp;C$8)+SUMIFS('PAID MEDIA ADS'!$N$5:$N$804,'PAID MEDIA ADS'!$W$5:$W$804,1,'PAID MEDIA ADS'!$A$5:$A$804,"&gt;="&amp;C$7,'PAID MEDIA ADS'!$A$5:$A$804,"&lt;="&amp;C$8)+SUMIFS('LINKEDIN OUTREACH'!$O$5:$O$704,'LINKEDIN OUTREACH'!$U$5:$U$704,1,'LINKEDIN OUTREACH'!$A$5:$A$704,"&gt;="&amp;C$7,'LINKEDIN OUTREACH'!$A$5:$A$704,"&lt;="&amp;C$8))</f>
        <v>0</v>
      </c>
      <c r="D19" s="45">
        <f>(COUNTIFS('LEAD MQL TRACKER'!$AI$5:$AI$1004,1,'LEAD MQL TRACKER'!$Z$5:$Z$1004,"&gt;="&amp;D$7,'LEAD MQL TRACKER'!$Z$5:$Z$1004,"&lt;="&amp;D$8,'LEAD MQL TRACKER'!$AD$5:$AD$1004,1)+SUMIFS('EMAIL MARKETING'!$R$5:$R$804,'EMAIL MARKETING'!$Z$5:$Z$804,1,'EMAIL MARKETING'!$A$5:$A$804,"&gt;="&amp;D$7,'EMAIL MARKETING'!$A$5:$A$804,"&lt;="&amp;D$8)+SUMIFS('PAID MEDIA ADS'!$N$5:$N$804,'PAID MEDIA ADS'!$W$5:$W$804,1,'PAID MEDIA ADS'!$A$5:$A$804,"&gt;="&amp;D$7,'PAID MEDIA ADS'!$A$5:$A$804,"&lt;="&amp;D$8)+SUMIFS('LINKEDIN OUTREACH'!$O$5:$O$704,'LINKEDIN OUTREACH'!$U$5:$U$704,1,'LINKEDIN OUTREACH'!$A$5:$A$704,"&gt;="&amp;D$7,'LINKEDIN OUTREACH'!$A$5:$A$704,"&lt;="&amp;D$8))</f>
        <v>0</v>
      </c>
      <c r="E19" s="45">
        <f>(COUNTIFS('LEAD MQL TRACKER'!$AI$5:$AI$1004,1,'LEAD MQL TRACKER'!$Z$5:$Z$1004,"&gt;="&amp;E$7,'LEAD MQL TRACKER'!$Z$5:$Z$1004,"&lt;="&amp;E$8,'LEAD MQL TRACKER'!$AD$5:$AD$1004,1)+SUMIFS('EMAIL MARKETING'!$R$5:$R$804,'EMAIL MARKETING'!$Z$5:$Z$804,1,'EMAIL MARKETING'!$A$5:$A$804,"&gt;="&amp;E$7,'EMAIL MARKETING'!$A$5:$A$804,"&lt;="&amp;E$8)+SUMIFS('PAID MEDIA ADS'!$N$5:$N$804,'PAID MEDIA ADS'!$W$5:$W$804,1,'PAID MEDIA ADS'!$A$5:$A$804,"&gt;="&amp;E$7,'PAID MEDIA ADS'!$A$5:$A$804,"&lt;="&amp;E$8)+SUMIFS('LINKEDIN OUTREACH'!$O$5:$O$704,'LINKEDIN OUTREACH'!$U$5:$U$704,1,'LINKEDIN OUTREACH'!$A$5:$A$704,"&gt;="&amp;E$7,'LINKEDIN OUTREACH'!$A$5:$A$704,"&lt;="&amp;E$8))</f>
        <v>0</v>
      </c>
      <c r="F19" s="45">
        <f>(COUNTIFS('LEAD MQL TRACKER'!$AI$5:$AI$1004,1,'LEAD MQL TRACKER'!$Z$5:$Z$1004,"&gt;="&amp;F$7,'LEAD MQL TRACKER'!$Z$5:$Z$1004,"&lt;="&amp;F$8,'LEAD MQL TRACKER'!$AD$5:$AD$1004,1)+SUMIFS('EMAIL MARKETING'!$R$5:$R$804,'EMAIL MARKETING'!$Z$5:$Z$804,1,'EMAIL MARKETING'!$A$5:$A$804,"&gt;="&amp;F$7,'EMAIL MARKETING'!$A$5:$A$804,"&lt;="&amp;F$8)+SUMIFS('PAID MEDIA ADS'!$N$5:$N$804,'PAID MEDIA ADS'!$W$5:$W$804,1,'PAID MEDIA ADS'!$A$5:$A$804,"&gt;="&amp;F$7,'PAID MEDIA ADS'!$A$5:$A$804,"&lt;="&amp;F$8)+SUMIFS('LINKEDIN OUTREACH'!$O$5:$O$704,'LINKEDIN OUTREACH'!$U$5:$U$704,1,'LINKEDIN OUTREACH'!$A$5:$A$704,"&gt;="&amp;F$7,'LINKEDIN OUTREACH'!$A$5:$A$704,"&lt;="&amp;F$8))</f>
        <v>0</v>
      </c>
      <c r="G19" s="45">
        <f>(COUNTIFS('LEAD MQL TRACKER'!$AI$5:$AI$1004,1,'LEAD MQL TRACKER'!$Z$5:$Z$1004,"&gt;="&amp;G$7,'LEAD MQL TRACKER'!$Z$5:$Z$1004,"&lt;="&amp;G$8,'LEAD MQL TRACKER'!$AD$5:$AD$1004,1)+SUMIFS('EMAIL MARKETING'!$R$5:$R$804,'EMAIL MARKETING'!$Z$5:$Z$804,1,'EMAIL MARKETING'!$A$5:$A$804,"&gt;="&amp;G$7,'EMAIL MARKETING'!$A$5:$A$804,"&lt;="&amp;G$8)+SUMIFS('PAID MEDIA ADS'!$N$5:$N$804,'PAID MEDIA ADS'!$W$5:$W$804,1,'PAID MEDIA ADS'!$A$5:$A$804,"&gt;="&amp;G$7,'PAID MEDIA ADS'!$A$5:$A$804,"&lt;="&amp;G$8)+SUMIFS('LINKEDIN OUTREACH'!$O$5:$O$704,'LINKEDIN OUTREACH'!$U$5:$U$704,1,'LINKEDIN OUTREACH'!$A$5:$A$704,"&gt;="&amp;G$7,'LINKEDIN OUTREACH'!$A$5:$A$704,"&lt;="&amp;G$8))</f>
        <v>0</v>
      </c>
      <c r="H19" s="45">
        <f>(COUNTIFS('LEAD MQL TRACKER'!$AI$5:$AI$1004,1,'LEAD MQL TRACKER'!$Z$5:$Z$1004,"&gt;="&amp;H$7,'LEAD MQL TRACKER'!$Z$5:$Z$1004,"&lt;="&amp;H$8,'LEAD MQL TRACKER'!$AD$5:$AD$1004,1)+SUMIFS('EMAIL MARKETING'!$R$5:$R$804,'EMAIL MARKETING'!$Z$5:$Z$804,1,'EMAIL MARKETING'!$A$5:$A$804,"&gt;="&amp;H$7,'EMAIL MARKETING'!$A$5:$A$804,"&lt;="&amp;H$8)+SUMIFS('PAID MEDIA ADS'!$N$5:$N$804,'PAID MEDIA ADS'!$W$5:$W$804,1,'PAID MEDIA ADS'!$A$5:$A$804,"&gt;="&amp;H$7,'PAID MEDIA ADS'!$A$5:$A$804,"&lt;="&amp;H$8)+SUMIFS('LINKEDIN OUTREACH'!$O$5:$O$704,'LINKEDIN OUTREACH'!$U$5:$U$704,1,'LINKEDIN OUTREACH'!$A$5:$A$704,"&gt;="&amp;H$7,'LINKEDIN OUTREACH'!$A$5:$A$704,"&lt;="&amp;H$8))</f>
        <v>0</v>
      </c>
      <c r="I19" s="45">
        <f>(COUNTIFS('LEAD MQL TRACKER'!$AI$5:$AI$1004,1,'LEAD MQL TRACKER'!$Z$5:$Z$1004,"&gt;="&amp;I$7,'LEAD MQL TRACKER'!$Z$5:$Z$1004,"&lt;="&amp;I$8,'LEAD MQL TRACKER'!$AD$5:$AD$1004,1)+SUMIFS('EMAIL MARKETING'!$R$5:$R$804,'EMAIL MARKETING'!$Z$5:$Z$804,1,'EMAIL MARKETING'!$A$5:$A$804,"&gt;="&amp;I$7,'EMAIL MARKETING'!$A$5:$A$804,"&lt;="&amp;I$8)+SUMIFS('PAID MEDIA ADS'!$N$5:$N$804,'PAID MEDIA ADS'!$W$5:$W$804,1,'PAID MEDIA ADS'!$A$5:$A$804,"&gt;="&amp;I$7,'PAID MEDIA ADS'!$A$5:$A$804,"&lt;="&amp;I$8)+SUMIFS('LINKEDIN OUTREACH'!$O$5:$O$704,'LINKEDIN OUTREACH'!$U$5:$U$704,1,'LINKEDIN OUTREACH'!$A$5:$A$704,"&gt;="&amp;I$7,'LINKEDIN OUTREACH'!$A$5:$A$704,"&lt;="&amp;I$8))</f>
        <v>0</v>
      </c>
    </row>
    <row r="20">
      <c r="A20" s="40" t="inlineStr">
        <is>
          <t>SQLs</t>
        </is>
      </c>
      <c r="B20" s="45">
        <f>COUNTIFS('LEAD MQL TRACKER'!$AI$5:$AI$1004,1,'LEAD MQL TRACKER'!$Z$5:$Z$1004,"&gt;="&amp;B$7,'LEAD MQL TRACKER'!$Z$5:$Z$1004,"&lt;="&amp;B$8,'LEAD MQL TRACKER'!$AE$5:$AE$1004,1)</f>
        <v>0</v>
      </c>
      <c r="C20" s="45">
        <f>COUNTIFS('LEAD MQL TRACKER'!$AI$5:$AI$1004,1,'LEAD MQL TRACKER'!$Z$5:$Z$1004,"&gt;="&amp;C$7,'LEAD MQL TRACKER'!$Z$5:$Z$1004,"&lt;="&amp;C$8,'LEAD MQL TRACKER'!$AE$5:$AE$1004,1)</f>
        <v>0</v>
      </c>
      <c r="D20" s="45">
        <f>COUNTIFS('LEAD MQL TRACKER'!$AI$5:$AI$1004,1,'LEAD MQL TRACKER'!$Z$5:$Z$1004,"&gt;="&amp;D$7,'LEAD MQL TRACKER'!$Z$5:$Z$1004,"&lt;="&amp;D$8,'LEAD MQL TRACKER'!$AE$5:$AE$1004,1)</f>
        <v>0</v>
      </c>
      <c r="E20" s="45">
        <f>COUNTIFS('LEAD MQL TRACKER'!$AI$5:$AI$1004,1,'LEAD MQL TRACKER'!$Z$5:$Z$1004,"&gt;="&amp;E$7,'LEAD MQL TRACKER'!$Z$5:$Z$1004,"&lt;="&amp;E$8,'LEAD MQL TRACKER'!$AE$5:$AE$1004,1)</f>
        <v>0</v>
      </c>
      <c r="F20" s="45">
        <f>COUNTIFS('LEAD MQL TRACKER'!$AI$5:$AI$1004,1,'LEAD MQL TRACKER'!$Z$5:$Z$1004,"&gt;="&amp;F$7,'LEAD MQL TRACKER'!$Z$5:$Z$1004,"&lt;="&amp;F$8,'LEAD MQL TRACKER'!$AE$5:$AE$1004,1)</f>
        <v>0</v>
      </c>
      <c r="G20" s="45">
        <f>COUNTIFS('LEAD MQL TRACKER'!$AI$5:$AI$1004,1,'LEAD MQL TRACKER'!$Z$5:$Z$1004,"&gt;="&amp;G$7,'LEAD MQL TRACKER'!$Z$5:$Z$1004,"&lt;="&amp;G$8,'LEAD MQL TRACKER'!$AE$5:$AE$1004,1)</f>
        <v>0</v>
      </c>
      <c r="H20" s="45">
        <f>COUNTIFS('LEAD MQL TRACKER'!$AI$5:$AI$1004,1,'LEAD MQL TRACKER'!$Z$5:$Z$1004,"&gt;="&amp;H$7,'LEAD MQL TRACKER'!$Z$5:$Z$1004,"&lt;="&amp;H$8,'LEAD MQL TRACKER'!$AE$5:$AE$1004,1)</f>
        <v>0</v>
      </c>
      <c r="I20" s="45">
        <f>COUNTIFS('LEAD MQL TRACKER'!$AI$5:$AI$1004,1,'LEAD MQL TRACKER'!$Z$5:$Z$1004,"&gt;="&amp;I$7,'LEAD MQL TRACKER'!$Z$5:$Z$1004,"&lt;="&amp;I$8,'LEAD MQL TRACKER'!$AE$5:$AE$1004,1)</f>
        <v>0</v>
      </c>
    </row>
    <row r="21">
      <c r="A21" s="44" t="inlineStr">
        <is>
          <t>Opportunities</t>
        </is>
      </c>
      <c r="B21" s="96">
        <f>COUNTIFS('LEAD MQL TRACKER'!$AI$5:$AI$1004,1,'LEAD MQL TRACKER'!$Z$5:$Z$1004,"&gt;="&amp;B$7,'LEAD MQL TRACKER'!$Z$5:$Z$1004,"&lt;="&amp;B$8,'LEAD MQL TRACKER'!$AF$5:$AF$1004,1)</f>
        <v>0</v>
      </c>
      <c r="C21" s="96">
        <f>COUNTIFS('LEAD MQL TRACKER'!$AI$5:$AI$1004,1,'LEAD MQL TRACKER'!$Z$5:$Z$1004,"&gt;="&amp;C$7,'LEAD MQL TRACKER'!$Z$5:$Z$1004,"&lt;="&amp;C$8,'LEAD MQL TRACKER'!$AF$5:$AF$1004,1)</f>
        <v>0</v>
      </c>
      <c r="D21" s="96">
        <f>COUNTIFS('LEAD MQL TRACKER'!$AI$5:$AI$1004,1,'LEAD MQL TRACKER'!$Z$5:$Z$1004,"&gt;="&amp;D$7,'LEAD MQL TRACKER'!$Z$5:$Z$1004,"&lt;="&amp;D$8,'LEAD MQL TRACKER'!$AF$5:$AF$1004,1)</f>
        <v>0</v>
      </c>
      <c r="E21" s="96">
        <f>COUNTIFS('LEAD MQL TRACKER'!$AI$5:$AI$1004,1,'LEAD MQL TRACKER'!$Z$5:$Z$1004,"&gt;="&amp;E$7,'LEAD MQL TRACKER'!$Z$5:$Z$1004,"&lt;="&amp;E$8,'LEAD MQL TRACKER'!$AF$5:$AF$1004,1)</f>
        <v>0</v>
      </c>
      <c r="F21" s="96">
        <f>COUNTIFS('LEAD MQL TRACKER'!$AI$5:$AI$1004,1,'LEAD MQL TRACKER'!$Z$5:$Z$1004,"&gt;="&amp;F$7,'LEAD MQL TRACKER'!$Z$5:$Z$1004,"&lt;="&amp;F$8,'LEAD MQL TRACKER'!$AF$5:$AF$1004,1)</f>
        <v>0</v>
      </c>
      <c r="G21" s="96">
        <f>COUNTIFS('LEAD MQL TRACKER'!$AI$5:$AI$1004,1,'LEAD MQL TRACKER'!$Z$5:$Z$1004,"&gt;="&amp;G$7,'LEAD MQL TRACKER'!$Z$5:$Z$1004,"&lt;="&amp;G$8,'LEAD MQL TRACKER'!$AF$5:$AF$1004,1)</f>
        <v>0</v>
      </c>
      <c r="H21" s="96">
        <f>COUNTIFS('LEAD MQL TRACKER'!$AI$5:$AI$1004,1,'LEAD MQL TRACKER'!$Z$5:$Z$1004,"&gt;="&amp;H$7,'LEAD MQL TRACKER'!$Z$5:$Z$1004,"&lt;="&amp;H$8,'LEAD MQL TRACKER'!$AF$5:$AF$1004,1)</f>
        <v>0</v>
      </c>
      <c r="I21" s="96">
        <f>COUNTIFS('LEAD MQL TRACKER'!$AI$5:$AI$1004,1,'LEAD MQL TRACKER'!$Z$5:$Z$1004,"&gt;="&amp;I$7,'LEAD MQL TRACKER'!$Z$5:$Z$1004,"&lt;="&amp;I$8,'LEAD MQL TRACKER'!$AF$5:$AF$1004,1)</f>
        <v>0</v>
      </c>
    </row>
    <row r="22">
      <c r="A22" s="44" t="inlineStr">
        <is>
          <t>Lead &gt; MQL %</t>
        </is>
      </c>
      <c r="B22" s="43" t="str">
        <f>IFERROR((B19)/(B18),"–")</f>
        <v>–</v>
      </c>
      <c r="C22" s="43" t="str">
        <f>IFERROR((C19)/(C18),"–")</f>
        <v>–</v>
      </c>
      <c r="D22" s="43" t="str">
        <f>IFERROR((D19)/(D18),"–")</f>
        <v>–</v>
      </c>
      <c r="E22" s="43" t="str">
        <f>IFERROR((E19)/(E18),"–")</f>
        <v>–</v>
      </c>
      <c r="F22" s="43" t="str">
        <f>IFERROR((F19)/(F18),"–")</f>
        <v>–</v>
      </c>
      <c r="G22" s="43" t="str">
        <f>IFERROR((G19)/(G18),"–")</f>
        <v>–</v>
      </c>
      <c r="H22" s="43" t="str">
        <f>IFERROR((H19)/(H18),"–")</f>
        <v>–</v>
      </c>
      <c r="I22" s="43" t="str">
        <f>IFERROR((I19)/(I18),"–")</f>
        <v>–</v>
      </c>
    </row>
    <row r="23">
      <c r="A23" s="44" t="inlineStr">
        <is>
          <t>MQL &gt; SQL %</t>
        </is>
      </c>
      <c r="B23" s="43" t="str">
        <f>IFERROR((B20)/(B19),"–")</f>
        <v>–</v>
      </c>
      <c r="C23" s="43" t="str">
        <f>IFERROR((C20)/(C19),"–")</f>
        <v>–</v>
      </c>
      <c r="D23" s="43" t="str">
        <f>IFERROR((D20)/(D19),"–")</f>
        <v>–</v>
      </c>
      <c r="E23" s="43" t="str">
        <f>IFERROR((E20)/(E19),"–")</f>
        <v>–</v>
      </c>
      <c r="F23" s="43" t="str">
        <f>IFERROR((F20)/(F19),"–")</f>
        <v>–</v>
      </c>
      <c r="G23" s="43" t="str">
        <f>IFERROR((G20)/(G19),"–")</f>
        <v>–</v>
      </c>
      <c r="H23" s="43" t="str">
        <f>IFERROR((H20)/(H19),"–")</f>
        <v>–</v>
      </c>
      <c r="I23" s="43" t="str">
        <f>IFERROR((I20)/(I19),"–")</f>
        <v>–</v>
      </c>
    </row>
    <row r="24" ht="20" customHeight="1">
      <c r="A24" s="37" t="inlineStr">
        <is>
          <t>CAMPAIGNS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</row>
    <row r="25">
      <c r="A25" s="44" t="inlineStr">
        <is>
          <t>Campaigns launched (start date in period)</t>
        </is>
      </c>
      <c r="B25" s="96">
        <f>COUNTIFS('CAMPAIGN MASTER'!$AL$5:$AL$704,1,'CAMPAIGN MASTER'!$K$5:$K$704,"&gt;="&amp;B$7,'CAMPAIGN MASTER'!$K$5:$K$704,"&lt;="&amp;B$8,'CAMPAIGN MASTER'!$AN$5:$AN$704,1)</f>
        <v>0</v>
      </c>
      <c r="C25" s="96">
        <f>COUNTIFS('CAMPAIGN MASTER'!$AL$5:$AL$704,1,'CAMPAIGN MASTER'!$K$5:$K$704,"&gt;="&amp;C$7,'CAMPAIGN MASTER'!$K$5:$K$704,"&lt;="&amp;C$8,'CAMPAIGN MASTER'!$AN$5:$AN$704,1)</f>
        <v>0</v>
      </c>
      <c r="D25" s="96">
        <f>COUNTIFS('CAMPAIGN MASTER'!$AL$5:$AL$704,1,'CAMPAIGN MASTER'!$K$5:$K$704,"&gt;="&amp;D$7,'CAMPAIGN MASTER'!$K$5:$K$704,"&lt;="&amp;D$8,'CAMPAIGN MASTER'!$AN$5:$AN$704,1)</f>
        <v>0</v>
      </c>
      <c r="E25" s="96">
        <f>COUNTIFS('CAMPAIGN MASTER'!$AL$5:$AL$704,1,'CAMPAIGN MASTER'!$K$5:$K$704,"&gt;="&amp;E$7,'CAMPAIGN MASTER'!$K$5:$K$704,"&lt;="&amp;E$8,'CAMPAIGN MASTER'!$AN$5:$AN$704,1)</f>
        <v>0</v>
      </c>
      <c r="F25" s="96">
        <f>COUNTIFS('CAMPAIGN MASTER'!$AL$5:$AL$704,1,'CAMPAIGN MASTER'!$K$5:$K$704,"&gt;="&amp;F$7,'CAMPAIGN MASTER'!$K$5:$K$704,"&lt;="&amp;F$8,'CAMPAIGN MASTER'!$AN$5:$AN$704,1)</f>
        <v>0</v>
      </c>
      <c r="G25" s="96">
        <f>COUNTIFS('CAMPAIGN MASTER'!$AL$5:$AL$704,1,'CAMPAIGN MASTER'!$K$5:$K$704,"&gt;="&amp;G$7,'CAMPAIGN MASTER'!$K$5:$K$704,"&lt;="&amp;G$8,'CAMPAIGN MASTER'!$AN$5:$AN$704,1)</f>
        <v>0</v>
      </c>
      <c r="H25" s="96">
        <f>COUNTIFS('CAMPAIGN MASTER'!$AL$5:$AL$704,1,'CAMPAIGN MASTER'!$K$5:$K$704,"&gt;="&amp;H$7,'CAMPAIGN MASTER'!$K$5:$K$704,"&lt;="&amp;H$8,'CAMPAIGN MASTER'!$AN$5:$AN$704,1)</f>
        <v>0</v>
      </c>
      <c r="I25" s="96">
        <f>COUNTIFS('CAMPAIGN MASTER'!$AL$5:$AL$704,1,'CAMPAIGN MASTER'!$K$5:$K$704,"&gt;="&amp;I$7,'CAMPAIGN MASTER'!$K$5:$K$704,"&lt;="&amp;I$8,'CAMPAIGN MASTER'!$AN$5:$AN$704,1)</f>
        <v>0</v>
      </c>
    </row>
    <row r="26">
      <c r="A26" s="44" t="inlineStr">
        <is>
          <t>Active campaigns (running in period)</t>
        </is>
      </c>
      <c r="B26" s="96">
        <f>COUNTIFS('CAMPAIGN MASTER'!$AL$5:$AL$704,1,'CAMPAIGN MASTER'!$AN$5:$AN$704,1,'CAMPAIGN MASTER'!$K$5:$K$704,"&lt;="&amp;B$8,'CAMPAIGN MASTER'!$M$5:$M$704,"&gt;="&amp;B$7)+COUNTIFS('CAMPAIGN MASTER'!$AL$5:$AL$704,1,'CAMPAIGN MASTER'!$AN$5:$AN$704,1,'CAMPAIGN MASTER'!$K$5:$K$704,"&lt;="&amp;B$8,'CAMPAIGN MASTER'!$M$5:$M$704,"=")</f>
        <v>0</v>
      </c>
      <c r="C26" s="96">
        <f>COUNTIFS('CAMPAIGN MASTER'!$AL$5:$AL$704,1,'CAMPAIGN MASTER'!$AN$5:$AN$704,1,'CAMPAIGN MASTER'!$K$5:$K$704,"&lt;="&amp;C$8,'CAMPAIGN MASTER'!$M$5:$M$704,"&gt;="&amp;C$7)+COUNTIFS('CAMPAIGN MASTER'!$AL$5:$AL$704,1,'CAMPAIGN MASTER'!$AN$5:$AN$704,1,'CAMPAIGN MASTER'!$K$5:$K$704,"&lt;="&amp;C$8,'CAMPAIGN MASTER'!$M$5:$M$704,"=")</f>
        <v>0</v>
      </c>
      <c r="D26" s="96">
        <f>COUNTIFS('CAMPAIGN MASTER'!$AL$5:$AL$704,1,'CAMPAIGN MASTER'!$AN$5:$AN$704,1,'CAMPAIGN MASTER'!$K$5:$K$704,"&lt;="&amp;D$8,'CAMPAIGN MASTER'!$M$5:$M$704,"&gt;="&amp;D$7)+COUNTIFS('CAMPAIGN MASTER'!$AL$5:$AL$704,1,'CAMPAIGN MASTER'!$AN$5:$AN$704,1,'CAMPAIGN MASTER'!$K$5:$K$704,"&lt;="&amp;D$8,'CAMPAIGN MASTER'!$M$5:$M$704,"=")</f>
        <v>0</v>
      </c>
      <c r="E26" s="96">
        <f>COUNTIFS('CAMPAIGN MASTER'!$AL$5:$AL$704,1,'CAMPAIGN MASTER'!$AN$5:$AN$704,1,'CAMPAIGN MASTER'!$K$5:$K$704,"&lt;="&amp;E$8,'CAMPAIGN MASTER'!$M$5:$M$704,"&gt;="&amp;E$7)+COUNTIFS('CAMPAIGN MASTER'!$AL$5:$AL$704,1,'CAMPAIGN MASTER'!$AN$5:$AN$704,1,'CAMPAIGN MASTER'!$K$5:$K$704,"&lt;="&amp;E$8,'CAMPAIGN MASTER'!$M$5:$M$704,"=")</f>
        <v>0</v>
      </c>
      <c r="F26" s="96">
        <f>COUNTIFS('CAMPAIGN MASTER'!$AL$5:$AL$704,1,'CAMPAIGN MASTER'!$AN$5:$AN$704,1,'CAMPAIGN MASTER'!$K$5:$K$704,"&lt;="&amp;F$8,'CAMPAIGN MASTER'!$M$5:$M$704,"&gt;="&amp;F$7)+COUNTIFS('CAMPAIGN MASTER'!$AL$5:$AL$704,1,'CAMPAIGN MASTER'!$AN$5:$AN$704,1,'CAMPAIGN MASTER'!$K$5:$K$704,"&lt;="&amp;F$8,'CAMPAIGN MASTER'!$M$5:$M$704,"=")</f>
        <v>0</v>
      </c>
      <c r="G26" s="96">
        <f>COUNTIFS('CAMPAIGN MASTER'!$AL$5:$AL$704,1,'CAMPAIGN MASTER'!$AN$5:$AN$704,1,'CAMPAIGN MASTER'!$K$5:$K$704,"&lt;="&amp;G$8,'CAMPAIGN MASTER'!$M$5:$M$704,"&gt;="&amp;G$7)+COUNTIFS('CAMPAIGN MASTER'!$AL$5:$AL$704,1,'CAMPAIGN MASTER'!$AN$5:$AN$704,1,'CAMPAIGN MASTER'!$K$5:$K$704,"&lt;="&amp;G$8,'CAMPAIGN MASTER'!$M$5:$M$704,"=")</f>
        <v>0</v>
      </c>
      <c r="H26" s="96">
        <f>COUNTIFS('CAMPAIGN MASTER'!$AL$5:$AL$704,1,'CAMPAIGN MASTER'!$AN$5:$AN$704,1,'CAMPAIGN MASTER'!$K$5:$K$704,"&lt;="&amp;H$8,'CAMPAIGN MASTER'!$M$5:$M$704,"&gt;="&amp;H$7)+COUNTIFS('CAMPAIGN MASTER'!$AL$5:$AL$704,1,'CAMPAIGN MASTER'!$AN$5:$AN$704,1,'CAMPAIGN MASTER'!$K$5:$K$704,"&lt;="&amp;H$8,'CAMPAIGN MASTER'!$M$5:$M$704,"=")</f>
        <v>0</v>
      </c>
      <c r="I26" s="96">
        <f>COUNTIFS('CAMPAIGN MASTER'!$AL$5:$AL$704,1,'CAMPAIGN MASTER'!$AN$5:$AN$704,1,'CAMPAIGN MASTER'!$K$5:$K$704,"&lt;="&amp;I$8,'CAMPAIGN MASTER'!$M$5:$M$704,"&gt;="&amp;I$7)+COUNTIFS('CAMPAIGN MASTER'!$AL$5:$AL$704,1,'CAMPAIGN MASTER'!$AN$5:$AN$704,1,'CAMPAIGN MASTER'!$K$5:$K$704,"&lt;="&amp;I$8,'CAMPAIGN MASTER'!$M$5:$M$704,"=")</f>
        <v>0</v>
      </c>
    </row>
    <row r="27">
      <c r="A27" s="44" t="inlineStr">
        <is>
          <t>Under optimization (current)</t>
        </is>
      </c>
      <c r="B27" s="96" t="str">
        <f>IF(AND(ReportDate&gt;=B$7,ReportDate&lt;=B$8),COUNTIFS('CAMPAIGN MASTER'!$AL$5:$AL$704,1,'CAMPAIGN MASTER'!$N$5:$N$704,"Optimizing"),"–")</f>
        <v>–</v>
      </c>
      <c r="C27" s="96" t="str">
        <f>IF(AND(ReportDate&gt;=C$7,ReportDate&lt;=C$8),COUNTIFS('CAMPAIGN MASTER'!$AL$5:$AL$704,1,'CAMPAIGN MASTER'!$N$5:$N$704,"Optimizing"),"–")</f>
        <v>–</v>
      </c>
      <c r="D27" s="96" t="str">
        <f>IF(AND(ReportDate&gt;=D$7,ReportDate&lt;=D$8),COUNTIFS('CAMPAIGN MASTER'!$AL$5:$AL$704,1,'CAMPAIGN MASTER'!$N$5:$N$704,"Optimizing"),"–")</f>
        <v>–</v>
      </c>
      <c r="E27" s="96" t="str">
        <f>IF(AND(ReportDate&gt;=E$7,ReportDate&lt;=E$8),COUNTIFS('CAMPAIGN MASTER'!$AL$5:$AL$704,1,'CAMPAIGN MASTER'!$N$5:$N$704,"Optimizing"),"–")</f>
        <v>–</v>
      </c>
      <c r="F27" s="96" t="str">
        <f>IF(AND(ReportDate&gt;=F$7,ReportDate&lt;=F$8),COUNTIFS('CAMPAIGN MASTER'!$AL$5:$AL$704,1,'CAMPAIGN MASTER'!$N$5:$N$704,"Optimizing"),"–")</f>
        <v>–</v>
      </c>
      <c r="G27" s="96" t="str">
        <f>IF(AND(ReportDate&gt;=G$7,ReportDate&lt;=G$8),COUNTIFS('CAMPAIGN MASTER'!$AL$5:$AL$704,1,'CAMPAIGN MASTER'!$N$5:$N$704,"Optimizing"),"–")</f>
        <v>–</v>
      </c>
      <c r="H27" s="96" t="str">
        <f>IF(AND(ReportDate&gt;=H$7,ReportDate&lt;=H$8),COUNTIFS('CAMPAIGN MASTER'!$AL$5:$AL$704,1,'CAMPAIGN MASTER'!$N$5:$N$704,"Optimizing"),"–")</f>
        <v>–</v>
      </c>
      <c r="I27" s="96">
        <f>IF(AND(ReportDate&gt;=I$7,ReportDate&lt;=I$8),COUNTIFS('CAMPAIGN MASTER'!$AL$5:$AL$704,1,'CAMPAIGN MASTER'!$N$5:$N$704,"Optimizing"),"–")</f>
        <v>0</v>
      </c>
    </row>
    <row r="28">
      <c r="A28" s="44" t="inlineStr">
        <is>
          <t>Campaigns completed (actual end in period)</t>
        </is>
      </c>
      <c r="B28" s="96">
        <f>COUNTIFS('CAMPAIGN MASTER'!$AL$5:$AL$704,1,'CAMPAIGN MASTER'!$M$5:$M$704,"&gt;="&amp;B$7,'CAMPAIGN MASTER'!$M$5:$M$704,"&lt;="&amp;B$8,'CAMPAIGN MASTER'!$N$5:$N$704,"Completed")</f>
        <v>0</v>
      </c>
      <c r="C28" s="96">
        <f>COUNTIFS('CAMPAIGN MASTER'!$AL$5:$AL$704,1,'CAMPAIGN MASTER'!$M$5:$M$704,"&gt;="&amp;C$7,'CAMPAIGN MASTER'!$M$5:$M$704,"&lt;="&amp;C$8,'CAMPAIGN MASTER'!$N$5:$N$704,"Completed")</f>
        <v>0</v>
      </c>
      <c r="D28" s="96">
        <f>COUNTIFS('CAMPAIGN MASTER'!$AL$5:$AL$704,1,'CAMPAIGN MASTER'!$M$5:$M$704,"&gt;="&amp;D$7,'CAMPAIGN MASTER'!$M$5:$M$704,"&lt;="&amp;D$8,'CAMPAIGN MASTER'!$N$5:$N$704,"Completed")</f>
        <v>0</v>
      </c>
      <c r="E28" s="96">
        <f>COUNTIFS('CAMPAIGN MASTER'!$AL$5:$AL$704,1,'CAMPAIGN MASTER'!$M$5:$M$704,"&gt;="&amp;E$7,'CAMPAIGN MASTER'!$M$5:$M$704,"&lt;="&amp;E$8,'CAMPAIGN MASTER'!$N$5:$N$704,"Completed")</f>
        <v>0</v>
      </c>
      <c r="F28" s="96">
        <f>COUNTIFS('CAMPAIGN MASTER'!$AL$5:$AL$704,1,'CAMPAIGN MASTER'!$M$5:$M$704,"&gt;="&amp;F$7,'CAMPAIGN MASTER'!$M$5:$M$704,"&lt;="&amp;F$8,'CAMPAIGN MASTER'!$N$5:$N$704,"Completed")</f>
        <v>0</v>
      </c>
      <c r="G28" s="96">
        <f>COUNTIFS('CAMPAIGN MASTER'!$AL$5:$AL$704,1,'CAMPAIGN MASTER'!$M$5:$M$704,"&gt;="&amp;G$7,'CAMPAIGN MASTER'!$M$5:$M$704,"&lt;="&amp;G$8,'CAMPAIGN MASTER'!$N$5:$N$704,"Completed")</f>
        <v>0</v>
      </c>
      <c r="H28" s="96">
        <f>COUNTIFS('CAMPAIGN MASTER'!$AL$5:$AL$704,1,'CAMPAIGN MASTER'!$M$5:$M$704,"&gt;="&amp;H$7,'CAMPAIGN MASTER'!$M$5:$M$704,"&lt;="&amp;H$8,'CAMPAIGN MASTER'!$N$5:$N$704,"Completed")</f>
        <v>0</v>
      </c>
      <c r="I28" s="96">
        <f>COUNTIFS('CAMPAIGN MASTER'!$AL$5:$AL$704,1,'CAMPAIGN MASTER'!$M$5:$M$704,"&gt;="&amp;I$7,'CAMPAIGN MASTER'!$M$5:$M$704,"&lt;="&amp;I$8,'CAMPAIGN MASTER'!$N$5:$N$704,"Completed")</f>
        <v>0</v>
      </c>
    </row>
    <row r="29" ht="20" customHeight="1">
      <c r="A29" s="37" t="inlineStr">
        <is>
          <t>CHANNEL - EMAIL</t>
        </is>
      </c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>
      <c r="A30" s="44" t="inlineStr">
        <is>
          <t>Emails sent</t>
        </is>
      </c>
      <c r="B30" s="96">
        <f>SUMIFS('EMAIL MARKETING'!$F$5:$F$804,'EMAIL MARKETING'!$Z$5:$Z$804,1,'EMAIL MARKETING'!$A$5:$A$804,"&gt;="&amp;B$7,'EMAIL MARKETING'!$A$5:$A$804,"&lt;="&amp;B$8)</f>
        <v>0</v>
      </c>
      <c r="C30" s="96">
        <f>SUMIFS('EMAIL MARKETING'!$F$5:$F$804,'EMAIL MARKETING'!$Z$5:$Z$804,1,'EMAIL MARKETING'!$A$5:$A$804,"&gt;="&amp;C$7,'EMAIL MARKETING'!$A$5:$A$804,"&lt;="&amp;C$8)</f>
        <v>0</v>
      </c>
      <c r="D30" s="96">
        <f>SUMIFS('EMAIL MARKETING'!$F$5:$F$804,'EMAIL MARKETING'!$Z$5:$Z$804,1,'EMAIL MARKETING'!$A$5:$A$804,"&gt;="&amp;D$7,'EMAIL MARKETING'!$A$5:$A$804,"&lt;="&amp;D$8)</f>
        <v>0</v>
      </c>
      <c r="E30" s="96">
        <f>SUMIFS('EMAIL MARKETING'!$F$5:$F$804,'EMAIL MARKETING'!$Z$5:$Z$804,1,'EMAIL MARKETING'!$A$5:$A$804,"&gt;="&amp;E$7,'EMAIL MARKETING'!$A$5:$A$804,"&lt;="&amp;E$8)</f>
        <v>0</v>
      </c>
      <c r="F30" s="96">
        <f>SUMIFS('EMAIL MARKETING'!$F$5:$F$804,'EMAIL MARKETING'!$Z$5:$Z$804,1,'EMAIL MARKETING'!$A$5:$A$804,"&gt;="&amp;F$7,'EMAIL MARKETING'!$A$5:$A$804,"&lt;="&amp;F$8)</f>
        <v>0</v>
      </c>
      <c r="G30" s="96">
        <f>SUMIFS('EMAIL MARKETING'!$F$5:$F$804,'EMAIL MARKETING'!$Z$5:$Z$804,1,'EMAIL MARKETING'!$A$5:$A$804,"&gt;="&amp;G$7,'EMAIL MARKETING'!$A$5:$A$804,"&lt;="&amp;G$8)</f>
        <v>0</v>
      </c>
      <c r="H30" s="96">
        <f>SUMIFS('EMAIL MARKETING'!$F$5:$F$804,'EMAIL MARKETING'!$Z$5:$Z$804,1,'EMAIL MARKETING'!$A$5:$A$804,"&gt;="&amp;H$7,'EMAIL MARKETING'!$A$5:$A$804,"&lt;="&amp;H$8)</f>
        <v>0</v>
      </c>
      <c r="I30" s="96">
        <f>SUMIFS('EMAIL MARKETING'!$F$5:$F$804,'EMAIL MARKETING'!$Z$5:$Z$804,1,'EMAIL MARKETING'!$A$5:$A$804,"&gt;="&amp;I$7,'EMAIL MARKETING'!$A$5:$A$804,"&lt;="&amp;I$8)</f>
        <v>0</v>
      </c>
    </row>
    <row r="31">
      <c r="A31" s="44" t="inlineStr">
        <is>
          <t>Open rate</t>
        </is>
      </c>
      <c r="B31" s="43" t="str">
        <f>IFERROR((SUMIFS('EMAIL MARKETING'!$I$5:$I$804,'EMAIL MARKETING'!$Z$5:$Z$804,1,'EMAIL MARKETING'!$A$5:$A$804,"&gt;="&amp;B$7,'EMAIL MARKETING'!$A$5:$A$804,"&lt;="&amp;B$8))/(SUMIFS('EMAIL MARKETING'!$W$5:$W$804,'EMAIL MARKETING'!$Z$5:$Z$804,1,'EMAIL MARKETING'!$A$5:$A$804,"&gt;="&amp;B$7,'EMAIL MARKETING'!$A$5:$A$804,"&lt;="&amp;B$8)),"–")</f>
        <v>–</v>
      </c>
      <c r="C31" s="43" t="str">
        <f>IFERROR((SUMIFS('EMAIL MARKETING'!$I$5:$I$804,'EMAIL MARKETING'!$Z$5:$Z$804,1,'EMAIL MARKETING'!$A$5:$A$804,"&gt;="&amp;C$7,'EMAIL MARKETING'!$A$5:$A$804,"&lt;="&amp;C$8))/(SUMIFS('EMAIL MARKETING'!$W$5:$W$804,'EMAIL MARKETING'!$Z$5:$Z$804,1,'EMAIL MARKETING'!$A$5:$A$804,"&gt;="&amp;C$7,'EMAIL MARKETING'!$A$5:$A$804,"&lt;="&amp;C$8)),"–")</f>
        <v>–</v>
      </c>
      <c r="D31" s="43" t="str">
        <f>IFERROR((SUMIFS('EMAIL MARKETING'!$I$5:$I$804,'EMAIL MARKETING'!$Z$5:$Z$804,1,'EMAIL MARKETING'!$A$5:$A$804,"&gt;="&amp;D$7,'EMAIL MARKETING'!$A$5:$A$804,"&lt;="&amp;D$8))/(SUMIFS('EMAIL MARKETING'!$W$5:$W$804,'EMAIL MARKETING'!$Z$5:$Z$804,1,'EMAIL MARKETING'!$A$5:$A$804,"&gt;="&amp;D$7,'EMAIL MARKETING'!$A$5:$A$804,"&lt;="&amp;D$8)),"–")</f>
        <v>–</v>
      </c>
      <c r="E31" s="43" t="str">
        <f>IFERROR((SUMIFS('EMAIL MARKETING'!$I$5:$I$804,'EMAIL MARKETING'!$Z$5:$Z$804,1,'EMAIL MARKETING'!$A$5:$A$804,"&gt;="&amp;E$7,'EMAIL MARKETING'!$A$5:$A$804,"&lt;="&amp;E$8))/(SUMIFS('EMAIL MARKETING'!$W$5:$W$804,'EMAIL MARKETING'!$Z$5:$Z$804,1,'EMAIL MARKETING'!$A$5:$A$804,"&gt;="&amp;E$7,'EMAIL MARKETING'!$A$5:$A$804,"&lt;="&amp;E$8)),"–")</f>
        <v>–</v>
      </c>
      <c r="F31" s="43" t="str">
        <f>IFERROR((SUMIFS('EMAIL MARKETING'!$I$5:$I$804,'EMAIL MARKETING'!$Z$5:$Z$804,1,'EMAIL MARKETING'!$A$5:$A$804,"&gt;="&amp;F$7,'EMAIL MARKETING'!$A$5:$A$804,"&lt;="&amp;F$8))/(SUMIFS('EMAIL MARKETING'!$W$5:$W$804,'EMAIL MARKETING'!$Z$5:$Z$804,1,'EMAIL MARKETING'!$A$5:$A$804,"&gt;="&amp;F$7,'EMAIL MARKETING'!$A$5:$A$804,"&lt;="&amp;F$8)),"–")</f>
        <v>–</v>
      </c>
      <c r="G31" s="43" t="str">
        <f>IFERROR((SUMIFS('EMAIL MARKETING'!$I$5:$I$804,'EMAIL MARKETING'!$Z$5:$Z$804,1,'EMAIL MARKETING'!$A$5:$A$804,"&gt;="&amp;G$7,'EMAIL MARKETING'!$A$5:$A$804,"&lt;="&amp;G$8))/(SUMIFS('EMAIL MARKETING'!$W$5:$W$804,'EMAIL MARKETING'!$Z$5:$Z$804,1,'EMAIL MARKETING'!$A$5:$A$804,"&gt;="&amp;G$7,'EMAIL MARKETING'!$A$5:$A$804,"&lt;="&amp;G$8)),"–")</f>
        <v>–</v>
      </c>
      <c r="H31" s="43" t="str">
        <f>IFERROR((SUMIFS('EMAIL MARKETING'!$I$5:$I$804,'EMAIL MARKETING'!$Z$5:$Z$804,1,'EMAIL MARKETING'!$A$5:$A$804,"&gt;="&amp;H$7,'EMAIL MARKETING'!$A$5:$A$804,"&lt;="&amp;H$8))/(SUMIFS('EMAIL MARKETING'!$W$5:$W$804,'EMAIL MARKETING'!$Z$5:$Z$804,1,'EMAIL MARKETING'!$A$5:$A$804,"&gt;="&amp;H$7,'EMAIL MARKETING'!$A$5:$A$804,"&lt;="&amp;H$8)),"–")</f>
        <v>–</v>
      </c>
      <c r="I31" s="43" t="str">
        <f>IFERROR((SUMIFS('EMAIL MARKETING'!$I$5:$I$804,'EMAIL MARKETING'!$Z$5:$Z$804,1,'EMAIL MARKETING'!$A$5:$A$804,"&gt;="&amp;I$7,'EMAIL MARKETING'!$A$5:$A$804,"&lt;="&amp;I$8))/(SUMIFS('EMAIL MARKETING'!$W$5:$W$804,'EMAIL MARKETING'!$Z$5:$Z$804,1,'EMAIL MARKETING'!$A$5:$A$804,"&gt;="&amp;I$7,'EMAIL MARKETING'!$A$5:$A$804,"&lt;="&amp;I$8)),"–")</f>
        <v>–</v>
      </c>
    </row>
    <row r="32">
      <c r="A32" s="44" t="inlineStr">
        <is>
          <t>CTR</t>
        </is>
      </c>
      <c r="B32" s="43" t="str">
        <f>IFERROR((SUMIFS('EMAIL MARKETING'!$K$5:$K$804,'EMAIL MARKETING'!$Z$5:$Z$804,1,'EMAIL MARKETING'!$A$5:$A$804,"&gt;="&amp;B$7,'EMAIL MARKETING'!$A$5:$A$804,"&lt;="&amp;B$8))/(SUMIFS('EMAIL MARKETING'!$W$5:$W$804,'EMAIL MARKETING'!$Z$5:$Z$804,1,'EMAIL MARKETING'!$A$5:$A$804,"&gt;="&amp;B$7,'EMAIL MARKETING'!$A$5:$A$804,"&lt;="&amp;B$8)),"–")</f>
        <v>–</v>
      </c>
      <c r="C32" s="43" t="str">
        <f>IFERROR((SUMIFS('EMAIL MARKETING'!$K$5:$K$804,'EMAIL MARKETING'!$Z$5:$Z$804,1,'EMAIL MARKETING'!$A$5:$A$804,"&gt;="&amp;C$7,'EMAIL MARKETING'!$A$5:$A$804,"&lt;="&amp;C$8))/(SUMIFS('EMAIL MARKETING'!$W$5:$W$804,'EMAIL MARKETING'!$Z$5:$Z$804,1,'EMAIL MARKETING'!$A$5:$A$804,"&gt;="&amp;C$7,'EMAIL MARKETING'!$A$5:$A$804,"&lt;="&amp;C$8)),"–")</f>
        <v>–</v>
      </c>
      <c r="D32" s="43" t="str">
        <f>IFERROR((SUMIFS('EMAIL MARKETING'!$K$5:$K$804,'EMAIL MARKETING'!$Z$5:$Z$804,1,'EMAIL MARKETING'!$A$5:$A$804,"&gt;="&amp;D$7,'EMAIL MARKETING'!$A$5:$A$804,"&lt;="&amp;D$8))/(SUMIFS('EMAIL MARKETING'!$W$5:$W$804,'EMAIL MARKETING'!$Z$5:$Z$804,1,'EMAIL MARKETING'!$A$5:$A$804,"&gt;="&amp;D$7,'EMAIL MARKETING'!$A$5:$A$804,"&lt;="&amp;D$8)),"–")</f>
        <v>–</v>
      </c>
      <c r="E32" s="43" t="str">
        <f>IFERROR((SUMIFS('EMAIL MARKETING'!$K$5:$K$804,'EMAIL MARKETING'!$Z$5:$Z$804,1,'EMAIL MARKETING'!$A$5:$A$804,"&gt;="&amp;E$7,'EMAIL MARKETING'!$A$5:$A$804,"&lt;="&amp;E$8))/(SUMIFS('EMAIL MARKETING'!$W$5:$W$804,'EMAIL MARKETING'!$Z$5:$Z$804,1,'EMAIL MARKETING'!$A$5:$A$804,"&gt;="&amp;E$7,'EMAIL MARKETING'!$A$5:$A$804,"&lt;="&amp;E$8)),"–")</f>
        <v>–</v>
      </c>
      <c r="F32" s="43" t="str">
        <f>IFERROR((SUMIFS('EMAIL MARKETING'!$K$5:$K$804,'EMAIL MARKETING'!$Z$5:$Z$804,1,'EMAIL MARKETING'!$A$5:$A$804,"&gt;="&amp;F$7,'EMAIL MARKETING'!$A$5:$A$804,"&lt;="&amp;F$8))/(SUMIFS('EMAIL MARKETING'!$W$5:$W$804,'EMAIL MARKETING'!$Z$5:$Z$804,1,'EMAIL MARKETING'!$A$5:$A$804,"&gt;="&amp;F$7,'EMAIL MARKETING'!$A$5:$A$804,"&lt;="&amp;F$8)),"–")</f>
        <v>–</v>
      </c>
      <c r="G32" s="43" t="str">
        <f>IFERROR((SUMIFS('EMAIL MARKETING'!$K$5:$K$804,'EMAIL MARKETING'!$Z$5:$Z$804,1,'EMAIL MARKETING'!$A$5:$A$804,"&gt;="&amp;G$7,'EMAIL MARKETING'!$A$5:$A$804,"&lt;="&amp;G$8))/(SUMIFS('EMAIL MARKETING'!$W$5:$W$804,'EMAIL MARKETING'!$Z$5:$Z$804,1,'EMAIL MARKETING'!$A$5:$A$804,"&gt;="&amp;G$7,'EMAIL MARKETING'!$A$5:$A$804,"&lt;="&amp;G$8)),"–")</f>
        <v>–</v>
      </c>
      <c r="H32" s="43" t="str">
        <f>IFERROR((SUMIFS('EMAIL MARKETING'!$K$5:$K$804,'EMAIL MARKETING'!$Z$5:$Z$804,1,'EMAIL MARKETING'!$A$5:$A$804,"&gt;="&amp;H$7,'EMAIL MARKETING'!$A$5:$A$804,"&lt;="&amp;H$8))/(SUMIFS('EMAIL MARKETING'!$W$5:$W$804,'EMAIL MARKETING'!$Z$5:$Z$804,1,'EMAIL MARKETING'!$A$5:$A$804,"&gt;="&amp;H$7,'EMAIL MARKETING'!$A$5:$A$804,"&lt;="&amp;H$8)),"–")</f>
        <v>–</v>
      </c>
      <c r="I32" s="43" t="str">
        <f>IFERROR((SUMIFS('EMAIL MARKETING'!$K$5:$K$804,'EMAIL MARKETING'!$Z$5:$Z$804,1,'EMAIL MARKETING'!$A$5:$A$804,"&gt;="&amp;I$7,'EMAIL MARKETING'!$A$5:$A$804,"&lt;="&amp;I$8))/(SUMIFS('EMAIL MARKETING'!$W$5:$W$804,'EMAIL MARKETING'!$Z$5:$Z$804,1,'EMAIL MARKETING'!$A$5:$A$804,"&gt;="&amp;I$7,'EMAIL MARKETING'!$A$5:$A$804,"&lt;="&amp;I$8)),"–")</f>
        <v>–</v>
      </c>
    </row>
    <row r="33">
      <c r="A33" s="44" t="inlineStr">
        <is>
          <t>Reply rate</t>
        </is>
      </c>
      <c r="B33" s="43" t="str">
        <f>IFERROR((SUMIFS('EMAIL MARKETING'!$M$5:$M$804,'EMAIL MARKETING'!$Z$5:$Z$804,1,'EMAIL MARKETING'!$A$5:$A$804,"&gt;="&amp;B$7,'EMAIL MARKETING'!$A$5:$A$804,"&lt;="&amp;B$8))/(SUMIFS('EMAIL MARKETING'!$W$5:$W$804,'EMAIL MARKETING'!$Z$5:$Z$804,1,'EMAIL MARKETING'!$A$5:$A$804,"&gt;="&amp;B$7,'EMAIL MARKETING'!$A$5:$A$804,"&lt;="&amp;B$8)),"–")</f>
        <v>–</v>
      </c>
      <c r="C33" s="43" t="str">
        <f>IFERROR((SUMIFS('EMAIL MARKETING'!$M$5:$M$804,'EMAIL MARKETING'!$Z$5:$Z$804,1,'EMAIL MARKETING'!$A$5:$A$804,"&gt;="&amp;C$7,'EMAIL MARKETING'!$A$5:$A$804,"&lt;="&amp;C$8))/(SUMIFS('EMAIL MARKETING'!$W$5:$W$804,'EMAIL MARKETING'!$Z$5:$Z$804,1,'EMAIL MARKETING'!$A$5:$A$804,"&gt;="&amp;C$7,'EMAIL MARKETING'!$A$5:$A$804,"&lt;="&amp;C$8)),"–")</f>
        <v>–</v>
      </c>
      <c r="D33" s="43" t="str">
        <f>IFERROR((SUMIFS('EMAIL MARKETING'!$M$5:$M$804,'EMAIL MARKETING'!$Z$5:$Z$804,1,'EMAIL MARKETING'!$A$5:$A$804,"&gt;="&amp;D$7,'EMAIL MARKETING'!$A$5:$A$804,"&lt;="&amp;D$8))/(SUMIFS('EMAIL MARKETING'!$W$5:$W$804,'EMAIL MARKETING'!$Z$5:$Z$804,1,'EMAIL MARKETING'!$A$5:$A$804,"&gt;="&amp;D$7,'EMAIL MARKETING'!$A$5:$A$804,"&lt;="&amp;D$8)),"–")</f>
        <v>–</v>
      </c>
      <c r="E33" s="43" t="str">
        <f>IFERROR((SUMIFS('EMAIL MARKETING'!$M$5:$M$804,'EMAIL MARKETING'!$Z$5:$Z$804,1,'EMAIL MARKETING'!$A$5:$A$804,"&gt;="&amp;E$7,'EMAIL MARKETING'!$A$5:$A$804,"&lt;="&amp;E$8))/(SUMIFS('EMAIL MARKETING'!$W$5:$W$804,'EMAIL MARKETING'!$Z$5:$Z$804,1,'EMAIL MARKETING'!$A$5:$A$804,"&gt;="&amp;E$7,'EMAIL MARKETING'!$A$5:$A$804,"&lt;="&amp;E$8)),"–")</f>
        <v>–</v>
      </c>
      <c r="F33" s="43" t="str">
        <f>IFERROR((SUMIFS('EMAIL MARKETING'!$M$5:$M$804,'EMAIL MARKETING'!$Z$5:$Z$804,1,'EMAIL MARKETING'!$A$5:$A$804,"&gt;="&amp;F$7,'EMAIL MARKETING'!$A$5:$A$804,"&lt;="&amp;F$8))/(SUMIFS('EMAIL MARKETING'!$W$5:$W$804,'EMAIL MARKETING'!$Z$5:$Z$804,1,'EMAIL MARKETING'!$A$5:$A$804,"&gt;="&amp;F$7,'EMAIL MARKETING'!$A$5:$A$804,"&lt;="&amp;F$8)),"–")</f>
        <v>–</v>
      </c>
      <c r="G33" s="43" t="str">
        <f>IFERROR((SUMIFS('EMAIL MARKETING'!$M$5:$M$804,'EMAIL MARKETING'!$Z$5:$Z$804,1,'EMAIL MARKETING'!$A$5:$A$804,"&gt;="&amp;G$7,'EMAIL MARKETING'!$A$5:$A$804,"&lt;="&amp;G$8))/(SUMIFS('EMAIL MARKETING'!$W$5:$W$804,'EMAIL MARKETING'!$Z$5:$Z$804,1,'EMAIL MARKETING'!$A$5:$A$804,"&gt;="&amp;G$7,'EMAIL MARKETING'!$A$5:$A$804,"&lt;="&amp;G$8)),"–")</f>
        <v>–</v>
      </c>
      <c r="H33" s="43" t="str">
        <f>IFERROR((SUMIFS('EMAIL MARKETING'!$M$5:$M$804,'EMAIL MARKETING'!$Z$5:$Z$804,1,'EMAIL MARKETING'!$A$5:$A$804,"&gt;="&amp;H$7,'EMAIL MARKETING'!$A$5:$A$804,"&lt;="&amp;H$8))/(SUMIFS('EMAIL MARKETING'!$W$5:$W$804,'EMAIL MARKETING'!$Z$5:$Z$804,1,'EMAIL MARKETING'!$A$5:$A$804,"&gt;="&amp;H$7,'EMAIL MARKETING'!$A$5:$A$804,"&lt;="&amp;H$8)),"–")</f>
        <v>–</v>
      </c>
      <c r="I33" s="43" t="str">
        <f>IFERROR((SUMIFS('EMAIL MARKETING'!$M$5:$M$804,'EMAIL MARKETING'!$Z$5:$Z$804,1,'EMAIL MARKETING'!$A$5:$A$804,"&gt;="&amp;I$7,'EMAIL MARKETING'!$A$5:$A$804,"&lt;="&amp;I$8))/(SUMIFS('EMAIL MARKETING'!$W$5:$W$804,'EMAIL MARKETING'!$Z$5:$Z$804,1,'EMAIL MARKETING'!$A$5:$A$804,"&gt;="&amp;I$7,'EMAIL MARKETING'!$A$5:$A$804,"&lt;="&amp;I$8)),"–")</f>
        <v>–</v>
      </c>
    </row>
    <row r="34">
      <c r="A34" s="44" t="inlineStr">
        <is>
          <t>Positive response rate</t>
        </is>
      </c>
      <c r="B34" s="43" t="str">
        <f>IFERROR((SUMIFS('EMAIL MARKETING'!$O$5:$O$804,'EMAIL MARKETING'!$Z$5:$Z$804,1,'EMAIL MARKETING'!$A$5:$A$804,"&gt;="&amp;B$7,'EMAIL MARKETING'!$A$5:$A$804,"&lt;="&amp;B$8))/(SUMIFS('EMAIL MARKETING'!$W$5:$W$804,'EMAIL MARKETING'!$Z$5:$Z$804,1,'EMAIL MARKETING'!$A$5:$A$804,"&gt;="&amp;B$7,'EMAIL MARKETING'!$A$5:$A$804,"&lt;="&amp;B$8)),"–")</f>
        <v>–</v>
      </c>
      <c r="C34" s="43" t="str">
        <f>IFERROR((SUMIFS('EMAIL MARKETING'!$O$5:$O$804,'EMAIL MARKETING'!$Z$5:$Z$804,1,'EMAIL MARKETING'!$A$5:$A$804,"&gt;="&amp;C$7,'EMAIL MARKETING'!$A$5:$A$804,"&lt;="&amp;C$8))/(SUMIFS('EMAIL MARKETING'!$W$5:$W$804,'EMAIL MARKETING'!$Z$5:$Z$804,1,'EMAIL MARKETING'!$A$5:$A$804,"&gt;="&amp;C$7,'EMAIL MARKETING'!$A$5:$A$804,"&lt;="&amp;C$8)),"–")</f>
        <v>–</v>
      </c>
      <c r="D34" s="43" t="str">
        <f>IFERROR((SUMIFS('EMAIL MARKETING'!$O$5:$O$804,'EMAIL MARKETING'!$Z$5:$Z$804,1,'EMAIL MARKETING'!$A$5:$A$804,"&gt;="&amp;D$7,'EMAIL MARKETING'!$A$5:$A$804,"&lt;="&amp;D$8))/(SUMIFS('EMAIL MARKETING'!$W$5:$W$804,'EMAIL MARKETING'!$Z$5:$Z$804,1,'EMAIL MARKETING'!$A$5:$A$804,"&gt;="&amp;D$7,'EMAIL MARKETING'!$A$5:$A$804,"&lt;="&amp;D$8)),"–")</f>
        <v>–</v>
      </c>
      <c r="E34" s="43" t="str">
        <f>IFERROR((SUMIFS('EMAIL MARKETING'!$O$5:$O$804,'EMAIL MARKETING'!$Z$5:$Z$804,1,'EMAIL MARKETING'!$A$5:$A$804,"&gt;="&amp;E$7,'EMAIL MARKETING'!$A$5:$A$804,"&lt;="&amp;E$8))/(SUMIFS('EMAIL MARKETING'!$W$5:$W$804,'EMAIL MARKETING'!$Z$5:$Z$804,1,'EMAIL MARKETING'!$A$5:$A$804,"&gt;="&amp;E$7,'EMAIL MARKETING'!$A$5:$A$804,"&lt;="&amp;E$8)),"–")</f>
        <v>–</v>
      </c>
      <c r="F34" s="43" t="str">
        <f>IFERROR((SUMIFS('EMAIL MARKETING'!$O$5:$O$804,'EMAIL MARKETING'!$Z$5:$Z$804,1,'EMAIL MARKETING'!$A$5:$A$804,"&gt;="&amp;F$7,'EMAIL MARKETING'!$A$5:$A$804,"&lt;="&amp;F$8))/(SUMIFS('EMAIL MARKETING'!$W$5:$W$804,'EMAIL MARKETING'!$Z$5:$Z$804,1,'EMAIL MARKETING'!$A$5:$A$804,"&gt;="&amp;F$7,'EMAIL MARKETING'!$A$5:$A$804,"&lt;="&amp;F$8)),"–")</f>
        <v>–</v>
      </c>
      <c r="G34" s="43" t="str">
        <f>IFERROR((SUMIFS('EMAIL MARKETING'!$O$5:$O$804,'EMAIL MARKETING'!$Z$5:$Z$804,1,'EMAIL MARKETING'!$A$5:$A$804,"&gt;="&amp;G$7,'EMAIL MARKETING'!$A$5:$A$804,"&lt;="&amp;G$8))/(SUMIFS('EMAIL MARKETING'!$W$5:$W$804,'EMAIL MARKETING'!$Z$5:$Z$804,1,'EMAIL MARKETING'!$A$5:$A$804,"&gt;="&amp;G$7,'EMAIL MARKETING'!$A$5:$A$804,"&lt;="&amp;G$8)),"–")</f>
        <v>–</v>
      </c>
      <c r="H34" s="43" t="str">
        <f>IFERROR((SUMIFS('EMAIL MARKETING'!$O$5:$O$804,'EMAIL MARKETING'!$Z$5:$Z$804,1,'EMAIL MARKETING'!$A$5:$A$804,"&gt;="&amp;H$7,'EMAIL MARKETING'!$A$5:$A$804,"&lt;="&amp;H$8))/(SUMIFS('EMAIL MARKETING'!$W$5:$W$804,'EMAIL MARKETING'!$Z$5:$Z$804,1,'EMAIL MARKETING'!$A$5:$A$804,"&gt;="&amp;H$7,'EMAIL MARKETING'!$A$5:$A$804,"&lt;="&amp;H$8)),"–")</f>
        <v>–</v>
      </c>
      <c r="I34" s="43" t="str">
        <f>IFERROR((SUMIFS('EMAIL MARKETING'!$O$5:$O$804,'EMAIL MARKETING'!$Z$5:$Z$804,1,'EMAIL MARKETING'!$A$5:$A$804,"&gt;="&amp;I$7,'EMAIL MARKETING'!$A$5:$A$804,"&lt;="&amp;I$8))/(SUMIFS('EMAIL MARKETING'!$W$5:$W$804,'EMAIL MARKETING'!$Z$5:$Z$804,1,'EMAIL MARKETING'!$A$5:$A$804,"&gt;="&amp;I$7,'EMAIL MARKETING'!$A$5:$A$804,"&lt;="&amp;I$8)),"–")</f>
        <v>–</v>
      </c>
    </row>
    <row r="35">
      <c r="A35" s="44" t="inlineStr">
        <is>
          <t>Positive responses</t>
        </is>
      </c>
      <c r="B35" s="96">
        <f>SUMIFS('EMAIL MARKETING'!$O$5:$O$804,'EMAIL MARKETING'!$Z$5:$Z$804,1,'EMAIL MARKETING'!$A$5:$A$804,"&gt;="&amp;B$7,'EMAIL MARKETING'!$A$5:$A$804,"&lt;="&amp;B$8)</f>
        <v>0</v>
      </c>
      <c r="C35" s="96">
        <f>SUMIFS('EMAIL MARKETING'!$O$5:$O$804,'EMAIL MARKETING'!$Z$5:$Z$804,1,'EMAIL MARKETING'!$A$5:$A$804,"&gt;="&amp;C$7,'EMAIL MARKETING'!$A$5:$A$804,"&lt;="&amp;C$8)</f>
        <v>0</v>
      </c>
      <c r="D35" s="96">
        <f>SUMIFS('EMAIL MARKETING'!$O$5:$O$804,'EMAIL MARKETING'!$Z$5:$Z$804,1,'EMAIL MARKETING'!$A$5:$A$804,"&gt;="&amp;D$7,'EMAIL MARKETING'!$A$5:$A$804,"&lt;="&amp;D$8)</f>
        <v>0</v>
      </c>
      <c r="E35" s="96">
        <f>SUMIFS('EMAIL MARKETING'!$O$5:$O$804,'EMAIL MARKETING'!$Z$5:$Z$804,1,'EMAIL MARKETING'!$A$5:$A$804,"&gt;="&amp;E$7,'EMAIL MARKETING'!$A$5:$A$804,"&lt;="&amp;E$8)</f>
        <v>0</v>
      </c>
      <c r="F35" s="96">
        <f>SUMIFS('EMAIL MARKETING'!$O$5:$O$804,'EMAIL MARKETING'!$Z$5:$Z$804,1,'EMAIL MARKETING'!$A$5:$A$804,"&gt;="&amp;F$7,'EMAIL MARKETING'!$A$5:$A$804,"&lt;="&amp;F$8)</f>
        <v>0</v>
      </c>
      <c r="G35" s="96">
        <f>SUMIFS('EMAIL MARKETING'!$O$5:$O$804,'EMAIL MARKETING'!$Z$5:$Z$804,1,'EMAIL MARKETING'!$A$5:$A$804,"&gt;="&amp;G$7,'EMAIL MARKETING'!$A$5:$A$804,"&lt;="&amp;G$8)</f>
        <v>0</v>
      </c>
      <c r="H35" s="96">
        <f>SUMIFS('EMAIL MARKETING'!$O$5:$O$804,'EMAIL MARKETING'!$Z$5:$Z$804,1,'EMAIL MARKETING'!$A$5:$A$804,"&gt;="&amp;H$7,'EMAIL MARKETING'!$A$5:$A$804,"&lt;="&amp;H$8)</f>
        <v>0</v>
      </c>
      <c r="I35" s="96">
        <f>SUMIFS('EMAIL MARKETING'!$O$5:$O$804,'EMAIL MARKETING'!$Z$5:$Z$804,1,'EMAIL MARKETING'!$A$5:$A$804,"&gt;="&amp;I$7,'EMAIL MARKETING'!$A$5:$A$804,"&lt;="&amp;I$8)</f>
        <v>0</v>
      </c>
    </row>
    <row r="36" ht="20" customHeight="1">
      <c r="A36" s="37" t="inlineStr">
        <is>
          <t>CHANNEL - LINKEDIN</t>
        </is>
      </c>
      <c r="B36" s="33" t="n"/>
      <c r="C36" s="33" t="n"/>
      <c r="D36" s="33" t="n"/>
      <c r="E36" s="33" t="n"/>
      <c r="F36" s="33" t="n"/>
      <c r="G36" s="33" t="n"/>
      <c r="H36" s="33" t="n"/>
      <c r="I36" s="33" t="n"/>
    </row>
    <row r="37">
      <c r="A37" s="44" t="inlineStr">
        <is>
          <t>Connection requests sent</t>
        </is>
      </c>
      <c r="B37" s="96">
        <f>SUMIFS('LINKEDIN OUTREACH'!$E$5:$E$704,'LINKEDIN OUTREACH'!$U$5:$U$704,1,'LINKEDIN OUTREACH'!$A$5:$A$704,"&gt;="&amp;B$7,'LINKEDIN OUTREACH'!$A$5:$A$704,"&lt;="&amp;B$8)</f>
        <v>0</v>
      </c>
      <c r="C37" s="96">
        <f>SUMIFS('LINKEDIN OUTREACH'!$E$5:$E$704,'LINKEDIN OUTREACH'!$U$5:$U$704,1,'LINKEDIN OUTREACH'!$A$5:$A$704,"&gt;="&amp;C$7,'LINKEDIN OUTREACH'!$A$5:$A$704,"&lt;="&amp;C$8)</f>
        <v>0</v>
      </c>
      <c r="D37" s="96">
        <f>SUMIFS('LINKEDIN OUTREACH'!$E$5:$E$704,'LINKEDIN OUTREACH'!$U$5:$U$704,1,'LINKEDIN OUTREACH'!$A$5:$A$704,"&gt;="&amp;D$7,'LINKEDIN OUTREACH'!$A$5:$A$704,"&lt;="&amp;D$8)</f>
        <v>0</v>
      </c>
      <c r="E37" s="96">
        <f>SUMIFS('LINKEDIN OUTREACH'!$E$5:$E$704,'LINKEDIN OUTREACH'!$U$5:$U$704,1,'LINKEDIN OUTREACH'!$A$5:$A$704,"&gt;="&amp;E$7,'LINKEDIN OUTREACH'!$A$5:$A$704,"&lt;="&amp;E$8)</f>
        <v>0</v>
      </c>
      <c r="F37" s="96">
        <f>SUMIFS('LINKEDIN OUTREACH'!$E$5:$E$704,'LINKEDIN OUTREACH'!$U$5:$U$704,1,'LINKEDIN OUTREACH'!$A$5:$A$704,"&gt;="&amp;F$7,'LINKEDIN OUTREACH'!$A$5:$A$704,"&lt;="&amp;F$8)</f>
        <v>0</v>
      </c>
      <c r="G37" s="96">
        <f>SUMIFS('LINKEDIN OUTREACH'!$E$5:$E$704,'LINKEDIN OUTREACH'!$U$5:$U$704,1,'LINKEDIN OUTREACH'!$A$5:$A$704,"&gt;="&amp;G$7,'LINKEDIN OUTREACH'!$A$5:$A$704,"&lt;="&amp;G$8)</f>
        <v>0</v>
      </c>
      <c r="H37" s="96">
        <f>SUMIFS('LINKEDIN OUTREACH'!$E$5:$E$704,'LINKEDIN OUTREACH'!$U$5:$U$704,1,'LINKEDIN OUTREACH'!$A$5:$A$704,"&gt;="&amp;H$7,'LINKEDIN OUTREACH'!$A$5:$A$704,"&lt;="&amp;H$8)</f>
        <v>0</v>
      </c>
      <c r="I37" s="96">
        <f>SUMIFS('LINKEDIN OUTREACH'!$E$5:$E$704,'LINKEDIN OUTREACH'!$U$5:$U$704,1,'LINKEDIN OUTREACH'!$A$5:$A$704,"&gt;="&amp;I$7,'LINKEDIN OUTREACH'!$A$5:$A$704,"&lt;="&amp;I$8)</f>
        <v>0</v>
      </c>
    </row>
    <row r="38">
      <c r="A38" s="44" t="inlineStr">
        <is>
          <t>Acceptance rate</t>
        </is>
      </c>
      <c r="B38" s="43" t="str">
        <f>IFERROR((SUMIFS('LINKEDIN OUTREACH'!$F$5:$F$704,'LINKEDIN OUTREACH'!$U$5:$U$704,1,'LINKEDIN OUTREACH'!$A$5:$A$704,"&gt;="&amp;B$7,'LINKEDIN OUTREACH'!$A$5:$A$704,"&lt;="&amp;B$8))/(SUMIFS('LINKEDIN OUTREACH'!$E$5:$E$704,'LINKEDIN OUTREACH'!$U$5:$U$704,1,'LINKEDIN OUTREACH'!$A$5:$A$704,"&gt;="&amp;B$7,'LINKEDIN OUTREACH'!$A$5:$A$704,"&lt;="&amp;B$8)),"–")</f>
        <v>–</v>
      </c>
      <c r="C38" s="43" t="str">
        <f>IFERROR((SUMIFS('LINKEDIN OUTREACH'!$F$5:$F$704,'LINKEDIN OUTREACH'!$U$5:$U$704,1,'LINKEDIN OUTREACH'!$A$5:$A$704,"&gt;="&amp;C$7,'LINKEDIN OUTREACH'!$A$5:$A$704,"&lt;="&amp;C$8))/(SUMIFS('LINKEDIN OUTREACH'!$E$5:$E$704,'LINKEDIN OUTREACH'!$U$5:$U$704,1,'LINKEDIN OUTREACH'!$A$5:$A$704,"&gt;="&amp;C$7,'LINKEDIN OUTREACH'!$A$5:$A$704,"&lt;="&amp;C$8)),"–")</f>
        <v>–</v>
      </c>
      <c r="D38" s="43" t="str">
        <f>IFERROR((SUMIFS('LINKEDIN OUTREACH'!$F$5:$F$704,'LINKEDIN OUTREACH'!$U$5:$U$704,1,'LINKEDIN OUTREACH'!$A$5:$A$704,"&gt;="&amp;D$7,'LINKEDIN OUTREACH'!$A$5:$A$704,"&lt;="&amp;D$8))/(SUMIFS('LINKEDIN OUTREACH'!$E$5:$E$704,'LINKEDIN OUTREACH'!$U$5:$U$704,1,'LINKEDIN OUTREACH'!$A$5:$A$704,"&gt;="&amp;D$7,'LINKEDIN OUTREACH'!$A$5:$A$704,"&lt;="&amp;D$8)),"–")</f>
        <v>–</v>
      </c>
      <c r="E38" s="43" t="str">
        <f>IFERROR((SUMIFS('LINKEDIN OUTREACH'!$F$5:$F$704,'LINKEDIN OUTREACH'!$U$5:$U$704,1,'LINKEDIN OUTREACH'!$A$5:$A$704,"&gt;="&amp;E$7,'LINKEDIN OUTREACH'!$A$5:$A$704,"&lt;="&amp;E$8))/(SUMIFS('LINKEDIN OUTREACH'!$E$5:$E$704,'LINKEDIN OUTREACH'!$U$5:$U$704,1,'LINKEDIN OUTREACH'!$A$5:$A$704,"&gt;="&amp;E$7,'LINKEDIN OUTREACH'!$A$5:$A$704,"&lt;="&amp;E$8)),"–")</f>
        <v>–</v>
      </c>
      <c r="F38" s="43" t="str">
        <f>IFERROR((SUMIFS('LINKEDIN OUTREACH'!$F$5:$F$704,'LINKEDIN OUTREACH'!$U$5:$U$704,1,'LINKEDIN OUTREACH'!$A$5:$A$704,"&gt;="&amp;F$7,'LINKEDIN OUTREACH'!$A$5:$A$704,"&lt;="&amp;F$8))/(SUMIFS('LINKEDIN OUTREACH'!$E$5:$E$704,'LINKEDIN OUTREACH'!$U$5:$U$704,1,'LINKEDIN OUTREACH'!$A$5:$A$704,"&gt;="&amp;F$7,'LINKEDIN OUTREACH'!$A$5:$A$704,"&lt;="&amp;F$8)),"–")</f>
        <v>–</v>
      </c>
      <c r="G38" s="43" t="str">
        <f>IFERROR((SUMIFS('LINKEDIN OUTREACH'!$F$5:$F$704,'LINKEDIN OUTREACH'!$U$5:$U$704,1,'LINKEDIN OUTREACH'!$A$5:$A$704,"&gt;="&amp;G$7,'LINKEDIN OUTREACH'!$A$5:$A$704,"&lt;="&amp;G$8))/(SUMIFS('LINKEDIN OUTREACH'!$E$5:$E$704,'LINKEDIN OUTREACH'!$U$5:$U$704,1,'LINKEDIN OUTREACH'!$A$5:$A$704,"&gt;="&amp;G$7,'LINKEDIN OUTREACH'!$A$5:$A$704,"&lt;="&amp;G$8)),"–")</f>
        <v>–</v>
      </c>
      <c r="H38" s="43" t="str">
        <f>IFERROR((SUMIFS('LINKEDIN OUTREACH'!$F$5:$F$704,'LINKEDIN OUTREACH'!$U$5:$U$704,1,'LINKEDIN OUTREACH'!$A$5:$A$704,"&gt;="&amp;H$7,'LINKEDIN OUTREACH'!$A$5:$A$704,"&lt;="&amp;H$8))/(SUMIFS('LINKEDIN OUTREACH'!$E$5:$E$704,'LINKEDIN OUTREACH'!$U$5:$U$704,1,'LINKEDIN OUTREACH'!$A$5:$A$704,"&gt;="&amp;H$7,'LINKEDIN OUTREACH'!$A$5:$A$704,"&lt;="&amp;H$8)),"–")</f>
        <v>–</v>
      </c>
      <c r="I38" s="43" t="str">
        <f>IFERROR((SUMIFS('LINKEDIN OUTREACH'!$F$5:$F$704,'LINKEDIN OUTREACH'!$U$5:$U$704,1,'LINKEDIN OUTREACH'!$A$5:$A$704,"&gt;="&amp;I$7,'LINKEDIN OUTREACH'!$A$5:$A$704,"&lt;="&amp;I$8))/(SUMIFS('LINKEDIN OUTREACH'!$E$5:$E$704,'LINKEDIN OUTREACH'!$U$5:$U$704,1,'LINKEDIN OUTREACH'!$A$5:$A$704,"&gt;="&amp;I$7,'LINKEDIN OUTREACH'!$A$5:$A$704,"&lt;="&amp;I$8)),"–")</f>
        <v>–</v>
      </c>
    </row>
    <row r="39">
      <c r="A39" s="44" t="inlineStr">
        <is>
          <t>Messages sent</t>
        </is>
      </c>
      <c r="B39" s="96">
        <f>SUMIFS('LINKEDIN OUTREACH'!$H$5:$H$704,'LINKEDIN OUTREACH'!$U$5:$U$704,1,'LINKEDIN OUTREACH'!$A$5:$A$704,"&gt;="&amp;B$7,'LINKEDIN OUTREACH'!$A$5:$A$704,"&lt;="&amp;B$8)</f>
        <v>0</v>
      </c>
      <c r="C39" s="96">
        <f>SUMIFS('LINKEDIN OUTREACH'!$H$5:$H$704,'LINKEDIN OUTREACH'!$U$5:$U$704,1,'LINKEDIN OUTREACH'!$A$5:$A$704,"&gt;="&amp;C$7,'LINKEDIN OUTREACH'!$A$5:$A$704,"&lt;="&amp;C$8)</f>
        <v>0</v>
      </c>
      <c r="D39" s="96">
        <f>SUMIFS('LINKEDIN OUTREACH'!$H$5:$H$704,'LINKEDIN OUTREACH'!$U$5:$U$704,1,'LINKEDIN OUTREACH'!$A$5:$A$704,"&gt;="&amp;D$7,'LINKEDIN OUTREACH'!$A$5:$A$704,"&lt;="&amp;D$8)</f>
        <v>0</v>
      </c>
      <c r="E39" s="96">
        <f>SUMIFS('LINKEDIN OUTREACH'!$H$5:$H$704,'LINKEDIN OUTREACH'!$U$5:$U$704,1,'LINKEDIN OUTREACH'!$A$5:$A$704,"&gt;="&amp;E$7,'LINKEDIN OUTREACH'!$A$5:$A$704,"&lt;="&amp;E$8)</f>
        <v>0</v>
      </c>
      <c r="F39" s="96">
        <f>SUMIFS('LINKEDIN OUTREACH'!$H$5:$H$704,'LINKEDIN OUTREACH'!$U$5:$U$704,1,'LINKEDIN OUTREACH'!$A$5:$A$704,"&gt;="&amp;F$7,'LINKEDIN OUTREACH'!$A$5:$A$704,"&lt;="&amp;F$8)</f>
        <v>0</v>
      </c>
      <c r="G39" s="96">
        <f>SUMIFS('LINKEDIN OUTREACH'!$H$5:$H$704,'LINKEDIN OUTREACH'!$U$5:$U$704,1,'LINKEDIN OUTREACH'!$A$5:$A$704,"&gt;="&amp;G$7,'LINKEDIN OUTREACH'!$A$5:$A$704,"&lt;="&amp;G$8)</f>
        <v>0</v>
      </c>
      <c r="H39" s="96">
        <f>SUMIFS('LINKEDIN OUTREACH'!$H$5:$H$704,'LINKEDIN OUTREACH'!$U$5:$U$704,1,'LINKEDIN OUTREACH'!$A$5:$A$704,"&gt;="&amp;H$7,'LINKEDIN OUTREACH'!$A$5:$A$704,"&lt;="&amp;H$8)</f>
        <v>0</v>
      </c>
      <c r="I39" s="96">
        <f>SUMIFS('LINKEDIN OUTREACH'!$H$5:$H$704,'LINKEDIN OUTREACH'!$U$5:$U$704,1,'LINKEDIN OUTREACH'!$A$5:$A$704,"&gt;="&amp;I$7,'LINKEDIN OUTREACH'!$A$5:$A$704,"&lt;="&amp;I$8)</f>
        <v>0</v>
      </c>
    </row>
    <row r="40">
      <c r="A40" s="44" t="inlineStr">
        <is>
          <t>Replies</t>
        </is>
      </c>
      <c r="B40" s="96">
        <f>SUMIFS('LINKEDIN OUTREACH'!$I$5:$I$704,'LINKEDIN OUTREACH'!$U$5:$U$704,1,'LINKEDIN OUTREACH'!$A$5:$A$704,"&gt;="&amp;B$7,'LINKEDIN OUTREACH'!$A$5:$A$704,"&lt;="&amp;B$8)</f>
        <v>0</v>
      </c>
      <c r="C40" s="96">
        <f>SUMIFS('LINKEDIN OUTREACH'!$I$5:$I$704,'LINKEDIN OUTREACH'!$U$5:$U$704,1,'LINKEDIN OUTREACH'!$A$5:$A$704,"&gt;="&amp;C$7,'LINKEDIN OUTREACH'!$A$5:$A$704,"&lt;="&amp;C$8)</f>
        <v>0</v>
      </c>
      <c r="D40" s="96">
        <f>SUMIFS('LINKEDIN OUTREACH'!$I$5:$I$704,'LINKEDIN OUTREACH'!$U$5:$U$704,1,'LINKEDIN OUTREACH'!$A$5:$A$704,"&gt;="&amp;D$7,'LINKEDIN OUTREACH'!$A$5:$A$704,"&lt;="&amp;D$8)</f>
        <v>0</v>
      </c>
      <c r="E40" s="96">
        <f>SUMIFS('LINKEDIN OUTREACH'!$I$5:$I$704,'LINKEDIN OUTREACH'!$U$5:$U$704,1,'LINKEDIN OUTREACH'!$A$5:$A$704,"&gt;="&amp;E$7,'LINKEDIN OUTREACH'!$A$5:$A$704,"&lt;="&amp;E$8)</f>
        <v>0</v>
      </c>
      <c r="F40" s="96">
        <f>SUMIFS('LINKEDIN OUTREACH'!$I$5:$I$704,'LINKEDIN OUTREACH'!$U$5:$U$704,1,'LINKEDIN OUTREACH'!$A$5:$A$704,"&gt;="&amp;F$7,'LINKEDIN OUTREACH'!$A$5:$A$704,"&lt;="&amp;F$8)</f>
        <v>0</v>
      </c>
      <c r="G40" s="96">
        <f>SUMIFS('LINKEDIN OUTREACH'!$I$5:$I$704,'LINKEDIN OUTREACH'!$U$5:$U$704,1,'LINKEDIN OUTREACH'!$A$5:$A$704,"&gt;="&amp;G$7,'LINKEDIN OUTREACH'!$A$5:$A$704,"&lt;="&amp;G$8)</f>
        <v>0</v>
      </c>
      <c r="H40" s="96">
        <f>SUMIFS('LINKEDIN OUTREACH'!$I$5:$I$704,'LINKEDIN OUTREACH'!$U$5:$U$704,1,'LINKEDIN OUTREACH'!$A$5:$A$704,"&gt;="&amp;H$7,'LINKEDIN OUTREACH'!$A$5:$A$704,"&lt;="&amp;H$8)</f>
        <v>0</v>
      </c>
      <c r="I40" s="96">
        <f>SUMIFS('LINKEDIN OUTREACH'!$I$5:$I$704,'LINKEDIN OUTREACH'!$U$5:$U$704,1,'LINKEDIN OUTREACH'!$A$5:$A$704,"&gt;="&amp;I$7,'LINKEDIN OUTREACH'!$A$5:$A$704,"&lt;="&amp;I$8)</f>
        <v>0</v>
      </c>
    </row>
    <row r="41" ht="20" customHeight="1">
      <c r="A41" s="37" t="inlineStr">
        <is>
          <t>CHANNEL - PAID MEDIA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</row>
    <row r="42">
      <c r="A42" s="44" t="inlineStr">
        <is>
          <t>Ad spend</t>
        </is>
      </c>
      <c r="B42" s="96">
        <f>SUMIFS('PAID MEDIA ADS'!$G$5:$G$804,'PAID MEDIA ADS'!$W$5:$W$804,1,'PAID MEDIA ADS'!$A$5:$A$804,"&gt;="&amp;B$7,'PAID MEDIA ADS'!$A$5:$A$804,"&lt;="&amp;B$8)</f>
        <v>0</v>
      </c>
      <c r="C42" s="96">
        <f>SUMIFS('PAID MEDIA ADS'!$G$5:$G$804,'PAID MEDIA ADS'!$W$5:$W$804,1,'PAID MEDIA ADS'!$A$5:$A$804,"&gt;="&amp;C$7,'PAID MEDIA ADS'!$A$5:$A$804,"&lt;="&amp;C$8)</f>
        <v>0</v>
      </c>
      <c r="D42" s="96">
        <f>SUMIFS('PAID MEDIA ADS'!$G$5:$G$804,'PAID MEDIA ADS'!$W$5:$W$804,1,'PAID MEDIA ADS'!$A$5:$A$804,"&gt;="&amp;D$7,'PAID MEDIA ADS'!$A$5:$A$804,"&lt;="&amp;D$8)</f>
        <v>0</v>
      </c>
      <c r="E42" s="96">
        <f>SUMIFS('PAID MEDIA ADS'!$G$5:$G$804,'PAID MEDIA ADS'!$W$5:$W$804,1,'PAID MEDIA ADS'!$A$5:$A$804,"&gt;="&amp;E$7,'PAID MEDIA ADS'!$A$5:$A$804,"&lt;="&amp;E$8)</f>
        <v>0</v>
      </c>
      <c r="F42" s="96">
        <f>SUMIFS('PAID MEDIA ADS'!$G$5:$G$804,'PAID MEDIA ADS'!$W$5:$W$804,1,'PAID MEDIA ADS'!$A$5:$A$804,"&gt;="&amp;F$7,'PAID MEDIA ADS'!$A$5:$A$804,"&lt;="&amp;F$8)</f>
        <v>0</v>
      </c>
      <c r="G42" s="96">
        <f>SUMIFS('PAID MEDIA ADS'!$G$5:$G$804,'PAID MEDIA ADS'!$W$5:$W$804,1,'PAID MEDIA ADS'!$A$5:$A$804,"&gt;="&amp;G$7,'PAID MEDIA ADS'!$A$5:$A$804,"&lt;="&amp;G$8)</f>
        <v>0</v>
      </c>
      <c r="H42" s="96">
        <f>SUMIFS('PAID MEDIA ADS'!$G$5:$G$804,'PAID MEDIA ADS'!$W$5:$W$804,1,'PAID MEDIA ADS'!$A$5:$A$804,"&gt;="&amp;H$7,'PAID MEDIA ADS'!$A$5:$A$804,"&lt;="&amp;H$8)</f>
        <v>0</v>
      </c>
      <c r="I42" s="96">
        <f>SUMIFS('PAID MEDIA ADS'!$G$5:$G$804,'PAID MEDIA ADS'!$W$5:$W$804,1,'PAID MEDIA ADS'!$A$5:$A$804,"&gt;="&amp;I$7,'PAID MEDIA ADS'!$A$5:$A$804,"&lt;="&amp;I$8)</f>
        <v>0</v>
      </c>
    </row>
    <row r="43">
      <c r="A43" s="44" t="inlineStr">
        <is>
          <t>Clicks</t>
        </is>
      </c>
      <c r="B43" s="96">
        <f>SUMIFS('PAID MEDIA ADS'!$J$5:$J$804,'PAID MEDIA ADS'!$W$5:$W$804,1,'PAID MEDIA ADS'!$A$5:$A$804,"&gt;="&amp;B$7,'PAID MEDIA ADS'!$A$5:$A$804,"&lt;="&amp;B$8)</f>
        <v>0</v>
      </c>
      <c r="C43" s="96">
        <f>SUMIFS('PAID MEDIA ADS'!$J$5:$J$804,'PAID MEDIA ADS'!$W$5:$W$804,1,'PAID MEDIA ADS'!$A$5:$A$804,"&gt;="&amp;C$7,'PAID MEDIA ADS'!$A$5:$A$804,"&lt;="&amp;C$8)</f>
        <v>0</v>
      </c>
      <c r="D43" s="96">
        <f>SUMIFS('PAID MEDIA ADS'!$J$5:$J$804,'PAID MEDIA ADS'!$W$5:$W$804,1,'PAID MEDIA ADS'!$A$5:$A$804,"&gt;="&amp;D$7,'PAID MEDIA ADS'!$A$5:$A$804,"&lt;="&amp;D$8)</f>
        <v>0</v>
      </c>
      <c r="E43" s="96">
        <f>SUMIFS('PAID MEDIA ADS'!$J$5:$J$804,'PAID MEDIA ADS'!$W$5:$W$804,1,'PAID MEDIA ADS'!$A$5:$A$804,"&gt;="&amp;E$7,'PAID MEDIA ADS'!$A$5:$A$804,"&lt;="&amp;E$8)</f>
        <v>0</v>
      </c>
      <c r="F43" s="96">
        <f>SUMIFS('PAID MEDIA ADS'!$J$5:$J$804,'PAID MEDIA ADS'!$W$5:$W$804,1,'PAID MEDIA ADS'!$A$5:$A$804,"&gt;="&amp;F$7,'PAID MEDIA ADS'!$A$5:$A$804,"&lt;="&amp;F$8)</f>
        <v>0</v>
      </c>
      <c r="G43" s="96">
        <f>SUMIFS('PAID MEDIA ADS'!$J$5:$J$804,'PAID MEDIA ADS'!$W$5:$W$804,1,'PAID MEDIA ADS'!$A$5:$A$804,"&gt;="&amp;G$7,'PAID MEDIA ADS'!$A$5:$A$804,"&lt;="&amp;G$8)</f>
        <v>0</v>
      </c>
      <c r="H43" s="96">
        <f>SUMIFS('PAID MEDIA ADS'!$J$5:$J$804,'PAID MEDIA ADS'!$W$5:$W$804,1,'PAID MEDIA ADS'!$A$5:$A$804,"&gt;="&amp;H$7,'PAID MEDIA ADS'!$A$5:$A$804,"&lt;="&amp;H$8)</f>
        <v>0</v>
      </c>
      <c r="I43" s="96">
        <f>SUMIFS('PAID MEDIA ADS'!$J$5:$J$804,'PAID MEDIA ADS'!$W$5:$W$804,1,'PAID MEDIA ADS'!$A$5:$A$804,"&gt;="&amp;I$7,'PAID MEDIA ADS'!$A$5:$A$804,"&lt;="&amp;I$8)</f>
        <v>0</v>
      </c>
    </row>
    <row r="44">
      <c r="A44" s="44" t="inlineStr">
        <is>
          <t>CTR</t>
        </is>
      </c>
      <c r="B44" s="112" t="str">
        <f>IFERROR((SUMIFS('PAID MEDIA ADS'!$J$5:$J$804,'PAID MEDIA ADS'!$W$5:$W$804,1,'PAID MEDIA ADS'!$A$5:$A$804,"&gt;="&amp;B$7,'PAID MEDIA ADS'!$A$5:$A$804,"&lt;="&amp;B$8))/(SUMIFS('PAID MEDIA ADS'!$H$5:$H$804,'PAID MEDIA ADS'!$W$5:$W$804,1,'PAID MEDIA ADS'!$A$5:$A$804,"&gt;="&amp;B$7,'PAID MEDIA ADS'!$A$5:$A$804,"&lt;="&amp;B$8)),"–")</f>
        <v>–</v>
      </c>
      <c r="C44" s="112" t="str">
        <f>IFERROR((SUMIFS('PAID MEDIA ADS'!$J$5:$J$804,'PAID MEDIA ADS'!$W$5:$W$804,1,'PAID MEDIA ADS'!$A$5:$A$804,"&gt;="&amp;C$7,'PAID MEDIA ADS'!$A$5:$A$804,"&lt;="&amp;C$8))/(SUMIFS('PAID MEDIA ADS'!$H$5:$H$804,'PAID MEDIA ADS'!$W$5:$W$804,1,'PAID MEDIA ADS'!$A$5:$A$804,"&gt;="&amp;C$7,'PAID MEDIA ADS'!$A$5:$A$804,"&lt;="&amp;C$8)),"–")</f>
        <v>–</v>
      </c>
      <c r="D44" s="112" t="str">
        <f>IFERROR((SUMIFS('PAID MEDIA ADS'!$J$5:$J$804,'PAID MEDIA ADS'!$W$5:$W$804,1,'PAID MEDIA ADS'!$A$5:$A$804,"&gt;="&amp;D$7,'PAID MEDIA ADS'!$A$5:$A$804,"&lt;="&amp;D$8))/(SUMIFS('PAID MEDIA ADS'!$H$5:$H$804,'PAID MEDIA ADS'!$W$5:$W$804,1,'PAID MEDIA ADS'!$A$5:$A$804,"&gt;="&amp;D$7,'PAID MEDIA ADS'!$A$5:$A$804,"&lt;="&amp;D$8)),"–")</f>
        <v>–</v>
      </c>
      <c r="E44" s="112" t="str">
        <f>IFERROR((SUMIFS('PAID MEDIA ADS'!$J$5:$J$804,'PAID MEDIA ADS'!$W$5:$W$804,1,'PAID MEDIA ADS'!$A$5:$A$804,"&gt;="&amp;E$7,'PAID MEDIA ADS'!$A$5:$A$804,"&lt;="&amp;E$8))/(SUMIFS('PAID MEDIA ADS'!$H$5:$H$804,'PAID MEDIA ADS'!$W$5:$W$804,1,'PAID MEDIA ADS'!$A$5:$A$804,"&gt;="&amp;E$7,'PAID MEDIA ADS'!$A$5:$A$804,"&lt;="&amp;E$8)),"–")</f>
        <v>–</v>
      </c>
      <c r="F44" s="112" t="str">
        <f>IFERROR((SUMIFS('PAID MEDIA ADS'!$J$5:$J$804,'PAID MEDIA ADS'!$W$5:$W$804,1,'PAID MEDIA ADS'!$A$5:$A$804,"&gt;="&amp;F$7,'PAID MEDIA ADS'!$A$5:$A$804,"&lt;="&amp;F$8))/(SUMIFS('PAID MEDIA ADS'!$H$5:$H$804,'PAID MEDIA ADS'!$W$5:$W$804,1,'PAID MEDIA ADS'!$A$5:$A$804,"&gt;="&amp;F$7,'PAID MEDIA ADS'!$A$5:$A$804,"&lt;="&amp;F$8)),"–")</f>
        <v>–</v>
      </c>
      <c r="G44" s="112" t="str">
        <f>IFERROR((SUMIFS('PAID MEDIA ADS'!$J$5:$J$804,'PAID MEDIA ADS'!$W$5:$W$804,1,'PAID MEDIA ADS'!$A$5:$A$804,"&gt;="&amp;G$7,'PAID MEDIA ADS'!$A$5:$A$804,"&lt;="&amp;G$8))/(SUMIFS('PAID MEDIA ADS'!$H$5:$H$804,'PAID MEDIA ADS'!$W$5:$W$804,1,'PAID MEDIA ADS'!$A$5:$A$804,"&gt;="&amp;G$7,'PAID MEDIA ADS'!$A$5:$A$804,"&lt;="&amp;G$8)),"–")</f>
        <v>–</v>
      </c>
      <c r="H44" s="112" t="str">
        <f>IFERROR((SUMIFS('PAID MEDIA ADS'!$J$5:$J$804,'PAID MEDIA ADS'!$W$5:$W$804,1,'PAID MEDIA ADS'!$A$5:$A$804,"&gt;="&amp;H$7,'PAID MEDIA ADS'!$A$5:$A$804,"&lt;="&amp;H$8))/(SUMIFS('PAID MEDIA ADS'!$H$5:$H$804,'PAID MEDIA ADS'!$W$5:$W$804,1,'PAID MEDIA ADS'!$A$5:$A$804,"&gt;="&amp;H$7,'PAID MEDIA ADS'!$A$5:$A$804,"&lt;="&amp;H$8)),"–")</f>
        <v>–</v>
      </c>
      <c r="I44" s="112" t="str">
        <f>IFERROR((SUMIFS('PAID MEDIA ADS'!$J$5:$J$804,'PAID MEDIA ADS'!$W$5:$W$804,1,'PAID MEDIA ADS'!$A$5:$A$804,"&gt;="&amp;I$7,'PAID MEDIA ADS'!$A$5:$A$804,"&lt;="&amp;I$8))/(SUMIFS('PAID MEDIA ADS'!$H$5:$H$804,'PAID MEDIA ADS'!$W$5:$W$804,1,'PAID MEDIA ADS'!$A$5:$A$804,"&gt;="&amp;I$7,'PAID MEDIA ADS'!$A$5:$A$804,"&lt;="&amp;I$8)),"–")</f>
        <v>–</v>
      </c>
    </row>
    <row r="45">
      <c r="A45" s="44" t="inlineStr">
        <is>
          <t>Paid leads</t>
        </is>
      </c>
      <c r="B45" s="96">
        <f>SUMIFS('PAID MEDIA ADS'!$M$5:$M$804,'PAID MEDIA ADS'!$W$5:$W$804,1,'PAID MEDIA ADS'!$A$5:$A$804,"&gt;="&amp;B$7,'PAID MEDIA ADS'!$A$5:$A$804,"&lt;="&amp;B$8)</f>
        <v>0</v>
      </c>
      <c r="C45" s="96">
        <f>SUMIFS('PAID MEDIA ADS'!$M$5:$M$804,'PAID MEDIA ADS'!$W$5:$W$804,1,'PAID MEDIA ADS'!$A$5:$A$804,"&gt;="&amp;C$7,'PAID MEDIA ADS'!$A$5:$A$804,"&lt;="&amp;C$8)</f>
        <v>0</v>
      </c>
      <c r="D45" s="96">
        <f>SUMIFS('PAID MEDIA ADS'!$M$5:$M$804,'PAID MEDIA ADS'!$W$5:$W$804,1,'PAID MEDIA ADS'!$A$5:$A$804,"&gt;="&amp;D$7,'PAID MEDIA ADS'!$A$5:$A$804,"&lt;="&amp;D$8)</f>
        <v>0</v>
      </c>
      <c r="E45" s="96">
        <f>SUMIFS('PAID MEDIA ADS'!$M$5:$M$804,'PAID MEDIA ADS'!$W$5:$W$804,1,'PAID MEDIA ADS'!$A$5:$A$804,"&gt;="&amp;E$7,'PAID MEDIA ADS'!$A$5:$A$804,"&lt;="&amp;E$8)</f>
        <v>0</v>
      </c>
      <c r="F45" s="96">
        <f>SUMIFS('PAID MEDIA ADS'!$M$5:$M$804,'PAID MEDIA ADS'!$W$5:$W$804,1,'PAID MEDIA ADS'!$A$5:$A$804,"&gt;="&amp;F$7,'PAID MEDIA ADS'!$A$5:$A$804,"&lt;="&amp;F$8)</f>
        <v>0</v>
      </c>
      <c r="G45" s="96">
        <f>SUMIFS('PAID MEDIA ADS'!$M$5:$M$804,'PAID MEDIA ADS'!$W$5:$W$804,1,'PAID MEDIA ADS'!$A$5:$A$804,"&gt;="&amp;G$7,'PAID MEDIA ADS'!$A$5:$A$804,"&lt;="&amp;G$8)</f>
        <v>0</v>
      </c>
      <c r="H45" s="96">
        <f>SUMIFS('PAID MEDIA ADS'!$M$5:$M$804,'PAID MEDIA ADS'!$W$5:$W$804,1,'PAID MEDIA ADS'!$A$5:$A$804,"&gt;="&amp;H$7,'PAID MEDIA ADS'!$A$5:$A$804,"&lt;="&amp;H$8)</f>
        <v>0</v>
      </c>
      <c r="I45" s="96">
        <f>SUMIFS('PAID MEDIA ADS'!$M$5:$M$804,'PAID MEDIA ADS'!$W$5:$W$804,1,'PAID MEDIA ADS'!$A$5:$A$804,"&gt;="&amp;I$7,'PAID MEDIA ADS'!$A$5:$A$804,"&lt;="&amp;I$8)</f>
        <v>0</v>
      </c>
    </row>
    <row r="46">
      <c r="A46" s="44" t="inlineStr">
        <is>
          <t>CPL</t>
        </is>
      </c>
      <c r="B46" s="98" t="str">
        <f>IFERROR((SUMIFS('PAID MEDIA ADS'!$G$5:$G$804,'PAID MEDIA ADS'!$W$5:$W$804,1,'PAID MEDIA ADS'!$A$5:$A$804,"&gt;="&amp;B$7,'PAID MEDIA ADS'!$A$5:$A$804,"&lt;="&amp;B$8))/(SUMIFS('PAID MEDIA ADS'!$M$5:$M$804,'PAID MEDIA ADS'!$W$5:$W$804,1,'PAID MEDIA ADS'!$A$5:$A$804,"&gt;="&amp;B$7,'PAID MEDIA ADS'!$A$5:$A$804,"&lt;="&amp;B$8)),"–")</f>
        <v>–</v>
      </c>
      <c r="C46" s="98" t="str">
        <f>IFERROR((SUMIFS('PAID MEDIA ADS'!$G$5:$G$804,'PAID MEDIA ADS'!$W$5:$W$804,1,'PAID MEDIA ADS'!$A$5:$A$804,"&gt;="&amp;C$7,'PAID MEDIA ADS'!$A$5:$A$804,"&lt;="&amp;C$8))/(SUMIFS('PAID MEDIA ADS'!$M$5:$M$804,'PAID MEDIA ADS'!$W$5:$W$804,1,'PAID MEDIA ADS'!$A$5:$A$804,"&gt;="&amp;C$7,'PAID MEDIA ADS'!$A$5:$A$804,"&lt;="&amp;C$8)),"–")</f>
        <v>–</v>
      </c>
      <c r="D46" s="98" t="str">
        <f>IFERROR((SUMIFS('PAID MEDIA ADS'!$G$5:$G$804,'PAID MEDIA ADS'!$W$5:$W$804,1,'PAID MEDIA ADS'!$A$5:$A$804,"&gt;="&amp;D$7,'PAID MEDIA ADS'!$A$5:$A$804,"&lt;="&amp;D$8))/(SUMIFS('PAID MEDIA ADS'!$M$5:$M$804,'PAID MEDIA ADS'!$W$5:$W$804,1,'PAID MEDIA ADS'!$A$5:$A$804,"&gt;="&amp;D$7,'PAID MEDIA ADS'!$A$5:$A$804,"&lt;="&amp;D$8)),"–")</f>
        <v>–</v>
      </c>
      <c r="E46" s="98" t="str">
        <f>IFERROR((SUMIFS('PAID MEDIA ADS'!$G$5:$G$804,'PAID MEDIA ADS'!$W$5:$W$804,1,'PAID MEDIA ADS'!$A$5:$A$804,"&gt;="&amp;E$7,'PAID MEDIA ADS'!$A$5:$A$804,"&lt;="&amp;E$8))/(SUMIFS('PAID MEDIA ADS'!$M$5:$M$804,'PAID MEDIA ADS'!$W$5:$W$804,1,'PAID MEDIA ADS'!$A$5:$A$804,"&gt;="&amp;E$7,'PAID MEDIA ADS'!$A$5:$A$804,"&lt;="&amp;E$8)),"–")</f>
        <v>–</v>
      </c>
      <c r="F46" s="98" t="str">
        <f>IFERROR((SUMIFS('PAID MEDIA ADS'!$G$5:$G$804,'PAID MEDIA ADS'!$W$5:$W$804,1,'PAID MEDIA ADS'!$A$5:$A$804,"&gt;="&amp;F$7,'PAID MEDIA ADS'!$A$5:$A$804,"&lt;="&amp;F$8))/(SUMIFS('PAID MEDIA ADS'!$M$5:$M$804,'PAID MEDIA ADS'!$W$5:$W$804,1,'PAID MEDIA ADS'!$A$5:$A$804,"&gt;="&amp;F$7,'PAID MEDIA ADS'!$A$5:$A$804,"&lt;="&amp;F$8)),"–")</f>
        <v>–</v>
      </c>
      <c r="G46" s="98" t="str">
        <f>IFERROR((SUMIFS('PAID MEDIA ADS'!$G$5:$G$804,'PAID MEDIA ADS'!$W$5:$W$804,1,'PAID MEDIA ADS'!$A$5:$A$804,"&gt;="&amp;G$7,'PAID MEDIA ADS'!$A$5:$A$804,"&lt;="&amp;G$8))/(SUMIFS('PAID MEDIA ADS'!$M$5:$M$804,'PAID MEDIA ADS'!$W$5:$W$804,1,'PAID MEDIA ADS'!$A$5:$A$804,"&gt;="&amp;G$7,'PAID MEDIA ADS'!$A$5:$A$804,"&lt;="&amp;G$8)),"–")</f>
        <v>–</v>
      </c>
      <c r="H46" s="98" t="str">
        <f>IFERROR((SUMIFS('PAID MEDIA ADS'!$G$5:$G$804,'PAID MEDIA ADS'!$W$5:$W$804,1,'PAID MEDIA ADS'!$A$5:$A$804,"&gt;="&amp;H$7,'PAID MEDIA ADS'!$A$5:$A$804,"&lt;="&amp;H$8))/(SUMIFS('PAID MEDIA ADS'!$M$5:$M$804,'PAID MEDIA ADS'!$W$5:$W$804,1,'PAID MEDIA ADS'!$A$5:$A$804,"&gt;="&amp;H$7,'PAID MEDIA ADS'!$A$5:$A$804,"&lt;="&amp;H$8)),"–")</f>
        <v>–</v>
      </c>
      <c r="I46" s="98" t="str">
        <f>IFERROR((SUMIFS('PAID MEDIA ADS'!$G$5:$G$804,'PAID MEDIA ADS'!$W$5:$W$804,1,'PAID MEDIA ADS'!$A$5:$A$804,"&gt;="&amp;I$7,'PAID MEDIA ADS'!$A$5:$A$804,"&lt;="&amp;I$8))/(SUMIFS('PAID MEDIA ADS'!$M$5:$M$804,'PAID MEDIA ADS'!$W$5:$W$804,1,'PAID MEDIA ADS'!$A$5:$A$804,"&gt;="&amp;I$7,'PAID MEDIA ADS'!$A$5:$A$804,"&lt;="&amp;I$8)),"–")</f>
        <v>–</v>
      </c>
    </row>
    <row r="47">
      <c r="A47" s="44" t="inlineStr">
        <is>
          <t>Conversion rate (leads / clicks)</t>
        </is>
      </c>
      <c r="B47" s="43" t="str">
        <f>IFERROR((SUMIFS('PAID MEDIA ADS'!$M$5:$M$804,'PAID MEDIA ADS'!$W$5:$W$804,1,'PAID MEDIA ADS'!$A$5:$A$804,"&gt;="&amp;B$7,'PAID MEDIA ADS'!$A$5:$A$804,"&lt;="&amp;B$8))/(SUMIFS('PAID MEDIA ADS'!$J$5:$J$804,'PAID MEDIA ADS'!$W$5:$W$804,1,'PAID MEDIA ADS'!$A$5:$A$804,"&gt;="&amp;B$7,'PAID MEDIA ADS'!$A$5:$A$804,"&lt;="&amp;B$8)),"–")</f>
        <v>–</v>
      </c>
      <c r="C47" s="43" t="str">
        <f>IFERROR((SUMIFS('PAID MEDIA ADS'!$M$5:$M$804,'PAID MEDIA ADS'!$W$5:$W$804,1,'PAID MEDIA ADS'!$A$5:$A$804,"&gt;="&amp;C$7,'PAID MEDIA ADS'!$A$5:$A$804,"&lt;="&amp;C$8))/(SUMIFS('PAID MEDIA ADS'!$J$5:$J$804,'PAID MEDIA ADS'!$W$5:$W$804,1,'PAID MEDIA ADS'!$A$5:$A$804,"&gt;="&amp;C$7,'PAID MEDIA ADS'!$A$5:$A$804,"&lt;="&amp;C$8)),"–")</f>
        <v>–</v>
      </c>
      <c r="D47" s="43" t="str">
        <f>IFERROR((SUMIFS('PAID MEDIA ADS'!$M$5:$M$804,'PAID MEDIA ADS'!$W$5:$W$804,1,'PAID MEDIA ADS'!$A$5:$A$804,"&gt;="&amp;D$7,'PAID MEDIA ADS'!$A$5:$A$804,"&lt;="&amp;D$8))/(SUMIFS('PAID MEDIA ADS'!$J$5:$J$804,'PAID MEDIA ADS'!$W$5:$W$804,1,'PAID MEDIA ADS'!$A$5:$A$804,"&gt;="&amp;D$7,'PAID MEDIA ADS'!$A$5:$A$804,"&lt;="&amp;D$8)),"–")</f>
        <v>–</v>
      </c>
      <c r="E47" s="43" t="str">
        <f>IFERROR((SUMIFS('PAID MEDIA ADS'!$M$5:$M$804,'PAID MEDIA ADS'!$W$5:$W$804,1,'PAID MEDIA ADS'!$A$5:$A$804,"&gt;="&amp;E$7,'PAID MEDIA ADS'!$A$5:$A$804,"&lt;="&amp;E$8))/(SUMIFS('PAID MEDIA ADS'!$J$5:$J$804,'PAID MEDIA ADS'!$W$5:$W$804,1,'PAID MEDIA ADS'!$A$5:$A$804,"&gt;="&amp;E$7,'PAID MEDIA ADS'!$A$5:$A$804,"&lt;="&amp;E$8)),"–")</f>
        <v>–</v>
      </c>
      <c r="F47" s="43" t="str">
        <f>IFERROR((SUMIFS('PAID MEDIA ADS'!$M$5:$M$804,'PAID MEDIA ADS'!$W$5:$W$804,1,'PAID MEDIA ADS'!$A$5:$A$804,"&gt;="&amp;F$7,'PAID MEDIA ADS'!$A$5:$A$804,"&lt;="&amp;F$8))/(SUMIFS('PAID MEDIA ADS'!$J$5:$J$804,'PAID MEDIA ADS'!$W$5:$W$804,1,'PAID MEDIA ADS'!$A$5:$A$804,"&gt;="&amp;F$7,'PAID MEDIA ADS'!$A$5:$A$804,"&lt;="&amp;F$8)),"–")</f>
        <v>–</v>
      </c>
      <c r="G47" s="43" t="str">
        <f>IFERROR((SUMIFS('PAID MEDIA ADS'!$M$5:$M$804,'PAID MEDIA ADS'!$W$5:$W$804,1,'PAID MEDIA ADS'!$A$5:$A$804,"&gt;="&amp;G$7,'PAID MEDIA ADS'!$A$5:$A$804,"&lt;="&amp;G$8))/(SUMIFS('PAID MEDIA ADS'!$J$5:$J$804,'PAID MEDIA ADS'!$W$5:$W$804,1,'PAID MEDIA ADS'!$A$5:$A$804,"&gt;="&amp;G$7,'PAID MEDIA ADS'!$A$5:$A$804,"&lt;="&amp;G$8)),"–")</f>
        <v>–</v>
      </c>
      <c r="H47" s="43" t="str">
        <f>IFERROR((SUMIFS('PAID MEDIA ADS'!$M$5:$M$804,'PAID MEDIA ADS'!$W$5:$W$804,1,'PAID MEDIA ADS'!$A$5:$A$804,"&gt;="&amp;H$7,'PAID MEDIA ADS'!$A$5:$A$804,"&lt;="&amp;H$8))/(SUMIFS('PAID MEDIA ADS'!$J$5:$J$804,'PAID MEDIA ADS'!$W$5:$W$804,1,'PAID MEDIA ADS'!$A$5:$A$804,"&gt;="&amp;H$7,'PAID MEDIA ADS'!$A$5:$A$804,"&lt;="&amp;H$8)),"–")</f>
        <v>–</v>
      </c>
      <c r="I47" s="43" t="str">
        <f>IFERROR((SUMIFS('PAID MEDIA ADS'!$M$5:$M$804,'PAID MEDIA ADS'!$W$5:$W$804,1,'PAID MEDIA ADS'!$A$5:$A$804,"&gt;="&amp;I$7,'PAID MEDIA ADS'!$A$5:$A$804,"&lt;="&amp;I$8))/(SUMIFS('PAID MEDIA ADS'!$J$5:$J$804,'PAID MEDIA ADS'!$W$5:$W$804,1,'PAID MEDIA ADS'!$A$5:$A$804,"&gt;="&amp;I$7,'PAID MEDIA ADS'!$A$5:$A$804,"&lt;="&amp;I$8)),"–")</f>
        <v>–</v>
      </c>
    </row>
    <row r="48" ht="20" customHeight="1">
      <c r="A48" s="37" t="inlineStr">
        <is>
          <t>CHANNEL - WEBSITE &amp; CONTENT</t>
        </is>
      </c>
      <c r="B48" s="33" t="n"/>
      <c r="C48" s="33" t="n"/>
      <c r="D48" s="33" t="n"/>
      <c r="E48" s="33" t="n"/>
      <c r="F48" s="33" t="n"/>
      <c r="G48" s="33" t="n"/>
      <c r="H48" s="33" t="n"/>
      <c r="I48" s="33" t="n"/>
    </row>
    <row r="49">
      <c r="A49" s="44" t="inlineStr">
        <is>
          <t>Website traffic</t>
        </is>
      </c>
      <c r="B49" s="96">
        <f>SUMIFS('WEBSITE CONTENT SEO'!$K$5:$K$804,'WEBSITE CONTENT SEO'!$X$5:$X$804,1,'WEBSITE CONTENT SEO'!$A$5:$A$804,"&gt;="&amp;B$7,'WEBSITE CONTENT SEO'!$A$5:$A$804,"&lt;="&amp;B$8)</f>
        <v>0</v>
      </c>
      <c r="C49" s="96">
        <f>SUMIFS('WEBSITE CONTENT SEO'!$K$5:$K$804,'WEBSITE CONTENT SEO'!$X$5:$X$804,1,'WEBSITE CONTENT SEO'!$A$5:$A$804,"&gt;="&amp;C$7,'WEBSITE CONTENT SEO'!$A$5:$A$804,"&lt;="&amp;C$8)</f>
        <v>0</v>
      </c>
      <c r="D49" s="96">
        <f>SUMIFS('WEBSITE CONTENT SEO'!$K$5:$K$804,'WEBSITE CONTENT SEO'!$X$5:$X$804,1,'WEBSITE CONTENT SEO'!$A$5:$A$804,"&gt;="&amp;D$7,'WEBSITE CONTENT SEO'!$A$5:$A$804,"&lt;="&amp;D$8)</f>
        <v>0</v>
      </c>
      <c r="E49" s="96">
        <f>SUMIFS('WEBSITE CONTENT SEO'!$K$5:$K$804,'WEBSITE CONTENT SEO'!$X$5:$X$804,1,'WEBSITE CONTENT SEO'!$A$5:$A$804,"&gt;="&amp;E$7,'WEBSITE CONTENT SEO'!$A$5:$A$804,"&lt;="&amp;E$8)</f>
        <v>0</v>
      </c>
      <c r="F49" s="96">
        <f>SUMIFS('WEBSITE CONTENT SEO'!$K$5:$K$804,'WEBSITE CONTENT SEO'!$X$5:$X$804,1,'WEBSITE CONTENT SEO'!$A$5:$A$804,"&gt;="&amp;F$7,'WEBSITE CONTENT SEO'!$A$5:$A$804,"&lt;="&amp;F$8)</f>
        <v>0</v>
      </c>
      <c r="G49" s="96">
        <f>SUMIFS('WEBSITE CONTENT SEO'!$K$5:$K$804,'WEBSITE CONTENT SEO'!$X$5:$X$804,1,'WEBSITE CONTENT SEO'!$A$5:$A$804,"&gt;="&amp;G$7,'WEBSITE CONTENT SEO'!$A$5:$A$804,"&lt;="&amp;G$8)</f>
        <v>0</v>
      </c>
      <c r="H49" s="96">
        <f>SUMIFS('WEBSITE CONTENT SEO'!$K$5:$K$804,'WEBSITE CONTENT SEO'!$X$5:$X$804,1,'WEBSITE CONTENT SEO'!$A$5:$A$804,"&gt;="&amp;H$7,'WEBSITE CONTENT SEO'!$A$5:$A$804,"&lt;="&amp;H$8)</f>
        <v>0</v>
      </c>
      <c r="I49" s="96">
        <f>SUMIFS('WEBSITE CONTENT SEO'!$K$5:$K$804,'WEBSITE CONTENT SEO'!$X$5:$X$804,1,'WEBSITE CONTENT SEO'!$A$5:$A$804,"&gt;="&amp;I$7,'WEBSITE CONTENT SEO'!$A$5:$A$804,"&lt;="&amp;I$8)</f>
        <v>0</v>
      </c>
    </row>
    <row r="50">
      <c r="A50" s="44" t="inlineStr">
        <is>
          <t>Website / content leads</t>
        </is>
      </c>
      <c r="B50" s="96">
        <f>SUMIFS('WEBSITE CONTENT SEO'!$L$5:$L$804,'WEBSITE CONTENT SEO'!$X$5:$X$804,1,'WEBSITE CONTENT SEO'!$A$5:$A$804,"&gt;="&amp;B$7,'WEBSITE CONTENT SEO'!$A$5:$A$804,"&lt;="&amp;B$8)</f>
        <v>0</v>
      </c>
      <c r="C50" s="96">
        <f>SUMIFS('WEBSITE CONTENT SEO'!$L$5:$L$804,'WEBSITE CONTENT SEO'!$X$5:$X$804,1,'WEBSITE CONTENT SEO'!$A$5:$A$804,"&gt;="&amp;C$7,'WEBSITE CONTENT SEO'!$A$5:$A$804,"&lt;="&amp;C$8)</f>
        <v>0</v>
      </c>
      <c r="D50" s="96">
        <f>SUMIFS('WEBSITE CONTENT SEO'!$L$5:$L$804,'WEBSITE CONTENT SEO'!$X$5:$X$804,1,'WEBSITE CONTENT SEO'!$A$5:$A$804,"&gt;="&amp;D$7,'WEBSITE CONTENT SEO'!$A$5:$A$804,"&lt;="&amp;D$8)</f>
        <v>0</v>
      </c>
      <c r="E50" s="96">
        <f>SUMIFS('WEBSITE CONTENT SEO'!$L$5:$L$804,'WEBSITE CONTENT SEO'!$X$5:$X$804,1,'WEBSITE CONTENT SEO'!$A$5:$A$804,"&gt;="&amp;E$7,'WEBSITE CONTENT SEO'!$A$5:$A$804,"&lt;="&amp;E$8)</f>
        <v>0</v>
      </c>
      <c r="F50" s="96">
        <f>SUMIFS('WEBSITE CONTENT SEO'!$L$5:$L$804,'WEBSITE CONTENT SEO'!$X$5:$X$804,1,'WEBSITE CONTENT SEO'!$A$5:$A$804,"&gt;="&amp;F$7,'WEBSITE CONTENT SEO'!$A$5:$A$804,"&lt;="&amp;F$8)</f>
        <v>0</v>
      </c>
      <c r="G50" s="96">
        <f>SUMIFS('WEBSITE CONTENT SEO'!$L$5:$L$804,'WEBSITE CONTENT SEO'!$X$5:$X$804,1,'WEBSITE CONTENT SEO'!$A$5:$A$804,"&gt;="&amp;G$7,'WEBSITE CONTENT SEO'!$A$5:$A$804,"&lt;="&amp;G$8)</f>
        <v>0</v>
      </c>
      <c r="H50" s="96">
        <f>SUMIFS('WEBSITE CONTENT SEO'!$L$5:$L$804,'WEBSITE CONTENT SEO'!$X$5:$X$804,1,'WEBSITE CONTENT SEO'!$A$5:$A$804,"&gt;="&amp;H$7,'WEBSITE CONTENT SEO'!$A$5:$A$804,"&lt;="&amp;H$8)</f>
        <v>0</v>
      </c>
      <c r="I50" s="96">
        <f>SUMIFS('WEBSITE CONTENT SEO'!$L$5:$L$804,'WEBSITE CONTENT SEO'!$X$5:$X$804,1,'WEBSITE CONTENT SEO'!$A$5:$A$804,"&gt;="&amp;I$7,'WEBSITE CONTENT SEO'!$A$5:$A$804,"&lt;="&amp;I$8)</f>
        <v>0</v>
      </c>
    </row>
    <row r="51">
      <c r="A51" s="44" t="inlineStr">
        <is>
          <t>Content pieces published</t>
        </is>
      </c>
      <c r="B51" s="96">
        <f>COUNTIFS('WEBSITE CONTENT SEO'!$X$5:$X$804,1,'WEBSITE CONTENT SEO'!$J$5:$J$804,"&gt;="&amp;B$7,'WEBSITE CONTENT SEO'!$J$5:$J$804,"&lt;="&amp;B$8,'WEBSITE CONTENT SEO'!$C$5:$C$804,"Blog")+COUNTIFS('WEBSITE CONTENT SEO'!$X$5:$X$804,1,'WEBSITE CONTENT SEO'!$J$5:$J$804,"&gt;="&amp;B$7,'WEBSITE CONTENT SEO'!$J$5:$J$804,"&lt;="&amp;B$8,'WEBSITE CONTENT SEO'!$C$5:$C$804,"Case Study")+COUNTIFS('WEBSITE CONTENT SEO'!$X$5:$X$804,1,'WEBSITE CONTENT SEO'!$J$5:$J$804,"&gt;="&amp;B$7,'WEBSITE CONTENT SEO'!$J$5:$J$804,"&lt;="&amp;B$8,'WEBSITE CONTENT SEO'!$C$5:$C$804,"Whitepaper")+COUNTIFS('WEBSITE CONTENT SEO'!$X$5:$X$804,1,'WEBSITE CONTENT SEO'!$J$5:$J$804,"&gt;="&amp;B$7,'WEBSITE CONTENT SEO'!$J$5:$J$804,"&lt;="&amp;B$8,'WEBSITE CONTENT SEO'!$C$5:$C$804,"Content")+COUNTIFS('WEBSITE CONTENT SEO'!$X$5:$X$804,1,'WEBSITE CONTENT SEO'!$J$5:$J$804,"&gt;="&amp;B$7,'WEBSITE CONTENT SEO'!$J$5:$J$804,"&lt;="&amp;B$8,'WEBSITE CONTENT SEO'!$C$5:$C$804,"Video")+COUNTIFS('WEBSITE CONTENT SEO'!$X$5:$X$804,1,'WEBSITE CONTENT SEO'!$J$5:$J$804,"&gt;="&amp;B$7,'WEBSITE CONTENT SEO'!$J$5:$J$804,"&lt;="&amp;B$8,'WEBSITE CONTENT SEO'!$C$5:$C$804,"Webinar")</f>
        <v>0</v>
      </c>
      <c r="C51" s="96">
        <f>COUNTIFS('WEBSITE CONTENT SEO'!$X$5:$X$804,1,'WEBSITE CONTENT SEO'!$J$5:$J$804,"&gt;="&amp;C$7,'WEBSITE CONTENT SEO'!$J$5:$J$804,"&lt;="&amp;C$8,'WEBSITE CONTENT SEO'!$C$5:$C$804,"Blog")+COUNTIFS('WEBSITE CONTENT SEO'!$X$5:$X$804,1,'WEBSITE CONTENT SEO'!$J$5:$J$804,"&gt;="&amp;C$7,'WEBSITE CONTENT SEO'!$J$5:$J$804,"&lt;="&amp;C$8,'WEBSITE CONTENT SEO'!$C$5:$C$804,"Case Study")+COUNTIFS('WEBSITE CONTENT SEO'!$X$5:$X$804,1,'WEBSITE CONTENT SEO'!$J$5:$J$804,"&gt;="&amp;C$7,'WEBSITE CONTENT SEO'!$J$5:$J$804,"&lt;="&amp;C$8,'WEBSITE CONTENT SEO'!$C$5:$C$804,"Whitepaper")+COUNTIFS('WEBSITE CONTENT SEO'!$X$5:$X$804,1,'WEBSITE CONTENT SEO'!$J$5:$J$804,"&gt;="&amp;C$7,'WEBSITE CONTENT SEO'!$J$5:$J$804,"&lt;="&amp;C$8,'WEBSITE CONTENT SEO'!$C$5:$C$804,"Content")+COUNTIFS('WEBSITE CONTENT SEO'!$X$5:$X$804,1,'WEBSITE CONTENT SEO'!$J$5:$J$804,"&gt;="&amp;C$7,'WEBSITE CONTENT SEO'!$J$5:$J$804,"&lt;="&amp;C$8,'WEBSITE CONTENT SEO'!$C$5:$C$804,"Video")+COUNTIFS('WEBSITE CONTENT SEO'!$X$5:$X$804,1,'WEBSITE CONTENT SEO'!$J$5:$J$804,"&gt;="&amp;C$7,'WEBSITE CONTENT SEO'!$J$5:$J$804,"&lt;="&amp;C$8,'WEBSITE CONTENT SEO'!$C$5:$C$804,"Webinar")</f>
        <v>0</v>
      </c>
      <c r="D51" s="96">
        <f>COUNTIFS('WEBSITE CONTENT SEO'!$X$5:$X$804,1,'WEBSITE CONTENT SEO'!$J$5:$J$804,"&gt;="&amp;D$7,'WEBSITE CONTENT SEO'!$J$5:$J$804,"&lt;="&amp;D$8,'WEBSITE CONTENT SEO'!$C$5:$C$804,"Blog")+COUNTIFS('WEBSITE CONTENT SEO'!$X$5:$X$804,1,'WEBSITE CONTENT SEO'!$J$5:$J$804,"&gt;="&amp;D$7,'WEBSITE CONTENT SEO'!$J$5:$J$804,"&lt;="&amp;D$8,'WEBSITE CONTENT SEO'!$C$5:$C$804,"Case Study")+COUNTIFS('WEBSITE CONTENT SEO'!$X$5:$X$804,1,'WEBSITE CONTENT SEO'!$J$5:$J$804,"&gt;="&amp;D$7,'WEBSITE CONTENT SEO'!$J$5:$J$804,"&lt;="&amp;D$8,'WEBSITE CONTENT SEO'!$C$5:$C$804,"Whitepaper")+COUNTIFS('WEBSITE CONTENT SEO'!$X$5:$X$804,1,'WEBSITE CONTENT SEO'!$J$5:$J$804,"&gt;="&amp;D$7,'WEBSITE CONTENT SEO'!$J$5:$J$804,"&lt;="&amp;D$8,'WEBSITE CONTENT SEO'!$C$5:$C$804,"Content")+COUNTIFS('WEBSITE CONTENT SEO'!$X$5:$X$804,1,'WEBSITE CONTENT SEO'!$J$5:$J$804,"&gt;="&amp;D$7,'WEBSITE CONTENT SEO'!$J$5:$J$804,"&lt;="&amp;D$8,'WEBSITE CONTENT SEO'!$C$5:$C$804,"Video")+COUNTIFS('WEBSITE CONTENT SEO'!$X$5:$X$804,1,'WEBSITE CONTENT SEO'!$J$5:$J$804,"&gt;="&amp;D$7,'WEBSITE CONTENT SEO'!$J$5:$J$804,"&lt;="&amp;D$8,'WEBSITE CONTENT SEO'!$C$5:$C$804,"Webinar")</f>
        <v>0</v>
      </c>
      <c r="E51" s="96">
        <f>COUNTIFS('WEBSITE CONTENT SEO'!$X$5:$X$804,1,'WEBSITE CONTENT SEO'!$J$5:$J$804,"&gt;="&amp;E$7,'WEBSITE CONTENT SEO'!$J$5:$J$804,"&lt;="&amp;E$8,'WEBSITE CONTENT SEO'!$C$5:$C$804,"Blog")+COUNTIFS('WEBSITE CONTENT SEO'!$X$5:$X$804,1,'WEBSITE CONTENT SEO'!$J$5:$J$804,"&gt;="&amp;E$7,'WEBSITE CONTENT SEO'!$J$5:$J$804,"&lt;="&amp;E$8,'WEBSITE CONTENT SEO'!$C$5:$C$804,"Case Study")+COUNTIFS('WEBSITE CONTENT SEO'!$X$5:$X$804,1,'WEBSITE CONTENT SEO'!$J$5:$J$804,"&gt;="&amp;E$7,'WEBSITE CONTENT SEO'!$J$5:$J$804,"&lt;="&amp;E$8,'WEBSITE CONTENT SEO'!$C$5:$C$804,"Whitepaper")+COUNTIFS('WEBSITE CONTENT SEO'!$X$5:$X$804,1,'WEBSITE CONTENT SEO'!$J$5:$J$804,"&gt;="&amp;E$7,'WEBSITE CONTENT SEO'!$J$5:$J$804,"&lt;="&amp;E$8,'WEBSITE CONTENT SEO'!$C$5:$C$804,"Content")+COUNTIFS('WEBSITE CONTENT SEO'!$X$5:$X$804,1,'WEBSITE CONTENT SEO'!$J$5:$J$804,"&gt;="&amp;E$7,'WEBSITE CONTENT SEO'!$J$5:$J$804,"&lt;="&amp;E$8,'WEBSITE CONTENT SEO'!$C$5:$C$804,"Video")+COUNTIFS('WEBSITE CONTENT SEO'!$X$5:$X$804,1,'WEBSITE CONTENT SEO'!$J$5:$J$804,"&gt;="&amp;E$7,'WEBSITE CONTENT SEO'!$J$5:$J$804,"&lt;="&amp;E$8,'WEBSITE CONTENT SEO'!$C$5:$C$804,"Webinar")</f>
        <v>0</v>
      </c>
      <c r="F51" s="96">
        <f>COUNTIFS('WEBSITE CONTENT SEO'!$X$5:$X$804,1,'WEBSITE CONTENT SEO'!$J$5:$J$804,"&gt;="&amp;F$7,'WEBSITE CONTENT SEO'!$J$5:$J$804,"&lt;="&amp;F$8,'WEBSITE CONTENT SEO'!$C$5:$C$804,"Blog")+COUNTIFS('WEBSITE CONTENT SEO'!$X$5:$X$804,1,'WEBSITE CONTENT SEO'!$J$5:$J$804,"&gt;="&amp;F$7,'WEBSITE CONTENT SEO'!$J$5:$J$804,"&lt;="&amp;F$8,'WEBSITE CONTENT SEO'!$C$5:$C$804,"Case Study")+COUNTIFS('WEBSITE CONTENT SEO'!$X$5:$X$804,1,'WEBSITE CONTENT SEO'!$J$5:$J$804,"&gt;="&amp;F$7,'WEBSITE CONTENT SEO'!$J$5:$J$804,"&lt;="&amp;F$8,'WEBSITE CONTENT SEO'!$C$5:$C$804,"Whitepaper")+COUNTIFS('WEBSITE CONTENT SEO'!$X$5:$X$804,1,'WEBSITE CONTENT SEO'!$J$5:$J$804,"&gt;="&amp;F$7,'WEBSITE CONTENT SEO'!$J$5:$J$804,"&lt;="&amp;F$8,'WEBSITE CONTENT SEO'!$C$5:$C$804,"Content")+COUNTIFS('WEBSITE CONTENT SEO'!$X$5:$X$804,1,'WEBSITE CONTENT SEO'!$J$5:$J$804,"&gt;="&amp;F$7,'WEBSITE CONTENT SEO'!$J$5:$J$804,"&lt;="&amp;F$8,'WEBSITE CONTENT SEO'!$C$5:$C$804,"Video")+COUNTIFS('WEBSITE CONTENT SEO'!$X$5:$X$804,1,'WEBSITE CONTENT SEO'!$J$5:$J$804,"&gt;="&amp;F$7,'WEBSITE CONTENT SEO'!$J$5:$J$804,"&lt;="&amp;F$8,'WEBSITE CONTENT SEO'!$C$5:$C$804,"Webinar")</f>
        <v>0</v>
      </c>
      <c r="G51" s="96">
        <f>COUNTIFS('WEBSITE CONTENT SEO'!$X$5:$X$804,1,'WEBSITE CONTENT SEO'!$J$5:$J$804,"&gt;="&amp;G$7,'WEBSITE CONTENT SEO'!$J$5:$J$804,"&lt;="&amp;G$8,'WEBSITE CONTENT SEO'!$C$5:$C$804,"Blog")+COUNTIFS('WEBSITE CONTENT SEO'!$X$5:$X$804,1,'WEBSITE CONTENT SEO'!$J$5:$J$804,"&gt;="&amp;G$7,'WEBSITE CONTENT SEO'!$J$5:$J$804,"&lt;="&amp;G$8,'WEBSITE CONTENT SEO'!$C$5:$C$804,"Case Study")+COUNTIFS('WEBSITE CONTENT SEO'!$X$5:$X$804,1,'WEBSITE CONTENT SEO'!$J$5:$J$804,"&gt;="&amp;G$7,'WEBSITE CONTENT SEO'!$J$5:$J$804,"&lt;="&amp;G$8,'WEBSITE CONTENT SEO'!$C$5:$C$804,"Whitepaper")+COUNTIFS('WEBSITE CONTENT SEO'!$X$5:$X$804,1,'WEBSITE CONTENT SEO'!$J$5:$J$804,"&gt;="&amp;G$7,'WEBSITE CONTENT SEO'!$J$5:$J$804,"&lt;="&amp;G$8,'WEBSITE CONTENT SEO'!$C$5:$C$804,"Content")+COUNTIFS('WEBSITE CONTENT SEO'!$X$5:$X$804,1,'WEBSITE CONTENT SEO'!$J$5:$J$804,"&gt;="&amp;G$7,'WEBSITE CONTENT SEO'!$J$5:$J$804,"&lt;="&amp;G$8,'WEBSITE CONTENT SEO'!$C$5:$C$804,"Video")+COUNTIFS('WEBSITE CONTENT SEO'!$X$5:$X$804,1,'WEBSITE CONTENT SEO'!$J$5:$J$804,"&gt;="&amp;G$7,'WEBSITE CONTENT SEO'!$J$5:$J$804,"&lt;="&amp;G$8,'WEBSITE CONTENT SEO'!$C$5:$C$804,"Webinar")</f>
        <v>0</v>
      </c>
      <c r="H51" s="96">
        <f>COUNTIFS('WEBSITE CONTENT SEO'!$X$5:$X$804,1,'WEBSITE CONTENT SEO'!$J$5:$J$804,"&gt;="&amp;H$7,'WEBSITE CONTENT SEO'!$J$5:$J$804,"&lt;="&amp;H$8,'WEBSITE CONTENT SEO'!$C$5:$C$804,"Blog")+COUNTIFS('WEBSITE CONTENT SEO'!$X$5:$X$804,1,'WEBSITE CONTENT SEO'!$J$5:$J$804,"&gt;="&amp;H$7,'WEBSITE CONTENT SEO'!$J$5:$J$804,"&lt;="&amp;H$8,'WEBSITE CONTENT SEO'!$C$5:$C$804,"Case Study")+COUNTIFS('WEBSITE CONTENT SEO'!$X$5:$X$804,1,'WEBSITE CONTENT SEO'!$J$5:$J$804,"&gt;="&amp;H$7,'WEBSITE CONTENT SEO'!$J$5:$J$804,"&lt;="&amp;H$8,'WEBSITE CONTENT SEO'!$C$5:$C$804,"Whitepaper")+COUNTIFS('WEBSITE CONTENT SEO'!$X$5:$X$804,1,'WEBSITE CONTENT SEO'!$J$5:$J$804,"&gt;="&amp;H$7,'WEBSITE CONTENT SEO'!$J$5:$J$804,"&lt;="&amp;H$8,'WEBSITE CONTENT SEO'!$C$5:$C$804,"Content")+COUNTIFS('WEBSITE CONTENT SEO'!$X$5:$X$804,1,'WEBSITE CONTENT SEO'!$J$5:$J$804,"&gt;="&amp;H$7,'WEBSITE CONTENT SEO'!$J$5:$J$804,"&lt;="&amp;H$8,'WEBSITE CONTENT SEO'!$C$5:$C$804,"Video")+COUNTIFS('WEBSITE CONTENT SEO'!$X$5:$X$804,1,'WEBSITE CONTENT SEO'!$J$5:$J$804,"&gt;="&amp;H$7,'WEBSITE CONTENT SEO'!$J$5:$J$804,"&lt;="&amp;H$8,'WEBSITE CONTENT SEO'!$C$5:$C$804,"Webinar")</f>
        <v>0</v>
      </c>
      <c r="I51" s="96">
        <f>COUNTIFS('WEBSITE CONTENT SEO'!$X$5:$X$804,1,'WEBSITE CONTENT SEO'!$J$5:$J$804,"&gt;="&amp;I$7,'WEBSITE CONTENT SEO'!$J$5:$J$804,"&lt;="&amp;I$8,'WEBSITE CONTENT SEO'!$C$5:$C$804,"Blog")+COUNTIFS('WEBSITE CONTENT SEO'!$X$5:$X$804,1,'WEBSITE CONTENT SEO'!$J$5:$J$804,"&gt;="&amp;I$7,'WEBSITE CONTENT SEO'!$J$5:$J$804,"&lt;="&amp;I$8,'WEBSITE CONTENT SEO'!$C$5:$C$804,"Case Study")+COUNTIFS('WEBSITE CONTENT SEO'!$X$5:$X$804,1,'WEBSITE CONTENT SEO'!$J$5:$J$804,"&gt;="&amp;I$7,'WEBSITE CONTENT SEO'!$J$5:$J$804,"&lt;="&amp;I$8,'WEBSITE CONTENT SEO'!$C$5:$C$804,"Whitepaper")+COUNTIFS('WEBSITE CONTENT SEO'!$X$5:$X$804,1,'WEBSITE CONTENT SEO'!$J$5:$J$804,"&gt;="&amp;I$7,'WEBSITE CONTENT SEO'!$J$5:$J$804,"&lt;="&amp;I$8,'WEBSITE CONTENT SEO'!$C$5:$C$804,"Content")+COUNTIFS('WEBSITE CONTENT SEO'!$X$5:$X$804,1,'WEBSITE CONTENT SEO'!$J$5:$J$804,"&gt;="&amp;I$7,'WEBSITE CONTENT SEO'!$J$5:$J$804,"&lt;="&amp;I$8,'WEBSITE CONTENT SEO'!$C$5:$C$804,"Video")+COUNTIFS('WEBSITE CONTENT SEO'!$X$5:$X$804,1,'WEBSITE CONTENT SEO'!$J$5:$J$804,"&gt;="&amp;I$7,'WEBSITE CONTENT SEO'!$J$5:$J$804,"&lt;="&amp;I$8,'WEBSITE CONTENT SEO'!$C$5:$C$804,"Webinar")</f>
        <v>0</v>
      </c>
    </row>
    <row r="53" ht="26" customHeight="1">
      <c r="A53" s="47" t="inlineStr">
        <is>
          <t>MANAGEMENT ATTENTION (as of Reporting Date)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</row>
    <row r="54" ht="20" customHeight="1">
      <c r="A54" s="37" t="inlineStr">
        <is>
          <t>Top-performing clients</t>
        </is>
      </c>
      <c r="B54" s="33" t="n"/>
      <c r="C54" s="33" t="n"/>
      <c r="D54" s="33" t="n"/>
      <c r="E54" s="33" t="n"/>
      <c r="F54" s="33" t="n"/>
      <c r="G54" s="33" t="n"/>
      <c r="H54" s="33" t="n"/>
    </row>
    <row r="55" ht="22" customHeight="1">
      <c r="A55" s="38" t="inlineStr">
        <is>
          <t>Client</t>
        </is>
      </c>
      <c r="B55" s="38" t="inlineStr">
        <is>
          <t>Health</t>
        </is>
      </c>
      <c r="C55" s="38" t="inlineStr">
        <is>
          <t>Tasks</t>
        </is>
      </c>
      <c r="D55" s="38" t="inlineStr">
        <is>
          <t>Completion</t>
        </is>
      </c>
      <c r="E55" s="38" t="inlineStr">
        <is>
          <t>Leads</t>
        </is>
      </c>
      <c r="F55" s="38" t="inlineStr">
        <is>
          <t>MQLs</t>
        </is>
      </c>
      <c r="G55" s="38" t="inlineStr">
        <is>
          <t>Emails Sent</t>
        </is>
      </c>
      <c r="H55" s="38" t="inlineStr">
        <is>
          <t>Active Camp.</t>
        </is>
      </c>
    </row>
    <row r="56" ht="22" customHeight="1">
      <c r="A56" s="49" t="str">
        <f>IFERROR(IF(INDEX('CLIENT PERFORMANCE'!$A$7:$A$36,MATCH(SMALL('CLIENT PERFORMANCE'!$AE$7:$AE$36,1),'CLIENT PERFORMANCE'!$AE$7:$AE$36,0))="","",INDEX('CLIENT PERFORMANCE'!$A$7:$A$36,MATCH(SMALL('CLIENT PERFORMANCE'!$AE$7:$AE$36,1),'CLIENT PERFORMANCE'!$AE$7:$AE$36,0))),"- none -")</f>
        <v>- none -</v>
      </c>
      <c r="B56" s="50" t="str">
        <f>IFERROR(IF(INDEX('CLIENT PERFORMANCE'!$Z$7:$Z$36,MATCH(SMALL('CLIENT PERFORMANCE'!$AE$7:$AE$36,1),'CLIENT PERFORMANCE'!$AE$7:$AE$36,0))="","",INDEX('CLIENT PERFORMANCE'!$Z$7:$Z$36,MATCH(SMALL('CLIENT PERFORMANCE'!$AE$7:$AE$36,1),'CLIENT PERFORMANCE'!$AE$7:$AE$36,0))),"")</f>
        <v/>
      </c>
      <c r="C56" s="52" t="str">
        <f>IFERROR(IF(INDEX('CLIENT PERFORMANCE'!$E$7:$E$36,MATCH(SMALL('CLIENT PERFORMANCE'!$AE$7:$AE$36,1),'CLIENT PERFORMANCE'!$AE$7:$AE$36,0))="","",INDEX('CLIENT PERFORMANCE'!$E$7:$E$36,MATCH(SMALL('CLIENT PERFORMANCE'!$AE$7:$AE$36,1),'CLIENT PERFORMANCE'!$AE$7:$AE$36,0))),"")</f>
        <v/>
      </c>
      <c r="D56" s="54" t="str">
        <f>IFERROR(IF(INDEX('CLIENT PERFORMANCE'!$J$7:$J$36,MATCH(SMALL('CLIENT PERFORMANCE'!$AE$7:$AE$36,1),'CLIENT PERFORMANCE'!$AE$7:$AE$36,0))="","",INDEX('CLIENT PERFORMANCE'!$J$7:$J$36,MATCH(SMALL('CLIENT PERFORMANCE'!$AE$7:$AE$36,1),'CLIENT PERFORMANCE'!$AE$7:$AE$36,0))),"")</f>
        <v/>
      </c>
      <c r="E56" s="52" t="str">
        <f>IFERROR(IF(INDEX('CLIENT PERFORMANCE'!$L$7:$L$36,MATCH(SMALL('CLIENT PERFORMANCE'!$AE$7:$AE$36,1),'CLIENT PERFORMANCE'!$AE$7:$AE$36,0))="","",INDEX('CLIENT PERFORMANCE'!$L$7:$L$36,MATCH(SMALL('CLIENT PERFORMANCE'!$AE$7:$AE$36,1),'CLIENT PERFORMANCE'!$AE$7:$AE$36,0))),"")</f>
        <v/>
      </c>
      <c r="F56" s="52" t="str">
        <f>IFERROR(IF(INDEX('CLIENT PERFORMANCE'!$M$7:$M$36,MATCH(SMALL('CLIENT PERFORMANCE'!$AE$7:$AE$36,1),'CLIENT PERFORMANCE'!$AE$7:$AE$36,0))="","",INDEX('CLIENT PERFORMANCE'!$M$7:$M$36,MATCH(SMALL('CLIENT PERFORMANCE'!$AE$7:$AE$36,1),'CLIENT PERFORMANCE'!$AE$7:$AE$36,0))),"")</f>
        <v/>
      </c>
      <c r="G56" s="52" t="str">
        <f>IFERROR(IF(INDEX('CLIENT PERFORMANCE'!$Q$7:$Q$36,MATCH(SMALL('CLIENT PERFORMANCE'!$AE$7:$AE$36,1),'CLIENT PERFORMANCE'!$AE$7:$AE$36,0))="","",INDEX('CLIENT PERFORMANCE'!$Q$7:$Q$36,MATCH(SMALL('CLIENT PERFORMANCE'!$AE$7:$AE$36,1),'CLIENT PERFORMANCE'!$AE$7:$AE$36,0))),"")</f>
        <v/>
      </c>
      <c r="H56" s="52" t="str">
        <f>IFERROR(IF(INDEX('CLIENT PERFORMANCE'!$D$7:$D$36,MATCH(SMALL('CLIENT PERFORMANCE'!$AE$7:$AE$36,1),'CLIENT PERFORMANCE'!$AE$7:$AE$36,0))="","",INDEX('CLIENT PERFORMANCE'!$D$7:$D$36,MATCH(SMALL('CLIENT PERFORMANCE'!$AE$7:$AE$36,1),'CLIENT PERFORMANCE'!$AE$7:$AE$36,0))),"")</f>
        <v/>
      </c>
    </row>
    <row r="57" ht="22" customHeight="1">
      <c r="A57" s="50" t="str">
        <f>IFERROR(IF(INDEX('CLIENT PERFORMANCE'!$A$7:$A$36,MATCH(SMALL('CLIENT PERFORMANCE'!$AE$7:$AE$36,2),'CLIENT PERFORMANCE'!$AE$7:$AE$36,0))="","",INDEX('CLIENT PERFORMANCE'!$A$7:$A$36,MATCH(SMALL('CLIENT PERFORMANCE'!$AE$7:$AE$36,2),'CLIENT PERFORMANCE'!$AE$7:$AE$36,0))),"")</f>
        <v/>
      </c>
      <c r="B57" s="50" t="str">
        <f>IFERROR(IF(INDEX('CLIENT PERFORMANCE'!$Z$7:$Z$36,MATCH(SMALL('CLIENT PERFORMANCE'!$AE$7:$AE$36,2),'CLIENT PERFORMANCE'!$AE$7:$AE$36,0))="","",INDEX('CLIENT PERFORMANCE'!$Z$7:$Z$36,MATCH(SMALL('CLIENT PERFORMANCE'!$AE$7:$AE$36,2),'CLIENT PERFORMANCE'!$AE$7:$AE$36,0))),"")</f>
        <v/>
      </c>
      <c r="C57" s="52" t="str">
        <f>IFERROR(IF(INDEX('CLIENT PERFORMANCE'!$E$7:$E$36,MATCH(SMALL('CLIENT PERFORMANCE'!$AE$7:$AE$36,2),'CLIENT PERFORMANCE'!$AE$7:$AE$36,0))="","",INDEX('CLIENT PERFORMANCE'!$E$7:$E$36,MATCH(SMALL('CLIENT PERFORMANCE'!$AE$7:$AE$36,2),'CLIENT PERFORMANCE'!$AE$7:$AE$36,0))),"")</f>
        <v/>
      </c>
      <c r="D57" s="54" t="str">
        <f>IFERROR(IF(INDEX('CLIENT PERFORMANCE'!$J$7:$J$36,MATCH(SMALL('CLIENT PERFORMANCE'!$AE$7:$AE$36,2),'CLIENT PERFORMANCE'!$AE$7:$AE$36,0))="","",INDEX('CLIENT PERFORMANCE'!$J$7:$J$36,MATCH(SMALL('CLIENT PERFORMANCE'!$AE$7:$AE$36,2),'CLIENT PERFORMANCE'!$AE$7:$AE$36,0))),"")</f>
        <v/>
      </c>
      <c r="E57" s="52" t="str">
        <f>IFERROR(IF(INDEX('CLIENT PERFORMANCE'!$L$7:$L$36,MATCH(SMALL('CLIENT PERFORMANCE'!$AE$7:$AE$36,2),'CLIENT PERFORMANCE'!$AE$7:$AE$36,0))="","",INDEX('CLIENT PERFORMANCE'!$L$7:$L$36,MATCH(SMALL('CLIENT PERFORMANCE'!$AE$7:$AE$36,2),'CLIENT PERFORMANCE'!$AE$7:$AE$36,0))),"")</f>
        <v/>
      </c>
      <c r="F57" s="52" t="str">
        <f>IFERROR(IF(INDEX('CLIENT PERFORMANCE'!$M$7:$M$36,MATCH(SMALL('CLIENT PERFORMANCE'!$AE$7:$AE$36,2),'CLIENT PERFORMANCE'!$AE$7:$AE$36,0))="","",INDEX('CLIENT PERFORMANCE'!$M$7:$M$36,MATCH(SMALL('CLIENT PERFORMANCE'!$AE$7:$AE$36,2),'CLIENT PERFORMANCE'!$AE$7:$AE$36,0))),"")</f>
        <v/>
      </c>
      <c r="G57" s="52" t="str">
        <f>IFERROR(IF(INDEX('CLIENT PERFORMANCE'!$Q$7:$Q$36,MATCH(SMALL('CLIENT PERFORMANCE'!$AE$7:$AE$36,2),'CLIENT PERFORMANCE'!$AE$7:$AE$36,0))="","",INDEX('CLIENT PERFORMANCE'!$Q$7:$Q$36,MATCH(SMALL('CLIENT PERFORMANCE'!$AE$7:$AE$36,2),'CLIENT PERFORMANCE'!$AE$7:$AE$36,0))),"")</f>
        <v/>
      </c>
      <c r="H57" s="52" t="str">
        <f>IFERROR(IF(INDEX('CLIENT PERFORMANCE'!$D$7:$D$36,MATCH(SMALL('CLIENT PERFORMANCE'!$AE$7:$AE$36,2),'CLIENT PERFORMANCE'!$AE$7:$AE$36,0))="","",INDEX('CLIENT PERFORMANCE'!$D$7:$D$36,MATCH(SMALL('CLIENT PERFORMANCE'!$AE$7:$AE$36,2),'CLIENT PERFORMANCE'!$AE$7:$AE$36,0))),"")</f>
        <v/>
      </c>
    </row>
    <row r="58" ht="22" customHeight="1">
      <c r="A58" s="50" t="str">
        <f>IFERROR(IF(INDEX('CLIENT PERFORMANCE'!$A$7:$A$36,MATCH(SMALL('CLIENT PERFORMANCE'!$AE$7:$AE$36,3),'CLIENT PERFORMANCE'!$AE$7:$AE$36,0))="","",INDEX('CLIENT PERFORMANCE'!$A$7:$A$36,MATCH(SMALL('CLIENT PERFORMANCE'!$AE$7:$AE$36,3),'CLIENT PERFORMANCE'!$AE$7:$AE$36,0))),"")</f>
        <v/>
      </c>
      <c r="B58" s="50" t="str">
        <f>IFERROR(IF(INDEX('CLIENT PERFORMANCE'!$Z$7:$Z$36,MATCH(SMALL('CLIENT PERFORMANCE'!$AE$7:$AE$36,3),'CLIENT PERFORMANCE'!$AE$7:$AE$36,0))="","",INDEX('CLIENT PERFORMANCE'!$Z$7:$Z$36,MATCH(SMALL('CLIENT PERFORMANCE'!$AE$7:$AE$36,3),'CLIENT PERFORMANCE'!$AE$7:$AE$36,0))),"")</f>
        <v/>
      </c>
      <c r="C58" s="52" t="str">
        <f>IFERROR(IF(INDEX('CLIENT PERFORMANCE'!$E$7:$E$36,MATCH(SMALL('CLIENT PERFORMANCE'!$AE$7:$AE$36,3),'CLIENT PERFORMANCE'!$AE$7:$AE$36,0))="","",INDEX('CLIENT PERFORMANCE'!$E$7:$E$36,MATCH(SMALL('CLIENT PERFORMANCE'!$AE$7:$AE$36,3),'CLIENT PERFORMANCE'!$AE$7:$AE$36,0))),"")</f>
        <v/>
      </c>
      <c r="D58" s="54" t="str">
        <f>IFERROR(IF(INDEX('CLIENT PERFORMANCE'!$J$7:$J$36,MATCH(SMALL('CLIENT PERFORMANCE'!$AE$7:$AE$36,3),'CLIENT PERFORMANCE'!$AE$7:$AE$36,0))="","",INDEX('CLIENT PERFORMANCE'!$J$7:$J$36,MATCH(SMALL('CLIENT PERFORMANCE'!$AE$7:$AE$36,3),'CLIENT PERFORMANCE'!$AE$7:$AE$36,0))),"")</f>
        <v/>
      </c>
      <c r="E58" s="52" t="str">
        <f>IFERROR(IF(INDEX('CLIENT PERFORMANCE'!$L$7:$L$36,MATCH(SMALL('CLIENT PERFORMANCE'!$AE$7:$AE$36,3),'CLIENT PERFORMANCE'!$AE$7:$AE$36,0))="","",INDEX('CLIENT PERFORMANCE'!$L$7:$L$36,MATCH(SMALL('CLIENT PERFORMANCE'!$AE$7:$AE$36,3),'CLIENT PERFORMANCE'!$AE$7:$AE$36,0))),"")</f>
        <v/>
      </c>
      <c r="F58" s="52" t="str">
        <f>IFERROR(IF(INDEX('CLIENT PERFORMANCE'!$M$7:$M$36,MATCH(SMALL('CLIENT PERFORMANCE'!$AE$7:$AE$36,3),'CLIENT PERFORMANCE'!$AE$7:$AE$36,0))="","",INDEX('CLIENT PERFORMANCE'!$M$7:$M$36,MATCH(SMALL('CLIENT PERFORMANCE'!$AE$7:$AE$36,3),'CLIENT PERFORMANCE'!$AE$7:$AE$36,0))),"")</f>
        <v/>
      </c>
      <c r="G58" s="52" t="str">
        <f>IFERROR(IF(INDEX('CLIENT PERFORMANCE'!$Q$7:$Q$36,MATCH(SMALL('CLIENT PERFORMANCE'!$AE$7:$AE$36,3),'CLIENT PERFORMANCE'!$AE$7:$AE$36,0))="","",INDEX('CLIENT PERFORMANCE'!$Q$7:$Q$36,MATCH(SMALL('CLIENT PERFORMANCE'!$AE$7:$AE$36,3),'CLIENT PERFORMANCE'!$AE$7:$AE$36,0))),"")</f>
        <v/>
      </c>
      <c r="H58" s="52" t="str">
        <f>IFERROR(IF(INDEX('CLIENT PERFORMANCE'!$D$7:$D$36,MATCH(SMALL('CLIENT PERFORMANCE'!$AE$7:$AE$36,3),'CLIENT PERFORMANCE'!$AE$7:$AE$36,0))="","",INDEX('CLIENT PERFORMANCE'!$D$7:$D$36,MATCH(SMALL('CLIENT PERFORMANCE'!$AE$7:$AE$36,3),'CLIENT PERFORMANCE'!$AE$7:$AE$36,0))),"")</f>
        <v/>
      </c>
    </row>
    <row r="59" ht="22" customHeight="1">
      <c r="A59" s="50" t="str">
        <f>IFERROR(IF(INDEX('CLIENT PERFORMANCE'!$A$7:$A$36,MATCH(SMALL('CLIENT PERFORMANCE'!$AE$7:$AE$36,4),'CLIENT PERFORMANCE'!$AE$7:$AE$36,0))="","",INDEX('CLIENT PERFORMANCE'!$A$7:$A$36,MATCH(SMALL('CLIENT PERFORMANCE'!$AE$7:$AE$36,4),'CLIENT PERFORMANCE'!$AE$7:$AE$36,0))),"")</f>
        <v/>
      </c>
      <c r="B59" s="50" t="str">
        <f>IFERROR(IF(INDEX('CLIENT PERFORMANCE'!$Z$7:$Z$36,MATCH(SMALL('CLIENT PERFORMANCE'!$AE$7:$AE$36,4),'CLIENT PERFORMANCE'!$AE$7:$AE$36,0))="","",INDEX('CLIENT PERFORMANCE'!$Z$7:$Z$36,MATCH(SMALL('CLIENT PERFORMANCE'!$AE$7:$AE$36,4),'CLIENT PERFORMANCE'!$AE$7:$AE$36,0))),"")</f>
        <v/>
      </c>
      <c r="C59" s="52" t="str">
        <f>IFERROR(IF(INDEX('CLIENT PERFORMANCE'!$E$7:$E$36,MATCH(SMALL('CLIENT PERFORMANCE'!$AE$7:$AE$36,4),'CLIENT PERFORMANCE'!$AE$7:$AE$36,0))="","",INDEX('CLIENT PERFORMANCE'!$E$7:$E$36,MATCH(SMALL('CLIENT PERFORMANCE'!$AE$7:$AE$36,4),'CLIENT PERFORMANCE'!$AE$7:$AE$36,0))),"")</f>
        <v/>
      </c>
      <c r="D59" s="54" t="str">
        <f>IFERROR(IF(INDEX('CLIENT PERFORMANCE'!$J$7:$J$36,MATCH(SMALL('CLIENT PERFORMANCE'!$AE$7:$AE$36,4),'CLIENT PERFORMANCE'!$AE$7:$AE$36,0))="","",INDEX('CLIENT PERFORMANCE'!$J$7:$J$36,MATCH(SMALL('CLIENT PERFORMANCE'!$AE$7:$AE$36,4),'CLIENT PERFORMANCE'!$AE$7:$AE$36,0))),"")</f>
        <v/>
      </c>
      <c r="E59" s="52" t="str">
        <f>IFERROR(IF(INDEX('CLIENT PERFORMANCE'!$L$7:$L$36,MATCH(SMALL('CLIENT PERFORMANCE'!$AE$7:$AE$36,4),'CLIENT PERFORMANCE'!$AE$7:$AE$36,0))="","",INDEX('CLIENT PERFORMANCE'!$L$7:$L$36,MATCH(SMALL('CLIENT PERFORMANCE'!$AE$7:$AE$36,4),'CLIENT PERFORMANCE'!$AE$7:$AE$36,0))),"")</f>
        <v/>
      </c>
      <c r="F59" s="52" t="str">
        <f>IFERROR(IF(INDEX('CLIENT PERFORMANCE'!$M$7:$M$36,MATCH(SMALL('CLIENT PERFORMANCE'!$AE$7:$AE$36,4),'CLIENT PERFORMANCE'!$AE$7:$AE$36,0))="","",INDEX('CLIENT PERFORMANCE'!$M$7:$M$36,MATCH(SMALL('CLIENT PERFORMANCE'!$AE$7:$AE$36,4),'CLIENT PERFORMANCE'!$AE$7:$AE$36,0))),"")</f>
        <v/>
      </c>
      <c r="G59" s="52" t="str">
        <f>IFERROR(IF(INDEX('CLIENT PERFORMANCE'!$Q$7:$Q$36,MATCH(SMALL('CLIENT PERFORMANCE'!$AE$7:$AE$36,4),'CLIENT PERFORMANCE'!$AE$7:$AE$36,0))="","",INDEX('CLIENT PERFORMANCE'!$Q$7:$Q$36,MATCH(SMALL('CLIENT PERFORMANCE'!$AE$7:$AE$36,4),'CLIENT PERFORMANCE'!$AE$7:$AE$36,0))),"")</f>
        <v/>
      </c>
      <c r="H59" s="52" t="str">
        <f>IFERROR(IF(INDEX('CLIENT PERFORMANCE'!$D$7:$D$36,MATCH(SMALL('CLIENT PERFORMANCE'!$AE$7:$AE$36,4),'CLIENT PERFORMANCE'!$AE$7:$AE$36,0))="","",INDEX('CLIENT PERFORMANCE'!$D$7:$D$36,MATCH(SMALL('CLIENT PERFORMANCE'!$AE$7:$AE$36,4),'CLIENT PERFORMANCE'!$AE$7:$AE$36,0))),"")</f>
        <v/>
      </c>
    </row>
    <row r="60" ht="22" customHeight="1">
      <c r="A60" s="50" t="str">
        <f>IFERROR(IF(INDEX('CLIENT PERFORMANCE'!$A$7:$A$36,MATCH(SMALL('CLIENT PERFORMANCE'!$AE$7:$AE$36,5),'CLIENT PERFORMANCE'!$AE$7:$AE$36,0))="","",INDEX('CLIENT PERFORMANCE'!$A$7:$A$36,MATCH(SMALL('CLIENT PERFORMANCE'!$AE$7:$AE$36,5),'CLIENT PERFORMANCE'!$AE$7:$AE$36,0))),"")</f>
        <v/>
      </c>
      <c r="B60" s="50" t="str">
        <f>IFERROR(IF(INDEX('CLIENT PERFORMANCE'!$Z$7:$Z$36,MATCH(SMALL('CLIENT PERFORMANCE'!$AE$7:$AE$36,5),'CLIENT PERFORMANCE'!$AE$7:$AE$36,0))="","",INDEX('CLIENT PERFORMANCE'!$Z$7:$Z$36,MATCH(SMALL('CLIENT PERFORMANCE'!$AE$7:$AE$36,5),'CLIENT PERFORMANCE'!$AE$7:$AE$36,0))),"")</f>
        <v/>
      </c>
      <c r="C60" s="52" t="str">
        <f>IFERROR(IF(INDEX('CLIENT PERFORMANCE'!$E$7:$E$36,MATCH(SMALL('CLIENT PERFORMANCE'!$AE$7:$AE$36,5),'CLIENT PERFORMANCE'!$AE$7:$AE$36,0))="","",INDEX('CLIENT PERFORMANCE'!$E$7:$E$36,MATCH(SMALL('CLIENT PERFORMANCE'!$AE$7:$AE$36,5),'CLIENT PERFORMANCE'!$AE$7:$AE$36,0))),"")</f>
        <v/>
      </c>
      <c r="D60" s="54" t="str">
        <f>IFERROR(IF(INDEX('CLIENT PERFORMANCE'!$J$7:$J$36,MATCH(SMALL('CLIENT PERFORMANCE'!$AE$7:$AE$36,5),'CLIENT PERFORMANCE'!$AE$7:$AE$36,0))="","",INDEX('CLIENT PERFORMANCE'!$J$7:$J$36,MATCH(SMALL('CLIENT PERFORMANCE'!$AE$7:$AE$36,5),'CLIENT PERFORMANCE'!$AE$7:$AE$36,0))),"")</f>
        <v/>
      </c>
      <c r="E60" s="52" t="str">
        <f>IFERROR(IF(INDEX('CLIENT PERFORMANCE'!$L$7:$L$36,MATCH(SMALL('CLIENT PERFORMANCE'!$AE$7:$AE$36,5),'CLIENT PERFORMANCE'!$AE$7:$AE$36,0))="","",INDEX('CLIENT PERFORMANCE'!$L$7:$L$36,MATCH(SMALL('CLIENT PERFORMANCE'!$AE$7:$AE$36,5),'CLIENT PERFORMANCE'!$AE$7:$AE$36,0))),"")</f>
        <v/>
      </c>
      <c r="F60" s="52" t="str">
        <f>IFERROR(IF(INDEX('CLIENT PERFORMANCE'!$M$7:$M$36,MATCH(SMALL('CLIENT PERFORMANCE'!$AE$7:$AE$36,5),'CLIENT PERFORMANCE'!$AE$7:$AE$36,0))="","",INDEX('CLIENT PERFORMANCE'!$M$7:$M$36,MATCH(SMALL('CLIENT PERFORMANCE'!$AE$7:$AE$36,5),'CLIENT PERFORMANCE'!$AE$7:$AE$36,0))),"")</f>
        <v/>
      </c>
      <c r="G60" s="52" t="str">
        <f>IFERROR(IF(INDEX('CLIENT PERFORMANCE'!$Q$7:$Q$36,MATCH(SMALL('CLIENT PERFORMANCE'!$AE$7:$AE$36,5),'CLIENT PERFORMANCE'!$AE$7:$AE$36,0))="","",INDEX('CLIENT PERFORMANCE'!$Q$7:$Q$36,MATCH(SMALL('CLIENT PERFORMANCE'!$AE$7:$AE$36,5),'CLIENT PERFORMANCE'!$AE$7:$AE$36,0))),"")</f>
        <v/>
      </c>
      <c r="H60" s="52" t="str">
        <f>IFERROR(IF(INDEX('CLIENT PERFORMANCE'!$D$7:$D$36,MATCH(SMALL('CLIENT PERFORMANCE'!$AE$7:$AE$36,5),'CLIENT PERFORMANCE'!$AE$7:$AE$36,0))="","",INDEX('CLIENT PERFORMANCE'!$D$7:$D$36,MATCH(SMALL('CLIENT PERFORMANCE'!$AE$7:$AE$36,5),'CLIENT PERFORMANCE'!$AE$7:$AE$36,0))),"")</f>
        <v/>
      </c>
    </row>
    <row r="62" ht="20" customHeight="1">
      <c r="A62" s="37" t="inlineStr">
        <is>
          <t>Clients requiring attention</t>
        </is>
      </c>
      <c r="B62" s="33" t="n"/>
      <c r="C62" s="33" t="n"/>
      <c r="D62" s="33" t="n"/>
      <c r="E62" s="33" t="n"/>
      <c r="F62" s="33" t="n"/>
      <c r="G62" s="33" t="n"/>
      <c r="H62" s="33" t="n"/>
    </row>
    <row r="63" ht="22" customHeight="1">
      <c r="A63" s="38" t="inlineStr">
        <is>
          <t>Client</t>
        </is>
      </c>
      <c r="B63" s="38" t="inlineStr">
        <is>
          <t>Health</t>
        </is>
      </c>
      <c r="C63" s="38" t="inlineStr">
        <is>
          <t>Overdue</t>
        </is>
      </c>
      <c r="D63" s="38" t="inlineStr">
        <is>
          <t>Blocked</t>
        </is>
      </c>
      <c r="E63" s="38" t="inlineStr">
        <is>
          <t>Camp. Attn</t>
        </is>
      </c>
      <c r="F63" s="38" t="inlineStr">
        <is>
          <t>Completion</t>
        </is>
      </c>
      <c r="G63" s="38" t="inlineStr">
        <is>
          <t>Leads</t>
        </is>
      </c>
      <c r="H63" s="38" t="inlineStr">
        <is>
          <t>Priority</t>
        </is>
      </c>
    </row>
    <row r="64" ht="26" customHeight="1">
      <c r="A64" s="49" t="str">
        <f>IFERROR(IF(INDEX('CLIENT PERFORMANCE'!$A$7:$A$36,MATCH(SMALL('CLIENT PERFORMANCE'!$AD$7:$AD$36,1),'CLIENT PERFORMANCE'!$AD$7:$AD$36,0))="","",INDEX('CLIENT PERFORMANCE'!$A$7:$A$36,MATCH(SMALL('CLIENT PERFORMANCE'!$AD$7:$AD$36,1),'CLIENT PERFORMANCE'!$AD$7:$AD$36,0))),"- none -")</f>
        <v>SAP</v>
      </c>
      <c r="B64" s="50" t="str">
        <f>IFERROR(IF(INDEX('CLIENT PERFORMANCE'!$Z$7:$Z$36,MATCH(SMALL('CLIENT PERFORMANCE'!$AD$7:$AD$36,1),'CLIENT PERFORMANCE'!$AD$7:$AD$36,0))="","",INDEX('CLIENT PERFORMANCE'!$Z$7:$Z$36,MATCH(SMALL('CLIENT PERFORMANCE'!$AD$7:$AD$36,1),'CLIENT PERFORMANCE'!$AD$7:$AD$36,0))),"")</f>
        <v>Needs Attention</v>
      </c>
      <c r="C64" s="52">
        <f>IFERROR(IF(INDEX('CLIENT PERFORMANCE'!$H$7:$H$36,MATCH(SMALL('CLIENT PERFORMANCE'!$AD$7:$AD$36,1),'CLIENT PERFORMANCE'!$AD$7:$AD$36,0))="","",INDEX('CLIENT PERFORMANCE'!$H$7:$H$36,MATCH(SMALL('CLIENT PERFORMANCE'!$AD$7:$AD$36,1),'CLIENT PERFORMANCE'!$AD$7:$AD$36,0))),"")</f>
        <v>3</v>
      </c>
      <c r="D64" s="52">
        <f>IFERROR(IF(INDEX('CLIENT PERFORMANCE'!$I$7:$I$36,MATCH(SMALL('CLIENT PERFORMANCE'!$AD$7:$AD$36,1),'CLIENT PERFORMANCE'!$AD$7:$AD$36,0))="","",INDEX('CLIENT PERFORMANCE'!$I$7:$I$36,MATCH(SMALL('CLIENT PERFORMANCE'!$AD$7:$AD$36,1),'CLIENT PERFORMANCE'!$AD$7:$AD$36,0))),"")</f>
        <v>0</v>
      </c>
      <c r="E64" s="52">
        <f>IFERROR(IF(INDEX('CLIENT PERFORMANCE'!$Y$7:$Y$36,MATCH(SMALL('CLIENT PERFORMANCE'!$AD$7:$AD$36,1),'CLIENT PERFORMANCE'!$AD$7:$AD$36,0))="","",INDEX('CLIENT PERFORMANCE'!$Y$7:$Y$36,MATCH(SMALL('CLIENT PERFORMANCE'!$AD$7:$AD$36,1),'CLIENT PERFORMANCE'!$AD$7:$AD$36,0))),"")</f>
        <v>0</v>
      </c>
      <c r="F64" s="54">
        <f>IFERROR(IF(INDEX('CLIENT PERFORMANCE'!$J$7:$J$36,MATCH(SMALL('CLIENT PERFORMANCE'!$AD$7:$AD$36,1),'CLIENT PERFORMANCE'!$AD$7:$AD$36,0))="","",INDEX('CLIENT PERFORMANCE'!$J$7:$J$36,MATCH(SMALL('CLIENT PERFORMANCE'!$AD$7:$AD$36,1),'CLIENT PERFORMANCE'!$AD$7:$AD$36,0))),"")</f>
        <v>0</v>
      </c>
      <c r="G64" s="52">
        <f>IFERROR(IF(INDEX('CLIENT PERFORMANCE'!$L$7:$L$36,MATCH(SMALL('CLIENT PERFORMANCE'!$AD$7:$AD$36,1),'CLIENT PERFORMANCE'!$AD$7:$AD$36,0))="","",INDEX('CLIENT PERFORMANCE'!$L$7:$L$36,MATCH(SMALL('CLIENT PERFORMANCE'!$AD$7:$AD$36,1),'CLIENT PERFORMANCE'!$AD$7:$AD$36,0))),"")</f>
        <v>0</v>
      </c>
      <c r="H64" s="50" t="str">
        <f>IFERROR(IF(INDEX('CLIENT PERFORMANCE'!$AB$7:$AB$36,MATCH(SMALL('CLIENT PERFORMANCE'!$AD$7:$AD$36,1),'CLIENT PERFORMANCE'!$AD$7:$AD$36,0))="","",INDEX('CLIENT PERFORMANCE'!$AB$7:$AB$36,MATCH(SMALL('CLIENT PERFORMANCE'!$AD$7:$AD$36,1),'CLIENT PERFORMANCE'!$AD$7:$AD$36,0))),"")</f>
        <v/>
      </c>
    </row>
    <row r="65" ht="26" customHeight="1">
      <c r="A65" s="50" t="str">
        <f>IFERROR(IF(INDEX('CLIENT PERFORMANCE'!$A$7:$A$36,MATCH(SMALL('CLIENT PERFORMANCE'!$AD$7:$AD$36,2),'CLIENT PERFORMANCE'!$AD$7:$AD$36,0))="","",INDEX('CLIENT PERFORMANCE'!$A$7:$A$36,MATCH(SMALL('CLIENT PERFORMANCE'!$AD$7:$AD$36,2),'CLIENT PERFORMANCE'!$AD$7:$AD$36,0))),"")</f>
        <v/>
      </c>
      <c r="B65" s="50" t="str">
        <f>IFERROR(IF(INDEX('CLIENT PERFORMANCE'!$Z$7:$Z$36,MATCH(SMALL('CLIENT PERFORMANCE'!$AD$7:$AD$36,2),'CLIENT PERFORMANCE'!$AD$7:$AD$36,0))="","",INDEX('CLIENT PERFORMANCE'!$Z$7:$Z$36,MATCH(SMALL('CLIENT PERFORMANCE'!$AD$7:$AD$36,2),'CLIENT PERFORMANCE'!$AD$7:$AD$36,0))),"")</f>
        <v/>
      </c>
      <c r="C65" s="52" t="str">
        <f>IFERROR(IF(INDEX('CLIENT PERFORMANCE'!$H$7:$H$36,MATCH(SMALL('CLIENT PERFORMANCE'!$AD$7:$AD$36,2),'CLIENT PERFORMANCE'!$AD$7:$AD$36,0))="","",INDEX('CLIENT PERFORMANCE'!$H$7:$H$36,MATCH(SMALL('CLIENT PERFORMANCE'!$AD$7:$AD$36,2),'CLIENT PERFORMANCE'!$AD$7:$AD$36,0))),"")</f>
        <v/>
      </c>
      <c r="D65" s="52" t="str">
        <f>IFERROR(IF(INDEX('CLIENT PERFORMANCE'!$I$7:$I$36,MATCH(SMALL('CLIENT PERFORMANCE'!$AD$7:$AD$36,2),'CLIENT PERFORMANCE'!$AD$7:$AD$36,0))="","",INDEX('CLIENT PERFORMANCE'!$I$7:$I$36,MATCH(SMALL('CLIENT PERFORMANCE'!$AD$7:$AD$36,2),'CLIENT PERFORMANCE'!$AD$7:$AD$36,0))),"")</f>
        <v/>
      </c>
      <c r="E65" s="52" t="str">
        <f>IFERROR(IF(INDEX('CLIENT PERFORMANCE'!$Y$7:$Y$36,MATCH(SMALL('CLIENT PERFORMANCE'!$AD$7:$AD$36,2),'CLIENT PERFORMANCE'!$AD$7:$AD$36,0))="","",INDEX('CLIENT PERFORMANCE'!$Y$7:$Y$36,MATCH(SMALL('CLIENT PERFORMANCE'!$AD$7:$AD$36,2),'CLIENT PERFORMANCE'!$AD$7:$AD$36,0))),"")</f>
        <v/>
      </c>
      <c r="F65" s="54" t="str">
        <f>IFERROR(IF(INDEX('CLIENT PERFORMANCE'!$J$7:$J$36,MATCH(SMALL('CLIENT PERFORMANCE'!$AD$7:$AD$36,2),'CLIENT PERFORMANCE'!$AD$7:$AD$36,0))="","",INDEX('CLIENT PERFORMANCE'!$J$7:$J$36,MATCH(SMALL('CLIENT PERFORMANCE'!$AD$7:$AD$36,2),'CLIENT PERFORMANCE'!$AD$7:$AD$36,0))),"")</f>
        <v/>
      </c>
      <c r="G65" s="52" t="str">
        <f>IFERROR(IF(INDEX('CLIENT PERFORMANCE'!$L$7:$L$36,MATCH(SMALL('CLIENT PERFORMANCE'!$AD$7:$AD$36,2),'CLIENT PERFORMANCE'!$AD$7:$AD$36,0))="","",INDEX('CLIENT PERFORMANCE'!$L$7:$L$36,MATCH(SMALL('CLIENT PERFORMANCE'!$AD$7:$AD$36,2),'CLIENT PERFORMANCE'!$AD$7:$AD$36,0))),"")</f>
        <v/>
      </c>
      <c r="H65" s="50" t="str">
        <f>IFERROR(IF(INDEX('CLIENT PERFORMANCE'!$AB$7:$AB$36,MATCH(SMALL('CLIENT PERFORMANCE'!$AD$7:$AD$36,2),'CLIENT PERFORMANCE'!$AD$7:$AD$36,0))="","",INDEX('CLIENT PERFORMANCE'!$AB$7:$AB$36,MATCH(SMALL('CLIENT PERFORMANCE'!$AD$7:$AD$36,2),'CLIENT PERFORMANCE'!$AD$7:$AD$36,0))),"")</f>
        <v/>
      </c>
    </row>
    <row r="66" ht="26" customHeight="1">
      <c r="A66" s="50" t="str">
        <f>IFERROR(IF(INDEX('CLIENT PERFORMANCE'!$A$7:$A$36,MATCH(SMALL('CLIENT PERFORMANCE'!$AD$7:$AD$36,3),'CLIENT PERFORMANCE'!$AD$7:$AD$36,0))="","",INDEX('CLIENT PERFORMANCE'!$A$7:$A$36,MATCH(SMALL('CLIENT PERFORMANCE'!$AD$7:$AD$36,3),'CLIENT PERFORMANCE'!$AD$7:$AD$36,0))),"")</f>
        <v/>
      </c>
      <c r="B66" s="50" t="str">
        <f>IFERROR(IF(INDEX('CLIENT PERFORMANCE'!$Z$7:$Z$36,MATCH(SMALL('CLIENT PERFORMANCE'!$AD$7:$AD$36,3),'CLIENT PERFORMANCE'!$AD$7:$AD$36,0))="","",INDEX('CLIENT PERFORMANCE'!$Z$7:$Z$36,MATCH(SMALL('CLIENT PERFORMANCE'!$AD$7:$AD$36,3),'CLIENT PERFORMANCE'!$AD$7:$AD$36,0))),"")</f>
        <v/>
      </c>
      <c r="C66" s="52" t="str">
        <f>IFERROR(IF(INDEX('CLIENT PERFORMANCE'!$H$7:$H$36,MATCH(SMALL('CLIENT PERFORMANCE'!$AD$7:$AD$36,3),'CLIENT PERFORMANCE'!$AD$7:$AD$36,0))="","",INDEX('CLIENT PERFORMANCE'!$H$7:$H$36,MATCH(SMALL('CLIENT PERFORMANCE'!$AD$7:$AD$36,3),'CLIENT PERFORMANCE'!$AD$7:$AD$36,0))),"")</f>
        <v/>
      </c>
      <c r="D66" s="52" t="str">
        <f>IFERROR(IF(INDEX('CLIENT PERFORMANCE'!$I$7:$I$36,MATCH(SMALL('CLIENT PERFORMANCE'!$AD$7:$AD$36,3),'CLIENT PERFORMANCE'!$AD$7:$AD$36,0))="","",INDEX('CLIENT PERFORMANCE'!$I$7:$I$36,MATCH(SMALL('CLIENT PERFORMANCE'!$AD$7:$AD$36,3),'CLIENT PERFORMANCE'!$AD$7:$AD$36,0))),"")</f>
        <v/>
      </c>
      <c r="E66" s="52" t="str">
        <f>IFERROR(IF(INDEX('CLIENT PERFORMANCE'!$Y$7:$Y$36,MATCH(SMALL('CLIENT PERFORMANCE'!$AD$7:$AD$36,3),'CLIENT PERFORMANCE'!$AD$7:$AD$36,0))="","",INDEX('CLIENT PERFORMANCE'!$Y$7:$Y$36,MATCH(SMALL('CLIENT PERFORMANCE'!$AD$7:$AD$36,3),'CLIENT PERFORMANCE'!$AD$7:$AD$36,0))),"")</f>
        <v/>
      </c>
      <c r="F66" s="54" t="str">
        <f>IFERROR(IF(INDEX('CLIENT PERFORMANCE'!$J$7:$J$36,MATCH(SMALL('CLIENT PERFORMANCE'!$AD$7:$AD$36,3),'CLIENT PERFORMANCE'!$AD$7:$AD$36,0))="","",INDEX('CLIENT PERFORMANCE'!$J$7:$J$36,MATCH(SMALL('CLIENT PERFORMANCE'!$AD$7:$AD$36,3),'CLIENT PERFORMANCE'!$AD$7:$AD$36,0))),"")</f>
        <v/>
      </c>
      <c r="G66" s="52" t="str">
        <f>IFERROR(IF(INDEX('CLIENT PERFORMANCE'!$L$7:$L$36,MATCH(SMALL('CLIENT PERFORMANCE'!$AD$7:$AD$36,3),'CLIENT PERFORMANCE'!$AD$7:$AD$36,0))="","",INDEX('CLIENT PERFORMANCE'!$L$7:$L$36,MATCH(SMALL('CLIENT PERFORMANCE'!$AD$7:$AD$36,3),'CLIENT PERFORMANCE'!$AD$7:$AD$36,0))),"")</f>
        <v/>
      </c>
      <c r="H66" s="50" t="str">
        <f>IFERROR(IF(INDEX('CLIENT PERFORMANCE'!$AB$7:$AB$36,MATCH(SMALL('CLIENT PERFORMANCE'!$AD$7:$AD$36,3),'CLIENT PERFORMANCE'!$AD$7:$AD$36,0))="","",INDEX('CLIENT PERFORMANCE'!$AB$7:$AB$36,MATCH(SMALL('CLIENT PERFORMANCE'!$AD$7:$AD$36,3),'CLIENT PERFORMANCE'!$AD$7:$AD$36,0))),"")</f>
        <v/>
      </c>
    </row>
    <row r="67" ht="26" customHeight="1">
      <c r="A67" s="50" t="str">
        <f>IFERROR(IF(INDEX('CLIENT PERFORMANCE'!$A$7:$A$36,MATCH(SMALL('CLIENT PERFORMANCE'!$AD$7:$AD$36,4),'CLIENT PERFORMANCE'!$AD$7:$AD$36,0))="","",INDEX('CLIENT PERFORMANCE'!$A$7:$A$36,MATCH(SMALL('CLIENT PERFORMANCE'!$AD$7:$AD$36,4),'CLIENT PERFORMANCE'!$AD$7:$AD$36,0))),"")</f>
        <v/>
      </c>
      <c r="B67" s="50" t="str">
        <f>IFERROR(IF(INDEX('CLIENT PERFORMANCE'!$Z$7:$Z$36,MATCH(SMALL('CLIENT PERFORMANCE'!$AD$7:$AD$36,4),'CLIENT PERFORMANCE'!$AD$7:$AD$36,0))="","",INDEX('CLIENT PERFORMANCE'!$Z$7:$Z$36,MATCH(SMALL('CLIENT PERFORMANCE'!$AD$7:$AD$36,4),'CLIENT PERFORMANCE'!$AD$7:$AD$36,0))),"")</f>
        <v/>
      </c>
      <c r="C67" s="52" t="str">
        <f>IFERROR(IF(INDEX('CLIENT PERFORMANCE'!$H$7:$H$36,MATCH(SMALL('CLIENT PERFORMANCE'!$AD$7:$AD$36,4),'CLIENT PERFORMANCE'!$AD$7:$AD$36,0))="","",INDEX('CLIENT PERFORMANCE'!$H$7:$H$36,MATCH(SMALL('CLIENT PERFORMANCE'!$AD$7:$AD$36,4),'CLIENT PERFORMANCE'!$AD$7:$AD$36,0))),"")</f>
        <v/>
      </c>
      <c r="D67" s="52" t="str">
        <f>IFERROR(IF(INDEX('CLIENT PERFORMANCE'!$I$7:$I$36,MATCH(SMALL('CLIENT PERFORMANCE'!$AD$7:$AD$36,4),'CLIENT PERFORMANCE'!$AD$7:$AD$36,0))="","",INDEX('CLIENT PERFORMANCE'!$I$7:$I$36,MATCH(SMALL('CLIENT PERFORMANCE'!$AD$7:$AD$36,4),'CLIENT PERFORMANCE'!$AD$7:$AD$36,0))),"")</f>
        <v/>
      </c>
      <c r="E67" s="52" t="str">
        <f>IFERROR(IF(INDEX('CLIENT PERFORMANCE'!$Y$7:$Y$36,MATCH(SMALL('CLIENT PERFORMANCE'!$AD$7:$AD$36,4),'CLIENT PERFORMANCE'!$AD$7:$AD$36,0))="","",INDEX('CLIENT PERFORMANCE'!$Y$7:$Y$36,MATCH(SMALL('CLIENT PERFORMANCE'!$AD$7:$AD$36,4),'CLIENT PERFORMANCE'!$AD$7:$AD$36,0))),"")</f>
        <v/>
      </c>
      <c r="F67" s="54" t="str">
        <f>IFERROR(IF(INDEX('CLIENT PERFORMANCE'!$J$7:$J$36,MATCH(SMALL('CLIENT PERFORMANCE'!$AD$7:$AD$36,4),'CLIENT PERFORMANCE'!$AD$7:$AD$36,0))="","",INDEX('CLIENT PERFORMANCE'!$J$7:$J$36,MATCH(SMALL('CLIENT PERFORMANCE'!$AD$7:$AD$36,4),'CLIENT PERFORMANCE'!$AD$7:$AD$36,0))),"")</f>
        <v/>
      </c>
      <c r="G67" s="52" t="str">
        <f>IFERROR(IF(INDEX('CLIENT PERFORMANCE'!$L$7:$L$36,MATCH(SMALL('CLIENT PERFORMANCE'!$AD$7:$AD$36,4),'CLIENT PERFORMANCE'!$AD$7:$AD$36,0))="","",INDEX('CLIENT PERFORMANCE'!$L$7:$L$36,MATCH(SMALL('CLIENT PERFORMANCE'!$AD$7:$AD$36,4),'CLIENT PERFORMANCE'!$AD$7:$AD$36,0))),"")</f>
        <v/>
      </c>
      <c r="H67" s="50" t="str">
        <f>IFERROR(IF(INDEX('CLIENT PERFORMANCE'!$AB$7:$AB$36,MATCH(SMALL('CLIENT PERFORMANCE'!$AD$7:$AD$36,4),'CLIENT PERFORMANCE'!$AD$7:$AD$36,0))="","",INDEX('CLIENT PERFORMANCE'!$AB$7:$AB$36,MATCH(SMALL('CLIENT PERFORMANCE'!$AD$7:$AD$36,4),'CLIENT PERFORMANCE'!$AD$7:$AD$36,0))),"")</f>
        <v/>
      </c>
    </row>
    <row r="68" ht="26" customHeight="1">
      <c r="A68" s="50" t="str">
        <f>IFERROR(IF(INDEX('CLIENT PERFORMANCE'!$A$7:$A$36,MATCH(SMALL('CLIENT PERFORMANCE'!$AD$7:$AD$36,5),'CLIENT PERFORMANCE'!$AD$7:$AD$36,0))="","",INDEX('CLIENT PERFORMANCE'!$A$7:$A$36,MATCH(SMALL('CLIENT PERFORMANCE'!$AD$7:$AD$36,5),'CLIENT PERFORMANCE'!$AD$7:$AD$36,0))),"")</f>
        <v/>
      </c>
      <c r="B68" s="50" t="str">
        <f>IFERROR(IF(INDEX('CLIENT PERFORMANCE'!$Z$7:$Z$36,MATCH(SMALL('CLIENT PERFORMANCE'!$AD$7:$AD$36,5),'CLIENT PERFORMANCE'!$AD$7:$AD$36,0))="","",INDEX('CLIENT PERFORMANCE'!$Z$7:$Z$36,MATCH(SMALL('CLIENT PERFORMANCE'!$AD$7:$AD$36,5),'CLIENT PERFORMANCE'!$AD$7:$AD$36,0))),"")</f>
        <v/>
      </c>
      <c r="C68" s="52" t="str">
        <f>IFERROR(IF(INDEX('CLIENT PERFORMANCE'!$H$7:$H$36,MATCH(SMALL('CLIENT PERFORMANCE'!$AD$7:$AD$36,5),'CLIENT PERFORMANCE'!$AD$7:$AD$36,0))="","",INDEX('CLIENT PERFORMANCE'!$H$7:$H$36,MATCH(SMALL('CLIENT PERFORMANCE'!$AD$7:$AD$36,5),'CLIENT PERFORMANCE'!$AD$7:$AD$36,0))),"")</f>
        <v/>
      </c>
      <c r="D68" s="52" t="str">
        <f>IFERROR(IF(INDEX('CLIENT PERFORMANCE'!$I$7:$I$36,MATCH(SMALL('CLIENT PERFORMANCE'!$AD$7:$AD$36,5),'CLIENT PERFORMANCE'!$AD$7:$AD$36,0))="","",INDEX('CLIENT PERFORMANCE'!$I$7:$I$36,MATCH(SMALL('CLIENT PERFORMANCE'!$AD$7:$AD$36,5),'CLIENT PERFORMANCE'!$AD$7:$AD$36,0))),"")</f>
        <v/>
      </c>
      <c r="E68" s="52" t="str">
        <f>IFERROR(IF(INDEX('CLIENT PERFORMANCE'!$Y$7:$Y$36,MATCH(SMALL('CLIENT PERFORMANCE'!$AD$7:$AD$36,5),'CLIENT PERFORMANCE'!$AD$7:$AD$36,0))="","",INDEX('CLIENT PERFORMANCE'!$Y$7:$Y$36,MATCH(SMALL('CLIENT PERFORMANCE'!$AD$7:$AD$36,5),'CLIENT PERFORMANCE'!$AD$7:$AD$36,0))),"")</f>
        <v/>
      </c>
      <c r="F68" s="54" t="str">
        <f>IFERROR(IF(INDEX('CLIENT PERFORMANCE'!$J$7:$J$36,MATCH(SMALL('CLIENT PERFORMANCE'!$AD$7:$AD$36,5),'CLIENT PERFORMANCE'!$AD$7:$AD$36,0))="","",INDEX('CLIENT PERFORMANCE'!$J$7:$J$36,MATCH(SMALL('CLIENT PERFORMANCE'!$AD$7:$AD$36,5),'CLIENT PERFORMANCE'!$AD$7:$AD$36,0))),"")</f>
        <v/>
      </c>
      <c r="G68" s="52" t="str">
        <f>IFERROR(IF(INDEX('CLIENT PERFORMANCE'!$L$7:$L$36,MATCH(SMALL('CLIENT PERFORMANCE'!$AD$7:$AD$36,5),'CLIENT PERFORMANCE'!$AD$7:$AD$36,0))="","",INDEX('CLIENT PERFORMANCE'!$L$7:$L$36,MATCH(SMALL('CLIENT PERFORMANCE'!$AD$7:$AD$36,5),'CLIENT PERFORMANCE'!$AD$7:$AD$36,0))),"")</f>
        <v/>
      </c>
      <c r="H68" s="50" t="str">
        <f>IFERROR(IF(INDEX('CLIENT PERFORMANCE'!$AB$7:$AB$36,MATCH(SMALL('CLIENT PERFORMANCE'!$AD$7:$AD$36,5),'CLIENT PERFORMANCE'!$AD$7:$AD$36,0))="","",INDEX('CLIENT PERFORMANCE'!$AB$7:$AB$36,MATCH(SMALL('CLIENT PERFORMANCE'!$AD$7:$AD$36,5),'CLIENT PERFORMANCE'!$AD$7:$AD$36,0))),"")</f>
        <v/>
      </c>
    </row>
    <row r="69" ht="26" customHeight="1">
      <c r="A69" s="50" t="str">
        <f>IFERROR(IF(INDEX('CLIENT PERFORMANCE'!$A$7:$A$36,MATCH(SMALL('CLIENT PERFORMANCE'!$AD$7:$AD$36,6),'CLIENT PERFORMANCE'!$AD$7:$AD$36,0))="","",INDEX('CLIENT PERFORMANCE'!$A$7:$A$36,MATCH(SMALL('CLIENT PERFORMANCE'!$AD$7:$AD$36,6),'CLIENT PERFORMANCE'!$AD$7:$AD$36,0))),"")</f>
        <v/>
      </c>
      <c r="B69" s="50" t="str">
        <f>IFERROR(IF(INDEX('CLIENT PERFORMANCE'!$Z$7:$Z$36,MATCH(SMALL('CLIENT PERFORMANCE'!$AD$7:$AD$36,6),'CLIENT PERFORMANCE'!$AD$7:$AD$36,0))="","",INDEX('CLIENT PERFORMANCE'!$Z$7:$Z$36,MATCH(SMALL('CLIENT PERFORMANCE'!$AD$7:$AD$36,6),'CLIENT PERFORMANCE'!$AD$7:$AD$36,0))),"")</f>
        <v/>
      </c>
      <c r="C69" s="52" t="str">
        <f>IFERROR(IF(INDEX('CLIENT PERFORMANCE'!$H$7:$H$36,MATCH(SMALL('CLIENT PERFORMANCE'!$AD$7:$AD$36,6),'CLIENT PERFORMANCE'!$AD$7:$AD$36,0))="","",INDEX('CLIENT PERFORMANCE'!$H$7:$H$36,MATCH(SMALL('CLIENT PERFORMANCE'!$AD$7:$AD$36,6),'CLIENT PERFORMANCE'!$AD$7:$AD$36,0))),"")</f>
        <v/>
      </c>
      <c r="D69" s="52" t="str">
        <f>IFERROR(IF(INDEX('CLIENT PERFORMANCE'!$I$7:$I$36,MATCH(SMALL('CLIENT PERFORMANCE'!$AD$7:$AD$36,6),'CLIENT PERFORMANCE'!$AD$7:$AD$36,0))="","",INDEX('CLIENT PERFORMANCE'!$I$7:$I$36,MATCH(SMALL('CLIENT PERFORMANCE'!$AD$7:$AD$36,6),'CLIENT PERFORMANCE'!$AD$7:$AD$36,0))),"")</f>
        <v/>
      </c>
      <c r="E69" s="52" t="str">
        <f>IFERROR(IF(INDEX('CLIENT PERFORMANCE'!$Y$7:$Y$36,MATCH(SMALL('CLIENT PERFORMANCE'!$AD$7:$AD$36,6),'CLIENT PERFORMANCE'!$AD$7:$AD$36,0))="","",INDEX('CLIENT PERFORMANCE'!$Y$7:$Y$36,MATCH(SMALL('CLIENT PERFORMANCE'!$AD$7:$AD$36,6),'CLIENT PERFORMANCE'!$AD$7:$AD$36,0))),"")</f>
        <v/>
      </c>
      <c r="F69" s="54" t="str">
        <f>IFERROR(IF(INDEX('CLIENT PERFORMANCE'!$J$7:$J$36,MATCH(SMALL('CLIENT PERFORMANCE'!$AD$7:$AD$36,6),'CLIENT PERFORMANCE'!$AD$7:$AD$36,0))="","",INDEX('CLIENT PERFORMANCE'!$J$7:$J$36,MATCH(SMALL('CLIENT PERFORMANCE'!$AD$7:$AD$36,6),'CLIENT PERFORMANCE'!$AD$7:$AD$36,0))),"")</f>
        <v/>
      </c>
      <c r="G69" s="52" t="str">
        <f>IFERROR(IF(INDEX('CLIENT PERFORMANCE'!$L$7:$L$36,MATCH(SMALL('CLIENT PERFORMANCE'!$AD$7:$AD$36,6),'CLIENT PERFORMANCE'!$AD$7:$AD$36,0))="","",INDEX('CLIENT PERFORMANCE'!$L$7:$L$36,MATCH(SMALL('CLIENT PERFORMANCE'!$AD$7:$AD$36,6),'CLIENT PERFORMANCE'!$AD$7:$AD$36,0))),"")</f>
        <v/>
      </c>
      <c r="H69" s="50" t="str">
        <f>IFERROR(IF(INDEX('CLIENT PERFORMANCE'!$AB$7:$AB$36,MATCH(SMALL('CLIENT PERFORMANCE'!$AD$7:$AD$36,6),'CLIENT PERFORMANCE'!$AD$7:$AD$36,0))="","",INDEX('CLIENT PERFORMANCE'!$AB$7:$AB$36,MATCH(SMALL('CLIENT PERFORMANCE'!$AD$7:$AD$36,6),'CLIENT PERFORMANCE'!$AD$7:$AD$36,0))),"")</f>
        <v/>
      </c>
    </row>
    <row r="71" ht="20" customHeight="1">
      <c r="A71" s="37" t="inlineStr">
        <is>
          <t>Overdue tasks</t>
        </is>
      </c>
      <c r="B71" s="33" t="n"/>
      <c r="C71" s="33" t="n"/>
      <c r="D71" s="33" t="n"/>
      <c r="E71" s="33" t="n"/>
      <c r="F71" s="33" t="n"/>
      <c r="G71" s="33" t="n"/>
      <c r="H71" s="33" t="n"/>
    </row>
    <row r="72" ht="22" customHeight="1">
      <c r="A72" s="38" t="inlineStr">
        <is>
          <t>Task</t>
        </is>
      </c>
      <c r="B72" s="38" t="inlineStr">
        <is>
          <t>Team Member</t>
        </is>
      </c>
      <c r="C72" s="38" t="inlineStr">
        <is>
          <t>Client</t>
        </is>
      </c>
      <c r="D72" s="38" t="inlineStr">
        <is>
          <t>Priority</t>
        </is>
      </c>
      <c r="E72" s="38" t="inlineStr">
        <is>
          <t>Due</t>
        </is>
      </c>
      <c r="F72" s="38" t="inlineStr">
        <is>
          <t>Status</t>
        </is>
      </c>
      <c r="G72" s="38" t="inlineStr">
        <is>
          <t>Days Overdue</t>
        </is>
      </c>
      <c r="H72" s="38" t="inlineStr">
        <is>
          <t>Blocker / Next Action</t>
        </is>
      </c>
    </row>
    <row r="73" ht="26" customHeight="1">
      <c r="A73" s="49" t="str">
        <f>IFERROR(IF(INDEX('DAILY TASK TRACKER'!$G$5:$G$1504,MATCH(SMALL('DAILY TASK TRACKER'!$BB$5:$BB$1504,1),'DAILY TASK TRACKER'!$BB$5:$BB$1504,0))="","",INDEX('DAILY TASK TRACKER'!$G$5:$G$1504,MATCH(SMALL('DAILY TASK TRACKER'!$BB$5:$BB$1504,1),'DAILY TASK TRACKER'!$BB$5:$BB$1504,0))),"- none -")</f>
        <v>Content Syndication - Email + WhatsApp deployment</v>
      </c>
      <c r="B73" s="50" t="str">
        <f>IFERROR(IF(INDEX('DAILY TASK TRACKER'!$B$5:$B$1504,MATCH(SMALL('DAILY TASK TRACKER'!$BB$5:$BB$1504,1),'DAILY TASK TRACKER'!$BB$5:$BB$1504,0))="","",INDEX('DAILY TASK TRACKER'!$B$5:$B$1504,MATCH(SMALL('DAILY TASK TRACKER'!$BB$5:$BB$1504,1),'DAILY TASK TRACKER'!$BB$5:$BB$1504,0))),"")</f>
        <v>Surbhi Pandey</v>
      </c>
      <c r="C73" s="50" t="str">
        <f>IFERROR(IF(INDEX('DAILY TASK TRACKER'!$C$5:$C$1504,MATCH(SMALL('DAILY TASK TRACKER'!$BB$5:$BB$1504,1),'DAILY TASK TRACKER'!$BB$5:$BB$1504,0))="","",INDEX('DAILY TASK TRACKER'!$C$5:$C$1504,MATCH(SMALL('DAILY TASK TRACKER'!$BB$5:$BB$1504,1),'DAILY TASK TRACKER'!$BB$5:$BB$1504,0))),"")</f>
        <v>SAP</v>
      </c>
      <c r="D73" s="50" t="str">
        <f>IFERROR(IF(INDEX('DAILY TASK TRACKER'!$I$5:$I$1504,MATCH(SMALL('DAILY TASK TRACKER'!$BB$5:$BB$1504,1),'DAILY TASK TRACKER'!$BB$5:$BB$1504,0))="","",INDEX('DAILY TASK TRACKER'!$I$5:$I$1504,MATCH(SMALL('DAILY TASK TRACKER'!$BB$5:$BB$1504,1),'DAILY TASK TRACKER'!$BB$5:$BB$1504,0))),"")</f>
        <v/>
      </c>
      <c r="E73" s="55">
        <f>IFERROR(IF(INDEX('DAILY TASK TRACKER'!$L$5:$L$1504,MATCH(SMALL('DAILY TASK TRACKER'!$BB$5:$BB$1504,1),'DAILY TASK TRACKER'!$BB$5:$BB$1504,0))="","",INDEX('DAILY TASK TRACKER'!$L$5:$L$1504,MATCH(SMALL('DAILY TASK TRACKER'!$BB$5:$BB$1504,1),'DAILY TASK TRACKER'!$BB$5:$BB$1504,0))),"")</f>
        <v>46290.0</v>
      </c>
      <c r="F73" s="50" t="str">
        <f>IFERROR(IF(INDEX('DAILY TASK TRACKER'!$M$5:$M$1504,MATCH(SMALL('DAILY TASK TRACKER'!$BB$5:$BB$1504,1),'DAILY TASK TRACKER'!$BB$5:$BB$1504,0))="","",INDEX('DAILY TASK TRACKER'!$M$5:$M$1504,MATCH(SMALL('DAILY TASK TRACKER'!$BB$5:$BB$1504,1),'DAILY TASK TRACKER'!$BB$5:$BB$1504,0))),"")</f>
        <v/>
      </c>
      <c r="G73" s="52">
        <f>IFERROR(IF(INDEX('DAILY TASK TRACKER'!$AD$5:$AD$1504,MATCH(SMALL('DAILY TASK TRACKER'!$BB$5:$BB$1504,1),'DAILY TASK TRACKER'!$BB$5:$BB$1504,0))="","",INDEX('DAILY TASK TRACKER'!$AD$5:$AD$1504,MATCH(SMALL('DAILY TASK TRACKER'!$BB$5:$BB$1504,1),'DAILY TASK TRACKER'!$BB$5:$BB$1504,0))),"")</f>
        <v>10</v>
      </c>
      <c r="H73" s="50" t="str">
        <f>IFERROR(IF(INDEX('DAILY TASK TRACKER'!$T$5:$T$1504,MATCH(SMALL('DAILY TASK TRACKER'!$BB$5:$BB$1504,1),'DAILY TASK TRACKER'!$BB$5:$BB$1504,0))="","",INDEX('DAILY TASK TRACKER'!$T$5:$T$1504,MATCH(SMALL('DAILY TASK TRACKER'!$BB$5:$BB$1504,1),'DAILY TASK TRACKER'!$BB$5:$BB$1504,0))),"")</f>
        <v/>
      </c>
    </row>
    <row r="74" ht="26" customHeight="1">
      <c r="A74" s="50" t="str">
        <f>IFERROR(IF(INDEX('DAILY TASK TRACKER'!$G$5:$G$1504,MATCH(SMALL('DAILY TASK TRACKER'!$BB$5:$BB$1504,2),'DAILY TASK TRACKER'!$BB$5:$BB$1504,0))="","",INDEX('DAILY TASK TRACKER'!$G$5:$G$1504,MATCH(SMALL('DAILY TASK TRACKER'!$BB$5:$BB$1504,2),'DAILY TASK TRACKER'!$BB$5:$BB$1504,0))),"")</f>
        <v>Content Syndication - Email + WhatsApp deployment</v>
      </c>
      <c r="B74" s="50" t="str">
        <f>IFERROR(IF(INDEX('DAILY TASK TRACKER'!$B$5:$B$1504,MATCH(SMALL('DAILY TASK TRACKER'!$BB$5:$BB$1504,2),'DAILY TASK TRACKER'!$BB$5:$BB$1504,0))="","",INDEX('DAILY TASK TRACKER'!$B$5:$B$1504,MATCH(SMALL('DAILY TASK TRACKER'!$BB$5:$BB$1504,2),'DAILY TASK TRACKER'!$BB$5:$BB$1504,0))),"")</f>
        <v>Surbhi Pandey</v>
      </c>
      <c r="C74" s="50" t="str">
        <f>IFERROR(IF(INDEX('DAILY TASK TRACKER'!$C$5:$C$1504,MATCH(SMALL('DAILY TASK TRACKER'!$BB$5:$BB$1504,2),'DAILY TASK TRACKER'!$BB$5:$BB$1504,0))="","",INDEX('DAILY TASK TRACKER'!$C$5:$C$1504,MATCH(SMALL('DAILY TASK TRACKER'!$BB$5:$BB$1504,2),'DAILY TASK TRACKER'!$BB$5:$BB$1504,0))),"")</f>
        <v>SAP</v>
      </c>
      <c r="D74" s="50" t="str">
        <f>IFERROR(IF(INDEX('DAILY TASK TRACKER'!$I$5:$I$1504,MATCH(SMALL('DAILY TASK TRACKER'!$BB$5:$BB$1504,2),'DAILY TASK TRACKER'!$BB$5:$BB$1504,0))="","",INDEX('DAILY TASK TRACKER'!$I$5:$I$1504,MATCH(SMALL('DAILY TASK TRACKER'!$BB$5:$BB$1504,2),'DAILY TASK TRACKER'!$BB$5:$BB$1504,0))),"")</f>
        <v/>
      </c>
      <c r="E74" s="55">
        <f>IFERROR(IF(INDEX('DAILY TASK TRACKER'!$L$5:$L$1504,MATCH(SMALL('DAILY TASK TRACKER'!$BB$5:$BB$1504,2),'DAILY TASK TRACKER'!$BB$5:$BB$1504,0))="","",INDEX('DAILY TASK TRACKER'!$L$5:$L$1504,MATCH(SMALL('DAILY TASK TRACKER'!$BB$5:$BB$1504,2),'DAILY TASK TRACKER'!$BB$5:$BB$1504,0))),"")</f>
        <v>46290.0</v>
      </c>
      <c r="F74" s="50" t="str">
        <f>IFERROR(IF(INDEX('DAILY TASK TRACKER'!$M$5:$M$1504,MATCH(SMALL('DAILY TASK TRACKER'!$BB$5:$BB$1504,2),'DAILY TASK TRACKER'!$BB$5:$BB$1504,0))="","",INDEX('DAILY TASK TRACKER'!$M$5:$M$1504,MATCH(SMALL('DAILY TASK TRACKER'!$BB$5:$BB$1504,2),'DAILY TASK TRACKER'!$BB$5:$BB$1504,0))),"")</f>
        <v/>
      </c>
      <c r="G74" s="52">
        <f>IFERROR(IF(INDEX('DAILY TASK TRACKER'!$AD$5:$AD$1504,MATCH(SMALL('DAILY TASK TRACKER'!$BB$5:$BB$1504,2),'DAILY TASK TRACKER'!$BB$5:$BB$1504,0))="","",INDEX('DAILY TASK TRACKER'!$AD$5:$AD$1504,MATCH(SMALL('DAILY TASK TRACKER'!$BB$5:$BB$1504,2),'DAILY TASK TRACKER'!$BB$5:$BB$1504,0))),"")</f>
        <v>10</v>
      </c>
      <c r="H74" s="50" t="str">
        <f>IFERROR(IF(INDEX('DAILY TASK TRACKER'!$T$5:$T$1504,MATCH(SMALL('DAILY TASK TRACKER'!$BB$5:$BB$1504,2),'DAILY TASK TRACKER'!$BB$5:$BB$1504,0))="","",INDEX('DAILY TASK TRACKER'!$T$5:$T$1504,MATCH(SMALL('DAILY TASK TRACKER'!$BB$5:$BB$1504,2),'DAILY TASK TRACKER'!$BB$5:$BB$1504,0))),"")</f>
        <v/>
      </c>
    </row>
    <row r="75" ht="26" customHeight="1">
      <c r="A75" s="50" t="str">
        <f>IFERROR(IF(INDEX('DAILY TASK TRACKER'!$G$5:$G$1504,MATCH(SMALL('DAILY TASK TRACKER'!$BB$5:$BB$1504,3),'DAILY TASK TRACKER'!$BB$5:$BB$1504,0))="","",INDEX('DAILY TASK TRACKER'!$G$5:$G$1504,MATCH(SMALL('DAILY TASK TRACKER'!$BB$5:$BB$1504,3),'DAILY TASK TRACKER'!$BB$5:$BB$1504,0))),"")</f>
        <v>Content Syndication - Email + WhatsApp deployment</v>
      </c>
      <c r="B75" s="50" t="str">
        <f>IFERROR(IF(INDEX('DAILY TASK TRACKER'!$B$5:$B$1504,MATCH(SMALL('DAILY TASK TRACKER'!$BB$5:$BB$1504,3),'DAILY TASK TRACKER'!$BB$5:$BB$1504,0))="","",INDEX('DAILY TASK TRACKER'!$B$5:$B$1504,MATCH(SMALL('DAILY TASK TRACKER'!$BB$5:$BB$1504,3),'DAILY TASK TRACKER'!$BB$5:$BB$1504,0))),"")</f>
        <v>Surbhi Pandey</v>
      </c>
      <c r="C75" s="50" t="str">
        <f>IFERROR(IF(INDEX('DAILY TASK TRACKER'!$C$5:$C$1504,MATCH(SMALL('DAILY TASK TRACKER'!$BB$5:$BB$1504,3),'DAILY TASK TRACKER'!$BB$5:$BB$1504,0))="","",INDEX('DAILY TASK TRACKER'!$C$5:$C$1504,MATCH(SMALL('DAILY TASK TRACKER'!$BB$5:$BB$1504,3),'DAILY TASK TRACKER'!$BB$5:$BB$1504,0))),"")</f>
        <v>SAP</v>
      </c>
      <c r="D75" s="50" t="str">
        <f>IFERROR(IF(INDEX('DAILY TASK TRACKER'!$I$5:$I$1504,MATCH(SMALL('DAILY TASK TRACKER'!$BB$5:$BB$1504,3),'DAILY TASK TRACKER'!$BB$5:$BB$1504,0))="","",INDEX('DAILY TASK TRACKER'!$I$5:$I$1504,MATCH(SMALL('DAILY TASK TRACKER'!$BB$5:$BB$1504,3),'DAILY TASK TRACKER'!$BB$5:$BB$1504,0))),"")</f>
        <v/>
      </c>
      <c r="E75" s="55">
        <f>IFERROR(IF(INDEX('DAILY TASK TRACKER'!$L$5:$L$1504,MATCH(SMALL('DAILY TASK TRACKER'!$BB$5:$BB$1504,3),'DAILY TASK TRACKER'!$BB$5:$BB$1504,0))="","",INDEX('DAILY TASK TRACKER'!$L$5:$L$1504,MATCH(SMALL('DAILY TASK TRACKER'!$BB$5:$BB$1504,3),'DAILY TASK TRACKER'!$BB$5:$BB$1504,0))),"")</f>
        <v>46295.0</v>
      </c>
      <c r="F75" s="50" t="str">
        <f>IFERROR(IF(INDEX('DAILY TASK TRACKER'!$M$5:$M$1504,MATCH(SMALL('DAILY TASK TRACKER'!$BB$5:$BB$1504,3),'DAILY TASK TRACKER'!$BB$5:$BB$1504,0))="","",INDEX('DAILY TASK TRACKER'!$M$5:$M$1504,MATCH(SMALL('DAILY TASK TRACKER'!$BB$5:$BB$1504,3),'DAILY TASK TRACKER'!$BB$5:$BB$1504,0))),"")</f>
        <v/>
      </c>
      <c r="G75" s="52">
        <f>IFERROR(IF(INDEX('DAILY TASK TRACKER'!$AD$5:$AD$1504,MATCH(SMALL('DAILY TASK TRACKER'!$BB$5:$BB$1504,3),'DAILY TASK TRACKER'!$BB$5:$BB$1504,0))="","",INDEX('DAILY TASK TRACKER'!$AD$5:$AD$1504,MATCH(SMALL('DAILY TASK TRACKER'!$BB$5:$BB$1504,3),'DAILY TASK TRACKER'!$BB$5:$BB$1504,0))),"")</f>
        <v>5</v>
      </c>
      <c r="H75" s="50" t="str">
        <f>IFERROR(IF(INDEX('DAILY TASK TRACKER'!$T$5:$T$1504,MATCH(SMALL('DAILY TASK TRACKER'!$BB$5:$BB$1504,3),'DAILY TASK TRACKER'!$BB$5:$BB$1504,0))="","",INDEX('DAILY TASK TRACKER'!$T$5:$T$1504,MATCH(SMALL('DAILY TASK TRACKER'!$BB$5:$BB$1504,3),'DAILY TASK TRACKER'!$BB$5:$BB$1504,0))),"")</f>
        <v/>
      </c>
    </row>
    <row r="76" ht="26" customHeight="1">
      <c r="A76" s="50" t="str">
        <f>IFERROR(IF(INDEX('DAILY TASK TRACKER'!$G$5:$G$1504,MATCH(SMALL('DAILY TASK TRACKER'!$BB$5:$BB$1504,4),'DAILY TASK TRACKER'!$BB$5:$BB$1504,0))="","",INDEX('DAILY TASK TRACKER'!$G$5:$G$1504,MATCH(SMALL('DAILY TASK TRACKER'!$BB$5:$BB$1504,4),'DAILY TASK TRACKER'!$BB$5:$BB$1504,0))),"")</f>
        <v/>
      </c>
      <c r="B76" s="50" t="str">
        <f>IFERROR(IF(INDEX('DAILY TASK TRACKER'!$B$5:$B$1504,MATCH(SMALL('DAILY TASK TRACKER'!$BB$5:$BB$1504,4),'DAILY TASK TRACKER'!$BB$5:$BB$1504,0))="","",INDEX('DAILY TASK TRACKER'!$B$5:$B$1504,MATCH(SMALL('DAILY TASK TRACKER'!$BB$5:$BB$1504,4),'DAILY TASK TRACKER'!$BB$5:$BB$1504,0))),"")</f>
        <v/>
      </c>
      <c r="C76" s="50" t="str">
        <f>IFERROR(IF(INDEX('DAILY TASK TRACKER'!$C$5:$C$1504,MATCH(SMALL('DAILY TASK TRACKER'!$BB$5:$BB$1504,4),'DAILY TASK TRACKER'!$BB$5:$BB$1504,0))="","",INDEX('DAILY TASK TRACKER'!$C$5:$C$1504,MATCH(SMALL('DAILY TASK TRACKER'!$BB$5:$BB$1504,4),'DAILY TASK TRACKER'!$BB$5:$BB$1504,0))),"")</f>
        <v/>
      </c>
      <c r="D76" s="50" t="str">
        <f>IFERROR(IF(INDEX('DAILY TASK TRACKER'!$I$5:$I$1504,MATCH(SMALL('DAILY TASK TRACKER'!$BB$5:$BB$1504,4),'DAILY TASK TRACKER'!$BB$5:$BB$1504,0))="","",INDEX('DAILY TASK TRACKER'!$I$5:$I$1504,MATCH(SMALL('DAILY TASK TRACKER'!$BB$5:$BB$1504,4),'DAILY TASK TRACKER'!$BB$5:$BB$1504,0))),"")</f>
        <v/>
      </c>
      <c r="E76" s="55" t="str">
        <f>IFERROR(IF(INDEX('DAILY TASK TRACKER'!$L$5:$L$1504,MATCH(SMALL('DAILY TASK TRACKER'!$BB$5:$BB$1504,4),'DAILY TASK TRACKER'!$BB$5:$BB$1504,0))="","",INDEX('DAILY TASK TRACKER'!$L$5:$L$1504,MATCH(SMALL('DAILY TASK TRACKER'!$BB$5:$BB$1504,4),'DAILY TASK TRACKER'!$BB$5:$BB$1504,0))),"")</f>
        <v/>
      </c>
      <c r="F76" s="50" t="str">
        <f>IFERROR(IF(INDEX('DAILY TASK TRACKER'!$M$5:$M$1504,MATCH(SMALL('DAILY TASK TRACKER'!$BB$5:$BB$1504,4),'DAILY TASK TRACKER'!$BB$5:$BB$1504,0))="","",INDEX('DAILY TASK TRACKER'!$M$5:$M$1504,MATCH(SMALL('DAILY TASK TRACKER'!$BB$5:$BB$1504,4),'DAILY TASK TRACKER'!$BB$5:$BB$1504,0))),"")</f>
        <v/>
      </c>
      <c r="G76" s="52" t="str">
        <f>IFERROR(IF(INDEX('DAILY TASK TRACKER'!$AD$5:$AD$1504,MATCH(SMALL('DAILY TASK TRACKER'!$BB$5:$BB$1504,4),'DAILY TASK TRACKER'!$BB$5:$BB$1504,0))="","",INDEX('DAILY TASK TRACKER'!$AD$5:$AD$1504,MATCH(SMALL('DAILY TASK TRACKER'!$BB$5:$BB$1504,4),'DAILY TASK TRACKER'!$BB$5:$BB$1504,0))),"")</f>
        <v/>
      </c>
      <c r="H76" s="50" t="str">
        <f>IFERROR(IF(INDEX('DAILY TASK TRACKER'!$T$5:$T$1504,MATCH(SMALL('DAILY TASK TRACKER'!$BB$5:$BB$1504,4),'DAILY TASK TRACKER'!$BB$5:$BB$1504,0))="","",INDEX('DAILY TASK TRACKER'!$T$5:$T$1504,MATCH(SMALL('DAILY TASK TRACKER'!$BB$5:$BB$1504,4),'DAILY TASK TRACKER'!$BB$5:$BB$1504,0))),"")</f>
        <v/>
      </c>
    </row>
    <row r="77" ht="26" customHeight="1">
      <c r="A77" s="50" t="str">
        <f>IFERROR(IF(INDEX('DAILY TASK TRACKER'!$G$5:$G$1504,MATCH(SMALL('DAILY TASK TRACKER'!$BB$5:$BB$1504,5),'DAILY TASK TRACKER'!$BB$5:$BB$1504,0))="","",INDEX('DAILY TASK TRACKER'!$G$5:$G$1504,MATCH(SMALL('DAILY TASK TRACKER'!$BB$5:$BB$1504,5),'DAILY TASK TRACKER'!$BB$5:$BB$1504,0))),"")</f>
        <v/>
      </c>
      <c r="B77" s="50" t="str">
        <f>IFERROR(IF(INDEX('DAILY TASK TRACKER'!$B$5:$B$1504,MATCH(SMALL('DAILY TASK TRACKER'!$BB$5:$BB$1504,5),'DAILY TASK TRACKER'!$BB$5:$BB$1504,0))="","",INDEX('DAILY TASK TRACKER'!$B$5:$B$1504,MATCH(SMALL('DAILY TASK TRACKER'!$BB$5:$BB$1504,5),'DAILY TASK TRACKER'!$BB$5:$BB$1504,0))),"")</f>
        <v/>
      </c>
      <c r="C77" s="50" t="str">
        <f>IFERROR(IF(INDEX('DAILY TASK TRACKER'!$C$5:$C$1504,MATCH(SMALL('DAILY TASK TRACKER'!$BB$5:$BB$1504,5),'DAILY TASK TRACKER'!$BB$5:$BB$1504,0))="","",INDEX('DAILY TASK TRACKER'!$C$5:$C$1504,MATCH(SMALL('DAILY TASK TRACKER'!$BB$5:$BB$1504,5),'DAILY TASK TRACKER'!$BB$5:$BB$1504,0))),"")</f>
        <v/>
      </c>
      <c r="D77" s="50" t="str">
        <f>IFERROR(IF(INDEX('DAILY TASK TRACKER'!$I$5:$I$1504,MATCH(SMALL('DAILY TASK TRACKER'!$BB$5:$BB$1504,5),'DAILY TASK TRACKER'!$BB$5:$BB$1504,0))="","",INDEX('DAILY TASK TRACKER'!$I$5:$I$1504,MATCH(SMALL('DAILY TASK TRACKER'!$BB$5:$BB$1504,5),'DAILY TASK TRACKER'!$BB$5:$BB$1504,0))),"")</f>
        <v/>
      </c>
      <c r="E77" s="55" t="str">
        <f>IFERROR(IF(INDEX('DAILY TASK TRACKER'!$L$5:$L$1504,MATCH(SMALL('DAILY TASK TRACKER'!$BB$5:$BB$1504,5),'DAILY TASK TRACKER'!$BB$5:$BB$1504,0))="","",INDEX('DAILY TASK TRACKER'!$L$5:$L$1504,MATCH(SMALL('DAILY TASK TRACKER'!$BB$5:$BB$1504,5),'DAILY TASK TRACKER'!$BB$5:$BB$1504,0))),"")</f>
        <v/>
      </c>
      <c r="F77" s="50" t="str">
        <f>IFERROR(IF(INDEX('DAILY TASK TRACKER'!$M$5:$M$1504,MATCH(SMALL('DAILY TASK TRACKER'!$BB$5:$BB$1504,5),'DAILY TASK TRACKER'!$BB$5:$BB$1504,0))="","",INDEX('DAILY TASK TRACKER'!$M$5:$M$1504,MATCH(SMALL('DAILY TASK TRACKER'!$BB$5:$BB$1504,5),'DAILY TASK TRACKER'!$BB$5:$BB$1504,0))),"")</f>
        <v/>
      </c>
      <c r="G77" s="52" t="str">
        <f>IFERROR(IF(INDEX('DAILY TASK TRACKER'!$AD$5:$AD$1504,MATCH(SMALL('DAILY TASK TRACKER'!$BB$5:$BB$1504,5),'DAILY TASK TRACKER'!$BB$5:$BB$1504,0))="","",INDEX('DAILY TASK TRACKER'!$AD$5:$AD$1504,MATCH(SMALL('DAILY TASK TRACKER'!$BB$5:$BB$1504,5),'DAILY TASK TRACKER'!$BB$5:$BB$1504,0))),"")</f>
        <v/>
      </c>
      <c r="H77" s="50" t="str">
        <f>IFERROR(IF(INDEX('DAILY TASK TRACKER'!$T$5:$T$1504,MATCH(SMALL('DAILY TASK TRACKER'!$BB$5:$BB$1504,5),'DAILY TASK TRACKER'!$BB$5:$BB$1504,0))="","",INDEX('DAILY TASK TRACKER'!$T$5:$T$1504,MATCH(SMALL('DAILY TASK TRACKER'!$BB$5:$BB$1504,5),'DAILY TASK TRACKER'!$BB$5:$BB$1504,0))),"")</f>
        <v/>
      </c>
    </row>
    <row r="78" ht="26" customHeight="1">
      <c r="A78" s="50" t="str">
        <f>IFERROR(IF(INDEX('DAILY TASK TRACKER'!$G$5:$G$1504,MATCH(SMALL('DAILY TASK TRACKER'!$BB$5:$BB$1504,6),'DAILY TASK TRACKER'!$BB$5:$BB$1504,0))="","",INDEX('DAILY TASK TRACKER'!$G$5:$G$1504,MATCH(SMALL('DAILY TASK TRACKER'!$BB$5:$BB$1504,6),'DAILY TASK TRACKER'!$BB$5:$BB$1504,0))),"")</f>
        <v/>
      </c>
      <c r="B78" s="50" t="str">
        <f>IFERROR(IF(INDEX('DAILY TASK TRACKER'!$B$5:$B$1504,MATCH(SMALL('DAILY TASK TRACKER'!$BB$5:$BB$1504,6),'DAILY TASK TRACKER'!$BB$5:$BB$1504,0))="","",INDEX('DAILY TASK TRACKER'!$B$5:$B$1504,MATCH(SMALL('DAILY TASK TRACKER'!$BB$5:$BB$1504,6),'DAILY TASK TRACKER'!$BB$5:$BB$1504,0))),"")</f>
        <v/>
      </c>
      <c r="C78" s="50" t="str">
        <f>IFERROR(IF(INDEX('DAILY TASK TRACKER'!$C$5:$C$1504,MATCH(SMALL('DAILY TASK TRACKER'!$BB$5:$BB$1504,6),'DAILY TASK TRACKER'!$BB$5:$BB$1504,0))="","",INDEX('DAILY TASK TRACKER'!$C$5:$C$1504,MATCH(SMALL('DAILY TASK TRACKER'!$BB$5:$BB$1504,6),'DAILY TASK TRACKER'!$BB$5:$BB$1504,0))),"")</f>
        <v/>
      </c>
      <c r="D78" s="50" t="str">
        <f>IFERROR(IF(INDEX('DAILY TASK TRACKER'!$I$5:$I$1504,MATCH(SMALL('DAILY TASK TRACKER'!$BB$5:$BB$1504,6),'DAILY TASK TRACKER'!$BB$5:$BB$1504,0))="","",INDEX('DAILY TASK TRACKER'!$I$5:$I$1504,MATCH(SMALL('DAILY TASK TRACKER'!$BB$5:$BB$1504,6),'DAILY TASK TRACKER'!$BB$5:$BB$1504,0))),"")</f>
        <v/>
      </c>
      <c r="E78" s="55" t="str">
        <f>IFERROR(IF(INDEX('DAILY TASK TRACKER'!$L$5:$L$1504,MATCH(SMALL('DAILY TASK TRACKER'!$BB$5:$BB$1504,6),'DAILY TASK TRACKER'!$BB$5:$BB$1504,0))="","",INDEX('DAILY TASK TRACKER'!$L$5:$L$1504,MATCH(SMALL('DAILY TASK TRACKER'!$BB$5:$BB$1504,6),'DAILY TASK TRACKER'!$BB$5:$BB$1504,0))),"")</f>
        <v/>
      </c>
      <c r="F78" s="50" t="str">
        <f>IFERROR(IF(INDEX('DAILY TASK TRACKER'!$M$5:$M$1504,MATCH(SMALL('DAILY TASK TRACKER'!$BB$5:$BB$1504,6),'DAILY TASK TRACKER'!$BB$5:$BB$1504,0))="","",INDEX('DAILY TASK TRACKER'!$M$5:$M$1504,MATCH(SMALL('DAILY TASK TRACKER'!$BB$5:$BB$1504,6),'DAILY TASK TRACKER'!$BB$5:$BB$1504,0))),"")</f>
        <v/>
      </c>
      <c r="G78" s="52" t="str">
        <f>IFERROR(IF(INDEX('DAILY TASK TRACKER'!$AD$5:$AD$1504,MATCH(SMALL('DAILY TASK TRACKER'!$BB$5:$BB$1504,6),'DAILY TASK TRACKER'!$BB$5:$BB$1504,0))="","",INDEX('DAILY TASK TRACKER'!$AD$5:$AD$1504,MATCH(SMALL('DAILY TASK TRACKER'!$BB$5:$BB$1504,6),'DAILY TASK TRACKER'!$BB$5:$BB$1504,0))),"")</f>
        <v/>
      </c>
      <c r="H78" s="50" t="str">
        <f>IFERROR(IF(INDEX('DAILY TASK TRACKER'!$T$5:$T$1504,MATCH(SMALL('DAILY TASK TRACKER'!$BB$5:$BB$1504,6),'DAILY TASK TRACKER'!$BB$5:$BB$1504,0))="","",INDEX('DAILY TASK TRACKER'!$T$5:$T$1504,MATCH(SMALL('DAILY TASK TRACKER'!$BB$5:$BB$1504,6),'DAILY TASK TRACKER'!$BB$5:$BB$1504,0))),"")</f>
        <v/>
      </c>
    </row>
    <row r="80" ht="20" customHeight="1">
      <c r="A80" s="37" t="inlineStr">
        <is>
          <t>High-priority blockers</t>
        </is>
      </c>
      <c r="B80" s="33" t="n"/>
      <c r="C80" s="33" t="n"/>
      <c r="D80" s="33" t="n"/>
      <c r="E80" s="33" t="n"/>
      <c r="F80" s="33" t="n"/>
      <c r="G80" s="33" t="n"/>
      <c r="H80" s="33" t="n"/>
    </row>
    <row r="81" ht="22" customHeight="1">
      <c r="A81" s="38" t="inlineStr">
        <is>
          <t>Task</t>
        </is>
      </c>
      <c r="B81" s="38" t="inlineStr">
        <is>
          <t>Team Member</t>
        </is>
      </c>
      <c r="C81" s="38" t="inlineStr">
        <is>
          <t>Client</t>
        </is>
      </c>
      <c r="D81" s="38" t="inlineStr">
        <is>
          <t>Priority</t>
        </is>
      </c>
      <c r="E81" s="38" t="inlineStr">
        <is>
          <t>Due</t>
        </is>
      </c>
      <c r="F81" s="38" t="inlineStr">
        <is>
          <t>Status</t>
        </is>
      </c>
      <c r="G81" s="38" t="inlineStr">
        <is>
          <t>Days Overdue</t>
        </is>
      </c>
      <c r="H81" s="38" t="inlineStr">
        <is>
          <t>Blocker / Next Action</t>
        </is>
      </c>
    </row>
    <row r="82" ht="26" customHeight="1">
      <c r="A82" s="49" t="str">
        <f>IFERROR(IF(INDEX('DAILY TASK TRACKER'!$G$5:$G$1504,MATCH(SMALL('DAILY TASK TRACKER'!$BK$5:$BK$1504,1),'DAILY TASK TRACKER'!$BK$5:$BK$1504,0))="","",INDEX('DAILY TASK TRACKER'!$G$5:$G$1504,MATCH(SMALL('DAILY TASK TRACKER'!$BK$5:$BK$1504,1),'DAILY TASK TRACKER'!$BK$5:$BK$1504,0))),"- none -")</f>
        <v>- none -</v>
      </c>
      <c r="B82" s="50" t="str">
        <f>IFERROR(IF(INDEX('DAILY TASK TRACKER'!$B$5:$B$1504,MATCH(SMALL('DAILY TASK TRACKER'!$BK$5:$BK$1504,1),'DAILY TASK TRACKER'!$BK$5:$BK$1504,0))="","",INDEX('DAILY TASK TRACKER'!$B$5:$B$1504,MATCH(SMALL('DAILY TASK TRACKER'!$BK$5:$BK$1504,1),'DAILY TASK TRACKER'!$BK$5:$BK$1504,0))),"")</f>
        <v/>
      </c>
      <c r="C82" s="50" t="str">
        <f>IFERROR(IF(INDEX('DAILY TASK TRACKER'!$C$5:$C$1504,MATCH(SMALL('DAILY TASK TRACKER'!$BK$5:$BK$1504,1),'DAILY TASK TRACKER'!$BK$5:$BK$1504,0))="","",INDEX('DAILY TASK TRACKER'!$C$5:$C$1504,MATCH(SMALL('DAILY TASK TRACKER'!$BK$5:$BK$1504,1),'DAILY TASK TRACKER'!$BK$5:$BK$1504,0))),"")</f>
        <v/>
      </c>
      <c r="D82" s="50" t="str">
        <f>IFERROR(IF(INDEX('DAILY TASK TRACKER'!$I$5:$I$1504,MATCH(SMALL('DAILY TASK TRACKER'!$BK$5:$BK$1504,1),'DAILY TASK TRACKER'!$BK$5:$BK$1504,0))="","",INDEX('DAILY TASK TRACKER'!$I$5:$I$1504,MATCH(SMALL('DAILY TASK TRACKER'!$BK$5:$BK$1504,1),'DAILY TASK TRACKER'!$BK$5:$BK$1504,0))),"")</f>
        <v/>
      </c>
      <c r="E82" s="55" t="str">
        <f>IFERROR(IF(INDEX('DAILY TASK TRACKER'!$L$5:$L$1504,MATCH(SMALL('DAILY TASK TRACKER'!$BK$5:$BK$1504,1),'DAILY TASK TRACKER'!$BK$5:$BK$1504,0))="","",INDEX('DAILY TASK TRACKER'!$L$5:$L$1504,MATCH(SMALL('DAILY TASK TRACKER'!$BK$5:$BK$1504,1),'DAILY TASK TRACKER'!$BK$5:$BK$1504,0))),"")</f>
        <v/>
      </c>
      <c r="F82" s="50" t="str">
        <f>IFERROR(IF(INDEX('DAILY TASK TRACKER'!$M$5:$M$1504,MATCH(SMALL('DAILY TASK TRACKER'!$BK$5:$BK$1504,1),'DAILY TASK TRACKER'!$BK$5:$BK$1504,0))="","",INDEX('DAILY TASK TRACKER'!$M$5:$M$1504,MATCH(SMALL('DAILY TASK TRACKER'!$BK$5:$BK$1504,1),'DAILY TASK TRACKER'!$BK$5:$BK$1504,0))),"")</f>
        <v/>
      </c>
      <c r="G82" s="52" t="str">
        <f>IFERROR(IF(INDEX('DAILY TASK TRACKER'!$AD$5:$AD$1504,MATCH(SMALL('DAILY TASK TRACKER'!$BK$5:$BK$1504,1),'DAILY TASK TRACKER'!$BK$5:$BK$1504,0))="","",INDEX('DAILY TASK TRACKER'!$AD$5:$AD$1504,MATCH(SMALL('DAILY TASK TRACKER'!$BK$5:$BK$1504,1),'DAILY TASK TRACKER'!$BK$5:$BK$1504,0))),"")</f>
        <v/>
      </c>
      <c r="H82" s="50" t="str">
        <f>IFERROR(IF(INDEX('DAILY TASK TRACKER'!$T$5:$T$1504,MATCH(SMALL('DAILY TASK TRACKER'!$BK$5:$BK$1504,1),'DAILY TASK TRACKER'!$BK$5:$BK$1504,0))="","",INDEX('DAILY TASK TRACKER'!$T$5:$T$1504,MATCH(SMALL('DAILY TASK TRACKER'!$BK$5:$BK$1504,1),'DAILY TASK TRACKER'!$BK$5:$BK$1504,0))),"")</f>
        <v/>
      </c>
    </row>
    <row r="83" ht="26" customHeight="1">
      <c r="A83" s="50" t="str">
        <f>IFERROR(IF(INDEX('DAILY TASK TRACKER'!$G$5:$G$1504,MATCH(SMALL('DAILY TASK TRACKER'!$BK$5:$BK$1504,2),'DAILY TASK TRACKER'!$BK$5:$BK$1504,0))="","",INDEX('DAILY TASK TRACKER'!$G$5:$G$1504,MATCH(SMALL('DAILY TASK TRACKER'!$BK$5:$BK$1504,2),'DAILY TASK TRACKER'!$BK$5:$BK$1504,0))),"")</f>
        <v/>
      </c>
      <c r="B83" s="50" t="str">
        <f>IFERROR(IF(INDEX('DAILY TASK TRACKER'!$B$5:$B$1504,MATCH(SMALL('DAILY TASK TRACKER'!$BK$5:$BK$1504,2),'DAILY TASK TRACKER'!$BK$5:$BK$1504,0))="","",INDEX('DAILY TASK TRACKER'!$B$5:$B$1504,MATCH(SMALL('DAILY TASK TRACKER'!$BK$5:$BK$1504,2),'DAILY TASK TRACKER'!$BK$5:$BK$1504,0))),"")</f>
        <v/>
      </c>
      <c r="C83" s="50" t="str">
        <f>IFERROR(IF(INDEX('DAILY TASK TRACKER'!$C$5:$C$1504,MATCH(SMALL('DAILY TASK TRACKER'!$BK$5:$BK$1504,2),'DAILY TASK TRACKER'!$BK$5:$BK$1504,0))="","",INDEX('DAILY TASK TRACKER'!$C$5:$C$1504,MATCH(SMALL('DAILY TASK TRACKER'!$BK$5:$BK$1504,2),'DAILY TASK TRACKER'!$BK$5:$BK$1504,0))),"")</f>
        <v/>
      </c>
      <c r="D83" s="50" t="str">
        <f>IFERROR(IF(INDEX('DAILY TASK TRACKER'!$I$5:$I$1504,MATCH(SMALL('DAILY TASK TRACKER'!$BK$5:$BK$1504,2),'DAILY TASK TRACKER'!$BK$5:$BK$1504,0))="","",INDEX('DAILY TASK TRACKER'!$I$5:$I$1504,MATCH(SMALL('DAILY TASK TRACKER'!$BK$5:$BK$1504,2),'DAILY TASK TRACKER'!$BK$5:$BK$1504,0))),"")</f>
        <v/>
      </c>
      <c r="E83" s="55" t="str">
        <f>IFERROR(IF(INDEX('DAILY TASK TRACKER'!$L$5:$L$1504,MATCH(SMALL('DAILY TASK TRACKER'!$BK$5:$BK$1504,2),'DAILY TASK TRACKER'!$BK$5:$BK$1504,0))="","",INDEX('DAILY TASK TRACKER'!$L$5:$L$1504,MATCH(SMALL('DAILY TASK TRACKER'!$BK$5:$BK$1504,2),'DAILY TASK TRACKER'!$BK$5:$BK$1504,0))),"")</f>
        <v/>
      </c>
      <c r="F83" s="50" t="str">
        <f>IFERROR(IF(INDEX('DAILY TASK TRACKER'!$M$5:$M$1504,MATCH(SMALL('DAILY TASK TRACKER'!$BK$5:$BK$1504,2),'DAILY TASK TRACKER'!$BK$5:$BK$1504,0))="","",INDEX('DAILY TASK TRACKER'!$M$5:$M$1504,MATCH(SMALL('DAILY TASK TRACKER'!$BK$5:$BK$1504,2),'DAILY TASK TRACKER'!$BK$5:$BK$1504,0))),"")</f>
        <v/>
      </c>
      <c r="G83" s="52" t="str">
        <f>IFERROR(IF(INDEX('DAILY TASK TRACKER'!$AD$5:$AD$1504,MATCH(SMALL('DAILY TASK TRACKER'!$BK$5:$BK$1504,2),'DAILY TASK TRACKER'!$BK$5:$BK$1504,0))="","",INDEX('DAILY TASK TRACKER'!$AD$5:$AD$1504,MATCH(SMALL('DAILY TASK TRACKER'!$BK$5:$BK$1504,2),'DAILY TASK TRACKER'!$BK$5:$BK$1504,0))),"")</f>
        <v/>
      </c>
      <c r="H83" s="50" t="str">
        <f>IFERROR(IF(INDEX('DAILY TASK TRACKER'!$T$5:$T$1504,MATCH(SMALL('DAILY TASK TRACKER'!$BK$5:$BK$1504,2),'DAILY TASK TRACKER'!$BK$5:$BK$1504,0))="","",INDEX('DAILY TASK TRACKER'!$T$5:$T$1504,MATCH(SMALL('DAILY TASK TRACKER'!$BK$5:$BK$1504,2),'DAILY TASK TRACKER'!$BK$5:$BK$1504,0))),"")</f>
        <v/>
      </c>
    </row>
    <row r="84" ht="26" customHeight="1">
      <c r="A84" s="50" t="str">
        <f>IFERROR(IF(INDEX('DAILY TASK TRACKER'!$G$5:$G$1504,MATCH(SMALL('DAILY TASK TRACKER'!$BK$5:$BK$1504,3),'DAILY TASK TRACKER'!$BK$5:$BK$1504,0))="","",INDEX('DAILY TASK TRACKER'!$G$5:$G$1504,MATCH(SMALL('DAILY TASK TRACKER'!$BK$5:$BK$1504,3),'DAILY TASK TRACKER'!$BK$5:$BK$1504,0))),"")</f>
        <v/>
      </c>
      <c r="B84" s="50" t="str">
        <f>IFERROR(IF(INDEX('DAILY TASK TRACKER'!$B$5:$B$1504,MATCH(SMALL('DAILY TASK TRACKER'!$BK$5:$BK$1504,3),'DAILY TASK TRACKER'!$BK$5:$BK$1504,0))="","",INDEX('DAILY TASK TRACKER'!$B$5:$B$1504,MATCH(SMALL('DAILY TASK TRACKER'!$BK$5:$BK$1504,3),'DAILY TASK TRACKER'!$BK$5:$BK$1504,0))),"")</f>
        <v/>
      </c>
      <c r="C84" s="50" t="str">
        <f>IFERROR(IF(INDEX('DAILY TASK TRACKER'!$C$5:$C$1504,MATCH(SMALL('DAILY TASK TRACKER'!$BK$5:$BK$1504,3),'DAILY TASK TRACKER'!$BK$5:$BK$1504,0))="","",INDEX('DAILY TASK TRACKER'!$C$5:$C$1504,MATCH(SMALL('DAILY TASK TRACKER'!$BK$5:$BK$1504,3),'DAILY TASK TRACKER'!$BK$5:$BK$1504,0))),"")</f>
        <v/>
      </c>
      <c r="D84" s="50" t="str">
        <f>IFERROR(IF(INDEX('DAILY TASK TRACKER'!$I$5:$I$1504,MATCH(SMALL('DAILY TASK TRACKER'!$BK$5:$BK$1504,3),'DAILY TASK TRACKER'!$BK$5:$BK$1504,0))="","",INDEX('DAILY TASK TRACKER'!$I$5:$I$1504,MATCH(SMALL('DAILY TASK TRACKER'!$BK$5:$BK$1504,3),'DAILY TASK TRACKER'!$BK$5:$BK$1504,0))),"")</f>
        <v/>
      </c>
      <c r="E84" s="55" t="str">
        <f>IFERROR(IF(INDEX('DAILY TASK TRACKER'!$L$5:$L$1504,MATCH(SMALL('DAILY TASK TRACKER'!$BK$5:$BK$1504,3),'DAILY TASK TRACKER'!$BK$5:$BK$1504,0))="","",INDEX('DAILY TASK TRACKER'!$L$5:$L$1504,MATCH(SMALL('DAILY TASK TRACKER'!$BK$5:$BK$1504,3),'DAILY TASK TRACKER'!$BK$5:$BK$1504,0))),"")</f>
        <v/>
      </c>
      <c r="F84" s="50" t="str">
        <f>IFERROR(IF(INDEX('DAILY TASK TRACKER'!$M$5:$M$1504,MATCH(SMALL('DAILY TASK TRACKER'!$BK$5:$BK$1504,3),'DAILY TASK TRACKER'!$BK$5:$BK$1504,0))="","",INDEX('DAILY TASK TRACKER'!$M$5:$M$1504,MATCH(SMALL('DAILY TASK TRACKER'!$BK$5:$BK$1504,3),'DAILY TASK TRACKER'!$BK$5:$BK$1504,0))),"")</f>
        <v/>
      </c>
      <c r="G84" s="52" t="str">
        <f>IFERROR(IF(INDEX('DAILY TASK TRACKER'!$AD$5:$AD$1504,MATCH(SMALL('DAILY TASK TRACKER'!$BK$5:$BK$1504,3),'DAILY TASK TRACKER'!$BK$5:$BK$1504,0))="","",INDEX('DAILY TASK TRACKER'!$AD$5:$AD$1504,MATCH(SMALL('DAILY TASK TRACKER'!$BK$5:$BK$1504,3),'DAILY TASK TRACKER'!$BK$5:$BK$1504,0))),"")</f>
        <v/>
      </c>
      <c r="H84" s="50" t="str">
        <f>IFERROR(IF(INDEX('DAILY TASK TRACKER'!$T$5:$T$1504,MATCH(SMALL('DAILY TASK TRACKER'!$BK$5:$BK$1504,3),'DAILY TASK TRACKER'!$BK$5:$BK$1504,0))="","",INDEX('DAILY TASK TRACKER'!$T$5:$T$1504,MATCH(SMALL('DAILY TASK TRACKER'!$BK$5:$BK$1504,3),'DAILY TASK TRACKER'!$BK$5:$BK$1504,0))),"")</f>
        <v/>
      </c>
    </row>
    <row r="85" ht="26" customHeight="1">
      <c r="A85" s="50" t="str">
        <f>IFERROR(IF(INDEX('DAILY TASK TRACKER'!$G$5:$G$1504,MATCH(SMALL('DAILY TASK TRACKER'!$BK$5:$BK$1504,4),'DAILY TASK TRACKER'!$BK$5:$BK$1504,0))="","",INDEX('DAILY TASK TRACKER'!$G$5:$G$1504,MATCH(SMALL('DAILY TASK TRACKER'!$BK$5:$BK$1504,4),'DAILY TASK TRACKER'!$BK$5:$BK$1504,0))),"")</f>
        <v/>
      </c>
      <c r="B85" s="50" t="str">
        <f>IFERROR(IF(INDEX('DAILY TASK TRACKER'!$B$5:$B$1504,MATCH(SMALL('DAILY TASK TRACKER'!$BK$5:$BK$1504,4),'DAILY TASK TRACKER'!$BK$5:$BK$1504,0))="","",INDEX('DAILY TASK TRACKER'!$B$5:$B$1504,MATCH(SMALL('DAILY TASK TRACKER'!$BK$5:$BK$1504,4),'DAILY TASK TRACKER'!$BK$5:$BK$1504,0))),"")</f>
        <v/>
      </c>
      <c r="C85" s="50" t="str">
        <f>IFERROR(IF(INDEX('DAILY TASK TRACKER'!$C$5:$C$1504,MATCH(SMALL('DAILY TASK TRACKER'!$BK$5:$BK$1504,4),'DAILY TASK TRACKER'!$BK$5:$BK$1504,0))="","",INDEX('DAILY TASK TRACKER'!$C$5:$C$1504,MATCH(SMALL('DAILY TASK TRACKER'!$BK$5:$BK$1504,4),'DAILY TASK TRACKER'!$BK$5:$BK$1504,0))),"")</f>
        <v/>
      </c>
      <c r="D85" s="50" t="str">
        <f>IFERROR(IF(INDEX('DAILY TASK TRACKER'!$I$5:$I$1504,MATCH(SMALL('DAILY TASK TRACKER'!$BK$5:$BK$1504,4),'DAILY TASK TRACKER'!$BK$5:$BK$1504,0))="","",INDEX('DAILY TASK TRACKER'!$I$5:$I$1504,MATCH(SMALL('DAILY TASK TRACKER'!$BK$5:$BK$1504,4),'DAILY TASK TRACKER'!$BK$5:$BK$1504,0))),"")</f>
        <v/>
      </c>
      <c r="E85" s="55" t="str">
        <f>IFERROR(IF(INDEX('DAILY TASK TRACKER'!$L$5:$L$1504,MATCH(SMALL('DAILY TASK TRACKER'!$BK$5:$BK$1504,4),'DAILY TASK TRACKER'!$BK$5:$BK$1504,0))="","",INDEX('DAILY TASK TRACKER'!$L$5:$L$1504,MATCH(SMALL('DAILY TASK TRACKER'!$BK$5:$BK$1504,4),'DAILY TASK TRACKER'!$BK$5:$BK$1504,0))),"")</f>
        <v/>
      </c>
      <c r="F85" s="50" t="str">
        <f>IFERROR(IF(INDEX('DAILY TASK TRACKER'!$M$5:$M$1504,MATCH(SMALL('DAILY TASK TRACKER'!$BK$5:$BK$1504,4),'DAILY TASK TRACKER'!$BK$5:$BK$1504,0))="","",INDEX('DAILY TASK TRACKER'!$M$5:$M$1504,MATCH(SMALL('DAILY TASK TRACKER'!$BK$5:$BK$1504,4),'DAILY TASK TRACKER'!$BK$5:$BK$1504,0))),"")</f>
        <v/>
      </c>
      <c r="G85" s="52" t="str">
        <f>IFERROR(IF(INDEX('DAILY TASK TRACKER'!$AD$5:$AD$1504,MATCH(SMALL('DAILY TASK TRACKER'!$BK$5:$BK$1504,4),'DAILY TASK TRACKER'!$BK$5:$BK$1504,0))="","",INDEX('DAILY TASK TRACKER'!$AD$5:$AD$1504,MATCH(SMALL('DAILY TASK TRACKER'!$BK$5:$BK$1504,4),'DAILY TASK TRACKER'!$BK$5:$BK$1504,0))),"")</f>
        <v/>
      </c>
      <c r="H85" s="50" t="str">
        <f>IFERROR(IF(INDEX('DAILY TASK TRACKER'!$T$5:$T$1504,MATCH(SMALL('DAILY TASK TRACKER'!$BK$5:$BK$1504,4),'DAILY TASK TRACKER'!$BK$5:$BK$1504,0))="","",INDEX('DAILY TASK TRACKER'!$T$5:$T$1504,MATCH(SMALL('DAILY TASK TRACKER'!$BK$5:$BK$1504,4),'DAILY TASK TRACKER'!$BK$5:$BK$1504,0))),"")</f>
        <v/>
      </c>
    </row>
    <row r="86" ht="26" customHeight="1">
      <c r="A86" s="50" t="str">
        <f>IFERROR(IF(INDEX('DAILY TASK TRACKER'!$G$5:$G$1504,MATCH(SMALL('DAILY TASK TRACKER'!$BK$5:$BK$1504,5),'DAILY TASK TRACKER'!$BK$5:$BK$1504,0))="","",INDEX('DAILY TASK TRACKER'!$G$5:$G$1504,MATCH(SMALL('DAILY TASK TRACKER'!$BK$5:$BK$1504,5),'DAILY TASK TRACKER'!$BK$5:$BK$1504,0))),"")</f>
        <v/>
      </c>
      <c r="B86" s="50" t="str">
        <f>IFERROR(IF(INDEX('DAILY TASK TRACKER'!$B$5:$B$1504,MATCH(SMALL('DAILY TASK TRACKER'!$BK$5:$BK$1504,5),'DAILY TASK TRACKER'!$BK$5:$BK$1504,0))="","",INDEX('DAILY TASK TRACKER'!$B$5:$B$1504,MATCH(SMALL('DAILY TASK TRACKER'!$BK$5:$BK$1504,5),'DAILY TASK TRACKER'!$BK$5:$BK$1504,0))),"")</f>
        <v/>
      </c>
      <c r="C86" s="50" t="str">
        <f>IFERROR(IF(INDEX('DAILY TASK TRACKER'!$C$5:$C$1504,MATCH(SMALL('DAILY TASK TRACKER'!$BK$5:$BK$1504,5),'DAILY TASK TRACKER'!$BK$5:$BK$1504,0))="","",INDEX('DAILY TASK TRACKER'!$C$5:$C$1504,MATCH(SMALL('DAILY TASK TRACKER'!$BK$5:$BK$1504,5),'DAILY TASK TRACKER'!$BK$5:$BK$1504,0))),"")</f>
        <v/>
      </c>
      <c r="D86" s="50" t="str">
        <f>IFERROR(IF(INDEX('DAILY TASK TRACKER'!$I$5:$I$1504,MATCH(SMALL('DAILY TASK TRACKER'!$BK$5:$BK$1504,5),'DAILY TASK TRACKER'!$BK$5:$BK$1504,0))="","",INDEX('DAILY TASK TRACKER'!$I$5:$I$1504,MATCH(SMALL('DAILY TASK TRACKER'!$BK$5:$BK$1504,5),'DAILY TASK TRACKER'!$BK$5:$BK$1504,0))),"")</f>
        <v/>
      </c>
      <c r="E86" s="55" t="str">
        <f>IFERROR(IF(INDEX('DAILY TASK TRACKER'!$L$5:$L$1504,MATCH(SMALL('DAILY TASK TRACKER'!$BK$5:$BK$1504,5),'DAILY TASK TRACKER'!$BK$5:$BK$1504,0))="","",INDEX('DAILY TASK TRACKER'!$L$5:$L$1504,MATCH(SMALL('DAILY TASK TRACKER'!$BK$5:$BK$1504,5),'DAILY TASK TRACKER'!$BK$5:$BK$1504,0))),"")</f>
        <v/>
      </c>
      <c r="F86" s="50" t="str">
        <f>IFERROR(IF(INDEX('DAILY TASK TRACKER'!$M$5:$M$1504,MATCH(SMALL('DAILY TASK TRACKER'!$BK$5:$BK$1504,5),'DAILY TASK TRACKER'!$BK$5:$BK$1504,0))="","",INDEX('DAILY TASK TRACKER'!$M$5:$M$1504,MATCH(SMALL('DAILY TASK TRACKER'!$BK$5:$BK$1504,5),'DAILY TASK TRACKER'!$BK$5:$BK$1504,0))),"")</f>
        <v/>
      </c>
      <c r="G86" s="52" t="str">
        <f>IFERROR(IF(INDEX('DAILY TASK TRACKER'!$AD$5:$AD$1504,MATCH(SMALL('DAILY TASK TRACKER'!$BK$5:$BK$1504,5),'DAILY TASK TRACKER'!$BK$5:$BK$1504,0))="","",INDEX('DAILY TASK TRACKER'!$AD$5:$AD$1504,MATCH(SMALL('DAILY TASK TRACKER'!$BK$5:$BK$1504,5),'DAILY TASK TRACKER'!$BK$5:$BK$1504,0))),"")</f>
        <v/>
      </c>
      <c r="H86" s="50" t="str">
        <f>IFERROR(IF(INDEX('DAILY TASK TRACKER'!$T$5:$T$1504,MATCH(SMALL('DAILY TASK TRACKER'!$BK$5:$BK$1504,5),'DAILY TASK TRACKER'!$BK$5:$BK$1504,0))="","",INDEX('DAILY TASK TRACKER'!$T$5:$T$1504,MATCH(SMALL('DAILY TASK TRACKER'!$BK$5:$BK$1504,5),'DAILY TASK TRACKER'!$BK$5:$BK$1504,0))),"")</f>
        <v/>
      </c>
    </row>
    <row r="87" ht="26" customHeight="1">
      <c r="A87" s="50" t="str">
        <f>IFERROR(IF(INDEX('DAILY TASK TRACKER'!$G$5:$G$1504,MATCH(SMALL('DAILY TASK TRACKER'!$BK$5:$BK$1504,6),'DAILY TASK TRACKER'!$BK$5:$BK$1504,0))="","",INDEX('DAILY TASK TRACKER'!$G$5:$G$1504,MATCH(SMALL('DAILY TASK TRACKER'!$BK$5:$BK$1504,6),'DAILY TASK TRACKER'!$BK$5:$BK$1504,0))),"")</f>
        <v/>
      </c>
      <c r="B87" s="50" t="str">
        <f>IFERROR(IF(INDEX('DAILY TASK TRACKER'!$B$5:$B$1504,MATCH(SMALL('DAILY TASK TRACKER'!$BK$5:$BK$1504,6),'DAILY TASK TRACKER'!$BK$5:$BK$1504,0))="","",INDEX('DAILY TASK TRACKER'!$B$5:$B$1504,MATCH(SMALL('DAILY TASK TRACKER'!$BK$5:$BK$1504,6),'DAILY TASK TRACKER'!$BK$5:$BK$1504,0))),"")</f>
        <v/>
      </c>
      <c r="C87" s="50" t="str">
        <f>IFERROR(IF(INDEX('DAILY TASK TRACKER'!$C$5:$C$1504,MATCH(SMALL('DAILY TASK TRACKER'!$BK$5:$BK$1504,6),'DAILY TASK TRACKER'!$BK$5:$BK$1504,0))="","",INDEX('DAILY TASK TRACKER'!$C$5:$C$1504,MATCH(SMALL('DAILY TASK TRACKER'!$BK$5:$BK$1504,6),'DAILY TASK TRACKER'!$BK$5:$BK$1504,0))),"")</f>
        <v/>
      </c>
      <c r="D87" s="50" t="str">
        <f>IFERROR(IF(INDEX('DAILY TASK TRACKER'!$I$5:$I$1504,MATCH(SMALL('DAILY TASK TRACKER'!$BK$5:$BK$1504,6),'DAILY TASK TRACKER'!$BK$5:$BK$1504,0))="","",INDEX('DAILY TASK TRACKER'!$I$5:$I$1504,MATCH(SMALL('DAILY TASK TRACKER'!$BK$5:$BK$1504,6),'DAILY TASK TRACKER'!$BK$5:$BK$1504,0))),"")</f>
        <v/>
      </c>
      <c r="E87" s="55" t="str">
        <f>IFERROR(IF(INDEX('DAILY TASK TRACKER'!$L$5:$L$1504,MATCH(SMALL('DAILY TASK TRACKER'!$BK$5:$BK$1504,6),'DAILY TASK TRACKER'!$BK$5:$BK$1504,0))="","",INDEX('DAILY TASK TRACKER'!$L$5:$L$1504,MATCH(SMALL('DAILY TASK TRACKER'!$BK$5:$BK$1504,6),'DAILY TASK TRACKER'!$BK$5:$BK$1504,0))),"")</f>
        <v/>
      </c>
      <c r="F87" s="50" t="str">
        <f>IFERROR(IF(INDEX('DAILY TASK TRACKER'!$M$5:$M$1504,MATCH(SMALL('DAILY TASK TRACKER'!$BK$5:$BK$1504,6),'DAILY TASK TRACKER'!$BK$5:$BK$1504,0))="","",INDEX('DAILY TASK TRACKER'!$M$5:$M$1504,MATCH(SMALL('DAILY TASK TRACKER'!$BK$5:$BK$1504,6),'DAILY TASK TRACKER'!$BK$5:$BK$1504,0))),"")</f>
        <v/>
      </c>
      <c r="G87" s="52" t="str">
        <f>IFERROR(IF(INDEX('DAILY TASK TRACKER'!$AD$5:$AD$1504,MATCH(SMALL('DAILY TASK TRACKER'!$BK$5:$BK$1504,6),'DAILY TASK TRACKER'!$BK$5:$BK$1504,0))="","",INDEX('DAILY TASK TRACKER'!$AD$5:$AD$1504,MATCH(SMALL('DAILY TASK TRACKER'!$BK$5:$BK$1504,6),'DAILY TASK TRACKER'!$BK$5:$BK$1504,0))),"")</f>
        <v/>
      </c>
      <c r="H87" s="50" t="str">
        <f>IFERROR(IF(INDEX('DAILY TASK TRACKER'!$T$5:$T$1504,MATCH(SMALL('DAILY TASK TRACKER'!$BK$5:$BK$1504,6),'DAILY TASK TRACKER'!$BK$5:$BK$1504,0))="","",INDEX('DAILY TASK TRACKER'!$T$5:$T$1504,MATCH(SMALL('DAILY TASK TRACKER'!$BK$5:$BK$1504,6),'DAILY TASK TRACKER'!$BK$5:$BK$1504,0))),"")</f>
        <v/>
      </c>
    </row>
    <row r="89" ht="20" customHeight="1">
      <c r="A89" s="37" t="inlineStr">
        <is>
          <t>Missed targets (actual &lt; target)</t>
        </is>
      </c>
      <c r="B89" s="33" t="n"/>
      <c r="C89" s="33" t="n"/>
      <c r="D89" s="33" t="n"/>
      <c r="E89" s="33" t="n"/>
      <c r="F89" s="33" t="n"/>
      <c r="G89" s="33" t="n"/>
      <c r="H89" s="33" t="n"/>
    </row>
    <row r="90" ht="22" customHeight="1">
      <c r="A90" s="38" t="inlineStr">
        <is>
          <t>Task</t>
        </is>
      </c>
      <c r="B90" s="38" t="inlineStr">
        <is>
          <t>Team Member</t>
        </is>
      </c>
      <c r="C90" s="38" t="inlineStr">
        <is>
          <t>Client</t>
        </is>
      </c>
      <c r="D90" s="38" t="inlineStr">
        <is>
          <t>Priority</t>
        </is>
      </c>
      <c r="E90" s="38" t="inlineStr">
        <is>
          <t>Due</t>
        </is>
      </c>
      <c r="F90" s="38" t="inlineStr">
        <is>
          <t>Status</t>
        </is>
      </c>
      <c r="G90" s="38" t="inlineStr">
        <is>
          <t>Days Overdue</t>
        </is>
      </c>
      <c r="H90" s="38" t="inlineStr">
        <is>
          <t>Blocker / Next Action</t>
        </is>
      </c>
    </row>
    <row r="91" ht="26" customHeight="1">
      <c r="A91" s="49" t="str">
        <f>IFERROR(IF(INDEX('DAILY TASK TRACKER'!$G$5:$G$1504,MATCH(SMALL('DAILY TASK TRACKER'!$BJ$5:$BJ$1504,1),'DAILY TASK TRACKER'!$BJ$5:$BJ$1504,0))="","",INDEX('DAILY TASK TRACKER'!$G$5:$G$1504,MATCH(SMALL('DAILY TASK TRACKER'!$BJ$5:$BJ$1504,1),'DAILY TASK TRACKER'!$BJ$5:$BJ$1504,0))),"- none -")</f>
        <v>- none -</v>
      </c>
      <c r="B91" s="50" t="str">
        <f>IFERROR(IF(INDEX('DAILY TASK TRACKER'!$B$5:$B$1504,MATCH(SMALL('DAILY TASK TRACKER'!$BJ$5:$BJ$1504,1),'DAILY TASK TRACKER'!$BJ$5:$BJ$1504,0))="","",INDEX('DAILY TASK TRACKER'!$B$5:$B$1504,MATCH(SMALL('DAILY TASK TRACKER'!$BJ$5:$BJ$1504,1),'DAILY TASK TRACKER'!$BJ$5:$BJ$1504,0))),"")</f>
        <v/>
      </c>
      <c r="C91" s="50" t="str">
        <f>IFERROR(IF(INDEX('DAILY TASK TRACKER'!$C$5:$C$1504,MATCH(SMALL('DAILY TASK TRACKER'!$BJ$5:$BJ$1504,1),'DAILY TASK TRACKER'!$BJ$5:$BJ$1504,0))="","",INDEX('DAILY TASK TRACKER'!$C$5:$C$1504,MATCH(SMALL('DAILY TASK TRACKER'!$BJ$5:$BJ$1504,1),'DAILY TASK TRACKER'!$BJ$5:$BJ$1504,0))),"")</f>
        <v/>
      </c>
      <c r="D91" s="50" t="str">
        <f>IFERROR(IF(INDEX('DAILY TASK TRACKER'!$I$5:$I$1504,MATCH(SMALL('DAILY TASK TRACKER'!$BJ$5:$BJ$1504,1),'DAILY TASK TRACKER'!$BJ$5:$BJ$1504,0))="","",INDEX('DAILY TASK TRACKER'!$I$5:$I$1504,MATCH(SMALL('DAILY TASK TRACKER'!$BJ$5:$BJ$1504,1),'DAILY TASK TRACKER'!$BJ$5:$BJ$1504,0))),"")</f>
        <v/>
      </c>
      <c r="E91" s="55" t="str">
        <f>IFERROR(IF(INDEX('DAILY TASK TRACKER'!$L$5:$L$1504,MATCH(SMALL('DAILY TASK TRACKER'!$BJ$5:$BJ$1504,1),'DAILY TASK TRACKER'!$BJ$5:$BJ$1504,0))="","",INDEX('DAILY TASK TRACKER'!$L$5:$L$1504,MATCH(SMALL('DAILY TASK TRACKER'!$BJ$5:$BJ$1504,1),'DAILY TASK TRACKER'!$BJ$5:$BJ$1504,0))),"")</f>
        <v/>
      </c>
      <c r="F91" s="50" t="str">
        <f>IFERROR(IF(INDEX('DAILY TASK TRACKER'!$M$5:$M$1504,MATCH(SMALL('DAILY TASK TRACKER'!$BJ$5:$BJ$1504,1),'DAILY TASK TRACKER'!$BJ$5:$BJ$1504,0))="","",INDEX('DAILY TASK TRACKER'!$M$5:$M$1504,MATCH(SMALL('DAILY TASK TRACKER'!$BJ$5:$BJ$1504,1),'DAILY TASK TRACKER'!$BJ$5:$BJ$1504,0))),"")</f>
        <v/>
      </c>
      <c r="G91" s="52" t="str">
        <f>IFERROR(IF(INDEX('DAILY TASK TRACKER'!$AD$5:$AD$1504,MATCH(SMALL('DAILY TASK TRACKER'!$BJ$5:$BJ$1504,1),'DAILY TASK TRACKER'!$BJ$5:$BJ$1504,0))="","",INDEX('DAILY TASK TRACKER'!$AD$5:$AD$1504,MATCH(SMALL('DAILY TASK TRACKER'!$BJ$5:$BJ$1504,1),'DAILY TASK TRACKER'!$BJ$5:$BJ$1504,0))),"")</f>
        <v/>
      </c>
      <c r="H91" s="50" t="str">
        <f>IFERROR(IF(INDEX('DAILY TASK TRACKER'!$T$5:$T$1504,MATCH(SMALL('DAILY TASK TRACKER'!$BJ$5:$BJ$1504,1),'DAILY TASK TRACKER'!$BJ$5:$BJ$1504,0))="","",INDEX('DAILY TASK TRACKER'!$T$5:$T$1504,MATCH(SMALL('DAILY TASK TRACKER'!$BJ$5:$BJ$1504,1),'DAILY TASK TRACKER'!$BJ$5:$BJ$1504,0))),"")</f>
        <v/>
      </c>
    </row>
    <row r="92" ht="26" customHeight="1">
      <c r="A92" s="50" t="str">
        <f>IFERROR(IF(INDEX('DAILY TASK TRACKER'!$G$5:$G$1504,MATCH(SMALL('DAILY TASK TRACKER'!$BJ$5:$BJ$1504,2),'DAILY TASK TRACKER'!$BJ$5:$BJ$1504,0))="","",INDEX('DAILY TASK TRACKER'!$G$5:$G$1504,MATCH(SMALL('DAILY TASK TRACKER'!$BJ$5:$BJ$1504,2),'DAILY TASK TRACKER'!$BJ$5:$BJ$1504,0))),"")</f>
        <v/>
      </c>
      <c r="B92" s="50" t="str">
        <f>IFERROR(IF(INDEX('DAILY TASK TRACKER'!$B$5:$B$1504,MATCH(SMALL('DAILY TASK TRACKER'!$BJ$5:$BJ$1504,2),'DAILY TASK TRACKER'!$BJ$5:$BJ$1504,0))="","",INDEX('DAILY TASK TRACKER'!$B$5:$B$1504,MATCH(SMALL('DAILY TASK TRACKER'!$BJ$5:$BJ$1504,2),'DAILY TASK TRACKER'!$BJ$5:$BJ$1504,0))),"")</f>
        <v/>
      </c>
      <c r="C92" s="50" t="str">
        <f>IFERROR(IF(INDEX('DAILY TASK TRACKER'!$C$5:$C$1504,MATCH(SMALL('DAILY TASK TRACKER'!$BJ$5:$BJ$1504,2),'DAILY TASK TRACKER'!$BJ$5:$BJ$1504,0))="","",INDEX('DAILY TASK TRACKER'!$C$5:$C$1504,MATCH(SMALL('DAILY TASK TRACKER'!$BJ$5:$BJ$1504,2),'DAILY TASK TRACKER'!$BJ$5:$BJ$1504,0))),"")</f>
        <v/>
      </c>
      <c r="D92" s="50" t="str">
        <f>IFERROR(IF(INDEX('DAILY TASK TRACKER'!$I$5:$I$1504,MATCH(SMALL('DAILY TASK TRACKER'!$BJ$5:$BJ$1504,2),'DAILY TASK TRACKER'!$BJ$5:$BJ$1504,0))="","",INDEX('DAILY TASK TRACKER'!$I$5:$I$1504,MATCH(SMALL('DAILY TASK TRACKER'!$BJ$5:$BJ$1504,2),'DAILY TASK TRACKER'!$BJ$5:$BJ$1504,0))),"")</f>
        <v/>
      </c>
      <c r="E92" s="55" t="str">
        <f>IFERROR(IF(INDEX('DAILY TASK TRACKER'!$L$5:$L$1504,MATCH(SMALL('DAILY TASK TRACKER'!$BJ$5:$BJ$1504,2),'DAILY TASK TRACKER'!$BJ$5:$BJ$1504,0))="","",INDEX('DAILY TASK TRACKER'!$L$5:$L$1504,MATCH(SMALL('DAILY TASK TRACKER'!$BJ$5:$BJ$1504,2),'DAILY TASK TRACKER'!$BJ$5:$BJ$1504,0))),"")</f>
        <v/>
      </c>
      <c r="F92" s="50" t="str">
        <f>IFERROR(IF(INDEX('DAILY TASK TRACKER'!$M$5:$M$1504,MATCH(SMALL('DAILY TASK TRACKER'!$BJ$5:$BJ$1504,2),'DAILY TASK TRACKER'!$BJ$5:$BJ$1504,0))="","",INDEX('DAILY TASK TRACKER'!$M$5:$M$1504,MATCH(SMALL('DAILY TASK TRACKER'!$BJ$5:$BJ$1504,2),'DAILY TASK TRACKER'!$BJ$5:$BJ$1504,0))),"")</f>
        <v/>
      </c>
      <c r="G92" s="52" t="str">
        <f>IFERROR(IF(INDEX('DAILY TASK TRACKER'!$AD$5:$AD$1504,MATCH(SMALL('DAILY TASK TRACKER'!$BJ$5:$BJ$1504,2),'DAILY TASK TRACKER'!$BJ$5:$BJ$1504,0))="","",INDEX('DAILY TASK TRACKER'!$AD$5:$AD$1504,MATCH(SMALL('DAILY TASK TRACKER'!$BJ$5:$BJ$1504,2),'DAILY TASK TRACKER'!$BJ$5:$BJ$1504,0))),"")</f>
        <v/>
      </c>
      <c r="H92" s="50" t="str">
        <f>IFERROR(IF(INDEX('DAILY TASK TRACKER'!$T$5:$T$1504,MATCH(SMALL('DAILY TASK TRACKER'!$BJ$5:$BJ$1504,2),'DAILY TASK TRACKER'!$BJ$5:$BJ$1504,0))="","",INDEX('DAILY TASK TRACKER'!$T$5:$T$1504,MATCH(SMALL('DAILY TASK TRACKER'!$BJ$5:$BJ$1504,2),'DAILY TASK TRACKER'!$BJ$5:$BJ$1504,0))),"")</f>
        <v/>
      </c>
    </row>
    <row r="93" ht="26" customHeight="1">
      <c r="A93" s="50" t="str">
        <f>IFERROR(IF(INDEX('DAILY TASK TRACKER'!$G$5:$G$1504,MATCH(SMALL('DAILY TASK TRACKER'!$BJ$5:$BJ$1504,3),'DAILY TASK TRACKER'!$BJ$5:$BJ$1504,0))="","",INDEX('DAILY TASK TRACKER'!$G$5:$G$1504,MATCH(SMALL('DAILY TASK TRACKER'!$BJ$5:$BJ$1504,3),'DAILY TASK TRACKER'!$BJ$5:$BJ$1504,0))),"")</f>
        <v/>
      </c>
      <c r="B93" s="50" t="str">
        <f>IFERROR(IF(INDEX('DAILY TASK TRACKER'!$B$5:$B$1504,MATCH(SMALL('DAILY TASK TRACKER'!$BJ$5:$BJ$1504,3),'DAILY TASK TRACKER'!$BJ$5:$BJ$1504,0))="","",INDEX('DAILY TASK TRACKER'!$B$5:$B$1504,MATCH(SMALL('DAILY TASK TRACKER'!$BJ$5:$BJ$1504,3),'DAILY TASK TRACKER'!$BJ$5:$BJ$1504,0))),"")</f>
        <v/>
      </c>
      <c r="C93" s="50" t="str">
        <f>IFERROR(IF(INDEX('DAILY TASK TRACKER'!$C$5:$C$1504,MATCH(SMALL('DAILY TASK TRACKER'!$BJ$5:$BJ$1504,3),'DAILY TASK TRACKER'!$BJ$5:$BJ$1504,0))="","",INDEX('DAILY TASK TRACKER'!$C$5:$C$1504,MATCH(SMALL('DAILY TASK TRACKER'!$BJ$5:$BJ$1504,3),'DAILY TASK TRACKER'!$BJ$5:$BJ$1504,0))),"")</f>
        <v/>
      </c>
      <c r="D93" s="50" t="str">
        <f>IFERROR(IF(INDEX('DAILY TASK TRACKER'!$I$5:$I$1504,MATCH(SMALL('DAILY TASK TRACKER'!$BJ$5:$BJ$1504,3),'DAILY TASK TRACKER'!$BJ$5:$BJ$1504,0))="","",INDEX('DAILY TASK TRACKER'!$I$5:$I$1504,MATCH(SMALL('DAILY TASK TRACKER'!$BJ$5:$BJ$1504,3),'DAILY TASK TRACKER'!$BJ$5:$BJ$1504,0))),"")</f>
        <v/>
      </c>
      <c r="E93" s="55" t="str">
        <f>IFERROR(IF(INDEX('DAILY TASK TRACKER'!$L$5:$L$1504,MATCH(SMALL('DAILY TASK TRACKER'!$BJ$5:$BJ$1504,3),'DAILY TASK TRACKER'!$BJ$5:$BJ$1504,0))="","",INDEX('DAILY TASK TRACKER'!$L$5:$L$1504,MATCH(SMALL('DAILY TASK TRACKER'!$BJ$5:$BJ$1504,3),'DAILY TASK TRACKER'!$BJ$5:$BJ$1504,0))),"")</f>
        <v/>
      </c>
      <c r="F93" s="50" t="str">
        <f>IFERROR(IF(INDEX('DAILY TASK TRACKER'!$M$5:$M$1504,MATCH(SMALL('DAILY TASK TRACKER'!$BJ$5:$BJ$1504,3),'DAILY TASK TRACKER'!$BJ$5:$BJ$1504,0))="","",INDEX('DAILY TASK TRACKER'!$M$5:$M$1504,MATCH(SMALL('DAILY TASK TRACKER'!$BJ$5:$BJ$1504,3),'DAILY TASK TRACKER'!$BJ$5:$BJ$1504,0))),"")</f>
        <v/>
      </c>
      <c r="G93" s="52" t="str">
        <f>IFERROR(IF(INDEX('DAILY TASK TRACKER'!$AD$5:$AD$1504,MATCH(SMALL('DAILY TASK TRACKER'!$BJ$5:$BJ$1504,3),'DAILY TASK TRACKER'!$BJ$5:$BJ$1504,0))="","",INDEX('DAILY TASK TRACKER'!$AD$5:$AD$1504,MATCH(SMALL('DAILY TASK TRACKER'!$BJ$5:$BJ$1504,3),'DAILY TASK TRACKER'!$BJ$5:$BJ$1504,0))),"")</f>
        <v/>
      </c>
      <c r="H93" s="50" t="str">
        <f>IFERROR(IF(INDEX('DAILY TASK TRACKER'!$T$5:$T$1504,MATCH(SMALL('DAILY TASK TRACKER'!$BJ$5:$BJ$1504,3),'DAILY TASK TRACKER'!$BJ$5:$BJ$1504,0))="","",INDEX('DAILY TASK TRACKER'!$T$5:$T$1504,MATCH(SMALL('DAILY TASK TRACKER'!$BJ$5:$BJ$1504,3),'DAILY TASK TRACKER'!$BJ$5:$BJ$1504,0))),"")</f>
        <v/>
      </c>
    </row>
    <row r="94" ht="26" customHeight="1">
      <c r="A94" s="50" t="str">
        <f>IFERROR(IF(INDEX('DAILY TASK TRACKER'!$G$5:$G$1504,MATCH(SMALL('DAILY TASK TRACKER'!$BJ$5:$BJ$1504,4),'DAILY TASK TRACKER'!$BJ$5:$BJ$1504,0))="","",INDEX('DAILY TASK TRACKER'!$G$5:$G$1504,MATCH(SMALL('DAILY TASK TRACKER'!$BJ$5:$BJ$1504,4),'DAILY TASK TRACKER'!$BJ$5:$BJ$1504,0))),"")</f>
        <v/>
      </c>
      <c r="B94" s="50" t="str">
        <f>IFERROR(IF(INDEX('DAILY TASK TRACKER'!$B$5:$B$1504,MATCH(SMALL('DAILY TASK TRACKER'!$BJ$5:$BJ$1504,4),'DAILY TASK TRACKER'!$BJ$5:$BJ$1504,0))="","",INDEX('DAILY TASK TRACKER'!$B$5:$B$1504,MATCH(SMALL('DAILY TASK TRACKER'!$BJ$5:$BJ$1504,4),'DAILY TASK TRACKER'!$BJ$5:$BJ$1504,0))),"")</f>
        <v/>
      </c>
      <c r="C94" s="50" t="str">
        <f>IFERROR(IF(INDEX('DAILY TASK TRACKER'!$C$5:$C$1504,MATCH(SMALL('DAILY TASK TRACKER'!$BJ$5:$BJ$1504,4),'DAILY TASK TRACKER'!$BJ$5:$BJ$1504,0))="","",INDEX('DAILY TASK TRACKER'!$C$5:$C$1504,MATCH(SMALL('DAILY TASK TRACKER'!$BJ$5:$BJ$1504,4),'DAILY TASK TRACKER'!$BJ$5:$BJ$1504,0))),"")</f>
        <v/>
      </c>
      <c r="D94" s="50" t="str">
        <f>IFERROR(IF(INDEX('DAILY TASK TRACKER'!$I$5:$I$1504,MATCH(SMALL('DAILY TASK TRACKER'!$BJ$5:$BJ$1504,4),'DAILY TASK TRACKER'!$BJ$5:$BJ$1504,0))="","",INDEX('DAILY TASK TRACKER'!$I$5:$I$1504,MATCH(SMALL('DAILY TASK TRACKER'!$BJ$5:$BJ$1504,4),'DAILY TASK TRACKER'!$BJ$5:$BJ$1504,0))),"")</f>
        <v/>
      </c>
      <c r="E94" s="55" t="str">
        <f>IFERROR(IF(INDEX('DAILY TASK TRACKER'!$L$5:$L$1504,MATCH(SMALL('DAILY TASK TRACKER'!$BJ$5:$BJ$1504,4),'DAILY TASK TRACKER'!$BJ$5:$BJ$1504,0))="","",INDEX('DAILY TASK TRACKER'!$L$5:$L$1504,MATCH(SMALL('DAILY TASK TRACKER'!$BJ$5:$BJ$1504,4),'DAILY TASK TRACKER'!$BJ$5:$BJ$1504,0))),"")</f>
        <v/>
      </c>
      <c r="F94" s="50" t="str">
        <f>IFERROR(IF(INDEX('DAILY TASK TRACKER'!$M$5:$M$1504,MATCH(SMALL('DAILY TASK TRACKER'!$BJ$5:$BJ$1504,4),'DAILY TASK TRACKER'!$BJ$5:$BJ$1504,0))="","",INDEX('DAILY TASK TRACKER'!$M$5:$M$1504,MATCH(SMALL('DAILY TASK TRACKER'!$BJ$5:$BJ$1504,4),'DAILY TASK TRACKER'!$BJ$5:$BJ$1504,0))),"")</f>
        <v/>
      </c>
      <c r="G94" s="52" t="str">
        <f>IFERROR(IF(INDEX('DAILY TASK TRACKER'!$AD$5:$AD$1504,MATCH(SMALL('DAILY TASK TRACKER'!$BJ$5:$BJ$1504,4),'DAILY TASK TRACKER'!$BJ$5:$BJ$1504,0))="","",INDEX('DAILY TASK TRACKER'!$AD$5:$AD$1504,MATCH(SMALL('DAILY TASK TRACKER'!$BJ$5:$BJ$1504,4),'DAILY TASK TRACKER'!$BJ$5:$BJ$1504,0))),"")</f>
        <v/>
      </c>
      <c r="H94" s="50" t="str">
        <f>IFERROR(IF(INDEX('DAILY TASK TRACKER'!$T$5:$T$1504,MATCH(SMALL('DAILY TASK TRACKER'!$BJ$5:$BJ$1504,4),'DAILY TASK TRACKER'!$BJ$5:$BJ$1504,0))="","",INDEX('DAILY TASK TRACKER'!$T$5:$T$1504,MATCH(SMALL('DAILY TASK TRACKER'!$BJ$5:$BJ$1504,4),'DAILY TASK TRACKER'!$BJ$5:$BJ$1504,0))),"")</f>
        <v/>
      </c>
    </row>
    <row r="95" ht="26" customHeight="1">
      <c r="A95" s="50" t="str">
        <f>IFERROR(IF(INDEX('DAILY TASK TRACKER'!$G$5:$G$1504,MATCH(SMALL('DAILY TASK TRACKER'!$BJ$5:$BJ$1504,5),'DAILY TASK TRACKER'!$BJ$5:$BJ$1504,0))="","",INDEX('DAILY TASK TRACKER'!$G$5:$G$1504,MATCH(SMALL('DAILY TASK TRACKER'!$BJ$5:$BJ$1504,5),'DAILY TASK TRACKER'!$BJ$5:$BJ$1504,0))),"")</f>
        <v/>
      </c>
      <c r="B95" s="50" t="str">
        <f>IFERROR(IF(INDEX('DAILY TASK TRACKER'!$B$5:$B$1504,MATCH(SMALL('DAILY TASK TRACKER'!$BJ$5:$BJ$1504,5),'DAILY TASK TRACKER'!$BJ$5:$BJ$1504,0))="","",INDEX('DAILY TASK TRACKER'!$B$5:$B$1504,MATCH(SMALL('DAILY TASK TRACKER'!$BJ$5:$BJ$1504,5),'DAILY TASK TRACKER'!$BJ$5:$BJ$1504,0))),"")</f>
        <v/>
      </c>
      <c r="C95" s="50" t="str">
        <f>IFERROR(IF(INDEX('DAILY TASK TRACKER'!$C$5:$C$1504,MATCH(SMALL('DAILY TASK TRACKER'!$BJ$5:$BJ$1504,5),'DAILY TASK TRACKER'!$BJ$5:$BJ$1504,0))="","",INDEX('DAILY TASK TRACKER'!$C$5:$C$1504,MATCH(SMALL('DAILY TASK TRACKER'!$BJ$5:$BJ$1504,5),'DAILY TASK TRACKER'!$BJ$5:$BJ$1504,0))),"")</f>
        <v/>
      </c>
      <c r="D95" s="50" t="str">
        <f>IFERROR(IF(INDEX('DAILY TASK TRACKER'!$I$5:$I$1504,MATCH(SMALL('DAILY TASK TRACKER'!$BJ$5:$BJ$1504,5),'DAILY TASK TRACKER'!$BJ$5:$BJ$1504,0))="","",INDEX('DAILY TASK TRACKER'!$I$5:$I$1504,MATCH(SMALL('DAILY TASK TRACKER'!$BJ$5:$BJ$1504,5),'DAILY TASK TRACKER'!$BJ$5:$BJ$1504,0))),"")</f>
        <v/>
      </c>
      <c r="E95" s="55" t="str">
        <f>IFERROR(IF(INDEX('DAILY TASK TRACKER'!$L$5:$L$1504,MATCH(SMALL('DAILY TASK TRACKER'!$BJ$5:$BJ$1504,5),'DAILY TASK TRACKER'!$BJ$5:$BJ$1504,0))="","",INDEX('DAILY TASK TRACKER'!$L$5:$L$1504,MATCH(SMALL('DAILY TASK TRACKER'!$BJ$5:$BJ$1504,5),'DAILY TASK TRACKER'!$BJ$5:$BJ$1504,0))),"")</f>
        <v/>
      </c>
      <c r="F95" s="50" t="str">
        <f>IFERROR(IF(INDEX('DAILY TASK TRACKER'!$M$5:$M$1504,MATCH(SMALL('DAILY TASK TRACKER'!$BJ$5:$BJ$1504,5),'DAILY TASK TRACKER'!$BJ$5:$BJ$1504,0))="","",INDEX('DAILY TASK TRACKER'!$M$5:$M$1504,MATCH(SMALL('DAILY TASK TRACKER'!$BJ$5:$BJ$1504,5),'DAILY TASK TRACKER'!$BJ$5:$BJ$1504,0))),"")</f>
        <v/>
      </c>
      <c r="G95" s="52" t="str">
        <f>IFERROR(IF(INDEX('DAILY TASK TRACKER'!$AD$5:$AD$1504,MATCH(SMALL('DAILY TASK TRACKER'!$BJ$5:$BJ$1504,5),'DAILY TASK TRACKER'!$BJ$5:$BJ$1504,0))="","",INDEX('DAILY TASK TRACKER'!$AD$5:$AD$1504,MATCH(SMALL('DAILY TASK TRACKER'!$BJ$5:$BJ$1504,5),'DAILY TASK TRACKER'!$BJ$5:$BJ$1504,0))),"")</f>
        <v/>
      </c>
      <c r="H95" s="50" t="str">
        <f>IFERROR(IF(INDEX('DAILY TASK TRACKER'!$T$5:$T$1504,MATCH(SMALL('DAILY TASK TRACKER'!$BJ$5:$BJ$1504,5),'DAILY TASK TRACKER'!$BJ$5:$BJ$1504,0))="","",INDEX('DAILY TASK TRACKER'!$T$5:$T$1504,MATCH(SMALL('DAILY TASK TRACKER'!$BJ$5:$BJ$1504,5),'DAILY TASK TRACKER'!$BJ$5:$BJ$1504,0))),"")</f>
        <v/>
      </c>
    </row>
    <row r="96" ht="26" customHeight="1">
      <c r="A96" s="50" t="str">
        <f>IFERROR(IF(INDEX('DAILY TASK TRACKER'!$G$5:$G$1504,MATCH(SMALL('DAILY TASK TRACKER'!$BJ$5:$BJ$1504,6),'DAILY TASK TRACKER'!$BJ$5:$BJ$1504,0))="","",INDEX('DAILY TASK TRACKER'!$G$5:$G$1504,MATCH(SMALL('DAILY TASK TRACKER'!$BJ$5:$BJ$1504,6),'DAILY TASK TRACKER'!$BJ$5:$BJ$1504,0))),"")</f>
        <v/>
      </c>
      <c r="B96" s="50" t="str">
        <f>IFERROR(IF(INDEX('DAILY TASK TRACKER'!$B$5:$B$1504,MATCH(SMALL('DAILY TASK TRACKER'!$BJ$5:$BJ$1504,6),'DAILY TASK TRACKER'!$BJ$5:$BJ$1504,0))="","",INDEX('DAILY TASK TRACKER'!$B$5:$B$1504,MATCH(SMALL('DAILY TASK TRACKER'!$BJ$5:$BJ$1504,6),'DAILY TASK TRACKER'!$BJ$5:$BJ$1504,0))),"")</f>
        <v/>
      </c>
      <c r="C96" s="50" t="str">
        <f>IFERROR(IF(INDEX('DAILY TASK TRACKER'!$C$5:$C$1504,MATCH(SMALL('DAILY TASK TRACKER'!$BJ$5:$BJ$1504,6),'DAILY TASK TRACKER'!$BJ$5:$BJ$1504,0))="","",INDEX('DAILY TASK TRACKER'!$C$5:$C$1504,MATCH(SMALL('DAILY TASK TRACKER'!$BJ$5:$BJ$1504,6),'DAILY TASK TRACKER'!$BJ$5:$BJ$1504,0))),"")</f>
        <v/>
      </c>
      <c r="D96" s="50" t="str">
        <f>IFERROR(IF(INDEX('DAILY TASK TRACKER'!$I$5:$I$1504,MATCH(SMALL('DAILY TASK TRACKER'!$BJ$5:$BJ$1504,6),'DAILY TASK TRACKER'!$BJ$5:$BJ$1504,0))="","",INDEX('DAILY TASK TRACKER'!$I$5:$I$1504,MATCH(SMALL('DAILY TASK TRACKER'!$BJ$5:$BJ$1504,6),'DAILY TASK TRACKER'!$BJ$5:$BJ$1504,0))),"")</f>
        <v/>
      </c>
      <c r="E96" s="55" t="str">
        <f>IFERROR(IF(INDEX('DAILY TASK TRACKER'!$L$5:$L$1504,MATCH(SMALL('DAILY TASK TRACKER'!$BJ$5:$BJ$1504,6),'DAILY TASK TRACKER'!$BJ$5:$BJ$1504,0))="","",INDEX('DAILY TASK TRACKER'!$L$5:$L$1504,MATCH(SMALL('DAILY TASK TRACKER'!$BJ$5:$BJ$1504,6),'DAILY TASK TRACKER'!$BJ$5:$BJ$1504,0))),"")</f>
        <v/>
      </c>
      <c r="F96" s="50" t="str">
        <f>IFERROR(IF(INDEX('DAILY TASK TRACKER'!$M$5:$M$1504,MATCH(SMALL('DAILY TASK TRACKER'!$BJ$5:$BJ$1504,6),'DAILY TASK TRACKER'!$BJ$5:$BJ$1504,0))="","",INDEX('DAILY TASK TRACKER'!$M$5:$M$1504,MATCH(SMALL('DAILY TASK TRACKER'!$BJ$5:$BJ$1504,6),'DAILY TASK TRACKER'!$BJ$5:$BJ$1504,0))),"")</f>
        <v/>
      </c>
      <c r="G96" s="52" t="str">
        <f>IFERROR(IF(INDEX('DAILY TASK TRACKER'!$AD$5:$AD$1504,MATCH(SMALL('DAILY TASK TRACKER'!$BJ$5:$BJ$1504,6),'DAILY TASK TRACKER'!$BJ$5:$BJ$1504,0))="","",INDEX('DAILY TASK TRACKER'!$AD$5:$AD$1504,MATCH(SMALL('DAILY TASK TRACKER'!$BJ$5:$BJ$1504,6),'DAILY TASK TRACKER'!$BJ$5:$BJ$1504,0))),"")</f>
        <v/>
      </c>
      <c r="H96" s="50" t="str">
        <f>IFERROR(IF(INDEX('DAILY TASK TRACKER'!$T$5:$T$1504,MATCH(SMALL('DAILY TASK TRACKER'!$BJ$5:$BJ$1504,6),'DAILY TASK TRACKER'!$BJ$5:$BJ$1504,0))="","",INDEX('DAILY TASK TRACKER'!$T$5:$T$1504,MATCH(SMALL('DAILY TASK TRACKER'!$BJ$5:$BJ$1504,6),'DAILY TASK TRACKER'!$BJ$5:$BJ$1504,0))),"")</f>
        <v/>
      </c>
    </row>
    <row r="98" ht="20" customHeight="1">
      <c r="A98" s="37" t="inlineStr">
        <is>
          <t>Tasks due within the next 2 days</t>
        </is>
      </c>
      <c r="B98" s="33" t="n"/>
      <c r="C98" s="33" t="n"/>
      <c r="D98" s="33" t="n"/>
      <c r="E98" s="33" t="n"/>
      <c r="F98" s="33" t="n"/>
      <c r="G98" s="33" t="n"/>
      <c r="H98" s="33" t="n"/>
    </row>
    <row r="99" ht="22" customHeight="1">
      <c r="A99" s="38" t="inlineStr">
        <is>
          <t>Task</t>
        </is>
      </c>
      <c r="B99" s="38" t="inlineStr">
        <is>
          <t>Team Member</t>
        </is>
      </c>
      <c r="C99" s="38" t="inlineStr">
        <is>
          <t>Client</t>
        </is>
      </c>
      <c r="D99" s="38" t="inlineStr">
        <is>
          <t>Priority</t>
        </is>
      </c>
      <c r="E99" s="38" t="inlineStr">
        <is>
          <t>Due</t>
        </is>
      </c>
      <c r="F99" s="38" t="inlineStr">
        <is>
          <t>Status</t>
        </is>
      </c>
      <c r="G99" s="38" t="inlineStr">
        <is>
          <t>Days Overdue</t>
        </is>
      </c>
      <c r="H99" s="38" t="inlineStr">
        <is>
          <t>Blocker / Next Action</t>
        </is>
      </c>
    </row>
    <row r="100" ht="26" customHeight="1">
      <c r="A100" s="49" t="str">
        <f>IFERROR(IF(INDEX('DAILY TASK TRACKER'!$G$5:$G$1504,MATCH(SMALL('DAILY TASK TRACKER'!$BD$5:$BD$1504,1),'DAILY TASK TRACKER'!$BD$5:$BD$1504,0))="","",INDEX('DAILY TASK TRACKER'!$G$5:$G$1504,MATCH(SMALL('DAILY TASK TRACKER'!$BD$5:$BD$1504,1),'DAILY TASK TRACKER'!$BD$5:$BD$1504,0))),"- none -")</f>
        <v>Content Syndication - Email + WhatsApp deployment</v>
      </c>
      <c r="B100" s="50" t="str">
        <f>IFERROR(IF(INDEX('DAILY TASK TRACKER'!$B$5:$B$1504,MATCH(SMALL('DAILY TASK TRACKER'!$BD$5:$BD$1504,1),'DAILY TASK TRACKER'!$BD$5:$BD$1504,0))="","",INDEX('DAILY TASK TRACKER'!$B$5:$B$1504,MATCH(SMALL('DAILY TASK TRACKER'!$BD$5:$BD$1504,1),'DAILY TASK TRACKER'!$BD$5:$BD$1504,0))),"")</f>
        <v>Surbhi Pandey</v>
      </c>
      <c r="C100" s="50" t="str">
        <f>IFERROR(IF(INDEX('DAILY TASK TRACKER'!$C$5:$C$1504,MATCH(SMALL('DAILY TASK TRACKER'!$BD$5:$BD$1504,1),'DAILY TASK TRACKER'!$BD$5:$BD$1504,0))="","",INDEX('DAILY TASK TRACKER'!$C$5:$C$1504,MATCH(SMALL('DAILY TASK TRACKER'!$BD$5:$BD$1504,1),'DAILY TASK TRACKER'!$BD$5:$BD$1504,0))),"")</f>
        <v>SAP</v>
      </c>
      <c r="D100" s="50" t="str">
        <f>IFERROR(IF(INDEX('DAILY TASK TRACKER'!$I$5:$I$1504,MATCH(SMALL('DAILY TASK TRACKER'!$BD$5:$BD$1504,1),'DAILY TASK TRACKER'!$BD$5:$BD$1504,0))="","",INDEX('DAILY TASK TRACKER'!$I$5:$I$1504,MATCH(SMALL('DAILY TASK TRACKER'!$BD$5:$BD$1504,1),'DAILY TASK TRACKER'!$BD$5:$BD$1504,0))),"")</f>
        <v/>
      </c>
      <c r="E100" s="55">
        <f>IFERROR(IF(INDEX('DAILY TASK TRACKER'!$L$5:$L$1504,MATCH(SMALL('DAILY TASK TRACKER'!$BD$5:$BD$1504,1),'DAILY TASK TRACKER'!$BD$5:$BD$1504,0))="","",INDEX('DAILY TASK TRACKER'!$L$5:$L$1504,MATCH(SMALL('DAILY TASK TRACKER'!$BD$5:$BD$1504,1),'DAILY TASK TRACKER'!$BD$5:$BD$1504,0))),"")</f>
        <v>46301.0</v>
      </c>
      <c r="F100" s="50" t="str">
        <f>IFERROR(IF(INDEX('DAILY TASK TRACKER'!$M$5:$M$1504,MATCH(SMALL('DAILY TASK TRACKER'!$BD$5:$BD$1504,1),'DAILY TASK TRACKER'!$BD$5:$BD$1504,0))="","",INDEX('DAILY TASK TRACKER'!$M$5:$M$1504,MATCH(SMALL('DAILY TASK TRACKER'!$BD$5:$BD$1504,1),'DAILY TASK TRACKER'!$BD$5:$BD$1504,0))),"")</f>
        <v/>
      </c>
      <c r="G100" s="52">
        <f>IFERROR(IF(INDEX('DAILY TASK TRACKER'!$AD$5:$AD$1504,MATCH(SMALL('DAILY TASK TRACKER'!$BD$5:$BD$1504,1),'DAILY TASK TRACKER'!$BD$5:$BD$1504,0))="","",INDEX('DAILY TASK TRACKER'!$AD$5:$AD$1504,MATCH(SMALL('DAILY TASK TRACKER'!$BD$5:$BD$1504,1),'DAILY TASK TRACKER'!$BD$5:$BD$1504,0))),"")</f>
        <v>0</v>
      </c>
      <c r="H100" s="50" t="str">
        <f>IFERROR(IF(INDEX('DAILY TASK TRACKER'!$T$5:$T$1504,MATCH(SMALL('DAILY TASK TRACKER'!$BD$5:$BD$1504,1),'DAILY TASK TRACKER'!$BD$5:$BD$1504,0))="","",INDEX('DAILY TASK TRACKER'!$T$5:$T$1504,MATCH(SMALL('DAILY TASK TRACKER'!$BD$5:$BD$1504,1),'DAILY TASK TRACKER'!$BD$5:$BD$1504,0))),"")</f>
        <v/>
      </c>
    </row>
    <row r="101" ht="26" customHeight="1">
      <c r="A101" s="50" t="str">
        <f>IFERROR(IF(INDEX('DAILY TASK TRACKER'!$G$5:$G$1504,MATCH(SMALL('DAILY TASK TRACKER'!$BD$5:$BD$1504,2),'DAILY TASK TRACKER'!$BD$5:$BD$1504,0))="","",INDEX('DAILY TASK TRACKER'!$G$5:$G$1504,MATCH(SMALL('DAILY TASK TRACKER'!$BD$5:$BD$1504,2),'DAILY TASK TRACKER'!$BD$5:$BD$1504,0))),"")</f>
        <v/>
      </c>
      <c r="B101" s="50" t="str">
        <f>IFERROR(IF(INDEX('DAILY TASK TRACKER'!$B$5:$B$1504,MATCH(SMALL('DAILY TASK TRACKER'!$BD$5:$BD$1504,2),'DAILY TASK TRACKER'!$BD$5:$BD$1504,0))="","",INDEX('DAILY TASK TRACKER'!$B$5:$B$1504,MATCH(SMALL('DAILY TASK TRACKER'!$BD$5:$BD$1504,2),'DAILY TASK TRACKER'!$BD$5:$BD$1504,0))),"")</f>
        <v/>
      </c>
      <c r="C101" s="50" t="str">
        <f>IFERROR(IF(INDEX('DAILY TASK TRACKER'!$C$5:$C$1504,MATCH(SMALL('DAILY TASK TRACKER'!$BD$5:$BD$1504,2),'DAILY TASK TRACKER'!$BD$5:$BD$1504,0))="","",INDEX('DAILY TASK TRACKER'!$C$5:$C$1504,MATCH(SMALL('DAILY TASK TRACKER'!$BD$5:$BD$1504,2),'DAILY TASK TRACKER'!$BD$5:$BD$1504,0))),"")</f>
        <v/>
      </c>
      <c r="D101" s="50" t="str">
        <f>IFERROR(IF(INDEX('DAILY TASK TRACKER'!$I$5:$I$1504,MATCH(SMALL('DAILY TASK TRACKER'!$BD$5:$BD$1504,2),'DAILY TASK TRACKER'!$BD$5:$BD$1504,0))="","",INDEX('DAILY TASK TRACKER'!$I$5:$I$1504,MATCH(SMALL('DAILY TASK TRACKER'!$BD$5:$BD$1504,2),'DAILY TASK TRACKER'!$BD$5:$BD$1504,0))),"")</f>
        <v/>
      </c>
      <c r="E101" s="55" t="str">
        <f>IFERROR(IF(INDEX('DAILY TASK TRACKER'!$L$5:$L$1504,MATCH(SMALL('DAILY TASK TRACKER'!$BD$5:$BD$1504,2),'DAILY TASK TRACKER'!$BD$5:$BD$1504,0))="","",INDEX('DAILY TASK TRACKER'!$L$5:$L$1504,MATCH(SMALL('DAILY TASK TRACKER'!$BD$5:$BD$1504,2),'DAILY TASK TRACKER'!$BD$5:$BD$1504,0))),"")</f>
        <v/>
      </c>
      <c r="F101" s="50" t="str">
        <f>IFERROR(IF(INDEX('DAILY TASK TRACKER'!$M$5:$M$1504,MATCH(SMALL('DAILY TASK TRACKER'!$BD$5:$BD$1504,2),'DAILY TASK TRACKER'!$BD$5:$BD$1504,0))="","",INDEX('DAILY TASK TRACKER'!$M$5:$M$1504,MATCH(SMALL('DAILY TASK TRACKER'!$BD$5:$BD$1504,2),'DAILY TASK TRACKER'!$BD$5:$BD$1504,0))),"")</f>
        <v/>
      </c>
      <c r="G101" s="52" t="str">
        <f>IFERROR(IF(INDEX('DAILY TASK TRACKER'!$AD$5:$AD$1504,MATCH(SMALL('DAILY TASK TRACKER'!$BD$5:$BD$1504,2),'DAILY TASK TRACKER'!$BD$5:$BD$1504,0))="","",INDEX('DAILY TASK TRACKER'!$AD$5:$AD$1504,MATCH(SMALL('DAILY TASK TRACKER'!$BD$5:$BD$1504,2),'DAILY TASK TRACKER'!$BD$5:$BD$1504,0))),"")</f>
        <v/>
      </c>
      <c r="H101" s="50" t="str">
        <f>IFERROR(IF(INDEX('DAILY TASK TRACKER'!$T$5:$T$1504,MATCH(SMALL('DAILY TASK TRACKER'!$BD$5:$BD$1504,2),'DAILY TASK TRACKER'!$BD$5:$BD$1504,0))="","",INDEX('DAILY TASK TRACKER'!$T$5:$T$1504,MATCH(SMALL('DAILY TASK TRACKER'!$BD$5:$BD$1504,2),'DAILY TASK TRACKER'!$BD$5:$BD$1504,0))),"")</f>
        <v/>
      </c>
    </row>
    <row r="102" ht="26" customHeight="1">
      <c r="A102" s="50" t="str">
        <f>IFERROR(IF(INDEX('DAILY TASK TRACKER'!$G$5:$G$1504,MATCH(SMALL('DAILY TASK TRACKER'!$BD$5:$BD$1504,3),'DAILY TASK TRACKER'!$BD$5:$BD$1504,0))="","",INDEX('DAILY TASK TRACKER'!$G$5:$G$1504,MATCH(SMALL('DAILY TASK TRACKER'!$BD$5:$BD$1504,3),'DAILY TASK TRACKER'!$BD$5:$BD$1504,0))),"")</f>
        <v/>
      </c>
      <c r="B102" s="50" t="str">
        <f>IFERROR(IF(INDEX('DAILY TASK TRACKER'!$B$5:$B$1504,MATCH(SMALL('DAILY TASK TRACKER'!$BD$5:$BD$1504,3),'DAILY TASK TRACKER'!$BD$5:$BD$1504,0))="","",INDEX('DAILY TASK TRACKER'!$B$5:$B$1504,MATCH(SMALL('DAILY TASK TRACKER'!$BD$5:$BD$1504,3),'DAILY TASK TRACKER'!$BD$5:$BD$1504,0))),"")</f>
        <v/>
      </c>
      <c r="C102" s="50" t="str">
        <f>IFERROR(IF(INDEX('DAILY TASK TRACKER'!$C$5:$C$1504,MATCH(SMALL('DAILY TASK TRACKER'!$BD$5:$BD$1504,3),'DAILY TASK TRACKER'!$BD$5:$BD$1504,0))="","",INDEX('DAILY TASK TRACKER'!$C$5:$C$1504,MATCH(SMALL('DAILY TASK TRACKER'!$BD$5:$BD$1504,3),'DAILY TASK TRACKER'!$BD$5:$BD$1504,0))),"")</f>
        <v/>
      </c>
      <c r="D102" s="50" t="str">
        <f>IFERROR(IF(INDEX('DAILY TASK TRACKER'!$I$5:$I$1504,MATCH(SMALL('DAILY TASK TRACKER'!$BD$5:$BD$1504,3),'DAILY TASK TRACKER'!$BD$5:$BD$1504,0))="","",INDEX('DAILY TASK TRACKER'!$I$5:$I$1504,MATCH(SMALL('DAILY TASK TRACKER'!$BD$5:$BD$1504,3),'DAILY TASK TRACKER'!$BD$5:$BD$1504,0))),"")</f>
        <v/>
      </c>
      <c r="E102" s="55" t="str">
        <f>IFERROR(IF(INDEX('DAILY TASK TRACKER'!$L$5:$L$1504,MATCH(SMALL('DAILY TASK TRACKER'!$BD$5:$BD$1504,3),'DAILY TASK TRACKER'!$BD$5:$BD$1504,0))="","",INDEX('DAILY TASK TRACKER'!$L$5:$L$1504,MATCH(SMALL('DAILY TASK TRACKER'!$BD$5:$BD$1504,3),'DAILY TASK TRACKER'!$BD$5:$BD$1504,0))),"")</f>
        <v/>
      </c>
      <c r="F102" s="50" t="str">
        <f>IFERROR(IF(INDEX('DAILY TASK TRACKER'!$M$5:$M$1504,MATCH(SMALL('DAILY TASK TRACKER'!$BD$5:$BD$1504,3),'DAILY TASK TRACKER'!$BD$5:$BD$1504,0))="","",INDEX('DAILY TASK TRACKER'!$M$5:$M$1504,MATCH(SMALL('DAILY TASK TRACKER'!$BD$5:$BD$1504,3),'DAILY TASK TRACKER'!$BD$5:$BD$1504,0))),"")</f>
        <v/>
      </c>
      <c r="G102" s="52" t="str">
        <f>IFERROR(IF(INDEX('DAILY TASK TRACKER'!$AD$5:$AD$1504,MATCH(SMALL('DAILY TASK TRACKER'!$BD$5:$BD$1504,3),'DAILY TASK TRACKER'!$BD$5:$BD$1504,0))="","",INDEX('DAILY TASK TRACKER'!$AD$5:$AD$1504,MATCH(SMALL('DAILY TASK TRACKER'!$BD$5:$BD$1504,3),'DAILY TASK TRACKER'!$BD$5:$BD$1504,0))),"")</f>
        <v/>
      </c>
      <c r="H102" s="50" t="str">
        <f>IFERROR(IF(INDEX('DAILY TASK TRACKER'!$T$5:$T$1504,MATCH(SMALL('DAILY TASK TRACKER'!$BD$5:$BD$1504,3),'DAILY TASK TRACKER'!$BD$5:$BD$1504,0))="","",INDEX('DAILY TASK TRACKER'!$T$5:$T$1504,MATCH(SMALL('DAILY TASK TRACKER'!$BD$5:$BD$1504,3),'DAILY TASK TRACKER'!$BD$5:$BD$1504,0))),"")</f>
        <v/>
      </c>
    </row>
    <row r="103" ht="26" customHeight="1">
      <c r="A103" s="50" t="str">
        <f>IFERROR(IF(INDEX('DAILY TASK TRACKER'!$G$5:$G$1504,MATCH(SMALL('DAILY TASK TRACKER'!$BD$5:$BD$1504,4),'DAILY TASK TRACKER'!$BD$5:$BD$1504,0))="","",INDEX('DAILY TASK TRACKER'!$G$5:$G$1504,MATCH(SMALL('DAILY TASK TRACKER'!$BD$5:$BD$1504,4),'DAILY TASK TRACKER'!$BD$5:$BD$1504,0))),"")</f>
        <v/>
      </c>
      <c r="B103" s="50" t="str">
        <f>IFERROR(IF(INDEX('DAILY TASK TRACKER'!$B$5:$B$1504,MATCH(SMALL('DAILY TASK TRACKER'!$BD$5:$BD$1504,4),'DAILY TASK TRACKER'!$BD$5:$BD$1504,0))="","",INDEX('DAILY TASK TRACKER'!$B$5:$B$1504,MATCH(SMALL('DAILY TASK TRACKER'!$BD$5:$BD$1504,4),'DAILY TASK TRACKER'!$BD$5:$BD$1504,0))),"")</f>
        <v/>
      </c>
      <c r="C103" s="50" t="str">
        <f>IFERROR(IF(INDEX('DAILY TASK TRACKER'!$C$5:$C$1504,MATCH(SMALL('DAILY TASK TRACKER'!$BD$5:$BD$1504,4),'DAILY TASK TRACKER'!$BD$5:$BD$1504,0))="","",INDEX('DAILY TASK TRACKER'!$C$5:$C$1504,MATCH(SMALL('DAILY TASK TRACKER'!$BD$5:$BD$1504,4),'DAILY TASK TRACKER'!$BD$5:$BD$1504,0))),"")</f>
        <v/>
      </c>
      <c r="D103" s="50" t="str">
        <f>IFERROR(IF(INDEX('DAILY TASK TRACKER'!$I$5:$I$1504,MATCH(SMALL('DAILY TASK TRACKER'!$BD$5:$BD$1504,4),'DAILY TASK TRACKER'!$BD$5:$BD$1504,0))="","",INDEX('DAILY TASK TRACKER'!$I$5:$I$1504,MATCH(SMALL('DAILY TASK TRACKER'!$BD$5:$BD$1504,4),'DAILY TASK TRACKER'!$BD$5:$BD$1504,0))),"")</f>
        <v/>
      </c>
      <c r="E103" s="55" t="str">
        <f>IFERROR(IF(INDEX('DAILY TASK TRACKER'!$L$5:$L$1504,MATCH(SMALL('DAILY TASK TRACKER'!$BD$5:$BD$1504,4),'DAILY TASK TRACKER'!$BD$5:$BD$1504,0))="","",INDEX('DAILY TASK TRACKER'!$L$5:$L$1504,MATCH(SMALL('DAILY TASK TRACKER'!$BD$5:$BD$1504,4),'DAILY TASK TRACKER'!$BD$5:$BD$1504,0))),"")</f>
        <v/>
      </c>
      <c r="F103" s="50" t="str">
        <f>IFERROR(IF(INDEX('DAILY TASK TRACKER'!$M$5:$M$1504,MATCH(SMALL('DAILY TASK TRACKER'!$BD$5:$BD$1504,4),'DAILY TASK TRACKER'!$BD$5:$BD$1504,0))="","",INDEX('DAILY TASK TRACKER'!$M$5:$M$1504,MATCH(SMALL('DAILY TASK TRACKER'!$BD$5:$BD$1504,4),'DAILY TASK TRACKER'!$BD$5:$BD$1504,0))),"")</f>
        <v/>
      </c>
      <c r="G103" s="52" t="str">
        <f>IFERROR(IF(INDEX('DAILY TASK TRACKER'!$AD$5:$AD$1504,MATCH(SMALL('DAILY TASK TRACKER'!$BD$5:$BD$1504,4),'DAILY TASK TRACKER'!$BD$5:$BD$1504,0))="","",INDEX('DAILY TASK TRACKER'!$AD$5:$AD$1504,MATCH(SMALL('DAILY TASK TRACKER'!$BD$5:$BD$1504,4),'DAILY TASK TRACKER'!$BD$5:$BD$1504,0))),"")</f>
        <v/>
      </c>
      <c r="H103" s="50" t="str">
        <f>IFERROR(IF(INDEX('DAILY TASK TRACKER'!$T$5:$T$1504,MATCH(SMALL('DAILY TASK TRACKER'!$BD$5:$BD$1504,4),'DAILY TASK TRACKER'!$BD$5:$BD$1504,0))="","",INDEX('DAILY TASK TRACKER'!$T$5:$T$1504,MATCH(SMALL('DAILY TASK TRACKER'!$BD$5:$BD$1504,4),'DAILY TASK TRACKER'!$BD$5:$BD$1504,0))),"")</f>
        <v/>
      </c>
    </row>
    <row r="104" ht="26" customHeight="1">
      <c r="A104" s="50" t="str">
        <f>IFERROR(IF(INDEX('DAILY TASK TRACKER'!$G$5:$G$1504,MATCH(SMALL('DAILY TASK TRACKER'!$BD$5:$BD$1504,5),'DAILY TASK TRACKER'!$BD$5:$BD$1504,0))="","",INDEX('DAILY TASK TRACKER'!$G$5:$G$1504,MATCH(SMALL('DAILY TASK TRACKER'!$BD$5:$BD$1504,5),'DAILY TASK TRACKER'!$BD$5:$BD$1504,0))),"")</f>
        <v/>
      </c>
      <c r="B104" s="50" t="str">
        <f>IFERROR(IF(INDEX('DAILY TASK TRACKER'!$B$5:$B$1504,MATCH(SMALL('DAILY TASK TRACKER'!$BD$5:$BD$1504,5),'DAILY TASK TRACKER'!$BD$5:$BD$1504,0))="","",INDEX('DAILY TASK TRACKER'!$B$5:$B$1504,MATCH(SMALL('DAILY TASK TRACKER'!$BD$5:$BD$1504,5),'DAILY TASK TRACKER'!$BD$5:$BD$1504,0))),"")</f>
        <v/>
      </c>
      <c r="C104" s="50" t="str">
        <f>IFERROR(IF(INDEX('DAILY TASK TRACKER'!$C$5:$C$1504,MATCH(SMALL('DAILY TASK TRACKER'!$BD$5:$BD$1504,5),'DAILY TASK TRACKER'!$BD$5:$BD$1504,0))="","",INDEX('DAILY TASK TRACKER'!$C$5:$C$1504,MATCH(SMALL('DAILY TASK TRACKER'!$BD$5:$BD$1504,5),'DAILY TASK TRACKER'!$BD$5:$BD$1504,0))),"")</f>
        <v/>
      </c>
      <c r="D104" s="50" t="str">
        <f>IFERROR(IF(INDEX('DAILY TASK TRACKER'!$I$5:$I$1504,MATCH(SMALL('DAILY TASK TRACKER'!$BD$5:$BD$1504,5),'DAILY TASK TRACKER'!$BD$5:$BD$1504,0))="","",INDEX('DAILY TASK TRACKER'!$I$5:$I$1504,MATCH(SMALL('DAILY TASK TRACKER'!$BD$5:$BD$1504,5),'DAILY TASK TRACKER'!$BD$5:$BD$1504,0))),"")</f>
        <v/>
      </c>
      <c r="E104" s="55" t="str">
        <f>IFERROR(IF(INDEX('DAILY TASK TRACKER'!$L$5:$L$1504,MATCH(SMALL('DAILY TASK TRACKER'!$BD$5:$BD$1504,5),'DAILY TASK TRACKER'!$BD$5:$BD$1504,0))="","",INDEX('DAILY TASK TRACKER'!$L$5:$L$1504,MATCH(SMALL('DAILY TASK TRACKER'!$BD$5:$BD$1504,5),'DAILY TASK TRACKER'!$BD$5:$BD$1504,0))),"")</f>
        <v/>
      </c>
      <c r="F104" s="50" t="str">
        <f>IFERROR(IF(INDEX('DAILY TASK TRACKER'!$M$5:$M$1504,MATCH(SMALL('DAILY TASK TRACKER'!$BD$5:$BD$1504,5),'DAILY TASK TRACKER'!$BD$5:$BD$1504,0))="","",INDEX('DAILY TASK TRACKER'!$M$5:$M$1504,MATCH(SMALL('DAILY TASK TRACKER'!$BD$5:$BD$1504,5),'DAILY TASK TRACKER'!$BD$5:$BD$1504,0))),"")</f>
        <v/>
      </c>
      <c r="G104" s="52" t="str">
        <f>IFERROR(IF(INDEX('DAILY TASK TRACKER'!$AD$5:$AD$1504,MATCH(SMALL('DAILY TASK TRACKER'!$BD$5:$BD$1504,5),'DAILY TASK TRACKER'!$BD$5:$BD$1504,0))="","",INDEX('DAILY TASK TRACKER'!$AD$5:$AD$1504,MATCH(SMALL('DAILY TASK TRACKER'!$BD$5:$BD$1504,5),'DAILY TASK TRACKER'!$BD$5:$BD$1504,0))),"")</f>
        <v/>
      </c>
      <c r="H104" s="50" t="str">
        <f>IFERROR(IF(INDEX('DAILY TASK TRACKER'!$T$5:$T$1504,MATCH(SMALL('DAILY TASK TRACKER'!$BD$5:$BD$1504,5),'DAILY TASK TRACKER'!$BD$5:$BD$1504,0))="","",INDEX('DAILY TASK TRACKER'!$T$5:$T$1504,MATCH(SMALL('DAILY TASK TRACKER'!$BD$5:$BD$1504,5),'DAILY TASK TRACKER'!$BD$5:$BD$1504,0))),"")</f>
        <v/>
      </c>
    </row>
    <row r="105" ht="26" customHeight="1">
      <c r="A105" s="50" t="str">
        <f>IFERROR(IF(INDEX('DAILY TASK TRACKER'!$G$5:$G$1504,MATCH(SMALL('DAILY TASK TRACKER'!$BD$5:$BD$1504,6),'DAILY TASK TRACKER'!$BD$5:$BD$1504,0))="","",INDEX('DAILY TASK TRACKER'!$G$5:$G$1504,MATCH(SMALL('DAILY TASK TRACKER'!$BD$5:$BD$1504,6),'DAILY TASK TRACKER'!$BD$5:$BD$1504,0))),"")</f>
        <v/>
      </c>
      <c r="B105" s="50" t="str">
        <f>IFERROR(IF(INDEX('DAILY TASK TRACKER'!$B$5:$B$1504,MATCH(SMALL('DAILY TASK TRACKER'!$BD$5:$BD$1504,6),'DAILY TASK TRACKER'!$BD$5:$BD$1504,0))="","",INDEX('DAILY TASK TRACKER'!$B$5:$B$1504,MATCH(SMALL('DAILY TASK TRACKER'!$BD$5:$BD$1504,6),'DAILY TASK TRACKER'!$BD$5:$BD$1504,0))),"")</f>
        <v/>
      </c>
      <c r="C105" s="50" t="str">
        <f>IFERROR(IF(INDEX('DAILY TASK TRACKER'!$C$5:$C$1504,MATCH(SMALL('DAILY TASK TRACKER'!$BD$5:$BD$1504,6),'DAILY TASK TRACKER'!$BD$5:$BD$1504,0))="","",INDEX('DAILY TASK TRACKER'!$C$5:$C$1504,MATCH(SMALL('DAILY TASK TRACKER'!$BD$5:$BD$1504,6),'DAILY TASK TRACKER'!$BD$5:$BD$1504,0))),"")</f>
        <v/>
      </c>
      <c r="D105" s="50" t="str">
        <f>IFERROR(IF(INDEX('DAILY TASK TRACKER'!$I$5:$I$1504,MATCH(SMALL('DAILY TASK TRACKER'!$BD$5:$BD$1504,6),'DAILY TASK TRACKER'!$BD$5:$BD$1504,0))="","",INDEX('DAILY TASK TRACKER'!$I$5:$I$1504,MATCH(SMALL('DAILY TASK TRACKER'!$BD$5:$BD$1504,6),'DAILY TASK TRACKER'!$BD$5:$BD$1504,0))),"")</f>
        <v/>
      </c>
      <c r="E105" s="55" t="str">
        <f>IFERROR(IF(INDEX('DAILY TASK TRACKER'!$L$5:$L$1504,MATCH(SMALL('DAILY TASK TRACKER'!$BD$5:$BD$1504,6),'DAILY TASK TRACKER'!$BD$5:$BD$1504,0))="","",INDEX('DAILY TASK TRACKER'!$L$5:$L$1504,MATCH(SMALL('DAILY TASK TRACKER'!$BD$5:$BD$1504,6),'DAILY TASK TRACKER'!$BD$5:$BD$1504,0))),"")</f>
        <v/>
      </c>
      <c r="F105" s="50" t="str">
        <f>IFERROR(IF(INDEX('DAILY TASK TRACKER'!$M$5:$M$1504,MATCH(SMALL('DAILY TASK TRACKER'!$BD$5:$BD$1504,6),'DAILY TASK TRACKER'!$BD$5:$BD$1504,0))="","",INDEX('DAILY TASK TRACKER'!$M$5:$M$1504,MATCH(SMALL('DAILY TASK TRACKER'!$BD$5:$BD$1504,6),'DAILY TASK TRACKER'!$BD$5:$BD$1504,0))),"")</f>
        <v/>
      </c>
      <c r="G105" s="52" t="str">
        <f>IFERROR(IF(INDEX('DAILY TASK TRACKER'!$AD$5:$AD$1504,MATCH(SMALL('DAILY TASK TRACKER'!$BD$5:$BD$1504,6),'DAILY TASK TRACKER'!$BD$5:$BD$1504,0))="","",INDEX('DAILY TASK TRACKER'!$AD$5:$AD$1504,MATCH(SMALL('DAILY TASK TRACKER'!$BD$5:$BD$1504,6),'DAILY TASK TRACKER'!$BD$5:$BD$1504,0))),"")</f>
        <v/>
      </c>
      <c r="H105" s="50" t="str">
        <f>IFERROR(IF(INDEX('DAILY TASK TRACKER'!$T$5:$T$1504,MATCH(SMALL('DAILY TASK TRACKER'!$BD$5:$BD$1504,6),'DAILY TASK TRACKER'!$BD$5:$BD$1504,0))="","",INDEX('DAILY TASK TRACKER'!$T$5:$T$1504,MATCH(SMALL('DAILY TASK TRACKER'!$BD$5:$BD$1504,6),'DAILY TASK TRACKER'!$BD$5:$BD$1504,0))),"")</f>
        <v/>
      </c>
    </row>
    <row r="107" ht="20" customHeight="1">
      <c r="A107" s="37" t="inlineStr">
        <is>
          <t>Low-performing campaigns</t>
        </is>
      </c>
      <c r="B107" s="33" t="n"/>
      <c r="C107" s="33" t="n"/>
      <c r="D107" s="33" t="n"/>
      <c r="E107" s="33" t="n"/>
      <c r="F107" s="33" t="n"/>
      <c r="G107" s="33" t="n"/>
      <c r="H107" s="33" t="n"/>
    </row>
    <row r="108" ht="22" customHeight="1">
      <c r="A108" s="38" t="inlineStr">
        <is>
          <t>Campaign</t>
        </is>
      </c>
      <c r="B108" s="38" t="inlineStr">
        <is>
          <t>Client</t>
        </is>
      </c>
      <c r="C108" s="38" t="inlineStr">
        <is>
          <t>Owner</t>
        </is>
      </c>
      <c r="D108" s="38" t="inlineStr">
        <is>
          <t>Status</t>
        </is>
      </c>
      <c r="E108" s="38" t="inlineStr">
        <is>
          <t>Performance</t>
        </is>
      </c>
      <c r="F108" s="38" t="inlineStr">
        <is>
          <t>Leads</t>
        </is>
      </c>
      <c r="G108" s="38" t="inlineStr">
        <is>
          <t>Leads Target</t>
        </is>
      </c>
      <c r="H108" s="38" t="inlineStr">
        <is>
          <t>Last Updated</t>
        </is>
      </c>
    </row>
    <row r="109" ht="24" customHeight="1">
      <c r="A109" s="49" t="str">
        <f>IFERROR(IF(INDEX('CAMPAIGN MASTER'!$B$5:$B$704,MATCH(SMALL('CAMPAIGN MASTER'!$AV$5:$AV$704,1),'CAMPAIGN MASTER'!$AV$5:$AV$704,0))="","",INDEX('CAMPAIGN MASTER'!$B$5:$B$704,MATCH(SMALL('CAMPAIGN MASTER'!$AV$5:$AV$704,1),'CAMPAIGN MASTER'!$AV$5:$AV$704,0))),"- none -")</f>
        <v>- none -</v>
      </c>
      <c r="B109" s="50" t="str">
        <f>IFERROR(IF(INDEX('CAMPAIGN MASTER'!$A$5:$A$704,MATCH(SMALL('CAMPAIGN MASTER'!$AV$5:$AV$704,1),'CAMPAIGN MASTER'!$AV$5:$AV$704,0))="","",INDEX('CAMPAIGN MASTER'!$A$5:$A$704,MATCH(SMALL('CAMPAIGN MASTER'!$AV$5:$AV$704,1),'CAMPAIGN MASTER'!$AV$5:$AV$704,0))),"")</f>
        <v/>
      </c>
      <c r="C109" s="50" t="str">
        <f>IFERROR(IF(INDEX('CAMPAIGN MASTER'!$I$5:$I$704,MATCH(SMALL('CAMPAIGN MASTER'!$AV$5:$AV$704,1),'CAMPAIGN MASTER'!$AV$5:$AV$704,0))="","",INDEX('CAMPAIGN MASTER'!$I$5:$I$704,MATCH(SMALL('CAMPAIGN MASTER'!$AV$5:$AV$704,1),'CAMPAIGN MASTER'!$AV$5:$AV$704,0))),"")</f>
        <v/>
      </c>
      <c r="D109" s="50" t="str">
        <f>IFERROR(IF(INDEX('CAMPAIGN MASTER'!$N$5:$N$704,MATCH(SMALL('CAMPAIGN MASTER'!$AV$5:$AV$704,1),'CAMPAIGN MASTER'!$AV$5:$AV$704,0))="","",INDEX('CAMPAIGN MASTER'!$N$5:$N$704,MATCH(SMALL('CAMPAIGN MASTER'!$AV$5:$AV$704,1),'CAMPAIGN MASTER'!$AV$5:$AV$704,0))),"")</f>
        <v/>
      </c>
      <c r="E109" s="50" t="str">
        <f>IFERROR(IF(INDEX('CAMPAIGN MASTER'!$AA$5:$AA$704,MATCH(SMALL('CAMPAIGN MASTER'!$AV$5:$AV$704,1),'CAMPAIGN MASTER'!$AV$5:$AV$704,0))="","",INDEX('CAMPAIGN MASTER'!$AA$5:$AA$704,MATCH(SMALL('CAMPAIGN MASTER'!$AV$5:$AV$704,1),'CAMPAIGN MASTER'!$AV$5:$AV$704,0))),"")</f>
        <v/>
      </c>
      <c r="F109" s="52" t="str">
        <f>IFERROR(IF(INDEX('CAMPAIGN MASTER'!$R$5:$R$704,MATCH(SMALL('CAMPAIGN MASTER'!$AV$5:$AV$704,1),'CAMPAIGN MASTER'!$AV$5:$AV$704,0))="","",INDEX('CAMPAIGN MASTER'!$R$5:$R$704,MATCH(SMALL('CAMPAIGN MASTER'!$AV$5:$AV$704,1),'CAMPAIGN MASTER'!$AV$5:$AV$704,0))),"")</f>
        <v/>
      </c>
      <c r="G109" s="52" t="str">
        <f>IFERROR(IF(INDEX('CAMPAIGN MASTER'!$Q$5:$Q$704,MATCH(SMALL('CAMPAIGN MASTER'!$AV$5:$AV$704,1),'CAMPAIGN MASTER'!$AV$5:$AV$704,0))="","",INDEX('CAMPAIGN MASTER'!$Q$5:$Q$704,MATCH(SMALL('CAMPAIGN MASTER'!$AV$5:$AV$704,1),'CAMPAIGN MASTER'!$AV$5:$AV$704,0))),"")</f>
        <v/>
      </c>
      <c r="H109" s="55" t="str">
        <f>IFERROR(IF(INDEX('CAMPAIGN MASTER'!$AG$5:$AG$704,MATCH(SMALL('CAMPAIGN MASTER'!$AV$5:$AV$704,1),'CAMPAIGN MASTER'!$AV$5:$AV$704,0))="","",INDEX('CAMPAIGN MASTER'!$AG$5:$AG$704,MATCH(SMALL('CAMPAIGN MASTER'!$AV$5:$AV$704,1),'CAMPAIGN MASTER'!$AV$5:$AV$704,0))),"")</f>
        <v/>
      </c>
    </row>
    <row r="110" ht="24" customHeight="1">
      <c r="A110" s="50" t="str">
        <f>IFERROR(IF(INDEX('CAMPAIGN MASTER'!$B$5:$B$704,MATCH(SMALL('CAMPAIGN MASTER'!$AV$5:$AV$704,2),'CAMPAIGN MASTER'!$AV$5:$AV$704,0))="","",INDEX('CAMPAIGN MASTER'!$B$5:$B$704,MATCH(SMALL('CAMPAIGN MASTER'!$AV$5:$AV$704,2),'CAMPAIGN MASTER'!$AV$5:$AV$704,0))),"")</f>
        <v/>
      </c>
      <c r="B110" s="50" t="str">
        <f>IFERROR(IF(INDEX('CAMPAIGN MASTER'!$A$5:$A$704,MATCH(SMALL('CAMPAIGN MASTER'!$AV$5:$AV$704,2),'CAMPAIGN MASTER'!$AV$5:$AV$704,0))="","",INDEX('CAMPAIGN MASTER'!$A$5:$A$704,MATCH(SMALL('CAMPAIGN MASTER'!$AV$5:$AV$704,2),'CAMPAIGN MASTER'!$AV$5:$AV$704,0))),"")</f>
        <v/>
      </c>
      <c r="C110" s="50" t="str">
        <f>IFERROR(IF(INDEX('CAMPAIGN MASTER'!$I$5:$I$704,MATCH(SMALL('CAMPAIGN MASTER'!$AV$5:$AV$704,2),'CAMPAIGN MASTER'!$AV$5:$AV$704,0))="","",INDEX('CAMPAIGN MASTER'!$I$5:$I$704,MATCH(SMALL('CAMPAIGN MASTER'!$AV$5:$AV$704,2),'CAMPAIGN MASTER'!$AV$5:$AV$704,0))),"")</f>
        <v/>
      </c>
      <c r="D110" s="50" t="str">
        <f>IFERROR(IF(INDEX('CAMPAIGN MASTER'!$N$5:$N$704,MATCH(SMALL('CAMPAIGN MASTER'!$AV$5:$AV$704,2),'CAMPAIGN MASTER'!$AV$5:$AV$704,0))="","",INDEX('CAMPAIGN MASTER'!$N$5:$N$704,MATCH(SMALL('CAMPAIGN MASTER'!$AV$5:$AV$704,2),'CAMPAIGN MASTER'!$AV$5:$AV$704,0))),"")</f>
        <v/>
      </c>
      <c r="E110" s="50" t="str">
        <f>IFERROR(IF(INDEX('CAMPAIGN MASTER'!$AA$5:$AA$704,MATCH(SMALL('CAMPAIGN MASTER'!$AV$5:$AV$704,2),'CAMPAIGN MASTER'!$AV$5:$AV$704,0))="","",INDEX('CAMPAIGN MASTER'!$AA$5:$AA$704,MATCH(SMALL('CAMPAIGN MASTER'!$AV$5:$AV$704,2),'CAMPAIGN MASTER'!$AV$5:$AV$704,0))),"")</f>
        <v/>
      </c>
      <c r="F110" s="52" t="str">
        <f>IFERROR(IF(INDEX('CAMPAIGN MASTER'!$R$5:$R$704,MATCH(SMALL('CAMPAIGN MASTER'!$AV$5:$AV$704,2),'CAMPAIGN MASTER'!$AV$5:$AV$704,0))="","",INDEX('CAMPAIGN MASTER'!$R$5:$R$704,MATCH(SMALL('CAMPAIGN MASTER'!$AV$5:$AV$704,2),'CAMPAIGN MASTER'!$AV$5:$AV$704,0))),"")</f>
        <v/>
      </c>
      <c r="G110" s="52" t="str">
        <f>IFERROR(IF(INDEX('CAMPAIGN MASTER'!$Q$5:$Q$704,MATCH(SMALL('CAMPAIGN MASTER'!$AV$5:$AV$704,2),'CAMPAIGN MASTER'!$AV$5:$AV$704,0))="","",INDEX('CAMPAIGN MASTER'!$Q$5:$Q$704,MATCH(SMALL('CAMPAIGN MASTER'!$AV$5:$AV$704,2),'CAMPAIGN MASTER'!$AV$5:$AV$704,0))),"")</f>
        <v/>
      </c>
      <c r="H110" s="55" t="str">
        <f>IFERROR(IF(INDEX('CAMPAIGN MASTER'!$AG$5:$AG$704,MATCH(SMALL('CAMPAIGN MASTER'!$AV$5:$AV$704,2),'CAMPAIGN MASTER'!$AV$5:$AV$704,0))="","",INDEX('CAMPAIGN MASTER'!$AG$5:$AG$704,MATCH(SMALL('CAMPAIGN MASTER'!$AV$5:$AV$704,2),'CAMPAIGN MASTER'!$AV$5:$AV$704,0))),"")</f>
        <v/>
      </c>
    </row>
    <row r="111" ht="24" customHeight="1">
      <c r="A111" s="50" t="str">
        <f>IFERROR(IF(INDEX('CAMPAIGN MASTER'!$B$5:$B$704,MATCH(SMALL('CAMPAIGN MASTER'!$AV$5:$AV$704,3),'CAMPAIGN MASTER'!$AV$5:$AV$704,0))="","",INDEX('CAMPAIGN MASTER'!$B$5:$B$704,MATCH(SMALL('CAMPAIGN MASTER'!$AV$5:$AV$704,3),'CAMPAIGN MASTER'!$AV$5:$AV$704,0))),"")</f>
        <v/>
      </c>
      <c r="B111" s="50" t="str">
        <f>IFERROR(IF(INDEX('CAMPAIGN MASTER'!$A$5:$A$704,MATCH(SMALL('CAMPAIGN MASTER'!$AV$5:$AV$704,3),'CAMPAIGN MASTER'!$AV$5:$AV$704,0))="","",INDEX('CAMPAIGN MASTER'!$A$5:$A$704,MATCH(SMALL('CAMPAIGN MASTER'!$AV$5:$AV$704,3),'CAMPAIGN MASTER'!$AV$5:$AV$704,0))),"")</f>
        <v/>
      </c>
      <c r="C111" s="50" t="str">
        <f>IFERROR(IF(INDEX('CAMPAIGN MASTER'!$I$5:$I$704,MATCH(SMALL('CAMPAIGN MASTER'!$AV$5:$AV$704,3),'CAMPAIGN MASTER'!$AV$5:$AV$704,0))="","",INDEX('CAMPAIGN MASTER'!$I$5:$I$704,MATCH(SMALL('CAMPAIGN MASTER'!$AV$5:$AV$704,3),'CAMPAIGN MASTER'!$AV$5:$AV$704,0))),"")</f>
        <v/>
      </c>
      <c r="D111" s="50" t="str">
        <f>IFERROR(IF(INDEX('CAMPAIGN MASTER'!$N$5:$N$704,MATCH(SMALL('CAMPAIGN MASTER'!$AV$5:$AV$704,3),'CAMPAIGN MASTER'!$AV$5:$AV$704,0))="","",INDEX('CAMPAIGN MASTER'!$N$5:$N$704,MATCH(SMALL('CAMPAIGN MASTER'!$AV$5:$AV$704,3),'CAMPAIGN MASTER'!$AV$5:$AV$704,0))),"")</f>
        <v/>
      </c>
      <c r="E111" s="50" t="str">
        <f>IFERROR(IF(INDEX('CAMPAIGN MASTER'!$AA$5:$AA$704,MATCH(SMALL('CAMPAIGN MASTER'!$AV$5:$AV$704,3),'CAMPAIGN MASTER'!$AV$5:$AV$704,0))="","",INDEX('CAMPAIGN MASTER'!$AA$5:$AA$704,MATCH(SMALL('CAMPAIGN MASTER'!$AV$5:$AV$704,3),'CAMPAIGN MASTER'!$AV$5:$AV$704,0))),"")</f>
        <v/>
      </c>
      <c r="F111" s="52" t="str">
        <f>IFERROR(IF(INDEX('CAMPAIGN MASTER'!$R$5:$R$704,MATCH(SMALL('CAMPAIGN MASTER'!$AV$5:$AV$704,3),'CAMPAIGN MASTER'!$AV$5:$AV$704,0))="","",INDEX('CAMPAIGN MASTER'!$R$5:$R$704,MATCH(SMALL('CAMPAIGN MASTER'!$AV$5:$AV$704,3),'CAMPAIGN MASTER'!$AV$5:$AV$704,0))),"")</f>
        <v/>
      </c>
      <c r="G111" s="52" t="str">
        <f>IFERROR(IF(INDEX('CAMPAIGN MASTER'!$Q$5:$Q$704,MATCH(SMALL('CAMPAIGN MASTER'!$AV$5:$AV$704,3),'CAMPAIGN MASTER'!$AV$5:$AV$704,0))="","",INDEX('CAMPAIGN MASTER'!$Q$5:$Q$704,MATCH(SMALL('CAMPAIGN MASTER'!$AV$5:$AV$704,3),'CAMPAIGN MASTER'!$AV$5:$AV$704,0))),"")</f>
        <v/>
      </c>
      <c r="H111" s="55" t="str">
        <f>IFERROR(IF(INDEX('CAMPAIGN MASTER'!$AG$5:$AG$704,MATCH(SMALL('CAMPAIGN MASTER'!$AV$5:$AV$704,3),'CAMPAIGN MASTER'!$AV$5:$AV$704,0))="","",INDEX('CAMPAIGN MASTER'!$AG$5:$AG$704,MATCH(SMALL('CAMPAIGN MASTER'!$AV$5:$AV$704,3),'CAMPAIGN MASTER'!$AV$5:$AV$704,0))),"")</f>
        <v/>
      </c>
    </row>
    <row r="112" ht="24" customHeight="1">
      <c r="A112" s="50" t="str">
        <f>IFERROR(IF(INDEX('CAMPAIGN MASTER'!$B$5:$B$704,MATCH(SMALL('CAMPAIGN MASTER'!$AV$5:$AV$704,4),'CAMPAIGN MASTER'!$AV$5:$AV$704,0))="","",INDEX('CAMPAIGN MASTER'!$B$5:$B$704,MATCH(SMALL('CAMPAIGN MASTER'!$AV$5:$AV$704,4),'CAMPAIGN MASTER'!$AV$5:$AV$704,0))),"")</f>
        <v/>
      </c>
      <c r="B112" s="50" t="str">
        <f>IFERROR(IF(INDEX('CAMPAIGN MASTER'!$A$5:$A$704,MATCH(SMALL('CAMPAIGN MASTER'!$AV$5:$AV$704,4),'CAMPAIGN MASTER'!$AV$5:$AV$704,0))="","",INDEX('CAMPAIGN MASTER'!$A$5:$A$704,MATCH(SMALL('CAMPAIGN MASTER'!$AV$5:$AV$704,4),'CAMPAIGN MASTER'!$AV$5:$AV$704,0))),"")</f>
        <v/>
      </c>
      <c r="C112" s="50" t="str">
        <f>IFERROR(IF(INDEX('CAMPAIGN MASTER'!$I$5:$I$704,MATCH(SMALL('CAMPAIGN MASTER'!$AV$5:$AV$704,4),'CAMPAIGN MASTER'!$AV$5:$AV$704,0))="","",INDEX('CAMPAIGN MASTER'!$I$5:$I$704,MATCH(SMALL('CAMPAIGN MASTER'!$AV$5:$AV$704,4),'CAMPAIGN MASTER'!$AV$5:$AV$704,0))),"")</f>
        <v/>
      </c>
      <c r="D112" s="50" t="str">
        <f>IFERROR(IF(INDEX('CAMPAIGN MASTER'!$N$5:$N$704,MATCH(SMALL('CAMPAIGN MASTER'!$AV$5:$AV$704,4),'CAMPAIGN MASTER'!$AV$5:$AV$704,0))="","",INDEX('CAMPAIGN MASTER'!$N$5:$N$704,MATCH(SMALL('CAMPAIGN MASTER'!$AV$5:$AV$704,4),'CAMPAIGN MASTER'!$AV$5:$AV$704,0))),"")</f>
        <v/>
      </c>
      <c r="E112" s="50" t="str">
        <f>IFERROR(IF(INDEX('CAMPAIGN MASTER'!$AA$5:$AA$704,MATCH(SMALL('CAMPAIGN MASTER'!$AV$5:$AV$704,4),'CAMPAIGN MASTER'!$AV$5:$AV$704,0))="","",INDEX('CAMPAIGN MASTER'!$AA$5:$AA$704,MATCH(SMALL('CAMPAIGN MASTER'!$AV$5:$AV$704,4),'CAMPAIGN MASTER'!$AV$5:$AV$704,0))),"")</f>
        <v/>
      </c>
      <c r="F112" s="52" t="str">
        <f>IFERROR(IF(INDEX('CAMPAIGN MASTER'!$R$5:$R$704,MATCH(SMALL('CAMPAIGN MASTER'!$AV$5:$AV$704,4),'CAMPAIGN MASTER'!$AV$5:$AV$704,0))="","",INDEX('CAMPAIGN MASTER'!$R$5:$R$704,MATCH(SMALL('CAMPAIGN MASTER'!$AV$5:$AV$704,4),'CAMPAIGN MASTER'!$AV$5:$AV$704,0))),"")</f>
        <v/>
      </c>
      <c r="G112" s="52" t="str">
        <f>IFERROR(IF(INDEX('CAMPAIGN MASTER'!$Q$5:$Q$704,MATCH(SMALL('CAMPAIGN MASTER'!$AV$5:$AV$704,4),'CAMPAIGN MASTER'!$AV$5:$AV$704,0))="","",INDEX('CAMPAIGN MASTER'!$Q$5:$Q$704,MATCH(SMALL('CAMPAIGN MASTER'!$AV$5:$AV$704,4),'CAMPAIGN MASTER'!$AV$5:$AV$704,0))),"")</f>
        <v/>
      </c>
      <c r="H112" s="55" t="str">
        <f>IFERROR(IF(INDEX('CAMPAIGN MASTER'!$AG$5:$AG$704,MATCH(SMALL('CAMPAIGN MASTER'!$AV$5:$AV$704,4),'CAMPAIGN MASTER'!$AV$5:$AV$704,0))="","",INDEX('CAMPAIGN MASTER'!$AG$5:$AG$704,MATCH(SMALL('CAMPAIGN MASTER'!$AV$5:$AV$704,4),'CAMPAIGN MASTER'!$AV$5:$AV$704,0))),"")</f>
        <v/>
      </c>
    </row>
    <row r="113" ht="24" customHeight="1">
      <c r="A113" s="50" t="str">
        <f>IFERROR(IF(INDEX('CAMPAIGN MASTER'!$B$5:$B$704,MATCH(SMALL('CAMPAIGN MASTER'!$AV$5:$AV$704,5),'CAMPAIGN MASTER'!$AV$5:$AV$704,0))="","",INDEX('CAMPAIGN MASTER'!$B$5:$B$704,MATCH(SMALL('CAMPAIGN MASTER'!$AV$5:$AV$704,5),'CAMPAIGN MASTER'!$AV$5:$AV$704,0))),"")</f>
        <v/>
      </c>
      <c r="B113" s="50" t="str">
        <f>IFERROR(IF(INDEX('CAMPAIGN MASTER'!$A$5:$A$704,MATCH(SMALL('CAMPAIGN MASTER'!$AV$5:$AV$704,5),'CAMPAIGN MASTER'!$AV$5:$AV$704,0))="","",INDEX('CAMPAIGN MASTER'!$A$5:$A$704,MATCH(SMALL('CAMPAIGN MASTER'!$AV$5:$AV$704,5),'CAMPAIGN MASTER'!$AV$5:$AV$704,0))),"")</f>
        <v/>
      </c>
      <c r="C113" s="50" t="str">
        <f>IFERROR(IF(INDEX('CAMPAIGN MASTER'!$I$5:$I$704,MATCH(SMALL('CAMPAIGN MASTER'!$AV$5:$AV$704,5),'CAMPAIGN MASTER'!$AV$5:$AV$704,0))="","",INDEX('CAMPAIGN MASTER'!$I$5:$I$704,MATCH(SMALL('CAMPAIGN MASTER'!$AV$5:$AV$704,5),'CAMPAIGN MASTER'!$AV$5:$AV$704,0))),"")</f>
        <v/>
      </c>
      <c r="D113" s="50" t="str">
        <f>IFERROR(IF(INDEX('CAMPAIGN MASTER'!$N$5:$N$704,MATCH(SMALL('CAMPAIGN MASTER'!$AV$5:$AV$704,5),'CAMPAIGN MASTER'!$AV$5:$AV$704,0))="","",INDEX('CAMPAIGN MASTER'!$N$5:$N$704,MATCH(SMALL('CAMPAIGN MASTER'!$AV$5:$AV$704,5),'CAMPAIGN MASTER'!$AV$5:$AV$704,0))),"")</f>
        <v/>
      </c>
      <c r="E113" s="50" t="str">
        <f>IFERROR(IF(INDEX('CAMPAIGN MASTER'!$AA$5:$AA$704,MATCH(SMALL('CAMPAIGN MASTER'!$AV$5:$AV$704,5),'CAMPAIGN MASTER'!$AV$5:$AV$704,0))="","",INDEX('CAMPAIGN MASTER'!$AA$5:$AA$704,MATCH(SMALL('CAMPAIGN MASTER'!$AV$5:$AV$704,5),'CAMPAIGN MASTER'!$AV$5:$AV$704,0))),"")</f>
        <v/>
      </c>
      <c r="F113" s="52" t="str">
        <f>IFERROR(IF(INDEX('CAMPAIGN MASTER'!$R$5:$R$704,MATCH(SMALL('CAMPAIGN MASTER'!$AV$5:$AV$704,5),'CAMPAIGN MASTER'!$AV$5:$AV$704,0))="","",INDEX('CAMPAIGN MASTER'!$R$5:$R$704,MATCH(SMALL('CAMPAIGN MASTER'!$AV$5:$AV$704,5),'CAMPAIGN MASTER'!$AV$5:$AV$704,0))),"")</f>
        <v/>
      </c>
      <c r="G113" s="52" t="str">
        <f>IFERROR(IF(INDEX('CAMPAIGN MASTER'!$Q$5:$Q$704,MATCH(SMALL('CAMPAIGN MASTER'!$AV$5:$AV$704,5),'CAMPAIGN MASTER'!$AV$5:$AV$704,0))="","",INDEX('CAMPAIGN MASTER'!$Q$5:$Q$704,MATCH(SMALL('CAMPAIGN MASTER'!$AV$5:$AV$704,5),'CAMPAIGN MASTER'!$AV$5:$AV$704,0))),"")</f>
        <v/>
      </c>
      <c r="H113" s="55" t="str">
        <f>IFERROR(IF(INDEX('CAMPAIGN MASTER'!$AG$5:$AG$704,MATCH(SMALL('CAMPAIGN MASTER'!$AV$5:$AV$704,5),'CAMPAIGN MASTER'!$AV$5:$AV$704,0))="","",INDEX('CAMPAIGN MASTER'!$AG$5:$AG$704,MATCH(SMALL('CAMPAIGN MASTER'!$AV$5:$AV$704,5),'CAMPAIGN MASTER'!$AV$5:$AV$704,0))),"")</f>
        <v/>
      </c>
    </row>
    <row r="114" ht="24" customHeight="1">
      <c r="A114" s="50" t="str">
        <f>IFERROR(IF(INDEX('CAMPAIGN MASTER'!$B$5:$B$704,MATCH(SMALL('CAMPAIGN MASTER'!$AV$5:$AV$704,6),'CAMPAIGN MASTER'!$AV$5:$AV$704,0))="","",INDEX('CAMPAIGN MASTER'!$B$5:$B$704,MATCH(SMALL('CAMPAIGN MASTER'!$AV$5:$AV$704,6),'CAMPAIGN MASTER'!$AV$5:$AV$704,0))),"")</f>
        <v/>
      </c>
      <c r="B114" s="50" t="str">
        <f>IFERROR(IF(INDEX('CAMPAIGN MASTER'!$A$5:$A$704,MATCH(SMALL('CAMPAIGN MASTER'!$AV$5:$AV$704,6),'CAMPAIGN MASTER'!$AV$5:$AV$704,0))="","",INDEX('CAMPAIGN MASTER'!$A$5:$A$704,MATCH(SMALL('CAMPAIGN MASTER'!$AV$5:$AV$704,6),'CAMPAIGN MASTER'!$AV$5:$AV$704,0))),"")</f>
        <v/>
      </c>
      <c r="C114" s="50" t="str">
        <f>IFERROR(IF(INDEX('CAMPAIGN MASTER'!$I$5:$I$704,MATCH(SMALL('CAMPAIGN MASTER'!$AV$5:$AV$704,6),'CAMPAIGN MASTER'!$AV$5:$AV$704,0))="","",INDEX('CAMPAIGN MASTER'!$I$5:$I$704,MATCH(SMALL('CAMPAIGN MASTER'!$AV$5:$AV$704,6),'CAMPAIGN MASTER'!$AV$5:$AV$704,0))),"")</f>
        <v/>
      </c>
      <c r="D114" s="50" t="str">
        <f>IFERROR(IF(INDEX('CAMPAIGN MASTER'!$N$5:$N$704,MATCH(SMALL('CAMPAIGN MASTER'!$AV$5:$AV$704,6),'CAMPAIGN MASTER'!$AV$5:$AV$704,0))="","",INDEX('CAMPAIGN MASTER'!$N$5:$N$704,MATCH(SMALL('CAMPAIGN MASTER'!$AV$5:$AV$704,6),'CAMPAIGN MASTER'!$AV$5:$AV$704,0))),"")</f>
        <v/>
      </c>
      <c r="E114" s="50" t="str">
        <f>IFERROR(IF(INDEX('CAMPAIGN MASTER'!$AA$5:$AA$704,MATCH(SMALL('CAMPAIGN MASTER'!$AV$5:$AV$704,6),'CAMPAIGN MASTER'!$AV$5:$AV$704,0))="","",INDEX('CAMPAIGN MASTER'!$AA$5:$AA$704,MATCH(SMALL('CAMPAIGN MASTER'!$AV$5:$AV$704,6),'CAMPAIGN MASTER'!$AV$5:$AV$704,0))),"")</f>
        <v/>
      </c>
      <c r="F114" s="52" t="str">
        <f>IFERROR(IF(INDEX('CAMPAIGN MASTER'!$R$5:$R$704,MATCH(SMALL('CAMPAIGN MASTER'!$AV$5:$AV$704,6),'CAMPAIGN MASTER'!$AV$5:$AV$704,0))="","",INDEX('CAMPAIGN MASTER'!$R$5:$R$704,MATCH(SMALL('CAMPAIGN MASTER'!$AV$5:$AV$704,6),'CAMPAIGN MASTER'!$AV$5:$AV$704,0))),"")</f>
        <v/>
      </c>
      <c r="G114" s="52" t="str">
        <f>IFERROR(IF(INDEX('CAMPAIGN MASTER'!$Q$5:$Q$704,MATCH(SMALL('CAMPAIGN MASTER'!$AV$5:$AV$704,6),'CAMPAIGN MASTER'!$AV$5:$AV$704,0))="","",INDEX('CAMPAIGN MASTER'!$Q$5:$Q$704,MATCH(SMALL('CAMPAIGN MASTER'!$AV$5:$AV$704,6),'CAMPAIGN MASTER'!$AV$5:$AV$704,0))),"")</f>
        <v/>
      </c>
      <c r="H114" s="55" t="str">
        <f>IFERROR(IF(INDEX('CAMPAIGN MASTER'!$AG$5:$AG$704,MATCH(SMALL('CAMPAIGN MASTER'!$AV$5:$AV$704,6),'CAMPAIGN MASTER'!$AV$5:$AV$704,0))="","",INDEX('CAMPAIGN MASTER'!$AG$5:$AG$704,MATCH(SMALL('CAMPAIGN MASTER'!$AV$5:$AV$704,6),'CAMPAIGN MASTER'!$AV$5:$AV$704,0))),"")</f>
        <v/>
      </c>
    </row>
    <row r="116" ht="20" customHeight="1">
      <c r="A116" s="37" t="inlineStr">
        <is>
          <t>Campaigns without recent updates</t>
        </is>
      </c>
      <c r="B116" s="33" t="n"/>
      <c r="C116" s="33" t="n"/>
      <c r="D116" s="33" t="n"/>
      <c r="E116" s="33" t="n"/>
      <c r="F116" s="33" t="n"/>
      <c r="G116" s="33" t="n"/>
      <c r="H116" s="33" t="n"/>
    </row>
    <row r="117" ht="22" customHeight="1">
      <c r="A117" s="38" t="inlineStr">
        <is>
          <t>Campaign</t>
        </is>
      </c>
      <c r="B117" s="38" t="inlineStr">
        <is>
          <t>Client</t>
        </is>
      </c>
      <c r="C117" s="38" t="inlineStr">
        <is>
          <t>Owner</t>
        </is>
      </c>
      <c r="D117" s="38" t="inlineStr">
        <is>
          <t>Status</t>
        </is>
      </c>
      <c r="E117" s="38" t="inlineStr">
        <is>
          <t>Performance</t>
        </is>
      </c>
      <c r="F117" s="38" t="inlineStr">
        <is>
          <t>Leads</t>
        </is>
      </c>
      <c r="G117" s="38" t="inlineStr">
        <is>
          <t>Leads Target</t>
        </is>
      </c>
      <c r="H117" s="38" t="inlineStr">
        <is>
          <t>Last Updated</t>
        </is>
      </c>
    </row>
    <row r="118" ht="24" customHeight="1">
      <c r="A118" s="49" t="str">
        <f>IFERROR(IF(INDEX('CAMPAIGN MASTER'!$B$5:$B$704,MATCH(SMALL('CAMPAIGN MASTER'!$AW$5:$AW$704,1),'CAMPAIGN MASTER'!$AW$5:$AW$704,0))="","",INDEX('CAMPAIGN MASTER'!$B$5:$B$704,MATCH(SMALL('CAMPAIGN MASTER'!$AW$5:$AW$704,1),'CAMPAIGN MASTER'!$AW$5:$AW$704,0))),"- none -")</f>
        <v>- none -</v>
      </c>
      <c r="B118" s="50" t="str">
        <f>IFERROR(IF(INDEX('CAMPAIGN MASTER'!$A$5:$A$704,MATCH(SMALL('CAMPAIGN MASTER'!$AW$5:$AW$704,1),'CAMPAIGN MASTER'!$AW$5:$AW$704,0))="","",INDEX('CAMPAIGN MASTER'!$A$5:$A$704,MATCH(SMALL('CAMPAIGN MASTER'!$AW$5:$AW$704,1),'CAMPAIGN MASTER'!$AW$5:$AW$704,0))),"")</f>
        <v/>
      </c>
      <c r="C118" s="50" t="str">
        <f>IFERROR(IF(INDEX('CAMPAIGN MASTER'!$I$5:$I$704,MATCH(SMALL('CAMPAIGN MASTER'!$AW$5:$AW$704,1),'CAMPAIGN MASTER'!$AW$5:$AW$704,0))="","",INDEX('CAMPAIGN MASTER'!$I$5:$I$704,MATCH(SMALL('CAMPAIGN MASTER'!$AW$5:$AW$704,1),'CAMPAIGN MASTER'!$AW$5:$AW$704,0))),"")</f>
        <v/>
      </c>
      <c r="D118" s="50" t="str">
        <f>IFERROR(IF(INDEX('CAMPAIGN MASTER'!$N$5:$N$704,MATCH(SMALL('CAMPAIGN MASTER'!$AW$5:$AW$704,1),'CAMPAIGN MASTER'!$AW$5:$AW$704,0))="","",INDEX('CAMPAIGN MASTER'!$N$5:$N$704,MATCH(SMALL('CAMPAIGN MASTER'!$AW$5:$AW$704,1),'CAMPAIGN MASTER'!$AW$5:$AW$704,0))),"")</f>
        <v/>
      </c>
      <c r="E118" s="50" t="str">
        <f>IFERROR(IF(INDEX('CAMPAIGN MASTER'!$AA$5:$AA$704,MATCH(SMALL('CAMPAIGN MASTER'!$AW$5:$AW$704,1),'CAMPAIGN MASTER'!$AW$5:$AW$704,0))="","",INDEX('CAMPAIGN MASTER'!$AA$5:$AA$704,MATCH(SMALL('CAMPAIGN MASTER'!$AW$5:$AW$704,1),'CAMPAIGN MASTER'!$AW$5:$AW$704,0))),"")</f>
        <v/>
      </c>
      <c r="F118" s="52" t="str">
        <f>IFERROR(IF(INDEX('CAMPAIGN MASTER'!$R$5:$R$704,MATCH(SMALL('CAMPAIGN MASTER'!$AW$5:$AW$704,1),'CAMPAIGN MASTER'!$AW$5:$AW$704,0))="","",INDEX('CAMPAIGN MASTER'!$R$5:$R$704,MATCH(SMALL('CAMPAIGN MASTER'!$AW$5:$AW$704,1),'CAMPAIGN MASTER'!$AW$5:$AW$704,0))),"")</f>
        <v/>
      </c>
      <c r="G118" s="52" t="str">
        <f>IFERROR(IF(INDEX('CAMPAIGN MASTER'!$Q$5:$Q$704,MATCH(SMALL('CAMPAIGN MASTER'!$AW$5:$AW$704,1),'CAMPAIGN MASTER'!$AW$5:$AW$704,0))="","",INDEX('CAMPAIGN MASTER'!$Q$5:$Q$704,MATCH(SMALL('CAMPAIGN MASTER'!$AW$5:$AW$704,1),'CAMPAIGN MASTER'!$AW$5:$AW$704,0))),"")</f>
        <v/>
      </c>
      <c r="H118" s="55" t="str">
        <f>IFERROR(IF(INDEX('CAMPAIGN MASTER'!$AG$5:$AG$704,MATCH(SMALL('CAMPAIGN MASTER'!$AW$5:$AW$704,1),'CAMPAIGN MASTER'!$AW$5:$AW$704,0))="","",INDEX('CAMPAIGN MASTER'!$AG$5:$AG$704,MATCH(SMALL('CAMPAIGN MASTER'!$AW$5:$AW$704,1),'CAMPAIGN MASTER'!$AW$5:$AW$704,0))),"")</f>
        <v/>
      </c>
    </row>
    <row r="119" ht="24" customHeight="1">
      <c r="A119" s="50" t="str">
        <f>IFERROR(IF(INDEX('CAMPAIGN MASTER'!$B$5:$B$704,MATCH(SMALL('CAMPAIGN MASTER'!$AW$5:$AW$704,2),'CAMPAIGN MASTER'!$AW$5:$AW$704,0))="","",INDEX('CAMPAIGN MASTER'!$B$5:$B$704,MATCH(SMALL('CAMPAIGN MASTER'!$AW$5:$AW$704,2),'CAMPAIGN MASTER'!$AW$5:$AW$704,0))),"")</f>
        <v/>
      </c>
      <c r="B119" s="50" t="str">
        <f>IFERROR(IF(INDEX('CAMPAIGN MASTER'!$A$5:$A$704,MATCH(SMALL('CAMPAIGN MASTER'!$AW$5:$AW$704,2),'CAMPAIGN MASTER'!$AW$5:$AW$704,0))="","",INDEX('CAMPAIGN MASTER'!$A$5:$A$704,MATCH(SMALL('CAMPAIGN MASTER'!$AW$5:$AW$704,2),'CAMPAIGN MASTER'!$AW$5:$AW$704,0))),"")</f>
        <v/>
      </c>
      <c r="C119" s="50" t="str">
        <f>IFERROR(IF(INDEX('CAMPAIGN MASTER'!$I$5:$I$704,MATCH(SMALL('CAMPAIGN MASTER'!$AW$5:$AW$704,2),'CAMPAIGN MASTER'!$AW$5:$AW$704,0))="","",INDEX('CAMPAIGN MASTER'!$I$5:$I$704,MATCH(SMALL('CAMPAIGN MASTER'!$AW$5:$AW$704,2),'CAMPAIGN MASTER'!$AW$5:$AW$704,0))),"")</f>
        <v/>
      </c>
      <c r="D119" s="50" t="str">
        <f>IFERROR(IF(INDEX('CAMPAIGN MASTER'!$N$5:$N$704,MATCH(SMALL('CAMPAIGN MASTER'!$AW$5:$AW$704,2),'CAMPAIGN MASTER'!$AW$5:$AW$704,0))="","",INDEX('CAMPAIGN MASTER'!$N$5:$N$704,MATCH(SMALL('CAMPAIGN MASTER'!$AW$5:$AW$704,2),'CAMPAIGN MASTER'!$AW$5:$AW$704,0))),"")</f>
        <v/>
      </c>
      <c r="E119" s="50" t="str">
        <f>IFERROR(IF(INDEX('CAMPAIGN MASTER'!$AA$5:$AA$704,MATCH(SMALL('CAMPAIGN MASTER'!$AW$5:$AW$704,2),'CAMPAIGN MASTER'!$AW$5:$AW$704,0))="","",INDEX('CAMPAIGN MASTER'!$AA$5:$AA$704,MATCH(SMALL('CAMPAIGN MASTER'!$AW$5:$AW$704,2),'CAMPAIGN MASTER'!$AW$5:$AW$704,0))),"")</f>
        <v/>
      </c>
      <c r="F119" s="52" t="str">
        <f>IFERROR(IF(INDEX('CAMPAIGN MASTER'!$R$5:$R$704,MATCH(SMALL('CAMPAIGN MASTER'!$AW$5:$AW$704,2),'CAMPAIGN MASTER'!$AW$5:$AW$704,0))="","",INDEX('CAMPAIGN MASTER'!$R$5:$R$704,MATCH(SMALL('CAMPAIGN MASTER'!$AW$5:$AW$704,2),'CAMPAIGN MASTER'!$AW$5:$AW$704,0))),"")</f>
        <v/>
      </c>
      <c r="G119" s="52" t="str">
        <f>IFERROR(IF(INDEX('CAMPAIGN MASTER'!$Q$5:$Q$704,MATCH(SMALL('CAMPAIGN MASTER'!$AW$5:$AW$704,2),'CAMPAIGN MASTER'!$AW$5:$AW$704,0))="","",INDEX('CAMPAIGN MASTER'!$Q$5:$Q$704,MATCH(SMALL('CAMPAIGN MASTER'!$AW$5:$AW$704,2),'CAMPAIGN MASTER'!$AW$5:$AW$704,0))),"")</f>
        <v/>
      </c>
      <c r="H119" s="55" t="str">
        <f>IFERROR(IF(INDEX('CAMPAIGN MASTER'!$AG$5:$AG$704,MATCH(SMALL('CAMPAIGN MASTER'!$AW$5:$AW$704,2),'CAMPAIGN MASTER'!$AW$5:$AW$704,0))="","",INDEX('CAMPAIGN MASTER'!$AG$5:$AG$704,MATCH(SMALL('CAMPAIGN MASTER'!$AW$5:$AW$704,2),'CAMPAIGN MASTER'!$AW$5:$AW$704,0))),"")</f>
        <v/>
      </c>
    </row>
    <row r="120" ht="24" customHeight="1">
      <c r="A120" s="50" t="str">
        <f>IFERROR(IF(INDEX('CAMPAIGN MASTER'!$B$5:$B$704,MATCH(SMALL('CAMPAIGN MASTER'!$AW$5:$AW$704,3),'CAMPAIGN MASTER'!$AW$5:$AW$704,0))="","",INDEX('CAMPAIGN MASTER'!$B$5:$B$704,MATCH(SMALL('CAMPAIGN MASTER'!$AW$5:$AW$704,3),'CAMPAIGN MASTER'!$AW$5:$AW$704,0))),"")</f>
        <v/>
      </c>
      <c r="B120" s="50" t="str">
        <f>IFERROR(IF(INDEX('CAMPAIGN MASTER'!$A$5:$A$704,MATCH(SMALL('CAMPAIGN MASTER'!$AW$5:$AW$704,3),'CAMPAIGN MASTER'!$AW$5:$AW$704,0))="","",INDEX('CAMPAIGN MASTER'!$A$5:$A$704,MATCH(SMALL('CAMPAIGN MASTER'!$AW$5:$AW$704,3),'CAMPAIGN MASTER'!$AW$5:$AW$704,0))),"")</f>
        <v/>
      </c>
      <c r="C120" s="50" t="str">
        <f>IFERROR(IF(INDEX('CAMPAIGN MASTER'!$I$5:$I$704,MATCH(SMALL('CAMPAIGN MASTER'!$AW$5:$AW$704,3),'CAMPAIGN MASTER'!$AW$5:$AW$704,0))="","",INDEX('CAMPAIGN MASTER'!$I$5:$I$704,MATCH(SMALL('CAMPAIGN MASTER'!$AW$5:$AW$704,3),'CAMPAIGN MASTER'!$AW$5:$AW$704,0))),"")</f>
        <v/>
      </c>
      <c r="D120" s="50" t="str">
        <f>IFERROR(IF(INDEX('CAMPAIGN MASTER'!$N$5:$N$704,MATCH(SMALL('CAMPAIGN MASTER'!$AW$5:$AW$704,3),'CAMPAIGN MASTER'!$AW$5:$AW$704,0))="","",INDEX('CAMPAIGN MASTER'!$N$5:$N$704,MATCH(SMALL('CAMPAIGN MASTER'!$AW$5:$AW$704,3),'CAMPAIGN MASTER'!$AW$5:$AW$704,0))),"")</f>
        <v/>
      </c>
      <c r="E120" s="50" t="str">
        <f>IFERROR(IF(INDEX('CAMPAIGN MASTER'!$AA$5:$AA$704,MATCH(SMALL('CAMPAIGN MASTER'!$AW$5:$AW$704,3),'CAMPAIGN MASTER'!$AW$5:$AW$704,0))="","",INDEX('CAMPAIGN MASTER'!$AA$5:$AA$704,MATCH(SMALL('CAMPAIGN MASTER'!$AW$5:$AW$704,3),'CAMPAIGN MASTER'!$AW$5:$AW$704,0))),"")</f>
        <v/>
      </c>
      <c r="F120" s="52" t="str">
        <f>IFERROR(IF(INDEX('CAMPAIGN MASTER'!$R$5:$R$704,MATCH(SMALL('CAMPAIGN MASTER'!$AW$5:$AW$704,3),'CAMPAIGN MASTER'!$AW$5:$AW$704,0))="","",INDEX('CAMPAIGN MASTER'!$R$5:$R$704,MATCH(SMALL('CAMPAIGN MASTER'!$AW$5:$AW$704,3),'CAMPAIGN MASTER'!$AW$5:$AW$704,0))),"")</f>
        <v/>
      </c>
      <c r="G120" s="52" t="str">
        <f>IFERROR(IF(INDEX('CAMPAIGN MASTER'!$Q$5:$Q$704,MATCH(SMALL('CAMPAIGN MASTER'!$AW$5:$AW$704,3),'CAMPAIGN MASTER'!$AW$5:$AW$704,0))="","",INDEX('CAMPAIGN MASTER'!$Q$5:$Q$704,MATCH(SMALL('CAMPAIGN MASTER'!$AW$5:$AW$704,3),'CAMPAIGN MASTER'!$AW$5:$AW$704,0))),"")</f>
        <v/>
      </c>
      <c r="H120" s="55" t="str">
        <f>IFERROR(IF(INDEX('CAMPAIGN MASTER'!$AG$5:$AG$704,MATCH(SMALL('CAMPAIGN MASTER'!$AW$5:$AW$704,3),'CAMPAIGN MASTER'!$AW$5:$AW$704,0))="","",INDEX('CAMPAIGN MASTER'!$AG$5:$AG$704,MATCH(SMALL('CAMPAIGN MASTER'!$AW$5:$AW$704,3),'CAMPAIGN MASTER'!$AW$5:$AW$704,0))),"")</f>
        <v/>
      </c>
    </row>
    <row r="121" ht="24" customHeight="1">
      <c r="A121" s="50" t="str">
        <f>IFERROR(IF(INDEX('CAMPAIGN MASTER'!$B$5:$B$704,MATCH(SMALL('CAMPAIGN MASTER'!$AW$5:$AW$704,4),'CAMPAIGN MASTER'!$AW$5:$AW$704,0))="","",INDEX('CAMPAIGN MASTER'!$B$5:$B$704,MATCH(SMALL('CAMPAIGN MASTER'!$AW$5:$AW$704,4),'CAMPAIGN MASTER'!$AW$5:$AW$704,0))),"")</f>
        <v/>
      </c>
      <c r="B121" s="50" t="str">
        <f>IFERROR(IF(INDEX('CAMPAIGN MASTER'!$A$5:$A$704,MATCH(SMALL('CAMPAIGN MASTER'!$AW$5:$AW$704,4),'CAMPAIGN MASTER'!$AW$5:$AW$704,0))="","",INDEX('CAMPAIGN MASTER'!$A$5:$A$704,MATCH(SMALL('CAMPAIGN MASTER'!$AW$5:$AW$704,4),'CAMPAIGN MASTER'!$AW$5:$AW$704,0))),"")</f>
        <v/>
      </c>
      <c r="C121" s="50" t="str">
        <f>IFERROR(IF(INDEX('CAMPAIGN MASTER'!$I$5:$I$704,MATCH(SMALL('CAMPAIGN MASTER'!$AW$5:$AW$704,4),'CAMPAIGN MASTER'!$AW$5:$AW$704,0))="","",INDEX('CAMPAIGN MASTER'!$I$5:$I$704,MATCH(SMALL('CAMPAIGN MASTER'!$AW$5:$AW$704,4),'CAMPAIGN MASTER'!$AW$5:$AW$704,0))),"")</f>
        <v/>
      </c>
      <c r="D121" s="50" t="str">
        <f>IFERROR(IF(INDEX('CAMPAIGN MASTER'!$N$5:$N$704,MATCH(SMALL('CAMPAIGN MASTER'!$AW$5:$AW$704,4),'CAMPAIGN MASTER'!$AW$5:$AW$704,0))="","",INDEX('CAMPAIGN MASTER'!$N$5:$N$704,MATCH(SMALL('CAMPAIGN MASTER'!$AW$5:$AW$704,4),'CAMPAIGN MASTER'!$AW$5:$AW$704,0))),"")</f>
        <v/>
      </c>
      <c r="E121" s="50" t="str">
        <f>IFERROR(IF(INDEX('CAMPAIGN MASTER'!$AA$5:$AA$704,MATCH(SMALL('CAMPAIGN MASTER'!$AW$5:$AW$704,4),'CAMPAIGN MASTER'!$AW$5:$AW$704,0))="","",INDEX('CAMPAIGN MASTER'!$AA$5:$AA$704,MATCH(SMALL('CAMPAIGN MASTER'!$AW$5:$AW$704,4),'CAMPAIGN MASTER'!$AW$5:$AW$704,0))),"")</f>
        <v/>
      </c>
      <c r="F121" s="52" t="str">
        <f>IFERROR(IF(INDEX('CAMPAIGN MASTER'!$R$5:$R$704,MATCH(SMALL('CAMPAIGN MASTER'!$AW$5:$AW$704,4),'CAMPAIGN MASTER'!$AW$5:$AW$704,0))="","",INDEX('CAMPAIGN MASTER'!$R$5:$R$704,MATCH(SMALL('CAMPAIGN MASTER'!$AW$5:$AW$704,4),'CAMPAIGN MASTER'!$AW$5:$AW$704,0))),"")</f>
        <v/>
      </c>
      <c r="G121" s="52" t="str">
        <f>IFERROR(IF(INDEX('CAMPAIGN MASTER'!$Q$5:$Q$704,MATCH(SMALL('CAMPAIGN MASTER'!$AW$5:$AW$704,4),'CAMPAIGN MASTER'!$AW$5:$AW$704,0))="","",INDEX('CAMPAIGN MASTER'!$Q$5:$Q$704,MATCH(SMALL('CAMPAIGN MASTER'!$AW$5:$AW$704,4),'CAMPAIGN MASTER'!$AW$5:$AW$704,0))),"")</f>
        <v/>
      </c>
      <c r="H121" s="55" t="str">
        <f>IFERROR(IF(INDEX('CAMPAIGN MASTER'!$AG$5:$AG$704,MATCH(SMALL('CAMPAIGN MASTER'!$AW$5:$AW$704,4),'CAMPAIGN MASTER'!$AW$5:$AW$704,0))="","",INDEX('CAMPAIGN MASTER'!$AG$5:$AG$704,MATCH(SMALL('CAMPAIGN MASTER'!$AW$5:$AW$704,4),'CAMPAIGN MASTER'!$AW$5:$AW$704,0))),"")</f>
        <v/>
      </c>
    </row>
    <row r="122" ht="24" customHeight="1">
      <c r="A122" s="50" t="str">
        <f>IFERROR(IF(INDEX('CAMPAIGN MASTER'!$B$5:$B$704,MATCH(SMALL('CAMPAIGN MASTER'!$AW$5:$AW$704,5),'CAMPAIGN MASTER'!$AW$5:$AW$704,0))="","",INDEX('CAMPAIGN MASTER'!$B$5:$B$704,MATCH(SMALL('CAMPAIGN MASTER'!$AW$5:$AW$704,5),'CAMPAIGN MASTER'!$AW$5:$AW$704,0))),"")</f>
        <v/>
      </c>
      <c r="B122" s="50" t="str">
        <f>IFERROR(IF(INDEX('CAMPAIGN MASTER'!$A$5:$A$704,MATCH(SMALL('CAMPAIGN MASTER'!$AW$5:$AW$704,5),'CAMPAIGN MASTER'!$AW$5:$AW$704,0))="","",INDEX('CAMPAIGN MASTER'!$A$5:$A$704,MATCH(SMALL('CAMPAIGN MASTER'!$AW$5:$AW$704,5),'CAMPAIGN MASTER'!$AW$5:$AW$704,0))),"")</f>
        <v/>
      </c>
      <c r="C122" s="50" t="str">
        <f>IFERROR(IF(INDEX('CAMPAIGN MASTER'!$I$5:$I$704,MATCH(SMALL('CAMPAIGN MASTER'!$AW$5:$AW$704,5),'CAMPAIGN MASTER'!$AW$5:$AW$704,0))="","",INDEX('CAMPAIGN MASTER'!$I$5:$I$704,MATCH(SMALL('CAMPAIGN MASTER'!$AW$5:$AW$704,5),'CAMPAIGN MASTER'!$AW$5:$AW$704,0))),"")</f>
        <v/>
      </c>
      <c r="D122" s="50" t="str">
        <f>IFERROR(IF(INDEX('CAMPAIGN MASTER'!$N$5:$N$704,MATCH(SMALL('CAMPAIGN MASTER'!$AW$5:$AW$704,5),'CAMPAIGN MASTER'!$AW$5:$AW$704,0))="","",INDEX('CAMPAIGN MASTER'!$N$5:$N$704,MATCH(SMALL('CAMPAIGN MASTER'!$AW$5:$AW$704,5),'CAMPAIGN MASTER'!$AW$5:$AW$704,0))),"")</f>
        <v/>
      </c>
      <c r="E122" s="50" t="str">
        <f>IFERROR(IF(INDEX('CAMPAIGN MASTER'!$AA$5:$AA$704,MATCH(SMALL('CAMPAIGN MASTER'!$AW$5:$AW$704,5),'CAMPAIGN MASTER'!$AW$5:$AW$704,0))="","",INDEX('CAMPAIGN MASTER'!$AA$5:$AA$704,MATCH(SMALL('CAMPAIGN MASTER'!$AW$5:$AW$704,5),'CAMPAIGN MASTER'!$AW$5:$AW$704,0))),"")</f>
        <v/>
      </c>
      <c r="F122" s="52" t="str">
        <f>IFERROR(IF(INDEX('CAMPAIGN MASTER'!$R$5:$R$704,MATCH(SMALL('CAMPAIGN MASTER'!$AW$5:$AW$704,5),'CAMPAIGN MASTER'!$AW$5:$AW$704,0))="","",INDEX('CAMPAIGN MASTER'!$R$5:$R$704,MATCH(SMALL('CAMPAIGN MASTER'!$AW$5:$AW$704,5),'CAMPAIGN MASTER'!$AW$5:$AW$704,0))),"")</f>
        <v/>
      </c>
      <c r="G122" s="52" t="str">
        <f>IFERROR(IF(INDEX('CAMPAIGN MASTER'!$Q$5:$Q$704,MATCH(SMALL('CAMPAIGN MASTER'!$AW$5:$AW$704,5),'CAMPAIGN MASTER'!$AW$5:$AW$704,0))="","",INDEX('CAMPAIGN MASTER'!$Q$5:$Q$704,MATCH(SMALL('CAMPAIGN MASTER'!$AW$5:$AW$704,5),'CAMPAIGN MASTER'!$AW$5:$AW$704,0))),"")</f>
        <v/>
      </c>
      <c r="H122" s="55" t="str">
        <f>IFERROR(IF(INDEX('CAMPAIGN MASTER'!$AG$5:$AG$704,MATCH(SMALL('CAMPAIGN MASTER'!$AW$5:$AW$704,5),'CAMPAIGN MASTER'!$AW$5:$AW$704,0))="","",INDEX('CAMPAIGN MASTER'!$AG$5:$AG$704,MATCH(SMALL('CAMPAIGN MASTER'!$AW$5:$AW$704,5),'CAMPAIGN MASTER'!$AW$5:$AW$704,0))),"")</f>
        <v/>
      </c>
    </row>
    <row r="123" ht="24" customHeight="1">
      <c r="A123" s="50" t="str">
        <f>IFERROR(IF(INDEX('CAMPAIGN MASTER'!$B$5:$B$704,MATCH(SMALL('CAMPAIGN MASTER'!$AW$5:$AW$704,6),'CAMPAIGN MASTER'!$AW$5:$AW$704,0))="","",INDEX('CAMPAIGN MASTER'!$B$5:$B$704,MATCH(SMALL('CAMPAIGN MASTER'!$AW$5:$AW$704,6),'CAMPAIGN MASTER'!$AW$5:$AW$704,0))),"")</f>
        <v/>
      </c>
      <c r="B123" s="50" t="str">
        <f>IFERROR(IF(INDEX('CAMPAIGN MASTER'!$A$5:$A$704,MATCH(SMALL('CAMPAIGN MASTER'!$AW$5:$AW$704,6),'CAMPAIGN MASTER'!$AW$5:$AW$704,0))="","",INDEX('CAMPAIGN MASTER'!$A$5:$A$704,MATCH(SMALL('CAMPAIGN MASTER'!$AW$5:$AW$704,6),'CAMPAIGN MASTER'!$AW$5:$AW$704,0))),"")</f>
        <v/>
      </c>
      <c r="C123" s="50" t="str">
        <f>IFERROR(IF(INDEX('CAMPAIGN MASTER'!$I$5:$I$704,MATCH(SMALL('CAMPAIGN MASTER'!$AW$5:$AW$704,6),'CAMPAIGN MASTER'!$AW$5:$AW$704,0))="","",INDEX('CAMPAIGN MASTER'!$I$5:$I$704,MATCH(SMALL('CAMPAIGN MASTER'!$AW$5:$AW$704,6),'CAMPAIGN MASTER'!$AW$5:$AW$704,0))),"")</f>
        <v/>
      </c>
      <c r="D123" s="50" t="str">
        <f>IFERROR(IF(INDEX('CAMPAIGN MASTER'!$N$5:$N$704,MATCH(SMALL('CAMPAIGN MASTER'!$AW$5:$AW$704,6),'CAMPAIGN MASTER'!$AW$5:$AW$704,0))="","",INDEX('CAMPAIGN MASTER'!$N$5:$N$704,MATCH(SMALL('CAMPAIGN MASTER'!$AW$5:$AW$704,6),'CAMPAIGN MASTER'!$AW$5:$AW$704,0))),"")</f>
        <v/>
      </c>
      <c r="E123" s="50" t="str">
        <f>IFERROR(IF(INDEX('CAMPAIGN MASTER'!$AA$5:$AA$704,MATCH(SMALL('CAMPAIGN MASTER'!$AW$5:$AW$704,6),'CAMPAIGN MASTER'!$AW$5:$AW$704,0))="","",INDEX('CAMPAIGN MASTER'!$AA$5:$AA$704,MATCH(SMALL('CAMPAIGN MASTER'!$AW$5:$AW$704,6),'CAMPAIGN MASTER'!$AW$5:$AW$704,0))),"")</f>
        <v/>
      </c>
      <c r="F123" s="52" t="str">
        <f>IFERROR(IF(INDEX('CAMPAIGN MASTER'!$R$5:$R$704,MATCH(SMALL('CAMPAIGN MASTER'!$AW$5:$AW$704,6),'CAMPAIGN MASTER'!$AW$5:$AW$704,0))="","",INDEX('CAMPAIGN MASTER'!$R$5:$R$704,MATCH(SMALL('CAMPAIGN MASTER'!$AW$5:$AW$704,6),'CAMPAIGN MASTER'!$AW$5:$AW$704,0))),"")</f>
        <v/>
      </c>
      <c r="G123" s="52" t="str">
        <f>IFERROR(IF(INDEX('CAMPAIGN MASTER'!$Q$5:$Q$704,MATCH(SMALL('CAMPAIGN MASTER'!$AW$5:$AW$704,6),'CAMPAIGN MASTER'!$AW$5:$AW$704,0))="","",INDEX('CAMPAIGN MASTER'!$Q$5:$Q$704,MATCH(SMALL('CAMPAIGN MASTER'!$AW$5:$AW$704,6),'CAMPAIGN MASTER'!$AW$5:$AW$704,0))),"")</f>
        <v/>
      </c>
      <c r="H123" s="55" t="str">
        <f>IFERROR(IF(INDEX('CAMPAIGN MASTER'!$AG$5:$AG$704,MATCH(SMALL('CAMPAIGN MASTER'!$AW$5:$AW$704,6),'CAMPAIGN MASTER'!$AW$5:$AW$704,0))="","",INDEX('CAMPAIGN MASTER'!$AG$5:$AG$704,MATCH(SMALL('CAMPAIGN MASTER'!$AW$5:$AW$704,6),'CAMPAIGN MASTER'!$AW$5:$AW$704,0))),"")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0">
    <mergeCell ref="A41:I41"/>
    <mergeCell ref="B3:C3"/>
    <mergeCell ref="A107:H107"/>
    <mergeCell ref="A98:H98"/>
    <mergeCell ref="A2:I2"/>
    <mergeCell ref="A54:H54"/>
    <mergeCell ref="A80:H80"/>
    <mergeCell ref="A53:I53"/>
    <mergeCell ref="A4:I4"/>
    <mergeCell ref="A89:H89"/>
    <mergeCell ref="A29:I29"/>
    <mergeCell ref="A10:I10"/>
    <mergeCell ref="A71:H71"/>
    <mergeCell ref="A116:H116"/>
    <mergeCell ref="A48:I48"/>
    <mergeCell ref="A24:I24"/>
    <mergeCell ref="A62:H62"/>
    <mergeCell ref="A36:I36"/>
    <mergeCell ref="A1:I1"/>
    <mergeCell ref="A16:I16"/>
  </mergeCells>
  <conditionalFormatting sqref="B10:I52">
    <cfRule type="expression" priority="1" dxfId="21">
      <formula>COLUMN()=9</formula>
    </cfRule>
  </conditionalFormatting>
  <conditionalFormatting sqref="B14:I15">
    <cfRule type="cellIs" priority="2" operator="greaterThan" dxfId="8">
      <formula>0</formula>
    </cfRule>
  </conditionalFormatting>
  <dataValidations count="1">
    <dataValidation sqref="B3" showDropDown="0" showInputMessage="0" showErrorMessage="1" allowBlank="1" errorTitle="Invalid date" error="Enter a valid date, e.g. 05-Oct-2026." type="date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99"/>
  <sheetViews>
    <sheetView showGridLines="0" tabSelected="0" zoomScale="85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8" customHeight="1">
      <c r="A1" s="1" t="inlineStr">
        <is>
          <t>MONTHLY PERFORMANCE - 12-month trend &amp; month-over-month change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14" t="inlineStr">
        <is>
          <t>Automatic. Change the start month to roll the window. Dashboard Client/Campaign/Team/Channel filters apply (see banner).</t>
        </is>
      </c>
    </row>
    <row r="3">
      <c r="A3" s="78" t="inlineStr">
        <is>
          <t>First month shown (any date in month):</t>
        </is>
      </c>
      <c r="B3" s="113">
        <f>DATE(YEAR(ReportDate),1,1)</f>
        <v>46023.0</v>
      </c>
      <c r="C3" s="13" t="n"/>
    </row>
    <row r="4">
      <c r="A4" s="109" t="str">
        <f>"Filters from Executive Dashboard -&gt; Client: "&amp;fClient&amp;"  |  Campaign: "&amp;fCampaign&amp;"  |  Team: "&amp;fTeam&amp;"  |  Channel: "&amp;fChannel&amp;"   (set all to 'All' for the full-team view)"</f>
        <v>Filters from Executive Dashboard -&gt; Client: All  |  Campaign: All  |  Team: All  |  Channel: All   (set all to 'All' for the full-team view)</v>
      </c>
    </row>
    <row r="6">
      <c r="A6" s="86" t="inlineStr">
        <is>
          <t>Month</t>
        </is>
      </c>
      <c r="B6" s="86" t="str">
        <f>TEXT(B7,"mmm yy")</f>
        <v>Jan 26</v>
      </c>
      <c r="C6" s="86" t="str">
        <f>TEXT(C7,"mmm yy")</f>
        <v>Feb 26</v>
      </c>
      <c r="D6" s="86" t="str">
        <f>TEXT(D7,"mmm yy")</f>
        <v>Mar 26</v>
      </c>
      <c r="E6" s="86" t="str">
        <f>TEXT(E7,"mmm yy")</f>
        <v>Apr 26</v>
      </c>
      <c r="F6" s="86" t="str">
        <f>TEXT(F7,"mmm yy")</f>
        <v>May 26</v>
      </c>
      <c r="G6" s="86" t="str">
        <f>TEXT(G7,"mmm yy")</f>
        <v>Jun 26</v>
      </c>
      <c r="H6" s="86" t="str">
        <f>TEXT(H7,"mmm yy")</f>
        <v>Jul 26</v>
      </c>
      <c r="I6" s="86" t="str">
        <f>TEXT(I7,"mmm yy")</f>
        <v>Aug 26</v>
      </c>
      <c r="J6" s="86" t="str">
        <f>TEXT(J7,"mmm yy")</f>
        <v>Sep 26</v>
      </c>
      <c r="K6" s="86" t="str">
        <f>TEXT(K7,"mmm yy")</f>
        <v>Oct 26</v>
      </c>
      <c r="L6" s="86" t="str">
        <f>TEXT(L7,"mmm yy")</f>
        <v>Nov 26</v>
      </c>
      <c r="M6" s="86" t="str">
        <f>TEXT(M7,"mmm yy")</f>
        <v>Dec 26</v>
      </c>
    </row>
    <row r="7">
      <c r="A7" s="86" t="inlineStr">
        <is>
          <t>Month start</t>
        </is>
      </c>
      <c r="B7" s="110">
        <f>DATE(YEAR($B$3),MONTH($B$3),1)</f>
        <v>46023.0</v>
      </c>
      <c r="C7" s="110">
        <f>EDATE(B7,1)</f>
        <v>46054.0</v>
      </c>
      <c r="D7" s="110">
        <f>EDATE(C7,1)</f>
        <v>46082.0</v>
      </c>
      <c r="E7" s="110">
        <f>EDATE(D7,1)</f>
        <v>46113.0</v>
      </c>
      <c r="F7" s="110">
        <f>EDATE(E7,1)</f>
        <v>46143.0</v>
      </c>
      <c r="G7" s="110">
        <f>EDATE(F7,1)</f>
        <v>46174.0</v>
      </c>
      <c r="H7" s="110">
        <f>EDATE(G7,1)</f>
        <v>46204.0</v>
      </c>
      <c r="I7" s="110">
        <f>EDATE(H7,1)</f>
        <v>46235.0</v>
      </c>
      <c r="J7" s="110">
        <f>EDATE(I7,1)</f>
        <v>46266.0</v>
      </c>
      <c r="K7" s="110">
        <f>EDATE(J7,1)</f>
        <v>46296.0</v>
      </c>
      <c r="L7" s="110">
        <f>EDATE(K7,1)</f>
        <v>46327.0</v>
      </c>
      <c r="M7" s="110">
        <f>EDATE(L7,1)</f>
        <v>46357.0</v>
      </c>
    </row>
    <row r="8">
      <c r="A8" s="86" t="inlineStr">
        <is>
          <t>Month end</t>
        </is>
      </c>
      <c r="B8" s="111">
        <f>EDATE(B7,1)-1</f>
        <v>46053.0</v>
      </c>
      <c r="C8" s="111">
        <f>EDATE(C7,1)-1</f>
        <v>46081.0</v>
      </c>
      <c r="D8" s="111">
        <f>EDATE(D7,1)-1</f>
        <v>46112.0</v>
      </c>
      <c r="E8" s="111">
        <f>EDATE(E7,1)-1</f>
        <v>46142.0</v>
      </c>
      <c r="F8" s="111">
        <f>EDATE(F7,1)-1</f>
        <v>46173.0</v>
      </c>
      <c r="G8" s="111">
        <f>EDATE(G7,1)-1</f>
        <v>46203.0</v>
      </c>
      <c r="H8" s="111">
        <f>EDATE(H7,1)-1</f>
        <v>46234.0</v>
      </c>
      <c r="I8" s="111">
        <f>EDATE(I7,1)-1</f>
        <v>46265.0</v>
      </c>
      <c r="J8" s="111">
        <f>EDATE(J7,1)-1</f>
        <v>46295.0</v>
      </c>
      <c r="K8" s="111">
        <f>EDATE(K7,1)-1</f>
        <v>46326.0</v>
      </c>
      <c r="L8" s="111">
        <f>EDATE(L7,1)-1</f>
        <v>46356.0</v>
      </c>
      <c r="M8" s="111">
        <f>EDATE(M7,1)-1</f>
        <v>46387.0</v>
      </c>
    </row>
    <row r="10" ht="20" customHeight="1">
      <c r="A10" s="37" t="inlineStr">
        <is>
          <t>OVERALL</t>
        </is>
      </c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</row>
    <row r="11">
      <c r="A11" s="40" t="inlineStr">
        <is>
          <t>Tasks logged</t>
        </is>
      </c>
      <c r="B11" s="45">
        <f>COUNTIFS('DAILY TASK TRACKER'!$AJ$5:$AJ$1504,1,'DAILY TASK TRACKER'!$A$5:$A$1504,"&gt;="&amp;B$7,'DAILY TASK TRACKER'!$A$5:$A$1504,"&lt;="&amp;B$8)</f>
        <v>0</v>
      </c>
      <c r="C11" s="45">
        <f>COUNTIFS('DAILY TASK TRACKER'!$AJ$5:$AJ$1504,1,'DAILY TASK TRACKER'!$A$5:$A$1504,"&gt;="&amp;C$7,'DAILY TASK TRACKER'!$A$5:$A$1504,"&lt;="&amp;C$8)</f>
        <v>0</v>
      </c>
      <c r="D11" s="45">
        <f>COUNTIFS('DAILY TASK TRACKER'!$AJ$5:$AJ$1504,1,'DAILY TASK TRACKER'!$A$5:$A$1504,"&gt;="&amp;D$7,'DAILY TASK TRACKER'!$A$5:$A$1504,"&lt;="&amp;D$8)</f>
        <v>0</v>
      </c>
      <c r="E11" s="45">
        <f>COUNTIFS('DAILY TASK TRACKER'!$AJ$5:$AJ$1504,1,'DAILY TASK TRACKER'!$A$5:$A$1504,"&gt;="&amp;E$7,'DAILY TASK TRACKER'!$A$5:$A$1504,"&lt;="&amp;E$8)</f>
        <v>0</v>
      </c>
      <c r="F11" s="45">
        <f>COUNTIFS('DAILY TASK TRACKER'!$AJ$5:$AJ$1504,1,'DAILY TASK TRACKER'!$A$5:$A$1504,"&gt;="&amp;F$7,'DAILY TASK TRACKER'!$A$5:$A$1504,"&lt;="&amp;F$8)</f>
        <v>0</v>
      </c>
      <c r="G11" s="45">
        <f>COUNTIFS('DAILY TASK TRACKER'!$AJ$5:$AJ$1504,1,'DAILY TASK TRACKER'!$A$5:$A$1504,"&gt;="&amp;G$7,'DAILY TASK TRACKER'!$A$5:$A$1504,"&lt;="&amp;G$8)</f>
        <v>0</v>
      </c>
      <c r="H11" s="45">
        <f>COUNTIFS('DAILY TASK TRACKER'!$AJ$5:$AJ$1504,1,'DAILY TASK TRACKER'!$A$5:$A$1504,"&gt;="&amp;H$7,'DAILY TASK TRACKER'!$A$5:$A$1504,"&lt;="&amp;H$8)</f>
        <v>0</v>
      </c>
      <c r="I11" s="45">
        <f>COUNTIFS('DAILY TASK TRACKER'!$AJ$5:$AJ$1504,1,'DAILY TASK TRACKER'!$A$5:$A$1504,"&gt;="&amp;I$7,'DAILY TASK TRACKER'!$A$5:$A$1504,"&lt;="&amp;I$8)</f>
        <v>0</v>
      </c>
      <c r="J11" s="45">
        <f>COUNTIFS('DAILY TASK TRACKER'!$AJ$5:$AJ$1504,1,'DAILY TASK TRACKER'!$A$5:$A$1504,"&gt;="&amp;J$7,'DAILY TASK TRACKER'!$A$5:$A$1504,"&lt;="&amp;J$8)</f>
        <v>0</v>
      </c>
      <c r="K11" s="45">
        <f>COUNTIFS('DAILY TASK TRACKER'!$AJ$5:$AJ$1504,1,'DAILY TASK TRACKER'!$A$5:$A$1504,"&gt;="&amp;K$7,'DAILY TASK TRACKER'!$A$5:$A$1504,"&lt;="&amp;K$8)</f>
        <v>0</v>
      </c>
      <c r="L11" s="45">
        <f>COUNTIFS('DAILY TASK TRACKER'!$AJ$5:$AJ$1504,1,'DAILY TASK TRACKER'!$A$5:$A$1504,"&gt;="&amp;L$7,'DAILY TASK TRACKER'!$A$5:$A$1504,"&lt;="&amp;L$8)</f>
        <v>0</v>
      </c>
      <c r="M11" s="45">
        <f>COUNTIFS('DAILY TASK TRACKER'!$AJ$5:$AJ$1504,1,'DAILY TASK TRACKER'!$A$5:$A$1504,"&gt;="&amp;M$7,'DAILY TASK TRACKER'!$A$5:$A$1504,"&lt;="&amp;M$8)</f>
        <v>0</v>
      </c>
    </row>
    <row r="12">
      <c r="A12" s="44" t="inlineStr">
        <is>
          <t>Tasks completed</t>
        </is>
      </c>
      <c r="B12" s="96">
        <f>COUNTIFS('DAILY TASK TRACKER'!$AJ$5:$AJ$1504,1,'DAILY TASK TRACKER'!$A$5:$A$1504,"&gt;="&amp;B$7,'DAILY TASK TRACKER'!$A$5:$A$1504,"&lt;="&amp;B$8,'DAILY TASK TRACKER'!$M$5:$M$1504,"Completed")</f>
        <v>0</v>
      </c>
      <c r="C12" s="96">
        <f>COUNTIFS('DAILY TASK TRACKER'!$AJ$5:$AJ$1504,1,'DAILY TASK TRACKER'!$A$5:$A$1504,"&gt;="&amp;C$7,'DAILY TASK TRACKER'!$A$5:$A$1504,"&lt;="&amp;C$8,'DAILY TASK TRACKER'!$M$5:$M$1504,"Completed")</f>
        <v>0</v>
      </c>
      <c r="D12" s="96">
        <f>COUNTIFS('DAILY TASK TRACKER'!$AJ$5:$AJ$1504,1,'DAILY TASK TRACKER'!$A$5:$A$1504,"&gt;="&amp;D$7,'DAILY TASK TRACKER'!$A$5:$A$1504,"&lt;="&amp;D$8,'DAILY TASK TRACKER'!$M$5:$M$1504,"Completed")</f>
        <v>0</v>
      </c>
      <c r="E12" s="96">
        <f>COUNTIFS('DAILY TASK TRACKER'!$AJ$5:$AJ$1504,1,'DAILY TASK TRACKER'!$A$5:$A$1504,"&gt;="&amp;E$7,'DAILY TASK TRACKER'!$A$5:$A$1504,"&lt;="&amp;E$8,'DAILY TASK TRACKER'!$M$5:$M$1504,"Completed")</f>
        <v>0</v>
      </c>
      <c r="F12" s="96">
        <f>COUNTIFS('DAILY TASK TRACKER'!$AJ$5:$AJ$1504,1,'DAILY TASK TRACKER'!$A$5:$A$1504,"&gt;="&amp;F$7,'DAILY TASK TRACKER'!$A$5:$A$1504,"&lt;="&amp;F$8,'DAILY TASK TRACKER'!$M$5:$M$1504,"Completed")</f>
        <v>0</v>
      </c>
      <c r="G12" s="96">
        <f>COUNTIFS('DAILY TASK TRACKER'!$AJ$5:$AJ$1504,1,'DAILY TASK TRACKER'!$A$5:$A$1504,"&gt;="&amp;G$7,'DAILY TASK TRACKER'!$A$5:$A$1504,"&lt;="&amp;G$8,'DAILY TASK TRACKER'!$M$5:$M$1504,"Completed")</f>
        <v>0</v>
      </c>
      <c r="H12" s="96">
        <f>COUNTIFS('DAILY TASK TRACKER'!$AJ$5:$AJ$1504,1,'DAILY TASK TRACKER'!$A$5:$A$1504,"&gt;="&amp;H$7,'DAILY TASK TRACKER'!$A$5:$A$1504,"&lt;="&amp;H$8,'DAILY TASK TRACKER'!$M$5:$M$1504,"Completed")</f>
        <v>0</v>
      </c>
      <c r="I12" s="96">
        <f>COUNTIFS('DAILY TASK TRACKER'!$AJ$5:$AJ$1504,1,'DAILY TASK TRACKER'!$A$5:$A$1504,"&gt;="&amp;I$7,'DAILY TASK TRACKER'!$A$5:$A$1504,"&lt;="&amp;I$8,'DAILY TASK TRACKER'!$M$5:$M$1504,"Completed")</f>
        <v>0</v>
      </c>
      <c r="J12" s="96">
        <f>COUNTIFS('DAILY TASK TRACKER'!$AJ$5:$AJ$1504,1,'DAILY TASK TRACKER'!$A$5:$A$1504,"&gt;="&amp;J$7,'DAILY TASK TRACKER'!$A$5:$A$1504,"&lt;="&amp;J$8,'DAILY TASK TRACKER'!$M$5:$M$1504,"Completed")</f>
        <v>0</v>
      </c>
      <c r="K12" s="96">
        <f>COUNTIFS('DAILY TASK TRACKER'!$AJ$5:$AJ$1504,1,'DAILY TASK TRACKER'!$A$5:$A$1504,"&gt;="&amp;K$7,'DAILY TASK TRACKER'!$A$5:$A$1504,"&lt;="&amp;K$8,'DAILY TASK TRACKER'!$M$5:$M$1504,"Completed")</f>
        <v>0</v>
      </c>
      <c r="L12" s="96">
        <f>COUNTIFS('DAILY TASK TRACKER'!$AJ$5:$AJ$1504,1,'DAILY TASK TRACKER'!$A$5:$A$1504,"&gt;="&amp;L$7,'DAILY TASK TRACKER'!$A$5:$A$1504,"&lt;="&amp;L$8,'DAILY TASK TRACKER'!$M$5:$M$1504,"Completed")</f>
        <v>0</v>
      </c>
      <c r="M12" s="96">
        <f>COUNTIFS('DAILY TASK TRACKER'!$AJ$5:$AJ$1504,1,'DAILY TASK TRACKER'!$A$5:$A$1504,"&gt;="&amp;M$7,'DAILY TASK TRACKER'!$A$5:$A$1504,"&lt;="&amp;M$8,'DAILY TASK TRACKER'!$M$5:$M$1504,"Completed")</f>
        <v>0</v>
      </c>
    </row>
    <row r="13">
      <c r="A13" s="44" t="inlineStr">
        <is>
          <t>Completion %</t>
        </is>
      </c>
      <c r="B13" s="43" t="str">
        <f>IFERROR((B12)/(B11),"–")</f>
        <v>–</v>
      </c>
      <c r="C13" s="43" t="str">
        <f>IFERROR((C12)/(C11),"–")</f>
        <v>–</v>
      </c>
      <c r="D13" s="43" t="str">
        <f>IFERROR((D12)/(D11),"–")</f>
        <v>–</v>
      </c>
      <c r="E13" s="43" t="str">
        <f>IFERROR((E12)/(E11),"–")</f>
        <v>–</v>
      </c>
      <c r="F13" s="43" t="str">
        <f>IFERROR((F12)/(F11),"–")</f>
        <v>–</v>
      </c>
      <c r="G13" s="43" t="str">
        <f>IFERROR((G12)/(G11),"–")</f>
        <v>–</v>
      </c>
      <c r="H13" s="43" t="str">
        <f>IFERROR((H12)/(H11),"–")</f>
        <v>–</v>
      </c>
      <c r="I13" s="43" t="str">
        <f>IFERROR((I12)/(I11),"–")</f>
        <v>–</v>
      </c>
      <c r="J13" s="43" t="str">
        <f>IFERROR((J12)/(J11),"–")</f>
        <v>–</v>
      </c>
      <c r="K13" s="43" t="str">
        <f>IFERROR((K12)/(K11),"–")</f>
        <v>–</v>
      </c>
      <c r="L13" s="43" t="str">
        <f>IFERROR((L12)/(L11),"–")</f>
        <v>–</v>
      </c>
      <c r="M13" s="43" t="str">
        <f>IFERROR((M12)/(M11),"–")</f>
        <v>–</v>
      </c>
    </row>
    <row r="14">
      <c r="A14" s="44" t="inlineStr">
        <is>
          <t>Overdue (due in period, still open)</t>
        </is>
      </c>
      <c r="B14" s="96">
        <f>COUNTIFS('DAILY TASK TRACKER'!$AJ$5:$AJ$1504,1,'DAILY TASK TRACKER'!$L$5:$L$1504,"&gt;="&amp;B$7,'DAILY TASK TRACKER'!$L$5:$L$1504,"&lt;="&amp;B$8,'DAILY TASK TRACKER'!$AL$5:$AL$1504,1)</f>
        <v>0</v>
      </c>
      <c r="C14" s="96">
        <f>COUNTIFS('DAILY TASK TRACKER'!$AJ$5:$AJ$1504,1,'DAILY TASK TRACKER'!$L$5:$L$1504,"&gt;="&amp;C$7,'DAILY TASK TRACKER'!$L$5:$L$1504,"&lt;="&amp;C$8,'DAILY TASK TRACKER'!$AL$5:$AL$1504,1)</f>
        <v>0</v>
      </c>
      <c r="D14" s="96">
        <f>COUNTIFS('DAILY TASK TRACKER'!$AJ$5:$AJ$1504,1,'DAILY TASK TRACKER'!$L$5:$L$1504,"&gt;="&amp;D$7,'DAILY TASK TRACKER'!$L$5:$L$1504,"&lt;="&amp;D$8,'DAILY TASK TRACKER'!$AL$5:$AL$1504,1)</f>
        <v>0</v>
      </c>
      <c r="E14" s="96">
        <f>COUNTIFS('DAILY TASK TRACKER'!$AJ$5:$AJ$1504,1,'DAILY TASK TRACKER'!$L$5:$L$1504,"&gt;="&amp;E$7,'DAILY TASK TRACKER'!$L$5:$L$1504,"&lt;="&amp;E$8,'DAILY TASK TRACKER'!$AL$5:$AL$1504,1)</f>
        <v>0</v>
      </c>
      <c r="F14" s="96">
        <f>COUNTIFS('DAILY TASK TRACKER'!$AJ$5:$AJ$1504,1,'DAILY TASK TRACKER'!$L$5:$L$1504,"&gt;="&amp;F$7,'DAILY TASK TRACKER'!$L$5:$L$1504,"&lt;="&amp;F$8,'DAILY TASK TRACKER'!$AL$5:$AL$1504,1)</f>
        <v>0</v>
      </c>
      <c r="G14" s="96">
        <f>COUNTIFS('DAILY TASK TRACKER'!$AJ$5:$AJ$1504,1,'DAILY TASK TRACKER'!$L$5:$L$1504,"&gt;="&amp;G$7,'DAILY TASK TRACKER'!$L$5:$L$1504,"&lt;="&amp;G$8,'DAILY TASK TRACKER'!$AL$5:$AL$1504,1)</f>
        <v>0</v>
      </c>
      <c r="H14" s="96">
        <f>COUNTIFS('DAILY TASK TRACKER'!$AJ$5:$AJ$1504,1,'DAILY TASK TRACKER'!$L$5:$L$1504,"&gt;="&amp;H$7,'DAILY TASK TRACKER'!$L$5:$L$1504,"&lt;="&amp;H$8,'DAILY TASK TRACKER'!$AL$5:$AL$1504,1)</f>
        <v>0</v>
      </c>
      <c r="I14" s="96">
        <f>COUNTIFS('DAILY TASK TRACKER'!$AJ$5:$AJ$1504,1,'DAILY TASK TRACKER'!$L$5:$L$1504,"&gt;="&amp;I$7,'DAILY TASK TRACKER'!$L$5:$L$1504,"&lt;="&amp;I$8,'DAILY TASK TRACKER'!$AL$5:$AL$1504,1)</f>
        <v>0</v>
      </c>
      <c r="J14" s="96">
        <f>COUNTIFS('DAILY TASK TRACKER'!$AJ$5:$AJ$1504,1,'DAILY TASK TRACKER'!$L$5:$L$1504,"&gt;="&amp;J$7,'DAILY TASK TRACKER'!$L$5:$L$1504,"&lt;="&amp;J$8,'DAILY TASK TRACKER'!$AL$5:$AL$1504,1)</f>
        <v>3</v>
      </c>
      <c r="K14" s="96">
        <f>COUNTIFS('DAILY TASK TRACKER'!$AJ$5:$AJ$1504,1,'DAILY TASK TRACKER'!$L$5:$L$1504,"&gt;="&amp;K$7,'DAILY TASK TRACKER'!$L$5:$L$1504,"&lt;="&amp;K$8,'DAILY TASK TRACKER'!$AL$5:$AL$1504,1)</f>
        <v>0</v>
      </c>
      <c r="L14" s="96">
        <f>COUNTIFS('DAILY TASK TRACKER'!$AJ$5:$AJ$1504,1,'DAILY TASK TRACKER'!$L$5:$L$1504,"&gt;="&amp;L$7,'DAILY TASK TRACKER'!$L$5:$L$1504,"&lt;="&amp;L$8,'DAILY TASK TRACKER'!$AL$5:$AL$1504,1)</f>
        <v>0</v>
      </c>
      <c r="M14" s="96">
        <f>COUNTIFS('DAILY TASK TRACKER'!$AJ$5:$AJ$1504,1,'DAILY TASK TRACKER'!$L$5:$L$1504,"&gt;="&amp;M$7,'DAILY TASK TRACKER'!$L$5:$L$1504,"&lt;="&amp;M$8,'DAILY TASK TRACKER'!$AL$5:$AL$1504,1)</f>
        <v>0</v>
      </c>
    </row>
    <row r="15">
      <c r="A15" s="44" t="inlineStr">
        <is>
          <t>Blocked</t>
        </is>
      </c>
      <c r="B15" s="96">
        <f>COUNTIFS('DAILY TASK TRACKER'!$AJ$5:$AJ$1504,1,'DAILY TASK TRACKER'!$A$5:$A$1504,"&gt;="&amp;B$7,'DAILY TASK TRACKER'!$A$5:$A$1504,"&lt;="&amp;B$8,'DAILY TASK TRACKER'!$AM$5:$AM$1504,1)</f>
        <v>0</v>
      </c>
      <c r="C15" s="96">
        <f>COUNTIFS('DAILY TASK TRACKER'!$AJ$5:$AJ$1504,1,'DAILY TASK TRACKER'!$A$5:$A$1504,"&gt;="&amp;C$7,'DAILY TASK TRACKER'!$A$5:$A$1504,"&lt;="&amp;C$8,'DAILY TASK TRACKER'!$AM$5:$AM$1504,1)</f>
        <v>0</v>
      </c>
      <c r="D15" s="96">
        <f>COUNTIFS('DAILY TASK TRACKER'!$AJ$5:$AJ$1504,1,'DAILY TASK TRACKER'!$A$5:$A$1504,"&gt;="&amp;D$7,'DAILY TASK TRACKER'!$A$5:$A$1504,"&lt;="&amp;D$8,'DAILY TASK TRACKER'!$AM$5:$AM$1504,1)</f>
        <v>0</v>
      </c>
      <c r="E15" s="96">
        <f>COUNTIFS('DAILY TASK TRACKER'!$AJ$5:$AJ$1504,1,'DAILY TASK TRACKER'!$A$5:$A$1504,"&gt;="&amp;E$7,'DAILY TASK TRACKER'!$A$5:$A$1504,"&lt;="&amp;E$8,'DAILY TASK TRACKER'!$AM$5:$AM$1504,1)</f>
        <v>0</v>
      </c>
      <c r="F15" s="96">
        <f>COUNTIFS('DAILY TASK TRACKER'!$AJ$5:$AJ$1504,1,'DAILY TASK TRACKER'!$A$5:$A$1504,"&gt;="&amp;F$7,'DAILY TASK TRACKER'!$A$5:$A$1504,"&lt;="&amp;F$8,'DAILY TASK TRACKER'!$AM$5:$AM$1504,1)</f>
        <v>0</v>
      </c>
      <c r="G15" s="96">
        <f>COUNTIFS('DAILY TASK TRACKER'!$AJ$5:$AJ$1504,1,'DAILY TASK TRACKER'!$A$5:$A$1504,"&gt;="&amp;G$7,'DAILY TASK TRACKER'!$A$5:$A$1504,"&lt;="&amp;G$8,'DAILY TASK TRACKER'!$AM$5:$AM$1504,1)</f>
        <v>0</v>
      </c>
      <c r="H15" s="96">
        <f>COUNTIFS('DAILY TASK TRACKER'!$AJ$5:$AJ$1504,1,'DAILY TASK TRACKER'!$A$5:$A$1504,"&gt;="&amp;H$7,'DAILY TASK TRACKER'!$A$5:$A$1504,"&lt;="&amp;H$8,'DAILY TASK TRACKER'!$AM$5:$AM$1504,1)</f>
        <v>0</v>
      </c>
      <c r="I15" s="96">
        <f>COUNTIFS('DAILY TASK TRACKER'!$AJ$5:$AJ$1504,1,'DAILY TASK TRACKER'!$A$5:$A$1504,"&gt;="&amp;I$7,'DAILY TASK TRACKER'!$A$5:$A$1504,"&lt;="&amp;I$8,'DAILY TASK TRACKER'!$AM$5:$AM$1504,1)</f>
        <v>0</v>
      </c>
      <c r="J15" s="96">
        <f>COUNTIFS('DAILY TASK TRACKER'!$AJ$5:$AJ$1504,1,'DAILY TASK TRACKER'!$A$5:$A$1504,"&gt;="&amp;J$7,'DAILY TASK TRACKER'!$A$5:$A$1504,"&lt;="&amp;J$8,'DAILY TASK TRACKER'!$AM$5:$AM$1504,1)</f>
        <v>0</v>
      </c>
      <c r="K15" s="96">
        <f>COUNTIFS('DAILY TASK TRACKER'!$AJ$5:$AJ$1504,1,'DAILY TASK TRACKER'!$A$5:$A$1504,"&gt;="&amp;K$7,'DAILY TASK TRACKER'!$A$5:$A$1504,"&lt;="&amp;K$8,'DAILY TASK TRACKER'!$AM$5:$AM$1504,1)</f>
        <v>0</v>
      </c>
      <c r="L15" s="96">
        <f>COUNTIFS('DAILY TASK TRACKER'!$AJ$5:$AJ$1504,1,'DAILY TASK TRACKER'!$A$5:$A$1504,"&gt;="&amp;L$7,'DAILY TASK TRACKER'!$A$5:$A$1504,"&lt;="&amp;L$8,'DAILY TASK TRACKER'!$AM$5:$AM$1504,1)</f>
        <v>0</v>
      </c>
      <c r="M15" s="96">
        <f>COUNTIFS('DAILY TASK TRACKER'!$AJ$5:$AJ$1504,1,'DAILY TASK TRACKER'!$A$5:$A$1504,"&gt;="&amp;M$7,'DAILY TASK TRACKER'!$A$5:$A$1504,"&lt;="&amp;M$8,'DAILY TASK TRACKER'!$AM$5:$AM$1504,1)</f>
        <v>0</v>
      </c>
    </row>
    <row r="16" ht="20" customHeight="1">
      <c r="A16" s="37" t="inlineStr">
        <is>
          <t>LEAD GENERATION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</row>
    <row r="17">
      <c r="A17" s="44" t="inlineStr">
        <is>
          <t>Digital handraisers</t>
        </is>
      </c>
      <c r="B17" s="96">
        <f>(COUNTIFS('LEAD MQL TRACKER'!$AI$5:$AI$1004,1,'LEAD MQL TRACKER'!$Z$5:$Z$1004,"&gt;="&amp;B$7,'LEAD MQL TRACKER'!$Z$5:$Z$1004,"&lt;="&amp;B$8,'LEAD MQL TRACKER'!$AC$5:$AC$1004,1)+SUMIFS('LINKEDIN OUTREACH'!$M$5:$M$704,'LINKEDIN OUTREACH'!$U$5:$U$704,1,'LINKEDIN OUTREACH'!$A$5:$A$704,"&gt;="&amp;B$7,'LINKEDIN OUTREACH'!$A$5:$A$704,"&lt;="&amp;B$8))</f>
        <v>0</v>
      </c>
      <c r="C17" s="96">
        <f>(COUNTIFS('LEAD MQL TRACKER'!$AI$5:$AI$1004,1,'LEAD MQL TRACKER'!$Z$5:$Z$1004,"&gt;="&amp;C$7,'LEAD MQL TRACKER'!$Z$5:$Z$1004,"&lt;="&amp;C$8,'LEAD MQL TRACKER'!$AC$5:$AC$1004,1)+SUMIFS('LINKEDIN OUTREACH'!$M$5:$M$704,'LINKEDIN OUTREACH'!$U$5:$U$704,1,'LINKEDIN OUTREACH'!$A$5:$A$704,"&gt;="&amp;C$7,'LINKEDIN OUTREACH'!$A$5:$A$704,"&lt;="&amp;C$8))</f>
        <v>0</v>
      </c>
      <c r="D17" s="96">
        <f>(COUNTIFS('LEAD MQL TRACKER'!$AI$5:$AI$1004,1,'LEAD MQL TRACKER'!$Z$5:$Z$1004,"&gt;="&amp;D$7,'LEAD MQL TRACKER'!$Z$5:$Z$1004,"&lt;="&amp;D$8,'LEAD MQL TRACKER'!$AC$5:$AC$1004,1)+SUMIFS('LINKEDIN OUTREACH'!$M$5:$M$704,'LINKEDIN OUTREACH'!$U$5:$U$704,1,'LINKEDIN OUTREACH'!$A$5:$A$704,"&gt;="&amp;D$7,'LINKEDIN OUTREACH'!$A$5:$A$704,"&lt;="&amp;D$8))</f>
        <v>0</v>
      </c>
      <c r="E17" s="96">
        <f>(COUNTIFS('LEAD MQL TRACKER'!$AI$5:$AI$1004,1,'LEAD MQL TRACKER'!$Z$5:$Z$1004,"&gt;="&amp;E$7,'LEAD MQL TRACKER'!$Z$5:$Z$1004,"&lt;="&amp;E$8,'LEAD MQL TRACKER'!$AC$5:$AC$1004,1)+SUMIFS('LINKEDIN OUTREACH'!$M$5:$M$704,'LINKEDIN OUTREACH'!$U$5:$U$704,1,'LINKEDIN OUTREACH'!$A$5:$A$704,"&gt;="&amp;E$7,'LINKEDIN OUTREACH'!$A$5:$A$704,"&lt;="&amp;E$8))</f>
        <v>0</v>
      </c>
      <c r="F17" s="96">
        <f>(COUNTIFS('LEAD MQL TRACKER'!$AI$5:$AI$1004,1,'LEAD MQL TRACKER'!$Z$5:$Z$1004,"&gt;="&amp;F$7,'LEAD MQL TRACKER'!$Z$5:$Z$1004,"&lt;="&amp;F$8,'LEAD MQL TRACKER'!$AC$5:$AC$1004,1)+SUMIFS('LINKEDIN OUTREACH'!$M$5:$M$704,'LINKEDIN OUTREACH'!$U$5:$U$704,1,'LINKEDIN OUTREACH'!$A$5:$A$704,"&gt;="&amp;F$7,'LINKEDIN OUTREACH'!$A$5:$A$704,"&lt;="&amp;F$8))</f>
        <v>0</v>
      </c>
      <c r="G17" s="96">
        <f>(COUNTIFS('LEAD MQL TRACKER'!$AI$5:$AI$1004,1,'LEAD MQL TRACKER'!$Z$5:$Z$1004,"&gt;="&amp;G$7,'LEAD MQL TRACKER'!$Z$5:$Z$1004,"&lt;="&amp;G$8,'LEAD MQL TRACKER'!$AC$5:$AC$1004,1)+SUMIFS('LINKEDIN OUTREACH'!$M$5:$M$704,'LINKEDIN OUTREACH'!$U$5:$U$704,1,'LINKEDIN OUTREACH'!$A$5:$A$704,"&gt;="&amp;G$7,'LINKEDIN OUTREACH'!$A$5:$A$704,"&lt;="&amp;G$8))</f>
        <v>0</v>
      </c>
      <c r="H17" s="96">
        <f>(COUNTIFS('LEAD MQL TRACKER'!$AI$5:$AI$1004,1,'LEAD MQL TRACKER'!$Z$5:$Z$1004,"&gt;="&amp;H$7,'LEAD MQL TRACKER'!$Z$5:$Z$1004,"&lt;="&amp;H$8,'LEAD MQL TRACKER'!$AC$5:$AC$1004,1)+SUMIFS('LINKEDIN OUTREACH'!$M$5:$M$704,'LINKEDIN OUTREACH'!$U$5:$U$704,1,'LINKEDIN OUTREACH'!$A$5:$A$704,"&gt;="&amp;H$7,'LINKEDIN OUTREACH'!$A$5:$A$704,"&lt;="&amp;H$8))</f>
        <v>0</v>
      </c>
      <c r="I17" s="96">
        <f>(COUNTIFS('LEAD MQL TRACKER'!$AI$5:$AI$1004,1,'LEAD MQL TRACKER'!$Z$5:$Z$1004,"&gt;="&amp;I$7,'LEAD MQL TRACKER'!$Z$5:$Z$1004,"&lt;="&amp;I$8,'LEAD MQL TRACKER'!$AC$5:$AC$1004,1)+SUMIFS('LINKEDIN OUTREACH'!$M$5:$M$704,'LINKEDIN OUTREACH'!$U$5:$U$704,1,'LINKEDIN OUTREACH'!$A$5:$A$704,"&gt;="&amp;I$7,'LINKEDIN OUTREACH'!$A$5:$A$704,"&lt;="&amp;I$8))</f>
        <v>0</v>
      </c>
      <c r="J17" s="96">
        <f>(COUNTIFS('LEAD MQL TRACKER'!$AI$5:$AI$1004,1,'LEAD MQL TRACKER'!$Z$5:$Z$1004,"&gt;="&amp;J$7,'LEAD MQL TRACKER'!$Z$5:$Z$1004,"&lt;="&amp;J$8,'LEAD MQL TRACKER'!$AC$5:$AC$1004,1)+SUMIFS('LINKEDIN OUTREACH'!$M$5:$M$704,'LINKEDIN OUTREACH'!$U$5:$U$704,1,'LINKEDIN OUTREACH'!$A$5:$A$704,"&gt;="&amp;J$7,'LINKEDIN OUTREACH'!$A$5:$A$704,"&lt;="&amp;J$8))</f>
        <v>0</v>
      </c>
      <c r="K17" s="96">
        <f>(COUNTIFS('LEAD MQL TRACKER'!$AI$5:$AI$1004,1,'LEAD MQL TRACKER'!$Z$5:$Z$1004,"&gt;="&amp;K$7,'LEAD MQL TRACKER'!$Z$5:$Z$1004,"&lt;="&amp;K$8,'LEAD MQL TRACKER'!$AC$5:$AC$1004,1)+SUMIFS('LINKEDIN OUTREACH'!$M$5:$M$704,'LINKEDIN OUTREACH'!$U$5:$U$704,1,'LINKEDIN OUTREACH'!$A$5:$A$704,"&gt;="&amp;K$7,'LINKEDIN OUTREACH'!$A$5:$A$704,"&lt;="&amp;K$8))</f>
        <v>0</v>
      </c>
      <c r="L17" s="96">
        <f>(COUNTIFS('LEAD MQL TRACKER'!$AI$5:$AI$1004,1,'LEAD MQL TRACKER'!$Z$5:$Z$1004,"&gt;="&amp;L$7,'LEAD MQL TRACKER'!$Z$5:$Z$1004,"&lt;="&amp;L$8,'LEAD MQL TRACKER'!$AC$5:$AC$1004,1)+SUMIFS('LINKEDIN OUTREACH'!$M$5:$M$704,'LINKEDIN OUTREACH'!$U$5:$U$704,1,'LINKEDIN OUTREACH'!$A$5:$A$704,"&gt;="&amp;L$7,'LINKEDIN OUTREACH'!$A$5:$A$704,"&lt;="&amp;L$8))</f>
        <v>0</v>
      </c>
      <c r="M17" s="96">
        <f>(COUNTIFS('LEAD MQL TRACKER'!$AI$5:$AI$1004,1,'LEAD MQL TRACKER'!$Z$5:$Z$1004,"&gt;="&amp;M$7,'LEAD MQL TRACKER'!$Z$5:$Z$1004,"&lt;="&amp;M$8,'LEAD MQL TRACKER'!$AC$5:$AC$1004,1)+SUMIFS('LINKEDIN OUTREACH'!$M$5:$M$704,'LINKEDIN OUTREACH'!$U$5:$U$704,1,'LINKEDIN OUTREACH'!$A$5:$A$704,"&gt;="&amp;M$7,'LINKEDIN OUTREACH'!$A$5:$A$704,"&lt;="&amp;M$8))</f>
        <v>0</v>
      </c>
    </row>
    <row r="18">
      <c r="A18" s="40" t="inlineStr">
        <is>
          <t>Leads</t>
        </is>
      </c>
      <c r="B18" s="45">
        <f>(COUNTIFS('LEAD MQL TRACKER'!$AI$5:$AI$1004,1,'LEAD MQL TRACKER'!$Z$5:$Z$1004,"&gt;="&amp;B$7,'LEAD MQL TRACKER'!$Z$5:$Z$1004,"&lt;="&amp;B$8)+SUMIFS('EMAIL MARKETING'!$Q$5:$Q$804,'EMAIL MARKETING'!$Z$5:$Z$804,1,'EMAIL MARKETING'!$A$5:$A$804,"&gt;="&amp;B$7,'EMAIL MARKETING'!$A$5:$A$804,"&lt;="&amp;B$8)+SUMIFS('PAID MEDIA ADS'!$M$5:$M$804,'PAID MEDIA ADS'!$W$5:$W$804,1,'PAID MEDIA ADS'!$A$5:$A$804,"&gt;="&amp;B$7,'PAID MEDIA ADS'!$A$5:$A$804,"&lt;="&amp;B$8)+SUMIFS('LINKEDIN OUTREACH'!$N$5:$N$704,'LINKEDIN OUTREACH'!$U$5:$U$704,1,'LINKEDIN OUTREACH'!$A$5:$A$704,"&gt;="&amp;B$7,'LINKEDIN OUTREACH'!$A$5:$A$704,"&lt;="&amp;B$8)+SUMIFS('WEBSITE CONTENT SEO'!$L$5:$L$804,'WEBSITE CONTENT SEO'!$X$5:$X$804,1,'WEBSITE CONTENT SEO'!$A$5:$A$804,"&gt;="&amp;B$7,'WEBSITE CONTENT SEO'!$A$5:$A$804,"&lt;="&amp;B$8))</f>
        <v>0</v>
      </c>
      <c r="C18" s="45">
        <f>(COUNTIFS('LEAD MQL TRACKER'!$AI$5:$AI$1004,1,'LEAD MQL TRACKER'!$Z$5:$Z$1004,"&gt;="&amp;C$7,'LEAD MQL TRACKER'!$Z$5:$Z$1004,"&lt;="&amp;C$8)+SUMIFS('EMAIL MARKETING'!$Q$5:$Q$804,'EMAIL MARKETING'!$Z$5:$Z$804,1,'EMAIL MARKETING'!$A$5:$A$804,"&gt;="&amp;C$7,'EMAIL MARKETING'!$A$5:$A$804,"&lt;="&amp;C$8)+SUMIFS('PAID MEDIA ADS'!$M$5:$M$804,'PAID MEDIA ADS'!$W$5:$W$804,1,'PAID MEDIA ADS'!$A$5:$A$804,"&gt;="&amp;C$7,'PAID MEDIA ADS'!$A$5:$A$804,"&lt;="&amp;C$8)+SUMIFS('LINKEDIN OUTREACH'!$N$5:$N$704,'LINKEDIN OUTREACH'!$U$5:$U$704,1,'LINKEDIN OUTREACH'!$A$5:$A$704,"&gt;="&amp;C$7,'LINKEDIN OUTREACH'!$A$5:$A$704,"&lt;="&amp;C$8)+SUMIFS('WEBSITE CONTENT SEO'!$L$5:$L$804,'WEBSITE CONTENT SEO'!$X$5:$X$804,1,'WEBSITE CONTENT SEO'!$A$5:$A$804,"&gt;="&amp;C$7,'WEBSITE CONTENT SEO'!$A$5:$A$804,"&lt;="&amp;C$8))</f>
        <v>0</v>
      </c>
      <c r="D18" s="45">
        <f>(COUNTIFS('LEAD MQL TRACKER'!$AI$5:$AI$1004,1,'LEAD MQL TRACKER'!$Z$5:$Z$1004,"&gt;="&amp;D$7,'LEAD MQL TRACKER'!$Z$5:$Z$1004,"&lt;="&amp;D$8)+SUMIFS('EMAIL MARKETING'!$Q$5:$Q$804,'EMAIL MARKETING'!$Z$5:$Z$804,1,'EMAIL MARKETING'!$A$5:$A$804,"&gt;="&amp;D$7,'EMAIL MARKETING'!$A$5:$A$804,"&lt;="&amp;D$8)+SUMIFS('PAID MEDIA ADS'!$M$5:$M$804,'PAID MEDIA ADS'!$W$5:$W$804,1,'PAID MEDIA ADS'!$A$5:$A$804,"&gt;="&amp;D$7,'PAID MEDIA ADS'!$A$5:$A$804,"&lt;="&amp;D$8)+SUMIFS('LINKEDIN OUTREACH'!$N$5:$N$704,'LINKEDIN OUTREACH'!$U$5:$U$704,1,'LINKEDIN OUTREACH'!$A$5:$A$704,"&gt;="&amp;D$7,'LINKEDIN OUTREACH'!$A$5:$A$704,"&lt;="&amp;D$8)+SUMIFS('WEBSITE CONTENT SEO'!$L$5:$L$804,'WEBSITE CONTENT SEO'!$X$5:$X$804,1,'WEBSITE CONTENT SEO'!$A$5:$A$804,"&gt;="&amp;D$7,'WEBSITE CONTENT SEO'!$A$5:$A$804,"&lt;="&amp;D$8))</f>
        <v>0</v>
      </c>
      <c r="E18" s="45">
        <f>(COUNTIFS('LEAD MQL TRACKER'!$AI$5:$AI$1004,1,'LEAD MQL TRACKER'!$Z$5:$Z$1004,"&gt;="&amp;E$7,'LEAD MQL TRACKER'!$Z$5:$Z$1004,"&lt;="&amp;E$8)+SUMIFS('EMAIL MARKETING'!$Q$5:$Q$804,'EMAIL MARKETING'!$Z$5:$Z$804,1,'EMAIL MARKETING'!$A$5:$A$804,"&gt;="&amp;E$7,'EMAIL MARKETING'!$A$5:$A$804,"&lt;="&amp;E$8)+SUMIFS('PAID MEDIA ADS'!$M$5:$M$804,'PAID MEDIA ADS'!$W$5:$W$804,1,'PAID MEDIA ADS'!$A$5:$A$804,"&gt;="&amp;E$7,'PAID MEDIA ADS'!$A$5:$A$804,"&lt;="&amp;E$8)+SUMIFS('LINKEDIN OUTREACH'!$N$5:$N$704,'LINKEDIN OUTREACH'!$U$5:$U$704,1,'LINKEDIN OUTREACH'!$A$5:$A$704,"&gt;="&amp;E$7,'LINKEDIN OUTREACH'!$A$5:$A$704,"&lt;="&amp;E$8)+SUMIFS('WEBSITE CONTENT SEO'!$L$5:$L$804,'WEBSITE CONTENT SEO'!$X$5:$X$804,1,'WEBSITE CONTENT SEO'!$A$5:$A$804,"&gt;="&amp;E$7,'WEBSITE CONTENT SEO'!$A$5:$A$804,"&lt;="&amp;E$8))</f>
        <v>0</v>
      </c>
      <c r="F18" s="45">
        <f>(COUNTIFS('LEAD MQL TRACKER'!$AI$5:$AI$1004,1,'LEAD MQL TRACKER'!$Z$5:$Z$1004,"&gt;="&amp;F$7,'LEAD MQL TRACKER'!$Z$5:$Z$1004,"&lt;="&amp;F$8)+SUMIFS('EMAIL MARKETING'!$Q$5:$Q$804,'EMAIL MARKETING'!$Z$5:$Z$804,1,'EMAIL MARKETING'!$A$5:$A$804,"&gt;="&amp;F$7,'EMAIL MARKETING'!$A$5:$A$804,"&lt;="&amp;F$8)+SUMIFS('PAID MEDIA ADS'!$M$5:$M$804,'PAID MEDIA ADS'!$W$5:$W$804,1,'PAID MEDIA ADS'!$A$5:$A$804,"&gt;="&amp;F$7,'PAID MEDIA ADS'!$A$5:$A$804,"&lt;="&amp;F$8)+SUMIFS('LINKEDIN OUTREACH'!$N$5:$N$704,'LINKEDIN OUTREACH'!$U$5:$U$704,1,'LINKEDIN OUTREACH'!$A$5:$A$704,"&gt;="&amp;F$7,'LINKEDIN OUTREACH'!$A$5:$A$704,"&lt;="&amp;F$8)+SUMIFS('WEBSITE CONTENT SEO'!$L$5:$L$804,'WEBSITE CONTENT SEO'!$X$5:$X$804,1,'WEBSITE CONTENT SEO'!$A$5:$A$804,"&gt;="&amp;F$7,'WEBSITE CONTENT SEO'!$A$5:$A$804,"&lt;="&amp;F$8))</f>
        <v>0</v>
      </c>
      <c r="G18" s="45">
        <f>(COUNTIFS('LEAD MQL TRACKER'!$AI$5:$AI$1004,1,'LEAD MQL TRACKER'!$Z$5:$Z$1004,"&gt;="&amp;G$7,'LEAD MQL TRACKER'!$Z$5:$Z$1004,"&lt;="&amp;G$8)+SUMIFS('EMAIL MARKETING'!$Q$5:$Q$804,'EMAIL MARKETING'!$Z$5:$Z$804,1,'EMAIL MARKETING'!$A$5:$A$804,"&gt;="&amp;G$7,'EMAIL MARKETING'!$A$5:$A$804,"&lt;="&amp;G$8)+SUMIFS('PAID MEDIA ADS'!$M$5:$M$804,'PAID MEDIA ADS'!$W$5:$W$804,1,'PAID MEDIA ADS'!$A$5:$A$804,"&gt;="&amp;G$7,'PAID MEDIA ADS'!$A$5:$A$804,"&lt;="&amp;G$8)+SUMIFS('LINKEDIN OUTREACH'!$N$5:$N$704,'LINKEDIN OUTREACH'!$U$5:$U$704,1,'LINKEDIN OUTREACH'!$A$5:$A$704,"&gt;="&amp;G$7,'LINKEDIN OUTREACH'!$A$5:$A$704,"&lt;="&amp;G$8)+SUMIFS('WEBSITE CONTENT SEO'!$L$5:$L$804,'WEBSITE CONTENT SEO'!$X$5:$X$804,1,'WEBSITE CONTENT SEO'!$A$5:$A$804,"&gt;="&amp;G$7,'WEBSITE CONTENT SEO'!$A$5:$A$804,"&lt;="&amp;G$8))</f>
        <v>0</v>
      </c>
      <c r="H18" s="45">
        <f>(COUNTIFS('LEAD MQL TRACKER'!$AI$5:$AI$1004,1,'LEAD MQL TRACKER'!$Z$5:$Z$1004,"&gt;="&amp;H$7,'LEAD MQL TRACKER'!$Z$5:$Z$1004,"&lt;="&amp;H$8)+SUMIFS('EMAIL MARKETING'!$Q$5:$Q$804,'EMAIL MARKETING'!$Z$5:$Z$804,1,'EMAIL MARKETING'!$A$5:$A$804,"&gt;="&amp;H$7,'EMAIL MARKETING'!$A$5:$A$804,"&lt;="&amp;H$8)+SUMIFS('PAID MEDIA ADS'!$M$5:$M$804,'PAID MEDIA ADS'!$W$5:$W$804,1,'PAID MEDIA ADS'!$A$5:$A$804,"&gt;="&amp;H$7,'PAID MEDIA ADS'!$A$5:$A$804,"&lt;="&amp;H$8)+SUMIFS('LINKEDIN OUTREACH'!$N$5:$N$704,'LINKEDIN OUTREACH'!$U$5:$U$704,1,'LINKEDIN OUTREACH'!$A$5:$A$704,"&gt;="&amp;H$7,'LINKEDIN OUTREACH'!$A$5:$A$704,"&lt;="&amp;H$8)+SUMIFS('WEBSITE CONTENT SEO'!$L$5:$L$804,'WEBSITE CONTENT SEO'!$X$5:$X$804,1,'WEBSITE CONTENT SEO'!$A$5:$A$804,"&gt;="&amp;H$7,'WEBSITE CONTENT SEO'!$A$5:$A$804,"&lt;="&amp;H$8))</f>
        <v>0</v>
      </c>
      <c r="I18" s="45">
        <f>(COUNTIFS('LEAD MQL TRACKER'!$AI$5:$AI$1004,1,'LEAD MQL TRACKER'!$Z$5:$Z$1004,"&gt;="&amp;I$7,'LEAD MQL TRACKER'!$Z$5:$Z$1004,"&lt;="&amp;I$8)+SUMIFS('EMAIL MARKETING'!$Q$5:$Q$804,'EMAIL MARKETING'!$Z$5:$Z$804,1,'EMAIL MARKETING'!$A$5:$A$804,"&gt;="&amp;I$7,'EMAIL MARKETING'!$A$5:$A$804,"&lt;="&amp;I$8)+SUMIFS('PAID MEDIA ADS'!$M$5:$M$804,'PAID MEDIA ADS'!$W$5:$W$804,1,'PAID MEDIA ADS'!$A$5:$A$804,"&gt;="&amp;I$7,'PAID MEDIA ADS'!$A$5:$A$804,"&lt;="&amp;I$8)+SUMIFS('LINKEDIN OUTREACH'!$N$5:$N$704,'LINKEDIN OUTREACH'!$U$5:$U$704,1,'LINKEDIN OUTREACH'!$A$5:$A$704,"&gt;="&amp;I$7,'LINKEDIN OUTREACH'!$A$5:$A$704,"&lt;="&amp;I$8)+SUMIFS('WEBSITE CONTENT SEO'!$L$5:$L$804,'WEBSITE CONTENT SEO'!$X$5:$X$804,1,'WEBSITE CONTENT SEO'!$A$5:$A$804,"&gt;="&amp;I$7,'WEBSITE CONTENT SEO'!$A$5:$A$804,"&lt;="&amp;I$8))</f>
        <v>0</v>
      </c>
      <c r="J18" s="45">
        <f>(COUNTIFS('LEAD MQL TRACKER'!$AI$5:$AI$1004,1,'LEAD MQL TRACKER'!$Z$5:$Z$1004,"&gt;="&amp;J$7,'LEAD MQL TRACKER'!$Z$5:$Z$1004,"&lt;="&amp;J$8)+SUMIFS('EMAIL MARKETING'!$Q$5:$Q$804,'EMAIL MARKETING'!$Z$5:$Z$804,1,'EMAIL MARKETING'!$A$5:$A$804,"&gt;="&amp;J$7,'EMAIL MARKETING'!$A$5:$A$804,"&lt;="&amp;J$8)+SUMIFS('PAID MEDIA ADS'!$M$5:$M$804,'PAID MEDIA ADS'!$W$5:$W$804,1,'PAID MEDIA ADS'!$A$5:$A$804,"&gt;="&amp;J$7,'PAID MEDIA ADS'!$A$5:$A$804,"&lt;="&amp;J$8)+SUMIFS('LINKEDIN OUTREACH'!$N$5:$N$704,'LINKEDIN OUTREACH'!$U$5:$U$704,1,'LINKEDIN OUTREACH'!$A$5:$A$704,"&gt;="&amp;J$7,'LINKEDIN OUTREACH'!$A$5:$A$704,"&lt;="&amp;J$8)+SUMIFS('WEBSITE CONTENT SEO'!$L$5:$L$804,'WEBSITE CONTENT SEO'!$X$5:$X$804,1,'WEBSITE CONTENT SEO'!$A$5:$A$804,"&gt;="&amp;J$7,'WEBSITE CONTENT SEO'!$A$5:$A$804,"&lt;="&amp;J$8))</f>
        <v>0</v>
      </c>
      <c r="K18" s="45">
        <f>(COUNTIFS('LEAD MQL TRACKER'!$AI$5:$AI$1004,1,'LEAD MQL TRACKER'!$Z$5:$Z$1004,"&gt;="&amp;K$7,'LEAD MQL TRACKER'!$Z$5:$Z$1004,"&lt;="&amp;K$8)+SUMIFS('EMAIL MARKETING'!$Q$5:$Q$804,'EMAIL MARKETING'!$Z$5:$Z$804,1,'EMAIL MARKETING'!$A$5:$A$804,"&gt;="&amp;K$7,'EMAIL MARKETING'!$A$5:$A$804,"&lt;="&amp;K$8)+SUMIFS('PAID MEDIA ADS'!$M$5:$M$804,'PAID MEDIA ADS'!$W$5:$W$804,1,'PAID MEDIA ADS'!$A$5:$A$804,"&gt;="&amp;K$7,'PAID MEDIA ADS'!$A$5:$A$804,"&lt;="&amp;K$8)+SUMIFS('LINKEDIN OUTREACH'!$N$5:$N$704,'LINKEDIN OUTREACH'!$U$5:$U$704,1,'LINKEDIN OUTREACH'!$A$5:$A$704,"&gt;="&amp;K$7,'LINKEDIN OUTREACH'!$A$5:$A$704,"&lt;="&amp;K$8)+SUMIFS('WEBSITE CONTENT SEO'!$L$5:$L$804,'WEBSITE CONTENT SEO'!$X$5:$X$804,1,'WEBSITE CONTENT SEO'!$A$5:$A$804,"&gt;="&amp;K$7,'WEBSITE CONTENT SEO'!$A$5:$A$804,"&lt;="&amp;K$8))</f>
        <v>0</v>
      </c>
      <c r="L18" s="45">
        <f>(COUNTIFS('LEAD MQL TRACKER'!$AI$5:$AI$1004,1,'LEAD MQL TRACKER'!$Z$5:$Z$1004,"&gt;="&amp;L$7,'LEAD MQL TRACKER'!$Z$5:$Z$1004,"&lt;="&amp;L$8)+SUMIFS('EMAIL MARKETING'!$Q$5:$Q$804,'EMAIL MARKETING'!$Z$5:$Z$804,1,'EMAIL MARKETING'!$A$5:$A$804,"&gt;="&amp;L$7,'EMAIL MARKETING'!$A$5:$A$804,"&lt;="&amp;L$8)+SUMIFS('PAID MEDIA ADS'!$M$5:$M$804,'PAID MEDIA ADS'!$W$5:$W$804,1,'PAID MEDIA ADS'!$A$5:$A$804,"&gt;="&amp;L$7,'PAID MEDIA ADS'!$A$5:$A$804,"&lt;="&amp;L$8)+SUMIFS('LINKEDIN OUTREACH'!$N$5:$N$704,'LINKEDIN OUTREACH'!$U$5:$U$704,1,'LINKEDIN OUTREACH'!$A$5:$A$704,"&gt;="&amp;L$7,'LINKEDIN OUTREACH'!$A$5:$A$704,"&lt;="&amp;L$8)+SUMIFS('WEBSITE CONTENT SEO'!$L$5:$L$804,'WEBSITE CONTENT SEO'!$X$5:$X$804,1,'WEBSITE CONTENT SEO'!$A$5:$A$804,"&gt;="&amp;L$7,'WEBSITE CONTENT SEO'!$A$5:$A$804,"&lt;="&amp;L$8))</f>
        <v>0</v>
      </c>
      <c r="M18" s="45">
        <f>(COUNTIFS('LEAD MQL TRACKER'!$AI$5:$AI$1004,1,'LEAD MQL TRACKER'!$Z$5:$Z$1004,"&gt;="&amp;M$7,'LEAD MQL TRACKER'!$Z$5:$Z$1004,"&lt;="&amp;M$8)+SUMIFS('EMAIL MARKETING'!$Q$5:$Q$804,'EMAIL MARKETING'!$Z$5:$Z$804,1,'EMAIL MARKETING'!$A$5:$A$804,"&gt;="&amp;M$7,'EMAIL MARKETING'!$A$5:$A$804,"&lt;="&amp;M$8)+SUMIFS('PAID MEDIA ADS'!$M$5:$M$804,'PAID MEDIA ADS'!$W$5:$W$804,1,'PAID MEDIA ADS'!$A$5:$A$804,"&gt;="&amp;M$7,'PAID MEDIA ADS'!$A$5:$A$804,"&lt;="&amp;M$8)+SUMIFS('LINKEDIN OUTREACH'!$N$5:$N$704,'LINKEDIN OUTREACH'!$U$5:$U$704,1,'LINKEDIN OUTREACH'!$A$5:$A$704,"&gt;="&amp;M$7,'LINKEDIN OUTREACH'!$A$5:$A$704,"&lt;="&amp;M$8)+SUMIFS('WEBSITE CONTENT SEO'!$L$5:$L$804,'WEBSITE CONTENT SEO'!$X$5:$X$804,1,'WEBSITE CONTENT SEO'!$A$5:$A$804,"&gt;="&amp;M$7,'WEBSITE CONTENT SEO'!$A$5:$A$804,"&lt;="&amp;M$8))</f>
        <v>0</v>
      </c>
    </row>
    <row r="19">
      <c r="A19" s="40" t="inlineStr">
        <is>
          <t>MQLs</t>
        </is>
      </c>
      <c r="B19" s="45">
        <f>(COUNTIFS('LEAD MQL TRACKER'!$AI$5:$AI$1004,1,'LEAD MQL TRACKER'!$Z$5:$Z$1004,"&gt;="&amp;B$7,'LEAD MQL TRACKER'!$Z$5:$Z$1004,"&lt;="&amp;B$8,'LEAD MQL TRACKER'!$AD$5:$AD$1004,1)+SUMIFS('EMAIL MARKETING'!$R$5:$R$804,'EMAIL MARKETING'!$Z$5:$Z$804,1,'EMAIL MARKETING'!$A$5:$A$804,"&gt;="&amp;B$7,'EMAIL MARKETING'!$A$5:$A$804,"&lt;="&amp;B$8)+SUMIFS('PAID MEDIA ADS'!$N$5:$N$804,'PAID MEDIA ADS'!$W$5:$W$804,1,'PAID MEDIA ADS'!$A$5:$A$804,"&gt;="&amp;B$7,'PAID MEDIA ADS'!$A$5:$A$804,"&lt;="&amp;B$8)+SUMIFS('LINKEDIN OUTREACH'!$O$5:$O$704,'LINKEDIN OUTREACH'!$U$5:$U$704,1,'LINKEDIN OUTREACH'!$A$5:$A$704,"&gt;="&amp;B$7,'LINKEDIN OUTREACH'!$A$5:$A$704,"&lt;="&amp;B$8))</f>
        <v>0</v>
      </c>
      <c r="C19" s="45">
        <f>(COUNTIFS('LEAD MQL TRACKER'!$AI$5:$AI$1004,1,'LEAD MQL TRACKER'!$Z$5:$Z$1004,"&gt;="&amp;C$7,'LEAD MQL TRACKER'!$Z$5:$Z$1004,"&lt;="&amp;C$8,'LEAD MQL TRACKER'!$AD$5:$AD$1004,1)+SUMIFS('EMAIL MARKETING'!$R$5:$R$804,'EMAIL MARKETING'!$Z$5:$Z$804,1,'EMAIL MARKETING'!$A$5:$A$804,"&gt;="&amp;C$7,'EMAIL MARKETING'!$A$5:$A$804,"&lt;="&amp;C$8)+SUMIFS('PAID MEDIA ADS'!$N$5:$N$804,'PAID MEDIA ADS'!$W$5:$W$804,1,'PAID MEDIA ADS'!$A$5:$A$804,"&gt;="&amp;C$7,'PAID MEDIA ADS'!$A$5:$A$804,"&lt;="&amp;C$8)+SUMIFS('LINKEDIN OUTREACH'!$O$5:$O$704,'LINKEDIN OUTREACH'!$U$5:$U$704,1,'LINKEDIN OUTREACH'!$A$5:$A$704,"&gt;="&amp;C$7,'LINKEDIN OUTREACH'!$A$5:$A$704,"&lt;="&amp;C$8))</f>
        <v>0</v>
      </c>
      <c r="D19" s="45">
        <f>(COUNTIFS('LEAD MQL TRACKER'!$AI$5:$AI$1004,1,'LEAD MQL TRACKER'!$Z$5:$Z$1004,"&gt;="&amp;D$7,'LEAD MQL TRACKER'!$Z$5:$Z$1004,"&lt;="&amp;D$8,'LEAD MQL TRACKER'!$AD$5:$AD$1004,1)+SUMIFS('EMAIL MARKETING'!$R$5:$R$804,'EMAIL MARKETING'!$Z$5:$Z$804,1,'EMAIL MARKETING'!$A$5:$A$804,"&gt;="&amp;D$7,'EMAIL MARKETING'!$A$5:$A$804,"&lt;="&amp;D$8)+SUMIFS('PAID MEDIA ADS'!$N$5:$N$804,'PAID MEDIA ADS'!$W$5:$W$804,1,'PAID MEDIA ADS'!$A$5:$A$804,"&gt;="&amp;D$7,'PAID MEDIA ADS'!$A$5:$A$804,"&lt;="&amp;D$8)+SUMIFS('LINKEDIN OUTREACH'!$O$5:$O$704,'LINKEDIN OUTREACH'!$U$5:$U$704,1,'LINKEDIN OUTREACH'!$A$5:$A$704,"&gt;="&amp;D$7,'LINKEDIN OUTREACH'!$A$5:$A$704,"&lt;="&amp;D$8))</f>
        <v>0</v>
      </c>
      <c r="E19" s="45">
        <f>(COUNTIFS('LEAD MQL TRACKER'!$AI$5:$AI$1004,1,'LEAD MQL TRACKER'!$Z$5:$Z$1004,"&gt;="&amp;E$7,'LEAD MQL TRACKER'!$Z$5:$Z$1004,"&lt;="&amp;E$8,'LEAD MQL TRACKER'!$AD$5:$AD$1004,1)+SUMIFS('EMAIL MARKETING'!$R$5:$R$804,'EMAIL MARKETING'!$Z$5:$Z$804,1,'EMAIL MARKETING'!$A$5:$A$804,"&gt;="&amp;E$7,'EMAIL MARKETING'!$A$5:$A$804,"&lt;="&amp;E$8)+SUMIFS('PAID MEDIA ADS'!$N$5:$N$804,'PAID MEDIA ADS'!$W$5:$W$804,1,'PAID MEDIA ADS'!$A$5:$A$804,"&gt;="&amp;E$7,'PAID MEDIA ADS'!$A$5:$A$804,"&lt;="&amp;E$8)+SUMIFS('LINKEDIN OUTREACH'!$O$5:$O$704,'LINKEDIN OUTREACH'!$U$5:$U$704,1,'LINKEDIN OUTREACH'!$A$5:$A$704,"&gt;="&amp;E$7,'LINKEDIN OUTREACH'!$A$5:$A$704,"&lt;="&amp;E$8))</f>
        <v>0</v>
      </c>
      <c r="F19" s="45">
        <f>(COUNTIFS('LEAD MQL TRACKER'!$AI$5:$AI$1004,1,'LEAD MQL TRACKER'!$Z$5:$Z$1004,"&gt;="&amp;F$7,'LEAD MQL TRACKER'!$Z$5:$Z$1004,"&lt;="&amp;F$8,'LEAD MQL TRACKER'!$AD$5:$AD$1004,1)+SUMIFS('EMAIL MARKETING'!$R$5:$R$804,'EMAIL MARKETING'!$Z$5:$Z$804,1,'EMAIL MARKETING'!$A$5:$A$804,"&gt;="&amp;F$7,'EMAIL MARKETING'!$A$5:$A$804,"&lt;="&amp;F$8)+SUMIFS('PAID MEDIA ADS'!$N$5:$N$804,'PAID MEDIA ADS'!$W$5:$W$804,1,'PAID MEDIA ADS'!$A$5:$A$804,"&gt;="&amp;F$7,'PAID MEDIA ADS'!$A$5:$A$804,"&lt;="&amp;F$8)+SUMIFS('LINKEDIN OUTREACH'!$O$5:$O$704,'LINKEDIN OUTREACH'!$U$5:$U$704,1,'LINKEDIN OUTREACH'!$A$5:$A$704,"&gt;="&amp;F$7,'LINKEDIN OUTREACH'!$A$5:$A$704,"&lt;="&amp;F$8))</f>
        <v>0</v>
      </c>
      <c r="G19" s="45">
        <f>(COUNTIFS('LEAD MQL TRACKER'!$AI$5:$AI$1004,1,'LEAD MQL TRACKER'!$Z$5:$Z$1004,"&gt;="&amp;G$7,'LEAD MQL TRACKER'!$Z$5:$Z$1004,"&lt;="&amp;G$8,'LEAD MQL TRACKER'!$AD$5:$AD$1004,1)+SUMIFS('EMAIL MARKETING'!$R$5:$R$804,'EMAIL MARKETING'!$Z$5:$Z$804,1,'EMAIL MARKETING'!$A$5:$A$804,"&gt;="&amp;G$7,'EMAIL MARKETING'!$A$5:$A$804,"&lt;="&amp;G$8)+SUMIFS('PAID MEDIA ADS'!$N$5:$N$804,'PAID MEDIA ADS'!$W$5:$W$804,1,'PAID MEDIA ADS'!$A$5:$A$804,"&gt;="&amp;G$7,'PAID MEDIA ADS'!$A$5:$A$804,"&lt;="&amp;G$8)+SUMIFS('LINKEDIN OUTREACH'!$O$5:$O$704,'LINKEDIN OUTREACH'!$U$5:$U$704,1,'LINKEDIN OUTREACH'!$A$5:$A$704,"&gt;="&amp;G$7,'LINKEDIN OUTREACH'!$A$5:$A$704,"&lt;="&amp;G$8))</f>
        <v>0</v>
      </c>
      <c r="H19" s="45">
        <f>(COUNTIFS('LEAD MQL TRACKER'!$AI$5:$AI$1004,1,'LEAD MQL TRACKER'!$Z$5:$Z$1004,"&gt;="&amp;H$7,'LEAD MQL TRACKER'!$Z$5:$Z$1004,"&lt;="&amp;H$8,'LEAD MQL TRACKER'!$AD$5:$AD$1004,1)+SUMIFS('EMAIL MARKETING'!$R$5:$R$804,'EMAIL MARKETING'!$Z$5:$Z$804,1,'EMAIL MARKETING'!$A$5:$A$804,"&gt;="&amp;H$7,'EMAIL MARKETING'!$A$5:$A$804,"&lt;="&amp;H$8)+SUMIFS('PAID MEDIA ADS'!$N$5:$N$804,'PAID MEDIA ADS'!$W$5:$W$804,1,'PAID MEDIA ADS'!$A$5:$A$804,"&gt;="&amp;H$7,'PAID MEDIA ADS'!$A$5:$A$804,"&lt;="&amp;H$8)+SUMIFS('LINKEDIN OUTREACH'!$O$5:$O$704,'LINKEDIN OUTREACH'!$U$5:$U$704,1,'LINKEDIN OUTREACH'!$A$5:$A$704,"&gt;="&amp;H$7,'LINKEDIN OUTREACH'!$A$5:$A$704,"&lt;="&amp;H$8))</f>
        <v>0</v>
      </c>
      <c r="I19" s="45">
        <f>(COUNTIFS('LEAD MQL TRACKER'!$AI$5:$AI$1004,1,'LEAD MQL TRACKER'!$Z$5:$Z$1004,"&gt;="&amp;I$7,'LEAD MQL TRACKER'!$Z$5:$Z$1004,"&lt;="&amp;I$8,'LEAD MQL TRACKER'!$AD$5:$AD$1004,1)+SUMIFS('EMAIL MARKETING'!$R$5:$R$804,'EMAIL MARKETING'!$Z$5:$Z$804,1,'EMAIL MARKETING'!$A$5:$A$804,"&gt;="&amp;I$7,'EMAIL MARKETING'!$A$5:$A$804,"&lt;="&amp;I$8)+SUMIFS('PAID MEDIA ADS'!$N$5:$N$804,'PAID MEDIA ADS'!$W$5:$W$804,1,'PAID MEDIA ADS'!$A$5:$A$804,"&gt;="&amp;I$7,'PAID MEDIA ADS'!$A$5:$A$804,"&lt;="&amp;I$8)+SUMIFS('LINKEDIN OUTREACH'!$O$5:$O$704,'LINKEDIN OUTREACH'!$U$5:$U$704,1,'LINKEDIN OUTREACH'!$A$5:$A$704,"&gt;="&amp;I$7,'LINKEDIN OUTREACH'!$A$5:$A$704,"&lt;="&amp;I$8))</f>
        <v>0</v>
      </c>
      <c r="J19" s="45">
        <f>(COUNTIFS('LEAD MQL TRACKER'!$AI$5:$AI$1004,1,'LEAD MQL TRACKER'!$Z$5:$Z$1004,"&gt;="&amp;J$7,'LEAD MQL TRACKER'!$Z$5:$Z$1004,"&lt;="&amp;J$8,'LEAD MQL TRACKER'!$AD$5:$AD$1004,1)+SUMIFS('EMAIL MARKETING'!$R$5:$R$804,'EMAIL MARKETING'!$Z$5:$Z$804,1,'EMAIL MARKETING'!$A$5:$A$804,"&gt;="&amp;J$7,'EMAIL MARKETING'!$A$5:$A$804,"&lt;="&amp;J$8)+SUMIFS('PAID MEDIA ADS'!$N$5:$N$804,'PAID MEDIA ADS'!$W$5:$W$804,1,'PAID MEDIA ADS'!$A$5:$A$804,"&gt;="&amp;J$7,'PAID MEDIA ADS'!$A$5:$A$804,"&lt;="&amp;J$8)+SUMIFS('LINKEDIN OUTREACH'!$O$5:$O$704,'LINKEDIN OUTREACH'!$U$5:$U$704,1,'LINKEDIN OUTREACH'!$A$5:$A$704,"&gt;="&amp;J$7,'LINKEDIN OUTREACH'!$A$5:$A$704,"&lt;="&amp;J$8))</f>
        <v>0</v>
      </c>
      <c r="K19" s="45">
        <f>(COUNTIFS('LEAD MQL TRACKER'!$AI$5:$AI$1004,1,'LEAD MQL TRACKER'!$Z$5:$Z$1004,"&gt;="&amp;K$7,'LEAD MQL TRACKER'!$Z$5:$Z$1004,"&lt;="&amp;K$8,'LEAD MQL TRACKER'!$AD$5:$AD$1004,1)+SUMIFS('EMAIL MARKETING'!$R$5:$R$804,'EMAIL MARKETING'!$Z$5:$Z$804,1,'EMAIL MARKETING'!$A$5:$A$804,"&gt;="&amp;K$7,'EMAIL MARKETING'!$A$5:$A$804,"&lt;="&amp;K$8)+SUMIFS('PAID MEDIA ADS'!$N$5:$N$804,'PAID MEDIA ADS'!$W$5:$W$804,1,'PAID MEDIA ADS'!$A$5:$A$804,"&gt;="&amp;K$7,'PAID MEDIA ADS'!$A$5:$A$804,"&lt;="&amp;K$8)+SUMIFS('LINKEDIN OUTREACH'!$O$5:$O$704,'LINKEDIN OUTREACH'!$U$5:$U$704,1,'LINKEDIN OUTREACH'!$A$5:$A$704,"&gt;="&amp;K$7,'LINKEDIN OUTREACH'!$A$5:$A$704,"&lt;="&amp;K$8))</f>
        <v>0</v>
      </c>
      <c r="L19" s="45">
        <f>(COUNTIFS('LEAD MQL TRACKER'!$AI$5:$AI$1004,1,'LEAD MQL TRACKER'!$Z$5:$Z$1004,"&gt;="&amp;L$7,'LEAD MQL TRACKER'!$Z$5:$Z$1004,"&lt;="&amp;L$8,'LEAD MQL TRACKER'!$AD$5:$AD$1004,1)+SUMIFS('EMAIL MARKETING'!$R$5:$R$804,'EMAIL MARKETING'!$Z$5:$Z$804,1,'EMAIL MARKETING'!$A$5:$A$804,"&gt;="&amp;L$7,'EMAIL MARKETING'!$A$5:$A$804,"&lt;="&amp;L$8)+SUMIFS('PAID MEDIA ADS'!$N$5:$N$804,'PAID MEDIA ADS'!$W$5:$W$804,1,'PAID MEDIA ADS'!$A$5:$A$804,"&gt;="&amp;L$7,'PAID MEDIA ADS'!$A$5:$A$804,"&lt;="&amp;L$8)+SUMIFS('LINKEDIN OUTREACH'!$O$5:$O$704,'LINKEDIN OUTREACH'!$U$5:$U$704,1,'LINKEDIN OUTREACH'!$A$5:$A$704,"&gt;="&amp;L$7,'LINKEDIN OUTREACH'!$A$5:$A$704,"&lt;="&amp;L$8))</f>
        <v>0</v>
      </c>
      <c r="M19" s="45">
        <f>(COUNTIFS('LEAD MQL TRACKER'!$AI$5:$AI$1004,1,'LEAD MQL TRACKER'!$Z$5:$Z$1004,"&gt;="&amp;M$7,'LEAD MQL TRACKER'!$Z$5:$Z$1004,"&lt;="&amp;M$8,'LEAD MQL TRACKER'!$AD$5:$AD$1004,1)+SUMIFS('EMAIL MARKETING'!$R$5:$R$804,'EMAIL MARKETING'!$Z$5:$Z$804,1,'EMAIL MARKETING'!$A$5:$A$804,"&gt;="&amp;M$7,'EMAIL MARKETING'!$A$5:$A$804,"&lt;="&amp;M$8)+SUMIFS('PAID MEDIA ADS'!$N$5:$N$804,'PAID MEDIA ADS'!$W$5:$W$804,1,'PAID MEDIA ADS'!$A$5:$A$804,"&gt;="&amp;M$7,'PAID MEDIA ADS'!$A$5:$A$804,"&lt;="&amp;M$8)+SUMIFS('LINKEDIN OUTREACH'!$O$5:$O$704,'LINKEDIN OUTREACH'!$U$5:$U$704,1,'LINKEDIN OUTREACH'!$A$5:$A$704,"&gt;="&amp;M$7,'LINKEDIN OUTREACH'!$A$5:$A$704,"&lt;="&amp;M$8))</f>
        <v>0</v>
      </c>
    </row>
    <row r="20">
      <c r="A20" s="40" t="inlineStr">
        <is>
          <t>SQLs</t>
        </is>
      </c>
      <c r="B20" s="45">
        <f>COUNTIFS('LEAD MQL TRACKER'!$AI$5:$AI$1004,1,'LEAD MQL TRACKER'!$Z$5:$Z$1004,"&gt;="&amp;B$7,'LEAD MQL TRACKER'!$Z$5:$Z$1004,"&lt;="&amp;B$8,'LEAD MQL TRACKER'!$AE$5:$AE$1004,1)</f>
        <v>0</v>
      </c>
      <c r="C20" s="45">
        <f>COUNTIFS('LEAD MQL TRACKER'!$AI$5:$AI$1004,1,'LEAD MQL TRACKER'!$Z$5:$Z$1004,"&gt;="&amp;C$7,'LEAD MQL TRACKER'!$Z$5:$Z$1004,"&lt;="&amp;C$8,'LEAD MQL TRACKER'!$AE$5:$AE$1004,1)</f>
        <v>0</v>
      </c>
      <c r="D20" s="45">
        <f>COUNTIFS('LEAD MQL TRACKER'!$AI$5:$AI$1004,1,'LEAD MQL TRACKER'!$Z$5:$Z$1004,"&gt;="&amp;D$7,'LEAD MQL TRACKER'!$Z$5:$Z$1004,"&lt;="&amp;D$8,'LEAD MQL TRACKER'!$AE$5:$AE$1004,1)</f>
        <v>0</v>
      </c>
      <c r="E20" s="45">
        <f>COUNTIFS('LEAD MQL TRACKER'!$AI$5:$AI$1004,1,'LEAD MQL TRACKER'!$Z$5:$Z$1004,"&gt;="&amp;E$7,'LEAD MQL TRACKER'!$Z$5:$Z$1004,"&lt;="&amp;E$8,'LEAD MQL TRACKER'!$AE$5:$AE$1004,1)</f>
        <v>0</v>
      </c>
      <c r="F20" s="45">
        <f>COUNTIFS('LEAD MQL TRACKER'!$AI$5:$AI$1004,1,'LEAD MQL TRACKER'!$Z$5:$Z$1004,"&gt;="&amp;F$7,'LEAD MQL TRACKER'!$Z$5:$Z$1004,"&lt;="&amp;F$8,'LEAD MQL TRACKER'!$AE$5:$AE$1004,1)</f>
        <v>0</v>
      </c>
      <c r="G20" s="45">
        <f>COUNTIFS('LEAD MQL TRACKER'!$AI$5:$AI$1004,1,'LEAD MQL TRACKER'!$Z$5:$Z$1004,"&gt;="&amp;G$7,'LEAD MQL TRACKER'!$Z$5:$Z$1004,"&lt;="&amp;G$8,'LEAD MQL TRACKER'!$AE$5:$AE$1004,1)</f>
        <v>0</v>
      </c>
      <c r="H20" s="45">
        <f>COUNTIFS('LEAD MQL TRACKER'!$AI$5:$AI$1004,1,'LEAD MQL TRACKER'!$Z$5:$Z$1004,"&gt;="&amp;H$7,'LEAD MQL TRACKER'!$Z$5:$Z$1004,"&lt;="&amp;H$8,'LEAD MQL TRACKER'!$AE$5:$AE$1004,1)</f>
        <v>0</v>
      </c>
      <c r="I20" s="45">
        <f>COUNTIFS('LEAD MQL TRACKER'!$AI$5:$AI$1004,1,'LEAD MQL TRACKER'!$Z$5:$Z$1004,"&gt;="&amp;I$7,'LEAD MQL TRACKER'!$Z$5:$Z$1004,"&lt;="&amp;I$8,'LEAD MQL TRACKER'!$AE$5:$AE$1004,1)</f>
        <v>0</v>
      </c>
      <c r="J20" s="45">
        <f>COUNTIFS('LEAD MQL TRACKER'!$AI$5:$AI$1004,1,'LEAD MQL TRACKER'!$Z$5:$Z$1004,"&gt;="&amp;J$7,'LEAD MQL TRACKER'!$Z$5:$Z$1004,"&lt;="&amp;J$8,'LEAD MQL TRACKER'!$AE$5:$AE$1004,1)</f>
        <v>0</v>
      </c>
      <c r="K20" s="45">
        <f>COUNTIFS('LEAD MQL TRACKER'!$AI$5:$AI$1004,1,'LEAD MQL TRACKER'!$Z$5:$Z$1004,"&gt;="&amp;K$7,'LEAD MQL TRACKER'!$Z$5:$Z$1004,"&lt;="&amp;K$8,'LEAD MQL TRACKER'!$AE$5:$AE$1004,1)</f>
        <v>0</v>
      </c>
      <c r="L20" s="45">
        <f>COUNTIFS('LEAD MQL TRACKER'!$AI$5:$AI$1004,1,'LEAD MQL TRACKER'!$Z$5:$Z$1004,"&gt;="&amp;L$7,'LEAD MQL TRACKER'!$Z$5:$Z$1004,"&lt;="&amp;L$8,'LEAD MQL TRACKER'!$AE$5:$AE$1004,1)</f>
        <v>0</v>
      </c>
      <c r="M20" s="45">
        <f>COUNTIFS('LEAD MQL TRACKER'!$AI$5:$AI$1004,1,'LEAD MQL TRACKER'!$Z$5:$Z$1004,"&gt;="&amp;M$7,'LEAD MQL TRACKER'!$Z$5:$Z$1004,"&lt;="&amp;M$8,'LEAD MQL TRACKER'!$AE$5:$AE$1004,1)</f>
        <v>0</v>
      </c>
    </row>
    <row r="21">
      <c r="A21" s="44" t="inlineStr">
        <is>
          <t>Opportunities</t>
        </is>
      </c>
      <c r="B21" s="96">
        <f>COUNTIFS('LEAD MQL TRACKER'!$AI$5:$AI$1004,1,'LEAD MQL TRACKER'!$Z$5:$Z$1004,"&gt;="&amp;B$7,'LEAD MQL TRACKER'!$Z$5:$Z$1004,"&lt;="&amp;B$8,'LEAD MQL TRACKER'!$AF$5:$AF$1004,1)</f>
        <v>0</v>
      </c>
      <c r="C21" s="96">
        <f>COUNTIFS('LEAD MQL TRACKER'!$AI$5:$AI$1004,1,'LEAD MQL TRACKER'!$Z$5:$Z$1004,"&gt;="&amp;C$7,'LEAD MQL TRACKER'!$Z$5:$Z$1004,"&lt;="&amp;C$8,'LEAD MQL TRACKER'!$AF$5:$AF$1004,1)</f>
        <v>0</v>
      </c>
      <c r="D21" s="96">
        <f>COUNTIFS('LEAD MQL TRACKER'!$AI$5:$AI$1004,1,'LEAD MQL TRACKER'!$Z$5:$Z$1004,"&gt;="&amp;D$7,'LEAD MQL TRACKER'!$Z$5:$Z$1004,"&lt;="&amp;D$8,'LEAD MQL TRACKER'!$AF$5:$AF$1004,1)</f>
        <v>0</v>
      </c>
      <c r="E21" s="96">
        <f>COUNTIFS('LEAD MQL TRACKER'!$AI$5:$AI$1004,1,'LEAD MQL TRACKER'!$Z$5:$Z$1004,"&gt;="&amp;E$7,'LEAD MQL TRACKER'!$Z$5:$Z$1004,"&lt;="&amp;E$8,'LEAD MQL TRACKER'!$AF$5:$AF$1004,1)</f>
        <v>0</v>
      </c>
      <c r="F21" s="96">
        <f>COUNTIFS('LEAD MQL TRACKER'!$AI$5:$AI$1004,1,'LEAD MQL TRACKER'!$Z$5:$Z$1004,"&gt;="&amp;F$7,'LEAD MQL TRACKER'!$Z$5:$Z$1004,"&lt;="&amp;F$8,'LEAD MQL TRACKER'!$AF$5:$AF$1004,1)</f>
        <v>0</v>
      </c>
      <c r="G21" s="96">
        <f>COUNTIFS('LEAD MQL TRACKER'!$AI$5:$AI$1004,1,'LEAD MQL TRACKER'!$Z$5:$Z$1004,"&gt;="&amp;G$7,'LEAD MQL TRACKER'!$Z$5:$Z$1004,"&lt;="&amp;G$8,'LEAD MQL TRACKER'!$AF$5:$AF$1004,1)</f>
        <v>0</v>
      </c>
      <c r="H21" s="96">
        <f>COUNTIFS('LEAD MQL TRACKER'!$AI$5:$AI$1004,1,'LEAD MQL TRACKER'!$Z$5:$Z$1004,"&gt;="&amp;H$7,'LEAD MQL TRACKER'!$Z$5:$Z$1004,"&lt;="&amp;H$8,'LEAD MQL TRACKER'!$AF$5:$AF$1004,1)</f>
        <v>0</v>
      </c>
      <c r="I21" s="96">
        <f>COUNTIFS('LEAD MQL TRACKER'!$AI$5:$AI$1004,1,'LEAD MQL TRACKER'!$Z$5:$Z$1004,"&gt;="&amp;I$7,'LEAD MQL TRACKER'!$Z$5:$Z$1004,"&lt;="&amp;I$8,'LEAD MQL TRACKER'!$AF$5:$AF$1004,1)</f>
        <v>0</v>
      </c>
      <c r="J21" s="96">
        <f>COUNTIFS('LEAD MQL TRACKER'!$AI$5:$AI$1004,1,'LEAD MQL TRACKER'!$Z$5:$Z$1004,"&gt;="&amp;J$7,'LEAD MQL TRACKER'!$Z$5:$Z$1004,"&lt;="&amp;J$8,'LEAD MQL TRACKER'!$AF$5:$AF$1004,1)</f>
        <v>0</v>
      </c>
      <c r="K21" s="96">
        <f>COUNTIFS('LEAD MQL TRACKER'!$AI$5:$AI$1004,1,'LEAD MQL TRACKER'!$Z$5:$Z$1004,"&gt;="&amp;K$7,'LEAD MQL TRACKER'!$Z$5:$Z$1004,"&lt;="&amp;K$8,'LEAD MQL TRACKER'!$AF$5:$AF$1004,1)</f>
        <v>0</v>
      </c>
      <c r="L21" s="96">
        <f>COUNTIFS('LEAD MQL TRACKER'!$AI$5:$AI$1004,1,'LEAD MQL TRACKER'!$Z$5:$Z$1004,"&gt;="&amp;L$7,'LEAD MQL TRACKER'!$Z$5:$Z$1004,"&lt;="&amp;L$8,'LEAD MQL TRACKER'!$AF$5:$AF$1004,1)</f>
        <v>0</v>
      </c>
      <c r="M21" s="96">
        <f>COUNTIFS('LEAD MQL TRACKER'!$AI$5:$AI$1004,1,'LEAD MQL TRACKER'!$Z$5:$Z$1004,"&gt;="&amp;M$7,'LEAD MQL TRACKER'!$Z$5:$Z$1004,"&lt;="&amp;M$8,'LEAD MQL TRACKER'!$AF$5:$AF$1004,1)</f>
        <v>0</v>
      </c>
    </row>
    <row r="22">
      <c r="A22" s="44" t="inlineStr">
        <is>
          <t>Lead &gt; MQL %</t>
        </is>
      </c>
      <c r="B22" s="43" t="str">
        <f>IFERROR((B19)/(B18),"–")</f>
        <v>–</v>
      </c>
      <c r="C22" s="43" t="str">
        <f>IFERROR((C19)/(C18),"–")</f>
        <v>–</v>
      </c>
      <c r="D22" s="43" t="str">
        <f>IFERROR((D19)/(D18),"–")</f>
        <v>–</v>
      </c>
      <c r="E22" s="43" t="str">
        <f>IFERROR((E19)/(E18),"–")</f>
        <v>–</v>
      </c>
      <c r="F22" s="43" t="str">
        <f>IFERROR((F19)/(F18),"–")</f>
        <v>–</v>
      </c>
      <c r="G22" s="43" t="str">
        <f>IFERROR((G19)/(G18),"–")</f>
        <v>–</v>
      </c>
      <c r="H22" s="43" t="str">
        <f>IFERROR((H19)/(H18),"–")</f>
        <v>–</v>
      </c>
      <c r="I22" s="43" t="str">
        <f>IFERROR((I19)/(I18),"–")</f>
        <v>–</v>
      </c>
      <c r="J22" s="43" t="str">
        <f>IFERROR((J19)/(J18),"–")</f>
        <v>–</v>
      </c>
      <c r="K22" s="43" t="str">
        <f>IFERROR((K19)/(K18),"–")</f>
        <v>–</v>
      </c>
      <c r="L22" s="43" t="str">
        <f>IFERROR((L19)/(L18),"–")</f>
        <v>–</v>
      </c>
      <c r="M22" s="43" t="str">
        <f>IFERROR((M19)/(M18),"–")</f>
        <v>–</v>
      </c>
    </row>
    <row r="23">
      <c r="A23" s="44" t="inlineStr">
        <is>
          <t>MQL &gt; SQL %</t>
        </is>
      </c>
      <c r="B23" s="43" t="str">
        <f>IFERROR((B20)/(B19),"–")</f>
        <v>–</v>
      </c>
      <c r="C23" s="43" t="str">
        <f>IFERROR((C20)/(C19),"–")</f>
        <v>–</v>
      </c>
      <c r="D23" s="43" t="str">
        <f>IFERROR((D20)/(D19),"–")</f>
        <v>–</v>
      </c>
      <c r="E23" s="43" t="str">
        <f>IFERROR((E20)/(E19),"–")</f>
        <v>–</v>
      </c>
      <c r="F23" s="43" t="str">
        <f>IFERROR((F20)/(F19),"–")</f>
        <v>–</v>
      </c>
      <c r="G23" s="43" t="str">
        <f>IFERROR((G20)/(G19),"–")</f>
        <v>–</v>
      </c>
      <c r="H23" s="43" t="str">
        <f>IFERROR((H20)/(H19),"–")</f>
        <v>–</v>
      </c>
      <c r="I23" s="43" t="str">
        <f>IFERROR((I20)/(I19),"–")</f>
        <v>–</v>
      </c>
      <c r="J23" s="43" t="str">
        <f>IFERROR((J20)/(J19),"–")</f>
        <v>–</v>
      </c>
      <c r="K23" s="43" t="str">
        <f>IFERROR((K20)/(K19),"–")</f>
        <v>–</v>
      </c>
      <c r="L23" s="43" t="str">
        <f>IFERROR((L20)/(L19),"–")</f>
        <v>–</v>
      </c>
      <c r="M23" s="43" t="str">
        <f>IFERROR((M20)/(M19),"–")</f>
        <v>–</v>
      </c>
    </row>
    <row r="24" ht="20" customHeight="1">
      <c r="A24" s="37" t="inlineStr">
        <is>
          <t>CAMPAIGNS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</row>
    <row r="25">
      <c r="A25" s="44" t="inlineStr">
        <is>
          <t>Campaigns launched (start date in period)</t>
        </is>
      </c>
      <c r="B25" s="96">
        <f>COUNTIFS('CAMPAIGN MASTER'!$AL$5:$AL$704,1,'CAMPAIGN MASTER'!$K$5:$K$704,"&gt;="&amp;B$7,'CAMPAIGN MASTER'!$K$5:$K$704,"&lt;="&amp;B$8,'CAMPAIGN MASTER'!$AN$5:$AN$704,1)</f>
        <v>0</v>
      </c>
      <c r="C25" s="96">
        <f>COUNTIFS('CAMPAIGN MASTER'!$AL$5:$AL$704,1,'CAMPAIGN MASTER'!$K$5:$K$704,"&gt;="&amp;C$7,'CAMPAIGN MASTER'!$K$5:$K$704,"&lt;="&amp;C$8,'CAMPAIGN MASTER'!$AN$5:$AN$704,1)</f>
        <v>0</v>
      </c>
      <c r="D25" s="96">
        <f>COUNTIFS('CAMPAIGN MASTER'!$AL$5:$AL$704,1,'CAMPAIGN MASTER'!$K$5:$K$704,"&gt;="&amp;D$7,'CAMPAIGN MASTER'!$K$5:$K$704,"&lt;="&amp;D$8,'CAMPAIGN MASTER'!$AN$5:$AN$704,1)</f>
        <v>0</v>
      </c>
      <c r="E25" s="96">
        <f>COUNTIFS('CAMPAIGN MASTER'!$AL$5:$AL$704,1,'CAMPAIGN MASTER'!$K$5:$K$704,"&gt;="&amp;E$7,'CAMPAIGN MASTER'!$K$5:$K$704,"&lt;="&amp;E$8,'CAMPAIGN MASTER'!$AN$5:$AN$704,1)</f>
        <v>0</v>
      </c>
      <c r="F25" s="96">
        <f>COUNTIFS('CAMPAIGN MASTER'!$AL$5:$AL$704,1,'CAMPAIGN MASTER'!$K$5:$K$704,"&gt;="&amp;F$7,'CAMPAIGN MASTER'!$K$5:$K$704,"&lt;="&amp;F$8,'CAMPAIGN MASTER'!$AN$5:$AN$704,1)</f>
        <v>0</v>
      </c>
      <c r="G25" s="96">
        <f>COUNTIFS('CAMPAIGN MASTER'!$AL$5:$AL$704,1,'CAMPAIGN MASTER'!$K$5:$K$704,"&gt;="&amp;G$7,'CAMPAIGN MASTER'!$K$5:$K$704,"&lt;="&amp;G$8,'CAMPAIGN MASTER'!$AN$5:$AN$704,1)</f>
        <v>0</v>
      </c>
      <c r="H25" s="96">
        <f>COUNTIFS('CAMPAIGN MASTER'!$AL$5:$AL$704,1,'CAMPAIGN MASTER'!$K$5:$K$704,"&gt;="&amp;H$7,'CAMPAIGN MASTER'!$K$5:$K$704,"&lt;="&amp;H$8,'CAMPAIGN MASTER'!$AN$5:$AN$704,1)</f>
        <v>0</v>
      </c>
      <c r="I25" s="96">
        <f>COUNTIFS('CAMPAIGN MASTER'!$AL$5:$AL$704,1,'CAMPAIGN MASTER'!$K$5:$K$704,"&gt;="&amp;I$7,'CAMPAIGN MASTER'!$K$5:$K$704,"&lt;="&amp;I$8,'CAMPAIGN MASTER'!$AN$5:$AN$704,1)</f>
        <v>0</v>
      </c>
      <c r="J25" s="96">
        <f>COUNTIFS('CAMPAIGN MASTER'!$AL$5:$AL$704,1,'CAMPAIGN MASTER'!$K$5:$K$704,"&gt;="&amp;J$7,'CAMPAIGN MASTER'!$K$5:$K$704,"&lt;="&amp;J$8,'CAMPAIGN MASTER'!$AN$5:$AN$704,1)</f>
        <v>0</v>
      </c>
      <c r="K25" s="96">
        <f>COUNTIFS('CAMPAIGN MASTER'!$AL$5:$AL$704,1,'CAMPAIGN MASTER'!$K$5:$K$704,"&gt;="&amp;K$7,'CAMPAIGN MASTER'!$K$5:$K$704,"&lt;="&amp;K$8,'CAMPAIGN MASTER'!$AN$5:$AN$704,1)</f>
        <v>0</v>
      </c>
      <c r="L25" s="96">
        <f>COUNTIFS('CAMPAIGN MASTER'!$AL$5:$AL$704,1,'CAMPAIGN MASTER'!$K$5:$K$704,"&gt;="&amp;L$7,'CAMPAIGN MASTER'!$K$5:$K$704,"&lt;="&amp;L$8,'CAMPAIGN MASTER'!$AN$5:$AN$704,1)</f>
        <v>0</v>
      </c>
      <c r="M25" s="96">
        <f>COUNTIFS('CAMPAIGN MASTER'!$AL$5:$AL$704,1,'CAMPAIGN MASTER'!$K$5:$K$704,"&gt;="&amp;M$7,'CAMPAIGN MASTER'!$K$5:$K$704,"&lt;="&amp;M$8,'CAMPAIGN MASTER'!$AN$5:$AN$704,1)</f>
        <v>0</v>
      </c>
    </row>
    <row r="26">
      <c r="A26" s="44" t="inlineStr">
        <is>
          <t>Active campaigns (running in period)</t>
        </is>
      </c>
      <c r="B26" s="96">
        <f>COUNTIFS('CAMPAIGN MASTER'!$AL$5:$AL$704,1,'CAMPAIGN MASTER'!$AN$5:$AN$704,1,'CAMPAIGN MASTER'!$K$5:$K$704,"&lt;="&amp;B$8,'CAMPAIGN MASTER'!$M$5:$M$704,"&gt;="&amp;B$7)+COUNTIFS('CAMPAIGN MASTER'!$AL$5:$AL$704,1,'CAMPAIGN MASTER'!$AN$5:$AN$704,1,'CAMPAIGN MASTER'!$K$5:$K$704,"&lt;="&amp;B$8,'CAMPAIGN MASTER'!$M$5:$M$704,"=")</f>
        <v>0</v>
      </c>
      <c r="C26" s="96">
        <f>COUNTIFS('CAMPAIGN MASTER'!$AL$5:$AL$704,1,'CAMPAIGN MASTER'!$AN$5:$AN$704,1,'CAMPAIGN MASTER'!$K$5:$K$704,"&lt;="&amp;C$8,'CAMPAIGN MASTER'!$M$5:$M$704,"&gt;="&amp;C$7)+COUNTIFS('CAMPAIGN MASTER'!$AL$5:$AL$704,1,'CAMPAIGN MASTER'!$AN$5:$AN$704,1,'CAMPAIGN MASTER'!$K$5:$K$704,"&lt;="&amp;C$8,'CAMPAIGN MASTER'!$M$5:$M$704,"=")</f>
        <v>0</v>
      </c>
      <c r="D26" s="96">
        <f>COUNTIFS('CAMPAIGN MASTER'!$AL$5:$AL$704,1,'CAMPAIGN MASTER'!$AN$5:$AN$704,1,'CAMPAIGN MASTER'!$K$5:$K$704,"&lt;="&amp;D$8,'CAMPAIGN MASTER'!$M$5:$M$704,"&gt;="&amp;D$7)+COUNTIFS('CAMPAIGN MASTER'!$AL$5:$AL$704,1,'CAMPAIGN MASTER'!$AN$5:$AN$704,1,'CAMPAIGN MASTER'!$K$5:$K$704,"&lt;="&amp;D$8,'CAMPAIGN MASTER'!$M$5:$M$704,"=")</f>
        <v>0</v>
      </c>
      <c r="E26" s="96">
        <f>COUNTIFS('CAMPAIGN MASTER'!$AL$5:$AL$704,1,'CAMPAIGN MASTER'!$AN$5:$AN$704,1,'CAMPAIGN MASTER'!$K$5:$K$704,"&lt;="&amp;E$8,'CAMPAIGN MASTER'!$M$5:$M$704,"&gt;="&amp;E$7)+COUNTIFS('CAMPAIGN MASTER'!$AL$5:$AL$704,1,'CAMPAIGN MASTER'!$AN$5:$AN$704,1,'CAMPAIGN MASTER'!$K$5:$K$704,"&lt;="&amp;E$8,'CAMPAIGN MASTER'!$M$5:$M$704,"=")</f>
        <v>0</v>
      </c>
      <c r="F26" s="96">
        <f>COUNTIFS('CAMPAIGN MASTER'!$AL$5:$AL$704,1,'CAMPAIGN MASTER'!$AN$5:$AN$704,1,'CAMPAIGN MASTER'!$K$5:$K$704,"&lt;="&amp;F$8,'CAMPAIGN MASTER'!$M$5:$M$704,"&gt;="&amp;F$7)+COUNTIFS('CAMPAIGN MASTER'!$AL$5:$AL$704,1,'CAMPAIGN MASTER'!$AN$5:$AN$704,1,'CAMPAIGN MASTER'!$K$5:$K$704,"&lt;="&amp;F$8,'CAMPAIGN MASTER'!$M$5:$M$704,"=")</f>
        <v>0</v>
      </c>
      <c r="G26" s="96">
        <f>COUNTIFS('CAMPAIGN MASTER'!$AL$5:$AL$704,1,'CAMPAIGN MASTER'!$AN$5:$AN$704,1,'CAMPAIGN MASTER'!$K$5:$K$704,"&lt;="&amp;G$8,'CAMPAIGN MASTER'!$M$5:$M$704,"&gt;="&amp;G$7)+COUNTIFS('CAMPAIGN MASTER'!$AL$5:$AL$704,1,'CAMPAIGN MASTER'!$AN$5:$AN$704,1,'CAMPAIGN MASTER'!$K$5:$K$704,"&lt;="&amp;G$8,'CAMPAIGN MASTER'!$M$5:$M$704,"=")</f>
        <v>0</v>
      </c>
      <c r="H26" s="96">
        <f>COUNTIFS('CAMPAIGN MASTER'!$AL$5:$AL$704,1,'CAMPAIGN MASTER'!$AN$5:$AN$704,1,'CAMPAIGN MASTER'!$K$5:$K$704,"&lt;="&amp;H$8,'CAMPAIGN MASTER'!$M$5:$M$704,"&gt;="&amp;H$7)+COUNTIFS('CAMPAIGN MASTER'!$AL$5:$AL$704,1,'CAMPAIGN MASTER'!$AN$5:$AN$704,1,'CAMPAIGN MASTER'!$K$5:$K$704,"&lt;="&amp;H$8,'CAMPAIGN MASTER'!$M$5:$M$704,"=")</f>
        <v>0</v>
      </c>
      <c r="I26" s="96">
        <f>COUNTIFS('CAMPAIGN MASTER'!$AL$5:$AL$704,1,'CAMPAIGN MASTER'!$AN$5:$AN$704,1,'CAMPAIGN MASTER'!$K$5:$K$704,"&lt;="&amp;I$8,'CAMPAIGN MASTER'!$M$5:$M$704,"&gt;="&amp;I$7)+COUNTIFS('CAMPAIGN MASTER'!$AL$5:$AL$704,1,'CAMPAIGN MASTER'!$AN$5:$AN$704,1,'CAMPAIGN MASTER'!$K$5:$K$704,"&lt;="&amp;I$8,'CAMPAIGN MASTER'!$M$5:$M$704,"=")</f>
        <v>0</v>
      </c>
      <c r="J26" s="96">
        <f>COUNTIFS('CAMPAIGN MASTER'!$AL$5:$AL$704,1,'CAMPAIGN MASTER'!$AN$5:$AN$704,1,'CAMPAIGN MASTER'!$K$5:$K$704,"&lt;="&amp;J$8,'CAMPAIGN MASTER'!$M$5:$M$704,"&gt;="&amp;J$7)+COUNTIFS('CAMPAIGN MASTER'!$AL$5:$AL$704,1,'CAMPAIGN MASTER'!$AN$5:$AN$704,1,'CAMPAIGN MASTER'!$K$5:$K$704,"&lt;="&amp;J$8,'CAMPAIGN MASTER'!$M$5:$M$704,"=")</f>
        <v>0</v>
      </c>
      <c r="K26" s="96">
        <f>COUNTIFS('CAMPAIGN MASTER'!$AL$5:$AL$704,1,'CAMPAIGN MASTER'!$AN$5:$AN$704,1,'CAMPAIGN MASTER'!$K$5:$K$704,"&lt;="&amp;K$8,'CAMPAIGN MASTER'!$M$5:$M$704,"&gt;="&amp;K$7)+COUNTIFS('CAMPAIGN MASTER'!$AL$5:$AL$704,1,'CAMPAIGN MASTER'!$AN$5:$AN$704,1,'CAMPAIGN MASTER'!$K$5:$K$704,"&lt;="&amp;K$8,'CAMPAIGN MASTER'!$M$5:$M$704,"=")</f>
        <v>0</v>
      </c>
      <c r="L26" s="96">
        <f>COUNTIFS('CAMPAIGN MASTER'!$AL$5:$AL$704,1,'CAMPAIGN MASTER'!$AN$5:$AN$704,1,'CAMPAIGN MASTER'!$K$5:$K$704,"&lt;="&amp;L$8,'CAMPAIGN MASTER'!$M$5:$M$704,"&gt;="&amp;L$7)+COUNTIFS('CAMPAIGN MASTER'!$AL$5:$AL$704,1,'CAMPAIGN MASTER'!$AN$5:$AN$704,1,'CAMPAIGN MASTER'!$K$5:$K$704,"&lt;="&amp;L$8,'CAMPAIGN MASTER'!$M$5:$M$704,"=")</f>
        <v>0</v>
      </c>
      <c r="M26" s="96">
        <f>COUNTIFS('CAMPAIGN MASTER'!$AL$5:$AL$704,1,'CAMPAIGN MASTER'!$AN$5:$AN$704,1,'CAMPAIGN MASTER'!$K$5:$K$704,"&lt;="&amp;M$8,'CAMPAIGN MASTER'!$M$5:$M$704,"&gt;="&amp;M$7)+COUNTIFS('CAMPAIGN MASTER'!$AL$5:$AL$704,1,'CAMPAIGN MASTER'!$AN$5:$AN$704,1,'CAMPAIGN MASTER'!$K$5:$K$704,"&lt;="&amp;M$8,'CAMPAIGN MASTER'!$M$5:$M$704,"=")</f>
        <v>0</v>
      </c>
    </row>
    <row r="27">
      <c r="A27" s="44" t="inlineStr">
        <is>
          <t>Under optimization (current)</t>
        </is>
      </c>
      <c r="B27" s="96" t="str">
        <f>IF(AND(ReportDate&gt;=B$7,ReportDate&lt;=B$8),COUNTIFS('CAMPAIGN MASTER'!$AL$5:$AL$704,1,'CAMPAIGN MASTER'!$N$5:$N$704,"Optimizing"),"–")</f>
        <v>–</v>
      </c>
      <c r="C27" s="96" t="str">
        <f>IF(AND(ReportDate&gt;=C$7,ReportDate&lt;=C$8),COUNTIFS('CAMPAIGN MASTER'!$AL$5:$AL$704,1,'CAMPAIGN MASTER'!$N$5:$N$704,"Optimizing"),"–")</f>
        <v>–</v>
      </c>
      <c r="D27" s="96" t="str">
        <f>IF(AND(ReportDate&gt;=D$7,ReportDate&lt;=D$8),COUNTIFS('CAMPAIGN MASTER'!$AL$5:$AL$704,1,'CAMPAIGN MASTER'!$N$5:$N$704,"Optimizing"),"–")</f>
        <v>–</v>
      </c>
      <c r="E27" s="96" t="str">
        <f>IF(AND(ReportDate&gt;=E$7,ReportDate&lt;=E$8),COUNTIFS('CAMPAIGN MASTER'!$AL$5:$AL$704,1,'CAMPAIGN MASTER'!$N$5:$N$704,"Optimizing"),"–")</f>
        <v>–</v>
      </c>
      <c r="F27" s="96" t="str">
        <f>IF(AND(ReportDate&gt;=F$7,ReportDate&lt;=F$8),COUNTIFS('CAMPAIGN MASTER'!$AL$5:$AL$704,1,'CAMPAIGN MASTER'!$N$5:$N$704,"Optimizing"),"–")</f>
        <v>–</v>
      </c>
      <c r="G27" s="96" t="str">
        <f>IF(AND(ReportDate&gt;=G$7,ReportDate&lt;=G$8),COUNTIFS('CAMPAIGN MASTER'!$AL$5:$AL$704,1,'CAMPAIGN MASTER'!$N$5:$N$704,"Optimizing"),"–")</f>
        <v>–</v>
      </c>
      <c r="H27" s="96" t="str">
        <f>IF(AND(ReportDate&gt;=H$7,ReportDate&lt;=H$8),COUNTIFS('CAMPAIGN MASTER'!$AL$5:$AL$704,1,'CAMPAIGN MASTER'!$N$5:$N$704,"Optimizing"),"–")</f>
        <v>–</v>
      </c>
      <c r="I27" s="96" t="str">
        <f>IF(AND(ReportDate&gt;=I$7,ReportDate&lt;=I$8),COUNTIFS('CAMPAIGN MASTER'!$AL$5:$AL$704,1,'CAMPAIGN MASTER'!$N$5:$N$704,"Optimizing"),"–")</f>
        <v>–</v>
      </c>
      <c r="J27" s="96" t="str">
        <f>IF(AND(ReportDate&gt;=J$7,ReportDate&lt;=J$8),COUNTIFS('CAMPAIGN MASTER'!$AL$5:$AL$704,1,'CAMPAIGN MASTER'!$N$5:$N$704,"Optimizing"),"–")</f>
        <v>–</v>
      </c>
      <c r="K27" s="96">
        <f>IF(AND(ReportDate&gt;=K$7,ReportDate&lt;=K$8),COUNTIFS('CAMPAIGN MASTER'!$AL$5:$AL$704,1,'CAMPAIGN MASTER'!$N$5:$N$704,"Optimizing"),"–")</f>
        <v>0</v>
      </c>
      <c r="L27" s="96" t="str">
        <f>IF(AND(ReportDate&gt;=L$7,ReportDate&lt;=L$8),COUNTIFS('CAMPAIGN MASTER'!$AL$5:$AL$704,1,'CAMPAIGN MASTER'!$N$5:$N$704,"Optimizing"),"–")</f>
        <v>–</v>
      </c>
      <c r="M27" s="96" t="str">
        <f>IF(AND(ReportDate&gt;=M$7,ReportDate&lt;=M$8),COUNTIFS('CAMPAIGN MASTER'!$AL$5:$AL$704,1,'CAMPAIGN MASTER'!$N$5:$N$704,"Optimizing"),"–")</f>
        <v>–</v>
      </c>
    </row>
    <row r="28">
      <c r="A28" s="44" t="inlineStr">
        <is>
          <t>Campaigns completed (actual end in period)</t>
        </is>
      </c>
      <c r="B28" s="96">
        <f>COUNTIFS('CAMPAIGN MASTER'!$AL$5:$AL$704,1,'CAMPAIGN MASTER'!$M$5:$M$704,"&gt;="&amp;B$7,'CAMPAIGN MASTER'!$M$5:$M$704,"&lt;="&amp;B$8,'CAMPAIGN MASTER'!$N$5:$N$704,"Completed")</f>
        <v>0</v>
      </c>
      <c r="C28" s="96">
        <f>COUNTIFS('CAMPAIGN MASTER'!$AL$5:$AL$704,1,'CAMPAIGN MASTER'!$M$5:$M$704,"&gt;="&amp;C$7,'CAMPAIGN MASTER'!$M$5:$M$704,"&lt;="&amp;C$8,'CAMPAIGN MASTER'!$N$5:$N$704,"Completed")</f>
        <v>0</v>
      </c>
      <c r="D28" s="96">
        <f>COUNTIFS('CAMPAIGN MASTER'!$AL$5:$AL$704,1,'CAMPAIGN MASTER'!$M$5:$M$704,"&gt;="&amp;D$7,'CAMPAIGN MASTER'!$M$5:$M$704,"&lt;="&amp;D$8,'CAMPAIGN MASTER'!$N$5:$N$704,"Completed")</f>
        <v>0</v>
      </c>
      <c r="E28" s="96">
        <f>COUNTIFS('CAMPAIGN MASTER'!$AL$5:$AL$704,1,'CAMPAIGN MASTER'!$M$5:$M$704,"&gt;="&amp;E$7,'CAMPAIGN MASTER'!$M$5:$M$704,"&lt;="&amp;E$8,'CAMPAIGN MASTER'!$N$5:$N$704,"Completed")</f>
        <v>0</v>
      </c>
      <c r="F28" s="96">
        <f>COUNTIFS('CAMPAIGN MASTER'!$AL$5:$AL$704,1,'CAMPAIGN MASTER'!$M$5:$M$704,"&gt;="&amp;F$7,'CAMPAIGN MASTER'!$M$5:$M$704,"&lt;="&amp;F$8,'CAMPAIGN MASTER'!$N$5:$N$704,"Completed")</f>
        <v>0</v>
      </c>
      <c r="G28" s="96">
        <f>COUNTIFS('CAMPAIGN MASTER'!$AL$5:$AL$704,1,'CAMPAIGN MASTER'!$M$5:$M$704,"&gt;="&amp;G$7,'CAMPAIGN MASTER'!$M$5:$M$704,"&lt;="&amp;G$8,'CAMPAIGN MASTER'!$N$5:$N$704,"Completed")</f>
        <v>0</v>
      </c>
      <c r="H28" s="96">
        <f>COUNTIFS('CAMPAIGN MASTER'!$AL$5:$AL$704,1,'CAMPAIGN MASTER'!$M$5:$M$704,"&gt;="&amp;H$7,'CAMPAIGN MASTER'!$M$5:$M$704,"&lt;="&amp;H$8,'CAMPAIGN MASTER'!$N$5:$N$704,"Completed")</f>
        <v>0</v>
      </c>
      <c r="I28" s="96">
        <f>COUNTIFS('CAMPAIGN MASTER'!$AL$5:$AL$704,1,'CAMPAIGN MASTER'!$M$5:$M$704,"&gt;="&amp;I$7,'CAMPAIGN MASTER'!$M$5:$M$704,"&lt;="&amp;I$8,'CAMPAIGN MASTER'!$N$5:$N$704,"Completed")</f>
        <v>0</v>
      </c>
      <c r="J28" s="96">
        <f>COUNTIFS('CAMPAIGN MASTER'!$AL$5:$AL$704,1,'CAMPAIGN MASTER'!$M$5:$M$704,"&gt;="&amp;J$7,'CAMPAIGN MASTER'!$M$5:$M$704,"&lt;="&amp;J$8,'CAMPAIGN MASTER'!$N$5:$N$704,"Completed")</f>
        <v>0</v>
      </c>
      <c r="K28" s="96">
        <f>COUNTIFS('CAMPAIGN MASTER'!$AL$5:$AL$704,1,'CAMPAIGN MASTER'!$M$5:$M$704,"&gt;="&amp;K$7,'CAMPAIGN MASTER'!$M$5:$M$704,"&lt;="&amp;K$8,'CAMPAIGN MASTER'!$N$5:$N$704,"Completed")</f>
        <v>0</v>
      </c>
      <c r="L28" s="96">
        <f>COUNTIFS('CAMPAIGN MASTER'!$AL$5:$AL$704,1,'CAMPAIGN MASTER'!$M$5:$M$704,"&gt;="&amp;L$7,'CAMPAIGN MASTER'!$M$5:$M$704,"&lt;="&amp;L$8,'CAMPAIGN MASTER'!$N$5:$N$704,"Completed")</f>
        <v>0</v>
      </c>
      <c r="M28" s="96">
        <f>COUNTIFS('CAMPAIGN MASTER'!$AL$5:$AL$704,1,'CAMPAIGN MASTER'!$M$5:$M$704,"&gt;="&amp;M$7,'CAMPAIGN MASTER'!$M$5:$M$704,"&lt;="&amp;M$8,'CAMPAIGN MASTER'!$N$5:$N$704,"Completed")</f>
        <v>0</v>
      </c>
    </row>
    <row r="29" ht="20" customHeight="1">
      <c r="A29" s="37" t="inlineStr">
        <is>
          <t>CHANNEL - EMAIL</t>
        </is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</row>
    <row r="30">
      <c r="A30" s="44" t="inlineStr">
        <is>
          <t>Emails sent</t>
        </is>
      </c>
      <c r="B30" s="96">
        <f>SUMIFS('EMAIL MARKETING'!$F$5:$F$804,'EMAIL MARKETING'!$Z$5:$Z$804,1,'EMAIL MARKETING'!$A$5:$A$804,"&gt;="&amp;B$7,'EMAIL MARKETING'!$A$5:$A$804,"&lt;="&amp;B$8)</f>
        <v>0</v>
      </c>
      <c r="C30" s="96">
        <f>SUMIFS('EMAIL MARKETING'!$F$5:$F$804,'EMAIL MARKETING'!$Z$5:$Z$804,1,'EMAIL MARKETING'!$A$5:$A$804,"&gt;="&amp;C$7,'EMAIL MARKETING'!$A$5:$A$804,"&lt;="&amp;C$8)</f>
        <v>0</v>
      </c>
      <c r="D30" s="96">
        <f>SUMIFS('EMAIL MARKETING'!$F$5:$F$804,'EMAIL MARKETING'!$Z$5:$Z$804,1,'EMAIL MARKETING'!$A$5:$A$804,"&gt;="&amp;D$7,'EMAIL MARKETING'!$A$5:$A$804,"&lt;="&amp;D$8)</f>
        <v>0</v>
      </c>
      <c r="E30" s="96">
        <f>SUMIFS('EMAIL MARKETING'!$F$5:$F$804,'EMAIL MARKETING'!$Z$5:$Z$804,1,'EMAIL MARKETING'!$A$5:$A$804,"&gt;="&amp;E$7,'EMAIL MARKETING'!$A$5:$A$804,"&lt;="&amp;E$8)</f>
        <v>0</v>
      </c>
      <c r="F30" s="96">
        <f>SUMIFS('EMAIL MARKETING'!$F$5:$F$804,'EMAIL MARKETING'!$Z$5:$Z$804,1,'EMAIL MARKETING'!$A$5:$A$804,"&gt;="&amp;F$7,'EMAIL MARKETING'!$A$5:$A$804,"&lt;="&amp;F$8)</f>
        <v>0</v>
      </c>
      <c r="G30" s="96">
        <f>SUMIFS('EMAIL MARKETING'!$F$5:$F$804,'EMAIL MARKETING'!$Z$5:$Z$804,1,'EMAIL MARKETING'!$A$5:$A$804,"&gt;="&amp;G$7,'EMAIL MARKETING'!$A$5:$A$804,"&lt;="&amp;G$8)</f>
        <v>0</v>
      </c>
      <c r="H30" s="96">
        <f>SUMIFS('EMAIL MARKETING'!$F$5:$F$804,'EMAIL MARKETING'!$Z$5:$Z$804,1,'EMAIL MARKETING'!$A$5:$A$804,"&gt;="&amp;H$7,'EMAIL MARKETING'!$A$5:$A$804,"&lt;="&amp;H$8)</f>
        <v>0</v>
      </c>
      <c r="I30" s="96">
        <f>SUMIFS('EMAIL MARKETING'!$F$5:$F$804,'EMAIL MARKETING'!$Z$5:$Z$804,1,'EMAIL MARKETING'!$A$5:$A$804,"&gt;="&amp;I$7,'EMAIL MARKETING'!$A$5:$A$804,"&lt;="&amp;I$8)</f>
        <v>0</v>
      </c>
      <c r="J30" s="96">
        <f>SUMIFS('EMAIL MARKETING'!$F$5:$F$804,'EMAIL MARKETING'!$Z$5:$Z$804,1,'EMAIL MARKETING'!$A$5:$A$804,"&gt;="&amp;J$7,'EMAIL MARKETING'!$A$5:$A$804,"&lt;="&amp;J$8)</f>
        <v>0</v>
      </c>
      <c r="K30" s="96">
        <f>SUMIFS('EMAIL MARKETING'!$F$5:$F$804,'EMAIL MARKETING'!$Z$5:$Z$804,1,'EMAIL MARKETING'!$A$5:$A$804,"&gt;="&amp;K$7,'EMAIL MARKETING'!$A$5:$A$804,"&lt;="&amp;K$8)</f>
        <v>0</v>
      </c>
      <c r="L30" s="96">
        <f>SUMIFS('EMAIL MARKETING'!$F$5:$F$804,'EMAIL MARKETING'!$Z$5:$Z$804,1,'EMAIL MARKETING'!$A$5:$A$804,"&gt;="&amp;L$7,'EMAIL MARKETING'!$A$5:$A$804,"&lt;="&amp;L$8)</f>
        <v>0</v>
      </c>
      <c r="M30" s="96">
        <f>SUMIFS('EMAIL MARKETING'!$F$5:$F$804,'EMAIL MARKETING'!$Z$5:$Z$804,1,'EMAIL MARKETING'!$A$5:$A$804,"&gt;="&amp;M$7,'EMAIL MARKETING'!$A$5:$A$804,"&lt;="&amp;M$8)</f>
        <v>0</v>
      </c>
    </row>
    <row r="31">
      <c r="A31" s="44" t="inlineStr">
        <is>
          <t>Open rate</t>
        </is>
      </c>
      <c r="B31" s="43" t="str">
        <f>IFERROR((SUMIFS('EMAIL MARKETING'!$I$5:$I$804,'EMAIL MARKETING'!$Z$5:$Z$804,1,'EMAIL MARKETING'!$A$5:$A$804,"&gt;="&amp;B$7,'EMAIL MARKETING'!$A$5:$A$804,"&lt;="&amp;B$8))/(SUMIFS('EMAIL MARKETING'!$W$5:$W$804,'EMAIL MARKETING'!$Z$5:$Z$804,1,'EMAIL MARKETING'!$A$5:$A$804,"&gt;="&amp;B$7,'EMAIL MARKETING'!$A$5:$A$804,"&lt;="&amp;B$8)),"–")</f>
        <v>–</v>
      </c>
      <c r="C31" s="43" t="str">
        <f>IFERROR((SUMIFS('EMAIL MARKETING'!$I$5:$I$804,'EMAIL MARKETING'!$Z$5:$Z$804,1,'EMAIL MARKETING'!$A$5:$A$804,"&gt;="&amp;C$7,'EMAIL MARKETING'!$A$5:$A$804,"&lt;="&amp;C$8))/(SUMIFS('EMAIL MARKETING'!$W$5:$W$804,'EMAIL MARKETING'!$Z$5:$Z$804,1,'EMAIL MARKETING'!$A$5:$A$804,"&gt;="&amp;C$7,'EMAIL MARKETING'!$A$5:$A$804,"&lt;="&amp;C$8)),"–")</f>
        <v>–</v>
      </c>
      <c r="D31" s="43" t="str">
        <f>IFERROR((SUMIFS('EMAIL MARKETING'!$I$5:$I$804,'EMAIL MARKETING'!$Z$5:$Z$804,1,'EMAIL MARKETING'!$A$5:$A$804,"&gt;="&amp;D$7,'EMAIL MARKETING'!$A$5:$A$804,"&lt;="&amp;D$8))/(SUMIFS('EMAIL MARKETING'!$W$5:$W$804,'EMAIL MARKETING'!$Z$5:$Z$804,1,'EMAIL MARKETING'!$A$5:$A$804,"&gt;="&amp;D$7,'EMAIL MARKETING'!$A$5:$A$804,"&lt;="&amp;D$8)),"–")</f>
        <v>–</v>
      </c>
      <c r="E31" s="43" t="str">
        <f>IFERROR((SUMIFS('EMAIL MARKETING'!$I$5:$I$804,'EMAIL MARKETING'!$Z$5:$Z$804,1,'EMAIL MARKETING'!$A$5:$A$804,"&gt;="&amp;E$7,'EMAIL MARKETING'!$A$5:$A$804,"&lt;="&amp;E$8))/(SUMIFS('EMAIL MARKETING'!$W$5:$W$804,'EMAIL MARKETING'!$Z$5:$Z$804,1,'EMAIL MARKETING'!$A$5:$A$804,"&gt;="&amp;E$7,'EMAIL MARKETING'!$A$5:$A$804,"&lt;="&amp;E$8)),"–")</f>
        <v>–</v>
      </c>
      <c r="F31" s="43" t="str">
        <f>IFERROR((SUMIFS('EMAIL MARKETING'!$I$5:$I$804,'EMAIL MARKETING'!$Z$5:$Z$804,1,'EMAIL MARKETING'!$A$5:$A$804,"&gt;="&amp;F$7,'EMAIL MARKETING'!$A$5:$A$804,"&lt;="&amp;F$8))/(SUMIFS('EMAIL MARKETING'!$W$5:$W$804,'EMAIL MARKETING'!$Z$5:$Z$804,1,'EMAIL MARKETING'!$A$5:$A$804,"&gt;="&amp;F$7,'EMAIL MARKETING'!$A$5:$A$804,"&lt;="&amp;F$8)),"–")</f>
        <v>–</v>
      </c>
      <c r="G31" s="43" t="str">
        <f>IFERROR((SUMIFS('EMAIL MARKETING'!$I$5:$I$804,'EMAIL MARKETING'!$Z$5:$Z$804,1,'EMAIL MARKETING'!$A$5:$A$804,"&gt;="&amp;G$7,'EMAIL MARKETING'!$A$5:$A$804,"&lt;="&amp;G$8))/(SUMIFS('EMAIL MARKETING'!$W$5:$W$804,'EMAIL MARKETING'!$Z$5:$Z$804,1,'EMAIL MARKETING'!$A$5:$A$804,"&gt;="&amp;G$7,'EMAIL MARKETING'!$A$5:$A$804,"&lt;="&amp;G$8)),"–")</f>
        <v>–</v>
      </c>
      <c r="H31" s="43" t="str">
        <f>IFERROR((SUMIFS('EMAIL MARKETING'!$I$5:$I$804,'EMAIL MARKETING'!$Z$5:$Z$804,1,'EMAIL MARKETING'!$A$5:$A$804,"&gt;="&amp;H$7,'EMAIL MARKETING'!$A$5:$A$804,"&lt;="&amp;H$8))/(SUMIFS('EMAIL MARKETING'!$W$5:$W$804,'EMAIL MARKETING'!$Z$5:$Z$804,1,'EMAIL MARKETING'!$A$5:$A$804,"&gt;="&amp;H$7,'EMAIL MARKETING'!$A$5:$A$804,"&lt;="&amp;H$8)),"–")</f>
        <v>–</v>
      </c>
      <c r="I31" s="43" t="str">
        <f>IFERROR((SUMIFS('EMAIL MARKETING'!$I$5:$I$804,'EMAIL MARKETING'!$Z$5:$Z$804,1,'EMAIL MARKETING'!$A$5:$A$804,"&gt;="&amp;I$7,'EMAIL MARKETING'!$A$5:$A$804,"&lt;="&amp;I$8))/(SUMIFS('EMAIL MARKETING'!$W$5:$W$804,'EMAIL MARKETING'!$Z$5:$Z$804,1,'EMAIL MARKETING'!$A$5:$A$804,"&gt;="&amp;I$7,'EMAIL MARKETING'!$A$5:$A$804,"&lt;="&amp;I$8)),"–")</f>
        <v>–</v>
      </c>
      <c r="J31" s="43" t="str">
        <f>IFERROR((SUMIFS('EMAIL MARKETING'!$I$5:$I$804,'EMAIL MARKETING'!$Z$5:$Z$804,1,'EMAIL MARKETING'!$A$5:$A$804,"&gt;="&amp;J$7,'EMAIL MARKETING'!$A$5:$A$804,"&lt;="&amp;J$8))/(SUMIFS('EMAIL MARKETING'!$W$5:$W$804,'EMAIL MARKETING'!$Z$5:$Z$804,1,'EMAIL MARKETING'!$A$5:$A$804,"&gt;="&amp;J$7,'EMAIL MARKETING'!$A$5:$A$804,"&lt;="&amp;J$8)),"–")</f>
        <v>–</v>
      </c>
      <c r="K31" s="43" t="str">
        <f>IFERROR((SUMIFS('EMAIL MARKETING'!$I$5:$I$804,'EMAIL MARKETING'!$Z$5:$Z$804,1,'EMAIL MARKETING'!$A$5:$A$804,"&gt;="&amp;K$7,'EMAIL MARKETING'!$A$5:$A$804,"&lt;="&amp;K$8))/(SUMIFS('EMAIL MARKETING'!$W$5:$W$804,'EMAIL MARKETING'!$Z$5:$Z$804,1,'EMAIL MARKETING'!$A$5:$A$804,"&gt;="&amp;K$7,'EMAIL MARKETING'!$A$5:$A$804,"&lt;="&amp;K$8)),"–")</f>
        <v>–</v>
      </c>
      <c r="L31" s="43" t="str">
        <f>IFERROR((SUMIFS('EMAIL MARKETING'!$I$5:$I$804,'EMAIL MARKETING'!$Z$5:$Z$804,1,'EMAIL MARKETING'!$A$5:$A$804,"&gt;="&amp;L$7,'EMAIL MARKETING'!$A$5:$A$804,"&lt;="&amp;L$8))/(SUMIFS('EMAIL MARKETING'!$W$5:$W$804,'EMAIL MARKETING'!$Z$5:$Z$804,1,'EMAIL MARKETING'!$A$5:$A$804,"&gt;="&amp;L$7,'EMAIL MARKETING'!$A$5:$A$804,"&lt;="&amp;L$8)),"–")</f>
        <v>–</v>
      </c>
      <c r="M31" s="43" t="str">
        <f>IFERROR((SUMIFS('EMAIL MARKETING'!$I$5:$I$804,'EMAIL MARKETING'!$Z$5:$Z$804,1,'EMAIL MARKETING'!$A$5:$A$804,"&gt;="&amp;M$7,'EMAIL MARKETING'!$A$5:$A$804,"&lt;="&amp;M$8))/(SUMIFS('EMAIL MARKETING'!$W$5:$W$804,'EMAIL MARKETING'!$Z$5:$Z$804,1,'EMAIL MARKETING'!$A$5:$A$804,"&gt;="&amp;M$7,'EMAIL MARKETING'!$A$5:$A$804,"&lt;="&amp;M$8)),"–")</f>
        <v>–</v>
      </c>
    </row>
    <row r="32">
      <c r="A32" s="44" t="inlineStr">
        <is>
          <t>CTR</t>
        </is>
      </c>
      <c r="B32" s="43" t="str">
        <f>IFERROR((SUMIFS('EMAIL MARKETING'!$K$5:$K$804,'EMAIL MARKETING'!$Z$5:$Z$804,1,'EMAIL MARKETING'!$A$5:$A$804,"&gt;="&amp;B$7,'EMAIL MARKETING'!$A$5:$A$804,"&lt;="&amp;B$8))/(SUMIFS('EMAIL MARKETING'!$W$5:$W$804,'EMAIL MARKETING'!$Z$5:$Z$804,1,'EMAIL MARKETING'!$A$5:$A$804,"&gt;="&amp;B$7,'EMAIL MARKETING'!$A$5:$A$804,"&lt;="&amp;B$8)),"–")</f>
        <v>–</v>
      </c>
      <c r="C32" s="43" t="str">
        <f>IFERROR((SUMIFS('EMAIL MARKETING'!$K$5:$K$804,'EMAIL MARKETING'!$Z$5:$Z$804,1,'EMAIL MARKETING'!$A$5:$A$804,"&gt;="&amp;C$7,'EMAIL MARKETING'!$A$5:$A$804,"&lt;="&amp;C$8))/(SUMIFS('EMAIL MARKETING'!$W$5:$W$804,'EMAIL MARKETING'!$Z$5:$Z$804,1,'EMAIL MARKETING'!$A$5:$A$804,"&gt;="&amp;C$7,'EMAIL MARKETING'!$A$5:$A$804,"&lt;="&amp;C$8)),"–")</f>
        <v>–</v>
      </c>
      <c r="D32" s="43" t="str">
        <f>IFERROR((SUMIFS('EMAIL MARKETING'!$K$5:$K$804,'EMAIL MARKETING'!$Z$5:$Z$804,1,'EMAIL MARKETING'!$A$5:$A$804,"&gt;="&amp;D$7,'EMAIL MARKETING'!$A$5:$A$804,"&lt;="&amp;D$8))/(SUMIFS('EMAIL MARKETING'!$W$5:$W$804,'EMAIL MARKETING'!$Z$5:$Z$804,1,'EMAIL MARKETING'!$A$5:$A$804,"&gt;="&amp;D$7,'EMAIL MARKETING'!$A$5:$A$804,"&lt;="&amp;D$8)),"–")</f>
        <v>–</v>
      </c>
      <c r="E32" s="43" t="str">
        <f>IFERROR((SUMIFS('EMAIL MARKETING'!$K$5:$K$804,'EMAIL MARKETING'!$Z$5:$Z$804,1,'EMAIL MARKETING'!$A$5:$A$804,"&gt;="&amp;E$7,'EMAIL MARKETING'!$A$5:$A$804,"&lt;="&amp;E$8))/(SUMIFS('EMAIL MARKETING'!$W$5:$W$804,'EMAIL MARKETING'!$Z$5:$Z$804,1,'EMAIL MARKETING'!$A$5:$A$804,"&gt;="&amp;E$7,'EMAIL MARKETING'!$A$5:$A$804,"&lt;="&amp;E$8)),"–")</f>
        <v>–</v>
      </c>
      <c r="F32" s="43" t="str">
        <f>IFERROR((SUMIFS('EMAIL MARKETING'!$K$5:$K$804,'EMAIL MARKETING'!$Z$5:$Z$804,1,'EMAIL MARKETING'!$A$5:$A$804,"&gt;="&amp;F$7,'EMAIL MARKETING'!$A$5:$A$804,"&lt;="&amp;F$8))/(SUMIFS('EMAIL MARKETING'!$W$5:$W$804,'EMAIL MARKETING'!$Z$5:$Z$804,1,'EMAIL MARKETING'!$A$5:$A$804,"&gt;="&amp;F$7,'EMAIL MARKETING'!$A$5:$A$804,"&lt;="&amp;F$8)),"–")</f>
        <v>–</v>
      </c>
      <c r="G32" s="43" t="str">
        <f>IFERROR((SUMIFS('EMAIL MARKETING'!$K$5:$K$804,'EMAIL MARKETING'!$Z$5:$Z$804,1,'EMAIL MARKETING'!$A$5:$A$804,"&gt;="&amp;G$7,'EMAIL MARKETING'!$A$5:$A$804,"&lt;="&amp;G$8))/(SUMIFS('EMAIL MARKETING'!$W$5:$W$804,'EMAIL MARKETING'!$Z$5:$Z$804,1,'EMAIL MARKETING'!$A$5:$A$804,"&gt;="&amp;G$7,'EMAIL MARKETING'!$A$5:$A$804,"&lt;="&amp;G$8)),"–")</f>
        <v>–</v>
      </c>
      <c r="H32" s="43" t="str">
        <f>IFERROR((SUMIFS('EMAIL MARKETING'!$K$5:$K$804,'EMAIL MARKETING'!$Z$5:$Z$804,1,'EMAIL MARKETING'!$A$5:$A$804,"&gt;="&amp;H$7,'EMAIL MARKETING'!$A$5:$A$804,"&lt;="&amp;H$8))/(SUMIFS('EMAIL MARKETING'!$W$5:$W$804,'EMAIL MARKETING'!$Z$5:$Z$804,1,'EMAIL MARKETING'!$A$5:$A$804,"&gt;="&amp;H$7,'EMAIL MARKETING'!$A$5:$A$804,"&lt;="&amp;H$8)),"–")</f>
        <v>–</v>
      </c>
      <c r="I32" s="43" t="str">
        <f>IFERROR((SUMIFS('EMAIL MARKETING'!$K$5:$K$804,'EMAIL MARKETING'!$Z$5:$Z$804,1,'EMAIL MARKETING'!$A$5:$A$804,"&gt;="&amp;I$7,'EMAIL MARKETING'!$A$5:$A$804,"&lt;="&amp;I$8))/(SUMIFS('EMAIL MARKETING'!$W$5:$W$804,'EMAIL MARKETING'!$Z$5:$Z$804,1,'EMAIL MARKETING'!$A$5:$A$804,"&gt;="&amp;I$7,'EMAIL MARKETING'!$A$5:$A$804,"&lt;="&amp;I$8)),"–")</f>
        <v>–</v>
      </c>
      <c r="J32" s="43" t="str">
        <f>IFERROR((SUMIFS('EMAIL MARKETING'!$K$5:$K$804,'EMAIL MARKETING'!$Z$5:$Z$804,1,'EMAIL MARKETING'!$A$5:$A$804,"&gt;="&amp;J$7,'EMAIL MARKETING'!$A$5:$A$804,"&lt;="&amp;J$8))/(SUMIFS('EMAIL MARKETING'!$W$5:$W$804,'EMAIL MARKETING'!$Z$5:$Z$804,1,'EMAIL MARKETING'!$A$5:$A$804,"&gt;="&amp;J$7,'EMAIL MARKETING'!$A$5:$A$804,"&lt;="&amp;J$8)),"–")</f>
        <v>–</v>
      </c>
      <c r="K32" s="43" t="str">
        <f>IFERROR((SUMIFS('EMAIL MARKETING'!$K$5:$K$804,'EMAIL MARKETING'!$Z$5:$Z$804,1,'EMAIL MARKETING'!$A$5:$A$804,"&gt;="&amp;K$7,'EMAIL MARKETING'!$A$5:$A$804,"&lt;="&amp;K$8))/(SUMIFS('EMAIL MARKETING'!$W$5:$W$804,'EMAIL MARKETING'!$Z$5:$Z$804,1,'EMAIL MARKETING'!$A$5:$A$804,"&gt;="&amp;K$7,'EMAIL MARKETING'!$A$5:$A$804,"&lt;="&amp;K$8)),"–")</f>
        <v>–</v>
      </c>
      <c r="L32" s="43" t="str">
        <f>IFERROR((SUMIFS('EMAIL MARKETING'!$K$5:$K$804,'EMAIL MARKETING'!$Z$5:$Z$804,1,'EMAIL MARKETING'!$A$5:$A$804,"&gt;="&amp;L$7,'EMAIL MARKETING'!$A$5:$A$804,"&lt;="&amp;L$8))/(SUMIFS('EMAIL MARKETING'!$W$5:$W$804,'EMAIL MARKETING'!$Z$5:$Z$804,1,'EMAIL MARKETING'!$A$5:$A$804,"&gt;="&amp;L$7,'EMAIL MARKETING'!$A$5:$A$804,"&lt;="&amp;L$8)),"–")</f>
        <v>–</v>
      </c>
      <c r="M32" s="43" t="str">
        <f>IFERROR((SUMIFS('EMAIL MARKETING'!$K$5:$K$804,'EMAIL MARKETING'!$Z$5:$Z$804,1,'EMAIL MARKETING'!$A$5:$A$804,"&gt;="&amp;M$7,'EMAIL MARKETING'!$A$5:$A$804,"&lt;="&amp;M$8))/(SUMIFS('EMAIL MARKETING'!$W$5:$W$804,'EMAIL MARKETING'!$Z$5:$Z$804,1,'EMAIL MARKETING'!$A$5:$A$804,"&gt;="&amp;M$7,'EMAIL MARKETING'!$A$5:$A$804,"&lt;="&amp;M$8)),"–")</f>
        <v>–</v>
      </c>
    </row>
    <row r="33">
      <c r="A33" s="44" t="inlineStr">
        <is>
          <t>Reply rate</t>
        </is>
      </c>
      <c r="B33" s="43" t="str">
        <f>IFERROR((SUMIFS('EMAIL MARKETING'!$M$5:$M$804,'EMAIL MARKETING'!$Z$5:$Z$804,1,'EMAIL MARKETING'!$A$5:$A$804,"&gt;="&amp;B$7,'EMAIL MARKETING'!$A$5:$A$804,"&lt;="&amp;B$8))/(SUMIFS('EMAIL MARKETING'!$W$5:$W$804,'EMAIL MARKETING'!$Z$5:$Z$804,1,'EMAIL MARKETING'!$A$5:$A$804,"&gt;="&amp;B$7,'EMAIL MARKETING'!$A$5:$A$804,"&lt;="&amp;B$8)),"–")</f>
        <v>–</v>
      </c>
      <c r="C33" s="43" t="str">
        <f>IFERROR((SUMIFS('EMAIL MARKETING'!$M$5:$M$804,'EMAIL MARKETING'!$Z$5:$Z$804,1,'EMAIL MARKETING'!$A$5:$A$804,"&gt;="&amp;C$7,'EMAIL MARKETING'!$A$5:$A$804,"&lt;="&amp;C$8))/(SUMIFS('EMAIL MARKETING'!$W$5:$W$804,'EMAIL MARKETING'!$Z$5:$Z$804,1,'EMAIL MARKETING'!$A$5:$A$804,"&gt;="&amp;C$7,'EMAIL MARKETING'!$A$5:$A$804,"&lt;="&amp;C$8)),"–")</f>
        <v>–</v>
      </c>
      <c r="D33" s="43" t="str">
        <f>IFERROR((SUMIFS('EMAIL MARKETING'!$M$5:$M$804,'EMAIL MARKETING'!$Z$5:$Z$804,1,'EMAIL MARKETING'!$A$5:$A$804,"&gt;="&amp;D$7,'EMAIL MARKETING'!$A$5:$A$804,"&lt;="&amp;D$8))/(SUMIFS('EMAIL MARKETING'!$W$5:$W$804,'EMAIL MARKETING'!$Z$5:$Z$804,1,'EMAIL MARKETING'!$A$5:$A$804,"&gt;="&amp;D$7,'EMAIL MARKETING'!$A$5:$A$804,"&lt;="&amp;D$8)),"–")</f>
        <v>–</v>
      </c>
      <c r="E33" s="43" t="str">
        <f>IFERROR((SUMIFS('EMAIL MARKETING'!$M$5:$M$804,'EMAIL MARKETING'!$Z$5:$Z$804,1,'EMAIL MARKETING'!$A$5:$A$804,"&gt;="&amp;E$7,'EMAIL MARKETING'!$A$5:$A$804,"&lt;="&amp;E$8))/(SUMIFS('EMAIL MARKETING'!$W$5:$W$804,'EMAIL MARKETING'!$Z$5:$Z$804,1,'EMAIL MARKETING'!$A$5:$A$804,"&gt;="&amp;E$7,'EMAIL MARKETING'!$A$5:$A$804,"&lt;="&amp;E$8)),"–")</f>
        <v>–</v>
      </c>
      <c r="F33" s="43" t="str">
        <f>IFERROR((SUMIFS('EMAIL MARKETING'!$M$5:$M$804,'EMAIL MARKETING'!$Z$5:$Z$804,1,'EMAIL MARKETING'!$A$5:$A$804,"&gt;="&amp;F$7,'EMAIL MARKETING'!$A$5:$A$804,"&lt;="&amp;F$8))/(SUMIFS('EMAIL MARKETING'!$W$5:$W$804,'EMAIL MARKETING'!$Z$5:$Z$804,1,'EMAIL MARKETING'!$A$5:$A$804,"&gt;="&amp;F$7,'EMAIL MARKETING'!$A$5:$A$804,"&lt;="&amp;F$8)),"–")</f>
        <v>–</v>
      </c>
      <c r="G33" s="43" t="str">
        <f>IFERROR((SUMIFS('EMAIL MARKETING'!$M$5:$M$804,'EMAIL MARKETING'!$Z$5:$Z$804,1,'EMAIL MARKETING'!$A$5:$A$804,"&gt;="&amp;G$7,'EMAIL MARKETING'!$A$5:$A$804,"&lt;="&amp;G$8))/(SUMIFS('EMAIL MARKETING'!$W$5:$W$804,'EMAIL MARKETING'!$Z$5:$Z$804,1,'EMAIL MARKETING'!$A$5:$A$804,"&gt;="&amp;G$7,'EMAIL MARKETING'!$A$5:$A$804,"&lt;="&amp;G$8)),"–")</f>
        <v>–</v>
      </c>
      <c r="H33" s="43" t="str">
        <f>IFERROR((SUMIFS('EMAIL MARKETING'!$M$5:$M$804,'EMAIL MARKETING'!$Z$5:$Z$804,1,'EMAIL MARKETING'!$A$5:$A$804,"&gt;="&amp;H$7,'EMAIL MARKETING'!$A$5:$A$804,"&lt;="&amp;H$8))/(SUMIFS('EMAIL MARKETING'!$W$5:$W$804,'EMAIL MARKETING'!$Z$5:$Z$804,1,'EMAIL MARKETING'!$A$5:$A$804,"&gt;="&amp;H$7,'EMAIL MARKETING'!$A$5:$A$804,"&lt;="&amp;H$8)),"–")</f>
        <v>–</v>
      </c>
      <c r="I33" s="43" t="str">
        <f>IFERROR((SUMIFS('EMAIL MARKETING'!$M$5:$M$804,'EMAIL MARKETING'!$Z$5:$Z$804,1,'EMAIL MARKETING'!$A$5:$A$804,"&gt;="&amp;I$7,'EMAIL MARKETING'!$A$5:$A$804,"&lt;="&amp;I$8))/(SUMIFS('EMAIL MARKETING'!$W$5:$W$804,'EMAIL MARKETING'!$Z$5:$Z$804,1,'EMAIL MARKETING'!$A$5:$A$804,"&gt;="&amp;I$7,'EMAIL MARKETING'!$A$5:$A$804,"&lt;="&amp;I$8)),"–")</f>
        <v>–</v>
      </c>
      <c r="J33" s="43" t="str">
        <f>IFERROR((SUMIFS('EMAIL MARKETING'!$M$5:$M$804,'EMAIL MARKETING'!$Z$5:$Z$804,1,'EMAIL MARKETING'!$A$5:$A$804,"&gt;="&amp;J$7,'EMAIL MARKETING'!$A$5:$A$804,"&lt;="&amp;J$8))/(SUMIFS('EMAIL MARKETING'!$W$5:$W$804,'EMAIL MARKETING'!$Z$5:$Z$804,1,'EMAIL MARKETING'!$A$5:$A$804,"&gt;="&amp;J$7,'EMAIL MARKETING'!$A$5:$A$804,"&lt;="&amp;J$8)),"–")</f>
        <v>–</v>
      </c>
      <c r="K33" s="43" t="str">
        <f>IFERROR((SUMIFS('EMAIL MARKETING'!$M$5:$M$804,'EMAIL MARKETING'!$Z$5:$Z$804,1,'EMAIL MARKETING'!$A$5:$A$804,"&gt;="&amp;K$7,'EMAIL MARKETING'!$A$5:$A$804,"&lt;="&amp;K$8))/(SUMIFS('EMAIL MARKETING'!$W$5:$W$804,'EMAIL MARKETING'!$Z$5:$Z$804,1,'EMAIL MARKETING'!$A$5:$A$804,"&gt;="&amp;K$7,'EMAIL MARKETING'!$A$5:$A$804,"&lt;="&amp;K$8)),"–")</f>
        <v>–</v>
      </c>
      <c r="L33" s="43" t="str">
        <f>IFERROR((SUMIFS('EMAIL MARKETING'!$M$5:$M$804,'EMAIL MARKETING'!$Z$5:$Z$804,1,'EMAIL MARKETING'!$A$5:$A$804,"&gt;="&amp;L$7,'EMAIL MARKETING'!$A$5:$A$804,"&lt;="&amp;L$8))/(SUMIFS('EMAIL MARKETING'!$W$5:$W$804,'EMAIL MARKETING'!$Z$5:$Z$804,1,'EMAIL MARKETING'!$A$5:$A$804,"&gt;="&amp;L$7,'EMAIL MARKETING'!$A$5:$A$804,"&lt;="&amp;L$8)),"–")</f>
        <v>–</v>
      </c>
      <c r="M33" s="43" t="str">
        <f>IFERROR((SUMIFS('EMAIL MARKETING'!$M$5:$M$804,'EMAIL MARKETING'!$Z$5:$Z$804,1,'EMAIL MARKETING'!$A$5:$A$804,"&gt;="&amp;M$7,'EMAIL MARKETING'!$A$5:$A$804,"&lt;="&amp;M$8))/(SUMIFS('EMAIL MARKETING'!$W$5:$W$804,'EMAIL MARKETING'!$Z$5:$Z$804,1,'EMAIL MARKETING'!$A$5:$A$804,"&gt;="&amp;M$7,'EMAIL MARKETING'!$A$5:$A$804,"&lt;="&amp;M$8)),"–")</f>
        <v>–</v>
      </c>
    </row>
    <row r="34">
      <c r="A34" s="44" t="inlineStr">
        <is>
          <t>Positive response rate</t>
        </is>
      </c>
      <c r="B34" s="43" t="str">
        <f>IFERROR((SUMIFS('EMAIL MARKETING'!$O$5:$O$804,'EMAIL MARKETING'!$Z$5:$Z$804,1,'EMAIL MARKETING'!$A$5:$A$804,"&gt;="&amp;B$7,'EMAIL MARKETING'!$A$5:$A$804,"&lt;="&amp;B$8))/(SUMIFS('EMAIL MARKETING'!$W$5:$W$804,'EMAIL MARKETING'!$Z$5:$Z$804,1,'EMAIL MARKETING'!$A$5:$A$804,"&gt;="&amp;B$7,'EMAIL MARKETING'!$A$5:$A$804,"&lt;="&amp;B$8)),"–")</f>
        <v>–</v>
      </c>
      <c r="C34" s="43" t="str">
        <f>IFERROR((SUMIFS('EMAIL MARKETING'!$O$5:$O$804,'EMAIL MARKETING'!$Z$5:$Z$804,1,'EMAIL MARKETING'!$A$5:$A$804,"&gt;="&amp;C$7,'EMAIL MARKETING'!$A$5:$A$804,"&lt;="&amp;C$8))/(SUMIFS('EMAIL MARKETING'!$W$5:$W$804,'EMAIL MARKETING'!$Z$5:$Z$804,1,'EMAIL MARKETING'!$A$5:$A$804,"&gt;="&amp;C$7,'EMAIL MARKETING'!$A$5:$A$804,"&lt;="&amp;C$8)),"–")</f>
        <v>–</v>
      </c>
      <c r="D34" s="43" t="str">
        <f>IFERROR((SUMIFS('EMAIL MARKETING'!$O$5:$O$804,'EMAIL MARKETING'!$Z$5:$Z$804,1,'EMAIL MARKETING'!$A$5:$A$804,"&gt;="&amp;D$7,'EMAIL MARKETING'!$A$5:$A$804,"&lt;="&amp;D$8))/(SUMIFS('EMAIL MARKETING'!$W$5:$W$804,'EMAIL MARKETING'!$Z$5:$Z$804,1,'EMAIL MARKETING'!$A$5:$A$804,"&gt;="&amp;D$7,'EMAIL MARKETING'!$A$5:$A$804,"&lt;="&amp;D$8)),"–")</f>
        <v>–</v>
      </c>
      <c r="E34" s="43" t="str">
        <f>IFERROR((SUMIFS('EMAIL MARKETING'!$O$5:$O$804,'EMAIL MARKETING'!$Z$5:$Z$804,1,'EMAIL MARKETING'!$A$5:$A$804,"&gt;="&amp;E$7,'EMAIL MARKETING'!$A$5:$A$804,"&lt;="&amp;E$8))/(SUMIFS('EMAIL MARKETING'!$W$5:$W$804,'EMAIL MARKETING'!$Z$5:$Z$804,1,'EMAIL MARKETING'!$A$5:$A$804,"&gt;="&amp;E$7,'EMAIL MARKETING'!$A$5:$A$804,"&lt;="&amp;E$8)),"–")</f>
        <v>–</v>
      </c>
      <c r="F34" s="43" t="str">
        <f>IFERROR((SUMIFS('EMAIL MARKETING'!$O$5:$O$804,'EMAIL MARKETING'!$Z$5:$Z$804,1,'EMAIL MARKETING'!$A$5:$A$804,"&gt;="&amp;F$7,'EMAIL MARKETING'!$A$5:$A$804,"&lt;="&amp;F$8))/(SUMIFS('EMAIL MARKETING'!$W$5:$W$804,'EMAIL MARKETING'!$Z$5:$Z$804,1,'EMAIL MARKETING'!$A$5:$A$804,"&gt;="&amp;F$7,'EMAIL MARKETING'!$A$5:$A$804,"&lt;="&amp;F$8)),"–")</f>
        <v>–</v>
      </c>
      <c r="G34" s="43" t="str">
        <f>IFERROR((SUMIFS('EMAIL MARKETING'!$O$5:$O$804,'EMAIL MARKETING'!$Z$5:$Z$804,1,'EMAIL MARKETING'!$A$5:$A$804,"&gt;="&amp;G$7,'EMAIL MARKETING'!$A$5:$A$804,"&lt;="&amp;G$8))/(SUMIFS('EMAIL MARKETING'!$W$5:$W$804,'EMAIL MARKETING'!$Z$5:$Z$804,1,'EMAIL MARKETING'!$A$5:$A$804,"&gt;="&amp;G$7,'EMAIL MARKETING'!$A$5:$A$804,"&lt;="&amp;G$8)),"–")</f>
        <v>–</v>
      </c>
      <c r="H34" s="43" t="str">
        <f>IFERROR((SUMIFS('EMAIL MARKETING'!$O$5:$O$804,'EMAIL MARKETING'!$Z$5:$Z$804,1,'EMAIL MARKETING'!$A$5:$A$804,"&gt;="&amp;H$7,'EMAIL MARKETING'!$A$5:$A$804,"&lt;="&amp;H$8))/(SUMIFS('EMAIL MARKETING'!$W$5:$W$804,'EMAIL MARKETING'!$Z$5:$Z$804,1,'EMAIL MARKETING'!$A$5:$A$804,"&gt;="&amp;H$7,'EMAIL MARKETING'!$A$5:$A$804,"&lt;="&amp;H$8)),"–")</f>
        <v>–</v>
      </c>
      <c r="I34" s="43" t="str">
        <f>IFERROR((SUMIFS('EMAIL MARKETING'!$O$5:$O$804,'EMAIL MARKETING'!$Z$5:$Z$804,1,'EMAIL MARKETING'!$A$5:$A$804,"&gt;="&amp;I$7,'EMAIL MARKETING'!$A$5:$A$804,"&lt;="&amp;I$8))/(SUMIFS('EMAIL MARKETING'!$W$5:$W$804,'EMAIL MARKETING'!$Z$5:$Z$804,1,'EMAIL MARKETING'!$A$5:$A$804,"&gt;="&amp;I$7,'EMAIL MARKETING'!$A$5:$A$804,"&lt;="&amp;I$8)),"–")</f>
        <v>–</v>
      </c>
      <c r="J34" s="43" t="str">
        <f>IFERROR((SUMIFS('EMAIL MARKETING'!$O$5:$O$804,'EMAIL MARKETING'!$Z$5:$Z$804,1,'EMAIL MARKETING'!$A$5:$A$804,"&gt;="&amp;J$7,'EMAIL MARKETING'!$A$5:$A$804,"&lt;="&amp;J$8))/(SUMIFS('EMAIL MARKETING'!$W$5:$W$804,'EMAIL MARKETING'!$Z$5:$Z$804,1,'EMAIL MARKETING'!$A$5:$A$804,"&gt;="&amp;J$7,'EMAIL MARKETING'!$A$5:$A$804,"&lt;="&amp;J$8)),"–")</f>
        <v>–</v>
      </c>
      <c r="K34" s="43" t="str">
        <f>IFERROR((SUMIFS('EMAIL MARKETING'!$O$5:$O$804,'EMAIL MARKETING'!$Z$5:$Z$804,1,'EMAIL MARKETING'!$A$5:$A$804,"&gt;="&amp;K$7,'EMAIL MARKETING'!$A$5:$A$804,"&lt;="&amp;K$8))/(SUMIFS('EMAIL MARKETING'!$W$5:$W$804,'EMAIL MARKETING'!$Z$5:$Z$804,1,'EMAIL MARKETING'!$A$5:$A$804,"&gt;="&amp;K$7,'EMAIL MARKETING'!$A$5:$A$804,"&lt;="&amp;K$8)),"–")</f>
        <v>–</v>
      </c>
      <c r="L34" s="43" t="str">
        <f>IFERROR((SUMIFS('EMAIL MARKETING'!$O$5:$O$804,'EMAIL MARKETING'!$Z$5:$Z$804,1,'EMAIL MARKETING'!$A$5:$A$804,"&gt;="&amp;L$7,'EMAIL MARKETING'!$A$5:$A$804,"&lt;="&amp;L$8))/(SUMIFS('EMAIL MARKETING'!$W$5:$W$804,'EMAIL MARKETING'!$Z$5:$Z$804,1,'EMAIL MARKETING'!$A$5:$A$804,"&gt;="&amp;L$7,'EMAIL MARKETING'!$A$5:$A$804,"&lt;="&amp;L$8)),"–")</f>
        <v>–</v>
      </c>
      <c r="M34" s="43" t="str">
        <f>IFERROR((SUMIFS('EMAIL MARKETING'!$O$5:$O$804,'EMAIL MARKETING'!$Z$5:$Z$804,1,'EMAIL MARKETING'!$A$5:$A$804,"&gt;="&amp;M$7,'EMAIL MARKETING'!$A$5:$A$804,"&lt;="&amp;M$8))/(SUMIFS('EMAIL MARKETING'!$W$5:$W$804,'EMAIL MARKETING'!$Z$5:$Z$804,1,'EMAIL MARKETING'!$A$5:$A$804,"&gt;="&amp;M$7,'EMAIL MARKETING'!$A$5:$A$804,"&lt;="&amp;M$8)),"–")</f>
        <v>–</v>
      </c>
    </row>
    <row r="35">
      <c r="A35" s="44" t="inlineStr">
        <is>
          <t>Positive responses</t>
        </is>
      </c>
      <c r="B35" s="96">
        <f>SUMIFS('EMAIL MARKETING'!$O$5:$O$804,'EMAIL MARKETING'!$Z$5:$Z$804,1,'EMAIL MARKETING'!$A$5:$A$804,"&gt;="&amp;B$7,'EMAIL MARKETING'!$A$5:$A$804,"&lt;="&amp;B$8)</f>
        <v>0</v>
      </c>
      <c r="C35" s="96">
        <f>SUMIFS('EMAIL MARKETING'!$O$5:$O$804,'EMAIL MARKETING'!$Z$5:$Z$804,1,'EMAIL MARKETING'!$A$5:$A$804,"&gt;="&amp;C$7,'EMAIL MARKETING'!$A$5:$A$804,"&lt;="&amp;C$8)</f>
        <v>0</v>
      </c>
      <c r="D35" s="96">
        <f>SUMIFS('EMAIL MARKETING'!$O$5:$O$804,'EMAIL MARKETING'!$Z$5:$Z$804,1,'EMAIL MARKETING'!$A$5:$A$804,"&gt;="&amp;D$7,'EMAIL MARKETING'!$A$5:$A$804,"&lt;="&amp;D$8)</f>
        <v>0</v>
      </c>
      <c r="E35" s="96">
        <f>SUMIFS('EMAIL MARKETING'!$O$5:$O$804,'EMAIL MARKETING'!$Z$5:$Z$804,1,'EMAIL MARKETING'!$A$5:$A$804,"&gt;="&amp;E$7,'EMAIL MARKETING'!$A$5:$A$804,"&lt;="&amp;E$8)</f>
        <v>0</v>
      </c>
      <c r="F35" s="96">
        <f>SUMIFS('EMAIL MARKETING'!$O$5:$O$804,'EMAIL MARKETING'!$Z$5:$Z$804,1,'EMAIL MARKETING'!$A$5:$A$804,"&gt;="&amp;F$7,'EMAIL MARKETING'!$A$5:$A$804,"&lt;="&amp;F$8)</f>
        <v>0</v>
      </c>
      <c r="G35" s="96">
        <f>SUMIFS('EMAIL MARKETING'!$O$5:$O$804,'EMAIL MARKETING'!$Z$5:$Z$804,1,'EMAIL MARKETING'!$A$5:$A$804,"&gt;="&amp;G$7,'EMAIL MARKETING'!$A$5:$A$804,"&lt;="&amp;G$8)</f>
        <v>0</v>
      </c>
      <c r="H35" s="96">
        <f>SUMIFS('EMAIL MARKETING'!$O$5:$O$804,'EMAIL MARKETING'!$Z$5:$Z$804,1,'EMAIL MARKETING'!$A$5:$A$804,"&gt;="&amp;H$7,'EMAIL MARKETING'!$A$5:$A$804,"&lt;="&amp;H$8)</f>
        <v>0</v>
      </c>
      <c r="I35" s="96">
        <f>SUMIFS('EMAIL MARKETING'!$O$5:$O$804,'EMAIL MARKETING'!$Z$5:$Z$804,1,'EMAIL MARKETING'!$A$5:$A$804,"&gt;="&amp;I$7,'EMAIL MARKETING'!$A$5:$A$804,"&lt;="&amp;I$8)</f>
        <v>0</v>
      </c>
      <c r="J35" s="96">
        <f>SUMIFS('EMAIL MARKETING'!$O$5:$O$804,'EMAIL MARKETING'!$Z$5:$Z$804,1,'EMAIL MARKETING'!$A$5:$A$804,"&gt;="&amp;J$7,'EMAIL MARKETING'!$A$5:$A$804,"&lt;="&amp;J$8)</f>
        <v>0</v>
      </c>
      <c r="K35" s="96">
        <f>SUMIFS('EMAIL MARKETING'!$O$5:$O$804,'EMAIL MARKETING'!$Z$5:$Z$804,1,'EMAIL MARKETING'!$A$5:$A$804,"&gt;="&amp;K$7,'EMAIL MARKETING'!$A$5:$A$804,"&lt;="&amp;K$8)</f>
        <v>0</v>
      </c>
      <c r="L35" s="96">
        <f>SUMIFS('EMAIL MARKETING'!$O$5:$O$804,'EMAIL MARKETING'!$Z$5:$Z$804,1,'EMAIL MARKETING'!$A$5:$A$804,"&gt;="&amp;L$7,'EMAIL MARKETING'!$A$5:$A$804,"&lt;="&amp;L$8)</f>
        <v>0</v>
      </c>
      <c r="M35" s="96">
        <f>SUMIFS('EMAIL MARKETING'!$O$5:$O$804,'EMAIL MARKETING'!$Z$5:$Z$804,1,'EMAIL MARKETING'!$A$5:$A$804,"&gt;="&amp;M$7,'EMAIL MARKETING'!$A$5:$A$804,"&lt;="&amp;M$8)</f>
        <v>0</v>
      </c>
    </row>
    <row r="36" ht="20" customHeight="1">
      <c r="A36" s="37" t="inlineStr">
        <is>
          <t>CHANNEL - LINKEDIN</t>
        </is>
      </c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</row>
    <row r="37">
      <c r="A37" s="44" t="inlineStr">
        <is>
          <t>Connection requests sent</t>
        </is>
      </c>
      <c r="B37" s="96">
        <f>SUMIFS('LINKEDIN OUTREACH'!$E$5:$E$704,'LINKEDIN OUTREACH'!$U$5:$U$704,1,'LINKEDIN OUTREACH'!$A$5:$A$704,"&gt;="&amp;B$7,'LINKEDIN OUTREACH'!$A$5:$A$704,"&lt;="&amp;B$8)</f>
        <v>0</v>
      </c>
      <c r="C37" s="96">
        <f>SUMIFS('LINKEDIN OUTREACH'!$E$5:$E$704,'LINKEDIN OUTREACH'!$U$5:$U$704,1,'LINKEDIN OUTREACH'!$A$5:$A$704,"&gt;="&amp;C$7,'LINKEDIN OUTREACH'!$A$5:$A$704,"&lt;="&amp;C$8)</f>
        <v>0</v>
      </c>
      <c r="D37" s="96">
        <f>SUMIFS('LINKEDIN OUTREACH'!$E$5:$E$704,'LINKEDIN OUTREACH'!$U$5:$U$704,1,'LINKEDIN OUTREACH'!$A$5:$A$704,"&gt;="&amp;D$7,'LINKEDIN OUTREACH'!$A$5:$A$704,"&lt;="&amp;D$8)</f>
        <v>0</v>
      </c>
      <c r="E37" s="96">
        <f>SUMIFS('LINKEDIN OUTREACH'!$E$5:$E$704,'LINKEDIN OUTREACH'!$U$5:$U$704,1,'LINKEDIN OUTREACH'!$A$5:$A$704,"&gt;="&amp;E$7,'LINKEDIN OUTREACH'!$A$5:$A$704,"&lt;="&amp;E$8)</f>
        <v>0</v>
      </c>
      <c r="F37" s="96">
        <f>SUMIFS('LINKEDIN OUTREACH'!$E$5:$E$704,'LINKEDIN OUTREACH'!$U$5:$U$704,1,'LINKEDIN OUTREACH'!$A$5:$A$704,"&gt;="&amp;F$7,'LINKEDIN OUTREACH'!$A$5:$A$704,"&lt;="&amp;F$8)</f>
        <v>0</v>
      </c>
      <c r="G37" s="96">
        <f>SUMIFS('LINKEDIN OUTREACH'!$E$5:$E$704,'LINKEDIN OUTREACH'!$U$5:$U$704,1,'LINKEDIN OUTREACH'!$A$5:$A$704,"&gt;="&amp;G$7,'LINKEDIN OUTREACH'!$A$5:$A$704,"&lt;="&amp;G$8)</f>
        <v>0</v>
      </c>
      <c r="H37" s="96">
        <f>SUMIFS('LINKEDIN OUTREACH'!$E$5:$E$704,'LINKEDIN OUTREACH'!$U$5:$U$704,1,'LINKEDIN OUTREACH'!$A$5:$A$704,"&gt;="&amp;H$7,'LINKEDIN OUTREACH'!$A$5:$A$704,"&lt;="&amp;H$8)</f>
        <v>0</v>
      </c>
      <c r="I37" s="96">
        <f>SUMIFS('LINKEDIN OUTREACH'!$E$5:$E$704,'LINKEDIN OUTREACH'!$U$5:$U$704,1,'LINKEDIN OUTREACH'!$A$5:$A$704,"&gt;="&amp;I$7,'LINKEDIN OUTREACH'!$A$5:$A$704,"&lt;="&amp;I$8)</f>
        <v>0</v>
      </c>
      <c r="J37" s="96">
        <f>SUMIFS('LINKEDIN OUTREACH'!$E$5:$E$704,'LINKEDIN OUTREACH'!$U$5:$U$704,1,'LINKEDIN OUTREACH'!$A$5:$A$704,"&gt;="&amp;J$7,'LINKEDIN OUTREACH'!$A$5:$A$704,"&lt;="&amp;J$8)</f>
        <v>0</v>
      </c>
      <c r="K37" s="96">
        <f>SUMIFS('LINKEDIN OUTREACH'!$E$5:$E$704,'LINKEDIN OUTREACH'!$U$5:$U$704,1,'LINKEDIN OUTREACH'!$A$5:$A$704,"&gt;="&amp;K$7,'LINKEDIN OUTREACH'!$A$5:$A$704,"&lt;="&amp;K$8)</f>
        <v>0</v>
      </c>
      <c r="L37" s="96">
        <f>SUMIFS('LINKEDIN OUTREACH'!$E$5:$E$704,'LINKEDIN OUTREACH'!$U$5:$U$704,1,'LINKEDIN OUTREACH'!$A$5:$A$704,"&gt;="&amp;L$7,'LINKEDIN OUTREACH'!$A$5:$A$704,"&lt;="&amp;L$8)</f>
        <v>0</v>
      </c>
      <c r="M37" s="96">
        <f>SUMIFS('LINKEDIN OUTREACH'!$E$5:$E$704,'LINKEDIN OUTREACH'!$U$5:$U$704,1,'LINKEDIN OUTREACH'!$A$5:$A$704,"&gt;="&amp;M$7,'LINKEDIN OUTREACH'!$A$5:$A$704,"&lt;="&amp;M$8)</f>
        <v>0</v>
      </c>
    </row>
    <row r="38">
      <c r="A38" s="44" t="inlineStr">
        <is>
          <t>Acceptance rate</t>
        </is>
      </c>
      <c r="B38" s="43" t="str">
        <f>IFERROR((SUMIFS('LINKEDIN OUTREACH'!$F$5:$F$704,'LINKEDIN OUTREACH'!$U$5:$U$704,1,'LINKEDIN OUTREACH'!$A$5:$A$704,"&gt;="&amp;B$7,'LINKEDIN OUTREACH'!$A$5:$A$704,"&lt;="&amp;B$8))/(SUMIFS('LINKEDIN OUTREACH'!$E$5:$E$704,'LINKEDIN OUTREACH'!$U$5:$U$704,1,'LINKEDIN OUTREACH'!$A$5:$A$704,"&gt;="&amp;B$7,'LINKEDIN OUTREACH'!$A$5:$A$704,"&lt;="&amp;B$8)),"–")</f>
        <v>–</v>
      </c>
      <c r="C38" s="43" t="str">
        <f>IFERROR((SUMIFS('LINKEDIN OUTREACH'!$F$5:$F$704,'LINKEDIN OUTREACH'!$U$5:$U$704,1,'LINKEDIN OUTREACH'!$A$5:$A$704,"&gt;="&amp;C$7,'LINKEDIN OUTREACH'!$A$5:$A$704,"&lt;="&amp;C$8))/(SUMIFS('LINKEDIN OUTREACH'!$E$5:$E$704,'LINKEDIN OUTREACH'!$U$5:$U$704,1,'LINKEDIN OUTREACH'!$A$5:$A$704,"&gt;="&amp;C$7,'LINKEDIN OUTREACH'!$A$5:$A$704,"&lt;="&amp;C$8)),"–")</f>
        <v>–</v>
      </c>
      <c r="D38" s="43" t="str">
        <f>IFERROR((SUMIFS('LINKEDIN OUTREACH'!$F$5:$F$704,'LINKEDIN OUTREACH'!$U$5:$U$704,1,'LINKEDIN OUTREACH'!$A$5:$A$704,"&gt;="&amp;D$7,'LINKEDIN OUTREACH'!$A$5:$A$704,"&lt;="&amp;D$8))/(SUMIFS('LINKEDIN OUTREACH'!$E$5:$E$704,'LINKEDIN OUTREACH'!$U$5:$U$704,1,'LINKEDIN OUTREACH'!$A$5:$A$704,"&gt;="&amp;D$7,'LINKEDIN OUTREACH'!$A$5:$A$704,"&lt;="&amp;D$8)),"–")</f>
        <v>–</v>
      </c>
      <c r="E38" s="43" t="str">
        <f>IFERROR((SUMIFS('LINKEDIN OUTREACH'!$F$5:$F$704,'LINKEDIN OUTREACH'!$U$5:$U$704,1,'LINKEDIN OUTREACH'!$A$5:$A$704,"&gt;="&amp;E$7,'LINKEDIN OUTREACH'!$A$5:$A$704,"&lt;="&amp;E$8))/(SUMIFS('LINKEDIN OUTREACH'!$E$5:$E$704,'LINKEDIN OUTREACH'!$U$5:$U$704,1,'LINKEDIN OUTREACH'!$A$5:$A$704,"&gt;="&amp;E$7,'LINKEDIN OUTREACH'!$A$5:$A$704,"&lt;="&amp;E$8)),"–")</f>
        <v>–</v>
      </c>
      <c r="F38" s="43" t="str">
        <f>IFERROR((SUMIFS('LINKEDIN OUTREACH'!$F$5:$F$704,'LINKEDIN OUTREACH'!$U$5:$U$704,1,'LINKEDIN OUTREACH'!$A$5:$A$704,"&gt;="&amp;F$7,'LINKEDIN OUTREACH'!$A$5:$A$704,"&lt;="&amp;F$8))/(SUMIFS('LINKEDIN OUTREACH'!$E$5:$E$704,'LINKEDIN OUTREACH'!$U$5:$U$704,1,'LINKEDIN OUTREACH'!$A$5:$A$704,"&gt;="&amp;F$7,'LINKEDIN OUTREACH'!$A$5:$A$704,"&lt;="&amp;F$8)),"–")</f>
        <v>–</v>
      </c>
      <c r="G38" s="43" t="str">
        <f>IFERROR((SUMIFS('LINKEDIN OUTREACH'!$F$5:$F$704,'LINKEDIN OUTREACH'!$U$5:$U$704,1,'LINKEDIN OUTREACH'!$A$5:$A$704,"&gt;="&amp;G$7,'LINKEDIN OUTREACH'!$A$5:$A$704,"&lt;="&amp;G$8))/(SUMIFS('LINKEDIN OUTREACH'!$E$5:$E$704,'LINKEDIN OUTREACH'!$U$5:$U$704,1,'LINKEDIN OUTREACH'!$A$5:$A$704,"&gt;="&amp;G$7,'LINKEDIN OUTREACH'!$A$5:$A$704,"&lt;="&amp;G$8)),"–")</f>
        <v>–</v>
      </c>
      <c r="H38" s="43" t="str">
        <f>IFERROR((SUMIFS('LINKEDIN OUTREACH'!$F$5:$F$704,'LINKEDIN OUTREACH'!$U$5:$U$704,1,'LINKEDIN OUTREACH'!$A$5:$A$704,"&gt;="&amp;H$7,'LINKEDIN OUTREACH'!$A$5:$A$704,"&lt;="&amp;H$8))/(SUMIFS('LINKEDIN OUTREACH'!$E$5:$E$704,'LINKEDIN OUTREACH'!$U$5:$U$704,1,'LINKEDIN OUTREACH'!$A$5:$A$704,"&gt;="&amp;H$7,'LINKEDIN OUTREACH'!$A$5:$A$704,"&lt;="&amp;H$8)),"–")</f>
        <v>–</v>
      </c>
      <c r="I38" s="43" t="str">
        <f>IFERROR((SUMIFS('LINKEDIN OUTREACH'!$F$5:$F$704,'LINKEDIN OUTREACH'!$U$5:$U$704,1,'LINKEDIN OUTREACH'!$A$5:$A$704,"&gt;="&amp;I$7,'LINKEDIN OUTREACH'!$A$5:$A$704,"&lt;="&amp;I$8))/(SUMIFS('LINKEDIN OUTREACH'!$E$5:$E$704,'LINKEDIN OUTREACH'!$U$5:$U$704,1,'LINKEDIN OUTREACH'!$A$5:$A$704,"&gt;="&amp;I$7,'LINKEDIN OUTREACH'!$A$5:$A$704,"&lt;="&amp;I$8)),"–")</f>
        <v>–</v>
      </c>
      <c r="J38" s="43" t="str">
        <f>IFERROR((SUMIFS('LINKEDIN OUTREACH'!$F$5:$F$704,'LINKEDIN OUTREACH'!$U$5:$U$704,1,'LINKEDIN OUTREACH'!$A$5:$A$704,"&gt;="&amp;J$7,'LINKEDIN OUTREACH'!$A$5:$A$704,"&lt;="&amp;J$8))/(SUMIFS('LINKEDIN OUTREACH'!$E$5:$E$704,'LINKEDIN OUTREACH'!$U$5:$U$704,1,'LINKEDIN OUTREACH'!$A$5:$A$704,"&gt;="&amp;J$7,'LINKEDIN OUTREACH'!$A$5:$A$704,"&lt;="&amp;J$8)),"–")</f>
        <v>–</v>
      </c>
      <c r="K38" s="43" t="str">
        <f>IFERROR((SUMIFS('LINKEDIN OUTREACH'!$F$5:$F$704,'LINKEDIN OUTREACH'!$U$5:$U$704,1,'LINKEDIN OUTREACH'!$A$5:$A$704,"&gt;="&amp;K$7,'LINKEDIN OUTREACH'!$A$5:$A$704,"&lt;="&amp;K$8))/(SUMIFS('LINKEDIN OUTREACH'!$E$5:$E$704,'LINKEDIN OUTREACH'!$U$5:$U$704,1,'LINKEDIN OUTREACH'!$A$5:$A$704,"&gt;="&amp;K$7,'LINKEDIN OUTREACH'!$A$5:$A$704,"&lt;="&amp;K$8)),"–")</f>
        <v>–</v>
      </c>
      <c r="L38" s="43" t="str">
        <f>IFERROR((SUMIFS('LINKEDIN OUTREACH'!$F$5:$F$704,'LINKEDIN OUTREACH'!$U$5:$U$704,1,'LINKEDIN OUTREACH'!$A$5:$A$704,"&gt;="&amp;L$7,'LINKEDIN OUTREACH'!$A$5:$A$704,"&lt;="&amp;L$8))/(SUMIFS('LINKEDIN OUTREACH'!$E$5:$E$704,'LINKEDIN OUTREACH'!$U$5:$U$704,1,'LINKEDIN OUTREACH'!$A$5:$A$704,"&gt;="&amp;L$7,'LINKEDIN OUTREACH'!$A$5:$A$704,"&lt;="&amp;L$8)),"–")</f>
        <v>–</v>
      </c>
      <c r="M38" s="43" t="str">
        <f>IFERROR((SUMIFS('LINKEDIN OUTREACH'!$F$5:$F$704,'LINKEDIN OUTREACH'!$U$5:$U$704,1,'LINKEDIN OUTREACH'!$A$5:$A$704,"&gt;="&amp;M$7,'LINKEDIN OUTREACH'!$A$5:$A$704,"&lt;="&amp;M$8))/(SUMIFS('LINKEDIN OUTREACH'!$E$5:$E$704,'LINKEDIN OUTREACH'!$U$5:$U$704,1,'LINKEDIN OUTREACH'!$A$5:$A$704,"&gt;="&amp;M$7,'LINKEDIN OUTREACH'!$A$5:$A$704,"&lt;="&amp;M$8)),"–")</f>
        <v>–</v>
      </c>
    </row>
    <row r="39">
      <c r="A39" s="44" t="inlineStr">
        <is>
          <t>Messages sent</t>
        </is>
      </c>
      <c r="B39" s="96">
        <f>SUMIFS('LINKEDIN OUTREACH'!$H$5:$H$704,'LINKEDIN OUTREACH'!$U$5:$U$704,1,'LINKEDIN OUTREACH'!$A$5:$A$704,"&gt;="&amp;B$7,'LINKEDIN OUTREACH'!$A$5:$A$704,"&lt;="&amp;B$8)</f>
        <v>0</v>
      </c>
      <c r="C39" s="96">
        <f>SUMIFS('LINKEDIN OUTREACH'!$H$5:$H$704,'LINKEDIN OUTREACH'!$U$5:$U$704,1,'LINKEDIN OUTREACH'!$A$5:$A$704,"&gt;="&amp;C$7,'LINKEDIN OUTREACH'!$A$5:$A$704,"&lt;="&amp;C$8)</f>
        <v>0</v>
      </c>
      <c r="D39" s="96">
        <f>SUMIFS('LINKEDIN OUTREACH'!$H$5:$H$704,'LINKEDIN OUTREACH'!$U$5:$U$704,1,'LINKEDIN OUTREACH'!$A$5:$A$704,"&gt;="&amp;D$7,'LINKEDIN OUTREACH'!$A$5:$A$704,"&lt;="&amp;D$8)</f>
        <v>0</v>
      </c>
      <c r="E39" s="96">
        <f>SUMIFS('LINKEDIN OUTREACH'!$H$5:$H$704,'LINKEDIN OUTREACH'!$U$5:$U$704,1,'LINKEDIN OUTREACH'!$A$5:$A$704,"&gt;="&amp;E$7,'LINKEDIN OUTREACH'!$A$5:$A$704,"&lt;="&amp;E$8)</f>
        <v>0</v>
      </c>
      <c r="F39" s="96">
        <f>SUMIFS('LINKEDIN OUTREACH'!$H$5:$H$704,'LINKEDIN OUTREACH'!$U$5:$U$704,1,'LINKEDIN OUTREACH'!$A$5:$A$704,"&gt;="&amp;F$7,'LINKEDIN OUTREACH'!$A$5:$A$704,"&lt;="&amp;F$8)</f>
        <v>0</v>
      </c>
      <c r="G39" s="96">
        <f>SUMIFS('LINKEDIN OUTREACH'!$H$5:$H$704,'LINKEDIN OUTREACH'!$U$5:$U$704,1,'LINKEDIN OUTREACH'!$A$5:$A$704,"&gt;="&amp;G$7,'LINKEDIN OUTREACH'!$A$5:$A$704,"&lt;="&amp;G$8)</f>
        <v>0</v>
      </c>
      <c r="H39" s="96">
        <f>SUMIFS('LINKEDIN OUTREACH'!$H$5:$H$704,'LINKEDIN OUTREACH'!$U$5:$U$704,1,'LINKEDIN OUTREACH'!$A$5:$A$704,"&gt;="&amp;H$7,'LINKEDIN OUTREACH'!$A$5:$A$704,"&lt;="&amp;H$8)</f>
        <v>0</v>
      </c>
      <c r="I39" s="96">
        <f>SUMIFS('LINKEDIN OUTREACH'!$H$5:$H$704,'LINKEDIN OUTREACH'!$U$5:$U$704,1,'LINKEDIN OUTREACH'!$A$5:$A$704,"&gt;="&amp;I$7,'LINKEDIN OUTREACH'!$A$5:$A$704,"&lt;="&amp;I$8)</f>
        <v>0</v>
      </c>
      <c r="J39" s="96">
        <f>SUMIFS('LINKEDIN OUTREACH'!$H$5:$H$704,'LINKEDIN OUTREACH'!$U$5:$U$704,1,'LINKEDIN OUTREACH'!$A$5:$A$704,"&gt;="&amp;J$7,'LINKEDIN OUTREACH'!$A$5:$A$704,"&lt;="&amp;J$8)</f>
        <v>0</v>
      </c>
      <c r="K39" s="96">
        <f>SUMIFS('LINKEDIN OUTREACH'!$H$5:$H$704,'LINKEDIN OUTREACH'!$U$5:$U$704,1,'LINKEDIN OUTREACH'!$A$5:$A$704,"&gt;="&amp;K$7,'LINKEDIN OUTREACH'!$A$5:$A$704,"&lt;="&amp;K$8)</f>
        <v>0</v>
      </c>
      <c r="L39" s="96">
        <f>SUMIFS('LINKEDIN OUTREACH'!$H$5:$H$704,'LINKEDIN OUTREACH'!$U$5:$U$704,1,'LINKEDIN OUTREACH'!$A$5:$A$704,"&gt;="&amp;L$7,'LINKEDIN OUTREACH'!$A$5:$A$704,"&lt;="&amp;L$8)</f>
        <v>0</v>
      </c>
      <c r="M39" s="96">
        <f>SUMIFS('LINKEDIN OUTREACH'!$H$5:$H$704,'LINKEDIN OUTREACH'!$U$5:$U$704,1,'LINKEDIN OUTREACH'!$A$5:$A$704,"&gt;="&amp;M$7,'LINKEDIN OUTREACH'!$A$5:$A$704,"&lt;="&amp;M$8)</f>
        <v>0</v>
      </c>
    </row>
    <row r="40">
      <c r="A40" s="44" t="inlineStr">
        <is>
          <t>Replies</t>
        </is>
      </c>
      <c r="B40" s="96">
        <f>SUMIFS('LINKEDIN OUTREACH'!$I$5:$I$704,'LINKEDIN OUTREACH'!$U$5:$U$704,1,'LINKEDIN OUTREACH'!$A$5:$A$704,"&gt;="&amp;B$7,'LINKEDIN OUTREACH'!$A$5:$A$704,"&lt;="&amp;B$8)</f>
        <v>0</v>
      </c>
      <c r="C40" s="96">
        <f>SUMIFS('LINKEDIN OUTREACH'!$I$5:$I$704,'LINKEDIN OUTREACH'!$U$5:$U$704,1,'LINKEDIN OUTREACH'!$A$5:$A$704,"&gt;="&amp;C$7,'LINKEDIN OUTREACH'!$A$5:$A$704,"&lt;="&amp;C$8)</f>
        <v>0</v>
      </c>
      <c r="D40" s="96">
        <f>SUMIFS('LINKEDIN OUTREACH'!$I$5:$I$704,'LINKEDIN OUTREACH'!$U$5:$U$704,1,'LINKEDIN OUTREACH'!$A$5:$A$704,"&gt;="&amp;D$7,'LINKEDIN OUTREACH'!$A$5:$A$704,"&lt;="&amp;D$8)</f>
        <v>0</v>
      </c>
      <c r="E40" s="96">
        <f>SUMIFS('LINKEDIN OUTREACH'!$I$5:$I$704,'LINKEDIN OUTREACH'!$U$5:$U$704,1,'LINKEDIN OUTREACH'!$A$5:$A$704,"&gt;="&amp;E$7,'LINKEDIN OUTREACH'!$A$5:$A$704,"&lt;="&amp;E$8)</f>
        <v>0</v>
      </c>
      <c r="F40" s="96">
        <f>SUMIFS('LINKEDIN OUTREACH'!$I$5:$I$704,'LINKEDIN OUTREACH'!$U$5:$U$704,1,'LINKEDIN OUTREACH'!$A$5:$A$704,"&gt;="&amp;F$7,'LINKEDIN OUTREACH'!$A$5:$A$704,"&lt;="&amp;F$8)</f>
        <v>0</v>
      </c>
      <c r="G40" s="96">
        <f>SUMIFS('LINKEDIN OUTREACH'!$I$5:$I$704,'LINKEDIN OUTREACH'!$U$5:$U$704,1,'LINKEDIN OUTREACH'!$A$5:$A$704,"&gt;="&amp;G$7,'LINKEDIN OUTREACH'!$A$5:$A$704,"&lt;="&amp;G$8)</f>
        <v>0</v>
      </c>
      <c r="H40" s="96">
        <f>SUMIFS('LINKEDIN OUTREACH'!$I$5:$I$704,'LINKEDIN OUTREACH'!$U$5:$U$704,1,'LINKEDIN OUTREACH'!$A$5:$A$704,"&gt;="&amp;H$7,'LINKEDIN OUTREACH'!$A$5:$A$704,"&lt;="&amp;H$8)</f>
        <v>0</v>
      </c>
      <c r="I40" s="96">
        <f>SUMIFS('LINKEDIN OUTREACH'!$I$5:$I$704,'LINKEDIN OUTREACH'!$U$5:$U$704,1,'LINKEDIN OUTREACH'!$A$5:$A$704,"&gt;="&amp;I$7,'LINKEDIN OUTREACH'!$A$5:$A$704,"&lt;="&amp;I$8)</f>
        <v>0</v>
      </c>
      <c r="J40" s="96">
        <f>SUMIFS('LINKEDIN OUTREACH'!$I$5:$I$704,'LINKEDIN OUTREACH'!$U$5:$U$704,1,'LINKEDIN OUTREACH'!$A$5:$A$704,"&gt;="&amp;J$7,'LINKEDIN OUTREACH'!$A$5:$A$704,"&lt;="&amp;J$8)</f>
        <v>0</v>
      </c>
      <c r="K40" s="96">
        <f>SUMIFS('LINKEDIN OUTREACH'!$I$5:$I$704,'LINKEDIN OUTREACH'!$U$5:$U$704,1,'LINKEDIN OUTREACH'!$A$5:$A$704,"&gt;="&amp;K$7,'LINKEDIN OUTREACH'!$A$5:$A$704,"&lt;="&amp;K$8)</f>
        <v>0</v>
      </c>
      <c r="L40" s="96">
        <f>SUMIFS('LINKEDIN OUTREACH'!$I$5:$I$704,'LINKEDIN OUTREACH'!$U$5:$U$704,1,'LINKEDIN OUTREACH'!$A$5:$A$704,"&gt;="&amp;L$7,'LINKEDIN OUTREACH'!$A$5:$A$704,"&lt;="&amp;L$8)</f>
        <v>0</v>
      </c>
      <c r="M40" s="96">
        <f>SUMIFS('LINKEDIN OUTREACH'!$I$5:$I$704,'LINKEDIN OUTREACH'!$U$5:$U$704,1,'LINKEDIN OUTREACH'!$A$5:$A$704,"&gt;="&amp;M$7,'LINKEDIN OUTREACH'!$A$5:$A$704,"&lt;="&amp;M$8)</f>
        <v>0</v>
      </c>
    </row>
    <row r="41" ht="20" customHeight="1">
      <c r="A41" s="37" t="inlineStr">
        <is>
          <t>CHANNEL - PAID MEDIA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</row>
    <row r="42">
      <c r="A42" s="44" t="inlineStr">
        <is>
          <t>Ad spend</t>
        </is>
      </c>
      <c r="B42" s="96">
        <f>SUMIFS('PAID MEDIA ADS'!$G$5:$G$804,'PAID MEDIA ADS'!$W$5:$W$804,1,'PAID MEDIA ADS'!$A$5:$A$804,"&gt;="&amp;B$7,'PAID MEDIA ADS'!$A$5:$A$804,"&lt;="&amp;B$8)</f>
        <v>0</v>
      </c>
      <c r="C42" s="96">
        <f>SUMIFS('PAID MEDIA ADS'!$G$5:$G$804,'PAID MEDIA ADS'!$W$5:$W$804,1,'PAID MEDIA ADS'!$A$5:$A$804,"&gt;="&amp;C$7,'PAID MEDIA ADS'!$A$5:$A$804,"&lt;="&amp;C$8)</f>
        <v>0</v>
      </c>
      <c r="D42" s="96">
        <f>SUMIFS('PAID MEDIA ADS'!$G$5:$G$804,'PAID MEDIA ADS'!$W$5:$W$804,1,'PAID MEDIA ADS'!$A$5:$A$804,"&gt;="&amp;D$7,'PAID MEDIA ADS'!$A$5:$A$804,"&lt;="&amp;D$8)</f>
        <v>0</v>
      </c>
      <c r="E42" s="96">
        <f>SUMIFS('PAID MEDIA ADS'!$G$5:$G$804,'PAID MEDIA ADS'!$W$5:$W$804,1,'PAID MEDIA ADS'!$A$5:$A$804,"&gt;="&amp;E$7,'PAID MEDIA ADS'!$A$5:$A$804,"&lt;="&amp;E$8)</f>
        <v>0</v>
      </c>
      <c r="F42" s="96">
        <f>SUMIFS('PAID MEDIA ADS'!$G$5:$G$804,'PAID MEDIA ADS'!$W$5:$W$804,1,'PAID MEDIA ADS'!$A$5:$A$804,"&gt;="&amp;F$7,'PAID MEDIA ADS'!$A$5:$A$804,"&lt;="&amp;F$8)</f>
        <v>0</v>
      </c>
      <c r="G42" s="96">
        <f>SUMIFS('PAID MEDIA ADS'!$G$5:$G$804,'PAID MEDIA ADS'!$W$5:$W$804,1,'PAID MEDIA ADS'!$A$5:$A$804,"&gt;="&amp;G$7,'PAID MEDIA ADS'!$A$5:$A$804,"&lt;="&amp;G$8)</f>
        <v>0</v>
      </c>
      <c r="H42" s="96">
        <f>SUMIFS('PAID MEDIA ADS'!$G$5:$G$804,'PAID MEDIA ADS'!$W$5:$W$804,1,'PAID MEDIA ADS'!$A$5:$A$804,"&gt;="&amp;H$7,'PAID MEDIA ADS'!$A$5:$A$804,"&lt;="&amp;H$8)</f>
        <v>0</v>
      </c>
      <c r="I42" s="96">
        <f>SUMIFS('PAID MEDIA ADS'!$G$5:$G$804,'PAID MEDIA ADS'!$W$5:$W$804,1,'PAID MEDIA ADS'!$A$5:$A$804,"&gt;="&amp;I$7,'PAID MEDIA ADS'!$A$5:$A$804,"&lt;="&amp;I$8)</f>
        <v>0</v>
      </c>
      <c r="J42" s="96">
        <f>SUMIFS('PAID MEDIA ADS'!$G$5:$G$804,'PAID MEDIA ADS'!$W$5:$W$804,1,'PAID MEDIA ADS'!$A$5:$A$804,"&gt;="&amp;J$7,'PAID MEDIA ADS'!$A$5:$A$804,"&lt;="&amp;J$8)</f>
        <v>0</v>
      </c>
      <c r="K42" s="96">
        <f>SUMIFS('PAID MEDIA ADS'!$G$5:$G$804,'PAID MEDIA ADS'!$W$5:$W$804,1,'PAID MEDIA ADS'!$A$5:$A$804,"&gt;="&amp;K$7,'PAID MEDIA ADS'!$A$5:$A$804,"&lt;="&amp;K$8)</f>
        <v>0</v>
      </c>
      <c r="L42" s="96">
        <f>SUMIFS('PAID MEDIA ADS'!$G$5:$G$804,'PAID MEDIA ADS'!$W$5:$W$804,1,'PAID MEDIA ADS'!$A$5:$A$804,"&gt;="&amp;L$7,'PAID MEDIA ADS'!$A$5:$A$804,"&lt;="&amp;L$8)</f>
        <v>0</v>
      </c>
      <c r="M42" s="96">
        <f>SUMIFS('PAID MEDIA ADS'!$G$5:$G$804,'PAID MEDIA ADS'!$W$5:$W$804,1,'PAID MEDIA ADS'!$A$5:$A$804,"&gt;="&amp;M$7,'PAID MEDIA ADS'!$A$5:$A$804,"&lt;="&amp;M$8)</f>
        <v>0</v>
      </c>
    </row>
    <row r="43">
      <c r="A43" s="44" t="inlineStr">
        <is>
          <t>Clicks</t>
        </is>
      </c>
      <c r="B43" s="96">
        <f>SUMIFS('PAID MEDIA ADS'!$J$5:$J$804,'PAID MEDIA ADS'!$W$5:$W$804,1,'PAID MEDIA ADS'!$A$5:$A$804,"&gt;="&amp;B$7,'PAID MEDIA ADS'!$A$5:$A$804,"&lt;="&amp;B$8)</f>
        <v>0</v>
      </c>
      <c r="C43" s="96">
        <f>SUMIFS('PAID MEDIA ADS'!$J$5:$J$804,'PAID MEDIA ADS'!$W$5:$W$804,1,'PAID MEDIA ADS'!$A$5:$A$804,"&gt;="&amp;C$7,'PAID MEDIA ADS'!$A$5:$A$804,"&lt;="&amp;C$8)</f>
        <v>0</v>
      </c>
      <c r="D43" s="96">
        <f>SUMIFS('PAID MEDIA ADS'!$J$5:$J$804,'PAID MEDIA ADS'!$W$5:$W$804,1,'PAID MEDIA ADS'!$A$5:$A$804,"&gt;="&amp;D$7,'PAID MEDIA ADS'!$A$5:$A$804,"&lt;="&amp;D$8)</f>
        <v>0</v>
      </c>
      <c r="E43" s="96">
        <f>SUMIFS('PAID MEDIA ADS'!$J$5:$J$804,'PAID MEDIA ADS'!$W$5:$W$804,1,'PAID MEDIA ADS'!$A$5:$A$804,"&gt;="&amp;E$7,'PAID MEDIA ADS'!$A$5:$A$804,"&lt;="&amp;E$8)</f>
        <v>0</v>
      </c>
      <c r="F43" s="96">
        <f>SUMIFS('PAID MEDIA ADS'!$J$5:$J$804,'PAID MEDIA ADS'!$W$5:$W$804,1,'PAID MEDIA ADS'!$A$5:$A$804,"&gt;="&amp;F$7,'PAID MEDIA ADS'!$A$5:$A$804,"&lt;="&amp;F$8)</f>
        <v>0</v>
      </c>
      <c r="G43" s="96">
        <f>SUMIFS('PAID MEDIA ADS'!$J$5:$J$804,'PAID MEDIA ADS'!$W$5:$W$804,1,'PAID MEDIA ADS'!$A$5:$A$804,"&gt;="&amp;G$7,'PAID MEDIA ADS'!$A$5:$A$804,"&lt;="&amp;G$8)</f>
        <v>0</v>
      </c>
      <c r="H43" s="96">
        <f>SUMIFS('PAID MEDIA ADS'!$J$5:$J$804,'PAID MEDIA ADS'!$W$5:$W$804,1,'PAID MEDIA ADS'!$A$5:$A$804,"&gt;="&amp;H$7,'PAID MEDIA ADS'!$A$5:$A$804,"&lt;="&amp;H$8)</f>
        <v>0</v>
      </c>
      <c r="I43" s="96">
        <f>SUMIFS('PAID MEDIA ADS'!$J$5:$J$804,'PAID MEDIA ADS'!$W$5:$W$804,1,'PAID MEDIA ADS'!$A$5:$A$804,"&gt;="&amp;I$7,'PAID MEDIA ADS'!$A$5:$A$804,"&lt;="&amp;I$8)</f>
        <v>0</v>
      </c>
      <c r="J43" s="96">
        <f>SUMIFS('PAID MEDIA ADS'!$J$5:$J$804,'PAID MEDIA ADS'!$W$5:$W$804,1,'PAID MEDIA ADS'!$A$5:$A$804,"&gt;="&amp;J$7,'PAID MEDIA ADS'!$A$5:$A$804,"&lt;="&amp;J$8)</f>
        <v>0</v>
      </c>
      <c r="K43" s="96">
        <f>SUMIFS('PAID MEDIA ADS'!$J$5:$J$804,'PAID MEDIA ADS'!$W$5:$W$804,1,'PAID MEDIA ADS'!$A$5:$A$804,"&gt;="&amp;K$7,'PAID MEDIA ADS'!$A$5:$A$804,"&lt;="&amp;K$8)</f>
        <v>0</v>
      </c>
      <c r="L43" s="96">
        <f>SUMIFS('PAID MEDIA ADS'!$J$5:$J$804,'PAID MEDIA ADS'!$W$5:$W$804,1,'PAID MEDIA ADS'!$A$5:$A$804,"&gt;="&amp;L$7,'PAID MEDIA ADS'!$A$5:$A$804,"&lt;="&amp;L$8)</f>
        <v>0</v>
      </c>
      <c r="M43" s="96">
        <f>SUMIFS('PAID MEDIA ADS'!$J$5:$J$804,'PAID MEDIA ADS'!$W$5:$W$804,1,'PAID MEDIA ADS'!$A$5:$A$804,"&gt;="&amp;M$7,'PAID MEDIA ADS'!$A$5:$A$804,"&lt;="&amp;M$8)</f>
        <v>0</v>
      </c>
    </row>
    <row r="44">
      <c r="A44" s="44" t="inlineStr">
        <is>
          <t>CTR</t>
        </is>
      </c>
      <c r="B44" s="112" t="str">
        <f>IFERROR((SUMIFS('PAID MEDIA ADS'!$J$5:$J$804,'PAID MEDIA ADS'!$W$5:$W$804,1,'PAID MEDIA ADS'!$A$5:$A$804,"&gt;="&amp;B$7,'PAID MEDIA ADS'!$A$5:$A$804,"&lt;="&amp;B$8))/(SUMIFS('PAID MEDIA ADS'!$H$5:$H$804,'PAID MEDIA ADS'!$W$5:$W$804,1,'PAID MEDIA ADS'!$A$5:$A$804,"&gt;="&amp;B$7,'PAID MEDIA ADS'!$A$5:$A$804,"&lt;="&amp;B$8)),"–")</f>
        <v>–</v>
      </c>
      <c r="C44" s="112" t="str">
        <f>IFERROR((SUMIFS('PAID MEDIA ADS'!$J$5:$J$804,'PAID MEDIA ADS'!$W$5:$W$804,1,'PAID MEDIA ADS'!$A$5:$A$804,"&gt;="&amp;C$7,'PAID MEDIA ADS'!$A$5:$A$804,"&lt;="&amp;C$8))/(SUMIFS('PAID MEDIA ADS'!$H$5:$H$804,'PAID MEDIA ADS'!$W$5:$W$804,1,'PAID MEDIA ADS'!$A$5:$A$804,"&gt;="&amp;C$7,'PAID MEDIA ADS'!$A$5:$A$804,"&lt;="&amp;C$8)),"–")</f>
        <v>–</v>
      </c>
      <c r="D44" s="112" t="str">
        <f>IFERROR((SUMIFS('PAID MEDIA ADS'!$J$5:$J$804,'PAID MEDIA ADS'!$W$5:$W$804,1,'PAID MEDIA ADS'!$A$5:$A$804,"&gt;="&amp;D$7,'PAID MEDIA ADS'!$A$5:$A$804,"&lt;="&amp;D$8))/(SUMIFS('PAID MEDIA ADS'!$H$5:$H$804,'PAID MEDIA ADS'!$W$5:$W$804,1,'PAID MEDIA ADS'!$A$5:$A$804,"&gt;="&amp;D$7,'PAID MEDIA ADS'!$A$5:$A$804,"&lt;="&amp;D$8)),"–")</f>
        <v>–</v>
      </c>
      <c r="E44" s="112" t="str">
        <f>IFERROR((SUMIFS('PAID MEDIA ADS'!$J$5:$J$804,'PAID MEDIA ADS'!$W$5:$W$804,1,'PAID MEDIA ADS'!$A$5:$A$804,"&gt;="&amp;E$7,'PAID MEDIA ADS'!$A$5:$A$804,"&lt;="&amp;E$8))/(SUMIFS('PAID MEDIA ADS'!$H$5:$H$804,'PAID MEDIA ADS'!$W$5:$W$804,1,'PAID MEDIA ADS'!$A$5:$A$804,"&gt;="&amp;E$7,'PAID MEDIA ADS'!$A$5:$A$804,"&lt;="&amp;E$8)),"–")</f>
        <v>–</v>
      </c>
      <c r="F44" s="112" t="str">
        <f>IFERROR((SUMIFS('PAID MEDIA ADS'!$J$5:$J$804,'PAID MEDIA ADS'!$W$5:$W$804,1,'PAID MEDIA ADS'!$A$5:$A$804,"&gt;="&amp;F$7,'PAID MEDIA ADS'!$A$5:$A$804,"&lt;="&amp;F$8))/(SUMIFS('PAID MEDIA ADS'!$H$5:$H$804,'PAID MEDIA ADS'!$W$5:$W$804,1,'PAID MEDIA ADS'!$A$5:$A$804,"&gt;="&amp;F$7,'PAID MEDIA ADS'!$A$5:$A$804,"&lt;="&amp;F$8)),"–")</f>
        <v>–</v>
      </c>
      <c r="G44" s="112" t="str">
        <f>IFERROR((SUMIFS('PAID MEDIA ADS'!$J$5:$J$804,'PAID MEDIA ADS'!$W$5:$W$804,1,'PAID MEDIA ADS'!$A$5:$A$804,"&gt;="&amp;G$7,'PAID MEDIA ADS'!$A$5:$A$804,"&lt;="&amp;G$8))/(SUMIFS('PAID MEDIA ADS'!$H$5:$H$804,'PAID MEDIA ADS'!$W$5:$W$804,1,'PAID MEDIA ADS'!$A$5:$A$804,"&gt;="&amp;G$7,'PAID MEDIA ADS'!$A$5:$A$804,"&lt;="&amp;G$8)),"–")</f>
        <v>–</v>
      </c>
      <c r="H44" s="112" t="str">
        <f>IFERROR((SUMIFS('PAID MEDIA ADS'!$J$5:$J$804,'PAID MEDIA ADS'!$W$5:$W$804,1,'PAID MEDIA ADS'!$A$5:$A$804,"&gt;="&amp;H$7,'PAID MEDIA ADS'!$A$5:$A$804,"&lt;="&amp;H$8))/(SUMIFS('PAID MEDIA ADS'!$H$5:$H$804,'PAID MEDIA ADS'!$W$5:$W$804,1,'PAID MEDIA ADS'!$A$5:$A$804,"&gt;="&amp;H$7,'PAID MEDIA ADS'!$A$5:$A$804,"&lt;="&amp;H$8)),"–")</f>
        <v>–</v>
      </c>
      <c r="I44" s="112" t="str">
        <f>IFERROR((SUMIFS('PAID MEDIA ADS'!$J$5:$J$804,'PAID MEDIA ADS'!$W$5:$W$804,1,'PAID MEDIA ADS'!$A$5:$A$804,"&gt;="&amp;I$7,'PAID MEDIA ADS'!$A$5:$A$804,"&lt;="&amp;I$8))/(SUMIFS('PAID MEDIA ADS'!$H$5:$H$804,'PAID MEDIA ADS'!$W$5:$W$804,1,'PAID MEDIA ADS'!$A$5:$A$804,"&gt;="&amp;I$7,'PAID MEDIA ADS'!$A$5:$A$804,"&lt;="&amp;I$8)),"–")</f>
        <v>–</v>
      </c>
      <c r="J44" s="112" t="str">
        <f>IFERROR((SUMIFS('PAID MEDIA ADS'!$J$5:$J$804,'PAID MEDIA ADS'!$W$5:$W$804,1,'PAID MEDIA ADS'!$A$5:$A$804,"&gt;="&amp;J$7,'PAID MEDIA ADS'!$A$5:$A$804,"&lt;="&amp;J$8))/(SUMIFS('PAID MEDIA ADS'!$H$5:$H$804,'PAID MEDIA ADS'!$W$5:$W$804,1,'PAID MEDIA ADS'!$A$5:$A$804,"&gt;="&amp;J$7,'PAID MEDIA ADS'!$A$5:$A$804,"&lt;="&amp;J$8)),"–")</f>
        <v>–</v>
      </c>
      <c r="K44" s="112" t="str">
        <f>IFERROR((SUMIFS('PAID MEDIA ADS'!$J$5:$J$804,'PAID MEDIA ADS'!$W$5:$W$804,1,'PAID MEDIA ADS'!$A$5:$A$804,"&gt;="&amp;K$7,'PAID MEDIA ADS'!$A$5:$A$804,"&lt;="&amp;K$8))/(SUMIFS('PAID MEDIA ADS'!$H$5:$H$804,'PAID MEDIA ADS'!$W$5:$W$804,1,'PAID MEDIA ADS'!$A$5:$A$804,"&gt;="&amp;K$7,'PAID MEDIA ADS'!$A$5:$A$804,"&lt;="&amp;K$8)),"–")</f>
        <v>–</v>
      </c>
      <c r="L44" s="112" t="str">
        <f>IFERROR((SUMIFS('PAID MEDIA ADS'!$J$5:$J$804,'PAID MEDIA ADS'!$W$5:$W$804,1,'PAID MEDIA ADS'!$A$5:$A$804,"&gt;="&amp;L$7,'PAID MEDIA ADS'!$A$5:$A$804,"&lt;="&amp;L$8))/(SUMIFS('PAID MEDIA ADS'!$H$5:$H$804,'PAID MEDIA ADS'!$W$5:$W$804,1,'PAID MEDIA ADS'!$A$5:$A$804,"&gt;="&amp;L$7,'PAID MEDIA ADS'!$A$5:$A$804,"&lt;="&amp;L$8)),"–")</f>
        <v>–</v>
      </c>
      <c r="M44" s="112" t="str">
        <f>IFERROR((SUMIFS('PAID MEDIA ADS'!$J$5:$J$804,'PAID MEDIA ADS'!$W$5:$W$804,1,'PAID MEDIA ADS'!$A$5:$A$804,"&gt;="&amp;M$7,'PAID MEDIA ADS'!$A$5:$A$804,"&lt;="&amp;M$8))/(SUMIFS('PAID MEDIA ADS'!$H$5:$H$804,'PAID MEDIA ADS'!$W$5:$W$804,1,'PAID MEDIA ADS'!$A$5:$A$804,"&gt;="&amp;M$7,'PAID MEDIA ADS'!$A$5:$A$804,"&lt;="&amp;M$8)),"–")</f>
        <v>–</v>
      </c>
    </row>
    <row r="45">
      <c r="A45" s="44" t="inlineStr">
        <is>
          <t>Paid leads</t>
        </is>
      </c>
      <c r="B45" s="96">
        <f>SUMIFS('PAID MEDIA ADS'!$M$5:$M$804,'PAID MEDIA ADS'!$W$5:$W$804,1,'PAID MEDIA ADS'!$A$5:$A$804,"&gt;="&amp;B$7,'PAID MEDIA ADS'!$A$5:$A$804,"&lt;="&amp;B$8)</f>
        <v>0</v>
      </c>
      <c r="C45" s="96">
        <f>SUMIFS('PAID MEDIA ADS'!$M$5:$M$804,'PAID MEDIA ADS'!$W$5:$W$804,1,'PAID MEDIA ADS'!$A$5:$A$804,"&gt;="&amp;C$7,'PAID MEDIA ADS'!$A$5:$A$804,"&lt;="&amp;C$8)</f>
        <v>0</v>
      </c>
      <c r="D45" s="96">
        <f>SUMIFS('PAID MEDIA ADS'!$M$5:$M$804,'PAID MEDIA ADS'!$W$5:$W$804,1,'PAID MEDIA ADS'!$A$5:$A$804,"&gt;="&amp;D$7,'PAID MEDIA ADS'!$A$5:$A$804,"&lt;="&amp;D$8)</f>
        <v>0</v>
      </c>
      <c r="E45" s="96">
        <f>SUMIFS('PAID MEDIA ADS'!$M$5:$M$804,'PAID MEDIA ADS'!$W$5:$W$804,1,'PAID MEDIA ADS'!$A$5:$A$804,"&gt;="&amp;E$7,'PAID MEDIA ADS'!$A$5:$A$804,"&lt;="&amp;E$8)</f>
        <v>0</v>
      </c>
      <c r="F45" s="96">
        <f>SUMIFS('PAID MEDIA ADS'!$M$5:$M$804,'PAID MEDIA ADS'!$W$5:$W$804,1,'PAID MEDIA ADS'!$A$5:$A$804,"&gt;="&amp;F$7,'PAID MEDIA ADS'!$A$5:$A$804,"&lt;="&amp;F$8)</f>
        <v>0</v>
      </c>
      <c r="G45" s="96">
        <f>SUMIFS('PAID MEDIA ADS'!$M$5:$M$804,'PAID MEDIA ADS'!$W$5:$W$804,1,'PAID MEDIA ADS'!$A$5:$A$804,"&gt;="&amp;G$7,'PAID MEDIA ADS'!$A$5:$A$804,"&lt;="&amp;G$8)</f>
        <v>0</v>
      </c>
      <c r="H45" s="96">
        <f>SUMIFS('PAID MEDIA ADS'!$M$5:$M$804,'PAID MEDIA ADS'!$W$5:$W$804,1,'PAID MEDIA ADS'!$A$5:$A$804,"&gt;="&amp;H$7,'PAID MEDIA ADS'!$A$5:$A$804,"&lt;="&amp;H$8)</f>
        <v>0</v>
      </c>
      <c r="I45" s="96">
        <f>SUMIFS('PAID MEDIA ADS'!$M$5:$M$804,'PAID MEDIA ADS'!$W$5:$W$804,1,'PAID MEDIA ADS'!$A$5:$A$804,"&gt;="&amp;I$7,'PAID MEDIA ADS'!$A$5:$A$804,"&lt;="&amp;I$8)</f>
        <v>0</v>
      </c>
      <c r="J45" s="96">
        <f>SUMIFS('PAID MEDIA ADS'!$M$5:$M$804,'PAID MEDIA ADS'!$W$5:$W$804,1,'PAID MEDIA ADS'!$A$5:$A$804,"&gt;="&amp;J$7,'PAID MEDIA ADS'!$A$5:$A$804,"&lt;="&amp;J$8)</f>
        <v>0</v>
      </c>
      <c r="K45" s="96">
        <f>SUMIFS('PAID MEDIA ADS'!$M$5:$M$804,'PAID MEDIA ADS'!$W$5:$W$804,1,'PAID MEDIA ADS'!$A$5:$A$804,"&gt;="&amp;K$7,'PAID MEDIA ADS'!$A$5:$A$804,"&lt;="&amp;K$8)</f>
        <v>0</v>
      </c>
      <c r="L45" s="96">
        <f>SUMIFS('PAID MEDIA ADS'!$M$5:$M$804,'PAID MEDIA ADS'!$W$5:$W$804,1,'PAID MEDIA ADS'!$A$5:$A$804,"&gt;="&amp;L$7,'PAID MEDIA ADS'!$A$5:$A$804,"&lt;="&amp;L$8)</f>
        <v>0</v>
      </c>
      <c r="M45" s="96">
        <f>SUMIFS('PAID MEDIA ADS'!$M$5:$M$804,'PAID MEDIA ADS'!$W$5:$W$804,1,'PAID MEDIA ADS'!$A$5:$A$804,"&gt;="&amp;M$7,'PAID MEDIA ADS'!$A$5:$A$804,"&lt;="&amp;M$8)</f>
        <v>0</v>
      </c>
    </row>
    <row r="46">
      <c r="A46" s="44" t="inlineStr">
        <is>
          <t>CPL</t>
        </is>
      </c>
      <c r="B46" s="98" t="str">
        <f>IFERROR((SUMIFS('PAID MEDIA ADS'!$G$5:$G$804,'PAID MEDIA ADS'!$W$5:$W$804,1,'PAID MEDIA ADS'!$A$5:$A$804,"&gt;="&amp;B$7,'PAID MEDIA ADS'!$A$5:$A$804,"&lt;="&amp;B$8))/(SUMIFS('PAID MEDIA ADS'!$M$5:$M$804,'PAID MEDIA ADS'!$W$5:$W$804,1,'PAID MEDIA ADS'!$A$5:$A$804,"&gt;="&amp;B$7,'PAID MEDIA ADS'!$A$5:$A$804,"&lt;="&amp;B$8)),"–")</f>
        <v>–</v>
      </c>
      <c r="C46" s="98" t="str">
        <f>IFERROR((SUMIFS('PAID MEDIA ADS'!$G$5:$G$804,'PAID MEDIA ADS'!$W$5:$W$804,1,'PAID MEDIA ADS'!$A$5:$A$804,"&gt;="&amp;C$7,'PAID MEDIA ADS'!$A$5:$A$804,"&lt;="&amp;C$8))/(SUMIFS('PAID MEDIA ADS'!$M$5:$M$804,'PAID MEDIA ADS'!$W$5:$W$804,1,'PAID MEDIA ADS'!$A$5:$A$804,"&gt;="&amp;C$7,'PAID MEDIA ADS'!$A$5:$A$804,"&lt;="&amp;C$8)),"–")</f>
        <v>–</v>
      </c>
      <c r="D46" s="98" t="str">
        <f>IFERROR((SUMIFS('PAID MEDIA ADS'!$G$5:$G$804,'PAID MEDIA ADS'!$W$5:$W$804,1,'PAID MEDIA ADS'!$A$5:$A$804,"&gt;="&amp;D$7,'PAID MEDIA ADS'!$A$5:$A$804,"&lt;="&amp;D$8))/(SUMIFS('PAID MEDIA ADS'!$M$5:$M$804,'PAID MEDIA ADS'!$W$5:$W$804,1,'PAID MEDIA ADS'!$A$5:$A$804,"&gt;="&amp;D$7,'PAID MEDIA ADS'!$A$5:$A$804,"&lt;="&amp;D$8)),"–")</f>
        <v>–</v>
      </c>
      <c r="E46" s="98" t="str">
        <f>IFERROR((SUMIFS('PAID MEDIA ADS'!$G$5:$G$804,'PAID MEDIA ADS'!$W$5:$W$804,1,'PAID MEDIA ADS'!$A$5:$A$804,"&gt;="&amp;E$7,'PAID MEDIA ADS'!$A$5:$A$804,"&lt;="&amp;E$8))/(SUMIFS('PAID MEDIA ADS'!$M$5:$M$804,'PAID MEDIA ADS'!$W$5:$W$804,1,'PAID MEDIA ADS'!$A$5:$A$804,"&gt;="&amp;E$7,'PAID MEDIA ADS'!$A$5:$A$804,"&lt;="&amp;E$8)),"–")</f>
        <v>–</v>
      </c>
      <c r="F46" s="98" t="str">
        <f>IFERROR((SUMIFS('PAID MEDIA ADS'!$G$5:$G$804,'PAID MEDIA ADS'!$W$5:$W$804,1,'PAID MEDIA ADS'!$A$5:$A$804,"&gt;="&amp;F$7,'PAID MEDIA ADS'!$A$5:$A$804,"&lt;="&amp;F$8))/(SUMIFS('PAID MEDIA ADS'!$M$5:$M$804,'PAID MEDIA ADS'!$W$5:$W$804,1,'PAID MEDIA ADS'!$A$5:$A$804,"&gt;="&amp;F$7,'PAID MEDIA ADS'!$A$5:$A$804,"&lt;="&amp;F$8)),"–")</f>
        <v>–</v>
      </c>
      <c r="G46" s="98" t="str">
        <f>IFERROR((SUMIFS('PAID MEDIA ADS'!$G$5:$G$804,'PAID MEDIA ADS'!$W$5:$W$804,1,'PAID MEDIA ADS'!$A$5:$A$804,"&gt;="&amp;G$7,'PAID MEDIA ADS'!$A$5:$A$804,"&lt;="&amp;G$8))/(SUMIFS('PAID MEDIA ADS'!$M$5:$M$804,'PAID MEDIA ADS'!$W$5:$W$804,1,'PAID MEDIA ADS'!$A$5:$A$804,"&gt;="&amp;G$7,'PAID MEDIA ADS'!$A$5:$A$804,"&lt;="&amp;G$8)),"–")</f>
        <v>–</v>
      </c>
      <c r="H46" s="98" t="str">
        <f>IFERROR((SUMIFS('PAID MEDIA ADS'!$G$5:$G$804,'PAID MEDIA ADS'!$W$5:$W$804,1,'PAID MEDIA ADS'!$A$5:$A$804,"&gt;="&amp;H$7,'PAID MEDIA ADS'!$A$5:$A$804,"&lt;="&amp;H$8))/(SUMIFS('PAID MEDIA ADS'!$M$5:$M$804,'PAID MEDIA ADS'!$W$5:$W$804,1,'PAID MEDIA ADS'!$A$5:$A$804,"&gt;="&amp;H$7,'PAID MEDIA ADS'!$A$5:$A$804,"&lt;="&amp;H$8)),"–")</f>
        <v>–</v>
      </c>
      <c r="I46" s="98" t="str">
        <f>IFERROR((SUMIFS('PAID MEDIA ADS'!$G$5:$G$804,'PAID MEDIA ADS'!$W$5:$W$804,1,'PAID MEDIA ADS'!$A$5:$A$804,"&gt;="&amp;I$7,'PAID MEDIA ADS'!$A$5:$A$804,"&lt;="&amp;I$8))/(SUMIFS('PAID MEDIA ADS'!$M$5:$M$804,'PAID MEDIA ADS'!$W$5:$W$804,1,'PAID MEDIA ADS'!$A$5:$A$804,"&gt;="&amp;I$7,'PAID MEDIA ADS'!$A$5:$A$804,"&lt;="&amp;I$8)),"–")</f>
        <v>–</v>
      </c>
      <c r="J46" s="98" t="str">
        <f>IFERROR((SUMIFS('PAID MEDIA ADS'!$G$5:$G$804,'PAID MEDIA ADS'!$W$5:$W$804,1,'PAID MEDIA ADS'!$A$5:$A$804,"&gt;="&amp;J$7,'PAID MEDIA ADS'!$A$5:$A$804,"&lt;="&amp;J$8))/(SUMIFS('PAID MEDIA ADS'!$M$5:$M$804,'PAID MEDIA ADS'!$W$5:$W$804,1,'PAID MEDIA ADS'!$A$5:$A$804,"&gt;="&amp;J$7,'PAID MEDIA ADS'!$A$5:$A$804,"&lt;="&amp;J$8)),"–")</f>
        <v>–</v>
      </c>
      <c r="K46" s="98" t="str">
        <f>IFERROR((SUMIFS('PAID MEDIA ADS'!$G$5:$G$804,'PAID MEDIA ADS'!$W$5:$W$804,1,'PAID MEDIA ADS'!$A$5:$A$804,"&gt;="&amp;K$7,'PAID MEDIA ADS'!$A$5:$A$804,"&lt;="&amp;K$8))/(SUMIFS('PAID MEDIA ADS'!$M$5:$M$804,'PAID MEDIA ADS'!$W$5:$W$804,1,'PAID MEDIA ADS'!$A$5:$A$804,"&gt;="&amp;K$7,'PAID MEDIA ADS'!$A$5:$A$804,"&lt;="&amp;K$8)),"–")</f>
        <v>–</v>
      </c>
      <c r="L46" s="98" t="str">
        <f>IFERROR((SUMIFS('PAID MEDIA ADS'!$G$5:$G$804,'PAID MEDIA ADS'!$W$5:$W$804,1,'PAID MEDIA ADS'!$A$5:$A$804,"&gt;="&amp;L$7,'PAID MEDIA ADS'!$A$5:$A$804,"&lt;="&amp;L$8))/(SUMIFS('PAID MEDIA ADS'!$M$5:$M$804,'PAID MEDIA ADS'!$W$5:$W$804,1,'PAID MEDIA ADS'!$A$5:$A$804,"&gt;="&amp;L$7,'PAID MEDIA ADS'!$A$5:$A$804,"&lt;="&amp;L$8)),"–")</f>
        <v>–</v>
      </c>
      <c r="M46" s="98" t="str">
        <f>IFERROR((SUMIFS('PAID MEDIA ADS'!$G$5:$G$804,'PAID MEDIA ADS'!$W$5:$W$804,1,'PAID MEDIA ADS'!$A$5:$A$804,"&gt;="&amp;M$7,'PAID MEDIA ADS'!$A$5:$A$804,"&lt;="&amp;M$8))/(SUMIFS('PAID MEDIA ADS'!$M$5:$M$804,'PAID MEDIA ADS'!$W$5:$W$804,1,'PAID MEDIA ADS'!$A$5:$A$804,"&gt;="&amp;M$7,'PAID MEDIA ADS'!$A$5:$A$804,"&lt;="&amp;M$8)),"–")</f>
        <v>–</v>
      </c>
    </row>
    <row r="47">
      <c r="A47" s="44" t="inlineStr">
        <is>
          <t>Conversion rate (leads / clicks)</t>
        </is>
      </c>
      <c r="B47" s="43" t="str">
        <f>IFERROR((SUMIFS('PAID MEDIA ADS'!$M$5:$M$804,'PAID MEDIA ADS'!$W$5:$W$804,1,'PAID MEDIA ADS'!$A$5:$A$804,"&gt;="&amp;B$7,'PAID MEDIA ADS'!$A$5:$A$804,"&lt;="&amp;B$8))/(SUMIFS('PAID MEDIA ADS'!$J$5:$J$804,'PAID MEDIA ADS'!$W$5:$W$804,1,'PAID MEDIA ADS'!$A$5:$A$804,"&gt;="&amp;B$7,'PAID MEDIA ADS'!$A$5:$A$804,"&lt;="&amp;B$8)),"–")</f>
        <v>–</v>
      </c>
      <c r="C47" s="43" t="str">
        <f>IFERROR((SUMIFS('PAID MEDIA ADS'!$M$5:$M$804,'PAID MEDIA ADS'!$W$5:$W$804,1,'PAID MEDIA ADS'!$A$5:$A$804,"&gt;="&amp;C$7,'PAID MEDIA ADS'!$A$5:$A$804,"&lt;="&amp;C$8))/(SUMIFS('PAID MEDIA ADS'!$J$5:$J$804,'PAID MEDIA ADS'!$W$5:$W$804,1,'PAID MEDIA ADS'!$A$5:$A$804,"&gt;="&amp;C$7,'PAID MEDIA ADS'!$A$5:$A$804,"&lt;="&amp;C$8)),"–")</f>
        <v>–</v>
      </c>
      <c r="D47" s="43" t="str">
        <f>IFERROR((SUMIFS('PAID MEDIA ADS'!$M$5:$M$804,'PAID MEDIA ADS'!$W$5:$W$804,1,'PAID MEDIA ADS'!$A$5:$A$804,"&gt;="&amp;D$7,'PAID MEDIA ADS'!$A$5:$A$804,"&lt;="&amp;D$8))/(SUMIFS('PAID MEDIA ADS'!$J$5:$J$804,'PAID MEDIA ADS'!$W$5:$W$804,1,'PAID MEDIA ADS'!$A$5:$A$804,"&gt;="&amp;D$7,'PAID MEDIA ADS'!$A$5:$A$804,"&lt;="&amp;D$8)),"–")</f>
        <v>–</v>
      </c>
      <c r="E47" s="43" t="str">
        <f>IFERROR((SUMIFS('PAID MEDIA ADS'!$M$5:$M$804,'PAID MEDIA ADS'!$W$5:$W$804,1,'PAID MEDIA ADS'!$A$5:$A$804,"&gt;="&amp;E$7,'PAID MEDIA ADS'!$A$5:$A$804,"&lt;="&amp;E$8))/(SUMIFS('PAID MEDIA ADS'!$J$5:$J$804,'PAID MEDIA ADS'!$W$5:$W$804,1,'PAID MEDIA ADS'!$A$5:$A$804,"&gt;="&amp;E$7,'PAID MEDIA ADS'!$A$5:$A$804,"&lt;="&amp;E$8)),"–")</f>
        <v>–</v>
      </c>
      <c r="F47" s="43" t="str">
        <f>IFERROR((SUMIFS('PAID MEDIA ADS'!$M$5:$M$804,'PAID MEDIA ADS'!$W$5:$W$804,1,'PAID MEDIA ADS'!$A$5:$A$804,"&gt;="&amp;F$7,'PAID MEDIA ADS'!$A$5:$A$804,"&lt;="&amp;F$8))/(SUMIFS('PAID MEDIA ADS'!$J$5:$J$804,'PAID MEDIA ADS'!$W$5:$W$804,1,'PAID MEDIA ADS'!$A$5:$A$804,"&gt;="&amp;F$7,'PAID MEDIA ADS'!$A$5:$A$804,"&lt;="&amp;F$8)),"–")</f>
        <v>–</v>
      </c>
      <c r="G47" s="43" t="str">
        <f>IFERROR((SUMIFS('PAID MEDIA ADS'!$M$5:$M$804,'PAID MEDIA ADS'!$W$5:$W$804,1,'PAID MEDIA ADS'!$A$5:$A$804,"&gt;="&amp;G$7,'PAID MEDIA ADS'!$A$5:$A$804,"&lt;="&amp;G$8))/(SUMIFS('PAID MEDIA ADS'!$J$5:$J$804,'PAID MEDIA ADS'!$W$5:$W$804,1,'PAID MEDIA ADS'!$A$5:$A$804,"&gt;="&amp;G$7,'PAID MEDIA ADS'!$A$5:$A$804,"&lt;="&amp;G$8)),"–")</f>
        <v>–</v>
      </c>
      <c r="H47" s="43" t="str">
        <f>IFERROR((SUMIFS('PAID MEDIA ADS'!$M$5:$M$804,'PAID MEDIA ADS'!$W$5:$W$804,1,'PAID MEDIA ADS'!$A$5:$A$804,"&gt;="&amp;H$7,'PAID MEDIA ADS'!$A$5:$A$804,"&lt;="&amp;H$8))/(SUMIFS('PAID MEDIA ADS'!$J$5:$J$804,'PAID MEDIA ADS'!$W$5:$W$804,1,'PAID MEDIA ADS'!$A$5:$A$804,"&gt;="&amp;H$7,'PAID MEDIA ADS'!$A$5:$A$804,"&lt;="&amp;H$8)),"–")</f>
        <v>–</v>
      </c>
      <c r="I47" s="43" t="str">
        <f>IFERROR((SUMIFS('PAID MEDIA ADS'!$M$5:$M$804,'PAID MEDIA ADS'!$W$5:$W$804,1,'PAID MEDIA ADS'!$A$5:$A$804,"&gt;="&amp;I$7,'PAID MEDIA ADS'!$A$5:$A$804,"&lt;="&amp;I$8))/(SUMIFS('PAID MEDIA ADS'!$J$5:$J$804,'PAID MEDIA ADS'!$W$5:$W$804,1,'PAID MEDIA ADS'!$A$5:$A$804,"&gt;="&amp;I$7,'PAID MEDIA ADS'!$A$5:$A$804,"&lt;="&amp;I$8)),"–")</f>
        <v>–</v>
      </c>
      <c r="J47" s="43" t="str">
        <f>IFERROR((SUMIFS('PAID MEDIA ADS'!$M$5:$M$804,'PAID MEDIA ADS'!$W$5:$W$804,1,'PAID MEDIA ADS'!$A$5:$A$804,"&gt;="&amp;J$7,'PAID MEDIA ADS'!$A$5:$A$804,"&lt;="&amp;J$8))/(SUMIFS('PAID MEDIA ADS'!$J$5:$J$804,'PAID MEDIA ADS'!$W$5:$W$804,1,'PAID MEDIA ADS'!$A$5:$A$804,"&gt;="&amp;J$7,'PAID MEDIA ADS'!$A$5:$A$804,"&lt;="&amp;J$8)),"–")</f>
        <v>–</v>
      </c>
      <c r="K47" s="43" t="str">
        <f>IFERROR((SUMIFS('PAID MEDIA ADS'!$M$5:$M$804,'PAID MEDIA ADS'!$W$5:$W$804,1,'PAID MEDIA ADS'!$A$5:$A$804,"&gt;="&amp;K$7,'PAID MEDIA ADS'!$A$5:$A$804,"&lt;="&amp;K$8))/(SUMIFS('PAID MEDIA ADS'!$J$5:$J$804,'PAID MEDIA ADS'!$W$5:$W$804,1,'PAID MEDIA ADS'!$A$5:$A$804,"&gt;="&amp;K$7,'PAID MEDIA ADS'!$A$5:$A$804,"&lt;="&amp;K$8)),"–")</f>
        <v>–</v>
      </c>
      <c r="L47" s="43" t="str">
        <f>IFERROR((SUMIFS('PAID MEDIA ADS'!$M$5:$M$804,'PAID MEDIA ADS'!$W$5:$W$804,1,'PAID MEDIA ADS'!$A$5:$A$804,"&gt;="&amp;L$7,'PAID MEDIA ADS'!$A$5:$A$804,"&lt;="&amp;L$8))/(SUMIFS('PAID MEDIA ADS'!$J$5:$J$804,'PAID MEDIA ADS'!$W$5:$W$804,1,'PAID MEDIA ADS'!$A$5:$A$804,"&gt;="&amp;L$7,'PAID MEDIA ADS'!$A$5:$A$804,"&lt;="&amp;L$8)),"–")</f>
        <v>–</v>
      </c>
      <c r="M47" s="43" t="str">
        <f>IFERROR((SUMIFS('PAID MEDIA ADS'!$M$5:$M$804,'PAID MEDIA ADS'!$W$5:$W$804,1,'PAID MEDIA ADS'!$A$5:$A$804,"&gt;="&amp;M$7,'PAID MEDIA ADS'!$A$5:$A$804,"&lt;="&amp;M$8))/(SUMIFS('PAID MEDIA ADS'!$J$5:$J$804,'PAID MEDIA ADS'!$W$5:$W$804,1,'PAID MEDIA ADS'!$A$5:$A$804,"&gt;="&amp;M$7,'PAID MEDIA ADS'!$A$5:$A$804,"&lt;="&amp;M$8)),"–")</f>
        <v>–</v>
      </c>
    </row>
    <row r="48" ht="20" customHeight="1">
      <c r="A48" s="37" t="inlineStr">
        <is>
          <t>CHANNEL - WEBSITE &amp; CONTENT</t>
        </is>
      </c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</row>
    <row r="49">
      <c r="A49" s="44" t="inlineStr">
        <is>
          <t>Website traffic</t>
        </is>
      </c>
      <c r="B49" s="96">
        <f>SUMIFS('WEBSITE CONTENT SEO'!$K$5:$K$804,'WEBSITE CONTENT SEO'!$X$5:$X$804,1,'WEBSITE CONTENT SEO'!$A$5:$A$804,"&gt;="&amp;B$7,'WEBSITE CONTENT SEO'!$A$5:$A$804,"&lt;="&amp;B$8)</f>
        <v>0</v>
      </c>
      <c r="C49" s="96">
        <f>SUMIFS('WEBSITE CONTENT SEO'!$K$5:$K$804,'WEBSITE CONTENT SEO'!$X$5:$X$804,1,'WEBSITE CONTENT SEO'!$A$5:$A$804,"&gt;="&amp;C$7,'WEBSITE CONTENT SEO'!$A$5:$A$804,"&lt;="&amp;C$8)</f>
        <v>0</v>
      </c>
      <c r="D49" s="96">
        <f>SUMIFS('WEBSITE CONTENT SEO'!$K$5:$K$804,'WEBSITE CONTENT SEO'!$X$5:$X$804,1,'WEBSITE CONTENT SEO'!$A$5:$A$804,"&gt;="&amp;D$7,'WEBSITE CONTENT SEO'!$A$5:$A$804,"&lt;="&amp;D$8)</f>
        <v>0</v>
      </c>
      <c r="E49" s="96">
        <f>SUMIFS('WEBSITE CONTENT SEO'!$K$5:$K$804,'WEBSITE CONTENT SEO'!$X$5:$X$804,1,'WEBSITE CONTENT SEO'!$A$5:$A$804,"&gt;="&amp;E$7,'WEBSITE CONTENT SEO'!$A$5:$A$804,"&lt;="&amp;E$8)</f>
        <v>0</v>
      </c>
      <c r="F49" s="96">
        <f>SUMIFS('WEBSITE CONTENT SEO'!$K$5:$K$804,'WEBSITE CONTENT SEO'!$X$5:$X$804,1,'WEBSITE CONTENT SEO'!$A$5:$A$804,"&gt;="&amp;F$7,'WEBSITE CONTENT SEO'!$A$5:$A$804,"&lt;="&amp;F$8)</f>
        <v>0</v>
      </c>
      <c r="G49" s="96">
        <f>SUMIFS('WEBSITE CONTENT SEO'!$K$5:$K$804,'WEBSITE CONTENT SEO'!$X$5:$X$804,1,'WEBSITE CONTENT SEO'!$A$5:$A$804,"&gt;="&amp;G$7,'WEBSITE CONTENT SEO'!$A$5:$A$804,"&lt;="&amp;G$8)</f>
        <v>0</v>
      </c>
      <c r="H49" s="96">
        <f>SUMIFS('WEBSITE CONTENT SEO'!$K$5:$K$804,'WEBSITE CONTENT SEO'!$X$5:$X$804,1,'WEBSITE CONTENT SEO'!$A$5:$A$804,"&gt;="&amp;H$7,'WEBSITE CONTENT SEO'!$A$5:$A$804,"&lt;="&amp;H$8)</f>
        <v>0</v>
      </c>
      <c r="I49" s="96">
        <f>SUMIFS('WEBSITE CONTENT SEO'!$K$5:$K$804,'WEBSITE CONTENT SEO'!$X$5:$X$804,1,'WEBSITE CONTENT SEO'!$A$5:$A$804,"&gt;="&amp;I$7,'WEBSITE CONTENT SEO'!$A$5:$A$804,"&lt;="&amp;I$8)</f>
        <v>0</v>
      </c>
      <c r="J49" s="96">
        <f>SUMIFS('WEBSITE CONTENT SEO'!$K$5:$K$804,'WEBSITE CONTENT SEO'!$X$5:$X$804,1,'WEBSITE CONTENT SEO'!$A$5:$A$804,"&gt;="&amp;J$7,'WEBSITE CONTENT SEO'!$A$5:$A$804,"&lt;="&amp;J$8)</f>
        <v>0</v>
      </c>
      <c r="K49" s="96">
        <f>SUMIFS('WEBSITE CONTENT SEO'!$K$5:$K$804,'WEBSITE CONTENT SEO'!$X$5:$X$804,1,'WEBSITE CONTENT SEO'!$A$5:$A$804,"&gt;="&amp;K$7,'WEBSITE CONTENT SEO'!$A$5:$A$804,"&lt;="&amp;K$8)</f>
        <v>0</v>
      </c>
      <c r="L49" s="96">
        <f>SUMIFS('WEBSITE CONTENT SEO'!$K$5:$K$804,'WEBSITE CONTENT SEO'!$X$5:$X$804,1,'WEBSITE CONTENT SEO'!$A$5:$A$804,"&gt;="&amp;L$7,'WEBSITE CONTENT SEO'!$A$5:$A$804,"&lt;="&amp;L$8)</f>
        <v>0</v>
      </c>
      <c r="M49" s="96">
        <f>SUMIFS('WEBSITE CONTENT SEO'!$K$5:$K$804,'WEBSITE CONTENT SEO'!$X$5:$X$804,1,'WEBSITE CONTENT SEO'!$A$5:$A$804,"&gt;="&amp;M$7,'WEBSITE CONTENT SEO'!$A$5:$A$804,"&lt;="&amp;M$8)</f>
        <v>0</v>
      </c>
    </row>
    <row r="50">
      <c r="A50" s="44" t="inlineStr">
        <is>
          <t>Website / content leads</t>
        </is>
      </c>
      <c r="B50" s="96">
        <f>SUMIFS('WEBSITE CONTENT SEO'!$L$5:$L$804,'WEBSITE CONTENT SEO'!$X$5:$X$804,1,'WEBSITE CONTENT SEO'!$A$5:$A$804,"&gt;="&amp;B$7,'WEBSITE CONTENT SEO'!$A$5:$A$804,"&lt;="&amp;B$8)</f>
        <v>0</v>
      </c>
      <c r="C50" s="96">
        <f>SUMIFS('WEBSITE CONTENT SEO'!$L$5:$L$804,'WEBSITE CONTENT SEO'!$X$5:$X$804,1,'WEBSITE CONTENT SEO'!$A$5:$A$804,"&gt;="&amp;C$7,'WEBSITE CONTENT SEO'!$A$5:$A$804,"&lt;="&amp;C$8)</f>
        <v>0</v>
      </c>
      <c r="D50" s="96">
        <f>SUMIFS('WEBSITE CONTENT SEO'!$L$5:$L$804,'WEBSITE CONTENT SEO'!$X$5:$X$804,1,'WEBSITE CONTENT SEO'!$A$5:$A$804,"&gt;="&amp;D$7,'WEBSITE CONTENT SEO'!$A$5:$A$804,"&lt;="&amp;D$8)</f>
        <v>0</v>
      </c>
      <c r="E50" s="96">
        <f>SUMIFS('WEBSITE CONTENT SEO'!$L$5:$L$804,'WEBSITE CONTENT SEO'!$X$5:$X$804,1,'WEBSITE CONTENT SEO'!$A$5:$A$804,"&gt;="&amp;E$7,'WEBSITE CONTENT SEO'!$A$5:$A$804,"&lt;="&amp;E$8)</f>
        <v>0</v>
      </c>
      <c r="F50" s="96">
        <f>SUMIFS('WEBSITE CONTENT SEO'!$L$5:$L$804,'WEBSITE CONTENT SEO'!$X$5:$X$804,1,'WEBSITE CONTENT SEO'!$A$5:$A$804,"&gt;="&amp;F$7,'WEBSITE CONTENT SEO'!$A$5:$A$804,"&lt;="&amp;F$8)</f>
        <v>0</v>
      </c>
      <c r="G50" s="96">
        <f>SUMIFS('WEBSITE CONTENT SEO'!$L$5:$L$804,'WEBSITE CONTENT SEO'!$X$5:$X$804,1,'WEBSITE CONTENT SEO'!$A$5:$A$804,"&gt;="&amp;G$7,'WEBSITE CONTENT SEO'!$A$5:$A$804,"&lt;="&amp;G$8)</f>
        <v>0</v>
      </c>
      <c r="H50" s="96">
        <f>SUMIFS('WEBSITE CONTENT SEO'!$L$5:$L$804,'WEBSITE CONTENT SEO'!$X$5:$X$804,1,'WEBSITE CONTENT SEO'!$A$5:$A$804,"&gt;="&amp;H$7,'WEBSITE CONTENT SEO'!$A$5:$A$804,"&lt;="&amp;H$8)</f>
        <v>0</v>
      </c>
      <c r="I50" s="96">
        <f>SUMIFS('WEBSITE CONTENT SEO'!$L$5:$L$804,'WEBSITE CONTENT SEO'!$X$5:$X$804,1,'WEBSITE CONTENT SEO'!$A$5:$A$804,"&gt;="&amp;I$7,'WEBSITE CONTENT SEO'!$A$5:$A$804,"&lt;="&amp;I$8)</f>
        <v>0</v>
      </c>
      <c r="J50" s="96">
        <f>SUMIFS('WEBSITE CONTENT SEO'!$L$5:$L$804,'WEBSITE CONTENT SEO'!$X$5:$X$804,1,'WEBSITE CONTENT SEO'!$A$5:$A$804,"&gt;="&amp;J$7,'WEBSITE CONTENT SEO'!$A$5:$A$804,"&lt;="&amp;J$8)</f>
        <v>0</v>
      </c>
      <c r="K50" s="96">
        <f>SUMIFS('WEBSITE CONTENT SEO'!$L$5:$L$804,'WEBSITE CONTENT SEO'!$X$5:$X$804,1,'WEBSITE CONTENT SEO'!$A$5:$A$804,"&gt;="&amp;K$7,'WEBSITE CONTENT SEO'!$A$5:$A$804,"&lt;="&amp;K$8)</f>
        <v>0</v>
      </c>
      <c r="L50" s="96">
        <f>SUMIFS('WEBSITE CONTENT SEO'!$L$5:$L$804,'WEBSITE CONTENT SEO'!$X$5:$X$804,1,'WEBSITE CONTENT SEO'!$A$5:$A$804,"&gt;="&amp;L$7,'WEBSITE CONTENT SEO'!$A$5:$A$804,"&lt;="&amp;L$8)</f>
        <v>0</v>
      </c>
      <c r="M50" s="96">
        <f>SUMIFS('WEBSITE CONTENT SEO'!$L$5:$L$804,'WEBSITE CONTENT SEO'!$X$5:$X$804,1,'WEBSITE CONTENT SEO'!$A$5:$A$804,"&gt;="&amp;M$7,'WEBSITE CONTENT SEO'!$A$5:$A$804,"&lt;="&amp;M$8)</f>
        <v>0</v>
      </c>
    </row>
    <row r="51">
      <c r="A51" s="44" t="inlineStr">
        <is>
          <t>Content pieces published</t>
        </is>
      </c>
      <c r="B51" s="96">
        <f>COUNTIFS('WEBSITE CONTENT SEO'!$X$5:$X$804,1,'WEBSITE CONTENT SEO'!$J$5:$J$804,"&gt;="&amp;B$7,'WEBSITE CONTENT SEO'!$J$5:$J$804,"&lt;="&amp;B$8,'WEBSITE CONTENT SEO'!$C$5:$C$804,"Blog")+COUNTIFS('WEBSITE CONTENT SEO'!$X$5:$X$804,1,'WEBSITE CONTENT SEO'!$J$5:$J$804,"&gt;="&amp;B$7,'WEBSITE CONTENT SEO'!$J$5:$J$804,"&lt;="&amp;B$8,'WEBSITE CONTENT SEO'!$C$5:$C$804,"Case Study")+COUNTIFS('WEBSITE CONTENT SEO'!$X$5:$X$804,1,'WEBSITE CONTENT SEO'!$J$5:$J$804,"&gt;="&amp;B$7,'WEBSITE CONTENT SEO'!$J$5:$J$804,"&lt;="&amp;B$8,'WEBSITE CONTENT SEO'!$C$5:$C$804,"Whitepaper")+COUNTIFS('WEBSITE CONTENT SEO'!$X$5:$X$804,1,'WEBSITE CONTENT SEO'!$J$5:$J$804,"&gt;="&amp;B$7,'WEBSITE CONTENT SEO'!$J$5:$J$804,"&lt;="&amp;B$8,'WEBSITE CONTENT SEO'!$C$5:$C$804,"Content")+COUNTIFS('WEBSITE CONTENT SEO'!$X$5:$X$804,1,'WEBSITE CONTENT SEO'!$J$5:$J$804,"&gt;="&amp;B$7,'WEBSITE CONTENT SEO'!$J$5:$J$804,"&lt;="&amp;B$8,'WEBSITE CONTENT SEO'!$C$5:$C$804,"Video")+COUNTIFS('WEBSITE CONTENT SEO'!$X$5:$X$804,1,'WEBSITE CONTENT SEO'!$J$5:$J$804,"&gt;="&amp;B$7,'WEBSITE CONTENT SEO'!$J$5:$J$804,"&lt;="&amp;B$8,'WEBSITE CONTENT SEO'!$C$5:$C$804,"Webinar")</f>
        <v>0</v>
      </c>
      <c r="C51" s="96">
        <f>COUNTIFS('WEBSITE CONTENT SEO'!$X$5:$X$804,1,'WEBSITE CONTENT SEO'!$J$5:$J$804,"&gt;="&amp;C$7,'WEBSITE CONTENT SEO'!$J$5:$J$804,"&lt;="&amp;C$8,'WEBSITE CONTENT SEO'!$C$5:$C$804,"Blog")+COUNTIFS('WEBSITE CONTENT SEO'!$X$5:$X$804,1,'WEBSITE CONTENT SEO'!$J$5:$J$804,"&gt;="&amp;C$7,'WEBSITE CONTENT SEO'!$J$5:$J$804,"&lt;="&amp;C$8,'WEBSITE CONTENT SEO'!$C$5:$C$804,"Case Study")+COUNTIFS('WEBSITE CONTENT SEO'!$X$5:$X$804,1,'WEBSITE CONTENT SEO'!$J$5:$J$804,"&gt;="&amp;C$7,'WEBSITE CONTENT SEO'!$J$5:$J$804,"&lt;="&amp;C$8,'WEBSITE CONTENT SEO'!$C$5:$C$804,"Whitepaper")+COUNTIFS('WEBSITE CONTENT SEO'!$X$5:$X$804,1,'WEBSITE CONTENT SEO'!$J$5:$J$804,"&gt;="&amp;C$7,'WEBSITE CONTENT SEO'!$J$5:$J$804,"&lt;="&amp;C$8,'WEBSITE CONTENT SEO'!$C$5:$C$804,"Content")+COUNTIFS('WEBSITE CONTENT SEO'!$X$5:$X$804,1,'WEBSITE CONTENT SEO'!$J$5:$J$804,"&gt;="&amp;C$7,'WEBSITE CONTENT SEO'!$J$5:$J$804,"&lt;="&amp;C$8,'WEBSITE CONTENT SEO'!$C$5:$C$804,"Video")+COUNTIFS('WEBSITE CONTENT SEO'!$X$5:$X$804,1,'WEBSITE CONTENT SEO'!$J$5:$J$804,"&gt;="&amp;C$7,'WEBSITE CONTENT SEO'!$J$5:$J$804,"&lt;="&amp;C$8,'WEBSITE CONTENT SEO'!$C$5:$C$804,"Webinar")</f>
        <v>0</v>
      </c>
      <c r="D51" s="96">
        <f>COUNTIFS('WEBSITE CONTENT SEO'!$X$5:$X$804,1,'WEBSITE CONTENT SEO'!$J$5:$J$804,"&gt;="&amp;D$7,'WEBSITE CONTENT SEO'!$J$5:$J$804,"&lt;="&amp;D$8,'WEBSITE CONTENT SEO'!$C$5:$C$804,"Blog")+COUNTIFS('WEBSITE CONTENT SEO'!$X$5:$X$804,1,'WEBSITE CONTENT SEO'!$J$5:$J$804,"&gt;="&amp;D$7,'WEBSITE CONTENT SEO'!$J$5:$J$804,"&lt;="&amp;D$8,'WEBSITE CONTENT SEO'!$C$5:$C$804,"Case Study")+COUNTIFS('WEBSITE CONTENT SEO'!$X$5:$X$804,1,'WEBSITE CONTENT SEO'!$J$5:$J$804,"&gt;="&amp;D$7,'WEBSITE CONTENT SEO'!$J$5:$J$804,"&lt;="&amp;D$8,'WEBSITE CONTENT SEO'!$C$5:$C$804,"Whitepaper")+COUNTIFS('WEBSITE CONTENT SEO'!$X$5:$X$804,1,'WEBSITE CONTENT SEO'!$J$5:$J$804,"&gt;="&amp;D$7,'WEBSITE CONTENT SEO'!$J$5:$J$804,"&lt;="&amp;D$8,'WEBSITE CONTENT SEO'!$C$5:$C$804,"Content")+COUNTIFS('WEBSITE CONTENT SEO'!$X$5:$X$804,1,'WEBSITE CONTENT SEO'!$J$5:$J$804,"&gt;="&amp;D$7,'WEBSITE CONTENT SEO'!$J$5:$J$804,"&lt;="&amp;D$8,'WEBSITE CONTENT SEO'!$C$5:$C$804,"Video")+COUNTIFS('WEBSITE CONTENT SEO'!$X$5:$X$804,1,'WEBSITE CONTENT SEO'!$J$5:$J$804,"&gt;="&amp;D$7,'WEBSITE CONTENT SEO'!$J$5:$J$804,"&lt;="&amp;D$8,'WEBSITE CONTENT SEO'!$C$5:$C$804,"Webinar")</f>
        <v>0</v>
      </c>
      <c r="E51" s="96">
        <f>COUNTIFS('WEBSITE CONTENT SEO'!$X$5:$X$804,1,'WEBSITE CONTENT SEO'!$J$5:$J$804,"&gt;="&amp;E$7,'WEBSITE CONTENT SEO'!$J$5:$J$804,"&lt;="&amp;E$8,'WEBSITE CONTENT SEO'!$C$5:$C$804,"Blog")+COUNTIFS('WEBSITE CONTENT SEO'!$X$5:$X$804,1,'WEBSITE CONTENT SEO'!$J$5:$J$804,"&gt;="&amp;E$7,'WEBSITE CONTENT SEO'!$J$5:$J$804,"&lt;="&amp;E$8,'WEBSITE CONTENT SEO'!$C$5:$C$804,"Case Study")+COUNTIFS('WEBSITE CONTENT SEO'!$X$5:$X$804,1,'WEBSITE CONTENT SEO'!$J$5:$J$804,"&gt;="&amp;E$7,'WEBSITE CONTENT SEO'!$J$5:$J$804,"&lt;="&amp;E$8,'WEBSITE CONTENT SEO'!$C$5:$C$804,"Whitepaper")+COUNTIFS('WEBSITE CONTENT SEO'!$X$5:$X$804,1,'WEBSITE CONTENT SEO'!$J$5:$J$804,"&gt;="&amp;E$7,'WEBSITE CONTENT SEO'!$J$5:$J$804,"&lt;="&amp;E$8,'WEBSITE CONTENT SEO'!$C$5:$C$804,"Content")+COUNTIFS('WEBSITE CONTENT SEO'!$X$5:$X$804,1,'WEBSITE CONTENT SEO'!$J$5:$J$804,"&gt;="&amp;E$7,'WEBSITE CONTENT SEO'!$J$5:$J$804,"&lt;="&amp;E$8,'WEBSITE CONTENT SEO'!$C$5:$C$804,"Video")+COUNTIFS('WEBSITE CONTENT SEO'!$X$5:$X$804,1,'WEBSITE CONTENT SEO'!$J$5:$J$804,"&gt;="&amp;E$7,'WEBSITE CONTENT SEO'!$J$5:$J$804,"&lt;="&amp;E$8,'WEBSITE CONTENT SEO'!$C$5:$C$804,"Webinar")</f>
        <v>0</v>
      </c>
      <c r="F51" s="96">
        <f>COUNTIFS('WEBSITE CONTENT SEO'!$X$5:$X$804,1,'WEBSITE CONTENT SEO'!$J$5:$J$804,"&gt;="&amp;F$7,'WEBSITE CONTENT SEO'!$J$5:$J$804,"&lt;="&amp;F$8,'WEBSITE CONTENT SEO'!$C$5:$C$804,"Blog")+COUNTIFS('WEBSITE CONTENT SEO'!$X$5:$X$804,1,'WEBSITE CONTENT SEO'!$J$5:$J$804,"&gt;="&amp;F$7,'WEBSITE CONTENT SEO'!$J$5:$J$804,"&lt;="&amp;F$8,'WEBSITE CONTENT SEO'!$C$5:$C$804,"Case Study")+COUNTIFS('WEBSITE CONTENT SEO'!$X$5:$X$804,1,'WEBSITE CONTENT SEO'!$J$5:$J$804,"&gt;="&amp;F$7,'WEBSITE CONTENT SEO'!$J$5:$J$804,"&lt;="&amp;F$8,'WEBSITE CONTENT SEO'!$C$5:$C$804,"Whitepaper")+COUNTIFS('WEBSITE CONTENT SEO'!$X$5:$X$804,1,'WEBSITE CONTENT SEO'!$J$5:$J$804,"&gt;="&amp;F$7,'WEBSITE CONTENT SEO'!$J$5:$J$804,"&lt;="&amp;F$8,'WEBSITE CONTENT SEO'!$C$5:$C$804,"Content")+COUNTIFS('WEBSITE CONTENT SEO'!$X$5:$X$804,1,'WEBSITE CONTENT SEO'!$J$5:$J$804,"&gt;="&amp;F$7,'WEBSITE CONTENT SEO'!$J$5:$J$804,"&lt;="&amp;F$8,'WEBSITE CONTENT SEO'!$C$5:$C$804,"Video")+COUNTIFS('WEBSITE CONTENT SEO'!$X$5:$X$804,1,'WEBSITE CONTENT SEO'!$J$5:$J$804,"&gt;="&amp;F$7,'WEBSITE CONTENT SEO'!$J$5:$J$804,"&lt;="&amp;F$8,'WEBSITE CONTENT SEO'!$C$5:$C$804,"Webinar")</f>
        <v>0</v>
      </c>
      <c r="G51" s="96">
        <f>COUNTIFS('WEBSITE CONTENT SEO'!$X$5:$X$804,1,'WEBSITE CONTENT SEO'!$J$5:$J$804,"&gt;="&amp;G$7,'WEBSITE CONTENT SEO'!$J$5:$J$804,"&lt;="&amp;G$8,'WEBSITE CONTENT SEO'!$C$5:$C$804,"Blog")+COUNTIFS('WEBSITE CONTENT SEO'!$X$5:$X$804,1,'WEBSITE CONTENT SEO'!$J$5:$J$804,"&gt;="&amp;G$7,'WEBSITE CONTENT SEO'!$J$5:$J$804,"&lt;="&amp;G$8,'WEBSITE CONTENT SEO'!$C$5:$C$804,"Case Study")+COUNTIFS('WEBSITE CONTENT SEO'!$X$5:$X$804,1,'WEBSITE CONTENT SEO'!$J$5:$J$804,"&gt;="&amp;G$7,'WEBSITE CONTENT SEO'!$J$5:$J$804,"&lt;="&amp;G$8,'WEBSITE CONTENT SEO'!$C$5:$C$804,"Whitepaper")+COUNTIFS('WEBSITE CONTENT SEO'!$X$5:$X$804,1,'WEBSITE CONTENT SEO'!$J$5:$J$804,"&gt;="&amp;G$7,'WEBSITE CONTENT SEO'!$J$5:$J$804,"&lt;="&amp;G$8,'WEBSITE CONTENT SEO'!$C$5:$C$804,"Content")+COUNTIFS('WEBSITE CONTENT SEO'!$X$5:$X$804,1,'WEBSITE CONTENT SEO'!$J$5:$J$804,"&gt;="&amp;G$7,'WEBSITE CONTENT SEO'!$J$5:$J$804,"&lt;="&amp;G$8,'WEBSITE CONTENT SEO'!$C$5:$C$804,"Video")+COUNTIFS('WEBSITE CONTENT SEO'!$X$5:$X$804,1,'WEBSITE CONTENT SEO'!$J$5:$J$804,"&gt;="&amp;G$7,'WEBSITE CONTENT SEO'!$J$5:$J$804,"&lt;="&amp;G$8,'WEBSITE CONTENT SEO'!$C$5:$C$804,"Webinar")</f>
        <v>0</v>
      </c>
      <c r="H51" s="96">
        <f>COUNTIFS('WEBSITE CONTENT SEO'!$X$5:$X$804,1,'WEBSITE CONTENT SEO'!$J$5:$J$804,"&gt;="&amp;H$7,'WEBSITE CONTENT SEO'!$J$5:$J$804,"&lt;="&amp;H$8,'WEBSITE CONTENT SEO'!$C$5:$C$804,"Blog")+COUNTIFS('WEBSITE CONTENT SEO'!$X$5:$X$804,1,'WEBSITE CONTENT SEO'!$J$5:$J$804,"&gt;="&amp;H$7,'WEBSITE CONTENT SEO'!$J$5:$J$804,"&lt;="&amp;H$8,'WEBSITE CONTENT SEO'!$C$5:$C$804,"Case Study")+COUNTIFS('WEBSITE CONTENT SEO'!$X$5:$X$804,1,'WEBSITE CONTENT SEO'!$J$5:$J$804,"&gt;="&amp;H$7,'WEBSITE CONTENT SEO'!$J$5:$J$804,"&lt;="&amp;H$8,'WEBSITE CONTENT SEO'!$C$5:$C$804,"Whitepaper")+COUNTIFS('WEBSITE CONTENT SEO'!$X$5:$X$804,1,'WEBSITE CONTENT SEO'!$J$5:$J$804,"&gt;="&amp;H$7,'WEBSITE CONTENT SEO'!$J$5:$J$804,"&lt;="&amp;H$8,'WEBSITE CONTENT SEO'!$C$5:$C$804,"Content")+COUNTIFS('WEBSITE CONTENT SEO'!$X$5:$X$804,1,'WEBSITE CONTENT SEO'!$J$5:$J$804,"&gt;="&amp;H$7,'WEBSITE CONTENT SEO'!$J$5:$J$804,"&lt;="&amp;H$8,'WEBSITE CONTENT SEO'!$C$5:$C$804,"Video")+COUNTIFS('WEBSITE CONTENT SEO'!$X$5:$X$804,1,'WEBSITE CONTENT SEO'!$J$5:$J$804,"&gt;="&amp;H$7,'WEBSITE CONTENT SEO'!$J$5:$J$804,"&lt;="&amp;H$8,'WEBSITE CONTENT SEO'!$C$5:$C$804,"Webinar")</f>
        <v>0</v>
      </c>
      <c r="I51" s="96">
        <f>COUNTIFS('WEBSITE CONTENT SEO'!$X$5:$X$804,1,'WEBSITE CONTENT SEO'!$J$5:$J$804,"&gt;="&amp;I$7,'WEBSITE CONTENT SEO'!$J$5:$J$804,"&lt;="&amp;I$8,'WEBSITE CONTENT SEO'!$C$5:$C$804,"Blog")+COUNTIFS('WEBSITE CONTENT SEO'!$X$5:$X$804,1,'WEBSITE CONTENT SEO'!$J$5:$J$804,"&gt;="&amp;I$7,'WEBSITE CONTENT SEO'!$J$5:$J$804,"&lt;="&amp;I$8,'WEBSITE CONTENT SEO'!$C$5:$C$804,"Case Study")+COUNTIFS('WEBSITE CONTENT SEO'!$X$5:$X$804,1,'WEBSITE CONTENT SEO'!$J$5:$J$804,"&gt;="&amp;I$7,'WEBSITE CONTENT SEO'!$J$5:$J$804,"&lt;="&amp;I$8,'WEBSITE CONTENT SEO'!$C$5:$C$804,"Whitepaper")+COUNTIFS('WEBSITE CONTENT SEO'!$X$5:$X$804,1,'WEBSITE CONTENT SEO'!$J$5:$J$804,"&gt;="&amp;I$7,'WEBSITE CONTENT SEO'!$J$5:$J$804,"&lt;="&amp;I$8,'WEBSITE CONTENT SEO'!$C$5:$C$804,"Content")+COUNTIFS('WEBSITE CONTENT SEO'!$X$5:$X$804,1,'WEBSITE CONTENT SEO'!$J$5:$J$804,"&gt;="&amp;I$7,'WEBSITE CONTENT SEO'!$J$5:$J$804,"&lt;="&amp;I$8,'WEBSITE CONTENT SEO'!$C$5:$C$804,"Video")+COUNTIFS('WEBSITE CONTENT SEO'!$X$5:$X$804,1,'WEBSITE CONTENT SEO'!$J$5:$J$804,"&gt;="&amp;I$7,'WEBSITE CONTENT SEO'!$J$5:$J$804,"&lt;="&amp;I$8,'WEBSITE CONTENT SEO'!$C$5:$C$804,"Webinar")</f>
        <v>0</v>
      </c>
      <c r="J51" s="96">
        <f>COUNTIFS('WEBSITE CONTENT SEO'!$X$5:$X$804,1,'WEBSITE CONTENT SEO'!$J$5:$J$804,"&gt;="&amp;J$7,'WEBSITE CONTENT SEO'!$J$5:$J$804,"&lt;="&amp;J$8,'WEBSITE CONTENT SEO'!$C$5:$C$804,"Blog")+COUNTIFS('WEBSITE CONTENT SEO'!$X$5:$X$804,1,'WEBSITE CONTENT SEO'!$J$5:$J$804,"&gt;="&amp;J$7,'WEBSITE CONTENT SEO'!$J$5:$J$804,"&lt;="&amp;J$8,'WEBSITE CONTENT SEO'!$C$5:$C$804,"Case Study")+COUNTIFS('WEBSITE CONTENT SEO'!$X$5:$X$804,1,'WEBSITE CONTENT SEO'!$J$5:$J$804,"&gt;="&amp;J$7,'WEBSITE CONTENT SEO'!$J$5:$J$804,"&lt;="&amp;J$8,'WEBSITE CONTENT SEO'!$C$5:$C$804,"Whitepaper")+COUNTIFS('WEBSITE CONTENT SEO'!$X$5:$X$804,1,'WEBSITE CONTENT SEO'!$J$5:$J$804,"&gt;="&amp;J$7,'WEBSITE CONTENT SEO'!$J$5:$J$804,"&lt;="&amp;J$8,'WEBSITE CONTENT SEO'!$C$5:$C$804,"Content")+COUNTIFS('WEBSITE CONTENT SEO'!$X$5:$X$804,1,'WEBSITE CONTENT SEO'!$J$5:$J$804,"&gt;="&amp;J$7,'WEBSITE CONTENT SEO'!$J$5:$J$804,"&lt;="&amp;J$8,'WEBSITE CONTENT SEO'!$C$5:$C$804,"Video")+COUNTIFS('WEBSITE CONTENT SEO'!$X$5:$X$804,1,'WEBSITE CONTENT SEO'!$J$5:$J$804,"&gt;="&amp;J$7,'WEBSITE CONTENT SEO'!$J$5:$J$804,"&lt;="&amp;J$8,'WEBSITE CONTENT SEO'!$C$5:$C$804,"Webinar")</f>
        <v>0</v>
      </c>
      <c r="K51" s="96">
        <f>COUNTIFS('WEBSITE CONTENT SEO'!$X$5:$X$804,1,'WEBSITE CONTENT SEO'!$J$5:$J$804,"&gt;="&amp;K$7,'WEBSITE CONTENT SEO'!$J$5:$J$804,"&lt;="&amp;K$8,'WEBSITE CONTENT SEO'!$C$5:$C$804,"Blog")+COUNTIFS('WEBSITE CONTENT SEO'!$X$5:$X$804,1,'WEBSITE CONTENT SEO'!$J$5:$J$804,"&gt;="&amp;K$7,'WEBSITE CONTENT SEO'!$J$5:$J$804,"&lt;="&amp;K$8,'WEBSITE CONTENT SEO'!$C$5:$C$804,"Case Study")+COUNTIFS('WEBSITE CONTENT SEO'!$X$5:$X$804,1,'WEBSITE CONTENT SEO'!$J$5:$J$804,"&gt;="&amp;K$7,'WEBSITE CONTENT SEO'!$J$5:$J$804,"&lt;="&amp;K$8,'WEBSITE CONTENT SEO'!$C$5:$C$804,"Whitepaper")+COUNTIFS('WEBSITE CONTENT SEO'!$X$5:$X$804,1,'WEBSITE CONTENT SEO'!$J$5:$J$804,"&gt;="&amp;K$7,'WEBSITE CONTENT SEO'!$J$5:$J$804,"&lt;="&amp;K$8,'WEBSITE CONTENT SEO'!$C$5:$C$804,"Content")+COUNTIFS('WEBSITE CONTENT SEO'!$X$5:$X$804,1,'WEBSITE CONTENT SEO'!$J$5:$J$804,"&gt;="&amp;K$7,'WEBSITE CONTENT SEO'!$J$5:$J$804,"&lt;="&amp;K$8,'WEBSITE CONTENT SEO'!$C$5:$C$804,"Video")+COUNTIFS('WEBSITE CONTENT SEO'!$X$5:$X$804,1,'WEBSITE CONTENT SEO'!$J$5:$J$804,"&gt;="&amp;K$7,'WEBSITE CONTENT SEO'!$J$5:$J$804,"&lt;="&amp;K$8,'WEBSITE CONTENT SEO'!$C$5:$C$804,"Webinar")</f>
        <v>0</v>
      </c>
      <c r="L51" s="96">
        <f>COUNTIFS('WEBSITE CONTENT SEO'!$X$5:$X$804,1,'WEBSITE CONTENT SEO'!$J$5:$J$804,"&gt;="&amp;L$7,'WEBSITE CONTENT SEO'!$J$5:$J$804,"&lt;="&amp;L$8,'WEBSITE CONTENT SEO'!$C$5:$C$804,"Blog")+COUNTIFS('WEBSITE CONTENT SEO'!$X$5:$X$804,1,'WEBSITE CONTENT SEO'!$J$5:$J$804,"&gt;="&amp;L$7,'WEBSITE CONTENT SEO'!$J$5:$J$804,"&lt;="&amp;L$8,'WEBSITE CONTENT SEO'!$C$5:$C$804,"Case Study")+COUNTIFS('WEBSITE CONTENT SEO'!$X$5:$X$804,1,'WEBSITE CONTENT SEO'!$J$5:$J$804,"&gt;="&amp;L$7,'WEBSITE CONTENT SEO'!$J$5:$J$804,"&lt;="&amp;L$8,'WEBSITE CONTENT SEO'!$C$5:$C$804,"Whitepaper")+COUNTIFS('WEBSITE CONTENT SEO'!$X$5:$X$804,1,'WEBSITE CONTENT SEO'!$J$5:$J$804,"&gt;="&amp;L$7,'WEBSITE CONTENT SEO'!$J$5:$J$804,"&lt;="&amp;L$8,'WEBSITE CONTENT SEO'!$C$5:$C$804,"Content")+COUNTIFS('WEBSITE CONTENT SEO'!$X$5:$X$804,1,'WEBSITE CONTENT SEO'!$J$5:$J$804,"&gt;="&amp;L$7,'WEBSITE CONTENT SEO'!$J$5:$J$804,"&lt;="&amp;L$8,'WEBSITE CONTENT SEO'!$C$5:$C$804,"Video")+COUNTIFS('WEBSITE CONTENT SEO'!$X$5:$X$804,1,'WEBSITE CONTENT SEO'!$J$5:$J$804,"&gt;="&amp;L$7,'WEBSITE CONTENT SEO'!$J$5:$J$804,"&lt;="&amp;L$8,'WEBSITE CONTENT SEO'!$C$5:$C$804,"Webinar")</f>
        <v>0</v>
      </c>
      <c r="M51" s="96">
        <f>COUNTIFS('WEBSITE CONTENT SEO'!$X$5:$X$804,1,'WEBSITE CONTENT SEO'!$J$5:$J$804,"&gt;="&amp;M$7,'WEBSITE CONTENT SEO'!$J$5:$J$804,"&lt;="&amp;M$8,'WEBSITE CONTENT SEO'!$C$5:$C$804,"Blog")+COUNTIFS('WEBSITE CONTENT SEO'!$X$5:$X$804,1,'WEBSITE CONTENT SEO'!$J$5:$J$804,"&gt;="&amp;M$7,'WEBSITE CONTENT SEO'!$J$5:$J$804,"&lt;="&amp;M$8,'WEBSITE CONTENT SEO'!$C$5:$C$804,"Case Study")+COUNTIFS('WEBSITE CONTENT SEO'!$X$5:$X$804,1,'WEBSITE CONTENT SEO'!$J$5:$J$804,"&gt;="&amp;M$7,'WEBSITE CONTENT SEO'!$J$5:$J$804,"&lt;="&amp;M$8,'WEBSITE CONTENT SEO'!$C$5:$C$804,"Whitepaper")+COUNTIFS('WEBSITE CONTENT SEO'!$X$5:$X$804,1,'WEBSITE CONTENT SEO'!$J$5:$J$804,"&gt;="&amp;M$7,'WEBSITE CONTENT SEO'!$J$5:$J$804,"&lt;="&amp;M$8,'WEBSITE CONTENT SEO'!$C$5:$C$804,"Content")+COUNTIFS('WEBSITE CONTENT SEO'!$X$5:$X$804,1,'WEBSITE CONTENT SEO'!$J$5:$J$804,"&gt;="&amp;M$7,'WEBSITE CONTENT SEO'!$J$5:$J$804,"&lt;="&amp;M$8,'WEBSITE CONTENT SEO'!$C$5:$C$804,"Video")+COUNTIFS('WEBSITE CONTENT SEO'!$X$5:$X$804,1,'WEBSITE CONTENT SEO'!$J$5:$J$804,"&gt;="&amp;M$7,'WEBSITE CONTENT SEO'!$J$5:$J$804,"&lt;="&amp;M$8,'WEBSITE CONTENT SEO'!$C$5:$C$804,"Webinar")</f>
        <v>0</v>
      </c>
    </row>
    <row r="52" ht="20" customHeight="1">
      <c r="A52" s="114" t="inlineStr">
        <is>
          <t>MONTH-OVER-MONTH CHANGE (vs previous month; '–' if no prior data)</t>
        </is>
      </c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</row>
    <row r="53">
      <c r="A53" s="44" t="inlineStr">
        <is>
          <t>Leads - MoM %</t>
        </is>
      </c>
      <c r="B53" s="116" t="str">
        <f>"–"</f>
        <v>–</v>
      </c>
      <c r="C53" s="116" t="str">
        <f>IF(AND(ISNUMBER(C18),ISNUMBER(B18)),IF(B18&gt;0,C18/B18-1,"–"),"–")</f>
        <v>–</v>
      </c>
      <c r="D53" s="116" t="str">
        <f>IF(AND(ISNUMBER(D18),ISNUMBER(C18)),IF(C18&gt;0,D18/C18-1,"–"),"–")</f>
        <v>–</v>
      </c>
      <c r="E53" s="116" t="str">
        <f>IF(AND(ISNUMBER(E18),ISNUMBER(D18)),IF(D18&gt;0,E18/D18-1,"–"),"–")</f>
        <v>–</v>
      </c>
      <c r="F53" s="116" t="str">
        <f>IF(AND(ISNUMBER(F18),ISNUMBER(E18)),IF(E18&gt;0,F18/E18-1,"–"),"–")</f>
        <v>–</v>
      </c>
      <c r="G53" s="116" t="str">
        <f>IF(AND(ISNUMBER(G18),ISNUMBER(F18)),IF(F18&gt;0,G18/F18-1,"–"),"–")</f>
        <v>–</v>
      </c>
      <c r="H53" s="116" t="str">
        <f>IF(AND(ISNUMBER(H18),ISNUMBER(G18)),IF(G18&gt;0,H18/G18-1,"–"),"–")</f>
        <v>–</v>
      </c>
      <c r="I53" s="116" t="str">
        <f>IF(AND(ISNUMBER(I18),ISNUMBER(H18)),IF(H18&gt;0,I18/H18-1,"–"),"–")</f>
        <v>–</v>
      </c>
      <c r="J53" s="116" t="str">
        <f>IF(AND(ISNUMBER(J18),ISNUMBER(I18)),IF(I18&gt;0,J18/I18-1,"–"),"–")</f>
        <v>–</v>
      </c>
      <c r="K53" s="116" t="str">
        <f>IF(AND(ISNUMBER(K18),ISNUMBER(J18)),IF(J18&gt;0,K18/J18-1,"–"),"–")</f>
        <v>–</v>
      </c>
      <c r="L53" s="116" t="str">
        <f>IF(AND(ISNUMBER(L18),ISNUMBER(K18)),IF(K18&gt;0,L18/K18-1,"–"),"–")</f>
        <v>–</v>
      </c>
      <c r="M53" s="116" t="str">
        <f>IF(AND(ISNUMBER(M18),ISNUMBER(L18)),IF(L18&gt;0,M18/L18-1,"–"),"–")</f>
        <v>–</v>
      </c>
    </row>
    <row r="54">
      <c r="A54" s="44" t="inlineStr">
        <is>
          <t>MQLs - MoM %</t>
        </is>
      </c>
      <c r="B54" s="116" t="str">
        <f>"–"</f>
        <v>–</v>
      </c>
      <c r="C54" s="116" t="str">
        <f>IF(AND(ISNUMBER(C19),ISNUMBER(B19)),IF(B19&gt;0,C19/B19-1,"–"),"–")</f>
        <v>–</v>
      </c>
      <c r="D54" s="116" t="str">
        <f>IF(AND(ISNUMBER(D19),ISNUMBER(C19)),IF(C19&gt;0,D19/C19-1,"–"),"–")</f>
        <v>–</v>
      </c>
      <c r="E54" s="116" t="str">
        <f>IF(AND(ISNUMBER(E19),ISNUMBER(D19)),IF(D19&gt;0,E19/D19-1,"–"),"–")</f>
        <v>–</v>
      </c>
      <c r="F54" s="116" t="str">
        <f>IF(AND(ISNUMBER(F19),ISNUMBER(E19)),IF(E19&gt;0,F19/E19-1,"–"),"–")</f>
        <v>–</v>
      </c>
      <c r="G54" s="116" t="str">
        <f>IF(AND(ISNUMBER(G19),ISNUMBER(F19)),IF(F19&gt;0,G19/F19-1,"–"),"–")</f>
        <v>–</v>
      </c>
      <c r="H54" s="116" t="str">
        <f>IF(AND(ISNUMBER(H19),ISNUMBER(G19)),IF(G19&gt;0,H19/G19-1,"–"),"–")</f>
        <v>–</v>
      </c>
      <c r="I54" s="116" t="str">
        <f>IF(AND(ISNUMBER(I19),ISNUMBER(H19)),IF(H19&gt;0,I19/H19-1,"–"),"–")</f>
        <v>–</v>
      </c>
      <c r="J54" s="116" t="str">
        <f>IF(AND(ISNUMBER(J19),ISNUMBER(I19)),IF(I19&gt;0,J19/I19-1,"–"),"–")</f>
        <v>–</v>
      </c>
      <c r="K54" s="116" t="str">
        <f>IF(AND(ISNUMBER(K19),ISNUMBER(J19)),IF(J19&gt;0,K19/J19-1,"–"),"–")</f>
        <v>–</v>
      </c>
      <c r="L54" s="116" t="str">
        <f>IF(AND(ISNUMBER(L19),ISNUMBER(K19)),IF(K19&gt;0,L19/K19-1,"–"),"–")</f>
        <v>–</v>
      </c>
      <c r="M54" s="116" t="str">
        <f>IF(AND(ISNUMBER(M19),ISNUMBER(L19)),IF(L19&gt;0,M19/L19-1,"–"),"–")</f>
        <v>–</v>
      </c>
    </row>
    <row r="55">
      <c r="A55" s="44" t="inlineStr">
        <is>
          <t>SQLs - MoM %</t>
        </is>
      </c>
      <c r="B55" s="116" t="str">
        <f>"–"</f>
        <v>–</v>
      </c>
      <c r="C55" s="116" t="str">
        <f>IF(AND(ISNUMBER(C20),ISNUMBER(B20)),IF(B20&gt;0,C20/B20-1,"–"),"–")</f>
        <v>–</v>
      </c>
      <c r="D55" s="116" t="str">
        <f>IF(AND(ISNUMBER(D20),ISNUMBER(C20)),IF(C20&gt;0,D20/C20-1,"–"),"–")</f>
        <v>–</v>
      </c>
      <c r="E55" s="116" t="str">
        <f>IF(AND(ISNUMBER(E20),ISNUMBER(D20)),IF(D20&gt;0,E20/D20-1,"–"),"–")</f>
        <v>–</v>
      </c>
      <c r="F55" s="116" t="str">
        <f>IF(AND(ISNUMBER(F20),ISNUMBER(E20)),IF(E20&gt;0,F20/E20-1,"–"),"–")</f>
        <v>–</v>
      </c>
      <c r="G55" s="116" t="str">
        <f>IF(AND(ISNUMBER(G20),ISNUMBER(F20)),IF(F20&gt;0,G20/F20-1,"–"),"–")</f>
        <v>–</v>
      </c>
      <c r="H55" s="116" t="str">
        <f>IF(AND(ISNUMBER(H20),ISNUMBER(G20)),IF(G20&gt;0,H20/G20-1,"–"),"–")</f>
        <v>–</v>
      </c>
      <c r="I55" s="116" t="str">
        <f>IF(AND(ISNUMBER(I20),ISNUMBER(H20)),IF(H20&gt;0,I20/H20-1,"–"),"–")</f>
        <v>–</v>
      </c>
      <c r="J55" s="116" t="str">
        <f>IF(AND(ISNUMBER(J20),ISNUMBER(I20)),IF(I20&gt;0,J20/I20-1,"–"),"–")</f>
        <v>–</v>
      </c>
      <c r="K55" s="116" t="str">
        <f>IF(AND(ISNUMBER(K20),ISNUMBER(J20)),IF(J20&gt;0,K20/J20-1,"–"),"–")</f>
        <v>–</v>
      </c>
      <c r="L55" s="116" t="str">
        <f>IF(AND(ISNUMBER(L20),ISNUMBER(K20)),IF(K20&gt;0,L20/K20-1,"–"),"–")</f>
        <v>–</v>
      </c>
      <c r="M55" s="116" t="str">
        <f>IF(AND(ISNUMBER(M20),ISNUMBER(L20)),IF(L20&gt;0,M20/L20-1,"–"),"–")</f>
        <v>–</v>
      </c>
    </row>
    <row r="56">
      <c r="A56" s="44" t="inlineStr">
        <is>
          <t>Digital handraisers - MoM %</t>
        </is>
      </c>
      <c r="B56" s="116" t="str">
        <f>"–"</f>
        <v>–</v>
      </c>
      <c r="C56" s="116" t="str">
        <f>IF(AND(ISNUMBER(C17),ISNUMBER(B17)),IF(B17&gt;0,C17/B17-1,"–"),"–")</f>
        <v>–</v>
      </c>
      <c r="D56" s="116" t="str">
        <f>IF(AND(ISNUMBER(D17),ISNUMBER(C17)),IF(C17&gt;0,D17/C17-1,"–"),"–")</f>
        <v>–</v>
      </c>
      <c r="E56" s="116" t="str">
        <f>IF(AND(ISNUMBER(E17),ISNUMBER(D17)),IF(D17&gt;0,E17/D17-1,"–"),"–")</f>
        <v>–</v>
      </c>
      <c r="F56" s="116" t="str">
        <f>IF(AND(ISNUMBER(F17),ISNUMBER(E17)),IF(E17&gt;0,F17/E17-1,"–"),"–")</f>
        <v>–</v>
      </c>
      <c r="G56" s="116" t="str">
        <f>IF(AND(ISNUMBER(G17),ISNUMBER(F17)),IF(F17&gt;0,G17/F17-1,"–"),"–")</f>
        <v>–</v>
      </c>
      <c r="H56" s="116" t="str">
        <f>IF(AND(ISNUMBER(H17),ISNUMBER(G17)),IF(G17&gt;0,H17/G17-1,"–"),"–")</f>
        <v>–</v>
      </c>
      <c r="I56" s="116" t="str">
        <f>IF(AND(ISNUMBER(I17),ISNUMBER(H17)),IF(H17&gt;0,I17/H17-1,"–"),"–")</f>
        <v>–</v>
      </c>
      <c r="J56" s="116" t="str">
        <f>IF(AND(ISNUMBER(J17),ISNUMBER(I17)),IF(I17&gt;0,J17/I17-1,"–"),"–")</f>
        <v>–</v>
      </c>
      <c r="K56" s="116" t="str">
        <f>IF(AND(ISNUMBER(K17),ISNUMBER(J17)),IF(J17&gt;0,K17/J17-1,"–"),"–")</f>
        <v>–</v>
      </c>
      <c r="L56" s="116" t="str">
        <f>IF(AND(ISNUMBER(L17),ISNUMBER(K17)),IF(K17&gt;0,L17/K17-1,"–"),"–")</f>
        <v>–</v>
      </c>
      <c r="M56" s="116" t="str">
        <f>IF(AND(ISNUMBER(M17),ISNUMBER(L17)),IF(L17&gt;0,M17/L17-1,"–"),"–")</f>
        <v>–</v>
      </c>
    </row>
    <row r="57">
      <c r="A57" s="44" t="inlineStr">
        <is>
          <t>Campaigns launched - MoM %</t>
        </is>
      </c>
      <c r="B57" s="116" t="str">
        <f>"–"</f>
        <v>–</v>
      </c>
      <c r="C57" s="116" t="str">
        <f>IF(AND(ISNUMBER(C25),ISNUMBER(B25)),IF(B25&gt;0,C25/B25-1,"–"),"–")</f>
        <v>–</v>
      </c>
      <c r="D57" s="116" t="str">
        <f>IF(AND(ISNUMBER(D25),ISNUMBER(C25)),IF(C25&gt;0,D25/C25-1,"–"),"–")</f>
        <v>–</v>
      </c>
      <c r="E57" s="116" t="str">
        <f>IF(AND(ISNUMBER(E25),ISNUMBER(D25)),IF(D25&gt;0,E25/D25-1,"–"),"–")</f>
        <v>–</v>
      </c>
      <c r="F57" s="116" t="str">
        <f>IF(AND(ISNUMBER(F25),ISNUMBER(E25)),IF(E25&gt;0,F25/E25-1,"–"),"–")</f>
        <v>–</v>
      </c>
      <c r="G57" s="116" t="str">
        <f>IF(AND(ISNUMBER(G25),ISNUMBER(F25)),IF(F25&gt;0,G25/F25-1,"–"),"–")</f>
        <v>–</v>
      </c>
      <c r="H57" s="116" t="str">
        <f>IF(AND(ISNUMBER(H25),ISNUMBER(G25)),IF(G25&gt;0,H25/G25-1,"–"),"–")</f>
        <v>–</v>
      </c>
      <c r="I57" s="116" t="str">
        <f>IF(AND(ISNUMBER(I25),ISNUMBER(H25)),IF(H25&gt;0,I25/H25-1,"–"),"–")</f>
        <v>–</v>
      </c>
      <c r="J57" s="116" t="str">
        <f>IF(AND(ISNUMBER(J25),ISNUMBER(I25)),IF(I25&gt;0,J25/I25-1,"–"),"–")</f>
        <v>–</v>
      </c>
      <c r="K57" s="116" t="str">
        <f>IF(AND(ISNUMBER(K25),ISNUMBER(J25)),IF(J25&gt;0,K25/J25-1,"–"),"–")</f>
        <v>–</v>
      </c>
      <c r="L57" s="116" t="str">
        <f>IF(AND(ISNUMBER(L25),ISNUMBER(K25)),IF(K25&gt;0,L25/K25-1,"–"),"–")</f>
        <v>–</v>
      </c>
      <c r="M57" s="116" t="str">
        <f>IF(AND(ISNUMBER(M25),ISNUMBER(L25)),IF(L25&gt;0,M25/L25-1,"–"),"–")</f>
        <v>–</v>
      </c>
    </row>
    <row r="58">
      <c r="A58" s="44" t="inlineStr">
        <is>
          <t>Emails sent - MoM %</t>
        </is>
      </c>
      <c r="B58" s="116" t="str">
        <f>"–"</f>
        <v>–</v>
      </c>
      <c r="C58" s="116" t="str">
        <f>IF(AND(ISNUMBER(C30),ISNUMBER(B30)),IF(B30&gt;0,C30/B30-1,"–"),"–")</f>
        <v>–</v>
      </c>
      <c r="D58" s="116" t="str">
        <f>IF(AND(ISNUMBER(D30),ISNUMBER(C30)),IF(C30&gt;0,D30/C30-1,"–"),"–")</f>
        <v>–</v>
      </c>
      <c r="E58" s="116" t="str">
        <f>IF(AND(ISNUMBER(E30),ISNUMBER(D30)),IF(D30&gt;0,E30/D30-1,"–"),"–")</f>
        <v>–</v>
      </c>
      <c r="F58" s="116" t="str">
        <f>IF(AND(ISNUMBER(F30),ISNUMBER(E30)),IF(E30&gt;0,F30/E30-1,"–"),"–")</f>
        <v>–</v>
      </c>
      <c r="G58" s="116" t="str">
        <f>IF(AND(ISNUMBER(G30),ISNUMBER(F30)),IF(F30&gt;0,G30/F30-1,"–"),"–")</f>
        <v>–</v>
      </c>
      <c r="H58" s="116" t="str">
        <f>IF(AND(ISNUMBER(H30),ISNUMBER(G30)),IF(G30&gt;0,H30/G30-1,"–"),"–")</f>
        <v>–</v>
      </c>
      <c r="I58" s="116" t="str">
        <f>IF(AND(ISNUMBER(I30),ISNUMBER(H30)),IF(H30&gt;0,I30/H30-1,"–"),"–")</f>
        <v>–</v>
      </c>
      <c r="J58" s="116" t="str">
        <f>IF(AND(ISNUMBER(J30),ISNUMBER(I30)),IF(I30&gt;0,J30/I30-1,"–"),"–")</f>
        <v>–</v>
      </c>
      <c r="K58" s="116" t="str">
        <f>IF(AND(ISNUMBER(K30),ISNUMBER(J30)),IF(J30&gt;0,K30/J30-1,"–"),"–")</f>
        <v>–</v>
      </c>
      <c r="L58" s="116" t="str">
        <f>IF(AND(ISNUMBER(L30),ISNUMBER(K30)),IF(K30&gt;0,L30/K30-1,"–"),"–")</f>
        <v>–</v>
      </c>
      <c r="M58" s="116" t="str">
        <f>IF(AND(ISNUMBER(M30),ISNUMBER(L30)),IF(L30&gt;0,M30/L30-1,"–"),"–")</f>
        <v>–</v>
      </c>
    </row>
    <row r="59">
      <c r="A59" s="44" t="inlineStr">
        <is>
          <t>Ad spend - MoM %</t>
        </is>
      </c>
      <c r="B59" s="116" t="str">
        <f>"–"</f>
        <v>–</v>
      </c>
      <c r="C59" s="116" t="str">
        <f>IF(AND(ISNUMBER(C42),ISNUMBER(B42)),IF(B42&gt;0,C42/B42-1,"–"),"–")</f>
        <v>–</v>
      </c>
      <c r="D59" s="116" t="str">
        <f>IF(AND(ISNUMBER(D42),ISNUMBER(C42)),IF(C42&gt;0,D42/C42-1,"–"),"–")</f>
        <v>–</v>
      </c>
      <c r="E59" s="116" t="str">
        <f>IF(AND(ISNUMBER(E42),ISNUMBER(D42)),IF(D42&gt;0,E42/D42-1,"–"),"–")</f>
        <v>–</v>
      </c>
      <c r="F59" s="116" t="str">
        <f>IF(AND(ISNUMBER(F42),ISNUMBER(E42)),IF(E42&gt;0,F42/E42-1,"–"),"–")</f>
        <v>–</v>
      </c>
      <c r="G59" s="116" t="str">
        <f>IF(AND(ISNUMBER(G42),ISNUMBER(F42)),IF(F42&gt;0,G42/F42-1,"–"),"–")</f>
        <v>–</v>
      </c>
      <c r="H59" s="116" t="str">
        <f>IF(AND(ISNUMBER(H42),ISNUMBER(G42)),IF(G42&gt;0,H42/G42-1,"–"),"–")</f>
        <v>–</v>
      </c>
      <c r="I59" s="116" t="str">
        <f>IF(AND(ISNUMBER(I42),ISNUMBER(H42)),IF(H42&gt;0,I42/H42-1,"–"),"–")</f>
        <v>–</v>
      </c>
      <c r="J59" s="116" t="str">
        <f>IF(AND(ISNUMBER(J42),ISNUMBER(I42)),IF(I42&gt;0,J42/I42-1,"–"),"–")</f>
        <v>–</v>
      </c>
      <c r="K59" s="116" t="str">
        <f>IF(AND(ISNUMBER(K42),ISNUMBER(J42)),IF(J42&gt;0,K42/J42-1,"–"),"–")</f>
        <v>–</v>
      </c>
      <c r="L59" s="116" t="str">
        <f>IF(AND(ISNUMBER(L42),ISNUMBER(K42)),IF(K42&gt;0,L42/K42-1,"–"),"–")</f>
        <v>–</v>
      </c>
      <c r="M59" s="116" t="str">
        <f>IF(AND(ISNUMBER(M42),ISNUMBER(L42)),IF(L42&gt;0,M42/L42-1,"–"),"–")</f>
        <v>–</v>
      </c>
    </row>
    <row r="60">
      <c r="A60" s="44" t="inlineStr">
        <is>
          <t>Paid leads - MoM %</t>
        </is>
      </c>
      <c r="B60" s="116" t="str">
        <f>"–"</f>
        <v>–</v>
      </c>
      <c r="C60" s="116" t="str">
        <f>IF(AND(ISNUMBER(C45),ISNUMBER(B45)),IF(B45&gt;0,C45/B45-1,"–"),"–")</f>
        <v>–</v>
      </c>
      <c r="D60" s="116" t="str">
        <f>IF(AND(ISNUMBER(D45),ISNUMBER(C45)),IF(C45&gt;0,D45/C45-1,"–"),"–")</f>
        <v>–</v>
      </c>
      <c r="E60" s="116" t="str">
        <f>IF(AND(ISNUMBER(E45),ISNUMBER(D45)),IF(D45&gt;0,E45/D45-1,"–"),"–")</f>
        <v>–</v>
      </c>
      <c r="F60" s="116" t="str">
        <f>IF(AND(ISNUMBER(F45),ISNUMBER(E45)),IF(E45&gt;0,F45/E45-1,"–"),"–")</f>
        <v>–</v>
      </c>
      <c r="G60" s="116" t="str">
        <f>IF(AND(ISNUMBER(G45),ISNUMBER(F45)),IF(F45&gt;0,G45/F45-1,"–"),"–")</f>
        <v>–</v>
      </c>
      <c r="H60" s="116" t="str">
        <f>IF(AND(ISNUMBER(H45),ISNUMBER(G45)),IF(G45&gt;0,H45/G45-1,"–"),"–")</f>
        <v>–</v>
      </c>
      <c r="I60" s="116" t="str">
        <f>IF(AND(ISNUMBER(I45),ISNUMBER(H45)),IF(H45&gt;0,I45/H45-1,"–"),"–")</f>
        <v>–</v>
      </c>
      <c r="J60" s="116" t="str">
        <f>IF(AND(ISNUMBER(J45),ISNUMBER(I45)),IF(I45&gt;0,J45/I45-1,"–"),"–")</f>
        <v>–</v>
      </c>
      <c r="K60" s="116" t="str">
        <f>IF(AND(ISNUMBER(K45),ISNUMBER(J45)),IF(J45&gt;0,K45/J45-1,"–"),"–")</f>
        <v>–</v>
      </c>
      <c r="L60" s="116" t="str">
        <f>IF(AND(ISNUMBER(L45),ISNUMBER(K45)),IF(K45&gt;0,L45/K45-1,"–"),"–")</f>
        <v>–</v>
      </c>
      <c r="M60" s="116" t="str">
        <f>IF(AND(ISNUMBER(M45),ISNUMBER(L45)),IF(L45&gt;0,M45/L45-1,"–"),"–")</f>
        <v>–</v>
      </c>
    </row>
    <row r="61">
      <c r="A61" s="44" t="inlineStr">
        <is>
          <t>Tasks completed - MoM %</t>
        </is>
      </c>
      <c r="B61" s="116" t="str">
        <f>"–"</f>
        <v>–</v>
      </c>
      <c r="C61" s="116" t="str">
        <f>IF(AND(ISNUMBER(C12),ISNUMBER(B12)),IF(B12&gt;0,C12/B12-1,"–"),"–")</f>
        <v>–</v>
      </c>
      <c r="D61" s="116" t="str">
        <f>IF(AND(ISNUMBER(D12),ISNUMBER(C12)),IF(C12&gt;0,D12/C12-1,"–"),"–")</f>
        <v>–</v>
      </c>
      <c r="E61" s="116" t="str">
        <f>IF(AND(ISNUMBER(E12),ISNUMBER(D12)),IF(D12&gt;0,E12/D12-1,"–"),"–")</f>
        <v>–</v>
      </c>
      <c r="F61" s="116" t="str">
        <f>IF(AND(ISNUMBER(F12),ISNUMBER(E12)),IF(E12&gt;0,F12/E12-1,"–"),"–")</f>
        <v>–</v>
      </c>
      <c r="G61" s="116" t="str">
        <f>IF(AND(ISNUMBER(G12),ISNUMBER(F12)),IF(F12&gt;0,G12/F12-1,"–"),"–")</f>
        <v>–</v>
      </c>
      <c r="H61" s="116" t="str">
        <f>IF(AND(ISNUMBER(H12),ISNUMBER(G12)),IF(G12&gt;0,H12/G12-1,"–"),"–")</f>
        <v>–</v>
      </c>
      <c r="I61" s="116" t="str">
        <f>IF(AND(ISNUMBER(I12),ISNUMBER(H12)),IF(H12&gt;0,I12/H12-1,"–"),"–")</f>
        <v>–</v>
      </c>
      <c r="J61" s="116" t="str">
        <f>IF(AND(ISNUMBER(J12),ISNUMBER(I12)),IF(I12&gt;0,J12/I12-1,"–"),"–")</f>
        <v>–</v>
      </c>
      <c r="K61" s="116" t="str">
        <f>IF(AND(ISNUMBER(K12),ISNUMBER(J12)),IF(J12&gt;0,K12/J12-1,"–"),"–")</f>
        <v>–</v>
      </c>
      <c r="L61" s="116" t="str">
        <f>IF(AND(ISNUMBER(L12),ISNUMBER(K12)),IF(K12&gt;0,L12/K12-1,"–"),"–")</f>
        <v>–</v>
      </c>
      <c r="M61" s="116" t="str">
        <f>IF(AND(ISNUMBER(M12),ISNUMBER(L12)),IF(L12&gt;0,M12/L12-1,"–"),"–")</f>
        <v>–</v>
      </c>
    </row>
    <row r="63" ht="20" customHeight="1">
      <c r="A63" s="37" t="inlineStr">
        <is>
          <t>CLIENT PERFORMANCE - LEADS BY MONTH (all channels; ignores dashboard filters)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</row>
    <row r="64">
      <c r="A64" s="87" t="inlineStr">
        <is>
          <t>Client</t>
        </is>
      </c>
      <c r="B64" s="87" t="str">
        <f>B$6</f>
        <v>Jan 26</v>
      </c>
      <c r="C64" s="87" t="str">
        <f>C$6</f>
        <v>Feb 26</v>
      </c>
      <c r="D64" s="87" t="str">
        <f>D$6</f>
        <v>Mar 26</v>
      </c>
      <c r="E64" s="87" t="str">
        <f>E$6</f>
        <v>Apr 26</v>
      </c>
      <c r="F64" s="87" t="str">
        <f>F$6</f>
        <v>May 26</v>
      </c>
      <c r="G64" s="87" t="str">
        <f>G$6</f>
        <v>Jun 26</v>
      </c>
      <c r="H64" s="87" t="str">
        <f>H$6</f>
        <v>Jul 26</v>
      </c>
      <c r="I64" s="87" t="str">
        <f>I$6</f>
        <v>Aug 26</v>
      </c>
      <c r="J64" s="87" t="str">
        <f>J$6</f>
        <v>Sep 26</v>
      </c>
      <c r="K64" s="87" t="str">
        <f>K$6</f>
        <v>Oct 26</v>
      </c>
      <c r="L64" s="87" t="str">
        <f>L$6</f>
        <v>Nov 26</v>
      </c>
      <c r="M64" s="87" t="str">
        <f>M$6</f>
        <v>Dec 26</v>
      </c>
    </row>
    <row r="65">
      <c r="A65" s="117" t="str">
        <f>IF('CLIENT MASTER'!A5="","",'CLIENT MASTER'!A5)</f>
        <v>Chola MS</v>
      </c>
      <c r="B65" s="89">
        <f>IF($A65="","",COUNTIFS('LEAD MQL TRACKER'!$B$5:$B$1004,$A65,'LEAD MQL TRACKER'!$AB$5:$AB$1004,1,'LEAD MQL TRACKER'!$Z$5:$Z$1004,"&gt;="&amp;B$7,'LEAD MQL TRACKER'!$Z$5:$Z$1004,"&lt;="&amp;B$8)+SUMIFS('EMAIL MARKETING'!$Q$5:$Q$804,'EMAIL MARKETING'!$B$5:$B$804,$A65,'EMAIL MARKETING'!$A$5:$A$804,"&gt;="&amp;B$7,'EMAIL MARKETING'!$A$5:$A$804,"&lt;="&amp;B$8)+SUMIFS('PAID MEDIA ADS'!$M$5:$M$804,'PAID MEDIA ADS'!$B$5:$B$804,$A65,'PAID MEDIA ADS'!$A$5:$A$804,"&gt;="&amp;B$7,'PAID MEDIA ADS'!$A$5:$A$804,"&lt;="&amp;B$8)+SUMIFS('LINKEDIN OUTREACH'!$N$5:$N$704,'LINKEDIN OUTREACH'!$B$5:$B$704,$A65,'LINKEDIN OUTREACH'!$A$5:$A$704,"&gt;="&amp;B$7,'LINKEDIN OUTREACH'!$A$5:$A$704,"&lt;="&amp;B$8)+SUMIFS('WEBSITE CONTENT SEO'!$L$5:$L$804,'WEBSITE CONTENT SEO'!$B$5:$B$804,$A65,'WEBSITE CONTENT SEO'!$A$5:$A$804,"&gt;="&amp;B$7,'WEBSITE CONTENT SEO'!$A$5:$A$804,"&lt;="&amp;B$8))</f>
        <v>0</v>
      </c>
      <c r="C65" s="89">
        <f>IF($A65="","",COUNTIFS('LEAD MQL TRACKER'!$B$5:$B$1004,$A65,'LEAD MQL TRACKER'!$AB$5:$AB$1004,1,'LEAD MQL TRACKER'!$Z$5:$Z$1004,"&gt;="&amp;C$7,'LEAD MQL TRACKER'!$Z$5:$Z$1004,"&lt;="&amp;C$8)+SUMIFS('EMAIL MARKETING'!$Q$5:$Q$804,'EMAIL MARKETING'!$B$5:$B$804,$A65,'EMAIL MARKETING'!$A$5:$A$804,"&gt;="&amp;C$7,'EMAIL MARKETING'!$A$5:$A$804,"&lt;="&amp;C$8)+SUMIFS('PAID MEDIA ADS'!$M$5:$M$804,'PAID MEDIA ADS'!$B$5:$B$804,$A65,'PAID MEDIA ADS'!$A$5:$A$804,"&gt;="&amp;C$7,'PAID MEDIA ADS'!$A$5:$A$804,"&lt;="&amp;C$8)+SUMIFS('LINKEDIN OUTREACH'!$N$5:$N$704,'LINKEDIN OUTREACH'!$B$5:$B$704,$A65,'LINKEDIN OUTREACH'!$A$5:$A$704,"&gt;="&amp;C$7,'LINKEDIN OUTREACH'!$A$5:$A$704,"&lt;="&amp;C$8)+SUMIFS('WEBSITE CONTENT SEO'!$L$5:$L$804,'WEBSITE CONTENT SEO'!$B$5:$B$804,$A65,'WEBSITE CONTENT SEO'!$A$5:$A$804,"&gt;="&amp;C$7,'WEBSITE CONTENT SEO'!$A$5:$A$804,"&lt;="&amp;C$8))</f>
        <v>0</v>
      </c>
      <c r="D65" s="89">
        <f>IF($A65="","",COUNTIFS('LEAD MQL TRACKER'!$B$5:$B$1004,$A65,'LEAD MQL TRACKER'!$AB$5:$AB$1004,1,'LEAD MQL TRACKER'!$Z$5:$Z$1004,"&gt;="&amp;D$7,'LEAD MQL TRACKER'!$Z$5:$Z$1004,"&lt;="&amp;D$8)+SUMIFS('EMAIL MARKETING'!$Q$5:$Q$804,'EMAIL MARKETING'!$B$5:$B$804,$A65,'EMAIL MARKETING'!$A$5:$A$804,"&gt;="&amp;D$7,'EMAIL MARKETING'!$A$5:$A$804,"&lt;="&amp;D$8)+SUMIFS('PAID MEDIA ADS'!$M$5:$M$804,'PAID MEDIA ADS'!$B$5:$B$804,$A65,'PAID MEDIA ADS'!$A$5:$A$804,"&gt;="&amp;D$7,'PAID MEDIA ADS'!$A$5:$A$804,"&lt;="&amp;D$8)+SUMIFS('LINKEDIN OUTREACH'!$N$5:$N$704,'LINKEDIN OUTREACH'!$B$5:$B$704,$A65,'LINKEDIN OUTREACH'!$A$5:$A$704,"&gt;="&amp;D$7,'LINKEDIN OUTREACH'!$A$5:$A$704,"&lt;="&amp;D$8)+SUMIFS('WEBSITE CONTENT SEO'!$L$5:$L$804,'WEBSITE CONTENT SEO'!$B$5:$B$804,$A65,'WEBSITE CONTENT SEO'!$A$5:$A$804,"&gt;="&amp;D$7,'WEBSITE CONTENT SEO'!$A$5:$A$804,"&lt;="&amp;D$8))</f>
        <v>0</v>
      </c>
      <c r="E65" s="89">
        <f>IF($A65="","",COUNTIFS('LEAD MQL TRACKER'!$B$5:$B$1004,$A65,'LEAD MQL TRACKER'!$AB$5:$AB$1004,1,'LEAD MQL TRACKER'!$Z$5:$Z$1004,"&gt;="&amp;E$7,'LEAD MQL TRACKER'!$Z$5:$Z$1004,"&lt;="&amp;E$8)+SUMIFS('EMAIL MARKETING'!$Q$5:$Q$804,'EMAIL MARKETING'!$B$5:$B$804,$A65,'EMAIL MARKETING'!$A$5:$A$804,"&gt;="&amp;E$7,'EMAIL MARKETING'!$A$5:$A$804,"&lt;="&amp;E$8)+SUMIFS('PAID MEDIA ADS'!$M$5:$M$804,'PAID MEDIA ADS'!$B$5:$B$804,$A65,'PAID MEDIA ADS'!$A$5:$A$804,"&gt;="&amp;E$7,'PAID MEDIA ADS'!$A$5:$A$804,"&lt;="&amp;E$8)+SUMIFS('LINKEDIN OUTREACH'!$N$5:$N$704,'LINKEDIN OUTREACH'!$B$5:$B$704,$A65,'LINKEDIN OUTREACH'!$A$5:$A$704,"&gt;="&amp;E$7,'LINKEDIN OUTREACH'!$A$5:$A$704,"&lt;="&amp;E$8)+SUMIFS('WEBSITE CONTENT SEO'!$L$5:$L$804,'WEBSITE CONTENT SEO'!$B$5:$B$804,$A65,'WEBSITE CONTENT SEO'!$A$5:$A$804,"&gt;="&amp;E$7,'WEBSITE CONTENT SEO'!$A$5:$A$804,"&lt;="&amp;E$8))</f>
        <v>0</v>
      </c>
      <c r="F65" s="89">
        <f>IF($A65="","",COUNTIFS('LEAD MQL TRACKER'!$B$5:$B$1004,$A65,'LEAD MQL TRACKER'!$AB$5:$AB$1004,1,'LEAD MQL TRACKER'!$Z$5:$Z$1004,"&gt;="&amp;F$7,'LEAD MQL TRACKER'!$Z$5:$Z$1004,"&lt;="&amp;F$8)+SUMIFS('EMAIL MARKETING'!$Q$5:$Q$804,'EMAIL MARKETING'!$B$5:$B$804,$A65,'EMAIL MARKETING'!$A$5:$A$804,"&gt;="&amp;F$7,'EMAIL MARKETING'!$A$5:$A$804,"&lt;="&amp;F$8)+SUMIFS('PAID MEDIA ADS'!$M$5:$M$804,'PAID MEDIA ADS'!$B$5:$B$804,$A65,'PAID MEDIA ADS'!$A$5:$A$804,"&gt;="&amp;F$7,'PAID MEDIA ADS'!$A$5:$A$804,"&lt;="&amp;F$8)+SUMIFS('LINKEDIN OUTREACH'!$N$5:$N$704,'LINKEDIN OUTREACH'!$B$5:$B$704,$A65,'LINKEDIN OUTREACH'!$A$5:$A$704,"&gt;="&amp;F$7,'LINKEDIN OUTREACH'!$A$5:$A$704,"&lt;="&amp;F$8)+SUMIFS('WEBSITE CONTENT SEO'!$L$5:$L$804,'WEBSITE CONTENT SEO'!$B$5:$B$804,$A65,'WEBSITE CONTENT SEO'!$A$5:$A$804,"&gt;="&amp;F$7,'WEBSITE CONTENT SEO'!$A$5:$A$804,"&lt;="&amp;F$8))</f>
        <v>0</v>
      </c>
      <c r="G65" s="89">
        <f>IF($A65="","",COUNTIFS('LEAD MQL TRACKER'!$B$5:$B$1004,$A65,'LEAD MQL TRACKER'!$AB$5:$AB$1004,1,'LEAD MQL TRACKER'!$Z$5:$Z$1004,"&gt;="&amp;G$7,'LEAD MQL TRACKER'!$Z$5:$Z$1004,"&lt;="&amp;G$8)+SUMIFS('EMAIL MARKETING'!$Q$5:$Q$804,'EMAIL MARKETING'!$B$5:$B$804,$A65,'EMAIL MARKETING'!$A$5:$A$804,"&gt;="&amp;G$7,'EMAIL MARKETING'!$A$5:$A$804,"&lt;="&amp;G$8)+SUMIFS('PAID MEDIA ADS'!$M$5:$M$804,'PAID MEDIA ADS'!$B$5:$B$804,$A65,'PAID MEDIA ADS'!$A$5:$A$804,"&gt;="&amp;G$7,'PAID MEDIA ADS'!$A$5:$A$804,"&lt;="&amp;G$8)+SUMIFS('LINKEDIN OUTREACH'!$N$5:$N$704,'LINKEDIN OUTREACH'!$B$5:$B$704,$A65,'LINKEDIN OUTREACH'!$A$5:$A$704,"&gt;="&amp;G$7,'LINKEDIN OUTREACH'!$A$5:$A$704,"&lt;="&amp;G$8)+SUMIFS('WEBSITE CONTENT SEO'!$L$5:$L$804,'WEBSITE CONTENT SEO'!$B$5:$B$804,$A65,'WEBSITE CONTENT SEO'!$A$5:$A$804,"&gt;="&amp;G$7,'WEBSITE CONTENT SEO'!$A$5:$A$804,"&lt;="&amp;G$8))</f>
        <v>0</v>
      </c>
      <c r="H65" s="89">
        <f>IF($A65="","",COUNTIFS('LEAD MQL TRACKER'!$B$5:$B$1004,$A65,'LEAD MQL TRACKER'!$AB$5:$AB$1004,1,'LEAD MQL TRACKER'!$Z$5:$Z$1004,"&gt;="&amp;H$7,'LEAD MQL TRACKER'!$Z$5:$Z$1004,"&lt;="&amp;H$8)+SUMIFS('EMAIL MARKETING'!$Q$5:$Q$804,'EMAIL MARKETING'!$B$5:$B$804,$A65,'EMAIL MARKETING'!$A$5:$A$804,"&gt;="&amp;H$7,'EMAIL MARKETING'!$A$5:$A$804,"&lt;="&amp;H$8)+SUMIFS('PAID MEDIA ADS'!$M$5:$M$804,'PAID MEDIA ADS'!$B$5:$B$804,$A65,'PAID MEDIA ADS'!$A$5:$A$804,"&gt;="&amp;H$7,'PAID MEDIA ADS'!$A$5:$A$804,"&lt;="&amp;H$8)+SUMIFS('LINKEDIN OUTREACH'!$N$5:$N$704,'LINKEDIN OUTREACH'!$B$5:$B$704,$A65,'LINKEDIN OUTREACH'!$A$5:$A$704,"&gt;="&amp;H$7,'LINKEDIN OUTREACH'!$A$5:$A$704,"&lt;="&amp;H$8)+SUMIFS('WEBSITE CONTENT SEO'!$L$5:$L$804,'WEBSITE CONTENT SEO'!$B$5:$B$804,$A65,'WEBSITE CONTENT SEO'!$A$5:$A$804,"&gt;="&amp;H$7,'WEBSITE CONTENT SEO'!$A$5:$A$804,"&lt;="&amp;H$8))</f>
        <v>0</v>
      </c>
      <c r="I65" s="89">
        <f>IF($A65="","",COUNTIFS('LEAD MQL TRACKER'!$B$5:$B$1004,$A65,'LEAD MQL TRACKER'!$AB$5:$AB$1004,1,'LEAD MQL TRACKER'!$Z$5:$Z$1004,"&gt;="&amp;I$7,'LEAD MQL TRACKER'!$Z$5:$Z$1004,"&lt;="&amp;I$8)+SUMIFS('EMAIL MARKETING'!$Q$5:$Q$804,'EMAIL MARKETING'!$B$5:$B$804,$A65,'EMAIL MARKETING'!$A$5:$A$804,"&gt;="&amp;I$7,'EMAIL MARKETING'!$A$5:$A$804,"&lt;="&amp;I$8)+SUMIFS('PAID MEDIA ADS'!$M$5:$M$804,'PAID MEDIA ADS'!$B$5:$B$804,$A65,'PAID MEDIA ADS'!$A$5:$A$804,"&gt;="&amp;I$7,'PAID MEDIA ADS'!$A$5:$A$804,"&lt;="&amp;I$8)+SUMIFS('LINKEDIN OUTREACH'!$N$5:$N$704,'LINKEDIN OUTREACH'!$B$5:$B$704,$A65,'LINKEDIN OUTREACH'!$A$5:$A$704,"&gt;="&amp;I$7,'LINKEDIN OUTREACH'!$A$5:$A$704,"&lt;="&amp;I$8)+SUMIFS('WEBSITE CONTENT SEO'!$L$5:$L$804,'WEBSITE CONTENT SEO'!$B$5:$B$804,$A65,'WEBSITE CONTENT SEO'!$A$5:$A$804,"&gt;="&amp;I$7,'WEBSITE CONTENT SEO'!$A$5:$A$804,"&lt;="&amp;I$8))</f>
        <v>0</v>
      </c>
      <c r="J65" s="89">
        <f>IF($A65="","",COUNTIFS('LEAD MQL TRACKER'!$B$5:$B$1004,$A65,'LEAD MQL TRACKER'!$AB$5:$AB$1004,1,'LEAD MQL TRACKER'!$Z$5:$Z$1004,"&gt;="&amp;J$7,'LEAD MQL TRACKER'!$Z$5:$Z$1004,"&lt;="&amp;J$8)+SUMIFS('EMAIL MARKETING'!$Q$5:$Q$804,'EMAIL MARKETING'!$B$5:$B$804,$A65,'EMAIL MARKETING'!$A$5:$A$804,"&gt;="&amp;J$7,'EMAIL MARKETING'!$A$5:$A$804,"&lt;="&amp;J$8)+SUMIFS('PAID MEDIA ADS'!$M$5:$M$804,'PAID MEDIA ADS'!$B$5:$B$804,$A65,'PAID MEDIA ADS'!$A$5:$A$804,"&gt;="&amp;J$7,'PAID MEDIA ADS'!$A$5:$A$804,"&lt;="&amp;J$8)+SUMIFS('LINKEDIN OUTREACH'!$N$5:$N$704,'LINKEDIN OUTREACH'!$B$5:$B$704,$A65,'LINKEDIN OUTREACH'!$A$5:$A$704,"&gt;="&amp;J$7,'LINKEDIN OUTREACH'!$A$5:$A$704,"&lt;="&amp;J$8)+SUMIFS('WEBSITE CONTENT SEO'!$L$5:$L$804,'WEBSITE CONTENT SEO'!$B$5:$B$804,$A65,'WEBSITE CONTENT SEO'!$A$5:$A$804,"&gt;="&amp;J$7,'WEBSITE CONTENT SEO'!$A$5:$A$804,"&lt;="&amp;J$8))</f>
        <v>0</v>
      </c>
      <c r="K65" s="89">
        <f>IF($A65="","",COUNTIFS('LEAD MQL TRACKER'!$B$5:$B$1004,$A65,'LEAD MQL TRACKER'!$AB$5:$AB$1004,1,'LEAD MQL TRACKER'!$Z$5:$Z$1004,"&gt;="&amp;K$7,'LEAD MQL TRACKER'!$Z$5:$Z$1004,"&lt;="&amp;K$8)+SUMIFS('EMAIL MARKETING'!$Q$5:$Q$804,'EMAIL MARKETING'!$B$5:$B$804,$A65,'EMAIL MARKETING'!$A$5:$A$804,"&gt;="&amp;K$7,'EMAIL MARKETING'!$A$5:$A$804,"&lt;="&amp;K$8)+SUMIFS('PAID MEDIA ADS'!$M$5:$M$804,'PAID MEDIA ADS'!$B$5:$B$804,$A65,'PAID MEDIA ADS'!$A$5:$A$804,"&gt;="&amp;K$7,'PAID MEDIA ADS'!$A$5:$A$804,"&lt;="&amp;K$8)+SUMIFS('LINKEDIN OUTREACH'!$N$5:$N$704,'LINKEDIN OUTREACH'!$B$5:$B$704,$A65,'LINKEDIN OUTREACH'!$A$5:$A$704,"&gt;="&amp;K$7,'LINKEDIN OUTREACH'!$A$5:$A$704,"&lt;="&amp;K$8)+SUMIFS('WEBSITE CONTENT SEO'!$L$5:$L$804,'WEBSITE CONTENT SEO'!$B$5:$B$804,$A65,'WEBSITE CONTENT SEO'!$A$5:$A$804,"&gt;="&amp;K$7,'WEBSITE CONTENT SEO'!$A$5:$A$804,"&lt;="&amp;K$8))</f>
        <v>0</v>
      </c>
      <c r="L65" s="89">
        <f>IF($A65="","",COUNTIFS('LEAD MQL TRACKER'!$B$5:$B$1004,$A65,'LEAD MQL TRACKER'!$AB$5:$AB$1004,1,'LEAD MQL TRACKER'!$Z$5:$Z$1004,"&gt;="&amp;L$7,'LEAD MQL TRACKER'!$Z$5:$Z$1004,"&lt;="&amp;L$8)+SUMIFS('EMAIL MARKETING'!$Q$5:$Q$804,'EMAIL MARKETING'!$B$5:$B$804,$A65,'EMAIL MARKETING'!$A$5:$A$804,"&gt;="&amp;L$7,'EMAIL MARKETING'!$A$5:$A$804,"&lt;="&amp;L$8)+SUMIFS('PAID MEDIA ADS'!$M$5:$M$804,'PAID MEDIA ADS'!$B$5:$B$804,$A65,'PAID MEDIA ADS'!$A$5:$A$804,"&gt;="&amp;L$7,'PAID MEDIA ADS'!$A$5:$A$804,"&lt;="&amp;L$8)+SUMIFS('LINKEDIN OUTREACH'!$N$5:$N$704,'LINKEDIN OUTREACH'!$B$5:$B$704,$A65,'LINKEDIN OUTREACH'!$A$5:$A$704,"&gt;="&amp;L$7,'LINKEDIN OUTREACH'!$A$5:$A$704,"&lt;="&amp;L$8)+SUMIFS('WEBSITE CONTENT SEO'!$L$5:$L$804,'WEBSITE CONTENT SEO'!$B$5:$B$804,$A65,'WEBSITE CONTENT SEO'!$A$5:$A$804,"&gt;="&amp;L$7,'WEBSITE CONTENT SEO'!$A$5:$A$804,"&lt;="&amp;L$8))</f>
        <v>0</v>
      </c>
      <c r="M65" s="89">
        <f>IF($A65="","",COUNTIFS('LEAD MQL TRACKER'!$B$5:$B$1004,$A65,'LEAD MQL TRACKER'!$AB$5:$AB$1004,1,'LEAD MQL TRACKER'!$Z$5:$Z$1004,"&gt;="&amp;M$7,'LEAD MQL TRACKER'!$Z$5:$Z$1004,"&lt;="&amp;M$8)+SUMIFS('EMAIL MARKETING'!$Q$5:$Q$804,'EMAIL MARKETING'!$B$5:$B$804,$A65,'EMAIL MARKETING'!$A$5:$A$804,"&gt;="&amp;M$7,'EMAIL MARKETING'!$A$5:$A$804,"&lt;="&amp;M$8)+SUMIFS('PAID MEDIA ADS'!$M$5:$M$804,'PAID MEDIA ADS'!$B$5:$B$804,$A65,'PAID MEDIA ADS'!$A$5:$A$804,"&gt;="&amp;M$7,'PAID MEDIA ADS'!$A$5:$A$804,"&lt;="&amp;M$8)+SUMIFS('LINKEDIN OUTREACH'!$N$5:$N$704,'LINKEDIN OUTREACH'!$B$5:$B$704,$A65,'LINKEDIN OUTREACH'!$A$5:$A$704,"&gt;="&amp;M$7,'LINKEDIN OUTREACH'!$A$5:$A$704,"&lt;="&amp;M$8)+SUMIFS('WEBSITE CONTENT SEO'!$L$5:$L$804,'WEBSITE CONTENT SEO'!$B$5:$B$804,$A65,'WEBSITE CONTENT SEO'!$A$5:$A$804,"&gt;="&amp;M$7,'WEBSITE CONTENT SEO'!$A$5:$A$804,"&lt;="&amp;M$8))</f>
        <v>0</v>
      </c>
    </row>
    <row r="66">
      <c r="A66" s="117" t="str">
        <f>IF('CLIENT MASTER'!A6="","",'CLIENT MASTER'!A6)</f>
        <v>Magnasoft</v>
      </c>
      <c r="B66" s="89">
        <f>IF($A66="","",COUNTIFS('LEAD MQL TRACKER'!$B$5:$B$1004,$A66,'LEAD MQL TRACKER'!$AB$5:$AB$1004,1,'LEAD MQL TRACKER'!$Z$5:$Z$1004,"&gt;="&amp;B$7,'LEAD MQL TRACKER'!$Z$5:$Z$1004,"&lt;="&amp;B$8)+SUMIFS('EMAIL MARKETING'!$Q$5:$Q$804,'EMAIL MARKETING'!$B$5:$B$804,$A66,'EMAIL MARKETING'!$A$5:$A$804,"&gt;="&amp;B$7,'EMAIL MARKETING'!$A$5:$A$804,"&lt;="&amp;B$8)+SUMIFS('PAID MEDIA ADS'!$M$5:$M$804,'PAID MEDIA ADS'!$B$5:$B$804,$A66,'PAID MEDIA ADS'!$A$5:$A$804,"&gt;="&amp;B$7,'PAID MEDIA ADS'!$A$5:$A$804,"&lt;="&amp;B$8)+SUMIFS('LINKEDIN OUTREACH'!$N$5:$N$704,'LINKEDIN OUTREACH'!$B$5:$B$704,$A66,'LINKEDIN OUTREACH'!$A$5:$A$704,"&gt;="&amp;B$7,'LINKEDIN OUTREACH'!$A$5:$A$704,"&lt;="&amp;B$8)+SUMIFS('WEBSITE CONTENT SEO'!$L$5:$L$804,'WEBSITE CONTENT SEO'!$B$5:$B$804,$A66,'WEBSITE CONTENT SEO'!$A$5:$A$804,"&gt;="&amp;B$7,'WEBSITE CONTENT SEO'!$A$5:$A$804,"&lt;="&amp;B$8))</f>
        <v>0</v>
      </c>
      <c r="C66" s="89">
        <f>IF($A66="","",COUNTIFS('LEAD MQL TRACKER'!$B$5:$B$1004,$A66,'LEAD MQL TRACKER'!$AB$5:$AB$1004,1,'LEAD MQL TRACKER'!$Z$5:$Z$1004,"&gt;="&amp;C$7,'LEAD MQL TRACKER'!$Z$5:$Z$1004,"&lt;="&amp;C$8)+SUMIFS('EMAIL MARKETING'!$Q$5:$Q$804,'EMAIL MARKETING'!$B$5:$B$804,$A66,'EMAIL MARKETING'!$A$5:$A$804,"&gt;="&amp;C$7,'EMAIL MARKETING'!$A$5:$A$804,"&lt;="&amp;C$8)+SUMIFS('PAID MEDIA ADS'!$M$5:$M$804,'PAID MEDIA ADS'!$B$5:$B$804,$A66,'PAID MEDIA ADS'!$A$5:$A$804,"&gt;="&amp;C$7,'PAID MEDIA ADS'!$A$5:$A$804,"&lt;="&amp;C$8)+SUMIFS('LINKEDIN OUTREACH'!$N$5:$N$704,'LINKEDIN OUTREACH'!$B$5:$B$704,$A66,'LINKEDIN OUTREACH'!$A$5:$A$704,"&gt;="&amp;C$7,'LINKEDIN OUTREACH'!$A$5:$A$704,"&lt;="&amp;C$8)+SUMIFS('WEBSITE CONTENT SEO'!$L$5:$L$804,'WEBSITE CONTENT SEO'!$B$5:$B$804,$A66,'WEBSITE CONTENT SEO'!$A$5:$A$804,"&gt;="&amp;C$7,'WEBSITE CONTENT SEO'!$A$5:$A$804,"&lt;="&amp;C$8))</f>
        <v>0</v>
      </c>
      <c r="D66" s="89">
        <f>IF($A66="","",COUNTIFS('LEAD MQL TRACKER'!$B$5:$B$1004,$A66,'LEAD MQL TRACKER'!$AB$5:$AB$1004,1,'LEAD MQL TRACKER'!$Z$5:$Z$1004,"&gt;="&amp;D$7,'LEAD MQL TRACKER'!$Z$5:$Z$1004,"&lt;="&amp;D$8)+SUMIFS('EMAIL MARKETING'!$Q$5:$Q$804,'EMAIL MARKETING'!$B$5:$B$804,$A66,'EMAIL MARKETING'!$A$5:$A$804,"&gt;="&amp;D$7,'EMAIL MARKETING'!$A$5:$A$804,"&lt;="&amp;D$8)+SUMIFS('PAID MEDIA ADS'!$M$5:$M$804,'PAID MEDIA ADS'!$B$5:$B$804,$A66,'PAID MEDIA ADS'!$A$5:$A$804,"&gt;="&amp;D$7,'PAID MEDIA ADS'!$A$5:$A$804,"&lt;="&amp;D$8)+SUMIFS('LINKEDIN OUTREACH'!$N$5:$N$704,'LINKEDIN OUTREACH'!$B$5:$B$704,$A66,'LINKEDIN OUTREACH'!$A$5:$A$704,"&gt;="&amp;D$7,'LINKEDIN OUTREACH'!$A$5:$A$704,"&lt;="&amp;D$8)+SUMIFS('WEBSITE CONTENT SEO'!$L$5:$L$804,'WEBSITE CONTENT SEO'!$B$5:$B$804,$A66,'WEBSITE CONTENT SEO'!$A$5:$A$804,"&gt;="&amp;D$7,'WEBSITE CONTENT SEO'!$A$5:$A$804,"&lt;="&amp;D$8))</f>
        <v>0</v>
      </c>
      <c r="E66" s="89">
        <f>IF($A66="","",COUNTIFS('LEAD MQL TRACKER'!$B$5:$B$1004,$A66,'LEAD MQL TRACKER'!$AB$5:$AB$1004,1,'LEAD MQL TRACKER'!$Z$5:$Z$1004,"&gt;="&amp;E$7,'LEAD MQL TRACKER'!$Z$5:$Z$1004,"&lt;="&amp;E$8)+SUMIFS('EMAIL MARKETING'!$Q$5:$Q$804,'EMAIL MARKETING'!$B$5:$B$804,$A66,'EMAIL MARKETING'!$A$5:$A$804,"&gt;="&amp;E$7,'EMAIL MARKETING'!$A$5:$A$804,"&lt;="&amp;E$8)+SUMIFS('PAID MEDIA ADS'!$M$5:$M$804,'PAID MEDIA ADS'!$B$5:$B$804,$A66,'PAID MEDIA ADS'!$A$5:$A$804,"&gt;="&amp;E$7,'PAID MEDIA ADS'!$A$5:$A$804,"&lt;="&amp;E$8)+SUMIFS('LINKEDIN OUTREACH'!$N$5:$N$704,'LINKEDIN OUTREACH'!$B$5:$B$704,$A66,'LINKEDIN OUTREACH'!$A$5:$A$704,"&gt;="&amp;E$7,'LINKEDIN OUTREACH'!$A$5:$A$704,"&lt;="&amp;E$8)+SUMIFS('WEBSITE CONTENT SEO'!$L$5:$L$804,'WEBSITE CONTENT SEO'!$B$5:$B$804,$A66,'WEBSITE CONTENT SEO'!$A$5:$A$804,"&gt;="&amp;E$7,'WEBSITE CONTENT SEO'!$A$5:$A$804,"&lt;="&amp;E$8))</f>
        <v>0</v>
      </c>
      <c r="F66" s="89">
        <f>IF($A66="","",COUNTIFS('LEAD MQL TRACKER'!$B$5:$B$1004,$A66,'LEAD MQL TRACKER'!$AB$5:$AB$1004,1,'LEAD MQL TRACKER'!$Z$5:$Z$1004,"&gt;="&amp;F$7,'LEAD MQL TRACKER'!$Z$5:$Z$1004,"&lt;="&amp;F$8)+SUMIFS('EMAIL MARKETING'!$Q$5:$Q$804,'EMAIL MARKETING'!$B$5:$B$804,$A66,'EMAIL MARKETING'!$A$5:$A$804,"&gt;="&amp;F$7,'EMAIL MARKETING'!$A$5:$A$804,"&lt;="&amp;F$8)+SUMIFS('PAID MEDIA ADS'!$M$5:$M$804,'PAID MEDIA ADS'!$B$5:$B$804,$A66,'PAID MEDIA ADS'!$A$5:$A$804,"&gt;="&amp;F$7,'PAID MEDIA ADS'!$A$5:$A$804,"&lt;="&amp;F$8)+SUMIFS('LINKEDIN OUTREACH'!$N$5:$N$704,'LINKEDIN OUTREACH'!$B$5:$B$704,$A66,'LINKEDIN OUTREACH'!$A$5:$A$704,"&gt;="&amp;F$7,'LINKEDIN OUTREACH'!$A$5:$A$704,"&lt;="&amp;F$8)+SUMIFS('WEBSITE CONTENT SEO'!$L$5:$L$804,'WEBSITE CONTENT SEO'!$B$5:$B$804,$A66,'WEBSITE CONTENT SEO'!$A$5:$A$804,"&gt;="&amp;F$7,'WEBSITE CONTENT SEO'!$A$5:$A$804,"&lt;="&amp;F$8))</f>
        <v>0</v>
      </c>
      <c r="G66" s="89">
        <f>IF($A66="","",COUNTIFS('LEAD MQL TRACKER'!$B$5:$B$1004,$A66,'LEAD MQL TRACKER'!$AB$5:$AB$1004,1,'LEAD MQL TRACKER'!$Z$5:$Z$1004,"&gt;="&amp;G$7,'LEAD MQL TRACKER'!$Z$5:$Z$1004,"&lt;="&amp;G$8)+SUMIFS('EMAIL MARKETING'!$Q$5:$Q$804,'EMAIL MARKETING'!$B$5:$B$804,$A66,'EMAIL MARKETING'!$A$5:$A$804,"&gt;="&amp;G$7,'EMAIL MARKETING'!$A$5:$A$804,"&lt;="&amp;G$8)+SUMIFS('PAID MEDIA ADS'!$M$5:$M$804,'PAID MEDIA ADS'!$B$5:$B$804,$A66,'PAID MEDIA ADS'!$A$5:$A$804,"&gt;="&amp;G$7,'PAID MEDIA ADS'!$A$5:$A$804,"&lt;="&amp;G$8)+SUMIFS('LINKEDIN OUTREACH'!$N$5:$N$704,'LINKEDIN OUTREACH'!$B$5:$B$704,$A66,'LINKEDIN OUTREACH'!$A$5:$A$704,"&gt;="&amp;G$7,'LINKEDIN OUTREACH'!$A$5:$A$704,"&lt;="&amp;G$8)+SUMIFS('WEBSITE CONTENT SEO'!$L$5:$L$804,'WEBSITE CONTENT SEO'!$B$5:$B$804,$A66,'WEBSITE CONTENT SEO'!$A$5:$A$804,"&gt;="&amp;G$7,'WEBSITE CONTENT SEO'!$A$5:$A$804,"&lt;="&amp;G$8))</f>
        <v>0</v>
      </c>
      <c r="H66" s="89">
        <f>IF($A66="","",COUNTIFS('LEAD MQL TRACKER'!$B$5:$B$1004,$A66,'LEAD MQL TRACKER'!$AB$5:$AB$1004,1,'LEAD MQL TRACKER'!$Z$5:$Z$1004,"&gt;="&amp;H$7,'LEAD MQL TRACKER'!$Z$5:$Z$1004,"&lt;="&amp;H$8)+SUMIFS('EMAIL MARKETING'!$Q$5:$Q$804,'EMAIL MARKETING'!$B$5:$B$804,$A66,'EMAIL MARKETING'!$A$5:$A$804,"&gt;="&amp;H$7,'EMAIL MARKETING'!$A$5:$A$804,"&lt;="&amp;H$8)+SUMIFS('PAID MEDIA ADS'!$M$5:$M$804,'PAID MEDIA ADS'!$B$5:$B$804,$A66,'PAID MEDIA ADS'!$A$5:$A$804,"&gt;="&amp;H$7,'PAID MEDIA ADS'!$A$5:$A$804,"&lt;="&amp;H$8)+SUMIFS('LINKEDIN OUTREACH'!$N$5:$N$704,'LINKEDIN OUTREACH'!$B$5:$B$704,$A66,'LINKEDIN OUTREACH'!$A$5:$A$704,"&gt;="&amp;H$7,'LINKEDIN OUTREACH'!$A$5:$A$704,"&lt;="&amp;H$8)+SUMIFS('WEBSITE CONTENT SEO'!$L$5:$L$804,'WEBSITE CONTENT SEO'!$B$5:$B$804,$A66,'WEBSITE CONTENT SEO'!$A$5:$A$804,"&gt;="&amp;H$7,'WEBSITE CONTENT SEO'!$A$5:$A$804,"&lt;="&amp;H$8))</f>
        <v>0</v>
      </c>
      <c r="I66" s="89">
        <f>IF($A66="","",COUNTIFS('LEAD MQL TRACKER'!$B$5:$B$1004,$A66,'LEAD MQL TRACKER'!$AB$5:$AB$1004,1,'LEAD MQL TRACKER'!$Z$5:$Z$1004,"&gt;="&amp;I$7,'LEAD MQL TRACKER'!$Z$5:$Z$1004,"&lt;="&amp;I$8)+SUMIFS('EMAIL MARKETING'!$Q$5:$Q$804,'EMAIL MARKETING'!$B$5:$B$804,$A66,'EMAIL MARKETING'!$A$5:$A$804,"&gt;="&amp;I$7,'EMAIL MARKETING'!$A$5:$A$804,"&lt;="&amp;I$8)+SUMIFS('PAID MEDIA ADS'!$M$5:$M$804,'PAID MEDIA ADS'!$B$5:$B$804,$A66,'PAID MEDIA ADS'!$A$5:$A$804,"&gt;="&amp;I$7,'PAID MEDIA ADS'!$A$5:$A$804,"&lt;="&amp;I$8)+SUMIFS('LINKEDIN OUTREACH'!$N$5:$N$704,'LINKEDIN OUTREACH'!$B$5:$B$704,$A66,'LINKEDIN OUTREACH'!$A$5:$A$704,"&gt;="&amp;I$7,'LINKEDIN OUTREACH'!$A$5:$A$704,"&lt;="&amp;I$8)+SUMIFS('WEBSITE CONTENT SEO'!$L$5:$L$804,'WEBSITE CONTENT SEO'!$B$5:$B$804,$A66,'WEBSITE CONTENT SEO'!$A$5:$A$804,"&gt;="&amp;I$7,'WEBSITE CONTENT SEO'!$A$5:$A$804,"&lt;="&amp;I$8))</f>
        <v>0</v>
      </c>
      <c r="J66" s="89">
        <f>IF($A66="","",COUNTIFS('LEAD MQL TRACKER'!$B$5:$B$1004,$A66,'LEAD MQL TRACKER'!$AB$5:$AB$1004,1,'LEAD MQL TRACKER'!$Z$5:$Z$1004,"&gt;="&amp;J$7,'LEAD MQL TRACKER'!$Z$5:$Z$1004,"&lt;="&amp;J$8)+SUMIFS('EMAIL MARKETING'!$Q$5:$Q$804,'EMAIL MARKETING'!$B$5:$B$804,$A66,'EMAIL MARKETING'!$A$5:$A$804,"&gt;="&amp;J$7,'EMAIL MARKETING'!$A$5:$A$804,"&lt;="&amp;J$8)+SUMIFS('PAID MEDIA ADS'!$M$5:$M$804,'PAID MEDIA ADS'!$B$5:$B$804,$A66,'PAID MEDIA ADS'!$A$5:$A$804,"&gt;="&amp;J$7,'PAID MEDIA ADS'!$A$5:$A$804,"&lt;="&amp;J$8)+SUMIFS('LINKEDIN OUTREACH'!$N$5:$N$704,'LINKEDIN OUTREACH'!$B$5:$B$704,$A66,'LINKEDIN OUTREACH'!$A$5:$A$704,"&gt;="&amp;J$7,'LINKEDIN OUTREACH'!$A$5:$A$704,"&lt;="&amp;J$8)+SUMIFS('WEBSITE CONTENT SEO'!$L$5:$L$804,'WEBSITE CONTENT SEO'!$B$5:$B$804,$A66,'WEBSITE CONTENT SEO'!$A$5:$A$804,"&gt;="&amp;J$7,'WEBSITE CONTENT SEO'!$A$5:$A$804,"&lt;="&amp;J$8))</f>
        <v>0</v>
      </c>
      <c r="K66" s="89">
        <f>IF($A66="","",COUNTIFS('LEAD MQL TRACKER'!$B$5:$B$1004,$A66,'LEAD MQL TRACKER'!$AB$5:$AB$1004,1,'LEAD MQL TRACKER'!$Z$5:$Z$1004,"&gt;="&amp;K$7,'LEAD MQL TRACKER'!$Z$5:$Z$1004,"&lt;="&amp;K$8)+SUMIFS('EMAIL MARKETING'!$Q$5:$Q$804,'EMAIL MARKETING'!$B$5:$B$804,$A66,'EMAIL MARKETING'!$A$5:$A$804,"&gt;="&amp;K$7,'EMAIL MARKETING'!$A$5:$A$804,"&lt;="&amp;K$8)+SUMIFS('PAID MEDIA ADS'!$M$5:$M$804,'PAID MEDIA ADS'!$B$5:$B$804,$A66,'PAID MEDIA ADS'!$A$5:$A$804,"&gt;="&amp;K$7,'PAID MEDIA ADS'!$A$5:$A$804,"&lt;="&amp;K$8)+SUMIFS('LINKEDIN OUTREACH'!$N$5:$N$704,'LINKEDIN OUTREACH'!$B$5:$B$704,$A66,'LINKEDIN OUTREACH'!$A$5:$A$704,"&gt;="&amp;K$7,'LINKEDIN OUTREACH'!$A$5:$A$704,"&lt;="&amp;K$8)+SUMIFS('WEBSITE CONTENT SEO'!$L$5:$L$804,'WEBSITE CONTENT SEO'!$B$5:$B$804,$A66,'WEBSITE CONTENT SEO'!$A$5:$A$804,"&gt;="&amp;K$7,'WEBSITE CONTENT SEO'!$A$5:$A$804,"&lt;="&amp;K$8))</f>
        <v>0</v>
      </c>
      <c r="L66" s="89">
        <f>IF($A66="","",COUNTIFS('LEAD MQL TRACKER'!$B$5:$B$1004,$A66,'LEAD MQL TRACKER'!$AB$5:$AB$1004,1,'LEAD MQL TRACKER'!$Z$5:$Z$1004,"&gt;="&amp;L$7,'LEAD MQL TRACKER'!$Z$5:$Z$1004,"&lt;="&amp;L$8)+SUMIFS('EMAIL MARKETING'!$Q$5:$Q$804,'EMAIL MARKETING'!$B$5:$B$804,$A66,'EMAIL MARKETING'!$A$5:$A$804,"&gt;="&amp;L$7,'EMAIL MARKETING'!$A$5:$A$804,"&lt;="&amp;L$8)+SUMIFS('PAID MEDIA ADS'!$M$5:$M$804,'PAID MEDIA ADS'!$B$5:$B$804,$A66,'PAID MEDIA ADS'!$A$5:$A$804,"&gt;="&amp;L$7,'PAID MEDIA ADS'!$A$5:$A$804,"&lt;="&amp;L$8)+SUMIFS('LINKEDIN OUTREACH'!$N$5:$N$704,'LINKEDIN OUTREACH'!$B$5:$B$704,$A66,'LINKEDIN OUTREACH'!$A$5:$A$704,"&gt;="&amp;L$7,'LINKEDIN OUTREACH'!$A$5:$A$704,"&lt;="&amp;L$8)+SUMIFS('WEBSITE CONTENT SEO'!$L$5:$L$804,'WEBSITE CONTENT SEO'!$B$5:$B$804,$A66,'WEBSITE CONTENT SEO'!$A$5:$A$804,"&gt;="&amp;L$7,'WEBSITE CONTENT SEO'!$A$5:$A$804,"&lt;="&amp;L$8))</f>
        <v>0</v>
      </c>
      <c r="M66" s="89">
        <f>IF($A66="","",COUNTIFS('LEAD MQL TRACKER'!$B$5:$B$1004,$A66,'LEAD MQL TRACKER'!$AB$5:$AB$1004,1,'LEAD MQL TRACKER'!$Z$5:$Z$1004,"&gt;="&amp;M$7,'LEAD MQL TRACKER'!$Z$5:$Z$1004,"&lt;="&amp;M$8)+SUMIFS('EMAIL MARKETING'!$Q$5:$Q$804,'EMAIL MARKETING'!$B$5:$B$804,$A66,'EMAIL MARKETING'!$A$5:$A$804,"&gt;="&amp;M$7,'EMAIL MARKETING'!$A$5:$A$804,"&lt;="&amp;M$8)+SUMIFS('PAID MEDIA ADS'!$M$5:$M$804,'PAID MEDIA ADS'!$B$5:$B$804,$A66,'PAID MEDIA ADS'!$A$5:$A$804,"&gt;="&amp;M$7,'PAID MEDIA ADS'!$A$5:$A$804,"&lt;="&amp;M$8)+SUMIFS('LINKEDIN OUTREACH'!$N$5:$N$704,'LINKEDIN OUTREACH'!$B$5:$B$704,$A66,'LINKEDIN OUTREACH'!$A$5:$A$704,"&gt;="&amp;M$7,'LINKEDIN OUTREACH'!$A$5:$A$704,"&lt;="&amp;M$8)+SUMIFS('WEBSITE CONTENT SEO'!$L$5:$L$804,'WEBSITE CONTENT SEO'!$B$5:$B$804,$A66,'WEBSITE CONTENT SEO'!$A$5:$A$804,"&gt;="&amp;M$7,'WEBSITE CONTENT SEO'!$A$5:$A$804,"&lt;="&amp;M$8))</f>
        <v>0</v>
      </c>
    </row>
    <row r="67">
      <c r="A67" s="117" t="str">
        <f>IF('CLIENT MASTER'!A7="","",'CLIENT MASTER'!A7)</f>
        <v>Eternelle</v>
      </c>
      <c r="B67" s="89">
        <f>IF($A67="","",COUNTIFS('LEAD MQL TRACKER'!$B$5:$B$1004,$A67,'LEAD MQL TRACKER'!$AB$5:$AB$1004,1,'LEAD MQL TRACKER'!$Z$5:$Z$1004,"&gt;="&amp;B$7,'LEAD MQL TRACKER'!$Z$5:$Z$1004,"&lt;="&amp;B$8)+SUMIFS('EMAIL MARKETING'!$Q$5:$Q$804,'EMAIL MARKETING'!$B$5:$B$804,$A67,'EMAIL MARKETING'!$A$5:$A$804,"&gt;="&amp;B$7,'EMAIL MARKETING'!$A$5:$A$804,"&lt;="&amp;B$8)+SUMIFS('PAID MEDIA ADS'!$M$5:$M$804,'PAID MEDIA ADS'!$B$5:$B$804,$A67,'PAID MEDIA ADS'!$A$5:$A$804,"&gt;="&amp;B$7,'PAID MEDIA ADS'!$A$5:$A$804,"&lt;="&amp;B$8)+SUMIFS('LINKEDIN OUTREACH'!$N$5:$N$704,'LINKEDIN OUTREACH'!$B$5:$B$704,$A67,'LINKEDIN OUTREACH'!$A$5:$A$704,"&gt;="&amp;B$7,'LINKEDIN OUTREACH'!$A$5:$A$704,"&lt;="&amp;B$8)+SUMIFS('WEBSITE CONTENT SEO'!$L$5:$L$804,'WEBSITE CONTENT SEO'!$B$5:$B$804,$A67,'WEBSITE CONTENT SEO'!$A$5:$A$804,"&gt;="&amp;B$7,'WEBSITE CONTENT SEO'!$A$5:$A$804,"&lt;="&amp;B$8))</f>
        <v>0</v>
      </c>
      <c r="C67" s="89">
        <f>IF($A67="","",COUNTIFS('LEAD MQL TRACKER'!$B$5:$B$1004,$A67,'LEAD MQL TRACKER'!$AB$5:$AB$1004,1,'LEAD MQL TRACKER'!$Z$5:$Z$1004,"&gt;="&amp;C$7,'LEAD MQL TRACKER'!$Z$5:$Z$1004,"&lt;="&amp;C$8)+SUMIFS('EMAIL MARKETING'!$Q$5:$Q$804,'EMAIL MARKETING'!$B$5:$B$804,$A67,'EMAIL MARKETING'!$A$5:$A$804,"&gt;="&amp;C$7,'EMAIL MARKETING'!$A$5:$A$804,"&lt;="&amp;C$8)+SUMIFS('PAID MEDIA ADS'!$M$5:$M$804,'PAID MEDIA ADS'!$B$5:$B$804,$A67,'PAID MEDIA ADS'!$A$5:$A$804,"&gt;="&amp;C$7,'PAID MEDIA ADS'!$A$5:$A$804,"&lt;="&amp;C$8)+SUMIFS('LINKEDIN OUTREACH'!$N$5:$N$704,'LINKEDIN OUTREACH'!$B$5:$B$704,$A67,'LINKEDIN OUTREACH'!$A$5:$A$704,"&gt;="&amp;C$7,'LINKEDIN OUTREACH'!$A$5:$A$704,"&lt;="&amp;C$8)+SUMIFS('WEBSITE CONTENT SEO'!$L$5:$L$804,'WEBSITE CONTENT SEO'!$B$5:$B$804,$A67,'WEBSITE CONTENT SEO'!$A$5:$A$804,"&gt;="&amp;C$7,'WEBSITE CONTENT SEO'!$A$5:$A$804,"&lt;="&amp;C$8))</f>
        <v>0</v>
      </c>
      <c r="D67" s="89">
        <f>IF($A67="","",COUNTIFS('LEAD MQL TRACKER'!$B$5:$B$1004,$A67,'LEAD MQL TRACKER'!$AB$5:$AB$1004,1,'LEAD MQL TRACKER'!$Z$5:$Z$1004,"&gt;="&amp;D$7,'LEAD MQL TRACKER'!$Z$5:$Z$1004,"&lt;="&amp;D$8)+SUMIFS('EMAIL MARKETING'!$Q$5:$Q$804,'EMAIL MARKETING'!$B$5:$B$804,$A67,'EMAIL MARKETING'!$A$5:$A$804,"&gt;="&amp;D$7,'EMAIL MARKETING'!$A$5:$A$804,"&lt;="&amp;D$8)+SUMIFS('PAID MEDIA ADS'!$M$5:$M$804,'PAID MEDIA ADS'!$B$5:$B$804,$A67,'PAID MEDIA ADS'!$A$5:$A$804,"&gt;="&amp;D$7,'PAID MEDIA ADS'!$A$5:$A$804,"&lt;="&amp;D$8)+SUMIFS('LINKEDIN OUTREACH'!$N$5:$N$704,'LINKEDIN OUTREACH'!$B$5:$B$704,$A67,'LINKEDIN OUTREACH'!$A$5:$A$704,"&gt;="&amp;D$7,'LINKEDIN OUTREACH'!$A$5:$A$704,"&lt;="&amp;D$8)+SUMIFS('WEBSITE CONTENT SEO'!$L$5:$L$804,'WEBSITE CONTENT SEO'!$B$5:$B$804,$A67,'WEBSITE CONTENT SEO'!$A$5:$A$804,"&gt;="&amp;D$7,'WEBSITE CONTENT SEO'!$A$5:$A$804,"&lt;="&amp;D$8))</f>
        <v>0</v>
      </c>
      <c r="E67" s="89">
        <f>IF($A67="","",COUNTIFS('LEAD MQL TRACKER'!$B$5:$B$1004,$A67,'LEAD MQL TRACKER'!$AB$5:$AB$1004,1,'LEAD MQL TRACKER'!$Z$5:$Z$1004,"&gt;="&amp;E$7,'LEAD MQL TRACKER'!$Z$5:$Z$1004,"&lt;="&amp;E$8)+SUMIFS('EMAIL MARKETING'!$Q$5:$Q$804,'EMAIL MARKETING'!$B$5:$B$804,$A67,'EMAIL MARKETING'!$A$5:$A$804,"&gt;="&amp;E$7,'EMAIL MARKETING'!$A$5:$A$804,"&lt;="&amp;E$8)+SUMIFS('PAID MEDIA ADS'!$M$5:$M$804,'PAID MEDIA ADS'!$B$5:$B$804,$A67,'PAID MEDIA ADS'!$A$5:$A$804,"&gt;="&amp;E$7,'PAID MEDIA ADS'!$A$5:$A$804,"&lt;="&amp;E$8)+SUMIFS('LINKEDIN OUTREACH'!$N$5:$N$704,'LINKEDIN OUTREACH'!$B$5:$B$704,$A67,'LINKEDIN OUTREACH'!$A$5:$A$704,"&gt;="&amp;E$7,'LINKEDIN OUTREACH'!$A$5:$A$704,"&lt;="&amp;E$8)+SUMIFS('WEBSITE CONTENT SEO'!$L$5:$L$804,'WEBSITE CONTENT SEO'!$B$5:$B$804,$A67,'WEBSITE CONTENT SEO'!$A$5:$A$804,"&gt;="&amp;E$7,'WEBSITE CONTENT SEO'!$A$5:$A$804,"&lt;="&amp;E$8))</f>
        <v>0</v>
      </c>
      <c r="F67" s="89">
        <f>IF($A67="","",COUNTIFS('LEAD MQL TRACKER'!$B$5:$B$1004,$A67,'LEAD MQL TRACKER'!$AB$5:$AB$1004,1,'LEAD MQL TRACKER'!$Z$5:$Z$1004,"&gt;="&amp;F$7,'LEAD MQL TRACKER'!$Z$5:$Z$1004,"&lt;="&amp;F$8)+SUMIFS('EMAIL MARKETING'!$Q$5:$Q$804,'EMAIL MARKETING'!$B$5:$B$804,$A67,'EMAIL MARKETING'!$A$5:$A$804,"&gt;="&amp;F$7,'EMAIL MARKETING'!$A$5:$A$804,"&lt;="&amp;F$8)+SUMIFS('PAID MEDIA ADS'!$M$5:$M$804,'PAID MEDIA ADS'!$B$5:$B$804,$A67,'PAID MEDIA ADS'!$A$5:$A$804,"&gt;="&amp;F$7,'PAID MEDIA ADS'!$A$5:$A$804,"&lt;="&amp;F$8)+SUMIFS('LINKEDIN OUTREACH'!$N$5:$N$704,'LINKEDIN OUTREACH'!$B$5:$B$704,$A67,'LINKEDIN OUTREACH'!$A$5:$A$704,"&gt;="&amp;F$7,'LINKEDIN OUTREACH'!$A$5:$A$704,"&lt;="&amp;F$8)+SUMIFS('WEBSITE CONTENT SEO'!$L$5:$L$804,'WEBSITE CONTENT SEO'!$B$5:$B$804,$A67,'WEBSITE CONTENT SEO'!$A$5:$A$804,"&gt;="&amp;F$7,'WEBSITE CONTENT SEO'!$A$5:$A$804,"&lt;="&amp;F$8))</f>
        <v>0</v>
      </c>
      <c r="G67" s="89">
        <f>IF($A67="","",COUNTIFS('LEAD MQL TRACKER'!$B$5:$B$1004,$A67,'LEAD MQL TRACKER'!$AB$5:$AB$1004,1,'LEAD MQL TRACKER'!$Z$5:$Z$1004,"&gt;="&amp;G$7,'LEAD MQL TRACKER'!$Z$5:$Z$1004,"&lt;="&amp;G$8)+SUMIFS('EMAIL MARKETING'!$Q$5:$Q$804,'EMAIL MARKETING'!$B$5:$B$804,$A67,'EMAIL MARKETING'!$A$5:$A$804,"&gt;="&amp;G$7,'EMAIL MARKETING'!$A$5:$A$804,"&lt;="&amp;G$8)+SUMIFS('PAID MEDIA ADS'!$M$5:$M$804,'PAID MEDIA ADS'!$B$5:$B$804,$A67,'PAID MEDIA ADS'!$A$5:$A$804,"&gt;="&amp;G$7,'PAID MEDIA ADS'!$A$5:$A$804,"&lt;="&amp;G$8)+SUMIFS('LINKEDIN OUTREACH'!$N$5:$N$704,'LINKEDIN OUTREACH'!$B$5:$B$704,$A67,'LINKEDIN OUTREACH'!$A$5:$A$704,"&gt;="&amp;G$7,'LINKEDIN OUTREACH'!$A$5:$A$704,"&lt;="&amp;G$8)+SUMIFS('WEBSITE CONTENT SEO'!$L$5:$L$804,'WEBSITE CONTENT SEO'!$B$5:$B$804,$A67,'WEBSITE CONTENT SEO'!$A$5:$A$804,"&gt;="&amp;G$7,'WEBSITE CONTENT SEO'!$A$5:$A$804,"&lt;="&amp;G$8))</f>
        <v>0</v>
      </c>
      <c r="H67" s="89">
        <f>IF($A67="","",COUNTIFS('LEAD MQL TRACKER'!$B$5:$B$1004,$A67,'LEAD MQL TRACKER'!$AB$5:$AB$1004,1,'LEAD MQL TRACKER'!$Z$5:$Z$1004,"&gt;="&amp;H$7,'LEAD MQL TRACKER'!$Z$5:$Z$1004,"&lt;="&amp;H$8)+SUMIFS('EMAIL MARKETING'!$Q$5:$Q$804,'EMAIL MARKETING'!$B$5:$B$804,$A67,'EMAIL MARKETING'!$A$5:$A$804,"&gt;="&amp;H$7,'EMAIL MARKETING'!$A$5:$A$804,"&lt;="&amp;H$8)+SUMIFS('PAID MEDIA ADS'!$M$5:$M$804,'PAID MEDIA ADS'!$B$5:$B$804,$A67,'PAID MEDIA ADS'!$A$5:$A$804,"&gt;="&amp;H$7,'PAID MEDIA ADS'!$A$5:$A$804,"&lt;="&amp;H$8)+SUMIFS('LINKEDIN OUTREACH'!$N$5:$N$704,'LINKEDIN OUTREACH'!$B$5:$B$704,$A67,'LINKEDIN OUTREACH'!$A$5:$A$704,"&gt;="&amp;H$7,'LINKEDIN OUTREACH'!$A$5:$A$704,"&lt;="&amp;H$8)+SUMIFS('WEBSITE CONTENT SEO'!$L$5:$L$804,'WEBSITE CONTENT SEO'!$B$5:$B$804,$A67,'WEBSITE CONTENT SEO'!$A$5:$A$804,"&gt;="&amp;H$7,'WEBSITE CONTENT SEO'!$A$5:$A$804,"&lt;="&amp;H$8))</f>
        <v>0</v>
      </c>
      <c r="I67" s="89">
        <f>IF($A67="","",COUNTIFS('LEAD MQL TRACKER'!$B$5:$B$1004,$A67,'LEAD MQL TRACKER'!$AB$5:$AB$1004,1,'LEAD MQL TRACKER'!$Z$5:$Z$1004,"&gt;="&amp;I$7,'LEAD MQL TRACKER'!$Z$5:$Z$1004,"&lt;="&amp;I$8)+SUMIFS('EMAIL MARKETING'!$Q$5:$Q$804,'EMAIL MARKETING'!$B$5:$B$804,$A67,'EMAIL MARKETING'!$A$5:$A$804,"&gt;="&amp;I$7,'EMAIL MARKETING'!$A$5:$A$804,"&lt;="&amp;I$8)+SUMIFS('PAID MEDIA ADS'!$M$5:$M$804,'PAID MEDIA ADS'!$B$5:$B$804,$A67,'PAID MEDIA ADS'!$A$5:$A$804,"&gt;="&amp;I$7,'PAID MEDIA ADS'!$A$5:$A$804,"&lt;="&amp;I$8)+SUMIFS('LINKEDIN OUTREACH'!$N$5:$N$704,'LINKEDIN OUTREACH'!$B$5:$B$704,$A67,'LINKEDIN OUTREACH'!$A$5:$A$704,"&gt;="&amp;I$7,'LINKEDIN OUTREACH'!$A$5:$A$704,"&lt;="&amp;I$8)+SUMIFS('WEBSITE CONTENT SEO'!$L$5:$L$804,'WEBSITE CONTENT SEO'!$B$5:$B$804,$A67,'WEBSITE CONTENT SEO'!$A$5:$A$804,"&gt;="&amp;I$7,'WEBSITE CONTENT SEO'!$A$5:$A$804,"&lt;="&amp;I$8))</f>
        <v>0</v>
      </c>
      <c r="J67" s="89">
        <f>IF($A67="","",COUNTIFS('LEAD MQL TRACKER'!$B$5:$B$1004,$A67,'LEAD MQL TRACKER'!$AB$5:$AB$1004,1,'LEAD MQL TRACKER'!$Z$5:$Z$1004,"&gt;="&amp;J$7,'LEAD MQL TRACKER'!$Z$5:$Z$1004,"&lt;="&amp;J$8)+SUMIFS('EMAIL MARKETING'!$Q$5:$Q$804,'EMAIL MARKETING'!$B$5:$B$804,$A67,'EMAIL MARKETING'!$A$5:$A$804,"&gt;="&amp;J$7,'EMAIL MARKETING'!$A$5:$A$804,"&lt;="&amp;J$8)+SUMIFS('PAID MEDIA ADS'!$M$5:$M$804,'PAID MEDIA ADS'!$B$5:$B$804,$A67,'PAID MEDIA ADS'!$A$5:$A$804,"&gt;="&amp;J$7,'PAID MEDIA ADS'!$A$5:$A$804,"&lt;="&amp;J$8)+SUMIFS('LINKEDIN OUTREACH'!$N$5:$N$704,'LINKEDIN OUTREACH'!$B$5:$B$704,$A67,'LINKEDIN OUTREACH'!$A$5:$A$704,"&gt;="&amp;J$7,'LINKEDIN OUTREACH'!$A$5:$A$704,"&lt;="&amp;J$8)+SUMIFS('WEBSITE CONTENT SEO'!$L$5:$L$804,'WEBSITE CONTENT SEO'!$B$5:$B$804,$A67,'WEBSITE CONTENT SEO'!$A$5:$A$804,"&gt;="&amp;J$7,'WEBSITE CONTENT SEO'!$A$5:$A$804,"&lt;="&amp;J$8))</f>
        <v>0</v>
      </c>
      <c r="K67" s="89">
        <f>IF($A67="","",COUNTIFS('LEAD MQL TRACKER'!$B$5:$B$1004,$A67,'LEAD MQL TRACKER'!$AB$5:$AB$1004,1,'LEAD MQL TRACKER'!$Z$5:$Z$1004,"&gt;="&amp;K$7,'LEAD MQL TRACKER'!$Z$5:$Z$1004,"&lt;="&amp;K$8)+SUMIFS('EMAIL MARKETING'!$Q$5:$Q$804,'EMAIL MARKETING'!$B$5:$B$804,$A67,'EMAIL MARKETING'!$A$5:$A$804,"&gt;="&amp;K$7,'EMAIL MARKETING'!$A$5:$A$804,"&lt;="&amp;K$8)+SUMIFS('PAID MEDIA ADS'!$M$5:$M$804,'PAID MEDIA ADS'!$B$5:$B$804,$A67,'PAID MEDIA ADS'!$A$5:$A$804,"&gt;="&amp;K$7,'PAID MEDIA ADS'!$A$5:$A$804,"&lt;="&amp;K$8)+SUMIFS('LINKEDIN OUTREACH'!$N$5:$N$704,'LINKEDIN OUTREACH'!$B$5:$B$704,$A67,'LINKEDIN OUTREACH'!$A$5:$A$704,"&gt;="&amp;K$7,'LINKEDIN OUTREACH'!$A$5:$A$704,"&lt;="&amp;K$8)+SUMIFS('WEBSITE CONTENT SEO'!$L$5:$L$804,'WEBSITE CONTENT SEO'!$B$5:$B$804,$A67,'WEBSITE CONTENT SEO'!$A$5:$A$804,"&gt;="&amp;K$7,'WEBSITE CONTENT SEO'!$A$5:$A$804,"&lt;="&amp;K$8))</f>
        <v>0</v>
      </c>
      <c r="L67" s="89">
        <f>IF($A67="","",COUNTIFS('LEAD MQL TRACKER'!$B$5:$B$1004,$A67,'LEAD MQL TRACKER'!$AB$5:$AB$1004,1,'LEAD MQL TRACKER'!$Z$5:$Z$1004,"&gt;="&amp;L$7,'LEAD MQL TRACKER'!$Z$5:$Z$1004,"&lt;="&amp;L$8)+SUMIFS('EMAIL MARKETING'!$Q$5:$Q$804,'EMAIL MARKETING'!$B$5:$B$804,$A67,'EMAIL MARKETING'!$A$5:$A$804,"&gt;="&amp;L$7,'EMAIL MARKETING'!$A$5:$A$804,"&lt;="&amp;L$8)+SUMIFS('PAID MEDIA ADS'!$M$5:$M$804,'PAID MEDIA ADS'!$B$5:$B$804,$A67,'PAID MEDIA ADS'!$A$5:$A$804,"&gt;="&amp;L$7,'PAID MEDIA ADS'!$A$5:$A$804,"&lt;="&amp;L$8)+SUMIFS('LINKEDIN OUTREACH'!$N$5:$N$704,'LINKEDIN OUTREACH'!$B$5:$B$704,$A67,'LINKEDIN OUTREACH'!$A$5:$A$704,"&gt;="&amp;L$7,'LINKEDIN OUTREACH'!$A$5:$A$704,"&lt;="&amp;L$8)+SUMIFS('WEBSITE CONTENT SEO'!$L$5:$L$804,'WEBSITE CONTENT SEO'!$B$5:$B$804,$A67,'WEBSITE CONTENT SEO'!$A$5:$A$804,"&gt;="&amp;L$7,'WEBSITE CONTENT SEO'!$A$5:$A$804,"&lt;="&amp;L$8))</f>
        <v>0</v>
      </c>
      <c r="M67" s="89">
        <f>IF($A67="","",COUNTIFS('LEAD MQL TRACKER'!$B$5:$B$1004,$A67,'LEAD MQL TRACKER'!$AB$5:$AB$1004,1,'LEAD MQL TRACKER'!$Z$5:$Z$1004,"&gt;="&amp;M$7,'LEAD MQL TRACKER'!$Z$5:$Z$1004,"&lt;="&amp;M$8)+SUMIFS('EMAIL MARKETING'!$Q$5:$Q$804,'EMAIL MARKETING'!$B$5:$B$804,$A67,'EMAIL MARKETING'!$A$5:$A$804,"&gt;="&amp;M$7,'EMAIL MARKETING'!$A$5:$A$804,"&lt;="&amp;M$8)+SUMIFS('PAID MEDIA ADS'!$M$5:$M$804,'PAID MEDIA ADS'!$B$5:$B$804,$A67,'PAID MEDIA ADS'!$A$5:$A$804,"&gt;="&amp;M$7,'PAID MEDIA ADS'!$A$5:$A$804,"&lt;="&amp;M$8)+SUMIFS('LINKEDIN OUTREACH'!$N$5:$N$704,'LINKEDIN OUTREACH'!$B$5:$B$704,$A67,'LINKEDIN OUTREACH'!$A$5:$A$704,"&gt;="&amp;M$7,'LINKEDIN OUTREACH'!$A$5:$A$704,"&lt;="&amp;M$8)+SUMIFS('WEBSITE CONTENT SEO'!$L$5:$L$804,'WEBSITE CONTENT SEO'!$B$5:$B$804,$A67,'WEBSITE CONTENT SEO'!$A$5:$A$804,"&gt;="&amp;M$7,'WEBSITE CONTENT SEO'!$A$5:$A$804,"&lt;="&amp;M$8))</f>
        <v>0</v>
      </c>
    </row>
    <row r="68">
      <c r="A68" s="117" t="str">
        <f>IF('CLIENT MASTER'!A8="","",'CLIENT MASTER'!A8)</f>
        <v>Vestrics</v>
      </c>
      <c r="B68" s="89">
        <f>IF($A68="","",COUNTIFS('LEAD MQL TRACKER'!$B$5:$B$1004,$A68,'LEAD MQL TRACKER'!$AB$5:$AB$1004,1,'LEAD MQL TRACKER'!$Z$5:$Z$1004,"&gt;="&amp;B$7,'LEAD MQL TRACKER'!$Z$5:$Z$1004,"&lt;="&amp;B$8)+SUMIFS('EMAIL MARKETING'!$Q$5:$Q$804,'EMAIL MARKETING'!$B$5:$B$804,$A68,'EMAIL MARKETING'!$A$5:$A$804,"&gt;="&amp;B$7,'EMAIL MARKETING'!$A$5:$A$804,"&lt;="&amp;B$8)+SUMIFS('PAID MEDIA ADS'!$M$5:$M$804,'PAID MEDIA ADS'!$B$5:$B$804,$A68,'PAID MEDIA ADS'!$A$5:$A$804,"&gt;="&amp;B$7,'PAID MEDIA ADS'!$A$5:$A$804,"&lt;="&amp;B$8)+SUMIFS('LINKEDIN OUTREACH'!$N$5:$N$704,'LINKEDIN OUTREACH'!$B$5:$B$704,$A68,'LINKEDIN OUTREACH'!$A$5:$A$704,"&gt;="&amp;B$7,'LINKEDIN OUTREACH'!$A$5:$A$704,"&lt;="&amp;B$8)+SUMIFS('WEBSITE CONTENT SEO'!$L$5:$L$804,'WEBSITE CONTENT SEO'!$B$5:$B$804,$A68,'WEBSITE CONTENT SEO'!$A$5:$A$804,"&gt;="&amp;B$7,'WEBSITE CONTENT SEO'!$A$5:$A$804,"&lt;="&amp;B$8))</f>
        <v>0</v>
      </c>
      <c r="C68" s="89">
        <f>IF($A68="","",COUNTIFS('LEAD MQL TRACKER'!$B$5:$B$1004,$A68,'LEAD MQL TRACKER'!$AB$5:$AB$1004,1,'LEAD MQL TRACKER'!$Z$5:$Z$1004,"&gt;="&amp;C$7,'LEAD MQL TRACKER'!$Z$5:$Z$1004,"&lt;="&amp;C$8)+SUMIFS('EMAIL MARKETING'!$Q$5:$Q$804,'EMAIL MARKETING'!$B$5:$B$804,$A68,'EMAIL MARKETING'!$A$5:$A$804,"&gt;="&amp;C$7,'EMAIL MARKETING'!$A$5:$A$804,"&lt;="&amp;C$8)+SUMIFS('PAID MEDIA ADS'!$M$5:$M$804,'PAID MEDIA ADS'!$B$5:$B$804,$A68,'PAID MEDIA ADS'!$A$5:$A$804,"&gt;="&amp;C$7,'PAID MEDIA ADS'!$A$5:$A$804,"&lt;="&amp;C$8)+SUMIFS('LINKEDIN OUTREACH'!$N$5:$N$704,'LINKEDIN OUTREACH'!$B$5:$B$704,$A68,'LINKEDIN OUTREACH'!$A$5:$A$704,"&gt;="&amp;C$7,'LINKEDIN OUTREACH'!$A$5:$A$704,"&lt;="&amp;C$8)+SUMIFS('WEBSITE CONTENT SEO'!$L$5:$L$804,'WEBSITE CONTENT SEO'!$B$5:$B$804,$A68,'WEBSITE CONTENT SEO'!$A$5:$A$804,"&gt;="&amp;C$7,'WEBSITE CONTENT SEO'!$A$5:$A$804,"&lt;="&amp;C$8))</f>
        <v>0</v>
      </c>
      <c r="D68" s="89">
        <f>IF($A68="","",COUNTIFS('LEAD MQL TRACKER'!$B$5:$B$1004,$A68,'LEAD MQL TRACKER'!$AB$5:$AB$1004,1,'LEAD MQL TRACKER'!$Z$5:$Z$1004,"&gt;="&amp;D$7,'LEAD MQL TRACKER'!$Z$5:$Z$1004,"&lt;="&amp;D$8)+SUMIFS('EMAIL MARKETING'!$Q$5:$Q$804,'EMAIL MARKETING'!$B$5:$B$804,$A68,'EMAIL MARKETING'!$A$5:$A$804,"&gt;="&amp;D$7,'EMAIL MARKETING'!$A$5:$A$804,"&lt;="&amp;D$8)+SUMIFS('PAID MEDIA ADS'!$M$5:$M$804,'PAID MEDIA ADS'!$B$5:$B$804,$A68,'PAID MEDIA ADS'!$A$5:$A$804,"&gt;="&amp;D$7,'PAID MEDIA ADS'!$A$5:$A$804,"&lt;="&amp;D$8)+SUMIFS('LINKEDIN OUTREACH'!$N$5:$N$704,'LINKEDIN OUTREACH'!$B$5:$B$704,$A68,'LINKEDIN OUTREACH'!$A$5:$A$704,"&gt;="&amp;D$7,'LINKEDIN OUTREACH'!$A$5:$A$704,"&lt;="&amp;D$8)+SUMIFS('WEBSITE CONTENT SEO'!$L$5:$L$804,'WEBSITE CONTENT SEO'!$B$5:$B$804,$A68,'WEBSITE CONTENT SEO'!$A$5:$A$804,"&gt;="&amp;D$7,'WEBSITE CONTENT SEO'!$A$5:$A$804,"&lt;="&amp;D$8))</f>
        <v>0</v>
      </c>
      <c r="E68" s="89">
        <f>IF($A68="","",COUNTIFS('LEAD MQL TRACKER'!$B$5:$B$1004,$A68,'LEAD MQL TRACKER'!$AB$5:$AB$1004,1,'LEAD MQL TRACKER'!$Z$5:$Z$1004,"&gt;="&amp;E$7,'LEAD MQL TRACKER'!$Z$5:$Z$1004,"&lt;="&amp;E$8)+SUMIFS('EMAIL MARKETING'!$Q$5:$Q$804,'EMAIL MARKETING'!$B$5:$B$804,$A68,'EMAIL MARKETING'!$A$5:$A$804,"&gt;="&amp;E$7,'EMAIL MARKETING'!$A$5:$A$804,"&lt;="&amp;E$8)+SUMIFS('PAID MEDIA ADS'!$M$5:$M$804,'PAID MEDIA ADS'!$B$5:$B$804,$A68,'PAID MEDIA ADS'!$A$5:$A$804,"&gt;="&amp;E$7,'PAID MEDIA ADS'!$A$5:$A$804,"&lt;="&amp;E$8)+SUMIFS('LINKEDIN OUTREACH'!$N$5:$N$704,'LINKEDIN OUTREACH'!$B$5:$B$704,$A68,'LINKEDIN OUTREACH'!$A$5:$A$704,"&gt;="&amp;E$7,'LINKEDIN OUTREACH'!$A$5:$A$704,"&lt;="&amp;E$8)+SUMIFS('WEBSITE CONTENT SEO'!$L$5:$L$804,'WEBSITE CONTENT SEO'!$B$5:$B$804,$A68,'WEBSITE CONTENT SEO'!$A$5:$A$804,"&gt;="&amp;E$7,'WEBSITE CONTENT SEO'!$A$5:$A$804,"&lt;="&amp;E$8))</f>
        <v>0</v>
      </c>
      <c r="F68" s="89">
        <f>IF($A68="","",COUNTIFS('LEAD MQL TRACKER'!$B$5:$B$1004,$A68,'LEAD MQL TRACKER'!$AB$5:$AB$1004,1,'LEAD MQL TRACKER'!$Z$5:$Z$1004,"&gt;="&amp;F$7,'LEAD MQL TRACKER'!$Z$5:$Z$1004,"&lt;="&amp;F$8)+SUMIFS('EMAIL MARKETING'!$Q$5:$Q$804,'EMAIL MARKETING'!$B$5:$B$804,$A68,'EMAIL MARKETING'!$A$5:$A$804,"&gt;="&amp;F$7,'EMAIL MARKETING'!$A$5:$A$804,"&lt;="&amp;F$8)+SUMIFS('PAID MEDIA ADS'!$M$5:$M$804,'PAID MEDIA ADS'!$B$5:$B$804,$A68,'PAID MEDIA ADS'!$A$5:$A$804,"&gt;="&amp;F$7,'PAID MEDIA ADS'!$A$5:$A$804,"&lt;="&amp;F$8)+SUMIFS('LINKEDIN OUTREACH'!$N$5:$N$704,'LINKEDIN OUTREACH'!$B$5:$B$704,$A68,'LINKEDIN OUTREACH'!$A$5:$A$704,"&gt;="&amp;F$7,'LINKEDIN OUTREACH'!$A$5:$A$704,"&lt;="&amp;F$8)+SUMIFS('WEBSITE CONTENT SEO'!$L$5:$L$804,'WEBSITE CONTENT SEO'!$B$5:$B$804,$A68,'WEBSITE CONTENT SEO'!$A$5:$A$804,"&gt;="&amp;F$7,'WEBSITE CONTENT SEO'!$A$5:$A$804,"&lt;="&amp;F$8))</f>
        <v>0</v>
      </c>
      <c r="G68" s="89">
        <f>IF($A68="","",COUNTIFS('LEAD MQL TRACKER'!$B$5:$B$1004,$A68,'LEAD MQL TRACKER'!$AB$5:$AB$1004,1,'LEAD MQL TRACKER'!$Z$5:$Z$1004,"&gt;="&amp;G$7,'LEAD MQL TRACKER'!$Z$5:$Z$1004,"&lt;="&amp;G$8)+SUMIFS('EMAIL MARKETING'!$Q$5:$Q$804,'EMAIL MARKETING'!$B$5:$B$804,$A68,'EMAIL MARKETING'!$A$5:$A$804,"&gt;="&amp;G$7,'EMAIL MARKETING'!$A$5:$A$804,"&lt;="&amp;G$8)+SUMIFS('PAID MEDIA ADS'!$M$5:$M$804,'PAID MEDIA ADS'!$B$5:$B$804,$A68,'PAID MEDIA ADS'!$A$5:$A$804,"&gt;="&amp;G$7,'PAID MEDIA ADS'!$A$5:$A$804,"&lt;="&amp;G$8)+SUMIFS('LINKEDIN OUTREACH'!$N$5:$N$704,'LINKEDIN OUTREACH'!$B$5:$B$704,$A68,'LINKEDIN OUTREACH'!$A$5:$A$704,"&gt;="&amp;G$7,'LINKEDIN OUTREACH'!$A$5:$A$704,"&lt;="&amp;G$8)+SUMIFS('WEBSITE CONTENT SEO'!$L$5:$L$804,'WEBSITE CONTENT SEO'!$B$5:$B$804,$A68,'WEBSITE CONTENT SEO'!$A$5:$A$804,"&gt;="&amp;G$7,'WEBSITE CONTENT SEO'!$A$5:$A$804,"&lt;="&amp;G$8))</f>
        <v>0</v>
      </c>
      <c r="H68" s="89">
        <f>IF($A68="","",COUNTIFS('LEAD MQL TRACKER'!$B$5:$B$1004,$A68,'LEAD MQL TRACKER'!$AB$5:$AB$1004,1,'LEAD MQL TRACKER'!$Z$5:$Z$1004,"&gt;="&amp;H$7,'LEAD MQL TRACKER'!$Z$5:$Z$1004,"&lt;="&amp;H$8)+SUMIFS('EMAIL MARKETING'!$Q$5:$Q$804,'EMAIL MARKETING'!$B$5:$B$804,$A68,'EMAIL MARKETING'!$A$5:$A$804,"&gt;="&amp;H$7,'EMAIL MARKETING'!$A$5:$A$804,"&lt;="&amp;H$8)+SUMIFS('PAID MEDIA ADS'!$M$5:$M$804,'PAID MEDIA ADS'!$B$5:$B$804,$A68,'PAID MEDIA ADS'!$A$5:$A$804,"&gt;="&amp;H$7,'PAID MEDIA ADS'!$A$5:$A$804,"&lt;="&amp;H$8)+SUMIFS('LINKEDIN OUTREACH'!$N$5:$N$704,'LINKEDIN OUTREACH'!$B$5:$B$704,$A68,'LINKEDIN OUTREACH'!$A$5:$A$704,"&gt;="&amp;H$7,'LINKEDIN OUTREACH'!$A$5:$A$704,"&lt;="&amp;H$8)+SUMIFS('WEBSITE CONTENT SEO'!$L$5:$L$804,'WEBSITE CONTENT SEO'!$B$5:$B$804,$A68,'WEBSITE CONTENT SEO'!$A$5:$A$804,"&gt;="&amp;H$7,'WEBSITE CONTENT SEO'!$A$5:$A$804,"&lt;="&amp;H$8))</f>
        <v>0</v>
      </c>
      <c r="I68" s="89">
        <f>IF($A68="","",COUNTIFS('LEAD MQL TRACKER'!$B$5:$B$1004,$A68,'LEAD MQL TRACKER'!$AB$5:$AB$1004,1,'LEAD MQL TRACKER'!$Z$5:$Z$1004,"&gt;="&amp;I$7,'LEAD MQL TRACKER'!$Z$5:$Z$1004,"&lt;="&amp;I$8)+SUMIFS('EMAIL MARKETING'!$Q$5:$Q$804,'EMAIL MARKETING'!$B$5:$B$804,$A68,'EMAIL MARKETING'!$A$5:$A$804,"&gt;="&amp;I$7,'EMAIL MARKETING'!$A$5:$A$804,"&lt;="&amp;I$8)+SUMIFS('PAID MEDIA ADS'!$M$5:$M$804,'PAID MEDIA ADS'!$B$5:$B$804,$A68,'PAID MEDIA ADS'!$A$5:$A$804,"&gt;="&amp;I$7,'PAID MEDIA ADS'!$A$5:$A$804,"&lt;="&amp;I$8)+SUMIFS('LINKEDIN OUTREACH'!$N$5:$N$704,'LINKEDIN OUTREACH'!$B$5:$B$704,$A68,'LINKEDIN OUTREACH'!$A$5:$A$704,"&gt;="&amp;I$7,'LINKEDIN OUTREACH'!$A$5:$A$704,"&lt;="&amp;I$8)+SUMIFS('WEBSITE CONTENT SEO'!$L$5:$L$804,'WEBSITE CONTENT SEO'!$B$5:$B$804,$A68,'WEBSITE CONTENT SEO'!$A$5:$A$804,"&gt;="&amp;I$7,'WEBSITE CONTENT SEO'!$A$5:$A$804,"&lt;="&amp;I$8))</f>
        <v>0</v>
      </c>
      <c r="J68" s="89">
        <f>IF($A68="","",COUNTIFS('LEAD MQL TRACKER'!$B$5:$B$1004,$A68,'LEAD MQL TRACKER'!$AB$5:$AB$1004,1,'LEAD MQL TRACKER'!$Z$5:$Z$1004,"&gt;="&amp;J$7,'LEAD MQL TRACKER'!$Z$5:$Z$1004,"&lt;="&amp;J$8)+SUMIFS('EMAIL MARKETING'!$Q$5:$Q$804,'EMAIL MARKETING'!$B$5:$B$804,$A68,'EMAIL MARKETING'!$A$5:$A$804,"&gt;="&amp;J$7,'EMAIL MARKETING'!$A$5:$A$804,"&lt;="&amp;J$8)+SUMIFS('PAID MEDIA ADS'!$M$5:$M$804,'PAID MEDIA ADS'!$B$5:$B$804,$A68,'PAID MEDIA ADS'!$A$5:$A$804,"&gt;="&amp;J$7,'PAID MEDIA ADS'!$A$5:$A$804,"&lt;="&amp;J$8)+SUMIFS('LINKEDIN OUTREACH'!$N$5:$N$704,'LINKEDIN OUTREACH'!$B$5:$B$704,$A68,'LINKEDIN OUTREACH'!$A$5:$A$704,"&gt;="&amp;J$7,'LINKEDIN OUTREACH'!$A$5:$A$704,"&lt;="&amp;J$8)+SUMIFS('WEBSITE CONTENT SEO'!$L$5:$L$804,'WEBSITE CONTENT SEO'!$B$5:$B$804,$A68,'WEBSITE CONTENT SEO'!$A$5:$A$804,"&gt;="&amp;J$7,'WEBSITE CONTENT SEO'!$A$5:$A$804,"&lt;="&amp;J$8))</f>
        <v>0</v>
      </c>
      <c r="K68" s="89">
        <f>IF($A68="","",COUNTIFS('LEAD MQL TRACKER'!$B$5:$B$1004,$A68,'LEAD MQL TRACKER'!$AB$5:$AB$1004,1,'LEAD MQL TRACKER'!$Z$5:$Z$1004,"&gt;="&amp;K$7,'LEAD MQL TRACKER'!$Z$5:$Z$1004,"&lt;="&amp;K$8)+SUMIFS('EMAIL MARKETING'!$Q$5:$Q$804,'EMAIL MARKETING'!$B$5:$B$804,$A68,'EMAIL MARKETING'!$A$5:$A$804,"&gt;="&amp;K$7,'EMAIL MARKETING'!$A$5:$A$804,"&lt;="&amp;K$8)+SUMIFS('PAID MEDIA ADS'!$M$5:$M$804,'PAID MEDIA ADS'!$B$5:$B$804,$A68,'PAID MEDIA ADS'!$A$5:$A$804,"&gt;="&amp;K$7,'PAID MEDIA ADS'!$A$5:$A$804,"&lt;="&amp;K$8)+SUMIFS('LINKEDIN OUTREACH'!$N$5:$N$704,'LINKEDIN OUTREACH'!$B$5:$B$704,$A68,'LINKEDIN OUTREACH'!$A$5:$A$704,"&gt;="&amp;K$7,'LINKEDIN OUTREACH'!$A$5:$A$704,"&lt;="&amp;K$8)+SUMIFS('WEBSITE CONTENT SEO'!$L$5:$L$804,'WEBSITE CONTENT SEO'!$B$5:$B$804,$A68,'WEBSITE CONTENT SEO'!$A$5:$A$804,"&gt;="&amp;K$7,'WEBSITE CONTENT SEO'!$A$5:$A$804,"&lt;="&amp;K$8))</f>
        <v>0</v>
      </c>
      <c r="L68" s="89">
        <f>IF($A68="","",COUNTIFS('LEAD MQL TRACKER'!$B$5:$B$1004,$A68,'LEAD MQL TRACKER'!$AB$5:$AB$1004,1,'LEAD MQL TRACKER'!$Z$5:$Z$1004,"&gt;="&amp;L$7,'LEAD MQL TRACKER'!$Z$5:$Z$1004,"&lt;="&amp;L$8)+SUMIFS('EMAIL MARKETING'!$Q$5:$Q$804,'EMAIL MARKETING'!$B$5:$B$804,$A68,'EMAIL MARKETING'!$A$5:$A$804,"&gt;="&amp;L$7,'EMAIL MARKETING'!$A$5:$A$804,"&lt;="&amp;L$8)+SUMIFS('PAID MEDIA ADS'!$M$5:$M$804,'PAID MEDIA ADS'!$B$5:$B$804,$A68,'PAID MEDIA ADS'!$A$5:$A$804,"&gt;="&amp;L$7,'PAID MEDIA ADS'!$A$5:$A$804,"&lt;="&amp;L$8)+SUMIFS('LINKEDIN OUTREACH'!$N$5:$N$704,'LINKEDIN OUTREACH'!$B$5:$B$704,$A68,'LINKEDIN OUTREACH'!$A$5:$A$704,"&gt;="&amp;L$7,'LINKEDIN OUTREACH'!$A$5:$A$704,"&lt;="&amp;L$8)+SUMIFS('WEBSITE CONTENT SEO'!$L$5:$L$804,'WEBSITE CONTENT SEO'!$B$5:$B$804,$A68,'WEBSITE CONTENT SEO'!$A$5:$A$804,"&gt;="&amp;L$7,'WEBSITE CONTENT SEO'!$A$5:$A$804,"&lt;="&amp;L$8))</f>
        <v>0</v>
      </c>
      <c r="M68" s="89">
        <f>IF($A68="","",COUNTIFS('LEAD MQL TRACKER'!$B$5:$B$1004,$A68,'LEAD MQL TRACKER'!$AB$5:$AB$1004,1,'LEAD MQL TRACKER'!$Z$5:$Z$1004,"&gt;="&amp;M$7,'LEAD MQL TRACKER'!$Z$5:$Z$1004,"&lt;="&amp;M$8)+SUMIFS('EMAIL MARKETING'!$Q$5:$Q$804,'EMAIL MARKETING'!$B$5:$B$804,$A68,'EMAIL MARKETING'!$A$5:$A$804,"&gt;="&amp;M$7,'EMAIL MARKETING'!$A$5:$A$804,"&lt;="&amp;M$8)+SUMIFS('PAID MEDIA ADS'!$M$5:$M$804,'PAID MEDIA ADS'!$B$5:$B$804,$A68,'PAID MEDIA ADS'!$A$5:$A$804,"&gt;="&amp;M$7,'PAID MEDIA ADS'!$A$5:$A$804,"&lt;="&amp;M$8)+SUMIFS('LINKEDIN OUTREACH'!$N$5:$N$704,'LINKEDIN OUTREACH'!$B$5:$B$704,$A68,'LINKEDIN OUTREACH'!$A$5:$A$704,"&gt;="&amp;M$7,'LINKEDIN OUTREACH'!$A$5:$A$704,"&lt;="&amp;M$8)+SUMIFS('WEBSITE CONTENT SEO'!$L$5:$L$804,'WEBSITE CONTENT SEO'!$B$5:$B$804,$A68,'WEBSITE CONTENT SEO'!$A$5:$A$804,"&gt;="&amp;M$7,'WEBSITE CONTENT SEO'!$A$5:$A$804,"&lt;="&amp;M$8))</f>
        <v>0</v>
      </c>
    </row>
    <row r="69">
      <c r="A69" s="117" t="str">
        <f>IF('CLIENT MASTER'!A9="","",'CLIENT MASTER'!A9)</f>
        <v>Lenovo</v>
      </c>
      <c r="B69" s="89">
        <f>IF($A69="","",COUNTIFS('LEAD MQL TRACKER'!$B$5:$B$1004,$A69,'LEAD MQL TRACKER'!$AB$5:$AB$1004,1,'LEAD MQL TRACKER'!$Z$5:$Z$1004,"&gt;="&amp;B$7,'LEAD MQL TRACKER'!$Z$5:$Z$1004,"&lt;="&amp;B$8)+SUMIFS('EMAIL MARKETING'!$Q$5:$Q$804,'EMAIL MARKETING'!$B$5:$B$804,$A69,'EMAIL MARKETING'!$A$5:$A$804,"&gt;="&amp;B$7,'EMAIL MARKETING'!$A$5:$A$804,"&lt;="&amp;B$8)+SUMIFS('PAID MEDIA ADS'!$M$5:$M$804,'PAID MEDIA ADS'!$B$5:$B$804,$A69,'PAID MEDIA ADS'!$A$5:$A$804,"&gt;="&amp;B$7,'PAID MEDIA ADS'!$A$5:$A$804,"&lt;="&amp;B$8)+SUMIFS('LINKEDIN OUTREACH'!$N$5:$N$704,'LINKEDIN OUTREACH'!$B$5:$B$704,$A69,'LINKEDIN OUTREACH'!$A$5:$A$704,"&gt;="&amp;B$7,'LINKEDIN OUTREACH'!$A$5:$A$704,"&lt;="&amp;B$8)+SUMIFS('WEBSITE CONTENT SEO'!$L$5:$L$804,'WEBSITE CONTENT SEO'!$B$5:$B$804,$A69,'WEBSITE CONTENT SEO'!$A$5:$A$804,"&gt;="&amp;B$7,'WEBSITE CONTENT SEO'!$A$5:$A$804,"&lt;="&amp;B$8))</f>
        <v>0</v>
      </c>
      <c r="C69" s="89">
        <f>IF($A69="","",COUNTIFS('LEAD MQL TRACKER'!$B$5:$B$1004,$A69,'LEAD MQL TRACKER'!$AB$5:$AB$1004,1,'LEAD MQL TRACKER'!$Z$5:$Z$1004,"&gt;="&amp;C$7,'LEAD MQL TRACKER'!$Z$5:$Z$1004,"&lt;="&amp;C$8)+SUMIFS('EMAIL MARKETING'!$Q$5:$Q$804,'EMAIL MARKETING'!$B$5:$B$804,$A69,'EMAIL MARKETING'!$A$5:$A$804,"&gt;="&amp;C$7,'EMAIL MARKETING'!$A$5:$A$804,"&lt;="&amp;C$8)+SUMIFS('PAID MEDIA ADS'!$M$5:$M$804,'PAID MEDIA ADS'!$B$5:$B$804,$A69,'PAID MEDIA ADS'!$A$5:$A$804,"&gt;="&amp;C$7,'PAID MEDIA ADS'!$A$5:$A$804,"&lt;="&amp;C$8)+SUMIFS('LINKEDIN OUTREACH'!$N$5:$N$704,'LINKEDIN OUTREACH'!$B$5:$B$704,$A69,'LINKEDIN OUTREACH'!$A$5:$A$704,"&gt;="&amp;C$7,'LINKEDIN OUTREACH'!$A$5:$A$704,"&lt;="&amp;C$8)+SUMIFS('WEBSITE CONTENT SEO'!$L$5:$L$804,'WEBSITE CONTENT SEO'!$B$5:$B$804,$A69,'WEBSITE CONTENT SEO'!$A$5:$A$804,"&gt;="&amp;C$7,'WEBSITE CONTENT SEO'!$A$5:$A$804,"&lt;="&amp;C$8))</f>
        <v>0</v>
      </c>
      <c r="D69" s="89">
        <f>IF($A69="","",COUNTIFS('LEAD MQL TRACKER'!$B$5:$B$1004,$A69,'LEAD MQL TRACKER'!$AB$5:$AB$1004,1,'LEAD MQL TRACKER'!$Z$5:$Z$1004,"&gt;="&amp;D$7,'LEAD MQL TRACKER'!$Z$5:$Z$1004,"&lt;="&amp;D$8)+SUMIFS('EMAIL MARKETING'!$Q$5:$Q$804,'EMAIL MARKETING'!$B$5:$B$804,$A69,'EMAIL MARKETING'!$A$5:$A$804,"&gt;="&amp;D$7,'EMAIL MARKETING'!$A$5:$A$804,"&lt;="&amp;D$8)+SUMIFS('PAID MEDIA ADS'!$M$5:$M$804,'PAID MEDIA ADS'!$B$5:$B$804,$A69,'PAID MEDIA ADS'!$A$5:$A$804,"&gt;="&amp;D$7,'PAID MEDIA ADS'!$A$5:$A$804,"&lt;="&amp;D$8)+SUMIFS('LINKEDIN OUTREACH'!$N$5:$N$704,'LINKEDIN OUTREACH'!$B$5:$B$704,$A69,'LINKEDIN OUTREACH'!$A$5:$A$704,"&gt;="&amp;D$7,'LINKEDIN OUTREACH'!$A$5:$A$704,"&lt;="&amp;D$8)+SUMIFS('WEBSITE CONTENT SEO'!$L$5:$L$804,'WEBSITE CONTENT SEO'!$B$5:$B$804,$A69,'WEBSITE CONTENT SEO'!$A$5:$A$804,"&gt;="&amp;D$7,'WEBSITE CONTENT SEO'!$A$5:$A$804,"&lt;="&amp;D$8))</f>
        <v>0</v>
      </c>
      <c r="E69" s="89">
        <f>IF($A69="","",COUNTIFS('LEAD MQL TRACKER'!$B$5:$B$1004,$A69,'LEAD MQL TRACKER'!$AB$5:$AB$1004,1,'LEAD MQL TRACKER'!$Z$5:$Z$1004,"&gt;="&amp;E$7,'LEAD MQL TRACKER'!$Z$5:$Z$1004,"&lt;="&amp;E$8)+SUMIFS('EMAIL MARKETING'!$Q$5:$Q$804,'EMAIL MARKETING'!$B$5:$B$804,$A69,'EMAIL MARKETING'!$A$5:$A$804,"&gt;="&amp;E$7,'EMAIL MARKETING'!$A$5:$A$804,"&lt;="&amp;E$8)+SUMIFS('PAID MEDIA ADS'!$M$5:$M$804,'PAID MEDIA ADS'!$B$5:$B$804,$A69,'PAID MEDIA ADS'!$A$5:$A$804,"&gt;="&amp;E$7,'PAID MEDIA ADS'!$A$5:$A$804,"&lt;="&amp;E$8)+SUMIFS('LINKEDIN OUTREACH'!$N$5:$N$704,'LINKEDIN OUTREACH'!$B$5:$B$704,$A69,'LINKEDIN OUTREACH'!$A$5:$A$704,"&gt;="&amp;E$7,'LINKEDIN OUTREACH'!$A$5:$A$704,"&lt;="&amp;E$8)+SUMIFS('WEBSITE CONTENT SEO'!$L$5:$L$804,'WEBSITE CONTENT SEO'!$B$5:$B$804,$A69,'WEBSITE CONTENT SEO'!$A$5:$A$804,"&gt;="&amp;E$7,'WEBSITE CONTENT SEO'!$A$5:$A$804,"&lt;="&amp;E$8))</f>
        <v>0</v>
      </c>
      <c r="F69" s="89">
        <f>IF($A69="","",COUNTIFS('LEAD MQL TRACKER'!$B$5:$B$1004,$A69,'LEAD MQL TRACKER'!$AB$5:$AB$1004,1,'LEAD MQL TRACKER'!$Z$5:$Z$1004,"&gt;="&amp;F$7,'LEAD MQL TRACKER'!$Z$5:$Z$1004,"&lt;="&amp;F$8)+SUMIFS('EMAIL MARKETING'!$Q$5:$Q$804,'EMAIL MARKETING'!$B$5:$B$804,$A69,'EMAIL MARKETING'!$A$5:$A$804,"&gt;="&amp;F$7,'EMAIL MARKETING'!$A$5:$A$804,"&lt;="&amp;F$8)+SUMIFS('PAID MEDIA ADS'!$M$5:$M$804,'PAID MEDIA ADS'!$B$5:$B$804,$A69,'PAID MEDIA ADS'!$A$5:$A$804,"&gt;="&amp;F$7,'PAID MEDIA ADS'!$A$5:$A$804,"&lt;="&amp;F$8)+SUMIFS('LINKEDIN OUTREACH'!$N$5:$N$704,'LINKEDIN OUTREACH'!$B$5:$B$704,$A69,'LINKEDIN OUTREACH'!$A$5:$A$704,"&gt;="&amp;F$7,'LINKEDIN OUTREACH'!$A$5:$A$704,"&lt;="&amp;F$8)+SUMIFS('WEBSITE CONTENT SEO'!$L$5:$L$804,'WEBSITE CONTENT SEO'!$B$5:$B$804,$A69,'WEBSITE CONTENT SEO'!$A$5:$A$804,"&gt;="&amp;F$7,'WEBSITE CONTENT SEO'!$A$5:$A$804,"&lt;="&amp;F$8))</f>
        <v>0</v>
      </c>
      <c r="G69" s="89">
        <f>IF($A69="","",COUNTIFS('LEAD MQL TRACKER'!$B$5:$B$1004,$A69,'LEAD MQL TRACKER'!$AB$5:$AB$1004,1,'LEAD MQL TRACKER'!$Z$5:$Z$1004,"&gt;="&amp;G$7,'LEAD MQL TRACKER'!$Z$5:$Z$1004,"&lt;="&amp;G$8)+SUMIFS('EMAIL MARKETING'!$Q$5:$Q$804,'EMAIL MARKETING'!$B$5:$B$804,$A69,'EMAIL MARKETING'!$A$5:$A$804,"&gt;="&amp;G$7,'EMAIL MARKETING'!$A$5:$A$804,"&lt;="&amp;G$8)+SUMIFS('PAID MEDIA ADS'!$M$5:$M$804,'PAID MEDIA ADS'!$B$5:$B$804,$A69,'PAID MEDIA ADS'!$A$5:$A$804,"&gt;="&amp;G$7,'PAID MEDIA ADS'!$A$5:$A$804,"&lt;="&amp;G$8)+SUMIFS('LINKEDIN OUTREACH'!$N$5:$N$704,'LINKEDIN OUTREACH'!$B$5:$B$704,$A69,'LINKEDIN OUTREACH'!$A$5:$A$704,"&gt;="&amp;G$7,'LINKEDIN OUTREACH'!$A$5:$A$704,"&lt;="&amp;G$8)+SUMIFS('WEBSITE CONTENT SEO'!$L$5:$L$804,'WEBSITE CONTENT SEO'!$B$5:$B$804,$A69,'WEBSITE CONTENT SEO'!$A$5:$A$804,"&gt;="&amp;G$7,'WEBSITE CONTENT SEO'!$A$5:$A$804,"&lt;="&amp;G$8))</f>
        <v>0</v>
      </c>
      <c r="H69" s="89">
        <f>IF($A69="","",COUNTIFS('LEAD MQL TRACKER'!$B$5:$B$1004,$A69,'LEAD MQL TRACKER'!$AB$5:$AB$1004,1,'LEAD MQL TRACKER'!$Z$5:$Z$1004,"&gt;="&amp;H$7,'LEAD MQL TRACKER'!$Z$5:$Z$1004,"&lt;="&amp;H$8)+SUMIFS('EMAIL MARKETING'!$Q$5:$Q$804,'EMAIL MARKETING'!$B$5:$B$804,$A69,'EMAIL MARKETING'!$A$5:$A$804,"&gt;="&amp;H$7,'EMAIL MARKETING'!$A$5:$A$804,"&lt;="&amp;H$8)+SUMIFS('PAID MEDIA ADS'!$M$5:$M$804,'PAID MEDIA ADS'!$B$5:$B$804,$A69,'PAID MEDIA ADS'!$A$5:$A$804,"&gt;="&amp;H$7,'PAID MEDIA ADS'!$A$5:$A$804,"&lt;="&amp;H$8)+SUMIFS('LINKEDIN OUTREACH'!$N$5:$N$704,'LINKEDIN OUTREACH'!$B$5:$B$704,$A69,'LINKEDIN OUTREACH'!$A$5:$A$704,"&gt;="&amp;H$7,'LINKEDIN OUTREACH'!$A$5:$A$704,"&lt;="&amp;H$8)+SUMIFS('WEBSITE CONTENT SEO'!$L$5:$L$804,'WEBSITE CONTENT SEO'!$B$5:$B$804,$A69,'WEBSITE CONTENT SEO'!$A$5:$A$804,"&gt;="&amp;H$7,'WEBSITE CONTENT SEO'!$A$5:$A$804,"&lt;="&amp;H$8))</f>
        <v>0</v>
      </c>
      <c r="I69" s="89">
        <f>IF($A69="","",COUNTIFS('LEAD MQL TRACKER'!$B$5:$B$1004,$A69,'LEAD MQL TRACKER'!$AB$5:$AB$1004,1,'LEAD MQL TRACKER'!$Z$5:$Z$1004,"&gt;="&amp;I$7,'LEAD MQL TRACKER'!$Z$5:$Z$1004,"&lt;="&amp;I$8)+SUMIFS('EMAIL MARKETING'!$Q$5:$Q$804,'EMAIL MARKETING'!$B$5:$B$804,$A69,'EMAIL MARKETING'!$A$5:$A$804,"&gt;="&amp;I$7,'EMAIL MARKETING'!$A$5:$A$804,"&lt;="&amp;I$8)+SUMIFS('PAID MEDIA ADS'!$M$5:$M$804,'PAID MEDIA ADS'!$B$5:$B$804,$A69,'PAID MEDIA ADS'!$A$5:$A$804,"&gt;="&amp;I$7,'PAID MEDIA ADS'!$A$5:$A$804,"&lt;="&amp;I$8)+SUMIFS('LINKEDIN OUTREACH'!$N$5:$N$704,'LINKEDIN OUTREACH'!$B$5:$B$704,$A69,'LINKEDIN OUTREACH'!$A$5:$A$704,"&gt;="&amp;I$7,'LINKEDIN OUTREACH'!$A$5:$A$704,"&lt;="&amp;I$8)+SUMIFS('WEBSITE CONTENT SEO'!$L$5:$L$804,'WEBSITE CONTENT SEO'!$B$5:$B$804,$A69,'WEBSITE CONTENT SEO'!$A$5:$A$804,"&gt;="&amp;I$7,'WEBSITE CONTENT SEO'!$A$5:$A$804,"&lt;="&amp;I$8))</f>
        <v>0</v>
      </c>
      <c r="J69" s="89">
        <f>IF($A69="","",COUNTIFS('LEAD MQL TRACKER'!$B$5:$B$1004,$A69,'LEAD MQL TRACKER'!$AB$5:$AB$1004,1,'LEAD MQL TRACKER'!$Z$5:$Z$1004,"&gt;="&amp;J$7,'LEAD MQL TRACKER'!$Z$5:$Z$1004,"&lt;="&amp;J$8)+SUMIFS('EMAIL MARKETING'!$Q$5:$Q$804,'EMAIL MARKETING'!$B$5:$B$804,$A69,'EMAIL MARKETING'!$A$5:$A$804,"&gt;="&amp;J$7,'EMAIL MARKETING'!$A$5:$A$804,"&lt;="&amp;J$8)+SUMIFS('PAID MEDIA ADS'!$M$5:$M$804,'PAID MEDIA ADS'!$B$5:$B$804,$A69,'PAID MEDIA ADS'!$A$5:$A$804,"&gt;="&amp;J$7,'PAID MEDIA ADS'!$A$5:$A$804,"&lt;="&amp;J$8)+SUMIFS('LINKEDIN OUTREACH'!$N$5:$N$704,'LINKEDIN OUTREACH'!$B$5:$B$704,$A69,'LINKEDIN OUTREACH'!$A$5:$A$704,"&gt;="&amp;J$7,'LINKEDIN OUTREACH'!$A$5:$A$704,"&lt;="&amp;J$8)+SUMIFS('WEBSITE CONTENT SEO'!$L$5:$L$804,'WEBSITE CONTENT SEO'!$B$5:$B$804,$A69,'WEBSITE CONTENT SEO'!$A$5:$A$804,"&gt;="&amp;J$7,'WEBSITE CONTENT SEO'!$A$5:$A$804,"&lt;="&amp;J$8))</f>
        <v>0</v>
      </c>
      <c r="K69" s="89">
        <f>IF($A69="","",COUNTIFS('LEAD MQL TRACKER'!$B$5:$B$1004,$A69,'LEAD MQL TRACKER'!$AB$5:$AB$1004,1,'LEAD MQL TRACKER'!$Z$5:$Z$1004,"&gt;="&amp;K$7,'LEAD MQL TRACKER'!$Z$5:$Z$1004,"&lt;="&amp;K$8)+SUMIFS('EMAIL MARKETING'!$Q$5:$Q$804,'EMAIL MARKETING'!$B$5:$B$804,$A69,'EMAIL MARKETING'!$A$5:$A$804,"&gt;="&amp;K$7,'EMAIL MARKETING'!$A$5:$A$804,"&lt;="&amp;K$8)+SUMIFS('PAID MEDIA ADS'!$M$5:$M$804,'PAID MEDIA ADS'!$B$5:$B$804,$A69,'PAID MEDIA ADS'!$A$5:$A$804,"&gt;="&amp;K$7,'PAID MEDIA ADS'!$A$5:$A$804,"&lt;="&amp;K$8)+SUMIFS('LINKEDIN OUTREACH'!$N$5:$N$704,'LINKEDIN OUTREACH'!$B$5:$B$704,$A69,'LINKEDIN OUTREACH'!$A$5:$A$704,"&gt;="&amp;K$7,'LINKEDIN OUTREACH'!$A$5:$A$704,"&lt;="&amp;K$8)+SUMIFS('WEBSITE CONTENT SEO'!$L$5:$L$804,'WEBSITE CONTENT SEO'!$B$5:$B$804,$A69,'WEBSITE CONTENT SEO'!$A$5:$A$804,"&gt;="&amp;K$7,'WEBSITE CONTENT SEO'!$A$5:$A$804,"&lt;="&amp;K$8))</f>
        <v>0</v>
      </c>
      <c r="L69" s="89">
        <f>IF($A69="","",COUNTIFS('LEAD MQL TRACKER'!$B$5:$B$1004,$A69,'LEAD MQL TRACKER'!$AB$5:$AB$1004,1,'LEAD MQL TRACKER'!$Z$5:$Z$1004,"&gt;="&amp;L$7,'LEAD MQL TRACKER'!$Z$5:$Z$1004,"&lt;="&amp;L$8)+SUMIFS('EMAIL MARKETING'!$Q$5:$Q$804,'EMAIL MARKETING'!$B$5:$B$804,$A69,'EMAIL MARKETING'!$A$5:$A$804,"&gt;="&amp;L$7,'EMAIL MARKETING'!$A$5:$A$804,"&lt;="&amp;L$8)+SUMIFS('PAID MEDIA ADS'!$M$5:$M$804,'PAID MEDIA ADS'!$B$5:$B$804,$A69,'PAID MEDIA ADS'!$A$5:$A$804,"&gt;="&amp;L$7,'PAID MEDIA ADS'!$A$5:$A$804,"&lt;="&amp;L$8)+SUMIFS('LINKEDIN OUTREACH'!$N$5:$N$704,'LINKEDIN OUTREACH'!$B$5:$B$704,$A69,'LINKEDIN OUTREACH'!$A$5:$A$704,"&gt;="&amp;L$7,'LINKEDIN OUTREACH'!$A$5:$A$704,"&lt;="&amp;L$8)+SUMIFS('WEBSITE CONTENT SEO'!$L$5:$L$804,'WEBSITE CONTENT SEO'!$B$5:$B$804,$A69,'WEBSITE CONTENT SEO'!$A$5:$A$804,"&gt;="&amp;L$7,'WEBSITE CONTENT SEO'!$A$5:$A$804,"&lt;="&amp;L$8))</f>
        <v>0</v>
      </c>
      <c r="M69" s="89">
        <f>IF($A69="","",COUNTIFS('LEAD MQL TRACKER'!$B$5:$B$1004,$A69,'LEAD MQL TRACKER'!$AB$5:$AB$1004,1,'LEAD MQL TRACKER'!$Z$5:$Z$1004,"&gt;="&amp;M$7,'LEAD MQL TRACKER'!$Z$5:$Z$1004,"&lt;="&amp;M$8)+SUMIFS('EMAIL MARKETING'!$Q$5:$Q$804,'EMAIL MARKETING'!$B$5:$B$804,$A69,'EMAIL MARKETING'!$A$5:$A$804,"&gt;="&amp;M$7,'EMAIL MARKETING'!$A$5:$A$804,"&lt;="&amp;M$8)+SUMIFS('PAID MEDIA ADS'!$M$5:$M$804,'PAID MEDIA ADS'!$B$5:$B$804,$A69,'PAID MEDIA ADS'!$A$5:$A$804,"&gt;="&amp;M$7,'PAID MEDIA ADS'!$A$5:$A$804,"&lt;="&amp;M$8)+SUMIFS('LINKEDIN OUTREACH'!$N$5:$N$704,'LINKEDIN OUTREACH'!$B$5:$B$704,$A69,'LINKEDIN OUTREACH'!$A$5:$A$704,"&gt;="&amp;M$7,'LINKEDIN OUTREACH'!$A$5:$A$704,"&lt;="&amp;M$8)+SUMIFS('WEBSITE CONTENT SEO'!$L$5:$L$804,'WEBSITE CONTENT SEO'!$B$5:$B$804,$A69,'WEBSITE CONTENT SEO'!$A$5:$A$804,"&gt;="&amp;M$7,'WEBSITE CONTENT SEO'!$A$5:$A$804,"&lt;="&amp;M$8))</f>
        <v>0</v>
      </c>
    </row>
    <row r="70">
      <c r="A70" s="117" t="str">
        <f>IF('CLIENT MASTER'!A10="","",'CLIENT MASTER'!A10)</f>
        <v>SAP</v>
      </c>
      <c r="B70" s="89">
        <f>IF($A70="","",COUNTIFS('LEAD MQL TRACKER'!$B$5:$B$1004,$A70,'LEAD MQL TRACKER'!$AB$5:$AB$1004,1,'LEAD MQL TRACKER'!$Z$5:$Z$1004,"&gt;="&amp;B$7,'LEAD MQL TRACKER'!$Z$5:$Z$1004,"&lt;="&amp;B$8)+SUMIFS('EMAIL MARKETING'!$Q$5:$Q$804,'EMAIL MARKETING'!$B$5:$B$804,$A70,'EMAIL MARKETING'!$A$5:$A$804,"&gt;="&amp;B$7,'EMAIL MARKETING'!$A$5:$A$804,"&lt;="&amp;B$8)+SUMIFS('PAID MEDIA ADS'!$M$5:$M$804,'PAID MEDIA ADS'!$B$5:$B$804,$A70,'PAID MEDIA ADS'!$A$5:$A$804,"&gt;="&amp;B$7,'PAID MEDIA ADS'!$A$5:$A$804,"&lt;="&amp;B$8)+SUMIFS('LINKEDIN OUTREACH'!$N$5:$N$704,'LINKEDIN OUTREACH'!$B$5:$B$704,$A70,'LINKEDIN OUTREACH'!$A$5:$A$704,"&gt;="&amp;B$7,'LINKEDIN OUTREACH'!$A$5:$A$704,"&lt;="&amp;B$8)+SUMIFS('WEBSITE CONTENT SEO'!$L$5:$L$804,'WEBSITE CONTENT SEO'!$B$5:$B$804,$A70,'WEBSITE CONTENT SEO'!$A$5:$A$804,"&gt;="&amp;B$7,'WEBSITE CONTENT SEO'!$A$5:$A$804,"&lt;="&amp;B$8))</f>
        <v>0</v>
      </c>
      <c r="C70" s="89">
        <f>IF($A70="","",COUNTIFS('LEAD MQL TRACKER'!$B$5:$B$1004,$A70,'LEAD MQL TRACKER'!$AB$5:$AB$1004,1,'LEAD MQL TRACKER'!$Z$5:$Z$1004,"&gt;="&amp;C$7,'LEAD MQL TRACKER'!$Z$5:$Z$1004,"&lt;="&amp;C$8)+SUMIFS('EMAIL MARKETING'!$Q$5:$Q$804,'EMAIL MARKETING'!$B$5:$B$804,$A70,'EMAIL MARKETING'!$A$5:$A$804,"&gt;="&amp;C$7,'EMAIL MARKETING'!$A$5:$A$804,"&lt;="&amp;C$8)+SUMIFS('PAID MEDIA ADS'!$M$5:$M$804,'PAID MEDIA ADS'!$B$5:$B$804,$A70,'PAID MEDIA ADS'!$A$5:$A$804,"&gt;="&amp;C$7,'PAID MEDIA ADS'!$A$5:$A$804,"&lt;="&amp;C$8)+SUMIFS('LINKEDIN OUTREACH'!$N$5:$N$704,'LINKEDIN OUTREACH'!$B$5:$B$704,$A70,'LINKEDIN OUTREACH'!$A$5:$A$704,"&gt;="&amp;C$7,'LINKEDIN OUTREACH'!$A$5:$A$704,"&lt;="&amp;C$8)+SUMIFS('WEBSITE CONTENT SEO'!$L$5:$L$804,'WEBSITE CONTENT SEO'!$B$5:$B$804,$A70,'WEBSITE CONTENT SEO'!$A$5:$A$804,"&gt;="&amp;C$7,'WEBSITE CONTENT SEO'!$A$5:$A$804,"&lt;="&amp;C$8))</f>
        <v>0</v>
      </c>
      <c r="D70" s="89">
        <f>IF($A70="","",COUNTIFS('LEAD MQL TRACKER'!$B$5:$B$1004,$A70,'LEAD MQL TRACKER'!$AB$5:$AB$1004,1,'LEAD MQL TRACKER'!$Z$5:$Z$1004,"&gt;="&amp;D$7,'LEAD MQL TRACKER'!$Z$5:$Z$1004,"&lt;="&amp;D$8)+SUMIFS('EMAIL MARKETING'!$Q$5:$Q$804,'EMAIL MARKETING'!$B$5:$B$804,$A70,'EMAIL MARKETING'!$A$5:$A$804,"&gt;="&amp;D$7,'EMAIL MARKETING'!$A$5:$A$804,"&lt;="&amp;D$8)+SUMIFS('PAID MEDIA ADS'!$M$5:$M$804,'PAID MEDIA ADS'!$B$5:$B$804,$A70,'PAID MEDIA ADS'!$A$5:$A$804,"&gt;="&amp;D$7,'PAID MEDIA ADS'!$A$5:$A$804,"&lt;="&amp;D$8)+SUMIFS('LINKEDIN OUTREACH'!$N$5:$N$704,'LINKEDIN OUTREACH'!$B$5:$B$704,$A70,'LINKEDIN OUTREACH'!$A$5:$A$704,"&gt;="&amp;D$7,'LINKEDIN OUTREACH'!$A$5:$A$704,"&lt;="&amp;D$8)+SUMIFS('WEBSITE CONTENT SEO'!$L$5:$L$804,'WEBSITE CONTENT SEO'!$B$5:$B$804,$A70,'WEBSITE CONTENT SEO'!$A$5:$A$804,"&gt;="&amp;D$7,'WEBSITE CONTENT SEO'!$A$5:$A$804,"&lt;="&amp;D$8))</f>
        <v>0</v>
      </c>
      <c r="E70" s="89">
        <f>IF($A70="","",COUNTIFS('LEAD MQL TRACKER'!$B$5:$B$1004,$A70,'LEAD MQL TRACKER'!$AB$5:$AB$1004,1,'LEAD MQL TRACKER'!$Z$5:$Z$1004,"&gt;="&amp;E$7,'LEAD MQL TRACKER'!$Z$5:$Z$1004,"&lt;="&amp;E$8)+SUMIFS('EMAIL MARKETING'!$Q$5:$Q$804,'EMAIL MARKETING'!$B$5:$B$804,$A70,'EMAIL MARKETING'!$A$5:$A$804,"&gt;="&amp;E$7,'EMAIL MARKETING'!$A$5:$A$804,"&lt;="&amp;E$8)+SUMIFS('PAID MEDIA ADS'!$M$5:$M$804,'PAID MEDIA ADS'!$B$5:$B$804,$A70,'PAID MEDIA ADS'!$A$5:$A$804,"&gt;="&amp;E$7,'PAID MEDIA ADS'!$A$5:$A$804,"&lt;="&amp;E$8)+SUMIFS('LINKEDIN OUTREACH'!$N$5:$N$704,'LINKEDIN OUTREACH'!$B$5:$B$704,$A70,'LINKEDIN OUTREACH'!$A$5:$A$704,"&gt;="&amp;E$7,'LINKEDIN OUTREACH'!$A$5:$A$704,"&lt;="&amp;E$8)+SUMIFS('WEBSITE CONTENT SEO'!$L$5:$L$804,'WEBSITE CONTENT SEO'!$B$5:$B$804,$A70,'WEBSITE CONTENT SEO'!$A$5:$A$804,"&gt;="&amp;E$7,'WEBSITE CONTENT SEO'!$A$5:$A$804,"&lt;="&amp;E$8))</f>
        <v>0</v>
      </c>
      <c r="F70" s="89">
        <f>IF($A70="","",COUNTIFS('LEAD MQL TRACKER'!$B$5:$B$1004,$A70,'LEAD MQL TRACKER'!$AB$5:$AB$1004,1,'LEAD MQL TRACKER'!$Z$5:$Z$1004,"&gt;="&amp;F$7,'LEAD MQL TRACKER'!$Z$5:$Z$1004,"&lt;="&amp;F$8)+SUMIFS('EMAIL MARKETING'!$Q$5:$Q$804,'EMAIL MARKETING'!$B$5:$B$804,$A70,'EMAIL MARKETING'!$A$5:$A$804,"&gt;="&amp;F$7,'EMAIL MARKETING'!$A$5:$A$804,"&lt;="&amp;F$8)+SUMIFS('PAID MEDIA ADS'!$M$5:$M$804,'PAID MEDIA ADS'!$B$5:$B$804,$A70,'PAID MEDIA ADS'!$A$5:$A$804,"&gt;="&amp;F$7,'PAID MEDIA ADS'!$A$5:$A$804,"&lt;="&amp;F$8)+SUMIFS('LINKEDIN OUTREACH'!$N$5:$N$704,'LINKEDIN OUTREACH'!$B$5:$B$704,$A70,'LINKEDIN OUTREACH'!$A$5:$A$704,"&gt;="&amp;F$7,'LINKEDIN OUTREACH'!$A$5:$A$704,"&lt;="&amp;F$8)+SUMIFS('WEBSITE CONTENT SEO'!$L$5:$L$804,'WEBSITE CONTENT SEO'!$B$5:$B$804,$A70,'WEBSITE CONTENT SEO'!$A$5:$A$804,"&gt;="&amp;F$7,'WEBSITE CONTENT SEO'!$A$5:$A$804,"&lt;="&amp;F$8))</f>
        <v>0</v>
      </c>
      <c r="G70" s="89">
        <f>IF($A70="","",COUNTIFS('LEAD MQL TRACKER'!$B$5:$B$1004,$A70,'LEAD MQL TRACKER'!$AB$5:$AB$1004,1,'LEAD MQL TRACKER'!$Z$5:$Z$1004,"&gt;="&amp;G$7,'LEAD MQL TRACKER'!$Z$5:$Z$1004,"&lt;="&amp;G$8)+SUMIFS('EMAIL MARKETING'!$Q$5:$Q$804,'EMAIL MARKETING'!$B$5:$B$804,$A70,'EMAIL MARKETING'!$A$5:$A$804,"&gt;="&amp;G$7,'EMAIL MARKETING'!$A$5:$A$804,"&lt;="&amp;G$8)+SUMIFS('PAID MEDIA ADS'!$M$5:$M$804,'PAID MEDIA ADS'!$B$5:$B$804,$A70,'PAID MEDIA ADS'!$A$5:$A$804,"&gt;="&amp;G$7,'PAID MEDIA ADS'!$A$5:$A$804,"&lt;="&amp;G$8)+SUMIFS('LINKEDIN OUTREACH'!$N$5:$N$704,'LINKEDIN OUTREACH'!$B$5:$B$704,$A70,'LINKEDIN OUTREACH'!$A$5:$A$704,"&gt;="&amp;G$7,'LINKEDIN OUTREACH'!$A$5:$A$704,"&lt;="&amp;G$8)+SUMIFS('WEBSITE CONTENT SEO'!$L$5:$L$804,'WEBSITE CONTENT SEO'!$B$5:$B$804,$A70,'WEBSITE CONTENT SEO'!$A$5:$A$804,"&gt;="&amp;G$7,'WEBSITE CONTENT SEO'!$A$5:$A$804,"&lt;="&amp;G$8))</f>
        <v>0</v>
      </c>
      <c r="H70" s="89">
        <f>IF($A70="","",COUNTIFS('LEAD MQL TRACKER'!$B$5:$B$1004,$A70,'LEAD MQL TRACKER'!$AB$5:$AB$1004,1,'LEAD MQL TRACKER'!$Z$5:$Z$1004,"&gt;="&amp;H$7,'LEAD MQL TRACKER'!$Z$5:$Z$1004,"&lt;="&amp;H$8)+SUMIFS('EMAIL MARKETING'!$Q$5:$Q$804,'EMAIL MARKETING'!$B$5:$B$804,$A70,'EMAIL MARKETING'!$A$5:$A$804,"&gt;="&amp;H$7,'EMAIL MARKETING'!$A$5:$A$804,"&lt;="&amp;H$8)+SUMIFS('PAID MEDIA ADS'!$M$5:$M$804,'PAID MEDIA ADS'!$B$5:$B$804,$A70,'PAID MEDIA ADS'!$A$5:$A$804,"&gt;="&amp;H$7,'PAID MEDIA ADS'!$A$5:$A$804,"&lt;="&amp;H$8)+SUMIFS('LINKEDIN OUTREACH'!$N$5:$N$704,'LINKEDIN OUTREACH'!$B$5:$B$704,$A70,'LINKEDIN OUTREACH'!$A$5:$A$704,"&gt;="&amp;H$7,'LINKEDIN OUTREACH'!$A$5:$A$704,"&lt;="&amp;H$8)+SUMIFS('WEBSITE CONTENT SEO'!$L$5:$L$804,'WEBSITE CONTENT SEO'!$B$5:$B$804,$A70,'WEBSITE CONTENT SEO'!$A$5:$A$804,"&gt;="&amp;H$7,'WEBSITE CONTENT SEO'!$A$5:$A$804,"&lt;="&amp;H$8))</f>
        <v>0</v>
      </c>
      <c r="I70" s="89">
        <f>IF($A70="","",COUNTIFS('LEAD MQL TRACKER'!$B$5:$B$1004,$A70,'LEAD MQL TRACKER'!$AB$5:$AB$1004,1,'LEAD MQL TRACKER'!$Z$5:$Z$1004,"&gt;="&amp;I$7,'LEAD MQL TRACKER'!$Z$5:$Z$1004,"&lt;="&amp;I$8)+SUMIFS('EMAIL MARKETING'!$Q$5:$Q$804,'EMAIL MARKETING'!$B$5:$B$804,$A70,'EMAIL MARKETING'!$A$5:$A$804,"&gt;="&amp;I$7,'EMAIL MARKETING'!$A$5:$A$804,"&lt;="&amp;I$8)+SUMIFS('PAID MEDIA ADS'!$M$5:$M$804,'PAID MEDIA ADS'!$B$5:$B$804,$A70,'PAID MEDIA ADS'!$A$5:$A$804,"&gt;="&amp;I$7,'PAID MEDIA ADS'!$A$5:$A$804,"&lt;="&amp;I$8)+SUMIFS('LINKEDIN OUTREACH'!$N$5:$N$704,'LINKEDIN OUTREACH'!$B$5:$B$704,$A70,'LINKEDIN OUTREACH'!$A$5:$A$704,"&gt;="&amp;I$7,'LINKEDIN OUTREACH'!$A$5:$A$704,"&lt;="&amp;I$8)+SUMIFS('WEBSITE CONTENT SEO'!$L$5:$L$804,'WEBSITE CONTENT SEO'!$B$5:$B$804,$A70,'WEBSITE CONTENT SEO'!$A$5:$A$804,"&gt;="&amp;I$7,'WEBSITE CONTENT SEO'!$A$5:$A$804,"&lt;="&amp;I$8))</f>
        <v>0</v>
      </c>
      <c r="J70" s="89">
        <f>IF($A70="","",COUNTIFS('LEAD MQL TRACKER'!$B$5:$B$1004,$A70,'LEAD MQL TRACKER'!$AB$5:$AB$1004,1,'LEAD MQL TRACKER'!$Z$5:$Z$1004,"&gt;="&amp;J$7,'LEAD MQL TRACKER'!$Z$5:$Z$1004,"&lt;="&amp;J$8)+SUMIFS('EMAIL MARKETING'!$Q$5:$Q$804,'EMAIL MARKETING'!$B$5:$B$804,$A70,'EMAIL MARKETING'!$A$5:$A$804,"&gt;="&amp;J$7,'EMAIL MARKETING'!$A$5:$A$804,"&lt;="&amp;J$8)+SUMIFS('PAID MEDIA ADS'!$M$5:$M$804,'PAID MEDIA ADS'!$B$5:$B$804,$A70,'PAID MEDIA ADS'!$A$5:$A$804,"&gt;="&amp;J$7,'PAID MEDIA ADS'!$A$5:$A$804,"&lt;="&amp;J$8)+SUMIFS('LINKEDIN OUTREACH'!$N$5:$N$704,'LINKEDIN OUTREACH'!$B$5:$B$704,$A70,'LINKEDIN OUTREACH'!$A$5:$A$704,"&gt;="&amp;J$7,'LINKEDIN OUTREACH'!$A$5:$A$704,"&lt;="&amp;J$8)+SUMIFS('WEBSITE CONTENT SEO'!$L$5:$L$804,'WEBSITE CONTENT SEO'!$B$5:$B$804,$A70,'WEBSITE CONTENT SEO'!$A$5:$A$804,"&gt;="&amp;J$7,'WEBSITE CONTENT SEO'!$A$5:$A$804,"&lt;="&amp;J$8))</f>
        <v>0</v>
      </c>
      <c r="K70" s="89">
        <f>IF($A70="","",COUNTIFS('LEAD MQL TRACKER'!$B$5:$B$1004,$A70,'LEAD MQL TRACKER'!$AB$5:$AB$1004,1,'LEAD MQL TRACKER'!$Z$5:$Z$1004,"&gt;="&amp;K$7,'LEAD MQL TRACKER'!$Z$5:$Z$1004,"&lt;="&amp;K$8)+SUMIFS('EMAIL MARKETING'!$Q$5:$Q$804,'EMAIL MARKETING'!$B$5:$B$804,$A70,'EMAIL MARKETING'!$A$5:$A$804,"&gt;="&amp;K$7,'EMAIL MARKETING'!$A$5:$A$804,"&lt;="&amp;K$8)+SUMIFS('PAID MEDIA ADS'!$M$5:$M$804,'PAID MEDIA ADS'!$B$5:$B$804,$A70,'PAID MEDIA ADS'!$A$5:$A$804,"&gt;="&amp;K$7,'PAID MEDIA ADS'!$A$5:$A$804,"&lt;="&amp;K$8)+SUMIFS('LINKEDIN OUTREACH'!$N$5:$N$704,'LINKEDIN OUTREACH'!$B$5:$B$704,$A70,'LINKEDIN OUTREACH'!$A$5:$A$704,"&gt;="&amp;K$7,'LINKEDIN OUTREACH'!$A$5:$A$704,"&lt;="&amp;K$8)+SUMIFS('WEBSITE CONTENT SEO'!$L$5:$L$804,'WEBSITE CONTENT SEO'!$B$5:$B$804,$A70,'WEBSITE CONTENT SEO'!$A$5:$A$804,"&gt;="&amp;K$7,'WEBSITE CONTENT SEO'!$A$5:$A$804,"&lt;="&amp;K$8))</f>
        <v>0</v>
      </c>
      <c r="L70" s="89">
        <f>IF($A70="","",COUNTIFS('LEAD MQL TRACKER'!$B$5:$B$1004,$A70,'LEAD MQL TRACKER'!$AB$5:$AB$1004,1,'LEAD MQL TRACKER'!$Z$5:$Z$1004,"&gt;="&amp;L$7,'LEAD MQL TRACKER'!$Z$5:$Z$1004,"&lt;="&amp;L$8)+SUMIFS('EMAIL MARKETING'!$Q$5:$Q$804,'EMAIL MARKETING'!$B$5:$B$804,$A70,'EMAIL MARKETING'!$A$5:$A$804,"&gt;="&amp;L$7,'EMAIL MARKETING'!$A$5:$A$804,"&lt;="&amp;L$8)+SUMIFS('PAID MEDIA ADS'!$M$5:$M$804,'PAID MEDIA ADS'!$B$5:$B$804,$A70,'PAID MEDIA ADS'!$A$5:$A$804,"&gt;="&amp;L$7,'PAID MEDIA ADS'!$A$5:$A$804,"&lt;="&amp;L$8)+SUMIFS('LINKEDIN OUTREACH'!$N$5:$N$704,'LINKEDIN OUTREACH'!$B$5:$B$704,$A70,'LINKEDIN OUTREACH'!$A$5:$A$704,"&gt;="&amp;L$7,'LINKEDIN OUTREACH'!$A$5:$A$704,"&lt;="&amp;L$8)+SUMIFS('WEBSITE CONTENT SEO'!$L$5:$L$804,'WEBSITE CONTENT SEO'!$B$5:$B$804,$A70,'WEBSITE CONTENT SEO'!$A$5:$A$804,"&gt;="&amp;L$7,'WEBSITE CONTENT SEO'!$A$5:$A$804,"&lt;="&amp;L$8))</f>
        <v>0</v>
      </c>
      <c r="M70" s="89">
        <f>IF($A70="","",COUNTIFS('LEAD MQL TRACKER'!$B$5:$B$1004,$A70,'LEAD MQL TRACKER'!$AB$5:$AB$1004,1,'LEAD MQL TRACKER'!$Z$5:$Z$1004,"&gt;="&amp;M$7,'LEAD MQL TRACKER'!$Z$5:$Z$1004,"&lt;="&amp;M$8)+SUMIFS('EMAIL MARKETING'!$Q$5:$Q$804,'EMAIL MARKETING'!$B$5:$B$804,$A70,'EMAIL MARKETING'!$A$5:$A$804,"&gt;="&amp;M$7,'EMAIL MARKETING'!$A$5:$A$804,"&lt;="&amp;M$8)+SUMIFS('PAID MEDIA ADS'!$M$5:$M$804,'PAID MEDIA ADS'!$B$5:$B$804,$A70,'PAID MEDIA ADS'!$A$5:$A$804,"&gt;="&amp;M$7,'PAID MEDIA ADS'!$A$5:$A$804,"&lt;="&amp;M$8)+SUMIFS('LINKEDIN OUTREACH'!$N$5:$N$704,'LINKEDIN OUTREACH'!$B$5:$B$704,$A70,'LINKEDIN OUTREACH'!$A$5:$A$704,"&gt;="&amp;M$7,'LINKEDIN OUTREACH'!$A$5:$A$704,"&lt;="&amp;M$8)+SUMIFS('WEBSITE CONTENT SEO'!$L$5:$L$804,'WEBSITE CONTENT SEO'!$B$5:$B$804,$A70,'WEBSITE CONTENT SEO'!$A$5:$A$804,"&gt;="&amp;M$7,'WEBSITE CONTENT SEO'!$A$5:$A$804,"&lt;="&amp;M$8))</f>
        <v>0</v>
      </c>
    </row>
    <row r="71">
      <c r="A71" s="117" t="str">
        <f>IF('CLIENT MASTER'!A11="","",'CLIENT MASTER'!A11)</f>
        <v>Tata Communications</v>
      </c>
      <c r="B71" s="89">
        <f>IF($A71="","",COUNTIFS('LEAD MQL TRACKER'!$B$5:$B$1004,$A71,'LEAD MQL TRACKER'!$AB$5:$AB$1004,1,'LEAD MQL TRACKER'!$Z$5:$Z$1004,"&gt;="&amp;B$7,'LEAD MQL TRACKER'!$Z$5:$Z$1004,"&lt;="&amp;B$8)+SUMIFS('EMAIL MARKETING'!$Q$5:$Q$804,'EMAIL MARKETING'!$B$5:$B$804,$A71,'EMAIL MARKETING'!$A$5:$A$804,"&gt;="&amp;B$7,'EMAIL MARKETING'!$A$5:$A$804,"&lt;="&amp;B$8)+SUMIFS('PAID MEDIA ADS'!$M$5:$M$804,'PAID MEDIA ADS'!$B$5:$B$804,$A71,'PAID MEDIA ADS'!$A$5:$A$804,"&gt;="&amp;B$7,'PAID MEDIA ADS'!$A$5:$A$804,"&lt;="&amp;B$8)+SUMIFS('LINKEDIN OUTREACH'!$N$5:$N$704,'LINKEDIN OUTREACH'!$B$5:$B$704,$A71,'LINKEDIN OUTREACH'!$A$5:$A$704,"&gt;="&amp;B$7,'LINKEDIN OUTREACH'!$A$5:$A$704,"&lt;="&amp;B$8)+SUMIFS('WEBSITE CONTENT SEO'!$L$5:$L$804,'WEBSITE CONTENT SEO'!$B$5:$B$804,$A71,'WEBSITE CONTENT SEO'!$A$5:$A$804,"&gt;="&amp;B$7,'WEBSITE CONTENT SEO'!$A$5:$A$804,"&lt;="&amp;B$8))</f>
        <v>0</v>
      </c>
      <c r="C71" s="89">
        <f>IF($A71="","",COUNTIFS('LEAD MQL TRACKER'!$B$5:$B$1004,$A71,'LEAD MQL TRACKER'!$AB$5:$AB$1004,1,'LEAD MQL TRACKER'!$Z$5:$Z$1004,"&gt;="&amp;C$7,'LEAD MQL TRACKER'!$Z$5:$Z$1004,"&lt;="&amp;C$8)+SUMIFS('EMAIL MARKETING'!$Q$5:$Q$804,'EMAIL MARKETING'!$B$5:$B$804,$A71,'EMAIL MARKETING'!$A$5:$A$804,"&gt;="&amp;C$7,'EMAIL MARKETING'!$A$5:$A$804,"&lt;="&amp;C$8)+SUMIFS('PAID MEDIA ADS'!$M$5:$M$804,'PAID MEDIA ADS'!$B$5:$B$804,$A71,'PAID MEDIA ADS'!$A$5:$A$804,"&gt;="&amp;C$7,'PAID MEDIA ADS'!$A$5:$A$804,"&lt;="&amp;C$8)+SUMIFS('LINKEDIN OUTREACH'!$N$5:$N$704,'LINKEDIN OUTREACH'!$B$5:$B$704,$A71,'LINKEDIN OUTREACH'!$A$5:$A$704,"&gt;="&amp;C$7,'LINKEDIN OUTREACH'!$A$5:$A$704,"&lt;="&amp;C$8)+SUMIFS('WEBSITE CONTENT SEO'!$L$5:$L$804,'WEBSITE CONTENT SEO'!$B$5:$B$804,$A71,'WEBSITE CONTENT SEO'!$A$5:$A$804,"&gt;="&amp;C$7,'WEBSITE CONTENT SEO'!$A$5:$A$804,"&lt;="&amp;C$8))</f>
        <v>0</v>
      </c>
      <c r="D71" s="89">
        <f>IF($A71="","",COUNTIFS('LEAD MQL TRACKER'!$B$5:$B$1004,$A71,'LEAD MQL TRACKER'!$AB$5:$AB$1004,1,'LEAD MQL TRACKER'!$Z$5:$Z$1004,"&gt;="&amp;D$7,'LEAD MQL TRACKER'!$Z$5:$Z$1004,"&lt;="&amp;D$8)+SUMIFS('EMAIL MARKETING'!$Q$5:$Q$804,'EMAIL MARKETING'!$B$5:$B$804,$A71,'EMAIL MARKETING'!$A$5:$A$804,"&gt;="&amp;D$7,'EMAIL MARKETING'!$A$5:$A$804,"&lt;="&amp;D$8)+SUMIFS('PAID MEDIA ADS'!$M$5:$M$804,'PAID MEDIA ADS'!$B$5:$B$804,$A71,'PAID MEDIA ADS'!$A$5:$A$804,"&gt;="&amp;D$7,'PAID MEDIA ADS'!$A$5:$A$804,"&lt;="&amp;D$8)+SUMIFS('LINKEDIN OUTREACH'!$N$5:$N$704,'LINKEDIN OUTREACH'!$B$5:$B$704,$A71,'LINKEDIN OUTREACH'!$A$5:$A$704,"&gt;="&amp;D$7,'LINKEDIN OUTREACH'!$A$5:$A$704,"&lt;="&amp;D$8)+SUMIFS('WEBSITE CONTENT SEO'!$L$5:$L$804,'WEBSITE CONTENT SEO'!$B$5:$B$804,$A71,'WEBSITE CONTENT SEO'!$A$5:$A$804,"&gt;="&amp;D$7,'WEBSITE CONTENT SEO'!$A$5:$A$804,"&lt;="&amp;D$8))</f>
        <v>0</v>
      </c>
      <c r="E71" s="89">
        <f>IF($A71="","",COUNTIFS('LEAD MQL TRACKER'!$B$5:$B$1004,$A71,'LEAD MQL TRACKER'!$AB$5:$AB$1004,1,'LEAD MQL TRACKER'!$Z$5:$Z$1004,"&gt;="&amp;E$7,'LEAD MQL TRACKER'!$Z$5:$Z$1004,"&lt;="&amp;E$8)+SUMIFS('EMAIL MARKETING'!$Q$5:$Q$804,'EMAIL MARKETING'!$B$5:$B$804,$A71,'EMAIL MARKETING'!$A$5:$A$804,"&gt;="&amp;E$7,'EMAIL MARKETING'!$A$5:$A$804,"&lt;="&amp;E$8)+SUMIFS('PAID MEDIA ADS'!$M$5:$M$804,'PAID MEDIA ADS'!$B$5:$B$804,$A71,'PAID MEDIA ADS'!$A$5:$A$804,"&gt;="&amp;E$7,'PAID MEDIA ADS'!$A$5:$A$804,"&lt;="&amp;E$8)+SUMIFS('LINKEDIN OUTREACH'!$N$5:$N$704,'LINKEDIN OUTREACH'!$B$5:$B$704,$A71,'LINKEDIN OUTREACH'!$A$5:$A$704,"&gt;="&amp;E$7,'LINKEDIN OUTREACH'!$A$5:$A$704,"&lt;="&amp;E$8)+SUMIFS('WEBSITE CONTENT SEO'!$L$5:$L$804,'WEBSITE CONTENT SEO'!$B$5:$B$804,$A71,'WEBSITE CONTENT SEO'!$A$5:$A$804,"&gt;="&amp;E$7,'WEBSITE CONTENT SEO'!$A$5:$A$804,"&lt;="&amp;E$8))</f>
        <v>0</v>
      </c>
      <c r="F71" s="89">
        <f>IF($A71="","",COUNTIFS('LEAD MQL TRACKER'!$B$5:$B$1004,$A71,'LEAD MQL TRACKER'!$AB$5:$AB$1004,1,'LEAD MQL TRACKER'!$Z$5:$Z$1004,"&gt;="&amp;F$7,'LEAD MQL TRACKER'!$Z$5:$Z$1004,"&lt;="&amp;F$8)+SUMIFS('EMAIL MARKETING'!$Q$5:$Q$804,'EMAIL MARKETING'!$B$5:$B$804,$A71,'EMAIL MARKETING'!$A$5:$A$804,"&gt;="&amp;F$7,'EMAIL MARKETING'!$A$5:$A$804,"&lt;="&amp;F$8)+SUMIFS('PAID MEDIA ADS'!$M$5:$M$804,'PAID MEDIA ADS'!$B$5:$B$804,$A71,'PAID MEDIA ADS'!$A$5:$A$804,"&gt;="&amp;F$7,'PAID MEDIA ADS'!$A$5:$A$804,"&lt;="&amp;F$8)+SUMIFS('LINKEDIN OUTREACH'!$N$5:$N$704,'LINKEDIN OUTREACH'!$B$5:$B$704,$A71,'LINKEDIN OUTREACH'!$A$5:$A$704,"&gt;="&amp;F$7,'LINKEDIN OUTREACH'!$A$5:$A$704,"&lt;="&amp;F$8)+SUMIFS('WEBSITE CONTENT SEO'!$L$5:$L$804,'WEBSITE CONTENT SEO'!$B$5:$B$804,$A71,'WEBSITE CONTENT SEO'!$A$5:$A$804,"&gt;="&amp;F$7,'WEBSITE CONTENT SEO'!$A$5:$A$804,"&lt;="&amp;F$8))</f>
        <v>0</v>
      </c>
      <c r="G71" s="89">
        <f>IF($A71="","",COUNTIFS('LEAD MQL TRACKER'!$B$5:$B$1004,$A71,'LEAD MQL TRACKER'!$AB$5:$AB$1004,1,'LEAD MQL TRACKER'!$Z$5:$Z$1004,"&gt;="&amp;G$7,'LEAD MQL TRACKER'!$Z$5:$Z$1004,"&lt;="&amp;G$8)+SUMIFS('EMAIL MARKETING'!$Q$5:$Q$804,'EMAIL MARKETING'!$B$5:$B$804,$A71,'EMAIL MARKETING'!$A$5:$A$804,"&gt;="&amp;G$7,'EMAIL MARKETING'!$A$5:$A$804,"&lt;="&amp;G$8)+SUMIFS('PAID MEDIA ADS'!$M$5:$M$804,'PAID MEDIA ADS'!$B$5:$B$804,$A71,'PAID MEDIA ADS'!$A$5:$A$804,"&gt;="&amp;G$7,'PAID MEDIA ADS'!$A$5:$A$804,"&lt;="&amp;G$8)+SUMIFS('LINKEDIN OUTREACH'!$N$5:$N$704,'LINKEDIN OUTREACH'!$B$5:$B$704,$A71,'LINKEDIN OUTREACH'!$A$5:$A$704,"&gt;="&amp;G$7,'LINKEDIN OUTREACH'!$A$5:$A$704,"&lt;="&amp;G$8)+SUMIFS('WEBSITE CONTENT SEO'!$L$5:$L$804,'WEBSITE CONTENT SEO'!$B$5:$B$804,$A71,'WEBSITE CONTENT SEO'!$A$5:$A$804,"&gt;="&amp;G$7,'WEBSITE CONTENT SEO'!$A$5:$A$804,"&lt;="&amp;G$8))</f>
        <v>0</v>
      </c>
      <c r="H71" s="89">
        <f>IF($A71="","",COUNTIFS('LEAD MQL TRACKER'!$B$5:$B$1004,$A71,'LEAD MQL TRACKER'!$AB$5:$AB$1004,1,'LEAD MQL TRACKER'!$Z$5:$Z$1004,"&gt;="&amp;H$7,'LEAD MQL TRACKER'!$Z$5:$Z$1004,"&lt;="&amp;H$8)+SUMIFS('EMAIL MARKETING'!$Q$5:$Q$804,'EMAIL MARKETING'!$B$5:$B$804,$A71,'EMAIL MARKETING'!$A$5:$A$804,"&gt;="&amp;H$7,'EMAIL MARKETING'!$A$5:$A$804,"&lt;="&amp;H$8)+SUMIFS('PAID MEDIA ADS'!$M$5:$M$804,'PAID MEDIA ADS'!$B$5:$B$804,$A71,'PAID MEDIA ADS'!$A$5:$A$804,"&gt;="&amp;H$7,'PAID MEDIA ADS'!$A$5:$A$804,"&lt;="&amp;H$8)+SUMIFS('LINKEDIN OUTREACH'!$N$5:$N$704,'LINKEDIN OUTREACH'!$B$5:$B$704,$A71,'LINKEDIN OUTREACH'!$A$5:$A$704,"&gt;="&amp;H$7,'LINKEDIN OUTREACH'!$A$5:$A$704,"&lt;="&amp;H$8)+SUMIFS('WEBSITE CONTENT SEO'!$L$5:$L$804,'WEBSITE CONTENT SEO'!$B$5:$B$804,$A71,'WEBSITE CONTENT SEO'!$A$5:$A$804,"&gt;="&amp;H$7,'WEBSITE CONTENT SEO'!$A$5:$A$804,"&lt;="&amp;H$8))</f>
        <v>0</v>
      </c>
      <c r="I71" s="89">
        <f>IF($A71="","",COUNTIFS('LEAD MQL TRACKER'!$B$5:$B$1004,$A71,'LEAD MQL TRACKER'!$AB$5:$AB$1004,1,'LEAD MQL TRACKER'!$Z$5:$Z$1004,"&gt;="&amp;I$7,'LEAD MQL TRACKER'!$Z$5:$Z$1004,"&lt;="&amp;I$8)+SUMIFS('EMAIL MARKETING'!$Q$5:$Q$804,'EMAIL MARKETING'!$B$5:$B$804,$A71,'EMAIL MARKETING'!$A$5:$A$804,"&gt;="&amp;I$7,'EMAIL MARKETING'!$A$5:$A$804,"&lt;="&amp;I$8)+SUMIFS('PAID MEDIA ADS'!$M$5:$M$804,'PAID MEDIA ADS'!$B$5:$B$804,$A71,'PAID MEDIA ADS'!$A$5:$A$804,"&gt;="&amp;I$7,'PAID MEDIA ADS'!$A$5:$A$804,"&lt;="&amp;I$8)+SUMIFS('LINKEDIN OUTREACH'!$N$5:$N$704,'LINKEDIN OUTREACH'!$B$5:$B$704,$A71,'LINKEDIN OUTREACH'!$A$5:$A$704,"&gt;="&amp;I$7,'LINKEDIN OUTREACH'!$A$5:$A$704,"&lt;="&amp;I$8)+SUMIFS('WEBSITE CONTENT SEO'!$L$5:$L$804,'WEBSITE CONTENT SEO'!$B$5:$B$804,$A71,'WEBSITE CONTENT SEO'!$A$5:$A$804,"&gt;="&amp;I$7,'WEBSITE CONTENT SEO'!$A$5:$A$804,"&lt;="&amp;I$8))</f>
        <v>0</v>
      </c>
      <c r="J71" s="89">
        <f>IF($A71="","",COUNTIFS('LEAD MQL TRACKER'!$B$5:$B$1004,$A71,'LEAD MQL TRACKER'!$AB$5:$AB$1004,1,'LEAD MQL TRACKER'!$Z$5:$Z$1004,"&gt;="&amp;J$7,'LEAD MQL TRACKER'!$Z$5:$Z$1004,"&lt;="&amp;J$8)+SUMIFS('EMAIL MARKETING'!$Q$5:$Q$804,'EMAIL MARKETING'!$B$5:$B$804,$A71,'EMAIL MARKETING'!$A$5:$A$804,"&gt;="&amp;J$7,'EMAIL MARKETING'!$A$5:$A$804,"&lt;="&amp;J$8)+SUMIFS('PAID MEDIA ADS'!$M$5:$M$804,'PAID MEDIA ADS'!$B$5:$B$804,$A71,'PAID MEDIA ADS'!$A$5:$A$804,"&gt;="&amp;J$7,'PAID MEDIA ADS'!$A$5:$A$804,"&lt;="&amp;J$8)+SUMIFS('LINKEDIN OUTREACH'!$N$5:$N$704,'LINKEDIN OUTREACH'!$B$5:$B$704,$A71,'LINKEDIN OUTREACH'!$A$5:$A$704,"&gt;="&amp;J$7,'LINKEDIN OUTREACH'!$A$5:$A$704,"&lt;="&amp;J$8)+SUMIFS('WEBSITE CONTENT SEO'!$L$5:$L$804,'WEBSITE CONTENT SEO'!$B$5:$B$804,$A71,'WEBSITE CONTENT SEO'!$A$5:$A$804,"&gt;="&amp;J$7,'WEBSITE CONTENT SEO'!$A$5:$A$804,"&lt;="&amp;J$8))</f>
        <v>0</v>
      </c>
      <c r="K71" s="89">
        <f>IF($A71="","",COUNTIFS('LEAD MQL TRACKER'!$B$5:$B$1004,$A71,'LEAD MQL TRACKER'!$AB$5:$AB$1004,1,'LEAD MQL TRACKER'!$Z$5:$Z$1004,"&gt;="&amp;K$7,'LEAD MQL TRACKER'!$Z$5:$Z$1004,"&lt;="&amp;K$8)+SUMIFS('EMAIL MARKETING'!$Q$5:$Q$804,'EMAIL MARKETING'!$B$5:$B$804,$A71,'EMAIL MARKETING'!$A$5:$A$804,"&gt;="&amp;K$7,'EMAIL MARKETING'!$A$5:$A$804,"&lt;="&amp;K$8)+SUMIFS('PAID MEDIA ADS'!$M$5:$M$804,'PAID MEDIA ADS'!$B$5:$B$804,$A71,'PAID MEDIA ADS'!$A$5:$A$804,"&gt;="&amp;K$7,'PAID MEDIA ADS'!$A$5:$A$804,"&lt;="&amp;K$8)+SUMIFS('LINKEDIN OUTREACH'!$N$5:$N$704,'LINKEDIN OUTREACH'!$B$5:$B$704,$A71,'LINKEDIN OUTREACH'!$A$5:$A$704,"&gt;="&amp;K$7,'LINKEDIN OUTREACH'!$A$5:$A$704,"&lt;="&amp;K$8)+SUMIFS('WEBSITE CONTENT SEO'!$L$5:$L$804,'WEBSITE CONTENT SEO'!$B$5:$B$804,$A71,'WEBSITE CONTENT SEO'!$A$5:$A$804,"&gt;="&amp;K$7,'WEBSITE CONTENT SEO'!$A$5:$A$804,"&lt;="&amp;K$8))</f>
        <v>0</v>
      </c>
      <c r="L71" s="89">
        <f>IF($A71="","",COUNTIFS('LEAD MQL TRACKER'!$B$5:$B$1004,$A71,'LEAD MQL TRACKER'!$AB$5:$AB$1004,1,'LEAD MQL TRACKER'!$Z$5:$Z$1004,"&gt;="&amp;L$7,'LEAD MQL TRACKER'!$Z$5:$Z$1004,"&lt;="&amp;L$8)+SUMIFS('EMAIL MARKETING'!$Q$5:$Q$804,'EMAIL MARKETING'!$B$5:$B$804,$A71,'EMAIL MARKETING'!$A$5:$A$804,"&gt;="&amp;L$7,'EMAIL MARKETING'!$A$5:$A$804,"&lt;="&amp;L$8)+SUMIFS('PAID MEDIA ADS'!$M$5:$M$804,'PAID MEDIA ADS'!$B$5:$B$804,$A71,'PAID MEDIA ADS'!$A$5:$A$804,"&gt;="&amp;L$7,'PAID MEDIA ADS'!$A$5:$A$804,"&lt;="&amp;L$8)+SUMIFS('LINKEDIN OUTREACH'!$N$5:$N$704,'LINKEDIN OUTREACH'!$B$5:$B$704,$A71,'LINKEDIN OUTREACH'!$A$5:$A$704,"&gt;="&amp;L$7,'LINKEDIN OUTREACH'!$A$5:$A$704,"&lt;="&amp;L$8)+SUMIFS('WEBSITE CONTENT SEO'!$L$5:$L$804,'WEBSITE CONTENT SEO'!$B$5:$B$804,$A71,'WEBSITE CONTENT SEO'!$A$5:$A$804,"&gt;="&amp;L$7,'WEBSITE CONTENT SEO'!$A$5:$A$804,"&lt;="&amp;L$8))</f>
        <v>0</v>
      </c>
      <c r="M71" s="89">
        <f>IF($A71="","",COUNTIFS('LEAD MQL TRACKER'!$B$5:$B$1004,$A71,'LEAD MQL TRACKER'!$AB$5:$AB$1004,1,'LEAD MQL TRACKER'!$Z$5:$Z$1004,"&gt;="&amp;M$7,'LEAD MQL TRACKER'!$Z$5:$Z$1004,"&lt;="&amp;M$8)+SUMIFS('EMAIL MARKETING'!$Q$5:$Q$804,'EMAIL MARKETING'!$B$5:$B$804,$A71,'EMAIL MARKETING'!$A$5:$A$804,"&gt;="&amp;M$7,'EMAIL MARKETING'!$A$5:$A$804,"&lt;="&amp;M$8)+SUMIFS('PAID MEDIA ADS'!$M$5:$M$804,'PAID MEDIA ADS'!$B$5:$B$804,$A71,'PAID MEDIA ADS'!$A$5:$A$804,"&gt;="&amp;M$7,'PAID MEDIA ADS'!$A$5:$A$804,"&lt;="&amp;M$8)+SUMIFS('LINKEDIN OUTREACH'!$N$5:$N$704,'LINKEDIN OUTREACH'!$B$5:$B$704,$A71,'LINKEDIN OUTREACH'!$A$5:$A$704,"&gt;="&amp;M$7,'LINKEDIN OUTREACH'!$A$5:$A$704,"&lt;="&amp;M$8)+SUMIFS('WEBSITE CONTENT SEO'!$L$5:$L$804,'WEBSITE CONTENT SEO'!$B$5:$B$804,$A71,'WEBSITE CONTENT SEO'!$A$5:$A$804,"&gt;="&amp;M$7,'WEBSITE CONTENT SEO'!$A$5:$A$804,"&lt;="&amp;M$8))</f>
        <v>0</v>
      </c>
    </row>
    <row r="72">
      <c r="A72" s="117" t="str">
        <f>IF('CLIENT MASTER'!A12="","",'CLIENT MASTER'!A12)</f>
        <v>Tata Communications MECCA</v>
      </c>
      <c r="B72" s="89">
        <f>IF($A72="","",COUNTIFS('LEAD MQL TRACKER'!$B$5:$B$1004,$A72,'LEAD MQL TRACKER'!$AB$5:$AB$1004,1,'LEAD MQL TRACKER'!$Z$5:$Z$1004,"&gt;="&amp;B$7,'LEAD MQL TRACKER'!$Z$5:$Z$1004,"&lt;="&amp;B$8)+SUMIFS('EMAIL MARKETING'!$Q$5:$Q$804,'EMAIL MARKETING'!$B$5:$B$804,$A72,'EMAIL MARKETING'!$A$5:$A$804,"&gt;="&amp;B$7,'EMAIL MARKETING'!$A$5:$A$804,"&lt;="&amp;B$8)+SUMIFS('PAID MEDIA ADS'!$M$5:$M$804,'PAID MEDIA ADS'!$B$5:$B$804,$A72,'PAID MEDIA ADS'!$A$5:$A$804,"&gt;="&amp;B$7,'PAID MEDIA ADS'!$A$5:$A$804,"&lt;="&amp;B$8)+SUMIFS('LINKEDIN OUTREACH'!$N$5:$N$704,'LINKEDIN OUTREACH'!$B$5:$B$704,$A72,'LINKEDIN OUTREACH'!$A$5:$A$704,"&gt;="&amp;B$7,'LINKEDIN OUTREACH'!$A$5:$A$704,"&lt;="&amp;B$8)+SUMIFS('WEBSITE CONTENT SEO'!$L$5:$L$804,'WEBSITE CONTENT SEO'!$B$5:$B$804,$A72,'WEBSITE CONTENT SEO'!$A$5:$A$804,"&gt;="&amp;B$7,'WEBSITE CONTENT SEO'!$A$5:$A$804,"&lt;="&amp;B$8))</f>
        <v>0</v>
      </c>
      <c r="C72" s="89">
        <f>IF($A72="","",COUNTIFS('LEAD MQL TRACKER'!$B$5:$B$1004,$A72,'LEAD MQL TRACKER'!$AB$5:$AB$1004,1,'LEAD MQL TRACKER'!$Z$5:$Z$1004,"&gt;="&amp;C$7,'LEAD MQL TRACKER'!$Z$5:$Z$1004,"&lt;="&amp;C$8)+SUMIFS('EMAIL MARKETING'!$Q$5:$Q$804,'EMAIL MARKETING'!$B$5:$B$804,$A72,'EMAIL MARKETING'!$A$5:$A$804,"&gt;="&amp;C$7,'EMAIL MARKETING'!$A$5:$A$804,"&lt;="&amp;C$8)+SUMIFS('PAID MEDIA ADS'!$M$5:$M$804,'PAID MEDIA ADS'!$B$5:$B$804,$A72,'PAID MEDIA ADS'!$A$5:$A$804,"&gt;="&amp;C$7,'PAID MEDIA ADS'!$A$5:$A$804,"&lt;="&amp;C$8)+SUMIFS('LINKEDIN OUTREACH'!$N$5:$N$704,'LINKEDIN OUTREACH'!$B$5:$B$704,$A72,'LINKEDIN OUTREACH'!$A$5:$A$704,"&gt;="&amp;C$7,'LINKEDIN OUTREACH'!$A$5:$A$704,"&lt;="&amp;C$8)+SUMIFS('WEBSITE CONTENT SEO'!$L$5:$L$804,'WEBSITE CONTENT SEO'!$B$5:$B$804,$A72,'WEBSITE CONTENT SEO'!$A$5:$A$804,"&gt;="&amp;C$7,'WEBSITE CONTENT SEO'!$A$5:$A$804,"&lt;="&amp;C$8))</f>
        <v>0</v>
      </c>
      <c r="D72" s="89">
        <f>IF($A72="","",COUNTIFS('LEAD MQL TRACKER'!$B$5:$B$1004,$A72,'LEAD MQL TRACKER'!$AB$5:$AB$1004,1,'LEAD MQL TRACKER'!$Z$5:$Z$1004,"&gt;="&amp;D$7,'LEAD MQL TRACKER'!$Z$5:$Z$1004,"&lt;="&amp;D$8)+SUMIFS('EMAIL MARKETING'!$Q$5:$Q$804,'EMAIL MARKETING'!$B$5:$B$804,$A72,'EMAIL MARKETING'!$A$5:$A$804,"&gt;="&amp;D$7,'EMAIL MARKETING'!$A$5:$A$804,"&lt;="&amp;D$8)+SUMIFS('PAID MEDIA ADS'!$M$5:$M$804,'PAID MEDIA ADS'!$B$5:$B$804,$A72,'PAID MEDIA ADS'!$A$5:$A$804,"&gt;="&amp;D$7,'PAID MEDIA ADS'!$A$5:$A$804,"&lt;="&amp;D$8)+SUMIFS('LINKEDIN OUTREACH'!$N$5:$N$704,'LINKEDIN OUTREACH'!$B$5:$B$704,$A72,'LINKEDIN OUTREACH'!$A$5:$A$704,"&gt;="&amp;D$7,'LINKEDIN OUTREACH'!$A$5:$A$704,"&lt;="&amp;D$8)+SUMIFS('WEBSITE CONTENT SEO'!$L$5:$L$804,'WEBSITE CONTENT SEO'!$B$5:$B$804,$A72,'WEBSITE CONTENT SEO'!$A$5:$A$804,"&gt;="&amp;D$7,'WEBSITE CONTENT SEO'!$A$5:$A$804,"&lt;="&amp;D$8))</f>
        <v>0</v>
      </c>
      <c r="E72" s="89">
        <f>IF($A72="","",COUNTIFS('LEAD MQL TRACKER'!$B$5:$B$1004,$A72,'LEAD MQL TRACKER'!$AB$5:$AB$1004,1,'LEAD MQL TRACKER'!$Z$5:$Z$1004,"&gt;="&amp;E$7,'LEAD MQL TRACKER'!$Z$5:$Z$1004,"&lt;="&amp;E$8)+SUMIFS('EMAIL MARKETING'!$Q$5:$Q$804,'EMAIL MARKETING'!$B$5:$B$804,$A72,'EMAIL MARKETING'!$A$5:$A$804,"&gt;="&amp;E$7,'EMAIL MARKETING'!$A$5:$A$804,"&lt;="&amp;E$8)+SUMIFS('PAID MEDIA ADS'!$M$5:$M$804,'PAID MEDIA ADS'!$B$5:$B$804,$A72,'PAID MEDIA ADS'!$A$5:$A$804,"&gt;="&amp;E$7,'PAID MEDIA ADS'!$A$5:$A$804,"&lt;="&amp;E$8)+SUMIFS('LINKEDIN OUTREACH'!$N$5:$N$704,'LINKEDIN OUTREACH'!$B$5:$B$704,$A72,'LINKEDIN OUTREACH'!$A$5:$A$704,"&gt;="&amp;E$7,'LINKEDIN OUTREACH'!$A$5:$A$704,"&lt;="&amp;E$8)+SUMIFS('WEBSITE CONTENT SEO'!$L$5:$L$804,'WEBSITE CONTENT SEO'!$B$5:$B$804,$A72,'WEBSITE CONTENT SEO'!$A$5:$A$804,"&gt;="&amp;E$7,'WEBSITE CONTENT SEO'!$A$5:$A$804,"&lt;="&amp;E$8))</f>
        <v>0</v>
      </c>
      <c r="F72" s="89">
        <f>IF($A72="","",COUNTIFS('LEAD MQL TRACKER'!$B$5:$B$1004,$A72,'LEAD MQL TRACKER'!$AB$5:$AB$1004,1,'LEAD MQL TRACKER'!$Z$5:$Z$1004,"&gt;="&amp;F$7,'LEAD MQL TRACKER'!$Z$5:$Z$1004,"&lt;="&amp;F$8)+SUMIFS('EMAIL MARKETING'!$Q$5:$Q$804,'EMAIL MARKETING'!$B$5:$B$804,$A72,'EMAIL MARKETING'!$A$5:$A$804,"&gt;="&amp;F$7,'EMAIL MARKETING'!$A$5:$A$804,"&lt;="&amp;F$8)+SUMIFS('PAID MEDIA ADS'!$M$5:$M$804,'PAID MEDIA ADS'!$B$5:$B$804,$A72,'PAID MEDIA ADS'!$A$5:$A$804,"&gt;="&amp;F$7,'PAID MEDIA ADS'!$A$5:$A$804,"&lt;="&amp;F$8)+SUMIFS('LINKEDIN OUTREACH'!$N$5:$N$704,'LINKEDIN OUTREACH'!$B$5:$B$704,$A72,'LINKEDIN OUTREACH'!$A$5:$A$704,"&gt;="&amp;F$7,'LINKEDIN OUTREACH'!$A$5:$A$704,"&lt;="&amp;F$8)+SUMIFS('WEBSITE CONTENT SEO'!$L$5:$L$804,'WEBSITE CONTENT SEO'!$B$5:$B$804,$A72,'WEBSITE CONTENT SEO'!$A$5:$A$804,"&gt;="&amp;F$7,'WEBSITE CONTENT SEO'!$A$5:$A$804,"&lt;="&amp;F$8))</f>
        <v>0</v>
      </c>
      <c r="G72" s="89">
        <f>IF($A72="","",COUNTIFS('LEAD MQL TRACKER'!$B$5:$B$1004,$A72,'LEAD MQL TRACKER'!$AB$5:$AB$1004,1,'LEAD MQL TRACKER'!$Z$5:$Z$1004,"&gt;="&amp;G$7,'LEAD MQL TRACKER'!$Z$5:$Z$1004,"&lt;="&amp;G$8)+SUMIFS('EMAIL MARKETING'!$Q$5:$Q$804,'EMAIL MARKETING'!$B$5:$B$804,$A72,'EMAIL MARKETING'!$A$5:$A$804,"&gt;="&amp;G$7,'EMAIL MARKETING'!$A$5:$A$804,"&lt;="&amp;G$8)+SUMIFS('PAID MEDIA ADS'!$M$5:$M$804,'PAID MEDIA ADS'!$B$5:$B$804,$A72,'PAID MEDIA ADS'!$A$5:$A$804,"&gt;="&amp;G$7,'PAID MEDIA ADS'!$A$5:$A$804,"&lt;="&amp;G$8)+SUMIFS('LINKEDIN OUTREACH'!$N$5:$N$704,'LINKEDIN OUTREACH'!$B$5:$B$704,$A72,'LINKEDIN OUTREACH'!$A$5:$A$704,"&gt;="&amp;G$7,'LINKEDIN OUTREACH'!$A$5:$A$704,"&lt;="&amp;G$8)+SUMIFS('WEBSITE CONTENT SEO'!$L$5:$L$804,'WEBSITE CONTENT SEO'!$B$5:$B$804,$A72,'WEBSITE CONTENT SEO'!$A$5:$A$804,"&gt;="&amp;G$7,'WEBSITE CONTENT SEO'!$A$5:$A$804,"&lt;="&amp;G$8))</f>
        <v>0</v>
      </c>
      <c r="H72" s="89">
        <f>IF($A72="","",COUNTIFS('LEAD MQL TRACKER'!$B$5:$B$1004,$A72,'LEAD MQL TRACKER'!$AB$5:$AB$1004,1,'LEAD MQL TRACKER'!$Z$5:$Z$1004,"&gt;="&amp;H$7,'LEAD MQL TRACKER'!$Z$5:$Z$1004,"&lt;="&amp;H$8)+SUMIFS('EMAIL MARKETING'!$Q$5:$Q$804,'EMAIL MARKETING'!$B$5:$B$804,$A72,'EMAIL MARKETING'!$A$5:$A$804,"&gt;="&amp;H$7,'EMAIL MARKETING'!$A$5:$A$804,"&lt;="&amp;H$8)+SUMIFS('PAID MEDIA ADS'!$M$5:$M$804,'PAID MEDIA ADS'!$B$5:$B$804,$A72,'PAID MEDIA ADS'!$A$5:$A$804,"&gt;="&amp;H$7,'PAID MEDIA ADS'!$A$5:$A$804,"&lt;="&amp;H$8)+SUMIFS('LINKEDIN OUTREACH'!$N$5:$N$704,'LINKEDIN OUTREACH'!$B$5:$B$704,$A72,'LINKEDIN OUTREACH'!$A$5:$A$704,"&gt;="&amp;H$7,'LINKEDIN OUTREACH'!$A$5:$A$704,"&lt;="&amp;H$8)+SUMIFS('WEBSITE CONTENT SEO'!$L$5:$L$804,'WEBSITE CONTENT SEO'!$B$5:$B$804,$A72,'WEBSITE CONTENT SEO'!$A$5:$A$804,"&gt;="&amp;H$7,'WEBSITE CONTENT SEO'!$A$5:$A$804,"&lt;="&amp;H$8))</f>
        <v>0</v>
      </c>
      <c r="I72" s="89">
        <f>IF($A72="","",COUNTIFS('LEAD MQL TRACKER'!$B$5:$B$1004,$A72,'LEAD MQL TRACKER'!$AB$5:$AB$1004,1,'LEAD MQL TRACKER'!$Z$5:$Z$1004,"&gt;="&amp;I$7,'LEAD MQL TRACKER'!$Z$5:$Z$1004,"&lt;="&amp;I$8)+SUMIFS('EMAIL MARKETING'!$Q$5:$Q$804,'EMAIL MARKETING'!$B$5:$B$804,$A72,'EMAIL MARKETING'!$A$5:$A$804,"&gt;="&amp;I$7,'EMAIL MARKETING'!$A$5:$A$804,"&lt;="&amp;I$8)+SUMIFS('PAID MEDIA ADS'!$M$5:$M$804,'PAID MEDIA ADS'!$B$5:$B$804,$A72,'PAID MEDIA ADS'!$A$5:$A$804,"&gt;="&amp;I$7,'PAID MEDIA ADS'!$A$5:$A$804,"&lt;="&amp;I$8)+SUMIFS('LINKEDIN OUTREACH'!$N$5:$N$704,'LINKEDIN OUTREACH'!$B$5:$B$704,$A72,'LINKEDIN OUTREACH'!$A$5:$A$704,"&gt;="&amp;I$7,'LINKEDIN OUTREACH'!$A$5:$A$704,"&lt;="&amp;I$8)+SUMIFS('WEBSITE CONTENT SEO'!$L$5:$L$804,'WEBSITE CONTENT SEO'!$B$5:$B$804,$A72,'WEBSITE CONTENT SEO'!$A$5:$A$804,"&gt;="&amp;I$7,'WEBSITE CONTENT SEO'!$A$5:$A$804,"&lt;="&amp;I$8))</f>
        <v>0</v>
      </c>
      <c r="J72" s="89">
        <f>IF($A72="","",COUNTIFS('LEAD MQL TRACKER'!$B$5:$B$1004,$A72,'LEAD MQL TRACKER'!$AB$5:$AB$1004,1,'LEAD MQL TRACKER'!$Z$5:$Z$1004,"&gt;="&amp;J$7,'LEAD MQL TRACKER'!$Z$5:$Z$1004,"&lt;="&amp;J$8)+SUMIFS('EMAIL MARKETING'!$Q$5:$Q$804,'EMAIL MARKETING'!$B$5:$B$804,$A72,'EMAIL MARKETING'!$A$5:$A$804,"&gt;="&amp;J$7,'EMAIL MARKETING'!$A$5:$A$804,"&lt;="&amp;J$8)+SUMIFS('PAID MEDIA ADS'!$M$5:$M$804,'PAID MEDIA ADS'!$B$5:$B$804,$A72,'PAID MEDIA ADS'!$A$5:$A$804,"&gt;="&amp;J$7,'PAID MEDIA ADS'!$A$5:$A$804,"&lt;="&amp;J$8)+SUMIFS('LINKEDIN OUTREACH'!$N$5:$N$704,'LINKEDIN OUTREACH'!$B$5:$B$704,$A72,'LINKEDIN OUTREACH'!$A$5:$A$704,"&gt;="&amp;J$7,'LINKEDIN OUTREACH'!$A$5:$A$704,"&lt;="&amp;J$8)+SUMIFS('WEBSITE CONTENT SEO'!$L$5:$L$804,'WEBSITE CONTENT SEO'!$B$5:$B$804,$A72,'WEBSITE CONTENT SEO'!$A$5:$A$804,"&gt;="&amp;J$7,'WEBSITE CONTENT SEO'!$A$5:$A$804,"&lt;="&amp;J$8))</f>
        <v>0</v>
      </c>
      <c r="K72" s="89">
        <f>IF($A72="","",COUNTIFS('LEAD MQL TRACKER'!$B$5:$B$1004,$A72,'LEAD MQL TRACKER'!$AB$5:$AB$1004,1,'LEAD MQL TRACKER'!$Z$5:$Z$1004,"&gt;="&amp;K$7,'LEAD MQL TRACKER'!$Z$5:$Z$1004,"&lt;="&amp;K$8)+SUMIFS('EMAIL MARKETING'!$Q$5:$Q$804,'EMAIL MARKETING'!$B$5:$B$804,$A72,'EMAIL MARKETING'!$A$5:$A$804,"&gt;="&amp;K$7,'EMAIL MARKETING'!$A$5:$A$804,"&lt;="&amp;K$8)+SUMIFS('PAID MEDIA ADS'!$M$5:$M$804,'PAID MEDIA ADS'!$B$5:$B$804,$A72,'PAID MEDIA ADS'!$A$5:$A$804,"&gt;="&amp;K$7,'PAID MEDIA ADS'!$A$5:$A$804,"&lt;="&amp;K$8)+SUMIFS('LINKEDIN OUTREACH'!$N$5:$N$704,'LINKEDIN OUTREACH'!$B$5:$B$704,$A72,'LINKEDIN OUTREACH'!$A$5:$A$704,"&gt;="&amp;K$7,'LINKEDIN OUTREACH'!$A$5:$A$704,"&lt;="&amp;K$8)+SUMIFS('WEBSITE CONTENT SEO'!$L$5:$L$804,'WEBSITE CONTENT SEO'!$B$5:$B$804,$A72,'WEBSITE CONTENT SEO'!$A$5:$A$804,"&gt;="&amp;K$7,'WEBSITE CONTENT SEO'!$A$5:$A$804,"&lt;="&amp;K$8))</f>
        <v>0</v>
      </c>
      <c r="L72" s="89">
        <f>IF($A72="","",COUNTIFS('LEAD MQL TRACKER'!$B$5:$B$1004,$A72,'LEAD MQL TRACKER'!$AB$5:$AB$1004,1,'LEAD MQL TRACKER'!$Z$5:$Z$1004,"&gt;="&amp;L$7,'LEAD MQL TRACKER'!$Z$5:$Z$1004,"&lt;="&amp;L$8)+SUMIFS('EMAIL MARKETING'!$Q$5:$Q$804,'EMAIL MARKETING'!$B$5:$B$804,$A72,'EMAIL MARKETING'!$A$5:$A$804,"&gt;="&amp;L$7,'EMAIL MARKETING'!$A$5:$A$804,"&lt;="&amp;L$8)+SUMIFS('PAID MEDIA ADS'!$M$5:$M$804,'PAID MEDIA ADS'!$B$5:$B$804,$A72,'PAID MEDIA ADS'!$A$5:$A$804,"&gt;="&amp;L$7,'PAID MEDIA ADS'!$A$5:$A$804,"&lt;="&amp;L$8)+SUMIFS('LINKEDIN OUTREACH'!$N$5:$N$704,'LINKEDIN OUTREACH'!$B$5:$B$704,$A72,'LINKEDIN OUTREACH'!$A$5:$A$704,"&gt;="&amp;L$7,'LINKEDIN OUTREACH'!$A$5:$A$704,"&lt;="&amp;L$8)+SUMIFS('WEBSITE CONTENT SEO'!$L$5:$L$804,'WEBSITE CONTENT SEO'!$B$5:$B$804,$A72,'WEBSITE CONTENT SEO'!$A$5:$A$804,"&gt;="&amp;L$7,'WEBSITE CONTENT SEO'!$A$5:$A$804,"&lt;="&amp;L$8))</f>
        <v>0</v>
      </c>
      <c r="M72" s="89">
        <f>IF($A72="","",COUNTIFS('LEAD MQL TRACKER'!$B$5:$B$1004,$A72,'LEAD MQL TRACKER'!$AB$5:$AB$1004,1,'LEAD MQL TRACKER'!$Z$5:$Z$1004,"&gt;="&amp;M$7,'LEAD MQL TRACKER'!$Z$5:$Z$1004,"&lt;="&amp;M$8)+SUMIFS('EMAIL MARKETING'!$Q$5:$Q$804,'EMAIL MARKETING'!$B$5:$B$804,$A72,'EMAIL MARKETING'!$A$5:$A$804,"&gt;="&amp;M$7,'EMAIL MARKETING'!$A$5:$A$804,"&lt;="&amp;M$8)+SUMIFS('PAID MEDIA ADS'!$M$5:$M$804,'PAID MEDIA ADS'!$B$5:$B$804,$A72,'PAID MEDIA ADS'!$A$5:$A$804,"&gt;="&amp;M$7,'PAID MEDIA ADS'!$A$5:$A$804,"&lt;="&amp;M$8)+SUMIFS('LINKEDIN OUTREACH'!$N$5:$N$704,'LINKEDIN OUTREACH'!$B$5:$B$704,$A72,'LINKEDIN OUTREACH'!$A$5:$A$704,"&gt;="&amp;M$7,'LINKEDIN OUTREACH'!$A$5:$A$704,"&lt;="&amp;M$8)+SUMIFS('WEBSITE CONTENT SEO'!$L$5:$L$804,'WEBSITE CONTENT SEO'!$B$5:$B$804,$A72,'WEBSITE CONTENT SEO'!$A$5:$A$804,"&gt;="&amp;M$7,'WEBSITE CONTENT SEO'!$A$5:$A$804,"&lt;="&amp;M$8))</f>
        <v>0</v>
      </c>
    </row>
    <row r="73">
      <c r="A73" s="117" t="str">
        <f>IF('CLIENT MASTER'!A13="","",'CLIENT MASTER'!A13)</f>
        <v>Salesforce</v>
      </c>
      <c r="B73" s="89">
        <f>IF($A73="","",COUNTIFS('LEAD MQL TRACKER'!$B$5:$B$1004,$A73,'LEAD MQL TRACKER'!$AB$5:$AB$1004,1,'LEAD MQL TRACKER'!$Z$5:$Z$1004,"&gt;="&amp;B$7,'LEAD MQL TRACKER'!$Z$5:$Z$1004,"&lt;="&amp;B$8)+SUMIFS('EMAIL MARKETING'!$Q$5:$Q$804,'EMAIL MARKETING'!$B$5:$B$804,$A73,'EMAIL MARKETING'!$A$5:$A$804,"&gt;="&amp;B$7,'EMAIL MARKETING'!$A$5:$A$804,"&lt;="&amp;B$8)+SUMIFS('PAID MEDIA ADS'!$M$5:$M$804,'PAID MEDIA ADS'!$B$5:$B$804,$A73,'PAID MEDIA ADS'!$A$5:$A$804,"&gt;="&amp;B$7,'PAID MEDIA ADS'!$A$5:$A$804,"&lt;="&amp;B$8)+SUMIFS('LINKEDIN OUTREACH'!$N$5:$N$704,'LINKEDIN OUTREACH'!$B$5:$B$704,$A73,'LINKEDIN OUTREACH'!$A$5:$A$704,"&gt;="&amp;B$7,'LINKEDIN OUTREACH'!$A$5:$A$704,"&lt;="&amp;B$8)+SUMIFS('WEBSITE CONTENT SEO'!$L$5:$L$804,'WEBSITE CONTENT SEO'!$B$5:$B$804,$A73,'WEBSITE CONTENT SEO'!$A$5:$A$804,"&gt;="&amp;B$7,'WEBSITE CONTENT SEO'!$A$5:$A$804,"&lt;="&amp;B$8))</f>
        <v>0</v>
      </c>
      <c r="C73" s="89">
        <f>IF($A73="","",COUNTIFS('LEAD MQL TRACKER'!$B$5:$B$1004,$A73,'LEAD MQL TRACKER'!$AB$5:$AB$1004,1,'LEAD MQL TRACKER'!$Z$5:$Z$1004,"&gt;="&amp;C$7,'LEAD MQL TRACKER'!$Z$5:$Z$1004,"&lt;="&amp;C$8)+SUMIFS('EMAIL MARKETING'!$Q$5:$Q$804,'EMAIL MARKETING'!$B$5:$B$804,$A73,'EMAIL MARKETING'!$A$5:$A$804,"&gt;="&amp;C$7,'EMAIL MARKETING'!$A$5:$A$804,"&lt;="&amp;C$8)+SUMIFS('PAID MEDIA ADS'!$M$5:$M$804,'PAID MEDIA ADS'!$B$5:$B$804,$A73,'PAID MEDIA ADS'!$A$5:$A$804,"&gt;="&amp;C$7,'PAID MEDIA ADS'!$A$5:$A$804,"&lt;="&amp;C$8)+SUMIFS('LINKEDIN OUTREACH'!$N$5:$N$704,'LINKEDIN OUTREACH'!$B$5:$B$704,$A73,'LINKEDIN OUTREACH'!$A$5:$A$704,"&gt;="&amp;C$7,'LINKEDIN OUTREACH'!$A$5:$A$704,"&lt;="&amp;C$8)+SUMIFS('WEBSITE CONTENT SEO'!$L$5:$L$804,'WEBSITE CONTENT SEO'!$B$5:$B$804,$A73,'WEBSITE CONTENT SEO'!$A$5:$A$804,"&gt;="&amp;C$7,'WEBSITE CONTENT SEO'!$A$5:$A$804,"&lt;="&amp;C$8))</f>
        <v>0</v>
      </c>
      <c r="D73" s="89">
        <f>IF($A73="","",COUNTIFS('LEAD MQL TRACKER'!$B$5:$B$1004,$A73,'LEAD MQL TRACKER'!$AB$5:$AB$1004,1,'LEAD MQL TRACKER'!$Z$5:$Z$1004,"&gt;="&amp;D$7,'LEAD MQL TRACKER'!$Z$5:$Z$1004,"&lt;="&amp;D$8)+SUMIFS('EMAIL MARKETING'!$Q$5:$Q$804,'EMAIL MARKETING'!$B$5:$B$804,$A73,'EMAIL MARKETING'!$A$5:$A$804,"&gt;="&amp;D$7,'EMAIL MARKETING'!$A$5:$A$804,"&lt;="&amp;D$8)+SUMIFS('PAID MEDIA ADS'!$M$5:$M$804,'PAID MEDIA ADS'!$B$5:$B$804,$A73,'PAID MEDIA ADS'!$A$5:$A$804,"&gt;="&amp;D$7,'PAID MEDIA ADS'!$A$5:$A$804,"&lt;="&amp;D$8)+SUMIFS('LINKEDIN OUTREACH'!$N$5:$N$704,'LINKEDIN OUTREACH'!$B$5:$B$704,$A73,'LINKEDIN OUTREACH'!$A$5:$A$704,"&gt;="&amp;D$7,'LINKEDIN OUTREACH'!$A$5:$A$704,"&lt;="&amp;D$8)+SUMIFS('WEBSITE CONTENT SEO'!$L$5:$L$804,'WEBSITE CONTENT SEO'!$B$5:$B$804,$A73,'WEBSITE CONTENT SEO'!$A$5:$A$804,"&gt;="&amp;D$7,'WEBSITE CONTENT SEO'!$A$5:$A$804,"&lt;="&amp;D$8))</f>
        <v>0</v>
      </c>
      <c r="E73" s="89">
        <f>IF($A73="","",COUNTIFS('LEAD MQL TRACKER'!$B$5:$B$1004,$A73,'LEAD MQL TRACKER'!$AB$5:$AB$1004,1,'LEAD MQL TRACKER'!$Z$5:$Z$1004,"&gt;="&amp;E$7,'LEAD MQL TRACKER'!$Z$5:$Z$1004,"&lt;="&amp;E$8)+SUMIFS('EMAIL MARKETING'!$Q$5:$Q$804,'EMAIL MARKETING'!$B$5:$B$804,$A73,'EMAIL MARKETING'!$A$5:$A$804,"&gt;="&amp;E$7,'EMAIL MARKETING'!$A$5:$A$804,"&lt;="&amp;E$8)+SUMIFS('PAID MEDIA ADS'!$M$5:$M$804,'PAID MEDIA ADS'!$B$5:$B$804,$A73,'PAID MEDIA ADS'!$A$5:$A$804,"&gt;="&amp;E$7,'PAID MEDIA ADS'!$A$5:$A$804,"&lt;="&amp;E$8)+SUMIFS('LINKEDIN OUTREACH'!$N$5:$N$704,'LINKEDIN OUTREACH'!$B$5:$B$704,$A73,'LINKEDIN OUTREACH'!$A$5:$A$704,"&gt;="&amp;E$7,'LINKEDIN OUTREACH'!$A$5:$A$704,"&lt;="&amp;E$8)+SUMIFS('WEBSITE CONTENT SEO'!$L$5:$L$804,'WEBSITE CONTENT SEO'!$B$5:$B$804,$A73,'WEBSITE CONTENT SEO'!$A$5:$A$804,"&gt;="&amp;E$7,'WEBSITE CONTENT SEO'!$A$5:$A$804,"&lt;="&amp;E$8))</f>
        <v>0</v>
      </c>
      <c r="F73" s="89">
        <f>IF($A73="","",COUNTIFS('LEAD MQL TRACKER'!$B$5:$B$1004,$A73,'LEAD MQL TRACKER'!$AB$5:$AB$1004,1,'LEAD MQL TRACKER'!$Z$5:$Z$1004,"&gt;="&amp;F$7,'LEAD MQL TRACKER'!$Z$5:$Z$1004,"&lt;="&amp;F$8)+SUMIFS('EMAIL MARKETING'!$Q$5:$Q$804,'EMAIL MARKETING'!$B$5:$B$804,$A73,'EMAIL MARKETING'!$A$5:$A$804,"&gt;="&amp;F$7,'EMAIL MARKETING'!$A$5:$A$804,"&lt;="&amp;F$8)+SUMIFS('PAID MEDIA ADS'!$M$5:$M$804,'PAID MEDIA ADS'!$B$5:$B$804,$A73,'PAID MEDIA ADS'!$A$5:$A$804,"&gt;="&amp;F$7,'PAID MEDIA ADS'!$A$5:$A$804,"&lt;="&amp;F$8)+SUMIFS('LINKEDIN OUTREACH'!$N$5:$N$704,'LINKEDIN OUTREACH'!$B$5:$B$704,$A73,'LINKEDIN OUTREACH'!$A$5:$A$704,"&gt;="&amp;F$7,'LINKEDIN OUTREACH'!$A$5:$A$704,"&lt;="&amp;F$8)+SUMIFS('WEBSITE CONTENT SEO'!$L$5:$L$804,'WEBSITE CONTENT SEO'!$B$5:$B$804,$A73,'WEBSITE CONTENT SEO'!$A$5:$A$804,"&gt;="&amp;F$7,'WEBSITE CONTENT SEO'!$A$5:$A$804,"&lt;="&amp;F$8))</f>
        <v>0</v>
      </c>
      <c r="G73" s="89">
        <f>IF($A73="","",COUNTIFS('LEAD MQL TRACKER'!$B$5:$B$1004,$A73,'LEAD MQL TRACKER'!$AB$5:$AB$1004,1,'LEAD MQL TRACKER'!$Z$5:$Z$1004,"&gt;="&amp;G$7,'LEAD MQL TRACKER'!$Z$5:$Z$1004,"&lt;="&amp;G$8)+SUMIFS('EMAIL MARKETING'!$Q$5:$Q$804,'EMAIL MARKETING'!$B$5:$B$804,$A73,'EMAIL MARKETING'!$A$5:$A$804,"&gt;="&amp;G$7,'EMAIL MARKETING'!$A$5:$A$804,"&lt;="&amp;G$8)+SUMIFS('PAID MEDIA ADS'!$M$5:$M$804,'PAID MEDIA ADS'!$B$5:$B$804,$A73,'PAID MEDIA ADS'!$A$5:$A$804,"&gt;="&amp;G$7,'PAID MEDIA ADS'!$A$5:$A$804,"&lt;="&amp;G$8)+SUMIFS('LINKEDIN OUTREACH'!$N$5:$N$704,'LINKEDIN OUTREACH'!$B$5:$B$704,$A73,'LINKEDIN OUTREACH'!$A$5:$A$704,"&gt;="&amp;G$7,'LINKEDIN OUTREACH'!$A$5:$A$704,"&lt;="&amp;G$8)+SUMIFS('WEBSITE CONTENT SEO'!$L$5:$L$804,'WEBSITE CONTENT SEO'!$B$5:$B$804,$A73,'WEBSITE CONTENT SEO'!$A$5:$A$804,"&gt;="&amp;G$7,'WEBSITE CONTENT SEO'!$A$5:$A$804,"&lt;="&amp;G$8))</f>
        <v>0</v>
      </c>
      <c r="H73" s="89">
        <f>IF($A73="","",COUNTIFS('LEAD MQL TRACKER'!$B$5:$B$1004,$A73,'LEAD MQL TRACKER'!$AB$5:$AB$1004,1,'LEAD MQL TRACKER'!$Z$5:$Z$1004,"&gt;="&amp;H$7,'LEAD MQL TRACKER'!$Z$5:$Z$1004,"&lt;="&amp;H$8)+SUMIFS('EMAIL MARKETING'!$Q$5:$Q$804,'EMAIL MARKETING'!$B$5:$B$804,$A73,'EMAIL MARKETING'!$A$5:$A$804,"&gt;="&amp;H$7,'EMAIL MARKETING'!$A$5:$A$804,"&lt;="&amp;H$8)+SUMIFS('PAID MEDIA ADS'!$M$5:$M$804,'PAID MEDIA ADS'!$B$5:$B$804,$A73,'PAID MEDIA ADS'!$A$5:$A$804,"&gt;="&amp;H$7,'PAID MEDIA ADS'!$A$5:$A$804,"&lt;="&amp;H$8)+SUMIFS('LINKEDIN OUTREACH'!$N$5:$N$704,'LINKEDIN OUTREACH'!$B$5:$B$704,$A73,'LINKEDIN OUTREACH'!$A$5:$A$704,"&gt;="&amp;H$7,'LINKEDIN OUTREACH'!$A$5:$A$704,"&lt;="&amp;H$8)+SUMIFS('WEBSITE CONTENT SEO'!$L$5:$L$804,'WEBSITE CONTENT SEO'!$B$5:$B$804,$A73,'WEBSITE CONTENT SEO'!$A$5:$A$804,"&gt;="&amp;H$7,'WEBSITE CONTENT SEO'!$A$5:$A$804,"&lt;="&amp;H$8))</f>
        <v>0</v>
      </c>
      <c r="I73" s="89">
        <f>IF($A73="","",COUNTIFS('LEAD MQL TRACKER'!$B$5:$B$1004,$A73,'LEAD MQL TRACKER'!$AB$5:$AB$1004,1,'LEAD MQL TRACKER'!$Z$5:$Z$1004,"&gt;="&amp;I$7,'LEAD MQL TRACKER'!$Z$5:$Z$1004,"&lt;="&amp;I$8)+SUMIFS('EMAIL MARKETING'!$Q$5:$Q$804,'EMAIL MARKETING'!$B$5:$B$804,$A73,'EMAIL MARKETING'!$A$5:$A$804,"&gt;="&amp;I$7,'EMAIL MARKETING'!$A$5:$A$804,"&lt;="&amp;I$8)+SUMIFS('PAID MEDIA ADS'!$M$5:$M$804,'PAID MEDIA ADS'!$B$5:$B$804,$A73,'PAID MEDIA ADS'!$A$5:$A$804,"&gt;="&amp;I$7,'PAID MEDIA ADS'!$A$5:$A$804,"&lt;="&amp;I$8)+SUMIFS('LINKEDIN OUTREACH'!$N$5:$N$704,'LINKEDIN OUTREACH'!$B$5:$B$704,$A73,'LINKEDIN OUTREACH'!$A$5:$A$704,"&gt;="&amp;I$7,'LINKEDIN OUTREACH'!$A$5:$A$704,"&lt;="&amp;I$8)+SUMIFS('WEBSITE CONTENT SEO'!$L$5:$L$804,'WEBSITE CONTENT SEO'!$B$5:$B$804,$A73,'WEBSITE CONTENT SEO'!$A$5:$A$804,"&gt;="&amp;I$7,'WEBSITE CONTENT SEO'!$A$5:$A$804,"&lt;="&amp;I$8))</f>
        <v>0</v>
      </c>
      <c r="J73" s="89">
        <f>IF($A73="","",COUNTIFS('LEAD MQL TRACKER'!$B$5:$B$1004,$A73,'LEAD MQL TRACKER'!$AB$5:$AB$1004,1,'LEAD MQL TRACKER'!$Z$5:$Z$1004,"&gt;="&amp;J$7,'LEAD MQL TRACKER'!$Z$5:$Z$1004,"&lt;="&amp;J$8)+SUMIFS('EMAIL MARKETING'!$Q$5:$Q$804,'EMAIL MARKETING'!$B$5:$B$804,$A73,'EMAIL MARKETING'!$A$5:$A$804,"&gt;="&amp;J$7,'EMAIL MARKETING'!$A$5:$A$804,"&lt;="&amp;J$8)+SUMIFS('PAID MEDIA ADS'!$M$5:$M$804,'PAID MEDIA ADS'!$B$5:$B$804,$A73,'PAID MEDIA ADS'!$A$5:$A$804,"&gt;="&amp;J$7,'PAID MEDIA ADS'!$A$5:$A$804,"&lt;="&amp;J$8)+SUMIFS('LINKEDIN OUTREACH'!$N$5:$N$704,'LINKEDIN OUTREACH'!$B$5:$B$704,$A73,'LINKEDIN OUTREACH'!$A$5:$A$704,"&gt;="&amp;J$7,'LINKEDIN OUTREACH'!$A$5:$A$704,"&lt;="&amp;J$8)+SUMIFS('WEBSITE CONTENT SEO'!$L$5:$L$804,'WEBSITE CONTENT SEO'!$B$5:$B$804,$A73,'WEBSITE CONTENT SEO'!$A$5:$A$804,"&gt;="&amp;J$7,'WEBSITE CONTENT SEO'!$A$5:$A$804,"&lt;="&amp;J$8))</f>
        <v>0</v>
      </c>
      <c r="K73" s="89">
        <f>IF($A73="","",COUNTIFS('LEAD MQL TRACKER'!$B$5:$B$1004,$A73,'LEAD MQL TRACKER'!$AB$5:$AB$1004,1,'LEAD MQL TRACKER'!$Z$5:$Z$1004,"&gt;="&amp;K$7,'LEAD MQL TRACKER'!$Z$5:$Z$1004,"&lt;="&amp;K$8)+SUMIFS('EMAIL MARKETING'!$Q$5:$Q$804,'EMAIL MARKETING'!$B$5:$B$804,$A73,'EMAIL MARKETING'!$A$5:$A$804,"&gt;="&amp;K$7,'EMAIL MARKETING'!$A$5:$A$804,"&lt;="&amp;K$8)+SUMIFS('PAID MEDIA ADS'!$M$5:$M$804,'PAID MEDIA ADS'!$B$5:$B$804,$A73,'PAID MEDIA ADS'!$A$5:$A$804,"&gt;="&amp;K$7,'PAID MEDIA ADS'!$A$5:$A$804,"&lt;="&amp;K$8)+SUMIFS('LINKEDIN OUTREACH'!$N$5:$N$704,'LINKEDIN OUTREACH'!$B$5:$B$704,$A73,'LINKEDIN OUTREACH'!$A$5:$A$704,"&gt;="&amp;K$7,'LINKEDIN OUTREACH'!$A$5:$A$704,"&lt;="&amp;K$8)+SUMIFS('WEBSITE CONTENT SEO'!$L$5:$L$804,'WEBSITE CONTENT SEO'!$B$5:$B$804,$A73,'WEBSITE CONTENT SEO'!$A$5:$A$804,"&gt;="&amp;K$7,'WEBSITE CONTENT SEO'!$A$5:$A$804,"&lt;="&amp;K$8))</f>
        <v>0</v>
      </c>
      <c r="L73" s="89">
        <f>IF($A73="","",COUNTIFS('LEAD MQL TRACKER'!$B$5:$B$1004,$A73,'LEAD MQL TRACKER'!$AB$5:$AB$1004,1,'LEAD MQL TRACKER'!$Z$5:$Z$1004,"&gt;="&amp;L$7,'LEAD MQL TRACKER'!$Z$5:$Z$1004,"&lt;="&amp;L$8)+SUMIFS('EMAIL MARKETING'!$Q$5:$Q$804,'EMAIL MARKETING'!$B$5:$B$804,$A73,'EMAIL MARKETING'!$A$5:$A$804,"&gt;="&amp;L$7,'EMAIL MARKETING'!$A$5:$A$804,"&lt;="&amp;L$8)+SUMIFS('PAID MEDIA ADS'!$M$5:$M$804,'PAID MEDIA ADS'!$B$5:$B$804,$A73,'PAID MEDIA ADS'!$A$5:$A$804,"&gt;="&amp;L$7,'PAID MEDIA ADS'!$A$5:$A$804,"&lt;="&amp;L$8)+SUMIFS('LINKEDIN OUTREACH'!$N$5:$N$704,'LINKEDIN OUTREACH'!$B$5:$B$704,$A73,'LINKEDIN OUTREACH'!$A$5:$A$704,"&gt;="&amp;L$7,'LINKEDIN OUTREACH'!$A$5:$A$704,"&lt;="&amp;L$8)+SUMIFS('WEBSITE CONTENT SEO'!$L$5:$L$804,'WEBSITE CONTENT SEO'!$B$5:$B$804,$A73,'WEBSITE CONTENT SEO'!$A$5:$A$804,"&gt;="&amp;L$7,'WEBSITE CONTENT SEO'!$A$5:$A$804,"&lt;="&amp;L$8))</f>
        <v>0</v>
      </c>
      <c r="M73" s="89">
        <f>IF($A73="","",COUNTIFS('LEAD MQL TRACKER'!$B$5:$B$1004,$A73,'LEAD MQL TRACKER'!$AB$5:$AB$1004,1,'LEAD MQL TRACKER'!$Z$5:$Z$1004,"&gt;="&amp;M$7,'LEAD MQL TRACKER'!$Z$5:$Z$1004,"&lt;="&amp;M$8)+SUMIFS('EMAIL MARKETING'!$Q$5:$Q$804,'EMAIL MARKETING'!$B$5:$B$804,$A73,'EMAIL MARKETING'!$A$5:$A$804,"&gt;="&amp;M$7,'EMAIL MARKETING'!$A$5:$A$804,"&lt;="&amp;M$8)+SUMIFS('PAID MEDIA ADS'!$M$5:$M$804,'PAID MEDIA ADS'!$B$5:$B$804,$A73,'PAID MEDIA ADS'!$A$5:$A$804,"&gt;="&amp;M$7,'PAID MEDIA ADS'!$A$5:$A$804,"&lt;="&amp;M$8)+SUMIFS('LINKEDIN OUTREACH'!$N$5:$N$704,'LINKEDIN OUTREACH'!$B$5:$B$704,$A73,'LINKEDIN OUTREACH'!$A$5:$A$704,"&gt;="&amp;M$7,'LINKEDIN OUTREACH'!$A$5:$A$704,"&lt;="&amp;M$8)+SUMIFS('WEBSITE CONTENT SEO'!$L$5:$L$804,'WEBSITE CONTENT SEO'!$B$5:$B$804,$A73,'WEBSITE CONTENT SEO'!$A$5:$A$804,"&gt;="&amp;M$7,'WEBSITE CONTENT SEO'!$A$5:$A$804,"&lt;="&amp;M$8))</f>
        <v>0</v>
      </c>
    </row>
    <row r="74">
      <c r="A74" s="117" t="str">
        <f>IF('CLIENT MASTER'!A14="","",'CLIENT MASTER'!A14)</f>
        <v>Ruckus Networks</v>
      </c>
      <c r="B74" s="89">
        <f>IF($A74="","",COUNTIFS('LEAD MQL TRACKER'!$B$5:$B$1004,$A74,'LEAD MQL TRACKER'!$AB$5:$AB$1004,1,'LEAD MQL TRACKER'!$Z$5:$Z$1004,"&gt;="&amp;B$7,'LEAD MQL TRACKER'!$Z$5:$Z$1004,"&lt;="&amp;B$8)+SUMIFS('EMAIL MARKETING'!$Q$5:$Q$804,'EMAIL MARKETING'!$B$5:$B$804,$A74,'EMAIL MARKETING'!$A$5:$A$804,"&gt;="&amp;B$7,'EMAIL MARKETING'!$A$5:$A$804,"&lt;="&amp;B$8)+SUMIFS('PAID MEDIA ADS'!$M$5:$M$804,'PAID MEDIA ADS'!$B$5:$B$804,$A74,'PAID MEDIA ADS'!$A$5:$A$804,"&gt;="&amp;B$7,'PAID MEDIA ADS'!$A$5:$A$804,"&lt;="&amp;B$8)+SUMIFS('LINKEDIN OUTREACH'!$N$5:$N$704,'LINKEDIN OUTREACH'!$B$5:$B$704,$A74,'LINKEDIN OUTREACH'!$A$5:$A$704,"&gt;="&amp;B$7,'LINKEDIN OUTREACH'!$A$5:$A$704,"&lt;="&amp;B$8)+SUMIFS('WEBSITE CONTENT SEO'!$L$5:$L$804,'WEBSITE CONTENT SEO'!$B$5:$B$804,$A74,'WEBSITE CONTENT SEO'!$A$5:$A$804,"&gt;="&amp;B$7,'WEBSITE CONTENT SEO'!$A$5:$A$804,"&lt;="&amp;B$8))</f>
        <v>0</v>
      </c>
      <c r="C74" s="89">
        <f>IF($A74="","",COUNTIFS('LEAD MQL TRACKER'!$B$5:$B$1004,$A74,'LEAD MQL TRACKER'!$AB$5:$AB$1004,1,'LEAD MQL TRACKER'!$Z$5:$Z$1004,"&gt;="&amp;C$7,'LEAD MQL TRACKER'!$Z$5:$Z$1004,"&lt;="&amp;C$8)+SUMIFS('EMAIL MARKETING'!$Q$5:$Q$804,'EMAIL MARKETING'!$B$5:$B$804,$A74,'EMAIL MARKETING'!$A$5:$A$804,"&gt;="&amp;C$7,'EMAIL MARKETING'!$A$5:$A$804,"&lt;="&amp;C$8)+SUMIFS('PAID MEDIA ADS'!$M$5:$M$804,'PAID MEDIA ADS'!$B$5:$B$804,$A74,'PAID MEDIA ADS'!$A$5:$A$804,"&gt;="&amp;C$7,'PAID MEDIA ADS'!$A$5:$A$804,"&lt;="&amp;C$8)+SUMIFS('LINKEDIN OUTREACH'!$N$5:$N$704,'LINKEDIN OUTREACH'!$B$5:$B$704,$A74,'LINKEDIN OUTREACH'!$A$5:$A$704,"&gt;="&amp;C$7,'LINKEDIN OUTREACH'!$A$5:$A$704,"&lt;="&amp;C$8)+SUMIFS('WEBSITE CONTENT SEO'!$L$5:$L$804,'WEBSITE CONTENT SEO'!$B$5:$B$804,$A74,'WEBSITE CONTENT SEO'!$A$5:$A$804,"&gt;="&amp;C$7,'WEBSITE CONTENT SEO'!$A$5:$A$804,"&lt;="&amp;C$8))</f>
        <v>0</v>
      </c>
      <c r="D74" s="89">
        <f>IF($A74="","",COUNTIFS('LEAD MQL TRACKER'!$B$5:$B$1004,$A74,'LEAD MQL TRACKER'!$AB$5:$AB$1004,1,'LEAD MQL TRACKER'!$Z$5:$Z$1004,"&gt;="&amp;D$7,'LEAD MQL TRACKER'!$Z$5:$Z$1004,"&lt;="&amp;D$8)+SUMIFS('EMAIL MARKETING'!$Q$5:$Q$804,'EMAIL MARKETING'!$B$5:$B$804,$A74,'EMAIL MARKETING'!$A$5:$A$804,"&gt;="&amp;D$7,'EMAIL MARKETING'!$A$5:$A$804,"&lt;="&amp;D$8)+SUMIFS('PAID MEDIA ADS'!$M$5:$M$804,'PAID MEDIA ADS'!$B$5:$B$804,$A74,'PAID MEDIA ADS'!$A$5:$A$804,"&gt;="&amp;D$7,'PAID MEDIA ADS'!$A$5:$A$804,"&lt;="&amp;D$8)+SUMIFS('LINKEDIN OUTREACH'!$N$5:$N$704,'LINKEDIN OUTREACH'!$B$5:$B$704,$A74,'LINKEDIN OUTREACH'!$A$5:$A$704,"&gt;="&amp;D$7,'LINKEDIN OUTREACH'!$A$5:$A$704,"&lt;="&amp;D$8)+SUMIFS('WEBSITE CONTENT SEO'!$L$5:$L$804,'WEBSITE CONTENT SEO'!$B$5:$B$804,$A74,'WEBSITE CONTENT SEO'!$A$5:$A$804,"&gt;="&amp;D$7,'WEBSITE CONTENT SEO'!$A$5:$A$804,"&lt;="&amp;D$8))</f>
        <v>0</v>
      </c>
      <c r="E74" s="89">
        <f>IF($A74="","",COUNTIFS('LEAD MQL TRACKER'!$B$5:$B$1004,$A74,'LEAD MQL TRACKER'!$AB$5:$AB$1004,1,'LEAD MQL TRACKER'!$Z$5:$Z$1004,"&gt;="&amp;E$7,'LEAD MQL TRACKER'!$Z$5:$Z$1004,"&lt;="&amp;E$8)+SUMIFS('EMAIL MARKETING'!$Q$5:$Q$804,'EMAIL MARKETING'!$B$5:$B$804,$A74,'EMAIL MARKETING'!$A$5:$A$804,"&gt;="&amp;E$7,'EMAIL MARKETING'!$A$5:$A$804,"&lt;="&amp;E$8)+SUMIFS('PAID MEDIA ADS'!$M$5:$M$804,'PAID MEDIA ADS'!$B$5:$B$804,$A74,'PAID MEDIA ADS'!$A$5:$A$804,"&gt;="&amp;E$7,'PAID MEDIA ADS'!$A$5:$A$804,"&lt;="&amp;E$8)+SUMIFS('LINKEDIN OUTREACH'!$N$5:$N$704,'LINKEDIN OUTREACH'!$B$5:$B$704,$A74,'LINKEDIN OUTREACH'!$A$5:$A$704,"&gt;="&amp;E$7,'LINKEDIN OUTREACH'!$A$5:$A$704,"&lt;="&amp;E$8)+SUMIFS('WEBSITE CONTENT SEO'!$L$5:$L$804,'WEBSITE CONTENT SEO'!$B$5:$B$804,$A74,'WEBSITE CONTENT SEO'!$A$5:$A$804,"&gt;="&amp;E$7,'WEBSITE CONTENT SEO'!$A$5:$A$804,"&lt;="&amp;E$8))</f>
        <v>0</v>
      </c>
      <c r="F74" s="89">
        <f>IF($A74="","",COUNTIFS('LEAD MQL TRACKER'!$B$5:$B$1004,$A74,'LEAD MQL TRACKER'!$AB$5:$AB$1004,1,'LEAD MQL TRACKER'!$Z$5:$Z$1004,"&gt;="&amp;F$7,'LEAD MQL TRACKER'!$Z$5:$Z$1004,"&lt;="&amp;F$8)+SUMIFS('EMAIL MARKETING'!$Q$5:$Q$804,'EMAIL MARKETING'!$B$5:$B$804,$A74,'EMAIL MARKETING'!$A$5:$A$804,"&gt;="&amp;F$7,'EMAIL MARKETING'!$A$5:$A$804,"&lt;="&amp;F$8)+SUMIFS('PAID MEDIA ADS'!$M$5:$M$804,'PAID MEDIA ADS'!$B$5:$B$804,$A74,'PAID MEDIA ADS'!$A$5:$A$804,"&gt;="&amp;F$7,'PAID MEDIA ADS'!$A$5:$A$804,"&lt;="&amp;F$8)+SUMIFS('LINKEDIN OUTREACH'!$N$5:$N$704,'LINKEDIN OUTREACH'!$B$5:$B$704,$A74,'LINKEDIN OUTREACH'!$A$5:$A$704,"&gt;="&amp;F$7,'LINKEDIN OUTREACH'!$A$5:$A$704,"&lt;="&amp;F$8)+SUMIFS('WEBSITE CONTENT SEO'!$L$5:$L$804,'WEBSITE CONTENT SEO'!$B$5:$B$804,$A74,'WEBSITE CONTENT SEO'!$A$5:$A$804,"&gt;="&amp;F$7,'WEBSITE CONTENT SEO'!$A$5:$A$804,"&lt;="&amp;F$8))</f>
        <v>0</v>
      </c>
      <c r="G74" s="89">
        <f>IF($A74="","",COUNTIFS('LEAD MQL TRACKER'!$B$5:$B$1004,$A74,'LEAD MQL TRACKER'!$AB$5:$AB$1004,1,'LEAD MQL TRACKER'!$Z$5:$Z$1004,"&gt;="&amp;G$7,'LEAD MQL TRACKER'!$Z$5:$Z$1004,"&lt;="&amp;G$8)+SUMIFS('EMAIL MARKETING'!$Q$5:$Q$804,'EMAIL MARKETING'!$B$5:$B$804,$A74,'EMAIL MARKETING'!$A$5:$A$804,"&gt;="&amp;G$7,'EMAIL MARKETING'!$A$5:$A$804,"&lt;="&amp;G$8)+SUMIFS('PAID MEDIA ADS'!$M$5:$M$804,'PAID MEDIA ADS'!$B$5:$B$804,$A74,'PAID MEDIA ADS'!$A$5:$A$804,"&gt;="&amp;G$7,'PAID MEDIA ADS'!$A$5:$A$804,"&lt;="&amp;G$8)+SUMIFS('LINKEDIN OUTREACH'!$N$5:$N$704,'LINKEDIN OUTREACH'!$B$5:$B$704,$A74,'LINKEDIN OUTREACH'!$A$5:$A$704,"&gt;="&amp;G$7,'LINKEDIN OUTREACH'!$A$5:$A$704,"&lt;="&amp;G$8)+SUMIFS('WEBSITE CONTENT SEO'!$L$5:$L$804,'WEBSITE CONTENT SEO'!$B$5:$B$804,$A74,'WEBSITE CONTENT SEO'!$A$5:$A$804,"&gt;="&amp;G$7,'WEBSITE CONTENT SEO'!$A$5:$A$804,"&lt;="&amp;G$8))</f>
        <v>0</v>
      </c>
      <c r="H74" s="89">
        <f>IF($A74="","",COUNTIFS('LEAD MQL TRACKER'!$B$5:$B$1004,$A74,'LEAD MQL TRACKER'!$AB$5:$AB$1004,1,'LEAD MQL TRACKER'!$Z$5:$Z$1004,"&gt;="&amp;H$7,'LEAD MQL TRACKER'!$Z$5:$Z$1004,"&lt;="&amp;H$8)+SUMIFS('EMAIL MARKETING'!$Q$5:$Q$804,'EMAIL MARKETING'!$B$5:$B$804,$A74,'EMAIL MARKETING'!$A$5:$A$804,"&gt;="&amp;H$7,'EMAIL MARKETING'!$A$5:$A$804,"&lt;="&amp;H$8)+SUMIFS('PAID MEDIA ADS'!$M$5:$M$804,'PAID MEDIA ADS'!$B$5:$B$804,$A74,'PAID MEDIA ADS'!$A$5:$A$804,"&gt;="&amp;H$7,'PAID MEDIA ADS'!$A$5:$A$804,"&lt;="&amp;H$8)+SUMIFS('LINKEDIN OUTREACH'!$N$5:$N$704,'LINKEDIN OUTREACH'!$B$5:$B$704,$A74,'LINKEDIN OUTREACH'!$A$5:$A$704,"&gt;="&amp;H$7,'LINKEDIN OUTREACH'!$A$5:$A$704,"&lt;="&amp;H$8)+SUMIFS('WEBSITE CONTENT SEO'!$L$5:$L$804,'WEBSITE CONTENT SEO'!$B$5:$B$804,$A74,'WEBSITE CONTENT SEO'!$A$5:$A$804,"&gt;="&amp;H$7,'WEBSITE CONTENT SEO'!$A$5:$A$804,"&lt;="&amp;H$8))</f>
        <v>0</v>
      </c>
      <c r="I74" s="89">
        <f>IF($A74="","",COUNTIFS('LEAD MQL TRACKER'!$B$5:$B$1004,$A74,'LEAD MQL TRACKER'!$AB$5:$AB$1004,1,'LEAD MQL TRACKER'!$Z$5:$Z$1004,"&gt;="&amp;I$7,'LEAD MQL TRACKER'!$Z$5:$Z$1004,"&lt;="&amp;I$8)+SUMIFS('EMAIL MARKETING'!$Q$5:$Q$804,'EMAIL MARKETING'!$B$5:$B$804,$A74,'EMAIL MARKETING'!$A$5:$A$804,"&gt;="&amp;I$7,'EMAIL MARKETING'!$A$5:$A$804,"&lt;="&amp;I$8)+SUMIFS('PAID MEDIA ADS'!$M$5:$M$804,'PAID MEDIA ADS'!$B$5:$B$804,$A74,'PAID MEDIA ADS'!$A$5:$A$804,"&gt;="&amp;I$7,'PAID MEDIA ADS'!$A$5:$A$804,"&lt;="&amp;I$8)+SUMIFS('LINKEDIN OUTREACH'!$N$5:$N$704,'LINKEDIN OUTREACH'!$B$5:$B$704,$A74,'LINKEDIN OUTREACH'!$A$5:$A$704,"&gt;="&amp;I$7,'LINKEDIN OUTREACH'!$A$5:$A$704,"&lt;="&amp;I$8)+SUMIFS('WEBSITE CONTENT SEO'!$L$5:$L$804,'WEBSITE CONTENT SEO'!$B$5:$B$804,$A74,'WEBSITE CONTENT SEO'!$A$5:$A$804,"&gt;="&amp;I$7,'WEBSITE CONTENT SEO'!$A$5:$A$804,"&lt;="&amp;I$8))</f>
        <v>0</v>
      </c>
      <c r="J74" s="89">
        <f>IF($A74="","",COUNTIFS('LEAD MQL TRACKER'!$B$5:$B$1004,$A74,'LEAD MQL TRACKER'!$AB$5:$AB$1004,1,'LEAD MQL TRACKER'!$Z$5:$Z$1004,"&gt;="&amp;J$7,'LEAD MQL TRACKER'!$Z$5:$Z$1004,"&lt;="&amp;J$8)+SUMIFS('EMAIL MARKETING'!$Q$5:$Q$804,'EMAIL MARKETING'!$B$5:$B$804,$A74,'EMAIL MARKETING'!$A$5:$A$804,"&gt;="&amp;J$7,'EMAIL MARKETING'!$A$5:$A$804,"&lt;="&amp;J$8)+SUMIFS('PAID MEDIA ADS'!$M$5:$M$804,'PAID MEDIA ADS'!$B$5:$B$804,$A74,'PAID MEDIA ADS'!$A$5:$A$804,"&gt;="&amp;J$7,'PAID MEDIA ADS'!$A$5:$A$804,"&lt;="&amp;J$8)+SUMIFS('LINKEDIN OUTREACH'!$N$5:$N$704,'LINKEDIN OUTREACH'!$B$5:$B$704,$A74,'LINKEDIN OUTREACH'!$A$5:$A$704,"&gt;="&amp;J$7,'LINKEDIN OUTREACH'!$A$5:$A$704,"&lt;="&amp;J$8)+SUMIFS('WEBSITE CONTENT SEO'!$L$5:$L$804,'WEBSITE CONTENT SEO'!$B$5:$B$804,$A74,'WEBSITE CONTENT SEO'!$A$5:$A$804,"&gt;="&amp;J$7,'WEBSITE CONTENT SEO'!$A$5:$A$804,"&lt;="&amp;J$8))</f>
        <v>0</v>
      </c>
      <c r="K74" s="89">
        <f>IF($A74="","",COUNTIFS('LEAD MQL TRACKER'!$B$5:$B$1004,$A74,'LEAD MQL TRACKER'!$AB$5:$AB$1004,1,'LEAD MQL TRACKER'!$Z$5:$Z$1004,"&gt;="&amp;K$7,'LEAD MQL TRACKER'!$Z$5:$Z$1004,"&lt;="&amp;K$8)+SUMIFS('EMAIL MARKETING'!$Q$5:$Q$804,'EMAIL MARKETING'!$B$5:$B$804,$A74,'EMAIL MARKETING'!$A$5:$A$804,"&gt;="&amp;K$7,'EMAIL MARKETING'!$A$5:$A$804,"&lt;="&amp;K$8)+SUMIFS('PAID MEDIA ADS'!$M$5:$M$804,'PAID MEDIA ADS'!$B$5:$B$804,$A74,'PAID MEDIA ADS'!$A$5:$A$804,"&gt;="&amp;K$7,'PAID MEDIA ADS'!$A$5:$A$804,"&lt;="&amp;K$8)+SUMIFS('LINKEDIN OUTREACH'!$N$5:$N$704,'LINKEDIN OUTREACH'!$B$5:$B$704,$A74,'LINKEDIN OUTREACH'!$A$5:$A$704,"&gt;="&amp;K$7,'LINKEDIN OUTREACH'!$A$5:$A$704,"&lt;="&amp;K$8)+SUMIFS('WEBSITE CONTENT SEO'!$L$5:$L$804,'WEBSITE CONTENT SEO'!$B$5:$B$804,$A74,'WEBSITE CONTENT SEO'!$A$5:$A$804,"&gt;="&amp;K$7,'WEBSITE CONTENT SEO'!$A$5:$A$804,"&lt;="&amp;K$8))</f>
        <v>0</v>
      </c>
      <c r="L74" s="89">
        <f>IF($A74="","",COUNTIFS('LEAD MQL TRACKER'!$B$5:$B$1004,$A74,'LEAD MQL TRACKER'!$AB$5:$AB$1004,1,'LEAD MQL TRACKER'!$Z$5:$Z$1004,"&gt;="&amp;L$7,'LEAD MQL TRACKER'!$Z$5:$Z$1004,"&lt;="&amp;L$8)+SUMIFS('EMAIL MARKETING'!$Q$5:$Q$804,'EMAIL MARKETING'!$B$5:$B$804,$A74,'EMAIL MARKETING'!$A$5:$A$804,"&gt;="&amp;L$7,'EMAIL MARKETING'!$A$5:$A$804,"&lt;="&amp;L$8)+SUMIFS('PAID MEDIA ADS'!$M$5:$M$804,'PAID MEDIA ADS'!$B$5:$B$804,$A74,'PAID MEDIA ADS'!$A$5:$A$804,"&gt;="&amp;L$7,'PAID MEDIA ADS'!$A$5:$A$804,"&lt;="&amp;L$8)+SUMIFS('LINKEDIN OUTREACH'!$N$5:$N$704,'LINKEDIN OUTREACH'!$B$5:$B$704,$A74,'LINKEDIN OUTREACH'!$A$5:$A$704,"&gt;="&amp;L$7,'LINKEDIN OUTREACH'!$A$5:$A$704,"&lt;="&amp;L$8)+SUMIFS('WEBSITE CONTENT SEO'!$L$5:$L$804,'WEBSITE CONTENT SEO'!$B$5:$B$804,$A74,'WEBSITE CONTENT SEO'!$A$5:$A$804,"&gt;="&amp;L$7,'WEBSITE CONTENT SEO'!$A$5:$A$804,"&lt;="&amp;L$8))</f>
        <v>0</v>
      </c>
      <c r="M74" s="89">
        <f>IF($A74="","",COUNTIFS('LEAD MQL TRACKER'!$B$5:$B$1004,$A74,'LEAD MQL TRACKER'!$AB$5:$AB$1004,1,'LEAD MQL TRACKER'!$Z$5:$Z$1004,"&gt;="&amp;M$7,'LEAD MQL TRACKER'!$Z$5:$Z$1004,"&lt;="&amp;M$8)+SUMIFS('EMAIL MARKETING'!$Q$5:$Q$804,'EMAIL MARKETING'!$B$5:$B$804,$A74,'EMAIL MARKETING'!$A$5:$A$804,"&gt;="&amp;M$7,'EMAIL MARKETING'!$A$5:$A$804,"&lt;="&amp;M$8)+SUMIFS('PAID MEDIA ADS'!$M$5:$M$804,'PAID MEDIA ADS'!$B$5:$B$804,$A74,'PAID MEDIA ADS'!$A$5:$A$804,"&gt;="&amp;M$7,'PAID MEDIA ADS'!$A$5:$A$804,"&lt;="&amp;M$8)+SUMIFS('LINKEDIN OUTREACH'!$N$5:$N$704,'LINKEDIN OUTREACH'!$B$5:$B$704,$A74,'LINKEDIN OUTREACH'!$A$5:$A$704,"&gt;="&amp;M$7,'LINKEDIN OUTREACH'!$A$5:$A$704,"&lt;="&amp;M$8)+SUMIFS('WEBSITE CONTENT SEO'!$L$5:$L$804,'WEBSITE CONTENT SEO'!$B$5:$B$804,$A74,'WEBSITE CONTENT SEO'!$A$5:$A$804,"&gt;="&amp;M$7,'WEBSITE CONTENT SEO'!$A$5:$A$804,"&lt;="&amp;M$8))</f>
        <v>0</v>
      </c>
    </row>
    <row r="75">
      <c r="A75" s="117" t="str">
        <f>IF('CLIENT MASTER'!A15="","",'CLIENT MASTER'!A15)</f>
        <v>Google Chrome Enterprise</v>
      </c>
      <c r="B75" s="89">
        <f>IF($A75="","",COUNTIFS('LEAD MQL TRACKER'!$B$5:$B$1004,$A75,'LEAD MQL TRACKER'!$AB$5:$AB$1004,1,'LEAD MQL TRACKER'!$Z$5:$Z$1004,"&gt;="&amp;B$7,'LEAD MQL TRACKER'!$Z$5:$Z$1004,"&lt;="&amp;B$8)+SUMIFS('EMAIL MARKETING'!$Q$5:$Q$804,'EMAIL MARKETING'!$B$5:$B$804,$A75,'EMAIL MARKETING'!$A$5:$A$804,"&gt;="&amp;B$7,'EMAIL MARKETING'!$A$5:$A$804,"&lt;="&amp;B$8)+SUMIFS('PAID MEDIA ADS'!$M$5:$M$804,'PAID MEDIA ADS'!$B$5:$B$804,$A75,'PAID MEDIA ADS'!$A$5:$A$804,"&gt;="&amp;B$7,'PAID MEDIA ADS'!$A$5:$A$804,"&lt;="&amp;B$8)+SUMIFS('LINKEDIN OUTREACH'!$N$5:$N$704,'LINKEDIN OUTREACH'!$B$5:$B$704,$A75,'LINKEDIN OUTREACH'!$A$5:$A$704,"&gt;="&amp;B$7,'LINKEDIN OUTREACH'!$A$5:$A$704,"&lt;="&amp;B$8)+SUMIFS('WEBSITE CONTENT SEO'!$L$5:$L$804,'WEBSITE CONTENT SEO'!$B$5:$B$804,$A75,'WEBSITE CONTENT SEO'!$A$5:$A$804,"&gt;="&amp;B$7,'WEBSITE CONTENT SEO'!$A$5:$A$804,"&lt;="&amp;B$8))</f>
        <v>0</v>
      </c>
      <c r="C75" s="89">
        <f>IF($A75="","",COUNTIFS('LEAD MQL TRACKER'!$B$5:$B$1004,$A75,'LEAD MQL TRACKER'!$AB$5:$AB$1004,1,'LEAD MQL TRACKER'!$Z$5:$Z$1004,"&gt;="&amp;C$7,'LEAD MQL TRACKER'!$Z$5:$Z$1004,"&lt;="&amp;C$8)+SUMIFS('EMAIL MARKETING'!$Q$5:$Q$804,'EMAIL MARKETING'!$B$5:$B$804,$A75,'EMAIL MARKETING'!$A$5:$A$804,"&gt;="&amp;C$7,'EMAIL MARKETING'!$A$5:$A$804,"&lt;="&amp;C$8)+SUMIFS('PAID MEDIA ADS'!$M$5:$M$804,'PAID MEDIA ADS'!$B$5:$B$804,$A75,'PAID MEDIA ADS'!$A$5:$A$804,"&gt;="&amp;C$7,'PAID MEDIA ADS'!$A$5:$A$804,"&lt;="&amp;C$8)+SUMIFS('LINKEDIN OUTREACH'!$N$5:$N$704,'LINKEDIN OUTREACH'!$B$5:$B$704,$A75,'LINKEDIN OUTREACH'!$A$5:$A$704,"&gt;="&amp;C$7,'LINKEDIN OUTREACH'!$A$5:$A$704,"&lt;="&amp;C$8)+SUMIFS('WEBSITE CONTENT SEO'!$L$5:$L$804,'WEBSITE CONTENT SEO'!$B$5:$B$804,$A75,'WEBSITE CONTENT SEO'!$A$5:$A$804,"&gt;="&amp;C$7,'WEBSITE CONTENT SEO'!$A$5:$A$804,"&lt;="&amp;C$8))</f>
        <v>0</v>
      </c>
      <c r="D75" s="89">
        <f>IF($A75="","",COUNTIFS('LEAD MQL TRACKER'!$B$5:$B$1004,$A75,'LEAD MQL TRACKER'!$AB$5:$AB$1004,1,'LEAD MQL TRACKER'!$Z$5:$Z$1004,"&gt;="&amp;D$7,'LEAD MQL TRACKER'!$Z$5:$Z$1004,"&lt;="&amp;D$8)+SUMIFS('EMAIL MARKETING'!$Q$5:$Q$804,'EMAIL MARKETING'!$B$5:$B$804,$A75,'EMAIL MARKETING'!$A$5:$A$804,"&gt;="&amp;D$7,'EMAIL MARKETING'!$A$5:$A$804,"&lt;="&amp;D$8)+SUMIFS('PAID MEDIA ADS'!$M$5:$M$804,'PAID MEDIA ADS'!$B$5:$B$804,$A75,'PAID MEDIA ADS'!$A$5:$A$804,"&gt;="&amp;D$7,'PAID MEDIA ADS'!$A$5:$A$804,"&lt;="&amp;D$8)+SUMIFS('LINKEDIN OUTREACH'!$N$5:$N$704,'LINKEDIN OUTREACH'!$B$5:$B$704,$A75,'LINKEDIN OUTREACH'!$A$5:$A$704,"&gt;="&amp;D$7,'LINKEDIN OUTREACH'!$A$5:$A$704,"&lt;="&amp;D$8)+SUMIFS('WEBSITE CONTENT SEO'!$L$5:$L$804,'WEBSITE CONTENT SEO'!$B$5:$B$804,$A75,'WEBSITE CONTENT SEO'!$A$5:$A$804,"&gt;="&amp;D$7,'WEBSITE CONTENT SEO'!$A$5:$A$804,"&lt;="&amp;D$8))</f>
        <v>0</v>
      </c>
      <c r="E75" s="89">
        <f>IF($A75="","",COUNTIFS('LEAD MQL TRACKER'!$B$5:$B$1004,$A75,'LEAD MQL TRACKER'!$AB$5:$AB$1004,1,'LEAD MQL TRACKER'!$Z$5:$Z$1004,"&gt;="&amp;E$7,'LEAD MQL TRACKER'!$Z$5:$Z$1004,"&lt;="&amp;E$8)+SUMIFS('EMAIL MARKETING'!$Q$5:$Q$804,'EMAIL MARKETING'!$B$5:$B$804,$A75,'EMAIL MARKETING'!$A$5:$A$804,"&gt;="&amp;E$7,'EMAIL MARKETING'!$A$5:$A$804,"&lt;="&amp;E$8)+SUMIFS('PAID MEDIA ADS'!$M$5:$M$804,'PAID MEDIA ADS'!$B$5:$B$804,$A75,'PAID MEDIA ADS'!$A$5:$A$804,"&gt;="&amp;E$7,'PAID MEDIA ADS'!$A$5:$A$804,"&lt;="&amp;E$8)+SUMIFS('LINKEDIN OUTREACH'!$N$5:$N$704,'LINKEDIN OUTREACH'!$B$5:$B$704,$A75,'LINKEDIN OUTREACH'!$A$5:$A$704,"&gt;="&amp;E$7,'LINKEDIN OUTREACH'!$A$5:$A$704,"&lt;="&amp;E$8)+SUMIFS('WEBSITE CONTENT SEO'!$L$5:$L$804,'WEBSITE CONTENT SEO'!$B$5:$B$804,$A75,'WEBSITE CONTENT SEO'!$A$5:$A$804,"&gt;="&amp;E$7,'WEBSITE CONTENT SEO'!$A$5:$A$804,"&lt;="&amp;E$8))</f>
        <v>0</v>
      </c>
      <c r="F75" s="89">
        <f>IF($A75="","",COUNTIFS('LEAD MQL TRACKER'!$B$5:$B$1004,$A75,'LEAD MQL TRACKER'!$AB$5:$AB$1004,1,'LEAD MQL TRACKER'!$Z$5:$Z$1004,"&gt;="&amp;F$7,'LEAD MQL TRACKER'!$Z$5:$Z$1004,"&lt;="&amp;F$8)+SUMIFS('EMAIL MARKETING'!$Q$5:$Q$804,'EMAIL MARKETING'!$B$5:$B$804,$A75,'EMAIL MARKETING'!$A$5:$A$804,"&gt;="&amp;F$7,'EMAIL MARKETING'!$A$5:$A$804,"&lt;="&amp;F$8)+SUMIFS('PAID MEDIA ADS'!$M$5:$M$804,'PAID MEDIA ADS'!$B$5:$B$804,$A75,'PAID MEDIA ADS'!$A$5:$A$804,"&gt;="&amp;F$7,'PAID MEDIA ADS'!$A$5:$A$804,"&lt;="&amp;F$8)+SUMIFS('LINKEDIN OUTREACH'!$N$5:$N$704,'LINKEDIN OUTREACH'!$B$5:$B$704,$A75,'LINKEDIN OUTREACH'!$A$5:$A$704,"&gt;="&amp;F$7,'LINKEDIN OUTREACH'!$A$5:$A$704,"&lt;="&amp;F$8)+SUMIFS('WEBSITE CONTENT SEO'!$L$5:$L$804,'WEBSITE CONTENT SEO'!$B$5:$B$804,$A75,'WEBSITE CONTENT SEO'!$A$5:$A$804,"&gt;="&amp;F$7,'WEBSITE CONTENT SEO'!$A$5:$A$804,"&lt;="&amp;F$8))</f>
        <v>0</v>
      </c>
      <c r="G75" s="89">
        <f>IF($A75="","",COUNTIFS('LEAD MQL TRACKER'!$B$5:$B$1004,$A75,'LEAD MQL TRACKER'!$AB$5:$AB$1004,1,'LEAD MQL TRACKER'!$Z$5:$Z$1004,"&gt;="&amp;G$7,'LEAD MQL TRACKER'!$Z$5:$Z$1004,"&lt;="&amp;G$8)+SUMIFS('EMAIL MARKETING'!$Q$5:$Q$804,'EMAIL MARKETING'!$B$5:$B$804,$A75,'EMAIL MARKETING'!$A$5:$A$804,"&gt;="&amp;G$7,'EMAIL MARKETING'!$A$5:$A$804,"&lt;="&amp;G$8)+SUMIFS('PAID MEDIA ADS'!$M$5:$M$804,'PAID MEDIA ADS'!$B$5:$B$804,$A75,'PAID MEDIA ADS'!$A$5:$A$804,"&gt;="&amp;G$7,'PAID MEDIA ADS'!$A$5:$A$804,"&lt;="&amp;G$8)+SUMIFS('LINKEDIN OUTREACH'!$N$5:$N$704,'LINKEDIN OUTREACH'!$B$5:$B$704,$A75,'LINKEDIN OUTREACH'!$A$5:$A$704,"&gt;="&amp;G$7,'LINKEDIN OUTREACH'!$A$5:$A$704,"&lt;="&amp;G$8)+SUMIFS('WEBSITE CONTENT SEO'!$L$5:$L$804,'WEBSITE CONTENT SEO'!$B$5:$B$804,$A75,'WEBSITE CONTENT SEO'!$A$5:$A$804,"&gt;="&amp;G$7,'WEBSITE CONTENT SEO'!$A$5:$A$804,"&lt;="&amp;G$8))</f>
        <v>0</v>
      </c>
      <c r="H75" s="89">
        <f>IF($A75="","",COUNTIFS('LEAD MQL TRACKER'!$B$5:$B$1004,$A75,'LEAD MQL TRACKER'!$AB$5:$AB$1004,1,'LEAD MQL TRACKER'!$Z$5:$Z$1004,"&gt;="&amp;H$7,'LEAD MQL TRACKER'!$Z$5:$Z$1004,"&lt;="&amp;H$8)+SUMIFS('EMAIL MARKETING'!$Q$5:$Q$804,'EMAIL MARKETING'!$B$5:$B$804,$A75,'EMAIL MARKETING'!$A$5:$A$804,"&gt;="&amp;H$7,'EMAIL MARKETING'!$A$5:$A$804,"&lt;="&amp;H$8)+SUMIFS('PAID MEDIA ADS'!$M$5:$M$804,'PAID MEDIA ADS'!$B$5:$B$804,$A75,'PAID MEDIA ADS'!$A$5:$A$804,"&gt;="&amp;H$7,'PAID MEDIA ADS'!$A$5:$A$804,"&lt;="&amp;H$8)+SUMIFS('LINKEDIN OUTREACH'!$N$5:$N$704,'LINKEDIN OUTREACH'!$B$5:$B$704,$A75,'LINKEDIN OUTREACH'!$A$5:$A$704,"&gt;="&amp;H$7,'LINKEDIN OUTREACH'!$A$5:$A$704,"&lt;="&amp;H$8)+SUMIFS('WEBSITE CONTENT SEO'!$L$5:$L$804,'WEBSITE CONTENT SEO'!$B$5:$B$804,$A75,'WEBSITE CONTENT SEO'!$A$5:$A$804,"&gt;="&amp;H$7,'WEBSITE CONTENT SEO'!$A$5:$A$804,"&lt;="&amp;H$8))</f>
        <v>0</v>
      </c>
      <c r="I75" s="89">
        <f>IF($A75="","",COUNTIFS('LEAD MQL TRACKER'!$B$5:$B$1004,$A75,'LEAD MQL TRACKER'!$AB$5:$AB$1004,1,'LEAD MQL TRACKER'!$Z$5:$Z$1004,"&gt;="&amp;I$7,'LEAD MQL TRACKER'!$Z$5:$Z$1004,"&lt;="&amp;I$8)+SUMIFS('EMAIL MARKETING'!$Q$5:$Q$804,'EMAIL MARKETING'!$B$5:$B$804,$A75,'EMAIL MARKETING'!$A$5:$A$804,"&gt;="&amp;I$7,'EMAIL MARKETING'!$A$5:$A$804,"&lt;="&amp;I$8)+SUMIFS('PAID MEDIA ADS'!$M$5:$M$804,'PAID MEDIA ADS'!$B$5:$B$804,$A75,'PAID MEDIA ADS'!$A$5:$A$804,"&gt;="&amp;I$7,'PAID MEDIA ADS'!$A$5:$A$804,"&lt;="&amp;I$8)+SUMIFS('LINKEDIN OUTREACH'!$N$5:$N$704,'LINKEDIN OUTREACH'!$B$5:$B$704,$A75,'LINKEDIN OUTREACH'!$A$5:$A$704,"&gt;="&amp;I$7,'LINKEDIN OUTREACH'!$A$5:$A$704,"&lt;="&amp;I$8)+SUMIFS('WEBSITE CONTENT SEO'!$L$5:$L$804,'WEBSITE CONTENT SEO'!$B$5:$B$804,$A75,'WEBSITE CONTENT SEO'!$A$5:$A$804,"&gt;="&amp;I$7,'WEBSITE CONTENT SEO'!$A$5:$A$804,"&lt;="&amp;I$8))</f>
        <v>0</v>
      </c>
      <c r="J75" s="89">
        <f>IF($A75="","",COUNTIFS('LEAD MQL TRACKER'!$B$5:$B$1004,$A75,'LEAD MQL TRACKER'!$AB$5:$AB$1004,1,'LEAD MQL TRACKER'!$Z$5:$Z$1004,"&gt;="&amp;J$7,'LEAD MQL TRACKER'!$Z$5:$Z$1004,"&lt;="&amp;J$8)+SUMIFS('EMAIL MARKETING'!$Q$5:$Q$804,'EMAIL MARKETING'!$B$5:$B$804,$A75,'EMAIL MARKETING'!$A$5:$A$804,"&gt;="&amp;J$7,'EMAIL MARKETING'!$A$5:$A$804,"&lt;="&amp;J$8)+SUMIFS('PAID MEDIA ADS'!$M$5:$M$804,'PAID MEDIA ADS'!$B$5:$B$804,$A75,'PAID MEDIA ADS'!$A$5:$A$804,"&gt;="&amp;J$7,'PAID MEDIA ADS'!$A$5:$A$804,"&lt;="&amp;J$8)+SUMIFS('LINKEDIN OUTREACH'!$N$5:$N$704,'LINKEDIN OUTREACH'!$B$5:$B$704,$A75,'LINKEDIN OUTREACH'!$A$5:$A$704,"&gt;="&amp;J$7,'LINKEDIN OUTREACH'!$A$5:$A$704,"&lt;="&amp;J$8)+SUMIFS('WEBSITE CONTENT SEO'!$L$5:$L$804,'WEBSITE CONTENT SEO'!$B$5:$B$804,$A75,'WEBSITE CONTENT SEO'!$A$5:$A$804,"&gt;="&amp;J$7,'WEBSITE CONTENT SEO'!$A$5:$A$804,"&lt;="&amp;J$8))</f>
        <v>0</v>
      </c>
      <c r="K75" s="89">
        <f>IF($A75="","",COUNTIFS('LEAD MQL TRACKER'!$B$5:$B$1004,$A75,'LEAD MQL TRACKER'!$AB$5:$AB$1004,1,'LEAD MQL TRACKER'!$Z$5:$Z$1004,"&gt;="&amp;K$7,'LEAD MQL TRACKER'!$Z$5:$Z$1004,"&lt;="&amp;K$8)+SUMIFS('EMAIL MARKETING'!$Q$5:$Q$804,'EMAIL MARKETING'!$B$5:$B$804,$A75,'EMAIL MARKETING'!$A$5:$A$804,"&gt;="&amp;K$7,'EMAIL MARKETING'!$A$5:$A$804,"&lt;="&amp;K$8)+SUMIFS('PAID MEDIA ADS'!$M$5:$M$804,'PAID MEDIA ADS'!$B$5:$B$804,$A75,'PAID MEDIA ADS'!$A$5:$A$804,"&gt;="&amp;K$7,'PAID MEDIA ADS'!$A$5:$A$804,"&lt;="&amp;K$8)+SUMIFS('LINKEDIN OUTREACH'!$N$5:$N$704,'LINKEDIN OUTREACH'!$B$5:$B$704,$A75,'LINKEDIN OUTREACH'!$A$5:$A$704,"&gt;="&amp;K$7,'LINKEDIN OUTREACH'!$A$5:$A$704,"&lt;="&amp;K$8)+SUMIFS('WEBSITE CONTENT SEO'!$L$5:$L$804,'WEBSITE CONTENT SEO'!$B$5:$B$804,$A75,'WEBSITE CONTENT SEO'!$A$5:$A$804,"&gt;="&amp;K$7,'WEBSITE CONTENT SEO'!$A$5:$A$804,"&lt;="&amp;K$8))</f>
        <v>0</v>
      </c>
      <c r="L75" s="89">
        <f>IF($A75="","",COUNTIFS('LEAD MQL TRACKER'!$B$5:$B$1004,$A75,'LEAD MQL TRACKER'!$AB$5:$AB$1004,1,'LEAD MQL TRACKER'!$Z$5:$Z$1004,"&gt;="&amp;L$7,'LEAD MQL TRACKER'!$Z$5:$Z$1004,"&lt;="&amp;L$8)+SUMIFS('EMAIL MARKETING'!$Q$5:$Q$804,'EMAIL MARKETING'!$B$5:$B$804,$A75,'EMAIL MARKETING'!$A$5:$A$804,"&gt;="&amp;L$7,'EMAIL MARKETING'!$A$5:$A$804,"&lt;="&amp;L$8)+SUMIFS('PAID MEDIA ADS'!$M$5:$M$804,'PAID MEDIA ADS'!$B$5:$B$804,$A75,'PAID MEDIA ADS'!$A$5:$A$804,"&gt;="&amp;L$7,'PAID MEDIA ADS'!$A$5:$A$804,"&lt;="&amp;L$8)+SUMIFS('LINKEDIN OUTREACH'!$N$5:$N$704,'LINKEDIN OUTREACH'!$B$5:$B$704,$A75,'LINKEDIN OUTREACH'!$A$5:$A$704,"&gt;="&amp;L$7,'LINKEDIN OUTREACH'!$A$5:$A$704,"&lt;="&amp;L$8)+SUMIFS('WEBSITE CONTENT SEO'!$L$5:$L$804,'WEBSITE CONTENT SEO'!$B$5:$B$804,$A75,'WEBSITE CONTENT SEO'!$A$5:$A$804,"&gt;="&amp;L$7,'WEBSITE CONTENT SEO'!$A$5:$A$804,"&lt;="&amp;L$8))</f>
        <v>0</v>
      </c>
      <c r="M75" s="89">
        <f>IF($A75="","",COUNTIFS('LEAD MQL TRACKER'!$B$5:$B$1004,$A75,'LEAD MQL TRACKER'!$AB$5:$AB$1004,1,'LEAD MQL TRACKER'!$Z$5:$Z$1004,"&gt;="&amp;M$7,'LEAD MQL TRACKER'!$Z$5:$Z$1004,"&lt;="&amp;M$8)+SUMIFS('EMAIL MARKETING'!$Q$5:$Q$804,'EMAIL MARKETING'!$B$5:$B$804,$A75,'EMAIL MARKETING'!$A$5:$A$804,"&gt;="&amp;M$7,'EMAIL MARKETING'!$A$5:$A$804,"&lt;="&amp;M$8)+SUMIFS('PAID MEDIA ADS'!$M$5:$M$804,'PAID MEDIA ADS'!$B$5:$B$804,$A75,'PAID MEDIA ADS'!$A$5:$A$804,"&gt;="&amp;M$7,'PAID MEDIA ADS'!$A$5:$A$804,"&lt;="&amp;M$8)+SUMIFS('LINKEDIN OUTREACH'!$N$5:$N$704,'LINKEDIN OUTREACH'!$B$5:$B$704,$A75,'LINKEDIN OUTREACH'!$A$5:$A$704,"&gt;="&amp;M$7,'LINKEDIN OUTREACH'!$A$5:$A$704,"&lt;="&amp;M$8)+SUMIFS('WEBSITE CONTENT SEO'!$L$5:$L$804,'WEBSITE CONTENT SEO'!$B$5:$B$804,$A75,'WEBSITE CONTENT SEO'!$A$5:$A$804,"&gt;="&amp;M$7,'WEBSITE CONTENT SEO'!$A$5:$A$804,"&lt;="&amp;M$8))</f>
        <v>0</v>
      </c>
    </row>
    <row r="76">
      <c r="A76" s="117" t="str">
        <f>IF('CLIENT MASTER'!A16="","",'CLIENT MASTER'!A16)</f>
        <v>Equinix</v>
      </c>
      <c r="B76" s="89">
        <f>IF($A76="","",COUNTIFS('LEAD MQL TRACKER'!$B$5:$B$1004,$A76,'LEAD MQL TRACKER'!$AB$5:$AB$1004,1,'LEAD MQL TRACKER'!$Z$5:$Z$1004,"&gt;="&amp;B$7,'LEAD MQL TRACKER'!$Z$5:$Z$1004,"&lt;="&amp;B$8)+SUMIFS('EMAIL MARKETING'!$Q$5:$Q$804,'EMAIL MARKETING'!$B$5:$B$804,$A76,'EMAIL MARKETING'!$A$5:$A$804,"&gt;="&amp;B$7,'EMAIL MARKETING'!$A$5:$A$804,"&lt;="&amp;B$8)+SUMIFS('PAID MEDIA ADS'!$M$5:$M$804,'PAID MEDIA ADS'!$B$5:$B$804,$A76,'PAID MEDIA ADS'!$A$5:$A$804,"&gt;="&amp;B$7,'PAID MEDIA ADS'!$A$5:$A$804,"&lt;="&amp;B$8)+SUMIFS('LINKEDIN OUTREACH'!$N$5:$N$704,'LINKEDIN OUTREACH'!$B$5:$B$704,$A76,'LINKEDIN OUTREACH'!$A$5:$A$704,"&gt;="&amp;B$7,'LINKEDIN OUTREACH'!$A$5:$A$704,"&lt;="&amp;B$8)+SUMIFS('WEBSITE CONTENT SEO'!$L$5:$L$804,'WEBSITE CONTENT SEO'!$B$5:$B$804,$A76,'WEBSITE CONTENT SEO'!$A$5:$A$804,"&gt;="&amp;B$7,'WEBSITE CONTENT SEO'!$A$5:$A$804,"&lt;="&amp;B$8))</f>
        <v>0</v>
      </c>
      <c r="C76" s="89">
        <f>IF($A76="","",COUNTIFS('LEAD MQL TRACKER'!$B$5:$B$1004,$A76,'LEAD MQL TRACKER'!$AB$5:$AB$1004,1,'LEAD MQL TRACKER'!$Z$5:$Z$1004,"&gt;="&amp;C$7,'LEAD MQL TRACKER'!$Z$5:$Z$1004,"&lt;="&amp;C$8)+SUMIFS('EMAIL MARKETING'!$Q$5:$Q$804,'EMAIL MARKETING'!$B$5:$B$804,$A76,'EMAIL MARKETING'!$A$5:$A$804,"&gt;="&amp;C$7,'EMAIL MARKETING'!$A$5:$A$804,"&lt;="&amp;C$8)+SUMIFS('PAID MEDIA ADS'!$M$5:$M$804,'PAID MEDIA ADS'!$B$5:$B$804,$A76,'PAID MEDIA ADS'!$A$5:$A$804,"&gt;="&amp;C$7,'PAID MEDIA ADS'!$A$5:$A$804,"&lt;="&amp;C$8)+SUMIFS('LINKEDIN OUTREACH'!$N$5:$N$704,'LINKEDIN OUTREACH'!$B$5:$B$704,$A76,'LINKEDIN OUTREACH'!$A$5:$A$704,"&gt;="&amp;C$7,'LINKEDIN OUTREACH'!$A$5:$A$704,"&lt;="&amp;C$8)+SUMIFS('WEBSITE CONTENT SEO'!$L$5:$L$804,'WEBSITE CONTENT SEO'!$B$5:$B$804,$A76,'WEBSITE CONTENT SEO'!$A$5:$A$804,"&gt;="&amp;C$7,'WEBSITE CONTENT SEO'!$A$5:$A$804,"&lt;="&amp;C$8))</f>
        <v>0</v>
      </c>
      <c r="D76" s="89">
        <f>IF($A76="","",COUNTIFS('LEAD MQL TRACKER'!$B$5:$B$1004,$A76,'LEAD MQL TRACKER'!$AB$5:$AB$1004,1,'LEAD MQL TRACKER'!$Z$5:$Z$1004,"&gt;="&amp;D$7,'LEAD MQL TRACKER'!$Z$5:$Z$1004,"&lt;="&amp;D$8)+SUMIFS('EMAIL MARKETING'!$Q$5:$Q$804,'EMAIL MARKETING'!$B$5:$B$804,$A76,'EMAIL MARKETING'!$A$5:$A$804,"&gt;="&amp;D$7,'EMAIL MARKETING'!$A$5:$A$804,"&lt;="&amp;D$8)+SUMIFS('PAID MEDIA ADS'!$M$5:$M$804,'PAID MEDIA ADS'!$B$5:$B$804,$A76,'PAID MEDIA ADS'!$A$5:$A$804,"&gt;="&amp;D$7,'PAID MEDIA ADS'!$A$5:$A$804,"&lt;="&amp;D$8)+SUMIFS('LINKEDIN OUTREACH'!$N$5:$N$704,'LINKEDIN OUTREACH'!$B$5:$B$704,$A76,'LINKEDIN OUTREACH'!$A$5:$A$704,"&gt;="&amp;D$7,'LINKEDIN OUTREACH'!$A$5:$A$704,"&lt;="&amp;D$8)+SUMIFS('WEBSITE CONTENT SEO'!$L$5:$L$804,'WEBSITE CONTENT SEO'!$B$5:$B$804,$A76,'WEBSITE CONTENT SEO'!$A$5:$A$804,"&gt;="&amp;D$7,'WEBSITE CONTENT SEO'!$A$5:$A$804,"&lt;="&amp;D$8))</f>
        <v>0</v>
      </c>
      <c r="E76" s="89">
        <f>IF($A76="","",COUNTIFS('LEAD MQL TRACKER'!$B$5:$B$1004,$A76,'LEAD MQL TRACKER'!$AB$5:$AB$1004,1,'LEAD MQL TRACKER'!$Z$5:$Z$1004,"&gt;="&amp;E$7,'LEAD MQL TRACKER'!$Z$5:$Z$1004,"&lt;="&amp;E$8)+SUMIFS('EMAIL MARKETING'!$Q$5:$Q$804,'EMAIL MARKETING'!$B$5:$B$804,$A76,'EMAIL MARKETING'!$A$5:$A$804,"&gt;="&amp;E$7,'EMAIL MARKETING'!$A$5:$A$804,"&lt;="&amp;E$8)+SUMIFS('PAID MEDIA ADS'!$M$5:$M$804,'PAID MEDIA ADS'!$B$5:$B$804,$A76,'PAID MEDIA ADS'!$A$5:$A$804,"&gt;="&amp;E$7,'PAID MEDIA ADS'!$A$5:$A$804,"&lt;="&amp;E$8)+SUMIFS('LINKEDIN OUTREACH'!$N$5:$N$704,'LINKEDIN OUTREACH'!$B$5:$B$704,$A76,'LINKEDIN OUTREACH'!$A$5:$A$704,"&gt;="&amp;E$7,'LINKEDIN OUTREACH'!$A$5:$A$704,"&lt;="&amp;E$8)+SUMIFS('WEBSITE CONTENT SEO'!$L$5:$L$804,'WEBSITE CONTENT SEO'!$B$5:$B$804,$A76,'WEBSITE CONTENT SEO'!$A$5:$A$804,"&gt;="&amp;E$7,'WEBSITE CONTENT SEO'!$A$5:$A$804,"&lt;="&amp;E$8))</f>
        <v>0</v>
      </c>
      <c r="F76" s="89">
        <f>IF($A76="","",COUNTIFS('LEAD MQL TRACKER'!$B$5:$B$1004,$A76,'LEAD MQL TRACKER'!$AB$5:$AB$1004,1,'LEAD MQL TRACKER'!$Z$5:$Z$1004,"&gt;="&amp;F$7,'LEAD MQL TRACKER'!$Z$5:$Z$1004,"&lt;="&amp;F$8)+SUMIFS('EMAIL MARKETING'!$Q$5:$Q$804,'EMAIL MARKETING'!$B$5:$B$804,$A76,'EMAIL MARKETING'!$A$5:$A$804,"&gt;="&amp;F$7,'EMAIL MARKETING'!$A$5:$A$804,"&lt;="&amp;F$8)+SUMIFS('PAID MEDIA ADS'!$M$5:$M$804,'PAID MEDIA ADS'!$B$5:$B$804,$A76,'PAID MEDIA ADS'!$A$5:$A$804,"&gt;="&amp;F$7,'PAID MEDIA ADS'!$A$5:$A$804,"&lt;="&amp;F$8)+SUMIFS('LINKEDIN OUTREACH'!$N$5:$N$704,'LINKEDIN OUTREACH'!$B$5:$B$704,$A76,'LINKEDIN OUTREACH'!$A$5:$A$704,"&gt;="&amp;F$7,'LINKEDIN OUTREACH'!$A$5:$A$704,"&lt;="&amp;F$8)+SUMIFS('WEBSITE CONTENT SEO'!$L$5:$L$804,'WEBSITE CONTENT SEO'!$B$5:$B$804,$A76,'WEBSITE CONTENT SEO'!$A$5:$A$804,"&gt;="&amp;F$7,'WEBSITE CONTENT SEO'!$A$5:$A$804,"&lt;="&amp;F$8))</f>
        <v>0</v>
      </c>
      <c r="G76" s="89">
        <f>IF($A76="","",COUNTIFS('LEAD MQL TRACKER'!$B$5:$B$1004,$A76,'LEAD MQL TRACKER'!$AB$5:$AB$1004,1,'LEAD MQL TRACKER'!$Z$5:$Z$1004,"&gt;="&amp;G$7,'LEAD MQL TRACKER'!$Z$5:$Z$1004,"&lt;="&amp;G$8)+SUMIFS('EMAIL MARKETING'!$Q$5:$Q$804,'EMAIL MARKETING'!$B$5:$B$804,$A76,'EMAIL MARKETING'!$A$5:$A$804,"&gt;="&amp;G$7,'EMAIL MARKETING'!$A$5:$A$804,"&lt;="&amp;G$8)+SUMIFS('PAID MEDIA ADS'!$M$5:$M$804,'PAID MEDIA ADS'!$B$5:$B$804,$A76,'PAID MEDIA ADS'!$A$5:$A$804,"&gt;="&amp;G$7,'PAID MEDIA ADS'!$A$5:$A$804,"&lt;="&amp;G$8)+SUMIFS('LINKEDIN OUTREACH'!$N$5:$N$704,'LINKEDIN OUTREACH'!$B$5:$B$704,$A76,'LINKEDIN OUTREACH'!$A$5:$A$704,"&gt;="&amp;G$7,'LINKEDIN OUTREACH'!$A$5:$A$704,"&lt;="&amp;G$8)+SUMIFS('WEBSITE CONTENT SEO'!$L$5:$L$804,'WEBSITE CONTENT SEO'!$B$5:$B$804,$A76,'WEBSITE CONTENT SEO'!$A$5:$A$804,"&gt;="&amp;G$7,'WEBSITE CONTENT SEO'!$A$5:$A$804,"&lt;="&amp;G$8))</f>
        <v>0</v>
      </c>
      <c r="H76" s="89">
        <f>IF($A76="","",COUNTIFS('LEAD MQL TRACKER'!$B$5:$B$1004,$A76,'LEAD MQL TRACKER'!$AB$5:$AB$1004,1,'LEAD MQL TRACKER'!$Z$5:$Z$1004,"&gt;="&amp;H$7,'LEAD MQL TRACKER'!$Z$5:$Z$1004,"&lt;="&amp;H$8)+SUMIFS('EMAIL MARKETING'!$Q$5:$Q$804,'EMAIL MARKETING'!$B$5:$B$804,$A76,'EMAIL MARKETING'!$A$5:$A$804,"&gt;="&amp;H$7,'EMAIL MARKETING'!$A$5:$A$804,"&lt;="&amp;H$8)+SUMIFS('PAID MEDIA ADS'!$M$5:$M$804,'PAID MEDIA ADS'!$B$5:$B$804,$A76,'PAID MEDIA ADS'!$A$5:$A$804,"&gt;="&amp;H$7,'PAID MEDIA ADS'!$A$5:$A$804,"&lt;="&amp;H$8)+SUMIFS('LINKEDIN OUTREACH'!$N$5:$N$704,'LINKEDIN OUTREACH'!$B$5:$B$704,$A76,'LINKEDIN OUTREACH'!$A$5:$A$704,"&gt;="&amp;H$7,'LINKEDIN OUTREACH'!$A$5:$A$704,"&lt;="&amp;H$8)+SUMIFS('WEBSITE CONTENT SEO'!$L$5:$L$804,'WEBSITE CONTENT SEO'!$B$5:$B$804,$A76,'WEBSITE CONTENT SEO'!$A$5:$A$804,"&gt;="&amp;H$7,'WEBSITE CONTENT SEO'!$A$5:$A$804,"&lt;="&amp;H$8))</f>
        <v>0</v>
      </c>
      <c r="I76" s="89">
        <f>IF($A76="","",COUNTIFS('LEAD MQL TRACKER'!$B$5:$B$1004,$A76,'LEAD MQL TRACKER'!$AB$5:$AB$1004,1,'LEAD MQL TRACKER'!$Z$5:$Z$1004,"&gt;="&amp;I$7,'LEAD MQL TRACKER'!$Z$5:$Z$1004,"&lt;="&amp;I$8)+SUMIFS('EMAIL MARKETING'!$Q$5:$Q$804,'EMAIL MARKETING'!$B$5:$B$804,$A76,'EMAIL MARKETING'!$A$5:$A$804,"&gt;="&amp;I$7,'EMAIL MARKETING'!$A$5:$A$804,"&lt;="&amp;I$8)+SUMIFS('PAID MEDIA ADS'!$M$5:$M$804,'PAID MEDIA ADS'!$B$5:$B$804,$A76,'PAID MEDIA ADS'!$A$5:$A$804,"&gt;="&amp;I$7,'PAID MEDIA ADS'!$A$5:$A$804,"&lt;="&amp;I$8)+SUMIFS('LINKEDIN OUTREACH'!$N$5:$N$704,'LINKEDIN OUTREACH'!$B$5:$B$704,$A76,'LINKEDIN OUTREACH'!$A$5:$A$704,"&gt;="&amp;I$7,'LINKEDIN OUTREACH'!$A$5:$A$704,"&lt;="&amp;I$8)+SUMIFS('WEBSITE CONTENT SEO'!$L$5:$L$804,'WEBSITE CONTENT SEO'!$B$5:$B$804,$A76,'WEBSITE CONTENT SEO'!$A$5:$A$804,"&gt;="&amp;I$7,'WEBSITE CONTENT SEO'!$A$5:$A$804,"&lt;="&amp;I$8))</f>
        <v>0</v>
      </c>
      <c r="J76" s="89">
        <f>IF($A76="","",COUNTIFS('LEAD MQL TRACKER'!$B$5:$B$1004,$A76,'LEAD MQL TRACKER'!$AB$5:$AB$1004,1,'LEAD MQL TRACKER'!$Z$5:$Z$1004,"&gt;="&amp;J$7,'LEAD MQL TRACKER'!$Z$5:$Z$1004,"&lt;="&amp;J$8)+SUMIFS('EMAIL MARKETING'!$Q$5:$Q$804,'EMAIL MARKETING'!$B$5:$B$804,$A76,'EMAIL MARKETING'!$A$5:$A$804,"&gt;="&amp;J$7,'EMAIL MARKETING'!$A$5:$A$804,"&lt;="&amp;J$8)+SUMIFS('PAID MEDIA ADS'!$M$5:$M$804,'PAID MEDIA ADS'!$B$5:$B$804,$A76,'PAID MEDIA ADS'!$A$5:$A$804,"&gt;="&amp;J$7,'PAID MEDIA ADS'!$A$5:$A$804,"&lt;="&amp;J$8)+SUMIFS('LINKEDIN OUTREACH'!$N$5:$N$704,'LINKEDIN OUTREACH'!$B$5:$B$704,$A76,'LINKEDIN OUTREACH'!$A$5:$A$704,"&gt;="&amp;J$7,'LINKEDIN OUTREACH'!$A$5:$A$704,"&lt;="&amp;J$8)+SUMIFS('WEBSITE CONTENT SEO'!$L$5:$L$804,'WEBSITE CONTENT SEO'!$B$5:$B$804,$A76,'WEBSITE CONTENT SEO'!$A$5:$A$804,"&gt;="&amp;J$7,'WEBSITE CONTENT SEO'!$A$5:$A$804,"&lt;="&amp;J$8))</f>
        <v>0</v>
      </c>
      <c r="K76" s="89">
        <f>IF($A76="","",COUNTIFS('LEAD MQL TRACKER'!$B$5:$B$1004,$A76,'LEAD MQL TRACKER'!$AB$5:$AB$1004,1,'LEAD MQL TRACKER'!$Z$5:$Z$1004,"&gt;="&amp;K$7,'LEAD MQL TRACKER'!$Z$5:$Z$1004,"&lt;="&amp;K$8)+SUMIFS('EMAIL MARKETING'!$Q$5:$Q$804,'EMAIL MARKETING'!$B$5:$B$804,$A76,'EMAIL MARKETING'!$A$5:$A$804,"&gt;="&amp;K$7,'EMAIL MARKETING'!$A$5:$A$804,"&lt;="&amp;K$8)+SUMIFS('PAID MEDIA ADS'!$M$5:$M$804,'PAID MEDIA ADS'!$B$5:$B$804,$A76,'PAID MEDIA ADS'!$A$5:$A$804,"&gt;="&amp;K$7,'PAID MEDIA ADS'!$A$5:$A$804,"&lt;="&amp;K$8)+SUMIFS('LINKEDIN OUTREACH'!$N$5:$N$704,'LINKEDIN OUTREACH'!$B$5:$B$704,$A76,'LINKEDIN OUTREACH'!$A$5:$A$704,"&gt;="&amp;K$7,'LINKEDIN OUTREACH'!$A$5:$A$704,"&lt;="&amp;K$8)+SUMIFS('WEBSITE CONTENT SEO'!$L$5:$L$804,'WEBSITE CONTENT SEO'!$B$5:$B$804,$A76,'WEBSITE CONTENT SEO'!$A$5:$A$804,"&gt;="&amp;K$7,'WEBSITE CONTENT SEO'!$A$5:$A$804,"&lt;="&amp;K$8))</f>
        <v>0</v>
      </c>
      <c r="L76" s="89">
        <f>IF($A76="","",COUNTIFS('LEAD MQL TRACKER'!$B$5:$B$1004,$A76,'LEAD MQL TRACKER'!$AB$5:$AB$1004,1,'LEAD MQL TRACKER'!$Z$5:$Z$1004,"&gt;="&amp;L$7,'LEAD MQL TRACKER'!$Z$5:$Z$1004,"&lt;="&amp;L$8)+SUMIFS('EMAIL MARKETING'!$Q$5:$Q$804,'EMAIL MARKETING'!$B$5:$B$804,$A76,'EMAIL MARKETING'!$A$5:$A$804,"&gt;="&amp;L$7,'EMAIL MARKETING'!$A$5:$A$804,"&lt;="&amp;L$8)+SUMIFS('PAID MEDIA ADS'!$M$5:$M$804,'PAID MEDIA ADS'!$B$5:$B$804,$A76,'PAID MEDIA ADS'!$A$5:$A$804,"&gt;="&amp;L$7,'PAID MEDIA ADS'!$A$5:$A$804,"&lt;="&amp;L$8)+SUMIFS('LINKEDIN OUTREACH'!$N$5:$N$704,'LINKEDIN OUTREACH'!$B$5:$B$704,$A76,'LINKEDIN OUTREACH'!$A$5:$A$704,"&gt;="&amp;L$7,'LINKEDIN OUTREACH'!$A$5:$A$704,"&lt;="&amp;L$8)+SUMIFS('WEBSITE CONTENT SEO'!$L$5:$L$804,'WEBSITE CONTENT SEO'!$B$5:$B$804,$A76,'WEBSITE CONTENT SEO'!$A$5:$A$804,"&gt;="&amp;L$7,'WEBSITE CONTENT SEO'!$A$5:$A$804,"&lt;="&amp;L$8))</f>
        <v>0</v>
      </c>
      <c r="M76" s="89">
        <f>IF($A76="","",COUNTIFS('LEAD MQL TRACKER'!$B$5:$B$1004,$A76,'LEAD MQL TRACKER'!$AB$5:$AB$1004,1,'LEAD MQL TRACKER'!$Z$5:$Z$1004,"&gt;="&amp;M$7,'LEAD MQL TRACKER'!$Z$5:$Z$1004,"&lt;="&amp;M$8)+SUMIFS('EMAIL MARKETING'!$Q$5:$Q$804,'EMAIL MARKETING'!$B$5:$B$804,$A76,'EMAIL MARKETING'!$A$5:$A$804,"&gt;="&amp;M$7,'EMAIL MARKETING'!$A$5:$A$804,"&lt;="&amp;M$8)+SUMIFS('PAID MEDIA ADS'!$M$5:$M$804,'PAID MEDIA ADS'!$B$5:$B$804,$A76,'PAID MEDIA ADS'!$A$5:$A$804,"&gt;="&amp;M$7,'PAID MEDIA ADS'!$A$5:$A$804,"&lt;="&amp;M$8)+SUMIFS('LINKEDIN OUTREACH'!$N$5:$N$704,'LINKEDIN OUTREACH'!$B$5:$B$704,$A76,'LINKEDIN OUTREACH'!$A$5:$A$704,"&gt;="&amp;M$7,'LINKEDIN OUTREACH'!$A$5:$A$704,"&lt;="&amp;M$8)+SUMIFS('WEBSITE CONTENT SEO'!$L$5:$L$804,'WEBSITE CONTENT SEO'!$B$5:$B$804,$A76,'WEBSITE CONTENT SEO'!$A$5:$A$804,"&gt;="&amp;M$7,'WEBSITE CONTENT SEO'!$A$5:$A$804,"&lt;="&amp;M$8))</f>
        <v>0</v>
      </c>
    </row>
    <row r="77">
      <c r="A77" s="117" t="str">
        <f>IF('CLIENT MASTER'!A17="","",'CLIENT MASTER'!A17)</f>
        <v>Sonalika Tractors</v>
      </c>
      <c r="B77" s="89">
        <f>IF($A77="","",COUNTIFS('LEAD MQL TRACKER'!$B$5:$B$1004,$A77,'LEAD MQL TRACKER'!$AB$5:$AB$1004,1,'LEAD MQL TRACKER'!$Z$5:$Z$1004,"&gt;="&amp;B$7,'LEAD MQL TRACKER'!$Z$5:$Z$1004,"&lt;="&amp;B$8)+SUMIFS('EMAIL MARKETING'!$Q$5:$Q$804,'EMAIL MARKETING'!$B$5:$B$804,$A77,'EMAIL MARKETING'!$A$5:$A$804,"&gt;="&amp;B$7,'EMAIL MARKETING'!$A$5:$A$804,"&lt;="&amp;B$8)+SUMIFS('PAID MEDIA ADS'!$M$5:$M$804,'PAID MEDIA ADS'!$B$5:$B$804,$A77,'PAID MEDIA ADS'!$A$5:$A$804,"&gt;="&amp;B$7,'PAID MEDIA ADS'!$A$5:$A$804,"&lt;="&amp;B$8)+SUMIFS('LINKEDIN OUTREACH'!$N$5:$N$704,'LINKEDIN OUTREACH'!$B$5:$B$704,$A77,'LINKEDIN OUTREACH'!$A$5:$A$704,"&gt;="&amp;B$7,'LINKEDIN OUTREACH'!$A$5:$A$704,"&lt;="&amp;B$8)+SUMIFS('WEBSITE CONTENT SEO'!$L$5:$L$804,'WEBSITE CONTENT SEO'!$B$5:$B$804,$A77,'WEBSITE CONTENT SEO'!$A$5:$A$804,"&gt;="&amp;B$7,'WEBSITE CONTENT SEO'!$A$5:$A$804,"&lt;="&amp;B$8))</f>
        <v>0</v>
      </c>
      <c r="C77" s="89">
        <f>IF($A77="","",COUNTIFS('LEAD MQL TRACKER'!$B$5:$B$1004,$A77,'LEAD MQL TRACKER'!$AB$5:$AB$1004,1,'LEAD MQL TRACKER'!$Z$5:$Z$1004,"&gt;="&amp;C$7,'LEAD MQL TRACKER'!$Z$5:$Z$1004,"&lt;="&amp;C$8)+SUMIFS('EMAIL MARKETING'!$Q$5:$Q$804,'EMAIL MARKETING'!$B$5:$B$804,$A77,'EMAIL MARKETING'!$A$5:$A$804,"&gt;="&amp;C$7,'EMAIL MARKETING'!$A$5:$A$804,"&lt;="&amp;C$8)+SUMIFS('PAID MEDIA ADS'!$M$5:$M$804,'PAID MEDIA ADS'!$B$5:$B$804,$A77,'PAID MEDIA ADS'!$A$5:$A$804,"&gt;="&amp;C$7,'PAID MEDIA ADS'!$A$5:$A$804,"&lt;="&amp;C$8)+SUMIFS('LINKEDIN OUTREACH'!$N$5:$N$704,'LINKEDIN OUTREACH'!$B$5:$B$704,$A77,'LINKEDIN OUTREACH'!$A$5:$A$704,"&gt;="&amp;C$7,'LINKEDIN OUTREACH'!$A$5:$A$704,"&lt;="&amp;C$8)+SUMIFS('WEBSITE CONTENT SEO'!$L$5:$L$804,'WEBSITE CONTENT SEO'!$B$5:$B$804,$A77,'WEBSITE CONTENT SEO'!$A$5:$A$804,"&gt;="&amp;C$7,'WEBSITE CONTENT SEO'!$A$5:$A$804,"&lt;="&amp;C$8))</f>
        <v>0</v>
      </c>
      <c r="D77" s="89">
        <f>IF($A77="","",COUNTIFS('LEAD MQL TRACKER'!$B$5:$B$1004,$A77,'LEAD MQL TRACKER'!$AB$5:$AB$1004,1,'LEAD MQL TRACKER'!$Z$5:$Z$1004,"&gt;="&amp;D$7,'LEAD MQL TRACKER'!$Z$5:$Z$1004,"&lt;="&amp;D$8)+SUMIFS('EMAIL MARKETING'!$Q$5:$Q$804,'EMAIL MARKETING'!$B$5:$B$804,$A77,'EMAIL MARKETING'!$A$5:$A$804,"&gt;="&amp;D$7,'EMAIL MARKETING'!$A$5:$A$804,"&lt;="&amp;D$8)+SUMIFS('PAID MEDIA ADS'!$M$5:$M$804,'PAID MEDIA ADS'!$B$5:$B$804,$A77,'PAID MEDIA ADS'!$A$5:$A$804,"&gt;="&amp;D$7,'PAID MEDIA ADS'!$A$5:$A$804,"&lt;="&amp;D$8)+SUMIFS('LINKEDIN OUTREACH'!$N$5:$N$704,'LINKEDIN OUTREACH'!$B$5:$B$704,$A77,'LINKEDIN OUTREACH'!$A$5:$A$704,"&gt;="&amp;D$7,'LINKEDIN OUTREACH'!$A$5:$A$704,"&lt;="&amp;D$8)+SUMIFS('WEBSITE CONTENT SEO'!$L$5:$L$804,'WEBSITE CONTENT SEO'!$B$5:$B$804,$A77,'WEBSITE CONTENT SEO'!$A$5:$A$804,"&gt;="&amp;D$7,'WEBSITE CONTENT SEO'!$A$5:$A$804,"&lt;="&amp;D$8))</f>
        <v>0</v>
      </c>
      <c r="E77" s="89">
        <f>IF($A77="","",COUNTIFS('LEAD MQL TRACKER'!$B$5:$B$1004,$A77,'LEAD MQL TRACKER'!$AB$5:$AB$1004,1,'LEAD MQL TRACKER'!$Z$5:$Z$1004,"&gt;="&amp;E$7,'LEAD MQL TRACKER'!$Z$5:$Z$1004,"&lt;="&amp;E$8)+SUMIFS('EMAIL MARKETING'!$Q$5:$Q$804,'EMAIL MARKETING'!$B$5:$B$804,$A77,'EMAIL MARKETING'!$A$5:$A$804,"&gt;="&amp;E$7,'EMAIL MARKETING'!$A$5:$A$804,"&lt;="&amp;E$8)+SUMIFS('PAID MEDIA ADS'!$M$5:$M$804,'PAID MEDIA ADS'!$B$5:$B$804,$A77,'PAID MEDIA ADS'!$A$5:$A$804,"&gt;="&amp;E$7,'PAID MEDIA ADS'!$A$5:$A$804,"&lt;="&amp;E$8)+SUMIFS('LINKEDIN OUTREACH'!$N$5:$N$704,'LINKEDIN OUTREACH'!$B$5:$B$704,$A77,'LINKEDIN OUTREACH'!$A$5:$A$704,"&gt;="&amp;E$7,'LINKEDIN OUTREACH'!$A$5:$A$704,"&lt;="&amp;E$8)+SUMIFS('WEBSITE CONTENT SEO'!$L$5:$L$804,'WEBSITE CONTENT SEO'!$B$5:$B$804,$A77,'WEBSITE CONTENT SEO'!$A$5:$A$804,"&gt;="&amp;E$7,'WEBSITE CONTENT SEO'!$A$5:$A$804,"&lt;="&amp;E$8))</f>
        <v>0</v>
      </c>
      <c r="F77" s="89">
        <f>IF($A77="","",COUNTIFS('LEAD MQL TRACKER'!$B$5:$B$1004,$A77,'LEAD MQL TRACKER'!$AB$5:$AB$1004,1,'LEAD MQL TRACKER'!$Z$5:$Z$1004,"&gt;="&amp;F$7,'LEAD MQL TRACKER'!$Z$5:$Z$1004,"&lt;="&amp;F$8)+SUMIFS('EMAIL MARKETING'!$Q$5:$Q$804,'EMAIL MARKETING'!$B$5:$B$804,$A77,'EMAIL MARKETING'!$A$5:$A$804,"&gt;="&amp;F$7,'EMAIL MARKETING'!$A$5:$A$804,"&lt;="&amp;F$8)+SUMIFS('PAID MEDIA ADS'!$M$5:$M$804,'PAID MEDIA ADS'!$B$5:$B$804,$A77,'PAID MEDIA ADS'!$A$5:$A$804,"&gt;="&amp;F$7,'PAID MEDIA ADS'!$A$5:$A$804,"&lt;="&amp;F$8)+SUMIFS('LINKEDIN OUTREACH'!$N$5:$N$704,'LINKEDIN OUTREACH'!$B$5:$B$704,$A77,'LINKEDIN OUTREACH'!$A$5:$A$704,"&gt;="&amp;F$7,'LINKEDIN OUTREACH'!$A$5:$A$704,"&lt;="&amp;F$8)+SUMIFS('WEBSITE CONTENT SEO'!$L$5:$L$804,'WEBSITE CONTENT SEO'!$B$5:$B$804,$A77,'WEBSITE CONTENT SEO'!$A$5:$A$804,"&gt;="&amp;F$7,'WEBSITE CONTENT SEO'!$A$5:$A$804,"&lt;="&amp;F$8))</f>
        <v>0</v>
      </c>
      <c r="G77" s="89">
        <f>IF($A77="","",COUNTIFS('LEAD MQL TRACKER'!$B$5:$B$1004,$A77,'LEAD MQL TRACKER'!$AB$5:$AB$1004,1,'LEAD MQL TRACKER'!$Z$5:$Z$1004,"&gt;="&amp;G$7,'LEAD MQL TRACKER'!$Z$5:$Z$1004,"&lt;="&amp;G$8)+SUMIFS('EMAIL MARKETING'!$Q$5:$Q$804,'EMAIL MARKETING'!$B$5:$B$804,$A77,'EMAIL MARKETING'!$A$5:$A$804,"&gt;="&amp;G$7,'EMAIL MARKETING'!$A$5:$A$804,"&lt;="&amp;G$8)+SUMIFS('PAID MEDIA ADS'!$M$5:$M$804,'PAID MEDIA ADS'!$B$5:$B$804,$A77,'PAID MEDIA ADS'!$A$5:$A$804,"&gt;="&amp;G$7,'PAID MEDIA ADS'!$A$5:$A$804,"&lt;="&amp;G$8)+SUMIFS('LINKEDIN OUTREACH'!$N$5:$N$704,'LINKEDIN OUTREACH'!$B$5:$B$704,$A77,'LINKEDIN OUTREACH'!$A$5:$A$704,"&gt;="&amp;G$7,'LINKEDIN OUTREACH'!$A$5:$A$704,"&lt;="&amp;G$8)+SUMIFS('WEBSITE CONTENT SEO'!$L$5:$L$804,'WEBSITE CONTENT SEO'!$B$5:$B$804,$A77,'WEBSITE CONTENT SEO'!$A$5:$A$804,"&gt;="&amp;G$7,'WEBSITE CONTENT SEO'!$A$5:$A$804,"&lt;="&amp;G$8))</f>
        <v>0</v>
      </c>
      <c r="H77" s="89">
        <f>IF($A77="","",COUNTIFS('LEAD MQL TRACKER'!$B$5:$B$1004,$A77,'LEAD MQL TRACKER'!$AB$5:$AB$1004,1,'LEAD MQL TRACKER'!$Z$5:$Z$1004,"&gt;="&amp;H$7,'LEAD MQL TRACKER'!$Z$5:$Z$1004,"&lt;="&amp;H$8)+SUMIFS('EMAIL MARKETING'!$Q$5:$Q$804,'EMAIL MARKETING'!$B$5:$B$804,$A77,'EMAIL MARKETING'!$A$5:$A$804,"&gt;="&amp;H$7,'EMAIL MARKETING'!$A$5:$A$804,"&lt;="&amp;H$8)+SUMIFS('PAID MEDIA ADS'!$M$5:$M$804,'PAID MEDIA ADS'!$B$5:$B$804,$A77,'PAID MEDIA ADS'!$A$5:$A$804,"&gt;="&amp;H$7,'PAID MEDIA ADS'!$A$5:$A$804,"&lt;="&amp;H$8)+SUMIFS('LINKEDIN OUTREACH'!$N$5:$N$704,'LINKEDIN OUTREACH'!$B$5:$B$704,$A77,'LINKEDIN OUTREACH'!$A$5:$A$704,"&gt;="&amp;H$7,'LINKEDIN OUTREACH'!$A$5:$A$704,"&lt;="&amp;H$8)+SUMIFS('WEBSITE CONTENT SEO'!$L$5:$L$804,'WEBSITE CONTENT SEO'!$B$5:$B$804,$A77,'WEBSITE CONTENT SEO'!$A$5:$A$804,"&gt;="&amp;H$7,'WEBSITE CONTENT SEO'!$A$5:$A$804,"&lt;="&amp;H$8))</f>
        <v>0</v>
      </c>
      <c r="I77" s="89">
        <f>IF($A77="","",COUNTIFS('LEAD MQL TRACKER'!$B$5:$B$1004,$A77,'LEAD MQL TRACKER'!$AB$5:$AB$1004,1,'LEAD MQL TRACKER'!$Z$5:$Z$1004,"&gt;="&amp;I$7,'LEAD MQL TRACKER'!$Z$5:$Z$1004,"&lt;="&amp;I$8)+SUMIFS('EMAIL MARKETING'!$Q$5:$Q$804,'EMAIL MARKETING'!$B$5:$B$804,$A77,'EMAIL MARKETING'!$A$5:$A$804,"&gt;="&amp;I$7,'EMAIL MARKETING'!$A$5:$A$804,"&lt;="&amp;I$8)+SUMIFS('PAID MEDIA ADS'!$M$5:$M$804,'PAID MEDIA ADS'!$B$5:$B$804,$A77,'PAID MEDIA ADS'!$A$5:$A$804,"&gt;="&amp;I$7,'PAID MEDIA ADS'!$A$5:$A$804,"&lt;="&amp;I$8)+SUMIFS('LINKEDIN OUTREACH'!$N$5:$N$704,'LINKEDIN OUTREACH'!$B$5:$B$704,$A77,'LINKEDIN OUTREACH'!$A$5:$A$704,"&gt;="&amp;I$7,'LINKEDIN OUTREACH'!$A$5:$A$704,"&lt;="&amp;I$8)+SUMIFS('WEBSITE CONTENT SEO'!$L$5:$L$804,'WEBSITE CONTENT SEO'!$B$5:$B$804,$A77,'WEBSITE CONTENT SEO'!$A$5:$A$804,"&gt;="&amp;I$7,'WEBSITE CONTENT SEO'!$A$5:$A$804,"&lt;="&amp;I$8))</f>
        <v>0</v>
      </c>
      <c r="J77" s="89">
        <f>IF($A77="","",COUNTIFS('LEAD MQL TRACKER'!$B$5:$B$1004,$A77,'LEAD MQL TRACKER'!$AB$5:$AB$1004,1,'LEAD MQL TRACKER'!$Z$5:$Z$1004,"&gt;="&amp;J$7,'LEAD MQL TRACKER'!$Z$5:$Z$1004,"&lt;="&amp;J$8)+SUMIFS('EMAIL MARKETING'!$Q$5:$Q$804,'EMAIL MARKETING'!$B$5:$B$804,$A77,'EMAIL MARKETING'!$A$5:$A$804,"&gt;="&amp;J$7,'EMAIL MARKETING'!$A$5:$A$804,"&lt;="&amp;J$8)+SUMIFS('PAID MEDIA ADS'!$M$5:$M$804,'PAID MEDIA ADS'!$B$5:$B$804,$A77,'PAID MEDIA ADS'!$A$5:$A$804,"&gt;="&amp;J$7,'PAID MEDIA ADS'!$A$5:$A$804,"&lt;="&amp;J$8)+SUMIFS('LINKEDIN OUTREACH'!$N$5:$N$704,'LINKEDIN OUTREACH'!$B$5:$B$704,$A77,'LINKEDIN OUTREACH'!$A$5:$A$704,"&gt;="&amp;J$7,'LINKEDIN OUTREACH'!$A$5:$A$704,"&lt;="&amp;J$8)+SUMIFS('WEBSITE CONTENT SEO'!$L$5:$L$804,'WEBSITE CONTENT SEO'!$B$5:$B$804,$A77,'WEBSITE CONTENT SEO'!$A$5:$A$804,"&gt;="&amp;J$7,'WEBSITE CONTENT SEO'!$A$5:$A$804,"&lt;="&amp;J$8))</f>
        <v>0</v>
      </c>
      <c r="K77" s="89">
        <f>IF($A77="","",COUNTIFS('LEAD MQL TRACKER'!$B$5:$B$1004,$A77,'LEAD MQL TRACKER'!$AB$5:$AB$1004,1,'LEAD MQL TRACKER'!$Z$5:$Z$1004,"&gt;="&amp;K$7,'LEAD MQL TRACKER'!$Z$5:$Z$1004,"&lt;="&amp;K$8)+SUMIFS('EMAIL MARKETING'!$Q$5:$Q$804,'EMAIL MARKETING'!$B$5:$B$804,$A77,'EMAIL MARKETING'!$A$5:$A$804,"&gt;="&amp;K$7,'EMAIL MARKETING'!$A$5:$A$804,"&lt;="&amp;K$8)+SUMIFS('PAID MEDIA ADS'!$M$5:$M$804,'PAID MEDIA ADS'!$B$5:$B$804,$A77,'PAID MEDIA ADS'!$A$5:$A$804,"&gt;="&amp;K$7,'PAID MEDIA ADS'!$A$5:$A$804,"&lt;="&amp;K$8)+SUMIFS('LINKEDIN OUTREACH'!$N$5:$N$704,'LINKEDIN OUTREACH'!$B$5:$B$704,$A77,'LINKEDIN OUTREACH'!$A$5:$A$704,"&gt;="&amp;K$7,'LINKEDIN OUTREACH'!$A$5:$A$704,"&lt;="&amp;K$8)+SUMIFS('WEBSITE CONTENT SEO'!$L$5:$L$804,'WEBSITE CONTENT SEO'!$B$5:$B$804,$A77,'WEBSITE CONTENT SEO'!$A$5:$A$804,"&gt;="&amp;K$7,'WEBSITE CONTENT SEO'!$A$5:$A$804,"&lt;="&amp;K$8))</f>
        <v>0</v>
      </c>
      <c r="L77" s="89">
        <f>IF($A77="","",COUNTIFS('LEAD MQL TRACKER'!$B$5:$B$1004,$A77,'LEAD MQL TRACKER'!$AB$5:$AB$1004,1,'LEAD MQL TRACKER'!$Z$5:$Z$1004,"&gt;="&amp;L$7,'LEAD MQL TRACKER'!$Z$5:$Z$1004,"&lt;="&amp;L$8)+SUMIFS('EMAIL MARKETING'!$Q$5:$Q$804,'EMAIL MARKETING'!$B$5:$B$804,$A77,'EMAIL MARKETING'!$A$5:$A$804,"&gt;="&amp;L$7,'EMAIL MARKETING'!$A$5:$A$804,"&lt;="&amp;L$8)+SUMIFS('PAID MEDIA ADS'!$M$5:$M$804,'PAID MEDIA ADS'!$B$5:$B$804,$A77,'PAID MEDIA ADS'!$A$5:$A$804,"&gt;="&amp;L$7,'PAID MEDIA ADS'!$A$5:$A$804,"&lt;="&amp;L$8)+SUMIFS('LINKEDIN OUTREACH'!$N$5:$N$704,'LINKEDIN OUTREACH'!$B$5:$B$704,$A77,'LINKEDIN OUTREACH'!$A$5:$A$704,"&gt;="&amp;L$7,'LINKEDIN OUTREACH'!$A$5:$A$704,"&lt;="&amp;L$8)+SUMIFS('WEBSITE CONTENT SEO'!$L$5:$L$804,'WEBSITE CONTENT SEO'!$B$5:$B$804,$A77,'WEBSITE CONTENT SEO'!$A$5:$A$804,"&gt;="&amp;L$7,'WEBSITE CONTENT SEO'!$A$5:$A$804,"&lt;="&amp;L$8))</f>
        <v>0</v>
      </c>
      <c r="M77" s="89">
        <f>IF($A77="","",COUNTIFS('LEAD MQL TRACKER'!$B$5:$B$1004,$A77,'LEAD MQL TRACKER'!$AB$5:$AB$1004,1,'LEAD MQL TRACKER'!$Z$5:$Z$1004,"&gt;="&amp;M$7,'LEAD MQL TRACKER'!$Z$5:$Z$1004,"&lt;="&amp;M$8)+SUMIFS('EMAIL MARKETING'!$Q$5:$Q$804,'EMAIL MARKETING'!$B$5:$B$804,$A77,'EMAIL MARKETING'!$A$5:$A$804,"&gt;="&amp;M$7,'EMAIL MARKETING'!$A$5:$A$804,"&lt;="&amp;M$8)+SUMIFS('PAID MEDIA ADS'!$M$5:$M$804,'PAID MEDIA ADS'!$B$5:$B$804,$A77,'PAID MEDIA ADS'!$A$5:$A$804,"&gt;="&amp;M$7,'PAID MEDIA ADS'!$A$5:$A$804,"&lt;="&amp;M$8)+SUMIFS('LINKEDIN OUTREACH'!$N$5:$N$704,'LINKEDIN OUTREACH'!$B$5:$B$704,$A77,'LINKEDIN OUTREACH'!$A$5:$A$704,"&gt;="&amp;M$7,'LINKEDIN OUTREACH'!$A$5:$A$704,"&lt;="&amp;M$8)+SUMIFS('WEBSITE CONTENT SEO'!$L$5:$L$804,'WEBSITE CONTENT SEO'!$B$5:$B$804,$A77,'WEBSITE CONTENT SEO'!$A$5:$A$804,"&gt;="&amp;M$7,'WEBSITE CONTENT SEO'!$A$5:$A$804,"&lt;="&amp;M$8))</f>
        <v>0</v>
      </c>
    </row>
    <row r="78">
      <c r="A78" s="117" t="str">
        <f>IF('CLIENT MASTER'!A18="","",'CLIENT MASTER'!A18)</f>
        <v>AMEX</v>
      </c>
      <c r="B78" s="89">
        <f>IF($A78="","",COUNTIFS('LEAD MQL TRACKER'!$B$5:$B$1004,$A78,'LEAD MQL TRACKER'!$AB$5:$AB$1004,1,'LEAD MQL TRACKER'!$Z$5:$Z$1004,"&gt;="&amp;B$7,'LEAD MQL TRACKER'!$Z$5:$Z$1004,"&lt;="&amp;B$8)+SUMIFS('EMAIL MARKETING'!$Q$5:$Q$804,'EMAIL MARKETING'!$B$5:$B$804,$A78,'EMAIL MARKETING'!$A$5:$A$804,"&gt;="&amp;B$7,'EMAIL MARKETING'!$A$5:$A$804,"&lt;="&amp;B$8)+SUMIFS('PAID MEDIA ADS'!$M$5:$M$804,'PAID MEDIA ADS'!$B$5:$B$804,$A78,'PAID MEDIA ADS'!$A$5:$A$804,"&gt;="&amp;B$7,'PAID MEDIA ADS'!$A$5:$A$804,"&lt;="&amp;B$8)+SUMIFS('LINKEDIN OUTREACH'!$N$5:$N$704,'LINKEDIN OUTREACH'!$B$5:$B$704,$A78,'LINKEDIN OUTREACH'!$A$5:$A$704,"&gt;="&amp;B$7,'LINKEDIN OUTREACH'!$A$5:$A$704,"&lt;="&amp;B$8)+SUMIFS('WEBSITE CONTENT SEO'!$L$5:$L$804,'WEBSITE CONTENT SEO'!$B$5:$B$804,$A78,'WEBSITE CONTENT SEO'!$A$5:$A$804,"&gt;="&amp;B$7,'WEBSITE CONTENT SEO'!$A$5:$A$804,"&lt;="&amp;B$8))</f>
        <v>0</v>
      </c>
      <c r="C78" s="89">
        <f>IF($A78="","",COUNTIFS('LEAD MQL TRACKER'!$B$5:$B$1004,$A78,'LEAD MQL TRACKER'!$AB$5:$AB$1004,1,'LEAD MQL TRACKER'!$Z$5:$Z$1004,"&gt;="&amp;C$7,'LEAD MQL TRACKER'!$Z$5:$Z$1004,"&lt;="&amp;C$8)+SUMIFS('EMAIL MARKETING'!$Q$5:$Q$804,'EMAIL MARKETING'!$B$5:$B$804,$A78,'EMAIL MARKETING'!$A$5:$A$804,"&gt;="&amp;C$7,'EMAIL MARKETING'!$A$5:$A$804,"&lt;="&amp;C$8)+SUMIFS('PAID MEDIA ADS'!$M$5:$M$804,'PAID MEDIA ADS'!$B$5:$B$804,$A78,'PAID MEDIA ADS'!$A$5:$A$804,"&gt;="&amp;C$7,'PAID MEDIA ADS'!$A$5:$A$804,"&lt;="&amp;C$8)+SUMIFS('LINKEDIN OUTREACH'!$N$5:$N$704,'LINKEDIN OUTREACH'!$B$5:$B$704,$A78,'LINKEDIN OUTREACH'!$A$5:$A$704,"&gt;="&amp;C$7,'LINKEDIN OUTREACH'!$A$5:$A$704,"&lt;="&amp;C$8)+SUMIFS('WEBSITE CONTENT SEO'!$L$5:$L$804,'WEBSITE CONTENT SEO'!$B$5:$B$804,$A78,'WEBSITE CONTENT SEO'!$A$5:$A$804,"&gt;="&amp;C$7,'WEBSITE CONTENT SEO'!$A$5:$A$804,"&lt;="&amp;C$8))</f>
        <v>0</v>
      </c>
      <c r="D78" s="89">
        <f>IF($A78="","",COUNTIFS('LEAD MQL TRACKER'!$B$5:$B$1004,$A78,'LEAD MQL TRACKER'!$AB$5:$AB$1004,1,'LEAD MQL TRACKER'!$Z$5:$Z$1004,"&gt;="&amp;D$7,'LEAD MQL TRACKER'!$Z$5:$Z$1004,"&lt;="&amp;D$8)+SUMIFS('EMAIL MARKETING'!$Q$5:$Q$804,'EMAIL MARKETING'!$B$5:$B$804,$A78,'EMAIL MARKETING'!$A$5:$A$804,"&gt;="&amp;D$7,'EMAIL MARKETING'!$A$5:$A$804,"&lt;="&amp;D$8)+SUMIFS('PAID MEDIA ADS'!$M$5:$M$804,'PAID MEDIA ADS'!$B$5:$B$804,$A78,'PAID MEDIA ADS'!$A$5:$A$804,"&gt;="&amp;D$7,'PAID MEDIA ADS'!$A$5:$A$804,"&lt;="&amp;D$8)+SUMIFS('LINKEDIN OUTREACH'!$N$5:$N$704,'LINKEDIN OUTREACH'!$B$5:$B$704,$A78,'LINKEDIN OUTREACH'!$A$5:$A$704,"&gt;="&amp;D$7,'LINKEDIN OUTREACH'!$A$5:$A$704,"&lt;="&amp;D$8)+SUMIFS('WEBSITE CONTENT SEO'!$L$5:$L$804,'WEBSITE CONTENT SEO'!$B$5:$B$804,$A78,'WEBSITE CONTENT SEO'!$A$5:$A$804,"&gt;="&amp;D$7,'WEBSITE CONTENT SEO'!$A$5:$A$804,"&lt;="&amp;D$8))</f>
        <v>0</v>
      </c>
      <c r="E78" s="89">
        <f>IF($A78="","",COUNTIFS('LEAD MQL TRACKER'!$B$5:$B$1004,$A78,'LEAD MQL TRACKER'!$AB$5:$AB$1004,1,'LEAD MQL TRACKER'!$Z$5:$Z$1004,"&gt;="&amp;E$7,'LEAD MQL TRACKER'!$Z$5:$Z$1004,"&lt;="&amp;E$8)+SUMIFS('EMAIL MARKETING'!$Q$5:$Q$804,'EMAIL MARKETING'!$B$5:$B$804,$A78,'EMAIL MARKETING'!$A$5:$A$804,"&gt;="&amp;E$7,'EMAIL MARKETING'!$A$5:$A$804,"&lt;="&amp;E$8)+SUMIFS('PAID MEDIA ADS'!$M$5:$M$804,'PAID MEDIA ADS'!$B$5:$B$804,$A78,'PAID MEDIA ADS'!$A$5:$A$804,"&gt;="&amp;E$7,'PAID MEDIA ADS'!$A$5:$A$804,"&lt;="&amp;E$8)+SUMIFS('LINKEDIN OUTREACH'!$N$5:$N$704,'LINKEDIN OUTREACH'!$B$5:$B$704,$A78,'LINKEDIN OUTREACH'!$A$5:$A$704,"&gt;="&amp;E$7,'LINKEDIN OUTREACH'!$A$5:$A$704,"&lt;="&amp;E$8)+SUMIFS('WEBSITE CONTENT SEO'!$L$5:$L$804,'WEBSITE CONTENT SEO'!$B$5:$B$804,$A78,'WEBSITE CONTENT SEO'!$A$5:$A$804,"&gt;="&amp;E$7,'WEBSITE CONTENT SEO'!$A$5:$A$804,"&lt;="&amp;E$8))</f>
        <v>0</v>
      </c>
      <c r="F78" s="89">
        <f>IF($A78="","",COUNTIFS('LEAD MQL TRACKER'!$B$5:$B$1004,$A78,'LEAD MQL TRACKER'!$AB$5:$AB$1004,1,'LEAD MQL TRACKER'!$Z$5:$Z$1004,"&gt;="&amp;F$7,'LEAD MQL TRACKER'!$Z$5:$Z$1004,"&lt;="&amp;F$8)+SUMIFS('EMAIL MARKETING'!$Q$5:$Q$804,'EMAIL MARKETING'!$B$5:$B$804,$A78,'EMAIL MARKETING'!$A$5:$A$804,"&gt;="&amp;F$7,'EMAIL MARKETING'!$A$5:$A$804,"&lt;="&amp;F$8)+SUMIFS('PAID MEDIA ADS'!$M$5:$M$804,'PAID MEDIA ADS'!$B$5:$B$804,$A78,'PAID MEDIA ADS'!$A$5:$A$804,"&gt;="&amp;F$7,'PAID MEDIA ADS'!$A$5:$A$804,"&lt;="&amp;F$8)+SUMIFS('LINKEDIN OUTREACH'!$N$5:$N$704,'LINKEDIN OUTREACH'!$B$5:$B$704,$A78,'LINKEDIN OUTREACH'!$A$5:$A$704,"&gt;="&amp;F$7,'LINKEDIN OUTREACH'!$A$5:$A$704,"&lt;="&amp;F$8)+SUMIFS('WEBSITE CONTENT SEO'!$L$5:$L$804,'WEBSITE CONTENT SEO'!$B$5:$B$804,$A78,'WEBSITE CONTENT SEO'!$A$5:$A$804,"&gt;="&amp;F$7,'WEBSITE CONTENT SEO'!$A$5:$A$804,"&lt;="&amp;F$8))</f>
        <v>0</v>
      </c>
      <c r="G78" s="89">
        <f>IF($A78="","",COUNTIFS('LEAD MQL TRACKER'!$B$5:$B$1004,$A78,'LEAD MQL TRACKER'!$AB$5:$AB$1004,1,'LEAD MQL TRACKER'!$Z$5:$Z$1004,"&gt;="&amp;G$7,'LEAD MQL TRACKER'!$Z$5:$Z$1004,"&lt;="&amp;G$8)+SUMIFS('EMAIL MARKETING'!$Q$5:$Q$804,'EMAIL MARKETING'!$B$5:$B$804,$A78,'EMAIL MARKETING'!$A$5:$A$804,"&gt;="&amp;G$7,'EMAIL MARKETING'!$A$5:$A$804,"&lt;="&amp;G$8)+SUMIFS('PAID MEDIA ADS'!$M$5:$M$804,'PAID MEDIA ADS'!$B$5:$B$804,$A78,'PAID MEDIA ADS'!$A$5:$A$804,"&gt;="&amp;G$7,'PAID MEDIA ADS'!$A$5:$A$804,"&lt;="&amp;G$8)+SUMIFS('LINKEDIN OUTREACH'!$N$5:$N$704,'LINKEDIN OUTREACH'!$B$5:$B$704,$A78,'LINKEDIN OUTREACH'!$A$5:$A$704,"&gt;="&amp;G$7,'LINKEDIN OUTREACH'!$A$5:$A$704,"&lt;="&amp;G$8)+SUMIFS('WEBSITE CONTENT SEO'!$L$5:$L$804,'WEBSITE CONTENT SEO'!$B$5:$B$804,$A78,'WEBSITE CONTENT SEO'!$A$5:$A$804,"&gt;="&amp;G$7,'WEBSITE CONTENT SEO'!$A$5:$A$804,"&lt;="&amp;G$8))</f>
        <v>0</v>
      </c>
      <c r="H78" s="89">
        <f>IF($A78="","",COUNTIFS('LEAD MQL TRACKER'!$B$5:$B$1004,$A78,'LEAD MQL TRACKER'!$AB$5:$AB$1004,1,'LEAD MQL TRACKER'!$Z$5:$Z$1004,"&gt;="&amp;H$7,'LEAD MQL TRACKER'!$Z$5:$Z$1004,"&lt;="&amp;H$8)+SUMIFS('EMAIL MARKETING'!$Q$5:$Q$804,'EMAIL MARKETING'!$B$5:$B$804,$A78,'EMAIL MARKETING'!$A$5:$A$804,"&gt;="&amp;H$7,'EMAIL MARKETING'!$A$5:$A$804,"&lt;="&amp;H$8)+SUMIFS('PAID MEDIA ADS'!$M$5:$M$804,'PAID MEDIA ADS'!$B$5:$B$804,$A78,'PAID MEDIA ADS'!$A$5:$A$804,"&gt;="&amp;H$7,'PAID MEDIA ADS'!$A$5:$A$804,"&lt;="&amp;H$8)+SUMIFS('LINKEDIN OUTREACH'!$N$5:$N$704,'LINKEDIN OUTREACH'!$B$5:$B$704,$A78,'LINKEDIN OUTREACH'!$A$5:$A$704,"&gt;="&amp;H$7,'LINKEDIN OUTREACH'!$A$5:$A$704,"&lt;="&amp;H$8)+SUMIFS('WEBSITE CONTENT SEO'!$L$5:$L$804,'WEBSITE CONTENT SEO'!$B$5:$B$804,$A78,'WEBSITE CONTENT SEO'!$A$5:$A$804,"&gt;="&amp;H$7,'WEBSITE CONTENT SEO'!$A$5:$A$804,"&lt;="&amp;H$8))</f>
        <v>0</v>
      </c>
      <c r="I78" s="89">
        <f>IF($A78="","",COUNTIFS('LEAD MQL TRACKER'!$B$5:$B$1004,$A78,'LEAD MQL TRACKER'!$AB$5:$AB$1004,1,'LEAD MQL TRACKER'!$Z$5:$Z$1004,"&gt;="&amp;I$7,'LEAD MQL TRACKER'!$Z$5:$Z$1004,"&lt;="&amp;I$8)+SUMIFS('EMAIL MARKETING'!$Q$5:$Q$804,'EMAIL MARKETING'!$B$5:$B$804,$A78,'EMAIL MARKETING'!$A$5:$A$804,"&gt;="&amp;I$7,'EMAIL MARKETING'!$A$5:$A$804,"&lt;="&amp;I$8)+SUMIFS('PAID MEDIA ADS'!$M$5:$M$804,'PAID MEDIA ADS'!$B$5:$B$804,$A78,'PAID MEDIA ADS'!$A$5:$A$804,"&gt;="&amp;I$7,'PAID MEDIA ADS'!$A$5:$A$804,"&lt;="&amp;I$8)+SUMIFS('LINKEDIN OUTREACH'!$N$5:$N$704,'LINKEDIN OUTREACH'!$B$5:$B$704,$A78,'LINKEDIN OUTREACH'!$A$5:$A$704,"&gt;="&amp;I$7,'LINKEDIN OUTREACH'!$A$5:$A$704,"&lt;="&amp;I$8)+SUMIFS('WEBSITE CONTENT SEO'!$L$5:$L$804,'WEBSITE CONTENT SEO'!$B$5:$B$804,$A78,'WEBSITE CONTENT SEO'!$A$5:$A$804,"&gt;="&amp;I$7,'WEBSITE CONTENT SEO'!$A$5:$A$804,"&lt;="&amp;I$8))</f>
        <v>0</v>
      </c>
      <c r="J78" s="89">
        <f>IF($A78="","",COUNTIFS('LEAD MQL TRACKER'!$B$5:$B$1004,$A78,'LEAD MQL TRACKER'!$AB$5:$AB$1004,1,'LEAD MQL TRACKER'!$Z$5:$Z$1004,"&gt;="&amp;J$7,'LEAD MQL TRACKER'!$Z$5:$Z$1004,"&lt;="&amp;J$8)+SUMIFS('EMAIL MARKETING'!$Q$5:$Q$804,'EMAIL MARKETING'!$B$5:$B$804,$A78,'EMAIL MARKETING'!$A$5:$A$804,"&gt;="&amp;J$7,'EMAIL MARKETING'!$A$5:$A$804,"&lt;="&amp;J$8)+SUMIFS('PAID MEDIA ADS'!$M$5:$M$804,'PAID MEDIA ADS'!$B$5:$B$804,$A78,'PAID MEDIA ADS'!$A$5:$A$804,"&gt;="&amp;J$7,'PAID MEDIA ADS'!$A$5:$A$804,"&lt;="&amp;J$8)+SUMIFS('LINKEDIN OUTREACH'!$N$5:$N$704,'LINKEDIN OUTREACH'!$B$5:$B$704,$A78,'LINKEDIN OUTREACH'!$A$5:$A$704,"&gt;="&amp;J$7,'LINKEDIN OUTREACH'!$A$5:$A$704,"&lt;="&amp;J$8)+SUMIFS('WEBSITE CONTENT SEO'!$L$5:$L$804,'WEBSITE CONTENT SEO'!$B$5:$B$804,$A78,'WEBSITE CONTENT SEO'!$A$5:$A$804,"&gt;="&amp;J$7,'WEBSITE CONTENT SEO'!$A$5:$A$804,"&lt;="&amp;J$8))</f>
        <v>0</v>
      </c>
      <c r="K78" s="89">
        <f>IF($A78="","",COUNTIFS('LEAD MQL TRACKER'!$B$5:$B$1004,$A78,'LEAD MQL TRACKER'!$AB$5:$AB$1004,1,'LEAD MQL TRACKER'!$Z$5:$Z$1004,"&gt;="&amp;K$7,'LEAD MQL TRACKER'!$Z$5:$Z$1004,"&lt;="&amp;K$8)+SUMIFS('EMAIL MARKETING'!$Q$5:$Q$804,'EMAIL MARKETING'!$B$5:$B$804,$A78,'EMAIL MARKETING'!$A$5:$A$804,"&gt;="&amp;K$7,'EMAIL MARKETING'!$A$5:$A$804,"&lt;="&amp;K$8)+SUMIFS('PAID MEDIA ADS'!$M$5:$M$804,'PAID MEDIA ADS'!$B$5:$B$804,$A78,'PAID MEDIA ADS'!$A$5:$A$804,"&gt;="&amp;K$7,'PAID MEDIA ADS'!$A$5:$A$804,"&lt;="&amp;K$8)+SUMIFS('LINKEDIN OUTREACH'!$N$5:$N$704,'LINKEDIN OUTREACH'!$B$5:$B$704,$A78,'LINKEDIN OUTREACH'!$A$5:$A$704,"&gt;="&amp;K$7,'LINKEDIN OUTREACH'!$A$5:$A$704,"&lt;="&amp;K$8)+SUMIFS('WEBSITE CONTENT SEO'!$L$5:$L$804,'WEBSITE CONTENT SEO'!$B$5:$B$804,$A78,'WEBSITE CONTENT SEO'!$A$5:$A$804,"&gt;="&amp;K$7,'WEBSITE CONTENT SEO'!$A$5:$A$804,"&lt;="&amp;K$8))</f>
        <v>0</v>
      </c>
      <c r="L78" s="89">
        <f>IF($A78="","",COUNTIFS('LEAD MQL TRACKER'!$B$5:$B$1004,$A78,'LEAD MQL TRACKER'!$AB$5:$AB$1004,1,'LEAD MQL TRACKER'!$Z$5:$Z$1004,"&gt;="&amp;L$7,'LEAD MQL TRACKER'!$Z$5:$Z$1004,"&lt;="&amp;L$8)+SUMIFS('EMAIL MARKETING'!$Q$5:$Q$804,'EMAIL MARKETING'!$B$5:$B$804,$A78,'EMAIL MARKETING'!$A$5:$A$804,"&gt;="&amp;L$7,'EMAIL MARKETING'!$A$5:$A$804,"&lt;="&amp;L$8)+SUMIFS('PAID MEDIA ADS'!$M$5:$M$804,'PAID MEDIA ADS'!$B$5:$B$804,$A78,'PAID MEDIA ADS'!$A$5:$A$804,"&gt;="&amp;L$7,'PAID MEDIA ADS'!$A$5:$A$804,"&lt;="&amp;L$8)+SUMIFS('LINKEDIN OUTREACH'!$N$5:$N$704,'LINKEDIN OUTREACH'!$B$5:$B$704,$A78,'LINKEDIN OUTREACH'!$A$5:$A$704,"&gt;="&amp;L$7,'LINKEDIN OUTREACH'!$A$5:$A$704,"&lt;="&amp;L$8)+SUMIFS('WEBSITE CONTENT SEO'!$L$5:$L$804,'WEBSITE CONTENT SEO'!$B$5:$B$804,$A78,'WEBSITE CONTENT SEO'!$A$5:$A$804,"&gt;="&amp;L$7,'WEBSITE CONTENT SEO'!$A$5:$A$804,"&lt;="&amp;L$8))</f>
        <v>0</v>
      </c>
      <c r="M78" s="89">
        <f>IF($A78="","",COUNTIFS('LEAD MQL TRACKER'!$B$5:$B$1004,$A78,'LEAD MQL TRACKER'!$AB$5:$AB$1004,1,'LEAD MQL TRACKER'!$Z$5:$Z$1004,"&gt;="&amp;M$7,'LEAD MQL TRACKER'!$Z$5:$Z$1004,"&lt;="&amp;M$8)+SUMIFS('EMAIL MARKETING'!$Q$5:$Q$804,'EMAIL MARKETING'!$B$5:$B$804,$A78,'EMAIL MARKETING'!$A$5:$A$804,"&gt;="&amp;M$7,'EMAIL MARKETING'!$A$5:$A$804,"&lt;="&amp;M$8)+SUMIFS('PAID MEDIA ADS'!$M$5:$M$804,'PAID MEDIA ADS'!$B$5:$B$804,$A78,'PAID MEDIA ADS'!$A$5:$A$804,"&gt;="&amp;M$7,'PAID MEDIA ADS'!$A$5:$A$804,"&lt;="&amp;M$8)+SUMIFS('LINKEDIN OUTREACH'!$N$5:$N$704,'LINKEDIN OUTREACH'!$B$5:$B$704,$A78,'LINKEDIN OUTREACH'!$A$5:$A$704,"&gt;="&amp;M$7,'LINKEDIN OUTREACH'!$A$5:$A$704,"&lt;="&amp;M$8)+SUMIFS('WEBSITE CONTENT SEO'!$L$5:$L$804,'WEBSITE CONTENT SEO'!$B$5:$B$804,$A78,'WEBSITE CONTENT SEO'!$A$5:$A$804,"&gt;="&amp;M$7,'WEBSITE CONTENT SEO'!$A$5:$A$804,"&lt;="&amp;M$8))</f>
        <v>0</v>
      </c>
    </row>
    <row r="79">
      <c r="A79" s="117" t="str">
        <f>IF('CLIENT MASTER'!A19="","",'CLIENT MASTER'!A19)</f>
        <v>Marg Business Transformation</v>
      </c>
      <c r="B79" s="89">
        <f>IF($A79="","",COUNTIFS('LEAD MQL TRACKER'!$B$5:$B$1004,$A79,'LEAD MQL TRACKER'!$AB$5:$AB$1004,1,'LEAD MQL TRACKER'!$Z$5:$Z$1004,"&gt;="&amp;B$7,'LEAD MQL TRACKER'!$Z$5:$Z$1004,"&lt;="&amp;B$8)+SUMIFS('EMAIL MARKETING'!$Q$5:$Q$804,'EMAIL MARKETING'!$B$5:$B$804,$A79,'EMAIL MARKETING'!$A$5:$A$804,"&gt;="&amp;B$7,'EMAIL MARKETING'!$A$5:$A$804,"&lt;="&amp;B$8)+SUMIFS('PAID MEDIA ADS'!$M$5:$M$804,'PAID MEDIA ADS'!$B$5:$B$804,$A79,'PAID MEDIA ADS'!$A$5:$A$804,"&gt;="&amp;B$7,'PAID MEDIA ADS'!$A$5:$A$804,"&lt;="&amp;B$8)+SUMIFS('LINKEDIN OUTREACH'!$N$5:$N$704,'LINKEDIN OUTREACH'!$B$5:$B$704,$A79,'LINKEDIN OUTREACH'!$A$5:$A$704,"&gt;="&amp;B$7,'LINKEDIN OUTREACH'!$A$5:$A$704,"&lt;="&amp;B$8)+SUMIFS('WEBSITE CONTENT SEO'!$L$5:$L$804,'WEBSITE CONTENT SEO'!$B$5:$B$804,$A79,'WEBSITE CONTENT SEO'!$A$5:$A$804,"&gt;="&amp;B$7,'WEBSITE CONTENT SEO'!$A$5:$A$804,"&lt;="&amp;B$8))</f>
        <v>0</v>
      </c>
      <c r="C79" s="89">
        <f>IF($A79="","",COUNTIFS('LEAD MQL TRACKER'!$B$5:$B$1004,$A79,'LEAD MQL TRACKER'!$AB$5:$AB$1004,1,'LEAD MQL TRACKER'!$Z$5:$Z$1004,"&gt;="&amp;C$7,'LEAD MQL TRACKER'!$Z$5:$Z$1004,"&lt;="&amp;C$8)+SUMIFS('EMAIL MARKETING'!$Q$5:$Q$804,'EMAIL MARKETING'!$B$5:$B$804,$A79,'EMAIL MARKETING'!$A$5:$A$804,"&gt;="&amp;C$7,'EMAIL MARKETING'!$A$5:$A$804,"&lt;="&amp;C$8)+SUMIFS('PAID MEDIA ADS'!$M$5:$M$804,'PAID MEDIA ADS'!$B$5:$B$804,$A79,'PAID MEDIA ADS'!$A$5:$A$804,"&gt;="&amp;C$7,'PAID MEDIA ADS'!$A$5:$A$804,"&lt;="&amp;C$8)+SUMIFS('LINKEDIN OUTREACH'!$N$5:$N$704,'LINKEDIN OUTREACH'!$B$5:$B$704,$A79,'LINKEDIN OUTREACH'!$A$5:$A$704,"&gt;="&amp;C$7,'LINKEDIN OUTREACH'!$A$5:$A$704,"&lt;="&amp;C$8)+SUMIFS('WEBSITE CONTENT SEO'!$L$5:$L$804,'WEBSITE CONTENT SEO'!$B$5:$B$804,$A79,'WEBSITE CONTENT SEO'!$A$5:$A$804,"&gt;="&amp;C$7,'WEBSITE CONTENT SEO'!$A$5:$A$804,"&lt;="&amp;C$8))</f>
        <v>0</v>
      </c>
      <c r="D79" s="89">
        <f>IF($A79="","",COUNTIFS('LEAD MQL TRACKER'!$B$5:$B$1004,$A79,'LEAD MQL TRACKER'!$AB$5:$AB$1004,1,'LEAD MQL TRACKER'!$Z$5:$Z$1004,"&gt;="&amp;D$7,'LEAD MQL TRACKER'!$Z$5:$Z$1004,"&lt;="&amp;D$8)+SUMIFS('EMAIL MARKETING'!$Q$5:$Q$804,'EMAIL MARKETING'!$B$5:$B$804,$A79,'EMAIL MARKETING'!$A$5:$A$804,"&gt;="&amp;D$7,'EMAIL MARKETING'!$A$5:$A$804,"&lt;="&amp;D$8)+SUMIFS('PAID MEDIA ADS'!$M$5:$M$804,'PAID MEDIA ADS'!$B$5:$B$804,$A79,'PAID MEDIA ADS'!$A$5:$A$804,"&gt;="&amp;D$7,'PAID MEDIA ADS'!$A$5:$A$804,"&lt;="&amp;D$8)+SUMIFS('LINKEDIN OUTREACH'!$N$5:$N$704,'LINKEDIN OUTREACH'!$B$5:$B$704,$A79,'LINKEDIN OUTREACH'!$A$5:$A$704,"&gt;="&amp;D$7,'LINKEDIN OUTREACH'!$A$5:$A$704,"&lt;="&amp;D$8)+SUMIFS('WEBSITE CONTENT SEO'!$L$5:$L$804,'WEBSITE CONTENT SEO'!$B$5:$B$804,$A79,'WEBSITE CONTENT SEO'!$A$5:$A$804,"&gt;="&amp;D$7,'WEBSITE CONTENT SEO'!$A$5:$A$804,"&lt;="&amp;D$8))</f>
        <v>0</v>
      </c>
      <c r="E79" s="89">
        <f>IF($A79="","",COUNTIFS('LEAD MQL TRACKER'!$B$5:$B$1004,$A79,'LEAD MQL TRACKER'!$AB$5:$AB$1004,1,'LEAD MQL TRACKER'!$Z$5:$Z$1004,"&gt;="&amp;E$7,'LEAD MQL TRACKER'!$Z$5:$Z$1004,"&lt;="&amp;E$8)+SUMIFS('EMAIL MARKETING'!$Q$5:$Q$804,'EMAIL MARKETING'!$B$5:$B$804,$A79,'EMAIL MARKETING'!$A$5:$A$804,"&gt;="&amp;E$7,'EMAIL MARKETING'!$A$5:$A$804,"&lt;="&amp;E$8)+SUMIFS('PAID MEDIA ADS'!$M$5:$M$804,'PAID MEDIA ADS'!$B$5:$B$804,$A79,'PAID MEDIA ADS'!$A$5:$A$804,"&gt;="&amp;E$7,'PAID MEDIA ADS'!$A$5:$A$804,"&lt;="&amp;E$8)+SUMIFS('LINKEDIN OUTREACH'!$N$5:$N$704,'LINKEDIN OUTREACH'!$B$5:$B$704,$A79,'LINKEDIN OUTREACH'!$A$5:$A$704,"&gt;="&amp;E$7,'LINKEDIN OUTREACH'!$A$5:$A$704,"&lt;="&amp;E$8)+SUMIFS('WEBSITE CONTENT SEO'!$L$5:$L$804,'WEBSITE CONTENT SEO'!$B$5:$B$804,$A79,'WEBSITE CONTENT SEO'!$A$5:$A$804,"&gt;="&amp;E$7,'WEBSITE CONTENT SEO'!$A$5:$A$804,"&lt;="&amp;E$8))</f>
        <v>0</v>
      </c>
      <c r="F79" s="89">
        <f>IF($A79="","",COUNTIFS('LEAD MQL TRACKER'!$B$5:$B$1004,$A79,'LEAD MQL TRACKER'!$AB$5:$AB$1004,1,'LEAD MQL TRACKER'!$Z$5:$Z$1004,"&gt;="&amp;F$7,'LEAD MQL TRACKER'!$Z$5:$Z$1004,"&lt;="&amp;F$8)+SUMIFS('EMAIL MARKETING'!$Q$5:$Q$804,'EMAIL MARKETING'!$B$5:$B$804,$A79,'EMAIL MARKETING'!$A$5:$A$804,"&gt;="&amp;F$7,'EMAIL MARKETING'!$A$5:$A$804,"&lt;="&amp;F$8)+SUMIFS('PAID MEDIA ADS'!$M$5:$M$804,'PAID MEDIA ADS'!$B$5:$B$804,$A79,'PAID MEDIA ADS'!$A$5:$A$804,"&gt;="&amp;F$7,'PAID MEDIA ADS'!$A$5:$A$804,"&lt;="&amp;F$8)+SUMIFS('LINKEDIN OUTREACH'!$N$5:$N$704,'LINKEDIN OUTREACH'!$B$5:$B$704,$A79,'LINKEDIN OUTREACH'!$A$5:$A$704,"&gt;="&amp;F$7,'LINKEDIN OUTREACH'!$A$5:$A$704,"&lt;="&amp;F$8)+SUMIFS('WEBSITE CONTENT SEO'!$L$5:$L$804,'WEBSITE CONTENT SEO'!$B$5:$B$804,$A79,'WEBSITE CONTENT SEO'!$A$5:$A$804,"&gt;="&amp;F$7,'WEBSITE CONTENT SEO'!$A$5:$A$804,"&lt;="&amp;F$8))</f>
        <v>0</v>
      </c>
      <c r="G79" s="89">
        <f>IF($A79="","",COUNTIFS('LEAD MQL TRACKER'!$B$5:$B$1004,$A79,'LEAD MQL TRACKER'!$AB$5:$AB$1004,1,'LEAD MQL TRACKER'!$Z$5:$Z$1004,"&gt;="&amp;G$7,'LEAD MQL TRACKER'!$Z$5:$Z$1004,"&lt;="&amp;G$8)+SUMIFS('EMAIL MARKETING'!$Q$5:$Q$804,'EMAIL MARKETING'!$B$5:$B$804,$A79,'EMAIL MARKETING'!$A$5:$A$804,"&gt;="&amp;G$7,'EMAIL MARKETING'!$A$5:$A$804,"&lt;="&amp;G$8)+SUMIFS('PAID MEDIA ADS'!$M$5:$M$804,'PAID MEDIA ADS'!$B$5:$B$804,$A79,'PAID MEDIA ADS'!$A$5:$A$804,"&gt;="&amp;G$7,'PAID MEDIA ADS'!$A$5:$A$804,"&lt;="&amp;G$8)+SUMIFS('LINKEDIN OUTREACH'!$N$5:$N$704,'LINKEDIN OUTREACH'!$B$5:$B$704,$A79,'LINKEDIN OUTREACH'!$A$5:$A$704,"&gt;="&amp;G$7,'LINKEDIN OUTREACH'!$A$5:$A$704,"&lt;="&amp;G$8)+SUMIFS('WEBSITE CONTENT SEO'!$L$5:$L$804,'WEBSITE CONTENT SEO'!$B$5:$B$804,$A79,'WEBSITE CONTENT SEO'!$A$5:$A$804,"&gt;="&amp;G$7,'WEBSITE CONTENT SEO'!$A$5:$A$804,"&lt;="&amp;G$8))</f>
        <v>0</v>
      </c>
      <c r="H79" s="89">
        <f>IF($A79="","",COUNTIFS('LEAD MQL TRACKER'!$B$5:$B$1004,$A79,'LEAD MQL TRACKER'!$AB$5:$AB$1004,1,'LEAD MQL TRACKER'!$Z$5:$Z$1004,"&gt;="&amp;H$7,'LEAD MQL TRACKER'!$Z$5:$Z$1004,"&lt;="&amp;H$8)+SUMIFS('EMAIL MARKETING'!$Q$5:$Q$804,'EMAIL MARKETING'!$B$5:$B$804,$A79,'EMAIL MARKETING'!$A$5:$A$804,"&gt;="&amp;H$7,'EMAIL MARKETING'!$A$5:$A$804,"&lt;="&amp;H$8)+SUMIFS('PAID MEDIA ADS'!$M$5:$M$804,'PAID MEDIA ADS'!$B$5:$B$804,$A79,'PAID MEDIA ADS'!$A$5:$A$804,"&gt;="&amp;H$7,'PAID MEDIA ADS'!$A$5:$A$804,"&lt;="&amp;H$8)+SUMIFS('LINKEDIN OUTREACH'!$N$5:$N$704,'LINKEDIN OUTREACH'!$B$5:$B$704,$A79,'LINKEDIN OUTREACH'!$A$5:$A$704,"&gt;="&amp;H$7,'LINKEDIN OUTREACH'!$A$5:$A$704,"&lt;="&amp;H$8)+SUMIFS('WEBSITE CONTENT SEO'!$L$5:$L$804,'WEBSITE CONTENT SEO'!$B$5:$B$804,$A79,'WEBSITE CONTENT SEO'!$A$5:$A$804,"&gt;="&amp;H$7,'WEBSITE CONTENT SEO'!$A$5:$A$804,"&lt;="&amp;H$8))</f>
        <v>0</v>
      </c>
      <c r="I79" s="89">
        <f>IF($A79="","",COUNTIFS('LEAD MQL TRACKER'!$B$5:$B$1004,$A79,'LEAD MQL TRACKER'!$AB$5:$AB$1004,1,'LEAD MQL TRACKER'!$Z$5:$Z$1004,"&gt;="&amp;I$7,'LEAD MQL TRACKER'!$Z$5:$Z$1004,"&lt;="&amp;I$8)+SUMIFS('EMAIL MARKETING'!$Q$5:$Q$804,'EMAIL MARKETING'!$B$5:$B$804,$A79,'EMAIL MARKETING'!$A$5:$A$804,"&gt;="&amp;I$7,'EMAIL MARKETING'!$A$5:$A$804,"&lt;="&amp;I$8)+SUMIFS('PAID MEDIA ADS'!$M$5:$M$804,'PAID MEDIA ADS'!$B$5:$B$804,$A79,'PAID MEDIA ADS'!$A$5:$A$804,"&gt;="&amp;I$7,'PAID MEDIA ADS'!$A$5:$A$804,"&lt;="&amp;I$8)+SUMIFS('LINKEDIN OUTREACH'!$N$5:$N$704,'LINKEDIN OUTREACH'!$B$5:$B$704,$A79,'LINKEDIN OUTREACH'!$A$5:$A$704,"&gt;="&amp;I$7,'LINKEDIN OUTREACH'!$A$5:$A$704,"&lt;="&amp;I$8)+SUMIFS('WEBSITE CONTENT SEO'!$L$5:$L$804,'WEBSITE CONTENT SEO'!$B$5:$B$804,$A79,'WEBSITE CONTENT SEO'!$A$5:$A$804,"&gt;="&amp;I$7,'WEBSITE CONTENT SEO'!$A$5:$A$804,"&lt;="&amp;I$8))</f>
        <v>0</v>
      </c>
      <c r="J79" s="89">
        <f>IF($A79="","",COUNTIFS('LEAD MQL TRACKER'!$B$5:$B$1004,$A79,'LEAD MQL TRACKER'!$AB$5:$AB$1004,1,'LEAD MQL TRACKER'!$Z$5:$Z$1004,"&gt;="&amp;J$7,'LEAD MQL TRACKER'!$Z$5:$Z$1004,"&lt;="&amp;J$8)+SUMIFS('EMAIL MARKETING'!$Q$5:$Q$804,'EMAIL MARKETING'!$B$5:$B$804,$A79,'EMAIL MARKETING'!$A$5:$A$804,"&gt;="&amp;J$7,'EMAIL MARKETING'!$A$5:$A$804,"&lt;="&amp;J$8)+SUMIFS('PAID MEDIA ADS'!$M$5:$M$804,'PAID MEDIA ADS'!$B$5:$B$804,$A79,'PAID MEDIA ADS'!$A$5:$A$804,"&gt;="&amp;J$7,'PAID MEDIA ADS'!$A$5:$A$804,"&lt;="&amp;J$8)+SUMIFS('LINKEDIN OUTREACH'!$N$5:$N$704,'LINKEDIN OUTREACH'!$B$5:$B$704,$A79,'LINKEDIN OUTREACH'!$A$5:$A$704,"&gt;="&amp;J$7,'LINKEDIN OUTREACH'!$A$5:$A$704,"&lt;="&amp;J$8)+SUMIFS('WEBSITE CONTENT SEO'!$L$5:$L$804,'WEBSITE CONTENT SEO'!$B$5:$B$804,$A79,'WEBSITE CONTENT SEO'!$A$5:$A$804,"&gt;="&amp;J$7,'WEBSITE CONTENT SEO'!$A$5:$A$804,"&lt;="&amp;J$8))</f>
        <v>0</v>
      </c>
      <c r="K79" s="89">
        <f>IF($A79="","",COUNTIFS('LEAD MQL TRACKER'!$B$5:$B$1004,$A79,'LEAD MQL TRACKER'!$AB$5:$AB$1004,1,'LEAD MQL TRACKER'!$Z$5:$Z$1004,"&gt;="&amp;K$7,'LEAD MQL TRACKER'!$Z$5:$Z$1004,"&lt;="&amp;K$8)+SUMIFS('EMAIL MARKETING'!$Q$5:$Q$804,'EMAIL MARKETING'!$B$5:$B$804,$A79,'EMAIL MARKETING'!$A$5:$A$804,"&gt;="&amp;K$7,'EMAIL MARKETING'!$A$5:$A$804,"&lt;="&amp;K$8)+SUMIFS('PAID MEDIA ADS'!$M$5:$M$804,'PAID MEDIA ADS'!$B$5:$B$804,$A79,'PAID MEDIA ADS'!$A$5:$A$804,"&gt;="&amp;K$7,'PAID MEDIA ADS'!$A$5:$A$804,"&lt;="&amp;K$8)+SUMIFS('LINKEDIN OUTREACH'!$N$5:$N$704,'LINKEDIN OUTREACH'!$B$5:$B$704,$A79,'LINKEDIN OUTREACH'!$A$5:$A$704,"&gt;="&amp;K$7,'LINKEDIN OUTREACH'!$A$5:$A$704,"&lt;="&amp;K$8)+SUMIFS('WEBSITE CONTENT SEO'!$L$5:$L$804,'WEBSITE CONTENT SEO'!$B$5:$B$804,$A79,'WEBSITE CONTENT SEO'!$A$5:$A$804,"&gt;="&amp;K$7,'WEBSITE CONTENT SEO'!$A$5:$A$804,"&lt;="&amp;K$8))</f>
        <v>0</v>
      </c>
      <c r="L79" s="89">
        <f>IF($A79="","",COUNTIFS('LEAD MQL TRACKER'!$B$5:$B$1004,$A79,'LEAD MQL TRACKER'!$AB$5:$AB$1004,1,'LEAD MQL TRACKER'!$Z$5:$Z$1004,"&gt;="&amp;L$7,'LEAD MQL TRACKER'!$Z$5:$Z$1004,"&lt;="&amp;L$8)+SUMIFS('EMAIL MARKETING'!$Q$5:$Q$804,'EMAIL MARKETING'!$B$5:$B$804,$A79,'EMAIL MARKETING'!$A$5:$A$804,"&gt;="&amp;L$7,'EMAIL MARKETING'!$A$5:$A$804,"&lt;="&amp;L$8)+SUMIFS('PAID MEDIA ADS'!$M$5:$M$804,'PAID MEDIA ADS'!$B$5:$B$804,$A79,'PAID MEDIA ADS'!$A$5:$A$804,"&gt;="&amp;L$7,'PAID MEDIA ADS'!$A$5:$A$804,"&lt;="&amp;L$8)+SUMIFS('LINKEDIN OUTREACH'!$N$5:$N$704,'LINKEDIN OUTREACH'!$B$5:$B$704,$A79,'LINKEDIN OUTREACH'!$A$5:$A$704,"&gt;="&amp;L$7,'LINKEDIN OUTREACH'!$A$5:$A$704,"&lt;="&amp;L$8)+SUMIFS('WEBSITE CONTENT SEO'!$L$5:$L$804,'WEBSITE CONTENT SEO'!$B$5:$B$804,$A79,'WEBSITE CONTENT SEO'!$A$5:$A$804,"&gt;="&amp;L$7,'WEBSITE CONTENT SEO'!$A$5:$A$804,"&lt;="&amp;L$8))</f>
        <v>0</v>
      </c>
      <c r="M79" s="89">
        <f>IF($A79="","",COUNTIFS('LEAD MQL TRACKER'!$B$5:$B$1004,$A79,'LEAD MQL TRACKER'!$AB$5:$AB$1004,1,'LEAD MQL TRACKER'!$Z$5:$Z$1004,"&gt;="&amp;M$7,'LEAD MQL TRACKER'!$Z$5:$Z$1004,"&lt;="&amp;M$8)+SUMIFS('EMAIL MARKETING'!$Q$5:$Q$804,'EMAIL MARKETING'!$B$5:$B$804,$A79,'EMAIL MARKETING'!$A$5:$A$804,"&gt;="&amp;M$7,'EMAIL MARKETING'!$A$5:$A$804,"&lt;="&amp;M$8)+SUMIFS('PAID MEDIA ADS'!$M$5:$M$804,'PAID MEDIA ADS'!$B$5:$B$804,$A79,'PAID MEDIA ADS'!$A$5:$A$804,"&gt;="&amp;M$7,'PAID MEDIA ADS'!$A$5:$A$804,"&lt;="&amp;M$8)+SUMIFS('LINKEDIN OUTREACH'!$N$5:$N$704,'LINKEDIN OUTREACH'!$B$5:$B$704,$A79,'LINKEDIN OUTREACH'!$A$5:$A$704,"&gt;="&amp;M$7,'LINKEDIN OUTREACH'!$A$5:$A$704,"&lt;="&amp;M$8)+SUMIFS('WEBSITE CONTENT SEO'!$L$5:$L$804,'WEBSITE CONTENT SEO'!$B$5:$B$804,$A79,'WEBSITE CONTENT SEO'!$A$5:$A$804,"&gt;="&amp;M$7,'WEBSITE CONTENT SEO'!$A$5:$A$804,"&lt;="&amp;M$8))</f>
        <v>0</v>
      </c>
    </row>
    <row r="80">
      <c r="A80" s="118" t="inlineStr">
        <is>
          <t>Total</t>
        </is>
      </c>
      <c r="B80" s="119">
        <f>SUM(B65:B79)</f>
        <v>0</v>
      </c>
      <c r="C80" s="119">
        <f>SUM(C65:C79)</f>
        <v>0</v>
      </c>
      <c r="D80" s="119">
        <f>SUM(D65:D79)</f>
        <v>0</v>
      </c>
      <c r="E80" s="119">
        <f>SUM(E65:E79)</f>
        <v>0</v>
      </c>
      <c r="F80" s="119">
        <f>SUM(F65:F79)</f>
        <v>0</v>
      </c>
      <c r="G80" s="119">
        <f>SUM(G65:G79)</f>
        <v>0</v>
      </c>
      <c r="H80" s="119">
        <f>SUM(H65:H79)</f>
        <v>0</v>
      </c>
      <c r="I80" s="119">
        <f>SUM(I65:I79)</f>
        <v>0</v>
      </c>
      <c r="J80" s="119">
        <f>SUM(J65:J79)</f>
        <v>0</v>
      </c>
      <c r="K80" s="119">
        <f>SUM(K65:K79)</f>
        <v>0</v>
      </c>
      <c r="L80" s="119">
        <f>SUM(L65:L79)</f>
        <v>0</v>
      </c>
      <c r="M80" s="119">
        <f>SUM(M65:M79)</f>
        <v>0</v>
      </c>
    </row>
    <row r="82" ht="20" customHeight="1">
      <c r="A82" s="37" t="inlineStr">
        <is>
          <t>CLIENT PERFORMANCE - TASKS COMPLETED BY MONTH (ignores dashboard filters)</t>
        </is>
      </c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3" t="n"/>
    </row>
    <row r="83">
      <c r="A83" s="87" t="inlineStr">
        <is>
          <t>Client</t>
        </is>
      </c>
      <c r="B83" s="87" t="str">
        <f>B$6</f>
        <v>Jan 26</v>
      </c>
      <c r="C83" s="87" t="str">
        <f>C$6</f>
        <v>Feb 26</v>
      </c>
      <c r="D83" s="87" t="str">
        <f>D$6</f>
        <v>Mar 26</v>
      </c>
      <c r="E83" s="87" t="str">
        <f>E$6</f>
        <v>Apr 26</v>
      </c>
      <c r="F83" s="87" t="str">
        <f>F$6</f>
        <v>May 26</v>
      </c>
      <c r="G83" s="87" t="str">
        <f>G$6</f>
        <v>Jun 26</v>
      </c>
      <c r="H83" s="87" t="str">
        <f>H$6</f>
        <v>Jul 26</v>
      </c>
      <c r="I83" s="87" t="str">
        <f>I$6</f>
        <v>Aug 26</v>
      </c>
      <c r="J83" s="87" t="str">
        <f>J$6</f>
        <v>Sep 26</v>
      </c>
      <c r="K83" s="87" t="str">
        <f>K$6</f>
        <v>Oct 26</v>
      </c>
      <c r="L83" s="87" t="str">
        <f>L$6</f>
        <v>Nov 26</v>
      </c>
      <c r="M83" s="87" t="str">
        <f>M$6</f>
        <v>Dec 26</v>
      </c>
    </row>
    <row r="84">
      <c r="A84" s="117" t="str">
        <f>IF('CLIENT MASTER'!A5="","",'CLIENT MASTER'!A5)</f>
        <v>Chola MS</v>
      </c>
      <c r="B84" s="89">
        <f>IF($A84="","",COUNTIFS('DAILY TASK TRACKER'!$C$5:$C$1504,$A84,'DAILY TASK TRACKER'!$M$5:$M$1504,"Completed",'DAILY TASK TRACKER'!$A$5:$A$1504,"&gt;="&amp;B$7,'DAILY TASK TRACKER'!$A$5:$A$1504,"&lt;="&amp;B$8))</f>
        <v>0</v>
      </c>
      <c r="C84" s="89">
        <f>IF($A84="","",COUNTIFS('DAILY TASK TRACKER'!$C$5:$C$1504,$A84,'DAILY TASK TRACKER'!$M$5:$M$1504,"Completed",'DAILY TASK TRACKER'!$A$5:$A$1504,"&gt;="&amp;C$7,'DAILY TASK TRACKER'!$A$5:$A$1504,"&lt;="&amp;C$8))</f>
        <v>0</v>
      </c>
      <c r="D84" s="89">
        <f>IF($A84="","",COUNTIFS('DAILY TASK TRACKER'!$C$5:$C$1504,$A84,'DAILY TASK TRACKER'!$M$5:$M$1504,"Completed",'DAILY TASK TRACKER'!$A$5:$A$1504,"&gt;="&amp;D$7,'DAILY TASK TRACKER'!$A$5:$A$1504,"&lt;="&amp;D$8))</f>
        <v>0</v>
      </c>
      <c r="E84" s="89">
        <f>IF($A84="","",COUNTIFS('DAILY TASK TRACKER'!$C$5:$C$1504,$A84,'DAILY TASK TRACKER'!$M$5:$M$1504,"Completed",'DAILY TASK TRACKER'!$A$5:$A$1504,"&gt;="&amp;E$7,'DAILY TASK TRACKER'!$A$5:$A$1504,"&lt;="&amp;E$8))</f>
        <v>0</v>
      </c>
      <c r="F84" s="89">
        <f>IF($A84="","",COUNTIFS('DAILY TASK TRACKER'!$C$5:$C$1504,$A84,'DAILY TASK TRACKER'!$M$5:$M$1504,"Completed",'DAILY TASK TRACKER'!$A$5:$A$1504,"&gt;="&amp;F$7,'DAILY TASK TRACKER'!$A$5:$A$1504,"&lt;="&amp;F$8))</f>
        <v>0</v>
      </c>
      <c r="G84" s="89">
        <f>IF($A84="","",COUNTIFS('DAILY TASK TRACKER'!$C$5:$C$1504,$A84,'DAILY TASK TRACKER'!$M$5:$M$1504,"Completed",'DAILY TASK TRACKER'!$A$5:$A$1504,"&gt;="&amp;G$7,'DAILY TASK TRACKER'!$A$5:$A$1504,"&lt;="&amp;G$8))</f>
        <v>0</v>
      </c>
      <c r="H84" s="89">
        <f>IF($A84="","",COUNTIFS('DAILY TASK TRACKER'!$C$5:$C$1504,$A84,'DAILY TASK TRACKER'!$M$5:$M$1504,"Completed",'DAILY TASK TRACKER'!$A$5:$A$1504,"&gt;="&amp;H$7,'DAILY TASK TRACKER'!$A$5:$A$1504,"&lt;="&amp;H$8))</f>
        <v>0</v>
      </c>
      <c r="I84" s="89">
        <f>IF($A84="","",COUNTIFS('DAILY TASK TRACKER'!$C$5:$C$1504,$A84,'DAILY TASK TRACKER'!$M$5:$M$1504,"Completed",'DAILY TASK TRACKER'!$A$5:$A$1504,"&gt;="&amp;I$7,'DAILY TASK TRACKER'!$A$5:$A$1504,"&lt;="&amp;I$8))</f>
        <v>0</v>
      </c>
      <c r="J84" s="89">
        <f>IF($A84="","",COUNTIFS('DAILY TASK TRACKER'!$C$5:$C$1504,$A84,'DAILY TASK TRACKER'!$M$5:$M$1504,"Completed",'DAILY TASK TRACKER'!$A$5:$A$1504,"&gt;="&amp;J$7,'DAILY TASK TRACKER'!$A$5:$A$1504,"&lt;="&amp;J$8))</f>
        <v>0</v>
      </c>
      <c r="K84" s="89">
        <f>IF($A84="","",COUNTIFS('DAILY TASK TRACKER'!$C$5:$C$1504,$A84,'DAILY TASK TRACKER'!$M$5:$M$1504,"Completed",'DAILY TASK TRACKER'!$A$5:$A$1504,"&gt;="&amp;K$7,'DAILY TASK TRACKER'!$A$5:$A$1504,"&lt;="&amp;K$8))</f>
        <v>0</v>
      </c>
      <c r="L84" s="89">
        <f>IF($A84="","",COUNTIFS('DAILY TASK TRACKER'!$C$5:$C$1504,$A84,'DAILY TASK TRACKER'!$M$5:$M$1504,"Completed",'DAILY TASK TRACKER'!$A$5:$A$1504,"&gt;="&amp;L$7,'DAILY TASK TRACKER'!$A$5:$A$1504,"&lt;="&amp;L$8))</f>
        <v>0</v>
      </c>
      <c r="M84" s="89">
        <f>IF($A84="","",COUNTIFS('DAILY TASK TRACKER'!$C$5:$C$1504,$A84,'DAILY TASK TRACKER'!$M$5:$M$1504,"Completed",'DAILY TASK TRACKER'!$A$5:$A$1504,"&gt;="&amp;M$7,'DAILY TASK TRACKER'!$A$5:$A$1504,"&lt;="&amp;M$8))</f>
        <v>0</v>
      </c>
    </row>
    <row r="85">
      <c r="A85" s="117" t="str">
        <f>IF('CLIENT MASTER'!A6="","",'CLIENT MASTER'!A6)</f>
        <v>Magnasoft</v>
      </c>
      <c r="B85" s="89">
        <f>IF($A85="","",COUNTIFS('DAILY TASK TRACKER'!$C$5:$C$1504,$A85,'DAILY TASK TRACKER'!$M$5:$M$1504,"Completed",'DAILY TASK TRACKER'!$A$5:$A$1504,"&gt;="&amp;B$7,'DAILY TASK TRACKER'!$A$5:$A$1504,"&lt;="&amp;B$8))</f>
        <v>0</v>
      </c>
      <c r="C85" s="89">
        <f>IF($A85="","",COUNTIFS('DAILY TASK TRACKER'!$C$5:$C$1504,$A85,'DAILY TASK TRACKER'!$M$5:$M$1504,"Completed",'DAILY TASK TRACKER'!$A$5:$A$1504,"&gt;="&amp;C$7,'DAILY TASK TRACKER'!$A$5:$A$1504,"&lt;="&amp;C$8))</f>
        <v>0</v>
      </c>
      <c r="D85" s="89">
        <f>IF($A85="","",COUNTIFS('DAILY TASK TRACKER'!$C$5:$C$1504,$A85,'DAILY TASK TRACKER'!$M$5:$M$1504,"Completed",'DAILY TASK TRACKER'!$A$5:$A$1504,"&gt;="&amp;D$7,'DAILY TASK TRACKER'!$A$5:$A$1504,"&lt;="&amp;D$8))</f>
        <v>0</v>
      </c>
      <c r="E85" s="89">
        <f>IF($A85="","",COUNTIFS('DAILY TASK TRACKER'!$C$5:$C$1504,$A85,'DAILY TASK TRACKER'!$M$5:$M$1504,"Completed",'DAILY TASK TRACKER'!$A$5:$A$1504,"&gt;="&amp;E$7,'DAILY TASK TRACKER'!$A$5:$A$1504,"&lt;="&amp;E$8))</f>
        <v>0</v>
      </c>
      <c r="F85" s="89">
        <f>IF($A85="","",COUNTIFS('DAILY TASK TRACKER'!$C$5:$C$1504,$A85,'DAILY TASK TRACKER'!$M$5:$M$1504,"Completed",'DAILY TASK TRACKER'!$A$5:$A$1504,"&gt;="&amp;F$7,'DAILY TASK TRACKER'!$A$5:$A$1504,"&lt;="&amp;F$8))</f>
        <v>0</v>
      </c>
      <c r="G85" s="89">
        <f>IF($A85="","",COUNTIFS('DAILY TASK TRACKER'!$C$5:$C$1504,$A85,'DAILY TASK TRACKER'!$M$5:$M$1504,"Completed",'DAILY TASK TRACKER'!$A$5:$A$1504,"&gt;="&amp;G$7,'DAILY TASK TRACKER'!$A$5:$A$1504,"&lt;="&amp;G$8))</f>
        <v>0</v>
      </c>
      <c r="H85" s="89">
        <f>IF($A85="","",COUNTIFS('DAILY TASK TRACKER'!$C$5:$C$1504,$A85,'DAILY TASK TRACKER'!$M$5:$M$1504,"Completed",'DAILY TASK TRACKER'!$A$5:$A$1504,"&gt;="&amp;H$7,'DAILY TASK TRACKER'!$A$5:$A$1504,"&lt;="&amp;H$8))</f>
        <v>0</v>
      </c>
      <c r="I85" s="89">
        <f>IF($A85="","",COUNTIFS('DAILY TASK TRACKER'!$C$5:$C$1504,$A85,'DAILY TASK TRACKER'!$M$5:$M$1504,"Completed",'DAILY TASK TRACKER'!$A$5:$A$1504,"&gt;="&amp;I$7,'DAILY TASK TRACKER'!$A$5:$A$1504,"&lt;="&amp;I$8))</f>
        <v>0</v>
      </c>
      <c r="J85" s="89">
        <f>IF($A85="","",COUNTIFS('DAILY TASK TRACKER'!$C$5:$C$1504,$A85,'DAILY TASK TRACKER'!$M$5:$M$1504,"Completed",'DAILY TASK TRACKER'!$A$5:$A$1504,"&gt;="&amp;J$7,'DAILY TASK TRACKER'!$A$5:$A$1504,"&lt;="&amp;J$8))</f>
        <v>0</v>
      </c>
      <c r="K85" s="89">
        <f>IF($A85="","",COUNTIFS('DAILY TASK TRACKER'!$C$5:$C$1504,$A85,'DAILY TASK TRACKER'!$M$5:$M$1504,"Completed",'DAILY TASK TRACKER'!$A$5:$A$1504,"&gt;="&amp;K$7,'DAILY TASK TRACKER'!$A$5:$A$1504,"&lt;="&amp;K$8))</f>
        <v>0</v>
      </c>
      <c r="L85" s="89">
        <f>IF($A85="","",COUNTIFS('DAILY TASK TRACKER'!$C$5:$C$1504,$A85,'DAILY TASK TRACKER'!$M$5:$M$1504,"Completed",'DAILY TASK TRACKER'!$A$5:$A$1504,"&gt;="&amp;L$7,'DAILY TASK TRACKER'!$A$5:$A$1504,"&lt;="&amp;L$8))</f>
        <v>0</v>
      </c>
      <c r="M85" s="89">
        <f>IF($A85="","",COUNTIFS('DAILY TASK TRACKER'!$C$5:$C$1504,$A85,'DAILY TASK TRACKER'!$M$5:$M$1504,"Completed",'DAILY TASK TRACKER'!$A$5:$A$1504,"&gt;="&amp;M$7,'DAILY TASK TRACKER'!$A$5:$A$1504,"&lt;="&amp;M$8))</f>
        <v>0</v>
      </c>
    </row>
    <row r="86">
      <c r="A86" s="117" t="str">
        <f>IF('CLIENT MASTER'!A7="","",'CLIENT MASTER'!A7)</f>
        <v>Eternelle</v>
      </c>
      <c r="B86" s="89">
        <f>IF($A86="","",COUNTIFS('DAILY TASK TRACKER'!$C$5:$C$1504,$A86,'DAILY TASK TRACKER'!$M$5:$M$1504,"Completed",'DAILY TASK TRACKER'!$A$5:$A$1504,"&gt;="&amp;B$7,'DAILY TASK TRACKER'!$A$5:$A$1504,"&lt;="&amp;B$8))</f>
        <v>0</v>
      </c>
      <c r="C86" s="89">
        <f>IF($A86="","",COUNTIFS('DAILY TASK TRACKER'!$C$5:$C$1504,$A86,'DAILY TASK TRACKER'!$M$5:$M$1504,"Completed",'DAILY TASK TRACKER'!$A$5:$A$1504,"&gt;="&amp;C$7,'DAILY TASK TRACKER'!$A$5:$A$1504,"&lt;="&amp;C$8))</f>
        <v>0</v>
      </c>
      <c r="D86" s="89">
        <f>IF($A86="","",COUNTIFS('DAILY TASK TRACKER'!$C$5:$C$1504,$A86,'DAILY TASK TRACKER'!$M$5:$M$1504,"Completed",'DAILY TASK TRACKER'!$A$5:$A$1504,"&gt;="&amp;D$7,'DAILY TASK TRACKER'!$A$5:$A$1504,"&lt;="&amp;D$8))</f>
        <v>0</v>
      </c>
      <c r="E86" s="89">
        <f>IF($A86="","",COUNTIFS('DAILY TASK TRACKER'!$C$5:$C$1504,$A86,'DAILY TASK TRACKER'!$M$5:$M$1504,"Completed",'DAILY TASK TRACKER'!$A$5:$A$1504,"&gt;="&amp;E$7,'DAILY TASK TRACKER'!$A$5:$A$1504,"&lt;="&amp;E$8))</f>
        <v>0</v>
      </c>
      <c r="F86" s="89">
        <f>IF($A86="","",COUNTIFS('DAILY TASK TRACKER'!$C$5:$C$1504,$A86,'DAILY TASK TRACKER'!$M$5:$M$1504,"Completed",'DAILY TASK TRACKER'!$A$5:$A$1504,"&gt;="&amp;F$7,'DAILY TASK TRACKER'!$A$5:$A$1504,"&lt;="&amp;F$8))</f>
        <v>0</v>
      </c>
      <c r="G86" s="89">
        <f>IF($A86="","",COUNTIFS('DAILY TASK TRACKER'!$C$5:$C$1504,$A86,'DAILY TASK TRACKER'!$M$5:$M$1504,"Completed",'DAILY TASK TRACKER'!$A$5:$A$1504,"&gt;="&amp;G$7,'DAILY TASK TRACKER'!$A$5:$A$1504,"&lt;="&amp;G$8))</f>
        <v>0</v>
      </c>
      <c r="H86" s="89">
        <f>IF($A86="","",COUNTIFS('DAILY TASK TRACKER'!$C$5:$C$1504,$A86,'DAILY TASK TRACKER'!$M$5:$M$1504,"Completed",'DAILY TASK TRACKER'!$A$5:$A$1504,"&gt;="&amp;H$7,'DAILY TASK TRACKER'!$A$5:$A$1504,"&lt;="&amp;H$8))</f>
        <v>0</v>
      </c>
      <c r="I86" s="89">
        <f>IF($A86="","",COUNTIFS('DAILY TASK TRACKER'!$C$5:$C$1504,$A86,'DAILY TASK TRACKER'!$M$5:$M$1504,"Completed",'DAILY TASK TRACKER'!$A$5:$A$1504,"&gt;="&amp;I$7,'DAILY TASK TRACKER'!$A$5:$A$1504,"&lt;="&amp;I$8))</f>
        <v>0</v>
      </c>
      <c r="J86" s="89">
        <f>IF($A86="","",COUNTIFS('DAILY TASK TRACKER'!$C$5:$C$1504,$A86,'DAILY TASK TRACKER'!$M$5:$M$1504,"Completed",'DAILY TASK TRACKER'!$A$5:$A$1504,"&gt;="&amp;J$7,'DAILY TASK TRACKER'!$A$5:$A$1504,"&lt;="&amp;J$8))</f>
        <v>0</v>
      </c>
      <c r="K86" s="89">
        <f>IF($A86="","",COUNTIFS('DAILY TASK TRACKER'!$C$5:$C$1504,$A86,'DAILY TASK TRACKER'!$M$5:$M$1504,"Completed",'DAILY TASK TRACKER'!$A$5:$A$1504,"&gt;="&amp;K$7,'DAILY TASK TRACKER'!$A$5:$A$1504,"&lt;="&amp;K$8))</f>
        <v>0</v>
      </c>
      <c r="L86" s="89">
        <f>IF($A86="","",COUNTIFS('DAILY TASK TRACKER'!$C$5:$C$1504,$A86,'DAILY TASK TRACKER'!$M$5:$M$1504,"Completed",'DAILY TASK TRACKER'!$A$5:$A$1504,"&gt;="&amp;L$7,'DAILY TASK TRACKER'!$A$5:$A$1504,"&lt;="&amp;L$8))</f>
        <v>0</v>
      </c>
      <c r="M86" s="89">
        <f>IF($A86="","",COUNTIFS('DAILY TASK TRACKER'!$C$5:$C$1504,$A86,'DAILY TASK TRACKER'!$M$5:$M$1504,"Completed",'DAILY TASK TRACKER'!$A$5:$A$1504,"&gt;="&amp;M$7,'DAILY TASK TRACKER'!$A$5:$A$1504,"&lt;="&amp;M$8))</f>
        <v>0</v>
      </c>
    </row>
    <row r="87">
      <c r="A87" s="117" t="str">
        <f>IF('CLIENT MASTER'!A8="","",'CLIENT MASTER'!A8)</f>
        <v>Vestrics</v>
      </c>
      <c r="B87" s="89">
        <f>IF($A87="","",COUNTIFS('DAILY TASK TRACKER'!$C$5:$C$1504,$A87,'DAILY TASK TRACKER'!$M$5:$M$1504,"Completed",'DAILY TASK TRACKER'!$A$5:$A$1504,"&gt;="&amp;B$7,'DAILY TASK TRACKER'!$A$5:$A$1504,"&lt;="&amp;B$8))</f>
        <v>0</v>
      </c>
      <c r="C87" s="89">
        <f>IF($A87="","",COUNTIFS('DAILY TASK TRACKER'!$C$5:$C$1504,$A87,'DAILY TASK TRACKER'!$M$5:$M$1504,"Completed",'DAILY TASK TRACKER'!$A$5:$A$1504,"&gt;="&amp;C$7,'DAILY TASK TRACKER'!$A$5:$A$1504,"&lt;="&amp;C$8))</f>
        <v>0</v>
      </c>
      <c r="D87" s="89">
        <f>IF($A87="","",COUNTIFS('DAILY TASK TRACKER'!$C$5:$C$1504,$A87,'DAILY TASK TRACKER'!$M$5:$M$1504,"Completed",'DAILY TASK TRACKER'!$A$5:$A$1504,"&gt;="&amp;D$7,'DAILY TASK TRACKER'!$A$5:$A$1504,"&lt;="&amp;D$8))</f>
        <v>0</v>
      </c>
      <c r="E87" s="89">
        <f>IF($A87="","",COUNTIFS('DAILY TASK TRACKER'!$C$5:$C$1504,$A87,'DAILY TASK TRACKER'!$M$5:$M$1504,"Completed",'DAILY TASK TRACKER'!$A$5:$A$1504,"&gt;="&amp;E$7,'DAILY TASK TRACKER'!$A$5:$A$1504,"&lt;="&amp;E$8))</f>
        <v>0</v>
      </c>
      <c r="F87" s="89">
        <f>IF($A87="","",COUNTIFS('DAILY TASK TRACKER'!$C$5:$C$1504,$A87,'DAILY TASK TRACKER'!$M$5:$M$1504,"Completed",'DAILY TASK TRACKER'!$A$5:$A$1504,"&gt;="&amp;F$7,'DAILY TASK TRACKER'!$A$5:$A$1504,"&lt;="&amp;F$8))</f>
        <v>0</v>
      </c>
      <c r="G87" s="89">
        <f>IF($A87="","",COUNTIFS('DAILY TASK TRACKER'!$C$5:$C$1504,$A87,'DAILY TASK TRACKER'!$M$5:$M$1504,"Completed",'DAILY TASK TRACKER'!$A$5:$A$1504,"&gt;="&amp;G$7,'DAILY TASK TRACKER'!$A$5:$A$1504,"&lt;="&amp;G$8))</f>
        <v>0</v>
      </c>
      <c r="H87" s="89">
        <f>IF($A87="","",COUNTIFS('DAILY TASK TRACKER'!$C$5:$C$1504,$A87,'DAILY TASK TRACKER'!$M$5:$M$1504,"Completed",'DAILY TASK TRACKER'!$A$5:$A$1504,"&gt;="&amp;H$7,'DAILY TASK TRACKER'!$A$5:$A$1504,"&lt;="&amp;H$8))</f>
        <v>0</v>
      </c>
      <c r="I87" s="89">
        <f>IF($A87="","",COUNTIFS('DAILY TASK TRACKER'!$C$5:$C$1504,$A87,'DAILY TASK TRACKER'!$M$5:$M$1504,"Completed",'DAILY TASK TRACKER'!$A$5:$A$1504,"&gt;="&amp;I$7,'DAILY TASK TRACKER'!$A$5:$A$1504,"&lt;="&amp;I$8))</f>
        <v>0</v>
      </c>
      <c r="J87" s="89">
        <f>IF($A87="","",COUNTIFS('DAILY TASK TRACKER'!$C$5:$C$1504,$A87,'DAILY TASK TRACKER'!$M$5:$M$1504,"Completed",'DAILY TASK TRACKER'!$A$5:$A$1504,"&gt;="&amp;J$7,'DAILY TASK TRACKER'!$A$5:$A$1504,"&lt;="&amp;J$8))</f>
        <v>0</v>
      </c>
      <c r="K87" s="89">
        <f>IF($A87="","",COUNTIFS('DAILY TASK TRACKER'!$C$5:$C$1504,$A87,'DAILY TASK TRACKER'!$M$5:$M$1504,"Completed",'DAILY TASK TRACKER'!$A$5:$A$1504,"&gt;="&amp;K$7,'DAILY TASK TRACKER'!$A$5:$A$1504,"&lt;="&amp;K$8))</f>
        <v>0</v>
      </c>
      <c r="L87" s="89">
        <f>IF($A87="","",COUNTIFS('DAILY TASK TRACKER'!$C$5:$C$1504,$A87,'DAILY TASK TRACKER'!$M$5:$M$1504,"Completed",'DAILY TASK TRACKER'!$A$5:$A$1504,"&gt;="&amp;L$7,'DAILY TASK TRACKER'!$A$5:$A$1504,"&lt;="&amp;L$8))</f>
        <v>0</v>
      </c>
      <c r="M87" s="89">
        <f>IF($A87="","",COUNTIFS('DAILY TASK TRACKER'!$C$5:$C$1504,$A87,'DAILY TASK TRACKER'!$M$5:$M$1504,"Completed",'DAILY TASK TRACKER'!$A$5:$A$1504,"&gt;="&amp;M$7,'DAILY TASK TRACKER'!$A$5:$A$1504,"&lt;="&amp;M$8))</f>
        <v>0</v>
      </c>
    </row>
    <row r="88">
      <c r="A88" s="117" t="str">
        <f>IF('CLIENT MASTER'!A9="","",'CLIENT MASTER'!A9)</f>
        <v>Lenovo</v>
      </c>
      <c r="B88" s="89">
        <f>IF($A88="","",COUNTIFS('DAILY TASK TRACKER'!$C$5:$C$1504,$A88,'DAILY TASK TRACKER'!$M$5:$M$1504,"Completed",'DAILY TASK TRACKER'!$A$5:$A$1504,"&gt;="&amp;B$7,'DAILY TASK TRACKER'!$A$5:$A$1504,"&lt;="&amp;B$8))</f>
        <v>0</v>
      </c>
      <c r="C88" s="89">
        <f>IF($A88="","",COUNTIFS('DAILY TASK TRACKER'!$C$5:$C$1504,$A88,'DAILY TASK TRACKER'!$M$5:$M$1504,"Completed",'DAILY TASK TRACKER'!$A$5:$A$1504,"&gt;="&amp;C$7,'DAILY TASK TRACKER'!$A$5:$A$1504,"&lt;="&amp;C$8))</f>
        <v>0</v>
      </c>
      <c r="D88" s="89">
        <f>IF($A88="","",COUNTIFS('DAILY TASK TRACKER'!$C$5:$C$1504,$A88,'DAILY TASK TRACKER'!$M$5:$M$1504,"Completed",'DAILY TASK TRACKER'!$A$5:$A$1504,"&gt;="&amp;D$7,'DAILY TASK TRACKER'!$A$5:$A$1504,"&lt;="&amp;D$8))</f>
        <v>0</v>
      </c>
      <c r="E88" s="89">
        <f>IF($A88="","",COUNTIFS('DAILY TASK TRACKER'!$C$5:$C$1504,$A88,'DAILY TASK TRACKER'!$M$5:$M$1504,"Completed",'DAILY TASK TRACKER'!$A$5:$A$1504,"&gt;="&amp;E$7,'DAILY TASK TRACKER'!$A$5:$A$1504,"&lt;="&amp;E$8))</f>
        <v>0</v>
      </c>
      <c r="F88" s="89">
        <f>IF($A88="","",COUNTIFS('DAILY TASK TRACKER'!$C$5:$C$1504,$A88,'DAILY TASK TRACKER'!$M$5:$M$1504,"Completed",'DAILY TASK TRACKER'!$A$5:$A$1504,"&gt;="&amp;F$7,'DAILY TASK TRACKER'!$A$5:$A$1504,"&lt;="&amp;F$8))</f>
        <v>0</v>
      </c>
      <c r="G88" s="89">
        <f>IF($A88="","",COUNTIFS('DAILY TASK TRACKER'!$C$5:$C$1504,$A88,'DAILY TASK TRACKER'!$M$5:$M$1504,"Completed",'DAILY TASK TRACKER'!$A$5:$A$1504,"&gt;="&amp;G$7,'DAILY TASK TRACKER'!$A$5:$A$1504,"&lt;="&amp;G$8))</f>
        <v>0</v>
      </c>
      <c r="H88" s="89">
        <f>IF($A88="","",COUNTIFS('DAILY TASK TRACKER'!$C$5:$C$1504,$A88,'DAILY TASK TRACKER'!$M$5:$M$1504,"Completed",'DAILY TASK TRACKER'!$A$5:$A$1504,"&gt;="&amp;H$7,'DAILY TASK TRACKER'!$A$5:$A$1504,"&lt;="&amp;H$8))</f>
        <v>0</v>
      </c>
      <c r="I88" s="89">
        <f>IF($A88="","",COUNTIFS('DAILY TASK TRACKER'!$C$5:$C$1504,$A88,'DAILY TASK TRACKER'!$M$5:$M$1504,"Completed",'DAILY TASK TRACKER'!$A$5:$A$1504,"&gt;="&amp;I$7,'DAILY TASK TRACKER'!$A$5:$A$1504,"&lt;="&amp;I$8))</f>
        <v>0</v>
      </c>
      <c r="J88" s="89">
        <f>IF($A88="","",COUNTIFS('DAILY TASK TRACKER'!$C$5:$C$1504,$A88,'DAILY TASK TRACKER'!$M$5:$M$1504,"Completed",'DAILY TASK TRACKER'!$A$5:$A$1504,"&gt;="&amp;J$7,'DAILY TASK TRACKER'!$A$5:$A$1504,"&lt;="&amp;J$8))</f>
        <v>0</v>
      </c>
      <c r="K88" s="89">
        <f>IF($A88="","",COUNTIFS('DAILY TASK TRACKER'!$C$5:$C$1504,$A88,'DAILY TASK TRACKER'!$M$5:$M$1504,"Completed",'DAILY TASK TRACKER'!$A$5:$A$1504,"&gt;="&amp;K$7,'DAILY TASK TRACKER'!$A$5:$A$1504,"&lt;="&amp;K$8))</f>
        <v>0</v>
      </c>
      <c r="L88" s="89">
        <f>IF($A88="","",COUNTIFS('DAILY TASK TRACKER'!$C$5:$C$1504,$A88,'DAILY TASK TRACKER'!$M$5:$M$1504,"Completed",'DAILY TASK TRACKER'!$A$5:$A$1504,"&gt;="&amp;L$7,'DAILY TASK TRACKER'!$A$5:$A$1504,"&lt;="&amp;L$8))</f>
        <v>0</v>
      </c>
      <c r="M88" s="89">
        <f>IF($A88="","",COUNTIFS('DAILY TASK TRACKER'!$C$5:$C$1504,$A88,'DAILY TASK TRACKER'!$M$5:$M$1504,"Completed",'DAILY TASK TRACKER'!$A$5:$A$1504,"&gt;="&amp;M$7,'DAILY TASK TRACKER'!$A$5:$A$1504,"&lt;="&amp;M$8))</f>
        <v>0</v>
      </c>
    </row>
    <row r="89">
      <c r="A89" s="117" t="str">
        <f>IF('CLIENT MASTER'!A10="","",'CLIENT MASTER'!A10)</f>
        <v>SAP</v>
      </c>
      <c r="B89" s="89">
        <f>IF($A89="","",COUNTIFS('DAILY TASK TRACKER'!$C$5:$C$1504,$A89,'DAILY TASK TRACKER'!$M$5:$M$1504,"Completed",'DAILY TASK TRACKER'!$A$5:$A$1504,"&gt;="&amp;B$7,'DAILY TASK TRACKER'!$A$5:$A$1504,"&lt;="&amp;B$8))</f>
        <v>0</v>
      </c>
      <c r="C89" s="89">
        <f>IF($A89="","",COUNTIFS('DAILY TASK TRACKER'!$C$5:$C$1504,$A89,'DAILY TASK TRACKER'!$M$5:$M$1504,"Completed",'DAILY TASK TRACKER'!$A$5:$A$1504,"&gt;="&amp;C$7,'DAILY TASK TRACKER'!$A$5:$A$1504,"&lt;="&amp;C$8))</f>
        <v>0</v>
      </c>
      <c r="D89" s="89">
        <f>IF($A89="","",COUNTIFS('DAILY TASK TRACKER'!$C$5:$C$1504,$A89,'DAILY TASK TRACKER'!$M$5:$M$1504,"Completed",'DAILY TASK TRACKER'!$A$5:$A$1504,"&gt;="&amp;D$7,'DAILY TASK TRACKER'!$A$5:$A$1504,"&lt;="&amp;D$8))</f>
        <v>0</v>
      </c>
      <c r="E89" s="89">
        <f>IF($A89="","",COUNTIFS('DAILY TASK TRACKER'!$C$5:$C$1504,$A89,'DAILY TASK TRACKER'!$M$5:$M$1504,"Completed",'DAILY TASK TRACKER'!$A$5:$A$1504,"&gt;="&amp;E$7,'DAILY TASK TRACKER'!$A$5:$A$1504,"&lt;="&amp;E$8))</f>
        <v>0</v>
      </c>
      <c r="F89" s="89">
        <f>IF($A89="","",COUNTIFS('DAILY TASK TRACKER'!$C$5:$C$1504,$A89,'DAILY TASK TRACKER'!$M$5:$M$1504,"Completed",'DAILY TASK TRACKER'!$A$5:$A$1504,"&gt;="&amp;F$7,'DAILY TASK TRACKER'!$A$5:$A$1504,"&lt;="&amp;F$8))</f>
        <v>0</v>
      </c>
      <c r="G89" s="89">
        <f>IF($A89="","",COUNTIFS('DAILY TASK TRACKER'!$C$5:$C$1504,$A89,'DAILY TASK TRACKER'!$M$5:$M$1504,"Completed",'DAILY TASK TRACKER'!$A$5:$A$1504,"&gt;="&amp;G$7,'DAILY TASK TRACKER'!$A$5:$A$1504,"&lt;="&amp;G$8))</f>
        <v>0</v>
      </c>
      <c r="H89" s="89">
        <f>IF($A89="","",COUNTIFS('DAILY TASK TRACKER'!$C$5:$C$1504,$A89,'DAILY TASK TRACKER'!$M$5:$M$1504,"Completed",'DAILY TASK TRACKER'!$A$5:$A$1504,"&gt;="&amp;H$7,'DAILY TASK TRACKER'!$A$5:$A$1504,"&lt;="&amp;H$8))</f>
        <v>0</v>
      </c>
      <c r="I89" s="89">
        <f>IF($A89="","",COUNTIFS('DAILY TASK TRACKER'!$C$5:$C$1504,$A89,'DAILY TASK TRACKER'!$M$5:$M$1504,"Completed",'DAILY TASK TRACKER'!$A$5:$A$1504,"&gt;="&amp;I$7,'DAILY TASK TRACKER'!$A$5:$A$1504,"&lt;="&amp;I$8))</f>
        <v>0</v>
      </c>
      <c r="J89" s="89">
        <f>IF($A89="","",COUNTIFS('DAILY TASK TRACKER'!$C$5:$C$1504,$A89,'DAILY TASK TRACKER'!$M$5:$M$1504,"Completed",'DAILY TASK TRACKER'!$A$5:$A$1504,"&gt;="&amp;J$7,'DAILY TASK TRACKER'!$A$5:$A$1504,"&lt;="&amp;J$8))</f>
        <v>0</v>
      </c>
      <c r="K89" s="89">
        <f>IF($A89="","",COUNTIFS('DAILY TASK TRACKER'!$C$5:$C$1504,$A89,'DAILY TASK TRACKER'!$M$5:$M$1504,"Completed",'DAILY TASK TRACKER'!$A$5:$A$1504,"&gt;="&amp;K$7,'DAILY TASK TRACKER'!$A$5:$A$1504,"&lt;="&amp;K$8))</f>
        <v>0</v>
      </c>
      <c r="L89" s="89">
        <f>IF($A89="","",COUNTIFS('DAILY TASK TRACKER'!$C$5:$C$1504,$A89,'DAILY TASK TRACKER'!$M$5:$M$1504,"Completed",'DAILY TASK TRACKER'!$A$5:$A$1504,"&gt;="&amp;L$7,'DAILY TASK TRACKER'!$A$5:$A$1504,"&lt;="&amp;L$8))</f>
        <v>0</v>
      </c>
      <c r="M89" s="89">
        <f>IF($A89="","",COUNTIFS('DAILY TASK TRACKER'!$C$5:$C$1504,$A89,'DAILY TASK TRACKER'!$M$5:$M$1504,"Completed",'DAILY TASK TRACKER'!$A$5:$A$1504,"&gt;="&amp;M$7,'DAILY TASK TRACKER'!$A$5:$A$1504,"&lt;="&amp;M$8))</f>
        <v>0</v>
      </c>
    </row>
    <row r="90">
      <c r="A90" s="117" t="str">
        <f>IF('CLIENT MASTER'!A11="","",'CLIENT MASTER'!A11)</f>
        <v>Tata Communications</v>
      </c>
      <c r="B90" s="89">
        <f>IF($A90="","",COUNTIFS('DAILY TASK TRACKER'!$C$5:$C$1504,$A90,'DAILY TASK TRACKER'!$M$5:$M$1504,"Completed",'DAILY TASK TRACKER'!$A$5:$A$1504,"&gt;="&amp;B$7,'DAILY TASK TRACKER'!$A$5:$A$1504,"&lt;="&amp;B$8))</f>
        <v>0</v>
      </c>
      <c r="C90" s="89">
        <f>IF($A90="","",COUNTIFS('DAILY TASK TRACKER'!$C$5:$C$1504,$A90,'DAILY TASK TRACKER'!$M$5:$M$1504,"Completed",'DAILY TASK TRACKER'!$A$5:$A$1504,"&gt;="&amp;C$7,'DAILY TASK TRACKER'!$A$5:$A$1504,"&lt;="&amp;C$8))</f>
        <v>0</v>
      </c>
      <c r="D90" s="89">
        <f>IF($A90="","",COUNTIFS('DAILY TASK TRACKER'!$C$5:$C$1504,$A90,'DAILY TASK TRACKER'!$M$5:$M$1504,"Completed",'DAILY TASK TRACKER'!$A$5:$A$1504,"&gt;="&amp;D$7,'DAILY TASK TRACKER'!$A$5:$A$1504,"&lt;="&amp;D$8))</f>
        <v>0</v>
      </c>
      <c r="E90" s="89">
        <f>IF($A90="","",COUNTIFS('DAILY TASK TRACKER'!$C$5:$C$1504,$A90,'DAILY TASK TRACKER'!$M$5:$M$1504,"Completed",'DAILY TASK TRACKER'!$A$5:$A$1504,"&gt;="&amp;E$7,'DAILY TASK TRACKER'!$A$5:$A$1504,"&lt;="&amp;E$8))</f>
        <v>0</v>
      </c>
      <c r="F90" s="89">
        <f>IF($A90="","",COUNTIFS('DAILY TASK TRACKER'!$C$5:$C$1504,$A90,'DAILY TASK TRACKER'!$M$5:$M$1504,"Completed",'DAILY TASK TRACKER'!$A$5:$A$1504,"&gt;="&amp;F$7,'DAILY TASK TRACKER'!$A$5:$A$1504,"&lt;="&amp;F$8))</f>
        <v>0</v>
      </c>
      <c r="G90" s="89">
        <f>IF($A90="","",COUNTIFS('DAILY TASK TRACKER'!$C$5:$C$1504,$A90,'DAILY TASK TRACKER'!$M$5:$M$1504,"Completed",'DAILY TASK TRACKER'!$A$5:$A$1504,"&gt;="&amp;G$7,'DAILY TASK TRACKER'!$A$5:$A$1504,"&lt;="&amp;G$8))</f>
        <v>0</v>
      </c>
      <c r="H90" s="89">
        <f>IF($A90="","",COUNTIFS('DAILY TASK TRACKER'!$C$5:$C$1504,$A90,'DAILY TASK TRACKER'!$M$5:$M$1504,"Completed",'DAILY TASK TRACKER'!$A$5:$A$1504,"&gt;="&amp;H$7,'DAILY TASK TRACKER'!$A$5:$A$1504,"&lt;="&amp;H$8))</f>
        <v>0</v>
      </c>
      <c r="I90" s="89">
        <f>IF($A90="","",COUNTIFS('DAILY TASK TRACKER'!$C$5:$C$1504,$A90,'DAILY TASK TRACKER'!$M$5:$M$1504,"Completed",'DAILY TASK TRACKER'!$A$5:$A$1504,"&gt;="&amp;I$7,'DAILY TASK TRACKER'!$A$5:$A$1504,"&lt;="&amp;I$8))</f>
        <v>0</v>
      </c>
      <c r="J90" s="89">
        <f>IF($A90="","",COUNTIFS('DAILY TASK TRACKER'!$C$5:$C$1504,$A90,'DAILY TASK TRACKER'!$M$5:$M$1504,"Completed",'DAILY TASK TRACKER'!$A$5:$A$1504,"&gt;="&amp;J$7,'DAILY TASK TRACKER'!$A$5:$A$1504,"&lt;="&amp;J$8))</f>
        <v>0</v>
      </c>
      <c r="K90" s="89">
        <f>IF($A90="","",COUNTIFS('DAILY TASK TRACKER'!$C$5:$C$1504,$A90,'DAILY TASK TRACKER'!$M$5:$M$1504,"Completed",'DAILY TASK TRACKER'!$A$5:$A$1504,"&gt;="&amp;K$7,'DAILY TASK TRACKER'!$A$5:$A$1504,"&lt;="&amp;K$8))</f>
        <v>0</v>
      </c>
      <c r="L90" s="89">
        <f>IF($A90="","",COUNTIFS('DAILY TASK TRACKER'!$C$5:$C$1504,$A90,'DAILY TASK TRACKER'!$M$5:$M$1504,"Completed",'DAILY TASK TRACKER'!$A$5:$A$1504,"&gt;="&amp;L$7,'DAILY TASK TRACKER'!$A$5:$A$1504,"&lt;="&amp;L$8))</f>
        <v>0</v>
      </c>
      <c r="M90" s="89">
        <f>IF($A90="","",COUNTIFS('DAILY TASK TRACKER'!$C$5:$C$1504,$A90,'DAILY TASK TRACKER'!$M$5:$M$1504,"Completed",'DAILY TASK TRACKER'!$A$5:$A$1504,"&gt;="&amp;M$7,'DAILY TASK TRACKER'!$A$5:$A$1504,"&lt;="&amp;M$8))</f>
        <v>0</v>
      </c>
    </row>
    <row r="91">
      <c r="A91" s="117" t="str">
        <f>IF('CLIENT MASTER'!A12="","",'CLIENT MASTER'!A12)</f>
        <v>Tata Communications MECCA</v>
      </c>
      <c r="B91" s="89">
        <f>IF($A91="","",COUNTIFS('DAILY TASK TRACKER'!$C$5:$C$1504,$A91,'DAILY TASK TRACKER'!$M$5:$M$1504,"Completed",'DAILY TASK TRACKER'!$A$5:$A$1504,"&gt;="&amp;B$7,'DAILY TASK TRACKER'!$A$5:$A$1504,"&lt;="&amp;B$8))</f>
        <v>0</v>
      </c>
      <c r="C91" s="89">
        <f>IF($A91="","",COUNTIFS('DAILY TASK TRACKER'!$C$5:$C$1504,$A91,'DAILY TASK TRACKER'!$M$5:$M$1504,"Completed",'DAILY TASK TRACKER'!$A$5:$A$1504,"&gt;="&amp;C$7,'DAILY TASK TRACKER'!$A$5:$A$1504,"&lt;="&amp;C$8))</f>
        <v>0</v>
      </c>
      <c r="D91" s="89">
        <f>IF($A91="","",COUNTIFS('DAILY TASK TRACKER'!$C$5:$C$1504,$A91,'DAILY TASK TRACKER'!$M$5:$M$1504,"Completed",'DAILY TASK TRACKER'!$A$5:$A$1504,"&gt;="&amp;D$7,'DAILY TASK TRACKER'!$A$5:$A$1504,"&lt;="&amp;D$8))</f>
        <v>0</v>
      </c>
      <c r="E91" s="89">
        <f>IF($A91="","",COUNTIFS('DAILY TASK TRACKER'!$C$5:$C$1504,$A91,'DAILY TASK TRACKER'!$M$5:$M$1504,"Completed",'DAILY TASK TRACKER'!$A$5:$A$1504,"&gt;="&amp;E$7,'DAILY TASK TRACKER'!$A$5:$A$1504,"&lt;="&amp;E$8))</f>
        <v>0</v>
      </c>
      <c r="F91" s="89">
        <f>IF($A91="","",COUNTIFS('DAILY TASK TRACKER'!$C$5:$C$1504,$A91,'DAILY TASK TRACKER'!$M$5:$M$1504,"Completed",'DAILY TASK TRACKER'!$A$5:$A$1504,"&gt;="&amp;F$7,'DAILY TASK TRACKER'!$A$5:$A$1504,"&lt;="&amp;F$8))</f>
        <v>0</v>
      </c>
      <c r="G91" s="89">
        <f>IF($A91="","",COUNTIFS('DAILY TASK TRACKER'!$C$5:$C$1504,$A91,'DAILY TASK TRACKER'!$M$5:$M$1504,"Completed",'DAILY TASK TRACKER'!$A$5:$A$1504,"&gt;="&amp;G$7,'DAILY TASK TRACKER'!$A$5:$A$1504,"&lt;="&amp;G$8))</f>
        <v>0</v>
      </c>
      <c r="H91" s="89">
        <f>IF($A91="","",COUNTIFS('DAILY TASK TRACKER'!$C$5:$C$1504,$A91,'DAILY TASK TRACKER'!$M$5:$M$1504,"Completed",'DAILY TASK TRACKER'!$A$5:$A$1504,"&gt;="&amp;H$7,'DAILY TASK TRACKER'!$A$5:$A$1504,"&lt;="&amp;H$8))</f>
        <v>0</v>
      </c>
      <c r="I91" s="89">
        <f>IF($A91="","",COUNTIFS('DAILY TASK TRACKER'!$C$5:$C$1504,$A91,'DAILY TASK TRACKER'!$M$5:$M$1504,"Completed",'DAILY TASK TRACKER'!$A$5:$A$1504,"&gt;="&amp;I$7,'DAILY TASK TRACKER'!$A$5:$A$1504,"&lt;="&amp;I$8))</f>
        <v>0</v>
      </c>
      <c r="J91" s="89">
        <f>IF($A91="","",COUNTIFS('DAILY TASK TRACKER'!$C$5:$C$1504,$A91,'DAILY TASK TRACKER'!$M$5:$M$1504,"Completed",'DAILY TASK TRACKER'!$A$5:$A$1504,"&gt;="&amp;J$7,'DAILY TASK TRACKER'!$A$5:$A$1504,"&lt;="&amp;J$8))</f>
        <v>0</v>
      </c>
      <c r="K91" s="89">
        <f>IF($A91="","",COUNTIFS('DAILY TASK TRACKER'!$C$5:$C$1504,$A91,'DAILY TASK TRACKER'!$M$5:$M$1504,"Completed",'DAILY TASK TRACKER'!$A$5:$A$1504,"&gt;="&amp;K$7,'DAILY TASK TRACKER'!$A$5:$A$1504,"&lt;="&amp;K$8))</f>
        <v>0</v>
      </c>
      <c r="L91" s="89">
        <f>IF($A91="","",COUNTIFS('DAILY TASK TRACKER'!$C$5:$C$1504,$A91,'DAILY TASK TRACKER'!$M$5:$M$1504,"Completed",'DAILY TASK TRACKER'!$A$5:$A$1504,"&gt;="&amp;L$7,'DAILY TASK TRACKER'!$A$5:$A$1504,"&lt;="&amp;L$8))</f>
        <v>0</v>
      </c>
      <c r="M91" s="89">
        <f>IF($A91="","",COUNTIFS('DAILY TASK TRACKER'!$C$5:$C$1504,$A91,'DAILY TASK TRACKER'!$M$5:$M$1504,"Completed",'DAILY TASK TRACKER'!$A$5:$A$1504,"&gt;="&amp;M$7,'DAILY TASK TRACKER'!$A$5:$A$1504,"&lt;="&amp;M$8))</f>
        <v>0</v>
      </c>
    </row>
    <row r="92">
      <c r="A92" s="117" t="str">
        <f>IF('CLIENT MASTER'!A13="","",'CLIENT MASTER'!A13)</f>
        <v>Salesforce</v>
      </c>
      <c r="B92" s="89">
        <f>IF($A92="","",COUNTIFS('DAILY TASK TRACKER'!$C$5:$C$1504,$A92,'DAILY TASK TRACKER'!$M$5:$M$1504,"Completed",'DAILY TASK TRACKER'!$A$5:$A$1504,"&gt;="&amp;B$7,'DAILY TASK TRACKER'!$A$5:$A$1504,"&lt;="&amp;B$8))</f>
        <v>0</v>
      </c>
      <c r="C92" s="89">
        <f>IF($A92="","",COUNTIFS('DAILY TASK TRACKER'!$C$5:$C$1504,$A92,'DAILY TASK TRACKER'!$M$5:$M$1504,"Completed",'DAILY TASK TRACKER'!$A$5:$A$1504,"&gt;="&amp;C$7,'DAILY TASK TRACKER'!$A$5:$A$1504,"&lt;="&amp;C$8))</f>
        <v>0</v>
      </c>
      <c r="D92" s="89">
        <f>IF($A92="","",COUNTIFS('DAILY TASK TRACKER'!$C$5:$C$1504,$A92,'DAILY TASK TRACKER'!$M$5:$M$1504,"Completed",'DAILY TASK TRACKER'!$A$5:$A$1504,"&gt;="&amp;D$7,'DAILY TASK TRACKER'!$A$5:$A$1504,"&lt;="&amp;D$8))</f>
        <v>0</v>
      </c>
      <c r="E92" s="89">
        <f>IF($A92="","",COUNTIFS('DAILY TASK TRACKER'!$C$5:$C$1504,$A92,'DAILY TASK TRACKER'!$M$5:$M$1504,"Completed",'DAILY TASK TRACKER'!$A$5:$A$1504,"&gt;="&amp;E$7,'DAILY TASK TRACKER'!$A$5:$A$1504,"&lt;="&amp;E$8))</f>
        <v>0</v>
      </c>
      <c r="F92" s="89">
        <f>IF($A92="","",COUNTIFS('DAILY TASK TRACKER'!$C$5:$C$1504,$A92,'DAILY TASK TRACKER'!$M$5:$M$1504,"Completed",'DAILY TASK TRACKER'!$A$5:$A$1504,"&gt;="&amp;F$7,'DAILY TASK TRACKER'!$A$5:$A$1504,"&lt;="&amp;F$8))</f>
        <v>0</v>
      </c>
      <c r="G92" s="89">
        <f>IF($A92="","",COUNTIFS('DAILY TASK TRACKER'!$C$5:$C$1504,$A92,'DAILY TASK TRACKER'!$M$5:$M$1504,"Completed",'DAILY TASK TRACKER'!$A$5:$A$1504,"&gt;="&amp;G$7,'DAILY TASK TRACKER'!$A$5:$A$1504,"&lt;="&amp;G$8))</f>
        <v>0</v>
      </c>
      <c r="H92" s="89">
        <f>IF($A92="","",COUNTIFS('DAILY TASK TRACKER'!$C$5:$C$1504,$A92,'DAILY TASK TRACKER'!$M$5:$M$1504,"Completed",'DAILY TASK TRACKER'!$A$5:$A$1504,"&gt;="&amp;H$7,'DAILY TASK TRACKER'!$A$5:$A$1504,"&lt;="&amp;H$8))</f>
        <v>0</v>
      </c>
      <c r="I92" s="89">
        <f>IF($A92="","",COUNTIFS('DAILY TASK TRACKER'!$C$5:$C$1504,$A92,'DAILY TASK TRACKER'!$M$5:$M$1504,"Completed",'DAILY TASK TRACKER'!$A$5:$A$1504,"&gt;="&amp;I$7,'DAILY TASK TRACKER'!$A$5:$A$1504,"&lt;="&amp;I$8))</f>
        <v>0</v>
      </c>
      <c r="J92" s="89">
        <f>IF($A92="","",COUNTIFS('DAILY TASK TRACKER'!$C$5:$C$1504,$A92,'DAILY TASK TRACKER'!$M$5:$M$1504,"Completed",'DAILY TASK TRACKER'!$A$5:$A$1504,"&gt;="&amp;J$7,'DAILY TASK TRACKER'!$A$5:$A$1504,"&lt;="&amp;J$8))</f>
        <v>0</v>
      </c>
      <c r="K92" s="89">
        <f>IF($A92="","",COUNTIFS('DAILY TASK TRACKER'!$C$5:$C$1504,$A92,'DAILY TASK TRACKER'!$M$5:$M$1504,"Completed",'DAILY TASK TRACKER'!$A$5:$A$1504,"&gt;="&amp;K$7,'DAILY TASK TRACKER'!$A$5:$A$1504,"&lt;="&amp;K$8))</f>
        <v>0</v>
      </c>
      <c r="L92" s="89">
        <f>IF($A92="","",COUNTIFS('DAILY TASK TRACKER'!$C$5:$C$1504,$A92,'DAILY TASK TRACKER'!$M$5:$M$1504,"Completed",'DAILY TASK TRACKER'!$A$5:$A$1504,"&gt;="&amp;L$7,'DAILY TASK TRACKER'!$A$5:$A$1504,"&lt;="&amp;L$8))</f>
        <v>0</v>
      </c>
      <c r="M92" s="89">
        <f>IF($A92="","",COUNTIFS('DAILY TASK TRACKER'!$C$5:$C$1504,$A92,'DAILY TASK TRACKER'!$M$5:$M$1504,"Completed",'DAILY TASK TRACKER'!$A$5:$A$1504,"&gt;="&amp;M$7,'DAILY TASK TRACKER'!$A$5:$A$1504,"&lt;="&amp;M$8))</f>
        <v>0</v>
      </c>
    </row>
    <row r="93">
      <c r="A93" s="117" t="str">
        <f>IF('CLIENT MASTER'!A14="","",'CLIENT MASTER'!A14)</f>
        <v>Ruckus Networks</v>
      </c>
      <c r="B93" s="89">
        <f>IF($A93="","",COUNTIFS('DAILY TASK TRACKER'!$C$5:$C$1504,$A93,'DAILY TASK TRACKER'!$M$5:$M$1504,"Completed",'DAILY TASK TRACKER'!$A$5:$A$1504,"&gt;="&amp;B$7,'DAILY TASK TRACKER'!$A$5:$A$1504,"&lt;="&amp;B$8))</f>
        <v>0</v>
      </c>
      <c r="C93" s="89">
        <f>IF($A93="","",COUNTIFS('DAILY TASK TRACKER'!$C$5:$C$1504,$A93,'DAILY TASK TRACKER'!$M$5:$M$1504,"Completed",'DAILY TASK TRACKER'!$A$5:$A$1504,"&gt;="&amp;C$7,'DAILY TASK TRACKER'!$A$5:$A$1504,"&lt;="&amp;C$8))</f>
        <v>0</v>
      </c>
      <c r="D93" s="89">
        <f>IF($A93="","",COUNTIFS('DAILY TASK TRACKER'!$C$5:$C$1504,$A93,'DAILY TASK TRACKER'!$M$5:$M$1504,"Completed",'DAILY TASK TRACKER'!$A$5:$A$1504,"&gt;="&amp;D$7,'DAILY TASK TRACKER'!$A$5:$A$1504,"&lt;="&amp;D$8))</f>
        <v>0</v>
      </c>
      <c r="E93" s="89">
        <f>IF($A93="","",COUNTIFS('DAILY TASK TRACKER'!$C$5:$C$1504,$A93,'DAILY TASK TRACKER'!$M$5:$M$1504,"Completed",'DAILY TASK TRACKER'!$A$5:$A$1504,"&gt;="&amp;E$7,'DAILY TASK TRACKER'!$A$5:$A$1504,"&lt;="&amp;E$8))</f>
        <v>0</v>
      </c>
      <c r="F93" s="89">
        <f>IF($A93="","",COUNTIFS('DAILY TASK TRACKER'!$C$5:$C$1504,$A93,'DAILY TASK TRACKER'!$M$5:$M$1504,"Completed",'DAILY TASK TRACKER'!$A$5:$A$1504,"&gt;="&amp;F$7,'DAILY TASK TRACKER'!$A$5:$A$1504,"&lt;="&amp;F$8))</f>
        <v>0</v>
      </c>
      <c r="G93" s="89">
        <f>IF($A93="","",COUNTIFS('DAILY TASK TRACKER'!$C$5:$C$1504,$A93,'DAILY TASK TRACKER'!$M$5:$M$1504,"Completed",'DAILY TASK TRACKER'!$A$5:$A$1504,"&gt;="&amp;G$7,'DAILY TASK TRACKER'!$A$5:$A$1504,"&lt;="&amp;G$8))</f>
        <v>0</v>
      </c>
      <c r="H93" s="89">
        <f>IF($A93="","",COUNTIFS('DAILY TASK TRACKER'!$C$5:$C$1504,$A93,'DAILY TASK TRACKER'!$M$5:$M$1504,"Completed",'DAILY TASK TRACKER'!$A$5:$A$1504,"&gt;="&amp;H$7,'DAILY TASK TRACKER'!$A$5:$A$1504,"&lt;="&amp;H$8))</f>
        <v>0</v>
      </c>
      <c r="I93" s="89">
        <f>IF($A93="","",COUNTIFS('DAILY TASK TRACKER'!$C$5:$C$1504,$A93,'DAILY TASK TRACKER'!$M$5:$M$1504,"Completed",'DAILY TASK TRACKER'!$A$5:$A$1504,"&gt;="&amp;I$7,'DAILY TASK TRACKER'!$A$5:$A$1504,"&lt;="&amp;I$8))</f>
        <v>0</v>
      </c>
      <c r="J93" s="89">
        <f>IF($A93="","",COUNTIFS('DAILY TASK TRACKER'!$C$5:$C$1504,$A93,'DAILY TASK TRACKER'!$M$5:$M$1504,"Completed",'DAILY TASK TRACKER'!$A$5:$A$1504,"&gt;="&amp;J$7,'DAILY TASK TRACKER'!$A$5:$A$1504,"&lt;="&amp;J$8))</f>
        <v>0</v>
      </c>
      <c r="K93" s="89">
        <f>IF($A93="","",COUNTIFS('DAILY TASK TRACKER'!$C$5:$C$1504,$A93,'DAILY TASK TRACKER'!$M$5:$M$1504,"Completed",'DAILY TASK TRACKER'!$A$5:$A$1504,"&gt;="&amp;K$7,'DAILY TASK TRACKER'!$A$5:$A$1504,"&lt;="&amp;K$8))</f>
        <v>0</v>
      </c>
      <c r="L93" s="89">
        <f>IF($A93="","",COUNTIFS('DAILY TASK TRACKER'!$C$5:$C$1504,$A93,'DAILY TASK TRACKER'!$M$5:$M$1504,"Completed",'DAILY TASK TRACKER'!$A$5:$A$1504,"&gt;="&amp;L$7,'DAILY TASK TRACKER'!$A$5:$A$1504,"&lt;="&amp;L$8))</f>
        <v>0</v>
      </c>
      <c r="M93" s="89">
        <f>IF($A93="","",COUNTIFS('DAILY TASK TRACKER'!$C$5:$C$1504,$A93,'DAILY TASK TRACKER'!$M$5:$M$1504,"Completed",'DAILY TASK TRACKER'!$A$5:$A$1504,"&gt;="&amp;M$7,'DAILY TASK TRACKER'!$A$5:$A$1504,"&lt;="&amp;M$8))</f>
        <v>0</v>
      </c>
    </row>
    <row r="94">
      <c r="A94" s="117" t="str">
        <f>IF('CLIENT MASTER'!A15="","",'CLIENT MASTER'!A15)</f>
        <v>Google Chrome Enterprise</v>
      </c>
      <c r="B94" s="89">
        <f>IF($A94="","",COUNTIFS('DAILY TASK TRACKER'!$C$5:$C$1504,$A94,'DAILY TASK TRACKER'!$M$5:$M$1504,"Completed",'DAILY TASK TRACKER'!$A$5:$A$1504,"&gt;="&amp;B$7,'DAILY TASK TRACKER'!$A$5:$A$1504,"&lt;="&amp;B$8))</f>
        <v>0</v>
      </c>
      <c r="C94" s="89">
        <f>IF($A94="","",COUNTIFS('DAILY TASK TRACKER'!$C$5:$C$1504,$A94,'DAILY TASK TRACKER'!$M$5:$M$1504,"Completed",'DAILY TASK TRACKER'!$A$5:$A$1504,"&gt;="&amp;C$7,'DAILY TASK TRACKER'!$A$5:$A$1504,"&lt;="&amp;C$8))</f>
        <v>0</v>
      </c>
      <c r="D94" s="89">
        <f>IF($A94="","",COUNTIFS('DAILY TASK TRACKER'!$C$5:$C$1504,$A94,'DAILY TASK TRACKER'!$M$5:$M$1504,"Completed",'DAILY TASK TRACKER'!$A$5:$A$1504,"&gt;="&amp;D$7,'DAILY TASK TRACKER'!$A$5:$A$1504,"&lt;="&amp;D$8))</f>
        <v>0</v>
      </c>
      <c r="E94" s="89">
        <f>IF($A94="","",COUNTIFS('DAILY TASK TRACKER'!$C$5:$C$1504,$A94,'DAILY TASK TRACKER'!$M$5:$M$1504,"Completed",'DAILY TASK TRACKER'!$A$5:$A$1504,"&gt;="&amp;E$7,'DAILY TASK TRACKER'!$A$5:$A$1504,"&lt;="&amp;E$8))</f>
        <v>0</v>
      </c>
      <c r="F94" s="89">
        <f>IF($A94="","",COUNTIFS('DAILY TASK TRACKER'!$C$5:$C$1504,$A94,'DAILY TASK TRACKER'!$M$5:$M$1504,"Completed",'DAILY TASK TRACKER'!$A$5:$A$1504,"&gt;="&amp;F$7,'DAILY TASK TRACKER'!$A$5:$A$1504,"&lt;="&amp;F$8))</f>
        <v>0</v>
      </c>
      <c r="G94" s="89">
        <f>IF($A94="","",COUNTIFS('DAILY TASK TRACKER'!$C$5:$C$1504,$A94,'DAILY TASK TRACKER'!$M$5:$M$1504,"Completed",'DAILY TASK TRACKER'!$A$5:$A$1504,"&gt;="&amp;G$7,'DAILY TASK TRACKER'!$A$5:$A$1504,"&lt;="&amp;G$8))</f>
        <v>0</v>
      </c>
      <c r="H94" s="89">
        <f>IF($A94="","",COUNTIFS('DAILY TASK TRACKER'!$C$5:$C$1504,$A94,'DAILY TASK TRACKER'!$M$5:$M$1504,"Completed",'DAILY TASK TRACKER'!$A$5:$A$1504,"&gt;="&amp;H$7,'DAILY TASK TRACKER'!$A$5:$A$1504,"&lt;="&amp;H$8))</f>
        <v>0</v>
      </c>
      <c r="I94" s="89">
        <f>IF($A94="","",COUNTIFS('DAILY TASK TRACKER'!$C$5:$C$1504,$A94,'DAILY TASK TRACKER'!$M$5:$M$1504,"Completed",'DAILY TASK TRACKER'!$A$5:$A$1504,"&gt;="&amp;I$7,'DAILY TASK TRACKER'!$A$5:$A$1504,"&lt;="&amp;I$8))</f>
        <v>0</v>
      </c>
      <c r="J94" s="89">
        <f>IF($A94="","",COUNTIFS('DAILY TASK TRACKER'!$C$5:$C$1504,$A94,'DAILY TASK TRACKER'!$M$5:$M$1504,"Completed",'DAILY TASK TRACKER'!$A$5:$A$1504,"&gt;="&amp;J$7,'DAILY TASK TRACKER'!$A$5:$A$1504,"&lt;="&amp;J$8))</f>
        <v>0</v>
      </c>
      <c r="K94" s="89">
        <f>IF($A94="","",COUNTIFS('DAILY TASK TRACKER'!$C$5:$C$1504,$A94,'DAILY TASK TRACKER'!$M$5:$M$1504,"Completed",'DAILY TASK TRACKER'!$A$5:$A$1504,"&gt;="&amp;K$7,'DAILY TASK TRACKER'!$A$5:$A$1504,"&lt;="&amp;K$8))</f>
        <v>0</v>
      </c>
      <c r="L94" s="89">
        <f>IF($A94="","",COUNTIFS('DAILY TASK TRACKER'!$C$5:$C$1504,$A94,'DAILY TASK TRACKER'!$M$5:$M$1504,"Completed",'DAILY TASK TRACKER'!$A$5:$A$1504,"&gt;="&amp;L$7,'DAILY TASK TRACKER'!$A$5:$A$1504,"&lt;="&amp;L$8))</f>
        <v>0</v>
      </c>
      <c r="M94" s="89">
        <f>IF($A94="","",COUNTIFS('DAILY TASK TRACKER'!$C$5:$C$1504,$A94,'DAILY TASK TRACKER'!$M$5:$M$1504,"Completed",'DAILY TASK TRACKER'!$A$5:$A$1504,"&gt;="&amp;M$7,'DAILY TASK TRACKER'!$A$5:$A$1504,"&lt;="&amp;M$8))</f>
        <v>0</v>
      </c>
    </row>
    <row r="95">
      <c r="A95" s="117" t="str">
        <f>IF('CLIENT MASTER'!A16="","",'CLIENT MASTER'!A16)</f>
        <v>Equinix</v>
      </c>
      <c r="B95" s="89">
        <f>IF($A95="","",COUNTIFS('DAILY TASK TRACKER'!$C$5:$C$1504,$A95,'DAILY TASK TRACKER'!$M$5:$M$1504,"Completed",'DAILY TASK TRACKER'!$A$5:$A$1504,"&gt;="&amp;B$7,'DAILY TASK TRACKER'!$A$5:$A$1504,"&lt;="&amp;B$8))</f>
        <v>0</v>
      </c>
      <c r="C95" s="89">
        <f>IF($A95="","",COUNTIFS('DAILY TASK TRACKER'!$C$5:$C$1504,$A95,'DAILY TASK TRACKER'!$M$5:$M$1504,"Completed",'DAILY TASK TRACKER'!$A$5:$A$1504,"&gt;="&amp;C$7,'DAILY TASK TRACKER'!$A$5:$A$1504,"&lt;="&amp;C$8))</f>
        <v>0</v>
      </c>
      <c r="D95" s="89">
        <f>IF($A95="","",COUNTIFS('DAILY TASK TRACKER'!$C$5:$C$1504,$A95,'DAILY TASK TRACKER'!$M$5:$M$1504,"Completed",'DAILY TASK TRACKER'!$A$5:$A$1504,"&gt;="&amp;D$7,'DAILY TASK TRACKER'!$A$5:$A$1504,"&lt;="&amp;D$8))</f>
        <v>0</v>
      </c>
      <c r="E95" s="89">
        <f>IF($A95="","",COUNTIFS('DAILY TASK TRACKER'!$C$5:$C$1504,$A95,'DAILY TASK TRACKER'!$M$5:$M$1504,"Completed",'DAILY TASK TRACKER'!$A$5:$A$1504,"&gt;="&amp;E$7,'DAILY TASK TRACKER'!$A$5:$A$1504,"&lt;="&amp;E$8))</f>
        <v>0</v>
      </c>
      <c r="F95" s="89">
        <f>IF($A95="","",COUNTIFS('DAILY TASK TRACKER'!$C$5:$C$1504,$A95,'DAILY TASK TRACKER'!$M$5:$M$1504,"Completed",'DAILY TASK TRACKER'!$A$5:$A$1504,"&gt;="&amp;F$7,'DAILY TASK TRACKER'!$A$5:$A$1504,"&lt;="&amp;F$8))</f>
        <v>0</v>
      </c>
      <c r="G95" s="89">
        <f>IF($A95="","",COUNTIFS('DAILY TASK TRACKER'!$C$5:$C$1504,$A95,'DAILY TASK TRACKER'!$M$5:$M$1504,"Completed",'DAILY TASK TRACKER'!$A$5:$A$1504,"&gt;="&amp;G$7,'DAILY TASK TRACKER'!$A$5:$A$1504,"&lt;="&amp;G$8))</f>
        <v>0</v>
      </c>
      <c r="H95" s="89">
        <f>IF($A95="","",COUNTIFS('DAILY TASK TRACKER'!$C$5:$C$1504,$A95,'DAILY TASK TRACKER'!$M$5:$M$1504,"Completed",'DAILY TASK TRACKER'!$A$5:$A$1504,"&gt;="&amp;H$7,'DAILY TASK TRACKER'!$A$5:$A$1504,"&lt;="&amp;H$8))</f>
        <v>0</v>
      </c>
      <c r="I95" s="89">
        <f>IF($A95="","",COUNTIFS('DAILY TASK TRACKER'!$C$5:$C$1504,$A95,'DAILY TASK TRACKER'!$M$5:$M$1504,"Completed",'DAILY TASK TRACKER'!$A$5:$A$1504,"&gt;="&amp;I$7,'DAILY TASK TRACKER'!$A$5:$A$1504,"&lt;="&amp;I$8))</f>
        <v>0</v>
      </c>
      <c r="J95" s="89">
        <f>IF($A95="","",COUNTIFS('DAILY TASK TRACKER'!$C$5:$C$1504,$A95,'DAILY TASK TRACKER'!$M$5:$M$1504,"Completed",'DAILY TASK TRACKER'!$A$5:$A$1504,"&gt;="&amp;J$7,'DAILY TASK TRACKER'!$A$5:$A$1504,"&lt;="&amp;J$8))</f>
        <v>0</v>
      </c>
      <c r="K95" s="89">
        <f>IF($A95="","",COUNTIFS('DAILY TASK TRACKER'!$C$5:$C$1504,$A95,'DAILY TASK TRACKER'!$M$5:$M$1504,"Completed",'DAILY TASK TRACKER'!$A$5:$A$1504,"&gt;="&amp;K$7,'DAILY TASK TRACKER'!$A$5:$A$1504,"&lt;="&amp;K$8))</f>
        <v>0</v>
      </c>
      <c r="L95" s="89">
        <f>IF($A95="","",COUNTIFS('DAILY TASK TRACKER'!$C$5:$C$1504,$A95,'DAILY TASK TRACKER'!$M$5:$M$1504,"Completed",'DAILY TASK TRACKER'!$A$5:$A$1504,"&gt;="&amp;L$7,'DAILY TASK TRACKER'!$A$5:$A$1504,"&lt;="&amp;L$8))</f>
        <v>0</v>
      </c>
      <c r="M95" s="89">
        <f>IF($A95="","",COUNTIFS('DAILY TASK TRACKER'!$C$5:$C$1504,$A95,'DAILY TASK TRACKER'!$M$5:$M$1504,"Completed",'DAILY TASK TRACKER'!$A$5:$A$1504,"&gt;="&amp;M$7,'DAILY TASK TRACKER'!$A$5:$A$1504,"&lt;="&amp;M$8))</f>
        <v>0</v>
      </c>
    </row>
    <row r="96">
      <c r="A96" s="117" t="str">
        <f>IF('CLIENT MASTER'!A17="","",'CLIENT MASTER'!A17)</f>
        <v>Sonalika Tractors</v>
      </c>
      <c r="B96" s="89">
        <f>IF($A96="","",COUNTIFS('DAILY TASK TRACKER'!$C$5:$C$1504,$A96,'DAILY TASK TRACKER'!$M$5:$M$1504,"Completed",'DAILY TASK TRACKER'!$A$5:$A$1504,"&gt;="&amp;B$7,'DAILY TASK TRACKER'!$A$5:$A$1504,"&lt;="&amp;B$8))</f>
        <v>0</v>
      </c>
      <c r="C96" s="89">
        <f>IF($A96="","",COUNTIFS('DAILY TASK TRACKER'!$C$5:$C$1504,$A96,'DAILY TASK TRACKER'!$M$5:$M$1504,"Completed",'DAILY TASK TRACKER'!$A$5:$A$1504,"&gt;="&amp;C$7,'DAILY TASK TRACKER'!$A$5:$A$1504,"&lt;="&amp;C$8))</f>
        <v>0</v>
      </c>
      <c r="D96" s="89">
        <f>IF($A96="","",COUNTIFS('DAILY TASK TRACKER'!$C$5:$C$1504,$A96,'DAILY TASK TRACKER'!$M$5:$M$1504,"Completed",'DAILY TASK TRACKER'!$A$5:$A$1504,"&gt;="&amp;D$7,'DAILY TASK TRACKER'!$A$5:$A$1504,"&lt;="&amp;D$8))</f>
        <v>0</v>
      </c>
      <c r="E96" s="89">
        <f>IF($A96="","",COUNTIFS('DAILY TASK TRACKER'!$C$5:$C$1504,$A96,'DAILY TASK TRACKER'!$M$5:$M$1504,"Completed",'DAILY TASK TRACKER'!$A$5:$A$1504,"&gt;="&amp;E$7,'DAILY TASK TRACKER'!$A$5:$A$1504,"&lt;="&amp;E$8))</f>
        <v>0</v>
      </c>
      <c r="F96" s="89">
        <f>IF($A96="","",COUNTIFS('DAILY TASK TRACKER'!$C$5:$C$1504,$A96,'DAILY TASK TRACKER'!$M$5:$M$1504,"Completed",'DAILY TASK TRACKER'!$A$5:$A$1504,"&gt;="&amp;F$7,'DAILY TASK TRACKER'!$A$5:$A$1504,"&lt;="&amp;F$8))</f>
        <v>0</v>
      </c>
      <c r="G96" s="89">
        <f>IF($A96="","",COUNTIFS('DAILY TASK TRACKER'!$C$5:$C$1504,$A96,'DAILY TASK TRACKER'!$M$5:$M$1504,"Completed",'DAILY TASK TRACKER'!$A$5:$A$1504,"&gt;="&amp;G$7,'DAILY TASK TRACKER'!$A$5:$A$1504,"&lt;="&amp;G$8))</f>
        <v>0</v>
      </c>
      <c r="H96" s="89">
        <f>IF($A96="","",COUNTIFS('DAILY TASK TRACKER'!$C$5:$C$1504,$A96,'DAILY TASK TRACKER'!$M$5:$M$1504,"Completed",'DAILY TASK TRACKER'!$A$5:$A$1504,"&gt;="&amp;H$7,'DAILY TASK TRACKER'!$A$5:$A$1504,"&lt;="&amp;H$8))</f>
        <v>0</v>
      </c>
      <c r="I96" s="89">
        <f>IF($A96="","",COUNTIFS('DAILY TASK TRACKER'!$C$5:$C$1504,$A96,'DAILY TASK TRACKER'!$M$5:$M$1504,"Completed",'DAILY TASK TRACKER'!$A$5:$A$1504,"&gt;="&amp;I$7,'DAILY TASK TRACKER'!$A$5:$A$1504,"&lt;="&amp;I$8))</f>
        <v>0</v>
      </c>
      <c r="J96" s="89">
        <f>IF($A96="","",COUNTIFS('DAILY TASK TRACKER'!$C$5:$C$1504,$A96,'DAILY TASK TRACKER'!$M$5:$M$1504,"Completed",'DAILY TASK TRACKER'!$A$5:$A$1504,"&gt;="&amp;J$7,'DAILY TASK TRACKER'!$A$5:$A$1504,"&lt;="&amp;J$8))</f>
        <v>0</v>
      </c>
      <c r="K96" s="89">
        <f>IF($A96="","",COUNTIFS('DAILY TASK TRACKER'!$C$5:$C$1504,$A96,'DAILY TASK TRACKER'!$M$5:$M$1504,"Completed",'DAILY TASK TRACKER'!$A$5:$A$1504,"&gt;="&amp;K$7,'DAILY TASK TRACKER'!$A$5:$A$1504,"&lt;="&amp;K$8))</f>
        <v>0</v>
      </c>
      <c r="L96" s="89">
        <f>IF($A96="","",COUNTIFS('DAILY TASK TRACKER'!$C$5:$C$1504,$A96,'DAILY TASK TRACKER'!$M$5:$M$1504,"Completed",'DAILY TASK TRACKER'!$A$5:$A$1504,"&gt;="&amp;L$7,'DAILY TASK TRACKER'!$A$5:$A$1504,"&lt;="&amp;L$8))</f>
        <v>0</v>
      </c>
      <c r="M96" s="89">
        <f>IF($A96="","",COUNTIFS('DAILY TASK TRACKER'!$C$5:$C$1504,$A96,'DAILY TASK TRACKER'!$M$5:$M$1504,"Completed",'DAILY TASK TRACKER'!$A$5:$A$1504,"&gt;="&amp;M$7,'DAILY TASK TRACKER'!$A$5:$A$1504,"&lt;="&amp;M$8))</f>
        <v>0</v>
      </c>
    </row>
    <row r="97">
      <c r="A97" s="117" t="str">
        <f>IF('CLIENT MASTER'!A18="","",'CLIENT MASTER'!A18)</f>
        <v>AMEX</v>
      </c>
      <c r="B97" s="89">
        <f>IF($A97="","",COUNTIFS('DAILY TASK TRACKER'!$C$5:$C$1504,$A97,'DAILY TASK TRACKER'!$M$5:$M$1504,"Completed",'DAILY TASK TRACKER'!$A$5:$A$1504,"&gt;="&amp;B$7,'DAILY TASK TRACKER'!$A$5:$A$1504,"&lt;="&amp;B$8))</f>
        <v>0</v>
      </c>
      <c r="C97" s="89">
        <f>IF($A97="","",COUNTIFS('DAILY TASK TRACKER'!$C$5:$C$1504,$A97,'DAILY TASK TRACKER'!$M$5:$M$1504,"Completed",'DAILY TASK TRACKER'!$A$5:$A$1504,"&gt;="&amp;C$7,'DAILY TASK TRACKER'!$A$5:$A$1504,"&lt;="&amp;C$8))</f>
        <v>0</v>
      </c>
      <c r="D97" s="89">
        <f>IF($A97="","",COUNTIFS('DAILY TASK TRACKER'!$C$5:$C$1504,$A97,'DAILY TASK TRACKER'!$M$5:$M$1504,"Completed",'DAILY TASK TRACKER'!$A$5:$A$1504,"&gt;="&amp;D$7,'DAILY TASK TRACKER'!$A$5:$A$1504,"&lt;="&amp;D$8))</f>
        <v>0</v>
      </c>
      <c r="E97" s="89">
        <f>IF($A97="","",COUNTIFS('DAILY TASK TRACKER'!$C$5:$C$1504,$A97,'DAILY TASK TRACKER'!$M$5:$M$1504,"Completed",'DAILY TASK TRACKER'!$A$5:$A$1504,"&gt;="&amp;E$7,'DAILY TASK TRACKER'!$A$5:$A$1504,"&lt;="&amp;E$8))</f>
        <v>0</v>
      </c>
      <c r="F97" s="89">
        <f>IF($A97="","",COUNTIFS('DAILY TASK TRACKER'!$C$5:$C$1504,$A97,'DAILY TASK TRACKER'!$M$5:$M$1504,"Completed",'DAILY TASK TRACKER'!$A$5:$A$1504,"&gt;="&amp;F$7,'DAILY TASK TRACKER'!$A$5:$A$1504,"&lt;="&amp;F$8))</f>
        <v>0</v>
      </c>
      <c r="G97" s="89">
        <f>IF($A97="","",COUNTIFS('DAILY TASK TRACKER'!$C$5:$C$1504,$A97,'DAILY TASK TRACKER'!$M$5:$M$1504,"Completed",'DAILY TASK TRACKER'!$A$5:$A$1504,"&gt;="&amp;G$7,'DAILY TASK TRACKER'!$A$5:$A$1504,"&lt;="&amp;G$8))</f>
        <v>0</v>
      </c>
      <c r="H97" s="89">
        <f>IF($A97="","",COUNTIFS('DAILY TASK TRACKER'!$C$5:$C$1504,$A97,'DAILY TASK TRACKER'!$M$5:$M$1504,"Completed",'DAILY TASK TRACKER'!$A$5:$A$1504,"&gt;="&amp;H$7,'DAILY TASK TRACKER'!$A$5:$A$1504,"&lt;="&amp;H$8))</f>
        <v>0</v>
      </c>
      <c r="I97" s="89">
        <f>IF($A97="","",COUNTIFS('DAILY TASK TRACKER'!$C$5:$C$1504,$A97,'DAILY TASK TRACKER'!$M$5:$M$1504,"Completed",'DAILY TASK TRACKER'!$A$5:$A$1504,"&gt;="&amp;I$7,'DAILY TASK TRACKER'!$A$5:$A$1504,"&lt;="&amp;I$8))</f>
        <v>0</v>
      </c>
      <c r="J97" s="89">
        <f>IF($A97="","",COUNTIFS('DAILY TASK TRACKER'!$C$5:$C$1504,$A97,'DAILY TASK TRACKER'!$M$5:$M$1504,"Completed",'DAILY TASK TRACKER'!$A$5:$A$1504,"&gt;="&amp;J$7,'DAILY TASK TRACKER'!$A$5:$A$1504,"&lt;="&amp;J$8))</f>
        <v>0</v>
      </c>
      <c r="K97" s="89">
        <f>IF($A97="","",COUNTIFS('DAILY TASK TRACKER'!$C$5:$C$1504,$A97,'DAILY TASK TRACKER'!$M$5:$M$1504,"Completed",'DAILY TASK TRACKER'!$A$5:$A$1504,"&gt;="&amp;K$7,'DAILY TASK TRACKER'!$A$5:$A$1504,"&lt;="&amp;K$8))</f>
        <v>0</v>
      </c>
      <c r="L97" s="89">
        <f>IF($A97="","",COUNTIFS('DAILY TASK TRACKER'!$C$5:$C$1504,$A97,'DAILY TASK TRACKER'!$M$5:$M$1504,"Completed",'DAILY TASK TRACKER'!$A$5:$A$1504,"&gt;="&amp;L$7,'DAILY TASK TRACKER'!$A$5:$A$1504,"&lt;="&amp;L$8))</f>
        <v>0</v>
      </c>
      <c r="M97" s="89">
        <f>IF($A97="","",COUNTIFS('DAILY TASK TRACKER'!$C$5:$C$1504,$A97,'DAILY TASK TRACKER'!$M$5:$M$1504,"Completed",'DAILY TASK TRACKER'!$A$5:$A$1504,"&gt;="&amp;M$7,'DAILY TASK TRACKER'!$A$5:$A$1504,"&lt;="&amp;M$8))</f>
        <v>0</v>
      </c>
    </row>
    <row r="98">
      <c r="A98" s="117" t="str">
        <f>IF('CLIENT MASTER'!A19="","",'CLIENT MASTER'!A19)</f>
        <v>Marg Business Transformation</v>
      </c>
      <c r="B98" s="89">
        <f>IF($A98="","",COUNTIFS('DAILY TASK TRACKER'!$C$5:$C$1504,$A98,'DAILY TASK TRACKER'!$M$5:$M$1504,"Completed",'DAILY TASK TRACKER'!$A$5:$A$1504,"&gt;="&amp;B$7,'DAILY TASK TRACKER'!$A$5:$A$1504,"&lt;="&amp;B$8))</f>
        <v>0</v>
      </c>
      <c r="C98" s="89">
        <f>IF($A98="","",COUNTIFS('DAILY TASK TRACKER'!$C$5:$C$1504,$A98,'DAILY TASK TRACKER'!$M$5:$M$1504,"Completed",'DAILY TASK TRACKER'!$A$5:$A$1504,"&gt;="&amp;C$7,'DAILY TASK TRACKER'!$A$5:$A$1504,"&lt;="&amp;C$8))</f>
        <v>0</v>
      </c>
      <c r="D98" s="89">
        <f>IF($A98="","",COUNTIFS('DAILY TASK TRACKER'!$C$5:$C$1504,$A98,'DAILY TASK TRACKER'!$M$5:$M$1504,"Completed",'DAILY TASK TRACKER'!$A$5:$A$1504,"&gt;="&amp;D$7,'DAILY TASK TRACKER'!$A$5:$A$1504,"&lt;="&amp;D$8))</f>
        <v>0</v>
      </c>
      <c r="E98" s="89">
        <f>IF($A98="","",COUNTIFS('DAILY TASK TRACKER'!$C$5:$C$1504,$A98,'DAILY TASK TRACKER'!$M$5:$M$1504,"Completed",'DAILY TASK TRACKER'!$A$5:$A$1504,"&gt;="&amp;E$7,'DAILY TASK TRACKER'!$A$5:$A$1504,"&lt;="&amp;E$8))</f>
        <v>0</v>
      </c>
      <c r="F98" s="89">
        <f>IF($A98="","",COUNTIFS('DAILY TASK TRACKER'!$C$5:$C$1504,$A98,'DAILY TASK TRACKER'!$M$5:$M$1504,"Completed",'DAILY TASK TRACKER'!$A$5:$A$1504,"&gt;="&amp;F$7,'DAILY TASK TRACKER'!$A$5:$A$1504,"&lt;="&amp;F$8))</f>
        <v>0</v>
      </c>
      <c r="G98" s="89">
        <f>IF($A98="","",COUNTIFS('DAILY TASK TRACKER'!$C$5:$C$1504,$A98,'DAILY TASK TRACKER'!$M$5:$M$1504,"Completed",'DAILY TASK TRACKER'!$A$5:$A$1504,"&gt;="&amp;G$7,'DAILY TASK TRACKER'!$A$5:$A$1504,"&lt;="&amp;G$8))</f>
        <v>0</v>
      </c>
      <c r="H98" s="89">
        <f>IF($A98="","",COUNTIFS('DAILY TASK TRACKER'!$C$5:$C$1504,$A98,'DAILY TASK TRACKER'!$M$5:$M$1504,"Completed",'DAILY TASK TRACKER'!$A$5:$A$1504,"&gt;="&amp;H$7,'DAILY TASK TRACKER'!$A$5:$A$1504,"&lt;="&amp;H$8))</f>
        <v>0</v>
      </c>
      <c r="I98" s="89">
        <f>IF($A98="","",COUNTIFS('DAILY TASK TRACKER'!$C$5:$C$1504,$A98,'DAILY TASK TRACKER'!$M$5:$M$1504,"Completed",'DAILY TASK TRACKER'!$A$5:$A$1504,"&gt;="&amp;I$7,'DAILY TASK TRACKER'!$A$5:$A$1504,"&lt;="&amp;I$8))</f>
        <v>0</v>
      </c>
      <c r="J98" s="89">
        <f>IF($A98="","",COUNTIFS('DAILY TASK TRACKER'!$C$5:$C$1504,$A98,'DAILY TASK TRACKER'!$M$5:$M$1504,"Completed",'DAILY TASK TRACKER'!$A$5:$A$1504,"&gt;="&amp;J$7,'DAILY TASK TRACKER'!$A$5:$A$1504,"&lt;="&amp;J$8))</f>
        <v>0</v>
      </c>
      <c r="K98" s="89">
        <f>IF($A98="","",COUNTIFS('DAILY TASK TRACKER'!$C$5:$C$1504,$A98,'DAILY TASK TRACKER'!$M$5:$M$1504,"Completed",'DAILY TASK TRACKER'!$A$5:$A$1504,"&gt;="&amp;K$7,'DAILY TASK TRACKER'!$A$5:$A$1504,"&lt;="&amp;K$8))</f>
        <v>0</v>
      </c>
      <c r="L98" s="89">
        <f>IF($A98="","",COUNTIFS('DAILY TASK TRACKER'!$C$5:$C$1504,$A98,'DAILY TASK TRACKER'!$M$5:$M$1504,"Completed",'DAILY TASK TRACKER'!$A$5:$A$1504,"&gt;="&amp;L$7,'DAILY TASK TRACKER'!$A$5:$A$1504,"&lt;="&amp;L$8))</f>
        <v>0</v>
      </c>
      <c r="M98" s="89">
        <f>IF($A98="","",COUNTIFS('DAILY TASK TRACKER'!$C$5:$C$1504,$A98,'DAILY TASK TRACKER'!$M$5:$M$1504,"Completed",'DAILY TASK TRACKER'!$A$5:$A$1504,"&gt;="&amp;M$7,'DAILY TASK TRACKER'!$A$5:$A$1504,"&lt;="&amp;M$8))</f>
        <v>0</v>
      </c>
    </row>
    <row r="99">
      <c r="A99" s="118" t="inlineStr">
        <is>
          <t>Total</t>
        </is>
      </c>
      <c r="B99" s="119">
        <f>SUM(B84:B98)</f>
        <v>0</v>
      </c>
      <c r="C99" s="119">
        <f>SUM(C84:C98)</f>
        <v>0</v>
      </c>
      <c r="D99" s="119">
        <f>SUM(D84:D98)</f>
        <v>0</v>
      </c>
      <c r="E99" s="119">
        <f>SUM(E84:E98)</f>
        <v>0</v>
      </c>
      <c r="F99" s="119">
        <f>SUM(F84:F98)</f>
        <v>0</v>
      </c>
      <c r="G99" s="119">
        <f>SUM(G84:G98)</f>
        <v>0</v>
      </c>
      <c r="H99" s="119">
        <f>SUM(H84:H98)</f>
        <v>0</v>
      </c>
      <c r="I99" s="119">
        <f>SUM(I84:I98)</f>
        <v>0</v>
      </c>
      <c r="J99" s="119">
        <f>SUM(J84:J98)</f>
        <v>0</v>
      </c>
      <c r="K99" s="119">
        <f>SUM(K84:K98)</f>
        <v>0</v>
      </c>
      <c r="L99" s="119">
        <f>SUM(L84:L98)</f>
        <v>0</v>
      </c>
      <c r="M99" s="119">
        <f>SUM(M84:M98)</f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4">
    <mergeCell ref="A36:M36"/>
    <mergeCell ref="A24:M24"/>
    <mergeCell ref="A1:M1"/>
    <mergeCell ref="B3:C3"/>
    <mergeCell ref="A4:M4"/>
    <mergeCell ref="A48:M48"/>
    <mergeCell ref="A41:M41"/>
    <mergeCell ref="A29:M29"/>
    <mergeCell ref="A82:M82"/>
    <mergeCell ref="A16:M16"/>
    <mergeCell ref="A2:M2"/>
    <mergeCell ref="A63:M63"/>
    <mergeCell ref="A52:M52"/>
    <mergeCell ref="A10:M10"/>
  </mergeCells>
  <conditionalFormatting sqref="B10:M52">
    <cfRule type="expression" priority="1" dxfId="21">
      <formula>AND(ReportDate&gt;=B$7,ReportDate&lt;=B$8)</formula>
    </cfRule>
  </conditionalFormatting>
  <conditionalFormatting sqref="B65:M79">
    <cfRule type="colorScale" priority="2">
      <colorScale>
        <cfvo type="num" val="1"/>
        <cfvo type="max"/>
        <color rgb="00DDEBF7"/>
        <color rgb="002F5597"/>
      </colorScale>
    </cfRule>
  </conditionalFormatting>
  <conditionalFormatting sqref="B84:M98">
    <cfRule type="colorScale" priority="3">
      <colorScale>
        <cfvo type="num" val="1"/>
        <cfvo type="max"/>
        <color rgb="00DDEBF7"/>
        <color rgb="002F5597"/>
      </colorScale>
    </cfRule>
  </conditionalFormatting>
  <dataValidations count="1">
    <dataValidation sqref="B3" showDropDown="0" showInputMessage="0" showErrorMessage="1" allowBlank="1" errorTitle="Invalid date" error="Enter a valid date, e.g. 05-Oct-2026." type="date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64"/>
  <sheetViews>
    <sheetView showGridLines="0" tabSelected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2" customWidth="1" min="4" max="4"/>
    <col width="30" customWidth="1" min="5" max="5"/>
    <col width="30" customWidth="1" min="6" max="6"/>
    <col width="16" customWidth="1" min="7" max="7"/>
    <col width="34" customWidth="1" min="8" max="8"/>
    <col width="30" customWidth="1" min="9" max="9"/>
    <col width="30" customWidth="1" min="10" max="10"/>
    <col width="50" customWidth="1" min="11" max="11"/>
  </cols>
  <sheetData>
    <row r="1" ht="30" customHeight="1">
      <c r="A1" s="57" t="inlineStr">
        <is>
          <t>CLIENT MASTER - one row per client / account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58" t="inlineStr">
        <is>
          <t>BLUE cells = team enters data   |   GREY cells = automatic formulas (do not edit)   |   Add a new client here FIRST - it then appears in every dropdown. 'Active' clients feed the dashboard. Commercials (retainers, POs, CTC) are intentionally NOT stored in this shared workbook.</t>
        </is>
      </c>
    </row>
    <row r="4" ht="34" customHeight="1">
      <c r="A4" s="60" t="inlineStr">
        <is>
          <t>Client</t>
        </is>
      </c>
      <c r="B4" s="60" t="inlineStr">
        <is>
          <t>Legal / Billing Name</t>
        </is>
      </c>
      <c r="C4" s="60" t="inlineStr">
        <is>
          <t>Account Type</t>
        </is>
      </c>
      <c r="D4" s="60" t="inlineStr">
        <is>
          <t>Account Status</t>
        </is>
      </c>
      <c r="E4" s="60" t="inlineStr">
        <is>
          <t>Services in Scope</t>
        </is>
      </c>
      <c r="F4" s="60" t="inlineStr">
        <is>
          <t>KPIs Tracked</t>
        </is>
      </c>
      <c r="G4" s="60" t="inlineStr">
        <is>
          <t>Account Owner</t>
        </is>
      </c>
      <c r="H4" s="60" t="inlineStr">
        <is>
          <t>Key Issues</t>
        </is>
      </c>
      <c r="I4" s="60" t="inlineStr">
        <is>
          <t>Current Priority</t>
        </is>
      </c>
      <c r="J4" s="60" t="inlineStr">
        <is>
          <t>Next Action</t>
        </is>
      </c>
      <c r="K4" s="60" t="inlineStr">
        <is>
          <t>Notes / Source</t>
        </is>
      </c>
    </row>
    <row r="5">
      <c r="A5" s="64" t="inlineStr">
        <is>
          <t>Chola MS</t>
        </is>
      </c>
      <c r="B5" s="65" t="inlineStr">
        <is>
          <t>Cholamandalam MS Risk Services Limited</t>
        </is>
      </c>
      <c r="C5" s="64" t="inlineStr">
        <is>
          <t>External</t>
        </is>
      </c>
      <c r="D5" s="64" t="inlineStr">
        <is>
          <t>Active</t>
        </is>
      </c>
      <c r="E5" s="65" t="inlineStr">
        <is>
          <t>SEO | Social Media Management</t>
        </is>
      </c>
      <c r="F5" s="65" t="inlineStr">
        <is>
          <t>Website Traffic | LinkedIn Followers | Keywords Ranking</t>
        </is>
      </c>
      <c r="G5" s="64" t="n"/>
      <c r="H5" s="65" t="n"/>
      <c r="I5" s="65" t="n"/>
      <c r="J5" s="65" t="n"/>
      <c r="K5" s="65" t="n"/>
    </row>
    <row r="6">
      <c r="A6" s="64" t="inlineStr">
        <is>
          <t>Magnasoft</t>
        </is>
      </c>
      <c r="B6" s="65" t="inlineStr">
        <is>
          <t>Magnasoft</t>
        </is>
      </c>
      <c r="C6" s="64" t="inlineStr">
        <is>
          <t>External</t>
        </is>
      </c>
      <c r="D6" s="64" t="inlineStr">
        <is>
          <t>Active</t>
        </is>
      </c>
      <c r="E6" s="65" t="inlineStr">
        <is>
          <t>SEO | Social Media Management | Paid Ads</t>
        </is>
      </c>
      <c r="F6" s="65" t="inlineStr">
        <is>
          <t>Leads | Website Traffic | LinkedIn Followers</t>
        </is>
      </c>
      <c r="G6" s="64" t="n"/>
      <c r="H6" s="65" t="n"/>
      <c r="I6" s="65" t="n"/>
      <c r="J6" s="65" t="n"/>
      <c r="K6" s="65" t="inlineStr">
        <is>
          <t>Website Revamp proposal in pipeline (priority High, 90 days).</t>
        </is>
      </c>
    </row>
    <row r="7">
      <c r="A7" s="64" t="inlineStr">
        <is>
          <t>Eternelle</t>
        </is>
      </c>
      <c r="B7" s="65" t="inlineStr">
        <is>
          <t>Shree Eternelle (Eternelle Aesthetics)</t>
        </is>
      </c>
      <c r="C7" s="64" t="inlineStr">
        <is>
          <t>External</t>
        </is>
      </c>
      <c r="D7" s="64" t="inlineStr">
        <is>
          <t>Active</t>
        </is>
      </c>
      <c r="E7" s="65" t="inlineStr">
        <is>
          <t>SEO | Paid Ads</t>
        </is>
      </c>
      <c r="F7" s="65" t="inlineStr">
        <is>
          <t>Leads</t>
        </is>
      </c>
      <c r="G7" s="64" t="n"/>
      <c r="H7" s="65" t="n"/>
      <c r="I7" s="65" t="n"/>
      <c r="J7" s="65" t="n"/>
      <c r="K7" s="65" t="n"/>
    </row>
    <row r="8">
      <c r="A8" s="64" t="inlineStr">
        <is>
          <t>Vestrics</t>
        </is>
      </c>
      <c r="B8" s="65" t="inlineStr">
        <is>
          <t>Vestrics</t>
        </is>
      </c>
      <c r="C8" s="64" t="inlineStr">
        <is>
          <t>External</t>
        </is>
      </c>
      <c r="D8" s="64" t="inlineStr">
        <is>
          <t>Active</t>
        </is>
      </c>
      <c r="E8" s="65" t="inlineStr">
        <is>
          <t>SEO | Creative Mandate | Paid Ads | Social Media Management</t>
        </is>
      </c>
      <c r="F8" s="65" t="inlineStr">
        <is>
          <t>Leads | Website Traffic | LinkedIn Followers | Keywords Ranking</t>
        </is>
      </c>
      <c r="G8" s="64" t="n"/>
      <c r="H8" s="65" t="n"/>
      <c r="I8" s="65" t="n"/>
      <c r="J8" s="65" t="n"/>
      <c r="K8" s="65" t="n"/>
    </row>
    <row r="9">
      <c r="A9" s="64" t="inlineStr">
        <is>
          <t>Lenovo</t>
        </is>
      </c>
      <c r="B9" s="65" t="inlineStr">
        <is>
          <t>Lenovo</t>
        </is>
      </c>
      <c r="C9" s="64" t="inlineStr">
        <is>
          <t>External</t>
        </is>
      </c>
      <c r="D9" s="64" t="inlineStr">
        <is>
          <t>Active</t>
        </is>
      </c>
      <c r="E9" s="65" t="inlineStr">
        <is>
          <t>Email Deployment</t>
        </is>
      </c>
      <c r="F9" s="65" t="inlineStr">
        <is>
          <t>Email Deployment</t>
        </is>
      </c>
      <c r="G9" s="64" t="n"/>
      <c r="H9" s="65" t="n"/>
      <c r="I9" s="65" t="n"/>
      <c r="J9" s="65" t="n"/>
      <c r="K9" s="65" t="inlineStr">
        <is>
          <t>Lenovo EDM proposal in pipeline (High @90, 14 weeks). No update received from team on Lenovo.</t>
        </is>
      </c>
    </row>
    <row r="10">
      <c r="A10" s="64" t="inlineStr">
        <is>
          <t>SAP</t>
        </is>
      </c>
      <c r="B10" s="65" t="inlineStr">
        <is>
          <t>SAP PCC</t>
        </is>
      </c>
      <c r="C10" s="64" t="inlineStr">
        <is>
          <t>Internal</t>
        </is>
      </c>
      <c r="D10" s="64" t="inlineStr">
        <is>
          <t>Active</t>
        </is>
      </c>
      <c r="E10" s="65" t="inlineStr">
        <is>
          <t>Email Deployment</t>
        </is>
      </c>
      <c r="F10" s="65" t="inlineStr">
        <is>
          <t>Emailers | Landing page | Reports</t>
        </is>
      </c>
      <c r="G10" s="64" t="n"/>
      <c r="H10" s="65" t="n"/>
      <c r="I10" s="65" t="n"/>
      <c r="J10" s="65" t="n"/>
      <c r="K10" s="65" t="inlineStr">
        <is>
          <t>Also: SAP Drip Campaigns - Install Base (Internal, Active). Alignment (BDMIS) yet to be done per billing sheet.</t>
        </is>
      </c>
    </row>
    <row r="11">
      <c r="A11" s="64" t="inlineStr">
        <is>
          <t>Tata Communications</t>
        </is>
      </c>
      <c r="B11" s="65" t="inlineStr">
        <is>
          <t>Tata Communications (TCL)</t>
        </is>
      </c>
      <c r="C11" s="64" t="inlineStr">
        <is>
          <t>Internal</t>
        </is>
      </c>
      <c r="D11" s="64" t="inlineStr">
        <is>
          <t>Active</t>
        </is>
      </c>
      <c r="E11" s="65" t="inlineStr">
        <is>
          <t>Not Available</t>
        </is>
      </c>
      <c r="F11" s="65" t="inlineStr">
        <is>
          <t>Not Available</t>
        </is>
      </c>
      <c r="G11" s="64" t="n"/>
      <c r="H11" s="65" t="n"/>
      <c r="I11" s="65" t="n"/>
      <c r="J11" s="65" t="n"/>
      <c r="K11" s="65" t="inlineStr">
        <is>
          <t>Alignment (BDMIS) yet to be done per billing sheet.</t>
        </is>
      </c>
    </row>
    <row r="12">
      <c r="A12" s="64" t="inlineStr">
        <is>
          <t>Tata Communications MECCA</t>
        </is>
      </c>
      <c r="B12" s="65" t="inlineStr">
        <is>
          <t>Tata Communications MECCA</t>
        </is>
      </c>
      <c r="C12" s="64" t="inlineStr">
        <is>
          <t>Internal</t>
        </is>
      </c>
      <c r="D12" s="64" t="inlineStr">
        <is>
          <t>Active</t>
        </is>
      </c>
      <c r="E12" s="65" t="inlineStr">
        <is>
          <t>Not Available</t>
        </is>
      </c>
      <c r="F12" s="65" t="inlineStr">
        <is>
          <t>Not Available</t>
        </is>
      </c>
      <c r="G12" s="64" t="n"/>
      <c r="H12" s="65" t="n"/>
      <c r="I12" s="65" t="n"/>
      <c r="J12" s="65" t="n"/>
      <c r="K12" s="65" t="inlineStr">
        <is>
          <t>Alignment (BDMIS) yet to be done per billing sheet.</t>
        </is>
      </c>
    </row>
    <row r="13">
      <c r="A13" s="64" t="inlineStr">
        <is>
          <t>Salesforce</t>
        </is>
      </c>
      <c r="B13" s="65" t="inlineStr">
        <is>
          <t>Salesforce Webinars</t>
        </is>
      </c>
      <c r="C13" s="64" t="inlineStr">
        <is>
          <t>Internal</t>
        </is>
      </c>
      <c r="D13" s="64" t="inlineStr">
        <is>
          <t>Active</t>
        </is>
      </c>
      <c r="E13" s="65" t="inlineStr">
        <is>
          <t>Not Available</t>
        </is>
      </c>
      <c r="F13" s="65" t="inlineStr">
        <is>
          <t>Not Available</t>
        </is>
      </c>
      <c r="G13" s="64" t="n"/>
      <c r="H13" s="65" t="n"/>
      <c r="I13" s="65" t="n"/>
      <c r="J13" s="65" t="n"/>
      <c r="K13" s="65" t="inlineStr">
        <is>
          <t>Validity: TBD per billing sheet.</t>
        </is>
      </c>
    </row>
    <row r="14">
      <c r="A14" s="64" t="inlineStr">
        <is>
          <t>Ruckus Networks</t>
        </is>
      </c>
      <c r="B14" s="65" t="inlineStr">
        <is>
          <t>Ruckus Networks</t>
        </is>
      </c>
      <c r="C14" s="64" t="inlineStr">
        <is>
          <t>External</t>
        </is>
      </c>
      <c r="D14" s="64" t="inlineStr">
        <is>
          <t>Active</t>
        </is>
      </c>
      <c r="E14" s="65" t="inlineStr">
        <is>
          <t>Email creation &amp; Landing Page</t>
        </is>
      </c>
      <c r="F14" s="65" t="inlineStr">
        <is>
          <t>Leads - 50 (3 months)</t>
        </is>
      </c>
      <c r="G14" s="64" t="n"/>
      <c r="H14" s="65" t="n"/>
      <c r="I14" s="65" t="n"/>
      <c r="J14" s="65" t="n"/>
      <c r="K14" s="65" t="inlineStr">
        <is>
          <t>TO CONFIRM: billing sheet marks this 'Closed' but team is actively working it (50 form-fill target).</t>
        </is>
      </c>
    </row>
    <row r="15">
      <c r="A15" s="64" t="inlineStr">
        <is>
          <t>Google Chrome Enterprise</t>
        </is>
      </c>
      <c r="B15" s="65" t="inlineStr">
        <is>
          <t>Google Chrome Enterprise</t>
        </is>
      </c>
      <c r="C15" s="64" t="inlineStr">
        <is>
          <t>Internal</t>
        </is>
      </c>
      <c r="D15" s="64" t="inlineStr">
        <is>
          <t>Active</t>
        </is>
      </c>
      <c r="E15" s="65" t="inlineStr">
        <is>
          <t>Email Deployment</t>
        </is>
      </c>
      <c r="F15" s="65" t="inlineStr">
        <is>
          <t>Emailers | Landing page | Reports</t>
        </is>
      </c>
      <c r="G15" s="64" t="n"/>
      <c r="H15" s="65" t="n"/>
      <c r="I15" s="65" t="n"/>
      <c r="J15" s="65" t="n"/>
      <c r="K15" s="65" t="inlineStr">
        <is>
          <t>TO CONFIRM: billing sheet marks this 'Closed' with validity to 1-Oct-2026; team still reporting work.</t>
        </is>
      </c>
    </row>
    <row r="16">
      <c r="A16" s="64" t="inlineStr">
        <is>
          <t>Equinix</t>
        </is>
      </c>
      <c r="B16" s="65" t="inlineStr">
        <is>
          <t>Equinix (spelled 'Equinox' in billing sheet)</t>
        </is>
      </c>
      <c r="C16" s="64" t="inlineStr">
        <is>
          <t>Internal</t>
        </is>
      </c>
      <c r="D16" s="64" t="inlineStr">
        <is>
          <t>Active</t>
        </is>
      </c>
      <c r="E16" s="65" t="inlineStr">
        <is>
          <t>Email creation &amp; Landing Page</t>
        </is>
      </c>
      <c r="F16" s="65" t="inlineStr">
        <is>
          <t>Leads - 150 by Dec'26</t>
        </is>
      </c>
      <c r="G16" s="64" t="n"/>
      <c r="H16" s="65" t="n"/>
      <c r="I16" s="65" t="n"/>
      <c r="J16" s="65" t="n"/>
      <c r="K16" s="65" t="inlineStr">
        <is>
          <t>TO CONFIRM: billing sheet marks this 'Closed'; team actively working it (150 form-fill target).</t>
        </is>
      </c>
    </row>
    <row r="17">
      <c r="A17" s="64" t="inlineStr">
        <is>
          <t>Sonalika Tractors</t>
        </is>
      </c>
      <c r="B17" s="65" t="inlineStr">
        <is>
          <t>Sonalika Tractors</t>
        </is>
      </c>
      <c r="C17" s="64" t="inlineStr">
        <is>
          <t>External</t>
        </is>
      </c>
      <c r="D17" s="64" t="inlineStr">
        <is>
          <t>Pipeline</t>
        </is>
      </c>
      <c r="E17" s="65" t="inlineStr">
        <is>
          <t>Meta Automation</t>
        </is>
      </c>
      <c r="F17" s="65" t="inlineStr">
        <is>
          <t>Campaign Creation</t>
        </is>
      </c>
      <c r="G17" s="64" t="n"/>
      <c r="H17" s="65" t="n"/>
      <c r="I17" s="65" t="n"/>
      <c r="J17" s="65" t="n"/>
      <c r="K17" s="65" t="inlineStr">
        <is>
          <t>Proposal stage, priority High, monthly retainer. No BDMIS alignment. No update from team yet.</t>
        </is>
      </c>
    </row>
    <row r="18">
      <c r="A18" s="64" t="inlineStr">
        <is>
          <t>AMEX</t>
        </is>
      </c>
      <c r="B18" s="65" t="inlineStr">
        <is>
          <t>AMEX</t>
        </is>
      </c>
      <c r="C18" s="64" t="inlineStr">
        <is>
          <t>External</t>
        </is>
      </c>
      <c r="D18" s="64" t="inlineStr">
        <is>
          <t>Pipeline</t>
        </is>
      </c>
      <c r="E18" s="65" t="inlineStr">
        <is>
          <t>Email Deployment</t>
        </is>
      </c>
      <c r="F18" s="65" t="inlineStr">
        <is>
          <t>Emailers | Landing page | Reports</t>
        </is>
      </c>
      <c r="G18" s="64" t="n"/>
      <c r="H18" s="65" t="n"/>
      <c r="I18" s="65" t="n"/>
      <c r="J18" s="65" t="n"/>
      <c r="K18" s="65" t="inlineStr">
        <is>
          <t>Email deployment planned Nov &amp; Dec (proposal marked 'Closed'; high @90, no BDMIS alignment).</t>
        </is>
      </c>
    </row>
    <row r="19">
      <c r="A19" s="64" t="inlineStr">
        <is>
          <t>Marg Business Transformation</t>
        </is>
      </c>
      <c r="B19" s="65" t="inlineStr">
        <is>
          <t>MARG Business Transformation Pvt. Ltd.</t>
        </is>
      </c>
      <c r="C19" s="64" t="inlineStr">
        <is>
          <t>External</t>
        </is>
      </c>
      <c r="D19" s="64" t="inlineStr">
        <is>
          <t>Ended</t>
        </is>
      </c>
      <c r="E19" s="65" t="inlineStr">
        <is>
          <t>Digital Marketing</t>
        </is>
      </c>
      <c r="F19" s="65" t="inlineStr">
        <is>
          <t>Not Available</t>
        </is>
      </c>
      <c r="G19" s="64" t="n"/>
      <c r="H19" s="65" t="n"/>
      <c r="I19" s="65" t="n"/>
      <c r="J19" s="65" t="n"/>
      <c r="K19" s="65" t="inlineStr">
        <is>
          <t>Engagement closed. Last day: 11 September.</t>
        </is>
      </c>
    </row>
    <row r="20">
      <c r="A20" s="64" t="inlineStr">
        <is>
          <t>Utimaco Singapore</t>
        </is>
      </c>
      <c r="B20" s="65" t="inlineStr">
        <is>
          <t>Utimaco Singapore</t>
        </is>
      </c>
      <c r="C20" s="64" t="n"/>
      <c r="D20" s="64" t="inlineStr">
        <is>
          <t>To Confirm</t>
        </is>
      </c>
      <c r="E20" s="65" t="inlineStr">
        <is>
          <t>Content Syndication - Email</t>
        </is>
      </c>
      <c r="F20" s="65" t="inlineStr">
        <is>
          <t>Not Available</t>
        </is>
      </c>
      <c r="G20" s="64" t="n"/>
      <c r="H20" s="65" t="n"/>
      <c r="I20" s="65" t="n"/>
      <c r="J20" s="65" t="n"/>
      <c r="K20" s="65" t="inlineStr">
        <is>
          <t>Listed in Surbhi's program list only; client/commercial status not in billing sheet.</t>
        </is>
      </c>
    </row>
    <row r="21">
      <c r="A21" s="64" t="n"/>
      <c r="B21" s="65" t="n"/>
      <c r="C21" s="64" t="n"/>
      <c r="D21" s="64" t="n"/>
      <c r="E21" s="65" t="n"/>
      <c r="F21" s="65" t="n"/>
      <c r="G21" s="64" t="n"/>
      <c r="H21" s="65" t="n"/>
      <c r="I21" s="65" t="n"/>
      <c r="J21" s="65" t="n"/>
      <c r="K21" s="65" t="n"/>
    </row>
    <row r="22">
      <c r="A22" s="64" t="n"/>
      <c r="B22" s="65" t="n"/>
      <c r="C22" s="64" t="n"/>
      <c r="D22" s="64" t="n"/>
      <c r="E22" s="65" t="n"/>
      <c r="F22" s="65" t="n"/>
      <c r="G22" s="64" t="n"/>
      <c r="H22" s="65" t="n"/>
      <c r="I22" s="65" t="n"/>
      <c r="J22" s="65" t="n"/>
      <c r="K22" s="65" t="n"/>
    </row>
    <row r="23">
      <c r="A23" s="64" t="n"/>
      <c r="B23" s="65" t="n"/>
      <c r="C23" s="64" t="n"/>
      <c r="D23" s="64" t="n"/>
      <c r="E23" s="65" t="n"/>
      <c r="F23" s="65" t="n"/>
      <c r="G23" s="64" t="n"/>
      <c r="H23" s="65" t="n"/>
      <c r="I23" s="65" t="n"/>
      <c r="J23" s="65" t="n"/>
      <c r="K23" s="65" t="n"/>
    </row>
    <row r="24">
      <c r="A24" s="64" t="n"/>
      <c r="B24" s="65" t="n"/>
      <c r="C24" s="64" t="n"/>
      <c r="D24" s="64" t="n"/>
      <c r="E24" s="65" t="n"/>
      <c r="F24" s="65" t="n"/>
      <c r="G24" s="64" t="n"/>
      <c r="H24" s="65" t="n"/>
      <c r="I24" s="65" t="n"/>
      <c r="J24" s="65" t="n"/>
      <c r="K24" s="65" t="n"/>
    </row>
    <row r="25">
      <c r="A25" s="64" t="n"/>
      <c r="B25" s="65" t="n"/>
      <c r="C25" s="64" t="n"/>
      <c r="D25" s="64" t="n"/>
      <c r="E25" s="65" t="n"/>
      <c r="F25" s="65" t="n"/>
      <c r="G25" s="64" t="n"/>
      <c r="H25" s="65" t="n"/>
      <c r="I25" s="65" t="n"/>
      <c r="J25" s="65" t="n"/>
      <c r="K25" s="65" t="n"/>
    </row>
    <row r="26">
      <c r="A26" s="64" t="n"/>
      <c r="B26" s="65" t="n"/>
      <c r="C26" s="64" t="n"/>
      <c r="D26" s="64" t="n"/>
      <c r="E26" s="65" t="n"/>
      <c r="F26" s="65" t="n"/>
      <c r="G26" s="64" t="n"/>
      <c r="H26" s="65" t="n"/>
      <c r="I26" s="65" t="n"/>
      <c r="J26" s="65" t="n"/>
      <c r="K26" s="65" t="n"/>
    </row>
    <row r="27">
      <c r="A27" s="64" t="n"/>
      <c r="B27" s="65" t="n"/>
      <c r="C27" s="64" t="n"/>
      <c r="D27" s="64" t="n"/>
      <c r="E27" s="65" t="n"/>
      <c r="F27" s="65" t="n"/>
      <c r="G27" s="64" t="n"/>
      <c r="H27" s="65" t="n"/>
      <c r="I27" s="65" t="n"/>
      <c r="J27" s="65" t="n"/>
      <c r="K27" s="65" t="n"/>
    </row>
    <row r="28">
      <c r="A28" s="64" t="n"/>
      <c r="B28" s="65" t="n"/>
      <c r="C28" s="64" t="n"/>
      <c r="D28" s="64" t="n"/>
      <c r="E28" s="65" t="n"/>
      <c r="F28" s="65" t="n"/>
      <c r="G28" s="64" t="n"/>
      <c r="H28" s="65" t="n"/>
      <c r="I28" s="65" t="n"/>
      <c r="J28" s="65" t="n"/>
      <c r="K28" s="65" t="n"/>
    </row>
    <row r="29">
      <c r="A29" s="64" t="n"/>
      <c r="B29" s="65" t="n"/>
      <c r="C29" s="64" t="n"/>
      <c r="D29" s="64" t="n"/>
      <c r="E29" s="65" t="n"/>
      <c r="F29" s="65" t="n"/>
      <c r="G29" s="64" t="n"/>
      <c r="H29" s="65" t="n"/>
      <c r="I29" s="65" t="n"/>
      <c r="J29" s="65" t="n"/>
      <c r="K29" s="65" t="n"/>
    </row>
    <row r="30">
      <c r="A30" s="64" t="n"/>
      <c r="B30" s="65" t="n"/>
      <c r="C30" s="64" t="n"/>
      <c r="D30" s="64" t="n"/>
      <c r="E30" s="65" t="n"/>
      <c r="F30" s="65" t="n"/>
      <c r="G30" s="64" t="n"/>
      <c r="H30" s="65" t="n"/>
      <c r="I30" s="65" t="n"/>
      <c r="J30" s="65" t="n"/>
      <c r="K30" s="65" t="n"/>
    </row>
    <row r="31">
      <c r="A31" s="64" t="n"/>
      <c r="B31" s="65" t="n"/>
      <c r="C31" s="64" t="n"/>
      <c r="D31" s="64" t="n"/>
      <c r="E31" s="65" t="n"/>
      <c r="F31" s="65" t="n"/>
      <c r="G31" s="64" t="n"/>
      <c r="H31" s="65" t="n"/>
      <c r="I31" s="65" t="n"/>
      <c r="J31" s="65" t="n"/>
      <c r="K31" s="65" t="n"/>
    </row>
    <row r="32">
      <c r="A32" s="64" t="n"/>
      <c r="B32" s="65" t="n"/>
      <c r="C32" s="64" t="n"/>
      <c r="D32" s="64" t="n"/>
      <c r="E32" s="65" t="n"/>
      <c r="F32" s="65" t="n"/>
      <c r="G32" s="64" t="n"/>
      <c r="H32" s="65" t="n"/>
      <c r="I32" s="65" t="n"/>
      <c r="J32" s="65" t="n"/>
      <c r="K32" s="65" t="n"/>
    </row>
    <row r="33">
      <c r="A33" s="64" t="n"/>
      <c r="B33" s="65" t="n"/>
      <c r="C33" s="64" t="n"/>
      <c r="D33" s="64" t="n"/>
      <c r="E33" s="65" t="n"/>
      <c r="F33" s="65" t="n"/>
      <c r="G33" s="64" t="n"/>
      <c r="H33" s="65" t="n"/>
      <c r="I33" s="65" t="n"/>
      <c r="J33" s="65" t="n"/>
      <c r="K33" s="65" t="n"/>
    </row>
    <row r="34">
      <c r="A34" s="64" t="n"/>
      <c r="B34" s="65" t="n"/>
      <c r="C34" s="64" t="n"/>
      <c r="D34" s="64" t="n"/>
      <c r="E34" s="65" t="n"/>
      <c r="F34" s="65" t="n"/>
      <c r="G34" s="64" t="n"/>
      <c r="H34" s="65" t="n"/>
      <c r="I34" s="65" t="n"/>
      <c r="J34" s="65" t="n"/>
      <c r="K34" s="65" t="n"/>
    </row>
    <row r="35">
      <c r="A35" s="64" t="n"/>
      <c r="B35" s="65" t="n"/>
      <c r="C35" s="64" t="n"/>
      <c r="D35" s="64" t="n"/>
      <c r="E35" s="65" t="n"/>
      <c r="F35" s="65" t="n"/>
      <c r="G35" s="64" t="n"/>
      <c r="H35" s="65" t="n"/>
      <c r="I35" s="65" t="n"/>
      <c r="J35" s="65" t="n"/>
      <c r="K35" s="65" t="n"/>
    </row>
    <row r="36">
      <c r="A36" s="64" t="n"/>
      <c r="B36" s="65" t="n"/>
      <c r="C36" s="64" t="n"/>
      <c r="D36" s="64" t="n"/>
      <c r="E36" s="65" t="n"/>
      <c r="F36" s="65" t="n"/>
      <c r="G36" s="64" t="n"/>
      <c r="H36" s="65" t="n"/>
      <c r="I36" s="65" t="n"/>
      <c r="J36" s="65" t="n"/>
      <c r="K36" s="65" t="n"/>
    </row>
    <row r="37">
      <c r="A37" s="64" t="n"/>
      <c r="B37" s="65" t="n"/>
      <c r="C37" s="64" t="n"/>
      <c r="D37" s="64" t="n"/>
      <c r="E37" s="65" t="n"/>
      <c r="F37" s="65" t="n"/>
      <c r="G37" s="64" t="n"/>
      <c r="H37" s="65" t="n"/>
      <c r="I37" s="65" t="n"/>
      <c r="J37" s="65" t="n"/>
      <c r="K37" s="65" t="n"/>
    </row>
    <row r="38">
      <c r="A38" s="64" t="n"/>
      <c r="B38" s="65" t="n"/>
      <c r="C38" s="64" t="n"/>
      <c r="D38" s="64" t="n"/>
      <c r="E38" s="65" t="n"/>
      <c r="F38" s="65" t="n"/>
      <c r="G38" s="64" t="n"/>
      <c r="H38" s="65" t="n"/>
      <c r="I38" s="65" t="n"/>
      <c r="J38" s="65" t="n"/>
      <c r="K38" s="65" t="n"/>
    </row>
    <row r="39">
      <c r="A39" s="64" t="n"/>
      <c r="B39" s="65" t="n"/>
      <c r="C39" s="64" t="n"/>
      <c r="D39" s="64" t="n"/>
      <c r="E39" s="65" t="n"/>
      <c r="F39" s="65" t="n"/>
      <c r="G39" s="64" t="n"/>
      <c r="H39" s="65" t="n"/>
      <c r="I39" s="65" t="n"/>
      <c r="J39" s="65" t="n"/>
      <c r="K39" s="65" t="n"/>
    </row>
    <row r="40">
      <c r="A40" s="64" t="n"/>
      <c r="B40" s="65" t="n"/>
      <c r="C40" s="64" t="n"/>
      <c r="D40" s="64" t="n"/>
      <c r="E40" s="65" t="n"/>
      <c r="F40" s="65" t="n"/>
      <c r="G40" s="64" t="n"/>
      <c r="H40" s="65" t="n"/>
      <c r="I40" s="65" t="n"/>
      <c r="J40" s="65" t="n"/>
      <c r="K40" s="65" t="n"/>
    </row>
    <row r="41">
      <c r="A41" s="64" t="n"/>
      <c r="B41" s="65" t="n"/>
      <c r="C41" s="64" t="n"/>
      <c r="D41" s="64" t="n"/>
      <c r="E41" s="65" t="n"/>
      <c r="F41" s="65" t="n"/>
      <c r="G41" s="64" t="n"/>
      <c r="H41" s="65" t="n"/>
      <c r="I41" s="65" t="n"/>
      <c r="J41" s="65" t="n"/>
      <c r="K41" s="65" t="n"/>
    </row>
    <row r="42">
      <c r="A42" s="64" t="n"/>
      <c r="B42" s="65" t="n"/>
      <c r="C42" s="64" t="n"/>
      <c r="D42" s="64" t="n"/>
      <c r="E42" s="65" t="n"/>
      <c r="F42" s="65" t="n"/>
      <c r="G42" s="64" t="n"/>
      <c r="H42" s="65" t="n"/>
      <c r="I42" s="65" t="n"/>
      <c r="J42" s="65" t="n"/>
      <c r="K42" s="65" t="n"/>
    </row>
    <row r="43">
      <c r="A43" s="64" t="n"/>
      <c r="B43" s="65" t="n"/>
      <c r="C43" s="64" t="n"/>
      <c r="D43" s="64" t="n"/>
      <c r="E43" s="65" t="n"/>
      <c r="F43" s="65" t="n"/>
      <c r="G43" s="64" t="n"/>
      <c r="H43" s="65" t="n"/>
      <c r="I43" s="65" t="n"/>
      <c r="J43" s="65" t="n"/>
      <c r="K43" s="65" t="n"/>
    </row>
    <row r="44">
      <c r="A44" s="64" t="n"/>
      <c r="B44" s="65" t="n"/>
      <c r="C44" s="64" t="n"/>
      <c r="D44" s="64" t="n"/>
      <c r="E44" s="65" t="n"/>
      <c r="F44" s="65" t="n"/>
      <c r="G44" s="64" t="n"/>
      <c r="H44" s="65" t="n"/>
      <c r="I44" s="65" t="n"/>
      <c r="J44" s="65" t="n"/>
      <c r="K44" s="65" t="n"/>
    </row>
    <row r="45">
      <c r="A45" s="64" t="n"/>
      <c r="B45" s="65" t="n"/>
      <c r="C45" s="64" t="n"/>
      <c r="D45" s="64" t="n"/>
      <c r="E45" s="65" t="n"/>
      <c r="F45" s="65" t="n"/>
      <c r="G45" s="64" t="n"/>
      <c r="H45" s="65" t="n"/>
      <c r="I45" s="65" t="n"/>
      <c r="J45" s="65" t="n"/>
      <c r="K45" s="65" t="n"/>
    </row>
    <row r="46">
      <c r="A46" s="64" t="n"/>
      <c r="B46" s="65" t="n"/>
      <c r="C46" s="64" t="n"/>
      <c r="D46" s="64" t="n"/>
      <c r="E46" s="65" t="n"/>
      <c r="F46" s="65" t="n"/>
      <c r="G46" s="64" t="n"/>
      <c r="H46" s="65" t="n"/>
      <c r="I46" s="65" t="n"/>
      <c r="J46" s="65" t="n"/>
      <c r="K46" s="65" t="n"/>
    </row>
    <row r="47">
      <c r="A47" s="64" t="n"/>
      <c r="B47" s="65" t="n"/>
      <c r="C47" s="64" t="n"/>
      <c r="D47" s="64" t="n"/>
      <c r="E47" s="65" t="n"/>
      <c r="F47" s="65" t="n"/>
      <c r="G47" s="64" t="n"/>
      <c r="H47" s="65" t="n"/>
      <c r="I47" s="65" t="n"/>
      <c r="J47" s="65" t="n"/>
      <c r="K47" s="65" t="n"/>
    </row>
    <row r="48">
      <c r="A48" s="64" t="n"/>
      <c r="B48" s="65" t="n"/>
      <c r="C48" s="64" t="n"/>
      <c r="D48" s="64" t="n"/>
      <c r="E48" s="65" t="n"/>
      <c r="F48" s="65" t="n"/>
      <c r="G48" s="64" t="n"/>
      <c r="H48" s="65" t="n"/>
      <c r="I48" s="65" t="n"/>
      <c r="J48" s="65" t="n"/>
      <c r="K48" s="65" t="n"/>
    </row>
    <row r="49">
      <c r="A49" s="64" t="n"/>
      <c r="B49" s="65" t="n"/>
      <c r="C49" s="64" t="n"/>
      <c r="D49" s="64" t="n"/>
      <c r="E49" s="65" t="n"/>
      <c r="F49" s="65" t="n"/>
      <c r="G49" s="64" t="n"/>
      <c r="H49" s="65" t="n"/>
      <c r="I49" s="65" t="n"/>
      <c r="J49" s="65" t="n"/>
      <c r="K49" s="65" t="n"/>
    </row>
    <row r="50">
      <c r="A50" s="64" t="n"/>
      <c r="B50" s="65" t="n"/>
      <c r="C50" s="64" t="n"/>
      <c r="D50" s="64" t="n"/>
      <c r="E50" s="65" t="n"/>
      <c r="F50" s="65" t="n"/>
      <c r="G50" s="64" t="n"/>
      <c r="H50" s="65" t="n"/>
      <c r="I50" s="65" t="n"/>
      <c r="J50" s="65" t="n"/>
      <c r="K50" s="65" t="n"/>
    </row>
    <row r="51">
      <c r="A51" s="64" t="n"/>
      <c r="B51" s="65" t="n"/>
      <c r="C51" s="64" t="n"/>
      <c r="D51" s="64" t="n"/>
      <c r="E51" s="65" t="n"/>
      <c r="F51" s="65" t="n"/>
      <c r="G51" s="64" t="n"/>
      <c r="H51" s="65" t="n"/>
      <c r="I51" s="65" t="n"/>
      <c r="J51" s="65" t="n"/>
      <c r="K51" s="65" t="n"/>
    </row>
    <row r="52">
      <c r="A52" s="64" t="n"/>
      <c r="B52" s="65" t="n"/>
      <c r="C52" s="64" t="n"/>
      <c r="D52" s="64" t="n"/>
      <c r="E52" s="65" t="n"/>
      <c r="F52" s="65" t="n"/>
      <c r="G52" s="64" t="n"/>
      <c r="H52" s="65" t="n"/>
      <c r="I52" s="65" t="n"/>
      <c r="J52" s="65" t="n"/>
      <c r="K52" s="65" t="n"/>
    </row>
    <row r="53">
      <c r="A53" s="64" t="n"/>
      <c r="B53" s="65" t="n"/>
      <c r="C53" s="64" t="n"/>
      <c r="D53" s="64" t="n"/>
      <c r="E53" s="65" t="n"/>
      <c r="F53" s="65" t="n"/>
      <c r="G53" s="64" t="n"/>
      <c r="H53" s="65" t="n"/>
      <c r="I53" s="65" t="n"/>
      <c r="J53" s="65" t="n"/>
      <c r="K53" s="65" t="n"/>
    </row>
    <row r="54">
      <c r="A54" s="64" t="n"/>
      <c r="B54" s="65" t="n"/>
      <c r="C54" s="64" t="n"/>
      <c r="D54" s="64" t="n"/>
      <c r="E54" s="65" t="n"/>
      <c r="F54" s="65" t="n"/>
      <c r="G54" s="64" t="n"/>
      <c r="H54" s="65" t="n"/>
      <c r="I54" s="65" t="n"/>
      <c r="J54" s="65" t="n"/>
      <c r="K54" s="65" t="n"/>
    </row>
    <row r="55">
      <c r="A55" s="64" t="n"/>
      <c r="B55" s="65" t="n"/>
      <c r="C55" s="64" t="n"/>
      <c r="D55" s="64" t="n"/>
      <c r="E55" s="65" t="n"/>
      <c r="F55" s="65" t="n"/>
      <c r="G55" s="64" t="n"/>
      <c r="H55" s="65" t="n"/>
      <c r="I55" s="65" t="n"/>
      <c r="J55" s="65" t="n"/>
      <c r="K55" s="65" t="n"/>
    </row>
    <row r="56">
      <c r="A56" s="64" t="n"/>
      <c r="B56" s="65" t="n"/>
      <c r="C56" s="64" t="n"/>
      <c r="D56" s="64" t="n"/>
      <c r="E56" s="65" t="n"/>
      <c r="F56" s="65" t="n"/>
      <c r="G56" s="64" t="n"/>
      <c r="H56" s="65" t="n"/>
      <c r="I56" s="65" t="n"/>
      <c r="J56" s="65" t="n"/>
      <c r="K56" s="65" t="n"/>
    </row>
    <row r="57">
      <c r="A57" s="64" t="n"/>
      <c r="B57" s="65" t="n"/>
      <c r="C57" s="64" t="n"/>
      <c r="D57" s="64" t="n"/>
      <c r="E57" s="65" t="n"/>
      <c r="F57" s="65" t="n"/>
      <c r="G57" s="64" t="n"/>
      <c r="H57" s="65" t="n"/>
      <c r="I57" s="65" t="n"/>
      <c r="J57" s="65" t="n"/>
      <c r="K57" s="65" t="n"/>
    </row>
    <row r="58">
      <c r="A58" s="64" t="n"/>
      <c r="B58" s="65" t="n"/>
      <c r="C58" s="64" t="n"/>
      <c r="D58" s="64" t="n"/>
      <c r="E58" s="65" t="n"/>
      <c r="F58" s="65" t="n"/>
      <c r="G58" s="64" t="n"/>
      <c r="H58" s="65" t="n"/>
      <c r="I58" s="65" t="n"/>
      <c r="J58" s="65" t="n"/>
      <c r="K58" s="65" t="n"/>
    </row>
    <row r="59">
      <c r="A59" s="64" t="n"/>
      <c r="B59" s="65" t="n"/>
      <c r="C59" s="64" t="n"/>
      <c r="D59" s="64" t="n"/>
      <c r="E59" s="65" t="n"/>
      <c r="F59" s="65" t="n"/>
      <c r="G59" s="64" t="n"/>
      <c r="H59" s="65" t="n"/>
      <c r="I59" s="65" t="n"/>
      <c r="J59" s="65" t="n"/>
      <c r="K59" s="65" t="n"/>
    </row>
    <row r="60">
      <c r="A60" s="64" t="n"/>
      <c r="B60" s="65" t="n"/>
      <c r="C60" s="64" t="n"/>
      <c r="D60" s="64" t="n"/>
      <c r="E60" s="65" t="n"/>
      <c r="F60" s="65" t="n"/>
      <c r="G60" s="64" t="n"/>
      <c r="H60" s="65" t="n"/>
      <c r="I60" s="65" t="n"/>
      <c r="J60" s="65" t="n"/>
      <c r="K60" s="65" t="n"/>
    </row>
    <row r="61">
      <c r="A61" s="64" t="n"/>
      <c r="B61" s="65" t="n"/>
      <c r="C61" s="64" t="n"/>
      <c r="D61" s="64" t="n"/>
      <c r="E61" s="65" t="n"/>
      <c r="F61" s="65" t="n"/>
      <c r="G61" s="64" t="n"/>
      <c r="H61" s="65" t="n"/>
      <c r="I61" s="65" t="n"/>
      <c r="J61" s="65" t="n"/>
      <c r="K61" s="65" t="n"/>
    </row>
    <row r="62">
      <c r="A62" s="64" t="n"/>
      <c r="B62" s="65" t="n"/>
      <c r="C62" s="64" t="n"/>
      <c r="D62" s="64" t="n"/>
      <c r="E62" s="65" t="n"/>
      <c r="F62" s="65" t="n"/>
      <c r="G62" s="64" t="n"/>
      <c r="H62" s="65" t="n"/>
      <c r="I62" s="65" t="n"/>
      <c r="J62" s="65" t="n"/>
      <c r="K62" s="65" t="n"/>
    </row>
    <row r="63">
      <c r="A63" s="64" t="n"/>
      <c r="B63" s="65" t="n"/>
      <c r="C63" s="64" t="n"/>
      <c r="D63" s="64" t="n"/>
      <c r="E63" s="65" t="n"/>
      <c r="F63" s="65" t="n"/>
      <c r="G63" s="64" t="n"/>
      <c r="H63" s="65" t="n"/>
      <c r="I63" s="65" t="n"/>
      <c r="J63" s="65" t="n"/>
      <c r="K63" s="65" t="n"/>
    </row>
    <row r="64">
      <c r="A64" s="64" t="n"/>
      <c r="B64" s="65" t="n"/>
      <c r="C64" s="64" t="n"/>
      <c r="D64" s="64" t="n"/>
      <c r="E64" s="65" t="n"/>
      <c r="F64" s="65" t="n"/>
      <c r="G64" s="64" t="n"/>
      <c r="H64" s="65" t="n"/>
      <c r="I64" s="65" t="n"/>
      <c r="J64" s="65" t="n"/>
      <c r="K64" s="65" t="n"/>
    </row>
  </sheetData>
  <mergeCells count="1">
    <mergeCell ref="A1:K1"/>
  </mergeCells>
  <dataValidations count="3">
    <dataValidation sqref="C5:C64" showDropDown="0" showInputMessage="0" showErrorMessage="1" allowBlank="1" errorTitle="Pick from list" error="Please choose a value from the dropdown (lists are maintained in MASTER DATA / CLIENT MASTER / CAMPAIGN MASTER)." type="list" errorStyle="stop">
      <formula1>=lst_AcctType</formula1>
    </dataValidation>
    <dataValidation sqref="D5:D64" showDropDown="0" showInputMessage="0" showErrorMessage="1" allowBlank="1" errorTitle="Pick from list" error="Please choose a value from the dropdown (lists are maintained in MASTER DATA / CLIENT MASTER / CAMPAIGN MASTER)." type="list" errorStyle="stop">
      <formula1>=lst_AcctStatus</formula1>
    </dataValidation>
    <dataValidation sqref="G5:G64" showDropDown="0" showInputMessage="0" showErrorMessage="1" allowBlank="1" errorTitle="Pick from list" error="Please choose a value from the dropdown (lists are maintained in MASTER DATA / CLIENT MASTER / CAMPAIGN MASTER)." type="list" errorStyle="stop">
      <formula1>=lst_Team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/>
  </sheetPr>
  <dimension ref="A1:AJ215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54" customWidth="1" min="3" max="3"/>
    <col width="26" customWidth="1" min="4" max="4"/>
    <col width="4" customWidth="1" min="5" max="5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16" customWidth="1" min="28" max="28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 ht="30" customHeight="1">
      <c r="A1" s="57" t="inlineStr">
        <is>
          <t>MASTER DATA / CONFIGURATION - dropdown lists &amp; thresholds</t>
        </is>
      </c>
      <c r="B1" s="2" t="n"/>
      <c r="C1" s="2" t="n"/>
      <c r="D1" s="2" t="n"/>
      <c r="E1" s="2" t="n"/>
    </row>
    <row r="2">
      <c r="A2" s="58" t="inlineStr">
        <is>
          <t>Edit the BLUE cells to change thresholds or add list items (add new items at the bottom of a list, no gaps). Clients &amp; Campaigns are maintained in CLIENT MASTER and CAMPAIGN MASTER.</t>
        </is>
      </c>
    </row>
    <row r="3" ht="22" customHeight="1">
      <c r="A3" s="3" t="inlineStr">
        <is>
          <t>CONFIGURATION</t>
        </is>
      </c>
      <c r="B3" s="2" t="n"/>
      <c r="C3" s="2" t="n"/>
    </row>
    <row r="4">
      <c r="A4" s="120" t="inlineStr">
        <is>
          <t>Task 'no recent update' after (days)</t>
        </is>
      </c>
      <c r="B4" s="121" t="n">
        <v>3</v>
      </c>
      <c r="C4" s="58" t="inlineStr">
        <is>
          <t>Open tasks not updated for more than this many days are flagged.</t>
        </is>
      </c>
    </row>
    <row r="5">
      <c r="A5" s="120" t="inlineStr">
        <is>
          <t>Campaign 'no recent update' after (days)</t>
        </is>
      </c>
      <c r="B5" s="121" t="n">
        <v>7</v>
      </c>
      <c r="C5" s="58" t="inlineStr">
        <is>
          <t>Live/Optimizing campaigns not updated within this many days need attention.</t>
        </is>
      </c>
    </row>
    <row r="6">
      <c r="A6" s="120" t="inlineStr">
        <is>
          <t>'Due soon' window (days)</t>
        </is>
      </c>
      <c r="B6" s="121" t="n">
        <v>2</v>
      </c>
      <c r="C6" s="58" t="inlineStr">
        <is>
          <t>Tasks due within this many days (incl. today) are 'due soon'.</t>
        </is>
      </c>
    </row>
    <row r="7">
      <c r="A7" s="120" t="inlineStr">
        <is>
          <t>On-track threshold (% of pacing target)</t>
        </is>
      </c>
      <c r="B7" s="122" t="n">
        <v>0.9</v>
      </c>
      <c r="C7" s="58" t="inlineStr">
        <is>
          <t>Campaign leads vs time-pro-rated target: &gt;=100% Ahead, &gt;= this On Track.</t>
        </is>
      </c>
    </row>
    <row r="8">
      <c r="A8" s="120" t="inlineStr">
        <is>
          <t>Watch threshold (% of pacing target)</t>
        </is>
      </c>
      <c r="B8" s="122" t="n">
        <v>0.6</v>
      </c>
      <c r="C8" s="58" t="inlineStr">
        <is>
          <t>Between this and On Track = Behind; below this = At Risk.</t>
        </is>
      </c>
    </row>
    <row r="9">
      <c r="A9" s="120" t="inlineStr">
        <is>
          <t>Escalation contact</t>
        </is>
      </c>
      <c r="B9" s="123" t="inlineStr">
        <is>
          <t>Rajesh</t>
        </is>
      </c>
      <c r="C9" s="58" t="inlineStr">
        <is>
          <t>Used on the dashboard heading for escalations.</t>
        </is>
      </c>
    </row>
    <row r="10">
      <c r="A10" s="120" t="inlineStr">
        <is>
          <t>Currency</t>
        </is>
      </c>
      <c r="B10" s="123" t="inlineStr">
        <is>
          <t>INR (assumed)</t>
        </is>
      </c>
      <c r="C10" s="58" t="inlineStr">
        <is>
          <t>Spend/Budget/CPL are shown in the currency you enter.</t>
        </is>
      </c>
    </row>
    <row r="13" ht="22" customHeight="1">
      <c r="A13" s="3" t="inlineStr">
        <is>
          <t>TEAM MASTER (feeds Team Member dropdowns &amp; TEAM PERFORMANCE)</t>
        </is>
      </c>
      <c r="B13" s="2" t="n"/>
      <c r="C13" s="2" t="n"/>
      <c r="D13" s="2" t="n"/>
      <c r="G13" s="124" t="inlineStr">
        <is>
          <t>DROPDOWN LISTS</t>
        </is>
      </c>
      <c r="AD13" s="125" t="inlineStr">
        <is>
          <t>AUTOMATIC FILTER LISTS (formulas - do not edit)</t>
        </is>
      </c>
    </row>
    <row r="14">
      <c r="A14" s="60" t="inlineStr">
        <is>
          <t>Team Member</t>
        </is>
      </c>
      <c r="B14" s="60" t="inlineStr">
        <is>
          <t>Role / Skills</t>
        </is>
      </c>
      <c r="C14" s="60" t="inlineStr">
        <is>
          <t>Program Support</t>
        </is>
      </c>
      <c r="D14" s="60" t="inlineStr">
        <is>
          <t>Working Mode</t>
        </is>
      </c>
      <c r="G14" s="60" t="inlineStr">
        <is>
          <t>Priority</t>
        </is>
      </c>
      <c r="H14" s="60" t="inlineStr">
        <is>
          <t>TaskStatus</t>
        </is>
      </c>
      <c r="I14" s="60" t="inlineStr">
        <is>
          <t>CampStatus</t>
        </is>
      </c>
      <c r="J14" s="60" t="inlineStr">
        <is>
          <t>Workstream</t>
        </is>
      </c>
      <c r="K14" s="60" t="inlineStr">
        <is>
          <t>Channel</t>
        </is>
      </c>
      <c r="L14" s="60" t="inlineStr">
        <is>
          <t>Platform</t>
        </is>
      </c>
      <c r="M14" s="60" t="inlineStr">
        <is>
          <t>Region</t>
        </is>
      </c>
      <c r="N14" s="60" t="inlineStr">
        <is>
          <t>LeadStatus</t>
        </is>
      </c>
      <c r="O14" s="60" t="inlineStr">
        <is>
          <t>MQLStatus</t>
        </is>
      </c>
      <c r="P14" s="60" t="inlineStr">
        <is>
          <t>SQLStatus</t>
        </is>
      </c>
      <c r="Q14" s="60" t="inlineStr">
        <is>
          <t>OppStatus</t>
        </is>
      </c>
      <c r="R14" s="60" t="inlineStr">
        <is>
          <t>YesNo</t>
        </is>
      </c>
      <c r="S14" s="60" t="inlineStr">
        <is>
          <t>LeadSource</t>
        </is>
      </c>
      <c r="T14" s="60" t="inlineStr">
        <is>
          <t>ActType</t>
        </is>
      </c>
      <c r="U14" s="60" t="inlineStr">
        <is>
          <t>WebStatus</t>
        </is>
      </c>
      <c r="V14" s="60" t="inlineStr">
        <is>
          <t>EmailStatus</t>
        </is>
      </c>
      <c r="W14" s="60" t="inlineStr">
        <is>
          <t>AdStatus</t>
        </is>
      </c>
      <c r="X14" s="60" t="inlineStr">
        <is>
          <t>AcctStatus</t>
        </is>
      </c>
      <c r="Y14" s="60" t="inlineStr">
        <is>
          <t>AcctType</t>
        </is>
      </c>
      <c r="Z14" s="60" t="inlineStr">
        <is>
          <t>MilestoneStatus</t>
        </is>
      </c>
      <c r="AA14" s="60" t="inlineStr">
        <is>
          <t>AssignedBy</t>
        </is>
      </c>
      <c r="AB14" s="126" t="inlineStr">
        <is>
          <t>Month (YYYY-MM)</t>
        </is>
      </c>
      <c r="AD14" s="84" t="inlineStr">
        <is>
          <t>Filter: Client</t>
        </is>
      </c>
      <c r="AE14" s="84" t="inlineStr">
        <is>
          <t>Filter: Campaign</t>
        </is>
      </c>
      <c r="AF14" s="84" t="inlineStr">
        <is>
          <t>Filter: Team</t>
        </is>
      </c>
      <c r="AG14" s="84" t="inlineStr">
        <is>
          <t>Filter: Channel</t>
        </is>
      </c>
      <c r="AH14" s="84" t="inlineStr">
        <is>
          <t>Filter: TStatus</t>
        </is>
      </c>
      <c r="AI14" s="84" t="inlineStr">
        <is>
          <t>Filter: CStatus</t>
        </is>
      </c>
      <c r="AJ14" s="84" t="inlineStr">
        <is>
          <t>Filter: Month</t>
        </is>
      </c>
    </row>
    <row r="15">
      <c r="A15" s="65" t="inlineStr">
        <is>
          <t>Ayush Jain</t>
        </is>
      </c>
      <c r="B15" s="65" t="inlineStr">
        <is>
          <t>Program Manager</t>
        </is>
      </c>
      <c r="C15" s="65" t="inlineStr">
        <is>
          <t>Chola MS | Magnasoft | Vestrics</t>
        </is>
      </c>
      <c r="D15" s="65" t="inlineStr">
        <is>
          <t>Once a week (Friday)</t>
        </is>
      </c>
      <c r="G15" s="127" t="inlineStr">
        <is>
          <t>Critical</t>
        </is>
      </c>
      <c r="H15" s="127" t="inlineStr">
        <is>
          <t>Not Started</t>
        </is>
      </c>
      <c r="I15" s="127" t="inlineStr">
        <is>
          <t>Planned</t>
        </is>
      </c>
      <c r="J15" s="127" t="inlineStr">
        <is>
          <t>Campaign Execution</t>
        </is>
      </c>
      <c r="K15" s="127" t="inlineStr">
        <is>
          <t>Email</t>
        </is>
      </c>
      <c r="L15" s="127" t="inlineStr">
        <is>
          <t>Google Ads</t>
        </is>
      </c>
      <c r="M15" s="127" t="inlineStr">
        <is>
          <t>India</t>
        </is>
      </c>
      <c r="N15" s="127" t="inlineStr">
        <is>
          <t>New</t>
        </is>
      </c>
      <c r="O15" s="127" t="inlineStr">
        <is>
          <t>Pending</t>
        </is>
      </c>
      <c r="P15" s="127" t="inlineStr">
        <is>
          <t>Pending</t>
        </is>
      </c>
      <c r="Q15" s="127" t="inlineStr">
        <is>
          <t>Not Created</t>
        </is>
      </c>
      <c r="R15" s="127" t="inlineStr">
        <is>
          <t>Yes</t>
        </is>
      </c>
      <c r="S15" s="127" t="inlineStr">
        <is>
          <t>Email</t>
        </is>
      </c>
      <c r="T15" s="127" t="inlineStr">
        <is>
          <t>Website</t>
        </is>
      </c>
      <c r="U15" s="127" t="inlineStr">
        <is>
          <t>Planned</t>
        </is>
      </c>
      <c r="V15" s="127" t="inlineStr">
        <is>
          <t>Planned</t>
        </is>
      </c>
      <c r="W15" s="127" t="inlineStr">
        <is>
          <t>Planned</t>
        </is>
      </c>
      <c r="X15" s="127" t="inlineStr">
        <is>
          <t>Active</t>
        </is>
      </c>
      <c r="Y15" s="127" t="inlineStr">
        <is>
          <t>External</t>
        </is>
      </c>
      <c r="Z15" s="127" t="inlineStr">
        <is>
          <t>Not Available</t>
        </is>
      </c>
      <c r="AA15" s="127" t="inlineStr">
        <is>
          <t>Rajesh</t>
        </is>
      </c>
      <c r="AB15" s="127" t="inlineStr">
        <is>
          <t>2025-01</t>
        </is>
      </c>
      <c r="AD15" s="128" t="inlineStr">
        <is>
          <t>All</t>
        </is>
      </c>
      <c r="AE15" s="128" t="inlineStr">
        <is>
          <t>All</t>
        </is>
      </c>
      <c r="AF15" s="128" t="inlineStr">
        <is>
          <t>All</t>
        </is>
      </c>
      <c r="AG15" s="128" t="inlineStr">
        <is>
          <t>All</t>
        </is>
      </c>
      <c r="AH15" s="128" t="inlineStr">
        <is>
          <t>All</t>
        </is>
      </c>
      <c r="AI15" s="128" t="inlineStr">
        <is>
          <t>All</t>
        </is>
      </c>
      <c r="AJ15" s="128" t="inlineStr">
        <is>
          <t>All</t>
        </is>
      </c>
    </row>
    <row r="16">
      <c r="A16" s="65" t="inlineStr">
        <is>
          <t>Piyush Sambria</t>
        </is>
      </c>
      <c r="B16" s="65" t="inlineStr">
        <is>
          <t>Creative Lead</t>
        </is>
      </c>
      <c r="C16" s="65" t="inlineStr">
        <is>
          <t>Chola MS | Magnasoft | Vestrics | SAP Campaigns</t>
        </is>
      </c>
      <c r="D16" s="65" t="inlineStr">
        <is>
          <t>Work from Home / Remote</t>
        </is>
      </c>
      <c r="G16" s="127" t="inlineStr">
        <is>
          <t>High</t>
        </is>
      </c>
      <c r="H16" s="127" t="inlineStr">
        <is>
          <t>In Progress</t>
        </is>
      </c>
      <c r="I16" s="127" t="inlineStr">
        <is>
          <t>In Preparation</t>
        </is>
      </c>
      <c r="J16" s="127" t="inlineStr">
        <is>
          <t>Paid Media</t>
        </is>
      </c>
      <c r="K16" s="127" t="inlineStr">
        <is>
          <t>Content Syndication</t>
        </is>
      </c>
      <c r="L16" s="127" t="inlineStr">
        <is>
          <t>Meta Ads</t>
        </is>
      </c>
      <c r="M16" s="127" t="inlineStr">
        <is>
          <t>Bengaluru</t>
        </is>
      </c>
      <c r="N16" s="127" t="inlineStr">
        <is>
          <t>Contacted</t>
        </is>
      </c>
      <c r="O16" s="127" t="inlineStr">
        <is>
          <t>MQL</t>
        </is>
      </c>
      <c r="P16" s="127" t="inlineStr">
        <is>
          <t>SQL</t>
        </is>
      </c>
      <c r="Q16" s="127" t="inlineStr">
        <is>
          <t>Open</t>
        </is>
      </c>
      <c r="R16" s="127" t="inlineStr">
        <is>
          <t>No</t>
        </is>
      </c>
      <c r="S16" s="127" t="inlineStr">
        <is>
          <t>Content Syndication</t>
        </is>
      </c>
      <c r="T16" s="127" t="inlineStr">
        <is>
          <t>Landing Page</t>
        </is>
      </c>
      <c r="U16" s="127" t="inlineStr">
        <is>
          <t>In Progress</t>
        </is>
      </c>
      <c r="V16" s="127" t="inlineStr">
        <is>
          <t>Scheduled</t>
        </is>
      </c>
      <c r="W16" s="127" t="inlineStr">
        <is>
          <t>Live</t>
        </is>
      </c>
      <c r="X16" s="127" t="inlineStr">
        <is>
          <t>Pipeline</t>
        </is>
      </c>
      <c r="Y16" s="127" t="inlineStr">
        <is>
          <t>Internal</t>
        </is>
      </c>
      <c r="Z16" s="127" t="inlineStr">
        <is>
          <t>Not Started</t>
        </is>
      </c>
      <c r="AA16" s="127" t="inlineStr">
        <is>
          <t>Sr. Manager - AI Marketing</t>
        </is>
      </c>
      <c r="AB16" s="127" t="inlineStr">
        <is>
          <t>2025-02</t>
        </is>
      </c>
      <c r="AD16" s="128" t="str">
        <f>IF('CLIENT MASTER'!$A$5="","",'CLIENT MASTER'!$A$5)</f>
        <v>Chola MS</v>
      </c>
      <c r="AE16" s="128" t="str">
        <f>IF('CAMPAIGN MASTER'!$B$5="","",'CAMPAIGN MASTER'!$B$5)</f>
        <v>SAP Partner Campaign - Citek</v>
      </c>
      <c r="AF16" s="128" t="str">
        <f>IF('MASTER DATA'!$A$15="","",'MASTER DATA'!$A$15)</f>
        <v>Ayush Jain</v>
      </c>
      <c r="AG16" s="128" t="str">
        <f>IF('MASTER DATA'!$K$15="","",'MASTER DATA'!$K$15)</f>
        <v>Email</v>
      </c>
      <c r="AH16" s="128" t="str">
        <f>IF('MASTER DATA'!$H$15="","",'MASTER DATA'!$H$15)</f>
        <v>Not Started</v>
      </c>
      <c r="AI16" s="128" t="str">
        <f>IF('MASTER DATA'!$I$15="","",'MASTER DATA'!$I$15)</f>
        <v>Planned</v>
      </c>
      <c r="AJ16" s="128" t="str">
        <f>IF('MASTER DATA'!$AB$15="","",'MASTER DATA'!$AB$15)</f>
        <v>2025-01</v>
      </c>
    </row>
    <row r="17">
      <c r="A17" s="65" t="inlineStr">
        <is>
          <t>Riya Diwan</t>
        </is>
      </c>
      <c r="B17" s="65" t="inlineStr">
        <is>
          <t>Program Execution Expert</t>
        </is>
      </c>
      <c r="C17" s="65" t="inlineStr">
        <is>
          <t>Chola MS | Vestrics | Magnasoft | Google Chrome Enterprise</t>
        </is>
      </c>
      <c r="D17" s="65" t="inlineStr">
        <is>
          <t>Twice a week (Tue &amp; Fri)</t>
        </is>
      </c>
      <c r="G17" s="127" t="inlineStr">
        <is>
          <t>Medium</t>
        </is>
      </c>
      <c r="H17" s="127" t="inlineStr">
        <is>
          <t>Completed</t>
        </is>
      </c>
      <c r="I17" s="127" t="inlineStr">
        <is>
          <t>Live</t>
        </is>
      </c>
      <c r="J17" s="127" t="inlineStr">
        <is>
          <t>Email Marketing</t>
        </is>
      </c>
      <c r="K17" s="127" t="inlineStr">
        <is>
          <t>WhatsApp</t>
        </is>
      </c>
      <c r="L17" s="127" t="inlineStr">
        <is>
          <t>LinkedIn Ads</t>
        </is>
      </c>
      <c r="M17" s="127" t="inlineStr">
        <is>
          <t>Delhi</t>
        </is>
      </c>
      <c r="N17" s="127" t="inlineStr">
        <is>
          <t>Engaged</t>
        </is>
      </c>
      <c r="O17" s="127" t="inlineStr">
        <is>
          <t>Not MQL</t>
        </is>
      </c>
      <c r="P17" s="127" t="inlineStr">
        <is>
          <t>Not SQL</t>
        </is>
      </c>
      <c r="Q17" s="127" t="inlineStr">
        <is>
          <t>Won</t>
        </is>
      </c>
      <c r="R17" s="127" t="n"/>
      <c r="S17" s="127" t="inlineStr">
        <is>
          <t>LinkedIn</t>
        </is>
      </c>
      <c r="T17" s="127" t="inlineStr">
        <is>
          <t>Blog</t>
        </is>
      </c>
      <c r="U17" s="127" t="inlineStr">
        <is>
          <t>Published</t>
        </is>
      </c>
      <c r="V17" s="127" t="inlineStr">
        <is>
          <t>Sent</t>
        </is>
      </c>
      <c r="W17" s="127" t="inlineStr">
        <is>
          <t>Optimizing</t>
        </is>
      </c>
      <c r="X17" s="127" t="inlineStr">
        <is>
          <t>On Hold</t>
        </is>
      </c>
      <c r="Y17" s="127" t="n"/>
      <c r="Z17" s="127" t="inlineStr">
        <is>
          <t>In Progress</t>
        </is>
      </c>
      <c r="AA17" s="127" t="inlineStr">
        <is>
          <t>Client</t>
        </is>
      </c>
      <c r="AB17" s="127" t="inlineStr">
        <is>
          <t>2025-03</t>
        </is>
      </c>
      <c r="AD17" s="128" t="str">
        <f>IF('CLIENT MASTER'!$A$6="","",'CLIENT MASTER'!$A$6)</f>
        <v>Magnasoft</v>
      </c>
      <c r="AE17" s="128" t="str">
        <f>IF('CAMPAIGN MASTER'!$B$6="","",'CAMPAIGN MASTER'!$B$6)</f>
        <v>SAP Partner Campaign - Apptech</v>
      </c>
      <c r="AF17" s="128" t="str">
        <f>IF('MASTER DATA'!$A$16="","",'MASTER DATA'!$A$16)</f>
        <v>Piyush Sambria</v>
      </c>
      <c r="AG17" s="128" t="str">
        <f>IF('MASTER DATA'!$K$16="","",'MASTER DATA'!$K$16)</f>
        <v>Content Syndication</v>
      </c>
      <c r="AH17" s="128" t="str">
        <f>IF('MASTER DATA'!$H$16="","",'MASTER DATA'!$H$16)</f>
        <v>In Progress</v>
      </c>
      <c r="AI17" s="128" t="str">
        <f>IF('MASTER DATA'!$I$16="","",'MASTER DATA'!$I$16)</f>
        <v>In Preparation</v>
      </c>
      <c r="AJ17" s="128" t="str">
        <f>IF('MASTER DATA'!$AB$16="","",'MASTER DATA'!$AB$16)</f>
        <v>2025-02</v>
      </c>
    </row>
    <row r="18">
      <c r="A18" s="65" t="inlineStr">
        <is>
          <t>Surbhi Pandey</t>
        </is>
      </c>
      <c r="B18" s="65" t="inlineStr">
        <is>
          <t>Program Execution Expert</t>
        </is>
      </c>
      <c r="C18" s="65" t="inlineStr">
        <is>
          <t>SAP Partner Campaign | SAP Webinars | Salesforce Webinars | SAP LinkedIn Campaign</t>
        </is>
      </c>
      <c r="D18" s="65" t="inlineStr">
        <is>
          <t>Twice a week (Tue &amp; Fri)</t>
        </is>
      </c>
      <c r="G18" s="127" t="inlineStr">
        <is>
          <t>Low</t>
        </is>
      </c>
      <c r="H18" s="127" t="inlineStr">
        <is>
          <t>On Hold</t>
        </is>
      </c>
      <c r="I18" s="127" t="inlineStr">
        <is>
          <t>Optimizing</t>
        </is>
      </c>
      <c r="J18" s="127" t="inlineStr">
        <is>
          <t>LinkedIn Outreach</t>
        </is>
      </c>
      <c r="K18" s="127" t="inlineStr">
        <is>
          <t>LinkedIn Outreach</t>
        </is>
      </c>
      <c r="L18" s="127" t="inlineStr">
        <is>
          <t>Other Paid</t>
        </is>
      </c>
      <c r="M18" s="127" t="inlineStr">
        <is>
          <t>Mumbai</t>
        </is>
      </c>
      <c r="N18" s="127" t="inlineStr">
        <is>
          <t>Qualified</t>
        </is>
      </c>
      <c r="O18" s="127" t="n"/>
      <c r="P18" s="127" t="n"/>
      <c r="Q18" s="127" t="inlineStr">
        <is>
          <t>Lost</t>
        </is>
      </c>
      <c r="R18" s="127" t="n"/>
      <c r="S18" s="127" t="inlineStr">
        <is>
          <t>Paid Ads</t>
        </is>
      </c>
      <c r="T18" s="127" t="inlineStr">
        <is>
          <t>Case Study</t>
        </is>
      </c>
      <c r="U18" s="127" t="inlineStr">
        <is>
          <t>Completed</t>
        </is>
      </c>
      <c r="V18" s="127" t="inlineStr">
        <is>
          <t>Completed</t>
        </is>
      </c>
      <c r="W18" s="127" t="inlineStr">
        <is>
          <t>Paused</t>
        </is>
      </c>
      <c r="X18" s="127" t="inlineStr">
        <is>
          <t>Ended</t>
        </is>
      </c>
      <c r="Y18" s="127" t="n"/>
      <c r="Z18" s="127" t="inlineStr">
        <is>
          <t>Completed</t>
        </is>
      </c>
      <c r="AA18" s="127" t="inlineStr">
        <is>
          <t>Self</t>
        </is>
      </c>
      <c r="AB18" s="127" t="inlineStr">
        <is>
          <t>2025-04</t>
        </is>
      </c>
      <c r="AD18" s="128" t="str">
        <f>IF('CLIENT MASTER'!$A$7="","",'CLIENT MASTER'!$A$7)</f>
        <v>Eternelle</v>
      </c>
      <c r="AE18" s="128" t="str">
        <f>IF('CAMPAIGN MASTER'!$B$7="","",'CAMPAIGN MASTER'!$B$7)</f>
        <v>SAP Partner Campaign - Netizen</v>
      </c>
      <c r="AF18" s="128" t="str">
        <f>IF('MASTER DATA'!$A$17="","",'MASTER DATA'!$A$17)</f>
        <v>Riya Diwan</v>
      </c>
      <c r="AG18" s="128" t="str">
        <f>IF('MASTER DATA'!$K$17="","",'MASTER DATA'!$K$17)</f>
        <v>WhatsApp</v>
      </c>
      <c r="AH18" s="128" t="str">
        <f>IF('MASTER DATA'!$H$17="","",'MASTER DATA'!$H$17)</f>
        <v>Completed</v>
      </c>
      <c r="AI18" s="128" t="str">
        <f>IF('MASTER DATA'!$I$17="","",'MASTER DATA'!$I$17)</f>
        <v>Live</v>
      </c>
      <c r="AJ18" s="128" t="str">
        <f>IF('MASTER DATA'!$AB$17="","",'MASTER DATA'!$AB$17)</f>
        <v>2025-03</v>
      </c>
    </row>
    <row r="19">
      <c r="A19" s="65" t="inlineStr">
        <is>
          <t>Rahul Sondhi</t>
        </is>
      </c>
      <c r="B19" s="65" t="inlineStr">
        <is>
          <t>Video Lead</t>
        </is>
      </c>
      <c r="C19" s="65" t="inlineStr">
        <is>
          <t>Chola MS | Magnasoft | Vestrics</t>
        </is>
      </c>
      <c r="D19" s="65" t="inlineStr">
        <is>
          <t>Twice a week (Tue &amp; Fri)</t>
        </is>
      </c>
      <c r="G19" s="127" t="n"/>
      <c r="H19" s="127" t="inlineStr">
        <is>
          <t>Blocked</t>
        </is>
      </c>
      <c r="I19" s="127" t="inlineStr">
        <is>
          <t>Paused</t>
        </is>
      </c>
      <c r="J19" s="127" t="inlineStr">
        <is>
          <t>SEO</t>
        </is>
      </c>
      <c r="K19" s="127" t="inlineStr">
        <is>
          <t>Google Ads</t>
        </is>
      </c>
      <c r="L19" s="127" t="n"/>
      <c r="M19" s="127" t="inlineStr">
        <is>
          <t>APAC</t>
        </is>
      </c>
      <c r="N19" s="127" t="inlineStr">
        <is>
          <t>Passed to Sales</t>
        </is>
      </c>
      <c r="O19" s="127" t="n"/>
      <c r="P19" s="127" t="n"/>
      <c r="Q19" s="127" t="n"/>
      <c r="R19" s="127" t="n"/>
      <c r="S19" s="127" t="inlineStr">
        <is>
          <t>Website</t>
        </is>
      </c>
      <c r="T19" s="127" t="inlineStr">
        <is>
          <t>Whitepaper</t>
        </is>
      </c>
      <c r="U19" s="127" t="inlineStr">
        <is>
          <t>On Hold</t>
        </is>
      </c>
      <c r="V19" s="127" t="inlineStr">
        <is>
          <t>Paused</t>
        </is>
      </c>
      <c r="W19" s="127" t="inlineStr">
        <is>
          <t>Completed</t>
        </is>
      </c>
      <c r="X19" s="127" t="inlineStr">
        <is>
          <t>To Confirm</t>
        </is>
      </c>
      <c r="Y19" s="127" t="n"/>
      <c r="Z19" s="127" t="inlineStr">
        <is>
          <t>On Hold</t>
        </is>
      </c>
      <c r="AA19" s="127" t="n"/>
      <c r="AB19" s="127" t="inlineStr">
        <is>
          <t>2025-05</t>
        </is>
      </c>
      <c r="AD19" s="128" t="str">
        <f>IF('CLIENT MASTER'!$A$8="","",'CLIENT MASTER'!$A$8)</f>
        <v>Vestrics</v>
      </c>
      <c r="AE19" s="128" t="str">
        <f>IF('CAMPAIGN MASTER'!$B$8="","",'CAMPAIGN MASTER'!$B$8)</f>
        <v>SAP Partner Campaign - Ikyam</v>
      </c>
      <c r="AF19" s="128" t="str">
        <f>IF('MASTER DATA'!$A$18="","",'MASTER DATA'!$A$18)</f>
        <v>Surbhi Pandey</v>
      </c>
      <c r="AG19" s="128" t="str">
        <f>IF('MASTER DATA'!$K$18="","",'MASTER DATA'!$K$18)</f>
        <v>LinkedIn Outreach</v>
      </c>
      <c r="AH19" s="128" t="str">
        <f>IF('MASTER DATA'!$H$18="","",'MASTER DATA'!$H$18)</f>
        <v>On Hold</v>
      </c>
      <c r="AI19" s="128" t="str">
        <f>IF('MASTER DATA'!$I$18="","",'MASTER DATA'!$I$18)</f>
        <v>Optimizing</v>
      </c>
      <c r="AJ19" s="128" t="str">
        <f>IF('MASTER DATA'!$AB$18="","",'MASTER DATA'!$AB$18)</f>
        <v>2025-04</v>
      </c>
    </row>
    <row r="20">
      <c r="A20" s="65" t="inlineStr">
        <is>
          <t>Priyanshu</t>
        </is>
      </c>
      <c r="B20" s="65" t="inlineStr">
        <is>
          <t>Content Lead</t>
        </is>
      </c>
      <c r="C20" s="65" t="inlineStr">
        <is>
          <t>Chola MS | Vestrics | Magnasoft | Tata MECCA Campaign</t>
        </is>
      </c>
      <c r="D20" s="65" t="inlineStr">
        <is>
          <t>Work from Home / Remote</t>
        </is>
      </c>
      <c r="G20" s="127" t="n"/>
      <c r="H20" s="127" t="inlineStr">
        <is>
          <t>Cancelled</t>
        </is>
      </c>
      <c r="I20" s="127" t="inlineStr">
        <is>
          <t>Completed</t>
        </is>
      </c>
      <c r="J20" s="127" t="inlineStr">
        <is>
          <t>Social Media</t>
        </is>
      </c>
      <c r="K20" s="127" t="inlineStr">
        <is>
          <t>Meta Ads</t>
        </is>
      </c>
      <c r="L20" s="127" t="n"/>
      <c r="M20" s="127" t="inlineStr">
        <is>
          <t>Singapore</t>
        </is>
      </c>
      <c r="N20" s="127" t="inlineStr">
        <is>
          <t>Converted</t>
        </is>
      </c>
      <c r="O20" s="127" t="n"/>
      <c r="P20" s="127" t="n"/>
      <c r="Q20" s="127" t="n"/>
      <c r="R20" s="127" t="n"/>
      <c r="S20" s="127" t="inlineStr">
        <is>
          <t>Landing Page</t>
        </is>
      </c>
      <c r="T20" s="127" t="inlineStr">
        <is>
          <t>SEO</t>
        </is>
      </c>
      <c r="U20" s="127" t="inlineStr">
        <is>
          <t>Blocked</t>
        </is>
      </c>
      <c r="V20" s="127" t="inlineStr">
        <is>
          <t>Cancelled</t>
        </is>
      </c>
      <c r="W20" s="127" t="inlineStr">
        <is>
          <t>Cancelled</t>
        </is>
      </c>
      <c r="X20" s="127" t="n"/>
      <c r="Y20" s="127" t="n"/>
      <c r="Z20" s="127" t="inlineStr">
        <is>
          <t>Blocked</t>
        </is>
      </c>
      <c r="AA20" s="127" t="n"/>
      <c r="AB20" s="127" t="inlineStr">
        <is>
          <t>2025-06</t>
        </is>
      </c>
      <c r="AD20" s="128" t="str">
        <f>IF('CLIENT MASTER'!$A$9="","",'CLIENT MASTER'!$A$9)</f>
        <v>Lenovo</v>
      </c>
      <c r="AE20" s="128" t="str">
        <f>IF('CAMPAIGN MASTER'!$B$9="","",'CAMPAIGN MASTER'!$B$9)</f>
        <v>SAP Partner Campaign - Castaliaz</v>
      </c>
      <c r="AF20" s="128" t="str">
        <f>IF('MASTER DATA'!$A$19="","",'MASTER DATA'!$A$19)</f>
        <v>Rahul Sondhi</v>
      </c>
      <c r="AG20" s="128" t="str">
        <f>IF('MASTER DATA'!$K$19="","",'MASTER DATA'!$K$19)</f>
        <v>Google Ads</v>
      </c>
      <c r="AH20" s="128" t="str">
        <f>IF('MASTER DATA'!$H$19="","",'MASTER DATA'!$H$19)</f>
        <v>Blocked</v>
      </c>
      <c r="AI20" s="128" t="str">
        <f>IF('MASTER DATA'!$I$19="","",'MASTER DATA'!$I$19)</f>
        <v>Paused</v>
      </c>
      <c r="AJ20" s="128" t="str">
        <f>IF('MASTER DATA'!$AB$19="","",'MASTER DATA'!$AB$19)</f>
        <v>2025-05</v>
      </c>
    </row>
    <row r="21">
      <c r="A21" s="65" t="inlineStr">
        <is>
          <t>Richi Bagla</t>
        </is>
      </c>
      <c r="B21" s="65" t="inlineStr">
        <is>
          <t>Paid Ads Specialist / Program Manager</t>
        </is>
      </c>
      <c r="C21" s="65" t="inlineStr">
        <is>
          <t>Equinix | Eternelle Aesthetics | Ruckus Networks | Vestrics</t>
        </is>
      </c>
      <c r="D21" s="65" t="inlineStr">
        <is>
          <t>Twice a week (Tue &amp; Fri)</t>
        </is>
      </c>
      <c r="G21" s="127" t="n"/>
      <c r="H21" s="127" t="n"/>
      <c r="I21" s="127" t="inlineStr">
        <is>
          <t>Cancelled</t>
        </is>
      </c>
      <c r="J21" s="127" t="inlineStr">
        <is>
          <t>Content</t>
        </is>
      </c>
      <c r="K21" s="127" t="inlineStr">
        <is>
          <t>LinkedIn Ads</t>
        </is>
      </c>
      <c r="L21" s="127" t="n"/>
      <c r="M21" s="127" t="inlineStr">
        <is>
          <t>Middle East</t>
        </is>
      </c>
      <c r="N21" s="127" t="inlineStr">
        <is>
          <t>Rejected</t>
        </is>
      </c>
      <c r="O21" s="127" t="n"/>
      <c r="P21" s="127" t="n"/>
      <c r="Q21" s="127" t="n"/>
      <c r="R21" s="127" t="n"/>
      <c r="S21" s="127" t="inlineStr">
        <is>
          <t>SEO</t>
        </is>
      </c>
      <c r="T21" s="127" t="inlineStr">
        <is>
          <t>Content</t>
        </is>
      </c>
      <c r="U21" s="127" t="inlineStr">
        <is>
          <t>Cancelled</t>
        </is>
      </c>
      <c r="V21" s="127" t="n"/>
      <c r="W21" s="127" t="n"/>
      <c r="X21" s="127" t="n"/>
      <c r="Y21" s="127" t="n"/>
      <c r="Z21" s="127" t="n"/>
      <c r="AA21" s="127" t="n"/>
      <c r="AB21" s="127" t="inlineStr">
        <is>
          <t>2025-07</t>
        </is>
      </c>
      <c r="AD21" s="128" t="str">
        <f>IF('CLIENT MASTER'!$A$10="","",'CLIENT MASTER'!$A$10)</f>
        <v>SAP</v>
      </c>
      <c r="AE21" s="128" t="str">
        <f>IF('CAMPAIGN MASTER'!$B$10="","",'CAMPAIGN MASTER'!$B$10)</f>
        <v>SAP Partner Campaign - Truspeq</v>
      </c>
      <c r="AF21" s="128" t="str">
        <f>IF('MASTER DATA'!$A$20="","",'MASTER DATA'!$A$20)</f>
        <v>Priyanshu</v>
      </c>
      <c r="AG21" s="128" t="str">
        <f>IF('MASTER DATA'!$K$20="","",'MASTER DATA'!$K$20)</f>
        <v>Meta Ads</v>
      </c>
      <c r="AH21" s="128" t="str">
        <f>IF('MASTER DATA'!$H$20="","",'MASTER DATA'!$H$20)</f>
        <v>Cancelled</v>
      </c>
      <c r="AI21" s="128" t="str">
        <f>IF('MASTER DATA'!$I$20="","",'MASTER DATA'!$I$20)</f>
        <v>Completed</v>
      </c>
      <c r="AJ21" s="128" t="str">
        <f>IF('MASTER DATA'!$AB$20="","",'MASTER DATA'!$AB$20)</f>
        <v>2025-06</v>
      </c>
    </row>
    <row r="22">
      <c r="A22" s="65" t="inlineStr">
        <is>
          <t>Kapil Chadha</t>
        </is>
      </c>
      <c r="B22" s="65" t="inlineStr">
        <is>
          <t>Consultant - SEO</t>
        </is>
      </c>
      <c r="C22" s="65" t="inlineStr">
        <is>
          <t>Chola MS</t>
        </is>
      </c>
      <c r="D22" s="65" t="inlineStr">
        <is>
          <t>Work from Home / Remote</t>
        </is>
      </c>
      <c r="G22" s="127" t="n"/>
      <c r="H22" s="127" t="n"/>
      <c r="I22" s="127" t="n"/>
      <c r="J22" s="127" t="inlineStr">
        <is>
          <t>Website</t>
        </is>
      </c>
      <c r="K22" s="127" t="inlineStr">
        <is>
          <t>Other Paid</t>
        </is>
      </c>
      <c r="L22" s="127" t="n"/>
      <c r="M22" s="127" t="inlineStr">
        <is>
          <t>Europe</t>
        </is>
      </c>
      <c r="N22" s="127" t="inlineStr">
        <is>
          <t>Nurture</t>
        </is>
      </c>
      <c r="O22" s="127" t="n"/>
      <c r="P22" s="127" t="n"/>
      <c r="Q22" s="127" t="n"/>
      <c r="R22" s="127" t="n"/>
      <c r="S22" s="127" t="inlineStr">
        <is>
          <t>Webinar / Event</t>
        </is>
      </c>
      <c r="T22" s="127" t="inlineStr">
        <is>
          <t>Video</t>
        </is>
      </c>
      <c r="U22" s="127" t="n"/>
      <c r="V22" s="127" t="n"/>
      <c r="W22" s="127" t="n"/>
      <c r="X22" s="127" t="n"/>
      <c r="Y22" s="127" t="n"/>
      <c r="Z22" s="127" t="n"/>
      <c r="AA22" s="127" t="n"/>
      <c r="AB22" s="127" t="inlineStr">
        <is>
          <t>2025-08</t>
        </is>
      </c>
      <c r="AD22" s="128" t="str">
        <f>IF('CLIENT MASTER'!$A$11="","",'CLIENT MASTER'!$A$11)</f>
        <v>Tata Communications</v>
      </c>
      <c r="AE22" s="128" t="str">
        <f>IF('CAMPAIGN MASTER'!$B$11="","",'CAMPAIGN MASTER'!$B$11)</f>
        <v>SAP Partner Campaign - NTT Data</v>
      </c>
      <c r="AF22" s="128" t="str">
        <f>IF('MASTER DATA'!$A$21="","",'MASTER DATA'!$A$21)</f>
        <v>Richi Bagla</v>
      </c>
      <c r="AG22" s="128" t="str">
        <f>IF('MASTER DATA'!$K$21="","",'MASTER DATA'!$K$21)</f>
        <v>LinkedIn Ads</v>
      </c>
      <c r="AH22" s="128" t="str">
        <f>IF('MASTER DATA'!$H$21="","",'MASTER DATA'!$H$21)</f>
        <v/>
      </c>
      <c r="AI22" s="128" t="str">
        <f>IF('MASTER DATA'!$I$21="","",'MASTER DATA'!$I$21)</f>
        <v>Cancelled</v>
      </c>
      <c r="AJ22" s="128" t="str">
        <f>IF('MASTER DATA'!$AB$21="","",'MASTER DATA'!$AB$21)</f>
        <v>2025-07</v>
      </c>
    </row>
    <row r="23">
      <c r="A23" s="65" t="n"/>
      <c r="B23" s="65" t="n"/>
      <c r="C23" s="65" t="n"/>
      <c r="D23" s="65" t="n"/>
      <c r="G23" s="127" t="n"/>
      <c r="H23" s="127" t="n"/>
      <c r="I23" s="127" t="n"/>
      <c r="J23" s="127" t="inlineStr">
        <is>
          <t>Landing Pages</t>
        </is>
      </c>
      <c r="K23" s="127" t="inlineStr">
        <is>
          <t>SEO</t>
        </is>
      </c>
      <c r="L23" s="127" t="n"/>
      <c r="M23" s="127" t="inlineStr">
        <is>
          <t>North America</t>
        </is>
      </c>
      <c r="N23" s="127" t="n"/>
      <c r="O23" s="127" t="n"/>
      <c r="P23" s="127" t="n"/>
      <c r="Q23" s="127" t="n"/>
      <c r="R23" s="127" t="n"/>
      <c r="S23" s="127" t="inlineStr">
        <is>
          <t>WhatsApp</t>
        </is>
      </c>
      <c r="T23" s="127" t="inlineStr">
        <is>
          <t>Webinar</t>
        </is>
      </c>
      <c r="U23" s="127" t="n"/>
      <c r="V23" s="127" t="n"/>
      <c r="W23" s="127" t="n"/>
      <c r="X23" s="127" t="n"/>
      <c r="Y23" s="127" t="n"/>
      <c r="Z23" s="127" t="n"/>
      <c r="AA23" s="127" t="n"/>
      <c r="AB23" s="127" t="inlineStr">
        <is>
          <t>2025-09</t>
        </is>
      </c>
      <c r="AD23" s="128" t="str">
        <f>IF('CLIENT MASTER'!$A$12="","",'CLIENT MASTER'!$A$12)</f>
        <v>Tata Communications MECCA</v>
      </c>
      <c r="AE23" s="128" t="str">
        <f>IF('CAMPAIGN MASTER'!$B$12="","",'CAMPAIGN MASTER'!$B$12)</f>
        <v>SAP Partner Campaign - Abeam TH</v>
      </c>
      <c r="AF23" s="128" t="str">
        <f>IF('MASTER DATA'!$A$22="","",'MASTER DATA'!$A$22)</f>
        <v>Kapil Chadha</v>
      </c>
      <c r="AG23" s="128" t="str">
        <f>IF('MASTER DATA'!$K$22="","",'MASTER DATA'!$K$22)</f>
        <v>Other Paid</v>
      </c>
      <c r="AH23" s="128" t="str">
        <f>IF('MASTER DATA'!$H$22="","",'MASTER DATA'!$H$22)</f>
        <v/>
      </c>
      <c r="AI23" s="128" t="str">
        <f>IF('MASTER DATA'!$I$22="","",'MASTER DATA'!$I$22)</f>
        <v/>
      </c>
      <c r="AJ23" s="128" t="str">
        <f>IF('MASTER DATA'!$AB$22="","",'MASTER DATA'!$AB$22)</f>
        <v>2025-08</v>
      </c>
    </row>
    <row r="24">
      <c r="A24" s="65" t="n"/>
      <c r="B24" s="65" t="n"/>
      <c r="C24" s="65" t="n"/>
      <c r="D24" s="65" t="n"/>
      <c r="G24" s="127" t="n"/>
      <c r="H24" s="127" t="n"/>
      <c r="I24" s="127" t="n"/>
      <c r="J24" s="127" t="inlineStr">
        <is>
          <t>Reporting &amp; Analytics</t>
        </is>
      </c>
      <c r="K24" s="127" t="inlineStr">
        <is>
          <t>Website</t>
        </is>
      </c>
      <c r="L24" s="127" t="n"/>
      <c r="M24" s="127" t="inlineStr">
        <is>
          <t>Global</t>
        </is>
      </c>
      <c r="N24" s="127" t="n"/>
      <c r="O24" s="127" t="n"/>
      <c r="P24" s="127" t="n"/>
      <c r="Q24" s="127" t="n"/>
      <c r="R24" s="127" t="n"/>
      <c r="S24" s="127" t="inlineStr">
        <is>
          <t>Referral</t>
        </is>
      </c>
      <c r="T24" s="127" t="inlineStr">
        <is>
          <t>Other</t>
        </is>
      </c>
      <c r="U24" s="127" t="n"/>
      <c r="V24" s="127" t="n"/>
      <c r="W24" s="127" t="n"/>
      <c r="X24" s="127" t="n"/>
      <c r="Y24" s="127" t="n"/>
      <c r="Z24" s="127" t="n"/>
      <c r="AA24" s="127" t="n"/>
      <c r="AB24" s="127" t="inlineStr">
        <is>
          <t>2025-10</t>
        </is>
      </c>
      <c r="AD24" s="128" t="str">
        <f>IF('CLIENT MASTER'!$A$13="","",'CLIENT MASTER'!$A$13)</f>
        <v>Salesforce</v>
      </c>
      <c r="AE24" s="128" t="str">
        <f>IF('CAMPAIGN MASTER'!$B$13="","",'CAMPAIGN MASTER'!$B$13)</f>
        <v>Utimaco Singapore</v>
      </c>
      <c r="AF24" s="128" t="str">
        <f>IF('MASTER DATA'!$A$23="","",'MASTER DATA'!$A$23)</f>
        <v/>
      </c>
      <c r="AG24" s="128" t="str">
        <f>IF('MASTER DATA'!$K$23="","",'MASTER DATA'!$K$23)</f>
        <v>SEO</v>
      </c>
      <c r="AH24" s="128" t="str">
        <f>IF('MASTER DATA'!$H$23="","",'MASTER DATA'!$H$23)</f>
        <v/>
      </c>
      <c r="AI24" s="128" t="str">
        <f>IF('MASTER DATA'!$I$23="","",'MASTER DATA'!$I$23)</f>
        <v/>
      </c>
      <c r="AJ24" s="128" t="str">
        <f>IF('MASTER DATA'!$AB$23="","",'MASTER DATA'!$AB$23)</f>
        <v>2025-09</v>
      </c>
    </row>
    <row r="25">
      <c r="A25" s="65" t="n"/>
      <c r="B25" s="65" t="n"/>
      <c r="C25" s="65" t="n"/>
      <c r="D25" s="65" t="n"/>
      <c r="G25" s="127" t="n"/>
      <c r="H25" s="127" t="n"/>
      <c r="I25" s="127" t="n"/>
      <c r="J25" s="127" t="inlineStr">
        <is>
          <t>Client Coordination</t>
        </is>
      </c>
      <c r="K25" s="127" t="inlineStr">
        <is>
          <t>Landing Page</t>
        </is>
      </c>
      <c r="L25" s="127" t="n"/>
      <c r="M25" s="127" t="inlineStr">
        <is>
          <t>Other</t>
        </is>
      </c>
      <c r="N25" s="127" t="n"/>
      <c r="O25" s="127" t="n"/>
      <c r="P25" s="127" t="n"/>
      <c r="Q25" s="127" t="n"/>
      <c r="R25" s="127" t="n"/>
      <c r="S25" s="127" t="inlineStr">
        <is>
          <t>Other</t>
        </is>
      </c>
      <c r="T25" s="127" t="n"/>
      <c r="U25" s="127" t="n"/>
      <c r="V25" s="127" t="n"/>
      <c r="W25" s="127" t="n"/>
      <c r="X25" s="127" t="n"/>
      <c r="Y25" s="127" t="n"/>
      <c r="Z25" s="127" t="n"/>
      <c r="AA25" s="127" t="n"/>
      <c r="AB25" s="127" t="inlineStr">
        <is>
          <t>2025-11</t>
        </is>
      </c>
      <c r="AD25" s="128" t="str">
        <f>IF('CLIENT MASTER'!$A$14="","",'CLIENT MASTER'!$A$14)</f>
        <v>Ruckus Networks</v>
      </c>
      <c r="AE25" s="128" t="str">
        <f>IF('CAMPAIGN MASTER'!$B$14="","",'CAMPAIGN MASTER'!$B$14)</f>
        <v>SAP Success Factor HR Bengaluru</v>
      </c>
      <c r="AF25" s="128" t="str">
        <f>IF('MASTER DATA'!$A$24="","",'MASTER DATA'!$A$24)</f>
        <v/>
      </c>
      <c r="AG25" s="128" t="str">
        <f>IF('MASTER DATA'!$K$24="","",'MASTER DATA'!$K$24)</f>
        <v>Website</v>
      </c>
      <c r="AH25" s="128" t="str">
        <f>IF('MASTER DATA'!$H$24="","",'MASTER DATA'!$H$24)</f>
        <v/>
      </c>
      <c r="AI25" s="128" t="str">
        <f>IF('MASTER DATA'!$I$24="","",'MASTER DATA'!$I$24)</f>
        <v/>
      </c>
      <c r="AJ25" s="128" t="str">
        <f>IF('MASTER DATA'!$AB$24="","",'MASTER DATA'!$AB$24)</f>
        <v>2025-10</v>
      </c>
    </row>
    <row r="26">
      <c r="A26" s="65" t="n"/>
      <c r="B26" s="65" t="n"/>
      <c r="C26" s="65" t="n"/>
      <c r="D26" s="65" t="n"/>
      <c r="G26" s="127" t="n"/>
      <c r="H26" s="127" t="n"/>
      <c r="I26" s="127" t="n"/>
      <c r="J26" s="127" t="inlineStr">
        <is>
          <t>Internal Coordination</t>
        </is>
      </c>
      <c r="K26" s="127" t="inlineStr">
        <is>
          <t>Content</t>
        </is>
      </c>
      <c r="L26" s="127" t="n"/>
      <c r="M26" s="127" t="n"/>
      <c r="N26" s="127" t="n"/>
      <c r="O26" s="127" t="n"/>
      <c r="P26" s="127" t="n"/>
      <c r="Q26" s="127" t="n"/>
      <c r="R26" s="127" t="n"/>
      <c r="S26" s="127" t="n"/>
      <c r="T26" s="127" t="n"/>
      <c r="U26" s="127" t="n"/>
      <c r="V26" s="127" t="n"/>
      <c r="W26" s="127" t="n"/>
      <c r="X26" s="127" t="n"/>
      <c r="Y26" s="127" t="n"/>
      <c r="Z26" s="127" t="n"/>
      <c r="AA26" s="127" t="n"/>
      <c r="AB26" s="127" t="inlineStr">
        <is>
          <t>2025-12</t>
        </is>
      </c>
      <c r="AD26" s="128" t="str">
        <f>IF('CLIENT MASTER'!$A$15="","",'CLIENT MASTER'!$A$15)</f>
        <v>Google Chrome Enterprise</v>
      </c>
      <c r="AE26" s="128" t="str">
        <f>IF('CAMPAIGN MASTER'!$B$15="","",'CAMPAIGN MASTER'!$B$15)</f>
        <v>SAP Viksit Bharat</v>
      </c>
      <c r="AF26" s="128" t="str">
        <f>IF('MASTER DATA'!$A$25="","",'MASTER DATA'!$A$25)</f>
        <v/>
      </c>
      <c r="AG26" s="128" t="str">
        <f>IF('MASTER DATA'!$K$25="","",'MASTER DATA'!$K$25)</f>
        <v>Landing Page</v>
      </c>
      <c r="AH26" s="128" t="str">
        <f>IF('MASTER DATA'!$H$25="","",'MASTER DATA'!$H$25)</f>
        <v/>
      </c>
      <c r="AI26" s="128" t="str">
        <f>IF('MASTER DATA'!$I$25="","",'MASTER DATA'!$I$25)</f>
        <v/>
      </c>
      <c r="AJ26" s="128" t="str">
        <f>IF('MASTER DATA'!$AB$25="","",'MASTER DATA'!$AB$25)</f>
        <v>2025-11</v>
      </c>
    </row>
    <row r="27">
      <c r="A27" s="65" t="n"/>
      <c r="B27" s="65" t="n"/>
      <c r="C27" s="65" t="n"/>
      <c r="D27" s="65" t="n"/>
      <c r="G27" s="127" t="n"/>
      <c r="H27" s="127" t="n"/>
      <c r="I27" s="127" t="n"/>
      <c r="J27" s="127" t="inlineStr">
        <is>
          <t>Planning &amp; Strategy</t>
        </is>
      </c>
      <c r="K27" s="127" t="inlineStr">
        <is>
          <t>Social Media</t>
        </is>
      </c>
      <c r="L27" s="127" t="n"/>
      <c r="M27" s="127" t="n"/>
      <c r="N27" s="127" t="n"/>
      <c r="O27" s="127" t="n"/>
      <c r="P27" s="127" t="n"/>
      <c r="Q27" s="127" t="n"/>
      <c r="R27" s="127" t="n"/>
      <c r="S27" s="127" t="n"/>
      <c r="T27" s="127" t="n"/>
      <c r="U27" s="127" t="n"/>
      <c r="V27" s="127" t="n"/>
      <c r="W27" s="127" t="n"/>
      <c r="X27" s="127" t="n"/>
      <c r="Y27" s="127" t="n"/>
      <c r="Z27" s="127" t="n"/>
      <c r="AA27" s="127" t="n"/>
      <c r="AB27" s="127" t="inlineStr">
        <is>
          <t>2026-01</t>
        </is>
      </c>
      <c r="AD27" s="128" t="str">
        <f>IF('CLIENT MASTER'!$A$16="","",'CLIENT MASTER'!$A$16)</f>
        <v>Equinix</v>
      </c>
      <c r="AE27" s="128" t="str">
        <f>IF('CAMPAIGN MASTER'!$B$16="","",'CAMPAIGN MASTER'!$B$16)</f>
        <v>SAP Success Factor Delhi</v>
      </c>
      <c r="AF27" s="128" t="str">
        <f>IF('MASTER DATA'!$A$26="","",'MASTER DATA'!$A$26)</f>
        <v/>
      </c>
      <c r="AG27" s="128" t="str">
        <f>IF('MASTER DATA'!$K$26="","",'MASTER DATA'!$K$26)</f>
        <v>Content</v>
      </c>
      <c r="AH27" s="128" t="str">
        <f>IF('MASTER DATA'!$H$26="","",'MASTER DATA'!$H$26)</f>
        <v/>
      </c>
      <c r="AI27" s="128" t="str">
        <f>IF('MASTER DATA'!$I$26="","",'MASTER DATA'!$I$26)</f>
        <v/>
      </c>
      <c r="AJ27" s="128" t="str">
        <f>IF('MASTER DATA'!$AB$26="","",'MASTER DATA'!$AB$26)</f>
        <v>2025-12</v>
      </c>
    </row>
    <row r="28">
      <c r="A28" s="65" t="n"/>
      <c r="B28" s="65" t="n"/>
      <c r="C28" s="65" t="n"/>
      <c r="D28" s="65" t="n"/>
      <c r="G28" s="127" t="n"/>
      <c r="H28" s="127" t="n"/>
      <c r="I28" s="127" t="n"/>
      <c r="J28" s="127" t="inlineStr">
        <is>
          <t>Lead Management</t>
        </is>
      </c>
      <c r="K28" s="127" t="inlineStr">
        <is>
          <t>Video</t>
        </is>
      </c>
      <c r="L28" s="127" t="n"/>
      <c r="M28" s="127" t="n"/>
      <c r="N28" s="127" t="n"/>
      <c r="O28" s="127" t="n"/>
      <c r="P28" s="127" t="n"/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27" t="n"/>
      <c r="AA28" s="127" t="n"/>
      <c r="AB28" s="127" t="inlineStr">
        <is>
          <t>2026-02</t>
        </is>
      </c>
      <c r="AD28" s="128" t="str">
        <f>IF('CLIENT MASTER'!$A$17="","",'CLIENT MASTER'!$A$17)</f>
        <v>Sonalika Tractors</v>
      </c>
      <c r="AE28" s="128" t="str">
        <f>IF('CAMPAIGN MASTER'!$B$17="","",'CAMPAIGN MASTER'!$B$17)</f>
        <v>SAP HRMS</v>
      </c>
      <c r="AF28" s="128" t="str">
        <f>IF('MASTER DATA'!$A$27="","",'MASTER DATA'!$A$27)</f>
        <v/>
      </c>
      <c r="AG28" s="128" t="str">
        <f>IF('MASTER DATA'!$K$27="","",'MASTER DATA'!$K$27)</f>
        <v>Social Media</v>
      </c>
      <c r="AH28" s="128" t="str">
        <f>IF('MASTER DATA'!$H$27="","",'MASTER DATA'!$H$27)</f>
        <v/>
      </c>
      <c r="AI28" s="128" t="str">
        <f>IF('MASTER DATA'!$I$27="","",'MASTER DATA'!$I$27)</f>
        <v/>
      </c>
      <c r="AJ28" s="128" t="str">
        <f>IF('MASTER DATA'!$AB$27="","",'MASTER DATA'!$AB$27)</f>
        <v>2026-01</v>
      </c>
    </row>
    <row r="29">
      <c r="A29" s="65" t="n"/>
      <c r="B29" s="65" t="n"/>
      <c r="C29" s="65" t="n"/>
      <c r="D29" s="65" t="n"/>
      <c r="G29" s="127" t="n"/>
      <c r="H29" s="127" t="n"/>
      <c r="I29" s="127" t="n"/>
      <c r="J29" s="127" t="inlineStr">
        <is>
          <t>Creative &amp; Design</t>
        </is>
      </c>
      <c r="K29" s="127" t="inlineStr">
        <is>
          <t>Webinar / Events</t>
        </is>
      </c>
      <c r="L29" s="127" t="n"/>
      <c r="M29" s="127" t="n"/>
      <c r="N29" s="127" t="n"/>
      <c r="O29" s="127" t="n"/>
      <c r="P29" s="127" t="n"/>
      <c r="Q29" s="127" t="n"/>
      <c r="R29" s="127" t="n"/>
      <c r="S29" s="127" t="n"/>
      <c r="T29" s="127" t="n"/>
      <c r="U29" s="127" t="n"/>
      <c r="V29" s="127" t="n"/>
      <c r="W29" s="127" t="n"/>
      <c r="X29" s="127" t="n"/>
      <c r="Y29" s="127" t="n"/>
      <c r="Z29" s="127" t="n"/>
      <c r="AA29" s="127" t="n"/>
      <c r="AB29" s="127" t="inlineStr">
        <is>
          <t>2026-03</t>
        </is>
      </c>
      <c r="AD29" s="128" t="str">
        <f>IF('CLIENT MASTER'!$A$18="","",'CLIENT MASTER'!$A$18)</f>
        <v>AMEX</v>
      </c>
      <c r="AE29" s="128" t="str">
        <f>IF('CAMPAIGN MASTER'!$B$18="","",'CAMPAIGN MASTER'!$B$18)</f>
        <v>Vestrics - Google Ads</v>
      </c>
      <c r="AF29" s="128" t="str">
        <f>IF('MASTER DATA'!$A$28="","",'MASTER DATA'!$A$28)</f>
        <v/>
      </c>
      <c r="AG29" s="128" t="str">
        <f>IF('MASTER DATA'!$K$28="","",'MASTER DATA'!$K$28)</f>
        <v>Video</v>
      </c>
      <c r="AH29" s="128" t="str">
        <f>IF('MASTER DATA'!$H$28="","",'MASTER DATA'!$H$28)</f>
        <v/>
      </c>
      <c r="AI29" s="128" t="str">
        <f>IF('MASTER DATA'!$I$28="","",'MASTER DATA'!$I$28)</f>
        <v/>
      </c>
      <c r="AJ29" s="128" t="str">
        <f>IF('MASTER DATA'!$AB$28="","",'MASTER DATA'!$AB$28)</f>
        <v>2026-02</v>
      </c>
    </row>
    <row r="30">
      <c r="A30" s="65" t="n"/>
      <c r="B30" s="65" t="n"/>
      <c r="C30" s="65" t="n"/>
      <c r="D30" s="65" t="n"/>
      <c r="G30" s="127" t="n"/>
      <c r="H30" s="127" t="n"/>
      <c r="I30" s="127" t="n"/>
      <c r="J30" s="127" t="inlineStr">
        <is>
          <t>Video</t>
        </is>
      </c>
      <c r="K30" s="127" t="inlineStr">
        <is>
          <t>Multi-channel</t>
        </is>
      </c>
      <c r="L30" s="127" t="n"/>
      <c r="M30" s="127" t="n"/>
      <c r="N30" s="127" t="n"/>
      <c r="O30" s="127" t="n"/>
      <c r="P30" s="127" t="n"/>
      <c r="Q30" s="127" t="n"/>
      <c r="R30" s="127" t="n"/>
      <c r="S30" s="127" t="n"/>
      <c r="T30" s="127" t="n"/>
      <c r="U30" s="127" t="n"/>
      <c r="V30" s="127" t="n"/>
      <c r="W30" s="127" t="n"/>
      <c r="X30" s="127" t="n"/>
      <c r="Y30" s="127" t="n"/>
      <c r="Z30" s="127" t="n"/>
      <c r="AA30" s="127" t="n"/>
      <c r="AB30" s="127" t="inlineStr">
        <is>
          <t>2026-04</t>
        </is>
      </c>
      <c r="AD30" s="128" t="str">
        <f>IF('CLIENT MASTER'!$A$19="","",'CLIENT MASTER'!$A$19)</f>
        <v>Marg Business Transformation</v>
      </c>
      <c r="AE30" s="128" t="str">
        <f>IF('CAMPAIGN MASTER'!$B$19="","",'CAMPAIGN MASTER'!$B$19)</f>
        <v>Eternelle - Google Ads</v>
      </c>
      <c r="AF30" s="128" t="str">
        <f>IF('MASTER DATA'!$A$29="","",'MASTER DATA'!$A$29)</f>
        <v/>
      </c>
      <c r="AG30" s="128" t="str">
        <f>IF('MASTER DATA'!$K$29="","",'MASTER DATA'!$K$29)</f>
        <v>Webinar / Events</v>
      </c>
      <c r="AH30" s="128" t="str">
        <f>IF('MASTER DATA'!$H$29="","",'MASTER DATA'!$H$29)</f>
        <v/>
      </c>
      <c r="AI30" s="128" t="str">
        <f>IF('MASTER DATA'!$I$29="","",'MASTER DATA'!$I$29)</f>
        <v/>
      </c>
      <c r="AJ30" s="128" t="str">
        <f>IF('MASTER DATA'!$AB$29="","",'MASTER DATA'!$AB$29)</f>
        <v>2026-03</v>
      </c>
    </row>
    <row r="31">
      <c r="A31" s="65" t="n"/>
      <c r="B31" s="65" t="n"/>
      <c r="C31" s="65" t="n"/>
      <c r="D31" s="65" t="n"/>
      <c r="G31" s="127" t="n"/>
      <c r="H31" s="127" t="n"/>
      <c r="I31" s="127" t="n"/>
      <c r="J31" s="127" t="inlineStr">
        <is>
          <t>Webinar / Events</t>
        </is>
      </c>
      <c r="K31" s="127" t="inlineStr">
        <is>
          <t>Internal / Coordination</t>
        </is>
      </c>
      <c r="L31" s="127" t="n"/>
      <c r="M31" s="127" t="n"/>
      <c r="N31" s="127" t="n"/>
      <c r="O31" s="127" t="n"/>
      <c r="P31" s="127" t="n"/>
      <c r="Q31" s="127" t="n"/>
      <c r="R31" s="127" t="n"/>
      <c r="S31" s="127" t="n"/>
      <c r="T31" s="127" t="n"/>
      <c r="U31" s="127" t="n"/>
      <c r="V31" s="127" t="n"/>
      <c r="W31" s="127" t="n"/>
      <c r="X31" s="127" t="n"/>
      <c r="Y31" s="127" t="n"/>
      <c r="Z31" s="127" t="n"/>
      <c r="AA31" s="127" t="n"/>
      <c r="AB31" s="127" t="inlineStr">
        <is>
          <t>2026-05</t>
        </is>
      </c>
      <c r="AD31" s="128" t="str">
        <f>IF('CLIENT MASTER'!$A$20="","",'CLIENT MASTER'!$A$20)</f>
        <v>Utimaco Singapore</v>
      </c>
      <c r="AE31" s="128" t="str">
        <f>IF('CAMPAIGN MASTER'!$B$20="","",'CAMPAIGN MASTER'!$B$20)</f>
        <v>Magnasoft - Google Ads</v>
      </c>
      <c r="AF31" s="128" t="str">
        <f>IF('MASTER DATA'!$A$30="","",'MASTER DATA'!$A$30)</f>
        <v/>
      </c>
      <c r="AG31" s="128" t="str">
        <f>IF('MASTER DATA'!$K$30="","",'MASTER DATA'!$K$30)</f>
        <v>Multi-channel</v>
      </c>
      <c r="AH31" s="128" t="str">
        <f>IF('MASTER DATA'!$H$30="","",'MASTER DATA'!$H$30)</f>
        <v/>
      </c>
      <c r="AI31" s="128" t="str">
        <f>IF('MASTER DATA'!$I$30="","",'MASTER DATA'!$I$30)</f>
        <v/>
      </c>
      <c r="AJ31" s="128" t="str">
        <f>IF('MASTER DATA'!$AB$30="","",'MASTER DATA'!$AB$30)</f>
        <v>2026-04</v>
      </c>
    </row>
    <row r="32">
      <c r="A32" s="65" t="n"/>
      <c r="B32" s="65" t="n"/>
      <c r="C32" s="65" t="n"/>
      <c r="D32" s="65" t="n"/>
      <c r="G32" s="127" t="n"/>
      <c r="H32" s="127" t="n"/>
      <c r="I32" s="127" t="n"/>
      <c r="J32" s="127" t="inlineStr">
        <is>
          <t>Other</t>
        </is>
      </c>
      <c r="K32" s="127" t="inlineStr">
        <is>
          <t>Other</t>
        </is>
      </c>
      <c r="L32" s="127" t="n"/>
      <c r="M32" s="127" t="n"/>
      <c r="N32" s="127" t="n"/>
      <c r="O32" s="127" t="n"/>
      <c r="P32" s="127" t="n"/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27" t="n"/>
      <c r="AA32" s="127" t="n"/>
      <c r="AB32" s="127" t="inlineStr">
        <is>
          <t>2026-06</t>
        </is>
      </c>
      <c r="AD32" s="128" t="str">
        <f>IF('CLIENT MASTER'!$A$21="","",'CLIENT MASTER'!$A$21)</f>
        <v/>
      </c>
      <c r="AE32" s="128" t="str">
        <f>IF('CAMPAIGN MASTER'!$B$21="","",'CAMPAIGN MASTER'!$B$21)</f>
        <v>Ruckus - Content Syndication (Email)</v>
      </c>
      <c r="AF32" s="128" t="str">
        <f>IF('MASTER DATA'!$A$31="","",'MASTER DATA'!$A$31)</f>
        <v/>
      </c>
      <c r="AG32" s="128" t="str">
        <f>IF('MASTER DATA'!$K$31="","",'MASTER DATA'!$K$31)</f>
        <v>Internal / Coordination</v>
      </c>
      <c r="AH32" s="128" t="str">
        <f>IF('MASTER DATA'!$H$31="","",'MASTER DATA'!$H$31)</f>
        <v/>
      </c>
      <c r="AI32" s="128" t="str">
        <f>IF('MASTER DATA'!$I$31="","",'MASTER DATA'!$I$31)</f>
        <v/>
      </c>
      <c r="AJ32" s="128" t="str">
        <f>IF('MASTER DATA'!$AB$31="","",'MASTER DATA'!$AB$31)</f>
        <v>2026-05</v>
      </c>
    </row>
    <row r="33">
      <c r="A33" s="65" t="n"/>
      <c r="B33" s="65" t="n"/>
      <c r="C33" s="65" t="n"/>
      <c r="D33" s="65" t="n"/>
      <c r="G33" s="127" t="n"/>
      <c r="H33" s="127" t="n"/>
      <c r="I33" s="127" t="n"/>
      <c r="J33" s="127" t="n"/>
      <c r="K33" s="127" t="n"/>
      <c r="L33" s="127" t="n"/>
      <c r="M33" s="127" t="n"/>
      <c r="N33" s="127" t="n"/>
      <c r="O33" s="127" t="n"/>
      <c r="P33" s="127" t="n"/>
      <c r="Q33" s="127" t="n"/>
      <c r="R33" s="127" t="n"/>
      <c r="S33" s="127" t="n"/>
      <c r="T33" s="127" t="n"/>
      <c r="U33" s="127" t="n"/>
      <c r="V33" s="127" t="n"/>
      <c r="W33" s="127" t="n"/>
      <c r="X33" s="127" t="n"/>
      <c r="Y33" s="127" t="n"/>
      <c r="Z33" s="127" t="n"/>
      <c r="AA33" s="127" t="n"/>
      <c r="AB33" s="127" t="inlineStr">
        <is>
          <t>2026-07</t>
        </is>
      </c>
      <c r="AD33" s="128" t="str">
        <f>IF('CLIENT MASTER'!$A$22="","",'CLIENT MASTER'!$A$22)</f>
        <v/>
      </c>
      <c r="AE33" s="128" t="str">
        <f>IF('CAMPAIGN MASTER'!$B$22="","",'CAMPAIGN MASTER'!$B$22)</f>
        <v>Equinix - Content Syndication (Email)</v>
      </c>
      <c r="AF33" s="128" t="str">
        <f>IF('MASTER DATA'!$A$32="","",'MASTER DATA'!$A$32)</f>
        <v/>
      </c>
      <c r="AG33" s="128" t="str">
        <f>IF('MASTER DATA'!$K$32="","",'MASTER DATA'!$K$32)</f>
        <v>Other</v>
      </c>
      <c r="AH33" s="128" t="str">
        <f>IF('MASTER DATA'!$H$32="","",'MASTER DATA'!$H$32)</f>
        <v/>
      </c>
      <c r="AI33" s="128" t="str">
        <f>IF('MASTER DATA'!$I$32="","",'MASTER DATA'!$I$32)</f>
        <v/>
      </c>
      <c r="AJ33" s="128" t="str">
        <f>IF('MASTER DATA'!$AB$32="","",'MASTER DATA'!$AB$32)</f>
        <v>2026-06</v>
      </c>
    </row>
    <row r="34">
      <c r="A34" s="65" t="n"/>
      <c r="B34" s="65" t="n"/>
      <c r="C34" s="65" t="n"/>
      <c r="D34" s="65" t="n"/>
      <c r="G34" s="127" t="n"/>
      <c r="H34" s="127" t="n"/>
      <c r="I34" s="127" t="n"/>
      <c r="J34" s="127" t="n"/>
      <c r="K34" s="127" t="n"/>
      <c r="L34" s="127" t="n"/>
      <c r="M34" s="127" t="n"/>
      <c r="N34" s="127" t="n"/>
      <c r="O34" s="127" t="n"/>
      <c r="P34" s="127" t="n"/>
      <c r="Q34" s="127" t="n"/>
      <c r="R34" s="127" t="n"/>
      <c r="S34" s="127" t="n"/>
      <c r="T34" s="127" t="n"/>
      <c r="U34" s="127" t="n"/>
      <c r="V34" s="127" t="n"/>
      <c r="W34" s="127" t="n"/>
      <c r="X34" s="127" t="n"/>
      <c r="Y34" s="127" t="n"/>
      <c r="Z34" s="127" t="n"/>
      <c r="AA34" s="127" t="n"/>
      <c r="AB34" s="127" t="inlineStr">
        <is>
          <t>2026-08</t>
        </is>
      </c>
      <c r="AD34" s="128" t="str">
        <f>IF('CLIENT MASTER'!$A$23="","",'CLIENT MASTER'!$A$23)</f>
        <v/>
      </c>
      <c r="AE34" s="128" t="str">
        <f>IF('CAMPAIGN MASTER'!$B$23="","",'CAMPAIGN MASTER'!$B$23)</f>
        <v>Google Chrome - Content Syndication (Email)</v>
      </c>
      <c r="AF34" s="128" t="str">
        <f>IF('MASTER DATA'!$A$33="","",'MASTER DATA'!$A$33)</f>
        <v/>
      </c>
      <c r="AG34" s="128" t="str">
        <f>IF('MASTER DATA'!$K$33="","",'MASTER DATA'!$K$33)</f>
        <v/>
      </c>
      <c r="AH34" s="128" t="str">
        <f>IF('MASTER DATA'!$H$33="","",'MASTER DATA'!$H$33)</f>
        <v/>
      </c>
      <c r="AI34" s="128" t="str">
        <f>IF('MASTER DATA'!$I$33="","",'MASTER DATA'!$I$33)</f>
        <v/>
      </c>
      <c r="AJ34" s="128" t="str">
        <f>IF('MASTER DATA'!$AB$33="","",'MASTER DATA'!$AB$33)</f>
        <v>2026-07</v>
      </c>
    </row>
    <row r="35">
      <c r="G35" s="127" t="n"/>
      <c r="H35" s="127" t="n"/>
      <c r="I35" s="127" t="n"/>
      <c r="J35" s="127" t="n"/>
      <c r="K35" s="127" t="n"/>
      <c r="L35" s="127" t="n"/>
      <c r="M35" s="127" t="n"/>
      <c r="N35" s="127" t="n"/>
      <c r="O35" s="127" t="n"/>
      <c r="P35" s="127" t="n"/>
      <c r="Q35" s="127" t="n"/>
      <c r="R35" s="127" t="n"/>
      <c r="S35" s="127" t="n"/>
      <c r="T35" s="127" t="n"/>
      <c r="U35" s="127" t="n"/>
      <c r="V35" s="127" t="n"/>
      <c r="W35" s="127" t="n"/>
      <c r="X35" s="127" t="n"/>
      <c r="Y35" s="127" t="n"/>
      <c r="Z35" s="127" t="n"/>
      <c r="AA35" s="127" t="n"/>
      <c r="AB35" s="127" t="inlineStr">
        <is>
          <t>2026-09</t>
        </is>
      </c>
      <c r="AD35" s="128" t="str">
        <f>IF('CLIENT MASTER'!$A$24="","",'CLIENT MASTER'!$A$24)</f>
        <v/>
      </c>
      <c r="AE35" s="128" t="str">
        <f>IF('CAMPAIGN MASTER'!$B$24="","",'CAMPAIGN MASTER'!$B$24)</f>
        <v>Chola MS - SEO &amp; Social Media</v>
      </c>
      <c r="AF35" s="128" t="str">
        <f>IF('MASTER DATA'!$A$34="","",'MASTER DATA'!$A$34)</f>
        <v/>
      </c>
      <c r="AG35" s="128" t="str">
        <f>IF('MASTER DATA'!$K$34="","",'MASTER DATA'!$K$34)</f>
        <v/>
      </c>
      <c r="AH35" s="128" t="str">
        <f>IF('MASTER DATA'!$H$34="","",'MASTER DATA'!$H$34)</f>
        <v/>
      </c>
      <c r="AI35" s="128" t="str">
        <f>IF('MASTER DATA'!$I$34="","",'MASTER DATA'!$I$34)</f>
        <v/>
      </c>
      <c r="AJ35" s="128" t="str">
        <f>IF('MASTER DATA'!$AB$34="","",'MASTER DATA'!$AB$34)</f>
        <v>2026-08</v>
      </c>
    </row>
    <row r="36">
      <c r="G36" s="127" t="n"/>
      <c r="H36" s="127" t="n"/>
      <c r="I36" s="127" t="n"/>
      <c r="J36" s="127" t="n"/>
      <c r="K36" s="127" t="n"/>
      <c r="L36" s="127" t="n"/>
      <c r="M36" s="127" t="n"/>
      <c r="N36" s="127" t="n"/>
      <c r="O36" s="127" t="n"/>
      <c r="P36" s="127" t="n"/>
      <c r="Q36" s="127" t="n"/>
      <c r="R36" s="127" t="n"/>
      <c r="S36" s="127" t="n"/>
      <c r="T36" s="127" t="n"/>
      <c r="U36" s="127" t="n"/>
      <c r="V36" s="127" t="n"/>
      <c r="W36" s="127" t="n"/>
      <c r="X36" s="127" t="n"/>
      <c r="Y36" s="127" t="n"/>
      <c r="Z36" s="127" t="n"/>
      <c r="AA36" s="127" t="n"/>
      <c r="AB36" s="127" t="inlineStr">
        <is>
          <t>2026-10</t>
        </is>
      </c>
      <c r="AD36" s="128" t="str">
        <f>IF('CLIENT MASTER'!$A$25="","",'CLIENT MASTER'!$A$25)</f>
        <v/>
      </c>
      <c r="AE36" s="128" t="str">
        <f>IF('CAMPAIGN MASTER'!$B$25="","",'CAMPAIGN MASTER'!$B$25)</f>
        <v>Vestrics - SEO &amp; Social Media</v>
      </c>
      <c r="AG36" s="128" t="str">
        <f>IF('MASTER DATA'!$K$35="","",'MASTER DATA'!$K$35)</f>
        <v/>
      </c>
      <c r="AH36" s="128" t="str">
        <f>IF('MASTER DATA'!$H$35="","",'MASTER DATA'!$H$35)</f>
        <v/>
      </c>
      <c r="AI36" s="128" t="str">
        <f>IF('MASTER DATA'!$I$35="","",'MASTER DATA'!$I$35)</f>
        <v/>
      </c>
      <c r="AJ36" s="128" t="str">
        <f>IF('MASTER DATA'!$AB$35="","",'MASTER DATA'!$AB$35)</f>
        <v>2026-09</v>
      </c>
    </row>
    <row r="37">
      <c r="G37" s="127" t="n"/>
      <c r="H37" s="127" t="n"/>
      <c r="I37" s="127" t="n"/>
      <c r="J37" s="127" t="n"/>
      <c r="K37" s="127" t="n"/>
      <c r="L37" s="127" t="n"/>
      <c r="M37" s="127" t="n"/>
      <c r="N37" s="127" t="n"/>
      <c r="O37" s="127" t="n"/>
      <c r="P37" s="127" t="n"/>
      <c r="Q37" s="127" t="n"/>
      <c r="R37" s="127" t="n"/>
      <c r="S37" s="127" t="n"/>
      <c r="T37" s="127" t="n"/>
      <c r="U37" s="127" t="n"/>
      <c r="V37" s="127" t="n"/>
      <c r="W37" s="127" t="n"/>
      <c r="X37" s="127" t="n"/>
      <c r="Y37" s="127" t="n"/>
      <c r="Z37" s="127" t="n"/>
      <c r="AA37" s="127" t="n"/>
      <c r="AB37" s="127" t="inlineStr">
        <is>
          <t>2026-11</t>
        </is>
      </c>
      <c r="AD37" s="128" t="str">
        <f>IF('CLIENT MASTER'!$A$26="","",'CLIENT MASTER'!$A$26)</f>
        <v/>
      </c>
      <c r="AE37" s="128" t="str">
        <f>IF('CAMPAIGN MASTER'!$B$26="","",'CAMPAIGN MASTER'!$B$26)</f>
        <v>Magnasoft - SEO &amp; Social Media</v>
      </c>
      <c r="AG37" s="128" t="str">
        <f>IF('MASTER DATA'!$K$36="","",'MASTER DATA'!$K$36)</f>
        <v/>
      </c>
      <c r="AH37" s="128" t="str">
        <f>IF('MASTER DATA'!$H$36="","",'MASTER DATA'!$H$36)</f>
        <v/>
      </c>
      <c r="AI37" s="128" t="str">
        <f>IF('MASTER DATA'!$I$36="","",'MASTER DATA'!$I$36)</f>
        <v/>
      </c>
      <c r="AJ37" s="128" t="str">
        <f>IF('MASTER DATA'!$AB$36="","",'MASTER DATA'!$AB$36)</f>
        <v>2026-10</v>
      </c>
    </row>
    <row r="38">
      <c r="G38" s="127" t="n"/>
      <c r="H38" s="127" t="n"/>
      <c r="I38" s="127" t="n"/>
      <c r="J38" s="127" t="n"/>
      <c r="K38" s="127" t="n"/>
      <c r="L38" s="127" t="n"/>
      <c r="M38" s="127" t="n"/>
      <c r="N38" s="127" t="n"/>
      <c r="O38" s="127" t="n"/>
      <c r="P38" s="127" t="n"/>
      <c r="Q38" s="127" t="n"/>
      <c r="R38" s="127" t="n"/>
      <c r="S38" s="127" t="n"/>
      <c r="T38" s="127" t="n"/>
      <c r="U38" s="127" t="n"/>
      <c r="V38" s="127" t="n"/>
      <c r="W38" s="127" t="n"/>
      <c r="X38" s="127" t="n"/>
      <c r="Y38" s="127" t="n"/>
      <c r="Z38" s="127" t="n"/>
      <c r="AA38" s="127" t="n"/>
      <c r="AB38" s="127" t="inlineStr">
        <is>
          <t>2026-12</t>
        </is>
      </c>
      <c r="AD38" s="128" t="str">
        <f>IF('CLIENT MASTER'!$A$27="","",'CLIENT MASTER'!$A$27)</f>
        <v/>
      </c>
      <c r="AE38" s="128" t="str">
        <f>IF('CAMPAIGN MASTER'!$B$27="","",'CAMPAIGN MASTER'!$B$27)</f>
        <v>Eternelle - SEO &amp; Blogs</v>
      </c>
      <c r="AG38" s="128" t="str">
        <f>IF('MASTER DATA'!$K$37="","",'MASTER DATA'!$K$37)</f>
        <v/>
      </c>
      <c r="AH38" s="128" t="str">
        <f>IF('MASTER DATA'!$H$37="","",'MASTER DATA'!$H$37)</f>
        <v/>
      </c>
      <c r="AI38" s="128" t="str">
        <f>IF('MASTER DATA'!$I$37="","",'MASTER DATA'!$I$37)</f>
        <v/>
      </c>
      <c r="AJ38" s="128" t="str">
        <f>IF('MASTER DATA'!$AB$37="","",'MASTER DATA'!$AB$37)</f>
        <v>2026-11</v>
      </c>
    </row>
    <row r="39">
      <c r="G39" s="127" t="n"/>
      <c r="H39" s="127" t="n"/>
      <c r="I39" s="127" t="n"/>
      <c r="J39" s="127" t="n"/>
      <c r="K39" s="127" t="n"/>
      <c r="L39" s="127" t="n"/>
      <c r="M39" s="127" t="n"/>
      <c r="N39" s="127" t="n"/>
      <c r="O39" s="127" t="n"/>
      <c r="P39" s="127" t="n"/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27" t="n"/>
      <c r="AA39" s="127" t="n"/>
      <c r="AB39" s="127" t="inlineStr">
        <is>
          <t>2027-01</t>
        </is>
      </c>
      <c r="AD39" s="128" t="str">
        <f>IF('CLIENT MASTER'!$A$28="","",'CLIENT MASTER'!$A$28)</f>
        <v/>
      </c>
      <c r="AE39" s="128" t="str">
        <f>IF('CAMPAIGN MASTER'!$B$28="","",'CAMPAIGN MASTER'!$B$28)</f>
        <v>Lenovo - Email Deployment</v>
      </c>
      <c r="AG39" s="128" t="str">
        <f>IF('MASTER DATA'!$K$38="","",'MASTER DATA'!$K$38)</f>
        <v/>
      </c>
      <c r="AH39" s="128" t="str">
        <f>IF('MASTER DATA'!$H$38="","",'MASTER DATA'!$H$38)</f>
        <v/>
      </c>
      <c r="AI39" s="128" t="str">
        <f>IF('MASTER DATA'!$I$38="","",'MASTER DATA'!$I$38)</f>
        <v/>
      </c>
      <c r="AJ39" s="128" t="str">
        <f>IF('MASTER DATA'!$AB$38="","",'MASTER DATA'!$AB$38)</f>
        <v>2026-12</v>
      </c>
    </row>
    <row r="40">
      <c r="G40" s="127" t="n"/>
      <c r="H40" s="127" t="n"/>
      <c r="I40" s="127" t="n"/>
      <c r="J40" s="127" t="n"/>
      <c r="K40" s="127" t="n"/>
      <c r="L40" s="127" t="n"/>
      <c r="M40" s="127" t="n"/>
      <c r="N40" s="127" t="n"/>
      <c r="O40" s="127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  <c r="AB40" s="127" t="inlineStr">
        <is>
          <t>2027-02</t>
        </is>
      </c>
      <c r="AD40" s="128" t="str">
        <f>IF('CLIENT MASTER'!$A$29="","",'CLIENT MASTER'!$A$29)</f>
        <v/>
      </c>
      <c r="AE40" s="128" t="str">
        <f>IF('CAMPAIGN MASTER'!$B$29="","",'CAMPAIGN MASTER'!$B$29)</f>
        <v>Sonalika Tractors - Meta Automation</v>
      </c>
      <c r="AG40" s="128" t="str">
        <f>IF('MASTER DATA'!$K$39="","",'MASTER DATA'!$K$39)</f>
        <v/>
      </c>
      <c r="AH40" s="128" t="str">
        <f>IF('MASTER DATA'!$H$39="","",'MASTER DATA'!$H$39)</f>
        <v/>
      </c>
      <c r="AI40" s="128" t="str">
        <f>IF('MASTER DATA'!$I$39="","",'MASTER DATA'!$I$39)</f>
        <v/>
      </c>
      <c r="AJ40" s="128" t="str">
        <f>IF('MASTER DATA'!$AB$39="","",'MASTER DATA'!$AB$39)</f>
        <v>2027-01</v>
      </c>
    </row>
    <row r="41">
      <c r="G41" s="127" t="n"/>
      <c r="H41" s="127" t="n"/>
      <c r="I41" s="127" t="n"/>
      <c r="J41" s="127" t="n"/>
      <c r="K41" s="127" t="n"/>
      <c r="L41" s="127" t="n"/>
      <c r="M41" s="127" t="n"/>
      <c r="N41" s="127" t="n"/>
      <c r="O41" s="127" t="n"/>
      <c r="P41" s="127" t="n"/>
      <c r="Q41" s="127" t="n"/>
      <c r="R41" s="127" t="n"/>
      <c r="S41" s="127" t="n"/>
      <c r="T41" s="127" t="n"/>
      <c r="U41" s="127" t="n"/>
      <c r="V41" s="127" t="n"/>
      <c r="W41" s="127" t="n"/>
      <c r="X41" s="127" t="n"/>
      <c r="Y41" s="127" t="n"/>
      <c r="Z41" s="127" t="n"/>
      <c r="AA41" s="127" t="n"/>
      <c r="AB41" s="127" t="inlineStr">
        <is>
          <t>2027-03</t>
        </is>
      </c>
      <c r="AD41" s="128" t="str">
        <f>IF('CLIENT MASTER'!$A$30="","",'CLIENT MASTER'!$A$30)</f>
        <v/>
      </c>
      <c r="AE41" s="128" t="str">
        <f>IF('CAMPAIGN MASTER'!$B$30="","",'CAMPAIGN MASTER'!$B$30)</f>
        <v>Tata MECCA Campaign</v>
      </c>
      <c r="AG41" s="128" t="str">
        <f>IF('MASTER DATA'!$K$40="","",'MASTER DATA'!$K$40)</f>
        <v/>
      </c>
      <c r="AH41" s="128" t="str">
        <f>IF('MASTER DATA'!$H$40="","",'MASTER DATA'!$H$40)</f>
        <v/>
      </c>
      <c r="AI41" s="128" t="str">
        <f>IF('MASTER DATA'!$I$40="","",'MASTER DATA'!$I$40)</f>
        <v/>
      </c>
      <c r="AJ41" s="128" t="str">
        <f>IF('MASTER DATA'!$AB$40="","",'MASTER DATA'!$AB$40)</f>
        <v>2027-02</v>
      </c>
    </row>
    <row r="42">
      <c r="G42" s="127" t="n"/>
      <c r="H42" s="127" t="n"/>
      <c r="I42" s="127" t="n"/>
      <c r="J42" s="127" t="n"/>
      <c r="K42" s="127" t="n"/>
      <c r="L42" s="127" t="n"/>
      <c r="M42" s="127" t="n"/>
      <c r="N42" s="127" t="n"/>
      <c r="O42" s="127" t="n"/>
      <c r="P42" s="127" t="n"/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7" t="n"/>
      <c r="Z42" s="127" t="n"/>
      <c r="AA42" s="127" t="n"/>
      <c r="AB42" s="127" t="inlineStr">
        <is>
          <t>2027-04</t>
        </is>
      </c>
      <c r="AD42" s="128" t="str">
        <f>IF('CLIENT MASTER'!$A$31="","",'CLIENT MASTER'!$A$31)</f>
        <v/>
      </c>
      <c r="AE42" s="128" t="str">
        <f>IF('CAMPAIGN MASTER'!$B$31="","",'CAMPAIGN MASTER'!$B$31)</f>
        <v/>
      </c>
      <c r="AG42" s="128" t="str">
        <f>IF('MASTER DATA'!$K$41="","",'MASTER DATA'!$K$41)</f>
        <v/>
      </c>
      <c r="AH42" s="128" t="str">
        <f>IF('MASTER DATA'!$H$41="","",'MASTER DATA'!$H$41)</f>
        <v/>
      </c>
      <c r="AI42" s="128" t="str">
        <f>IF('MASTER DATA'!$I$41="","",'MASTER DATA'!$I$41)</f>
        <v/>
      </c>
      <c r="AJ42" s="128" t="str">
        <f>IF('MASTER DATA'!$AB$41="","",'MASTER DATA'!$AB$41)</f>
        <v>2027-03</v>
      </c>
    </row>
    <row r="43">
      <c r="G43" s="127" t="n"/>
      <c r="H43" s="127" t="n"/>
      <c r="I43" s="127" t="n"/>
      <c r="J43" s="127" t="n"/>
      <c r="K43" s="127" t="n"/>
      <c r="L43" s="127" t="n"/>
      <c r="M43" s="127" t="n"/>
      <c r="N43" s="127" t="n"/>
      <c r="O43" s="127" t="n"/>
      <c r="P43" s="127" t="n"/>
      <c r="Q43" s="127" t="n"/>
      <c r="R43" s="127" t="n"/>
      <c r="S43" s="127" t="n"/>
      <c r="T43" s="127" t="n"/>
      <c r="U43" s="127" t="n"/>
      <c r="V43" s="127" t="n"/>
      <c r="W43" s="127" t="n"/>
      <c r="X43" s="127" t="n"/>
      <c r="Y43" s="127" t="n"/>
      <c r="Z43" s="127" t="n"/>
      <c r="AA43" s="127" t="n"/>
      <c r="AB43" s="127" t="inlineStr">
        <is>
          <t>2027-05</t>
        </is>
      </c>
      <c r="AD43" s="128" t="str">
        <f>IF('CLIENT MASTER'!$A$32="","",'CLIENT MASTER'!$A$32)</f>
        <v/>
      </c>
      <c r="AE43" s="128" t="str">
        <f>IF('CAMPAIGN MASTER'!$B$32="","",'CAMPAIGN MASTER'!$B$32)</f>
        <v/>
      </c>
      <c r="AG43" s="128" t="str">
        <f>IF('MASTER DATA'!$K$42="","",'MASTER DATA'!$K$42)</f>
        <v/>
      </c>
      <c r="AH43" s="128" t="str">
        <f>IF('MASTER DATA'!$H$42="","",'MASTER DATA'!$H$42)</f>
        <v/>
      </c>
      <c r="AI43" s="128" t="str">
        <f>IF('MASTER DATA'!$I$42="","",'MASTER DATA'!$I$42)</f>
        <v/>
      </c>
      <c r="AJ43" s="128" t="str">
        <f>IF('MASTER DATA'!$AB$42="","",'MASTER DATA'!$AB$42)</f>
        <v>2027-04</v>
      </c>
    </row>
    <row r="44">
      <c r="G44" s="127" t="n"/>
      <c r="H44" s="127" t="n"/>
      <c r="I44" s="127" t="n"/>
      <c r="J44" s="127" t="n"/>
      <c r="K44" s="127" t="n"/>
      <c r="L44" s="127" t="n"/>
      <c r="M44" s="127" t="n"/>
      <c r="N44" s="127" t="n"/>
      <c r="O44" s="127" t="n"/>
      <c r="P44" s="127" t="n"/>
      <c r="Q44" s="127" t="n"/>
      <c r="R44" s="127" t="n"/>
      <c r="S44" s="127" t="n"/>
      <c r="T44" s="127" t="n"/>
      <c r="U44" s="127" t="n"/>
      <c r="V44" s="127" t="n"/>
      <c r="W44" s="127" t="n"/>
      <c r="X44" s="127" t="n"/>
      <c r="Y44" s="127" t="n"/>
      <c r="Z44" s="127" t="n"/>
      <c r="AA44" s="127" t="n"/>
      <c r="AB44" s="127" t="inlineStr">
        <is>
          <t>2027-06</t>
        </is>
      </c>
      <c r="AD44" s="128" t="str">
        <f>IF('CLIENT MASTER'!$A$33="","",'CLIENT MASTER'!$A$33)</f>
        <v/>
      </c>
      <c r="AE44" s="128" t="str">
        <f>IF('CAMPAIGN MASTER'!$B$33="","",'CAMPAIGN MASTER'!$B$33)</f>
        <v/>
      </c>
      <c r="AG44" s="128" t="str">
        <f>IF('MASTER DATA'!$K$43="","",'MASTER DATA'!$K$43)</f>
        <v/>
      </c>
      <c r="AH44" s="128" t="str">
        <f>IF('MASTER DATA'!$H$43="","",'MASTER DATA'!$H$43)</f>
        <v/>
      </c>
      <c r="AI44" s="128" t="str">
        <f>IF('MASTER DATA'!$I$43="","",'MASTER DATA'!$I$43)</f>
        <v/>
      </c>
      <c r="AJ44" s="128" t="str">
        <f>IF('MASTER DATA'!$AB$43="","",'MASTER DATA'!$AB$43)</f>
        <v>2027-05</v>
      </c>
    </row>
    <row r="45"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7" t="n"/>
      <c r="P45" s="127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  <c r="AB45" s="127" t="inlineStr">
        <is>
          <t>2027-07</t>
        </is>
      </c>
      <c r="AD45" s="128" t="str">
        <f>IF('CLIENT MASTER'!$A$34="","",'CLIENT MASTER'!$A$34)</f>
        <v/>
      </c>
      <c r="AE45" s="128" t="str">
        <f>IF('CAMPAIGN MASTER'!$B$34="","",'CAMPAIGN MASTER'!$B$34)</f>
        <v/>
      </c>
      <c r="AG45" s="128" t="str">
        <f>IF('MASTER DATA'!$K$44="","",'MASTER DATA'!$K$44)</f>
        <v/>
      </c>
      <c r="AH45" s="128" t="str">
        <f>IF('MASTER DATA'!$H$44="","",'MASTER DATA'!$H$44)</f>
        <v/>
      </c>
      <c r="AI45" s="128" t="str">
        <f>IF('MASTER DATA'!$I$44="","",'MASTER DATA'!$I$44)</f>
        <v/>
      </c>
      <c r="AJ45" s="128" t="str">
        <f>IF('MASTER DATA'!$AB$44="","",'MASTER DATA'!$AB$44)</f>
        <v>2027-06</v>
      </c>
    </row>
    <row r="46"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7" t="n"/>
      <c r="P46" s="127" t="n"/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27" t="n"/>
      <c r="AA46" s="127" t="n"/>
      <c r="AB46" s="127" t="inlineStr">
        <is>
          <t>2027-08</t>
        </is>
      </c>
      <c r="AD46" s="128" t="str">
        <f>IF('CLIENT MASTER'!$A$35="","",'CLIENT MASTER'!$A$35)</f>
        <v/>
      </c>
      <c r="AE46" s="128" t="str">
        <f>IF('CAMPAIGN MASTER'!$B$35="","",'CAMPAIGN MASTER'!$B$35)</f>
        <v/>
      </c>
      <c r="AG46" s="128" t="str">
        <f>IF('MASTER DATA'!$K$45="","",'MASTER DATA'!$K$45)</f>
        <v/>
      </c>
      <c r="AH46" s="128" t="str">
        <f>IF('MASTER DATA'!$H$45="","",'MASTER DATA'!$H$45)</f>
        <v/>
      </c>
      <c r="AI46" s="128" t="str">
        <f>IF('MASTER DATA'!$I$45="","",'MASTER DATA'!$I$45)</f>
        <v/>
      </c>
      <c r="AJ46" s="128" t="str">
        <f>IF('MASTER DATA'!$AB$45="","",'MASTER DATA'!$AB$45)</f>
        <v>2027-07</v>
      </c>
    </row>
    <row r="47">
      <c r="G47" s="127" t="n"/>
      <c r="H47" s="127" t="n"/>
      <c r="I47" s="127" t="n"/>
      <c r="J47" s="127" t="n"/>
      <c r="K47" s="127" t="n"/>
      <c r="L47" s="127" t="n"/>
      <c r="M47" s="127" t="n"/>
      <c r="N47" s="127" t="n"/>
      <c r="O47" s="127" t="n"/>
      <c r="P47" s="127" t="n"/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27" t="n"/>
      <c r="AA47" s="127" t="n"/>
      <c r="AB47" s="127" t="inlineStr">
        <is>
          <t>2027-09</t>
        </is>
      </c>
      <c r="AD47" s="128" t="str">
        <f>IF('CLIENT MASTER'!$A$36="","",'CLIENT MASTER'!$A$36)</f>
        <v/>
      </c>
      <c r="AE47" s="128" t="str">
        <f>IF('CAMPAIGN MASTER'!$B$36="","",'CAMPAIGN MASTER'!$B$36)</f>
        <v/>
      </c>
      <c r="AG47" s="128" t="str">
        <f>IF('MASTER DATA'!$K$46="","",'MASTER DATA'!$K$46)</f>
        <v/>
      </c>
      <c r="AH47" s="128" t="str">
        <f>IF('MASTER DATA'!$H$46="","",'MASTER DATA'!$H$46)</f>
        <v/>
      </c>
      <c r="AI47" s="128" t="str">
        <f>IF('MASTER DATA'!$I$46="","",'MASTER DATA'!$I$46)</f>
        <v/>
      </c>
      <c r="AJ47" s="128" t="str">
        <f>IF('MASTER DATA'!$AB$46="","",'MASTER DATA'!$AB$46)</f>
        <v>2027-08</v>
      </c>
    </row>
    <row r="48">
      <c r="G48" s="127" t="n"/>
      <c r="H48" s="127" t="n"/>
      <c r="I48" s="127" t="n"/>
      <c r="J48" s="127" t="n"/>
      <c r="K48" s="127" t="n"/>
      <c r="L48" s="127" t="n"/>
      <c r="M48" s="127" t="n"/>
      <c r="N48" s="127" t="n"/>
      <c r="O48" s="127" t="n"/>
      <c r="P48" s="127" t="n"/>
      <c r="Q48" s="127" t="n"/>
      <c r="R48" s="127" t="n"/>
      <c r="S48" s="127" t="n"/>
      <c r="T48" s="127" t="n"/>
      <c r="U48" s="127" t="n"/>
      <c r="V48" s="127" t="n"/>
      <c r="W48" s="127" t="n"/>
      <c r="X48" s="127" t="n"/>
      <c r="Y48" s="127" t="n"/>
      <c r="Z48" s="127" t="n"/>
      <c r="AA48" s="127" t="n"/>
      <c r="AB48" s="127" t="inlineStr">
        <is>
          <t>2027-10</t>
        </is>
      </c>
      <c r="AD48" s="128" t="str">
        <f>IF('CLIENT MASTER'!$A$37="","",'CLIENT MASTER'!$A$37)</f>
        <v/>
      </c>
      <c r="AE48" s="128" t="str">
        <f>IF('CAMPAIGN MASTER'!$B$37="","",'CAMPAIGN MASTER'!$B$37)</f>
        <v/>
      </c>
      <c r="AG48" s="128" t="str">
        <f>IF('MASTER DATA'!$K$47="","",'MASTER DATA'!$K$47)</f>
        <v/>
      </c>
      <c r="AH48" s="128" t="str">
        <f>IF('MASTER DATA'!$H$47="","",'MASTER DATA'!$H$47)</f>
        <v/>
      </c>
      <c r="AI48" s="128" t="str">
        <f>IF('MASTER DATA'!$I$47="","",'MASTER DATA'!$I$47)</f>
        <v/>
      </c>
      <c r="AJ48" s="128" t="str">
        <f>IF('MASTER DATA'!$AB$47="","",'MASTER DATA'!$AB$47)</f>
        <v>2027-09</v>
      </c>
    </row>
    <row r="49">
      <c r="G49" s="127" t="n"/>
      <c r="H49" s="127" t="n"/>
      <c r="I49" s="127" t="n"/>
      <c r="J49" s="127" t="n"/>
      <c r="K49" s="127" t="n"/>
      <c r="L49" s="127" t="n"/>
      <c r="M49" s="127" t="n"/>
      <c r="N49" s="127" t="n"/>
      <c r="O49" s="127" t="n"/>
      <c r="P49" s="127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27" t="n"/>
      <c r="AA49" s="127" t="n"/>
      <c r="AB49" s="127" t="inlineStr">
        <is>
          <t>2027-11</t>
        </is>
      </c>
      <c r="AD49" s="128" t="str">
        <f>IF('CLIENT MASTER'!$A$38="","",'CLIENT MASTER'!$A$38)</f>
        <v/>
      </c>
      <c r="AE49" s="128" t="str">
        <f>IF('CAMPAIGN MASTER'!$B$38="","",'CAMPAIGN MASTER'!$B$38)</f>
        <v/>
      </c>
      <c r="AG49" s="128" t="str">
        <f>IF('MASTER DATA'!$K$48="","",'MASTER DATA'!$K$48)</f>
        <v/>
      </c>
      <c r="AH49" s="128" t="str">
        <f>IF('MASTER DATA'!$H$48="","",'MASTER DATA'!$H$48)</f>
        <v/>
      </c>
      <c r="AI49" s="128" t="str">
        <f>IF('MASTER DATA'!$I$48="","",'MASTER DATA'!$I$48)</f>
        <v/>
      </c>
      <c r="AJ49" s="128" t="str">
        <f>IF('MASTER DATA'!$AB$48="","",'MASTER DATA'!$AB$48)</f>
        <v>2027-10</v>
      </c>
    </row>
    <row r="50">
      <c r="G50" s="127" t="n"/>
      <c r="H50" s="127" t="n"/>
      <c r="I50" s="127" t="n"/>
      <c r="J50" s="127" t="n"/>
      <c r="K50" s="127" t="n"/>
      <c r="L50" s="127" t="n"/>
      <c r="M50" s="127" t="n"/>
      <c r="N50" s="127" t="n"/>
      <c r="O50" s="127" t="n"/>
      <c r="P50" s="127" t="n"/>
      <c r="Q50" s="127" t="n"/>
      <c r="R50" s="127" t="n"/>
      <c r="S50" s="127" t="n"/>
      <c r="T50" s="127" t="n"/>
      <c r="U50" s="127" t="n"/>
      <c r="V50" s="127" t="n"/>
      <c r="W50" s="127" t="n"/>
      <c r="X50" s="127" t="n"/>
      <c r="Y50" s="127" t="n"/>
      <c r="Z50" s="127" t="n"/>
      <c r="AA50" s="127" t="n"/>
      <c r="AB50" s="127" t="inlineStr">
        <is>
          <t>2027-12</t>
        </is>
      </c>
      <c r="AD50" s="128" t="str">
        <f>IF('CLIENT MASTER'!$A$39="","",'CLIENT MASTER'!$A$39)</f>
        <v/>
      </c>
      <c r="AE50" s="128" t="str">
        <f>IF('CAMPAIGN MASTER'!$B$39="","",'CAMPAIGN MASTER'!$B$39)</f>
        <v/>
      </c>
      <c r="AG50" s="128" t="str">
        <f>IF('MASTER DATA'!$K$49="","",'MASTER DATA'!$K$49)</f>
        <v/>
      </c>
      <c r="AH50" s="128" t="str">
        <f>IF('MASTER DATA'!$H$49="","",'MASTER DATA'!$H$49)</f>
        <v/>
      </c>
      <c r="AI50" s="128" t="str">
        <f>IF('MASTER DATA'!$I$49="","",'MASTER DATA'!$I$49)</f>
        <v/>
      </c>
      <c r="AJ50" s="128" t="str">
        <f>IF('MASTER DATA'!$AB$49="","",'MASTER DATA'!$AB$49)</f>
        <v>2027-11</v>
      </c>
    </row>
    <row r="51">
      <c r="G51" s="127" t="n"/>
      <c r="H51" s="127" t="n"/>
      <c r="I51" s="127" t="n"/>
      <c r="J51" s="127" t="n"/>
      <c r="K51" s="127" t="n"/>
      <c r="L51" s="127" t="n"/>
      <c r="M51" s="127" t="n"/>
      <c r="N51" s="127" t="n"/>
      <c r="O51" s="127" t="n"/>
      <c r="P51" s="127" t="n"/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27" t="n"/>
      <c r="AA51" s="127" t="n"/>
      <c r="AD51" s="128" t="str">
        <f>IF('CLIENT MASTER'!$A$40="","",'CLIENT MASTER'!$A$40)</f>
        <v/>
      </c>
      <c r="AE51" s="128" t="str">
        <f>IF('CAMPAIGN MASTER'!$B$40="","",'CAMPAIGN MASTER'!$B$40)</f>
        <v/>
      </c>
      <c r="AG51" s="128" t="str">
        <f>IF('MASTER DATA'!$K$50="","",'MASTER DATA'!$K$50)</f>
        <v/>
      </c>
      <c r="AH51" s="128" t="str">
        <f>IF('MASTER DATA'!$H$50="","",'MASTER DATA'!$H$50)</f>
        <v/>
      </c>
      <c r="AI51" s="128" t="str">
        <f>IF('MASTER DATA'!$I$50="","",'MASTER DATA'!$I$50)</f>
        <v/>
      </c>
      <c r="AJ51" s="128" t="str">
        <f>IF('MASTER DATA'!$AB$50="","",'MASTER DATA'!$AB$50)</f>
        <v>2027-12</v>
      </c>
    </row>
    <row r="52">
      <c r="G52" s="127" t="n"/>
      <c r="H52" s="127" t="n"/>
      <c r="I52" s="127" t="n"/>
      <c r="J52" s="127" t="n"/>
      <c r="K52" s="127" t="n"/>
      <c r="L52" s="127" t="n"/>
      <c r="M52" s="127" t="n"/>
      <c r="N52" s="127" t="n"/>
      <c r="O52" s="127" t="n"/>
      <c r="P52" s="127" t="n"/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27" t="n"/>
      <c r="AA52" s="127" t="n"/>
      <c r="AD52" s="128" t="str">
        <f>IF('CLIENT MASTER'!$A$41="","",'CLIENT MASTER'!$A$41)</f>
        <v/>
      </c>
      <c r="AE52" s="128" t="str">
        <f>IF('CAMPAIGN MASTER'!$B$41="","",'CAMPAIGN MASTER'!$B$41)</f>
        <v/>
      </c>
      <c r="AG52" s="128" t="str">
        <f>IF('MASTER DATA'!$K$51="","",'MASTER DATA'!$K$51)</f>
        <v/>
      </c>
      <c r="AH52" s="128" t="str">
        <f>IF('MASTER DATA'!$H$51="","",'MASTER DATA'!$H$51)</f>
        <v/>
      </c>
      <c r="AI52" s="128" t="str">
        <f>IF('MASTER DATA'!$I$51="","",'MASTER DATA'!$I$51)</f>
        <v/>
      </c>
    </row>
    <row r="53">
      <c r="G53" s="127" t="n"/>
      <c r="H53" s="127" t="n"/>
      <c r="I53" s="127" t="n"/>
      <c r="J53" s="127" t="n"/>
      <c r="K53" s="127" t="n"/>
      <c r="L53" s="127" t="n"/>
      <c r="M53" s="127" t="n"/>
      <c r="N53" s="127" t="n"/>
      <c r="O53" s="127" t="n"/>
      <c r="P53" s="127" t="n"/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27" t="n"/>
      <c r="AA53" s="127" t="n"/>
      <c r="AD53" s="128" t="str">
        <f>IF('CLIENT MASTER'!$A$42="","",'CLIENT MASTER'!$A$42)</f>
        <v/>
      </c>
      <c r="AE53" s="128" t="str">
        <f>IF('CAMPAIGN MASTER'!$B$42="","",'CAMPAIGN MASTER'!$B$42)</f>
        <v/>
      </c>
      <c r="AG53" s="128" t="str">
        <f>IF('MASTER DATA'!$K$52="","",'MASTER DATA'!$K$52)</f>
        <v/>
      </c>
      <c r="AH53" s="128" t="str">
        <f>IF('MASTER DATA'!$H$52="","",'MASTER DATA'!$H$52)</f>
        <v/>
      </c>
      <c r="AI53" s="128" t="str">
        <f>IF('MASTER DATA'!$I$52="","",'MASTER DATA'!$I$52)</f>
        <v/>
      </c>
    </row>
    <row r="54">
      <c r="G54" s="127" t="n"/>
      <c r="H54" s="127" t="n"/>
      <c r="I54" s="127" t="n"/>
      <c r="J54" s="127" t="n"/>
      <c r="K54" s="127" t="n"/>
      <c r="L54" s="127" t="n"/>
      <c r="M54" s="127" t="n"/>
      <c r="N54" s="127" t="n"/>
      <c r="O54" s="127" t="n"/>
      <c r="P54" s="127" t="n"/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27" t="n"/>
      <c r="AA54" s="127" t="n"/>
      <c r="AD54" s="128" t="str">
        <f>IF('CLIENT MASTER'!$A$43="","",'CLIENT MASTER'!$A$43)</f>
        <v/>
      </c>
      <c r="AE54" s="128" t="str">
        <f>IF('CAMPAIGN MASTER'!$B$43="","",'CAMPAIGN MASTER'!$B$43)</f>
        <v/>
      </c>
      <c r="AG54" s="128" t="str">
        <f>IF('MASTER DATA'!$K$53="","",'MASTER DATA'!$K$53)</f>
        <v/>
      </c>
      <c r="AH54" s="128" t="str">
        <f>IF('MASTER DATA'!$H$53="","",'MASTER DATA'!$H$53)</f>
        <v/>
      </c>
      <c r="AI54" s="128" t="str">
        <f>IF('MASTER DATA'!$I$53="","",'MASTER DATA'!$I$53)</f>
        <v/>
      </c>
    </row>
    <row r="55">
      <c r="AD55" s="128" t="str">
        <f>IF('CLIENT MASTER'!$A$44="","",'CLIENT MASTER'!$A$44)</f>
        <v/>
      </c>
      <c r="AE55" s="128" t="str">
        <f>IF('CAMPAIGN MASTER'!$B$44="","",'CAMPAIGN MASTER'!$B$44)</f>
        <v/>
      </c>
      <c r="AG55" s="128" t="str">
        <f>IF('MASTER DATA'!$K$54="","",'MASTER DATA'!$K$54)</f>
        <v/>
      </c>
      <c r="AH55" s="128" t="str">
        <f>IF('MASTER DATA'!$H$54="","",'MASTER DATA'!$H$54)</f>
        <v/>
      </c>
      <c r="AI55" s="128" t="str">
        <f>IF('MASTER DATA'!$I$54="","",'MASTER DATA'!$I$54)</f>
        <v/>
      </c>
    </row>
    <row r="56">
      <c r="AD56" s="128" t="str">
        <f>IF('CLIENT MASTER'!$A$45="","",'CLIENT MASTER'!$A$45)</f>
        <v/>
      </c>
      <c r="AE56" s="128" t="str">
        <f>IF('CAMPAIGN MASTER'!$B$45="","",'CAMPAIGN MASTER'!$B$45)</f>
        <v/>
      </c>
    </row>
    <row r="57">
      <c r="AD57" s="128" t="str">
        <f>IF('CLIENT MASTER'!$A$46="","",'CLIENT MASTER'!$A$46)</f>
        <v/>
      </c>
      <c r="AE57" s="128" t="str">
        <f>IF('CAMPAIGN MASTER'!$B$46="","",'CAMPAIGN MASTER'!$B$46)</f>
        <v/>
      </c>
    </row>
    <row r="58">
      <c r="AD58" s="128" t="str">
        <f>IF('CLIENT MASTER'!$A$47="","",'CLIENT MASTER'!$A$47)</f>
        <v/>
      </c>
      <c r="AE58" s="128" t="str">
        <f>IF('CAMPAIGN MASTER'!$B$47="","",'CAMPAIGN MASTER'!$B$47)</f>
        <v/>
      </c>
    </row>
    <row r="59">
      <c r="AD59" s="128" t="str">
        <f>IF('CLIENT MASTER'!$A$48="","",'CLIENT MASTER'!$A$48)</f>
        <v/>
      </c>
      <c r="AE59" s="128" t="str">
        <f>IF('CAMPAIGN MASTER'!$B$48="","",'CAMPAIGN MASTER'!$B$48)</f>
        <v/>
      </c>
    </row>
    <row r="60">
      <c r="AD60" s="128" t="str">
        <f>IF('CLIENT MASTER'!$A$49="","",'CLIENT MASTER'!$A$49)</f>
        <v/>
      </c>
      <c r="AE60" s="128" t="str">
        <f>IF('CAMPAIGN MASTER'!$B$49="","",'CAMPAIGN MASTER'!$B$49)</f>
        <v/>
      </c>
    </row>
    <row r="61">
      <c r="AD61" s="128" t="str">
        <f>IF('CLIENT MASTER'!$A$50="","",'CLIENT MASTER'!$A$50)</f>
        <v/>
      </c>
      <c r="AE61" s="128" t="str">
        <f>IF('CAMPAIGN MASTER'!$B$50="","",'CAMPAIGN MASTER'!$B$50)</f>
        <v/>
      </c>
    </row>
    <row r="62">
      <c r="AD62" s="128" t="str">
        <f>IF('CLIENT MASTER'!$A$51="","",'CLIENT MASTER'!$A$51)</f>
        <v/>
      </c>
      <c r="AE62" s="128" t="str">
        <f>IF('CAMPAIGN MASTER'!$B$51="","",'CAMPAIGN MASTER'!$B$51)</f>
        <v/>
      </c>
    </row>
    <row r="63">
      <c r="AD63" s="128" t="str">
        <f>IF('CLIENT MASTER'!$A$52="","",'CLIENT MASTER'!$A$52)</f>
        <v/>
      </c>
      <c r="AE63" s="128" t="str">
        <f>IF('CAMPAIGN MASTER'!$B$52="","",'CAMPAIGN MASTER'!$B$52)</f>
        <v/>
      </c>
    </row>
    <row r="64">
      <c r="AD64" s="128" t="str">
        <f>IF('CLIENT MASTER'!$A$53="","",'CLIENT MASTER'!$A$53)</f>
        <v/>
      </c>
      <c r="AE64" s="128" t="str">
        <f>IF('CAMPAIGN MASTER'!$B$53="","",'CAMPAIGN MASTER'!$B$53)</f>
        <v/>
      </c>
    </row>
    <row r="65">
      <c r="AD65" s="128" t="str">
        <f>IF('CLIENT MASTER'!$A$54="","",'CLIENT MASTER'!$A$54)</f>
        <v/>
      </c>
      <c r="AE65" s="128" t="str">
        <f>IF('CAMPAIGN MASTER'!$B$54="","",'CAMPAIGN MASTER'!$B$54)</f>
        <v/>
      </c>
    </row>
    <row r="66">
      <c r="AD66" s="128" t="str">
        <f>IF('CLIENT MASTER'!$A$55="","",'CLIENT MASTER'!$A$55)</f>
        <v/>
      </c>
      <c r="AE66" s="128" t="str">
        <f>IF('CAMPAIGN MASTER'!$B$55="","",'CAMPAIGN MASTER'!$B$55)</f>
        <v/>
      </c>
    </row>
    <row r="67">
      <c r="AD67" s="128" t="str">
        <f>IF('CLIENT MASTER'!$A$56="","",'CLIENT MASTER'!$A$56)</f>
        <v/>
      </c>
      <c r="AE67" s="128" t="str">
        <f>IF('CAMPAIGN MASTER'!$B$56="","",'CAMPAIGN MASTER'!$B$56)</f>
        <v/>
      </c>
    </row>
    <row r="68">
      <c r="AD68" s="128" t="str">
        <f>IF('CLIENT MASTER'!$A$57="","",'CLIENT MASTER'!$A$57)</f>
        <v/>
      </c>
      <c r="AE68" s="128" t="str">
        <f>IF('CAMPAIGN MASTER'!$B$57="","",'CAMPAIGN MASTER'!$B$57)</f>
        <v/>
      </c>
    </row>
    <row r="69">
      <c r="AD69" s="128" t="str">
        <f>IF('CLIENT MASTER'!$A$58="","",'CLIENT MASTER'!$A$58)</f>
        <v/>
      </c>
      <c r="AE69" s="128" t="str">
        <f>IF('CAMPAIGN MASTER'!$B$58="","",'CAMPAIGN MASTER'!$B$58)</f>
        <v/>
      </c>
    </row>
    <row r="70">
      <c r="AD70" s="128" t="str">
        <f>IF('CLIENT MASTER'!$A$59="","",'CLIENT MASTER'!$A$59)</f>
        <v/>
      </c>
      <c r="AE70" s="128" t="str">
        <f>IF('CAMPAIGN MASTER'!$B$59="","",'CAMPAIGN MASTER'!$B$59)</f>
        <v/>
      </c>
    </row>
    <row r="71">
      <c r="AD71" s="128" t="str">
        <f>IF('CLIENT MASTER'!$A$60="","",'CLIENT MASTER'!$A$60)</f>
        <v/>
      </c>
      <c r="AE71" s="128" t="str">
        <f>IF('CAMPAIGN MASTER'!$B$60="","",'CAMPAIGN MASTER'!$B$60)</f>
        <v/>
      </c>
    </row>
    <row r="72">
      <c r="AD72" s="128" t="str">
        <f>IF('CLIENT MASTER'!$A$61="","",'CLIENT MASTER'!$A$61)</f>
        <v/>
      </c>
      <c r="AE72" s="128" t="str">
        <f>IF('CAMPAIGN MASTER'!$B$61="","",'CAMPAIGN MASTER'!$B$61)</f>
        <v/>
      </c>
    </row>
    <row r="73">
      <c r="AD73" s="128" t="str">
        <f>IF('CLIENT MASTER'!$A$62="","",'CLIENT MASTER'!$A$62)</f>
        <v/>
      </c>
      <c r="AE73" s="128" t="str">
        <f>IF('CAMPAIGN MASTER'!$B$62="","",'CAMPAIGN MASTER'!$B$62)</f>
        <v/>
      </c>
    </row>
    <row r="74">
      <c r="AD74" s="128" t="str">
        <f>IF('CLIENT MASTER'!$A$63="","",'CLIENT MASTER'!$A$63)</f>
        <v/>
      </c>
      <c r="AE74" s="128" t="str">
        <f>IF('CAMPAIGN MASTER'!$B$63="","",'CAMPAIGN MASTER'!$B$63)</f>
        <v/>
      </c>
    </row>
    <row r="75">
      <c r="AD75" s="128" t="str">
        <f>IF('CLIENT MASTER'!$A$64="","",'CLIENT MASTER'!$A$64)</f>
        <v/>
      </c>
      <c r="AE75" s="128" t="str">
        <f>IF('CAMPAIGN MASTER'!$B$64="","",'CAMPAIGN MASTER'!$B$64)</f>
        <v/>
      </c>
    </row>
    <row r="76">
      <c r="AE76" s="128" t="str">
        <f>IF('CAMPAIGN MASTER'!$B$65="","",'CAMPAIGN MASTER'!$B$65)</f>
        <v/>
      </c>
    </row>
    <row r="77">
      <c r="AE77" s="128" t="str">
        <f>IF('CAMPAIGN MASTER'!$B$66="","",'CAMPAIGN MASTER'!$B$66)</f>
        <v/>
      </c>
    </row>
    <row r="78">
      <c r="AE78" s="128" t="str">
        <f>IF('CAMPAIGN MASTER'!$B$67="","",'CAMPAIGN MASTER'!$B$67)</f>
        <v/>
      </c>
    </row>
    <row r="79">
      <c r="AE79" s="128" t="str">
        <f>IF('CAMPAIGN MASTER'!$B$68="","",'CAMPAIGN MASTER'!$B$68)</f>
        <v/>
      </c>
    </row>
    <row r="80">
      <c r="AE80" s="128" t="str">
        <f>IF('CAMPAIGN MASTER'!$B$69="","",'CAMPAIGN MASTER'!$B$69)</f>
        <v/>
      </c>
    </row>
    <row r="81">
      <c r="AE81" s="128" t="str">
        <f>IF('CAMPAIGN MASTER'!$B$70="","",'CAMPAIGN MASTER'!$B$70)</f>
        <v/>
      </c>
    </row>
    <row r="82">
      <c r="AE82" s="128" t="str">
        <f>IF('CAMPAIGN MASTER'!$B$71="","",'CAMPAIGN MASTER'!$B$71)</f>
        <v/>
      </c>
    </row>
    <row r="83">
      <c r="AE83" s="128" t="str">
        <f>IF('CAMPAIGN MASTER'!$B$72="","",'CAMPAIGN MASTER'!$B$72)</f>
        <v/>
      </c>
    </row>
    <row r="84">
      <c r="AE84" s="128" t="str">
        <f>IF('CAMPAIGN MASTER'!$B$73="","",'CAMPAIGN MASTER'!$B$73)</f>
        <v/>
      </c>
    </row>
    <row r="85">
      <c r="AE85" s="128" t="str">
        <f>IF('CAMPAIGN MASTER'!$B$74="","",'CAMPAIGN MASTER'!$B$74)</f>
        <v/>
      </c>
    </row>
    <row r="86">
      <c r="AE86" s="128" t="str">
        <f>IF('CAMPAIGN MASTER'!$B$75="","",'CAMPAIGN MASTER'!$B$75)</f>
        <v/>
      </c>
    </row>
    <row r="87">
      <c r="AE87" s="128" t="str">
        <f>IF('CAMPAIGN MASTER'!$B$76="","",'CAMPAIGN MASTER'!$B$76)</f>
        <v/>
      </c>
    </row>
    <row r="88">
      <c r="AE88" s="128" t="str">
        <f>IF('CAMPAIGN MASTER'!$B$77="","",'CAMPAIGN MASTER'!$B$77)</f>
        <v/>
      </c>
    </row>
    <row r="89">
      <c r="AE89" s="128" t="str">
        <f>IF('CAMPAIGN MASTER'!$B$78="","",'CAMPAIGN MASTER'!$B$78)</f>
        <v/>
      </c>
    </row>
    <row r="90">
      <c r="AE90" s="128" t="str">
        <f>IF('CAMPAIGN MASTER'!$B$79="","",'CAMPAIGN MASTER'!$B$79)</f>
        <v/>
      </c>
    </row>
    <row r="91">
      <c r="AE91" s="128" t="str">
        <f>IF('CAMPAIGN MASTER'!$B$80="","",'CAMPAIGN MASTER'!$B$80)</f>
        <v/>
      </c>
    </row>
    <row r="92">
      <c r="AE92" s="128" t="str">
        <f>IF('CAMPAIGN MASTER'!$B$81="","",'CAMPAIGN MASTER'!$B$81)</f>
        <v/>
      </c>
    </row>
    <row r="93">
      <c r="AE93" s="128" t="str">
        <f>IF('CAMPAIGN MASTER'!$B$82="","",'CAMPAIGN MASTER'!$B$82)</f>
        <v/>
      </c>
    </row>
    <row r="94">
      <c r="AE94" s="128" t="str">
        <f>IF('CAMPAIGN MASTER'!$B$83="","",'CAMPAIGN MASTER'!$B$83)</f>
        <v/>
      </c>
    </row>
    <row r="95">
      <c r="AE95" s="128" t="str">
        <f>IF('CAMPAIGN MASTER'!$B$84="","",'CAMPAIGN MASTER'!$B$84)</f>
        <v/>
      </c>
    </row>
    <row r="96">
      <c r="AE96" s="128" t="str">
        <f>IF('CAMPAIGN MASTER'!$B$85="","",'CAMPAIGN MASTER'!$B$85)</f>
        <v/>
      </c>
    </row>
    <row r="97">
      <c r="AE97" s="128" t="str">
        <f>IF('CAMPAIGN MASTER'!$B$86="","",'CAMPAIGN MASTER'!$B$86)</f>
        <v/>
      </c>
    </row>
    <row r="98">
      <c r="AE98" s="128" t="str">
        <f>IF('CAMPAIGN MASTER'!$B$87="","",'CAMPAIGN MASTER'!$B$87)</f>
        <v/>
      </c>
    </row>
    <row r="99">
      <c r="AE99" s="128" t="str">
        <f>IF('CAMPAIGN MASTER'!$B$88="","",'CAMPAIGN MASTER'!$B$88)</f>
        <v/>
      </c>
    </row>
    <row r="100">
      <c r="AE100" s="128" t="str">
        <f>IF('CAMPAIGN MASTER'!$B$89="","",'CAMPAIGN MASTER'!$B$89)</f>
        <v/>
      </c>
    </row>
    <row r="101">
      <c r="AE101" s="128" t="str">
        <f>IF('CAMPAIGN MASTER'!$B$90="","",'CAMPAIGN MASTER'!$B$90)</f>
        <v/>
      </c>
    </row>
    <row r="102">
      <c r="AE102" s="128" t="str">
        <f>IF('CAMPAIGN MASTER'!$B$91="","",'CAMPAIGN MASTER'!$B$91)</f>
        <v/>
      </c>
    </row>
    <row r="103">
      <c r="AE103" s="128" t="str">
        <f>IF('CAMPAIGN MASTER'!$B$92="","",'CAMPAIGN MASTER'!$B$92)</f>
        <v/>
      </c>
    </row>
    <row r="104">
      <c r="AE104" s="128" t="str">
        <f>IF('CAMPAIGN MASTER'!$B$93="","",'CAMPAIGN MASTER'!$B$93)</f>
        <v/>
      </c>
    </row>
    <row r="105">
      <c r="AE105" s="128" t="str">
        <f>IF('CAMPAIGN MASTER'!$B$94="","",'CAMPAIGN MASTER'!$B$94)</f>
        <v/>
      </c>
    </row>
    <row r="106">
      <c r="AE106" s="128" t="str">
        <f>IF('CAMPAIGN MASTER'!$B$95="","",'CAMPAIGN MASTER'!$B$95)</f>
        <v/>
      </c>
    </row>
    <row r="107">
      <c r="AE107" s="128" t="str">
        <f>IF('CAMPAIGN MASTER'!$B$96="","",'CAMPAIGN MASTER'!$B$96)</f>
        <v/>
      </c>
    </row>
    <row r="108">
      <c r="AE108" s="128" t="str">
        <f>IF('CAMPAIGN MASTER'!$B$97="","",'CAMPAIGN MASTER'!$B$97)</f>
        <v/>
      </c>
    </row>
    <row r="109">
      <c r="AE109" s="128" t="str">
        <f>IF('CAMPAIGN MASTER'!$B$98="","",'CAMPAIGN MASTER'!$B$98)</f>
        <v/>
      </c>
    </row>
    <row r="110">
      <c r="AE110" s="128" t="str">
        <f>IF('CAMPAIGN MASTER'!$B$99="","",'CAMPAIGN MASTER'!$B$99)</f>
        <v/>
      </c>
    </row>
    <row r="111">
      <c r="AE111" s="128" t="str">
        <f>IF('CAMPAIGN MASTER'!$B$100="","",'CAMPAIGN MASTER'!$B$100)</f>
        <v/>
      </c>
    </row>
    <row r="112">
      <c r="AE112" s="128" t="str">
        <f>IF('CAMPAIGN MASTER'!$B$101="","",'CAMPAIGN MASTER'!$B$101)</f>
        <v/>
      </c>
    </row>
    <row r="113">
      <c r="AE113" s="128" t="str">
        <f>IF('CAMPAIGN MASTER'!$B$102="","",'CAMPAIGN MASTER'!$B$102)</f>
        <v/>
      </c>
    </row>
    <row r="114">
      <c r="AE114" s="128" t="str">
        <f>IF('CAMPAIGN MASTER'!$B$103="","",'CAMPAIGN MASTER'!$B$103)</f>
        <v/>
      </c>
    </row>
    <row r="115">
      <c r="AE115" s="128" t="str">
        <f>IF('CAMPAIGN MASTER'!$B$104="","",'CAMPAIGN MASTER'!$B$104)</f>
        <v/>
      </c>
    </row>
    <row r="116">
      <c r="AE116" s="128" t="str">
        <f>IF('CAMPAIGN MASTER'!$B$105="","",'CAMPAIGN MASTER'!$B$105)</f>
        <v/>
      </c>
    </row>
    <row r="117">
      <c r="AE117" s="128" t="str">
        <f>IF('CAMPAIGN MASTER'!$B$106="","",'CAMPAIGN MASTER'!$B$106)</f>
        <v/>
      </c>
    </row>
    <row r="118">
      <c r="AE118" s="128" t="str">
        <f>IF('CAMPAIGN MASTER'!$B$107="","",'CAMPAIGN MASTER'!$B$107)</f>
        <v/>
      </c>
    </row>
    <row r="119">
      <c r="AE119" s="128" t="str">
        <f>IF('CAMPAIGN MASTER'!$B$108="","",'CAMPAIGN MASTER'!$B$108)</f>
        <v/>
      </c>
    </row>
    <row r="120">
      <c r="AE120" s="128" t="str">
        <f>IF('CAMPAIGN MASTER'!$B$109="","",'CAMPAIGN MASTER'!$B$109)</f>
        <v/>
      </c>
    </row>
    <row r="121">
      <c r="AE121" s="128" t="str">
        <f>IF('CAMPAIGN MASTER'!$B$110="","",'CAMPAIGN MASTER'!$B$110)</f>
        <v/>
      </c>
    </row>
    <row r="122">
      <c r="AE122" s="128" t="str">
        <f>IF('CAMPAIGN MASTER'!$B$111="","",'CAMPAIGN MASTER'!$B$111)</f>
        <v/>
      </c>
    </row>
    <row r="123">
      <c r="AE123" s="128" t="str">
        <f>IF('CAMPAIGN MASTER'!$B$112="","",'CAMPAIGN MASTER'!$B$112)</f>
        <v/>
      </c>
    </row>
    <row r="124">
      <c r="AE124" s="128" t="str">
        <f>IF('CAMPAIGN MASTER'!$B$113="","",'CAMPAIGN MASTER'!$B$113)</f>
        <v/>
      </c>
    </row>
    <row r="125">
      <c r="AE125" s="128" t="str">
        <f>IF('CAMPAIGN MASTER'!$B$114="","",'CAMPAIGN MASTER'!$B$114)</f>
        <v/>
      </c>
    </row>
    <row r="126">
      <c r="AE126" s="128" t="str">
        <f>IF('CAMPAIGN MASTER'!$B$115="","",'CAMPAIGN MASTER'!$B$115)</f>
        <v/>
      </c>
    </row>
    <row r="127">
      <c r="AE127" s="128" t="str">
        <f>IF('CAMPAIGN MASTER'!$B$116="","",'CAMPAIGN MASTER'!$B$116)</f>
        <v/>
      </c>
    </row>
    <row r="128">
      <c r="AE128" s="128" t="str">
        <f>IF('CAMPAIGN MASTER'!$B$117="","",'CAMPAIGN MASTER'!$B$117)</f>
        <v/>
      </c>
    </row>
    <row r="129">
      <c r="AE129" s="128" t="str">
        <f>IF('CAMPAIGN MASTER'!$B$118="","",'CAMPAIGN MASTER'!$B$118)</f>
        <v/>
      </c>
    </row>
    <row r="130">
      <c r="AE130" s="128" t="str">
        <f>IF('CAMPAIGN MASTER'!$B$119="","",'CAMPAIGN MASTER'!$B$119)</f>
        <v/>
      </c>
    </row>
    <row r="131">
      <c r="AE131" s="128" t="str">
        <f>IF('CAMPAIGN MASTER'!$B$120="","",'CAMPAIGN MASTER'!$B$120)</f>
        <v/>
      </c>
    </row>
    <row r="132">
      <c r="AE132" s="128" t="str">
        <f>IF('CAMPAIGN MASTER'!$B$121="","",'CAMPAIGN MASTER'!$B$121)</f>
        <v/>
      </c>
    </row>
    <row r="133">
      <c r="AE133" s="128" t="str">
        <f>IF('CAMPAIGN MASTER'!$B$122="","",'CAMPAIGN MASTER'!$B$122)</f>
        <v/>
      </c>
    </row>
    <row r="134">
      <c r="AE134" s="128" t="str">
        <f>IF('CAMPAIGN MASTER'!$B$123="","",'CAMPAIGN MASTER'!$B$123)</f>
        <v/>
      </c>
    </row>
    <row r="135">
      <c r="AE135" s="128" t="str">
        <f>IF('CAMPAIGN MASTER'!$B$124="","",'CAMPAIGN MASTER'!$B$124)</f>
        <v/>
      </c>
    </row>
    <row r="136">
      <c r="AE136" s="128" t="str">
        <f>IF('CAMPAIGN MASTER'!$B$125="","",'CAMPAIGN MASTER'!$B$125)</f>
        <v/>
      </c>
    </row>
    <row r="137">
      <c r="AE137" s="128" t="str">
        <f>IF('CAMPAIGN MASTER'!$B$126="","",'CAMPAIGN MASTER'!$B$126)</f>
        <v/>
      </c>
    </row>
    <row r="138">
      <c r="AE138" s="128" t="str">
        <f>IF('CAMPAIGN MASTER'!$B$127="","",'CAMPAIGN MASTER'!$B$127)</f>
        <v/>
      </c>
    </row>
    <row r="139">
      <c r="AE139" s="128" t="str">
        <f>IF('CAMPAIGN MASTER'!$B$128="","",'CAMPAIGN MASTER'!$B$128)</f>
        <v/>
      </c>
    </row>
    <row r="140">
      <c r="AE140" s="128" t="str">
        <f>IF('CAMPAIGN MASTER'!$B$129="","",'CAMPAIGN MASTER'!$B$129)</f>
        <v/>
      </c>
    </row>
    <row r="141">
      <c r="AE141" s="128" t="str">
        <f>IF('CAMPAIGN MASTER'!$B$130="","",'CAMPAIGN MASTER'!$B$130)</f>
        <v/>
      </c>
    </row>
    <row r="142">
      <c r="AE142" s="128" t="str">
        <f>IF('CAMPAIGN MASTER'!$B$131="","",'CAMPAIGN MASTER'!$B$131)</f>
        <v/>
      </c>
    </row>
    <row r="143">
      <c r="AE143" s="128" t="str">
        <f>IF('CAMPAIGN MASTER'!$B$132="","",'CAMPAIGN MASTER'!$B$132)</f>
        <v/>
      </c>
    </row>
    <row r="144">
      <c r="AE144" s="128" t="str">
        <f>IF('CAMPAIGN MASTER'!$B$133="","",'CAMPAIGN MASTER'!$B$133)</f>
        <v/>
      </c>
    </row>
    <row r="145">
      <c r="AE145" s="128" t="str">
        <f>IF('CAMPAIGN MASTER'!$B$134="","",'CAMPAIGN MASTER'!$B$134)</f>
        <v/>
      </c>
    </row>
    <row r="146">
      <c r="AE146" s="128" t="str">
        <f>IF('CAMPAIGN MASTER'!$B$135="","",'CAMPAIGN MASTER'!$B$135)</f>
        <v/>
      </c>
    </row>
    <row r="147">
      <c r="AE147" s="128" t="str">
        <f>IF('CAMPAIGN MASTER'!$B$136="","",'CAMPAIGN MASTER'!$B$136)</f>
        <v/>
      </c>
    </row>
    <row r="148">
      <c r="AE148" s="128" t="str">
        <f>IF('CAMPAIGN MASTER'!$B$137="","",'CAMPAIGN MASTER'!$B$137)</f>
        <v/>
      </c>
    </row>
    <row r="149">
      <c r="AE149" s="128" t="str">
        <f>IF('CAMPAIGN MASTER'!$B$138="","",'CAMPAIGN MASTER'!$B$138)</f>
        <v/>
      </c>
    </row>
    <row r="150">
      <c r="AE150" s="128" t="str">
        <f>IF('CAMPAIGN MASTER'!$B$139="","",'CAMPAIGN MASTER'!$B$139)</f>
        <v/>
      </c>
    </row>
    <row r="151">
      <c r="AE151" s="128" t="str">
        <f>IF('CAMPAIGN MASTER'!$B$140="","",'CAMPAIGN MASTER'!$B$140)</f>
        <v/>
      </c>
    </row>
    <row r="152">
      <c r="AE152" s="128" t="str">
        <f>IF('CAMPAIGN MASTER'!$B$141="","",'CAMPAIGN MASTER'!$B$141)</f>
        <v/>
      </c>
    </row>
    <row r="153">
      <c r="AE153" s="128" t="str">
        <f>IF('CAMPAIGN MASTER'!$B$142="","",'CAMPAIGN MASTER'!$B$142)</f>
        <v/>
      </c>
    </row>
    <row r="154">
      <c r="AE154" s="128" t="str">
        <f>IF('CAMPAIGN MASTER'!$B$143="","",'CAMPAIGN MASTER'!$B$143)</f>
        <v/>
      </c>
    </row>
    <row r="155">
      <c r="AE155" s="128" t="str">
        <f>IF('CAMPAIGN MASTER'!$B$144="","",'CAMPAIGN MASTER'!$B$144)</f>
        <v/>
      </c>
    </row>
    <row r="156">
      <c r="AE156" s="128" t="str">
        <f>IF('CAMPAIGN MASTER'!$B$145="","",'CAMPAIGN MASTER'!$B$145)</f>
        <v/>
      </c>
    </row>
    <row r="157">
      <c r="AE157" s="128" t="str">
        <f>IF('CAMPAIGN MASTER'!$B$146="","",'CAMPAIGN MASTER'!$B$146)</f>
        <v/>
      </c>
    </row>
    <row r="158">
      <c r="AE158" s="128" t="str">
        <f>IF('CAMPAIGN MASTER'!$B$147="","",'CAMPAIGN MASTER'!$B$147)</f>
        <v/>
      </c>
    </row>
    <row r="159">
      <c r="AE159" s="128" t="str">
        <f>IF('CAMPAIGN MASTER'!$B$148="","",'CAMPAIGN MASTER'!$B$148)</f>
        <v/>
      </c>
    </row>
    <row r="160">
      <c r="AE160" s="128" t="str">
        <f>IF('CAMPAIGN MASTER'!$B$149="","",'CAMPAIGN MASTER'!$B$149)</f>
        <v/>
      </c>
    </row>
    <row r="161">
      <c r="AE161" s="128" t="str">
        <f>IF('CAMPAIGN MASTER'!$B$150="","",'CAMPAIGN MASTER'!$B$150)</f>
        <v/>
      </c>
    </row>
    <row r="162">
      <c r="AE162" s="128" t="str">
        <f>IF('CAMPAIGN MASTER'!$B$151="","",'CAMPAIGN MASTER'!$B$151)</f>
        <v/>
      </c>
    </row>
    <row r="163">
      <c r="AE163" s="128" t="str">
        <f>IF('CAMPAIGN MASTER'!$B$152="","",'CAMPAIGN MASTER'!$B$152)</f>
        <v/>
      </c>
    </row>
    <row r="164">
      <c r="AE164" s="128" t="str">
        <f>IF('CAMPAIGN MASTER'!$B$153="","",'CAMPAIGN MASTER'!$B$153)</f>
        <v/>
      </c>
    </row>
    <row r="165">
      <c r="AE165" s="128" t="str">
        <f>IF('CAMPAIGN MASTER'!$B$154="","",'CAMPAIGN MASTER'!$B$154)</f>
        <v/>
      </c>
    </row>
    <row r="166">
      <c r="AE166" s="128" t="str">
        <f>IF('CAMPAIGN MASTER'!$B$155="","",'CAMPAIGN MASTER'!$B$155)</f>
        <v/>
      </c>
    </row>
    <row r="167">
      <c r="AE167" s="128" t="str">
        <f>IF('CAMPAIGN MASTER'!$B$156="","",'CAMPAIGN MASTER'!$B$156)</f>
        <v/>
      </c>
    </row>
    <row r="168">
      <c r="AE168" s="128" t="str">
        <f>IF('CAMPAIGN MASTER'!$B$157="","",'CAMPAIGN MASTER'!$B$157)</f>
        <v/>
      </c>
    </row>
    <row r="169">
      <c r="AE169" s="128" t="str">
        <f>IF('CAMPAIGN MASTER'!$B$158="","",'CAMPAIGN MASTER'!$B$158)</f>
        <v/>
      </c>
    </row>
    <row r="170">
      <c r="AE170" s="128" t="str">
        <f>IF('CAMPAIGN MASTER'!$B$159="","",'CAMPAIGN MASTER'!$B$159)</f>
        <v/>
      </c>
    </row>
    <row r="171">
      <c r="AE171" s="128" t="str">
        <f>IF('CAMPAIGN MASTER'!$B$160="","",'CAMPAIGN MASTER'!$B$160)</f>
        <v/>
      </c>
    </row>
    <row r="172">
      <c r="AE172" s="128" t="str">
        <f>IF('CAMPAIGN MASTER'!$B$161="","",'CAMPAIGN MASTER'!$B$161)</f>
        <v/>
      </c>
    </row>
    <row r="173">
      <c r="AE173" s="128" t="str">
        <f>IF('CAMPAIGN MASTER'!$B$162="","",'CAMPAIGN MASTER'!$B$162)</f>
        <v/>
      </c>
    </row>
    <row r="174">
      <c r="AE174" s="128" t="str">
        <f>IF('CAMPAIGN MASTER'!$B$163="","",'CAMPAIGN MASTER'!$B$163)</f>
        <v/>
      </c>
    </row>
    <row r="175">
      <c r="AE175" s="128" t="str">
        <f>IF('CAMPAIGN MASTER'!$B$164="","",'CAMPAIGN MASTER'!$B$164)</f>
        <v/>
      </c>
    </row>
    <row r="176">
      <c r="AE176" s="128" t="str">
        <f>IF('CAMPAIGN MASTER'!$B$165="","",'CAMPAIGN MASTER'!$B$165)</f>
        <v/>
      </c>
    </row>
    <row r="177">
      <c r="AE177" s="128" t="str">
        <f>IF('CAMPAIGN MASTER'!$B$166="","",'CAMPAIGN MASTER'!$B$166)</f>
        <v/>
      </c>
    </row>
    <row r="178">
      <c r="AE178" s="128" t="str">
        <f>IF('CAMPAIGN MASTER'!$B$167="","",'CAMPAIGN MASTER'!$B$167)</f>
        <v/>
      </c>
    </row>
    <row r="179">
      <c r="AE179" s="128" t="str">
        <f>IF('CAMPAIGN MASTER'!$B$168="","",'CAMPAIGN MASTER'!$B$168)</f>
        <v/>
      </c>
    </row>
    <row r="180">
      <c r="AE180" s="128" t="str">
        <f>IF('CAMPAIGN MASTER'!$B$169="","",'CAMPAIGN MASTER'!$B$169)</f>
        <v/>
      </c>
    </row>
    <row r="181">
      <c r="AE181" s="128" t="str">
        <f>IF('CAMPAIGN MASTER'!$B$170="","",'CAMPAIGN MASTER'!$B$170)</f>
        <v/>
      </c>
    </row>
    <row r="182">
      <c r="AE182" s="128" t="str">
        <f>IF('CAMPAIGN MASTER'!$B$171="","",'CAMPAIGN MASTER'!$B$171)</f>
        <v/>
      </c>
    </row>
    <row r="183">
      <c r="AE183" s="128" t="str">
        <f>IF('CAMPAIGN MASTER'!$B$172="","",'CAMPAIGN MASTER'!$B$172)</f>
        <v/>
      </c>
    </row>
    <row r="184">
      <c r="AE184" s="128" t="str">
        <f>IF('CAMPAIGN MASTER'!$B$173="","",'CAMPAIGN MASTER'!$B$173)</f>
        <v/>
      </c>
    </row>
    <row r="185">
      <c r="AE185" s="128" t="str">
        <f>IF('CAMPAIGN MASTER'!$B$174="","",'CAMPAIGN MASTER'!$B$174)</f>
        <v/>
      </c>
    </row>
    <row r="186">
      <c r="AE186" s="128" t="str">
        <f>IF('CAMPAIGN MASTER'!$B$175="","",'CAMPAIGN MASTER'!$B$175)</f>
        <v/>
      </c>
    </row>
    <row r="187">
      <c r="AE187" s="128" t="str">
        <f>IF('CAMPAIGN MASTER'!$B$176="","",'CAMPAIGN MASTER'!$B$176)</f>
        <v/>
      </c>
    </row>
    <row r="188">
      <c r="AE188" s="128" t="str">
        <f>IF('CAMPAIGN MASTER'!$B$177="","",'CAMPAIGN MASTER'!$B$177)</f>
        <v/>
      </c>
    </row>
    <row r="189">
      <c r="AE189" s="128" t="str">
        <f>IF('CAMPAIGN MASTER'!$B$178="","",'CAMPAIGN MASTER'!$B$178)</f>
        <v/>
      </c>
    </row>
    <row r="190">
      <c r="AE190" s="128" t="str">
        <f>IF('CAMPAIGN MASTER'!$B$179="","",'CAMPAIGN MASTER'!$B$179)</f>
        <v/>
      </c>
    </row>
    <row r="191">
      <c r="AE191" s="128" t="str">
        <f>IF('CAMPAIGN MASTER'!$B$180="","",'CAMPAIGN MASTER'!$B$180)</f>
        <v/>
      </c>
    </row>
    <row r="192">
      <c r="AE192" s="128" t="str">
        <f>IF('CAMPAIGN MASTER'!$B$181="","",'CAMPAIGN MASTER'!$B$181)</f>
        <v/>
      </c>
    </row>
    <row r="193">
      <c r="AE193" s="128" t="str">
        <f>IF('CAMPAIGN MASTER'!$B$182="","",'CAMPAIGN MASTER'!$B$182)</f>
        <v/>
      </c>
    </row>
    <row r="194">
      <c r="AE194" s="128" t="str">
        <f>IF('CAMPAIGN MASTER'!$B$183="","",'CAMPAIGN MASTER'!$B$183)</f>
        <v/>
      </c>
    </row>
    <row r="195">
      <c r="AE195" s="128" t="str">
        <f>IF('CAMPAIGN MASTER'!$B$184="","",'CAMPAIGN MASTER'!$B$184)</f>
        <v/>
      </c>
    </row>
    <row r="196">
      <c r="AE196" s="128" t="str">
        <f>IF('CAMPAIGN MASTER'!$B$185="","",'CAMPAIGN MASTER'!$B$185)</f>
        <v/>
      </c>
    </row>
    <row r="197">
      <c r="AE197" s="128" t="str">
        <f>IF('CAMPAIGN MASTER'!$B$186="","",'CAMPAIGN MASTER'!$B$186)</f>
        <v/>
      </c>
    </row>
    <row r="198">
      <c r="AE198" s="128" t="str">
        <f>IF('CAMPAIGN MASTER'!$B$187="","",'CAMPAIGN MASTER'!$B$187)</f>
        <v/>
      </c>
    </row>
    <row r="199">
      <c r="AE199" s="128" t="str">
        <f>IF('CAMPAIGN MASTER'!$B$188="","",'CAMPAIGN MASTER'!$B$188)</f>
        <v/>
      </c>
    </row>
    <row r="200">
      <c r="AE200" s="128" t="str">
        <f>IF('CAMPAIGN MASTER'!$B$189="","",'CAMPAIGN MASTER'!$B$189)</f>
        <v/>
      </c>
    </row>
    <row r="201">
      <c r="AE201" s="128" t="str">
        <f>IF('CAMPAIGN MASTER'!$B$190="","",'CAMPAIGN MASTER'!$B$190)</f>
        <v/>
      </c>
    </row>
    <row r="202">
      <c r="AE202" s="128" t="str">
        <f>IF('CAMPAIGN MASTER'!$B$191="","",'CAMPAIGN MASTER'!$B$191)</f>
        <v/>
      </c>
    </row>
    <row r="203">
      <c r="AE203" s="128" t="str">
        <f>IF('CAMPAIGN MASTER'!$B$192="","",'CAMPAIGN MASTER'!$B$192)</f>
        <v/>
      </c>
    </row>
    <row r="204">
      <c r="AE204" s="128" t="str">
        <f>IF('CAMPAIGN MASTER'!$B$193="","",'CAMPAIGN MASTER'!$B$193)</f>
        <v/>
      </c>
    </row>
    <row r="205">
      <c r="AE205" s="128" t="str">
        <f>IF('CAMPAIGN MASTER'!$B$194="","",'CAMPAIGN MASTER'!$B$194)</f>
        <v/>
      </c>
    </row>
    <row r="206">
      <c r="AE206" s="128" t="str">
        <f>IF('CAMPAIGN MASTER'!$B$195="","",'CAMPAIGN MASTER'!$B$195)</f>
        <v/>
      </c>
    </row>
    <row r="207">
      <c r="AE207" s="128" t="str">
        <f>IF('CAMPAIGN MASTER'!$B$196="","",'CAMPAIGN MASTER'!$B$196)</f>
        <v/>
      </c>
    </row>
    <row r="208">
      <c r="AE208" s="128" t="str">
        <f>IF('CAMPAIGN MASTER'!$B$197="","",'CAMPAIGN MASTER'!$B$197)</f>
        <v/>
      </c>
    </row>
    <row r="209">
      <c r="AE209" s="128" t="str">
        <f>IF('CAMPAIGN MASTER'!$B$198="","",'CAMPAIGN MASTER'!$B$198)</f>
        <v/>
      </c>
    </row>
    <row r="210">
      <c r="AE210" s="128" t="str">
        <f>IF('CAMPAIGN MASTER'!$B$199="","",'CAMPAIGN MASTER'!$B$199)</f>
        <v/>
      </c>
    </row>
    <row r="211">
      <c r="AE211" s="128" t="str">
        <f>IF('CAMPAIGN MASTER'!$B$200="","",'CAMPAIGN MASTER'!$B$200)</f>
        <v/>
      </c>
    </row>
    <row r="212">
      <c r="AE212" s="128" t="str">
        <f>IF('CAMPAIGN MASTER'!$B$201="","",'CAMPAIGN MASTER'!$B$201)</f>
        <v/>
      </c>
    </row>
    <row r="213">
      <c r="AE213" s="128" t="str">
        <f>IF('CAMPAIGN MASTER'!$B$202="","",'CAMPAIGN MASTER'!$B$202)</f>
        <v/>
      </c>
    </row>
    <row r="214">
      <c r="AE214" s="128" t="str">
        <f>IF('CAMPAIGN MASTER'!$B$203="","",'CAMPAIGN MASTER'!$B$203)</f>
        <v/>
      </c>
    </row>
    <row r="215">
      <c r="AE215" s="128" t="str">
        <f>IF('CAMPAIGN MASTER'!$B$204="","",'CAMPAIGN MASTER'!$B$204)</f>
        <v/>
      </c>
    </row>
  </sheetData>
  <mergeCells count="3">
    <mergeCell ref="A1:E1"/>
    <mergeCell ref="A3:C3"/>
    <mergeCell ref="A13:D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1:C27"/>
  <sheetViews>
    <sheetView showGridLines="0" tabSelected="0" zoomScale="95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1" ht="34" customHeight="1">
      <c r="B1" s="129" t="inlineStr">
        <is>
          <t>BASELINE NOTES - what was loaded, assumptions &amp; items to confirm</t>
        </is>
      </c>
      <c r="C1" s="2" t="n"/>
    </row>
    <row r="3" ht="20" customHeight="1">
      <c r="B3" s="37" t="inlineStr">
        <is>
          <t>SOURCES</t>
        </is>
      </c>
      <c r="C3" s="33" t="n"/>
    </row>
    <row r="4" ht="30" customHeight="1">
      <c r="B4" s="9" t="inlineStr">
        <is>
          <t>Project Updates.xlsx</t>
        </is>
      </c>
      <c r="C4" s="10" t="inlineStr">
        <is>
          <t>Sheets: Surbhi, Richi, Riya, Ayush (loaded); Piyush and Rahul (sheets were EMPTY - no tasks loaded for them).</t>
        </is>
      </c>
    </row>
    <row r="5" ht="30" customHeight="1">
      <c r="B5" s="9" t="inlineStr">
        <is>
          <t>Digital Billing Sheet.xlsx</t>
        </is>
      </c>
      <c r="C5" s="10" t="inlineStr">
        <is>
          <t>Sheets: Contact Details, Program Status, Team Details. Used for client list, services, KPIs, pipeline status and team roles.</t>
        </is>
      </c>
    </row>
    <row r="6" ht="20" customHeight="1">
      <c r="B6" s="37" t="inlineStr">
        <is>
          <t>WHAT WAS LOADED</t>
        </is>
      </c>
      <c r="C6" s="33" t="n"/>
    </row>
    <row r="7" ht="30" customHeight="1">
      <c r="B7" s="9" t="inlineStr">
        <is>
          <t>DAILY TASK TRACKER</t>
        </is>
      </c>
      <c r="C7" s="10" t="inlineStr">
        <is>
          <t>58 baseline rows (one per program/task line in Project Updates). Status, Priority, Last Updated were not provided and are left BLANK (shown as 'Status Not Updated'). Please have each owner update them.</t>
        </is>
      </c>
    </row>
    <row r="8" ht="60" customHeight="1">
      <c r="B8" s="9" t="inlineStr">
        <is>
          <t>CAMPAIGN MASTER</t>
        </is>
      </c>
      <c r="C8" s="10" t="inlineStr">
        <is>
          <t>26 records: SAP Partner Campaign partners, Utimaco, SAP Success Factor / Viksit Bharat / HRMS, Google Ads (Vestrics, Eternelle, Magnasoft), Ruckus, Equinix, Google Chrome, retainer programmes, Lenovo, Sonalika, Tata MECCA. Status and performance numbers were not provided - left blank (campaign counts will read 0 until statuses are set).</t>
        </is>
      </c>
    </row>
    <row r="9" ht="20" customHeight="1">
      <c r="B9" s="9" t="inlineStr">
        <is>
          <t>CLIENT MASTER</t>
        </is>
      </c>
      <c r="C9" s="10" t="inlineStr">
        <is>
          <t>16 clients incl. internal programmes, pipeline (Sonalika, AMEX) and ended (Marg).</t>
        </is>
      </c>
    </row>
    <row r="10" ht="20" customHeight="1">
      <c r="B10" s="9" t="inlineStr">
        <is>
          <t>TEAM MASTER</t>
        </is>
      </c>
      <c r="C10" s="10" t="inlineStr">
        <is>
          <t>8 members from Team Details (name, role, program support, working mode).</t>
        </is>
      </c>
    </row>
    <row r="11" ht="45" customHeight="1">
      <c r="B11" s="9" t="inlineStr">
        <is>
          <t>Targets</t>
        </is>
      </c>
      <c r="C11" s="10" t="inlineStr">
        <is>
          <t>Numeric targets loaded only where a single number was given (Ruckus 50, Equinix 150, Eternelle blogs 6, Ayush mandates 22/8/4/8/8 - unit not specified). Ranges / text targets (e.g. '10-15 leads in a month', '8-10 leads daily', '38-40 leads / 22 posts', '10-12') are kept verbatim in 'Target Note (as provided)'.</t>
        </is>
      </c>
    </row>
    <row r="12" ht="20" customHeight="1">
      <c r="B12" s="37" t="inlineStr">
        <is>
          <t>NOT LOADED ON PURPOSE</t>
        </is>
      </c>
      <c r="C12" s="33" t="n"/>
    </row>
    <row r="13" ht="45" customHeight="1">
      <c r="B13" s="9" t="inlineStr">
        <is>
          <t>Commercial / sensitive data</t>
        </is>
      </c>
      <c r="C13" s="10" t="inlineStr">
        <is>
          <t>Retainer amounts, PO numbers &amp; validity, invoice terms, billing/client contact names, e-mails &amp; phone numbers, and Annual CTC were NOT copied, because this workbook is shared with the whole team. Keep them in the Digital Billing Sheet.</t>
        </is>
      </c>
    </row>
    <row r="14" ht="20" customHeight="1">
      <c r="B14" s="37" t="inlineStr">
        <is>
          <t>ASSUMPTIONS (please confirm)</t>
        </is>
      </c>
      <c r="C14" s="33" t="n"/>
    </row>
    <row r="15" ht="30" customHeight="1">
      <c r="B15" s="9" t="inlineStr">
        <is>
          <t>Year of deployment dates</t>
        </is>
      </c>
      <c r="C15" s="10" t="inlineStr">
        <is>
          <t>Dates in Surbhi's sheet ('25th Sep', '30th Sep', '6th Oct', '9th Oct') have no year; 2026 was assumed and entered as Due Date. Past dates therefore show as OVERDUE until Status is updated.</t>
        </is>
      </c>
    </row>
    <row r="16" ht="45" customHeight="1">
      <c r="B16" s="9" t="inlineStr">
        <is>
          <t>Client naming</t>
        </is>
      </c>
      <c r="C16" s="10" t="inlineStr">
        <is>
          <t>'Chola' = Cholamandalam MS Risk Services Ltd (Chola MS). 'Equinix' (Project Updates) vs 'Equinox' (billing sheet) treated as the same client, shown as Equinix. 'Lenevo'/'Lenovo' = Lenovo. 'Tata Communication' = Tata Communications (TCL).</t>
        </is>
      </c>
    </row>
    <row r="17" ht="30" customHeight="1">
      <c r="B17" s="9" t="inlineStr">
        <is>
          <t>Utimaco Singapore</t>
        </is>
      </c>
      <c r="C17" s="10" t="inlineStr">
        <is>
          <t>Listed as a program in Surbhi's sheet but not present in the billing sheet - added as client with status 'To Confirm'.</t>
        </is>
      </c>
    </row>
    <row r="18" ht="30" customHeight="1">
      <c r="B18" s="9" t="inlineStr">
        <is>
          <t>Campaign owners</t>
        </is>
      </c>
      <c r="C18" s="10" t="inlineStr">
        <is>
          <t>Owner set to the person whose sheet lists the program; retainer programmes (Chola, Vestrics, Magnasoft) owned by Ayush (Program Manager), Eternelle by Richi per Team Details. Please correct if different.</t>
        </is>
      </c>
    </row>
    <row r="19" ht="30" customHeight="1">
      <c r="B19" s="9" t="inlineStr">
        <is>
          <t>Retainer 'campaigns'</t>
        </is>
      </c>
      <c r="C19" s="10" t="inlineStr">
        <is>
          <t>Ongoing SEO / social / blog programmes were created as one campaign per client so tasks can be grouped. Rename or split as you prefer.</t>
        </is>
      </c>
    </row>
    <row r="20" ht="60" customHeight="1">
      <c r="B20" s="9" t="inlineStr">
        <is>
          <t>Account status</t>
        </is>
      </c>
      <c r="C20" s="10" t="inlineStr">
        <is>
          <t>Active = Active in Program Status. Pipeline = Proposal (Sonalika, AMEX). Ended = Marg (last day 11-Sep). Ruckus, Google Chrome Enterprise and Equinix are marked 'Closed' in the billing sheet's pipeline table, but the team is actively reporting work on them - set to Active; confirm. (Google Chrome's validity date in the billing sheet is 1-Oct-2026, already passed.)</t>
        </is>
      </c>
    </row>
    <row r="21" ht="20" customHeight="1">
      <c r="B21" s="37" t="inlineStr">
        <is>
          <t>DATA DISCREPANCIES SEEN IN SOURCE FILES</t>
        </is>
      </c>
      <c r="C21" s="33" t="n"/>
    </row>
    <row r="22" ht="30" customHeight="1">
      <c r="B22" s="9" t="inlineStr">
        <is>
          <t>PO dates differ between tabs</t>
        </is>
      </c>
      <c r="C22" s="10" t="inlineStr">
        <is>
          <t>Marg and Magnasoft PO-validity dates differ between 'Contact Details' and 'Program Status' tabs (not carried over; flagged for finance follow-up).</t>
        </is>
      </c>
    </row>
    <row r="23" ht="30" customHeight="1">
      <c r="B23" s="9" t="inlineStr">
        <is>
          <t>No update received</t>
        </is>
      </c>
      <c r="C23" s="10" t="inlineStr">
        <is>
          <t>Lenovo (Riya), Sonalika (Richi), Magnasoft Google Ads target (Richi) - 'No update' in source. Rahul and Piyush sheets empty. Priyanshu and Kapil have no sheet.</t>
        </is>
      </c>
    </row>
    <row r="24" ht="45" customHeight="1">
      <c r="B24" s="9" t="inlineStr">
        <is>
          <t>Alignment status</t>
        </is>
      </c>
      <c r="C24" s="10" t="inlineStr">
        <is>
          <t>SAP PCC, SAP Drip Campaigns - Install Base, Tata Communications, TCL MECCA, Ruckus, Chrome, Equinox, Lenovo EDM, AMEX, Sonalika show 'BDMIS alignment yet to be done' / 'No BDMIS alignment' - kept as a note in CLIENT MASTER.</t>
        </is>
      </c>
    </row>
    <row r="25" ht="20" customHeight="1">
      <c r="B25" s="37" t="inlineStr">
        <is>
          <t>DESIGN CHOICES WORTH KNOWING</t>
        </is>
      </c>
      <c r="C25" s="33" t="n"/>
    </row>
    <row r="26" ht="45" customHeight="1">
      <c r="B26" s="9" t="inlineStr">
        <is>
          <t>Extra columns/sheets</t>
        </is>
      </c>
      <c r="C26" s="10" t="inlineStr">
        <is>
          <t>Added: Needs Manager Decision? and Escalate to Rajesh? (tasks), Target Note, Last Updated; LINKEDIN OUTREACH sheet; Accounts Targeted / Contacts Reached / Last Updated (campaigns); CLIENT MASTER; MECCA readiness tracker.</t>
        </is>
      </c>
    </row>
    <row r="27" ht="45" customHeight="1">
      <c r="B27" s="9" t="inlineStr">
        <is>
          <t>Pre-built rows</t>
        </is>
      </c>
      <c r="C27" s="10" t="inlineStr">
        <is>
          <t>Tracker 1,000 rows; Lead 500; Email/Paid/Web 300; LinkedIn 200; Campaigns 200; Clients 60. Dashboards read 500 rows beyond each pre-built block, so rows added below it still count in totals but need the grey formulas copied down.</t>
        </is>
      </c>
    </row>
  </sheetData>
  <mergeCells count="7">
    <mergeCell ref="B6:C6"/>
    <mergeCell ref="B21:C21"/>
    <mergeCell ref="B25:C25"/>
    <mergeCell ref="B3:C3"/>
    <mergeCell ref="B14:C14"/>
    <mergeCell ref="B1:C1"/>
    <mergeCell ref="B12:C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2026-10-05T06:03:10Z</dcterms:created>
  <dcterms:modified xmlns:dcterms="http://purl.org/dc/terms/" xmlns:xsi="http://www.w3.org/2001/XMLSchema-instance" xsi:type="dcterms:W3CDTF">2026-10-05T06:03:28Z</dcterms:modified>
</cp:coreProperties>
</file>